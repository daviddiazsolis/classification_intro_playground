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logica" sheetId="1" state="visible" r:id="rId1"/>
    <sheet xmlns:r="http://schemas.openxmlformats.org/officeDocument/2006/relationships" name="1 datos preparados" sheetId="2" state="visible" r:id="rId2"/>
    <sheet xmlns:r="http://schemas.openxmlformats.org/officeDocument/2006/relationships" name="2 el problema" sheetId="3" state="visible" r:id="rId3"/>
    <sheet xmlns:r="http://schemas.openxmlformats.org/officeDocument/2006/relationships" name="3 class weights" sheetId="4" state="visible" r:id="rId4"/>
    <sheet xmlns:r="http://schemas.openxmlformats.org/officeDocument/2006/relationships" name="4 submuestreo" sheetId="5" state="visible" r:id="rId5"/>
    <sheet xmlns:r="http://schemas.openxmlformats.org/officeDocument/2006/relationships" name="5 sobremuestreo" sheetId="6" state="visible" r:id="rId6"/>
    <sheet xmlns:r="http://schemas.openxmlformats.org/officeDocument/2006/relationships" name="6 SMOTE" sheetId="7" state="visible" r:id="rId7"/>
    <sheet xmlns:r="http://schemas.openxmlformats.org/officeDocument/2006/relationships" name="7 comparación" sheetId="8" state="visible" r:id="rId8"/>
  </sheets>
  <definedNames/>
  <calcPr calcId="124519" fullCalcOnLoad="1"/>
</workbook>
</file>

<file path=xl/styles.xml><?xml version="1.0" encoding="utf-8"?>
<styleSheet xmlns="http://schemas.openxmlformats.org/spreadsheetml/2006/main">
  <numFmts count="4">
    <numFmt numFmtId="164" formatCode="0.000"/>
    <numFmt numFmtId="165" formatCode="0.0000"/>
    <numFmt numFmtId="166" formatCode="0.0"/>
    <numFmt numFmtId="167" formatCode="0.0%"/>
  </numFmts>
  <fonts count="3">
    <font>
      <name val="Calibri"/>
      <family val="2"/>
      <color theme="1"/>
      <sz val="11"/>
      <scheme val="minor"/>
    </font>
    <font>
      <b val="1"/>
      <sz val="13"/>
    </font>
    <font>
      <b val="1"/>
    </font>
  </fonts>
  <fills count="6">
    <fill>
      <patternFill/>
    </fill>
    <fill>
      <patternFill patternType="gray125"/>
    </fill>
    <fill>
      <patternFill patternType="solid">
        <fgColor rgb="00E7E6E6"/>
      </patternFill>
    </fill>
    <fill>
      <patternFill patternType="solid">
        <fgColor rgb="00DDEBF7"/>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2" borderId="0" pivotButton="0" quotePrefix="0" xfId="0"/>
    <xf numFmtId="0" fontId="0" fillId="2" borderId="0" pivotButton="0" quotePrefix="0" xfId="0"/>
    <xf numFmtId="164" fontId="0" fillId="2" borderId="0" pivotButton="0" quotePrefix="0" xfId="0"/>
    <xf numFmtId="164" fontId="0" fillId="0" borderId="0" pivotButton="0" quotePrefix="0" xfId="0"/>
    <xf numFmtId="164" fontId="0" fillId="5" borderId="0" pivotButton="0" quotePrefix="0" xfId="0"/>
    <xf numFmtId="165" fontId="0" fillId="5" borderId="0" pivotButton="0" quotePrefix="0" xfId="0"/>
    <xf numFmtId="0" fontId="0" fillId="4" borderId="0" pivotButton="0" quotePrefix="0" xfId="0"/>
    <xf numFmtId="165" fontId="0" fillId="3" borderId="0" pivotButton="0" quotePrefix="0" xfId="0"/>
    <xf numFmtId="165" fontId="0" fillId="2" borderId="0" pivotButton="0" quotePrefix="0" xfId="0"/>
    <xf numFmtId="0" fontId="0" fillId="5" borderId="0" pivotButton="0" quotePrefix="0" xfId="0"/>
    <xf numFmtId="164" fontId="0" fillId="4" borderId="0" pivotButton="0" quotePrefix="0" xfId="0"/>
    <xf numFmtId="2" fontId="0" fillId="3" borderId="0" pivotButton="0" quotePrefix="0" xfId="0"/>
    <xf numFmtId="2" fontId="0" fillId="4" borderId="0" pivotButton="0" quotePrefix="0" xfId="0"/>
    <xf numFmtId="166" fontId="0" fillId="5" borderId="0" pivotButton="0" quotePrefix="0" xfId="0"/>
    <xf numFmtId="165" fontId="0" fillId="4" borderId="0" pivotButton="0" quotePrefix="0" xfId="0"/>
    <xf numFmtId="167" fontId="0" fillId="4" borderId="0" pivotButton="0" quotePrefix="0" xfId="0"/>
    <xf numFmtId="164" fontId="0" fillId="3" borderId="0" pivotButton="0" quotePrefix="0" xfId="0"/>
    <xf numFmtId="1" fontId="0" fillId="3" borderId="0" pivotButton="0" quotePrefix="0" xfId="0"/>
    <xf numFmtId="167" fontId="0" fillId="2"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Claude</author>
  </authors>
  <commentList>
    <comment ref="Y12" authorId="0" shapeId="0">
      <text>
        <t>Todas las filas pesan 1: es el Excel base.</t>
      </text>
    </comment>
  </commentList>
</comments>
</file>

<file path=xl/comments/comment2.xml><?xml version="1.0" encoding="utf-8"?>
<comments xmlns="http://schemas.openxmlformats.org/spreadsheetml/2006/main">
  <authors>
    <author>Claude</author>
  </authors>
  <commentList>
    <comment ref="Y12" authorId="0" shapeId="0">
      <text>
        <t>Peso según la clase de la fila: w1 si es mal pagador, w0 si es buen pagador.</t>
      </text>
    </comment>
    <comment ref="AE32" authorId="0" shapeId="0">
      <text>
        <t>'balanced' de scikit-learn: n / (2 · n_clase). Con 210 malos y 490 buenos en training: w1 = 700/420 = 1,667 y w0 = 700/980 = 0,714, así que las dos clases suman 350 cada una. Puedes escribir cualquier par de pesos.</t>
      </text>
    </comment>
  </commentList>
</comments>
</file>

<file path=xl/comments/comment3.xml><?xml version="1.0" encoding="utf-8"?>
<comments xmlns="http://schemas.openxmlformats.org/spreadsheetml/2006/main">
  <authors>
    <author>Claude</author>
  </authors>
  <commentList>
    <comment ref="Y12" authorId="0" shapeId="0">
      <text>
        <t>1 si la fila entra en el training submuestreado, 0 si no. Las filas con 0 no aportan nada a J: es como si no existieran.</t>
      </text>
    </comment>
  </commentList>
</comments>
</file>

<file path=xl/comments/comment4.xml><?xml version="1.0" encoding="utf-8"?>
<comments xmlns="http://schemas.openxmlformats.org/spreadsheetml/2006/main">
  <authors>
    <author>Claude</author>
  </authors>
  <commentList>
    <comment ref="Y12" authorId="0" shapeId="0">
      <text>
        <t>Cuántas veces se repite la fila en training. Multiplicar la pérdida por k es lo mismo que pegar la fila k veces.</t>
      </text>
    </comment>
    <comment ref="AE32" authorId="0" shapeId="0">
      <text>
        <t>Repetir una fila k veces en training es exactamente lo mismo que darle peso k en la función de costo: por eso no hace falta pegar filas duplicadas. Con 2 y 1, los malos suman 420 contra 490 buenos. Prueba 3 (630 contra 490) o el par no entero 1,667 y 0,714 de la hoja 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5" customWidth="1" min="1" max="1"/>
  </cols>
  <sheetData>
    <row r="1">
      <c r="A1" s="1" t="inlineStr">
        <is>
          <t>Regresión logística con clases desbalanceadas: qué provoca y cómo se corrige (class weights, submuestreo, sobremuestreo, SMOTE)</t>
        </is>
      </c>
    </row>
    <row r="2" ht="18.5" customHeight="1">
      <c r="A2" s="2" t="inlineStr">
        <is>
          <t>Preparado por David Díaz, con asistencia de Claude (Anthropic).</t>
        </is>
      </c>
    </row>
    <row r="3">
      <c r="A3" t="inlineStr"/>
    </row>
    <row r="4" ht="49.5" customHeight="1">
      <c r="A4" s="2" t="inlineStr">
        <is>
          <t>Este archivo es la variante de desbalanceo del Excel base (logistica_01_german_credit.xlsx): mismos 1.000 clientes, mismas 18 columnas preparadas, misma partición 700 training / 300 testing, y ninguna regularización. La hoja 1 trae los datos como valores.</t>
        </is>
      </c>
    </row>
    <row r="5" ht="80.5" customHeight="1">
      <c r="A5" s="2" t="inlineStr">
        <is>
          <t>El problema. En german credit el 30% de los clientes es mal pagador y el 70% paga. La entropía cruzada suma el error de cada cliente por igual, así que el modelo sin corregir se preocupa más de acertarle a los 490 buenos de training que a los 210 malos: la hoja 2 lo muestra con el reporte de clasificación, donde el recall de la clase 0 es 87% y el de la clase 1, que es la que importa, 57%. En bases más desbalanceadas (fraude con 1% de casos, churn con 5%) el efecto es peor: el modelo aprende a decir 'no' siempre y acierta el 99%.</t>
        </is>
      </c>
    </row>
    <row r="6" ht="127" customHeight="1">
      <c r="A6" s="2" t="inlineStr">
        <is>
          <t>Las soluciones cambian una de dos cosas: cuánto pesa cada cliente en la función de costo, o qué clientes entran en training. Class weights (hoja 3) multiplica la pérdida de cada fila por un peso que depende de su clase, típicamente n / (2 · n_clase) para que las dos clases sumen lo mismo; es lo que hace class_weight='balanced' en scikit-learn. Submuestreo (hoja 4) tira al azar buenos pagadores hasta igualar a los malos, y entrena con menos filas. Sobremuestreo (hoja 5) repite las filas de la clase minoritaria, lo que en la función de costo es idéntico a ponerles un peso entero. SMOTE (hoja 6) no repite: inventa clientes malos nuevos interpolando entre pares de clientes malos vecinos. En Excel, las tres primeras se hacen con Solver, porque todas se reducen a una columna 'peso de fila' que multiplica la pérdida; SMOTE se muestra con sus filas sintéticas y su resultado calculado en Python.</t>
        </is>
      </c>
    </row>
    <row r="7" ht="127" customHeight="1">
      <c r="A7" s="2" t="inlineStr">
        <is>
          <t>La hoja 7 compara los cuatro métodos en testing, y agrega una fila que conviene mirar con calma: el modelo sin balancear, pero con umbral 0,30 en vez de 0,50. Su recall y su precision son casi los mismos que los del modelo con class weights. No es casualidad: para una logística, ponderar las clases desplaza la recta de forma casi equivalente a mover el umbral, así que balancear y mover el umbral son dos caminos al mismo lugar. La diferencia práctica es que el umbral se puede elegir con costos (Excel base, hoja 6) sin reentrenar, mientras que el balanceo cambia las probabilidades que el modelo entrega (deja de estar calibrado: la p promedio en testing sube de 0,33 a 0,48 cuando la tasa real es 0,30). Por eso, para una logística, la recomendación honesta es balancear solo cuando el desbalanceo es severo o cuando el algoritmo no permite mover el umbral; con 30% de minoritaria, mover el umbral basta.</t>
        </is>
      </c>
    </row>
    <row r="8" ht="34" customHeight="1">
      <c r="A8" s="2" t="inlineStr">
        <is>
          <t>Colores: celeste son parámetros (pesos del modelo, pesos por clase, repeticiones, umbral), amarillo cálculos intermedios, verde resultados, gris valores que vienen de Python.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1" customWidth="1" min="1" max="1"/>
    <col width="7" customWidth="1" min="2" max="2"/>
    <col width="21" customWidth="1" min="3" max="3"/>
    <col width="21" customWidth="1" min="4" max="4"/>
    <col width="21" customWidth="1" min="5" max="5"/>
    <col width="21" customWidth="1" min="6" max="6"/>
    <col width="13" customWidth="1" min="7" max="7"/>
    <col width="10" customWidth="1" min="8" max="8"/>
    <col width="14" customWidth="1" min="9" max="9"/>
    <col width="13" customWidth="1" min="10" max="10"/>
    <col width="13" customWidth="1" min="11" max="11"/>
    <col width="18" customWidth="1" min="12" max="12"/>
    <col width="16" customWidth="1" min="13" max="13"/>
    <col width="18" customWidth="1" min="14" max="14"/>
    <col width="19" customWidth="1" min="15" max="15"/>
    <col width="18" customWidth="1" min="16" max="16"/>
    <col width="16" customWidth="1" min="17" max="17"/>
    <col width="15" customWidth="1" min="18" max="18"/>
    <col width="19" customWidth="1" min="19" max="19"/>
    <col width="18" customWidth="1" min="20" max="20"/>
    <col width="9" customWidth="1" min="21" max="21"/>
    <col width="20" customWidth="1" min="22" max="22"/>
  </cols>
  <sheetData>
    <row r="1">
      <c r="A1" s="3" t="inlineStr">
        <is>
          <t>Los 1.000 clientes ya transformados y escalados (valores; la preparación está en el Excel base, hojas 2 y 3)</t>
        </is>
      </c>
    </row>
    <row r="2" ht="34" customHeight="1">
      <c r="A2" s="2" t="inlineStr">
        <is>
          <t>Mismas columnas y misma partición que logistica_01_german_credit.xlsx. La columna 'usar en submuestreo' viene de Python: vale 1 para los 210 malos pagadores de training y para 210 buenos elegidos al azar (semilla fija), 0 para el resto de training; en testing no aplica (se evalúa con los 300).</t>
        </is>
      </c>
    </row>
    <row r="3"/>
    <row r="4">
      <c r="A4" s="4" t="inlineStr">
        <is>
          <t>id</t>
        </is>
      </c>
      <c r="B4" s="4" t="inlineStr">
        <is>
          <t>y</t>
        </is>
      </c>
      <c r="C4" s="4" t="inlineStr">
        <is>
          <t>duracion</t>
        </is>
      </c>
      <c r="D4" s="4" t="inlineStr">
        <is>
          <t>monto</t>
        </is>
      </c>
      <c r="E4" s="4" t="inlineStr">
        <is>
          <t>edad</t>
        </is>
      </c>
      <c r="F4" s="4" t="inlineStr">
        <is>
          <t>cuota_pct_ingreso</t>
        </is>
      </c>
      <c r="G4" s="4" t="inlineStr">
        <is>
          <t>cta_negativa</t>
        </is>
      </c>
      <c r="H4" s="4" t="inlineStr">
        <is>
          <t>cta_0_200</t>
        </is>
      </c>
      <c r="I4" s="4" t="inlineStr">
        <is>
          <t>cta_sobre_200</t>
        </is>
      </c>
      <c r="J4" s="4" t="inlineStr">
        <is>
          <t>hist_critico</t>
        </is>
      </c>
      <c r="K4" s="4" t="inlineStr">
        <is>
          <t>hist_atrasos</t>
        </is>
      </c>
      <c r="L4" s="4" t="inlineStr">
        <is>
          <t>hist_sin_creditos</t>
        </is>
      </c>
      <c r="M4" s="4" t="inlineStr">
        <is>
          <t>ahorro_100_1000</t>
        </is>
      </c>
      <c r="N4" s="4" t="inlineStr">
        <is>
          <t>ahorro_sobre_1000</t>
        </is>
      </c>
      <c r="O4" s="4" t="inlineStr">
        <is>
          <t>ahorro_desconocido</t>
        </is>
      </c>
      <c r="P4" s="4" t="inlineStr">
        <is>
          <t>vivienda_arriendo</t>
        </is>
      </c>
      <c r="Q4" s="4" t="inlineStr">
        <is>
          <t>vivienda_gratis</t>
        </is>
      </c>
      <c r="R4" s="4" t="inlineStr">
        <is>
          <t>proposito_auto</t>
        </is>
      </c>
      <c r="S4" s="4" t="inlineStr">
        <is>
          <t>proposito_radio_tv</t>
        </is>
      </c>
      <c r="T4" s="4" t="inlineStr">
        <is>
          <t>proposito_muebles</t>
        </is>
      </c>
      <c r="U4" s="4" t="inlineStr">
        <is>
          <t>conjunto</t>
        </is>
      </c>
      <c r="V4" s="4" t="inlineStr">
        <is>
          <t>usar en submuestreo</t>
        </is>
      </c>
    </row>
    <row r="5">
      <c r="A5" s="5" t="n">
        <v>1</v>
      </c>
      <c r="B5" s="5" t="n">
        <v>0</v>
      </c>
      <c r="C5" s="6" t="n">
        <v>-1.241254722473026</v>
      </c>
      <c r="D5" s="6" t="n">
        <v>-0.7283702210177497</v>
      </c>
      <c r="E5" s="6" t="n">
        <v>2.73617123115932</v>
      </c>
      <c r="F5" s="6" t="n">
        <v>0.9185437189662378</v>
      </c>
      <c r="G5" s="5" t="n">
        <v>1</v>
      </c>
      <c r="H5" s="5" t="n">
        <v>0</v>
      </c>
      <c r="I5" s="5" t="n">
        <v>0</v>
      </c>
      <c r="J5" s="5" t="n">
        <v>1</v>
      </c>
      <c r="K5" s="5" t="n">
        <v>0</v>
      </c>
      <c r="L5" s="5" t="n">
        <v>0</v>
      </c>
      <c r="M5" s="5" t="n">
        <v>0</v>
      </c>
      <c r="N5" s="5" t="n">
        <v>0</v>
      </c>
      <c r="O5" s="5" t="n">
        <v>1</v>
      </c>
      <c r="P5" s="5" t="n">
        <v>0</v>
      </c>
      <c r="Q5" s="5" t="n">
        <v>0</v>
      </c>
      <c r="R5" s="5" t="n">
        <v>0</v>
      </c>
      <c r="S5" s="5" t="n">
        <v>1</v>
      </c>
      <c r="T5" s="5" t="n">
        <v>0</v>
      </c>
      <c r="U5" s="5" t="inlineStr">
        <is>
          <t>training</t>
        </is>
      </c>
      <c r="V5" s="5" t="n">
        <v>0</v>
      </c>
    </row>
    <row r="6">
      <c r="A6" s="5" t="n">
        <v>2</v>
      </c>
      <c r="B6" s="5" t="n">
        <v>1</v>
      </c>
      <c r="C6" s="6" t="n">
        <v>2.297621231823615</v>
      </c>
      <c r="D6" s="6" t="n">
        <v>0.9448168701619106</v>
      </c>
      <c r="E6" s="6" t="n">
        <v>-1.177614700251023</v>
      </c>
      <c r="F6" s="6" t="n">
        <v>-0.8850484360866833</v>
      </c>
      <c r="G6" s="5" t="n">
        <v>0</v>
      </c>
      <c r="H6" s="5" t="n">
        <v>1</v>
      </c>
      <c r="I6" s="5" t="n">
        <v>0</v>
      </c>
      <c r="J6" s="5" t="n">
        <v>0</v>
      </c>
      <c r="K6" s="5" t="n">
        <v>0</v>
      </c>
      <c r="L6" s="5" t="n">
        <v>0</v>
      </c>
      <c r="M6" s="5" t="n">
        <v>0</v>
      </c>
      <c r="N6" s="5" t="n">
        <v>0</v>
      </c>
      <c r="O6" s="5" t="n">
        <v>0</v>
      </c>
      <c r="P6" s="5" t="n">
        <v>0</v>
      </c>
      <c r="Q6" s="5" t="n">
        <v>0</v>
      </c>
      <c r="R6" s="5" t="n">
        <v>0</v>
      </c>
      <c r="S6" s="5" t="n">
        <v>1</v>
      </c>
      <c r="T6" s="5" t="n">
        <v>0</v>
      </c>
      <c r="U6" s="5" t="inlineStr">
        <is>
          <t>training</t>
        </is>
      </c>
      <c r="V6" s="5" t="n">
        <v>1</v>
      </c>
    </row>
    <row r="7">
      <c r="A7" s="5" t="n">
        <v>3</v>
      </c>
      <c r="B7" s="5" t="n">
        <v>0</v>
      </c>
      <c r="C7" s="6" t="n">
        <v>-0.7357010147163632</v>
      </c>
      <c r="D7" s="6" t="n">
        <v>-0.4040196493900741</v>
      </c>
      <c r="E7" s="6" t="n">
        <v>1.170656858595183</v>
      </c>
      <c r="F7" s="6" t="n">
        <v>-0.8850484360866833</v>
      </c>
      <c r="G7" s="5" t="n">
        <v>0</v>
      </c>
      <c r="H7" s="5" t="n">
        <v>0</v>
      </c>
      <c r="I7" s="5" t="n">
        <v>0</v>
      </c>
      <c r="J7" s="5" t="n">
        <v>1</v>
      </c>
      <c r="K7" s="5" t="n">
        <v>0</v>
      </c>
      <c r="L7" s="5" t="n">
        <v>0</v>
      </c>
      <c r="M7" s="5" t="n">
        <v>0</v>
      </c>
      <c r="N7" s="5" t="n">
        <v>0</v>
      </c>
      <c r="O7" s="5" t="n">
        <v>0</v>
      </c>
      <c r="P7" s="5" t="n">
        <v>0</v>
      </c>
      <c r="Q7" s="5" t="n">
        <v>0</v>
      </c>
      <c r="R7" s="5" t="n">
        <v>0</v>
      </c>
      <c r="S7" s="5" t="n">
        <v>0</v>
      </c>
      <c r="T7" s="5" t="n">
        <v>0</v>
      </c>
      <c r="U7" s="5" t="inlineStr">
        <is>
          <t>training</t>
        </is>
      </c>
      <c r="V7" s="5" t="n">
        <v>1</v>
      </c>
    </row>
    <row r="8">
      <c r="A8" s="5" t="n">
        <v>4</v>
      </c>
      <c r="B8" s="5" t="n">
        <v>0</v>
      </c>
      <c r="C8" s="6" t="n">
        <v>1.792067524066952</v>
      </c>
      <c r="D8" s="6" t="n">
        <v>1.620459754534124</v>
      </c>
      <c r="E8" s="6" t="n">
        <v>0.8227647758031523</v>
      </c>
      <c r="F8" s="6" t="n">
        <v>-0.8850484360866833</v>
      </c>
      <c r="G8" s="5" t="n">
        <v>1</v>
      </c>
      <c r="H8" s="5" t="n">
        <v>0</v>
      </c>
      <c r="I8" s="5" t="n">
        <v>0</v>
      </c>
      <c r="J8" s="5" t="n">
        <v>0</v>
      </c>
      <c r="K8" s="5" t="n">
        <v>0</v>
      </c>
      <c r="L8" s="5" t="n">
        <v>0</v>
      </c>
      <c r="M8" s="5" t="n">
        <v>0</v>
      </c>
      <c r="N8" s="5" t="n">
        <v>0</v>
      </c>
      <c r="O8" s="5" t="n">
        <v>0</v>
      </c>
      <c r="P8" s="5" t="n">
        <v>0</v>
      </c>
      <c r="Q8" s="5" t="n">
        <v>1</v>
      </c>
      <c r="R8" s="5" t="n">
        <v>0</v>
      </c>
      <c r="S8" s="5" t="n">
        <v>0</v>
      </c>
      <c r="T8" s="5" t="n">
        <v>1</v>
      </c>
      <c r="U8" s="5" t="inlineStr">
        <is>
          <t>testing</t>
        </is>
      </c>
      <c r="V8" s="5" t="n">
        <v>0</v>
      </c>
    </row>
    <row r="9">
      <c r="A9" s="5" t="n">
        <v>5</v>
      </c>
      <c r="B9" s="5" t="n">
        <v>1</v>
      </c>
      <c r="C9" s="6" t="n">
        <v>0.275406400796963</v>
      </c>
      <c r="D9" s="6" t="n">
        <v>0.5665828163005111</v>
      </c>
      <c r="E9" s="6" t="n">
        <v>1.518548941387213</v>
      </c>
      <c r="F9" s="6" t="n">
        <v>0.01674764143977723</v>
      </c>
      <c r="G9" s="5" t="n">
        <v>1</v>
      </c>
      <c r="H9" s="5" t="n">
        <v>0</v>
      </c>
      <c r="I9" s="5" t="n">
        <v>0</v>
      </c>
      <c r="J9" s="5" t="n">
        <v>0</v>
      </c>
      <c r="K9" s="5" t="n">
        <v>1</v>
      </c>
      <c r="L9" s="5" t="n">
        <v>0</v>
      </c>
      <c r="M9" s="5" t="n">
        <v>0</v>
      </c>
      <c r="N9" s="5" t="n">
        <v>0</v>
      </c>
      <c r="O9" s="5" t="n">
        <v>0</v>
      </c>
      <c r="P9" s="5" t="n">
        <v>0</v>
      </c>
      <c r="Q9" s="5" t="n">
        <v>1</v>
      </c>
      <c r="R9" s="5" t="n">
        <v>1</v>
      </c>
      <c r="S9" s="5" t="n">
        <v>0</v>
      </c>
      <c r="T9" s="5" t="n">
        <v>0</v>
      </c>
      <c r="U9" s="5" t="inlineStr">
        <is>
          <t>training</t>
        </is>
      </c>
      <c r="V9" s="5" t="n">
        <v>1</v>
      </c>
    </row>
    <row r="10">
      <c r="A10" s="5" t="n">
        <v>6</v>
      </c>
      <c r="B10" s="5" t="n">
        <v>0</v>
      </c>
      <c r="C10" s="6" t="n">
        <v>1.286513816310289</v>
      </c>
      <c r="D10" s="6" t="n">
        <v>2.030883940639047</v>
      </c>
      <c r="E10" s="6" t="n">
        <v>-0.04696543117692405</v>
      </c>
      <c r="F10" s="6" t="n">
        <v>-0.8850484360866833</v>
      </c>
      <c r="G10" s="5" t="n">
        <v>0</v>
      </c>
      <c r="H10" s="5" t="n">
        <v>0</v>
      </c>
      <c r="I10" s="5" t="n">
        <v>0</v>
      </c>
      <c r="J10" s="5" t="n">
        <v>0</v>
      </c>
      <c r="K10" s="5" t="n">
        <v>0</v>
      </c>
      <c r="L10" s="5" t="n">
        <v>0</v>
      </c>
      <c r="M10" s="5" t="n">
        <v>0</v>
      </c>
      <c r="N10" s="5" t="n">
        <v>0</v>
      </c>
      <c r="O10" s="5" t="n">
        <v>1</v>
      </c>
      <c r="P10" s="5" t="n">
        <v>0</v>
      </c>
      <c r="Q10" s="5" t="n">
        <v>1</v>
      </c>
      <c r="R10" s="5" t="n">
        <v>0</v>
      </c>
      <c r="S10" s="5" t="n">
        <v>0</v>
      </c>
      <c r="T10" s="5" t="n">
        <v>0</v>
      </c>
      <c r="U10" s="5" t="inlineStr">
        <is>
          <t>testing</t>
        </is>
      </c>
      <c r="V10" s="5" t="n">
        <v>0</v>
      </c>
    </row>
    <row r="11">
      <c r="A11" s="5" t="n">
        <v>7</v>
      </c>
      <c r="B11" s="5" t="n">
        <v>0</v>
      </c>
      <c r="C11" s="6" t="n">
        <v>0.275406400796963</v>
      </c>
      <c r="D11" s="6" t="n">
        <v>-0.1454489132165548</v>
      </c>
      <c r="E11" s="6" t="n">
        <v>1.518548941387213</v>
      </c>
      <c r="F11" s="6" t="n">
        <v>0.01674764143977723</v>
      </c>
      <c r="G11" s="5" t="n">
        <v>0</v>
      </c>
      <c r="H11" s="5" t="n">
        <v>0</v>
      </c>
      <c r="I11" s="5" t="n">
        <v>0</v>
      </c>
      <c r="J11" s="5" t="n">
        <v>0</v>
      </c>
      <c r="K11" s="5" t="n">
        <v>0</v>
      </c>
      <c r="L11" s="5" t="n">
        <v>0</v>
      </c>
      <c r="M11" s="5" t="n">
        <v>1</v>
      </c>
      <c r="N11" s="5" t="n">
        <v>0</v>
      </c>
      <c r="O11" s="5" t="n">
        <v>0</v>
      </c>
      <c r="P11" s="5" t="n">
        <v>0</v>
      </c>
      <c r="Q11" s="5" t="n">
        <v>0</v>
      </c>
      <c r="R11" s="5" t="n">
        <v>0</v>
      </c>
      <c r="S11" s="5" t="n">
        <v>0</v>
      </c>
      <c r="T11" s="5" t="n">
        <v>1</v>
      </c>
      <c r="U11" s="5" t="inlineStr">
        <is>
          <t>training</t>
        </is>
      </c>
      <c r="V11" s="5" t="n">
        <v>0</v>
      </c>
    </row>
    <row r="12">
      <c r="A12" s="5" t="n">
        <v>8</v>
      </c>
      <c r="B12" s="5" t="n">
        <v>0</v>
      </c>
      <c r="C12" s="6" t="n">
        <v>1.286513816310289</v>
      </c>
      <c r="D12" s="6" t="n">
        <v>1.293659933714006</v>
      </c>
      <c r="E12" s="6" t="n">
        <v>-0.04696543117692405</v>
      </c>
      <c r="F12" s="6" t="n">
        <v>-0.8850484360866833</v>
      </c>
      <c r="G12" s="5" t="n">
        <v>0</v>
      </c>
      <c r="H12" s="5" t="n">
        <v>1</v>
      </c>
      <c r="I12" s="5" t="n">
        <v>0</v>
      </c>
      <c r="J12" s="5" t="n">
        <v>0</v>
      </c>
      <c r="K12" s="5" t="n">
        <v>0</v>
      </c>
      <c r="L12" s="5" t="n">
        <v>0</v>
      </c>
      <c r="M12" s="5" t="n">
        <v>0</v>
      </c>
      <c r="N12" s="5" t="n">
        <v>0</v>
      </c>
      <c r="O12" s="5" t="n">
        <v>0</v>
      </c>
      <c r="P12" s="5" t="n">
        <v>1</v>
      </c>
      <c r="Q12" s="5" t="n">
        <v>0</v>
      </c>
      <c r="R12" s="5" t="n">
        <v>1</v>
      </c>
      <c r="S12" s="5" t="n">
        <v>0</v>
      </c>
      <c r="T12" s="5" t="n">
        <v>0</v>
      </c>
      <c r="U12" s="5" t="inlineStr">
        <is>
          <t>training</t>
        </is>
      </c>
      <c r="V12" s="5" t="n">
        <v>1</v>
      </c>
    </row>
    <row r="13">
      <c r="A13" s="5" t="n">
        <v>9</v>
      </c>
      <c r="B13" s="5" t="n">
        <v>0</v>
      </c>
      <c r="C13" s="6" t="n">
        <v>-0.7357010147163632</v>
      </c>
      <c r="D13" s="6" t="n">
        <v>-0.06707293905841095</v>
      </c>
      <c r="E13" s="6" t="n">
        <v>2.214333106971274</v>
      </c>
      <c r="F13" s="6" t="n">
        <v>-0.8850484360866833</v>
      </c>
      <c r="G13" s="5" t="n">
        <v>0</v>
      </c>
      <c r="H13" s="5" t="n">
        <v>0</v>
      </c>
      <c r="I13" s="5" t="n">
        <v>0</v>
      </c>
      <c r="J13" s="5" t="n">
        <v>0</v>
      </c>
      <c r="K13" s="5" t="n">
        <v>0</v>
      </c>
      <c r="L13" s="5" t="n">
        <v>0</v>
      </c>
      <c r="M13" s="5" t="n">
        <v>0</v>
      </c>
      <c r="N13" s="5" t="n">
        <v>1</v>
      </c>
      <c r="O13" s="5" t="n">
        <v>0</v>
      </c>
      <c r="P13" s="5" t="n">
        <v>0</v>
      </c>
      <c r="Q13" s="5" t="n">
        <v>0</v>
      </c>
      <c r="R13" s="5" t="n">
        <v>0</v>
      </c>
      <c r="S13" s="5" t="n">
        <v>1</v>
      </c>
      <c r="T13" s="5" t="n">
        <v>0</v>
      </c>
      <c r="U13" s="5" t="inlineStr">
        <is>
          <t>training</t>
        </is>
      </c>
      <c r="V13" s="5" t="n">
        <v>0</v>
      </c>
    </row>
    <row r="14">
      <c r="A14" s="5" t="n">
        <v>10</v>
      </c>
      <c r="B14" s="5" t="n">
        <v>1</v>
      </c>
      <c r="C14" s="6" t="n">
        <v>0.7809601085536261</v>
      </c>
      <c r="D14" s="6" t="n">
        <v>0.6939437743074949</v>
      </c>
      <c r="E14" s="6" t="n">
        <v>-0.6557765760629775</v>
      </c>
      <c r="F14" s="6" t="n">
        <v>0.9185437189662378</v>
      </c>
      <c r="G14" s="5" t="n">
        <v>0</v>
      </c>
      <c r="H14" s="5" t="n">
        <v>1</v>
      </c>
      <c r="I14" s="5" t="n">
        <v>0</v>
      </c>
      <c r="J14" s="5" t="n">
        <v>1</v>
      </c>
      <c r="K14" s="5" t="n">
        <v>0</v>
      </c>
      <c r="L14" s="5" t="n">
        <v>0</v>
      </c>
      <c r="M14" s="5" t="n">
        <v>0</v>
      </c>
      <c r="N14" s="5" t="n">
        <v>0</v>
      </c>
      <c r="O14" s="5" t="n">
        <v>0</v>
      </c>
      <c r="P14" s="5" t="n">
        <v>0</v>
      </c>
      <c r="Q14" s="5" t="n">
        <v>0</v>
      </c>
      <c r="R14" s="5" t="n">
        <v>1</v>
      </c>
      <c r="S14" s="5" t="n">
        <v>0</v>
      </c>
      <c r="T14" s="5" t="n">
        <v>0</v>
      </c>
      <c r="U14" s="5" t="inlineStr">
        <is>
          <t>training</t>
        </is>
      </c>
      <c r="V14" s="5" t="n">
        <v>1</v>
      </c>
    </row>
    <row r="15">
      <c r="A15" s="5" t="n">
        <v>11</v>
      </c>
      <c r="B15" s="5" t="n">
        <v>1</v>
      </c>
      <c r="C15" s="6" t="n">
        <v>-0.7357010147163632</v>
      </c>
      <c r="D15" s="6" t="n">
        <v>-0.6842837355537938</v>
      </c>
      <c r="E15" s="6" t="n">
        <v>-0.9166956381570004</v>
      </c>
      <c r="F15" s="6" t="n">
        <v>0.01674764143977723</v>
      </c>
      <c r="G15" s="5" t="n">
        <v>0</v>
      </c>
      <c r="H15" s="5" t="n">
        <v>1</v>
      </c>
      <c r="I15" s="5" t="n">
        <v>0</v>
      </c>
      <c r="J15" s="5" t="n">
        <v>0</v>
      </c>
      <c r="K15" s="5" t="n">
        <v>0</v>
      </c>
      <c r="L15" s="5" t="n">
        <v>0</v>
      </c>
      <c r="M15" s="5" t="n">
        <v>0</v>
      </c>
      <c r="N15" s="5" t="n">
        <v>0</v>
      </c>
      <c r="O15" s="5" t="n">
        <v>0</v>
      </c>
      <c r="P15" s="5" t="n">
        <v>1</v>
      </c>
      <c r="Q15" s="5" t="n">
        <v>0</v>
      </c>
      <c r="R15" s="5" t="n">
        <v>1</v>
      </c>
      <c r="S15" s="5" t="n">
        <v>0</v>
      </c>
      <c r="T15" s="5" t="n">
        <v>0</v>
      </c>
      <c r="U15" s="5" t="inlineStr">
        <is>
          <t>training</t>
        </is>
      </c>
      <c r="V15" s="5" t="n">
        <v>1</v>
      </c>
    </row>
    <row r="16">
      <c r="A16" s="5" t="n">
        <v>12</v>
      </c>
      <c r="B16" s="5" t="n">
        <v>1</v>
      </c>
      <c r="C16" s="6" t="n">
        <v>2.297621231823615</v>
      </c>
      <c r="D16" s="6" t="n">
        <v>0.3699430954215965</v>
      </c>
      <c r="E16" s="6" t="n">
        <v>-1.003668658855008</v>
      </c>
      <c r="F16" s="6" t="n">
        <v>0.01674764143977723</v>
      </c>
      <c r="G16" s="5" t="n">
        <v>1</v>
      </c>
      <c r="H16" s="5" t="n">
        <v>0</v>
      </c>
      <c r="I16" s="5" t="n">
        <v>0</v>
      </c>
      <c r="J16" s="5" t="n">
        <v>0</v>
      </c>
      <c r="K16" s="5" t="n">
        <v>0</v>
      </c>
      <c r="L16" s="5" t="n">
        <v>0</v>
      </c>
      <c r="M16" s="5" t="n">
        <v>0</v>
      </c>
      <c r="N16" s="5" t="n">
        <v>0</v>
      </c>
      <c r="O16" s="5" t="n">
        <v>0</v>
      </c>
      <c r="P16" s="5" t="n">
        <v>1</v>
      </c>
      <c r="Q16" s="5" t="n">
        <v>0</v>
      </c>
      <c r="R16" s="5" t="n">
        <v>0</v>
      </c>
      <c r="S16" s="5" t="n">
        <v>0</v>
      </c>
      <c r="T16" s="5" t="n">
        <v>0</v>
      </c>
      <c r="U16" s="5" t="inlineStr">
        <is>
          <t>training</t>
        </is>
      </c>
      <c r="V16" s="5" t="n">
        <v>1</v>
      </c>
    </row>
    <row r="17">
      <c r="A17" s="5" t="n">
        <v>13</v>
      </c>
      <c r="B17" s="5" t="n">
        <v>0</v>
      </c>
      <c r="C17" s="6" t="n">
        <v>-0.7357010147163632</v>
      </c>
      <c r="D17" s="6" t="n">
        <v>-0.5891129097903335</v>
      </c>
      <c r="E17" s="6" t="n">
        <v>-1.177614700251023</v>
      </c>
      <c r="F17" s="6" t="n">
        <v>-1.786844513613144</v>
      </c>
      <c r="G17" s="5" t="n">
        <v>0</v>
      </c>
      <c r="H17" s="5" t="n">
        <v>1</v>
      </c>
      <c r="I17" s="5" t="n">
        <v>0</v>
      </c>
      <c r="J17" s="5" t="n">
        <v>0</v>
      </c>
      <c r="K17" s="5" t="n">
        <v>0</v>
      </c>
      <c r="L17" s="5" t="n">
        <v>0</v>
      </c>
      <c r="M17" s="5" t="n">
        <v>0</v>
      </c>
      <c r="N17" s="5" t="n">
        <v>0</v>
      </c>
      <c r="O17" s="5" t="n">
        <v>0</v>
      </c>
      <c r="P17" s="5" t="n">
        <v>0</v>
      </c>
      <c r="Q17" s="5" t="n">
        <v>0</v>
      </c>
      <c r="R17" s="5" t="n">
        <v>0</v>
      </c>
      <c r="S17" s="5" t="n">
        <v>1</v>
      </c>
      <c r="T17" s="5" t="n">
        <v>0</v>
      </c>
      <c r="U17" s="5" t="inlineStr">
        <is>
          <t>training</t>
        </is>
      </c>
      <c r="V17" s="5" t="n">
        <v>1</v>
      </c>
    </row>
    <row r="18">
      <c r="A18" s="5" t="n">
        <v>14</v>
      </c>
      <c r="B18" s="5" t="n">
        <v>1</v>
      </c>
      <c r="C18" s="6" t="n">
        <v>0.275406400796963</v>
      </c>
      <c r="D18" s="6" t="n">
        <v>-0.7178734387644269</v>
      </c>
      <c r="E18" s="6" t="n">
        <v>2.127360086273267</v>
      </c>
      <c r="F18" s="6" t="n">
        <v>0.9185437189662378</v>
      </c>
      <c r="G18" s="5" t="n">
        <v>1</v>
      </c>
      <c r="H18" s="5" t="n">
        <v>0</v>
      </c>
      <c r="I18" s="5" t="n">
        <v>0</v>
      </c>
      <c r="J18" s="5" t="n">
        <v>1</v>
      </c>
      <c r="K18" s="5" t="n">
        <v>0</v>
      </c>
      <c r="L18" s="5" t="n">
        <v>0</v>
      </c>
      <c r="M18" s="5" t="n">
        <v>0</v>
      </c>
      <c r="N18" s="5" t="n">
        <v>0</v>
      </c>
      <c r="O18" s="5" t="n">
        <v>0</v>
      </c>
      <c r="P18" s="5" t="n">
        <v>0</v>
      </c>
      <c r="Q18" s="5" t="n">
        <v>0</v>
      </c>
      <c r="R18" s="5" t="n">
        <v>1</v>
      </c>
      <c r="S18" s="5" t="n">
        <v>0</v>
      </c>
      <c r="T18" s="5" t="n">
        <v>0</v>
      </c>
      <c r="U18" s="5" t="inlineStr">
        <is>
          <t>training</t>
        </is>
      </c>
      <c r="V18" s="5" t="n">
        <v>1</v>
      </c>
    </row>
    <row r="19">
      <c r="A19" s="5" t="n">
        <v>15</v>
      </c>
      <c r="B19" s="5" t="n">
        <v>0</v>
      </c>
      <c r="C19" s="6" t="n">
        <v>-0.4829241608380317</v>
      </c>
      <c r="D19" s="6" t="n">
        <v>-0.6464953194418316</v>
      </c>
      <c r="E19" s="6" t="n">
        <v>-0.6557765760629775</v>
      </c>
      <c r="F19" s="6" t="n">
        <v>-0.8850484360866833</v>
      </c>
      <c r="G19" s="5" t="n">
        <v>1</v>
      </c>
      <c r="H19" s="5" t="n">
        <v>0</v>
      </c>
      <c r="I19" s="5" t="n">
        <v>0</v>
      </c>
      <c r="J19" s="5" t="n">
        <v>0</v>
      </c>
      <c r="K19" s="5" t="n">
        <v>0</v>
      </c>
      <c r="L19" s="5" t="n">
        <v>0</v>
      </c>
      <c r="M19" s="5" t="n">
        <v>0</v>
      </c>
      <c r="N19" s="5" t="n">
        <v>0</v>
      </c>
      <c r="O19" s="5" t="n">
        <v>0</v>
      </c>
      <c r="P19" s="5" t="n">
        <v>1</v>
      </c>
      <c r="Q19" s="5" t="n">
        <v>0</v>
      </c>
      <c r="R19" s="5" t="n">
        <v>1</v>
      </c>
      <c r="S19" s="5" t="n">
        <v>0</v>
      </c>
      <c r="T19" s="5" t="n">
        <v>0</v>
      </c>
      <c r="U19" s="5" t="inlineStr">
        <is>
          <t>testing</t>
        </is>
      </c>
      <c r="V19" s="5" t="n">
        <v>0</v>
      </c>
    </row>
    <row r="20">
      <c r="A20" s="5" t="n">
        <v>16</v>
      </c>
      <c r="B20" s="5" t="n">
        <v>1</v>
      </c>
      <c r="C20" s="6" t="n">
        <v>0.275406400796963</v>
      </c>
      <c r="D20" s="6" t="n">
        <v>-0.6888323411969004</v>
      </c>
      <c r="E20" s="6" t="n">
        <v>-0.307884493270947</v>
      </c>
      <c r="F20" s="6" t="n">
        <v>0.9185437189662378</v>
      </c>
      <c r="G20" s="5" t="n">
        <v>1</v>
      </c>
      <c r="H20" s="5" t="n">
        <v>0</v>
      </c>
      <c r="I20" s="5" t="n">
        <v>0</v>
      </c>
      <c r="J20" s="5" t="n">
        <v>0</v>
      </c>
      <c r="K20" s="5" t="n">
        <v>0</v>
      </c>
      <c r="L20" s="5" t="n">
        <v>0</v>
      </c>
      <c r="M20" s="5" t="n">
        <v>1</v>
      </c>
      <c r="N20" s="5" t="n">
        <v>0</v>
      </c>
      <c r="O20" s="5" t="n">
        <v>0</v>
      </c>
      <c r="P20" s="5" t="n">
        <v>0</v>
      </c>
      <c r="Q20" s="5" t="n">
        <v>0</v>
      </c>
      <c r="R20" s="5" t="n">
        <v>0</v>
      </c>
      <c r="S20" s="5" t="n">
        <v>1</v>
      </c>
      <c r="T20" s="5" t="n">
        <v>0</v>
      </c>
      <c r="U20" s="5" t="inlineStr">
        <is>
          <t>training</t>
        </is>
      </c>
      <c r="V20" s="5" t="n">
        <v>1</v>
      </c>
    </row>
    <row r="21">
      <c r="A21" s="5" t="n">
        <v>17</v>
      </c>
      <c r="B21" s="5" t="n">
        <v>0</v>
      </c>
      <c r="C21" s="6" t="n">
        <v>0.275406400796963</v>
      </c>
      <c r="D21" s="6" t="n">
        <v>-0.2892548300870777</v>
      </c>
      <c r="E21" s="6" t="n">
        <v>1.518548941387213</v>
      </c>
      <c r="F21" s="6" t="n">
        <v>0.9185437189662378</v>
      </c>
      <c r="G21" s="5" t="n">
        <v>0</v>
      </c>
      <c r="H21" s="5" t="n">
        <v>0</v>
      </c>
      <c r="I21" s="5" t="n">
        <v>0</v>
      </c>
      <c r="J21" s="5" t="n">
        <v>1</v>
      </c>
      <c r="K21" s="5" t="n">
        <v>0</v>
      </c>
      <c r="L21" s="5" t="n">
        <v>0</v>
      </c>
      <c r="M21" s="5" t="n">
        <v>0</v>
      </c>
      <c r="N21" s="5" t="n">
        <v>0</v>
      </c>
      <c r="O21" s="5" t="n">
        <v>1</v>
      </c>
      <c r="P21" s="5" t="n">
        <v>0</v>
      </c>
      <c r="Q21" s="5" t="n">
        <v>0</v>
      </c>
      <c r="R21" s="5" t="n">
        <v>0</v>
      </c>
      <c r="S21" s="5" t="n">
        <v>1</v>
      </c>
      <c r="T21" s="5" t="n">
        <v>0</v>
      </c>
      <c r="U21" s="5" t="inlineStr">
        <is>
          <t>training</t>
        </is>
      </c>
      <c r="V21" s="5" t="n">
        <v>1</v>
      </c>
    </row>
    <row r="22">
      <c r="A22" s="5" t="n">
        <v>18</v>
      </c>
      <c r="B22" s="5" t="n">
        <v>0</v>
      </c>
      <c r="C22" s="6" t="n">
        <v>0.7809601085536261</v>
      </c>
      <c r="D22" s="6" t="n">
        <v>1.686939375471836</v>
      </c>
      <c r="E22" s="6" t="n">
        <v>-0.9166956381570004</v>
      </c>
      <c r="F22" s="6" t="n">
        <v>-0.8850484360866833</v>
      </c>
      <c r="G22" s="5" t="n">
        <v>1</v>
      </c>
      <c r="H22" s="5" t="n">
        <v>0</v>
      </c>
      <c r="I22" s="5" t="n">
        <v>0</v>
      </c>
      <c r="J22" s="5" t="n">
        <v>0</v>
      </c>
      <c r="K22" s="5" t="n">
        <v>0</v>
      </c>
      <c r="L22" s="5" t="n">
        <v>1</v>
      </c>
      <c r="M22" s="5" t="n">
        <v>0</v>
      </c>
      <c r="N22" s="5" t="n">
        <v>0</v>
      </c>
      <c r="O22" s="5" t="n">
        <v>1</v>
      </c>
      <c r="P22" s="5" t="n">
        <v>0</v>
      </c>
      <c r="Q22" s="5" t="n">
        <v>0</v>
      </c>
      <c r="R22" s="5" t="n">
        <v>0</v>
      </c>
      <c r="S22" s="5" t="n">
        <v>0</v>
      </c>
      <c r="T22" s="5" t="n">
        <v>0</v>
      </c>
      <c r="U22" s="5" t="inlineStr">
        <is>
          <t>training</t>
        </is>
      </c>
      <c r="V22" s="5" t="n">
        <v>1</v>
      </c>
    </row>
    <row r="23">
      <c r="A23" s="5" t="n">
        <v>19</v>
      </c>
      <c r="B23" s="5" t="n">
        <v>1</v>
      </c>
      <c r="C23" s="6" t="n">
        <v>0.275406400796963</v>
      </c>
      <c r="D23" s="6" t="n">
        <v>3.263905962662703</v>
      </c>
      <c r="E23" s="6" t="n">
        <v>0.7357917551051447</v>
      </c>
      <c r="F23" s="6" t="n">
        <v>0.9185437189662378</v>
      </c>
      <c r="G23" s="5" t="n">
        <v>0</v>
      </c>
      <c r="H23" s="5" t="n">
        <v>1</v>
      </c>
      <c r="I23" s="5" t="n">
        <v>0</v>
      </c>
      <c r="J23" s="5" t="n">
        <v>0</v>
      </c>
      <c r="K23" s="5" t="n">
        <v>0</v>
      </c>
      <c r="L23" s="5" t="n">
        <v>0</v>
      </c>
      <c r="M23" s="5" t="n">
        <v>0</v>
      </c>
      <c r="N23" s="5" t="n">
        <v>0</v>
      </c>
      <c r="O23" s="5" t="n">
        <v>0</v>
      </c>
      <c r="P23" s="5" t="n">
        <v>0</v>
      </c>
      <c r="Q23" s="5" t="n">
        <v>1</v>
      </c>
      <c r="R23" s="5" t="n">
        <v>1</v>
      </c>
      <c r="S23" s="5" t="n">
        <v>0</v>
      </c>
      <c r="T23" s="5" t="n">
        <v>0</v>
      </c>
      <c r="U23" s="5" t="inlineStr">
        <is>
          <t>training</t>
        </is>
      </c>
      <c r="V23" s="5" t="n">
        <v>1</v>
      </c>
    </row>
    <row r="24">
      <c r="A24" s="5" t="n">
        <v>20</v>
      </c>
      <c r="B24" s="5" t="n">
        <v>0</v>
      </c>
      <c r="C24" s="6" t="n">
        <v>0.275406400796963</v>
      </c>
      <c r="D24" s="6" t="n">
        <v>0.06273726814101481</v>
      </c>
      <c r="E24" s="6" t="n">
        <v>-0.3948575139689546</v>
      </c>
      <c r="F24" s="6" t="n">
        <v>0.01674764143977723</v>
      </c>
      <c r="G24" s="5" t="n">
        <v>0</v>
      </c>
      <c r="H24" s="5" t="n">
        <v>0</v>
      </c>
      <c r="I24" s="5" t="n">
        <v>0</v>
      </c>
      <c r="J24" s="5" t="n">
        <v>0</v>
      </c>
      <c r="K24" s="5" t="n">
        <v>0</v>
      </c>
      <c r="L24" s="5" t="n">
        <v>0</v>
      </c>
      <c r="M24" s="5" t="n">
        <v>1</v>
      </c>
      <c r="N24" s="5" t="n">
        <v>0</v>
      </c>
      <c r="O24" s="5" t="n">
        <v>0</v>
      </c>
      <c r="P24" s="5" t="n">
        <v>0</v>
      </c>
      <c r="Q24" s="5" t="n">
        <v>0</v>
      </c>
      <c r="R24" s="5" t="n">
        <v>0</v>
      </c>
      <c r="S24" s="5" t="n">
        <v>1</v>
      </c>
      <c r="T24" s="5" t="n">
        <v>0</v>
      </c>
      <c r="U24" s="5" t="inlineStr">
        <is>
          <t>training</t>
        </is>
      </c>
      <c r="V24" s="5" t="n">
        <v>1</v>
      </c>
    </row>
    <row r="25">
      <c r="A25" s="5" t="n">
        <v>21</v>
      </c>
      <c r="B25" s="5" t="n">
        <v>0</v>
      </c>
      <c r="C25" s="6" t="n">
        <v>-0.9884778685946948</v>
      </c>
      <c r="D25" s="6" t="n">
        <v>-0.3907237252025318</v>
      </c>
      <c r="E25" s="6" t="n">
        <v>1.083683837897175</v>
      </c>
      <c r="F25" s="6" t="n">
        <v>0.9185437189662378</v>
      </c>
      <c r="G25" s="5" t="n">
        <v>0</v>
      </c>
      <c r="H25" s="5" t="n">
        <v>0</v>
      </c>
      <c r="I25" s="5" t="n">
        <v>0</v>
      </c>
      <c r="J25" s="5" t="n">
        <v>1</v>
      </c>
      <c r="K25" s="5" t="n">
        <v>0</v>
      </c>
      <c r="L25" s="5" t="n">
        <v>0</v>
      </c>
      <c r="M25" s="5" t="n">
        <v>0</v>
      </c>
      <c r="N25" s="5" t="n">
        <v>0</v>
      </c>
      <c r="O25" s="5" t="n">
        <v>0</v>
      </c>
      <c r="P25" s="5" t="n">
        <v>0</v>
      </c>
      <c r="Q25" s="5" t="n">
        <v>0</v>
      </c>
      <c r="R25" s="5" t="n">
        <v>1</v>
      </c>
      <c r="S25" s="5" t="n">
        <v>0</v>
      </c>
      <c r="T25" s="5" t="n">
        <v>0</v>
      </c>
      <c r="U25" s="5" t="inlineStr">
        <is>
          <t>training</t>
        </is>
      </c>
      <c r="V25" s="5" t="n">
        <v>1</v>
      </c>
    </row>
    <row r="26">
      <c r="A26" s="5" t="n">
        <v>22</v>
      </c>
      <c r="B26" s="5" t="n">
        <v>0</v>
      </c>
      <c r="C26" s="6" t="n">
        <v>-1.241254722473026</v>
      </c>
      <c r="D26" s="6" t="n">
        <v>-0.2112287486707113</v>
      </c>
      <c r="E26" s="6" t="n">
        <v>0.7357917551051447</v>
      </c>
      <c r="F26" s="6" t="n">
        <v>-0.8850484360866833</v>
      </c>
      <c r="G26" s="5" t="n">
        <v>1</v>
      </c>
      <c r="H26" s="5" t="n">
        <v>0</v>
      </c>
      <c r="I26" s="5" t="n">
        <v>0</v>
      </c>
      <c r="J26" s="5" t="n">
        <v>0</v>
      </c>
      <c r="K26" s="5" t="n">
        <v>0</v>
      </c>
      <c r="L26" s="5" t="n">
        <v>0</v>
      </c>
      <c r="M26" s="5" t="n">
        <v>1</v>
      </c>
      <c r="N26" s="5" t="n">
        <v>0</v>
      </c>
      <c r="O26" s="5" t="n">
        <v>0</v>
      </c>
      <c r="P26" s="5" t="n">
        <v>1</v>
      </c>
      <c r="Q26" s="5" t="n">
        <v>0</v>
      </c>
      <c r="R26" s="5" t="n">
        <v>0</v>
      </c>
      <c r="S26" s="5" t="n">
        <v>1</v>
      </c>
      <c r="T26" s="5" t="n">
        <v>0</v>
      </c>
      <c r="U26" s="5" t="inlineStr">
        <is>
          <t>testing</t>
        </is>
      </c>
      <c r="V26" s="5" t="n">
        <v>0</v>
      </c>
    </row>
    <row r="27">
      <c r="A27" s="5" t="n">
        <v>23</v>
      </c>
      <c r="B27" s="5" t="n">
        <v>0</v>
      </c>
      <c r="C27" s="6" t="n">
        <v>-0.9042189173019176</v>
      </c>
      <c r="D27" s="6" t="n">
        <v>-0.353285201832347</v>
      </c>
      <c r="E27" s="6" t="n">
        <v>1.083683837897175</v>
      </c>
      <c r="F27" s="6" t="n">
        <v>-1.786844513613144</v>
      </c>
      <c r="G27" s="5" t="n">
        <v>1</v>
      </c>
      <c r="H27" s="5" t="n">
        <v>0</v>
      </c>
      <c r="I27" s="5" t="n">
        <v>0</v>
      </c>
      <c r="J27" s="5" t="n">
        <v>1</v>
      </c>
      <c r="K27" s="5" t="n">
        <v>0</v>
      </c>
      <c r="L27" s="5" t="n">
        <v>0</v>
      </c>
      <c r="M27" s="5" t="n">
        <v>0</v>
      </c>
      <c r="N27" s="5" t="n">
        <v>0</v>
      </c>
      <c r="O27" s="5" t="n">
        <v>0</v>
      </c>
      <c r="P27" s="5" t="n">
        <v>1</v>
      </c>
      <c r="Q27" s="5" t="n">
        <v>0</v>
      </c>
      <c r="R27" s="5" t="n">
        <v>1</v>
      </c>
      <c r="S27" s="5" t="n">
        <v>0</v>
      </c>
      <c r="T27" s="5" t="n">
        <v>0</v>
      </c>
      <c r="U27" s="5" t="inlineStr">
        <is>
          <t>training</t>
        </is>
      </c>
      <c r="V27" s="5" t="n">
        <v>0</v>
      </c>
    </row>
    <row r="28">
      <c r="A28" s="5" t="n">
        <v>24</v>
      </c>
      <c r="B28" s="5" t="n">
        <v>0</v>
      </c>
      <c r="C28" s="6" t="n">
        <v>-0.7357010147163632</v>
      </c>
      <c r="D28" s="6" t="n">
        <v>-0.506188329989083</v>
      </c>
      <c r="E28" s="6" t="n">
        <v>0.7357917551051447</v>
      </c>
      <c r="F28" s="6" t="n">
        <v>0.01674764143977723</v>
      </c>
      <c r="G28" s="5" t="n">
        <v>0</v>
      </c>
      <c r="H28" s="5" t="n">
        <v>1</v>
      </c>
      <c r="I28" s="5" t="n">
        <v>0</v>
      </c>
      <c r="J28" s="5" t="n">
        <v>1</v>
      </c>
      <c r="K28" s="5" t="n">
        <v>0</v>
      </c>
      <c r="L28" s="5" t="n">
        <v>0</v>
      </c>
      <c r="M28" s="5" t="n">
        <v>1</v>
      </c>
      <c r="N28" s="5" t="n">
        <v>0</v>
      </c>
      <c r="O28" s="5" t="n">
        <v>0</v>
      </c>
      <c r="P28" s="5" t="n">
        <v>0</v>
      </c>
      <c r="Q28" s="5" t="n">
        <v>0</v>
      </c>
      <c r="R28" s="5" t="n">
        <v>1</v>
      </c>
      <c r="S28" s="5" t="n">
        <v>0</v>
      </c>
      <c r="T28" s="5" t="n">
        <v>0</v>
      </c>
      <c r="U28" s="5" t="inlineStr">
        <is>
          <t>training</t>
        </is>
      </c>
      <c r="V28" s="5" t="n">
        <v>1</v>
      </c>
    </row>
    <row r="29">
      <c r="A29" s="5" t="n">
        <v>25</v>
      </c>
      <c r="B29" s="5" t="n">
        <v>0</v>
      </c>
      <c r="C29" s="6" t="n">
        <v>-0.9042189173019176</v>
      </c>
      <c r="D29" s="6" t="n">
        <v>-0.4134667534180646</v>
      </c>
      <c r="E29" s="6" t="n">
        <v>-0.8297226174589928</v>
      </c>
      <c r="F29" s="6" t="n">
        <v>-0.8850484360866833</v>
      </c>
      <c r="G29" s="5" t="n">
        <v>0</v>
      </c>
      <c r="H29" s="5" t="n">
        <v>0</v>
      </c>
      <c r="I29" s="5" t="n">
        <v>0</v>
      </c>
      <c r="J29" s="5" t="n">
        <v>1</v>
      </c>
      <c r="K29" s="5" t="n">
        <v>0</v>
      </c>
      <c r="L29" s="5" t="n">
        <v>0</v>
      </c>
      <c r="M29" s="5" t="n">
        <v>0</v>
      </c>
      <c r="N29" s="5" t="n">
        <v>0</v>
      </c>
      <c r="O29" s="5" t="n">
        <v>1</v>
      </c>
      <c r="P29" s="5" t="n">
        <v>0</v>
      </c>
      <c r="Q29" s="5" t="n">
        <v>0</v>
      </c>
      <c r="R29" s="5" t="n">
        <v>0</v>
      </c>
      <c r="S29" s="5" t="n">
        <v>0</v>
      </c>
      <c r="T29" s="5" t="n">
        <v>1</v>
      </c>
      <c r="U29" s="5" t="inlineStr">
        <is>
          <t>training</t>
        </is>
      </c>
      <c r="V29" s="5" t="n">
        <v>0</v>
      </c>
    </row>
    <row r="30">
      <c r="A30" s="5" t="n">
        <v>26</v>
      </c>
      <c r="B30" s="5" t="n">
        <v>0</v>
      </c>
      <c r="C30" s="6" t="n">
        <v>-1.241254722473026</v>
      </c>
      <c r="D30" s="6" t="n">
        <v>-0.6566422089533771</v>
      </c>
      <c r="E30" s="6" t="n">
        <v>0.04000758952108359</v>
      </c>
      <c r="F30" s="6" t="n">
        <v>-1.786844513613144</v>
      </c>
      <c r="G30" s="5" t="n">
        <v>1</v>
      </c>
      <c r="H30" s="5" t="n">
        <v>0</v>
      </c>
      <c r="I30" s="5" t="n">
        <v>0</v>
      </c>
      <c r="J30" s="5" t="n">
        <v>0</v>
      </c>
      <c r="K30" s="5" t="n">
        <v>0</v>
      </c>
      <c r="L30" s="5" t="n">
        <v>0</v>
      </c>
      <c r="M30" s="5" t="n">
        <v>0</v>
      </c>
      <c r="N30" s="5" t="n">
        <v>0</v>
      </c>
      <c r="O30" s="5" t="n">
        <v>0</v>
      </c>
      <c r="P30" s="5" t="n">
        <v>0</v>
      </c>
      <c r="Q30" s="5" t="n">
        <v>0</v>
      </c>
      <c r="R30" s="5" t="n">
        <v>0</v>
      </c>
      <c r="S30" s="5" t="n">
        <v>0</v>
      </c>
      <c r="T30" s="5" t="n">
        <v>1</v>
      </c>
      <c r="U30" s="5" t="inlineStr">
        <is>
          <t>training</t>
        </is>
      </c>
      <c r="V30" s="5" t="n">
        <v>1</v>
      </c>
    </row>
    <row r="31">
      <c r="A31" s="5" t="n">
        <v>27</v>
      </c>
      <c r="B31" s="5" t="n">
        <v>0</v>
      </c>
      <c r="C31" s="6" t="n">
        <v>-1.241254722473026</v>
      </c>
      <c r="D31" s="6" t="n">
        <v>-0.9883405281583787</v>
      </c>
      <c r="E31" s="6" t="n">
        <v>0.3009266516151065</v>
      </c>
      <c r="F31" s="6" t="n">
        <v>0.9185437189662378</v>
      </c>
      <c r="G31" s="5" t="n">
        <v>0</v>
      </c>
      <c r="H31" s="5" t="n">
        <v>0</v>
      </c>
      <c r="I31" s="5" t="n">
        <v>0</v>
      </c>
      <c r="J31" s="5" t="n">
        <v>0</v>
      </c>
      <c r="K31" s="5" t="n">
        <v>0</v>
      </c>
      <c r="L31" s="5" t="n">
        <v>1</v>
      </c>
      <c r="M31" s="5" t="n">
        <v>0</v>
      </c>
      <c r="N31" s="5" t="n">
        <v>0</v>
      </c>
      <c r="O31" s="5" t="n">
        <v>0</v>
      </c>
      <c r="P31" s="5" t="n">
        <v>0</v>
      </c>
      <c r="Q31" s="5" t="n">
        <v>0</v>
      </c>
      <c r="R31" s="5" t="n">
        <v>0</v>
      </c>
      <c r="S31" s="5" t="n">
        <v>1</v>
      </c>
      <c r="T31" s="5" t="n">
        <v>0</v>
      </c>
      <c r="U31" s="5" t="inlineStr">
        <is>
          <t>training</t>
        </is>
      </c>
      <c r="V31" s="5" t="n">
        <v>0</v>
      </c>
    </row>
    <row r="32">
      <c r="A32" s="5" t="n">
        <v>28</v>
      </c>
      <c r="B32" s="5" t="n">
        <v>0</v>
      </c>
      <c r="C32" s="6" t="n">
        <v>-0.7357010147163632</v>
      </c>
      <c r="D32" s="6" t="n">
        <v>-0.994288704768595</v>
      </c>
      <c r="E32" s="6" t="n">
        <v>0.5618457137091294</v>
      </c>
      <c r="F32" s="6" t="n">
        <v>0.01674764143977723</v>
      </c>
      <c r="G32" s="5" t="n">
        <v>0</v>
      </c>
      <c r="H32" s="5" t="n">
        <v>0</v>
      </c>
      <c r="I32" s="5" t="n">
        <v>1</v>
      </c>
      <c r="J32" s="5" t="n">
        <v>0</v>
      </c>
      <c r="K32" s="5" t="n">
        <v>0</v>
      </c>
      <c r="L32" s="5" t="n">
        <v>1</v>
      </c>
      <c r="M32" s="5" t="n">
        <v>0</v>
      </c>
      <c r="N32" s="5" t="n">
        <v>1</v>
      </c>
      <c r="O32" s="5" t="n">
        <v>0</v>
      </c>
      <c r="P32" s="5" t="n">
        <v>1</v>
      </c>
      <c r="Q32" s="5" t="n">
        <v>0</v>
      </c>
      <c r="R32" s="5" t="n">
        <v>0</v>
      </c>
      <c r="S32" s="5" t="n">
        <v>1</v>
      </c>
      <c r="T32" s="5" t="n">
        <v>0</v>
      </c>
      <c r="U32" s="5" t="inlineStr">
        <is>
          <t>training</t>
        </is>
      </c>
      <c r="V32" s="5" t="n">
        <v>0</v>
      </c>
    </row>
    <row r="33">
      <c r="A33" s="5" t="n">
        <v>29</v>
      </c>
      <c r="B33" s="5" t="n">
        <v>0</v>
      </c>
      <c r="C33" s="6" t="n">
        <v>-1.156995771180249</v>
      </c>
      <c r="D33" s="6" t="n">
        <v>-0.2924038647630746</v>
      </c>
      <c r="E33" s="6" t="n">
        <v>-0.1339384518749317</v>
      </c>
      <c r="F33" s="6" t="n">
        <v>0.01674764143977723</v>
      </c>
      <c r="G33" s="5" t="n">
        <v>0</v>
      </c>
      <c r="H33" s="5" t="n">
        <v>1</v>
      </c>
      <c r="I33" s="5" t="n">
        <v>0</v>
      </c>
      <c r="J33" s="5" t="n">
        <v>0</v>
      </c>
      <c r="K33" s="5" t="n">
        <v>0</v>
      </c>
      <c r="L33" s="5" t="n">
        <v>0</v>
      </c>
      <c r="M33" s="5" t="n">
        <v>0</v>
      </c>
      <c r="N33" s="5" t="n">
        <v>0</v>
      </c>
      <c r="O33" s="5" t="n">
        <v>0</v>
      </c>
      <c r="P33" s="5" t="n">
        <v>0</v>
      </c>
      <c r="Q33" s="5" t="n">
        <v>0</v>
      </c>
      <c r="R33" s="5" t="n">
        <v>0</v>
      </c>
      <c r="S33" s="5" t="n">
        <v>1</v>
      </c>
      <c r="T33" s="5" t="n">
        <v>0</v>
      </c>
      <c r="U33" s="5" t="inlineStr">
        <is>
          <t>training</t>
        </is>
      </c>
      <c r="V33" s="5" t="n">
        <v>0</v>
      </c>
    </row>
    <row r="34">
      <c r="A34" s="5" t="n">
        <v>30</v>
      </c>
      <c r="B34" s="5" t="n">
        <v>1</v>
      </c>
      <c r="C34" s="6" t="n">
        <v>3.308728647336942</v>
      </c>
      <c r="D34" s="6" t="n">
        <v>1.254471946634934</v>
      </c>
      <c r="E34" s="6" t="n">
        <v>2.38827914836729</v>
      </c>
      <c r="F34" s="6" t="n">
        <v>0.01674764143977723</v>
      </c>
      <c r="G34" s="5" t="n">
        <v>1</v>
      </c>
      <c r="H34" s="5" t="n">
        <v>0</v>
      </c>
      <c r="I34" s="5" t="n">
        <v>0</v>
      </c>
      <c r="J34" s="5" t="n">
        <v>0</v>
      </c>
      <c r="K34" s="5" t="n">
        <v>1</v>
      </c>
      <c r="L34" s="5" t="n">
        <v>0</v>
      </c>
      <c r="M34" s="5" t="n">
        <v>0</v>
      </c>
      <c r="N34" s="5" t="n">
        <v>0</v>
      </c>
      <c r="O34" s="5" t="n">
        <v>0</v>
      </c>
      <c r="P34" s="5" t="n">
        <v>0</v>
      </c>
      <c r="Q34" s="5" t="n">
        <v>0</v>
      </c>
      <c r="R34" s="5" t="n">
        <v>0</v>
      </c>
      <c r="S34" s="5" t="n">
        <v>0</v>
      </c>
      <c r="T34" s="5" t="n">
        <v>0</v>
      </c>
      <c r="U34" s="5" t="inlineStr">
        <is>
          <t>testing</t>
        </is>
      </c>
      <c r="V34" s="5" t="n">
        <v>0</v>
      </c>
    </row>
    <row r="35">
      <c r="A35" s="5" t="n">
        <v>31</v>
      </c>
      <c r="B35" s="5" t="n">
        <v>0</v>
      </c>
      <c r="C35" s="6" t="n">
        <v>-0.2301473069597001</v>
      </c>
      <c r="D35" s="6" t="n">
        <v>-0.4680500211353434</v>
      </c>
      <c r="E35" s="6" t="n">
        <v>0.04000758952108359</v>
      </c>
      <c r="F35" s="6" t="n">
        <v>0.01674764143977723</v>
      </c>
      <c r="G35" s="5" t="n">
        <v>0</v>
      </c>
      <c r="H35" s="5" t="n">
        <v>1</v>
      </c>
      <c r="I35" s="5" t="n">
        <v>0</v>
      </c>
      <c r="J35" s="5" t="n">
        <v>0</v>
      </c>
      <c r="K35" s="5" t="n">
        <v>0</v>
      </c>
      <c r="L35" s="5" t="n">
        <v>0</v>
      </c>
      <c r="M35" s="5" t="n">
        <v>0</v>
      </c>
      <c r="N35" s="5" t="n">
        <v>1</v>
      </c>
      <c r="O35" s="5" t="n">
        <v>0</v>
      </c>
      <c r="P35" s="5" t="n">
        <v>0</v>
      </c>
      <c r="Q35" s="5" t="n">
        <v>0</v>
      </c>
      <c r="R35" s="5" t="n">
        <v>0</v>
      </c>
      <c r="S35" s="5" t="n">
        <v>0</v>
      </c>
      <c r="T35" s="5" t="n">
        <v>0</v>
      </c>
      <c r="U35" s="5" t="inlineStr">
        <is>
          <t>training</t>
        </is>
      </c>
      <c r="V35" s="5" t="n">
        <v>0</v>
      </c>
    </row>
    <row r="36">
      <c r="A36" s="5" t="n">
        <v>32</v>
      </c>
      <c r="B36" s="5" t="n">
        <v>0</v>
      </c>
      <c r="C36" s="6" t="n">
        <v>0.275406400796963</v>
      </c>
      <c r="D36" s="6" t="n">
        <v>0.2691739857896973</v>
      </c>
      <c r="E36" s="6" t="n">
        <v>-0.7427495967609852</v>
      </c>
      <c r="F36" s="6" t="n">
        <v>-0.8850484360866833</v>
      </c>
      <c r="G36" s="5" t="n">
        <v>1</v>
      </c>
      <c r="H36" s="5" t="n">
        <v>0</v>
      </c>
      <c r="I36" s="5" t="n">
        <v>0</v>
      </c>
      <c r="J36" s="5" t="n">
        <v>0</v>
      </c>
      <c r="K36" s="5" t="n">
        <v>0</v>
      </c>
      <c r="L36" s="5" t="n">
        <v>0</v>
      </c>
      <c r="M36" s="5" t="n">
        <v>0</v>
      </c>
      <c r="N36" s="5" t="n">
        <v>0</v>
      </c>
      <c r="O36" s="5" t="n">
        <v>0</v>
      </c>
      <c r="P36" s="5" t="n">
        <v>0</v>
      </c>
      <c r="Q36" s="5" t="n">
        <v>0</v>
      </c>
      <c r="R36" s="5" t="n">
        <v>0</v>
      </c>
      <c r="S36" s="5" t="n">
        <v>0</v>
      </c>
      <c r="T36" s="5" t="n">
        <v>1</v>
      </c>
      <c r="U36" s="5" t="inlineStr">
        <is>
          <t>testing</t>
        </is>
      </c>
      <c r="V36" s="5" t="n">
        <v>0</v>
      </c>
    </row>
    <row r="37">
      <c r="A37" s="5" t="n">
        <v>33</v>
      </c>
      <c r="B37" s="5" t="n">
        <v>0</v>
      </c>
      <c r="C37" s="6" t="n">
        <v>-0.2301473069597001</v>
      </c>
      <c r="D37" s="6" t="n">
        <v>0.9150759871108293</v>
      </c>
      <c r="E37" s="6" t="n">
        <v>-0.4818305346669622</v>
      </c>
      <c r="F37" s="6" t="n">
        <v>-0.8850484360866833</v>
      </c>
      <c r="G37" s="5" t="n">
        <v>0</v>
      </c>
      <c r="H37" s="5" t="n">
        <v>1</v>
      </c>
      <c r="I37" s="5" t="n">
        <v>0</v>
      </c>
      <c r="J37" s="5" t="n">
        <v>0</v>
      </c>
      <c r="K37" s="5" t="n">
        <v>0</v>
      </c>
      <c r="L37" s="5" t="n">
        <v>0</v>
      </c>
      <c r="M37" s="5" t="n">
        <v>1</v>
      </c>
      <c r="N37" s="5" t="n">
        <v>0</v>
      </c>
      <c r="O37" s="5" t="n">
        <v>0</v>
      </c>
      <c r="P37" s="5" t="n">
        <v>0</v>
      </c>
      <c r="Q37" s="5" t="n">
        <v>0</v>
      </c>
      <c r="R37" s="5" t="n">
        <v>1</v>
      </c>
      <c r="S37" s="5" t="n">
        <v>0</v>
      </c>
      <c r="T37" s="5" t="n">
        <v>0</v>
      </c>
      <c r="U37" s="5" t="inlineStr">
        <is>
          <t>training</t>
        </is>
      </c>
      <c r="V37" s="5" t="n">
        <v>1</v>
      </c>
    </row>
    <row r="38">
      <c r="A38" s="5" t="n">
        <v>34</v>
      </c>
      <c r="B38" s="5" t="n">
        <v>0</v>
      </c>
      <c r="C38" s="6" t="n">
        <v>-0.7357010147163632</v>
      </c>
      <c r="D38" s="6" t="n">
        <v>-0.6951304105488941</v>
      </c>
      <c r="E38" s="6" t="n">
        <v>1.866441024179244</v>
      </c>
      <c r="F38" s="6" t="n">
        <v>0.9185437189662378</v>
      </c>
      <c r="G38" s="5" t="n">
        <v>0</v>
      </c>
      <c r="H38" s="5" t="n">
        <v>0</v>
      </c>
      <c r="I38" s="5" t="n">
        <v>0</v>
      </c>
      <c r="J38" s="5" t="n">
        <v>1</v>
      </c>
      <c r="K38" s="5" t="n">
        <v>0</v>
      </c>
      <c r="L38" s="5" t="n">
        <v>0</v>
      </c>
      <c r="M38" s="5" t="n">
        <v>0</v>
      </c>
      <c r="N38" s="5" t="n">
        <v>0</v>
      </c>
      <c r="O38" s="5" t="n">
        <v>1</v>
      </c>
      <c r="P38" s="5" t="n">
        <v>1</v>
      </c>
      <c r="Q38" s="5" t="n">
        <v>0</v>
      </c>
      <c r="R38" s="5" t="n">
        <v>0</v>
      </c>
      <c r="S38" s="5" t="n">
        <v>0</v>
      </c>
      <c r="T38" s="5" t="n">
        <v>0</v>
      </c>
      <c r="U38" s="5" t="inlineStr">
        <is>
          <t>training</t>
        </is>
      </c>
      <c r="V38" s="5" t="n">
        <v>0</v>
      </c>
    </row>
    <row r="39">
      <c r="A39" s="5" t="n">
        <v>35</v>
      </c>
      <c r="B39" s="5" t="n">
        <v>0</v>
      </c>
      <c r="C39" s="6" t="n">
        <v>-0.7357010147163632</v>
      </c>
      <c r="D39" s="6" t="n">
        <v>-0.6216529347756342</v>
      </c>
      <c r="E39" s="6" t="n">
        <v>-0.2209114725729393</v>
      </c>
      <c r="F39" s="6" t="n">
        <v>0.9185437189662378</v>
      </c>
      <c r="G39" s="5" t="n">
        <v>0</v>
      </c>
      <c r="H39" s="5" t="n">
        <v>0</v>
      </c>
      <c r="I39" s="5" t="n">
        <v>1</v>
      </c>
      <c r="J39" s="5" t="n">
        <v>0</v>
      </c>
      <c r="K39" s="5" t="n">
        <v>0</v>
      </c>
      <c r="L39" s="5" t="n">
        <v>0</v>
      </c>
      <c r="M39" s="5" t="n">
        <v>0</v>
      </c>
      <c r="N39" s="5" t="n">
        <v>0</v>
      </c>
      <c r="O39" s="5" t="n">
        <v>0</v>
      </c>
      <c r="P39" s="5" t="n">
        <v>0</v>
      </c>
      <c r="Q39" s="5" t="n">
        <v>0</v>
      </c>
      <c r="R39" s="5" t="n">
        <v>0</v>
      </c>
      <c r="S39" s="5" t="n">
        <v>0</v>
      </c>
      <c r="T39" s="5" t="n">
        <v>1</v>
      </c>
      <c r="U39" s="5" t="inlineStr">
        <is>
          <t>testing</t>
        </is>
      </c>
      <c r="V39" s="5" t="n">
        <v>0</v>
      </c>
    </row>
    <row r="40">
      <c r="A40" s="5" t="n">
        <v>36</v>
      </c>
      <c r="B40" s="5" t="n">
        <v>1</v>
      </c>
      <c r="C40" s="6" t="n">
        <v>2.044844377945284</v>
      </c>
      <c r="D40" s="6" t="n">
        <v>0.52319611632011</v>
      </c>
      <c r="E40" s="6" t="n">
        <v>-0.9166956381570004</v>
      </c>
      <c r="F40" s="6" t="n">
        <v>0.9185437189662378</v>
      </c>
      <c r="G40" s="5" t="n">
        <v>0</v>
      </c>
      <c r="H40" s="5" t="n">
        <v>1</v>
      </c>
      <c r="I40" s="5" t="n">
        <v>0</v>
      </c>
      <c r="J40" s="5" t="n">
        <v>1</v>
      </c>
      <c r="K40" s="5" t="n">
        <v>0</v>
      </c>
      <c r="L40" s="5" t="n">
        <v>0</v>
      </c>
      <c r="M40" s="5" t="n">
        <v>0</v>
      </c>
      <c r="N40" s="5" t="n">
        <v>0</v>
      </c>
      <c r="O40" s="5" t="n">
        <v>0</v>
      </c>
      <c r="P40" s="5" t="n">
        <v>0</v>
      </c>
      <c r="Q40" s="5" t="n">
        <v>0</v>
      </c>
      <c r="R40" s="5" t="n">
        <v>0</v>
      </c>
      <c r="S40" s="5" t="n">
        <v>1</v>
      </c>
      <c r="T40" s="5" t="n">
        <v>0</v>
      </c>
      <c r="U40" s="5" t="inlineStr">
        <is>
          <t>training</t>
        </is>
      </c>
      <c r="V40" s="5" t="n">
        <v>1</v>
      </c>
    </row>
    <row r="41">
      <c r="A41" s="5" t="n">
        <v>37</v>
      </c>
      <c r="B41" s="5" t="n">
        <v>0</v>
      </c>
      <c r="C41" s="6" t="n">
        <v>2.297621231823615</v>
      </c>
      <c r="D41" s="6" t="n">
        <v>1.000449816104522</v>
      </c>
      <c r="E41" s="6" t="n">
        <v>-0.3948575139689546</v>
      </c>
      <c r="F41" s="6" t="n">
        <v>-1.786844513613144</v>
      </c>
      <c r="G41" s="5" t="n">
        <v>0</v>
      </c>
      <c r="H41" s="5" t="n">
        <v>0</v>
      </c>
      <c r="I41" s="5" t="n">
        <v>0</v>
      </c>
      <c r="J41" s="5" t="n">
        <v>1</v>
      </c>
      <c r="K41" s="5" t="n">
        <v>0</v>
      </c>
      <c r="L41" s="5" t="n">
        <v>0</v>
      </c>
      <c r="M41" s="5" t="n">
        <v>0</v>
      </c>
      <c r="N41" s="5" t="n">
        <v>0</v>
      </c>
      <c r="O41" s="5" t="n">
        <v>0</v>
      </c>
      <c r="P41" s="5" t="n">
        <v>0</v>
      </c>
      <c r="Q41" s="5" t="n">
        <v>1</v>
      </c>
      <c r="R41" s="5" t="n">
        <v>0</v>
      </c>
      <c r="S41" s="5" t="n">
        <v>0</v>
      </c>
      <c r="T41" s="5" t="n">
        <v>0</v>
      </c>
      <c r="U41" s="5" t="inlineStr">
        <is>
          <t>testing</t>
        </is>
      </c>
      <c r="V41" s="5" t="n">
        <v>0</v>
      </c>
    </row>
    <row r="42">
      <c r="A42" s="5" t="n">
        <v>38</v>
      </c>
      <c r="B42" s="5" t="n">
        <v>1</v>
      </c>
      <c r="C42" s="6" t="n">
        <v>-0.2301473069597001</v>
      </c>
      <c r="D42" s="6" t="n">
        <v>-0.4026200784229644</v>
      </c>
      <c r="E42" s="6" t="n">
        <v>0.1269806102190912</v>
      </c>
      <c r="F42" s="6" t="n">
        <v>0.9185437189662378</v>
      </c>
      <c r="G42" s="5" t="n">
        <v>0</v>
      </c>
      <c r="H42" s="5" t="n">
        <v>0</v>
      </c>
      <c r="I42" s="5" t="n">
        <v>1</v>
      </c>
      <c r="J42" s="5" t="n">
        <v>0</v>
      </c>
      <c r="K42" s="5" t="n">
        <v>0</v>
      </c>
      <c r="L42" s="5" t="n">
        <v>0</v>
      </c>
      <c r="M42" s="5" t="n">
        <v>0</v>
      </c>
      <c r="N42" s="5" t="n">
        <v>0</v>
      </c>
      <c r="O42" s="5" t="n">
        <v>0</v>
      </c>
      <c r="P42" s="5" t="n">
        <v>0</v>
      </c>
      <c r="Q42" s="5" t="n">
        <v>0</v>
      </c>
      <c r="R42" s="5" t="n">
        <v>0</v>
      </c>
      <c r="S42" s="5" t="n">
        <v>1</v>
      </c>
      <c r="T42" s="5" t="n">
        <v>0</v>
      </c>
      <c r="U42" s="5" t="inlineStr">
        <is>
          <t>training</t>
        </is>
      </c>
      <c r="V42" s="5" t="n">
        <v>1</v>
      </c>
    </row>
    <row r="43">
      <c r="A43" s="5" t="n">
        <v>39</v>
      </c>
      <c r="B43" s="5" t="n">
        <v>0</v>
      </c>
      <c r="C43" s="6" t="n">
        <v>-0.9042189173019176</v>
      </c>
      <c r="D43" s="6" t="n">
        <v>-0.7087762274782138</v>
      </c>
      <c r="E43" s="6" t="n">
        <v>0.1269806102190912</v>
      </c>
      <c r="F43" s="6" t="n">
        <v>-0.8850484360866833</v>
      </c>
      <c r="G43" s="5" t="n">
        <v>0</v>
      </c>
      <c r="H43" s="5" t="n">
        <v>0</v>
      </c>
      <c r="I43" s="5" t="n">
        <v>1</v>
      </c>
      <c r="J43" s="5" t="n">
        <v>0</v>
      </c>
      <c r="K43" s="5" t="n">
        <v>0</v>
      </c>
      <c r="L43" s="5" t="n">
        <v>0</v>
      </c>
      <c r="M43" s="5" t="n">
        <v>0</v>
      </c>
      <c r="N43" s="5" t="n">
        <v>0</v>
      </c>
      <c r="O43" s="5" t="n">
        <v>0</v>
      </c>
      <c r="P43" s="5" t="n">
        <v>0</v>
      </c>
      <c r="Q43" s="5" t="n">
        <v>0</v>
      </c>
      <c r="R43" s="5" t="n">
        <v>0</v>
      </c>
      <c r="S43" s="5" t="n">
        <v>0</v>
      </c>
      <c r="T43" s="5" t="n">
        <v>0</v>
      </c>
      <c r="U43" s="5" t="inlineStr">
        <is>
          <t>training</t>
        </is>
      </c>
      <c r="V43" s="5" t="n">
        <v>1</v>
      </c>
    </row>
    <row r="44">
      <c r="A44" s="5" t="n">
        <v>40</v>
      </c>
      <c r="B44" s="5" t="n">
        <v>0</v>
      </c>
      <c r="C44" s="6" t="n">
        <v>-0.9884778685946948</v>
      </c>
      <c r="D44" s="6" t="n">
        <v>-0.9771439604215011</v>
      </c>
      <c r="E44" s="6" t="n">
        <v>-1.003668658855008</v>
      </c>
      <c r="F44" s="6" t="n">
        <v>0.9185437189662378</v>
      </c>
      <c r="G44" s="5" t="n">
        <v>0</v>
      </c>
      <c r="H44" s="5" t="n">
        <v>1</v>
      </c>
      <c r="I44" s="5" t="n">
        <v>0</v>
      </c>
      <c r="J44" s="5" t="n">
        <v>0</v>
      </c>
      <c r="K44" s="5" t="n">
        <v>0</v>
      </c>
      <c r="L44" s="5" t="n">
        <v>0</v>
      </c>
      <c r="M44" s="5" t="n">
        <v>0</v>
      </c>
      <c r="N44" s="5" t="n">
        <v>0</v>
      </c>
      <c r="O44" s="5" t="n">
        <v>0</v>
      </c>
      <c r="P44" s="5" t="n">
        <v>0</v>
      </c>
      <c r="Q44" s="5" t="n">
        <v>0</v>
      </c>
      <c r="R44" s="5" t="n">
        <v>0</v>
      </c>
      <c r="S44" s="5" t="n">
        <v>1</v>
      </c>
      <c r="T44" s="5" t="n">
        <v>0</v>
      </c>
      <c r="U44" s="5" t="inlineStr">
        <is>
          <t>training</t>
        </is>
      </c>
      <c r="V44" s="5" t="n">
        <v>1</v>
      </c>
    </row>
    <row r="45">
      <c r="A45" s="5" t="n">
        <v>41</v>
      </c>
      <c r="B45" s="5" t="n">
        <v>0</v>
      </c>
      <c r="C45" s="6" t="n">
        <v>0.7809601085536261</v>
      </c>
      <c r="D45" s="6" t="n">
        <v>-0.3210950695888237</v>
      </c>
      <c r="E45" s="6" t="n">
        <v>-0.4818305346669622</v>
      </c>
      <c r="F45" s="6" t="n">
        <v>0.9185437189662378</v>
      </c>
      <c r="G45" s="5" t="n">
        <v>0</v>
      </c>
      <c r="H45" s="5" t="n">
        <v>0</v>
      </c>
      <c r="I45" s="5" t="n">
        <v>0</v>
      </c>
      <c r="J45" s="5" t="n">
        <v>0</v>
      </c>
      <c r="K45" s="5" t="n">
        <v>0</v>
      </c>
      <c r="L45" s="5" t="n">
        <v>0</v>
      </c>
      <c r="M45" s="5" t="n">
        <v>1</v>
      </c>
      <c r="N45" s="5" t="n">
        <v>0</v>
      </c>
      <c r="O45" s="5" t="n">
        <v>0</v>
      </c>
      <c r="P45" s="5" t="n">
        <v>0</v>
      </c>
      <c r="Q45" s="5" t="n">
        <v>0</v>
      </c>
      <c r="R45" s="5" t="n">
        <v>0</v>
      </c>
      <c r="S45" s="5" t="n">
        <v>1</v>
      </c>
      <c r="T45" s="5" t="n">
        <v>0</v>
      </c>
      <c r="U45" s="5" t="inlineStr">
        <is>
          <t>testing</t>
        </is>
      </c>
      <c r="V45" s="5" t="n">
        <v>0</v>
      </c>
    </row>
    <row r="46">
      <c r="A46" s="5" t="n">
        <v>42</v>
      </c>
      <c r="B46" s="5" t="n">
        <v>0</v>
      </c>
      <c r="C46" s="6" t="n">
        <v>-0.7357010147163632</v>
      </c>
      <c r="D46" s="6" t="n">
        <v>-0.7322190411773015</v>
      </c>
      <c r="E46" s="6" t="n">
        <v>-0.8297226174589928</v>
      </c>
      <c r="F46" s="6" t="n">
        <v>0.01674764143977723</v>
      </c>
      <c r="G46" s="5" t="n">
        <v>0</v>
      </c>
      <c r="H46" s="5" t="n">
        <v>1</v>
      </c>
      <c r="I46" s="5" t="n">
        <v>0</v>
      </c>
      <c r="J46" s="5" t="n">
        <v>0</v>
      </c>
      <c r="K46" s="5" t="n">
        <v>0</v>
      </c>
      <c r="L46" s="5" t="n">
        <v>0</v>
      </c>
      <c r="M46" s="5" t="n">
        <v>1</v>
      </c>
      <c r="N46" s="5" t="n">
        <v>0</v>
      </c>
      <c r="O46" s="5" t="n">
        <v>0</v>
      </c>
      <c r="P46" s="5" t="n">
        <v>0</v>
      </c>
      <c r="Q46" s="5" t="n">
        <v>0</v>
      </c>
      <c r="R46" s="5" t="n">
        <v>0</v>
      </c>
      <c r="S46" s="5" t="n">
        <v>1</v>
      </c>
      <c r="T46" s="5" t="n">
        <v>0</v>
      </c>
      <c r="U46" s="5" t="inlineStr">
        <is>
          <t>training</t>
        </is>
      </c>
      <c r="V46" s="5" t="n">
        <v>0</v>
      </c>
    </row>
    <row r="47">
      <c r="A47" s="5" t="n">
        <v>43</v>
      </c>
      <c r="B47" s="5" t="n">
        <v>0</v>
      </c>
      <c r="C47" s="6" t="n">
        <v>-0.2301473069597001</v>
      </c>
      <c r="D47" s="6" t="n">
        <v>1.0333397338316</v>
      </c>
      <c r="E47" s="6" t="n">
        <v>0.7357917551051447</v>
      </c>
      <c r="F47" s="6" t="n">
        <v>-0.8850484360866833</v>
      </c>
      <c r="G47" s="5" t="n">
        <v>0</v>
      </c>
      <c r="H47" s="5" t="n">
        <v>1</v>
      </c>
      <c r="I47" s="5" t="n">
        <v>0</v>
      </c>
      <c r="J47" s="5" t="n">
        <v>0</v>
      </c>
      <c r="K47" s="5" t="n">
        <v>1</v>
      </c>
      <c r="L47" s="5" t="n">
        <v>0</v>
      </c>
      <c r="M47" s="5" t="n">
        <v>0</v>
      </c>
      <c r="N47" s="5" t="n">
        <v>0</v>
      </c>
      <c r="O47" s="5" t="n">
        <v>0</v>
      </c>
      <c r="P47" s="5" t="n">
        <v>0</v>
      </c>
      <c r="Q47" s="5" t="n">
        <v>0</v>
      </c>
      <c r="R47" s="5" t="n">
        <v>0</v>
      </c>
      <c r="S47" s="5" t="n">
        <v>0</v>
      </c>
      <c r="T47" s="5" t="n">
        <v>0</v>
      </c>
      <c r="U47" s="5" t="inlineStr">
        <is>
          <t>training</t>
        </is>
      </c>
      <c r="V47" s="5" t="n">
        <v>0</v>
      </c>
    </row>
    <row r="48">
      <c r="A48" s="5" t="n">
        <v>44</v>
      </c>
      <c r="B48" s="5" t="n">
        <v>0</v>
      </c>
      <c r="C48" s="6" t="n">
        <v>0.7809601085536261</v>
      </c>
      <c r="D48" s="6" t="n">
        <v>1.027391557221384</v>
      </c>
      <c r="E48" s="6" t="n">
        <v>-1.003668658855008</v>
      </c>
      <c r="F48" s="6" t="n">
        <v>-1.786844513613144</v>
      </c>
      <c r="G48" s="5" t="n">
        <v>1</v>
      </c>
      <c r="H48" s="5" t="n">
        <v>0</v>
      </c>
      <c r="I48" s="5" t="n">
        <v>0</v>
      </c>
      <c r="J48" s="5" t="n">
        <v>1</v>
      </c>
      <c r="K48" s="5" t="n">
        <v>0</v>
      </c>
      <c r="L48" s="5" t="n">
        <v>0</v>
      </c>
      <c r="M48" s="5" t="n">
        <v>1</v>
      </c>
      <c r="N48" s="5" t="n">
        <v>0</v>
      </c>
      <c r="O48" s="5" t="n">
        <v>0</v>
      </c>
      <c r="P48" s="5" t="n">
        <v>1</v>
      </c>
      <c r="Q48" s="5" t="n">
        <v>0</v>
      </c>
      <c r="R48" s="5" t="n">
        <v>1</v>
      </c>
      <c r="S48" s="5" t="n">
        <v>0</v>
      </c>
      <c r="T48" s="5" t="n">
        <v>0</v>
      </c>
      <c r="U48" s="5" t="inlineStr">
        <is>
          <t>testing</t>
        </is>
      </c>
      <c r="V48" s="5" t="n">
        <v>0</v>
      </c>
    </row>
    <row r="49">
      <c r="A49" s="5" t="n">
        <v>45</v>
      </c>
      <c r="B49" s="5" t="n">
        <v>1</v>
      </c>
      <c r="C49" s="6" t="n">
        <v>2.297621231823615</v>
      </c>
      <c r="D49" s="6" t="n">
        <v>1.011996276583177</v>
      </c>
      <c r="E49" s="6" t="n">
        <v>1.953414044877252</v>
      </c>
      <c r="F49" s="6" t="n">
        <v>0.9185437189662378</v>
      </c>
      <c r="G49" s="5" t="n">
        <v>1</v>
      </c>
      <c r="H49" s="5" t="n">
        <v>0</v>
      </c>
      <c r="I49" s="5" t="n">
        <v>0</v>
      </c>
      <c r="J49" s="5" t="n">
        <v>1</v>
      </c>
      <c r="K49" s="5" t="n">
        <v>0</v>
      </c>
      <c r="L49" s="5" t="n">
        <v>0</v>
      </c>
      <c r="M49" s="5" t="n">
        <v>0</v>
      </c>
      <c r="N49" s="5" t="n">
        <v>0</v>
      </c>
      <c r="O49" s="5" t="n">
        <v>0</v>
      </c>
      <c r="P49" s="5" t="n">
        <v>0</v>
      </c>
      <c r="Q49" s="5" t="n">
        <v>1</v>
      </c>
      <c r="R49" s="5" t="n">
        <v>1</v>
      </c>
      <c r="S49" s="5" t="n">
        <v>0</v>
      </c>
      <c r="T49" s="5" t="n">
        <v>0</v>
      </c>
      <c r="U49" s="5" t="inlineStr">
        <is>
          <t>testing</t>
        </is>
      </c>
      <c r="V49" s="5" t="n">
        <v>0</v>
      </c>
    </row>
    <row r="50">
      <c r="A50" s="5" t="n">
        <v>46</v>
      </c>
      <c r="B50" s="5" t="n">
        <v>0</v>
      </c>
      <c r="C50" s="6" t="n">
        <v>-0.8199599660091405</v>
      </c>
      <c r="D50" s="6" t="n">
        <v>-0.6499942468596059</v>
      </c>
      <c r="E50" s="6" t="n">
        <v>-0.04696543117692405</v>
      </c>
      <c r="F50" s="6" t="n">
        <v>0.9185437189662378</v>
      </c>
      <c r="G50" s="5" t="n">
        <v>0</v>
      </c>
      <c r="H50" s="5" t="n">
        <v>0</v>
      </c>
      <c r="I50" s="5" t="n">
        <v>0</v>
      </c>
      <c r="J50" s="5" t="n">
        <v>1</v>
      </c>
      <c r="K50" s="5" t="n">
        <v>0</v>
      </c>
      <c r="L50" s="5" t="n">
        <v>0</v>
      </c>
      <c r="M50" s="5" t="n">
        <v>0</v>
      </c>
      <c r="N50" s="5" t="n">
        <v>0</v>
      </c>
      <c r="O50" s="5" t="n">
        <v>0</v>
      </c>
      <c r="P50" s="5" t="n">
        <v>0</v>
      </c>
      <c r="Q50" s="5" t="n">
        <v>0</v>
      </c>
      <c r="R50" s="5" t="n">
        <v>1</v>
      </c>
      <c r="S50" s="5" t="n">
        <v>0</v>
      </c>
      <c r="T50" s="5" t="n">
        <v>0</v>
      </c>
      <c r="U50" s="5" t="inlineStr">
        <is>
          <t>testing</t>
        </is>
      </c>
      <c r="V50" s="5" t="n">
        <v>0</v>
      </c>
    </row>
    <row r="51">
      <c r="A51" s="5" t="n">
        <v>47</v>
      </c>
      <c r="B51" s="5" t="n">
        <v>0</v>
      </c>
      <c r="C51" s="6" t="n">
        <v>1.286513816310289</v>
      </c>
      <c r="D51" s="6" t="n">
        <v>-0.3329914228092562</v>
      </c>
      <c r="E51" s="6" t="n">
        <v>0.3009266516151065</v>
      </c>
      <c r="F51" s="6" t="n">
        <v>0.9185437189662378</v>
      </c>
      <c r="G51" s="5" t="n">
        <v>0</v>
      </c>
      <c r="H51" s="5" t="n">
        <v>0</v>
      </c>
      <c r="I51" s="5" t="n">
        <v>0</v>
      </c>
      <c r="J51" s="5" t="n">
        <v>0</v>
      </c>
      <c r="K51" s="5" t="n">
        <v>0</v>
      </c>
      <c r="L51" s="5" t="n">
        <v>0</v>
      </c>
      <c r="M51" s="5" t="n">
        <v>1</v>
      </c>
      <c r="N51" s="5" t="n">
        <v>0</v>
      </c>
      <c r="O51" s="5" t="n">
        <v>0</v>
      </c>
      <c r="P51" s="5" t="n">
        <v>0</v>
      </c>
      <c r="Q51" s="5" t="n">
        <v>0</v>
      </c>
      <c r="R51" s="5" t="n">
        <v>0</v>
      </c>
      <c r="S51" s="5" t="n">
        <v>1</v>
      </c>
      <c r="T51" s="5" t="n">
        <v>0</v>
      </c>
      <c r="U51" s="5" t="inlineStr">
        <is>
          <t>testing</t>
        </is>
      </c>
      <c r="V51" s="5" t="n">
        <v>0</v>
      </c>
    </row>
    <row r="52">
      <c r="A52" s="5" t="n">
        <v>48</v>
      </c>
      <c r="B52" s="5" t="n">
        <v>0</v>
      </c>
      <c r="C52" s="6" t="n">
        <v>-1.241254722473026</v>
      </c>
      <c r="D52" s="6" t="n">
        <v>-0.6643398492724805</v>
      </c>
      <c r="E52" s="6" t="n">
        <v>-1.090641679553016</v>
      </c>
      <c r="F52" s="6" t="n">
        <v>-1.786844513613144</v>
      </c>
      <c r="G52" s="5" t="n">
        <v>1</v>
      </c>
      <c r="H52" s="5" t="n">
        <v>0</v>
      </c>
      <c r="I52" s="5" t="n">
        <v>0</v>
      </c>
      <c r="J52" s="5" t="n">
        <v>0</v>
      </c>
      <c r="K52" s="5" t="n">
        <v>0</v>
      </c>
      <c r="L52" s="5" t="n">
        <v>0</v>
      </c>
      <c r="M52" s="5" t="n">
        <v>1</v>
      </c>
      <c r="N52" s="5" t="n">
        <v>0</v>
      </c>
      <c r="O52" s="5" t="n">
        <v>0</v>
      </c>
      <c r="P52" s="5" t="n">
        <v>1</v>
      </c>
      <c r="Q52" s="5" t="n">
        <v>0</v>
      </c>
      <c r="R52" s="5" t="n">
        <v>1</v>
      </c>
      <c r="S52" s="5" t="n">
        <v>0</v>
      </c>
      <c r="T52" s="5" t="n">
        <v>0</v>
      </c>
      <c r="U52" s="5" t="inlineStr">
        <is>
          <t>training</t>
        </is>
      </c>
      <c r="V52" s="5" t="n">
        <v>0</v>
      </c>
    </row>
    <row r="53">
      <c r="A53" s="5" t="n">
        <v>49</v>
      </c>
      <c r="B53" s="5" t="n">
        <v>0</v>
      </c>
      <c r="C53" s="6" t="n">
        <v>-0.8199599660091405</v>
      </c>
      <c r="D53" s="6" t="n">
        <v>1.391629901411686</v>
      </c>
      <c r="E53" s="6" t="n">
        <v>0.3009266516151065</v>
      </c>
      <c r="F53" s="6" t="n">
        <v>-1.786844513613144</v>
      </c>
      <c r="G53" s="5" t="n">
        <v>0</v>
      </c>
      <c r="H53" s="5" t="n">
        <v>0</v>
      </c>
      <c r="I53" s="5" t="n">
        <v>0</v>
      </c>
      <c r="J53" s="5" t="n">
        <v>1</v>
      </c>
      <c r="K53" s="5" t="n">
        <v>0</v>
      </c>
      <c r="L53" s="5" t="n">
        <v>0</v>
      </c>
      <c r="M53" s="5" t="n">
        <v>0</v>
      </c>
      <c r="N53" s="5" t="n">
        <v>0</v>
      </c>
      <c r="O53" s="5" t="n">
        <v>0</v>
      </c>
      <c r="P53" s="5" t="n">
        <v>0</v>
      </c>
      <c r="Q53" s="5" t="n">
        <v>0</v>
      </c>
      <c r="R53" s="5" t="n">
        <v>1</v>
      </c>
      <c r="S53" s="5" t="n">
        <v>0</v>
      </c>
      <c r="T53" s="5" t="n">
        <v>0</v>
      </c>
      <c r="U53" s="5" t="inlineStr">
        <is>
          <t>training</t>
        </is>
      </c>
      <c r="V53" s="5" t="n">
        <v>1</v>
      </c>
    </row>
    <row r="54">
      <c r="A54" s="5" t="n">
        <v>50</v>
      </c>
      <c r="B54" s="5" t="n">
        <v>0</v>
      </c>
      <c r="C54" s="6" t="n">
        <v>-0.7357010147163632</v>
      </c>
      <c r="D54" s="6" t="n">
        <v>-0.4120671824509549</v>
      </c>
      <c r="E54" s="6" t="n">
        <v>-0.6557765760629775</v>
      </c>
      <c r="F54" s="6" t="n">
        <v>0.9185437189662378</v>
      </c>
      <c r="G54" s="5" t="n">
        <v>0</v>
      </c>
      <c r="H54" s="5" t="n">
        <v>0</v>
      </c>
      <c r="I54" s="5" t="n">
        <v>0</v>
      </c>
      <c r="J54" s="5" t="n">
        <v>0</v>
      </c>
      <c r="K54" s="5" t="n">
        <v>0</v>
      </c>
      <c r="L54" s="5" t="n">
        <v>0</v>
      </c>
      <c r="M54" s="5" t="n">
        <v>1</v>
      </c>
      <c r="N54" s="5" t="n">
        <v>0</v>
      </c>
      <c r="O54" s="5" t="n">
        <v>0</v>
      </c>
      <c r="P54" s="5" t="n">
        <v>0</v>
      </c>
      <c r="Q54" s="5" t="n">
        <v>0</v>
      </c>
      <c r="R54" s="5" t="n">
        <v>0</v>
      </c>
      <c r="S54" s="5" t="n">
        <v>1</v>
      </c>
      <c r="T54" s="5" t="n">
        <v>0</v>
      </c>
      <c r="U54" s="5" t="inlineStr">
        <is>
          <t>training</t>
        </is>
      </c>
      <c r="V54" s="5" t="n">
        <v>0</v>
      </c>
    </row>
    <row r="55">
      <c r="A55" s="5" t="n">
        <v>51</v>
      </c>
      <c r="B55" s="5" t="n">
        <v>0</v>
      </c>
      <c r="C55" s="6" t="n">
        <v>0.275406400796963</v>
      </c>
      <c r="D55" s="6" t="n">
        <v>-0.3210950695888237</v>
      </c>
      <c r="E55" s="6" t="n">
        <v>-0.5688035553649698</v>
      </c>
      <c r="F55" s="6" t="n">
        <v>0.9185437189662378</v>
      </c>
      <c r="G55" s="5" t="n">
        <v>0</v>
      </c>
      <c r="H55" s="5" t="n">
        <v>1</v>
      </c>
      <c r="I55" s="5" t="n">
        <v>0</v>
      </c>
      <c r="J55" s="5" t="n">
        <v>0</v>
      </c>
      <c r="K55" s="5" t="n">
        <v>1</v>
      </c>
      <c r="L55" s="5" t="n">
        <v>0</v>
      </c>
      <c r="M55" s="5" t="n">
        <v>0</v>
      </c>
      <c r="N55" s="5" t="n">
        <v>0</v>
      </c>
      <c r="O55" s="5" t="n">
        <v>1</v>
      </c>
      <c r="P55" s="5" t="n">
        <v>0</v>
      </c>
      <c r="Q55" s="5" t="n">
        <v>0</v>
      </c>
      <c r="R55" s="5" t="n">
        <v>0</v>
      </c>
      <c r="S55" s="5" t="n">
        <v>0</v>
      </c>
      <c r="T55" s="5" t="n">
        <v>1</v>
      </c>
      <c r="U55" s="5" t="inlineStr">
        <is>
          <t>testing</t>
        </is>
      </c>
      <c r="V55" s="5" t="n">
        <v>0</v>
      </c>
    </row>
    <row r="56">
      <c r="A56" s="5" t="n">
        <v>52</v>
      </c>
      <c r="B56" s="5" t="n">
        <v>0</v>
      </c>
      <c r="C56" s="6" t="n">
        <v>0.5281832546752946</v>
      </c>
      <c r="D56" s="6" t="n">
        <v>0.9497153685467946</v>
      </c>
      <c r="E56" s="6" t="n">
        <v>-0.4818305346669622</v>
      </c>
      <c r="F56" s="6" t="n">
        <v>-1.786844513613144</v>
      </c>
      <c r="G56" s="5" t="n">
        <v>0</v>
      </c>
      <c r="H56" s="5" t="n">
        <v>1</v>
      </c>
      <c r="I56" s="5" t="n">
        <v>0</v>
      </c>
      <c r="J56" s="5" t="n">
        <v>0</v>
      </c>
      <c r="K56" s="5" t="n">
        <v>1</v>
      </c>
      <c r="L56" s="5" t="n">
        <v>0</v>
      </c>
      <c r="M56" s="5" t="n">
        <v>0</v>
      </c>
      <c r="N56" s="5" t="n">
        <v>0</v>
      </c>
      <c r="O56" s="5" t="n">
        <v>0</v>
      </c>
      <c r="P56" s="5" t="n">
        <v>0</v>
      </c>
      <c r="Q56" s="5" t="n">
        <v>0</v>
      </c>
      <c r="R56" s="5" t="n">
        <v>1</v>
      </c>
      <c r="S56" s="5" t="n">
        <v>0</v>
      </c>
      <c r="T56" s="5" t="n">
        <v>0</v>
      </c>
      <c r="U56" s="5" t="inlineStr">
        <is>
          <t>training</t>
        </is>
      </c>
      <c r="V56" s="5" t="n">
        <v>1</v>
      </c>
    </row>
    <row r="57">
      <c r="A57" s="5" t="n">
        <v>53</v>
      </c>
      <c r="B57" s="5" t="n">
        <v>0</v>
      </c>
      <c r="C57" s="6" t="n">
        <v>-0.7357010147163632</v>
      </c>
      <c r="D57" s="6" t="n">
        <v>-0.695830196032449</v>
      </c>
      <c r="E57" s="6" t="n">
        <v>-0.9166956381570004</v>
      </c>
      <c r="F57" s="6" t="n">
        <v>0.01674764143977723</v>
      </c>
      <c r="G57" s="5" t="n">
        <v>0</v>
      </c>
      <c r="H57" s="5" t="n">
        <v>0</v>
      </c>
      <c r="I57" s="5" t="n">
        <v>0</v>
      </c>
      <c r="J57" s="5" t="n">
        <v>0</v>
      </c>
      <c r="K57" s="5" t="n">
        <v>0</v>
      </c>
      <c r="L57" s="5" t="n">
        <v>0</v>
      </c>
      <c r="M57" s="5" t="n">
        <v>0</v>
      </c>
      <c r="N57" s="5" t="n">
        <v>0</v>
      </c>
      <c r="O57" s="5" t="n">
        <v>0</v>
      </c>
      <c r="P57" s="5" t="n">
        <v>0</v>
      </c>
      <c r="Q57" s="5" t="n">
        <v>0</v>
      </c>
      <c r="R57" s="5" t="n">
        <v>0</v>
      </c>
      <c r="S57" s="5" t="n">
        <v>1</v>
      </c>
      <c r="T57" s="5" t="n">
        <v>0</v>
      </c>
      <c r="U57" s="5" t="inlineStr">
        <is>
          <t>testing</t>
        </is>
      </c>
      <c r="V57" s="5" t="n">
        <v>0</v>
      </c>
    </row>
    <row r="58">
      <c r="A58" s="5" t="n">
        <v>54</v>
      </c>
      <c r="B58" s="5" t="n">
        <v>0</v>
      </c>
      <c r="C58" s="6" t="n">
        <v>-0.2301473069597001</v>
      </c>
      <c r="D58" s="6" t="n">
        <v>0.04454284556858856</v>
      </c>
      <c r="E58" s="6" t="n">
        <v>-0.3948575139689546</v>
      </c>
      <c r="F58" s="6" t="n">
        <v>-0.8850484360866833</v>
      </c>
      <c r="G58" s="5" t="n">
        <v>0</v>
      </c>
      <c r="H58" s="5" t="n">
        <v>0</v>
      </c>
      <c r="I58" s="5" t="n">
        <v>0</v>
      </c>
      <c r="J58" s="5" t="n">
        <v>0</v>
      </c>
      <c r="K58" s="5" t="n">
        <v>0</v>
      </c>
      <c r="L58" s="5" t="n">
        <v>0</v>
      </c>
      <c r="M58" s="5" t="n">
        <v>0</v>
      </c>
      <c r="N58" s="5" t="n">
        <v>0</v>
      </c>
      <c r="O58" s="5" t="n">
        <v>1</v>
      </c>
      <c r="P58" s="5" t="n">
        <v>0</v>
      </c>
      <c r="Q58" s="5" t="n">
        <v>0</v>
      </c>
      <c r="R58" s="5" t="n">
        <v>1</v>
      </c>
      <c r="S58" s="5" t="n">
        <v>0</v>
      </c>
      <c r="T58" s="5" t="n">
        <v>0</v>
      </c>
      <c r="U58" s="5" t="inlineStr">
        <is>
          <t>testing</t>
        </is>
      </c>
      <c r="V58" s="5" t="n">
        <v>0</v>
      </c>
    </row>
    <row r="59">
      <c r="A59" s="5" t="n">
        <v>55</v>
      </c>
      <c r="B59" s="5" t="n">
        <v>1</v>
      </c>
      <c r="C59" s="6" t="n">
        <v>1.286513816310289</v>
      </c>
      <c r="D59" s="6" t="n">
        <v>-0.3588834857007859</v>
      </c>
      <c r="E59" s="6" t="n">
        <v>1.866441024179244</v>
      </c>
      <c r="F59" s="6" t="n">
        <v>0.9185437189662378</v>
      </c>
      <c r="G59" s="5" t="n">
        <v>0</v>
      </c>
      <c r="H59" s="5" t="n">
        <v>1</v>
      </c>
      <c r="I59" s="5" t="n">
        <v>0</v>
      </c>
      <c r="J59" s="5" t="n">
        <v>0</v>
      </c>
      <c r="K59" s="5" t="n">
        <v>1</v>
      </c>
      <c r="L59" s="5" t="n">
        <v>0</v>
      </c>
      <c r="M59" s="5" t="n">
        <v>0</v>
      </c>
      <c r="N59" s="5" t="n">
        <v>0</v>
      </c>
      <c r="O59" s="5" t="n">
        <v>0</v>
      </c>
      <c r="P59" s="5" t="n">
        <v>0</v>
      </c>
      <c r="Q59" s="5" t="n">
        <v>1</v>
      </c>
      <c r="R59" s="5" t="n">
        <v>1</v>
      </c>
      <c r="S59" s="5" t="n">
        <v>0</v>
      </c>
      <c r="T59" s="5" t="n">
        <v>0</v>
      </c>
      <c r="U59" s="5" t="inlineStr">
        <is>
          <t>training</t>
        </is>
      </c>
      <c r="V59" s="5" t="n">
        <v>1</v>
      </c>
    </row>
    <row r="60">
      <c r="A60" s="5" t="n">
        <v>56</v>
      </c>
      <c r="B60" s="5" t="n">
        <v>0</v>
      </c>
      <c r="C60" s="6" t="n">
        <v>-1.241254722473026</v>
      </c>
      <c r="D60" s="6" t="n">
        <v>-0.863428819343837</v>
      </c>
      <c r="E60" s="6" t="n">
        <v>-0.8297226174589928</v>
      </c>
      <c r="F60" s="6" t="n">
        <v>-1.786844513613144</v>
      </c>
      <c r="G60" s="5" t="n">
        <v>0</v>
      </c>
      <c r="H60" s="5" t="n">
        <v>0</v>
      </c>
      <c r="I60" s="5" t="n">
        <v>0</v>
      </c>
      <c r="J60" s="5" t="n">
        <v>0</v>
      </c>
      <c r="K60" s="5" t="n">
        <v>0</v>
      </c>
      <c r="L60" s="5" t="n">
        <v>1</v>
      </c>
      <c r="M60" s="5" t="n">
        <v>0</v>
      </c>
      <c r="N60" s="5" t="n">
        <v>0</v>
      </c>
      <c r="O60" s="5" t="n">
        <v>1</v>
      </c>
      <c r="P60" s="5" t="n">
        <v>0</v>
      </c>
      <c r="Q60" s="5" t="n">
        <v>0</v>
      </c>
      <c r="R60" s="5" t="n">
        <v>1</v>
      </c>
      <c r="S60" s="5" t="n">
        <v>0</v>
      </c>
      <c r="T60" s="5" t="n">
        <v>0</v>
      </c>
      <c r="U60" s="5" t="inlineStr">
        <is>
          <t>testing</t>
        </is>
      </c>
      <c r="V60" s="5" t="n">
        <v>0</v>
      </c>
    </row>
    <row r="61">
      <c r="A61" s="5" t="n">
        <v>57</v>
      </c>
      <c r="B61" s="5" t="n">
        <v>1</v>
      </c>
      <c r="C61" s="6" t="n">
        <v>-0.7357010147163632</v>
      </c>
      <c r="D61" s="6" t="n">
        <v>1.125711417660841</v>
      </c>
      <c r="E61" s="6" t="n">
        <v>1.431575920689206</v>
      </c>
      <c r="F61" s="6" t="n">
        <v>-0.8850484360866833</v>
      </c>
      <c r="G61" s="5" t="n">
        <v>0</v>
      </c>
      <c r="H61" s="5" t="n">
        <v>1</v>
      </c>
      <c r="I61" s="5" t="n">
        <v>0</v>
      </c>
      <c r="J61" s="5" t="n">
        <v>0</v>
      </c>
      <c r="K61" s="5" t="n">
        <v>0</v>
      </c>
      <c r="L61" s="5" t="n">
        <v>0</v>
      </c>
      <c r="M61" s="5" t="n">
        <v>0</v>
      </c>
      <c r="N61" s="5" t="n">
        <v>0</v>
      </c>
      <c r="O61" s="5" t="n">
        <v>1</v>
      </c>
      <c r="P61" s="5" t="n">
        <v>0</v>
      </c>
      <c r="Q61" s="5" t="n">
        <v>0</v>
      </c>
      <c r="R61" s="5" t="n">
        <v>0</v>
      </c>
      <c r="S61" s="5" t="n">
        <v>1</v>
      </c>
      <c r="T61" s="5" t="n">
        <v>0</v>
      </c>
      <c r="U61" s="5" t="inlineStr">
        <is>
          <t>training</t>
        </is>
      </c>
      <c r="V61" s="5" t="n">
        <v>1</v>
      </c>
    </row>
    <row r="62">
      <c r="A62" s="5" t="n">
        <v>58</v>
      </c>
      <c r="B62" s="5" t="n">
        <v>0</v>
      </c>
      <c r="C62" s="6" t="n">
        <v>1.286513816310289</v>
      </c>
      <c r="D62" s="6" t="n">
        <v>2.209679131687313</v>
      </c>
      <c r="E62" s="6" t="n">
        <v>-0.3948575139689546</v>
      </c>
      <c r="F62" s="6" t="n">
        <v>-0.8850484360866833</v>
      </c>
      <c r="G62" s="5" t="n">
        <v>0</v>
      </c>
      <c r="H62" s="5" t="n">
        <v>0</v>
      </c>
      <c r="I62" s="5" t="n">
        <v>0</v>
      </c>
      <c r="J62" s="5" t="n">
        <v>1</v>
      </c>
      <c r="K62" s="5" t="n">
        <v>0</v>
      </c>
      <c r="L62" s="5" t="n">
        <v>0</v>
      </c>
      <c r="M62" s="5" t="n">
        <v>0</v>
      </c>
      <c r="N62" s="5" t="n">
        <v>0</v>
      </c>
      <c r="O62" s="5" t="n">
        <v>0</v>
      </c>
      <c r="P62" s="5" t="n">
        <v>0</v>
      </c>
      <c r="Q62" s="5" t="n">
        <v>0</v>
      </c>
      <c r="R62" s="5" t="n">
        <v>0</v>
      </c>
      <c r="S62" s="5" t="n">
        <v>1</v>
      </c>
      <c r="T62" s="5" t="n">
        <v>0</v>
      </c>
      <c r="U62" s="5" t="inlineStr">
        <is>
          <t>testing</t>
        </is>
      </c>
      <c r="V62" s="5" t="n">
        <v>0</v>
      </c>
    </row>
    <row r="63">
      <c r="A63" s="5" t="n">
        <v>59</v>
      </c>
      <c r="B63" s="5" t="n">
        <v>0</v>
      </c>
      <c r="C63" s="6" t="n">
        <v>-0.2301473069597001</v>
      </c>
      <c r="D63" s="6" t="n">
        <v>-0.4512551695300269</v>
      </c>
      <c r="E63" s="6" t="n">
        <v>-1.090641679553016</v>
      </c>
      <c r="F63" s="6" t="n">
        <v>0.01674764143977723</v>
      </c>
      <c r="G63" s="5" t="n">
        <v>0</v>
      </c>
      <c r="H63" s="5" t="n">
        <v>0</v>
      </c>
      <c r="I63" s="5" t="n">
        <v>1</v>
      </c>
      <c r="J63" s="5" t="n">
        <v>0</v>
      </c>
      <c r="K63" s="5" t="n">
        <v>0</v>
      </c>
      <c r="L63" s="5" t="n">
        <v>0</v>
      </c>
      <c r="M63" s="5" t="n">
        <v>0</v>
      </c>
      <c r="N63" s="5" t="n">
        <v>0</v>
      </c>
      <c r="O63" s="5" t="n">
        <v>0</v>
      </c>
      <c r="P63" s="5" t="n">
        <v>0</v>
      </c>
      <c r="Q63" s="5" t="n">
        <v>0</v>
      </c>
      <c r="R63" s="5" t="n">
        <v>1</v>
      </c>
      <c r="S63" s="5" t="n">
        <v>0</v>
      </c>
      <c r="T63" s="5" t="n">
        <v>0</v>
      </c>
      <c r="U63" s="5" t="inlineStr">
        <is>
          <t>training</t>
        </is>
      </c>
      <c r="V63" s="5" t="n">
        <v>1</v>
      </c>
    </row>
    <row r="64">
      <c r="A64" s="5" t="n">
        <v>60</v>
      </c>
      <c r="B64" s="5" t="n">
        <v>1</v>
      </c>
      <c r="C64" s="6" t="n">
        <v>1.286513816310289</v>
      </c>
      <c r="D64" s="6" t="n">
        <v>1.042087052376036</v>
      </c>
      <c r="E64" s="6" t="n">
        <v>-1.090641679553016</v>
      </c>
      <c r="F64" s="6" t="n">
        <v>0.9185437189662378</v>
      </c>
      <c r="G64" s="5" t="n">
        <v>1</v>
      </c>
      <c r="H64" s="5" t="n">
        <v>0</v>
      </c>
      <c r="I64" s="5" t="n">
        <v>0</v>
      </c>
      <c r="J64" s="5" t="n">
        <v>1</v>
      </c>
      <c r="K64" s="5" t="n">
        <v>0</v>
      </c>
      <c r="L64" s="5" t="n">
        <v>0</v>
      </c>
      <c r="M64" s="5" t="n">
        <v>0</v>
      </c>
      <c r="N64" s="5" t="n">
        <v>0</v>
      </c>
      <c r="O64" s="5" t="n">
        <v>0</v>
      </c>
      <c r="P64" s="5" t="n">
        <v>1</v>
      </c>
      <c r="Q64" s="5" t="n">
        <v>0</v>
      </c>
      <c r="R64" s="5" t="n">
        <v>0</v>
      </c>
      <c r="S64" s="5" t="n">
        <v>0</v>
      </c>
      <c r="T64" s="5" t="n">
        <v>1</v>
      </c>
      <c r="U64" s="5" t="inlineStr">
        <is>
          <t>training</t>
        </is>
      </c>
      <c r="V64" s="5" t="n">
        <v>1</v>
      </c>
    </row>
    <row r="65">
      <c r="A65" s="5" t="n">
        <v>61</v>
      </c>
      <c r="B65" s="5" t="n">
        <v>0</v>
      </c>
      <c r="C65" s="6" t="n">
        <v>-0.9884778685946948</v>
      </c>
      <c r="D65" s="6" t="n">
        <v>-0.6506940323431608</v>
      </c>
      <c r="E65" s="6" t="n">
        <v>-0.7427495967609852</v>
      </c>
      <c r="F65" s="6" t="n">
        <v>-0.8850484360866833</v>
      </c>
      <c r="G65" s="5" t="n">
        <v>0</v>
      </c>
      <c r="H65" s="5" t="n">
        <v>1</v>
      </c>
      <c r="I65" s="5" t="n">
        <v>0</v>
      </c>
      <c r="J65" s="5" t="n">
        <v>0</v>
      </c>
      <c r="K65" s="5" t="n">
        <v>0</v>
      </c>
      <c r="L65" s="5" t="n">
        <v>0</v>
      </c>
      <c r="M65" s="5" t="n">
        <v>0</v>
      </c>
      <c r="N65" s="5" t="n">
        <v>0</v>
      </c>
      <c r="O65" s="5" t="n">
        <v>0</v>
      </c>
      <c r="P65" s="5" t="n">
        <v>0</v>
      </c>
      <c r="Q65" s="5" t="n">
        <v>0</v>
      </c>
      <c r="R65" s="5" t="n">
        <v>0</v>
      </c>
      <c r="S65" s="5" t="n">
        <v>0</v>
      </c>
      <c r="T65" s="5" t="n">
        <v>0</v>
      </c>
      <c r="U65" s="5" t="inlineStr">
        <is>
          <t>testing</t>
        </is>
      </c>
      <c r="V65" s="5" t="n">
        <v>0</v>
      </c>
    </row>
    <row r="66">
      <c r="A66" s="5" t="n">
        <v>62</v>
      </c>
      <c r="B66" s="5" t="n">
        <v>0</v>
      </c>
      <c r="C66" s="6" t="n">
        <v>-0.4829241608380317</v>
      </c>
      <c r="D66" s="6" t="n">
        <v>-0.5996096920436563</v>
      </c>
      <c r="E66" s="6" t="n">
        <v>1.257629879293191</v>
      </c>
      <c r="F66" s="6" t="n">
        <v>0.9185437189662378</v>
      </c>
      <c r="G66" s="5" t="n">
        <v>0</v>
      </c>
      <c r="H66" s="5" t="n">
        <v>1</v>
      </c>
      <c r="I66" s="5" t="n">
        <v>0</v>
      </c>
      <c r="J66" s="5" t="n">
        <v>1</v>
      </c>
      <c r="K66" s="5" t="n">
        <v>0</v>
      </c>
      <c r="L66" s="5" t="n">
        <v>0</v>
      </c>
      <c r="M66" s="5" t="n">
        <v>0</v>
      </c>
      <c r="N66" s="5" t="n">
        <v>0</v>
      </c>
      <c r="O66" s="5" t="n">
        <v>1</v>
      </c>
      <c r="P66" s="5" t="n">
        <v>0</v>
      </c>
      <c r="Q66" s="5" t="n">
        <v>0</v>
      </c>
      <c r="R66" s="5" t="n">
        <v>0</v>
      </c>
      <c r="S66" s="5" t="n">
        <v>1</v>
      </c>
      <c r="T66" s="5" t="n">
        <v>0</v>
      </c>
      <c r="U66" s="5" t="inlineStr">
        <is>
          <t>training</t>
        </is>
      </c>
      <c r="V66" s="5" t="n">
        <v>0</v>
      </c>
    </row>
    <row r="67">
      <c r="A67" s="5" t="n">
        <v>63</v>
      </c>
      <c r="B67" s="5" t="n">
        <v>1</v>
      </c>
      <c r="C67" s="6" t="n">
        <v>1.286513816310289</v>
      </c>
      <c r="D67" s="6" t="n">
        <v>-0.4540543114642463</v>
      </c>
      <c r="E67" s="6" t="n">
        <v>2.214333106971274</v>
      </c>
      <c r="F67" s="6" t="n">
        <v>0.9185437189662378</v>
      </c>
      <c r="G67" s="5" t="n">
        <v>0</v>
      </c>
      <c r="H67" s="5" t="n">
        <v>1</v>
      </c>
      <c r="I67" s="5" t="n">
        <v>0</v>
      </c>
      <c r="J67" s="5" t="n">
        <v>0</v>
      </c>
      <c r="K67" s="5" t="n">
        <v>0</v>
      </c>
      <c r="L67" s="5" t="n">
        <v>1</v>
      </c>
      <c r="M67" s="5" t="n">
        <v>0</v>
      </c>
      <c r="N67" s="5" t="n">
        <v>0</v>
      </c>
      <c r="O67" s="5" t="n">
        <v>0</v>
      </c>
      <c r="P67" s="5" t="n">
        <v>0</v>
      </c>
      <c r="Q67" s="5" t="n">
        <v>1</v>
      </c>
      <c r="R67" s="5" t="n">
        <v>0</v>
      </c>
      <c r="S67" s="5" t="n">
        <v>0</v>
      </c>
      <c r="T67" s="5" t="n">
        <v>0</v>
      </c>
      <c r="U67" s="5" t="inlineStr">
        <is>
          <t>training</t>
        </is>
      </c>
      <c r="V67" s="5" t="n">
        <v>1</v>
      </c>
    </row>
    <row r="68">
      <c r="A68" s="5" t="n">
        <v>64</v>
      </c>
      <c r="B68" s="5" t="n">
        <v>1</v>
      </c>
      <c r="C68" s="6" t="n">
        <v>2.297621231823615</v>
      </c>
      <c r="D68" s="6" t="n">
        <v>3.908408393016725</v>
      </c>
      <c r="E68" s="6" t="n">
        <v>-0.9166956381570004</v>
      </c>
      <c r="F68" s="6" t="n">
        <v>-0.8850484360866833</v>
      </c>
      <c r="G68" s="5" t="n">
        <v>0</v>
      </c>
      <c r="H68" s="5" t="n">
        <v>1</v>
      </c>
      <c r="I68" s="5" t="n">
        <v>0</v>
      </c>
      <c r="J68" s="5" t="n">
        <v>0</v>
      </c>
      <c r="K68" s="5" t="n">
        <v>0</v>
      </c>
      <c r="L68" s="5" t="n">
        <v>1</v>
      </c>
      <c r="M68" s="5" t="n">
        <v>0</v>
      </c>
      <c r="N68" s="5" t="n">
        <v>0</v>
      </c>
      <c r="O68" s="5" t="n">
        <v>0</v>
      </c>
      <c r="P68" s="5" t="n">
        <v>0</v>
      </c>
      <c r="Q68" s="5" t="n">
        <v>0</v>
      </c>
      <c r="R68" s="5" t="n">
        <v>0</v>
      </c>
      <c r="S68" s="5" t="n">
        <v>0</v>
      </c>
      <c r="T68" s="5" t="n">
        <v>0</v>
      </c>
      <c r="U68" s="5" t="inlineStr">
        <is>
          <t>training</t>
        </is>
      </c>
      <c r="V68" s="5" t="n">
        <v>1</v>
      </c>
    </row>
    <row r="69">
      <c r="A69" s="5" t="n">
        <v>65</v>
      </c>
      <c r="B69" s="5" t="n">
        <v>0</v>
      </c>
      <c r="C69" s="6" t="n">
        <v>0.275406400796963</v>
      </c>
      <c r="D69" s="6" t="n">
        <v>-0.02438602456156475</v>
      </c>
      <c r="E69" s="6" t="n">
        <v>-0.8297226174589928</v>
      </c>
      <c r="F69" s="6" t="n">
        <v>0.9185437189662378</v>
      </c>
      <c r="G69" s="5" t="n">
        <v>0</v>
      </c>
      <c r="H69" s="5" t="n">
        <v>0</v>
      </c>
      <c r="I69" s="5" t="n">
        <v>0</v>
      </c>
      <c r="J69" s="5" t="n">
        <v>0</v>
      </c>
      <c r="K69" s="5" t="n">
        <v>0</v>
      </c>
      <c r="L69" s="5" t="n">
        <v>0</v>
      </c>
      <c r="M69" s="5" t="n">
        <v>0</v>
      </c>
      <c r="N69" s="5" t="n">
        <v>0</v>
      </c>
      <c r="O69" s="5" t="n">
        <v>0</v>
      </c>
      <c r="P69" s="5" t="n">
        <v>0</v>
      </c>
      <c r="Q69" s="5" t="n">
        <v>0</v>
      </c>
      <c r="R69" s="5" t="n">
        <v>0</v>
      </c>
      <c r="S69" s="5" t="n">
        <v>1</v>
      </c>
      <c r="T69" s="5" t="n">
        <v>0</v>
      </c>
      <c r="U69" s="5" t="inlineStr">
        <is>
          <t>training</t>
        </is>
      </c>
      <c r="V69" s="5" t="n">
        <v>1</v>
      </c>
    </row>
    <row r="70">
      <c r="A70" s="5" t="n">
        <v>66</v>
      </c>
      <c r="B70" s="5" t="n">
        <v>0</v>
      </c>
      <c r="C70" s="6" t="n">
        <v>0.5281832546752946</v>
      </c>
      <c r="D70" s="6" t="n">
        <v>0.678548493669288</v>
      </c>
      <c r="E70" s="6" t="n">
        <v>1.083683837897175</v>
      </c>
      <c r="F70" s="6" t="n">
        <v>0.9185437189662378</v>
      </c>
      <c r="G70" s="5" t="n">
        <v>0</v>
      </c>
      <c r="H70" s="5" t="n">
        <v>0</v>
      </c>
      <c r="I70" s="5" t="n">
        <v>0</v>
      </c>
      <c r="J70" s="5" t="n">
        <v>0</v>
      </c>
      <c r="K70" s="5" t="n">
        <v>0</v>
      </c>
      <c r="L70" s="5" t="n">
        <v>0</v>
      </c>
      <c r="M70" s="5" t="n">
        <v>0</v>
      </c>
      <c r="N70" s="5" t="n">
        <v>0</v>
      </c>
      <c r="O70" s="5" t="n">
        <v>1</v>
      </c>
      <c r="P70" s="5" t="n">
        <v>0</v>
      </c>
      <c r="Q70" s="5" t="n">
        <v>0</v>
      </c>
      <c r="R70" s="5" t="n">
        <v>0</v>
      </c>
      <c r="S70" s="5" t="n">
        <v>0</v>
      </c>
      <c r="T70" s="5" t="n">
        <v>0</v>
      </c>
      <c r="U70" s="5" t="inlineStr">
        <is>
          <t>training</t>
        </is>
      </c>
      <c r="V70" s="5" t="n">
        <v>0</v>
      </c>
    </row>
    <row r="71">
      <c r="A71" s="5" t="n">
        <v>67</v>
      </c>
      <c r="B71" s="5" t="n">
        <v>0</v>
      </c>
      <c r="C71" s="6" t="n">
        <v>-0.7357010147163632</v>
      </c>
      <c r="D71" s="6" t="n">
        <v>-0.377777693756767</v>
      </c>
      <c r="E71" s="6" t="n">
        <v>-0.5688035553649698</v>
      </c>
      <c r="F71" s="6" t="n">
        <v>-0.8850484360866833</v>
      </c>
      <c r="G71" s="5" t="n">
        <v>0</v>
      </c>
      <c r="H71" s="5" t="n">
        <v>0</v>
      </c>
      <c r="I71" s="5" t="n">
        <v>0</v>
      </c>
      <c r="J71" s="5" t="n">
        <v>0</v>
      </c>
      <c r="K71" s="5" t="n">
        <v>0</v>
      </c>
      <c r="L71" s="5" t="n">
        <v>0</v>
      </c>
      <c r="M71" s="5" t="n">
        <v>0</v>
      </c>
      <c r="N71" s="5" t="n">
        <v>0</v>
      </c>
      <c r="O71" s="5" t="n">
        <v>0</v>
      </c>
      <c r="P71" s="5" t="n">
        <v>0</v>
      </c>
      <c r="Q71" s="5" t="n">
        <v>0</v>
      </c>
      <c r="R71" s="5" t="n">
        <v>0</v>
      </c>
      <c r="S71" s="5" t="n">
        <v>1</v>
      </c>
      <c r="T71" s="5" t="n">
        <v>0</v>
      </c>
      <c r="U71" s="5" t="inlineStr">
        <is>
          <t>training</t>
        </is>
      </c>
      <c r="V71" s="5" t="n">
        <v>0</v>
      </c>
    </row>
    <row r="72">
      <c r="A72" s="5" t="n">
        <v>68</v>
      </c>
      <c r="B72" s="5" t="n">
        <v>0</v>
      </c>
      <c r="C72" s="6" t="n">
        <v>-0.7357010147163632</v>
      </c>
      <c r="D72" s="6" t="n">
        <v>-0.7850528451856931</v>
      </c>
      <c r="E72" s="6" t="n">
        <v>-1.177614700251023</v>
      </c>
      <c r="F72" s="6" t="n">
        <v>0.9185437189662378</v>
      </c>
      <c r="G72" s="5" t="n">
        <v>0</v>
      </c>
      <c r="H72" s="5" t="n">
        <v>1</v>
      </c>
      <c r="I72" s="5" t="n">
        <v>0</v>
      </c>
      <c r="J72" s="5" t="n">
        <v>0</v>
      </c>
      <c r="K72" s="5" t="n">
        <v>0</v>
      </c>
      <c r="L72" s="5" t="n">
        <v>0</v>
      </c>
      <c r="M72" s="5" t="n">
        <v>0</v>
      </c>
      <c r="N72" s="5" t="n">
        <v>1</v>
      </c>
      <c r="O72" s="5" t="n">
        <v>0</v>
      </c>
      <c r="P72" s="5" t="n">
        <v>0</v>
      </c>
      <c r="Q72" s="5" t="n">
        <v>0</v>
      </c>
      <c r="R72" s="5" t="n">
        <v>1</v>
      </c>
      <c r="S72" s="5" t="n">
        <v>0</v>
      </c>
      <c r="T72" s="5" t="n">
        <v>0</v>
      </c>
      <c r="U72" s="5" t="inlineStr">
        <is>
          <t>training</t>
        </is>
      </c>
      <c r="V72" s="5" t="n">
        <v>0</v>
      </c>
    </row>
    <row r="73">
      <c r="A73" s="5" t="n">
        <v>69</v>
      </c>
      <c r="B73" s="5" t="n">
        <v>1</v>
      </c>
      <c r="C73" s="6" t="n">
        <v>1.286513816310289</v>
      </c>
      <c r="D73" s="6" t="n">
        <v>-0.5009399388624216</v>
      </c>
      <c r="E73" s="6" t="n">
        <v>0.1269806102190912</v>
      </c>
      <c r="F73" s="6" t="n">
        <v>0.9185437189662378</v>
      </c>
      <c r="G73" s="5" t="n">
        <v>0</v>
      </c>
      <c r="H73" s="5" t="n">
        <v>0</v>
      </c>
      <c r="I73" s="5" t="n">
        <v>0</v>
      </c>
      <c r="J73" s="5" t="n">
        <v>0</v>
      </c>
      <c r="K73" s="5" t="n">
        <v>0</v>
      </c>
      <c r="L73" s="5" t="n">
        <v>0</v>
      </c>
      <c r="M73" s="5" t="n">
        <v>0</v>
      </c>
      <c r="N73" s="5" t="n">
        <v>0</v>
      </c>
      <c r="O73" s="5" t="n">
        <v>0</v>
      </c>
      <c r="P73" s="5" t="n">
        <v>0</v>
      </c>
      <c r="Q73" s="5" t="n">
        <v>1</v>
      </c>
      <c r="R73" s="5" t="n">
        <v>0</v>
      </c>
      <c r="S73" s="5" t="n">
        <v>0</v>
      </c>
      <c r="T73" s="5" t="n">
        <v>0</v>
      </c>
      <c r="U73" s="5" t="inlineStr">
        <is>
          <t>training</t>
        </is>
      </c>
      <c r="V73" s="5" t="n">
        <v>1</v>
      </c>
    </row>
    <row r="74">
      <c r="A74" s="5" t="n">
        <v>70</v>
      </c>
      <c r="B74" s="5" t="n">
        <v>0</v>
      </c>
      <c r="C74" s="6" t="n">
        <v>1.286513816310289</v>
      </c>
      <c r="D74" s="6" t="n">
        <v>-0.2997516123404005</v>
      </c>
      <c r="E74" s="6" t="n">
        <v>-0.9166956381570004</v>
      </c>
      <c r="F74" s="6" t="n">
        <v>0.9185437189662378</v>
      </c>
      <c r="G74" s="5" t="n">
        <v>0</v>
      </c>
      <c r="H74" s="5" t="n">
        <v>0</v>
      </c>
      <c r="I74" s="5" t="n">
        <v>0</v>
      </c>
      <c r="J74" s="5" t="n">
        <v>0</v>
      </c>
      <c r="K74" s="5" t="n">
        <v>0</v>
      </c>
      <c r="L74" s="5" t="n">
        <v>0</v>
      </c>
      <c r="M74" s="5" t="n">
        <v>0</v>
      </c>
      <c r="N74" s="5" t="n">
        <v>0</v>
      </c>
      <c r="O74" s="5" t="n">
        <v>1</v>
      </c>
      <c r="P74" s="5" t="n">
        <v>0</v>
      </c>
      <c r="Q74" s="5" t="n">
        <v>0</v>
      </c>
      <c r="R74" s="5" t="n">
        <v>0</v>
      </c>
      <c r="S74" s="5" t="n">
        <v>1</v>
      </c>
      <c r="T74" s="5" t="n">
        <v>0</v>
      </c>
      <c r="U74" s="5" t="inlineStr">
        <is>
          <t>testing</t>
        </is>
      </c>
      <c r="V74" s="5" t="n">
        <v>0</v>
      </c>
    </row>
    <row r="75">
      <c r="A75" s="5" t="n">
        <v>71</v>
      </c>
      <c r="B75" s="5" t="n">
        <v>0</v>
      </c>
      <c r="C75" s="6" t="n">
        <v>1.286513816310289</v>
      </c>
      <c r="D75" s="6" t="n">
        <v>1.708282832720259</v>
      </c>
      <c r="E75" s="6" t="n">
        <v>-0.4818305346669622</v>
      </c>
      <c r="F75" s="6" t="n">
        <v>-1.786844513613144</v>
      </c>
      <c r="G75" s="5" t="n">
        <v>0</v>
      </c>
      <c r="H75" s="5" t="n">
        <v>0</v>
      </c>
      <c r="I75" s="5" t="n">
        <v>0</v>
      </c>
      <c r="J75" s="5" t="n">
        <v>0</v>
      </c>
      <c r="K75" s="5" t="n">
        <v>0</v>
      </c>
      <c r="L75" s="5" t="n">
        <v>0</v>
      </c>
      <c r="M75" s="5" t="n">
        <v>0</v>
      </c>
      <c r="N75" s="5" t="n">
        <v>0</v>
      </c>
      <c r="O75" s="5" t="n">
        <v>0</v>
      </c>
      <c r="P75" s="5" t="n">
        <v>0</v>
      </c>
      <c r="Q75" s="5" t="n">
        <v>0</v>
      </c>
      <c r="R75" s="5" t="n">
        <v>1</v>
      </c>
      <c r="S75" s="5" t="n">
        <v>0</v>
      </c>
      <c r="T75" s="5" t="n">
        <v>0</v>
      </c>
      <c r="U75" s="5" t="inlineStr">
        <is>
          <t>training</t>
        </is>
      </c>
      <c r="V75" s="5" t="n">
        <v>1</v>
      </c>
    </row>
    <row r="76">
      <c r="A76" s="5" t="n">
        <v>72</v>
      </c>
      <c r="B76" s="5" t="n">
        <v>0</v>
      </c>
      <c r="C76" s="6" t="n">
        <v>-1.156995771180249</v>
      </c>
      <c r="D76" s="6" t="n">
        <v>-0.8819731346580406</v>
      </c>
      <c r="E76" s="6" t="n">
        <v>0.9097377965011599</v>
      </c>
      <c r="F76" s="6" t="n">
        <v>0.9185437189662378</v>
      </c>
      <c r="G76" s="5" t="n">
        <v>0</v>
      </c>
      <c r="H76" s="5" t="n">
        <v>0</v>
      </c>
      <c r="I76" s="5" t="n">
        <v>0</v>
      </c>
      <c r="J76" s="5" t="n">
        <v>1</v>
      </c>
      <c r="K76" s="5" t="n">
        <v>0</v>
      </c>
      <c r="L76" s="5" t="n">
        <v>0</v>
      </c>
      <c r="M76" s="5" t="n">
        <v>0</v>
      </c>
      <c r="N76" s="5" t="n">
        <v>0</v>
      </c>
      <c r="O76" s="5" t="n">
        <v>1</v>
      </c>
      <c r="P76" s="5" t="n">
        <v>1</v>
      </c>
      <c r="Q76" s="5" t="n">
        <v>0</v>
      </c>
      <c r="R76" s="5" t="n">
        <v>0</v>
      </c>
      <c r="S76" s="5" t="n">
        <v>1</v>
      </c>
      <c r="T76" s="5" t="n">
        <v>0</v>
      </c>
      <c r="U76" s="5" t="inlineStr">
        <is>
          <t>testing</t>
        </is>
      </c>
      <c r="V76" s="5" t="n">
        <v>0</v>
      </c>
    </row>
    <row r="77">
      <c r="A77" s="5" t="n">
        <v>73</v>
      </c>
      <c r="B77" s="5" t="n">
        <v>0</v>
      </c>
      <c r="C77" s="6" t="n">
        <v>-1.072736819887472</v>
      </c>
      <c r="D77" s="6" t="n">
        <v>-0.7301196847266369</v>
      </c>
      <c r="E77" s="6" t="n">
        <v>1.344602899991198</v>
      </c>
      <c r="F77" s="6" t="n">
        <v>0.01674764143977723</v>
      </c>
      <c r="G77" s="5" t="n">
        <v>1</v>
      </c>
      <c r="H77" s="5" t="n">
        <v>0</v>
      </c>
      <c r="I77" s="5" t="n">
        <v>0</v>
      </c>
      <c r="J77" s="5" t="n">
        <v>1</v>
      </c>
      <c r="K77" s="5" t="n">
        <v>0</v>
      </c>
      <c r="L77" s="5" t="n">
        <v>0</v>
      </c>
      <c r="M77" s="5" t="n">
        <v>0</v>
      </c>
      <c r="N77" s="5" t="n">
        <v>0</v>
      </c>
      <c r="O77" s="5" t="n">
        <v>0</v>
      </c>
      <c r="P77" s="5" t="n">
        <v>0</v>
      </c>
      <c r="Q77" s="5" t="n">
        <v>1</v>
      </c>
      <c r="R77" s="5" t="n">
        <v>0</v>
      </c>
      <c r="S77" s="5" t="n">
        <v>0</v>
      </c>
      <c r="T77" s="5" t="n">
        <v>0</v>
      </c>
      <c r="U77" s="5" t="inlineStr">
        <is>
          <t>training</t>
        </is>
      </c>
      <c r="V77" s="5" t="n">
        <v>1</v>
      </c>
    </row>
    <row r="78">
      <c r="A78" s="5" t="n">
        <v>74</v>
      </c>
      <c r="B78" s="5" t="n">
        <v>0</v>
      </c>
      <c r="C78" s="6" t="n">
        <v>1.792067524066952</v>
      </c>
      <c r="D78" s="6" t="n">
        <v>0.9458665483872429</v>
      </c>
      <c r="E78" s="6" t="n">
        <v>0.4748726930111218</v>
      </c>
      <c r="F78" s="6" t="n">
        <v>-0.8850484360866833</v>
      </c>
      <c r="G78" s="5" t="n">
        <v>0</v>
      </c>
      <c r="H78" s="5" t="n">
        <v>1</v>
      </c>
      <c r="I78" s="5" t="n">
        <v>0</v>
      </c>
      <c r="J78" s="5" t="n">
        <v>1</v>
      </c>
      <c r="K78" s="5" t="n">
        <v>0</v>
      </c>
      <c r="L78" s="5" t="n">
        <v>0</v>
      </c>
      <c r="M78" s="5" t="n">
        <v>0</v>
      </c>
      <c r="N78" s="5" t="n">
        <v>0</v>
      </c>
      <c r="O78" s="5" t="n">
        <v>0</v>
      </c>
      <c r="P78" s="5" t="n">
        <v>0</v>
      </c>
      <c r="Q78" s="5" t="n">
        <v>0</v>
      </c>
      <c r="R78" s="5" t="n">
        <v>0</v>
      </c>
      <c r="S78" s="5" t="n">
        <v>0</v>
      </c>
      <c r="T78" s="5" t="n">
        <v>0</v>
      </c>
      <c r="U78" s="5" t="inlineStr">
        <is>
          <t>testing</t>
        </is>
      </c>
      <c r="V78" s="5" t="n">
        <v>0</v>
      </c>
    </row>
    <row r="79">
      <c r="A79" s="5" t="n">
        <v>75</v>
      </c>
      <c r="B79" s="5" t="n">
        <v>1</v>
      </c>
      <c r="C79" s="6" t="n">
        <v>1.286513816310289</v>
      </c>
      <c r="D79" s="6" t="n">
        <v>-0.445656885661588</v>
      </c>
      <c r="E79" s="6" t="n">
        <v>0.3878996723131141</v>
      </c>
      <c r="F79" s="6" t="n">
        <v>0.9185437189662378</v>
      </c>
      <c r="G79" s="5" t="n">
        <v>1</v>
      </c>
      <c r="H79" s="5" t="n">
        <v>0</v>
      </c>
      <c r="I79" s="5" t="n">
        <v>0</v>
      </c>
      <c r="J79" s="5" t="n">
        <v>0</v>
      </c>
      <c r="K79" s="5" t="n">
        <v>0</v>
      </c>
      <c r="L79" s="5" t="n">
        <v>0</v>
      </c>
      <c r="M79" s="5" t="n">
        <v>0</v>
      </c>
      <c r="N79" s="5" t="n">
        <v>0</v>
      </c>
      <c r="O79" s="5" t="n">
        <v>1</v>
      </c>
      <c r="P79" s="5" t="n">
        <v>0</v>
      </c>
      <c r="Q79" s="5" t="n">
        <v>0</v>
      </c>
      <c r="R79" s="5" t="n">
        <v>0</v>
      </c>
      <c r="S79" s="5" t="n">
        <v>0</v>
      </c>
      <c r="T79" s="5" t="n">
        <v>0</v>
      </c>
      <c r="U79" s="5" t="inlineStr">
        <is>
          <t>training</t>
        </is>
      </c>
      <c r="V79" s="5" t="n">
        <v>1</v>
      </c>
    </row>
    <row r="80">
      <c r="A80" s="5" t="n">
        <v>76</v>
      </c>
      <c r="B80" s="5" t="n">
        <v>0</v>
      </c>
      <c r="C80" s="6" t="n">
        <v>-0.7357010147163632</v>
      </c>
      <c r="D80" s="6" t="n">
        <v>-0.603458512203208</v>
      </c>
      <c r="E80" s="6" t="n">
        <v>2.649198210461313</v>
      </c>
      <c r="F80" s="6" t="n">
        <v>0.9185437189662378</v>
      </c>
      <c r="G80" s="5" t="n">
        <v>1</v>
      </c>
      <c r="H80" s="5" t="n">
        <v>0</v>
      </c>
      <c r="I80" s="5" t="n">
        <v>0</v>
      </c>
      <c r="J80" s="5" t="n">
        <v>1</v>
      </c>
      <c r="K80" s="5" t="n">
        <v>0</v>
      </c>
      <c r="L80" s="5" t="n">
        <v>0</v>
      </c>
      <c r="M80" s="5" t="n">
        <v>0</v>
      </c>
      <c r="N80" s="5" t="n">
        <v>0</v>
      </c>
      <c r="O80" s="5" t="n">
        <v>0</v>
      </c>
      <c r="P80" s="5" t="n">
        <v>0</v>
      </c>
      <c r="Q80" s="5" t="n">
        <v>1</v>
      </c>
      <c r="R80" s="5" t="n">
        <v>1</v>
      </c>
      <c r="S80" s="5" t="n">
        <v>0</v>
      </c>
      <c r="T80" s="5" t="n">
        <v>0</v>
      </c>
      <c r="U80" s="5" t="inlineStr">
        <is>
          <t>training</t>
        </is>
      </c>
      <c r="V80" s="5" t="n">
        <v>1</v>
      </c>
    </row>
    <row r="81">
      <c r="A81" s="5" t="n">
        <v>77</v>
      </c>
      <c r="B81" s="5" t="n">
        <v>1</v>
      </c>
      <c r="C81" s="6" t="n">
        <v>1.792067524066952</v>
      </c>
      <c r="D81" s="6" t="n">
        <v>0.2499298849919388</v>
      </c>
      <c r="E81" s="6" t="n">
        <v>-0.1339384518749317</v>
      </c>
      <c r="F81" s="6" t="n">
        <v>0.9185437189662378</v>
      </c>
      <c r="G81" s="5" t="n">
        <v>1</v>
      </c>
      <c r="H81" s="5" t="n">
        <v>0</v>
      </c>
      <c r="I81" s="5" t="n">
        <v>0</v>
      </c>
      <c r="J81" s="5" t="n">
        <v>0</v>
      </c>
      <c r="K81" s="5" t="n">
        <v>0</v>
      </c>
      <c r="L81" s="5" t="n">
        <v>0</v>
      </c>
      <c r="M81" s="5" t="n">
        <v>0</v>
      </c>
      <c r="N81" s="5" t="n">
        <v>0</v>
      </c>
      <c r="O81" s="5" t="n">
        <v>0</v>
      </c>
      <c r="P81" s="5" t="n">
        <v>0</v>
      </c>
      <c r="Q81" s="5" t="n">
        <v>0</v>
      </c>
      <c r="R81" s="5" t="n">
        <v>0</v>
      </c>
      <c r="S81" s="5" t="n">
        <v>1</v>
      </c>
      <c r="T81" s="5" t="n">
        <v>0</v>
      </c>
      <c r="U81" s="5" t="inlineStr">
        <is>
          <t>training</t>
        </is>
      </c>
      <c r="V81" s="5" t="n">
        <v>1</v>
      </c>
    </row>
    <row r="82">
      <c r="A82" s="5" t="n">
        <v>78</v>
      </c>
      <c r="B82" s="5" t="n">
        <v>0</v>
      </c>
      <c r="C82" s="6" t="n">
        <v>-0.8199599660091405</v>
      </c>
      <c r="D82" s="6" t="n">
        <v>0.5319434348645457</v>
      </c>
      <c r="E82" s="6" t="n">
        <v>1.344602899991198</v>
      </c>
      <c r="F82" s="6" t="n">
        <v>-0.8850484360866833</v>
      </c>
      <c r="G82" s="5" t="n">
        <v>0</v>
      </c>
      <c r="H82" s="5" t="n">
        <v>1</v>
      </c>
      <c r="I82" s="5" t="n">
        <v>0</v>
      </c>
      <c r="J82" s="5" t="n">
        <v>0</v>
      </c>
      <c r="K82" s="5" t="n">
        <v>1</v>
      </c>
      <c r="L82" s="5" t="n">
        <v>0</v>
      </c>
      <c r="M82" s="5" t="n">
        <v>0</v>
      </c>
      <c r="N82" s="5" t="n">
        <v>0</v>
      </c>
      <c r="O82" s="5" t="n">
        <v>0</v>
      </c>
      <c r="P82" s="5" t="n">
        <v>0</v>
      </c>
      <c r="Q82" s="5" t="n">
        <v>0</v>
      </c>
      <c r="R82" s="5" t="n">
        <v>0</v>
      </c>
      <c r="S82" s="5" t="n">
        <v>1</v>
      </c>
      <c r="T82" s="5" t="n">
        <v>0</v>
      </c>
      <c r="U82" s="5" t="inlineStr">
        <is>
          <t>testing</t>
        </is>
      </c>
      <c r="V82" s="5" t="n">
        <v>0</v>
      </c>
    </row>
    <row r="83">
      <c r="A83" s="5" t="n">
        <v>79</v>
      </c>
      <c r="B83" s="5" t="n">
        <v>0</v>
      </c>
      <c r="C83" s="6" t="n">
        <v>2.803174939580279</v>
      </c>
      <c r="D83" s="6" t="n">
        <v>2.164193075256247</v>
      </c>
      <c r="E83" s="6" t="n">
        <v>0.3009266516151065</v>
      </c>
      <c r="F83" s="6" t="n">
        <v>-0.8850484360866833</v>
      </c>
      <c r="G83" s="5" t="n">
        <v>0</v>
      </c>
      <c r="H83" s="5" t="n">
        <v>0</v>
      </c>
      <c r="I83" s="5" t="n">
        <v>0</v>
      </c>
      <c r="J83" s="5" t="n">
        <v>0</v>
      </c>
      <c r="K83" s="5" t="n">
        <v>0</v>
      </c>
      <c r="L83" s="5" t="n">
        <v>1</v>
      </c>
      <c r="M83" s="5" t="n">
        <v>0</v>
      </c>
      <c r="N83" s="5" t="n">
        <v>0</v>
      </c>
      <c r="O83" s="5" t="n">
        <v>1</v>
      </c>
      <c r="P83" s="5" t="n">
        <v>0</v>
      </c>
      <c r="Q83" s="5" t="n">
        <v>0</v>
      </c>
      <c r="R83" s="5" t="n">
        <v>1</v>
      </c>
      <c r="S83" s="5" t="n">
        <v>0</v>
      </c>
      <c r="T83" s="5" t="n">
        <v>0</v>
      </c>
      <c r="U83" s="5" t="inlineStr">
        <is>
          <t>training</t>
        </is>
      </c>
      <c r="V83" s="5" t="n">
        <v>1</v>
      </c>
    </row>
    <row r="84">
      <c r="A84" s="5" t="n">
        <v>80</v>
      </c>
      <c r="B84" s="5" t="n">
        <v>0</v>
      </c>
      <c r="C84" s="6" t="n">
        <v>0.7809601085536261</v>
      </c>
      <c r="D84" s="6" t="n">
        <v>0.2033941503355408</v>
      </c>
      <c r="E84" s="6" t="n">
        <v>-1.177614700251023</v>
      </c>
      <c r="F84" s="6" t="n">
        <v>-0.8850484360866833</v>
      </c>
      <c r="G84" s="5" t="n">
        <v>0</v>
      </c>
      <c r="H84" s="5" t="n">
        <v>1</v>
      </c>
      <c r="I84" s="5" t="n">
        <v>0</v>
      </c>
      <c r="J84" s="5" t="n">
        <v>0</v>
      </c>
      <c r="K84" s="5" t="n">
        <v>0</v>
      </c>
      <c r="L84" s="5" t="n">
        <v>0</v>
      </c>
      <c r="M84" s="5" t="n">
        <v>0</v>
      </c>
      <c r="N84" s="5" t="n">
        <v>0</v>
      </c>
      <c r="O84" s="5" t="n">
        <v>0</v>
      </c>
      <c r="P84" s="5" t="n">
        <v>0</v>
      </c>
      <c r="Q84" s="5" t="n">
        <v>0</v>
      </c>
      <c r="R84" s="5" t="n">
        <v>0</v>
      </c>
      <c r="S84" s="5" t="n">
        <v>0</v>
      </c>
      <c r="T84" s="5" t="n">
        <v>1</v>
      </c>
      <c r="U84" s="5" t="inlineStr">
        <is>
          <t>training</t>
        </is>
      </c>
      <c r="V84" s="5" t="n">
        <v>1</v>
      </c>
    </row>
    <row r="85">
      <c r="A85" s="5" t="n">
        <v>81</v>
      </c>
      <c r="B85" s="5" t="n">
        <v>1</v>
      </c>
      <c r="C85" s="6" t="n">
        <v>0.275406400796963</v>
      </c>
      <c r="D85" s="6" t="n">
        <v>0.9420177282276913</v>
      </c>
      <c r="E85" s="6" t="n">
        <v>0.7357917551051447</v>
      </c>
      <c r="F85" s="6" t="n">
        <v>-1.786844513613144</v>
      </c>
      <c r="G85" s="5" t="n">
        <v>0</v>
      </c>
      <c r="H85" s="5" t="n">
        <v>0</v>
      </c>
      <c r="I85" s="5" t="n">
        <v>0</v>
      </c>
      <c r="J85" s="5" t="n">
        <v>0</v>
      </c>
      <c r="K85" s="5" t="n">
        <v>0</v>
      </c>
      <c r="L85" s="5" t="n">
        <v>0</v>
      </c>
      <c r="M85" s="5" t="n">
        <v>0</v>
      </c>
      <c r="N85" s="5" t="n">
        <v>0</v>
      </c>
      <c r="O85" s="5" t="n">
        <v>1</v>
      </c>
      <c r="P85" s="5" t="n">
        <v>0</v>
      </c>
      <c r="Q85" s="5" t="n">
        <v>0</v>
      </c>
      <c r="R85" s="5" t="n">
        <v>0</v>
      </c>
      <c r="S85" s="5" t="n">
        <v>1</v>
      </c>
      <c r="T85" s="5" t="n">
        <v>0</v>
      </c>
      <c r="U85" s="5" t="inlineStr">
        <is>
          <t>testing</t>
        </is>
      </c>
      <c r="V85" s="5" t="n">
        <v>0</v>
      </c>
    </row>
    <row r="86">
      <c r="A86" s="5" t="n">
        <v>82</v>
      </c>
      <c r="B86" s="5" t="n">
        <v>0</v>
      </c>
      <c r="C86" s="6" t="n">
        <v>-0.4829241608380317</v>
      </c>
      <c r="D86" s="6" t="n">
        <v>-0.7129749403795429</v>
      </c>
      <c r="E86" s="6" t="n">
        <v>0.9967108171991675</v>
      </c>
      <c r="F86" s="6" t="n">
        <v>0.9185437189662378</v>
      </c>
      <c r="G86" s="5" t="n">
        <v>0</v>
      </c>
      <c r="H86" s="5" t="n">
        <v>0</v>
      </c>
      <c r="I86" s="5" t="n">
        <v>0</v>
      </c>
      <c r="J86" s="5" t="n">
        <v>0</v>
      </c>
      <c r="K86" s="5" t="n">
        <v>0</v>
      </c>
      <c r="L86" s="5" t="n">
        <v>0</v>
      </c>
      <c r="M86" s="5" t="n">
        <v>1</v>
      </c>
      <c r="N86" s="5" t="n">
        <v>0</v>
      </c>
      <c r="O86" s="5" t="n">
        <v>0</v>
      </c>
      <c r="P86" s="5" t="n">
        <v>0</v>
      </c>
      <c r="Q86" s="5" t="n">
        <v>0</v>
      </c>
      <c r="R86" s="5" t="n">
        <v>0</v>
      </c>
      <c r="S86" s="5" t="n">
        <v>1</v>
      </c>
      <c r="T86" s="5" t="n">
        <v>0</v>
      </c>
      <c r="U86" s="5" t="inlineStr">
        <is>
          <t>training</t>
        </is>
      </c>
      <c r="V86" s="5" t="n">
        <v>1</v>
      </c>
    </row>
    <row r="87">
      <c r="A87" s="5" t="n">
        <v>83</v>
      </c>
      <c r="B87" s="5" t="n">
        <v>0</v>
      </c>
      <c r="C87" s="6" t="n">
        <v>-0.2301473069597001</v>
      </c>
      <c r="D87" s="6" t="n">
        <v>-0.588763017048556</v>
      </c>
      <c r="E87" s="6" t="n">
        <v>-1.003668658855008</v>
      </c>
      <c r="F87" s="6" t="n">
        <v>0.01674764143977723</v>
      </c>
      <c r="G87" s="5" t="n">
        <v>0</v>
      </c>
      <c r="H87" s="5" t="n">
        <v>0</v>
      </c>
      <c r="I87" s="5" t="n">
        <v>0</v>
      </c>
      <c r="J87" s="5" t="n">
        <v>0</v>
      </c>
      <c r="K87" s="5" t="n">
        <v>0</v>
      </c>
      <c r="L87" s="5" t="n">
        <v>0</v>
      </c>
      <c r="M87" s="5" t="n">
        <v>1</v>
      </c>
      <c r="N87" s="5" t="n">
        <v>0</v>
      </c>
      <c r="O87" s="5" t="n">
        <v>0</v>
      </c>
      <c r="P87" s="5" t="n">
        <v>1</v>
      </c>
      <c r="Q87" s="5" t="n">
        <v>0</v>
      </c>
      <c r="R87" s="5" t="n">
        <v>0</v>
      </c>
      <c r="S87" s="5" t="n">
        <v>0</v>
      </c>
      <c r="T87" s="5" t="n">
        <v>0</v>
      </c>
      <c r="U87" s="5" t="inlineStr">
        <is>
          <t>testing</t>
        </is>
      </c>
      <c r="V87" s="5" t="n">
        <v>0</v>
      </c>
    </row>
    <row r="88">
      <c r="A88" s="5" t="n">
        <v>84</v>
      </c>
      <c r="B88" s="5" t="n">
        <v>0</v>
      </c>
      <c r="C88" s="6" t="n">
        <v>0.275406400796963</v>
      </c>
      <c r="D88" s="6" t="n">
        <v>-0.523333074336177</v>
      </c>
      <c r="E88" s="6" t="n">
        <v>1.953414044877252</v>
      </c>
      <c r="F88" s="6" t="n">
        <v>0.9185437189662378</v>
      </c>
      <c r="G88" s="5" t="n">
        <v>1</v>
      </c>
      <c r="H88" s="5" t="n">
        <v>0</v>
      </c>
      <c r="I88" s="5" t="n">
        <v>0</v>
      </c>
      <c r="J88" s="5" t="n">
        <v>0</v>
      </c>
      <c r="K88" s="5" t="n">
        <v>0</v>
      </c>
      <c r="L88" s="5" t="n">
        <v>0</v>
      </c>
      <c r="M88" s="5" t="n">
        <v>0</v>
      </c>
      <c r="N88" s="5" t="n">
        <v>0</v>
      </c>
      <c r="O88" s="5" t="n">
        <v>0</v>
      </c>
      <c r="P88" s="5" t="n">
        <v>0</v>
      </c>
      <c r="Q88" s="5" t="n">
        <v>0</v>
      </c>
      <c r="R88" s="5" t="n">
        <v>0</v>
      </c>
      <c r="S88" s="5" t="n">
        <v>0</v>
      </c>
      <c r="T88" s="5" t="n">
        <v>0</v>
      </c>
      <c r="U88" s="5" t="inlineStr">
        <is>
          <t>testing</t>
        </is>
      </c>
      <c r="V88" s="5" t="n">
        <v>0</v>
      </c>
    </row>
    <row r="89">
      <c r="A89" s="5" t="n">
        <v>85</v>
      </c>
      <c r="B89" s="5" t="n">
        <v>0</v>
      </c>
      <c r="C89" s="6" t="n">
        <v>-0.9042189173019176</v>
      </c>
      <c r="D89" s="6" t="n">
        <v>-0.3273931389408173</v>
      </c>
      <c r="E89" s="6" t="n">
        <v>1.431575920689206</v>
      </c>
      <c r="F89" s="6" t="n">
        <v>0.01674764143977723</v>
      </c>
      <c r="G89" s="5" t="n">
        <v>1</v>
      </c>
      <c r="H89" s="5" t="n">
        <v>0</v>
      </c>
      <c r="I89" s="5" t="n">
        <v>0</v>
      </c>
      <c r="J89" s="5" t="n">
        <v>0</v>
      </c>
      <c r="K89" s="5" t="n">
        <v>0</v>
      </c>
      <c r="L89" s="5" t="n">
        <v>0</v>
      </c>
      <c r="M89" s="5" t="n">
        <v>0</v>
      </c>
      <c r="N89" s="5" t="n">
        <v>0</v>
      </c>
      <c r="O89" s="5" t="n">
        <v>0</v>
      </c>
      <c r="P89" s="5" t="n">
        <v>0</v>
      </c>
      <c r="Q89" s="5" t="n">
        <v>0</v>
      </c>
      <c r="R89" s="5" t="n">
        <v>0</v>
      </c>
      <c r="S89" s="5" t="n">
        <v>1</v>
      </c>
      <c r="T89" s="5" t="n">
        <v>0</v>
      </c>
      <c r="U89" s="5" t="inlineStr">
        <is>
          <t>testing</t>
        </is>
      </c>
      <c r="V89" s="5" t="n">
        <v>0</v>
      </c>
    </row>
    <row r="90">
      <c r="A90" s="5" t="n">
        <v>86</v>
      </c>
      <c r="B90" s="5" t="n">
        <v>0</v>
      </c>
      <c r="C90" s="6" t="n">
        <v>-0.7357010147163632</v>
      </c>
      <c r="D90" s="6" t="n">
        <v>-0.6433462847658348</v>
      </c>
      <c r="E90" s="6" t="n">
        <v>-0.5688035553649698</v>
      </c>
      <c r="F90" s="6" t="n">
        <v>0.9185437189662378</v>
      </c>
      <c r="G90" s="5" t="n">
        <v>0</v>
      </c>
      <c r="H90" s="5" t="n">
        <v>0</v>
      </c>
      <c r="I90" s="5" t="n">
        <v>0</v>
      </c>
      <c r="J90" s="5" t="n">
        <v>1</v>
      </c>
      <c r="K90" s="5" t="n">
        <v>0</v>
      </c>
      <c r="L90" s="5" t="n">
        <v>0</v>
      </c>
      <c r="M90" s="5" t="n">
        <v>0</v>
      </c>
      <c r="N90" s="5" t="n">
        <v>0</v>
      </c>
      <c r="O90" s="5" t="n">
        <v>0</v>
      </c>
      <c r="P90" s="5" t="n">
        <v>0</v>
      </c>
      <c r="Q90" s="5" t="n">
        <v>0</v>
      </c>
      <c r="R90" s="5" t="n">
        <v>0</v>
      </c>
      <c r="S90" s="5" t="n">
        <v>0</v>
      </c>
      <c r="T90" s="5" t="n">
        <v>0</v>
      </c>
      <c r="U90" s="5" t="inlineStr">
        <is>
          <t>testing</t>
        </is>
      </c>
      <c r="V90" s="5" t="n">
        <v>0</v>
      </c>
    </row>
    <row r="91">
      <c r="A91" s="5" t="n">
        <v>87</v>
      </c>
      <c r="B91" s="5" t="n">
        <v>0</v>
      </c>
      <c r="C91" s="6" t="n">
        <v>-0.2301473069597001</v>
      </c>
      <c r="D91" s="6" t="n">
        <v>-0.6842837355537938</v>
      </c>
      <c r="E91" s="6" t="n">
        <v>-0.7427495967609852</v>
      </c>
      <c r="F91" s="6" t="n">
        <v>0.9185437189662378</v>
      </c>
      <c r="G91" s="5" t="n">
        <v>0</v>
      </c>
      <c r="H91" s="5" t="n">
        <v>1</v>
      </c>
      <c r="I91" s="5" t="n">
        <v>0</v>
      </c>
      <c r="J91" s="5" t="n">
        <v>1</v>
      </c>
      <c r="K91" s="5" t="n">
        <v>0</v>
      </c>
      <c r="L91" s="5" t="n">
        <v>0</v>
      </c>
      <c r="M91" s="5" t="n">
        <v>0</v>
      </c>
      <c r="N91" s="5" t="n">
        <v>0</v>
      </c>
      <c r="O91" s="5" t="n">
        <v>0</v>
      </c>
      <c r="P91" s="5" t="n">
        <v>0</v>
      </c>
      <c r="Q91" s="5" t="n">
        <v>0</v>
      </c>
      <c r="R91" s="5" t="n">
        <v>0</v>
      </c>
      <c r="S91" s="5" t="n">
        <v>0</v>
      </c>
      <c r="T91" s="5" t="n">
        <v>1</v>
      </c>
      <c r="U91" s="5" t="inlineStr">
        <is>
          <t>testing</t>
        </is>
      </c>
      <c r="V91" s="5" t="n">
        <v>0</v>
      </c>
    </row>
    <row r="92">
      <c r="A92" s="5" t="n">
        <v>88</v>
      </c>
      <c r="B92" s="5" t="n">
        <v>1</v>
      </c>
      <c r="C92" s="6" t="n">
        <v>1.286513816310289</v>
      </c>
      <c r="D92" s="6" t="n">
        <v>3.275452423141358</v>
      </c>
      <c r="E92" s="6" t="n">
        <v>0.9967108171991675</v>
      </c>
      <c r="F92" s="6" t="n">
        <v>-1.786844513613144</v>
      </c>
      <c r="G92" s="5" t="n">
        <v>0</v>
      </c>
      <c r="H92" s="5" t="n">
        <v>1</v>
      </c>
      <c r="I92" s="5" t="n">
        <v>0</v>
      </c>
      <c r="J92" s="5" t="n">
        <v>0</v>
      </c>
      <c r="K92" s="5" t="n">
        <v>0</v>
      </c>
      <c r="L92" s="5" t="n">
        <v>0</v>
      </c>
      <c r="M92" s="5" t="n">
        <v>1</v>
      </c>
      <c r="N92" s="5" t="n">
        <v>0</v>
      </c>
      <c r="O92" s="5" t="n">
        <v>0</v>
      </c>
      <c r="P92" s="5" t="n">
        <v>0</v>
      </c>
      <c r="Q92" s="5" t="n">
        <v>1</v>
      </c>
      <c r="R92" s="5" t="n">
        <v>0</v>
      </c>
      <c r="S92" s="5" t="n">
        <v>0</v>
      </c>
      <c r="T92" s="5" t="n">
        <v>0</v>
      </c>
      <c r="U92" s="5" t="inlineStr">
        <is>
          <t>training</t>
        </is>
      </c>
      <c r="V92" s="5" t="n">
        <v>1</v>
      </c>
    </row>
    <row r="93">
      <c r="A93" s="5" t="n">
        <v>89</v>
      </c>
      <c r="B93" s="5" t="n">
        <v>0</v>
      </c>
      <c r="C93" s="6" t="n">
        <v>-0.2301473069597001</v>
      </c>
      <c r="D93" s="6" t="n">
        <v>-0.3504860598981276</v>
      </c>
      <c r="E93" s="6" t="n">
        <v>-0.4818305346669622</v>
      </c>
      <c r="F93" s="6" t="n">
        <v>0.9185437189662378</v>
      </c>
      <c r="G93" s="5" t="n">
        <v>1</v>
      </c>
      <c r="H93" s="5" t="n">
        <v>0</v>
      </c>
      <c r="I93" s="5" t="n">
        <v>0</v>
      </c>
      <c r="J93" s="5" t="n">
        <v>0</v>
      </c>
      <c r="K93" s="5" t="n">
        <v>0</v>
      </c>
      <c r="L93" s="5" t="n">
        <v>0</v>
      </c>
      <c r="M93" s="5" t="n">
        <v>1</v>
      </c>
      <c r="N93" s="5" t="n">
        <v>0</v>
      </c>
      <c r="O93" s="5" t="n">
        <v>0</v>
      </c>
      <c r="P93" s="5" t="n">
        <v>0</v>
      </c>
      <c r="Q93" s="5" t="n">
        <v>0</v>
      </c>
      <c r="R93" s="5" t="n">
        <v>1</v>
      </c>
      <c r="S93" s="5" t="n">
        <v>0</v>
      </c>
      <c r="T93" s="5" t="n">
        <v>0</v>
      </c>
      <c r="U93" s="5" t="inlineStr">
        <is>
          <t>testing</t>
        </is>
      </c>
      <c r="V93" s="5" t="n">
        <v>0</v>
      </c>
    </row>
    <row r="94">
      <c r="A94" s="5" t="n">
        <v>90</v>
      </c>
      <c r="B94" s="5" t="n">
        <v>1</v>
      </c>
      <c r="C94" s="6" t="n">
        <v>-0.7357010147163632</v>
      </c>
      <c r="D94" s="6" t="n">
        <v>-0.7497136782661729</v>
      </c>
      <c r="E94" s="6" t="n">
        <v>-0.6557765760629775</v>
      </c>
      <c r="F94" s="6" t="n">
        <v>0.9185437189662378</v>
      </c>
      <c r="G94" s="5" t="n">
        <v>1</v>
      </c>
      <c r="H94" s="5" t="n">
        <v>0</v>
      </c>
      <c r="I94" s="5" t="n">
        <v>0</v>
      </c>
      <c r="J94" s="5" t="n">
        <v>0</v>
      </c>
      <c r="K94" s="5" t="n">
        <v>0</v>
      </c>
      <c r="L94" s="5" t="n">
        <v>1</v>
      </c>
      <c r="M94" s="5" t="n">
        <v>0</v>
      </c>
      <c r="N94" s="5" t="n">
        <v>0</v>
      </c>
      <c r="O94" s="5" t="n">
        <v>0</v>
      </c>
      <c r="P94" s="5" t="n">
        <v>0</v>
      </c>
      <c r="Q94" s="5" t="n">
        <v>0</v>
      </c>
      <c r="R94" s="5" t="n">
        <v>0</v>
      </c>
      <c r="S94" s="5" t="n">
        <v>0</v>
      </c>
      <c r="T94" s="5" t="n">
        <v>0</v>
      </c>
      <c r="U94" s="5" t="inlineStr">
        <is>
          <t>testing</t>
        </is>
      </c>
      <c r="V94" s="5" t="n">
        <v>0</v>
      </c>
    </row>
    <row r="95">
      <c r="A95" s="5" t="n">
        <v>91</v>
      </c>
      <c r="B95" s="5" t="n">
        <v>0</v>
      </c>
      <c r="C95" s="6" t="n">
        <v>-0.7357010147163632</v>
      </c>
      <c r="D95" s="6" t="n">
        <v>-0.9211611217371126</v>
      </c>
      <c r="E95" s="6" t="n">
        <v>1.779468003481236</v>
      </c>
      <c r="F95" s="6" t="n">
        <v>0.9185437189662378</v>
      </c>
      <c r="G95" s="5" t="n">
        <v>0</v>
      </c>
      <c r="H95" s="5" t="n">
        <v>0</v>
      </c>
      <c r="I95" s="5" t="n">
        <v>0</v>
      </c>
      <c r="J95" s="5" t="n">
        <v>1</v>
      </c>
      <c r="K95" s="5" t="n">
        <v>0</v>
      </c>
      <c r="L95" s="5" t="n">
        <v>0</v>
      </c>
      <c r="M95" s="5" t="n">
        <v>0</v>
      </c>
      <c r="N95" s="5" t="n">
        <v>0</v>
      </c>
      <c r="O95" s="5" t="n">
        <v>0</v>
      </c>
      <c r="P95" s="5" t="n">
        <v>0</v>
      </c>
      <c r="Q95" s="5" t="n">
        <v>0</v>
      </c>
      <c r="R95" s="5" t="n">
        <v>0</v>
      </c>
      <c r="S95" s="5" t="n">
        <v>1</v>
      </c>
      <c r="T95" s="5" t="n">
        <v>0</v>
      </c>
      <c r="U95" s="5" t="inlineStr">
        <is>
          <t>training</t>
        </is>
      </c>
      <c r="V95" s="5" t="n">
        <v>0</v>
      </c>
    </row>
    <row r="96">
      <c r="A96" s="5" t="n">
        <v>92</v>
      </c>
      <c r="B96" s="5" t="n">
        <v>0</v>
      </c>
      <c r="C96" s="6" t="n">
        <v>-0.7357010147163632</v>
      </c>
      <c r="D96" s="6" t="n">
        <v>-0.6443959629911671</v>
      </c>
      <c r="E96" s="6" t="n">
        <v>1.605521962085221</v>
      </c>
      <c r="F96" s="6" t="n">
        <v>0.9185437189662378</v>
      </c>
      <c r="G96" s="5" t="n">
        <v>1</v>
      </c>
      <c r="H96" s="5" t="n">
        <v>0</v>
      </c>
      <c r="I96" s="5" t="n">
        <v>0</v>
      </c>
      <c r="J96" s="5" t="n">
        <v>1</v>
      </c>
      <c r="K96" s="5" t="n">
        <v>0</v>
      </c>
      <c r="L96" s="5" t="n">
        <v>0</v>
      </c>
      <c r="M96" s="5" t="n">
        <v>0</v>
      </c>
      <c r="N96" s="5" t="n">
        <v>0</v>
      </c>
      <c r="O96" s="5" t="n">
        <v>0</v>
      </c>
      <c r="P96" s="5" t="n">
        <v>0</v>
      </c>
      <c r="Q96" s="5" t="n">
        <v>0</v>
      </c>
      <c r="R96" s="5" t="n">
        <v>1</v>
      </c>
      <c r="S96" s="5" t="n">
        <v>0</v>
      </c>
      <c r="T96" s="5" t="n">
        <v>0</v>
      </c>
      <c r="U96" s="5" t="inlineStr">
        <is>
          <t>testing</t>
        </is>
      </c>
      <c r="V96" s="5" t="n">
        <v>0</v>
      </c>
    </row>
    <row r="97">
      <c r="A97" s="5" t="n">
        <v>93</v>
      </c>
      <c r="B97" s="5" t="n">
        <v>1</v>
      </c>
      <c r="C97" s="6" t="n">
        <v>-0.7357010147163632</v>
      </c>
      <c r="D97" s="6" t="n">
        <v>-0.858530320958953</v>
      </c>
      <c r="E97" s="6" t="n">
        <v>-0.2209114725729393</v>
      </c>
      <c r="F97" s="6" t="n">
        <v>0.9185437189662378</v>
      </c>
      <c r="G97" s="5" t="n">
        <v>0</v>
      </c>
      <c r="H97" s="5" t="n">
        <v>0</v>
      </c>
      <c r="I97" s="5" t="n">
        <v>0</v>
      </c>
      <c r="J97" s="5" t="n">
        <v>1</v>
      </c>
      <c r="K97" s="5" t="n">
        <v>0</v>
      </c>
      <c r="L97" s="5" t="n">
        <v>0</v>
      </c>
      <c r="M97" s="5" t="n">
        <v>0</v>
      </c>
      <c r="N97" s="5" t="n">
        <v>0</v>
      </c>
      <c r="O97" s="5" t="n">
        <v>1</v>
      </c>
      <c r="P97" s="5" t="n">
        <v>0</v>
      </c>
      <c r="Q97" s="5" t="n">
        <v>0</v>
      </c>
      <c r="R97" s="5" t="n">
        <v>0</v>
      </c>
      <c r="S97" s="5" t="n">
        <v>1</v>
      </c>
      <c r="T97" s="5" t="n">
        <v>0</v>
      </c>
      <c r="U97" s="5" t="inlineStr">
        <is>
          <t>testing</t>
        </is>
      </c>
      <c r="V97" s="5" t="n">
        <v>0</v>
      </c>
    </row>
    <row r="98">
      <c r="A98" s="5" t="n">
        <v>94</v>
      </c>
      <c r="B98" s="5" t="n">
        <v>0</v>
      </c>
      <c r="C98" s="6" t="n">
        <v>0.275406400796963</v>
      </c>
      <c r="D98" s="6" t="n">
        <v>0.1281672108533938</v>
      </c>
      <c r="E98" s="6" t="n">
        <v>-1.351560741647039</v>
      </c>
      <c r="F98" s="6" t="n">
        <v>0.9185437189662378</v>
      </c>
      <c r="G98" s="5" t="n">
        <v>0</v>
      </c>
      <c r="H98" s="5" t="n">
        <v>0</v>
      </c>
      <c r="I98" s="5" t="n">
        <v>1</v>
      </c>
      <c r="J98" s="5" t="n">
        <v>1</v>
      </c>
      <c r="K98" s="5" t="n">
        <v>0</v>
      </c>
      <c r="L98" s="5" t="n">
        <v>0</v>
      </c>
      <c r="M98" s="5" t="n">
        <v>0</v>
      </c>
      <c r="N98" s="5" t="n">
        <v>0</v>
      </c>
      <c r="O98" s="5" t="n">
        <v>1</v>
      </c>
      <c r="P98" s="5" t="n">
        <v>1</v>
      </c>
      <c r="Q98" s="5" t="n">
        <v>0</v>
      </c>
      <c r="R98" s="5" t="n">
        <v>0</v>
      </c>
      <c r="S98" s="5" t="n">
        <v>0</v>
      </c>
      <c r="T98" s="5" t="n">
        <v>1</v>
      </c>
      <c r="U98" s="5" t="inlineStr">
        <is>
          <t>training</t>
        </is>
      </c>
      <c r="V98" s="5" t="n">
        <v>0</v>
      </c>
    </row>
    <row r="99">
      <c r="A99" s="5" t="n">
        <v>95</v>
      </c>
      <c r="B99" s="5" t="n">
        <v>0</v>
      </c>
      <c r="C99" s="6" t="n">
        <v>-0.7357010147163632</v>
      </c>
      <c r="D99" s="6" t="n">
        <v>-0.6762362024929131</v>
      </c>
      <c r="E99" s="6" t="n">
        <v>1.605521962085221</v>
      </c>
      <c r="F99" s="6" t="n">
        <v>0.9185437189662378</v>
      </c>
      <c r="G99" s="5" t="n">
        <v>0</v>
      </c>
      <c r="H99" s="5" t="n">
        <v>1</v>
      </c>
      <c r="I99" s="5" t="n">
        <v>0</v>
      </c>
      <c r="J99" s="5" t="n">
        <v>0</v>
      </c>
      <c r="K99" s="5" t="n">
        <v>0</v>
      </c>
      <c r="L99" s="5" t="n">
        <v>0</v>
      </c>
      <c r="M99" s="5" t="n">
        <v>0</v>
      </c>
      <c r="N99" s="5" t="n">
        <v>1</v>
      </c>
      <c r="O99" s="5" t="n">
        <v>0</v>
      </c>
      <c r="P99" s="5" t="n">
        <v>0</v>
      </c>
      <c r="Q99" s="5" t="n">
        <v>0</v>
      </c>
      <c r="R99" s="5" t="n">
        <v>1</v>
      </c>
      <c r="S99" s="5" t="n">
        <v>0</v>
      </c>
      <c r="T99" s="5" t="n">
        <v>0</v>
      </c>
      <c r="U99" s="5" t="inlineStr">
        <is>
          <t>testing</t>
        </is>
      </c>
      <c r="V99" s="5" t="n">
        <v>0</v>
      </c>
    </row>
    <row r="100">
      <c r="A100" s="5" t="n">
        <v>96</v>
      </c>
      <c r="B100" s="5" t="n">
        <v>1</v>
      </c>
      <c r="C100" s="6" t="n">
        <v>2.803174939580279</v>
      </c>
      <c r="D100" s="6" t="n">
        <v>4.441644931485525</v>
      </c>
      <c r="E100" s="6" t="n">
        <v>1.953414044877252</v>
      </c>
      <c r="F100" s="6" t="n">
        <v>0.01674764143977723</v>
      </c>
      <c r="G100" s="5" t="n">
        <v>0</v>
      </c>
      <c r="H100" s="5" t="n">
        <v>1</v>
      </c>
      <c r="I100" s="5" t="n">
        <v>0</v>
      </c>
      <c r="J100" s="5" t="n">
        <v>0</v>
      </c>
      <c r="K100" s="5" t="n">
        <v>0</v>
      </c>
      <c r="L100" s="5" t="n">
        <v>1</v>
      </c>
      <c r="M100" s="5" t="n">
        <v>0</v>
      </c>
      <c r="N100" s="5" t="n">
        <v>0</v>
      </c>
      <c r="O100" s="5" t="n">
        <v>0</v>
      </c>
      <c r="P100" s="5" t="n">
        <v>1</v>
      </c>
      <c r="Q100" s="5" t="n">
        <v>0</v>
      </c>
      <c r="R100" s="5" t="n">
        <v>0</v>
      </c>
      <c r="S100" s="5" t="n">
        <v>0</v>
      </c>
      <c r="T100" s="5" t="n">
        <v>0</v>
      </c>
      <c r="U100" s="5" t="inlineStr">
        <is>
          <t>training</t>
        </is>
      </c>
      <c r="V100" s="5" t="n">
        <v>1</v>
      </c>
    </row>
    <row r="101">
      <c r="A101" s="5" t="n">
        <v>97</v>
      </c>
      <c r="B101" s="5" t="n">
        <v>0</v>
      </c>
      <c r="C101" s="6" t="n">
        <v>-0.7357010147163632</v>
      </c>
      <c r="D101" s="6" t="n">
        <v>-0.433410639699378</v>
      </c>
      <c r="E101" s="6" t="n">
        <v>2.214333106971274</v>
      </c>
      <c r="F101" s="6" t="n">
        <v>0.9185437189662378</v>
      </c>
      <c r="G101" s="5" t="n">
        <v>0</v>
      </c>
      <c r="H101" s="5" t="n">
        <v>0</v>
      </c>
      <c r="I101" s="5" t="n">
        <v>0</v>
      </c>
      <c r="J101" s="5" t="n">
        <v>1</v>
      </c>
      <c r="K101" s="5" t="n">
        <v>0</v>
      </c>
      <c r="L101" s="5" t="n">
        <v>0</v>
      </c>
      <c r="M101" s="5" t="n">
        <v>0</v>
      </c>
      <c r="N101" s="5" t="n">
        <v>0</v>
      </c>
      <c r="O101" s="5" t="n">
        <v>1</v>
      </c>
      <c r="P101" s="5" t="n">
        <v>0</v>
      </c>
      <c r="Q101" s="5" t="n">
        <v>0</v>
      </c>
      <c r="R101" s="5" t="n">
        <v>0</v>
      </c>
      <c r="S101" s="5" t="n">
        <v>0</v>
      </c>
      <c r="T101" s="5" t="n">
        <v>0</v>
      </c>
      <c r="U101" s="5" t="inlineStr">
        <is>
          <t>training</t>
        </is>
      </c>
      <c r="V101" s="5" t="n">
        <v>1</v>
      </c>
    </row>
    <row r="102">
      <c r="A102" s="5" t="n">
        <v>98</v>
      </c>
      <c r="B102" s="5" t="n">
        <v>0</v>
      </c>
      <c r="C102" s="6" t="n">
        <v>-0.2301473069597001</v>
      </c>
      <c r="D102" s="6" t="n">
        <v>-0.219976067215147</v>
      </c>
      <c r="E102" s="6" t="n">
        <v>-0.1339384518749317</v>
      </c>
      <c r="F102" s="6" t="n">
        <v>0.9185437189662378</v>
      </c>
      <c r="G102" s="5" t="n">
        <v>0</v>
      </c>
      <c r="H102" s="5" t="n">
        <v>1</v>
      </c>
      <c r="I102" s="5" t="n">
        <v>0</v>
      </c>
      <c r="J102" s="5" t="n">
        <v>0</v>
      </c>
      <c r="K102" s="5" t="n">
        <v>0</v>
      </c>
      <c r="L102" s="5" t="n">
        <v>0</v>
      </c>
      <c r="M102" s="5" t="n">
        <v>1</v>
      </c>
      <c r="N102" s="5" t="n">
        <v>0</v>
      </c>
      <c r="O102" s="5" t="n">
        <v>0</v>
      </c>
      <c r="P102" s="5" t="n">
        <v>0</v>
      </c>
      <c r="Q102" s="5" t="n">
        <v>0</v>
      </c>
      <c r="R102" s="5" t="n">
        <v>0</v>
      </c>
      <c r="S102" s="5" t="n">
        <v>0</v>
      </c>
      <c r="T102" s="5" t="n">
        <v>0</v>
      </c>
      <c r="U102" s="5" t="inlineStr">
        <is>
          <t>training</t>
        </is>
      </c>
      <c r="V102" s="5" t="n">
        <v>1</v>
      </c>
    </row>
    <row r="103">
      <c r="A103" s="5" t="n">
        <v>99</v>
      </c>
      <c r="B103" s="5" t="n">
        <v>0</v>
      </c>
      <c r="C103" s="6" t="n">
        <v>1.286513816310289</v>
      </c>
      <c r="D103" s="6" t="n">
        <v>-0.3196954986217139</v>
      </c>
      <c r="E103" s="6" t="n">
        <v>0.04000758952108359</v>
      </c>
      <c r="F103" s="6" t="n">
        <v>0.9185437189662378</v>
      </c>
      <c r="G103" s="5" t="n">
        <v>0</v>
      </c>
      <c r="H103" s="5" t="n">
        <v>1</v>
      </c>
      <c r="I103" s="5" t="n">
        <v>0</v>
      </c>
      <c r="J103" s="5" t="n">
        <v>1</v>
      </c>
      <c r="K103" s="5" t="n">
        <v>0</v>
      </c>
      <c r="L103" s="5" t="n">
        <v>0</v>
      </c>
      <c r="M103" s="5" t="n">
        <v>0</v>
      </c>
      <c r="N103" s="5" t="n">
        <v>0</v>
      </c>
      <c r="O103" s="5" t="n">
        <v>0</v>
      </c>
      <c r="P103" s="5" t="n">
        <v>0</v>
      </c>
      <c r="Q103" s="5" t="n">
        <v>0</v>
      </c>
      <c r="R103" s="5" t="n">
        <v>0</v>
      </c>
      <c r="S103" s="5" t="n">
        <v>1</v>
      </c>
      <c r="T103" s="5" t="n">
        <v>0</v>
      </c>
      <c r="U103" s="5" t="inlineStr">
        <is>
          <t>training</t>
        </is>
      </c>
      <c r="V103" s="5" t="n">
        <v>1</v>
      </c>
    </row>
    <row r="104">
      <c r="A104" s="5" t="n">
        <v>100</v>
      </c>
      <c r="B104" s="5" t="n">
        <v>0</v>
      </c>
      <c r="C104" s="6" t="n">
        <v>-0.06162940437414574</v>
      </c>
      <c r="D104" s="6" t="n">
        <v>1.331798242567746</v>
      </c>
      <c r="E104" s="6" t="n">
        <v>0.04000758952108359</v>
      </c>
      <c r="F104" s="6" t="n">
        <v>0.01674764143977723</v>
      </c>
      <c r="G104" s="5" t="n">
        <v>0</v>
      </c>
      <c r="H104" s="5" t="n">
        <v>1</v>
      </c>
      <c r="I104" s="5" t="n">
        <v>0</v>
      </c>
      <c r="J104" s="5" t="n">
        <v>0</v>
      </c>
      <c r="K104" s="5" t="n">
        <v>1</v>
      </c>
      <c r="L104" s="5" t="n">
        <v>0</v>
      </c>
      <c r="M104" s="5" t="n">
        <v>0</v>
      </c>
      <c r="N104" s="5" t="n">
        <v>0</v>
      </c>
      <c r="O104" s="5" t="n">
        <v>1</v>
      </c>
      <c r="P104" s="5" t="n">
        <v>1</v>
      </c>
      <c r="Q104" s="5" t="n">
        <v>0</v>
      </c>
      <c r="R104" s="5" t="n">
        <v>1</v>
      </c>
      <c r="S104" s="5" t="n">
        <v>0</v>
      </c>
      <c r="T104" s="5" t="n">
        <v>0</v>
      </c>
      <c r="U104" s="5" t="inlineStr">
        <is>
          <t>training</t>
        </is>
      </c>
      <c r="V104" s="5" t="n">
        <v>0</v>
      </c>
    </row>
    <row r="105">
      <c r="A105" s="5" t="n">
        <v>101</v>
      </c>
      <c r="B105" s="5" t="n">
        <v>0</v>
      </c>
      <c r="C105" s="6" t="n">
        <v>0.275406400796963</v>
      </c>
      <c r="D105" s="6" t="n">
        <v>-0.6234023984845214</v>
      </c>
      <c r="E105" s="6" t="n">
        <v>0.4748726930111218</v>
      </c>
      <c r="F105" s="6" t="n">
        <v>0.9185437189662378</v>
      </c>
      <c r="G105" s="5" t="n">
        <v>0</v>
      </c>
      <c r="H105" s="5" t="n">
        <v>0</v>
      </c>
      <c r="I105" s="5" t="n">
        <v>0</v>
      </c>
      <c r="J105" s="5" t="n">
        <v>0</v>
      </c>
      <c r="K105" s="5" t="n">
        <v>0</v>
      </c>
      <c r="L105" s="5" t="n">
        <v>0</v>
      </c>
      <c r="M105" s="5" t="n">
        <v>1</v>
      </c>
      <c r="N105" s="5" t="n">
        <v>0</v>
      </c>
      <c r="O105" s="5" t="n">
        <v>0</v>
      </c>
      <c r="P105" s="5" t="n">
        <v>1</v>
      </c>
      <c r="Q105" s="5" t="n">
        <v>0</v>
      </c>
      <c r="R105" s="5" t="n">
        <v>1</v>
      </c>
      <c r="S105" s="5" t="n">
        <v>0</v>
      </c>
      <c r="T105" s="5" t="n">
        <v>0</v>
      </c>
      <c r="U105" s="5" t="inlineStr">
        <is>
          <t>training</t>
        </is>
      </c>
      <c r="V105" s="5" t="n">
        <v>0</v>
      </c>
    </row>
    <row r="106">
      <c r="A106" s="5" t="n">
        <v>102</v>
      </c>
      <c r="B106" s="5" t="n">
        <v>0</v>
      </c>
      <c r="C106" s="6" t="n">
        <v>1.286513816310289</v>
      </c>
      <c r="D106" s="6" t="n">
        <v>-0.3245939970065979</v>
      </c>
      <c r="E106" s="6" t="n">
        <v>-1.003668658855008</v>
      </c>
      <c r="F106" s="6" t="n">
        <v>0.9185437189662378</v>
      </c>
      <c r="G106" s="5" t="n">
        <v>0</v>
      </c>
      <c r="H106" s="5" t="n">
        <v>1</v>
      </c>
      <c r="I106" s="5" t="n">
        <v>0</v>
      </c>
      <c r="J106" s="5" t="n">
        <v>0</v>
      </c>
      <c r="K106" s="5" t="n">
        <v>0</v>
      </c>
      <c r="L106" s="5" t="n">
        <v>0</v>
      </c>
      <c r="M106" s="5" t="n">
        <v>0</v>
      </c>
      <c r="N106" s="5" t="n">
        <v>0</v>
      </c>
      <c r="O106" s="5" t="n">
        <v>0</v>
      </c>
      <c r="P106" s="5" t="n">
        <v>1</v>
      </c>
      <c r="Q106" s="5" t="n">
        <v>0</v>
      </c>
      <c r="R106" s="5" t="n">
        <v>0</v>
      </c>
      <c r="S106" s="5" t="n">
        <v>1</v>
      </c>
      <c r="T106" s="5" t="n">
        <v>0</v>
      </c>
      <c r="U106" s="5" t="inlineStr">
        <is>
          <t>testing</t>
        </is>
      </c>
      <c r="V106" s="5" t="n">
        <v>0</v>
      </c>
    </row>
    <row r="107">
      <c r="A107" s="5" t="n">
        <v>103</v>
      </c>
      <c r="B107" s="5" t="n">
        <v>0</v>
      </c>
      <c r="C107" s="6" t="n">
        <v>-1.241254722473026</v>
      </c>
      <c r="D107" s="6" t="n">
        <v>-0.8112948008190002</v>
      </c>
      <c r="E107" s="6" t="n">
        <v>-1.003668658855008</v>
      </c>
      <c r="F107" s="6" t="n">
        <v>0.01674764143977723</v>
      </c>
      <c r="G107" s="5" t="n">
        <v>0</v>
      </c>
      <c r="H107" s="5" t="n">
        <v>0</v>
      </c>
      <c r="I107" s="5" t="n">
        <v>0</v>
      </c>
      <c r="J107" s="5" t="n">
        <v>0</v>
      </c>
      <c r="K107" s="5" t="n">
        <v>1</v>
      </c>
      <c r="L107" s="5" t="n">
        <v>0</v>
      </c>
      <c r="M107" s="5" t="n">
        <v>0</v>
      </c>
      <c r="N107" s="5" t="n">
        <v>0</v>
      </c>
      <c r="O107" s="5" t="n">
        <v>0</v>
      </c>
      <c r="P107" s="5" t="n">
        <v>0</v>
      </c>
      <c r="Q107" s="5" t="n">
        <v>0</v>
      </c>
      <c r="R107" s="5" t="n">
        <v>0</v>
      </c>
      <c r="S107" s="5" t="n">
        <v>1</v>
      </c>
      <c r="T107" s="5" t="n">
        <v>0</v>
      </c>
      <c r="U107" s="5" t="inlineStr">
        <is>
          <t>training</t>
        </is>
      </c>
      <c r="V107" s="5" t="n">
        <v>0</v>
      </c>
    </row>
    <row r="108">
      <c r="A108" s="5" t="n">
        <v>104</v>
      </c>
      <c r="B108" s="5" t="n">
        <v>0</v>
      </c>
      <c r="C108" s="6" t="n">
        <v>-0.9884778685946948</v>
      </c>
      <c r="D108" s="6" t="n">
        <v>-0.4659506646846788</v>
      </c>
      <c r="E108" s="6" t="n">
        <v>-0.04696543117692405</v>
      </c>
      <c r="F108" s="6" t="n">
        <v>0.9185437189662378</v>
      </c>
      <c r="G108" s="5" t="n">
        <v>0</v>
      </c>
      <c r="H108" s="5" t="n">
        <v>1</v>
      </c>
      <c r="I108" s="5" t="n">
        <v>0</v>
      </c>
      <c r="J108" s="5" t="n">
        <v>1</v>
      </c>
      <c r="K108" s="5" t="n">
        <v>0</v>
      </c>
      <c r="L108" s="5" t="n">
        <v>0</v>
      </c>
      <c r="M108" s="5" t="n">
        <v>0</v>
      </c>
      <c r="N108" s="5" t="n">
        <v>0</v>
      </c>
      <c r="O108" s="5" t="n">
        <v>0</v>
      </c>
      <c r="P108" s="5" t="n">
        <v>1</v>
      </c>
      <c r="Q108" s="5" t="n">
        <v>0</v>
      </c>
      <c r="R108" s="5" t="n">
        <v>0</v>
      </c>
      <c r="S108" s="5" t="n">
        <v>0</v>
      </c>
      <c r="T108" s="5" t="n">
        <v>1</v>
      </c>
      <c r="U108" s="5" t="inlineStr">
        <is>
          <t>training</t>
        </is>
      </c>
      <c r="V108" s="5" t="n">
        <v>0</v>
      </c>
    </row>
    <row r="109">
      <c r="A109" s="5" t="n">
        <v>105</v>
      </c>
      <c r="B109" s="5" t="n">
        <v>0</v>
      </c>
      <c r="C109" s="6" t="n">
        <v>-0.7357010147163632</v>
      </c>
      <c r="D109" s="6" t="n">
        <v>-0.2819070825097517</v>
      </c>
      <c r="E109" s="6" t="n">
        <v>-0.8297226174589928</v>
      </c>
      <c r="F109" s="6" t="n">
        <v>-0.8850484360866833</v>
      </c>
      <c r="G109" s="5" t="n">
        <v>0</v>
      </c>
      <c r="H109" s="5" t="n">
        <v>0</v>
      </c>
      <c r="I109" s="5" t="n">
        <v>0</v>
      </c>
      <c r="J109" s="5" t="n">
        <v>0</v>
      </c>
      <c r="K109" s="5" t="n">
        <v>0</v>
      </c>
      <c r="L109" s="5" t="n">
        <v>0</v>
      </c>
      <c r="M109" s="5" t="n">
        <v>0</v>
      </c>
      <c r="N109" s="5" t="n">
        <v>0</v>
      </c>
      <c r="O109" s="5" t="n">
        <v>1</v>
      </c>
      <c r="P109" s="5" t="n">
        <v>1</v>
      </c>
      <c r="Q109" s="5" t="n">
        <v>0</v>
      </c>
      <c r="R109" s="5" t="n">
        <v>1</v>
      </c>
      <c r="S109" s="5" t="n">
        <v>0</v>
      </c>
      <c r="T109" s="5" t="n">
        <v>0</v>
      </c>
      <c r="U109" s="5" t="inlineStr">
        <is>
          <t>training</t>
        </is>
      </c>
      <c r="V109" s="5" t="n">
        <v>1</v>
      </c>
    </row>
    <row r="110">
      <c r="A110" s="5" t="n">
        <v>106</v>
      </c>
      <c r="B110" s="5" t="n">
        <v>1</v>
      </c>
      <c r="C110" s="6" t="n">
        <v>0.275406400796963</v>
      </c>
      <c r="D110" s="6" t="n">
        <v>3.039624715183372</v>
      </c>
      <c r="E110" s="6" t="n">
        <v>0.3009266516151065</v>
      </c>
      <c r="F110" s="6" t="n">
        <v>-0.8850484360866833</v>
      </c>
      <c r="G110" s="5" t="n">
        <v>0</v>
      </c>
      <c r="H110" s="5" t="n">
        <v>1</v>
      </c>
      <c r="I110" s="5" t="n">
        <v>0</v>
      </c>
      <c r="J110" s="5" t="n">
        <v>1</v>
      </c>
      <c r="K110" s="5" t="n">
        <v>0</v>
      </c>
      <c r="L110" s="5" t="n">
        <v>0</v>
      </c>
      <c r="M110" s="5" t="n">
        <v>0</v>
      </c>
      <c r="N110" s="5" t="n">
        <v>0</v>
      </c>
      <c r="O110" s="5" t="n">
        <v>0</v>
      </c>
      <c r="P110" s="5" t="n">
        <v>0</v>
      </c>
      <c r="Q110" s="5" t="n">
        <v>0</v>
      </c>
      <c r="R110" s="5" t="n">
        <v>0</v>
      </c>
      <c r="S110" s="5" t="n">
        <v>0</v>
      </c>
      <c r="T110" s="5" t="n">
        <v>0</v>
      </c>
      <c r="U110" s="5" t="inlineStr">
        <is>
          <t>training</t>
        </is>
      </c>
      <c r="V110" s="5" t="n">
        <v>1</v>
      </c>
    </row>
    <row r="111">
      <c r="A111" s="5" t="n">
        <v>107</v>
      </c>
      <c r="B111" s="5" t="n">
        <v>1</v>
      </c>
      <c r="C111" s="6" t="n">
        <v>-0.2301473069597001</v>
      </c>
      <c r="D111" s="6" t="n">
        <v>1.122212490243067</v>
      </c>
      <c r="E111" s="6" t="n">
        <v>0.3009266516151065</v>
      </c>
      <c r="F111" s="6" t="n">
        <v>-0.8850484360866833</v>
      </c>
      <c r="G111" s="5" t="n">
        <v>0</v>
      </c>
      <c r="H111" s="5" t="n">
        <v>0</v>
      </c>
      <c r="I111" s="5" t="n">
        <v>0</v>
      </c>
      <c r="J111" s="5" t="n">
        <v>0</v>
      </c>
      <c r="K111" s="5" t="n">
        <v>0</v>
      </c>
      <c r="L111" s="5" t="n">
        <v>1</v>
      </c>
      <c r="M111" s="5" t="n">
        <v>0</v>
      </c>
      <c r="N111" s="5" t="n">
        <v>0</v>
      </c>
      <c r="O111" s="5" t="n">
        <v>0</v>
      </c>
      <c r="P111" s="5" t="n">
        <v>0</v>
      </c>
      <c r="Q111" s="5" t="n">
        <v>0</v>
      </c>
      <c r="R111" s="5" t="n">
        <v>1</v>
      </c>
      <c r="S111" s="5" t="n">
        <v>0</v>
      </c>
      <c r="T111" s="5" t="n">
        <v>0</v>
      </c>
      <c r="U111" s="5" t="inlineStr">
        <is>
          <t>training</t>
        </is>
      </c>
      <c r="V111" s="5" t="n">
        <v>1</v>
      </c>
    </row>
    <row r="112">
      <c r="A112" s="5" t="n">
        <v>108</v>
      </c>
      <c r="B112" s="5" t="n">
        <v>0</v>
      </c>
      <c r="C112" s="6" t="n">
        <v>-0.7357010147163632</v>
      </c>
      <c r="D112" s="6" t="n">
        <v>0.9892532483676441</v>
      </c>
      <c r="E112" s="6" t="n">
        <v>-0.307884493270947</v>
      </c>
      <c r="F112" s="6" t="n">
        <v>-0.8850484360866833</v>
      </c>
      <c r="G112" s="5" t="n">
        <v>0</v>
      </c>
      <c r="H112" s="5" t="n">
        <v>1</v>
      </c>
      <c r="I112" s="5" t="n">
        <v>0</v>
      </c>
      <c r="J112" s="5" t="n">
        <v>0</v>
      </c>
      <c r="K112" s="5" t="n">
        <v>0</v>
      </c>
      <c r="L112" s="5" t="n">
        <v>0</v>
      </c>
      <c r="M112" s="5" t="n">
        <v>0</v>
      </c>
      <c r="N112" s="5" t="n">
        <v>0</v>
      </c>
      <c r="O112" s="5" t="n">
        <v>0</v>
      </c>
      <c r="P112" s="5" t="n">
        <v>0</v>
      </c>
      <c r="Q112" s="5" t="n">
        <v>0</v>
      </c>
      <c r="R112" s="5" t="n">
        <v>1</v>
      </c>
      <c r="S112" s="5" t="n">
        <v>0</v>
      </c>
      <c r="T112" s="5" t="n">
        <v>0</v>
      </c>
      <c r="U112" s="5" t="inlineStr">
        <is>
          <t>testing</t>
        </is>
      </c>
      <c r="V112" s="5" t="n">
        <v>0</v>
      </c>
    </row>
    <row r="113">
      <c r="A113" s="5" t="n">
        <v>109</v>
      </c>
      <c r="B113" s="5" t="n">
        <v>0</v>
      </c>
      <c r="C113" s="6" t="n">
        <v>0.275406400796963</v>
      </c>
      <c r="D113" s="6" t="n">
        <v>1.564127023107958</v>
      </c>
      <c r="E113" s="6" t="n">
        <v>-0.4818305346669622</v>
      </c>
      <c r="F113" s="6" t="n">
        <v>-1.786844513613144</v>
      </c>
      <c r="G113" s="5" t="n">
        <v>1</v>
      </c>
      <c r="H113" s="5" t="n">
        <v>0</v>
      </c>
      <c r="I113" s="5" t="n">
        <v>0</v>
      </c>
      <c r="J113" s="5" t="n">
        <v>0</v>
      </c>
      <c r="K113" s="5" t="n">
        <v>0</v>
      </c>
      <c r="L113" s="5" t="n">
        <v>0</v>
      </c>
      <c r="M113" s="5" t="n">
        <v>0</v>
      </c>
      <c r="N113" s="5" t="n">
        <v>0</v>
      </c>
      <c r="O113" s="5" t="n">
        <v>1</v>
      </c>
      <c r="P113" s="5" t="n">
        <v>0</v>
      </c>
      <c r="Q113" s="5" t="n">
        <v>0</v>
      </c>
      <c r="R113" s="5" t="n">
        <v>0</v>
      </c>
      <c r="S113" s="5" t="n">
        <v>0</v>
      </c>
      <c r="T113" s="5" t="n">
        <v>1</v>
      </c>
      <c r="U113" s="5" t="inlineStr">
        <is>
          <t>training</t>
        </is>
      </c>
      <c r="V113" s="5" t="n">
        <v>0</v>
      </c>
    </row>
    <row r="114">
      <c r="A114" s="5" t="n">
        <v>110</v>
      </c>
      <c r="B114" s="5" t="n">
        <v>0</v>
      </c>
      <c r="C114" s="6" t="n">
        <v>-0.5671831121308089</v>
      </c>
      <c r="D114" s="6" t="n">
        <v>-0.6440460702493896</v>
      </c>
      <c r="E114" s="6" t="n">
        <v>-0.04696543117692405</v>
      </c>
      <c r="F114" s="6" t="n">
        <v>-1.786844513613144</v>
      </c>
      <c r="G114" s="5" t="n">
        <v>0</v>
      </c>
      <c r="H114" s="5" t="n">
        <v>1</v>
      </c>
      <c r="I114" s="5" t="n">
        <v>0</v>
      </c>
      <c r="J114" s="5" t="n">
        <v>0</v>
      </c>
      <c r="K114" s="5" t="n">
        <v>0</v>
      </c>
      <c r="L114" s="5" t="n">
        <v>0</v>
      </c>
      <c r="M114" s="5" t="n">
        <v>1</v>
      </c>
      <c r="N114" s="5" t="n">
        <v>0</v>
      </c>
      <c r="O114" s="5" t="n">
        <v>0</v>
      </c>
      <c r="P114" s="5" t="n">
        <v>0</v>
      </c>
      <c r="Q114" s="5" t="n">
        <v>0</v>
      </c>
      <c r="R114" s="5" t="n">
        <v>0</v>
      </c>
      <c r="S114" s="5" t="n">
        <v>0</v>
      </c>
      <c r="T114" s="5" t="n">
        <v>0</v>
      </c>
      <c r="U114" s="5" t="inlineStr">
        <is>
          <t>training</t>
        </is>
      </c>
      <c r="V114" s="5" t="n">
        <v>1</v>
      </c>
    </row>
    <row r="115">
      <c r="A115" s="5" t="n">
        <v>111</v>
      </c>
      <c r="B115" s="5" t="n">
        <v>0</v>
      </c>
      <c r="C115" s="6" t="n">
        <v>-1.241254722473026</v>
      </c>
      <c r="D115" s="6" t="n">
        <v>-0.63040025332007</v>
      </c>
      <c r="E115" s="6" t="n">
        <v>-0.3948575139689546</v>
      </c>
      <c r="F115" s="6" t="n">
        <v>-1.786844513613144</v>
      </c>
      <c r="G115" s="5" t="n">
        <v>0</v>
      </c>
      <c r="H115" s="5" t="n">
        <v>1</v>
      </c>
      <c r="I115" s="5" t="n">
        <v>0</v>
      </c>
      <c r="J115" s="5" t="n">
        <v>0</v>
      </c>
      <c r="K115" s="5" t="n">
        <v>1</v>
      </c>
      <c r="L115" s="5" t="n">
        <v>0</v>
      </c>
      <c r="M115" s="5" t="n">
        <v>1</v>
      </c>
      <c r="N115" s="5" t="n">
        <v>0</v>
      </c>
      <c r="O115" s="5" t="n">
        <v>0</v>
      </c>
      <c r="P115" s="5" t="n">
        <v>0</v>
      </c>
      <c r="Q115" s="5" t="n">
        <v>0</v>
      </c>
      <c r="R115" s="5" t="n">
        <v>0</v>
      </c>
      <c r="S115" s="5" t="n">
        <v>0</v>
      </c>
      <c r="T115" s="5" t="n">
        <v>0</v>
      </c>
      <c r="U115" s="5" t="inlineStr">
        <is>
          <t>training</t>
        </is>
      </c>
      <c r="V115" s="5" t="n">
        <v>0</v>
      </c>
    </row>
    <row r="116">
      <c r="A116" s="5" t="n">
        <v>112</v>
      </c>
      <c r="B116" s="5" t="n">
        <v>0</v>
      </c>
      <c r="C116" s="6" t="n">
        <v>-0.4829241608380317</v>
      </c>
      <c r="D116" s="6" t="n">
        <v>-1.000236881378811</v>
      </c>
      <c r="E116" s="6" t="n">
        <v>-1.090641679553016</v>
      </c>
      <c r="F116" s="6" t="n">
        <v>0.9185437189662378</v>
      </c>
      <c r="G116" s="5" t="n">
        <v>0</v>
      </c>
      <c r="H116" s="5" t="n">
        <v>0</v>
      </c>
      <c r="I116" s="5" t="n">
        <v>1</v>
      </c>
      <c r="J116" s="5" t="n">
        <v>0</v>
      </c>
      <c r="K116" s="5" t="n">
        <v>0</v>
      </c>
      <c r="L116" s="5" t="n">
        <v>0</v>
      </c>
      <c r="M116" s="5" t="n">
        <v>0</v>
      </c>
      <c r="N116" s="5" t="n">
        <v>0</v>
      </c>
      <c r="O116" s="5" t="n">
        <v>0</v>
      </c>
      <c r="P116" s="5" t="n">
        <v>1</v>
      </c>
      <c r="Q116" s="5" t="n">
        <v>0</v>
      </c>
      <c r="R116" s="5" t="n">
        <v>0</v>
      </c>
      <c r="S116" s="5" t="n">
        <v>0</v>
      </c>
      <c r="T116" s="5" t="n">
        <v>0</v>
      </c>
      <c r="U116" s="5" t="inlineStr">
        <is>
          <t>testing</t>
        </is>
      </c>
      <c r="V116" s="5" t="n">
        <v>0</v>
      </c>
    </row>
    <row r="117">
      <c r="A117" s="5" t="n">
        <v>113</v>
      </c>
      <c r="B117" s="5" t="n">
        <v>0</v>
      </c>
      <c r="C117" s="6" t="n">
        <v>-0.2301473069597001</v>
      </c>
      <c r="D117" s="6" t="n">
        <v>1.052933727371136</v>
      </c>
      <c r="E117" s="6" t="n">
        <v>-0.6557765760629775</v>
      </c>
      <c r="F117" s="6" t="n">
        <v>0.01674764143977723</v>
      </c>
      <c r="G117" s="5" t="n">
        <v>0</v>
      </c>
      <c r="H117" s="5" t="n">
        <v>1</v>
      </c>
      <c r="I117" s="5" t="n">
        <v>0</v>
      </c>
      <c r="J117" s="5" t="n">
        <v>0</v>
      </c>
      <c r="K117" s="5" t="n">
        <v>0</v>
      </c>
      <c r="L117" s="5" t="n">
        <v>0</v>
      </c>
      <c r="M117" s="5" t="n">
        <v>0</v>
      </c>
      <c r="N117" s="5" t="n">
        <v>0</v>
      </c>
      <c r="O117" s="5" t="n">
        <v>0</v>
      </c>
      <c r="P117" s="5" t="n">
        <v>1</v>
      </c>
      <c r="Q117" s="5" t="n">
        <v>0</v>
      </c>
      <c r="R117" s="5" t="n">
        <v>1</v>
      </c>
      <c r="S117" s="5" t="n">
        <v>0</v>
      </c>
      <c r="T117" s="5" t="n">
        <v>0</v>
      </c>
      <c r="U117" s="5" t="inlineStr">
        <is>
          <t>training</t>
        </is>
      </c>
      <c r="V117" s="5" t="n">
        <v>0</v>
      </c>
    </row>
    <row r="118">
      <c r="A118" s="5" t="n">
        <v>114</v>
      </c>
      <c r="B118" s="5" t="n">
        <v>1</v>
      </c>
      <c r="C118" s="6" t="n">
        <v>1.286513816310289</v>
      </c>
      <c r="D118" s="6" t="n">
        <v>1.611012650506134</v>
      </c>
      <c r="E118" s="6" t="n">
        <v>-0.9166956381570004</v>
      </c>
      <c r="F118" s="6" t="n">
        <v>0.9185437189662378</v>
      </c>
      <c r="G118" s="5" t="n">
        <v>0</v>
      </c>
      <c r="H118" s="5" t="n">
        <v>0</v>
      </c>
      <c r="I118" s="5" t="n">
        <v>0</v>
      </c>
      <c r="J118" s="5" t="n">
        <v>1</v>
      </c>
      <c r="K118" s="5" t="n">
        <v>0</v>
      </c>
      <c r="L118" s="5" t="n">
        <v>0</v>
      </c>
      <c r="M118" s="5" t="n">
        <v>0</v>
      </c>
      <c r="N118" s="5" t="n">
        <v>0</v>
      </c>
      <c r="O118" s="5" t="n">
        <v>0</v>
      </c>
      <c r="P118" s="5" t="n">
        <v>0</v>
      </c>
      <c r="Q118" s="5" t="n">
        <v>0</v>
      </c>
      <c r="R118" s="5" t="n">
        <v>1</v>
      </c>
      <c r="S118" s="5" t="n">
        <v>0</v>
      </c>
      <c r="T118" s="5" t="n">
        <v>0</v>
      </c>
      <c r="U118" s="5" t="inlineStr">
        <is>
          <t>training</t>
        </is>
      </c>
      <c r="V118" s="5" t="n">
        <v>1</v>
      </c>
    </row>
    <row r="119">
      <c r="A119" s="5" t="n">
        <v>115</v>
      </c>
      <c r="B119" s="5" t="n">
        <v>0</v>
      </c>
      <c r="C119" s="6" t="n">
        <v>-0.7357010147163632</v>
      </c>
      <c r="D119" s="6" t="n">
        <v>-0.5495750299694842</v>
      </c>
      <c r="E119" s="6" t="n">
        <v>-0.04696543117692405</v>
      </c>
      <c r="F119" s="6" t="n">
        <v>0.01674764143977723</v>
      </c>
      <c r="G119" s="5" t="n">
        <v>1</v>
      </c>
      <c r="H119" s="5" t="n">
        <v>0</v>
      </c>
      <c r="I119" s="5" t="n">
        <v>0</v>
      </c>
      <c r="J119" s="5" t="n">
        <v>0</v>
      </c>
      <c r="K119" s="5" t="n">
        <v>0</v>
      </c>
      <c r="L119" s="5" t="n">
        <v>0</v>
      </c>
      <c r="M119" s="5" t="n">
        <v>1</v>
      </c>
      <c r="N119" s="5" t="n">
        <v>0</v>
      </c>
      <c r="O119" s="5" t="n">
        <v>0</v>
      </c>
      <c r="P119" s="5" t="n">
        <v>0</v>
      </c>
      <c r="Q119" s="5" t="n">
        <v>0</v>
      </c>
      <c r="R119" s="5" t="n">
        <v>0</v>
      </c>
      <c r="S119" s="5" t="n">
        <v>1</v>
      </c>
      <c r="T119" s="5" t="n">
        <v>0</v>
      </c>
      <c r="U119" s="5" t="inlineStr">
        <is>
          <t>training</t>
        </is>
      </c>
      <c r="V119" s="5" t="n">
        <v>0</v>
      </c>
    </row>
    <row r="120">
      <c r="A120" s="5" t="n">
        <v>116</v>
      </c>
      <c r="B120" s="5" t="n">
        <v>0</v>
      </c>
      <c r="C120" s="6" t="n">
        <v>2.297621231823615</v>
      </c>
      <c r="D120" s="6" t="n">
        <v>0.1145213939240741</v>
      </c>
      <c r="E120" s="6" t="n">
        <v>0.9967108171991675</v>
      </c>
      <c r="F120" s="6" t="n">
        <v>0.9185437189662378</v>
      </c>
      <c r="G120" s="5" t="n">
        <v>0</v>
      </c>
      <c r="H120" s="5" t="n">
        <v>0</v>
      </c>
      <c r="I120" s="5" t="n">
        <v>0</v>
      </c>
      <c r="J120" s="5" t="n">
        <v>1</v>
      </c>
      <c r="K120" s="5" t="n">
        <v>0</v>
      </c>
      <c r="L120" s="5" t="n">
        <v>0</v>
      </c>
      <c r="M120" s="5" t="n">
        <v>0</v>
      </c>
      <c r="N120" s="5" t="n">
        <v>0</v>
      </c>
      <c r="O120" s="5" t="n">
        <v>1</v>
      </c>
      <c r="P120" s="5" t="n">
        <v>0</v>
      </c>
      <c r="Q120" s="5" t="n">
        <v>0</v>
      </c>
      <c r="R120" s="5" t="n">
        <v>0</v>
      </c>
      <c r="S120" s="5" t="n">
        <v>1</v>
      </c>
      <c r="T120" s="5" t="n">
        <v>0</v>
      </c>
      <c r="U120" s="5" t="inlineStr">
        <is>
          <t>training</t>
        </is>
      </c>
      <c r="V120" s="5" t="n">
        <v>0</v>
      </c>
    </row>
    <row r="121">
      <c r="A121" s="5" t="n">
        <v>117</v>
      </c>
      <c r="B121" s="5" t="n">
        <v>1</v>
      </c>
      <c r="C121" s="6" t="n">
        <v>1.792067524066952</v>
      </c>
      <c r="D121" s="6" t="n">
        <v>1.372735693355705</v>
      </c>
      <c r="E121" s="6" t="n">
        <v>-0.4818305346669622</v>
      </c>
      <c r="F121" s="6" t="n">
        <v>0.9185437189662378</v>
      </c>
      <c r="G121" s="5" t="n">
        <v>1</v>
      </c>
      <c r="H121" s="5" t="n">
        <v>0</v>
      </c>
      <c r="I121" s="5" t="n">
        <v>0</v>
      </c>
      <c r="J121" s="5" t="n">
        <v>0</v>
      </c>
      <c r="K121" s="5" t="n">
        <v>0</v>
      </c>
      <c r="L121" s="5" t="n">
        <v>0</v>
      </c>
      <c r="M121" s="5" t="n">
        <v>0</v>
      </c>
      <c r="N121" s="5" t="n">
        <v>0</v>
      </c>
      <c r="O121" s="5" t="n">
        <v>1</v>
      </c>
      <c r="P121" s="5" t="n">
        <v>0</v>
      </c>
      <c r="Q121" s="5" t="n">
        <v>0</v>
      </c>
      <c r="R121" s="5" t="n">
        <v>0</v>
      </c>
      <c r="S121" s="5" t="n">
        <v>1</v>
      </c>
      <c r="T121" s="5" t="n">
        <v>0</v>
      </c>
      <c r="U121" s="5" t="inlineStr">
        <is>
          <t>testing</t>
        </is>
      </c>
      <c r="V121" s="5" t="n">
        <v>0</v>
      </c>
    </row>
    <row r="122">
      <c r="A122" s="5" t="n">
        <v>118</v>
      </c>
      <c r="B122" s="5" t="n">
        <v>0</v>
      </c>
      <c r="C122" s="6" t="n">
        <v>-0.9042189173019176</v>
      </c>
      <c r="D122" s="6" t="n">
        <v>-0.3914235106860867</v>
      </c>
      <c r="E122" s="6" t="n">
        <v>-0.7427495967609852</v>
      </c>
      <c r="F122" s="6" t="n">
        <v>-0.8850484360866833</v>
      </c>
      <c r="G122" s="5" t="n">
        <v>1</v>
      </c>
      <c r="H122" s="5" t="n">
        <v>0</v>
      </c>
      <c r="I122" s="5" t="n">
        <v>0</v>
      </c>
      <c r="J122" s="5" t="n">
        <v>1</v>
      </c>
      <c r="K122" s="5" t="n">
        <v>0</v>
      </c>
      <c r="L122" s="5" t="n">
        <v>0</v>
      </c>
      <c r="M122" s="5" t="n">
        <v>0</v>
      </c>
      <c r="N122" s="5" t="n">
        <v>0</v>
      </c>
      <c r="O122" s="5" t="n">
        <v>1</v>
      </c>
      <c r="P122" s="5" t="n">
        <v>1</v>
      </c>
      <c r="Q122" s="5" t="n">
        <v>0</v>
      </c>
      <c r="R122" s="5" t="n">
        <v>0</v>
      </c>
      <c r="S122" s="5" t="n">
        <v>0</v>
      </c>
      <c r="T122" s="5" t="n">
        <v>1</v>
      </c>
      <c r="U122" s="5" t="inlineStr">
        <is>
          <t>testing</t>
        </is>
      </c>
      <c r="V122" s="5" t="n">
        <v>0</v>
      </c>
    </row>
    <row r="123">
      <c r="A123" s="5" t="n">
        <v>119</v>
      </c>
      <c r="B123" s="5" t="n">
        <v>1</v>
      </c>
      <c r="C123" s="6" t="n">
        <v>1.033736962431958</v>
      </c>
      <c r="D123" s="6" t="n">
        <v>0.360495991393606</v>
      </c>
      <c r="E123" s="6" t="n">
        <v>-1.090641679553016</v>
      </c>
      <c r="F123" s="6" t="n">
        <v>-1.786844513613144</v>
      </c>
      <c r="G123" s="5" t="n">
        <v>1</v>
      </c>
      <c r="H123" s="5" t="n">
        <v>0</v>
      </c>
      <c r="I123" s="5" t="n">
        <v>0</v>
      </c>
      <c r="J123" s="5" t="n">
        <v>1</v>
      </c>
      <c r="K123" s="5" t="n">
        <v>0</v>
      </c>
      <c r="L123" s="5" t="n">
        <v>0</v>
      </c>
      <c r="M123" s="5" t="n">
        <v>1</v>
      </c>
      <c r="N123" s="5" t="n">
        <v>0</v>
      </c>
      <c r="O123" s="5" t="n">
        <v>0</v>
      </c>
      <c r="P123" s="5" t="n">
        <v>0</v>
      </c>
      <c r="Q123" s="5" t="n">
        <v>0</v>
      </c>
      <c r="R123" s="5" t="n">
        <v>0</v>
      </c>
      <c r="S123" s="5" t="n">
        <v>0</v>
      </c>
      <c r="T123" s="5" t="n">
        <v>1</v>
      </c>
      <c r="U123" s="5" t="inlineStr">
        <is>
          <t>training</t>
        </is>
      </c>
      <c r="V123" s="5" t="n">
        <v>1</v>
      </c>
    </row>
    <row r="124">
      <c r="A124" s="5" t="n">
        <v>120</v>
      </c>
      <c r="B124" s="5" t="n">
        <v>0</v>
      </c>
      <c r="C124" s="6" t="n">
        <v>-0.7357010147163632</v>
      </c>
      <c r="D124" s="6" t="n">
        <v>-0.3095486091101685</v>
      </c>
      <c r="E124" s="6" t="n">
        <v>0.04000758952108359</v>
      </c>
      <c r="F124" s="6" t="n">
        <v>0.01674764143977723</v>
      </c>
      <c r="G124" s="5" t="n">
        <v>0</v>
      </c>
      <c r="H124" s="5" t="n">
        <v>1</v>
      </c>
      <c r="I124" s="5" t="n">
        <v>0</v>
      </c>
      <c r="J124" s="5" t="n">
        <v>1</v>
      </c>
      <c r="K124" s="5" t="n">
        <v>0</v>
      </c>
      <c r="L124" s="5" t="n">
        <v>0</v>
      </c>
      <c r="M124" s="5" t="n">
        <v>1</v>
      </c>
      <c r="N124" s="5" t="n">
        <v>0</v>
      </c>
      <c r="O124" s="5" t="n">
        <v>0</v>
      </c>
      <c r="P124" s="5" t="n">
        <v>0</v>
      </c>
      <c r="Q124" s="5" t="n">
        <v>0</v>
      </c>
      <c r="R124" s="5" t="n">
        <v>1</v>
      </c>
      <c r="S124" s="5" t="n">
        <v>0</v>
      </c>
      <c r="T124" s="5" t="n">
        <v>0</v>
      </c>
      <c r="U124" s="5" t="inlineStr">
        <is>
          <t>training</t>
        </is>
      </c>
      <c r="V124" s="5" t="n">
        <v>0</v>
      </c>
    </row>
    <row r="125">
      <c r="A125" s="5" t="n">
        <v>121</v>
      </c>
      <c r="B125" s="5" t="n">
        <v>1</v>
      </c>
      <c r="C125" s="6" t="n">
        <v>0.02262954691863145</v>
      </c>
      <c r="D125" s="6" t="n">
        <v>-0.4953416549939827</v>
      </c>
      <c r="E125" s="6" t="n">
        <v>-0.9166956381570004</v>
      </c>
      <c r="F125" s="6" t="n">
        <v>0.01674764143977723</v>
      </c>
      <c r="G125" s="5" t="n">
        <v>1</v>
      </c>
      <c r="H125" s="5" t="n">
        <v>0</v>
      </c>
      <c r="I125" s="5" t="n">
        <v>0</v>
      </c>
      <c r="J125" s="5" t="n">
        <v>0</v>
      </c>
      <c r="K125" s="5" t="n">
        <v>0</v>
      </c>
      <c r="L125" s="5" t="n">
        <v>0</v>
      </c>
      <c r="M125" s="5" t="n">
        <v>0</v>
      </c>
      <c r="N125" s="5" t="n">
        <v>0</v>
      </c>
      <c r="O125" s="5" t="n">
        <v>0</v>
      </c>
      <c r="P125" s="5" t="n">
        <v>0</v>
      </c>
      <c r="Q125" s="5" t="n">
        <v>0</v>
      </c>
      <c r="R125" s="5" t="n">
        <v>0</v>
      </c>
      <c r="S125" s="5" t="n">
        <v>1</v>
      </c>
      <c r="T125" s="5" t="n">
        <v>0</v>
      </c>
      <c r="U125" s="5" t="inlineStr">
        <is>
          <t>training</t>
        </is>
      </c>
      <c r="V125" s="5" t="n">
        <v>1</v>
      </c>
    </row>
    <row r="126">
      <c r="A126" s="5" t="n">
        <v>122</v>
      </c>
      <c r="B126" s="5" t="n">
        <v>0</v>
      </c>
      <c r="C126" s="6" t="n">
        <v>0.275406400796963</v>
      </c>
      <c r="D126" s="6" t="n">
        <v>0.2159902890395282</v>
      </c>
      <c r="E126" s="6" t="n">
        <v>0.4748726930111218</v>
      </c>
      <c r="F126" s="6" t="n">
        <v>0.9185437189662378</v>
      </c>
      <c r="G126" s="5" t="n">
        <v>0</v>
      </c>
      <c r="H126" s="5" t="n">
        <v>0</v>
      </c>
      <c r="I126" s="5" t="n">
        <v>0</v>
      </c>
      <c r="J126" s="5" t="n">
        <v>1</v>
      </c>
      <c r="K126" s="5" t="n">
        <v>0</v>
      </c>
      <c r="L126" s="5" t="n">
        <v>0</v>
      </c>
      <c r="M126" s="5" t="n">
        <v>0</v>
      </c>
      <c r="N126" s="5" t="n">
        <v>0</v>
      </c>
      <c r="O126" s="5" t="n">
        <v>0</v>
      </c>
      <c r="P126" s="5" t="n">
        <v>1</v>
      </c>
      <c r="Q126" s="5" t="n">
        <v>0</v>
      </c>
      <c r="R126" s="5" t="n">
        <v>1</v>
      </c>
      <c r="S126" s="5" t="n">
        <v>0</v>
      </c>
      <c r="T126" s="5" t="n">
        <v>0</v>
      </c>
      <c r="U126" s="5" t="inlineStr">
        <is>
          <t>training</t>
        </is>
      </c>
      <c r="V126" s="5" t="n">
        <v>0</v>
      </c>
    </row>
    <row r="127">
      <c r="A127" s="5" t="n">
        <v>123</v>
      </c>
      <c r="B127" s="5" t="n">
        <v>0</v>
      </c>
      <c r="C127" s="6" t="n">
        <v>-0.7357010147163632</v>
      </c>
      <c r="D127" s="6" t="n">
        <v>-0.5187844686930705</v>
      </c>
      <c r="E127" s="6" t="n">
        <v>-1.003668658855008</v>
      </c>
      <c r="F127" s="6" t="n">
        <v>0.01674764143977723</v>
      </c>
      <c r="G127" s="5" t="n">
        <v>0</v>
      </c>
      <c r="H127" s="5" t="n">
        <v>0</v>
      </c>
      <c r="I127" s="5" t="n">
        <v>0</v>
      </c>
      <c r="J127" s="5" t="n">
        <v>0</v>
      </c>
      <c r="K127" s="5" t="n">
        <v>0</v>
      </c>
      <c r="L127" s="5" t="n">
        <v>0</v>
      </c>
      <c r="M127" s="5" t="n">
        <v>0</v>
      </c>
      <c r="N127" s="5" t="n">
        <v>0</v>
      </c>
      <c r="O127" s="5" t="n">
        <v>0</v>
      </c>
      <c r="P127" s="5" t="n">
        <v>1</v>
      </c>
      <c r="Q127" s="5" t="n">
        <v>0</v>
      </c>
      <c r="R127" s="5" t="n">
        <v>0</v>
      </c>
      <c r="S127" s="5" t="n">
        <v>0</v>
      </c>
      <c r="T127" s="5" t="n">
        <v>1</v>
      </c>
      <c r="U127" s="5" t="inlineStr">
        <is>
          <t>training</t>
        </is>
      </c>
      <c r="V127" s="5" t="n">
        <v>1</v>
      </c>
    </row>
    <row r="128">
      <c r="A128" s="5" t="n">
        <v>124</v>
      </c>
      <c r="B128" s="5" t="n">
        <v>0</v>
      </c>
      <c r="C128" s="6" t="n">
        <v>-0.9042189173019176</v>
      </c>
      <c r="D128" s="6" t="n">
        <v>-0.8641286048273918</v>
      </c>
      <c r="E128" s="6" t="n">
        <v>2.38827914836729</v>
      </c>
      <c r="F128" s="6" t="n">
        <v>0.9185437189662378</v>
      </c>
      <c r="G128" s="5" t="n">
        <v>0</v>
      </c>
      <c r="H128" s="5" t="n">
        <v>0</v>
      </c>
      <c r="I128" s="5" t="n">
        <v>1</v>
      </c>
      <c r="J128" s="5" t="n">
        <v>1</v>
      </c>
      <c r="K128" s="5" t="n">
        <v>0</v>
      </c>
      <c r="L128" s="5" t="n">
        <v>0</v>
      </c>
      <c r="M128" s="5" t="n">
        <v>0</v>
      </c>
      <c r="N128" s="5" t="n">
        <v>0</v>
      </c>
      <c r="O128" s="5" t="n">
        <v>0</v>
      </c>
      <c r="P128" s="5" t="n">
        <v>0</v>
      </c>
      <c r="Q128" s="5" t="n">
        <v>1</v>
      </c>
      <c r="R128" s="5" t="n">
        <v>1</v>
      </c>
      <c r="S128" s="5" t="n">
        <v>0</v>
      </c>
      <c r="T128" s="5" t="n">
        <v>0</v>
      </c>
      <c r="U128" s="5" t="inlineStr">
        <is>
          <t>training</t>
        </is>
      </c>
      <c r="V128" s="5" t="n">
        <v>0</v>
      </c>
    </row>
    <row r="129">
      <c r="A129" s="5" t="n">
        <v>125</v>
      </c>
      <c r="B129" s="5" t="n">
        <v>1</v>
      </c>
      <c r="C129" s="6" t="n">
        <v>-0.2301473069597001</v>
      </c>
      <c r="D129" s="6" t="n">
        <v>-0.4642012009757917</v>
      </c>
      <c r="E129" s="6" t="n">
        <v>-0.7427495967609852</v>
      </c>
      <c r="F129" s="6" t="n">
        <v>0.9185437189662378</v>
      </c>
      <c r="G129" s="5" t="n">
        <v>0</v>
      </c>
      <c r="H129" s="5" t="n">
        <v>1</v>
      </c>
      <c r="I129" s="5" t="n">
        <v>0</v>
      </c>
      <c r="J129" s="5" t="n">
        <v>0</v>
      </c>
      <c r="K129" s="5" t="n">
        <v>0</v>
      </c>
      <c r="L129" s="5" t="n">
        <v>0</v>
      </c>
      <c r="M129" s="5" t="n">
        <v>0</v>
      </c>
      <c r="N129" s="5" t="n">
        <v>0</v>
      </c>
      <c r="O129" s="5" t="n">
        <v>1</v>
      </c>
      <c r="P129" s="5" t="n">
        <v>1</v>
      </c>
      <c r="Q129" s="5" t="n">
        <v>0</v>
      </c>
      <c r="R129" s="5" t="n">
        <v>0</v>
      </c>
      <c r="S129" s="5" t="n">
        <v>0</v>
      </c>
      <c r="T129" s="5" t="n">
        <v>1</v>
      </c>
      <c r="U129" s="5" t="inlineStr">
        <is>
          <t>training</t>
        </is>
      </c>
      <c r="V129" s="5" t="n">
        <v>1</v>
      </c>
    </row>
    <row r="130">
      <c r="A130" s="5" t="n">
        <v>126</v>
      </c>
      <c r="B130" s="5" t="n">
        <v>0</v>
      </c>
      <c r="C130" s="6" t="n">
        <v>-0.7357010147163632</v>
      </c>
      <c r="D130" s="6" t="n">
        <v>-0.3952723308456384</v>
      </c>
      <c r="E130" s="6" t="n">
        <v>-0.4818305346669622</v>
      </c>
      <c r="F130" s="6" t="n">
        <v>0.9185437189662378</v>
      </c>
      <c r="G130" s="5" t="n">
        <v>1</v>
      </c>
      <c r="H130" s="5" t="n">
        <v>0</v>
      </c>
      <c r="I130" s="5" t="n">
        <v>0</v>
      </c>
      <c r="J130" s="5" t="n">
        <v>1</v>
      </c>
      <c r="K130" s="5" t="n">
        <v>0</v>
      </c>
      <c r="L130" s="5" t="n">
        <v>0</v>
      </c>
      <c r="M130" s="5" t="n">
        <v>0</v>
      </c>
      <c r="N130" s="5" t="n">
        <v>0</v>
      </c>
      <c r="O130" s="5" t="n">
        <v>0</v>
      </c>
      <c r="P130" s="5" t="n">
        <v>0</v>
      </c>
      <c r="Q130" s="5" t="n">
        <v>0</v>
      </c>
      <c r="R130" s="5" t="n">
        <v>1</v>
      </c>
      <c r="S130" s="5" t="n">
        <v>0</v>
      </c>
      <c r="T130" s="5" t="n">
        <v>0</v>
      </c>
      <c r="U130" s="5" t="inlineStr">
        <is>
          <t>training</t>
        </is>
      </c>
      <c r="V130" s="5" t="n">
        <v>1</v>
      </c>
    </row>
    <row r="131">
      <c r="A131" s="5" t="n">
        <v>127</v>
      </c>
      <c r="B131" s="5" t="n">
        <v>0</v>
      </c>
      <c r="C131" s="6" t="n">
        <v>-0.7357010147163632</v>
      </c>
      <c r="D131" s="6" t="n">
        <v>-0.892120024169586</v>
      </c>
      <c r="E131" s="6" t="n">
        <v>0.3878996723131141</v>
      </c>
      <c r="F131" s="6" t="n">
        <v>0.9185437189662378</v>
      </c>
      <c r="G131" s="5" t="n">
        <v>1</v>
      </c>
      <c r="H131" s="5" t="n">
        <v>0</v>
      </c>
      <c r="I131" s="5" t="n">
        <v>0</v>
      </c>
      <c r="J131" s="5" t="n">
        <v>0</v>
      </c>
      <c r="K131" s="5" t="n">
        <v>0</v>
      </c>
      <c r="L131" s="5" t="n">
        <v>0</v>
      </c>
      <c r="M131" s="5" t="n">
        <v>0</v>
      </c>
      <c r="N131" s="5" t="n">
        <v>0</v>
      </c>
      <c r="O131" s="5" t="n">
        <v>0</v>
      </c>
      <c r="P131" s="5" t="n">
        <v>0</v>
      </c>
      <c r="Q131" s="5" t="n">
        <v>0</v>
      </c>
      <c r="R131" s="5" t="n">
        <v>0</v>
      </c>
      <c r="S131" s="5" t="n">
        <v>1</v>
      </c>
      <c r="T131" s="5" t="n">
        <v>0</v>
      </c>
      <c r="U131" s="5" t="inlineStr">
        <is>
          <t>training</t>
        </is>
      </c>
      <c r="V131" s="5" t="n">
        <v>0</v>
      </c>
    </row>
    <row r="132">
      <c r="A132" s="5" t="n">
        <v>128</v>
      </c>
      <c r="B132" s="5" t="n">
        <v>1</v>
      </c>
      <c r="C132" s="6" t="n">
        <v>-0.7357010147163632</v>
      </c>
      <c r="D132" s="6" t="n">
        <v>-0.9138133741597866</v>
      </c>
      <c r="E132" s="6" t="n">
        <v>-0.4818305346669622</v>
      </c>
      <c r="F132" s="6" t="n">
        <v>0.9185437189662378</v>
      </c>
      <c r="G132" s="5" t="n">
        <v>0</v>
      </c>
      <c r="H132" s="5" t="n">
        <v>1</v>
      </c>
      <c r="I132" s="5" t="n">
        <v>0</v>
      </c>
      <c r="J132" s="5" t="n">
        <v>0</v>
      </c>
      <c r="K132" s="5" t="n">
        <v>0</v>
      </c>
      <c r="L132" s="5" t="n">
        <v>0</v>
      </c>
      <c r="M132" s="5" t="n">
        <v>0</v>
      </c>
      <c r="N132" s="5" t="n">
        <v>0</v>
      </c>
      <c r="O132" s="5" t="n">
        <v>0</v>
      </c>
      <c r="P132" s="5" t="n">
        <v>0</v>
      </c>
      <c r="Q132" s="5" t="n">
        <v>0</v>
      </c>
      <c r="R132" s="5" t="n">
        <v>0</v>
      </c>
      <c r="S132" s="5" t="n">
        <v>0</v>
      </c>
      <c r="T132" s="5" t="n">
        <v>0</v>
      </c>
      <c r="U132" s="5" t="inlineStr">
        <is>
          <t>training</t>
        </is>
      </c>
      <c r="V132" s="5" t="n">
        <v>1</v>
      </c>
    </row>
    <row r="133">
      <c r="A133" s="5" t="n">
        <v>129</v>
      </c>
      <c r="B133" s="5" t="n">
        <v>0</v>
      </c>
      <c r="C133" s="6" t="n">
        <v>-0.7357010147163632</v>
      </c>
      <c r="D133" s="6" t="n">
        <v>-0.4865943364495471</v>
      </c>
      <c r="E133" s="6" t="n">
        <v>-0.1339384518749317</v>
      </c>
      <c r="F133" s="6" t="n">
        <v>0.9185437189662378</v>
      </c>
      <c r="G133" s="5" t="n">
        <v>0</v>
      </c>
      <c r="H133" s="5" t="n">
        <v>1</v>
      </c>
      <c r="I133" s="5" t="n">
        <v>0</v>
      </c>
      <c r="J133" s="5" t="n">
        <v>1</v>
      </c>
      <c r="K133" s="5" t="n">
        <v>0</v>
      </c>
      <c r="L133" s="5" t="n">
        <v>0</v>
      </c>
      <c r="M133" s="5" t="n">
        <v>0</v>
      </c>
      <c r="N133" s="5" t="n">
        <v>0</v>
      </c>
      <c r="O133" s="5" t="n">
        <v>0</v>
      </c>
      <c r="P133" s="5" t="n">
        <v>0</v>
      </c>
      <c r="Q133" s="5" t="n">
        <v>0</v>
      </c>
      <c r="R133" s="5" t="n">
        <v>1</v>
      </c>
      <c r="S133" s="5" t="n">
        <v>0</v>
      </c>
      <c r="T133" s="5" t="n">
        <v>0</v>
      </c>
      <c r="U133" s="5" t="inlineStr">
        <is>
          <t>testing</t>
        </is>
      </c>
      <c r="V133" s="5" t="n">
        <v>0</v>
      </c>
    </row>
    <row r="134">
      <c r="A134" s="5" t="n">
        <v>130</v>
      </c>
      <c r="B134" s="5" t="n">
        <v>1</v>
      </c>
      <c r="C134" s="6" t="n">
        <v>-0.7357010147163632</v>
      </c>
      <c r="D134" s="6" t="n">
        <v>0.08687986732365734</v>
      </c>
      <c r="E134" s="6" t="n">
        <v>-0.5688035553649698</v>
      </c>
      <c r="F134" s="6" t="n">
        <v>0.01674764143977723</v>
      </c>
      <c r="G134" s="5" t="n">
        <v>1</v>
      </c>
      <c r="H134" s="5" t="n">
        <v>0</v>
      </c>
      <c r="I134" s="5" t="n">
        <v>0</v>
      </c>
      <c r="J134" s="5" t="n">
        <v>1</v>
      </c>
      <c r="K134" s="5" t="n">
        <v>0</v>
      </c>
      <c r="L134" s="5" t="n">
        <v>0</v>
      </c>
      <c r="M134" s="5" t="n">
        <v>0</v>
      </c>
      <c r="N134" s="5" t="n">
        <v>0</v>
      </c>
      <c r="O134" s="5" t="n">
        <v>0</v>
      </c>
      <c r="P134" s="5" t="n">
        <v>0</v>
      </c>
      <c r="Q134" s="5" t="n">
        <v>0</v>
      </c>
      <c r="R134" s="5" t="n">
        <v>1</v>
      </c>
      <c r="S134" s="5" t="n">
        <v>0</v>
      </c>
      <c r="T134" s="5" t="n">
        <v>0</v>
      </c>
      <c r="U134" s="5" t="inlineStr">
        <is>
          <t>training</t>
        </is>
      </c>
      <c r="V134" s="5" t="n">
        <v>1</v>
      </c>
    </row>
    <row r="135">
      <c r="A135" s="5" t="n">
        <v>131</v>
      </c>
      <c r="B135" s="5" t="n">
        <v>0</v>
      </c>
      <c r="C135" s="6" t="n">
        <v>2.297621231823615</v>
      </c>
      <c r="D135" s="6" t="n">
        <v>1.832144863309468</v>
      </c>
      <c r="E135" s="6" t="n">
        <v>-1.003668658855008</v>
      </c>
      <c r="F135" s="6" t="n">
        <v>-1.786844513613144</v>
      </c>
      <c r="G135" s="5" t="n">
        <v>0</v>
      </c>
      <c r="H135" s="5" t="n">
        <v>1</v>
      </c>
      <c r="I135" s="5" t="n">
        <v>0</v>
      </c>
      <c r="J135" s="5" t="n">
        <v>0</v>
      </c>
      <c r="K135" s="5" t="n">
        <v>0</v>
      </c>
      <c r="L135" s="5" t="n">
        <v>0</v>
      </c>
      <c r="M135" s="5" t="n">
        <v>0</v>
      </c>
      <c r="N135" s="5" t="n">
        <v>0</v>
      </c>
      <c r="O135" s="5" t="n">
        <v>1</v>
      </c>
      <c r="P135" s="5" t="n">
        <v>0</v>
      </c>
      <c r="Q135" s="5" t="n">
        <v>0</v>
      </c>
      <c r="R135" s="5" t="n">
        <v>1</v>
      </c>
      <c r="S135" s="5" t="n">
        <v>0</v>
      </c>
      <c r="T135" s="5" t="n">
        <v>0</v>
      </c>
      <c r="U135" s="5" t="inlineStr">
        <is>
          <t>training</t>
        </is>
      </c>
      <c r="V135" s="5" t="n">
        <v>0</v>
      </c>
    </row>
    <row r="136">
      <c r="A136" s="5" t="n">
        <v>132</v>
      </c>
      <c r="B136" s="5" t="n">
        <v>1</v>
      </c>
      <c r="C136" s="6" t="n">
        <v>1.286513816310289</v>
      </c>
      <c r="D136" s="6" t="n">
        <v>1.272316476465583</v>
      </c>
      <c r="E136" s="6" t="n">
        <v>-0.5688035553649698</v>
      </c>
      <c r="F136" s="6" t="n">
        <v>0.9185437189662378</v>
      </c>
      <c r="G136" s="5" t="n">
        <v>1</v>
      </c>
      <c r="H136" s="5" t="n">
        <v>0</v>
      </c>
      <c r="I136" s="5" t="n">
        <v>0</v>
      </c>
      <c r="J136" s="5" t="n">
        <v>0</v>
      </c>
      <c r="K136" s="5" t="n">
        <v>1</v>
      </c>
      <c r="L136" s="5" t="n">
        <v>0</v>
      </c>
      <c r="M136" s="5" t="n">
        <v>0</v>
      </c>
      <c r="N136" s="5" t="n">
        <v>0</v>
      </c>
      <c r="O136" s="5" t="n">
        <v>0</v>
      </c>
      <c r="P136" s="5" t="n">
        <v>0</v>
      </c>
      <c r="Q136" s="5" t="n">
        <v>0</v>
      </c>
      <c r="R136" s="5" t="n">
        <v>0</v>
      </c>
      <c r="S136" s="5" t="n">
        <v>0</v>
      </c>
      <c r="T136" s="5" t="n">
        <v>0</v>
      </c>
      <c r="U136" s="5" t="inlineStr">
        <is>
          <t>testing</t>
        </is>
      </c>
      <c r="V136" s="5" t="n">
        <v>0</v>
      </c>
    </row>
    <row r="137">
      <c r="A137" s="5" t="n">
        <v>133</v>
      </c>
      <c r="B137" s="5" t="n">
        <v>0</v>
      </c>
      <c r="C137" s="6" t="n">
        <v>-0.4829241608380317</v>
      </c>
      <c r="D137" s="6" t="n">
        <v>-0.1898852914222882</v>
      </c>
      <c r="E137" s="6" t="n">
        <v>-0.7427495967609852</v>
      </c>
      <c r="F137" s="6" t="n">
        <v>-0.8850484360866833</v>
      </c>
      <c r="G137" s="5" t="n">
        <v>0</v>
      </c>
      <c r="H137" s="5" t="n">
        <v>0</v>
      </c>
      <c r="I137" s="5" t="n">
        <v>0</v>
      </c>
      <c r="J137" s="5" t="n">
        <v>0</v>
      </c>
      <c r="K137" s="5" t="n">
        <v>0</v>
      </c>
      <c r="L137" s="5" t="n">
        <v>0</v>
      </c>
      <c r="M137" s="5" t="n">
        <v>0</v>
      </c>
      <c r="N137" s="5" t="n">
        <v>0</v>
      </c>
      <c r="O137" s="5" t="n">
        <v>0</v>
      </c>
      <c r="P137" s="5" t="n">
        <v>0</v>
      </c>
      <c r="Q137" s="5" t="n">
        <v>0</v>
      </c>
      <c r="R137" s="5" t="n">
        <v>0</v>
      </c>
      <c r="S137" s="5" t="n">
        <v>0</v>
      </c>
      <c r="T137" s="5" t="n">
        <v>1</v>
      </c>
      <c r="U137" s="5" t="inlineStr">
        <is>
          <t>training</t>
        </is>
      </c>
      <c r="V137" s="5" t="n">
        <v>1</v>
      </c>
    </row>
    <row r="138">
      <c r="A138" s="5" t="n">
        <v>134</v>
      </c>
      <c r="B138" s="5" t="n">
        <v>0</v>
      </c>
      <c r="C138" s="6" t="n">
        <v>-0.2301473069597001</v>
      </c>
      <c r="D138" s="6" t="n">
        <v>-0.443207636469146</v>
      </c>
      <c r="E138" s="6" t="n">
        <v>0.9967108171991675</v>
      </c>
      <c r="F138" s="6" t="n">
        <v>0.9185437189662378</v>
      </c>
      <c r="G138" s="5" t="n">
        <v>0</v>
      </c>
      <c r="H138" s="5" t="n">
        <v>0</v>
      </c>
      <c r="I138" s="5" t="n">
        <v>0</v>
      </c>
      <c r="J138" s="5" t="n">
        <v>0</v>
      </c>
      <c r="K138" s="5" t="n">
        <v>0</v>
      </c>
      <c r="L138" s="5" t="n">
        <v>0</v>
      </c>
      <c r="M138" s="5" t="n">
        <v>0</v>
      </c>
      <c r="N138" s="5" t="n">
        <v>0</v>
      </c>
      <c r="O138" s="5" t="n">
        <v>0</v>
      </c>
      <c r="P138" s="5" t="n">
        <v>0</v>
      </c>
      <c r="Q138" s="5" t="n">
        <v>1</v>
      </c>
      <c r="R138" s="5" t="n">
        <v>0</v>
      </c>
      <c r="S138" s="5" t="n">
        <v>0</v>
      </c>
      <c r="T138" s="5" t="n">
        <v>1</v>
      </c>
      <c r="U138" s="5" t="inlineStr">
        <is>
          <t>training</t>
        </is>
      </c>
      <c r="V138" s="5" t="n">
        <v>0</v>
      </c>
    </row>
    <row r="139">
      <c r="A139" s="5" t="n">
        <v>135</v>
      </c>
      <c r="B139" s="5" t="n">
        <v>0</v>
      </c>
      <c r="C139" s="6" t="n">
        <v>3.308728647336942</v>
      </c>
      <c r="D139" s="6" t="n">
        <v>2.411917136434666</v>
      </c>
      <c r="E139" s="6" t="n">
        <v>-1.264587720949031</v>
      </c>
      <c r="F139" s="6" t="n">
        <v>-0.8850484360866833</v>
      </c>
      <c r="G139" s="5" t="n">
        <v>0</v>
      </c>
      <c r="H139" s="5" t="n">
        <v>0</v>
      </c>
      <c r="I139" s="5" t="n">
        <v>0</v>
      </c>
      <c r="J139" s="5" t="n">
        <v>0</v>
      </c>
      <c r="K139" s="5" t="n">
        <v>0</v>
      </c>
      <c r="L139" s="5" t="n">
        <v>0</v>
      </c>
      <c r="M139" s="5" t="n">
        <v>1</v>
      </c>
      <c r="N139" s="5" t="n">
        <v>0</v>
      </c>
      <c r="O139" s="5" t="n">
        <v>0</v>
      </c>
      <c r="P139" s="5" t="n">
        <v>0</v>
      </c>
      <c r="Q139" s="5" t="n">
        <v>0</v>
      </c>
      <c r="R139" s="5" t="n">
        <v>0</v>
      </c>
      <c r="S139" s="5" t="n">
        <v>1</v>
      </c>
      <c r="T139" s="5" t="n">
        <v>0</v>
      </c>
      <c r="U139" s="5" t="inlineStr">
        <is>
          <t>training</t>
        </is>
      </c>
      <c r="V139" s="5" t="n">
        <v>0</v>
      </c>
    </row>
    <row r="140">
      <c r="A140" s="5" t="n">
        <v>136</v>
      </c>
      <c r="B140" s="5" t="n">
        <v>0</v>
      </c>
      <c r="C140" s="6" t="n">
        <v>-0.7357010147163632</v>
      </c>
      <c r="D140" s="6" t="n">
        <v>-0.7035278363515524</v>
      </c>
      <c r="E140" s="6" t="n">
        <v>0.2139536309170988</v>
      </c>
      <c r="F140" s="6" t="n">
        <v>0.9185437189662378</v>
      </c>
      <c r="G140" s="5" t="n">
        <v>0</v>
      </c>
      <c r="H140" s="5" t="n">
        <v>0</v>
      </c>
      <c r="I140" s="5" t="n">
        <v>0</v>
      </c>
      <c r="J140" s="5" t="n">
        <v>1</v>
      </c>
      <c r="K140" s="5" t="n">
        <v>0</v>
      </c>
      <c r="L140" s="5" t="n">
        <v>0</v>
      </c>
      <c r="M140" s="5" t="n">
        <v>0</v>
      </c>
      <c r="N140" s="5" t="n">
        <v>0</v>
      </c>
      <c r="O140" s="5" t="n">
        <v>1</v>
      </c>
      <c r="P140" s="5" t="n">
        <v>0</v>
      </c>
      <c r="Q140" s="5" t="n">
        <v>0</v>
      </c>
      <c r="R140" s="5" t="n">
        <v>0</v>
      </c>
      <c r="S140" s="5" t="n">
        <v>1</v>
      </c>
      <c r="T140" s="5" t="n">
        <v>0</v>
      </c>
      <c r="U140" s="5" t="inlineStr">
        <is>
          <t>testing</t>
        </is>
      </c>
      <c r="V140" s="5" t="n">
        <v>0</v>
      </c>
    </row>
    <row r="141">
      <c r="A141" s="5" t="n">
        <v>137</v>
      </c>
      <c r="B141" s="5" t="n">
        <v>0</v>
      </c>
      <c r="C141" s="6" t="n">
        <v>0.5281832546752946</v>
      </c>
      <c r="D141" s="6" t="n">
        <v>1.876231348773424</v>
      </c>
      <c r="E141" s="6" t="n">
        <v>-0.7427495967609852</v>
      </c>
      <c r="F141" s="6" t="n">
        <v>-0.8850484360866833</v>
      </c>
      <c r="G141" s="5" t="n">
        <v>0</v>
      </c>
      <c r="H141" s="5" t="n">
        <v>0</v>
      </c>
      <c r="I141" s="5" t="n">
        <v>0</v>
      </c>
      <c r="J141" s="5" t="n">
        <v>0</v>
      </c>
      <c r="K141" s="5" t="n">
        <v>1</v>
      </c>
      <c r="L141" s="5" t="n">
        <v>0</v>
      </c>
      <c r="M141" s="5" t="n">
        <v>0</v>
      </c>
      <c r="N141" s="5" t="n">
        <v>1</v>
      </c>
      <c r="O141" s="5" t="n">
        <v>0</v>
      </c>
      <c r="P141" s="5" t="n">
        <v>0</v>
      </c>
      <c r="Q141" s="5" t="n">
        <v>0</v>
      </c>
      <c r="R141" s="5" t="n">
        <v>1</v>
      </c>
      <c r="S141" s="5" t="n">
        <v>0</v>
      </c>
      <c r="T141" s="5" t="n">
        <v>0</v>
      </c>
      <c r="U141" s="5" t="inlineStr">
        <is>
          <t>training</t>
        </is>
      </c>
      <c r="V141" s="5" t="n">
        <v>1</v>
      </c>
    </row>
    <row r="142">
      <c r="A142" s="5" t="n">
        <v>138</v>
      </c>
      <c r="B142" s="5" t="n">
        <v>1</v>
      </c>
      <c r="C142" s="6" t="n">
        <v>-0.7357010147163632</v>
      </c>
      <c r="D142" s="6" t="n">
        <v>-0.8693769959540533</v>
      </c>
      <c r="E142" s="6" t="n">
        <v>2.649198210461313</v>
      </c>
      <c r="F142" s="6" t="n">
        <v>0.9185437189662378</v>
      </c>
      <c r="G142" s="5" t="n">
        <v>0</v>
      </c>
      <c r="H142" s="5" t="n">
        <v>1</v>
      </c>
      <c r="I142" s="5" t="n">
        <v>0</v>
      </c>
      <c r="J142" s="5" t="n">
        <v>0</v>
      </c>
      <c r="K142" s="5" t="n">
        <v>0</v>
      </c>
      <c r="L142" s="5" t="n">
        <v>0</v>
      </c>
      <c r="M142" s="5" t="n">
        <v>1</v>
      </c>
      <c r="N142" s="5" t="n">
        <v>0</v>
      </c>
      <c r="O142" s="5" t="n">
        <v>0</v>
      </c>
      <c r="P142" s="5" t="n">
        <v>0</v>
      </c>
      <c r="Q142" s="5" t="n">
        <v>0</v>
      </c>
      <c r="R142" s="5" t="n">
        <v>0</v>
      </c>
      <c r="S142" s="5" t="n">
        <v>1</v>
      </c>
      <c r="T142" s="5" t="n">
        <v>0</v>
      </c>
      <c r="U142" s="5" t="inlineStr">
        <is>
          <t>training</t>
        </is>
      </c>
      <c r="V142" s="5" t="n">
        <v>1</v>
      </c>
    </row>
    <row r="143">
      <c r="A143" s="5" t="n">
        <v>139</v>
      </c>
      <c r="B143" s="5" t="n">
        <v>0</v>
      </c>
      <c r="C143" s="6" t="n">
        <v>-0.4829241608380317</v>
      </c>
      <c r="D143" s="6" t="n">
        <v>-0.1828874365867396</v>
      </c>
      <c r="E143" s="6" t="n">
        <v>-0.04696543117692405</v>
      </c>
      <c r="F143" s="6" t="n">
        <v>0.9185437189662378</v>
      </c>
      <c r="G143" s="5" t="n">
        <v>0</v>
      </c>
      <c r="H143" s="5" t="n">
        <v>1</v>
      </c>
      <c r="I143" s="5" t="n">
        <v>0</v>
      </c>
      <c r="J143" s="5" t="n">
        <v>1</v>
      </c>
      <c r="K143" s="5" t="n">
        <v>0</v>
      </c>
      <c r="L143" s="5" t="n">
        <v>0</v>
      </c>
      <c r="M143" s="5" t="n">
        <v>0</v>
      </c>
      <c r="N143" s="5" t="n">
        <v>0</v>
      </c>
      <c r="O143" s="5" t="n">
        <v>1</v>
      </c>
      <c r="P143" s="5" t="n">
        <v>0</v>
      </c>
      <c r="Q143" s="5" t="n">
        <v>0</v>
      </c>
      <c r="R143" s="5" t="n">
        <v>0</v>
      </c>
      <c r="S143" s="5" t="n">
        <v>1</v>
      </c>
      <c r="T143" s="5" t="n">
        <v>0</v>
      </c>
      <c r="U143" s="5" t="inlineStr">
        <is>
          <t>training</t>
        </is>
      </c>
      <c r="V143" s="5" t="n">
        <v>0</v>
      </c>
    </row>
    <row r="144">
      <c r="A144" s="5" t="n">
        <v>140</v>
      </c>
      <c r="B144" s="5" t="n">
        <v>0</v>
      </c>
      <c r="C144" s="6" t="n">
        <v>-0.7357010147163632</v>
      </c>
      <c r="D144" s="6" t="n">
        <v>-0.4792465888722211</v>
      </c>
      <c r="E144" s="6" t="n">
        <v>0.7357917551051447</v>
      </c>
      <c r="F144" s="6" t="n">
        <v>-0.8850484360866833</v>
      </c>
      <c r="G144" s="5" t="n">
        <v>0</v>
      </c>
      <c r="H144" s="5" t="n">
        <v>0</v>
      </c>
      <c r="I144" s="5" t="n">
        <v>1</v>
      </c>
      <c r="J144" s="5" t="n">
        <v>0</v>
      </c>
      <c r="K144" s="5" t="n">
        <v>0</v>
      </c>
      <c r="L144" s="5" t="n">
        <v>0</v>
      </c>
      <c r="M144" s="5" t="n">
        <v>0</v>
      </c>
      <c r="N144" s="5" t="n">
        <v>0</v>
      </c>
      <c r="O144" s="5" t="n">
        <v>0</v>
      </c>
      <c r="P144" s="5" t="n">
        <v>1</v>
      </c>
      <c r="Q144" s="5" t="n">
        <v>0</v>
      </c>
      <c r="R144" s="5" t="n">
        <v>0</v>
      </c>
      <c r="S144" s="5" t="n">
        <v>1</v>
      </c>
      <c r="T144" s="5" t="n">
        <v>0</v>
      </c>
      <c r="U144" s="5" t="inlineStr">
        <is>
          <t>testing</t>
        </is>
      </c>
      <c r="V144" s="5" t="n">
        <v>0</v>
      </c>
    </row>
    <row r="145">
      <c r="A145" s="5" t="n">
        <v>141</v>
      </c>
      <c r="B145" s="5" t="n">
        <v>0</v>
      </c>
      <c r="C145" s="6" t="n">
        <v>-1.241254722473026</v>
      </c>
      <c r="D145" s="6" t="n">
        <v>-0.8893208822353666</v>
      </c>
      <c r="E145" s="6" t="n">
        <v>-0.7427495967609852</v>
      </c>
      <c r="F145" s="6" t="n">
        <v>-0.8850484360866833</v>
      </c>
      <c r="G145" s="5" t="n">
        <v>0</v>
      </c>
      <c r="H145" s="5" t="n">
        <v>0</v>
      </c>
      <c r="I145" s="5" t="n">
        <v>1</v>
      </c>
      <c r="J145" s="5" t="n">
        <v>0</v>
      </c>
      <c r="K145" s="5" t="n">
        <v>0</v>
      </c>
      <c r="L145" s="5" t="n">
        <v>0</v>
      </c>
      <c r="M145" s="5" t="n">
        <v>0</v>
      </c>
      <c r="N145" s="5" t="n">
        <v>1</v>
      </c>
      <c r="O145" s="5" t="n">
        <v>0</v>
      </c>
      <c r="P145" s="5" t="n">
        <v>0</v>
      </c>
      <c r="Q145" s="5" t="n">
        <v>0</v>
      </c>
      <c r="R145" s="5" t="n">
        <v>1</v>
      </c>
      <c r="S145" s="5" t="n">
        <v>0</v>
      </c>
      <c r="T145" s="5" t="n">
        <v>0</v>
      </c>
      <c r="U145" s="5" t="inlineStr">
        <is>
          <t>training</t>
        </is>
      </c>
      <c r="V145" s="5" t="n">
        <v>0</v>
      </c>
    </row>
    <row r="146">
      <c r="A146" s="5" t="n">
        <v>142</v>
      </c>
      <c r="B146" s="5" t="n">
        <v>0</v>
      </c>
      <c r="C146" s="6" t="n">
        <v>1.286513816310289</v>
      </c>
      <c r="D146" s="6" t="n">
        <v>0.540340860667204</v>
      </c>
      <c r="E146" s="6" t="n">
        <v>-0.4818305346669622</v>
      </c>
      <c r="F146" s="6" t="n">
        <v>0.9185437189662378</v>
      </c>
      <c r="G146" s="5" t="n">
        <v>0</v>
      </c>
      <c r="H146" s="5" t="n">
        <v>1</v>
      </c>
      <c r="I146" s="5" t="n">
        <v>0</v>
      </c>
      <c r="J146" s="5" t="n">
        <v>0</v>
      </c>
      <c r="K146" s="5" t="n">
        <v>0</v>
      </c>
      <c r="L146" s="5" t="n">
        <v>0</v>
      </c>
      <c r="M146" s="5" t="n">
        <v>0</v>
      </c>
      <c r="N146" s="5" t="n">
        <v>0</v>
      </c>
      <c r="O146" s="5" t="n">
        <v>0</v>
      </c>
      <c r="P146" s="5" t="n">
        <v>0</v>
      </c>
      <c r="Q146" s="5" t="n">
        <v>0</v>
      </c>
      <c r="R146" s="5" t="n">
        <v>0</v>
      </c>
      <c r="S146" s="5" t="n">
        <v>1</v>
      </c>
      <c r="T146" s="5" t="n">
        <v>0</v>
      </c>
      <c r="U146" s="5" t="inlineStr">
        <is>
          <t>training</t>
        </is>
      </c>
      <c r="V146" s="5" t="n">
        <v>1</v>
      </c>
    </row>
    <row r="147">
      <c r="A147" s="5" t="n">
        <v>143</v>
      </c>
      <c r="B147" s="5" t="n">
        <v>0</v>
      </c>
      <c r="C147" s="6" t="n">
        <v>0.5281832546752946</v>
      </c>
      <c r="D147" s="6" t="n">
        <v>0.05783876975613082</v>
      </c>
      <c r="E147" s="6" t="n">
        <v>-0.7427495967609852</v>
      </c>
      <c r="F147" s="6" t="n">
        <v>0.01674764143977723</v>
      </c>
      <c r="G147" s="5" t="n">
        <v>1</v>
      </c>
      <c r="H147" s="5" t="n">
        <v>0</v>
      </c>
      <c r="I147" s="5" t="n">
        <v>0</v>
      </c>
      <c r="J147" s="5" t="n">
        <v>0</v>
      </c>
      <c r="K147" s="5" t="n">
        <v>0</v>
      </c>
      <c r="L147" s="5" t="n">
        <v>0</v>
      </c>
      <c r="M147" s="5" t="n">
        <v>0</v>
      </c>
      <c r="N147" s="5" t="n">
        <v>0</v>
      </c>
      <c r="O147" s="5" t="n">
        <v>0</v>
      </c>
      <c r="P147" s="5" t="n">
        <v>0</v>
      </c>
      <c r="Q147" s="5" t="n">
        <v>0</v>
      </c>
      <c r="R147" s="5" t="n">
        <v>0</v>
      </c>
      <c r="S147" s="5" t="n">
        <v>1</v>
      </c>
      <c r="T147" s="5" t="n">
        <v>0</v>
      </c>
      <c r="U147" s="5" t="inlineStr">
        <is>
          <t>training</t>
        </is>
      </c>
      <c r="V147" s="5" t="n">
        <v>0</v>
      </c>
    </row>
    <row r="148">
      <c r="A148" s="5" t="n">
        <v>144</v>
      </c>
      <c r="B148" s="5" t="n">
        <v>1</v>
      </c>
      <c r="C148" s="6" t="n">
        <v>-0.2301473069597001</v>
      </c>
      <c r="D148" s="6" t="n">
        <v>-0.2759589058995354</v>
      </c>
      <c r="E148" s="6" t="n">
        <v>-1.177614700251023</v>
      </c>
      <c r="F148" s="6" t="n">
        <v>-0.8850484360866833</v>
      </c>
      <c r="G148" s="5" t="n">
        <v>1</v>
      </c>
      <c r="H148" s="5" t="n">
        <v>0</v>
      </c>
      <c r="I148" s="5" t="n">
        <v>0</v>
      </c>
      <c r="J148" s="5" t="n">
        <v>0</v>
      </c>
      <c r="K148" s="5" t="n">
        <v>0</v>
      </c>
      <c r="L148" s="5" t="n">
        <v>0</v>
      </c>
      <c r="M148" s="5" t="n">
        <v>0</v>
      </c>
      <c r="N148" s="5" t="n">
        <v>0</v>
      </c>
      <c r="O148" s="5" t="n">
        <v>0</v>
      </c>
      <c r="P148" s="5" t="n">
        <v>0</v>
      </c>
      <c r="Q148" s="5" t="n">
        <v>0</v>
      </c>
      <c r="R148" s="5" t="n">
        <v>0</v>
      </c>
      <c r="S148" s="5" t="n">
        <v>0</v>
      </c>
      <c r="T148" s="5" t="n">
        <v>1</v>
      </c>
      <c r="U148" s="5" t="inlineStr">
        <is>
          <t>training</t>
        </is>
      </c>
      <c r="V148" s="5" t="n">
        <v>1</v>
      </c>
    </row>
    <row r="149">
      <c r="A149" s="5" t="n">
        <v>145</v>
      </c>
      <c r="B149" s="5" t="n">
        <v>0</v>
      </c>
      <c r="C149" s="6" t="n">
        <v>0.02262954691863145</v>
      </c>
      <c r="D149" s="6" t="n">
        <v>-0.3368402429688079</v>
      </c>
      <c r="E149" s="6" t="n">
        <v>-1.090641679553016</v>
      </c>
      <c r="F149" s="6" t="n">
        <v>0.9185437189662378</v>
      </c>
      <c r="G149" s="5" t="n">
        <v>0</v>
      </c>
      <c r="H149" s="5" t="n">
        <v>0</v>
      </c>
      <c r="I149" s="5" t="n">
        <v>0</v>
      </c>
      <c r="J149" s="5" t="n">
        <v>1</v>
      </c>
      <c r="K149" s="5" t="n">
        <v>0</v>
      </c>
      <c r="L149" s="5" t="n">
        <v>0</v>
      </c>
      <c r="M149" s="5" t="n">
        <v>0</v>
      </c>
      <c r="N149" s="5" t="n">
        <v>0</v>
      </c>
      <c r="O149" s="5" t="n">
        <v>0</v>
      </c>
      <c r="P149" s="5" t="n">
        <v>0</v>
      </c>
      <c r="Q149" s="5" t="n">
        <v>0</v>
      </c>
      <c r="R149" s="5" t="n">
        <v>0</v>
      </c>
      <c r="S149" s="5" t="n">
        <v>0</v>
      </c>
      <c r="T149" s="5" t="n">
        <v>1</v>
      </c>
      <c r="U149" s="5" t="inlineStr">
        <is>
          <t>training</t>
        </is>
      </c>
      <c r="V149" s="5" t="n">
        <v>1</v>
      </c>
    </row>
    <row r="150">
      <c r="A150" s="5" t="n">
        <v>146</v>
      </c>
      <c r="B150" s="5" t="n">
        <v>0</v>
      </c>
      <c r="C150" s="6" t="n">
        <v>2.297621231823615</v>
      </c>
      <c r="D150" s="6" t="n">
        <v>0.110322681022745</v>
      </c>
      <c r="E150" s="6" t="n">
        <v>-0.4818305346669622</v>
      </c>
      <c r="F150" s="6" t="n">
        <v>0.9185437189662378</v>
      </c>
      <c r="G150" s="5" t="n">
        <v>0</v>
      </c>
      <c r="H150" s="5" t="n">
        <v>1</v>
      </c>
      <c r="I150" s="5" t="n">
        <v>0</v>
      </c>
      <c r="J150" s="5" t="n">
        <v>0</v>
      </c>
      <c r="K150" s="5" t="n">
        <v>0</v>
      </c>
      <c r="L150" s="5" t="n">
        <v>1</v>
      </c>
      <c r="M150" s="5" t="n">
        <v>1</v>
      </c>
      <c r="N150" s="5" t="n">
        <v>0</v>
      </c>
      <c r="O150" s="5" t="n">
        <v>0</v>
      </c>
      <c r="P150" s="5" t="n">
        <v>0</v>
      </c>
      <c r="Q150" s="5" t="n">
        <v>0</v>
      </c>
      <c r="R150" s="5" t="n">
        <v>0</v>
      </c>
      <c r="S150" s="5" t="n">
        <v>0</v>
      </c>
      <c r="T150" s="5" t="n">
        <v>0</v>
      </c>
      <c r="U150" s="5" t="inlineStr">
        <is>
          <t>testing</t>
        </is>
      </c>
      <c r="V150" s="5" t="n">
        <v>0</v>
      </c>
    </row>
    <row r="151">
      <c r="A151" s="5" t="n">
        <v>147</v>
      </c>
      <c r="B151" s="5" t="n">
        <v>0</v>
      </c>
      <c r="C151" s="6" t="n">
        <v>-1.241254722473026</v>
      </c>
      <c r="D151" s="6" t="n">
        <v>-0.836487078226975</v>
      </c>
      <c r="E151" s="6" t="n">
        <v>0.3009266516151065</v>
      </c>
      <c r="F151" s="6" t="n">
        <v>-1.786844513613144</v>
      </c>
      <c r="G151" s="5" t="n">
        <v>1</v>
      </c>
      <c r="H151" s="5" t="n">
        <v>0</v>
      </c>
      <c r="I151" s="5" t="n">
        <v>0</v>
      </c>
      <c r="J151" s="5" t="n">
        <v>1</v>
      </c>
      <c r="K151" s="5" t="n">
        <v>0</v>
      </c>
      <c r="L151" s="5" t="n">
        <v>0</v>
      </c>
      <c r="M151" s="5" t="n">
        <v>0</v>
      </c>
      <c r="N151" s="5" t="n">
        <v>0</v>
      </c>
      <c r="O151" s="5" t="n">
        <v>0</v>
      </c>
      <c r="P151" s="5" t="n">
        <v>0</v>
      </c>
      <c r="Q151" s="5" t="n">
        <v>0</v>
      </c>
      <c r="R151" s="5" t="n">
        <v>1</v>
      </c>
      <c r="S151" s="5" t="n">
        <v>0</v>
      </c>
      <c r="T151" s="5" t="n">
        <v>0</v>
      </c>
      <c r="U151" s="5" t="inlineStr">
        <is>
          <t>testing</t>
        </is>
      </c>
      <c r="V151" s="5" t="n">
        <v>0</v>
      </c>
    </row>
    <row r="152">
      <c r="A152" s="5" t="n">
        <v>148</v>
      </c>
      <c r="B152" s="5" t="n">
        <v>0</v>
      </c>
      <c r="C152" s="6" t="n">
        <v>-0.7357010147163632</v>
      </c>
      <c r="D152" s="6" t="n">
        <v>-0.8987679862633572</v>
      </c>
      <c r="E152" s="6" t="n">
        <v>1.344602899991198</v>
      </c>
      <c r="F152" s="6" t="n">
        <v>0.9185437189662378</v>
      </c>
      <c r="G152" s="5" t="n">
        <v>0</v>
      </c>
      <c r="H152" s="5" t="n">
        <v>0</v>
      </c>
      <c r="I152" s="5" t="n">
        <v>0</v>
      </c>
      <c r="J152" s="5" t="n">
        <v>1</v>
      </c>
      <c r="K152" s="5" t="n">
        <v>0</v>
      </c>
      <c r="L152" s="5" t="n">
        <v>0</v>
      </c>
      <c r="M152" s="5" t="n">
        <v>1</v>
      </c>
      <c r="N152" s="5" t="n">
        <v>0</v>
      </c>
      <c r="O152" s="5" t="n">
        <v>0</v>
      </c>
      <c r="P152" s="5" t="n">
        <v>0</v>
      </c>
      <c r="Q152" s="5" t="n">
        <v>0</v>
      </c>
      <c r="R152" s="5" t="n">
        <v>1</v>
      </c>
      <c r="S152" s="5" t="n">
        <v>0</v>
      </c>
      <c r="T152" s="5" t="n">
        <v>0</v>
      </c>
      <c r="U152" s="5" t="inlineStr">
        <is>
          <t>training</t>
        </is>
      </c>
      <c r="V152" s="5" t="n">
        <v>0</v>
      </c>
    </row>
    <row r="153">
      <c r="A153" s="5" t="n">
        <v>149</v>
      </c>
      <c r="B153" s="5" t="n">
        <v>0</v>
      </c>
      <c r="C153" s="6" t="n">
        <v>1.286513816310289</v>
      </c>
      <c r="D153" s="6" t="n">
        <v>0.7418790799310024</v>
      </c>
      <c r="E153" s="6" t="n">
        <v>-0.6557765760629775</v>
      </c>
      <c r="F153" s="6" t="n">
        <v>0.01674764143977723</v>
      </c>
      <c r="G153" s="5" t="n">
        <v>1</v>
      </c>
      <c r="H153" s="5" t="n">
        <v>0</v>
      </c>
      <c r="I153" s="5" t="n">
        <v>0</v>
      </c>
      <c r="J153" s="5" t="n">
        <v>1</v>
      </c>
      <c r="K153" s="5" t="n">
        <v>0</v>
      </c>
      <c r="L153" s="5" t="n">
        <v>0</v>
      </c>
      <c r="M153" s="5" t="n">
        <v>0</v>
      </c>
      <c r="N153" s="5" t="n">
        <v>0</v>
      </c>
      <c r="O153" s="5" t="n">
        <v>0</v>
      </c>
      <c r="P153" s="5" t="n">
        <v>0</v>
      </c>
      <c r="Q153" s="5" t="n">
        <v>0</v>
      </c>
      <c r="R153" s="5" t="n">
        <v>0</v>
      </c>
      <c r="S153" s="5" t="n">
        <v>0</v>
      </c>
      <c r="T153" s="5" t="n">
        <v>1</v>
      </c>
      <c r="U153" s="5" t="inlineStr">
        <is>
          <t>training</t>
        </is>
      </c>
      <c r="V153" s="5" t="n">
        <v>1</v>
      </c>
    </row>
    <row r="154">
      <c r="A154" s="5" t="n">
        <v>150</v>
      </c>
      <c r="B154" s="5" t="n">
        <v>0</v>
      </c>
      <c r="C154" s="6" t="n">
        <v>-0.2301473069597001</v>
      </c>
      <c r="D154" s="6" t="n">
        <v>-0.5838645186636721</v>
      </c>
      <c r="E154" s="6" t="n">
        <v>0.9097377965011599</v>
      </c>
      <c r="F154" s="6" t="n">
        <v>0.9185437189662378</v>
      </c>
      <c r="G154" s="5" t="n">
        <v>0</v>
      </c>
      <c r="H154" s="5" t="n">
        <v>0</v>
      </c>
      <c r="I154" s="5" t="n">
        <v>0</v>
      </c>
      <c r="J154" s="5" t="n">
        <v>1</v>
      </c>
      <c r="K154" s="5" t="n">
        <v>0</v>
      </c>
      <c r="L154" s="5" t="n">
        <v>0</v>
      </c>
      <c r="M154" s="5" t="n">
        <v>0</v>
      </c>
      <c r="N154" s="5" t="n">
        <v>1</v>
      </c>
      <c r="O154" s="5" t="n">
        <v>0</v>
      </c>
      <c r="P154" s="5" t="n">
        <v>0</v>
      </c>
      <c r="Q154" s="5" t="n">
        <v>0</v>
      </c>
      <c r="R154" s="5" t="n">
        <v>0</v>
      </c>
      <c r="S154" s="5" t="n">
        <v>1</v>
      </c>
      <c r="T154" s="5" t="n">
        <v>0</v>
      </c>
      <c r="U154" s="5" t="inlineStr">
        <is>
          <t>training</t>
        </is>
      </c>
      <c r="V154" s="5" t="n">
        <v>1</v>
      </c>
    </row>
    <row r="155">
      <c r="A155" s="5" t="n">
        <v>151</v>
      </c>
      <c r="B155" s="5" t="n">
        <v>0</v>
      </c>
      <c r="C155" s="6" t="n">
        <v>-1.241254722473026</v>
      </c>
      <c r="D155" s="6" t="n">
        <v>-0.6664392057231451</v>
      </c>
      <c r="E155" s="6" t="n">
        <v>0.5618457137091294</v>
      </c>
      <c r="F155" s="6" t="n">
        <v>-0.8850484360866833</v>
      </c>
      <c r="G155" s="5" t="n">
        <v>0</v>
      </c>
      <c r="H155" s="5" t="n">
        <v>0</v>
      </c>
      <c r="I155" s="5" t="n">
        <v>0</v>
      </c>
      <c r="J155" s="5" t="n">
        <v>0</v>
      </c>
      <c r="K155" s="5" t="n">
        <v>0</v>
      </c>
      <c r="L155" s="5" t="n">
        <v>0</v>
      </c>
      <c r="M155" s="5" t="n">
        <v>1</v>
      </c>
      <c r="N155" s="5" t="n">
        <v>0</v>
      </c>
      <c r="O155" s="5" t="n">
        <v>0</v>
      </c>
      <c r="P155" s="5" t="n">
        <v>0</v>
      </c>
      <c r="Q155" s="5" t="n">
        <v>1</v>
      </c>
      <c r="R155" s="5" t="n">
        <v>0</v>
      </c>
      <c r="S155" s="5" t="n">
        <v>1</v>
      </c>
      <c r="T155" s="5" t="n">
        <v>0</v>
      </c>
      <c r="U155" s="5" t="inlineStr">
        <is>
          <t>training</t>
        </is>
      </c>
      <c r="V155" s="5" t="n">
        <v>0</v>
      </c>
    </row>
    <row r="156">
      <c r="A156" s="5" t="n">
        <v>152</v>
      </c>
      <c r="B156" s="5" t="n">
        <v>0</v>
      </c>
      <c r="C156" s="6" t="n">
        <v>-0.9042189173019176</v>
      </c>
      <c r="D156" s="6" t="n">
        <v>-0.4642012009757917</v>
      </c>
      <c r="E156" s="6" t="n">
        <v>0.2139536309170988</v>
      </c>
      <c r="F156" s="6" t="n">
        <v>-1.786844513613144</v>
      </c>
      <c r="G156" s="5" t="n">
        <v>0</v>
      </c>
      <c r="H156" s="5" t="n">
        <v>0</v>
      </c>
      <c r="I156" s="5" t="n">
        <v>0</v>
      </c>
      <c r="J156" s="5" t="n">
        <v>0</v>
      </c>
      <c r="K156" s="5" t="n">
        <v>0</v>
      </c>
      <c r="L156" s="5" t="n">
        <v>0</v>
      </c>
      <c r="M156" s="5" t="n">
        <v>0</v>
      </c>
      <c r="N156" s="5" t="n">
        <v>0</v>
      </c>
      <c r="O156" s="5" t="n">
        <v>0</v>
      </c>
      <c r="P156" s="5" t="n">
        <v>0</v>
      </c>
      <c r="Q156" s="5" t="n">
        <v>0</v>
      </c>
      <c r="R156" s="5" t="n">
        <v>0</v>
      </c>
      <c r="S156" s="5" t="n">
        <v>1</v>
      </c>
      <c r="T156" s="5" t="n">
        <v>0</v>
      </c>
      <c r="U156" s="5" t="inlineStr">
        <is>
          <t>training</t>
        </is>
      </c>
      <c r="V156" s="5" t="n">
        <v>0</v>
      </c>
    </row>
    <row r="157">
      <c r="A157" s="5" t="n">
        <v>153</v>
      </c>
      <c r="B157" s="5" t="n">
        <v>0</v>
      </c>
      <c r="C157" s="6" t="n">
        <v>1.286513816310289</v>
      </c>
      <c r="D157" s="6" t="n">
        <v>0.9087779177588355</v>
      </c>
      <c r="E157" s="6" t="n">
        <v>-1.003668658855008</v>
      </c>
      <c r="F157" s="6" t="n">
        <v>0.9185437189662378</v>
      </c>
      <c r="G157" s="5" t="n">
        <v>0</v>
      </c>
      <c r="H157" s="5" t="n">
        <v>0</v>
      </c>
      <c r="I157" s="5" t="n">
        <v>1</v>
      </c>
      <c r="J157" s="5" t="n">
        <v>0</v>
      </c>
      <c r="K157" s="5" t="n">
        <v>0</v>
      </c>
      <c r="L157" s="5" t="n">
        <v>0</v>
      </c>
      <c r="M157" s="5" t="n">
        <v>0</v>
      </c>
      <c r="N157" s="5" t="n">
        <v>0</v>
      </c>
      <c r="O157" s="5" t="n">
        <v>0</v>
      </c>
      <c r="P157" s="5" t="n">
        <v>0</v>
      </c>
      <c r="Q157" s="5" t="n">
        <v>0</v>
      </c>
      <c r="R157" s="5" t="n">
        <v>0</v>
      </c>
      <c r="S157" s="5" t="n">
        <v>1</v>
      </c>
      <c r="T157" s="5" t="n">
        <v>0</v>
      </c>
      <c r="U157" s="5" t="inlineStr">
        <is>
          <t>training</t>
        </is>
      </c>
      <c r="V157" s="5" t="n">
        <v>1</v>
      </c>
    </row>
    <row r="158">
      <c r="A158" s="5" t="n">
        <v>154</v>
      </c>
      <c r="B158" s="5" t="n">
        <v>0</v>
      </c>
      <c r="C158" s="6" t="n">
        <v>0.275406400796963</v>
      </c>
      <c r="D158" s="6" t="n">
        <v>1.577073054553723</v>
      </c>
      <c r="E158" s="6" t="n">
        <v>-0.5688035553649698</v>
      </c>
      <c r="F158" s="6" t="n">
        <v>-0.8850484360866833</v>
      </c>
      <c r="G158" s="5" t="n">
        <v>0</v>
      </c>
      <c r="H158" s="5" t="n">
        <v>1</v>
      </c>
      <c r="I158" s="5" t="n">
        <v>0</v>
      </c>
      <c r="J158" s="5" t="n">
        <v>1</v>
      </c>
      <c r="K158" s="5" t="n">
        <v>0</v>
      </c>
      <c r="L158" s="5" t="n">
        <v>0</v>
      </c>
      <c r="M158" s="5" t="n">
        <v>0</v>
      </c>
      <c r="N158" s="5" t="n">
        <v>1</v>
      </c>
      <c r="O158" s="5" t="n">
        <v>0</v>
      </c>
      <c r="P158" s="5" t="n">
        <v>1</v>
      </c>
      <c r="Q158" s="5" t="n">
        <v>0</v>
      </c>
      <c r="R158" s="5" t="n">
        <v>1</v>
      </c>
      <c r="S158" s="5" t="n">
        <v>0</v>
      </c>
      <c r="T158" s="5" t="n">
        <v>0</v>
      </c>
      <c r="U158" s="5" t="inlineStr">
        <is>
          <t>training</t>
        </is>
      </c>
      <c r="V158" s="5" t="n">
        <v>1</v>
      </c>
    </row>
    <row r="159">
      <c r="A159" s="5" t="n">
        <v>155</v>
      </c>
      <c r="B159" s="5" t="n">
        <v>0</v>
      </c>
      <c r="C159" s="6" t="n">
        <v>0.275406400796963</v>
      </c>
      <c r="D159" s="6" t="n">
        <v>1.300307895807777</v>
      </c>
      <c r="E159" s="6" t="n">
        <v>0.04000758952108359</v>
      </c>
      <c r="F159" s="6" t="n">
        <v>0.9185437189662378</v>
      </c>
      <c r="G159" s="5" t="n">
        <v>0</v>
      </c>
      <c r="H159" s="5" t="n">
        <v>1</v>
      </c>
      <c r="I159" s="5" t="n">
        <v>0</v>
      </c>
      <c r="J159" s="5" t="n">
        <v>0</v>
      </c>
      <c r="K159" s="5" t="n">
        <v>1</v>
      </c>
      <c r="L159" s="5" t="n">
        <v>0</v>
      </c>
      <c r="M159" s="5" t="n">
        <v>1</v>
      </c>
      <c r="N159" s="5" t="n">
        <v>0</v>
      </c>
      <c r="O159" s="5" t="n">
        <v>0</v>
      </c>
      <c r="P159" s="5" t="n">
        <v>1</v>
      </c>
      <c r="Q159" s="5" t="n">
        <v>0</v>
      </c>
      <c r="R159" s="5" t="n">
        <v>0</v>
      </c>
      <c r="S159" s="5" t="n">
        <v>0</v>
      </c>
      <c r="T159" s="5" t="n">
        <v>0</v>
      </c>
      <c r="U159" s="5" t="inlineStr">
        <is>
          <t>testing</t>
        </is>
      </c>
      <c r="V159" s="5" t="n">
        <v>0</v>
      </c>
    </row>
    <row r="160">
      <c r="A160" s="5" t="n">
        <v>156</v>
      </c>
      <c r="B160" s="5" t="n">
        <v>1</v>
      </c>
      <c r="C160" s="6" t="n">
        <v>-0.7357010147163632</v>
      </c>
      <c r="D160" s="6" t="n">
        <v>-0.6888323411969004</v>
      </c>
      <c r="E160" s="6" t="n">
        <v>-1.351560741647039</v>
      </c>
      <c r="F160" s="6" t="n">
        <v>-0.8850484360866833</v>
      </c>
      <c r="G160" s="5" t="n">
        <v>1</v>
      </c>
      <c r="H160" s="5" t="n">
        <v>0</v>
      </c>
      <c r="I160" s="5" t="n">
        <v>0</v>
      </c>
      <c r="J160" s="5" t="n">
        <v>0</v>
      </c>
      <c r="K160" s="5" t="n">
        <v>0</v>
      </c>
      <c r="L160" s="5" t="n">
        <v>0</v>
      </c>
      <c r="M160" s="5" t="n">
        <v>0</v>
      </c>
      <c r="N160" s="5" t="n">
        <v>0</v>
      </c>
      <c r="O160" s="5" t="n">
        <v>0</v>
      </c>
      <c r="P160" s="5" t="n">
        <v>1</v>
      </c>
      <c r="Q160" s="5" t="n">
        <v>0</v>
      </c>
      <c r="R160" s="5" t="n">
        <v>0</v>
      </c>
      <c r="S160" s="5" t="n">
        <v>0</v>
      </c>
      <c r="T160" s="5" t="n">
        <v>1</v>
      </c>
      <c r="U160" s="5" t="inlineStr">
        <is>
          <t>training</t>
        </is>
      </c>
      <c r="V160" s="5" t="n">
        <v>1</v>
      </c>
    </row>
    <row r="161">
      <c r="A161" s="5" t="n">
        <v>157</v>
      </c>
      <c r="B161" s="5" t="n">
        <v>0</v>
      </c>
      <c r="C161" s="6" t="n">
        <v>-0.9884778685946948</v>
      </c>
      <c r="D161" s="6" t="n">
        <v>-0.6867329847462359</v>
      </c>
      <c r="E161" s="6" t="n">
        <v>1.083683837897175</v>
      </c>
      <c r="F161" s="6" t="n">
        <v>0.01674764143977723</v>
      </c>
      <c r="G161" s="5" t="n">
        <v>1</v>
      </c>
      <c r="H161" s="5" t="n">
        <v>0</v>
      </c>
      <c r="I161" s="5" t="n">
        <v>0</v>
      </c>
      <c r="J161" s="5" t="n">
        <v>1</v>
      </c>
      <c r="K161" s="5" t="n">
        <v>0</v>
      </c>
      <c r="L161" s="5" t="n">
        <v>0</v>
      </c>
      <c r="M161" s="5" t="n">
        <v>1</v>
      </c>
      <c r="N161" s="5" t="n">
        <v>0</v>
      </c>
      <c r="O161" s="5" t="n">
        <v>0</v>
      </c>
      <c r="P161" s="5" t="n">
        <v>0</v>
      </c>
      <c r="Q161" s="5" t="n">
        <v>0</v>
      </c>
      <c r="R161" s="5" t="n">
        <v>0</v>
      </c>
      <c r="S161" s="5" t="n">
        <v>0</v>
      </c>
      <c r="T161" s="5" t="n">
        <v>0</v>
      </c>
      <c r="U161" s="5" t="inlineStr">
        <is>
          <t>testing</t>
        </is>
      </c>
      <c r="V161" s="5" t="n">
        <v>0</v>
      </c>
    </row>
    <row r="162">
      <c r="A162" s="5" t="n">
        <v>158</v>
      </c>
      <c r="B162" s="5" t="n">
        <v>0</v>
      </c>
      <c r="C162" s="6" t="n">
        <v>-0.7357010147163632</v>
      </c>
      <c r="D162" s="6" t="n">
        <v>-1.018781196693015</v>
      </c>
      <c r="E162" s="6" t="n">
        <v>0.8227647758031523</v>
      </c>
      <c r="F162" s="6" t="n">
        <v>0.9185437189662378</v>
      </c>
      <c r="G162" s="5" t="n">
        <v>1</v>
      </c>
      <c r="H162" s="5" t="n">
        <v>0</v>
      </c>
      <c r="I162" s="5" t="n">
        <v>0</v>
      </c>
      <c r="J162" s="5" t="n">
        <v>0</v>
      </c>
      <c r="K162" s="5" t="n">
        <v>0</v>
      </c>
      <c r="L162" s="5" t="n">
        <v>1</v>
      </c>
      <c r="M162" s="5" t="n">
        <v>0</v>
      </c>
      <c r="N162" s="5" t="n">
        <v>0</v>
      </c>
      <c r="O162" s="5" t="n">
        <v>0</v>
      </c>
      <c r="P162" s="5" t="n">
        <v>0</v>
      </c>
      <c r="Q162" s="5" t="n">
        <v>0</v>
      </c>
      <c r="R162" s="5" t="n">
        <v>0</v>
      </c>
      <c r="S162" s="5" t="n">
        <v>0</v>
      </c>
      <c r="T162" s="5" t="n">
        <v>0</v>
      </c>
      <c r="U162" s="5" t="inlineStr">
        <is>
          <t>training</t>
        </is>
      </c>
      <c r="V162" s="5" t="n">
        <v>0</v>
      </c>
    </row>
    <row r="163">
      <c r="A163" s="5" t="n">
        <v>159</v>
      </c>
      <c r="B163" s="5" t="n">
        <v>0</v>
      </c>
      <c r="C163" s="6" t="n">
        <v>0.275406400796963</v>
      </c>
      <c r="D163" s="6" t="n">
        <v>0.0914284729667639</v>
      </c>
      <c r="E163" s="6" t="n">
        <v>0.2139536309170988</v>
      </c>
      <c r="F163" s="6" t="n">
        <v>-0.8850484360866833</v>
      </c>
      <c r="G163" s="5" t="n">
        <v>0</v>
      </c>
      <c r="H163" s="5" t="n">
        <v>1</v>
      </c>
      <c r="I163" s="5" t="n">
        <v>0</v>
      </c>
      <c r="J163" s="5" t="n">
        <v>0</v>
      </c>
      <c r="K163" s="5" t="n">
        <v>0</v>
      </c>
      <c r="L163" s="5" t="n">
        <v>0</v>
      </c>
      <c r="M163" s="5" t="n">
        <v>1</v>
      </c>
      <c r="N163" s="5" t="n">
        <v>0</v>
      </c>
      <c r="O163" s="5" t="n">
        <v>0</v>
      </c>
      <c r="P163" s="5" t="n">
        <v>0</v>
      </c>
      <c r="Q163" s="5" t="n">
        <v>0</v>
      </c>
      <c r="R163" s="5" t="n">
        <v>1</v>
      </c>
      <c r="S163" s="5" t="n">
        <v>0</v>
      </c>
      <c r="T163" s="5" t="n">
        <v>0</v>
      </c>
      <c r="U163" s="5" t="inlineStr">
        <is>
          <t>training</t>
        </is>
      </c>
      <c r="V163" s="5" t="n">
        <v>1</v>
      </c>
    </row>
    <row r="164">
      <c r="A164" s="5" t="n">
        <v>160</v>
      </c>
      <c r="B164" s="5" t="n">
        <v>0</v>
      </c>
      <c r="C164" s="6" t="n">
        <v>-1.241254722473026</v>
      </c>
      <c r="D164" s="6" t="n">
        <v>-0.4732984122620048</v>
      </c>
      <c r="E164" s="6" t="n">
        <v>-0.1339384518749317</v>
      </c>
      <c r="F164" s="6" t="n">
        <v>-1.786844513613144</v>
      </c>
      <c r="G164" s="5" t="n">
        <v>0</v>
      </c>
      <c r="H164" s="5" t="n">
        <v>0</v>
      </c>
      <c r="I164" s="5" t="n">
        <v>0</v>
      </c>
      <c r="J164" s="5" t="n">
        <v>1</v>
      </c>
      <c r="K164" s="5" t="n">
        <v>0</v>
      </c>
      <c r="L164" s="5" t="n">
        <v>0</v>
      </c>
      <c r="M164" s="5" t="n">
        <v>0</v>
      </c>
      <c r="N164" s="5" t="n">
        <v>0</v>
      </c>
      <c r="O164" s="5" t="n">
        <v>1</v>
      </c>
      <c r="P164" s="5" t="n">
        <v>0</v>
      </c>
      <c r="Q164" s="5" t="n">
        <v>0</v>
      </c>
      <c r="R164" s="5" t="n">
        <v>0</v>
      </c>
      <c r="S164" s="5" t="n">
        <v>1</v>
      </c>
      <c r="T164" s="5" t="n">
        <v>0</v>
      </c>
      <c r="U164" s="5" t="inlineStr">
        <is>
          <t>training</t>
        </is>
      </c>
      <c r="V164" s="5" t="n">
        <v>1</v>
      </c>
    </row>
    <row r="165">
      <c r="A165" s="5" t="n">
        <v>161</v>
      </c>
      <c r="B165" s="5" t="n">
        <v>0</v>
      </c>
      <c r="C165" s="6" t="n">
        <v>0.275406400796963</v>
      </c>
      <c r="D165" s="6" t="n">
        <v>-0.13250288177079</v>
      </c>
      <c r="E165" s="6" t="n">
        <v>0.04000758952108359</v>
      </c>
      <c r="F165" s="6" t="n">
        <v>0.01674764143977723</v>
      </c>
      <c r="G165" s="5" t="n">
        <v>0</v>
      </c>
      <c r="H165" s="5" t="n">
        <v>0</v>
      </c>
      <c r="I165" s="5" t="n">
        <v>0</v>
      </c>
      <c r="J165" s="5" t="n">
        <v>1</v>
      </c>
      <c r="K165" s="5" t="n">
        <v>0</v>
      </c>
      <c r="L165" s="5" t="n">
        <v>0</v>
      </c>
      <c r="M165" s="5" t="n">
        <v>1</v>
      </c>
      <c r="N165" s="5" t="n">
        <v>0</v>
      </c>
      <c r="O165" s="5" t="n">
        <v>0</v>
      </c>
      <c r="P165" s="5" t="n">
        <v>0</v>
      </c>
      <c r="Q165" s="5" t="n">
        <v>0</v>
      </c>
      <c r="R165" s="5" t="n">
        <v>0</v>
      </c>
      <c r="S165" s="5" t="n">
        <v>1</v>
      </c>
      <c r="T165" s="5" t="n">
        <v>0</v>
      </c>
      <c r="U165" s="5" t="inlineStr">
        <is>
          <t>training</t>
        </is>
      </c>
      <c r="V165" s="5" t="n">
        <v>0</v>
      </c>
    </row>
    <row r="166">
      <c r="A166" s="5" t="n">
        <v>162</v>
      </c>
      <c r="B166" s="5" t="n">
        <v>0</v>
      </c>
      <c r="C166" s="6" t="n">
        <v>-0.2301473069597001</v>
      </c>
      <c r="D166" s="6" t="n">
        <v>-0.7682579935803766</v>
      </c>
      <c r="E166" s="6" t="n">
        <v>-0.4818305346669622</v>
      </c>
      <c r="F166" s="6" t="n">
        <v>0.9185437189662378</v>
      </c>
      <c r="G166" s="5" t="n">
        <v>0</v>
      </c>
      <c r="H166" s="5" t="n">
        <v>0</v>
      </c>
      <c r="I166" s="5" t="n">
        <v>0</v>
      </c>
      <c r="J166" s="5" t="n">
        <v>1</v>
      </c>
      <c r="K166" s="5" t="n">
        <v>0</v>
      </c>
      <c r="L166" s="5" t="n">
        <v>0</v>
      </c>
      <c r="M166" s="5" t="n">
        <v>0</v>
      </c>
      <c r="N166" s="5" t="n">
        <v>0</v>
      </c>
      <c r="O166" s="5" t="n">
        <v>0</v>
      </c>
      <c r="P166" s="5" t="n">
        <v>0</v>
      </c>
      <c r="Q166" s="5" t="n">
        <v>0</v>
      </c>
      <c r="R166" s="5" t="n">
        <v>1</v>
      </c>
      <c r="S166" s="5" t="n">
        <v>0</v>
      </c>
      <c r="T166" s="5" t="n">
        <v>0</v>
      </c>
      <c r="U166" s="5" t="inlineStr">
        <is>
          <t>training</t>
        </is>
      </c>
      <c r="V166" s="5" t="n">
        <v>0</v>
      </c>
    </row>
    <row r="167">
      <c r="A167" s="5" t="n">
        <v>163</v>
      </c>
      <c r="B167" s="5" t="n">
        <v>0</v>
      </c>
      <c r="C167" s="6" t="n">
        <v>-0.4829241608380317</v>
      </c>
      <c r="D167" s="6" t="n">
        <v>-0.695830196032449</v>
      </c>
      <c r="E167" s="6" t="n">
        <v>0.04000758952108359</v>
      </c>
      <c r="F167" s="6" t="n">
        <v>0.9185437189662378</v>
      </c>
      <c r="G167" s="5" t="n">
        <v>0</v>
      </c>
      <c r="H167" s="5" t="n">
        <v>0</v>
      </c>
      <c r="I167" s="5" t="n">
        <v>0</v>
      </c>
      <c r="J167" s="5" t="n">
        <v>0</v>
      </c>
      <c r="K167" s="5" t="n">
        <v>0</v>
      </c>
      <c r="L167" s="5" t="n">
        <v>0</v>
      </c>
      <c r="M167" s="5" t="n">
        <v>1</v>
      </c>
      <c r="N167" s="5" t="n">
        <v>0</v>
      </c>
      <c r="O167" s="5" t="n">
        <v>0</v>
      </c>
      <c r="P167" s="5" t="n">
        <v>0</v>
      </c>
      <c r="Q167" s="5" t="n">
        <v>0</v>
      </c>
      <c r="R167" s="5" t="n">
        <v>0</v>
      </c>
      <c r="S167" s="5" t="n">
        <v>0</v>
      </c>
      <c r="T167" s="5" t="n">
        <v>0</v>
      </c>
      <c r="U167" s="5" t="inlineStr">
        <is>
          <t>training</t>
        </is>
      </c>
      <c r="V167" s="5" t="n">
        <v>1</v>
      </c>
    </row>
    <row r="168">
      <c r="A168" s="5" t="n">
        <v>164</v>
      </c>
      <c r="B168" s="5" t="n">
        <v>0</v>
      </c>
      <c r="C168" s="6" t="n">
        <v>-0.9042189173019176</v>
      </c>
      <c r="D168" s="6" t="n">
        <v>1.41962132075388</v>
      </c>
      <c r="E168" s="6" t="n">
        <v>2.997090293253343</v>
      </c>
      <c r="F168" s="6" t="n">
        <v>-0.8850484360866833</v>
      </c>
      <c r="G168" s="5" t="n">
        <v>0</v>
      </c>
      <c r="H168" s="5" t="n">
        <v>1</v>
      </c>
      <c r="I168" s="5" t="n">
        <v>0</v>
      </c>
      <c r="J168" s="5" t="n">
        <v>0</v>
      </c>
      <c r="K168" s="5" t="n">
        <v>0</v>
      </c>
      <c r="L168" s="5" t="n">
        <v>0</v>
      </c>
      <c r="M168" s="5" t="n">
        <v>0</v>
      </c>
      <c r="N168" s="5" t="n">
        <v>0</v>
      </c>
      <c r="O168" s="5" t="n">
        <v>0</v>
      </c>
      <c r="P168" s="5" t="n">
        <v>0</v>
      </c>
      <c r="Q168" s="5" t="n">
        <v>1</v>
      </c>
      <c r="R168" s="5" t="n">
        <v>1</v>
      </c>
      <c r="S168" s="5" t="n">
        <v>0</v>
      </c>
      <c r="T168" s="5" t="n">
        <v>0</v>
      </c>
      <c r="U168" s="5" t="inlineStr">
        <is>
          <t>training</t>
        </is>
      </c>
      <c r="V168" s="5" t="n">
        <v>0</v>
      </c>
    </row>
    <row r="169">
      <c r="A169" s="5" t="n">
        <v>165</v>
      </c>
      <c r="B169" s="5" t="n">
        <v>0</v>
      </c>
      <c r="C169" s="6" t="n">
        <v>1.286513816310289</v>
      </c>
      <c r="D169" s="6" t="n">
        <v>-0.8193423338798811</v>
      </c>
      <c r="E169" s="6" t="n">
        <v>0.04000758952108359</v>
      </c>
      <c r="F169" s="6" t="n">
        <v>0.9185437189662378</v>
      </c>
      <c r="G169" s="5" t="n">
        <v>0</v>
      </c>
      <c r="H169" s="5" t="n">
        <v>0</v>
      </c>
      <c r="I169" s="5" t="n">
        <v>0</v>
      </c>
      <c r="J169" s="5" t="n">
        <v>0</v>
      </c>
      <c r="K169" s="5" t="n">
        <v>0</v>
      </c>
      <c r="L169" s="5" t="n">
        <v>0</v>
      </c>
      <c r="M169" s="5" t="n">
        <v>1</v>
      </c>
      <c r="N169" s="5" t="n">
        <v>0</v>
      </c>
      <c r="O169" s="5" t="n">
        <v>0</v>
      </c>
      <c r="P169" s="5" t="n">
        <v>0</v>
      </c>
      <c r="Q169" s="5" t="n">
        <v>0</v>
      </c>
      <c r="R169" s="5" t="n">
        <v>1</v>
      </c>
      <c r="S169" s="5" t="n">
        <v>0</v>
      </c>
      <c r="T169" s="5" t="n">
        <v>0</v>
      </c>
      <c r="U169" s="5" t="inlineStr">
        <is>
          <t>testing</t>
        </is>
      </c>
      <c r="V169" s="5" t="n">
        <v>0</v>
      </c>
    </row>
    <row r="170">
      <c r="A170" s="5" t="n">
        <v>166</v>
      </c>
      <c r="B170" s="5" t="n">
        <v>0</v>
      </c>
      <c r="C170" s="6" t="n">
        <v>-1.241254722473026</v>
      </c>
      <c r="D170" s="6" t="n">
        <v>-0.09541425114238263</v>
      </c>
      <c r="E170" s="6" t="n">
        <v>-0.307884493270947</v>
      </c>
      <c r="F170" s="6" t="n">
        <v>-1.786844513613144</v>
      </c>
      <c r="G170" s="5" t="n">
        <v>0</v>
      </c>
      <c r="H170" s="5" t="n">
        <v>0</v>
      </c>
      <c r="I170" s="5" t="n">
        <v>0</v>
      </c>
      <c r="J170" s="5" t="n">
        <v>0</v>
      </c>
      <c r="K170" s="5" t="n">
        <v>0</v>
      </c>
      <c r="L170" s="5" t="n">
        <v>0</v>
      </c>
      <c r="M170" s="5" t="n">
        <v>1</v>
      </c>
      <c r="N170" s="5" t="n">
        <v>0</v>
      </c>
      <c r="O170" s="5" t="n">
        <v>0</v>
      </c>
      <c r="P170" s="5" t="n">
        <v>0</v>
      </c>
      <c r="Q170" s="5" t="n">
        <v>0</v>
      </c>
      <c r="R170" s="5" t="n">
        <v>0</v>
      </c>
      <c r="S170" s="5" t="n">
        <v>0</v>
      </c>
      <c r="T170" s="5" t="n">
        <v>1</v>
      </c>
      <c r="U170" s="5" t="inlineStr">
        <is>
          <t>testing</t>
        </is>
      </c>
      <c r="V170" s="5" t="n">
        <v>0</v>
      </c>
    </row>
    <row r="171">
      <c r="A171" s="5" t="n">
        <v>167</v>
      </c>
      <c r="B171" s="5" t="n">
        <v>1</v>
      </c>
      <c r="C171" s="6" t="n">
        <v>-0.2301473069597001</v>
      </c>
      <c r="D171" s="6" t="n">
        <v>-0.7416661452052921</v>
      </c>
      <c r="E171" s="6" t="n">
        <v>-0.2209114725729393</v>
      </c>
      <c r="F171" s="6" t="n">
        <v>0.9185437189662378</v>
      </c>
      <c r="G171" s="5" t="n">
        <v>1</v>
      </c>
      <c r="H171" s="5" t="n">
        <v>0</v>
      </c>
      <c r="I171" s="5" t="n">
        <v>0</v>
      </c>
      <c r="J171" s="5" t="n">
        <v>0</v>
      </c>
      <c r="K171" s="5" t="n">
        <v>0</v>
      </c>
      <c r="L171" s="5" t="n">
        <v>0</v>
      </c>
      <c r="M171" s="5" t="n">
        <v>0</v>
      </c>
      <c r="N171" s="5" t="n">
        <v>0</v>
      </c>
      <c r="O171" s="5" t="n">
        <v>0</v>
      </c>
      <c r="P171" s="5" t="n">
        <v>0</v>
      </c>
      <c r="Q171" s="5" t="n">
        <v>0</v>
      </c>
      <c r="R171" s="5" t="n">
        <v>0</v>
      </c>
      <c r="S171" s="5" t="n">
        <v>0</v>
      </c>
      <c r="T171" s="5" t="n">
        <v>1</v>
      </c>
      <c r="U171" s="5" t="inlineStr">
        <is>
          <t>training</t>
        </is>
      </c>
      <c r="V171" s="5" t="n">
        <v>1</v>
      </c>
    </row>
    <row r="172">
      <c r="A172" s="5" t="n">
        <v>168</v>
      </c>
      <c r="B172" s="5" t="n">
        <v>0</v>
      </c>
      <c r="C172" s="6" t="n">
        <v>-0.8199599660091405</v>
      </c>
      <c r="D172" s="6" t="n">
        <v>-0.5856139823725591</v>
      </c>
      <c r="E172" s="6" t="n">
        <v>-1.351560741647039</v>
      </c>
      <c r="F172" s="6" t="n">
        <v>0.9185437189662378</v>
      </c>
      <c r="G172" s="5" t="n">
        <v>0</v>
      </c>
      <c r="H172" s="5" t="n">
        <v>1</v>
      </c>
      <c r="I172" s="5" t="n">
        <v>0</v>
      </c>
      <c r="J172" s="5" t="n">
        <v>0</v>
      </c>
      <c r="K172" s="5" t="n">
        <v>0</v>
      </c>
      <c r="L172" s="5" t="n">
        <v>0</v>
      </c>
      <c r="M172" s="5" t="n">
        <v>0</v>
      </c>
      <c r="N172" s="5" t="n">
        <v>1</v>
      </c>
      <c r="O172" s="5" t="n">
        <v>0</v>
      </c>
      <c r="P172" s="5" t="n">
        <v>0</v>
      </c>
      <c r="Q172" s="5" t="n">
        <v>0</v>
      </c>
      <c r="R172" s="5" t="n">
        <v>0</v>
      </c>
      <c r="S172" s="5" t="n">
        <v>0</v>
      </c>
      <c r="T172" s="5" t="n">
        <v>1</v>
      </c>
      <c r="U172" s="5" t="inlineStr">
        <is>
          <t>testing</t>
        </is>
      </c>
      <c r="V172" s="5" t="n">
        <v>0</v>
      </c>
    </row>
    <row r="173">
      <c r="A173" s="5" t="n">
        <v>169</v>
      </c>
      <c r="B173" s="5" t="n">
        <v>0</v>
      </c>
      <c r="C173" s="6" t="n">
        <v>0.275406400796963</v>
      </c>
      <c r="D173" s="6" t="n">
        <v>0.2523791341843807</v>
      </c>
      <c r="E173" s="6" t="n">
        <v>-0.9166956381570004</v>
      </c>
      <c r="F173" s="6" t="n">
        <v>-0.8850484360866833</v>
      </c>
      <c r="G173" s="5" t="n">
        <v>0</v>
      </c>
      <c r="H173" s="5" t="n">
        <v>0</v>
      </c>
      <c r="I173" s="5" t="n">
        <v>0</v>
      </c>
      <c r="J173" s="5" t="n">
        <v>0</v>
      </c>
      <c r="K173" s="5" t="n">
        <v>0</v>
      </c>
      <c r="L173" s="5" t="n">
        <v>0</v>
      </c>
      <c r="M173" s="5" t="n">
        <v>0</v>
      </c>
      <c r="N173" s="5" t="n">
        <v>0</v>
      </c>
      <c r="O173" s="5" t="n">
        <v>0</v>
      </c>
      <c r="P173" s="5" t="n">
        <v>1</v>
      </c>
      <c r="Q173" s="5" t="n">
        <v>0</v>
      </c>
      <c r="R173" s="5" t="n">
        <v>0</v>
      </c>
      <c r="S173" s="5" t="n">
        <v>0</v>
      </c>
      <c r="T173" s="5" t="n">
        <v>1</v>
      </c>
      <c r="U173" s="5" t="inlineStr">
        <is>
          <t>training</t>
        </is>
      </c>
      <c r="V173" s="5" t="n">
        <v>0</v>
      </c>
    </row>
    <row r="174">
      <c r="A174" s="5" t="n">
        <v>170</v>
      </c>
      <c r="B174" s="5" t="n">
        <v>1</v>
      </c>
      <c r="C174" s="6" t="n">
        <v>0.275406400796963</v>
      </c>
      <c r="D174" s="6" t="n">
        <v>-0.46035238081624</v>
      </c>
      <c r="E174" s="6" t="n">
        <v>-0.3948575139689546</v>
      </c>
      <c r="F174" s="6" t="n">
        <v>0.9185437189662378</v>
      </c>
      <c r="G174" s="5" t="n">
        <v>0</v>
      </c>
      <c r="H174" s="5" t="n">
        <v>1</v>
      </c>
      <c r="I174" s="5" t="n">
        <v>0</v>
      </c>
      <c r="J174" s="5" t="n">
        <v>1</v>
      </c>
      <c r="K174" s="5" t="n">
        <v>0</v>
      </c>
      <c r="L174" s="5" t="n">
        <v>0</v>
      </c>
      <c r="M174" s="5" t="n">
        <v>0</v>
      </c>
      <c r="N174" s="5" t="n">
        <v>0</v>
      </c>
      <c r="O174" s="5" t="n">
        <v>0</v>
      </c>
      <c r="P174" s="5" t="n">
        <v>0</v>
      </c>
      <c r="Q174" s="5" t="n">
        <v>0</v>
      </c>
      <c r="R174" s="5" t="n">
        <v>0</v>
      </c>
      <c r="S174" s="5" t="n">
        <v>0</v>
      </c>
      <c r="T174" s="5" t="n">
        <v>0</v>
      </c>
      <c r="U174" s="5" t="inlineStr">
        <is>
          <t>testing</t>
        </is>
      </c>
      <c r="V174" s="5" t="n">
        <v>0</v>
      </c>
    </row>
    <row r="175">
      <c r="A175" s="5" t="n">
        <v>171</v>
      </c>
      <c r="B175" s="5" t="n">
        <v>1</v>
      </c>
      <c r="C175" s="6" t="n">
        <v>-0.4829241608380317</v>
      </c>
      <c r="D175" s="6" t="n">
        <v>-0.8049967314670065</v>
      </c>
      <c r="E175" s="6" t="n">
        <v>-0.2209114725729393</v>
      </c>
      <c r="F175" s="6" t="n">
        <v>0.9185437189662378</v>
      </c>
      <c r="G175" s="5" t="n">
        <v>1</v>
      </c>
      <c r="H175" s="5" t="n">
        <v>0</v>
      </c>
      <c r="I175" s="5" t="n">
        <v>0</v>
      </c>
      <c r="J175" s="5" t="n">
        <v>0</v>
      </c>
      <c r="K175" s="5" t="n">
        <v>0</v>
      </c>
      <c r="L175" s="5" t="n">
        <v>1</v>
      </c>
      <c r="M175" s="5" t="n">
        <v>0</v>
      </c>
      <c r="N175" s="5" t="n">
        <v>0</v>
      </c>
      <c r="O175" s="5" t="n">
        <v>0</v>
      </c>
      <c r="P175" s="5" t="n">
        <v>1</v>
      </c>
      <c r="Q175" s="5" t="n">
        <v>0</v>
      </c>
      <c r="R175" s="5" t="n">
        <v>1</v>
      </c>
      <c r="S175" s="5" t="n">
        <v>0</v>
      </c>
      <c r="T175" s="5" t="n">
        <v>0</v>
      </c>
      <c r="U175" s="5" t="inlineStr">
        <is>
          <t>testing</t>
        </is>
      </c>
      <c r="V175" s="5" t="n">
        <v>0</v>
      </c>
    </row>
    <row r="176">
      <c r="A176" s="5" t="n">
        <v>172</v>
      </c>
      <c r="B176" s="5" t="n">
        <v>0</v>
      </c>
      <c r="C176" s="6" t="n">
        <v>-0.7357010147163632</v>
      </c>
      <c r="D176" s="6" t="n">
        <v>-0.8704266741793856</v>
      </c>
      <c r="E176" s="6" t="n">
        <v>-0.8297226174589928</v>
      </c>
      <c r="F176" s="6" t="n">
        <v>0.9185437189662378</v>
      </c>
      <c r="G176" s="5" t="n">
        <v>0</v>
      </c>
      <c r="H176" s="5" t="n">
        <v>0</v>
      </c>
      <c r="I176" s="5" t="n">
        <v>0</v>
      </c>
      <c r="J176" s="5" t="n">
        <v>0</v>
      </c>
      <c r="K176" s="5" t="n">
        <v>0</v>
      </c>
      <c r="L176" s="5" t="n">
        <v>0</v>
      </c>
      <c r="M176" s="5" t="n">
        <v>0</v>
      </c>
      <c r="N176" s="5" t="n">
        <v>0</v>
      </c>
      <c r="O176" s="5" t="n">
        <v>0</v>
      </c>
      <c r="P176" s="5" t="n">
        <v>0</v>
      </c>
      <c r="Q176" s="5" t="n">
        <v>0</v>
      </c>
      <c r="R176" s="5" t="n">
        <v>0</v>
      </c>
      <c r="S176" s="5" t="n">
        <v>0</v>
      </c>
      <c r="T176" s="5" t="n">
        <v>1</v>
      </c>
      <c r="U176" s="5" t="inlineStr">
        <is>
          <t>training</t>
        </is>
      </c>
      <c r="V176" s="5" t="n">
        <v>0</v>
      </c>
    </row>
    <row r="177">
      <c r="A177" s="5" t="n">
        <v>173</v>
      </c>
      <c r="B177" s="5" t="n">
        <v>1</v>
      </c>
      <c r="C177" s="6" t="n">
        <v>0.275406400796963</v>
      </c>
      <c r="D177" s="6" t="n">
        <v>-0.4152162171269518</v>
      </c>
      <c r="E177" s="6" t="n">
        <v>-0.1339384518749317</v>
      </c>
      <c r="F177" s="6" t="n">
        <v>0.01674764143977723</v>
      </c>
      <c r="G177" s="5" t="n">
        <v>0</v>
      </c>
      <c r="H177" s="5" t="n">
        <v>1</v>
      </c>
      <c r="I177" s="5" t="n">
        <v>0</v>
      </c>
      <c r="J177" s="5" t="n">
        <v>0</v>
      </c>
      <c r="K177" s="5" t="n">
        <v>1</v>
      </c>
      <c r="L177" s="5" t="n">
        <v>0</v>
      </c>
      <c r="M177" s="5" t="n">
        <v>0</v>
      </c>
      <c r="N177" s="5" t="n">
        <v>0</v>
      </c>
      <c r="O177" s="5" t="n">
        <v>0</v>
      </c>
      <c r="P177" s="5" t="n">
        <v>0</v>
      </c>
      <c r="Q177" s="5" t="n">
        <v>0</v>
      </c>
      <c r="R177" s="5" t="n">
        <v>0</v>
      </c>
      <c r="S177" s="5" t="n">
        <v>0</v>
      </c>
      <c r="T177" s="5" t="n">
        <v>1</v>
      </c>
      <c r="U177" s="5" t="inlineStr">
        <is>
          <t>training</t>
        </is>
      </c>
      <c r="V177" s="5" t="n">
        <v>1</v>
      </c>
    </row>
    <row r="178">
      <c r="A178" s="5" t="n">
        <v>174</v>
      </c>
      <c r="B178" s="5" t="n">
        <v>0</v>
      </c>
      <c r="C178" s="6" t="n">
        <v>-1.072736819887472</v>
      </c>
      <c r="D178" s="6" t="n">
        <v>-0.6426464992822799</v>
      </c>
      <c r="E178" s="6" t="n">
        <v>-0.2209114725729393</v>
      </c>
      <c r="F178" s="6" t="n">
        <v>0.9185437189662378</v>
      </c>
      <c r="G178" s="5" t="n">
        <v>0</v>
      </c>
      <c r="H178" s="5" t="n">
        <v>1</v>
      </c>
      <c r="I178" s="5" t="n">
        <v>0</v>
      </c>
      <c r="J178" s="5" t="n">
        <v>0</v>
      </c>
      <c r="K178" s="5" t="n">
        <v>0</v>
      </c>
      <c r="L178" s="5" t="n">
        <v>0</v>
      </c>
      <c r="M178" s="5" t="n">
        <v>0</v>
      </c>
      <c r="N178" s="5" t="n">
        <v>0</v>
      </c>
      <c r="O178" s="5" t="n">
        <v>0</v>
      </c>
      <c r="P178" s="5" t="n">
        <v>0</v>
      </c>
      <c r="Q178" s="5" t="n">
        <v>0</v>
      </c>
      <c r="R178" s="5" t="n">
        <v>0</v>
      </c>
      <c r="S178" s="5" t="n">
        <v>1</v>
      </c>
      <c r="T178" s="5" t="n">
        <v>0</v>
      </c>
      <c r="U178" s="5" t="inlineStr">
        <is>
          <t>training</t>
        </is>
      </c>
      <c r="V178" s="5" t="n">
        <v>0</v>
      </c>
    </row>
    <row r="179">
      <c r="A179" s="5" t="n">
        <v>175</v>
      </c>
      <c r="B179" s="5" t="n">
        <v>1</v>
      </c>
      <c r="C179" s="6" t="n">
        <v>0.02262954691863145</v>
      </c>
      <c r="D179" s="6" t="n">
        <v>0.05713898427257596</v>
      </c>
      <c r="E179" s="6" t="n">
        <v>-0.8297226174589928</v>
      </c>
      <c r="F179" s="6" t="n">
        <v>-0.8850484360866833</v>
      </c>
      <c r="G179" s="5" t="n">
        <v>1</v>
      </c>
      <c r="H179" s="5" t="n">
        <v>0</v>
      </c>
      <c r="I179" s="5" t="n">
        <v>0</v>
      </c>
      <c r="J179" s="5" t="n">
        <v>0</v>
      </c>
      <c r="K179" s="5" t="n">
        <v>1</v>
      </c>
      <c r="L179" s="5" t="n">
        <v>0</v>
      </c>
      <c r="M179" s="5" t="n">
        <v>0</v>
      </c>
      <c r="N179" s="5" t="n">
        <v>0</v>
      </c>
      <c r="O179" s="5" t="n">
        <v>0</v>
      </c>
      <c r="P179" s="5" t="n">
        <v>0</v>
      </c>
      <c r="Q179" s="5" t="n">
        <v>0</v>
      </c>
      <c r="R179" s="5" t="n">
        <v>0</v>
      </c>
      <c r="S179" s="5" t="n">
        <v>0</v>
      </c>
      <c r="T179" s="5" t="n">
        <v>0</v>
      </c>
      <c r="U179" s="5" t="inlineStr">
        <is>
          <t>training</t>
        </is>
      </c>
      <c r="V179" s="5" t="n">
        <v>1</v>
      </c>
    </row>
    <row r="180">
      <c r="A180" s="5" t="n">
        <v>176</v>
      </c>
      <c r="B180" s="5" t="n">
        <v>1</v>
      </c>
      <c r="C180" s="6" t="n">
        <v>0.7809601085536261</v>
      </c>
      <c r="D180" s="6" t="n">
        <v>1.481552336048485</v>
      </c>
      <c r="E180" s="6" t="n">
        <v>1.518548941387213</v>
      </c>
      <c r="F180" s="6" t="n">
        <v>0.9185437189662378</v>
      </c>
      <c r="G180" s="5" t="n">
        <v>0</v>
      </c>
      <c r="H180" s="5" t="n">
        <v>0</v>
      </c>
      <c r="I180" s="5" t="n">
        <v>0</v>
      </c>
      <c r="J180" s="5" t="n">
        <v>0</v>
      </c>
      <c r="K180" s="5" t="n">
        <v>0</v>
      </c>
      <c r="L180" s="5" t="n">
        <v>1</v>
      </c>
      <c r="M180" s="5" t="n">
        <v>0</v>
      </c>
      <c r="N180" s="5" t="n">
        <v>0</v>
      </c>
      <c r="O180" s="5" t="n">
        <v>1</v>
      </c>
      <c r="P180" s="5" t="n">
        <v>0</v>
      </c>
      <c r="Q180" s="5" t="n">
        <v>0</v>
      </c>
      <c r="R180" s="5" t="n">
        <v>1</v>
      </c>
      <c r="S180" s="5" t="n">
        <v>0</v>
      </c>
      <c r="T180" s="5" t="n">
        <v>0</v>
      </c>
      <c r="U180" s="5" t="inlineStr">
        <is>
          <t>testing</t>
        </is>
      </c>
      <c r="V180" s="5" t="n">
        <v>0</v>
      </c>
    </row>
    <row r="181">
      <c r="A181" s="5" t="n">
        <v>177</v>
      </c>
      <c r="B181" s="5" t="n">
        <v>0</v>
      </c>
      <c r="C181" s="6" t="n">
        <v>-0.7357010147163632</v>
      </c>
      <c r="D181" s="6" t="n">
        <v>-0.2357212405951312</v>
      </c>
      <c r="E181" s="6" t="n">
        <v>0.5618457137091294</v>
      </c>
      <c r="F181" s="6" t="n">
        <v>-0.8850484360866833</v>
      </c>
      <c r="G181" s="5" t="n">
        <v>1</v>
      </c>
      <c r="H181" s="5" t="n">
        <v>0</v>
      </c>
      <c r="I181" s="5" t="n">
        <v>0</v>
      </c>
      <c r="J181" s="5" t="n">
        <v>0</v>
      </c>
      <c r="K181" s="5" t="n">
        <v>0</v>
      </c>
      <c r="L181" s="5" t="n">
        <v>0</v>
      </c>
      <c r="M181" s="5" t="n">
        <v>0</v>
      </c>
      <c r="N181" s="5" t="n">
        <v>0</v>
      </c>
      <c r="O181" s="5" t="n">
        <v>0</v>
      </c>
      <c r="P181" s="5" t="n">
        <v>0</v>
      </c>
      <c r="Q181" s="5" t="n">
        <v>0</v>
      </c>
      <c r="R181" s="5" t="n">
        <v>0</v>
      </c>
      <c r="S181" s="5" t="n">
        <v>0</v>
      </c>
      <c r="T181" s="5" t="n">
        <v>1</v>
      </c>
      <c r="U181" s="5" t="inlineStr">
        <is>
          <t>training</t>
        </is>
      </c>
      <c r="V181" s="5" t="n">
        <v>0</v>
      </c>
    </row>
    <row r="182">
      <c r="A182" s="5" t="n">
        <v>178</v>
      </c>
      <c r="B182" s="5" t="n">
        <v>0</v>
      </c>
      <c r="C182" s="6" t="n">
        <v>-1.241254722473026</v>
      </c>
      <c r="D182" s="6" t="n">
        <v>-1.019131089434792</v>
      </c>
      <c r="E182" s="6" t="n">
        <v>1.431575920689206</v>
      </c>
      <c r="F182" s="6" t="n">
        <v>0.9185437189662378</v>
      </c>
      <c r="G182" s="5" t="n">
        <v>1</v>
      </c>
      <c r="H182" s="5" t="n">
        <v>0</v>
      </c>
      <c r="I182" s="5" t="n">
        <v>0</v>
      </c>
      <c r="J182" s="5" t="n">
        <v>1</v>
      </c>
      <c r="K182" s="5" t="n">
        <v>0</v>
      </c>
      <c r="L182" s="5" t="n">
        <v>0</v>
      </c>
      <c r="M182" s="5" t="n">
        <v>1</v>
      </c>
      <c r="N182" s="5" t="n">
        <v>0</v>
      </c>
      <c r="O182" s="5" t="n">
        <v>0</v>
      </c>
      <c r="P182" s="5" t="n">
        <v>0</v>
      </c>
      <c r="Q182" s="5" t="n">
        <v>0</v>
      </c>
      <c r="R182" s="5" t="n">
        <v>0</v>
      </c>
      <c r="S182" s="5" t="n">
        <v>1</v>
      </c>
      <c r="T182" s="5" t="n">
        <v>0</v>
      </c>
      <c r="U182" s="5" t="inlineStr">
        <is>
          <t>training</t>
        </is>
      </c>
      <c r="V182" s="5" t="n">
        <v>0</v>
      </c>
    </row>
    <row r="183">
      <c r="A183" s="5" t="n">
        <v>179</v>
      </c>
      <c r="B183" s="5" t="n">
        <v>0</v>
      </c>
      <c r="C183" s="6" t="n">
        <v>-0.7357010147163632</v>
      </c>
      <c r="D183" s="6" t="n">
        <v>-0.450555384046472</v>
      </c>
      <c r="E183" s="6" t="n">
        <v>-0.3948575139689546</v>
      </c>
      <c r="F183" s="6" t="n">
        <v>0.9185437189662378</v>
      </c>
      <c r="G183" s="5" t="n">
        <v>0</v>
      </c>
      <c r="H183" s="5" t="n">
        <v>0</v>
      </c>
      <c r="I183" s="5" t="n">
        <v>0</v>
      </c>
      <c r="J183" s="5" t="n">
        <v>0</v>
      </c>
      <c r="K183" s="5" t="n">
        <v>0</v>
      </c>
      <c r="L183" s="5" t="n">
        <v>0</v>
      </c>
      <c r="M183" s="5" t="n">
        <v>0</v>
      </c>
      <c r="N183" s="5" t="n">
        <v>0</v>
      </c>
      <c r="O183" s="5" t="n">
        <v>0</v>
      </c>
      <c r="P183" s="5" t="n">
        <v>1</v>
      </c>
      <c r="Q183" s="5" t="n">
        <v>0</v>
      </c>
      <c r="R183" s="5" t="n">
        <v>0</v>
      </c>
      <c r="S183" s="5" t="n">
        <v>1</v>
      </c>
      <c r="T183" s="5" t="n">
        <v>0</v>
      </c>
      <c r="U183" s="5" t="inlineStr">
        <is>
          <t>training</t>
        </is>
      </c>
      <c r="V183" s="5" t="n">
        <v>0</v>
      </c>
    </row>
    <row r="184">
      <c r="A184" s="5" t="n">
        <v>180</v>
      </c>
      <c r="B184" s="5" t="n">
        <v>0</v>
      </c>
      <c r="C184" s="6" t="n">
        <v>0.02262954691863145</v>
      </c>
      <c r="D184" s="6" t="n">
        <v>-0.9376060806006516</v>
      </c>
      <c r="E184" s="6" t="n">
        <v>2.562225189763305</v>
      </c>
      <c r="F184" s="6" t="n">
        <v>0.9185437189662378</v>
      </c>
      <c r="G184" s="5" t="n">
        <v>1</v>
      </c>
      <c r="H184" s="5" t="n">
        <v>0</v>
      </c>
      <c r="I184" s="5" t="n">
        <v>0</v>
      </c>
      <c r="J184" s="5" t="n">
        <v>1</v>
      </c>
      <c r="K184" s="5" t="n">
        <v>0</v>
      </c>
      <c r="L184" s="5" t="n">
        <v>0</v>
      </c>
      <c r="M184" s="5" t="n">
        <v>0</v>
      </c>
      <c r="N184" s="5" t="n">
        <v>0</v>
      </c>
      <c r="O184" s="5" t="n">
        <v>0</v>
      </c>
      <c r="P184" s="5" t="n">
        <v>0</v>
      </c>
      <c r="Q184" s="5" t="n">
        <v>0</v>
      </c>
      <c r="R184" s="5" t="n">
        <v>1</v>
      </c>
      <c r="S184" s="5" t="n">
        <v>0</v>
      </c>
      <c r="T184" s="5" t="n">
        <v>0</v>
      </c>
      <c r="U184" s="5" t="inlineStr">
        <is>
          <t>training</t>
        </is>
      </c>
      <c r="V184" s="5" t="n">
        <v>0</v>
      </c>
    </row>
    <row r="185">
      <c r="A185" s="5" t="n">
        <v>181</v>
      </c>
      <c r="B185" s="5" t="n">
        <v>1</v>
      </c>
      <c r="C185" s="6" t="n">
        <v>1.286513816310289</v>
      </c>
      <c r="D185" s="6" t="n">
        <v>2.211778488137977</v>
      </c>
      <c r="E185" s="6" t="n">
        <v>-0.6557765760629775</v>
      </c>
      <c r="F185" s="6" t="n">
        <v>-1.786844513613144</v>
      </c>
      <c r="G185" s="5" t="n">
        <v>0</v>
      </c>
      <c r="H185" s="5" t="n">
        <v>0</v>
      </c>
      <c r="I185" s="5" t="n">
        <v>0</v>
      </c>
      <c r="J185" s="5" t="n">
        <v>0</v>
      </c>
      <c r="K185" s="5" t="n">
        <v>1</v>
      </c>
      <c r="L185" s="5" t="n">
        <v>0</v>
      </c>
      <c r="M185" s="5" t="n">
        <v>0</v>
      </c>
      <c r="N185" s="5" t="n">
        <v>0</v>
      </c>
      <c r="O185" s="5" t="n">
        <v>0</v>
      </c>
      <c r="P185" s="5" t="n">
        <v>0</v>
      </c>
      <c r="Q185" s="5" t="n">
        <v>0</v>
      </c>
      <c r="R185" s="5" t="n">
        <v>0</v>
      </c>
      <c r="S185" s="5" t="n">
        <v>0</v>
      </c>
      <c r="T185" s="5" t="n">
        <v>0</v>
      </c>
      <c r="U185" s="5" t="inlineStr">
        <is>
          <t>training</t>
        </is>
      </c>
      <c r="V185" s="5" t="n">
        <v>1</v>
      </c>
    </row>
    <row r="186">
      <c r="A186" s="5" t="n">
        <v>182</v>
      </c>
      <c r="B186" s="5" t="n">
        <v>1</v>
      </c>
      <c r="C186" s="6" t="n">
        <v>1.286513816310289</v>
      </c>
      <c r="D186" s="6" t="n">
        <v>0.4213773284628785</v>
      </c>
      <c r="E186" s="6" t="n">
        <v>-0.4818305346669622</v>
      </c>
      <c r="F186" s="6" t="n">
        <v>-0.8850484360866833</v>
      </c>
      <c r="G186" s="5" t="n">
        <v>0</v>
      </c>
      <c r="H186" s="5" t="n">
        <v>1</v>
      </c>
      <c r="I186" s="5" t="n">
        <v>0</v>
      </c>
      <c r="J186" s="5" t="n">
        <v>0</v>
      </c>
      <c r="K186" s="5" t="n">
        <v>1</v>
      </c>
      <c r="L186" s="5" t="n">
        <v>0</v>
      </c>
      <c r="M186" s="5" t="n">
        <v>0</v>
      </c>
      <c r="N186" s="5" t="n">
        <v>0</v>
      </c>
      <c r="O186" s="5" t="n">
        <v>0</v>
      </c>
      <c r="P186" s="5" t="n">
        <v>0</v>
      </c>
      <c r="Q186" s="5" t="n">
        <v>0</v>
      </c>
      <c r="R186" s="5" t="n">
        <v>0</v>
      </c>
      <c r="S186" s="5" t="n">
        <v>0</v>
      </c>
      <c r="T186" s="5" t="n">
        <v>0</v>
      </c>
      <c r="U186" s="5" t="inlineStr">
        <is>
          <t>training</t>
        </is>
      </c>
      <c r="V186" s="5" t="n">
        <v>1</v>
      </c>
    </row>
    <row r="187">
      <c r="A187" s="5" t="n">
        <v>183</v>
      </c>
      <c r="B187" s="5" t="n">
        <v>1</v>
      </c>
      <c r="C187" s="6" t="n">
        <v>0.02262954691863145</v>
      </c>
      <c r="D187" s="6" t="n">
        <v>-0.5611214904481392</v>
      </c>
      <c r="E187" s="6" t="n">
        <v>0.3878996723131141</v>
      </c>
      <c r="F187" s="6" t="n">
        <v>0.9185437189662378</v>
      </c>
      <c r="G187" s="5" t="n">
        <v>1</v>
      </c>
      <c r="H187" s="5" t="n">
        <v>0</v>
      </c>
      <c r="I187" s="5" t="n">
        <v>0</v>
      </c>
      <c r="J187" s="5" t="n">
        <v>0</v>
      </c>
      <c r="K187" s="5" t="n">
        <v>0</v>
      </c>
      <c r="L187" s="5" t="n">
        <v>1</v>
      </c>
      <c r="M187" s="5" t="n">
        <v>0</v>
      </c>
      <c r="N187" s="5" t="n">
        <v>0</v>
      </c>
      <c r="O187" s="5" t="n">
        <v>1</v>
      </c>
      <c r="P187" s="5" t="n">
        <v>0</v>
      </c>
      <c r="Q187" s="5" t="n">
        <v>0</v>
      </c>
      <c r="R187" s="5" t="n">
        <v>1</v>
      </c>
      <c r="S187" s="5" t="n">
        <v>0</v>
      </c>
      <c r="T187" s="5" t="n">
        <v>0</v>
      </c>
      <c r="U187" s="5" t="inlineStr">
        <is>
          <t>training</t>
        </is>
      </c>
      <c r="V187" s="5" t="n">
        <v>1</v>
      </c>
    </row>
    <row r="188">
      <c r="A188" s="5" t="n">
        <v>184</v>
      </c>
      <c r="B188" s="5" t="n">
        <v>0</v>
      </c>
      <c r="C188" s="6" t="n">
        <v>0.275406400796963</v>
      </c>
      <c r="D188" s="6" t="n">
        <v>0.1841500495377823</v>
      </c>
      <c r="E188" s="6" t="n">
        <v>1.257629879293191</v>
      </c>
      <c r="F188" s="6" t="n">
        <v>0.9185437189662378</v>
      </c>
      <c r="G188" s="5" t="n">
        <v>0</v>
      </c>
      <c r="H188" s="5" t="n">
        <v>0</v>
      </c>
      <c r="I188" s="5" t="n">
        <v>0</v>
      </c>
      <c r="J188" s="5" t="n">
        <v>1</v>
      </c>
      <c r="K188" s="5" t="n">
        <v>0</v>
      </c>
      <c r="L188" s="5" t="n">
        <v>0</v>
      </c>
      <c r="M188" s="5" t="n">
        <v>0</v>
      </c>
      <c r="N188" s="5" t="n">
        <v>1</v>
      </c>
      <c r="O188" s="5" t="n">
        <v>0</v>
      </c>
      <c r="P188" s="5" t="n">
        <v>0</v>
      </c>
      <c r="Q188" s="5" t="n">
        <v>0</v>
      </c>
      <c r="R188" s="5" t="n">
        <v>0</v>
      </c>
      <c r="S188" s="5" t="n">
        <v>0</v>
      </c>
      <c r="T188" s="5" t="n">
        <v>1</v>
      </c>
      <c r="U188" s="5" t="inlineStr">
        <is>
          <t>testing</t>
        </is>
      </c>
      <c r="V188" s="5" t="n">
        <v>0</v>
      </c>
    </row>
    <row r="189">
      <c r="A189" s="5" t="n">
        <v>185</v>
      </c>
      <c r="B189" s="5" t="n">
        <v>1</v>
      </c>
      <c r="C189" s="6" t="n">
        <v>-0.2301473069597001</v>
      </c>
      <c r="D189" s="6" t="n">
        <v>-0.8280896524243168</v>
      </c>
      <c r="E189" s="6" t="n">
        <v>0.04000758952108359</v>
      </c>
      <c r="F189" s="6" t="n">
        <v>0.9185437189662378</v>
      </c>
      <c r="G189" s="5" t="n">
        <v>0</v>
      </c>
      <c r="H189" s="5" t="n">
        <v>1</v>
      </c>
      <c r="I189" s="5" t="n">
        <v>0</v>
      </c>
      <c r="J189" s="5" t="n">
        <v>1</v>
      </c>
      <c r="K189" s="5" t="n">
        <v>0</v>
      </c>
      <c r="L189" s="5" t="n">
        <v>0</v>
      </c>
      <c r="M189" s="5" t="n">
        <v>0</v>
      </c>
      <c r="N189" s="5" t="n">
        <v>0</v>
      </c>
      <c r="O189" s="5" t="n">
        <v>0</v>
      </c>
      <c r="P189" s="5" t="n">
        <v>0</v>
      </c>
      <c r="Q189" s="5" t="n">
        <v>0</v>
      </c>
      <c r="R189" s="5" t="n">
        <v>1</v>
      </c>
      <c r="S189" s="5" t="n">
        <v>0</v>
      </c>
      <c r="T189" s="5" t="n">
        <v>0</v>
      </c>
      <c r="U189" s="5" t="inlineStr">
        <is>
          <t>training</t>
        </is>
      </c>
      <c r="V189" s="5" t="n">
        <v>1</v>
      </c>
    </row>
    <row r="190">
      <c r="A190" s="5" t="n">
        <v>186</v>
      </c>
      <c r="B190" s="5" t="n">
        <v>0</v>
      </c>
      <c r="C190" s="6" t="n">
        <v>-0.4829241608380317</v>
      </c>
      <c r="D190" s="6" t="n">
        <v>-0.6615407073382611</v>
      </c>
      <c r="E190" s="6" t="n">
        <v>-0.3948575139689546</v>
      </c>
      <c r="F190" s="6" t="n">
        <v>0.9185437189662378</v>
      </c>
      <c r="G190" s="5" t="n">
        <v>0</v>
      </c>
      <c r="H190" s="5" t="n">
        <v>0</v>
      </c>
      <c r="I190" s="5" t="n">
        <v>0</v>
      </c>
      <c r="J190" s="5" t="n">
        <v>1</v>
      </c>
      <c r="K190" s="5" t="n">
        <v>0</v>
      </c>
      <c r="L190" s="5" t="n">
        <v>0</v>
      </c>
      <c r="M190" s="5" t="n">
        <v>0</v>
      </c>
      <c r="N190" s="5" t="n">
        <v>0</v>
      </c>
      <c r="O190" s="5" t="n">
        <v>0</v>
      </c>
      <c r="P190" s="5" t="n">
        <v>0</v>
      </c>
      <c r="Q190" s="5" t="n">
        <v>0</v>
      </c>
      <c r="R190" s="5" t="n">
        <v>0</v>
      </c>
      <c r="S190" s="5" t="n">
        <v>1</v>
      </c>
      <c r="T190" s="5" t="n">
        <v>0</v>
      </c>
      <c r="U190" s="5" t="inlineStr">
        <is>
          <t>training</t>
        </is>
      </c>
      <c r="V190" s="5" t="n">
        <v>0</v>
      </c>
    </row>
    <row r="191">
      <c r="A191" s="5" t="n">
        <v>187</v>
      </c>
      <c r="B191" s="5" t="n">
        <v>1</v>
      </c>
      <c r="C191" s="6" t="n">
        <v>-0.9884778685946948</v>
      </c>
      <c r="D191" s="6" t="n">
        <v>0.6572050364208649</v>
      </c>
      <c r="E191" s="6" t="n">
        <v>3.344982376045374</v>
      </c>
      <c r="F191" s="6" t="n">
        <v>-0.8850484360866833</v>
      </c>
      <c r="G191" s="5" t="n">
        <v>0</v>
      </c>
      <c r="H191" s="5" t="n">
        <v>1</v>
      </c>
      <c r="I191" s="5" t="n">
        <v>0</v>
      </c>
      <c r="J191" s="5" t="n">
        <v>0</v>
      </c>
      <c r="K191" s="5" t="n">
        <v>0</v>
      </c>
      <c r="L191" s="5" t="n">
        <v>1</v>
      </c>
      <c r="M191" s="5" t="n">
        <v>0</v>
      </c>
      <c r="N191" s="5" t="n">
        <v>0</v>
      </c>
      <c r="O191" s="5" t="n">
        <v>0</v>
      </c>
      <c r="P191" s="5" t="n">
        <v>0</v>
      </c>
      <c r="Q191" s="5" t="n">
        <v>1</v>
      </c>
      <c r="R191" s="5" t="n">
        <v>1</v>
      </c>
      <c r="S191" s="5" t="n">
        <v>0</v>
      </c>
      <c r="T191" s="5" t="n">
        <v>0</v>
      </c>
      <c r="U191" s="5" t="inlineStr">
        <is>
          <t>training</t>
        </is>
      </c>
      <c r="V191" s="5" t="n">
        <v>1</v>
      </c>
    </row>
    <row r="192">
      <c r="A192" s="5" t="n">
        <v>188</v>
      </c>
      <c r="B192" s="5" t="n">
        <v>0</v>
      </c>
      <c r="C192" s="6" t="n">
        <v>-0.3986652095452545</v>
      </c>
      <c r="D192" s="6" t="n">
        <v>-0.7262708645670852</v>
      </c>
      <c r="E192" s="6" t="n">
        <v>2.823144251857328</v>
      </c>
      <c r="F192" s="6" t="n">
        <v>-0.8850484360866833</v>
      </c>
      <c r="G192" s="5" t="n">
        <v>0</v>
      </c>
      <c r="H192" s="5" t="n">
        <v>1</v>
      </c>
      <c r="I192" s="5" t="n">
        <v>0</v>
      </c>
      <c r="J192" s="5" t="n">
        <v>1</v>
      </c>
      <c r="K192" s="5" t="n">
        <v>0</v>
      </c>
      <c r="L192" s="5" t="n">
        <v>0</v>
      </c>
      <c r="M192" s="5" t="n">
        <v>0</v>
      </c>
      <c r="N192" s="5" t="n">
        <v>0</v>
      </c>
      <c r="O192" s="5" t="n">
        <v>0</v>
      </c>
      <c r="P192" s="5" t="n">
        <v>0</v>
      </c>
      <c r="Q192" s="5" t="n">
        <v>1</v>
      </c>
      <c r="R192" s="5" t="n">
        <v>1</v>
      </c>
      <c r="S192" s="5" t="n">
        <v>0</v>
      </c>
      <c r="T192" s="5" t="n">
        <v>0</v>
      </c>
      <c r="U192" s="5" t="inlineStr">
        <is>
          <t>training</t>
        </is>
      </c>
      <c r="V192" s="5" t="n">
        <v>0</v>
      </c>
    </row>
    <row r="193">
      <c r="A193" s="5" t="n">
        <v>189</v>
      </c>
      <c r="B193" s="5" t="n">
        <v>1</v>
      </c>
      <c r="C193" s="6" t="n">
        <v>-0.7357010147163632</v>
      </c>
      <c r="D193" s="6" t="n">
        <v>-0.9015671281975766</v>
      </c>
      <c r="E193" s="6" t="n">
        <v>-1.351560741647039</v>
      </c>
      <c r="F193" s="6" t="n">
        <v>0.9185437189662378</v>
      </c>
      <c r="G193" s="5" t="n">
        <v>1</v>
      </c>
      <c r="H193" s="5" t="n">
        <v>0</v>
      </c>
      <c r="I193" s="5" t="n">
        <v>0</v>
      </c>
      <c r="J193" s="5" t="n">
        <v>0</v>
      </c>
      <c r="K193" s="5" t="n">
        <v>0</v>
      </c>
      <c r="L193" s="5" t="n">
        <v>0</v>
      </c>
      <c r="M193" s="5" t="n">
        <v>1</v>
      </c>
      <c r="N193" s="5" t="n">
        <v>0</v>
      </c>
      <c r="O193" s="5" t="n">
        <v>0</v>
      </c>
      <c r="P193" s="5" t="n">
        <v>0</v>
      </c>
      <c r="Q193" s="5" t="n">
        <v>0</v>
      </c>
      <c r="R193" s="5" t="n">
        <v>0</v>
      </c>
      <c r="S193" s="5" t="n">
        <v>1</v>
      </c>
      <c r="T193" s="5" t="n">
        <v>0</v>
      </c>
      <c r="U193" s="5" t="inlineStr">
        <is>
          <t>training</t>
        </is>
      </c>
      <c r="V193" s="5" t="n">
        <v>1</v>
      </c>
    </row>
    <row r="194">
      <c r="A194" s="5" t="n">
        <v>190</v>
      </c>
      <c r="B194" s="5" t="n">
        <v>0</v>
      </c>
      <c r="C194" s="6" t="n">
        <v>-0.2301473069597001</v>
      </c>
      <c r="D194" s="6" t="n">
        <v>-0.00234278182958679</v>
      </c>
      <c r="E194" s="6" t="n">
        <v>-0.2209114725729393</v>
      </c>
      <c r="F194" s="6" t="n">
        <v>-1.786844513613144</v>
      </c>
      <c r="G194" s="5" t="n">
        <v>0</v>
      </c>
      <c r="H194" s="5" t="n">
        <v>1</v>
      </c>
      <c r="I194" s="5" t="n">
        <v>0</v>
      </c>
      <c r="J194" s="5" t="n">
        <v>0</v>
      </c>
      <c r="K194" s="5" t="n">
        <v>0</v>
      </c>
      <c r="L194" s="5" t="n">
        <v>1</v>
      </c>
      <c r="M194" s="5" t="n">
        <v>0</v>
      </c>
      <c r="N194" s="5" t="n">
        <v>0</v>
      </c>
      <c r="O194" s="5" t="n">
        <v>0</v>
      </c>
      <c r="P194" s="5" t="n">
        <v>0</v>
      </c>
      <c r="Q194" s="5" t="n">
        <v>0</v>
      </c>
      <c r="R194" s="5" t="n">
        <v>0</v>
      </c>
      <c r="S194" s="5" t="n">
        <v>0</v>
      </c>
      <c r="T194" s="5" t="n">
        <v>1</v>
      </c>
      <c r="U194" s="5" t="inlineStr">
        <is>
          <t>training</t>
        </is>
      </c>
      <c r="V194" s="5" t="n">
        <v>1</v>
      </c>
    </row>
    <row r="195">
      <c r="A195" s="5" t="n">
        <v>191</v>
      </c>
      <c r="B195" s="5" t="n">
        <v>1</v>
      </c>
      <c r="C195" s="6" t="n">
        <v>0.275406400796963</v>
      </c>
      <c r="D195" s="6" t="n">
        <v>0.4689627413446086</v>
      </c>
      <c r="E195" s="6" t="n">
        <v>1.605521962085221</v>
      </c>
      <c r="F195" s="6" t="n">
        <v>-0.8850484360866833</v>
      </c>
      <c r="G195" s="5" t="n">
        <v>0</v>
      </c>
      <c r="H195" s="5" t="n">
        <v>0</v>
      </c>
      <c r="I195" s="5" t="n">
        <v>0</v>
      </c>
      <c r="J195" s="5" t="n">
        <v>0</v>
      </c>
      <c r="K195" s="5" t="n">
        <v>0</v>
      </c>
      <c r="L195" s="5" t="n">
        <v>0</v>
      </c>
      <c r="M195" s="5" t="n">
        <v>0</v>
      </c>
      <c r="N195" s="5" t="n">
        <v>1</v>
      </c>
      <c r="O195" s="5" t="n">
        <v>0</v>
      </c>
      <c r="P195" s="5" t="n">
        <v>0</v>
      </c>
      <c r="Q195" s="5" t="n">
        <v>0</v>
      </c>
      <c r="R195" s="5" t="n">
        <v>0</v>
      </c>
      <c r="S195" s="5" t="n">
        <v>0</v>
      </c>
      <c r="T195" s="5" t="n">
        <v>0</v>
      </c>
      <c r="U195" s="5" t="inlineStr">
        <is>
          <t>training</t>
        </is>
      </c>
      <c r="V195" s="5" t="n">
        <v>1</v>
      </c>
    </row>
    <row r="196">
      <c r="A196" s="5" t="n">
        <v>192</v>
      </c>
      <c r="B196" s="5" t="n">
        <v>1</v>
      </c>
      <c r="C196" s="6" t="n">
        <v>2.297621231823615</v>
      </c>
      <c r="D196" s="6" t="n">
        <v>0.20759286323687</v>
      </c>
      <c r="E196" s="6" t="n">
        <v>-0.1339384518749317</v>
      </c>
      <c r="F196" s="6" t="n">
        <v>0.9185437189662378</v>
      </c>
      <c r="G196" s="5" t="n">
        <v>0</v>
      </c>
      <c r="H196" s="5" t="n">
        <v>1</v>
      </c>
      <c r="I196" s="5" t="n">
        <v>0</v>
      </c>
      <c r="J196" s="5" t="n">
        <v>0</v>
      </c>
      <c r="K196" s="5" t="n">
        <v>0</v>
      </c>
      <c r="L196" s="5" t="n">
        <v>1</v>
      </c>
      <c r="M196" s="5" t="n">
        <v>1</v>
      </c>
      <c r="N196" s="5" t="n">
        <v>0</v>
      </c>
      <c r="O196" s="5" t="n">
        <v>0</v>
      </c>
      <c r="P196" s="5" t="n">
        <v>0</v>
      </c>
      <c r="Q196" s="5" t="n">
        <v>1</v>
      </c>
      <c r="R196" s="5" t="n">
        <v>0</v>
      </c>
      <c r="S196" s="5" t="n">
        <v>0</v>
      </c>
      <c r="T196" s="5" t="n">
        <v>0</v>
      </c>
      <c r="U196" s="5" t="inlineStr">
        <is>
          <t>training</t>
        </is>
      </c>
      <c r="V196" s="5" t="n">
        <v>1</v>
      </c>
    </row>
    <row r="197">
      <c r="A197" s="5" t="n">
        <v>193</v>
      </c>
      <c r="B197" s="5" t="n">
        <v>1</v>
      </c>
      <c r="C197" s="6" t="n">
        <v>0.5281832546752946</v>
      </c>
      <c r="D197" s="6" t="n">
        <v>0.2324352479030674</v>
      </c>
      <c r="E197" s="6" t="n">
        <v>0.04000758952108359</v>
      </c>
      <c r="F197" s="6" t="n">
        <v>0.9185437189662378</v>
      </c>
      <c r="G197" s="5" t="n">
        <v>0</v>
      </c>
      <c r="H197" s="5" t="n">
        <v>1</v>
      </c>
      <c r="I197" s="5" t="n">
        <v>0</v>
      </c>
      <c r="J197" s="5" t="n">
        <v>0</v>
      </c>
      <c r="K197" s="5" t="n">
        <v>0</v>
      </c>
      <c r="L197" s="5" t="n">
        <v>0</v>
      </c>
      <c r="M197" s="5" t="n">
        <v>0</v>
      </c>
      <c r="N197" s="5" t="n">
        <v>0</v>
      </c>
      <c r="O197" s="5" t="n">
        <v>0</v>
      </c>
      <c r="P197" s="5" t="n">
        <v>0</v>
      </c>
      <c r="Q197" s="5" t="n">
        <v>0</v>
      </c>
      <c r="R197" s="5" t="n">
        <v>0</v>
      </c>
      <c r="S197" s="5" t="n">
        <v>0</v>
      </c>
      <c r="T197" s="5" t="n">
        <v>0</v>
      </c>
      <c r="U197" s="5" t="inlineStr">
        <is>
          <t>testing</t>
        </is>
      </c>
      <c r="V197" s="5" t="n">
        <v>0</v>
      </c>
    </row>
    <row r="198">
      <c r="A198" s="5" t="n">
        <v>194</v>
      </c>
      <c r="B198" s="5" t="n">
        <v>0</v>
      </c>
      <c r="C198" s="6" t="n">
        <v>-1.241254722473026</v>
      </c>
      <c r="D198" s="6" t="n">
        <v>-0.3998209364887449</v>
      </c>
      <c r="E198" s="6" t="n">
        <v>-0.5688035553649698</v>
      </c>
      <c r="F198" s="6" t="n">
        <v>-0.8850484360866833</v>
      </c>
      <c r="G198" s="5" t="n">
        <v>0</v>
      </c>
      <c r="H198" s="5" t="n">
        <v>0</v>
      </c>
      <c r="I198" s="5" t="n">
        <v>0</v>
      </c>
      <c r="J198" s="5" t="n">
        <v>0</v>
      </c>
      <c r="K198" s="5" t="n">
        <v>0</v>
      </c>
      <c r="L198" s="5" t="n">
        <v>0</v>
      </c>
      <c r="M198" s="5" t="n">
        <v>0</v>
      </c>
      <c r="N198" s="5" t="n">
        <v>0</v>
      </c>
      <c r="O198" s="5" t="n">
        <v>0</v>
      </c>
      <c r="P198" s="5" t="n">
        <v>1</v>
      </c>
      <c r="Q198" s="5" t="n">
        <v>0</v>
      </c>
      <c r="R198" s="5" t="n">
        <v>0</v>
      </c>
      <c r="S198" s="5" t="n">
        <v>1</v>
      </c>
      <c r="T198" s="5" t="n">
        <v>0</v>
      </c>
      <c r="U198" s="5" t="inlineStr">
        <is>
          <t>testing</t>
        </is>
      </c>
      <c r="V198" s="5" t="n">
        <v>0</v>
      </c>
    </row>
    <row r="199">
      <c r="A199" s="5" t="n">
        <v>195</v>
      </c>
      <c r="B199" s="5" t="n">
        <v>1</v>
      </c>
      <c r="C199" s="6" t="n">
        <v>2.044844377945284</v>
      </c>
      <c r="D199" s="6" t="n">
        <v>-0.07686993582817894</v>
      </c>
      <c r="E199" s="6" t="n">
        <v>-1.264587720949031</v>
      </c>
      <c r="F199" s="6" t="n">
        <v>0.9185437189662378</v>
      </c>
      <c r="G199" s="5" t="n">
        <v>0</v>
      </c>
      <c r="H199" s="5" t="n">
        <v>1</v>
      </c>
      <c r="I199" s="5" t="n">
        <v>0</v>
      </c>
      <c r="J199" s="5" t="n">
        <v>0</v>
      </c>
      <c r="K199" s="5" t="n">
        <v>0</v>
      </c>
      <c r="L199" s="5" t="n">
        <v>0</v>
      </c>
      <c r="M199" s="5" t="n">
        <v>1</v>
      </c>
      <c r="N199" s="5" t="n">
        <v>0</v>
      </c>
      <c r="O199" s="5" t="n">
        <v>0</v>
      </c>
      <c r="P199" s="5" t="n">
        <v>1</v>
      </c>
      <c r="Q199" s="5" t="n">
        <v>0</v>
      </c>
      <c r="R199" s="5" t="n">
        <v>0</v>
      </c>
      <c r="S199" s="5" t="n">
        <v>1</v>
      </c>
      <c r="T199" s="5" t="n">
        <v>0</v>
      </c>
      <c r="U199" s="5" t="inlineStr">
        <is>
          <t>training</t>
        </is>
      </c>
      <c r="V199" s="5" t="n">
        <v>1</v>
      </c>
    </row>
    <row r="200">
      <c r="A200" s="5" t="n">
        <v>196</v>
      </c>
      <c r="B200" s="5" t="n">
        <v>1</v>
      </c>
      <c r="C200" s="6" t="n">
        <v>-0.9884778685946948</v>
      </c>
      <c r="D200" s="6" t="n">
        <v>-0.6122058307476437</v>
      </c>
      <c r="E200" s="6" t="n">
        <v>-0.1339384518749317</v>
      </c>
      <c r="F200" s="6" t="n">
        <v>-0.8850484360866833</v>
      </c>
      <c r="G200" s="5" t="n">
        <v>0</v>
      </c>
      <c r="H200" s="5" t="n">
        <v>1</v>
      </c>
      <c r="I200" s="5" t="n">
        <v>0</v>
      </c>
      <c r="J200" s="5" t="n">
        <v>1</v>
      </c>
      <c r="K200" s="5" t="n">
        <v>0</v>
      </c>
      <c r="L200" s="5" t="n">
        <v>0</v>
      </c>
      <c r="M200" s="5" t="n">
        <v>0</v>
      </c>
      <c r="N200" s="5" t="n">
        <v>0</v>
      </c>
      <c r="O200" s="5" t="n">
        <v>0</v>
      </c>
      <c r="P200" s="5" t="n">
        <v>0</v>
      </c>
      <c r="Q200" s="5" t="n">
        <v>0</v>
      </c>
      <c r="R200" s="5" t="n">
        <v>0</v>
      </c>
      <c r="S200" s="5" t="n">
        <v>0</v>
      </c>
      <c r="T200" s="5" t="n">
        <v>0</v>
      </c>
      <c r="U200" s="5" t="inlineStr">
        <is>
          <t>training</t>
        </is>
      </c>
      <c r="V200" s="5" t="n">
        <v>1</v>
      </c>
    </row>
    <row r="201">
      <c r="A201" s="5" t="n">
        <v>197</v>
      </c>
      <c r="B201" s="5" t="n">
        <v>0</v>
      </c>
      <c r="C201" s="6" t="n">
        <v>-1.241254722473026</v>
      </c>
      <c r="D201" s="6" t="n">
        <v>-0.6538430670191576</v>
      </c>
      <c r="E201" s="6" t="n">
        <v>-0.6557765760629775</v>
      </c>
      <c r="F201" s="6" t="n">
        <v>-1.786844513613144</v>
      </c>
      <c r="G201" s="5" t="n">
        <v>0</v>
      </c>
      <c r="H201" s="5" t="n">
        <v>0</v>
      </c>
      <c r="I201" s="5" t="n">
        <v>0</v>
      </c>
      <c r="J201" s="5" t="n">
        <v>1</v>
      </c>
      <c r="K201" s="5" t="n">
        <v>0</v>
      </c>
      <c r="L201" s="5" t="n">
        <v>0</v>
      </c>
      <c r="M201" s="5" t="n">
        <v>0</v>
      </c>
      <c r="N201" s="5" t="n">
        <v>0</v>
      </c>
      <c r="O201" s="5" t="n">
        <v>0</v>
      </c>
      <c r="P201" s="5" t="n">
        <v>0</v>
      </c>
      <c r="Q201" s="5" t="n">
        <v>0</v>
      </c>
      <c r="R201" s="5" t="n">
        <v>0</v>
      </c>
      <c r="S201" s="5" t="n">
        <v>1</v>
      </c>
      <c r="T201" s="5" t="n">
        <v>0</v>
      </c>
      <c r="U201" s="5" t="inlineStr">
        <is>
          <t>training</t>
        </is>
      </c>
      <c r="V201" s="5" t="n">
        <v>0</v>
      </c>
    </row>
    <row r="202">
      <c r="A202" s="5" t="n">
        <v>198</v>
      </c>
      <c r="B202" s="5" t="n">
        <v>1</v>
      </c>
      <c r="C202" s="6" t="n">
        <v>-0.7357010147163632</v>
      </c>
      <c r="D202" s="6" t="n">
        <v>-0.804646838725229</v>
      </c>
      <c r="E202" s="6" t="n">
        <v>-0.7427495967609852</v>
      </c>
      <c r="F202" s="6" t="n">
        <v>0.9185437189662378</v>
      </c>
      <c r="G202" s="5" t="n">
        <v>0</v>
      </c>
      <c r="H202" s="5" t="n">
        <v>1</v>
      </c>
      <c r="I202" s="5" t="n">
        <v>0</v>
      </c>
      <c r="J202" s="5" t="n">
        <v>0</v>
      </c>
      <c r="K202" s="5" t="n">
        <v>0</v>
      </c>
      <c r="L202" s="5" t="n">
        <v>0</v>
      </c>
      <c r="M202" s="5" t="n">
        <v>1</v>
      </c>
      <c r="N202" s="5" t="n">
        <v>0</v>
      </c>
      <c r="O202" s="5" t="n">
        <v>0</v>
      </c>
      <c r="P202" s="5" t="n">
        <v>1</v>
      </c>
      <c r="Q202" s="5" t="n">
        <v>0</v>
      </c>
      <c r="R202" s="5" t="n">
        <v>0</v>
      </c>
      <c r="S202" s="5" t="n">
        <v>0</v>
      </c>
      <c r="T202" s="5" t="n">
        <v>1</v>
      </c>
      <c r="U202" s="5" t="inlineStr">
        <is>
          <t>training</t>
        </is>
      </c>
      <c r="V202" s="5" t="n">
        <v>1</v>
      </c>
    </row>
    <row r="203">
      <c r="A203" s="5" t="n">
        <v>199</v>
      </c>
      <c r="B203" s="5" t="n">
        <v>0</v>
      </c>
      <c r="C203" s="6" t="n">
        <v>0.275406400796963</v>
      </c>
      <c r="D203" s="6" t="n">
        <v>-0.1716908688498619</v>
      </c>
      <c r="E203" s="6" t="n">
        <v>0.04000758952108359</v>
      </c>
      <c r="F203" s="6" t="n">
        <v>0.9185437189662378</v>
      </c>
      <c r="G203" s="5" t="n">
        <v>0</v>
      </c>
      <c r="H203" s="5" t="n">
        <v>1</v>
      </c>
      <c r="I203" s="5" t="n">
        <v>0</v>
      </c>
      <c r="J203" s="5" t="n">
        <v>0</v>
      </c>
      <c r="K203" s="5" t="n">
        <v>0</v>
      </c>
      <c r="L203" s="5" t="n">
        <v>0</v>
      </c>
      <c r="M203" s="5" t="n">
        <v>0</v>
      </c>
      <c r="N203" s="5" t="n">
        <v>0</v>
      </c>
      <c r="O203" s="5" t="n">
        <v>1</v>
      </c>
      <c r="P203" s="5" t="n">
        <v>0</v>
      </c>
      <c r="Q203" s="5" t="n">
        <v>1</v>
      </c>
      <c r="R203" s="5" t="n">
        <v>1</v>
      </c>
      <c r="S203" s="5" t="n">
        <v>0</v>
      </c>
      <c r="T203" s="5" t="n">
        <v>0</v>
      </c>
      <c r="U203" s="5" t="inlineStr">
        <is>
          <t>training</t>
        </is>
      </c>
      <c r="V203" s="5" t="n">
        <v>0</v>
      </c>
    </row>
    <row r="204">
      <c r="A204" s="5" t="n">
        <v>200</v>
      </c>
      <c r="B204" s="5" t="n">
        <v>1</v>
      </c>
      <c r="C204" s="6" t="n">
        <v>-0.2301473069597001</v>
      </c>
      <c r="D204" s="6" t="n">
        <v>0.3660942752620449</v>
      </c>
      <c r="E204" s="6" t="n">
        <v>0.3878996723131141</v>
      </c>
      <c r="F204" s="6" t="n">
        <v>0.9185437189662378</v>
      </c>
      <c r="G204" s="5" t="n">
        <v>0</v>
      </c>
      <c r="H204" s="5" t="n">
        <v>1</v>
      </c>
      <c r="I204" s="5" t="n">
        <v>0</v>
      </c>
      <c r="J204" s="5" t="n">
        <v>0</v>
      </c>
      <c r="K204" s="5" t="n">
        <v>1</v>
      </c>
      <c r="L204" s="5" t="n">
        <v>0</v>
      </c>
      <c r="M204" s="5" t="n">
        <v>0</v>
      </c>
      <c r="N204" s="5" t="n">
        <v>0</v>
      </c>
      <c r="O204" s="5" t="n">
        <v>0</v>
      </c>
      <c r="P204" s="5" t="n">
        <v>0</v>
      </c>
      <c r="Q204" s="5" t="n">
        <v>0</v>
      </c>
      <c r="R204" s="5" t="n">
        <v>0</v>
      </c>
      <c r="S204" s="5" t="n">
        <v>0</v>
      </c>
      <c r="T204" s="5" t="n">
        <v>1</v>
      </c>
      <c r="U204" s="5" t="inlineStr">
        <is>
          <t>training</t>
        </is>
      </c>
      <c r="V204" s="5" t="n">
        <v>1</v>
      </c>
    </row>
    <row r="205">
      <c r="A205" s="5" t="n">
        <v>201</v>
      </c>
      <c r="B205" s="5" t="n">
        <v>0</v>
      </c>
      <c r="C205" s="6" t="n">
        <v>-0.9884778685946948</v>
      </c>
      <c r="D205" s="6" t="n">
        <v>-0.8098952298518904</v>
      </c>
      <c r="E205" s="6" t="n">
        <v>1.431575920689206</v>
      </c>
      <c r="F205" s="6" t="n">
        <v>0.9185437189662378</v>
      </c>
      <c r="G205" s="5" t="n">
        <v>0</v>
      </c>
      <c r="H205" s="5" t="n">
        <v>0</v>
      </c>
      <c r="I205" s="5" t="n">
        <v>0</v>
      </c>
      <c r="J205" s="5" t="n">
        <v>1</v>
      </c>
      <c r="K205" s="5" t="n">
        <v>0</v>
      </c>
      <c r="L205" s="5" t="n">
        <v>0</v>
      </c>
      <c r="M205" s="5" t="n">
        <v>1</v>
      </c>
      <c r="N205" s="5" t="n">
        <v>0</v>
      </c>
      <c r="O205" s="5" t="n">
        <v>0</v>
      </c>
      <c r="P205" s="5" t="n">
        <v>0</v>
      </c>
      <c r="Q205" s="5" t="n">
        <v>0</v>
      </c>
      <c r="R205" s="5" t="n">
        <v>0</v>
      </c>
      <c r="S205" s="5" t="n">
        <v>0</v>
      </c>
      <c r="T205" s="5" t="n">
        <v>0</v>
      </c>
      <c r="U205" s="5" t="inlineStr">
        <is>
          <t>training</t>
        </is>
      </c>
      <c r="V205" s="5" t="n">
        <v>0</v>
      </c>
    </row>
    <row r="206">
      <c r="A206" s="5" t="n">
        <v>202</v>
      </c>
      <c r="B206" s="5" t="n">
        <v>0</v>
      </c>
      <c r="C206" s="6" t="n">
        <v>-0.7357010147163632</v>
      </c>
      <c r="D206" s="6" t="n">
        <v>-0.7287201137595272</v>
      </c>
      <c r="E206" s="6" t="n">
        <v>-0.7427495967609852</v>
      </c>
      <c r="F206" s="6" t="n">
        <v>0.9185437189662378</v>
      </c>
      <c r="G206" s="5" t="n">
        <v>1</v>
      </c>
      <c r="H206" s="5" t="n">
        <v>0</v>
      </c>
      <c r="I206" s="5" t="n">
        <v>0</v>
      </c>
      <c r="J206" s="5" t="n">
        <v>0</v>
      </c>
      <c r="K206" s="5" t="n">
        <v>0</v>
      </c>
      <c r="L206" s="5" t="n">
        <v>0</v>
      </c>
      <c r="M206" s="5" t="n">
        <v>0</v>
      </c>
      <c r="N206" s="5" t="n">
        <v>0</v>
      </c>
      <c r="O206" s="5" t="n">
        <v>0</v>
      </c>
      <c r="P206" s="5" t="n">
        <v>0</v>
      </c>
      <c r="Q206" s="5" t="n">
        <v>0</v>
      </c>
      <c r="R206" s="5" t="n">
        <v>1</v>
      </c>
      <c r="S206" s="5" t="n">
        <v>0</v>
      </c>
      <c r="T206" s="5" t="n">
        <v>0</v>
      </c>
      <c r="U206" s="5" t="inlineStr">
        <is>
          <t>training</t>
        </is>
      </c>
      <c r="V206" s="5" t="n">
        <v>0</v>
      </c>
    </row>
    <row r="207">
      <c r="A207" s="5" t="n">
        <v>203</v>
      </c>
      <c r="B207" s="5" t="n">
        <v>0</v>
      </c>
      <c r="C207" s="6" t="n">
        <v>0.5281832546752946</v>
      </c>
      <c r="D207" s="6" t="n">
        <v>0.6530063235195358</v>
      </c>
      <c r="E207" s="6" t="n">
        <v>-0.8297226174589928</v>
      </c>
      <c r="F207" s="6" t="n">
        <v>0.01674764143977723</v>
      </c>
      <c r="G207" s="5" t="n">
        <v>0</v>
      </c>
      <c r="H207" s="5" t="n">
        <v>0</v>
      </c>
      <c r="I207" s="5" t="n">
        <v>0</v>
      </c>
      <c r="J207" s="5" t="n">
        <v>0</v>
      </c>
      <c r="K207" s="5" t="n">
        <v>1</v>
      </c>
      <c r="L207" s="5" t="n">
        <v>0</v>
      </c>
      <c r="M207" s="5" t="n">
        <v>0</v>
      </c>
      <c r="N207" s="5" t="n">
        <v>0</v>
      </c>
      <c r="O207" s="5" t="n">
        <v>0</v>
      </c>
      <c r="P207" s="5" t="n">
        <v>0</v>
      </c>
      <c r="Q207" s="5" t="n">
        <v>0</v>
      </c>
      <c r="R207" s="5" t="n">
        <v>0</v>
      </c>
      <c r="S207" s="5" t="n">
        <v>0</v>
      </c>
      <c r="T207" s="5" t="n">
        <v>0</v>
      </c>
      <c r="U207" s="5" t="inlineStr">
        <is>
          <t>testing</t>
        </is>
      </c>
      <c r="V207" s="5" t="n">
        <v>0</v>
      </c>
    </row>
    <row r="208">
      <c r="A208" s="5" t="n">
        <v>204</v>
      </c>
      <c r="B208" s="5" t="n">
        <v>1</v>
      </c>
      <c r="C208" s="6" t="n">
        <v>-0.7357010147163632</v>
      </c>
      <c r="D208" s="6" t="n">
        <v>-0.821791583072323</v>
      </c>
      <c r="E208" s="6" t="n">
        <v>-1.264587720949031</v>
      </c>
      <c r="F208" s="6" t="n">
        <v>0.9185437189662378</v>
      </c>
      <c r="G208" s="5" t="n">
        <v>1</v>
      </c>
      <c r="H208" s="5" t="n">
        <v>0</v>
      </c>
      <c r="I208" s="5" t="n">
        <v>0</v>
      </c>
      <c r="J208" s="5" t="n">
        <v>0</v>
      </c>
      <c r="K208" s="5" t="n">
        <v>0</v>
      </c>
      <c r="L208" s="5" t="n">
        <v>0</v>
      </c>
      <c r="M208" s="5" t="n">
        <v>0</v>
      </c>
      <c r="N208" s="5" t="n">
        <v>0</v>
      </c>
      <c r="O208" s="5" t="n">
        <v>0</v>
      </c>
      <c r="P208" s="5" t="n">
        <v>1</v>
      </c>
      <c r="Q208" s="5" t="n">
        <v>0</v>
      </c>
      <c r="R208" s="5" t="n">
        <v>0</v>
      </c>
      <c r="S208" s="5" t="n">
        <v>0</v>
      </c>
      <c r="T208" s="5" t="n">
        <v>0</v>
      </c>
      <c r="U208" s="5" t="inlineStr">
        <is>
          <t>testing</t>
        </is>
      </c>
      <c r="V208" s="5" t="n">
        <v>0</v>
      </c>
    </row>
    <row r="209">
      <c r="A209" s="5" t="n">
        <v>205</v>
      </c>
      <c r="B209" s="5" t="n">
        <v>0</v>
      </c>
      <c r="C209" s="6" t="n">
        <v>-0.7357010147163632</v>
      </c>
      <c r="D209" s="6" t="n">
        <v>-0.6143051871983083</v>
      </c>
      <c r="E209" s="6" t="n">
        <v>0.2139536309170988</v>
      </c>
      <c r="F209" s="6" t="n">
        <v>0.9185437189662378</v>
      </c>
      <c r="G209" s="5" t="n">
        <v>0</v>
      </c>
      <c r="H209" s="5" t="n">
        <v>0</v>
      </c>
      <c r="I209" s="5" t="n">
        <v>0</v>
      </c>
      <c r="J209" s="5" t="n">
        <v>1</v>
      </c>
      <c r="K209" s="5" t="n">
        <v>0</v>
      </c>
      <c r="L209" s="5" t="n">
        <v>0</v>
      </c>
      <c r="M209" s="5" t="n">
        <v>0</v>
      </c>
      <c r="N209" s="5" t="n">
        <v>0</v>
      </c>
      <c r="O209" s="5" t="n">
        <v>0</v>
      </c>
      <c r="P209" s="5" t="n">
        <v>0</v>
      </c>
      <c r="Q209" s="5" t="n">
        <v>0</v>
      </c>
      <c r="R209" s="5" t="n">
        <v>1</v>
      </c>
      <c r="S209" s="5" t="n">
        <v>0</v>
      </c>
      <c r="T209" s="5" t="n">
        <v>0</v>
      </c>
      <c r="U209" s="5" t="inlineStr">
        <is>
          <t>training</t>
        </is>
      </c>
      <c r="V209" s="5" t="n">
        <v>1</v>
      </c>
    </row>
    <row r="210">
      <c r="A210" s="5" t="n">
        <v>206</v>
      </c>
      <c r="B210" s="5" t="n">
        <v>0</v>
      </c>
      <c r="C210" s="6" t="n">
        <v>0.7809601085536261</v>
      </c>
      <c r="D210" s="6" t="n">
        <v>2.579515759746054</v>
      </c>
      <c r="E210" s="6" t="n">
        <v>0.2139536309170988</v>
      </c>
      <c r="F210" s="6" t="n">
        <v>0.01674764143977723</v>
      </c>
      <c r="G210" s="5" t="n">
        <v>1</v>
      </c>
      <c r="H210" s="5" t="n">
        <v>0</v>
      </c>
      <c r="I210" s="5" t="n">
        <v>0</v>
      </c>
      <c r="J210" s="5" t="n">
        <v>1</v>
      </c>
      <c r="K210" s="5" t="n">
        <v>0</v>
      </c>
      <c r="L210" s="5" t="n">
        <v>0</v>
      </c>
      <c r="M210" s="5" t="n">
        <v>0</v>
      </c>
      <c r="N210" s="5" t="n">
        <v>0</v>
      </c>
      <c r="O210" s="5" t="n">
        <v>0</v>
      </c>
      <c r="P210" s="5" t="n">
        <v>0</v>
      </c>
      <c r="Q210" s="5" t="n">
        <v>1</v>
      </c>
      <c r="R210" s="5" t="n">
        <v>1</v>
      </c>
      <c r="S210" s="5" t="n">
        <v>0</v>
      </c>
      <c r="T210" s="5" t="n">
        <v>0</v>
      </c>
      <c r="U210" s="5" t="inlineStr">
        <is>
          <t>testing</t>
        </is>
      </c>
      <c r="V210" s="5" t="n">
        <v>0</v>
      </c>
    </row>
    <row r="211">
      <c r="A211" s="5" t="n">
        <v>207</v>
      </c>
      <c r="B211" s="5" t="n">
        <v>0</v>
      </c>
      <c r="C211" s="6" t="n">
        <v>-0.7357010147163632</v>
      </c>
      <c r="D211" s="6" t="n">
        <v>-0.46035238081624</v>
      </c>
      <c r="E211" s="6" t="n">
        <v>0.648818734407137</v>
      </c>
      <c r="F211" s="6" t="n">
        <v>0.9185437189662378</v>
      </c>
      <c r="G211" s="5" t="n">
        <v>0</v>
      </c>
      <c r="H211" s="5" t="n">
        <v>0</v>
      </c>
      <c r="I211" s="5" t="n">
        <v>0</v>
      </c>
      <c r="J211" s="5" t="n">
        <v>1</v>
      </c>
      <c r="K211" s="5" t="n">
        <v>0</v>
      </c>
      <c r="L211" s="5" t="n">
        <v>0</v>
      </c>
      <c r="M211" s="5" t="n">
        <v>0</v>
      </c>
      <c r="N211" s="5" t="n">
        <v>0</v>
      </c>
      <c r="O211" s="5" t="n">
        <v>0</v>
      </c>
      <c r="P211" s="5" t="n">
        <v>0</v>
      </c>
      <c r="Q211" s="5" t="n">
        <v>0</v>
      </c>
      <c r="R211" s="5" t="n">
        <v>0</v>
      </c>
      <c r="S211" s="5" t="n">
        <v>0</v>
      </c>
      <c r="T211" s="5" t="n">
        <v>1</v>
      </c>
      <c r="U211" s="5" t="inlineStr">
        <is>
          <t>testing</t>
        </is>
      </c>
      <c r="V211" s="5" t="n">
        <v>0</v>
      </c>
    </row>
    <row r="212">
      <c r="A212" s="5" t="n">
        <v>208</v>
      </c>
      <c r="B212" s="5" t="n">
        <v>0</v>
      </c>
      <c r="C212" s="6" t="n">
        <v>-0.7357010147163632</v>
      </c>
      <c r="D212" s="6" t="n">
        <v>-0.6391475718645057</v>
      </c>
      <c r="E212" s="6" t="n">
        <v>-0.8297226174589928</v>
      </c>
      <c r="F212" s="6" t="n">
        <v>0.9185437189662378</v>
      </c>
      <c r="G212" s="5" t="n">
        <v>0</v>
      </c>
      <c r="H212" s="5" t="n">
        <v>1</v>
      </c>
      <c r="I212" s="5" t="n">
        <v>0</v>
      </c>
      <c r="J212" s="5" t="n">
        <v>1</v>
      </c>
      <c r="K212" s="5" t="n">
        <v>0</v>
      </c>
      <c r="L212" s="5" t="n">
        <v>0</v>
      </c>
      <c r="M212" s="5" t="n">
        <v>0</v>
      </c>
      <c r="N212" s="5" t="n">
        <v>0</v>
      </c>
      <c r="O212" s="5" t="n">
        <v>0</v>
      </c>
      <c r="P212" s="5" t="n">
        <v>0</v>
      </c>
      <c r="Q212" s="5" t="n">
        <v>0</v>
      </c>
      <c r="R212" s="5" t="n">
        <v>0</v>
      </c>
      <c r="S212" s="5" t="n">
        <v>0</v>
      </c>
      <c r="T212" s="5" t="n">
        <v>0</v>
      </c>
      <c r="U212" s="5" t="inlineStr">
        <is>
          <t>training</t>
        </is>
      </c>
      <c r="V212" s="5" t="n">
        <v>0</v>
      </c>
    </row>
    <row r="213">
      <c r="A213" s="5" t="n">
        <v>209</v>
      </c>
      <c r="B213" s="5" t="n">
        <v>0</v>
      </c>
      <c r="C213" s="6" t="n">
        <v>0.275406400796963</v>
      </c>
      <c r="D213" s="6" t="n">
        <v>1.160700691838584</v>
      </c>
      <c r="E213" s="6" t="n">
        <v>-1.264587720949031</v>
      </c>
      <c r="F213" s="6" t="n">
        <v>-0.8850484360866833</v>
      </c>
      <c r="G213" s="5" t="n">
        <v>1</v>
      </c>
      <c r="H213" s="5" t="n">
        <v>0</v>
      </c>
      <c r="I213" s="5" t="n">
        <v>0</v>
      </c>
      <c r="J213" s="5" t="n">
        <v>0</v>
      </c>
      <c r="K213" s="5" t="n">
        <v>0</v>
      </c>
      <c r="L213" s="5" t="n">
        <v>0</v>
      </c>
      <c r="M213" s="5" t="n">
        <v>0</v>
      </c>
      <c r="N213" s="5" t="n">
        <v>0</v>
      </c>
      <c r="O213" s="5" t="n">
        <v>0</v>
      </c>
      <c r="P213" s="5" t="n">
        <v>0</v>
      </c>
      <c r="Q213" s="5" t="n">
        <v>0</v>
      </c>
      <c r="R213" s="5" t="n">
        <v>0</v>
      </c>
      <c r="S213" s="5" t="n">
        <v>0</v>
      </c>
      <c r="T213" s="5" t="n">
        <v>0</v>
      </c>
      <c r="U213" s="5" t="inlineStr">
        <is>
          <t>training</t>
        </is>
      </c>
      <c r="V213" s="5" t="n">
        <v>0</v>
      </c>
    </row>
    <row r="214">
      <c r="A214" s="5" t="n">
        <v>210</v>
      </c>
      <c r="B214" s="5" t="n">
        <v>0</v>
      </c>
      <c r="C214" s="6" t="n">
        <v>-0.7357010147163632</v>
      </c>
      <c r="D214" s="6" t="n">
        <v>-0.6429963920240573</v>
      </c>
      <c r="E214" s="6" t="n">
        <v>1.692494982783229</v>
      </c>
      <c r="F214" s="6" t="n">
        <v>0.01674764143977723</v>
      </c>
      <c r="G214" s="5" t="n">
        <v>0</v>
      </c>
      <c r="H214" s="5" t="n">
        <v>0</v>
      </c>
      <c r="I214" s="5" t="n">
        <v>0</v>
      </c>
      <c r="J214" s="5" t="n">
        <v>0</v>
      </c>
      <c r="K214" s="5" t="n">
        <v>0</v>
      </c>
      <c r="L214" s="5" t="n">
        <v>0</v>
      </c>
      <c r="M214" s="5" t="n">
        <v>0</v>
      </c>
      <c r="N214" s="5" t="n">
        <v>1</v>
      </c>
      <c r="O214" s="5" t="n">
        <v>0</v>
      </c>
      <c r="P214" s="5" t="n">
        <v>0</v>
      </c>
      <c r="Q214" s="5" t="n">
        <v>0</v>
      </c>
      <c r="R214" s="5" t="n">
        <v>1</v>
      </c>
      <c r="S214" s="5" t="n">
        <v>0</v>
      </c>
      <c r="T214" s="5" t="n">
        <v>0</v>
      </c>
      <c r="U214" s="5" t="inlineStr">
        <is>
          <t>training</t>
        </is>
      </c>
      <c r="V214" s="5" t="n">
        <v>0</v>
      </c>
    </row>
    <row r="215">
      <c r="A215" s="5" t="n">
        <v>211</v>
      </c>
      <c r="B215" s="5" t="n">
        <v>0</v>
      </c>
      <c r="C215" s="6" t="n">
        <v>-0.9884778685946948</v>
      </c>
      <c r="D215" s="6" t="n">
        <v>-0.06182454793174954</v>
      </c>
      <c r="E215" s="6" t="n">
        <v>-0.2209114725729393</v>
      </c>
      <c r="F215" s="6" t="n">
        <v>-1.786844513613144</v>
      </c>
      <c r="G215" s="5" t="n">
        <v>0</v>
      </c>
      <c r="H215" s="5" t="n">
        <v>0</v>
      </c>
      <c r="I215" s="5" t="n">
        <v>0</v>
      </c>
      <c r="J215" s="5" t="n">
        <v>1</v>
      </c>
      <c r="K215" s="5" t="n">
        <v>0</v>
      </c>
      <c r="L215" s="5" t="n">
        <v>0</v>
      </c>
      <c r="M215" s="5" t="n">
        <v>0</v>
      </c>
      <c r="N215" s="5" t="n">
        <v>0</v>
      </c>
      <c r="O215" s="5" t="n">
        <v>1</v>
      </c>
      <c r="P215" s="5" t="n">
        <v>0</v>
      </c>
      <c r="Q215" s="5" t="n">
        <v>0</v>
      </c>
      <c r="R215" s="5" t="n">
        <v>0</v>
      </c>
      <c r="S215" s="5" t="n">
        <v>1</v>
      </c>
      <c r="T215" s="5" t="n">
        <v>0</v>
      </c>
      <c r="U215" s="5" t="inlineStr">
        <is>
          <t>training</t>
        </is>
      </c>
      <c r="V215" s="5" t="n">
        <v>0</v>
      </c>
    </row>
    <row r="216">
      <c r="A216" s="5" t="n">
        <v>212</v>
      </c>
      <c r="B216" s="5" t="n">
        <v>0</v>
      </c>
      <c r="C216" s="6" t="n">
        <v>1.286513816310289</v>
      </c>
      <c r="D216" s="6" t="n">
        <v>0.2044438285608731</v>
      </c>
      <c r="E216" s="6" t="n">
        <v>0.8227647758031523</v>
      </c>
      <c r="F216" s="6" t="n">
        <v>-0.8850484360866833</v>
      </c>
      <c r="G216" s="5" t="n">
        <v>0</v>
      </c>
      <c r="H216" s="5" t="n">
        <v>0</v>
      </c>
      <c r="I216" s="5" t="n">
        <v>0</v>
      </c>
      <c r="J216" s="5" t="n">
        <v>0</v>
      </c>
      <c r="K216" s="5" t="n">
        <v>0</v>
      </c>
      <c r="L216" s="5" t="n">
        <v>0</v>
      </c>
      <c r="M216" s="5" t="n">
        <v>0</v>
      </c>
      <c r="N216" s="5" t="n">
        <v>0</v>
      </c>
      <c r="O216" s="5" t="n">
        <v>1</v>
      </c>
      <c r="P216" s="5" t="n">
        <v>0</v>
      </c>
      <c r="Q216" s="5" t="n">
        <v>0</v>
      </c>
      <c r="R216" s="5" t="n">
        <v>0</v>
      </c>
      <c r="S216" s="5" t="n">
        <v>1</v>
      </c>
      <c r="T216" s="5" t="n">
        <v>0</v>
      </c>
      <c r="U216" s="5" t="inlineStr">
        <is>
          <t>training</t>
        </is>
      </c>
      <c r="V216" s="5" t="n">
        <v>1</v>
      </c>
    </row>
    <row r="217">
      <c r="A217" s="5" t="n">
        <v>213</v>
      </c>
      <c r="B217" s="5" t="n">
        <v>1</v>
      </c>
      <c r="C217" s="6" t="n">
        <v>0.5281832546752946</v>
      </c>
      <c r="D217" s="6" t="n">
        <v>0.714587446072363</v>
      </c>
      <c r="E217" s="6" t="n">
        <v>1.257629879293191</v>
      </c>
      <c r="F217" s="6" t="n">
        <v>-0.8850484360866833</v>
      </c>
      <c r="G217" s="5" t="n">
        <v>1</v>
      </c>
      <c r="H217" s="5" t="n">
        <v>0</v>
      </c>
      <c r="I217" s="5" t="n">
        <v>0</v>
      </c>
      <c r="J217" s="5" t="n">
        <v>0</v>
      </c>
      <c r="K217" s="5" t="n">
        <v>0</v>
      </c>
      <c r="L217" s="5" t="n">
        <v>1</v>
      </c>
      <c r="M217" s="5" t="n">
        <v>0</v>
      </c>
      <c r="N217" s="5" t="n">
        <v>0</v>
      </c>
      <c r="O217" s="5" t="n">
        <v>0</v>
      </c>
      <c r="P217" s="5" t="n">
        <v>0</v>
      </c>
      <c r="Q217" s="5" t="n">
        <v>0</v>
      </c>
      <c r="R217" s="5" t="n">
        <v>0</v>
      </c>
      <c r="S217" s="5" t="n">
        <v>0</v>
      </c>
      <c r="T217" s="5" t="n">
        <v>0</v>
      </c>
      <c r="U217" s="5" t="inlineStr">
        <is>
          <t>testing</t>
        </is>
      </c>
      <c r="V217" s="5" t="n">
        <v>0</v>
      </c>
    </row>
    <row r="218">
      <c r="A218" s="5" t="n">
        <v>214</v>
      </c>
      <c r="B218" s="5" t="n">
        <v>1</v>
      </c>
      <c r="C218" s="6" t="n">
        <v>0.7809601085536261</v>
      </c>
      <c r="D218" s="6" t="n">
        <v>-0.4697994848442305</v>
      </c>
      <c r="E218" s="6" t="n">
        <v>2.649198210461313</v>
      </c>
      <c r="F218" s="6" t="n">
        <v>0.9185437189662378</v>
      </c>
      <c r="G218" s="5" t="n">
        <v>0</v>
      </c>
      <c r="H218" s="5" t="n">
        <v>0</v>
      </c>
      <c r="I218" s="5" t="n">
        <v>1</v>
      </c>
      <c r="J218" s="5" t="n">
        <v>0</v>
      </c>
      <c r="K218" s="5" t="n">
        <v>1</v>
      </c>
      <c r="L218" s="5" t="n">
        <v>0</v>
      </c>
      <c r="M218" s="5" t="n">
        <v>0</v>
      </c>
      <c r="N218" s="5" t="n">
        <v>0</v>
      </c>
      <c r="O218" s="5" t="n">
        <v>0</v>
      </c>
      <c r="P218" s="5" t="n">
        <v>0</v>
      </c>
      <c r="Q218" s="5" t="n">
        <v>0</v>
      </c>
      <c r="R218" s="5" t="n">
        <v>0</v>
      </c>
      <c r="S218" s="5" t="n">
        <v>0</v>
      </c>
      <c r="T218" s="5" t="n">
        <v>0</v>
      </c>
      <c r="U218" s="5" t="inlineStr">
        <is>
          <t>testing</t>
        </is>
      </c>
      <c r="V218" s="5" t="n">
        <v>0</v>
      </c>
    </row>
    <row r="219">
      <c r="A219" s="5" t="n">
        <v>215</v>
      </c>
      <c r="B219" s="5" t="n">
        <v>0</v>
      </c>
      <c r="C219" s="6" t="n">
        <v>1.286513816310289</v>
      </c>
      <c r="D219" s="6" t="n">
        <v>0.03194670686460115</v>
      </c>
      <c r="E219" s="6" t="n">
        <v>1.344602899991198</v>
      </c>
      <c r="F219" s="6" t="n">
        <v>0.9185437189662378</v>
      </c>
      <c r="G219" s="5" t="n">
        <v>0</v>
      </c>
      <c r="H219" s="5" t="n">
        <v>0</v>
      </c>
      <c r="I219" s="5" t="n">
        <v>0</v>
      </c>
      <c r="J219" s="5" t="n">
        <v>1</v>
      </c>
      <c r="K219" s="5" t="n">
        <v>0</v>
      </c>
      <c r="L219" s="5" t="n">
        <v>0</v>
      </c>
      <c r="M219" s="5" t="n">
        <v>0</v>
      </c>
      <c r="N219" s="5" t="n">
        <v>0</v>
      </c>
      <c r="O219" s="5" t="n">
        <v>1</v>
      </c>
      <c r="P219" s="5" t="n">
        <v>0</v>
      </c>
      <c r="Q219" s="5" t="n">
        <v>0</v>
      </c>
      <c r="R219" s="5" t="n">
        <v>0</v>
      </c>
      <c r="S219" s="5" t="n">
        <v>1</v>
      </c>
      <c r="T219" s="5" t="n">
        <v>0</v>
      </c>
      <c r="U219" s="5" t="inlineStr">
        <is>
          <t>training</t>
        </is>
      </c>
      <c r="V219" s="5" t="n">
        <v>0</v>
      </c>
    </row>
    <row r="220">
      <c r="A220" s="5" t="n">
        <v>216</v>
      </c>
      <c r="B220" s="5" t="n">
        <v>0</v>
      </c>
      <c r="C220" s="6" t="n">
        <v>-1.241254722473026</v>
      </c>
      <c r="D220" s="6" t="n">
        <v>-0.8112948008190002</v>
      </c>
      <c r="E220" s="6" t="n">
        <v>0.3009266516151065</v>
      </c>
      <c r="F220" s="6" t="n">
        <v>-1.786844513613144</v>
      </c>
      <c r="G220" s="5" t="n">
        <v>0</v>
      </c>
      <c r="H220" s="5" t="n">
        <v>1</v>
      </c>
      <c r="I220" s="5" t="n">
        <v>0</v>
      </c>
      <c r="J220" s="5" t="n">
        <v>1</v>
      </c>
      <c r="K220" s="5" t="n">
        <v>0</v>
      </c>
      <c r="L220" s="5" t="n">
        <v>0</v>
      </c>
      <c r="M220" s="5" t="n">
        <v>0</v>
      </c>
      <c r="N220" s="5" t="n">
        <v>0</v>
      </c>
      <c r="O220" s="5" t="n">
        <v>1</v>
      </c>
      <c r="P220" s="5" t="n">
        <v>0</v>
      </c>
      <c r="Q220" s="5" t="n">
        <v>0</v>
      </c>
      <c r="R220" s="5" t="n">
        <v>0</v>
      </c>
      <c r="S220" s="5" t="n">
        <v>0</v>
      </c>
      <c r="T220" s="5" t="n">
        <v>0</v>
      </c>
      <c r="U220" s="5" t="inlineStr">
        <is>
          <t>training</t>
        </is>
      </c>
      <c r="V220" s="5" t="n">
        <v>1</v>
      </c>
    </row>
    <row r="221">
      <c r="A221" s="5" t="n">
        <v>217</v>
      </c>
      <c r="B221" s="5" t="n">
        <v>0</v>
      </c>
      <c r="C221" s="6" t="n">
        <v>-0.2301473069597001</v>
      </c>
      <c r="D221" s="6" t="n">
        <v>-0.0513277656784267</v>
      </c>
      <c r="E221" s="6" t="n">
        <v>-0.3948575139689546</v>
      </c>
      <c r="F221" s="6" t="n">
        <v>0.01674764143977723</v>
      </c>
      <c r="G221" s="5" t="n">
        <v>1</v>
      </c>
      <c r="H221" s="5" t="n">
        <v>0</v>
      </c>
      <c r="I221" s="5" t="n">
        <v>0</v>
      </c>
      <c r="J221" s="5" t="n">
        <v>0</v>
      </c>
      <c r="K221" s="5" t="n">
        <v>0</v>
      </c>
      <c r="L221" s="5" t="n">
        <v>1</v>
      </c>
      <c r="M221" s="5" t="n">
        <v>0</v>
      </c>
      <c r="N221" s="5" t="n">
        <v>0</v>
      </c>
      <c r="O221" s="5" t="n">
        <v>0</v>
      </c>
      <c r="P221" s="5" t="n">
        <v>0</v>
      </c>
      <c r="Q221" s="5" t="n">
        <v>0</v>
      </c>
      <c r="R221" s="5" t="n">
        <v>0</v>
      </c>
      <c r="S221" s="5" t="n">
        <v>0</v>
      </c>
      <c r="T221" s="5" t="n">
        <v>0</v>
      </c>
      <c r="U221" s="5" t="inlineStr">
        <is>
          <t>testing</t>
        </is>
      </c>
      <c r="V221" s="5" t="n">
        <v>0</v>
      </c>
    </row>
    <row r="222">
      <c r="A222" s="5" t="n">
        <v>218</v>
      </c>
      <c r="B222" s="5" t="n">
        <v>0</v>
      </c>
      <c r="C222" s="6" t="n">
        <v>1.286513816310289</v>
      </c>
      <c r="D222" s="6" t="n">
        <v>0.2317354624195125</v>
      </c>
      <c r="E222" s="6" t="n">
        <v>-1.090641679553016</v>
      </c>
      <c r="F222" s="6" t="n">
        <v>-0.8850484360866833</v>
      </c>
      <c r="G222" s="5" t="n">
        <v>0</v>
      </c>
      <c r="H222" s="5" t="n">
        <v>0</v>
      </c>
      <c r="I222" s="5" t="n">
        <v>1</v>
      </c>
      <c r="J222" s="5" t="n">
        <v>0</v>
      </c>
      <c r="K222" s="5" t="n">
        <v>0</v>
      </c>
      <c r="L222" s="5" t="n">
        <v>0</v>
      </c>
      <c r="M222" s="5" t="n">
        <v>0</v>
      </c>
      <c r="N222" s="5" t="n">
        <v>0</v>
      </c>
      <c r="O222" s="5" t="n">
        <v>0</v>
      </c>
      <c r="P222" s="5" t="n">
        <v>0</v>
      </c>
      <c r="Q222" s="5" t="n">
        <v>0</v>
      </c>
      <c r="R222" s="5" t="n">
        <v>0</v>
      </c>
      <c r="S222" s="5" t="n">
        <v>1</v>
      </c>
      <c r="T222" s="5" t="n">
        <v>0</v>
      </c>
      <c r="U222" s="5" t="inlineStr">
        <is>
          <t>training</t>
        </is>
      </c>
      <c r="V222" s="5" t="n">
        <v>1</v>
      </c>
    </row>
    <row r="223">
      <c r="A223" s="5" t="n">
        <v>219</v>
      </c>
      <c r="B223" s="5" t="n">
        <v>0</v>
      </c>
      <c r="C223" s="6" t="n">
        <v>0.275406400796963</v>
      </c>
      <c r="D223" s="6" t="n">
        <v>-0.08036886324595323</v>
      </c>
      <c r="E223" s="6" t="n">
        <v>-1.003668658855008</v>
      </c>
      <c r="F223" s="6" t="n">
        <v>-0.8850484360866833</v>
      </c>
      <c r="G223" s="5" t="n">
        <v>1</v>
      </c>
      <c r="H223" s="5" t="n">
        <v>0</v>
      </c>
      <c r="I223" s="5" t="n">
        <v>0</v>
      </c>
      <c r="J223" s="5" t="n">
        <v>0</v>
      </c>
      <c r="K223" s="5" t="n">
        <v>0</v>
      </c>
      <c r="L223" s="5" t="n">
        <v>0</v>
      </c>
      <c r="M223" s="5" t="n">
        <v>0</v>
      </c>
      <c r="N223" s="5" t="n">
        <v>0</v>
      </c>
      <c r="O223" s="5" t="n">
        <v>0</v>
      </c>
      <c r="P223" s="5" t="n">
        <v>1</v>
      </c>
      <c r="Q223" s="5" t="n">
        <v>0</v>
      </c>
      <c r="R223" s="5" t="n">
        <v>0</v>
      </c>
      <c r="S223" s="5" t="n">
        <v>0</v>
      </c>
      <c r="T223" s="5" t="n">
        <v>1</v>
      </c>
      <c r="U223" s="5" t="inlineStr">
        <is>
          <t>testing</t>
        </is>
      </c>
      <c r="V223" s="5" t="n">
        <v>0</v>
      </c>
    </row>
    <row r="224">
      <c r="A224" s="5" t="n">
        <v>220</v>
      </c>
      <c r="B224" s="5" t="n">
        <v>0</v>
      </c>
      <c r="C224" s="6" t="n">
        <v>-0.9042189173019176</v>
      </c>
      <c r="D224" s="6" t="n">
        <v>-0.6601411363711513</v>
      </c>
      <c r="E224" s="6" t="n">
        <v>2.475252169065298</v>
      </c>
      <c r="F224" s="6" t="n">
        <v>-0.8850484360866833</v>
      </c>
      <c r="G224" s="5" t="n">
        <v>0</v>
      </c>
      <c r="H224" s="5" t="n">
        <v>0</v>
      </c>
      <c r="I224" s="5" t="n">
        <v>0</v>
      </c>
      <c r="J224" s="5" t="n">
        <v>0</v>
      </c>
      <c r="K224" s="5" t="n">
        <v>0</v>
      </c>
      <c r="L224" s="5" t="n">
        <v>0</v>
      </c>
      <c r="M224" s="5" t="n">
        <v>0</v>
      </c>
      <c r="N224" s="5" t="n">
        <v>0</v>
      </c>
      <c r="O224" s="5" t="n">
        <v>0</v>
      </c>
      <c r="P224" s="5" t="n">
        <v>0</v>
      </c>
      <c r="Q224" s="5" t="n">
        <v>0</v>
      </c>
      <c r="R224" s="5" t="n">
        <v>1</v>
      </c>
      <c r="S224" s="5" t="n">
        <v>0</v>
      </c>
      <c r="T224" s="5" t="n">
        <v>0</v>
      </c>
      <c r="U224" s="5" t="inlineStr">
        <is>
          <t>training</t>
        </is>
      </c>
      <c r="V224" s="5" t="n">
        <v>0</v>
      </c>
    </row>
    <row r="225">
      <c r="A225" s="5" t="n">
        <v>221</v>
      </c>
      <c r="B225" s="5" t="n">
        <v>0</v>
      </c>
      <c r="C225" s="6" t="n">
        <v>-0.7357010147163632</v>
      </c>
      <c r="D225" s="6" t="n">
        <v>-0.9187118725446706</v>
      </c>
      <c r="E225" s="6" t="n">
        <v>-0.8297226174589928</v>
      </c>
      <c r="F225" s="6" t="n">
        <v>0.9185437189662378</v>
      </c>
      <c r="G225" s="5" t="n">
        <v>0</v>
      </c>
      <c r="H225" s="5" t="n">
        <v>1</v>
      </c>
      <c r="I225" s="5" t="n">
        <v>0</v>
      </c>
      <c r="J225" s="5" t="n">
        <v>0</v>
      </c>
      <c r="K225" s="5" t="n">
        <v>0</v>
      </c>
      <c r="L225" s="5" t="n">
        <v>0</v>
      </c>
      <c r="M225" s="5" t="n">
        <v>0</v>
      </c>
      <c r="N225" s="5" t="n">
        <v>0</v>
      </c>
      <c r="O225" s="5" t="n">
        <v>0</v>
      </c>
      <c r="P225" s="5" t="n">
        <v>0</v>
      </c>
      <c r="Q225" s="5" t="n">
        <v>0</v>
      </c>
      <c r="R225" s="5" t="n">
        <v>0</v>
      </c>
      <c r="S225" s="5" t="n">
        <v>1</v>
      </c>
      <c r="T225" s="5" t="n">
        <v>0</v>
      </c>
      <c r="U225" s="5" t="inlineStr">
        <is>
          <t>testing</t>
        </is>
      </c>
      <c r="V225" s="5" t="n">
        <v>0</v>
      </c>
    </row>
    <row r="226">
      <c r="A226" s="5" t="n">
        <v>222</v>
      </c>
      <c r="B226" s="5" t="n">
        <v>0</v>
      </c>
      <c r="C226" s="6" t="n">
        <v>-0.7357010147163632</v>
      </c>
      <c r="D226" s="6" t="n">
        <v>-0.7175235460226496</v>
      </c>
      <c r="E226" s="6" t="n">
        <v>-1.090641679553016</v>
      </c>
      <c r="F226" s="6" t="n">
        <v>0.9185437189662378</v>
      </c>
      <c r="G226" s="5" t="n">
        <v>1</v>
      </c>
      <c r="H226" s="5" t="n">
        <v>0</v>
      </c>
      <c r="I226" s="5" t="n">
        <v>0</v>
      </c>
      <c r="J226" s="5" t="n">
        <v>0</v>
      </c>
      <c r="K226" s="5" t="n">
        <v>0</v>
      </c>
      <c r="L226" s="5" t="n">
        <v>0</v>
      </c>
      <c r="M226" s="5" t="n">
        <v>0</v>
      </c>
      <c r="N226" s="5" t="n">
        <v>0</v>
      </c>
      <c r="O226" s="5" t="n">
        <v>1</v>
      </c>
      <c r="P226" s="5" t="n">
        <v>1</v>
      </c>
      <c r="Q226" s="5" t="n">
        <v>0</v>
      </c>
      <c r="R226" s="5" t="n">
        <v>0</v>
      </c>
      <c r="S226" s="5" t="n">
        <v>0</v>
      </c>
      <c r="T226" s="5" t="n">
        <v>0</v>
      </c>
      <c r="U226" s="5" t="inlineStr">
        <is>
          <t>testing</t>
        </is>
      </c>
      <c r="V226" s="5" t="n">
        <v>0</v>
      </c>
    </row>
    <row r="227">
      <c r="A227" s="5" t="n">
        <v>223</v>
      </c>
      <c r="B227" s="5" t="n">
        <v>0</v>
      </c>
      <c r="C227" s="6" t="n">
        <v>-0.7357010147163632</v>
      </c>
      <c r="D227" s="6" t="n">
        <v>-0.8900206677189215</v>
      </c>
      <c r="E227" s="6" t="n">
        <v>-0.4818305346669622</v>
      </c>
      <c r="F227" s="6" t="n">
        <v>0.9185437189662378</v>
      </c>
      <c r="G227" s="5" t="n">
        <v>0</v>
      </c>
      <c r="H227" s="5" t="n">
        <v>0</v>
      </c>
      <c r="I227" s="5" t="n">
        <v>0</v>
      </c>
      <c r="J227" s="5" t="n">
        <v>0</v>
      </c>
      <c r="K227" s="5" t="n">
        <v>0</v>
      </c>
      <c r="L227" s="5" t="n">
        <v>0</v>
      </c>
      <c r="M227" s="5" t="n">
        <v>0</v>
      </c>
      <c r="N227" s="5" t="n">
        <v>0</v>
      </c>
      <c r="O227" s="5" t="n">
        <v>0</v>
      </c>
      <c r="P227" s="5" t="n">
        <v>0</v>
      </c>
      <c r="Q227" s="5" t="n">
        <v>0</v>
      </c>
      <c r="R227" s="5" t="n">
        <v>0</v>
      </c>
      <c r="S227" s="5" t="n">
        <v>1</v>
      </c>
      <c r="T227" s="5" t="n">
        <v>0</v>
      </c>
      <c r="U227" s="5" t="inlineStr">
        <is>
          <t>training</t>
        </is>
      </c>
      <c r="V227" s="5" t="n">
        <v>0</v>
      </c>
    </row>
    <row r="228">
      <c r="A228" s="5" t="n">
        <v>224</v>
      </c>
      <c r="B228" s="5" t="n">
        <v>0</v>
      </c>
      <c r="C228" s="6" t="n">
        <v>0.275406400796963</v>
      </c>
      <c r="D228" s="6" t="n">
        <v>-0.09541425114238263</v>
      </c>
      <c r="E228" s="6" t="n">
        <v>-0.307884493270947</v>
      </c>
      <c r="F228" s="6" t="n">
        <v>0.9185437189662378</v>
      </c>
      <c r="G228" s="5" t="n">
        <v>0</v>
      </c>
      <c r="H228" s="5" t="n">
        <v>0</v>
      </c>
      <c r="I228" s="5" t="n">
        <v>0</v>
      </c>
      <c r="J228" s="5" t="n">
        <v>0</v>
      </c>
      <c r="K228" s="5" t="n">
        <v>1</v>
      </c>
      <c r="L228" s="5" t="n">
        <v>0</v>
      </c>
      <c r="M228" s="5" t="n">
        <v>0</v>
      </c>
      <c r="N228" s="5" t="n">
        <v>0</v>
      </c>
      <c r="O228" s="5" t="n">
        <v>1</v>
      </c>
      <c r="P228" s="5" t="n">
        <v>0</v>
      </c>
      <c r="Q228" s="5" t="n">
        <v>0</v>
      </c>
      <c r="R228" s="5" t="n">
        <v>0</v>
      </c>
      <c r="S228" s="5" t="n">
        <v>0</v>
      </c>
      <c r="T228" s="5" t="n">
        <v>0</v>
      </c>
      <c r="U228" s="5" t="inlineStr">
        <is>
          <t>training</t>
        </is>
      </c>
      <c r="V228" s="5" t="n">
        <v>1</v>
      </c>
    </row>
    <row r="229">
      <c r="A229" s="5" t="n">
        <v>225</v>
      </c>
      <c r="B229" s="5" t="n">
        <v>0</v>
      </c>
      <c r="C229" s="6" t="n">
        <v>-0.4829241608380317</v>
      </c>
      <c r="D229" s="6" t="n">
        <v>0.4920556623019189</v>
      </c>
      <c r="E229" s="6" t="n">
        <v>-0.4818305346669622</v>
      </c>
      <c r="F229" s="6" t="n">
        <v>0.01674764143977723</v>
      </c>
      <c r="G229" s="5" t="n">
        <v>0</v>
      </c>
      <c r="H229" s="5" t="n">
        <v>0</v>
      </c>
      <c r="I229" s="5" t="n">
        <v>0</v>
      </c>
      <c r="J229" s="5" t="n">
        <v>0</v>
      </c>
      <c r="K229" s="5" t="n">
        <v>0</v>
      </c>
      <c r="L229" s="5" t="n">
        <v>0</v>
      </c>
      <c r="M229" s="5" t="n">
        <v>0</v>
      </c>
      <c r="N229" s="5" t="n">
        <v>0</v>
      </c>
      <c r="O229" s="5" t="n">
        <v>0</v>
      </c>
      <c r="P229" s="5" t="n">
        <v>0</v>
      </c>
      <c r="Q229" s="5" t="n">
        <v>0</v>
      </c>
      <c r="R229" s="5" t="n">
        <v>1</v>
      </c>
      <c r="S229" s="5" t="n">
        <v>0</v>
      </c>
      <c r="T229" s="5" t="n">
        <v>0</v>
      </c>
      <c r="U229" s="5" t="inlineStr">
        <is>
          <t>training</t>
        </is>
      </c>
      <c r="V229" s="5" t="n">
        <v>0</v>
      </c>
    </row>
    <row r="230">
      <c r="A230" s="5" t="n">
        <v>226</v>
      </c>
      <c r="B230" s="5" t="n">
        <v>0</v>
      </c>
      <c r="C230" s="6" t="n">
        <v>1.286513816310289</v>
      </c>
      <c r="D230" s="6" t="n">
        <v>-0.2231251018911438</v>
      </c>
      <c r="E230" s="6" t="n">
        <v>-0.7427495967609852</v>
      </c>
      <c r="F230" s="6" t="n">
        <v>0.9185437189662378</v>
      </c>
      <c r="G230" s="5" t="n">
        <v>0</v>
      </c>
      <c r="H230" s="5" t="n">
        <v>0</v>
      </c>
      <c r="I230" s="5" t="n">
        <v>0</v>
      </c>
      <c r="J230" s="5" t="n">
        <v>0</v>
      </c>
      <c r="K230" s="5" t="n">
        <v>0</v>
      </c>
      <c r="L230" s="5" t="n">
        <v>1</v>
      </c>
      <c r="M230" s="5" t="n">
        <v>0</v>
      </c>
      <c r="N230" s="5" t="n">
        <v>0</v>
      </c>
      <c r="O230" s="5" t="n">
        <v>0</v>
      </c>
      <c r="P230" s="5" t="n">
        <v>0</v>
      </c>
      <c r="Q230" s="5" t="n">
        <v>0</v>
      </c>
      <c r="R230" s="5" t="n">
        <v>0</v>
      </c>
      <c r="S230" s="5" t="n">
        <v>0</v>
      </c>
      <c r="T230" s="5" t="n">
        <v>0</v>
      </c>
      <c r="U230" s="5" t="inlineStr">
        <is>
          <t>training</t>
        </is>
      </c>
      <c r="V230" s="5" t="n">
        <v>1</v>
      </c>
    </row>
    <row r="231">
      <c r="A231" s="5" t="n">
        <v>227</v>
      </c>
      <c r="B231" s="5" t="n">
        <v>1</v>
      </c>
      <c r="C231" s="6" t="n">
        <v>2.297621231823615</v>
      </c>
      <c r="D231" s="6" t="n">
        <v>2.697779506466825</v>
      </c>
      <c r="E231" s="6" t="n">
        <v>-0.7427495967609852</v>
      </c>
      <c r="F231" s="6" t="n">
        <v>-1.786844513613144</v>
      </c>
      <c r="G231" s="5" t="n">
        <v>0</v>
      </c>
      <c r="H231" s="5" t="n">
        <v>1</v>
      </c>
      <c r="I231" s="5" t="n">
        <v>0</v>
      </c>
      <c r="J231" s="5" t="n">
        <v>0</v>
      </c>
      <c r="K231" s="5" t="n">
        <v>0</v>
      </c>
      <c r="L231" s="5" t="n">
        <v>0</v>
      </c>
      <c r="M231" s="5" t="n">
        <v>0</v>
      </c>
      <c r="N231" s="5" t="n">
        <v>1</v>
      </c>
      <c r="O231" s="5" t="n">
        <v>0</v>
      </c>
      <c r="P231" s="5" t="n">
        <v>0</v>
      </c>
      <c r="Q231" s="5" t="n">
        <v>0</v>
      </c>
      <c r="R231" s="5" t="n">
        <v>0</v>
      </c>
      <c r="S231" s="5" t="n">
        <v>1</v>
      </c>
      <c r="T231" s="5" t="n">
        <v>0</v>
      </c>
      <c r="U231" s="5" t="inlineStr">
        <is>
          <t>training</t>
        </is>
      </c>
      <c r="V231" s="5" t="n">
        <v>1</v>
      </c>
    </row>
    <row r="232">
      <c r="A232" s="5" t="n">
        <v>228</v>
      </c>
      <c r="B232" s="5" t="n">
        <v>1</v>
      </c>
      <c r="C232" s="6" t="n">
        <v>-0.7357010147163632</v>
      </c>
      <c r="D232" s="6" t="n">
        <v>1.614511577923908</v>
      </c>
      <c r="E232" s="6" t="n">
        <v>1.518548941387213</v>
      </c>
      <c r="F232" s="6" t="n">
        <v>0.9185437189662378</v>
      </c>
      <c r="G232" s="5" t="n">
        <v>1</v>
      </c>
      <c r="H232" s="5" t="n">
        <v>0</v>
      </c>
      <c r="I232" s="5" t="n">
        <v>0</v>
      </c>
      <c r="J232" s="5" t="n">
        <v>0</v>
      </c>
      <c r="K232" s="5" t="n">
        <v>0</v>
      </c>
      <c r="L232" s="5" t="n">
        <v>0</v>
      </c>
      <c r="M232" s="5" t="n">
        <v>0</v>
      </c>
      <c r="N232" s="5" t="n">
        <v>0</v>
      </c>
      <c r="O232" s="5" t="n">
        <v>0</v>
      </c>
      <c r="P232" s="5" t="n">
        <v>0</v>
      </c>
      <c r="Q232" s="5" t="n">
        <v>1</v>
      </c>
      <c r="R232" s="5" t="n">
        <v>0</v>
      </c>
      <c r="S232" s="5" t="n">
        <v>0</v>
      </c>
      <c r="T232" s="5" t="n">
        <v>1</v>
      </c>
      <c r="U232" s="5" t="inlineStr">
        <is>
          <t>training</t>
        </is>
      </c>
      <c r="V232" s="5" t="n">
        <v>1</v>
      </c>
    </row>
    <row r="233">
      <c r="A233" s="5" t="n">
        <v>229</v>
      </c>
      <c r="B233" s="5" t="n">
        <v>1</v>
      </c>
      <c r="C233" s="6" t="n">
        <v>-0.9884778685946948</v>
      </c>
      <c r="D233" s="6" t="n">
        <v>-0.6202533638085246</v>
      </c>
      <c r="E233" s="6" t="n">
        <v>-1.177614700251023</v>
      </c>
      <c r="F233" s="6" t="n">
        <v>0.9185437189662378</v>
      </c>
      <c r="G233" s="5" t="n">
        <v>0</v>
      </c>
      <c r="H233" s="5" t="n">
        <v>0</v>
      </c>
      <c r="I233" s="5" t="n">
        <v>0</v>
      </c>
      <c r="J233" s="5" t="n">
        <v>0</v>
      </c>
      <c r="K233" s="5" t="n">
        <v>0</v>
      </c>
      <c r="L233" s="5" t="n">
        <v>0</v>
      </c>
      <c r="M233" s="5" t="n">
        <v>0</v>
      </c>
      <c r="N233" s="5" t="n">
        <v>0</v>
      </c>
      <c r="O233" s="5" t="n">
        <v>0</v>
      </c>
      <c r="P233" s="5" t="n">
        <v>0</v>
      </c>
      <c r="Q233" s="5" t="n">
        <v>0</v>
      </c>
      <c r="R233" s="5" t="n">
        <v>0</v>
      </c>
      <c r="S233" s="5" t="n">
        <v>1</v>
      </c>
      <c r="T233" s="5" t="n">
        <v>0</v>
      </c>
      <c r="U233" s="5" t="inlineStr">
        <is>
          <t>training</t>
        </is>
      </c>
      <c r="V233" s="5" t="n">
        <v>1</v>
      </c>
    </row>
    <row r="234">
      <c r="A234" s="5" t="n">
        <v>230</v>
      </c>
      <c r="B234" s="5" t="n">
        <v>0</v>
      </c>
      <c r="C234" s="6" t="n">
        <v>0.275406400796963</v>
      </c>
      <c r="D234" s="6" t="n">
        <v>-0.03558259229844245</v>
      </c>
      <c r="E234" s="6" t="n">
        <v>-1.177614700251023</v>
      </c>
      <c r="F234" s="6" t="n">
        <v>0.9185437189662378</v>
      </c>
      <c r="G234" s="5" t="n">
        <v>1</v>
      </c>
      <c r="H234" s="5" t="n">
        <v>0</v>
      </c>
      <c r="I234" s="5" t="n">
        <v>0</v>
      </c>
      <c r="J234" s="5" t="n">
        <v>0</v>
      </c>
      <c r="K234" s="5" t="n">
        <v>0</v>
      </c>
      <c r="L234" s="5" t="n">
        <v>0</v>
      </c>
      <c r="M234" s="5" t="n">
        <v>0</v>
      </c>
      <c r="N234" s="5" t="n">
        <v>0</v>
      </c>
      <c r="O234" s="5" t="n">
        <v>0</v>
      </c>
      <c r="P234" s="5" t="n">
        <v>0</v>
      </c>
      <c r="Q234" s="5" t="n">
        <v>1</v>
      </c>
      <c r="R234" s="5" t="n">
        <v>0</v>
      </c>
      <c r="S234" s="5" t="n">
        <v>0</v>
      </c>
      <c r="T234" s="5" t="n">
        <v>1</v>
      </c>
      <c r="U234" s="5" t="inlineStr">
        <is>
          <t>training</t>
        </is>
      </c>
      <c r="V234" s="5" t="n">
        <v>1</v>
      </c>
    </row>
    <row r="235">
      <c r="A235" s="5" t="n">
        <v>231</v>
      </c>
      <c r="B235" s="5" t="n">
        <v>1</v>
      </c>
      <c r="C235" s="6" t="n">
        <v>1.286513816310289</v>
      </c>
      <c r="D235" s="6" t="n">
        <v>0.3356536067274086</v>
      </c>
      <c r="E235" s="6" t="n">
        <v>-0.8297226174589928</v>
      </c>
      <c r="F235" s="6" t="n">
        <v>0.9185437189662378</v>
      </c>
      <c r="G235" s="5" t="n">
        <v>0</v>
      </c>
      <c r="H235" s="5" t="n">
        <v>0</v>
      </c>
      <c r="I235" s="5" t="n">
        <v>1</v>
      </c>
      <c r="J235" s="5" t="n">
        <v>0</v>
      </c>
      <c r="K235" s="5" t="n">
        <v>0</v>
      </c>
      <c r="L235" s="5" t="n">
        <v>0</v>
      </c>
      <c r="M235" s="5" t="n">
        <v>0</v>
      </c>
      <c r="N235" s="5" t="n">
        <v>0</v>
      </c>
      <c r="O235" s="5" t="n">
        <v>0</v>
      </c>
      <c r="P235" s="5" t="n">
        <v>0</v>
      </c>
      <c r="Q235" s="5" t="n">
        <v>0</v>
      </c>
      <c r="R235" s="5" t="n">
        <v>0</v>
      </c>
      <c r="S235" s="5" t="n">
        <v>1</v>
      </c>
      <c r="T235" s="5" t="n">
        <v>0</v>
      </c>
      <c r="U235" s="5" t="inlineStr">
        <is>
          <t>training</t>
        </is>
      </c>
      <c r="V235" s="5" t="n">
        <v>1</v>
      </c>
    </row>
    <row r="236">
      <c r="A236" s="5" t="n">
        <v>232</v>
      </c>
      <c r="B236" s="5" t="n">
        <v>0</v>
      </c>
      <c r="C236" s="6" t="n">
        <v>-0.9884778685946948</v>
      </c>
      <c r="D236" s="6" t="n">
        <v>-0.2602137325195512</v>
      </c>
      <c r="E236" s="6" t="n">
        <v>1.344602899991198</v>
      </c>
      <c r="F236" s="6" t="n">
        <v>-0.8850484360866833</v>
      </c>
      <c r="G236" s="5" t="n">
        <v>0</v>
      </c>
      <c r="H236" s="5" t="n">
        <v>0</v>
      </c>
      <c r="I236" s="5" t="n">
        <v>0</v>
      </c>
      <c r="J236" s="5" t="n">
        <v>0</v>
      </c>
      <c r="K236" s="5" t="n">
        <v>0</v>
      </c>
      <c r="L236" s="5" t="n">
        <v>0</v>
      </c>
      <c r="M236" s="5" t="n">
        <v>1</v>
      </c>
      <c r="N236" s="5" t="n">
        <v>0</v>
      </c>
      <c r="O236" s="5" t="n">
        <v>0</v>
      </c>
      <c r="P236" s="5" t="n">
        <v>0</v>
      </c>
      <c r="Q236" s="5" t="n">
        <v>1</v>
      </c>
      <c r="R236" s="5" t="n">
        <v>1</v>
      </c>
      <c r="S236" s="5" t="n">
        <v>0</v>
      </c>
      <c r="T236" s="5" t="n">
        <v>0</v>
      </c>
      <c r="U236" s="5" t="inlineStr">
        <is>
          <t>testing</t>
        </is>
      </c>
      <c r="V236" s="5" t="n">
        <v>0</v>
      </c>
    </row>
    <row r="237">
      <c r="A237" s="5" t="n">
        <v>233</v>
      </c>
      <c r="B237" s="5" t="n">
        <v>0</v>
      </c>
      <c r="C237" s="6" t="n">
        <v>-0.7357010147163632</v>
      </c>
      <c r="D237" s="6" t="n">
        <v>-0.3882744760100898</v>
      </c>
      <c r="E237" s="6" t="n">
        <v>-0.04696543117692405</v>
      </c>
      <c r="F237" s="6" t="n">
        <v>0.01674764143977723</v>
      </c>
      <c r="G237" s="5" t="n">
        <v>0</v>
      </c>
      <c r="H237" s="5" t="n">
        <v>0</v>
      </c>
      <c r="I237" s="5" t="n">
        <v>0</v>
      </c>
      <c r="J237" s="5" t="n">
        <v>0</v>
      </c>
      <c r="K237" s="5" t="n">
        <v>0</v>
      </c>
      <c r="L237" s="5" t="n">
        <v>0</v>
      </c>
      <c r="M237" s="5" t="n">
        <v>1</v>
      </c>
      <c r="N237" s="5" t="n">
        <v>0</v>
      </c>
      <c r="O237" s="5" t="n">
        <v>0</v>
      </c>
      <c r="P237" s="5" t="n">
        <v>0</v>
      </c>
      <c r="Q237" s="5" t="n">
        <v>0</v>
      </c>
      <c r="R237" s="5" t="n">
        <v>0</v>
      </c>
      <c r="S237" s="5" t="n">
        <v>1</v>
      </c>
      <c r="T237" s="5" t="n">
        <v>0</v>
      </c>
      <c r="U237" s="5" t="inlineStr">
        <is>
          <t>training</t>
        </is>
      </c>
      <c r="V237" s="5" t="n">
        <v>1</v>
      </c>
    </row>
    <row r="238">
      <c r="A238" s="5" t="n">
        <v>234</v>
      </c>
      <c r="B238" s="5" t="n">
        <v>0</v>
      </c>
      <c r="C238" s="6" t="n">
        <v>-0.2301473069597001</v>
      </c>
      <c r="D238" s="6" t="n">
        <v>-0.8343877217763105</v>
      </c>
      <c r="E238" s="6" t="n">
        <v>-0.9166956381570004</v>
      </c>
      <c r="F238" s="6" t="n">
        <v>0.9185437189662378</v>
      </c>
      <c r="G238" s="5" t="n">
        <v>0</v>
      </c>
      <c r="H238" s="5" t="n">
        <v>1</v>
      </c>
      <c r="I238" s="5" t="n">
        <v>0</v>
      </c>
      <c r="J238" s="5" t="n">
        <v>0</v>
      </c>
      <c r="K238" s="5" t="n">
        <v>0</v>
      </c>
      <c r="L238" s="5" t="n">
        <v>0</v>
      </c>
      <c r="M238" s="5" t="n">
        <v>0</v>
      </c>
      <c r="N238" s="5" t="n">
        <v>0</v>
      </c>
      <c r="O238" s="5" t="n">
        <v>0</v>
      </c>
      <c r="P238" s="5" t="n">
        <v>0</v>
      </c>
      <c r="Q238" s="5" t="n">
        <v>0</v>
      </c>
      <c r="R238" s="5" t="n">
        <v>0</v>
      </c>
      <c r="S238" s="5" t="n">
        <v>1</v>
      </c>
      <c r="T238" s="5" t="n">
        <v>0</v>
      </c>
      <c r="U238" s="5" t="inlineStr">
        <is>
          <t>training</t>
        </is>
      </c>
      <c r="V238" s="5" t="n">
        <v>1</v>
      </c>
    </row>
    <row r="239">
      <c r="A239" s="5" t="n">
        <v>235</v>
      </c>
      <c r="B239" s="5" t="n">
        <v>0</v>
      </c>
      <c r="C239" s="6" t="n">
        <v>-1.409772625058581</v>
      </c>
      <c r="D239" s="6" t="n">
        <v>-0.5971604428512143</v>
      </c>
      <c r="E239" s="6" t="n">
        <v>0.5618457137091294</v>
      </c>
      <c r="F239" s="6" t="n">
        <v>-0.8850484360866833</v>
      </c>
      <c r="G239" s="5" t="n">
        <v>0</v>
      </c>
      <c r="H239" s="5" t="n">
        <v>0</v>
      </c>
      <c r="I239" s="5" t="n">
        <v>0</v>
      </c>
      <c r="J239" s="5" t="n">
        <v>1</v>
      </c>
      <c r="K239" s="5" t="n">
        <v>0</v>
      </c>
      <c r="L239" s="5" t="n">
        <v>0</v>
      </c>
      <c r="M239" s="5" t="n">
        <v>0</v>
      </c>
      <c r="N239" s="5" t="n">
        <v>0</v>
      </c>
      <c r="O239" s="5" t="n">
        <v>0</v>
      </c>
      <c r="P239" s="5" t="n">
        <v>0</v>
      </c>
      <c r="Q239" s="5" t="n">
        <v>0</v>
      </c>
      <c r="R239" s="5" t="n">
        <v>0</v>
      </c>
      <c r="S239" s="5" t="n">
        <v>1</v>
      </c>
      <c r="T239" s="5" t="n">
        <v>0</v>
      </c>
      <c r="U239" s="5" t="inlineStr">
        <is>
          <t>testing</t>
        </is>
      </c>
      <c r="V239" s="5" t="n">
        <v>0</v>
      </c>
    </row>
    <row r="240">
      <c r="A240" s="5" t="n">
        <v>236</v>
      </c>
      <c r="B240" s="5" t="n">
        <v>1</v>
      </c>
      <c r="C240" s="6" t="n">
        <v>0.275406400796963</v>
      </c>
      <c r="D240" s="6" t="n">
        <v>-0.4995403678953119</v>
      </c>
      <c r="E240" s="6" t="n">
        <v>-0.4818305346669622</v>
      </c>
      <c r="F240" s="6" t="n">
        <v>0.9185437189662378</v>
      </c>
      <c r="G240" s="5" t="n">
        <v>1</v>
      </c>
      <c r="H240" s="5" t="n">
        <v>0</v>
      </c>
      <c r="I240" s="5" t="n">
        <v>0</v>
      </c>
      <c r="J240" s="5" t="n">
        <v>0</v>
      </c>
      <c r="K240" s="5" t="n">
        <v>0</v>
      </c>
      <c r="L240" s="5" t="n">
        <v>0</v>
      </c>
      <c r="M240" s="5" t="n">
        <v>0</v>
      </c>
      <c r="N240" s="5" t="n">
        <v>0</v>
      </c>
      <c r="O240" s="5" t="n">
        <v>0</v>
      </c>
      <c r="P240" s="5" t="n">
        <v>0</v>
      </c>
      <c r="Q240" s="5" t="n">
        <v>0</v>
      </c>
      <c r="R240" s="5" t="n">
        <v>0</v>
      </c>
      <c r="S240" s="5" t="n">
        <v>1</v>
      </c>
      <c r="T240" s="5" t="n">
        <v>0</v>
      </c>
      <c r="U240" s="5" t="inlineStr">
        <is>
          <t>training</t>
        </is>
      </c>
      <c r="V240" s="5" t="n">
        <v>1</v>
      </c>
    </row>
    <row r="241">
      <c r="A241" s="5" t="n">
        <v>237</v>
      </c>
      <c r="B241" s="5" t="n">
        <v>1</v>
      </c>
      <c r="C241" s="6" t="n">
        <v>-1.241254722473026</v>
      </c>
      <c r="D241" s="6" t="n">
        <v>3.955294020414901</v>
      </c>
      <c r="E241" s="6" t="n">
        <v>-1.090641679553016</v>
      </c>
      <c r="F241" s="6" t="n">
        <v>-1.786844513613144</v>
      </c>
      <c r="G241" s="5" t="n">
        <v>0</v>
      </c>
      <c r="H241" s="5" t="n">
        <v>1</v>
      </c>
      <c r="I241" s="5" t="n">
        <v>0</v>
      </c>
      <c r="J241" s="5" t="n">
        <v>0</v>
      </c>
      <c r="K241" s="5" t="n">
        <v>0</v>
      </c>
      <c r="L241" s="5" t="n">
        <v>0</v>
      </c>
      <c r="M241" s="5" t="n">
        <v>0</v>
      </c>
      <c r="N241" s="5" t="n">
        <v>0</v>
      </c>
      <c r="O241" s="5" t="n">
        <v>1</v>
      </c>
      <c r="P241" s="5" t="n">
        <v>0</v>
      </c>
      <c r="Q241" s="5" t="n">
        <v>0</v>
      </c>
      <c r="R241" s="5" t="n">
        <v>1</v>
      </c>
      <c r="S241" s="5" t="n">
        <v>0</v>
      </c>
      <c r="T241" s="5" t="n">
        <v>0</v>
      </c>
      <c r="U241" s="5" t="inlineStr">
        <is>
          <t>training</t>
        </is>
      </c>
      <c r="V241" s="5" t="n">
        <v>1</v>
      </c>
    </row>
    <row r="242">
      <c r="A242" s="5" t="n">
        <v>238</v>
      </c>
      <c r="B242" s="5" t="n">
        <v>1</v>
      </c>
      <c r="C242" s="6" t="n">
        <v>0.02262954691863145</v>
      </c>
      <c r="D242" s="6" t="n">
        <v>-0.1692416196574199</v>
      </c>
      <c r="E242" s="6" t="n">
        <v>2.214333106971274</v>
      </c>
      <c r="F242" s="6" t="n">
        <v>0.9185437189662378</v>
      </c>
      <c r="G242" s="5" t="n">
        <v>0</v>
      </c>
      <c r="H242" s="5" t="n">
        <v>1</v>
      </c>
      <c r="I242" s="5" t="n">
        <v>0</v>
      </c>
      <c r="J242" s="5" t="n">
        <v>0</v>
      </c>
      <c r="K242" s="5" t="n">
        <v>0</v>
      </c>
      <c r="L242" s="5" t="n">
        <v>0</v>
      </c>
      <c r="M242" s="5" t="n">
        <v>1</v>
      </c>
      <c r="N242" s="5" t="n">
        <v>0</v>
      </c>
      <c r="O242" s="5" t="n">
        <v>0</v>
      </c>
      <c r="P242" s="5" t="n">
        <v>1</v>
      </c>
      <c r="Q242" s="5" t="n">
        <v>0</v>
      </c>
      <c r="R242" s="5" t="n">
        <v>0</v>
      </c>
      <c r="S242" s="5" t="n">
        <v>0</v>
      </c>
      <c r="T242" s="5" t="n">
        <v>0</v>
      </c>
      <c r="U242" s="5" t="inlineStr">
        <is>
          <t>training</t>
        </is>
      </c>
      <c r="V242" s="5" t="n">
        <v>1</v>
      </c>
    </row>
    <row r="243">
      <c r="A243" s="5" t="n">
        <v>239</v>
      </c>
      <c r="B243" s="5" t="n">
        <v>0</v>
      </c>
      <c r="C243" s="6" t="n">
        <v>-0.7357010147163632</v>
      </c>
      <c r="D243" s="6" t="n">
        <v>-0.6856833065209036</v>
      </c>
      <c r="E243" s="6" t="n">
        <v>-0.04696543117692405</v>
      </c>
      <c r="F243" s="6" t="n">
        <v>0.9185437189662378</v>
      </c>
      <c r="G243" s="5" t="n">
        <v>0</v>
      </c>
      <c r="H243" s="5" t="n">
        <v>0</v>
      </c>
      <c r="I243" s="5" t="n">
        <v>0</v>
      </c>
      <c r="J243" s="5" t="n">
        <v>1</v>
      </c>
      <c r="K243" s="5" t="n">
        <v>0</v>
      </c>
      <c r="L243" s="5" t="n">
        <v>0</v>
      </c>
      <c r="M243" s="5" t="n">
        <v>0</v>
      </c>
      <c r="N243" s="5" t="n">
        <v>0</v>
      </c>
      <c r="O243" s="5" t="n">
        <v>0</v>
      </c>
      <c r="P243" s="5" t="n">
        <v>0</v>
      </c>
      <c r="Q243" s="5" t="n">
        <v>0</v>
      </c>
      <c r="R243" s="5" t="n">
        <v>0</v>
      </c>
      <c r="S243" s="5" t="n">
        <v>1</v>
      </c>
      <c r="T243" s="5" t="n">
        <v>0</v>
      </c>
      <c r="U243" s="5" t="inlineStr">
        <is>
          <t>training</t>
        </is>
      </c>
      <c r="V243" s="5" t="n">
        <v>0</v>
      </c>
    </row>
    <row r="244">
      <c r="A244" s="5" t="n">
        <v>240</v>
      </c>
      <c r="B244" s="5" t="n">
        <v>0</v>
      </c>
      <c r="C244" s="6" t="n">
        <v>0.7809601085536261</v>
      </c>
      <c r="D244" s="6" t="n">
        <v>-0.2549653413928898</v>
      </c>
      <c r="E244" s="6" t="n">
        <v>0.3009266516151065</v>
      </c>
      <c r="F244" s="6" t="n">
        <v>-1.786844513613144</v>
      </c>
      <c r="G244" s="5" t="n">
        <v>1</v>
      </c>
      <c r="H244" s="5" t="n">
        <v>0</v>
      </c>
      <c r="I244" s="5" t="n">
        <v>0</v>
      </c>
      <c r="J244" s="5" t="n">
        <v>0</v>
      </c>
      <c r="K244" s="5" t="n">
        <v>0</v>
      </c>
      <c r="L244" s="5" t="n">
        <v>0</v>
      </c>
      <c r="M244" s="5" t="n">
        <v>0</v>
      </c>
      <c r="N244" s="5" t="n">
        <v>0</v>
      </c>
      <c r="O244" s="5" t="n">
        <v>0</v>
      </c>
      <c r="P244" s="5" t="n">
        <v>0</v>
      </c>
      <c r="Q244" s="5" t="n">
        <v>0</v>
      </c>
      <c r="R244" s="5" t="n">
        <v>0</v>
      </c>
      <c r="S244" s="5" t="n">
        <v>1</v>
      </c>
      <c r="T244" s="5" t="n">
        <v>0</v>
      </c>
      <c r="U244" s="5" t="inlineStr">
        <is>
          <t>testing</t>
        </is>
      </c>
      <c r="V244" s="5" t="n">
        <v>0</v>
      </c>
    </row>
    <row r="245">
      <c r="A245" s="5" t="n">
        <v>241</v>
      </c>
      <c r="B245" s="5" t="n">
        <v>1</v>
      </c>
      <c r="C245" s="6" t="n">
        <v>0.275406400796963</v>
      </c>
      <c r="D245" s="6" t="n">
        <v>-0.8172429774292165</v>
      </c>
      <c r="E245" s="6" t="n">
        <v>-0.5688035553649698</v>
      </c>
      <c r="F245" s="6" t="n">
        <v>0.9185437189662378</v>
      </c>
      <c r="G245" s="5" t="n">
        <v>1</v>
      </c>
      <c r="H245" s="5" t="n">
        <v>0</v>
      </c>
      <c r="I245" s="5" t="n">
        <v>0</v>
      </c>
      <c r="J245" s="5" t="n">
        <v>0</v>
      </c>
      <c r="K245" s="5" t="n">
        <v>0</v>
      </c>
      <c r="L245" s="5" t="n">
        <v>0</v>
      </c>
      <c r="M245" s="5" t="n">
        <v>0</v>
      </c>
      <c r="N245" s="5" t="n">
        <v>0</v>
      </c>
      <c r="O245" s="5" t="n">
        <v>1</v>
      </c>
      <c r="P245" s="5" t="n">
        <v>0</v>
      </c>
      <c r="Q245" s="5" t="n">
        <v>0</v>
      </c>
      <c r="R245" s="5" t="n">
        <v>1</v>
      </c>
      <c r="S245" s="5" t="n">
        <v>0</v>
      </c>
      <c r="T245" s="5" t="n">
        <v>0</v>
      </c>
      <c r="U245" s="5" t="inlineStr">
        <is>
          <t>testing</t>
        </is>
      </c>
      <c r="V245" s="5" t="n">
        <v>0</v>
      </c>
    </row>
    <row r="246">
      <c r="A246" s="5" t="n">
        <v>242</v>
      </c>
      <c r="B246" s="5" t="n">
        <v>0</v>
      </c>
      <c r="C246" s="6" t="n">
        <v>-1.241254722473026</v>
      </c>
      <c r="D246" s="6" t="n">
        <v>-0.5793159130205655</v>
      </c>
      <c r="E246" s="6" t="n">
        <v>1.344602899991198</v>
      </c>
      <c r="F246" s="6" t="n">
        <v>0.01674764143977723</v>
      </c>
      <c r="G246" s="5" t="n">
        <v>0</v>
      </c>
      <c r="H246" s="5" t="n">
        <v>0</v>
      </c>
      <c r="I246" s="5" t="n">
        <v>0</v>
      </c>
      <c r="J246" s="5" t="n">
        <v>0</v>
      </c>
      <c r="K246" s="5" t="n">
        <v>0</v>
      </c>
      <c r="L246" s="5" t="n">
        <v>0</v>
      </c>
      <c r="M246" s="5" t="n">
        <v>0</v>
      </c>
      <c r="N246" s="5" t="n">
        <v>0</v>
      </c>
      <c r="O246" s="5" t="n">
        <v>0</v>
      </c>
      <c r="P246" s="5" t="n">
        <v>0</v>
      </c>
      <c r="Q246" s="5" t="n">
        <v>0</v>
      </c>
      <c r="R246" s="5" t="n">
        <v>0</v>
      </c>
      <c r="S246" s="5" t="n">
        <v>1</v>
      </c>
      <c r="T246" s="5" t="n">
        <v>0</v>
      </c>
      <c r="U246" s="5" t="inlineStr">
        <is>
          <t>testing</t>
        </is>
      </c>
      <c r="V246" s="5" t="n">
        <v>0</v>
      </c>
    </row>
    <row r="247">
      <c r="A247" s="5" t="n">
        <v>243</v>
      </c>
      <c r="B247" s="5" t="n">
        <v>1</v>
      </c>
      <c r="C247" s="6" t="n">
        <v>2.297621231823615</v>
      </c>
      <c r="D247" s="6" t="n">
        <v>0.4738612397294926</v>
      </c>
      <c r="E247" s="6" t="n">
        <v>-1.003668658855008</v>
      </c>
      <c r="F247" s="6" t="n">
        <v>0.01674764143977723</v>
      </c>
      <c r="G247" s="5" t="n">
        <v>1</v>
      </c>
      <c r="H247" s="5" t="n">
        <v>0</v>
      </c>
      <c r="I247" s="5" t="n">
        <v>0</v>
      </c>
      <c r="J247" s="5" t="n">
        <v>0</v>
      </c>
      <c r="K247" s="5" t="n">
        <v>0</v>
      </c>
      <c r="L247" s="5" t="n">
        <v>1</v>
      </c>
      <c r="M247" s="5" t="n">
        <v>0</v>
      </c>
      <c r="N247" s="5" t="n">
        <v>0</v>
      </c>
      <c r="O247" s="5" t="n">
        <v>0</v>
      </c>
      <c r="P247" s="5" t="n">
        <v>0</v>
      </c>
      <c r="Q247" s="5" t="n">
        <v>1</v>
      </c>
      <c r="R247" s="5" t="n">
        <v>1</v>
      </c>
      <c r="S247" s="5" t="n">
        <v>0</v>
      </c>
      <c r="T247" s="5" t="n">
        <v>0</v>
      </c>
      <c r="U247" s="5" t="inlineStr">
        <is>
          <t>testing</t>
        </is>
      </c>
      <c r="V247" s="5" t="n">
        <v>0</v>
      </c>
    </row>
    <row r="248">
      <c r="A248" s="5" t="n">
        <v>244</v>
      </c>
      <c r="B248" s="5" t="n">
        <v>0</v>
      </c>
      <c r="C248" s="6" t="n">
        <v>-0.7357010147163632</v>
      </c>
      <c r="D248" s="6" t="n">
        <v>-0.722771937149311</v>
      </c>
      <c r="E248" s="6" t="n">
        <v>-0.7427495967609852</v>
      </c>
      <c r="F248" s="6" t="n">
        <v>0.01674764143977723</v>
      </c>
      <c r="G248" s="5" t="n">
        <v>0</v>
      </c>
      <c r="H248" s="5" t="n">
        <v>0</v>
      </c>
      <c r="I248" s="5" t="n">
        <v>0</v>
      </c>
      <c r="J248" s="5" t="n">
        <v>1</v>
      </c>
      <c r="K248" s="5" t="n">
        <v>0</v>
      </c>
      <c r="L248" s="5" t="n">
        <v>0</v>
      </c>
      <c r="M248" s="5" t="n">
        <v>0</v>
      </c>
      <c r="N248" s="5" t="n">
        <v>0</v>
      </c>
      <c r="O248" s="5" t="n">
        <v>0</v>
      </c>
      <c r="P248" s="5" t="n">
        <v>0</v>
      </c>
      <c r="Q248" s="5" t="n">
        <v>0</v>
      </c>
      <c r="R248" s="5" t="n">
        <v>0</v>
      </c>
      <c r="S248" s="5" t="n">
        <v>0</v>
      </c>
      <c r="T248" s="5" t="n">
        <v>0</v>
      </c>
      <c r="U248" s="5" t="inlineStr">
        <is>
          <t>training</t>
        </is>
      </c>
      <c r="V248" s="5" t="n">
        <v>0</v>
      </c>
    </row>
    <row r="249">
      <c r="A249" s="5" t="n">
        <v>245</v>
      </c>
      <c r="B249" s="5" t="n">
        <v>0</v>
      </c>
      <c r="C249" s="6" t="n">
        <v>-0.7357010147163632</v>
      </c>
      <c r="D249" s="6" t="n">
        <v>0.06868544475123109</v>
      </c>
      <c r="E249" s="6" t="n">
        <v>-0.04696543117692405</v>
      </c>
      <c r="F249" s="6" t="n">
        <v>0.9185437189662378</v>
      </c>
      <c r="G249" s="5" t="n">
        <v>0</v>
      </c>
      <c r="H249" s="5" t="n">
        <v>0</v>
      </c>
      <c r="I249" s="5" t="n">
        <v>0</v>
      </c>
      <c r="J249" s="5" t="n">
        <v>0</v>
      </c>
      <c r="K249" s="5" t="n">
        <v>0</v>
      </c>
      <c r="L249" s="5" t="n">
        <v>1</v>
      </c>
      <c r="M249" s="5" t="n">
        <v>1</v>
      </c>
      <c r="N249" s="5" t="n">
        <v>0</v>
      </c>
      <c r="O249" s="5" t="n">
        <v>0</v>
      </c>
      <c r="P249" s="5" t="n">
        <v>0</v>
      </c>
      <c r="Q249" s="5" t="n">
        <v>0</v>
      </c>
      <c r="R249" s="5" t="n">
        <v>0</v>
      </c>
      <c r="S249" s="5" t="n">
        <v>0</v>
      </c>
      <c r="T249" s="5" t="n">
        <v>0</v>
      </c>
      <c r="U249" s="5" t="inlineStr">
        <is>
          <t>training</t>
        </is>
      </c>
      <c r="V249" s="5" t="n">
        <v>0</v>
      </c>
    </row>
    <row r="250">
      <c r="A250" s="5" t="n">
        <v>246</v>
      </c>
      <c r="B250" s="5" t="n">
        <v>0</v>
      </c>
      <c r="C250" s="6" t="n">
        <v>0.275406400796963</v>
      </c>
      <c r="D250" s="6" t="n">
        <v>-0.6972297669995587</v>
      </c>
      <c r="E250" s="6" t="n">
        <v>-0.9166956381570004</v>
      </c>
      <c r="F250" s="6" t="n">
        <v>0.9185437189662378</v>
      </c>
      <c r="G250" s="5" t="n">
        <v>0</v>
      </c>
      <c r="H250" s="5" t="n">
        <v>0</v>
      </c>
      <c r="I250" s="5" t="n">
        <v>0</v>
      </c>
      <c r="J250" s="5" t="n">
        <v>0</v>
      </c>
      <c r="K250" s="5" t="n">
        <v>0</v>
      </c>
      <c r="L250" s="5" t="n">
        <v>0</v>
      </c>
      <c r="M250" s="5" t="n">
        <v>0</v>
      </c>
      <c r="N250" s="5" t="n">
        <v>0</v>
      </c>
      <c r="O250" s="5" t="n">
        <v>0</v>
      </c>
      <c r="P250" s="5" t="n">
        <v>0</v>
      </c>
      <c r="Q250" s="5" t="n">
        <v>0</v>
      </c>
      <c r="R250" s="5" t="n">
        <v>0</v>
      </c>
      <c r="S250" s="5" t="n">
        <v>0</v>
      </c>
      <c r="T250" s="5" t="n">
        <v>0</v>
      </c>
      <c r="U250" s="5" t="inlineStr">
        <is>
          <t>testing</t>
        </is>
      </c>
      <c r="V250" s="5" t="n">
        <v>0</v>
      </c>
    </row>
    <row r="251">
      <c r="A251" s="5" t="n">
        <v>247</v>
      </c>
      <c r="B251" s="5" t="n">
        <v>0</v>
      </c>
      <c r="C251" s="6" t="n">
        <v>-0.7357010147163632</v>
      </c>
      <c r="D251" s="6" t="n">
        <v>-0.8865217403011472</v>
      </c>
      <c r="E251" s="6" t="n">
        <v>1.431575920689206</v>
      </c>
      <c r="F251" s="6" t="n">
        <v>0.9185437189662378</v>
      </c>
      <c r="G251" s="5" t="n">
        <v>0</v>
      </c>
      <c r="H251" s="5" t="n">
        <v>0</v>
      </c>
      <c r="I251" s="5" t="n">
        <v>0</v>
      </c>
      <c r="J251" s="5" t="n">
        <v>1</v>
      </c>
      <c r="K251" s="5" t="n">
        <v>0</v>
      </c>
      <c r="L251" s="5" t="n">
        <v>0</v>
      </c>
      <c r="M251" s="5" t="n">
        <v>0</v>
      </c>
      <c r="N251" s="5" t="n">
        <v>0</v>
      </c>
      <c r="O251" s="5" t="n">
        <v>0</v>
      </c>
      <c r="P251" s="5" t="n">
        <v>0</v>
      </c>
      <c r="Q251" s="5" t="n">
        <v>0</v>
      </c>
      <c r="R251" s="5" t="n">
        <v>0</v>
      </c>
      <c r="S251" s="5" t="n">
        <v>1</v>
      </c>
      <c r="T251" s="5" t="n">
        <v>0</v>
      </c>
      <c r="U251" s="5" t="inlineStr">
        <is>
          <t>training</t>
        </is>
      </c>
      <c r="V251" s="5" t="n">
        <v>0</v>
      </c>
    </row>
    <row r="252">
      <c r="A252" s="5" t="n">
        <v>248</v>
      </c>
      <c r="B252" s="5" t="n">
        <v>0</v>
      </c>
      <c r="C252" s="6" t="n">
        <v>-1.241254722473026</v>
      </c>
      <c r="D252" s="6" t="n">
        <v>-0.7161239750555398</v>
      </c>
      <c r="E252" s="6" t="n">
        <v>-0.04696543117692405</v>
      </c>
      <c r="F252" s="6" t="n">
        <v>0.9185437189662378</v>
      </c>
      <c r="G252" s="5" t="n">
        <v>0</v>
      </c>
      <c r="H252" s="5" t="n">
        <v>0</v>
      </c>
      <c r="I252" s="5" t="n">
        <v>0</v>
      </c>
      <c r="J252" s="5" t="n">
        <v>0</v>
      </c>
      <c r="K252" s="5" t="n">
        <v>0</v>
      </c>
      <c r="L252" s="5" t="n">
        <v>1</v>
      </c>
      <c r="M252" s="5" t="n">
        <v>1</v>
      </c>
      <c r="N252" s="5" t="n">
        <v>0</v>
      </c>
      <c r="O252" s="5" t="n">
        <v>0</v>
      </c>
      <c r="P252" s="5" t="n">
        <v>1</v>
      </c>
      <c r="Q252" s="5" t="n">
        <v>0</v>
      </c>
      <c r="R252" s="5" t="n">
        <v>1</v>
      </c>
      <c r="S252" s="5" t="n">
        <v>0</v>
      </c>
      <c r="T252" s="5" t="n">
        <v>0</v>
      </c>
      <c r="U252" s="5" t="inlineStr">
        <is>
          <t>training</t>
        </is>
      </c>
      <c r="V252" s="5" t="n">
        <v>1</v>
      </c>
    </row>
    <row r="253">
      <c r="A253" s="5" t="n">
        <v>249</v>
      </c>
      <c r="B253" s="5" t="n">
        <v>0</v>
      </c>
      <c r="C253" s="6" t="n">
        <v>0.275406400796963</v>
      </c>
      <c r="D253" s="6" t="n">
        <v>-0.4638513082340143</v>
      </c>
      <c r="E253" s="6" t="n">
        <v>-0.8297226174589928</v>
      </c>
      <c r="F253" s="6" t="n">
        <v>-0.8850484360866833</v>
      </c>
      <c r="G253" s="5" t="n">
        <v>0</v>
      </c>
      <c r="H253" s="5" t="n">
        <v>0</v>
      </c>
      <c r="I253" s="5" t="n">
        <v>1</v>
      </c>
      <c r="J253" s="5" t="n">
        <v>0</v>
      </c>
      <c r="K253" s="5" t="n">
        <v>0</v>
      </c>
      <c r="L253" s="5" t="n">
        <v>0</v>
      </c>
      <c r="M253" s="5" t="n">
        <v>0</v>
      </c>
      <c r="N253" s="5" t="n">
        <v>0</v>
      </c>
      <c r="O253" s="5" t="n">
        <v>0</v>
      </c>
      <c r="P253" s="5" t="n">
        <v>0</v>
      </c>
      <c r="Q253" s="5" t="n">
        <v>0</v>
      </c>
      <c r="R253" s="5" t="n">
        <v>0</v>
      </c>
      <c r="S253" s="5" t="n">
        <v>0</v>
      </c>
      <c r="T253" s="5" t="n">
        <v>1</v>
      </c>
      <c r="U253" s="5" t="inlineStr">
        <is>
          <t>training</t>
        </is>
      </c>
      <c r="V253" s="5" t="n">
        <v>1</v>
      </c>
    </row>
    <row r="254">
      <c r="A254" s="5" t="n">
        <v>250</v>
      </c>
      <c r="B254" s="5" t="n">
        <v>1</v>
      </c>
      <c r="C254" s="6" t="n">
        <v>-0.2301473069597001</v>
      </c>
      <c r="D254" s="6" t="n">
        <v>-0.9858912789659368</v>
      </c>
      <c r="E254" s="6" t="n">
        <v>-1.177614700251023</v>
      </c>
      <c r="F254" s="6" t="n">
        <v>0.01674764143977723</v>
      </c>
      <c r="G254" s="5" t="n">
        <v>0</v>
      </c>
      <c r="H254" s="5" t="n">
        <v>0</v>
      </c>
      <c r="I254" s="5" t="n">
        <v>0</v>
      </c>
      <c r="J254" s="5" t="n">
        <v>0</v>
      </c>
      <c r="K254" s="5" t="n">
        <v>0</v>
      </c>
      <c r="L254" s="5" t="n">
        <v>0</v>
      </c>
      <c r="M254" s="5" t="n">
        <v>0</v>
      </c>
      <c r="N254" s="5" t="n">
        <v>0</v>
      </c>
      <c r="O254" s="5" t="n">
        <v>0</v>
      </c>
      <c r="P254" s="5" t="n">
        <v>1</v>
      </c>
      <c r="Q254" s="5" t="n">
        <v>0</v>
      </c>
      <c r="R254" s="5" t="n">
        <v>0</v>
      </c>
      <c r="S254" s="5" t="n">
        <v>1</v>
      </c>
      <c r="T254" s="5" t="n">
        <v>0</v>
      </c>
      <c r="U254" s="5" t="inlineStr">
        <is>
          <t>training</t>
        </is>
      </c>
      <c r="V254" s="5" t="n">
        <v>1</v>
      </c>
    </row>
    <row r="255">
      <c r="A255" s="5" t="n">
        <v>251</v>
      </c>
      <c r="B255" s="5" t="n">
        <v>0</v>
      </c>
      <c r="C255" s="6" t="n">
        <v>-1.241254722473026</v>
      </c>
      <c r="D255" s="6" t="n">
        <v>-0.904366270131796</v>
      </c>
      <c r="E255" s="6" t="n">
        <v>0.3009266516151065</v>
      </c>
      <c r="F255" s="6" t="n">
        <v>0.01674764143977723</v>
      </c>
      <c r="G255" s="5" t="n">
        <v>1</v>
      </c>
      <c r="H255" s="5" t="n">
        <v>0</v>
      </c>
      <c r="I255" s="5" t="n">
        <v>0</v>
      </c>
      <c r="J255" s="5" t="n">
        <v>1</v>
      </c>
      <c r="K255" s="5" t="n">
        <v>0</v>
      </c>
      <c r="L255" s="5" t="n">
        <v>0</v>
      </c>
      <c r="M255" s="5" t="n">
        <v>0</v>
      </c>
      <c r="N255" s="5" t="n">
        <v>1</v>
      </c>
      <c r="O255" s="5" t="n">
        <v>0</v>
      </c>
      <c r="P255" s="5" t="n">
        <v>0</v>
      </c>
      <c r="Q255" s="5" t="n">
        <v>0</v>
      </c>
      <c r="R255" s="5" t="n">
        <v>1</v>
      </c>
      <c r="S255" s="5" t="n">
        <v>0</v>
      </c>
      <c r="T255" s="5" t="n">
        <v>0</v>
      </c>
      <c r="U255" s="5" t="inlineStr">
        <is>
          <t>testing</t>
        </is>
      </c>
      <c r="V255" s="5" t="n">
        <v>0</v>
      </c>
    </row>
    <row r="256">
      <c r="A256" s="5" t="n">
        <v>252</v>
      </c>
      <c r="B256" s="5" t="n">
        <v>0</v>
      </c>
      <c r="C256" s="6" t="n">
        <v>-0.7357010147163632</v>
      </c>
      <c r="D256" s="6" t="n">
        <v>-0.3497862744145727</v>
      </c>
      <c r="E256" s="6" t="n">
        <v>0.9097377965011599</v>
      </c>
      <c r="F256" s="6" t="n">
        <v>-1.786844513613144</v>
      </c>
      <c r="G256" s="5" t="n">
        <v>0</v>
      </c>
      <c r="H256" s="5" t="n">
        <v>0</v>
      </c>
      <c r="I256" s="5" t="n">
        <v>1</v>
      </c>
      <c r="J256" s="5" t="n">
        <v>0</v>
      </c>
      <c r="K256" s="5" t="n">
        <v>0</v>
      </c>
      <c r="L256" s="5" t="n">
        <v>0</v>
      </c>
      <c r="M256" s="5" t="n">
        <v>0</v>
      </c>
      <c r="N256" s="5" t="n">
        <v>0</v>
      </c>
      <c r="O256" s="5" t="n">
        <v>0</v>
      </c>
      <c r="P256" s="5" t="n">
        <v>0</v>
      </c>
      <c r="Q256" s="5" t="n">
        <v>0</v>
      </c>
      <c r="R256" s="5" t="n">
        <v>0</v>
      </c>
      <c r="S256" s="5" t="n">
        <v>0</v>
      </c>
      <c r="T256" s="5" t="n">
        <v>1</v>
      </c>
      <c r="U256" s="5" t="inlineStr">
        <is>
          <t>training</t>
        </is>
      </c>
      <c r="V256" s="5" t="n">
        <v>0</v>
      </c>
    </row>
    <row r="257">
      <c r="A257" s="5" t="n">
        <v>253</v>
      </c>
      <c r="B257" s="5" t="n">
        <v>1</v>
      </c>
      <c r="C257" s="6" t="n">
        <v>0.7809601085536261</v>
      </c>
      <c r="D257" s="6" t="n">
        <v>-0.385125441334093</v>
      </c>
      <c r="E257" s="6" t="n">
        <v>-1.003668658855008</v>
      </c>
      <c r="F257" s="6" t="n">
        <v>0.9185437189662378</v>
      </c>
      <c r="G257" s="5" t="n">
        <v>0</v>
      </c>
      <c r="H257" s="5" t="n">
        <v>1</v>
      </c>
      <c r="I257" s="5" t="n">
        <v>0</v>
      </c>
      <c r="J257" s="5" t="n">
        <v>0</v>
      </c>
      <c r="K257" s="5" t="n">
        <v>0</v>
      </c>
      <c r="L257" s="5" t="n">
        <v>0</v>
      </c>
      <c r="M257" s="5" t="n">
        <v>0</v>
      </c>
      <c r="N257" s="5" t="n">
        <v>0</v>
      </c>
      <c r="O257" s="5" t="n">
        <v>0</v>
      </c>
      <c r="P257" s="5" t="n">
        <v>0</v>
      </c>
      <c r="Q257" s="5" t="n">
        <v>0</v>
      </c>
      <c r="R257" s="5" t="n">
        <v>1</v>
      </c>
      <c r="S257" s="5" t="n">
        <v>0</v>
      </c>
      <c r="T257" s="5" t="n">
        <v>0</v>
      </c>
      <c r="U257" s="5" t="inlineStr">
        <is>
          <t>training</t>
        </is>
      </c>
      <c r="V257" s="5" t="n">
        <v>1</v>
      </c>
    </row>
    <row r="258">
      <c r="A258" s="5" t="n">
        <v>254</v>
      </c>
      <c r="B258" s="5" t="n">
        <v>0</v>
      </c>
      <c r="C258" s="6" t="n">
        <v>0.275406400796963</v>
      </c>
      <c r="D258" s="6" t="n">
        <v>0.3150099349625404</v>
      </c>
      <c r="E258" s="6" t="n">
        <v>-0.04696543117692405</v>
      </c>
      <c r="F258" s="6" t="n">
        <v>-0.8850484360866833</v>
      </c>
      <c r="G258" s="5" t="n">
        <v>0</v>
      </c>
      <c r="H258" s="5" t="n">
        <v>0</v>
      </c>
      <c r="I258" s="5" t="n">
        <v>0</v>
      </c>
      <c r="J258" s="5" t="n">
        <v>0</v>
      </c>
      <c r="K258" s="5" t="n">
        <v>1</v>
      </c>
      <c r="L258" s="5" t="n">
        <v>0</v>
      </c>
      <c r="M258" s="5" t="n">
        <v>1</v>
      </c>
      <c r="N258" s="5" t="n">
        <v>0</v>
      </c>
      <c r="O258" s="5" t="n">
        <v>0</v>
      </c>
      <c r="P258" s="5" t="n">
        <v>0</v>
      </c>
      <c r="Q258" s="5" t="n">
        <v>0</v>
      </c>
      <c r="R258" s="5" t="n">
        <v>0</v>
      </c>
      <c r="S258" s="5" t="n">
        <v>0</v>
      </c>
      <c r="T258" s="5" t="n">
        <v>1</v>
      </c>
      <c r="U258" s="5" t="inlineStr">
        <is>
          <t>testing</t>
        </is>
      </c>
      <c r="V258" s="5" t="n">
        <v>0</v>
      </c>
    </row>
    <row r="259">
      <c r="A259" s="5" t="n">
        <v>255</v>
      </c>
      <c r="B259" s="5" t="n">
        <v>0</v>
      </c>
      <c r="C259" s="6" t="n">
        <v>-0.9884778685946948</v>
      </c>
      <c r="D259" s="6" t="n">
        <v>-0.4271125703473843</v>
      </c>
      <c r="E259" s="6" t="n">
        <v>-1.003668658855008</v>
      </c>
      <c r="F259" s="6" t="n">
        <v>-0.8850484360866833</v>
      </c>
      <c r="G259" s="5" t="n">
        <v>0</v>
      </c>
      <c r="H259" s="5" t="n">
        <v>1</v>
      </c>
      <c r="I259" s="5" t="n">
        <v>0</v>
      </c>
      <c r="J259" s="5" t="n">
        <v>0</v>
      </c>
      <c r="K259" s="5" t="n">
        <v>0</v>
      </c>
      <c r="L259" s="5" t="n">
        <v>0</v>
      </c>
      <c r="M259" s="5" t="n">
        <v>0</v>
      </c>
      <c r="N259" s="5" t="n">
        <v>0</v>
      </c>
      <c r="O259" s="5" t="n">
        <v>1</v>
      </c>
      <c r="P259" s="5" t="n">
        <v>0</v>
      </c>
      <c r="Q259" s="5" t="n">
        <v>0</v>
      </c>
      <c r="R259" s="5" t="n">
        <v>0</v>
      </c>
      <c r="S259" s="5" t="n">
        <v>0</v>
      </c>
      <c r="T259" s="5" t="n">
        <v>1</v>
      </c>
      <c r="U259" s="5" t="inlineStr">
        <is>
          <t>testing</t>
        </is>
      </c>
      <c r="V259" s="5" t="n">
        <v>0</v>
      </c>
    </row>
    <row r="260">
      <c r="A260" s="5" t="n">
        <v>256</v>
      </c>
      <c r="B260" s="5" t="n">
        <v>0</v>
      </c>
      <c r="C260" s="6" t="n">
        <v>3.308728647336942</v>
      </c>
      <c r="D260" s="6" t="n">
        <v>1.458109522349398</v>
      </c>
      <c r="E260" s="6" t="n">
        <v>-0.7427495967609852</v>
      </c>
      <c r="F260" s="6" t="n">
        <v>-1.786844513613144</v>
      </c>
      <c r="G260" s="5" t="n">
        <v>0</v>
      </c>
      <c r="H260" s="5" t="n">
        <v>1</v>
      </c>
      <c r="I260" s="5" t="n">
        <v>0</v>
      </c>
      <c r="J260" s="5" t="n">
        <v>0</v>
      </c>
      <c r="K260" s="5" t="n">
        <v>1</v>
      </c>
      <c r="L260" s="5" t="n">
        <v>0</v>
      </c>
      <c r="M260" s="5" t="n">
        <v>0</v>
      </c>
      <c r="N260" s="5" t="n">
        <v>0</v>
      </c>
      <c r="O260" s="5" t="n">
        <v>1</v>
      </c>
      <c r="P260" s="5" t="n">
        <v>0</v>
      </c>
      <c r="Q260" s="5" t="n">
        <v>0</v>
      </c>
      <c r="R260" s="5" t="n">
        <v>0</v>
      </c>
      <c r="S260" s="5" t="n">
        <v>1</v>
      </c>
      <c r="T260" s="5" t="n">
        <v>0</v>
      </c>
      <c r="U260" s="5" t="inlineStr">
        <is>
          <t>training</t>
        </is>
      </c>
      <c r="V260" s="5" t="n">
        <v>1</v>
      </c>
    </row>
    <row r="261">
      <c r="A261" s="5" t="n">
        <v>257</v>
      </c>
      <c r="B261" s="5" t="n">
        <v>0</v>
      </c>
      <c r="C261" s="6" t="n">
        <v>0.275406400796963</v>
      </c>
      <c r="D261" s="6" t="n">
        <v>-0.1982827172249464</v>
      </c>
      <c r="E261" s="6" t="n">
        <v>-0.04696543117692405</v>
      </c>
      <c r="F261" s="6" t="n">
        <v>0.9185437189662378</v>
      </c>
      <c r="G261" s="5" t="n">
        <v>0</v>
      </c>
      <c r="H261" s="5" t="n">
        <v>0</v>
      </c>
      <c r="I261" s="5" t="n">
        <v>0</v>
      </c>
      <c r="J261" s="5" t="n">
        <v>1</v>
      </c>
      <c r="K261" s="5" t="n">
        <v>0</v>
      </c>
      <c r="L261" s="5" t="n">
        <v>0</v>
      </c>
      <c r="M261" s="5" t="n">
        <v>0</v>
      </c>
      <c r="N261" s="5" t="n">
        <v>0</v>
      </c>
      <c r="O261" s="5" t="n">
        <v>0</v>
      </c>
      <c r="P261" s="5" t="n">
        <v>0</v>
      </c>
      <c r="Q261" s="5" t="n">
        <v>0</v>
      </c>
      <c r="R261" s="5" t="n">
        <v>0</v>
      </c>
      <c r="S261" s="5" t="n">
        <v>1</v>
      </c>
      <c r="T261" s="5" t="n">
        <v>0</v>
      </c>
      <c r="U261" s="5" t="inlineStr">
        <is>
          <t>training</t>
        </is>
      </c>
      <c r="V261" s="5" t="n">
        <v>1</v>
      </c>
    </row>
    <row r="262">
      <c r="A262" s="5" t="n">
        <v>258</v>
      </c>
      <c r="B262" s="5" t="n">
        <v>1</v>
      </c>
      <c r="C262" s="6" t="n">
        <v>-0.7357010147163632</v>
      </c>
      <c r="D262" s="6" t="n">
        <v>-0.3854753340758704</v>
      </c>
      <c r="E262" s="6" t="n">
        <v>-0.5688035553649698</v>
      </c>
      <c r="F262" s="6" t="n">
        <v>0.9185437189662378</v>
      </c>
      <c r="G262" s="5" t="n">
        <v>1</v>
      </c>
      <c r="H262" s="5" t="n">
        <v>0</v>
      </c>
      <c r="I262" s="5" t="n">
        <v>0</v>
      </c>
      <c r="J262" s="5" t="n">
        <v>0</v>
      </c>
      <c r="K262" s="5" t="n">
        <v>0</v>
      </c>
      <c r="L262" s="5" t="n">
        <v>1</v>
      </c>
      <c r="M262" s="5" t="n">
        <v>0</v>
      </c>
      <c r="N262" s="5" t="n">
        <v>0</v>
      </c>
      <c r="O262" s="5" t="n">
        <v>0</v>
      </c>
      <c r="P262" s="5" t="n">
        <v>0</v>
      </c>
      <c r="Q262" s="5" t="n">
        <v>1</v>
      </c>
      <c r="R262" s="5" t="n">
        <v>0</v>
      </c>
      <c r="S262" s="5" t="n">
        <v>1</v>
      </c>
      <c r="T262" s="5" t="n">
        <v>0</v>
      </c>
      <c r="U262" s="5" t="inlineStr">
        <is>
          <t>testing</t>
        </is>
      </c>
      <c r="V262" s="5" t="n">
        <v>0</v>
      </c>
    </row>
    <row r="263">
      <c r="A263" s="5" t="n">
        <v>259</v>
      </c>
      <c r="B263" s="5" t="n">
        <v>0</v>
      </c>
      <c r="C263" s="6" t="n">
        <v>-0.4829241608380317</v>
      </c>
      <c r="D263" s="6" t="n">
        <v>0.1963962954999923</v>
      </c>
      <c r="E263" s="6" t="n">
        <v>-1.090641679553016</v>
      </c>
      <c r="F263" s="6" t="n">
        <v>-1.786844513613144</v>
      </c>
      <c r="G263" s="5" t="n">
        <v>0</v>
      </c>
      <c r="H263" s="5" t="n">
        <v>0</v>
      </c>
      <c r="I263" s="5" t="n">
        <v>0</v>
      </c>
      <c r="J263" s="5" t="n">
        <v>0</v>
      </c>
      <c r="K263" s="5" t="n">
        <v>0</v>
      </c>
      <c r="L263" s="5" t="n">
        <v>0</v>
      </c>
      <c r="M263" s="5" t="n">
        <v>1</v>
      </c>
      <c r="N263" s="5" t="n">
        <v>0</v>
      </c>
      <c r="O263" s="5" t="n">
        <v>0</v>
      </c>
      <c r="P263" s="5" t="n">
        <v>0</v>
      </c>
      <c r="Q263" s="5" t="n">
        <v>0</v>
      </c>
      <c r="R263" s="5" t="n">
        <v>1</v>
      </c>
      <c r="S263" s="5" t="n">
        <v>0</v>
      </c>
      <c r="T263" s="5" t="n">
        <v>0</v>
      </c>
      <c r="U263" s="5" t="inlineStr">
        <is>
          <t>training</t>
        </is>
      </c>
      <c r="V263" s="5" t="n">
        <v>1</v>
      </c>
    </row>
    <row r="264">
      <c r="A264" s="5" t="n">
        <v>260</v>
      </c>
      <c r="B264" s="5" t="n">
        <v>0</v>
      </c>
      <c r="C264" s="6" t="n">
        <v>-0.8199599660091405</v>
      </c>
      <c r="D264" s="6" t="n">
        <v>-0.7336186121444112</v>
      </c>
      <c r="E264" s="6" t="n">
        <v>1.866441024179244</v>
      </c>
      <c r="F264" s="6" t="n">
        <v>0.9185437189662378</v>
      </c>
      <c r="G264" s="5" t="n">
        <v>0</v>
      </c>
      <c r="H264" s="5" t="n">
        <v>0</v>
      </c>
      <c r="I264" s="5" t="n">
        <v>0</v>
      </c>
      <c r="J264" s="5" t="n">
        <v>1</v>
      </c>
      <c r="K264" s="5" t="n">
        <v>0</v>
      </c>
      <c r="L264" s="5" t="n">
        <v>0</v>
      </c>
      <c r="M264" s="5" t="n">
        <v>1</v>
      </c>
      <c r="N264" s="5" t="n">
        <v>0</v>
      </c>
      <c r="O264" s="5" t="n">
        <v>0</v>
      </c>
      <c r="P264" s="5" t="n">
        <v>0</v>
      </c>
      <c r="Q264" s="5" t="n">
        <v>0</v>
      </c>
      <c r="R264" s="5" t="n">
        <v>0</v>
      </c>
      <c r="S264" s="5" t="n">
        <v>1</v>
      </c>
      <c r="T264" s="5" t="n">
        <v>0</v>
      </c>
      <c r="U264" s="5" t="inlineStr">
        <is>
          <t>training</t>
        </is>
      </c>
      <c r="V264" s="5" t="n">
        <v>0</v>
      </c>
    </row>
    <row r="265">
      <c r="A265" s="5" t="n">
        <v>261</v>
      </c>
      <c r="B265" s="5" t="n">
        <v>0</v>
      </c>
      <c r="C265" s="6" t="n">
        <v>-0.7357010147163632</v>
      </c>
      <c r="D265" s="6" t="n">
        <v>-0.5576225630303649</v>
      </c>
      <c r="E265" s="6" t="n">
        <v>-0.7427495967609852</v>
      </c>
      <c r="F265" s="6" t="n">
        <v>-0.8850484360866833</v>
      </c>
      <c r="G265" s="5" t="n">
        <v>1</v>
      </c>
      <c r="H265" s="5" t="n">
        <v>0</v>
      </c>
      <c r="I265" s="5" t="n">
        <v>0</v>
      </c>
      <c r="J265" s="5" t="n">
        <v>0</v>
      </c>
      <c r="K265" s="5" t="n">
        <v>0</v>
      </c>
      <c r="L265" s="5" t="n">
        <v>0</v>
      </c>
      <c r="M265" s="5" t="n">
        <v>0</v>
      </c>
      <c r="N265" s="5" t="n">
        <v>0</v>
      </c>
      <c r="O265" s="5" t="n">
        <v>0</v>
      </c>
      <c r="P265" s="5" t="n">
        <v>0</v>
      </c>
      <c r="Q265" s="5" t="n">
        <v>0</v>
      </c>
      <c r="R265" s="5" t="n">
        <v>0</v>
      </c>
      <c r="S265" s="5" t="n">
        <v>0</v>
      </c>
      <c r="T265" s="5" t="n">
        <v>1</v>
      </c>
      <c r="U265" s="5" t="inlineStr">
        <is>
          <t>training</t>
        </is>
      </c>
      <c r="V265" s="5" t="n">
        <v>0</v>
      </c>
    </row>
    <row r="266">
      <c r="A266" s="5" t="n">
        <v>262</v>
      </c>
      <c r="B266" s="5" t="n">
        <v>0</v>
      </c>
      <c r="C266" s="6" t="n">
        <v>0.275406400796963</v>
      </c>
      <c r="D266" s="6" t="n">
        <v>-0.576516771086346</v>
      </c>
      <c r="E266" s="6" t="n">
        <v>1.692494982783229</v>
      </c>
      <c r="F266" s="6" t="n">
        <v>0.9185437189662378</v>
      </c>
      <c r="G266" s="5" t="n">
        <v>1</v>
      </c>
      <c r="H266" s="5" t="n">
        <v>0</v>
      </c>
      <c r="I266" s="5" t="n">
        <v>0</v>
      </c>
      <c r="J266" s="5" t="n">
        <v>0</v>
      </c>
      <c r="K266" s="5" t="n">
        <v>0</v>
      </c>
      <c r="L266" s="5" t="n">
        <v>0</v>
      </c>
      <c r="M266" s="5" t="n">
        <v>0</v>
      </c>
      <c r="N266" s="5" t="n">
        <v>0</v>
      </c>
      <c r="O266" s="5" t="n">
        <v>0</v>
      </c>
      <c r="P266" s="5" t="n">
        <v>0</v>
      </c>
      <c r="Q266" s="5" t="n">
        <v>0</v>
      </c>
      <c r="R266" s="5" t="n">
        <v>0</v>
      </c>
      <c r="S266" s="5" t="n">
        <v>1</v>
      </c>
      <c r="T266" s="5" t="n">
        <v>0</v>
      </c>
      <c r="U266" s="5" t="inlineStr">
        <is>
          <t>testing</t>
        </is>
      </c>
      <c r="V266" s="5" t="n">
        <v>0</v>
      </c>
    </row>
    <row r="267">
      <c r="A267" s="5" t="n">
        <v>263</v>
      </c>
      <c r="B267" s="5" t="n">
        <v>0</v>
      </c>
      <c r="C267" s="6" t="n">
        <v>-0.2301473069597001</v>
      </c>
      <c r="D267" s="6" t="n">
        <v>0.7177364807483599</v>
      </c>
      <c r="E267" s="6" t="n">
        <v>0.04000758952108359</v>
      </c>
      <c r="F267" s="6" t="n">
        <v>-0.8850484360866833</v>
      </c>
      <c r="G267" s="5" t="n">
        <v>1</v>
      </c>
      <c r="H267" s="5" t="n">
        <v>0</v>
      </c>
      <c r="I267" s="5" t="n">
        <v>0</v>
      </c>
      <c r="J267" s="5" t="n">
        <v>1</v>
      </c>
      <c r="K267" s="5" t="n">
        <v>0</v>
      </c>
      <c r="L267" s="5" t="n">
        <v>0</v>
      </c>
      <c r="M267" s="5" t="n">
        <v>0</v>
      </c>
      <c r="N267" s="5" t="n">
        <v>0</v>
      </c>
      <c r="O267" s="5" t="n">
        <v>0</v>
      </c>
      <c r="P267" s="5" t="n">
        <v>0</v>
      </c>
      <c r="Q267" s="5" t="n">
        <v>1</v>
      </c>
      <c r="R267" s="5" t="n">
        <v>1</v>
      </c>
      <c r="S267" s="5" t="n">
        <v>0</v>
      </c>
      <c r="T267" s="5" t="n">
        <v>0</v>
      </c>
      <c r="U267" s="5" t="inlineStr">
        <is>
          <t>training</t>
        </is>
      </c>
      <c r="V267" s="5" t="n">
        <v>0</v>
      </c>
    </row>
    <row r="268">
      <c r="A268" s="5" t="n">
        <v>264</v>
      </c>
      <c r="B268" s="5" t="n">
        <v>0</v>
      </c>
      <c r="C268" s="6" t="n">
        <v>-0.7357010147163632</v>
      </c>
      <c r="D268" s="6" t="n">
        <v>-0.175889581751191</v>
      </c>
      <c r="E268" s="6" t="n">
        <v>1.866441024179244</v>
      </c>
      <c r="F268" s="6" t="n">
        <v>-0.8850484360866833</v>
      </c>
      <c r="G268" s="5" t="n">
        <v>0</v>
      </c>
      <c r="H268" s="5" t="n">
        <v>0</v>
      </c>
      <c r="I268" s="5" t="n">
        <v>0</v>
      </c>
      <c r="J268" s="5" t="n">
        <v>1</v>
      </c>
      <c r="K268" s="5" t="n">
        <v>0</v>
      </c>
      <c r="L268" s="5" t="n">
        <v>0</v>
      </c>
      <c r="M268" s="5" t="n">
        <v>0</v>
      </c>
      <c r="N268" s="5" t="n">
        <v>0</v>
      </c>
      <c r="O268" s="5" t="n">
        <v>0</v>
      </c>
      <c r="P268" s="5" t="n">
        <v>0</v>
      </c>
      <c r="Q268" s="5" t="n">
        <v>1</v>
      </c>
      <c r="R268" s="5" t="n">
        <v>0</v>
      </c>
      <c r="S268" s="5" t="n">
        <v>0</v>
      </c>
      <c r="T268" s="5" t="n">
        <v>0</v>
      </c>
      <c r="U268" s="5" t="inlineStr">
        <is>
          <t>training</t>
        </is>
      </c>
      <c r="V268" s="5" t="n">
        <v>0</v>
      </c>
    </row>
    <row r="269">
      <c r="A269" s="5" t="n">
        <v>265</v>
      </c>
      <c r="B269" s="5" t="n">
        <v>0</v>
      </c>
      <c r="C269" s="6" t="n">
        <v>-0.9042189173019176</v>
      </c>
      <c r="D269" s="6" t="n">
        <v>-0.7066768710275493</v>
      </c>
      <c r="E269" s="6" t="n">
        <v>-0.307884493270947</v>
      </c>
      <c r="F269" s="6" t="n">
        <v>0.01674764143977723</v>
      </c>
      <c r="G269" s="5" t="n">
        <v>0</v>
      </c>
      <c r="H269" s="5" t="n">
        <v>0</v>
      </c>
      <c r="I269" s="5" t="n">
        <v>0</v>
      </c>
      <c r="J269" s="5" t="n">
        <v>1</v>
      </c>
      <c r="K269" s="5" t="n">
        <v>0</v>
      </c>
      <c r="L269" s="5" t="n">
        <v>0</v>
      </c>
      <c r="M269" s="5" t="n">
        <v>0</v>
      </c>
      <c r="N269" s="5" t="n">
        <v>0</v>
      </c>
      <c r="O269" s="5" t="n">
        <v>0</v>
      </c>
      <c r="P269" s="5" t="n">
        <v>0</v>
      </c>
      <c r="Q269" s="5" t="n">
        <v>0</v>
      </c>
      <c r="R269" s="5" t="n">
        <v>1</v>
      </c>
      <c r="S269" s="5" t="n">
        <v>0</v>
      </c>
      <c r="T269" s="5" t="n">
        <v>0</v>
      </c>
      <c r="U269" s="5" t="inlineStr">
        <is>
          <t>training</t>
        </is>
      </c>
      <c r="V269" s="5" t="n">
        <v>0</v>
      </c>
    </row>
    <row r="270">
      <c r="A270" s="5" t="n">
        <v>266</v>
      </c>
      <c r="B270" s="5" t="n">
        <v>1</v>
      </c>
      <c r="C270" s="6" t="n">
        <v>-0.4829241608380317</v>
      </c>
      <c r="D270" s="6" t="n">
        <v>-0.8567808572500658</v>
      </c>
      <c r="E270" s="6" t="n">
        <v>0.1269806102190912</v>
      </c>
      <c r="F270" s="6" t="n">
        <v>0.9185437189662378</v>
      </c>
      <c r="G270" s="5" t="n">
        <v>0</v>
      </c>
      <c r="H270" s="5" t="n">
        <v>1</v>
      </c>
      <c r="I270" s="5" t="n">
        <v>0</v>
      </c>
      <c r="J270" s="5" t="n">
        <v>0</v>
      </c>
      <c r="K270" s="5" t="n">
        <v>0</v>
      </c>
      <c r="L270" s="5" t="n">
        <v>0</v>
      </c>
      <c r="M270" s="5" t="n">
        <v>0</v>
      </c>
      <c r="N270" s="5" t="n">
        <v>0</v>
      </c>
      <c r="O270" s="5" t="n">
        <v>0</v>
      </c>
      <c r="P270" s="5" t="n">
        <v>0</v>
      </c>
      <c r="Q270" s="5" t="n">
        <v>0</v>
      </c>
      <c r="R270" s="5" t="n">
        <v>0</v>
      </c>
      <c r="S270" s="5" t="n">
        <v>1</v>
      </c>
      <c r="T270" s="5" t="n">
        <v>0</v>
      </c>
      <c r="U270" s="5" t="inlineStr">
        <is>
          <t>training</t>
        </is>
      </c>
      <c r="V270" s="5" t="n">
        <v>1</v>
      </c>
    </row>
    <row r="271">
      <c r="A271" s="5" t="n">
        <v>267</v>
      </c>
      <c r="B271" s="5" t="n">
        <v>0</v>
      </c>
      <c r="C271" s="6" t="n">
        <v>1.286513816310289</v>
      </c>
      <c r="D271" s="6" t="n">
        <v>1.068329008009343</v>
      </c>
      <c r="E271" s="6" t="n">
        <v>0.04000758952108359</v>
      </c>
      <c r="F271" s="6" t="n">
        <v>0.9185437189662378</v>
      </c>
      <c r="G271" s="5" t="n">
        <v>0</v>
      </c>
      <c r="H271" s="5" t="n">
        <v>0</v>
      </c>
      <c r="I271" s="5" t="n">
        <v>0</v>
      </c>
      <c r="J271" s="5" t="n">
        <v>1</v>
      </c>
      <c r="K271" s="5" t="n">
        <v>0</v>
      </c>
      <c r="L271" s="5" t="n">
        <v>0</v>
      </c>
      <c r="M271" s="5" t="n">
        <v>0</v>
      </c>
      <c r="N271" s="5" t="n">
        <v>0</v>
      </c>
      <c r="O271" s="5" t="n">
        <v>1</v>
      </c>
      <c r="P271" s="5" t="n">
        <v>0</v>
      </c>
      <c r="Q271" s="5" t="n">
        <v>0</v>
      </c>
      <c r="R271" s="5" t="n">
        <v>0</v>
      </c>
      <c r="S271" s="5" t="n">
        <v>0</v>
      </c>
      <c r="T271" s="5" t="n">
        <v>0</v>
      </c>
      <c r="U271" s="5" t="inlineStr">
        <is>
          <t>testing</t>
        </is>
      </c>
      <c r="V271" s="5" t="n">
        <v>0</v>
      </c>
    </row>
    <row r="272">
      <c r="A272" s="5" t="n">
        <v>268</v>
      </c>
      <c r="B272" s="5" t="n">
        <v>0</v>
      </c>
      <c r="C272" s="6" t="n">
        <v>0.275406400796963</v>
      </c>
      <c r="D272" s="6" t="n">
        <v>-0.601009263010766</v>
      </c>
      <c r="E272" s="6" t="n">
        <v>0.2139536309170988</v>
      </c>
      <c r="F272" s="6" t="n">
        <v>0.9185437189662378</v>
      </c>
      <c r="G272" s="5" t="n">
        <v>0</v>
      </c>
      <c r="H272" s="5" t="n">
        <v>0</v>
      </c>
      <c r="I272" s="5" t="n">
        <v>0</v>
      </c>
      <c r="J272" s="5" t="n">
        <v>0</v>
      </c>
      <c r="K272" s="5" t="n">
        <v>0</v>
      </c>
      <c r="L272" s="5" t="n">
        <v>0</v>
      </c>
      <c r="M272" s="5" t="n">
        <v>0</v>
      </c>
      <c r="N272" s="5" t="n">
        <v>0</v>
      </c>
      <c r="O272" s="5" t="n">
        <v>0</v>
      </c>
      <c r="P272" s="5" t="n">
        <v>0</v>
      </c>
      <c r="Q272" s="5" t="n">
        <v>0</v>
      </c>
      <c r="R272" s="5" t="n">
        <v>0</v>
      </c>
      <c r="S272" s="5" t="n">
        <v>1</v>
      </c>
      <c r="T272" s="5" t="n">
        <v>0</v>
      </c>
      <c r="U272" s="5" t="inlineStr">
        <is>
          <t>training</t>
        </is>
      </c>
      <c r="V272" s="5" t="n">
        <v>0</v>
      </c>
    </row>
    <row r="273">
      <c r="A273" s="5" t="n">
        <v>269</v>
      </c>
      <c r="B273" s="5" t="n">
        <v>1</v>
      </c>
      <c r="C273" s="6" t="n">
        <v>-0.5671831121308089</v>
      </c>
      <c r="D273" s="6" t="n">
        <v>2.003942199522185</v>
      </c>
      <c r="E273" s="6" t="n">
        <v>0.8227647758031523</v>
      </c>
      <c r="F273" s="6" t="n">
        <v>-1.786844513613144</v>
      </c>
      <c r="G273" s="5" t="n">
        <v>1</v>
      </c>
      <c r="H273" s="5" t="n">
        <v>0</v>
      </c>
      <c r="I273" s="5" t="n">
        <v>0</v>
      </c>
      <c r="J273" s="5" t="n">
        <v>0</v>
      </c>
      <c r="K273" s="5" t="n">
        <v>0</v>
      </c>
      <c r="L273" s="5" t="n">
        <v>0</v>
      </c>
      <c r="M273" s="5" t="n">
        <v>0</v>
      </c>
      <c r="N273" s="5" t="n">
        <v>0</v>
      </c>
      <c r="O273" s="5" t="n">
        <v>0</v>
      </c>
      <c r="P273" s="5" t="n">
        <v>0</v>
      </c>
      <c r="Q273" s="5" t="n">
        <v>0</v>
      </c>
      <c r="R273" s="5" t="n">
        <v>1</v>
      </c>
      <c r="S273" s="5" t="n">
        <v>0</v>
      </c>
      <c r="T273" s="5" t="n">
        <v>0</v>
      </c>
      <c r="U273" s="5" t="inlineStr">
        <is>
          <t>testing</t>
        </is>
      </c>
      <c r="V273" s="5" t="n">
        <v>0</v>
      </c>
    </row>
    <row r="274">
      <c r="A274" s="5" t="n">
        <v>270</v>
      </c>
      <c r="B274" s="5" t="n">
        <v>0</v>
      </c>
      <c r="C274" s="6" t="n">
        <v>0.275406400796963</v>
      </c>
      <c r="D274" s="6" t="n">
        <v>-0.7878519871199126</v>
      </c>
      <c r="E274" s="6" t="n">
        <v>-0.9166956381570004</v>
      </c>
      <c r="F274" s="6" t="n">
        <v>0.9185437189662378</v>
      </c>
      <c r="G274" s="5" t="n">
        <v>0</v>
      </c>
      <c r="H274" s="5" t="n">
        <v>0</v>
      </c>
      <c r="I274" s="5" t="n">
        <v>0</v>
      </c>
      <c r="J274" s="5" t="n">
        <v>0</v>
      </c>
      <c r="K274" s="5" t="n">
        <v>0</v>
      </c>
      <c r="L274" s="5" t="n">
        <v>0</v>
      </c>
      <c r="M274" s="5" t="n">
        <v>0</v>
      </c>
      <c r="N274" s="5" t="n">
        <v>0</v>
      </c>
      <c r="O274" s="5" t="n">
        <v>1</v>
      </c>
      <c r="P274" s="5" t="n">
        <v>0</v>
      </c>
      <c r="Q274" s="5" t="n">
        <v>0</v>
      </c>
      <c r="R274" s="5" t="n">
        <v>0</v>
      </c>
      <c r="S274" s="5" t="n">
        <v>1</v>
      </c>
      <c r="T274" s="5" t="n">
        <v>0</v>
      </c>
      <c r="U274" s="5" t="inlineStr">
        <is>
          <t>training</t>
        </is>
      </c>
      <c r="V274" s="5" t="n">
        <v>0</v>
      </c>
    </row>
    <row r="275">
      <c r="A275" s="5" t="n">
        <v>271</v>
      </c>
      <c r="B275" s="5" t="n">
        <v>0</v>
      </c>
      <c r="C275" s="6" t="n">
        <v>-0.2301473069597001</v>
      </c>
      <c r="D275" s="6" t="n">
        <v>-0.2059803575440499</v>
      </c>
      <c r="E275" s="6" t="n">
        <v>-0.307884493270947</v>
      </c>
      <c r="F275" s="6" t="n">
        <v>0.9185437189662378</v>
      </c>
      <c r="G275" s="5" t="n">
        <v>0</v>
      </c>
      <c r="H275" s="5" t="n">
        <v>0</v>
      </c>
      <c r="I275" s="5" t="n">
        <v>0</v>
      </c>
      <c r="J275" s="5" t="n">
        <v>0</v>
      </c>
      <c r="K275" s="5" t="n">
        <v>0</v>
      </c>
      <c r="L275" s="5" t="n">
        <v>0</v>
      </c>
      <c r="M275" s="5" t="n">
        <v>0</v>
      </c>
      <c r="N275" s="5" t="n">
        <v>0</v>
      </c>
      <c r="O275" s="5" t="n">
        <v>1</v>
      </c>
      <c r="P275" s="5" t="n">
        <v>0</v>
      </c>
      <c r="Q275" s="5" t="n">
        <v>0</v>
      </c>
      <c r="R275" s="5" t="n">
        <v>1</v>
      </c>
      <c r="S275" s="5" t="n">
        <v>0</v>
      </c>
      <c r="T275" s="5" t="n">
        <v>0</v>
      </c>
      <c r="U275" s="5" t="inlineStr">
        <is>
          <t>testing</t>
        </is>
      </c>
      <c r="V275" s="5" t="n">
        <v>0</v>
      </c>
    </row>
    <row r="276">
      <c r="A276" s="5" t="n">
        <v>272</v>
      </c>
      <c r="B276" s="5" t="n">
        <v>0</v>
      </c>
      <c r="C276" s="6" t="n">
        <v>-0.7357010147163632</v>
      </c>
      <c r="D276" s="6" t="n">
        <v>-0.646845212183609</v>
      </c>
      <c r="E276" s="6" t="n">
        <v>0.1269806102190912</v>
      </c>
      <c r="F276" s="6" t="n">
        <v>0.01674764143977723</v>
      </c>
      <c r="G276" s="5" t="n">
        <v>0</v>
      </c>
      <c r="H276" s="5" t="n">
        <v>0</v>
      </c>
      <c r="I276" s="5" t="n">
        <v>0</v>
      </c>
      <c r="J276" s="5" t="n">
        <v>1</v>
      </c>
      <c r="K276" s="5" t="n">
        <v>0</v>
      </c>
      <c r="L276" s="5" t="n">
        <v>0</v>
      </c>
      <c r="M276" s="5" t="n">
        <v>1</v>
      </c>
      <c r="N276" s="5" t="n">
        <v>0</v>
      </c>
      <c r="O276" s="5" t="n">
        <v>0</v>
      </c>
      <c r="P276" s="5" t="n">
        <v>1</v>
      </c>
      <c r="Q276" s="5" t="n">
        <v>0</v>
      </c>
      <c r="R276" s="5" t="n">
        <v>0</v>
      </c>
      <c r="S276" s="5" t="n">
        <v>0</v>
      </c>
      <c r="T276" s="5" t="n">
        <v>1</v>
      </c>
      <c r="U276" s="5" t="inlineStr">
        <is>
          <t>testing</t>
        </is>
      </c>
      <c r="V276" s="5" t="n">
        <v>0</v>
      </c>
    </row>
    <row r="277">
      <c r="A277" s="5" t="n">
        <v>273</v>
      </c>
      <c r="B277" s="5" t="n">
        <v>0</v>
      </c>
      <c r="C277" s="6" t="n">
        <v>2.297621231823615</v>
      </c>
      <c r="D277" s="6" t="n">
        <v>3.120449938533958</v>
      </c>
      <c r="E277" s="6" t="n">
        <v>0.04000758952108359</v>
      </c>
      <c r="F277" s="6" t="n">
        <v>0.9185437189662378</v>
      </c>
      <c r="G277" s="5" t="n">
        <v>0</v>
      </c>
      <c r="H277" s="5" t="n">
        <v>1</v>
      </c>
      <c r="I277" s="5" t="n">
        <v>0</v>
      </c>
      <c r="J277" s="5" t="n">
        <v>0</v>
      </c>
      <c r="K277" s="5" t="n">
        <v>0</v>
      </c>
      <c r="L277" s="5" t="n">
        <v>1</v>
      </c>
      <c r="M277" s="5" t="n">
        <v>0</v>
      </c>
      <c r="N277" s="5" t="n">
        <v>0</v>
      </c>
      <c r="O277" s="5" t="n">
        <v>1</v>
      </c>
      <c r="P277" s="5" t="n">
        <v>0</v>
      </c>
      <c r="Q277" s="5" t="n">
        <v>1</v>
      </c>
      <c r="R277" s="5" t="n">
        <v>1</v>
      </c>
      <c r="S277" s="5" t="n">
        <v>0</v>
      </c>
      <c r="T277" s="5" t="n">
        <v>0</v>
      </c>
      <c r="U277" s="5" t="inlineStr">
        <is>
          <t>training</t>
        </is>
      </c>
      <c r="V277" s="5" t="n">
        <v>0</v>
      </c>
    </row>
    <row r="278">
      <c r="A278" s="5" t="n">
        <v>274</v>
      </c>
      <c r="B278" s="5" t="n">
        <v>1</v>
      </c>
      <c r="C278" s="6" t="n">
        <v>2.297621231823615</v>
      </c>
      <c r="D278" s="6" t="n">
        <v>-0.06672304631663353</v>
      </c>
      <c r="E278" s="6" t="n">
        <v>-0.6557765760629775</v>
      </c>
      <c r="F278" s="6" t="n">
        <v>0.9185437189662378</v>
      </c>
      <c r="G278" s="5" t="n">
        <v>0</v>
      </c>
      <c r="H278" s="5" t="n">
        <v>1</v>
      </c>
      <c r="I278" s="5" t="n">
        <v>0</v>
      </c>
      <c r="J278" s="5" t="n">
        <v>0</v>
      </c>
      <c r="K278" s="5" t="n">
        <v>0</v>
      </c>
      <c r="L278" s="5" t="n">
        <v>0</v>
      </c>
      <c r="M278" s="5" t="n">
        <v>0</v>
      </c>
      <c r="N278" s="5" t="n">
        <v>0</v>
      </c>
      <c r="O278" s="5" t="n">
        <v>0</v>
      </c>
      <c r="P278" s="5" t="n">
        <v>0</v>
      </c>
      <c r="Q278" s="5" t="n">
        <v>0</v>
      </c>
      <c r="R278" s="5" t="n">
        <v>0</v>
      </c>
      <c r="S278" s="5" t="n">
        <v>1</v>
      </c>
      <c r="T278" s="5" t="n">
        <v>0</v>
      </c>
      <c r="U278" s="5" t="inlineStr">
        <is>
          <t>training</t>
        </is>
      </c>
      <c r="V278" s="5" t="n">
        <v>1</v>
      </c>
    </row>
    <row r="279">
      <c r="A279" s="5" t="n">
        <v>275</v>
      </c>
      <c r="B279" s="5" t="n">
        <v>1</v>
      </c>
      <c r="C279" s="6" t="n">
        <v>0.7809601085536261</v>
      </c>
      <c r="D279" s="6" t="n">
        <v>3.060618279690018</v>
      </c>
      <c r="E279" s="6" t="n">
        <v>-0.1339384518749317</v>
      </c>
      <c r="F279" s="6" t="n">
        <v>-1.786844513613144</v>
      </c>
      <c r="G279" s="5" t="n">
        <v>1</v>
      </c>
      <c r="H279" s="5" t="n">
        <v>0</v>
      </c>
      <c r="I279" s="5" t="n">
        <v>0</v>
      </c>
      <c r="J279" s="5" t="n">
        <v>0</v>
      </c>
      <c r="K279" s="5" t="n">
        <v>0</v>
      </c>
      <c r="L279" s="5" t="n">
        <v>0</v>
      </c>
      <c r="M279" s="5" t="n">
        <v>0</v>
      </c>
      <c r="N279" s="5" t="n">
        <v>0</v>
      </c>
      <c r="O279" s="5" t="n">
        <v>0</v>
      </c>
      <c r="P279" s="5" t="n">
        <v>0</v>
      </c>
      <c r="Q279" s="5" t="n">
        <v>0</v>
      </c>
      <c r="R279" s="5" t="n">
        <v>0</v>
      </c>
      <c r="S279" s="5" t="n">
        <v>0</v>
      </c>
      <c r="T279" s="5" t="n">
        <v>0</v>
      </c>
      <c r="U279" s="5" t="inlineStr">
        <is>
          <t>training</t>
        </is>
      </c>
      <c r="V279" s="5" t="n">
        <v>1</v>
      </c>
    </row>
    <row r="280">
      <c r="A280" s="5" t="n">
        <v>276</v>
      </c>
      <c r="B280" s="5" t="n">
        <v>0</v>
      </c>
      <c r="C280" s="6" t="n">
        <v>-0.9884778685946948</v>
      </c>
      <c r="D280" s="6" t="n">
        <v>-0.1937341115818399</v>
      </c>
      <c r="E280" s="6" t="n">
        <v>-0.307884493270947</v>
      </c>
      <c r="F280" s="6" t="n">
        <v>-1.786844513613144</v>
      </c>
      <c r="G280" s="5" t="n">
        <v>0</v>
      </c>
      <c r="H280" s="5" t="n">
        <v>0</v>
      </c>
      <c r="I280" s="5" t="n">
        <v>0</v>
      </c>
      <c r="J280" s="5" t="n">
        <v>0</v>
      </c>
      <c r="K280" s="5" t="n">
        <v>0</v>
      </c>
      <c r="L280" s="5" t="n">
        <v>0</v>
      </c>
      <c r="M280" s="5" t="n">
        <v>0</v>
      </c>
      <c r="N280" s="5" t="n">
        <v>0</v>
      </c>
      <c r="O280" s="5" t="n">
        <v>0</v>
      </c>
      <c r="P280" s="5" t="n">
        <v>0</v>
      </c>
      <c r="Q280" s="5" t="n">
        <v>0</v>
      </c>
      <c r="R280" s="5" t="n">
        <v>0</v>
      </c>
      <c r="S280" s="5" t="n">
        <v>1</v>
      </c>
      <c r="T280" s="5" t="n">
        <v>0</v>
      </c>
      <c r="U280" s="5" t="inlineStr">
        <is>
          <t>training</t>
        </is>
      </c>
      <c r="V280" s="5" t="n">
        <v>1</v>
      </c>
    </row>
    <row r="281">
      <c r="A281" s="5" t="n">
        <v>277</v>
      </c>
      <c r="B281" s="5" t="n">
        <v>0</v>
      </c>
      <c r="C281" s="6" t="n">
        <v>-0.2301473069597001</v>
      </c>
      <c r="D281" s="6" t="n">
        <v>-0.2962526849226262</v>
      </c>
      <c r="E281" s="6" t="n">
        <v>-0.8297226174589928</v>
      </c>
      <c r="F281" s="6" t="n">
        <v>-0.8850484360866833</v>
      </c>
      <c r="G281" s="5" t="n">
        <v>0</v>
      </c>
      <c r="H281" s="5" t="n">
        <v>0</v>
      </c>
      <c r="I281" s="5" t="n">
        <v>0</v>
      </c>
      <c r="J281" s="5" t="n">
        <v>1</v>
      </c>
      <c r="K281" s="5" t="n">
        <v>0</v>
      </c>
      <c r="L281" s="5" t="n">
        <v>0</v>
      </c>
      <c r="M281" s="5" t="n">
        <v>0</v>
      </c>
      <c r="N281" s="5" t="n">
        <v>0</v>
      </c>
      <c r="O281" s="5" t="n">
        <v>0</v>
      </c>
      <c r="P281" s="5" t="n">
        <v>0</v>
      </c>
      <c r="Q281" s="5" t="n">
        <v>0</v>
      </c>
      <c r="R281" s="5" t="n">
        <v>0</v>
      </c>
      <c r="S281" s="5" t="n">
        <v>1</v>
      </c>
      <c r="T281" s="5" t="n">
        <v>0</v>
      </c>
      <c r="U281" s="5" t="inlineStr">
        <is>
          <t>training</t>
        </is>
      </c>
      <c r="V281" s="5" t="n">
        <v>0</v>
      </c>
    </row>
    <row r="282">
      <c r="A282" s="5" t="n">
        <v>278</v>
      </c>
      <c r="B282" s="5" t="n">
        <v>0</v>
      </c>
      <c r="C282" s="6" t="n">
        <v>-0.7357010147163632</v>
      </c>
      <c r="D282" s="6" t="n">
        <v>-0.695830196032449</v>
      </c>
      <c r="E282" s="6" t="n">
        <v>1.170656858595183</v>
      </c>
      <c r="F282" s="6" t="n">
        <v>-0.8850484360866833</v>
      </c>
      <c r="G282" s="5" t="n">
        <v>1</v>
      </c>
      <c r="H282" s="5" t="n">
        <v>0</v>
      </c>
      <c r="I282" s="5" t="n">
        <v>0</v>
      </c>
      <c r="J282" s="5" t="n">
        <v>0</v>
      </c>
      <c r="K282" s="5" t="n">
        <v>0</v>
      </c>
      <c r="L282" s="5" t="n">
        <v>0</v>
      </c>
      <c r="M282" s="5" t="n">
        <v>0</v>
      </c>
      <c r="N282" s="5" t="n">
        <v>0</v>
      </c>
      <c r="O282" s="5" t="n">
        <v>1</v>
      </c>
      <c r="P282" s="5" t="n">
        <v>0</v>
      </c>
      <c r="Q282" s="5" t="n">
        <v>0</v>
      </c>
      <c r="R282" s="5" t="n">
        <v>0</v>
      </c>
      <c r="S282" s="5" t="n">
        <v>0</v>
      </c>
      <c r="T282" s="5" t="n">
        <v>1</v>
      </c>
      <c r="U282" s="5" t="inlineStr">
        <is>
          <t>training</t>
        </is>
      </c>
      <c r="V282" s="5" t="n">
        <v>0</v>
      </c>
    </row>
    <row r="283">
      <c r="A283" s="5" t="n">
        <v>279</v>
      </c>
      <c r="B283" s="5" t="n">
        <v>1</v>
      </c>
      <c r="C283" s="6" t="n">
        <v>-1.241254722473026</v>
      </c>
      <c r="D283" s="6" t="n">
        <v>0.4759605961801572</v>
      </c>
      <c r="E283" s="6" t="n">
        <v>-0.307884493270947</v>
      </c>
      <c r="F283" s="6" t="n">
        <v>-1.786844513613144</v>
      </c>
      <c r="G283" s="5" t="n">
        <v>0</v>
      </c>
      <c r="H283" s="5" t="n">
        <v>0</v>
      </c>
      <c r="I283" s="5" t="n">
        <v>0</v>
      </c>
      <c r="J283" s="5" t="n">
        <v>0</v>
      </c>
      <c r="K283" s="5" t="n">
        <v>0</v>
      </c>
      <c r="L283" s="5" t="n">
        <v>0</v>
      </c>
      <c r="M283" s="5" t="n">
        <v>0</v>
      </c>
      <c r="N283" s="5" t="n">
        <v>0</v>
      </c>
      <c r="O283" s="5" t="n">
        <v>0</v>
      </c>
      <c r="P283" s="5" t="n">
        <v>0</v>
      </c>
      <c r="Q283" s="5" t="n">
        <v>0</v>
      </c>
      <c r="R283" s="5" t="n">
        <v>0</v>
      </c>
      <c r="S283" s="5" t="n">
        <v>0</v>
      </c>
      <c r="T283" s="5" t="n">
        <v>1</v>
      </c>
      <c r="U283" s="5" t="inlineStr">
        <is>
          <t>testing</t>
        </is>
      </c>
      <c r="V283" s="5" t="n">
        <v>0</v>
      </c>
    </row>
    <row r="284">
      <c r="A284" s="5" t="n">
        <v>280</v>
      </c>
      <c r="B284" s="5" t="n">
        <v>0</v>
      </c>
      <c r="C284" s="6" t="n">
        <v>0.275406400796963</v>
      </c>
      <c r="D284" s="6" t="n">
        <v>-0.4722487340366725</v>
      </c>
      <c r="E284" s="6" t="n">
        <v>-0.5688035553649698</v>
      </c>
      <c r="F284" s="6" t="n">
        <v>0.9185437189662378</v>
      </c>
      <c r="G284" s="5" t="n">
        <v>0</v>
      </c>
      <c r="H284" s="5" t="n">
        <v>0</v>
      </c>
      <c r="I284" s="5" t="n">
        <v>0</v>
      </c>
      <c r="J284" s="5" t="n">
        <v>0</v>
      </c>
      <c r="K284" s="5" t="n">
        <v>0</v>
      </c>
      <c r="L284" s="5" t="n">
        <v>0</v>
      </c>
      <c r="M284" s="5" t="n">
        <v>1</v>
      </c>
      <c r="N284" s="5" t="n">
        <v>0</v>
      </c>
      <c r="O284" s="5" t="n">
        <v>0</v>
      </c>
      <c r="P284" s="5" t="n">
        <v>1</v>
      </c>
      <c r="Q284" s="5" t="n">
        <v>0</v>
      </c>
      <c r="R284" s="5" t="n">
        <v>0</v>
      </c>
      <c r="S284" s="5" t="n">
        <v>1</v>
      </c>
      <c r="T284" s="5" t="n">
        <v>0</v>
      </c>
      <c r="U284" s="5" t="inlineStr">
        <is>
          <t>testing</t>
        </is>
      </c>
      <c r="V284" s="5" t="n">
        <v>0</v>
      </c>
    </row>
    <row r="285">
      <c r="A285" s="5" t="n">
        <v>281</v>
      </c>
      <c r="B285" s="5" t="n">
        <v>0</v>
      </c>
      <c r="C285" s="6" t="n">
        <v>-0.4829241608380317</v>
      </c>
      <c r="D285" s="6" t="n">
        <v>0.04104391815081428</v>
      </c>
      <c r="E285" s="6" t="n">
        <v>-1.090641679553016</v>
      </c>
      <c r="F285" s="6" t="n">
        <v>0.01674764143977723</v>
      </c>
      <c r="G285" s="5" t="n">
        <v>0</v>
      </c>
      <c r="H285" s="5" t="n">
        <v>0</v>
      </c>
      <c r="I285" s="5" t="n">
        <v>0</v>
      </c>
      <c r="J285" s="5" t="n">
        <v>1</v>
      </c>
      <c r="K285" s="5" t="n">
        <v>0</v>
      </c>
      <c r="L285" s="5" t="n">
        <v>0</v>
      </c>
      <c r="M285" s="5" t="n">
        <v>0</v>
      </c>
      <c r="N285" s="5" t="n">
        <v>1</v>
      </c>
      <c r="O285" s="5" t="n">
        <v>0</v>
      </c>
      <c r="P285" s="5" t="n">
        <v>1</v>
      </c>
      <c r="Q285" s="5" t="n">
        <v>0</v>
      </c>
      <c r="R285" s="5" t="n">
        <v>1</v>
      </c>
      <c r="S285" s="5" t="n">
        <v>0</v>
      </c>
      <c r="T285" s="5" t="n">
        <v>0</v>
      </c>
      <c r="U285" s="5" t="inlineStr">
        <is>
          <t>testing</t>
        </is>
      </c>
      <c r="V285" s="5" t="n">
        <v>0</v>
      </c>
    </row>
    <row r="286">
      <c r="A286" s="5" t="n">
        <v>282</v>
      </c>
      <c r="B286" s="5" t="n">
        <v>0</v>
      </c>
      <c r="C286" s="6" t="n">
        <v>-0.7357010147163632</v>
      </c>
      <c r="D286" s="6" t="n">
        <v>-0.5866636605978914</v>
      </c>
      <c r="E286" s="6" t="n">
        <v>1.257629879293191</v>
      </c>
      <c r="F286" s="6" t="n">
        <v>0.9185437189662378</v>
      </c>
      <c r="G286" s="5" t="n">
        <v>0</v>
      </c>
      <c r="H286" s="5" t="n">
        <v>0</v>
      </c>
      <c r="I286" s="5" t="n">
        <v>0</v>
      </c>
      <c r="J286" s="5" t="n">
        <v>0</v>
      </c>
      <c r="K286" s="5" t="n">
        <v>0</v>
      </c>
      <c r="L286" s="5" t="n">
        <v>0</v>
      </c>
      <c r="M286" s="5" t="n">
        <v>0</v>
      </c>
      <c r="N286" s="5" t="n">
        <v>0</v>
      </c>
      <c r="O286" s="5" t="n">
        <v>0</v>
      </c>
      <c r="P286" s="5" t="n">
        <v>0</v>
      </c>
      <c r="Q286" s="5" t="n">
        <v>0</v>
      </c>
      <c r="R286" s="5" t="n">
        <v>0</v>
      </c>
      <c r="S286" s="5" t="n">
        <v>0</v>
      </c>
      <c r="T286" s="5" t="n">
        <v>1</v>
      </c>
      <c r="U286" s="5" t="inlineStr">
        <is>
          <t>training</t>
        </is>
      </c>
      <c r="V286" s="5" t="n">
        <v>1</v>
      </c>
    </row>
    <row r="287">
      <c r="A287" s="5" t="n">
        <v>283</v>
      </c>
      <c r="B287" s="5" t="n">
        <v>0</v>
      </c>
      <c r="C287" s="6" t="n">
        <v>-0.2301473069597001</v>
      </c>
      <c r="D287" s="6" t="n">
        <v>-0.6317998242871796</v>
      </c>
      <c r="E287" s="6" t="n">
        <v>1.170656858595183</v>
      </c>
      <c r="F287" s="6" t="n">
        <v>0.9185437189662378</v>
      </c>
      <c r="G287" s="5" t="n">
        <v>0</v>
      </c>
      <c r="H287" s="5" t="n">
        <v>0</v>
      </c>
      <c r="I287" s="5" t="n">
        <v>1</v>
      </c>
      <c r="J287" s="5" t="n">
        <v>0</v>
      </c>
      <c r="K287" s="5" t="n">
        <v>0</v>
      </c>
      <c r="L287" s="5" t="n">
        <v>1</v>
      </c>
      <c r="M287" s="5" t="n">
        <v>0</v>
      </c>
      <c r="N287" s="5" t="n">
        <v>0</v>
      </c>
      <c r="O287" s="5" t="n">
        <v>1</v>
      </c>
      <c r="P287" s="5" t="n">
        <v>0</v>
      </c>
      <c r="Q287" s="5" t="n">
        <v>0</v>
      </c>
      <c r="R287" s="5" t="n">
        <v>0</v>
      </c>
      <c r="S287" s="5" t="n">
        <v>1</v>
      </c>
      <c r="T287" s="5" t="n">
        <v>0</v>
      </c>
      <c r="U287" s="5" t="inlineStr">
        <is>
          <t>training</t>
        </is>
      </c>
      <c r="V287" s="5" t="n">
        <v>0</v>
      </c>
    </row>
    <row r="288">
      <c r="A288" s="5" t="n">
        <v>284</v>
      </c>
      <c r="B288" s="5" t="n">
        <v>0</v>
      </c>
      <c r="C288" s="6" t="n">
        <v>-0.4829241608380317</v>
      </c>
      <c r="D288" s="6" t="n">
        <v>-0.6055578686538726</v>
      </c>
      <c r="E288" s="6" t="n">
        <v>2.38827914836729</v>
      </c>
      <c r="F288" s="6" t="n">
        <v>0.9185437189662378</v>
      </c>
      <c r="G288" s="5" t="n">
        <v>0</v>
      </c>
      <c r="H288" s="5" t="n">
        <v>0</v>
      </c>
      <c r="I288" s="5" t="n">
        <v>0</v>
      </c>
      <c r="J288" s="5" t="n">
        <v>1</v>
      </c>
      <c r="K288" s="5" t="n">
        <v>0</v>
      </c>
      <c r="L288" s="5" t="n">
        <v>0</v>
      </c>
      <c r="M288" s="5" t="n">
        <v>0</v>
      </c>
      <c r="N288" s="5" t="n">
        <v>0</v>
      </c>
      <c r="O288" s="5" t="n">
        <v>1</v>
      </c>
      <c r="P288" s="5" t="n">
        <v>0</v>
      </c>
      <c r="Q288" s="5" t="n">
        <v>0</v>
      </c>
      <c r="R288" s="5" t="n">
        <v>0</v>
      </c>
      <c r="S288" s="5" t="n">
        <v>0</v>
      </c>
      <c r="T288" s="5" t="n">
        <v>1</v>
      </c>
      <c r="U288" s="5" t="inlineStr">
        <is>
          <t>training</t>
        </is>
      </c>
      <c r="V288" s="5" t="n">
        <v>1</v>
      </c>
    </row>
    <row r="289">
      <c r="A289" s="5" t="n">
        <v>285</v>
      </c>
      <c r="B289" s="5" t="n">
        <v>0</v>
      </c>
      <c r="C289" s="6" t="n">
        <v>0.275406400796963</v>
      </c>
      <c r="D289" s="6" t="n">
        <v>0.2194892164573025</v>
      </c>
      <c r="E289" s="6" t="n">
        <v>0.1269806102190912</v>
      </c>
      <c r="F289" s="6" t="n">
        <v>0.9185437189662378</v>
      </c>
      <c r="G289" s="5" t="n">
        <v>0</v>
      </c>
      <c r="H289" s="5" t="n">
        <v>1</v>
      </c>
      <c r="I289" s="5" t="n">
        <v>0</v>
      </c>
      <c r="J289" s="5" t="n">
        <v>1</v>
      </c>
      <c r="K289" s="5" t="n">
        <v>0</v>
      </c>
      <c r="L289" s="5" t="n">
        <v>0</v>
      </c>
      <c r="M289" s="5" t="n">
        <v>1</v>
      </c>
      <c r="N289" s="5" t="n">
        <v>0</v>
      </c>
      <c r="O289" s="5" t="n">
        <v>0</v>
      </c>
      <c r="P289" s="5" t="n">
        <v>0</v>
      </c>
      <c r="Q289" s="5" t="n">
        <v>0</v>
      </c>
      <c r="R289" s="5" t="n">
        <v>1</v>
      </c>
      <c r="S289" s="5" t="n">
        <v>0</v>
      </c>
      <c r="T289" s="5" t="n">
        <v>0</v>
      </c>
      <c r="U289" s="5" t="inlineStr">
        <is>
          <t>training</t>
        </is>
      </c>
      <c r="V289" s="5" t="n">
        <v>1</v>
      </c>
    </row>
    <row r="290">
      <c r="A290" s="5" t="n">
        <v>286</v>
      </c>
      <c r="B290" s="5" t="n">
        <v>0</v>
      </c>
      <c r="C290" s="6" t="n">
        <v>2.213362280530838</v>
      </c>
      <c r="D290" s="6" t="n">
        <v>2.61415514118202</v>
      </c>
      <c r="E290" s="6" t="n">
        <v>-0.04696543117692405</v>
      </c>
      <c r="F290" s="6" t="n">
        <v>-1.786844513613144</v>
      </c>
      <c r="G290" s="5" t="n">
        <v>1</v>
      </c>
      <c r="H290" s="5" t="n">
        <v>0</v>
      </c>
      <c r="I290" s="5" t="n">
        <v>0</v>
      </c>
      <c r="J290" s="5" t="n">
        <v>0</v>
      </c>
      <c r="K290" s="5" t="n">
        <v>0</v>
      </c>
      <c r="L290" s="5" t="n">
        <v>0</v>
      </c>
      <c r="M290" s="5" t="n">
        <v>0</v>
      </c>
      <c r="N290" s="5" t="n">
        <v>0</v>
      </c>
      <c r="O290" s="5" t="n">
        <v>0</v>
      </c>
      <c r="P290" s="5" t="n">
        <v>0</v>
      </c>
      <c r="Q290" s="5" t="n">
        <v>0</v>
      </c>
      <c r="R290" s="5" t="n">
        <v>1</v>
      </c>
      <c r="S290" s="5" t="n">
        <v>0</v>
      </c>
      <c r="T290" s="5" t="n">
        <v>0</v>
      </c>
      <c r="U290" s="5" t="inlineStr">
        <is>
          <t>testing</t>
        </is>
      </c>
      <c r="V290" s="5" t="n">
        <v>0</v>
      </c>
    </row>
    <row r="291">
      <c r="A291" s="5" t="n">
        <v>287</v>
      </c>
      <c r="B291" s="5" t="n">
        <v>0</v>
      </c>
      <c r="C291" s="6" t="n">
        <v>2.297621231823615</v>
      </c>
      <c r="D291" s="6" t="n">
        <v>0.5378916114747619</v>
      </c>
      <c r="E291" s="6" t="n">
        <v>-0.8297226174589928</v>
      </c>
      <c r="F291" s="6" t="n">
        <v>0.9185437189662378</v>
      </c>
      <c r="G291" s="5" t="n">
        <v>1</v>
      </c>
      <c r="H291" s="5" t="n">
        <v>0</v>
      </c>
      <c r="I291" s="5" t="n">
        <v>0</v>
      </c>
      <c r="J291" s="5" t="n">
        <v>0</v>
      </c>
      <c r="K291" s="5" t="n">
        <v>0</v>
      </c>
      <c r="L291" s="5" t="n">
        <v>0</v>
      </c>
      <c r="M291" s="5" t="n">
        <v>0</v>
      </c>
      <c r="N291" s="5" t="n">
        <v>0</v>
      </c>
      <c r="O291" s="5" t="n">
        <v>0</v>
      </c>
      <c r="P291" s="5" t="n">
        <v>0</v>
      </c>
      <c r="Q291" s="5" t="n">
        <v>0</v>
      </c>
      <c r="R291" s="5" t="n">
        <v>1</v>
      </c>
      <c r="S291" s="5" t="n">
        <v>0</v>
      </c>
      <c r="T291" s="5" t="n">
        <v>0</v>
      </c>
      <c r="U291" s="5" t="inlineStr">
        <is>
          <t>training</t>
        </is>
      </c>
      <c r="V291" s="5" t="n">
        <v>1</v>
      </c>
    </row>
    <row r="292">
      <c r="A292" s="5" t="n">
        <v>288</v>
      </c>
      <c r="B292" s="5" t="n">
        <v>0</v>
      </c>
      <c r="C292" s="6" t="n">
        <v>2.297621231823615</v>
      </c>
      <c r="D292" s="6" t="n">
        <v>1.515491932000896</v>
      </c>
      <c r="E292" s="6" t="n">
        <v>-0.3948575139689546</v>
      </c>
      <c r="F292" s="6" t="n">
        <v>-0.8850484360866833</v>
      </c>
      <c r="G292" s="5" t="n">
        <v>0</v>
      </c>
      <c r="H292" s="5" t="n">
        <v>1</v>
      </c>
      <c r="I292" s="5" t="n">
        <v>0</v>
      </c>
      <c r="J292" s="5" t="n">
        <v>0</v>
      </c>
      <c r="K292" s="5" t="n">
        <v>1</v>
      </c>
      <c r="L292" s="5" t="n">
        <v>0</v>
      </c>
      <c r="M292" s="5" t="n">
        <v>1</v>
      </c>
      <c r="N292" s="5" t="n">
        <v>0</v>
      </c>
      <c r="O292" s="5" t="n">
        <v>0</v>
      </c>
      <c r="P292" s="5" t="n">
        <v>0</v>
      </c>
      <c r="Q292" s="5" t="n">
        <v>1</v>
      </c>
      <c r="R292" s="5" t="n">
        <v>0</v>
      </c>
      <c r="S292" s="5" t="n">
        <v>0</v>
      </c>
      <c r="T292" s="5" t="n">
        <v>0</v>
      </c>
      <c r="U292" s="5" t="inlineStr">
        <is>
          <t>testing</t>
        </is>
      </c>
      <c r="V292" s="5" t="n">
        <v>0</v>
      </c>
    </row>
    <row r="293">
      <c r="A293" s="5" t="n">
        <v>289</v>
      </c>
      <c r="B293" s="5" t="n">
        <v>0</v>
      </c>
      <c r="C293" s="6" t="n">
        <v>-0.7357010147163632</v>
      </c>
      <c r="D293" s="6" t="n">
        <v>-0.7553119621346117</v>
      </c>
      <c r="E293" s="6" t="n">
        <v>1.170656858595183</v>
      </c>
      <c r="F293" s="6" t="n">
        <v>0.9185437189662378</v>
      </c>
      <c r="G293" s="5" t="n">
        <v>0</v>
      </c>
      <c r="H293" s="5" t="n">
        <v>1</v>
      </c>
      <c r="I293" s="5" t="n">
        <v>0</v>
      </c>
      <c r="J293" s="5" t="n">
        <v>0</v>
      </c>
      <c r="K293" s="5" t="n">
        <v>0</v>
      </c>
      <c r="L293" s="5" t="n">
        <v>0</v>
      </c>
      <c r="M293" s="5" t="n">
        <v>0</v>
      </c>
      <c r="N293" s="5" t="n">
        <v>0</v>
      </c>
      <c r="O293" s="5" t="n">
        <v>0</v>
      </c>
      <c r="P293" s="5" t="n">
        <v>0</v>
      </c>
      <c r="Q293" s="5" t="n">
        <v>0</v>
      </c>
      <c r="R293" s="5" t="n">
        <v>0</v>
      </c>
      <c r="S293" s="5" t="n">
        <v>1</v>
      </c>
      <c r="T293" s="5" t="n">
        <v>0</v>
      </c>
      <c r="U293" s="5" t="inlineStr">
        <is>
          <t>testing</t>
        </is>
      </c>
      <c r="V293" s="5" t="n">
        <v>0</v>
      </c>
    </row>
    <row r="294">
      <c r="A294" s="5" t="n">
        <v>290</v>
      </c>
      <c r="B294" s="5" t="n">
        <v>1</v>
      </c>
      <c r="C294" s="6" t="n">
        <v>0.275406400796963</v>
      </c>
      <c r="D294" s="6" t="n">
        <v>-0.7791046685754768</v>
      </c>
      <c r="E294" s="6" t="n">
        <v>1.083683837897175</v>
      </c>
      <c r="F294" s="6" t="n">
        <v>0.9185437189662378</v>
      </c>
      <c r="G294" s="5" t="n">
        <v>1</v>
      </c>
      <c r="H294" s="5" t="n">
        <v>0</v>
      </c>
      <c r="I294" s="5" t="n">
        <v>0</v>
      </c>
      <c r="J294" s="5" t="n">
        <v>0</v>
      </c>
      <c r="K294" s="5" t="n">
        <v>1</v>
      </c>
      <c r="L294" s="5" t="n">
        <v>0</v>
      </c>
      <c r="M294" s="5" t="n">
        <v>0</v>
      </c>
      <c r="N294" s="5" t="n">
        <v>0</v>
      </c>
      <c r="O294" s="5" t="n">
        <v>0</v>
      </c>
      <c r="P294" s="5" t="n">
        <v>0</v>
      </c>
      <c r="Q294" s="5" t="n">
        <v>0</v>
      </c>
      <c r="R294" s="5" t="n">
        <v>0</v>
      </c>
      <c r="S294" s="5" t="n">
        <v>1</v>
      </c>
      <c r="T294" s="5" t="n">
        <v>0</v>
      </c>
      <c r="U294" s="5" t="inlineStr">
        <is>
          <t>training</t>
        </is>
      </c>
      <c r="V294" s="5" t="n">
        <v>1</v>
      </c>
    </row>
    <row r="295">
      <c r="A295" s="5" t="n">
        <v>291</v>
      </c>
      <c r="B295" s="5" t="n">
        <v>0</v>
      </c>
      <c r="C295" s="6" t="n">
        <v>-0.7357010147163632</v>
      </c>
      <c r="D295" s="6" t="n">
        <v>-0.7609102460030506</v>
      </c>
      <c r="E295" s="6" t="n">
        <v>-0.8297226174589928</v>
      </c>
      <c r="F295" s="6" t="n">
        <v>-0.8850484360866833</v>
      </c>
      <c r="G295" s="5" t="n">
        <v>0</v>
      </c>
      <c r="H295" s="5" t="n">
        <v>0</v>
      </c>
      <c r="I295" s="5" t="n">
        <v>0</v>
      </c>
      <c r="J295" s="5" t="n">
        <v>0</v>
      </c>
      <c r="K295" s="5" t="n">
        <v>0</v>
      </c>
      <c r="L295" s="5" t="n">
        <v>0</v>
      </c>
      <c r="M295" s="5" t="n">
        <v>0</v>
      </c>
      <c r="N295" s="5" t="n">
        <v>0</v>
      </c>
      <c r="O295" s="5" t="n">
        <v>0</v>
      </c>
      <c r="P295" s="5" t="n">
        <v>0</v>
      </c>
      <c r="Q295" s="5" t="n">
        <v>0</v>
      </c>
      <c r="R295" s="5" t="n">
        <v>0</v>
      </c>
      <c r="S295" s="5" t="n">
        <v>0</v>
      </c>
      <c r="T295" s="5" t="n">
        <v>0</v>
      </c>
      <c r="U295" s="5" t="inlineStr">
        <is>
          <t>training</t>
        </is>
      </c>
      <c r="V295" s="5" t="n">
        <v>0</v>
      </c>
    </row>
    <row r="296">
      <c r="A296" s="5" t="n">
        <v>292</v>
      </c>
      <c r="B296" s="5" t="n">
        <v>1</v>
      </c>
      <c r="C296" s="6" t="n">
        <v>1.286513816310289</v>
      </c>
      <c r="D296" s="6" t="n">
        <v>2.150897151068705</v>
      </c>
      <c r="E296" s="6" t="n">
        <v>-0.6557765760629775</v>
      </c>
      <c r="F296" s="6" t="n">
        <v>-1.786844513613144</v>
      </c>
      <c r="G296" s="5" t="n">
        <v>0</v>
      </c>
      <c r="H296" s="5" t="n">
        <v>1</v>
      </c>
      <c r="I296" s="5" t="n">
        <v>0</v>
      </c>
      <c r="J296" s="5" t="n">
        <v>0</v>
      </c>
      <c r="K296" s="5" t="n">
        <v>0</v>
      </c>
      <c r="L296" s="5" t="n">
        <v>0</v>
      </c>
      <c r="M296" s="5" t="n">
        <v>0</v>
      </c>
      <c r="N296" s="5" t="n">
        <v>0</v>
      </c>
      <c r="O296" s="5" t="n">
        <v>0</v>
      </c>
      <c r="P296" s="5" t="n">
        <v>1</v>
      </c>
      <c r="Q296" s="5" t="n">
        <v>0</v>
      </c>
      <c r="R296" s="5" t="n">
        <v>1</v>
      </c>
      <c r="S296" s="5" t="n">
        <v>0</v>
      </c>
      <c r="T296" s="5" t="n">
        <v>0</v>
      </c>
      <c r="U296" s="5" t="inlineStr">
        <is>
          <t>training</t>
        </is>
      </c>
      <c r="V296" s="5" t="n">
        <v>1</v>
      </c>
    </row>
    <row r="297">
      <c r="A297" s="5" t="n">
        <v>293</v>
      </c>
      <c r="B297" s="5" t="n">
        <v>0</v>
      </c>
      <c r="C297" s="6" t="n">
        <v>0.275406400796963</v>
      </c>
      <c r="D297" s="6" t="n">
        <v>1.108566673313747</v>
      </c>
      <c r="E297" s="6" t="n">
        <v>0.7357917551051447</v>
      </c>
      <c r="F297" s="6" t="n">
        <v>-0.8850484360866833</v>
      </c>
      <c r="G297" s="5" t="n">
        <v>1</v>
      </c>
      <c r="H297" s="5" t="n">
        <v>0</v>
      </c>
      <c r="I297" s="5" t="n">
        <v>0</v>
      </c>
      <c r="J297" s="5" t="n">
        <v>1</v>
      </c>
      <c r="K297" s="5" t="n">
        <v>0</v>
      </c>
      <c r="L297" s="5" t="n">
        <v>0</v>
      </c>
      <c r="M297" s="5" t="n">
        <v>0</v>
      </c>
      <c r="N297" s="5" t="n">
        <v>0</v>
      </c>
      <c r="O297" s="5" t="n">
        <v>0</v>
      </c>
      <c r="P297" s="5" t="n">
        <v>0</v>
      </c>
      <c r="Q297" s="5" t="n">
        <v>1</v>
      </c>
      <c r="R297" s="5" t="n">
        <v>1</v>
      </c>
      <c r="S297" s="5" t="n">
        <v>0</v>
      </c>
      <c r="T297" s="5" t="n">
        <v>0</v>
      </c>
      <c r="U297" s="5" t="inlineStr">
        <is>
          <t>training</t>
        </is>
      </c>
      <c r="V297" s="5" t="n">
        <v>1</v>
      </c>
    </row>
    <row r="298">
      <c r="A298" s="5" t="n">
        <v>294</v>
      </c>
      <c r="B298" s="5" t="n">
        <v>0</v>
      </c>
      <c r="C298" s="6" t="n">
        <v>1.792067524066952</v>
      </c>
      <c r="D298" s="6" t="n">
        <v>0.5406907534089814</v>
      </c>
      <c r="E298" s="6" t="n">
        <v>1.779468003481236</v>
      </c>
      <c r="F298" s="6" t="n">
        <v>0.9185437189662378</v>
      </c>
      <c r="G298" s="5" t="n">
        <v>0</v>
      </c>
      <c r="H298" s="5" t="n">
        <v>0</v>
      </c>
      <c r="I298" s="5" t="n">
        <v>1</v>
      </c>
      <c r="J298" s="5" t="n">
        <v>1</v>
      </c>
      <c r="K298" s="5" t="n">
        <v>0</v>
      </c>
      <c r="L298" s="5" t="n">
        <v>0</v>
      </c>
      <c r="M298" s="5" t="n">
        <v>0</v>
      </c>
      <c r="N298" s="5" t="n">
        <v>0</v>
      </c>
      <c r="O298" s="5" t="n">
        <v>0</v>
      </c>
      <c r="P298" s="5" t="n">
        <v>0</v>
      </c>
      <c r="Q298" s="5" t="n">
        <v>1</v>
      </c>
      <c r="R298" s="5" t="n">
        <v>1</v>
      </c>
      <c r="S298" s="5" t="n">
        <v>0</v>
      </c>
      <c r="T298" s="5" t="n">
        <v>0</v>
      </c>
      <c r="U298" s="5" t="inlineStr">
        <is>
          <t>training</t>
        </is>
      </c>
      <c r="V298" s="5" t="n">
        <v>0</v>
      </c>
    </row>
    <row r="299">
      <c r="A299" s="5" t="n">
        <v>295</v>
      </c>
      <c r="B299" s="5" t="n">
        <v>0</v>
      </c>
      <c r="C299" s="6" t="n">
        <v>2.297621231823615</v>
      </c>
      <c r="D299" s="6" t="n">
        <v>1.531936890864435</v>
      </c>
      <c r="E299" s="6" t="n">
        <v>0.9097377965011599</v>
      </c>
      <c r="F299" s="6" t="n">
        <v>0.9185437189662378</v>
      </c>
      <c r="G299" s="5" t="n">
        <v>0</v>
      </c>
      <c r="H299" s="5" t="n">
        <v>0</v>
      </c>
      <c r="I299" s="5" t="n">
        <v>0</v>
      </c>
      <c r="J299" s="5" t="n">
        <v>1</v>
      </c>
      <c r="K299" s="5" t="n">
        <v>0</v>
      </c>
      <c r="L299" s="5" t="n">
        <v>0</v>
      </c>
      <c r="M299" s="5" t="n">
        <v>0</v>
      </c>
      <c r="N299" s="5" t="n">
        <v>0</v>
      </c>
      <c r="O299" s="5" t="n">
        <v>1</v>
      </c>
      <c r="P299" s="5" t="n">
        <v>0</v>
      </c>
      <c r="Q299" s="5" t="n">
        <v>0</v>
      </c>
      <c r="R299" s="5" t="n">
        <v>0</v>
      </c>
      <c r="S299" s="5" t="n">
        <v>0</v>
      </c>
      <c r="T299" s="5" t="n">
        <v>0</v>
      </c>
      <c r="U299" s="5" t="inlineStr">
        <is>
          <t>training</t>
        </is>
      </c>
      <c r="V299" s="5" t="n">
        <v>0</v>
      </c>
    </row>
    <row r="300">
      <c r="A300" s="5" t="n">
        <v>296</v>
      </c>
      <c r="B300" s="5" t="n">
        <v>1</v>
      </c>
      <c r="C300" s="6" t="n">
        <v>2.297621231823615</v>
      </c>
      <c r="D300" s="6" t="n">
        <v>2.347536871947619</v>
      </c>
      <c r="E300" s="6" t="n">
        <v>-0.8297226174589928</v>
      </c>
      <c r="F300" s="6" t="n">
        <v>-1.786844513613144</v>
      </c>
      <c r="G300" s="5" t="n">
        <v>0</v>
      </c>
      <c r="H300" s="5" t="n">
        <v>1</v>
      </c>
      <c r="I300" s="5" t="n">
        <v>0</v>
      </c>
      <c r="J300" s="5" t="n">
        <v>0</v>
      </c>
      <c r="K300" s="5" t="n">
        <v>0</v>
      </c>
      <c r="L300" s="5" t="n">
        <v>0</v>
      </c>
      <c r="M300" s="5" t="n">
        <v>0</v>
      </c>
      <c r="N300" s="5" t="n">
        <v>0</v>
      </c>
      <c r="O300" s="5" t="n">
        <v>0</v>
      </c>
      <c r="P300" s="5" t="n">
        <v>0</v>
      </c>
      <c r="Q300" s="5" t="n">
        <v>0</v>
      </c>
      <c r="R300" s="5" t="n">
        <v>0</v>
      </c>
      <c r="S300" s="5" t="n">
        <v>0</v>
      </c>
      <c r="T300" s="5" t="n">
        <v>1</v>
      </c>
      <c r="U300" s="5" t="inlineStr">
        <is>
          <t>testing</t>
        </is>
      </c>
      <c r="V300" s="5" t="n">
        <v>0</v>
      </c>
    </row>
    <row r="301">
      <c r="A301" s="5" t="n">
        <v>297</v>
      </c>
      <c r="B301" s="5" t="n">
        <v>0</v>
      </c>
      <c r="C301" s="6" t="n">
        <v>-0.7357010147163632</v>
      </c>
      <c r="D301" s="6" t="n">
        <v>0.4983537316539126</v>
      </c>
      <c r="E301" s="6" t="n">
        <v>-1.351560741647039</v>
      </c>
      <c r="F301" s="6" t="n">
        <v>-1.786844513613144</v>
      </c>
      <c r="G301" s="5" t="n">
        <v>0</v>
      </c>
      <c r="H301" s="5" t="n">
        <v>0</v>
      </c>
      <c r="I301" s="5" t="n">
        <v>0</v>
      </c>
      <c r="J301" s="5" t="n">
        <v>0</v>
      </c>
      <c r="K301" s="5" t="n">
        <v>0</v>
      </c>
      <c r="L301" s="5" t="n">
        <v>0</v>
      </c>
      <c r="M301" s="5" t="n">
        <v>0</v>
      </c>
      <c r="N301" s="5" t="n">
        <v>0</v>
      </c>
      <c r="O301" s="5" t="n">
        <v>1</v>
      </c>
      <c r="P301" s="5" t="n">
        <v>1</v>
      </c>
      <c r="Q301" s="5" t="n">
        <v>0</v>
      </c>
      <c r="R301" s="5" t="n">
        <v>1</v>
      </c>
      <c r="S301" s="5" t="n">
        <v>0</v>
      </c>
      <c r="T301" s="5" t="n">
        <v>0</v>
      </c>
      <c r="U301" s="5" t="inlineStr">
        <is>
          <t>training</t>
        </is>
      </c>
      <c r="V301" s="5" t="n">
        <v>0</v>
      </c>
    </row>
    <row r="302">
      <c r="A302" s="5" t="n">
        <v>298</v>
      </c>
      <c r="B302" s="5" t="n">
        <v>0</v>
      </c>
      <c r="C302" s="6" t="n">
        <v>-0.9042189173019176</v>
      </c>
      <c r="D302" s="6" t="n">
        <v>-0.6870828774880133</v>
      </c>
      <c r="E302" s="6" t="n">
        <v>0.8227647758031523</v>
      </c>
      <c r="F302" s="6" t="n">
        <v>0.9185437189662378</v>
      </c>
      <c r="G302" s="5" t="n">
        <v>0</v>
      </c>
      <c r="H302" s="5" t="n">
        <v>0</v>
      </c>
      <c r="I302" s="5" t="n">
        <v>0</v>
      </c>
      <c r="J302" s="5" t="n">
        <v>0</v>
      </c>
      <c r="K302" s="5" t="n">
        <v>0</v>
      </c>
      <c r="L302" s="5" t="n">
        <v>0</v>
      </c>
      <c r="M302" s="5" t="n">
        <v>0</v>
      </c>
      <c r="N302" s="5" t="n">
        <v>0</v>
      </c>
      <c r="O302" s="5" t="n">
        <v>1</v>
      </c>
      <c r="P302" s="5" t="n">
        <v>0</v>
      </c>
      <c r="Q302" s="5" t="n">
        <v>0</v>
      </c>
      <c r="R302" s="5" t="n">
        <v>1</v>
      </c>
      <c r="S302" s="5" t="n">
        <v>0</v>
      </c>
      <c r="T302" s="5" t="n">
        <v>0</v>
      </c>
      <c r="U302" s="5" t="inlineStr">
        <is>
          <t>testing</t>
        </is>
      </c>
      <c r="V302" s="5" t="n">
        <v>0</v>
      </c>
    </row>
    <row r="303">
      <c r="A303" s="5" t="n">
        <v>299</v>
      </c>
      <c r="B303" s="5" t="n">
        <v>0</v>
      </c>
      <c r="C303" s="6" t="n">
        <v>-0.2301473069597001</v>
      </c>
      <c r="D303" s="6" t="n">
        <v>-0.2574145905853318</v>
      </c>
      <c r="E303" s="6" t="n">
        <v>0.648818734407137</v>
      </c>
      <c r="F303" s="6" t="n">
        <v>0.01674764143977723</v>
      </c>
      <c r="G303" s="5" t="n">
        <v>0</v>
      </c>
      <c r="H303" s="5" t="n">
        <v>0</v>
      </c>
      <c r="I303" s="5" t="n">
        <v>0</v>
      </c>
      <c r="J303" s="5" t="n">
        <v>0</v>
      </c>
      <c r="K303" s="5" t="n">
        <v>0</v>
      </c>
      <c r="L303" s="5" t="n">
        <v>0</v>
      </c>
      <c r="M303" s="5" t="n">
        <v>0</v>
      </c>
      <c r="N303" s="5" t="n">
        <v>0</v>
      </c>
      <c r="O303" s="5" t="n">
        <v>0</v>
      </c>
      <c r="P303" s="5" t="n">
        <v>0</v>
      </c>
      <c r="Q303" s="5" t="n">
        <v>0</v>
      </c>
      <c r="R303" s="5" t="n">
        <v>0</v>
      </c>
      <c r="S303" s="5" t="n">
        <v>0</v>
      </c>
      <c r="T303" s="5" t="n">
        <v>1</v>
      </c>
      <c r="U303" s="5" t="inlineStr">
        <is>
          <t>testing</t>
        </is>
      </c>
      <c r="V303" s="5" t="n">
        <v>0</v>
      </c>
    </row>
    <row r="304">
      <c r="A304" s="5" t="n">
        <v>300</v>
      </c>
      <c r="B304" s="5" t="n">
        <v>0</v>
      </c>
      <c r="C304" s="6" t="n">
        <v>0.02262954691863145</v>
      </c>
      <c r="D304" s="6" t="n">
        <v>-0.1769392599765233</v>
      </c>
      <c r="E304" s="6" t="n">
        <v>-0.307884493270947</v>
      </c>
      <c r="F304" s="6" t="n">
        <v>0.01674764143977723</v>
      </c>
      <c r="G304" s="5" t="n">
        <v>0</v>
      </c>
      <c r="H304" s="5" t="n">
        <v>1</v>
      </c>
      <c r="I304" s="5" t="n">
        <v>0</v>
      </c>
      <c r="J304" s="5" t="n">
        <v>1</v>
      </c>
      <c r="K304" s="5" t="n">
        <v>0</v>
      </c>
      <c r="L304" s="5" t="n">
        <v>0</v>
      </c>
      <c r="M304" s="5" t="n">
        <v>0</v>
      </c>
      <c r="N304" s="5" t="n">
        <v>1</v>
      </c>
      <c r="O304" s="5" t="n">
        <v>0</v>
      </c>
      <c r="P304" s="5" t="n">
        <v>0</v>
      </c>
      <c r="Q304" s="5" t="n">
        <v>0</v>
      </c>
      <c r="R304" s="5" t="n">
        <v>0</v>
      </c>
      <c r="S304" s="5" t="n">
        <v>0</v>
      </c>
      <c r="T304" s="5" t="n">
        <v>1</v>
      </c>
      <c r="U304" s="5" t="inlineStr">
        <is>
          <t>testing</t>
        </is>
      </c>
      <c r="V304" s="5" t="n">
        <v>0</v>
      </c>
    </row>
    <row r="305">
      <c r="A305" s="5" t="n">
        <v>301</v>
      </c>
      <c r="B305" s="5" t="n">
        <v>0</v>
      </c>
      <c r="C305" s="6" t="n">
        <v>-1.241254722473026</v>
      </c>
      <c r="D305" s="6" t="n">
        <v>-0.9022669136811314</v>
      </c>
      <c r="E305" s="6" t="n">
        <v>1.605521962085221</v>
      </c>
      <c r="F305" s="6" t="n">
        <v>-1.786844513613144</v>
      </c>
      <c r="G305" s="5" t="n">
        <v>0</v>
      </c>
      <c r="H305" s="5" t="n">
        <v>0</v>
      </c>
      <c r="I305" s="5" t="n">
        <v>0</v>
      </c>
      <c r="J305" s="5" t="n">
        <v>0</v>
      </c>
      <c r="K305" s="5" t="n">
        <v>0</v>
      </c>
      <c r="L305" s="5" t="n">
        <v>0</v>
      </c>
      <c r="M305" s="5" t="n">
        <v>0</v>
      </c>
      <c r="N305" s="5" t="n">
        <v>0</v>
      </c>
      <c r="O305" s="5" t="n">
        <v>0</v>
      </c>
      <c r="P305" s="5" t="n">
        <v>0</v>
      </c>
      <c r="Q305" s="5" t="n">
        <v>0</v>
      </c>
      <c r="R305" s="5" t="n">
        <v>1</v>
      </c>
      <c r="S305" s="5" t="n">
        <v>0</v>
      </c>
      <c r="T305" s="5" t="n">
        <v>0</v>
      </c>
      <c r="U305" s="5" t="inlineStr">
        <is>
          <t>training</t>
        </is>
      </c>
      <c r="V305" s="5" t="n">
        <v>0</v>
      </c>
    </row>
    <row r="306">
      <c r="A306" s="5" t="n">
        <v>302</v>
      </c>
      <c r="B306" s="5" t="n">
        <v>1</v>
      </c>
      <c r="C306" s="6" t="n">
        <v>1.286513816310289</v>
      </c>
      <c r="D306" s="6" t="n">
        <v>0.1935971535657729</v>
      </c>
      <c r="E306" s="6" t="n">
        <v>0.5618457137091294</v>
      </c>
      <c r="F306" s="6" t="n">
        <v>0.9185437189662378</v>
      </c>
      <c r="G306" s="5" t="n">
        <v>0</v>
      </c>
      <c r="H306" s="5" t="n">
        <v>1</v>
      </c>
      <c r="I306" s="5" t="n">
        <v>0</v>
      </c>
      <c r="J306" s="5" t="n">
        <v>0</v>
      </c>
      <c r="K306" s="5" t="n">
        <v>0</v>
      </c>
      <c r="L306" s="5" t="n">
        <v>1</v>
      </c>
      <c r="M306" s="5" t="n">
        <v>0</v>
      </c>
      <c r="N306" s="5" t="n">
        <v>0</v>
      </c>
      <c r="O306" s="5" t="n">
        <v>0</v>
      </c>
      <c r="P306" s="5" t="n">
        <v>0</v>
      </c>
      <c r="Q306" s="5" t="n">
        <v>0</v>
      </c>
      <c r="R306" s="5" t="n">
        <v>0</v>
      </c>
      <c r="S306" s="5" t="n">
        <v>1</v>
      </c>
      <c r="T306" s="5" t="n">
        <v>0</v>
      </c>
      <c r="U306" s="5" t="inlineStr">
        <is>
          <t>testing</t>
        </is>
      </c>
      <c r="V306" s="5" t="n">
        <v>0</v>
      </c>
    </row>
    <row r="307">
      <c r="A307" s="5" t="n">
        <v>303</v>
      </c>
      <c r="B307" s="5" t="n">
        <v>1</v>
      </c>
      <c r="C307" s="6" t="n">
        <v>0.275406400796963</v>
      </c>
      <c r="D307" s="6" t="n">
        <v>-0.6671389912066998</v>
      </c>
      <c r="E307" s="6" t="n">
        <v>0.1269806102190912</v>
      </c>
      <c r="F307" s="6" t="n">
        <v>0.9185437189662378</v>
      </c>
      <c r="G307" s="5" t="n">
        <v>0</v>
      </c>
      <c r="H307" s="5" t="n">
        <v>0</v>
      </c>
      <c r="I307" s="5" t="n">
        <v>1</v>
      </c>
      <c r="J307" s="5" t="n">
        <v>1</v>
      </c>
      <c r="K307" s="5" t="n">
        <v>0</v>
      </c>
      <c r="L307" s="5" t="n">
        <v>0</v>
      </c>
      <c r="M307" s="5" t="n">
        <v>0</v>
      </c>
      <c r="N307" s="5" t="n">
        <v>0</v>
      </c>
      <c r="O307" s="5" t="n">
        <v>1</v>
      </c>
      <c r="P307" s="5" t="n">
        <v>0</v>
      </c>
      <c r="Q307" s="5" t="n">
        <v>0</v>
      </c>
      <c r="R307" s="5" t="n">
        <v>1</v>
      </c>
      <c r="S307" s="5" t="n">
        <v>0</v>
      </c>
      <c r="T307" s="5" t="n">
        <v>0</v>
      </c>
      <c r="U307" s="5" t="inlineStr">
        <is>
          <t>training</t>
        </is>
      </c>
      <c r="V307" s="5" t="n">
        <v>1</v>
      </c>
    </row>
    <row r="308">
      <c r="A308" s="5" t="n">
        <v>304</v>
      </c>
      <c r="B308" s="5" t="n">
        <v>0</v>
      </c>
      <c r="C308" s="6" t="n">
        <v>-0.9042189173019176</v>
      </c>
      <c r="D308" s="6" t="n">
        <v>-0.7742061701905928</v>
      </c>
      <c r="E308" s="6" t="n">
        <v>1.170656858595183</v>
      </c>
      <c r="F308" s="6" t="n">
        <v>0.9185437189662378</v>
      </c>
      <c r="G308" s="5" t="n">
        <v>1</v>
      </c>
      <c r="H308" s="5" t="n">
        <v>0</v>
      </c>
      <c r="I308" s="5" t="n">
        <v>0</v>
      </c>
      <c r="J308" s="5" t="n">
        <v>1</v>
      </c>
      <c r="K308" s="5" t="n">
        <v>0</v>
      </c>
      <c r="L308" s="5" t="n">
        <v>0</v>
      </c>
      <c r="M308" s="5" t="n">
        <v>0</v>
      </c>
      <c r="N308" s="5" t="n">
        <v>0</v>
      </c>
      <c r="O308" s="5" t="n">
        <v>0</v>
      </c>
      <c r="P308" s="5" t="n">
        <v>0</v>
      </c>
      <c r="Q308" s="5" t="n">
        <v>0</v>
      </c>
      <c r="R308" s="5" t="n">
        <v>1</v>
      </c>
      <c r="S308" s="5" t="n">
        <v>0</v>
      </c>
      <c r="T308" s="5" t="n">
        <v>0</v>
      </c>
      <c r="U308" s="5" t="inlineStr">
        <is>
          <t>testing</t>
        </is>
      </c>
      <c r="V308" s="5" t="n">
        <v>0</v>
      </c>
    </row>
    <row r="309">
      <c r="A309" s="5" t="n">
        <v>305</v>
      </c>
      <c r="B309" s="5" t="n">
        <v>1</v>
      </c>
      <c r="C309" s="6" t="n">
        <v>2.297621231823615</v>
      </c>
      <c r="D309" s="6" t="n">
        <v>2.40596895982445</v>
      </c>
      <c r="E309" s="6" t="n">
        <v>0.7357917551051447</v>
      </c>
      <c r="F309" s="6" t="n">
        <v>-0.8850484360866833</v>
      </c>
      <c r="G309" s="5" t="n">
        <v>0</v>
      </c>
      <c r="H309" s="5" t="n">
        <v>0</v>
      </c>
      <c r="I309" s="5" t="n">
        <v>0</v>
      </c>
      <c r="J309" s="5" t="n">
        <v>1</v>
      </c>
      <c r="K309" s="5" t="n">
        <v>0</v>
      </c>
      <c r="L309" s="5" t="n">
        <v>0</v>
      </c>
      <c r="M309" s="5" t="n">
        <v>1</v>
      </c>
      <c r="N309" s="5" t="n">
        <v>0</v>
      </c>
      <c r="O309" s="5" t="n">
        <v>0</v>
      </c>
      <c r="P309" s="5" t="n">
        <v>0</v>
      </c>
      <c r="Q309" s="5" t="n">
        <v>1</v>
      </c>
      <c r="R309" s="5" t="n">
        <v>1</v>
      </c>
      <c r="S309" s="5" t="n">
        <v>0</v>
      </c>
      <c r="T309" s="5" t="n">
        <v>0</v>
      </c>
      <c r="U309" s="5" t="inlineStr">
        <is>
          <t>training</t>
        </is>
      </c>
      <c r="V309" s="5" t="n">
        <v>1</v>
      </c>
    </row>
    <row r="310">
      <c r="A310" s="5" t="n">
        <v>306</v>
      </c>
      <c r="B310" s="5" t="n">
        <v>0</v>
      </c>
      <c r="C310" s="6" t="n">
        <v>-1.241254722473026</v>
      </c>
      <c r="D310" s="6" t="n">
        <v>-0.5975103355929917</v>
      </c>
      <c r="E310" s="6" t="n">
        <v>-0.2209114725729393</v>
      </c>
      <c r="F310" s="6" t="n">
        <v>0.9185437189662378</v>
      </c>
      <c r="G310" s="5" t="n">
        <v>0</v>
      </c>
      <c r="H310" s="5" t="n">
        <v>0</v>
      </c>
      <c r="I310" s="5" t="n">
        <v>0</v>
      </c>
      <c r="J310" s="5" t="n">
        <v>0</v>
      </c>
      <c r="K310" s="5" t="n">
        <v>0</v>
      </c>
      <c r="L310" s="5" t="n">
        <v>0</v>
      </c>
      <c r="M310" s="5" t="n">
        <v>0</v>
      </c>
      <c r="N310" s="5" t="n">
        <v>1</v>
      </c>
      <c r="O310" s="5" t="n">
        <v>0</v>
      </c>
      <c r="P310" s="5" t="n">
        <v>0</v>
      </c>
      <c r="Q310" s="5" t="n">
        <v>0</v>
      </c>
      <c r="R310" s="5" t="n">
        <v>0</v>
      </c>
      <c r="S310" s="5" t="n">
        <v>0</v>
      </c>
      <c r="T310" s="5" t="n">
        <v>1</v>
      </c>
      <c r="U310" s="5" t="inlineStr">
        <is>
          <t>training</t>
        </is>
      </c>
      <c r="V310" s="5" t="n">
        <v>0</v>
      </c>
    </row>
    <row r="311">
      <c r="A311" s="5" t="n">
        <v>307</v>
      </c>
      <c r="B311" s="5" t="n">
        <v>0</v>
      </c>
      <c r="C311" s="6" t="n">
        <v>0.7809601085536261</v>
      </c>
      <c r="D311" s="6" t="n">
        <v>0.5459391445356429</v>
      </c>
      <c r="E311" s="6" t="n">
        <v>-1.003668658855008</v>
      </c>
      <c r="F311" s="6" t="n">
        <v>-0.8850484360866833</v>
      </c>
      <c r="G311" s="5" t="n">
        <v>0</v>
      </c>
      <c r="H311" s="5" t="n">
        <v>0</v>
      </c>
      <c r="I311" s="5" t="n">
        <v>0</v>
      </c>
      <c r="J311" s="5" t="n">
        <v>0</v>
      </c>
      <c r="K311" s="5" t="n">
        <v>0</v>
      </c>
      <c r="L311" s="5" t="n">
        <v>0</v>
      </c>
      <c r="M311" s="5" t="n">
        <v>0</v>
      </c>
      <c r="N311" s="5" t="n">
        <v>0</v>
      </c>
      <c r="O311" s="5" t="n">
        <v>1</v>
      </c>
      <c r="P311" s="5" t="n">
        <v>1</v>
      </c>
      <c r="Q311" s="5" t="n">
        <v>0</v>
      </c>
      <c r="R311" s="5" t="n">
        <v>1</v>
      </c>
      <c r="S311" s="5" t="n">
        <v>0</v>
      </c>
      <c r="T311" s="5" t="n">
        <v>0</v>
      </c>
      <c r="U311" s="5" t="inlineStr">
        <is>
          <t>training</t>
        </is>
      </c>
      <c r="V311" s="5" t="n">
        <v>1</v>
      </c>
    </row>
    <row r="312">
      <c r="A312" s="5" t="n">
        <v>308</v>
      </c>
      <c r="B312" s="5" t="n">
        <v>1</v>
      </c>
      <c r="C312" s="6" t="n">
        <v>-0.7357010147163632</v>
      </c>
      <c r="D312" s="6" t="n">
        <v>-0.8830228128833729</v>
      </c>
      <c r="E312" s="6" t="n">
        <v>-0.2209114725729393</v>
      </c>
      <c r="F312" s="6" t="n">
        <v>0.9185437189662378</v>
      </c>
      <c r="G312" s="5" t="n">
        <v>1</v>
      </c>
      <c r="H312" s="5" t="n">
        <v>0</v>
      </c>
      <c r="I312" s="5" t="n">
        <v>0</v>
      </c>
      <c r="J312" s="5" t="n">
        <v>0</v>
      </c>
      <c r="K312" s="5" t="n">
        <v>0</v>
      </c>
      <c r="L312" s="5" t="n">
        <v>0</v>
      </c>
      <c r="M312" s="5" t="n">
        <v>1</v>
      </c>
      <c r="N312" s="5" t="n">
        <v>0</v>
      </c>
      <c r="O312" s="5" t="n">
        <v>0</v>
      </c>
      <c r="P312" s="5" t="n">
        <v>0</v>
      </c>
      <c r="Q312" s="5" t="n">
        <v>0</v>
      </c>
      <c r="R312" s="5" t="n">
        <v>0</v>
      </c>
      <c r="S312" s="5" t="n">
        <v>1</v>
      </c>
      <c r="T312" s="5" t="n">
        <v>0</v>
      </c>
      <c r="U312" s="5" t="inlineStr">
        <is>
          <t>training</t>
        </is>
      </c>
      <c r="V312" s="5" t="n">
        <v>1</v>
      </c>
    </row>
    <row r="313">
      <c r="A313" s="5" t="n">
        <v>309</v>
      </c>
      <c r="B313" s="5" t="n">
        <v>1</v>
      </c>
      <c r="C313" s="6" t="n">
        <v>-1.072736819887472</v>
      </c>
      <c r="D313" s="6" t="n">
        <v>-0.7045775145768847</v>
      </c>
      <c r="E313" s="6" t="n">
        <v>-1.003668658855008</v>
      </c>
      <c r="F313" s="6" t="n">
        <v>0.01674764143977723</v>
      </c>
      <c r="G313" s="5" t="n">
        <v>0</v>
      </c>
      <c r="H313" s="5" t="n">
        <v>1</v>
      </c>
      <c r="I313" s="5" t="n">
        <v>0</v>
      </c>
      <c r="J313" s="5" t="n">
        <v>0</v>
      </c>
      <c r="K313" s="5" t="n">
        <v>0</v>
      </c>
      <c r="L313" s="5" t="n">
        <v>0</v>
      </c>
      <c r="M313" s="5" t="n">
        <v>0</v>
      </c>
      <c r="N313" s="5" t="n">
        <v>0</v>
      </c>
      <c r="O313" s="5" t="n">
        <v>0</v>
      </c>
      <c r="P313" s="5" t="n">
        <v>0</v>
      </c>
      <c r="Q313" s="5" t="n">
        <v>0</v>
      </c>
      <c r="R313" s="5" t="n">
        <v>0</v>
      </c>
      <c r="S313" s="5" t="n">
        <v>0</v>
      </c>
      <c r="T313" s="5" t="n">
        <v>1</v>
      </c>
      <c r="U313" s="5" t="inlineStr">
        <is>
          <t>training</t>
        </is>
      </c>
      <c r="V313" s="5" t="n">
        <v>1</v>
      </c>
    </row>
    <row r="314">
      <c r="A314" s="5" t="n">
        <v>310</v>
      </c>
      <c r="B314" s="5" t="n">
        <v>0</v>
      </c>
      <c r="C314" s="6" t="n">
        <v>-0.9884778685946948</v>
      </c>
      <c r="D314" s="6" t="n">
        <v>-1.040824439424993</v>
      </c>
      <c r="E314" s="6" t="n">
        <v>-1.177614700251023</v>
      </c>
      <c r="F314" s="6" t="n">
        <v>0.9185437189662378</v>
      </c>
      <c r="G314" s="5" t="n">
        <v>0</v>
      </c>
      <c r="H314" s="5" t="n">
        <v>1</v>
      </c>
      <c r="I314" s="5" t="n">
        <v>0</v>
      </c>
      <c r="J314" s="5" t="n">
        <v>0</v>
      </c>
      <c r="K314" s="5" t="n">
        <v>0</v>
      </c>
      <c r="L314" s="5" t="n">
        <v>0</v>
      </c>
      <c r="M314" s="5" t="n">
        <v>0</v>
      </c>
      <c r="N314" s="5" t="n">
        <v>0</v>
      </c>
      <c r="O314" s="5" t="n">
        <v>0</v>
      </c>
      <c r="P314" s="5" t="n">
        <v>1</v>
      </c>
      <c r="Q314" s="5" t="n">
        <v>0</v>
      </c>
      <c r="R314" s="5" t="n">
        <v>1</v>
      </c>
      <c r="S314" s="5" t="n">
        <v>0</v>
      </c>
      <c r="T314" s="5" t="n">
        <v>0</v>
      </c>
      <c r="U314" s="5" t="inlineStr">
        <is>
          <t>training</t>
        </is>
      </c>
      <c r="V314" s="5" t="n">
        <v>0</v>
      </c>
    </row>
    <row r="315">
      <c r="A315" s="5" t="n">
        <v>311</v>
      </c>
      <c r="B315" s="5" t="n">
        <v>0</v>
      </c>
      <c r="C315" s="6" t="n">
        <v>2.297621231823615</v>
      </c>
      <c r="D315" s="6" t="n">
        <v>0.7453780073487767</v>
      </c>
      <c r="E315" s="6" t="n">
        <v>0.3878996723131141</v>
      </c>
      <c r="F315" s="6" t="n">
        <v>0.01674764143977723</v>
      </c>
      <c r="G315" s="5" t="n">
        <v>0</v>
      </c>
      <c r="H315" s="5" t="n">
        <v>1</v>
      </c>
      <c r="I315" s="5" t="n">
        <v>0</v>
      </c>
      <c r="J315" s="5" t="n">
        <v>0</v>
      </c>
      <c r="K315" s="5" t="n">
        <v>0</v>
      </c>
      <c r="L315" s="5" t="n">
        <v>0</v>
      </c>
      <c r="M315" s="5" t="n">
        <v>0</v>
      </c>
      <c r="N315" s="5" t="n">
        <v>0</v>
      </c>
      <c r="O315" s="5" t="n">
        <v>1</v>
      </c>
      <c r="P315" s="5" t="n">
        <v>0</v>
      </c>
      <c r="Q315" s="5" t="n">
        <v>1</v>
      </c>
      <c r="R315" s="5" t="n">
        <v>0</v>
      </c>
      <c r="S315" s="5" t="n">
        <v>0</v>
      </c>
      <c r="T315" s="5" t="n">
        <v>0</v>
      </c>
      <c r="U315" s="5" t="inlineStr">
        <is>
          <t>training</t>
        </is>
      </c>
      <c r="V315" s="5" t="n">
        <v>1</v>
      </c>
    </row>
    <row r="316">
      <c r="A316" s="5" t="n">
        <v>312</v>
      </c>
      <c r="B316" s="5" t="n">
        <v>0</v>
      </c>
      <c r="C316" s="6" t="n">
        <v>0.275406400796963</v>
      </c>
      <c r="D316" s="6" t="n">
        <v>0.7908640637798424</v>
      </c>
      <c r="E316" s="6" t="n">
        <v>-0.9166956381570004</v>
      </c>
      <c r="F316" s="6" t="n">
        <v>0.9185437189662378</v>
      </c>
      <c r="G316" s="5" t="n">
        <v>0</v>
      </c>
      <c r="H316" s="5" t="n">
        <v>0</v>
      </c>
      <c r="I316" s="5" t="n">
        <v>0</v>
      </c>
      <c r="J316" s="5" t="n">
        <v>0</v>
      </c>
      <c r="K316" s="5" t="n">
        <v>0</v>
      </c>
      <c r="L316" s="5" t="n">
        <v>0</v>
      </c>
      <c r="M316" s="5" t="n">
        <v>1</v>
      </c>
      <c r="N316" s="5" t="n">
        <v>0</v>
      </c>
      <c r="O316" s="5" t="n">
        <v>0</v>
      </c>
      <c r="P316" s="5" t="n">
        <v>0</v>
      </c>
      <c r="Q316" s="5" t="n">
        <v>0</v>
      </c>
      <c r="R316" s="5" t="n">
        <v>0</v>
      </c>
      <c r="S316" s="5" t="n">
        <v>0</v>
      </c>
      <c r="T316" s="5" t="n">
        <v>1</v>
      </c>
      <c r="U316" s="5" t="inlineStr">
        <is>
          <t>testing</t>
        </is>
      </c>
      <c r="V316" s="5" t="n">
        <v>0</v>
      </c>
    </row>
    <row r="317">
      <c r="A317" s="5" t="n">
        <v>313</v>
      </c>
      <c r="B317" s="5" t="n">
        <v>0</v>
      </c>
      <c r="C317" s="6" t="n">
        <v>0.275406400796963</v>
      </c>
      <c r="D317" s="6" t="n">
        <v>0.1743530527680143</v>
      </c>
      <c r="E317" s="6" t="n">
        <v>-0.8297226174589928</v>
      </c>
      <c r="F317" s="6" t="n">
        <v>-0.8850484360866833</v>
      </c>
      <c r="G317" s="5" t="n">
        <v>0</v>
      </c>
      <c r="H317" s="5" t="n">
        <v>0</v>
      </c>
      <c r="I317" s="5" t="n">
        <v>1</v>
      </c>
      <c r="J317" s="5" t="n">
        <v>0</v>
      </c>
      <c r="K317" s="5" t="n">
        <v>0</v>
      </c>
      <c r="L317" s="5" t="n">
        <v>0</v>
      </c>
      <c r="M317" s="5" t="n">
        <v>0</v>
      </c>
      <c r="N317" s="5" t="n">
        <v>0</v>
      </c>
      <c r="O317" s="5" t="n">
        <v>0</v>
      </c>
      <c r="P317" s="5" t="n">
        <v>0</v>
      </c>
      <c r="Q317" s="5" t="n">
        <v>0</v>
      </c>
      <c r="R317" s="5" t="n">
        <v>0</v>
      </c>
      <c r="S317" s="5" t="n">
        <v>0</v>
      </c>
      <c r="T317" s="5" t="n">
        <v>1</v>
      </c>
      <c r="U317" s="5" t="inlineStr">
        <is>
          <t>training</t>
        </is>
      </c>
      <c r="V317" s="5" t="n">
        <v>0</v>
      </c>
    </row>
    <row r="318">
      <c r="A318" s="5" t="n">
        <v>314</v>
      </c>
      <c r="B318" s="5" t="n">
        <v>1</v>
      </c>
      <c r="C318" s="6" t="n">
        <v>-0.7357010147163632</v>
      </c>
      <c r="D318" s="6" t="n">
        <v>-0.8977183080380249</v>
      </c>
      <c r="E318" s="6" t="n">
        <v>-0.9166956381570004</v>
      </c>
      <c r="F318" s="6" t="n">
        <v>-0.8850484360866833</v>
      </c>
      <c r="G318" s="5" t="n">
        <v>0</v>
      </c>
      <c r="H318" s="5" t="n">
        <v>1</v>
      </c>
      <c r="I318" s="5" t="n">
        <v>0</v>
      </c>
      <c r="J318" s="5" t="n">
        <v>0</v>
      </c>
      <c r="K318" s="5" t="n">
        <v>0</v>
      </c>
      <c r="L318" s="5" t="n">
        <v>0</v>
      </c>
      <c r="M318" s="5" t="n">
        <v>0</v>
      </c>
      <c r="N318" s="5" t="n">
        <v>0</v>
      </c>
      <c r="O318" s="5" t="n">
        <v>0</v>
      </c>
      <c r="P318" s="5" t="n">
        <v>0</v>
      </c>
      <c r="Q318" s="5" t="n">
        <v>0</v>
      </c>
      <c r="R318" s="5" t="n">
        <v>1</v>
      </c>
      <c r="S318" s="5" t="n">
        <v>0</v>
      </c>
      <c r="T318" s="5" t="n">
        <v>0</v>
      </c>
      <c r="U318" s="5" t="inlineStr">
        <is>
          <t>training</t>
        </is>
      </c>
      <c r="V318" s="5" t="n">
        <v>1</v>
      </c>
    </row>
    <row r="319">
      <c r="A319" s="5" t="n">
        <v>315</v>
      </c>
      <c r="B319" s="5" t="n">
        <v>0</v>
      </c>
      <c r="C319" s="6" t="n">
        <v>-1.409772625058581</v>
      </c>
      <c r="D319" s="6" t="n">
        <v>-0.6146550799400857</v>
      </c>
      <c r="E319" s="6" t="n">
        <v>-0.5688035553649698</v>
      </c>
      <c r="F319" s="6" t="n">
        <v>-1.786844513613144</v>
      </c>
      <c r="G319" s="5" t="n">
        <v>0</v>
      </c>
      <c r="H319" s="5" t="n">
        <v>0</v>
      </c>
      <c r="I319" s="5" t="n">
        <v>1</v>
      </c>
      <c r="J319" s="5" t="n">
        <v>0</v>
      </c>
      <c r="K319" s="5" t="n">
        <v>0</v>
      </c>
      <c r="L319" s="5" t="n">
        <v>0</v>
      </c>
      <c r="M319" s="5" t="n">
        <v>0</v>
      </c>
      <c r="N319" s="5" t="n">
        <v>0</v>
      </c>
      <c r="O319" s="5" t="n">
        <v>1</v>
      </c>
      <c r="P319" s="5" t="n">
        <v>0</v>
      </c>
      <c r="Q319" s="5" t="n">
        <v>0</v>
      </c>
      <c r="R319" s="5" t="n">
        <v>1</v>
      </c>
      <c r="S319" s="5" t="n">
        <v>0</v>
      </c>
      <c r="T319" s="5" t="n">
        <v>0</v>
      </c>
      <c r="U319" s="5" t="inlineStr">
        <is>
          <t>testing</t>
        </is>
      </c>
      <c r="V319" s="5" t="n">
        <v>0</v>
      </c>
    </row>
    <row r="320">
      <c r="A320" s="5" t="n">
        <v>316</v>
      </c>
      <c r="B320" s="5" t="n">
        <v>1</v>
      </c>
      <c r="C320" s="6" t="n">
        <v>1.286513816310289</v>
      </c>
      <c r="D320" s="6" t="n">
        <v>-0.1765893672347459</v>
      </c>
      <c r="E320" s="6" t="n">
        <v>-0.3948575139689546</v>
      </c>
      <c r="F320" s="6" t="n">
        <v>0.9185437189662378</v>
      </c>
      <c r="G320" s="5" t="n">
        <v>1</v>
      </c>
      <c r="H320" s="5" t="n">
        <v>0</v>
      </c>
      <c r="I320" s="5" t="n">
        <v>0</v>
      </c>
      <c r="J320" s="5" t="n">
        <v>0</v>
      </c>
      <c r="K320" s="5" t="n">
        <v>0</v>
      </c>
      <c r="L320" s="5" t="n">
        <v>1</v>
      </c>
      <c r="M320" s="5" t="n">
        <v>0</v>
      </c>
      <c r="N320" s="5" t="n">
        <v>0</v>
      </c>
      <c r="O320" s="5" t="n">
        <v>0</v>
      </c>
      <c r="P320" s="5" t="n">
        <v>0</v>
      </c>
      <c r="Q320" s="5" t="n">
        <v>0</v>
      </c>
      <c r="R320" s="5" t="n">
        <v>0</v>
      </c>
      <c r="S320" s="5" t="n">
        <v>0</v>
      </c>
      <c r="T320" s="5" t="n">
        <v>1</v>
      </c>
      <c r="U320" s="5" t="inlineStr">
        <is>
          <t>training</t>
        </is>
      </c>
      <c r="V320" s="5" t="n">
        <v>1</v>
      </c>
    </row>
    <row r="321">
      <c r="A321" s="5" t="n">
        <v>317</v>
      </c>
      <c r="B321" s="5" t="n">
        <v>0</v>
      </c>
      <c r="C321" s="6" t="n">
        <v>-0.7357010147163632</v>
      </c>
      <c r="D321" s="6" t="n">
        <v>-0.8896707749771441</v>
      </c>
      <c r="E321" s="6" t="n">
        <v>0.2139536309170988</v>
      </c>
      <c r="F321" s="6" t="n">
        <v>-0.8850484360866833</v>
      </c>
      <c r="G321" s="5" t="n">
        <v>1</v>
      </c>
      <c r="H321" s="5" t="n">
        <v>0</v>
      </c>
      <c r="I321" s="5" t="n">
        <v>0</v>
      </c>
      <c r="J321" s="5" t="n">
        <v>0</v>
      </c>
      <c r="K321" s="5" t="n">
        <v>0</v>
      </c>
      <c r="L321" s="5" t="n">
        <v>0</v>
      </c>
      <c r="M321" s="5" t="n">
        <v>0</v>
      </c>
      <c r="N321" s="5" t="n">
        <v>0</v>
      </c>
      <c r="O321" s="5" t="n">
        <v>0</v>
      </c>
      <c r="P321" s="5" t="n">
        <v>0</v>
      </c>
      <c r="Q321" s="5" t="n">
        <v>0</v>
      </c>
      <c r="R321" s="5" t="n">
        <v>0</v>
      </c>
      <c r="S321" s="5" t="n">
        <v>0</v>
      </c>
      <c r="T321" s="5" t="n">
        <v>1</v>
      </c>
      <c r="U321" s="5" t="inlineStr">
        <is>
          <t>training</t>
        </is>
      </c>
      <c r="V321" s="5" t="n">
        <v>1</v>
      </c>
    </row>
    <row r="322">
      <c r="A322" s="5" t="n">
        <v>318</v>
      </c>
      <c r="B322" s="5" t="n">
        <v>0</v>
      </c>
      <c r="C322" s="6" t="n">
        <v>0.275406400796963</v>
      </c>
      <c r="D322" s="6" t="n">
        <v>0.3849884833180259</v>
      </c>
      <c r="E322" s="6" t="n">
        <v>1.083683837897175</v>
      </c>
      <c r="F322" s="6" t="n">
        <v>-1.786844513613144</v>
      </c>
      <c r="G322" s="5" t="n">
        <v>0</v>
      </c>
      <c r="H322" s="5" t="n">
        <v>1</v>
      </c>
      <c r="I322" s="5" t="n">
        <v>0</v>
      </c>
      <c r="J322" s="5" t="n">
        <v>0</v>
      </c>
      <c r="K322" s="5" t="n">
        <v>0</v>
      </c>
      <c r="L322" s="5" t="n">
        <v>0</v>
      </c>
      <c r="M322" s="5" t="n">
        <v>0</v>
      </c>
      <c r="N322" s="5" t="n">
        <v>0</v>
      </c>
      <c r="O322" s="5" t="n">
        <v>1</v>
      </c>
      <c r="P322" s="5" t="n">
        <v>0</v>
      </c>
      <c r="Q322" s="5" t="n">
        <v>0</v>
      </c>
      <c r="R322" s="5" t="n">
        <v>0</v>
      </c>
      <c r="S322" s="5" t="n">
        <v>0</v>
      </c>
      <c r="T322" s="5" t="n">
        <v>1</v>
      </c>
      <c r="U322" s="5" t="inlineStr">
        <is>
          <t>testing</t>
        </is>
      </c>
      <c r="V322" s="5" t="n">
        <v>0</v>
      </c>
    </row>
    <row r="323">
      <c r="A323" s="5" t="n">
        <v>319</v>
      </c>
      <c r="B323" s="5" t="n">
        <v>0</v>
      </c>
      <c r="C323" s="6" t="n">
        <v>-0.7357010147163632</v>
      </c>
      <c r="D323" s="6" t="n">
        <v>-0.892120024169586</v>
      </c>
      <c r="E323" s="6" t="n">
        <v>-0.307884493270947</v>
      </c>
      <c r="F323" s="6" t="n">
        <v>0.9185437189662378</v>
      </c>
      <c r="G323" s="5" t="n">
        <v>0</v>
      </c>
      <c r="H323" s="5" t="n">
        <v>0</v>
      </c>
      <c r="I323" s="5" t="n">
        <v>0</v>
      </c>
      <c r="J323" s="5" t="n">
        <v>1</v>
      </c>
      <c r="K323" s="5" t="n">
        <v>0</v>
      </c>
      <c r="L323" s="5" t="n">
        <v>0</v>
      </c>
      <c r="M323" s="5" t="n">
        <v>0</v>
      </c>
      <c r="N323" s="5" t="n">
        <v>0</v>
      </c>
      <c r="O323" s="5" t="n">
        <v>0</v>
      </c>
      <c r="P323" s="5" t="n">
        <v>0</v>
      </c>
      <c r="Q323" s="5" t="n">
        <v>0</v>
      </c>
      <c r="R323" s="5" t="n">
        <v>0</v>
      </c>
      <c r="S323" s="5" t="n">
        <v>0</v>
      </c>
      <c r="T323" s="5" t="n">
        <v>0</v>
      </c>
      <c r="U323" s="5" t="inlineStr">
        <is>
          <t>training</t>
        </is>
      </c>
      <c r="V323" s="5" t="n">
        <v>1</v>
      </c>
    </row>
    <row r="324">
      <c r="A324" s="5" t="n">
        <v>320</v>
      </c>
      <c r="B324" s="5" t="n">
        <v>0</v>
      </c>
      <c r="C324" s="6" t="n">
        <v>-0.4829241608380317</v>
      </c>
      <c r="D324" s="6" t="n">
        <v>0.137264422139607</v>
      </c>
      <c r="E324" s="6" t="n">
        <v>-0.7427495967609852</v>
      </c>
      <c r="F324" s="6" t="n">
        <v>-1.786844513613144</v>
      </c>
      <c r="G324" s="5" t="n">
        <v>1</v>
      </c>
      <c r="H324" s="5" t="n">
        <v>0</v>
      </c>
      <c r="I324" s="5" t="n">
        <v>0</v>
      </c>
      <c r="J324" s="5" t="n">
        <v>0</v>
      </c>
      <c r="K324" s="5" t="n">
        <v>1</v>
      </c>
      <c r="L324" s="5" t="n">
        <v>0</v>
      </c>
      <c r="M324" s="5" t="n">
        <v>0</v>
      </c>
      <c r="N324" s="5" t="n">
        <v>0</v>
      </c>
      <c r="O324" s="5" t="n">
        <v>0</v>
      </c>
      <c r="P324" s="5" t="n">
        <v>0</v>
      </c>
      <c r="Q324" s="5" t="n">
        <v>0</v>
      </c>
      <c r="R324" s="5" t="n">
        <v>0</v>
      </c>
      <c r="S324" s="5" t="n">
        <v>0</v>
      </c>
      <c r="T324" s="5" t="n">
        <v>1</v>
      </c>
      <c r="U324" s="5" t="inlineStr">
        <is>
          <t>training</t>
        </is>
      </c>
      <c r="V324" s="5" t="n">
        <v>0</v>
      </c>
    </row>
    <row r="325">
      <c r="A325" s="5" t="n">
        <v>321</v>
      </c>
      <c r="B325" s="5" t="n">
        <v>1</v>
      </c>
      <c r="C325" s="6" t="n">
        <v>0.7809601085536261</v>
      </c>
      <c r="D325" s="6" t="n">
        <v>0.3492994236567283</v>
      </c>
      <c r="E325" s="6" t="n">
        <v>-0.6557765760629775</v>
      </c>
      <c r="F325" s="6" t="n">
        <v>0.9185437189662378</v>
      </c>
      <c r="G325" s="5" t="n">
        <v>0</v>
      </c>
      <c r="H325" s="5" t="n">
        <v>1</v>
      </c>
      <c r="I325" s="5" t="n">
        <v>0</v>
      </c>
      <c r="J325" s="5" t="n">
        <v>1</v>
      </c>
      <c r="K325" s="5" t="n">
        <v>0</v>
      </c>
      <c r="L325" s="5" t="n">
        <v>0</v>
      </c>
      <c r="M325" s="5" t="n">
        <v>0</v>
      </c>
      <c r="N325" s="5" t="n">
        <v>0</v>
      </c>
      <c r="O325" s="5" t="n">
        <v>0</v>
      </c>
      <c r="P325" s="5" t="n">
        <v>0</v>
      </c>
      <c r="Q325" s="5" t="n">
        <v>0</v>
      </c>
      <c r="R325" s="5" t="n">
        <v>1</v>
      </c>
      <c r="S325" s="5" t="n">
        <v>0</v>
      </c>
      <c r="T325" s="5" t="n">
        <v>0</v>
      </c>
      <c r="U325" s="5" t="inlineStr">
        <is>
          <t>testing</t>
        </is>
      </c>
      <c r="V325" s="5" t="n">
        <v>0</v>
      </c>
    </row>
    <row r="326">
      <c r="A326" s="5" t="n">
        <v>322</v>
      </c>
      <c r="B326" s="5" t="n">
        <v>1</v>
      </c>
      <c r="C326" s="6" t="n">
        <v>0.275406400796963</v>
      </c>
      <c r="D326" s="6" t="n">
        <v>-0.4593027025909077</v>
      </c>
      <c r="E326" s="6" t="n">
        <v>-0.307884493270947</v>
      </c>
      <c r="F326" s="6" t="n">
        <v>0.9185437189662378</v>
      </c>
      <c r="G326" s="5" t="n">
        <v>1</v>
      </c>
      <c r="H326" s="5" t="n">
        <v>0</v>
      </c>
      <c r="I326" s="5" t="n">
        <v>0</v>
      </c>
      <c r="J326" s="5" t="n">
        <v>0</v>
      </c>
      <c r="K326" s="5" t="n">
        <v>0</v>
      </c>
      <c r="L326" s="5" t="n">
        <v>0</v>
      </c>
      <c r="M326" s="5" t="n">
        <v>0</v>
      </c>
      <c r="N326" s="5" t="n">
        <v>0</v>
      </c>
      <c r="O326" s="5" t="n">
        <v>0</v>
      </c>
      <c r="P326" s="5" t="n">
        <v>0</v>
      </c>
      <c r="Q326" s="5" t="n">
        <v>0</v>
      </c>
      <c r="R326" s="5" t="n">
        <v>0</v>
      </c>
      <c r="S326" s="5" t="n">
        <v>1</v>
      </c>
      <c r="T326" s="5" t="n">
        <v>0</v>
      </c>
      <c r="U326" s="5" t="inlineStr">
        <is>
          <t>testing</t>
        </is>
      </c>
      <c r="V326" s="5" t="n">
        <v>0</v>
      </c>
    </row>
    <row r="327">
      <c r="A327" s="5" t="n">
        <v>323</v>
      </c>
      <c r="B327" s="5" t="n">
        <v>0</v>
      </c>
      <c r="C327" s="6" t="n">
        <v>0.275406400796963</v>
      </c>
      <c r="D327" s="6" t="n">
        <v>-0.1192069575832477</v>
      </c>
      <c r="E327" s="6" t="n">
        <v>-0.1339384518749317</v>
      </c>
      <c r="F327" s="6" t="n">
        <v>-0.8850484360866833</v>
      </c>
      <c r="G327" s="5" t="n">
        <v>1</v>
      </c>
      <c r="H327" s="5" t="n">
        <v>0</v>
      </c>
      <c r="I327" s="5" t="n">
        <v>0</v>
      </c>
      <c r="J327" s="5" t="n">
        <v>0</v>
      </c>
      <c r="K327" s="5" t="n">
        <v>0</v>
      </c>
      <c r="L327" s="5" t="n">
        <v>0</v>
      </c>
      <c r="M327" s="5" t="n">
        <v>0</v>
      </c>
      <c r="N327" s="5" t="n">
        <v>0</v>
      </c>
      <c r="O327" s="5" t="n">
        <v>0</v>
      </c>
      <c r="P327" s="5" t="n">
        <v>0</v>
      </c>
      <c r="Q327" s="5" t="n">
        <v>1</v>
      </c>
      <c r="R327" s="5" t="n">
        <v>1</v>
      </c>
      <c r="S327" s="5" t="n">
        <v>0</v>
      </c>
      <c r="T327" s="5" t="n">
        <v>0</v>
      </c>
      <c r="U327" s="5" t="inlineStr">
        <is>
          <t>training</t>
        </is>
      </c>
      <c r="V327" s="5" t="n">
        <v>0</v>
      </c>
    </row>
    <row r="328">
      <c r="A328" s="5" t="n">
        <v>324</v>
      </c>
      <c r="B328" s="5" t="n">
        <v>0</v>
      </c>
      <c r="C328" s="6" t="n">
        <v>-0.2301473069597001</v>
      </c>
      <c r="D328" s="6" t="n">
        <v>-0.2070300357693821</v>
      </c>
      <c r="E328" s="6" t="n">
        <v>-0.6557765760629775</v>
      </c>
      <c r="F328" s="6" t="n">
        <v>0.9185437189662378</v>
      </c>
      <c r="G328" s="5" t="n">
        <v>1</v>
      </c>
      <c r="H328" s="5" t="n">
        <v>0</v>
      </c>
      <c r="I328" s="5" t="n">
        <v>0</v>
      </c>
      <c r="J328" s="5" t="n">
        <v>0</v>
      </c>
      <c r="K328" s="5" t="n">
        <v>0</v>
      </c>
      <c r="L328" s="5" t="n">
        <v>0</v>
      </c>
      <c r="M328" s="5" t="n">
        <v>0</v>
      </c>
      <c r="N328" s="5" t="n">
        <v>1</v>
      </c>
      <c r="O328" s="5" t="n">
        <v>0</v>
      </c>
      <c r="P328" s="5" t="n">
        <v>0</v>
      </c>
      <c r="Q328" s="5" t="n">
        <v>0</v>
      </c>
      <c r="R328" s="5" t="n">
        <v>0</v>
      </c>
      <c r="S328" s="5" t="n">
        <v>0</v>
      </c>
      <c r="T328" s="5" t="n">
        <v>1</v>
      </c>
      <c r="U328" s="5" t="inlineStr">
        <is>
          <t>training</t>
        </is>
      </c>
      <c r="V328" s="5" t="n">
        <v>1</v>
      </c>
    </row>
    <row r="329">
      <c r="A329" s="5" t="n">
        <v>325</v>
      </c>
      <c r="B329" s="5" t="n">
        <v>0</v>
      </c>
      <c r="C329" s="6" t="n">
        <v>-0.2301473069597001</v>
      </c>
      <c r="D329" s="6" t="n">
        <v>-0.7777050976083671</v>
      </c>
      <c r="E329" s="6" t="n">
        <v>0.04000758952108359</v>
      </c>
      <c r="F329" s="6" t="n">
        <v>0.9185437189662378</v>
      </c>
      <c r="G329" s="5" t="n">
        <v>0</v>
      </c>
      <c r="H329" s="5" t="n">
        <v>0</v>
      </c>
      <c r="I329" s="5" t="n">
        <v>0</v>
      </c>
      <c r="J329" s="5" t="n">
        <v>1</v>
      </c>
      <c r="K329" s="5" t="n">
        <v>0</v>
      </c>
      <c r="L329" s="5" t="n">
        <v>0</v>
      </c>
      <c r="M329" s="5" t="n">
        <v>0</v>
      </c>
      <c r="N329" s="5" t="n">
        <v>0</v>
      </c>
      <c r="O329" s="5" t="n">
        <v>0</v>
      </c>
      <c r="P329" s="5" t="n">
        <v>0</v>
      </c>
      <c r="Q329" s="5" t="n">
        <v>0</v>
      </c>
      <c r="R329" s="5" t="n">
        <v>1</v>
      </c>
      <c r="S329" s="5" t="n">
        <v>0</v>
      </c>
      <c r="T329" s="5" t="n">
        <v>0</v>
      </c>
      <c r="U329" s="5" t="inlineStr">
        <is>
          <t>training</t>
        </is>
      </c>
      <c r="V329" s="5" t="n">
        <v>1</v>
      </c>
    </row>
    <row r="330">
      <c r="A330" s="5" t="n">
        <v>326</v>
      </c>
      <c r="B330" s="5" t="n">
        <v>0</v>
      </c>
      <c r="C330" s="6" t="n">
        <v>-1.072736819887472</v>
      </c>
      <c r="D330" s="6" t="n">
        <v>0.05154070040413711</v>
      </c>
      <c r="E330" s="6" t="n">
        <v>0.3009266516151065</v>
      </c>
      <c r="F330" s="6" t="n">
        <v>-1.786844513613144</v>
      </c>
      <c r="G330" s="5" t="n">
        <v>1</v>
      </c>
      <c r="H330" s="5" t="n">
        <v>0</v>
      </c>
      <c r="I330" s="5" t="n">
        <v>0</v>
      </c>
      <c r="J330" s="5" t="n">
        <v>1</v>
      </c>
      <c r="K330" s="5" t="n">
        <v>0</v>
      </c>
      <c r="L330" s="5" t="n">
        <v>0</v>
      </c>
      <c r="M330" s="5" t="n">
        <v>0</v>
      </c>
      <c r="N330" s="5" t="n">
        <v>0</v>
      </c>
      <c r="O330" s="5" t="n">
        <v>0</v>
      </c>
      <c r="P330" s="5" t="n">
        <v>0</v>
      </c>
      <c r="Q330" s="5" t="n">
        <v>0</v>
      </c>
      <c r="R330" s="5" t="n">
        <v>1</v>
      </c>
      <c r="S330" s="5" t="n">
        <v>0</v>
      </c>
      <c r="T330" s="5" t="n">
        <v>0</v>
      </c>
      <c r="U330" s="5" t="inlineStr">
        <is>
          <t>training</t>
        </is>
      </c>
      <c r="V330" s="5" t="n">
        <v>1</v>
      </c>
    </row>
    <row r="331">
      <c r="A331" s="5" t="n">
        <v>327</v>
      </c>
      <c r="B331" s="5" t="n">
        <v>0</v>
      </c>
      <c r="C331" s="6" t="n">
        <v>-0.7357010147163632</v>
      </c>
      <c r="D331" s="6" t="n">
        <v>0.8923329588952965</v>
      </c>
      <c r="E331" s="6" t="n">
        <v>1.170656858595183</v>
      </c>
      <c r="F331" s="6" t="n">
        <v>-0.8850484360866833</v>
      </c>
      <c r="G331" s="5" t="n">
        <v>0</v>
      </c>
      <c r="H331" s="5" t="n">
        <v>0</v>
      </c>
      <c r="I331" s="5" t="n">
        <v>0</v>
      </c>
      <c r="J331" s="5" t="n">
        <v>1</v>
      </c>
      <c r="K331" s="5" t="n">
        <v>0</v>
      </c>
      <c r="L331" s="5" t="n">
        <v>0</v>
      </c>
      <c r="M331" s="5" t="n">
        <v>0</v>
      </c>
      <c r="N331" s="5" t="n">
        <v>0</v>
      </c>
      <c r="O331" s="5" t="n">
        <v>1</v>
      </c>
      <c r="P331" s="5" t="n">
        <v>1</v>
      </c>
      <c r="Q331" s="5" t="n">
        <v>0</v>
      </c>
      <c r="R331" s="5" t="n">
        <v>0</v>
      </c>
      <c r="S331" s="5" t="n">
        <v>0</v>
      </c>
      <c r="T331" s="5" t="n">
        <v>1</v>
      </c>
      <c r="U331" s="5" t="inlineStr">
        <is>
          <t>testing</t>
        </is>
      </c>
      <c r="V331" s="5" t="n">
        <v>0</v>
      </c>
    </row>
    <row r="332">
      <c r="A332" s="5" t="n">
        <v>328</v>
      </c>
      <c r="B332" s="5" t="n">
        <v>0</v>
      </c>
      <c r="C332" s="6" t="n">
        <v>0.275406400796963</v>
      </c>
      <c r="D332" s="6" t="n">
        <v>-0.6038084049449854</v>
      </c>
      <c r="E332" s="6" t="n">
        <v>-0.1339384518749317</v>
      </c>
      <c r="F332" s="6" t="n">
        <v>0.9185437189662378</v>
      </c>
      <c r="G332" s="5" t="n">
        <v>0</v>
      </c>
      <c r="H332" s="5" t="n">
        <v>0</v>
      </c>
      <c r="I332" s="5" t="n">
        <v>0</v>
      </c>
      <c r="J332" s="5" t="n">
        <v>0</v>
      </c>
      <c r="K332" s="5" t="n">
        <v>0</v>
      </c>
      <c r="L332" s="5" t="n">
        <v>0</v>
      </c>
      <c r="M332" s="5" t="n">
        <v>0</v>
      </c>
      <c r="N332" s="5" t="n">
        <v>1</v>
      </c>
      <c r="O332" s="5" t="n">
        <v>0</v>
      </c>
      <c r="P332" s="5" t="n">
        <v>0</v>
      </c>
      <c r="Q332" s="5" t="n">
        <v>0</v>
      </c>
      <c r="R332" s="5" t="n">
        <v>1</v>
      </c>
      <c r="S332" s="5" t="n">
        <v>0</v>
      </c>
      <c r="T332" s="5" t="n">
        <v>0</v>
      </c>
      <c r="U332" s="5" t="inlineStr">
        <is>
          <t>training</t>
        </is>
      </c>
      <c r="V332" s="5" t="n">
        <v>1</v>
      </c>
    </row>
    <row r="333">
      <c r="A333" s="5" t="n">
        <v>329</v>
      </c>
      <c r="B333" s="5" t="n">
        <v>0</v>
      </c>
      <c r="C333" s="6" t="n">
        <v>1.286513816310289</v>
      </c>
      <c r="D333" s="6" t="n">
        <v>0.4276753978148722</v>
      </c>
      <c r="E333" s="6" t="n">
        <v>-0.3948575139689546</v>
      </c>
      <c r="F333" s="6" t="n">
        <v>0.9185437189662378</v>
      </c>
      <c r="G333" s="5" t="n">
        <v>0</v>
      </c>
      <c r="H333" s="5" t="n">
        <v>0</v>
      </c>
      <c r="I333" s="5" t="n">
        <v>1</v>
      </c>
      <c r="J333" s="5" t="n">
        <v>0</v>
      </c>
      <c r="K333" s="5" t="n">
        <v>0</v>
      </c>
      <c r="L333" s="5" t="n">
        <v>0</v>
      </c>
      <c r="M333" s="5" t="n">
        <v>0</v>
      </c>
      <c r="N333" s="5" t="n">
        <v>0</v>
      </c>
      <c r="O333" s="5" t="n">
        <v>0</v>
      </c>
      <c r="P333" s="5" t="n">
        <v>0</v>
      </c>
      <c r="Q333" s="5" t="n">
        <v>0</v>
      </c>
      <c r="R333" s="5" t="n">
        <v>0</v>
      </c>
      <c r="S333" s="5" t="n">
        <v>1</v>
      </c>
      <c r="T333" s="5" t="n">
        <v>0</v>
      </c>
      <c r="U333" s="5" t="inlineStr">
        <is>
          <t>training</t>
        </is>
      </c>
      <c r="V333" s="5" t="n">
        <v>0</v>
      </c>
    </row>
    <row r="334">
      <c r="A334" s="5" t="n">
        <v>330</v>
      </c>
      <c r="B334" s="5" t="n">
        <v>0</v>
      </c>
      <c r="C334" s="6" t="n">
        <v>-1.241254722473026</v>
      </c>
      <c r="D334" s="6" t="n">
        <v>-0.7637093879372701</v>
      </c>
      <c r="E334" s="6" t="n">
        <v>-0.6557765760629775</v>
      </c>
      <c r="F334" s="6" t="n">
        <v>0.9185437189662378</v>
      </c>
      <c r="G334" s="5" t="n">
        <v>0</v>
      </c>
      <c r="H334" s="5" t="n">
        <v>1</v>
      </c>
      <c r="I334" s="5" t="n">
        <v>0</v>
      </c>
      <c r="J334" s="5" t="n">
        <v>0</v>
      </c>
      <c r="K334" s="5" t="n">
        <v>0</v>
      </c>
      <c r="L334" s="5" t="n">
        <v>0</v>
      </c>
      <c r="M334" s="5" t="n">
        <v>0</v>
      </c>
      <c r="N334" s="5" t="n">
        <v>0</v>
      </c>
      <c r="O334" s="5" t="n">
        <v>0</v>
      </c>
      <c r="P334" s="5" t="n">
        <v>0</v>
      </c>
      <c r="Q334" s="5" t="n">
        <v>0</v>
      </c>
      <c r="R334" s="5" t="n">
        <v>0</v>
      </c>
      <c r="S334" s="5" t="n">
        <v>1</v>
      </c>
      <c r="T334" s="5" t="n">
        <v>0</v>
      </c>
      <c r="U334" s="5" t="inlineStr">
        <is>
          <t>training</t>
        </is>
      </c>
      <c r="V334" s="5" t="n">
        <v>1</v>
      </c>
    </row>
    <row r="335">
      <c r="A335" s="5" t="n">
        <v>331</v>
      </c>
      <c r="B335" s="5" t="n">
        <v>0</v>
      </c>
      <c r="C335" s="6" t="n">
        <v>0.275406400796963</v>
      </c>
      <c r="D335" s="6" t="n">
        <v>1.177145650702123</v>
      </c>
      <c r="E335" s="6" t="n">
        <v>3.431955396743382</v>
      </c>
      <c r="F335" s="6" t="n">
        <v>-0.8850484360866833</v>
      </c>
      <c r="G335" s="5" t="n">
        <v>1</v>
      </c>
      <c r="H335" s="5" t="n">
        <v>0</v>
      </c>
      <c r="I335" s="5" t="n">
        <v>0</v>
      </c>
      <c r="J335" s="5" t="n">
        <v>1</v>
      </c>
      <c r="K335" s="5" t="n">
        <v>0</v>
      </c>
      <c r="L335" s="5" t="n">
        <v>0</v>
      </c>
      <c r="M335" s="5" t="n">
        <v>0</v>
      </c>
      <c r="N335" s="5" t="n">
        <v>0</v>
      </c>
      <c r="O335" s="5" t="n">
        <v>0</v>
      </c>
      <c r="P335" s="5" t="n">
        <v>0</v>
      </c>
      <c r="Q335" s="5" t="n">
        <v>1</v>
      </c>
      <c r="R335" s="5" t="n">
        <v>1</v>
      </c>
      <c r="S335" s="5" t="n">
        <v>0</v>
      </c>
      <c r="T335" s="5" t="n">
        <v>0</v>
      </c>
      <c r="U335" s="5" t="inlineStr">
        <is>
          <t>training</t>
        </is>
      </c>
      <c r="V335" s="5" t="n">
        <v>0</v>
      </c>
    </row>
    <row r="336">
      <c r="A336" s="5" t="n">
        <v>332</v>
      </c>
      <c r="B336" s="5" t="n">
        <v>1</v>
      </c>
      <c r="C336" s="6" t="n">
        <v>-0.2301473069597001</v>
      </c>
      <c r="D336" s="6" t="n">
        <v>-0.4851947654824373</v>
      </c>
      <c r="E336" s="6" t="n">
        <v>-0.4818305346669622</v>
      </c>
      <c r="F336" s="6" t="n">
        <v>0.9185437189662378</v>
      </c>
      <c r="G336" s="5" t="n">
        <v>0</v>
      </c>
      <c r="H336" s="5" t="n">
        <v>0</v>
      </c>
      <c r="I336" s="5" t="n">
        <v>0</v>
      </c>
      <c r="J336" s="5" t="n">
        <v>1</v>
      </c>
      <c r="K336" s="5" t="n">
        <v>0</v>
      </c>
      <c r="L336" s="5" t="n">
        <v>0</v>
      </c>
      <c r="M336" s="5" t="n">
        <v>1</v>
      </c>
      <c r="N336" s="5" t="n">
        <v>0</v>
      </c>
      <c r="O336" s="5" t="n">
        <v>0</v>
      </c>
      <c r="P336" s="5" t="n">
        <v>0</v>
      </c>
      <c r="Q336" s="5" t="n">
        <v>0</v>
      </c>
      <c r="R336" s="5" t="n">
        <v>0</v>
      </c>
      <c r="S336" s="5" t="n">
        <v>0</v>
      </c>
      <c r="T336" s="5" t="n">
        <v>0</v>
      </c>
      <c r="U336" s="5" t="inlineStr">
        <is>
          <t>training</t>
        </is>
      </c>
      <c r="V336" s="5" t="n">
        <v>1</v>
      </c>
    </row>
    <row r="337">
      <c r="A337" s="5" t="n">
        <v>333</v>
      </c>
      <c r="B337" s="5" t="n">
        <v>1</v>
      </c>
      <c r="C337" s="6" t="n">
        <v>3.308728647336942</v>
      </c>
      <c r="D337" s="6" t="n">
        <v>1.454610594931623</v>
      </c>
      <c r="E337" s="6" t="n">
        <v>-1.003668658855008</v>
      </c>
      <c r="F337" s="6" t="n">
        <v>0.9185437189662378</v>
      </c>
      <c r="G337" s="5" t="n">
        <v>0</v>
      </c>
      <c r="H337" s="5" t="n">
        <v>1</v>
      </c>
      <c r="I337" s="5" t="n">
        <v>0</v>
      </c>
      <c r="J337" s="5" t="n">
        <v>0</v>
      </c>
      <c r="K337" s="5" t="n">
        <v>0</v>
      </c>
      <c r="L337" s="5" t="n">
        <v>0</v>
      </c>
      <c r="M337" s="5" t="n">
        <v>1</v>
      </c>
      <c r="N337" s="5" t="n">
        <v>0</v>
      </c>
      <c r="O337" s="5" t="n">
        <v>0</v>
      </c>
      <c r="P337" s="5" t="n">
        <v>0</v>
      </c>
      <c r="Q337" s="5" t="n">
        <v>0</v>
      </c>
      <c r="R337" s="5" t="n">
        <v>1</v>
      </c>
      <c r="S337" s="5" t="n">
        <v>0</v>
      </c>
      <c r="T337" s="5" t="n">
        <v>0</v>
      </c>
      <c r="U337" s="5" t="inlineStr">
        <is>
          <t>training</t>
        </is>
      </c>
      <c r="V337" s="5" t="n">
        <v>1</v>
      </c>
    </row>
    <row r="338">
      <c r="A338" s="5" t="n">
        <v>334</v>
      </c>
      <c r="B338" s="5" t="n">
        <v>1</v>
      </c>
      <c r="C338" s="6" t="n">
        <v>2.297621231823615</v>
      </c>
      <c r="D338" s="6" t="n">
        <v>2.917862041044827</v>
      </c>
      <c r="E338" s="6" t="n">
        <v>-1.003668658855008</v>
      </c>
      <c r="F338" s="6" t="n">
        <v>-0.8850484360866833</v>
      </c>
      <c r="G338" s="5" t="n">
        <v>0</v>
      </c>
      <c r="H338" s="5" t="n">
        <v>0</v>
      </c>
      <c r="I338" s="5" t="n">
        <v>0</v>
      </c>
      <c r="J338" s="5" t="n">
        <v>1</v>
      </c>
      <c r="K338" s="5" t="n">
        <v>0</v>
      </c>
      <c r="L338" s="5" t="n">
        <v>0</v>
      </c>
      <c r="M338" s="5" t="n">
        <v>1</v>
      </c>
      <c r="N338" s="5" t="n">
        <v>0</v>
      </c>
      <c r="O338" s="5" t="n">
        <v>0</v>
      </c>
      <c r="P338" s="5" t="n">
        <v>1</v>
      </c>
      <c r="Q338" s="5" t="n">
        <v>0</v>
      </c>
      <c r="R338" s="5" t="n">
        <v>1</v>
      </c>
      <c r="S338" s="5" t="n">
        <v>0</v>
      </c>
      <c r="T338" s="5" t="n">
        <v>0</v>
      </c>
      <c r="U338" s="5" t="inlineStr">
        <is>
          <t>training</t>
        </is>
      </c>
      <c r="V338" s="5" t="n">
        <v>1</v>
      </c>
    </row>
    <row r="339">
      <c r="A339" s="5" t="n">
        <v>335</v>
      </c>
      <c r="B339" s="5" t="n">
        <v>1</v>
      </c>
      <c r="C339" s="6" t="n">
        <v>0.275406400796963</v>
      </c>
      <c r="D339" s="6" t="n">
        <v>0.3006643325496658</v>
      </c>
      <c r="E339" s="6" t="n">
        <v>-1.090641679553016</v>
      </c>
      <c r="F339" s="6" t="n">
        <v>0.01674764143977723</v>
      </c>
      <c r="G339" s="5" t="n">
        <v>1</v>
      </c>
      <c r="H339" s="5" t="n">
        <v>0</v>
      </c>
      <c r="I339" s="5" t="n">
        <v>0</v>
      </c>
      <c r="J339" s="5" t="n">
        <v>0</v>
      </c>
      <c r="K339" s="5" t="n">
        <v>0</v>
      </c>
      <c r="L339" s="5" t="n">
        <v>1</v>
      </c>
      <c r="M339" s="5" t="n">
        <v>0</v>
      </c>
      <c r="N339" s="5" t="n">
        <v>0</v>
      </c>
      <c r="O339" s="5" t="n">
        <v>0</v>
      </c>
      <c r="P339" s="5" t="n">
        <v>1</v>
      </c>
      <c r="Q339" s="5" t="n">
        <v>0</v>
      </c>
      <c r="R339" s="5" t="n">
        <v>0</v>
      </c>
      <c r="S339" s="5" t="n">
        <v>0</v>
      </c>
      <c r="T339" s="5" t="n">
        <v>1</v>
      </c>
      <c r="U339" s="5" t="inlineStr">
        <is>
          <t>training</t>
        </is>
      </c>
      <c r="V339" s="5" t="n">
        <v>1</v>
      </c>
    </row>
    <row r="340">
      <c r="A340" s="5" t="n">
        <v>336</v>
      </c>
      <c r="B340" s="5" t="n">
        <v>1</v>
      </c>
      <c r="C340" s="6" t="n">
        <v>-1.241254722473026</v>
      </c>
      <c r="D340" s="6" t="n">
        <v>0.04664220201925312</v>
      </c>
      <c r="E340" s="6" t="n">
        <v>0.7357917551051447</v>
      </c>
      <c r="F340" s="6" t="n">
        <v>-1.786844513613144</v>
      </c>
      <c r="G340" s="5" t="n">
        <v>1</v>
      </c>
      <c r="H340" s="5" t="n">
        <v>0</v>
      </c>
      <c r="I340" s="5" t="n">
        <v>0</v>
      </c>
      <c r="J340" s="5" t="n">
        <v>1</v>
      </c>
      <c r="K340" s="5" t="n">
        <v>0</v>
      </c>
      <c r="L340" s="5" t="n">
        <v>0</v>
      </c>
      <c r="M340" s="5" t="n">
        <v>0</v>
      </c>
      <c r="N340" s="5" t="n">
        <v>0</v>
      </c>
      <c r="O340" s="5" t="n">
        <v>0</v>
      </c>
      <c r="P340" s="5" t="n">
        <v>1</v>
      </c>
      <c r="Q340" s="5" t="n">
        <v>0</v>
      </c>
      <c r="R340" s="5" t="n">
        <v>0</v>
      </c>
      <c r="S340" s="5" t="n">
        <v>0</v>
      </c>
      <c r="T340" s="5" t="n">
        <v>1</v>
      </c>
      <c r="U340" s="5" t="inlineStr">
        <is>
          <t>training</t>
        </is>
      </c>
      <c r="V340" s="5" t="n">
        <v>1</v>
      </c>
    </row>
    <row r="341">
      <c r="A341" s="5" t="n">
        <v>337</v>
      </c>
      <c r="B341" s="5" t="n">
        <v>0</v>
      </c>
      <c r="C341" s="6" t="n">
        <v>-0.651442063423586</v>
      </c>
      <c r="D341" s="6" t="n">
        <v>-0.4022701856811869</v>
      </c>
      <c r="E341" s="6" t="n">
        <v>-1.090641679553016</v>
      </c>
      <c r="F341" s="6" t="n">
        <v>-0.8850484360866833</v>
      </c>
      <c r="G341" s="5" t="n">
        <v>0</v>
      </c>
      <c r="H341" s="5" t="n">
        <v>1</v>
      </c>
      <c r="I341" s="5" t="n">
        <v>0</v>
      </c>
      <c r="J341" s="5" t="n">
        <v>0</v>
      </c>
      <c r="K341" s="5" t="n">
        <v>0</v>
      </c>
      <c r="L341" s="5" t="n">
        <v>0</v>
      </c>
      <c r="M341" s="5" t="n">
        <v>0</v>
      </c>
      <c r="N341" s="5" t="n">
        <v>0</v>
      </c>
      <c r="O341" s="5" t="n">
        <v>0</v>
      </c>
      <c r="P341" s="5" t="n">
        <v>0</v>
      </c>
      <c r="Q341" s="5" t="n">
        <v>0</v>
      </c>
      <c r="R341" s="5" t="n">
        <v>0</v>
      </c>
      <c r="S341" s="5" t="n">
        <v>1</v>
      </c>
      <c r="T341" s="5" t="n">
        <v>0</v>
      </c>
      <c r="U341" s="5" t="inlineStr">
        <is>
          <t>training</t>
        </is>
      </c>
      <c r="V341" s="5" t="n">
        <v>0</v>
      </c>
    </row>
    <row r="342">
      <c r="A342" s="5" t="n">
        <v>338</v>
      </c>
      <c r="B342" s="5" t="n">
        <v>1</v>
      </c>
      <c r="C342" s="6" t="n">
        <v>-0.4829241608380317</v>
      </c>
      <c r="D342" s="6" t="n">
        <v>-0.6912815903893424</v>
      </c>
      <c r="E342" s="6" t="n">
        <v>-1.003668658855008</v>
      </c>
      <c r="F342" s="6" t="n">
        <v>0.9185437189662378</v>
      </c>
      <c r="G342" s="5" t="n">
        <v>1</v>
      </c>
      <c r="H342" s="5" t="n">
        <v>0</v>
      </c>
      <c r="I342" s="5" t="n">
        <v>0</v>
      </c>
      <c r="J342" s="5" t="n">
        <v>0</v>
      </c>
      <c r="K342" s="5" t="n">
        <v>0</v>
      </c>
      <c r="L342" s="5" t="n">
        <v>0</v>
      </c>
      <c r="M342" s="5" t="n">
        <v>0</v>
      </c>
      <c r="N342" s="5" t="n">
        <v>0</v>
      </c>
      <c r="O342" s="5" t="n">
        <v>1</v>
      </c>
      <c r="P342" s="5" t="n">
        <v>1</v>
      </c>
      <c r="Q342" s="5" t="n">
        <v>0</v>
      </c>
      <c r="R342" s="5" t="n">
        <v>0</v>
      </c>
      <c r="S342" s="5" t="n">
        <v>0</v>
      </c>
      <c r="T342" s="5" t="n">
        <v>0</v>
      </c>
      <c r="U342" s="5" t="inlineStr">
        <is>
          <t>testing</t>
        </is>
      </c>
      <c r="V342" s="5" t="n">
        <v>0</v>
      </c>
    </row>
    <row r="343">
      <c r="A343" s="5" t="n">
        <v>339</v>
      </c>
      <c r="B343" s="5" t="n">
        <v>0</v>
      </c>
      <c r="C343" s="6" t="n">
        <v>0.275406400796963</v>
      </c>
      <c r="D343" s="6" t="n">
        <v>0.321308004314534</v>
      </c>
      <c r="E343" s="6" t="n">
        <v>-0.6557765760629775</v>
      </c>
      <c r="F343" s="6" t="n">
        <v>0.9185437189662378</v>
      </c>
      <c r="G343" s="5" t="n">
        <v>1</v>
      </c>
      <c r="H343" s="5" t="n">
        <v>0</v>
      </c>
      <c r="I343" s="5" t="n">
        <v>0</v>
      </c>
      <c r="J343" s="5" t="n">
        <v>0</v>
      </c>
      <c r="K343" s="5" t="n">
        <v>0</v>
      </c>
      <c r="L343" s="5" t="n">
        <v>0</v>
      </c>
      <c r="M343" s="5" t="n">
        <v>0</v>
      </c>
      <c r="N343" s="5" t="n">
        <v>0</v>
      </c>
      <c r="O343" s="5" t="n">
        <v>0</v>
      </c>
      <c r="P343" s="5" t="n">
        <v>0</v>
      </c>
      <c r="Q343" s="5" t="n">
        <v>0</v>
      </c>
      <c r="R343" s="5" t="n">
        <v>0</v>
      </c>
      <c r="S343" s="5" t="n">
        <v>0</v>
      </c>
      <c r="T343" s="5" t="n">
        <v>1</v>
      </c>
      <c r="U343" s="5" t="inlineStr">
        <is>
          <t>training</t>
        </is>
      </c>
      <c r="V343" s="5" t="n">
        <v>0</v>
      </c>
    </row>
    <row r="344">
      <c r="A344" s="5" t="n">
        <v>340</v>
      </c>
      <c r="B344" s="5" t="n">
        <v>0</v>
      </c>
      <c r="C344" s="6" t="n">
        <v>-0.9042189173019176</v>
      </c>
      <c r="D344" s="6" t="n">
        <v>-0.6052079759120952</v>
      </c>
      <c r="E344" s="6" t="n">
        <v>-0.3948575139689546</v>
      </c>
      <c r="F344" s="6" t="n">
        <v>0.9185437189662378</v>
      </c>
      <c r="G344" s="5" t="n">
        <v>0</v>
      </c>
      <c r="H344" s="5" t="n">
        <v>1</v>
      </c>
      <c r="I344" s="5" t="n">
        <v>0</v>
      </c>
      <c r="J344" s="5" t="n">
        <v>0</v>
      </c>
      <c r="K344" s="5" t="n">
        <v>0</v>
      </c>
      <c r="L344" s="5" t="n">
        <v>0</v>
      </c>
      <c r="M344" s="5" t="n">
        <v>0</v>
      </c>
      <c r="N344" s="5" t="n">
        <v>0</v>
      </c>
      <c r="O344" s="5" t="n">
        <v>0</v>
      </c>
      <c r="P344" s="5" t="n">
        <v>0</v>
      </c>
      <c r="Q344" s="5" t="n">
        <v>0</v>
      </c>
      <c r="R344" s="5" t="n">
        <v>0</v>
      </c>
      <c r="S344" s="5" t="n">
        <v>0</v>
      </c>
      <c r="T344" s="5" t="n">
        <v>1</v>
      </c>
      <c r="U344" s="5" t="inlineStr">
        <is>
          <t>training</t>
        </is>
      </c>
      <c r="V344" s="5" t="n">
        <v>0</v>
      </c>
    </row>
    <row r="345">
      <c r="A345" s="5" t="n">
        <v>341</v>
      </c>
      <c r="B345" s="5" t="n">
        <v>0</v>
      </c>
      <c r="C345" s="6" t="n">
        <v>0.275406400796963</v>
      </c>
      <c r="D345" s="6" t="n">
        <v>0.8720391798722057</v>
      </c>
      <c r="E345" s="6" t="n">
        <v>-1.003668658855008</v>
      </c>
      <c r="F345" s="6" t="n">
        <v>-0.8850484360866833</v>
      </c>
      <c r="G345" s="5" t="n">
        <v>0</v>
      </c>
      <c r="H345" s="5" t="n">
        <v>1</v>
      </c>
      <c r="I345" s="5" t="n">
        <v>0</v>
      </c>
      <c r="J345" s="5" t="n">
        <v>1</v>
      </c>
      <c r="K345" s="5" t="n">
        <v>0</v>
      </c>
      <c r="L345" s="5" t="n">
        <v>0</v>
      </c>
      <c r="M345" s="5" t="n">
        <v>0</v>
      </c>
      <c r="N345" s="5" t="n">
        <v>0</v>
      </c>
      <c r="O345" s="5" t="n">
        <v>0</v>
      </c>
      <c r="P345" s="5" t="n">
        <v>0</v>
      </c>
      <c r="Q345" s="5" t="n">
        <v>1</v>
      </c>
      <c r="R345" s="5" t="n">
        <v>0</v>
      </c>
      <c r="S345" s="5" t="n">
        <v>0</v>
      </c>
      <c r="T345" s="5" t="n">
        <v>0</v>
      </c>
      <c r="U345" s="5" t="inlineStr">
        <is>
          <t>training</t>
        </is>
      </c>
      <c r="V345" s="5" t="n">
        <v>1</v>
      </c>
    </row>
    <row r="346">
      <c r="A346" s="5" t="n">
        <v>342</v>
      </c>
      <c r="B346" s="5" t="n">
        <v>0</v>
      </c>
      <c r="C346" s="6" t="n">
        <v>0.02262954691863145</v>
      </c>
      <c r="D346" s="6" t="n">
        <v>0.1218691415014001</v>
      </c>
      <c r="E346" s="6" t="n">
        <v>-0.8297226174589928</v>
      </c>
      <c r="F346" s="6" t="n">
        <v>-1.786844513613144</v>
      </c>
      <c r="G346" s="5" t="n">
        <v>1</v>
      </c>
      <c r="H346" s="5" t="n">
        <v>0</v>
      </c>
      <c r="I346" s="5" t="n">
        <v>0</v>
      </c>
      <c r="J346" s="5" t="n">
        <v>0</v>
      </c>
      <c r="K346" s="5" t="n">
        <v>0</v>
      </c>
      <c r="L346" s="5" t="n">
        <v>0</v>
      </c>
      <c r="M346" s="5" t="n">
        <v>0</v>
      </c>
      <c r="N346" s="5" t="n">
        <v>0</v>
      </c>
      <c r="O346" s="5" t="n">
        <v>0</v>
      </c>
      <c r="P346" s="5" t="n">
        <v>1</v>
      </c>
      <c r="Q346" s="5" t="n">
        <v>0</v>
      </c>
      <c r="R346" s="5" t="n">
        <v>0</v>
      </c>
      <c r="S346" s="5" t="n">
        <v>0</v>
      </c>
      <c r="T346" s="5" t="n">
        <v>1</v>
      </c>
      <c r="U346" s="5" t="inlineStr">
        <is>
          <t>testing</t>
        </is>
      </c>
      <c r="V346" s="5" t="n">
        <v>0</v>
      </c>
    </row>
    <row r="347">
      <c r="A347" s="5" t="n">
        <v>343</v>
      </c>
      <c r="B347" s="5" t="n">
        <v>0</v>
      </c>
      <c r="C347" s="6" t="n">
        <v>-0.2301473069597001</v>
      </c>
      <c r="D347" s="6" t="n">
        <v>-0.01318945682468706</v>
      </c>
      <c r="E347" s="6" t="n">
        <v>-0.9166956381570004</v>
      </c>
      <c r="F347" s="6" t="n">
        <v>-1.786844513613144</v>
      </c>
      <c r="G347" s="5" t="n">
        <v>0</v>
      </c>
      <c r="H347" s="5" t="n">
        <v>1</v>
      </c>
      <c r="I347" s="5" t="n">
        <v>0</v>
      </c>
      <c r="J347" s="5" t="n">
        <v>0</v>
      </c>
      <c r="K347" s="5" t="n">
        <v>0</v>
      </c>
      <c r="L347" s="5" t="n">
        <v>0</v>
      </c>
      <c r="M347" s="5" t="n">
        <v>1</v>
      </c>
      <c r="N347" s="5" t="n">
        <v>0</v>
      </c>
      <c r="O347" s="5" t="n">
        <v>0</v>
      </c>
      <c r="P347" s="5" t="n">
        <v>1</v>
      </c>
      <c r="Q347" s="5" t="n">
        <v>0</v>
      </c>
      <c r="R347" s="5" t="n">
        <v>0</v>
      </c>
      <c r="S347" s="5" t="n">
        <v>1</v>
      </c>
      <c r="T347" s="5" t="n">
        <v>0</v>
      </c>
      <c r="U347" s="5" t="inlineStr">
        <is>
          <t>training</t>
        </is>
      </c>
      <c r="V347" s="5" t="n">
        <v>0</v>
      </c>
    </row>
    <row r="348">
      <c r="A348" s="5" t="n">
        <v>344</v>
      </c>
      <c r="B348" s="5" t="n">
        <v>0</v>
      </c>
      <c r="C348" s="6" t="n">
        <v>-0.2301473069597001</v>
      </c>
      <c r="D348" s="6" t="n">
        <v>0.4157790445944396</v>
      </c>
      <c r="E348" s="6" t="n">
        <v>-0.2209114725729393</v>
      </c>
      <c r="F348" s="6" t="n">
        <v>-1.786844513613144</v>
      </c>
      <c r="G348" s="5" t="n">
        <v>0</v>
      </c>
      <c r="H348" s="5" t="n">
        <v>1</v>
      </c>
      <c r="I348" s="5" t="n">
        <v>0</v>
      </c>
      <c r="J348" s="5" t="n">
        <v>0</v>
      </c>
      <c r="K348" s="5" t="n">
        <v>0</v>
      </c>
      <c r="L348" s="5" t="n">
        <v>0</v>
      </c>
      <c r="M348" s="5" t="n">
        <v>0</v>
      </c>
      <c r="N348" s="5" t="n">
        <v>0</v>
      </c>
      <c r="O348" s="5" t="n">
        <v>0</v>
      </c>
      <c r="P348" s="5" t="n">
        <v>0</v>
      </c>
      <c r="Q348" s="5" t="n">
        <v>0</v>
      </c>
      <c r="R348" s="5" t="n">
        <v>0</v>
      </c>
      <c r="S348" s="5" t="n">
        <v>0</v>
      </c>
      <c r="T348" s="5" t="n">
        <v>0</v>
      </c>
      <c r="U348" s="5" t="inlineStr">
        <is>
          <t>testing</t>
        </is>
      </c>
      <c r="V348" s="5" t="n">
        <v>0</v>
      </c>
    </row>
    <row r="349">
      <c r="A349" s="5" t="n">
        <v>345</v>
      </c>
      <c r="B349" s="5" t="n">
        <v>0</v>
      </c>
      <c r="C349" s="6" t="n">
        <v>-0.9042189173019176</v>
      </c>
      <c r="D349" s="6" t="n">
        <v>0.2443316011234999</v>
      </c>
      <c r="E349" s="6" t="n">
        <v>0.1269806102190912</v>
      </c>
      <c r="F349" s="6" t="n">
        <v>-1.786844513613144</v>
      </c>
      <c r="G349" s="5" t="n">
        <v>0</v>
      </c>
      <c r="H349" s="5" t="n">
        <v>0</v>
      </c>
      <c r="I349" s="5" t="n">
        <v>1</v>
      </c>
      <c r="J349" s="5" t="n">
        <v>0</v>
      </c>
      <c r="K349" s="5" t="n">
        <v>0</v>
      </c>
      <c r="L349" s="5" t="n">
        <v>0</v>
      </c>
      <c r="M349" s="5" t="n">
        <v>0</v>
      </c>
      <c r="N349" s="5" t="n">
        <v>0</v>
      </c>
      <c r="O349" s="5" t="n">
        <v>0</v>
      </c>
      <c r="P349" s="5" t="n">
        <v>0</v>
      </c>
      <c r="Q349" s="5" t="n">
        <v>0</v>
      </c>
      <c r="R349" s="5" t="n">
        <v>1</v>
      </c>
      <c r="S349" s="5" t="n">
        <v>0</v>
      </c>
      <c r="T349" s="5" t="n">
        <v>0</v>
      </c>
      <c r="U349" s="5" t="inlineStr">
        <is>
          <t>training</t>
        </is>
      </c>
      <c r="V349" s="5" t="n">
        <v>0</v>
      </c>
    </row>
    <row r="350">
      <c r="A350" s="5" t="n">
        <v>346</v>
      </c>
      <c r="B350" s="5" t="n">
        <v>0</v>
      </c>
      <c r="C350" s="6" t="n">
        <v>-0.4829241608380317</v>
      </c>
      <c r="D350" s="6" t="n">
        <v>-0.6269013259022956</v>
      </c>
      <c r="E350" s="6" t="n">
        <v>0.648818734407137</v>
      </c>
      <c r="F350" s="6" t="n">
        <v>0.9185437189662378</v>
      </c>
      <c r="G350" s="5" t="n">
        <v>0</v>
      </c>
      <c r="H350" s="5" t="n">
        <v>0</v>
      </c>
      <c r="I350" s="5" t="n">
        <v>0</v>
      </c>
      <c r="J350" s="5" t="n">
        <v>1</v>
      </c>
      <c r="K350" s="5" t="n">
        <v>0</v>
      </c>
      <c r="L350" s="5" t="n">
        <v>0</v>
      </c>
      <c r="M350" s="5" t="n">
        <v>0</v>
      </c>
      <c r="N350" s="5" t="n">
        <v>0</v>
      </c>
      <c r="O350" s="5" t="n">
        <v>0</v>
      </c>
      <c r="P350" s="5" t="n">
        <v>0</v>
      </c>
      <c r="Q350" s="5" t="n">
        <v>0</v>
      </c>
      <c r="R350" s="5" t="n">
        <v>0</v>
      </c>
      <c r="S350" s="5" t="n">
        <v>1</v>
      </c>
      <c r="T350" s="5" t="n">
        <v>0</v>
      </c>
      <c r="U350" s="5" t="inlineStr">
        <is>
          <t>training</t>
        </is>
      </c>
      <c r="V350" s="5" t="n">
        <v>0</v>
      </c>
    </row>
    <row r="351">
      <c r="A351" s="5" t="n">
        <v>347</v>
      </c>
      <c r="B351" s="5" t="n">
        <v>0</v>
      </c>
      <c r="C351" s="6" t="n">
        <v>-0.651442063423586</v>
      </c>
      <c r="D351" s="6" t="n">
        <v>-0.8287894379078716</v>
      </c>
      <c r="E351" s="6" t="n">
        <v>-1.090641679553016</v>
      </c>
      <c r="F351" s="6" t="n">
        <v>0.9185437189662378</v>
      </c>
      <c r="G351" s="5" t="n">
        <v>0</v>
      </c>
      <c r="H351" s="5" t="n">
        <v>1</v>
      </c>
      <c r="I351" s="5" t="n">
        <v>0</v>
      </c>
      <c r="J351" s="5" t="n">
        <v>1</v>
      </c>
      <c r="K351" s="5" t="n">
        <v>0</v>
      </c>
      <c r="L351" s="5" t="n">
        <v>0</v>
      </c>
      <c r="M351" s="5" t="n">
        <v>0</v>
      </c>
      <c r="N351" s="5" t="n">
        <v>0</v>
      </c>
      <c r="O351" s="5" t="n">
        <v>0</v>
      </c>
      <c r="P351" s="5" t="n">
        <v>0</v>
      </c>
      <c r="Q351" s="5" t="n">
        <v>0</v>
      </c>
      <c r="R351" s="5" t="n">
        <v>0</v>
      </c>
      <c r="S351" s="5" t="n">
        <v>1</v>
      </c>
      <c r="T351" s="5" t="n">
        <v>0</v>
      </c>
      <c r="U351" s="5" t="inlineStr">
        <is>
          <t>training</t>
        </is>
      </c>
      <c r="V351" s="5" t="n">
        <v>1</v>
      </c>
    </row>
    <row r="352">
      <c r="A352" s="5" t="n">
        <v>348</v>
      </c>
      <c r="B352" s="5" t="n">
        <v>0</v>
      </c>
      <c r="C352" s="6" t="n">
        <v>0.275406400796963</v>
      </c>
      <c r="D352" s="6" t="n">
        <v>0.1775020874440112</v>
      </c>
      <c r="E352" s="6" t="n">
        <v>-1.090641679553016</v>
      </c>
      <c r="F352" s="6" t="n">
        <v>-1.786844513613144</v>
      </c>
      <c r="G352" s="5" t="n">
        <v>0</v>
      </c>
      <c r="H352" s="5" t="n">
        <v>1</v>
      </c>
      <c r="I352" s="5" t="n">
        <v>0</v>
      </c>
      <c r="J352" s="5" t="n">
        <v>0</v>
      </c>
      <c r="K352" s="5" t="n">
        <v>0</v>
      </c>
      <c r="L352" s="5" t="n">
        <v>0</v>
      </c>
      <c r="M352" s="5" t="n">
        <v>1</v>
      </c>
      <c r="N352" s="5" t="n">
        <v>0</v>
      </c>
      <c r="O352" s="5" t="n">
        <v>0</v>
      </c>
      <c r="P352" s="5" t="n">
        <v>1</v>
      </c>
      <c r="Q352" s="5" t="n">
        <v>0</v>
      </c>
      <c r="R352" s="5" t="n">
        <v>0</v>
      </c>
      <c r="S352" s="5" t="n">
        <v>1</v>
      </c>
      <c r="T352" s="5" t="n">
        <v>0</v>
      </c>
      <c r="U352" s="5" t="inlineStr">
        <is>
          <t>training</t>
        </is>
      </c>
      <c r="V352" s="5" t="n">
        <v>1</v>
      </c>
    </row>
    <row r="353">
      <c r="A353" s="5" t="n">
        <v>349</v>
      </c>
      <c r="B353" s="5" t="n">
        <v>0</v>
      </c>
      <c r="C353" s="6" t="n">
        <v>-1.241254722473026</v>
      </c>
      <c r="D353" s="6" t="n">
        <v>-0.5275317872375062</v>
      </c>
      <c r="E353" s="6" t="n">
        <v>-0.1339384518749317</v>
      </c>
      <c r="F353" s="6" t="n">
        <v>-1.786844513613144</v>
      </c>
      <c r="G353" s="5" t="n">
        <v>0</v>
      </c>
      <c r="H353" s="5" t="n">
        <v>0</v>
      </c>
      <c r="I353" s="5" t="n">
        <v>0</v>
      </c>
      <c r="J353" s="5" t="n">
        <v>0</v>
      </c>
      <c r="K353" s="5" t="n">
        <v>1</v>
      </c>
      <c r="L353" s="5" t="n">
        <v>0</v>
      </c>
      <c r="M353" s="5" t="n">
        <v>1</v>
      </c>
      <c r="N353" s="5" t="n">
        <v>0</v>
      </c>
      <c r="O353" s="5" t="n">
        <v>0</v>
      </c>
      <c r="P353" s="5" t="n">
        <v>0</v>
      </c>
      <c r="Q353" s="5" t="n">
        <v>0</v>
      </c>
      <c r="R353" s="5" t="n">
        <v>0</v>
      </c>
      <c r="S353" s="5" t="n">
        <v>0</v>
      </c>
      <c r="T353" s="5" t="n">
        <v>0</v>
      </c>
      <c r="U353" s="5" t="inlineStr">
        <is>
          <t>training</t>
        </is>
      </c>
      <c r="V353" s="5" t="n">
        <v>0</v>
      </c>
    </row>
    <row r="354">
      <c r="A354" s="5" t="n">
        <v>350</v>
      </c>
      <c r="B354" s="5" t="n">
        <v>1</v>
      </c>
      <c r="C354" s="6" t="n">
        <v>-0.9884778685946948</v>
      </c>
      <c r="D354" s="6" t="n">
        <v>-0.7399166814964049</v>
      </c>
      <c r="E354" s="6" t="n">
        <v>-0.307884493270947</v>
      </c>
      <c r="F354" s="6" t="n">
        <v>0.9185437189662378</v>
      </c>
      <c r="G354" s="5" t="n">
        <v>0</v>
      </c>
      <c r="H354" s="5" t="n">
        <v>1</v>
      </c>
      <c r="I354" s="5" t="n">
        <v>0</v>
      </c>
      <c r="J354" s="5" t="n">
        <v>1</v>
      </c>
      <c r="K354" s="5" t="n">
        <v>0</v>
      </c>
      <c r="L354" s="5" t="n">
        <v>0</v>
      </c>
      <c r="M354" s="5" t="n">
        <v>0</v>
      </c>
      <c r="N354" s="5" t="n">
        <v>1</v>
      </c>
      <c r="O354" s="5" t="n">
        <v>0</v>
      </c>
      <c r="P354" s="5" t="n">
        <v>0</v>
      </c>
      <c r="Q354" s="5" t="n">
        <v>1</v>
      </c>
      <c r="R354" s="5" t="n">
        <v>0</v>
      </c>
      <c r="S354" s="5" t="n">
        <v>0</v>
      </c>
      <c r="T354" s="5" t="n">
        <v>0</v>
      </c>
      <c r="U354" s="5" t="inlineStr">
        <is>
          <t>training</t>
        </is>
      </c>
      <c r="V354" s="5" t="n">
        <v>1</v>
      </c>
    </row>
    <row r="355">
      <c r="A355" s="5" t="n">
        <v>351</v>
      </c>
      <c r="B355" s="5" t="n">
        <v>0</v>
      </c>
      <c r="C355" s="6" t="n">
        <v>-0.9884778685946948</v>
      </c>
      <c r="D355" s="6" t="n">
        <v>-0.7049274073186621</v>
      </c>
      <c r="E355" s="6" t="n">
        <v>-1.090641679553016</v>
      </c>
      <c r="F355" s="6" t="n">
        <v>-1.786844513613144</v>
      </c>
      <c r="G355" s="5" t="n">
        <v>0</v>
      </c>
      <c r="H355" s="5" t="n">
        <v>0</v>
      </c>
      <c r="I355" s="5" t="n">
        <v>0</v>
      </c>
      <c r="J355" s="5" t="n">
        <v>0</v>
      </c>
      <c r="K355" s="5" t="n">
        <v>0</v>
      </c>
      <c r="L355" s="5" t="n">
        <v>0</v>
      </c>
      <c r="M355" s="5" t="n">
        <v>0</v>
      </c>
      <c r="N355" s="5" t="n">
        <v>0</v>
      </c>
      <c r="O355" s="5" t="n">
        <v>0</v>
      </c>
      <c r="P355" s="5" t="n">
        <v>1</v>
      </c>
      <c r="Q355" s="5" t="n">
        <v>0</v>
      </c>
      <c r="R355" s="5" t="n">
        <v>0</v>
      </c>
      <c r="S355" s="5" t="n">
        <v>0</v>
      </c>
      <c r="T355" s="5" t="n">
        <v>0</v>
      </c>
      <c r="U355" s="5" t="inlineStr">
        <is>
          <t>training</t>
        </is>
      </c>
      <c r="V355" s="5" t="n">
        <v>1</v>
      </c>
    </row>
    <row r="356">
      <c r="A356" s="5" t="n">
        <v>352</v>
      </c>
      <c r="B356" s="5" t="n">
        <v>1</v>
      </c>
      <c r="C356" s="6" t="n">
        <v>-0.9884778685946948</v>
      </c>
      <c r="D356" s="6" t="n">
        <v>-0.8018476967910096</v>
      </c>
      <c r="E356" s="6" t="n">
        <v>-0.5688035553649698</v>
      </c>
      <c r="F356" s="6" t="n">
        <v>-1.786844513613144</v>
      </c>
      <c r="G356" s="5" t="n">
        <v>0</v>
      </c>
      <c r="H356" s="5" t="n">
        <v>1</v>
      </c>
      <c r="I356" s="5" t="n">
        <v>0</v>
      </c>
      <c r="J356" s="5" t="n">
        <v>0</v>
      </c>
      <c r="K356" s="5" t="n">
        <v>0</v>
      </c>
      <c r="L356" s="5" t="n">
        <v>0</v>
      </c>
      <c r="M356" s="5" t="n">
        <v>0</v>
      </c>
      <c r="N356" s="5" t="n">
        <v>0</v>
      </c>
      <c r="O356" s="5" t="n">
        <v>0</v>
      </c>
      <c r="P356" s="5" t="n">
        <v>0</v>
      </c>
      <c r="Q356" s="5" t="n">
        <v>0</v>
      </c>
      <c r="R356" s="5" t="n">
        <v>0</v>
      </c>
      <c r="S356" s="5" t="n">
        <v>0</v>
      </c>
      <c r="T356" s="5" t="n">
        <v>1</v>
      </c>
      <c r="U356" s="5" t="inlineStr">
        <is>
          <t>training</t>
        </is>
      </c>
      <c r="V356" s="5" t="n">
        <v>1</v>
      </c>
    </row>
    <row r="357">
      <c r="A357" s="5" t="n">
        <v>353</v>
      </c>
      <c r="B357" s="5" t="n">
        <v>0</v>
      </c>
      <c r="C357" s="6" t="n">
        <v>-0.2301473069597001</v>
      </c>
      <c r="D357" s="6" t="n">
        <v>-0.007591172956248209</v>
      </c>
      <c r="E357" s="6" t="n">
        <v>0.2139536309170988</v>
      </c>
      <c r="F357" s="6" t="n">
        <v>-0.8850484360866833</v>
      </c>
      <c r="G357" s="5" t="n">
        <v>0</v>
      </c>
      <c r="H357" s="5" t="n">
        <v>0</v>
      </c>
      <c r="I357" s="5" t="n">
        <v>0</v>
      </c>
      <c r="J357" s="5" t="n">
        <v>1</v>
      </c>
      <c r="K357" s="5" t="n">
        <v>0</v>
      </c>
      <c r="L357" s="5" t="n">
        <v>0</v>
      </c>
      <c r="M357" s="5" t="n">
        <v>0</v>
      </c>
      <c r="N357" s="5" t="n">
        <v>0</v>
      </c>
      <c r="O357" s="5" t="n">
        <v>1</v>
      </c>
      <c r="P357" s="5" t="n">
        <v>0</v>
      </c>
      <c r="Q357" s="5" t="n">
        <v>0</v>
      </c>
      <c r="R357" s="5" t="n">
        <v>1</v>
      </c>
      <c r="S357" s="5" t="n">
        <v>0</v>
      </c>
      <c r="T357" s="5" t="n">
        <v>0</v>
      </c>
      <c r="U357" s="5" t="inlineStr">
        <is>
          <t>training</t>
        </is>
      </c>
      <c r="V357" s="5" t="n">
        <v>0</v>
      </c>
    </row>
    <row r="358">
      <c r="A358" s="5" t="n">
        <v>354</v>
      </c>
      <c r="B358" s="5" t="n">
        <v>1</v>
      </c>
      <c r="C358" s="6" t="n">
        <v>-0.7357010147163632</v>
      </c>
      <c r="D358" s="6" t="n">
        <v>1.031590270122713</v>
      </c>
      <c r="E358" s="6" t="n">
        <v>-0.6557765760629775</v>
      </c>
      <c r="F358" s="6" t="n">
        <v>0.9185437189662378</v>
      </c>
      <c r="G358" s="5" t="n">
        <v>1</v>
      </c>
      <c r="H358" s="5" t="n">
        <v>0</v>
      </c>
      <c r="I358" s="5" t="n">
        <v>0</v>
      </c>
      <c r="J358" s="5" t="n">
        <v>0</v>
      </c>
      <c r="K358" s="5" t="n">
        <v>0</v>
      </c>
      <c r="L358" s="5" t="n">
        <v>1</v>
      </c>
      <c r="M358" s="5" t="n">
        <v>0</v>
      </c>
      <c r="N358" s="5" t="n">
        <v>0</v>
      </c>
      <c r="O358" s="5" t="n">
        <v>0</v>
      </c>
      <c r="P358" s="5" t="n">
        <v>1</v>
      </c>
      <c r="Q358" s="5" t="n">
        <v>0</v>
      </c>
      <c r="R358" s="5" t="n">
        <v>0</v>
      </c>
      <c r="S358" s="5" t="n">
        <v>1</v>
      </c>
      <c r="T358" s="5" t="n">
        <v>0</v>
      </c>
      <c r="U358" s="5" t="inlineStr">
        <is>
          <t>training</t>
        </is>
      </c>
      <c r="V358" s="5" t="n">
        <v>1</v>
      </c>
    </row>
    <row r="359">
      <c r="A359" s="5" t="n">
        <v>355</v>
      </c>
      <c r="B359" s="5" t="n">
        <v>0</v>
      </c>
      <c r="C359" s="6" t="n">
        <v>-0.9042189173019176</v>
      </c>
      <c r="D359" s="6" t="n">
        <v>-0.8830228128833729</v>
      </c>
      <c r="E359" s="6" t="n">
        <v>0.9097377965011599</v>
      </c>
      <c r="F359" s="6" t="n">
        <v>0.9185437189662378</v>
      </c>
      <c r="G359" s="5" t="n">
        <v>0</v>
      </c>
      <c r="H359" s="5" t="n">
        <v>0</v>
      </c>
      <c r="I359" s="5" t="n">
        <v>0</v>
      </c>
      <c r="J359" s="5" t="n">
        <v>0</v>
      </c>
      <c r="K359" s="5" t="n">
        <v>0</v>
      </c>
      <c r="L359" s="5" t="n">
        <v>0</v>
      </c>
      <c r="M359" s="5" t="n">
        <v>1</v>
      </c>
      <c r="N359" s="5" t="n">
        <v>0</v>
      </c>
      <c r="O359" s="5" t="n">
        <v>0</v>
      </c>
      <c r="P359" s="5" t="n">
        <v>0</v>
      </c>
      <c r="Q359" s="5" t="n">
        <v>1</v>
      </c>
      <c r="R359" s="5" t="n">
        <v>0</v>
      </c>
      <c r="S359" s="5" t="n">
        <v>0</v>
      </c>
      <c r="T359" s="5" t="n">
        <v>0</v>
      </c>
      <c r="U359" s="5" t="inlineStr">
        <is>
          <t>training</t>
        </is>
      </c>
      <c r="V359" s="5" t="n">
        <v>0</v>
      </c>
    </row>
    <row r="360">
      <c r="A360" s="5" t="n">
        <v>356</v>
      </c>
      <c r="B360" s="5" t="n">
        <v>1</v>
      </c>
      <c r="C360" s="6" t="n">
        <v>0.275406400796963</v>
      </c>
      <c r="D360" s="6" t="n">
        <v>-0.7014284799008879</v>
      </c>
      <c r="E360" s="6" t="n">
        <v>-1.090641679553016</v>
      </c>
      <c r="F360" s="6" t="n">
        <v>0.9185437189662378</v>
      </c>
      <c r="G360" s="5" t="n">
        <v>0</v>
      </c>
      <c r="H360" s="5" t="n">
        <v>1</v>
      </c>
      <c r="I360" s="5" t="n">
        <v>0</v>
      </c>
      <c r="J360" s="5" t="n">
        <v>0</v>
      </c>
      <c r="K360" s="5" t="n">
        <v>0</v>
      </c>
      <c r="L360" s="5" t="n">
        <v>0</v>
      </c>
      <c r="M360" s="5" t="n">
        <v>0</v>
      </c>
      <c r="N360" s="5" t="n">
        <v>0</v>
      </c>
      <c r="O360" s="5" t="n">
        <v>0</v>
      </c>
      <c r="P360" s="5" t="n">
        <v>0</v>
      </c>
      <c r="Q360" s="5" t="n">
        <v>0</v>
      </c>
      <c r="R360" s="5" t="n">
        <v>1</v>
      </c>
      <c r="S360" s="5" t="n">
        <v>0</v>
      </c>
      <c r="T360" s="5" t="n">
        <v>0</v>
      </c>
      <c r="U360" s="5" t="inlineStr">
        <is>
          <t>training</t>
        </is>
      </c>
      <c r="V360" s="5" t="n">
        <v>1</v>
      </c>
    </row>
    <row r="361">
      <c r="A361" s="5" t="n">
        <v>357</v>
      </c>
      <c r="B361" s="5" t="n">
        <v>0</v>
      </c>
      <c r="C361" s="6" t="n">
        <v>-0.7357010147163632</v>
      </c>
      <c r="D361" s="6" t="n">
        <v>-0.3217948550723785</v>
      </c>
      <c r="E361" s="6" t="n">
        <v>1.170656858595183</v>
      </c>
      <c r="F361" s="6" t="n">
        <v>-1.786844513613144</v>
      </c>
      <c r="G361" s="5" t="n">
        <v>0</v>
      </c>
      <c r="H361" s="5" t="n">
        <v>0</v>
      </c>
      <c r="I361" s="5" t="n">
        <v>0</v>
      </c>
      <c r="J361" s="5" t="n">
        <v>1</v>
      </c>
      <c r="K361" s="5" t="n">
        <v>0</v>
      </c>
      <c r="L361" s="5" t="n">
        <v>0</v>
      </c>
      <c r="M361" s="5" t="n">
        <v>0</v>
      </c>
      <c r="N361" s="5" t="n">
        <v>0</v>
      </c>
      <c r="O361" s="5" t="n">
        <v>1</v>
      </c>
      <c r="P361" s="5" t="n">
        <v>0</v>
      </c>
      <c r="Q361" s="5" t="n">
        <v>0</v>
      </c>
      <c r="R361" s="5" t="n">
        <v>0</v>
      </c>
      <c r="S361" s="5" t="n">
        <v>1</v>
      </c>
      <c r="T361" s="5" t="n">
        <v>0</v>
      </c>
      <c r="U361" s="5" t="inlineStr">
        <is>
          <t>training</t>
        </is>
      </c>
      <c r="V361" s="5" t="n">
        <v>0</v>
      </c>
    </row>
    <row r="362">
      <c r="A362" s="5" t="n">
        <v>358</v>
      </c>
      <c r="B362" s="5" t="n">
        <v>1</v>
      </c>
      <c r="C362" s="6" t="n">
        <v>1.286513816310289</v>
      </c>
      <c r="D362" s="6" t="n">
        <v>0.4241764703970979</v>
      </c>
      <c r="E362" s="6" t="n">
        <v>-0.8297226174589928</v>
      </c>
      <c r="F362" s="6" t="n">
        <v>0.9185437189662378</v>
      </c>
      <c r="G362" s="5" t="n">
        <v>0</v>
      </c>
      <c r="H362" s="5" t="n">
        <v>0</v>
      </c>
      <c r="I362" s="5" t="n">
        <v>0</v>
      </c>
      <c r="J362" s="5" t="n">
        <v>0</v>
      </c>
      <c r="K362" s="5" t="n">
        <v>1</v>
      </c>
      <c r="L362" s="5" t="n">
        <v>0</v>
      </c>
      <c r="M362" s="5" t="n">
        <v>0</v>
      </c>
      <c r="N362" s="5" t="n">
        <v>0</v>
      </c>
      <c r="O362" s="5" t="n">
        <v>0</v>
      </c>
      <c r="P362" s="5" t="n">
        <v>0</v>
      </c>
      <c r="Q362" s="5" t="n">
        <v>0</v>
      </c>
      <c r="R362" s="5" t="n">
        <v>0</v>
      </c>
      <c r="S362" s="5" t="n">
        <v>1</v>
      </c>
      <c r="T362" s="5" t="n">
        <v>0</v>
      </c>
      <c r="U362" s="5" t="inlineStr">
        <is>
          <t>training</t>
        </is>
      </c>
      <c r="V362" s="5" t="n">
        <v>1</v>
      </c>
    </row>
    <row r="363">
      <c r="A363" s="5" t="n">
        <v>359</v>
      </c>
      <c r="B363" s="5" t="n">
        <v>0</v>
      </c>
      <c r="C363" s="6" t="n">
        <v>-0.7357010147163632</v>
      </c>
      <c r="D363" s="6" t="n">
        <v>-0.8658780685362789</v>
      </c>
      <c r="E363" s="6" t="n">
        <v>-0.6557765760629775</v>
      </c>
      <c r="F363" s="6" t="n">
        <v>0.9185437189662378</v>
      </c>
      <c r="G363" s="5" t="n">
        <v>0</v>
      </c>
      <c r="H363" s="5" t="n">
        <v>0</v>
      </c>
      <c r="I363" s="5" t="n">
        <v>0</v>
      </c>
      <c r="J363" s="5" t="n">
        <v>0</v>
      </c>
      <c r="K363" s="5" t="n">
        <v>0</v>
      </c>
      <c r="L363" s="5" t="n">
        <v>0</v>
      </c>
      <c r="M363" s="5" t="n">
        <v>0</v>
      </c>
      <c r="N363" s="5" t="n">
        <v>0</v>
      </c>
      <c r="O363" s="5" t="n">
        <v>0</v>
      </c>
      <c r="P363" s="5" t="n">
        <v>0</v>
      </c>
      <c r="Q363" s="5" t="n">
        <v>0</v>
      </c>
      <c r="R363" s="5" t="n">
        <v>0</v>
      </c>
      <c r="S363" s="5" t="n">
        <v>1</v>
      </c>
      <c r="T363" s="5" t="n">
        <v>0</v>
      </c>
      <c r="U363" s="5" t="inlineStr">
        <is>
          <t>training</t>
        </is>
      </c>
      <c r="V363" s="5" t="n">
        <v>1</v>
      </c>
    </row>
    <row r="364">
      <c r="A364" s="5" t="n">
        <v>360</v>
      </c>
      <c r="B364" s="5" t="n">
        <v>1</v>
      </c>
      <c r="C364" s="6" t="n">
        <v>0.7809601085536261</v>
      </c>
      <c r="D364" s="6" t="n">
        <v>-0.2955528994390714</v>
      </c>
      <c r="E364" s="6" t="n">
        <v>-1.090641679553016</v>
      </c>
      <c r="F364" s="6" t="n">
        <v>0.9185437189662378</v>
      </c>
      <c r="G364" s="5" t="n">
        <v>1</v>
      </c>
      <c r="H364" s="5" t="n">
        <v>0</v>
      </c>
      <c r="I364" s="5" t="n">
        <v>0</v>
      </c>
      <c r="J364" s="5" t="n">
        <v>0</v>
      </c>
      <c r="K364" s="5" t="n">
        <v>0</v>
      </c>
      <c r="L364" s="5" t="n">
        <v>0</v>
      </c>
      <c r="M364" s="5" t="n">
        <v>0</v>
      </c>
      <c r="N364" s="5" t="n">
        <v>0</v>
      </c>
      <c r="O364" s="5" t="n">
        <v>0</v>
      </c>
      <c r="P364" s="5" t="n">
        <v>1</v>
      </c>
      <c r="Q364" s="5" t="n">
        <v>0</v>
      </c>
      <c r="R364" s="5" t="n">
        <v>0</v>
      </c>
      <c r="S364" s="5" t="n">
        <v>0</v>
      </c>
      <c r="T364" s="5" t="n">
        <v>1</v>
      </c>
      <c r="U364" s="5" t="inlineStr">
        <is>
          <t>testing</t>
        </is>
      </c>
      <c r="V364" s="5" t="n">
        <v>0</v>
      </c>
    </row>
    <row r="365">
      <c r="A365" s="5" t="n">
        <v>361</v>
      </c>
      <c r="B365" s="5" t="n">
        <v>0</v>
      </c>
      <c r="C365" s="6" t="n">
        <v>-0.2301473069597001</v>
      </c>
      <c r="D365" s="6" t="n">
        <v>-0.7038777290933298</v>
      </c>
      <c r="E365" s="6" t="n">
        <v>2.214333106971274</v>
      </c>
      <c r="F365" s="6" t="n">
        <v>0.9185437189662378</v>
      </c>
      <c r="G365" s="5" t="n">
        <v>0</v>
      </c>
      <c r="H365" s="5" t="n">
        <v>1</v>
      </c>
      <c r="I365" s="5" t="n">
        <v>0</v>
      </c>
      <c r="J365" s="5" t="n">
        <v>0</v>
      </c>
      <c r="K365" s="5" t="n">
        <v>0</v>
      </c>
      <c r="L365" s="5" t="n">
        <v>0</v>
      </c>
      <c r="M365" s="5" t="n">
        <v>0</v>
      </c>
      <c r="N365" s="5" t="n">
        <v>0</v>
      </c>
      <c r="O365" s="5" t="n">
        <v>1</v>
      </c>
      <c r="P365" s="5" t="n">
        <v>0</v>
      </c>
      <c r="Q365" s="5" t="n">
        <v>1</v>
      </c>
      <c r="R365" s="5" t="n">
        <v>0</v>
      </c>
      <c r="S365" s="5" t="n">
        <v>0</v>
      </c>
      <c r="T365" s="5" t="n">
        <v>0</v>
      </c>
      <c r="U365" s="5" t="inlineStr">
        <is>
          <t>training</t>
        </is>
      </c>
      <c r="V365" s="5" t="n">
        <v>1</v>
      </c>
    </row>
    <row r="366">
      <c r="A366" s="5" t="n">
        <v>362</v>
      </c>
      <c r="B366" s="5" t="n">
        <v>0</v>
      </c>
      <c r="C366" s="6" t="n">
        <v>-0.7357010147163632</v>
      </c>
      <c r="D366" s="6" t="n">
        <v>0.05189059314591454</v>
      </c>
      <c r="E366" s="6" t="n">
        <v>0.1269806102190912</v>
      </c>
      <c r="F366" s="6" t="n">
        <v>-0.8850484360866833</v>
      </c>
      <c r="G366" s="5" t="n">
        <v>0</v>
      </c>
      <c r="H366" s="5" t="n">
        <v>0</v>
      </c>
      <c r="I366" s="5" t="n">
        <v>1</v>
      </c>
      <c r="J366" s="5" t="n">
        <v>0</v>
      </c>
      <c r="K366" s="5" t="n">
        <v>0</v>
      </c>
      <c r="L366" s="5" t="n">
        <v>0</v>
      </c>
      <c r="M366" s="5" t="n">
        <v>0</v>
      </c>
      <c r="N366" s="5" t="n">
        <v>0</v>
      </c>
      <c r="O366" s="5" t="n">
        <v>1</v>
      </c>
      <c r="P366" s="5" t="n">
        <v>0</v>
      </c>
      <c r="Q366" s="5" t="n">
        <v>0</v>
      </c>
      <c r="R366" s="5" t="n">
        <v>0</v>
      </c>
      <c r="S366" s="5" t="n">
        <v>1</v>
      </c>
      <c r="T366" s="5" t="n">
        <v>0</v>
      </c>
      <c r="U366" s="5" t="inlineStr">
        <is>
          <t>testing</t>
        </is>
      </c>
      <c r="V366" s="5" t="n">
        <v>0</v>
      </c>
    </row>
    <row r="367">
      <c r="A367" s="5" t="n">
        <v>363</v>
      </c>
      <c r="B367" s="5" t="n">
        <v>0</v>
      </c>
      <c r="C367" s="6" t="n">
        <v>-0.7357010147163632</v>
      </c>
      <c r="D367" s="6" t="n">
        <v>-0.3511858453816825</v>
      </c>
      <c r="E367" s="6" t="n">
        <v>0.04000758952108359</v>
      </c>
      <c r="F367" s="6" t="n">
        <v>-0.8850484360866833</v>
      </c>
      <c r="G367" s="5" t="n">
        <v>0</v>
      </c>
      <c r="H367" s="5" t="n">
        <v>0</v>
      </c>
      <c r="I367" s="5" t="n">
        <v>1</v>
      </c>
      <c r="J367" s="5" t="n">
        <v>0</v>
      </c>
      <c r="K367" s="5" t="n">
        <v>1</v>
      </c>
      <c r="L367" s="5" t="n">
        <v>0</v>
      </c>
      <c r="M367" s="5" t="n">
        <v>0</v>
      </c>
      <c r="N367" s="5" t="n">
        <v>0</v>
      </c>
      <c r="O367" s="5" t="n">
        <v>0</v>
      </c>
      <c r="P367" s="5" t="n">
        <v>0</v>
      </c>
      <c r="Q367" s="5" t="n">
        <v>0</v>
      </c>
      <c r="R367" s="5" t="n">
        <v>1</v>
      </c>
      <c r="S367" s="5" t="n">
        <v>0</v>
      </c>
      <c r="T367" s="5" t="n">
        <v>0</v>
      </c>
      <c r="U367" s="5" t="inlineStr">
        <is>
          <t>training</t>
        </is>
      </c>
      <c r="V367" s="5" t="n">
        <v>0</v>
      </c>
    </row>
    <row r="368">
      <c r="A368" s="5" t="n">
        <v>364</v>
      </c>
      <c r="B368" s="5" t="n">
        <v>0</v>
      </c>
      <c r="C368" s="6" t="n">
        <v>-1.241254722473026</v>
      </c>
      <c r="D368" s="6" t="n">
        <v>-0.5194842541766252</v>
      </c>
      <c r="E368" s="6" t="n">
        <v>-1.264587720949031</v>
      </c>
      <c r="F368" s="6" t="n">
        <v>-1.786844513613144</v>
      </c>
      <c r="G368" s="5" t="n">
        <v>0</v>
      </c>
      <c r="H368" s="5" t="n">
        <v>0</v>
      </c>
      <c r="I368" s="5" t="n">
        <v>0</v>
      </c>
      <c r="J368" s="5" t="n">
        <v>0</v>
      </c>
      <c r="K368" s="5" t="n">
        <v>0</v>
      </c>
      <c r="L368" s="5" t="n">
        <v>0</v>
      </c>
      <c r="M368" s="5" t="n">
        <v>0</v>
      </c>
      <c r="N368" s="5" t="n">
        <v>0</v>
      </c>
      <c r="O368" s="5" t="n">
        <v>0</v>
      </c>
      <c r="P368" s="5" t="n">
        <v>1</v>
      </c>
      <c r="Q368" s="5" t="n">
        <v>0</v>
      </c>
      <c r="R368" s="5" t="n">
        <v>0</v>
      </c>
      <c r="S368" s="5" t="n">
        <v>0</v>
      </c>
      <c r="T368" s="5" t="n">
        <v>1</v>
      </c>
      <c r="U368" s="5" t="inlineStr">
        <is>
          <t>training</t>
        </is>
      </c>
      <c r="V368" s="5" t="n">
        <v>0</v>
      </c>
    </row>
    <row r="369">
      <c r="A369" s="5" t="n">
        <v>365</v>
      </c>
      <c r="B369" s="5" t="n">
        <v>1</v>
      </c>
      <c r="C369" s="6" t="n">
        <v>-0.2301473069597001</v>
      </c>
      <c r="D369" s="6" t="n">
        <v>-0.2721100857399837</v>
      </c>
      <c r="E369" s="6" t="n">
        <v>-0.9166956381570004</v>
      </c>
      <c r="F369" s="6" t="n">
        <v>0.9185437189662378</v>
      </c>
      <c r="G369" s="5" t="n">
        <v>1</v>
      </c>
      <c r="H369" s="5" t="n">
        <v>0</v>
      </c>
      <c r="I369" s="5" t="n">
        <v>0</v>
      </c>
      <c r="J369" s="5" t="n">
        <v>0</v>
      </c>
      <c r="K369" s="5" t="n">
        <v>0</v>
      </c>
      <c r="L369" s="5" t="n">
        <v>0</v>
      </c>
      <c r="M369" s="5" t="n">
        <v>0</v>
      </c>
      <c r="N369" s="5" t="n">
        <v>0</v>
      </c>
      <c r="O369" s="5" t="n">
        <v>0</v>
      </c>
      <c r="P369" s="5" t="n">
        <v>0</v>
      </c>
      <c r="Q369" s="5" t="n">
        <v>0</v>
      </c>
      <c r="R369" s="5" t="n">
        <v>0</v>
      </c>
      <c r="S369" s="5" t="n">
        <v>0</v>
      </c>
      <c r="T369" s="5" t="n">
        <v>1</v>
      </c>
      <c r="U369" s="5" t="inlineStr">
        <is>
          <t>testing</t>
        </is>
      </c>
      <c r="V369" s="5" t="n">
        <v>0</v>
      </c>
    </row>
    <row r="370">
      <c r="A370" s="5" t="n">
        <v>366</v>
      </c>
      <c r="B370" s="5" t="n">
        <v>0</v>
      </c>
      <c r="C370" s="6" t="n">
        <v>-0.7357010147163632</v>
      </c>
      <c r="D370" s="6" t="n">
        <v>-0.5978602283347692</v>
      </c>
      <c r="E370" s="6" t="n">
        <v>0.04000758952108359</v>
      </c>
      <c r="F370" s="6" t="n">
        <v>-0.8850484360866833</v>
      </c>
      <c r="G370" s="5" t="n">
        <v>0</v>
      </c>
      <c r="H370" s="5" t="n">
        <v>0</v>
      </c>
      <c r="I370" s="5" t="n">
        <v>0</v>
      </c>
      <c r="J370" s="5" t="n">
        <v>0</v>
      </c>
      <c r="K370" s="5" t="n">
        <v>0</v>
      </c>
      <c r="L370" s="5" t="n">
        <v>0</v>
      </c>
      <c r="M370" s="5" t="n">
        <v>0</v>
      </c>
      <c r="N370" s="5" t="n">
        <v>0</v>
      </c>
      <c r="O370" s="5" t="n">
        <v>0</v>
      </c>
      <c r="P370" s="5" t="n">
        <v>0</v>
      </c>
      <c r="Q370" s="5" t="n">
        <v>0</v>
      </c>
      <c r="R370" s="5" t="n">
        <v>0</v>
      </c>
      <c r="S370" s="5" t="n">
        <v>0</v>
      </c>
      <c r="T370" s="5" t="n">
        <v>0</v>
      </c>
      <c r="U370" s="5" t="inlineStr">
        <is>
          <t>testing</t>
        </is>
      </c>
      <c r="V370" s="5" t="n">
        <v>0</v>
      </c>
    </row>
    <row r="371">
      <c r="A371" s="5" t="n">
        <v>367</v>
      </c>
      <c r="B371" s="5" t="n">
        <v>0</v>
      </c>
      <c r="C371" s="6" t="n">
        <v>-0.2301473069597001</v>
      </c>
      <c r="D371" s="6" t="n">
        <v>0.2096922196875345</v>
      </c>
      <c r="E371" s="6" t="n">
        <v>-0.7427495967609852</v>
      </c>
      <c r="F371" s="6" t="n">
        <v>0.01674764143977723</v>
      </c>
      <c r="G371" s="5" t="n">
        <v>0</v>
      </c>
      <c r="H371" s="5" t="n">
        <v>0</v>
      </c>
      <c r="I371" s="5" t="n">
        <v>0</v>
      </c>
      <c r="J371" s="5" t="n">
        <v>1</v>
      </c>
      <c r="K371" s="5" t="n">
        <v>0</v>
      </c>
      <c r="L371" s="5" t="n">
        <v>0</v>
      </c>
      <c r="M371" s="5" t="n">
        <v>0</v>
      </c>
      <c r="N371" s="5" t="n">
        <v>0</v>
      </c>
      <c r="O371" s="5" t="n">
        <v>0</v>
      </c>
      <c r="P371" s="5" t="n">
        <v>0</v>
      </c>
      <c r="Q371" s="5" t="n">
        <v>0</v>
      </c>
      <c r="R371" s="5" t="n">
        <v>1</v>
      </c>
      <c r="S371" s="5" t="n">
        <v>0</v>
      </c>
      <c r="T371" s="5" t="n">
        <v>0</v>
      </c>
      <c r="U371" s="5" t="inlineStr">
        <is>
          <t>training</t>
        </is>
      </c>
      <c r="V371" s="5" t="n">
        <v>0</v>
      </c>
    </row>
    <row r="372">
      <c r="A372" s="5" t="n">
        <v>368</v>
      </c>
      <c r="B372" s="5" t="n">
        <v>0</v>
      </c>
      <c r="C372" s="6" t="n">
        <v>-0.2301473069597001</v>
      </c>
      <c r="D372" s="6" t="n">
        <v>0.139713671332049</v>
      </c>
      <c r="E372" s="6" t="n">
        <v>-1.177614700251023</v>
      </c>
      <c r="F372" s="6" t="n">
        <v>-1.786844513613144</v>
      </c>
      <c r="G372" s="5" t="n">
        <v>1</v>
      </c>
      <c r="H372" s="5" t="n">
        <v>0</v>
      </c>
      <c r="I372" s="5" t="n">
        <v>0</v>
      </c>
      <c r="J372" s="5" t="n">
        <v>0</v>
      </c>
      <c r="K372" s="5" t="n">
        <v>0</v>
      </c>
      <c r="L372" s="5" t="n">
        <v>0</v>
      </c>
      <c r="M372" s="5" t="n">
        <v>0</v>
      </c>
      <c r="N372" s="5" t="n">
        <v>0</v>
      </c>
      <c r="O372" s="5" t="n">
        <v>0</v>
      </c>
      <c r="P372" s="5" t="n">
        <v>1</v>
      </c>
      <c r="Q372" s="5" t="n">
        <v>0</v>
      </c>
      <c r="R372" s="5" t="n">
        <v>0</v>
      </c>
      <c r="S372" s="5" t="n">
        <v>0</v>
      </c>
      <c r="T372" s="5" t="n">
        <v>1</v>
      </c>
      <c r="U372" s="5" t="inlineStr">
        <is>
          <t>training</t>
        </is>
      </c>
      <c r="V372" s="5" t="n">
        <v>0</v>
      </c>
    </row>
    <row r="373">
      <c r="A373" s="5" t="n">
        <v>369</v>
      </c>
      <c r="B373" s="5" t="n">
        <v>1</v>
      </c>
      <c r="C373" s="6" t="n">
        <v>1.286513816310289</v>
      </c>
      <c r="D373" s="6" t="n">
        <v>0.06833555200945365</v>
      </c>
      <c r="E373" s="6" t="n">
        <v>0.5618457137091294</v>
      </c>
      <c r="F373" s="6" t="n">
        <v>0.9185437189662378</v>
      </c>
      <c r="G373" s="5" t="n">
        <v>1</v>
      </c>
      <c r="H373" s="5" t="n">
        <v>0</v>
      </c>
      <c r="I373" s="5" t="n">
        <v>0</v>
      </c>
      <c r="J373" s="5" t="n">
        <v>0</v>
      </c>
      <c r="K373" s="5" t="n">
        <v>0</v>
      </c>
      <c r="L373" s="5" t="n">
        <v>0</v>
      </c>
      <c r="M373" s="5" t="n">
        <v>0</v>
      </c>
      <c r="N373" s="5" t="n">
        <v>0</v>
      </c>
      <c r="O373" s="5" t="n">
        <v>0</v>
      </c>
      <c r="P373" s="5" t="n">
        <v>0</v>
      </c>
      <c r="Q373" s="5" t="n">
        <v>0</v>
      </c>
      <c r="R373" s="5" t="n">
        <v>0</v>
      </c>
      <c r="S373" s="5" t="n">
        <v>0</v>
      </c>
      <c r="T373" s="5" t="n">
        <v>1</v>
      </c>
      <c r="U373" s="5" t="inlineStr">
        <is>
          <t>training</t>
        </is>
      </c>
      <c r="V373" s="5" t="n">
        <v>1</v>
      </c>
    </row>
    <row r="374">
      <c r="A374" s="5" t="n">
        <v>370</v>
      </c>
      <c r="B374" s="5" t="n">
        <v>0</v>
      </c>
      <c r="C374" s="6" t="n">
        <v>-0.2301473069597001</v>
      </c>
      <c r="D374" s="6" t="n">
        <v>-0.08736671808150179</v>
      </c>
      <c r="E374" s="6" t="n">
        <v>0.3878996723131141</v>
      </c>
      <c r="F374" s="6" t="n">
        <v>-0.8850484360866833</v>
      </c>
      <c r="G374" s="5" t="n">
        <v>0</v>
      </c>
      <c r="H374" s="5" t="n">
        <v>1</v>
      </c>
      <c r="I374" s="5" t="n">
        <v>0</v>
      </c>
      <c r="J374" s="5" t="n">
        <v>0</v>
      </c>
      <c r="K374" s="5" t="n">
        <v>0</v>
      </c>
      <c r="L374" s="5" t="n">
        <v>0</v>
      </c>
      <c r="M374" s="5" t="n">
        <v>0</v>
      </c>
      <c r="N374" s="5" t="n">
        <v>0</v>
      </c>
      <c r="O374" s="5" t="n">
        <v>0</v>
      </c>
      <c r="P374" s="5" t="n">
        <v>1</v>
      </c>
      <c r="Q374" s="5" t="n">
        <v>0</v>
      </c>
      <c r="R374" s="5" t="n">
        <v>0</v>
      </c>
      <c r="S374" s="5" t="n">
        <v>0</v>
      </c>
      <c r="T374" s="5" t="n">
        <v>1</v>
      </c>
      <c r="U374" s="5" t="inlineStr">
        <is>
          <t>training</t>
        </is>
      </c>
      <c r="V374" s="5" t="n">
        <v>1</v>
      </c>
    </row>
    <row r="375">
      <c r="A375" s="5" t="n">
        <v>371</v>
      </c>
      <c r="B375" s="5" t="n">
        <v>0</v>
      </c>
      <c r="C375" s="6" t="n">
        <v>1.286513816310289</v>
      </c>
      <c r="D375" s="6" t="n">
        <v>-0.0600750842228624</v>
      </c>
      <c r="E375" s="6" t="n">
        <v>0.04000758952108359</v>
      </c>
      <c r="F375" s="6" t="n">
        <v>0.9185437189662378</v>
      </c>
      <c r="G375" s="5" t="n">
        <v>0</v>
      </c>
      <c r="H375" s="5" t="n">
        <v>0</v>
      </c>
      <c r="I375" s="5" t="n">
        <v>0</v>
      </c>
      <c r="J375" s="5" t="n">
        <v>0</v>
      </c>
      <c r="K375" s="5" t="n">
        <v>0</v>
      </c>
      <c r="L375" s="5" t="n">
        <v>0</v>
      </c>
      <c r="M375" s="5" t="n">
        <v>0</v>
      </c>
      <c r="N375" s="5" t="n">
        <v>0</v>
      </c>
      <c r="O375" s="5" t="n">
        <v>1</v>
      </c>
      <c r="P375" s="5" t="n">
        <v>0</v>
      </c>
      <c r="Q375" s="5" t="n">
        <v>0</v>
      </c>
      <c r="R375" s="5" t="n">
        <v>1</v>
      </c>
      <c r="S375" s="5" t="n">
        <v>0</v>
      </c>
      <c r="T375" s="5" t="n">
        <v>0</v>
      </c>
      <c r="U375" s="5" t="inlineStr">
        <is>
          <t>training</t>
        </is>
      </c>
      <c r="V375" s="5" t="n">
        <v>1</v>
      </c>
    </row>
    <row r="376">
      <c r="A376" s="5" t="n">
        <v>372</v>
      </c>
      <c r="B376" s="5" t="n">
        <v>0</v>
      </c>
      <c r="C376" s="6" t="n">
        <v>-0.2301473069597001</v>
      </c>
      <c r="D376" s="6" t="n">
        <v>0.9864541064334246</v>
      </c>
      <c r="E376" s="6" t="n">
        <v>-0.2209114725729393</v>
      </c>
      <c r="F376" s="6" t="n">
        <v>0.01674764143977723</v>
      </c>
      <c r="G376" s="5" t="n">
        <v>0</v>
      </c>
      <c r="H376" s="5" t="n">
        <v>0</v>
      </c>
      <c r="I376" s="5" t="n">
        <v>0</v>
      </c>
      <c r="J376" s="5" t="n">
        <v>1</v>
      </c>
      <c r="K376" s="5" t="n">
        <v>0</v>
      </c>
      <c r="L376" s="5" t="n">
        <v>0</v>
      </c>
      <c r="M376" s="5" t="n">
        <v>0</v>
      </c>
      <c r="N376" s="5" t="n">
        <v>0</v>
      </c>
      <c r="O376" s="5" t="n">
        <v>0</v>
      </c>
      <c r="P376" s="5" t="n">
        <v>0</v>
      </c>
      <c r="Q376" s="5" t="n">
        <v>0</v>
      </c>
      <c r="R376" s="5" t="n">
        <v>0</v>
      </c>
      <c r="S376" s="5" t="n">
        <v>1</v>
      </c>
      <c r="T376" s="5" t="n">
        <v>0</v>
      </c>
      <c r="U376" s="5" t="inlineStr">
        <is>
          <t>training</t>
        </is>
      </c>
      <c r="V376" s="5" t="n">
        <v>0</v>
      </c>
    </row>
    <row r="377">
      <c r="A377" s="5" t="n">
        <v>373</v>
      </c>
      <c r="B377" s="5" t="n">
        <v>0</v>
      </c>
      <c r="C377" s="6" t="n">
        <v>-0.9042189173019176</v>
      </c>
      <c r="D377" s="6" t="n">
        <v>-0.3865250123012027</v>
      </c>
      <c r="E377" s="6" t="n">
        <v>-1.090641679553016</v>
      </c>
      <c r="F377" s="6" t="n">
        <v>-1.786844513613144</v>
      </c>
      <c r="G377" s="5" t="n">
        <v>0</v>
      </c>
      <c r="H377" s="5" t="n">
        <v>0</v>
      </c>
      <c r="I377" s="5" t="n">
        <v>0</v>
      </c>
      <c r="J377" s="5" t="n">
        <v>1</v>
      </c>
      <c r="K377" s="5" t="n">
        <v>0</v>
      </c>
      <c r="L377" s="5" t="n">
        <v>0</v>
      </c>
      <c r="M377" s="5" t="n">
        <v>0</v>
      </c>
      <c r="N377" s="5" t="n">
        <v>0</v>
      </c>
      <c r="O377" s="5" t="n">
        <v>0</v>
      </c>
      <c r="P377" s="5" t="n">
        <v>1</v>
      </c>
      <c r="Q377" s="5" t="n">
        <v>0</v>
      </c>
      <c r="R377" s="5" t="n">
        <v>0</v>
      </c>
      <c r="S377" s="5" t="n">
        <v>0</v>
      </c>
      <c r="T377" s="5" t="n">
        <v>1</v>
      </c>
      <c r="U377" s="5" t="inlineStr">
        <is>
          <t>training</t>
        </is>
      </c>
      <c r="V377" s="5" t="n">
        <v>0</v>
      </c>
    </row>
    <row r="378">
      <c r="A378" s="5" t="n">
        <v>374</v>
      </c>
      <c r="B378" s="5" t="n">
        <v>0</v>
      </c>
      <c r="C378" s="6" t="n">
        <v>3.308728647336942</v>
      </c>
      <c r="D378" s="6" t="n">
        <v>3.675729719734736</v>
      </c>
      <c r="E378" s="6" t="n">
        <v>2.38827914836729</v>
      </c>
      <c r="F378" s="6" t="n">
        <v>-0.8850484360866833</v>
      </c>
      <c r="G378" s="5" t="n">
        <v>0</v>
      </c>
      <c r="H378" s="5" t="n">
        <v>0</v>
      </c>
      <c r="I378" s="5" t="n">
        <v>0</v>
      </c>
      <c r="J378" s="5" t="n">
        <v>1</v>
      </c>
      <c r="K378" s="5" t="n">
        <v>0</v>
      </c>
      <c r="L378" s="5" t="n">
        <v>0</v>
      </c>
      <c r="M378" s="5" t="n">
        <v>0</v>
      </c>
      <c r="N378" s="5" t="n">
        <v>0</v>
      </c>
      <c r="O378" s="5" t="n">
        <v>1</v>
      </c>
      <c r="P378" s="5" t="n">
        <v>0</v>
      </c>
      <c r="Q378" s="5" t="n">
        <v>1</v>
      </c>
      <c r="R378" s="5" t="n">
        <v>1</v>
      </c>
      <c r="S378" s="5" t="n">
        <v>0</v>
      </c>
      <c r="T378" s="5" t="n">
        <v>0</v>
      </c>
      <c r="U378" s="5" t="inlineStr">
        <is>
          <t>training</t>
        </is>
      </c>
      <c r="V378" s="5" t="n">
        <v>1</v>
      </c>
    </row>
    <row r="379">
      <c r="A379" s="5" t="n">
        <v>375</v>
      </c>
      <c r="B379" s="5" t="n">
        <v>1</v>
      </c>
      <c r="C379" s="6" t="n">
        <v>3.308728647336942</v>
      </c>
      <c r="D379" s="6" t="n">
        <v>4.034719672798377</v>
      </c>
      <c r="E379" s="6" t="n">
        <v>2.127360086273267</v>
      </c>
      <c r="F379" s="6" t="n">
        <v>0.01674764143977723</v>
      </c>
      <c r="G379" s="5" t="n">
        <v>0</v>
      </c>
      <c r="H379" s="5" t="n">
        <v>1</v>
      </c>
      <c r="I379" s="5" t="n">
        <v>0</v>
      </c>
      <c r="J379" s="5" t="n">
        <v>0</v>
      </c>
      <c r="K379" s="5" t="n">
        <v>0</v>
      </c>
      <c r="L379" s="5" t="n">
        <v>1</v>
      </c>
      <c r="M379" s="5" t="n">
        <v>1</v>
      </c>
      <c r="N379" s="5" t="n">
        <v>0</v>
      </c>
      <c r="O379" s="5" t="n">
        <v>0</v>
      </c>
      <c r="P379" s="5" t="n">
        <v>0</v>
      </c>
      <c r="Q379" s="5" t="n">
        <v>1</v>
      </c>
      <c r="R379" s="5" t="n">
        <v>0</v>
      </c>
      <c r="S379" s="5" t="n">
        <v>0</v>
      </c>
      <c r="T379" s="5" t="n">
        <v>0</v>
      </c>
      <c r="U379" s="5" t="inlineStr">
        <is>
          <t>training</t>
        </is>
      </c>
      <c r="V379" s="5" t="n">
        <v>1</v>
      </c>
    </row>
    <row r="380">
      <c r="A380" s="5" t="n">
        <v>376</v>
      </c>
      <c r="B380" s="5" t="n">
        <v>1</v>
      </c>
      <c r="C380" s="6" t="n">
        <v>2.297621231823615</v>
      </c>
      <c r="D380" s="6" t="n">
        <v>1.551530884403971</v>
      </c>
      <c r="E380" s="6" t="n">
        <v>0.1269806102190912</v>
      </c>
      <c r="F380" s="6" t="n">
        <v>-0.8850484360866833</v>
      </c>
      <c r="G380" s="5" t="n">
        <v>1</v>
      </c>
      <c r="H380" s="5" t="n">
        <v>0</v>
      </c>
      <c r="I380" s="5" t="n">
        <v>0</v>
      </c>
      <c r="J380" s="5" t="n">
        <v>0</v>
      </c>
      <c r="K380" s="5" t="n">
        <v>0</v>
      </c>
      <c r="L380" s="5" t="n">
        <v>1</v>
      </c>
      <c r="M380" s="5" t="n">
        <v>0</v>
      </c>
      <c r="N380" s="5" t="n">
        <v>0</v>
      </c>
      <c r="O380" s="5" t="n">
        <v>0</v>
      </c>
      <c r="P380" s="5" t="n">
        <v>1</v>
      </c>
      <c r="Q380" s="5" t="n">
        <v>0</v>
      </c>
      <c r="R380" s="5" t="n">
        <v>0</v>
      </c>
      <c r="S380" s="5" t="n">
        <v>0</v>
      </c>
      <c r="T380" s="5" t="n">
        <v>0</v>
      </c>
      <c r="U380" s="5" t="inlineStr">
        <is>
          <t>training</t>
        </is>
      </c>
      <c r="V380" s="5" t="n">
        <v>1</v>
      </c>
    </row>
    <row r="381">
      <c r="A381" s="5" t="n">
        <v>377</v>
      </c>
      <c r="B381" s="5" t="n">
        <v>0</v>
      </c>
      <c r="C381" s="6" t="n">
        <v>-0.2301473069597001</v>
      </c>
      <c r="D381" s="6" t="n">
        <v>-0.3256436752319302</v>
      </c>
      <c r="E381" s="6" t="n">
        <v>-0.1339384518749317</v>
      </c>
      <c r="F381" s="6" t="n">
        <v>-0.8850484360866833</v>
      </c>
      <c r="G381" s="5" t="n">
        <v>0</v>
      </c>
      <c r="H381" s="5" t="n">
        <v>0</v>
      </c>
      <c r="I381" s="5" t="n">
        <v>0</v>
      </c>
      <c r="J381" s="5" t="n">
        <v>0</v>
      </c>
      <c r="K381" s="5" t="n">
        <v>1</v>
      </c>
      <c r="L381" s="5" t="n">
        <v>0</v>
      </c>
      <c r="M381" s="5" t="n">
        <v>0</v>
      </c>
      <c r="N381" s="5" t="n">
        <v>0</v>
      </c>
      <c r="O381" s="5" t="n">
        <v>0</v>
      </c>
      <c r="P381" s="5" t="n">
        <v>0</v>
      </c>
      <c r="Q381" s="5" t="n">
        <v>0</v>
      </c>
      <c r="R381" s="5" t="n">
        <v>0</v>
      </c>
      <c r="S381" s="5" t="n">
        <v>1</v>
      </c>
      <c r="T381" s="5" t="n">
        <v>0</v>
      </c>
      <c r="U381" s="5" t="inlineStr">
        <is>
          <t>training</t>
        </is>
      </c>
      <c r="V381" s="5" t="n">
        <v>0</v>
      </c>
    </row>
    <row r="382">
      <c r="A382" s="5" t="n">
        <v>378</v>
      </c>
      <c r="B382" s="5" t="n">
        <v>0</v>
      </c>
      <c r="C382" s="6" t="n">
        <v>-1.156995771180249</v>
      </c>
      <c r="D382" s="6" t="n">
        <v>-0.841385576611859</v>
      </c>
      <c r="E382" s="6" t="n">
        <v>0.04000758952108359</v>
      </c>
      <c r="F382" s="6" t="n">
        <v>0.01674764143977723</v>
      </c>
      <c r="G382" s="5" t="n">
        <v>0</v>
      </c>
      <c r="H382" s="5" t="n">
        <v>0</v>
      </c>
      <c r="I382" s="5" t="n">
        <v>0</v>
      </c>
      <c r="J382" s="5" t="n">
        <v>0</v>
      </c>
      <c r="K382" s="5" t="n">
        <v>1</v>
      </c>
      <c r="L382" s="5" t="n">
        <v>0</v>
      </c>
      <c r="M382" s="5" t="n">
        <v>0</v>
      </c>
      <c r="N382" s="5" t="n">
        <v>0</v>
      </c>
      <c r="O382" s="5" t="n">
        <v>1</v>
      </c>
      <c r="P382" s="5" t="n">
        <v>0</v>
      </c>
      <c r="Q382" s="5" t="n">
        <v>1</v>
      </c>
      <c r="R382" s="5" t="n">
        <v>0</v>
      </c>
      <c r="S382" s="5" t="n">
        <v>1</v>
      </c>
      <c r="T382" s="5" t="n">
        <v>0</v>
      </c>
      <c r="U382" s="5" t="inlineStr">
        <is>
          <t>training</t>
        </is>
      </c>
      <c r="V382" s="5" t="n">
        <v>0</v>
      </c>
    </row>
    <row r="383">
      <c r="A383" s="5" t="n">
        <v>379</v>
      </c>
      <c r="B383" s="5" t="n">
        <v>1</v>
      </c>
      <c r="C383" s="6" t="n">
        <v>1.286513816310289</v>
      </c>
      <c r="D383" s="6" t="n">
        <v>3.87236944061365</v>
      </c>
      <c r="E383" s="6" t="n">
        <v>1.866441024179244</v>
      </c>
      <c r="F383" s="6" t="n">
        <v>0.9185437189662378</v>
      </c>
      <c r="G383" s="5" t="n">
        <v>0</v>
      </c>
      <c r="H383" s="5" t="n">
        <v>1</v>
      </c>
      <c r="I383" s="5" t="n">
        <v>0</v>
      </c>
      <c r="J383" s="5" t="n">
        <v>0</v>
      </c>
      <c r="K383" s="5" t="n">
        <v>0</v>
      </c>
      <c r="L383" s="5" t="n">
        <v>0</v>
      </c>
      <c r="M383" s="5" t="n">
        <v>0</v>
      </c>
      <c r="N383" s="5" t="n">
        <v>0</v>
      </c>
      <c r="O383" s="5" t="n">
        <v>0</v>
      </c>
      <c r="P383" s="5" t="n">
        <v>0</v>
      </c>
      <c r="Q383" s="5" t="n">
        <v>1</v>
      </c>
      <c r="R383" s="5" t="n">
        <v>1</v>
      </c>
      <c r="S383" s="5" t="n">
        <v>0</v>
      </c>
      <c r="T383" s="5" t="n">
        <v>0</v>
      </c>
      <c r="U383" s="5" t="inlineStr">
        <is>
          <t>training</t>
        </is>
      </c>
      <c r="V383" s="5" t="n">
        <v>1</v>
      </c>
    </row>
    <row r="384">
      <c r="A384" s="5" t="n">
        <v>380</v>
      </c>
      <c r="B384" s="5" t="n">
        <v>0</v>
      </c>
      <c r="C384" s="6" t="n">
        <v>-1.241254722473026</v>
      </c>
      <c r="D384" s="6" t="n">
        <v>-1.010733663632134</v>
      </c>
      <c r="E384" s="6" t="n">
        <v>1.431575920689206</v>
      </c>
      <c r="F384" s="6" t="n">
        <v>0.9185437189662378</v>
      </c>
      <c r="G384" s="5" t="n">
        <v>0</v>
      </c>
      <c r="H384" s="5" t="n">
        <v>0</v>
      </c>
      <c r="I384" s="5" t="n">
        <v>0</v>
      </c>
      <c r="J384" s="5" t="n">
        <v>1</v>
      </c>
      <c r="K384" s="5" t="n">
        <v>0</v>
      </c>
      <c r="L384" s="5" t="n">
        <v>0</v>
      </c>
      <c r="M384" s="5" t="n">
        <v>1</v>
      </c>
      <c r="N384" s="5" t="n">
        <v>0</v>
      </c>
      <c r="O384" s="5" t="n">
        <v>0</v>
      </c>
      <c r="P384" s="5" t="n">
        <v>0</v>
      </c>
      <c r="Q384" s="5" t="n">
        <v>0</v>
      </c>
      <c r="R384" s="5" t="n">
        <v>1</v>
      </c>
      <c r="S384" s="5" t="n">
        <v>0</v>
      </c>
      <c r="T384" s="5" t="n">
        <v>0</v>
      </c>
      <c r="U384" s="5" t="inlineStr">
        <is>
          <t>training</t>
        </is>
      </c>
      <c r="V384" s="5" t="n">
        <v>1</v>
      </c>
    </row>
    <row r="385">
      <c r="A385" s="5" t="n">
        <v>381</v>
      </c>
      <c r="B385" s="5" t="n">
        <v>0</v>
      </c>
      <c r="C385" s="6" t="n">
        <v>-0.06162940437414574</v>
      </c>
      <c r="D385" s="6" t="n">
        <v>-0.3634320913438924</v>
      </c>
      <c r="E385" s="6" t="n">
        <v>0.3009266516151065</v>
      </c>
      <c r="F385" s="6" t="n">
        <v>0.9185437189662378</v>
      </c>
      <c r="G385" s="5" t="n">
        <v>1</v>
      </c>
      <c r="H385" s="5" t="n">
        <v>0</v>
      </c>
      <c r="I385" s="5" t="n">
        <v>0</v>
      </c>
      <c r="J385" s="5" t="n">
        <v>0</v>
      </c>
      <c r="K385" s="5" t="n">
        <v>0</v>
      </c>
      <c r="L385" s="5" t="n">
        <v>0</v>
      </c>
      <c r="M385" s="5" t="n">
        <v>0</v>
      </c>
      <c r="N385" s="5" t="n">
        <v>0</v>
      </c>
      <c r="O385" s="5" t="n">
        <v>1</v>
      </c>
      <c r="P385" s="5" t="n">
        <v>0</v>
      </c>
      <c r="Q385" s="5" t="n">
        <v>0</v>
      </c>
      <c r="R385" s="5" t="n">
        <v>0</v>
      </c>
      <c r="S385" s="5" t="n">
        <v>0</v>
      </c>
      <c r="T385" s="5" t="n">
        <v>1</v>
      </c>
      <c r="U385" s="5" t="inlineStr">
        <is>
          <t>testing</t>
        </is>
      </c>
      <c r="V385" s="5" t="n">
        <v>0</v>
      </c>
    </row>
    <row r="386">
      <c r="A386" s="5" t="n">
        <v>382</v>
      </c>
      <c r="B386" s="5" t="n">
        <v>1</v>
      </c>
      <c r="C386" s="6" t="n">
        <v>-0.2301473069597001</v>
      </c>
      <c r="D386" s="6" t="n">
        <v>3.402813381148342</v>
      </c>
      <c r="E386" s="6" t="n">
        <v>0.2139536309170988</v>
      </c>
      <c r="F386" s="6" t="n">
        <v>0.01674764143977723</v>
      </c>
      <c r="G386" s="5" t="n">
        <v>0</v>
      </c>
      <c r="H386" s="5" t="n">
        <v>1</v>
      </c>
      <c r="I386" s="5" t="n">
        <v>0</v>
      </c>
      <c r="J386" s="5" t="n">
        <v>0</v>
      </c>
      <c r="K386" s="5" t="n">
        <v>0</v>
      </c>
      <c r="L386" s="5" t="n">
        <v>0</v>
      </c>
      <c r="M386" s="5" t="n">
        <v>0</v>
      </c>
      <c r="N386" s="5" t="n">
        <v>0</v>
      </c>
      <c r="O386" s="5" t="n">
        <v>0</v>
      </c>
      <c r="P386" s="5" t="n">
        <v>0</v>
      </c>
      <c r="Q386" s="5" t="n">
        <v>1</v>
      </c>
      <c r="R386" s="5" t="n">
        <v>1</v>
      </c>
      <c r="S386" s="5" t="n">
        <v>0</v>
      </c>
      <c r="T386" s="5" t="n">
        <v>0</v>
      </c>
      <c r="U386" s="5" t="inlineStr">
        <is>
          <t>testing</t>
        </is>
      </c>
      <c r="V386" s="5" t="n">
        <v>0</v>
      </c>
    </row>
    <row r="387">
      <c r="A387" s="5" t="n">
        <v>383</v>
      </c>
      <c r="B387" s="5" t="n">
        <v>0</v>
      </c>
      <c r="C387" s="6" t="n">
        <v>0.1068884982114086</v>
      </c>
      <c r="D387" s="6" t="n">
        <v>-0.688482448455123</v>
      </c>
      <c r="E387" s="6" t="n">
        <v>-0.9166956381570004</v>
      </c>
      <c r="F387" s="6" t="n">
        <v>0.9185437189662378</v>
      </c>
      <c r="G387" s="5" t="n">
        <v>0</v>
      </c>
      <c r="H387" s="5" t="n">
        <v>0</v>
      </c>
      <c r="I387" s="5" t="n">
        <v>0</v>
      </c>
      <c r="J387" s="5" t="n">
        <v>0</v>
      </c>
      <c r="K387" s="5" t="n">
        <v>0</v>
      </c>
      <c r="L387" s="5" t="n">
        <v>0</v>
      </c>
      <c r="M387" s="5" t="n">
        <v>0</v>
      </c>
      <c r="N387" s="5" t="n">
        <v>0</v>
      </c>
      <c r="O387" s="5" t="n">
        <v>1</v>
      </c>
      <c r="P387" s="5" t="n">
        <v>1</v>
      </c>
      <c r="Q387" s="5" t="n">
        <v>0</v>
      </c>
      <c r="R387" s="5" t="n">
        <v>1</v>
      </c>
      <c r="S387" s="5" t="n">
        <v>0</v>
      </c>
      <c r="T387" s="5" t="n">
        <v>0</v>
      </c>
      <c r="U387" s="5" t="inlineStr">
        <is>
          <t>training</t>
        </is>
      </c>
      <c r="V387" s="5" t="n">
        <v>0</v>
      </c>
    </row>
    <row r="388">
      <c r="A388" s="5" t="n">
        <v>384</v>
      </c>
      <c r="B388" s="5" t="n">
        <v>0</v>
      </c>
      <c r="C388" s="6" t="n">
        <v>-0.7357010147163632</v>
      </c>
      <c r="D388" s="6" t="n">
        <v>-0.6720374895915838</v>
      </c>
      <c r="E388" s="6" t="n">
        <v>-0.8297226174589928</v>
      </c>
      <c r="F388" s="6" t="n">
        <v>0.9185437189662378</v>
      </c>
      <c r="G388" s="5" t="n">
        <v>0</v>
      </c>
      <c r="H388" s="5" t="n">
        <v>0</v>
      </c>
      <c r="I388" s="5" t="n">
        <v>1</v>
      </c>
      <c r="J388" s="5" t="n">
        <v>0</v>
      </c>
      <c r="K388" s="5" t="n">
        <v>0</v>
      </c>
      <c r="L388" s="5" t="n">
        <v>0</v>
      </c>
      <c r="M388" s="5" t="n">
        <v>0</v>
      </c>
      <c r="N388" s="5" t="n">
        <v>0</v>
      </c>
      <c r="O388" s="5" t="n">
        <v>0</v>
      </c>
      <c r="P388" s="5" t="n">
        <v>0</v>
      </c>
      <c r="Q388" s="5" t="n">
        <v>0</v>
      </c>
      <c r="R388" s="5" t="n">
        <v>1</v>
      </c>
      <c r="S388" s="5" t="n">
        <v>0</v>
      </c>
      <c r="T388" s="5" t="n">
        <v>0</v>
      </c>
      <c r="U388" s="5" t="inlineStr">
        <is>
          <t>training</t>
        </is>
      </c>
      <c r="V388" s="5" t="n">
        <v>0</v>
      </c>
    </row>
    <row r="389">
      <c r="A389" s="5" t="n">
        <v>385</v>
      </c>
      <c r="B389" s="5" t="n">
        <v>0</v>
      </c>
      <c r="C389" s="6" t="n">
        <v>0.7809601085536261</v>
      </c>
      <c r="D389" s="6" t="n">
        <v>0.3573469567176091</v>
      </c>
      <c r="E389" s="6" t="n">
        <v>-0.8297226174589928</v>
      </c>
      <c r="F389" s="6" t="n">
        <v>-0.8850484360866833</v>
      </c>
      <c r="G389" s="5" t="n">
        <v>0</v>
      </c>
      <c r="H389" s="5" t="n">
        <v>0</v>
      </c>
      <c r="I389" s="5" t="n">
        <v>0</v>
      </c>
      <c r="J389" s="5" t="n">
        <v>0</v>
      </c>
      <c r="K389" s="5" t="n">
        <v>1</v>
      </c>
      <c r="L389" s="5" t="n">
        <v>0</v>
      </c>
      <c r="M389" s="5" t="n">
        <v>1</v>
      </c>
      <c r="N389" s="5" t="n">
        <v>0</v>
      </c>
      <c r="O389" s="5" t="n">
        <v>0</v>
      </c>
      <c r="P389" s="5" t="n">
        <v>0</v>
      </c>
      <c r="Q389" s="5" t="n">
        <v>0</v>
      </c>
      <c r="R389" s="5" t="n">
        <v>0</v>
      </c>
      <c r="S389" s="5" t="n">
        <v>0</v>
      </c>
      <c r="T389" s="5" t="n">
        <v>0</v>
      </c>
      <c r="U389" s="5" t="inlineStr">
        <is>
          <t>training</t>
        </is>
      </c>
      <c r="V389" s="5" t="n">
        <v>0</v>
      </c>
    </row>
    <row r="390">
      <c r="A390" s="5" t="n">
        <v>386</v>
      </c>
      <c r="B390" s="5" t="n">
        <v>0</v>
      </c>
      <c r="C390" s="6" t="n">
        <v>-0.2301473069597001</v>
      </c>
      <c r="D390" s="6" t="n">
        <v>-0.3543348800576793</v>
      </c>
      <c r="E390" s="6" t="n">
        <v>-0.9166956381570004</v>
      </c>
      <c r="F390" s="6" t="n">
        <v>-0.8850484360866833</v>
      </c>
      <c r="G390" s="5" t="n">
        <v>0</v>
      </c>
      <c r="H390" s="5" t="n">
        <v>0</v>
      </c>
      <c r="I390" s="5" t="n">
        <v>0</v>
      </c>
      <c r="J390" s="5" t="n">
        <v>1</v>
      </c>
      <c r="K390" s="5" t="n">
        <v>0</v>
      </c>
      <c r="L390" s="5" t="n">
        <v>0</v>
      </c>
      <c r="M390" s="5" t="n">
        <v>0</v>
      </c>
      <c r="N390" s="5" t="n">
        <v>0</v>
      </c>
      <c r="O390" s="5" t="n">
        <v>0</v>
      </c>
      <c r="P390" s="5" t="n">
        <v>0</v>
      </c>
      <c r="Q390" s="5" t="n">
        <v>0</v>
      </c>
      <c r="R390" s="5" t="n">
        <v>0</v>
      </c>
      <c r="S390" s="5" t="n">
        <v>1</v>
      </c>
      <c r="T390" s="5" t="n">
        <v>0</v>
      </c>
      <c r="U390" s="5" t="inlineStr">
        <is>
          <t>testing</t>
        </is>
      </c>
      <c r="V390" s="5" t="n">
        <v>0</v>
      </c>
    </row>
    <row r="391">
      <c r="A391" s="5" t="n">
        <v>387</v>
      </c>
      <c r="B391" s="5" t="n">
        <v>0</v>
      </c>
      <c r="C391" s="6" t="n">
        <v>-0.2301473069597001</v>
      </c>
      <c r="D391" s="6" t="n">
        <v>-0.7434156089141791</v>
      </c>
      <c r="E391" s="6" t="n">
        <v>-1.264587720949031</v>
      </c>
      <c r="F391" s="6" t="n">
        <v>0.9185437189662378</v>
      </c>
      <c r="G391" s="5" t="n">
        <v>0</v>
      </c>
      <c r="H391" s="5" t="n">
        <v>0</v>
      </c>
      <c r="I391" s="5" t="n">
        <v>0</v>
      </c>
      <c r="J391" s="5" t="n">
        <v>0</v>
      </c>
      <c r="K391" s="5" t="n">
        <v>0</v>
      </c>
      <c r="L391" s="5" t="n">
        <v>0</v>
      </c>
      <c r="M391" s="5" t="n">
        <v>0</v>
      </c>
      <c r="N391" s="5" t="n">
        <v>0</v>
      </c>
      <c r="O391" s="5" t="n">
        <v>1</v>
      </c>
      <c r="P391" s="5" t="n">
        <v>1</v>
      </c>
      <c r="Q391" s="5" t="n">
        <v>0</v>
      </c>
      <c r="R391" s="5" t="n">
        <v>0</v>
      </c>
      <c r="S391" s="5" t="n">
        <v>1</v>
      </c>
      <c r="T391" s="5" t="n">
        <v>0</v>
      </c>
      <c r="U391" s="5" t="inlineStr">
        <is>
          <t>testing</t>
        </is>
      </c>
      <c r="V391" s="5" t="n">
        <v>0</v>
      </c>
    </row>
    <row r="392">
      <c r="A392" s="5" t="n">
        <v>388</v>
      </c>
      <c r="B392" s="5" t="n">
        <v>0</v>
      </c>
      <c r="C392" s="6" t="n">
        <v>-0.2301473069597001</v>
      </c>
      <c r="D392" s="6" t="n">
        <v>1.442714241711191</v>
      </c>
      <c r="E392" s="6" t="n">
        <v>0.3878996723131141</v>
      </c>
      <c r="F392" s="6" t="n">
        <v>0.9185437189662378</v>
      </c>
      <c r="G392" s="5" t="n">
        <v>0</v>
      </c>
      <c r="H392" s="5" t="n">
        <v>1</v>
      </c>
      <c r="I392" s="5" t="n">
        <v>0</v>
      </c>
      <c r="J392" s="5" t="n">
        <v>1</v>
      </c>
      <c r="K392" s="5" t="n">
        <v>0</v>
      </c>
      <c r="L392" s="5" t="n">
        <v>0</v>
      </c>
      <c r="M392" s="5" t="n">
        <v>0</v>
      </c>
      <c r="N392" s="5" t="n">
        <v>0</v>
      </c>
      <c r="O392" s="5" t="n">
        <v>0</v>
      </c>
      <c r="P392" s="5" t="n">
        <v>0</v>
      </c>
      <c r="Q392" s="5" t="n">
        <v>0</v>
      </c>
      <c r="R392" s="5" t="n">
        <v>0</v>
      </c>
      <c r="S392" s="5" t="n">
        <v>0</v>
      </c>
      <c r="T392" s="5" t="n">
        <v>1</v>
      </c>
      <c r="U392" s="5" t="inlineStr">
        <is>
          <t>training</t>
        </is>
      </c>
      <c r="V392" s="5" t="n">
        <v>1</v>
      </c>
    </row>
    <row r="393">
      <c r="A393" s="5" t="n">
        <v>389</v>
      </c>
      <c r="B393" s="5" t="n">
        <v>0</v>
      </c>
      <c r="C393" s="6" t="n">
        <v>-0.4829241608380317</v>
      </c>
      <c r="D393" s="6" t="n">
        <v>-0.3235443187812657</v>
      </c>
      <c r="E393" s="6" t="n">
        <v>-0.7427495967609852</v>
      </c>
      <c r="F393" s="6" t="n">
        <v>-0.8850484360866833</v>
      </c>
      <c r="G393" s="5" t="n">
        <v>0</v>
      </c>
      <c r="H393" s="5" t="n">
        <v>1</v>
      </c>
      <c r="I393" s="5" t="n">
        <v>0</v>
      </c>
      <c r="J393" s="5" t="n">
        <v>1</v>
      </c>
      <c r="K393" s="5" t="n">
        <v>0</v>
      </c>
      <c r="L393" s="5" t="n">
        <v>0</v>
      </c>
      <c r="M393" s="5" t="n">
        <v>1</v>
      </c>
      <c r="N393" s="5" t="n">
        <v>0</v>
      </c>
      <c r="O393" s="5" t="n">
        <v>0</v>
      </c>
      <c r="P393" s="5" t="n">
        <v>0</v>
      </c>
      <c r="Q393" s="5" t="n">
        <v>0</v>
      </c>
      <c r="R393" s="5" t="n">
        <v>0</v>
      </c>
      <c r="S393" s="5" t="n">
        <v>0</v>
      </c>
      <c r="T393" s="5" t="n">
        <v>0</v>
      </c>
      <c r="U393" s="5" t="inlineStr">
        <is>
          <t>testing</t>
        </is>
      </c>
      <c r="V393" s="5" t="n">
        <v>0</v>
      </c>
    </row>
    <row r="394">
      <c r="A394" s="5" t="n">
        <v>390</v>
      </c>
      <c r="B394" s="5" t="n">
        <v>0</v>
      </c>
      <c r="C394" s="6" t="n">
        <v>-0.9884778685946948</v>
      </c>
      <c r="D394" s="6" t="n">
        <v>-0.63040025332007</v>
      </c>
      <c r="E394" s="6" t="n">
        <v>-0.7427495967609852</v>
      </c>
      <c r="F394" s="6" t="n">
        <v>0.01674764143977723</v>
      </c>
      <c r="G394" s="5" t="n">
        <v>0</v>
      </c>
      <c r="H394" s="5" t="n">
        <v>0</v>
      </c>
      <c r="I394" s="5" t="n">
        <v>0</v>
      </c>
      <c r="J394" s="5" t="n">
        <v>0</v>
      </c>
      <c r="K394" s="5" t="n">
        <v>0</v>
      </c>
      <c r="L394" s="5" t="n">
        <v>0</v>
      </c>
      <c r="M394" s="5" t="n">
        <v>0</v>
      </c>
      <c r="N394" s="5" t="n">
        <v>0</v>
      </c>
      <c r="O394" s="5" t="n">
        <v>0</v>
      </c>
      <c r="P394" s="5" t="n">
        <v>0</v>
      </c>
      <c r="Q394" s="5" t="n">
        <v>0</v>
      </c>
      <c r="R394" s="5" t="n">
        <v>0</v>
      </c>
      <c r="S394" s="5" t="n">
        <v>0</v>
      </c>
      <c r="T394" s="5" t="n">
        <v>0</v>
      </c>
      <c r="U394" s="5" t="inlineStr">
        <is>
          <t>training</t>
        </is>
      </c>
      <c r="V394" s="5" t="n">
        <v>0</v>
      </c>
    </row>
    <row r="395">
      <c r="A395" s="5" t="n">
        <v>391</v>
      </c>
      <c r="B395" s="5" t="n">
        <v>0</v>
      </c>
      <c r="C395" s="6" t="n">
        <v>-0.2301473069597001</v>
      </c>
      <c r="D395" s="6" t="n">
        <v>-0.5005900461206442</v>
      </c>
      <c r="E395" s="6" t="n">
        <v>-0.4818305346669622</v>
      </c>
      <c r="F395" s="6" t="n">
        <v>-0.8850484360866833</v>
      </c>
      <c r="G395" s="5" t="n">
        <v>0</v>
      </c>
      <c r="H395" s="5" t="n">
        <v>0</v>
      </c>
      <c r="I395" s="5" t="n">
        <v>0</v>
      </c>
      <c r="J395" s="5" t="n">
        <v>0</v>
      </c>
      <c r="K395" s="5" t="n">
        <v>0</v>
      </c>
      <c r="L395" s="5" t="n">
        <v>0</v>
      </c>
      <c r="M395" s="5" t="n">
        <v>0</v>
      </c>
      <c r="N395" s="5" t="n">
        <v>0</v>
      </c>
      <c r="O395" s="5" t="n">
        <v>0</v>
      </c>
      <c r="P395" s="5" t="n">
        <v>0</v>
      </c>
      <c r="Q395" s="5" t="n">
        <v>0</v>
      </c>
      <c r="R395" s="5" t="n">
        <v>1</v>
      </c>
      <c r="S395" s="5" t="n">
        <v>0</v>
      </c>
      <c r="T395" s="5" t="n">
        <v>0</v>
      </c>
      <c r="U395" s="5" t="inlineStr">
        <is>
          <t>training</t>
        </is>
      </c>
      <c r="V395" s="5" t="n">
        <v>1</v>
      </c>
    </row>
    <row r="396">
      <c r="A396" s="5" t="n">
        <v>392</v>
      </c>
      <c r="B396" s="5" t="n">
        <v>0</v>
      </c>
      <c r="C396" s="6" t="n">
        <v>-0.7357010147163632</v>
      </c>
      <c r="D396" s="6" t="n">
        <v>-0.7934502709883514</v>
      </c>
      <c r="E396" s="6" t="n">
        <v>-1.438533762345046</v>
      </c>
      <c r="F396" s="6" t="n">
        <v>-1.786844513613144</v>
      </c>
      <c r="G396" s="5" t="n">
        <v>0</v>
      </c>
      <c r="H396" s="5" t="n">
        <v>1</v>
      </c>
      <c r="I396" s="5" t="n">
        <v>0</v>
      </c>
      <c r="J396" s="5" t="n">
        <v>0</v>
      </c>
      <c r="K396" s="5" t="n">
        <v>0</v>
      </c>
      <c r="L396" s="5" t="n">
        <v>0</v>
      </c>
      <c r="M396" s="5" t="n">
        <v>0</v>
      </c>
      <c r="N396" s="5" t="n">
        <v>1</v>
      </c>
      <c r="O396" s="5" t="n">
        <v>0</v>
      </c>
      <c r="P396" s="5" t="n">
        <v>1</v>
      </c>
      <c r="Q396" s="5" t="n">
        <v>0</v>
      </c>
      <c r="R396" s="5" t="n">
        <v>0</v>
      </c>
      <c r="S396" s="5" t="n">
        <v>0</v>
      </c>
      <c r="T396" s="5" t="n">
        <v>1</v>
      </c>
      <c r="U396" s="5" t="inlineStr">
        <is>
          <t>testing</t>
        </is>
      </c>
      <c r="V396" s="5" t="n">
        <v>0</v>
      </c>
    </row>
    <row r="397">
      <c r="A397" s="5" t="n">
        <v>393</v>
      </c>
      <c r="B397" s="5" t="n">
        <v>0</v>
      </c>
      <c r="C397" s="6" t="n">
        <v>1.286513816310289</v>
      </c>
      <c r="D397" s="6" t="n">
        <v>-0.0005933181206996506</v>
      </c>
      <c r="E397" s="6" t="n">
        <v>0.3009266516151065</v>
      </c>
      <c r="F397" s="6" t="n">
        <v>-0.8850484360866833</v>
      </c>
      <c r="G397" s="5" t="n">
        <v>1</v>
      </c>
      <c r="H397" s="5" t="n">
        <v>0</v>
      </c>
      <c r="I397" s="5" t="n">
        <v>0</v>
      </c>
      <c r="J397" s="5" t="n">
        <v>0</v>
      </c>
      <c r="K397" s="5" t="n">
        <v>0</v>
      </c>
      <c r="L397" s="5" t="n">
        <v>0</v>
      </c>
      <c r="M397" s="5" t="n">
        <v>0</v>
      </c>
      <c r="N397" s="5" t="n">
        <v>0</v>
      </c>
      <c r="O397" s="5" t="n">
        <v>0</v>
      </c>
      <c r="P397" s="5" t="n">
        <v>0</v>
      </c>
      <c r="Q397" s="5" t="n">
        <v>1</v>
      </c>
      <c r="R397" s="5" t="n">
        <v>1</v>
      </c>
      <c r="S397" s="5" t="n">
        <v>0</v>
      </c>
      <c r="T397" s="5" t="n">
        <v>0</v>
      </c>
      <c r="U397" s="5" t="inlineStr">
        <is>
          <t>testing</t>
        </is>
      </c>
      <c r="V397" s="5" t="n">
        <v>0</v>
      </c>
    </row>
    <row r="398">
      <c r="A398" s="5" t="n">
        <v>394</v>
      </c>
      <c r="B398" s="5" t="n">
        <v>0</v>
      </c>
      <c r="C398" s="6" t="n">
        <v>-1.241254722473026</v>
      </c>
      <c r="D398" s="6" t="n">
        <v>-0.4526547404971366</v>
      </c>
      <c r="E398" s="6" t="n">
        <v>-0.3948575139689546</v>
      </c>
      <c r="F398" s="6" t="n">
        <v>-1.786844513613144</v>
      </c>
      <c r="G398" s="5" t="n">
        <v>1</v>
      </c>
      <c r="H398" s="5" t="n">
        <v>0</v>
      </c>
      <c r="I398" s="5" t="n">
        <v>0</v>
      </c>
      <c r="J398" s="5" t="n">
        <v>1</v>
      </c>
      <c r="K398" s="5" t="n">
        <v>0</v>
      </c>
      <c r="L398" s="5" t="n">
        <v>0</v>
      </c>
      <c r="M398" s="5" t="n">
        <v>0</v>
      </c>
      <c r="N398" s="5" t="n">
        <v>0</v>
      </c>
      <c r="O398" s="5" t="n">
        <v>0</v>
      </c>
      <c r="P398" s="5" t="n">
        <v>0</v>
      </c>
      <c r="Q398" s="5" t="n">
        <v>0</v>
      </c>
      <c r="R398" s="5" t="n">
        <v>0</v>
      </c>
      <c r="S398" s="5" t="n">
        <v>1</v>
      </c>
      <c r="T398" s="5" t="n">
        <v>0</v>
      </c>
      <c r="U398" s="5" t="inlineStr">
        <is>
          <t>testing</t>
        </is>
      </c>
      <c r="V398" s="5" t="n">
        <v>0</v>
      </c>
    </row>
    <row r="399">
      <c r="A399" s="5" t="n">
        <v>395</v>
      </c>
      <c r="B399" s="5" t="n">
        <v>0</v>
      </c>
      <c r="C399" s="6" t="n">
        <v>-0.9884778685946948</v>
      </c>
      <c r="D399" s="6" t="n">
        <v>-0.2955528994390714</v>
      </c>
      <c r="E399" s="6" t="n">
        <v>-0.3948575139689546</v>
      </c>
      <c r="F399" s="6" t="n">
        <v>-0.8850484360866833</v>
      </c>
      <c r="G399" s="5" t="n">
        <v>0</v>
      </c>
      <c r="H399" s="5" t="n">
        <v>0</v>
      </c>
      <c r="I399" s="5" t="n">
        <v>0</v>
      </c>
      <c r="J399" s="5" t="n">
        <v>1</v>
      </c>
      <c r="K399" s="5" t="n">
        <v>0</v>
      </c>
      <c r="L399" s="5" t="n">
        <v>0</v>
      </c>
      <c r="M399" s="5" t="n">
        <v>0</v>
      </c>
      <c r="N399" s="5" t="n">
        <v>0</v>
      </c>
      <c r="O399" s="5" t="n">
        <v>0</v>
      </c>
      <c r="P399" s="5" t="n">
        <v>0</v>
      </c>
      <c r="Q399" s="5" t="n">
        <v>0</v>
      </c>
      <c r="R399" s="5" t="n">
        <v>0</v>
      </c>
      <c r="S399" s="5" t="n">
        <v>0</v>
      </c>
      <c r="T399" s="5" t="n">
        <v>1</v>
      </c>
      <c r="U399" s="5" t="inlineStr">
        <is>
          <t>training</t>
        </is>
      </c>
      <c r="V399" s="5" t="n">
        <v>0</v>
      </c>
    </row>
    <row r="400">
      <c r="A400" s="5" t="n">
        <v>396</v>
      </c>
      <c r="B400" s="5" t="n">
        <v>0</v>
      </c>
      <c r="C400" s="6" t="n">
        <v>1.539290670188621</v>
      </c>
      <c r="D400" s="6" t="n">
        <v>2.97734380714699</v>
      </c>
      <c r="E400" s="6" t="n">
        <v>-0.307884493270947</v>
      </c>
      <c r="F400" s="6" t="n">
        <v>-0.8850484360866833</v>
      </c>
      <c r="G400" s="5" t="n">
        <v>0</v>
      </c>
      <c r="H400" s="5" t="n">
        <v>1</v>
      </c>
      <c r="I400" s="5" t="n">
        <v>0</v>
      </c>
      <c r="J400" s="5" t="n">
        <v>0</v>
      </c>
      <c r="K400" s="5" t="n">
        <v>1</v>
      </c>
      <c r="L400" s="5" t="n">
        <v>0</v>
      </c>
      <c r="M400" s="5" t="n">
        <v>1</v>
      </c>
      <c r="N400" s="5" t="n">
        <v>0</v>
      </c>
      <c r="O400" s="5" t="n">
        <v>0</v>
      </c>
      <c r="P400" s="5" t="n">
        <v>1</v>
      </c>
      <c r="Q400" s="5" t="n">
        <v>0</v>
      </c>
      <c r="R400" s="5" t="n">
        <v>0</v>
      </c>
      <c r="S400" s="5" t="n">
        <v>0</v>
      </c>
      <c r="T400" s="5" t="n">
        <v>0</v>
      </c>
      <c r="U400" s="5" t="inlineStr">
        <is>
          <t>training</t>
        </is>
      </c>
      <c r="V400" s="5" t="n">
        <v>1</v>
      </c>
    </row>
    <row r="401">
      <c r="A401" s="5" t="n">
        <v>397</v>
      </c>
      <c r="B401" s="5" t="n">
        <v>0</v>
      </c>
      <c r="C401" s="6" t="n">
        <v>-0.7357010147163632</v>
      </c>
      <c r="D401" s="6" t="n">
        <v>-0.2353713478533538</v>
      </c>
      <c r="E401" s="6" t="n">
        <v>1.692494982783229</v>
      </c>
      <c r="F401" s="6" t="n">
        <v>0.01674764143977723</v>
      </c>
      <c r="G401" s="5" t="n">
        <v>1</v>
      </c>
      <c r="H401" s="5" t="n">
        <v>0</v>
      </c>
      <c r="I401" s="5" t="n">
        <v>0</v>
      </c>
      <c r="J401" s="5" t="n">
        <v>0</v>
      </c>
      <c r="K401" s="5" t="n">
        <v>0</v>
      </c>
      <c r="L401" s="5" t="n">
        <v>0</v>
      </c>
      <c r="M401" s="5" t="n">
        <v>0</v>
      </c>
      <c r="N401" s="5" t="n">
        <v>0</v>
      </c>
      <c r="O401" s="5" t="n">
        <v>0</v>
      </c>
      <c r="P401" s="5" t="n">
        <v>0</v>
      </c>
      <c r="Q401" s="5" t="n">
        <v>1</v>
      </c>
      <c r="R401" s="5" t="n">
        <v>0</v>
      </c>
      <c r="S401" s="5" t="n">
        <v>0</v>
      </c>
      <c r="T401" s="5" t="n">
        <v>1</v>
      </c>
      <c r="U401" s="5" t="inlineStr">
        <is>
          <t>testing</t>
        </is>
      </c>
      <c r="V401" s="5" t="n">
        <v>0</v>
      </c>
    </row>
    <row r="402">
      <c r="A402" s="5" t="n">
        <v>398</v>
      </c>
      <c r="B402" s="5" t="n">
        <v>0</v>
      </c>
      <c r="C402" s="6" t="n">
        <v>1.286513816310289</v>
      </c>
      <c r="D402" s="6" t="n">
        <v>-0.3158466784621622</v>
      </c>
      <c r="E402" s="6" t="n">
        <v>0.9097377965011599</v>
      </c>
      <c r="F402" s="6" t="n">
        <v>0.01674764143977723</v>
      </c>
      <c r="G402" s="5" t="n">
        <v>1</v>
      </c>
      <c r="H402" s="5" t="n">
        <v>0</v>
      </c>
      <c r="I402" s="5" t="n">
        <v>0</v>
      </c>
      <c r="J402" s="5" t="n">
        <v>1</v>
      </c>
      <c r="K402" s="5" t="n">
        <v>0</v>
      </c>
      <c r="L402" s="5" t="n">
        <v>0</v>
      </c>
      <c r="M402" s="5" t="n">
        <v>0</v>
      </c>
      <c r="N402" s="5" t="n">
        <v>0</v>
      </c>
      <c r="O402" s="5" t="n">
        <v>0</v>
      </c>
      <c r="P402" s="5" t="n">
        <v>0</v>
      </c>
      <c r="Q402" s="5" t="n">
        <v>0</v>
      </c>
      <c r="R402" s="5" t="n">
        <v>0</v>
      </c>
      <c r="S402" s="5" t="n">
        <v>0</v>
      </c>
      <c r="T402" s="5" t="n">
        <v>1</v>
      </c>
      <c r="U402" s="5" t="inlineStr">
        <is>
          <t>testing</t>
        </is>
      </c>
      <c r="V402" s="5" t="n">
        <v>0</v>
      </c>
    </row>
    <row r="403">
      <c r="A403" s="5" t="n">
        <v>399</v>
      </c>
      <c r="B403" s="5" t="n">
        <v>1</v>
      </c>
      <c r="C403" s="6" t="n">
        <v>-0.7357010147163632</v>
      </c>
      <c r="D403" s="6" t="n">
        <v>-0.7094760129617687</v>
      </c>
      <c r="E403" s="6" t="n">
        <v>0.9097377965011599</v>
      </c>
      <c r="F403" s="6" t="n">
        <v>-1.786844513613144</v>
      </c>
      <c r="G403" s="5" t="n">
        <v>0</v>
      </c>
      <c r="H403" s="5" t="n">
        <v>1</v>
      </c>
      <c r="I403" s="5" t="n">
        <v>0</v>
      </c>
      <c r="J403" s="5" t="n">
        <v>0</v>
      </c>
      <c r="K403" s="5" t="n">
        <v>0</v>
      </c>
      <c r="L403" s="5" t="n">
        <v>0</v>
      </c>
      <c r="M403" s="5" t="n">
        <v>0</v>
      </c>
      <c r="N403" s="5" t="n">
        <v>0</v>
      </c>
      <c r="O403" s="5" t="n">
        <v>0</v>
      </c>
      <c r="P403" s="5" t="n">
        <v>1</v>
      </c>
      <c r="Q403" s="5" t="n">
        <v>0</v>
      </c>
      <c r="R403" s="5" t="n">
        <v>1</v>
      </c>
      <c r="S403" s="5" t="n">
        <v>0</v>
      </c>
      <c r="T403" s="5" t="n">
        <v>0</v>
      </c>
      <c r="U403" s="5" t="inlineStr">
        <is>
          <t>training</t>
        </is>
      </c>
      <c r="V403" s="5" t="n">
        <v>1</v>
      </c>
    </row>
    <row r="404">
      <c r="A404" s="5" t="n">
        <v>400</v>
      </c>
      <c r="B404" s="5" t="n">
        <v>0</v>
      </c>
      <c r="C404" s="6" t="n">
        <v>0.275406400796963</v>
      </c>
      <c r="D404" s="6" t="n">
        <v>-0.6069574396209823</v>
      </c>
      <c r="E404" s="6" t="n">
        <v>0.648818734407137</v>
      </c>
      <c r="F404" s="6" t="n">
        <v>0.9185437189662378</v>
      </c>
      <c r="G404" s="5" t="n">
        <v>0</v>
      </c>
      <c r="H404" s="5" t="n">
        <v>0</v>
      </c>
      <c r="I404" s="5" t="n">
        <v>0</v>
      </c>
      <c r="J404" s="5" t="n">
        <v>1</v>
      </c>
      <c r="K404" s="5" t="n">
        <v>0</v>
      </c>
      <c r="L404" s="5" t="n">
        <v>0</v>
      </c>
      <c r="M404" s="5" t="n">
        <v>0</v>
      </c>
      <c r="N404" s="5" t="n">
        <v>1</v>
      </c>
      <c r="O404" s="5" t="n">
        <v>0</v>
      </c>
      <c r="P404" s="5" t="n">
        <v>0</v>
      </c>
      <c r="Q404" s="5" t="n">
        <v>0</v>
      </c>
      <c r="R404" s="5" t="n">
        <v>0</v>
      </c>
      <c r="S404" s="5" t="n">
        <v>1</v>
      </c>
      <c r="T404" s="5" t="n">
        <v>0</v>
      </c>
      <c r="U404" s="5" t="inlineStr">
        <is>
          <t>training</t>
        </is>
      </c>
      <c r="V404" s="5" t="n">
        <v>1</v>
      </c>
    </row>
    <row r="405">
      <c r="A405" s="5" t="n">
        <v>401</v>
      </c>
      <c r="B405" s="5" t="n">
        <v>0</v>
      </c>
      <c r="C405" s="6" t="n">
        <v>-0.2301473069597001</v>
      </c>
      <c r="D405" s="6" t="n">
        <v>-0.6220028275174116</v>
      </c>
      <c r="E405" s="6" t="n">
        <v>0.3009266516151065</v>
      </c>
      <c r="F405" s="6" t="n">
        <v>0.01674764143977723</v>
      </c>
      <c r="G405" s="5" t="n">
        <v>0</v>
      </c>
      <c r="H405" s="5" t="n">
        <v>0</v>
      </c>
      <c r="I405" s="5" t="n">
        <v>0</v>
      </c>
      <c r="J405" s="5" t="n">
        <v>0</v>
      </c>
      <c r="K405" s="5" t="n">
        <v>0</v>
      </c>
      <c r="L405" s="5" t="n">
        <v>0</v>
      </c>
      <c r="M405" s="5" t="n">
        <v>0</v>
      </c>
      <c r="N405" s="5" t="n">
        <v>0</v>
      </c>
      <c r="O405" s="5" t="n">
        <v>0</v>
      </c>
      <c r="P405" s="5" t="n">
        <v>0</v>
      </c>
      <c r="Q405" s="5" t="n">
        <v>0</v>
      </c>
      <c r="R405" s="5" t="n">
        <v>0</v>
      </c>
      <c r="S405" s="5" t="n">
        <v>1</v>
      </c>
      <c r="T405" s="5" t="n">
        <v>0</v>
      </c>
      <c r="U405" s="5" t="inlineStr">
        <is>
          <t>testing</t>
        </is>
      </c>
      <c r="V405" s="5" t="n">
        <v>0</v>
      </c>
    </row>
    <row r="406">
      <c r="A406" s="5" t="n">
        <v>402</v>
      </c>
      <c r="B406" s="5" t="n">
        <v>0</v>
      </c>
      <c r="C406" s="6" t="n">
        <v>-0.2301473069597001</v>
      </c>
      <c r="D406" s="6" t="n">
        <v>-0.4771472324215565</v>
      </c>
      <c r="E406" s="6" t="n">
        <v>-0.6557765760629775</v>
      </c>
      <c r="F406" s="6" t="n">
        <v>0.9185437189662378</v>
      </c>
      <c r="G406" s="5" t="n">
        <v>0</v>
      </c>
      <c r="H406" s="5" t="n">
        <v>1</v>
      </c>
      <c r="I406" s="5" t="n">
        <v>0</v>
      </c>
      <c r="J406" s="5" t="n">
        <v>1</v>
      </c>
      <c r="K406" s="5" t="n">
        <v>0</v>
      </c>
      <c r="L406" s="5" t="n">
        <v>0</v>
      </c>
      <c r="M406" s="5" t="n">
        <v>0</v>
      </c>
      <c r="N406" s="5" t="n">
        <v>0</v>
      </c>
      <c r="O406" s="5" t="n">
        <v>1</v>
      </c>
      <c r="P406" s="5" t="n">
        <v>0</v>
      </c>
      <c r="Q406" s="5" t="n">
        <v>0</v>
      </c>
      <c r="R406" s="5" t="n">
        <v>0</v>
      </c>
      <c r="S406" s="5" t="n">
        <v>0</v>
      </c>
      <c r="T406" s="5" t="n">
        <v>0</v>
      </c>
      <c r="U406" s="5" t="inlineStr">
        <is>
          <t>training</t>
        </is>
      </c>
      <c r="V406" s="5" t="n">
        <v>1</v>
      </c>
    </row>
    <row r="407">
      <c r="A407" s="5" t="n">
        <v>403</v>
      </c>
      <c r="B407" s="5" t="n">
        <v>1</v>
      </c>
      <c r="C407" s="6" t="n">
        <v>0.275406400796963</v>
      </c>
      <c r="D407" s="6" t="n">
        <v>1.888477594735634</v>
      </c>
      <c r="E407" s="6" t="n">
        <v>-0.7427495967609852</v>
      </c>
      <c r="F407" s="6" t="n">
        <v>-0.8850484360866833</v>
      </c>
      <c r="G407" s="5" t="n">
        <v>0</v>
      </c>
      <c r="H407" s="5" t="n">
        <v>0</v>
      </c>
      <c r="I407" s="5" t="n">
        <v>0</v>
      </c>
      <c r="J407" s="5" t="n">
        <v>0</v>
      </c>
      <c r="K407" s="5" t="n">
        <v>1</v>
      </c>
      <c r="L407" s="5" t="n">
        <v>0</v>
      </c>
      <c r="M407" s="5" t="n">
        <v>0</v>
      </c>
      <c r="N407" s="5" t="n">
        <v>0</v>
      </c>
      <c r="O407" s="5" t="n">
        <v>0</v>
      </c>
      <c r="P407" s="5" t="n">
        <v>0</v>
      </c>
      <c r="Q407" s="5" t="n">
        <v>0</v>
      </c>
      <c r="R407" s="5" t="n">
        <v>0</v>
      </c>
      <c r="S407" s="5" t="n">
        <v>0</v>
      </c>
      <c r="T407" s="5" t="n">
        <v>0</v>
      </c>
      <c r="U407" s="5" t="inlineStr">
        <is>
          <t>training</t>
        </is>
      </c>
      <c r="V407" s="5" t="n">
        <v>1</v>
      </c>
    </row>
    <row r="408">
      <c r="A408" s="5" t="n">
        <v>404</v>
      </c>
      <c r="B408" s="5" t="n">
        <v>0</v>
      </c>
      <c r="C408" s="6" t="n">
        <v>-0.5671831121308089</v>
      </c>
      <c r="D408" s="6" t="n">
        <v>-0.8567808572500658</v>
      </c>
      <c r="E408" s="6" t="n">
        <v>-0.7427495967609852</v>
      </c>
      <c r="F408" s="6" t="n">
        <v>0.9185437189662378</v>
      </c>
      <c r="G408" s="5" t="n">
        <v>0</v>
      </c>
      <c r="H408" s="5" t="n">
        <v>0</v>
      </c>
      <c r="I408" s="5" t="n">
        <v>0</v>
      </c>
      <c r="J408" s="5" t="n">
        <v>0</v>
      </c>
      <c r="K408" s="5" t="n">
        <v>1</v>
      </c>
      <c r="L408" s="5" t="n">
        <v>0</v>
      </c>
      <c r="M408" s="5" t="n">
        <v>0</v>
      </c>
      <c r="N408" s="5" t="n">
        <v>0</v>
      </c>
      <c r="O408" s="5" t="n">
        <v>0</v>
      </c>
      <c r="P408" s="5" t="n">
        <v>0</v>
      </c>
      <c r="Q408" s="5" t="n">
        <v>0</v>
      </c>
      <c r="R408" s="5" t="n">
        <v>1</v>
      </c>
      <c r="S408" s="5" t="n">
        <v>0</v>
      </c>
      <c r="T408" s="5" t="n">
        <v>0</v>
      </c>
      <c r="U408" s="5" t="inlineStr">
        <is>
          <t>training</t>
        </is>
      </c>
      <c r="V408" s="5" t="n">
        <v>0</v>
      </c>
    </row>
    <row r="409">
      <c r="A409" s="5" t="n">
        <v>405</v>
      </c>
      <c r="B409" s="5" t="n">
        <v>0</v>
      </c>
      <c r="C409" s="6" t="n">
        <v>-0.2301473069597001</v>
      </c>
      <c r="D409" s="6" t="n">
        <v>-0.1230557777427994</v>
      </c>
      <c r="E409" s="6" t="n">
        <v>0.648818734407137</v>
      </c>
      <c r="F409" s="6" t="n">
        <v>0.9185437189662378</v>
      </c>
      <c r="G409" s="5" t="n">
        <v>0</v>
      </c>
      <c r="H409" s="5" t="n">
        <v>1</v>
      </c>
      <c r="I409" s="5" t="n">
        <v>0</v>
      </c>
      <c r="J409" s="5" t="n">
        <v>0</v>
      </c>
      <c r="K409" s="5" t="n">
        <v>1</v>
      </c>
      <c r="L409" s="5" t="n">
        <v>0</v>
      </c>
      <c r="M409" s="5" t="n">
        <v>0</v>
      </c>
      <c r="N409" s="5" t="n">
        <v>0</v>
      </c>
      <c r="O409" s="5" t="n">
        <v>1</v>
      </c>
      <c r="P409" s="5" t="n">
        <v>0</v>
      </c>
      <c r="Q409" s="5" t="n">
        <v>0</v>
      </c>
      <c r="R409" s="5" t="n">
        <v>1</v>
      </c>
      <c r="S409" s="5" t="n">
        <v>0</v>
      </c>
      <c r="T409" s="5" t="n">
        <v>0</v>
      </c>
      <c r="U409" s="5" t="inlineStr">
        <is>
          <t>training</t>
        </is>
      </c>
      <c r="V409" s="5" t="n">
        <v>1</v>
      </c>
    </row>
    <row r="410">
      <c r="A410" s="5" t="n">
        <v>406</v>
      </c>
      <c r="B410" s="5" t="n">
        <v>1</v>
      </c>
      <c r="C410" s="6" t="n">
        <v>0.275406400796963</v>
      </c>
      <c r="D410" s="6" t="n">
        <v>-0.4239635356713874</v>
      </c>
      <c r="E410" s="6" t="n">
        <v>-1.177614700251023</v>
      </c>
      <c r="F410" s="6" t="n">
        <v>-1.786844513613144</v>
      </c>
      <c r="G410" s="5" t="n">
        <v>0</v>
      </c>
      <c r="H410" s="5" t="n">
        <v>1</v>
      </c>
      <c r="I410" s="5" t="n">
        <v>0</v>
      </c>
      <c r="J410" s="5" t="n">
        <v>0</v>
      </c>
      <c r="K410" s="5" t="n">
        <v>0</v>
      </c>
      <c r="L410" s="5" t="n">
        <v>0</v>
      </c>
      <c r="M410" s="5" t="n">
        <v>0</v>
      </c>
      <c r="N410" s="5" t="n">
        <v>0</v>
      </c>
      <c r="O410" s="5" t="n">
        <v>0</v>
      </c>
      <c r="P410" s="5" t="n">
        <v>0</v>
      </c>
      <c r="Q410" s="5" t="n">
        <v>0</v>
      </c>
      <c r="R410" s="5" t="n">
        <v>0</v>
      </c>
      <c r="S410" s="5" t="n">
        <v>1</v>
      </c>
      <c r="T410" s="5" t="n">
        <v>0</v>
      </c>
      <c r="U410" s="5" t="inlineStr">
        <is>
          <t>training</t>
        </is>
      </c>
      <c r="V410" s="5" t="n">
        <v>1</v>
      </c>
    </row>
    <row r="411">
      <c r="A411" s="5" t="n">
        <v>407</v>
      </c>
      <c r="B411" s="5" t="n">
        <v>0</v>
      </c>
      <c r="C411" s="6" t="n">
        <v>0.275406400796963</v>
      </c>
      <c r="D411" s="6" t="n">
        <v>-0.3686804824705538</v>
      </c>
      <c r="E411" s="6" t="n">
        <v>0.648818734407137</v>
      </c>
      <c r="F411" s="6" t="n">
        <v>0.9185437189662378</v>
      </c>
      <c r="G411" s="5" t="n">
        <v>0</v>
      </c>
      <c r="H411" s="5" t="n">
        <v>0</v>
      </c>
      <c r="I411" s="5" t="n">
        <v>0</v>
      </c>
      <c r="J411" s="5" t="n">
        <v>1</v>
      </c>
      <c r="K411" s="5" t="n">
        <v>0</v>
      </c>
      <c r="L411" s="5" t="n">
        <v>0</v>
      </c>
      <c r="M411" s="5" t="n">
        <v>0</v>
      </c>
      <c r="N411" s="5" t="n">
        <v>0</v>
      </c>
      <c r="O411" s="5" t="n">
        <v>1</v>
      </c>
      <c r="P411" s="5" t="n">
        <v>0</v>
      </c>
      <c r="Q411" s="5" t="n">
        <v>0</v>
      </c>
      <c r="R411" s="5" t="n">
        <v>1</v>
      </c>
      <c r="S411" s="5" t="n">
        <v>0</v>
      </c>
      <c r="T411" s="5" t="n">
        <v>0</v>
      </c>
      <c r="U411" s="5" t="inlineStr">
        <is>
          <t>training</t>
        </is>
      </c>
      <c r="V411" s="5" t="n">
        <v>0</v>
      </c>
    </row>
    <row r="412">
      <c r="A412" s="5" t="n">
        <v>408</v>
      </c>
      <c r="B412" s="5" t="n">
        <v>0</v>
      </c>
      <c r="C412" s="6" t="n">
        <v>-0.4829241608380317</v>
      </c>
      <c r="D412" s="6" t="n">
        <v>-0.7689577790639314</v>
      </c>
      <c r="E412" s="6" t="n">
        <v>-0.7427495967609852</v>
      </c>
      <c r="F412" s="6" t="n">
        <v>0.9185437189662378</v>
      </c>
      <c r="G412" s="5" t="n">
        <v>1</v>
      </c>
      <c r="H412" s="5" t="n">
        <v>0</v>
      </c>
      <c r="I412" s="5" t="n">
        <v>0</v>
      </c>
      <c r="J412" s="5" t="n">
        <v>0</v>
      </c>
      <c r="K412" s="5" t="n">
        <v>0</v>
      </c>
      <c r="L412" s="5" t="n">
        <v>0</v>
      </c>
      <c r="M412" s="5" t="n">
        <v>0</v>
      </c>
      <c r="N412" s="5" t="n">
        <v>0</v>
      </c>
      <c r="O412" s="5" t="n">
        <v>0</v>
      </c>
      <c r="P412" s="5" t="n">
        <v>0</v>
      </c>
      <c r="Q412" s="5" t="n">
        <v>0</v>
      </c>
      <c r="R412" s="5" t="n">
        <v>0</v>
      </c>
      <c r="S412" s="5" t="n">
        <v>1</v>
      </c>
      <c r="T412" s="5" t="n">
        <v>0</v>
      </c>
      <c r="U412" s="5" t="inlineStr">
        <is>
          <t>testing</t>
        </is>
      </c>
      <c r="V412" s="5" t="n">
        <v>0</v>
      </c>
    </row>
    <row r="413">
      <c r="A413" s="5" t="n">
        <v>409</v>
      </c>
      <c r="B413" s="5" t="n">
        <v>0</v>
      </c>
      <c r="C413" s="6" t="n">
        <v>0.275406400796963</v>
      </c>
      <c r="D413" s="6" t="n">
        <v>-0.005491816505583642</v>
      </c>
      <c r="E413" s="6" t="n">
        <v>-0.8297226174589928</v>
      </c>
      <c r="F413" s="6" t="n">
        <v>0.01674764143977723</v>
      </c>
      <c r="G413" s="5" t="n">
        <v>0</v>
      </c>
      <c r="H413" s="5" t="n">
        <v>0</v>
      </c>
      <c r="I413" s="5" t="n">
        <v>0</v>
      </c>
      <c r="J413" s="5" t="n">
        <v>0</v>
      </c>
      <c r="K413" s="5" t="n">
        <v>0</v>
      </c>
      <c r="L413" s="5" t="n">
        <v>0</v>
      </c>
      <c r="M413" s="5" t="n">
        <v>1</v>
      </c>
      <c r="N413" s="5" t="n">
        <v>0</v>
      </c>
      <c r="O413" s="5" t="n">
        <v>0</v>
      </c>
      <c r="P413" s="5" t="n">
        <v>0</v>
      </c>
      <c r="Q413" s="5" t="n">
        <v>0</v>
      </c>
      <c r="R413" s="5" t="n">
        <v>0</v>
      </c>
      <c r="S413" s="5" t="n">
        <v>1</v>
      </c>
      <c r="T413" s="5" t="n">
        <v>0</v>
      </c>
      <c r="U413" s="5" t="inlineStr">
        <is>
          <t>training</t>
        </is>
      </c>
      <c r="V413" s="5" t="n">
        <v>0</v>
      </c>
    </row>
    <row r="414">
      <c r="A414" s="5" t="n">
        <v>410</v>
      </c>
      <c r="B414" s="5" t="n">
        <v>1</v>
      </c>
      <c r="C414" s="6" t="n">
        <v>-0.7357010147163632</v>
      </c>
      <c r="D414" s="6" t="n">
        <v>-0.8088455516265582</v>
      </c>
      <c r="E414" s="6" t="n">
        <v>-0.6557765760629775</v>
      </c>
      <c r="F414" s="6" t="n">
        <v>0.9185437189662378</v>
      </c>
      <c r="G414" s="5" t="n">
        <v>0</v>
      </c>
      <c r="H414" s="5" t="n">
        <v>0</v>
      </c>
      <c r="I414" s="5" t="n">
        <v>1</v>
      </c>
      <c r="J414" s="5" t="n">
        <v>1</v>
      </c>
      <c r="K414" s="5" t="n">
        <v>0</v>
      </c>
      <c r="L414" s="5" t="n">
        <v>0</v>
      </c>
      <c r="M414" s="5" t="n">
        <v>1</v>
      </c>
      <c r="N414" s="5" t="n">
        <v>0</v>
      </c>
      <c r="O414" s="5" t="n">
        <v>0</v>
      </c>
      <c r="P414" s="5" t="n">
        <v>0</v>
      </c>
      <c r="Q414" s="5" t="n">
        <v>0</v>
      </c>
      <c r="R414" s="5" t="n">
        <v>1</v>
      </c>
      <c r="S414" s="5" t="n">
        <v>0</v>
      </c>
      <c r="T414" s="5" t="n">
        <v>0</v>
      </c>
      <c r="U414" s="5" t="inlineStr">
        <is>
          <t>testing</t>
        </is>
      </c>
      <c r="V414" s="5" t="n">
        <v>0</v>
      </c>
    </row>
    <row r="415">
      <c r="A415" s="5" t="n">
        <v>411</v>
      </c>
      <c r="B415" s="5" t="n">
        <v>0</v>
      </c>
      <c r="C415" s="6" t="n">
        <v>0.275406400796963</v>
      </c>
      <c r="D415" s="6" t="n">
        <v>-0.4491558130793623</v>
      </c>
      <c r="E415" s="6" t="n">
        <v>-1.351560741647039</v>
      </c>
      <c r="F415" s="6" t="n">
        <v>0.9185437189662378</v>
      </c>
      <c r="G415" s="5" t="n">
        <v>0</v>
      </c>
      <c r="H415" s="5" t="n">
        <v>1</v>
      </c>
      <c r="I415" s="5" t="n">
        <v>0</v>
      </c>
      <c r="J415" s="5" t="n">
        <v>0</v>
      </c>
      <c r="K415" s="5" t="n">
        <v>0</v>
      </c>
      <c r="L415" s="5" t="n">
        <v>0</v>
      </c>
      <c r="M415" s="5" t="n">
        <v>0</v>
      </c>
      <c r="N415" s="5" t="n">
        <v>0</v>
      </c>
      <c r="O415" s="5" t="n">
        <v>0</v>
      </c>
      <c r="P415" s="5" t="n">
        <v>0</v>
      </c>
      <c r="Q415" s="5" t="n">
        <v>0</v>
      </c>
      <c r="R415" s="5" t="n">
        <v>0</v>
      </c>
      <c r="S415" s="5" t="n">
        <v>1</v>
      </c>
      <c r="T415" s="5" t="n">
        <v>0</v>
      </c>
      <c r="U415" s="5" t="inlineStr">
        <is>
          <t>testing</t>
        </is>
      </c>
      <c r="V415" s="5" t="n">
        <v>0</v>
      </c>
    </row>
    <row r="416">
      <c r="A416" s="5" t="n">
        <v>412</v>
      </c>
      <c r="B416" s="5" t="n">
        <v>0</v>
      </c>
      <c r="C416" s="6" t="n">
        <v>1.033736962431958</v>
      </c>
      <c r="D416" s="6" t="n">
        <v>1.400377219956122</v>
      </c>
      <c r="E416" s="6" t="n">
        <v>-0.04696543117692405</v>
      </c>
      <c r="F416" s="6" t="n">
        <v>0.01674764143977723</v>
      </c>
      <c r="G416" s="5" t="n">
        <v>0</v>
      </c>
      <c r="H416" s="5" t="n">
        <v>0</v>
      </c>
      <c r="I416" s="5" t="n">
        <v>0</v>
      </c>
      <c r="J416" s="5" t="n">
        <v>1</v>
      </c>
      <c r="K416" s="5" t="n">
        <v>0</v>
      </c>
      <c r="L416" s="5" t="n">
        <v>0</v>
      </c>
      <c r="M416" s="5" t="n">
        <v>0</v>
      </c>
      <c r="N416" s="5" t="n">
        <v>0</v>
      </c>
      <c r="O416" s="5" t="n">
        <v>0</v>
      </c>
      <c r="P416" s="5" t="n">
        <v>0</v>
      </c>
      <c r="Q416" s="5" t="n">
        <v>0</v>
      </c>
      <c r="R416" s="5" t="n">
        <v>1</v>
      </c>
      <c r="S416" s="5" t="n">
        <v>0</v>
      </c>
      <c r="T416" s="5" t="n">
        <v>0</v>
      </c>
      <c r="U416" s="5" t="inlineStr">
        <is>
          <t>testing</t>
        </is>
      </c>
      <c r="V416" s="5" t="n">
        <v>0</v>
      </c>
    </row>
    <row r="417">
      <c r="A417" s="5" t="n">
        <v>413</v>
      </c>
      <c r="B417" s="5" t="n">
        <v>1</v>
      </c>
      <c r="C417" s="6" t="n">
        <v>-0.7357010147163632</v>
      </c>
      <c r="D417" s="6" t="n">
        <v>-0.3354406720016982</v>
      </c>
      <c r="E417" s="6" t="n">
        <v>0.5618457137091294</v>
      </c>
      <c r="F417" s="6" t="n">
        <v>0.9185437189662378</v>
      </c>
      <c r="G417" s="5" t="n">
        <v>0</v>
      </c>
      <c r="H417" s="5" t="n">
        <v>0</v>
      </c>
      <c r="I417" s="5" t="n">
        <v>0</v>
      </c>
      <c r="J417" s="5" t="n">
        <v>1</v>
      </c>
      <c r="K417" s="5" t="n">
        <v>0</v>
      </c>
      <c r="L417" s="5" t="n">
        <v>0</v>
      </c>
      <c r="M417" s="5" t="n">
        <v>0</v>
      </c>
      <c r="N417" s="5" t="n">
        <v>0</v>
      </c>
      <c r="O417" s="5" t="n">
        <v>0</v>
      </c>
      <c r="P417" s="5" t="n">
        <v>0</v>
      </c>
      <c r="Q417" s="5" t="n">
        <v>0</v>
      </c>
      <c r="R417" s="5" t="n">
        <v>0</v>
      </c>
      <c r="S417" s="5" t="n">
        <v>0</v>
      </c>
      <c r="T417" s="5" t="n">
        <v>0</v>
      </c>
      <c r="U417" s="5" t="inlineStr">
        <is>
          <t>training</t>
        </is>
      </c>
      <c r="V417" s="5" t="n">
        <v>1</v>
      </c>
    </row>
    <row r="418">
      <c r="A418" s="5" t="n">
        <v>414</v>
      </c>
      <c r="B418" s="5" t="n">
        <v>0</v>
      </c>
      <c r="C418" s="6" t="n">
        <v>-0.9042189173019176</v>
      </c>
      <c r="D418" s="6" t="n">
        <v>-0.5786161275370106</v>
      </c>
      <c r="E418" s="6" t="n">
        <v>0.3878996723131141</v>
      </c>
      <c r="F418" s="6" t="n">
        <v>0.01674764143977723</v>
      </c>
      <c r="G418" s="5" t="n">
        <v>0</v>
      </c>
      <c r="H418" s="5" t="n">
        <v>0</v>
      </c>
      <c r="I418" s="5" t="n">
        <v>0</v>
      </c>
      <c r="J418" s="5" t="n">
        <v>0</v>
      </c>
      <c r="K418" s="5" t="n">
        <v>0</v>
      </c>
      <c r="L418" s="5" t="n">
        <v>0</v>
      </c>
      <c r="M418" s="5" t="n">
        <v>1</v>
      </c>
      <c r="N418" s="5" t="n">
        <v>0</v>
      </c>
      <c r="O418" s="5" t="n">
        <v>0</v>
      </c>
      <c r="P418" s="5" t="n">
        <v>1</v>
      </c>
      <c r="Q418" s="5" t="n">
        <v>0</v>
      </c>
      <c r="R418" s="5" t="n">
        <v>1</v>
      </c>
      <c r="S418" s="5" t="n">
        <v>0</v>
      </c>
      <c r="T418" s="5" t="n">
        <v>0</v>
      </c>
      <c r="U418" s="5" t="inlineStr">
        <is>
          <t>training</t>
        </is>
      </c>
      <c r="V418" s="5" t="n">
        <v>0</v>
      </c>
    </row>
    <row r="419">
      <c r="A419" s="5" t="n">
        <v>415</v>
      </c>
      <c r="B419" s="5" t="n">
        <v>1</v>
      </c>
      <c r="C419" s="6" t="n">
        <v>0.275406400796963</v>
      </c>
      <c r="D419" s="6" t="n">
        <v>-0.6541929597609351</v>
      </c>
      <c r="E419" s="6" t="n">
        <v>-0.04696543117692405</v>
      </c>
      <c r="F419" s="6" t="n">
        <v>0.9185437189662378</v>
      </c>
      <c r="G419" s="5" t="n">
        <v>1</v>
      </c>
      <c r="H419" s="5" t="n">
        <v>0</v>
      </c>
      <c r="I419" s="5" t="n">
        <v>0</v>
      </c>
      <c r="J419" s="5" t="n">
        <v>0</v>
      </c>
      <c r="K419" s="5" t="n">
        <v>0</v>
      </c>
      <c r="L419" s="5" t="n">
        <v>0</v>
      </c>
      <c r="M419" s="5" t="n">
        <v>0</v>
      </c>
      <c r="N419" s="5" t="n">
        <v>0</v>
      </c>
      <c r="O419" s="5" t="n">
        <v>1</v>
      </c>
      <c r="P419" s="5" t="n">
        <v>0</v>
      </c>
      <c r="Q419" s="5" t="n">
        <v>0</v>
      </c>
      <c r="R419" s="5" t="n">
        <v>1</v>
      </c>
      <c r="S419" s="5" t="n">
        <v>0</v>
      </c>
      <c r="T419" s="5" t="n">
        <v>0</v>
      </c>
      <c r="U419" s="5" t="inlineStr">
        <is>
          <t>training</t>
        </is>
      </c>
      <c r="V419" s="5" t="n">
        <v>1</v>
      </c>
    </row>
    <row r="420">
      <c r="A420" s="5" t="n">
        <v>416</v>
      </c>
      <c r="B420" s="5" t="n">
        <v>0</v>
      </c>
      <c r="C420" s="6" t="n">
        <v>1.286513816310289</v>
      </c>
      <c r="D420" s="6" t="n">
        <v>0.906678561308171</v>
      </c>
      <c r="E420" s="6" t="n">
        <v>-0.04696543117692405</v>
      </c>
      <c r="F420" s="6" t="n">
        <v>-0.8850484360866833</v>
      </c>
      <c r="G420" s="5" t="n">
        <v>0</v>
      </c>
      <c r="H420" s="5" t="n">
        <v>0</v>
      </c>
      <c r="I420" s="5" t="n">
        <v>0</v>
      </c>
      <c r="J420" s="5" t="n">
        <v>1</v>
      </c>
      <c r="K420" s="5" t="n">
        <v>0</v>
      </c>
      <c r="L420" s="5" t="n">
        <v>0</v>
      </c>
      <c r="M420" s="5" t="n">
        <v>0</v>
      </c>
      <c r="N420" s="5" t="n">
        <v>0</v>
      </c>
      <c r="O420" s="5" t="n">
        <v>0</v>
      </c>
      <c r="P420" s="5" t="n">
        <v>0</v>
      </c>
      <c r="Q420" s="5" t="n">
        <v>0</v>
      </c>
      <c r="R420" s="5" t="n">
        <v>1</v>
      </c>
      <c r="S420" s="5" t="n">
        <v>0</v>
      </c>
      <c r="T420" s="5" t="n">
        <v>0</v>
      </c>
      <c r="U420" s="5" t="inlineStr">
        <is>
          <t>training</t>
        </is>
      </c>
      <c r="V420" s="5" t="n">
        <v>0</v>
      </c>
    </row>
    <row r="421">
      <c r="A421" s="5" t="n">
        <v>417</v>
      </c>
      <c r="B421" s="5" t="n">
        <v>1</v>
      </c>
      <c r="C421" s="6" t="n">
        <v>-0.7357010147163632</v>
      </c>
      <c r="D421" s="6" t="n">
        <v>-0.2350214551115764</v>
      </c>
      <c r="E421" s="6" t="n">
        <v>-0.2209114725729393</v>
      </c>
      <c r="F421" s="6" t="n">
        <v>0.9185437189662378</v>
      </c>
      <c r="G421" s="5" t="n">
        <v>1</v>
      </c>
      <c r="H421" s="5" t="n">
        <v>0</v>
      </c>
      <c r="I421" s="5" t="n">
        <v>0</v>
      </c>
      <c r="J421" s="5" t="n">
        <v>0</v>
      </c>
      <c r="K421" s="5" t="n">
        <v>0</v>
      </c>
      <c r="L421" s="5" t="n">
        <v>0</v>
      </c>
      <c r="M421" s="5" t="n">
        <v>0</v>
      </c>
      <c r="N421" s="5" t="n">
        <v>0</v>
      </c>
      <c r="O421" s="5" t="n">
        <v>0</v>
      </c>
      <c r="P421" s="5" t="n">
        <v>0</v>
      </c>
      <c r="Q421" s="5" t="n">
        <v>0</v>
      </c>
      <c r="R421" s="5" t="n">
        <v>1</v>
      </c>
      <c r="S421" s="5" t="n">
        <v>0</v>
      </c>
      <c r="T421" s="5" t="n">
        <v>0</v>
      </c>
      <c r="U421" s="5" t="inlineStr">
        <is>
          <t>testing</t>
        </is>
      </c>
      <c r="V421" s="5" t="n">
        <v>0</v>
      </c>
    </row>
    <row r="422">
      <c r="A422" s="5" t="n">
        <v>418</v>
      </c>
      <c r="B422" s="5" t="n">
        <v>0</v>
      </c>
      <c r="C422" s="6" t="n">
        <v>-0.2301473069597001</v>
      </c>
      <c r="D422" s="6" t="n">
        <v>1.826546579441029</v>
      </c>
      <c r="E422" s="6" t="n">
        <v>-1.090641679553016</v>
      </c>
      <c r="F422" s="6" t="n">
        <v>-1.786844513613144</v>
      </c>
      <c r="G422" s="5" t="n">
        <v>1</v>
      </c>
      <c r="H422" s="5" t="n">
        <v>0</v>
      </c>
      <c r="I422" s="5" t="n">
        <v>0</v>
      </c>
      <c r="J422" s="5" t="n">
        <v>0</v>
      </c>
      <c r="K422" s="5" t="n">
        <v>1</v>
      </c>
      <c r="L422" s="5" t="n">
        <v>0</v>
      </c>
      <c r="M422" s="5" t="n">
        <v>0</v>
      </c>
      <c r="N422" s="5" t="n">
        <v>0</v>
      </c>
      <c r="O422" s="5" t="n">
        <v>1</v>
      </c>
      <c r="P422" s="5" t="n">
        <v>1</v>
      </c>
      <c r="Q422" s="5" t="n">
        <v>0</v>
      </c>
      <c r="R422" s="5" t="n">
        <v>0</v>
      </c>
      <c r="S422" s="5" t="n">
        <v>0</v>
      </c>
      <c r="T422" s="5" t="n">
        <v>0</v>
      </c>
      <c r="U422" s="5" t="inlineStr">
        <is>
          <t>training</t>
        </is>
      </c>
      <c r="V422" s="5" t="n">
        <v>0</v>
      </c>
    </row>
    <row r="423">
      <c r="A423" s="5" t="n">
        <v>419</v>
      </c>
      <c r="B423" s="5" t="n">
        <v>0</v>
      </c>
      <c r="C423" s="6" t="n">
        <v>0.02262954691863145</v>
      </c>
      <c r="D423" s="6" t="n">
        <v>-0.1639932285307585</v>
      </c>
      <c r="E423" s="6" t="n">
        <v>-0.3948575139689546</v>
      </c>
      <c r="F423" s="6" t="n">
        <v>-1.786844513613144</v>
      </c>
      <c r="G423" s="5" t="n">
        <v>0</v>
      </c>
      <c r="H423" s="5" t="n">
        <v>0</v>
      </c>
      <c r="I423" s="5" t="n">
        <v>0</v>
      </c>
      <c r="J423" s="5" t="n">
        <v>0</v>
      </c>
      <c r="K423" s="5" t="n">
        <v>0</v>
      </c>
      <c r="L423" s="5" t="n">
        <v>0</v>
      </c>
      <c r="M423" s="5" t="n">
        <v>1</v>
      </c>
      <c r="N423" s="5" t="n">
        <v>0</v>
      </c>
      <c r="O423" s="5" t="n">
        <v>0</v>
      </c>
      <c r="P423" s="5" t="n">
        <v>0</v>
      </c>
      <c r="Q423" s="5" t="n">
        <v>0</v>
      </c>
      <c r="R423" s="5" t="n">
        <v>1</v>
      </c>
      <c r="S423" s="5" t="n">
        <v>0</v>
      </c>
      <c r="T423" s="5" t="n">
        <v>0</v>
      </c>
      <c r="U423" s="5" t="inlineStr">
        <is>
          <t>training</t>
        </is>
      </c>
      <c r="V423" s="5" t="n">
        <v>1</v>
      </c>
    </row>
    <row r="424">
      <c r="A424" s="5" t="n">
        <v>420</v>
      </c>
      <c r="B424" s="5" t="n">
        <v>1</v>
      </c>
      <c r="C424" s="6" t="n">
        <v>-0.2301473069597001</v>
      </c>
      <c r="D424" s="6" t="n">
        <v>-0.7728065992234832</v>
      </c>
      <c r="E424" s="6" t="n">
        <v>-0.2209114725729393</v>
      </c>
      <c r="F424" s="6" t="n">
        <v>0.9185437189662378</v>
      </c>
      <c r="G424" s="5" t="n">
        <v>0</v>
      </c>
      <c r="H424" s="5" t="n">
        <v>1</v>
      </c>
      <c r="I424" s="5" t="n">
        <v>0</v>
      </c>
      <c r="J424" s="5" t="n">
        <v>0</v>
      </c>
      <c r="K424" s="5" t="n">
        <v>0</v>
      </c>
      <c r="L424" s="5" t="n">
        <v>0</v>
      </c>
      <c r="M424" s="5" t="n">
        <v>0</v>
      </c>
      <c r="N424" s="5" t="n">
        <v>0</v>
      </c>
      <c r="O424" s="5" t="n">
        <v>1</v>
      </c>
      <c r="P424" s="5" t="n">
        <v>0</v>
      </c>
      <c r="Q424" s="5" t="n">
        <v>0</v>
      </c>
      <c r="R424" s="5" t="n">
        <v>1</v>
      </c>
      <c r="S424" s="5" t="n">
        <v>0</v>
      </c>
      <c r="T424" s="5" t="n">
        <v>0</v>
      </c>
      <c r="U424" s="5" t="inlineStr">
        <is>
          <t>training</t>
        </is>
      </c>
      <c r="V424" s="5" t="n">
        <v>1</v>
      </c>
    </row>
    <row r="425">
      <c r="A425" s="5" t="n">
        <v>421</v>
      </c>
      <c r="B425" s="5" t="n">
        <v>0</v>
      </c>
      <c r="C425" s="6" t="n">
        <v>-0.4829241608380317</v>
      </c>
      <c r="D425" s="6" t="n">
        <v>-0.02263656085267761</v>
      </c>
      <c r="E425" s="6" t="n">
        <v>-1.351560741647039</v>
      </c>
      <c r="F425" s="6" t="n">
        <v>-0.8850484360866833</v>
      </c>
      <c r="G425" s="5" t="n">
        <v>0</v>
      </c>
      <c r="H425" s="5" t="n">
        <v>0</v>
      </c>
      <c r="I425" s="5" t="n">
        <v>0</v>
      </c>
      <c r="J425" s="5" t="n">
        <v>0</v>
      </c>
      <c r="K425" s="5" t="n">
        <v>0</v>
      </c>
      <c r="L425" s="5" t="n">
        <v>0</v>
      </c>
      <c r="M425" s="5" t="n">
        <v>0</v>
      </c>
      <c r="N425" s="5" t="n">
        <v>1</v>
      </c>
      <c r="O425" s="5" t="n">
        <v>0</v>
      </c>
      <c r="P425" s="5" t="n">
        <v>1</v>
      </c>
      <c r="Q425" s="5" t="n">
        <v>0</v>
      </c>
      <c r="R425" s="5" t="n">
        <v>1</v>
      </c>
      <c r="S425" s="5" t="n">
        <v>0</v>
      </c>
      <c r="T425" s="5" t="n">
        <v>0</v>
      </c>
      <c r="U425" s="5" t="inlineStr">
        <is>
          <t>testing</t>
        </is>
      </c>
      <c r="V425" s="5" t="n">
        <v>0</v>
      </c>
    </row>
    <row r="426">
      <c r="A426" s="5" t="n">
        <v>422</v>
      </c>
      <c r="B426" s="5" t="n">
        <v>0</v>
      </c>
      <c r="C426" s="6" t="n">
        <v>-0.7357010147163632</v>
      </c>
      <c r="D426" s="6" t="n">
        <v>-0.4278123558309392</v>
      </c>
      <c r="E426" s="6" t="n">
        <v>-0.4818305346669622</v>
      </c>
      <c r="F426" s="6" t="n">
        <v>0.9185437189662378</v>
      </c>
      <c r="G426" s="5" t="n">
        <v>0</v>
      </c>
      <c r="H426" s="5" t="n">
        <v>1</v>
      </c>
      <c r="I426" s="5" t="n">
        <v>0</v>
      </c>
      <c r="J426" s="5" t="n">
        <v>0</v>
      </c>
      <c r="K426" s="5" t="n">
        <v>0</v>
      </c>
      <c r="L426" s="5" t="n">
        <v>0</v>
      </c>
      <c r="M426" s="5" t="n">
        <v>0</v>
      </c>
      <c r="N426" s="5" t="n">
        <v>0</v>
      </c>
      <c r="O426" s="5" t="n">
        <v>1</v>
      </c>
      <c r="P426" s="5" t="n">
        <v>0</v>
      </c>
      <c r="Q426" s="5" t="n">
        <v>0</v>
      </c>
      <c r="R426" s="5" t="n">
        <v>1</v>
      </c>
      <c r="S426" s="5" t="n">
        <v>0</v>
      </c>
      <c r="T426" s="5" t="n">
        <v>0</v>
      </c>
      <c r="U426" s="5" t="inlineStr">
        <is>
          <t>training</t>
        </is>
      </c>
      <c r="V426" s="5" t="n">
        <v>0</v>
      </c>
    </row>
    <row r="427">
      <c r="A427" s="5" t="n">
        <v>423</v>
      </c>
      <c r="B427" s="5" t="n">
        <v>0</v>
      </c>
      <c r="C427" s="6" t="n">
        <v>-0.7357010147163632</v>
      </c>
      <c r="D427" s="6" t="n">
        <v>-0.8021975895327871</v>
      </c>
      <c r="E427" s="6" t="n">
        <v>0.9967108171991675</v>
      </c>
      <c r="F427" s="6" t="n">
        <v>-0.8850484360866833</v>
      </c>
      <c r="G427" s="5" t="n">
        <v>0</v>
      </c>
      <c r="H427" s="5" t="n">
        <v>1</v>
      </c>
      <c r="I427" s="5" t="n">
        <v>0</v>
      </c>
      <c r="J427" s="5" t="n">
        <v>1</v>
      </c>
      <c r="K427" s="5" t="n">
        <v>0</v>
      </c>
      <c r="L427" s="5" t="n">
        <v>0</v>
      </c>
      <c r="M427" s="5" t="n">
        <v>0</v>
      </c>
      <c r="N427" s="5" t="n">
        <v>0</v>
      </c>
      <c r="O427" s="5" t="n">
        <v>0</v>
      </c>
      <c r="P427" s="5" t="n">
        <v>0</v>
      </c>
      <c r="Q427" s="5" t="n">
        <v>0</v>
      </c>
      <c r="R427" s="5" t="n">
        <v>1</v>
      </c>
      <c r="S427" s="5" t="n">
        <v>0</v>
      </c>
      <c r="T427" s="5" t="n">
        <v>0</v>
      </c>
      <c r="U427" s="5" t="inlineStr">
        <is>
          <t>training</t>
        </is>
      </c>
      <c r="V427" s="5" t="n">
        <v>0</v>
      </c>
    </row>
    <row r="428">
      <c r="A428" s="5" t="n">
        <v>424</v>
      </c>
      <c r="B428" s="5" t="n">
        <v>0</v>
      </c>
      <c r="C428" s="6" t="n">
        <v>0.02262954691863145</v>
      </c>
      <c r="D428" s="6" t="n">
        <v>-0.5807154839876751</v>
      </c>
      <c r="E428" s="6" t="n">
        <v>-0.1339384518749317</v>
      </c>
      <c r="F428" s="6" t="n">
        <v>0.9185437189662378</v>
      </c>
      <c r="G428" s="5" t="n">
        <v>0</v>
      </c>
      <c r="H428" s="5" t="n">
        <v>0</v>
      </c>
      <c r="I428" s="5" t="n">
        <v>0</v>
      </c>
      <c r="J428" s="5" t="n">
        <v>0</v>
      </c>
      <c r="K428" s="5" t="n">
        <v>1</v>
      </c>
      <c r="L428" s="5" t="n">
        <v>0</v>
      </c>
      <c r="M428" s="5" t="n">
        <v>1</v>
      </c>
      <c r="N428" s="5" t="n">
        <v>0</v>
      </c>
      <c r="O428" s="5" t="n">
        <v>0</v>
      </c>
      <c r="P428" s="5" t="n">
        <v>0</v>
      </c>
      <c r="Q428" s="5" t="n">
        <v>0</v>
      </c>
      <c r="R428" s="5" t="n">
        <v>0</v>
      </c>
      <c r="S428" s="5" t="n">
        <v>0</v>
      </c>
      <c r="T428" s="5" t="n">
        <v>1</v>
      </c>
      <c r="U428" s="5" t="inlineStr">
        <is>
          <t>training</t>
        </is>
      </c>
      <c r="V428" s="5" t="n">
        <v>0</v>
      </c>
    </row>
    <row r="429">
      <c r="A429" s="5" t="n">
        <v>425</v>
      </c>
      <c r="B429" s="5" t="n">
        <v>1</v>
      </c>
      <c r="C429" s="6" t="n">
        <v>-0.7357010147163632</v>
      </c>
      <c r="D429" s="6" t="n">
        <v>-0.1709910833663071</v>
      </c>
      <c r="E429" s="6" t="n">
        <v>-0.9166956381570004</v>
      </c>
      <c r="F429" s="6" t="n">
        <v>-1.786844513613144</v>
      </c>
      <c r="G429" s="5" t="n">
        <v>0</v>
      </c>
      <c r="H429" s="5" t="n">
        <v>1</v>
      </c>
      <c r="I429" s="5" t="n">
        <v>0</v>
      </c>
      <c r="J429" s="5" t="n">
        <v>0</v>
      </c>
      <c r="K429" s="5" t="n">
        <v>0</v>
      </c>
      <c r="L429" s="5" t="n">
        <v>0</v>
      </c>
      <c r="M429" s="5" t="n">
        <v>0</v>
      </c>
      <c r="N429" s="5" t="n">
        <v>0</v>
      </c>
      <c r="O429" s="5" t="n">
        <v>1</v>
      </c>
      <c r="P429" s="5" t="n">
        <v>0</v>
      </c>
      <c r="Q429" s="5" t="n">
        <v>0</v>
      </c>
      <c r="R429" s="5" t="n">
        <v>0</v>
      </c>
      <c r="S429" s="5" t="n">
        <v>0</v>
      </c>
      <c r="T429" s="5" t="n">
        <v>1</v>
      </c>
      <c r="U429" s="5" t="inlineStr">
        <is>
          <t>training</t>
        </is>
      </c>
      <c r="V429" s="5" t="n">
        <v>1</v>
      </c>
    </row>
    <row r="430">
      <c r="A430" s="5" t="n">
        <v>426</v>
      </c>
      <c r="B430" s="5" t="n">
        <v>0</v>
      </c>
      <c r="C430" s="6" t="n">
        <v>-0.2301473069597001</v>
      </c>
      <c r="D430" s="6" t="n">
        <v>-0.1650429067560908</v>
      </c>
      <c r="E430" s="6" t="n">
        <v>-1.264587720949031</v>
      </c>
      <c r="F430" s="6" t="n">
        <v>-1.786844513613144</v>
      </c>
      <c r="G430" s="5" t="n">
        <v>0</v>
      </c>
      <c r="H430" s="5" t="n">
        <v>1</v>
      </c>
      <c r="I430" s="5" t="n">
        <v>0</v>
      </c>
      <c r="J430" s="5" t="n">
        <v>0</v>
      </c>
      <c r="K430" s="5" t="n">
        <v>0</v>
      </c>
      <c r="L430" s="5" t="n">
        <v>0</v>
      </c>
      <c r="M430" s="5" t="n">
        <v>0</v>
      </c>
      <c r="N430" s="5" t="n">
        <v>0</v>
      </c>
      <c r="O430" s="5" t="n">
        <v>0</v>
      </c>
      <c r="P430" s="5" t="n">
        <v>1</v>
      </c>
      <c r="Q430" s="5" t="n">
        <v>0</v>
      </c>
      <c r="R430" s="5" t="n">
        <v>1</v>
      </c>
      <c r="S430" s="5" t="n">
        <v>0</v>
      </c>
      <c r="T430" s="5" t="n">
        <v>0</v>
      </c>
      <c r="U430" s="5" t="inlineStr">
        <is>
          <t>training</t>
        </is>
      </c>
      <c r="V430" s="5" t="n">
        <v>1</v>
      </c>
    </row>
    <row r="431">
      <c r="A431" s="5" t="n">
        <v>427</v>
      </c>
      <c r="B431" s="5" t="n">
        <v>0</v>
      </c>
      <c r="C431" s="6" t="n">
        <v>0.6124422059680718</v>
      </c>
      <c r="D431" s="6" t="n">
        <v>-0.1776390454600782</v>
      </c>
      <c r="E431" s="6" t="n">
        <v>-0.5688035553649698</v>
      </c>
      <c r="F431" s="6" t="n">
        <v>0.9185437189662378</v>
      </c>
      <c r="G431" s="5" t="n">
        <v>0</v>
      </c>
      <c r="H431" s="5" t="n">
        <v>0</v>
      </c>
      <c r="I431" s="5" t="n">
        <v>0</v>
      </c>
      <c r="J431" s="5" t="n">
        <v>1</v>
      </c>
      <c r="K431" s="5" t="n">
        <v>0</v>
      </c>
      <c r="L431" s="5" t="n">
        <v>0</v>
      </c>
      <c r="M431" s="5" t="n">
        <v>0</v>
      </c>
      <c r="N431" s="5" t="n">
        <v>0</v>
      </c>
      <c r="O431" s="5" t="n">
        <v>0</v>
      </c>
      <c r="P431" s="5" t="n">
        <v>0</v>
      </c>
      <c r="Q431" s="5" t="n">
        <v>0</v>
      </c>
      <c r="R431" s="5" t="n">
        <v>0</v>
      </c>
      <c r="S431" s="5" t="n">
        <v>1</v>
      </c>
      <c r="T431" s="5" t="n">
        <v>0</v>
      </c>
      <c r="U431" s="5" t="inlineStr">
        <is>
          <t>training</t>
        </is>
      </c>
      <c r="V431" s="5" t="n">
        <v>0</v>
      </c>
    </row>
    <row r="432">
      <c r="A432" s="5" t="n">
        <v>428</v>
      </c>
      <c r="B432" s="5" t="n">
        <v>0</v>
      </c>
      <c r="C432" s="6" t="n">
        <v>-0.2301473069597001</v>
      </c>
      <c r="D432" s="6" t="n">
        <v>-0.7353680758532983</v>
      </c>
      <c r="E432" s="6" t="n">
        <v>0.9097377965011599</v>
      </c>
      <c r="F432" s="6" t="n">
        <v>0.9185437189662378</v>
      </c>
      <c r="G432" s="5" t="n">
        <v>0</v>
      </c>
      <c r="H432" s="5" t="n">
        <v>0</v>
      </c>
      <c r="I432" s="5" t="n">
        <v>0</v>
      </c>
      <c r="J432" s="5" t="n">
        <v>1</v>
      </c>
      <c r="K432" s="5" t="n">
        <v>0</v>
      </c>
      <c r="L432" s="5" t="n">
        <v>0</v>
      </c>
      <c r="M432" s="5" t="n">
        <v>0</v>
      </c>
      <c r="N432" s="5" t="n">
        <v>1</v>
      </c>
      <c r="O432" s="5" t="n">
        <v>0</v>
      </c>
      <c r="P432" s="5" t="n">
        <v>0</v>
      </c>
      <c r="Q432" s="5" t="n">
        <v>0</v>
      </c>
      <c r="R432" s="5" t="n">
        <v>0</v>
      </c>
      <c r="S432" s="5" t="n">
        <v>1</v>
      </c>
      <c r="T432" s="5" t="n">
        <v>0</v>
      </c>
      <c r="U432" s="5" t="inlineStr">
        <is>
          <t>training</t>
        </is>
      </c>
      <c r="V432" s="5" t="n">
        <v>0</v>
      </c>
    </row>
    <row r="433">
      <c r="A433" s="5" t="n">
        <v>429</v>
      </c>
      <c r="B433" s="5" t="n">
        <v>0</v>
      </c>
      <c r="C433" s="6" t="n">
        <v>-0.9884778685946948</v>
      </c>
      <c r="D433" s="6" t="n">
        <v>-0.6779856662018001</v>
      </c>
      <c r="E433" s="6" t="n">
        <v>-1.351560741647039</v>
      </c>
      <c r="F433" s="6" t="n">
        <v>-1.786844513613144</v>
      </c>
      <c r="G433" s="5" t="n">
        <v>0</v>
      </c>
      <c r="H433" s="5" t="n">
        <v>0</v>
      </c>
      <c r="I433" s="5" t="n">
        <v>0</v>
      </c>
      <c r="J433" s="5" t="n">
        <v>0</v>
      </c>
      <c r="K433" s="5" t="n">
        <v>0</v>
      </c>
      <c r="L433" s="5" t="n">
        <v>0</v>
      </c>
      <c r="M433" s="5" t="n">
        <v>0</v>
      </c>
      <c r="N433" s="5" t="n">
        <v>0</v>
      </c>
      <c r="O433" s="5" t="n">
        <v>0</v>
      </c>
      <c r="P433" s="5" t="n">
        <v>0</v>
      </c>
      <c r="Q433" s="5" t="n">
        <v>0</v>
      </c>
      <c r="R433" s="5" t="n">
        <v>0</v>
      </c>
      <c r="S433" s="5" t="n">
        <v>0</v>
      </c>
      <c r="T433" s="5" t="n">
        <v>1</v>
      </c>
      <c r="U433" s="5" t="inlineStr">
        <is>
          <t>training</t>
        </is>
      </c>
      <c r="V433" s="5" t="n">
        <v>0</v>
      </c>
    </row>
    <row r="434">
      <c r="A434" s="5" t="n">
        <v>430</v>
      </c>
      <c r="B434" s="5" t="n">
        <v>1</v>
      </c>
      <c r="C434" s="6" t="n">
        <v>-0.2301473069597001</v>
      </c>
      <c r="D434" s="6" t="n">
        <v>-0.7210224734404238</v>
      </c>
      <c r="E434" s="6" t="n">
        <v>1.692494982783229</v>
      </c>
      <c r="F434" s="6" t="n">
        <v>-0.8850484360866833</v>
      </c>
      <c r="G434" s="5" t="n">
        <v>1</v>
      </c>
      <c r="H434" s="5" t="n">
        <v>0</v>
      </c>
      <c r="I434" s="5" t="n">
        <v>0</v>
      </c>
      <c r="J434" s="5" t="n">
        <v>1</v>
      </c>
      <c r="K434" s="5" t="n">
        <v>0</v>
      </c>
      <c r="L434" s="5" t="n">
        <v>0</v>
      </c>
      <c r="M434" s="5" t="n">
        <v>0</v>
      </c>
      <c r="N434" s="5" t="n">
        <v>0</v>
      </c>
      <c r="O434" s="5" t="n">
        <v>0</v>
      </c>
      <c r="P434" s="5" t="n">
        <v>0</v>
      </c>
      <c r="Q434" s="5" t="n">
        <v>1</v>
      </c>
      <c r="R434" s="5" t="n">
        <v>0</v>
      </c>
      <c r="S434" s="5" t="n">
        <v>0</v>
      </c>
      <c r="T434" s="5" t="n">
        <v>0</v>
      </c>
      <c r="U434" s="5" t="inlineStr">
        <is>
          <t>testing</t>
        </is>
      </c>
      <c r="V434" s="5" t="n">
        <v>0</v>
      </c>
    </row>
    <row r="435">
      <c r="A435" s="5" t="n">
        <v>431</v>
      </c>
      <c r="B435" s="5" t="n">
        <v>0</v>
      </c>
      <c r="C435" s="6" t="n">
        <v>-1.325513673765804</v>
      </c>
      <c r="D435" s="6" t="n">
        <v>0.06903533749300851</v>
      </c>
      <c r="E435" s="6" t="n">
        <v>3.344982376045374</v>
      </c>
      <c r="F435" s="6" t="n">
        <v>-1.786844513613144</v>
      </c>
      <c r="G435" s="5" t="n">
        <v>0</v>
      </c>
      <c r="H435" s="5" t="n">
        <v>0</v>
      </c>
      <c r="I435" s="5" t="n">
        <v>0</v>
      </c>
      <c r="J435" s="5" t="n">
        <v>0</v>
      </c>
      <c r="K435" s="5" t="n">
        <v>0</v>
      </c>
      <c r="L435" s="5" t="n">
        <v>0</v>
      </c>
      <c r="M435" s="5" t="n">
        <v>0</v>
      </c>
      <c r="N435" s="5" t="n">
        <v>0</v>
      </c>
      <c r="O435" s="5" t="n">
        <v>0</v>
      </c>
      <c r="P435" s="5" t="n">
        <v>0</v>
      </c>
      <c r="Q435" s="5" t="n">
        <v>0</v>
      </c>
      <c r="R435" s="5" t="n">
        <v>0</v>
      </c>
      <c r="S435" s="5" t="n">
        <v>0</v>
      </c>
      <c r="T435" s="5" t="n">
        <v>0</v>
      </c>
      <c r="U435" s="5" t="inlineStr">
        <is>
          <t>testing</t>
        </is>
      </c>
      <c r="V435" s="5" t="n">
        <v>0</v>
      </c>
    </row>
    <row r="436">
      <c r="A436" s="5" t="n">
        <v>432</v>
      </c>
      <c r="B436" s="5" t="n">
        <v>1</v>
      </c>
      <c r="C436" s="6" t="n">
        <v>0.275406400796963</v>
      </c>
      <c r="D436" s="6" t="n">
        <v>2.826190142699141</v>
      </c>
      <c r="E436" s="6" t="n">
        <v>-0.5688035553649698</v>
      </c>
      <c r="F436" s="6" t="n">
        <v>-0.8850484360866833</v>
      </c>
      <c r="G436" s="5" t="n">
        <v>0</v>
      </c>
      <c r="H436" s="5" t="n">
        <v>1</v>
      </c>
      <c r="I436" s="5" t="n">
        <v>0</v>
      </c>
      <c r="J436" s="5" t="n">
        <v>0</v>
      </c>
      <c r="K436" s="5" t="n">
        <v>0</v>
      </c>
      <c r="L436" s="5" t="n">
        <v>0</v>
      </c>
      <c r="M436" s="5" t="n">
        <v>0</v>
      </c>
      <c r="N436" s="5" t="n">
        <v>0</v>
      </c>
      <c r="O436" s="5" t="n">
        <v>0</v>
      </c>
      <c r="P436" s="5" t="n">
        <v>0</v>
      </c>
      <c r="Q436" s="5" t="n">
        <v>0</v>
      </c>
      <c r="R436" s="5" t="n">
        <v>0</v>
      </c>
      <c r="S436" s="5" t="n">
        <v>0</v>
      </c>
      <c r="T436" s="5" t="n">
        <v>0</v>
      </c>
      <c r="U436" s="5" t="inlineStr">
        <is>
          <t>testing</t>
        </is>
      </c>
      <c r="V436" s="5" t="n">
        <v>0</v>
      </c>
    </row>
    <row r="437">
      <c r="A437" s="5" t="n">
        <v>433</v>
      </c>
      <c r="B437" s="5" t="n">
        <v>0</v>
      </c>
      <c r="C437" s="6" t="n">
        <v>-1.241254722473026</v>
      </c>
      <c r="D437" s="6" t="n">
        <v>-0.4823956235482179</v>
      </c>
      <c r="E437" s="6" t="n">
        <v>0.04000758952108359</v>
      </c>
      <c r="F437" s="6" t="n">
        <v>0.9185437189662378</v>
      </c>
      <c r="G437" s="5" t="n">
        <v>1</v>
      </c>
      <c r="H437" s="5" t="n">
        <v>0</v>
      </c>
      <c r="I437" s="5" t="n">
        <v>0</v>
      </c>
      <c r="J437" s="5" t="n">
        <v>1</v>
      </c>
      <c r="K437" s="5" t="n">
        <v>0</v>
      </c>
      <c r="L437" s="5" t="n">
        <v>0</v>
      </c>
      <c r="M437" s="5" t="n">
        <v>0</v>
      </c>
      <c r="N437" s="5" t="n">
        <v>0</v>
      </c>
      <c r="O437" s="5" t="n">
        <v>0</v>
      </c>
      <c r="P437" s="5" t="n">
        <v>0</v>
      </c>
      <c r="Q437" s="5" t="n">
        <v>1</v>
      </c>
      <c r="R437" s="5" t="n">
        <v>0</v>
      </c>
      <c r="S437" s="5" t="n">
        <v>0</v>
      </c>
      <c r="T437" s="5" t="n">
        <v>1</v>
      </c>
      <c r="U437" s="5" t="inlineStr">
        <is>
          <t>testing</t>
        </is>
      </c>
      <c r="V437" s="5" t="n">
        <v>0</v>
      </c>
    </row>
    <row r="438">
      <c r="A438" s="5" t="n">
        <v>434</v>
      </c>
      <c r="B438" s="5" t="n">
        <v>0</v>
      </c>
      <c r="C438" s="6" t="n">
        <v>0.275406400796963</v>
      </c>
      <c r="D438" s="6" t="n">
        <v>-0.4173155735776163</v>
      </c>
      <c r="E438" s="6" t="n">
        <v>-0.2209114725729393</v>
      </c>
      <c r="F438" s="6" t="n">
        <v>0.9185437189662378</v>
      </c>
      <c r="G438" s="5" t="n">
        <v>0</v>
      </c>
      <c r="H438" s="5" t="n">
        <v>0</v>
      </c>
      <c r="I438" s="5" t="n">
        <v>0</v>
      </c>
      <c r="J438" s="5" t="n">
        <v>1</v>
      </c>
      <c r="K438" s="5" t="n">
        <v>0</v>
      </c>
      <c r="L438" s="5" t="n">
        <v>0</v>
      </c>
      <c r="M438" s="5" t="n">
        <v>0</v>
      </c>
      <c r="N438" s="5" t="n">
        <v>0</v>
      </c>
      <c r="O438" s="5" t="n">
        <v>0</v>
      </c>
      <c r="P438" s="5" t="n">
        <v>0</v>
      </c>
      <c r="Q438" s="5" t="n">
        <v>0</v>
      </c>
      <c r="R438" s="5" t="n">
        <v>0</v>
      </c>
      <c r="S438" s="5" t="n">
        <v>0</v>
      </c>
      <c r="T438" s="5" t="n">
        <v>0</v>
      </c>
      <c r="U438" s="5" t="inlineStr">
        <is>
          <t>training</t>
        </is>
      </c>
      <c r="V438" s="5" t="n">
        <v>0</v>
      </c>
    </row>
    <row r="439">
      <c r="A439" s="5" t="n">
        <v>435</v>
      </c>
      <c r="B439" s="5" t="n">
        <v>0</v>
      </c>
      <c r="C439" s="6" t="n">
        <v>-0.9884778685946948</v>
      </c>
      <c r="D439" s="6" t="n">
        <v>-0.390023939718977</v>
      </c>
      <c r="E439" s="6" t="n">
        <v>-0.9166956381570004</v>
      </c>
      <c r="F439" s="6" t="n">
        <v>0.01674764143977723</v>
      </c>
      <c r="G439" s="5" t="n">
        <v>1</v>
      </c>
      <c r="H439" s="5" t="n">
        <v>0</v>
      </c>
      <c r="I439" s="5" t="n">
        <v>0</v>
      </c>
      <c r="J439" s="5" t="n">
        <v>0</v>
      </c>
      <c r="K439" s="5" t="n">
        <v>0</v>
      </c>
      <c r="L439" s="5" t="n">
        <v>0</v>
      </c>
      <c r="M439" s="5" t="n">
        <v>0</v>
      </c>
      <c r="N439" s="5" t="n">
        <v>0</v>
      </c>
      <c r="O439" s="5" t="n">
        <v>0</v>
      </c>
      <c r="P439" s="5" t="n">
        <v>0</v>
      </c>
      <c r="Q439" s="5" t="n">
        <v>0</v>
      </c>
      <c r="R439" s="5" t="n">
        <v>0</v>
      </c>
      <c r="S439" s="5" t="n">
        <v>0</v>
      </c>
      <c r="T439" s="5" t="n">
        <v>1</v>
      </c>
      <c r="U439" s="5" t="inlineStr">
        <is>
          <t>training</t>
        </is>
      </c>
      <c r="V439" s="5" t="n">
        <v>0</v>
      </c>
    </row>
    <row r="440">
      <c r="A440" s="5" t="n">
        <v>436</v>
      </c>
      <c r="B440" s="5" t="n">
        <v>1</v>
      </c>
      <c r="C440" s="6" t="n">
        <v>-0.7357010147163632</v>
      </c>
      <c r="D440" s="6" t="n">
        <v>-0.61815400735786</v>
      </c>
      <c r="E440" s="6" t="n">
        <v>-0.9166956381570004</v>
      </c>
      <c r="F440" s="6" t="n">
        <v>-0.8850484360866833</v>
      </c>
      <c r="G440" s="5" t="n">
        <v>0</v>
      </c>
      <c r="H440" s="5" t="n">
        <v>1</v>
      </c>
      <c r="I440" s="5" t="n">
        <v>0</v>
      </c>
      <c r="J440" s="5" t="n">
        <v>0</v>
      </c>
      <c r="K440" s="5" t="n">
        <v>0</v>
      </c>
      <c r="L440" s="5" t="n">
        <v>0</v>
      </c>
      <c r="M440" s="5" t="n">
        <v>0</v>
      </c>
      <c r="N440" s="5" t="n">
        <v>0</v>
      </c>
      <c r="O440" s="5" t="n">
        <v>1</v>
      </c>
      <c r="P440" s="5" t="n">
        <v>0</v>
      </c>
      <c r="Q440" s="5" t="n">
        <v>0</v>
      </c>
      <c r="R440" s="5" t="n">
        <v>0</v>
      </c>
      <c r="S440" s="5" t="n">
        <v>1</v>
      </c>
      <c r="T440" s="5" t="n">
        <v>0</v>
      </c>
      <c r="U440" s="5" t="inlineStr">
        <is>
          <t>training</t>
        </is>
      </c>
      <c r="V440" s="5" t="n">
        <v>1</v>
      </c>
    </row>
    <row r="441">
      <c r="A441" s="5" t="n">
        <v>437</v>
      </c>
      <c r="B441" s="5" t="n">
        <v>0</v>
      </c>
      <c r="C441" s="6" t="n">
        <v>-1.241254722473026</v>
      </c>
      <c r="D441" s="6" t="n">
        <v>-0.9064656265824605</v>
      </c>
      <c r="E441" s="6" t="n">
        <v>-1.090641679553016</v>
      </c>
      <c r="F441" s="6" t="n">
        <v>-0.8850484360866833</v>
      </c>
      <c r="G441" s="5" t="n">
        <v>0</v>
      </c>
      <c r="H441" s="5" t="n">
        <v>0</v>
      </c>
      <c r="I441" s="5" t="n">
        <v>0</v>
      </c>
      <c r="J441" s="5" t="n">
        <v>0</v>
      </c>
      <c r="K441" s="5" t="n">
        <v>0</v>
      </c>
      <c r="L441" s="5" t="n">
        <v>0</v>
      </c>
      <c r="M441" s="5" t="n">
        <v>1</v>
      </c>
      <c r="N441" s="5" t="n">
        <v>0</v>
      </c>
      <c r="O441" s="5" t="n">
        <v>0</v>
      </c>
      <c r="P441" s="5" t="n">
        <v>1</v>
      </c>
      <c r="Q441" s="5" t="n">
        <v>0</v>
      </c>
      <c r="R441" s="5" t="n">
        <v>0</v>
      </c>
      <c r="S441" s="5" t="n">
        <v>0</v>
      </c>
      <c r="T441" s="5" t="n">
        <v>0</v>
      </c>
      <c r="U441" s="5" t="inlineStr">
        <is>
          <t>training</t>
        </is>
      </c>
      <c r="V441" s="5" t="n">
        <v>1</v>
      </c>
    </row>
    <row r="442">
      <c r="A442" s="5" t="n">
        <v>438</v>
      </c>
      <c r="B442" s="5" t="n">
        <v>0</v>
      </c>
      <c r="C442" s="6" t="n">
        <v>0.275406400796963</v>
      </c>
      <c r="D442" s="6" t="n">
        <v>-0.6870828774880133</v>
      </c>
      <c r="E442" s="6" t="n">
        <v>0.1269806102190912</v>
      </c>
      <c r="F442" s="6" t="n">
        <v>0.9185437189662378</v>
      </c>
      <c r="G442" s="5" t="n">
        <v>0</v>
      </c>
      <c r="H442" s="5" t="n">
        <v>0</v>
      </c>
      <c r="I442" s="5" t="n">
        <v>0</v>
      </c>
      <c r="J442" s="5" t="n">
        <v>1</v>
      </c>
      <c r="K442" s="5" t="n">
        <v>0</v>
      </c>
      <c r="L442" s="5" t="n">
        <v>0</v>
      </c>
      <c r="M442" s="5" t="n">
        <v>0</v>
      </c>
      <c r="N442" s="5" t="n">
        <v>1</v>
      </c>
      <c r="O442" s="5" t="n">
        <v>0</v>
      </c>
      <c r="P442" s="5" t="n">
        <v>0</v>
      </c>
      <c r="Q442" s="5" t="n">
        <v>0</v>
      </c>
      <c r="R442" s="5" t="n">
        <v>1</v>
      </c>
      <c r="S442" s="5" t="n">
        <v>0</v>
      </c>
      <c r="T442" s="5" t="n">
        <v>0</v>
      </c>
      <c r="U442" s="5" t="inlineStr">
        <is>
          <t>testing</t>
        </is>
      </c>
      <c r="V442" s="5" t="n">
        <v>0</v>
      </c>
    </row>
    <row r="443">
      <c r="A443" s="5" t="n">
        <v>439</v>
      </c>
      <c r="B443" s="5" t="n">
        <v>0</v>
      </c>
      <c r="C443" s="6" t="n">
        <v>1.792067524066952</v>
      </c>
      <c r="D443" s="6" t="n">
        <v>0.0501411294370274</v>
      </c>
      <c r="E443" s="6" t="n">
        <v>2.562225189763305</v>
      </c>
      <c r="F443" s="6" t="n">
        <v>0.9185437189662378</v>
      </c>
      <c r="G443" s="5" t="n">
        <v>1</v>
      </c>
      <c r="H443" s="5" t="n">
        <v>0</v>
      </c>
      <c r="I443" s="5" t="n">
        <v>0</v>
      </c>
      <c r="J443" s="5" t="n">
        <v>1</v>
      </c>
      <c r="K443" s="5" t="n">
        <v>0</v>
      </c>
      <c r="L443" s="5" t="n">
        <v>0</v>
      </c>
      <c r="M443" s="5" t="n">
        <v>0</v>
      </c>
      <c r="N443" s="5" t="n">
        <v>0</v>
      </c>
      <c r="O443" s="5" t="n">
        <v>0</v>
      </c>
      <c r="P443" s="5" t="n">
        <v>0</v>
      </c>
      <c r="Q443" s="5" t="n">
        <v>0</v>
      </c>
      <c r="R443" s="5" t="n">
        <v>0</v>
      </c>
      <c r="S443" s="5" t="n">
        <v>0</v>
      </c>
      <c r="T443" s="5" t="n">
        <v>0</v>
      </c>
      <c r="U443" s="5" t="inlineStr">
        <is>
          <t>training</t>
        </is>
      </c>
      <c r="V443" s="5" t="n">
        <v>0</v>
      </c>
    </row>
    <row r="444">
      <c r="A444" s="5" t="n">
        <v>440</v>
      </c>
      <c r="B444" s="5" t="n">
        <v>1</v>
      </c>
      <c r="C444" s="6" t="n">
        <v>-0.7357010147163632</v>
      </c>
      <c r="D444" s="6" t="n">
        <v>-0.9243101564131094</v>
      </c>
      <c r="E444" s="6" t="n">
        <v>-0.8297226174589928</v>
      </c>
      <c r="F444" s="6" t="n">
        <v>0.9185437189662378</v>
      </c>
      <c r="G444" s="5" t="n">
        <v>0</v>
      </c>
      <c r="H444" s="5" t="n">
        <v>0</v>
      </c>
      <c r="I444" s="5" t="n">
        <v>1</v>
      </c>
      <c r="J444" s="5" t="n">
        <v>0</v>
      </c>
      <c r="K444" s="5" t="n">
        <v>0</v>
      </c>
      <c r="L444" s="5" t="n">
        <v>1</v>
      </c>
      <c r="M444" s="5" t="n">
        <v>0</v>
      </c>
      <c r="N444" s="5" t="n">
        <v>0</v>
      </c>
      <c r="O444" s="5" t="n">
        <v>0</v>
      </c>
      <c r="P444" s="5" t="n">
        <v>0</v>
      </c>
      <c r="Q444" s="5" t="n">
        <v>0</v>
      </c>
      <c r="R444" s="5" t="n">
        <v>0</v>
      </c>
      <c r="S444" s="5" t="n">
        <v>0</v>
      </c>
      <c r="T444" s="5" t="n">
        <v>0</v>
      </c>
      <c r="U444" s="5" t="inlineStr">
        <is>
          <t>training</t>
        </is>
      </c>
      <c r="V444" s="5" t="n">
        <v>1</v>
      </c>
    </row>
    <row r="445">
      <c r="A445" s="5" t="n">
        <v>441</v>
      </c>
      <c r="B445" s="5" t="n">
        <v>0</v>
      </c>
      <c r="C445" s="6" t="n">
        <v>-0.7357010147163632</v>
      </c>
      <c r="D445" s="6" t="n">
        <v>-0.4781969106468888</v>
      </c>
      <c r="E445" s="6" t="n">
        <v>0.3009266516151065</v>
      </c>
      <c r="F445" s="6" t="n">
        <v>0.9185437189662378</v>
      </c>
      <c r="G445" s="5" t="n">
        <v>0</v>
      </c>
      <c r="H445" s="5" t="n">
        <v>0</v>
      </c>
      <c r="I445" s="5" t="n">
        <v>0</v>
      </c>
      <c r="J445" s="5" t="n">
        <v>0</v>
      </c>
      <c r="K445" s="5" t="n">
        <v>0</v>
      </c>
      <c r="L445" s="5" t="n">
        <v>0</v>
      </c>
      <c r="M445" s="5" t="n">
        <v>0</v>
      </c>
      <c r="N445" s="5" t="n">
        <v>0</v>
      </c>
      <c r="O445" s="5" t="n">
        <v>0</v>
      </c>
      <c r="P445" s="5" t="n">
        <v>0</v>
      </c>
      <c r="Q445" s="5" t="n">
        <v>0</v>
      </c>
      <c r="R445" s="5" t="n">
        <v>1</v>
      </c>
      <c r="S445" s="5" t="n">
        <v>0</v>
      </c>
      <c r="T445" s="5" t="n">
        <v>0</v>
      </c>
      <c r="U445" s="5" t="inlineStr">
        <is>
          <t>testing</t>
        </is>
      </c>
      <c r="V445" s="5" t="n">
        <v>0</v>
      </c>
    </row>
    <row r="446">
      <c r="A446" s="5" t="n">
        <v>442</v>
      </c>
      <c r="B446" s="5" t="n">
        <v>0</v>
      </c>
      <c r="C446" s="6" t="n">
        <v>-0.7357010147163632</v>
      </c>
      <c r="D446" s="6" t="n">
        <v>-0.5705685944761297</v>
      </c>
      <c r="E446" s="6" t="n">
        <v>-0.4818305346669622</v>
      </c>
      <c r="F446" s="6" t="n">
        <v>-0.8850484360866833</v>
      </c>
      <c r="G446" s="5" t="n">
        <v>1</v>
      </c>
      <c r="H446" s="5" t="n">
        <v>0</v>
      </c>
      <c r="I446" s="5" t="n">
        <v>0</v>
      </c>
      <c r="J446" s="5" t="n">
        <v>0</v>
      </c>
      <c r="K446" s="5" t="n">
        <v>0</v>
      </c>
      <c r="L446" s="5" t="n">
        <v>0</v>
      </c>
      <c r="M446" s="5" t="n">
        <v>0</v>
      </c>
      <c r="N446" s="5" t="n">
        <v>0</v>
      </c>
      <c r="O446" s="5" t="n">
        <v>0</v>
      </c>
      <c r="P446" s="5" t="n">
        <v>0</v>
      </c>
      <c r="Q446" s="5" t="n">
        <v>0</v>
      </c>
      <c r="R446" s="5" t="n">
        <v>0</v>
      </c>
      <c r="S446" s="5" t="n">
        <v>0</v>
      </c>
      <c r="T446" s="5" t="n">
        <v>1</v>
      </c>
      <c r="U446" s="5" t="inlineStr">
        <is>
          <t>testing</t>
        </is>
      </c>
      <c r="V446" s="5" t="n">
        <v>0</v>
      </c>
    </row>
    <row r="447">
      <c r="A447" s="5" t="n">
        <v>443</v>
      </c>
      <c r="B447" s="5" t="n">
        <v>0</v>
      </c>
      <c r="C447" s="6" t="n">
        <v>-0.06162940437414574</v>
      </c>
      <c r="D447" s="6" t="n">
        <v>-0.217526818022705</v>
      </c>
      <c r="E447" s="6" t="n">
        <v>-0.5688035553649698</v>
      </c>
      <c r="F447" s="6" t="n">
        <v>-0.8850484360866833</v>
      </c>
      <c r="G447" s="5" t="n">
        <v>0</v>
      </c>
      <c r="H447" s="5" t="n">
        <v>1</v>
      </c>
      <c r="I447" s="5" t="n">
        <v>0</v>
      </c>
      <c r="J447" s="5" t="n">
        <v>0</v>
      </c>
      <c r="K447" s="5" t="n">
        <v>1</v>
      </c>
      <c r="L447" s="5" t="n">
        <v>0</v>
      </c>
      <c r="M447" s="5" t="n">
        <v>0</v>
      </c>
      <c r="N447" s="5" t="n">
        <v>0</v>
      </c>
      <c r="O447" s="5" t="n">
        <v>0</v>
      </c>
      <c r="P447" s="5" t="n">
        <v>0</v>
      </c>
      <c r="Q447" s="5" t="n">
        <v>0</v>
      </c>
      <c r="R447" s="5" t="n">
        <v>0</v>
      </c>
      <c r="S447" s="5" t="n">
        <v>0</v>
      </c>
      <c r="T447" s="5" t="n">
        <v>0</v>
      </c>
      <c r="U447" s="5" t="inlineStr">
        <is>
          <t>training</t>
        </is>
      </c>
      <c r="V447" s="5" t="n">
        <v>0</v>
      </c>
    </row>
    <row r="448">
      <c r="A448" s="5" t="n">
        <v>444</v>
      </c>
      <c r="B448" s="5" t="n">
        <v>1</v>
      </c>
      <c r="C448" s="6" t="n">
        <v>-0.7357010147163632</v>
      </c>
      <c r="D448" s="6" t="n">
        <v>-0.8858219548175924</v>
      </c>
      <c r="E448" s="6" t="n">
        <v>0.4748726930111218</v>
      </c>
      <c r="F448" s="6" t="n">
        <v>0.9185437189662378</v>
      </c>
      <c r="G448" s="5" t="n">
        <v>0</v>
      </c>
      <c r="H448" s="5" t="n">
        <v>0</v>
      </c>
      <c r="I448" s="5" t="n">
        <v>0</v>
      </c>
      <c r="J448" s="5" t="n">
        <v>0</v>
      </c>
      <c r="K448" s="5" t="n">
        <v>0</v>
      </c>
      <c r="L448" s="5" t="n">
        <v>0</v>
      </c>
      <c r="M448" s="5" t="n">
        <v>0</v>
      </c>
      <c r="N448" s="5" t="n">
        <v>0</v>
      </c>
      <c r="O448" s="5" t="n">
        <v>0</v>
      </c>
      <c r="P448" s="5" t="n">
        <v>0</v>
      </c>
      <c r="Q448" s="5" t="n">
        <v>0</v>
      </c>
      <c r="R448" s="5" t="n">
        <v>0</v>
      </c>
      <c r="S448" s="5" t="n">
        <v>0</v>
      </c>
      <c r="T448" s="5" t="n">
        <v>0</v>
      </c>
      <c r="U448" s="5" t="inlineStr">
        <is>
          <t>training</t>
        </is>
      </c>
      <c r="V448" s="5" t="n">
        <v>1</v>
      </c>
    </row>
    <row r="449">
      <c r="A449" s="5" t="n">
        <v>445</v>
      </c>
      <c r="B449" s="5" t="n">
        <v>1</v>
      </c>
      <c r="C449" s="6" t="n">
        <v>2.297621231823615</v>
      </c>
      <c r="D449" s="6" t="n">
        <v>0.6456585759422098</v>
      </c>
      <c r="E449" s="6" t="n">
        <v>-0.4818305346669622</v>
      </c>
      <c r="F449" s="6" t="n">
        <v>-0.8850484360866833</v>
      </c>
      <c r="G449" s="5" t="n">
        <v>0</v>
      </c>
      <c r="H449" s="5" t="n">
        <v>1</v>
      </c>
      <c r="I449" s="5" t="n">
        <v>0</v>
      </c>
      <c r="J449" s="5" t="n">
        <v>1</v>
      </c>
      <c r="K449" s="5" t="n">
        <v>0</v>
      </c>
      <c r="L449" s="5" t="n">
        <v>0</v>
      </c>
      <c r="M449" s="5" t="n">
        <v>0</v>
      </c>
      <c r="N449" s="5" t="n">
        <v>0</v>
      </c>
      <c r="O449" s="5" t="n">
        <v>0</v>
      </c>
      <c r="P449" s="5" t="n">
        <v>0</v>
      </c>
      <c r="Q449" s="5" t="n">
        <v>0</v>
      </c>
      <c r="R449" s="5" t="n">
        <v>0</v>
      </c>
      <c r="S449" s="5" t="n">
        <v>0</v>
      </c>
      <c r="T449" s="5" t="n">
        <v>1</v>
      </c>
      <c r="U449" s="5" t="inlineStr">
        <is>
          <t>training</t>
        </is>
      </c>
      <c r="V449" s="5" t="n">
        <v>1</v>
      </c>
    </row>
    <row r="450">
      <c r="A450" s="5" t="n">
        <v>446</v>
      </c>
      <c r="B450" s="5" t="n">
        <v>0</v>
      </c>
      <c r="C450" s="6" t="n">
        <v>-0.9884778685946948</v>
      </c>
      <c r="D450" s="6" t="n">
        <v>-0.7021282653844427</v>
      </c>
      <c r="E450" s="6" t="n">
        <v>0.4748726930111218</v>
      </c>
      <c r="F450" s="6" t="n">
        <v>0.9185437189662378</v>
      </c>
      <c r="G450" s="5" t="n">
        <v>0</v>
      </c>
      <c r="H450" s="5" t="n">
        <v>0</v>
      </c>
      <c r="I450" s="5" t="n">
        <v>0</v>
      </c>
      <c r="J450" s="5" t="n">
        <v>1</v>
      </c>
      <c r="K450" s="5" t="n">
        <v>0</v>
      </c>
      <c r="L450" s="5" t="n">
        <v>0</v>
      </c>
      <c r="M450" s="5" t="n">
        <v>0</v>
      </c>
      <c r="N450" s="5" t="n">
        <v>0</v>
      </c>
      <c r="O450" s="5" t="n">
        <v>1</v>
      </c>
      <c r="P450" s="5" t="n">
        <v>1</v>
      </c>
      <c r="Q450" s="5" t="n">
        <v>0</v>
      </c>
      <c r="R450" s="5" t="n">
        <v>0</v>
      </c>
      <c r="S450" s="5" t="n">
        <v>0</v>
      </c>
      <c r="T450" s="5" t="n">
        <v>0</v>
      </c>
      <c r="U450" s="5" t="inlineStr">
        <is>
          <t>training</t>
        </is>
      </c>
      <c r="V450" s="5" t="n">
        <v>1</v>
      </c>
    </row>
    <row r="451">
      <c r="A451" s="5" t="n">
        <v>447</v>
      </c>
      <c r="B451" s="5" t="n">
        <v>1</v>
      </c>
      <c r="C451" s="6" t="n">
        <v>1.286513816310289</v>
      </c>
      <c r="D451" s="6" t="n">
        <v>-0.4928924058015408</v>
      </c>
      <c r="E451" s="6" t="n">
        <v>-0.1339384518749317</v>
      </c>
      <c r="F451" s="6" t="n">
        <v>0.9185437189662378</v>
      </c>
      <c r="G451" s="5" t="n">
        <v>1</v>
      </c>
      <c r="H451" s="5" t="n">
        <v>0</v>
      </c>
      <c r="I451" s="5" t="n">
        <v>0</v>
      </c>
      <c r="J451" s="5" t="n">
        <v>0</v>
      </c>
      <c r="K451" s="5" t="n">
        <v>0</v>
      </c>
      <c r="L451" s="5" t="n">
        <v>0</v>
      </c>
      <c r="M451" s="5" t="n">
        <v>0</v>
      </c>
      <c r="N451" s="5" t="n">
        <v>0</v>
      </c>
      <c r="O451" s="5" t="n">
        <v>0</v>
      </c>
      <c r="P451" s="5" t="n">
        <v>0</v>
      </c>
      <c r="Q451" s="5" t="n">
        <v>0</v>
      </c>
      <c r="R451" s="5" t="n">
        <v>1</v>
      </c>
      <c r="S451" s="5" t="n">
        <v>0</v>
      </c>
      <c r="T451" s="5" t="n">
        <v>0</v>
      </c>
      <c r="U451" s="5" t="inlineStr">
        <is>
          <t>training</t>
        </is>
      </c>
      <c r="V451" s="5" t="n">
        <v>1</v>
      </c>
    </row>
    <row r="452">
      <c r="A452" s="5" t="n">
        <v>448</v>
      </c>
      <c r="B452" s="5" t="n">
        <v>0</v>
      </c>
      <c r="C452" s="6" t="n">
        <v>-1.156995771180249</v>
      </c>
      <c r="D452" s="6" t="n">
        <v>-0.2360711333369087</v>
      </c>
      <c r="E452" s="6" t="n">
        <v>-0.04696543117692405</v>
      </c>
      <c r="F452" s="6" t="n">
        <v>-0.8850484360866833</v>
      </c>
      <c r="G452" s="5" t="n">
        <v>0</v>
      </c>
      <c r="H452" s="5" t="n">
        <v>1</v>
      </c>
      <c r="I452" s="5" t="n">
        <v>0</v>
      </c>
      <c r="J452" s="5" t="n">
        <v>0</v>
      </c>
      <c r="K452" s="5" t="n">
        <v>0</v>
      </c>
      <c r="L452" s="5" t="n">
        <v>0</v>
      </c>
      <c r="M452" s="5" t="n">
        <v>0</v>
      </c>
      <c r="N452" s="5" t="n">
        <v>0</v>
      </c>
      <c r="O452" s="5" t="n">
        <v>0</v>
      </c>
      <c r="P452" s="5" t="n">
        <v>0</v>
      </c>
      <c r="Q452" s="5" t="n">
        <v>0</v>
      </c>
      <c r="R452" s="5" t="n">
        <v>0</v>
      </c>
      <c r="S452" s="5" t="n">
        <v>1</v>
      </c>
      <c r="T452" s="5" t="n">
        <v>0</v>
      </c>
      <c r="U452" s="5" t="inlineStr">
        <is>
          <t>testing</t>
        </is>
      </c>
      <c r="V452" s="5" t="n">
        <v>0</v>
      </c>
    </row>
    <row r="453">
      <c r="A453" s="5" t="n">
        <v>449</v>
      </c>
      <c r="B453" s="5" t="n">
        <v>0</v>
      </c>
      <c r="C453" s="6" t="n">
        <v>-0.7357010147163632</v>
      </c>
      <c r="D453" s="6" t="n">
        <v>-0.6391475718645057</v>
      </c>
      <c r="E453" s="6" t="n">
        <v>1.692494982783229</v>
      </c>
      <c r="F453" s="6" t="n">
        <v>0.01674764143977723</v>
      </c>
      <c r="G453" s="5" t="n">
        <v>0</v>
      </c>
      <c r="H453" s="5" t="n">
        <v>0</v>
      </c>
      <c r="I453" s="5" t="n">
        <v>1</v>
      </c>
      <c r="J453" s="5" t="n">
        <v>0</v>
      </c>
      <c r="K453" s="5" t="n">
        <v>0</v>
      </c>
      <c r="L453" s="5" t="n">
        <v>0</v>
      </c>
      <c r="M453" s="5" t="n">
        <v>0</v>
      </c>
      <c r="N453" s="5" t="n">
        <v>0</v>
      </c>
      <c r="O453" s="5" t="n">
        <v>1</v>
      </c>
      <c r="P453" s="5" t="n">
        <v>0</v>
      </c>
      <c r="Q453" s="5" t="n">
        <v>0</v>
      </c>
      <c r="R453" s="5" t="n">
        <v>0</v>
      </c>
      <c r="S453" s="5" t="n">
        <v>0</v>
      </c>
      <c r="T453" s="5" t="n">
        <v>1</v>
      </c>
      <c r="U453" s="5" t="inlineStr">
        <is>
          <t>testing</t>
        </is>
      </c>
      <c r="V453" s="5" t="n">
        <v>0</v>
      </c>
    </row>
    <row r="454">
      <c r="A454" s="5" t="n">
        <v>450</v>
      </c>
      <c r="B454" s="5" t="n">
        <v>1</v>
      </c>
      <c r="C454" s="6" t="n">
        <v>-0.4829241608380317</v>
      </c>
      <c r="D454" s="6" t="n">
        <v>-0.608357010588092</v>
      </c>
      <c r="E454" s="6" t="n">
        <v>2.214333106971274</v>
      </c>
      <c r="F454" s="6" t="n">
        <v>0.01674764143977723</v>
      </c>
      <c r="G454" s="5" t="n">
        <v>0</v>
      </c>
      <c r="H454" s="5" t="n">
        <v>1</v>
      </c>
      <c r="I454" s="5" t="n">
        <v>0</v>
      </c>
      <c r="J454" s="5" t="n">
        <v>0</v>
      </c>
      <c r="K454" s="5" t="n">
        <v>1</v>
      </c>
      <c r="L454" s="5" t="n">
        <v>0</v>
      </c>
      <c r="M454" s="5" t="n">
        <v>0</v>
      </c>
      <c r="N454" s="5" t="n">
        <v>1</v>
      </c>
      <c r="O454" s="5" t="n">
        <v>0</v>
      </c>
      <c r="P454" s="5" t="n">
        <v>0</v>
      </c>
      <c r="Q454" s="5" t="n">
        <v>0</v>
      </c>
      <c r="R454" s="5" t="n">
        <v>0</v>
      </c>
      <c r="S454" s="5" t="n">
        <v>0</v>
      </c>
      <c r="T454" s="5" t="n">
        <v>0</v>
      </c>
      <c r="U454" s="5" t="inlineStr">
        <is>
          <t>training</t>
        </is>
      </c>
      <c r="V454" s="5" t="n">
        <v>1</v>
      </c>
    </row>
    <row r="455">
      <c r="A455" s="5" t="n">
        <v>451</v>
      </c>
      <c r="B455" s="5" t="n">
        <v>0</v>
      </c>
      <c r="C455" s="6" t="n">
        <v>1.286513816310289</v>
      </c>
      <c r="D455" s="6" t="n">
        <v>2.730319531452126</v>
      </c>
      <c r="E455" s="6" t="n">
        <v>-0.4818305346669622</v>
      </c>
      <c r="F455" s="6" t="n">
        <v>0.9185437189662378</v>
      </c>
      <c r="G455" s="5" t="n">
        <v>0</v>
      </c>
      <c r="H455" s="5" t="n">
        <v>0</v>
      </c>
      <c r="I455" s="5" t="n">
        <v>0</v>
      </c>
      <c r="J455" s="5" t="n">
        <v>1</v>
      </c>
      <c r="K455" s="5" t="n">
        <v>0</v>
      </c>
      <c r="L455" s="5" t="n">
        <v>0</v>
      </c>
      <c r="M455" s="5" t="n">
        <v>0</v>
      </c>
      <c r="N455" s="5" t="n">
        <v>0</v>
      </c>
      <c r="O455" s="5" t="n">
        <v>1</v>
      </c>
      <c r="P455" s="5" t="n">
        <v>0</v>
      </c>
      <c r="Q455" s="5" t="n">
        <v>0</v>
      </c>
      <c r="R455" s="5" t="n">
        <v>1</v>
      </c>
      <c r="S455" s="5" t="n">
        <v>0</v>
      </c>
      <c r="T455" s="5" t="n">
        <v>0</v>
      </c>
      <c r="U455" s="5" t="inlineStr">
        <is>
          <t>testing</t>
        </is>
      </c>
      <c r="V455" s="5" t="n">
        <v>0</v>
      </c>
    </row>
    <row r="456">
      <c r="A456" s="5" t="n">
        <v>452</v>
      </c>
      <c r="B456" s="5" t="n">
        <v>0</v>
      </c>
      <c r="C456" s="6" t="n">
        <v>-1.241254722473026</v>
      </c>
      <c r="D456" s="6" t="n">
        <v>-0.9561503959148554</v>
      </c>
      <c r="E456" s="6" t="n">
        <v>-0.5688035553649698</v>
      </c>
      <c r="F456" s="6" t="n">
        <v>0.01674764143977723</v>
      </c>
      <c r="G456" s="5" t="n">
        <v>0</v>
      </c>
      <c r="H456" s="5" t="n">
        <v>0</v>
      </c>
      <c r="I456" s="5" t="n">
        <v>0</v>
      </c>
      <c r="J456" s="5" t="n">
        <v>0</v>
      </c>
      <c r="K456" s="5" t="n">
        <v>0</v>
      </c>
      <c r="L456" s="5" t="n">
        <v>0</v>
      </c>
      <c r="M456" s="5" t="n">
        <v>0</v>
      </c>
      <c r="N456" s="5" t="n">
        <v>0</v>
      </c>
      <c r="O456" s="5" t="n">
        <v>0</v>
      </c>
      <c r="P456" s="5" t="n">
        <v>0</v>
      </c>
      <c r="Q456" s="5" t="n">
        <v>0</v>
      </c>
      <c r="R456" s="5" t="n">
        <v>0</v>
      </c>
      <c r="S456" s="5" t="n">
        <v>1</v>
      </c>
      <c r="T456" s="5" t="n">
        <v>0</v>
      </c>
      <c r="U456" s="5" t="inlineStr">
        <is>
          <t>training</t>
        </is>
      </c>
      <c r="V456" s="5" t="n">
        <v>1</v>
      </c>
    </row>
    <row r="457">
      <c r="A457" s="5" t="n">
        <v>453</v>
      </c>
      <c r="B457" s="5" t="n">
        <v>0</v>
      </c>
      <c r="C457" s="6" t="n">
        <v>-0.7357010147163632</v>
      </c>
      <c r="D457" s="6" t="n">
        <v>-0.1720407615916393</v>
      </c>
      <c r="E457" s="6" t="n">
        <v>-0.1339384518749317</v>
      </c>
      <c r="F457" s="6" t="n">
        <v>-0.8850484360866833</v>
      </c>
      <c r="G457" s="5" t="n">
        <v>0</v>
      </c>
      <c r="H457" s="5" t="n">
        <v>0</v>
      </c>
      <c r="I457" s="5" t="n">
        <v>0</v>
      </c>
      <c r="J457" s="5" t="n">
        <v>0</v>
      </c>
      <c r="K457" s="5" t="n">
        <v>0</v>
      </c>
      <c r="L457" s="5" t="n">
        <v>1</v>
      </c>
      <c r="M457" s="5" t="n">
        <v>0</v>
      </c>
      <c r="N457" s="5" t="n">
        <v>0</v>
      </c>
      <c r="O457" s="5" t="n">
        <v>0</v>
      </c>
      <c r="P457" s="5" t="n">
        <v>0</v>
      </c>
      <c r="Q457" s="5" t="n">
        <v>0</v>
      </c>
      <c r="R457" s="5" t="n">
        <v>0</v>
      </c>
      <c r="S457" s="5" t="n">
        <v>0</v>
      </c>
      <c r="T457" s="5" t="n">
        <v>1</v>
      </c>
      <c r="U457" s="5" t="inlineStr">
        <is>
          <t>training</t>
        </is>
      </c>
      <c r="V457" s="5" t="n">
        <v>1</v>
      </c>
    </row>
    <row r="458">
      <c r="A458" s="5" t="n">
        <v>454</v>
      </c>
      <c r="B458" s="5" t="n">
        <v>0</v>
      </c>
      <c r="C458" s="6" t="n">
        <v>0.275406400796963</v>
      </c>
      <c r="D458" s="6" t="n">
        <v>-0.2031812156098304</v>
      </c>
      <c r="E458" s="6" t="n">
        <v>-0.04696543117692405</v>
      </c>
      <c r="F458" s="6" t="n">
        <v>0.9185437189662378</v>
      </c>
      <c r="G458" s="5" t="n">
        <v>0</v>
      </c>
      <c r="H458" s="5" t="n">
        <v>0</v>
      </c>
      <c r="I458" s="5" t="n">
        <v>0</v>
      </c>
      <c r="J458" s="5" t="n">
        <v>0</v>
      </c>
      <c r="K458" s="5" t="n">
        <v>0</v>
      </c>
      <c r="L458" s="5" t="n">
        <v>0</v>
      </c>
      <c r="M458" s="5" t="n">
        <v>0</v>
      </c>
      <c r="N458" s="5" t="n">
        <v>0</v>
      </c>
      <c r="O458" s="5" t="n">
        <v>0</v>
      </c>
      <c r="P458" s="5" t="n">
        <v>0</v>
      </c>
      <c r="Q458" s="5" t="n">
        <v>0</v>
      </c>
      <c r="R458" s="5" t="n">
        <v>1</v>
      </c>
      <c r="S458" s="5" t="n">
        <v>0</v>
      </c>
      <c r="T458" s="5" t="n">
        <v>0</v>
      </c>
      <c r="U458" s="5" t="inlineStr">
        <is>
          <t>testing</t>
        </is>
      </c>
      <c r="V458" s="5" t="n">
        <v>0</v>
      </c>
    </row>
    <row r="459">
      <c r="A459" s="5" t="n">
        <v>455</v>
      </c>
      <c r="B459" s="5" t="n">
        <v>1</v>
      </c>
      <c r="C459" s="6" t="n">
        <v>0.275406400796963</v>
      </c>
      <c r="D459" s="6" t="n">
        <v>0.5480385009863074</v>
      </c>
      <c r="E459" s="6" t="n">
        <v>-0.3948575139689546</v>
      </c>
      <c r="F459" s="6" t="n">
        <v>-0.8850484360866833</v>
      </c>
      <c r="G459" s="5" t="n">
        <v>1</v>
      </c>
      <c r="H459" s="5" t="n">
        <v>0</v>
      </c>
      <c r="I459" s="5" t="n">
        <v>0</v>
      </c>
      <c r="J459" s="5" t="n">
        <v>0</v>
      </c>
      <c r="K459" s="5" t="n">
        <v>0</v>
      </c>
      <c r="L459" s="5" t="n">
        <v>0</v>
      </c>
      <c r="M459" s="5" t="n">
        <v>0</v>
      </c>
      <c r="N459" s="5" t="n">
        <v>0</v>
      </c>
      <c r="O459" s="5" t="n">
        <v>0</v>
      </c>
      <c r="P459" s="5" t="n">
        <v>0</v>
      </c>
      <c r="Q459" s="5" t="n">
        <v>0</v>
      </c>
      <c r="R459" s="5" t="n">
        <v>1</v>
      </c>
      <c r="S459" s="5" t="n">
        <v>0</v>
      </c>
      <c r="T459" s="5" t="n">
        <v>0</v>
      </c>
      <c r="U459" s="5" t="inlineStr">
        <is>
          <t>testing</t>
        </is>
      </c>
      <c r="V459" s="5" t="n">
        <v>0</v>
      </c>
    </row>
    <row r="460">
      <c r="A460" s="5" t="n">
        <v>456</v>
      </c>
      <c r="B460" s="5" t="n">
        <v>0</v>
      </c>
      <c r="C460" s="6" t="n">
        <v>0.275406400796963</v>
      </c>
      <c r="D460" s="6" t="n">
        <v>-0.2000321809338336</v>
      </c>
      <c r="E460" s="6" t="n">
        <v>-0.5688035553649698</v>
      </c>
      <c r="F460" s="6" t="n">
        <v>0.9185437189662378</v>
      </c>
      <c r="G460" s="5" t="n">
        <v>0</v>
      </c>
      <c r="H460" s="5" t="n">
        <v>0</v>
      </c>
      <c r="I460" s="5" t="n">
        <v>0</v>
      </c>
      <c r="J460" s="5" t="n">
        <v>0</v>
      </c>
      <c r="K460" s="5" t="n">
        <v>0</v>
      </c>
      <c r="L460" s="5" t="n">
        <v>0</v>
      </c>
      <c r="M460" s="5" t="n">
        <v>0</v>
      </c>
      <c r="N460" s="5" t="n">
        <v>0</v>
      </c>
      <c r="O460" s="5" t="n">
        <v>0</v>
      </c>
      <c r="P460" s="5" t="n">
        <v>0</v>
      </c>
      <c r="Q460" s="5" t="n">
        <v>0</v>
      </c>
      <c r="R460" s="5" t="n">
        <v>1</v>
      </c>
      <c r="S460" s="5" t="n">
        <v>0</v>
      </c>
      <c r="T460" s="5" t="n">
        <v>0</v>
      </c>
      <c r="U460" s="5" t="inlineStr">
        <is>
          <t>testing</t>
        </is>
      </c>
      <c r="V460" s="5" t="n">
        <v>0</v>
      </c>
    </row>
    <row r="461">
      <c r="A461" s="5" t="n">
        <v>457</v>
      </c>
      <c r="B461" s="5" t="n">
        <v>0</v>
      </c>
      <c r="C461" s="6" t="n">
        <v>-0.8199599660091405</v>
      </c>
      <c r="D461" s="6" t="n">
        <v>0.2289363204852931</v>
      </c>
      <c r="E461" s="6" t="n">
        <v>0.04000758952108359</v>
      </c>
      <c r="F461" s="6" t="n">
        <v>-0.8850484360866833</v>
      </c>
      <c r="G461" s="5" t="n">
        <v>1</v>
      </c>
      <c r="H461" s="5" t="n">
        <v>0</v>
      </c>
      <c r="I461" s="5" t="n">
        <v>0</v>
      </c>
      <c r="J461" s="5" t="n">
        <v>1</v>
      </c>
      <c r="K461" s="5" t="n">
        <v>0</v>
      </c>
      <c r="L461" s="5" t="n">
        <v>0</v>
      </c>
      <c r="M461" s="5" t="n">
        <v>0</v>
      </c>
      <c r="N461" s="5" t="n">
        <v>0</v>
      </c>
      <c r="O461" s="5" t="n">
        <v>0</v>
      </c>
      <c r="P461" s="5" t="n">
        <v>1</v>
      </c>
      <c r="Q461" s="5" t="n">
        <v>0</v>
      </c>
      <c r="R461" s="5" t="n">
        <v>1</v>
      </c>
      <c r="S461" s="5" t="n">
        <v>0</v>
      </c>
      <c r="T461" s="5" t="n">
        <v>0</v>
      </c>
      <c r="U461" s="5" t="inlineStr">
        <is>
          <t>testing</t>
        </is>
      </c>
      <c r="V461" s="5" t="n">
        <v>0</v>
      </c>
    </row>
    <row r="462">
      <c r="A462" s="5" t="n">
        <v>458</v>
      </c>
      <c r="B462" s="5" t="n">
        <v>1</v>
      </c>
      <c r="C462" s="6" t="n">
        <v>-0.7357010147163632</v>
      </c>
      <c r="D462" s="6" t="n">
        <v>0.04734198750280798</v>
      </c>
      <c r="E462" s="6" t="n">
        <v>-0.04696543117692405</v>
      </c>
      <c r="F462" s="6" t="n">
        <v>0.01674764143977723</v>
      </c>
      <c r="G462" s="5" t="n">
        <v>1</v>
      </c>
      <c r="H462" s="5" t="n">
        <v>0</v>
      </c>
      <c r="I462" s="5" t="n">
        <v>0</v>
      </c>
      <c r="J462" s="5" t="n">
        <v>0</v>
      </c>
      <c r="K462" s="5" t="n">
        <v>0</v>
      </c>
      <c r="L462" s="5" t="n">
        <v>0</v>
      </c>
      <c r="M462" s="5" t="n">
        <v>0</v>
      </c>
      <c r="N462" s="5" t="n">
        <v>0</v>
      </c>
      <c r="O462" s="5" t="n">
        <v>0</v>
      </c>
      <c r="P462" s="5" t="n">
        <v>0</v>
      </c>
      <c r="Q462" s="5" t="n">
        <v>1</v>
      </c>
      <c r="R462" s="5" t="n">
        <v>1</v>
      </c>
      <c r="S462" s="5" t="n">
        <v>0</v>
      </c>
      <c r="T462" s="5" t="n">
        <v>0</v>
      </c>
      <c r="U462" s="5" t="inlineStr">
        <is>
          <t>training</t>
        </is>
      </c>
      <c r="V462" s="5" t="n">
        <v>1</v>
      </c>
    </row>
    <row r="463">
      <c r="A463" s="5" t="n">
        <v>459</v>
      </c>
      <c r="B463" s="5" t="n">
        <v>0</v>
      </c>
      <c r="C463" s="6" t="n">
        <v>-1.241254722473026</v>
      </c>
      <c r="D463" s="6" t="n">
        <v>-1.017381625725905</v>
      </c>
      <c r="E463" s="6" t="n">
        <v>-0.7427495967609852</v>
      </c>
      <c r="F463" s="6" t="n">
        <v>0.9185437189662378</v>
      </c>
      <c r="G463" s="5" t="n">
        <v>1</v>
      </c>
      <c r="H463" s="5" t="n">
        <v>0</v>
      </c>
      <c r="I463" s="5" t="n">
        <v>0</v>
      </c>
      <c r="J463" s="5" t="n">
        <v>0</v>
      </c>
      <c r="K463" s="5" t="n">
        <v>0</v>
      </c>
      <c r="L463" s="5" t="n">
        <v>0</v>
      </c>
      <c r="M463" s="5" t="n">
        <v>0</v>
      </c>
      <c r="N463" s="5" t="n">
        <v>0</v>
      </c>
      <c r="O463" s="5" t="n">
        <v>0</v>
      </c>
      <c r="P463" s="5" t="n">
        <v>0</v>
      </c>
      <c r="Q463" s="5" t="n">
        <v>0</v>
      </c>
      <c r="R463" s="5" t="n">
        <v>0</v>
      </c>
      <c r="S463" s="5" t="n">
        <v>0</v>
      </c>
      <c r="T463" s="5" t="n">
        <v>0</v>
      </c>
      <c r="U463" s="5" t="inlineStr">
        <is>
          <t>training</t>
        </is>
      </c>
      <c r="V463" s="5" t="n">
        <v>0</v>
      </c>
    </row>
    <row r="464">
      <c r="A464" s="5" t="n">
        <v>460</v>
      </c>
      <c r="B464" s="5" t="n">
        <v>0</v>
      </c>
      <c r="C464" s="6" t="n">
        <v>-0.2301473069597001</v>
      </c>
      <c r="D464" s="6" t="n">
        <v>0.4700124195699409</v>
      </c>
      <c r="E464" s="6" t="n">
        <v>-0.307884493270947</v>
      </c>
      <c r="F464" s="6" t="n">
        <v>0.01674764143977723</v>
      </c>
      <c r="G464" s="5" t="n">
        <v>0</v>
      </c>
      <c r="H464" s="5" t="n">
        <v>0</v>
      </c>
      <c r="I464" s="5" t="n">
        <v>0</v>
      </c>
      <c r="J464" s="5" t="n">
        <v>0</v>
      </c>
      <c r="K464" s="5" t="n">
        <v>0</v>
      </c>
      <c r="L464" s="5" t="n">
        <v>0</v>
      </c>
      <c r="M464" s="5" t="n">
        <v>0</v>
      </c>
      <c r="N464" s="5" t="n">
        <v>0</v>
      </c>
      <c r="O464" s="5" t="n">
        <v>0</v>
      </c>
      <c r="P464" s="5" t="n">
        <v>0</v>
      </c>
      <c r="Q464" s="5" t="n">
        <v>0</v>
      </c>
      <c r="R464" s="5" t="n">
        <v>0</v>
      </c>
      <c r="S464" s="5" t="n">
        <v>1</v>
      </c>
      <c r="T464" s="5" t="n">
        <v>0</v>
      </c>
      <c r="U464" s="5" t="inlineStr">
        <is>
          <t>testing</t>
        </is>
      </c>
      <c r="V464" s="5" t="n">
        <v>0</v>
      </c>
    </row>
    <row r="465">
      <c r="A465" s="5" t="n">
        <v>461</v>
      </c>
      <c r="B465" s="5" t="n">
        <v>0</v>
      </c>
      <c r="C465" s="6" t="n">
        <v>1.286513816310289</v>
      </c>
      <c r="D465" s="6" t="n">
        <v>0.1292168890787261</v>
      </c>
      <c r="E465" s="6" t="n">
        <v>0.1269806102190912</v>
      </c>
      <c r="F465" s="6" t="n">
        <v>-1.786844513613144</v>
      </c>
      <c r="G465" s="5" t="n">
        <v>1</v>
      </c>
      <c r="H465" s="5" t="n">
        <v>0</v>
      </c>
      <c r="I465" s="5" t="n">
        <v>0</v>
      </c>
      <c r="J465" s="5" t="n">
        <v>0</v>
      </c>
      <c r="K465" s="5" t="n">
        <v>0</v>
      </c>
      <c r="L465" s="5" t="n">
        <v>0</v>
      </c>
      <c r="M465" s="5" t="n">
        <v>0</v>
      </c>
      <c r="N465" s="5" t="n">
        <v>0</v>
      </c>
      <c r="O465" s="5" t="n">
        <v>0</v>
      </c>
      <c r="P465" s="5" t="n">
        <v>0</v>
      </c>
      <c r="Q465" s="5" t="n">
        <v>0</v>
      </c>
      <c r="R465" s="5" t="n">
        <v>0</v>
      </c>
      <c r="S465" s="5" t="n">
        <v>0</v>
      </c>
      <c r="T465" s="5" t="n">
        <v>1</v>
      </c>
      <c r="U465" s="5" t="inlineStr">
        <is>
          <t>training</t>
        </is>
      </c>
      <c r="V465" s="5" t="n">
        <v>0</v>
      </c>
    </row>
    <row r="466">
      <c r="A466" s="5" t="n">
        <v>462</v>
      </c>
      <c r="B466" s="5" t="n">
        <v>0</v>
      </c>
      <c r="C466" s="6" t="n">
        <v>-0.4829241608380317</v>
      </c>
      <c r="D466" s="6" t="n">
        <v>-0.5352294275566095</v>
      </c>
      <c r="E466" s="6" t="n">
        <v>0.04000758952108359</v>
      </c>
      <c r="F466" s="6" t="n">
        <v>-0.8850484360866833</v>
      </c>
      <c r="G466" s="5" t="n">
        <v>1</v>
      </c>
      <c r="H466" s="5" t="n">
        <v>0</v>
      </c>
      <c r="I466" s="5" t="n">
        <v>0</v>
      </c>
      <c r="J466" s="5" t="n">
        <v>0</v>
      </c>
      <c r="K466" s="5" t="n">
        <v>0</v>
      </c>
      <c r="L466" s="5" t="n">
        <v>0</v>
      </c>
      <c r="M466" s="5" t="n">
        <v>0</v>
      </c>
      <c r="N466" s="5" t="n">
        <v>0</v>
      </c>
      <c r="O466" s="5" t="n">
        <v>0</v>
      </c>
      <c r="P466" s="5" t="n">
        <v>0</v>
      </c>
      <c r="Q466" s="5" t="n">
        <v>0</v>
      </c>
      <c r="R466" s="5" t="n">
        <v>1</v>
      </c>
      <c r="S466" s="5" t="n">
        <v>0</v>
      </c>
      <c r="T466" s="5" t="n">
        <v>0</v>
      </c>
      <c r="U466" s="5" t="inlineStr">
        <is>
          <t>training</t>
        </is>
      </c>
      <c r="V466" s="5" t="n">
        <v>1</v>
      </c>
    </row>
    <row r="467">
      <c r="A467" s="5" t="n">
        <v>463</v>
      </c>
      <c r="B467" s="5" t="n">
        <v>0</v>
      </c>
      <c r="C467" s="6" t="n">
        <v>-0.7357010147163632</v>
      </c>
      <c r="D467" s="6" t="n">
        <v>-0.08176843421306293</v>
      </c>
      <c r="E467" s="6" t="n">
        <v>-0.1339384518749317</v>
      </c>
      <c r="F467" s="6" t="n">
        <v>0.01674764143977723</v>
      </c>
      <c r="G467" s="5" t="n">
        <v>0</v>
      </c>
      <c r="H467" s="5" t="n">
        <v>1</v>
      </c>
      <c r="I467" s="5" t="n">
        <v>0</v>
      </c>
      <c r="J467" s="5" t="n">
        <v>0</v>
      </c>
      <c r="K467" s="5" t="n">
        <v>0</v>
      </c>
      <c r="L467" s="5" t="n">
        <v>0</v>
      </c>
      <c r="M467" s="5" t="n">
        <v>0</v>
      </c>
      <c r="N467" s="5" t="n">
        <v>0</v>
      </c>
      <c r="O467" s="5" t="n">
        <v>0</v>
      </c>
      <c r="P467" s="5" t="n">
        <v>1</v>
      </c>
      <c r="Q467" s="5" t="n">
        <v>0</v>
      </c>
      <c r="R467" s="5" t="n">
        <v>0</v>
      </c>
      <c r="S467" s="5" t="n">
        <v>0</v>
      </c>
      <c r="T467" s="5" t="n">
        <v>1</v>
      </c>
      <c r="U467" s="5" t="inlineStr">
        <is>
          <t>testing</t>
        </is>
      </c>
      <c r="V467" s="5" t="n">
        <v>0</v>
      </c>
    </row>
    <row r="468">
      <c r="A468" s="5" t="n">
        <v>464</v>
      </c>
      <c r="B468" s="5" t="n">
        <v>0</v>
      </c>
      <c r="C468" s="6" t="n">
        <v>-0.7357010147163632</v>
      </c>
      <c r="D468" s="6" t="n">
        <v>-0.8735757088553824</v>
      </c>
      <c r="E468" s="6" t="n">
        <v>0.2139536309170988</v>
      </c>
      <c r="F468" s="6" t="n">
        <v>0.9185437189662378</v>
      </c>
      <c r="G468" s="5" t="n">
        <v>0</v>
      </c>
      <c r="H468" s="5" t="n">
        <v>1</v>
      </c>
      <c r="I468" s="5" t="n">
        <v>0</v>
      </c>
      <c r="J468" s="5" t="n">
        <v>0</v>
      </c>
      <c r="K468" s="5" t="n">
        <v>0</v>
      </c>
      <c r="L468" s="5" t="n">
        <v>0</v>
      </c>
      <c r="M468" s="5" t="n">
        <v>0</v>
      </c>
      <c r="N468" s="5" t="n">
        <v>0</v>
      </c>
      <c r="O468" s="5" t="n">
        <v>1</v>
      </c>
      <c r="P468" s="5" t="n">
        <v>0</v>
      </c>
      <c r="Q468" s="5" t="n">
        <v>0</v>
      </c>
      <c r="R468" s="5" t="n">
        <v>0</v>
      </c>
      <c r="S468" s="5" t="n">
        <v>0</v>
      </c>
      <c r="T468" s="5" t="n">
        <v>0</v>
      </c>
      <c r="U468" s="5" t="inlineStr">
        <is>
          <t>testing</t>
        </is>
      </c>
      <c r="V468" s="5" t="n">
        <v>0</v>
      </c>
    </row>
    <row r="469">
      <c r="A469" s="5" t="n">
        <v>465</v>
      </c>
      <c r="B469" s="5" t="n">
        <v>0</v>
      </c>
      <c r="C469" s="6" t="n">
        <v>-0.2301473069597001</v>
      </c>
      <c r="D469" s="6" t="n">
        <v>-0.4551039896895785</v>
      </c>
      <c r="E469" s="6" t="n">
        <v>-0.1339384518749317</v>
      </c>
      <c r="F469" s="6" t="n">
        <v>0.9185437189662378</v>
      </c>
      <c r="G469" s="5" t="n">
        <v>0</v>
      </c>
      <c r="H469" s="5" t="n">
        <v>0</v>
      </c>
      <c r="I469" s="5" t="n">
        <v>0</v>
      </c>
      <c r="J469" s="5" t="n">
        <v>0</v>
      </c>
      <c r="K469" s="5" t="n">
        <v>0</v>
      </c>
      <c r="L469" s="5" t="n">
        <v>0</v>
      </c>
      <c r="M469" s="5" t="n">
        <v>0</v>
      </c>
      <c r="N469" s="5" t="n">
        <v>0</v>
      </c>
      <c r="O469" s="5" t="n">
        <v>0</v>
      </c>
      <c r="P469" s="5" t="n">
        <v>0</v>
      </c>
      <c r="Q469" s="5" t="n">
        <v>0</v>
      </c>
      <c r="R469" s="5" t="n">
        <v>0</v>
      </c>
      <c r="S469" s="5" t="n">
        <v>0</v>
      </c>
      <c r="T469" s="5" t="n">
        <v>0</v>
      </c>
      <c r="U469" s="5" t="inlineStr">
        <is>
          <t>training</t>
        </is>
      </c>
      <c r="V469" s="5" t="n">
        <v>0</v>
      </c>
    </row>
    <row r="470">
      <c r="A470" s="5" t="n">
        <v>466</v>
      </c>
      <c r="B470" s="5" t="n">
        <v>0</v>
      </c>
      <c r="C470" s="6" t="n">
        <v>0.275406400796963</v>
      </c>
      <c r="D470" s="6" t="n">
        <v>-0.1143084591983637</v>
      </c>
      <c r="E470" s="6" t="n">
        <v>2.38827914836729</v>
      </c>
      <c r="F470" s="6" t="n">
        <v>0.01674764143977723</v>
      </c>
      <c r="G470" s="5" t="n">
        <v>1</v>
      </c>
      <c r="H470" s="5" t="n">
        <v>0</v>
      </c>
      <c r="I470" s="5" t="n">
        <v>0</v>
      </c>
      <c r="J470" s="5" t="n">
        <v>0</v>
      </c>
      <c r="K470" s="5" t="n">
        <v>0</v>
      </c>
      <c r="L470" s="5" t="n">
        <v>0</v>
      </c>
      <c r="M470" s="5" t="n">
        <v>0</v>
      </c>
      <c r="N470" s="5" t="n">
        <v>0</v>
      </c>
      <c r="O470" s="5" t="n">
        <v>0</v>
      </c>
      <c r="P470" s="5" t="n">
        <v>0</v>
      </c>
      <c r="Q470" s="5" t="n">
        <v>0</v>
      </c>
      <c r="R470" s="5" t="n">
        <v>1</v>
      </c>
      <c r="S470" s="5" t="n">
        <v>0</v>
      </c>
      <c r="T470" s="5" t="n">
        <v>0</v>
      </c>
      <c r="U470" s="5" t="inlineStr">
        <is>
          <t>training</t>
        </is>
      </c>
      <c r="V470" s="5" t="n">
        <v>1</v>
      </c>
    </row>
    <row r="471">
      <c r="A471" s="5" t="n">
        <v>467</v>
      </c>
      <c r="B471" s="5" t="n">
        <v>1</v>
      </c>
      <c r="C471" s="6" t="n">
        <v>0.275406400796963</v>
      </c>
      <c r="D471" s="6" t="n">
        <v>-0.5569227775468101</v>
      </c>
      <c r="E471" s="6" t="n">
        <v>-0.5688035553649698</v>
      </c>
      <c r="F471" s="6" t="n">
        <v>0.9185437189662378</v>
      </c>
      <c r="G471" s="5" t="n">
        <v>1</v>
      </c>
      <c r="H471" s="5" t="n">
        <v>0</v>
      </c>
      <c r="I471" s="5" t="n">
        <v>0</v>
      </c>
      <c r="J471" s="5" t="n">
        <v>0</v>
      </c>
      <c r="K471" s="5" t="n">
        <v>1</v>
      </c>
      <c r="L471" s="5" t="n">
        <v>0</v>
      </c>
      <c r="M471" s="5" t="n">
        <v>0</v>
      </c>
      <c r="N471" s="5" t="n">
        <v>0</v>
      </c>
      <c r="O471" s="5" t="n">
        <v>0</v>
      </c>
      <c r="P471" s="5" t="n">
        <v>1</v>
      </c>
      <c r="Q471" s="5" t="n">
        <v>0</v>
      </c>
      <c r="R471" s="5" t="n">
        <v>0</v>
      </c>
      <c r="S471" s="5" t="n">
        <v>1</v>
      </c>
      <c r="T471" s="5" t="n">
        <v>0</v>
      </c>
      <c r="U471" s="5" t="inlineStr">
        <is>
          <t>testing</t>
        </is>
      </c>
      <c r="V471" s="5" t="n">
        <v>0</v>
      </c>
    </row>
    <row r="472">
      <c r="A472" s="5" t="n">
        <v>468</v>
      </c>
      <c r="B472" s="5" t="n">
        <v>0</v>
      </c>
      <c r="C472" s="6" t="n">
        <v>2.297621231823615</v>
      </c>
      <c r="D472" s="6" t="n">
        <v>1.39512882882946</v>
      </c>
      <c r="E472" s="6" t="n">
        <v>-0.307884493270947</v>
      </c>
      <c r="F472" s="6" t="n">
        <v>0.01674764143977723</v>
      </c>
      <c r="G472" s="5" t="n">
        <v>0</v>
      </c>
      <c r="H472" s="5" t="n">
        <v>0</v>
      </c>
      <c r="I472" s="5" t="n">
        <v>0</v>
      </c>
      <c r="J472" s="5" t="n">
        <v>0</v>
      </c>
      <c r="K472" s="5" t="n">
        <v>1</v>
      </c>
      <c r="L472" s="5" t="n">
        <v>0</v>
      </c>
      <c r="M472" s="5" t="n">
        <v>0</v>
      </c>
      <c r="N472" s="5" t="n">
        <v>0</v>
      </c>
      <c r="O472" s="5" t="n">
        <v>1</v>
      </c>
      <c r="P472" s="5" t="n">
        <v>0</v>
      </c>
      <c r="Q472" s="5" t="n">
        <v>0</v>
      </c>
      <c r="R472" s="5" t="n">
        <v>0</v>
      </c>
      <c r="S472" s="5" t="n">
        <v>1</v>
      </c>
      <c r="T472" s="5" t="n">
        <v>0</v>
      </c>
      <c r="U472" s="5" t="inlineStr">
        <is>
          <t>testing</t>
        </is>
      </c>
      <c r="V472" s="5" t="n">
        <v>0</v>
      </c>
    </row>
    <row r="473">
      <c r="A473" s="5" t="n">
        <v>469</v>
      </c>
      <c r="B473" s="5" t="n">
        <v>0</v>
      </c>
      <c r="C473" s="6" t="n">
        <v>1.033736962431958</v>
      </c>
      <c r="D473" s="6" t="n">
        <v>-0.1702912978827522</v>
      </c>
      <c r="E473" s="6" t="n">
        <v>-0.8297226174589928</v>
      </c>
      <c r="F473" s="6" t="n">
        <v>-0.8850484360866833</v>
      </c>
      <c r="G473" s="5" t="n">
        <v>0</v>
      </c>
      <c r="H473" s="5" t="n">
        <v>0</v>
      </c>
      <c r="I473" s="5" t="n">
        <v>0</v>
      </c>
      <c r="J473" s="5" t="n">
        <v>0</v>
      </c>
      <c r="K473" s="5" t="n">
        <v>1</v>
      </c>
      <c r="L473" s="5" t="n">
        <v>0</v>
      </c>
      <c r="M473" s="5" t="n">
        <v>0</v>
      </c>
      <c r="N473" s="5" t="n">
        <v>0</v>
      </c>
      <c r="O473" s="5" t="n">
        <v>0</v>
      </c>
      <c r="P473" s="5" t="n">
        <v>0</v>
      </c>
      <c r="Q473" s="5" t="n">
        <v>0</v>
      </c>
      <c r="R473" s="5" t="n">
        <v>0</v>
      </c>
      <c r="S473" s="5" t="n">
        <v>0</v>
      </c>
      <c r="T473" s="5" t="n">
        <v>0</v>
      </c>
      <c r="U473" s="5" t="inlineStr">
        <is>
          <t>training</t>
        </is>
      </c>
      <c r="V473" s="5" t="n">
        <v>0</v>
      </c>
    </row>
    <row r="474">
      <c r="A474" s="5" t="n">
        <v>470</v>
      </c>
      <c r="B474" s="5" t="n">
        <v>0</v>
      </c>
      <c r="C474" s="6" t="n">
        <v>0.275406400796963</v>
      </c>
      <c r="D474" s="6" t="n">
        <v>0.4997533026210223</v>
      </c>
      <c r="E474" s="6" t="n">
        <v>-0.04696543117692405</v>
      </c>
      <c r="F474" s="6" t="n">
        <v>0.01674764143977723</v>
      </c>
      <c r="G474" s="5" t="n">
        <v>0</v>
      </c>
      <c r="H474" s="5" t="n">
        <v>0</v>
      </c>
      <c r="I474" s="5" t="n">
        <v>0</v>
      </c>
      <c r="J474" s="5" t="n">
        <v>0</v>
      </c>
      <c r="K474" s="5" t="n">
        <v>1</v>
      </c>
      <c r="L474" s="5" t="n">
        <v>0</v>
      </c>
      <c r="M474" s="5" t="n">
        <v>0</v>
      </c>
      <c r="N474" s="5" t="n">
        <v>0</v>
      </c>
      <c r="O474" s="5" t="n">
        <v>0</v>
      </c>
      <c r="P474" s="5" t="n">
        <v>0</v>
      </c>
      <c r="Q474" s="5" t="n">
        <v>0</v>
      </c>
      <c r="R474" s="5" t="n">
        <v>1</v>
      </c>
      <c r="S474" s="5" t="n">
        <v>0</v>
      </c>
      <c r="T474" s="5" t="n">
        <v>0</v>
      </c>
      <c r="U474" s="5" t="inlineStr">
        <is>
          <t>training</t>
        </is>
      </c>
      <c r="V474" s="5" t="n">
        <v>1</v>
      </c>
    </row>
    <row r="475">
      <c r="A475" s="5" t="n">
        <v>471</v>
      </c>
      <c r="B475" s="5" t="n">
        <v>1</v>
      </c>
      <c r="C475" s="6" t="n">
        <v>0.275406400796963</v>
      </c>
      <c r="D475" s="6" t="n">
        <v>-0.05552647857975584</v>
      </c>
      <c r="E475" s="6" t="n">
        <v>-1.177614700251023</v>
      </c>
      <c r="F475" s="6" t="n">
        <v>0.01674764143977723</v>
      </c>
      <c r="G475" s="5" t="n">
        <v>0</v>
      </c>
      <c r="H475" s="5" t="n">
        <v>1</v>
      </c>
      <c r="I475" s="5" t="n">
        <v>0</v>
      </c>
      <c r="J475" s="5" t="n">
        <v>0</v>
      </c>
      <c r="K475" s="5" t="n">
        <v>0</v>
      </c>
      <c r="L475" s="5" t="n">
        <v>0</v>
      </c>
      <c r="M475" s="5" t="n">
        <v>1</v>
      </c>
      <c r="N475" s="5" t="n">
        <v>0</v>
      </c>
      <c r="O475" s="5" t="n">
        <v>0</v>
      </c>
      <c r="P475" s="5" t="n">
        <v>1</v>
      </c>
      <c r="Q475" s="5" t="n">
        <v>0</v>
      </c>
      <c r="R475" s="5" t="n">
        <v>0</v>
      </c>
      <c r="S475" s="5" t="n">
        <v>1</v>
      </c>
      <c r="T475" s="5" t="n">
        <v>0</v>
      </c>
      <c r="U475" s="5" t="inlineStr">
        <is>
          <t>testing</t>
        </is>
      </c>
      <c r="V475" s="5" t="n">
        <v>0</v>
      </c>
    </row>
    <row r="476">
      <c r="A476" s="5" t="n">
        <v>472</v>
      </c>
      <c r="B476" s="5" t="n">
        <v>1</v>
      </c>
      <c r="C476" s="6" t="n">
        <v>-1.241254722473026</v>
      </c>
      <c r="D476" s="6" t="n">
        <v>-0.9806428878392753</v>
      </c>
      <c r="E476" s="6" t="n">
        <v>-1.090641679553016</v>
      </c>
      <c r="F476" s="6" t="n">
        <v>0.9185437189662378</v>
      </c>
      <c r="G476" s="5" t="n">
        <v>1</v>
      </c>
      <c r="H476" s="5" t="n">
        <v>0</v>
      </c>
      <c r="I476" s="5" t="n">
        <v>0</v>
      </c>
      <c r="J476" s="5" t="n">
        <v>0</v>
      </c>
      <c r="K476" s="5" t="n">
        <v>0</v>
      </c>
      <c r="L476" s="5" t="n">
        <v>0</v>
      </c>
      <c r="M476" s="5" t="n">
        <v>0</v>
      </c>
      <c r="N476" s="5" t="n">
        <v>0</v>
      </c>
      <c r="O476" s="5" t="n">
        <v>0</v>
      </c>
      <c r="P476" s="5" t="n">
        <v>0</v>
      </c>
      <c r="Q476" s="5" t="n">
        <v>0</v>
      </c>
      <c r="R476" s="5" t="n">
        <v>0</v>
      </c>
      <c r="S476" s="5" t="n">
        <v>0</v>
      </c>
      <c r="T476" s="5" t="n">
        <v>0</v>
      </c>
      <c r="U476" s="5" t="inlineStr">
        <is>
          <t>training</t>
        </is>
      </c>
      <c r="V476" s="5" t="n">
        <v>1</v>
      </c>
    </row>
    <row r="477">
      <c r="A477" s="5" t="n">
        <v>473</v>
      </c>
      <c r="B477" s="5" t="n">
        <v>1</v>
      </c>
      <c r="C477" s="6" t="n">
        <v>-0.9884778685946948</v>
      </c>
      <c r="D477" s="6" t="n">
        <v>-0.9085649830331252</v>
      </c>
      <c r="E477" s="6" t="n">
        <v>-0.6557765760629775</v>
      </c>
      <c r="F477" s="6" t="n">
        <v>0.9185437189662378</v>
      </c>
      <c r="G477" s="5" t="n">
        <v>1</v>
      </c>
      <c r="H477" s="5" t="n">
        <v>0</v>
      </c>
      <c r="I477" s="5" t="n">
        <v>0</v>
      </c>
      <c r="J477" s="5" t="n">
        <v>0</v>
      </c>
      <c r="K477" s="5" t="n">
        <v>0</v>
      </c>
      <c r="L477" s="5" t="n">
        <v>0</v>
      </c>
      <c r="M477" s="5" t="n">
        <v>0</v>
      </c>
      <c r="N477" s="5" t="n">
        <v>0</v>
      </c>
      <c r="O477" s="5" t="n">
        <v>0</v>
      </c>
      <c r="P477" s="5" t="n">
        <v>0</v>
      </c>
      <c r="Q477" s="5" t="n">
        <v>0</v>
      </c>
      <c r="R477" s="5" t="n">
        <v>1</v>
      </c>
      <c r="S477" s="5" t="n">
        <v>0</v>
      </c>
      <c r="T477" s="5" t="n">
        <v>0</v>
      </c>
      <c r="U477" s="5" t="inlineStr">
        <is>
          <t>testing</t>
        </is>
      </c>
      <c r="V477" s="5" t="n">
        <v>0</v>
      </c>
    </row>
    <row r="478">
      <c r="A478" s="5" t="n">
        <v>474</v>
      </c>
      <c r="B478" s="5" t="n">
        <v>0</v>
      </c>
      <c r="C478" s="6" t="n">
        <v>-1.241254722473026</v>
      </c>
      <c r="D478" s="6" t="n">
        <v>-0.7042276218351072</v>
      </c>
      <c r="E478" s="6" t="n">
        <v>0.04000758952108359</v>
      </c>
      <c r="F478" s="6" t="n">
        <v>0.9185437189662378</v>
      </c>
      <c r="G478" s="5" t="n">
        <v>0</v>
      </c>
      <c r="H478" s="5" t="n">
        <v>0</v>
      </c>
      <c r="I478" s="5" t="n">
        <v>0</v>
      </c>
      <c r="J478" s="5" t="n">
        <v>0</v>
      </c>
      <c r="K478" s="5" t="n">
        <v>0</v>
      </c>
      <c r="L478" s="5" t="n">
        <v>0</v>
      </c>
      <c r="M478" s="5" t="n">
        <v>0</v>
      </c>
      <c r="N478" s="5" t="n">
        <v>0</v>
      </c>
      <c r="O478" s="5" t="n">
        <v>1</v>
      </c>
      <c r="P478" s="5" t="n">
        <v>0</v>
      </c>
      <c r="Q478" s="5" t="n">
        <v>0</v>
      </c>
      <c r="R478" s="5" t="n">
        <v>0</v>
      </c>
      <c r="S478" s="5" t="n">
        <v>0</v>
      </c>
      <c r="T478" s="5" t="n">
        <v>0</v>
      </c>
      <c r="U478" s="5" t="inlineStr">
        <is>
          <t>testing</t>
        </is>
      </c>
      <c r="V478" s="5" t="n">
        <v>0</v>
      </c>
    </row>
    <row r="479">
      <c r="A479" s="5" t="n">
        <v>475</v>
      </c>
      <c r="B479" s="5" t="n">
        <v>1</v>
      </c>
      <c r="C479" s="6" t="n">
        <v>-0.2301473069597001</v>
      </c>
      <c r="D479" s="6" t="n">
        <v>-0.7017783726426653</v>
      </c>
      <c r="E479" s="6" t="n">
        <v>-0.2209114725729393</v>
      </c>
      <c r="F479" s="6" t="n">
        <v>0.9185437189662378</v>
      </c>
      <c r="G479" s="5" t="n">
        <v>0</v>
      </c>
      <c r="H479" s="5" t="n">
        <v>1</v>
      </c>
      <c r="I479" s="5" t="n">
        <v>0</v>
      </c>
      <c r="J479" s="5" t="n">
        <v>1</v>
      </c>
      <c r="K479" s="5" t="n">
        <v>0</v>
      </c>
      <c r="L479" s="5" t="n">
        <v>0</v>
      </c>
      <c r="M479" s="5" t="n">
        <v>0</v>
      </c>
      <c r="N479" s="5" t="n">
        <v>0</v>
      </c>
      <c r="O479" s="5" t="n">
        <v>0</v>
      </c>
      <c r="P479" s="5" t="n">
        <v>0</v>
      </c>
      <c r="Q479" s="5" t="n">
        <v>0</v>
      </c>
      <c r="R479" s="5" t="n">
        <v>0</v>
      </c>
      <c r="S479" s="5" t="n">
        <v>1</v>
      </c>
      <c r="T479" s="5" t="n">
        <v>0</v>
      </c>
      <c r="U479" s="5" t="inlineStr">
        <is>
          <t>training</t>
        </is>
      </c>
      <c r="V479" s="5" t="n">
        <v>1</v>
      </c>
    </row>
    <row r="480">
      <c r="A480" s="5" t="n">
        <v>476</v>
      </c>
      <c r="B480" s="5" t="n">
        <v>1</v>
      </c>
      <c r="C480" s="6" t="n">
        <v>-0.2301473069597001</v>
      </c>
      <c r="D480" s="6" t="n">
        <v>-0.04782883826065242</v>
      </c>
      <c r="E480" s="6" t="n">
        <v>-0.8297226174589928</v>
      </c>
      <c r="F480" s="6" t="n">
        <v>-1.786844513613144</v>
      </c>
      <c r="G480" s="5" t="n">
        <v>1</v>
      </c>
      <c r="H480" s="5" t="n">
        <v>0</v>
      </c>
      <c r="I480" s="5" t="n">
        <v>0</v>
      </c>
      <c r="J480" s="5" t="n">
        <v>0</v>
      </c>
      <c r="K480" s="5" t="n">
        <v>0</v>
      </c>
      <c r="L480" s="5" t="n">
        <v>1</v>
      </c>
      <c r="M480" s="5" t="n">
        <v>0</v>
      </c>
      <c r="N480" s="5" t="n">
        <v>0</v>
      </c>
      <c r="O480" s="5" t="n">
        <v>0</v>
      </c>
      <c r="P480" s="5" t="n">
        <v>1</v>
      </c>
      <c r="Q480" s="5" t="n">
        <v>0</v>
      </c>
      <c r="R480" s="5" t="n">
        <v>0</v>
      </c>
      <c r="S480" s="5" t="n">
        <v>0</v>
      </c>
      <c r="T480" s="5" t="n">
        <v>1</v>
      </c>
      <c r="U480" s="5" t="inlineStr">
        <is>
          <t>training</t>
        </is>
      </c>
      <c r="V480" s="5" t="n">
        <v>1</v>
      </c>
    </row>
    <row r="481">
      <c r="A481" s="5" t="n">
        <v>477</v>
      </c>
      <c r="B481" s="5" t="n">
        <v>0</v>
      </c>
      <c r="C481" s="6" t="n">
        <v>1.539290670188621</v>
      </c>
      <c r="D481" s="6" t="n">
        <v>-0.2385203825293506</v>
      </c>
      <c r="E481" s="6" t="n">
        <v>-1.003668658855008</v>
      </c>
      <c r="F481" s="6" t="n">
        <v>0.9185437189662378</v>
      </c>
      <c r="G481" s="5" t="n">
        <v>0</v>
      </c>
      <c r="H481" s="5" t="n">
        <v>0</v>
      </c>
      <c r="I481" s="5" t="n">
        <v>0</v>
      </c>
      <c r="J481" s="5" t="n">
        <v>0</v>
      </c>
      <c r="K481" s="5" t="n">
        <v>0</v>
      </c>
      <c r="L481" s="5" t="n">
        <v>0</v>
      </c>
      <c r="M481" s="5" t="n">
        <v>1</v>
      </c>
      <c r="N481" s="5" t="n">
        <v>0</v>
      </c>
      <c r="O481" s="5" t="n">
        <v>0</v>
      </c>
      <c r="P481" s="5" t="n">
        <v>0</v>
      </c>
      <c r="Q481" s="5" t="n">
        <v>0</v>
      </c>
      <c r="R481" s="5" t="n">
        <v>1</v>
      </c>
      <c r="S481" s="5" t="n">
        <v>0</v>
      </c>
      <c r="T481" s="5" t="n">
        <v>0</v>
      </c>
      <c r="U481" s="5" t="inlineStr">
        <is>
          <t>testing</t>
        </is>
      </c>
      <c r="V481" s="5" t="n">
        <v>0</v>
      </c>
    </row>
    <row r="482">
      <c r="A482" s="5" t="n">
        <v>478</v>
      </c>
      <c r="B482" s="5" t="n">
        <v>0</v>
      </c>
      <c r="C482" s="6" t="n">
        <v>0.275406400796963</v>
      </c>
      <c r="D482" s="6" t="n">
        <v>0.6652525694817457</v>
      </c>
      <c r="E482" s="6" t="n">
        <v>-0.9166956381570004</v>
      </c>
      <c r="F482" s="6" t="n">
        <v>0.9185437189662378</v>
      </c>
      <c r="G482" s="5" t="n">
        <v>0</v>
      </c>
      <c r="H482" s="5" t="n">
        <v>0</v>
      </c>
      <c r="I482" s="5" t="n">
        <v>1</v>
      </c>
      <c r="J482" s="5" t="n">
        <v>0</v>
      </c>
      <c r="K482" s="5" t="n">
        <v>0</v>
      </c>
      <c r="L482" s="5" t="n">
        <v>0</v>
      </c>
      <c r="M482" s="5" t="n">
        <v>0</v>
      </c>
      <c r="N482" s="5" t="n">
        <v>0</v>
      </c>
      <c r="O482" s="5" t="n">
        <v>0</v>
      </c>
      <c r="P482" s="5" t="n">
        <v>0</v>
      </c>
      <c r="Q482" s="5" t="n">
        <v>0</v>
      </c>
      <c r="R482" s="5" t="n">
        <v>0</v>
      </c>
      <c r="S482" s="5" t="n">
        <v>1</v>
      </c>
      <c r="T482" s="5" t="n">
        <v>0</v>
      </c>
      <c r="U482" s="5" t="inlineStr">
        <is>
          <t>training</t>
        </is>
      </c>
      <c r="V482" s="5" t="n">
        <v>1</v>
      </c>
    </row>
    <row r="483">
      <c r="A483" s="5" t="n">
        <v>479</v>
      </c>
      <c r="B483" s="5" t="n">
        <v>0</v>
      </c>
      <c r="C483" s="6" t="n">
        <v>-0.7357010147163632</v>
      </c>
      <c r="D483" s="6" t="n">
        <v>-0.7745560629323702</v>
      </c>
      <c r="E483" s="6" t="n">
        <v>0.3009266516151065</v>
      </c>
      <c r="F483" s="6" t="n">
        <v>0.01674764143977723</v>
      </c>
      <c r="G483" s="5" t="n">
        <v>0</v>
      </c>
      <c r="H483" s="5" t="n">
        <v>1</v>
      </c>
      <c r="I483" s="5" t="n">
        <v>0</v>
      </c>
      <c r="J483" s="5" t="n">
        <v>0</v>
      </c>
      <c r="K483" s="5" t="n">
        <v>0</v>
      </c>
      <c r="L483" s="5" t="n">
        <v>0</v>
      </c>
      <c r="M483" s="5" t="n">
        <v>1</v>
      </c>
      <c r="N483" s="5" t="n">
        <v>0</v>
      </c>
      <c r="O483" s="5" t="n">
        <v>0</v>
      </c>
      <c r="P483" s="5" t="n">
        <v>0</v>
      </c>
      <c r="Q483" s="5" t="n">
        <v>0</v>
      </c>
      <c r="R483" s="5" t="n">
        <v>0</v>
      </c>
      <c r="S483" s="5" t="n">
        <v>0</v>
      </c>
      <c r="T483" s="5" t="n">
        <v>0</v>
      </c>
      <c r="U483" s="5" t="inlineStr">
        <is>
          <t>training</t>
        </is>
      </c>
      <c r="V483" s="5" t="n">
        <v>0</v>
      </c>
    </row>
    <row r="484">
      <c r="A484" s="5" t="n">
        <v>480</v>
      </c>
      <c r="B484" s="5" t="n">
        <v>0</v>
      </c>
      <c r="C484" s="6" t="n">
        <v>-0.4829241608380317</v>
      </c>
      <c r="D484" s="6" t="n">
        <v>-0.6202533638085246</v>
      </c>
      <c r="E484" s="6" t="n">
        <v>0.7357917551051447</v>
      </c>
      <c r="F484" s="6" t="n">
        <v>0.9185437189662378</v>
      </c>
      <c r="G484" s="5" t="n">
        <v>1</v>
      </c>
      <c r="H484" s="5" t="n">
        <v>0</v>
      </c>
      <c r="I484" s="5" t="n">
        <v>0</v>
      </c>
      <c r="J484" s="5" t="n">
        <v>1</v>
      </c>
      <c r="K484" s="5" t="n">
        <v>0</v>
      </c>
      <c r="L484" s="5" t="n">
        <v>0</v>
      </c>
      <c r="M484" s="5" t="n">
        <v>0</v>
      </c>
      <c r="N484" s="5" t="n">
        <v>0</v>
      </c>
      <c r="O484" s="5" t="n">
        <v>0</v>
      </c>
      <c r="P484" s="5" t="n">
        <v>0</v>
      </c>
      <c r="Q484" s="5" t="n">
        <v>0</v>
      </c>
      <c r="R484" s="5" t="n">
        <v>0</v>
      </c>
      <c r="S484" s="5" t="n">
        <v>0</v>
      </c>
      <c r="T484" s="5" t="n">
        <v>1</v>
      </c>
      <c r="U484" s="5" t="inlineStr">
        <is>
          <t>training</t>
        </is>
      </c>
      <c r="V484" s="5" t="n">
        <v>1</v>
      </c>
    </row>
    <row r="485">
      <c r="A485" s="5" t="n">
        <v>481</v>
      </c>
      <c r="B485" s="5" t="n">
        <v>0</v>
      </c>
      <c r="C485" s="6" t="n">
        <v>-0.7357010147163632</v>
      </c>
      <c r="D485" s="6" t="n">
        <v>0.112771930215187</v>
      </c>
      <c r="E485" s="6" t="n">
        <v>-1.090641679553016</v>
      </c>
      <c r="F485" s="6" t="n">
        <v>-1.786844513613144</v>
      </c>
      <c r="G485" s="5" t="n">
        <v>0</v>
      </c>
      <c r="H485" s="5" t="n">
        <v>1</v>
      </c>
      <c r="I485" s="5" t="n">
        <v>0</v>
      </c>
      <c r="J485" s="5" t="n">
        <v>1</v>
      </c>
      <c r="K485" s="5" t="n">
        <v>0</v>
      </c>
      <c r="L485" s="5" t="n">
        <v>0</v>
      </c>
      <c r="M485" s="5" t="n">
        <v>0</v>
      </c>
      <c r="N485" s="5" t="n">
        <v>0</v>
      </c>
      <c r="O485" s="5" t="n">
        <v>0</v>
      </c>
      <c r="P485" s="5" t="n">
        <v>0</v>
      </c>
      <c r="Q485" s="5" t="n">
        <v>0</v>
      </c>
      <c r="R485" s="5" t="n">
        <v>0</v>
      </c>
      <c r="S485" s="5" t="n">
        <v>1</v>
      </c>
      <c r="T485" s="5" t="n">
        <v>0</v>
      </c>
      <c r="U485" s="5" t="inlineStr">
        <is>
          <t>testing</t>
        </is>
      </c>
      <c r="V485" s="5" t="n">
        <v>0</v>
      </c>
    </row>
    <row r="486">
      <c r="A486" s="5" t="n">
        <v>482</v>
      </c>
      <c r="B486" s="5" t="n">
        <v>0</v>
      </c>
      <c r="C486" s="6" t="n">
        <v>0.275406400796963</v>
      </c>
      <c r="D486" s="6" t="n">
        <v>-0.7171736532808721</v>
      </c>
      <c r="E486" s="6" t="n">
        <v>-0.8297226174589928</v>
      </c>
      <c r="F486" s="6" t="n">
        <v>0.9185437189662378</v>
      </c>
      <c r="G486" s="5" t="n">
        <v>0</v>
      </c>
      <c r="H486" s="5" t="n">
        <v>1</v>
      </c>
      <c r="I486" s="5" t="n">
        <v>0</v>
      </c>
      <c r="J486" s="5" t="n">
        <v>0</v>
      </c>
      <c r="K486" s="5" t="n">
        <v>0</v>
      </c>
      <c r="L486" s="5" t="n">
        <v>0</v>
      </c>
      <c r="M486" s="5" t="n">
        <v>0</v>
      </c>
      <c r="N486" s="5" t="n">
        <v>0</v>
      </c>
      <c r="O486" s="5" t="n">
        <v>0</v>
      </c>
      <c r="P486" s="5" t="n">
        <v>0</v>
      </c>
      <c r="Q486" s="5" t="n">
        <v>0</v>
      </c>
      <c r="R486" s="5" t="n">
        <v>1</v>
      </c>
      <c r="S486" s="5" t="n">
        <v>0</v>
      </c>
      <c r="T486" s="5" t="n">
        <v>0</v>
      </c>
      <c r="U486" s="5" t="inlineStr">
        <is>
          <t>training</t>
        </is>
      </c>
      <c r="V486" s="5" t="n">
        <v>0</v>
      </c>
    </row>
    <row r="487">
      <c r="A487" s="5" t="n">
        <v>483</v>
      </c>
      <c r="B487" s="5" t="n">
        <v>0</v>
      </c>
      <c r="C487" s="6" t="n">
        <v>0.7809601085536261</v>
      </c>
      <c r="D487" s="6" t="n">
        <v>0.129916674562281</v>
      </c>
      <c r="E487" s="6" t="n">
        <v>1.866441024179244</v>
      </c>
      <c r="F487" s="6" t="n">
        <v>0.9185437189662378</v>
      </c>
      <c r="G487" s="5" t="n">
        <v>1</v>
      </c>
      <c r="H487" s="5" t="n">
        <v>0</v>
      </c>
      <c r="I487" s="5" t="n">
        <v>0</v>
      </c>
      <c r="J487" s="5" t="n">
        <v>0</v>
      </c>
      <c r="K487" s="5" t="n">
        <v>0</v>
      </c>
      <c r="L487" s="5" t="n">
        <v>0</v>
      </c>
      <c r="M487" s="5" t="n">
        <v>0</v>
      </c>
      <c r="N487" s="5" t="n">
        <v>1</v>
      </c>
      <c r="O487" s="5" t="n">
        <v>0</v>
      </c>
      <c r="P487" s="5" t="n">
        <v>1</v>
      </c>
      <c r="Q487" s="5" t="n">
        <v>0</v>
      </c>
      <c r="R487" s="5" t="n">
        <v>0</v>
      </c>
      <c r="S487" s="5" t="n">
        <v>0</v>
      </c>
      <c r="T487" s="5" t="n">
        <v>1</v>
      </c>
      <c r="U487" s="5" t="inlineStr">
        <is>
          <t>training</t>
        </is>
      </c>
      <c r="V487" s="5" t="n">
        <v>0</v>
      </c>
    </row>
    <row r="488">
      <c r="A488" s="5" t="n">
        <v>484</v>
      </c>
      <c r="B488" s="5" t="n">
        <v>0</v>
      </c>
      <c r="C488" s="6" t="n">
        <v>-0.4829241608380317</v>
      </c>
      <c r="D488" s="6" t="n">
        <v>-0.8014978040492322</v>
      </c>
      <c r="E488" s="6" t="n">
        <v>-0.4818305346669622</v>
      </c>
      <c r="F488" s="6" t="n">
        <v>0.01674764143977723</v>
      </c>
      <c r="G488" s="5" t="n">
        <v>0</v>
      </c>
      <c r="H488" s="5" t="n">
        <v>0</v>
      </c>
      <c r="I488" s="5" t="n">
        <v>0</v>
      </c>
      <c r="J488" s="5" t="n">
        <v>0</v>
      </c>
      <c r="K488" s="5" t="n">
        <v>1</v>
      </c>
      <c r="L488" s="5" t="n">
        <v>0</v>
      </c>
      <c r="M488" s="5" t="n">
        <v>0</v>
      </c>
      <c r="N488" s="5" t="n">
        <v>1</v>
      </c>
      <c r="O488" s="5" t="n">
        <v>0</v>
      </c>
      <c r="P488" s="5" t="n">
        <v>0</v>
      </c>
      <c r="Q488" s="5" t="n">
        <v>0</v>
      </c>
      <c r="R488" s="5" t="n">
        <v>0</v>
      </c>
      <c r="S488" s="5" t="n">
        <v>0</v>
      </c>
      <c r="T488" s="5" t="n">
        <v>1</v>
      </c>
      <c r="U488" s="5" t="inlineStr">
        <is>
          <t>training</t>
        </is>
      </c>
      <c r="V488" s="5" t="n">
        <v>1</v>
      </c>
    </row>
    <row r="489">
      <c r="A489" s="5" t="n">
        <v>485</v>
      </c>
      <c r="B489" s="5" t="n">
        <v>0</v>
      </c>
      <c r="C489" s="6" t="n">
        <v>-0.7357010147163632</v>
      </c>
      <c r="D489" s="6" t="n">
        <v>-0.7304695774684143</v>
      </c>
      <c r="E489" s="6" t="n">
        <v>0.7357917551051447</v>
      </c>
      <c r="F489" s="6" t="n">
        <v>0.9185437189662378</v>
      </c>
      <c r="G489" s="5" t="n">
        <v>0</v>
      </c>
      <c r="H489" s="5" t="n">
        <v>0</v>
      </c>
      <c r="I489" s="5" t="n">
        <v>0</v>
      </c>
      <c r="J489" s="5" t="n">
        <v>1</v>
      </c>
      <c r="K489" s="5" t="n">
        <v>0</v>
      </c>
      <c r="L489" s="5" t="n">
        <v>0</v>
      </c>
      <c r="M489" s="5" t="n">
        <v>1</v>
      </c>
      <c r="N489" s="5" t="n">
        <v>0</v>
      </c>
      <c r="O489" s="5" t="n">
        <v>0</v>
      </c>
      <c r="P489" s="5" t="n">
        <v>0</v>
      </c>
      <c r="Q489" s="5" t="n">
        <v>0</v>
      </c>
      <c r="R489" s="5" t="n">
        <v>1</v>
      </c>
      <c r="S489" s="5" t="n">
        <v>0</v>
      </c>
      <c r="T489" s="5" t="n">
        <v>0</v>
      </c>
      <c r="U489" s="5" t="inlineStr">
        <is>
          <t>testing</t>
        </is>
      </c>
      <c r="V489" s="5" t="n">
        <v>0</v>
      </c>
    </row>
    <row r="490">
      <c r="A490" s="5" t="n">
        <v>486</v>
      </c>
      <c r="B490" s="5" t="n">
        <v>1</v>
      </c>
      <c r="C490" s="6" t="n">
        <v>-1.241254722473026</v>
      </c>
      <c r="D490" s="6" t="n">
        <v>-0.7143745113466526</v>
      </c>
      <c r="E490" s="6" t="n">
        <v>0.9967108171991675</v>
      </c>
      <c r="F490" s="6" t="n">
        <v>0.9185437189662378</v>
      </c>
      <c r="G490" s="5" t="n">
        <v>0</v>
      </c>
      <c r="H490" s="5" t="n">
        <v>1</v>
      </c>
      <c r="I490" s="5" t="n">
        <v>0</v>
      </c>
      <c r="J490" s="5" t="n">
        <v>0</v>
      </c>
      <c r="K490" s="5" t="n">
        <v>1</v>
      </c>
      <c r="L490" s="5" t="n">
        <v>0</v>
      </c>
      <c r="M490" s="5" t="n">
        <v>0</v>
      </c>
      <c r="N490" s="5" t="n">
        <v>0</v>
      </c>
      <c r="O490" s="5" t="n">
        <v>0</v>
      </c>
      <c r="P490" s="5" t="n">
        <v>0</v>
      </c>
      <c r="Q490" s="5" t="n">
        <v>0</v>
      </c>
      <c r="R490" s="5" t="n">
        <v>1</v>
      </c>
      <c r="S490" s="5" t="n">
        <v>0</v>
      </c>
      <c r="T490" s="5" t="n">
        <v>0</v>
      </c>
      <c r="U490" s="5" t="inlineStr">
        <is>
          <t>training</t>
        </is>
      </c>
      <c r="V490" s="5" t="n">
        <v>1</v>
      </c>
    </row>
    <row r="491">
      <c r="A491" s="5" t="n">
        <v>487</v>
      </c>
      <c r="B491" s="5" t="n">
        <v>0</v>
      </c>
      <c r="C491" s="6" t="n">
        <v>-0.7357010147163632</v>
      </c>
      <c r="D491" s="6" t="n">
        <v>-0.06077486970641726</v>
      </c>
      <c r="E491" s="6" t="n">
        <v>1.431575920689206</v>
      </c>
      <c r="F491" s="6" t="n">
        <v>-0.8850484360866833</v>
      </c>
      <c r="G491" s="5" t="n">
        <v>0</v>
      </c>
      <c r="H491" s="5" t="n">
        <v>0</v>
      </c>
      <c r="I491" s="5" t="n">
        <v>0</v>
      </c>
      <c r="J491" s="5" t="n">
        <v>0</v>
      </c>
      <c r="K491" s="5" t="n">
        <v>0</v>
      </c>
      <c r="L491" s="5" t="n">
        <v>0</v>
      </c>
      <c r="M491" s="5" t="n">
        <v>0</v>
      </c>
      <c r="N491" s="5" t="n">
        <v>0</v>
      </c>
      <c r="O491" s="5" t="n">
        <v>0</v>
      </c>
      <c r="P491" s="5" t="n">
        <v>0</v>
      </c>
      <c r="Q491" s="5" t="n">
        <v>0</v>
      </c>
      <c r="R491" s="5" t="n">
        <v>0</v>
      </c>
      <c r="S491" s="5" t="n">
        <v>1</v>
      </c>
      <c r="T491" s="5" t="n">
        <v>0</v>
      </c>
      <c r="U491" s="5" t="inlineStr">
        <is>
          <t>training</t>
        </is>
      </c>
      <c r="V491" s="5" t="n">
        <v>0</v>
      </c>
    </row>
    <row r="492">
      <c r="A492" s="5" t="n">
        <v>488</v>
      </c>
      <c r="B492" s="5" t="n">
        <v>0</v>
      </c>
      <c r="C492" s="6" t="n">
        <v>0.275406400796963</v>
      </c>
      <c r="D492" s="6" t="n">
        <v>0.1771521947022338</v>
      </c>
      <c r="E492" s="6" t="n">
        <v>2.301306127669282</v>
      </c>
      <c r="F492" s="6" t="n">
        <v>0.9185437189662378</v>
      </c>
      <c r="G492" s="5" t="n">
        <v>0</v>
      </c>
      <c r="H492" s="5" t="n">
        <v>0</v>
      </c>
      <c r="I492" s="5" t="n">
        <v>0</v>
      </c>
      <c r="J492" s="5" t="n">
        <v>0</v>
      </c>
      <c r="K492" s="5" t="n">
        <v>0</v>
      </c>
      <c r="L492" s="5" t="n">
        <v>0</v>
      </c>
      <c r="M492" s="5" t="n">
        <v>0</v>
      </c>
      <c r="N492" s="5" t="n">
        <v>0</v>
      </c>
      <c r="O492" s="5" t="n">
        <v>0</v>
      </c>
      <c r="P492" s="5" t="n">
        <v>0</v>
      </c>
      <c r="Q492" s="5" t="n">
        <v>1</v>
      </c>
      <c r="R492" s="5" t="n">
        <v>1</v>
      </c>
      <c r="S492" s="5" t="n">
        <v>0</v>
      </c>
      <c r="T492" s="5" t="n">
        <v>0</v>
      </c>
      <c r="U492" s="5" t="inlineStr">
        <is>
          <t>training</t>
        </is>
      </c>
      <c r="V492" s="5" t="n">
        <v>1</v>
      </c>
    </row>
    <row r="493">
      <c r="A493" s="5" t="n">
        <v>489</v>
      </c>
      <c r="B493" s="5" t="n">
        <v>0</v>
      </c>
      <c r="C493" s="6" t="n">
        <v>-0.9042189173019176</v>
      </c>
      <c r="D493" s="6" t="n">
        <v>-0.6412469283151703</v>
      </c>
      <c r="E493" s="6" t="n">
        <v>-0.04696543117692405</v>
      </c>
      <c r="F493" s="6" t="n">
        <v>0.01674764143977723</v>
      </c>
      <c r="G493" s="5" t="n">
        <v>0</v>
      </c>
      <c r="H493" s="5" t="n">
        <v>0</v>
      </c>
      <c r="I493" s="5" t="n">
        <v>0</v>
      </c>
      <c r="J493" s="5" t="n">
        <v>0</v>
      </c>
      <c r="K493" s="5" t="n">
        <v>0</v>
      </c>
      <c r="L493" s="5" t="n">
        <v>0</v>
      </c>
      <c r="M493" s="5" t="n">
        <v>1</v>
      </c>
      <c r="N493" s="5" t="n">
        <v>0</v>
      </c>
      <c r="O493" s="5" t="n">
        <v>0</v>
      </c>
      <c r="P493" s="5" t="n">
        <v>1</v>
      </c>
      <c r="Q493" s="5" t="n">
        <v>0</v>
      </c>
      <c r="R493" s="5" t="n">
        <v>1</v>
      </c>
      <c r="S493" s="5" t="n">
        <v>0</v>
      </c>
      <c r="T493" s="5" t="n">
        <v>0</v>
      </c>
      <c r="U493" s="5" t="inlineStr">
        <is>
          <t>training</t>
        </is>
      </c>
      <c r="V493" s="5" t="n">
        <v>0</v>
      </c>
    </row>
    <row r="494">
      <c r="A494" s="5" t="n">
        <v>490</v>
      </c>
      <c r="B494" s="5" t="n">
        <v>0</v>
      </c>
      <c r="C494" s="6" t="n">
        <v>-1.241254722473026</v>
      </c>
      <c r="D494" s="6" t="n">
        <v>0.09352782941742847</v>
      </c>
      <c r="E494" s="6" t="n">
        <v>-0.8297226174589928</v>
      </c>
      <c r="F494" s="6" t="n">
        <v>-0.8850484360866833</v>
      </c>
      <c r="G494" s="5" t="n">
        <v>0</v>
      </c>
      <c r="H494" s="5" t="n">
        <v>0</v>
      </c>
      <c r="I494" s="5" t="n">
        <v>0</v>
      </c>
      <c r="J494" s="5" t="n">
        <v>0</v>
      </c>
      <c r="K494" s="5" t="n">
        <v>0</v>
      </c>
      <c r="L494" s="5" t="n">
        <v>0</v>
      </c>
      <c r="M494" s="5" t="n">
        <v>0</v>
      </c>
      <c r="N494" s="5" t="n">
        <v>0</v>
      </c>
      <c r="O494" s="5" t="n">
        <v>0</v>
      </c>
      <c r="P494" s="5" t="n">
        <v>1</v>
      </c>
      <c r="Q494" s="5" t="n">
        <v>0</v>
      </c>
      <c r="R494" s="5" t="n">
        <v>1</v>
      </c>
      <c r="S494" s="5" t="n">
        <v>0</v>
      </c>
      <c r="T494" s="5" t="n">
        <v>0</v>
      </c>
      <c r="U494" s="5" t="inlineStr">
        <is>
          <t>training</t>
        </is>
      </c>
      <c r="V494" s="5" t="n">
        <v>0</v>
      </c>
    </row>
    <row r="495">
      <c r="A495" s="5" t="n">
        <v>491</v>
      </c>
      <c r="B495" s="5" t="n">
        <v>0</v>
      </c>
      <c r="C495" s="6" t="n">
        <v>-0.7357010147163632</v>
      </c>
      <c r="D495" s="6" t="n">
        <v>-0.4607022735580174</v>
      </c>
      <c r="E495" s="6" t="n">
        <v>-0.8297226174589928</v>
      </c>
      <c r="F495" s="6" t="n">
        <v>-0.8850484360866833</v>
      </c>
      <c r="G495" s="5" t="n">
        <v>0</v>
      </c>
      <c r="H495" s="5" t="n">
        <v>0</v>
      </c>
      <c r="I495" s="5" t="n">
        <v>0</v>
      </c>
      <c r="J495" s="5" t="n">
        <v>1</v>
      </c>
      <c r="K495" s="5" t="n">
        <v>0</v>
      </c>
      <c r="L495" s="5" t="n">
        <v>0</v>
      </c>
      <c r="M495" s="5" t="n">
        <v>0</v>
      </c>
      <c r="N495" s="5" t="n">
        <v>0</v>
      </c>
      <c r="O495" s="5" t="n">
        <v>0</v>
      </c>
      <c r="P495" s="5" t="n">
        <v>0</v>
      </c>
      <c r="Q495" s="5" t="n">
        <v>0</v>
      </c>
      <c r="R495" s="5" t="n">
        <v>0</v>
      </c>
      <c r="S495" s="5" t="n">
        <v>1</v>
      </c>
      <c r="T495" s="5" t="n">
        <v>0</v>
      </c>
      <c r="U495" s="5" t="inlineStr">
        <is>
          <t>testing</t>
        </is>
      </c>
      <c r="V495" s="5" t="n">
        <v>0</v>
      </c>
    </row>
    <row r="496">
      <c r="A496" s="5" t="n">
        <v>492</v>
      </c>
      <c r="B496" s="5" t="n">
        <v>1</v>
      </c>
      <c r="C496" s="6" t="n">
        <v>0.5281832546752946</v>
      </c>
      <c r="D496" s="6" t="n">
        <v>1.773012989949083</v>
      </c>
      <c r="E496" s="6" t="n">
        <v>0.5618457137091294</v>
      </c>
      <c r="F496" s="6" t="n">
        <v>-0.8850484360866833</v>
      </c>
      <c r="G496" s="5" t="n">
        <v>0</v>
      </c>
      <c r="H496" s="5" t="n">
        <v>1</v>
      </c>
      <c r="I496" s="5" t="n">
        <v>0</v>
      </c>
      <c r="J496" s="5" t="n">
        <v>0</v>
      </c>
      <c r="K496" s="5" t="n">
        <v>0</v>
      </c>
      <c r="L496" s="5" t="n">
        <v>1</v>
      </c>
      <c r="M496" s="5" t="n">
        <v>0</v>
      </c>
      <c r="N496" s="5" t="n">
        <v>0</v>
      </c>
      <c r="O496" s="5" t="n">
        <v>0</v>
      </c>
      <c r="P496" s="5" t="n">
        <v>0</v>
      </c>
      <c r="Q496" s="5" t="n">
        <v>1</v>
      </c>
      <c r="R496" s="5" t="n">
        <v>0</v>
      </c>
      <c r="S496" s="5" t="n">
        <v>0</v>
      </c>
      <c r="T496" s="5" t="n">
        <v>0</v>
      </c>
      <c r="U496" s="5" t="inlineStr">
        <is>
          <t>testing</t>
        </is>
      </c>
      <c r="V496" s="5" t="n">
        <v>0</v>
      </c>
    </row>
    <row r="497">
      <c r="A497" s="5" t="n">
        <v>493</v>
      </c>
      <c r="B497" s="5" t="n">
        <v>0</v>
      </c>
      <c r="C497" s="6" t="n">
        <v>-1.241254722473026</v>
      </c>
      <c r="D497" s="6" t="n">
        <v>-0.7045775145768847</v>
      </c>
      <c r="E497" s="6" t="n">
        <v>-0.7427495967609852</v>
      </c>
      <c r="F497" s="6" t="n">
        <v>-1.786844513613144</v>
      </c>
      <c r="G497" s="5" t="n">
        <v>0</v>
      </c>
      <c r="H497" s="5" t="n">
        <v>0</v>
      </c>
      <c r="I497" s="5" t="n">
        <v>0</v>
      </c>
      <c r="J497" s="5" t="n">
        <v>1</v>
      </c>
      <c r="K497" s="5" t="n">
        <v>0</v>
      </c>
      <c r="L497" s="5" t="n">
        <v>0</v>
      </c>
      <c r="M497" s="5" t="n">
        <v>1</v>
      </c>
      <c r="N497" s="5" t="n">
        <v>0</v>
      </c>
      <c r="O497" s="5" t="n">
        <v>0</v>
      </c>
      <c r="P497" s="5" t="n">
        <v>0</v>
      </c>
      <c r="Q497" s="5" t="n">
        <v>0</v>
      </c>
      <c r="R497" s="5" t="n">
        <v>0</v>
      </c>
      <c r="S497" s="5" t="n">
        <v>1</v>
      </c>
      <c r="T497" s="5" t="n">
        <v>0</v>
      </c>
      <c r="U497" s="5" t="inlineStr">
        <is>
          <t>training</t>
        </is>
      </c>
      <c r="V497" s="5" t="n">
        <v>1</v>
      </c>
    </row>
    <row r="498">
      <c r="A498" s="5" t="n">
        <v>494</v>
      </c>
      <c r="B498" s="5" t="n">
        <v>0</v>
      </c>
      <c r="C498" s="6" t="n">
        <v>-1.241254722473026</v>
      </c>
      <c r="D498" s="6" t="n">
        <v>-1.00863430718147</v>
      </c>
      <c r="E498" s="6" t="n">
        <v>0.2139536309170988</v>
      </c>
      <c r="F498" s="6" t="n">
        <v>0.9185437189662378</v>
      </c>
      <c r="G498" s="5" t="n">
        <v>0</v>
      </c>
      <c r="H498" s="5" t="n">
        <v>1</v>
      </c>
      <c r="I498" s="5" t="n">
        <v>0</v>
      </c>
      <c r="J498" s="5" t="n">
        <v>0</v>
      </c>
      <c r="K498" s="5" t="n">
        <v>0</v>
      </c>
      <c r="L498" s="5" t="n">
        <v>0</v>
      </c>
      <c r="M498" s="5" t="n">
        <v>0</v>
      </c>
      <c r="N498" s="5" t="n">
        <v>0</v>
      </c>
      <c r="O498" s="5" t="n">
        <v>1</v>
      </c>
      <c r="P498" s="5" t="n">
        <v>0</v>
      </c>
      <c r="Q498" s="5" t="n">
        <v>0</v>
      </c>
      <c r="R498" s="5" t="n">
        <v>0</v>
      </c>
      <c r="S498" s="5" t="n">
        <v>1</v>
      </c>
      <c r="T498" s="5" t="n">
        <v>0</v>
      </c>
      <c r="U498" s="5" t="inlineStr">
        <is>
          <t>training</t>
        </is>
      </c>
      <c r="V498" s="5" t="n">
        <v>0</v>
      </c>
    </row>
    <row r="499">
      <c r="A499" s="5" t="n">
        <v>495</v>
      </c>
      <c r="B499" s="5" t="n">
        <v>0</v>
      </c>
      <c r="C499" s="6" t="n">
        <v>-0.7357010147163632</v>
      </c>
      <c r="D499" s="6" t="n">
        <v>-0.394922438103861</v>
      </c>
      <c r="E499" s="6" t="n">
        <v>0.3009266516151065</v>
      </c>
      <c r="F499" s="6" t="n">
        <v>0.01674764143977723</v>
      </c>
      <c r="G499" s="5" t="n">
        <v>1</v>
      </c>
      <c r="H499" s="5" t="n">
        <v>0</v>
      </c>
      <c r="I499" s="5" t="n">
        <v>0</v>
      </c>
      <c r="J499" s="5" t="n">
        <v>1</v>
      </c>
      <c r="K499" s="5" t="n">
        <v>0</v>
      </c>
      <c r="L499" s="5" t="n">
        <v>0</v>
      </c>
      <c r="M499" s="5" t="n">
        <v>0</v>
      </c>
      <c r="N499" s="5" t="n">
        <v>0</v>
      </c>
      <c r="O499" s="5" t="n">
        <v>0</v>
      </c>
      <c r="P499" s="5" t="n">
        <v>1</v>
      </c>
      <c r="Q499" s="5" t="n">
        <v>0</v>
      </c>
      <c r="R499" s="5" t="n">
        <v>1</v>
      </c>
      <c r="S499" s="5" t="n">
        <v>0</v>
      </c>
      <c r="T499" s="5" t="n">
        <v>0</v>
      </c>
      <c r="U499" s="5" t="inlineStr">
        <is>
          <t>testing</t>
        </is>
      </c>
      <c r="V499" s="5" t="n">
        <v>0</v>
      </c>
    </row>
    <row r="500">
      <c r="A500" s="5" t="n">
        <v>496</v>
      </c>
      <c r="B500" s="5" t="n">
        <v>1</v>
      </c>
      <c r="C500" s="6" t="n">
        <v>0.275406400796963</v>
      </c>
      <c r="D500" s="6" t="n">
        <v>-0.08911618179038892</v>
      </c>
      <c r="E500" s="6" t="n">
        <v>-1.351560741647039</v>
      </c>
      <c r="F500" s="6" t="n">
        <v>-0.8850484360866833</v>
      </c>
      <c r="G500" s="5" t="n">
        <v>1</v>
      </c>
      <c r="H500" s="5" t="n">
        <v>0</v>
      </c>
      <c r="I500" s="5" t="n">
        <v>0</v>
      </c>
      <c r="J500" s="5" t="n">
        <v>0</v>
      </c>
      <c r="K500" s="5" t="n">
        <v>0</v>
      </c>
      <c r="L500" s="5" t="n">
        <v>0</v>
      </c>
      <c r="M500" s="5" t="n">
        <v>0</v>
      </c>
      <c r="N500" s="5" t="n">
        <v>0</v>
      </c>
      <c r="O500" s="5" t="n">
        <v>1</v>
      </c>
      <c r="P500" s="5" t="n">
        <v>0</v>
      </c>
      <c r="Q500" s="5" t="n">
        <v>0</v>
      </c>
      <c r="R500" s="5" t="n">
        <v>0</v>
      </c>
      <c r="S500" s="5" t="n">
        <v>0</v>
      </c>
      <c r="T500" s="5" t="n">
        <v>1</v>
      </c>
      <c r="U500" s="5" t="inlineStr">
        <is>
          <t>testing</t>
        </is>
      </c>
      <c r="V500" s="5" t="n">
        <v>0</v>
      </c>
    </row>
    <row r="501">
      <c r="A501" s="5" t="n">
        <v>497</v>
      </c>
      <c r="B501" s="5" t="n">
        <v>1</v>
      </c>
      <c r="C501" s="6" t="n">
        <v>1.286513816310289</v>
      </c>
      <c r="D501" s="6" t="n">
        <v>2.023536193061721</v>
      </c>
      <c r="E501" s="6" t="n">
        <v>-0.5688035553649698</v>
      </c>
      <c r="F501" s="6" t="n">
        <v>0.9185437189662378</v>
      </c>
      <c r="G501" s="5" t="n">
        <v>0</v>
      </c>
      <c r="H501" s="5" t="n">
        <v>1</v>
      </c>
      <c r="I501" s="5" t="n">
        <v>0</v>
      </c>
      <c r="J501" s="5" t="n">
        <v>0</v>
      </c>
      <c r="K501" s="5" t="n">
        <v>0</v>
      </c>
      <c r="L501" s="5" t="n">
        <v>0</v>
      </c>
      <c r="M501" s="5" t="n">
        <v>1</v>
      </c>
      <c r="N501" s="5" t="n">
        <v>0</v>
      </c>
      <c r="O501" s="5" t="n">
        <v>0</v>
      </c>
      <c r="P501" s="5" t="n">
        <v>1</v>
      </c>
      <c r="Q501" s="5" t="n">
        <v>0</v>
      </c>
      <c r="R501" s="5" t="n">
        <v>0</v>
      </c>
      <c r="S501" s="5" t="n">
        <v>0</v>
      </c>
      <c r="T501" s="5" t="n">
        <v>1</v>
      </c>
      <c r="U501" s="5" t="inlineStr">
        <is>
          <t>testing</t>
        </is>
      </c>
      <c r="V501" s="5" t="n">
        <v>0</v>
      </c>
    </row>
    <row r="502">
      <c r="A502" s="5" t="n">
        <v>498</v>
      </c>
      <c r="B502" s="5" t="n">
        <v>0</v>
      </c>
      <c r="C502" s="6" t="n">
        <v>0.275406400796963</v>
      </c>
      <c r="D502" s="6" t="n">
        <v>-0.5828148404383398</v>
      </c>
      <c r="E502" s="6" t="n">
        <v>0.3878996723131141</v>
      </c>
      <c r="F502" s="6" t="n">
        <v>0.9185437189662378</v>
      </c>
      <c r="G502" s="5" t="n">
        <v>0</v>
      </c>
      <c r="H502" s="5" t="n">
        <v>0</v>
      </c>
      <c r="I502" s="5" t="n">
        <v>0</v>
      </c>
      <c r="J502" s="5" t="n">
        <v>1</v>
      </c>
      <c r="K502" s="5" t="n">
        <v>0</v>
      </c>
      <c r="L502" s="5" t="n">
        <v>0</v>
      </c>
      <c r="M502" s="5" t="n">
        <v>0</v>
      </c>
      <c r="N502" s="5" t="n">
        <v>0</v>
      </c>
      <c r="O502" s="5" t="n">
        <v>0</v>
      </c>
      <c r="P502" s="5" t="n">
        <v>0</v>
      </c>
      <c r="Q502" s="5" t="n">
        <v>0</v>
      </c>
      <c r="R502" s="5" t="n">
        <v>0</v>
      </c>
      <c r="S502" s="5" t="n">
        <v>0</v>
      </c>
      <c r="T502" s="5" t="n">
        <v>1</v>
      </c>
      <c r="U502" s="5" t="inlineStr">
        <is>
          <t>testing</t>
        </is>
      </c>
      <c r="V502" s="5" t="n">
        <v>0</v>
      </c>
    </row>
    <row r="503">
      <c r="A503" s="5" t="n">
        <v>499</v>
      </c>
      <c r="B503" s="5" t="n">
        <v>0</v>
      </c>
      <c r="C503" s="6" t="n">
        <v>-0.2301473069597001</v>
      </c>
      <c r="D503" s="6" t="n">
        <v>-0.6821843791031292</v>
      </c>
      <c r="E503" s="6" t="n">
        <v>-0.307884493270947</v>
      </c>
      <c r="F503" s="6" t="n">
        <v>0.9185437189662378</v>
      </c>
      <c r="G503" s="5" t="n">
        <v>0</v>
      </c>
      <c r="H503" s="5" t="n">
        <v>1</v>
      </c>
      <c r="I503" s="5" t="n">
        <v>0</v>
      </c>
      <c r="J503" s="5" t="n">
        <v>0</v>
      </c>
      <c r="K503" s="5" t="n">
        <v>0</v>
      </c>
      <c r="L503" s="5" t="n">
        <v>0</v>
      </c>
      <c r="M503" s="5" t="n">
        <v>0</v>
      </c>
      <c r="N503" s="5" t="n">
        <v>0</v>
      </c>
      <c r="O503" s="5" t="n">
        <v>0</v>
      </c>
      <c r="P503" s="5" t="n">
        <v>0</v>
      </c>
      <c r="Q503" s="5" t="n">
        <v>0</v>
      </c>
      <c r="R503" s="5" t="n">
        <v>0</v>
      </c>
      <c r="S503" s="5" t="n">
        <v>1</v>
      </c>
      <c r="T503" s="5" t="n">
        <v>0</v>
      </c>
      <c r="U503" s="5" t="inlineStr">
        <is>
          <t>training</t>
        </is>
      </c>
      <c r="V503" s="5" t="n">
        <v>1</v>
      </c>
    </row>
    <row r="504">
      <c r="A504" s="5" t="n">
        <v>500</v>
      </c>
      <c r="B504" s="5" t="n">
        <v>0</v>
      </c>
      <c r="C504" s="6" t="n">
        <v>-1.241254722473026</v>
      </c>
      <c r="D504" s="6" t="n">
        <v>-0.6744867387840259</v>
      </c>
      <c r="E504" s="6" t="n">
        <v>-0.6557765760629775</v>
      </c>
      <c r="F504" s="6" t="n">
        <v>-0.8850484360866833</v>
      </c>
      <c r="G504" s="5" t="n">
        <v>0</v>
      </c>
      <c r="H504" s="5" t="n">
        <v>0</v>
      </c>
      <c r="I504" s="5" t="n">
        <v>1</v>
      </c>
      <c r="J504" s="5" t="n">
        <v>1</v>
      </c>
      <c r="K504" s="5" t="n">
        <v>0</v>
      </c>
      <c r="L504" s="5" t="n">
        <v>0</v>
      </c>
      <c r="M504" s="5" t="n">
        <v>1</v>
      </c>
      <c r="N504" s="5" t="n">
        <v>0</v>
      </c>
      <c r="O504" s="5" t="n">
        <v>0</v>
      </c>
      <c r="P504" s="5" t="n">
        <v>0</v>
      </c>
      <c r="Q504" s="5" t="n">
        <v>0</v>
      </c>
      <c r="R504" s="5" t="n">
        <v>1</v>
      </c>
      <c r="S504" s="5" t="n">
        <v>0</v>
      </c>
      <c r="T504" s="5" t="n">
        <v>0</v>
      </c>
      <c r="U504" s="5" t="inlineStr">
        <is>
          <t>training</t>
        </is>
      </c>
      <c r="V504" s="5" t="n">
        <v>0</v>
      </c>
    </row>
    <row r="505">
      <c r="A505" s="5" t="n">
        <v>501</v>
      </c>
      <c r="B505" s="5" t="n">
        <v>1</v>
      </c>
      <c r="C505" s="6" t="n">
        <v>0.275406400796963</v>
      </c>
      <c r="D505" s="6" t="n">
        <v>-0.04467980358465557</v>
      </c>
      <c r="E505" s="6" t="n">
        <v>-0.7427495967609852</v>
      </c>
      <c r="F505" s="6" t="n">
        <v>0.9185437189662378</v>
      </c>
      <c r="G505" s="5" t="n">
        <v>1</v>
      </c>
      <c r="H505" s="5" t="n">
        <v>0</v>
      </c>
      <c r="I505" s="5" t="n">
        <v>0</v>
      </c>
      <c r="J505" s="5" t="n">
        <v>0</v>
      </c>
      <c r="K505" s="5" t="n">
        <v>0</v>
      </c>
      <c r="L505" s="5" t="n">
        <v>0</v>
      </c>
      <c r="M505" s="5" t="n">
        <v>0</v>
      </c>
      <c r="N505" s="5" t="n">
        <v>0</v>
      </c>
      <c r="O505" s="5" t="n">
        <v>0</v>
      </c>
      <c r="P505" s="5" t="n">
        <v>0</v>
      </c>
      <c r="Q505" s="5" t="n">
        <v>0</v>
      </c>
      <c r="R505" s="5" t="n">
        <v>1</v>
      </c>
      <c r="S505" s="5" t="n">
        <v>0</v>
      </c>
      <c r="T505" s="5" t="n">
        <v>0</v>
      </c>
      <c r="U505" s="5" t="inlineStr">
        <is>
          <t>training</t>
        </is>
      </c>
      <c r="V505" s="5" t="n">
        <v>1</v>
      </c>
    </row>
    <row r="506">
      <c r="A506" s="5" t="n">
        <v>502</v>
      </c>
      <c r="B506" s="5" t="n">
        <v>0</v>
      </c>
      <c r="C506" s="6" t="n">
        <v>1.286513816310289</v>
      </c>
      <c r="D506" s="6" t="n">
        <v>0.7845659944278487</v>
      </c>
      <c r="E506" s="6" t="n">
        <v>0.5618457137091294</v>
      </c>
      <c r="F506" s="6" t="n">
        <v>-0.8850484360866833</v>
      </c>
      <c r="G506" s="5" t="n">
        <v>1</v>
      </c>
      <c r="H506" s="5" t="n">
        <v>0</v>
      </c>
      <c r="I506" s="5" t="n">
        <v>0</v>
      </c>
      <c r="J506" s="5" t="n">
        <v>0</v>
      </c>
      <c r="K506" s="5" t="n">
        <v>0</v>
      </c>
      <c r="L506" s="5" t="n">
        <v>0</v>
      </c>
      <c r="M506" s="5" t="n">
        <v>0</v>
      </c>
      <c r="N506" s="5" t="n">
        <v>0</v>
      </c>
      <c r="O506" s="5" t="n">
        <v>0</v>
      </c>
      <c r="P506" s="5" t="n">
        <v>0</v>
      </c>
      <c r="Q506" s="5" t="n">
        <v>1</v>
      </c>
      <c r="R506" s="5" t="n">
        <v>1</v>
      </c>
      <c r="S506" s="5" t="n">
        <v>0</v>
      </c>
      <c r="T506" s="5" t="n">
        <v>0</v>
      </c>
      <c r="U506" s="5" t="inlineStr">
        <is>
          <t>training</t>
        </is>
      </c>
      <c r="V506" s="5" t="n">
        <v>0</v>
      </c>
    </row>
    <row r="507">
      <c r="A507" s="5" t="n">
        <v>503</v>
      </c>
      <c r="B507" s="5" t="n">
        <v>0</v>
      </c>
      <c r="C507" s="6" t="n">
        <v>-0.9884778685946948</v>
      </c>
      <c r="D507" s="6" t="n">
        <v>-0.7434156089141791</v>
      </c>
      <c r="E507" s="6" t="n">
        <v>1.170656858595183</v>
      </c>
      <c r="F507" s="6" t="n">
        <v>-0.8850484360866833</v>
      </c>
      <c r="G507" s="5" t="n">
        <v>0</v>
      </c>
      <c r="H507" s="5" t="n">
        <v>0</v>
      </c>
      <c r="I507" s="5" t="n">
        <v>1</v>
      </c>
      <c r="J507" s="5" t="n">
        <v>0</v>
      </c>
      <c r="K507" s="5" t="n">
        <v>0</v>
      </c>
      <c r="L507" s="5" t="n">
        <v>0</v>
      </c>
      <c r="M507" s="5" t="n">
        <v>1</v>
      </c>
      <c r="N507" s="5" t="n">
        <v>0</v>
      </c>
      <c r="O507" s="5" t="n">
        <v>0</v>
      </c>
      <c r="P507" s="5" t="n">
        <v>0</v>
      </c>
      <c r="Q507" s="5" t="n">
        <v>0</v>
      </c>
      <c r="R507" s="5" t="n">
        <v>0</v>
      </c>
      <c r="S507" s="5" t="n">
        <v>1</v>
      </c>
      <c r="T507" s="5" t="n">
        <v>0</v>
      </c>
      <c r="U507" s="5" t="inlineStr">
        <is>
          <t>training</t>
        </is>
      </c>
      <c r="V507" s="5" t="n">
        <v>1</v>
      </c>
    </row>
    <row r="508">
      <c r="A508" s="5" t="n">
        <v>504</v>
      </c>
      <c r="B508" s="5" t="n">
        <v>1</v>
      </c>
      <c r="C508" s="6" t="n">
        <v>0.275406400796963</v>
      </c>
      <c r="D508" s="6" t="n">
        <v>-0.7119252621542107</v>
      </c>
      <c r="E508" s="6" t="n">
        <v>0.2139536309170988</v>
      </c>
      <c r="F508" s="6" t="n">
        <v>0.9185437189662378</v>
      </c>
      <c r="G508" s="5" t="n">
        <v>0</v>
      </c>
      <c r="H508" s="5" t="n">
        <v>1</v>
      </c>
      <c r="I508" s="5" t="n">
        <v>0</v>
      </c>
      <c r="J508" s="5" t="n">
        <v>1</v>
      </c>
      <c r="K508" s="5" t="n">
        <v>0</v>
      </c>
      <c r="L508" s="5" t="n">
        <v>0</v>
      </c>
      <c r="M508" s="5" t="n">
        <v>1</v>
      </c>
      <c r="N508" s="5" t="n">
        <v>0</v>
      </c>
      <c r="O508" s="5" t="n">
        <v>0</v>
      </c>
      <c r="P508" s="5" t="n">
        <v>0</v>
      </c>
      <c r="Q508" s="5" t="n">
        <v>0</v>
      </c>
      <c r="R508" s="5" t="n">
        <v>0</v>
      </c>
      <c r="S508" s="5" t="n">
        <v>1</v>
      </c>
      <c r="T508" s="5" t="n">
        <v>0</v>
      </c>
      <c r="U508" s="5" t="inlineStr">
        <is>
          <t>training</t>
        </is>
      </c>
      <c r="V508" s="5" t="n">
        <v>1</v>
      </c>
    </row>
    <row r="509">
      <c r="A509" s="5" t="n">
        <v>505</v>
      </c>
      <c r="B509" s="5" t="n">
        <v>1</v>
      </c>
      <c r="C509" s="6" t="n">
        <v>0.275406400796963</v>
      </c>
      <c r="D509" s="6" t="n">
        <v>-0.7150742968302075</v>
      </c>
      <c r="E509" s="6" t="n">
        <v>-1.003668658855008</v>
      </c>
      <c r="F509" s="6" t="n">
        <v>0.9185437189662378</v>
      </c>
      <c r="G509" s="5" t="n">
        <v>1</v>
      </c>
      <c r="H509" s="5" t="n">
        <v>0</v>
      </c>
      <c r="I509" s="5" t="n">
        <v>0</v>
      </c>
      <c r="J509" s="5" t="n">
        <v>0</v>
      </c>
      <c r="K509" s="5" t="n">
        <v>0</v>
      </c>
      <c r="L509" s="5" t="n">
        <v>0</v>
      </c>
      <c r="M509" s="5" t="n">
        <v>0</v>
      </c>
      <c r="N509" s="5" t="n">
        <v>0</v>
      </c>
      <c r="O509" s="5" t="n">
        <v>0</v>
      </c>
      <c r="P509" s="5" t="n">
        <v>1</v>
      </c>
      <c r="Q509" s="5" t="n">
        <v>0</v>
      </c>
      <c r="R509" s="5" t="n">
        <v>1</v>
      </c>
      <c r="S509" s="5" t="n">
        <v>0</v>
      </c>
      <c r="T509" s="5" t="n">
        <v>0</v>
      </c>
      <c r="U509" s="5" t="inlineStr">
        <is>
          <t>testing</t>
        </is>
      </c>
      <c r="V509" s="5" t="n">
        <v>0</v>
      </c>
    </row>
    <row r="510">
      <c r="A510" s="5" t="n">
        <v>506</v>
      </c>
      <c r="B510" s="5" t="n">
        <v>1</v>
      </c>
      <c r="C510" s="6" t="n">
        <v>-0.9042189173019176</v>
      </c>
      <c r="D510" s="6" t="n">
        <v>-0.6793852371689099</v>
      </c>
      <c r="E510" s="6" t="n">
        <v>-0.7427495967609852</v>
      </c>
      <c r="F510" s="6" t="n">
        <v>0.9185437189662378</v>
      </c>
      <c r="G510" s="5" t="n">
        <v>0</v>
      </c>
      <c r="H510" s="5" t="n">
        <v>0</v>
      </c>
      <c r="I510" s="5" t="n">
        <v>0</v>
      </c>
      <c r="J510" s="5" t="n">
        <v>0</v>
      </c>
      <c r="K510" s="5" t="n">
        <v>0</v>
      </c>
      <c r="L510" s="5" t="n">
        <v>0</v>
      </c>
      <c r="M510" s="5" t="n">
        <v>0</v>
      </c>
      <c r="N510" s="5" t="n">
        <v>0</v>
      </c>
      <c r="O510" s="5" t="n">
        <v>1</v>
      </c>
      <c r="P510" s="5" t="n">
        <v>0</v>
      </c>
      <c r="Q510" s="5" t="n">
        <v>0</v>
      </c>
      <c r="R510" s="5" t="n">
        <v>1</v>
      </c>
      <c r="S510" s="5" t="n">
        <v>0</v>
      </c>
      <c r="T510" s="5" t="n">
        <v>0</v>
      </c>
      <c r="U510" s="5" t="inlineStr">
        <is>
          <t>training</t>
        </is>
      </c>
      <c r="V510" s="5" t="n">
        <v>1</v>
      </c>
    </row>
    <row r="511">
      <c r="A511" s="5" t="n">
        <v>507</v>
      </c>
      <c r="B511" s="5" t="n">
        <v>0</v>
      </c>
      <c r="C511" s="6" t="n">
        <v>-0.4829241608380317</v>
      </c>
      <c r="D511" s="6" t="n">
        <v>-0.3116479655608331</v>
      </c>
      <c r="E511" s="6" t="n">
        <v>0.04000758952108359</v>
      </c>
      <c r="F511" s="6" t="n">
        <v>-0.8850484360866833</v>
      </c>
      <c r="G511" s="5" t="n">
        <v>0</v>
      </c>
      <c r="H511" s="5" t="n">
        <v>0</v>
      </c>
      <c r="I511" s="5" t="n">
        <v>1</v>
      </c>
      <c r="J511" s="5" t="n">
        <v>1</v>
      </c>
      <c r="K511" s="5" t="n">
        <v>0</v>
      </c>
      <c r="L511" s="5" t="n">
        <v>0</v>
      </c>
      <c r="M511" s="5" t="n">
        <v>1</v>
      </c>
      <c r="N511" s="5" t="n">
        <v>0</v>
      </c>
      <c r="O511" s="5" t="n">
        <v>0</v>
      </c>
      <c r="P511" s="5" t="n">
        <v>0</v>
      </c>
      <c r="Q511" s="5" t="n">
        <v>0</v>
      </c>
      <c r="R511" s="5" t="n">
        <v>1</v>
      </c>
      <c r="S511" s="5" t="n">
        <v>0</v>
      </c>
      <c r="T511" s="5" t="n">
        <v>0</v>
      </c>
      <c r="U511" s="5" t="inlineStr">
        <is>
          <t>training</t>
        </is>
      </c>
      <c r="V511" s="5" t="n">
        <v>0</v>
      </c>
    </row>
    <row r="512">
      <c r="A512" s="5" t="n">
        <v>508</v>
      </c>
      <c r="B512" s="5" t="n">
        <v>1</v>
      </c>
      <c r="C512" s="6" t="n">
        <v>-0.4829241608380317</v>
      </c>
      <c r="D512" s="6" t="n">
        <v>1.259370445019818</v>
      </c>
      <c r="E512" s="6" t="n">
        <v>-0.1339384518749317</v>
      </c>
      <c r="F512" s="6" t="n">
        <v>-1.786844513613144</v>
      </c>
      <c r="G512" s="5" t="n">
        <v>0</v>
      </c>
      <c r="H512" s="5" t="n">
        <v>1</v>
      </c>
      <c r="I512" s="5" t="n">
        <v>0</v>
      </c>
      <c r="J512" s="5" t="n">
        <v>0</v>
      </c>
      <c r="K512" s="5" t="n">
        <v>0</v>
      </c>
      <c r="L512" s="5" t="n">
        <v>1</v>
      </c>
      <c r="M512" s="5" t="n">
        <v>1</v>
      </c>
      <c r="N512" s="5" t="n">
        <v>0</v>
      </c>
      <c r="O512" s="5" t="n">
        <v>0</v>
      </c>
      <c r="P512" s="5" t="n">
        <v>0</v>
      </c>
      <c r="Q512" s="5" t="n">
        <v>0</v>
      </c>
      <c r="R512" s="5" t="n">
        <v>1</v>
      </c>
      <c r="S512" s="5" t="n">
        <v>0</v>
      </c>
      <c r="T512" s="5" t="n">
        <v>0</v>
      </c>
      <c r="U512" s="5" t="inlineStr">
        <is>
          <t>testing</t>
        </is>
      </c>
      <c r="V512" s="5" t="n">
        <v>0</v>
      </c>
    </row>
    <row r="513">
      <c r="A513" s="5" t="n">
        <v>509</v>
      </c>
      <c r="B513" s="5" t="n">
        <v>0</v>
      </c>
      <c r="C513" s="6" t="n">
        <v>0.275406400796963</v>
      </c>
      <c r="D513" s="6" t="n">
        <v>-0.6429963920240573</v>
      </c>
      <c r="E513" s="6" t="n">
        <v>-0.6557765760629775</v>
      </c>
      <c r="F513" s="6" t="n">
        <v>0.9185437189662378</v>
      </c>
      <c r="G513" s="5" t="n">
        <v>0</v>
      </c>
      <c r="H513" s="5" t="n">
        <v>0</v>
      </c>
      <c r="I513" s="5" t="n">
        <v>0</v>
      </c>
      <c r="J513" s="5" t="n">
        <v>0</v>
      </c>
      <c r="K513" s="5" t="n">
        <v>0</v>
      </c>
      <c r="L513" s="5" t="n">
        <v>0</v>
      </c>
      <c r="M513" s="5" t="n">
        <v>0</v>
      </c>
      <c r="N513" s="5" t="n">
        <v>0</v>
      </c>
      <c r="O513" s="5" t="n">
        <v>0</v>
      </c>
      <c r="P513" s="5" t="n">
        <v>0</v>
      </c>
      <c r="Q513" s="5" t="n">
        <v>0</v>
      </c>
      <c r="R513" s="5" t="n">
        <v>0</v>
      </c>
      <c r="S513" s="5" t="n">
        <v>1</v>
      </c>
      <c r="T513" s="5" t="n">
        <v>0</v>
      </c>
      <c r="U513" s="5" t="inlineStr">
        <is>
          <t>training</t>
        </is>
      </c>
      <c r="V513" s="5" t="n">
        <v>0</v>
      </c>
    </row>
    <row r="514">
      <c r="A514" s="5" t="n">
        <v>510</v>
      </c>
      <c r="B514" s="5" t="n">
        <v>0</v>
      </c>
      <c r="C514" s="6" t="n">
        <v>1.539290670188621</v>
      </c>
      <c r="D514" s="6" t="n">
        <v>1.867484030228988</v>
      </c>
      <c r="E514" s="6" t="n">
        <v>0.8227647758031523</v>
      </c>
      <c r="F514" s="6" t="n">
        <v>0.9185437189662378</v>
      </c>
      <c r="G514" s="5" t="n">
        <v>0</v>
      </c>
      <c r="H514" s="5" t="n">
        <v>0</v>
      </c>
      <c r="I514" s="5" t="n">
        <v>0</v>
      </c>
      <c r="J514" s="5" t="n">
        <v>0</v>
      </c>
      <c r="K514" s="5" t="n">
        <v>0</v>
      </c>
      <c r="L514" s="5" t="n">
        <v>0</v>
      </c>
      <c r="M514" s="5" t="n">
        <v>1</v>
      </c>
      <c r="N514" s="5" t="n">
        <v>0</v>
      </c>
      <c r="O514" s="5" t="n">
        <v>0</v>
      </c>
      <c r="P514" s="5" t="n">
        <v>0</v>
      </c>
      <c r="Q514" s="5" t="n">
        <v>0</v>
      </c>
      <c r="R514" s="5" t="n">
        <v>1</v>
      </c>
      <c r="S514" s="5" t="n">
        <v>0</v>
      </c>
      <c r="T514" s="5" t="n">
        <v>0</v>
      </c>
      <c r="U514" s="5" t="inlineStr">
        <is>
          <t>training</t>
        </is>
      </c>
      <c r="V514" s="5" t="n">
        <v>0</v>
      </c>
    </row>
    <row r="515">
      <c r="A515" s="5" t="n">
        <v>511</v>
      </c>
      <c r="B515" s="5" t="n">
        <v>1</v>
      </c>
      <c r="C515" s="6" t="n">
        <v>-0.7357010147163632</v>
      </c>
      <c r="D515" s="6" t="n">
        <v>-0.8718262451464952</v>
      </c>
      <c r="E515" s="6" t="n">
        <v>-0.8297226174589928</v>
      </c>
      <c r="F515" s="6" t="n">
        <v>0.9185437189662378</v>
      </c>
      <c r="G515" s="5" t="n">
        <v>1</v>
      </c>
      <c r="H515" s="5" t="n">
        <v>0</v>
      </c>
      <c r="I515" s="5" t="n">
        <v>0</v>
      </c>
      <c r="J515" s="5" t="n">
        <v>0</v>
      </c>
      <c r="K515" s="5" t="n">
        <v>0</v>
      </c>
      <c r="L515" s="5" t="n">
        <v>0</v>
      </c>
      <c r="M515" s="5" t="n">
        <v>0</v>
      </c>
      <c r="N515" s="5" t="n">
        <v>0</v>
      </c>
      <c r="O515" s="5" t="n">
        <v>0</v>
      </c>
      <c r="P515" s="5" t="n">
        <v>0</v>
      </c>
      <c r="Q515" s="5" t="n">
        <v>0</v>
      </c>
      <c r="R515" s="5" t="n">
        <v>1</v>
      </c>
      <c r="S515" s="5" t="n">
        <v>0</v>
      </c>
      <c r="T515" s="5" t="n">
        <v>0</v>
      </c>
      <c r="U515" s="5" t="inlineStr">
        <is>
          <t>training</t>
        </is>
      </c>
      <c r="V515" s="5" t="n">
        <v>1</v>
      </c>
    </row>
    <row r="516">
      <c r="A516" s="5" t="n">
        <v>512</v>
      </c>
      <c r="B516" s="5" t="n">
        <v>0</v>
      </c>
      <c r="C516" s="6" t="n">
        <v>1.286513816310289</v>
      </c>
      <c r="D516" s="6" t="n">
        <v>0.5022025518134643</v>
      </c>
      <c r="E516" s="6" t="n">
        <v>-0.307884493270947</v>
      </c>
      <c r="F516" s="6" t="n">
        <v>-0.8850484360866833</v>
      </c>
      <c r="G516" s="5" t="n">
        <v>0</v>
      </c>
      <c r="H516" s="5" t="n">
        <v>0</v>
      </c>
      <c r="I516" s="5" t="n">
        <v>0</v>
      </c>
      <c r="J516" s="5" t="n">
        <v>0</v>
      </c>
      <c r="K516" s="5" t="n">
        <v>0</v>
      </c>
      <c r="L516" s="5" t="n">
        <v>0</v>
      </c>
      <c r="M516" s="5" t="n">
        <v>0</v>
      </c>
      <c r="N516" s="5" t="n">
        <v>0</v>
      </c>
      <c r="O516" s="5" t="n">
        <v>0</v>
      </c>
      <c r="P516" s="5" t="n">
        <v>0</v>
      </c>
      <c r="Q516" s="5" t="n">
        <v>1</v>
      </c>
      <c r="R516" s="5" t="n">
        <v>1</v>
      </c>
      <c r="S516" s="5" t="n">
        <v>0</v>
      </c>
      <c r="T516" s="5" t="n">
        <v>0</v>
      </c>
      <c r="U516" s="5" t="inlineStr">
        <is>
          <t>training</t>
        </is>
      </c>
      <c r="V516" s="5" t="n">
        <v>0</v>
      </c>
    </row>
    <row r="517">
      <c r="A517" s="5" t="n">
        <v>513</v>
      </c>
      <c r="B517" s="5" t="n">
        <v>0</v>
      </c>
      <c r="C517" s="6" t="n">
        <v>-0.4829241608380317</v>
      </c>
      <c r="D517" s="6" t="n">
        <v>-0.1972330389996142</v>
      </c>
      <c r="E517" s="6" t="n">
        <v>-0.8297226174589928</v>
      </c>
      <c r="F517" s="6" t="n">
        <v>-0.8850484360866833</v>
      </c>
      <c r="G517" s="5" t="n">
        <v>0</v>
      </c>
      <c r="H517" s="5" t="n">
        <v>0</v>
      </c>
      <c r="I517" s="5" t="n">
        <v>1</v>
      </c>
      <c r="J517" s="5" t="n">
        <v>0</v>
      </c>
      <c r="K517" s="5" t="n">
        <v>0</v>
      </c>
      <c r="L517" s="5" t="n">
        <v>0</v>
      </c>
      <c r="M517" s="5" t="n">
        <v>0</v>
      </c>
      <c r="N517" s="5" t="n">
        <v>0</v>
      </c>
      <c r="O517" s="5" t="n">
        <v>0</v>
      </c>
      <c r="P517" s="5" t="n">
        <v>1</v>
      </c>
      <c r="Q517" s="5" t="n">
        <v>0</v>
      </c>
      <c r="R517" s="5" t="n">
        <v>0</v>
      </c>
      <c r="S517" s="5" t="n">
        <v>0</v>
      </c>
      <c r="T517" s="5" t="n">
        <v>0</v>
      </c>
      <c r="U517" s="5" t="inlineStr">
        <is>
          <t>training</t>
        </is>
      </c>
      <c r="V517" s="5" t="n">
        <v>0</v>
      </c>
    </row>
    <row r="518">
      <c r="A518" s="5" t="n">
        <v>514</v>
      </c>
      <c r="B518" s="5" t="n">
        <v>0</v>
      </c>
      <c r="C518" s="6" t="n">
        <v>-0.7357010147163632</v>
      </c>
      <c r="D518" s="6" t="n">
        <v>-0.9327075822157677</v>
      </c>
      <c r="E518" s="6" t="n">
        <v>-1.351560741647039</v>
      </c>
      <c r="F518" s="6" t="n">
        <v>0.9185437189662378</v>
      </c>
      <c r="G518" s="5" t="n">
        <v>0</v>
      </c>
      <c r="H518" s="5" t="n">
        <v>1</v>
      </c>
      <c r="I518" s="5" t="n">
        <v>0</v>
      </c>
      <c r="J518" s="5" t="n">
        <v>0</v>
      </c>
      <c r="K518" s="5" t="n">
        <v>1</v>
      </c>
      <c r="L518" s="5" t="n">
        <v>0</v>
      </c>
      <c r="M518" s="5" t="n">
        <v>0</v>
      </c>
      <c r="N518" s="5" t="n">
        <v>0</v>
      </c>
      <c r="O518" s="5" t="n">
        <v>0</v>
      </c>
      <c r="P518" s="5" t="n">
        <v>1</v>
      </c>
      <c r="Q518" s="5" t="n">
        <v>0</v>
      </c>
      <c r="R518" s="5" t="n">
        <v>0</v>
      </c>
      <c r="S518" s="5" t="n">
        <v>1</v>
      </c>
      <c r="T518" s="5" t="n">
        <v>0</v>
      </c>
      <c r="U518" s="5" t="inlineStr">
        <is>
          <t>training</t>
        </is>
      </c>
      <c r="V518" s="5" t="n">
        <v>0</v>
      </c>
    </row>
    <row r="519">
      <c r="A519" s="5" t="n">
        <v>515</v>
      </c>
      <c r="B519" s="5" t="n">
        <v>0</v>
      </c>
      <c r="C519" s="6" t="n">
        <v>0.275406400796963</v>
      </c>
      <c r="D519" s="6" t="n">
        <v>-0.348386703447463</v>
      </c>
      <c r="E519" s="6" t="n">
        <v>1.605521962085221</v>
      </c>
      <c r="F519" s="6" t="n">
        <v>0.9185437189662378</v>
      </c>
      <c r="G519" s="5" t="n">
        <v>0</v>
      </c>
      <c r="H519" s="5" t="n">
        <v>0</v>
      </c>
      <c r="I519" s="5" t="n">
        <v>0</v>
      </c>
      <c r="J519" s="5" t="n">
        <v>0</v>
      </c>
      <c r="K519" s="5" t="n">
        <v>0</v>
      </c>
      <c r="L519" s="5" t="n">
        <v>0</v>
      </c>
      <c r="M519" s="5" t="n">
        <v>0</v>
      </c>
      <c r="N519" s="5" t="n">
        <v>0</v>
      </c>
      <c r="O519" s="5" t="n">
        <v>1</v>
      </c>
      <c r="P519" s="5" t="n">
        <v>0</v>
      </c>
      <c r="Q519" s="5" t="n">
        <v>0</v>
      </c>
      <c r="R519" s="5" t="n">
        <v>1</v>
      </c>
      <c r="S519" s="5" t="n">
        <v>0</v>
      </c>
      <c r="T519" s="5" t="n">
        <v>0</v>
      </c>
      <c r="U519" s="5" t="inlineStr">
        <is>
          <t>training</t>
        </is>
      </c>
      <c r="V519" s="5" t="n">
        <v>1</v>
      </c>
    </row>
    <row r="520">
      <c r="A520" s="5" t="n">
        <v>516</v>
      </c>
      <c r="B520" s="5" t="n">
        <v>0</v>
      </c>
      <c r="C520" s="6" t="n">
        <v>-1.241254722473026</v>
      </c>
      <c r="D520" s="6" t="n">
        <v>-0.9243101564131094</v>
      </c>
      <c r="E520" s="6" t="n">
        <v>0.1269806102190912</v>
      </c>
      <c r="F520" s="6" t="n">
        <v>0.9185437189662378</v>
      </c>
      <c r="G520" s="5" t="n">
        <v>1</v>
      </c>
      <c r="H520" s="5" t="n">
        <v>0</v>
      </c>
      <c r="I520" s="5" t="n">
        <v>0</v>
      </c>
      <c r="J520" s="5" t="n">
        <v>1</v>
      </c>
      <c r="K520" s="5" t="n">
        <v>0</v>
      </c>
      <c r="L520" s="5" t="n">
        <v>0</v>
      </c>
      <c r="M520" s="5" t="n">
        <v>0</v>
      </c>
      <c r="N520" s="5" t="n">
        <v>0</v>
      </c>
      <c r="O520" s="5" t="n">
        <v>0</v>
      </c>
      <c r="P520" s="5" t="n">
        <v>0</v>
      </c>
      <c r="Q520" s="5" t="n">
        <v>0</v>
      </c>
      <c r="R520" s="5" t="n">
        <v>1</v>
      </c>
      <c r="S520" s="5" t="n">
        <v>0</v>
      </c>
      <c r="T520" s="5" t="n">
        <v>0</v>
      </c>
      <c r="U520" s="5" t="inlineStr">
        <is>
          <t>testing</t>
        </is>
      </c>
      <c r="V520" s="5" t="n">
        <v>0</v>
      </c>
    </row>
    <row r="521">
      <c r="A521" s="5" t="n">
        <v>517</v>
      </c>
      <c r="B521" s="5" t="n">
        <v>0</v>
      </c>
      <c r="C521" s="6" t="n">
        <v>-1.241254722473026</v>
      </c>
      <c r="D521" s="6" t="n">
        <v>-0.6611908145964837</v>
      </c>
      <c r="E521" s="6" t="n">
        <v>0.3878996723131141</v>
      </c>
      <c r="F521" s="6" t="n">
        <v>-0.8850484360866833</v>
      </c>
      <c r="G521" s="5" t="n">
        <v>1</v>
      </c>
      <c r="H521" s="5" t="n">
        <v>0</v>
      </c>
      <c r="I521" s="5" t="n">
        <v>0</v>
      </c>
      <c r="J521" s="5" t="n">
        <v>1</v>
      </c>
      <c r="K521" s="5" t="n">
        <v>0</v>
      </c>
      <c r="L521" s="5" t="n">
        <v>0</v>
      </c>
      <c r="M521" s="5" t="n">
        <v>0</v>
      </c>
      <c r="N521" s="5" t="n">
        <v>0</v>
      </c>
      <c r="O521" s="5" t="n">
        <v>0</v>
      </c>
      <c r="P521" s="5" t="n">
        <v>0</v>
      </c>
      <c r="Q521" s="5" t="n">
        <v>0</v>
      </c>
      <c r="R521" s="5" t="n">
        <v>1</v>
      </c>
      <c r="S521" s="5" t="n">
        <v>0</v>
      </c>
      <c r="T521" s="5" t="n">
        <v>0</v>
      </c>
      <c r="U521" s="5" t="inlineStr">
        <is>
          <t>training</t>
        </is>
      </c>
      <c r="V521" s="5" t="n">
        <v>0</v>
      </c>
    </row>
    <row r="522">
      <c r="A522" s="5" t="n">
        <v>518</v>
      </c>
      <c r="B522" s="5" t="n">
        <v>1</v>
      </c>
      <c r="C522" s="6" t="n">
        <v>1.286513816310289</v>
      </c>
      <c r="D522" s="6" t="n">
        <v>1.356290734492166</v>
      </c>
      <c r="E522" s="6" t="n">
        <v>-1.090641679553016</v>
      </c>
      <c r="F522" s="6" t="n">
        <v>-0.8850484360866833</v>
      </c>
      <c r="G522" s="5" t="n">
        <v>0</v>
      </c>
      <c r="H522" s="5" t="n">
        <v>0</v>
      </c>
      <c r="I522" s="5" t="n">
        <v>0</v>
      </c>
      <c r="J522" s="5" t="n">
        <v>1</v>
      </c>
      <c r="K522" s="5" t="n">
        <v>0</v>
      </c>
      <c r="L522" s="5" t="n">
        <v>0</v>
      </c>
      <c r="M522" s="5" t="n">
        <v>0</v>
      </c>
      <c r="N522" s="5" t="n">
        <v>0</v>
      </c>
      <c r="O522" s="5" t="n">
        <v>0</v>
      </c>
      <c r="P522" s="5" t="n">
        <v>1</v>
      </c>
      <c r="Q522" s="5" t="n">
        <v>0</v>
      </c>
      <c r="R522" s="5" t="n">
        <v>0</v>
      </c>
      <c r="S522" s="5" t="n">
        <v>0</v>
      </c>
      <c r="T522" s="5" t="n">
        <v>1</v>
      </c>
      <c r="U522" s="5" t="inlineStr">
        <is>
          <t>training</t>
        </is>
      </c>
      <c r="V522" s="5" t="n">
        <v>1</v>
      </c>
    </row>
    <row r="523">
      <c r="A523" s="5" t="n">
        <v>519</v>
      </c>
      <c r="B523" s="5" t="n">
        <v>0</v>
      </c>
      <c r="C523" s="6" t="n">
        <v>-1.241254722473026</v>
      </c>
      <c r="D523" s="6" t="n">
        <v>-0.7164738677973173</v>
      </c>
      <c r="E523" s="6" t="n">
        <v>0.648818734407137</v>
      </c>
      <c r="F523" s="6" t="n">
        <v>0.01674764143977723</v>
      </c>
      <c r="G523" s="5" t="n">
        <v>1</v>
      </c>
      <c r="H523" s="5" t="n">
        <v>0</v>
      </c>
      <c r="I523" s="5" t="n">
        <v>0</v>
      </c>
      <c r="J523" s="5" t="n">
        <v>0</v>
      </c>
      <c r="K523" s="5" t="n">
        <v>0</v>
      </c>
      <c r="L523" s="5" t="n">
        <v>0</v>
      </c>
      <c r="M523" s="5" t="n">
        <v>1</v>
      </c>
      <c r="N523" s="5" t="n">
        <v>0</v>
      </c>
      <c r="O523" s="5" t="n">
        <v>0</v>
      </c>
      <c r="P523" s="5" t="n">
        <v>0</v>
      </c>
      <c r="Q523" s="5" t="n">
        <v>0</v>
      </c>
      <c r="R523" s="5" t="n">
        <v>1</v>
      </c>
      <c r="S523" s="5" t="n">
        <v>0</v>
      </c>
      <c r="T523" s="5" t="n">
        <v>0</v>
      </c>
      <c r="U523" s="5" t="inlineStr">
        <is>
          <t>training</t>
        </is>
      </c>
      <c r="V523" s="5" t="n">
        <v>0</v>
      </c>
    </row>
    <row r="524">
      <c r="A524" s="5" t="n">
        <v>520</v>
      </c>
      <c r="B524" s="5" t="n">
        <v>0</v>
      </c>
      <c r="C524" s="6" t="n">
        <v>-1.241254722473026</v>
      </c>
      <c r="D524" s="6" t="n">
        <v>-0.8924699169113635</v>
      </c>
      <c r="E524" s="6" t="n">
        <v>0.04000758952108359</v>
      </c>
      <c r="F524" s="6" t="n">
        <v>0.9185437189662378</v>
      </c>
      <c r="G524" s="5" t="n">
        <v>0</v>
      </c>
      <c r="H524" s="5" t="n">
        <v>0</v>
      </c>
      <c r="I524" s="5" t="n">
        <v>0</v>
      </c>
      <c r="J524" s="5" t="n">
        <v>1</v>
      </c>
      <c r="K524" s="5" t="n">
        <v>0</v>
      </c>
      <c r="L524" s="5" t="n">
        <v>0</v>
      </c>
      <c r="M524" s="5" t="n">
        <v>0</v>
      </c>
      <c r="N524" s="5" t="n">
        <v>0</v>
      </c>
      <c r="O524" s="5" t="n">
        <v>1</v>
      </c>
      <c r="P524" s="5" t="n">
        <v>0</v>
      </c>
      <c r="Q524" s="5" t="n">
        <v>1</v>
      </c>
      <c r="R524" s="5" t="n">
        <v>0</v>
      </c>
      <c r="S524" s="5" t="n">
        <v>1</v>
      </c>
      <c r="T524" s="5" t="n">
        <v>0</v>
      </c>
      <c r="U524" s="5" t="inlineStr">
        <is>
          <t>testing</t>
        </is>
      </c>
      <c r="V524" s="5" t="n">
        <v>0</v>
      </c>
    </row>
    <row r="525">
      <c r="A525" s="5" t="n">
        <v>521</v>
      </c>
      <c r="B525" s="5" t="n">
        <v>0</v>
      </c>
      <c r="C525" s="6" t="n">
        <v>0.275406400796963</v>
      </c>
      <c r="D525" s="6" t="n">
        <v>0.7894644928127327</v>
      </c>
      <c r="E525" s="6" t="n">
        <v>0.7357917551051447</v>
      </c>
      <c r="F525" s="6" t="n">
        <v>0.01674764143977723</v>
      </c>
      <c r="G525" s="5" t="n">
        <v>0</v>
      </c>
      <c r="H525" s="5" t="n">
        <v>0</v>
      </c>
      <c r="I525" s="5" t="n">
        <v>0</v>
      </c>
      <c r="J525" s="5" t="n">
        <v>1</v>
      </c>
      <c r="K525" s="5" t="n">
        <v>0</v>
      </c>
      <c r="L525" s="5" t="n">
        <v>0</v>
      </c>
      <c r="M525" s="5" t="n">
        <v>0</v>
      </c>
      <c r="N525" s="5" t="n">
        <v>0</v>
      </c>
      <c r="O525" s="5" t="n">
        <v>0</v>
      </c>
      <c r="P525" s="5" t="n">
        <v>0</v>
      </c>
      <c r="Q525" s="5" t="n">
        <v>1</v>
      </c>
      <c r="R525" s="5" t="n">
        <v>0</v>
      </c>
      <c r="S525" s="5" t="n">
        <v>0</v>
      </c>
      <c r="T525" s="5" t="n">
        <v>0</v>
      </c>
      <c r="U525" s="5" t="inlineStr">
        <is>
          <t>training</t>
        </is>
      </c>
      <c r="V525" s="5" t="n">
        <v>0</v>
      </c>
    </row>
    <row r="526">
      <c r="A526" s="5" t="n">
        <v>522</v>
      </c>
      <c r="B526" s="5" t="n">
        <v>1</v>
      </c>
      <c r="C526" s="6" t="n">
        <v>-0.2301473069597001</v>
      </c>
      <c r="D526" s="6" t="n">
        <v>-0.0212369898855679</v>
      </c>
      <c r="E526" s="6" t="n">
        <v>-1.003668658855008</v>
      </c>
      <c r="F526" s="6" t="n">
        <v>-0.8850484360866833</v>
      </c>
      <c r="G526" s="5" t="n">
        <v>1</v>
      </c>
      <c r="H526" s="5" t="n">
        <v>0</v>
      </c>
      <c r="I526" s="5" t="n">
        <v>0</v>
      </c>
      <c r="J526" s="5" t="n">
        <v>0</v>
      </c>
      <c r="K526" s="5" t="n">
        <v>0</v>
      </c>
      <c r="L526" s="5" t="n">
        <v>0</v>
      </c>
      <c r="M526" s="5" t="n">
        <v>0</v>
      </c>
      <c r="N526" s="5" t="n">
        <v>0</v>
      </c>
      <c r="O526" s="5" t="n">
        <v>0</v>
      </c>
      <c r="P526" s="5" t="n">
        <v>0</v>
      </c>
      <c r="Q526" s="5" t="n">
        <v>0</v>
      </c>
      <c r="R526" s="5" t="n">
        <v>0</v>
      </c>
      <c r="S526" s="5" t="n">
        <v>1</v>
      </c>
      <c r="T526" s="5" t="n">
        <v>0</v>
      </c>
      <c r="U526" s="5" t="inlineStr">
        <is>
          <t>training</t>
        </is>
      </c>
      <c r="V526" s="5" t="n">
        <v>1</v>
      </c>
    </row>
    <row r="527">
      <c r="A527" s="5" t="n">
        <v>523</v>
      </c>
      <c r="B527" s="5" t="n">
        <v>1</v>
      </c>
      <c r="C527" s="6" t="n">
        <v>2.297621231823615</v>
      </c>
      <c r="D527" s="6" t="n">
        <v>1.353491592557946</v>
      </c>
      <c r="E527" s="6" t="n">
        <v>1.518548941387213</v>
      </c>
      <c r="F527" s="6" t="n">
        <v>0.01674764143977723</v>
      </c>
      <c r="G527" s="5" t="n">
        <v>1</v>
      </c>
      <c r="H527" s="5" t="n">
        <v>0</v>
      </c>
      <c r="I527" s="5" t="n">
        <v>0</v>
      </c>
      <c r="J527" s="5" t="n">
        <v>0</v>
      </c>
      <c r="K527" s="5" t="n">
        <v>0</v>
      </c>
      <c r="L527" s="5" t="n">
        <v>1</v>
      </c>
      <c r="M527" s="5" t="n">
        <v>0</v>
      </c>
      <c r="N527" s="5" t="n">
        <v>0</v>
      </c>
      <c r="O527" s="5" t="n">
        <v>0</v>
      </c>
      <c r="P527" s="5" t="n">
        <v>0</v>
      </c>
      <c r="Q527" s="5" t="n">
        <v>1</v>
      </c>
      <c r="R527" s="5" t="n">
        <v>0</v>
      </c>
      <c r="S527" s="5" t="n">
        <v>0</v>
      </c>
      <c r="T527" s="5" t="n">
        <v>1</v>
      </c>
      <c r="U527" s="5" t="inlineStr">
        <is>
          <t>training</t>
        </is>
      </c>
      <c r="V527" s="5" t="n">
        <v>1</v>
      </c>
    </row>
    <row r="528">
      <c r="A528" s="5" t="n">
        <v>524</v>
      </c>
      <c r="B528" s="5" t="n">
        <v>0</v>
      </c>
      <c r="C528" s="6" t="n">
        <v>0.275406400796963</v>
      </c>
      <c r="D528" s="6" t="n">
        <v>0.08303104716410563</v>
      </c>
      <c r="E528" s="6" t="n">
        <v>-1.090641679553016</v>
      </c>
      <c r="F528" s="6" t="n">
        <v>0.01674764143977723</v>
      </c>
      <c r="G528" s="5" t="n">
        <v>0</v>
      </c>
      <c r="H528" s="5" t="n">
        <v>0</v>
      </c>
      <c r="I528" s="5" t="n">
        <v>0</v>
      </c>
      <c r="J528" s="5" t="n">
        <v>0</v>
      </c>
      <c r="K528" s="5" t="n">
        <v>0</v>
      </c>
      <c r="L528" s="5" t="n">
        <v>0</v>
      </c>
      <c r="M528" s="5" t="n">
        <v>1</v>
      </c>
      <c r="N528" s="5" t="n">
        <v>0</v>
      </c>
      <c r="O528" s="5" t="n">
        <v>0</v>
      </c>
      <c r="P528" s="5" t="n">
        <v>0</v>
      </c>
      <c r="Q528" s="5" t="n">
        <v>0</v>
      </c>
      <c r="R528" s="5" t="n">
        <v>1</v>
      </c>
      <c r="S528" s="5" t="n">
        <v>0</v>
      </c>
      <c r="T528" s="5" t="n">
        <v>0</v>
      </c>
      <c r="U528" s="5" t="inlineStr">
        <is>
          <t>training</t>
        </is>
      </c>
      <c r="V528" s="5" t="n">
        <v>1</v>
      </c>
    </row>
    <row r="529">
      <c r="A529" s="5" t="n">
        <v>525</v>
      </c>
      <c r="B529" s="5" t="n">
        <v>0</v>
      </c>
      <c r="C529" s="6" t="n">
        <v>-0.2301473069597001</v>
      </c>
      <c r="D529" s="6" t="n">
        <v>-0.7479642145572858</v>
      </c>
      <c r="E529" s="6" t="n">
        <v>-0.8297226174589928</v>
      </c>
      <c r="F529" s="6" t="n">
        <v>0.9185437189662378</v>
      </c>
      <c r="G529" s="5" t="n">
        <v>0</v>
      </c>
      <c r="H529" s="5" t="n">
        <v>1</v>
      </c>
      <c r="I529" s="5" t="n">
        <v>0</v>
      </c>
      <c r="J529" s="5" t="n">
        <v>0</v>
      </c>
      <c r="K529" s="5" t="n">
        <v>0</v>
      </c>
      <c r="L529" s="5" t="n">
        <v>0</v>
      </c>
      <c r="M529" s="5" t="n">
        <v>0</v>
      </c>
      <c r="N529" s="5" t="n">
        <v>0</v>
      </c>
      <c r="O529" s="5" t="n">
        <v>0</v>
      </c>
      <c r="P529" s="5" t="n">
        <v>0</v>
      </c>
      <c r="Q529" s="5" t="n">
        <v>0</v>
      </c>
      <c r="R529" s="5" t="n">
        <v>0</v>
      </c>
      <c r="S529" s="5" t="n">
        <v>1</v>
      </c>
      <c r="T529" s="5" t="n">
        <v>0</v>
      </c>
      <c r="U529" s="5" t="inlineStr">
        <is>
          <t>training</t>
        </is>
      </c>
      <c r="V529" s="5" t="n">
        <v>0</v>
      </c>
    </row>
    <row r="530">
      <c r="A530" s="5" t="n">
        <v>526</v>
      </c>
      <c r="B530" s="5" t="n">
        <v>0</v>
      </c>
      <c r="C530" s="6" t="n">
        <v>0.4439243033825174</v>
      </c>
      <c r="D530" s="6" t="n">
        <v>1.649850744843428</v>
      </c>
      <c r="E530" s="6" t="n">
        <v>-0.4818305346669622</v>
      </c>
      <c r="F530" s="6" t="n">
        <v>-0.8850484360866833</v>
      </c>
      <c r="G530" s="5" t="n">
        <v>0</v>
      </c>
      <c r="H530" s="5" t="n">
        <v>1</v>
      </c>
      <c r="I530" s="5" t="n">
        <v>0</v>
      </c>
      <c r="J530" s="5" t="n">
        <v>0</v>
      </c>
      <c r="K530" s="5" t="n">
        <v>0</v>
      </c>
      <c r="L530" s="5" t="n">
        <v>0</v>
      </c>
      <c r="M530" s="5" t="n">
        <v>0</v>
      </c>
      <c r="N530" s="5" t="n">
        <v>0</v>
      </c>
      <c r="O530" s="5" t="n">
        <v>0</v>
      </c>
      <c r="P530" s="5" t="n">
        <v>0</v>
      </c>
      <c r="Q530" s="5" t="n">
        <v>0</v>
      </c>
      <c r="R530" s="5" t="n">
        <v>1</v>
      </c>
      <c r="S530" s="5" t="n">
        <v>0</v>
      </c>
      <c r="T530" s="5" t="n">
        <v>0</v>
      </c>
      <c r="U530" s="5" t="inlineStr">
        <is>
          <t>training</t>
        </is>
      </c>
      <c r="V530" s="5" t="n">
        <v>1</v>
      </c>
    </row>
    <row r="531">
      <c r="A531" s="5" t="n">
        <v>527</v>
      </c>
      <c r="B531" s="5" t="n">
        <v>0</v>
      </c>
      <c r="C531" s="6" t="n">
        <v>-0.4829241608380317</v>
      </c>
      <c r="D531" s="6" t="n">
        <v>-0.6013591557525434</v>
      </c>
      <c r="E531" s="6" t="n">
        <v>-0.3948575139689546</v>
      </c>
      <c r="F531" s="6" t="n">
        <v>0.9185437189662378</v>
      </c>
      <c r="G531" s="5" t="n">
        <v>0</v>
      </c>
      <c r="H531" s="5" t="n">
        <v>0</v>
      </c>
      <c r="I531" s="5" t="n">
        <v>0</v>
      </c>
      <c r="J531" s="5" t="n">
        <v>1</v>
      </c>
      <c r="K531" s="5" t="n">
        <v>0</v>
      </c>
      <c r="L531" s="5" t="n">
        <v>0</v>
      </c>
      <c r="M531" s="5" t="n">
        <v>1</v>
      </c>
      <c r="N531" s="5" t="n">
        <v>0</v>
      </c>
      <c r="O531" s="5" t="n">
        <v>0</v>
      </c>
      <c r="P531" s="5" t="n">
        <v>0</v>
      </c>
      <c r="Q531" s="5" t="n">
        <v>0</v>
      </c>
      <c r="R531" s="5" t="n">
        <v>0</v>
      </c>
      <c r="S531" s="5" t="n">
        <v>0</v>
      </c>
      <c r="T531" s="5" t="n">
        <v>0</v>
      </c>
      <c r="U531" s="5" t="inlineStr">
        <is>
          <t>training</t>
        </is>
      </c>
      <c r="V531" s="5" t="n">
        <v>0</v>
      </c>
    </row>
    <row r="532">
      <c r="A532" s="5" t="n">
        <v>528</v>
      </c>
      <c r="B532" s="5" t="n">
        <v>0</v>
      </c>
      <c r="C532" s="6" t="n">
        <v>-1.409772625058581</v>
      </c>
      <c r="D532" s="6" t="n">
        <v>-0.6115060452640888</v>
      </c>
      <c r="E532" s="6" t="n">
        <v>0.5618457137091294</v>
      </c>
      <c r="F532" s="6" t="n">
        <v>-0.8850484360866833</v>
      </c>
      <c r="G532" s="5" t="n">
        <v>0</v>
      </c>
      <c r="H532" s="5" t="n">
        <v>0</v>
      </c>
      <c r="I532" s="5" t="n">
        <v>0</v>
      </c>
      <c r="J532" s="5" t="n">
        <v>1</v>
      </c>
      <c r="K532" s="5" t="n">
        <v>0</v>
      </c>
      <c r="L532" s="5" t="n">
        <v>0</v>
      </c>
      <c r="M532" s="5" t="n">
        <v>0</v>
      </c>
      <c r="N532" s="5" t="n">
        <v>0</v>
      </c>
      <c r="O532" s="5" t="n">
        <v>0</v>
      </c>
      <c r="P532" s="5" t="n">
        <v>0</v>
      </c>
      <c r="Q532" s="5" t="n">
        <v>0</v>
      </c>
      <c r="R532" s="5" t="n">
        <v>0</v>
      </c>
      <c r="S532" s="5" t="n">
        <v>1</v>
      </c>
      <c r="T532" s="5" t="n">
        <v>0</v>
      </c>
      <c r="U532" s="5" t="inlineStr">
        <is>
          <t>testing</t>
        </is>
      </c>
      <c r="V532" s="5" t="n">
        <v>0</v>
      </c>
    </row>
    <row r="533">
      <c r="A533" s="5" t="n">
        <v>529</v>
      </c>
      <c r="B533" s="5" t="n">
        <v>1</v>
      </c>
      <c r="C533" s="6" t="n">
        <v>1.286513816310289</v>
      </c>
      <c r="D533" s="6" t="n">
        <v>-0.3319417445839239</v>
      </c>
      <c r="E533" s="6" t="n">
        <v>-0.3948575139689546</v>
      </c>
      <c r="F533" s="6" t="n">
        <v>0.9185437189662378</v>
      </c>
      <c r="G533" s="5" t="n">
        <v>1</v>
      </c>
      <c r="H533" s="5" t="n">
        <v>0</v>
      </c>
      <c r="I533" s="5" t="n">
        <v>0</v>
      </c>
      <c r="J533" s="5" t="n">
        <v>0</v>
      </c>
      <c r="K533" s="5" t="n">
        <v>0</v>
      </c>
      <c r="L533" s="5" t="n">
        <v>0</v>
      </c>
      <c r="M533" s="5" t="n">
        <v>0</v>
      </c>
      <c r="N533" s="5" t="n">
        <v>0</v>
      </c>
      <c r="O533" s="5" t="n">
        <v>0</v>
      </c>
      <c r="P533" s="5" t="n">
        <v>1</v>
      </c>
      <c r="Q533" s="5" t="n">
        <v>0</v>
      </c>
      <c r="R533" s="5" t="n">
        <v>0</v>
      </c>
      <c r="S533" s="5" t="n">
        <v>1</v>
      </c>
      <c r="T533" s="5" t="n">
        <v>0</v>
      </c>
      <c r="U533" s="5" t="inlineStr">
        <is>
          <t>testing</t>
        </is>
      </c>
      <c r="V533" s="5" t="n">
        <v>0</v>
      </c>
    </row>
    <row r="534">
      <c r="A534" s="5" t="n">
        <v>530</v>
      </c>
      <c r="B534" s="5" t="n">
        <v>0</v>
      </c>
      <c r="C534" s="6" t="n">
        <v>-1.241254722473026</v>
      </c>
      <c r="D534" s="6" t="n">
        <v>-0.9057658410989058</v>
      </c>
      <c r="E534" s="6" t="n">
        <v>0.4748726930111218</v>
      </c>
      <c r="F534" s="6" t="n">
        <v>0.01674764143977723</v>
      </c>
      <c r="G534" s="5" t="n">
        <v>1</v>
      </c>
      <c r="H534" s="5" t="n">
        <v>0</v>
      </c>
      <c r="I534" s="5" t="n">
        <v>0</v>
      </c>
      <c r="J534" s="5" t="n">
        <v>0</v>
      </c>
      <c r="K534" s="5" t="n">
        <v>0</v>
      </c>
      <c r="L534" s="5" t="n">
        <v>0</v>
      </c>
      <c r="M534" s="5" t="n">
        <v>0</v>
      </c>
      <c r="N534" s="5" t="n">
        <v>0</v>
      </c>
      <c r="O534" s="5" t="n">
        <v>0</v>
      </c>
      <c r="P534" s="5" t="n">
        <v>0</v>
      </c>
      <c r="Q534" s="5" t="n">
        <v>0</v>
      </c>
      <c r="R534" s="5" t="n">
        <v>1</v>
      </c>
      <c r="S534" s="5" t="n">
        <v>0</v>
      </c>
      <c r="T534" s="5" t="n">
        <v>0</v>
      </c>
      <c r="U534" s="5" t="inlineStr">
        <is>
          <t>testing</t>
        </is>
      </c>
      <c r="V534" s="5" t="n">
        <v>0</v>
      </c>
    </row>
    <row r="535">
      <c r="A535" s="5" t="n">
        <v>531</v>
      </c>
      <c r="B535" s="5" t="n">
        <v>0</v>
      </c>
      <c r="C535" s="6" t="n">
        <v>1.286513816310289</v>
      </c>
      <c r="D535" s="6" t="n">
        <v>-0.3420886340954693</v>
      </c>
      <c r="E535" s="6" t="n">
        <v>-0.307884493270947</v>
      </c>
      <c r="F535" s="6" t="n">
        <v>0.01674764143977723</v>
      </c>
      <c r="G535" s="5" t="n">
        <v>0</v>
      </c>
      <c r="H535" s="5" t="n">
        <v>1</v>
      </c>
      <c r="I535" s="5" t="n">
        <v>0</v>
      </c>
      <c r="J535" s="5" t="n">
        <v>0</v>
      </c>
      <c r="K535" s="5" t="n">
        <v>0</v>
      </c>
      <c r="L535" s="5" t="n">
        <v>0</v>
      </c>
      <c r="M535" s="5" t="n">
        <v>0</v>
      </c>
      <c r="N535" s="5" t="n">
        <v>0</v>
      </c>
      <c r="O535" s="5" t="n">
        <v>0</v>
      </c>
      <c r="P535" s="5" t="n">
        <v>0</v>
      </c>
      <c r="Q535" s="5" t="n">
        <v>0</v>
      </c>
      <c r="R535" s="5" t="n">
        <v>0</v>
      </c>
      <c r="S535" s="5" t="n">
        <v>0</v>
      </c>
      <c r="T535" s="5" t="n">
        <v>0</v>
      </c>
      <c r="U535" s="5" t="inlineStr">
        <is>
          <t>testing</t>
        </is>
      </c>
      <c r="V535" s="5" t="n">
        <v>0</v>
      </c>
    </row>
    <row r="536">
      <c r="A536" s="5" t="n">
        <v>532</v>
      </c>
      <c r="B536" s="5" t="n">
        <v>1</v>
      </c>
      <c r="C536" s="6" t="n">
        <v>-0.4829241608380317</v>
      </c>
      <c r="D536" s="6" t="n">
        <v>-0.2168270325391501</v>
      </c>
      <c r="E536" s="6" t="n">
        <v>-0.6557765760629775</v>
      </c>
      <c r="F536" s="6" t="n">
        <v>-0.8850484360866833</v>
      </c>
      <c r="G536" s="5" t="n">
        <v>0</v>
      </c>
      <c r="H536" s="5" t="n">
        <v>1</v>
      </c>
      <c r="I536" s="5" t="n">
        <v>0</v>
      </c>
      <c r="J536" s="5" t="n">
        <v>0</v>
      </c>
      <c r="K536" s="5" t="n">
        <v>0</v>
      </c>
      <c r="L536" s="5" t="n">
        <v>0</v>
      </c>
      <c r="M536" s="5" t="n">
        <v>1</v>
      </c>
      <c r="N536" s="5" t="n">
        <v>0</v>
      </c>
      <c r="O536" s="5" t="n">
        <v>0</v>
      </c>
      <c r="P536" s="5" t="n">
        <v>1</v>
      </c>
      <c r="Q536" s="5" t="n">
        <v>0</v>
      </c>
      <c r="R536" s="5" t="n">
        <v>1</v>
      </c>
      <c r="S536" s="5" t="n">
        <v>0</v>
      </c>
      <c r="T536" s="5" t="n">
        <v>0</v>
      </c>
      <c r="U536" s="5" t="inlineStr">
        <is>
          <t>training</t>
        </is>
      </c>
      <c r="V536" s="5" t="n">
        <v>1</v>
      </c>
    </row>
    <row r="537">
      <c r="A537" s="5" t="n">
        <v>533</v>
      </c>
      <c r="B537" s="5" t="n">
        <v>0</v>
      </c>
      <c r="C537" s="6" t="n">
        <v>-0.7357010147163632</v>
      </c>
      <c r="D537" s="6" t="n">
        <v>-0.6115060452640888</v>
      </c>
      <c r="E537" s="6" t="n">
        <v>0.4748726930111218</v>
      </c>
      <c r="F537" s="6" t="n">
        <v>0.9185437189662378</v>
      </c>
      <c r="G537" s="5" t="n">
        <v>0</v>
      </c>
      <c r="H537" s="5" t="n">
        <v>0</v>
      </c>
      <c r="I537" s="5" t="n">
        <v>0</v>
      </c>
      <c r="J537" s="5" t="n">
        <v>0</v>
      </c>
      <c r="K537" s="5" t="n">
        <v>1</v>
      </c>
      <c r="L537" s="5" t="n">
        <v>0</v>
      </c>
      <c r="M537" s="5" t="n">
        <v>0</v>
      </c>
      <c r="N537" s="5" t="n">
        <v>0</v>
      </c>
      <c r="O537" s="5" t="n">
        <v>0</v>
      </c>
      <c r="P537" s="5" t="n">
        <v>1</v>
      </c>
      <c r="Q537" s="5" t="n">
        <v>0</v>
      </c>
      <c r="R537" s="5" t="n">
        <v>1</v>
      </c>
      <c r="S537" s="5" t="n">
        <v>0</v>
      </c>
      <c r="T537" s="5" t="n">
        <v>0</v>
      </c>
      <c r="U537" s="5" t="inlineStr">
        <is>
          <t>training</t>
        </is>
      </c>
      <c r="V537" s="5" t="n">
        <v>1</v>
      </c>
    </row>
    <row r="538">
      <c r="A538" s="5" t="n">
        <v>534</v>
      </c>
      <c r="B538" s="5" t="n">
        <v>0</v>
      </c>
      <c r="C538" s="6" t="n">
        <v>0.275406400796963</v>
      </c>
      <c r="D538" s="6" t="n">
        <v>-0.678685451685355</v>
      </c>
      <c r="E538" s="6" t="n">
        <v>-0.8297226174589928</v>
      </c>
      <c r="F538" s="6" t="n">
        <v>0.9185437189662378</v>
      </c>
      <c r="G538" s="5" t="n">
        <v>0</v>
      </c>
      <c r="H538" s="5" t="n">
        <v>0</v>
      </c>
      <c r="I538" s="5" t="n">
        <v>0</v>
      </c>
      <c r="J538" s="5" t="n">
        <v>0</v>
      </c>
      <c r="K538" s="5" t="n">
        <v>0</v>
      </c>
      <c r="L538" s="5" t="n">
        <v>0</v>
      </c>
      <c r="M538" s="5" t="n">
        <v>1</v>
      </c>
      <c r="N538" s="5" t="n">
        <v>0</v>
      </c>
      <c r="O538" s="5" t="n">
        <v>0</v>
      </c>
      <c r="P538" s="5" t="n">
        <v>0</v>
      </c>
      <c r="Q538" s="5" t="n">
        <v>0</v>
      </c>
      <c r="R538" s="5" t="n">
        <v>0</v>
      </c>
      <c r="S538" s="5" t="n">
        <v>1</v>
      </c>
      <c r="T538" s="5" t="n">
        <v>0</v>
      </c>
      <c r="U538" s="5" t="inlineStr">
        <is>
          <t>training</t>
        </is>
      </c>
      <c r="V538" s="5" t="n">
        <v>1</v>
      </c>
    </row>
    <row r="539">
      <c r="A539" s="5" t="n">
        <v>535</v>
      </c>
      <c r="B539" s="5" t="n">
        <v>0</v>
      </c>
      <c r="C539" s="6" t="n">
        <v>0.275406400796963</v>
      </c>
      <c r="D539" s="6" t="n">
        <v>-0.05097787293664927</v>
      </c>
      <c r="E539" s="6" t="n">
        <v>-0.9166956381570004</v>
      </c>
      <c r="F539" s="6" t="n">
        <v>0.9185437189662378</v>
      </c>
      <c r="G539" s="5" t="n">
        <v>0</v>
      </c>
      <c r="H539" s="5" t="n">
        <v>0</v>
      </c>
      <c r="I539" s="5" t="n">
        <v>0</v>
      </c>
      <c r="J539" s="5" t="n">
        <v>0</v>
      </c>
      <c r="K539" s="5" t="n">
        <v>0</v>
      </c>
      <c r="L539" s="5" t="n">
        <v>0</v>
      </c>
      <c r="M539" s="5" t="n">
        <v>0</v>
      </c>
      <c r="N539" s="5" t="n">
        <v>0</v>
      </c>
      <c r="O539" s="5" t="n">
        <v>1</v>
      </c>
      <c r="P539" s="5" t="n">
        <v>0</v>
      </c>
      <c r="Q539" s="5" t="n">
        <v>0</v>
      </c>
      <c r="R539" s="5" t="n">
        <v>0</v>
      </c>
      <c r="S539" s="5" t="n">
        <v>1</v>
      </c>
      <c r="T539" s="5" t="n">
        <v>0</v>
      </c>
      <c r="U539" s="5" t="inlineStr">
        <is>
          <t>training</t>
        </is>
      </c>
      <c r="V539" s="5" t="n">
        <v>1</v>
      </c>
    </row>
    <row r="540">
      <c r="A540" s="5" t="n">
        <v>536</v>
      </c>
      <c r="B540" s="5" t="n">
        <v>1</v>
      </c>
      <c r="C540" s="6" t="n">
        <v>0.02262954691863145</v>
      </c>
      <c r="D540" s="6" t="n">
        <v>-0.3259935679737077</v>
      </c>
      <c r="E540" s="6" t="n">
        <v>-0.2209114725729393</v>
      </c>
      <c r="F540" s="6" t="n">
        <v>-0.8850484360866833</v>
      </c>
      <c r="G540" s="5" t="n">
        <v>0</v>
      </c>
      <c r="H540" s="5" t="n">
        <v>0</v>
      </c>
      <c r="I540" s="5" t="n">
        <v>1</v>
      </c>
      <c r="J540" s="5" t="n">
        <v>1</v>
      </c>
      <c r="K540" s="5" t="n">
        <v>0</v>
      </c>
      <c r="L540" s="5" t="n">
        <v>0</v>
      </c>
      <c r="M540" s="5" t="n">
        <v>0</v>
      </c>
      <c r="N540" s="5" t="n">
        <v>0</v>
      </c>
      <c r="O540" s="5" t="n">
        <v>0</v>
      </c>
      <c r="P540" s="5" t="n">
        <v>1</v>
      </c>
      <c r="Q540" s="5" t="n">
        <v>0</v>
      </c>
      <c r="R540" s="5" t="n">
        <v>0</v>
      </c>
      <c r="S540" s="5" t="n">
        <v>0</v>
      </c>
      <c r="T540" s="5" t="n">
        <v>0</v>
      </c>
      <c r="U540" s="5" t="inlineStr">
        <is>
          <t>testing</t>
        </is>
      </c>
      <c r="V540" s="5" t="n">
        <v>0</v>
      </c>
    </row>
    <row r="541">
      <c r="A541" s="5" t="n">
        <v>537</v>
      </c>
      <c r="B541" s="5" t="n">
        <v>0</v>
      </c>
      <c r="C541" s="6" t="n">
        <v>-1.241254722473026</v>
      </c>
      <c r="D541" s="6" t="n">
        <v>-0.6566422089533771</v>
      </c>
      <c r="E541" s="6" t="n">
        <v>3.431955396743382</v>
      </c>
      <c r="F541" s="6" t="n">
        <v>0.9185437189662378</v>
      </c>
      <c r="G541" s="5" t="n">
        <v>1</v>
      </c>
      <c r="H541" s="5" t="n">
        <v>0</v>
      </c>
      <c r="I541" s="5" t="n">
        <v>0</v>
      </c>
      <c r="J541" s="5" t="n">
        <v>0</v>
      </c>
      <c r="K541" s="5" t="n">
        <v>0</v>
      </c>
      <c r="L541" s="5" t="n">
        <v>0</v>
      </c>
      <c r="M541" s="5" t="n">
        <v>0</v>
      </c>
      <c r="N541" s="5" t="n">
        <v>0</v>
      </c>
      <c r="O541" s="5" t="n">
        <v>1</v>
      </c>
      <c r="P541" s="5" t="n">
        <v>0</v>
      </c>
      <c r="Q541" s="5" t="n">
        <v>0</v>
      </c>
      <c r="R541" s="5" t="n">
        <v>1</v>
      </c>
      <c r="S541" s="5" t="n">
        <v>0</v>
      </c>
      <c r="T541" s="5" t="n">
        <v>0</v>
      </c>
      <c r="U541" s="5" t="inlineStr">
        <is>
          <t>training</t>
        </is>
      </c>
      <c r="V541" s="5" t="n">
        <v>1</v>
      </c>
    </row>
    <row r="542">
      <c r="A542" s="5" t="n">
        <v>538</v>
      </c>
      <c r="B542" s="5" t="n">
        <v>0</v>
      </c>
      <c r="C542" s="6" t="n">
        <v>-0.2301473069597001</v>
      </c>
      <c r="D542" s="6" t="n">
        <v>0.1264177471445067</v>
      </c>
      <c r="E542" s="6" t="n">
        <v>0.1269806102190912</v>
      </c>
      <c r="F542" s="6" t="n">
        <v>0.01674764143977723</v>
      </c>
      <c r="G542" s="5" t="n">
        <v>0</v>
      </c>
      <c r="H542" s="5" t="n">
        <v>1</v>
      </c>
      <c r="I542" s="5" t="n">
        <v>0</v>
      </c>
      <c r="J542" s="5" t="n">
        <v>1</v>
      </c>
      <c r="K542" s="5" t="n">
        <v>0</v>
      </c>
      <c r="L542" s="5" t="n">
        <v>0</v>
      </c>
      <c r="M542" s="5" t="n">
        <v>0</v>
      </c>
      <c r="N542" s="5" t="n">
        <v>0</v>
      </c>
      <c r="O542" s="5" t="n">
        <v>0</v>
      </c>
      <c r="P542" s="5" t="n">
        <v>0</v>
      </c>
      <c r="Q542" s="5" t="n">
        <v>0</v>
      </c>
      <c r="R542" s="5" t="n">
        <v>0</v>
      </c>
      <c r="S542" s="5" t="n">
        <v>0</v>
      </c>
      <c r="T542" s="5" t="n">
        <v>1</v>
      </c>
      <c r="U542" s="5" t="inlineStr">
        <is>
          <t>training</t>
        </is>
      </c>
      <c r="V542" s="5" t="n">
        <v>1</v>
      </c>
    </row>
    <row r="543">
      <c r="A543" s="5" t="n">
        <v>539</v>
      </c>
      <c r="B543" s="5" t="n">
        <v>1</v>
      </c>
      <c r="C543" s="6" t="n">
        <v>2.297621231823615</v>
      </c>
      <c r="D543" s="6" t="n">
        <v>1.57882251826261</v>
      </c>
      <c r="E543" s="6" t="n">
        <v>0.5618457137091294</v>
      </c>
      <c r="F543" s="6" t="n">
        <v>0.9185437189662378</v>
      </c>
      <c r="G543" s="5" t="n">
        <v>1</v>
      </c>
      <c r="H543" s="5" t="n">
        <v>0</v>
      </c>
      <c r="I543" s="5" t="n">
        <v>0</v>
      </c>
      <c r="J543" s="5" t="n">
        <v>0</v>
      </c>
      <c r="K543" s="5" t="n">
        <v>0</v>
      </c>
      <c r="L543" s="5" t="n">
        <v>0</v>
      </c>
      <c r="M543" s="5" t="n">
        <v>0</v>
      </c>
      <c r="N543" s="5" t="n">
        <v>0</v>
      </c>
      <c r="O543" s="5" t="n">
        <v>0</v>
      </c>
      <c r="P543" s="5" t="n">
        <v>0</v>
      </c>
      <c r="Q543" s="5" t="n">
        <v>1</v>
      </c>
      <c r="R543" s="5" t="n">
        <v>1</v>
      </c>
      <c r="S543" s="5" t="n">
        <v>0</v>
      </c>
      <c r="T543" s="5" t="n">
        <v>0</v>
      </c>
      <c r="U543" s="5" t="inlineStr">
        <is>
          <t>training</t>
        </is>
      </c>
      <c r="V543" s="5" t="n">
        <v>1</v>
      </c>
    </row>
    <row r="544">
      <c r="A544" s="5" t="n">
        <v>540</v>
      </c>
      <c r="B544" s="5" t="n">
        <v>0</v>
      </c>
      <c r="C544" s="6" t="n">
        <v>-0.2301473069597001</v>
      </c>
      <c r="D544" s="6" t="n">
        <v>-0.07057186647618524</v>
      </c>
      <c r="E544" s="6" t="n">
        <v>0.8227647758031523</v>
      </c>
      <c r="F544" s="6" t="n">
        <v>-1.786844513613144</v>
      </c>
      <c r="G544" s="5" t="n">
        <v>0</v>
      </c>
      <c r="H544" s="5" t="n">
        <v>0</v>
      </c>
      <c r="I544" s="5" t="n">
        <v>1</v>
      </c>
      <c r="J544" s="5" t="n">
        <v>0</v>
      </c>
      <c r="K544" s="5" t="n">
        <v>0</v>
      </c>
      <c r="L544" s="5" t="n">
        <v>0</v>
      </c>
      <c r="M544" s="5" t="n">
        <v>0</v>
      </c>
      <c r="N544" s="5" t="n">
        <v>0</v>
      </c>
      <c r="O544" s="5" t="n">
        <v>0</v>
      </c>
      <c r="P544" s="5" t="n">
        <v>0</v>
      </c>
      <c r="Q544" s="5" t="n">
        <v>0</v>
      </c>
      <c r="R544" s="5" t="n">
        <v>0</v>
      </c>
      <c r="S544" s="5" t="n">
        <v>0</v>
      </c>
      <c r="T544" s="5" t="n">
        <v>1</v>
      </c>
      <c r="U544" s="5" t="inlineStr">
        <is>
          <t>training</t>
        </is>
      </c>
      <c r="V544" s="5" t="n">
        <v>0</v>
      </c>
    </row>
    <row r="545">
      <c r="A545" s="5" t="n">
        <v>541</v>
      </c>
      <c r="B545" s="5" t="n">
        <v>1</v>
      </c>
      <c r="C545" s="6" t="n">
        <v>-0.7357010147163632</v>
      </c>
      <c r="D545" s="6" t="n">
        <v>-0.6006593702689885</v>
      </c>
      <c r="E545" s="6" t="n">
        <v>-1.090641679553016</v>
      </c>
      <c r="F545" s="6" t="n">
        <v>-1.786844513613144</v>
      </c>
      <c r="G545" s="5" t="n">
        <v>0</v>
      </c>
      <c r="H545" s="5" t="n">
        <v>1</v>
      </c>
      <c r="I545" s="5" t="n">
        <v>0</v>
      </c>
      <c r="J545" s="5" t="n">
        <v>0</v>
      </c>
      <c r="K545" s="5" t="n">
        <v>0</v>
      </c>
      <c r="L545" s="5" t="n">
        <v>0</v>
      </c>
      <c r="M545" s="5" t="n">
        <v>0</v>
      </c>
      <c r="N545" s="5" t="n">
        <v>0</v>
      </c>
      <c r="O545" s="5" t="n">
        <v>0</v>
      </c>
      <c r="P545" s="5" t="n">
        <v>1</v>
      </c>
      <c r="Q545" s="5" t="n">
        <v>0</v>
      </c>
      <c r="R545" s="5" t="n">
        <v>0</v>
      </c>
      <c r="S545" s="5" t="n">
        <v>1</v>
      </c>
      <c r="T545" s="5" t="n">
        <v>0</v>
      </c>
      <c r="U545" s="5" t="inlineStr">
        <is>
          <t>training</t>
        </is>
      </c>
      <c r="V545" s="5" t="n">
        <v>1</v>
      </c>
    </row>
    <row r="546">
      <c r="A546" s="5" t="n">
        <v>542</v>
      </c>
      <c r="B546" s="5" t="n">
        <v>0</v>
      </c>
      <c r="C546" s="6" t="n">
        <v>0.275406400796963</v>
      </c>
      <c r="D546" s="6" t="n">
        <v>-0.4264127848638294</v>
      </c>
      <c r="E546" s="6" t="n">
        <v>2.127360086273267</v>
      </c>
      <c r="F546" s="6" t="n">
        <v>0.9185437189662378</v>
      </c>
      <c r="G546" s="5" t="n">
        <v>0</v>
      </c>
      <c r="H546" s="5" t="n">
        <v>0</v>
      </c>
      <c r="I546" s="5" t="n">
        <v>0</v>
      </c>
      <c r="J546" s="5" t="n">
        <v>0</v>
      </c>
      <c r="K546" s="5" t="n">
        <v>1</v>
      </c>
      <c r="L546" s="5" t="n">
        <v>0</v>
      </c>
      <c r="M546" s="5" t="n">
        <v>0</v>
      </c>
      <c r="N546" s="5" t="n">
        <v>0</v>
      </c>
      <c r="O546" s="5" t="n">
        <v>0</v>
      </c>
      <c r="P546" s="5" t="n">
        <v>0</v>
      </c>
      <c r="Q546" s="5" t="n">
        <v>1</v>
      </c>
      <c r="R546" s="5" t="n">
        <v>1</v>
      </c>
      <c r="S546" s="5" t="n">
        <v>0</v>
      </c>
      <c r="T546" s="5" t="n">
        <v>0</v>
      </c>
      <c r="U546" s="5" t="inlineStr">
        <is>
          <t>training</t>
        </is>
      </c>
      <c r="V546" s="5" t="n">
        <v>1</v>
      </c>
    </row>
    <row r="547">
      <c r="A547" s="5" t="n">
        <v>543</v>
      </c>
      <c r="B547" s="5" t="n">
        <v>1</v>
      </c>
      <c r="C547" s="6" t="n">
        <v>0.7809601085536261</v>
      </c>
      <c r="D547" s="6" t="n">
        <v>1.084424074131104</v>
      </c>
      <c r="E547" s="6" t="n">
        <v>-0.3948575139689546</v>
      </c>
      <c r="F547" s="6" t="n">
        <v>0.9185437189662378</v>
      </c>
      <c r="G547" s="5" t="n">
        <v>1</v>
      </c>
      <c r="H547" s="5" t="n">
        <v>0</v>
      </c>
      <c r="I547" s="5" t="n">
        <v>0</v>
      </c>
      <c r="J547" s="5" t="n">
        <v>0</v>
      </c>
      <c r="K547" s="5" t="n">
        <v>0</v>
      </c>
      <c r="L547" s="5" t="n">
        <v>0</v>
      </c>
      <c r="M547" s="5" t="n">
        <v>0</v>
      </c>
      <c r="N547" s="5" t="n">
        <v>0</v>
      </c>
      <c r="O547" s="5" t="n">
        <v>1</v>
      </c>
      <c r="P547" s="5" t="n">
        <v>0</v>
      </c>
      <c r="Q547" s="5" t="n">
        <v>0</v>
      </c>
      <c r="R547" s="5" t="n">
        <v>0</v>
      </c>
      <c r="S547" s="5" t="n">
        <v>0</v>
      </c>
      <c r="T547" s="5" t="n">
        <v>1</v>
      </c>
      <c r="U547" s="5" t="inlineStr">
        <is>
          <t>testing</t>
        </is>
      </c>
      <c r="V547" s="5" t="n">
        <v>0</v>
      </c>
    </row>
    <row r="548">
      <c r="A548" s="5" t="n">
        <v>544</v>
      </c>
      <c r="B548" s="5" t="n">
        <v>1</v>
      </c>
      <c r="C548" s="6" t="n">
        <v>-0.2301473069597001</v>
      </c>
      <c r="D548" s="6" t="n">
        <v>-0.1353020237050094</v>
      </c>
      <c r="E548" s="6" t="n">
        <v>-0.1339384518749317</v>
      </c>
      <c r="F548" s="6" t="n">
        <v>-0.8850484360866833</v>
      </c>
      <c r="G548" s="5" t="n">
        <v>0</v>
      </c>
      <c r="H548" s="5" t="n">
        <v>0</v>
      </c>
      <c r="I548" s="5" t="n">
        <v>1</v>
      </c>
      <c r="J548" s="5" t="n">
        <v>0</v>
      </c>
      <c r="K548" s="5" t="n">
        <v>0</v>
      </c>
      <c r="L548" s="5" t="n">
        <v>0</v>
      </c>
      <c r="M548" s="5" t="n">
        <v>0</v>
      </c>
      <c r="N548" s="5" t="n">
        <v>0</v>
      </c>
      <c r="O548" s="5" t="n">
        <v>0</v>
      </c>
      <c r="P548" s="5" t="n">
        <v>0</v>
      </c>
      <c r="Q548" s="5" t="n">
        <v>0</v>
      </c>
      <c r="R548" s="5" t="n">
        <v>0</v>
      </c>
      <c r="S548" s="5" t="n">
        <v>0</v>
      </c>
      <c r="T548" s="5" t="n">
        <v>1</v>
      </c>
      <c r="U548" s="5" t="inlineStr">
        <is>
          <t>training</t>
        </is>
      </c>
      <c r="V548" s="5" t="n">
        <v>1</v>
      </c>
    </row>
    <row r="549">
      <c r="A549" s="5" t="n">
        <v>545</v>
      </c>
      <c r="B549" s="5" t="n">
        <v>0</v>
      </c>
      <c r="C549" s="6" t="n">
        <v>-0.7357010147163632</v>
      </c>
      <c r="D549" s="6" t="n">
        <v>-0.6982794452248909</v>
      </c>
      <c r="E549" s="6" t="n">
        <v>2.214333106971274</v>
      </c>
      <c r="F549" s="6" t="n">
        <v>0.9185437189662378</v>
      </c>
      <c r="G549" s="5" t="n">
        <v>0</v>
      </c>
      <c r="H549" s="5" t="n">
        <v>0</v>
      </c>
      <c r="I549" s="5" t="n">
        <v>0</v>
      </c>
      <c r="J549" s="5" t="n">
        <v>1</v>
      </c>
      <c r="K549" s="5" t="n">
        <v>0</v>
      </c>
      <c r="L549" s="5" t="n">
        <v>0</v>
      </c>
      <c r="M549" s="5" t="n">
        <v>0</v>
      </c>
      <c r="N549" s="5" t="n">
        <v>0</v>
      </c>
      <c r="O549" s="5" t="n">
        <v>0</v>
      </c>
      <c r="P549" s="5" t="n">
        <v>0</v>
      </c>
      <c r="Q549" s="5" t="n">
        <v>0</v>
      </c>
      <c r="R549" s="5" t="n">
        <v>1</v>
      </c>
      <c r="S549" s="5" t="n">
        <v>0</v>
      </c>
      <c r="T549" s="5" t="n">
        <v>0</v>
      </c>
      <c r="U549" s="5" t="inlineStr">
        <is>
          <t>testing</t>
        </is>
      </c>
      <c r="V549" s="5" t="n">
        <v>0</v>
      </c>
    </row>
    <row r="550">
      <c r="A550" s="5" t="n">
        <v>546</v>
      </c>
      <c r="B550" s="5" t="n">
        <v>1</v>
      </c>
      <c r="C550" s="6" t="n">
        <v>0.275406400796963</v>
      </c>
      <c r="D550" s="6" t="n">
        <v>-0.6709878113662516</v>
      </c>
      <c r="E550" s="6" t="n">
        <v>0.648818734407137</v>
      </c>
      <c r="F550" s="6" t="n">
        <v>0.9185437189662378</v>
      </c>
      <c r="G550" s="5" t="n">
        <v>1</v>
      </c>
      <c r="H550" s="5" t="n">
        <v>0</v>
      </c>
      <c r="I550" s="5" t="n">
        <v>0</v>
      </c>
      <c r="J550" s="5" t="n">
        <v>0</v>
      </c>
      <c r="K550" s="5" t="n">
        <v>1</v>
      </c>
      <c r="L550" s="5" t="n">
        <v>0</v>
      </c>
      <c r="M550" s="5" t="n">
        <v>0</v>
      </c>
      <c r="N550" s="5" t="n">
        <v>0</v>
      </c>
      <c r="O550" s="5" t="n">
        <v>0</v>
      </c>
      <c r="P550" s="5" t="n">
        <v>0</v>
      </c>
      <c r="Q550" s="5" t="n">
        <v>1</v>
      </c>
      <c r="R550" s="5" t="n">
        <v>1</v>
      </c>
      <c r="S550" s="5" t="n">
        <v>0</v>
      </c>
      <c r="T550" s="5" t="n">
        <v>0</v>
      </c>
      <c r="U550" s="5" t="inlineStr">
        <is>
          <t>testing</t>
        </is>
      </c>
      <c r="V550" s="5" t="n">
        <v>0</v>
      </c>
    </row>
    <row r="551">
      <c r="A551" s="5" t="n">
        <v>547</v>
      </c>
      <c r="B551" s="5" t="n">
        <v>0</v>
      </c>
      <c r="C551" s="6" t="n">
        <v>0.275406400796963</v>
      </c>
      <c r="D551" s="6" t="n">
        <v>-0.4299117122816037</v>
      </c>
      <c r="E551" s="6" t="n">
        <v>0.1269806102190912</v>
      </c>
      <c r="F551" s="6" t="n">
        <v>0.9185437189662378</v>
      </c>
      <c r="G551" s="5" t="n">
        <v>0</v>
      </c>
      <c r="H551" s="5" t="n">
        <v>0</v>
      </c>
      <c r="I551" s="5" t="n">
        <v>0</v>
      </c>
      <c r="J551" s="5" t="n">
        <v>1</v>
      </c>
      <c r="K551" s="5" t="n">
        <v>0</v>
      </c>
      <c r="L551" s="5" t="n">
        <v>0</v>
      </c>
      <c r="M551" s="5" t="n">
        <v>0</v>
      </c>
      <c r="N551" s="5" t="n">
        <v>0</v>
      </c>
      <c r="O551" s="5" t="n">
        <v>0</v>
      </c>
      <c r="P551" s="5" t="n">
        <v>0</v>
      </c>
      <c r="Q551" s="5" t="n">
        <v>0</v>
      </c>
      <c r="R551" s="5" t="n">
        <v>1</v>
      </c>
      <c r="S551" s="5" t="n">
        <v>0</v>
      </c>
      <c r="T551" s="5" t="n">
        <v>0</v>
      </c>
      <c r="U551" s="5" t="inlineStr">
        <is>
          <t>training</t>
        </is>
      </c>
      <c r="V551" s="5" t="n">
        <v>0</v>
      </c>
    </row>
    <row r="552">
      <c r="A552" s="5" t="n">
        <v>548</v>
      </c>
      <c r="B552" s="5" t="n">
        <v>0</v>
      </c>
      <c r="C552" s="6" t="n">
        <v>0.275406400796963</v>
      </c>
      <c r="D552" s="6" t="n">
        <v>-0.5943613009169949</v>
      </c>
      <c r="E552" s="6" t="n">
        <v>-0.307884493270947</v>
      </c>
      <c r="F552" s="6" t="n">
        <v>0.01674764143977723</v>
      </c>
      <c r="G552" s="5" t="n">
        <v>0</v>
      </c>
      <c r="H552" s="5" t="n">
        <v>0</v>
      </c>
      <c r="I552" s="5" t="n">
        <v>0</v>
      </c>
      <c r="J552" s="5" t="n">
        <v>0</v>
      </c>
      <c r="K552" s="5" t="n">
        <v>0</v>
      </c>
      <c r="L552" s="5" t="n">
        <v>0</v>
      </c>
      <c r="M552" s="5" t="n">
        <v>0</v>
      </c>
      <c r="N552" s="5" t="n">
        <v>0</v>
      </c>
      <c r="O552" s="5" t="n">
        <v>0</v>
      </c>
      <c r="P552" s="5" t="n">
        <v>0</v>
      </c>
      <c r="Q552" s="5" t="n">
        <v>0</v>
      </c>
      <c r="R552" s="5" t="n">
        <v>0</v>
      </c>
      <c r="S552" s="5" t="n">
        <v>1</v>
      </c>
      <c r="T552" s="5" t="n">
        <v>0</v>
      </c>
      <c r="U552" s="5" t="inlineStr">
        <is>
          <t>training</t>
        </is>
      </c>
      <c r="V552" s="5" t="n">
        <v>1</v>
      </c>
    </row>
    <row r="553">
      <c r="A553" s="5" t="n">
        <v>549</v>
      </c>
      <c r="B553" s="5" t="n">
        <v>1</v>
      </c>
      <c r="C553" s="6" t="n">
        <v>-0.7357010147163632</v>
      </c>
      <c r="D553" s="6" t="n">
        <v>-0.9183619798028931</v>
      </c>
      <c r="E553" s="6" t="n">
        <v>-1.003668658855008</v>
      </c>
      <c r="F553" s="6" t="n">
        <v>0.9185437189662378</v>
      </c>
      <c r="G553" s="5" t="n">
        <v>1</v>
      </c>
      <c r="H553" s="5" t="n">
        <v>0</v>
      </c>
      <c r="I553" s="5" t="n">
        <v>0</v>
      </c>
      <c r="J553" s="5" t="n">
        <v>0</v>
      </c>
      <c r="K553" s="5" t="n">
        <v>0</v>
      </c>
      <c r="L553" s="5" t="n">
        <v>1</v>
      </c>
      <c r="M553" s="5" t="n">
        <v>0</v>
      </c>
      <c r="N553" s="5" t="n">
        <v>0</v>
      </c>
      <c r="O553" s="5" t="n">
        <v>0</v>
      </c>
      <c r="P553" s="5" t="n">
        <v>0</v>
      </c>
      <c r="Q553" s="5" t="n">
        <v>0</v>
      </c>
      <c r="R553" s="5" t="n">
        <v>0</v>
      </c>
      <c r="S553" s="5" t="n">
        <v>1</v>
      </c>
      <c r="T553" s="5" t="n">
        <v>0</v>
      </c>
      <c r="U553" s="5" t="inlineStr">
        <is>
          <t>testing</t>
        </is>
      </c>
      <c r="V553" s="5" t="n">
        <v>0</v>
      </c>
    </row>
    <row r="554">
      <c r="A554" s="5" t="n">
        <v>550</v>
      </c>
      <c r="B554" s="5" t="n">
        <v>0</v>
      </c>
      <c r="C554" s="6" t="n">
        <v>2.297621231823615</v>
      </c>
      <c r="D554" s="6" t="n">
        <v>1.961955070508894</v>
      </c>
      <c r="E554" s="6" t="n">
        <v>-0.04696543117692405</v>
      </c>
      <c r="F554" s="6" t="n">
        <v>-0.8850484360866833</v>
      </c>
      <c r="G554" s="5" t="n">
        <v>0</v>
      </c>
      <c r="H554" s="5" t="n">
        <v>0</v>
      </c>
      <c r="I554" s="5" t="n">
        <v>0</v>
      </c>
      <c r="J554" s="5" t="n">
        <v>1</v>
      </c>
      <c r="K554" s="5" t="n">
        <v>0</v>
      </c>
      <c r="L554" s="5" t="n">
        <v>0</v>
      </c>
      <c r="M554" s="5" t="n">
        <v>0</v>
      </c>
      <c r="N554" s="5" t="n">
        <v>0</v>
      </c>
      <c r="O554" s="5" t="n">
        <v>1</v>
      </c>
      <c r="P554" s="5" t="n">
        <v>0</v>
      </c>
      <c r="Q554" s="5" t="n">
        <v>1</v>
      </c>
      <c r="R554" s="5" t="n">
        <v>1</v>
      </c>
      <c r="S554" s="5" t="n">
        <v>0</v>
      </c>
      <c r="T554" s="5" t="n">
        <v>0</v>
      </c>
      <c r="U554" s="5" t="inlineStr">
        <is>
          <t>training</t>
        </is>
      </c>
      <c r="V554" s="5" t="n">
        <v>0</v>
      </c>
    </row>
    <row r="555">
      <c r="A555" s="5" t="n">
        <v>551</v>
      </c>
      <c r="B555" s="5" t="n">
        <v>0</v>
      </c>
      <c r="C555" s="6" t="n">
        <v>-0.7357010147163632</v>
      </c>
      <c r="D555" s="6" t="n">
        <v>-0.7889016653452449</v>
      </c>
      <c r="E555" s="6" t="n">
        <v>-1.090641679553016</v>
      </c>
      <c r="F555" s="6" t="n">
        <v>0.9185437189662378</v>
      </c>
      <c r="G555" s="5" t="n">
        <v>0</v>
      </c>
      <c r="H555" s="5" t="n">
        <v>0</v>
      </c>
      <c r="I555" s="5" t="n">
        <v>0</v>
      </c>
      <c r="J555" s="5" t="n">
        <v>1</v>
      </c>
      <c r="K555" s="5" t="n">
        <v>0</v>
      </c>
      <c r="L555" s="5" t="n">
        <v>0</v>
      </c>
      <c r="M555" s="5" t="n">
        <v>0</v>
      </c>
      <c r="N555" s="5" t="n">
        <v>0</v>
      </c>
      <c r="O555" s="5" t="n">
        <v>1</v>
      </c>
      <c r="P555" s="5" t="n">
        <v>0</v>
      </c>
      <c r="Q555" s="5" t="n">
        <v>0</v>
      </c>
      <c r="R555" s="5" t="n">
        <v>0</v>
      </c>
      <c r="S555" s="5" t="n">
        <v>0</v>
      </c>
      <c r="T555" s="5" t="n">
        <v>0</v>
      </c>
      <c r="U555" s="5" t="inlineStr">
        <is>
          <t>training</t>
        </is>
      </c>
      <c r="V555" s="5" t="n">
        <v>0</v>
      </c>
    </row>
    <row r="556">
      <c r="A556" s="5" t="n">
        <v>552</v>
      </c>
      <c r="B556" s="5" t="n">
        <v>0</v>
      </c>
      <c r="C556" s="6" t="n">
        <v>-1.241254722473026</v>
      </c>
      <c r="D556" s="6" t="n">
        <v>-0.5250825380450641</v>
      </c>
      <c r="E556" s="6" t="n">
        <v>0.8227647758031523</v>
      </c>
      <c r="F556" s="6" t="n">
        <v>-0.8850484360866833</v>
      </c>
      <c r="G556" s="5" t="n">
        <v>0</v>
      </c>
      <c r="H556" s="5" t="n">
        <v>0</v>
      </c>
      <c r="I556" s="5" t="n">
        <v>0</v>
      </c>
      <c r="J556" s="5" t="n">
        <v>0</v>
      </c>
      <c r="K556" s="5" t="n">
        <v>0</v>
      </c>
      <c r="L556" s="5" t="n">
        <v>1</v>
      </c>
      <c r="M556" s="5" t="n">
        <v>1</v>
      </c>
      <c r="N556" s="5" t="n">
        <v>0</v>
      </c>
      <c r="O556" s="5" t="n">
        <v>0</v>
      </c>
      <c r="P556" s="5" t="n">
        <v>0</v>
      </c>
      <c r="Q556" s="5" t="n">
        <v>0</v>
      </c>
      <c r="R556" s="5" t="n">
        <v>0</v>
      </c>
      <c r="S556" s="5" t="n">
        <v>1</v>
      </c>
      <c r="T556" s="5" t="n">
        <v>0</v>
      </c>
      <c r="U556" s="5" t="inlineStr">
        <is>
          <t>training</t>
        </is>
      </c>
      <c r="V556" s="5" t="n">
        <v>0</v>
      </c>
    </row>
    <row r="557">
      <c r="A557" s="5" t="n">
        <v>553</v>
      </c>
      <c r="B557" s="5" t="n">
        <v>1</v>
      </c>
      <c r="C557" s="6" t="n">
        <v>2.297621231823615</v>
      </c>
      <c r="D557" s="6" t="n">
        <v>1.311504463544655</v>
      </c>
      <c r="E557" s="6" t="n">
        <v>-0.1339384518749317</v>
      </c>
      <c r="F557" s="6" t="n">
        <v>-1.786844513613144</v>
      </c>
      <c r="G557" s="5" t="n">
        <v>1</v>
      </c>
      <c r="H557" s="5" t="n">
        <v>0</v>
      </c>
      <c r="I557" s="5" t="n">
        <v>0</v>
      </c>
      <c r="J557" s="5" t="n">
        <v>0</v>
      </c>
      <c r="K557" s="5" t="n">
        <v>0</v>
      </c>
      <c r="L557" s="5" t="n">
        <v>0</v>
      </c>
      <c r="M557" s="5" t="n">
        <v>0</v>
      </c>
      <c r="N557" s="5" t="n">
        <v>0</v>
      </c>
      <c r="O557" s="5" t="n">
        <v>0</v>
      </c>
      <c r="P557" s="5" t="n">
        <v>0</v>
      </c>
      <c r="Q557" s="5" t="n">
        <v>0</v>
      </c>
      <c r="R557" s="5" t="n">
        <v>0</v>
      </c>
      <c r="S557" s="5" t="n">
        <v>1</v>
      </c>
      <c r="T557" s="5" t="n">
        <v>0</v>
      </c>
      <c r="U557" s="5" t="inlineStr">
        <is>
          <t>training</t>
        </is>
      </c>
      <c r="V557" s="5" t="n">
        <v>1</v>
      </c>
    </row>
    <row r="558">
      <c r="A558" s="5" t="n">
        <v>554</v>
      </c>
      <c r="B558" s="5" t="n">
        <v>0</v>
      </c>
      <c r="C558" s="6" t="n">
        <v>-0.7357010147163632</v>
      </c>
      <c r="D558" s="6" t="n">
        <v>-0.4393588163095943</v>
      </c>
      <c r="E558" s="6" t="n">
        <v>-0.7427495967609852</v>
      </c>
      <c r="F558" s="6" t="n">
        <v>0.9185437189662378</v>
      </c>
      <c r="G558" s="5" t="n">
        <v>0</v>
      </c>
      <c r="H558" s="5" t="n">
        <v>1</v>
      </c>
      <c r="I558" s="5" t="n">
        <v>0</v>
      </c>
      <c r="J558" s="5" t="n">
        <v>1</v>
      </c>
      <c r="K558" s="5" t="n">
        <v>0</v>
      </c>
      <c r="L558" s="5" t="n">
        <v>0</v>
      </c>
      <c r="M558" s="5" t="n">
        <v>1</v>
      </c>
      <c r="N558" s="5" t="n">
        <v>0</v>
      </c>
      <c r="O558" s="5" t="n">
        <v>0</v>
      </c>
      <c r="P558" s="5" t="n">
        <v>0</v>
      </c>
      <c r="Q558" s="5" t="n">
        <v>0</v>
      </c>
      <c r="R558" s="5" t="n">
        <v>1</v>
      </c>
      <c r="S558" s="5" t="n">
        <v>0</v>
      </c>
      <c r="T558" s="5" t="n">
        <v>0</v>
      </c>
      <c r="U558" s="5" t="inlineStr">
        <is>
          <t>training</t>
        </is>
      </c>
      <c r="V558" s="5" t="n">
        <v>0</v>
      </c>
    </row>
    <row r="559">
      <c r="A559" s="5" t="n">
        <v>555</v>
      </c>
      <c r="B559" s="5" t="n">
        <v>0</v>
      </c>
      <c r="C559" s="6" t="n">
        <v>-0.9884778685946948</v>
      </c>
      <c r="D559" s="6" t="n">
        <v>-0.7178734387644269</v>
      </c>
      <c r="E559" s="6" t="n">
        <v>2.73617123115932</v>
      </c>
      <c r="F559" s="6" t="n">
        <v>0.9185437189662378</v>
      </c>
      <c r="G559" s="5" t="n">
        <v>0</v>
      </c>
      <c r="H559" s="5" t="n">
        <v>1</v>
      </c>
      <c r="I559" s="5" t="n">
        <v>0</v>
      </c>
      <c r="J559" s="5" t="n">
        <v>0</v>
      </c>
      <c r="K559" s="5" t="n">
        <v>0</v>
      </c>
      <c r="L559" s="5" t="n">
        <v>0</v>
      </c>
      <c r="M559" s="5" t="n">
        <v>0</v>
      </c>
      <c r="N559" s="5" t="n">
        <v>0</v>
      </c>
      <c r="O559" s="5" t="n">
        <v>0</v>
      </c>
      <c r="P559" s="5" t="n">
        <v>0</v>
      </c>
      <c r="Q559" s="5" t="n">
        <v>0</v>
      </c>
      <c r="R559" s="5" t="n">
        <v>0</v>
      </c>
      <c r="S559" s="5" t="n">
        <v>0</v>
      </c>
      <c r="T559" s="5" t="n">
        <v>0</v>
      </c>
      <c r="U559" s="5" t="inlineStr">
        <is>
          <t>testing</t>
        </is>
      </c>
      <c r="V559" s="5" t="n">
        <v>0</v>
      </c>
    </row>
    <row r="560">
      <c r="A560" s="5" t="n">
        <v>556</v>
      </c>
      <c r="B560" s="5" t="n">
        <v>1</v>
      </c>
      <c r="C560" s="6" t="n">
        <v>-0.7357010147163632</v>
      </c>
      <c r="D560" s="6" t="n">
        <v>-0.6716875968498065</v>
      </c>
      <c r="E560" s="6" t="n">
        <v>-1.177614700251023</v>
      </c>
      <c r="F560" s="6" t="n">
        <v>-0.8850484360866833</v>
      </c>
      <c r="G560" s="5" t="n">
        <v>0</v>
      </c>
      <c r="H560" s="5" t="n">
        <v>1</v>
      </c>
      <c r="I560" s="5" t="n">
        <v>0</v>
      </c>
      <c r="J560" s="5" t="n">
        <v>0</v>
      </c>
      <c r="K560" s="5" t="n">
        <v>0</v>
      </c>
      <c r="L560" s="5" t="n">
        <v>0</v>
      </c>
      <c r="M560" s="5" t="n">
        <v>0</v>
      </c>
      <c r="N560" s="5" t="n">
        <v>0</v>
      </c>
      <c r="O560" s="5" t="n">
        <v>0</v>
      </c>
      <c r="P560" s="5" t="n">
        <v>0</v>
      </c>
      <c r="Q560" s="5" t="n">
        <v>0</v>
      </c>
      <c r="R560" s="5" t="n">
        <v>0</v>
      </c>
      <c r="S560" s="5" t="n">
        <v>1</v>
      </c>
      <c r="T560" s="5" t="n">
        <v>0</v>
      </c>
      <c r="U560" s="5" t="inlineStr">
        <is>
          <t>testing</t>
        </is>
      </c>
      <c r="V560" s="5" t="n">
        <v>0</v>
      </c>
    </row>
    <row r="561">
      <c r="A561" s="5" t="n">
        <v>557</v>
      </c>
      <c r="B561" s="5" t="n">
        <v>1</v>
      </c>
      <c r="C561" s="6" t="n">
        <v>-0.2301473069597001</v>
      </c>
      <c r="D561" s="6" t="n">
        <v>-0.3403391703865822</v>
      </c>
      <c r="E561" s="6" t="n">
        <v>-0.6557765760629775</v>
      </c>
      <c r="F561" s="6" t="n">
        <v>0.01674764143977723</v>
      </c>
      <c r="G561" s="5" t="n">
        <v>0</v>
      </c>
      <c r="H561" s="5" t="n">
        <v>1</v>
      </c>
      <c r="I561" s="5" t="n">
        <v>0</v>
      </c>
      <c r="J561" s="5" t="n">
        <v>0</v>
      </c>
      <c r="K561" s="5" t="n">
        <v>0</v>
      </c>
      <c r="L561" s="5" t="n">
        <v>1</v>
      </c>
      <c r="M561" s="5" t="n">
        <v>1</v>
      </c>
      <c r="N561" s="5" t="n">
        <v>0</v>
      </c>
      <c r="O561" s="5" t="n">
        <v>0</v>
      </c>
      <c r="P561" s="5" t="n">
        <v>0</v>
      </c>
      <c r="Q561" s="5" t="n">
        <v>0</v>
      </c>
      <c r="R561" s="5" t="n">
        <v>1</v>
      </c>
      <c r="S561" s="5" t="n">
        <v>0</v>
      </c>
      <c r="T561" s="5" t="n">
        <v>0</v>
      </c>
      <c r="U561" s="5" t="inlineStr">
        <is>
          <t>training</t>
        </is>
      </c>
      <c r="V561" s="5" t="n">
        <v>1</v>
      </c>
    </row>
    <row r="562">
      <c r="A562" s="5" t="n">
        <v>558</v>
      </c>
      <c r="B562" s="5" t="n">
        <v>1</v>
      </c>
      <c r="C562" s="6" t="n">
        <v>0.02262954691863145</v>
      </c>
      <c r="D562" s="6" t="n">
        <v>0.6131185509569089</v>
      </c>
      <c r="E562" s="6" t="n">
        <v>-0.5688035553649698</v>
      </c>
      <c r="F562" s="6" t="n">
        <v>-1.786844513613144</v>
      </c>
      <c r="G562" s="5" t="n">
        <v>0</v>
      </c>
      <c r="H562" s="5" t="n">
        <v>0</v>
      </c>
      <c r="I562" s="5" t="n">
        <v>0</v>
      </c>
      <c r="J562" s="5" t="n">
        <v>0</v>
      </c>
      <c r="K562" s="5" t="n">
        <v>0</v>
      </c>
      <c r="L562" s="5" t="n">
        <v>1</v>
      </c>
      <c r="M562" s="5" t="n">
        <v>0</v>
      </c>
      <c r="N562" s="5" t="n">
        <v>0</v>
      </c>
      <c r="O562" s="5" t="n">
        <v>1</v>
      </c>
      <c r="P562" s="5" t="n">
        <v>0</v>
      </c>
      <c r="Q562" s="5" t="n">
        <v>0</v>
      </c>
      <c r="R562" s="5" t="n">
        <v>1</v>
      </c>
      <c r="S562" s="5" t="n">
        <v>0</v>
      </c>
      <c r="T562" s="5" t="n">
        <v>0</v>
      </c>
      <c r="U562" s="5" t="inlineStr">
        <is>
          <t>testing</t>
        </is>
      </c>
      <c r="V562" s="5" t="n">
        <v>0</v>
      </c>
    </row>
    <row r="563">
      <c r="A563" s="5" t="n">
        <v>559</v>
      </c>
      <c r="B563" s="5" t="n">
        <v>1</v>
      </c>
      <c r="C563" s="6" t="n">
        <v>0.275406400796963</v>
      </c>
      <c r="D563" s="6" t="n">
        <v>0.105424182637861</v>
      </c>
      <c r="E563" s="6" t="n">
        <v>-0.7427495967609852</v>
      </c>
      <c r="F563" s="6" t="n">
        <v>0.01674764143977723</v>
      </c>
      <c r="G563" s="5" t="n">
        <v>1</v>
      </c>
      <c r="H563" s="5" t="n">
        <v>0</v>
      </c>
      <c r="I563" s="5" t="n">
        <v>0</v>
      </c>
      <c r="J563" s="5" t="n">
        <v>0</v>
      </c>
      <c r="K563" s="5" t="n">
        <v>0</v>
      </c>
      <c r="L563" s="5" t="n">
        <v>1</v>
      </c>
      <c r="M563" s="5" t="n">
        <v>0</v>
      </c>
      <c r="N563" s="5" t="n">
        <v>0</v>
      </c>
      <c r="O563" s="5" t="n">
        <v>0</v>
      </c>
      <c r="P563" s="5" t="n">
        <v>0</v>
      </c>
      <c r="Q563" s="5" t="n">
        <v>0</v>
      </c>
      <c r="R563" s="5" t="n">
        <v>0</v>
      </c>
      <c r="S563" s="5" t="n">
        <v>0</v>
      </c>
      <c r="T563" s="5" t="n">
        <v>1</v>
      </c>
      <c r="U563" s="5" t="inlineStr">
        <is>
          <t>training</t>
        </is>
      </c>
      <c r="V563" s="5" t="n">
        <v>1</v>
      </c>
    </row>
    <row r="564">
      <c r="A564" s="5" t="n">
        <v>560</v>
      </c>
      <c r="B564" s="5" t="n">
        <v>1</v>
      </c>
      <c r="C564" s="6" t="n">
        <v>-0.2301473069597001</v>
      </c>
      <c r="D564" s="6" t="n">
        <v>-0.462801630008682</v>
      </c>
      <c r="E564" s="6" t="n">
        <v>-0.3948575139689546</v>
      </c>
      <c r="F564" s="6" t="n">
        <v>-0.8850484360866833</v>
      </c>
      <c r="G564" s="5" t="n">
        <v>0</v>
      </c>
      <c r="H564" s="5" t="n">
        <v>1</v>
      </c>
      <c r="I564" s="5" t="n">
        <v>0</v>
      </c>
      <c r="J564" s="5" t="n">
        <v>1</v>
      </c>
      <c r="K564" s="5" t="n">
        <v>0</v>
      </c>
      <c r="L564" s="5" t="n">
        <v>0</v>
      </c>
      <c r="M564" s="5" t="n">
        <v>0</v>
      </c>
      <c r="N564" s="5" t="n">
        <v>0</v>
      </c>
      <c r="O564" s="5" t="n">
        <v>0</v>
      </c>
      <c r="P564" s="5" t="n">
        <v>0</v>
      </c>
      <c r="Q564" s="5" t="n">
        <v>0</v>
      </c>
      <c r="R564" s="5" t="n">
        <v>0</v>
      </c>
      <c r="S564" s="5" t="n">
        <v>0</v>
      </c>
      <c r="T564" s="5" t="n">
        <v>1</v>
      </c>
      <c r="U564" s="5" t="inlineStr">
        <is>
          <t>training</t>
        </is>
      </c>
      <c r="V564" s="5" t="n">
        <v>1</v>
      </c>
    </row>
    <row r="565">
      <c r="A565" s="5" t="n">
        <v>561</v>
      </c>
      <c r="B565" s="5" t="n">
        <v>0</v>
      </c>
      <c r="C565" s="6" t="n">
        <v>0.275406400796963</v>
      </c>
      <c r="D565" s="6" t="n">
        <v>-0.1003127495272666</v>
      </c>
      <c r="E565" s="6" t="n">
        <v>1.170656858595183</v>
      </c>
      <c r="F565" s="6" t="n">
        <v>0.9185437189662378</v>
      </c>
      <c r="G565" s="5" t="n">
        <v>1</v>
      </c>
      <c r="H565" s="5" t="n">
        <v>0</v>
      </c>
      <c r="I565" s="5" t="n">
        <v>0</v>
      </c>
      <c r="J565" s="5" t="n">
        <v>0</v>
      </c>
      <c r="K565" s="5" t="n">
        <v>0</v>
      </c>
      <c r="L565" s="5" t="n">
        <v>0</v>
      </c>
      <c r="M565" s="5" t="n">
        <v>0</v>
      </c>
      <c r="N565" s="5" t="n">
        <v>0</v>
      </c>
      <c r="O565" s="5" t="n">
        <v>1</v>
      </c>
      <c r="P565" s="5" t="n">
        <v>0</v>
      </c>
      <c r="Q565" s="5" t="n">
        <v>1</v>
      </c>
      <c r="R565" s="5" t="n">
        <v>1</v>
      </c>
      <c r="S565" s="5" t="n">
        <v>0</v>
      </c>
      <c r="T565" s="5" t="n">
        <v>0</v>
      </c>
      <c r="U565" s="5" t="inlineStr">
        <is>
          <t>training</t>
        </is>
      </c>
      <c r="V565" s="5" t="n">
        <v>0</v>
      </c>
    </row>
    <row r="566">
      <c r="A566" s="5" t="n">
        <v>562</v>
      </c>
      <c r="B566" s="5" t="n">
        <v>1</v>
      </c>
      <c r="C566" s="6" t="n">
        <v>0.275406400796963</v>
      </c>
      <c r="D566" s="6" t="n">
        <v>-0.5964606573676594</v>
      </c>
      <c r="E566" s="6" t="n">
        <v>-1.003668658855008</v>
      </c>
      <c r="F566" s="6" t="n">
        <v>0.9185437189662378</v>
      </c>
      <c r="G566" s="5" t="n">
        <v>1</v>
      </c>
      <c r="H566" s="5" t="n">
        <v>0</v>
      </c>
      <c r="I566" s="5" t="n">
        <v>0</v>
      </c>
      <c r="J566" s="5" t="n">
        <v>0</v>
      </c>
      <c r="K566" s="5" t="n">
        <v>0</v>
      </c>
      <c r="L566" s="5" t="n">
        <v>1</v>
      </c>
      <c r="M566" s="5" t="n">
        <v>0</v>
      </c>
      <c r="N566" s="5" t="n">
        <v>0</v>
      </c>
      <c r="O566" s="5" t="n">
        <v>0</v>
      </c>
      <c r="P566" s="5" t="n">
        <v>1</v>
      </c>
      <c r="Q566" s="5" t="n">
        <v>0</v>
      </c>
      <c r="R566" s="5" t="n">
        <v>0</v>
      </c>
      <c r="S566" s="5" t="n">
        <v>1</v>
      </c>
      <c r="T566" s="5" t="n">
        <v>0</v>
      </c>
      <c r="U566" s="5" t="inlineStr">
        <is>
          <t>testing</t>
        </is>
      </c>
      <c r="V566" s="5" t="n">
        <v>0</v>
      </c>
    </row>
    <row r="567">
      <c r="A567" s="5" t="n">
        <v>563</v>
      </c>
      <c r="B567" s="5" t="n">
        <v>0</v>
      </c>
      <c r="C567" s="6" t="n">
        <v>-1.241254722473026</v>
      </c>
      <c r="D567" s="6" t="n">
        <v>-0.8984180935215798</v>
      </c>
      <c r="E567" s="6" t="n">
        <v>-0.5688035553649698</v>
      </c>
      <c r="F567" s="6" t="n">
        <v>-0.8850484360866833</v>
      </c>
      <c r="G567" s="5" t="n">
        <v>0</v>
      </c>
      <c r="H567" s="5" t="n">
        <v>0</v>
      </c>
      <c r="I567" s="5" t="n">
        <v>1</v>
      </c>
      <c r="J567" s="5" t="n">
        <v>0</v>
      </c>
      <c r="K567" s="5" t="n">
        <v>1</v>
      </c>
      <c r="L567" s="5" t="n">
        <v>0</v>
      </c>
      <c r="M567" s="5" t="n">
        <v>0</v>
      </c>
      <c r="N567" s="5" t="n">
        <v>0</v>
      </c>
      <c r="O567" s="5" t="n">
        <v>0</v>
      </c>
      <c r="P567" s="5" t="n">
        <v>0</v>
      </c>
      <c r="Q567" s="5" t="n">
        <v>0</v>
      </c>
      <c r="R567" s="5" t="n">
        <v>0</v>
      </c>
      <c r="S567" s="5" t="n">
        <v>1</v>
      </c>
      <c r="T567" s="5" t="n">
        <v>0</v>
      </c>
      <c r="U567" s="5" t="inlineStr">
        <is>
          <t>testing</t>
        </is>
      </c>
      <c r="V567" s="5" t="n">
        <v>0</v>
      </c>
    </row>
    <row r="568">
      <c r="A568" s="5" t="n">
        <v>564</v>
      </c>
      <c r="B568" s="5" t="n">
        <v>1</v>
      </c>
      <c r="C568" s="6" t="n">
        <v>1.286513816310289</v>
      </c>
      <c r="D568" s="6" t="n">
        <v>3.197426341724992</v>
      </c>
      <c r="E568" s="6" t="n">
        <v>0.1269806102190912</v>
      </c>
      <c r="F568" s="6" t="n">
        <v>-1.786844513613144</v>
      </c>
      <c r="G568" s="5" t="n">
        <v>0</v>
      </c>
      <c r="H568" s="5" t="n">
        <v>1</v>
      </c>
      <c r="I568" s="5" t="n">
        <v>0</v>
      </c>
      <c r="J568" s="5" t="n">
        <v>0</v>
      </c>
      <c r="K568" s="5" t="n">
        <v>0</v>
      </c>
      <c r="L568" s="5" t="n">
        <v>0</v>
      </c>
      <c r="M568" s="5" t="n">
        <v>0</v>
      </c>
      <c r="N568" s="5" t="n">
        <v>0</v>
      </c>
      <c r="O568" s="5" t="n">
        <v>1</v>
      </c>
      <c r="P568" s="5" t="n">
        <v>0</v>
      </c>
      <c r="Q568" s="5" t="n">
        <v>1</v>
      </c>
      <c r="R568" s="5" t="n">
        <v>1</v>
      </c>
      <c r="S568" s="5" t="n">
        <v>0</v>
      </c>
      <c r="T568" s="5" t="n">
        <v>0</v>
      </c>
      <c r="U568" s="5" t="inlineStr">
        <is>
          <t>testing</t>
        </is>
      </c>
      <c r="V568" s="5" t="n">
        <v>0</v>
      </c>
    </row>
    <row r="569">
      <c r="A569" s="5" t="n">
        <v>565</v>
      </c>
      <c r="B569" s="5" t="n">
        <v>0</v>
      </c>
      <c r="C569" s="6" t="n">
        <v>0.275406400796963</v>
      </c>
      <c r="D569" s="6" t="n">
        <v>0.5112997630996774</v>
      </c>
      <c r="E569" s="6" t="n">
        <v>0.1269806102190912</v>
      </c>
      <c r="F569" s="6" t="n">
        <v>0.9185437189662378</v>
      </c>
      <c r="G569" s="5" t="n">
        <v>0</v>
      </c>
      <c r="H569" s="5" t="n">
        <v>1</v>
      </c>
      <c r="I569" s="5" t="n">
        <v>0</v>
      </c>
      <c r="J569" s="5" t="n">
        <v>0</v>
      </c>
      <c r="K569" s="5" t="n">
        <v>1</v>
      </c>
      <c r="L569" s="5" t="n">
        <v>0</v>
      </c>
      <c r="M569" s="5" t="n">
        <v>0</v>
      </c>
      <c r="N569" s="5" t="n">
        <v>0</v>
      </c>
      <c r="O569" s="5" t="n">
        <v>1</v>
      </c>
      <c r="P569" s="5" t="n">
        <v>0</v>
      </c>
      <c r="Q569" s="5" t="n">
        <v>0</v>
      </c>
      <c r="R569" s="5" t="n">
        <v>0</v>
      </c>
      <c r="S569" s="5" t="n">
        <v>0</v>
      </c>
      <c r="T569" s="5" t="n">
        <v>0</v>
      </c>
      <c r="U569" s="5" t="inlineStr">
        <is>
          <t>training</t>
        </is>
      </c>
      <c r="V569" s="5" t="n">
        <v>0</v>
      </c>
    </row>
    <row r="570">
      <c r="A570" s="5" t="n">
        <v>566</v>
      </c>
      <c r="B570" s="5" t="n">
        <v>0</v>
      </c>
      <c r="C570" s="6" t="n">
        <v>0.275406400796963</v>
      </c>
      <c r="D570" s="6" t="n">
        <v>-0.5940114081752175</v>
      </c>
      <c r="E570" s="6" t="n">
        <v>-1.090641679553016</v>
      </c>
      <c r="F570" s="6" t="n">
        <v>0.01674764143977723</v>
      </c>
      <c r="G570" s="5" t="n">
        <v>0</v>
      </c>
      <c r="H570" s="5" t="n">
        <v>1</v>
      </c>
      <c r="I570" s="5" t="n">
        <v>0</v>
      </c>
      <c r="J570" s="5" t="n">
        <v>0</v>
      </c>
      <c r="K570" s="5" t="n">
        <v>1</v>
      </c>
      <c r="L570" s="5" t="n">
        <v>0</v>
      </c>
      <c r="M570" s="5" t="n">
        <v>1</v>
      </c>
      <c r="N570" s="5" t="n">
        <v>0</v>
      </c>
      <c r="O570" s="5" t="n">
        <v>0</v>
      </c>
      <c r="P570" s="5" t="n">
        <v>1</v>
      </c>
      <c r="Q570" s="5" t="n">
        <v>0</v>
      </c>
      <c r="R570" s="5" t="n">
        <v>0</v>
      </c>
      <c r="S570" s="5" t="n">
        <v>1</v>
      </c>
      <c r="T570" s="5" t="n">
        <v>0</v>
      </c>
      <c r="U570" s="5" t="inlineStr">
        <is>
          <t>training</t>
        </is>
      </c>
      <c r="V570" s="5" t="n">
        <v>1</v>
      </c>
    </row>
    <row r="571">
      <c r="A571" s="5" t="n">
        <v>567</v>
      </c>
      <c r="B571" s="5" t="n">
        <v>1</v>
      </c>
      <c r="C571" s="6" t="n">
        <v>-0.7357010147163632</v>
      </c>
      <c r="D571" s="6" t="n">
        <v>-0.6573419944369319</v>
      </c>
      <c r="E571" s="6" t="n">
        <v>0.04000758952108359</v>
      </c>
      <c r="F571" s="6" t="n">
        <v>-0.8850484360866833</v>
      </c>
      <c r="G571" s="5" t="n">
        <v>1</v>
      </c>
      <c r="H571" s="5" t="n">
        <v>0</v>
      </c>
      <c r="I571" s="5" t="n">
        <v>0</v>
      </c>
      <c r="J571" s="5" t="n">
        <v>0</v>
      </c>
      <c r="K571" s="5" t="n">
        <v>0</v>
      </c>
      <c r="L571" s="5" t="n">
        <v>0</v>
      </c>
      <c r="M571" s="5" t="n">
        <v>0</v>
      </c>
      <c r="N571" s="5" t="n">
        <v>0</v>
      </c>
      <c r="O571" s="5" t="n">
        <v>0</v>
      </c>
      <c r="P571" s="5" t="n">
        <v>0</v>
      </c>
      <c r="Q571" s="5" t="n">
        <v>0</v>
      </c>
      <c r="R571" s="5" t="n">
        <v>1</v>
      </c>
      <c r="S571" s="5" t="n">
        <v>0</v>
      </c>
      <c r="T571" s="5" t="n">
        <v>0</v>
      </c>
      <c r="U571" s="5" t="inlineStr">
        <is>
          <t>testing</t>
        </is>
      </c>
      <c r="V571" s="5" t="n">
        <v>0</v>
      </c>
    </row>
    <row r="572">
      <c r="A572" s="5" t="n">
        <v>568</v>
      </c>
      <c r="B572" s="5" t="n">
        <v>0</v>
      </c>
      <c r="C572" s="6" t="n">
        <v>0.275406400796963</v>
      </c>
      <c r="D572" s="6" t="n">
        <v>-0.2353713478533538</v>
      </c>
      <c r="E572" s="6" t="n">
        <v>-0.1339384518749317</v>
      </c>
      <c r="F572" s="6" t="n">
        <v>-0.8850484360866833</v>
      </c>
      <c r="G572" s="5" t="n">
        <v>0</v>
      </c>
      <c r="H572" s="5" t="n">
        <v>0</v>
      </c>
      <c r="I572" s="5" t="n">
        <v>0</v>
      </c>
      <c r="J572" s="5" t="n">
        <v>1</v>
      </c>
      <c r="K572" s="5" t="n">
        <v>0</v>
      </c>
      <c r="L572" s="5" t="n">
        <v>0</v>
      </c>
      <c r="M572" s="5" t="n">
        <v>0</v>
      </c>
      <c r="N572" s="5" t="n">
        <v>1</v>
      </c>
      <c r="O572" s="5" t="n">
        <v>0</v>
      </c>
      <c r="P572" s="5" t="n">
        <v>0</v>
      </c>
      <c r="Q572" s="5" t="n">
        <v>0</v>
      </c>
      <c r="R572" s="5" t="n">
        <v>0</v>
      </c>
      <c r="S572" s="5" t="n">
        <v>1</v>
      </c>
      <c r="T572" s="5" t="n">
        <v>0</v>
      </c>
      <c r="U572" s="5" t="inlineStr">
        <is>
          <t>testing</t>
        </is>
      </c>
      <c r="V572" s="5" t="n">
        <v>0</v>
      </c>
    </row>
    <row r="573">
      <c r="A573" s="5" t="n">
        <v>569</v>
      </c>
      <c r="B573" s="5" t="n">
        <v>0</v>
      </c>
      <c r="C573" s="6" t="n">
        <v>2.297621231823615</v>
      </c>
      <c r="D573" s="6" t="n">
        <v>0.2548283833768227</v>
      </c>
      <c r="E573" s="6" t="n">
        <v>0.4748726930111218</v>
      </c>
      <c r="F573" s="6" t="n">
        <v>0.9185437189662378</v>
      </c>
      <c r="G573" s="5" t="n">
        <v>0</v>
      </c>
      <c r="H573" s="5" t="n">
        <v>1</v>
      </c>
      <c r="I573" s="5" t="n">
        <v>0</v>
      </c>
      <c r="J573" s="5" t="n">
        <v>0</v>
      </c>
      <c r="K573" s="5" t="n">
        <v>0</v>
      </c>
      <c r="L573" s="5" t="n">
        <v>0</v>
      </c>
      <c r="M573" s="5" t="n">
        <v>0</v>
      </c>
      <c r="N573" s="5" t="n">
        <v>0</v>
      </c>
      <c r="O573" s="5" t="n">
        <v>1</v>
      </c>
      <c r="P573" s="5" t="n">
        <v>0</v>
      </c>
      <c r="Q573" s="5" t="n">
        <v>0</v>
      </c>
      <c r="R573" s="5" t="n">
        <v>0</v>
      </c>
      <c r="S573" s="5" t="n">
        <v>1</v>
      </c>
      <c r="T573" s="5" t="n">
        <v>0</v>
      </c>
      <c r="U573" s="5" t="inlineStr">
        <is>
          <t>training</t>
        </is>
      </c>
      <c r="V573" s="5" t="n">
        <v>0</v>
      </c>
    </row>
    <row r="574">
      <c r="A574" s="5" t="n">
        <v>570</v>
      </c>
      <c r="B574" s="5" t="n">
        <v>1</v>
      </c>
      <c r="C574" s="6" t="n">
        <v>2.297621231823615</v>
      </c>
      <c r="D574" s="6" t="n">
        <v>1.227180312776295</v>
      </c>
      <c r="E574" s="6" t="n">
        <v>-0.3948575139689546</v>
      </c>
      <c r="F574" s="6" t="n">
        <v>0.01674764143977723</v>
      </c>
      <c r="G574" s="5" t="n">
        <v>1</v>
      </c>
      <c r="H574" s="5" t="n">
        <v>0</v>
      </c>
      <c r="I574" s="5" t="n">
        <v>0</v>
      </c>
      <c r="J574" s="5" t="n">
        <v>0</v>
      </c>
      <c r="K574" s="5" t="n">
        <v>0</v>
      </c>
      <c r="L574" s="5" t="n">
        <v>0</v>
      </c>
      <c r="M574" s="5" t="n">
        <v>0</v>
      </c>
      <c r="N574" s="5" t="n">
        <v>0</v>
      </c>
      <c r="O574" s="5" t="n">
        <v>0</v>
      </c>
      <c r="P574" s="5" t="n">
        <v>0</v>
      </c>
      <c r="Q574" s="5" t="n">
        <v>0</v>
      </c>
      <c r="R574" s="5" t="n">
        <v>0</v>
      </c>
      <c r="S574" s="5" t="n">
        <v>1</v>
      </c>
      <c r="T574" s="5" t="n">
        <v>0</v>
      </c>
      <c r="U574" s="5" t="inlineStr">
        <is>
          <t>training</t>
        </is>
      </c>
      <c r="V574" s="5" t="n">
        <v>1</v>
      </c>
    </row>
    <row r="575">
      <c r="A575" s="5" t="n">
        <v>571</v>
      </c>
      <c r="B575" s="5" t="n">
        <v>1</v>
      </c>
      <c r="C575" s="6" t="n">
        <v>0.275406400796963</v>
      </c>
      <c r="D575" s="6" t="n">
        <v>-0.00584170924736107</v>
      </c>
      <c r="E575" s="6" t="n">
        <v>-1.090641679553016</v>
      </c>
      <c r="F575" s="6" t="n">
        <v>0.9185437189662378</v>
      </c>
      <c r="G575" s="5" t="n">
        <v>1</v>
      </c>
      <c r="H575" s="5" t="n">
        <v>0</v>
      </c>
      <c r="I575" s="5" t="n">
        <v>0</v>
      </c>
      <c r="J575" s="5" t="n">
        <v>0</v>
      </c>
      <c r="K575" s="5" t="n">
        <v>0</v>
      </c>
      <c r="L575" s="5" t="n">
        <v>0</v>
      </c>
      <c r="M575" s="5" t="n">
        <v>0</v>
      </c>
      <c r="N575" s="5" t="n">
        <v>0</v>
      </c>
      <c r="O575" s="5" t="n">
        <v>0</v>
      </c>
      <c r="P575" s="5" t="n">
        <v>1</v>
      </c>
      <c r="Q575" s="5" t="n">
        <v>0</v>
      </c>
      <c r="R575" s="5" t="n">
        <v>0</v>
      </c>
      <c r="S575" s="5" t="n">
        <v>0</v>
      </c>
      <c r="T575" s="5" t="n">
        <v>1</v>
      </c>
      <c r="U575" s="5" t="inlineStr">
        <is>
          <t>testing</t>
        </is>
      </c>
      <c r="V575" s="5" t="n">
        <v>0</v>
      </c>
    </row>
    <row r="576">
      <c r="A576" s="5" t="n">
        <v>572</v>
      </c>
      <c r="B576" s="5" t="n">
        <v>0</v>
      </c>
      <c r="C576" s="6" t="n">
        <v>0.7809601085536261</v>
      </c>
      <c r="D576" s="6" t="n">
        <v>0.9458665483872429</v>
      </c>
      <c r="E576" s="6" t="n">
        <v>0.2139536309170988</v>
      </c>
      <c r="F576" s="6" t="n">
        <v>0.01674764143977723</v>
      </c>
      <c r="G576" s="5" t="n">
        <v>0</v>
      </c>
      <c r="H576" s="5" t="n">
        <v>0</v>
      </c>
      <c r="I576" s="5" t="n">
        <v>0</v>
      </c>
      <c r="J576" s="5" t="n">
        <v>1</v>
      </c>
      <c r="K576" s="5" t="n">
        <v>0</v>
      </c>
      <c r="L576" s="5" t="n">
        <v>0</v>
      </c>
      <c r="M576" s="5" t="n">
        <v>0</v>
      </c>
      <c r="N576" s="5" t="n">
        <v>0</v>
      </c>
      <c r="O576" s="5" t="n">
        <v>0</v>
      </c>
      <c r="P576" s="5" t="n">
        <v>0</v>
      </c>
      <c r="Q576" s="5" t="n">
        <v>0</v>
      </c>
      <c r="R576" s="5" t="n">
        <v>0</v>
      </c>
      <c r="S576" s="5" t="n">
        <v>1</v>
      </c>
      <c r="T576" s="5" t="n">
        <v>0</v>
      </c>
      <c r="U576" s="5" t="inlineStr">
        <is>
          <t>training</t>
        </is>
      </c>
      <c r="V576" s="5" t="n">
        <v>0</v>
      </c>
    </row>
    <row r="577">
      <c r="A577" s="5" t="n">
        <v>573</v>
      </c>
      <c r="B577" s="5" t="n">
        <v>0</v>
      </c>
      <c r="C577" s="6" t="n">
        <v>0.275406400796963</v>
      </c>
      <c r="D577" s="6" t="n">
        <v>0.763572429921203</v>
      </c>
      <c r="E577" s="6" t="n">
        <v>-0.8297226174589928</v>
      </c>
      <c r="F577" s="6" t="n">
        <v>-0.8850484360866833</v>
      </c>
      <c r="G577" s="5" t="n">
        <v>0</v>
      </c>
      <c r="H577" s="5" t="n">
        <v>0</v>
      </c>
      <c r="I577" s="5" t="n">
        <v>0</v>
      </c>
      <c r="J577" s="5" t="n">
        <v>0</v>
      </c>
      <c r="K577" s="5" t="n">
        <v>0</v>
      </c>
      <c r="L577" s="5" t="n">
        <v>0</v>
      </c>
      <c r="M577" s="5" t="n">
        <v>0</v>
      </c>
      <c r="N577" s="5" t="n">
        <v>0</v>
      </c>
      <c r="O577" s="5" t="n">
        <v>1</v>
      </c>
      <c r="P577" s="5" t="n">
        <v>1</v>
      </c>
      <c r="Q577" s="5" t="n">
        <v>0</v>
      </c>
      <c r="R577" s="5" t="n">
        <v>1</v>
      </c>
      <c r="S577" s="5" t="n">
        <v>0</v>
      </c>
      <c r="T577" s="5" t="n">
        <v>0</v>
      </c>
      <c r="U577" s="5" t="inlineStr">
        <is>
          <t>testing</t>
        </is>
      </c>
      <c r="V577" s="5" t="n">
        <v>0</v>
      </c>
    </row>
    <row r="578">
      <c r="A578" s="5" t="n">
        <v>574</v>
      </c>
      <c r="B578" s="5" t="n">
        <v>0</v>
      </c>
      <c r="C578" s="6" t="n">
        <v>-0.4829241608380317</v>
      </c>
      <c r="D578" s="6" t="n">
        <v>-0.8553812862829562</v>
      </c>
      <c r="E578" s="6" t="n">
        <v>-1.177614700251023</v>
      </c>
      <c r="F578" s="6" t="n">
        <v>0.9185437189662378</v>
      </c>
      <c r="G578" s="5" t="n">
        <v>1</v>
      </c>
      <c r="H578" s="5" t="n">
        <v>0</v>
      </c>
      <c r="I578" s="5" t="n">
        <v>0</v>
      </c>
      <c r="J578" s="5" t="n">
        <v>0</v>
      </c>
      <c r="K578" s="5" t="n">
        <v>0</v>
      </c>
      <c r="L578" s="5" t="n">
        <v>0</v>
      </c>
      <c r="M578" s="5" t="n">
        <v>0</v>
      </c>
      <c r="N578" s="5" t="n">
        <v>0</v>
      </c>
      <c r="O578" s="5" t="n">
        <v>0</v>
      </c>
      <c r="P578" s="5" t="n">
        <v>0</v>
      </c>
      <c r="Q578" s="5" t="n">
        <v>0</v>
      </c>
      <c r="R578" s="5" t="n">
        <v>0</v>
      </c>
      <c r="S578" s="5" t="n">
        <v>0</v>
      </c>
      <c r="T578" s="5" t="n">
        <v>0</v>
      </c>
      <c r="U578" s="5" t="inlineStr">
        <is>
          <t>training</t>
        </is>
      </c>
      <c r="V578" s="5" t="n">
        <v>0</v>
      </c>
    </row>
    <row r="579">
      <c r="A579" s="5" t="n">
        <v>575</v>
      </c>
      <c r="B579" s="5" t="n">
        <v>0</v>
      </c>
      <c r="C579" s="6" t="n">
        <v>-0.9884778685946948</v>
      </c>
      <c r="D579" s="6" t="n">
        <v>-0.758810889552386</v>
      </c>
      <c r="E579" s="6" t="n">
        <v>-0.7427495967609852</v>
      </c>
      <c r="F579" s="6" t="n">
        <v>0.9185437189662378</v>
      </c>
      <c r="G579" s="5" t="n">
        <v>0</v>
      </c>
      <c r="H579" s="5" t="n">
        <v>1</v>
      </c>
      <c r="I579" s="5" t="n">
        <v>0</v>
      </c>
      <c r="J579" s="5" t="n">
        <v>0</v>
      </c>
      <c r="K579" s="5" t="n">
        <v>0</v>
      </c>
      <c r="L579" s="5" t="n">
        <v>0</v>
      </c>
      <c r="M579" s="5" t="n">
        <v>0</v>
      </c>
      <c r="N579" s="5" t="n">
        <v>0</v>
      </c>
      <c r="O579" s="5" t="n">
        <v>0</v>
      </c>
      <c r="P579" s="5" t="n">
        <v>0</v>
      </c>
      <c r="Q579" s="5" t="n">
        <v>0</v>
      </c>
      <c r="R579" s="5" t="n">
        <v>0</v>
      </c>
      <c r="S579" s="5" t="n">
        <v>1</v>
      </c>
      <c r="T579" s="5" t="n">
        <v>0</v>
      </c>
      <c r="U579" s="5" t="inlineStr">
        <is>
          <t>training</t>
        </is>
      </c>
      <c r="V579" s="5" t="n">
        <v>1</v>
      </c>
    </row>
    <row r="580">
      <c r="A580" s="5" t="n">
        <v>576</v>
      </c>
      <c r="B580" s="5" t="n">
        <v>0</v>
      </c>
      <c r="C580" s="6" t="n">
        <v>-0.4829241608380317</v>
      </c>
      <c r="D580" s="6" t="n">
        <v>-0.1618938720800939</v>
      </c>
      <c r="E580" s="6" t="n">
        <v>-1.003668658855008</v>
      </c>
      <c r="F580" s="6" t="n">
        <v>-0.8850484360866833</v>
      </c>
      <c r="G580" s="5" t="n">
        <v>0</v>
      </c>
      <c r="H580" s="5" t="n">
        <v>0</v>
      </c>
      <c r="I580" s="5" t="n">
        <v>0</v>
      </c>
      <c r="J580" s="5" t="n">
        <v>1</v>
      </c>
      <c r="K580" s="5" t="n">
        <v>0</v>
      </c>
      <c r="L580" s="5" t="n">
        <v>0</v>
      </c>
      <c r="M580" s="5" t="n">
        <v>0</v>
      </c>
      <c r="N580" s="5" t="n">
        <v>0</v>
      </c>
      <c r="O580" s="5" t="n">
        <v>0</v>
      </c>
      <c r="P580" s="5" t="n">
        <v>0</v>
      </c>
      <c r="Q580" s="5" t="n">
        <v>0</v>
      </c>
      <c r="R580" s="5" t="n">
        <v>0</v>
      </c>
      <c r="S580" s="5" t="n">
        <v>0</v>
      </c>
      <c r="T580" s="5" t="n">
        <v>1</v>
      </c>
      <c r="U580" s="5" t="inlineStr">
        <is>
          <t>training</t>
        </is>
      </c>
      <c r="V580" s="5" t="n">
        <v>1</v>
      </c>
    </row>
    <row r="581">
      <c r="A581" s="5" t="n">
        <v>577</v>
      </c>
      <c r="B581" s="5" t="n">
        <v>0</v>
      </c>
      <c r="C581" s="6" t="n">
        <v>-0.7357010147163632</v>
      </c>
      <c r="D581" s="6" t="n">
        <v>-0.1122091027476992</v>
      </c>
      <c r="E581" s="6" t="n">
        <v>-0.7427495967609852</v>
      </c>
      <c r="F581" s="6" t="n">
        <v>-0.8850484360866833</v>
      </c>
      <c r="G581" s="5" t="n">
        <v>0</v>
      </c>
      <c r="H581" s="5" t="n">
        <v>1</v>
      </c>
      <c r="I581" s="5" t="n">
        <v>0</v>
      </c>
      <c r="J581" s="5" t="n">
        <v>0</v>
      </c>
      <c r="K581" s="5" t="n">
        <v>0</v>
      </c>
      <c r="L581" s="5" t="n">
        <v>0</v>
      </c>
      <c r="M581" s="5" t="n">
        <v>0</v>
      </c>
      <c r="N581" s="5" t="n">
        <v>0</v>
      </c>
      <c r="O581" s="5" t="n">
        <v>0</v>
      </c>
      <c r="P581" s="5" t="n">
        <v>0</v>
      </c>
      <c r="Q581" s="5" t="n">
        <v>0</v>
      </c>
      <c r="R581" s="5" t="n">
        <v>0</v>
      </c>
      <c r="S581" s="5" t="n">
        <v>1</v>
      </c>
      <c r="T581" s="5" t="n">
        <v>0</v>
      </c>
      <c r="U581" s="5" t="inlineStr">
        <is>
          <t>training</t>
        </is>
      </c>
      <c r="V581" s="5" t="n">
        <v>0</v>
      </c>
    </row>
    <row r="582">
      <c r="A582" s="5" t="n">
        <v>578</v>
      </c>
      <c r="B582" s="5" t="n">
        <v>0</v>
      </c>
      <c r="C582" s="6" t="n">
        <v>0.275406400796963</v>
      </c>
      <c r="D582" s="6" t="n">
        <v>-0.4631515227504594</v>
      </c>
      <c r="E582" s="6" t="n">
        <v>-0.2209114725729393</v>
      </c>
      <c r="F582" s="6" t="n">
        <v>0.01674764143977723</v>
      </c>
      <c r="G582" s="5" t="n">
        <v>0</v>
      </c>
      <c r="H582" s="5" t="n">
        <v>0</v>
      </c>
      <c r="I582" s="5" t="n">
        <v>0</v>
      </c>
      <c r="J582" s="5" t="n">
        <v>1</v>
      </c>
      <c r="K582" s="5" t="n">
        <v>0</v>
      </c>
      <c r="L582" s="5" t="n">
        <v>0</v>
      </c>
      <c r="M582" s="5" t="n">
        <v>0</v>
      </c>
      <c r="N582" s="5" t="n">
        <v>0</v>
      </c>
      <c r="O582" s="5" t="n">
        <v>1</v>
      </c>
      <c r="P582" s="5" t="n">
        <v>0</v>
      </c>
      <c r="Q582" s="5" t="n">
        <v>0</v>
      </c>
      <c r="R582" s="5" t="n">
        <v>0</v>
      </c>
      <c r="S582" s="5" t="n">
        <v>0</v>
      </c>
      <c r="T582" s="5" t="n">
        <v>0</v>
      </c>
      <c r="U582" s="5" t="inlineStr">
        <is>
          <t>training</t>
        </is>
      </c>
      <c r="V582" s="5" t="n">
        <v>0</v>
      </c>
    </row>
    <row r="583">
      <c r="A583" s="5" t="n">
        <v>579</v>
      </c>
      <c r="B583" s="5" t="n">
        <v>1</v>
      </c>
      <c r="C583" s="6" t="n">
        <v>1.286513816310289</v>
      </c>
      <c r="D583" s="6" t="n">
        <v>-0.1506973043432162</v>
      </c>
      <c r="E583" s="6" t="n">
        <v>-0.7427495967609852</v>
      </c>
      <c r="F583" s="6" t="n">
        <v>0.9185437189662378</v>
      </c>
      <c r="G583" s="5" t="n">
        <v>0</v>
      </c>
      <c r="H583" s="5" t="n">
        <v>1</v>
      </c>
      <c r="I583" s="5" t="n">
        <v>0</v>
      </c>
      <c r="J583" s="5" t="n">
        <v>1</v>
      </c>
      <c r="K583" s="5" t="n">
        <v>0</v>
      </c>
      <c r="L583" s="5" t="n">
        <v>0</v>
      </c>
      <c r="M583" s="5" t="n">
        <v>0</v>
      </c>
      <c r="N583" s="5" t="n">
        <v>0</v>
      </c>
      <c r="O583" s="5" t="n">
        <v>0</v>
      </c>
      <c r="P583" s="5" t="n">
        <v>0</v>
      </c>
      <c r="Q583" s="5" t="n">
        <v>0</v>
      </c>
      <c r="R583" s="5" t="n">
        <v>1</v>
      </c>
      <c r="S583" s="5" t="n">
        <v>0</v>
      </c>
      <c r="T583" s="5" t="n">
        <v>0</v>
      </c>
      <c r="U583" s="5" t="inlineStr">
        <is>
          <t>training</t>
        </is>
      </c>
      <c r="V583" s="5" t="n">
        <v>1</v>
      </c>
    </row>
    <row r="584">
      <c r="A584" s="5" t="n">
        <v>580</v>
      </c>
      <c r="B584" s="5" t="n">
        <v>0</v>
      </c>
      <c r="C584" s="6" t="n">
        <v>0.275406400796963</v>
      </c>
      <c r="D584" s="6" t="n">
        <v>-0.8095453371101131</v>
      </c>
      <c r="E584" s="6" t="n">
        <v>-0.7427495967609852</v>
      </c>
      <c r="F584" s="6" t="n">
        <v>0.9185437189662378</v>
      </c>
      <c r="G584" s="5" t="n">
        <v>0</v>
      </c>
      <c r="H584" s="5" t="n">
        <v>0</v>
      </c>
      <c r="I584" s="5" t="n">
        <v>0</v>
      </c>
      <c r="J584" s="5" t="n">
        <v>0</v>
      </c>
      <c r="K584" s="5" t="n">
        <v>0</v>
      </c>
      <c r="L584" s="5" t="n">
        <v>0</v>
      </c>
      <c r="M584" s="5" t="n">
        <v>0</v>
      </c>
      <c r="N584" s="5" t="n">
        <v>0</v>
      </c>
      <c r="O584" s="5" t="n">
        <v>0</v>
      </c>
      <c r="P584" s="5" t="n">
        <v>0</v>
      </c>
      <c r="Q584" s="5" t="n">
        <v>0</v>
      </c>
      <c r="R584" s="5" t="n">
        <v>0</v>
      </c>
      <c r="S584" s="5" t="n">
        <v>0</v>
      </c>
      <c r="T584" s="5" t="n">
        <v>0</v>
      </c>
      <c r="U584" s="5" t="inlineStr">
        <is>
          <t>training</t>
        </is>
      </c>
      <c r="V584" s="5" t="n">
        <v>0</v>
      </c>
    </row>
    <row r="585">
      <c r="A585" s="5" t="n">
        <v>581</v>
      </c>
      <c r="B585" s="5" t="n">
        <v>1</v>
      </c>
      <c r="C585" s="6" t="n">
        <v>-0.2301473069597001</v>
      </c>
      <c r="D585" s="6" t="n">
        <v>-0.7679081008385992</v>
      </c>
      <c r="E585" s="6" t="n">
        <v>-0.4818305346669622</v>
      </c>
      <c r="F585" s="6" t="n">
        <v>0.01674764143977723</v>
      </c>
      <c r="G585" s="5" t="n">
        <v>0</v>
      </c>
      <c r="H585" s="5" t="n">
        <v>1</v>
      </c>
      <c r="I585" s="5" t="n">
        <v>0</v>
      </c>
      <c r="J585" s="5" t="n">
        <v>1</v>
      </c>
      <c r="K585" s="5" t="n">
        <v>0</v>
      </c>
      <c r="L585" s="5" t="n">
        <v>0</v>
      </c>
      <c r="M585" s="5" t="n">
        <v>0</v>
      </c>
      <c r="N585" s="5" t="n">
        <v>0</v>
      </c>
      <c r="O585" s="5" t="n">
        <v>0</v>
      </c>
      <c r="P585" s="5" t="n">
        <v>0</v>
      </c>
      <c r="Q585" s="5" t="n">
        <v>0</v>
      </c>
      <c r="R585" s="5" t="n">
        <v>1</v>
      </c>
      <c r="S585" s="5" t="n">
        <v>0</v>
      </c>
      <c r="T585" s="5" t="n">
        <v>0</v>
      </c>
      <c r="U585" s="5" t="inlineStr">
        <is>
          <t>training</t>
        </is>
      </c>
      <c r="V585" s="5" t="n">
        <v>1</v>
      </c>
    </row>
    <row r="586">
      <c r="A586" s="5" t="n">
        <v>582</v>
      </c>
      <c r="B586" s="5" t="n">
        <v>0</v>
      </c>
      <c r="C586" s="6" t="n">
        <v>-0.7357010147163632</v>
      </c>
      <c r="D586" s="6" t="n">
        <v>-0.04432991084287814</v>
      </c>
      <c r="E586" s="6" t="n">
        <v>1.170656858595183</v>
      </c>
      <c r="F586" s="6" t="n">
        <v>-1.786844513613144</v>
      </c>
      <c r="G586" s="5" t="n">
        <v>0</v>
      </c>
      <c r="H586" s="5" t="n">
        <v>1</v>
      </c>
      <c r="I586" s="5" t="n">
        <v>0</v>
      </c>
      <c r="J586" s="5" t="n">
        <v>1</v>
      </c>
      <c r="K586" s="5" t="n">
        <v>0</v>
      </c>
      <c r="L586" s="5" t="n">
        <v>0</v>
      </c>
      <c r="M586" s="5" t="n">
        <v>0</v>
      </c>
      <c r="N586" s="5" t="n">
        <v>0</v>
      </c>
      <c r="O586" s="5" t="n">
        <v>0</v>
      </c>
      <c r="P586" s="5" t="n">
        <v>0</v>
      </c>
      <c r="Q586" s="5" t="n">
        <v>0</v>
      </c>
      <c r="R586" s="5" t="n">
        <v>1</v>
      </c>
      <c r="S586" s="5" t="n">
        <v>0</v>
      </c>
      <c r="T586" s="5" t="n">
        <v>0</v>
      </c>
      <c r="U586" s="5" t="inlineStr">
        <is>
          <t>testing</t>
        </is>
      </c>
      <c r="V586" s="5" t="n">
        <v>0</v>
      </c>
    </row>
    <row r="587">
      <c r="A587" s="5" t="n">
        <v>583</v>
      </c>
      <c r="B587" s="5" t="n">
        <v>0</v>
      </c>
      <c r="C587" s="6" t="n">
        <v>-0.9884778685946948</v>
      </c>
      <c r="D587" s="6" t="n">
        <v>-0.651743710568493</v>
      </c>
      <c r="E587" s="6" t="n">
        <v>-0.8297226174589928</v>
      </c>
      <c r="F587" s="6" t="n">
        <v>0.9185437189662378</v>
      </c>
      <c r="G587" s="5" t="n">
        <v>0</v>
      </c>
      <c r="H587" s="5" t="n">
        <v>0</v>
      </c>
      <c r="I587" s="5" t="n">
        <v>0</v>
      </c>
      <c r="J587" s="5" t="n">
        <v>0</v>
      </c>
      <c r="K587" s="5" t="n">
        <v>0</v>
      </c>
      <c r="L587" s="5" t="n">
        <v>0</v>
      </c>
      <c r="M587" s="5" t="n">
        <v>0</v>
      </c>
      <c r="N587" s="5" t="n">
        <v>0</v>
      </c>
      <c r="O587" s="5" t="n">
        <v>0</v>
      </c>
      <c r="P587" s="5" t="n">
        <v>1</v>
      </c>
      <c r="Q587" s="5" t="n">
        <v>0</v>
      </c>
      <c r="R587" s="5" t="n">
        <v>0</v>
      </c>
      <c r="S587" s="5" t="n">
        <v>0</v>
      </c>
      <c r="T587" s="5" t="n">
        <v>1</v>
      </c>
      <c r="U587" s="5" t="inlineStr">
        <is>
          <t>training</t>
        </is>
      </c>
      <c r="V587" s="5" t="n">
        <v>0</v>
      </c>
    </row>
    <row r="588">
      <c r="A588" s="5" t="n">
        <v>584</v>
      </c>
      <c r="B588" s="5" t="n">
        <v>1</v>
      </c>
      <c r="C588" s="6" t="n">
        <v>1.286513816310289</v>
      </c>
      <c r="D588" s="6" t="n">
        <v>-0.3032505397581748</v>
      </c>
      <c r="E588" s="6" t="n">
        <v>-0.2209114725729393</v>
      </c>
      <c r="F588" s="6" t="n">
        <v>0.9185437189662378</v>
      </c>
      <c r="G588" s="5" t="n">
        <v>0</v>
      </c>
      <c r="H588" s="5" t="n">
        <v>1</v>
      </c>
      <c r="I588" s="5" t="n">
        <v>0</v>
      </c>
      <c r="J588" s="5" t="n">
        <v>0</v>
      </c>
      <c r="K588" s="5" t="n">
        <v>0</v>
      </c>
      <c r="L588" s="5" t="n">
        <v>0</v>
      </c>
      <c r="M588" s="5" t="n">
        <v>0</v>
      </c>
      <c r="N588" s="5" t="n">
        <v>0</v>
      </c>
      <c r="O588" s="5" t="n">
        <v>0</v>
      </c>
      <c r="P588" s="5" t="n">
        <v>1</v>
      </c>
      <c r="Q588" s="5" t="n">
        <v>0</v>
      </c>
      <c r="R588" s="5" t="n">
        <v>0</v>
      </c>
      <c r="S588" s="5" t="n">
        <v>0</v>
      </c>
      <c r="T588" s="5" t="n">
        <v>0</v>
      </c>
      <c r="U588" s="5" t="inlineStr">
        <is>
          <t>testing</t>
        </is>
      </c>
      <c r="V588" s="5" t="n">
        <v>0</v>
      </c>
    </row>
    <row r="589">
      <c r="A589" s="5" t="n">
        <v>585</v>
      </c>
      <c r="B589" s="5" t="n">
        <v>0</v>
      </c>
      <c r="C589" s="6" t="n">
        <v>-0.7357010147163632</v>
      </c>
      <c r="D589" s="6" t="n">
        <v>-0.3910736179443092</v>
      </c>
      <c r="E589" s="6" t="n">
        <v>1.431575920689206</v>
      </c>
      <c r="F589" s="6" t="n">
        <v>0.9185437189662378</v>
      </c>
      <c r="G589" s="5" t="n">
        <v>0</v>
      </c>
      <c r="H589" s="5" t="n">
        <v>0</v>
      </c>
      <c r="I589" s="5" t="n">
        <v>0</v>
      </c>
      <c r="J589" s="5" t="n">
        <v>0</v>
      </c>
      <c r="K589" s="5" t="n">
        <v>0</v>
      </c>
      <c r="L589" s="5" t="n">
        <v>0</v>
      </c>
      <c r="M589" s="5" t="n">
        <v>0</v>
      </c>
      <c r="N589" s="5" t="n">
        <v>0</v>
      </c>
      <c r="O589" s="5" t="n">
        <v>1</v>
      </c>
      <c r="P589" s="5" t="n">
        <v>0</v>
      </c>
      <c r="Q589" s="5" t="n">
        <v>1</v>
      </c>
      <c r="R589" s="5" t="n">
        <v>1</v>
      </c>
      <c r="S589" s="5" t="n">
        <v>0</v>
      </c>
      <c r="T589" s="5" t="n">
        <v>0</v>
      </c>
      <c r="U589" s="5" t="inlineStr">
        <is>
          <t>training</t>
        </is>
      </c>
      <c r="V589" s="5" t="n">
        <v>0</v>
      </c>
    </row>
    <row r="590">
      <c r="A590" s="5" t="n">
        <v>586</v>
      </c>
      <c r="B590" s="5" t="n">
        <v>1</v>
      </c>
      <c r="C590" s="6" t="n">
        <v>-0.2301473069597001</v>
      </c>
      <c r="D590" s="6" t="n">
        <v>-0.4239635356713874</v>
      </c>
      <c r="E590" s="6" t="n">
        <v>-1.351560741647039</v>
      </c>
      <c r="F590" s="6" t="n">
        <v>-1.786844513613144</v>
      </c>
      <c r="G590" s="5" t="n">
        <v>1</v>
      </c>
      <c r="H590" s="5" t="n">
        <v>0</v>
      </c>
      <c r="I590" s="5" t="n">
        <v>0</v>
      </c>
      <c r="J590" s="5" t="n">
        <v>0</v>
      </c>
      <c r="K590" s="5" t="n">
        <v>0</v>
      </c>
      <c r="L590" s="5" t="n">
        <v>0</v>
      </c>
      <c r="M590" s="5" t="n">
        <v>0</v>
      </c>
      <c r="N590" s="5" t="n">
        <v>0</v>
      </c>
      <c r="O590" s="5" t="n">
        <v>0</v>
      </c>
      <c r="P590" s="5" t="n">
        <v>1</v>
      </c>
      <c r="Q590" s="5" t="n">
        <v>0</v>
      </c>
      <c r="R590" s="5" t="n">
        <v>0</v>
      </c>
      <c r="S590" s="5" t="n">
        <v>0</v>
      </c>
      <c r="T590" s="5" t="n">
        <v>1</v>
      </c>
      <c r="U590" s="5" t="inlineStr">
        <is>
          <t>testing</t>
        </is>
      </c>
      <c r="V590" s="5" t="n">
        <v>0</v>
      </c>
    </row>
    <row r="591">
      <c r="A591" s="5" t="n">
        <v>587</v>
      </c>
      <c r="B591" s="5" t="n">
        <v>0</v>
      </c>
      <c r="C591" s="6" t="n">
        <v>-0.9884778685946948</v>
      </c>
      <c r="D591" s="6" t="n">
        <v>-0.1580450519205422</v>
      </c>
      <c r="E591" s="6" t="n">
        <v>0.04000758952108359</v>
      </c>
      <c r="F591" s="6" t="n">
        <v>-0.8850484360866833</v>
      </c>
      <c r="G591" s="5" t="n">
        <v>1</v>
      </c>
      <c r="H591" s="5" t="n">
        <v>0</v>
      </c>
      <c r="I591" s="5" t="n">
        <v>0</v>
      </c>
      <c r="J591" s="5" t="n">
        <v>1</v>
      </c>
      <c r="K591" s="5" t="n">
        <v>0</v>
      </c>
      <c r="L591" s="5" t="n">
        <v>0</v>
      </c>
      <c r="M591" s="5" t="n">
        <v>0</v>
      </c>
      <c r="N591" s="5" t="n">
        <v>0</v>
      </c>
      <c r="O591" s="5" t="n">
        <v>0</v>
      </c>
      <c r="P591" s="5" t="n">
        <v>1</v>
      </c>
      <c r="Q591" s="5" t="n">
        <v>0</v>
      </c>
      <c r="R591" s="5" t="n">
        <v>1</v>
      </c>
      <c r="S591" s="5" t="n">
        <v>0</v>
      </c>
      <c r="T591" s="5" t="n">
        <v>0</v>
      </c>
      <c r="U591" s="5" t="inlineStr">
        <is>
          <t>training</t>
        </is>
      </c>
      <c r="V591" s="5" t="n">
        <v>1</v>
      </c>
    </row>
    <row r="592">
      <c r="A592" s="5" t="n">
        <v>588</v>
      </c>
      <c r="B592" s="5" t="n">
        <v>0</v>
      </c>
      <c r="C592" s="6" t="n">
        <v>-0.7357010147163632</v>
      </c>
      <c r="D592" s="6" t="n">
        <v>-0.6863830920044585</v>
      </c>
      <c r="E592" s="6" t="n">
        <v>-1.264587720949031</v>
      </c>
      <c r="F592" s="6" t="n">
        <v>0.9185437189662378</v>
      </c>
      <c r="G592" s="5" t="n">
        <v>1</v>
      </c>
      <c r="H592" s="5" t="n">
        <v>0</v>
      </c>
      <c r="I592" s="5" t="n">
        <v>0</v>
      </c>
      <c r="J592" s="5" t="n">
        <v>0</v>
      </c>
      <c r="K592" s="5" t="n">
        <v>0</v>
      </c>
      <c r="L592" s="5" t="n">
        <v>0</v>
      </c>
      <c r="M592" s="5" t="n">
        <v>0</v>
      </c>
      <c r="N592" s="5" t="n">
        <v>0</v>
      </c>
      <c r="O592" s="5" t="n">
        <v>0</v>
      </c>
      <c r="P592" s="5" t="n">
        <v>0</v>
      </c>
      <c r="Q592" s="5" t="n">
        <v>0</v>
      </c>
      <c r="R592" s="5" t="n">
        <v>0</v>
      </c>
      <c r="S592" s="5" t="n">
        <v>0</v>
      </c>
      <c r="T592" s="5" t="n">
        <v>1</v>
      </c>
      <c r="U592" s="5" t="inlineStr">
        <is>
          <t>training</t>
        </is>
      </c>
      <c r="V592" s="5" t="n">
        <v>0</v>
      </c>
    </row>
    <row r="593">
      <c r="A593" s="5" t="n">
        <v>589</v>
      </c>
      <c r="B593" s="5" t="n">
        <v>1</v>
      </c>
      <c r="C593" s="6" t="n">
        <v>-0.2301473069597001</v>
      </c>
      <c r="D593" s="6" t="n">
        <v>-0.7115753694124333</v>
      </c>
      <c r="E593" s="6" t="n">
        <v>0.9967108171991675</v>
      </c>
      <c r="F593" s="6" t="n">
        <v>0.9185437189662378</v>
      </c>
      <c r="G593" s="5" t="n">
        <v>1</v>
      </c>
      <c r="H593" s="5" t="n">
        <v>0</v>
      </c>
      <c r="I593" s="5" t="n">
        <v>0</v>
      </c>
      <c r="J593" s="5" t="n">
        <v>0</v>
      </c>
      <c r="K593" s="5" t="n">
        <v>0</v>
      </c>
      <c r="L593" s="5" t="n">
        <v>0</v>
      </c>
      <c r="M593" s="5" t="n">
        <v>0</v>
      </c>
      <c r="N593" s="5" t="n">
        <v>0</v>
      </c>
      <c r="O593" s="5" t="n">
        <v>0</v>
      </c>
      <c r="P593" s="5" t="n">
        <v>0</v>
      </c>
      <c r="Q593" s="5" t="n">
        <v>0</v>
      </c>
      <c r="R593" s="5" t="n">
        <v>0</v>
      </c>
      <c r="S593" s="5" t="n">
        <v>0</v>
      </c>
      <c r="T593" s="5" t="n">
        <v>0</v>
      </c>
      <c r="U593" s="5" t="inlineStr">
        <is>
          <t>training</t>
        </is>
      </c>
      <c r="V593" s="5" t="n">
        <v>1</v>
      </c>
    </row>
    <row r="594">
      <c r="A594" s="5" t="n">
        <v>590</v>
      </c>
      <c r="B594" s="5" t="n">
        <v>1</v>
      </c>
      <c r="C594" s="6" t="n">
        <v>-0.7357010147163632</v>
      </c>
      <c r="D594" s="6" t="n">
        <v>-0.3515357381234599</v>
      </c>
      <c r="E594" s="6" t="n">
        <v>2.127360086273267</v>
      </c>
      <c r="F594" s="6" t="n">
        <v>0.01674764143977723</v>
      </c>
      <c r="G594" s="5" t="n">
        <v>1</v>
      </c>
      <c r="H594" s="5" t="n">
        <v>0</v>
      </c>
      <c r="I594" s="5" t="n">
        <v>0</v>
      </c>
      <c r="J594" s="5" t="n">
        <v>1</v>
      </c>
      <c r="K594" s="5" t="n">
        <v>0</v>
      </c>
      <c r="L594" s="5" t="n">
        <v>0</v>
      </c>
      <c r="M594" s="5" t="n">
        <v>0</v>
      </c>
      <c r="N594" s="5" t="n">
        <v>0</v>
      </c>
      <c r="O594" s="5" t="n">
        <v>0</v>
      </c>
      <c r="P594" s="5" t="n">
        <v>0</v>
      </c>
      <c r="Q594" s="5" t="n">
        <v>0</v>
      </c>
      <c r="R594" s="5" t="n">
        <v>0</v>
      </c>
      <c r="S594" s="5" t="n">
        <v>0</v>
      </c>
      <c r="T594" s="5" t="n">
        <v>1</v>
      </c>
      <c r="U594" s="5" t="inlineStr">
        <is>
          <t>training</t>
        </is>
      </c>
      <c r="V594" s="5" t="n">
        <v>1</v>
      </c>
    </row>
    <row r="595">
      <c r="A595" s="5" t="n">
        <v>591</v>
      </c>
      <c r="B595" s="5" t="n">
        <v>0</v>
      </c>
      <c r="C595" s="6" t="n">
        <v>-0.7357010147163632</v>
      </c>
      <c r="D595" s="6" t="n">
        <v>-1.002686130571253</v>
      </c>
      <c r="E595" s="6" t="n">
        <v>1.953414044877252</v>
      </c>
      <c r="F595" s="6" t="n">
        <v>0.9185437189662378</v>
      </c>
      <c r="G595" s="5" t="n">
        <v>1</v>
      </c>
      <c r="H595" s="5" t="n">
        <v>0</v>
      </c>
      <c r="I595" s="5" t="n">
        <v>0</v>
      </c>
      <c r="J595" s="5" t="n">
        <v>1</v>
      </c>
      <c r="K595" s="5" t="n">
        <v>0</v>
      </c>
      <c r="L595" s="5" t="n">
        <v>0</v>
      </c>
      <c r="M595" s="5" t="n">
        <v>0</v>
      </c>
      <c r="N595" s="5" t="n">
        <v>0</v>
      </c>
      <c r="O595" s="5" t="n">
        <v>0</v>
      </c>
      <c r="P595" s="5" t="n">
        <v>0</v>
      </c>
      <c r="Q595" s="5" t="n">
        <v>0</v>
      </c>
      <c r="R595" s="5" t="n">
        <v>0</v>
      </c>
      <c r="S595" s="5" t="n">
        <v>1</v>
      </c>
      <c r="T595" s="5" t="n">
        <v>0</v>
      </c>
      <c r="U595" s="5" t="inlineStr">
        <is>
          <t>testing</t>
        </is>
      </c>
      <c r="V595" s="5" t="n">
        <v>0</v>
      </c>
    </row>
    <row r="596">
      <c r="A596" s="5" t="n">
        <v>592</v>
      </c>
      <c r="B596" s="5" t="n">
        <v>0</v>
      </c>
      <c r="C596" s="6" t="n">
        <v>0.275406400796963</v>
      </c>
      <c r="D596" s="6" t="n">
        <v>-0.4498555985629171</v>
      </c>
      <c r="E596" s="6" t="n">
        <v>0.5618457137091294</v>
      </c>
      <c r="F596" s="6" t="n">
        <v>0.9185437189662378</v>
      </c>
      <c r="G596" s="5" t="n">
        <v>0</v>
      </c>
      <c r="H596" s="5" t="n">
        <v>1</v>
      </c>
      <c r="I596" s="5" t="n">
        <v>0</v>
      </c>
      <c r="J596" s="5" t="n">
        <v>0</v>
      </c>
      <c r="K596" s="5" t="n">
        <v>1</v>
      </c>
      <c r="L596" s="5" t="n">
        <v>0</v>
      </c>
      <c r="M596" s="5" t="n">
        <v>0</v>
      </c>
      <c r="N596" s="5" t="n">
        <v>0</v>
      </c>
      <c r="O596" s="5" t="n">
        <v>1</v>
      </c>
      <c r="P596" s="5" t="n">
        <v>1</v>
      </c>
      <c r="Q596" s="5" t="n">
        <v>0</v>
      </c>
      <c r="R596" s="5" t="n">
        <v>1</v>
      </c>
      <c r="S596" s="5" t="n">
        <v>0</v>
      </c>
      <c r="T596" s="5" t="n">
        <v>0</v>
      </c>
      <c r="U596" s="5" t="inlineStr">
        <is>
          <t>testing</t>
        </is>
      </c>
      <c r="V596" s="5" t="n">
        <v>0</v>
      </c>
    </row>
    <row r="597">
      <c r="A597" s="5" t="n">
        <v>593</v>
      </c>
      <c r="B597" s="5" t="n">
        <v>0</v>
      </c>
      <c r="C597" s="6" t="n">
        <v>0.02262954691863145</v>
      </c>
      <c r="D597" s="6" t="n">
        <v>-0.5873634460814463</v>
      </c>
      <c r="E597" s="6" t="n">
        <v>0.04000758952108359</v>
      </c>
      <c r="F597" s="6" t="n">
        <v>0.9185437189662378</v>
      </c>
      <c r="G597" s="5" t="n">
        <v>0</v>
      </c>
      <c r="H597" s="5" t="n">
        <v>0</v>
      </c>
      <c r="I597" s="5" t="n">
        <v>0</v>
      </c>
      <c r="J597" s="5" t="n">
        <v>0</v>
      </c>
      <c r="K597" s="5" t="n">
        <v>0</v>
      </c>
      <c r="L597" s="5" t="n">
        <v>0</v>
      </c>
      <c r="M597" s="5" t="n">
        <v>0</v>
      </c>
      <c r="N597" s="5" t="n">
        <v>1</v>
      </c>
      <c r="O597" s="5" t="n">
        <v>0</v>
      </c>
      <c r="P597" s="5" t="n">
        <v>0</v>
      </c>
      <c r="Q597" s="5" t="n">
        <v>0</v>
      </c>
      <c r="R597" s="5" t="n">
        <v>0</v>
      </c>
      <c r="S597" s="5" t="n">
        <v>0</v>
      </c>
      <c r="T597" s="5" t="n">
        <v>0</v>
      </c>
      <c r="U597" s="5" t="inlineStr">
        <is>
          <t>training</t>
        </is>
      </c>
      <c r="V597" s="5" t="n">
        <v>0</v>
      </c>
    </row>
    <row r="598">
      <c r="A598" s="5" t="n">
        <v>594</v>
      </c>
      <c r="B598" s="5" t="n">
        <v>1</v>
      </c>
      <c r="C598" s="6" t="n">
        <v>0.275406400796963</v>
      </c>
      <c r="D598" s="6" t="n">
        <v>-0.1863863640045139</v>
      </c>
      <c r="E598" s="6" t="n">
        <v>-1.351560741647039</v>
      </c>
      <c r="F598" s="6" t="n">
        <v>0.01674764143977723</v>
      </c>
      <c r="G598" s="5" t="n">
        <v>0</v>
      </c>
      <c r="H598" s="5" t="n">
        <v>1</v>
      </c>
      <c r="I598" s="5" t="n">
        <v>0</v>
      </c>
      <c r="J598" s="5" t="n">
        <v>0</v>
      </c>
      <c r="K598" s="5" t="n">
        <v>0</v>
      </c>
      <c r="L598" s="5" t="n">
        <v>0</v>
      </c>
      <c r="M598" s="5" t="n">
        <v>0</v>
      </c>
      <c r="N598" s="5" t="n">
        <v>0</v>
      </c>
      <c r="O598" s="5" t="n">
        <v>0</v>
      </c>
      <c r="P598" s="5" t="n">
        <v>1</v>
      </c>
      <c r="Q598" s="5" t="n">
        <v>0</v>
      </c>
      <c r="R598" s="5" t="n">
        <v>1</v>
      </c>
      <c r="S598" s="5" t="n">
        <v>0</v>
      </c>
      <c r="T598" s="5" t="n">
        <v>0</v>
      </c>
      <c r="U598" s="5" t="inlineStr">
        <is>
          <t>training</t>
        </is>
      </c>
      <c r="V598" s="5" t="n">
        <v>1</v>
      </c>
    </row>
    <row r="599">
      <c r="A599" s="5" t="n">
        <v>595</v>
      </c>
      <c r="B599" s="5" t="n">
        <v>1</v>
      </c>
      <c r="C599" s="6" t="n">
        <v>0.275406400796963</v>
      </c>
      <c r="D599" s="6" t="n">
        <v>-0.6622404928218159</v>
      </c>
      <c r="E599" s="6" t="n">
        <v>0.3878996723131141</v>
      </c>
      <c r="F599" s="6" t="n">
        <v>0.9185437189662378</v>
      </c>
      <c r="G599" s="5" t="n">
        <v>1</v>
      </c>
      <c r="H599" s="5" t="n">
        <v>0</v>
      </c>
      <c r="I599" s="5" t="n">
        <v>0</v>
      </c>
      <c r="J599" s="5" t="n">
        <v>0</v>
      </c>
      <c r="K599" s="5" t="n">
        <v>0</v>
      </c>
      <c r="L599" s="5" t="n">
        <v>1</v>
      </c>
      <c r="M599" s="5" t="n">
        <v>0</v>
      </c>
      <c r="N599" s="5" t="n">
        <v>0</v>
      </c>
      <c r="O599" s="5" t="n">
        <v>1</v>
      </c>
      <c r="P599" s="5" t="n">
        <v>0</v>
      </c>
      <c r="Q599" s="5" t="n">
        <v>0</v>
      </c>
      <c r="R599" s="5" t="n">
        <v>0</v>
      </c>
      <c r="S599" s="5" t="n">
        <v>0</v>
      </c>
      <c r="T599" s="5" t="n">
        <v>0</v>
      </c>
      <c r="U599" s="5" t="inlineStr">
        <is>
          <t>training</t>
        </is>
      </c>
      <c r="V599" s="5" t="n">
        <v>1</v>
      </c>
    </row>
    <row r="600">
      <c r="A600" s="5" t="n">
        <v>596</v>
      </c>
      <c r="B600" s="5" t="n">
        <v>1</v>
      </c>
      <c r="C600" s="6" t="n">
        <v>-1.241254722473026</v>
      </c>
      <c r="D600" s="6" t="n">
        <v>-0.8116446935607776</v>
      </c>
      <c r="E600" s="6" t="n">
        <v>-0.307884493270947</v>
      </c>
      <c r="F600" s="6" t="n">
        <v>-1.786844513613144</v>
      </c>
      <c r="G600" s="5" t="n">
        <v>0</v>
      </c>
      <c r="H600" s="5" t="n">
        <v>1</v>
      </c>
      <c r="I600" s="5" t="n">
        <v>0</v>
      </c>
      <c r="J600" s="5" t="n">
        <v>0</v>
      </c>
      <c r="K600" s="5" t="n">
        <v>0</v>
      </c>
      <c r="L600" s="5" t="n">
        <v>1</v>
      </c>
      <c r="M600" s="5" t="n">
        <v>1</v>
      </c>
      <c r="N600" s="5" t="n">
        <v>0</v>
      </c>
      <c r="O600" s="5" t="n">
        <v>0</v>
      </c>
      <c r="P600" s="5" t="n">
        <v>0</v>
      </c>
      <c r="Q600" s="5" t="n">
        <v>0</v>
      </c>
      <c r="R600" s="5" t="n">
        <v>1</v>
      </c>
      <c r="S600" s="5" t="n">
        <v>0</v>
      </c>
      <c r="T600" s="5" t="n">
        <v>0</v>
      </c>
      <c r="U600" s="5" t="inlineStr">
        <is>
          <t>testing</t>
        </is>
      </c>
      <c r="V600" s="5" t="n">
        <v>0</v>
      </c>
    </row>
    <row r="601">
      <c r="A601" s="5" t="n">
        <v>597</v>
      </c>
      <c r="B601" s="5" t="n">
        <v>1</v>
      </c>
      <c r="C601" s="6" t="n">
        <v>0.275406400796963</v>
      </c>
      <c r="D601" s="6" t="n">
        <v>-0.6328495025125119</v>
      </c>
      <c r="E601" s="6" t="n">
        <v>-1.090641679553016</v>
      </c>
      <c r="F601" s="6" t="n">
        <v>0.9185437189662378</v>
      </c>
      <c r="G601" s="5" t="n">
        <v>1</v>
      </c>
      <c r="H601" s="5" t="n">
        <v>0</v>
      </c>
      <c r="I601" s="5" t="n">
        <v>0</v>
      </c>
      <c r="J601" s="5" t="n">
        <v>0</v>
      </c>
      <c r="K601" s="5" t="n">
        <v>0</v>
      </c>
      <c r="L601" s="5" t="n">
        <v>0</v>
      </c>
      <c r="M601" s="5" t="n">
        <v>0</v>
      </c>
      <c r="N601" s="5" t="n">
        <v>0</v>
      </c>
      <c r="O601" s="5" t="n">
        <v>0</v>
      </c>
      <c r="P601" s="5" t="n">
        <v>1</v>
      </c>
      <c r="Q601" s="5" t="n">
        <v>0</v>
      </c>
      <c r="R601" s="5" t="n">
        <v>1</v>
      </c>
      <c r="S601" s="5" t="n">
        <v>0</v>
      </c>
      <c r="T601" s="5" t="n">
        <v>0</v>
      </c>
      <c r="U601" s="5" t="inlineStr">
        <is>
          <t>training</t>
        </is>
      </c>
      <c r="V601" s="5" t="n">
        <v>1</v>
      </c>
    </row>
    <row r="602">
      <c r="A602" s="5" t="n">
        <v>598</v>
      </c>
      <c r="B602" s="5" t="n">
        <v>1</v>
      </c>
      <c r="C602" s="6" t="n">
        <v>0.275406400796963</v>
      </c>
      <c r="D602" s="6" t="n">
        <v>0.3465002817225089</v>
      </c>
      <c r="E602" s="6" t="n">
        <v>0.04000758952108359</v>
      </c>
      <c r="F602" s="6" t="n">
        <v>-1.786844513613144</v>
      </c>
      <c r="G602" s="5" t="n">
        <v>0</v>
      </c>
      <c r="H602" s="5" t="n">
        <v>1</v>
      </c>
      <c r="I602" s="5" t="n">
        <v>0</v>
      </c>
      <c r="J602" s="5" t="n">
        <v>0</v>
      </c>
      <c r="K602" s="5" t="n">
        <v>0</v>
      </c>
      <c r="L602" s="5" t="n">
        <v>1</v>
      </c>
      <c r="M602" s="5" t="n">
        <v>0</v>
      </c>
      <c r="N602" s="5" t="n">
        <v>0</v>
      </c>
      <c r="O602" s="5" t="n">
        <v>0</v>
      </c>
      <c r="P602" s="5" t="n">
        <v>0</v>
      </c>
      <c r="Q602" s="5" t="n">
        <v>0</v>
      </c>
      <c r="R602" s="5" t="n">
        <v>0</v>
      </c>
      <c r="S602" s="5" t="n">
        <v>0</v>
      </c>
      <c r="T602" s="5" t="n">
        <v>0</v>
      </c>
      <c r="U602" s="5" t="inlineStr">
        <is>
          <t>training</t>
        </is>
      </c>
      <c r="V602" s="5" t="n">
        <v>1</v>
      </c>
    </row>
    <row r="603">
      <c r="A603" s="5" t="n">
        <v>599</v>
      </c>
      <c r="B603" s="5" t="n">
        <v>1</v>
      </c>
      <c r="C603" s="6" t="n">
        <v>-0.2301473069597001</v>
      </c>
      <c r="D603" s="6" t="n">
        <v>-0.1664424777232005</v>
      </c>
      <c r="E603" s="6" t="n">
        <v>-0.3948575139689546</v>
      </c>
      <c r="F603" s="6" t="n">
        <v>-0.8850484360866833</v>
      </c>
      <c r="G603" s="5" t="n">
        <v>0</v>
      </c>
      <c r="H603" s="5" t="n">
        <v>0</v>
      </c>
      <c r="I603" s="5" t="n">
        <v>0</v>
      </c>
      <c r="J603" s="5" t="n">
        <v>1</v>
      </c>
      <c r="K603" s="5" t="n">
        <v>0</v>
      </c>
      <c r="L603" s="5" t="n">
        <v>0</v>
      </c>
      <c r="M603" s="5" t="n">
        <v>0</v>
      </c>
      <c r="N603" s="5" t="n">
        <v>0</v>
      </c>
      <c r="O603" s="5" t="n">
        <v>0</v>
      </c>
      <c r="P603" s="5" t="n">
        <v>0</v>
      </c>
      <c r="Q603" s="5" t="n">
        <v>0</v>
      </c>
      <c r="R603" s="5" t="n">
        <v>1</v>
      </c>
      <c r="S603" s="5" t="n">
        <v>0</v>
      </c>
      <c r="T603" s="5" t="n">
        <v>0</v>
      </c>
      <c r="U603" s="5" t="inlineStr">
        <is>
          <t>training</t>
        </is>
      </c>
      <c r="V603" s="5" t="n">
        <v>1</v>
      </c>
    </row>
    <row r="604">
      <c r="A604" s="5" t="n">
        <v>600</v>
      </c>
      <c r="B604" s="5" t="n">
        <v>0</v>
      </c>
      <c r="C604" s="6" t="n">
        <v>0.275406400796963</v>
      </c>
      <c r="D604" s="6" t="n">
        <v>0.2142408253306411</v>
      </c>
      <c r="E604" s="6" t="n">
        <v>-0.307884493270947</v>
      </c>
      <c r="F604" s="6" t="n">
        <v>-1.786844513613144</v>
      </c>
      <c r="G604" s="5" t="n">
        <v>0</v>
      </c>
      <c r="H604" s="5" t="n">
        <v>0</v>
      </c>
      <c r="I604" s="5" t="n">
        <v>0</v>
      </c>
      <c r="J604" s="5" t="n">
        <v>0</v>
      </c>
      <c r="K604" s="5" t="n">
        <v>1</v>
      </c>
      <c r="L604" s="5" t="n">
        <v>0</v>
      </c>
      <c r="M604" s="5" t="n">
        <v>0</v>
      </c>
      <c r="N604" s="5" t="n">
        <v>0</v>
      </c>
      <c r="O604" s="5" t="n">
        <v>0</v>
      </c>
      <c r="P604" s="5" t="n">
        <v>0</v>
      </c>
      <c r="Q604" s="5" t="n">
        <v>1</v>
      </c>
      <c r="R604" s="5" t="n">
        <v>0</v>
      </c>
      <c r="S604" s="5" t="n">
        <v>0</v>
      </c>
      <c r="T604" s="5" t="n">
        <v>0</v>
      </c>
      <c r="U604" s="5" t="inlineStr">
        <is>
          <t>testing</t>
        </is>
      </c>
      <c r="V604" s="5" t="n">
        <v>0</v>
      </c>
    </row>
    <row r="605">
      <c r="A605" s="5" t="n">
        <v>601</v>
      </c>
      <c r="B605" s="5" t="n">
        <v>0</v>
      </c>
      <c r="C605" s="6" t="n">
        <v>-1.156995771180249</v>
      </c>
      <c r="D605" s="6" t="n">
        <v>-0.3224946405559334</v>
      </c>
      <c r="E605" s="6" t="n">
        <v>0.8227647758031523</v>
      </c>
      <c r="F605" s="6" t="n">
        <v>-1.786844513613144</v>
      </c>
      <c r="G605" s="5" t="n">
        <v>0</v>
      </c>
      <c r="H605" s="5" t="n">
        <v>1</v>
      </c>
      <c r="I605" s="5" t="n">
        <v>0</v>
      </c>
      <c r="J605" s="5" t="n">
        <v>0</v>
      </c>
      <c r="K605" s="5" t="n">
        <v>0</v>
      </c>
      <c r="L605" s="5" t="n">
        <v>0</v>
      </c>
      <c r="M605" s="5" t="n">
        <v>0</v>
      </c>
      <c r="N605" s="5" t="n">
        <v>0</v>
      </c>
      <c r="O605" s="5" t="n">
        <v>0</v>
      </c>
      <c r="P605" s="5" t="n">
        <v>0</v>
      </c>
      <c r="Q605" s="5" t="n">
        <v>0</v>
      </c>
      <c r="R605" s="5" t="n">
        <v>0</v>
      </c>
      <c r="S605" s="5" t="n">
        <v>1</v>
      </c>
      <c r="T605" s="5" t="n">
        <v>0</v>
      </c>
      <c r="U605" s="5" t="inlineStr">
        <is>
          <t>training</t>
        </is>
      </c>
      <c r="V605" s="5" t="n">
        <v>1</v>
      </c>
    </row>
    <row r="606">
      <c r="A606" s="5" t="n">
        <v>602</v>
      </c>
      <c r="B606" s="5" t="n">
        <v>1</v>
      </c>
      <c r="C606" s="6" t="n">
        <v>-0.9884778685946948</v>
      </c>
      <c r="D606" s="6" t="n">
        <v>-0.8161932992038842</v>
      </c>
      <c r="E606" s="6" t="n">
        <v>-0.4818305346669622</v>
      </c>
      <c r="F606" s="6" t="n">
        <v>0.9185437189662378</v>
      </c>
      <c r="G606" s="5" t="n">
        <v>0</v>
      </c>
      <c r="H606" s="5" t="n">
        <v>1</v>
      </c>
      <c r="I606" s="5" t="n">
        <v>0</v>
      </c>
      <c r="J606" s="5" t="n">
        <v>0</v>
      </c>
      <c r="K606" s="5" t="n">
        <v>0</v>
      </c>
      <c r="L606" s="5" t="n">
        <v>0</v>
      </c>
      <c r="M606" s="5" t="n">
        <v>0</v>
      </c>
      <c r="N606" s="5" t="n">
        <v>0</v>
      </c>
      <c r="O606" s="5" t="n">
        <v>0</v>
      </c>
      <c r="P606" s="5" t="n">
        <v>0</v>
      </c>
      <c r="Q606" s="5" t="n">
        <v>0</v>
      </c>
      <c r="R606" s="5" t="n">
        <v>0</v>
      </c>
      <c r="S606" s="5" t="n">
        <v>0</v>
      </c>
      <c r="T606" s="5" t="n">
        <v>1</v>
      </c>
      <c r="U606" s="5" t="inlineStr">
        <is>
          <t>training</t>
        </is>
      </c>
      <c r="V606" s="5" t="n">
        <v>1</v>
      </c>
    </row>
    <row r="607">
      <c r="A607" s="5" t="n">
        <v>603</v>
      </c>
      <c r="B607" s="5" t="n">
        <v>1</v>
      </c>
      <c r="C607" s="6" t="n">
        <v>0.275406400796963</v>
      </c>
      <c r="D607" s="6" t="n">
        <v>-0.4946418695104279</v>
      </c>
      <c r="E607" s="6" t="n">
        <v>-0.1339384518749317</v>
      </c>
      <c r="F607" s="6" t="n">
        <v>0.9185437189662378</v>
      </c>
      <c r="G607" s="5" t="n">
        <v>0</v>
      </c>
      <c r="H607" s="5" t="n">
        <v>1</v>
      </c>
      <c r="I607" s="5" t="n">
        <v>0</v>
      </c>
      <c r="J607" s="5" t="n">
        <v>0</v>
      </c>
      <c r="K607" s="5" t="n">
        <v>0</v>
      </c>
      <c r="L607" s="5" t="n">
        <v>1</v>
      </c>
      <c r="M607" s="5" t="n">
        <v>0</v>
      </c>
      <c r="N607" s="5" t="n">
        <v>0</v>
      </c>
      <c r="O607" s="5" t="n">
        <v>0</v>
      </c>
      <c r="P607" s="5" t="n">
        <v>0</v>
      </c>
      <c r="Q607" s="5" t="n">
        <v>1</v>
      </c>
      <c r="R607" s="5" t="n">
        <v>0</v>
      </c>
      <c r="S607" s="5" t="n">
        <v>0</v>
      </c>
      <c r="T607" s="5" t="n">
        <v>0</v>
      </c>
      <c r="U607" s="5" t="inlineStr">
        <is>
          <t>training</t>
        </is>
      </c>
      <c r="V607" s="5" t="n">
        <v>1</v>
      </c>
    </row>
    <row r="608">
      <c r="A608" s="5" t="n">
        <v>604</v>
      </c>
      <c r="B608" s="5" t="n">
        <v>1</v>
      </c>
      <c r="C608" s="6" t="n">
        <v>1.286513816310289</v>
      </c>
      <c r="D608" s="6" t="n">
        <v>0.03439595605704315</v>
      </c>
      <c r="E608" s="6" t="n">
        <v>-0.6557765760629775</v>
      </c>
      <c r="F608" s="6" t="n">
        <v>0.9185437189662378</v>
      </c>
      <c r="G608" s="5" t="n">
        <v>0</v>
      </c>
      <c r="H608" s="5" t="n">
        <v>0</v>
      </c>
      <c r="I608" s="5" t="n">
        <v>0</v>
      </c>
      <c r="J608" s="5" t="n">
        <v>0</v>
      </c>
      <c r="K608" s="5" t="n">
        <v>0</v>
      </c>
      <c r="L608" s="5" t="n">
        <v>0</v>
      </c>
      <c r="M608" s="5" t="n">
        <v>0</v>
      </c>
      <c r="N608" s="5" t="n">
        <v>0</v>
      </c>
      <c r="O608" s="5" t="n">
        <v>0</v>
      </c>
      <c r="P608" s="5" t="n">
        <v>0</v>
      </c>
      <c r="Q608" s="5" t="n">
        <v>0</v>
      </c>
      <c r="R608" s="5" t="n">
        <v>0</v>
      </c>
      <c r="S608" s="5" t="n">
        <v>0</v>
      </c>
      <c r="T608" s="5" t="n">
        <v>1</v>
      </c>
      <c r="U608" s="5" t="inlineStr">
        <is>
          <t>training</t>
        </is>
      </c>
      <c r="V608" s="5" t="n">
        <v>1</v>
      </c>
    </row>
    <row r="609">
      <c r="A609" s="5" t="n">
        <v>605</v>
      </c>
      <c r="B609" s="5" t="n">
        <v>0</v>
      </c>
      <c r="C609" s="6" t="n">
        <v>-0.9042189173019176</v>
      </c>
      <c r="D609" s="6" t="n">
        <v>-0.6912815903893424</v>
      </c>
      <c r="E609" s="6" t="n">
        <v>-1.090641679553016</v>
      </c>
      <c r="F609" s="6" t="n">
        <v>0.9185437189662378</v>
      </c>
      <c r="G609" s="5" t="n">
        <v>0</v>
      </c>
      <c r="H609" s="5" t="n">
        <v>0</v>
      </c>
      <c r="I609" s="5" t="n">
        <v>1</v>
      </c>
      <c r="J609" s="5" t="n">
        <v>0</v>
      </c>
      <c r="K609" s="5" t="n">
        <v>0</v>
      </c>
      <c r="L609" s="5" t="n">
        <v>0</v>
      </c>
      <c r="M609" s="5" t="n">
        <v>0</v>
      </c>
      <c r="N609" s="5" t="n">
        <v>0</v>
      </c>
      <c r="O609" s="5" t="n">
        <v>0</v>
      </c>
      <c r="P609" s="5" t="n">
        <v>0</v>
      </c>
      <c r="Q609" s="5" t="n">
        <v>0</v>
      </c>
      <c r="R609" s="5" t="n">
        <v>0</v>
      </c>
      <c r="S609" s="5" t="n">
        <v>0</v>
      </c>
      <c r="T609" s="5" t="n">
        <v>1</v>
      </c>
      <c r="U609" s="5" t="inlineStr">
        <is>
          <t>training</t>
        </is>
      </c>
      <c r="V609" s="5" t="n">
        <v>1</v>
      </c>
    </row>
    <row r="610">
      <c r="A610" s="5" t="n">
        <v>606</v>
      </c>
      <c r="B610" s="5" t="n">
        <v>0</v>
      </c>
      <c r="C610" s="6" t="n">
        <v>0.275406400796963</v>
      </c>
      <c r="D610" s="6" t="n">
        <v>-0.1478981624089968</v>
      </c>
      <c r="E610" s="6" t="n">
        <v>-1.177614700251023</v>
      </c>
      <c r="F610" s="6" t="n">
        <v>0.9185437189662378</v>
      </c>
      <c r="G610" s="5" t="n">
        <v>1</v>
      </c>
      <c r="H610" s="5" t="n">
        <v>0</v>
      </c>
      <c r="I610" s="5" t="n">
        <v>0</v>
      </c>
      <c r="J610" s="5" t="n">
        <v>0</v>
      </c>
      <c r="K610" s="5" t="n">
        <v>0</v>
      </c>
      <c r="L610" s="5" t="n">
        <v>1</v>
      </c>
      <c r="M610" s="5" t="n">
        <v>1</v>
      </c>
      <c r="N610" s="5" t="n">
        <v>0</v>
      </c>
      <c r="O610" s="5" t="n">
        <v>0</v>
      </c>
      <c r="P610" s="5" t="n">
        <v>0</v>
      </c>
      <c r="Q610" s="5" t="n">
        <v>0</v>
      </c>
      <c r="R610" s="5" t="n">
        <v>0</v>
      </c>
      <c r="S610" s="5" t="n">
        <v>0</v>
      </c>
      <c r="T610" s="5" t="n">
        <v>1</v>
      </c>
      <c r="U610" s="5" t="inlineStr">
        <is>
          <t>training</t>
        </is>
      </c>
      <c r="V610" s="5" t="n">
        <v>1</v>
      </c>
    </row>
    <row r="611">
      <c r="A611" s="5" t="n">
        <v>607</v>
      </c>
      <c r="B611" s="5" t="n">
        <v>0</v>
      </c>
      <c r="C611" s="6" t="n">
        <v>0.275406400796963</v>
      </c>
      <c r="D611" s="6" t="n">
        <v>0.4462197131290758</v>
      </c>
      <c r="E611" s="6" t="n">
        <v>3.344982376045374</v>
      </c>
      <c r="F611" s="6" t="n">
        <v>0.01674764143977723</v>
      </c>
      <c r="G611" s="5" t="n">
        <v>0</v>
      </c>
      <c r="H611" s="5" t="n">
        <v>0</v>
      </c>
      <c r="I611" s="5" t="n">
        <v>0</v>
      </c>
      <c r="J611" s="5" t="n">
        <v>1</v>
      </c>
      <c r="K611" s="5" t="n">
        <v>0</v>
      </c>
      <c r="L611" s="5" t="n">
        <v>0</v>
      </c>
      <c r="M611" s="5" t="n">
        <v>0</v>
      </c>
      <c r="N611" s="5" t="n">
        <v>0</v>
      </c>
      <c r="O611" s="5" t="n">
        <v>0</v>
      </c>
      <c r="P611" s="5" t="n">
        <v>0</v>
      </c>
      <c r="Q611" s="5" t="n">
        <v>0</v>
      </c>
      <c r="R611" s="5" t="n">
        <v>0</v>
      </c>
      <c r="S611" s="5" t="n">
        <v>0</v>
      </c>
      <c r="T611" s="5" t="n">
        <v>0</v>
      </c>
      <c r="U611" s="5" t="inlineStr">
        <is>
          <t>training</t>
        </is>
      </c>
      <c r="V611" s="5" t="n">
        <v>0</v>
      </c>
    </row>
    <row r="612">
      <c r="A612" s="5" t="n">
        <v>608</v>
      </c>
      <c r="B612" s="5" t="n">
        <v>1</v>
      </c>
      <c r="C612" s="6" t="n">
        <v>1.286513816310289</v>
      </c>
      <c r="D612" s="6" t="n">
        <v>-0.202831322868053</v>
      </c>
      <c r="E612" s="6" t="n">
        <v>1.257629879293191</v>
      </c>
      <c r="F612" s="6" t="n">
        <v>0.9185437189662378</v>
      </c>
      <c r="G612" s="5" t="n">
        <v>0</v>
      </c>
      <c r="H612" s="5" t="n">
        <v>1</v>
      </c>
      <c r="I612" s="5" t="n">
        <v>0</v>
      </c>
      <c r="J612" s="5" t="n">
        <v>0</v>
      </c>
      <c r="K612" s="5" t="n">
        <v>0</v>
      </c>
      <c r="L612" s="5" t="n">
        <v>0</v>
      </c>
      <c r="M612" s="5" t="n">
        <v>1</v>
      </c>
      <c r="N612" s="5" t="n">
        <v>0</v>
      </c>
      <c r="O612" s="5" t="n">
        <v>0</v>
      </c>
      <c r="P612" s="5" t="n">
        <v>0</v>
      </c>
      <c r="Q612" s="5" t="n">
        <v>1</v>
      </c>
      <c r="R612" s="5" t="n">
        <v>0</v>
      </c>
      <c r="S612" s="5" t="n">
        <v>1</v>
      </c>
      <c r="T612" s="5" t="n">
        <v>0</v>
      </c>
      <c r="U612" s="5" t="inlineStr">
        <is>
          <t>testing</t>
        </is>
      </c>
      <c r="V612" s="5" t="n">
        <v>0</v>
      </c>
    </row>
    <row r="613">
      <c r="A613" s="5" t="n">
        <v>609</v>
      </c>
      <c r="B613" s="5" t="n">
        <v>0</v>
      </c>
      <c r="C613" s="6" t="n">
        <v>-0.2301473069597001</v>
      </c>
      <c r="D613" s="6" t="n">
        <v>-0.4197648227700583</v>
      </c>
      <c r="E613" s="6" t="n">
        <v>-0.2209114725729393</v>
      </c>
      <c r="F613" s="6" t="n">
        <v>0.9185437189662378</v>
      </c>
      <c r="G613" s="5" t="n">
        <v>0</v>
      </c>
      <c r="H613" s="5" t="n">
        <v>0</v>
      </c>
      <c r="I613" s="5" t="n">
        <v>0</v>
      </c>
      <c r="J613" s="5" t="n">
        <v>0</v>
      </c>
      <c r="K613" s="5" t="n">
        <v>0</v>
      </c>
      <c r="L613" s="5" t="n">
        <v>0</v>
      </c>
      <c r="M613" s="5" t="n">
        <v>0</v>
      </c>
      <c r="N613" s="5" t="n">
        <v>0</v>
      </c>
      <c r="O613" s="5" t="n">
        <v>0</v>
      </c>
      <c r="P613" s="5" t="n">
        <v>0</v>
      </c>
      <c r="Q613" s="5" t="n">
        <v>0</v>
      </c>
      <c r="R613" s="5" t="n">
        <v>0</v>
      </c>
      <c r="S613" s="5" t="n">
        <v>1</v>
      </c>
      <c r="T613" s="5" t="n">
        <v>0</v>
      </c>
      <c r="U613" s="5" t="inlineStr">
        <is>
          <t>training</t>
        </is>
      </c>
      <c r="V613" s="5" t="n">
        <v>0</v>
      </c>
    </row>
    <row r="614">
      <c r="A614" s="5" t="n">
        <v>610</v>
      </c>
      <c r="B614" s="5" t="n">
        <v>0</v>
      </c>
      <c r="C614" s="6" t="n">
        <v>-0.4829241608380317</v>
      </c>
      <c r="D614" s="6" t="n">
        <v>-0.6825342718449067</v>
      </c>
      <c r="E614" s="6" t="n">
        <v>0.8227647758031523</v>
      </c>
      <c r="F614" s="6" t="n">
        <v>0.9185437189662378</v>
      </c>
      <c r="G614" s="5" t="n">
        <v>0</v>
      </c>
      <c r="H614" s="5" t="n">
        <v>0</v>
      </c>
      <c r="I614" s="5" t="n">
        <v>0</v>
      </c>
      <c r="J614" s="5" t="n">
        <v>0</v>
      </c>
      <c r="K614" s="5" t="n">
        <v>0</v>
      </c>
      <c r="L614" s="5" t="n">
        <v>0</v>
      </c>
      <c r="M614" s="5" t="n">
        <v>0</v>
      </c>
      <c r="N614" s="5" t="n">
        <v>0</v>
      </c>
      <c r="O614" s="5" t="n">
        <v>1</v>
      </c>
      <c r="P614" s="5" t="n">
        <v>0</v>
      </c>
      <c r="Q614" s="5" t="n">
        <v>1</v>
      </c>
      <c r="R614" s="5" t="n">
        <v>1</v>
      </c>
      <c r="S614" s="5" t="n">
        <v>0</v>
      </c>
      <c r="T614" s="5" t="n">
        <v>0</v>
      </c>
      <c r="U614" s="5" t="inlineStr">
        <is>
          <t>testing</t>
        </is>
      </c>
      <c r="V614" s="5" t="n">
        <v>0</v>
      </c>
    </row>
    <row r="615">
      <c r="A615" s="5" t="n">
        <v>611</v>
      </c>
      <c r="B615" s="5" t="n">
        <v>1</v>
      </c>
      <c r="C615" s="6" t="n">
        <v>-0.7357010147163632</v>
      </c>
      <c r="D615" s="6" t="n">
        <v>-0.8781243144984889</v>
      </c>
      <c r="E615" s="6" t="n">
        <v>-1.177614700251023</v>
      </c>
      <c r="F615" s="6" t="n">
        <v>0.9185437189662378</v>
      </c>
      <c r="G615" s="5" t="n">
        <v>1</v>
      </c>
      <c r="H615" s="5" t="n">
        <v>0</v>
      </c>
      <c r="I615" s="5" t="n">
        <v>0</v>
      </c>
      <c r="J615" s="5" t="n">
        <v>0</v>
      </c>
      <c r="K615" s="5" t="n">
        <v>0</v>
      </c>
      <c r="L615" s="5" t="n">
        <v>0</v>
      </c>
      <c r="M615" s="5" t="n">
        <v>1</v>
      </c>
      <c r="N615" s="5" t="n">
        <v>0</v>
      </c>
      <c r="O615" s="5" t="n">
        <v>0</v>
      </c>
      <c r="P615" s="5" t="n">
        <v>0</v>
      </c>
      <c r="Q615" s="5" t="n">
        <v>0</v>
      </c>
      <c r="R615" s="5" t="n">
        <v>0</v>
      </c>
      <c r="S615" s="5" t="n">
        <v>0</v>
      </c>
      <c r="T615" s="5" t="n">
        <v>0</v>
      </c>
      <c r="U615" s="5" t="inlineStr">
        <is>
          <t>testing</t>
        </is>
      </c>
      <c r="V615" s="5" t="n">
        <v>0</v>
      </c>
    </row>
    <row r="616">
      <c r="A616" s="5" t="n">
        <v>612</v>
      </c>
      <c r="B616" s="5" t="n">
        <v>1</v>
      </c>
      <c r="C616" s="6" t="n">
        <v>-0.9042189173019176</v>
      </c>
      <c r="D616" s="6" t="n">
        <v>-0.7035278363515524</v>
      </c>
      <c r="E616" s="6" t="n">
        <v>1.083683837897175</v>
      </c>
      <c r="F616" s="6" t="n">
        <v>-1.786844513613144</v>
      </c>
      <c r="G616" s="5" t="n">
        <v>0</v>
      </c>
      <c r="H616" s="5" t="n">
        <v>0</v>
      </c>
      <c r="I616" s="5" t="n">
        <v>1</v>
      </c>
      <c r="J616" s="5" t="n">
        <v>0</v>
      </c>
      <c r="K616" s="5" t="n">
        <v>0</v>
      </c>
      <c r="L616" s="5" t="n">
        <v>0</v>
      </c>
      <c r="M616" s="5" t="n">
        <v>1</v>
      </c>
      <c r="N616" s="5" t="n">
        <v>0</v>
      </c>
      <c r="O616" s="5" t="n">
        <v>0</v>
      </c>
      <c r="P616" s="5" t="n">
        <v>0</v>
      </c>
      <c r="Q616" s="5" t="n">
        <v>1</v>
      </c>
      <c r="R616" s="5" t="n">
        <v>1</v>
      </c>
      <c r="S616" s="5" t="n">
        <v>0</v>
      </c>
      <c r="T616" s="5" t="n">
        <v>0</v>
      </c>
      <c r="U616" s="5" t="inlineStr">
        <is>
          <t>testing</t>
        </is>
      </c>
      <c r="V616" s="5" t="n">
        <v>0</v>
      </c>
    </row>
    <row r="617">
      <c r="A617" s="5" t="n">
        <v>613</v>
      </c>
      <c r="B617" s="5" t="n">
        <v>0</v>
      </c>
      <c r="C617" s="6" t="n">
        <v>0.02262954691863145</v>
      </c>
      <c r="D617" s="6" t="n">
        <v>0.03719509799126257</v>
      </c>
      <c r="E617" s="6" t="n">
        <v>-0.5688035553649698</v>
      </c>
      <c r="F617" s="6" t="n">
        <v>0.9185437189662378</v>
      </c>
      <c r="G617" s="5" t="n">
        <v>1</v>
      </c>
      <c r="H617" s="5" t="n">
        <v>0</v>
      </c>
      <c r="I617" s="5" t="n">
        <v>0</v>
      </c>
      <c r="J617" s="5" t="n">
        <v>0</v>
      </c>
      <c r="K617" s="5" t="n">
        <v>0</v>
      </c>
      <c r="L617" s="5" t="n">
        <v>0</v>
      </c>
      <c r="M617" s="5" t="n">
        <v>0</v>
      </c>
      <c r="N617" s="5" t="n">
        <v>1</v>
      </c>
      <c r="O617" s="5" t="n">
        <v>0</v>
      </c>
      <c r="P617" s="5" t="n">
        <v>0</v>
      </c>
      <c r="Q617" s="5" t="n">
        <v>0</v>
      </c>
      <c r="R617" s="5" t="n">
        <v>0</v>
      </c>
      <c r="S617" s="5" t="n">
        <v>1</v>
      </c>
      <c r="T617" s="5" t="n">
        <v>0</v>
      </c>
      <c r="U617" s="5" t="inlineStr">
        <is>
          <t>training</t>
        </is>
      </c>
      <c r="V617" s="5" t="n">
        <v>1</v>
      </c>
    </row>
    <row r="618">
      <c r="A618" s="5" t="n">
        <v>614</v>
      </c>
      <c r="B618" s="5" t="n">
        <v>0</v>
      </c>
      <c r="C618" s="6" t="n">
        <v>0.275406400796963</v>
      </c>
      <c r="D618" s="6" t="n">
        <v>0.1334156019800553</v>
      </c>
      <c r="E618" s="6" t="n">
        <v>-1.177614700251023</v>
      </c>
      <c r="F618" s="6" t="n">
        <v>-1.786844513613144</v>
      </c>
      <c r="G618" s="5" t="n">
        <v>1</v>
      </c>
      <c r="H618" s="5" t="n">
        <v>0</v>
      </c>
      <c r="I618" s="5" t="n">
        <v>0</v>
      </c>
      <c r="J618" s="5" t="n">
        <v>0</v>
      </c>
      <c r="K618" s="5" t="n">
        <v>0</v>
      </c>
      <c r="L618" s="5" t="n">
        <v>1</v>
      </c>
      <c r="M618" s="5" t="n">
        <v>0</v>
      </c>
      <c r="N618" s="5" t="n">
        <v>0</v>
      </c>
      <c r="O618" s="5" t="n">
        <v>0</v>
      </c>
      <c r="P618" s="5" t="n">
        <v>1</v>
      </c>
      <c r="Q618" s="5" t="n">
        <v>0</v>
      </c>
      <c r="R618" s="5" t="n">
        <v>1</v>
      </c>
      <c r="S618" s="5" t="n">
        <v>0</v>
      </c>
      <c r="T618" s="5" t="n">
        <v>0</v>
      </c>
      <c r="U618" s="5" t="inlineStr">
        <is>
          <t>testing</t>
        </is>
      </c>
      <c r="V618" s="5" t="n">
        <v>0</v>
      </c>
    </row>
    <row r="619">
      <c r="A619" s="5" t="n">
        <v>615</v>
      </c>
      <c r="B619" s="5" t="n">
        <v>1</v>
      </c>
      <c r="C619" s="6" t="n">
        <v>-0.2301473069597001</v>
      </c>
      <c r="D619" s="6" t="n">
        <v>-0.5047887590219733</v>
      </c>
      <c r="E619" s="6" t="n">
        <v>-1.177614700251023</v>
      </c>
      <c r="F619" s="6" t="n">
        <v>0.9185437189662378</v>
      </c>
      <c r="G619" s="5" t="n">
        <v>0</v>
      </c>
      <c r="H619" s="5" t="n">
        <v>0</v>
      </c>
      <c r="I619" s="5" t="n">
        <v>0</v>
      </c>
      <c r="J619" s="5" t="n">
        <v>0</v>
      </c>
      <c r="K619" s="5" t="n">
        <v>1</v>
      </c>
      <c r="L619" s="5" t="n">
        <v>0</v>
      </c>
      <c r="M619" s="5" t="n">
        <v>0</v>
      </c>
      <c r="N619" s="5" t="n">
        <v>0</v>
      </c>
      <c r="O619" s="5" t="n">
        <v>0</v>
      </c>
      <c r="P619" s="5" t="n">
        <v>0</v>
      </c>
      <c r="Q619" s="5" t="n">
        <v>0</v>
      </c>
      <c r="R619" s="5" t="n">
        <v>0</v>
      </c>
      <c r="S619" s="5" t="n">
        <v>0</v>
      </c>
      <c r="T619" s="5" t="n">
        <v>1</v>
      </c>
      <c r="U619" s="5" t="inlineStr">
        <is>
          <t>testing</t>
        </is>
      </c>
      <c r="V619" s="5" t="n">
        <v>0</v>
      </c>
    </row>
    <row r="620">
      <c r="A620" s="5" t="n">
        <v>616</v>
      </c>
      <c r="B620" s="5" t="n">
        <v>0</v>
      </c>
      <c r="C620" s="6" t="n">
        <v>2.297621231823615</v>
      </c>
      <c r="D620" s="6" t="n">
        <v>3.132696184496168</v>
      </c>
      <c r="E620" s="6" t="n">
        <v>1.083683837897175</v>
      </c>
      <c r="F620" s="6" t="n">
        <v>-0.8850484360866833</v>
      </c>
      <c r="G620" s="5" t="n">
        <v>0</v>
      </c>
      <c r="H620" s="5" t="n">
        <v>1</v>
      </c>
      <c r="I620" s="5" t="n">
        <v>0</v>
      </c>
      <c r="J620" s="5" t="n">
        <v>0</v>
      </c>
      <c r="K620" s="5" t="n">
        <v>0</v>
      </c>
      <c r="L620" s="5" t="n">
        <v>1</v>
      </c>
      <c r="M620" s="5" t="n">
        <v>0</v>
      </c>
      <c r="N620" s="5" t="n">
        <v>0</v>
      </c>
      <c r="O620" s="5" t="n">
        <v>1</v>
      </c>
      <c r="P620" s="5" t="n">
        <v>0</v>
      </c>
      <c r="Q620" s="5" t="n">
        <v>0</v>
      </c>
      <c r="R620" s="5" t="n">
        <v>0</v>
      </c>
      <c r="S620" s="5" t="n">
        <v>0</v>
      </c>
      <c r="T620" s="5" t="n">
        <v>0</v>
      </c>
      <c r="U620" s="5" t="inlineStr">
        <is>
          <t>training</t>
        </is>
      </c>
      <c r="V620" s="5" t="n">
        <v>1</v>
      </c>
    </row>
    <row r="621">
      <c r="A621" s="5" t="n">
        <v>617</v>
      </c>
      <c r="B621" s="5" t="n">
        <v>0</v>
      </c>
      <c r="C621" s="6" t="n">
        <v>3.308728647336942</v>
      </c>
      <c r="D621" s="6" t="n">
        <v>2.066573000300345</v>
      </c>
      <c r="E621" s="6" t="n">
        <v>-0.7427495967609852</v>
      </c>
      <c r="F621" s="6" t="n">
        <v>-0.8850484360866833</v>
      </c>
      <c r="G621" s="5" t="n">
        <v>0</v>
      </c>
      <c r="H621" s="5" t="n">
        <v>1</v>
      </c>
      <c r="I621" s="5" t="n">
        <v>0</v>
      </c>
      <c r="J621" s="5" t="n">
        <v>0</v>
      </c>
      <c r="K621" s="5" t="n">
        <v>1</v>
      </c>
      <c r="L621" s="5" t="n">
        <v>0</v>
      </c>
      <c r="M621" s="5" t="n">
        <v>0</v>
      </c>
      <c r="N621" s="5" t="n">
        <v>0</v>
      </c>
      <c r="O621" s="5" t="n">
        <v>1</v>
      </c>
      <c r="P621" s="5" t="n">
        <v>0</v>
      </c>
      <c r="Q621" s="5" t="n">
        <v>1</v>
      </c>
      <c r="R621" s="5" t="n">
        <v>0</v>
      </c>
      <c r="S621" s="5" t="n">
        <v>1</v>
      </c>
      <c r="T621" s="5" t="n">
        <v>0</v>
      </c>
      <c r="U621" s="5" t="inlineStr">
        <is>
          <t>training</t>
        </is>
      </c>
      <c r="V621" s="5" t="n">
        <v>0</v>
      </c>
    </row>
    <row r="622">
      <c r="A622" s="5" t="n">
        <v>618</v>
      </c>
      <c r="B622" s="5" t="n">
        <v>0</v>
      </c>
      <c r="C622" s="6" t="n">
        <v>-1.241254722473026</v>
      </c>
      <c r="D622" s="6" t="n">
        <v>0.1488108826182621</v>
      </c>
      <c r="E622" s="6" t="n">
        <v>0.1269806102190912</v>
      </c>
      <c r="F622" s="6" t="n">
        <v>-1.786844513613144</v>
      </c>
      <c r="G622" s="5" t="n">
        <v>1</v>
      </c>
      <c r="H622" s="5" t="n">
        <v>0</v>
      </c>
      <c r="I622" s="5" t="n">
        <v>0</v>
      </c>
      <c r="J622" s="5" t="n">
        <v>1</v>
      </c>
      <c r="K622" s="5" t="n">
        <v>0</v>
      </c>
      <c r="L622" s="5" t="n">
        <v>0</v>
      </c>
      <c r="M622" s="5" t="n">
        <v>0</v>
      </c>
      <c r="N622" s="5" t="n">
        <v>0</v>
      </c>
      <c r="O622" s="5" t="n">
        <v>0</v>
      </c>
      <c r="P622" s="5" t="n">
        <v>1</v>
      </c>
      <c r="Q622" s="5" t="n">
        <v>0</v>
      </c>
      <c r="R622" s="5" t="n">
        <v>1</v>
      </c>
      <c r="S622" s="5" t="n">
        <v>0</v>
      </c>
      <c r="T622" s="5" t="n">
        <v>0</v>
      </c>
      <c r="U622" s="5" t="inlineStr">
        <is>
          <t>testing</t>
        </is>
      </c>
      <c r="V622" s="5" t="n">
        <v>0</v>
      </c>
    </row>
    <row r="623">
      <c r="A623" s="5" t="n">
        <v>619</v>
      </c>
      <c r="B623" s="5" t="n">
        <v>1</v>
      </c>
      <c r="C623" s="6" t="n">
        <v>0.7809601085536261</v>
      </c>
      <c r="D623" s="6" t="n">
        <v>0.06658608830056652</v>
      </c>
      <c r="E623" s="6" t="n">
        <v>-1.264587720949031</v>
      </c>
      <c r="F623" s="6" t="n">
        <v>-0.8850484360866833</v>
      </c>
      <c r="G623" s="5" t="n">
        <v>0</v>
      </c>
      <c r="H623" s="5" t="n">
        <v>1</v>
      </c>
      <c r="I623" s="5" t="n">
        <v>0</v>
      </c>
      <c r="J623" s="5" t="n">
        <v>0</v>
      </c>
      <c r="K623" s="5" t="n">
        <v>0</v>
      </c>
      <c r="L623" s="5" t="n">
        <v>0</v>
      </c>
      <c r="M623" s="5" t="n">
        <v>1</v>
      </c>
      <c r="N623" s="5" t="n">
        <v>0</v>
      </c>
      <c r="O623" s="5" t="n">
        <v>0</v>
      </c>
      <c r="P623" s="5" t="n">
        <v>1</v>
      </c>
      <c r="Q623" s="5" t="n">
        <v>0</v>
      </c>
      <c r="R623" s="5" t="n">
        <v>0</v>
      </c>
      <c r="S623" s="5" t="n">
        <v>0</v>
      </c>
      <c r="T623" s="5" t="n">
        <v>1</v>
      </c>
      <c r="U623" s="5" t="inlineStr">
        <is>
          <t>testing</t>
        </is>
      </c>
      <c r="V623" s="5" t="n">
        <v>0</v>
      </c>
    </row>
    <row r="624">
      <c r="A624" s="5" t="n">
        <v>620</v>
      </c>
      <c r="B624" s="5" t="n">
        <v>0</v>
      </c>
      <c r="C624" s="6" t="n">
        <v>-0.7357010147163632</v>
      </c>
      <c r="D624" s="6" t="n">
        <v>-0.9134634814180091</v>
      </c>
      <c r="E624" s="6" t="n">
        <v>1.170656858595183</v>
      </c>
      <c r="F624" s="6" t="n">
        <v>0.9185437189662378</v>
      </c>
      <c r="G624" s="5" t="n">
        <v>0</v>
      </c>
      <c r="H624" s="5" t="n">
        <v>0</v>
      </c>
      <c r="I624" s="5" t="n">
        <v>0</v>
      </c>
      <c r="J624" s="5" t="n">
        <v>0</v>
      </c>
      <c r="K624" s="5" t="n">
        <v>0</v>
      </c>
      <c r="L624" s="5" t="n">
        <v>0</v>
      </c>
      <c r="M624" s="5" t="n">
        <v>0</v>
      </c>
      <c r="N624" s="5" t="n">
        <v>0</v>
      </c>
      <c r="O624" s="5" t="n">
        <v>0</v>
      </c>
      <c r="P624" s="5" t="n">
        <v>0</v>
      </c>
      <c r="Q624" s="5" t="n">
        <v>0</v>
      </c>
      <c r="R624" s="5" t="n">
        <v>1</v>
      </c>
      <c r="S624" s="5" t="n">
        <v>0</v>
      </c>
      <c r="T624" s="5" t="n">
        <v>0</v>
      </c>
      <c r="U624" s="5" t="inlineStr">
        <is>
          <t>training</t>
        </is>
      </c>
      <c r="V624" s="5" t="n">
        <v>1</v>
      </c>
    </row>
    <row r="625">
      <c r="A625" s="5" t="n">
        <v>621</v>
      </c>
      <c r="B625" s="5" t="n">
        <v>0</v>
      </c>
      <c r="C625" s="6" t="n">
        <v>0.02262954691863145</v>
      </c>
      <c r="D625" s="6" t="n">
        <v>0.1404134568156038</v>
      </c>
      <c r="E625" s="6" t="n">
        <v>-0.7427495967609852</v>
      </c>
      <c r="F625" s="6" t="n">
        <v>-0.8850484360866833</v>
      </c>
      <c r="G625" s="5" t="n">
        <v>0</v>
      </c>
      <c r="H625" s="5" t="n">
        <v>1</v>
      </c>
      <c r="I625" s="5" t="n">
        <v>0</v>
      </c>
      <c r="J625" s="5" t="n">
        <v>1</v>
      </c>
      <c r="K625" s="5" t="n">
        <v>0</v>
      </c>
      <c r="L625" s="5" t="n">
        <v>0</v>
      </c>
      <c r="M625" s="5" t="n">
        <v>0</v>
      </c>
      <c r="N625" s="5" t="n">
        <v>0</v>
      </c>
      <c r="O625" s="5" t="n">
        <v>0</v>
      </c>
      <c r="P625" s="5" t="n">
        <v>0</v>
      </c>
      <c r="Q625" s="5" t="n">
        <v>0</v>
      </c>
      <c r="R625" s="5" t="n">
        <v>0</v>
      </c>
      <c r="S625" s="5" t="n">
        <v>0</v>
      </c>
      <c r="T625" s="5" t="n">
        <v>0</v>
      </c>
      <c r="U625" s="5" t="inlineStr">
        <is>
          <t>training</t>
        </is>
      </c>
      <c r="V625" s="5" t="n">
        <v>0</v>
      </c>
    </row>
    <row r="626">
      <c r="A626" s="5" t="n">
        <v>622</v>
      </c>
      <c r="B626" s="5" t="n">
        <v>1</v>
      </c>
      <c r="C626" s="6" t="n">
        <v>-0.2301473069597001</v>
      </c>
      <c r="D626" s="6" t="n">
        <v>-0.6020589412360983</v>
      </c>
      <c r="E626" s="6" t="n">
        <v>-0.307884493270947</v>
      </c>
      <c r="F626" s="6" t="n">
        <v>0.01674764143977723</v>
      </c>
      <c r="G626" s="5" t="n">
        <v>0</v>
      </c>
      <c r="H626" s="5" t="n">
        <v>0</v>
      </c>
      <c r="I626" s="5" t="n">
        <v>0</v>
      </c>
      <c r="J626" s="5" t="n">
        <v>1</v>
      </c>
      <c r="K626" s="5" t="n">
        <v>0</v>
      </c>
      <c r="L626" s="5" t="n">
        <v>0</v>
      </c>
      <c r="M626" s="5" t="n">
        <v>0</v>
      </c>
      <c r="N626" s="5" t="n">
        <v>0</v>
      </c>
      <c r="O626" s="5" t="n">
        <v>0</v>
      </c>
      <c r="P626" s="5" t="n">
        <v>0</v>
      </c>
      <c r="Q626" s="5" t="n">
        <v>0</v>
      </c>
      <c r="R626" s="5" t="n">
        <v>1</v>
      </c>
      <c r="S626" s="5" t="n">
        <v>0</v>
      </c>
      <c r="T626" s="5" t="n">
        <v>0</v>
      </c>
      <c r="U626" s="5" t="inlineStr">
        <is>
          <t>training</t>
        </is>
      </c>
      <c r="V626" s="5" t="n">
        <v>1</v>
      </c>
    </row>
    <row r="627">
      <c r="A627" s="5" t="n">
        <v>623</v>
      </c>
      <c r="B627" s="5" t="n">
        <v>1</v>
      </c>
      <c r="C627" s="6" t="n">
        <v>2.297621231823615</v>
      </c>
      <c r="D627" s="6" t="n">
        <v>0.2320853551612899</v>
      </c>
      <c r="E627" s="6" t="n">
        <v>0.2139536309170988</v>
      </c>
      <c r="F627" s="6" t="n">
        <v>0.9185437189662378</v>
      </c>
      <c r="G627" s="5" t="n">
        <v>0</v>
      </c>
      <c r="H627" s="5" t="n">
        <v>0</v>
      </c>
      <c r="I627" s="5" t="n">
        <v>0</v>
      </c>
      <c r="J627" s="5" t="n">
        <v>0</v>
      </c>
      <c r="K627" s="5" t="n">
        <v>0</v>
      </c>
      <c r="L627" s="5" t="n">
        <v>0</v>
      </c>
      <c r="M627" s="5" t="n">
        <v>0</v>
      </c>
      <c r="N627" s="5" t="n">
        <v>0</v>
      </c>
      <c r="O627" s="5" t="n">
        <v>1</v>
      </c>
      <c r="P627" s="5" t="n">
        <v>0</v>
      </c>
      <c r="Q627" s="5" t="n">
        <v>0</v>
      </c>
      <c r="R627" s="5" t="n">
        <v>0</v>
      </c>
      <c r="S627" s="5" t="n">
        <v>0</v>
      </c>
      <c r="T627" s="5" t="n">
        <v>0</v>
      </c>
      <c r="U627" s="5" t="inlineStr">
        <is>
          <t>training</t>
        </is>
      </c>
      <c r="V627" s="5" t="n">
        <v>1</v>
      </c>
    </row>
    <row r="628">
      <c r="A628" s="5" t="n">
        <v>624</v>
      </c>
      <c r="B628" s="5" t="n">
        <v>0</v>
      </c>
      <c r="C628" s="6" t="n">
        <v>-0.7357010147163632</v>
      </c>
      <c r="D628" s="6" t="n">
        <v>-0.4872941219331019</v>
      </c>
      <c r="E628" s="6" t="n">
        <v>-1.177614700251023</v>
      </c>
      <c r="F628" s="6" t="n">
        <v>0.9185437189662378</v>
      </c>
      <c r="G628" s="5" t="n">
        <v>1</v>
      </c>
      <c r="H628" s="5" t="n">
        <v>0</v>
      </c>
      <c r="I628" s="5" t="n">
        <v>0</v>
      </c>
      <c r="J628" s="5" t="n">
        <v>0</v>
      </c>
      <c r="K628" s="5" t="n">
        <v>0</v>
      </c>
      <c r="L628" s="5" t="n">
        <v>0</v>
      </c>
      <c r="M628" s="5" t="n">
        <v>0</v>
      </c>
      <c r="N628" s="5" t="n">
        <v>0</v>
      </c>
      <c r="O628" s="5" t="n">
        <v>0</v>
      </c>
      <c r="P628" s="5" t="n">
        <v>1</v>
      </c>
      <c r="Q628" s="5" t="n">
        <v>0</v>
      </c>
      <c r="R628" s="5" t="n">
        <v>0</v>
      </c>
      <c r="S628" s="5" t="n">
        <v>0</v>
      </c>
      <c r="T628" s="5" t="n">
        <v>1</v>
      </c>
      <c r="U628" s="5" t="inlineStr">
        <is>
          <t>testing</t>
        </is>
      </c>
      <c r="V628" s="5" t="n">
        <v>0</v>
      </c>
    </row>
    <row r="629">
      <c r="A629" s="5" t="n">
        <v>625</v>
      </c>
      <c r="B629" s="5" t="n">
        <v>1</v>
      </c>
      <c r="C629" s="6" t="n">
        <v>-0.2301473069597001</v>
      </c>
      <c r="D629" s="6" t="n">
        <v>-0.2276737075342504</v>
      </c>
      <c r="E629" s="6" t="n">
        <v>2.562225189763305</v>
      </c>
      <c r="F629" s="6" t="n">
        <v>0.9185437189662378</v>
      </c>
      <c r="G629" s="5" t="n">
        <v>1</v>
      </c>
      <c r="H629" s="5" t="n">
        <v>0</v>
      </c>
      <c r="I629" s="5" t="n">
        <v>0</v>
      </c>
      <c r="J629" s="5" t="n">
        <v>0</v>
      </c>
      <c r="K629" s="5" t="n">
        <v>0</v>
      </c>
      <c r="L629" s="5" t="n">
        <v>0</v>
      </c>
      <c r="M629" s="5" t="n">
        <v>0</v>
      </c>
      <c r="N629" s="5" t="n">
        <v>0</v>
      </c>
      <c r="O629" s="5" t="n">
        <v>0</v>
      </c>
      <c r="P629" s="5" t="n">
        <v>0</v>
      </c>
      <c r="Q629" s="5" t="n">
        <v>1</v>
      </c>
      <c r="R629" s="5" t="n">
        <v>0</v>
      </c>
      <c r="S629" s="5" t="n">
        <v>1</v>
      </c>
      <c r="T629" s="5" t="n">
        <v>0</v>
      </c>
      <c r="U629" s="5" t="inlineStr">
        <is>
          <t>training</t>
        </is>
      </c>
      <c r="V629" s="5" t="n">
        <v>1</v>
      </c>
    </row>
    <row r="630">
      <c r="A630" s="5" t="n">
        <v>626</v>
      </c>
      <c r="B630" s="5" t="n">
        <v>0</v>
      </c>
      <c r="C630" s="6" t="n">
        <v>-0.4829241608380317</v>
      </c>
      <c r="D630" s="6" t="n">
        <v>-0.4449571001780331</v>
      </c>
      <c r="E630" s="6" t="n">
        <v>-0.04696543117692405</v>
      </c>
      <c r="F630" s="6" t="n">
        <v>0.9185437189662378</v>
      </c>
      <c r="G630" s="5" t="n">
        <v>0</v>
      </c>
      <c r="H630" s="5" t="n">
        <v>0</v>
      </c>
      <c r="I630" s="5" t="n">
        <v>0</v>
      </c>
      <c r="J630" s="5" t="n">
        <v>0</v>
      </c>
      <c r="K630" s="5" t="n">
        <v>0</v>
      </c>
      <c r="L630" s="5" t="n">
        <v>0</v>
      </c>
      <c r="M630" s="5" t="n">
        <v>0</v>
      </c>
      <c r="N630" s="5" t="n">
        <v>0</v>
      </c>
      <c r="O630" s="5" t="n">
        <v>1</v>
      </c>
      <c r="P630" s="5" t="n">
        <v>0</v>
      </c>
      <c r="Q630" s="5" t="n">
        <v>0</v>
      </c>
      <c r="R630" s="5" t="n">
        <v>0</v>
      </c>
      <c r="S630" s="5" t="n">
        <v>1</v>
      </c>
      <c r="T630" s="5" t="n">
        <v>0</v>
      </c>
      <c r="U630" s="5" t="inlineStr">
        <is>
          <t>training</t>
        </is>
      </c>
      <c r="V630" s="5" t="n">
        <v>1</v>
      </c>
    </row>
    <row r="631">
      <c r="A631" s="5" t="n">
        <v>627</v>
      </c>
      <c r="B631" s="5" t="n">
        <v>0</v>
      </c>
      <c r="C631" s="6" t="n">
        <v>-1.241254722473026</v>
      </c>
      <c r="D631" s="6" t="n">
        <v>-0.3970217945545255</v>
      </c>
      <c r="E631" s="6" t="n">
        <v>0.4748726930111218</v>
      </c>
      <c r="F631" s="6" t="n">
        <v>-0.8850484360866833</v>
      </c>
      <c r="G631" s="5" t="n">
        <v>0</v>
      </c>
      <c r="H631" s="5" t="n">
        <v>0</v>
      </c>
      <c r="I631" s="5" t="n">
        <v>1</v>
      </c>
      <c r="J631" s="5" t="n">
        <v>0</v>
      </c>
      <c r="K631" s="5" t="n">
        <v>0</v>
      </c>
      <c r="L631" s="5" t="n">
        <v>0</v>
      </c>
      <c r="M631" s="5" t="n">
        <v>0</v>
      </c>
      <c r="N631" s="5" t="n">
        <v>0</v>
      </c>
      <c r="O631" s="5" t="n">
        <v>0</v>
      </c>
      <c r="P631" s="5" t="n">
        <v>0</v>
      </c>
      <c r="Q631" s="5" t="n">
        <v>0</v>
      </c>
      <c r="R631" s="5" t="n">
        <v>0</v>
      </c>
      <c r="S631" s="5" t="n">
        <v>0</v>
      </c>
      <c r="T631" s="5" t="n">
        <v>1</v>
      </c>
      <c r="U631" s="5" t="inlineStr">
        <is>
          <t>training</t>
        </is>
      </c>
      <c r="V631" s="5" t="n">
        <v>1</v>
      </c>
    </row>
    <row r="632">
      <c r="A632" s="5" t="n">
        <v>628</v>
      </c>
      <c r="B632" s="5" t="n">
        <v>1</v>
      </c>
      <c r="C632" s="6" t="n">
        <v>-0.9884778685946948</v>
      </c>
      <c r="D632" s="6" t="n">
        <v>-0.6345989662213991</v>
      </c>
      <c r="E632" s="6" t="n">
        <v>-0.5688035553649698</v>
      </c>
      <c r="F632" s="6" t="n">
        <v>-0.8850484360866833</v>
      </c>
      <c r="G632" s="5" t="n">
        <v>0</v>
      </c>
      <c r="H632" s="5" t="n">
        <v>1</v>
      </c>
      <c r="I632" s="5" t="n">
        <v>0</v>
      </c>
      <c r="J632" s="5" t="n">
        <v>0</v>
      </c>
      <c r="K632" s="5" t="n">
        <v>0</v>
      </c>
      <c r="L632" s="5" t="n">
        <v>1</v>
      </c>
      <c r="M632" s="5" t="n">
        <v>1</v>
      </c>
      <c r="N632" s="5" t="n">
        <v>0</v>
      </c>
      <c r="O632" s="5" t="n">
        <v>0</v>
      </c>
      <c r="P632" s="5" t="n">
        <v>0</v>
      </c>
      <c r="Q632" s="5" t="n">
        <v>0</v>
      </c>
      <c r="R632" s="5" t="n">
        <v>1</v>
      </c>
      <c r="S632" s="5" t="n">
        <v>0</v>
      </c>
      <c r="T632" s="5" t="n">
        <v>0</v>
      </c>
      <c r="U632" s="5" t="inlineStr">
        <is>
          <t>training</t>
        </is>
      </c>
      <c r="V632" s="5" t="n">
        <v>1</v>
      </c>
    </row>
    <row r="633">
      <c r="A633" s="5" t="n">
        <v>629</v>
      </c>
      <c r="B633" s="5" t="n">
        <v>0</v>
      </c>
      <c r="C633" s="6" t="n">
        <v>1.792067524066952</v>
      </c>
      <c r="D633" s="6" t="n">
        <v>0.2768716261088007</v>
      </c>
      <c r="E633" s="6" t="n">
        <v>0.04000758952108359</v>
      </c>
      <c r="F633" s="6" t="n">
        <v>0.9185437189662378</v>
      </c>
      <c r="G633" s="5" t="n">
        <v>0</v>
      </c>
      <c r="H633" s="5" t="n">
        <v>0</v>
      </c>
      <c r="I633" s="5" t="n">
        <v>0</v>
      </c>
      <c r="J633" s="5" t="n">
        <v>1</v>
      </c>
      <c r="K633" s="5" t="n">
        <v>0</v>
      </c>
      <c r="L633" s="5" t="n">
        <v>0</v>
      </c>
      <c r="M633" s="5" t="n">
        <v>1</v>
      </c>
      <c r="N633" s="5" t="n">
        <v>0</v>
      </c>
      <c r="O633" s="5" t="n">
        <v>0</v>
      </c>
      <c r="P633" s="5" t="n">
        <v>0</v>
      </c>
      <c r="Q633" s="5" t="n">
        <v>0</v>
      </c>
      <c r="R633" s="5" t="n">
        <v>0</v>
      </c>
      <c r="S633" s="5" t="n">
        <v>0</v>
      </c>
      <c r="T633" s="5" t="n">
        <v>1</v>
      </c>
      <c r="U633" s="5" t="inlineStr">
        <is>
          <t>training</t>
        </is>
      </c>
      <c r="V633" s="5" t="n">
        <v>0</v>
      </c>
    </row>
    <row r="634">
      <c r="A634" s="5" t="n">
        <v>630</v>
      </c>
      <c r="B634" s="5" t="n">
        <v>0</v>
      </c>
      <c r="C634" s="6" t="n">
        <v>-0.9884778685946948</v>
      </c>
      <c r="D634" s="6" t="n">
        <v>0.2033941503355408</v>
      </c>
      <c r="E634" s="6" t="n">
        <v>2.475252169065298</v>
      </c>
      <c r="F634" s="6" t="n">
        <v>-1.786844513613144</v>
      </c>
      <c r="G634" s="5" t="n">
        <v>0</v>
      </c>
      <c r="H634" s="5" t="n">
        <v>0</v>
      </c>
      <c r="I634" s="5" t="n">
        <v>0</v>
      </c>
      <c r="J634" s="5" t="n">
        <v>0</v>
      </c>
      <c r="K634" s="5" t="n">
        <v>0</v>
      </c>
      <c r="L634" s="5" t="n">
        <v>0</v>
      </c>
      <c r="M634" s="5" t="n">
        <v>0</v>
      </c>
      <c r="N634" s="5" t="n">
        <v>0</v>
      </c>
      <c r="O634" s="5" t="n">
        <v>1</v>
      </c>
      <c r="P634" s="5" t="n">
        <v>0</v>
      </c>
      <c r="Q634" s="5" t="n">
        <v>0</v>
      </c>
      <c r="R634" s="5" t="n">
        <v>0</v>
      </c>
      <c r="S634" s="5" t="n">
        <v>0</v>
      </c>
      <c r="T634" s="5" t="n">
        <v>0</v>
      </c>
      <c r="U634" s="5" t="inlineStr">
        <is>
          <t>testing</t>
        </is>
      </c>
      <c r="V634" s="5" t="n">
        <v>0</v>
      </c>
    </row>
    <row r="635">
      <c r="A635" s="5" t="n">
        <v>631</v>
      </c>
      <c r="B635" s="5" t="n">
        <v>0</v>
      </c>
      <c r="C635" s="6" t="n">
        <v>0.275406400796963</v>
      </c>
      <c r="D635" s="6" t="n">
        <v>0.1432125987498232</v>
      </c>
      <c r="E635" s="6" t="n">
        <v>-0.6557765760629775</v>
      </c>
      <c r="F635" s="6" t="n">
        <v>-0.8850484360866833</v>
      </c>
      <c r="G635" s="5" t="n">
        <v>1</v>
      </c>
      <c r="H635" s="5" t="n">
        <v>0</v>
      </c>
      <c r="I635" s="5" t="n">
        <v>0</v>
      </c>
      <c r="J635" s="5" t="n">
        <v>0</v>
      </c>
      <c r="K635" s="5" t="n">
        <v>0</v>
      </c>
      <c r="L635" s="5" t="n">
        <v>0</v>
      </c>
      <c r="M635" s="5" t="n">
        <v>0</v>
      </c>
      <c r="N635" s="5" t="n">
        <v>0</v>
      </c>
      <c r="O635" s="5" t="n">
        <v>0</v>
      </c>
      <c r="P635" s="5" t="n">
        <v>0</v>
      </c>
      <c r="Q635" s="5" t="n">
        <v>0</v>
      </c>
      <c r="R635" s="5" t="n">
        <v>0</v>
      </c>
      <c r="S635" s="5" t="n">
        <v>1</v>
      </c>
      <c r="T635" s="5" t="n">
        <v>0</v>
      </c>
      <c r="U635" s="5" t="inlineStr">
        <is>
          <t>testing</t>
        </is>
      </c>
      <c r="V635" s="5" t="n">
        <v>0</v>
      </c>
    </row>
    <row r="636">
      <c r="A636" s="5" t="n">
        <v>632</v>
      </c>
      <c r="B636" s="5" t="n">
        <v>1</v>
      </c>
      <c r="C636" s="6" t="n">
        <v>-0.2301473069597001</v>
      </c>
      <c r="D636" s="6" t="n">
        <v>-0.5940114081752175</v>
      </c>
      <c r="E636" s="6" t="n">
        <v>0.7357917551051447</v>
      </c>
      <c r="F636" s="6" t="n">
        <v>0.9185437189662378</v>
      </c>
      <c r="G636" s="5" t="n">
        <v>1</v>
      </c>
      <c r="H636" s="5" t="n">
        <v>0</v>
      </c>
      <c r="I636" s="5" t="n">
        <v>0</v>
      </c>
      <c r="J636" s="5" t="n">
        <v>0</v>
      </c>
      <c r="K636" s="5" t="n">
        <v>0</v>
      </c>
      <c r="L636" s="5" t="n">
        <v>1</v>
      </c>
      <c r="M636" s="5" t="n">
        <v>0</v>
      </c>
      <c r="N636" s="5" t="n">
        <v>0</v>
      </c>
      <c r="O636" s="5" t="n">
        <v>0</v>
      </c>
      <c r="P636" s="5" t="n">
        <v>0</v>
      </c>
      <c r="Q636" s="5" t="n">
        <v>0</v>
      </c>
      <c r="R636" s="5" t="n">
        <v>0</v>
      </c>
      <c r="S636" s="5" t="n">
        <v>0</v>
      </c>
      <c r="T636" s="5" t="n">
        <v>1</v>
      </c>
      <c r="U636" s="5" t="inlineStr">
        <is>
          <t>training</t>
        </is>
      </c>
      <c r="V636" s="5" t="n">
        <v>1</v>
      </c>
    </row>
    <row r="637">
      <c r="A637" s="5" t="n">
        <v>633</v>
      </c>
      <c r="B637" s="5" t="n">
        <v>0</v>
      </c>
      <c r="C637" s="6" t="n">
        <v>-0.4829241608380317</v>
      </c>
      <c r="D637" s="6" t="n">
        <v>-0.6321497170289571</v>
      </c>
      <c r="E637" s="6" t="n">
        <v>-1.090641679553016</v>
      </c>
      <c r="F637" s="6" t="n">
        <v>0.9185437189662378</v>
      </c>
      <c r="G637" s="5" t="n">
        <v>0</v>
      </c>
      <c r="H637" s="5" t="n">
        <v>1</v>
      </c>
      <c r="I637" s="5" t="n">
        <v>0</v>
      </c>
      <c r="J637" s="5" t="n">
        <v>0</v>
      </c>
      <c r="K637" s="5" t="n">
        <v>0</v>
      </c>
      <c r="L637" s="5" t="n">
        <v>0</v>
      </c>
      <c r="M637" s="5" t="n">
        <v>0</v>
      </c>
      <c r="N637" s="5" t="n">
        <v>0</v>
      </c>
      <c r="O637" s="5" t="n">
        <v>1</v>
      </c>
      <c r="P637" s="5" t="n">
        <v>0</v>
      </c>
      <c r="Q637" s="5" t="n">
        <v>0</v>
      </c>
      <c r="R637" s="5" t="n">
        <v>0</v>
      </c>
      <c r="S637" s="5" t="n">
        <v>1</v>
      </c>
      <c r="T637" s="5" t="n">
        <v>0</v>
      </c>
      <c r="U637" s="5" t="inlineStr">
        <is>
          <t>training</t>
        </is>
      </c>
      <c r="V637" s="5" t="n">
        <v>1</v>
      </c>
    </row>
    <row r="638">
      <c r="A638" s="5" t="n">
        <v>634</v>
      </c>
      <c r="B638" s="5" t="n">
        <v>1</v>
      </c>
      <c r="C638" s="6" t="n">
        <v>-0.9884778685946948</v>
      </c>
      <c r="D638" s="6" t="n">
        <v>-0.4446072074362557</v>
      </c>
      <c r="E638" s="6" t="n">
        <v>-1.438533762345046</v>
      </c>
      <c r="F638" s="6" t="n">
        <v>-0.8850484360866833</v>
      </c>
      <c r="G638" s="5" t="n">
        <v>0</v>
      </c>
      <c r="H638" s="5" t="n">
        <v>0</v>
      </c>
      <c r="I638" s="5" t="n">
        <v>0</v>
      </c>
      <c r="J638" s="5" t="n">
        <v>0</v>
      </c>
      <c r="K638" s="5" t="n">
        <v>0</v>
      </c>
      <c r="L638" s="5" t="n">
        <v>0</v>
      </c>
      <c r="M638" s="5" t="n">
        <v>0</v>
      </c>
      <c r="N638" s="5" t="n">
        <v>0</v>
      </c>
      <c r="O638" s="5" t="n">
        <v>0</v>
      </c>
      <c r="P638" s="5" t="n">
        <v>1</v>
      </c>
      <c r="Q638" s="5" t="n">
        <v>0</v>
      </c>
      <c r="R638" s="5" t="n">
        <v>0</v>
      </c>
      <c r="S638" s="5" t="n">
        <v>0</v>
      </c>
      <c r="T638" s="5" t="n">
        <v>1</v>
      </c>
      <c r="U638" s="5" t="inlineStr">
        <is>
          <t>training</t>
        </is>
      </c>
      <c r="V638" s="5" t="n">
        <v>1</v>
      </c>
    </row>
    <row r="639">
      <c r="A639" s="5" t="n">
        <v>635</v>
      </c>
      <c r="B639" s="5" t="n">
        <v>1</v>
      </c>
      <c r="C639" s="6" t="n">
        <v>0.275406400796963</v>
      </c>
      <c r="D639" s="6" t="n">
        <v>-0.6632901710471482</v>
      </c>
      <c r="E639" s="6" t="n">
        <v>-0.9166956381570004</v>
      </c>
      <c r="F639" s="6" t="n">
        <v>0.01674764143977723</v>
      </c>
      <c r="G639" s="5" t="n">
        <v>0</v>
      </c>
      <c r="H639" s="5" t="n">
        <v>1</v>
      </c>
      <c r="I639" s="5" t="n">
        <v>0</v>
      </c>
      <c r="J639" s="5" t="n">
        <v>0</v>
      </c>
      <c r="K639" s="5" t="n">
        <v>0</v>
      </c>
      <c r="L639" s="5" t="n">
        <v>0</v>
      </c>
      <c r="M639" s="5" t="n">
        <v>0</v>
      </c>
      <c r="N639" s="5" t="n">
        <v>0</v>
      </c>
      <c r="O639" s="5" t="n">
        <v>0</v>
      </c>
      <c r="P639" s="5" t="n">
        <v>0</v>
      </c>
      <c r="Q639" s="5" t="n">
        <v>0</v>
      </c>
      <c r="R639" s="5" t="n">
        <v>1</v>
      </c>
      <c r="S639" s="5" t="n">
        <v>0</v>
      </c>
      <c r="T639" s="5" t="n">
        <v>0</v>
      </c>
      <c r="U639" s="5" t="inlineStr">
        <is>
          <t>training</t>
        </is>
      </c>
      <c r="V639" s="5" t="n">
        <v>1</v>
      </c>
    </row>
    <row r="640">
      <c r="A640" s="5" t="n">
        <v>636</v>
      </c>
      <c r="B640" s="5" t="n">
        <v>0</v>
      </c>
      <c r="C640" s="6" t="n">
        <v>-0.7357010147163632</v>
      </c>
      <c r="D640" s="6" t="n">
        <v>-0.6499942468596059</v>
      </c>
      <c r="E640" s="6" t="n">
        <v>0.9967108171991675</v>
      </c>
      <c r="F640" s="6" t="n">
        <v>0.9185437189662378</v>
      </c>
      <c r="G640" s="5" t="n">
        <v>0</v>
      </c>
      <c r="H640" s="5" t="n">
        <v>0</v>
      </c>
      <c r="I640" s="5" t="n">
        <v>0</v>
      </c>
      <c r="J640" s="5" t="n">
        <v>0</v>
      </c>
      <c r="K640" s="5" t="n">
        <v>0</v>
      </c>
      <c r="L640" s="5" t="n">
        <v>0</v>
      </c>
      <c r="M640" s="5" t="n">
        <v>0</v>
      </c>
      <c r="N640" s="5" t="n">
        <v>0</v>
      </c>
      <c r="O640" s="5" t="n">
        <v>0</v>
      </c>
      <c r="P640" s="5" t="n">
        <v>0</v>
      </c>
      <c r="Q640" s="5" t="n">
        <v>0</v>
      </c>
      <c r="R640" s="5" t="n">
        <v>0</v>
      </c>
      <c r="S640" s="5" t="n">
        <v>0</v>
      </c>
      <c r="T640" s="5" t="n">
        <v>0</v>
      </c>
      <c r="U640" s="5" t="inlineStr">
        <is>
          <t>training</t>
        </is>
      </c>
      <c r="V640" s="5" t="n">
        <v>0</v>
      </c>
    </row>
    <row r="641">
      <c r="A641" s="5" t="n">
        <v>637</v>
      </c>
      <c r="B641" s="5" t="n">
        <v>0</v>
      </c>
      <c r="C641" s="6" t="n">
        <v>0.275406400796963</v>
      </c>
      <c r="D641" s="6" t="n">
        <v>-0.6559424234698222</v>
      </c>
      <c r="E641" s="6" t="n">
        <v>-0.6557765760629775</v>
      </c>
      <c r="F641" s="6" t="n">
        <v>0.9185437189662378</v>
      </c>
      <c r="G641" s="5" t="n">
        <v>0</v>
      </c>
      <c r="H641" s="5" t="n">
        <v>0</v>
      </c>
      <c r="I641" s="5" t="n">
        <v>0</v>
      </c>
      <c r="J641" s="5" t="n">
        <v>0</v>
      </c>
      <c r="K641" s="5" t="n">
        <v>0</v>
      </c>
      <c r="L641" s="5" t="n">
        <v>0</v>
      </c>
      <c r="M641" s="5" t="n">
        <v>1</v>
      </c>
      <c r="N641" s="5" t="n">
        <v>0</v>
      </c>
      <c r="O641" s="5" t="n">
        <v>0</v>
      </c>
      <c r="P641" s="5" t="n">
        <v>0</v>
      </c>
      <c r="Q641" s="5" t="n">
        <v>0</v>
      </c>
      <c r="R641" s="5" t="n">
        <v>0</v>
      </c>
      <c r="S641" s="5" t="n">
        <v>1</v>
      </c>
      <c r="T641" s="5" t="n">
        <v>0</v>
      </c>
      <c r="U641" s="5" t="inlineStr">
        <is>
          <t>training</t>
        </is>
      </c>
      <c r="V641" s="5" t="n">
        <v>1</v>
      </c>
    </row>
    <row r="642">
      <c r="A642" s="5" t="n">
        <v>638</v>
      </c>
      <c r="B642" s="5" t="n">
        <v>0</v>
      </c>
      <c r="C642" s="6" t="n">
        <v>3.308728647336942</v>
      </c>
      <c r="D642" s="6" t="n">
        <v>4.339476250886516</v>
      </c>
      <c r="E642" s="6" t="n">
        <v>-1.264587720949031</v>
      </c>
      <c r="F642" s="6" t="n">
        <v>-0.8850484360866833</v>
      </c>
      <c r="G642" s="5" t="n">
        <v>0</v>
      </c>
      <c r="H642" s="5" t="n">
        <v>0</v>
      </c>
      <c r="I642" s="5" t="n">
        <v>0</v>
      </c>
      <c r="J642" s="5" t="n">
        <v>0</v>
      </c>
      <c r="K642" s="5" t="n">
        <v>1</v>
      </c>
      <c r="L642" s="5" t="n">
        <v>0</v>
      </c>
      <c r="M642" s="5" t="n">
        <v>0</v>
      </c>
      <c r="N642" s="5" t="n">
        <v>0</v>
      </c>
      <c r="O642" s="5" t="n">
        <v>0</v>
      </c>
      <c r="P642" s="5" t="n">
        <v>0</v>
      </c>
      <c r="Q642" s="5" t="n">
        <v>0</v>
      </c>
      <c r="R642" s="5" t="n">
        <v>0</v>
      </c>
      <c r="S642" s="5" t="n">
        <v>1</v>
      </c>
      <c r="T642" s="5" t="n">
        <v>0</v>
      </c>
      <c r="U642" s="5" t="inlineStr">
        <is>
          <t>training</t>
        </is>
      </c>
      <c r="V642" s="5" t="n">
        <v>0</v>
      </c>
    </row>
    <row r="643">
      <c r="A643" s="5" t="n">
        <v>639</v>
      </c>
      <c r="B643" s="5" t="n">
        <v>0</v>
      </c>
      <c r="C643" s="6" t="n">
        <v>-0.7357010147163632</v>
      </c>
      <c r="D643" s="6" t="n">
        <v>-0.6150049726818632</v>
      </c>
      <c r="E643" s="6" t="n">
        <v>-0.1339384518749317</v>
      </c>
      <c r="F643" s="6" t="n">
        <v>0.9185437189662378</v>
      </c>
      <c r="G643" s="5" t="n">
        <v>0</v>
      </c>
      <c r="H643" s="5" t="n">
        <v>0</v>
      </c>
      <c r="I643" s="5" t="n">
        <v>0</v>
      </c>
      <c r="J643" s="5" t="n">
        <v>0</v>
      </c>
      <c r="K643" s="5" t="n">
        <v>0</v>
      </c>
      <c r="L643" s="5" t="n">
        <v>0</v>
      </c>
      <c r="M643" s="5" t="n">
        <v>0</v>
      </c>
      <c r="N643" s="5" t="n">
        <v>0</v>
      </c>
      <c r="O643" s="5" t="n">
        <v>0</v>
      </c>
      <c r="P643" s="5" t="n">
        <v>0</v>
      </c>
      <c r="Q643" s="5" t="n">
        <v>0</v>
      </c>
      <c r="R643" s="5" t="n">
        <v>0</v>
      </c>
      <c r="S643" s="5" t="n">
        <v>1</v>
      </c>
      <c r="T643" s="5" t="n">
        <v>0</v>
      </c>
      <c r="U643" s="5" t="inlineStr">
        <is>
          <t>training</t>
        </is>
      </c>
      <c r="V643" s="5" t="n">
        <v>1</v>
      </c>
    </row>
    <row r="644">
      <c r="A644" s="5" t="n">
        <v>640</v>
      </c>
      <c r="B644" s="5" t="n">
        <v>1</v>
      </c>
      <c r="C644" s="6" t="n">
        <v>1.792067524066952</v>
      </c>
      <c r="D644" s="6" t="n">
        <v>0.3916364454117971</v>
      </c>
      <c r="E644" s="6" t="n">
        <v>-0.8297226174589928</v>
      </c>
      <c r="F644" s="6" t="n">
        <v>0.01674764143977723</v>
      </c>
      <c r="G644" s="5" t="n">
        <v>1</v>
      </c>
      <c r="H644" s="5" t="n">
        <v>0</v>
      </c>
      <c r="I644" s="5" t="n">
        <v>0</v>
      </c>
      <c r="J644" s="5" t="n">
        <v>0</v>
      </c>
      <c r="K644" s="5" t="n">
        <v>1</v>
      </c>
      <c r="L644" s="5" t="n">
        <v>0</v>
      </c>
      <c r="M644" s="5" t="n">
        <v>0</v>
      </c>
      <c r="N644" s="5" t="n">
        <v>0</v>
      </c>
      <c r="O644" s="5" t="n">
        <v>0</v>
      </c>
      <c r="P644" s="5" t="n">
        <v>0</v>
      </c>
      <c r="Q644" s="5" t="n">
        <v>0</v>
      </c>
      <c r="R644" s="5" t="n">
        <v>0</v>
      </c>
      <c r="S644" s="5" t="n">
        <v>1</v>
      </c>
      <c r="T644" s="5" t="n">
        <v>0</v>
      </c>
      <c r="U644" s="5" t="inlineStr">
        <is>
          <t>testing</t>
        </is>
      </c>
      <c r="V644" s="5" t="n">
        <v>0</v>
      </c>
    </row>
    <row r="645">
      <c r="A645" s="5" t="n">
        <v>641</v>
      </c>
      <c r="B645" s="5" t="n">
        <v>1</v>
      </c>
      <c r="C645" s="6" t="n">
        <v>-0.2301473069597001</v>
      </c>
      <c r="D645" s="6" t="n">
        <v>-0.8749752798224921</v>
      </c>
      <c r="E645" s="6" t="n">
        <v>-0.7427495967609852</v>
      </c>
      <c r="F645" s="6" t="n">
        <v>0.9185437189662378</v>
      </c>
      <c r="G645" s="5" t="n">
        <v>1</v>
      </c>
      <c r="H645" s="5" t="n">
        <v>0</v>
      </c>
      <c r="I645" s="5" t="n">
        <v>0</v>
      </c>
      <c r="J645" s="5" t="n">
        <v>0</v>
      </c>
      <c r="K645" s="5" t="n">
        <v>0</v>
      </c>
      <c r="L645" s="5" t="n">
        <v>0</v>
      </c>
      <c r="M645" s="5" t="n">
        <v>0</v>
      </c>
      <c r="N645" s="5" t="n">
        <v>0</v>
      </c>
      <c r="O645" s="5" t="n">
        <v>0</v>
      </c>
      <c r="P645" s="5" t="n">
        <v>0</v>
      </c>
      <c r="Q645" s="5" t="n">
        <v>0</v>
      </c>
      <c r="R645" s="5" t="n">
        <v>0</v>
      </c>
      <c r="S645" s="5" t="n">
        <v>0</v>
      </c>
      <c r="T645" s="5" t="n">
        <v>0</v>
      </c>
      <c r="U645" s="5" t="inlineStr">
        <is>
          <t>testing</t>
        </is>
      </c>
      <c r="V645" s="5" t="n">
        <v>0</v>
      </c>
    </row>
    <row r="646">
      <c r="A646" s="5" t="n">
        <v>642</v>
      </c>
      <c r="B646" s="5" t="n">
        <v>0</v>
      </c>
      <c r="C646" s="6" t="n">
        <v>-0.4829241608380317</v>
      </c>
      <c r="D646" s="6" t="n">
        <v>-0.6797351299106873</v>
      </c>
      <c r="E646" s="6" t="n">
        <v>0.2139536309170988</v>
      </c>
      <c r="F646" s="6" t="n">
        <v>0.9185437189662378</v>
      </c>
      <c r="G646" s="5" t="n">
        <v>0</v>
      </c>
      <c r="H646" s="5" t="n">
        <v>1</v>
      </c>
      <c r="I646" s="5" t="n">
        <v>0</v>
      </c>
      <c r="J646" s="5" t="n">
        <v>0</v>
      </c>
      <c r="K646" s="5" t="n">
        <v>0</v>
      </c>
      <c r="L646" s="5" t="n">
        <v>0</v>
      </c>
      <c r="M646" s="5" t="n">
        <v>0</v>
      </c>
      <c r="N646" s="5" t="n">
        <v>0</v>
      </c>
      <c r="O646" s="5" t="n">
        <v>0</v>
      </c>
      <c r="P646" s="5" t="n">
        <v>0</v>
      </c>
      <c r="Q646" s="5" t="n">
        <v>0</v>
      </c>
      <c r="R646" s="5" t="n">
        <v>0</v>
      </c>
      <c r="S646" s="5" t="n">
        <v>0</v>
      </c>
      <c r="T646" s="5" t="n">
        <v>0</v>
      </c>
      <c r="U646" s="5" t="inlineStr">
        <is>
          <t>training</t>
        </is>
      </c>
      <c r="V646" s="5" t="n">
        <v>1</v>
      </c>
    </row>
    <row r="647">
      <c r="A647" s="5" t="n">
        <v>643</v>
      </c>
      <c r="B647" s="5" t="n">
        <v>1</v>
      </c>
      <c r="C647" s="6" t="n">
        <v>-0.4829241608380317</v>
      </c>
      <c r="D647" s="6" t="n">
        <v>0.4801593090814864</v>
      </c>
      <c r="E647" s="6" t="n">
        <v>0.3878996723131141</v>
      </c>
      <c r="F647" s="6" t="n">
        <v>0.01674764143977723</v>
      </c>
      <c r="G647" s="5" t="n">
        <v>0</v>
      </c>
      <c r="H647" s="5" t="n">
        <v>0</v>
      </c>
      <c r="I647" s="5" t="n">
        <v>0</v>
      </c>
      <c r="J647" s="5" t="n">
        <v>0</v>
      </c>
      <c r="K647" s="5" t="n">
        <v>0</v>
      </c>
      <c r="L647" s="5" t="n">
        <v>0</v>
      </c>
      <c r="M647" s="5" t="n">
        <v>1</v>
      </c>
      <c r="N647" s="5" t="n">
        <v>0</v>
      </c>
      <c r="O647" s="5" t="n">
        <v>0</v>
      </c>
      <c r="P647" s="5" t="n">
        <v>0</v>
      </c>
      <c r="Q647" s="5" t="n">
        <v>0</v>
      </c>
      <c r="R647" s="5" t="n">
        <v>0</v>
      </c>
      <c r="S647" s="5" t="n">
        <v>0</v>
      </c>
      <c r="T647" s="5" t="n">
        <v>0</v>
      </c>
      <c r="U647" s="5" t="inlineStr">
        <is>
          <t>training</t>
        </is>
      </c>
      <c r="V647" s="5" t="n">
        <v>1</v>
      </c>
    </row>
    <row r="648">
      <c r="A648" s="5" t="n">
        <v>644</v>
      </c>
      <c r="B648" s="5" t="n">
        <v>0</v>
      </c>
      <c r="C648" s="6" t="n">
        <v>0.275406400796963</v>
      </c>
      <c r="D648" s="6" t="n">
        <v>-0.4897433711255439</v>
      </c>
      <c r="E648" s="6" t="n">
        <v>-0.2209114725729393</v>
      </c>
      <c r="F648" s="6" t="n">
        <v>0.9185437189662378</v>
      </c>
      <c r="G648" s="5" t="n">
        <v>0</v>
      </c>
      <c r="H648" s="5" t="n">
        <v>0</v>
      </c>
      <c r="I648" s="5" t="n">
        <v>0</v>
      </c>
      <c r="J648" s="5" t="n">
        <v>1</v>
      </c>
      <c r="K648" s="5" t="n">
        <v>0</v>
      </c>
      <c r="L648" s="5" t="n">
        <v>0</v>
      </c>
      <c r="M648" s="5" t="n">
        <v>0</v>
      </c>
      <c r="N648" s="5" t="n">
        <v>0</v>
      </c>
      <c r="O648" s="5" t="n">
        <v>0</v>
      </c>
      <c r="P648" s="5" t="n">
        <v>0</v>
      </c>
      <c r="Q648" s="5" t="n">
        <v>0</v>
      </c>
      <c r="R648" s="5" t="n">
        <v>0</v>
      </c>
      <c r="S648" s="5" t="n">
        <v>1</v>
      </c>
      <c r="T648" s="5" t="n">
        <v>0</v>
      </c>
      <c r="U648" s="5" t="inlineStr">
        <is>
          <t>training</t>
        </is>
      </c>
      <c r="V648" s="5" t="n">
        <v>1</v>
      </c>
    </row>
    <row r="649">
      <c r="A649" s="5" t="n">
        <v>645</v>
      </c>
      <c r="B649" s="5" t="n">
        <v>0</v>
      </c>
      <c r="C649" s="6" t="n">
        <v>-0.2301473069597001</v>
      </c>
      <c r="D649" s="6" t="n">
        <v>-0.4795964816139985</v>
      </c>
      <c r="E649" s="6" t="n">
        <v>-0.307884493270947</v>
      </c>
      <c r="F649" s="6" t="n">
        <v>0.9185437189662378</v>
      </c>
      <c r="G649" s="5" t="n">
        <v>1</v>
      </c>
      <c r="H649" s="5" t="n">
        <v>0</v>
      </c>
      <c r="I649" s="5" t="n">
        <v>0</v>
      </c>
      <c r="J649" s="5" t="n">
        <v>1</v>
      </c>
      <c r="K649" s="5" t="n">
        <v>0</v>
      </c>
      <c r="L649" s="5" t="n">
        <v>0</v>
      </c>
      <c r="M649" s="5" t="n">
        <v>0</v>
      </c>
      <c r="N649" s="5" t="n">
        <v>0</v>
      </c>
      <c r="O649" s="5" t="n">
        <v>0</v>
      </c>
      <c r="P649" s="5" t="n">
        <v>0</v>
      </c>
      <c r="Q649" s="5" t="n">
        <v>0</v>
      </c>
      <c r="R649" s="5" t="n">
        <v>0</v>
      </c>
      <c r="S649" s="5" t="n">
        <v>1</v>
      </c>
      <c r="T649" s="5" t="n">
        <v>0</v>
      </c>
      <c r="U649" s="5" t="inlineStr">
        <is>
          <t>testing</t>
        </is>
      </c>
      <c r="V649" s="5" t="n">
        <v>0</v>
      </c>
    </row>
    <row r="650">
      <c r="A650" s="5" t="n">
        <v>646</v>
      </c>
      <c r="B650" s="5" t="n">
        <v>1</v>
      </c>
      <c r="C650" s="6" t="n">
        <v>1.286513816310289</v>
      </c>
      <c r="D650" s="6" t="n">
        <v>1.654749243228312</v>
      </c>
      <c r="E650" s="6" t="n">
        <v>-0.7427495967609852</v>
      </c>
      <c r="F650" s="6" t="n">
        <v>0.9185437189662378</v>
      </c>
      <c r="G650" s="5" t="n">
        <v>0</v>
      </c>
      <c r="H650" s="5" t="n">
        <v>0</v>
      </c>
      <c r="I650" s="5" t="n">
        <v>0</v>
      </c>
      <c r="J650" s="5" t="n">
        <v>0</v>
      </c>
      <c r="K650" s="5" t="n">
        <v>1</v>
      </c>
      <c r="L650" s="5" t="n">
        <v>0</v>
      </c>
      <c r="M650" s="5" t="n">
        <v>0</v>
      </c>
      <c r="N650" s="5" t="n">
        <v>0</v>
      </c>
      <c r="O650" s="5" t="n">
        <v>1</v>
      </c>
      <c r="P650" s="5" t="n">
        <v>1</v>
      </c>
      <c r="Q650" s="5" t="n">
        <v>0</v>
      </c>
      <c r="R650" s="5" t="n">
        <v>0</v>
      </c>
      <c r="S650" s="5" t="n">
        <v>0</v>
      </c>
      <c r="T650" s="5" t="n">
        <v>0</v>
      </c>
      <c r="U650" s="5" t="inlineStr">
        <is>
          <t>training</t>
        </is>
      </c>
      <c r="V650" s="5" t="n">
        <v>1</v>
      </c>
    </row>
    <row r="651">
      <c r="A651" s="5" t="n">
        <v>647</v>
      </c>
      <c r="B651" s="5" t="n">
        <v>0</v>
      </c>
      <c r="C651" s="6" t="n">
        <v>0.7809601085536261</v>
      </c>
      <c r="D651" s="6" t="n">
        <v>0.4661635994103892</v>
      </c>
      <c r="E651" s="6" t="n">
        <v>-0.307884493270947</v>
      </c>
      <c r="F651" s="6" t="n">
        <v>-0.8850484360866833</v>
      </c>
      <c r="G651" s="5" t="n">
        <v>1</v>
      </c>
      <c r="H651" s="5" t="n">
        <v>0</v>
      </c>
      <c r="I651" s="5" t="n">
        <v>0</v>
      </c>
      <c r="J651" s="5" t="n">
        <v>0</v>
      </c>
      <c r="K651" s="5" t="n">
        <v>0</v>
      </c>
      <c r="L651" s="5" t="n">
        <v>1</v>
      </c>
      <c r="M651" s="5" t="n">
        <v>0</v>
      </c>
      <c r="N651" s="5" t="n">
        <v>0</v>
      </c>
      <c r="O651" s="5" t="n">
        <v>0</v>
      </c>
      <c r="P651" s="5" t="n">
        <v>0</v>
      </c>
      <c r="Q651" s="5" t="n">
        <v>0</v>
      </c>
      <c r="R651" s="5" t="n">
        <v>0</v>
      </c>
      <c r="S651" s="5" t="n">
        <v>0</v>
      </c>
      <c r="T651" s="5" t="n">
        <v>1</v>
      </c>
      <c r="U651" s="5" t="inlineStr">
        <is>
          <t>training</t>
        </is>
      </c>
      <c r="V651" s="5" t="n">
        <v>0</v>
      </c>
    </row>
    <row r="652">
      <c r="A652" s="5" t="n">
        <v>648</v>
      </c>
      <c r="B652" s="5" t="n">
        <v>1</v>
      </c>
      <c r="C652" s="6" t="n">
        <v>-0.7357010147163632</v>
      </c>
      <c r="D652" s="6" t="n">
        <v>-0.6524434960520479</v>
      </c>
      <c r="E652" s="6" t="n">
        <v>-0.8297226174589928</v>
      </c>
      <c r="F652" s="6" t="n">
        <v>-0.8850484360866833</v>
      </c>
      <c r="G652" s="5" t="n">
        <v>0</v>
      </c>
      <c r="H652" s="5" t="n">
        <v>0</v>
      </c>
      <c r="I652" s="5" t="n">
        <v>0</v>
      </c>
      <c r="J652" s="5" t="n">
        <v>0</v>
      </c>
      <c r="K652" s="5" t="n">
        <v>0</v>
      </c>
      <c r="L652" s="5" t="n">
        <v>0</v>
      </c>
      <c r="M652" s="5" t="n">
        <v>1</v>
      </c>
      <c r="N652" s="5" t="n">
        <v>0</v>
      </c>
      <c r="O652" s="5" t="n">
        <v>0</v>
      </c>
      <c r="P652" s="5" t="n">
        <v>0</v>
      </c>
      <c r="Q652" s="5" t="n">
        <v>0</v>
      </c>
      <c r="R652" s="5" t="n">
        <v>1</v>
      </c>
      <c r="S652" s="5" t="n">
        <v>0</v>
      </c>
      <c r="T652" s="5" t="n">
        <v>0</v>
      </c>
      <c r="U652" s="5" t="inlineStr">
        <is>
          <t>training</t>
        </is>
      </c>
      <c r="V652" s="5" t="n">
        <v>1</v>
      </c>
    </row>
    <row r="653">
      <c r="A653" s="5" t="n">
        <v>649</v>
      </c>
      <c r="B653" s="5" t="n">
        <v>1</v>
      </c>
      <c r="C653" s="6" t="n">
        <v>0.275406400796963</v>
      </c>
      <c r="D653" s="6" t="n">
        <v>-0.8060464096923388</v>
      </c>
      <c r="E653" s="6" t="n">
        <v>0.2139536309170988</v>
      </c>
      <c r="F653" s="6" t="n">
        <v>0.9185437189662378</v>
      </c>
      <c r="G653" s="5" t="n">
        <v>0</v>
      </c>
      <c r="H653" s="5" t="n">
        <v>0</v>
      </c>
      <c r="I653" s="5" t="n">
        <v>1</v>
      </c>
      <c r="J653" s="5" t="n">
        <v>0</v>
      </c>
      <c r="K653" s="5" t="n">
        <v>0</v>
      </c>
      <c r="L653" s="5" t="n">
        <v>0</v>
      </c>
      <c r="M653" s="5" t="n">
        <v>0</v>
      </c>
      <c r="N653" s="5" t="n">
        <v>0</v>
      </c>
      <c r="O653" s="5" t="n">
        <v>0</v>
      </c>
      <c r="P653" s="5" t="n">
        <v>0</v>
      </c>
      <c r="Q653" s="5" t="n">
        <v>1</v>
      </c>
      <c r="R653" s="5" t="n">
        <v>1</v>
      </c>
      <c r="S653" s="5" t="n">
        <v>0</v>
      </c>
      <c r="T653" s="5" t="n">
        <v>0</v>
      </c>
      <c r="U653" s="5" t="inlineStr">
        <is>
          <t>training</t>
        </is>
      </c>
      <c r="V653" s="5" t="n">
        <v>1</v>
      </c>
    </row>
    <row r="654">
      <c r="A654" s="5" t="n">
        <v>650</v>
      </c>
      <c r="B654" s="5" t="n">
        <v>1</v>
      </c>
      <c r="C654" s="6" t="n">
        <v>-0.7357010147163632</v>
      </c>
      <c r="D654" s="6" t="n">
        <v>-0.8980682007798023</v>
      </c>
      <c r="E654" s="6" t="n">
        <v>0.3878996723131141</v>
      </c>
      <c r="F654" s="6" t="n">
        <v>0.9185437189662378</v>
      </c>
      <c r="G654" s="5" t="n">
        <v>1</v>
      </c>
      <c r="H654" s="5" t="n">
        <v>0</v>
      </c>
      <c r="I654" s="5" t="n">
        <v>0</v>
      </c>
      <c r="J654" s="5" t="n">
        <v>0</v>
      </c>
      <c r="K654" s="5" t="n">
        <v>0</v>
      </c>
      <c r="L654" s="5" t="n">
        <v>0</v>
      </c>
      <c r="M654" s="5" t="n">
        <v>0</v>
      </c>
      <c r="N654" s="5" t="n">
        <v>0</v>
      </c>
      <c r="O654" s="5" t="n">
        <v>0</v>
      </c>
      <c r="P654" s="5" t="n">
        <v>1</v>
      </c>
      <c r="Q654" s="5" t="n">
        <v>0</v>
      </c>
      <c r="R654" s="5" t="n">
        <v>0</v>
      </c>
      <c r="S654" s="5" t="n">
        <v>0</v>
      </c>
      <c r="T654" s="5" t="n">
        <v>0</v>
      </c>
      <c r="U654" s="5" t="inlineStr">
        <is>
          <t>training</t>
        </is>
      </c>
      <c r="V654" s="5" t="n">
        <v>1</v>
      </c>
    </row>
    <row r="655">
      <c r="A655" s="5" t="n">
        <v>651</v>
      </c>
      <c r="B655" s="5" t="n">
        <v>0</v>
      </c>
      <c r="C655" s="6" t="n">
        <v>2.297621231823615</v>
      </c>
      <c r="D655" s="6" t="n">
        <v>1.478403301372488</v>
      </c>
      <c r="E655" s="6" t="n">
        <v>1.257629879293191</v>
      </c>
      <c r="F655" s="6" t="n">
        <v>0.9185437189662378</v>
      </c>
      <c r="G655" s="5" t="n">
        <v>1</v>
      </c>
      <c r="H655" s="5" t="n">
        <v>0</v>
      </c>
      <c r="I655" s="5" t="n">
        <v>0</v>
      </c>
      <c r="J655" s="5" t="n">
        <v>0</v>
      </c>
      <c r="K655" s="5" t="n">
        <v>0</v>
      </c>
      <c r="L655" s="5" t="n">
        <v>0</v>
      </c>
      <c r="M655" s="5" t="n">
        <v>0</v>
      </c>
      <c r="N655" s="5" t="n">
        <v>0</v>
      </c>
      <c r="O655" s="5" t="n">
        <v>0</v>
      </c>
      <c r="P655" s="5" t="n">
        <v>0</v>
      </c>
      <c r="Q655" s="5" t="n">
        <v>1</v>
      </c>
      <c r="R655" s="5" t="n">
        <v>0</v>
      </c>
      <c r="S655" s="5" t="n">
        <v>0</v>
      </c>
      <c r="T655" s="5" t="n">
        <v>0</v>
      </c>
      <c r="U655" s="5" t="inlineStr">
        <is>
          <t>training</t>
        </is>
      </c>
      <c r="V655" s="5" t="n">
        <v>1</v>
      </c>
    </row>
    <row r="656">
      <c r="A656" s="5" t="n">
        <v>652</v>
      </c>
      <c r="B656" s="5" t="n">
        <v>1</v>
      </c>
      <c r="C656" s="6" t="n">
        <v>-0.7357010147163632</v>
      </c>
      <c r="D656" s="6" t="n">
        <v>-0.4649009864593465</v>
      </c>
      <c r="E656" s="6" t="n">
        <v>0.1269806102190912</v>
      </c>
      <c r="F656" s="6" t="n">
        <v>0.9185437189662378</v>
      </c>
      <c r="G656" s="5" t="n">
        <v>0</v>
      </c>
      <c r="H656" s="5" t="n">
        <v>1</v>
      </c>
      <c r="I656" s="5" t="n">
        <v>0</v>
      </c>
      <c r="J656" s="5" t="n">
        <v>0</v>
      </c>
      <c r="K656" s="5" t="n">
        <v>0</v>
      </c>
      <c r="L656" s="5" t="n">
        <v>0</v>
      </c>
      <c r="M656" s="5" t="n">
        <v>0</v>
      </c>
      <c r="N656" s="5" t="n">
        <v>0</v>
      </c>
      <c r="O656" s="5" t="n">
        <v>0</v>
      </c>
      <c r="P656" s="5" t="n">
        <v>0</v>
      </c>
      <c r="Q656" s="5" t="n">
        <v>0</v>
      </c>
      <c r="R656" s="5" t="n">
        <v>0</v>
      </c>
      <c r="S656" s="5" t="n">
        <v>0</v>
      </c>
      <c r="T656" s="5" t="n">
        <v>1</v>
      </c>
      <c r="U656" s="5" t="inlineStr">
        <is>
          <t>testing</t>
        </is>
      </c>
      <c r="V656" s="5" t="n">
        <v>0</v>
      </c>
    </row>
    <row r="657">
      <c r="A657" s="5" t="n">
        <v>653</v>
      </c>
      <c r="B657" s="5" t="n">
        <v>1</v>
      </c>
      <c r="C657" s="6" t="n">
        <v>0.275406400796963</v>
      </c>
      <c r="D657" s="6" t="n">
        <v>-0.3315918518421465</v>
      </c>
      <c r="E657" s="6" t="n">
        <v>0.8227647758031523</v>
      </c>
      <c r="F657" s="6" t="n">
        <v>0.9185437189662378</v>
      </c>
      <c r="G657" s="5" t="n">
        <v>1</v>
      </c>
      <c r="H657" s="5" t="n">
        <v>0</v>
      </c>
      <c r="I657" s="5" t="n">
        <v>0</v>
      </c>
      <c r="J657" s="5" t="n">
        <v>0</v>
      </c>
      <c r="K657" s="5" t="n">
        <v>0</v>
      </c>
      <c r="L657" s="5" t="n">
        <v>0</v>
      </c>
      <c r="M657" s="5" t="n">
        <v>0</v>
      </c>
      <c r="N657" s="5" t="n">
        <v>0</v>
      </c>
      <c r="O657" s="5" t="n">
        <v>0</v>
      </c>
      <c r="P657" s="5" t="n">
        <v>0</v>
      </c>
      <c r="Q657" s="5" t="n">
        <v>0</v>
      </c>
      <c r="R657" s="5" t="n">
        <v>1</v>
      </c>
      <c r="S657" s="5" t="n">
        <v>0</v>
      </c>
      <c r="T657" s="5" t="n">
        <v>0</v>
      </c>
      <c r="U657" s="5" t="inlineStr">
        <is>
          <t>testing</t>
        </is>
      </c>
      <c r="V657" s="5" t="n">
        <v>0</v>
      </c>
    </row>
    <row r="658">
      <c r="A658" s="5" t="n">
        <v>654</v>
      </c>
      <c r="B658" s="5" t="n">
        <v>1</v>
      </c>
      <c r="C658" s="6" t="n">
        <v>1.286513816310289</v>
      </c>
      <c r="D658" s="6" t="n">
        <v>1.691837873856719</v>
      </c>
      <c r="E658" s="6" t="n">
        <v>0.5618457137091294</v>
      </c>
      <c r="F658" s="6" t="n">
        <v>-0.8850484360866833</v>
      </c>
      <c r="G658" s="5" t="n">
        <v>0</v>
      </c>
      <c r="H658" s="5" t="n">
        <v>1</v>
      </c>
      <c r="I658" s="5" t="n">
        <v>0</v>
      </c>
      <c r="J658" s="5" t="n">
        <v>0</v>
      </c>
      <c r="K658" s="5" t="n">
        <v>1</v>
      </c>
      <c r="L658" s="5" t="n">
        <v>0</v>
      </c>
      <c r="M658" s="5" t="n">
        <v>1</v>
      </c>
      <c r="N658" s="5" t="n">
        <v>0</v>
      </c>
      <c r="O658" s="5" t="n">
        <v>0</v>
      </c>
      <c r="P658" s="5" t="n">
        <v>0</v>
      </c>
      <c r="Q658" s="5" t="n">
        <v>0</v>
      </c>
      <c r="R658" s="5" t="n">
        <v>1</v>
      </c>
      <c r="S658" s="5" t="n">
        <v>0</v>
      </c>
      <c r="T658" s="5" t="n">
        <v>0</v>
      </c>
      <c r="U658" s="5" t="inlineStr">
        <is>
          <t>training</t>
        </is>
      </c>
      <c r="V658" s="5" t="n">
        <v>1</v>
      </c>
    </row>
    <row r="659">
      <c r="A659" s="5" t="n">
        <v>655</v>
      </c>
      <c r="B659" s="5" t="n">
        <v>0</v>
      </c>
      <c r="C659" s="6" t="n">
        <v>0.275406400796963</v>
      </c>
      <c r="D659" s="6" t="n">
        <v>-0.3165464639457171</v>
      </c>
      <c r="E659" s="6" t="n">
        <v>-0.04696543117692405</v>
      </c>
      <c r="F659" s="6" t="n">
        <v>0.9185437189662378</v>
      </c>
      <c r="G659" s="5" t="n">
        <v>0</v>
      </c>
      <c r="H659" s="5" t="n">
        <v>0</v>
      </c>
      <c r="I659" s="5" t="n">
        <v>0</v>
      </c>
      <c r="J659" s="5" t="n">
        <v>1</v>
      </c>
      <c r="K659" s="5" t="n">
        <v>0</v>
      </c>
      <c r="L659" s="5" t="n">
        <v>0</v>
      </c>
      <c r="M659" s="5" t="n">
        <v>0</v>
      </c>
      <c r="N659" s="5" t="n">
        <v>0</v>
      </c>
      <c r="O659" s="5" t="n">
        <v>0</v>
      </c>
      <c r="P659" s="5" t="n">
        <v>0</v>
      </c>
      <c r="Q659" s="5" t="n">
        <v>0</v>
      </c>
      <c r="R659" s="5" t="n">
        <v>1</v>
      </c>
      <c r="S659" s="5" t="n">
        <v>0</v>
      </c>
      <c r="T659" s="5" t="n">
        <v>0</v>
      </c>
      <c r="U659" s="5" t="inlineStr">
        <is>
          <t>testing</t>
        </is>
      </c>
      <c r="V659" s="5" t="n">
        <v>0</v>
      </c>
    </row>
    <row r="660">
      <c r="A660" s="5" t="n">
        <v>656</v>
      </c>
      <c r="B660" s="5" t="n">
        <v>0</v>
      </c>
      <c r="C660" s="6" t="n">
        <v>-0.5671831121308089</v>
      </c>
      <c r="D660" s="6" t="n">
        <v>0.2527290269261582</v>
      </c>
      <c r="E660" s="6" t="n">
        <v>-1.177614700251023</v>
      </c>
      <c r="F660" s="6" t="n">
        <v>-1.786844513613144</v>
      </c>
      <c r="G660" s="5" t="n">
        <v>1</v>
      </c>
      <c r="H660" s="5" t="n">
        <v>0</v>
      </c>
      <c r="I660" s="5" t="n">
        <v>0</v>
      </c>
      <c r="J660" s="5" t="n">
        <v>0</v>
      </c>
      <c r="K660" s="5" t="n">
        <v>0</v>
      </c>
      <c r="L660" s="5" t="n">
        <v>0</v>
      </c>
      <c r="M660" s="5" t="n">
        <v>0</v>
      </c>
      <c r="N660" s="5" t="n">
        <v>0</v>
      </c>
      <c r="O660" s="5" t="n">
        <v>0</v>
      </c>
      <c r="P660" s="5" t="n">
        <v>0</v>
      </c>
      <c r="Q660" s="5" t="n">
        <v>1</v>
      </c>
      <c r="R660" s="5" t="n">
        <v>1</v>
      </c>
      <c r="S660" s="5" t="n">
        <v>0</v>
      </c>
      <c r="T660" s="5" t="n">
        <v>0</v>
      </c>
      <c r="U660" s="5" t="inlineStr">
        <is>
          <t>training</t>
        </is>
      </c>
      <c r="V660" s="5" t="n">
        <v>1</v>
      </c>
    </row>
    <row r="661">
      <c r="A661" s="5" t="n">
        <v>657</v>
      </c>
      <c r="B661" s="5" t="n">
        <v>1</v>
      </c>
      <c r="C661" s="6" t="n">
        <v>-0.7357010147163632</v>
      </c>
      <c r="D661" s="6" t="n">
        <v>-0.826690081457207</v>
      </c>
      <c r="E661" s="6" t="n">
        <v>0.4748726930111218</v>
      </c>
      <c r="F661" s="6" t="n">
        <v>0.9185437189662378</v>
      </c>
      <c r="G661" s="5" t="n">
        <v>0</v>
      </c>
      <c r="H661" s="5" t="n">
        <v>1</v>
      </c>
      <c r="I661" s="5" t="n">
        <v>0</v>
      </c>
      <c r="J661" s="5" t="n">
        <v>0</v>
      </c>
      <c r="K661" s="5" t="n">
        <v>0</v>
      </c>
      <c r="L661" s="5" t="n">
        <v>0</v>
      </c>
      <c r="M661" s="5" t="n">
        <v>0</v>
      </c>
      <c r="N661" s="5" t="n">
        <v>0</v>
      </c>
      <c r="O661" s="5" t="n">
        <v>0</v>
      </c>
      <c r="P661" s="5" t="n">
        <v>0</v>
      </c>
      <c r="Q661" s="5" t="n">
        <v>0</v>
      </c>
      <c r="R661" s="5" t="n">
        <v>1</v>
      </c>
      <c r="S661" s="5" t="n">
        <v>0</v>
      </c>
      <c r="T661" s="5" t="n">
        <v>0</v>
      </c>
      <c r="U661" s="5" t="inlineStr">
        <is>
          <t>testing</t>
        </is>
      </c>
      <c r="V661" s="5" t="n">
        <v>0</v>
      </c>
    </row>
    <row r="662">
      <c r="A662" s="5" t="n">
        <v>658</v>
      </c>
      <c r="B662" s="5" t="n">
        <v>0</v>
      </c>
      <c r="C662" s="6" t="n">
        <v>2.297621231823615</v>
      </c>
      <c r="D662" s="6" t="n">
        <v>2.439208770293305</v>
      </c>
      <c r="E662" s="6" t="n">
        <v>0.1269806102190912</v>
      </c>
      <c r="F662" s="6" t="n">
        <v>0.9185437189662378</v>
      </c>
      <c r="G662" s="5" t="n">
        <v>0</v>
      </c>
      <c r="H662" s="5" t="n">
        <v>0</v>
      </c>
      <c r="I662" s="5" t="n">
        <v>0</v>
      </c>
      <c r="J662" s="5" t="n">
        <v>0</v>
      </c>
      <c r="K662" s="5" t="n">
        <v>0</v>
      </c>
      <c r="L662" s="5" t="n">
        <v>0</v>
      </c>
      <c r="M662" s="5" t="n">
        <v>0</v>
      </c>
      <c r="N662" s="5" t="n">
        <v>0</v>
      </c>
      <c r="O662" s="5" t="n">
        <v>1</v>
      </c>
      <c r="P662" s="5" t="n">
        <v>0</v>
      </c>
      <c r="Q662" s="5" t="n">
        <v>0</v>
      </c>
      <c r="R662" s="5" t="n">
        <v>0</v>
      </c>
      <c r="S662" s="5" t="n">
        <v>1</v>
      </c>
      <c r="T662" s="5" t="n">
        <v>0</v>
      </c>
      <c r="U662" s="5" t="inlineStr">
        <is>
          <t>training</t>
        </is>
      </c>
      <c r="V662" s="5" t="n">
        <v>1</v>
      </c>
    </row>
    <row r="663">
      <c r="A663" s="5" t="n">
        <v>659</v>
      </c>
      <c r="B663" s="5" t="n">
        <v>0</v>
      </c>
      <c r="C663" s="6" t="n">
        <v>0.7809601085536261</v>
      </c>
      <c r="D663" s="6" t="n">
        <v>0.3395024268869603</v>
      </c>
      <c r="E663" s="6" t="n">
        <v>-0.6557765760629775</v>
      </c>
      <c r="F663" s="6" t="n">
        <v>-0.8850484360866833</v>
      </c>
      <c r="G663" s="5" t="n">
        <v>0</v>
      </c>
      <c r="H663" s="5" t="n">
        <v>1</v>
      </c>
      <c r="I663" s="5" t="n">
        <v>0</v>
      </c>
      <c r="J663" s="5" t="n">
        <v>0</v>
      </c>
      <c r="K663" s="5" t="n">
        <v>0</v>
      </c>
      <c r="L663" s="5" t="n">
        <v>1</v>
      </c>
      <c r="M663" s="5" t="n">
        <v>0</v>
      </c>
      <c r="N663" s="5" t="n">
        <v>0</v>
      </c>
      <c r="O663" s="5" t="n">
        <v>0</v>
      </c>
      <c r="P663" s="5" t="n">
        <v>0</v>
      </c>
      <c r="Q663" s="5" t="n">
        <v>0</v>
      </c>
      <c r="R663" s="5" t="n">
        <v>0</v>
      </c>
      <c r="S663" s="5" t="n">
        <v>0</v>
      </c>
      <c r="T663" s="5" t="n">
        <v>0</v>
      </c>
      <c r="U663" s="5" t="inlineStr">
        <is>
          <t>training</t>
        </is>
      </c>
      <c r="V663" s="5" t="n">
        <v>0</v>
      </c>
    </row>
    <row r="664">
      <c r="A664" s="5" t="n">
        <v>660</v>
      </c>
      <c r="B664" s="5" t="n">
        <v>0</v>
      </c>
      <c r="C664" s="6" t="n">
        <v>-0.2301473069597001</v>
      </c>
      <c r="D664" s="6" t="n">
        <v>1.088272894290656</v>
      </c>
      <c r="E664" s="6" t="n">
        <v>0.4748726930111218</v>
      </c>
      <c r="F664" s="6" t="n">
        <v>-0.8850484360866833</v>
      </c>
      <c r="G664" s="5" t="n">
        <v>0</v>
      </c>
      <c r="H664" s="5" t="n">
        <v>1</v>
      </c>
      <c r="I664" s="5" t="n">
        <v>0</v>
      </c>
      <c r="J664" s="5" t="n">
        <v>1</v>
      </c>
      <c r="K664" s="5" t="n">
        <v>0</v>
      </c>
      <c r="L664" s="5" t="n">
        <v>0</v>
      </c>
      <c r="M664" s="5" t="n">
        <v>0</v>
      </c>
      <c r="N664" s="5" t="n">
        <v>0</v>
      </c>
      <c r="O664" s="5" t="n">
        <v>0</v>
      </c>
      <c r="P664" s="5" t="n">
        <v>0</v>
      </c>
      <c r="Q664" s="5" t="n">
        <v>0</v>
      </c>
      <c r="R664" s="5" t="n">
        <v>0</v>
      </c>
      <c r="S664" s="5" t="n">
        <v>0</v>
      </c>
      <c r="T664" s="5" t="n">
        <v>1</v>
      </c>
      <c r="U664" s="5" t="inlineStr">
        <is>
          <t>training</t>
        </is>
      </c>
      <c r="V664" s="5" t="n">
        <v>0</v>
      </c>
    </row>
    <row r="665">
      <c r="A665" s="5" t="n">
        <v>661</v>
      </c>
      <c r="B665" s="5" t="n">
        <v>0</v>
      </c>
      <c r="C665" s="6" t="n">
        <v>-0.7357010147163632</v>
      </c>
      <c r="D665" s="6" t="n">
        <v>-0.683583950070239</v>
      </c>
      <c r="E665" s="6" t="n">
        <v>-1.090641679553016</v>
      </c>
      <c r="F665" s="6" t="n">
        <v>0.01674764143977723</v>
      </c>
      <c r="G665" s="5" t="n">
        <v>0</v>
      </c>
      <c r="H665" s="5" t="n">
        <v>0</v>
      </c>
      <c r="I665" s="5" t="n">
        <v>1</v>
      </c>
      <c r="J665" s="5" t="n">
        <v>0</v>
      </c>
      <c r="K665" s="5" t="n">
        <v>0</v>
      </c>
      <c r="L665" s="5" t="n">
        <v>0</v>
      </c>
      <c r="M665" s="5" t="n">
        <v>0</v>
      </c>
      <c r="N665" s="5" t="n">
        <v>0</v>
      </c>
      <c r="O665" s="5" t="n">
        <v>0</v>
      </c>
      <c r="P665" s="5" t="n">
        <v>1</v>
      </c>
      <c r="Q665" s="5" t="n">
        <v>0</v>
      </c>
      <c r="R665" s="5" t="n">
        <v>0</v>
      </c>
      <c r="S665" s="5" t="n">
        <v>1</v>
      </c>
      <c r="T665" s="5" t="n">
        <v>0</v>
      </c>
      <c r="U665" s="5" t="inlineStr">
        <is>
          <t>testing</t>
        </is>
      </c>
      <c r="V665" s="5" t="n">
        <v>0</v>
      </c>
    </row>
    <row r="666">
      <c r="A666" s="5" t="n">
        <v>662</v>
      </c>
      <c r="B666" s="5" t="n">
        <v>1</v>
      </c>
      <c r="C666" s="6" t="n">
        <v>-0.7357010147163632</v>
      </c>
      <c r="D666" s="6" t="n">
        <v>-0.8224913685558779</v>
      </c>
      <c r="E666" s="6" t="n">
        <v>-1.090641679553016</v>
      </c>
      <c r="F666" s="6" t="n">
        <v>0.9185437189662378</v>
      </c>
      <c r="G666" s="5" t="n">
        <v>1</v>
      </c>
      <c r="H666" s="5" t="n">
        <v>0</v>
      </c>
      <c r="I666" s="5" t="n">
        <v>0</v>
      </c>
      <c r="J666" s="5" t="n">
        <v>0</v>
      </c>
      <c r="K666" s="5" t="n">
        <v>0</v>
      </c>
      <c r="L666" s="5" t="n">
        <v>0</v>
      </c>
      <c r="M666" s="5" t="n">
        <v>0</v>
      </c>
      <c r="N666" s="5" t="n">
        <v>0</v>
      </c>
      <c r="O666" s="5" t="n">
        <v>1</v>
      </c>
      <c r="P666" s="5" t="n">
        <v>0</v>
      </c>
      <c r="Q666" s="5" t="n">
        <v>0</v>
      </c>
      <c r="R666" s="5" t="n">
        <v>1</v>
      </c>
      <c r="S666" s="5" t="n">
        <v>0</v>
      </c>
      <c r="T666" s="5" t="n">
        <v>0</v>
      </c>
      <c r="U666" s="5" t="inlineStr">
        <is>
          <t>training</t>
        </is>
      </c>
      <c r="V666" s="5" t="n">
        <v>1</v>
      </c>
    </row>
    <row r="667">
      <c r="A667" s="5" t="n">
        <v>663</v>
      </c>
      <c r="B667" s="5" t="n">
        <v>0</v>
      </c>
      <c r="C667" s="6" t="n">
        <v>0.02262954691863145</v>
      </c>
      <c r="D667" s="6" t="n">
        <v>-0.353285201832347</v>
      </c>
      <c r="E667" s="6" t="n">
        <v>1.257629879293191</v>
      </c>
      <c r="F667" s="6" t="n">
        <v>0.9185437189662378</v>
      </c>
      <c r="G667" s="5" t="n">
        <v>0</v>
      </c>
      <c r="H667" s="5" t="n">
        <v>0</v>
      </c>
      <c r="I667" s="5" t="n">
        <v>0</v>
      </c>
      <c r="J667" s="5" t="n">
        <v>0</v>
      </c>
      <c r="K667" s="5" t="n">
        <v>0</v>
      </c>
      <c r="L667" s="5" t="n">
        <v>0</v>
      </c>
      <c r="M667" s="5" t="n">
        <v>0</v>
      </c>
      <c r="N667" s="5" t="n">
        <v>0</v>
      </c>
      <c r="O667" s="5" t="n">
        <v>0</v>
      </c>
      <c r="P667" s="5" t="n">
        <v>0</v>
      </c>
      <c r="Q667" s="5" t="n">
        <v>0</v>
      </c>
      <c r="R667" s="5" t="n">
        <v>0</v>
      </c>
      <c r="S667" s="5" t="n">
        <v>0</v>
      </c>
      <c r="T667" s="5" t="n">
        <v>1</v>
      </c>
      <c r="U667" s="5" t="inlineStr">
        <is>
          <t>testing</t>
        </is>
      </c>
      <c r="V667" s="5" t="n">
        <v>0</v>
      </c>
    </row>
    <row r="668">
      <c r="A668" s="5" t="n">
        <v>664</v>
      </c>
      <c r="B668" s="5" t="n">
        <v>0</v>
      </c>
      <c r="C668" s="6" t="n">
        <v>-1.241254722473026</v>
      </c>
      <c r="D668" s="6" t="n">
        <v>-0.7700074572892637</v>
      </c>
      <c r="E668" s="6" t="n">
        <v>-0.04696543117692405</v>
      </c>
      <c r="F668" s="6" t="n">
        <v>0.9185437189662378</v>
      </c>
      <c r="G668" s="5" t="n">
        <v>0</v>
      </c>
      <c r="H668" s="5" t="n">
        <v>1</v>
      </c>
      <c r="I668" s="5" t="n">
        <v>0</v>
      </c>
      <c r="J668" s="5" t="n">
        <v>0</v>
      </c>
      <c r="K668" s="5" t="n">
        <v>1</v>
      </c>
      <c r="L668" s="5" t="n">
        <v>0</v>
      </c>
      <c r="M668" s="5" t="n">
        <v>0</v>
      </c>
      <c r="N668" s="5" t="n">
        <v>0</v>
      </c>
      <c r="O668" s="5" t="n">
        <v>0</v>
      </c>
      <c r="P668" s="5" t="n">
        <v>0</v>
      </c>
      <c r="Q668" s="5" t="n">
        <v>0</v>
      </c>
      <c r="R668" s="5" t="n">
        <v>0</v>
      </c>
      <c r="S668" s="5" t="n">
        <v>0</v>
      </c>
      <c r="T668" s="5" t="n">
        <v>1</v>
      </c>
      <c r="U668" s="5" t="inlineStr">
        <is>
          <t>training</t>
        </is>
      </c>
      <c r="V668" s="5" t="n">
        <v>0</v>
      </c>
    </row>
    <row r="669">
      <c r="A669" s="5" t="n">
        <v>665</v>
      </c>
      <c r="B669" s="5" t="n">
        <v>0</v>
      </c>
      <c r="C669" s="6" t="n">
        <v>-1.241254722473026</v>
      </c>
      <c r="D669" s="6" t="n">
        <v>-0.771057135514596</v>
      </c>
      <c r="E669" s="6" t="n">
        <v>1.257629879293191</v>
      </c>
      <c r="F669" s="6" t="n">
        <v>-0.8850484360866833</v>
      </c>
      <c r="G669" s="5" t="n">
        <v>0</v>
      </c>
      <c r="H669" s="5" t="n">
        <v>0</v>
      </c>
      <c r="I669" s="5" t="n">
        <v>1</v>
      </c>
      <c r="J669" s="5" t="n">
        <v>1</v>
      </c>
      <c r="K669" s="5" t="n">
        <v>0</v>
      </c>
      <c r="L669" s="5" t="n">
        <v>0</v>
      </c>
      <c r="M669" s="5" t="n">
        <v>0</v>
      </c>
      <c r="N669" s="5" t="n">
        <v>0</v>
      </c>
      <c r="O669" s="5" t="n">
        <v>0</v>
      </c>
      <c r="P669" s="5" t="n">
        <v>0</v>
      </c>
      <c r="Q669" s="5" t="n">
        <v>0</v>
      </c>
      <c r="R669" s="5" t="n">
        <v>0</v>
      </c>
      <c r="S669" s="5" t="n">
        <v>0</v>
      </c>
      <c r="T669" s="5" t="n">
        <v>0</v>
      </c>
      <c r="U669" s="5" t="inlineStr">
        <is>
          <t>testing</t>
        </is>
      </c>
      <c r="V669" s="5" t="n">
        <v>0</v>
      </c>
    </row>
    <row r="670">
      <c r="A670" s="5" t="n">
        <v>666</v>
      </c>
      <c r="B670" s="5" t="n">
        <v>0</v>
      </c>
      <c r="C670" s="6" t="n">
        <v>0.275406400796963</v>
      </c>
      <c r="D670" s="6" t="n">
        <v>1.071827935427117</v>
      </c>
      <c r="E670" s="6" t="n">
        <v>-0.7427495967609852</v>
      </c>
      <c r="F670" s="6" t="n">
        <v>0.9185437189662378</v>
      </c>
      <c r="G670" s="5" t="n">
        <v>0</v>
      </c>
      <c r="H670" s="5" t="n">
        <v>0</v>
      </c>
      <c r="I670" s="5" t="n">
        <v>0</v>
      </c>
      <c r="J670" s="5" t="n">
        <v>1</v>
      </c>
      <c r="K670" s="5" t="n">
        <v>0</v>
      </c>
      <c r="L670" s="5" t="n">
        <v>0</v>
      </c>
      <c r="M670" s="5" t="n">
        <v>0</v>
      </c>
      <c r="N670" s="5" t="n">
        <v>0</v>
      </c>
      <c r="O670" s="5" t="n">
        <v>0</v>
      </c>
      <c r="P670" s="5" t="n">
        <v>0</v>
      </c>
      <c r="Q670" s="5" t="n">
        <v>0</v>
      </c>
      <c r="R670" s="5" t="n">
        <v>0</v>
      </c>
      <c r="S670" s="5" t="n">
        <v>0</v>
      </c>
      <c r="T670" s="5" t="n">
        <v>0</v>
      </c>
      <c r="U670" s="5" t="inlineStr">
        <is>
          <t>training</t>
        </is>
      </c>
      <c r="V670" s="5" t="n">
        <v>0</v>
      </c>
    </row>
    <row r="671">
      <c r="A671" s="5" t="n">
        <v>667</v>
      </c>
      <c r="B671" s="5" t="n">
        <v>0</v>
      </c>
      <c r="C671" s="6" t="n">
        <v>0.7809601085536261</v>
      </c>
      <c r="D671" s="6" t="n">
        <v>0.08583018909832506</v>
      </c>
      <c r="E671" s="6" t="n">
        <v>-0.1339384518749317</v>
      </c>
      <c r="F671" s="6" t="n">
        <v>0.9185437189662378</v>
      </c>
      <c r="G671" s="5" t="n">
        <v>0</v>
      </c>
      <c r="H671" s="5" t="n">
        <v>1</v>
      </c>
      <c r="I671" s="5" t="n">
        <v>0</v>
      </c>
      <c r="J671" s="5" t="n">
        <v>0</v>
      </c>
      <c r="K671" s="5" t="n">
        <v>0</v>
      </c>
      <c r="L671" s="5" t="n">
        <v>1</v>
      </c>
      <c r="M671" s="5" t="n">
        <v>0</v>
      </c>
      <c r="N671" s="5" t="n">
        <v>1</v>
      </c>
      <c r="O671" s="5" t="n">
        <v>0</v>
      </c>
      <c r="P671" s="5" t="n">
        <v>0</v>
      </c>
      <c r="Q671" s="5" t="n">
        <v>0</v>
      </c>
      <c r="R671" s="5" t="n">
        <v>0</v>
      </c>
      <c r="S671" s="5" t="n">
        <v>0</v>
      </c>
      <c r="T671" s="5" t="n">
        <v>1</v>
      </c>
      <c r="U671" s="5" t="inlineStr">
        <is>
          <t>testing</t>
        </is>
      </c>
      <c r="V671" s="5" t="n">
        <v>0</v>
      </c>
    </row>
    <row r="672">
      <c r="A672" s="5" t="n">
        <v>668</v>
      </c>
      <c r="B672" s="5" t="n">
        <v>0</v>
      </c>
      <c r="C672" s="6" t="n">
        <v>2.297621231823615</v>
      </c>
      <c r="D672" s="6" t="n">
        <v>0.1253680689191744</v>
      </c>
      <c r="E672" s="6" t="n">
        <v>-0.7427495967609852</v>
      </c>
      <c r="F672" s="6" t="n">
        <v>-1.786844513613144</v>
      </c>
      <c r="G672" s="5" t="n">
        <v>0</v>
      </c>
      <c r="H672" s="5" t="n">
        <v>0</v>
      </c>
      <c r="I672" s="5" t="n">
        <v>0</v>
      </c>
      <c r="J672" s="5" t="n">
        <v>0</v>
      </c>
      <c r="K672" s="5" t="n">
        <v>0</v>
      </c>
      <c r="L672" s="5" t="n">
        <v>1</v>
      </c>
      <c r="M672" s="5" t="n">
        <v>0</v>
      </c>
      <c r="N672" s="5" t="n">
        <v>0</v>
      </c>
      <c r="O672" s="5" t="n">
        <v>0</v>
      </c>
      <c r="P672" s="5" t="n">
        <v>0</v>
      </c>
      <c r="Q672" s="5" t="n">
        <v>0</v>
      </c>
      <c r="R672" s="5" t="n">
        <v>0</v>
      </c>
      <c r="S672" s="5" t="n">
        <v>0</v>
      </c>
      <c r="T672" s="5" t="n">
        <v>0</v>
      </c>
      <c r="U672" s="5" t="inlineStr">
        <is>
          <t>training</t>
        </is>
      </c>
      <c r="V672" s="5" t="n">
        <v>1</v>
      </c>
    </row>
    <row r="673">
      <c r="A673" s="5" t="n">
        <v>669</v>
      </c>
      <c r="B673" s="5" t="n">
        <v>1</v>
      </c>
      <c r="C673" s="6" t="n">
        <v>-0.7357010147163632</v>
      </c>
      <c r="D673" s="6" t="n">
        <v>0.5571357122725205</v>
      </c>
      <c r="E673" s="6" t="n">
        <v>0.648818734407137</v>
      </c>
      <c r="F673" s="6" t="n">
        <v>0.01674764143977723</v>
      </c>
      <c r="G673" s="5" t="n">
        <v>1</v>
      </c>
      <c r="H673" s="5" t="n">
        <v>0</v>
      </c>
      <c r="I673" s="5" t="n">
        <v>0</v>
      </c>
      <c r="J673" s="5" t="n">
        <v>1</v>
      </c>
      <c r="K673" s="5" t="n">
        <v>0</v>
      </c>
      <c r="L673" s="5" t="n">
        <v>0</v>
      </c>
      <c r="M673" s="5" t="n">
        <v>0</v>
      </c>
      <c r="N673" s="5" t="n">
        <v>0</v>
      </c>
      <c r="O673" s="5" t="n">
        <v>0</v>
      </c>
      <c r="P673" s="5" t="n">
        <v>1</v>
      </c>
      <c r="Q673" s="5" t="n">
        <v>0</v>
      </c>
      <c r="R673" s="5" t="n">
        <v>1</v>
      </c>
      <c r="S673" s="5" t="n">
        <v>0</v>
      </c>
      <c r="T673" s="5" t="n">
        <v>0</v>
      </c>
      <c r="U673" s="5" t="inlineStr">
        <is>
          <t>testing</t>
        </is>
      </c>
      <c r="V673" s="5" t="n">
        <v>0</v>
      </c>
    </row>
    <row r="674">
      <c r="A674" s="5" t="n">
        <v>670</v>
      </c>
      <c r="B674" s="5" t="n">
        <v>0</v>
      </c>
      <c r="C674" s="6" t="n">
        <v>0.7809601085536261</v>
      </c>
      <c r="D674" s="6" t="n">
        <v>-0.08176843421306293</v>
      </c>
      <c r="E674" s="6" t="n">
        <v>0.9967108171991675</v>
      </c>
      <c r="F674" s="6" t="n">
        <v>0.9185437189662378</v>
      </c>
      <c r="G674" s="5" t="n">
        <v>0</v>
      </c>
      <c r="H674" s="5" t="n">
        <v>0</v>
      </c>
      <c r="I674" s="5" t="n">
        <v>1</v>
      </c>
      <c r="J674" s="5" t="n">
        <v>1</v>
      </c>
      <c r="K674" s="5" t="n">
        <v>0</v>
      </c>
      <c r="L674" s="5" t="n">
        <v>0</v>
      </c>
      <c r="M674" s="5" t="n">
        <v>0</v>
      </c>
      <c r="N674" s="5" t="n">
        <v>0</v>
      </c>
      <c r="O674" s="5" t="n">
        <v>0</v>
      </c>
      <c r="P674" s="5" t="n">
        <v>0</v>
      </c>
      <c r="Q674" s="5" t="n">
        <v>0</v>
      </c>
      <c r="R674" s="5" t="n">
        <v>0</v>
      </c>
      <c r="S674" s="5" t="n">
        <v>1</v>
      </c>
      <c r="T674" s="5" t="n">
        <v>0</v>
      </c>
      <c r="U674" s="5" t="inlineStr">
        <is>
          <t>testing</t>
        </is>
      </c>
      <c r="V674" s="5" t="n">
        <v>0</v>
      </c>
    </row>
    <row r="675">
      <c r="A675" s="5" t="n">
        <v>671</v>
      </c>
      <c r="B675" s="5" t="n">
        <v>0</v>
      </c>
      <c r="C675" s="6" t="n">
        <v>0.275406400796963</v>
      </c>
      <c r="D675" s="6" t="n">
        <v>0.3108112220612112</v>
      </c>
      <c r="E675" s="6" t="n">
        <v>-0.7427495967609852</v>
      </c>
      <c r="F675" s="6" t="n">
        <v>0.01674764143977723</v>
      </c>
      <c r="G675" s="5" t="n">
        <v>0</v>
      </c>
      <c r="H675" s="5" t="n">
        <v>0</v>
      </c>
      <c r="I675" s="5" t="n">
        <v>0</v>
      </c>
      <c r="J675" s="5" t="n">
        <v>1</v>
      </c>
      <c r="K675" s="5" t="n">
        <v>0</v>
      </c>
      <c r="L675" s="5" t="n">
        <v>0</v>
      </c>
      <c r="M675" s="5" t="n">
        <v>1</v>
      </c>
      <c r="N675" s="5" t="n">
        <v>0</v>
      </c>
      <c r="O675" s="5" t="n">
        <v>0</v>
      </c>
      <c r="P675" s="5" t="n">
        <v>0</v>
      </c>
      <c r="Q675" s="5" t="n">
        <v>0</v>
      </c>
      <c r="R675" s="5" t="n">
        <v>0</v>
      </c>
      <c r="S675" s="5" t="n">
        <v>0</v>
      </c>
      <c r="T675" s="5" t="n">
        <v>0</v>
      </c>
      <c r="U675" s="5" t="inlineStr">
        <is>
          <t>training</t>
        </is>
      </c>
      <c r="V675" s="5" t="n">
        <v>1</v>
      </c>
    </row>
    <row r="676">
      <c r="A676" s="5" t="n">
        <v>672</v>
      </c>
      <c r="B676" s="5" t="n">
        <v>0</v>
      </c>
      <c r="C676" s="6" t="n">
        <v>1.286513816310289</v>
      </c>
      <c r="D676" s="6" t="n">
        <v>0.8716892871304283</v>
      </c>
      <c r="E676" s="6" t="n">
        <v>-0.3948575139689546</v>
      </c>
      <c r="F676" s="6" t="n">
        <v>-0.8850484360866833</v>
      </c>
      <c r="G676" s="5" t="n">
        <v>0</v>
      </c>
      <c r="H676" s="5" t="n">
        <v>0</v>
      </c>
      <c r="I676" s="5" t="n">
        <v>0</v>
      </c>
      <c r="J676" s="5" t="n">
        <v>0</v>
      </c>
      <c r="K676" s="5" t="n">
        <v>0</v>
      </c>
      <c r="L676" s="5" t="n">
        <v>0</v>
      </c>
      <c r="M676" s="5" t="n">
        <v>1</v>
      </c>
      <c r="N676" s="5" t="n">
        <v>0</v>
      </c>
      <c r="O676" s="5" t="n">
        <v>0</v>
      </c>
      <c r="P676" s="5" t="n">
        <v>0</v>
      </c>
      <c r="Q676" s="5" t="n">
        <v>0</v>
      </c>
      <c r="R676" s="5" t="n">
        <v>0</v>
      </c>
      <c r="S676" s="5" t="n">
        <v>0</v>
      </c>
      <c r="T676" s="5" t="n">
        <v>0</v>
      </c>
      <c r="U676" s="5" t="inlineStr">
        <is>
          <t>training</t>
        </is>
      </c>
      <c r="V676" s="5" t="n">
        <v>1</v>
      </c>
    </row>
    <row r="677">
      <c r="A677" s="5" t="n">
        <v>673</v>
      </c>
      <c r="B677" s="5" t="n">
        <v>0</v>
      </c>
      <c r="C677" s="6" t="n">
        <v>3.308728647336942</v>
      </c>
      <c r="D677" s="6" t="n">
        <v>2.489593325109255</v>
      </c>
      <c r="E677" s="6" t="n">
        <v>0.5618457137091294</v>
      </c>
      <c r="F677" s="6" t="n">
        <v>-0.8850484360866833</v>
      </c>
      <c r="G677" s="5" t="n">
        <v>0</v>
      </c>
      <c r="H677" s="5" t="n">
        <v>0</v>
      </c>
      <c r="I677" s="5" t="n">
        <v>0</v>
      </c>
      <c r="J677" s="5" t="n">
        <v>0</v>
      </c>
      <c r="K677" s="5" t="n">
        <v>0</v>
      </c>
      <c r="L677" s="5" t="n">
        <v>0</v>
      </c>
      <c r="M677" s="5" t="n">
        <v>0</v>
      </c>
      <c r="N677" s="5" t="n">
        <v>0</v>
      </c>
      <c r="O677" s="5" t="n">
        <v>0</v>
      </c>
      <c r="P677" s="5" t="n">
        <v>0</v>
      </c>
      <c r="Q677" s="5" t="n">
        <v>0</v>
      </c>
      <c r="R677" s="5" t="n">
        <v>1</v>
      </c>
      <c r="S677" s="5" t="n">
        <v>0</v>
      </c>
      <c r="T677" s="5" t="n">
        <v>0</v>
      </c>
      <c r="U677" s="5" t="inlineStr">
        <is>
          <t>training</t>
        </is>
      </c>
      <c r="V677" s="5" t="n">
        <v>1</v>
      </c>
    </row>
    <row r="678">
      <c r="A678" s="5" t="n">
        <v>674</v>
      </c>
      <c r="B678" s="5" t="n">
        <v>0</v>
      </c>
      <c r="C678" s="6" t="n">
        <v>-1.241254722473026</v>
      </c>
      <c r="D678" s="6" t="n">
        <v>-0.4096179332585129</v>
      </c>
      <c r="E678" s="6" t="n">
        <v>-1.003668658855008</v>
      </c>
      <c r="F678" s="6" t="n">
        <v>-1.786844513613144</v>
      </c>
      <c r="G678" s="5" t="n">
        <v>0</v>
      </c>
      <c r="H678" s="5" t="n">
        <v>0</v>
      </c>
      <c r="I678" s="5" t="n">
        <v>0</v>
      </c>
      <c r="J678" s="5" t="n">
        <v>1</v>
      </c>
      <c r="K678" s="5" t="n">
        <v>0</v>
      </c>
      <c r="L678" s="5" t="n">
        <v>0</v>
      </c>
      <c r="M678" s="5" t="n">
        <v>1</v>
      </c>
      <c r="N678" s="5" t="n">
        <v>0</v>
      </c>
      <c r="O678" s="5" t="n">
        <v>0</v>
      </c>
      <c r="P678" s="5" t="n">
        <v>0</v>
      </c>
      <c r="Q678" s="5" t="n">
        <v>0</v>
      </c>
      <c r="R678" s="5" t="n">
        <v>1</v>
      </c>
      <c r="S678" s="5" t="n">
        <v>0</v>
      </c>
      <c r="T678" s="5" t="n">
        <v>0</v>
      </c>
      <c r="U678" s="5" t="inlineStr">
        <is>
          <t>training</t>
        </is>
      </c>
      <c r="V678" s="5" t="n">
        <v>0</v>
      </c>
    </row>
    <row r="679">
      <c r="A679" s="5" t="n">
        <v>675</v>
      </c>
      <c r="B679" s="5" t="n">
        <v>1</v>
      </c>
      <c r="C679" s="6" t="n">
        <v>0.02262954691863145</v>
      </c>
      <c r="D679" s="6" t="n">
        <v>-0.2346715623697989</v>
      </c>
      <c r="E679" s="6" t="n">
        <v>0.4748726930111218</v>
      </c>
      <c r="F679" s="6" t="n">
        <v>0.9185437189662378</v>
      </c>
      <c r="G679" s="5" t="n">
        <v>0</v>
      </c>
      <c r="H679" s="5" t="n">
        <v>0</v>
      </c>
      <c r="I679" s="5" t="n">
        <v>0</v>
      </c>
      <c r="J679" s="5" t="n">
        <v>0</v>
      </c>
      <c r="K679" s="5" t="n">
        <v>1</v>
      </c>
      <c r="L679" s="5" t="n">
        <v>0</v>
      </c>
      <c r="M679" s="5" t="n">
        <v>1</v>
      </c>
      <c r="N679" s="5" t="n">
        <v>0</v>
      </c>
      <c r="O679" s="5" t="n">
        <v>0</v>
      </c>
      <c r="P679" s="5" t="n">
        <v>0</v>
      </c>
      <c r="Q679" s="5" t="n">
        <v>0</v>
      </c>
      <c r="R679" s="5" t="n">
        <v>0</v>
      </c>
      <c r="S679" s="5" t="n">
        <v>0</v>
      </c>
      <c r="T679" s="5" t="n">
        <v>0</v>
      </c>
      <c r="U679" s="5" t="inlineStr">
        <is>
          <t>training</t>
        </is>
      </c>
      <c r="V679" s="5" t="n">
        <v>1</v>
      </c>
    </row>
    <row r="680">
      <c r="A680" s="5" t="n">
        <v>676</v>
      </c>
      <c r="B680" s="5" t="n">
        <v>0</v>
      </c>
      <c r="C680" s="6" t="n">
        <v>0.7809601085536261</v>
      </c>
      <c r="D680" s="6" t="n">
        <v>0.4476192840961856</v>
      </c>
      <c r="E680" s="6" t="n">
        <v>-0.8297226174589928</v>
      </c>
      <c r="F680" s="6" t="n">
        <v>0.9185437189662378</v>
      </c>
      <c r="G680" s="5" t="n">
        <v>0</v>
      </c>
      <c r="H680" s="5" t="n">
        <v>0</v>
      </c>
      <c r="I680" s="5" t="n">
        <v>0</v>
      </c>
      <c r="J680" s="5" t="n">
        <v>1</v>
      </c>
      <c r="K680" s="5" t="n">
        <v>0</v>
      </c>
      <c r="L680" s="5" t="n">
        <v>0</v>
      </c>
      <c r="M680" s="5" t="n">
        <v>0</v>
      </c>
      <c r="N680" s="5" t="n">
        <v>0</v>
      </c>
      <c r="O680" s="5" t="n">
        <v>0</v>
      </c>
      <c r="P680" s="5" t="n">
        <v>1</v>
      </c>
      <c r="Q680" s="5" t="n">
        <v>0</v>
      </c>
      <c r="R680" s="5" t="n">
        <v>0</v>
      </c>
      <c r="S680" s="5" t="n">
        <v>1</v>
      </c>
      <c r="T680" s="5" t="n">
        <v>0</v>
      </c>
      <c r="U680" s="5" t="inlineStr">
        <is>
          <t>training</t>
        </is>
      </c>
      <c r="V680" s="5" t="n">
        <v>0</v>
      </c>
    </row>
    <row r="681">
      <c r="A681" s="5" t="n">
        <v>677</v>
      </c>
      <c r="B681" s="5" t="n">
        <v>0</v>
      </c>
      <c r="C681" s="6" t="n">
        <v>0.275406400796963</v>
      </c>
      <c r="D681" s="6" t="n">
        <v>0.6645527839981908</v>
      </c>
      <c r="E681" s="6" t="n">
        <v>-0.2209114725729393</v>
      </c>
      <c r="F681" s="6" t="n">
        <v>0.9185437189662378</v>
      </c>
      <c r="G681" s="5" t="n">
        <v>0</v>
      </c>
      <c r="H681" s="5" t="n">
        <v>0</v>
      </c>
      <c r="I681" s="5" t="n">
        <v>0</v>
      </c>
      <c r="J681" s="5" t="n">
        <v>1</v>
      </c>
      <c r="K681" s="5" t="n">
        <v>0</v>
      </c>
      <c r="L681" s="5" t="n">
        <v>0</v>
      </c>
      <c r="M681" s="5" t="n">
        <v>0</v>
      </c>
      <c r="N681" s="5" t="n">
        <v>0</v>
      </c>
      <c r="O681" s="5" t="n">
        <v>0</v>
      </c>
      <c r="P681" s="5" t="n">
        <v>0</v>
      </c>
      <c r="Q681" s="5" t="n">
        <v>0</v>
      </c>
      <c r="R681" s="5" t="n">
        <v>0</v>
      </c>
      <c r="S681" s="5" t="n">
        <v>0</v>
      </c>
      <c r="T681" s="5" t="n">
        <v>1</v>
      </c>
      <c r="U681" s="5" t="inlineStr">
        <is>
          <t>training</t>
        </is>
      </c>
      <c r="V681" s="5" t="n">
        <v>1</v>
      </c>
    </row>
    <row r="682">
      <c r="A682" s="5" t="n">
        <v>678</v>
      </c>
      <c r="B682" s="5" t="n">
        <v>1</v>
      </c>
      <c r="C682" s="6" t="n">
        <v>4.319836062850268</v>
      </c>
      <c r="D682" s="6" t="n">
        <v>0.8202550540891463</v>
      </c>
      <c r="E682" s="6" t="n">
        <v>-1.003668658855008</v>
      </c>
      <c r="F682" s="6" t="n">
        <v>-0.8850484360866833</v>
      </c>
      <c r="G682" s="5" t="n">
        <v>0</v>
      </c>
      <c r="H682" s="5" t="n">
        <v>1</v>
      </c>
      <c r="I682" s="5" t="n">
        <v>0</v>
      </c>
      <c r="J682" s="5" t="n">
        <v>0</v>
      </c>
      <c r="K682" s="5" t="n">
        <v>0</v>
      </c>
      <c r="L682" s="5" t="n">
        <v>0</v>
      </c>
      <c r="M682" s="5" t="n">
        <v>1</v>
      </c>
      <c r="N682" s="5" t="n">
        <v>0</v>
      </c>
      <c r="O682" s="5" t="n">
        <v>0</v>
      </c>
      <c r="P682" s="5" t="n">
        <v>0</v>
      </c>
      <c r="Q682" s="5" t="n">
        <v>0</v>
      </c>
      <c r="R682" s="5" t="n">
        <v>0</v>
      </c>
      <c r="S682" s="5" t="n">
        <v>1</v>
      </c>
      <c r="T682" s="5" t="n">
        <v>0</v>
      </c>
      <c r="U682" s="5" t="inlineStr">
        <is>
          <t>testing</t>
        </is>
      </c>
      <c r="V682" s="5" t="n">
        <v>0</v>
      </c>
    </row>
    <row r="683">
      <c r="A683" s="5" t="n">
        <v>679</v>
      </c>
      <c r="B683" s="5" t="n">
        <v>0</v>
      </c>
      <c r="C683" s="6" t="n">
        <v>0.275406400796963</v>
      </c>
      <c r="D683" s="6" t="n">
        <v>-0.3032505397581748</v>
      </c>
      <c r="E683" s="6" t="n">
        <v>2.475252169065298</v>
      </c>
      <c r="F683" s="6" t="n">
        <v>0.9185437189662378</v>
      </c>
      <c r="G683" s="5" t="n">
        <v>1</v>
      </c>
      <c r="H683" s="5" t="n">
        <v>0</v>
      </c>
      <c r="I683" s="5" t="n">
        <v>0</v>
      </c>
      <c r="J683" s="5" t="n">
        <v>0</v>
      </c>
      <c r="K683" s="5" t="n">
        <v>0</v>
      </c>
      <c r="L683" s="5" t="n">
        <v>0</v>
      </c>
      <c r="M683" s="5" t="n">
        <v>0</v>
      </c>
      <c r="N683" s="5" t="n">
        <v>0</v>
      </c>
      <c r="O683" s="5" t="n">
        <v>0</v>
      </c>
      <c r="P683" s="5" t="n">
        <v>1</v>
      </c>
      <c r="Q683" s="5" t="n">
        <v>0</v>
      </c>
      <c r="R683" s="5" t="n">
        <v>0</v>
      </c>
      <c r="S683" s="5" t="n">
        <v>1</v>
      </c>
      <c r="T683" s="5" t="n">
        <v>0</v>
      </c>
      <c r="U683" s="5" t="inlineStr">
        <is>
          <t>testing</t>
        </is>
      </c>
      <c r="V683" s="5" t="n">
        <v>0</v>
      </c>
    </row>
    <row r="684">
      <c r="A684" s="5" t="n">
        <v>680</v>
      </c>
      <c r="B684" s="5" t="n">
        <v>0</v>
      </c>
      <c r="C684" s="6" t="n">
        <v>-0.2301473069597001</v>
      </c>
      <c r="D684" s="6" t="n">
        <v>-0.6290006823529602</v>
      </c>
      <c r="E684" s="6" t="n">
        <v>-0.8297226174589928</v>
      </c>
      <c r="F684" s="6" t="n">
        <v>0.01674764143977723</v>
      </c>
      <c r="G684" s="5" t="n">
        <v>0</v>
      </c>
      <c r="H684" s="5" t="n">
        <v>0</v>
      </c>
      <c r="I684" s="5" t="n">
        <v>0</v>
      </c>
      <c r="J684" s="5" t="n">
        <v>0</v>
      </c>
      <c r="K684" s="5" t="n">
        <v>0</v>
      </c>
      <c r="L684" s="5" t="n">
        <v>0</v>
      </c>
      <c r="M684" s="5" t="n">
        <v>0</v>
      </c>
      <c r="N684" s="5" t="n">
        <v>0</v>
      </c>
      <c r="O684" s="5" t="n">
        <v>0</v>
      </c>
      <c r="P684" s="5" t="n">
        <v>0</v>
      </c>
      <c r="Q684" s="5" t="n">
        <v>0</v>
      </c>
      <c r="R684" s="5" t="n">
        <v>0</v>
      </c>
      <c r="S684" s="5" t="n">
        <v>1</v>
      </c>
      <c r="T684" s="5" t="n">
        <v>0</v>
      </c>
      <c r="U684" s="5" t="inlineStr">
        <is>
          <t>training</t>
        </is>
      </c>
      <c r="V684" s="5" t="n">
        <v>1</v>
      </c>
    </row>
    <row r="685">
      <c r="A685" s="5" t="n">
        <v>681</v>
      </c>
      <c r="B685" s="5" t="n">
        <v>0</v>
      </c>
      <c r="C685" s="6" t="n">
        <v>-1.241254722473026</v>
      </c>
      <c r="D685" s="6" t="n">
        <v>-0.5992597993018789</v>
      </c>
      <c r="E685" s="6" t="n">
        <v>1.779468003481236</v>
      </c>
      <c r="F685" s="6" t="n">
        <v>-1.786844513613144</v>
      </c>
      <c r="G685" s="5" t="n">
        <v>0</v>
      </c>
      <c r="H685" s="5" t="n">
        <v>0</v>
      </c>
      <c r="I685" s="5" t="n">
        <v>0</v>
      </c>
      <c r="J685" s="5" t="n">
        <v>0</v>
      </c>
      <c r="K685" s="5" t="n">
        <v>0</v>
      </c>
      <c r="L685" s="5" t="n">
        <v>0</v>
      </c>
      <c r="M685" s="5" t="n">
        <v>0</v>
      </c>
      <c r="N685" s="5" t="n">
        <v>0</v>
      </c>
      <c r="O685" s="5" t="n">
        <v>0</v>
      </c>
      <c r="P685" s="5" t="n">
        <v>0</v>
      </c>
      <c r="Q685" s="5" t="n">
        <v>0</v>
      </c>
      <c r="R685" s="5" t="n">
        <v>0</v>
      </c>
      <c r="S685" s="5" t="n">
        <v>0</v>
      </c>
      <c r="T685" s="5" t="n">
        <v>0</v>
      </c>
      <c r="U685" s="5" t="inlineStr">
        <is>
          <t>training</t>
        </is>
      </c>
      <c r="V685" s="5" t="n">
        <v>0</v>
      </c>
    </row>
    <row r="686">
      <c r="A686" s="5" t="n">
        <v>682</v>
      </c>
      <c r="B686" s="5" t="n">
        <v>0</v>
      </c>
      <c r="C686" s="6" t="n">
        <v>-0.7357010147163632</v>
      </c>
      <c r="D686" s="6" t="n">
        <v>-0.3399892776448047</v>
      </c>
      <c r="E686" s="6" t="n">
        <v>0.1269806102190912</v>
      </c>
      <c r="F686" s="6" t="n">
        <v>0.9185437189662378</v>
      </c>
      <c r="G686" s="5" t="n">
        <v>0</v>
      </c>
      <c r="H686" s="5" t="n">
        <v>0</v>
      </c>
      <c r="I686" s="5" t="n">
        <v>0</v>
      </c>
      <c r="J686" s="5" t="n">
        <v>0</v>
      </c>
      <c r="K686" s="5" t="n">
        <v>0</v>
      </c>
      <c r="L686" s="5" t="n">
        <v>0</v>
      </c>
      <c r="M686" s="5" t="n">
        <v>0</v>
      </c>
      <c r="N686" s="5" t="n">
        <v>0</v>
      </c>
      <c r="O686" s="5" t="n">
        <v>1</v>
      </c>
      <c r="P686" s="5" t="n">
        <v>0</v>
      </c>
      <c r="Q686" s="5" t="n">
        <v>1</v>
      </c>
      <c r="R686" s="5" t="n">
        <v>0</v>
      </c>
      <c r="S686" s="5" t="n">
        <v>1</v>
      </c>
      <c r="T686" s="5" t="n">
        <v>0</v>
      </c>
      <c r="U686" s="5" t="inlineStr">
        <is>
          <t>training</t>
        </is>
      </c>
      <c r="V686" s="5" t="n">
        <v>1</v>
      </c>
    </row>
    <row r="687">
      <c r="A687" s="5" t="n">
        <v>683</v>
      </c>
      <c r="B687" s="5" t="n">
        <v>0</v>
      </c>
      <c r="C687" s="6" t="n">
        <v>-0.4829241608380317</v>
      </c>
      <c r="D687" s="6" t="n">
        <v>-0.6202533638085246</v>
      </c>
      <c r="E687" s="6" t="n">
        <v>-0.2209114725729393</v>
      </c>
      <c r="F687" s="6" t="n">
        <v>0.9185437189662378</v>
      </c>
      <c r="G687" s="5" t="n">
        <v>0</v>
      </c>
      <c r="H687" s="5" t="n">
        <v>0</v>
      </c>
      <c r="I687" s="5" t="n">
        <v>0</v>
      </c>
      <c r="J687" s="5" t="n">
        <v>0</v>
      </c>
      <c r="K687" s="5" t="n">
        <v>1</v>
      </c>
      <c r="L687" s="5" t="n">
        <v>0</v>
      </c>
      <c r="M687" s="5" t="n">
        <v>0</v>
      </c>
      <c r="N687" s="5" t="n">
        <v>0</v>
      </c>
      <c r="O687" s="5" t="n">
        <v>0</v>
      </c>
      <c r="P687" s="5" t="n">
        <v>0</v>
      </c>
      <c r="Q687" s="5" t="n">
        <v>0</v>
      </c>
      <c r="R687" s="5" t="n">
        <v>0</v>
      </c>
      <c r="S687" s="5" t="n">
        <v>1</v>
      </c>
      <c r="T687" s="5" t="n">
        <v>0</v>
      </c>
      <c r="U687" s="5" t="inlineStr">
        <is>
          <t>testing</t>
        </is>
      </c>
      <c r="V687" s="5" t="n">
        <v>0</v>
      </c>
    </row>
    <row r="688">
      <c r="A688" s="5" t="n">
        <v>684</v>
      </c>
      <c r="B688" s="5" t="n">
        <v>0</v>
      </c>
      <c r="C688" s="6" t="n">
        <v>0.275406400796963</v>
      </c>
      <c r="D688" s="6" t="n">
        <v>0.6481078251346518</v>
      </c>
      <c r="E688" s="6" t="n">
        <v>0.9967108171991675</v>
      </c>
      <c r="F688" s="6" t="n">
        <v>0.01674764143977723</v>
      </c>
      <c r="G688" s="5" t="n">
        <v>0</v>
      </c>
      <c r="H688" s="5" t="n">
        <v>0</v>
      </c>
      <c r="I688" s="5" t="n">
        <v>0</v>
      </c>
      <c r="J688" s="5" t="n">
        <v>1</v>
      </c>
      <c r="K688" s="5" t="n">
        <v>0</v>
      </c>
      <c r="L688" s="5" t="n">
        <v>0</v>
      </c>
      <c r="M688" s="5" t="n">
        <v>0</v>
      </c>
      <c r="N688" s="5" t="n">
        <v>0</v>
      </c>
      <c r="O688" s="5" t="n">
        <v>0</v>
      </c>
      <c r="P688" s="5" t="n">
        <v>0</v>
      </c>
      <c r="Q688" s="5" t="n">
        <v>1</v>
      </c>
      <c r="R688" s="5" t="n">
        <v>0</v>
      </c>
      <c r="S688" s="5" t="n">
        <v>1</v>
      </c>
      <c r="T688" s="5" t="n">
        <v>0</v>
      </c>
      <c r="U688" s="5" t="inlineStr">
        <is>
          <t>training</t>
        </is>
      </c>
      <c r="V688" s="5" t="n">
        <v>0</v>
      </c>
    </row>
    <row r="689">
      <c r="A689" s="5" t="n">
        <v>685</v>
      </c>
      <c r="B689" s="5" t="n">
        <v>0</v>
      </c>
      <c r="C689" s="6" t="n">
        <v>1.286513816310289</v>
      </c>
      <c r="D689" s="6" t="n">
        <v>2.311497919544544</v>
      </c>
      <c r="E689" s="6" t="n">
        <v>-0.3948575139689546</v>
      </c>
      <c r="F689" s="6" t="n">
        <v>-1.786844513613144</v>
      </c>
      <c r="G689" s="5" t="n">
        <v>0</v>
      </c>
      <c r="H689" s="5" t="n">
        <v>1</v>
      </c>
      <c r="I689" s="5" t="n">
        <v>0</v>
      </c>
      <c r="J689" s="5" t="n">
        <v>0</v>
      </c>
      <c r="K689" s="5" t="n">
        <v>1</v>
      </c>
      <c r="L689" s="5" t="n">
        <v>0</v>
      </c>
      <c r="M689" s="5" t="n">
        <v>1</v>
      </c>
      <c r="N689" s="5" t="n">
        <v>0</v>
      </c>
      <c r="O689" s="5" t="n">
        <v>0</v>
      </c>
      <c r="P689" s="5" t="n">
        <v>0</v>
      </c>
      <c r="Q689" s="5" t="n">
        <v>0</v>
      </c>
      <c r="R689" s="5" t="n">
        <v>0</v>
      </c>
      <c r="S689" s="5" t="n">
        <v>0</v>
      </c>
      <c r="T689" s="5" t="n">
        <v>0</v>
      </c>
      <c r="U689" s="5" t="inlineStr">
        <is>
          <t>training</t>
        </is>
      </c>
      <c r="V689" s="5" t="n">
        <v>0</v>
      </c>
    </row>
    <row r="690">
      <c r="A690" s="5" t="n">
        <v>686</v>
      </c>
      <c r="B690" s="5" t="n">
        <v>0</v>
      </c>
      <c r="C690" s="6" t="n">
        <v>3.308728647336942</v>
      </c>
      <c r="D690" s="6" t="n">
        <v>1.146355089425709</v>
      </c>
      <c r="E690" s="6" t="n">
        <v>-0.1339384518749317</v>
      </c>
      <c r="F690" s="6" t="n">
        <v>0.9185437189662378</v>
      </c>
      <c r="G690" s="5" t="n">
        <v>0</v>
      </c>
      <c r="H690" s="5" t="n">
        <v>0</v>
      </c>
      <c r="I690" s="5" t="n">
        <v>0</v>
      </c>
      <c r="J690" s="5" t="n">
        <v>0</v>
      </c>
      <c r="K690" s="5" t="n">
        <v>0</v>
      </c>
      <c r="L690" s="5" t="n">
        <v>0</v>
      </c>
      <c r="M690" s="5" t="n">
        <v>0</v>
      </c>
      <c r="N690" s="5" t="n">
        <v>0</v>
      </c>
      <c r="O690" s="5" t="n">
        <v>1</v>
      </c>
      <c r="P690" s="5" t="n">
        <v>0</v>
      </c>
      <c r="Q690" s="5" t="n">
        <v>1</v>
      </c>
      <c r="R690" s="5" t="n">
        <v>1</v>
      </c>
      <c r="S690" s="5" t="n">
        <v>0</v>
      </c>
      <c r="T690" s="5" t="n">
        <v>0</v>
      </c>
      <c r="U690" s="5" t="inlineStr">
        <is>
          <t>testing</t>
        </is>
      </c>
      <c r="V690" s="5" t="n">
        <v>0</v>
      </c>
    </row>
    <row r="691">
      <c r="A691" s="5" t="n">
        <v>687</v>
      </c>
      <c r="B691" s="5" t="n">
        <v>0</v>
      </c>
      <c r="C691" s="6" t="n">
        <v>-0.9042189173019176</v>
      </c>
      <c r="D691" s="6" t="n">
        <v>-0.6660893129813676</v>
      </c>
      <c r="E691" s="6" t="n">
        <v>-0.7427495967609852</v>
      </c>
      <c r="F691" s="6" t="n">
        <v>0.9185437189662378</v>
      </c>
      <c r="G691" s="5" t="n">
        <v>0</v>
      </c>
      <c r="H691" s="5" t="n">
        <v>0</v>
      </c>
      <c r="I691" s="5" t="n">
        <v>1</v>
      </c>
      <c r="J691" s="5" t="n">
        <v>1</v>
      </c>
      <c r="K691" s="5" t="n">
        <v>0</v>
      </c>
      <c r="L691" s="5" t="n">
        <v>0</v>
      </c>
      <c r="M691" s="5" t="n">
        <v>0</v>
      </c>
      <c r="N691" s="5" t="n">
        <v>0</v>
      </c>
      <c r="O691" s="5" t="n">
        <v>1</v>
      </c>
      <c r="P691" s="5" t="n">
        <v>0</v>
      </c>
      <c r="Q691" s="5" t="n">
        <v>0</v>
      </c>
      <c r="R691" s="5" t="n">
        <v>0</v>
      </c>
      <c r="S691" s="5" t="n">
        <v>1</v>
      </c>
      <c r="T691" s="5" t="n">
        <v>0</v>
      </c>
      <c r="U691" s="5" t="inlineStr">
        <is>
          <t>training</t>
        </is>
      </c>
      <c r="V691" s="5" t="n">
        <v>0</v>
      </c>
    </row>
    <row r="692">
      <c r="A692" s="5" t="n">
        <v>688</v>
      </c>
      <c r="B692" s="5" t="n">
        <v>0</v>
      </c>
      <c r="C692" s="6" t="n">
        <v>1.286513816310289</v>
      </c>
      <c r="D692" s="6" t="n">
        <v>-0.1360018091885643</v>
      </c>
      <c r="E692" s="6" t="n">
        <v>-0.4818305346669622</v>
      </c>
      <c r="F692" s="6" t="n">
        <v>0.9185437189662378</v>
      </c>
      <c r="G692" s="5" t="n">
        <v>0</v>
      </c>
      <c r="H692" s="5" t="n">
        <v>1</v>
      </c>
      <c r="I692" s="5" t="n">
        <v>0</v>
      </c>
      <c r="J692" s="5" t="n">
        <v>0</v>
      </c>
      <c r="K692" s="5" t="n">
        <v>1</v>
      </c>
      <c r="L692" s="5" t="n">
        <v>0</v>
      </c>
      <c r="M692" s="5" t="n">
        <v>1</v>
      </c>
      <c r="N692" s="5" t="n">
        <v>0</v>
      </c>
      <c r="O692" s="5" t="n">
        <v>0</v>
      </c>
      <c r="P692" s="5" t="n">
        <v>0</v>
      </c>
      <c r="Q692" s="5" t="n">
        <v>1</v>
      </c>
      <c r="R692" s="5" t="n">
        <v>1</v>
      </c>
      <c r="S692" s="5" t="n">
        <v>0</v>
      </c>
      <c r="T692" s="5" t="n">
        <v>0</v>
      </c>
      <c r="U692" s="5" t="inlineStr">
        <is>
          <t>testing</t>
        </is>
      </c>
      <c r="V692" s="5" t="n">
        <v>0</v>
      </c>
    </row>
    <row r="693">
      <c r="A693" s="5" t="n">
        <v>689</v>
      </c>
      <c r="B693" s="5" t="n">
        <v>0</v>
      </c>
      <c r="C693" s="6" t="n">
        <v>-0.9884778685946948</v>
      </c>
      <c r="D693" s="6" t="n">
        <v>-0.1741401180423039</v>
      </c>
      <c r="E693" s="6" t="n">
        <v>-0.04696543117692405</v>
      </c>
      <c r="F693" s="6" t="n">
        <v>0.01674764143977723</v>
      </c>
      <c r="G693" s="5" t="n">
        <v>0</v>
      </c>
      <c r="H693" s="5" t="n">
        <v>0</v>
      </c>
      <c r="I693" s="5" t="n">
        <v>0</v>
      </c>
      <c r="J693" s="5" t="n">
        <v>0</v>
      </c>
      <c r="K693" s="5" t="n">
        <v>0</v>
      </c>
      <c r="L693" s="5" t="n">
        <v>0</v>
      </c>
      <c r="M693" s="5" t="n">
        <v>1</v>
      </c>
      <c r="N693" s="5" t="n">
        <v>0</v>
      </c>
      <c r="O693" s="5" t="n">
        <v>0</v>
      </c>
      <c r="P693" s="5" t="n">
        <v>0</v>
      </c>
      <c r="Q693" s="5" t="n">
        <v>0</v>
      </c>
      <c r="R693" s="5" t="n">
        <v>0</v>
      </c>
      <c r="S693" s="5" t="n">
        <v>1</v>
      </c>
      <c r="T693" s="5" t="n">
        <v>0</v>
      </c>
      <c r="U693" s="5" t="inlineStr">
        <is>
          <t>training</t>
        </is>
      </c>
      <c r="V693" s="5" t="n">
        <v>1</v>
      </c>
    </row>
    <row r="694">
      <c r="A694" s="5" t="n">
        <v>690</v>
      </c>
      <c r="B694" s="5" t="n">
        <v>0</v>
      </c>
      <c r="C694" s="6" t="n">
        <v>-0.7357010147163632</v>
      </c>
      <c r="D694" s="6" t="n">
        <v>0.1400635640738264</v>
      </c>
      <c r="E694" s="6" t="n">
        <v>-0.3948575139689546</v>
      </c>
      <c r="F694" s="6" t="n">
        <v>-1.786844513613144</v>
      </c>
      <c r="G694" s="5" t="n">
        <v>1</v>
      </c>
      <c r="H694" s="5" t="n">
        <v>0</v>
      </c>
      <c r="I694" s="5" t="n">
        <v>0</v>
      </c>
      <c r="J694" s="5" t="n">
        <v>0</v>
      </c>
      <c r="K694" s="5" t="n">
        <v>0</v>
      </c>
      <c r="L694" s="5" t="n">
        <v>0</v>
      </c>
      <c r="M694" s="5" t="n">
        <v>0</v>
      </c>
      <c r="N694" s="5" t="n">
        <v>1</v>
      </c>
      <c r="O694" s="5" t="n">
        <v>0</v>
      </c>
      <c r="P694" s="5" t="n">
        <v>0</v>
      </c>
      <c r="Q694" s="5" t="n">
        <v>0</v>
      </c>
      <c r="R694" s="5" t="n">
        <v>1</v>
      </c>
      <c r="S694" s="5" t="n">
        <v>0</v>
      </c>
      <c r="T694" s="5" t="n">
        <v>0</v>
      </c>
      <c r="U694" s="5" t="inlineStr">
        <is>
          <t>training</t>
        </is>
      </c>
      <c r="V694" s="5" t="n">
        <v>1</v>
      </c>
    </row>
    <row r="695">
      <c r="A695" s="5" t="n">
        <v>691</v>
      </c>
      <c r="B695" s="5" t="n">
        <v>0</v>
      </c>
      <c r="C695" s="6" t="n">
        <v>-0.4829241608380317</v>
      </c>
      <c r="D695" s="6" t="n">
        <v>-0.7962494129225708</v>
      </c>
      <c r="E695" s="6" t="n">
        <v>-0.9166956381570004</v>
      </c>
      <c r="F695" s="6" t="n">
        <v>-0.8850484360866833</v>
      </c>
      <c r="G695" s="5" t="n">
        <v>1</v>
      </c>
      <c r="H695" s="5" t="n">
        <v>0</v>
      </c>
      <c r="I695" s="5" t="n">
        <v>0</v>
      </c>
      <c r="J695" s="5" t="n">
        <v>1</v>
      </c>
      <c r="K695" s="5" t="n">
        <v>0</v>
      </c>
      <c r="L695" s="5" t="n">
        <v>0</v>
      </c>
      <c r="M695" s="5" t="n">
        <v>0</v>
      </c>
      <c r="N695" s="5" t="n">
        <v>0</v>
      </c>
      <c r="O695" s="5" t="n">
        <v>0</v>
      </c>
      <c r="P695" s="5" t="n">
        <v>0</v>
      </c>
      <c r="Q695" s="5" t="n">
        <v>0</v>
      </c>
      <c r="R695" s="5" t="n">
        <v>0</v>
      </c>
      <c r="S695" s="5" t="n">
        <v>0</v>
      </c>
      <c r="T695" s="5" t="n">
        <v>1</v>
      </c>
      <c r="U695" s="5" t="inlineStr">
        <is>
          <t>testing</t>
        </is>
      </c>
      <c r="V695" s="5" t="n">
        <v>0</v>
      </c>
    </row>
    <row r="696">
      <c r="A696" s="5" t="n">
        <v>692</v>
      </c>
      <c r="B696" s="5" t="n">
        <v>0</v>
      </c>
      <c r="C696" s="6" t="n">
        <v>-0.4829241608380317</v>
      </c>
      <c r="D696" s="6" t="n">
        <v>-0.2168270325391501</v>
      </c>
      <c r="E696" s="6" t="n">
        <v>-0.9166956381570004</v>
      </c>
      <c r="F696" s="6" t="n">
        <v>0.01674764143977723</v>
      </c>
      <c r="G696" s="5" t="n">
        <v>0</v>
      </c>
      <c r="H696" s="5" t="n">
        <v>1</v>
      </c>
      <c r="I696" s="5" t="n">
        <v>0</v>
      </c>
      <c r="J696" s="5" t="n">
        <v>0</v>
      </c>
      <c r="K696" s="5" t="n">
        <v>0</v>
      </c>
      <c r="L696" s="5" t="n">
        <v>0</v>
      </c>
      <c r="M696" s="5" t="n">
        <v>1</v>
      </c>
      <c r="N696" s="5" t="n">
        <v>0</v>
      </c>
      <c r="O696" s="5" t="n">
        <v>0</v>
      </c>
      <c r="P696" s="5" t="n">
        <v>0</v>
      </c>
      <c r="Q696" s="5" t="n">
        <v>0</v>
      </c>
      <c r="R696" s="5" t="n">
        <v>0</v>
      </c>
      <c r="S696" s="5" t="n">
        <v>0</v>
      </c>
      <c r="T696" s="5" t="n">
        <v>0</v>
      </c>
      <c r="U696" s="5" t="inlineStr">
        <is>
          <t>training</t>
        </is>
      </c>
      <c r="V696" s="5" t="n">
        <v>1</v>
      </c>
    </row>
    <row r="697">
      <c r="A697" s="5" t="n">
        <v>693</v>
      </c>
      <c r="B697" s="5" t="n">
        <v>0</v>
      </c>
      <c r="C697" s="6" t="n">
        <v>0.275406400796963</v>
      </c>
      <c r="D697" s="6" t="n">
        <v>-0.1241054559681317</v>
      </c>
      <c r="E697" s="6" t="n">
        <v>-0.5688035553649698</v>
      </c>
      <c r="F697" s="6" t="n">
        <v>-0.8850484360866833</v>
      </c>
      <c r="G697" s="5" t="n">
        <v>0</v>
      </c>
      <c r="H697" s="5" t="n">
        <v>1</v>
      </c>
      <c r="I697" s="5" t="n">
        <v>0</v>
      </c>
      <c r="J697" s="5" t="n">
        <v>0</v>
      </c>
      <c r="K697" s="5" t="n">
        <v>0</v>
      </c>
      <c r="L697" s="5" t="n">
        <v>0</v>
      </c>
      <c r="M697" s="5" t="n">
        <v>1</v>
      </c>
      <c r="N697" s="5" t="n">
        <v>0</v>
      </c>
      <c r="O697" s="5" t="n">
        <v>0</v>
      </c>
      <c r="P697" s="5" t="n">
        <v>0</v>
      </c>
      <c r="Q697" s="5" t="n">
        <v>0</v>
      </c>
      <c r="R697" s="5" t="n">
        <v>0</v>
      </c>
      <c r="S697" s="5" t="n">
        <v>1</v>
      </c>
      <c r="T697" s="5" t="n">
        <v>0</v>
      </c>
      <c r="U697" s="5" t="inlineStr">
        <is>
          <t>training</t>
        </is>
      </c>
      <c r="V697" s="5" t="n">
        <v>1</v>
      </c>
    </row>
    <row r="698">
      <c r="A698" s="5" t="n">
        <v>694</v>
      </c>
      <c r="B698" s="5" t="n">
        <v>0</v>
      </c>
      <c r="C698" s="6" t="n">
        <v>-1.241254722473026</v>
      </c>
      <c r="D698" s="6" t="n">
        <v>0.5126993340667871</v>
      </c>
      <c r="E698" s="6" t="n">
        <v>0.7357917551051447</v>
      </c>
      <c r="F698" s="6" t="n">
        <v>-1.786844513613144</v>
      </c>
      <c r="G698" s="5" t="n">
        <v>1</v>
      </c>
      <c r="H698" s="5" t="n">
        <v>0</v>
      </c>
      <c r="I698" s="5" t="n">
        <v>0</v>
      </c>
      <c r="J698" s="5" t="n">
        <v>1</v>
      </c>
      <c r="K698" s="5" t="n">
        <v>0</v>
      </c>
      <c r="L698" s="5" t="n">
        <v>0</v>
      </c>
      <c r="M698" s="5" t="n">
        <v>0</v>
      </c>
      <c r="N698" s="5" t="n">
        <v>0</v>
      </c>
      <c r="O698" s="5" t="n">
        <v>1</v>
      </c>
      <c r="P698" s="5" t="n">
        <v>0</v>
      </c>
      <c r="Q698" s="5" t="n">
        <v>0</v>
      </c>
      <c r="R698" s="5" t="n">
        <v>1</v>
      </c>
      <c r="S698" s="5" t="n">
        <v>0</v>
      </c>
      <c r="T698" s="5" t="n">
        <v>0</v>
      </c>
      <c r="U698" s="5" t="inlineStr">
        <is>
          <t>training</t>
        </is>
      </c>
      <c r="V698" s="5" t="n">
        <v>1</v>
      </c>
    </row>
    <row r="699">
      <c r="A699" s="5" t="n">
        <v>695</v>
      </c>
      <c r="B699" s="5" t="n">
        <v>0</v>
      </c>
      <c r="C699" s="6" t="n">
        <v>0.275406400796963</v>
      </c>
      <c r="D699" s="6" t="n">
        <v>-0.3382398139359176</v>
      </c>
      <c r="E699" s="6" t="n">
        <v>-0.6557765760629775</v>
      </c>
      <c r="F699" s="6" t="n">
        <v>0.9185437189662378</v>
      </c>
      <c r="G699" s="5" t="n">
        <v>0</v>
      </c>
      <c r="H699" s="5" t="n">
        <v>0</v>
      </c>
      <c r="I699" s="5" t="n">
        <v>0</v>
      </c>
      <c r="J699" s="5" t="n">
        <v>0</v>
      </c>
      <c r="K699" s="5" t="n">
        <v>0</v>
      </c>
      <c r="L699" s="5" t="n">
        <v>0</v>
      </c>
      <c r="M699" s="5" t="n">
        <v>0</v>
      </c>
      <c r="N699" s="5" t="n">
        <v>0</v>
      </c>
      <c r="O699" s="5" t="n">
        <v>0</v>
      </c>
      <c r="P699" s="5" t="n">
        <v>0</v>
      </c>
      <c r="Q699" s="5" t="n">
        <v>0</v>
      </c>
      <c r="R699" s="5" t="n">
        <v>0</v>
      </c>
      <c r="S699" s="5" t="n">
        <v>1</v>
      </c>
      <c r="T699" s="5" t="n">
        <v>0</v>
      </c>
      <c r="U699" s="5" t="inlineStr">
        <is>
          <t>training</t>
        </is>
      </c>
      <c r="V699" s="5" t="n">
        <v>1</v>
      </c>
    </row>
    <row r="700">
      <c r="A700" s="5" t="n">
        <v>696</v>
      </c>
      <c r="B700" s="5" t="n">
        <v>0</v>
      </c>
      <c r="C700" s="6" t="n">
        <v>-1.241254722473026</v>
      </c>
      <c r="D700" s="6" t="n">
        <v>-0.7049274073186621</v>
      </c>
      <c r="E700" s="6" t="n">
        <v>1.257629879293191</v>
      </c>
      <c r="F700" s="6" t="n">
        <v>-0.8850484360866833</v>
      </c>
      <c r="G700" s="5" t="n">
        <v>0</v>
      </c>
      <c r="H700" s="5" t="n">
        <v>0</v>
      </c>
      <c r="I700" s="5" t="n">
        <v>0</v>
      </c>
      <c r="J700" s="5" t="n">
        <v>0</v>
      </c>
      <c r="K700" s="5" t="n">
        <v>0</v>
      </c>
      <c r="L700" s="5" t="n">
        <v>0</v>
      </c>
      <c r="M700" s="5" t="n">
        <v>1</v>
      </c>
      <c r="N700" s="5" t="n">
        <v>0</v>
      </c>
      <c r="O700" s="5" t="n">
        <v>0</v>
      </c>
      <c r="P700" s="5" t="n">
        <v>1</v>
      </c>
      <c r="Q700" s="5" t="n">
        <v>0</v>
      </c>
      <c r="R700" s="5" t="n">
        <v>1</v>
      </c>
      <c r="S700" s="5" t="n">
        <v>0</v>
      </c>
      <c r="T700" s="5" t="n">
        <v>0</v>
      </c>
      <c r="U700" s="5" t="inlineStr">
        <is>
          <t>training</t>
        </is>
      </c>
      <c r="V700" s="5" t="n">
        <v>1</v>
      </c>
    </row>
    <row r="701">
      <c r="A701" s="5" t="n">
        <v>697</v>
      </c>
      <c r="B701" s="5" t="n">
        <v>0</v>
      </c>
      <c r="C701" s="6" t="n">
        <v>-0.7357010147163632</v>
      </c>
      <c r="D701" s="6" t="n">
        <v>-0.75146314197506</v>
      </c>
      <c r="E701" s="6" t="n">
        <v>-0.5688035553649698</v>
      </c>
      <c r="F701" s="6" t="n">
        <v>0.9185437189662378</v>
      </c>
      <c r="G701" s="5" t="n">
        <v>0</v>
      </c>
      <c r="H701" s="5" t="n">
        <v>1</v>
      </c>
      <c r="I701" s="5" t="n">
        <v>0</v>
      </c>
      <c r="J701" s="5" t="n">
        <v>0</v>
      </c>
      <c r="K701" s="5" t="n">
        <v>0</v>
      </c>
      <c r="L701" s="5" t="n">
        <v>0</v>
      </c>
      <c r="M701" s="5" t="n">
        <v>0</v>
      </c>
      <c r="N701" s="5" t="n">
        <v>0</v>
      </c>
      <c r="O701" s="5" t="n">
        <v>0</v>
      </c>
      <c r="P701" s="5" t="n">
        <v>0</v>
      </c>
      <c r="Q701" s="5" t="n">
        <v>0</v>
      </c>
      <c r="R701" s="5" t="n">
        <v>0</v>
      </c>
      <c r="S701" s="5" t="n">
        <v>1</v>
      </c>
      <c r="T701" s="5" t="n">
        <v>0</v>
      </c>
      <c r="U701" s="5" t="inlineStr">
        <is>
          <t>training</t>
        </is>
      </c>
      <c r="V701" s="5" t="n">
        <v>0</v>
      </c>
    </row>
    <row r="702">
      <c r="A702" s="5" t="n">
        <v>698</v>
      </c>
      <c r="B702" s="5" t="n">
        <v>0</v>
      </c>
      <c r="C702" s="6" t="n">
        <v>-0.7357010147163632</v>
      </c>
      <c r="D702" s="6" t="n">
        <v>-0.8133941572696648</v>
      </c>
      <c r="E702" s="6" t="n">
        <v>0.2139536309170988</v>
      </c>
      <c r="F702" s="6" t="n">
        <v>-1.786844513613144</v>
      </c>
      <c r="G702" s="5" t="n">
        <v>0</v>
      </c>
      <c r="H702" s="5" t="n">
        <v>0</v>
      </c>
      <c r="I702" s="5" t="n">
        <v>0</v>
      </c>
      <c r="J702" s="5" t="n">
        <v>1</v>
      </c>
      <c r="K702" s="5" t="n">
        <v>0</v>
      </c>
      <c r="L702" s="5" t="n">
        <v>0</v>
      </c>
      <c r="M702" s="5" t="n">
        <v>0</v>
      </c>
      <c r="N702" s="5" t="n">
        <v>0</v>
      </c>
      <c r="O702" s="5" t="n">
        <v>0</v>
      </c>
      <c r="P702" s="5" t="n">
        <v>0</v>
      </c>
      <c r="Q702" s="5" t="n">
        <v>0</v>
      </c>
      <c r="R702" s="5" t="n">
        <v>1</v>
      </c>
      <c r="S702" s="5" t="n">
        <v>0</v>
      </c>
      <c r="T702" s="5" t="n">
        <v>0</v>
      </c>
      <c r="U702" s="5" t="inlineStr">
        <is>
          <t>training</t>
        </is>
      </c>
      <c r="V702" s="5" t="n">
        <v>0</v>
      </c>
    </row>
    <row r="703">
      <c r="A703" s="5" t="n">
        <v>699</v>
      </c>
      <c r="B703" s="5" t="n">
        <v>0</v>
      </c>
      <c r="C703" s="6" t="n">
        <v>-0.2301473069597001</v>
      </c>
      <c r="D703" s="6" t="n">
        <v>-0.5075879009561928</v>
      </c>
      <c r="E703" s="6" t="n">
        <v>-1.003668658855008</v>
      </c>
      <c r="F703" s="6" t="n">
        <v>0.9185437189662378</v>
      </c>
      <c r="G703" s="5" t="n">
        <v>0</v>
      </c>
      <c r="H703" s="5" t="n">
        <v>0</v>
      </c>
      <c r="I703" s="5" t="n">
        <v>0</v>
      </c>
      <c r="J703" s="5" t="n">
        <v>1</v>
      </c>
      <c r="K703" s="5" t="n">
        <v>0</v>
      </c>
      <c r="L703" s="5" t="n">
        <v>0</v>
      </c>
      <c r="M703" s="5" t="n">
        <v>0</v>
      </c>
      <c r="N703" s="5" t="n">
        <v>0</v>
      </c>
      <c r="O703" s="5" t="n">
        <v>0</v>
      </c>
      <c r="P703" s="5" t="n">
        <v>0</v>
      </c>
      <c r="Q703" s="5" t="n">
        <v>0</v>
      </c>
      <c r="R703" s="5" t="n">
        <v>0</v>
      </c>
      <c r="S703" s="5" t="n">
        <v>1</v>
      </c>
      <c r="T703" s="5" t="n">
        <v>0</v>
      </c>
      <c r="U703" s="5" t="inlineStr">
        <is>
          <t>training</t>
        </is>
      </c>
      <c r="V703" s="5" t="n">
        <v>0</v>
      </c>
    </row>
    <row r="704">
      <c r="A704" s="5" t="n">
        <v>700</v>
      </c>
      <c r="B704" s="5" t="n">
        <v>0</v>
      </c>
      <c r="C704" s="6" t="n">
        <v>-0.4829241608380317</v>
      </c>
      <c r="D704" s="6" t="n">
        <v>-0.4708491630695628</v>
      </c>
      <c r="E704" s="6" t="n">
        <v>0.3878996723131141</v>
      </c>
      <c r="F704" s="6" t="n">
        <v>0.9185437189662378</v>
      </c>
      <c r="G704" s="5" t="n">
        <v>0</v>
      </c>
      <c r="H704" s="5" t="n">
        <v>0</v>
      </c>
      <c r="I704" s="5" t="n">
        <v>1</v>
      </c>
      <c r="J704" s="5" t="n">
        <v>0</v>
      </c>
      <c r="K704" s="5" t="n">
        <v>0</v>
      </c>
      <c r="L704" s="5" t="n">
        <v>0</v>
      </c>
      <c r="M704" s="5" t="n">
        <v>0</v>
      </c>
      <c r="N704" s="5" t="n">
        <v>0</v>
      </c>
      <c r="O704" s="5" t="n">
        <v>0</v>
      </c>
      <c r="P704" s="5" t="n">
        <v>1</v>
      </c>
      <c r="Q704" s="5" t="n">
        <v>0</v>
      </c>
      <c r="R704" s="5" t="n">
        <v>0</v>
      </c>
      <c r="S704" s="5" t="n">
        <v>0</v>
      </c>
      <c r="T704" s="5" t="n">
        <v>0</v>
      </c>
      <c r="U704" s="5" t="inlineStr">
        <is>
          <t>testing</t>
        </is>
      </c>
      <c r="V704" s="5" t="n">
        <v>0</v>
      </c>
    </row>
    <row r="705">
      <c r="A705" s="5" t="n">
        <v>701</v>
      </c>
      <c r="B705" s="5" t="n">
        <v>1</v>
      </c>
      <c r="C705" s="6" t="n">
        <v>-0.7357010147163632</v>
      </c>
      <c r="D705" s="6" t="n">
        <v>-0.7444652871395114</v>
      </c>
      <c r="E705" s="6" t="n">
        <v>-0.5688035553649698</v>
      </c>
      <c r="F705" s="6" t="n">
        <v>0.9185437189662378</v>
      </c>
      <c r="G705" s="5" t="n">
        <v>0</v>
      </c>
      <c r="H705" s="5" t="n">
        <v>0</v>
      </c>
      <c r="I705" s="5" t="n">
        <v>0</v>
      </c>
      <c r="J705" s="5" t="n">
        <v>0</v>
      </c>
      <c r="K705" s="5" t="n">
        <v>0</v>
      </c>
      <c r="L705" s="5" t="n">
        <v>0</v>
      </c>
      <c r="M705" s="5" t="n">
        <v>1</v>
      </c>
      <c r="N705" s="5" t="n">
        <v>0</v>
      </c>
      <c r="O705" s="5" t="n">
        <v>0</v>
      </c>
      <c r="P705" s="5" t="n">
        <v>1</v>
      </c>
      <c r="Q705" s="5" t="n">
        <v>0</v>
      </c>
      <c r="R705" s="5" t="n">
        <v>0</v>
      </c>
      <c r="S705" s="5" t="n">
        <v>0</v>
      </c>
      <c r="T705" s="5" t="n">
        <v>1</v>
      </c>
      <c r="U705" s="5" t="inlineStr">
        <is>
          <t>training</t>
        </is>
      </c>
      <c r="V705" s="5" t="n">
        <v>1</v>
      </c>
    </row>
    <row r="706">
      <c r="A706" s="5" t="n">
        <v>702</v>
      </c>
      <c r="B706" s="5" t="n">
        <v>1</v>
      </c>
      <c r="C706" s="6" t="n">
        <v>2.297621231823615</v>
      </c>
      <c r="D706" s="6" t="n">
        <v>1.077776112037333</v>
      </c>
      <c r="E706" s="6" t="n">
        <v>0.9097377965011599</v>
      </c>
      <c r="F706" s="6" t="n">
        <v>0.9185437189662378</v>
      </c>
      <c r="G706" s="5" t="n">
        <v>1</v>
      </c>
      <c r="H706" s="5" t="n">
        <v>0</v>
      </c>
      <c r="I706" s="5" t="n">
        <v>0</v>
      </c>
      <c r="J706" s="5" t="n">
        <v>1</v>
      </c>
      <c r="K706" s="5" t="n">
        <v>0</v>
      </c>
      <c r="L706" s="5" t="n">
        <v>0</v>
      </c>
      <c r="M706" s="5" t="n">
        <v>0</v>
      </c>
      <c r="N706" s="5" t="n">
        <v>0</v>
      </c>
      <c r="O706" s="5" t="n">
        <v>0</v>
      </c>
      <c r="P706" s="5" t="n">
        <v>0</v>
      </c>
      <c r="Q706" s="5" t="n">
        <v>1</v>
      </c>
      <c r="R706" s="5" t="n">
        <v>1</v>
      </c>
      <c r="S706" s="5" t="n">
        <v>0</v>
      </c>
      <c r="T706" s="5" t="n">
        <v>0</v>
      </c>
      <c r="U706" s="5" t="inlineStr">
        <is>
          <t>training</t>
        </is>
      </c>
      <c r="V706" s="5" t="n">
        <v>1</v>
      </c>
    </row>
    <row r="707">
      <c r="A707" s="5" t="n">
        <v>703</v>
      </c>
      <c r="B707" s="5" t="n">
        <v>0</v>
      </c>
      <c r="C707" s="6" t="n">
        <v>0.275406400796963</v>
      </c>
      <c r="D707" s="6" t="n">
        <v>-0.6555925307280448</v>
      </c>
      <c r="E707" s="6" t="n">
        <v>0.9967108171991675</v>
      </c>
      <c r="F707" s="6" t="n">
        <v>0.9185437189662378</v>
      </c>
      <c r="G707" s="5" t="n">
        <v>0</v>
      </c>
      <c r="H707" s="5" t="n">
        <v>0</v>
      </c>
      <c r="I707" s="5" t="n">
        <v>1</v>
      </c>
      <c r="J707" s="5" t="n">
        <v>0</v>
      </c>
      <c r="K707" s="5" t="n">
        <v>0</v>
      </c>
      <c r="L707" s="5" t="n">
        <v>0</v>
      </c>
      <c r="M707" s="5" t="n">
        <v>1</v>
      </c>
      <c r="N707" s="5" t="n">
        <v>0</v>
      </c>
      <c r="O707" s="5" t="n">
        <v>0</v>
      </c>
      <c r="P707" s="5" t="n">
        <v>0</v>
      </c>
      <c r="Q707" s="5" t="n">
        <v>1</v>
      </c>
      <c r="R707" s="5" t="n">
        <v>0</v>
      </c>
      <c r="S707" s="5" t="n">
        <v>1</v>
      </c>
      <c r="T707" s="5" t="n">
        <v>0</v>
      </c>
      <c r="U707" s="5" t="inlineStr">
        <is>
          <t>training</t>
        </is>
      </c>
      <c r="V707" s="5" t="n">
        <v>0</v>
      </c>
    </row>
    <row r="708">
      <c r="A708" s="5" t="n">
        <v>704</v>
      </c>
      <c r="B708" s="5" t="n">
        <v>0</v>
      </c>
      <c r="C708" s="6" t="n">
        <v>0.7809601085536261</v>
      </c>
      <c r="D708" s="6" t="n">
        <v>-0.2616133034866609</v>
      </c>
      <c r="E708" s="6" t="n">
        <v>0.4748726930111218</v>
      </c>
      <c r="F708" s="6" t="n">
        <v>0.9185437189662378</v>
      </c>
      <c r="G708" s="5" t="n">
        <v>0</v>
      </c>
      <c r="H708" s="5" t="n">
        <v>1</v>
      </c>
      <c r="I708" s="5" t="n">
        <v>0</v>
      </c>
      <c r="J708" s="5" t="n">
        <v>0</v>
      </c>
      <c r="K708" s="5" t="n">
        <v>1</v>
      </c>
      <c r="L708" s="5" t="n">
        <v>0</v>
      </c>
      <c r="M708" s="5" t="n">
        <v>1</v>
      </c>
      <c r="N708" s="5" t="n">
        <v>0</v>
      </c>
      <c r="O708" s="5" t="n">
        <v>0</v>
      </c>
      <c r="P708" s="5" t="n">
        <v>0</v>
      </c>
      <c r="Q708" s="5" t="n">
        <v>0</v>
      </c>
      <c r="R708" s="5" t="n">
        <v>0</v>
      </c>
      <c r="S708" s="5" t="n">
        <v>0</v>
      </c>
      <c r="T708" s="5" t="n">
        <v>0</v>
      </c>
      <c r="U708" s="5" t="inlineStr">
        <is>
          <t>training</t>
        </is>
      </c>
      <c r="V708" s="5" t="n">
        <v>0</v>
      </c>
    </row>
    <row r="709">
      <c r="A709" s="5" t="n">
        <v>705</v>
      </c>
      <c r="B709" s="5" t="n">
        <v>0</v>
      </c>
      <c r="C709" s="6" t="n">
        <v>0.5281832546752946</v>
      </c>
      <c r="D709" s="6" t="n">
        <v>-0.2528659849422252</v>
      </c>
      <c r="E709" s="6" t="n">
        <v>-0.307884493270947</v>
      </c>
      <c r="F709" s="6" t="n">
        <v>0.9185437189662378</v>
      </c>
      <c r="G709" s="5" t="n">
        <v>0</v>
      </c>
      <c r="H709" s="5" t="n">
        <v>1</v>
      </c>
      <c r="I709" s="5" t="n">
        <v>0</v>
      </c>
      <c r="J709" s="5" t="n">
        <v>0</v>
      </c>
      <c r="K709" s="5" t="n">
        <v>0</v>
      </c>
      <c r="L709" s="5" t="n">
        <v>0</v>
      </c>
      <c r="M709" s="5" t="n">
        <v>0</v>
      </c>
      <c r="N709" s="5" t="n">
        <v>0</v>
      </c>
      <c r="O709" s="5" t="n">
        <v>0</v>
      </c>
      <c r="P709" s="5" t="n">
        <v>0</v>
      </c>
      <c r="Q709" s="5" t="n">
        <v>0</v>
      </c>
      <c r="R709" s="5" t="n">
        <v>0</v>
      </c>
      <c r="S709" s="5" t="n">
        <v>0</v>
      </c>
      <c r="T709" s="5" t="n">
        <v>0</v>
      </c>
      <c r="U709" s="5" t="inlineStr">
        <is>
          <t>training</t>
        </is>
      </c>
      <c r="V709" s="5" t="n">
        <v>1</v>
      </c>
    </row>
    <row r="710">
      <c r="A710" s="5" t="n">
        <v>706</v>
      </c>
      <c r="B710" s="5" t="n">
        <v>0</v>
      </c>
      <c r="C710" s="6" t="n">
        <v>-0.4829241608380317</v>
      </c>
      <c r="D710" s="6" t="n">
        <v>0.7254341210674633</v>
      </c>
      <c r="E710" s="6" t="n">
        <v>-0.04696543117692405</v>
      </c>
      <c r="F710" s="6" t="n">
        <v>-1.786844513613144</v>
      </c>
      <c r="G710" s="5" t="n">
        <v>0</v>
      </c>
      <c r="H710" s="5" t="n">
        <v>0</v>
      </c>
      <c r="I710" s="5" t="n">
        <v>0</v>
      </c>
      <c r="J710" s="5" t="n">
        <v>0</v>
      </c>
      <c r="K710" s="5" t="n">
        <v>0</v>
      </c>
      <c r="L710" s="5" t="n">
        <v>0</v>
      </c>
      <c r="M710" s="5" t="n">
        <v>1</v>
      </c>
      <c r="N710" s="5" t="n">
        <v>0</v>
      </c>
      <c r="O710" s="5" t="n">
        <v>0</v>
      </c>
      <c r="P710" s="5" t="n">
        <v>0</v>
      </c>
      <c r="Q710" s="5" t="n">
        <v>1</v>
      </c>
      <c r="R710" s="5" t="n">
        <v>1</v>
      </c>
      <c r="S710" s="5" t="n">
        <v>0</v>
      </c>
      <c r="T710" s="5" t="n">
        <v>0</v>
      </c>
      <c r="U710" s="5" t="inlineStr">
        <is>
          <t>training</t>
        </is>
      </c>
      <c r="V710" s="5" t="n">
        <v>0</v>
      </c>
    </row>
    <row r="711">
      <c r="A711" s="5" t="n">
        <v>707</v>
      </c>
      <c r="B711" s="5" t="n">
        <v>1</v>
      </c>
      <c r="C711" s="6" t="n">
        <v>2.297621231823615</v>
      </c>
      <c r="D711" s="6" t="n">
        <v>1.157901549904364</v>
      </c>
      <c r="E711" s="6" t="n">
        <v>-1.003668658855008</v>
      </c>
      <c r="F711" s="6" t="n">
        <v>0.01674764143977723</v>
      </c>
      <c r="G711" s="5" t="n">
        <v>0</v>
      </c>
      <c r="H711" s="5" t="n">
        <v>1</v>
      </c>
      <c r="I711" s="5" t="n">
        <v>0</v>
      </c>
      <c r="J711" s="5" t="n">
        <v>0</v>
      </c>
      <c r="K711" s="5" t="n">
        <v>0</v>
      </c>
      <c r="L711" s="5" t="n">
        <v>0</v>
      </c>
      <c r="M711" s="5" t="n">
        <v>1</v>
      </c>
      <c r="N711" s="5" t="n">
        <v>0</v>
      </c>
      <c r="O711" s="5" t="n">
        <v>0</v>
      </c>
      <c r="P711" s="5" t="n">
        <v>0</v>
      </c>
      <c r="Q711" s="5" t="n">
        <v>0</v>
      </c>
      <c r="R711" s="5" t="n">
        <v>1</v>
      </c>
      <c r="S711" s="5" t="n">
        <v>0</v>
      </c>
      <c r="T711" s="5" t="n">
        <v>0</v>
      </c>
      <c r="U711" s="5" t="inlineStr">
        <is>
          <t>testing</t>
        </is>
      </c>
      <c r="V711" s="5" t="n">
        <v>0</v>
      </c>
    </row>
    <row r="712">
      <c r="A712" s="5" t="n">
        <v>708</v>
      </c>
      <c r="B712" s="5" t="n">
        <v>1</v>
      </c>
      <c r="C712" s="6" t="n">
        <v>-0.7357010147163632</v>
      </c>
      <c r="D712" s="6" t="n">
        <v>-0.09856328581837948</v>
      </c>
      <c r="E712" s="6" t="n">
        <v>-0.9166956381570004</v>
      </c>
      <c r="F712" s="6" t="n">
        <v>0.9185437189662378</v>
      </c>
      <c r="G712" s="5" t="n">
        <v>0</v>
      </c>
      <c r="H712" s="5" t="n">
        <v>1</v>
      </c>
      <c r="I712" s="5" t="n">
        <v>0</v>
      </c>
      <c r="J712" s="5" t="n">
        <v>0</v>
      </c>
      <c r="K712" s="5" t="n">
        <v>0</v>
      </c>
      <c r="L712" s="5" t="n">
        <v>1</v>
      </c>
      <c r="M712" s="5" t="n">
        <v>0</v>
      </c>
      <c r="N712" s="5" t="n">
        <v>0</v>
      </c>
      <c r="O712" s="5" t="n">
        <v>0</v>
      </c>
      <c r="P712" s="5" t="n">
        <v>1</v>
      </c>
      <c r="Q712" s="5" t="n">
        <v>0</v>
      </c>
      <c r="R712" s="5" t="n">
        <v>0</v>
      </c>
      <c r="S712" s="5" t="n">
        <v>0</v>
      </c>
      <c r="T712" s="5" t="n">
        <v>1</v>
      </c>
      <c r="U712" s="5" t="inlineStr">
        <is>
          <t>training</t>
        </is>
      </c>
      <c r="V712" s="5" t="n">
        <v>1</v>
      </c>
    </row>
    <row r="713">
      <c r="A713" s="5" t="n">
        <v>709</v>
      </c>
      <c r="B713" s="5" t="n">
        <v>0</v>
      </c>
      <c r="C713" s="6" t="n">
        <v>-0.9884778685946948</v>
      </c>
      <c r="D713" s="6" t="n">
        <v>-0.7154241895719849</v>
      </c>
      <c r="E713" s="6" t="n">
        <v>-0.9166956381570004</v>
      </c>
      <c r="F713" s="6" t="n">
        <v>0.9185437189662378</v>
      </c>
      <c r="G713" s="5" t="n">
        <v>0</v>
      </c>
      <c r="H713" s="5" t="n">
        <v>1</v>
      </c>
      <c r="I713" s="5" t="n">
        <v>0</v>
      </c>
      <c r="J713" s="5" t="n">
        <v>0</v>
      </c>
      <c r="K713" s="5" t="n">
        <v>0</v>
      </c>
      <c r="L713" s="5" t="n">
        <v>0</v>
      </c>
      <c r="M713" s="5" t="n">
        <v>0</v>
      </c>
      <c r="N713" s="5" t="n">
        <v>0</v>
      </c>
      <c r="O713" s="5" t="n">
        <v>0</v>
      </c>
      <c r="P713" s="5" t="n">
        <v>0</v>
      </c>
      <c r="Q713" s="5" t="n">
        <v>0</v>
      </c>
      <c r="R713" s="5" t="n">
        <v>0</v>
      </c>
      <c r="S713" s="5" t="n">
        <v>1</v>
      </c>
      <c r="T713" s="5" t="n">
        <v>0</v>
      </c>
      <c r="U713" s="5" t="inlineStr">
        <is>
          <t>training</t>
        </is>
      </c>
      <c r="V713" s="5" t="n">
        <v>0</v>
      </c>
    </row>
    <row r="714">
      <c r="A714" s="5" t="n">
        <v>710</v>
      </c>
      <c r="B714" s="5" t="n">
        <v>0</v>
      </c>
      <c r="C714" s="6" t="n">
        <v>-0.9884778685946948</v>
      </c>
      <c r="D714" s="6" t="n">
        <v>-0.3963220090709706</v>
      </c>
      <c r="E714" s="6" t="n">
        <v>0.1269806102190912</v>
      </c>
      <c r="F714" s="6" t="n">
        <v>-0.8850484360866833</v>
      </c>
      <c r="G714" s="5" t="n">
        <v>0</v>
      </c>
      <c r="H714" s="5" t="n">
        <v>1</v>
      </c>
      <c r="I714" s="5" t="n">
        <v>0</v>
      </c>
      <c r="J714" s="5" t="n">
        <v>0</v>
      </c>
      <c r="K714" s="5" t="n">
        <v>0</v>
      </c>
      <c r="L714" s="5" t="n">
        <v>0</v>
      </c>
      <c r="M714" s="5" t="n">
        <v>0</v>
      </c>
      <c r="N714" s="5" t="n">
        <v>0</v>
      </c>
      <c r="O714" s="5" t="n">
        <v>0</v>
      </c>
      <c r="P714" s="5" t="n">
        <v>0</v>
      </c>
      <c r="Q714" s="5" t="n">
        <v>0</v>
      </c>
      <c r="R714" s="5" t="n">
        <v>0</v>
      </c>
      <c r="S714" s="5" t="n">
        <v>1</v>
      </c>
      <c r="T714" s="5" t="n">
        <v>0</v>
      </c>
      <c r="U714" s="5" t="inlineStr">
        <is>
          <t>testing</t>
        </is>
      </c>
      <c r="V714" s="5" t="n">
        <v>0</v>
      </c>
    </row>
    <row r="715">
      <c r="A715" s="5" t="n">
        <v>711</v>
      </c>
      <c r="B715" s="5" t="n">
        <v>0</v>
      </c>
      <c r="C715" s="6" t="n">
        <v>-0.2301473069597001</v>
      </c>
      <c r="D715" s="6" t="n">
        <v>-0.9173123015775608</v>
      </c>
      <c r="E715" s="6" t="n">
        <v>-0.307884493270947</v>
      </c>
      <c r="F715" s="6" t="n">
        <v>0.9185437189662378</v>
      </c>
      <c r="G715" s="5" t="n">
        <v>0</v>
      </c>
      <c r="H715" s="5" t="n">
        <v>0</v>
      </c>
      <c r="I715" s="5" t="n">
        <v>0</v>
      </c>
      <c r="J715" s="5" t="n">
        <v>1</v>
      </c>
      <c r="K715" s="5" t="n">
        <v>0</v>
      </c>
      <c r="L715" s="5" t="n">
        <v>0</v>
      </c>
      <c r="M715" s="5" t="n">
        <v>1</v>
      </c>
      <c r="N715" s="5" t="n">
        <v>0</v>
      </c>
      <c r="O715" s="5" t="n">
        <v>0</v>
      </c>
      <c r="P715" s="5" t="n">
        <v>0</v>
      </c>
      <c r="Q715" s="5" t="n">
        <v>0</v>
      </c>
      <c r="R715" s="5" t="n">
        <v>0</v>
      </c>
      <c r="S715" s="5" t="n">
        <v>1</v>
      </c>
      <c r="T715" s="5" t="n">
        <v>0</v>
      </c>
      <c r="U715" s="5" t="inlineStr">
        <is>
          <t>training</t>
        </is>
      </c>
      <c r="V715" s="5" t="n">
        <v>0</v>
      </c>
    </row>
    <row r="716">
      <c r="A716" s="5" t="n">
        <v>712</v>
      </c>
      <c r="B716" s="5" t="n">
        <v>1</v>
      </c>
      <c r="C716" s="6" t="n">
        <v>-1.241254722473026</v>
      </c>
      <c r="D716" s="6" t="n">
        <v>-0.7182233315062043</v>
      </c>
      <c r="E716" s="6" t="n">
        <v>-0.04696543117692405</v>
      </c>
      <c r="F716" s="6" t="n">
        <v>0.9185437189662378</v>
      </c>
      <c r="G716" s="5" t="n">
        <v>1</v>
      </c>
      <c r="H716" s="5" t="n">
        <v>0</v>
      </c>
      <c r="I716" s="5" t="n">
        <v>0</v>
      </c>
      <c r="J716" s="5" t="n">
        <v>0</v>
      </c>
      <c r="K716" s="5" t="n">
        <v>0</v>
      </c>
      <c r="L716" s="5" t="n">
        <v>1</v>
      </c>
      <c r="M716" s="5" t="n">
        <v>0</v>
      </c>
      <c r="N716" s="5" t="n">
        <v>0</v>
      </c>
      <c r="O716" s="5" t="n">
        <v>0</v>
      </c>
      <c r="P716" s="5" t="n">
        <v>0</v>
      </c>
      <c r="Q716" s="5" t="n">
        <v>1</v>
      </c>
      <c r="R716" s="5" t="n">
        <v>0</v>
      </c>
      <c r="S716" s="5" t="n">
        <v>0</v>
      </c>
      <c r="T716" s="5" t="n">
        <v>0</v>
      </c>
      <c r="U716" s="5" t="inlineStr">
        <is>
          <t>training</t>
        </is>
      </c>
      <c r="V716" s="5" t="n">
        <v>1</v>
      </c>
    </row>
    <row r="717">
      <c r="A717" s="5" t="n">
        <v>713</v>
      </c>
      <c r="B717" s="5" t="n">
        <v>0</v>
      </c>
      <c r="C717" s="6" t="n">
        <v>0.02262954691863145</v>
      </c>
      <c r="D717" s="6" t="n">
        <v>-0.2710604075146514</v>
      </c>
      <c r="E717" s="6" t="n">
        <v>0.9097377965011599</v>
      </c>
      <c r="F717" s="6" t="n">
        <v>0.9185437189662378</v>
      </c>
      <c r="G717" s="5" t="n">
        <v>0</v>
      </c>
      <c r="H717" s="5" t="n">
        <v>0</v>
      </c>
      <c r="I717" s="5" t="n">
        <v>0</v>
      </c>
      <c r="J717" s="5" t="n">
        <v>0</v>
      </c>
      <c r="K717" s="5" t="n">
        <v>0</v>
      </c>
      <c r="L717" s="5" t="n">
        <v>0</v>
      </c>
      <c r="M717" s="5" t="n">
        <v>0</v>
      </c>
      <c r="N717" s="5" t="n">
        <v>0</v>
      </c>
      <c r="O717" s="5" t="n">
        <v>1</v>
      </c>
      <c r="P717" s="5" t="n">
        <v>0</v>
      </c>
      <c r="Q717" s="5" t="n">
        <v>0</v>
      </c>
      <c r="R717" s="5" t="n">
        <v>1</v>
      </c>
      <c r="S717" s="5" t="n">
        <v>0</v>
      </c>
      <c r="T717" s="5" t="n">
        <v>0</v>
      </c>
      <c r="U717" s="5" t="inlineStr">
        <is>
          <t>training</t>
        </is>
      </c>
      <c r="V717" s="5" t="n">
        <v>1</v>
      </c>
    </row>
    <row r="718">
      <c r="A718" s="5" t="n">
        <v>714</v>
      </c>
      <c r="B718" s="5" t="n">
        <v>0</v>
      </c>
      <c r="C718" s="6" t="n">
        <v>-0.9884778685946948</v>
      </c>
      <c r="D718" s="6" t="n">
        <v>-0.73921689601285</v>
      </c>
      <c r="E718" s="6" t="n">
        <v>-0.9166956381570004</v>
      </c>
      <c r="F718" s="6" t="n">
        <v>0.9185437189662378</v>
      </c>
      <c r="G718" s="5" t="n">
        <v>1</v>
      </c>
      <c r="H718" s="5" t="n">
        <v>0</v>
      </c>
      <c r="I718" s="5" t="n">
        <v>0</v>
      </c>
      <c r="J718" s="5" t="n">
        <v>1</v>
      </c>
      <c r="K718" s="5" t="n">
        <v>0</v>
      </c>
      <c r="L718" s="5" t="n">
        <v>0</v>
      </c>
      <c r="M718" s="5" t="n">
        <v>0</v>
      </c>
      <c r="N718" s="5" t="n">
        <v>0</v>
      </c>
      <c r="O718" s="5" t="n">
        <v>0</v>
      </c>
      <c r="P718" s="5" t="n">
        <v>0</v>
      </c>
      <c r="Q718" s="5" t="n">
        <v>0</v>
      </c>
      <c r="R718" s="5" t="n">
        <v>0</v>
      </c>
      <c r="S718" s="5" t="n">
        <v>1</v>
      </c>
      <c r="T718" s="5" t="n">
        <v>0</v>
      </c>
      <c r="U718" s="5" t="inlineStr">
        <is>
          <t>training</t>
        </is>
      </c>
      <c r="V718" s="5" t="n">
        <v>1</v>
      </c>
    </row>
    <row r="719">
      <c r="A719" s="5" t="n">
        <v>715</v>
      </c>
      <c r="B719" s="5" t="n">
        <v>1</v>
      </c>
      <c r="C719" s="6" t="n">
        <v>3.308728647336942</v>
      </c>
      <c r="D719" s="6" t="n">
        <v>3.770550652756419</v>
      </c>
      <c r="E719" s="6" t="n">
        <v>-0.7427495967609852</v>
      </c>
      <c r="F719" s="6" t="n">
        <v>0.9185437189662378</v>
      </c>
      <c r="G719" s="5" t="n">
        <v>0</v>
      </c>
      <c r="H719" s="5" t="n">
        <v>1</v>
      </c>
      <c r="I719" s="5" t="n">
        <v>0</v>
      </c>
      <c r="J719" s="5" t="n">
        <v>0</v>
      </c>
      <c r="K719" s="5" t="n">
        <v>0</v>
      </c>
      <c r="L719" s="5" t="n">
        <v>0</v>
      </c>
      <c r="M719" s="5" t="n">
        <v>0</v>
      </c>
      <c r="N719" s="5" t="n">
        <v>0</v>
      </c>
      <c r="O719" s="5" t="n">
        <v>0</v>
      </c>
      <c r="P719" s="5" t="n">
        <v>0</v>
      </c>
      <c r="Q719" s="5" t="n">
        <v>0</v>
      </c>
      <c r="R719" s="5" t="n">
        <v>1</v>
      </c>
      <c r="S719" s="5" t="n">
        <v>0</v>
      </c>
      <c r="T719" s="5" t="n">
        <v>0</v>
      </c>
      <c r="U719" s="5" t="inlineStr">
        <is>
          <t>testing</t>
        </is>
      </c>
      <c r="V719" s="5" t="n">
        <v>0</v>
      </c>
    </row>
    <row r="720">
      <c r="A720" s="5" t="n">
        <v>716</v>
      </c>
      <c r="B720" s="5" t="n">
        <v>0</v>
      </c>
      <c r="C720" s="6" t="n">
        <v>0.7809601085536261</v>
      </c>
      <c r="D720" s="6" t="n">
        <v>1.52039043038578</v>
      </c>
      <c r="E720" s="6" t="n">
        <v>2.38827914836729</v>
      </c>
      <c r="F720" s="6" t="n">
        <v>-1.786844513613144</v>
      </c>
      <c r="G720" s="5" t="n">
        <v>0</v>
      </c>
      <c r="H720" s="5" t="n">
        <v>0</v>
      </c>
      <c r="I720" s="5" t="n">
        <v>0</v>
      </c>
      <c r="J720" s="5" t="n">
        <v>1</v>
      </c>
      <c r="K720" s="5" t="n">
        <v>0</v>
      </c>
      <c r="L720" s="5" t="n">
        <v>0</v>
      </c>
      <c r="M720" s="5" t="n">
        <v>0</v>
      </c>
      <c r="N720" s="5" t="n">
        <v>0</v>
      </c>
      <c r="O720" s="5" t="n">
        <v>1</v>
      </c>
      <c r="P720" s="5" t="n">
        <v>0</v>
      </c>
      <c r="Q720" s="5" t="n">
        <v>0</v>
      </c>
      <c r="R720" s="5" t="n">
        <v>1</v>
      </c>
      <c r="S720" s="5" t="n">
        <v>0</v>
      </c>
      <c r="T720" s="5" t="n">
        <v>0</v>
      </c>
      <c r="U720" s="5" t="inlineStr">
        <is>
          <t>training</t>
        </is>
      </c>
      <c r="V720" s="5" t="n">
        <v>0</v>
      </c>
    </row>
    <row r="721">
      <c r="A721" s="5" t="n">
        <v>717</v>
      </c>
      <c r="B721" s="5" t="n">
        <v>0</v>
      </c>
      <c r="C721" s="6" t="n">
        <v>0.7809601085536261</v>
      </c>
      <c r="D721" s="6" t="n">
        <v>-0.06077486970641726</v>
      </c>
      <c r="E721" s="6" t="n">
        <v>0.3878996723131141</v>
      </c>
      <c r="F721" s="6" t="n">
        <v>0.01674764143977723</v>
      </c>
      <c r="G721" s="5" t="n">
        <v>0</v>
      </c>
      <c r="H721" s="5" t="n">
        <v>0</v>
      </c>
      <c r="I721" s="5" t="n">
        <v>0</v>
      </c>
      <c r="J721" s="5" t="n">
        <v>1</v>
      </c>
      <c r="K721" s="5" t="n">
        <v>0</v>
      </c>
      <c r="L721" s="5" t="n">
        <v>0</v>
      </c>
      <c r="M721" s="5" t="n">
        <v>0</v>
      </c>
      <c r="N721" s="5" t="n">
        <v>0</v>
      </c>
      <c r="O721" s="5" t="n">
        <v>1</v>
      </c>
      <c r="P721" s="5" t="n">
        <v>0</v>
      </c>
      <c r="Q721" s="5" t="n">
        <v>0</v>
      </c>
      <c r="R721" s="5" t="n">
        <v>0</v>
      </c>
      <c r="S721" s="5" t="n">
        <v>1</v>
      </c>
      <c r="T721" s="5" t="n">
        <v>0</v>
      </c>
      <c r="U721" s="5" t="inlineStr">
        <is>
          <t>testing</t>
        </is>
      </c>
      <c r="V721" s="5" t="n">
        <v>0</v>
      </c>
    </row>
    <row r="722">
      <c r="A722" s="5" t="n">
        <v>718</v>
      </c>
      <c r="B722" s="5" t="n">
        <v>0</v>
      </c>
      <c r="C722" s="6" t="n">
        <v>-0.2301473069597001</v>
      </c>
      <c r="D722" s="6" t="n">
        <v>-0.6108062597805339</v>
      </c>
      <c r="E722" s="6" t="n">
        <v>-0.307884493270947</v>
      </c>
      <c r="F722" s="6" t="n">
        <v>0.9185437189662378</v>
      </c>
      <c r="G722" s="5" t="n">
        <v>0</v>
      </c>
      <c r="H722" s="5" t="n">
        <v>0</v>
      </c>
      <c r="I722" s="5" t="n">
        <v>0</v>
      </c>
      <c r="J722" s="5" t="n">
        <v>0</v>
      </c>
      <c r="K722" s="5" t="n">
        <v>0</v>
      </c>
      <c r="L722" s="5" t="n">
        <v>0</v>
      </c>
      <c r="M722" s="5" t="n">
        <v>0</v>
      </c>
      <c r="N722" s="5" t="n">
        <v>0</v>
      </c>
      <c r="O722" s="5" t="n">
        <v>0</v>
      </c>
      <c r="P722" s="5" t="n">
        <v>0</v>
      </c>
      <c r="Q722" s="5" t="n">
        <v>1</v>
      </c>
      <c r="R722" s="5" t="n">
        <v>0</v>
      </c>
      <c r="S722" s="5" t="n">
        <v>1</v>
      </c>
      <c r="T722" s="5" t="n">
        <v>0</v>
      </c>
      <c r="U722" s="5" t="inlineStr">
        <is>
          <t>training</t>
        </is>
      </c>
      <c r="V722" s="5" t="n">
        <v>0</v>
      </c>
    </row>
    <row r="723">
      <c r="A723" s="5" t="n">
        <v>719</v>
      </c>
      <c r="B723" s="5" t="n">
        <v>0</v>
      </c>
      <c r="C723" s="6" t="n">
        <v>0.275406400796963</v>
      </c>
      <c r="D723" s="6" t="n">
        <v>-0.03593248504021988</v>
      </c>
      <c r="E723" s="6" t="n">
        <v>-0.3948575139689546</v>
      </c>
      <c r="F723" s="6" t="n">
        <v>0.01674764143977723</v>
      </c>
      <c r="G723" s="5" t="n">
        <v>0</v>
      </c>
      <c r="H723" s="5" t="n">
        <v>0</v>
      </c>
      <c r="I723" s="5" t="n">
        <v>1</v>
      </c>
      <c r="J723" s="5" t="n">
        <v>1</v>
      </c>
      <c r="K723" s="5" t="n">
        <v>0</v>
      </c>
      <c r="L723" s="5" t="n">
        <v>0</v>
      </c>
      <c r="M723" s="5" t="n">
        <v>0</v>
      </c>
      <c r="N723" s="5" t="n">
        <v>0</v>
      </c>
      <c r="O723" s="5" t="n">
        <v>1</v>
      </c>
      <c r="P723" s="5" t="n">
        <v>0</v>
      </c>
      <c r="Q723" s="5" t="n">
        <v>0</v>
      </c>
      <c r="R723" s="5" t="n">
        <v>0</v>
      </c>
      <c r="S723" s="5" t="n">
        <v>1</v>
      </c>
      <c r="T723" s="5" t="n">
        <v>0</v>
      </c>
      <c r="U723" s="5" t="inlineStr">
        <is>
          <t>training</t>
        </is>
      </c>
      <c r="V723" s="5" t="n">
        <v>0</v>
      </c>
    </row>
    <row r="724">
      <c r="A724" s="5" t="n">
        <v>720</v>
      </c>
      <c r="B724" s="5" t="n">
        <v>0</v>
      </c>
      <c r="C724" s="6" t="n">
        <v>-0.06162940437414574</v>
      </c>
      <c r="D724" s="6" t="n">
        <v>1.013745740292064</v>
      </c>
      <c r="E724" s="6" t="n">
        <v>-0.3948575139689546</v>
      </c>
      <c r="F724" s="6" t="n">
        <v>0.01674764143977723</v>
      </c>
      <c r="G724" s="5" t="n">
        <v>0</v>
      </c>
      <c r="H724" s="5" t="n">
        <v>1</v>
      </c>
      <c r="I724" s="5" t="n">
        <v>0</v>
      </c>
      <c r="J724" s="5" t="n">
        <v>0</v>
      </c>
      <c r="K724" s="5" t="n">
        <v>0</v>
      </c>
      <c r="L724" s="5" t="n">
        <v>1</v>
      </c>
      <c r="M724" s="5" t="n">
        <v>1</v>
      </c>
      <c r="N724" s="5" t="n">
        <v>0</v>
      </c>
      <c r="O724" s="5" t="n">
        <v>0</v>
      </c>
      <c r="P724" s="5" t="n">
        <v>0</v>
      </c>
      <c r="Q724" s="5" t="n">
        <v>0</v>
      </c>
      <c r="R724" s="5" t="n">
        <v>1</v>
      </c>
      <c r="S724" s="5" t="n">
        <v>0</v>
      </c>
      <c r="T724" s="5" t="n">
        <v>0</v>
      </c>
      <c r="U724" s="5" t="inlineStr">
        <is>
          <t>training</t>
        </is>
      </c>
      <c r="V724" s="5" t="n">
        <v>0</v>
      </c>
    </row>
    <row r="725">
      <c r="A725" s="5" t="n">
        <v>721</v>
      </c>
      <c r="B725" s="5" t="n">
        <v>1</v>
      </c>
      <c r="C725" s="6" t="n">
        <v>-0.9884778685946948</v>
      </c>
      <c r="D725" s="6" t="n">
        <v>-0.6695882403991419</v>
      </c>
      <c r="E725" s="6" t="n">
        <v>-0.1339384518749317</v>
      </c>
      <c r="F725" s="6" t="n">
        <v>0.9185437189662378</v>
      </c>
      <c r="G725" s="5" t="n">
        <v>0</v>
      </c>
      <c r="H725" s="5" t="n">
        <v>0</v>
      </c>
      <c r="I725" s="5" t="n">
        <v>1</v>
      </c>
      <c r="J725" s="5" t="n">
        <v>0</v>
      </c>
      <c r="K725" s="5" t="n">
        <v>0</v>
      </c>
      <c r="L725" s="5" t="n">
        <v>1</v>
      </c>
      <c r="M725" s="5" t="n">
        <v>0</v>
      </c>
      <c r="N725" s="5" t="n">
        <v>0</v>
      </c>
      <c r="O725" s="5" t="n">
        <v>0</v>
      </c>
      <c r="P725" s="5" t="n">
        <v>0</v>
      </c>
      <c r="Q725" s="5" t="n">
        <v>0</v>
      </c>
      <c r="R725" s="5" t="n">
        <v>0</v>
      </c>
      <c r="S725" s="5" t="n">
        <v>1</v>
      </c>
      <c r="T725" s="5" t="n">
        <v>0</v>
      </c>
      <c r="U725" s="5" t="inlineStr">
        <is>
          <t>training</t>
        </is>
      </c>
      <c r="V725" s="5" t="n">
        <v>1</v>
      </c>
    </row>
    <row r="726">
      <c r="A726" s="5" t="n">
        <v>722</v>
      </c>
      <c r="B726" s="5" t="n">
        <v>1</v>
      </c>
      <c r="C726" s="6" t="n">
        <v>-1.241254722473026</v>
      </c>
      <c r="D726" s="6" t="n">
        <v>-0.9858912789659368</v>
      </c>
      <c r="E726" s="6" t="n">
        <v>-1.003668658855008</v>
      </c>
      <c r="F726" s="6" t="n">
        <v>0.9185437189662378</v>
      </c>
      <c r="G726" s="5" t="n">
        <v>0</v>
      </c>
      <c r="H726" s="5" t="n">
        <v>1</v>
      </c>
      <c r="I726" s="5" t="n">
        <v>0</v>
      </c>
      <c r="J726" s="5" t="n">
        <v>0</v>
      </c>
      <c r="K726" s="5" t="n">
        <v>0</v>
      </c>
      <c r="L726" s="5" t="n">
        <v>1</v>
      </c>
      <c r="M726" s="5" t="n">
        <v>0</v>
      </c>
      <c r="N726" s="5" t="n">
        <v>1</v>
      </c>
      <c r="O726" s="5" t="n">
        <v>0</v>
      </c>
      <c r="P726" s="5" t="n">
        <v>1</v>
      </c>
      <c r="Q726" s="5" t="n">
        <v>0</v>
      </c>
      <c r="R726" s="5" t="n">
        <v>0</v>
      </c>
      <c r="S726" s="5" t="n">
        <v>0</v>
      </c>
      <c r="T726" s="5" t="n">
        <v>0</v>
      </c>
      <c r="U726" s="5" t="inlineStr">
        <is>
          <t>testing</t>
        </is>
      </c>
      <c r="V726" s="5" t="n">
        <v>0</v>
      </c>
    </row>
    <row r="727">
      <c r="A727" s="5" t="n">
        <v>723</v>
      </c>
      <c r="B727" s="5" t="n">
        <v>1</v>
      </c>
      <c r="C727" s="6" t="n">
        <v>-0.7357010147163632</v>
      </c>
      <c r="D727" s="6" t="n">
        <v>-0.7077265492528815</v>
      </c>
      <c r="E727" s="6" t="n">
        <v>-1.003668658855008</v>
      </c>
      <c r="F727" s="6" t="n">
        <v>0.9185437189662378</v>
      </c>
      <c r="G727" s="5" t="n">
        <v>1</v>
      </c>
      <c r="H727" s="5" t="n">
        <v>0</v>
      </c>
      <c r="I727" s="5" t="n">
        <v>0</v>
      </c>
      <c r="J727" s="5" t="n">
        <v>0</v>
      </c>
      <c r="K727" s="5" t="n">
        <v>0</v>
      </c>
      <c r="L727" s="5" t="n">
        <v>0</v>
      </c>
      <c r="M727" s="5" t="n">
        <v>0</v>
      </c>
      <c r="N727" s="5" t="n">
        <v>0</v>
      </c>
      <c r="O727" s="5" t="n">
        <v>0</v>
      </c>
      <c r="P727" s="5" t="n">
        <v>0</v>
      </c>
      <c r="Q727" s="5" t="n">
        <v>0</v>
      </c>
      <c r="R727" s="5" t="n">
        <v>1</v>
      </c>
      <c r="S727" s="5" t="n">
        <v>0</v>
      </c>
      <c r="T727" s="5" t="n">
        <v>0</v>
      </c>
      <c r="U727" s="5" t="inlineStr">
        <is>
          <t>training</t>
        </is>
      </c>
      <c r="V727" s="5" t="n">
        <v>1</v>
      </c>
    </row>
    <row r="728">
      <c r="A728" s="5" t="n">
        <v>724</v>
      </c>
      <c r="B728" s="5" t="n">
        <v>0</v>
      </c>
      <c r="C728" s="6" t="n">
        <v>-0.9884778685946948</v>
      </c>
      <c r="D728" s="6" t="n">
        <v>-0.8609795701513949</v>
      </c>
      <c r="E728" s="6" t="n">
        <v>2.649198210461313</v>
      </c>
      <c r="F728" s="6" t="n">
        <v>0.9185437189662378</v>
      </c>
      <c r="G728" s="5" t="n">
        <v>0</v>
      </c>
      <c r="H728" s="5" t="n">
        <v>1</v>
      </c>
      <c r="I728" s="5" t="n">
        <v>0</v>
      </c>
      <c r="J728" s="5" t="n">
        <v>0</v>
      </c>
      <c r="K728" s="5" t="n">
        <v>0</v>
      </c>
      <c r="L728" s="5" t="n">
        <v>0</v>
      </c>
      <c r="M728" s="5" t="n">
        <v>1</v>
      </c>
      <c r="N728" s="5" t="n">
        <v>0</v>
      </c>
      <c r="O728" s="5" t="n">
        <v>0</v>
      </c>
      <c r="P728" s="5" t="n">
        <v>0</v>
      </c>
      <c r="Q728" s="5" t="n">
        <v>0</v>
      </c>
      <c r="R728" s="5" t="n">
        <v>0</v>
      </c>
      <c r="S728" s="5" t="n">
        <v>1</v>
      </c>
      <c r="T728" s="5" t="n">
        <v>0</v>
      </c>
      <c r="U728" s="5" t="inlineStr">
        <is>
          <t>training</t>
        </is>
      </c>
      <c r="V728" s="5" t="n">
        <v>0</v>
      </c>
    </row>
    <row r="729">
      <c r="A729" s="5" t="n">
        <v>725</v>
      </c>
      <c r="B729" s="5" t="n">
        <v>1</v>
      </c>
      <c r="C729" s="6" t="n">
        <v>0.5281832546752946</v>
      </c>
      <c r="D729" s="6" t="n">
        <v>-0.2381704897875732</v>
      </c>
      <c r="E729" s="6" t="n">
        <v>-1.264587720949031</v>
      </c>
      <c r="F729" s="6" t="n">
        <v>0.01674764143977723</v>
      </c>
      <c r="G729" s="5" t="n">
        <v>0</v>
      </c>
      <c r="H729" s="5" t="n">
        <v>0</v>
      </c>
      <c r="I729" s="5" t="n">
        <v>0</v>
      </c>
      <c r="J729" s="5" t="n">
        <v>0</v>
      </c>
      <c r="K729" s="5" t="n">
        <v>0</v>
      </c>
      <c r="L729" s="5" t="n">
        <v>0</v>
      </c>
      <c r="M729" s="5" t="n">
        <v>0</v>
      </c>
      <c r="N729" s="5" t="n">
        <v>0</v>
      </c>
      <c r="O729" s="5" t="n">
        <v>0</v>
      </c>
      <c r="P729" s="5" t="n">
        <v>1</v>
      </c>
      <c r="Q729" s="5" t="n">
        <v>0</v>
      </c>
      <c r="R729" s="5" t="n">
        <v>1</v>
      </c>
      <c r="S729" s="5" t="n">
        <v>0</v>
      </c>
      <c r="T729" s="5" t="n">
        <v>0</v>
      </c>
      <c r="U729" s="5" t="inlineStr">
        <is>
          <t>training</t>
        </is>
      </c>
      <c r="V729" s="5" t="n">
        <v>1</v>
      </c>
    </row>
    <row r="730">
      <c r="A730" s="5" t="n">
        <v>726</v>
      </c>
      <c r="B730" s="5" t="n">
        <v>0</v>
      </c>
      <c r="C730" s="6" t="n">
        <v>-1.241254722473026</v>
      </c>
      <c r="D730" s="6" t="n">
        <v>-1.049921650711206</v>
      </c>
      <c r="E730" s="6" t="n">
        <v>0.4748726930111218</v>
      </c>
      <c r="F730" s="6" t="n">
        <v>-0.8850484360866833</v>
      </c>
      <c r="G730" s="5" t="n">
        <v>0</v>
      </c>
      <c r="H730" s="5" t="n">
        <v>0</v>
      </c>
      <c r="I730" s="5" t="n">
        <v>0</v>
      </c>
      <c r="J730" s="5" t="n">
        <v>1</v>
      </c>
      <c r="K730" s="5" t="n">
        <v>0</v>
      </c>
      <c r="L730" s="5" t="n">
        <v>0</v>
      </c>
      <c r="M730" s="5" t="n">
        <v>0</v>
      </c>
      <c r="N730" s="5" t="n">
        <v>1</v>
      </c>
      <c r="O730" s="5" t="n">
        <v>0</v>
      </c>
      <c r="P730" s="5" t="n">
        <v>0</v>
      </c>
      <c r="Q730" s="5" t="n">
        <v>0</v>
      </c>
      <c r="R730" s="5" t="n">
        <v>1</v>
      </c>
      <c r="S730" s="5" t="n">
        <v>0</v>
      </c>
      <c r="T730" s="5" t="n">
        <v>0</v>
      </c>
      <c r="U730" s="5" t="inlineStr">
        <is>
          <t>training</t>
        </is>
      </c>
      <c r="V730" s="5" t="n">
        <v>0</v>
      </c>
    </row>
    <row r="731">
      <c r="A731" s="5" t="n">
        <v>727</v>
      </c>
      <c r="B731" s="5" t="n">
        <v>0</v>
      </c>
      <c r="C731" s="6" t="n">
        <v>-0.4829241608380317</v>
      </c>
      <c r="D731" s="6" t="n">
        <v>-0.6769359879764679</v>
      </c>
      <c r="E731" s="6" t="n">
        <v>0.9967108171991675</v>
      </c>
      <c r="F731" s="6" t="n">
        <v>-0.8850484360866833</v>
      </c>
      <c r="G731" s="5" t="n">
        <v>0</v>
      </c>
      <c r="H731" s="5" t="n">
        <v>0</v>
      </c>
      <c r="I731" s="5" t="n">
        <v>0</v>
      </c>
      <c r="J731" s="5" t="n">
        <v>1</v>
      </c>
      <c r="K731" s="5" t="n">
        <v>0</v>
      </c>
      <c r="L731" s="5" t="n">
        <v>0</v>
      </c>
      <c r="M731" s="5" t="n">
        <v>1</v>
      </c>
      <c r="N731" s="5" t="n">
        <v>0</v>
      </c>
      <c r="O731" s="5" t="n">
        <v>0</v>
      </c>
      <c r="P731" s="5" t="n">
        <v>0</v>
      </c>
      <c r="Q731" s="5" t="n">
        <v>0</v>
      </c>
      <c r="R731" s="5" t="n">
        <v>0</v>
      </c>
      <c r="S731" s="5" t="n">
        <v>1</v>
      </c>
      <c r="T731" s="5" t="n">
        <v>0</v>
      </c>
      <c r="U731" s="5" t="inlineStr">
        <is>
          <t>training</t>
        </is>
      </c>
      <c r="V731" s="5" t="n">
        <v>1</v>
      </c>
    </row>
    <row r="732">
      <c r="A732" s="5" t="n">
        <v>728</v>
      </c>
      <c r="B732" s="5" t="n">
        <v>1</v>
      </c>
      <c r="C732" s="6" t="n">
        <v>-0.2301473069597001</v>
      </c>
      <c r="D732" s="6" t="n">
        <v>-0.4788966961304437</v>
      </c>
      <c r="E732" s="6" t="n">
        <v>-0.9166956381570004</v>
      </c>
      <c r="F732" s="6" t="n">
        <v>0.9185437189662378</v>
      </c>
      <c r="G732" s="5" t="n">
        <v>1</v>
      </c>
      <c r="H732" s="5" t="n">
        <v>0</v>
      </c>
      <c r="I732" s="5" t="n">
        <v>0</v>
      </c>
      <c r="J732" s="5" t="n">
        <v>0</v>
      </c>
      <c r="K732" s="5" t="n">
        <v>0</v>
      </c>
      <c r="L732" s="5" t="n">
        <v>0</v>
      </c>
      <c r="M732" s="5" t="n">
        <v>0</v>
      </c>
      <c r="N732" s="5" t="n">
        <v>0</v>
      </c>
      <c r="O732" s="5" t="n">
        <v>0</v>
      </c>
      <c r="P732" s="5" t="n">
        <v>1</v>
      </c>
      <c r="Q732" s="5" t="n">
        <v>0</v>
      </c>
      <c r="R732" s="5" t="n">
        <v>0</v>
      </c>
      <c r="S732" s="5" t="n">
        <v>1</v>
      </c>
      <c r="T732" s="5" t="n">
        <v>0</v>
      </c>
      <c r="U732" s="5" t="inlineStr">
        <is>
          <t>training</t>
        </is>
      </c>
      <c r="V732" s="5" t="n">
        <v>1</v>
      </c>
    </row>
    <row r="733">
      <c r="A733" s="5" t="n">
        <v>729</v>
      </c>
      <c r="B733" s="5" t="n">
        <v>1</v>
      </c>
      <c r="C733" s="6" t="n">
        <v>2.297621231823615</v>
      </c>
      <c r="D733" s="6" t="n">
        <v>1.107516995088415</v>
      </c>
      <c r="E733" s="6" t="n">
        <v>2.040387065575259</v>
      </c>
      <c r="F733" s="6" t="n">
        <v>0.9185437189662378</v>
      </c>
      <c r="G733" s="5" t="n">
        <v>0</v>
      </c>
      <c r="H733" s="5" t="n">
        <v>1</v>
      </c>
      <c r="I733" s="5" t="n">
        <v>0</v>
      </c>
      <c r="J733" s="5" t="n">
        <v>0</v>
      </c>
      <c r="K733" s="5" t="n">
        <v>0</v>
      </c>
      <c r="L733" s="5" t="n">
        <v>1</v>
      </c>
      <c r="M733" s="5" t="n">
        <v>0</v>
      </c>
      <c r="N733" s="5" t="n">
        <v>0</v>
      </c>
      <c r="O733" s="5" t="n">
        <v>0</v>
      </c>
      <c r="P733" s="5" t="n">
        <v>1</v>
      </c>
      <c r="Q733" s="5" t="n">
        <v>0</v>
      </c>
      <c r="R733" s="5" t="n">
        <v>0</v>
      </c>
      <c r="S733" s="5" t="n">
        <v>0</v>
      </c>
      <c r="T733" s="5" t="n">
        <v>0</v>
      </c>
      <c r="U733" s="5" t="inlineStr">
        <is>
          <t>testing</t>
        </is>
      </c>
      <c r="V733" s="5" t="n">
        <v>0</v>
      </c>
    </row>
    <row r="734">
      <c r="A734" s="5" t="n">
        <v>730</v>
      </c>
      <c r="B734" s="5" t="n">
        <v>0</v>
      </c>
      <c r="C734" s="6" t="n">
        <v>0.275406400796963</v>
      </c>
      <c r="D734" s="6" t="n">
        <v>-0.6912815903893424</v>
      </c>
      <c r="E734" s="6" t="n">
        <v>0.04000758952108359</v>
      </c>
      <c r="F734" s="6" t="n">
        <v>-0.8850484360866833</v>
      </c>
      <c r="G734" s="5" t="n">
        <v>0</v>
      </c>
      <c r="H734" s="5" t="n">
        <v>0</v>
      </c>
      <c r="I734" s="5" t="n">
        <v>1</v>
      </c>
      <c r="J734" s="5" t="n">
        <v>1</v>
      </c>
      <c r="K734" s="5" t="n">
        <v>0</v>
      </c>
      <c r="L734" s="5" t="n">
        <v>0</v>
      </c>
      <c r="M734" s="5" t="n">
        <v>0</v>
      </c>
      <c r="N734" s="5" t="n">
        <v>1</v>
      </c>
      <c r="O734" s="5" t="n">
        <v>0</v>
      </c>
      <c r="P734" s="5" t="n">
        <v>0</v>
      </c>
      <c r="Q734" s="5" t="n">
        <v>0</v>
      </c>
      <c r="R734" s="5" t="n">
        <v>0</v>
      </c>
      <c r="S734" s="5" t="n">
        <v>0</v>
      </c>
      <c r="T734" s="5" t="n">
        <v>0</v>
      </c>
      <c r="U734" s="5" t="inlineStr">
        <is>
          <t>training</t>
        </is>
      </c>
      <c r="V734" s="5" t="n">
        <v>0</v>
      </c>
    </row>
    <row r="735">
      <c r="A735" s="5" t="n">
        <v>731</v>
      </c>
      <c r="B735" s="5" t="n">
        <v>0</v>
      </c>
      <c r="C735" s="6" t="n">
        <v>0.275406400796963</v>
      </c>
      <c r="D735" s="6" t="n">
        <v>1.102968389445308</v>
      </c>
      <c r="E735" s="6" t="n">
        <v>-0.2209114725729393</v>
      </c>
      <c r="F735" s="6" t="n">
        <v>-1.786844513613144</v>
      </c>
      <c r="G735" s="5" t="n">
        <v>0</v>
      </c>
      <c r="H735" s="5" t="n">
        <v>1</v>
      </c>
      <c r="I735" s="5" t="n">
        <v>0</v>
      </c>
      <c r="J735" s="5" t="n">
        <v>0</v>
      </c>
      <c r="K735" s="5" t="n">
        <v>1</v>
      </c>
      <c r="L735" s="5" t="n">
        <v>0</v>
      </c>
      <c r="M735" s="5" t="n">
        <v>0</v>
      </c>
      <c r="N735" s="5" t="n">
        <v>0</v>
      </c>
      <c r="O735" s="5" t="n">
        <v>0</v>
      </c>
      <c r="P735" s="5" t="n">
        <v>0</v>
      </c>
      <c r="Q735" s="5" t="n">
        <v>0</v>
      </c>
      <c r="R735" s="5" t="n">
        <v>0</v>
      </c>
      <c r="S735" s="5" t="n">
        <v>1</v>
      </c>
      <c r="T735" s="5" t="n">
        <v>0</v>
      </c>
      <c r="U735" s="5" t="inlineStr">
        <is>
          <t>training</t>
        </is>
      </c>
      <c r="V735" s="5" t="n">
        <v>1</v>
      </c>
    </row>
    <row r="736">
      <c r="A736" s="5" t="n">
        <v>732</v>
      </c>
      <c r="B736" s="5" t="n">
        <v>1</v>
      </c>
      <c r="C736" s="6" t="n">
        <v>0.275406400796963</v>
      </c>
      <c r="D736" s="6" t="n">
        <v>-0.4421579582438137</v>
      </c>
      <c r="E736" s="6" t="n">
        <v>-1.264587720949031</v>
      </c>
      <c r="F736" s="6" t="n">
        <v>-0.8850484360866833</v>
      </c>
      <c r="G736" s="5" t="n">
        <v>1</v>
      </c>
      <c r="H736" s="5" t="n">
        <v>0</v>
      </c>
      <c r="I736" s="5" t="n">
        <v>0</v>
      </c>
      <c r="J736" s="5" t="n">
        <v>0</v>
      </c>
      <c r="K736" s="5" t="n">
        <v>0</v>
      </c>
      <c r="L736" s="5" t="n">
        <v>0</v>
      </c>
      <c r="M736" s="5" t="n">
        <v>0</v>
      </c>
      <c r="N736" s="5" t="n">
        <v>0</v>
      </c>
      <c r="O736" s="5" t="n">
        <v>0</v>
      </c>
      <c r="P736" s="5" t="n">
        <v>1</v>
      </c>
      <c r="Q736" s="5" t="n">
        <v>0</v>
      </c>
      <c r="R736" s="5" t="n">
        <v>0</v>
      </c>
      <c r="S736" s="5" t="n">
        <v>1</v>
      </c>
      <c r="T736" s="5" t="n">
        <v>0</v>
      </c>
      <c r="U736" s="5" t="inlineStr">
        <is>
          <t>testing</t>
        </is>
      </c>
      <c r="V736" s="5" t="n">
        <v>0</v>
      </c>
    </row>
    <row r="737">
      <c r="A737" s="5" t="n">
        <v>733</v>
      </c>
      <c r="B737" s="5" t="n">
        <v>0</v>
      </c>
      <c r="C737" s="6" t="n">
        <v>-1.072736819887472</v>
      </c>
      <c r="D737" s="6" t="n">
        <v>-0.8714763524047178</v>
      </c>
      <c r="E737" s="6" t="n">
        <v>0.7357917551051447</v>
      </c>
      <c r="F737" s="6" t="n">
        <v>0.9185437189662378</v>
      </c>
      <c r="G737" s="5" t="n">
        <v>0</v>
      </c>
      <c r="H737" s="5" t="n">
        <v>1</v>
      </c>
      <c r="I737" s="5" t="n">
        <v>0</v>
      </c>
      <c r="J737" s="5" t="n">
        <v>0</v>
      </c>
      <c r="K737" s="5" t="n">
        <v>0</v>
      </c>
      <c r="L737" s="5" t="n">
        <v>0</v>
      </c>
      <c r="M737" s="5" t="n">
        <v>0</v>
      </c>
      <c r="N737" s="5" t="n">
        <v>0</v>
      </c>
      <c r="O737" s="5" t="n">
        <v>0</v>
      </c>
      <c r="P737" s="5" t="n">
        <v>0</v>
      </c>
      <c r="Q737" s="5" t="n">
        <v>0</v>
      </c>
      <c r="R737" s="5" t="n">
        <v>0</v>
      </c>
      <c r="S737" s="5" t="n">
        <v>1</v>
      </c>
      <c r="T737" s="5" t="n">
        <v>0</v>
      </c>
      <c r="U737" s="5" t="inlineStr">
        <is>
          <t>training</t>
        </is>
      </c>
      <c r="V737" s="5" t="n">
        <v>0</v>
      </c>
    </row>
    <row r="738">
      <c r="A738" s="5" t="n">
        <v>734</v>
      </c>
      <c r="B738" s="5" t="n">
        <v>0</v>
      </c>
      <c r="C738" s="6" t="n">
        <v>0.275406400796963</v>
      </c>
      <c r="D738" s="6" t="n">
        <v>-0.2266240293089181</v>
      </c>
      <c r="E738" s="6" t="n">
        <v>-0.6557765760629775</v>
      </c>
      <c r="F738" s="6" t="n">
        <v>-0.8850484360866833</v>
      </c>
      <c r="G738" s="5" t="n">
        <v>0</v>
      </c>
      <c r="H738" s="5" t="n">
        <v>0</v>
      </c>
      <c r="I738" s="5" t="n">
        <v>0</v>
      </c>
      <c r="J738" s="5" t="n">
        <v>0</v>
      </c>
      <c r="K738" s="5" t="n">
        <v>0</v>
      </c>
      <c r="L738" s="5" t="n">
        <v>0</v>
      </c>
      <c r="M738" s="5" t="n">
        <v>0</v>
      </c>
      <c r="N738" s="5" t="n">
        <v>1</v>
      </c>
      <c r="O738" s="5" t="n">
        <v>0</v>
      </c>
      <c r="P738" s="5" t="n">
        <v>1</v>
      </c>
      <c r="Q738" s="5" t="n">
        <v>0</v>
      </c>
      <c r="R738" s="5" t="n">
        <v>1</v>
      </c>
      <c r="S738" s="5" t="n">
        <v>0</v>
      </c>
      <c r="T738" s="5" t="n">
        <v>0</v>
      </c>
      <c r="U738" s="5" t="inlineStr">
        <is>
          <t>testing</t>
        </is>
      </c>
      <c r="V738" s="5" t="n">
        <v>0</v>
      </c>
    </row>
    <row r="739">
      <c r="A739" s="5" t="n">
        <v>735</v>
      </c>
      <c r="B739" s="5" t="n">
        <v>0</v>
      </c>
      <c r="C739" s="6" t="n">
        <v>-1.409772625058581</v>
      </c>
      <c r="D739" s="6" t="n">
        <v>0.04524263105214341</v>
      </c>
      <c r="E739" s="6" t="n">
        <v>0.1269806102190912</v>
      </c>
      <c r="F739" s="6" t="n">
        <v>-1.786844513613144</v>
      </c>
      <c r="G739" s="5" t="n">
        <v>0</v>
      </c>
      <c r="H739" s="5" t="n">
        <v>0</v>
      </c>
      <c r="I739" s="5" t="n">
        <v>0</v>
      </c>
      <c r="J739" s="5" t="n">
        <v>1</v>
      </c>
      <c r="K739" s="5" t="n">
        <v>0</v>
      </c>
      <c r="L739" s="5" t="n">
        <v>0</v>
      </c>
      <c r="M739" s="5" t="n">
        <v>0</v>
      </c>
      <c r="N739" s="5" t="n">
        <v>0</v>
      </c>
      <c r="O739" s="5" t="n">
        <v>0</v>
      </c>
      <c r="P739" s="5" t="n">
        <v>0</v>
      </c>
      <c r="Q739" s="5" t="n">
        <v>0</v>
      </c>
      <c r="R739" s="5" t="n">
        <v>1</v>
      </c>
      <c r="S739" s="5" t="n">
        <v>0</v>
      </c>
      <c r="T739" s="5" t="n">
        <v>0</v>
      </c>
      <c r="U739" s="5" t="inlineStr">
        <is>
          <t>testing</t>
        </is>
      </c>
      <c r="V739" s="5" t="n">
        <v>0</v>
      </c>
    </row>
    <row r="740">
      <c r="A740" s="5" t="n">
        <v>736</v>
      </c>
      <c r="B740" s="5" t="n">
        <v>0</v>
      </c>
      <c r="C740" s="6" t="n">
        <v>1.286513816310289</v>
      </c>
      <c r="D740" s="6" t="n">
        <v>0.2586772035363745</v>
      </c>
      <c r="E740" s="6" t="n">
        <v>-0.5688035553649698</v>
      </c>
      <c r="F740" s="6" t="n">
        <v>0.01674764143977723</v>
      </c>
      <c r="G740" s="5" t="n">
        <v>0</v>
      </c>
      <c r="H740" s="5" t="n">
        <v>1</v>
      </c>
      <c r="I740" s="5" t="n">
        <v>0</v>
      </c>
      <c r="J740" s="5" t="n">
        <v>0</v>
      </c>
      <c r="K740" s="5" t="n">
        <v>0</v>
      </c>
      <c r="L740" s="5" t="n">
        <v>1</v>
      </c>
      <c r="M740" s="5" t="n">
        <v>0</v>
      </c>
      <c r="N740" s="5" t="n">
        <v>0</v>
      </c>
      <c r="O740" s="5" t="n">
        <v>1</v>
      </c>
      <c r="P740" s="5" t="n">
        <v>0</v>
      </c>
      <c r="Q740" s="5" t="n">
        <v>0</v>
      </c>
      <c r="R740" s="5" t="n">
        <v>0</v>
      </c>
      <c r="S740" s="5" t="n">
        <v>0</v>
      </c>
      <c r="T740" s="5" t="n">
        <v>0</v>
      </c>
      <c r="U740" s="5" t="inlineStr">
        <is>
          <t>training</t>
        </is>
      </c>
      <c r="V740" s="5" t="n">
        <v>1</v>
      </c>
    </row>
    <row r="741">
      <c r="A741" s="5" t="n">
        <v>737</v>
      </c>
      <c r="B741" s="5" t="n">
        <v>1</v>
      </c>
      <c r="C741" s="6" t="n">
        <v>0.275406400796963</v>
      </c>
      <c r="D741" s="6" t="n">
        <v>2.907365258791504</v>
      </c>
      <c r="E741" s="6" t="n">
        <v>-1.090641679553016</v>
      </c>
      <c r="F741" s="6" t="n">
        <v>-1.786844513613144</v>
      </c>
      <c r="G741" s="5" t="n">
        <v>0</v>
      </c>
      <c r="H741" s="5" t="n">
        <v>1</v>
      </c>
      <c r="I741" s="5" t="n">
        <v>0</v>
      </c>
      <c r="J741" s="5" t="n">
        <v>0</v>
      </c>
      <c r="K741" s="5" t="n">
        <v>0</v>
      </c>
      <c r="L741" s="5" t="n">
        <v>0</v>
      </c>
      <c r="M741" s="5" t="n">
        <v>0</v>
      </c>
      <c r="N741" s="5" t="n">
        <v>0</v>
      </c>
      <c r="O741" s="5" t="n">
        <v>0</v>
      </c>
      <c r="P741" s="5" t="n">
        <v>1</v>
      </c>
      <c r="Q741" s="5" t="n">
        <v>0</v>
      </c>
      <c r="R741" s="5" t="n">
        <v>1</v>
      </c>
      <c r="S741" s="5" t="n">
        <v>0</v>
      </c>
      <c r="T741" s="5" t="n">
        <v>0</v>
      </c>
      <c r="U741" s="5" t="inlineStr">
        <is>
          <t>testing</t>
        </is>
      </c>
      <c r="V741" s="5" t="n">
        <v>0</v>
      </c>
    </row>
    <row r="742">
      <c r="A742" s="5" t="n">
        <v>738</v>
      </c>
      <c r="B742" s="5" t="n">
        <v>0</v>
      </c>
      <c r="C742" s="6" t="n">
        <v>-0.2301473069597001</v>
      </c>
      <c r="D742" s="6" t="n">
        <v>0.3951353728295713</v>
      </c>
      <c r="E742" s="6" t="n">
        <v>-0.04696543117692405</v>
      </c>
      <c r="F742" s="6" t="n">
        <v>0.01674764143977723</v>
      </c>
      <c r="G742" s="5" t="n">
        <v>1</v>
      </c>
      <c r="H742" s="5" t="n">
        <v>0</v>
      </c>
      <c r="I742" s="5" t="n">
        <v>0</v>
      </c>
      <c r="J742" s="5" t="n">
        <v>0</v>
      </c>
      <c r="K742" s="5" t="n">
        <v>0</v>
      </c>
      <c r="L742" s="5" t="n">
        <v>0</v>
      </c>
      <c r="M742" s="5" t="n">
        <v>1</v>
      </c>
      <c r="N742" s="5" t="n">
        <v>0</v>
      </c>
      <c r="O742" s="5" t="n">
        <v>0</v>
      </c>
      <c r="P742" s="5" t="n">
        <v>0</v>
      </c>
      <c r="Q742" s="5" t="n">
        <v>0</v>
      </c>
      <c r="R742" s="5" t="n">
        <v>1</v>
      </c>
      <c r="S742" s="5" t="n">
        <v>0</v>
      </c>
      <c r="T742" s="5" t="n">
        <v>0</v>
      </c>
      <c r="U742" s="5" t="inlineStr">
        <is>
          <t>testing</t>
        </is>
      </c>
      <c r="V742" s="5" t="n">
        <v>0</v>
      </c>
    </row>
    <row r="743">
      <c r="A743" s="5" t="n">
        <v>739</v>
      </c>
      <c r="B743" s="5" t="n">
        <v>0</v>
      </c>
      <c r="C743" s="6" t="n">
        <v>-1.241254722473026</v>
      </c>
      <c r="D743" s="6" t="n">
        <v>1.228229991001627</v>
      </c>
      <c r="E743" s="6" t="n">
        <v>0.8227647758031523</v>
      </c>
      <c r="F743" s="6" t="n">
        <v>-1.786844513613144</v>
      </c>
      <c r="G743" s="5" t="n">
        <v>0</v>
      </c>
      <c r="H743" s="5" t="n">
        <v>0</v>
      </c>
      <c r="I743" s="5" t="n">
        <v>0</v>
      </c>
      <c r="J743" s="5" t="n">
        <v>1</v>
      </c>
      <c r="K743" s="5" t="n">
        <v>0</v>
      </c>
      <c r="L743" s="5" t="n">
        <v>0</v>
      </c>
      <c r="M743" s="5" t="n">
        <v>0</v>
      </c>
      <c r="N743" s="5" t="n">
        <v>0</v>
      </c>
      <c r="O743" s="5" t="n">
        <v>0</v>
      </c>
      <c r="P743" s="5" t="n">
        <v>0</v>
      </c>
      <c r="Q743" s="5" t="n">
        <v>0</v>
      </c>
      <c r="R743" s="5" t="n">
        <v>1</v>
      </c>
      <c r="S743" s="5" t="n">
        <v>0</v>
      </c>
      <c r="T743" s="5" t="n">
        <v>0</v>
      </c>
      <c r="U743" s="5" t="inlineStr">
        <is>
          <t>training</t>
        </is>
      </c>
      <c r="V743" s="5" t="n">
        <v>0</v>
      </c>
    </row>
    <row r="744">
      <c r="A744" s="5" t="n">
        <v>740</v>
      </c>
      <c r="B744" s="5" t="n">
        <v>1</v>
      </c>
      <c r="C744" s="6" t="n">
        <v>0.7809601085536261</v>
      </c>
      <c r="D744" s="6" t="n">
        <v>0.3601460986518286</v>
      </c>
      <c r="E744" s="6" t="n">
        <v>-0.8297226174589928</v>
      </c>
      <c r="F744" s="6" t="n">
        <v>0.9185437189662378</v>
      </c>
      <c r="G744" s="5" t="n">
        <v>0</v>
      </c>
      <c r="H744" s="5" t="n">
        <v>1</v>
      </c>
      <c r="I744" s="5" t="n">
        <v>0</v>
      </c>
      <c r="J744" s="5" t="n">
        <v>0</v>
      </c>
      <c r="K744" s="5" t="n">
        <v>0</v>
      </c>
      <c r="L744" s="5" t="n">
        <v>1</v>
      </c>
      <c r="M744" s="5" t="n">
        <v>1</v>
      </c>
      <c r="N744" s="5" t="n">
        <v>0</v>
      </c>
      <c r="O744" s="5" t="n">
        <v>0</v>
      </c>
      <c r="P744" s="5" t="n">
        <v>1</v>
      </c>
      <c r="Q744" s="5" t="n">
        <v>0</v>
      </c>
      <c r="R744" s="5" t="n">
        <v>0</v>
      </c>
      <c r="S744" s="5" t="n">
        <v>0</v>
      </c>
      <c r="T744" s="5" t="n">
        <v>0</v>
      </c>
      <c r="U744" s="5" t="inlineStr">
        <is>
          <t>training</t>
        </is>
      </c>
      <c r="V744" s="5" t="n">
        <v>1</v>
      </c>
    </row>
    <row r="745">
      <c r="A745" s="5" t="n">
        <v>741</v>
      </c>
      <c r="B745" s="5" t="n">
        <v>0</v>
      </c>
      <c r="C745" s="6" t="n">
        <v>0.275406400796963</v>
      </c>
      <c r="D745" s="6" t="n">
        <v>-0.3238942115230431</v>
      </c>
      <c r="E745" s="6" t="n">
        <v>-0.307884493270947</v>
      </c>
      <c r="F745" s="6" t="n">
        <v>-0.8850484360866833</v>
      </c>
      <c r="G745" s="5" t="n">
        <v>1</v>
      </c>
      <c r="H745" s="5" t="n">
        <v>0</v>
      </c>
      <c r="I745" s="5" t="n">
        <v>0</v>
      </c>
      <c r="J745" s="5" t="n">
        <v>0</v>
      </c>
      <c r="K745" s="5" t="n">
        <v>0</v>
      </c>
      <c r="L745" s="5" t="n">
        <v>1</v>
      </c>
      <c r="M745" s="5" t="n">
        <v>1</v>
      </c>
      <c r="N745" s="5" t="n">
        <v>0</v>
      </c>
      <c r="O745" s="5" t="n">
        <v>0</v>
      </c>
      <c r="P745" s="5" t="n">
        <v>0</v>
      </c>
      <c r="Q745" s="5" t="n">
        <v>0</v>
      </c>
      <c r="R745" s="5" t="n">
        <v>1</v>
      </c>
      <c r="S745" s="5" t="n">
        <v>0</v>
      </c>
      <c r="T745" s="5" t="n">
        <v>0</v>
      </c>
      <c r="U745" s="5" t="inlineStr">
        <is>
          <t>training</t>
        </is>
      </c>
      <c r="V745" s="5" t="n">
        <v>0</v>
      </c>
    </row>
    <row r="746">
      <c r="A746" s="5" t="n">
        <v>742</v>
      </c>
      <c r="B746" s="5" t="n">
        <v>0</v>
      </c>
      <c r="C746" s="6" t="n">
        <v>-0.9042189173019176</v>
      </c>
      <c r="D746" s="6" t="n">
        <v>-0.7707072427728185</v>
      </c>
      <c r="E746" s="6" t="n">
        <v>-1.090641679553016</v>
      </c>
      <c r="F746" s="6" t="n">
        <v>0.9185437189662378</v>
      </c>
      <c r="G746" s="5" t="n">
        <v>0</v>
      </c>
      <c r="H746" s="5" t="n">
        <v>1</v>
      </c>
      <c r="I746" s="5" t="n">
        <v>0</v>
      </c>
      <c r="J746" s="5" t="n">
        <v>0</v>
      </c>
      <c r="K746" s="5" t="n">
        <v>0</v>
      </c>
      <c r="L746" s="5" t="n">
        <v>1</v>
      </c>
      <c r="M746" s="5" t="n">
        <v>0</v>
      </c>
      <c r="N746" s="5" t="n">
        <v>0</v>
      </c>
      <c r="O746" s="5" t="n">
        <v>0</v>
      </c>
      <c r="P746" s="5" t="n">
        <v>0</v>
      </c>
      <c r="Q746" s="5" t="n">
        <v>0</v>
      </c>
      <c r="R746" s="5" t="n">
        <v>0</v>
      </c>
      <c r="S746" s="5" t="n">
        <v>1</v>
      </c>
      <c r="T746" s="5" t="n">
        <v>0</v>
      </c>
      <c r="U746" s="5" t="inlineStr">
        <is>
          <t>testing</t>
        </is>
      </c>
      <c r="V746" s="5" t="n">
        <v>0</v>
      </c>
    </row>
    <row r="747">
      <c r="A747" s="5" t="n">
        <v>743</v>
      </c>
      <c r="B747" s="5" t="n">
        <v>0</v>
      </c>
      <c r="C747" s="6" t="n">
        <v>0.02262954691863145</v>
      </c>
      <c r="D747" s="6" t="n">
        <v>-0.03173377213889074</v>
      </c>
      <c r="E747" s="6" t="n">
        <v>0.4748726930111218</v>
      </c>
      <c r="F747" s="6" t="n">
        <v>0.9185437189662378</v>
      </c>
      <c r="G747" s="5" t="n">
        <v>0</v>
      </c>
      <c r="H747" s="5" t="n">
        <v>0</v>
      </c>
      <c r="I747" s="5" t="n">
        <v>0</v>
      </c>
      <c r="J747" s="5" t="n">
        <v>0</v>
      </c>
      <c r="K747" s="5" t="n">
        <v>0</v>
      </c>
      <c r="L747" s="5" t="n">
        <v>0</v>
      </c>
      <c r="M747" s="5" t="n">
        <v>0</v>
      </c>
      <c r="N747" s="5" t="n">
        <v>0</v>
      </c>
      <c r="O747" s="5" t="n">
        <v>1</v>
      </c>
      <c r="P747" s="5" t="n">
        <v>0</v>
      </c>
      <c r="Q747" s="5" t="n">
        <v>0</v>
      </c>
      <c r="R747" s="5" t="n">
        <v>0</v>
      </c>
      <c r="S747" s="5" t="n">
        <v>1</v>
      </c>
      <c r="T747" s="5" t="n">
        <v>0</v>
      </c>
      <c r="U747" s="5" t="inlineStr">
        <is>
          <t>testing</t>
        </is>
      </c>
      <c r="V747" s="5" t="n">
        <v>0</v>
      </c>
    </row>
    <row r="748">
      <c r="A748" s="5" t="n">
        <v>744</v>
      </c>
      <c r="B748" s="5" t="n">
        <v>0</v>
      </c>
      <c r="C748" s="6" t="n">
        <v>0.275406400796963</v>
      </c>
      <c r="D748" s="6" t="n">
        <v>-0.2686111583222094</v>
      </c>
      <c r="E748" s="6" t="n">
        <v>-1.177614700251023</v>
      </c>
      <c r="F748" s="6" t="n">
        <v>0.9185437189662378</v>
      </c>
      <c r="G748" s="5" t="n">
        <v>1</v>
      </c>
      <c r="H748" s="5" t="n">
        <v>0</v>
      </c>
      <c r="I748" s="5" t="n">
        <v>0</v>
      </c>
      <c r="J748" s="5" t="n">
        <v>0</v>
      </c>
      <c r="K748" s="5" t="n">
        <v>0</v>
      </c>
      <c r="L748" s="5" t="n">
        <v>1</v>
      </c>
      <c r="M748" s="5" t="n">
        <v>1</v>
      </c>
      <c r="N748" s="5" t="n">
        <v>0</v>
      </c>
      <c r="O748" s="5" t="n">
        <v>0</v>
      </c>
      <c r="P748" s="5" t="n">
        <v>0</v>
      </c>
      <c r="Q748" s="5" t="n">
        <v>0</v>
      </c>
      <c r="R748" s="5" t="n">
        <v>0</v>
      </c>
      <c r="S748" s="5" t="n">
        <v>0</v>
      </c>
      <c r="T748" s="5" t="n">
        <v>1</v>
      </c>
      <c r="U748" s="5" t="inlineStr">
        <is>
          <t>training</t>
        </is>
      </c>
      <c r="V748" s="5" t="n">
        <v>1</v>
      </c>
    </row>
    <row r="749">
      <c r="A749" s="5" t="n">
        <v>745</v>
      </c>
      <c r="B749" s="5" t="n">
        <v>0</v>
      </c>
      <c r="C749" s="6" t="n">
        <v>1.539290670188621</v>
      </c>
      <c r="D749" s="6" t="n">
        <v>3.823734349506588</v>
      </c>
      <c r="E749" s="6" t="n">
        <v>-0.4818305346669622</v>
      </c>
      <c r="F749" s="6" t="n">
        <v>0.9185437189662378</v>
      </c>
      <c r="G749" s="5" t="n">
        <v>1</v>
      </c>
      <c r="H749" s="5" t="n">
        <v>0</v>
      </c>
      <c r="I749" s="5" t="n">
        <v>0</v>
      </c>
      <c r="J749" s="5" t="n">
        <v>1</v>
      </c>
      <c r="K749" s="5" t="n">
        <v>0</v>
      </c>
      <c r="L749" s="5" t="n">
        <v>0</v>
      </c>
      <c r="M749" s="5" t="n">
        <v>0</v>
      </c>
      <c r="N749" s="5" t="n">
        <v>0</v>
      </c>
      <c r="O749" s="5" t="n">
        <v>1</v>
      </c>
      <c r="P749" s="5" t="n">
        <v>0</v>
      </c>
      <c r="Q749" s="5" t="n">
        <v>0</v>
      </c>
      <c r="R749" s="5" t="n">
        <v>0</v>
      </c>
      <c r="S749" s="5" t="n">
        <v>0</v>
      </c>
      <c r="T749" s="5" t="n">
        <v>1</v>
      </c>
      <c r="U749" s="5" t="inlineStr">
        <is>
          <t>training</t>
        </is>
      </c>
      <c r="V749" s="5" t="n">
        <v>0</v>
      </c>
    </row>
    <row r="750">
      <c r="A750" s="5" t="n">
        <v>746</v>
      </c>
      <c r="B750" s="5" t="n">
        <v>0</v>
      </c>
      <c r="C750" s="6" t="n">
        <v>-0.651442063423586</v>
      </c>
      <c r="D750" s="6" t="n">
        <v>-0.5086375791815251</v>
      </c>
      <c r="E750" s="6" t="n">
        <v>-0.6557765760629775</v>
      </c>
      <c r="F750" s="6" t="n">
        <v>0.01674764143977723</v>
      </c>
      <c r="G750" s="5" t="n">
        <v>1</v>
      </c>
      <c r="H750" s="5" t="n">
        <v>0</v>
      </c>
      <c r="I750" s="5" t="n">
        <v>0</v>
      </c>
      <c r="J750" s="5" t="n">
        <v>1</v>
      </c>
      <c r="K750" s="5" t="n">
        <v>0</v>
      </c>
      <c r="L750" s="5" t="n">
        <v>0</v>
      </c>
      <c r="M750" s="5" t="n">
        <v>0</v>
      </c>
      <c r="N750" s="5" t="n">
        <v>0</v>
      </c>
      <c r="O750" s="5" t="n">
        <v>0</v>
      </c>
      <c r="P750" s="5" t="n">
        <v>0</v>
      </c>
      <c r="Q750" s="5" t="n">
        <v>0</v>
      </c>
      <c r="R750" s="5" t="n">
        <v>0</v>
      </c>
      <c r="S750" s="5" t="n">
        <v>0</v>
      </c>
      <c r="T750" s="5" t="n">
        <v>0</v>
      </c>
      <c r="U750" s="5" t="inlineStr">
        <is>
          <t>training</t>
        </is>
      </c>
      <c r="V750" s="5" t="n">
        <v>0</v>
      </c>
    </row>
    <row r="751">
      <c r="A751" s="5" t="n">
        <v>747</v>
      </c>
      <c r="B751" s="5" t="n">
        <v>0</v>
      </c>
      <c r="C751" s="6" t="n">
        <v>-0.4829241608380317</v>
      </c>
      <c r="D751" s="6" t="n">
        <v>-0.2588141615524415</v>
      </c>
      <c r="E751" s="6" t="n">
        <v>-1.090641679553016</v>
      </c>
      <c r="F751" s="6" t="n">
        <v>-1.786844513613144</v>
      </c>
      <c r="G751" s="5" t="n">
        <v>1</v>
      </c>
      <c r="H751" s="5" t="n">
        <v>0</v>
      </c>
      <c r="I751" s="5" t="n">
        <v>0</v>
      </c>
      <c r="J751" s="5" t="n">
        <v>0</v>
      </c>
      <c r="K751" s="5" t="n">
        <v>0</v>
      </c>
      <c r="L751" s="5" t="n">
        <v>0</v>
      </c>
      <c r="M751" s="5" t="n">
        <v>0</v>
      </c>
      <c r="N751" s="5" t="n">
        <v>0</v>
      </c>
      <c r="O751" s="5" t="n">
        <v>0</v>
      </c>
      <c r="P751" s="5" t="n">
        <v>1</v>
      </c>
      <c r="Q751" s="5" t="n">
        <v>0</v>
      </c>
      <c r="R751" s="5" t="n">
        <v>1</v>
      </c>
      <c r="S751" s="5" t="n">
        <v>0</v>
      </c>
      <c r="T751" s="5" t="n">
        <v>0</v>
      </c>
      <c r="U751" s="5" t="inlineStr">
        <is>
          <t>training</t>
        </is>
      </c>
      <c r="V751" s="5" t="n">
        <v>1</v>
      </c>
    </row>
    <row r="752">
      <c r="A752" s="5" t="n">
        <v>748</v>
      </c>
      <c r="B752" s="5" t="n">
        <v>1</v>
      </c>
      <c r="C752" s="6" t="n">
        <v>-0.7357010147163632</v>
      </c>
      <c r="D752" s="6" t="n">
        <v>-0.6916314831311199</v>
      </c>
      <c r="E752" s="6" t="n">
        <v>0.1269806102190912</v>
      </c>
      <c r="F752" s="6" t="n">
        <v>0.01674764143977723</v>
      </c>
      <c r="G752" s="5" t="n">
        <v>1</v>
      </c>
      <c r="H752" s="5" t="n">
        <v>0</v>
      </c>
      <c r="I752" s="5" t="n">
        <v>0</v>
      </c>
      <c r="J752" s="5" t="n">
        <v>0</v>
      </c>
      <c r="K752" s="5" t="n">
        <v>0</v>
      </c>
      <c r="L752" s="5" t="n">
        <v>0</v>
      </c>
      <c r="M752" s="5" t="n">
        <v>0</v>
      </c>
      <c r="N752" s="5" t="n">
        <v>0</v>
      </c>
      <c r="O752" s="5" t="n">
        <v>0</v>
      </c>
      <c r="P752" s="5" t="n">
        <v>0</v>
      </c>
      <c r="Q752" s="5" t="n">
        <v>0</v>
      </c>
      <c r="R752" s="5" t="n">
        <v>1</v>
      </c>
      <c r="S752" s="5" t="n">
        <v>0</v>
      </c>
      <c r="T752" s="5" t="n">
        <v>0</v>
      </c>
      <c r="U752" s="5" t="inlineStr">
        <is>
          <t>training</t>
        </is>
      </c>
      <c r="V752" s="5" t="n">
        <v>1</v>
      </c>
    </row>
    <row r="753">
      <c r="A753" s="5" t="n">
        <v>749</v>
      </c>
      <c r="B753" s="5" t="n">
        <v>0</v>
      </c>
      <c r="C753" s="6" t="n">
        <v>0.02262954691863145</v>
      </c>
      <c r="D753" s="6" t="n">
        <v>0.6988422726923789</v>
      </c>
      <c r="E753" s="6" t="n">
        <v>-0.8297226174589928</v>
      </c>
      <c r="F753" s="6" t="n">
        <v>-1.786844513613144</v>
      </c>
      <c r="G753" s="5" t="n">
        <v>0</v>
      </c>
      <c r="H753" s="5" t="n">
        <v>0</v>
      </c>
      <c r="I753" s="5" t="n">
        <v>0</v>
      </c>
      <c r="J753" s="5" t="n">
        <v>0</v>
      </c>
      <c r="K753" s="5" t="n">
        <v>0</v>
      </c>
      <c r="L753" s="5" t="n">
        <v>0</v>
      </c>
      <c r="M753" s="5" t="n">
        <v>0</v>
      </c>
      <c r="N753" s="5" t="n">
        <v>0</v>
      </c>
      <c r="O753" s="5" t="n">
        <v>1</v>
      </c>
      <c r="P753" s="5" t="n">
        <v>0</v>
      </c>
      <c r="Q753" s="5" t="n">
        <v>0</v>
      </c>
      <c r="R753" s="5" t="n">
        <v>1</v>
      </c>
      <c r="S753" s="5" t="n">
        <v>0</v>
      </c>
      <c r="T753" s="5" t="n">
        <v>0</v>
      </c>
      <c r="U753" s="5" t="inlineStr">
        <is>
          <t>testing</t>
        </is>
      </c>
      <c r="V753" s="5" t="n">
        <v>0</v>
      </c>
    </row>
    <row r="754">
      <c r="A754" s="5" t="n">
        <v>750</v>
      </c>
      <c r="B754" s="5" t="n">
        <v>0</v>
      </c>
      <c r="C754" s="6" t="n">
        <v>-0.4829241608380317</v>
      </c>
      <c r="D754" s="6" t="n">
        <v>-0.0775697213117338</v>
      </c>
      <c r="E754" s="6" t="n">
        <v>-0.2209114725729393</v>
      </c>
      <c r="F754" s="6" t="n">
        <v>-0.8850484360866833</v>
      </c>
      <c r="G754" s="5" t="n">
        <v>0</v>
      </c>
      <c r="H754" s="5" t="n">
        <v>0</v>
      </c>
      <c r="I754" s="5" t="n">
        <v>0</v>
      </c>
      <c r="J754" s="5" t="n">
        <v>0</v>
      </c>
      <c r="K754" s="5" t="n">
        <v>0</v>
      </c>
      <c r="L754" s="5" t="n">
        <v>0</v>
      </c>
      <c r="M754" s="5" t="n">
        <v>0</v>
      </c>
      <c r="N754" s="5" t="n">
        <v>0</v>
      </c>
      <c r="O754" s="5" t="n">
        <v>0</v>
      </c>
      <c r="P754" s="5" t="n">
        <v>0</v>
      </c>
      <c r="Q754" s="5" t="n">
        <v>0</v>
      </c>
      <c r="R754" s="5" t="n">
        <v>1</v>
      </c>
      <c r="S754" s="5" t="n">
        <v>0</v>
      </c>
      <c r="T754" s="5" t="n">
        <v>0</v>
      </c>
      <c r="U754" s="5" t="inlineStr">
        <is>
          <t>training</t>
        </is>
      </c>
      <c r="V754" s="5" t="n">
        <v>1</v>
      </c>
    </row>
    <row r="755">
      <c r="A755" s="5" t="n">
        <v>751</v>
      </c>
      <c r="B755" s="5" t="n">
        <v>0</v>
      </c>
      <c r="C755" s="6" t="n">
        <v>-1.241254722473026</v>
      </c>
      <c r="D755" s="6" t="n">
        <v>-0.9876407426748239</v>
      </c>
      <c r="E755" s="6" t="n">
        <v>1.170656858595183</v>
      </c>
      <c r="F755" s="6" t="n">
        <v>-0.8850484360866833</v>
      </c>
      <c r="G755" s="5" t="n">
        <v>1</v>
      </c>
      <c r="H755" s="5" t="n">
        <v>0</v>
      </c>
      <c r="I755" s="5" t="n">
        <v>0</v>
      </c>
      <c r="J755" s="5" t="n">
        <v>0</v>
      </c>
      <c r="K755" s="5" t="n">
        <v>0</v>
      </c>
      <c r="L755" s="5" t="n">
        <v>0</v>
      </c>
      <c r="M755" s="5" t="n">
        <v>0</v>
      </c>
      <c r="N755" s="5" t="n">
        <v>0</v>
      </c>
      <c r="O755" s="5" t="n">
        <v>0</v>
      </c>
      <c r="P755" s="5" t="n">
        <v>0</v>
      </c>
      <c r="Q755" s="5" t="n">
        <v>0</v>
      </c>
      <c r="R755" s="5" t="n">
        <v>0</v>
      </c>
      <c r="S755" s="5" t="n">
        <v>0</v>
      </c>
      <c r="T755" s="5" t="n">
        <v>1</v>
      </c>
      <c r="U755" s="5" t="inlineStr">
        <is>
          <t>testing</t>
        </is>
      </c>
      <c r="V755" s="5" t="n">
        <v>0</v>
      </c>
    </row>
    <row r="756">
      <c r="A756" s="5" t="n">
        <v>752</v>
      </c>
      <c r="B756" s="5" t="n">
        <v>1</v>
      </c>
      <c r="C756" s="6" t="n">
        <v>-0.2301473069597001</v>
      </c>
      <c r="D756" s="6" t="n">
        <v>-0.7958995201807934</v>
      </c>
      <c r="E756" s="6" t="n">
        <v>-1.090641679553016</v>
      </c>
      <c r="F756" s="6" t="n">
        <v>-1.786844513613144</v>
      </c>
      <c r="G756" s="5" t="n">
        <v>1</v>
      </c>
      <c r="H756" s="5" t="n">
        <v>0</v>
      </c>
      <c r="I756" s="5" t="n">
        <v>0</v>
      </c>
      <c r="J756" s="5" t="n">
        <v>0</v>
      </c>
      <c r="K756" s="5" t="n">
        <v>0</v>
      </c>
      <c r="L756" s="5" t="n">
        <v>0</v>
      </c>
      <c r="M756" s="5" t="n">
        <v>0</v>
      </c>
      <c r="N756" s="5" t="n">
        <v>0</v>
      </c>
      <c r="O756" s="5" t="n">
        <v>0</v>
      </c>
      <c r="P756" s="5" t="n">
        <v>0</v>
      </c>
      <c r="Q756" s="5" t="n">
        <v>0</v>
      </c>
      <c r="R756" s="5" t="n">
        <v>1</v>
      </c>
      <c r="S756" s="5" t="n">
        <v>0</v>
      </c>
      <c r="T756" s="5" t="n">
        <v>0</v>
      </c>
      <c r="U756" s="5" t="inlineStr">
        <is>
          <t>testing</t>
        </is>
      </c>
      <c r="V756" s="5" t="n">
        <v>0</v>
      </c>
    </row>
    <row r="757">
      <c r="A757" s="5" t="n">
        <v>753</v>
      </c>
      <c r="B757" s="5" t="n">
        <v>0</v>
      </c>
      <c r="C757" s="6" t="n">
        <v>-0.7357010147163632</v>
      </c>
      <c r="D757" s="6" t="n">
        <v>-0.8431350403207462</v>
      </c>
      <c r="E757" s="6" t="n">
        <v>-1.090641679553016</v>
      </c>
      <c r="F757" s="6" t="n">
        <v>-0.8850484360866833</v>
      </c>
      <c r="G757" s="5" t="n">
        <v>0</v>
      </c>
      <c r="H757" s="5" t="n">
        <v>1</v>
      </c>
      <c r="I757" s="5" t="n">
        <v>0</v>
      </c>
      <c r="J757" s="5" t="n">
        <v>0</v>
      </c>
      <c r="K757" s="5" t="n">
        <v>0</v>
      </c>
      <c r="L757" s="5" t="n">
        <v>0</v>
      </c>
      <c r="M757" s="5" t="n">
        <v>1</v>
      </c>
      <c r="N757" s="5" t="n">
        <v>0</v>
      </c>
      <c r="O757" s="5" t="n">
        <v>0</v>
      </c>
      <c r="P757" s="5" t="n">
        <v>1</v>
      </c>
      <c r="Q757" s="5" t="n">
        <v>0</v>
      </c>
      <c r="R757" s="5" t="n">
        <v>0</v>
      </c>
      <c r="S757" s="5" t="n">
        <v>0</v>
      </c>
      <c r="T757" s="5" t="n">
        <v>0</v>
      </c>
      <c r="U757" s="5" t="inlineStr">
        <is>
          <t>training</t>
        </is>
      </c>
      <c r="V757" s="5" t="n">
        <v>1</v>
      </c>
    </row>
    <row r="758">
      <c r="A758" s="5" t="n">
        <v>754</v>
      </c>
      <c r="B758" s="5" t="n">
        <v>0</v>
      </c>
      <c r="C758" s="6" t="n">
        <v>0.7809601085536261</v>
      </c>
      <c r="D758" s="6" t="n">
        <v>0.8818361766419737</v>
      </c>
      <c r="E758" s="6" t="n">
        <v>-0.9166956381570004</v>
      </c>
      <c r="F758" s="6" t="n">
        <v>0.9185437189662378</v>
      </c>
      <c r="G758" s="5" t="n">
        <v>0</v>
      </c>
      <c r="H758" s="5" t="n">
        <v>0</v>
      </c>
      <c r="I758" s="5" t="n">
        <v>0</v>
      </c>
      <c r="J758" s="5" t="n">
        <v>1</v>
      </c>
      <c r="K758" s="5" t="n">
        <v>0</v>
      </c>
      <c r="L758" s="5" t="n">
        <v>0</v>
      </c>
      <c r="M758" s="5" t="n">
        <v>0</v>
      </c>
      <c r="N758" s="5" t="n">
        <v>0</v>
      </c>
      <c r="O758" s="5" t="n">
        <v>0</v>
      </c>
      <c r="P758" s="5" t="n">
        <v>0</v>
      </c>
      <c r="Q758" s="5" t="n">
        <v>0</v>
      </c>
      <c r="R758" s="5" t="n">
        <v>0</v>
      </c>
      <c r="S758" s="5" t="n">
        <v>1</v>
      </c>
      <c r="T758" s="5" t="n">
        <v>0</v>
      </c>
      <c r="U758" s="5" t="inlineStr">
        <is>
          <t>testing</t>
        </is>
      </c>
      <c r="V758" s="5" t="n">
        <v>0</v>
      </c>
    </row>
    <row r="759">
      <c r="A759" s="5" t="n">
        <v>755</v>
      </c>
      <c r="B759" s="5" t="n">
        <v>1</v>
      </c>
      <c r="C759" s="6" t="n">
        <v>-0.7357010147163632</v>
      </c>
      <c r="D759" s="6" t="n">
        <v>-0.5933116226916626</v>
      </c>
      <c r="E759" s="6" t="n">
        <v>1.692494982783229</v>
      </c>
      <c r="F759" s="6" t="n">
        <v>0.9185437189662378</v>
      </c>
      <c r="G759" s="5" t="n">
        <v>0</v>
      </c>
      <c r="H759" s="5" t="n">
        <v>0</v>
      </c>
      <c r="I759" s="5" t="n">
        <v>0</v>
      </c>
      <c r="J759" s="5" t="n">
        <v>0</v>
      </c>
      <c r="K759" s="5" t="n">
        <v>1</v>
      </c>
      <c r="L759" s="5" t="n">
        <v>0</v>
      </c>
      <c r="M759" s="5" t="n">
        <v>0</v>
      </c>
      <c r="N759" s="5" t="n">
        <v>1</v>
      </c>
      <c r="O759" s="5" t="n">
        <v>0</v>
      </c>
      <c r="P759" s="5" t="n">
        <v>0</v>
      </c>
      <c r="Q759" s="5" t="n">
        <v>1</v>
      </c>
      <c r="R759" s="5" t="n">
        <v>0</v>
      </c>
      <c r="S759" s="5" t="n">
        <v>0</v>
      </c>
      <c r="T759" s="5" t="n">
        <v>0</v>
      </c>
      <c r="U759" s="5" t="inlineStr">
        <is>
          <t>training</t>
        </is>
      </c>
      <c r="V759" s="5" t="n">
        <v>1</v>
      </c>
    </row>
    <row r="760">
      <c r="A760" s="5" t="n">
        <v>756</v>
      </c>
      <c r="B760" s="5" t="n">
        <v>1</v>
      </c>
      <c r="C760" s="6" t="n">
        <v>0.275406400796963</v>
      </c>
      <c r="D760" s="6" t="n">
        <v>-0.6877826629715681</v>
      </c>
      <c r="E760" s="6" t="n">
        <v>-0.307884493270947</v>
      </c>
      <c r="F760" s="6" t="n">
        <v>0.9185437189662378</v>
      </c>
      <c r="G760" s="5" t="n">
        <v>1</v>
      </c>
      <c r="H760" s="5" t="n">
        <v>0</v>
      </c>
      <c r="I760" s="5" t="n">
        <v>0</v>
      </c>
      <c r="J760" s="5" t="n">
        <v>0</v>
      </c>
      <c r="K760" s="5" t="n">
        <v>0</v>
      </c>
      <c r="L760" s="5" t="n">
        <v>0</v>
      </c>
      <c r="M760" s="5" t="n">
        <v>0</v>
      </c>
      <c r="N760" s="5" t="n">
        <v>0</v>
      </c>
      <c r="O760" s="5" t="n">
        <v>1</v>
      </c>
      <c r="P760" s="5" t="n">
        <v>1</v>
      </c>
      <c r="Q760" s="5" t="n">
        <v>0</v>
      </c>
      <c r="R760" s="5" t="n">
        <v>1</v>
      </c>
      <c r="S760" s="5" t="n">
        <v>0</v>
      </c>
      <c r="T760" s="5" t="n">
        <v>0</v>
      </c>
      <c r="U760" s="5" t="inlineStr">
        <is>
          <t>training</t>
        </is>
      </c>
      <c r="V760" s="5" t="n">
        <v>1</v>
      </c>
    </row>
    <row r="761">
      <c r="A761" s="5" t="n">
        <v>757</v>
      </c>
      <c r="B761" s="5" t="n">
        <v>0</v>
      </c>
      <c r="C761" s="6" t="n">
        <v>-1.241254722473026</v>
      </c>
      <c r="D761" s="6" t="n">
        <v>-0.6828841645866841</v>
      </c>
      <c r="E761" s="6" t="n">
        <v>3.344982376045374</v>
      </c>
      <c r="F761" s="6" t="n">
        <v>-1.786844513613144</v>
      </c>
      <c r="G761" s="5" t="n">
        <v>0</v>
      </c>
      <c r="H761" s="5" t="n">
        <v>0</v>
      </c>
      <c r="I761" s="5" t="n">
        <v>1</v>
      </c>
      <c r="J761" s="5" t="n">
        <v>1</v>
      </c>
      <c r="K761" s="5" t="n">
        <v>0</v>
      </c>
      <c r="L761" s="5" t="n">
        <v>0</v>
      </c>
      <c r="M761" s="5" t="n">
        <v>0</v>
      </c>
      <c r="N761" s="5" t="n">
        <v>0</v>
      </c>
      <c r="O761" s="5" t="n">
        <v>0</v>
      </c>
      <c r="P761" s="5" t="n">
        <v>0</v>
      </c>
      <c r="Q761" s="5" t="n">
        <v>0</v>
      </c>
      <c r="R761" s="5" t="n">
        <v>1</v>
      </c>
      <c r="S761" s="5" t="n">
        <v>0</v>
      </c>
      <c r="T761" s="5" t="n">
        <v>0</v>
      </c>
      <c r="U761" s="5" t="inlineStr">
        <is>
          <t>training</t>
        </is>
      </c>
      <c r="V761" s="5" t="n">
        <v>1</v>
      </c>
    </row>
    <row r="762">
      <c r="A762" s="5" t="n">
        <v>758</v>
      </c>
      <c r="B762" s="5" t="n">
        <v>1</v>
      </c>
      <c r="C762" s="6" t="n">
        <v>-0.4829241608380317</v>
      </c>
      <c r="D762" s="6" t="n">
        <v>-0.6926811613564521</v>
      </c>
      <c r="E762" s="6" t="n">
        <v>0.3009266516151065</v>
      </c>
      <c r="F762" s="6" t="n">
        <v>0.01674764143977723</v>
      </c>
      <c r="G762" s="5" t="n">
        <v>0</v>
      </c>
      <c r="H762" s="5" t="n">
        <v>0</v>
      </c>
      <c r="I762" s="5" t="n">
        <v>1</v>
      </c>
      <c r="J762" s="5" t="n">
        <v>1</v>
      </c>
      <c r="K762" s="5" t="n">
        <v>0</v>
      </c>
      <c r="L762" s="5" t="n">
        <v>0</v>
      </c>
      <c r="M762" s="5" t="n">
        <v>0</v>
      </c>
      <c r="N762" s="5" t="n">
        <v>0</v>
      </c>
      <c r="O762" s="5" t="n">
        <v>1</v>
      </c>
      <c r="P762" s="5" t="n">
        <v>0</v>
      </c>
      <c r="Q762" s="5" t="n">
        <v>1</v>
      </c>
      <c r="R762" s="5" t="n">
        <v>0</v>
      </c>
      <c r="S762" s="5" t="n">
        <v>1</v>
      </c>
      <c r="T762" s="5" t="n">
        <v>0</v>
      </c>
      <c r="U762" s="5" t="inlineStr">
        <is>
          <t>training</t>
        </is>
      </c>
      <c r="V762" s="5" t="n">
        <v>1</v>
      </c>
    </row>
    <row r="763">
      <c r="A763" s="5" t="n">
        <v>759</v>
      </c>
      <c r="B763" s="5" t="n">
        <v>0</v>
      </c>
      <c r="C763" s="6" t="n">
        <v>0.275406400796963</v>
      </c>
      <c r="D763" s="6" t="n">
        <v>-0.6499942468596059</v>
      </c>
      <c r="E763" s="6" t="n">
        <v>-0.3948575139689546</v>
      </c>
      <c r="F763" s="6" t="n">
        <v>-0.8850484360866833</v>
      </c>
      <c r="G763" s="5" t="n">
        <v>0</v>
      </c>
      <c r="H763" s="5" t="n">
        <v>0</v>
      </c>
      <c r="I763" s="5" t="n">
        <v>0</v>
      </c>
      <c r="J763" s="5" t="n">
        <v>0</v>
      </c>
      <c r="K763" s="5" t="n">
        <v>0</v>
      </c>
      <c r="L763" s="5" t="n">
        <v>0</v>
      </c>
      <c r="M763" s="5" t="n">
        <v>0</v>
      </c>
      <c r="N763" s="5" t="n">
        <v>0</v>
      </c>
      <c r="O763" s="5" t="n">
        <v>0</v>
      </c>
      <c r="P763" s="5" t="n">
        <v>0</v>
      </c>
      <c r="Q763" s="5" t="n">
        <v>0</v>
      </c>
      <c r="R763" s="5" t="n">
        <v>1</v>
      </c>
      <c r="S763" s="5" t="n">
        <v>0</v>
      </c>
      <c r="T763" s="5" t="n">
        <v>0</v>
      </c>
      <c r="U763" s="5" t="inlineStr">
        <is>
          <t>training</t>
        </is>
      </c>
      <c r="V763" s="5" t="n">
        <v>1</v>
      </c>
    </row>
    <row r="764">
      <c r="A764" s="5" t="n">
        <v>760</v>
      </c>
      <c r="B764" s="5" t="n">
        <v>1</v>
      </c>
      <c r="C764" s="6" t="n">
        <v>-0.7357010147163632</v>
      </c>
      <c r="D764" s="6" t="n">
        <v>-0.8956189515873604</v>
      </c>
      <c r="E764" s="6" t="n">
        <v>-0.04696543117692405</v>
      </c>
      <c r="F764" s="6" t="n">
        <v>0.9185437189662378</v>
      </c>
      <c r="G764" s="5" t="n">
        <v>1</v>
      </c>
      <c r="H764" s="5" t="n">
        <v>0</v>
      </c>
      <c r="I764" s="5" t="n">
        <v>0</v>
      </c>
      <c r="J764" s="5" t="n">
        <v>1</v>
      </c>
      <c r="K764" s="5" t="n">
        <v>0</v>
      </c>
      <c r="L764" s="5" t="n">
        <v>0</v>
      </c>
      <c r="M764" s="5" t="n">
        <v>0</v>
      </c>
      <c r="N764" s="5" t="n">
        <v>0</v>
      </c>
      <c r="O764" s="5" t="n">
        <v>0</v>
      </c>
      <c r="P764" s="5" t="n">
        <v>0</v>
      </c>
      <c r="Q764" s="5" t="n">
        <v>0</v>
      </c>
      <c r="R764" s="5" t="n">
        <v>1</v>
      </c>
      <c r="S764" s="5" t="n">
        <v>0</v>
      </c>
      <c r="T764" s="5" t="n">
        <v>0</v>
      </c>
      <c r="U764" s="5" t="inlineStr">
        <is>
          <t>testing</t>
        </is>
      </c>
      <c r="V764" s="5" t="n">
        <v>0</v>
      </c>
    </row>
    <row r="765">
      <c r="A765" s="5" t="n">
        <v>761</v>
      </c>
      <c r="B765" s="5" t="n">
        <v>0</v>
      </c>
      <c r="C765" s="6" t="n">
        <v>-0.4829241608380317</v>
      </c>
      <c r="D765" s="6" t="n">
        <v>0.6278140461115609</v>
      </c>
      <c r="E765" s="6" t="n">
        <v>2.040387065575259</v>
      </c>
      <c r="F765" s="6" t="n">
        <v>-1.786844513613144</v>
      </c>
      <c r="G765" s="5" t="n">
        <v>0</v>
      </c>
      <c r="H765" s="5" t="n">
        <v>0</v>
      </c>
      <c r="I765" s="5" t="n">
        <v>0</v>
      </c>
      <c r="J765" s="5" t="n">
        <v>1</v>
      </c>
      <c r="K765" s="5" t="n">
        <v>0</v>
      </c>
      <c r="L765" s="5" t="n">
        <v>0</v>
      </c>
      <c r="M765" s="5" t="n">
        <v>0</v>
      </c>
      <c r="N765" s="5" t="n">
        <v>0</v>
      </c>
      <c r="O765" s="5" t="n">
        <v>1</v>
      </c>
      <c r="P765" s="5" t="n">
        <v>0</v>
      </c>
      <c r="Q765" s="5" t="n">
        <v>0</v>
      </c>
      <c r="R765" s="5" t="n">
        <v>1</v>
      </c>
      <c r="S765" s="5" t="n">
        <v>0</v>
      </c>
      <c r="T765" s="5" t="n">
        <v>0</v>
      </c>
      <c r="U765" s="5" t="inlineStr">
        <is>
          <t>testing</t>
        </is>
      </c>
      <c r="V765" s="5" t="n">
        <v>0</v>
      </c>
    </row>
    <row r="766">
      <c r="A766" s="5" t="n">
        <v>762</v>
      </c>
      <c r="B766" s="5" t="n">
        <v>1</v>
      </c>
      <c r="C766" s="6" t="n">
        <v>-0.2301473069597001</v>
      </c>
      <c r="D766" s="6" t="n">
        <v>-0.3942226526203061</v>
      </c>
      <c r="E766" s="6" t="n">
        <v>-1.003668658855008</v>
      </c>
      <c r="F766" s="6" t="n">
        <v>0.9185437189662378</v>
      </c>
      <c r="G766" s="5" t="n">
        <v>1</v>
      </c>
      <c r="H766" s="5" t="n">
        <v>0</v>
      </c>
      <c r="I766" s="5" t="n">
        <v>0</v>
      </c>
      <c r="J766" s="5" t="n">
        <v>1</v>
      </c>
      <c r="K766" s="5" t="n">
        <v>0</v>
      </c>
      <c r="L766" s="5" t="n">
        <v>0</v>
      </c>
      <c r="M766" s="5" t="n">
        <v>0</v>
      </c>
      <c r="N766" s="5" t="n">
        <v>0</v>
      </c>
      <c r="O766" s="5" t="n">
        <v>0</v>
      </c>
      <c r="P766" s="5" t="n">
        <v>1</v>
      </c>
      <c r="Q766" s="5" t="n">
        <v>0</v>
      </c>
      <c r="R766" s="5" t="n">
        <v>0</v>
      </c>
      <c r="S766" s="5" t="n">
        <v>0</v>
      </c>
      <c r="T766" s="5" t="n">
        <v>1</v>
      </c>
      <c r="U766" s="5" t="inlineStr">
        <is>
          <t>testing</t>
        </is>
      </c>
      <c r="V766" s="5" t="n">
        <v>0</v>
      </c>
    </row>
    <row r="767">
      <c r="A767" s="5" t="n">
        <v>763</v>
      </c>
      <c r="B767" s="5" t="n">
        <v>0</v>
      </c>
      <c r="C767" s="6" t="n">
        <v>-0.7357010147163632</v>
      </c>
      <c r="D767" s="6" t="n">
        <v>-0.3627323058603376</v>
      </c>
      <c r="E767" s="6" t="n">
        <v>-1.003668658855008</v>
      </c>
      <c r="F767" s="6" t="n">
        <v>0.9185437189662378</v>
      </c>
      <c r="G767" s="5" t="n">
        <v>1</v>
      </c>
      <c r="H767" s="5" t="n">
        <v>0</v>
      </c>
      <c r="I767" s="5" t="n">
        <v>0</v>
      </c>
      <c r="J767" s="5" t="n">
        <v>0</v>
      </c>
      <c r="K767" s="5" t="n">
        <v>0</v>
      </c>
      <c r="L767" s="5" t="n">
        <v>0</v>
      </c>
      <c r="M767" s="5" t="n">
        <v>0</v>
      </c>
      <c r="N767" s="5" t="n">
        <v>0</v>
      </c>
      <c r="O767" s="5" t="n">
        <v>0</v>
      </c>
      <c r="P767" s="5" t="n">
        <v>0</v>
      </c>
      <c r="Q767" s="5" t="n">
        <v>0</v>
      </c>
      <c r="R767" s="5" t="n">
        <v>0</v>
      </c>
      <c r="S767" s="5" t="n">
        <v>1</v>
      </c>
      <c r="T767" s="5" t="n">
        <v>0</v>
      </c>
      <c r="U767" s="5" t="inlineStr">
        <is>
          <t>training</t>
        </is>
      </c>
      <c r="V767" s="5" t="n">
        <v>1</v>
      </c>
    </row>
    <row r="768">
      <c r="A768" s="5" t="n">
        <v>764</v>
      </c>
      <c r="B768" s="5" t="n">
        <v>1</v>
      </c>
      <c r="C768" s="6" t="n">
        <v>0.02262954691863145</v>
      </c>
      <c r="D768" s="6" t="n">
        <v>3.299245129582224</v>
      </c>
      <c r="E768" s="6" t="n">
        <v>-0.4818305346669622</v>
      </c>
      <c r="F768" s="6" t="n">
        <v>0.9185437189662378</v>
      </c>
      <c r="G768" s="5" t="n">
        <v>0</v>
      </c>
      <c r="H768" s="5" t="n">
        <v>0</v>
      </c>
      <c r="I768" s="5" t="n">
        <v>0</v>
      </c>
      <c r="J768" s="5" t="n">
        <v>1</v>
      </c>
      <c r="K768" s="5" t="n">
        <v>0</v>
      </c>
      <c r="L768" s="5" t="n">
        <v>0</v>
      </c>
      <c r="M768" s="5" t="n">
        <v>0</v>
      </c>
      <c r="N768" s="5" t="n">
        <v>0</v>
      </c>
      <c r="O768" s="5" t="n">
        <v>1</v>
      </c>
      <c r="P768" s="5" t="n">
        <v>0</v>
      </c>
      <c r="Q768" s="5" t="n">
        <v>1</v>
      </c>
      <c r="R768" s="5" t="n">
        <v>1</v>
      </c>
      <c r="S768" s="5" t="n">
        <v>0</v>
      </c>
      <c r="T768" s="5" t="n">
        <v>0</v>
      </c>
      <c r="U768" s="5" t="inlineStr">
        <is>
          <t>training</t>
        </is>
      </c>
      <c r="V768" s="5" t="n">
        <v>1</v>
      </c>
    </row>
    <row r="769">
      <c r="A769" s="5" t="n">
        <v>765</v>
      </c>
      <c r="B769" s="5" t="n">
        <v>0</v>
      </c>
      <c r="C769" s="6" t="n">
        <v>0.275406400796963</v>
      </c>
      <c r="D769" s="6" t="n">
        <v>-0.275609013157758</v>
      </c>
      <c r="E769" s="6" t="n">
        <v>-0.7427495967609852</v>
      </c>
      <c r="F769" s="6" t="n">
        <v>0.9185437189662378</v>
      </c>
      <c r="G769" s="5" t="n">
        <v>0</v>
      </c>
      <c r="H769" s="5" t="n">
        <v>0</v>
      </c>
      <c r="I769" s="5" t="n">
        <v>0</v>
      </c>
      <c r="J769" s="5" t="n">
        <v>1</v>
      </c>
      <c r="K769" s="5" t="n">
        <v>0</v>
      </c>
      <c r="L769" s="5" t="n">
        <v>0</v>
      </c>
      <c r="M769" s="5" t="n">
        <v>1</v>
      </c>
      <c r="N769" s="5" t="n">
        <v>0</v>
      </c>
      <c r="O769" s="5" t="n">
        <v>0</v>
      </c>
      <c r="P769" s="5" t="n">
        <v>0</v>
      </c>
      <c r="Q769" s="5" t="n">
        <v>0</v>
      </c>
      <c r="R769" s="5" t="n">
        <v>1</v>
      </c>
      <c r="S769" s="5" t="n">
        <v>0</v>
      </c>
      <c r="T769" s="5" t="n">
        <v>0</v>
      </c>
      <c r="U769" s="5" t="inlineStr">
        <is>
          <t>training</t>
        </is>
      </c>
      <c r="V769" s="5" t="n">
        <v>1</v>
      </c>
    </row>
    <row r="770">
      <c r="A770" s="5" t="n">
        <v>766</v>
      </c>
      <c r="B770" s="5" t="n">
        <v>0</v>
      </c>
      <c r="C770" s="6" t="n">
        <v>-0.7357010147163632</v>
      </c>
      <c r="D770" s="6" t="n">
        <v>-0.7332687194026337</v>
      </c>
      <c r="E770" s="6" t="n">
        <v>0.3878996723131141</v>
      </c>
      <c r="F770" s="6" t="n">
        <v>0.01674764143977723</v>
      </c>
      <c r="G770" s="5" t="n">
        <v>0</v>
      </c>
      <c r="H770" s="5" t="n">
        <v>1</v>
      </c>
      <c r="I770" s="5" t="n">
        <v>0</v>
      </c>
      <c r="J770" s="5" t="n">
        <v>0</v>
      </c>
      <c r="K770" s="5" t="n">
        <v>0</v>
      </c>
      <c r="L770" s="5" t="n">
        <v>0</v>
      </c>
      <c r="M770" s="5" t="n">
        <v>0</v>
      </c>
      <c r="N770" s="5" t="n">
        <v>0</v>
      </c>
      <c r="O770" s="5" t="n">
        <v>0</v>
      </c>
      <c r="P770" s="5" t="n">
        <v>0</v>
      </c>
      <c r="Q770" s="5" t="n">
        <v>0</v>
      </c>
      <c r="R770" s="5" t="n">
        <v>0</v>
      </c>
      <c r="S770" s="5" t="n">
        <v>1</v>
      </c>
      <c r="T770" s="5" t="n">
        <v>0</v>
      </c>
      <c r="U770" s="5" t="inlineStr">
        <is>
          <t>training</t>
        </is>
      </c>
      <c r="V770" s="5" t="n">
        <v>1</v>
      </c>
    </row>
    <row r="771">
      <c r="A771" s="5" t="n">
        <v>767</v>
      </c>
      <c r="B771" s="5" t="n">
        <v>1</v>
      </c>
      <c r="C771" s="6" t="n">
        <v>0.7809601085536261</v>
      </c>
      <c r="D771" s="6" t="n">
        <v>-0.04992819471131699</v>
      </c>
      <c r="E771" s="6" t="n">
        <v>-0.3948575139689546</v>
      </c>
      <c r="F771" s="6" t="n">
        <v>-0.8850484360866833</v>
      </c>
      <c r="G771" s="5" t="n">
        <v>1</v>
      </c>
      <c r="H771" s="5" t="n">
        <v>0</v>
      </c>
      <c r="I771" s="5" t="n">
        <v>0</v>
      </c>
      <c r="J771" s="5" t="n">
        <v>0</v>
      </c>
      <c r="K771" s="5" t="n">
        <v>0</v>
      </c>
      <c r="L771" s="5" t="n">
        <v>0</v>
      </c>
      <c r="M771" s="5" t="n">
        <v>0</v>
      </c>
      <c r="N771" s="5" t="n">
        <v>0</v>
      </c>
      <c r="O771" s="5" t="n">
        <v>0</v>
      </c>
      <c r="P771" s="5" t="n">
        <v>0</v>
      </c>
      <c r="Q771" s="5" t="n">
        <v>0</v>
      </c>
      <c r="R771" s="5" t="n">
        <v>0</v>
      </c>
      <c r="S771" s="5" t="n">
        <v>0</v>
      </c>
      <c r="T771" s="5" t="n">
        <v>1</v>
      </c>
      <c r="U771" s="5" t="inlineStr">
        <is>
          <t>training</t>
        </is>
      </c>
      <c r="V771" s="5" t="n">
        <v>1</v>
      </c>
    </row>
    <row r="772">
      <c r="A772" s="5" t="n">
        <v>768</v>
      </c>
      <c r="B772" s="5" t="n">
        <v>0</v>
      </c>
      <c r="C772" s="6" t="n">
        <v>-0.9042189173019176</v>
      </c>
      <c r="D772" s="6" t="n">
        <v>-0.1223559922592446</v>
      </c>
      <c r="E772" s="6" t="n">
        <v>-0.3948575139689546</v>
      </c>
      <c r="F772" s="6" t="n">
        <v>-1.786844513613144</v>
      </c>
      <c r="G772" s="5" t="n">
        <v>0</v>
      </c>
      <c r="H772" s="5" t="n">
        <v>0</v>
      </c>
      <c r="I772" s="5" t="n">
        <v>0</v>
      </c>
      <c r="J772" s="5" t="n">
        <v>0</v>
      </c>
      <c r="K772" s="5" t="n">
        <v>0</v>
      </c>
      <c r="L772" s="5" t="n">
        <v>0</v>
      </c>
      <c r="M772" s="5" t="n">
        <v>0</v>
      </c>
      <c r="N772" s="5" t="n">
        <v>0</v>
      </c>
      <c r="O772" s="5" t="n">
        <v>1</v>
      </c>
      <c r="P772" s="5" t="n">
        <v>1</v>
      </c>
      <c r="Q772" s="5" t="n">
        <v>0</v>
      </c>
      <c r="R772" s="5" t="n">
        <v>1</v>
      </c>
      <c r="S772" s="5" t="n">
        <v>0</v>
      </c>
      <c r="T772" s="5" t="n">
        <v>0</v>
      </c>
      <c r="U772" s="5" t="inlineStr">
        <is>
          <t>training</t>
        </is>
      </c>
      <c r="V772" s="5" t="n">
        <v>0</v>
      </c>
    </row>
    <row r="773">
      <c r="A773" s="5" t="n">
        <v>769</v>
      </c>
      <c r="B773" s="5" t="n">
        <v>0</v>
      </c>
      <c r="C773" s="6" t="n">
        <v>-0.7357010147163632</v>
      </c>
      <c r="D773" s="6" t="n">
        <v>0.1281672108533938</v>
      </c>
      <c r="E773" s="6" t="n">
        <v>-0.6557765760629775</v>
      </c>
      <c r="F773" s="6" t="n">
        <v>-1.786844513613144</v>
      </c>
      <c r="G773" s="5" t="n">
        <v>0</v>
      </c>
      <c r="H773" s="5" t="n">
        <v>1</v>
      </c>
      <c r="I773" s="5" t="n">
        <v>0</v>
      </c>
      <c r="J773" s="5" t="n">
        <v>1</v>
      </c>
      <c r="K773" s="5" t="n">
        <v>0</v>
      </c>
      <c r="L773" s="5" t="n">
        <v>0</v>
      </c>
      <c r="M773" s="5" t="n">
        <v>0</v>
      </c>
      <c r="N773" s="5" t="n">
        <v>0</v>
      </c>
      <c r="O773" s="5" t="n">
        <v>0</v>
      </c>
      <c r="P773" s="5" t="n">
        <v>1</v>
      </c>
      <c r="Q773" s="5" t="n">
        <v>0</v>
      </c>
      <c r="R773" s="5" t="n">
        <v>0</v>
      </c>
      <c r="S773" s="5" t="n">
        <v>0</v>
      </c>
      <c r="T773" s="5" t="n">
        <v>1</v>
      </c>
      <c r="U773" s="5" t="inlineStr">
        <is>
          <t>testing</t>
        </is>
      </c>
      <c r="V773" s="5" t="n">
        <v>0</v>
      </c>
    </row>
    <row r="774">
      <c r="A774" s="5" t="n">
        <v>770</v>
      </c>
      <c r="B774" s="5" t="n">
        <v>0</v>
      </c>
      <c r="C774" s="6" t="n">
        <v>-0.7357010147163632</v>
      </c>
      <c r="D774" s="6" t="n">
        <v>-0.5583223485139198</v>
      </c>
      <c r="E774" s="6" t="n">
        <v>2.38827914836729</v>
      </c>
      <c r="F774" s="6" t="n">
        <v>-0.8850484360866833</v>
      </c>
      <c r="G774" s="5" t="n">
        <v>0</v>
      </c>
      <c r="H774" s="5" t="n">
        <v>0</v>
      </c>
      <c r="I774" s="5" t="n">
        <v>0</v>
      </c>
      <c r="J774" s="5" t="n">
        <v>1</v>
      </c>
      <c r="K774" s="5" t="n">
        <v>0</v>
      </c>
      <c r="L774" s="5" t="n">
        <v>0</v>
      </c>
      <c r="M774" s="5" t="n">
        <v>0</v>
      </c>
      <c r="N774" s="5" t="n">
        <v>0</v>
      </c>
      <c r="O774" s="5" t="n">
        <v>0</v>
      </c>
      <c r="P774" s="5" t="n">
        <v>0</v>
      </c>
      <c r="Q774" s="5" t="n">
        <v>0</v>
      </c>
      <c r="R774" s="5" t="n">
        <v>0</v>
      </c>
      <c r="S774" s="5" t="n">
        <v>1</v>
      </c>
      <c r="T774" s="5" t="n">
        <v>0</v>
      </c>
      <c r="U774" s="5" t="inlineStr">
        <is>
          <t>training</t>
        </is>
      </c>
      <c r="V774" s="5" t="n">
        <v>0</v>
      </c>
    </row>
    <row r="775">
      <c r="A775" s="5" t="n">
        <v>771</v>
      </c>
      <c r="B775" s="5" t="n">
        <v>0</v>
      </c>
      <c r="C775" s="6" t="n">
        <v>0.275406400796963</v>
      </c>
      <c r="D775" s="6" t="n">
        <v>-0.1534964462774357</v>
      </c>
      <c r="E775" s="6" t="n">
        <v>-0.8297226174589928</v>
      </c>
      <c r="F775" s="6" t="n">
        <v>-0.8850484360866833</v>
      </c>
      <c r="G775" s="5" t="n">
        <v>1</v>
      </c>
      <c r="H775" s="5" t="n">
        <v>0</v>
      </c>
      <c r="I775" s="5" t="n">
        <v>0</v>
      </c>
      <c r="J775" s="5" t="n">
        <v>0</v>
      </c>
      <c r="K775" s="5" t="n">
        <v>0</v>
      </c>
      <c r="L775" s="5" t="n">
        <v>0</v>
      </c>
      <c r="M775" s="5" t="n">
        <v>0</v>
      </c>
      <c r="N775" s="5" t="n">
        <v>0</v>
      </c>
      <c r="O775" s="5" t="n">
        <v>1</v>
      </c>
      <c r="P775" s="5" t="n">
        <v>1</v>
      </c>
      <c r="Q775" s="5" t="n">
        <v>0</v>
      </c>
      <c r="R775" s="5" t="n">
        <v>1</v>
      </c>
      <c r="S775" s="5" t="n">
        <v>0</v>
      </c>
      <c r="T775" s="5" t="n">
        <v>0</v>
      </c>
      <c r="U775" s="5" t="inlineStr">
        <is>
          <t>training</t>
        </is>
      </c>
      <c r="V775" s="5" t="n">
        <v>0</v>
      </c>
    </row>
    <row r="776">
      <c r="A776" s="5" t="n">
        <v>772</v>
      </c>
      <c r="B776" s="5" t="n">
        <v>1</v>
      </c>
      <c r="C776" s="6" t="n">
        <v>1.286513816310289</v>
      </c>
      <c r="D776" s="6" t="n">
        <v>1.684490126279393</v>
      </c>
      <c r="E776" s="6" t="n">
        <v>-0.9166956381570004</v>
      </c>
      <c r="F776" s="6" t="n">
        <v>0.01674764143977723</v>
      </c>
      <c r="G776" s="5" t="n">
        <v>1</v>
      </c>
      <c r="H776" s="5" t="n">
        <v>0</v>
      </c>
      <c r="I776" s="5" t="n">
        <v>0</v>
      </c>
      <c r="J776" s="5" t="n">
        <v>1</v>
      </c>
      <c r="K776" s="5" t="n">
        <v>0</v>
      </c>
      <c r="L776" s="5" t="n">
        <v>0</v>
      </c>
      <c r="M776" s="5" t="n">
        <v>0</v>
      </c>
      <c r="N776" s="5" t="n">
        <v>0</v>
      </c>
      <c r="O776" s="5" t="n">
        <v>0</v>
      </c>
      <c r="P776" s="5" t="n">
        <v>0</v>
      </c>
      <c r="Q776" s="5" t="n">
        <v>0</v>
      </c>
      <c r="R776" s="5" t="n">
        <v>0</v>
      </c>
      <c r="S776" s="5" t="n">
        <v>0</v>
      </c>
      <c r="T776" s="5" t="n">
        <v>0</v>
      </c>
      <c r="U776" s="5" t="inlineStr">
        <is>
          <t>testing</t>
        </is>
      </c>
      <c r="V776" s="5" t="n">
        <v>0</v>
      </c>
    </row>
    <row r="777">
      <c r="A777" s="5" t="n">
        <v>773</v>
      </c>
      <c r="B777" s="5" t="n">
        <v>0</v>
      </c>
      <c r="C777" s="6" t="n">
        <v>0.02262954691863145</v>
      </c>
      <c r="D777" s="6" t="n">
        <v>0.008503893165513476</v>
      </c>
      <c r="E777" s="6" t="n">
        <v>0.04000758952108359</v>
      </c>
      <c r="F777" s="6" t="n">
        <v>-1.786844513613144</v>
      </c>
      <c r="G777" s="5" t="n">
        <v>0</v>
      </c>
      <c r="H777" s="5" t="n">
        <v>0</v>
      </c>
      <c r="I777" s="5" t="n">
        <v>0</v>
      </c>
      <c r="J777" s="5" t="n">
        <v>1</v>
      </c>
      <c r="K777" s="5" t="n">
        <v>0</v>
      </c>
      <c r="L777" s="5" t="n">
        <v>0</v>
      </c>
      <c r="M777" s="5" t="n">
        <v>0</v>
      </c>
      <c r="N777" s="5" t="n">
        <v>0</v>
      </c>
      <c r="O777" s="5" t="n">
        <v>0</v>
      </c>
      <c r="P777" s="5" t="n">
        <v>0</v>
      </c>
      <c r="Q777" s="5" t="n">
        <v>0</v>
      </c>
      <c r="R777" s="5" t="n">
        <v>1</v>
      </c>
      <c r="S777" s="5" t="n">
        <v>0</v>
      </c>
      <c r="T777" s="5" t="n">
        <v>0</v>
      </c>
      <c r="U777" s="5" t="inlineStr">
        <is>
          <t>testing</t>
        </is>
      </c>
      <c r="V777" s="5" t="n">
        <v>0</v>
      </c>
    </row>
    <row r="778">
      <c r="A778" s="5" t="n">
        <v>774</v>
      </c>
      <c r="B778" s="5" t="n">
        <v>0</v>
      </c>
      <c r="C778" s="6" t="n">
        <v>0.275406400796963</v>
      </c>
      <c r="D778" s="6" t="n">
        <v>-0.3595832711843407</v>
      </c>
      <c r="E778" s="6" t="n">
        <v>1.431575920689206</v>
      </c>
      <c r="F778" s="6" t="n">
        <v>0.9185437189662378</v>
      </c>
      <c r="G778" s="5" t="n">
        <v>0</v>
      </c>
      <c r="H778" s="5" t="n">
        <v>0</v>
      </c>
      <c r="I778" s="5" t="n">
        <v>0</v>
      </c>
      <c r="J778" s="5" t="n">
        <v>1</v>
      </c>
      <c r="K778" s="5" t="n">
        <v>0</v>
      </c>
      <c r="L778" s="5" t="n">
        <v>0</v>
      </c>
      <c r="M778" s="5" t="n">
        <v>1</v>
      </c>
      <c r="N778" s="5" t="n">
        <v>0</v>
      </c>
      <c r="O778" s="5" t="n">
        <v>0</v>
      </c>
      <c r="P778" s="5" t="n">
        <v>0</v>
      </c>
      <c r="Q778" s="5" t="n">
        <v>0</v>
      </c>
      <c r="R778" s="5" t="n">
        <v>0</v>
      </c>
      <c r="S778" s="5" t="n">
        <v>1</v>
      </c>
      <c r="T778" s="5" t="n">
        <v>0</v>
      </c>
      <c r="U778" s="5" t="inlineStr">
        <is>
          <t>training</t>
        </is>
      </c>
      <c r="V778" s="5" t="n">
        <v>1</v>
      </c>
    </row>
    <row r="779">
      <c r="A779" s="5" t="n">
        <v>775</v>
      </c>
      <c r="B779" s="5" t="n">
        <v>0</v>
      </c>
      <c r="C779" s="6" t="n">
        <v>-0.7357010147163632</v>
      </c>
      <c r="D779" s="6" t="n">
        <v>-0.6195535783249697</v>
      </c>
      <c r="E779" s="6" t="n">
        <v>2.649198210461313</v>
      </c>
      <c r="F779" s="6" t="n">
        <v>-0.8850484360866833</v>
      </c>
      <c r="G779" s="5" t="n">
        <v>0</v>
      </c>
      <c r="H779" s="5" t="n">
        <v>0</v>
      </c>
      <c r="I779" s="5" t="n">
        <v>1</v>
      </c>
      <c r="J779" s="5" t="n">
        <v>1</v>
      </c>
      <c r="K779" s="5" t="n">
        <v>0</v>
      </c>
      <c r="L779" s="5" t="n">
        <v>0</v>
      </c>
      <c r="M779" s="5" t="n">
        <v>1</v>
      </c>
      <c r="N779" s="5" t="n">
        <v>0</v>
      </c>
      <c r="O779" s="5" t="n">
        <v>0</v>
      </c>
      <c r="P779" s="5" t="n">
        <v>0</v>
      </c>
      <c r="Q779" s="5" t="n">
        <v>1</v>
      </c>
      <c r="R779" s="5" t="n">
        <v>1</v>
      </c>
      <c r="S779" s="5" t="n">
        <v>0</v>
      </c>
      <c r="T779" s="5" t="n">
        <v>0</v>
      </c>
      <c r="U779" s="5" t="inlineStr">
        <is>
          <t>training</t>
        </is>
      </c>
      <c r="V779" s="5" t="n">
        <v>0</v>
      </c>
    </row>
    <row r="780">
      <c r="A780" s="5" t="n">
        <v>776</v>
      </c>
      <c r="B780" s="5" t="n">
        <v>1</v>
      </c>
      <c r="C780" s="6" t="n">
        <v>0.275406400796963</v>
      </c>
      <c r="D780" s="6" t="n">
        <v>-0.6576918871787093</v>
      </c>
      <c r="E780" s="6" t="n">
        <v>-0.9166956381570004</v>
      </c>
      <c r="F780" s="6" t="n">
        <v>0.9185437189662378</v>
      </c>
      <c r="G780" s="5" t="n">
        <v>1</v>
      </c>
      <c r="H780" s="5" t="n">
        <v>0</v>
      </c>
      <c r="I780" s="5" t="n">
        <v>0</v>
      </c>
      <c r="J780" s="5" t="n">
        <v>0</v>
      </c>
      <c r="K780" s="5" t="n">
        <v>0</v>
      </c>
      <c r="L780" s="5" t="n">
        <v>0</v>
      </c>
      <c r="M780" s="5" t="n">
        <v>0</v>
      </c>
      <c r="N780" s="5" t="n">
        <v>0</v>
      </c>
      <c r="O780" s="5" t="n">
        <v>1</v>
      </c>
      <c r="P780" s="5" t="n">
        <v>1</v>
      </c>
      <c r="Q780" s="5" t="n">
        <v>0</v>
      </c>
      <c r="R780" s="5" t="n">
        <v>1</v>
      </c>
      <c r="S780" s="5" t="n">
        <v>0</v>
      </c>
      <c r="T780" s="5" t="n">
        <v>0</v>
      </c>
      <c r="U780" s="5" t="inlineStr">
        <is>
          <t>training</t>
        </is>
      </c>
      <c r="V780" s="5" t="n">
        <v>1</v>
      </c>
    </row>
    <row r="781">
      <c r="A781" s="5" t="n">
        <v>777</v>
      </c>
      <c r="B781" s="5" t="n">
        <v>0</v>
      </c>
      <c r="C781" s="6" t="n">
        <v>1.286513816310289</v>
      </c>
      <c r="D781" s="6" t="n">
        <v>0.09947600602764474</v>
      </c>
      <c r="E781" s="6" t="n">
        <v>0.1269806102190912</v>
      </c>
      <c r="F781" s="6" t="n">
        <v>0.9185437189662378</v>
      </c>
      <c r="G781" s="5" t="n">
        <v>0</v>
      </c>
      <c r="H781" s="5" t="n">
        <v>0</v>
      </c>
      <c r="I781" s="5" t="n">
        <v>0</v>
      </c>
      <c r="J781" s="5" t="n">
        <v>1</v>
      </c>
      <c r="K781" s="5" t="n">
        <v>0</v>
      </c>
      <c r="L781" s="5" t="n">
        <v>0</v>
      </c>
      <c r="M781" s="5" t="n">
        <v>0</v>
      </c>
      <c r="N781" s="5" t="n">
        <v>0</v>
      </c>
      <c r="O781" s="5" t="n">
        <v>0</v>
      </c>
      <c r="P781" s="5" t="n">
        <v>0</v>
      </c>
      <c r="Q781" s="5" t="n">
        <v>0</v>
      </c>
      <c r="R781" s="5" t="n">
        <v>1</v>
      </c>
      <c r="S781" s="5" t="n">
        <v>0</v>
      </c>
      <c r="T781" s="5" t="n">
        <v>0</v>
      </c>
      <c r="U781" s="5" t="inlineStr">
        <is>
          <t>testing</t>
        </is>
      </c>
      <c r="V781" s="5" t="n">
        <v>0</v>
      </c>
    </row>
    <row r="782">
      <c r="A782" s="5" t="n">
        <v>778</v>
      </c>
      <c r="B782" s="5" t="n">
        <v>0</v>
      </c>
      <c r="C782" s="6" t="n">
        <v>-0.2301473069597001</v>
      </c>
      <c r="D782" s="6" t="n">
        <v>0.09037879474143161</v>
      </c>
      <c r="E782" s="6" t="n">
        <v>-0.9166956381570004</v>
      </c>
      <c r="F782" s="6" t="n">
        <v>0.9185437189662378</v>
      </c>
      <c r="G782" s="5" t="n">
        <v>1</v>
      </c>
      <c r="H782" s="5" t="n">
        <v>0</v>
      </c>
      <c r="I782" s="5" t="n">
        <v>0</v>
      </c>
      <c r="J782" s="5" t="n">
        <v>0</v>
      </c>
      <c r="K782" s="5" t="n">
        <v>0</v>
      </c>
      <c r="L782" s="5" t="n">
        <v>0</v>
      </c>
      <c r="M782" s="5" t="n">
        <v>0</v>
      </c>
      <c r="N782" s="5" t="n">
        <v>0</v>
      </c>
      <c r="O782" s="5" t="n">
        <v>0</v>
      </c>
      <c r="P782" s="5" t="n">
        <v>0</v>
      </c>
      <c r="Q782" s="5" t="n">
        <v>0</v>
      </c>
      <c r="R782" s="5" t="n">
        <v>0</v>
      </c>
      <c r="S782" s="5" t="n">
        <v>1</v>
      </c>
      <c r="T782" s="5" t="n">
        <v>0</v>
      </c>
      <c r="U782" s="5" t="inlineStr">
        <is>
          <t>training</t>
        </is>
      </c>
      <c r="V782" s="5" t="n">
        <v>0</v>
      </c>
    </row>
    <row r="783">
      <c r="A783" s="5" t="n">
        <v>779</v>
      </c>
      <c r="B783" s="5" t="n">
        <v>0</v>
      </c>
      <c r="C783" s="6" t="n">
        <v>1.286513816310289</v>
      </c>
      <c r="D783" s="6" t="n">
        <v>0.860842612135328</v>
      </c>
      <c r="E783" s="6" t="n">
        <v>0.2139536309170988</v>
      </c>
      <c r="F783" s="6" t="n">
        <v>0.9185437189662378</v>
      </c>
      <c r="G783" s="5" t="n">
        <v>0</v>
      </c>
      <c r="H783" s="5" t="n">
        <v>0</v>
      </c>
      <c r="I783" s="5" t="n">
        <v>0</v>
      </c>
      <c r="J783" s="5" t="n">
        <v>1</v>
      </c>
      <c r="K783" s="5" t="n">
        <v>0</v>
      </c>
      <c r="L783" s="5" t="n">
        <v>0</v>
      </c>
      <c r="M783" s="5" t="n">
        <v>0</v>
      </c>
      <c r="N783" s="5" t="n">
        <v>1</v>
      </c>
      <c r="O783" s="5" t="n">
        <v>0</v>
      </c>
      <c r="P783" s="5" t="n">
        <v>0</v>
      </c>
      <c r="Q783" s="5" t="n">
        <v>0</v>
      </c>
      <c r="R783" s="5" t="n">
        <v>1</v>
      </c>
      <c r="S783" s="5" t="n">
        <v>0</v>
      </c>
      <c r="T783" s="5" t="n">
        <v>0</v>
      </c>
      <c r="U783" s="5" t="inlineStr">
        <is>
          <t>training</t>
        </is>
      </c>
      <c r="V783" s="5" t="n">
        <v>1</v>
      </c>
    </row>
    <row r="784">
      <c r="A784" s="5" t="n">
        <v>780</v>
      </c>
      <c r="B784" s="5" t="n">
        <v>0</v>
      </c>
      <c r="C784" s="6" t="n">
        <v>-0.2301473069597001</v>
      </c>
      <c r="D784" s="6" t="n">
        <v>0.217389860006638</v>
      </c>
      <c r="E784" s="6" t="n">
        <v>2.73617123115932</v>
      </c>
      <c r="F784" s="6" t="n">
        <v>-0.8850484360866833</v>
      </c>
      <c r="G784" s="5" t="n">
        <v>0</v>
      </c>
      <c r="H784" s="5" t="n">
        <v>1</v>
      </c>
      <c r="I784" s="5" t="n">
        <v>0</v>
      </c>
      <c r="J784" s="5" t="n">
        <v>0</v>
      </c>
      <c r="K784" s="5" t="n">
        <v>0</v>
      </c>
      <c r="L784" s="5" t="n">
        <v>0</v>
      </c>
      <c r="M784" s="5" t="n">
        <v>0</v>
      </c>
      <c r="N784" s="5" t="n">
        <v>0</v>
      </c>
      <c r="O784" s="5" t="n">
        <v>0</v>
      </c>
      <c r="P784" s="5" t="n">
        <v>0</v>
      </c>
      <c r="Q784" s="5" t="n">
        <v>0</v>
      </c>
      <c r="R784" s="5" t="n">
        <v>0</v>
      </c>
      <c r="S784" s="5" t="n">
        <v>0</v>
      </c>
      <c r="T784" s="5" t="n">
        <v>0</v>
      </c>
      <c r="U784" s="5" t="inlineStr">
        <is>
          <t>testing</t>
        </is>
      </c>
      <c r="V784" s="5" t="n">
        <v>0</v>
      </c>
    </row>
    <row r="785">
      <c r="A785" s="5" t="n">
        <v>781</v>
      </c>
      <c r="B785" s="5" t="n">
        <v>1</v>
      </c>
      <c r="C785" s="6" t="n">
        <v>1.539290670188621</v>
      </c>
      <c r="D785" s="6" t="n">
        <v>0.588626059032489</v>
      </c>
      <c r="E785" s="6" t="n">
        <v>-0.9166956381570004</v>
      </c>
      <c r="F785" s="6" t="n">
        <v>-0.8850484360866833</v>
      </c>
      <c r="G785" s="5" t="n">
        <v>0</v>
      </c>
      <c r="H785" s="5" t="n">
        <v>1</v>
      </c>
      <c r="I785" s="5" t="n">
        <v>0</v>
      </c>
      <c r="J785" s="5" t="n">
        <v>1</v>
      </c>
      <c r="K785" s="5" t="n">
        <v>0</v>
      </c>
      <c r="L785" s="5" t="n">
        <v>0</v>
      </c>
      <c r="M785" s="5" t="n">
        <v>0</v>
      </c>
      <c r="N785" s="5" t="n">
        <v>0</v>
      </c>
      <c r="O785" s="5" t="n">
        <v>0</v>
      </c>
      <c r="P785" s="5" t="n">
        <v>0</v>
      </c>
      <c r="Q785" s="5" t="n">
        <v>0</v>
      </c>
      <c r="R785" s="5" t="n">
        <v>0</v>
      </c>
      <c r="S785" s="5" t="n">
        <v>1</v>
      </c>
      <c r="T785" s="5" t="n">
        <v>0</v>
      </c>
      <c r="U785" s="5" t="inlineStr">
        <is>
          <t>training</t>
        </is>
      </c>
      <c r="V785" s="5" t="n">
        <v>1</v>
      </c>
    </row>
    <row r="786">
      <c r="A786" s="5" t="n">
        <v>782</v>
      </c>
      <c r="B786" s="5" t="n">
        <v>0</v>
      </c>
      <c r="C786" s="6" t="n">
        <v>0.275406400796963</v>
      </c>
      <c r="D786" s="6" t="n">
        <v>-0.4586029171073528</v>
      </c>
      <c r="E786" s="6" t="n">
        <v>2.127360086273267</v>
      </c>
      <c r="F786" s="6" t="n">
        <v>0.9185437189662378</v>
      </c>
      <c r="G786" s="5" t="n">
        <v>0</v>
      </c>
      <c r="H786" s="5" t="n">
        <v>0</v>
      </c>
      <c r="I786" s="5" t="n">
        <v>0</v>
      </c>
      <c r="J786" s="5" t="n">
        <v>1</v>
      </c>
      <c r="K786" s="5" t="n">
        <v>0</v>
      </c>
      <c r="L786" s="5" t="n">
        <v>0</v>
      </c>
      <c r="M786" s="5" t="n">
        <v>0</v>
      </c>
      <c r="N786" s="5" t="n">
        <v>1</v>
      </c>
      <c r="O786" s="5" t="n">
        <v>0</v>
      </c>
      <c r="P786" s="5" t="n">
        <v>0</v>
      </c>
      <c r="Q786" s="5" t="n">
        <v>0</v>
      </c>
      <c r="R786" s="5" t="n">
        <v>1</v>
      </c>
      <c r="S786" s="5" t="n">
        <v>0</v>
      </c>
      <c r="T786" s="5" t="n">
        <v>0</v>
      </c>
      <c r="U786" s="5" t="inlineStr">
        <is>
          <t>testing</t>
        </is>
      </c>
      <c r="V786" s="5" t="n">
        <v>0</v>
      </c>
    </row>
    <row r="787">
      <c r="A787" s="5" t="n">
        <v>783</v>
      </c>
      <c r="B787" s="5" t="n">
        <v>0</v>
      </c>
      <c r="C787" s="6" t="n">
        <v>-0.7357010147163632</v>
      </c>
      <c r="D787" s="6" t="n">
        <v>-0.6440460702493896</v>
      </c>
      <c r="E787" s="6" t="n">
        <v>-0.3948575139689546</v>
      </c>
      <c r="F787" s="6" t="n">
        <v>-0.8850484360866833</v>
      </c>
      <c r="G787" s="5" t="n">
        <v>0</v>
      </c>
      <c r="H787" s="5" t="n">
        <v>1</v>
      </c>
      <c r="I787" s="5" t="n">
        <v>0</v>
      </c>
      <c r="J787" s="5" t="n">
        <v>0</v>
      </c>
      <c r="K787" s="5" t="n">
        <v>0</v>
      </c>
      <c r="L787" s="5" t="n">
        <v>1</v>
      </c>
      <c r="M787" s="5" t="n">
        <v>0</v>
      </c>
      <c r="N787" s="5" t="n">
        <v>0</v>
      </c>
      <c r="O787" s="5" t="n">
        <v>0</v>
      </c>
      <c r="P787" s="5" t="n">
        <v>0</v>
      </c>
      <c r="Q787" s="5" t="n">
        <v>0</v>
      </c>
      <c r="R787" s="5" t="n">
        <v>0</v>
      </c>
      <c r="S787" s="5" t="n">
        <v>0</v>
      </c>
      <c r="T787" s="5" t="n">
        <v>0</v>
      </c>
      <c r="U787" s="5" t="inlineStr">
        <is>
          <t>training</t>
        </is>
      </c>
      <c r="V787" s="5" t="n">
        <v>1</v>
      </c>
    </row>
    <row r="788">
      <c r="A788" s="5" t="n">
        <v>784</v>
      </c>
      <c r="B788" s="5" t="n">
        <v>1</v>
      </c>
      <c r="C788" s="6" t="n">
        <v>-0.7357010147163632</v>
      </c>
      <c r="D788" s="6" t="n">
        <v>-0.8448845040296333</v>
      </c>
      <c r="E788" s="6" t="n">
        <v>-1.090641679553016</v>
      </c>
      <c r="F788" s="6" t="n">
        <v>0.9185437189662378</v>
      </c>
      <c r="G788" s="5" t="n">
        <v>0</v>
      </c>
      <c r="H788" s="5" t="n">
        <v>1</v>
      </c>
      <c r="I788" s="5" t="n">
        <v>0</v>
      </c>
      <c r="J788" s="5" t="n">
        <v>0</v>
      </c>
      <c r="K788" s="5" t="n">
        <v>0</v>
      </c>
      <c r="L788" s="5" t="n">
        <v>0</v>
      </c>
      <c r="M788" s="5" t="n">
        <v>1</v>
      </c>
      <c r="N788" s="5" t="n">
        <v>0</v>
      </c>
      <c r="O788" s="5" t="n">
        <v>0</v>
      </c>
      <c r="P788" s="5" t="n">
        <v>0</v>
      </c>
      <c r="Q788" s="5" t="n">
        <v>0</v>
      </c>
      <c r="R788" s="5" t="n">
        <v>1</v>
      </c>
      <c r="S788" s="5" t="n">
        <v>0</v>
      </c>
      <c r="T788" s="5" t="n">
        <v>0</v>
      </c>
      <c r="U788" s="5" t="inlineStr">
        <is>
          <t>training</t>
        </is>
      </c>
      <c r="V788" s="5" t="n">
        <v>1</v>
      </c>
    </row>
    <row r="789">
      <c r="A789" s="5" t="n">
        <v>785</v>
      </c>
      <c r="B789" s="5" t="n">
        <v>0</v>
      </c>
      <c r="C789" s="6" t="n">
        <v>-0.06162940437414574</v>
      </c>
      <c r="D789" s="6" t="n">
        <v>1.125711417660841</v>
      </c>
      <c r="E789" s="6" t="n">
        <v>2.127360086273267</v>
      </c>
      <c r="F789" s="6" t="n">
        <v>-1.786844513613144</v>
      </c>
      <c r="G789" s="5" t="n">
        <v>0</v>
      </c>
      <c r="H789" s="5" t="n">
        <v>1</v>
      </c>
      <c r="I789" s="5" t="n">
        <v>0</v>
      </c>
      <c r="J789" s="5" t="n">
        <v>0</v>
      </c>
      <c r="K789" s="5" t="n">
        <v>0</v>
      </c>
      <c r="L789" s="5" t="n">
        <v>0</v>
      </c>
      <c r="M789" s="5" t="n">
        <v>0</v>
      </c>
      <c r="N789" s="5" t="n">
        <v>0</v>
      </c>
      <c r="O789" s="5" t="n">
        <v>1</v>
      </c>
      <c r="P789" s="5" t="n">
        <v>0</v>
      </c>
      <c r="Q789" s="5" t="n">
        <v>0</v>
      </c>
      <c r="R789" s="5" t="n">
        <v>1</v>
      </c>
      <c r="S789" s="5" t="n">
        <v>0</v>
      </c>
      <c r="T789" s="5" t="n">
        <v>0</v>
      </c>
      <c r="U789" s="5" t="inlineStr">
        <is>
          <t>testing</t>
        </is>
      </c>
      <c r="V789" s="5" t="n">
        <v>0</v>
      </c>
    </row>
    <row r="790">
      <c r="A790" s="5" t="n">
        <v>786</v>
      </c>
      <c r="B790" s="5" t="n">
        <v>0</v>
      </c>
      <c r="C790" s="6" t="n">
        <v>-0.2301473069597001</v>
      </c>
      <c r="D790" s="6" t="n">
        <v>-0.4582530243655754</v>
      </c>
      <c r="E790" s="6" t="n">
        <v>-0.04696543117692405</v>
      </c>
      <c r="F790" s="6" t="n">
        <v>0.9185437189662378</v>
      </c>
      <c r="G790" s="5" t="n">
        <v>0</v>
      </c>
      <c r="H790" s="5" t="n">
        <v>1</v>
      </c>
      <c r="I790" s="5" t="n">
        <v>0</v>
      </c>
      <c r="J790" s="5" t="n">
        <v>0</v>
      </c>
      <c r="K790" s="5" t="n">
        <v>0</v>
      </c>
      <c r="L790" s="5" t="n">
        <v>0</v>
      </c>
      <c r="M790" s="5" t="n">
        <v>0</v>
      </c>
      <c r="N790" s="5" t="n">
        <v>1</v>
      </c>
      <c r="O790" s="5" t="n">
        <v>0</v>
      </c>
      <c r="P790" s="5" t="n">
        <v>0</v>
      </c>
      <c r="Q790" s="5" t="n">
        <v>0</v>
      </c>
      <c r="R790" s="5" t="n">
        <v>0</v>
      </c>
      <c r="S790" s="5" t="n">
        <v>0</v>
      </c>
      <c r="T790" s="5" t="n">
        <v>0</v>
      </c>
      <c r="U790" s="5" t="inlineStr">
        <is>
          <t>training</t>
        </is>
      </c>
      <c r="V790" s="5" t="n">
        <v>1</v>
      </c>
    </row>
    <row r="791">
      <c r="A791" s="5" t="n">
        <v>787</v>
      </c>
      <c r="B791" s="5" t="n">
        <v>0</v>
      </c>
      <c r="C791" s="6" t="n">
        <v>0.1068884982114086</v>
      </c>
      <c r="D791" s="6" t="n">
        <v>-0.2014317519009433</v>
      </c>
      <c r="E791" s="6" t="n">
        <v>0.3878996723131141</v>
      </c>
      <c r="F791" s="6" t="n">
        <v>0.01674764143977723</v>
      </c>
      <c r="G791" s="5" t="n">
        <v>0</v>
      </c>
      <c r="H791" s="5" t="n">
        <v>0</v>
      </c>
      <c r="I791" s="5" t="n">
        <v>0</v>
      </c>
      <c r="J791" s="5" t="n">
        <v>0</v>
      </c>
      <c r="K791" s="5" t="n">
        <v>0</v>
      </c>
      <c r="L791" s="5" t="n">
        <v>0</v>
      </c>
      <c r="M791" s="5" t="n">
        <v>1</v>
      </c>
      <c r="N791" s="5" t="n">
        <v>0</v>
      </c>
      <c r="O791" s="5" t="n">
        <v>0</v>
      </c>
      <c r="P791" s="5" t="n">
        <v>0</v>
      </c>
      <c r="Q791" s="5" t="n">
        <v>0</v>
      </c>
      <c r="R791" s="5" t="n">
        <v>0</v>
      </c>
      <c r="S791" s="5" t="n">
        <v>1</v>
      </c>
      <c r="T791" s="5" t="n">
        <v>0</v>
      </c>
      <c r="U791" s="5" t="inlineStr">
        <is>
          <t>training</t>
        </is>
      </c>
      <c r="V791" s="5" t="n">
        <v>1</v>
      </c>
    </row>
    <row r="792">
      <c r="A792" s="5" t="n">
        <v>788</v>
      </c>
      <c r="B792" s="5" t="n">
        <v>0</v>
      </c>
      <c r="C792" s="6" t="n">
        <v>2.297621231823615</v>
      </c>
      <c r="D792" s="6" t="n">
        <v>-0.1748399035258588</v>
      </c>
      <c r="E792" s="6" t="n">
        <v>0.2139536309170988</v>
      </c>
      <c r="F792" s="6" t="n">
        <v>0.9185437189662378</v>
      </c>
      <c r="G792" s="5" t="n">
        <v>0</v>
      </c>
      <c r="H792" s="5" t="n">
        <v>0</v>
      </c>
      <c r="I792" s="5" t="n">
        <v>0</v>
      </c>
      <c r="J792" s="5" t="n">
        <v>1</v>
      </c>
      <c r="K792" s="5" t="n">
        <v>0</v>
      </c>
      <c r="L792" s="5" t="n">
        <v>0</v>
      </c>
      <c r="M792" s="5" t="n">
        <v>0</v>
      </c>
      <c r="N792" s="5" t="n">
        <v>0</v>
      </c>
      <c r="O792" s="5" t="n">
        <v>1</v>
      </c>
      <c r="P792" s="5" t="n">
        <v>0</v>
      </c>
      <c r="Q792" s="5" t="n">
        <v>0</v>
      </c>
      <c r="R792" s="5" t="n">
        <v>1</v>
      </c>
      <c r="S792" s="5" t="n">
        <v>0</v>
      </c>
      <c r="T792" s="5" t="n">
        <v>0</v>
      </c>
      <c r="U792" s="5" t="inlineStr">
        <is>
          <t>training</t>
        </is>
      </c>
      <c r="V792" s="5" t="n">
        <v>0</v>
      </c>
    </row>
    <row r="793">
      <c r="A793" s="5" t="n">
        <v>789</v>
      </c>
      <c r="B793" s="5" t="n">
        <v>1</v>
      </c>
      <c r="C793" s="6" t="n">
        <v>2.297621231823615</v>
      </c>
      <c r="D793" s="6" t="n">
        <v>1.040337588667148</v>
      </c>
      <c r="E793" s="6" t="n">
        <v>1.257629879293191</v>
      </c>
      <c r="F793" s="6" t="n">
        <v>0.9185437189662378</v>
      </c>
      <c r="G793" s="5" t="n">
        <v>0</v>
      </c>
      <c r="H793" s="5" t="n">
        <v>1</v>
      </c>
      <c r="I793" s="5" t="n">
        <v>0</v>
      </c>
      <c r="J793" s="5" t="n">
        <v>0</v>
      </c>
      <c r="K793" s="5" t="n">
        <v>1</v>
      </c>
      <c r="L793" s="5" t="n">
        <v>0</v>
      </c>
      <c r="M793" s="5" t="n">
        <v>0</v>
      </c>
      <c r="N793" s="5" t="n">
        <v>0</v>
      </c>
      <c r="O793" s="5" t="n">
        <v>0</v>
      </c>
      <c r="P793" s="5" t="n">
        <v>0</v>
      </c>
      <c r="Q793" s="5" t="n">
        <v>1</v>
      </c>
      <c r="R793" s="5" t="n">
        <v>0</v>
      </c>
      <c r="S793" s="5" t="n">
        <v>0</v>
      </c>
      <c r="T793" s="5" t="n">
        <v>0</v>
      </c>
      <c r="U793" s="5" t="inlineStr">
        <is>
          <t>training</t>
        </is>
      </c>
      <c r="V793" s="5" t="n">
        <v>1</v>
      </c>
    </row>
    <row r="794">
      <c r="A794" s="5" t="n">
        <v>790</v>
      </c>
      <c r="B794" s="5" t="n">
        <v>1</v>
      </c>
      <c r="C794" s="6" t="n">
        <v>1.623549621481398</v>
      </c>
      <c r="D794" s="6" t="n">
        <v>0.9612618290254498</v>
      </c>
      <c r="E794" s="6" t="n">
        <v>-0.7427495967609852</v>
      </c>
      <c r="F794" s="6" t="n">
        <v>0.9185437189662378</v>
      </c>
      <c r="G794" s="5" t="n">
        <v>1</v>
      </c>
      <c r="H794" s="5" t="n">
        <v>0</v>
      </c>
      <c r="I794" s="5" t="n">
        <v>0</v>
      </c>
      <c r="J794" s="5" t="n">
        <v>1</v>
      </c>
      <c r="K794" s="5" t="n">
        <v>0</v>
      </c>
      <c r="L794" s="5" t="n">
        <v>0</v>
      </c>
      <c r="M794" s="5" t="n">
        <v>0</v>
      </c>
      <c r="N794" s="5" t="n">
        <v>0</v>
      </c>
      <c r="O794" s="5" t="n">
        <v>0</v>
      </c>
      <c r="P794" s="5" t="n">
        <v>0</v>
      </c>
      <c r="Q794" s="5" t="n">
        <v>0</v>
      </c>
      <c r="R794" s="5" t="n">
        <v>0</v>
      </c>
      <c r="S794" s="5" t="n">
        <v>0</v>
      </c>
      <c r="T794" s="5" t="n">
        <v>0</v>
      </c>
      <c r="U794" s="5" t="inlineStr">
        <is>
          <t>testing</t>
        </is>
      </c>
      <c r="V794" s="5" t="n">
        <v>0</v>
      </c>
    </row>
    <row r="795">
      <c r="A795" s="5" t="n">
        <v>791</v>
      </c>
      <c r="B795" s="5" t="n">
        <v>1</v>
      </c>
      <c r="C795" s="6" t="n">
        <v>0.02262954691863145</v>
      </c>
      <c r="D795" s="6" t="n">
        <v>-0.7217222589239787</v>
      </c>
      <c r="E795" s="6" t="n">
        <v>0.3009266516151065</v>
      </c>
      <c r="F795" s="6" t="n">
        <v>-0.8850484360866833</v>
      </c>
      <c r="G795" s="5" t="n">
        <v>0</v>
      </c>
      <c r="H795" s="5" t="n">
        <v>1</v>
      </c>
      <c r="I795" s="5" t="n">
        <v>0</v>
      </c>
      <c r="J795" s="5" t="n">
        <v>0</v>
      </c>
      <c r="K795" s="5" t="n">
        <v>0</v>
      </c>
      <c r="L795" s="5" t="n">
        <v>0</v>
      </c>
      <c r="M795" s="5" t="n">
        <v>0</v>
      </c>
      <c r="N795" s="5" t="n">
        <v>0</v>
      </c>
      <c r="O795" s="5" t="n">
        <v>0</v>
      </c>
      <c r="P795" s="5" t="n">
        <v>0</v>
      </c>
      <c r="Q795" s="5" t="n">
        <v>0</v>
      </c>
      <c r="R795" s="5" t="n">
        <v>0</v>
      </c>
      <c r="S795" s="5" t="n">
        <v>0</v>
      </c>
      <c r="T795" s="5" t="n">
        <v>0</v>
      </c>
      <c r="U795" s="5" t="inlineStr">
        <is>
          <t>training</t>
        </is>
      </c>
      <c r="V795" s="5" t="n">
        <v>1</v>
      </c>
    </row>
    <row r="796">
      <c r="A796" s="5" t="n">
        <v>792</v>
      </c>
      <c r="B796" s="5" t="n">
        <v>0</v>
      </c>
      <c r="C796" s="6" t="n">
        <v>0.275406400796963</v>
      </c>
      <c r="D796" s="6" t="n">
        <v>1.07147804268534</v>
      </c>
      <c r="E796" s="6" t="n">
        <v>0.4748726930111218</v>
      </c>
      <c r="F796" s="6" t="n">
        <v>0.01674764143977723</v>
      </c>
      <c r="G796" s="5" t="n">
        <v>0</v>
      </c>
      <c r="H796" s="5" t="n">
        <v>0</v>
      </c>
      <c r="I796" s="5" t="n">
        <v>0</v>
      </c>
      <c r="J796" s="5" t="n">
        <v>0</v>
      </c>
      <c r="K796" s="5" t="n">
        <v>0</v>
      </c>
      <c r="L796" s="5" t="n">
        <v>0</v>
      </c>
      <c r="M796" s="5" t="n">
        <v>0</v>
      </c>
      <c r="N796" s="5" t="n">
        <v>0</v>
      </c>
      <c r="O796" s="5" t="n">
        <v>1</v>
      </c>
      <c r="P796" s="5" t="n">
        <v>0</v>
      </c>
      <c r="Q796" s="5" t="n">
        <v>0</v>
      </c>
      <c r="R796" s="5" t="n">
        <v>1</v>
      </c>
      <c r="S796" s="5" t="n">
        <v>0</v>
      </c>
      <c r="T796" s="5" t="n">
        <v>0</v>
      </c>
      <c r="U796" s="5" t="inlineStr">
        <is>
          <t>testing</t>
        </is>
      </c>
      <c r="V796" s="5" t="n">
        <v>0</v>
      </c>
    </row>
    <row r="797">
      <c r="A797" s="5" t="n">
        <v>793</v>
      </c>
      <c r="B797" s="5" t="n">
        <v>0</v>
      </c>
      <c r="C797" s="6" t="n">
        <v>-1.241254722473026</v>
      </c>
      <c r="D797" s="6" t="n">
        <v>-0.7101757984453235</v>
      </c>
      <c r="E797" s="6" t="n">
        <v>-0.7427495967609852</v>
      </c>
      <c r="F797" s="6" t="n">
        <v>-1.786844513613144</v>
      </c>
      <c r="G797" s="5" t="n">
        <v>0</v>
      </c>
      <c r="H797" s="5" t="n">
        <v>0</v>
      </c>
      <c r="I797" s="5" t="n">
        <v>0</v>
      </c>
      <c r="J797" s="5" t="n">
        <v>1</v>
      </c>
      <c r="K797" s="5" t="n">
        <v>0</v>
      </c>
      <c r="L797" s="5" t="n">
        <v>0</v>
      </c>
      <c r="M797" s="5" t="n">
        <v>0</v>
      </c>
      <c r="N797" s="5" t="n">
        <v>0</v>
      </c>
      <c r="O797" s="5" t="n">
        <v>1</v>
      </c>
      <c r="P797" s="5" t="n">
        <v>0</v>
      </c>
      <c r="Q797" s="5" t="n">
        <v>0</v>
      </c>
      <c r="R797" s="5" t="n">
        <v>0</v>
      </c>
      <c r="S797" s="5" t="n">
        <v>0</v>
      </c>
      <c r="T797" s="5" t="n">
        <v>1</v>
      </c>
      <c r="U797" s="5" t="inlineStr">
        <is>
          <t>training</t>
        </is>
      </c>
      <c r="V797" s="5" t="n">
        <v>0</v>
      </c>
    </row>
    <row r="798">
      <c r="A798" s="5" t="n">
        <v>794</v>
      </c>
      <c r="B798" s="5" t="n">
        <v>0</v>
      </c>
      <c r="C798" s="6" t="n">
        <v>0.275406400796963</v>
      </c>
      <c r="D798" s="6" t="n">
        <v>-0.1255050269352414</v>
      </c>
      <c r="E798" s="6" t="n">
        <v>1.344602899991198</v>
      </c>
      <c r="F798" s="6" t="n">
        <v>0.01674764143977723</v>
      </c>
      <c r="G798" s="5" t="n">
        <v>0</v>
      </c>
      <c r="H798" s="5" t="n">
        <v>0</v>
      </c>
      <c r="I798" s="5" t="n">
        <v>1</v>
      </c>
      <c r="J798" s="5" t="n">
        <v>0</v>
      </c>
      <c r="K798" s="5" t="n">
        <v>0</v>
      </c>
      <c r="L798" s="5" t="n">
        <v>0</v>
      </c>
      <c r="M798" s="5" t="n">
        <v>0</v>
      </c>
      <c r="N798" s="5" t="n">
        <v>0</v>
      </c>
      <c r="O798" s="5" t="n">
        <v>0</v>
      </c>
      <c r="P798" s="5" t="n">
        <v>0</v>
      </c>
      <c r="Q798" s="5" t="n">
        <v>1</v>
      </c>
      <c r="R798" s="5" t="n">
        <v>0</v>
      </c>
      <c r="S798" s="5" t="n">
        <v>0</v>
      </c>
      <c r="T798" s="5" t="n">
        <v>1</v>
      </c>
      <c r="U798" s="5" t="inlineStr">
        <is>
          <t>training</t>
        </is>
      </c>
      <c r="V798" s="5" t="n">
        <v>0</v>
      </c>
    </row>
    <row r="799">
      <c r="A799" s="5" t="n">
        <v>795</v>
      </c>
      <c r="B799" s="5" t="n">
        <v>0</v>
      </c>
      <c r="C799" s="6" t="n">
        <v>0.275406400796963</v>
      </c>
      <c r="D799" s="6" t="n">
        <v>-0.06602326083307868</v>
      </c>
      <c r="E799" s="6" t="n">
        <v>-0.307884493270947</v>
      </c>
      <c r="F799" s="6" t="n">
        <v>0.9185437189662378</v>
      </c>
      <c r="G799" s="5" t="n">
        <v>0</v>
      </c>
      <c r="H799" s="5" t="n">
        <v>0</v>
      </c>
      <c r="I799" s="5" t="n">
        <v>0</v>
      </c>
      <c r="J799" s="5" t="n">
        <v>0</v>
      </c>
      <c r="K799" s="5" t="n">
        <v>0</v>
      </c>
      <c r="L799" s="5" t="n">
        <v>0</v>
      </c>
      <c r="M799" s="5" t="n">
        <v>1</v>
      </c>
      <c r="N799" s="5" t="n">
        <v>0</v>
      </c>
      <c r="O799" s="5" t="n">
        <v>0</v>
      </c>
      <c r="P799" s="5" t="n">
        <v>1</v>
      </c>
      <c r="Q799" s="5" t="n">
        <v>0</v>
      </c>
      <c r="R799" s="5" t="n">
        <v>0</v>
      </c>
      <c r="S799" s="5" t="n">
        <v>0</v>
      </c>
      <c r="T799" s="5" t="n">
        <v>1</v>
      </c>
      <c r="U799" s="5" t="inlineStr">
        <is>
          <t>training</t>
        </is>
      </c>
      <c r="V799" s="5" t="n">
        <v>0</v>
      </c>
    </row>
    <row r="800">
      <c r="A800" s="5" t="n">
        <v>796</v>
      </c>
      <c r="B800" s="5" t="n">
        <v>0</v>
      </c>
      <c r="C800" s="6" t="n">
        <v>-0.9884778685946948</v>
      </c>
      <c r="D800" s="6" t="n">
        <v>-0.3322916373257013</v>
      </c>
      <c r="E800" s="6" t="n">
        <v>-1.177614700251023</v>
      </c>
      <c r="F800" s="6" t="n">
        <v>-0.8850484360866833</v>
      </c>
      <c r="G800" s="5" t="n">
        <v>0</v>
      </c>
      <c r="H800" s="5" t="n">
        <v>0</v>
      </c>
      <c r="I800" s="5" t="n">
        <v>0</v>
      </c>
      <c r="J800" s="5" t="n">
        <v>0</v>
      </c>
      <c r="K800" s="5" t="n">
        <v>0</v>
      </c>
      <c r="L800" s="5" t="n">
        <v>0</v>
      </c>
      <c r="M800" s="5" t="n">
        <v>1</v>
      </c>
      <c r="N800" s="5" t="n">
        <v>0</v>
      </c>
      <c r="O800" s="5" t="n">
        <v>0</v>
      </c>
      <c r="P800" s="5" t="n">
        <v>1</v>
      </c>
      <c r="Q800" s="5" t="n">
        <v>0</v>
      </c>
      <c r="R800" s="5" t="n">
        <v>0</v>
      </c>
      <c r="S800" s="5" t="n">
        <v>0</v>
      </c>
      <c r="T800" s="5" t="n">
        <v>1</v>
      </c>
      <c r="U800" s="5" t="inlineStr">
        <is>
          <t>training</t>
        </is>
      </c>
      <c r="V800" s="5" t="n">
        <v>1</v>
      </c>
    </row>
    <row r="801">
      <c r="A801" s="5" t="n">
        <v>797</v>
      </c>
      <c r="B801" s="5" t="n">
        <v>1</v>
      </c>
      <c r="C801" s="6" t="n">
        <v>-0.2301473069597001</v>
      </c>
      <c r="D801" s="6" t="n">
        <v>1.490649547334698</v>
      </c>
      <c r="E801" s="6" t="n">
        <v>1.344602899991198</v>
      </c>
      <c r="F801" s="6" t="n">
        <v>-1.786844513613144</v>
      </c>
      <c r="G801" s="5" t="n">
        <v>1</v>
      </c>
      <c r="H801" s="5" t="n">
        <v>0</v>
      </c>
      <c r="I801" s="5" t="n">
        <v>0</v>
      </c>
      <c r="J801" s="5" t="n">
        <v>0</v>
      </c>
      <c r="K801" s="5" t="n">
        <v>0</v>
      </c>
      <c r="L801" s="5" t="n">
        <v>0</v>
      </c>
      <c r="M801" s="5" t="n">
        <v>0</v>
      </c>
      <c r="N801" s="5" t="n">
        <v>0</v>
      </c>
      <c r="O801" s="5" t="n">
        <v>1</v>
      </c>
      <c r="P801" s="5" t="n">
        <v>0</v>
      </c>
      <c r="Q801" s="5" t="n">
        <v>1</v>
      </c>
      <c r="R801" s="5" t="n">
        <v>1</v>
      </c>
      <c r="S801" s="5" t="n">
        <v>0</v>
      </c>
      <c r="T801" s="5" t="n">
        <v>0</v>
      </c>
      <c r="U801" s="5" t="inlineStr">
        <is>
          <t>training</t>
        </is>
      </c>
      <c r="V801" s="5" t="n">
        <v>1</v>
      </c>
    </row>
    <row r="802">
      <c r="A802" s="5" t="n">
        <v>798</v>
      </c>
      <c r="B802" s="5" t="n">
        <v>0</v>
      </c>
      <c r="C802" s="6" t="n">
        <v>-0.7357010147163632</v>
      </c>
      <c r="D802" s="6" t="n">
        <v>-0.6972297669995587</v>
      </c>
      <c r="E802" s="6" t="n">
        <v>-1.177614700251023</v>
      </c>
      <c r="F802" s="6" t="n">
        <v>-0.8850484360866833</v>
      </c>
      <c r="G802" s="5" t="n">
        <v>0</v>
      </c>
      <c r="H802" s="5" t="n">
        <v>0</v>
      </c>
      <c r="I802" s="5" t="n">
        <v>0</v>
      </c>
      <c r="J802" s="5" t="n">
        <v>1</v>
      </c>
      <c r="K802" s="5" t="n">
        <v>0</v>
      </c>
      <c r="L802" s="5" t="n">
        <v>0</v>
      </c>
      <c r="M802" s="5" t="n">
        <v>0</v>
      </c>
      <c r="N802" s="5" t="n">
        <v>0</v>
      </c>
      <c r="O802" s="5" t="n">
        <v>0</v>
      </c>
      <c r="P802" s="5" t="n">
        <v>1</v>
      </c>
      <c r="Q802" s="5" t="n">
        <v>0</v>
      </c>
      <c r="R802" s="5" t="n">
        <v>0</v>
      </c>
      <c r="S802" s="5" t="n">
        <v>0</v>
      </c>
      <c r="T802" s="5" t="n">
        <v>1</v>
      </c>
      <c r="U802" s="5" t="inlineStr">
        <is>
          <t>testing</t>
        </is>
      </c>
      <c r="V802" s="5" t="n">
        <v>0</v>
      </c>
    </row>
    <row r="803">
      <c r="A803" s="5" t="n">
        <v>799</v>
      </c>
      <c r="B803" s="5" t="n">
        <v>0</v>
      </c>
      <c r="C803" s="6" t="n">
        <v>0.275406400796963</v>
      </c>
      <c r="D803" s="6" t="n">
        <v>-0.8865217403011472</v>
      </c>
      <c r="E803" s="6" t="n">
        <v>1.605521962085221</v>
      </c>
      <c r="F803" s="6" t="n">
        <v>0.9185437189662378</v>
      </c>
      <c r="G803" s="5" t="n">
        <v>0</v>
      </c>
      <c r="H803" s="5" t="n">
        <v>0</v>
      </c>
      <c r="I803" s="5" t="n">
        <v>0</v>
      </c>
      <c r="J803" s="5" t="n">
        <v>0</v>
      </c>
      <c r="K803" s="5" t="n">
        <v>1</v>
      </c>
      <c r="L803" s="5" t="n">
        <v>0</v>
      </c>
      <c r="M803" s="5" t="n">
        <v>0</v>
      </c>
      <c r="N803" s="5" t="n">
        <v>0</v>
      </c>
      <c r="O803" s="5" t="n">
        <v>1</v>
      </c>
      <c r="P803" s="5" t="n">
        <v>0</v>
      </c>
      <c r="Q803" s="5" t="n">
        <v>0</v>
      </c>
      <c r="R803" s="5" t="n">
        <v>1</v>
      </c>
      <c r="S803" s="5" t="n">
        <v>0</v>
      </c>
      <c r="T803" s="5" t="n">
        <v>0</v>
      </c>
      <c r="U803" s="5" t="inlineStr">
        <is>
          <t>training</t>
        </is>
      </c>
      <c r="V803" s="5" t="n">
        <v>1</v>
      </c>
    </row>
    <row r="804">
      <c r="A804" s="5" t="n">
        <v>800</v>
      </c>
      <c r="B804" s="5" t="n">
        <v>0</v>
      </c>
      <c r="C804" s="6" t="n">
        <v>-0.9884778685946948</v>
      </c>
      <c r="D804" s="6" t="n">
        <v>-0.5954109791423272</v>
      </c>
      <c r="E804" s="6" t="n">
        <v>-0.04696543117692405</v>
      </c>
      <c r="F804" s="6" t="n">
        <v>0.9185437189662378</v>
      </c>
      <c r="G804" s="5" t="n">
        <v>0</v>
      </c>
      <c r="H804" s="5" t="n">
        <v>1</v>
      </c>
      <c r="I804" s="5" t="n">
        <v>0</v>
      </c>
      <c r="J804" s="5" t="n">
        <v>0</v>
      </c>
      <c r="K804" s="5" t="n">
        <v>0</v>
      </c>
      <c r="L804" s="5" t="n">
        <v>0</v>
      </c>
      <c r="M804" s="5" t="n">
        <v>0</v>
      </c>
      <c r="N804" s="5" t="n">
        <v>0</v>
      </c>
      <c r="O804" s="5" t="n">
        <v>1</v>
      </c>
      <c r="P804" s="5" t="n">
        <v>0</v>
      </c>
      <c r="Q804" s="5" t="n">
        <v>0</v>
      </c>
      <c r="R804" s="5" t="n">
        <v>1</v>
      </c>
      <c r="S804" s="5" t="n">
        <v>0</v>
      </c>
      <c r="T804" s="5" t="n">
        <v>0</v>
      </c>
      <c r="U804" s="5" t="inlineStr">
        <is>
          <t>training</t>
        </is>
      </c>
      <c r="V804" s="5" t="n">
        <v>0</v>
      </c>
    </row>
    <row r="805">
      <c r="A805" s="5" t="n">
        <v>801</v>
      </c>
      <c r="B805" s="5" t="n">
        <v>0</v>
      </c>
      <c r="C805" s="6" t="n">
        <v>0.275406400796963</v>
      </c>
      <c r="D805" s="6" t="n">
        <v>-0.5786161275370106</v>
      </c>
      <c r="E805" s="6" t="n">
        <v>1.605521962085221</v>
      </c>
      <c r="F805" s="6" t="n">
        <v>0.9185437189662378</v>
      </c>
      <c r="G805" s="5" t="n">
        <v>0</v>
      </c>
      <c r="H805" s="5" t="n">
        <v>0</v>
      </c>
      <c r="I805" s="5" t="n">
        <v>0</v>
      </c>
      <c r="J805" s="5" t="n">
        <v>1</v>
      </c>
      <c r="K805" s="5" t="n">
        <v>0</v>
      </c>
      <c r="L805" s="5" t="n">
        <v>0</v>
      </c>
      <c r="M805" s="5" t="n">
        <v>0</v>
      </c>
      <c r="N805" s="5" t="n">
        <v>0</v>
      </c>
      <c r="O805" s="5" t="n">
        <v>0</v>
      </c>
      <c r="P805" s="5" t="n">
        <v>0</v>
      </c>
      <c r="Q805" s="5" t="n">
        <v>1</v>
      </c>
      <c r="R805" s="5" t="n">
        <v>0</v>
      </c>
      <c r="S805" s="5" t="n">
        <v>0</v>
      </c>
      <c r="T805" s="5" t="n">
        <v>0</v>
      </c>
      <c r="U805" s="5" t="inlineStr">
        <is>
          <t>training</t>
        </is>
      </c>
      <c r="V805" s="5" t="n">
        <v>1</v>
      </c>
    </row>
    <row r="806">
      <c r="A806" s="5" t="n">
        <v>802</v>
      </c>
      <c r="B806" s="5" t="n">
        <v>0</v>
      </c>
      <c r="C806" s="6" t="n">
        <v>-0.2301473069597001</v>
      </c>
      <c r="D806" s="6" t="n">
        <v>-0.5093373646650798</v>
      </c>
      <c r="E806" s="6" t="n">
        <v>1.083683837897175</v>
      </c>
      <c r="F806" s="6" t="n">
        <v>0.01674764143977723</v>
      </c>
      <c r="G806" s="5" t="n">
        <v>0</v>
      </c>
      <c r="H806" s="5" t="n">
        <v>1</v>
      </c>
      <c r="I806" s="5" t="n">
        <v>0</v>
      </c>
      <c r="J806" s="5" t="n">
        <v>1</v>
      </c>
      <c r="K806" s="5" t="n">
        <v>0</v>
      </c>
      <c r="L806" s="5" t="n">
        <v>0</v>
      </c>
      <c r="M806" s="5" t="n">
        <v>0</v>
      </c>
      <c r="N806" s="5" t="n">
        <v>0</v>
      </c>
      <c r="O806" s="5" t="n">
        <v>0</v>
      </c>
      <c r="P806" s="5" t="n">
        <v>1</v>
      </c>
      <c r="Q806" s="5" t="n">
        <v>0</v>
      </c>
      <c r="R806" s="5" t="n">
        <v>0</v>
      </c>
      <c r="S806" s="5" t="n">
        <v>1</v>
      </c>
      <c r="T806" s="5" t="n">
        <v>0</v>
      </c>
      <c r="U806" s="5" t="inlineStr">
        <is>
          <t>testing</t>
        </is>
      </c>
      <c r="V806" s="5" t="n">
        <v>0</v>
      </c>
    </row>
    <row r="807">
      <c r="A807" s="5" t="n">
        <v>803</v>
      </c>
      <c r="B807" s="5" t="n">
        <v>0</v>
      </c>
      <c r="C807" s="6" t="n">
        <v>-0.06162940437414574</v>
      </c>
      <c r="D807" s="6" t="n">
        <v>0.3573469567176091</v>
      </c>
      <c r="E807" s="6" t="n">
        <v>-1.003668658855008</v>
      </c>
      <c r="F807" s="6" t="n">
        <v>-1.786844513613144</v>
      </c>
      <c r="G807" s="5" t="n">
        <v>1</v>
      </c>
      <c r="H807" s="5" t="n">
        <v>0</v>
      </c>
      <c r="I807" s="5" t="n">
        <v>0</v>
      </c>
      <c r="J807" s="5" t="n">
        <v>1</v>
      </c>
      <c r="K807" s="5" t="n">
        <v>0</v>
      </c>
      <c r="L807" s="5" t="n">
        <v>0</v>
      </c>
      <c r="M807" s="5" t="n">
        <v>0</v>
      </c>
      <c r="N807" s="5" t="n">
        <v>0</v>
      </c>
      <c r="O807" s="5" t="n">
        <v>0</v>
      </c>
      <c r="P807" s="5" t="n">
        <v>0</v>
      </c>
      <c r="Q807" s="5" t="n">
        <v>0</v>
      </c>
      <c r="R807" s="5" t="n">
        <v>0</v>
      </c>
      <c r="S807" s="5" t="n">
        <v>0</v>
      </c>
      <c r="T807" s="5" t="n">
        <v>1</v>
      </c>
      <c r="U807" s="5" t="inlineStr">
        <is>
          <t>training</t>
        </is>
      </c>
      <c r="V807" s="5" t="n">
        <v>0</v>
      </c>
    </row>
    <row r="808">
      <c r="A808" s="5" t="n">
        <v>804</v>
      </c>
      <c r="B808" s="5" t="n">
        <v>0</v>
      </c>
      <c r="C808" s="6" t="n">
        <v>-0.7357010147163632</v>
      </c>
      <c r="D808" s="6" t="n">
        <v>-0.7958995201807934</v>
      </c>
      <c r="E808" s="6" t="n">
        <v>-0.04696543117692405</v>
      </c>
      <c r="F808" s="6" t="n">
        <v>0.9185437189662378</v>
      </c>
      <c r="G808" s="5" t="n">
        <v>0</v>
      </c>
      <c r="H808" s="5" t="n">
        <v>0</v>
      </c>
      <c r="I808" s="5" t="n">
        <v>0</v>
      </c>
      <c r="J808" s="5" t="n">
        <v>1</v>
      </c>
      <c r="K808" s="5" t="n">
        <v>0</v>
      </c>
      <c r="L808" s="5" t="n">
        <v>0</v>
      </c>
      <c r="M808" s="5" t="n">
        <v>0</v>
      </c>
      <c r="N808" s="5" t="n">
        <v>0</v>
      </c>
      <c r="O808" s="5" t="n">
        <v>1</v>
      </c>
      <c r="P808" s="5" t="n">
        <v>0</v>
      </c>
      <c r="Q808" s="5" t="n">
        <v>0</v>
      </c>
      <c r="R808" s="5" t="n">
        <v>0</v>
      </c>
      <c r="S808" s="5" t="n">
        <v>1</v>
      </c>
      <c r="T808" s="5" t="n">
        <v>0</v>
      </c>
      <c r="U808" s="5" t="inlineStr">
        <is>
          <t>training</t>
        </is>
      </c>
      <c r="V808" s="5" t="n">
        <v>0</v>
      </c>
    </row>
    <row r="809">
      <c r="A809" s="5" t="n">
        <v>805</v>
      </c>
      <c r="B809" s="5" t="n">
        <v>0</v>
      </c>
      <c r="C809" s="6" t="n">
        <v>-0.7357010147163632</v>
      </c>
      <c r="D809" s="6" t="n">
        <v>1.477003730405379</v>
      </c>
      <c r="E809" s="6" t="n">
        <v>-1.003668658855008</v>
      </c>
      <c r="F809" s="6" t="n">
        <v>-1.786844513613144</v>
      </c>
      <c r="G809" s="5" t="n">
        <v>0</v>
      </c>
      <c r="H809" s="5" t="n">
        <v>1</v>
      </c>
      <c r="I809" s="5" t="n">
        <v>0</v>
      </c>
      <c r="J809" s="5" t="n">
        <v>0</v>
      </c>
      <c r="K809" s="5" t="n">
        <v>0</v>
      </c>
      <c r="L809" s="5" t="n">
        <v>0</v>
      </c>
      <c r="M809" s="5" t="n">
        <v>0</v>
      </c>
      <c r="N809" s="5" t="n">
        <v>0</v>
      </c>
      <c r="O809" s="5" t="n">
        <v>1</v>
      </c>
      <c r="P809" s="5" t="n">
        <v>1</v>
      </c>
      <c r="Q809" s="5" t="n">
        <v>0</v>
      </c>
      <c r="R809" s="5" t="n">
        <v>1</v>
      </c>
      <c r="S809" s="5" t="n">
        <v>0</v>
      </c>
      <c r="T809" s="5" t="n">
        <v>0</v>
      </c>
      <c r="U809" s="5" t="inlineStr">
        <is>
          <t>training</t>
        </is>
      </c>
      <c r="V809" s="5" t="n">
        <v>1</v>
      </c>
    </row>
    <row r="810">
      <c r="A810" s="5" t="n">
        <v>806</v>
      </c>
      <c r="B810" s="5" t="n">
        <v>1</v>
      </c>
      <c r="C810" s="6" t="n">
        <v>1.286513816310289</v>
      </c>
      <c r="D810" s="6" t="n">
        <v>2.106460772862972</v>
      </c>
      <c r="E810" s="6" t="n">
        <v>-1.003668658855008</v>
      </c>
      <c r="F810" s="6" t="n">
        <v>-0.8850484360866833</v>
      </c>
      <c r="G810" s="5" t="n">
        <v>1</v>
      </c>
      <c r="H810" s="5" t="n">
        <v>0</v>
      </c>
      <c r="I810" s="5" t="n">
        <v>0</v>
      </c>
      <c r="J810" s="5" t="n">
        <v>0</v>
      </c>
      <c r="K810" s="5" t="n">
        <v>0</v>
      </c>
      <c r="L810" s="5" t="n">
        <v>0</v>
      </c>
      <c r="M810" s="5" t="n">
        <v>0</v>
      </c>
      <c r="N810" s="5" t="n">
        <v>0</v>
      </c>
      <c r="O810" s="5" t="n">
        <v>0</v>
      </c>
      <c r="P810" s="5" t="n">
        <v>0</v>
      </c>
      <c r="Q810" s="5" t="n">
        <v>0</v>
      </c>
      <c r="R810" s="5" t="n">
        <v>1</v>
      </c>
      <c r="S810" s="5" t="n">
        <v>0</v>
      </c>
      <c r="T810" s="5" t="n">
        <v>0</v>
      </c>
      <c r="U810" s="5" t="inlineStr">
        <is>
          <t>training</t>
        </is>
      </c>
      <c r="V810" s="5" t="n">
        <v>1</v>
      </c>
    </row>
    <row r="811">
      <c r="A811" s="5" t="n">
        <v>807</v>
      </c>
      <c r="B811" s="5" t="n">
        <v>0</v>
      </c>
      <c r="C811" s="6" t="n">
        <v>-1.241254722473026</v>
      </c>
      <c r="D811" s="6" t="n">
        <v>-0.9309581185068806</v>
      </c>
      <c r="E811" s="6" t="n">
        <v>-0.8297226174589928</v>
      </c>
      <c r="F811" s="6" t="n">
        <v>0.01674764143977723</v>
      </c>
      <c r="G811" s="5" t="n">
        <v>0</v>
      </c>
      <c r="H811" s="5" t="n">
        <v>1</v>
      </c>
      <c r="I811" s="5" t="n">
        <v>0</v>
      </c>
      <c r="J811" s="5" t="n">
        <v>0</v>
      </c>
      <c r="K811" s="5" t="n">
        <v>0</v>
      </c>
      <c r="L811" s="5" t="n">
        <v>0</v>
      </c>
      <c r="M811" s="5" t="n">
        <v>0</v>
      </c>
      <c r="N811" s="5" t="n">
        <v>0</v>
      </c>
      <c r="O811" s="5" t="n">
        <v>0</v>
      </c>
      <c r="P811" s="5" t="n">
        <v>0</v>
      </c>
      <c r="Q811" s="5" t="n">
        <v>0</v>
      </c>
      <c r="R811" s="5" t="n">
        <v>0</v>
      </c>
      <c r="S811" s="5" t="n">
        <v>1</v>
      </c>
      <c r="T811" s="5" t="n">
        <v>0</v>
      </c>
      <c r="U811" s="5" t="inlineStr">
        <is>
          <t>training</t>
        </is>
      </c>
      <c r="V811" s="5" t="n">
        <v>0</v>
      </c>
    </row>
    <row r="812">
      <c r="A812" s="5" t="n">
        <v>808</v>
      </c>
      <c r="B812" s="5" t="n">
        <v>0</v>
      </c>
      <c r="C812" s="6" t="n">
        <v>-0.7357010147163632</v>
      </c>
      <c r="D812" s="6" t="n">
        <v>-0.8119945863025551</v>
      </c>
      <c r="E812" s="6" t="n">
        <v>2.562225189763305</v>
      </c>
      <c r="F812" s="6" t="n">
        <v>0.9185437189662378</v>
      </c>
      <c r="G812" s="5" t="n">
        <v>0</v>
      </c>
      <c r="H812" s="5" t="n">
        <v>0</v>
      </c>
      <c r="I812" s="5" t="n">
        <v>0</v>
      </c>
      <c r="J812" s="5" t="n">
        <v>1</v>
      </c>
      <c r="K812" s="5" t="n">
        <v>0</v>
      </c>
      <c r="L812" s="5" t="n">
        <v>0</v>
      </c>
      <c r="M812" s="5" t="n">
        <v>0</v>
      </c>
      <c r="N812" s="5" t="n">
        <v>0</v>
      </c>
      <c r="O812" s="5" t="n">
        <v>1</v>
      </c>
      <c r="P812" s="5" t="n">
        <v>0</v>
      </c>
      <c r="Q812" s="5" t="n">
        <v>0</v>
      </c>
      <c r="R812" s="5" t="n">
        <v>0</v>
      </c>
      <c r="S812" s="5" t="n">
        <v>1</v>
      </c>
      <c r="T812" s="5" t="n">
        <v>0</v>
      </c>
      <c r="U812" s="5" t="inlineStr">
        <is>
          <t>testing</t>
        </is>
      </c>
      <c r="V812" s="5" t="n">
        <v>0</v>
      </c>
    </row>
    <row r="813">
      <c r="A813" s="5" t="n">
        <v>809</v>
      </c>
      <c r="B813" s="5" t="n">
        <v>0</v>
      </c>
      <c r="C813" s="6" t="n">
        <v>1.792067524066952</v>
      </c>
      <c r="D813" s="6" t="n">
        <v>2.110659485764301</v>
      </c>
      <c r="E813" s="6" t="n">
        <v>1.692494982783229</v>
      </c>
      <c r="F813" s="6" t="n">
        <v>-1.786844513613144</v>
      </c>
      <c r="G813" s="5" t="n">
        <v>0</v>
      </c>
      <c r="H813" s="5" t="n">
        <v>1</v>
      </c>
      <c r="I813" s="5" t="n">
        <v>0</v>
      </c>
      <c r="J813" s="5" t="n">
        <v>0</v>
      </c>
      <c r="K813" s="5" t="n">
        <v>0</v>
      </c>
      <c r="L813" s="5" t="n">
        <v>1</v>
      </c>
      <c r="M813" s="5" t="n">
        <v>0</v>
      </c>
      <c r="N813" s="5" t="n">
        <v>0</v>
      </c>
      <c r="O813" s="5" t="n">
        <v>0</v>
      </c>
      <c r="P813" s="5" t="n">
        <v>0</v>
      </c>
      <c r="Q813" s="5" t="n">
        <v>1</v>
      </c>
      <c r="R813" s="5" t="n">
        <v>1</v>
      </c>
      <c r="S813" s="5" t="n">
        <v>0</v>
      </c>
      <c r="T813" s="5" t="n">
        <v>0</v>
      </c>
      <c r="U813" s="5" t="inlineStr">
        <is>
          <t>testing</t>
        </is>
      </c>
      <c r="V813" s="5" t="n">
        <v>0</v>
      </c>
    </row>
    <row r="814">
      <c r="A814" s="5" t="n">
        <v>810</v>
      </c>
      <c r="B814" s="5" t="n">
        <v>1</v>
      </c>
      <c r="C814" s="6" t="n">
        <v>-0.4829241608380317</v>
      </c>
      <c r="D814" s="6" t="n">
        <v>-0.5152855412752961</v>
      </c>
      <c r="E814" s="6" t="n">
        <v>-0.8297226174589928</v>
      </c>
      <c r="F814" s="6" t="n">
        <v>-0.8850484360866833</v>
      </c>
      <c r="G814" s="5" t="n">
        <v>0</v>
      </c>
      <c r="H814" s="5" t="n">
        <v>1</v>
      </c>
      <c r="I814" s="5" t="n">
        <v>0</v>
      </c>
      <c r="J814" s="5" t="n">
        <v>0</v>
      </c>
      <c r="K814" s="5" t="n">
        <v>0</v>
      </c>
      <c r="L814" s="5" t="n">
        <v>1</v>
      </c>
      <c r="M814" s="5" t="n">
        <v>0</v>
      </c>
      <c r="N814" s="5" t="n">
        <v>0</v>
      </c>
      <c r="O814" s="5" t="n">
        <v>0</v>
      </c>
      <c r="P814" s="5" t="n">
        <v>1</v>
      </c>
      <c r="Q814" s="5" t="n">
        <v>0</v>
      </c>
      <c r="R814" s="5" t="n">
        <v>1</v>
      </c>
      <c r="S814" s="5" t="n">
        <v>0</v>
      </c>
      <c r="T814" s="5" t="n">
        <v>0</v>
      </c>
      <c r="U814" s="5" t="inlineStr">
        <is>
          <t>training</t>
        </is>
      </c>
      <c r="V814" s="5" t="n">
        <v>1</v>
      </c>
    </row>
    <row r="815">
      <c r="A815" s="5" t="n">
        <v>811</v>
      </c>
      <c r="B815" s="5" t="n">
        <v>0</v>
      </c>
      <c r="C815" s="6" t="n">
        <v>-1.072736819887472</v>
      </c>
      <c r="D815" s="6" t="n">
        <v>-0.8200421193634359</v>
      </c>
      <c r="E815" s="6" t="n">
        <v>-0.8297226174589928</v>
      </c>
      <c r="F815" s="6" t="n">
        <v>0.01674764143977723</v>
      </c>
      <c r="G815" s="5" t="n">
        <v>0</v>
      </c>
      <c r="H815" s="5" t="n">
        <v>1</v>
      </c>
      <c r="I815" s="5" t="n">
        <v>0</v>
      </c>
      <c r="J815" s="5" t="n">
        <v>0</v>
      </c>
      <c r="K815" s="5" t="n">
        <v>0</v>
      </c>
      <c r="L815" s="5" t="n">
        <v>0</v>
      </c>
      <c r="M815" s="5" t="n">
        <v>0</v>
      </c>
      <c r="N815" s="5" t="n">
        <v>0</v>
      </c>
      <c r="O815" s="5" t="n">
        <v>0</v>
      </c>
      <c r="P815" s="5" t="n">
        <v>0</v>
      </c>
      <c r="Q815" s="5" t="n">
        <v>0</v>
      </c>
      <c r="R815" s="5" t="n">
        <v>0</v>
      </c>
      <c r="S815" s="5" t="n">
        <v>0</v>
      </c>
      <c r="T815" s="5" t="n">
        <v>0</v>
      </c>
      <c r="U815" s="5" t="inlineStr">
        <is>
          <t>testing</t>
        </is>
      </c>
      <c r="V815" s="5" t="n">
        <v>0</v>
      </c>
    </row>
    <row r="816">
      <c r="A816" s="5" t="n">
        <v>812</v>
      </c>
      <c r="B816" s="5" t="n">
        <v>0</v>
      </c>
      <c r="C816" s="6" t="n">
        <v>-1.241254722473026</v>
      </c>
      <c r="D816" s="6" t="n">
        <v>-0.9680467491352879</v>
      </c>
      <c r="E816" s="6" t="n">
        <v>-0.6557765760629775</v>
      </c>
      <c r="F816" s="6" t="n">
        <v>0.01674764143977723</v>
      </c>
      <c r="G816" s="5" t="n">
        <v>0</v>
      </c>
      <c r="H816" s="5" t="n">
        <v>1</v>
      </c>
      <c r="I816" s="5" t="n">
        <v>0</v>
      </c>
      <c r="J816" s="5" t="n">
        <v>0</v>
      </c>
      <c r="K816" s="5" t="n">
        <v>0</v>
      </c>
      <c r="L816" s="5" t="n">
        <v>0</v>
      </c>
      <c r="M816" s="5" t="n">
        <v>0</v>
      </c>
      <c r="N816" s="5" t="n">
        <v>0</v>
      </c>
      <c r="O816" s="5" t="n">
        <v>0</v>
      </c>
      <c r="P816" s="5" t="n">
        <v>0</v>
      </c>
      <c r="Q816" s="5" t="n">
        <v>0</v>
      </c>
      <c r="R816" s="5" t="n">
        <v>0</v>
      </c>
      <c r="S816" s="5" t="n">
        <v>1</v>
      </c>
      <c r="T816" s="5" t="n">
        <v>0</v>
      </c>
      <c r="U816" s="5" t="inlineStr">
        <is>
          <t>training</t>
        </is>
      </c>
      <c r="V816" s="5" t="n">
        <v>0</v>
      </c>
    </row>
    <row r="817">
      <c r="A817" s="5" t="n">
        <v>813</v>
      </c>
      <c r="B817" s="5" t="n">
        <v>1</v>
      </c>
      <c r="C817" s="6" t="n">
        <v>1.286513816310289</v>
      </c>
      <c r="D817" s="6" t="n">
        <v>2.231722374419291</v>
      </c>
      <c r="E817" s="6" t="n">
        <v>-1.003668658855008</v>
      </c>
      <c r="F817" s="6" t="n">
        <v>0.9185437189662378</v>
      </c>
      <c r="G817" s="5" t="n">
        <v>1</v>
      </c>
      <c r="H817" s="5" t="n">
        <v>0</v>
      </c>
      <c r="I817" s="5" t="n">
        <v>0</v>
      </c>
      <c r="J817" s="5" t="n">
        <v>1</v>
      </c>
      <c r="K817" s="5" t="n">
        <v>0</v>
      </c>
      <c r="L817" s="5" t="n">
        <v>0</v>
      </c>
      <c r="M817" s="5" t="n">
        <v>0</v>
      </c>
      <c r="N817" s="5" t="n">
        <v>0</v>
      </c>
      <c r="O817" s="5" t="n">
        <v>0</v>
      </c>
      <c r="P817" s="5" t="n">
        <v>0</v>
      </c>
      <c r="Q817" s="5" t="n">
        <v>0</v>
      </c>
      <c r="R817" s="5" t="n">
        <v>1</v>
      </c>
      <c r="S817" s="5" t="n">
        <v>0</v>
      </c>
      <c r="T817" s="5" t="n">
        <v>0</v>
      </c>
      <c r="U817" s="5" t="inlineStr">
        <is>
          <t>training</t>
        </is>
      </c>
      <c r="V817" s="5" t="n">
        <v>1</v>
      </c>
    </row>
    <row r="818">
      <c r="A818" s="5" t="n">
        <v>814</v>
      </c>
      <c r="B818" s="5" t="n">
        <v>1</v>
      </c>
      <c r="C818" s="6" t="n">
        <v>2.297621231823615</v>
      </c>
      <c r="D818" s="6" t="n">
        <v>-0.06987208099263038</v>
      </c>
      <c r="E818" s="6" t="n">
        <v>1.605521962085221</v>
      </c>
      <c r="F818" s="6" t="n">
        <v>0.01674764143977723</v>
      </c>
      <c r="G818" s="5" t="n">
        <v>1</v>
      </c>
      <c r="H818" s="5" t="n">
        <v>0</v>
      </c>
      <c r="I818" s="5" t="n">
        <v>0</v>
      </c>
      <c r="J818" s="5" t="n">
        <v>0</v>
      </c>
      <c r="K818" s="5" t="n">
        <v>0</v>
      </c>
      <c r="L818" s="5" t="n">
        <v>0</v>
      </c>
      <c r="M818" s="5" t="n">
        <v>0</v>
      </c>
      <c r="N818" s="5" t="n">
        <v>0</v>
      </c>
      <c r="O818" s="5" t="n">
        <v>0</v>
      </c>
      <c r="P818" s="5" t="n">
        <v>0</v>
      </c>
      <c r="Q818" s="5" t="n">
        <v>0</v>
      </c>
      <c r="R818" s="5" t="n">
        <v>0</v>
      </c>
      <c r="S818" s="5" t="n">
        <v>0</v>
      </c>
      <c r="T818" s="5" t="n">
        <v>0</v>
      </c>
      <c r="U818" s="5" t="inlineStr">
        <is>
          <t>training</t>
        </is>
      </c>
      <c r="V818" s="5" t="n">
        <v>1</v>
      </c>
    </row>
    <row r="819">
      <c r="A819" s="5" t="n">
        <v>815</v>
      </c>
      <c r="B819" s="5" t="n">
        <v>1</v>
      </c>
      <c r="C819" s="6" t="n">
        <v>2.297621231823615</v>
      </c>
      <c r="D819" s="6" t="n">
        <v>0.2380335317715062</v>
      </c>
      <c r="E819" s="6" t="n">
        <v>0.9097377965011599</v>
      </c>
      <c r="F819" s="6" t="n">
        <v>0.9185437189662378</v>
      </c>
      <c r="G819" s="5" t="n">
        <v>1</v>
      </c>
      <c r="H819" s="5" t="n">
        <v>0</v>
      </c>
      <c r="I819" s="5" t="n">
        <v>0</v>
      </c>
      <c r="J819" s="5" t="n">
        <v>0</v>
      </c>
      <c r="K819" s="5" t="n">
        <v>0</v>
      </c>
      <c r="L819" s="5" t="n">
        <v>0</v>
      </c>
      <c r="M819" s="5" t="n">
        <v>0</v>
      </c>
      <c r="N819" s="5" t="n">
        <v>0</v>
      </c>
      <c r="O819" s="5" t="n">
        <v>0</v>
      </c>
      <c r="P819" s="5" t="n">
        <v>0</v>
      </c>
      <c r="Q819" s="5" t="n">
        <v>1</v>
      </c>
      <c r="R819" s="5" t="n">
        <v>1</v>
      </c>
      <c r="S819" s="5" t="n">
        <v>0</v>
      </c>
      <c r="T819" s="5" t="n">
        <v>0</v>
      </c>
      <c r="U819" s="5" t="inlineStr">
        <is>
          <t>testing</t>
        </is>
      </c>
      <c r="V819" s="5" t="n">
        <v>0</v>
      </c>
    </row>
    <row r="820">
      <c r="A820" s="5" t="n">
        <v>816</v>
      </c>
      <c r="B820" s="5" t="n">
        <v>0</v>
      </c>
      <c r="C820" s="6" t="n">
        <v>1.286513816310289</v>
      </c>
      <c r="D820" s="6" t="n">
        <v>1.463008020734282</v>
      </c>
      <c r="E820" s="6" t="n">
        <v>1.605521962085221</v>
      </c>
      <c r="F820" s="6" t="n">
        <v>-0.8850484360866833</v>
      </c>
      <c r="G820" s="5" t="n">
        <v>0</v>
      </c>
      <c r="H820" s="5" t="n">
        <v>1</v>
      </c>
      <c r="I820" s="5" t="n">
        <v>0</v>
      </c>
      <c r="J820" s="5" t="n">
        <v>0</v>
      </c>
      <c r="K820" s="5" t="n">
        <v>1</v>
      </c>
      <c r="L820" s="5" t="n">
        <v>0</v>
      </c>
      <c r="M820" s="5" t="n">
        <v>0</v>
      </c>
      <c r="N820" s="5" t="n">
        <v>0</v>
      </c>
      <c r="O820" s="5" t="n">
        <v>0</v>
      </c>
      <c r="P820" s="5" t="n">
        <v>1</v>
      </c>
      <c r="Q820" s="5" t="n">
        <v>0</v>
      </c>
      <c r="R820" s="5" t="n">
        <v>1</v>
      </c>
      <c r="S820" s="5" t="n">
        <v>0</v>
      </c>
      <c r="T820" s="5" t="n">
        <v>0</v>
      </c>
      <c r="U820" s="5" t="inlineStr">
        <is>
          <t>training</t>
        </is>
      </c>
      <c r="V820" s="5" t="n">
        <v>1</v>
      </c>
    </row>
    <row r="821">
      <c r="A821" s="5" t="n">
        <v>817</v>
      </c>
      <c r="B821" s="5" t="n">
        <v>0</v>
      </c>
      <c r="C821" s="6" t="n">
        <v>-1.241254722473026</v>
      </c>
      <c r="D821" s="6" t="n">
        <v>-0.6692383476573645</v>
      </c>
      <c r="E821" s="6" t="n">
        <v>2.301306127669282</v>
      </c>
      <c r="F821" s="6" t="n">
        <v>-1.786844513613144</v>
      </c>
      <c r="G821" s="5" t="n">
        <v>0</v>
      </c>
      <c r="H821" s="5" t="n">
        <v>0</v>
      </c>
      <c r="I821" s="5" t="n">
        <v>0</v>
      </c>
      <c r="J821" s="5" t="n">
        <v>0</v>
      </c>
      <c r="K821" s="5" t="n">
        <v>0</v>
      </c>
      <c r="L821" s="5" t="n">
        <v>0</v>
      </c>
      <c r="M821" s="5" t="n">
        <v>1</v>
      </c>
      <c r="N821" s="5" t="n">
        <v>0</v>
      </c>
      <c r="O821" s="5" t="n">
        <v>0</v>
      </c>
      <c r="P821" s="5" t="n">
        <v>0</v>
      </c>
      <c r="Q821" s="5" t="n">
        <v>0</v>
      </c>
      <c r="R821" s="5" t="n">
        <v>0</v>
      </c>
      <c r="S821" s="5" t="n">
        <v>0</v>
      </c>
      <c r="T821" s="5" t="n">
        <v>0</v>
      </c>
      <c r="U821" s="5" t="inlineStr">
        <is>
          <t>training</t>
        </is>
      </c>
      <c r="V821" s="5" t="n">
        <v>1</v>
      </c>
    </row>
    <row r="822">
      <c r="A822" s="5" t="n">
        <v>818</v>
      </c>
      <c r="B822" s="5" t="n">
        <v>0</v>
      </c>
      <c r="C822" s="6" t="n">
        <v>-1.241254722473026</v>
      </c>
      <c r="D822" s="6" t="n">
        <v>-0.59366151543344</v>
      </c>
      <c r="E822" s="6" t="n">
        <v>-1.003668658855008</v>
      </c>
      <c r="F822" s="6" t="n">
        <v>-1.786844513613144</v>
      </c>
      <c r="G822" s="5" t="n">
        <v>0</v>
      </c>
      <c r="H822" s="5" t="n">
        <v>0</v>
      </c>
      <c r="I822" s="5" t="n">
        <v>0</v>
      </c>
      <c r="J822" s="5" t="n">
        <v>1</v>
      </c>
      <c r="K822" s="5" t="n">
        <v>0</v>
      </c>
      <c r="L822" s="5" t="n">
        <v>0</v>
      </c>
      <c r="M822" s="5" t="n">
        <v>0</v>
      </c>
      <c r="N822" s="5" t="n">
        <v>0</v>
      </c>
      <c r="O822" s="5" t="n">
        <v>0</v>
      </c>
      <c r="P822" s="5" t="n">
        <v>1</v>
      </c>
      <c r="Q822" s="5" t="n">
        <v>0</v>
      </c>
      <c r="R822" s="5" t="n">
        <v>0</v>
      </c>
      <c r="S822" s="5" t="n">
        <v>1</v>
      </c>
      <c r="T822" s="5" t="n">
        <v>0</v>
      </c>
      <c r="U822" s="5" t="inlineStr">
        <is>
          <t>training</t>
        </is>
      </c>
      <c r="V822" s="5" t="n">
        <v>0</v>
      </c>
    </row>
    <row r="823">
      <c r="A823" s="5" t="n">
        <v>819</v>
      </c>
      <c r="B823" s="5" t="n">
        <v>0</v>
      </c>
      <c r="C823" s="6" t="n">
        <v>1.286513816310289</v>
      </c>
      <c r="D823" s="6" t="n">
        <v>4.410854370209112</v>
      </c>
      <c r="E823" s="6" t="n">
        <v>0.648818734407137</v>
      </c>
      <c r="F823" s="6" t="n">
        <v>-0.8850484360866833</v>
      </c>
      <c r="G823" s="5" t="n">
        <v>1</v>
      </c>
      <c r="H823" s="5" t="n">
        <v>0</v>
      </c>
      <c r="I823" s="5" t="n">
        <v>0</v>
      </c>
      <c r="J823" s="5" t="n">
        <v>0</v>
      </c>
      <c r="K823" s="5" t="n">
        <v>0</v>
      </c>
      <c r="L823" s="5" t="n">
        <v>0</v>
      </c>
      <c r="M823" s="5" t="n">
        <v>0</v>
      </c>
      <c r="N823" s="5" t="n">
        <v>0</v>
      </c>
      <c r="O823" s="5" t="n">
        <v>0</v>
      </c>
      <c r="P823" s="5" t="n">
        <v>0</v>
      </c>
      <c r="Q823" s="5" t="n">
        <v>0</v>
      </c>
      <c r="R823" s="5" t="n">
        <v>0</v>
      </c>
      <c r="S823" s="5" t="n">
        <v>0</v>
      </c>
      <c r="T823" s="5" t="n">
        <v>0</v>
      </c>
      <c r="U823" s="5" t="inlineStr">
        <is>
          <t>training</t>
        </is>
      </c>
      <c r="V823" s="5" t="n">
        <v>0</v>
      </c>
    </row>
    <row r="824">
      <c r="A824" s="5" t="n">
        <v>820</v>
      </c>
      <c r="B824" s="5" t="n">
        <v>1</v>
      </c>
      <c r="C824" s="6" t="n">
        <v>-0.2301473069597001</v>
      </c>
      <c r="D824" s="6" t="n">
        <v>-0.6667890984649225</v>
      </c>
      <c r="E824" s="6" t="n">
        <v>-0.8297226174589928</v>
      </c>
      <c r="F824" s="6" t="n">
        <v>0.9185437189662378</v>
      </c>
      <c r="G824" s="5" t="n">
        <v>1</v>
      </c>
      <c r="H824" s="5" t="n">
        <v>0</v>
      </c>
      <c r="I824" s="5" t="n">
        <v>0</v>
      </c>
      <c r="J824" s="5" t="n">
        <v>0</v>
      </c>
      <c r="K824" s="5" t="n">
        <v>0</v>
      </c>
      <c r="L824" s="5" t="n">
        <v>0</v>
      </c>
      <c r="M824" s="5" t="n">
        <v>0</v>
      </c>
      <c r="N824" s="5" t="n">
        <v>0</v>
      </c>
      <c r="O824" s="5" t="n">
        <v>0</v>
      </c>
      <c r="P824" s="5" t="n">
        <v>0</v>
      </c>
      <c r="Q824" s="5" t="n">
        <v>0</v>
      </c>
      <c r="R824" s="5" t="n">
        <v>0</v>
      </c>
      <c r="S824" s="5" t="n">
        <v>1</v>
      </c>
      <c r="T824" s="5" t="n">
        <v>0</v>
      </c>
      <c r="U824" s="5" t="inlineStr">
        <is>
          <t>testing</t>
        </is>
      </c>
      <c r="V824" s="5" t="n">
        <v>0</v>
      </c>
    </row>
    <row r="825">
      <c r="A825" s="5" t="n">
        <v>821</v>
      </c>
      <c r="B825" s="5" t="n">
        <v>0</v>
      </c>
      <c r="C825" s="6" t="n">
        <v>-0.7357010147163632</v>
      </c>
      <c r="D825" s="6" t="n">
        <v>-0.7521629274586149</v>
      </c>
      <c r="E825" s="6" t="n">
        <v>-0.7427495967609852</v>
      </c>
      <c r="F825" s="6" t="n">
        <v>0.01674764143977723</v>
      </c>
      <c r="G825" s="5" t="n">
        <v>0</v>
      </c>
      <c r="H825" s="5" t="n">
        <v>0</v>
      </c>
      <c r="I825" s="5" t="n">
        <v>0</v>
      </c>
      <c r="J825" s="5" t="n">
        <v>0</v>
      </c>
      <c r="K825" s="5" t="n">
        <v>0</v>
      </c>
      <c r="L825" s="5" t="n">
        <v>0</v>
      </c>
      <c r="M825" s="5" t="n">
        <v>0</v>
      </c>
      <c r="N825" s="5" t="n">
        <v>0</v>
      </c>
      <c r="O825" s="5" t="n">
        <v>0</v>
      </c>
      <c r="P825" s="5" t="n">
        <v>0</v>
      </c>
      <c r="Q825" s="5" t="n">
        <v>0</v>
      </c>
      <c r="R825" s="5" t="n">
        <v>1</v>
      </c>
      <c r="S825" s="5" t="n">
        <v>0</v>
      </c>
      <c r="T825" s="5" t="n">
        <v>0</v>
      </c>
      <c r="U825" s="5" t="inlineStr">
        <is>
          <t>training</t>
        </is>
      </c>
      <c r="V825" s="5" t="n">
        <v>1</v>
      </c>
    </row>
    <row r="826">
      <c r="A826" s="5" t="n">
        <v>822</v>
      </c>
      <c r="B826" s="5" t="n">
        <v>0</v>
      </c>
      <c r="C826" s="6" t="n">
        <v>-0.7357010147163632</v>
      </c>
      <c r="D826" s="6" t="n">
        <v>-0.08211832695484036</v>
      </c>
      <c r="E826" s="6" t="n">
        <v>-1.003668658855008</v>
      </c>
      <c r="F826" s="6" t="n">
        <v>0.01674764143977723</v>
      </c>
      <c r="G826" s="5" t="n">
        <v>0</v>
      </c>
      <c r="H826" s="5" t="n">
        <v>0</v>
      </c>
      <c r="I826" s="5" t="n">
        <v>1</v>
      </c>
      <c r="J826" s="5" t="n">
        <v>0</v>
      </c>
      <c r="K826" s="5" t="n">
        <v>0</v>
      </c>
      <c r="L826" s="5" t="n">
        <v>0</v>
      </c>
      <c r="M826" s="5" t="n">
        <v>0</v>
      </c>
      <c r="N826" s="5" t="n">
        <v>0</v>
      </c>
      <c r="O826" s="5" t="n">
        <v>0</v>
      </c>
      <c r="P826" s="5" t="n">
        <v>0</v>
      </c>
      <c r="Q826" s="5" t="n">
        <v>0</v>
      </c>
      <c r="R826" s="5" t="n">
        <v>0</v>
      </c>
      <c r="S826" s="5" t="n">
        <v>1</v>
      </c>
      <c r="T826" s="5" t="n">
        <v>0</v>
      </c>
      <c r="U826" s="5" t="inlineStr">
        <is>
          <t>training</t>
        </is>
      </c>
      <c r="V826" s="5" t="n">
        <v>1</v>
      </c>
    </row>
    <row r="827">
      <c r="A827" s="5" t="n">
        <v>823</v>
      </c>
      <c r="B827" s="5" t="n">
        <v>1</v>
      </c>
      <c r="C827" s="6" t="n">
        <v>1.286513816310289</v>
      </c>
      <c r="D827" s="6" t="n">
        <v>-0.1884857204551784</v>
      </c>
      <c r="E827" s="6" t="n">
        <v>0.4748726930111218</v>
      </c>
      <c r="F827" s="6" t="n">
        <v>-0.8850484360866833</v>
      </c>
      <c r="G827" s="5" t="n">
        <v>1</v>
      </c>
      <c r="H827" s="5" t="n">
        <v>0</v>
      </c>
      <c r="I827" s="5" t="n">
        <v>0</v>
      </c>
      <c r="J827" s="5" t="n">
        <v>0</v>
      </c>
      <c r="K827" s="5" t="n">
        <v>0</v>
      </c>
      <c r="L827" s="5" t="n">
        <v>0</v>
      </c>
      <c r="M827" s="5" t="n">
        <v>0</v>
      </c>
      <c r="N827" s="5" t="n">
        <v>0</v>
      </c>
      <c r="O827" s="5" t="n">
        <v>0</v>
      </c>
      <c r="P827" s="5" t="n">
        <v>0</v>
      </c>
      <c r="Q827" s="5" t="n">
        <v>0</v>
      </c>
      <c r="R827" s="5" t="n">
        <v>0</v>
      </c>
      <c r="S827" s="5" t="n">
        <v>0</v>
      </c>
      <c r="T827" s="5" t="n">
        <v>1</v>
      </c>
      <c r="U827" s="5" t="inlineStr">
        <is>
          <t>testing</t>
        </is>
      </c>
      <c r="V827" s="5" t="n">
        <v>0</v>
      </c>
    </row>
    <row r="828">
      <c r="A828" s="5" t="n">
        <v>824</v>
      </c>
      <c r="B828" s="5" t="n">
        <v>0</v>
      </c>
      <c r="C828" s="6" t="n">
        <v>-1.072736819887472</v>
      </c>
      <c r="D828" s="6" t="n">
        <v>-0.8816232419162632</v>
      </c>
      <c r="E828" s="6" t="n">
        <v>0.9967108171991675</v>
      </c>
      <c r="F828" s="6" t="n">
        <v>0.9185437189662378</v>
      </c>
      <c r="G828" s="5" t="n">
        <v>1</v>
      </c>
      <c r="H828" s="5" t="n">
        <v>0</v>
      </c>
      <c r="I828" s="5" t="n">
        <v>0</v>
      </c>
      <c r="J828" s="5" t="n">
        <v>1</v>
      </c>
      <c r="K828" s="5" t="n">
        <v>0</v>
      </c>
      <c r="L828" s="5" t="n">
        <v>0</v>
      </c>
      <c r="M828" s="5" t="n">
        <v>0</v>
      </c>
      <c r="N828" s="5" t="n">
        <v>0</v>
      </c>
      <c r="O828" s="5" t="n">
        <v>0</v>
      </c>
      <c r="P828" s="5" t="n">
        <v>0</v>
      </c>
      <c r="Q828" s="5" t="n">
        <v>0</v>
      </c>
      <c r="R828" s="5" t="n">
        <v>1</v>
      </c>
      <c r="S828" s="5" t="n">
        <v>0</v>
      </c>
      <c r="T828" s="5" t="n">
        <v>0</v>
      </c>
      <c r="U828" s="5" t="inlineStr">
        <is>
          <t>training</t>
        </is>
      </c>
      <c r="V828" s="5" t="n">
        <v>1</v>
      </c>
    </row>
    <row r="829">
      <c r="A829" s="5" t="n">
        <v>825</v>
      </c>
      <c r="B829" s="5" t="n">
        <v>0</v>
      </c>
      <c r="C829" s="6" t="n">
        <v>-0.2301473069597001</v>
      </c>
      <c r="D829" s="6" t="n">
        <v>0.1851997277631146</v>
      </c>
      <c r="E829" s="6" t="n">
        <v>-0.04696543117692405</v>
      </c>
      <c r="F829" s="6" t="n">
        <v>0.01674764143977723</v>
      </c>
      <c r="G829" s="5" t="n">
        <v>0</v>
      </c>
      <c r="H829" s="5" t="n">
        <v>0</v>
      </c>
      <c r="I829" s="5" t="n">
        <v>0</v>
      </c>
      <c r="J829" s="5" t="n">
        <v>1</v>
      </c>
      <c r="K829" s="5" t="n">
        <v>0</v>
      </c>
      <c r="L829" s="5" t="n">
        <v>0</v>
      </c>
      <c r="M829" s="5" t="n">
        <v>0</v>
      </c>
      <c r="N829" s="5" t="n">
        <v>0</v>
      </c>
      <c r="O829" s="5" t="n">
        <v>0</v>
      </c>
      <c r="P829" s="5" t="n">
        <v>0</v>
      </c>
      <c r="Q829" s="5" t="n">
        <v>0</v>
      </c>
      <c r="R829" s="5" t="n">
        <v>0</v>
      </c>
      <c r="S829" s="5" t="n">
        <v>0</v>
      </c>
      <c r="T829" s="5" t="n">
        <v>1</v>
      </c>
      <c r="U829" s="5" t="inlineStr">
        <is>
          <t>testing</t>
        </is>
      </c>
      <c r="V829" s="5" t="n">
        <v>0</v>
      </c>
    </row>
    <row r="830">
      <c r="A830" s="5" t="n">
        <v>826</v>
      </c>
      <c r="B830" s="5" t="n">
        <v>0</v>
      </c>
      <c r="C830" s="6" t="n">
        <v>0.02262954691863145</v>
      </c>
      <c r="D830" s="6" t="n">
        <v>-0.5768666638281235</v>
      </c>
      <c r="E830" s="6" t="n">
        <v>-0.4818305346669622</v>
      </c>
      <c r="F830" s="6" t="n">
        <v>0.9185437189662378</v>
      </c>
      <c r="G830" s="5" t="n">
        <v>1</v>
      </c>
      <c r="H830" s="5" t="n">
        <v>0</v>
      </c>
      <c r="I830" s="5" t="n">
        <v>0</v>
      </c>
      <c r="J830" s="5" t="n">
        <v>1</v>
      </c>
      <c r="K830" s="5" t="n">
        <v>0</v>
      </c>
      <c r="L830" s="5" t="n">
        <v>0</v>
      </c>
      <c r="M830" s="5" t="n">
        <v>0</v>
      </c>
      <c r="N830" s="5" t="n">
        <v>0</v>
      </c>
      <c r="O830" s="5" t="n">
        <v>0</v>
      </c>
      <c r="P830" s="5" t="n">
        <v>0</v>
      </c>
      <c r="Q830" s="5" t="n">
        <v>0</v>
      </c>
      <c r="R830" s="5" t="n">
        <v>1</v>
      </c>
      <c r="S830" s="5" t="n">
        <v>0</v>
      </c>
      <c r="T830" s="5" t="n">
        <v>0</v>
      </c>
      <c r="U830" s="5" t="inlineStr">
        <is>
          <t>training</t>
        </is>
      </c>
      <c r="V830" s="5" t="n">
        <v>1</v>
      </c>
    </row>
    <row r="831">
      <c r="A831" s="5" t="n">
        <v>827</v>
      </c>
      <c r="B831" s="5" t="n">
        <v>1</v>
      </c>
      <c r="C831" s="6" t="n">
        <v>-0.2301473069597001</v>
      </c>
      <c r="D831" s="6" t="n">
        <v>0.2502797777337162</v>
      </c>
      <c r="E831" s="6" t="n">
        <v>-0.2209114725729393</v>
      </c>
      <c r="F831" s="6" t="n">
        <v>-1.786844513613144</v>
      </c>
      <c r="G831" s="5" t="n">
        <v>1</v>
      </c>
      <c r="H831" s="5" t="n">
        <v>0</v>
      </c>
      <c r="I831" s="5" t="n">
        <v>0</v>
      </c>
      <c r="J831" s="5" t="n">
        <v>1</v>
      </c>
      <c r="K831" s="5" t="n">
        <v>0</v>
      </c>
      <c r="L831" s="5" t="n">
        <v>0</v>
      </c>
      <c r="M831" s="5" t="n">
        <v>0</v>
      </c>
      <c r="N831" s="5" t="n">
        <v>0</v>
      </c>
      <c r="O831" s="5" t="n">
        <v>0</v>
      </c>
      <c r="P831" s="5" t="n">
        <v>1</v>
      </c>
      <c r="Q831" s="5" t="n">
        <v>0</v>
      </c>
      <c r="R831" s="5" t="n">
        <v>1</v>
      </c>
      <c r="S831" s="5" t="n">
        <v>0</v>
      </c>
      <c r="T831" s="5" t="n">
        <v>0</v>
      </c>
      <c r="U831" s="5" t="inlineStr">
        <is>
          <t>testing</t>
        </is>
      </c>
      <c r="V831" s="5" t="n">
        <v>0</v>
      </c>
    </row>
    <row r="832">
      <c r="A832" s="5" t="n">
        <v>828</v>
      </c>
      <c r="B832" s="5" t="n">
        <v>1</v>
      </c>
      <c r="C832" s="6" t="n">
        <v>-0.2301473069597001</v>
      </c>
      <c r="D832" s="6" t="n">
        <v>0.3199084333474244</v>
      </c>
      <c r="E832" s="6" t="n">
        <v>0.04000758952108359</v>
      </c>
      <c r="F832" s="6" t="n">
        <v>-0.8850484360866833</v>
      </c>
      <c r="G832" s="5" t="n">
        <v>0</v>
      </c>
      <c r="H832" s="5" t="n">
        <v>0</v>
      </c>
      <c r="I832" s="5" t="n">
        <v>0</v>
      </c>
      <c r="J832" s="5" t="n">
        <v>0</v>
      </c>
      <c r="K832" s="5" t="n">
        <v>0</v>
      </c>
      <c r="L832" s="5" t="n">
        <v>1</v>
      </c>
      <c r="M832" s="5" t="n">
        <v>0</v>
      </c>
      <c r="N832" s="5" t="n">
        <v>0</v>
      </c>
      <c r="O832" s="5" t="n">
        <v>0</v>
      </c>
      <c r="P832" s="5" t="n">
        <v>0</v>
      </c>
      <c r="Q832" s="5" t="n">
        <v>0</v>
      </c>
      <c r="R832" s="5" t="n">
        <v>0</v>
      </c>
      <c r="S832" s="5" t="n">
        <v>0</v>
      </c>
      <c r="T832" s="5" t="n">
        <v>0</v>
      </c>
      <c r="U832" s="5" t="inlineStr">
        <is>
          <t>training</t>
        </is>
      </c>
      <c r="V832" s="5" t="n">
        <v>1</v>
      </c>
    </row>
    <row r="833">
      <c r="A833" s="5" t="n">
        <v>829</v>
      </c>
      <c r="B833" s="5" t="n">
        <v>1</v>
      </c>
      <c r="C833" s="6" t="n">
        <v>1.286513816310289</v>
      </c>
      <c r="D833" s="6" t="n">
        <v>1.778961166559299</v>
      </c>
      <c r="E833" s="6" t="n">
        <v>0.9967108171991675</v>
      </c>
      <c r="F833" s="6" t="n">
        <v>0.01674764143977723</v>
      </c>
      <c r="G833" s="5" t="n">
        <v>1</v>
      </c>
      <c r="H833" s="5" t="n">
        <v>0</v>
      </c>
      <c r="I833" s="5" t="n">
        <v>0</v>
      </c>
      <c r="J833" s="5" t="n">
        <v>0</v>
      </c>
      <c r="K833" s="5" t="n">
        <v>0</v>
      </c>
      <c r="L833" s="5" t="n">
        <v>0</v>
      </c>
      <c r="M833" s="5" t="n">
        <v>0</v>
      </c>
      <c r="N833" s="5" t="n">
        <v>0</v>
      </c>
      <c r="O833" s="5" t="n">
        <v>1</v>
      </c>
      <c r="P833" s="5" t="n">
        <v>0</v>
      </c>
      <c r="Q833" s="5" t="n">
        <v>1</v>
      </c>
      <c r="R833" s="5" t="n">
        <v>1</v>
      </c>
      <c r="S833" s="5" t="n">
        <v>0</v>
      </c>
      <c r="T833" s="5" t="n">
        <v>0</v>
      </c>
      <c r="U833" s="5" t="inlineStr">
        <is>
          <t>testing</t>
        </is>
      </c>
      <c r="V833" s="5" t="n">
        <v>0</v>
      </c>
    </row>
    <row r="834">
      <c r="A834" s="5" t="n">
        <v>830</v>
      </c>
      <c r="B834" s="5" t="n">
        <v>0</v>
      </c>
      <c r="C834" s="6" t="n">
        <v>2.297621231823615</v>
      </c>
      <c r="D834" s="6" t="n">
        <v>1.200238571659433</v>
      </c>
      <c r="E834" s="6" t="n">
        <v>0.2139536309170988</v>
      </c>
      <c r="F834" s="6" t="n">
        <v>0.9185437189662378</v>
      </c>
      <c r="G834" s="5" t="n">
        <v>0</v>
      </c>
      <c r="H834" s="5" t="n">
        <v>1</v>
      </c>
      <c r="I834" s="5" t="n">
        <v>0</v>
      </c>
      <c r="J834" s="5" t="n">
        <v>0</v>
      </c>
      <c r="K834" s="5" t="n">
        <v>1</v>
      </c>
      <c r="L834" s="5" t="n">
        <v>0</v>
      </c>
      <c r="M834" s="5" t="n">
        <v>0</v>
      </c>
      <c r="N834" s="5" t="n">
        <v>0</v>
      </c>
      <c r="O834" s="5" t="n">
        <v>1</v>
      </c>
      <c r="P834" s="5" t="n">
        <v>0</v>
      </c>
      <c r="Q834" s="5" t="n">
        <v>1</v>
      </c>
      <c r="R834" s="5" t="n">
        <v>0</v>
      </c>
      <c r="S834" s="5" t="n">
        <v>0</v>
      </c>
      <c r="T834" s="5" t="n">
        <v>0</v>
      </c>
      <c r="U834" s="5" t="inlineStr">
        <is>
          <t>training</t>
        </is>
      </c>
      <c r="V834" s="5" t="n">
        <v>0</v>
      </c>
    </row>
    <row r="835">
      <c r="A835" s="5" t="n">
        <v>831</v>
      </c>
      <c r="B835" s="5" t="n">
        <v>0</v>
      </c>
      <c r="C835" s="6" t="n">
        <v>0.275406400796963</v>
      </c>
      <c r="D835" s="6" t="n">
        <v>-0.3063995744341717</v>
      </c>
      <c r="E835" s="6" t="n">
        <v>0.7357917551051447</v>
      </c>
      <c r="F835" s="6" t="n">
        <v>0.9185437189662378</v>
      </c>
      <c r="G835" s="5" t="n">
        <v>0</v>
      </c>
      <c r="H835" s="5" t="n">
        <v>0</v>
      </c>
      <c r="I835" s="5" t="n">
        <v>0</v>
      </c>
      <c r="J835" s="5" t="n">
        <v>0</v>
      </c>
      <c r="K835" s="5" t="n">
        <v>1</v>
      </c>
      <c r="L835" s="5" t="n">
        <v>0</v>
      </c>
      <c r="M835" s="5" t="n">
        <v>1</v>
      </c>
      <c r="N835" s="5" t="n">
        <v>0</v>
      </c>
      <c r="O835" s="5" t="n">
        <v>0</v>
      </c>
      <c r="P835" s="5" t="n">
        <v>0</v>
      </c>
      <c r="Q835" s="5" t="n">
        <v>0</v>
      </c>
      <c r="R835" s="5" t="n">
        <v>0</v>
      </c>
      <c r="S835" s="5" t="n">
        <v>0</v>
      </c>
      <c r="T835" s="5" t="n">
        <v>0</v>
      </c>
      <c r="U835" s="5" t="inlineStr">
        <is>
          <t>testing</t>
        </is>
      </c>
      <c r="V835" s="5" t="n">
        <v>0</v>
      </c>
    </row>
    <row r="836">
      <c r="A836" s="5" t="n">
        <v>832</v>
      </c>
      <c r="B836" s="5" t="n">
        <v>1</v>
      </c>
      <c r="C836" s="6" t="n">
        <v>-0.2301473069597001</v>
      </c>
      <c r="D836" s="6" t="n">
        <v>-0.7119252621542107</v>
      </c>
      <c r="E836" s="6" t="n">
        <v>-1.090641679553016</v>
      </c>
      <c r="F836" s="6" t="n">
        <v>0.9185437189662378</v>
      </c>
      <c r="G836" s="5" t="n">
        <v>1</v>
      </c>
      <c r="H836" s="5" t="n">
        <v>0</v>
      </c>
      <c r="I836" s="5" t="n">
        <v>0</v>
      </c>
      <c r="J836" s="5" t="n">
        <v>0</v>
      </c>
      <c r="K836" s="5" t="n">
        <v>0</v>
      </c>
      <c r="L836" s="5" t="n">
        <v>0</v>
      </c>
      <c r="M836" s="5" t="n">
        <v>0</v>
      </c>
      <c r="N836" s="5" t="n">
        <v>0</v>
      </c>
      <c r="O836" s="5" t="n">
        <v>0</v>
      </c>
      <c r="P836" s="5" t="n">
        <v>1</v>
      </c>
      <c r="Q836" s="5" t="n">
        <v>0</v>
      </c>
      <c r="R836" s="5" t="n">
        <v>1</v>
      </c>
      <c r="S836" s="5" t="n">
        <v>0</v>
      </c>
      <c r="T836" s="5" t="n">
        <v>0</v>
      </c>
      <c r="U836" s="5" t="inlineStr">
        <is>
          <t>training</t>
        </is>
      </c>
      <c r="V836" s="5" t="n">
        <v>1</v>
      </c>
    </row>
    <row r="837">
      <c r="A837" s="5" t="n">
        <v>833</v>
      </c>
      <c r="B837" s="5" t="n">
        <v>1</v>
      </c>
      <c r="C837" s="6" t="n">
        <v>2.044844377945284</v>
      </c>
      <c r="D837" s="6" t="n">
        <v>2.996937800686526</v>
      </c>
      <c r="E837" s="6" t="n">
        <v>-0.5688035553649698</v>
      </c>
      <c r="F837" s="6" t="n">
        <v>-0.8850484360866833</v>
      </c>
      <c r="G837" s="5" t="n">
        <v>1</v>
      </c>
      <c r="H837" s="5" t="n">
        <v>0</v>
      </c>
      <c r="I837" s="5" t="n">
        <v>0</v>
      </c>
      <c r="J837" s="5" t="n">
        <v>0</v>
      </c>
      <c r="K837" s="5" t="n">
        <v>0</v>
      </c>
      <c r="L837" s="5" t="n">
        <v>1</v>
      </c>
      <c r="M837" s="5" t="n">
        <v>0</v>
      </c>
      <c r="N837" s="5" t="n">
        <v>0</v>
      </c>
      <c r="O837" s="5" t="n">
        <v>0</v>
      </c>
      <c r="P837" s="5" t="n">
        <v>1</v>
      </c>
      <c r="Q837" s="5" t="n">
        <v>0</v>
      </c>
      <c r="R837" s="5" t="n">
        <v>0</v>
      </c>
      <c r="S837" s="5" t="n">
        <v>0</v>
      </c>
      <c r="T837" s="5" t="n">
        <v>0</v>
      </c>
      <c r="U837" s="5" t="inlineStr">
        <is>
          <t>training</t>
        </is>
      </c>
      <c r="V837" s="5" t="n">
        <v>1</v>
      </c>
    </row>
    <row r="838">
      <c r="A838" s="5" t="n">
        <v>834</v>
      </c>
      <c r="B838" s="5" t="n">
        <v>0</v>
      </c>
      <c r="C838" s="6" t="n">
        <v>0.275406400796963</v>
      </c>
      <c r="D838" s="6" t="n">
        <v>0.6414598630408807</v>
      </c>
      <c r="E838" s="6" t="n">
        <v>0.5618457137091294</v>
      </c>
      <c r="F838" s="6" t="n">
        <v>-0.8850484360866833</v>
      </c>
      <c r="G838" s="5" t="n">
        <v>0</v>
      </c>
      <c r="H838" s="5" t="n">
        <v>1</v>
      </c>
      <c r="I838" s="5" t="n">
        <v>0</v>
      </c>
      <c r="J838" s="5" t="n">
        <v>0</v>
      </c>
      <c r="K838" s="5" t="n">
        <v>0</v>
      </c>
      <c r="L838" s="5" t="n">
        <v>0</v>
      </c>
      <c r="M838" s="5" t="n">
        <v>0</v>
      </c>
      <c r="N838" s="5" t="n">
        <v>0</v>
      </c>
      <c r="O838" s="5" t="n">
        <v>1</v>
      </c>
      <c r="P838" s="5" t="n">
        <v>0</v>
      </c>
      <c r="Q838" s="5" t="n">
        <v>0</v>
      </c>
      <c r="R838" s="5" t="n">
        <v>0</v>
      </c>
      <c r="S838" s="5" t="n">
        <v>1</v>
      </c>
      <c r="T838" s="5" t="n">
        <v>0</v>
      </c>
      <c r="U838" s="5" t="inlineStr">
        <is>
          <t>testing</t>
        </is>
      </c>
      <c r="V838" s="5" t="n">
        <v>0</v>
      </c>
    </row>
    <row r="839">
      <c r="A839" s="5" t="n">
        <v>835</v>
      </c>
      <c r="B839" s="5" t="n">
        <v>1</v>
      </c>
      <c r="C839" s="6" t="n">
        <v>-0.4829241608380317</v>
      </c>
      <c r="D839" s="6" t="n">
        <v>-0.3231944260394882</v>
      </c>
      <c r="E839" s="6" t="n">
        <v>-0.9166956381570004</v>
      </c>
      <c r="F839" s="6" t="n">
        <v>-0.8850484360866833</v>
      </c>
      <c r="G839" s="5" t="n">
        <v>0</v>
      </c>
      <c r="H839" s="5" t="n">
        <v>0</v>
      </c>
      <c r="I839" s="5" t="n">
        <v>1</v>
      </c>
      <c r="J839" s="5" t="n">
        <v>0</v>
      </c>
      <c r="K839" s="5" t="n">
        <v>0</v>
      </c>
      <c r="L839" s="5" t="n">
        <v>0</v>
      </c>
      <c r="M839" s="5" t="n">
        <v>0</v>
      </c>
      <c r="N839" s="5" t="n">
        <v>0</v>
      </c>
      <c r="O839" s="5" t="n">
        <v>0</v>
      </c>
      <c r="P839" s="5" t="n">
        <v>0</v>
      </c>
      <c r="Q839" s="5" t="n">
        <v>0</v>
      </c>
      <c r="R839" s="5" t="n">
        <v>0</v>
      </c>
      <c r="S839" s="5" t="n">
        <v>1</v>
      </c>
      <c r="T839" s="5" t="n">
        <v>0</v>
      </c>
      <c r="U839" s="5" t="inlineStr">
        <is>
          <t>training</t>
        </is>
      </c>
      <c r="V839" s="5" t="n">
        <v>1</v>
      </c>
    </row>
    <row r="840">
      <c r="A840" s="5" t="n">
        <v>836</v>
      </c>
      <c r="B840" s="5" t="n">
        <v>1</v>
      </c>
      <c r="C840" s="6" t="n">
        <v>-0.7357010147163632</v>
      </c>
      <c r="D840" s="6" t="n">
        <v>-0.758810889552386</v>
      </c>
      <c r="E840" s="6" t="n">
        <v>1.083683837897175</v>
      </c>
      <c r="F840" s="6" t="n">
        <v>0.9185437189662378</v>
      </c>
      <c r="G840" s="5" t="n">
        <v>1</v>
      </c>
      <c r="H840" s="5" t="n">
        <v>0</v>
      </c>
      <c r="I840" s="5" t="n">
        <v>0</v>
      </c>
      <c r="J840" s="5" t="n">
        <v>0</v>
      </c>
      <c r="K840" s="5" t="n">
        <v>0</v>
      </c>
      <c r="L840" s="5" t="n">
        <v>1</v>
      </c>
      <c r="M840" s="5" t="n">
        <v>0</v>
      </c>
      <c r="N840" s="5" t="n">
        <v>0</v>
      </c>
      <c r="O840" s="5" t="n">
        <v>0</v>
      </c>
      <c r="P840" s="5" t="n">
        <v>0</v>
      </c>
      <c r="Q840" s="5" t="n">
        <v>0</v>
      </c>
      <c r="R840" s="5" t="n">
        <v>1</v>
      </c>
      <c r="S840" s="5" t="n">
        <v>0</v>
      </c>
      <c r="T840" s="5" t="n">
        <v>0</v>
      </c>
      <c r="U840" s="5" t="inlineStr">
        <is>
          <t>training</t>
        </is>
      </c>
      <c r="V840" s="5" t="n">
        <v>1</v>
      </c>
    </row>
    <row r="841">
      <c r="A841" s="5" t="n">
        <v>837</v>
      </c>
      <c r="B841" s="5" t="n">
        <v>0</v>
      </c>
      <c r="C841" s="6" t="n">
        <v>-0.7357010147163632</v>
      </c>
      <c r="D841" s="6" t="n">
        <v>-0.8273898669407619</v>
      </c>
      <c r="E841" s="6" t="n">
        <v>-1.264587720949031</v>
      </c>
      <c r="F841" s="6" t="n">
        <v>0.9185437189662378</v>
      </c>
      <c r="G841" s="5" t="n">
        <v>0</v>
      </c>
      <c r="H841" s="5" t="n">
        <v>0</v>
      </c>
      <c r="I841" s="5" t="n">
        <v>0</v>
      </c>
      <c r="J841" s="5" t="n">
        <v>0</v>
      </c>
      <c r="K841" s="5" t="n">
        <v>0</v>
      </c>
      <c r="L841" s="5" t="n">
        <v>0</v>
      </c>
      <c r="M841" s="5" t="n">
        <v>0</v>
      </c>
      <c r="N841" s="5" t="n">
        <v>0</v>
      </c>
      <c r="O841" s="5" t="n">
        <v>1</v>
      </c>
      <c r="P841" s="5" t="n">
        <v>0</v>
      </c>
      <c r="Q841" s="5" t="n">
        <v>0</v>
      </c>
      <c r="R841" s="5" t="n">
        <v>0</v>
      </c>
      <c r="S841" s="5" t="n">
        <v>1</v>
      </c>
      <c r="T841" s="5" t="n">
        <v>0</v>
      </c>
      <c r="U841" s="5" t="inlineStr">
        <is>
          <t>training</t>
        </is>
      </c>
      <c r="V841" s="5" t="n">
        <v>1</v>
      </c>
    </row>
    <row r="842">
      <c r="A842" s="5" t="n">
        <v>838</v>
      </c>
      <c r="B842" s="5" t="n">
        <v>0</v>
      </c>
      <c r="C842" s="6" t="n">
        <v>-1.409772625058581</v>
      </c>
      <c r="D842" s="6" t="n">
        <v>-0.9271092983473288</v>
      </c>
      <c r="E842" s="6" t="n">
        <v>-1.090641679553016</v>
      </c>
      <c r="F842" s="6" t="n">
        <v>-1.786844513613144</v>
      </c>
      <c r="G842" s="5" t="n">
        <v>0</v>
      </c>
      <c r="H842" s="5" t="n">
        <v>0</v>
      </c>
      <c r="I842" s="5" t="n">
        <v>0</v>
      </c>
      <c r="J842" s="5" t="n">
        <v>0</v>
      </c>
      <c r="K842" s="5" t="n">
        <v>0</v>
      </c>
      <c r="L842" s="5" t="n">
        <v>0</v>
      </c>
      <c r="M842" s="5" t="n">
        <v>0</v>
      </c>
      <c r="N842" s="5" t="n">
        <v>0</v>
      </c>
      <c r="O842" s="5" t="n">
        <v>0</v>
      </c>
      <c r="P842" s="5" t="n">
        <v>1</v>
      </c>
      <c r="Q842" s="5" t="n">
        <v>0</v>
      </c>
      <c r="R842" s="5" t="n">
        <v>0</v>
      </c>
      <c r="S842" s="5" t="n">
        <v>0</v>
      </c>
      <c r="T842" s="5" t="n">
        <v>1</v>
      </c>
      <c r="U842" s="5" t="inlineStr">
        <is>
          <t>training</t>
        </is>
      </c>
      <c r="V842" s="5" t="n">
        <v>0</v>
      </c>
    </row>
    <row r="843">
      <c r="A843" s="5" t="n">
        <v>839</v>
      </c>
      <c r="B843" s="5" t="n">
        <v>0</v>
      </c>
      <c r="C843" s="6" t="n">
        <v>0.275406400796963</v>
      </c>
      <c r="D843" s="6" t="n">
        <v>-0.1027619987197086</v>
      </c>
      <c r="E843" s="6" t="n">
        <v>2.38827914836729</v>
      </c>
      <c r="F843" s="6" t="n">
        <v>0.9185437189662378</v>
      </c>
      <c r="G843" s="5" t="n">
        <v>1</v>
      </c>
      <c r="H843" s="5" t="n">
        <v>0</v>
      </c>
      <c r="I843" s="5" t="n">
        <v>0</v>
      </c>
      <c r="J843" s="5" t="n">
        <v>1</v>
      </c>
      <c r="K843" s="5" t="n">
        <v>0</v>
      </c>
      <c r="L843" s="5" t="n">
        <v>0</v>
      </c>
      <c r="M843" s="5" t="n">
        <v>0</v>
      </c>
      <c r="N843" s="5" t="n">
        <v>0</v>
      </c>
      <c r="O843" s="5" t="n">
        <v>0</v>
      </c>
      <c r="P843" s="5" t="n">
        <v>0</v>
      </c>
      <c r="Q843" s="5" t="n">
        <v>0</v>
      </c>
      <c r="R843" s="5" t="n">
        <v>1</v>
      </c>
      <c r="S843" s="5" t="n">
        <v>0</v>
      </c>
      <c r="T843" s="5" t="n">
        <v>0</v>
      </c>
      <c r="U843" s="5" t="inlineStr">
        <is>
          <t>training</t>
        </is>
      </c>
      <c r="V843" s="5" t="n">
        <v>0</v>
      </c>
    </row>
    <row r="844">
      <c r="A844" s="5" t="n">
        <v>840</v>
      </c>
      <c r="B844" s="5" t="n">
        <v>0</v>
      </c>
      <c r="C844" s="6" t="n">
        <v>0.275406400796963</v>
      </c>
      <c r="D844" s="6" t="n">
        <v>-0.2238248873746987</v>
      </c>
      <c r="E844" s="6" t="n">
        <v>0.9097377965011599</v>
      </c>
      <c r="F844" s="6" t="n">
        <v>0.9185437189662378</v>
      </c>
      <c r="G844" s="5" t="n">
        <v>0</v>
      </c>
      <c r="H844" s="5" t="n">
        <v>0</v>
      </c>
      <c r="I844" s="5" t="n">
        <v>0</v>
      </c>
      <c r="J844" s="5" t="n">
        <v>1</v>
      </c>
      <c r="K844" s="5" t="n">
        <v>0</v>
      </c>
      <c r="L844" s="5" t="n">
        <v>0</v>
      </c>
      <c r="M844" s="5" t="n">
        <v>0</v>
      </c>
      <c r="N844" s="5" t="n">
        <v>0</v>
      </c>
      <c r="O844" s="5" t="n">
        <v>0</v>
      </c>
      <c r="P844" s="5" t="n">
        <v>0</v>
      </c>
      <c r="Q844" s="5" t="n">
        <v>0</v>
      </c>
      <c r="R844" s="5" t="n">
        <v>0</v>
      </c>
      <c r="S844" s="5" t="n">
        <v>1</v>
      </c>
      <c r="T844" s="5" t="n">
        <v>0</v>
      </c>
      <c r="U844" s="5" t="inlineStr">
        <is>
          <t>training</t>
        </is>
      </c>
      <c r="V844" s="5" t="n">
        <v>0</v>
      </c>
    </row>
    <row r="845">
      <c r="A845" s="5" t="n">
        <v>841</v>
      </c>
      <c r="B845" s="5" t="n">
        <v>1</v>
      </c>
      <c r="C845" s="6" t="n">
        <v>1.286513816310289</v>
      </c>
      <c r="D845" s="6" t="n">
        <v>0.6746996735097363</v>
      </c>
      <c r="E845" s="6" t="n">
        <v>-0.5688035553649698</v>
      </c>
      <c r="F845" s="6" t="n">
        <v>0.9185437189662378</v>
      </c>
      <c r="G845" s="5" t="n">
        <v>1</v>
      </c>
      <c r="H845" s="5" t="n">
        <v>0</v>
      </c>
      <c r="I845" s="5" t="n">
        <v>0</v>
      </c>
      <c r="J845" s="5" t="n">
        <v>0</v>
      </c>
      <c r="K845" s="5" t="n">
        <v>0</v>
      </c>
      <c r="L845" s="5" t="n">
        <v>0</v>
      </c>
      <c r="M845" s="5" t="n">
        <v>0</v>
      </c>
      <c r="N845" s="5" t="n">
        <v>0</v>
      </c>
      <c r="O845" s="5" t="n">
        <v>0</v>
      </c>
      <c r="P845" s="5" t="n">
        <v>0</v>
      </c>
      <c r="Q845" s="5" t="n">
        <v>0</v>
      </c>
      <c r="R845" s="5" t="n">
        <v>0</v>
      </c>
      <c r="S845" s="5" t="n">
        <v>0</v>
      </c>
      <c r="T845" s="5" t="n">
        <v>1</v>
      </c>
      <c r="U845" s="5" t="inlineStr">
        <is>
          <t>training</t>
        </is>
      </c>
      <c r="V845" s="5" t="n">
        <v>1</v>
      </c>
    </row>
    <row r="846">
      <c r="A846" s="5" t="n">
        <v>842</v>
      </c>
      <c r="B846" s="5" t="n">
        <v>0</v>
      </c>
      <c r="C846" s="6" t="n">
        <v>0.02262954691863145</v>
      </c>
      <c r="D846" s="6" t="n">
        <v>-0.0901658600157212</v>
      </c>
      <c r="E846" s="6" t="n">
        <v>-0.6557765760629775</v>
      </c>
      <c r="F846" s="6" t="n">
        <v>0.01674764143977723</v>
      </c>
      <c r="G846" s="5" t="n">
        <v>0</v>
      </c>
      <c r="H846" s="5" t="n">
        <v>0</v>
      </c>
      <c r="I846" s="5" t="n">
        <v>0</v>
      </c>
      <c r="J846" s="5" t="n">
        <v>0</v>
      </c>
      <c r="K846" s="5" t="n">
        <v>1</v>
      </c>
      <c r="L846" s="5" t="n">
        <v>0</v>
      </c>
      <c r="M846" s="5" t="n">
        <v>0</v>
      </c>
      <c r="N846" s="5" t="n">
        <v>0</v>
      </c>
      <c r="O846" s="5" t="n">
        <v>0</v>
      </c>
      <c r="P846" s="5" t="n">
        <v>0</v>
      </c>
      <c r="Q846" s="5" t="n">
        <v>0</v>
      </c>
      <c r="R846" s="5" t="n">
        <v>1</v>
      </c>
      <c r="S846" s="5" t="n">
        <v>0</v>
      </c>
      <c r="T846" s="5" t="n">
        <v>0</v>
      </c>
      <c r="U846" s="5" t="inlineStr">
        <is>
          <t>training</t>
        </is>
      </c>
      <c r="V846" s="5" t="n">
        <v>0</v>
      </c>
    </row>
    <row r="847">
      <c r="A847" s="5" t="n">
        <v>843</v>
      </c>
      <c r="B847" s="5" t="n">
        <v>1</v>
      </c>
      <c r="C847" s="6" t="n">
        <v>-0.2301473069597001</v>
      </c>
      <c r="D847" s="6" t="n">
        <v>-0.4575532388820205</v>
      </c>
      <c r="E847" s="6" t="n">
        <v>-1.090641679553016</v>
      </c>
      <c r="F847" s="6" t="n">
        <v>0.9185437189662378</v>
      </c>
      <c r="G847" s="5" t="n">
        <v>0</v>
      </c>
      <c r="H847" s="5" t="n">
        <v>0</v>
      </c>
      <c r="I847" s="5" t="n">
        <v>0</v>
      </c>
      <c r="J847" s="5" t="n">
        <v>0</v>
      </c>
      <c r="K847" s="5" t="n">
        <v>0</v>
      </c>
      <c r="L847" s="5" t="n">
        <v>0</v>
      </c>
      <c r="M847" s="5" t="n">
        <v>0</v>
      </c>
      <c r="N847" s="5" t="n">
        <v>0</v>
      </c>
      <c r="O847" s="5" t="n">
        <v>0</v>
      </c>
      <c r="P847" s="5" t="n">
        <v>0</v>
      </c>
      <c r="Q847" s="5" t="n">
        <v>0</v>
      </c>
      <c r="R847" s="5" t="n">
        <v>0</v>
      </c>
      <c r="S847" s="5" t="n">
        <v>0</v>
      </c>
      <c r="T847" s="5" t="n">
        <v>0</v>
      </c>
      <c r="U847" s="5" t="inlineStr">
        <is>
          <t>training</t>
        </is>
      </c>
      <c r="V847" s="5" t="n">
        <v>1</v>
      </c>
    </row>
    <row r="848">
      <c r="A848" s="5" t="n">
        <v>844</v>
      </c>
      <c r="B848" s="5" t="n">
        <v>0</v>
      </c>
      <c r="C848" s="6" t="n">
        <v>0.275406400796963</v>
      </c>
      <c r="D848" s="6" t="n">
        <v>-0.5919120517245529</v>
      </c>
      <c r="E848" s="6" t="n">
        <v>1.257629879293191</v>
      </c>
      <c r="F848" s="6" t="n">
        <v>0.9185437189662378</v>
      </c>
      <c r="G848" s="5" t="n">
        <v>0</v>
      </c>
      <c r="H848" s="5" t="n">
        <v>0</v>
      </c>
      <c r="I848" s="5" t="n">
        <v>0</v>
      </c>
      <c r="J848" s="5" t="n">
        <v>0</v>
      </c>
      <c r="K848" s="5" t="n">
        <v>0</v>
      </c>
      <c r="L848" s="5" t="n">
        <v>1</v>
      </c>
      <c r="M848" s="5" t="n">
        <v>0</v>
      </c>
      <c r="N848" s="5" t="n">
        <v>0</v>
      </c>
      <c r="O848" s="5" t="n">
        <v>0</v>
      </c>
      <c r="P848" s="5" t="n">
        <v>0</v>
      </c>
      <c r="Q848" s="5" t="n">
        <v>0</v>
      </c>
      <c r="R848" s="5" t="n">
        <v>0</v>
      </c>
      <c r="S848" s="5" t="n">
        <v>0</v>
      </c>
      <c r="T848" s="5" t="n">
        <v>0</v>
      </c>
      <c r="U848" s="5" t="inlineStr">
        <is>
          <t>testing</t>
        </is>
      </c>
      <c r="V848" s="5" t="n">
        <v>0</v>
      </c>
    </row>
    <row r="849">
      <c r="A849" s="5" t="n">
        <v>845</v>
      </c>
      <c r="B849" s="5" t="n">
        <v>0</v>
      </c>
      <c r="C849" s="6" t="n">
        <v>-0.2301473069597001</v>
      </c>
      <c r="D849" s="6" t="n">
        <v>0.05993812620679538</v>
      </c>
      <c r="E849" s="6" t="n">
        <v>0.9967108171991675</v>
      </c>
      <c r="F849" s="6" t="n">
        <v>0.9185437189662378</v>
      </c>
      <c r="G849" s="5" t="n">
        <v>0</v>
      </c>
      <c r="H849" s="5" t="n">
        <v>0</v>
      </c>
      <c r="I849" s="5" t="n">
        <v>0</v>
      </c>
      <c r="J849" s="5" t="n">
        <v>0</v>
      </c>
      <c r="K849" s="5" t="n">
        <v>0</v>
      </c>
      <c r="L849" s="5" t="n">
        <v>0</v>
      </c>
      <c r="M849" s="5" t="n">
        <v>0</v>
      </c>
      <c r="N849" s="5" t="n">
        <v>0</v>
      </c>
      <c r="O849" s="5" t="n">
        <v>0</v>
      </c>
      <c r="P849" s="5" t="n">
        <v>0</v>
      </c>
      <c r="Q849" s="5" t="n">
        <v>0</v>
      </c>
      <c r="R849" s="5" t="n">
        <v>0</v>
      </c>
      <c r="S849" s="5" t="n">
        <v>0</v>
      </c>
      <c r="T849" s="5" t="n">
        <v>1</v>
      </c>
      <c r="U849" s="5" t="inlineStr">
        <is>
          <t>training</t>
        </is>
      </c>
      <c r="V849" s="5" t="n">
        <v>1</v>
      </c>
    </row>
    <row r="850">
      <c r="A850" s="5" t="n">
        <v>846</v>
      </c>
      <c r="B850" s="5" t="n">
        <v>0</v>
      </c>
      <c r="C850" s="6" t="n">
        <v>0.02262954691863145</v>
      </c>
      <c r="D850" s="6" t="n">
        <v>0.2537787051514905</v>
      </c>
      <c r="E850" s="6" t="n">
        <v>-0.04696543117692405</v>
      </c>
      <c r="F850" s="6" t="n">
        <v>-0.8850484360866833</v>
      </c>
      <c r="G850" s="5" t="n">
        <v>0</v>
      </c>
      <c r="H850" s="5" t="n">
        <v>1</v>
      </c>
      <c r="I850" s="5" t="n">
        <v>0</v>
      </c>
      <c r="J850" s="5" t="n">
        <v>0</v>
      </c>
      <c r="K850" s="5" t="n">
        <v>0</v>
      </c>
      <c r="L850" s="5" t="n">
        <v>0</v>
      </c>
      <c r="M850" s="5" t="n">
        <v>0</v>
      </c>
      <c r="N850" s="5" t="n">
        <v>0</v>
      </c>
      <c r="O850" s="5" t="n">
        <v>1</v>
      </c>
      <c r="P850" s="5" t="n">
        <v>0</v>
      </c>
      <c r="Q850" s="5" t="n">
        <v>0</v>
      </c>
      <c r="R850" s="5" t="n">
        <v>0</v>
      </c>
      <c r="S850" s="5" t="n">
        <v>0</v>
      </c>
      <c r="T850" s="5" t="n">
        <v>1</v>
      </c>
      <c r="U850" s="5" t="inlineStr">
        <is>
          <t>training</t>
        </is>
      </c>
      <c r="V850" s="5" t="n">
        <v>1</v>
      </c>
    </row>
    <row r="851">
      <c r="A851" s="5" t="n">
        <v>847</v>
      </c>
      <c r="B851" s="5" t="n">
        <v>1</v>
      </c>
      <c r="C851" s="6" t="n">
        <v>-0.2301473069597001</v>
      </c>
      <c r="D851" s="6" t="n">
        <v>1.228229991001627</v>
      </c>
      <c r="E851" s="6" t="n">
        <v>2.823144251857328</v>
      </c>
      <c r="F851" s="6" t="n">
        <v>-0.8850484360866833</v>
      </c>
      <c r="G851" s="5" t="n">
        <v>0</v>
      </c>
      <c r="H851" s="5" t="n">
        <v>0</v>
      </c>
      <c r="I851" s="5" t="n">
        <v>0</v>
      </c>
      <c r="J851" s="5" t="n">
        <v>0</v>
      </c>
      <c r="K851" s="5" t="n">
        <v>0</v>
      </c>
      <c r="L851" s="5" t="n">
        <v>0</v>
      </c>
      <c r="M851" s="5" t="n">
        <v>0</v>
      </c>
      <c r="N851" s="5" t="n">
        <v>0</v>
      </c>
      <c r="O851" s="5" t="n">
        <v>1</v>
      </c>
      <c r="P851" s="5" t="n">
        <v>1</v>
      </c>
      <c r="Q851" s="5" t="n">
        <v>0</v>
      </c>
      <c r="R851" s="5" t="n">
        <v>1</v>
      </c>
      <c r="S851" s="5" t="n">
        <v>0</v>
      </c>
      <c r="T851" s="5" t="n">
        <v>0</v>
      </c>
      <c r="U851" s="5" t="inlineStr">
        <is>
          <t>training</t>
        </is>
      </c>
      <c r="V851" s="5" t="n">
        <v>1</v>
      </c>
    </row>
    <row r="852">
      <c r="A852" s="5" t="n">
        <v>848</v>
      </c>
      <c r="B852" s="5" t="n">
        <v>0</v>
      </c>
      <c r="C852" s="6" t="n">
        <v>0.275406400796963</v>
      </c>
      <c r="D852" s="6" t="n">
        <v>-0.7003788016755556</v>
      </c>
      <c r="E852" s="6" t="n">
        <v>-0.6557765760629775</v>
      </c>
      <c r="F852" s="6" t="n">
        <v>0.9185437189662378</v>
      </c>
      <c r="G852" s="5" t="n">
        <v>0</v>
      </c>
      <c r="H852" s="5" t="n">
        <v>0</v>
      </c>
      <c r="I852" s="5" t="n">
        <v>0</v>
      </c>
      <c r="J852" s="5" t="n">
        <v>0</v>
      </c>
      <c r="K852" s="5" t="n">
        <v>0</v>
      </c>
      <c r="L852" s="5" t="n">
        <v>0</v>
      </c>
      <c r="M852" s="5" t="n">
        <v>0</v>
      </c>
      <c r="N852" s="5" t="n">
        <v>0</v>
      </c>
      <c r="O852" s="5" t="n">
        <v>0</v>
      </c>
      <c r="P852" s="5" t="n">
        <v>0</v>
      </c>
      <c r="Q852" s="5" t="n">
        <v>0</v>
      </c>
      <c r="R852" s="5" t="n">
        <v>1</v>
      </c>
      <c r="S852" s="5" t="n">
        <v>0</v>
      </c>
      <c r="T852" s="5" t="n">
        <v>0</v>
      </c>
      <c r="U852" s="5" t="inlineStr">
        <is>
          <t>training</t>
        </is>
      </c>
      <c r="V852" s="5" t="n">
        <v>0</v>
      </c>
    </row>
    <row r="853">
      <c r="A853" s="5" t="n">
        <v>849</v>
      </c>
      <c r="B853" s="5" t="n">
        <v>0</v>
      </c>
      <c r="C853" s="6" t="n">
        <v>-0.9884778685946948</v>
      </c>
      <c r="D853" s="6" t="n">
        <v>-0.6601411363711513</v>
      </c>
      <c r="E853" s="6" t="n">
        <v>2.040387065575259</v>
      </c>
      <c r="F853" s="6" t="n">
        <v>0.01674764143977723</v>
      </c>
      <c r="G853" s="5" t="n">
        <v>1</v>
      </c>
      <c r="H853" s="5" t="n">
        <v>0</v>
      </c>
      <c r="I853" s="5" t="n">
        <v>0</v>
      </c>
      <c r="J853" s="5" t="n">
        <v>0</v>
      </c>
      <c r="K853" s="5" t="n">
        <v>0</v>
      </c>
      <c r="L853" s="5" t="n">
        <v>0</v>
      </c>
      <c r="M853" s="5" t="n">
        <v>0</v>
      </c>
      <c r="N853" s="5" t="n">
        <v>0</v>
      </c>
      <c r="O853" s="5" t="n">
        <v>0</v>
      </c>
      <c r="P853" s="5" t="n">
        <v>0</v>
      </c>
      <c r="Q853" s="5" t="n">
        <v>0</v>
      </c>
      <c r="R853" s="5" t="n">
        <v>0</v>
      </c>
      <c r="S853" s="5" t="n">
        <v>1</v>
      </c>
      <c r="T853" s="5" t="n">
        <v>0</v>
      </c>
      <c r="U853" s="5" t="inlineStr">
        <is>
          <t>training</t>
        </is>
      </c>
      <c r="V853" s="5" t="n">
        <v>1</v>
      </c>
    </row>
    <row r="854">
      <c r="A854" s="5" t="n">
        <v>850</v>
      </c>
      <c r="B854" s="5" t="n">
        <v>1</v>
      </c>
      <c r="C854" s="6" t="n">
        <v>-0.7357010147163632</v>
      </c>
      <c r="D854" s="6" t="n">
        <v>-0.8893208822353666</v>
      </c>
      <c r="E854" s="6" t="n">
        <v>1.866441024179244</v>
      </c>
      <c r="F854" s="6" t="n">
        <v>0.9185437189662378</v>
      </c>
      <c r="G854" s="5" t="n">
        <v>1</v>
      </c>
      <c r="H854" s="5" t="n">
        <v>0</v>
      </c>
      <c r="I854" s="5" t="n">
        <v>0</v>
      </c>
      <c r="J854" s="5" t="n">
        <v>0</v>
      </c>
      <c r="K854" s="5" t="n">
        <v>0</v>
      </c>
      <c r="L854" s="5" t="n">
        <v>0</v>
      </c>
      <c r="M854" s="5" t="n">
        <v>0</v>
      </c>
      <c r="N854" s="5" t="n">
        <v>0</v>
      </c>
      <c r="O854" s="5" t="n">
        <v>0</v>
      </c>
      <c r="P854" s="5" t="n">
        <v>0</v>
      </c>
      <c r="Q854" s="5" t="n">
        <v>0</v>
      </c>
      <c r="R854" s="5" t="n">
        <v>0</v>
      </c>
      <c r="S854" s="5" t="n">
        <v>1</v>
      </c>
      <c r="T854" s="5" t="n">
        <v>0</v>
      </c>
      <c r="U854" s="5" t="inlineStr">
        <is>
          <t>training</t>
        </is>
      </c>
      <c r="V854" s="5" t="n">
        <v>1</v>
      </c>
    </row>
    <row r="855">
      <c r="A855" s="5" t="n">
        <v>851</v>
      </c>
      <c r="B855" s="5" t="n">
        <v>1</v>
      </c>
      <c r="C855" s="6" t="n">
        <v>-0.06162940437414574</v>
      </c>
      <c r="D855" s="6" t="n">
        <v>-0.3553845582830116</v>
      </c>
      <c r="E855" s="6" t="n">
        <v>-0.2209114725729393</v>
      </c>
      <c r="F855" s="6" t="n">
        <v>0.9185437189662378</v>
      </c>
      <c r="G855" s="5" t="n">
        <v>1</v>
      </c>
      <c r="H855" s="5" t="n">
        <v>0</v>
      </c>
      <c r="I855" s="5" t="n">
        <v>0</v>
      </c>
      <c r="J855" s="5" t="n">
        <v>1</v>
      </c>
      <c r="K855" s="5" t="n">
        <v>0</v>
      </c>
      <c r="L855" s="5" t="n">
        <v>0</v>
      </c>
      <c r="M855" s="5" t="n">
        <v>0</v>
      </c>
      <c r="N855" s="5" t="n">
        <v>0</v>
      </c>
      <c r="O855" s="5" t="n">
        <v>0</v>
      </c>
      <c r="P855" s="5" t="n">
        <v>1</v>
      </c>
      <c r="Q855" s="5" t="n">
        <v>0</v>
      </c>
      <c r="R855" s="5" t="n">
        <v>1</v>
      </c>
      <c r="S855" s="5" t="n">
        <v>0</v>
      </c>
      <c r="T855" s="5" t="n">
        <v>0</v>
      </c>
      <c r="U855" s="5" t="inlineStr">
        <is>
          <t>training</t>
        </is>
      </c>
      <c r="V855" s="5" t="n">
        <v>1</v>
      </c>
    </row>
    <row r="856">
      <c r="A856" s="5" t="n">
        <v>852</v>
      </c>
      <c r="B856" s="5" t="n">
        <v>0</v>
      </c>
      <c r="C856" s="6" t="n">
        <v>0.275406400796963</v>
      </c>
      <c r="D856" s="6" t="n">
        <v>0.2768716261088007</v>
      </c>
      <c r="E856" s="6" t="n">
        <v>0.648818734407137</v>
      </c>
      <c r="F856" s="6" t="n">
        <v>0.01674764143977723</v>
      </c>
      <c r="G856" s="5" t="n">
        <v>0</v>
      </c>
      <c r="H856" s="5" t="n">
        <v>0</v>
      </c>
      <c r="I856" s="5" t="n">
        <v>0</v>
      </c>
      <c r="J856" s="5" t="n">
        <v>1</v>
      </c>
      <c r="K856" s="5" t="n">
        <v>0</v>
      </c>
      <c r="L856" s="5" t="n">
        <v>0</v>
      </c>
      <c r="M856" s="5" t="n">
        <v>0</v>
      </c>
      <c r="N856" s="5" t="n">
        <v>0</v>
      </c>
      <c r="O856" s="5" t="n">
        <v>1</v>
      </c>
      <c r="P856" s="5" t="n">
        <v>0</v>
      </c>
      <c r="Q856" s="5" t="n">
        <v>0</v>
      </c>
      <c r="R856" s="5" t="n">
        <v>1</v>
      </c>
      <c r="S856" s="5" t="n">
        <v>0</v>
      </c>
      <c r="T856" s="5" t="n">
        <v>0</v>
      </c>
      <c r="U856" s="5" t="inlineStr">
        <is>
          <t>training</t>
        </is>
      </c>
      <c r="V856" s="5" t="n">
        <v>0</v>
      </c>
    </row>
    <row r="857">
      <c r="A857" s="5" t="n">
        <v>853</v>
      </c>
      <c r="B857" s="5" t="n">
        <v>0</v>
      </c>
      <c r="C857" s="6" t="n">
        <v>-0.4829241608380317</v>
      </c>
      <c r="D857" s="6" t="n">
        <v>-0.6227026130009665</v>
      </c>
      <c r="E857" s="6" t="n">
        <v>-0.04696543117692405</v>
      </c>
      <c r="F857" s="6" t="n">
        <v>0.9185437189662378</v>
      </c>
      <c r="G857" s="5" t="n">
        <v>0</v>
      </c>
      <c r="H857" s="5" t="n">
        <v>0</v>
      </c>
      <c r="I857" s="5" t="n">
        <v>0</v>
      </c>
      <c r="J857" s="5" t="n">
        <v>1</v>
      </c>
      <c r="K857" s="5" t="n">
        <v>0</v>
      </c>
      <c r="L857" s="5" t="n">
        <v>0</v>
      </c>
      <c r="M857" s="5" t="n">
        <v>0</v>
      </c>
      <c r="N857" s="5" t="n">
        <v>0</v>
      </c>
      <c r="O857" s="5" t="n">
        <v>0</v>
      </c>
      <c r="P857" s="5" t="n">
        <v>0</v>
      </c>
      <c r="Q857" s="5" t="n">
        <v>1</v>
      </c>
      <c r="R857" s="5" t="n">
        <v>0</v>
      </c>
      <c r="S857" s="5" t="n">
        <v>1</v>
      </c>
      <c r="T857" s="5" t="n">
        <v>0</v>
      </c>
      <c r="U857" s="5" t="inlineStr">
        <is>
          <t>testing</t>
        </is>
      </c>
      <c r="V857" s="5" t="n">
        <v>0</v>
      </c>
    </row>
    <row r="858">
      <c r="A858" s="5" t="n">
        <v>854</v>
      </c>
      <c r="B858" s="5" t="n">
        <v>1</v>
      </c>
      <c r="C858" s="6" t="n">
        <v>-0.2301473069597001</v>
      </c>
      <c r="D858" s="6" t="n">
        <v>-0.6328495025125119</v>
      </c>
      <c r="E858" s="6" t="n">
        <v>-0.307884493270947</v>
      </c>
      <c r="F858" s="6" t="n">
        <v>0.9185437189662378</v>
      </c>
      <c r="G858" s="5" t="n">
        <v>1</v>
      </c>
      <c r="H858" s="5" t="n">
        <v>0</v>
      </c>
      <c r="I858" s="5" t="n">
        <v>0</v>
      </c>
      <c r="J858" s="5" t="n">
        <v>0</v>
      </c>
      <c r="K858" s="5" t="n">
        <v>0</v>
      </c>
      <c r="L858" s="5" t="n">
        <v>1</v>
      </c>
      <c r="M858" s="5" t="n">
        <v>0</v>
      </c>
      <c r="N858" s="5" t="n">
        <v>0</v>
      </c>
      <c r="O858" s="5" t="n">
        <v>0</v>
      </c>
      <c r="P858" s="5" t="n">
        <v>0</v>
      </c>
      <c r="Q858" s="5" t="n">
        <v>1</v>
      </c>
      <c r="R858" s="5" t="n">
        <v>1</v>
      </c>
      <c r="S858" s="5" t="n">
        <v>0</v>
      </c>
      <c r="T858" s="5" t="n">
        <v>0</v>
      </c>
      <c r="U858" s="5" t="inlineStr">
        <is>
          <t>training</t>
        </is>
      </c>
      <c r="V858" s="5" t="n">
        <v>1</v>
      </c>
    </row>
    <row r="859">
      <c r="A859" s="5" t="n">
        <v>855</v>
      </c>
      <c r="B859" s="5" t="n">
        <v>0</v>
      </c>
      <c r="C859" s="6" t="n">
        <v>1.286513816310289</v>
      </c>
      <c r="D859" s="6" t="n">
        <v>2.667688730673966</v>
      </c>
      <c r="E859" s="6" t="n">
        <v>0.8227647758031523</v>
      </c>
      <c r="F859" s="6" t="n">
        <v>-0.8850484360866833</v>
      </c>
      <c r="G859" s="5" t="n">
        <v>0</v>
      </c>
      <c r="H859" s="5" t="n">
        <v>0</v>
      </c>
      <c r="I859" s="5" t="n">
        <v>0</v>
      </c>
      <c r="J859" s="5" t="n">
        <v>0</v>
      </c>
      <c r="K859" s="5" t="n">
        <v>1</v>
      </c>
      <c r="L859" s="5" t="n">
        <v>0</v>
      </c>
      <c r="M859" s="5" t="n">
        <v>0</v>
      </c>
      <c r="N859" s="5" t="n">
        <v>0</v>
      </c>
      <c r="O859" s="5" t="n">
        <v>0</v>
      </c>
      <c r="P859" s="5" t="n">
        <v>0</v>
      </c>
      <c r="Q859" s="5" t="n">
        <v>0</v>
      </c>
      <c r="R859" s="5" t="n">
        <v>1</v>
      </c>
      <c r="S859" s="5" t="n">
        <v>0</v>
      </c>
      <c r="T859" s="5" t="n">
        <v>0</v>
      </c>
      <c r="U859" s="5" t="inlineStr">
        <is>
          <t>training</t>
        </is>
      </c>
      <c r="V859" s="5" t="n">
        <v>0</v>
      </c>
    </row>
    <row r="860">
      <c r="A860" s="5" t="n">
        <v>856</v>
      </c>
      <c r="B860" s="5" t="n">
        <v>0</v>
      </c>
      <c r="C860" s="6" t="n">
        <v>0.275406400796963</v>
      </c>
      <c r="D860" s="6" t="n">
        <v>-0.6216529347756342</v>
      </c>
      <c r="E860" s="6" t="n">
        <v>-0.2209114725729393</v>
      </c>
      <c r="F860" s="6" t="n">
        <v>0.9185437189662378</v>
      </c>
      <c r="G860" s="5" t="n">
        <v>0</v>
      </c>
      <c r="H860" s="5" t="n">
        <v>0</v>
      </c>
      <c r="I860" s="5" t="n">
        <v>0</v>
      </c>
      <c r="J860" s="5" t="n">
        <v>0</v>
      </c>
      <c r="K860" s="5" t="n">
        <v>0</v>
      </c>
      <c r="L860" s="5" t="n">
        <v>0</v>
      </c>
      <c r="M860" s="5" t="n">
        <v>1</v>
      </c>
      <c r="N860" s="5" t="n">
        <v>0</v>
      </c>
      <c r="O860" s="5" t="n">
        <v>0</v>
      </c>
      <c r="P860" s="5" t="n">
        <v>0</v>
      </c>
      <c r="Q860" s="5" t="n">
        <v>0</v>
      </c>
      <c r="R860" s="5" t="n">
        <v>1</v>
      </c>
      <c r="S860" s="5" t="n">
        <v>0</v>
      </c>
      <c r="T860" s="5" t="n">
        <v>0</v>
      </c>
      <c r="U860" s="5" t="inlineStr">
        <is>
          <t>testing</t>
        </is>
      </c>
      <c r="V860" s="5" t="n">
        <v>0</v>
      </c>
    </row>
    <row r="861">
      <c r="A861" s="5" t="n">
        <v>857</v>
      </c>
      <c r="B861" s="5" t="n">
        <v>0</v>
      </c>
      <c r="C861" s="6" t="n">
        <v>-0.9042189173019176</v>
      </c>
      <c r="D861" s="6" t="n">
        <v>-0.8245907250065425</v>
      </c>
      <c r="E861" s="6" t="n">
        <v>0.3878996723131141</v>
      </c>
      <c r="F861" s="6" t="n">
        <v>0.9185437189662378</v>
      </c>
      <c r="G861" s="5" t="n">
        <v>0</v>
      </c>
      <c r="H861" s="5" t="n">
        <v>0</v>
      </c>
      <c r="I861" s="5" t="n">
        <v>0</v>
      </c>
      <c r="J861" s="5" t="n">
        <v>0</v>
      </c>
      <c r="K861" s="5" t="n">
        <v>0</v>
      </c>
      <c r="L861" s="5" t="n">
        <v>0</v>
      </c>
      <c r="M861" s="5" t="n">
        <v>0</v>
      </c>
      <c r="N861" s="5" t="n">
        <v>0</v>
      </c>
      <c r="O861" s="5" t="n">
        <v>1</v>
      </c>
      <c r="P861" s="5" t="n">
        <v>0</v>
      </c>
      <c r="Q861" s="5" t="n">
        <v>0</v>
      </c>
      <c r="R861" s="5" t="n">
        <v>0</v>
      </c>
      <c r="S861" s="5" t="n">
        <v>0</v>
      </c>
      <c r="T861" s="5" t="n">
        <v>0</v>
      </c>
      <c r="U861" s="5" t="inlineStr">
        <is>
          <t>training</t>
        </is>
      </c>
      <c r="V861" s="5" t="n">
        <v>0</v>
      </c>
    </row>
    <row r="862">
      <c r="A862" s="5" t="n">
        <v>858</v>
      </c>
      <c r="B862" s="5" t="n">
        <v>0</v>
      </c>
      <c r="C862" s="6" t="n">
        <v>-0.4829241608380317</v>
      </c>
      <c r="D862" s="6" t="n">
        <v>0.03229659960637857</v>
      </c>
      <c r="E862" s="6" t="n">
        <v>-0.6557765760629775</v>
      </c>
      <c r="F862" s="6" t="n">
        <v>0.9185437189662378</v>
      </c>
      <c r="G862" s="5" t="n">
        <v>0</v>
      </c>
      <c r="H862" s="5" t="n">
        <v>0</v>
      </c>
      <c r="I862" s="5" t="n">
        <v>0</v>
      </c>
      <c r="J862" s="5" t="n">
        <v>1</v>
      </c>
      <c r="K862" s="5" t="n">
        <v>0</v>
      </c>
      <c r="L862" s="5" t="n">
        <v>0</v>
      </c>
      <c r="M862" s="5" t="n">
        <v>0</v>
      </c>
      <c r="N862" s="5" t="n">
        <v>0</v>
      </c>
      <c r="O862" s="5" t="n">
        <v>0</v>
      </c>
      <c r="P862" s="5" t="n">
        <v>0</v>
      </c>
      <c r="Q862" s="5" t="n">
        <v>1</v>
      </c>
      <c r="R862" s="5" t="n">
        <v>0</v>
      </c>
      <c r="S862" s="5" t="n">
        <v>0</v>
      </c>
      <c r="T862" s="5" t="n">
        <v>1</v>
      </c>
      <c r="U862" s="5" t="inlineStr">
        <is>
          <t>training</t>
        </is>
      </c>
      <c r="V862" s="5" t="n">
        <v>1</v>
      </c>
    </row>
    <row r="863">
      <c r="A863" s="5" t="n">
        <v>859</v>
      </c>
      <c r="B863" s="5" t="n">
        <v>1</v>
      </c>
      <c r="C863" s="6" t="n">
        <v>-0.4829241608380317</v>
      </c>
      <c r="D863" s="6" t="n">
        <v>0.2478305285412742</v>
      </c>
      <c r="E863" s="6" t="n">
        <v>-0.5688035553649698</v>
      </c>
      <c r="F863" s="6" t="n">
        <v>0.01674764143977723</v>
      </c>
      <c r="G863" s="5" t="n">
        <v>1</v>
      </c>
      <c r="H863" s="5" t="n">
        <v>0</v>
      </c>
      <c r="I863" s="5" t="n">
        <v>0</v>
      </c>
      <c r="J863" s="5" t="n">
        <v>0</v>
      </c>
      <c r="K863" s="5" t="n">
        <v>0</v>
      </c>
      <c r="L863" s="5" t="n">
        <v>0</v>
      </c>
      <c r="M863" s="5" t="n">
        <v>0</v>
      </c>
      <c r="N863" s="5" t="n">
        <v>0</v>
      </c>
      <c r="O863" s="5" t="n">
        <v>0</v>
      </c>
      <c r="P863" s="5" t="n">
        <v>0</v>
      </c>
      <c r="Q863" s="5" t="n">
        <v>0</v>
      </c>
      <c r="R863" s="5" t="n">
        <v>1</v>
      </c>
      <c r="S863" s="5" t="n">
        <v>0</v>
      </c>
      <c r="T863" s="5" t="n">
        <v>0</v>
      </c>
      <c r="U863" s="5" t="inlineStr">
        <is>
          <t>training</t>
        </is>
      </c>
      <c r="V863" s="5" t="n">
        <v>1</v>
      </c>
    </row>
    <row r="864">
      <c r="A864" s="5" t="n">
        <v>860</v>
      </c>
      <c r="B864" s="5" t="n">
        <v>0</v>
      </c>
      <c r="C864" s="6" t="n">
        <v>-0.9884778685946948</v>
      </c>
      <c r="D864" s="6" t="n">
        <v>0.1141715011822967</v>
      </c>
      <c r="E864" s="6" t="n">
        <v>-0.8297226174589928</v>
      </c>
      <c r="F864" s="6" t="n">
        <v>-1.786844513613144</v>
      </c>
      <c r="G864" s="5" t="n">
        <v>0</v>
      </c>
      <c r="H864" s="5" t="n">
        <v>0</v>
      </c>
      <c r="I864" s="5" t="n">
        <v>0</v>
      </c>
      <c r="J864" s="5" t="n">
        <v>0</v>
      </c>
      <c r="K864" s="5" t="n">
        <v>0</v>
      </c>
      <c r="L864" s="5" t="n">
        <v>0</v>
      </c>
      <c r="M864" s="5" t="n">
        <v>1</v>
      </c>
      <c r="N864" s="5" t="n">
        <v>0</v>
      </c>
      <c r="O864" s="5" t="n">
        <v>0</v>
      </c>
      <c r="P864" s="5" t="n">
        <v>1</v>
      </c>
      <c r="Q864" s="5" t="n">
        <v>0</v>
      </c>
      <c r="R864" s="5" t="n">
        <v>1</v>
      </c>
      <c r="S864" s="5" t="n">
        <v>0</v>
      </c>
      <c r="T864" s="5" t="n">
        <v>0</v>
      </c>
      <c r="U864" s="5" t="inlineStr">
        <is>
          <t>testing</t>
        </is>
      </c>
      <c r="V864" s="5" t="n">
        <v>0</v>
      </c>
    </row>
    <row r="865">
      <c r="A865" s="5" t="n">
        <v>861</v>
      </c>
      <c r="B865" s="5" t="n">
        <v>0</v>
      </c>
      <c r="C865" s="6" t="n">
        <v>0.275406400796963</v>
      </c>
      <c r="D865" s="6" t="n">
        <v>0.8933826371206287</v>
      </c>
      <c r="E865" s="6" t="n">
        <v>-0.7427495967609852</v>
      </c>
      <c r="F865" s="6" t="n">
        <v>0.9185437189662378</v>
      </c>
      <c r="G865" s="5" t="n">
        <v>0</v>
      </c>
      <c r="H865" s="5" t="n">
        <v>0</v>
      </c>
      <c r="I865" s="5" t="n">
        <v>0</v>
      </c>
      <c r="J865" s="5" t="n">
        <v>1</v>
      </c>
      <c r="K865" s="5" t="n">
        <v>0</v>
      </c>
      <c r="L865" s="5" t="n">
        <v>0</v>
      </c>
      <c r="M865" s="5" t="n">
        <v>0</v>
      </c>
      <c r="N865" s="5" t="n">
        <v>1</v>
      </c>
      <c r="O865" s="5" t="n">
        <v>0</v>
      </c>
      <c r="P865" s="5" t="n">
        <v>0</v>
      </c>
      <c r="Q865" s="5" t="n">
        <v>0</v>
      </c>
      <c r="R865" s="5" t="n">
        <v>1</v>
      </c>
      <c r="S865" s="5" t="n">
        <v>0</v>
      </c>
      <c r="T865" s="5" t="n">
        <v>0</v>
      </c>
      <c r="U865" s="5" t="inlineStr">
        <is>
          <t>training</t>
        </is>
      </c>
      <c r="V865" s="5" t="n">
        <v>1</v>
      </c>
    </row>
    <row r="866">
      <c r="A866" s="5" t="n">
        <v>862</v>
      </c>
      <c r="B866" s="5" t="n">
        <v>1</v>
      </c>
      <c r="C866" s="6" t="n">
        <v>-0.2301473069597001</v>
      </c>
      <c r="D866" s="6" t="n">
        <v>-0.3784774792403218</v>
      </c>
      <c r="E866" s="6" t="n">
        <v>-0.6557765760629775</v>
      </c>
      <c r="F866" s="6" t="n">
        <v>0.9185437189662378</v>
      </c>
      <c r="G866" s="5" t="n">
        <v>0</v>
      </c>
      <c r="H866" s="5" t="n">
        <v>0</v>
      </c>
      <c r="I866" s="5" t="n">
        <v>0</v>
      </c>
      <c r="J866" s="5" t="n">
        <v>0</v>
      </c>
      <c r="K866" s="5" t="n">
        <v>1</v>
      </c>
      <c r="L866" s="5" t="n">
        <v>0</v>
      </c>
      <c r="M866" s="5" t="n">
        <v>0</v>
      </c>
      <c r="N866" s="5" t="n">
        <v>0</v>
      </c>
      <c r="O866" s="5" t="n">
        <v>0</v>
      </c>
      <c r="P866" s="5" t="n">
        <v>0</v>
      </c>
      <c r="Q866" s="5" t="n">
        <v>0</v>
      </c>
      <c r="R866" s="5" t="n">
        <v>0</v>
      </c>
      <c r="S866" s="5" t="n">
        <v>0</v>
      </c>
      <c r="T866" s="5" t="n">
        <v>0</v>
      </c>
      <c r="U866" s="5" t="inlineStr">
        <is>
          <t>training</t>
        </is>
      </c>
      <c r="V866" s="5" t="n">
        <v>1</v>
      </c>
    </row>
    <row r="867">
      <c r="A867" s="5" t="n">
        <v>863</v>
      </c>
      <c r="B867" s="5" t="n">
        <v>1</v>
      </c>
      <c r="C867" s="6" t="n">
        <v>0.275406400796963</v>
      </c>
      <c r="D867" s="6" t="n">
        <v>-0.2840064389604163</v>
      </c>
      <c r="E867" s="6" t="n">
        <v>-0.04696543117692405</v>
      </c>
      <c r="F867" s="6" t="n">
        <v>0.9185437189662378</v>
      </c>
      <c r="G867" s="5" t="n">
        <v>1</v>
      </c>
      <c r="H867" s="5" t="n">
        <v>0</v>
      </c>
      <c r="I867" s="5" t="n">
        <v>0</v>
      </c>
      <c r="J867" s="5" t="n">
        <v>0</v>
      </c>
      <c r="K867" s="5" t="n">
        <v>0</v>
      </c>
      <c r="L867" s="5" t="n">
        <v>0</v>
      </c>
      <c r="M867" s="5" t="n">
        <v>0</v>
      </c>
      <c r="N867" s="5" t="n">
        <v>0</v>
      </c>
      <c r="O867" s="5" t="n">
        <v>0</v>
      </c>
      <c r="P867" s="5" t="n">
        <v>0</v>
      </c>
      <c r="Q867" s="5" t="n">
        <v>0</v>
      </c>
      <c r="R867" s="5" t="n">
        <v>0</v>
      </c>
      <c r="S867" s="5" t="n">
        <v>1</v>
      </c>
      <c r="T867" s="5" t="n">
        <v>0</v>
      </c>
      <c r="U867" s="5" t="inlineStr">
        <is>
          <t>training</t>
        </is>
      </c>
      <c r="V867" s="5" t="n">
        <v>1</v>
      </c>
    </row>
    <row r="868">
      <c r="A868" s="5" t="n">
        <v>864</v>
      </c>
      <c r="B868" s="5" t="n">
        <v>0</v>
      </c>
      <c r="C868" s="6" t="n">
        <v>0.5281832546752946</v>
      </c>
      <c r="D868" s="6" t="n">
        <v>0.4462197131290758</v>
      </c>
      <c r="E868" s="6" t="n">
        <v>-0.307884493270947</v>
      </c>
      <c r="F868" s="6" t="n">
        <v>0.9185437189662378</v>
      </c>
      <c r="G868" s="5" t="n">
        <v>0</v>
      </c>
      <c r="H868" s="5" t="n">
        <v>0</v>
      </c>
      <c r="I868" s="5" t="n">
        <v>0</v>
      </c>
      <c r="J868" s="5" t="n">
        <v>1</v>
      </c>
      <c r="K868" s="5" t="n">
        <v>0</v>
      </c>
      <c r="L868" s="5" t="n">
        <v>0</v>
      </c>
      <c r="M868" s="5" t="n">
        <v>0</v>
      </c>
      <c r="N868" s="5" t="n">
        <v>1</v>
      </c>
      <c r="O868" s="5" t="n">
        <v>0</v>
      </c>
      <c r="P868" s="5" t="n">
        <v>0</v>
      </c>
      <c r="Q868" s="5" t="n">
        <v>0</v>
      </c>
      <c r="R868" s="5" t="n">
        <v>0</v>
      </c>
      <c r="S868" s="5" t="n">
        <v>0</v>
      </c>
      <c r="T868" s="5" t="n">
        <v>1</v>
      </c>
      <c r="U868" s="5" t="inlineStr">
        <is>
          <t>testing</t>
        </is>
      </c>
      <c r="V868" s="5" t="n">
        <v>0</v>
      </c>
    </row>
    <row r="869">
      <c r="A869" s="5" t="n">
        <v>865</v>
      </c>
      <c r="B869" s="5" t="n">
        <v>1</v>
      </c>
      <c r="C869" s="6" t="n">
        <v>-0.9042189173019176</v>
      </c>
      <c r="D869" s="6" t="n">
        <v>-0.3641318768274473</v>
      </c>
      <c r="E869" s="6" t="n">
        <v>-0.9166956381570004</v>
      </c>
      <c r="F869" s="6" t="n">
        <v>-0.8850484360866833</v>
      </c>
      <c r="G869" s="5" t="n">
        <v>0</v>
      </c>
      <c r="H869" s="5" t="n">
        <v>0</v>
      </c>
      <c r="I869" s="5" t="n">
        <v>0</v>
      </c>
      <c r="J869" s="5" t="n">
        <v>0</v>
      </c>
      <c r="K869" s="5" t="n">
        <v>0</v>
      </c>
      <c r="L869" s="5" t="n">
        <v>0</v>
      </c>
      <c r="M869" s="5" t="n">
        <v>0</v>
      </c>
      <c r="N869" s="5" t="n">
        <v>0</v>
      </c>
      <c r="O869" s="5" t="n">
        <v>0</v>
      </c>
      <c r="P869" s="5" t="n">
        <v>1</v>
      </c>
      <c r="Q869" s="5" t="n">
        <v>0</v>
      </c>
      <c r="R869" s="5" t="n">
        <v>0</v>
      </c>
      <c r="S869" s="5" t="n">
        <v>0</v>
      </c>
      <c r="T869" s="5" t="n">
        <v>1</v>
      </c>
      <c r="U869" s="5" t="inlineStr">
        <is>
          <t>training</t>
        </is>
      </c>
      <c r="V869" s="5" t="n">
        <v>1</v>
      </c>
    </row>
    <row r="870">
      <c r="A870" s="5" t="n">
        <v>866</v>
      </c>
      <c r="B870" s="5" t="n">
        <v>0</v>
      </c>
      <c r="C870" s="6" t="n">
        <v>-0.4829241608380317</v>
      </c>
      <c r="D870" s="6" t="n">
        <v>-0.3602830566678956</v>
      </c>
      <c r="E870" s="6" t="n">
        <v>-1.351560741647039</v>
      </c>
      <c r="F870" s="6" t="n">
        <v>-0.8850484360866833</v>
      </c>
      <c r="G870" s="5" t="n">
        <v>0</v>
      </c>
      <c r="H870" s="5" t="n">
        <v>0</v>
      </c>
      <c r="I870" s="5" t="n">
        <v>0</v>
      </c>
      <c r="J870" s="5" t="n">
        <v>0</v>
      </c>
      <c r="K870" s="5" t="n">
        <v>0</v>
      </c>
      <c r="L870" s="5" t="n">
        <v>0</v>
      </c>
      <c r="M870" s="5" t="n">
        <v>1</v>
      </c>
      <c r="N870" s="5" t="n">
        <v>0</v>
      </c>
      <c r="O870" s="5" t="n">
        <v>0</v>
      </c>
      <c r="P870" s="5" t="n">
        <v>1</v>
      </c>
      <c r="Q870" s="5" t="n">
        <v>0</v>
      </c>
      <c r="R870" s="5" t="n">
        <v>0</v>
      </c>
      <c r="S870" s="5" t="n">
        <v>0</v>
      </c>
      <c r="T870" s="5" t="n">
        <v>1</v>
      </c>
      <c r="U870" s="5" t="inlineStr">
        <is>
          <t>training</t>
        </is>
      </c>
      <c r="V870" s="5" t="n">
        <v>1</v>
      </c>
    </row>
    <row r="871">
      <c r="A871" s="5" t="n">
        <v>867</v>
      </c>
      <c r="B871" s="5" t="n">
        <v>0</v>
      </c>
      <c r="C871" s="6" t="n">
        <v>-0.2301473069597001</v>
      </c>
      <c r="D871" s="6" t="n">
        <v>-0.3015010760492877</v>
      </c>
      <c r="E871" s="6" t="n">
        <v>-0.7427495967609852</v>
      </c>
      <c r="F871" s="6" t="n">
        <v>0.9185437189662378</v>
      </c>
      <c r="G871" s="5" t="n">
        <v>1</v>
      </c>
      <c r="H871" s="5" t="n">
        <v>0</v>
      </c>
      <c r="I871" s="5" t="n">
        <v>0</v>
      </c>
      <c r="J871" s="5" t="n">
        <v>0</v>
      </c>
      <c r="K871" s="5" t="n">
        <v>0</v>
      </c>
      <c r="L871" s="5" t="n">
        <v>0</v>
      </c>
      <c r="M871" s="5" t="n">
        <v>0</v>
      </c>
      <c r="N871" s="5" t="n">
        <v>0</v>
      </c>
      <c r="O871" s="5" t="n">
        <v>0</v>
      </c>
      <c r="P871" s="5" t="n">
        <v>0</v>
      </c>
      <c r="Q871" s="5" t="n">
        <v>0</v>
      </c>
      <c r="R871" s="5" t="n">
        <v>0</v>
      </c>
      <c r="S871" s="5" t="n">
        <v>1</v>
      </c>
      <c r="T871" s="5" t="n">
        <v>0</v>
      </c>
      <c r="U871" s="5" t="inlineStr">
        <is>
          <t>training</t>
        </is>
      </c>
      <c r="V871" s="5" t="n">
        <v>0</v>
      </c>
    </row>
    <row r="872">
      <c r="A872" s="5" t="n">
        <v>868</v>
      </c>
      <c r="B872" s="5" t="n">
        <v>0</v>
      </c>
      <c r="C872" s="6" t="n">
        <v>-0.7357010147163632</v>
      </c>
      <c r="D872" s="6" t="n">
        <v>0.02809788670504944</v>
      </c>
      <c r="E872" s="6" t="n">
        <v>0.5618457137091294</v>
      </c>
      <c r="F872" s="6" t="n">
        <v>-0.8850484360866833</v>
      </c>
      <c r="G872" s="5" t="n">
        <v>0</v>
      </c>
      <c r="H872" s="5" t="n">
        <v>0</v>
      </c>
      <c r="I872" s="5" t="n">
        <v>0</v>
      </c>
      <c r="J872" s="5" t="n">
        <v>1</v>
      </c>
      <c r="K872" s="5" t="n">
        <v>0</v>
      </c>
      <c r="L872" s="5" t="n">
        <v>0</v>
      </c>
      <c r="M872" s="5" t="n">
        <v>0</v>
      </c>
      <c r="N872" s="5" t="n">
        <v>0</v>
      </c>
      <c r="O872" s="5" t="n">
        <v>0</v>
      </c>
      <c r="P872" s="5" t="n">
        <v>0</v>
      </c>
      <c r="Q872" s="5" t="n">
        <v>0</v>
      </c>
      <c r="R872" s="5" t="n">
        <v>0</v>
      </c>
      <c r="S872" s="5" t="n">
        <v>0</v>
      </c>
      <c r="T872" s="5" t="n">
        <v>1</v>
      </c>
      <c r="U872" s="5" t="inlineStr">
        <is>
          <t>training</t>
        </is>
      </c>
      <c r="V872" s="5" t="n">
        <v>1</v>
      </c>
    </row>
    <row r="873">
      <c r="A873" s="5" t="n">
        <v>869</v>
      </c>
      <c r="B873" s="5" t="n">
        <v>0</v>
      </c>
      <c r="C873" s="6" t="n">
        <v>1.286513816310289</v>
      </c>
      <c r="D873" s="6" t="n">
        <v>1.454960487673401</v>
      </c>
      <c r="E873" s="6" t="n">
        <v>0.1269806102190912</v>
      </c>
      <c r="F873" s="6" t="n">
        <v>0.01674764143977723</v>
      </c>
      <c r="G873" s="5" t="n">
        <v>0</v>
      </c>
      <c r="H873" s="5" t="n">
        <v>0</v>
      </c>
      <c r="I873" s="5" t="n">
        <v>0</v>
      </c>
      <c r="J873" s="5" t="n">
        <v>0</v>
      </c>
      <c r="K873" s="5" t="n">
        <v>0</v>
      </c>
      <c r="L873" s="5" t="n">
        <v>0</v>
      </c>
      <c r="M873" s="5" t="n">
        <v>0</v>
      </c>
      <c r="N873" s="5" t="n">
        <v>0</v>
      </c>
      <c r="O873" s="5" t="n">
        <v>1</v>
      </c>
      <c r="P873" s="5" t="n">
        <v>0</v>
      </c>
      <c r="Q873" s="5" t="n">
        <v>0</v>
      </c>
      <c r="R873" s="5" t="n">
        <v>0</v>
      </c>
      <c r="S873" s="5" t="n">
        <v>0</v>
      </c>
      <c r="T873" s="5" t="n">
        <v>0</v>
      </c>
      <c r="U873" s="5" t="inlineStr">
        <is>
          <t>testing</t>
        </is>
      </c>
      <c r="V873" s="5" t="n">
        <v>0</v>
      </c>
    </row>
    <row r="874">
      <c r="A874" s="5" t="n">
        <v>870</v>
      </c>
      <c r="B874" s="5" t="n">
        <v>0</v>
      </c>
      <c r="C874" s="6" t="n">
        <v>-0.7357010147163632</v>
      </c>
      <c r="D874" s="6" t="n">
        <v>-0.90926476851668</v>
      </c>
      <c r="E874" s="6" t="n">
        <v>-1.003668658855008</v>
      </c>
      <c r="F874" s="6" t="n">
        <v>0.9185437189662378</v>
      </c>
      <c r="G874" s="5" t="n">
        <v>1</v>
      </c>
      <c r="H874" s="5" t="n">
        <v>0</v>
      </c>
      <c r="I874" s="5" t="n">
        <v>0</v>
      </c>
      <c r="J874" s="5" t="n">
        <v>0</v>
      </c>
      <c r="K874" s="5" t="n">
        <v>0</v>
      </c>
      <c r="L874" s="5" t="n">
        <v>0</v>
      </c>
      <c r="M874" s="5" t="n">
        <v>0</v>
      </c>
      <c r="N874" s="5" t="n">
        <v>0</v>
      </c>
      <c r="O874" s="5" t="n">
        <v>0</v>
      </c>
      <c r="P874" s="5" t="n">
        <v>1</v>
      </c>
      <c r="Q874" s="5" t="n">
        <v>0</v>
      </c>
      <c r="R874" s="5" t="n">
        <v>0</v>
      </c>
      <c r="S874" s="5" t="n">
        <v>0</v>
      </c>
      <c r="T874" s="5" t="n">
        <v>1</v>
      </c>
      <c r="U874" s="5" t="inlineStr">
        <is>
          <t>training</t>
        </is>
      </c>
      <c r="V874" s="5" t="n">
        <v>0</v>
      </c>
    </row>
    <row r="875">
      <c r="A875" s="5" t="n">
        <v>871</v>
      </c>
      <c r="B875" s="5" t="n">
        <v>0</v>
      </c>
      <c r="C875" s="6" t="n">
        <v>1.286513816310289</v>
      </c>
      <c r="D875" s="6" t="n">
        <v>1.549081635211529</v>
      </c>
      <c r="E875" s="6" t="n">
        <v>0.3878996723131141</v>
      </c>
      <c r="F875" s="6" t="n">
        <v>-0.8850484360866833</v>
      </c>
      <c r="G875" s="5" t="n">
        <v>0</v>
      </c>
      <c r="H875" s="5" t="n">
        <v>0</v>
      </c>
      <c r="I875" s="5" t="n">
        <v>0</v>
      </c>
      <c r="J875" s="5" t="n">
        <v>0</v>
      </c>
      <c r="K875" s="5" t="n">
        <v>1</v>
      </c>
      <c r="L875" s="5" t="n">
        <v>0</v>
      </c>
      <c r="M875" s="5" t="n">
        <v>1</v>
      </c>
      <c r="N875" s="5" t="n">
        <v>0</v>
      </c>
      <c r="O875" s="5" t="n">
        <v>0</v>
      </c>
      <c r="P875" s="5" t="n">
        <v>0</v>
      </c>
      <c r="Q875" s="5" t="n">
        <v>0</v>
      </c>
      <c r="R875" s="5" t="n">
        <v>0</v>
      </c>
      <c r="S875" s="5" t="n">
        <v>0</v>
      </c>
      <c r="T875" s="5" t="n">
        <v>1</v>
      </c>
      <c r="U875" s="5" t="inlineStr">
        <is>
          <t>training</t>
        </is>
      </c>
      <c r="V875" s="5" t="n">
        <v>0</v>
      </c>
    </row>
    <row r="876">
      <c r="A876" s="5" t="n">
        <v>872</v>
      </c>
      <c r="B876" s="5" t="n">
        <v>0</v>
      </c>
      <c r="C876" s="6" t="n">
        <v>-1.241254722473026</v>
      </c>
      <c r="D876" s="6" t="n">
        <v>-0.6674888839484773</v>
      </c>
      <c r="E876" s="6" t="n">
        <v>0.9097377965011599</v>
      </c>
      <c r="F876" s="6" t="n">
        <v>-1.786844513613144</v>
      </c>
      <c r="G876" s="5" t="n">
        <v>0</v>
      </c>
      <c r="H876" s="5" t="n">
        <v>0</v>
      </c>
      <c r="I876" s="5" t="n">
        <v>1</v>
      </c>
      <c r="J876" s="5" t="n">
        <v>1</v>
      </c>
      <c r="K876" s="5" t="n">
        <v>0</v>
      </c>
      <c r="L876" s="5" t="n">
        <v>0</v>
      </c>
      <c r="M876" s="5" t="n">
        <v>0</v>
      </c>
      <c r="N876" s="5" t="n">
        <v>0</v>
      </c>
      <c r="O876" s="5" t="n">
        <v>0</v>
      </c>
      <c r="P876" s="5" t="n">
        <v>0</v>
      </c>
      <c r="Q876" s="5" t="n">
        <v>0</v>
      </c>
      <c r="R876" s="5" t="n">
        <v>1</v>
      </c>
      <c r="S876" s="5" t="n">
        <v>0</v>
      </c>
      <c r="T876" s="5" t="n">
        <v>0</v>
      </c>
      <c r="U876" s="5" t="inlineStr">
        <is>
          <t>training</t>
        </is>
      </c>
      <c r="V876" s="5" t="n">
        <v>0</v>
      </c>
    </row>
    <row r="877">
      <c r="A877" s="5" t="n">
        <v>873</v>
      </c>
      <c r="B877" s="5" t="n">
        <v>0</v>
      </c>
      <c r="C877" s="6" t="n">
        <v>0.275406400796963</v>
      </c>
      <c r="D877" s="6" t="n">
        <v>-0.6538430670191576</v>
      </c>
      <c r="E877" s="6" t="n">
        <v>-0.8297226174589928</v>
      </c>
      <c r="F877" s="6" t="n">
        <v>0.9185437189662378</v>
      </c>
      <c r="G877" s="5" t="n">
        <v>1</v>
      </c>
      <c r="H877" s="5" t="n">
        <v>0</v>
      </c>
      <c r="I877" s="5" t="n">
        <v>0</v>
      </c>
      <c r="J877" s="5" t="n">
        <v>1</v>
      </c>
      <c r="K877" s="5" t="n">
        <v>0</v>
      </c>
      <c r="L877" s="5" t="n">
        <v>0</v>
      </c>
      <c r="M877" s="5" t="n">
        <v>1</v>
      </c>
      <c r="N877" s="5" t="n">
        <v>0</v>
      </c>
      <c r="O877" s="5" t="n">
        <v>0</v>
      </c>
      <c r="P877" s="5" t="n">
        <v>0</v>
      </c>
      <c r="Q877" s="5" t="n">
        <v>0</v>
      </c>
      <c r="R877" s="5" t="n">
        <v>0</v>
      </c>
      <c r="S877" s="5" t="n">
        <v>0</v>
      </c>
      <c r="T877" s="5" t="n">
        <v>0</v>
      </c>
      <c r="U877" s="5" t="inlineStr">
        <is>
          <t>training</t>
        </is>
      </c>
      <c r="V877" s="5" t="n">
        <v>1</v>
      </c>
    </row>
    <row r="878">
      <c r="A878" s="5" t="n">
        <v>874</v>
      </c>
      <c r="B878" s="5" t="n">
        <v>0</v>
      </c>
      <c r="C878" s="6" t="n">
        <v>-0.4829241608380317</v>
      </c>
      <c r="D878" s="6" t="n">
        <v>-0.831588579842091</v>
      </c>
      <c r="E878" s="6" t="n">
        <v>-1.003668658855008</v>
      </c>
      <c r="F878" s="6" t="n">
        <v>0.9185437189662378</v>
      </c>
      <c r="G878" s="5" t="n">
        <v>0</v>
      </c>
      <c r="H878" s="5" t="n">
        <v>0</v>
      </c>
      <c r="I878" s="5" t="n">
        <v>0</v>
      </c>
      <c r="J878" s="5" t="n">
        <v>0</v>
      </c>
      <c r="K878" s="5" t="n">
        <v>0</v>
      </c>
      <c r="L878" s="5" t="n">
        <v>0</v>
      </c>
      <c r="M878" s="5" t="n">
        <v>0</v>
      </c>
      <c r="N878" s="5" t="n">
        <v>0</v>
      </c>
      <c r="O878" s="5" t="n">
        <v>1</v>
      </c>
      <c r="P878" s="5" t="n">
        <v>0</v>
      </c>
      <c r="Q878" s="5" t="n">
        <v>0</v>
      </c>
      <c r="R878" s="5" t="n">
        <v>0</v>
      </c>
      <c r="S878" s="5" t="n">
        <v>0</v>
      </c>
      <c r="T878" s="5" t="n">
        <v>0</v>
      </c>
      <c r="U878" s="5" t="inlineStr">
        <is>
          <t>training</t>
        </is>
      </c>
      <c r="V878" s="5" t="n">
        <v>0</v>
      </c>
    </row>
    <row r="879">
      <c r="A879" s="5" t="n">
        <v>875</v>
      </c>
      <c r="B879" s="5" t="n">
        <v>0</v>
      </c>
      <c r="C879" s="6" t="n">
        <v>-0.7357010147163632</v>
      </c>
      <c r="D879" s="6" t="n">
        <v>0.1187201068254033</v>
      </c>
      <c r="E879" s="6" t="n">
        <v>-0.5688035553649698</v>
      </c>
      <c r="F879" s="6" t="n">
        <v>-0.8850484360866833</v>
      </c>
      <c r="G879" s="5" t="n">
        <v>1</v>
      </c>
      <c r="H879" s="5" t="n">
        <v>0</v>
      </c>
      <c r="I879" s="5" t="n">
        <v>0</v>
      </c>
      <c r="J879" s="5" t="n">
        <v>0</v>
      </c>
      <c r="K879" s="5" t="n">
        <v>0</v>
      </c>
      <c r="L879" s="5" t="n">
        <v>0</v>
      </c>
      <c r="M879" s="5" t="n">
        <v>0</v>
      </c>
      <c r="N879" s="5" t="n">
        <v>0</v>
      </c>
      <c r="O879" s="5" t="n">
        <v>0</v>
      </c>
      <c r="P879" s="5" t="n">
        <v>0</v>
      </c>
      <c r="Q879" s="5" t="n">
        <v>0</v>
      </c>
      <c r="R879" s="5" t="n">
        <v>0</v>
      </c>
      <c r="S879" s="5" t="n">
        <v>0</v>
      </c>
      <c r="T879" s="5" t="n">
        <v>1</v>
      </c>
      <c r="U879" s="5" t="inlineStr">
        <is>
          <t>testing</t>
        </is>
      </c>
      <c r="V879" s="5" t="n">
        <v>0</v>
      </c>
    </row>
    <row r="880">
      <c r="A880" s="5" t="n">
        <v>876</v>
      </c>
      <c r="B880" s="5" t="n">
        <v>0</v>
      </c>
      <c r="C880" s="6" t="n">
        <v>-0.8199599660091405</v>
      </c>
      <c r="D880" s="6" t="n">
        <v>-0.6748366315258033</v>
      </c>
      <c r="E880" s="6" t="n">
        <v>0.3878996723131141</v>
      </c>
      <c r="F880" s="6" t="n">
        <v>0.9185437189662378</v>
      </c>
      <c r="G880" s="5" t="n">
        <v>0</v>
      </c>
      <c r="H880" s="5" t="n">
        <v>1</v>
      </c>
      <c r="I880" s="5" t="n">
        <v>0</v>
      </c>
      <c r="J880" s="5" t="n">
        <v>1</v>
      </c>
      <c r="K880" s="5" t="n">
        <v>0</v>
      </c>
      <c r="L880" s="5" t="n">
        <v>0</v>
      </c>
      <c r="M880" s="5" t="n">
        <v>0</v>
      </c>
      <c r="N880" s="5" t="n">
        <v>1</v>
      </c>
      <c r="O880" s="5" t="n">
        <v>0</v>
      </c>
      <c r="P880" s="5" t="n">
        <v>0</v>
      </c>
      <c r="Q880" s="5" t="n">
        <v>0</v>
      </c>
      <c r="R880" s="5" t="n">
        <v>1</v>
      </c>
      <c r="S880" s="5" t="n">
        <v>0</v>
      </c>
      <c r="T880" s="5" t="n">
        <v>0</v>
      </c>
      <c r="U880" s="5" t="inlineStr">
        <is>
          <t>training</t>
        </is>
      </c>
      <c r="V880" s="5" t="n">
        <v>1</v>
      </c>
    </row>
    <row r="881">
      <c r="A881" s="5" t="n">
        <v>877</v>
      </c>
      <c r="B881" s="5" t="n">
        <v>0</v>
      </c>
      <c r="C881" s="6" t="n">
        <v>-0.2301473069597001</v>
      </c>
      <c r="D881" s="6" t="n">
        <v>-0.4586029171073528</v>
      </c>
      <c r="E881" s="6" t="n">
        <v>0.04000758952108359</v>
      </c>
      <c r="F881" s="6" t="n">
        <v>0.01674764143977723</v>
      </c>
      <c r="G881" s="5" t="n">
        <v>1</v>
      </c>
      <c r="H881" s="5" t="n">
        <v>0</v>
      </c>
      <c r="I881" s="5" t="n">
        <v>0</v>
      </c>
      <c r="J881" s="5" t="n">
        <v>0</v>
      </c>
      <c r="K881" s="5" t="n">
        <v>0</v>
      </c>
      <c r="L881" s="5" t="n">
        <v>1</v>
      </c>
      <c r="M881" s="5" t="n">
        <v>0</v>
      </c>
      <c r="N881" s="5" t="n">
        <v>0</v>
      </c>
      <c r="O881" s="5" t="n">
        <v>0</v>
      </c>
      <c r="P881" s="5" t="n">
        <v>0</v>
      </c>
      <c r="Q881" s="5" t="n">
        <v>1</v>
      </c>
      <c r="R881" s="5" t="n">
        <v>0</v>
      </c>
      <c r="S881" s="5" t="n">
        <v>1</v>
      </c>
      <c r="T881" s="5" t="n">
        <v>0</v>
      </c>
      <c r="U881" s="5" t="inlineStr">
        <is>
          <t>training</t>
        </is>
      </c>
      <c r="V881" s="5" t="n">
        <v>0</v>
      </c>
    </row>
    <row r="882">
      <c r="A882" s="5" t="n">
        <v>878</v>
      </c>
      <c r="B882" s="5" t="n">
        <v>0</v>
      </c>
      <c r="C882" s="6" t="n">
        <v>1.286513816310289</v>
      </c>
      <c r="D882" s="6" t="n">
        <v>0.1204695705342904</v>
      </c>
      <c r="E882" s="6" t="n">
        <v>-0.6557765760629775</v>
      </c>
      <c r="F882" s="6" t="n">
        <v>0.9185437189662378</v>
      </c>
      <c r="G882" s="5" t="n">
        <v>0</v>
      </c>
      <c r="H882" s="5" t="n">
        <v>0</v>
      </c>
      <c r="I882" s="5" t="n">
        <v>0</v>
      </c>
      <c r="J882" s="5" t="n">
        <v>0</v>
      </c>
      <c r="K882" s="5" t="n">
        <v>0</v>
      </c>
      <c r="L882" s="5" t="n">
        <v>0</v>
      </c>
      <c r="M882" s="5" t="n">
        <v>0</v>
      </c>
      <c r="N882" s="5" t="n">
        <v>0</v>
      </c>
      <c r="O882" s="5" t="n">
        <v>0</v>
      </c>
      <c r="P882" s="5" t="n">
        <v>0</v>
      </c>
      <c r="Q882" s="5" t="n">
        <v>0</v>
      </c>
      <c r="R882" s="5" t="n">
        <v>0</v>
      </c>
      <c r="S882" s="5" t="n">
        <v>1</v>
      </c>
      <c r="T882" s="5" t="n">
        <v>0</v>
      </c>
      <c r="U882" s="5" t="inlineStr">
        <is>
          <t>training</t>
        </is>
      </c>
      <c r="V882" s="5" t="n">
        <v>1</v>
      </c>
    </row>
    <row r="883">
      <c r="A883" s="5" t="n">
        <v>879</v>
      </c>
      <c r="B883" s="5" t="n">
        <v>1</v>
      </c>
      <c r="C883" s="6" t="n">
        <v>-0.9884778685946948</v>
      </c>
      <c r="D883" s="6" t="n">
        <v>-0.6398473573480605</v>
      </c>
      <c r="E883" s="6" t="n">
        <v>-0.7427495967609852</v>
      </c>
      <c r="F883" s="6" t="n">
        <v>0.01674764143977723</v>
      </c>
      <c r="G883" s="5" t="n">
        <v>1</v>
      </c>
      <c r="H883" s="5" t="n">
        <v>0</v>
      </c>
      <c r="I883" s="5" t="n">
        <v>0</v>
      </c>
      <c r="J883" s="5" t="n">
        <v>0</v>
      </c>
      <c r="K883" s="5" t="n">
        <v>0</v>
      </c>
      <c r="L883" s="5" t="n">
        <v>0</v>
      </c>
      <c r="M883" s="5" t="n">
        <v>0</v>
      </c>
      <c r="N883" s="5" t="n">
        <v>0</v>
      </c>
      <c r="O883" s="5" t="n">
        <v>0</v>
      </c>
      <c r="P883" s="5" t="n">
        <v>0</v>
      </c>
      <c r="Q883" s="5" t="n">
        <v>1</v>
      </c>
      <c r="R883" s="5" t="n">
        <v>1</v>
      </c>
      <c r="S883" s="5" t="n">
        <v>0</v>
      </c>
      <c r="T883" s="5" t="n">
        <v>0</v>
      </c>
      <c r="U883" s="5" t="inlineStr">
        <is>
          <t>training</t>
        </is>
      </c>
      <c r="V883" s="5" t="n">
        <v>1</v>
      </c>
    </row>
    <row r="884">
      <c r="A884" s="5" t="n">
        <v>880</v>
      </c>
      <c r="B884" s="5" t="n">
        <v>0</v>
      </c>
      <c r="C884" s="6" t="n">
        <v>0.7809601085536261</v>
      </c>
      <c r="D884" s="6" t="n">
        <v>1.221582028907856</v>
      </c>
      <c r="E884" s="6" t="n">
        <v>0.04000758952108359</v>
      </c>
      <c r="F884" s="6" t="n">
        <v>-0.8850484360866833</v>
      </c>
      <c r="G884" s="5" t="n">
        <v>0</v>
      </c>
      <c r="H884" s="5" t="n">
        <v>0</v>
      </c>
      <c r="I884" s="5" t="n">
        <v>0</v>
      </c>
      <c r="J884" s="5" t="n">
        <v>1</v>
      </c>
      <c r="K884" s="5" t="n">
        <v>0</v>
      </c>
      <c r="L884" s="5" t="n">
        <v>0</v>
      </c>
      <c r="M884" s="5" t="n">
        <v>0</v>
      </c>
      <c r="N884" s="5" t="n">
        <v>0</v>
      </c>
      <c r="O884" s="5" t="n">
        <v>1</v>
      </c>
      <c r="P884" s="5" t="n">
        <v>0</v>
      </c>
      <c r="Q884" s="5" t="n">
        <v>0</v>
      </c>
      <c r="R884" s="5" t="n">
        <v>0</v>
      </c>
      <c r="S884" s="5" t="n">
        <v>1</v>
      </c>
      <c r="T884" s="5" t="n">
        <v>0</v>
      </c>
      <c r="U884" s="5" t="inlineStr">
        <is>
          <t>training</t>
        </is>
      </c>
      <c r="V884" s="5" t="n">
        <v>0</v>
      </c>
    </row>
    <row r="885">
      <c r="A885" s="5" t="n">
        <v>881</v>
      </c>
      <c r="B885" s="5" t="n">
        <v>0</v>
      </c>
      <c r="C885" s="6" t="n">
        <v>0.275406400796963</v>
      </c>
      <c r="D885" s="6" t="n">
        <v>1.596667048093259</v>
      </c>
      <c r="E885" s="6" t="n">
        <v>0.2139536309170988</v>
      </c>
      <c r="F885" s="6" t="n">
        <v>0.01674764143977723</v>
      </c>
      <c r="G885" s="5" t="n">
        <v>0</v>
      </c>
      <c r="H885" s="5" t="n">
        <v>0</v>
      </c>
      <c r="I885" s="5" t="n">
        <v>0</v>
      </c>
      <c r="J885" s="5" t="n">
        <v>0</v>
      </c>
      <c r="K885" s="5" t="n">
        <v>0</v>
      </c>
      <c r="L885" s="5" t="n">
        <v>0</v>
      </c>
      <c r="M885" s="5" t="n">
        <v>0</v>
      </c>
      <c r="N885" s="5" t="n">
        <v>0</v>
      </c>
      <c r="O885" s="5" t="n">
        <v>0</v>
      </c>
      <c r="P885" s="5" t="n">
        <v>0</v>
      </c>
      <c r="Q885" s="5" t="n">
        <v>0</v>
      </c>
      <c r="R885" s="5" t="n">
        <v>1</v>
      </c>
      <c r="S885" s="5" t="n">
        <v>0</v>
      </c>
      <c r="T885" s="5" t="n">
        <v>0</v>
      </c>
      <c r="U885" s="5" t="inlineStr">
        <is>
          <t>training</t>
        </is>
      </c>
      <c r="V885" s="5" t="n">
        <v>0</v>
      </c>
    </row>
    <row r="886">
      <c r="A886" s="5" t="n">
        <v>882</v>
      </c>
      <c r="B886" s="5" t="n">
        <v>0</v>
      </c>
      <c r="C886" s="6" t="n">
        <v>0.275406400796963</v>
      </c>
      <c r="D886" s="6" t="n">
        <v>2.108560129313636</v>
      </c>
      <c r="E886" s="6" t="n">
        <v>1.083683837897175</v>
      </c>
      <c r="F886" s="6" t="n">
        <v>-0.8850484360866833</v>
      </c>
      <c r="G886" s="5" t="n">
        <v>0</v>
      </c>
      <c r="H886" s="5" t="n">
        <v>0</v>
      </c>
      <c r="I886" s="5" t="n">
        <v>0</v>
      </c>
      <c r="J886" s="5" t="n">
        <v>0</v>
      </c>
      <c r="K886" s="5" t="n">
        <v>0</v>
      </c>
      <c r="L886" s="5" t="n">
        <v>0</v>
      </c>
      <c r="M886" s="5" t="n">
        <v>0</v>
      </c>
      <c r="N886" s="5" t="n">
        <v>0</v>
      </c>
      <c r="O886" s="5" t="n">
        <v>1</v>
      </c>
      <c r="P886" s="5" t="n">
        <v>0</v>
      </c>
      <c r="Q886" s="5" t="n">
        <v>1</v>
      </c>
      <c r="R886" s="5" t="n">
        <v>1</v>
      </c>
      <c r="S886" s="5" t="n">
        <v>0</v>
      </c>
      <c r="T886" s="5" t="n">
        <v>0</v>
      </c>
      <c r="U886" s="5" t="inlineStr">
        <is>
          <t>training</t>
        </is>
      </c>
      <c r="V886" s="5" t="n">
        <v>1</v>
      </c>
    </row>
    <row r="887">
      <c r="A887" s="5" t="n">
        <v>883</v>
      </c>
      <c r="B887" s="5" t="n">
        <v>0</v>
      </c>
      <c r="C887" s="6" t="n">
        <v>0.7809601085536261</v>
      </c>
      <c r="D887" s="6" t="n">
        <v>-0.3742787663389927</v>
      </c>
      <c r="E887" s="6" t="n">
        <v>0.04000758952108359</v>
      </c>
      <c r="F887" s="6" t="n">
        <v>0.9185437189662378</v>
      </c>
      <c r="G887" s="5" t="n">
        <v>0</v>
      </c>
      <c r="H887" s="5" t="n">
        <v>1</v>
      </c>
      <c r="I887" s="5" t="n">
        <v>0</v>
      </c>
      <c r="J887" s="5" t="n">
        <v>1</v>
      </c>
      <c r="K887" s="5" t="n">
        <v>0</v>
      </c>
      <c r="L887" s="5" t="n">
        <v>0</v>
      </c>
      <c r="M887" s="5" t="n">
        <v>0</v>
      </c>
      <c r="N887" s="5" t="n">
        <v>0</v>
      </c>
      <c r="O887" s="5" t="n">
        <v>1</v>
      </c>
      <c r="P887" s="5" t="n">
        <v>0</v>
      </c>
      <c r="Q887" s="5" t="n">
        <v>0</v>
      </c>
      <c r="R887" s="5" t="n">
        <v>1</v>
      </c>
      <c r="S887" s="5" t="n">
        <v>0</v>
      </c>
      <c r="T887" s="5" t="n">
        <v>0</v>
      </c>
      <c r="U887" s="5" t="inlineStr">
        <is>
          <t>testing</t>
        </is>
      </c>
      <c r="V887" s="5" t="n">
        <v>0</v>
      </c>
    </row>
    <row r="888">
      <c r="A888" s="5" t="n">
        <v>884</v>
      </c>
      <c r="B888" s="5" t="n">
        <v>0</v>
      </c>
      <c r="C888" s="6" t="n">
        <v>-0.2301473069597001</v>
      </c>
      <c r="D888" s="6" t="n">
        <v>-0.7532126056839472</v>
      </c>
      <c r="E888" s="6" t="n">
        <v>2.562225189763305</v>
      </c>
      <c r="F888" s="6" t="n">
        <v>0.9185437189662378</v>
      </c>
      <c r="G888" s="5" t="n">
        <v>0</v>
      </c>
      <c r="H888" s="5" t="n">
        <v>0</v>
      </c>
      <c r="I888" s="5" t="n">
        <v>0</v>
      </c>
      <c r="J888" s="5" t="n">
        <v>1</v>
      </c>
      <c r="K888" s="5" t="n">
        <v>0</v>
      </c>
      <c r="L888" s="5" t="n">
        <v>0</v>
      </c>
      <c r="M888" s="5" t="n">
        <v>0</v>
      </c>
      <c r="N888" s="5" t="n">
        <v>0</v>
      </c>
      <c r="O888" s="5" t="n">
        <v>0</v>
      </c>
      <c r="P888" s="5" t="n">
        <v>0</v>
      </c>
      <c r="Q888" s="5" t="n">
        <v>0</v>
      </c>
      <c r="R888" s="5" t="n">
        <v>0</v>
      </c>
      <c r="S888" s="5" t="n">
        <v>1</v>
      </c>
      <c r="T888" s="5" t="n">
        <v>0</v>
      </c>
      <c r="U888" s="5" t="inlineStr">
        <is>
          <t>testing</t>
        </is>
      </c>
      <c r="V888" s="5" t="n">
        <v>0</v>
      </c>
    </row>
    <row r="889">
      <c r="A889" s="5" t="n">
        <v>885</v>
      </c>
      <c r="B889" s="5" t="n">
        <v>1</v>
      </c>
      <c r="C889" s="6" t="n">
        <v>0.275406400796963</v>
      </c>
      <c r="D889" s="6" t="n">
        <v>0.2821200172354622</v>
      </c>
      <c r="E889" s="6" t="n">
        <v>0.648818734407137</v>
      </c>
      <c r="F889" s="6" t="n">
        <v>0.01674764143977723</v>
      </c>
      <c r="G889" s="5" t="n">
        <v>0</v>
      </c>
      <c r="H889" s="5" t="n">
        <v>1</v>
      </c>
      <c r="I889" s="5" t="n">
        <v>0</v>
      </c>
      <c r="J889" s="5" t="n">
        <v>0</v>
      </c>
      <c r="K889" s="5" t="n">
        <v>0</v>
      </c>
      <c r="L889" s="5" t="n">
        <v>0</v>
      </c>
      <c r="M889" s="5" t="n">
        <v>0</v>
      </c>
      <c r="N889" s="5" t="n">
        <v>0</v>
      </c>
      <c r="O889" s="5" t="n">
        <v>0</v>
      </c>
      <c r="P889" s="5" t="n">
        <v>0</v>
      </c>
      <c r="Q889" s="5" t="n">
        <v>0</v>
      </c>
      <c r="R889" s="5" t="n">
        <v>0</v>
      </c>
      <c r="S889" s="5" t="n">
        <v>0</v>
      </c>
      <c r="T889" s="5" t="n">
        <v>1</v>
      </c>
      <c r="U889" s="5" t="inlineStr">
        <is>
          <t>training</t>
        </is>
      </c>
      <c r="V889" s="5" t="n">
        <v>1</v>
      </c>
    </row>
    <row r="890">
      <c r="A890" s="5" t="n">
        <v>886</v>
      </c>
      <c r="B890" s="5" t="n">
        <v>1</v>
      </c>
      <c r="C890" s="6" t="n">
        <v>-0.7357010147163632</v>
      </c>
      <c r="D890" s="6" t="n">
        <v>-0.8592301064425079</v>
      </c>
      <c r="E890" s="6" t="n">
        <v>1.518548941387213</v>
      </c>
      <c r="F890" s="6" t="n">
        <v>0.9185437189662378</v>
      </c>
      <c r="G890" s="5" t="n">
        <v>1</v>
      </c>
      <c r="H890" s="5" t="n">
        <v>0</v>
      </c>
      <c r="I890" s="5" t="n">
        <v>0</v>
      </c>
      <c r="J890" s="5" t="n">
        <v>0</v>
      </c>
      <c r="K890" s="5" t="n">
        <v>0</v>
      </c>
      <c r="L890" s="5" t="n">
        <v>0</v>
      </c>
      <c r="M890" s="5" t="n">
        <v>0</v>
      </c>
      <c r="N890" s="5" t="n">
        <v>0</v>
      </c>
      <c r="O890" s="5" t="n">
        <v>0</v>
      </c>
      <c r="P890" s="5" t="n">
        <v>0</v>
      </c>
      <c r="Q890" s="5" t="n">
        <v>0</v>
      </c>
      <c r="R890" s="5" t="n">
        <v>0</v>
      </c>
      <c r="S890" s="5" t="n">
        <v>0</v>
      </c>
      <c r="T890" s="5" t="n">
        <v>0</v>
      </c>
      <c r="U890" s="5" t="inlineStr">
        <is>
          <t>testing</t>
        </is>
      </c>
      <c r="V890" s="5" t="n">
        <v>0</v>
      </c>
    </row>
    <row r="891">
      <c r="A891" s="5" t="n">
        <v>887</v>
      </c>
      <c r="B891" s="5" t="n">
        <v>0</v>
      </c>
      <c r="C891" s="6" t="n">
        <v>0.275406400796963</v>
      </c>
      <c r="D891" s="6" t="n">
        <v>-0.1489478406343291</v>
      </c>
      <c r="E891" s="6" t="n">
        <v>-0.1339384518749317</v>
      </c>
      <c r="F891" s="6" t="n">
        <v>0.9185437189662378</v>
      </c>
      <c r="G891" s="5" t="n">
        <v>0</v>
      </c>
      <c r="H891" s="5" t="n">
        <v>1</v>
      </c>
      <c r="I891" s="5" t="n">
        <v>0</v>
      </c>
      <c r="J891" s="5" t="n">
        <v>1</v>
      </c>
      <c r="K891" s="5" t="n">
        <v>0</v>
      </c>
      <c r="L891" s="5" t="n">
        <v>0</v>
      </c>
      <c r="M891" s="5" t="n">
        <v>0</v>
      </c>
      <c r="N891" s="5" t="n">
        <v>0</v>
      </c>
      <c r="O891" s="5" t="n">
        <v>1</v>
      </c>
      <c r="P891" s="5" t="n">
        <v>0</v>
      </c>
      <c r="Q891" s="5" t="n">
        <v>0</v>
      </c>
      <c r="R891" s="5" t="n">
        <v>0</v>
      </c>
      <c r="S891" s="5" t="n">
        <v>0</v>
      </c>
      <c r="T891" s="5" t="n">
        <v>0</v>
      </c>
      <c r="U891" s="5" t="inlineStr">
        <is>
          <t>training</t>
        </is>
      </c>
      <c r="V891" s="5" t="n">
        <v>1</v>
      </c>
    </row>
    <row r="892">
      <c r="A892" s="5" t="n">
        <v>888</v>
      </c>
      <c r="B892" s="5" t="n">
        <v>1</v>
      </c>
      <c r="C892" s="6" t="n">
        <v>2.297621231823615</v>
      </c>
      <c r="D892" s="6" t="n">
        <v>4.346124212980288</v>
      </c>
      <c r="E892" s="6" t="n">
        <v>-1.090641679553016</v>
      </c>
      <c r="F892" s="6" t="n">
        <v>-0.8850484360866833</v>
      </c>
      <c r="G892" s="5" t="n">
        <v>0</v>
      </c>
      <c r="H892" s="5" t="n">
        <v>1</v>
      </c>
      <c r="I892" s="5" t="n">
        <v>0</v>
      </c>
      <c r="J892" s="5" t="n">
        <v>0</v>
      </c>
      <c r="K892" s="5" t="n">
        <v>0</v>
      </c>
      <c r="L892" s="5" t="n">
        <v>0</v>
      </c>
      <c r="M892" s="5" t="n">
        <v>0</v>
      </c>
      <c r="N892" s="5" t="n">
        <v>0</v>
      </c>
      <c r="O892" s="5" t="n">
        <v>0</v>
      </c>
      <c r="P892" s="5" t="n">
        <v>0</v>
      </c>
      <c r="Q892" s="5" t="n">
        <v>0</v>
      </c>
      <c r="R892" s="5" t="n">
        <v>0</v>
      </c>
      <c r="S892" s="5" t="n">
        <v>0</v>
      </c>
      <c r="T892" s="5" t="n">
        <v>0</v>
      </c>
      <c r="U892" s="5" t="inlineStr">
        <is>
          <t>training</t>
        </is>
      </c>
      <c r="V892" s="5" t="n">
        <v>1</v>
      </c>
    </row>
    <row r="893">
      <c r="A893" s="5" t="n">
        <v>889</v>
      </c>
      <c r="B893" s="5" t="n">
        <v>0</v>
      </c>
      <c r="C893" s="6" t="n">
        <v>1.286513816310289</v>
      </c>
      <c r="D893" s="6" t="n">
        <v>1.176795757960345</v>
      </c>
      <c r="E893" s="6" t="n">
        <v>-0.1339384518749317</v>
      </c>
      <c r="F893" s="6" t="n">
        <v>0.9185437189662378</v>
      </c>
      <c r="G893" s="5" t="n">
        <v>0</v>
      </c>
      <c r="H893" s="5" t="n">
        <v>0</v>
      </c>
      <c r="I893" s="5" t="n">
        <v>0</v>
      </c>
      <c r="J893" s="5" t="n">
        <v>1</v>
      </c>
      <c r="K893" s="5" t="n">
        <v>0</v>
      </c>
      <c r="L893" s="5" t="n">
        <v>0</v>
      </c>
      <c r="M893" s="5" t="n">
        <v>0</v>
      </c>
      <c r="N893" s="5" t="n">
        <v>0</v>
      </c>
      <c r="O893" s="5" t="n">
        <v>0</v>
      </c>
      <c r="P893" s="5" t="n">
        <v>0</v>
      </c>
      <c r="Q893" s="5" t="n">
        <v>0</v>
      </c>
      <c r="R893" s="5" t="n">
        <v>1</v>
      </c>
      <c r="S893" s="5" t="n">
        <v>0</v>
      </c>
      <c r="T893" s="5" t="n">
        <v>0</v>
      </c>
      <c r="U893" s="5" t="inlineStr">
        <is>
          <t>training</t>
        </is>
      </c>
      <c r="V893" s="5" t="n">
        <v>1</v>
      </c>
    </row>
    <row r="894">
      <c r="A894" s="5" t="n">
        <v>890</v>
      </c>
      <c r="B894" s="5" t="n">
        <v>0</v>
      </c>
      <c r="C894" s="6" t="n">
        <v>0.6124422059680718</v>
      </c>
      <c r="D894" s="6" t="n">
        <v>1.600165975511033</v>
      </c>
      <c r="E894" s="6" t="n">
        <v>0.3878996723131141</v>
      </c>
      <c r="F894" s="6" t="n">
        <v>0.01674764143977723</v>
      </c>
      <c r="G894" s="5" t="n">
        <v>0</v>
      </c>
      <c r="H894" s="5" t="n">
        <v>0</v>
      </c>
      <c r="I894" s="5" t="n">
        <v>0</v>
      </c>
      <c r="J894" s="5" t="n">
        <v>0</v>
      </c>
      <c r="K894" s="5" t="n">
        <v>0</v>
      </c>
      <c r="L894" s="5" t="n">
        <v>1</v>
      </c>
      <c r="M894" s="5" t="n">
        <v>0</v>
      </c>
      <c r="N894" s="5" t="n">
        <v>0</v>
      </c>
      <c r="O894" s="5" t="n">
        <v>1</v>
      </c>
      <c r="P894" s="5" t="n">
        <v>1</v>
      </c>
      <c r="Q894" s="5" t="n">
        <v>0</v>
      </c>
      <c r="R894" s="5" t="n">
        <v>1</v>
      </c>
      <c r="S894" s="5" t="n">
        <v>0</v>
      </c>
      <c r="T894" s="5" t="n">
        <v>0</v>
      </c>
      <c r="U894" s="5" t="inlineStr">
        <is>
          <t>training</t>
        </is>
      </c>
      <c r="V894" s="5" t="n">
        <v>1</v>
      </c>
    </row>
    <row r="895">
      <c r="A895" s="5" t="n">
        <v>891</v>
      </c>
      <c r="B895" s="5" t="n">
        <v>0</v>
      </c>
      <c r="C895" s="6" t="n">
        <v>0.5281832546752946</v>
      </c>
      <c r="D895" s="6" t="n">
        <v>-0.282956760735084</v>
      </c>
      <c r="E895" s="6" t="n">
        <v>0.648818734407137</v>
      </c>
      <c r="F895" s="6" t="n">
        <v>0.9185437189662378</v>
      </c>
      <c r="G895" s="5" t="n">
        <v>1</v>
      </c>
      <c r="H895" s="5" t="n">
        <v>0</v>
      </c>
      <c r="I895" s="5" t="n">
        <v>0</v>
      </c>
      <c r="J895" s="5" t="n">
        <v>1</v>
      </c>
      <c r="K895" s="5" t="n">
        <v>0</v>
      </c>
      <c r="L895" s="5" t="n">
        <v>0</v>
      </c>
      <c r="M895" s="5" t="n">
        <v>0</v>
      </c>
      <c r="N895" s="5" t="n">
        <v>0</v>
      </c>
      <c r="O895" s="5" t="n">
        <v>0</v>
      </c>
      <c r="P895" s="5" t="n">
        <v>0</v>
      </c>
      <c r="Q895" s="5" t="n">
        <v>0</v>
      </c>
      <c r="R895" s="5" t="n">
        <v>0</v>
      </c>
      <c r="S895" s="5" t="n">
        <v>0</v>
      </c>
      <c r="T895" s="5" t="n">
        <v>0</v>
      </c>
      <c r="U895" s="5" t="inlineStr">
        <is>
          <t>training</t>
        </is>
      </c>
      <c r="V895" s="5" t="n">
        <v>0</v>
      </c>
    </row>
    <row r="896">
      <c r="A896" s="5" t="n">
        <v>892</v>
      </c>
      <c r="B896" s="5" t="n">
        <v>0</v>
      </c>
      <c r="C896" s="6" t="n">
        <v>-0.4829241608380317</v>
      </c>
      <c r="D896" s="6" t="n">
        <v>-0.4974410114446473</v>
      </c>
      <c r="E896" s="6" t="n">
        <v>0.9097377965011599</v>
      </c>
      <c r="F896" s="6" t="n">
        <v>0.9185437189662378</v>
      </c>
      <c r="G896" s="5" t="n">
        <v>0</v>
      </c>
      <c r="H896" s="5" t="n">
        <v>0</v>
      </c>
      <c r="I896" s="5" t="n">
        <v>0</v>
      </c>
      <c r="J896" s="5" t="n">
        <v>1</v>
      </c>
      <c r="K896" s="5" t="n">
        <v>0</v>
      </c>
      <c r="L896" s="5" t="n">
        <v>0</v>
      </c>
      <c r="M896" s="5" t="n">
        <v>0</v>
      </c>
      <c r="N896" s="5" t="n">
        <v>0</v>
      </c>
      <c r="O896" s="5" t="n">
        <v>0</v>
      </c>
      <c r="P896" s="5" t="n">
        <v>0</v>
      </c>
      <c r="Q896" s="5" t="n">
        <v>0</v>
      </c>
      <c r="R896" s="5" t="n">
        <v>0</v>
      </c>
      <c r="S896" s="5" t="n">
        <v>1</v>
      </c>
      <c r="T896" s="5" t="n">
        <v>0</v>
      </c>
      <c r="U896" s="5" t="inlineStr">
        <is>
          <t>training</t>
        </is>
      </c>
      <c r="V896" s="5" t="n">
        <v>0</v>
      </c>
    </row>
    <row r="897">
      <c r="A897" s="5" t="n">
        <v>893</v>
      </c>
      <c r="B897" s="5" t="n">
        <v>0</v>
      </c>
      <c r="C897" s="6" t="n">
        <v>-0.7357010147163632</v>
      </c>
      <c r="D897" s="6" t="n">
        <v>-0.377777693756767</v>
      </c>
      <c r="E897" s="6" t="n">
        <v>0.2139536309170988</v>
      </c>
      <c r="F897" s="6" t="n">
        <v>0.9185437189662378</v>
      </c>
      <c r="G897" s="5" t="n">
        <v>1</v>
      </c>
      <c r="H897" s="5" t="n">
        <v>0</v>
      </c>
      <c r="I897" s="5" t="n">
        <v>0</v>
      </c>
      <c r="J897" s="5" t="n">
        <v>1</v>
      </c>
      <c r="K897" s="5" t="n">
        <v>0</v>
      </c>
      <c r="L897" s="5" t="n">
        <v>0</v>
      </c>
      <c r="M897" s="5" t="n">
        <v>0</v>
      </c>
      <c r="N897" s="5" t="n">
        <v>0</v>
      </c>
      <c r="O897" s="5" t="n">
        <v>0</v>
      </c>
      <c r="P897" s="5" t="n">
        <v>0</v>
      </c>
      <c r="Q897" s="5" t="n">
        <v>0</v>
      </c>
      <c r="R897" s="5" t="n">
        <v>1</v>
      </c>
      <c r="S897" s="5" t="n">
        <v>0</v>
      </c>
      <c r="T897" s="5" t="n">
        <v>0</v>
      </c>
      <c r="U897" s="5" t="inlineStr">
        <is>
          <t>training</t>
        </is>
      </c>
      <c r="V897" s="5" t="n">
        <v>1</v>
      </c>
    </row>
    <row r="898">
      <c r="A898" s="5" t="n">
        <v>894</v>
      </c>
      <c r="B898" s="5" t="n">
        <v>0</v>
      </c>
      <c r="C898" s="6" t="n">
        <v>1.286513816310289</v>
      </c>
      <c r="D898" s="6" t="n">
        <v>0.8919830661535191</v>
      </c>
      <c r="E898" s="6" t="n">
        <v>-0.1339384518749317</v>
      </c>
      <c r="F898" s="6" t="n">
        <v>0.01674764143977723</v>
      </c>
      <c r="G898" s="5" t="n">
        <v>0</v>
      </c>
      <c r="H898" s="5" t="n">
        <v>1</v>
      </c>
      <c r="I898" s="5" t="n">
        <v>0</v>
      </c>
      <c r="J898" s="5" t="n">
        <v>1</v>
      </c>
      <c r="K898" s="5" t="n">
        <v>0</v>
      </c>
      <c r="L898" s="5" t="n">
        <v>0</v>
      </c>
      <c r="M898" s="5" t="n">
        <v>0</v>
      </c>
      <c r="N898" s="5" t="n">
        <v>0</v>
      </c>
      <c r="O898" s="5" t="n">
        <v>0</v>
      </c>
      <c r="P898" s="5" t="n">
        <v>0</v>
      </c>
      <c r="Q898" s="5" t="n">
        <v>0</v>
      </c>
      <c r="R898" s="5" t="n">
        <v>1</v>
      </c>
      <c r="S898" s="5" t="n">
        <v>0</v>
      </c>
      <c r="T898" s="5" t="n">
        <v>0</v>
      </c>
      <c r="U898" s="5" t="inlineStr">
        <is>
          <t>testing</t>
        </is>
      </c>
      <c r="V898" s="5" t="n">
        <v>0</v>
      </c>
    </row>
    <row r="899">
      <c r="A899" s="5" t="n">
        <v>895</v>
      </c>
      <c r="B899" s="5" t="n">
        <v>0</v>
      </c>
      <c r="C899" s="6" t="n">
        <v>-0.2301473069597001</v>
      </c>
      <c r="D899" s="6" t="n">
        <v>-0.7283702210177497</v>
      </c>
      <c r="E899" s="6" t="n">
        <v>-0.5688035553649698</v>
      </c>
      <c r="F899" s="6" t="n">
        <v>0.9185437189662378</v>
      </c>
      <c r="G899" s="5" t="n">
        <v>0</v>
      </c>
      <c r="H899" s="5" t="n">
        <v>0</v>
      </c>
      <c r="I899" s="5" t="n">
        <v>0</v>
      </c>
      <c r="J899" s="5" t="n">
        <v>1</v>
      </c>
      <c r="K899" s="5" t="n">
        <v>0</v>
      </c>
      <c r="L899" s="5" t="n">
        <v>0</v>
      </c>
      <c r="M899" s="5" t="n">
        <v>0</v>
      </c>
      <c r="N899" s="5" t="n">
        <v>0</v>
      </c>
      <c r="O899" s="5" t="n">
        <v>1</v>
      </c>
      <c r="P899" s="5" t="n">
        <v>0</v>
      </c>
      <c r="Q899" s="5" t="n">
        <v>0</v>
      </c>
      <c r="R899" s="5" t="n">
        <v>0</v>
      </c>
      <c r="S899" s="5" t="n">
        <v>1</v>
      </c>
      <c r="T899" s="5" t="n">
        <v>0</v>
      </c>
      <c r="U899" s="5" t="inlineStr">
        <is>
          <t>training</t>
        </is>
      </c>
      <c r="V899" s="5" t="n">
        <v>1</v>
      </c>
    </row>
    <row r="900">
      <c r="A900" s="5" t="n">
        <v>896</v>
      </c>
      <c r="B900" s="5" t="n">
        <v>0</v>
      </c>
      <c r="C900" s="6" t="n">
        <v>1.286513816310289</v>
      </c>
      <c r="D900" s="6" t="n">
        <v>1.993095524527085</v>
      </c>
      <c r="E900" s="6" t="n">
        <v>-0.3948575139689546</v>
      </c>
      <c r="F900" s="6" t="n">
        <v>0.01674764143977723</v>
      </c>
      <c r="G900" s="5" t="n">
        <v>0</v>
      </c>
      <c r="H900" s="5" t="n">
        <v>0</v>
      </c>
      <c r="I900" s="5" t="n">
        <v>0</v>
      </c>
      <c r="J900" s="5" t="n">
        <v>0</v>
      </c>
      <c r="K900" s="5" t="n">
        <v>1</v>
      </c>
      <c r="L900" s="5" t="n">
        <v>0</v>
      </c>
      <c r="M900" s="5" t="n">
        <v>0</v>
      </c>
      <c r="N900" s="5" t="n">
        <v>0</v>
      </c>
      <c r="O900" s="5" t="n">
        <v>1</v>
      </c>
      <c r="P900" s="5" t="n">
        <v>0</v>
      </c>
      <c r="Q900" s="5" t="n">
        <v>0</v>
      </c>
      <c r="R900" s="5" t="n">
        <v>1</v>
      </c>
      <c r="S900" s="5" t="n">
        <v>0</v>
      </c>
      <c r="T900" s="5" t="n">
        <v>0</v>
      </c>
      <c r="U900" s="5" t="inlineStr">
        <is>
          <t>testing</t>
        </is>
      </c>
      <c r="V900" s="5" t="n">
        <v>0</v>
      </c>
    </row>
    <row r="901">
      <c r="A901" s="5" t="n">
        <v>897</v>
      </c>
      <c r="B901" s="5" t="n">
        <v>0</v>
      </c>
      <c r="C901" s="6" t="n">
        <v>0.02262954691863145</v>
      </c>
      <c r="D901" s="6" t="n">
        <v>-0.2255743510835858</v>
      </c>
      <c r="E901" s="6" t="n">
        <v>-0.6557765760629775</v>
      </c>
      <c r="F901" s="6" t="n">
        <v>0.9185437189662378</v>
      </c>
      <c r="G901" s="5" t="n">
        <v>1</v>
      </c>
      <c r="H901" s="5" t="n">
        <v>0</v>
      </c>
      <c r="I901" s="5" t="n">
        <v>0</v>
      </c>
      <c r="J901" s="5" t="n">
        <v>0</v>
      </c>
      <c r="K901" s="5" t="n">
        <v>0</v>
      </c>
      <c r="L901" s="5" t="n">
        <v>0</v>
      </c>
      <c r="M901" s="5" t="n">
        <v>0</v>
      </c>
      <c r="N901" s="5" t="n">
        <v>0</v>
      </c>
      <c r="O901" s="5" t="n">
        <v>0</v>
      </c>
      <c r="P901" s="5" t="n">
        <v>1</v>
      </c>
      <c r="Q901" s="5" t="n">
        <v>0</v>
      </c>
      <c r="R901" s="5" t="n">
        <v>0</v>
      </c>
      <c r="S901" s="5" t="n">
        <v>1</v>
      </c>
      <c r="T901" s="5" t="n">
        <v>0</v>
      </c>
      <c r="U901" s="5" t="inlineStr">
        <is>
          <t>testing</t>
        </is>
      </c>
      <c r="V901" s="5" t="n">
        <v>0</v>
      </c>
    </row>
    <row r="902">
      <c r="A902" s="5" t="n">
        <v>898</v>
      </c>
      <c r="B902" s="5" t="n">
        <v>0</v>
      </c>
      <c r="C902" s="6" t="n">
        <v>-0.7357010147163632</v>
      </c>
      <c r="D902" s="6" t="n">
        <v>-0.5803655912458977</v>
      </c>
      <c r="E902" s="6" t="n">
        <v>-0.04696543117692405</v>
      </c>
      <c r="F902" s="6" t="n">
        <v>0.01674764143977723</v>
      </c>
      <c r="G902" s="5" t="n">
        <v>0</v>
      </c>
      <c r="H902" s="5" t="n">
        <v>0</v>
      </c>
      <c r="I902" s="5" t="n">
        <v>0</v>
      </c>
      <c r="J902" s="5" t="n">
        <v>1</v>
      </c>
      <c r="K902" s="5" t="n">
        <v>0</v>
      </c>
      <c r="L902" s="5" t="n">
        <v>0</v>
      </c>
      <c r="M902" s="5" t="n">
        <v>0</v>
      </c>
      <c r="N902" s="5" t="n">
        <v>1</v>
      </c>
      <c r="O902" s="5" t="n">
        <v>0</v>
      </c>
      <c r="P902" s="5" t="n">
        <v>0</v>
      </c>
      <c r="Q902" s="5" t="n">
        <v>0</v>
      </c>
      <c r="R902" s="5" t="n">
        <v>0</v>
      </c>
      <c r="S902" s="5" t="n">
        <v>0</v>
      </c>
      <c r="T902" s="5" t="n">
        <v>1</v>
      </c>
      <c r="U902" s="5" t="inlineStr">
        <is>
          <t>training</t>
        </is>
      </c>
      <c r="V902" s="5" t="n">
        <v>0</v>
      </c>
    </row>
    <row r="903">
      <c r="A903" s="5" t="n">
        <v>899</v>
      </c>
      <c r="B903" s="5" t="n">
        <v>0</v>
      </c>
      <c r="C903" s="6" t="n">
        <v>-0.4829241608380317</v>
      </c>
      <c r="D903" s="6" t="n">
        <v>-0.3725293026301055</v>
      </c>
      <c r="E903" s="6" t="n">
        <v>-0.2209114725729393</v>
      </c>
      <c r="F903" s="6" t="n">
        <v>-1.786844513613144</v>
      </c>
      <c r="G903" s="5" t="n">
        <v>0</v>
      </c>
      <c r="H903" s="5" t="n">
        <v>0</v>
      </c>
      <c r="I903" s="5" t="n">
        <v>0</v>
      </c>
      <c r="J903" s="5" t="n">
        <v>0</v>
      </c>
      <c r="K903" s="5" t="n">
        <v>0</v>
      </c>
      <c r="L903" s="5" t="n">
        <v>0</v>
      </c>
      <c r="M903" s="5" t="n">
        <v>0</v>
      </c>
      <c r="N903" s="5" t="n">
        <v>0</v>
      </c>
      <c r="O903" s="5" t="n">
        <v>1</v>
      </c>
      <c r="P903" s="5" t="n">
        <v>1</v>
      </c>
      <c r="Q903" s="5" t="n">
        <v>0</v>
      </c>
      <c r="R903" s="5" t="n">
        <v>0</v>
      </c>
      <c r="S903" s="5" t="n">
        <v>0</v>
      </c>
      <c r="T903" s="5" t="n">
        <v>1</v>
      </c>
      <c r="U903" s="5" t="inlineStr">
        <is>
          <t>testing</t>
        </is>
      </c>
      <c r="V903" s="5" t="n">
        <v>0</v>
      </c>
    </row>
    <row r="904">
      <c r="A904" s="5" t="n">
        <v>900</v>
      </c>
      <c r="B904" s="5" t="n">
        <v>1</v>
      </c>
      <c r="C904" s="6" t="n">
        <v>-0.2301473069597001</v>
      </c>
      <c r="D904" s="6" t="n">
        <v>0.3157097204460952</v>
      </c>
      <c r="E904" s="6" t="n">
        <v>0.5618457137091294</v>
      </c>
      <c r="F904" s="6" t="n">
        <v>-0.8850484360866833</v>
      </c>
      <c r="G904" s="5" t="n">
        <v>1</v>
      </c>
      <c r="H904" s="5" t="n">
        <v>0</v>
      </c>
      <c r="I904" s="5" t="n">
        <v>0</v>
      </c>
      <c r="J904" s="5" t="n">
        <v>0</v>
      </c>
      <c r="K904" s="5" t="n">
        <v>0</v>
      </c>
      <c r="L904" s="5" t="n">
        <v>0</v>
      </c>
      <c r="M904" s="5" t="n">
        <v>0</v>
      </c>
      <c r="N904" s="5" t="n">
        <v>0</v>
      </c>
      <c r="O904" s="5" t="n">
        <v>0</v>
      </c>
      <c r="P904" s="5" t="n">
        <v>0</v>
      </c>
      <c r="Q904" s="5" t="n">
        <v>0</v>
      </c>
      <c r="R904" s="5" t="n">
        <v>0</v>
      </c>
      <c r="S904" s="5" t="n">
        <v>0</v>
      </c>
      <c r="T904" s="5" t="n">
        <v>1</v>
      </c>
      <c r="U904" s="5" t="inlineStr">
        <is>
          <t>training</t>
        </is>
      </c>
      <c r="V904" s="5" t="n">
        <v>1</v>
      </c>
    </row>
    <row r="905">
      <c r="A905" s="5" t="n">
        <v>901</v>
      </c>
      <c r="B905" s="5" t="n">
        <v>1</v>
      </c>
      <c r="C905" s="6" t="n">
        <v>-0.3986652095452545</v>
      </c>
      <c r="D905" s="6" t="n">
        <v>-0.2189263889898147</v>
      </c>
      <c r="E905" s="6" t="n">
        <v>0.648818734407137</v>
      </c>
      <c r="F905" s="6" t="n">
        <v>-0.8850484360866833</v>
      </c>
      <c r="G905" s="5" t="n">
        <v>1</v>
      </c>
      <c r="H905" s="5" t="n">
        <v>0</v>
      </c>
      <c r="I905" s="5" t="n">
        <v>0</v>
      </c>
      <c r="J905" s="5" t="n">
        <v>1</v>
      </c>
      <c r="K905" s="5" t="n">
        <v>0</v>
      </c>
      <c r="L905" s="5" t="n">
        <v>0</v>
      </c>
      <c r="M905" s="5" t="n">
        <v>0</v>
      </c>
      <c r="N905" s="5" t="n">
        <v>0</v>
      </c>
      <c r="O905" s="5" t="n">
        <v>0</v>
      </c>
      <c r="P905" s="5" t="n">
        <v>1</v>
      </c>
      <c r="Q905" s="5" t="n">
        <v>0</v>
      </c>
      <c r="R905" s="5" t="n">
        <v>1</v>
      </c>
      <c r="S905" s="5" t="n">
        <v>0</v>
      </c>
      <c r="T905" s="5" t="n">
        <v>0</v>
      </c>
      <c r="U905" s="5" t="inlineStr">
        <is>
          <t>training</t>
        </is>
      </c>
      <c r="V905" s="5" t="n">
        <v>1</v>
      </c>
    </row>
    <row r="906">
      <c r="A906" s="5" t="n">
        <v>902</v>
      </c>
      <c r="B906" s="5" t="n">
        <v>0</v>
      </c>
      <c r="C906" s="6" t="n">
        <v>-0.06162940437414574</v>
      </c>
      <c r="D906" s="6" t="n">
        <v>0.08198136893877335</v>
      </c>
      <c r="E906" s="6" t="n">
        <v>0.7357917551051447</v>
      </c>
      <c r="F906" s="6" t="n">
        <v>-0.8850484360866833</v>
      </c>
      <c r="G906" s="5" t="n">
        <v>0</v>
      </c>
      <c r="H906" s="5" t="n">
        <v>0</v>
      </c>
      <c r="I906" s="5" t="n">
        <v>0</v>
      </c>
      <c r="J906" s="5" t="n">
        <v>1</v>
      </c>
      <c r="K906" s="5" t="n">
        <v>0</v>
      </c>
      <c r="L906" s="5" t="n">
        <v>0</v>
      </c>
      <c r="M906" s="5" t="n">
        <v>0</v>
      </c>
      <c r="N906" s="5" t="n">
        <v>0</v>
      </c>
      <c r="O906" s="5" t="n">
        <v>1</v>
      </c>
      <c r="P906" s="5" t="n">
        <v>0</v>
      </c>
      <c r="Q906" s="5" t="n">
        <v>0</v>
      </c>
      <c r="R906" s="5" t="n">
        <v>1</v>
      </c>
      <c r="S906" s="5" t="n">
        <v>0</v>
      </c>
      <c r="T906" s="5" t="n">
        <v>0</v>
      </c>
      <c r="U906" s="5" t="inlineStr">
        <is>
          <t>testing</t>
        </is>
      </c>
      <c r="V906" s="5" t="n">
        <v>0</v>
      </c>
    </row>
    <row r="907">
      <c r="A907" s="5" t="n">
        <v>903</v>
      </c>
      <c r="B907" s="5" t="n">
        <v>0</v>
      </c>
      <c r="C907" s="6" t="n">
        <v>1.286513816310289</v>
      </c>
      <c r="D907" s="6" t="n">
        <v>2.52843141944655</v>
      </c>
      <c r="E907" s="6" t="n">
        <v>0.5618457137091294</v>
      </c>
      <c r="F907" s="6" t="n">
        <v>-0.8850484360866833</v>
      </c>
      <c r="G907" s="5" t="n">
        <v>0</v>
      </c>
      <c r="H907" s="5" t="n">
        <v>0</v>
      </c>
      <c r="I907" s="5" t="n">
        <v>0</v>
      </c>
      <c r="J907" s="5" t="n">
        <v>1</v>
      </c>
      <c r="K907" s="5" t="n">
        <v>0</v>
      </c>
      <c r="L907" s="5" t="n">
        <v>0</v>
      </c>
      <c r="M907" s="5" t="n">
        <v>0</v>
      </c>
      <c r="N907" s="5" t="n">
        <v>0</v>
      </c>
      <c r="O907" s="5" t="n">
        <v>1</v>
      </c>
      <c r="P907" s="5" t="n">
        <v>0</v>
      </c>
      <c r="Q907" s="5" t="n">
        <v>1</v>
      </c>
      <c r="R907" s="5" t="n">
        <v>1</v>
      </c>
      <c r="S907" s="5" t="n">
        <v>0</v>
      </c>
      <c r="T907" s="5" t="n">
        <v>0</v>
      </c>
      <c r="U907" s="5" t="inlineStr">
        <is>
          <t>training</t>
        </is>
      </c>
      <c r="V907" s="5" t="n">
        <v>0</v>
      </c>
    </row>
    <row r="908">
      <c r="A908" s="5" t="n">
        <v>904</v>
      </c>
      <c r="B908" s="5" t="n">
        <v>0</v>
      </c>
      <c r="C908" s="6" t="n">
        <v>-0.4829241608380317</v>
      </c>
      <c r="D908" s="6" t="n">
        <v>-0.6524434960520479</v>
      </c>
      <c r="E908" s="6" t="n">
        <v>0.3878996723131141</v>
      </c>
      <c r="F908" s="6" t="n">
        <v>0.9185437189662378</v>
      </c>
      <c r="G908" s="5" t="n">
        <v>0</v>
      </c>
      <c r="H908" s="5" t="n">
        <v>0</v>
      </c>
      <c r="I908" s="5" t="n">
        <v>0</v>
      </c>
      <c r="J908" s="5" t="n">
        <v>0</v>
      </c>
      <c r="K908" s="5" t="n">
        <v>0</v>
      </c>
      <c r="L908" s="5" t="n">
        <v>0</v>
      </c>
      <c r="M908" s="5" t="n">
        <v>0</v>
      </c>
      <c r="N908" s="5" t="n">
        <v>0</v>
      </c>
      <c r="O908" s="5" t="n">
        <v>1</v>
      </c>
      <c r="P908" s="5" t="n">
        <v>1</v>
      </c>
      <c r="Q908" s="5" t="n">
        <v>0</v>
      </c>
      <c r="R908" s="5" t="n">
        <v>0</v>
      </c>
      <c r="S908" s="5" t="n">
        <v>1</v>
      </c>
      <c r="T908" s="5" t="n">
        <v>0</v>
      </c>
      <c r="U908" s="5" t="inlineStr">
        <is>
          <t>testing</t>
        </is>
      </c>
      <c r="V908" s="5" t="n">
        <v>0</v>
      </c>
    </row>
    <row r="909">
      <c r="A909" s="5" t="n">
        <v>905</v>
      </c>
      <c r="B909" s="5" t="n">
        <v>0</v>
      </c>
      <c r="C909" s="6" t="n">
        <v>0.275406400796963</v>
      </c>
      <c r="D909" s="6" t="n">
        <v>-0.6902319121640101</v>
      </c>
      <c r="E909" s="6" t="n">
        <v>0.04000758952108359</v>
      </c>
      <c r="F909" s="6" t="n">
        <v>0.9185437189662378</v>
      </c>
      <c r="G909" s="5" t="n">
        <v>0</v>
      </c>
      <c r="H909" s="5" t="n">
        <v>0</v>
      </c>
      <c r="I909" s="5" t="n">
        <v>0</v>
      </c>
      <c r="J909" s="5" t="n">
        <v>0</v>
      </c>
      <c r="K909" s="5" t="n">
        <v>0</v>
      </c>
      <c r="L909" s="5" t="n">
        <v>0</v>
      </c>
      <c r="M909" s="5" t="n">
        <v>0</v>
      </c>
      <c r="N909" s="5" t="n">
        <v>0</v>
      </c>
      <c r="O909" s="5" t="n">
        <v>0</v>
      </c>
      <c r="P909" s="5" t="n">
        <v>0</v>
      </c>
      <c r="Q909" s="5" t="n">
        <v>0</v>
      </c>
      <c r="R909" s="5" t="n">
        <v>0</v>
      </c>
      <c r="S909" s="5" t="n">
        <v>1</v>
      </c>
      <c r="T909" s="5" t="n">
        <v>0</v>
      </c>
      <c r="U909" s="5" t="inlineStr">
        <is>
          <t>training</t>
        </is>
      </c>
      <c r="V909" s="5" t="n">
        <v>0</v>
      </c>
    </row>
    <row r="910">
      <c r="A910" s="5" t="n">
        <v>906</v>
      </c>
      <c r="B910" s="5" t="n">
        <v>0</v>
      </c>
      <c r="C910" s="6" t="n">
        <v>-0.7357010147163632</v>
      </c>
      <c r="D910" s="6" t="n">
        <v>-0.7500635710079503</v>
      </c>
      <c r="E910" s="6" t="n">
        <v>-1.351560741647039</v>
      </c>
      <c r="F910" s="6" t="n">
        <v>-0.8850484360866833</v>
      </c>
      <c r="G910" s="5" t="n">
        <v>1</v>
      </c>
      <c r="H910" s="5" t="n">
        <v>0</v>
      </c>
      <c r="I910" s="5" t="n">
        <v>0</v>
      </c>
      <c r="J910" s="5" t="n">
        <v>0</v>
      </c>
      <c r="K910" s="5" t="n">
        <v>0</v>
      </c>
      <c r="L910" s="5" t="n">
        <v>0</v>
      </c>
      <c r="M910" s="5" t="n">
        <v>0</v>
      </c>
      <c r="N910" s="5" t="n">
        <v>0</v>
      </c>
      <c r="O910" s="5" t="n">
        <v>0</v>
      </c>
      <c r="P910" s="5" t="n">
        <v>1</v>
      </c>
      <c r="Q910" s="5" t="n">
        <v>0</v>
      </c>
      <c r="R910" s="5" t="n">
        <v>0</v>
      </c>
      <c r="S910" s="5" t="n">
        <v>1</v>
      </c>
      <c r="T910" s="5" t="n">
        <v>0</v>
      </c>
      <c r="U910" s="5" t="inlineStr">
        <is>
          <t>testing</t>
        </is>
      </c>
      <c r="V910" s="5" t="n">
        <v>0</v>
      </c>
    </row>
    <row r="911">
      <c r="A911" s="5" t="n">
        <v>907</v>
      </c>
      <c r="B911" s="5" t="n">
        <v>0</v>
      </c>
      <c r="C911" s="6" t="n">
        <v>0.02262954691863145</v>
      </c>
      <c r="D911" s="6" t="n">
        <v>0.1792515511528983</v>
      </c>
      <c r="E911" s="6" t="n">
        <v>-1.003668658855008</v>
      </c>
      <c r="F911" s="6" t="n">
        <v>-0.8850484360866833</v>
      </c>
      <c r="G911" s="5" t="n">
        <v>1</v>
      </c>
      <c r="H911" s="5" t="n">
        <v>0</v>
      </c>
      <c r="I911" s="5" t="n">
        <v>0</v>
      </c>
      <c r="J911" s="5" t="n">
        <v>0</v>
      </c>
      <c r="K911" s="5" t="n">
        <v>0</v>
      </c>
      <c r="L911" s="5" t="n">
        <v>0</v>
      </c>
      <c r="M911" s="5" t="n">
        <v>0</v>
      </c>
      <c r="N911" s="5" t="n">
        <v>0</v>
      </c>
      <c r="O911" s="5" t="n">
        <v>1</v>
      </c>
      <c r="P911" s="5" t="n">
        <v>0</v>
      </c>
      <c r="Q911" s="5" t="n">
        <v>0</v>
      </c>
      <c r="R911" s="5" t="n">
        <v>1</v>
      </c>
      <c r="S911" s="5" t="n">
        <v>0</v>
      </c>
      <c r="T911" s="5" t="n">
        <v>0</v>
      </c>
      <c r="U911" s="5" t="inlineStr">
        <is>
          <t>training</t>
        </is>
      </c>
      <c r="V911" s="5" t="n">
        <v>1</v>
      </c>
    </row>
    <row r="912">
      <c r="A912" s="5" t="n">
        <v>908</v>
      </c>
      <c r="B912" s="5" t="n">
        <v>0</v>
      </c>
      <c r="C912" s="6" t="n">
        <v>1.286513816310289</v>
      </c>
      <c r="D912" s="6" t="n">
        <v>0.1610571285804721</v>
      </c>
      <c r="E912" s="6" t="n">
        <v>-0.7427495967609852</v>
      </c>
      <c r="F912" s="6" t="n">
        <v>-0.8850484360866833</v>
      </c>
      <c r="G912" s="5" t="n">
        <v>0</v>
      </c>
      <c r="H912" s="5" t="n">
        <v>1</v>
      </c>
      <c r="I912" s="5" t="n">
        <v>0</v>
      </c>
      <c r="J912" s="5" t="n">
        <v>0</v>
      </c>
      <c r="K912" s="5" t="n">
        <v>0</v>
      </c>
      <c r="L912" s="5" t="n">
        <v>0</v>
      </c>
      <c r="M912" s="5" t="n">
        <v>0</v>
      </c>
      <c r="N912" s="5" t="n">
        <v>0</v>
      </c>
      <c r="O912" s="5" t="n">
        <v>1</v>
      </c>
      <c r="P912" s="5" t="n">
        <v>0</v>
      </c>
      <c r="Q912" s="5" t="n">
        <v>0</v>
      </c>
      <c r="R912" s="5" t="n">
        <v>0</v>
      </c>
      <c r="S912" s="5" t="n">
        <v>0</v>
      </c>
      <c r="T912" s="5" t="n">
        <v>0</v>
      </c>
      <c r="U912" s="5" t="inlineStr">
        <is>
          <t>testing</t>
        </is>
      </c>
      <c r="V912" s="5" t="n">
        <v>0</v>
      </c>
    </row>
    <row r="913">
      <c r="A913" s="5" t="n">
        <v>909</v>
      </c>
      <c r="B913" s="5" t="n">
        <v>0</v>
      </c>
      <c r="C913" s="6" t="n">
        <v>-0.4829241608380317</v>
      </c>
      <c r="D913" s="6" t="n">
        <v>0.120119677792513</v>
      </c>
      <c r="E913" s="6" t="n">
        <v>0.9097377965011599</v>
      </c>
      <c r="F913" s="6" t="n">
        <v>-1.786844513613144</v>
      </c>
      <c r="G913" s="5" t="n">
        <v>0</v>
      </c>
      <c r="H913" s="5" t="n">
        <v>0</v>
      </c>
      <c r="I913" s="5" t="n">
        <v>0</v>
      </c>
      <c r="J913" s="5" t="n">
        <v>0</v>
      </c>
      <c r="K913" s="5" t="n">
        <v>1</v>
      </c>
      <c r="L913" s="5" t="n">
        <v>0</v>
      </c>
      <c r="M913" s="5" t="n">
        <v>0</v>
      </c>
      <c r="N913" s="5" t="n">
        <v>0</v>
      </c>
      <c r="O913" s="5" t="n">
        <v>0</v>
      </c>
      <c r="P913" s="5" t="n">
        <v>0</v>
      </c>
      <c r="Q913" s="5" t="n">
        <v>0</v>
      </c>
      <c r="R913" s="5" t="n">
        <v>1</v>
      </c>
      <c r="S913" s="5" t="n">
        <v>0</v>
      </c>
      <c r="T913" s="5" t="n">
        <v>0</v>
      </c>
      <c r="U913" s="5" t="inlineStr">
        <is>
          <t>training</t>
        </is>
      </c>
      <c r="V913" s="5" t="n">
        <v>1</v>
      </c>
    </row>
    <row r="914">
      <c r="A914" s="5" t="n">
        <v>910</v>
      </c>
      <c r="B914" s="5" t="n">
        <v>0</v>
      </c>
      <c r="C914" s="6" t="n">
        <v>-0.9884778685946948</v>
      </c>
      <c r="D914" s="6" t="n">
        <v>-0.01948752617668076</v>
      </c>
      <c r="E914" s="6" t="n">
        <v>-0.2209114725729393</v>
      </c>
      <c r="F914" s="6" t="n">
        <v>-1.786844513613144</v>
      </c>
      <c r="G914" s="5" t="n">
        <v>0</v>
      </c>
      <c r="H914" s="5" t="n">
        <v>1</v>
      </c>
      <c r="I914" s="5" t="n">
        <v>0</v>
      </c>
      <c r="J914" s="5" t="n">
        <v>0</v>
      </c>
      <c r="K914" s="5" t="n">
        <v>0</v>
      </c>
      <c r="L914" s="5" t="n">
        <v>0</v>
      </c>
      <c r="M914" s="5" t="n">
        <v>0</v>
      </c>
      <c r="N914" s="5" t="n">
        <v>0</v>
      </c>
      <c r="O914" s="5" t="n">
        <v>1</v>
      </c>
      <c r="P914" s="5" t="n">
        <v>0</v>
      </c>
      <c r="Q914" s="5" t="n">
        <v>0</v>
      </c>
      <c r="R914" s="5" t="n">
        <v>1</v>
      </c>
      <c r="S914" s="5" t="n">
        <v>0</v>
      </c>
      <c r="T914" s="5" t="n">
        <v>0</v>
      </c>
      <c r="U914" s="5" t="inlineStr">
        <is>
          <t>testing</t>
        </is>
      </c>
      <c r="V914" s="5" t="n">
        <v>0</v>
      </c>
    </row>
    <row r="915">
      <c r="A915" s="5" t="n">
        <v>911</v>
      </c>
      <c r="B915" s="5" t="n">
        <v>0</v>
      </c>
      <c r="C915" s="6" t="n">
        <v>1.286513816310289</v>
      </c>
      <c r="D915" s="6" t="n">
        <v>0.421027435721101</v>
      </c>
      <c r="E915" s="6" t="n">
        <v>-0.1339384518749317</v>
      </c>
      <c r="F915" s="6" t="n">
        <v>0.9185437189662378</v>
      </c>
      <c r="G915" s="5" t="n">
        <v>0</v>
      </c>
      <c r="H915" s="5" t="n">
        <v>0</v>
      </c>
      <c r="I915" s="5" t="n">
        <v>0</v>
      </c>
      <c r="J915" s="5" t="n">
        <v>0</v>
      </c>
      <c r="K915" s="5" t="n">
        <v>1</v>
      </c>
      <c r="L915" s="5" t="n">
        <v>0</v>
      </c>
      <c r="M915" s="5" t="n">
        <v>0</v>
      </c>
      <c r="N915" s="5" t="n">
        <v>0</v>
      </c>
      <c r="O915" s="5" t="n">
        <v>0</v>
      </c>
      <c r="P915" s="5" t="n">
        <v>0</v>
      </c>
      <c r="Q915" s="5" t="n">
        <v>0</v>
      </c>
      <c r="R915" s="5" t="n">
        <v>0</v>
      </c>
      <c r="S915" s="5" t="n">
        <v>1</v>
      </c>
      <c r="T915" s="5" t="n">
        <v>0</v>
      </c>
      <c r="U915" s="5" t="inlineStr">
        <is>
          <t>training</t>
        </is>
      </c>
      <c r="V915" s="5" t="n">
        <v>0</v>
      </c>
    </row>
    <row r="916">
      <c r="A916" s="5" t="n">
        <v>912</v>
      </c>
      <c r="B916" s="5" t="n">
        <v>1</v>
      </c>
      <c r="C916" s="6" t="n">
        <v>0.275406400796963</v>
      </c>
      <c r="D916" s="6" t="n">
        <v>0.5196971889023357</v>
      </c>
      <c r="E916" s="6" t="n">
        <v>-0.9166956381570004</v>
      </c>
      <c r="F916" s="6" t="n">
        <v>-0.8850484360866833</v>
      </c>
      <c r="G916" s="5" t="n">
        <v>0</v>
      </c>
      <c r="H916" s="5" t="n">
        <v>1</v>
      </c>
      <c r="I916" s="5" t="n">
        <v>0</v>
      </c>
      <c r="J916" s="5" t="n">
        <v>1</v>
      </c>
      <c r="K916" s="5" t="n">
        <v>0</v>
      </c>
      <c r="L916" s="5" t="n">
        <v>0</v>
      </c>
      <c r="M916" s="5" t="n">
        <v>0</v>
      </c>
      <c r="N916" s="5" t="n">
        <v>0</v>
      </c>
      <c r="O916" s="5" t="n">
        <v>0</v>
      </c>
      <c r="P916" s="5" t="n">
        <v>0</v>
      </c>
      <c r="Q916" s="5" t="n">
        <v>0</v>
      </c>
      <c r="R916" s="5" t="n">
        <v>0</v>
      </c>
      <c r="S916" s="5" t="n">
        <v>0</v>
      </c>
      <c r="T916" s="5" t="n">
        <v>1</v>
      </c>
      <c r="U916" s="5" t="inlineStr">
        <is>
          <t>testing</t>
        </is>
      </c>
      <c r="V916" s="5" t="n">
        <v>0</v>
      </c>
    </row>
    <row r="917">
      <c r="A917" s="5" t="n">
        <v>913</v>
      </c>
      <c r="B917" s="5" t="n">
        <v>0</v>
      </c>
      <c r="C917" s="6" t="n">
        <v>0.7809601085536261</v>
      </c>
      <c r="D917" s="6" t="n">
        <v>-0.09086564549927606</v>
      </c>
      <c r="E917" s="6" t="n">
        <v>-0.9166956381570004</v>
      </c>
      <c r="F917" s="6" t="n">
        <v>-0.8850484360866833</v>
      </c>
      <c r="G917" s="5" t="n">
        <v>0</v>
      </c>
      <c r="H917" s="5" t="n">
        <v>1</v>
      </c>
      <c r="I917" s="5" t="n">
        <v>0</v>
      </c>
      <c r="J917" s="5" t="n">
        <v>0</v>
      </c>
      <c r="K917" s="5" t="n">
        <v>0</v>
      </c>
      <c r="L917" s="5" t="n">
        <v>0</v>
      </c>
      <c r="M917" s="5" t="n">
        <v>0</v>
      </c>
      <c r="N917" s="5" t="n">
        <v>0</v>
      </c>
      <c r="O917" s="5" t="n">
        <v>1</v>
      </c>
      <c r="P917" s="5" t="n">
        <v>0</v>
      </c>
      <c r="Q917" s="5" t="n">
        <v>0</v>
      </c>
      <c r="R917" s="5" t="n">
        <v>0</v>
      </c>
      <c r="S917" s="5" t="n">
        <v>1</v>
      </c>
      <c r="T917" s="5" t="n">
        <v>0</v>
      </c>
      <c r="U917" s="5" t="inlineStr">
        <is>
          <t>training</t>
        </is>
      </c>
      <c r="V917" s="5" t="n">
        <v>1</v>
      </c>
    </row>
    <row r="918">
      <c r="A918" s="5" t="n">
        <v>914</v>
      </c>
      <c r="B918" s="5" t="n">
        <v>0</v>
      </c>
      <c r="C918" s="6" t="n">
        <v>-0.8199599660091405</v>
      </c>
      <c r="D918" s="6" t="n">
        <v>-0.3879245832683124</v>
      </c>
      <c r="E918" s="6" t="n">
        <v>-0.6557765760629775</v>
      </c>
      <c r="F918" s="6" t="n">
        <v>-1.786844513613144</v>
      </c>
      <c r="G918" s="5" t="n">
        <v>0</v>
      </c>
      <c r="H918" s="5" t="n">
        <v>0</v>
      </c>
      <c r="I918" s="5" t="n">
        <v>0</v>
      </c>
      <c r="J918" s="5" t="n">
        <v>0</v>
      </c>
      <c r="K918" s="5" t="n">
        <v>0</v>
      </c>
      <c r="L918" s="5" t="n">
        <v>0</v>
      </c>
      <c r="M918" s="5" t="n">
        <v>0</v>
      </c>
      <c r="N918" s="5" t="n">
        <v>1</v>
      </c>
      <c r="O918" s="5" t="n">
        <v>0</v>
      </c>
      <c r="P918" s="5" t="n">
        <v>0</v>
      </c>
      <c r="Q918" s="5" t="n">
        <v>0</v>
      </c>
      <c r="R918" s="5" t="n">
        <v>0</v>
      </c>
      <c r="S918" s="5" t="n">
        <v>0</v>
      </c>
      <c r="T918" s="5" t="n">
        <v>0</v>
      </c>
      <c r="U918" s="5" t="inlineStr">
        <is>
          <t>training</t>
        </is>
      </c>
      <c r="V918" s="5" t="n">
        <v>1</v>
      </c>
    </row>
    <row r="919">
      <c r="A919" s="5" t="n">
        <v>915</v>
      </c>
      <c r="B919" s="5" t="n">
        <v>1</v>
      </c>
      <c r="C919" s="6" t="n">
        <v>0.275406400796963</v>
      </c>
      <c r="D919" s="6" t="n">
        <v>-0.03138387939711331</v>
      </c>
      <c r="E919" s="6" t="n">
        <v>-0.3948575139689546</v>
      </c>
      <c r="F919" s="6" t="n">
        <v>0.9185437189662378</v>
      </c>
      <c r="G919" s="5" t="n">
        <v>1</v>
      </c>
      <c r="H919" s="5" t="n">
        <v>0</v>
      </c>
      <c r="I919" s="5" t="n">
        <v>0</v>
      </c>
      <c r="J919" s="5" t="n">
        <v>0</v>
      </c>
      <c r="K919" s="5" t="n">
        <v>0</v>
      </c>
      <c r="L919" s="5" t="n">
        <v>1</v>
      </c>
      <c r="M919" s="5" t="n">
        <v>0</v>
      </c>
      <c r="N919" s="5" t="n">
        <v>0</v>
      </c>
      <c r="O919" s="5" t="n">
        <v>0</v>
      </c>
      <c r="P919" s="5" t="n">
        <v>1</v>
      </c>
      <c r="Q919" s="5" t="n">
        <v>0</v>
      </c>
      <c r="R919" s="5" t="n">
        <v>0</v>
      </c>
      <c r="S919" s="5" t="n">
        <v>0</v>
      </c>
      <c r="T919" s="5" t="n">
        <v>0</v>
      </c>
      <c r="U919" s="5" t="inlineStr">
        <is>
          <t>training</t>
        </is>
      </c>
      <c r="V919" s="5" t="n">
        <v>1</v>
      </c>
    </row>
    <row r="920">
      <c r="A920" s="5" t="n">
        <v>916</v>
      </c>
      <c r="B920" s="5" t="n">
        <v>1</v>
      </c>
      <c r="C920" s="6" t="n">
        <v>2.297621231823615</v>
      </c>
      <c r="D920" s="6" t="n">
        <v>5.30902903835177</v>
      </c>
      <c r="E920" s="6" t="n">
        <v>-0.307884493270947</v>
      </c>
      <c r="F920" s="6" t="n">
        <v>-1.786844513613144</v>
      </c>
      <c r="G920" s="5" t="n">
        <v>0</v>
      </c>
      <c r="H920" s="5" t="n">
        <v>1</v>
      </c>
      <c r="I920" s="5" t="n">
        <v>0</v>
      </c>
      <c r="J920" s="5" t="n">
        <v>0</v>
      </c>
      <c r="K920" s="5" t="n">
        <v>0</v>
      </c>
      <c r="L920" s="5" t="n">
        <v>1</v>
      </c>
      <c r="M920" s="5" t="n">
        <v>0</v>
      </c>
      <c r="N920" s="5" t="n">
        <v>0</v>
      </c>
      <c r="O920" s="5" t="n">
        <v>0</v>
      </c>
      <c r="P920" s="5" t="n">
        <v>0</v>
      </c>
      <c r="Q920" s="5" t="n">
        <v>0</v>
      </c>
      <c r="R920" s="5" t="n">
        <v>0</v>
      </c>
      <c r="S920" s="5" t="n">
        <v>0</v>
      </c>
      <c r="T920" s="5" t="n">
        <v>0</v>
      </c>
      <c r="U920" s="5" t="inlineStr">
        <is>
          <t>testing</t>
        </is>
      </c>
      <c r="V920" s="5" t="n">
        <v>0</v>
      </c>
    </row>
    <row r="921">
      <c r="A921" s="5" t="n">
        <v>917</v>
      </c>
      <c r="B921" s="5" t="n">
        <v>0</v>
      </c>
      <c r="C921" s="6" t="n">
        <v>-0.9042189173019176</v>
      </c>
      <c r="D921" s="6" t="n">
        <v>-0.1409003075734483</v>
      </c>
      <c r="E921" s="6" t="n">
        <v>-0.307884493270947</v>
      </c>
      <c r="F921" s="6" t="n">
        <v>-1.786844513613144</v>
      </c>
      <c r="G921" s="5" t="n">
        <v>0</v>
      </c>
      <c r="H921" s="5" t="n">
        <v>0</v>
      </c>
      <c r="I921" s="5" t="n">
        <v>0</v>
      </c>
      <c r="J921" s="5" t="n">
        <v>0</v>
      </c>
      <c r="K921" s="5" t="n">
        <v>0</v>
      </c>
      <c r="L921" s="5" t="n">
        <v>0</v>
      </c>
      <c r="M921" s="5" t="n">
        <v>1</v>
      </c>
      <c r="N921" s="5" t="n">
        <v>0</v>
      </c>
      <c r="O921" s="5" t="n">
        <v>0</v>
      </c>
      <c r="P921" s="5" t="n">
        <v>0</v>
      </c>
      <c r="Q921" s="5" t="n">
        <v>0</v>
      </c>
      <c r="R921" s="5" t="n">
        <v>1</v>
      </c>
      <c r="S921" s="5" t="n">
        <v>0</v>
      </c>
      <c r="T921" s="5" t="n">
        <v>0</v>
      </c>
      <c r="U921" s="5" t="inlineStr">
        <is>
          <t>testing</t>
        </is>
      </c>
      <c r="V921" s="5" t="n">
        <v>0</v>
      </c>
    </row>
    <row r="922">
      <c r="A922" s="5" t="n">
        <v>918</v>
      </c>
      <c r="B922" s="5" t="n">
        <v>1</v>
      </c>
      <c r="C922" s="6" t="n">
        <v>-1.241254722473026</v>
      </c>
      <c r="D922" s="6" t="n">
        <v>4.074607445361003</v>
      </c>
      <c r="E922" s="6" t="n">
        <v>2.823144251857328</v>
      </c>
      <c r="F922" s="6" t="n">
        <v>-1.786844513613144</v>
      </c>
      <c r="G922" s="5" t="n">
        <v>1</v>
      </c>
      <c r="H922" s="5" t="n">
        <v>0</v>
      </c>
      <c r="I922" s="5" t="n">
        <v>0</v>
      </c>
      <c r="J922" s="5" t="n">
        <v>0</v>
      </c>
      <c r="K922" s="5" t="n">
        <v>0</v>
      </c>
      <c r="L922" s="5" t="n">
        <v>0</v>
      </c>
      <c r="M922" s="5" t="n">
        <v>0</v>
      </c>
      <c r="N922" s="5" t="n">
        <v>0</v>
      </c>
      <c r="O922" s="5" t="n">
        <v>0</v>
      </c>
      <c r="P922" s="5" t="n">
        <v>0</v>
      </c>
      <c r="Q922" s="5" t="n">
        <v>0</v>
      </c>
      <c r="R922" s="5" t="n">
        <v>1</v>
      </c>
      <c r="S922" s="5" t="n">
        <v>0</v>
      </c>
      <c r="T922" s="5" t="n">
        <v>0</v>
      </c>
      <c r="U922" s="5" t="inlineStr">
        <is>
          <t>training</t>
        </is>
      </c>
      <c r="V922" s="5" t="n">
        <v>1</v>
      </c>
    </row>
    <row r="923">
      <c r="A923" s="5" t="n">
        <v>919</v>
      </c>
      <c r="B923" s="5" t="n">
        <v>1</v>
      </c>
      <c r="C923" s="6" t="n">
        <v>0.275406400796963</v>
      </c>
      <c r="D923" s="6" t="n">
        <v>-0.3119978583026105</v>
      </c>
      <c r="E923" s="6" t="n">
        <v>-0.2209114725729393</v>
      </c>
      <c r="F923" s="6" t="n">
        <v>-1.786844513613144</v>
      </c>
      <c r="G923" s="5" t="n">
        <v>1</v>
      </c>
      <c r="H923" s="5" t="n">
        <v>0</v>
      </c>
      <c r="I923" s="5" t="n">
        <v>0</v>
      </c>
      <c r="J923" s="5" t="n">
        <v>0</v>
      </c>
      <c r="K923" s="5" t="n">
        <v>0</v>
      </c>
      <c r="L923" s="5" t="n">
        <v>0</v>
      </c>
      <c r="M923" s="5" t="n">
        <v>1</v>
      </c>
      <c r="N923" s="5" t="n">
        <v>0</v>
      </c>
      <c r="O923" s="5" t="n">
        <v>0</v>
      </c>
      <c r="P923" s="5" t="n">
        <v>0</v>
      </c>
      <c r="Q923" s="5" t="n">
        <v>0</v>
      </c>
      <c r="R923" s="5" t="n">
        <v>0</v>
      </c>
      <c r="S923" s="5" t="n">
        <v>0</v>
      </c>
      <c r="T923" s="5" t="n">
        <v>1</v>
      </c>
      <c r="U923" s="5" t="inlineStr">
        <is>
          <t>training</t>
        </is>
      </c>
      <c r="V923" s="5" t="n">
        <v>1</v>
      </c>
    </row>
    <row r="924">
      <c r="A924" s="5" t="n">
        <v>920</v>
      </c>
      <c r="B924" s="5" t="n">
        <v>1</v>
      </c>
      <c r="C924" s="6" t="n">
        <v>0.275406400796963</v>
      </c>
      <c r="D924" s="6" t="n">
        <v>0.03299638508993343</v>
      </c>
      <c r="E924" s="6" t="n">
        <v>0.3009266516151065</v>
      </c>
      <c r="F924" s="6" t="n">
        <v>0.9185437189662378</v>
      </c>
      <c r="G924" s="5" t="n">
        <v>1</v>
      </c>
      <c r="H924" s="5" t="n">
        <v>0</v>
      </c>
      <c r="I924" s="5" t="n">
        <v>0</v>
      </c>
      <c r="J924" s="5" t="n">
        <v>0</v>
      </c>
      <c r="K924" s="5" t="n">
        <v>0</v>
      </c>
      <c r="L924" s="5" t="n">
        <v>0</v>
      </c>
      <c r="M924" s="5" t="n">
        <v>0</v>
      </c>
      <c r="N924" s="5" t="n">
        <v>0</v>
      </c>
      <c r="O924" s="5" t="n">
        <v>0</v>
      </c>
      <c r="P924" s="5" t="n">
        <v>1</v>
      </c>
      <c r="Q924" s="5" t="n">
        <v>0</v>
      </c>
      <c r="R924" s="5" t="n">
        <v>0</v>
      </c>
      <c r="S924" s="5" t="n">
        <v>0</v>
      </c>
      <c r="T924" s="5" t="n">
        <v>1</v>
      </c>
      <c r="U924" s="5" t="inlineStr">
        <is>
          <t>training</t>
        </is>
      </c>
      <c r="V924" s="5" t="n">
        <v>1</v>
      </c>
    </row>
    <row r="925">
      <c r="A925" s="5" t="n">
        <v>921</v>
      </c>
      <c r="B925" s="5" t="n">
        <v>0</v>
      </c>
      <c r="C925" s="6" t="n">
        <v>-0.2301473069597001</v>
      </c>
      <c r="D925" s="6" t="n">
        <v>-0.5016397243459765</v>
      </c>
      <c r="E925" s="6" t="n">
        <v>-0.6557765760629775</v>
      </c>
      <c r="F925" s="6" t="n">
        <v>0.9185437189662378</v>
      </c>
      <c r="G925" s="5" t="n">
        <v>0</v>
      </c>
      <c r="H925" s="5" t="n">
        <v>0</v>
      </c>
      <c r="I925" s="5" t="n">
        <v>0</v>
      </c>
      <c r="J925" s="5" t="n">
        <v>1</v>
      </c>
      <c r="K925" s="5" t="n">
        <v>0</v>
      </c>
      <c r="L925" s="5" t="n">
        <v>0</v>
      </c>
      <c r="M925" s="5" t="n">
        <v>0</v>
      </c>
      <c r="N925" s="5" t="n">
        <v>0</v>
      </c>
      <c r="O925" s="5" t="n">
        <v>0</v>
      </c>
      <c r="P925" s="5" t="n">
        <v>0</v>
      </c>
      <c r="Q925" s="5" t="n">
        <v>0</v>
      </c>
      <c r="R925" s="5" t="n">
        <v>0</v>
      </c>
      <c r="S925" s="5" t="n">
        <v>0</v>
      </c>
      <c r="T925" s="5" t="n">
        <v>1</v>
      </c>
      <c r="U925" s="5" t="inlineStr">
        <is>
          <t>testing</t>
        </is>
      </c>
      <c r="V925" s="5" t="n">
        <v>0</v>
      </c>
    </row>
    <row r="926">
      <c r="A926" s="5" t="n">
        <v>922</v>
      </c>
      <c r="B926" s="5" t="n">
        <v>0</v>
      </c>
      <c r="C926" s="6" t="n">
        <v>2.297621231823615</v>
      </c>
      <c r="D926" s="6" t="n">
        <v>3.323387728764866</v>
      </c>
      <c r="E926" s="6" t="n">
        <v>0.1269806102190912</v>
      </c>
      <c r="F926" s="6" t="n">
        <v>0.9185437189662378</v>
      </c>
      <c r="G926" s="5" t="n">
        <v>0</v>
      </c>
      <c r="H926" s="5" t="n">
        <v>0</v>
      </c>
      <c r="I926" s="5" t="n">
        <v>0</v>
      </c>
      <c r="J926" s="5" t="n">
        <v>0</v>
      </c>
      <c r="K926" s="5" t="n">
        <v>1</v>
      </c>
      <c r="L926" s="5" t="n">
        <v>0</v>
      </c>
      <c r="M926" s="5" t="n">
        <v>1</v>
      </c>
      <c r="N926" s="5" t="n">
        <v>0</v>
      </c>
      <c r="O926" s="5" t="n">
        <v>0</v>
      </c>
      <c r="P926" s="5" t="n">
        <v>0</v>
      </c>
      <c r="Q926" s="5" t="n">
        <v>0</v>
      </c>
      <c r="R926" s="5" t="n">
        <v>0</v>
      </c>
      <c r="S926" s="5" t="n">
        <v>1</v>
      </c>
      <c r="T926" s="5" t="n">
        <v>0</v>
      </c>
      <c r="U926" s="5" t="inlineStr">
        <is>
          <t>training</t>
        </is>
      </c>
      <c r="V926" s="5" t="n">
        <v>0</v>
      </c>
    </row>
    <row r="927">
      <c r="A927" s="5" t="n">
        <v>923</v>
      </c>
      <c r="B927" s="5" t="n">
        <v>1</v>
      </c>
      <c r="C927" s="6" t="n">
        <v>-0.9884778685946948</v>
      </c>
      <c r="D927" s="6" t="n">
        <v>-0.6594413508875965</v>
      </c>
      <c r="E927" s="6" t="n">
        <v>-1.177614700251023</v>
      </c>
      <c r="F927" s="6" t="n">
        <v>0.01674764143977723</v>
      </c>
      <c r="G927" s="5" t="n">
        <v>1</v>
      </c>
      <c r="H927" s="5" t="n">
        <v>0</v>
      </c>
      <c r="I927" s="5" t="n">
        <v>0</v>
      </c>
      <c r="J927" s="5" t="n">
        <v>0</v>
      </c>
      <c r="K927" s="5" t="n">
        <v>0</v>
      </c>
      <c r="L927" s="5" t="n">
        <v>0</v>
      </c>
      <c r="M927" s="5" t="n">
        <v>0</v>
      </c>
      <c r="N927" s="5" t="n">
        <v>0</v>
      </c>
      <c r="O927" s="5" t="n">
        <v>0</v>
      </c>
      <c r="P927" s="5" t="n">
        <v>1</v>
      </c>
      <c r="Q927" s="5" t="n">
        <v>0</v>
      </c>
      <c r="R927" s="5" t="n">
        <v>0</v>
      </c>
      <c r="S927" s="5" t="n">
        <v>1</v>
      </c>
      <c r="T927" s="5" t="n">
        <v>0</v>
      </c>
      <c r="U927" s="5" t="inlineStr">
        <is>
          <t>training</t>
        </is>
      </c>
      <c r="V927" s="5" t="n">
        <v>1</v>
      </c>
    </row>
    <row r="928">
      <c r="A928" s="5" t="n">
        <v>924</v>
      </c>
      <c r="B928" s="5" t="n">
        <v>0</v>
      </c>
      <c r="C928" s="6" t="n">
        <v>-0.7357010147163632</v>
      </c>
      <c r="D928" s="6" t="n">
        <v>-0.4369095671171523</v>
      </c>
      <c r="E928" s="6" t="n">
        <v>-0.4818305346669622</v>
      </c>
      <c r="F928" s="6" t="n">
        <v>0.01674764143977723</v>
      </c>
      <c r="G928" s="5" t="n">
        <v>0</v>
      </c>
      <c r="H928" s="5" t="n">
        <v>1</v>
      </c>
      <c r="I928" s="5" t="n">
        <v>0</v>
      </c>
      <c r="J928" s="5" t="n">
        <v>0</v>
      </c>
      <c r="K928" s="5" t="n">
        <v>0</v>
      </c>
      <c r="L928" s="5" t="n">
        <v>0</v>
      </c>
      <c r="M928" s="5" t="n">
        <v>0</v>
      </c>
      <c r="N928" s="5" t="n">
        <v>0</v>
      </c>
      <c r="O928" s="5" t="n">
        <v>0</v>
      </c>
      <c r="P928" s="5" t="n">
        <v>1</v>
      </c>
      <c r="Q928" s="5" t="n">
        <v>0</v>
      </c>
      <c r="R928" s="5" t="n">
        <v>1</v>
      </c>
      <c r="S928" s="5" t="n">
        <v>0</v>
      </c>
      <c r="T928" s="5" t="n">
        <v>0</v>
      </c>
      <c r="U928" s="5" t="inlineStr">
        <is>
          <t>training</t>
        </is>
      </c>
      <c r="V928" s="5" t="n">
        <v>1</v>
      </c>
    </row>
    <row r="929">
      <c r="A929" s="5" t="n">
        <v>925</v>
      </c>
      <c r="B929" s="5" t="n">
        <v>1</v>
      </c>
      <c r="C929" s="6" t="n">
        <v>0.275406400796963</v>
      </c>
      <c r="D929" s="6" t="n">
        <v>1.267068085338922</v>
      </c>
      <c r="E929" s="6" t="n">
        <v>1.692494982783229</v>
      </c>
      <c r="F929" s="6" t="n">
        <v>-0.8850484360866833</v>
      </c>
      <c r="G929" s="5" t="n">
        <v>1</v>
      </c>
      <c r="H929" s="5" t="n">
        <v>0</v>
      </c>
      <c r="I929" s="5" t="n">
        <v>0</v>
      </c>
      <c r="J929" s="5" t="n">
        <v>0</v>
      </c>
      <c r="K929" s="5" t="n">
        <v>0</v>
      </c>
      <c r="L929" s="5" t="n">
        <v>1</v>
      </c>
      <c r="M929" s="5" t="n">
        <v>0</v>
      </c>
      <c r="N929" s="5" t="n">
        <v>0</v>
      </c>
      <c r="O929" s="5" t="n">
        <v>0</v>
      </c>
      <c r="P929" s="5" t="n">
        <v>0</v>
      </c>
      <c r="Q929" s="5" t="n">
        <v>0</v>
      </c>
      <c r="R929" s="5" t="n">
        <v>0</v>
      </c>
      <c r="S929" s="5" t="n">
        <v>0</v>
      </c>
      <c r="T929" s="5" t="n">
        <v>1</v>
      </c>
      <c r="U929" s="5" t="inlineStr">
        <is>
          <t>training</t>
        </is>
      </c>
      <c r="V929" s="5" t="n">
        <v>1</v>
      </c>
    </row>
    <row r="930">
      <c r="A930" s="5" t="n">
        <v>926</v>
      </c>
      <c r="B930" s="5" t="n">
        <v>1</v>
      </c>
      <c r="C930" s="6" t="n">
        <v>-0.7357010147163632</v>
      </c>
      <c r="D930" s="6" t="n">
        <v>-0.8935195951366958</v>
      </c>
      <c r="E930" s="6" t="n">
        <v>0.9097377965011599</v>
      </c>
      <c r="F930" s="6" t="n">
        <v>0.9185437189662378</v>
      </c>
      <c r="G930" s="5" t="n">
        <v>1</v>
      </c>
      <c r="H930" s="5" t="n">
        <v>0</v>
      </c>
      <c r="I930" s="5" t="n">
        <v>0</v>
      </c>
      <c r="J930" s="5" t="n">
        <v>0</v>
      </c>
      <c r="K930" s="5" t="n">
        <v>0</v>
      </c>
      <c r="L930" s="5" t="n">
        <v>1</v>
      </c>
      <c r="M930" s="5" t="n">
        <v>0</v>
      </c>
      <c r="N930" s="5" t="n">
        <v>0</v>
      </c>
      <c r="O930" s="5" t="n">
        <v>0</v>
      </c>
      <c r="P930" s="5" t="n">
        <v>0</v>
      </c>
      <c r="Q930" s="5" t="n">
        <v>0</v>
      </c>
      <c r="R930" s="5" t="n">
        <v>1</v>
      </c>
      <c r="S930" s="5" t="n">
        <v>0</v>
      </c>
      <c r="T930" s="5" t="n">
        <v>0</v>
      </c>
      <c r="U930" s="5" t="inlineStr">
        <is>
          <t>training</t>
        </is>
      </c>
      <c r="V930" s="5" t="n">
        <v>1</v>
      </c>
    </row>
    <row r="931">
      <c r="A931" s="5" t="n">
        <v>927</v>
      </c>
      <c r="B931" s="5" t="n">
        <v>0</v>
      </c>
      <c r="C931" s="6" t="n">
        <v>-0.2301473069597001</v>
      </c>
      <c r="D931" s="6" t="n">
        <v>-0.7703573500310411</v>
      </c>
      <c r="E931" s="6" t="n">
        <v>-1.264587720949031</v>
      </c>
      <c r="F931" s="6" t="n">
        <v>0.9185437189662378</v>
      </c>
      <c r="G931" s="5" t="n">
        <v>1</v>
      </c>
      <c r="H931" s="5" t="n">
        <v>0</v>
      </c>
      <c r="I931" s="5" t="n">
        <v>0</v>
      </c>
      <c r="J931" s="5" t="n">
        <v>1</v>
      </c>
      <c r="K931" s="5" t="n">
        <v>0</v>
      </c>
      <c r="L931" s="5" t="n">
        <v>0</v>
      </c>
      <c r="M931" s="5" t="n">
        <v>0</v>
      </c>
      <c r="N931" s="5" t="n">
        <v>0</v>
      </c>
      <c r="O931" s="5" t="n">
        <v>0</v>
      </c>
      <c r="P931" s="5" t="n">
        <v>1</v>
      </c>
      <c r="Q931" s="5" t="n">
        <v>0</v>
      </c>
      <c r="R931" s="5" t="n">
        <v>0</v>
      </c>
      <c r="S931" s="5" t="n">
        <v>0</v>
      </c>
      <c r="T931" s="5" t="n">
        <v>1</v>
      </c>
      <c r="U931" s="5" t="inlineStr">
        <is>
          <t>training</t>
        </is>
      </c>
      <c r="V931" s="5" t="n">
        <v>1</v>
      </c>
    </row>
    <row r="932">
      <c r="A932" s="5" t="n">
        <v>928</v>
      </c>
      <c r="B932" s="5" t="n">
        <v>1</v>
      </c>
      <c r="C932" s="6" t="n">
        <v>2.297621231823615</v>
      </c>
      <c r="D932" s="6" t="n">
        <v>2.465450725926613</v>
      </c>
      <c r="E932" s="6" t="n">
        <v>0.3009266516151065</v>
      </c>
      <c r="F932" s="6" t="n">
        <v>0.9185437189662378</v>
      </c>
      <c r="G932" s="5" t="n">
        <v>1</v>
      </c>
      <c r="H932" s="5" t="n">
        <v>0</v>
      </c>
      <c r="I932" s="5" t="n">
        <v>0</v>
      </c>
      <c r="J932" s="5" t="n">
        <v>0</v>
      </c>
      <c r="K932" s="5" t="n">
        <v>0</v>
      </c>
      <c r="L932" s="5" t="n">
        <v>0</v>
      </c>
      <c r="M932" s="5" t="n">
        <v>0</v>
      </c>
      <c r="N932" s="5" t="n">
        <v>0</v>
      </c>
      <c r="O932" s="5" t="n">
        <v>0</v>
      </c>
      <c r="P932" s="5" t="n">
        <v>0</v>
      </c>
      <c r="Q932" s="5" t="n">
        <v>1</v>
      </c>
      <c r="R932" s="5" t="n">
        <v>1</v>
      </c>
      <c r="S932" s="5" t="n">
        <v>0</v>
      </c>
      <c r="T932" s="5" t="n">
        <v>0</v>
      </c>
      <c r="U932" s="5" t="inlineStr">
        <is>
          <t>testing</t>
        </is>
      </c>
      <c r="V932" s="5" t="n">
        <v>0</v>
      </c>
    </row>
    <row r="933">
      <c r="A933" s="5" t="n">
        <v>929</v>
      </c>
      <c r="B933" s="5" t="n">
        <v>0</v>
      </c>
      <c r="C933" s="6" t="n">
        <v>0.7809601085536261</v>
      </c>
      <c r="D933" s="6" t="n">
        <v>-0.4841450872571051</v>
      </c>
      <c r="E933" s="6" t="n">
        <v>1.953414044877252</v>
      </c>
      <c r="F933" s="6" t="n">
        <v>0.9185437189662378</v>
      </c>
      <c r="G933" s="5" t="n">
        <v>0</v>
      </c>
      <c r="H933" s="5" t="n">
        <v>0</v>
      </c>
      <c r="I933" s="5" t="n">
        <v>0</v>
      </c>
      <c r="J933" s="5" t="n">
        <v>0</v>
      </c>
      <c r="K933" s="5" t="n">
        <v>0</v>
      </c>
      <c r="L933" s="5" t="n">
        <v>0</v>
      </c>
      <c r="M933" s="5" t="n">
        <v>0</v>
      </c>
      <c r="N933" s="5" t="n">
        <v>0</v>
      </c>
      <c r="O933" s="5" t="n">
        <v>1</v>
      </c>
      <c r="P933" s="5" t="n">
        <v>0</v>
      </c>
      <c r="Q933" s="5" t="n">
        <v>0</v>
      </c>
      <c r="R933" s="5" t="n">
        <v>0</v>
      </c>
      <c r="S933" s="5" t="n">
        <v>1</v>
      </c>
      <c r="T933" s="5" t="n">
        <v>0</v>
      </c>
      <c r="U933" s="5" t="inlineStr">
        <is>
          <t>training</t>
        </is>
      </c>
      <c r="V933" s="5" t="n">
        <v>0</v>
      </c>
    </row>
    <row r="934">
      <c r="A934" s="5" t="n">
        <v>930</v>
      </c>
      <c r="B934" s="5" t="n">
        <v>0</v>
      </c>
      <c r="C934" s="6" t="n">
        <v>-0.7357010147163632</v>
      </c>
      <c r="D934" s="6" t="n">
        <v>-0.6671389912066998</v>
      </c>
      <c r="E934" s="6" t="n">
        <v>0.648818734407137</v>
      </c>
      <c r="F934" s="6" t="n">
        <v>0.9185437189662378</v>
      </c>
      <c r="G934" s="5" t="n">
        <v>1</v>
      </c>
      <c r="H934" s="5" t="n">
        <v>0</v>
      </c>
      <c r="I934" s="5" t="n">
        <v>0</v>
      </c>
      <c r="J934" s="5" t="n">
        <v>0</v>
      </c>
      <c r="K934" s="5" t="n">
        <v>1</v>
      </c>
      <c r="L934" s="5" t="n">
        <v>0</v>
      </c>
      <c r="M934" s="5" t="n">
        <v>0</v>
      </c>
      <c r="N934" s="5" t="n">
        <v>0</v>
      </c>
      <c r="O934" s="5" t="n">
        <v>0</v>
      </c>
      <c r="P934" s="5" t="n">
        <v>0</v>
      </c>
      <c r="Q934" s="5" t="n">
        <v>0</v>
      </c>
      <c r="R934" s="5" t="n">
        <v>1</v>
      </c>
      <c r="S934" s="5" t="n">
        <v>0</v>
      </c>
      <c r="T934" s="5" t="n">
        <v>0</v>
      </c>
      <c r="U934" s="5" t="inlineStr">
        <is>
          <t>training</t>
        </is>
      </c>
      <c r="V934" s="5" t="n">
        <v>0</v>
      </c>
    </row>
    <row r="935">
      <c r="A935" s="5" t="n">
        <v>931</v>
      </c>
      <c r="B935" s="5" t="n">
        <v>0</v>
      </c>
      <c r="C935" s="6" t="n">
        <v>0.275406400796963</v>
      </c>
      <c r="D935" s="6" t="n">
        <v>-0.5261322162703964</v>
      </c>
      <c r="E935" s="6" t="n">
        <v>-1.003668658855008</v>
      </c>
      <c r="F935" s="6" t="n">
        <v>0.9185437189662378</v>
      </c>
      <c r="G935" s="5" t="n">
        <v>1</v>
      </c>
      <c r="H935" s="5" t="n">
        <v>0</v>
      </c>
      <c r="I935" s="5" t="n">
        <v>0</v>
      </c>
      <c r="J935" s="5" t="n">
        <v>0</v>
      </c>
      <c r="K935" s="5" t="n">
        <v>0</v>
      </c>
      <c r="L935" s="5" t="n">
        <v>0</v>
      </c>
      <c r="M935" s="5" t="n">
        <v>0</v>
      </c>
      <c r="N935" s="5" t="n">
        <v>0</v>
      </c>
      <c r="O935" s="5" t="n">
        <v>0</v>
      </c>
      <c r="P935" s="5" t="n">
        <v>0</v>
      </c>
      <c r="Q935" s="5" t="n">
        <v>0</v>
      </c>
      <c r="R935" s="5" t="n">
        <v>0</v>
      </c>
      <c r="S935" s="5" t="n">
        <v>0</v>
      </c>
      <c r="T935" s="5" t="n">
        <v>1</v>
      </c>
      <c r="U935" s="5" t="inlineStr">
        <is>
          <t>training</t>
        </is>
      </c>
      <c r="V935" s="5" t="n">
        <v>0</v>
      </c>
    </row>
    <row r="936">
      <c r="A936" s="5" t="n">
        <v>932</v>
      </c>
      <c r="B936" s="5" t="n">
        <v>1</v>
      </c>
      <c r="C936" s="6" t="n">
        <v>-0.9884778685946948</v>
      </c>
      <c r="D936" s="6" t="n">
        <v>-0.5530739573872584</v>
      </c>
      <c r="E936" s="6" t="n">
        <v>-1.177614700251023</v>
      </c>
      <c r="F936" s="6" t="n">
        <v>0.9185437189662378</v>
      </c>
      <c r="G936" s="5" t="n">
        <v>0</v>
      </c>
      <c r="H936" s="5" t="n">
        <v>1</v>
      </c>
      <c r="I936" s="5" t="n">
        <v>0</v>
      </c>
      <c r="J936" s="5" t="n">
        <v>0</v>
      </c>
      <c r="K936" s="5" t="n">
        <v>0</v>
      </c>
      <c r="L936" s="5" t="n">
        <v>0</v>
      </c>
      <c r="M936" s="5" t="n">
        <v>0</v>
      </c>
      <c r="N936" s="5" t="n">
        <v>0</v>
      </c>
      <c r="O936" s="5" t="n">
        <v>0</v>
      </c>
      <c r="P936" s="5" t="n">
        <v>0</v>
      </c>
      <c r="Q936" s="5" t="n">
        <v>0</v>
      </c>
      <c r="R936" s="5" t="n">
        <v>0</v>
      </c>
      <c r="S936" s="5" t="n">
        <v>1</v>
      </c>
      <c r="T936" s="5" t="n">
        <v>0</v>
      </c>
      <c r="U936" s="5" t="inlineStr">
        <is>
          <t>training</t>
        </is>
      </c>
      <c r="V936" s="5" t="n">
        <v>1</v>
      </c>
    </row>
    <row r="937">
      <c r="A937" s="5" t="n">
        <v>933</v>
      </c>
      <c r="B937" s="5" t="n">
        <v>0</v>
      </c>
      <c r="C937" s="6" t="n">
        <v>-0.9884778685946948</v>
      </c>
      <c r="D937" s="6" t="n">
        <v>-0.7091261202199912</v>
      </c>
      <c r="E937" s="6" t="n">
        <v>-0.4818305346669622</v>
      </c>
      <c r="F937" s="6" t="n">
        <v>0.01674764143977723</v>
      </c>
      <c r="G937" s="5" t="n">
        <v>0</v>
      </c>
      <c r="H937" s="5" t="n">
        <v>0</v>
      </c>
      <c r="I937" s="5" t="n">
        <v>0</v>
      </c>
      <c r="J937" s="5" t="n">
        <v>1</v>
      </c>
      <c r="K937" s="5" t="n">
        <v>0</v>
      </c>
      <c r="L937" s="5" t="n">
        <v>0</v>
      </c>
      <c r="M937" s="5" t="n">
        <v>0</v>
      </c>
      <c r="N937" s="5" t="n">
        <v>0</v>
      </c>
      <c r="O937" s="5" t="n">
        <v>0</v>
      </c>
      <c r="P937" s="5" t="n">
        <v>0</v>
      </c>
      <c r="Q937" s="5" t="n">
        <v>0</v>
      </c>
      <c r="R937" s="5" t="n">
        <v>1</v>
      </c>
      <c r="S937" s="5" t="n">
        <v>0</v>
      </c>
      <c r="T937" s="5" t="n">
        <v>0</v>
      </c>
      <c r="U937" s="5" t="inlineStr">
        <is>
          <t>training</t>
        </is>
      </c>
      <c r="V937" s="5" t="n">
        <v>0</v>
      </c>
    </row>
    <row r="938">
      <c r="A938" s="5" t="n">
        <v>934</v>
      </c>
      <c r="B938" s="5" t="n">
        <v>0</v>
      </c>
      <c r="C938" s="6" t="n">
        <v>-0.7357010147163632</v>
      </c>
      <c r="D938" s="6" t="n">
        <v>-0.9547508249477457</v>
      </c>
      <c r="E938" s="6" t="n">
        <v>0.5618457137091294</v>
      </c>
      <c r="F938" s="6" t="n">
        <v>0.9185437189662378</v>
      </c>
      <c r="G938" s="5" t="n">
        <v>0</v>
      </c>
      <c r="H938" s="5" t="n">
        <v>0</v>
      </c>
      <c r="I938" s="5" t="n">
        <v>0</v>
      </c>
      <c r="J938" s="5" t="n">
        <v>1</v>
      </c>
      <c r="K938" s="5" t="n">
        <v>0</v>
      </c>
      <c r="L938" s="5" t="n">
        <v>0</v>
      </c>
      <c r="M938" s="5" t="n">
        <v>1</v>
      </c>
      <c r="N938" s="5" t="n">
        <v>0</v>
      </c>
      <c r="O938" s="5" t="n">
        <v>0</v>
      </c>
      <c r="P938" s="5" t="n">
        <v>0</v>
      </c>
      <c r="Q938" s="5" t="n">
        <v>0</v>
      </c>
      <c r="R938" s="5" t="n">
        <v>0</v>
      </c>
      <c r="S938" s="5" t="n">
        <v>1</v>
      </c>
      <c r="T938" s="5" t="n">
        <v>0</v>
      </c>
      <c r="U938" s="5" t="inlineStr">
        <is>
          <t>training</t>
        </is>
      </c>
      <c r="V938" s="5" t="n">
        <v>0</v>
      </c>
    </row>
    <row r="939">
      <c r="A939" s="5" t="n">
        <v>935</v>
      </c>
      <c r="B939" s="5" t="n">
        <v>0</v>
      </c>
      <c r="C939" s="6" t="n">
        <v>-0.7357010147163632</v>
      </c>
      <c r="D939" s="6" t="n">
        <v>-0.613255508972976</v>
      </c>
      <c r="E939" s="6" t="n">
        <v>-1.090641679553016</v>
      </c>
      <c r="F939" s="6" t="n">
        <v>0.9185437189662378</v>
      </c>
      <c r="G939" s="5" t="n">
        <v>1</v>
      </c>
      <c r="H939" s="5" t="n">
        <v>0</v>
      </c>
      <c r="I939" s="5" t="n">
        <v>0</v>
      </c>
      <c r="J939" s="5" t="n">
        <v>0</v>
      </c>
      <c r="K939" s="5" t="n">
        <v>0</v>
      </c>
      <c r="L939" s="5" t="n">
        <v>0</v>
      </c>
      <c r="M939" s="5" t="n">
        <v>0</v>
      </c>
      <c r="N939" s="5" t="n">
        <v>0</v>
      </c>
      <c r="O939" s="5" t="n">
        <v>0</v>
      </c>
      <c r="P939" s="5" t="n">
        <v>0</v>
      </c>
      <c r="Q939" s="5" t="n">
        <v>0</v>
      </c>
      <c r="R939" s="5" t="n">
        <v>0</v>
      </c>
      <c r="S939" s="5" t="n">
        <v>1</v>
      </c>
      <c r="T939" s="5" t="n">
        <v>0</v>
      </c>
      <c r="U939" s="5" t="inlineStr">
        <is>
          <t>training</t>
        </is>
      </c>
      <c r="V939" s="5" t="n">
        <v>0</v>
      </c>
    </row>
    <row r="940">
      <c r="A940" s="5" t="n">
        <v>936</v>
      </c>
      <c r="B940" s="5" t="n">
        <v>1</v>
      </c>
      <c r="C940" s="6" t="n">
        <v>0.7809601085536261</v>
      </c>
      <c r="D940" s="6" t="n">
        <v>-0.4659506646846788</v>
      </c>
      <c r="E940" s="6" t="n">
        <v>-0.4818305346669622</v>
      </c>
      <c r="F940" s="6" t="n">
        <v>0.9185437189662378</v>
      </c>
      <c r="G940" s="5" t="n">
        <v>0</v>
      </c>
      <c r="H940" s="5" t="n">
        <v>1</v>
      </c>
      <c r="I940" s="5" t="n">
        <v>0</v>
      </c>
      <c r="J940" s="5" t="n">
        <v>0</v>
      </c>
      <c r="K940" s="5" t="n">
        <v>1</v>
      </c>
      <c r="L940" s="5" t="n">
        <v>0</v>
      </c>
      <c r="M940" s="5" t="n">
        <v>1</v>
      </c>
      <c r="N940" s="5" t="n">
        <v>0</v>
      </c>
      <c r="O940" s="5" t="n">
        <v>0</v>
      </c>
      <c r="P940" s="5" t="n">
        <v>0</v>
      </c>
      <c r="Q940" s="5" t="n">
        <v>0</v>
      </c>
      <c r="R940" s="5" t="n">
        <v>0</v>
      </c>
      <c r="S940" s="5" t="n">
        <v>1</v>
      </c>
      <c r="T940" s="5" t="n">
        <v>0</v>
      </c>
      <c r="U940" s="5" t="inlineStr">
        <is>
          <t>training</t>
        </is>
      </c>
      <c r="V940" s="5" t="n">
        <v>1</v>
      </c>
    </row>
    <row r="941">
      <c r="A941" s="5" t="n">
        <v>937</v>
      </c>
      <c r="B941" s="5" t="n">
        <v>1</v>
      </c>
      <c r="C941" s="6" t="n">
        <v>-0.9884778685946948</v>
      </c>
      <c r="D941" s="6" t="n">
        <v>-0.8767247435313792</v>
      </c>
      <c r="E941" s="6" t="n">
        <v>-0.6557765760629775</v>
      </c>
      <c r="F941" s="6" t="n">
        <v>0.01674764143977723</v>
      </c>
      <c r="G941" s="5" t="n">
        <v>0</v>
      </c>
      <c r="H941" s="5" t="n">
        <v>0</v>
      </c>
      <c r="I941" s="5" t="n">
        <v>1</v>
      </c>
      <c r="J941" s="5" t="n">
        <v>0</v>
      </c>
      <c r="K941" s="5" t="n">
        <v>0</v>
      </c>
      <c r="L941" s="5" t="n">
        <v>0</v>
      </c>
      <c r="M941" s="5" t="n">
        <v>0</v>
      </c>
      <c r="N941" s="5" t="n">
        <v>0</v>
      </c>
      <c r="O941" s="5" t="n">
        <v>0</v>
      </c>
      <c r="P941" s="5" t="n">
        <v>0</v>
      </c>
      <c r="Q941" s="5" t="n">
        <v>0</v>
      </c>
      <c r="R941" s="5" t="n">
        <v>0</v>
      </c>
      <c r="S941" s="5" t="n">
        <v>1</v>
      </c>
      <c r="T941" s="5" t="n">
        <v>0</v>
      </c>
      <c r="U941" s="5" t="inlineStr">
        <is>
          <t>training</t>
        </is>
      </c>
      <c r="V941" s="5" t="n">
        <v>1</v>
      </c>
    </row>
    <row r="942">
      <c r="A942" s="5" t="n">
        <v>938</v>
      </c>
      <c r="B942" s="5" t="n">
        <v>0</v>
      </c>
      <c r="C942" s="6" t="n">
        <v>-1.241254722473026</v>
      </c>
      <c r="D942" s="6" t="n">
        <v>-0.4155661098687292</v>
      </c>
      <c r="E942" s="6" t="n">
        <v>-0.4818305346669622</v>
      </c>
      <c r="F942" s="6" t="n">
        <v>0.9185437189662378</v>
      </c>
      <c r="G942" s="5" t="n">
        <v>0</v>
      </c>
      <c r="H942" s="5" t="n">
        <v>1</v>
      </c>
      <c r="I942" s="5" t="n">
        <v>0</v>
      </c>
      <c r="J942" s="5" t="n">
        <v>0</v>
      </c>
      <c r="K942" s="5" t="n">
        <v>0</v>
      </c>
      <c r="L942" s="5" t="n">
        <v>0</v>
      </c>
      <c r="M942" s="5" t="n">
        <v>0</v>
      </c>
      <c r="N942" s="5" t="n">
        <v>0</v>
      </c>
      <c r="O942" s="5" t="n">
        <v>0</v>
      </c>
      <c r="P942" s="5" t="n">
        <v>1</v>
      </c>
      <c r="Q942" s="5" t="n">
        <v>0</v>
      </c>
      <c r="R942" s="5" t="n">
        <v>0</v>
      </c>
      <c r="S942" s="5" t="n">
        <v>1</v>
      </c>
      <c r="T942" s="5" t="n">
        <v>0</v>
      </c>
      <c r="U942" s="5" t="inlineStr">
        <is>
          <t>training</t>
        </is>
      </c>
      <c r="V942" s="5" t="n">
        <v>0</v>
      </c>
    </row>
    <row r="943">
      <c r="A943" s="5" t="n">
        <v>939</v>
      </c>
      <c r="B943" s="5" t="n">
        <v>1</v>
      </c>
      <c r="C943" s="6" t="n">
        <v>3.308728647336942</v>
      </c>
      <c r="D943" s="6" t="n">
        <v>1.062730724140904</v>
      </c>
      <c r="E943" s="6" t="n">
        <v>0.5618457137091294</v>
      </c>
      <c r="F943" s="6" t="n">
        <v>0.9185437189662378</v>
      </c>
      <c r="G943" s="5" t="n">
        <v>0</v>
      </c>
      <c r="H943" s="5" t="n">
        <v>1</v>
      </c>
      <c r="I943" s="5" t="n">
        <v>0</v>
      </c>
      <c r="J943" s="5" t="n">
        <v>0</v>
      </c>
      <c r="K943" s="5" t="n">
        <v>0</v>
      </c>
      <c r="L943" s="5" t="n">
        <v>0</v>
      </c>
      <c r="M943" s="5" t="n">
        <v>0</v>
      </c>
      <c r="N943" s="5" t="n">
        <v>0</v>
      </c>
      <c r="O943" s="5" t="n">
        <v>0</v>
      </c>
      <c r="P943" s="5" t="n">
        <v>0</v>
      </c>
      <c r="Q943" s="5" t="n">
        <v>1</v>
      </c>
      <c r="R943" s="5" t="n">
        <v>0</v>
      </c>
      <c r="S943" s="5" t="n">
        <v>0</v>
      </c>
      <c r="T943" s="5" t="n">
        <v>0</v>
      </c>
      <c r="U943" s="5" t="inlineStr">
        <is>
          <t>testing</t>
        </is>
      </c>
      <c r="V943" s="5" t="n">
        <v>0</v>
      </c>
    </row>
    <row r="944">
      <c r="A944" s="5" t="n">
        <v>940</v>
      </c>
      <c r="B944" s="5" t="n">
        <v>0</v>
      </c>
      <c r="C944" s="6" t="n">
        <v>0.275406400796963</v>
      </c>
      <c r="D944" s="6" t="n">
        <v>1.256571303085599</v>
      </c>
      <c r="E944" s="6" t="n">
        <v>0.9097377965011599</v>
      </c>
      <c r="F944" s="6" t="n">
        <v>-0.8850484360866833</v>
      </c>
      <c r="G944" s="5" t="n">
        <v>0</v>
      </c>
      <c r="H944" s="5" t="n">
        <v>0</v>
      </c>
      <c r="I944" s="5" t="n">
        <v>0</v>
      </c>
      <c r="J944" s="5" t="n">
        <v>1</v>
      </c>
      <c r="K944" s="5" t="n">
        <v>0</v>
      </c>
      <c r="L944" s="5" t="n">
        <v>0</v>
      </c>
      <c r="M944" s="5" t="n">
        <v>0</v>
      </c>
      <c r="N944" s="5" t="n">
        <v>0</v>
      </c>
      <c r="O944" s="5" t="n">
        <v>1</v>
      </c>
      <c r="P944" s="5" t="n">
        <v>0</v>
      </c>
      <c r="Q944" s="5" t="n">
        <v>0</v>
      </c>
      <c r="R944" s="5" t="n">
        <v>1</v>
      </c>
      <c r="S944" s="5" t="n">
        <v>0</v>
      </c>
      <c r="T944" s="5" t="n">
        <v>0</v>
      </c>
      <c r="U944" s="5" t="inlineStr">
        <is>
          <t>training</t>
        </is>
      </c>
      <c r="V944" s="5" t="n">
        <v>0</v>
      </c>
    </row>
    <row r="945">
      <c r="A945" s="5" t="n">
        <v>941</v>
      </c>
      <c r="B945" s="5" t="n">
        <v>0</v>
      </c>
      <c r="C945" s="6" t="n">
        <v>-0.7357010147163632</v>
      </c>
      <c r="D945" s="6" t="n">
        <v>0.09667686409342532</v>
      </c>
      <c r="E945" s="6" t="n">
        <v>0.8227647758031523</v>
      </c>
      <c r="F945" s="6" t="n">
        <v>-0.8850484360866833</v>
      </c>
      <c r="G945" s="5" t="n">
        <v>0</v>
      </c>
      <c r="H945" s="5" t="n">
        <v>0</v>
      </c>
      <c r="I945" s="5" t="n">
        <v>0</v>
      </c>
      <c r="J945" s="5" t="n">
        <v>0</v>
      </c>
      <c r="K945" s="5" t="n">
        <v>0</v>
      </c>
      <c r="L945" s="5" t="n">
        <v>0</v>
      </c>
      <c r="M945" s="5" t="n">
        <v>0</v>
      </c>
      <c r="N945" s="5" t="n">
        <v>0</v>
      </c>
      <c r="O945" s="5" t="n">
        <v>1</v>
      </c>
      <c r="P945" s="5" t="n">
        <v>0</v>
      </c>
      <c r="Q945" s="5" t="n">
        <v>0</v>
      </c>
      <c r="R945" s="5" t="n">
        <v>1</v>
      </c>
      <c r="S945" s="5" t="n">
        <v>0</v>
      </c>
      <c r="T945" s="5" t="n">
        <v>0</v>
      </c>
      <c r="U945" s="5" t="inlineStr">
        <is>
          <t>testing</t>
        </is>
      </c>
      <c r="V945" s="5" t="n">
        <v>0</v>
      </c>
    </row>
    <row r="946">
      <c r="A946" s="5" t="n">
        <v>942</v>
      </c>
      <c r="B946" s="5" t="n">
        <v>0</v>
      </c>
      <c r="C946" s="6" t="n">
        <v>-0.9042189173019176</v>
      </c>
      <c r="D946" s="6" t="n">
        <v>-0.5964606573676594</v>
      </c>
      <c r="E946" s="6" t="n">
        <v>-0.3948575139689546</v>
      </c>
      <c r="F946" s="6" t="n">
        <v>0.01674764143977723</v>
      </c>
      <c r="G946" s="5" t="n">
        <v>0</v>
      </c>
      <c r="H946" s="5" t="n">
        <v>0</v>
      </c>
      <c r="I946" s="5" t="n">
        <v>0</v>
      </c>
      <c r="J946" s="5" t="n">
        <v>0</v>
      </c>
      <c r="K946" s="5" t="n">
        <v>0</v>
      </c>
      <c r="L946" s="5" t="n">
        <v>0</v>
      </c>
      <c r="M946" s="5" t="n">
        <v>0</v>
      </c>
      <c r="N946" s="5" t="n">
        <v>0</v>
      </c>
      <c r="O946" s="5" t="n">
        <v>0</v>
      </c>
      <c r="P946" s="5" t="n">
        <v>0</v>
      </c>
      <c r="Q946" s="5" t="n">
        <v>0</v>
      </c>
      <c r="R946" s="5" t="n">
        <v>1</v>
      </c>
      <c r="S946" s="5" t="n">
        <v>0</v>
      </c>
      <c r="T946" s="5" t="n">
        <v>0</v>
      </c>
      <c r="U946" s="5" t="inlineStr">
        <is>
          <t>testing</t>
        </is>
      </c>
      <c r="V946" s="5" t="n">
        <v>0</v>
      </c>
    </row>
    <row r="947">
      <c r="A947" s="5" t="n">
        <v>943</v>
      </c>
      <c r="B947" s="5" t="n">
        <v>0</v>
      </c>
      <c r="C947" s="6" t="n">
        <v>0.275406400796963</v>
      </c>
      <c r="D947" s="6" t="n">
        <v>-0.8123444790443325</v>
      </c>
      <c r="E947" s="6" t="n">
        <v>-0.3948575139689546</v>
      </c>
      <c r="F947" s="6" t="n">
        <v>0.9185437189662378</v>
      </c>
      <c r="G947" s="5" t="n">
        <v>0</v>
      </c>
      <c r="H947" s="5" t="n">
        <v>0</v>
      </c>
      <c r="I947" s="5" t="n">
        <v>0</v>
      </c>
      <c r="J947" s="5" t="n">
        <v>0</v>
      </c>
      <c r="K947" s="5" t="n">
        <v>0</v>
      </c>
      <c r="L947" s="5" t="n">
        <v>0</v>
      </c>
      <c r="M947" s="5" t="n">
        <v>0</v>
      </c>
      <c r="N947" s="5" t="n">
        <v>0</v>
      </c>
      <c r="O947" s="5" t="n">
        <v>1</v>
      </c>
      <c r="P947" s="5" t="n">
        <v>0</v>
      </c>
      <c r="Q947" s="5" t="n">
        <v>0</v>
      </c>
      <c r="R947" s="5" t="n">
        <v>0</v>
      </c>
      <c r="S947" s="5" t="n">
        <v>0</v>
      </c>
      <c r="T947" s="5" t="n">
        <v>1</v>
      </c>
      <c r="U947" s="5" t="inlineStr">
        <is>
          <t>training</t>
        </is>
      </c>
      <c r="V947" s="5" t="n">
        <v>0</v>
      </c>
    </row>
    <row r="948">
      <c r="A948" s="5" t="n">
        <v>944</v>
      </c>
      <c r="B948" s="5" t="n">
        <v>0</v>
      </c>
      <c r="C948" s="6" t="n">
        <v>-1.409772625058581</v>
      </c>
      <c r="D948" s="6" t="n">
        <v>-0.6283008968694054</v>
      </c>
      <c r="E948" s="6" t="n">
        <v>0.5618457137091294</v>
      </c>
      <c r="F948" s="6" t="n">
        <v>-0.8850484360866833</v>
      </c>
      <c r="G948" s="5" t="n">
        <v>0</v>
      </c>
      <c r="H948" s="5" t="n">
        <v>0</v>
      </c>
      <c r="I948" s="5" t="n">
        <v>0</v>
      </c>
      <c r="J948" s="5" t="n">
        <v>1</v>
      </c>
      <c r="K948" s="5" t="n">
        <v>0</v>
      </c>
      <c r="L948" s="5" t="n">
        <v>0</v>
      </c>
      <c r="M948" s="5" t="n">
        <v>0</v>
      </c>
      <c r="N948" s="5" t="n">
        <v>0</v>
      </c>
      <c r="O948" s="5" t="n">
        <v>0</v>
      </c>
      <c r="P948" s="5" t="n">
        <v>0</v>
      </c>
      <c r="Q948" s="5" t="n">
        <v>0</v>
      </c>
      <c r="R948" s="5" t="n">
        <v>1</v>
      </c>
      <c r="S948" s="5" t="n">
        <v>0</v>
      </c>
      <c r="T948" s="5" t="n">
        <v>0</v>
      </c>
      <c r="U948" s="5" t="inlineStr">
        <is>
          <t>training</t>
        </is>
      </c>
      <c r="V948" s="5" t="n">
        <v>1</v>
      </c>
    </row>
    <row r="949">
      <c r="A949" s="5" t="n">
        <v>945</v>
      </c>
      <c r="B949" s="5" t="n">
        <v>0</v>
      </c>
      <c r="C949" s="6" t="n">
        <v>-0.4829241608380317</v>
      </c>
      <c r="D949" s="6" t="n">
        <v>-0.4918427275762085</v>
      </c>
      <c r="E949" s="6" t="n">
        <v>0.9097377965011599</v>
      </c>
      <c r="F949" s="6" t="n">
        <v>0.9185437189662378</v>
      </c>
      <c r="G949" s="5" t="n">
        <v>1</v>
      </c>
      <c r="H949" s="5" t="n">
        <v>0</v>
      </c>
      <c r="I949" s="5" t="n">
        <v>0</v>
      </c>
      <c r="J949" s="5" t="n">
        <v>0</v>
      </c>
      <c r="K949" s="5" t="n">
        <v>0</v>
      </c>
      <c r="L949" s="5" t="n">
        <v>0</v>
      </c>
      <c r="M949" s="5" t="n">
        <v>0</v>
      </c>
      <c r="N949" s="5" t="n">
        <v>0</v>
      </c>
      <c r="O949" s="5" t="n">
        <v>0</v>
      </c>
      <c r="P949" s="5" t="n">
        <v>1</v>
      </c>
      <c r="Q949" s="5" t="n">
        <v>0</v>
      </c>
      <c r="R949" s="5" t="n">
        <v>0</v>
      </c>
      <c r="S949" s="5" t="n">
        <v>0</v>
      </c>
      <c r="T949" s="5" t="n">
        <v>1</v>
      </c>
      <c r="U949" s="5" t="inlineStr">
        <is>
          <t>training</t>
        </is>
      </c>
      <c r="V949" s="5" t="n">
        <v>0</v>
      </c>
    </row>
    <row r="950">
      <c r="A950" s="5" t="n">
        <v>946</v>
      </c>
      <c r="B950" s="5" t="n">
        <v>0</v>
      </c>
      <c r="C950" s="6" t="n">
        <v>2.297621231823615</v>
      </c>
      <c r="D950" s="6" t="n">
        <v>1.78700869962018</v>
      </c>
      <c r="E950" s="6" t="n">
        <v>-0.4818305346669622</v>
      </c>
      <c r="F950" s="6" t="n">
        <v>-1.786844513613144</v>
      </c>
      <c r="G950" s="5" t="n">
        <v>0</v>
      </c>
      <c r="H950" s="5" t="n">
        <v>1</v>
      </c>
      <c r="I950" s="5" t="n">
        <v>0</v>
      </c>
      <c r="J950" s="5" t="n">
        <v>0</v>
      </c>
      <c r="K950" s="5" t="n">
        <v>0</v>
      </c>
      <c r="L950" s="5" t="n">
        <v>1</v>
      </c>
      <c r="M950" s="5" t="n">
        <v>1</v>
      </c>
      <c r="N950" s="5" t="n">
        <v>0</v>
      </c>
      <c r="O950" s="5" t="n">
        <v>0</v>
      </c>
      <c r="P950" s="5" t="n">
        <v>0</v>
      </c>
      <c r="Q950" s="5" t="n">
        <v>0</v>
      </c>
      <c r="R950" s="5" t="n">
        <v>1</v>
      </c>
      <c r="S950" s="5" t="n">
        <v>0</v>
      </c>
      <c r="T950" s="5" t="n">
        <v>0</v>
      </c>
      <c r="U950" s="5" t="inlineStr">
        <is>
          <t>training</t>
        </is>
      </c>
      <c r="V950" s="5" t="n">
        <v>1</v>
      </c>
    </row>
    <row r="951">
      <c r="A951" s="5" t="n">
        <v>947</v>
      </c>
      <c r="B951" s="5" t="n">
        <v>1</v>
      </c>
      <c r="C951" s="6" t="n">
        <v>0.275406400796963</v>
      </c>
      <c r="D951" s="6" t="n">
        <v>0.03439595605704315</v>
      </c>
      <c r="E951" s="6" t="n">
        <v>-0.4818305346669622</v>
      </c>
      <c r="F951" s="6" t="n">
        <v>0.9185437189662378</v>
      </c>
      <c r="G951" s="5" t="n">
        <v>1</v>
      </c>
      <c r="H951" s="5" t="n">
        <v>0</v>
      </c>
      <c r="I951" s="5" t="n">
        <v>0</v>
      </c>
      <c r="J951" s="5" t="n">
        <v>0</v>
      </c>
      <c r="K951" s="5" t="n">
        <v>0</v>
      </c>
      <c r="L951" s="5" t="n">
        <v>1</v>
      </c>
      <c r="M951" s="5" t="n">
        <v>1</v>
      </c>
      <c r="N951" s="5" t="n">
        <v>0</v>
      </c>
      <c r="O951" s="5" t="n">
        <v>0</v>
      </c>
      <c r="P951" s="5" t="n">
        <v>0</v>
      </c>
      <c r="Q951" s="5" t="n">
        <v>1</v>
      </c>
      <c r="R951" s="5" t="n">
        <v>0</v>
      </c>
      <c r="S951" s="5" t="n">
        <v>0</v>
      </c>
      <c r="T951" s="5" t="n">
        <v>1</v>
      </c>
      <c r="U951" s="5" t="inlineStr">
        <is>
          <t>training</t>
        </is>
      </c>
      <c r="V951" s="5" t="n">
        <v>1</v>
      </c>
    </row>
    <row r="952">
      <c r="A952" s="5" t="n">
        <v>948</v>
      </c>
      <c r="B952" s="5" t="n">
        <v>0</v>
      </c>
      <c r="C952" s="6" t="n">
        <v>-0.7357010147163632</v>
      </c>
      <c r="D952" s="6" t="n">
        <v>-0.1370514874138966</v>
      </c>
      <c r="E952" s="6" t="n">
        <v>0.2139536309170988</v>
      </c>
      <c r="F952" s="6" t="n">
        <v>0.9185437189662378</v>
      </c>
      <c r="G952" s="5" t="n">
        <v>0</v>
      </c>
      <c r="H952" s="5" t="n">
        <v>0</v>
      </c>
      <c r="I952" s="5" t="n">
        <v>0</v>
      </c>
      <c r="J952" s="5" t="n">
        <v>0</v>
      </c>
      <c r="K952" s="5" t="n">
        <v>0</v>
      </c>
      <c r="L952" s="5" t="n">
        <v>0</v>
      </c>
      <c r="M952" s="5" t="n">
        <v>0</v>
      </c>
      <c r="N952" s="5" t="n">
        <v>0</v>
      </c>
      <c r="O952" s="5" t="n">
        <v>1</v>
      </c>
      <c r="P952" s="5" t="n">
        <v>0</v>
      </c>
      <c r="Q952" s="5" t="n">
        <v>0</v>
      </c>
      <c r="R952" s="5" t="n">
        <v>1</v>
      </c>
      <c r="S952" s="5" t="n">
        <v>0</v>
      </c>
      <c r="T952" s="5" t="n">
        <v>0</v>
      </c>
      <c r="U952" s="5" t="inlineStr">
        <is>
          <t>training</t>
        </is>
      </c>
      <c r="V952" s="5" t="n">
        <v>0</v>
      </c>
    </row>
    <row r="953">
      <c r="A953" s="5" t="n">
        <v>949</v>
      </c>
      <c r="B953" s="5" t="n">
        <v>1</v>
      </c>
      <c r="C953" s="6" t="n">
        <v>-0.2301473069597001</v>
      </c>
      <c r="D953" s="6" t="n">
        <v>-0.601009263010766</v>
      </c>
      <c r="E953" s="6" t="n">
        <v>0.648818734407137</v>
      </c>
      <c r="F953" s="6" t="n">
        <v>0.9185437189662378</v>
      </c>
      <c r="G953" s="5" t="n">
        <v>0</v>
      </c>
      <c r="H953" s="5" t="n">
        <v>0</v>
      </c>
      <c r="I953" s="5" t="n">
        <v>0</v>
      </c>
      <c r="J953" s="5" t="n">
        <v>0</v>
      </c>
      <c r="K953" s="5" t="n">
        <v>0</v>
      </c>
      <c r="L953" s="5" t="n">
        <v>0</v>
      </c>
      <c r="M953" s="5" t="n">
        <v>0</v>
      </c>
      <c r="N953" s="5" t="n">
        <v>0</v>
      </c>
      <c r="O953" s="5" t="n">
        <v>0</v>
      </c>
      <c r="P953" s="5" t="n">
        <v>0</v>
      </c>
      <c r="Q953" s="5" t="n">
        <v>0</v>
      </c>
      <c r="R953" s="5" t="n">
        <v>0</v>
      </c>
      <c r="S953" s="5" t="n">
        <v>0</v>
      </c>
      <c r="T953" s="5" t="n">
        <v>1</v>
      </c>
      <c r="U953" s="5" t="inlineStr">
        <is>
          <t>testing</t>
        </is>
      </c>
      <c r="V953" s="5" t="n">
        <v>0</v>
      </c>
    </row>
    <row r="954">
      <c r="A954" s="5" t="n">
        <v>950</v>
      </c>
      <c r="B954" s="5" t="n">
        <v>1</v>
      </c>
      <c r="C954" s="6" t="n">
        <v>0.275406400796963</v>
      </c>
      <c r="D954" s="6" t="n">
        <v>0.1295667818205035</v>
      </c>
      <c r="E954" s="6" t="n">
        <v>-0.3948575139689546</v>
      </c>
      <c r="F954" s="6" t="n">
        <v>-0.8850484360866833</v>
      </c>
      <c r="G954" s="5" t="n">
        <v>0</v>
      </c>
      <c r="H954" s="5" t="n">
        <v>0</v>
      </c>
      <c r="I954" s="5" t="n">
        <v>0</v>
      </c>
      <c r="J954" s="5" t="n">
        <v>0</v>
      </c>
      <c r="K954" s="5" t="n">
        <v>0</v>
      </c>
      <c r="L954" s="5" t="n">
        <v>0</v>
      </c>
      <c r="M954" s="5" t="n">
        <v>1</v>
      </c>
      <c r="N954" s="5" t="n">
        <v>0</v>
      </c>
      <c r="O954" s="5" t="n">
        <v>0</v>
      </c>
      <c r="P954" s="5" t="n">
        <v>0</v>
      </c>
      <c r="Q954" s="5" t="n">
        <v>0</v>
      </c>
      <c r="R954" s="5" t="n">
        <v>0</v>
      </c>
      <c r="S954" s="5" t="n">
        <v>1</v>
      </c>
      <c r="T954" s="5" t="n">
        <v>0</v>
      </c>
      <c r="U954" s="5" t="inlineStr">
        <is>
          <t>training</t>
        </is>
      </c>
      <c r="V954" s="5" t="n">
        <v>1</v>
      </c>
    </row>
    <row r="955">
      <c r="A955" s="5" t="n">
        <v>951</v>
      </c>
      <c r="B955" s="5" t="n">
        <v>0</v>
      </c>
      <c r="C955" s="6" t="n">
        <v>-0.2301473069597001</v>
      </c>
      <c r="D955" s="6" t="n">
        <v>0.1187201068254033</v>
      </c>
      <c r="E955" s="6" t="n">
        <v>0.3878996723131141</v>
      </c>
      <c r="F955" s="6" t="n">
        <v>0.01674764143977723</v>
      </c>
      <c r="G955" s="5" t="n">
        <v>0</v>
      </c>
      <c r="H955" s="5" t="n">
        <v>1</v>
      </c>
      <c r="I955" s="5" t="n">
        <v>0</v>
      </c>
      <c r="J955" s="5" t="n">
        <v>1</v>
      </c>
      <c r="K955" s="5" t="n">
        <v>0</v>
      </c>
      <c r="L955" s="5" t="n">
        <v>0</v>
      </c>
      <c r="M955" s="5" t="n">
        <v>0</v>
      </c>
      <c r="N955" s="5" t="n">
        <v>0</v>
      </c>
      <c r="O955" s="5" t="n">
        <v>0</v>
      </c>
      <c r="P955" s="5" t="n">
        <v>0</v>
      </c>
      <c r="Q955" s="5" t="n">
        <v>0</v>
      </c>
      <c r="R955" s="5" t="n">
        <v>0</v>
      </c>
      <c r="S955" s="5" t="n">
        <v>0</v>
      </c>
      <c r="T955" s="5" t="n">
        <v>0</v>
      </c>
      <c r="U955" s="5" t="inlineStr">
        <is>
          <t>training</t>
        </is>
      </c>
      <c r="V955" s="5" t="n">
        <v>1</v>
      </c>
    </row>
    <row r="956">
      <c r="A956" s="5" t="n">
        <v>952</v>
      </c>
      <c r="B956" s="5" t="n">
        <v>1</v>
      </c>
      <c r="C956" s="6" t="n">
        <v>1.286513816310289</v>
      </c>
      <c r="D956" s="6" t="n">
        <v>-0.3868749050429801</v>
      </c>
      <c r="E956" s="6" t="n">
        <v>-1.003668658855008</v>
      </c>
      <c r="F956" s="6" t="n">
        <v>-0.8850484360866833</v>
      </c>
      <c r="G956" s="5" t="n">
        <v>1</v>
      </c>
      <c r="H956" s="5" t="n">
        <v>0</v>
      </c>
      <c r="I956" s="5" t="n">
        <v>0</v>
      </c>
      <c r="J956" s="5" t="n">
        <v>0</v>
      </c>
      <c r="K956" s="5" t="n">
        <v>1</v>
      </c>
      <c r="L956" s="5" t="n">
        <v>0</v>
      </c>
      <c r="M956" s="5" t="n">
        <v>0</v>
      </c>
      <c r="N956" s="5" t="n">
        <v>0</v>
      </c>
      <c r="O956" s="5" t="n">
        <v>0</v>
      </c>
      <c r="P956" s="5" t="n">
        <v>0</v>
      </c>
      <c r="Q956" s="5" t="n">
        <v>0</v>
      </c>
      <c r="R956" s="5" t="n">
        <v>0</v>
      </c>
      <c r="S956" s="5" t="n">
        <v>0</v>
      </c>
      <c r="T956" s="5" t="n">
        <v>0</v>
      </c>
      <c r="U956" s="5" t="inlineStr">
        <is>
          <t>training</t>
        </is>
      </c>
      <c r="V956" s="5" t="n">
        <v>1</v>
      </c>
    </row>
    <row r="957">
      <c r="A957" s="5" t="n">
        <v>953</v>
      </c>
      <c r="B957" s="5" t="n">
        <v>1</v>
      </c>
      <c r="C957" s="6" t="n">
        <v>0.275406400796963</v>
      </c>
      <c r="D957" s="6" t="n">
        <v>0.3017140107749981</v>
      </c>
      <c r="E957" s="6" t="n">
        <v>-0.6557765760629775</v>
      </c>
      <c r="F957" s="6" t="n">
        <v>0.01674764143977723</v>
      </c>
      <c r="G957" s="5" t="n">
        <v>0</v>
      </c>
      <c r="H957" s="5" t="n">
        <v>1</v>
      </c>
      <c r="I957" s="5" t="n">
        <v>0</v>
      </c>
      <c r="J957" s="5" t="n">
        <v>0</v>
      </c>
      <c r="K957" s="5" t="n">
        <v>0</v>
      </c>
      <c r="L957" s="5" t="n">
        <v>0</v>
      </c>
      <c r="M957" s="5" t="n">
        <v>1</v>
      </c>
      <c r="N957" s="5" t="n">
        <v>0</v>
      </c>
      <c r="O957" s="5" t="n">
        <v>0</v>
      </c>
      <c r="P957" s="5" t="n">
        <v>1</v>
      </c>
      <c r="Q957" s="5" t="n">
        <v>0</v>
      </c>
      <c r="R957" s="5" t="n">
        <v>1</v>
      </c>
      <c r="S957" s="5" t="n">
        <v>0</v>
      </c>
      <c r="T957" s="5" t="n">
        <v>0</v>
      </c>
      <c r="U957" s="5" t="inlineStr">
        <is>
          <t>training</t>
        </is>
      </c>
      <c r="V957" s="5" t="n">
        <v>1</v>
      </c>
    </row>
    <row r="958">
      <c r="A958" s="5" t="n">
        <v>954</v>
      </c>
      <c r="B958" s="5" t="n">
        <v>1</v>
      </c>
      <c r="C958" s="6" t="n">
        <v>1.286513816310289</v>
      </c>
      <c r="D958" s="6" t="n">
        <v>2.702328112109931</v>
      </c>
      <c r="E958" s="6" t="n">
        <v>-0.8297226174589928</v>
      </c>
      <c r="F958" s="6" t="n">
        <v>0.9185437189662378</v>
      </c>
      <c r="G958" s="5" t="n">
        <v>0</v>
      </c>
      <c r="H958" s="5" t="n">
        <v>0</v>
      </c>
      <c r="I958" s="5" t="n">
        <v>0</v>
      </c>
      <c r="J958" s="5" t="n">
        <v>0</v>
      </c>
      <c r="K958" s="5" t="n">
        <v>0</v>
      </c>
      <c r="L958" s="5" t="n">
        <v>0</v>
      </c>
      <c r="M958" s="5" t="n">
        <v>0</v>
      </c>
      <c r="N958" s="5" t="n">
        <v>0</v>
      </c>
      <c r="O958" s="5" t="n">
        <v>0</v>
      </c>
      <c r="P958" s="5" t="n">
        <v>0</v>
      </c>
      <c r="Q958" s="5" t="n">
        <v>0</v>
      </c>
      <c r="R958" s="5" t="n">
        <v>0</v>
      </c>
      <c r="S958" s="5" t="n">
        <v>0</v>
      </c>
      <c r="T958" s="5" t="n">
        <v>1</v>
      </c>
      <c r="U958" s="5" t="inlineStr">
        <is>
          <t>testing</t>
        </is>
      </c>
      <c r="V958" s="5" t="n">
        <v>0</v>
      </c>
    </row>
    <row r="959">
      <c r="A959" s="5" t="n">
        <v>955</v>
      </c>
      <c r="B959" s="5" t="n">
        <v>0</v>
      </c>
      <c r="C959" s="6" t="n">
        <v>-0.7357010147163632</v>
      </c>
      <c r="D959" s="6" t="n">
        <v>-0.4750478759708919</v>
      </c>
      <c r="E959" s="6" t="n">
        <v>-0.5688035553649698</v>
      </c>
      <c r="F959" s="6" t="n">
        <v>0.9185437189662378</v>
      </c>
      <c r="G959" s="5" t="n">
        <v>1</v>
      </c>
      <c r="H959" s="5" t="n">
        <v>0</v>
      </c>
      <c r="I959" s="5" t="n">
        <v>0</v>
      </c>
      <c r="J959" s="5" t="n">
        <v>0</v>
      </c>
      <c r="K959" s="5" t="n">
        <v>0</v>
      </c>
      <c r="L959" s="5" t="n">
        <v>0</v>
      </c>
      <c r="M959" s="5" t="n">
        <v>0</v>
      </c>
      <c r="N959" s="5" t="n">
        <v>0</v>
      </c>
      <c r="O959" s="5" t="n">
        <v>0</v>
      </c>
      <c r="P959" s="5" t="n">
        <v>0</v>
      </c>
      <c r="Q959" s="5" t="n">
        <v>0</v>
      </c>
      <c r="R959" s="5" t="n">
        <v>1</v>
      </c>
      <c r="S959" s="5" t="n">
        <v>0</v>
      </c>
      <c r="T959" s="5" t="n">
        <v>0</v>
      </c>
      <c r="U959" s="5" t="inlineStr">
        <is>
          <t>testing</t>
        </is>
      </c>
      <c r="V959" s="5" t="n">
        <v>0</v>
      </c>
    </row>
    <row r="960">
      <c r="A960" s="5" t="n">
        <v>956</v>
      </c>
      <c r="B960" s="5" t="n">
        <v>0</v>
      </c>
      <c r="C960" s="6" t="n">
        <v>0.275406400796963</v>
      </c>
      <c r="D960" s="6" t="n">
        <v>-0.7066768710275493</v>
      </c>
      <c r="E960" s="6" t="n">
        <v>1.866441024179244</v>
      </c>
      <c r="F960" s="6" t="n">
        <v>0.9185437189662378</v>
      </c>
      <c r="G960" s="5" t="n">
        <v>1</v>
      </c>
      <c r="H960" s="5" t="n">
        <v>0</v>
      </c>
      <c r="I960" s="5" t="n">
        <v>0</v>
      </c>
      <c r="J960" s="5" t="n">
        <v>1</v>
      </c>
      <c r="K960" s="5" t="n">
        <v>0</v>
      </c>
      <c r="L960" s="5" t="n">
        <v>0</v>
      </c>
      <c r="M960" s="5" t="n">
        <v>0</v>
      </c>
      <c r="N960" s="5" t="n">
        <v>1</v>
      </c>
      <c r="O960" s="5" t="n">
        <v>0</v>
      </c>
      <c r="P960" s="5" t="n">
        <v>1</v>
      </c>
      <c r="Q960" s="5" t="n">
        <v>0</v>
      </c>
      <c r="R960" s="5" t="n">
        <v>0</v>
      </c>
      <c r="S960" s="5" t="n">
        <v>1</v>
      </c>
      <c r="T960" s="5" t="n">
        <v>0</v>
      </c>
      <c r="U960" s="5" t="inlineStr">
        <is>
          <t>training</t>
        </is>
      </c>
      <c r="V960" s="5" t="n">
        <v>0</v>
      </c>
    </row>
    <row r="961">
      <c r="A961" s="5" t="n">
        <v>957</v>
      </c>
      <c r="B961" s="5" t="n">
        <v>0</v>
      </c>
      <c r="C961" s="6" t="n">
        <v>0.7809601085536261</v>
      </c>
      <c r="D961" s="6" t="n">
        <v>0.1418130277827135</v>
      </c>
      <c r="E961" s="6" t="n">
        <v>1.170656858595183</v>
      </c>
      <c r="F961" s="6" t="n">
        <v>0.9185437189662378</v>
      </c>
      <c r="G961" s="5" t="n">
        <v>0</v>
      </c>
      <c r="H961" s="5" t="n">
        <v>0</v>
      </c>
      <c r="I961" s="5" t="n">
        <v>1</v>
      </c>
      <c r="J961" s="5" t="n">
        <v>1</v>
      </c>
      <c r="K961" s="5" t="n">
        <v>0</v>
      </c>
      <c r="L961" s="5" t="n">
        <v>0</v>
      </c>
      <c r="M961" s="5" t="n">
        <v>0</v>
      </c>
      <c r="N961" s="5" t="n">
        <v>0</v>
      </c>
      <c r="O961" s="5" t="n">
        <v>1</v>
      </c>
      <c r="P961" s="5" t="n">
        <v>0</v>
      </c>
      <c r="Q961" s="5" t="n">
        <v>0</v>
      </c>
      <c r="R961" s="5" t="n">
        <v>0</v>
      </c>
      <c r="S961" s="5" t="n">
        <v>1</v>
      </c>
      <c r="T961" s="5" t="n">
        <v>0</v>
      </c>
      <c r="U961" s="5" t="inlineStr">
        <is>
          <t>training</t>
        </is>
      </c>
      <c r="V961" s="5" t="n">
        <v>1</v>
      </c>
    </row>
    <row r="962">
      <c r="A962" s="5" t="n">
        <v>958</v>
      </c>
      <c r="B962" s="5" t="n">
        <v>0</v>
      </c>
      <c r="C962" s="6" t="n">
        <v>-0.9884778685946948</v>
      </c>
      <c r="D962" s="6" t="n">
        <v>-0.7336186121444112</v>
      </c>
      <c r="E962" s="6" t="n">
        <v>0.1269806102190912</v>
      </c>
      <c r="F962" s="6" t="n">
        <v>-0.8850484360866833</v>
      </c>
      <c r="G962" s="5" t="n">
        <v>0</v>
      </c>
      <c r="H962" s="5" t="n">
        <v>1</v>
      </c>
      <c r="I962" s="5" t="n">
        <v>0</v>
      </c>
      <c r="J962" s="5" t="n">
        <v>1</v>
      </c>
      <c r="K962" s="5" t="n">
        <v>0</v>
      </c>
      <c r="L962" s="5" t="n">
        <v>0</v>
      </c>
      <c r="M962" s="5" t="n">
        <v>0</v>
      </c>
      <c r="N962" s="5" t="n">
        <v>0</v>
      </c>
      <c r="O962" s="5" t="n">
        <v>0</v>
      </c>
      <c r="P962" s="5" t="n">
        <v>0</v>
      </c>
      <c r="Q962" s="5" t="n">
        <v>0</v>
      </c>
      <c r="R962" s="5" t="n">
        <v>0</v>
      </c>
      <c r="S962" s="5" t="n">
        <v>1</v>
      </c>
      <c r="T962" s="5" t="n">
        <v>0</v>
      </c>
      <c r="U962" s="5" t="inlineStr">
        <is>
          <t>training</t>
        </is>
      </c>
      <c r="V962" s="5" t="n">
        <v>1</v>
      </c>
    </row>
    <row r="963">
      <c r="A963" s="5" t="n">
        <v>959</v>
      </c>
      <c r="B963" s="5" t="n">
        <v>1</v>
      </c>
      <c r="C963" s="6" t="n">
        <v>0.6124422059680718</v>
      </c>
      <c r="D963" s="6" t="n">
        <v>0.2642754874048133</v>
      </c>
      <c r="E963" s="6" t="n">
        <v>0.8227647758031523</v>
      </c>
      <c r="F963" s="6" t="n">
        <v>0.01674764143977723</v>
      </c>
      <c r="G963" s="5" t="n">
        <v>1</v>
      </c>
      <c r="H963" s="5" t="n">
        <v>0</v>
      </c>
      <c r="I963" s="5" t="n">
        <v>0</v>
      </c>
      <c r="J963" s="5" t="n">
        <v>0</v>
      </c>
      <c r="K963" s="5" t="n">
        <v>0</v>
      </c>
      <c r="L963" s="5" t="n">
        <v>0</v>
      </c>
      <c r="M963" s="5" t="n">
        <v>0</v>
      </c>
      <c r="N963" s="5" t="n">
        <v>0</v>
      </c>
      <c r="O963" s="5" t="n">
        <v>0</v>
      </c>
      <c r="P963" s="5" t="n">
        <v>0</v>
      </c>
      <c r="Q963" s="5" t="n">
        <v>0</v>
      </c>
      <c r="R963" s="5" t="n">
        <v>1</v>
      </c>
      <c r="S963" s="5" t="n">
        <v>0</v>
      </c>
      <c r="T963" s="5" t="n">
        <v>0</v>
      </c>
      <c r="U963" s="5" t="inlineStr">
        <is>
          <t>training</t>
        </is>
      </c>
      <c r="V963" s="5" t="n">
        <v>1</v>
      </c>
    </row>
    <row r="964">
      <c r="A964" s="5" t="n">
        <v>960</v>
      </c>
      <c r="B964" s="5" t="n">
        <v>0</v>
      </c>
      <c r="C964" s="6" t="n">
        <v>0.275406400796963</v>
      </c>
      <c r="D964" s="6" t="n">
        <v>-0.06357401164063668</v>
      </c>
      <c r="E964" s="6" t="n">
        <v>-0.4818305346669622</v>
      </c>
      <c r="F964" s="6" t="n">
        <v>0.9185437189662378</v>
      </c>
      <c r="G964" s="5" t="n">
        <v>0</v>
      </c>
      <c r="H964" s="5" t="n">
        <v>1</v>
      </c>
      <c r="I964" s="5" t="n">
        <v>0</v>
      </c>
      <c r="J964" s="5" t="n">
        <v>0</v>
      </c>
      <c r="K964" s="5" t="n">
        <v>0</v>
      </c>
      <c r="L964" s="5" t="n">
        <v>0</v>
      </c>
      <c r="M964" s="5" t="n">
        <v>1</v>
      </c>
      <c r="N964" s="5" t="n">
        <v>0</v>
      </c>
      <c r="O964" s="5" t="n">
        <v>0</v>
      </c>
      <c r="P964" s="5" t="n">
        <v>0</v>
      </c>
      <c r="Q964" s="5" t="n">
        <v>1</v>
      </c>
      <c r="R964" s="5" t="n">
        <v>0</v>
      </c>
      <c r="S964" s="5" t="n">
        <v>0</v>
      </c>
      <c r="T964" s="5" t="n">
        <v>1</v>
      </c>
      <c r="U964" s="5" t="inlineStr">
        <is>
          <t>training</t>
        </is>
      </c>
      <c r="V964" s="5" t="n">
        <v>0</v>
      </c>
    </row>
    <row r="965">
      <c r="A965" s="5" t="n">
        <v>961</v>
      </c>
      <c r="B965" s="5" t="n">
        <v>0</v>
      </c>
      <c r="C965" s="6" t="n">
        <v>-1.241254722473026</v>
      </c>
      <c r="D965" s="6" t="n">
        <v>-0.5285814654628385</v>
      </c>
      <c r="E965" s="6" t="n">
        <v>-0.4818305346669622</v>
      </c>
      <c r="F965" s="6" t="n">
        <v>-0.8850484360866833</v>
      </c>
      <c r="G965" s="5" t="n">
        <v>0</v>
      </c>
      <c r="H965" s="5" t="n">
        <v>0</v>
      </c>
      <c r="I965" s="5" t="n">
        <v>0</v>
      </c>
      <c r="J965" s="5" t="n">
        <v>1</v>
      </c>
      <c r="K965" s="5" t="n">
        <v>0</v>
      </c>
      <c r="L965" s="5" t="n">
        <v>0</v>
      </c>
      <c r="M965" s="5" t="n">
        <v>0</v>
      </c>
      <c r="N965" s="5" t="n">
        <v>0</v>
      </c>
      <c r="O965" s="5" t="n">
        <v>0</v>
      </c>
      <c r="P965" s="5" t="n">
        <v>1</v>
      </c>
      <c r="Q965" s="5" t="n">
        <v>0</v>
      </c>
      <c r="R965" s="5" t="n">
        <v>0</v>
      </c>
      <c r="S965" s="5" t="n">
        <v>1</v>
      </c>
      <c r="T965" s="5" t="n">
        <v>0</v>
      </c>
      <c r="U965" s="5" t="inlineStr">
        <is>
          <t>training</t>
        </is>
      </c>
      <c r="V965" s="5" t="n">
        <v>0</v>
      </c>
    </row>
    <row r="966">
      <c r="A966" s="5" t="n">
        <v>962</v>
      </c>
      <c r="B966" s="5" t="n">
        <v>0</v>
      </c>
      <c r="C966" s="6" t="n">
        <v>0.02262954691863145</v>
      </c>
      <c r="D966" s="6" t="n">
        <v>-0.3140972147532751</v>
      </c>
      <c r="E966" s="6" t="n">
        <v>0.9967108171991675</v>
      </c>
      <c r="F966" s="6" t="n">
        <v>-1.786844513613144</v>
      </c>
      <c r="G966" s="5" t="n">
        <v>0</v>
      </c>
      <c r="H966" s="5" t="n">
        <v>1</v>
      </c>
      <c r="I966" s="5" t="n">
        <v>0</v>
      </c>
      <c r="J966" s="5" t="n">
        <v>0</v>
      </c>
      <c r="K966" s="5" t="n">
        <v>1</v>
      </c>
      <c r="L966" s="5" t="n">
        <v>0</v>
      </c>
      <c r="M966" s="5" t="n">
        <v>0</v>
      </c>
      <c r="N966" s="5" t="n">
        <v>0</v>
      </c>
      <c r="O966" s="5" t="n">
        <v>0</v>
      </c>
      <c r="P966" s="5" t="n">
        <v>0</v>
      </c>
      <c r="Q966" s="5" t="n">
        <v>0</v>
      </c>
      <c r="R966" s="5" t="n">
        <v>1</v>
      </c>
      <c r="S966" s="5" t="n">
        <v>0</v>
      </c>
      <c r="T966" s="5" t="n">
        <v>0</v>
      </c>
      <c r="U966" s="5" t="inlineStr">
        <is>
          <t>training</t>
        </is>
      </c>
      <c r="V966" s="5" t="n">
        <v>0</v>
      </c>
    </row>
    <row r="967">
      <c r="A967" s="5" t="n">
        <v>963</v>
      </c>
      <c r="B967" s="5" t="n">
        <v>0</v>
      </c>
      <c r="C967" s="6" t="n">
        <v>-0.4829241608380317</v>
      </c>
      <c r="D967" s="6" t="n">
        <v>0.1068237536049707</v>
      </c>
      <c r="E967" s="6" t="n">
        <v>-0.5688035553649698</v>
      </c>
      <c r="F967" s="6" t="n">
        <v>0.01674764143977723</v>
      </c>
      <c r="G967" s="5" t="n">
        <v>0</v>
      </c>
      <c r="H967" s="5" t="n">
        <v>0</v>
      </c>
      <c r="I967" s="5" t="n">
        <v>0</v>
      </c>
      <c r="J967" s="5" t="n">
        <v>0</v>
      </c>
      <c r="K967" s="5" t="n">
        <v>0</v>
      </c>
      <c r="L967" s="5" t="n">
        <v>0</v>
      </c>
      <c r="M967" s="5" t="n">
        <v>0</v>
      </c>
      <c r="N967" s="5" t="n">
        <v>0</v>
      </c>
      <c r="O967" s="5" t="n">
        <v>1</v>
      </c>
      <c r="P967" s="5" t="n">
        <v>0</v>
      </c>
      <c r="Q967" s="5" t="n">
        <v>0</v>
      </c>
      <c r="R967" s="5" t="n">
        <v>1</v>
      </c>
      <c r="S967" s="5" t="n">
        <v>0</v>
      </c>
      <c r="T967" s="5" t="n">
        <v>0</v>
      </c>
      <c r="U967" s="5" t="inlineStr">
        <is>
          <t>training</t>
        </is>
      </c>
      <c r="V967" s="5" t="n">
        <v>0</v>
      </c>
    </row>
    <row r="968">
      <c r="A968" s="5" t="n">
        <v>964</v>
      </c>
      <c r="B968" s="5" t="n">
        <v>1</v>
      </c>
      <c r="C968" s="6" t="n">
        <v>0.275406400796963</v>
      </c>
      <c r="D968" s="6" t="n">
        <v>-0.2987019341150682</v>
      </c>
      <c r="E968" s="6" t="n">
        <v>-0.04696543117692405</v>
      </c>
      <c r="F968" s="6" t="n">
        <v>0.01674764143977723</v>
      </c>
      <c r="G968" s="5" t="n">
        <v>0</v>
      </c>
      <c r="H968" s="5" t="n">
        <v>0</v>
      </c>
      <c r="I968" s="5" t="n">
        <v>0</v>
      </c>
      <c r="J968" s="5" t="n">
        <v>0</v>
      </c>
      <c r="K968" s="5" t="n">
        <v>0</v>
      </c>
      <c r="L968" s="5" t="n">
        <v>0</v>
      </c>
      <c r="M968" s="5" t="n">
        <v>1</v>
      </c>
      <c r="N968" s="5" t="n">
        <v>0</v>
      </c>
      <c r="O968" s="5" t="n">
        <v>0</v>
      </c>
      <c r="P968" s="5" t="n">
        <v>0</v>
      </c>
      <c r="Q968" s="5" t="n">
        <v>0</v>
      </c>
      <c r="R968" s="5" t="n">
        <v>0</v>
      </c>
      <c r="S968" s="5" t="n">
        <v>1</v>
      </c>
      <c r="T968" s="5" t="n">
        <v>0</v>
      </c>
      <c r="U968" s="5" t="inlineStr">
        <is>
          <t>training</t>
        </is>
      </c>
      <c r="V968" s="5" t="n">
        <v>1</v>
      </c>
    </row>
    <row r="969">
      <c r="A969" s="5" t="n">
        <v>965</v>
      </c>
      <c r="B969" s="5" t="n">
        <v>0</v>
      </c>
      <c r="C969" s="6" t="n">
        <v>-1.241254722473026</v>
      </c>
      <c r="D969" s="6" t="n">
        <v>-0.9785435313886107</v>
      </c>
      <c r="E969" s="6" t="n">
        <v>-1.177614700251023</v>
      </c>
      <c r="F969" s="6" t="n">
        <v>0.01674764143977723</v>
      </c>
      <c r="G969" s="5" t="n">
        <v>0</v>
      </c>
      <c r="H969" s="5" t="n">
        <v>1</v>
      </c>
      <c r="I969" s="5" t="n">
        <v>0</v>
      </c>
      <c r="J969" s="5" t="n">
        <v>0</v>
      </c>
      <c r="K969" s="5" t="n">
        <v>0</v>
      </c>
      <c r="L969" s="5" t="n">
        <v>0</v>
      </c>
      <c r="M969" s="5" t="n">
        <v>0</v>
      </c>
      <c r="N969" s="5" t="n">
        <v>0</v>
      </c>
      <c r="O969" s="5" t="n">
        <v>0</v>
      </c>
      <c r="P969" s="5" t="n">
        <v>0</v>
      </c>
      <c r="Q969" s="5" t="n">
        <v>0</v>
      </c>
      <c r="R969" s="5" t="n">
        <v>0</v>
      </c>
      <c r="S969" s="5" t="n">
        <v>0</v>
      </c>
      <c r="T969" s="5" t="n">
        <v>0</v>
      </c>
      <c r="U969" s="5" t="inlineStr">
        <is>
          <t>testing</t>
        </is>
      </c>
      <c r="V969" s="5" t="n">
        <v>0</v>
      </c>
    </row>
    <row r="970">
      <c r="A970" s="5" t="n">
        <v>966</v>
      </c>
      <c r="B970" s="5" t="n">
        <v>0</v>
      </c>
      <c r="C970" s="6" t="n">
        <v>0.7809601085536261</v>
      </c>
      <c r="D970" s="6" t="n">
        <v>-0.5373287840072741</v>
      </c>
      <c r="E970" s="6" t="n">
        <v>-0.8297226174589928</v>
      </c>
      <c r="F970" s="6" t="n">
        <v>0.9185437189662378</v>
      </c>
      <c r="G970" s="5" t="n">
        <v>0</v>
      </c>
      <c r="H970" s="5" t="n">
        <v>1</v>
      </c>
      <c r="I970" s="5" t="n">
        <v>0</v>
      </c>
      <c r="J970" s="5" t="n">
        <v>0</v>
      </c>
      <c r="K970" s="5" t="n">
        <v>0</v>
      </c>
      <c r="L970" s="5" t="n">
        <v>0</v>
      </c>
      <c r="M970" s="5" t="n">
        <v>0</v>
      </c>
      <c r="N970" s="5" t="n">
        <v>0</v>
      </c>
      <c r="O970" s="5" t="n">
        <v>1</v>
      </c>
      <c r="P970" s="5" t="n">
        <v>0</v>
      </c>
      <c r="Q970" s="5" t="n">
        <v>0</v>
      </c>
      <c r="R970" s="5" t="n">
        <v>0</v>
      </c>
      <c r="S970" s="5" t="n">
        <v>1</v>
      </c>
      <c r="T970" s="5" t="n">
        <v>0</v>
      </c>
      <c r="U970" s="5" t="inlineStr">
        <is>
          <t>testing</t>
        </is>
      </c>
      <c r="V970" s="5" t="n">
        <v>0</v>
      </c>
    </row>
    <row r="971">
      <c r="A971" s="5" t="n">
        <v>967</v>
      </c>
      <c r="B971" s="5" t="n">
        <v>1</v>
      </c>
      <c r="C971" s="6" t="n">
        <v>0.5281832546752946</v>
      </c>
      <c r="D971" s="6" t="n">
        <v>-0.2556651268764446</v>
      </c>
      <c r="E971" s="6" t="n">
        <v>-1.090641679553016</v>
      </c>
      <c r="F971" s="6" t="n">
        <v>0.9185437189662378</v>
      </c>
      <c r="G971" s="5" t="n">
        <v>0</v>
      </c>
      <c r="H971" s="5" t="n">
        <v>1</v>
      </c>
      <c r="I971" s="5" t="n">
        <v>0</v>
      </c>
      <c r="J971" s="5" t="n">
        <v>1</v>
      </c>
      <c r="K971" s="5" t="n">
        <v>0</v>
      </c>
      <c r="L971" s="5" t="n">
        <v>0</v>
      </c>
      <c r="M971" s="5" t="n">
        <v>1</v>
      </c>
      <c r="N971" s="5" t="n">
        <v>0</v>
      </c>
      <c r="O971" s="5" t="n">
        <v>0</v>
      </c>
      <c r="P971" s="5" t="n">
        <v>0</v>
      </c>
      <c r="Q971" s="5" t="n">
        <v>0</v>
      </c>
      <c r="R971" s="5" t="n">
        <v>0</v>
      </c>
      <c r="S971" s="5" t="n">
        <v>1</v>
      </c>
      <c r="T971" s="5" t="n">
        <v>0</v>
      </c>
      <c r="U971" s="5" t="inlineStr">
        <is>
          <t>training</t>
        </is>
      </c>
      <c r="V971" s="5" t="n">
        <v>1</v>
      </c>
    </row>
    <row r="972">
      <c r="A972" s="5" t="n">
        <v>968</v>
      </c>
      <c r="B972" s="5" t="n">
        <v>0</v>
      </c>
      <c r="C972" s="6" t="n">
        <v>-0.4829241608380317</v>
      </c>
      <c r="D972" s="6" t="n">
        <v>0.1110224665062999</v>
      </c>
      <c r="E972" s="6" t="n">
        <v>1.605521962085221</v>
      </c>
      <c r="F972" s="6" t="n">
        <v>0.9185437189662378</v>
      </c>
      <c r="G972" s="5" t="n">
        <v>0</v>
      </c>
      <c r="H972" s="5" t="n">
        <v>0</v>
      </c>
      <c r="I972" s="5" t="n">
        <v>0</v>
      </c>
      <c r="J972" s="5" t="n">
        <v>0</v>
      </c>
      <c r="K972" s="5" t="n">
        <v>0</v>
      </c>
      <c r="L972" s="5" t="n">
        <v>0</v>
      </c>
      <c r="M972" s="5" t="n">
        <v>0</v>
      </c>
      <c r="N972" s="5" t="n">
        <v>0</v>
      </c>
      <c r="O972" s="5" t="n">
        <v>0</v>
      </c>
      <c r="P972" s="5" t="n">
        <v>1</v>
      </c>
      <c r="Q972" s="5" t="n">
        <v>0</v>
      </c>
      <c r="R972" s="5" t="n">
        <v>0</v>
      </c>
      <c r="S972" s="5" t="n">
        <v>1</v>
      </c>
      <c r="T972" s="5" t="n">
        <v>0</v>
      </c>
      <c r="U972" s="5" t="inlineStr">
        <is>
          <t>testing</t>
        </is>
      </c>
      <c r="V972" s="5" t="n">
        <v>0</v>
      </c>
    </row>
    <row r="973">
      <c r="A973" s="5" t="n">
        <v>969</v>
      </c>
      <c r="B973" s="5" t="n">
        <v>0</v>
      </c>
      <c r="C973" s="6" t="n">
        <v>1.792067524066952</v>
      </c>
      <c r="D973" s="6" t="n">
        <v>1.369936551421486</v>
      </c>
      <c r="E973" s="6" t="n">
        <v>-0.5688035553649698</v>
      </c>
      <c r="F973" s="6" t="n">
        <v>-0.8850484360866833</v>
      </c>
      <c r="G973" s="5" t="n">
        <v>0</v>
      </c>
      <c r="H973" s="5" t="n">
        <v>0</v>
      </c>
      <c r="I973" s="5" t="n">
        <v>0</v>
      </c>
      <c r="J973" s="5" t="n">
        <v>0</v>
      </c>
      <c r="K973" s="5" t="n">
        <v>0</v>
      </c>
      <c r="L973" s="5" t="n">
        <v>0</v>
      </c>
      <c r="M973" s="5" t="n">
        <v>0</v>
      </c>
      <c r="N973" s="5" t="n">
        <v>0</v>
      </c>
      <c r="O973" s="5" t="n">
        <v>1</v>
      </c>
      <c r="P973" s="5" t="n">
        <v>1</v>
      </c>
      <c r="Q973" s="5" t="n">
        <v>0</v>
      </c>
      <c r="R973" s="5" t="n">
        <v>0</v>
      </c>
      <c r="S973" s="5" t="n">
        <v>1</v>
      </c>
      <c r="T973" s="5" t="n">
        <v>0</v>
      </c>
      <c r="U973" s="5" t="inlineStr">
        <is>
          <t>training</t>
        </is>
      </c>
      <c r="V973" s="5" t="n">
        <v>1</v>
      </c>
    </row>
    <row r="974">
      <c r="A974" s="5" t="n">
        <v>970</v>
      </c>
      <c r="B974" s="5" t="n">
        <v>0</v>
      </c>
      <c r="C974" s="6" t="n">
        <v>-0.8199599660091405</v>
      </c>
      <c r="D974" s="6" t="n">
        <v>0.2408326737057256</v>
      </c>
      <c r="E974" s="6" t="n">
        <v>0.3878996723131141</v>
      </c>
      <c r="F974" s="6" t="n">
        <v>-1.786844513613144</v>
      </c>
      <c r="G974" s="5" t="n">
        <v>1</v>
      </c>
      <c r="H974" s="5" t="n">
        <v>0</v>
      </c>
      <c r="I974" s="5" t="n">
        <v>0</v>
      </c>
      <c r="J974" s="5" t="n">
        <v>1</v>
      </c>
      <c r="K974" s="5" t="n">
        <v>0</v>
      </c>
      <c r="L974" s="5" t="n">
        <v>0</v>
      </c>
      <c r="M974" s="5" t="n">
        <v>0</v>
      </c>
      <c r="N974" s="5" t="n">
        <v>0</v>
      </c>
      <c r="O974" s="5" t="n">
        <v>0</v>
      </c>
      <c r="P974" s="5" t="n">
        <v>0</v>
      </c>
      <c r="Q974" s="5" t="n">
        <v>0</v>
      </c>
      <c r="R974" s="5" t="n">
        <v>1</v>
      </c>
      <c r="S974" s="5" t="n">
        <v>0</v>
      </c>
      <c r="T974" s="5" t="n">
        <v>0</v>
      </c>
      <c r="U974" s="5" t="inlineStr">
        <is>
          <t>training</t>
        </is>
      </c>
      <c r="V974" s="5" t="n">
        <v>0</v>
      </c>
    </row>
    <row r="975">
      <c r="A975" s="5" t="n">
        <v>971</v>
      </c>
      <c r="B975" s="5" t="n">
        <v>0</v>
      </c>
      <c r="C975" s="6" t="n">
        <v>-0.4829241608380317</v>
      </c>
      <c r="D975" s="6" t="n">
        <v>-0.6076572251045371</v>
      </c>
      <c r="E975" s="6" t="n">
        <v>-1.177614700251023</v>
      </c>
      <c r="F975" s="6" t="n">
        <v>0.9185437189662378</v>
      </c>
      <c r="G975" s="5" t="n">
        <v>0</v>
      </c>
      <c r="H975" s="5" t="n">
        <v>1</v>
      </c>
      <c r="I975" s="5" t="n">
        <v>0</v>
      </c>
      <c r="J975" s="5" t="n">
        <v>0</v>
      </c>
      <c r="K975" s="5" t="n">
        <v>0</v>
      </c>
      <c r="L975" s="5" t="n">
        <v>0</v>
      </c>
      <c r="M975" s="5" t="n">
        <v>1</v>
      </c>
      <c r="N975" s="5" t="n">
        <v>0</v>
      </c>
      <c r="O975" s="5" t="n">
        <v>0</v>
      </c>
      <c r="P975" s="5" t="n">
        <v>0</v>
      </c>
      <c r="Q975" s="5" t="n">
        <v>0</v>
      </c>
      <c r="R975" s="5" t="n">
        <v>0</v>
      </c>
      <c r="S975" s="5" t="n">
        <v>0</v>
      </c>
      <c r="T975" s="5" t="n">
        <v>0</v>
      </c>
      <c r="U975" s="5" t="inlineStr">
        <is>
          <t>training</t>
        </is>
      </c>
      <c r="V975" s="5" t="n">
        <v>0</v>
      </c>
    </row>
    <row r="976">
      <c r="A976" s="5" t="n">
        <v>972</v>
      </c>
      <c r="B976" s="5" t="n">
        <v>0</v>
      </c>
      <c r="C976" s="6" t="n">
        <v>0.275406400796963</v>
      </c>
      <c r="D976" s="6" t="n">
        <v>1.449362203804962</v>
      </c>
      <c r="E976" s="6" t="n">
        <v>0.648818734407137</v>
      </c>
      <c r="F976" s="6" t="n">
        <v>-1.786844513613144</v>
      </c>
      <c r="G976" s="5" t="n">
        <v>0</v>
      </c>
      <c r="H976" s="5" t="n">
        <v>0</v>
      </c>
      <c r="I976" s="5" t="n">
        <v>0</v>
      </c>
      <c r="J976" s="5" t="n">
        <v>0</v>
      </c>
      <c r="K976" s="5" t="n">
        <v>0</v>
      </c>
      <c r="L976" s="5" t="n">
        <v>0</v>
      </c>
      <c r="M976" s="5" t="n">
        <v>0</v>
      </c>
      <c r="N976" s="5" t="n">
        <v>0</v>
      </c>
      <c r="O976" s="5" t="n">
        <v>0</v>
      </c>
      <c r="P976" s="5" t="n">
        <v>0</v>
      </c>
      <c r="Q976" s="5" t="n">
        <v>0</v>
      </c>
      <c r="R976" s="5" t="n">
        <v>1</v>
      </c>
      <c r="S976" s="5" t="n">
        <v>0</v>
      </c>
      <c r="T976" s="5" t="n">
        <v>0</v>
      </c>
      <c r="U976" s="5" t="inlineStr">
        <is>
          <t>training</t>
        </is>
      </c>
      <c r="V976" s="5" t="n">
        <v>1</v>
      </c>
    </row>
    <row r="977">
      <c r="A977" s="5" t="n">
        <v>973</v>
      </c>
      <c r="B977" s="5" t="n">
        <v>1</v>
      </c>
      <c r="C977" s="6" t="n">
        <v>0.275406400796963</v>
      </c>
      <c r="D977" s="6" t="n">
        <v>-0.7199727952150915</v>
      </c>
      <c r="E977" s="6" t="n">
        <v>-0.5688035553649698</v>
      </c>
      <c r="F977" s="6" t="n">
        <v>-1.786844513613144</v>
      </c>
      <c r="G977" s="5" t="n">
        <v>1</v>
      </c>
      <c r="H977" s="5" t="n">
        <v>0</v>
      </c>
      <c r="I977" s="5" t="n">
        <v>0</v>
      </c>
      <c r="J977" s="5" t="n">
        <v>0</v>
      </c>
      <c r="K977" s="5" t="n">
        <v>0</v>
      </c>
      <c r="L977" s="5" t="n">
        <v>1</v>
      </c>
      <c r="M977" s="5" t="n">
        <v>0</v>
      </c>
      <c r="N977" s="5" t="n">
        <v>0</v>
      </c>
      <c r="O977" s="5" t="n">
        <v>0</v>
      </c>
      <c r="P977" s="5" t="n">
        <v>1</v>
      </c>
      <c r="Q977" s="5" t="n">
        <v>0</v>
      </c>
      <c r="R977" s="5" t="n">
        <v>1</v>
      </c>
      <c r="S977" s="5" t="n">
        <v>0</v>
      </c>
      <c r="T977" s="5" t="n">
        <v>0</v>
      </c>
      <c r="U977" s="5" t="inlineStr">
        <is>
          <t>training</t>
        </is>
      </c>
      <c r="V977" s="5" t="n">
        <v>1</v>
      </c>
    </row>
    <row r="978">
      <c r="A978" s="5" t="n">
        <v>974</v>
      </c>
      <c r="B978" s="5" t="n">
        <v>1</v>
      </c>
      <c r="C978" s="6" t="n">
        <v>3.308728647336942</v>
      </c>
      <c r="D978" s="6" t="n">
        <v>1.415772500594329</v>
      </c>
      <c r="E978" s="6" t="n">
        <v>0.04000758952108359</v>
      </c>
      <c r="F978" s="6" t="n">
        <v>0.9185437189662378</v>
      </c>
      <c r="G978" s="5" t="n">
        <v>1</v>
      </c>
      <c r="H978" s="5" t="n">
        <v>0</v>
      </c>
      <c r="I978" s="5" t="n">
        <v>0</v>
      </c>
      <c r="J978" s="5" t="n">
        <v>0</v>
      </c>
      <c r="K978" s="5" t="n">
        <v>0</v>
      </c>
      <c r="L978" s="5" t="n">
        <v>0</v>
      </c>
      <c r="M978" s="5" t="n">
        <v>0</v>
      </c>
      <c r="N978" s="5" t="n">
        <v>0</v>
      </c>
      <c r="O978" s="5" t="n">
        <v>0</v>
      </c>
      <c r="P978" s="5" t="n">
        <v>1</v>
      </c>
      <c r="Q978" s="5" t="n">
        <v>0</v>
      </c>
      <c r="R978" s="5" t="n">
        <v>0</v>
      </c>
      <c r="S978" s="5" t="n">
        <v>0</v>
      </c>
      <c r="T978" s="5" t="n">
        <v>0</v>
      </c>
      <c r="U978" s="5" t="inlineStr">
        <is>
          <t>testing</t>
        </is>
      </c>
      <c r="V978" s="5" t="n">
        <v>0</v>
      </c>
    </row>
    <row r="979">
      <c r="A979" s="5" t="n">
        <v>975</v>
      </c>
      <c r="B979" s="5" t="n">
        <v>0</v>
      </c>
      <c r="C979" s="6" t="n">
        <v>0.7809601085536261</v>
      </c>
      <c r="D979" s="6" t="n">
        <v>-0.1468484841836645</v>
      </c>
      <c r="E979" s="6" t="n">
        <v>-0.2209114725729393</v>
      </c>
      <c r="F979" s="6" t="n">
        <v>0.9185437189662378</v>
      </c>
      <c r="G979" s="5" t="n">
        <v>0</v>
      </c>
      <c r="H979" s="5" t="n">
        <v>0</v>
      </c>
      <c r="I979" s="5" t="n">
        <v>0</v>
      </c>
      <c r="J979" s="5" t="n">
        <v>1</v>
      </c>
      <c r="K979" s="5" t="n">
        <v>0</v>
      </c>
      <c r="L979" s="5" t="n">
        <v>0</v>
      </c>
      <c r="M979" s="5" t="n">
        <v>0</v>
      </c>
      <c r="N979" s="5" t="n">
        <v>0</v>
      </c>
      <c r="O979" s="5" t="n">
        <v>0</v>
      </c>
      <c r="P979" s="5" t="n">
        <v>0</v>
      </c>
      <c r="Q979" s="5" t="n">
        <v>0</v>
      </c>
      <c r="R979" s="5" t="n">
        <v>0</v>
      </c>
      <c r="S979" s="5" t="n">
        <v>1</v>
      </c>
      <c r="T979" s="5" t="n">
        <v>0</v>
      </c>
      <c r="U979" s="5" t="inlineStr">
        <is>
          <t>training</t>
        </is>
      </c>
      <c r="V979" s="5" t="n">
        <v>1</v>
      </c>
    </row>
    <row r="980">
      <c r="A980" s="5" t="n">
        <v>976</v>
      </c>
      <c r="B980" s="5" t="n">
        <v>0</v>
      </c>
      <c r="C980" s="6" t="n">
        <v>0.275406400796963</v>
      </c>
      <c r="D980" s="6" t="n">
        <v>-0.6972297669995587</v>
      </c>
      <c r="E980" s="6" t="n">
        <v>1.866441024179244</v>
      </c>
      <c r="F980" s="6" t="n">
        <v>0.01674764143977723</v>
      </c>
      <c r="G980" s="5" t="n">
        <v>0</v>
      </c>
      <c r="H980" s="5" t="n">
        <v>0</v>
      </c>
      <c r="I980" s="5" t="n">
        <v>1</v>
      </c>
      <c r="J980" s="5" t="n">
        <v>0</v>
      </c>
      <c r="K980" s="5" t="n">
        <v>0</v>
      </c>
      <c r="L980" s="5" t="n">
        <v>0</v>
      </c>
      <c r="M980" s="5" t="n">
        <v>1</v>
      </c>
      <c r="N980" s="5" t="n">
        <v>0</v>
      </c>
      <c r="O980" s="5" t="n">
        <v>0</v>
      </c>
      <c r="P980" s="5" t="n">
        <v>0</v>
      </c>
      <c r="Q980" s="5" t="n">
        <v>0</v>
      </c>
      <c r="R980" s="5" t="n">
        <v>0</v>
      </c>
      <c r="S980" s="5" t="n">
        <v>1</v>
      </c>
      <c r="T980" s="5" t="n">
        <v>0</v>
      </c>
      <c r="U980" s="5" t="inlineStr">
        <is>
          <t>training</t>
        </is>
      </c>
      <c r="V980" s="5" t="n">
        <v>0</v>
      </c>
    </row>
    <row r="981">
      <c r="A981" s="5" t="n">
        <v>977</v>
      </c>
      <c r="B981" s="5" t="n">
        <v>0</v>
      </c>
      <c r="C981" s="6" t="n">
        <v>-1.241254722473026</v>
      </c>
      <c r="D981" s="6" t="n">
        <v>-0.8739256015971598</v>
      </c>
      <c r="E981" s="6" t="n">
        <v>2.475252169065298</v>
      </c>
      <c r="F981" s="6" t="n">
        <v>-0.8850484360866833</v>
      </c>
      <c r="G981" s="5" t="n">
        <v>0</v>
      </c>
      <c r="H981" s="5" t="n">
        <v>1</v>
      </c>
      <c r="I981" s="5" t="n">
        <v>0</v>
      </c>
      <c r="J981" s="5" t="n">
        <v>0</v>
      </c>
      <c r="K981" s="5" t="n">
        <v>0</v>
      </c>
      <c r="L981" s="5" t="n">
        <v>0</v>
      </c>
      <c r="M981" s="5" t="n">
        <v>0</v>
      </c>
      <c r="N981" s="5" t="n">
        <v>0</v>
      </c>
      <c r="O981" s="5" t="n">
        <v>0</v>
      </c>
      <c r="P981" s="5" t="n">
        <v>0</v>
      </c>
      <c r="Q981" s="5" t="n">
        <v>0</v>
      </c>
      <c r="R981" s="5" t="n">
        <v>0</v>
      </c>
      <c r="S981" s="5" t="n">
        <v>1</v>
      </c>
      <c r="T981" s="5" t="n">
        <v>0</v>
      </c>
      <c r="U981" s="5" t="inlineStr">
        <is>
          <t>testing</t>
        </is>
      </c>
      <c r="V981" s="5" t="n">
        <v>0</v>
      </c>
    </row>
    <row r="982">
      <c r="A982" s="5" t="n">
        <v>978</v>
      </c>
      <c r="B982" s="5" t="n">
        <v>0</v>
      </c>
      <c r="C982" s="6" t="n">
        <v>-0.2301473069597001</v>
      </c>
      <c r="D982" s="6" t="n">
        <v>-0.2882051518617454</v>
      </c>
      <c r="E982" s="6" t="n">
        <v>0.5618457137091294</v>
      </c>
      <c r="F982" s="6" t="n">
        <v>0.9185437189662378</v>
      </c>
      <c r="G982" s="5" t="n">
        <v>0</v>
      </c>
      <c r="H982" s="5" t="n">
        <v>1</v>
      </c>
      <c r="I982" s="5" t="n">
        <v>0</v>
      </c>
      <c r="J982" s="5" t="n">
        <v>0</v>
      </c>
      <c r="K982" s="5" t="n">
        <v>1</v>
      </c>
      <c r="L982" s="5" t="n">
        <v>0</v>
      </c>
      <c r="M982" s="5" t="n">
        <v>0</v>
      </c>
      <c r="N982" s="5" t="n">
        <v>0</v>
      </c>
      <c r="O982" s="5" t="n">
        <v>1</v>
      </c>
      <c r="P982" s="5" t="n">
        <v>0</v>
      </c>
      <c r="Q982" s="5" t="n">
        <v>0</v>
      </c>
      <c r="R982" s="5" t="n">
        <v>0</v>
      </c>
      <c r="S982" s="5" t="n">
        <v>0</v>
      </c>
      <c r="T982" s="5" t="n">
        <v>0</v>
      </c>
      <c r="U982" s="5" t="inlineStr">
        <is>
          <t>testing</t>
        </is>
      </c>
      <c r="V982" s="5" t="n">
        <v>0</v>
      </c>
    </row>
    <row r="983">
      <c r="A983" s="5" t="n">
        <v>979</v>
      </c>
      <c r="B983" s="5" t="n">
        <v>1</v>
      </c>
      <c r="C983" s="6" t="n">
        <v>0.275406400796963</v>
      </c>
      <c r="D983" s="6" t="n">
        <v>-0.2493670575244509</v>
      </c>
      <c r="E983" s="6" t="n">
        <v>0.9967108171991675</v>
      </c>
      <c r="F983" s="6" t="n">
        <v>0.9185437189662378</v>
      </c>
      <c r="G983" s="5" t="n">
        <v>0</v>
      </c>
      <c r="H983" s="5" t="n">
        <v>0</v>
      </c>
      <c r="I983" s="5" t="n">
        <v>0</v>
      </c>
      <c r="J983" s="5" t="n">
        <v>0</v>
      </c>
      <c r="K983" s="5" t="n">
        <v>1</v>
      </c>
      <c r="L983" s="5" t="n">
        <v>0</v>
      </c>
      <c r="M983" s="5" t="n">
        <v>0</v>
      </c>
      <c r="N983" s="5" t="n">
        <v>0</v>
      </c>
      <c r="O983" s="5" t="n">
        <v>0</v>
      </c>
      <c r="P983" s="5" t="n">
        <v>0</v>
      </c>
      <c r="Q983" s="5" t="n">
        <v>0</v>
      </c>
      <c r="R983" s="5" t="n">
        <v>1</v>
      </c>
      <c r="S983" s="5" t="n">
        <v>0</v>
      </c>
      <c r="T983" s="5" t="n">
        <v>0</v>
      </c>
      <c r="U983" s="5" t="inlineStr">
        <is>
          <t>training</t>
        </is>
      </c>
      <c r="V983" s="5" t="n">
        <v>1</v>
      </c>
    </row>
    <row r="984">
      <c r="A984" s="5" t="n">
        <v>980</v>
      </c>
      <c r="B984" s="5" t="n">
        <v>1</v>
      </c>
      <c r="C984" s="6" t="n">
        <v>-0.4829241608380317</v>
      </c>
      <c r="D984" s="6" t="n">
        <v>-0.6951304105488941</v>
      </c>
      <c r="E984" s="6" t="n">
        <v>-0.9166956381570004</v>
      </c>
      <c r="F984" s="6" t="n">
        <v>-0.8850484360866833</v>
      </c>
      <c r="G984" s="5" t="n">
        <v>0</v>
      </c>
      <c r="H984" s="5" t="n">
        <v>1</v>
      </c>
      <c r="I984" s="5" t="n">
        <v>0</v>
      </c>
      <c r="J984" s="5" t="n">
        <v>0</v>
      </c>
      <c r="K984" s="5" t="n">
        <v>0</v>
      </c>
      <c r="L984" s="5" t="n">
        <v>1</v>
      </c>
      <c r="M984" s="5" t="n">
        <v>1</v>
      </c>
      <c r="N984" s="5" t="n">
        <v>0</v>
      </c>
      <c r="O984" s="5" t="n">
        <v>0</v>
      </c>
      <c r="P984" s="5" t="n">
        <v>1</v>
      </c>
      <c r="Q984" s="5" t="n">
        <v>0</v>
      </c>
      <c r="R984" s="5" t="n">
        <v>1</v>
      </c>
      <c r="S984" s="5" t="n">
        <v>0</v>
      </c>
      <c r="T984" s="5" t="n">
        <v>0</v>
      </c>
      <c r="U984" s="5" t="inlineStr">
        <is>
          <t>training</t>
        </is>
      </c>
      <c r="V984" s="5" t="n">
        <v>1</v>
      </c>
    </row>
    <row r="985">
      <c r="A985" s="5" t="n">
        <v>981</v>
      </c>
      <c r="B985" s="5" t="n">
        <v>1</v>
      </c>
      <c r="C985" s="6" t="n">
        <v>0.7809601085536261</v>
      </c>
      <c r="D985" s="6" t="n">
        <v>1.796805696389948</v>
      </c>
      <c r="E985" s="6" t="n">
        <v>1.170656858595183</v>
      </c>
      <c r="F985" s="6" t="n">
        <v>-0.8850484360866833</v>
      </c>
      <c r="G985" s="5" t="n">
        <v>0</v>
      </c>
      <c r="H985" s="5" t="n">
        <v>1</v>
      </c>
      <c r="I985" s="5" t="n">
        <v>0</v>
      </c>
      <c r="J985" s="5" t="n">
        <v>1</v>
      </c>
      <c r="K985" s="5" t="n">
        <v>0</v>
      </c>
      <c r="L985" s="5" t="n">
        <v>0</v>
      </c>
      <c r="M985" s="5" t="n">
        <v>0</v>
      </c>
      <c r="N985" s="5" t="n">
        <v>0</v>
      </c>
      <c r="O985" s="5" t="n">
        <v>0</v>
      </c>
      <c r="P985" s="5" t="n">
        <v>0</v>
      </c>
      <c r="Q985" s="5" t="n">
        <v>0</v>
      </c>
      <c r="R985" s="5" t="n">
        <v>0</v>
      </c>
      <c r="S985" s="5" t="n">
        <v>0</v>
      </c>
      <c r="T985" s="5" t="n">
        <v>1</v>
      </c>
      <c r="U985" s="5" t="inlineStr">
        <is>
          <t>training</t>
        </is>
      </c>
      <c r="V985" s="5" t="n">
        <v>1</v>
      </c>
    </row>
    <row r="986">
      <c r="A986" s="5" t="n">
        <v>982</v>
      </c>
      <c r="B986" s="5" t="n">
        <v>1</v>
      </c>
      <c r="C986" s="6" t="n">
        <v>2.297621231823615</v>
      </c>
      <c r="D986" s="6" t="n">
        <v>0.5574856050142979</v>
      </c>
      <c r="E986" s="6" t="n">
        <v>-0.2209114725729393</v>
      </c>
      <c r="F986" s="6" t="n">
        <v>0.01674764143977723</v>
      </c>
      <c r="G986" s="5" t="n">
        <v>0</v>
      </c>
      <c r="H986" s="5" t="n">
        <v>0</v>
      </c>
      <c r="I986" s="5" t="n">
        <v>0</v>
      </c>
      <c r="J986" s="5" t="n">
        <v>0</v>
      </c>
      <c r="K986" s="5" t="n">
        <v>0</v>
      </c>
      <c r="L986" s="5" t="n">
        <v>0</v>
      </c>
      <c r="M986" s="5" t="n">
        <v>0</v>
      </c>
      <c r="N986" s="5" t="n">
        <v>0</v>
      </c>
      <c r="O986" s="5" t="n">
        <v>0</v>
      </c>
      <c r="P986" s="5" t="n">
        <v>1</v>
      </c>
      <c r="Q986" s="5" t="n">
        <v>0</v>
      </c>
      <c r="R986" s="5" t="n">
        <v>0</v>
      </c>
      <c r="S986" s="5" t="n">
        <v>0</v>
      </c>
      <c r="T986" s="5" t="n">
        <v>0</v>
      </c>
      <c r="U986" s="5" t="inlineStr">
        <is>
          <t>training</t>
        </is>
      </c>
      <c r="V986" s="5" t="n">
        <v>1</v>
      </c>
    </row>
    <row r="987">
      <c r="A987" s="5" t="n">
        <v>983</v>
      </c>
      <c r="B987" s="5" t="n">
        <v>0</v>
      </c>
      <c r="C987" s="6" t="n">
        <v>0.02262954691863145</v>
      </c>
      <c r="D987" s="6" t="n">
        <v>-0.1146583519401412</v>
      </c>
      <c r="E987" s="6" t="n">
        <v>-0.6557765760629775</v>
      </c>
      <c r="F987" s="6" t="n">
        <v>-1.786844513613144</v>
      </c>
      <c r="G987" s="5" t="n">
        <v>0</v>
      </c>
      <c r="H987" s="5" t="n">
        <v>0</v>
      </c>
      <c r="I987" s="5" t="n">
        <v>1</v>
      </c>
      <c r="J987" s="5" t="n">
        <v>0</v>
      </c>
      <c r="K987" s="5" t="n">
        <v>0</v>
      </c>
      <c r="L987" s="5" t="n">
        <v>0</v>
      </c>
      <c r="M987" s="5" t="n">
        <v>1</v>
      </c>
      <c r="N987" s="5" t="n">
        <v>0</v>
      </c>
      <c r="O987" s="5" t="n">
        <v>0</v>
      </c>
      <c r="P987" s="5" t="n">
        <v>0</v>
      </c>
      <c r="Q987" s="5" t="n">
        <v>0</v>
      </c>
      <c r="R987" s="5" t="n">
        <v>1</v>
      </c>
      <c r="S987" s="5" t="n">
        <v>0</v>
      </c>
      <c r="T987" s="5" t="n">
        <v>0</v>
      </c>
      <c r="U987" s="5" t="inlineStr">
        <is>
          <t>training</t>
        </is>
      </c>
      <c r="V987" s="5" t="n">
        <v>1</v>
      </c>
    </row>
    <row r="988">
      <c r="A988" s="5" t="n">
        <v>984</v>
      </c>
      <c r="B988" s="5" t="n">
        <v>1</v>
      </c>
      <c r="C988" s="6" t="n">
        <v>1.286513816310289</v>
      </c>
      <c r="D988" s="6" t="n">
        <v>1.741872535930892</v>
      </c>
      <c r="E988" s="6" t="n">
        <v>-0.8297226174589928</v>
      </c>
      <c r="F988" s="6" t="n">
        <v>-0.8850484360866833</v>
      </c>
      <c r="G988" s="5" t="n">
        <v>1</v>
      </c>
      <c r="H988" s="5" t="n">
        <v>0</v>
      </c>
      <c r="I988" s="5" t="n">
        <v>0</v>
      </c>
      <c r="J988" s="5" t="n">
        <v>0</v>
      </c>
      <c r="K988" s="5" t="n">
        <v>0</v>
      </c>
      <c r="L988" s="5" t="n">
        <v>0</v>
      </c>
      <c r="M988" s="5" t="n">
        <v>0</v>
      </c>
      <c r="N988" s="5" t="n">
        <v>0</v>
      </c>
      <c r="O988" s="5" t="n">
        <v>0</v>
      </c>
      <c r="P988" s="5" t="n">
        <v>0</v>
      </c>
      <c r="Q988" s="5" t="n">
        <v>0</v>
      </c>
      <c r="R988" s="5" t="n">
        <v>1</v>
      </c>
      <c r="S988" s="5" t="n">
        <v>0</v>
      </c>
      <c r="T988" s="5" t="n">
        <v>0</v>
      </c>
      <c r="U988" s="5" t="inlineStr">
        <is>
          <t>training</t>
        </is>
      </c>
      <c r="V988" s="5" t="n">
        <v>1</v>
      </c>
    </row>
    <row r="989">
      <c r="A989" s="5" t="n">
        <v>985</v>
      </c>
      <c r="B989" s="5" t="n">
        <v>0</v>
      </c>
      <c r="C989" s="6" t="n">
        <v>0.275406400796963</v>
      </c>
      <c r="D989" s="6" t="n">
        <v>-0.4278123558309392</v>
      </c>
      <c r="E989" s="6" t="n">
        <v>-0.4818305346669622</v>
      </c>
      <c r="F989" s="6" t="n">
        <v>-0.8850484360866833</v>
      </c>
      <c r="G989" s="5" t="n">
        <v>0</v>
      </c>
      <c r="H989" s="5" t="n">
        <v>0</v>
      </c>
      <c r="I989" s="5" t="n">
        <v>0</v>
      </c>
      <c r="J989" s="5" t="n">
        <v>1</v>
      </c>
      <c r="K989" s="5" t="n">
        <v>0</v>
      </c>
      <c r="L989" s="5" t="n">
        <v>0</v>
      </c>
      <c r="M989" s="5" t="n">
        <v>0</v>
      </c>
      <c r="N989" s="5" t="n">
        <v>0</v>
      </c>
      <c r="O989" s="5" t="n">
        <v>0</v>
      </c>
      <c r="P989" s="5" t="n">
        <v>0</v>
      </c>
      <c r="Q989" s="5" t="n">
        <v>0</v>
      </c>
      <c r="R989" s="5" t="n">
        <v>0</v>
      </c>
      <c r="S989" s="5" t="n">
        <v>0</v>
      </c>
      <c r="T989" s="5" t="n">
        <v>1</v>
      </c>
      <c r="U989" s="5" t="inlineStr">
        <is>
          <t>testing</t>
        </is>
      </c>
      <c r="V989" s="5" t="n">
        <v>0</v>
      </c>
    </row>
    <row r="990">
      <c r="A990" s="5" t="n">
        <v>986</v>
      </c>
      <c r="B990" s="5" t="n">
        <v>0</v>
      </c>
      <c r="C990" s="6" t="n">
        <v>-0.4829241608380317</v>
      </c>
      <c r="D990" s="6" t="n">
        <v>-0.6359985371885089</v>
      </c>
      <c r="E990" s="6" t="n">
        <v>-0.9166956381570004</v>
      </c>
      <c r="F990" s="6" t="n">
        <v>0.9185437189662378</v>
      </c>
      <c r="G990" s="5" t="n">
        <v>1</v>
      </c>
      <c r="H990" s="5" t="n">
        <v>0</v>
      </c>
      <c r="I990" s="5" t="n">
        <v>0</v>
      </c>
      <c r="J990" s="5" t="n">
        <v>1</v>
      </c>
      <c r="K990" s="5" t="n">
        <v>0</v>
      </c>
      <c r="L990" s="5" t="n">
        <v>0</v>
      </c>
      <c r="M990" s="5" t="n">
        <v>0</v>
      </c>
      <c r="N990" s="5" t="n">
        <v>0</v>
      </c>
      <c r="O990" s="5" t="n">
        <v>0</v>
      </c>
      <c r="P990" s="5" t="n">
        <v>1</v>
      </c>
      <c r="Q990" s="5" t="n">
        <v>0</v>
      </c>
      <c r="R990" s="5" t="n">
        <v>0</v>
      </c>
      <c r="S990" s="5" t="n">
        <v>0</v>
      </c>
      <c r="T990" s="5" t="n">
        <v>1</v>
      </c>
      <c r="U990" s="5" t="inlineStr">
        <is>
          <t>testing</t>
        </is>
      </c>
      <c r="V990" s="5" t="n">
        <v>0</v>
      </c>
    </row>
    <row r="991">
      <c r="A991" s="5" t="n">
        <v>987</v>
      </c>
      <c r="B991" s="5" t="n">
        <v>0</v>
      </c>
      <c r="C991" s="6" t="n">
        <v>1.792067524066952</v>
      </c>
      <c r="D991" s="6" t="n">
        <v>1.063080616882681</v>
      </c>
      <c r="E991" s="6" t="n">
        <v>-0.2209114725729393</v>
      </c>
      <c r="F991" s="6" t="n">
        <v>-0.8850484360866833</v>
      </c>
      <c r="G991" s="5" t="n">
        <v>0</v>
      </c>
      <c r="H991" s="5" t="n">
        <v>0</v>
      </c>
      <c r="I991" s="5" t="n">
        <v>1</v>
      </c>
      <c r="J991" s="5" t="n">
        <v>0</v>
      </c>
      <c r="K991" s="5" t="n">
        <v>0</v>
      </c>
      <c r="L991" s="5" t="n">
        <v>1</v>
      </c>
      <c r="M991" s="5" t="n">
        <v>0</v>
      </c>
      <c r="N991" s="5" t="n">
        <v>0</v>
      </c>
      <c r="O991" s="5" t="n">
        <v>0</v>
      </c>
      <c r="P991" s="5" t="n">
        <v>0</v>
      </c>
      <c r="Q991" s="5" t="n">
        <v>0</v>
      </c>
      <c r="R991" s="5" t="n">
        <v>0</v>
      </c>
      <c r="S991" s="5" t="n">
        <v>0</v>
      </c>
      <c r="T991" s="5" t="n">
        <v>0</v>
      </c>
      <c r="U991" s="5" t="inlineStr">
        <is>
          <t>testing</t>
        </is>
      </c>
      <c r="V991" s="5" t="n">
        <v>0</v>
      </c>
    </row>
    <row r="992">
      <c r="A992" s="5" t="n">
        <v>988</v>
      </c>
      <c r="B992" s="5" t="n">
        <v>0</v>
      </c>
      <c r="C992" s="6" t="n">
        <v>-0.651442063423586</v>
      </c>
      <c r="D992" s="6" t="n">
        <v>-0.6443959629911671</v>
      </c>
      <c r="E992" s="6" t="n">
        <v>2.475252169065298</v>
      </c>
      <c r="F992" s="6" t="n">
        <v>-0.8850484360866833</v>
      </c>
      <c r="G992" s="5" t="n">
        <v>0</v>
      </c>
      <c r="H992" s="5" t="n">
        <v>0</v>
      </c>
      <c r="I992" s="5" t="n">
        <v>0</v>
      </c>
      <c r="J992" s="5" t="n">
        <v>0</v>
      </c>
      <c r="K992" s="5" t="n">
        <v>0</v>
      </c>
      <c r="L992" s="5" t="n">
        <v>0</v>
      </c>
      <c r="M992" s="5" t="n">
        <v>1</v>
      </c>
      <c r="N992" s="5" t="n">
        <v>0</v>
      </c>
      <c r="O992" s="5" t="n">
        <v>0</v>
      </c>
      <c r="P992" s="5" t="n">
        <v>0</v>
      </c>
      <c r="Q992" s="5" t="n">
        <v>0</v>
      </c>
      <c r="R992" s="5" t="n">
        <v>0</v>
      </c>
      <c r="S992" s="5" t="n">
        <v>1</v>
      </c>
      <c r="T992" s="5" t="n">
        <v>0</v>
      </c>
      <c r="U992" s="5" t="inlineStr">
        <is>
          <t>training</t>
        </is>
      </c>
      <c r="V992" s="5" t="n">
        <v>1</v>
      </c>
    </row>
    <row r="993">
      <c r="A993" s="5" t="n">
        <v>989</v>
      </c>
      <c r="B993" s="5" t="n">
        <v>0</v>
      </c>
      <c r="C993" s="6" t="n">
        <v>0.275406400796963</v>
      </c>
      <c r="D993" s="6" t="n">
        <v>1.164549511998136</v>
      </c>
      <c r="E993" s="6" t="n">
        <v>-0.5688035553649698</v>
      </c>
      <c r="F993" s="6" t="n">
        <v>0.9185437189662378</v>
      </c>
      <c r="G993" s="5" t="n">
        <v>1</v>
      </c>
      <c r="H993" s="5" t="n">
        <v>0</v>
      </c>
      <c r="I993" s="5" t="n">
        <v>0</v>
      </c>
      <c r="J993" s="5" t="n">
        <v>0</v>
      </c>
      <c r="K993" s="5" t="n">
        <v>0</v>
      </c>
      <c r="L993" s="5" t="n">
        <v>0</v>
      </c>
      <c r="M993" s="5" t="n">
        <v>0</v>
      </c>
      <c r="N993" s="5" t="n">
        <v>0</v>
      </c>
      <c r="O993" s="5" t="n">
        <v>0</v>
      </c>
      <c r="P993" s="5" t="n">
        <v>0</v>
      </c>
      <c r="Q993" s="5" t="n">
        <v>1</v>
      </c>
      <c r="R993" s="5" t="n">
        <v>1</v>
      </c>
      <c r="S993" s="5" t="n">
        <v>0</v>
      </c>
      <c r="T993" s="5" t="n">
        <v>0</v>
      </c>
      <c r="U993" s="5" t="inlineStr">
        <is>
          <t>testing</t>
        </is>
      </c>
      <c r="V993" s="5" t="n">
        <v>0</v>
      </c>
    </row>
    <row r="994">
      <c r="A994" s="5" t="n">
        <v>990</v>
      </c>
      <c r="B994" s="5" t="n">
        <v>0</v>
      </c>
      <c r="C994" s="6" t="n">
        <v>0.275406400796963</v>
      </c>
      <c r="D994" s="6" t="n">
        <v>-0.5275317872375062</v>
      </c>
      <c r="E994" s="6" t="n">
        <v>1.083683837897175</v>
      </c>
      <c r="F994" s="6" t="n">
        <v>0.9185437189662378</v>
      </c>
      <c r="G994" s="5" t="n">
        <v>0</v>
      </c>
      <c r="H994" s="5" t="n">
        <v>1</v>
      </c>
      <c r="I994" s="5" t="n">
        <v>0</v>
      </c>
      <c r="J994" s="5" t="n">
        <v>1</v>
      </c>
      <c r="K994" s="5" t="n">
        <v>0</v>
      </c>
      <c r="L994" s="5" t="n">
        <v>0</v>
      </c>
      <c r="M994" s="5" t="n">
        <v>0</v>
      </c>
      <c r="N994" s="5" t="n">
        <v>0</v>
      </c>
      <c r="O994" s="5" t="n">
        <v>0</v>
      </c>
      <c r="P994" s="5" t="n">
        <v>0</v>
      </c>
      <c r="Q994" s="5" t="n">
        <v>0</v>
      </c>
      <c r="R994" s="5" t="n">
        <v>0</v>
      </c>
      <c r="S994" s="5" t="n">
        <v>1</v>
      </c>
      <c r="T994" s="5" t="n">
        <v>0</v>
      </c>
      <c r="U994" s="5" t="inlineStr">
        <is>
          <t>training</t>
        </is>
      </c>
      <c r="V994" s="5" t="n">
        <v>0</v>
      </c>
    </row>
    <row r="995">
      <c r="A995" s="5" t="n">
        <v>991</v>
      </c>
      <c r="B995" s="5" t="n">
        <v>0</v>
      </c>
      <c r="C995" s="6" t="n">
        <v>-0.7357010147163632</v>
      </c>
      <c r="D995" s="6" t="n">
        <v>0.1099727882809676</v>
      </c>
      <c r="E995" s="6" t="n">
        <v>0.1269806102190912</v>
      </c>
      <c r="F995" s="6" t="n">
        <v>-0.8850484360866833</v>
      </c>
      <c r="G995" s="5" t="n">
        <v>0</v>
      </c>
      <c r="H995" s="5" t="n">
        <v>0</v>
      </c>
      <c r="I995" s="5" t="n">
        <v>0</v>
      </c>
      <c r="J995" s="5" t="n">
        <v>1</v>
      </c>
      <c r="K995" s="5" t="n">
        <v>0</v>
      </c>
      <c r="L995" s="5" t="n">
        <v>0</v>
      </c>
      <c r="M995" s="5" t="n">
        <v>0</v>
      </c>
      <c r="N995" s="5" t="n">
        <v>0</v>
      </c>
      <c r="O995" s="5" t="n">
        <v>1</v>
      </c>
      <c r="P995" s="5" t="n">
        <v>0</v>
      </c>
      <c r="Q995" s="5" t="n">
        <v>0</v>
      </c>
      <c r="R995" s="5" t="n">
        <v>0</v>
      </c>
      <c r="S995" s="5" t="n">
        <v>0</v>
      </c>
      <c r="T995" s="5" t="n">
        <v>0</v>
      </c>
      <c r="U995" s="5" t="inlineStr">
        <is>
          <t>training</t>
        </is>
      </c>
      <c r="V995" s="5" t="n">
        <v>1</v>
      </c>
    </row>
    <row r="996">
      <c r="A996" s="5" t="n">
        <v>992</v>
      </c>
      <c r="B996" s="5" t="n">
        <v>0</v>
      </c>
      <c r="C996" s="6" t="n">
        <v>-0.4829241608380317</v>
      </c>
      <c r="D996" s="6" t="n">
        <v>-0.5884131243067786</v>
      </c>
      <c r="E996" s="6" t="n">
        <v>-0.1339384518749317</v>
      </c>
      <c r="F996" s="6" t="n">
        <v>0.9185437189662378</v>
      </c>
      <c r="G996" s="5" t="n">
        <v>0</v>
      </c>
      <c r="H996" s="5" t="n">
        <v>0</v>
      </c>
      <c r="I996" s="5" t="n">
        <v>0</v>
      </c>
      <c r="J996" s="5" t="n">
        <v>0</v>
      </c>
      <c r="K996" s="5" t="n">
        <v>0</v>
      </c>
      <c r="L996" s="5" t="n">
        <v>1</v>
      </c>
      <c r="M996" s="5" t="n">
        <v>1</v>
      </c>
      <c r="N996" s="5" t="n">
        <v>0</v>
      </c>
      <c r="O996" s="5" t="n">
        <v>0</v>
      </c>
      <c r="P996" s="5" t="n">
        <v>0</v>
      </c>
      <c r="Q996" s="5" t="n">
        <v>0</v>
      </c>
      <c r="R996" s="5" t="n">
        <v>0</v>
      </c>
      <c r="S996" s="5" t="n">
        <v>1</v>
      </c>
      <c r="T996" s="5" t="n">
        <v>0</v>
      </c>
      <c r="U996" s="5" t="inlineStr">
        <is>
          <t>training</t>
        </is>
      </c>
      <c r="V996" s="5" t="n">
        <v>0</v>
      </c>
    </row>
    <row r="997">
      <c r="A997" s="5" t="n">
        <v>993</v>
      </c>
      <c r="B997" s="5" t="n">
        <v>0</v>
      </c>
      <c r="C997" s="6" t="n">
        <v>-0.2301473069597001</v>
      </c>
      <c r="D997" s="6" t="n">
        <v>-0.4600024880744625</v>
      </c>
      <c r="E997" s="6" t="n">
        <v>-1.090641679553016</v>
      </c>
      <c r="F997" s="6" t="n">
        <v>-0.8850484360866833</v>
      </c>
      <c r="G997" s="5" t="n">
        <v>1</v>
      </c>
      <c r="H997" s="5" t="n">
        <v>0</v>
      </c>
      <c r="I997" s="5" t="n">
        <v>0</v>
      </c>
      <c r="J997" s="5" t="n">
        <v>0</v>
      </c>
      <c r="K997" s="5" t="n">
        <v>0</v>
      </c>
      <c r="L997" s="5" t="n">
        <v>0</v>
      </c>
      <c r="M997" s="5" t="n">
        <v>0</v>
      </c>
      <c r="N997" s="5" t="n">
        <v>0</v>
      </c>
      <c r="O997" s="5" t="n">
        <v>1</v>
      </c>
      <c r="P997" s="5" t="n">
        <v>1</v>
      </c>
      <c r="Q997" s="5" t="n">
        <v>0</v>
      </c>
      <c r="R997" s="5" t="n">
        <v>0</v>
      </c>
      <c r="S997" s="5" t="n">
        <v>1</v>
      </c>
      <c r="T997" s="5" t="n">
        <v>0</v>
      </c>
      <c r="U997" s="5" t="inlineStr">
        <is>
          <t>testing</t>
        </is>
      </c>
      <c r="V997" s="5" t="n">
        <v>0</v>
      </c>
    </row>
    <row r="998">
      <c r="A998" s="5" t="n">
        <v>994</v>
      </c>
      <c r="B998" s="5" t="n">
        <v>0</v>
      </c>
      <c r="C998" s="6" t="n">
        <v>1.286513816310289</v>
      </c>
      <c r="D998" s="6" t="n">
        <v>0.2478305285412742</v>
      </c>
      <c r="E998" s="6" t="n">
        <v>-0.4818305346669622</v>
      </c>
      <c r="F998" s="6" t="n">
        <v>0.9185437189662378</v>
      </c>
      <c r="G998" s="5" t="n">
        <v>1</v>
      </c>
      <c r="H998" s="5" t="n">
        <v>0</v>
      </c>
      <c r="I998" s="5" t="n">
        <v>0</v>
      </c>
      <c r="J998" s="5" t="n">
        <v>0</v>
      </c>
      <c r="K998" s="5" t="n">
        <v>0</v>
      </c>
      <c r="L998" s="5" t="n">
        <v>0</v>
      </c>
      <c r="M998" s="5" t="n">
        <v>0</v>
      </c>
      <c r="N998" s="5" t="n">
        <v>0</v>
      </c>
      <c r="O998" s="5" t="n">
        <v>0</v>
      </c>
      <c r="P998" s="5" t="n">
        <v>0</v>
      </c>
      <c r="Q998" s="5" t="n">
        <v>0</v>
      </c>
      <c r="R998" s="5" t="n">
        <v>0</v>
      </c>
      <c r="S998" s="5" t="n">
        <v>0</v>
      </c>
      <c r="T998" s="5" t="n">
        <v>1</v>
      </c>
      <c r="U998" s="5" t="inlineStr">
        <is>
          <t>training</t>
        </is>
      </c>
      <c r="V998" s="5" t="n">
        <v>0</v>
      </c>
    </row>
    <row r="999">
      <c r="A999" s="5" t="n">
        <v>995</v>
      </c>
      <c r="B999" s="5" t="n">
        <v>0</v>
      </c>
      <c r="C999" s="6" t="n">
        <v>-0.7357010147163632</v>
      </c>
      <c r="D999" s="6" t="n">
        <v>-0.3011511833075103</v>
      </c>
      <c r="E999" s="6" t="n">
        <v>1.257629879293191</v>
      </c>
      <c r="F999" s="6" t="n">
        <v>0.9185437189662378</v>
      </c>
      <c r="G999" s="5" t="n">
        <v>0</v>
      </c>
      <c r="H999" s="5" t="n">
        <v>0</v>
      </c>
      <c r="I999" s="5" t="n">
        <v>0</v>
      </c>
      <c r="J999" s="5" t="n">
        <v>0</v>
      </c>
      <c r="K999" s="5" t="n">
        <v>0</v>
      </c>
      <c r="L999" s="5" t="n">
        <v>0</v>
      </c>
      <c r="M999" s="5" t="n">
        <v>0</v>
      </c>
      <c r="N999" s="5" t="n">
        <v>0</v>
      </c>
      <c r="O999" s="5" t="n">
        <v>1</v>
      </c>
      <c r="P999" s="5" t="n">
        <v>0</v>
      </c>
      <c r="Q999" s="5" t="n">
        <v>0</v>
      </c>
      <c r="R999" s="5" t="n">
        <v>1</v>
      </c>
      <c r="S999" s="5" t="n">
        <v>0</v>
      </c>
      <c r="T999" s="5" t="n">
        <v>0</v>
      </c>
      <c r="U999" s="5" t="inlineStr">
        <is>
          <t>training</t>
        </is>
      </c>
      <c r="V999" s="5" t="n">
        <v>0</v>
      </c>
    </row>
    <row r="1000">
      <c r="A1000" s="5" t="n">
        <v>996</v>
      </c>
      <c r="B1000" s="5" t="n">
        <v>0</v>
      </c>
      <c r="C1000" s="6" t="n">
        <v>-0.7357010147163632</v>
      </c>
      <c r="D1000" s="6" t="n">
        <v>-0.5299810364299481</v>
      </c>
      <c r="E1000" s="6" t="n">
        <v>-0.3948575139689546</v>
      </c>
      <c r="F1000" s="6" t="n">
        <v>0.01674764143977723</v>
      </c>
      <c r="G1000" s="5" t="n">
        <v>0</v>
      </c>
      <c r="H1000" s="5" t="n">
        <v>0</v>
      </c>
      <c r="I1000" s="5" t="n">
        <v>0</v>
      </c>
      <c r="J1000" s="5" t="n">
        <v>0</v>
      </c>
      <c r="K1000" s="5" t="n">
        <v>0</v>
      </c>
      <c r="L1000" s="5" t="n">
        <v>0</v>
      </c>
      <c r="M1000" s="5" t="n">
        <v>0</v>
      </c>
      <c r="N1000" s="5" t="n">
        <v>0</v>
      </c>
      <c r="O1000" s="5" t="n">
        <v>0</v>
      </c>
      <c r="P1000" s="5" t="n">
        <v>0</v>
      </c>
      <c r="Q1000" s="5" t="n">
        <v>0</v>
      </c>
      <c r="R1000" s="5" t="n">
        <v>0</v>
      </c>
      <c r="S1000" s="5" t="n">
        <v>0</v>
      </c>
      <c r="T1000" s="5" t="n">
        <v>1</v>
      </c>
      <c r="U1000" s="5" t="inlineStr">
        <is>
          <t>training</t>
        </is>
      </c>
      <c r="V1000" s="5" t="n">
        <v>0</v>
      </c>
    </row>
    <row r="1001">
      <c r="A1001" s="5" t="n">
        <v>997</v>
      </c>
      <c r="B1001" s="5" t="n">
        <v>0</v>
      </c>
      <c r="C1001" s="6" t="n">
        <v>0.7809601085536261</v>
      </c>
      <c r="D1001" s="6" t="n">
        <v>0.2121414688799765</v>
      </c>
      <c r="E1001" s="6" t="n">
        <v>0.3878996723131141</v>
      </c>
      <c r="F1001" s="6" t="n">
        <v>0.9185437189662378</v>
      </c>
      <c r="G1001" s="5" t="n">
        <v>1</v>
      </c>
      <c r="H1001" s="5" t="n">
        <v>0</v>
      </c>
      <c r="I1001" s="5" t="n">
        <v>0</v>
      </c>
      <c r="J1001" s="5" t="n">
        <v>0</v>
      </c>
      <c r="K1001" s="5" t="n">
        <v>0</v>
      </c>
      <c r="L1001" s="5" t="n">
        <v>0</v>
      </c>
      <c r="M1001" s="5" t="n">
        <v>0</v>
      </c>
      <c r="N1001" s="5" t="n">
        <v>0</v>
      </c>
      <c r="O1001" s="5" t="n">
        <v>0</v>
      </c>
      <c r="P1001" s="5" t="n">
        <v>0</v>
      </c>
      <c r="Q1001" s="5" t="n">
        <v>0</v>
      </c>
      <c r="R1001" s="5" t="n">
        <v>1</v>
      </c>
      <c r="S1001" s="5" t="n">
        <v>0</v>
      </c>
      <c r="T1001" s="5" t="n">
        <v>0</v>
      </c>
      <c r="U1001" s="5" t="inlineStr">
        <is>
          <t>training</t>
        </is>
      </c>
      <c r="V1001" s="5" t="n">
        <v>0</v>
      </c>
    </row>
    <row r="1002">
      <c r="A1002" s="5" t="n">
        <v>998</v>
      </c>
      <c r="B1002" s="5" t="n">
        <v>0</v>
      </c>
      <c r="C1002" s="6" t="n">
        <v>-0.7357010147163632</v>
      </c>
      <c r="D1002" s="6" t="n">
        <v>-0.8560810717665109</v>
      </c>
      <c r="E1002" s="6" t="n">
        <v>0.2139536309170988</v>
      </c>
      <c r="F1002" s="6" t="n">
        <v>0.9185437189662378</v>
      </c>
      <c r="G1002" s="5" t="n">
        <v>0</v>
      </c>
      <c r="H1002" s="5" t="n">
        <v>0</v>
      </c>
      <c r="I1002" s="5" t="n">
        <v>0</v>
      </c>
      <c r="J1002" s="5" t="n">
        <v>0</v>
      </c>
      <c r="K1002" s="5" t="n">
        <v>0</v>
      </c>
      <c r="L1002" s="5" t="n">
        <v>0</v>
      </c>
      <c r="M1002" s="5" t="n">
        <v>0</v>
      </c>
      <c r="N1002" s="5" t="n">
        <v>0</v>
      </c>
      <c r="O1002" s="5" t="n">
        <v>0</v>
      </c>
      <c r="P1002" s="5" t="n">
        <v>0</v>
      </c>
      <c r="Q1002" s="5" t="n">
        <v>0</v>
      </c>
      <c r="R1002" s="5" t="n">
        <v>0</v>
      </c>
      <c r="S1002" s="5" t="n">
        <v>1</v>
      </c>
      <c r="T1002" s="5" t="n">
        <v>0</v>
      </c>
      <c r="U1002" s="5" t="inlineStr">
        <is>
          <t>testing</t>
        </is>
      </c>
      <c r="V1002" s="5" t="n">
        <v>0</v>
      </c>
    </row>
    <row r="1003">
      <c r="A1003" s="5" t="n">
        <v>999</v>
      </c>
      <c r="B1003" s="5" t="n">
        <v>1</v>
      </c>
      <c r="C1003" s="6" t="n">
        <v>2.044844377945284</v>
      </c>
      <c r="D1003" s="6" t="n">
        <v>-0.4918427275762085</v>
      </c>
      <c r="E1003" s="6" t="n">
        <v>-1.090641679553016</v>
      </c>
      <c r="F1003" s="6" t="n">
        <v>0.9185437189662378</v>
      </c>
      <c r="G1003" s="5" t="n">
        <v>1</v>
      </c>
      <c r="H1003" s="5" t="n">
        <v>0</v>
      </c>
      <c r="I1003" s="5" t="n">
        <v>0</v>
      </c>
      <c r="J1003" s="5" t="n">
        <v>0</v>
      </c>
      <c r="K1003" s="5" t="n">
        <v>0</v>
      </c>
      <c r="L1003" s="5" t="n">
        <v>0</v>
      </c>
      <c r="M1003" s="5" t="n">
        <v>0</v>
      </c>
      <c r="N1003" s="5" t="n">
        <v>0</v>
      </c>
      <c r="O1003" s="5" t="n">
        <v>0</v>
      </c>
      <c r="P1003" s="5" t="n">
        <v>0</v>
      </c>
      <c r="Q1003" s="5" t="n">
        <v>1</v>
      </c>
      <c r="R1003" s="5" t="n">
        <v>0</v>
      </c>
      <c r="S1003" s="5" t="n">
        <v>1</v>
      </c>
      <c r="T1003" s="5" t="n">
        <v>0</v>
      </c>
      <c r="U1003" s="5" t="inlineStr">
        <is>
          <t>training</t>
        </is>
      </c>
      <c r="V1003" s="5" t="n">
        <v>1</v>
      </c>
    </row>
    <row r="1004">
      <c r="A1004" s="5" t="n">
        <v>1000</v>
      </c>
      <c r="B1004" s="5" t="n">
        <v>0</v>
      </c>
      <c r="C1004" s="6" t="n">
        <v>2.044844377945284</v>
      </c>
      <c r="D1004" s="6" t="n">
        <v>0.4637143502179472</v>
      </c>
      <c r="E1004" s="6" t="n">
        <v>-0.7427495967609852</v>
      </c>
      <c r="F1004" s="6" t="n">
        <v>0.01674764143977723</v>
      </c>
      <c r="G1004" s="5" t="n">
        <v>0</v>
      </c>
      <c r="H1004" s="5" t="n">
        <v>1</v>
      </c>
      <c r="I1004" s="5" t="n">
        <v>0</v>
      </c>
      <c r="J1004" s="5" t="n">
        <v>1</v>
      </c>
      <c r="K1004" s="5" t="n">
        <v>0</v>
      </c>
      <c r="L1004" s="5" t="n">
        <v>0</v>
      </c>
      <c r="M1004" s="5" t="n">
        <v>1</v>
      </c>
      <c r="N1004" s="5" t="n">
        <v>0</v>
      </c>
      <c r="O1004" s="5" t="n">
        <v>0</v>
      </c>
      <c r="P1004" s="5" t="n">
        <v>0</v>
      </c>
      <c r="Q1004" s="5" t="n">
        <v>0</v>
      </c>
      <c r="R1004" s="5" t="n">
        <v>1</v>
      </c>
      <c r="S1004" s="5" t="n">
        <v>0</v>
      </c>
      <c r="T1004" s="5" t="n">
        <v>0</v>
      </c>
      <c r="U1004" s="5" t="inlineStr">
        <is>
          <t>training</t>
        </is>
      </c>
      <c r="V1004" s="5" t="n">
        <v>0</v>
      </c>
    </row>
  </sheetData>
  <mergeCells count="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18" customWidth="1" min="7" max="7"/>
    <col width="13" customWidth="1" min="8" max="8"/>
    <col width="10" customWidth="1" min="9" max="9"/>
    <col width="14" customWidth="1" min="10" max="10"/>
    <col width="13" customWidth="1" min="11" max="11"/>
    <col width="13" customWidth="1" min="12" max="12"/>
    <col width="18" customWidth="1" min="13" max="13"/>
    <col width="16" customWidth="1" min="14" max="14"/>
    <col width="18" customWidth="1" min="15" max="15"/>
    <col width="19" customWidth="1" min="16" max="16"/>
    <col width="18" customWidth="1" min="17" max="17"/>
    <col width="16" customWidth="1" min="18" max="18"/>
    <col width="15" customWidth="1" min="19" max="19"/>
    <col width="19" customWidth="1" min="20" max="20"/>
    <col width="18" customWidth="1" min="21" max="21"/>
    <col width="10" customWidth="1" min="22" max="22"/>
    <col width="14" customWidth="1" min="23" max="23"/>
    <col width="10" customWidth="1" min="24" max="24"/>
    <col width="13" customWidth="1" min="25" max="25"/>
    <col width="18" customWidth="1" min="26" max="26"/>
    <col width="11" customWidth="1" min="27" max="27"/>
    <col width="10" customWidth="1" min="28" max="28"/>
    <col width="56" customWidth="1" min="30" max="30"/>
    <col width="21" customWidth="1" min="31" max="31"/>
    <col width="27" customWidth="1" min="32" max="32"/>
    <col width="24" customWidth="1" min="35" max="35"/>
    <col width="10" customWidth="1" min="36" max="36"/>
    <col width="11" customWidth="1" min="37" max="37"/>
    <col width="11" customWidth="1" min="38" max="38"/>
    <col width="10" customWidth="1" min="39" max="39"/>
  </cols>
  <sheetData>
    <row r="1">
      <c r="A1" s="3" t="inlineStr">
        <is>
          <t>Sin corregir nada: el modelo del Excel base y lo que el desbalanceo le hace al recall de la clase 1</t>
        </is>
      </c>
    </row>
    <row r="2" ht="65" customHeight="1">
      <c r="A2" s="2" t="inlineStr">
        <is>
          <t>Training tiene 210 malos pagadores y 490 buenos. La entropía cruzada suma la pérdida de cada cliente por igual (columna 'peso de fila' en 1), así que reducir el error de los 490 buenos vale más que el de los 210 malos, y el modelo se acomoda a ellos. Mira el reporte de la derecha con los pesos ya entrenados (columna gris, o Solver): la clase 0 tiene recall 0,87 y la clase 1 solo 0,57. El acierto global, 78%, esconde que el modelo deja pasar a 4 de cada 10 malos pagadores.</t>
        </is>
      </c>
    </row>
    <row r="3" ht="34" customHeight="1">
      <c r="A3" s="2" t="inlineStr">
        <is>
          <t>Esta hoja es el punto de comparación de las siguientes. Fíjate también en la p promedio en testing: 0,33, muy cerca de la tasa real de 0,30. Eso significa que las probabilidades están calibradas, y es algo que los métodos de balanceo van a romper.</t>
        </is>
      </c>
    </row>
    <row r="4"/>
    <row r="5"/>
    <row r="6"/>
    <row r="7"/>
    <row r="8"/>
    <row r="9"/>
    <row r="10">
      <c r="AD10" s="3" t="inlineStr">
        <is>
          <t>Pesos del modelo (theta): parten de la solución sin balancear</t>
        </is>
      </c>
      <c r="AI10" s="3" t="inlineStr">
        <is>
          <t>EVALUACIÓN EN TESTING (con el umbral celeste)</t>
        </is>
      </c>
    </row>
    <row r="11">
      <c r="A11" s="4" t="inlineStr">
        <is>
          <t>id</t>
        </is>
      </c>
      <c r="B11" s="4" t="inlineStr">
        <is>
          <t>conjunto</t>
        </is>
      </c>
      <c r="C11" s="4" t="inlineStr">
        <is>
          <t>y</t>
        </is>
      </c>
      <c r="D11" s="4" t="inlineStr">
        <is>
          <t>duracion</t>
        </is>
      </c>
      <c r="E11" s="4" t="inlineStr">
        <is>
          <t>monto</t>
        </is>
      </c>
      <c r="F11" s="4" t="inlineStr">
        <is>
          <t>edad</t>
        </is>
      </c>
      <c r="G11" s="4" t="inlineStr">
        <is>
          <t>cuota_pct_ingreso</t>
        </is>
      </c>
      <c r="H11" s="4" t="inlineStr">
        <is>
          <t>cta_negativa</t>
        </is>
      </c>
      <c r="I11" s="4" t="inlineStr">
        <is>
          <t>cta_0_200</t>
        </is>
      </c>
      <c r="J11" s="4" t="inlineStr">
        <is>
          <t>cta_sobre_200</t>
        </is>
      </c>
      <c r="K11" s="4" t="inlineStr">
        <is>
          <t>hist_critico</t>
        </is>
      </c>
      <c r="L11" s="4" t="inlineStr">
        <is>
          <t>hist_atrasos</t>
        </is>
      </c>
      <c r="M11" s="4" t="inlineStr">
        <is>
          <t>hist_sin_creditos</t>
        </is>
      </c>
      <c r="N11" s="4" t="inlineStr">
        <is>
          <t>ahorro_100_1000</t>
        </is>
      </c>
      <c r="O11" s="4" t="inlineStr">
        <is>
          <t>ahorro_sobre_1000</t>
        </is>
      </c>
      <c r="P11" s="4" t="inlineStr">
        <is>
          <t>ahorro_desconocido</t>
        </is>
      </c>
      <c r="Q11" s="4" t="inlineStr">
        <is>
          <t>vivienda_arriendo</t>
        </is>
      </c>
      <c r="R11" s="4" t="inlineStr">
        <is>
          <t>vivienda_gratis</t>
        </is>
      </c>
      <c r="S11" s="4" t="inlineStr">
        <is>
          <t>proposito_auto</t>
        </is>
      </c>
      <c r="T11" s="4" t="inlineStr">
        <is>
          <t>proposito_radio_tv</t>
        </is>
      </c>
      <c r="U11" s="4" t="inlineStr">
        <is>
          <t>proposito_muebles</t>
        </is>
      </c>
      <c r="V11" s="4" t="inlineStr">
        <is>
          <t>Z (recta)</t>
        </is>
      </c>
      <c r="W11" s="4" t="inlineStr">
        <is>
          <t>p (logística)</t>
        </is>
      </c>
      <c r="X11" s="4" t="inlineStr">
        <is>
          <t>pérdida</t>
        </is>
      </c>
      <c r="Y11" s="4" t="inlineStr">
        <is>
          <t>peso de fila</t>
        </is>
      </c>
      <c r="Z11" s="4" t="inlineStr">
        <is>
          <t>pérdida ponderada</t>
        </is>
      </c>
      <c r="AA11" s="4" t="inlineStr">
        <is>
          <t>predicción</t>
        </is>
      </c>
      <c r="AB11" s="4" t="inlineStr">
        <is>
          <t>acierto</t>
        </is>
      </c>
      <c r="AD11" s="4" t="inlineStr">
        <is>
          <t>variable</t>
        </is>
      </c>
      <c r="AE11" s="4" t="inlineStr">
        <is>
          <t>theta (celeste)</t>
        </is>
      </c>
      <c r="AF11" s="4" t="inlineStr">
        <is>
          <t>referencia scikit-learn para esta variante</t>
        </is>
      </c>
    </row>
    <row r="12">
      <c r="A12">
        <f>'1 datos preparados'!A5</f>
        <v/>
      </c>
      <c r="B12" s="5">
        <f>'1 datos preparados'!U5</f>
        <v/>
      </c>
      <c r="C12">
        <f>'1 datos preparados'!B5</f>
        <v/>
      </c>
      <c r="D12" s="7">
        <f>'1 datos preparados'!C5</f>
        <v/>
      </c>
      <c r="E12" s="7">
        <f>'1 datos preparados'!D5</f>
        <v/>
      </c>
      <c r="F12" s="7">
        <f>'1 datos preparados'!E5</f>
        <v/>
      </c>
      <c r="G12" s="7">
        <f>'1 datos preparados'!F5</f>
        <v/>
      </c>
      <c r="H12" s="7">
        <f>'1 datos preparados'!G5</f>
        <v/>
      </c>
      <c r="I12" s="7">
        <f>'1 datos preparados'!H5</f>
        <v/>
      </c>
      <c r="J12" s="7">
        <f>'1 datos preparados'!I5</f>
        <v/>
      </c>
      <c r="K12" s="7">
        <f>'1 datos preparados'!J5</f>
        <v/>
      </c>
      <c r="L12" s="7">
        <f>'1 datos preparados'!K5</f>
        <v/>
      </c>
      <c r="M12" s="7">
        <f>'1 datos preparados'!L5</f>
        <v/>
      </c>
      <c r="N12" s="7">
        <f>'1 datos preparados'!M5</f>
        <v/>
      </c>
      <c r="O12" s="7">
        <f>'1 datos preparados'!N5</f>
        <v/>
      </c>
      <c r="P12" s="7">
        <f>'1 datos preparados'!O5</f>
        <v/>
      </c>
      <c r="Q12" s="7">
        <f>'1 datos preparados'!P5</f>
        <v/>
      </c>
      <c r="R12" s="7">
        <f>'1 datos preparados'!Q5</f>
        <v/>
      </c>
      <c r="S12" s="7">
        <f>'1 datos preparados'!R5</f>
        <v/>
      </c>
      <c r="T12" s="7">
        <f>'1 datos preparados'!S5</f>
        <v/>
      </c>
      <c r="U12" s="7">
        <f>'1 datos preparados'!T5</f>
        <v/>
      </c>
      <c r="V12" s="8">
        <f>$AE$12+D12*$AE$13+E12*$AE$14+F12*$AE$15+G12*$AE$16+H12*$AE$17+I12*$AE$18+J12*$AE$19+K12*$AE$20+L12*$AE$21+M12*$AE$22+N12*$AE$23+O12*$AE$24+P12*$AE$25+Q12*$AE$26+R12*$AE$27+S12*$AE$28+T12*$AE$29+U12*$AE$30</f>
        <v/>
      </c>
      <c r="W12" s="8">
        <f>1/(1+EXP(-V12))</f>
        <v/>
      </c>
      <c r="X12" s="9">
        <f>-IF(C12=1,LN(W12),LN(1-W12))</f>
        <v/>
      </c>
      <c r="Y12" s="8">
        <f>1</f>
        <v/>
      </c>
      <c r="Z12" s="9">
        <f>Y12*X12</f>
        <v/>
      </c>
      <c r="AA12" s="10">
        <f>IF(W12&gt;$AE$32,1,0)</f>
        <v/>
      </c>
      <c r="AB12">
        <f>IF(AA12=C12,1,0)</f>
        <v/>
      </c>
      <c r="AD12" t="inlineStr">
        <is>
          <t>intercepto</t>
        </is>
      </c>
      <c r="AE12" s="11" t="n">
        <v>-1.341270962110326</v>
      </c>
      <c r="AF12" s="12" t="n">
        <v>-1.341270962110326</v>
      </c>
    </row>
    <row r="13">
      <c r="A13">
        <f>'1 datos preparados'!A6</f>
        <v/>
      </c>
      <c r="B13" s="5">
        <f>'1 datos preparados'!U6</f>
        <v/>
      </c>
      <c r="C13">
        <f>'1 datos preparados'!B6</f>
        <v/>
      </c>
      <c r="D13" s="7">
        <f>'1 datos preparados'!C6</f>
        <v/>
      </c>
      <c r="E13" s="7">
        <f>'1 datos preparados'!D6</f>
        <v/>
      </c>
      <c r="F13" s="7">
        <f>'1 datos preparados'!E6</f>
        <v/>
      </c>
      <c r="G13" s="7">
        <f>'1 datos preparados'!F6</f>
        <v/>
      </c>
      <c r="H13" s="7">
        <f>'1 datos preparados'!G6</f>
        <v/>
      </c>
      <c r="I13" s="7">
        <f>'1 datos preparados'!H6</f>
        <v/>
      </c>
      <c r="J13" s="7">
        <f>'1 datos preparados'!I6</f>
        <v/>
      </c>
      <c r="K13" s="7">
        <f>'1 datos preparados'!J6</f>
        <v/>
      </c>
      <c r="L13" s="7">
        <f>'1 datos preparados'!K6</f>
        <v/>
      </c>
      <c r="M13" s="7">
        <f>'1 datos preparados'!L6</f>
        <v/>
      </c>
      <c r="N13" s="7">
        <f>'1 datos preparados'!M6</f>
        <v/>
      </c>
      <c r="O13" s="7">
        <f>'1 datos preparados'!N6</f>
        <v/>
      </c>
      <c r="P13" s="7">
        <f>'1 datos preparados'!O6</f>
        <v/>
      </c>
      <c r="Q13" s="7">
        <f>'1 datos preparados'!P6</f>
        <v/>
      </c>
      <c r="R13" s="7">
        <f>'1 datos preparados'!Q6</f>
        <v/>
      </c>
      <c r="S13" s="7">
        <f>'1 datos preparados'!R6</f>
        <v/>
      </c>
      <c r="T13" s="7">
        <f>'1 datos preparados'!S6</f>
        <v/>
      </c>
      <c r="U13" s="7">
        <f>'1 datos preparados'!T6</f>
        <v/>
      </c>
      <c r="V13" s="8">
        <f>$AE$12+D13*$AE$13+E13*$AE$14+F13*$AE$15+G13*$AE$16+H13*$AE$17+I13*$AE$18+J13*$AE$19+K13*$AE$20+L13*$AE$21+M13*$AE$22+N13*$AE$23+O13*$AE$24+P13*$AE$25+Q13*$AE$26+R13*$AE$27+S13*$AE$28+T13*$AE$29+U13*$AE$30</f>
        <v/>
      </c>
      <c r="W13" s="8">
        <f>1/(1+EXP(-V13))</f>
        <v/>
      </c>
      <c r="X13" s="9">
        <f>-IF(C13=1,LN(W13),LN(1-W13))</f>
        <v/>
      </c>
      <c r="Y13" s="8">
        <f>1</f>
        <v/>
      </c>
      <c r="Z13" s="9">
        <f>Y13*X13</f>
        <v/>
      </c>
      <c r="AA13" s="10">
        <f>IF(W13&gt;$AE$32,1,0)</f>
        <v/>
      </c>
      <c r="AB13">
        <f>IF(AA13=C13,1,0)</f>
        <v/>
      </c>
      <c r="AD13" t="inlineStr">
        <is>
          <t>duracion</t>
        </is>
      </c>
      <c r="AE13" s="11" t="n">
        <v>0.3247012549391071</v>
      </c>
      <c r="AF13" s="12" t="n">
        <v>0.3247012549391071</v>
      </c>
      <c r="AK13" s="3" t="inlineStr">
        <is>
          <t>predicho 0</t>
        </is>
      </c>
      <c r="AL13" s="3" t="inlineStr">
        <is>
          <t>predicho 1</t>
        </is>
      </c>
      <c r="AM13" s="3" t="inlineStr">
        <is>
          <t>total</t>
        </is>
      </c>
    </row>
    <row r="14">
      <c r="A14">
        <f>'1 datos preparados'!A7</f>
        <v/>
      </c>
      <c r="B14" s="5">
        <f>'1 datos preparados'!U7</f>
        <v/>
      </c>
      <c r="C14">
        <f>'1 datos preparados'!B7</f>
        <v/>
      </c>
      <c r="D14" s="7">
        <f>'1 datos preparados'!C7</f>
        <v/>
      </c>
      <c r="E14" s="7">
        <f>'1 datos preparados'!D7</f>
        <v/>
      </c>
      <c r="F14" s="7">
        <f>'1 datos preparados'!E7</f>
        <v/>
      </c>
      <c r="G14" s="7">
        <f>'1 datos preparados'!F7</f>
        <v/>
      </c>
      <c r="H14" s="7">
        <f>'1 datos preparados'!G7</f>
        <v/>
      </c>
      <c r="I14" s="7">
        <f>'1 datos preparados'!H7</f>
        <v/>
      </c>
      <c r="J14" s="7">
        <f>'1 datos preparados'!I7</f>
        <v/>
      </c>
      <c r="K14" s="7">
        <f>'1 datos preparados'!J7</f>
        <v/>
      </c>
      <c r="L14" s="7">
        <f>'1 datos preparados'!K7</f>
        <v/>
      </c>
      <c r="M14" s="7">
        <f>'1 datos preparados'!L7</f>
        <v/>
      </c>
      <c r="N14" s="7">
        <f>'1 datos preparados'!M7</f>
        <v/>
      </c>
      <c r="O14" s="7">
        <f>'1 datos preparados'!N7</f>
        <v/>
      </c>
      <c r="P14" s="7">
        <f>'1 datos preparados'!O7</f>
        <v/>
      </c>
      <c r="Q14" s="7">
        <f>'1 datos preparados'!P7</f>
        <v/>
      </c>
      <c r="R14" s="7">
        <f>'1 datos preparados'!Q7</f>
        <v/>
      </c>
      <c r="S14" s="7">
        <f>'1 datos preparados'!R7</f>
        <v/>
      </c>
      <c r="T14" s="7">
        <f>'1 datos preparados'!S7</f>
        <v/>
      </c>
      <c r="U14" s="7">
        <f>'1 datos preparados'!T7</f>
        <v/>
      </c>
      <c r="V14" s="8">
        <f>$AE$12+D14*$AE$13+E14*$AE$14+F14*$AE$15+G14*$AE$16+H14*$AE$17+I14*$AE$18+J14*$AE$19+K14*$AE$20+L14*$AE$21+M14*$AE$22+N14*$AE$23+O14*$AE$24+P14*$AE$25+Q14*$AE$26+R14*$AE$27+S14*$AE$28+T14*$AE$29+U14*$AE$30</f>
        <v/>
      </c>
      <c r="W14" s="8">
        <f>1/(1+EXP(-V14))</f>
        <v/>
      </c>
      <c r="X14" s="9">
        <f>-IF(C14=1,LN(W14),LN(1-W14))</f>
        <v/>
      </c>
      <c r="Y14" s="8">
        <f>1</f>
        <v/>
      </c>
      <c r="Z14" s="9">
        <f>Y14*X14</f>
        <v/>
      </c>
      <c r="AA14" s="10">
        <f>IF(W14&gt;$AE$32,1,0)</f>
        <v/>
      </c>
      <c r="AB14">
        <f>IF(AA14=C14,1,0)</f>
        <v/>
      </c>
      <c r="AD14" t="inlineStr">
        <is>
          <t>monto</t>
        </is>
      </c>
      <c r="AE14" s="11" t="n">
        <v>0.1163535941884676</v>
      </c>
      <c r="AF14" s="12" t="n">
        <v>0.1163535941884676</v>
      </c>
      <c r="AI14" s="3" t="inlineStr">
        <is>
          <t>real 0 (buen pagador)</t>
        </is>
      </c>
      <c r="AJ14" t="inlineStr">
        <is>
          <t>TN | FP</t>
        </is>
      </c>
      <c r="AK14" s="13">
        <f>COUNTIFS($B$12:$B$1011,"testing",$C$12:$C$1011,0,$AA$12:$AA$1011,0)</f>
        <v/>
      </c>
      <c r="AL14" s="13">
        <f>COUNTIFS($B$12:$B$1011,"testing",$C$12:$C$1011,0,$AA$12:$AA$1011,1)</f>
        <v/>
      </c>
      <c r="AM14">
        <f>AK14+AL14</f>
        <v/>
      </c>
    </row>
    <row r="15">
      <c r="A15">
        <f>'1 datos preparados'!A8</f>
        <v/>
      </c>
      <c r="B15" s="5">
        <f>'1 datos preparados'!U8</f>
        <v/>
      </c>
      <c r="C15">
        <f>'1 datos preparados'!B8</f>
        <v/>
      </c>
      <c r="D15" s="7">
        <f>'1 datos preparados'!C8</f>
        <v/>
      </c>
      <c r="E15" s="7">
        <f>'1 datos preparados'!D8</f>
        <v/>
      </c>
      <c r="F15" s="7">
        <f>'1 datos preparados'!E8</f>
        <v/>
      </c>
      <c r="G15" s="7">
        <f>'1 datos preparados'!F8</f>
        <v/>
      </c>
      <c r="H15" s="7">
        <f>'1 datos preparados'!G8</f>
        <v/>
      </c>
      <c r="I15" s="7">
        <f>'1 datos preparados'!H8</f>
        <v/>
      </c>
      <c r="J15" s="7">
        <f>'1 datos preparados'!I8</f>
        <v/>
      </c>
      <c r="K15" s="7">
        <f>'1 datos preparados'!J8</f>
        <v/>
      </c>
      <c r="L15" s="7">
        <f>'1 datos preparados'!K8</f>
        <v/>
      </c>
      <c r="M15" s="7">
        <f>'1 datos preparados'!L8</f>
        <v/>
      </c>
      <c r="N15" s="7">
        <f>'1 datos preparados'!M8</f>
        <v/>
      </c>
      <c r="O15" s="7">
        <f>'1 datos preparados'!N8</f>
        <v/>
      </c>
      <c r="P15" s="7">
        <f>'1 datos preparados'!O8</f>
        <v/>
      </c>
      <c r="Q15" s="7">
        <f>'1 datos preparados'!P8</f>
        <v/>
      </c>
      <c r="R15" s="7">
        <f>'1 datos preparados'!Q8</f>
        <v/>
      </c>
      <c r="S15" s="7">
        <f>'1 datos preparados'!R8</f>
        <v/>
      </c>
      <c r="T15" s="7">
        <f>'1 datos preparados'!S8</f>
        <v/>
      </c>
      <c r="U15" s="7">
        <f>'1 datos preparados'!T8</f>
        <v/>
      </c>
      <c r="V15" s="8">
        <f>$AE$12+D15*$AE$13+E15*$AE$14+F15*$AE$15+G15*$AE$16+H15*$AE$17+I15*$AE$18+J15*$AE$19+K15*$AE$20+L15*$AE$21+M15*$AE$22+N15*$AE$23+O15*$AE$24+P15*$AE$25+Q15*$AE$26+R15*$AE$27+S15*$AE$28+T15*$AE$29+U15*$AE$30</f>
        <v/>
      </c>
      <c r="W15" s="8">
        <f>1/(1+EXP(-V15))</f>
        <v/>
      </c>
      <c r="X15" s="9">
        <f>-IF(C15=1,LN(W15),LN(1-W15))</f>
        <v/>
      </c>
      <c r="Y15" s="8">
        <f>1</f>
        <v/>
      </c>
      <c r="Z15" s="9">
        <f>Y15*X15</f>
        <v/>
      </c>
      <c r="AA15" s="10">
        <f>IF(W15&gt;$AE$32,1,0)</f>
        <v/>
      </c>
      <c r="AB15">
        <f>IF(AA15=C15,1,0)</f>
        <v/>
      </c>
      <c r="AD15" t="inlineStr">
        <is>
          <t>edad</t>
        </is>
      </c>
      <c r="AE15" s="11" t="n">
        <v>-0.09914522482627074</v>
      </c>
      <c r="AF15" s="12" t="n">
        <v>-0.09914522482627074</v>
      </c>
      <c r="AI15" s="3" t="inlineStr">
        <is>
          <t>real 1 (mal pagador)</t>
        </is>
      </c>
      <c r="AJ15" t="inlineStr">
        <is>
          <t>FN | TP</t>
        </is>
      </c>
      <c r="AK15" s="13">
        <f>COUNTIFS($B$12:$B$1011,"testing",$C$12:$C$1011,1,$AA$12:$AA$1011,0)</f>
        <v/>
      </c>
      <c r="AL15" s="13">
        <f>COUNTIFS($B$12:$B$1011,"testing",$C$12:$C$1011,1,$AA$12:$AA$1011,1)</f>
        <v/>
      </c>
      <c r="AM15">
        <f>AK15+AL15</f>
        <v/>
      </c>
    </row>
    <row r="16">
      <c r="A16">
        <f>'1 datos preparados'!A9</f>
        <v/>
      </c>
      <c r="B16" s="5">
        <f>'1 datos preparados'!U9</f>
        <v/>
      </c>
      <c r="C16">
        <f>'1 datos preparados'!B9</f>
        <v/>
      </c>
      <c r="D16" s="7">
        <f>'1 datos preparados'!C9</f>
        <v/>
      </c>
      <c r="E16" s="7">
        <f>'1 datos preparados'!D9</f>
        <v/>
      </c>
      <c r="F16" s="7">
        <f>'1 datos preparados'!E9</f>
        <v/>
      </c>
      <c r="G16" s="7">
        <f>'1 datos preparados'!F9</f>
        <v/>
      </c>
      <c r="H16" s="7">
        <f>'1 datos preparados'!G9</f>
        <v/>
      </c>
      <c r="I16" s="7">
        <f>'1 datos preparados'!H9</f>
        <v/>
      </c>
      <c r="J16" s="7">
        <f>'1 datos preparados'!I9</f>
        <v/>
      </c>
      <c r="K16" s="7">
        <f>'1 datos preparados'!J9</f>
        <v/>
      </c>
      <c r="L16" s="7">
        <f>'1 datos preparados'!K9</f>
        <v/>
      </c>
      <c r="M16" s="7">
        <f>'1 datos preparados'!L9</f>
        <v/>
      </c>
      <c r="N16" s="7">
        <f>'1 datos preparados'!M9</f>
        <v/>
      </c>
      <c r="O16" s="7">
        <f>'1 datos preparados'!N9</f>
        <v/>
      </c>
      <c r="P16" s="7">
        <f>'1 datos preparados'!O9</f>
        <v/>
      </c>
      <c r="Q16" s="7">
        <f>'1 datos preparados'!P9</f>
        <v/>
      </c>
      <c r="R16" s="7">
        <f>'1 datos preparados'!Q9</f>
        <v/>
      </c>
      <c r="S16" s="7">
        <f>'1 datos preparados'!R9</f>
        <v/>
      </c>
      <c r="T16" s="7">
        <f>'1 datos preparados'!S9</f>
        <v/>
      </c>
      <c r="U16" s="7">
        <f>'1 datos preparados'!T9</f>
        <v/>
      </c>
      <c r="V16" s="8">
        <f>$AE$12+D16*$AE$13+E16*$AE$14+F16*$AE$15+G16*$AE$16+H16*$AE$17+I16*$AE$18+J16*$AE$19+K16*$AE$20+L16*$AE$21+M16*$AE$22+N16*$AE$23+O16*$AE$24+P16*$AE$25+Q16*$AE$26+R16*$AE$27+S16*$AE$28+T16*$AE$29+U16*$AE$30</f>
        <v/>
      </c>
      <c r="W16" s="8">
        <f>1/(1+EXP(-V16))</f>
        <v/>
      </c>
      <c r="X16" s="9">
        <f>-IF(C16=1,LN(W16),LN(1-W16))</f>
        <v/>
      </c>
      <c r="Y16" s="8">
        <f>1</f>
        <v/>
      </c>
      <c r="Z16" s="9">
        <f>Y16*X16</f>
        <v/>
      </c>
      <c r="AA16" s="10">
        <f>IF(W16&gt;$AE$32,1,0)</f>
        <v/>
      </c>
      <c r="AB16">
        <f>IF(AA16=C16,1,0)</f>
        <v/>
      </c>
      <c r="AD16" t="inlineStr">
        <is>
          <t>cuota_pct_ingreso</t>
        </is>
      </c>
      <c r="AE16" s="11" t="n">
        <v>0.2872157655933926</v>
      </c>
      <c r="AF16" s="12" t="n">
        <v>0.2872157655933926</v>
      </c>
      <c r="AI16" s="3" t="inlineStr">
        <is>
          <t>total</t>
        </is>
      </c>
      <c r="AK16">
        <f>AK14+AK15</f>
        <v/>
      </c>
      <c r="AL16">
        <f>AL14+AL15</f>
        <v/>
      </c>
      <c r="AM16">
        <f>AM14+AM15</f>
        <v/>
      </c>
    </row>
    <row r="17">
      <c r="A17">
        <f>'1 datos preparados'!A10</f>
        <v/>
      </c>
      <c r="B17" s="5">
        <f>'1 datos preparados'!U10</f>
        <v/>
      </c>
      <c r="C17">
        <f>'1 datos preparados'!B10</f>
        <v/>
      </c>
      <c r="D17" s="7">
        <f>'1 datos preparados'!C10</f>
        <v/>
      </c>
      <c r="E17" s="7">
        <f>'1 datos preparados'!D10</f>
        <v/>
      </c>
      <c r="F17" s="7">
        <f>'1 datos preparados'!E10</f>
        <v/>
      </c>
      <c r="G17" s="7">
        <f>'1 datos preparados'!F10</f>
        <v/>
      </c>
      <c r="H17" s="7">
        <f>'1 datos preparados'!G10</f>
        <v/>
      </c>
      <c r="I17" s="7">
        <f>'1 datos preparados'!H10</f>
        <v/>
      </c>
      <c r="J17" s="7">
        <f>'1 datos preparados'!I10</f>
        <v/>
      </c>
      <c r="K17" s="7">
        <f>'1 datos preparados'!J10</f>
        <v/>
      </c>
      <c r="L17" s="7">
        <f>'1 datos preparados'!K10</f>
        <v/>
      </c>
      <c r="M17" s="7">
        <f>'1 datos preparados'!L10</f>
        <v/>
      </c>
      <c r="N17" s="7">
        <f>'1 datos preparados'!M10</f>
        <v/>
      </c>
      <c r="O17" s="7">
        <f>'1 datos preparados'!N10</f>
        <v/>
      </c>
      <c r="P17" s="7">
        <f>'1 datos preparados'!O10</f>
        <v/>
      </c>
      <c r="Q17" s="7">
        <f>'1 datos preparados'!P10</f>
        <v/>
      </c>
      <c r="R17" s="7">
        <f>'1 datos preparados'!Q10</f>
        <v/>
      </c>
      <c r="S17" s="7">
        <f>'1 datos preparados'!R10</f>
        <v/>
      </c>
      <c r="T17" s="7">
        <f>'1 datos preparados'!S10</f>
        <v/>
      </c>
      <c r="U17" s="7">
        <f>'1 datos preparados'!T10</f>
        <v/>
      </c>
      <c r="V17" s="8">
        <f>$AE$12+D17*$AE$13+E17*$AE$14+F17*$AE$15+G17*$AE$16+H17*$AE$17+I17*$AE$18+J17*$AE$19+K17*$AE$20+L17*$AE$21+M17*$AE$22+N17*$AE$23+O17*$AE$24+P17*$AE$25+Q17*$AE$26+R17*$AE$27+S17*$AE$28+T17*$AE$29+U17*$AE$30</f>
        <v/>
      </c>
      <c r="W17" s="8">
        <f>1/(1+EXP(-V17))</f>
        <v/>
      </c>
      <c r="X17" s="9">
        <f>-IF(C17=1,LN(W17),LN(1-W17))</f>
        <v/>
      </c>
      <c r="Y17" s="8">
        <f>1</f>
        <v/>
      </c>
      <c r="Z17" s="9">
        <f>Y17*X17</f>
        <v/>
      </c>
      <c r="AA17" s="10">
        <f>IF(W17&gt;$AE$32,1,0)</f>
        <v/>
      </c>
      <c r="AB17">
        <f>IF(AA17=C17,1,0)</f>
        <v/>
      </c>
      <c r="AD17" t="inlineStr">
        <is>
          <t>cta_negativa</t>
        </is>
      </c>
      <c r="AE17" s="11" t="n">
        <v>1.546402670396991</v>
      </c>
      <c r="AF17" s="12" t="n">
        <v>1.546402670396991</v>
      </c>
    </row>
    <row r="18">
      <c r="A18">
        <f>'1 datos preparados'!A11</f>
        <v/>
      </c>
      <c r="B18" s="5">
        <f>'1 datos preparados'!U11</f>
        <v/>
      </c>
      <c r="C18">
        <f>'1 datos preparados'!B11</f>
        <v/>
      </c>
      <c r="D18" s="7">
        <f>'1 datos preparados'!C11</f>
        <v/>
      </c>
      <c r="E18" s="7">
        <f>'1 datos preparados'!D11</f>
        <v/>
      </c>
      <c r="F18" s="7">
        <f>'1 datos preparados'!E11</f>
        <v/>
      </c>
      <c r="G18" s="7">
        <f>'1 datos preparados'!F11</f>
        <v/>
      </c>
      <c r="H18" s="7">
        <f>'1 datos preparados'!G11</f>
        <v/>
      </c>
      <c r="I18" s="7">
        <f>'1 datos preparados'!H11</f>
        <v/>
      </c>
      <c r="J18" s="7">
        <f>'1 datos preparados'!I11</f>
        <v/>
      </c>
      <c r="K18" s="7">
        <f>'1 datos preparados'!J11</f>
        <v/>
      </c>
      <c r="L18" s="7">
        <f>'1 datos preparados'!K11</f>
        <v/>
      </c>
      <c r="M18" s="7">
        <f>'1 datos preparados'!L11</f>
        <v/>
      </c>
      <c r="N18" s="7">
        <f>'1 datos preparados'!M11</f>
        <v/>
      </c>
      <c r="O18" s="7">
        <f>'1 datos preparados'!N11</f>
        <v/>
      </c>
      <c r="P18" s="7">
        <f>'1 datos preparados'!O11</f>
        <v/>
      </c>
      <c r="Q18" s="7">
        <f>'1 datos preparados'!P11</f>
        <v/>
      </c>
      <c r="R18" s="7">
        <f>'1 datos preparados'!Q11</f>
        <v/>
      </c>
      <c r="S18" s="7">
        <f>'1 datos preparados'!R11</f>
        <v/>
      </c>
      <c r="T18" s="7">
        <f>'1 datos preparados'!S11</f>
        <v/>
      </c>
      <c r="U18" s="7">
        <f>'1 datos preparados'!T11</f>
        <v/>
      </c>
      <c r="V18" s="8">
        <f>$AE$12+D18*$AE$13+E18*$AE$14+F18*$AE$15+G18*$AE$16+H18*$AE$17+I18*$AE$18+J18*$AE$19+K18*$AE$20+L18*$AE$21+M18*$AE$22+N18*$AE$23+O18*$AE$24+P18*$AE$25+Q18*$AE$26+R18*$AE$27+S18*$AE$28+T18*$AE$29+U18*$AE$30</f>
        <v/>
      </c>
      <c r="W18" s="8">
        <f>1/(1+EXP(-V18))</f>
        <v/>
      </c>
      <c r="X18" s="9">
        <f>-IF(C18=1,LN(W18),LN(1-W18))</f>
        <v/>
      </c>
      <c r="Y18" s="8">
        <f>1</f>
        <v/>
      </c>
      <c r="Z18" s="9">
        <f>Y18*X18</f>
        <v/>
      </c>
      <c r="AA18" s="10">
        <f>IF(W18&gt;$AE$32,1,0)</f>
        <v/>
      </c>
      <c r="AB18">
        <f>IF(AA18=C18,1,0)</f>
        <v/>
      </c>
      <c r="AD18" t="inlineStr">
        <is>
          <t>cta_0_200</t>
        </is>
      </c>
      <c r="AE18" s="11" t="n">
        <v>1.294997779791349</v>
      </c>
      <c r="AF18" s="12" t="n">
        <v>1.294997779791349</v>
      </c>
      <c r="AI18" s="4" t="inlineStr"/>
      <c r="AJ18" s="4" t="inlineStr">
        <is>
          <t>precision</t>
        </is>
      </c>
      <c r="AK18" s="4" t="inlineStr">
        <is>
          <t>recall</t>
        </is>
      </c>
      <c r="AL18" s="4" t="inlineStr">
        <is>
          <t>f1-score</t>
        </is>
      </c>
      <c r="AM18" s="4" t="inlineStr">
        <is>
          <t>support</t>
        </is>
      </c>
    </row>
    <row r="19">
      <c r="A19">
        <f>'1 datos preparados'!A12</f>
        <v/>
      </c>
      <c r="B19" s="5">
        <f>'1 datos preparados'!U12</f>
        <v/>
      </c>
      <c r="C19">
        <f>'1 datos preparados'!B12</f>
        <v/>
      </c>
      <c r="D19" s="7">
        <f>'1 datos preparados'!C12</f>
        <v/>
      </c>
      <c r="E19" s="7">
        <f>'1 datos preparados'!D12</f>
        <v/>
      </c>
      <c r="F19" s="7">
        <f>'1 datos preparados'!E12</f>
        <v/>
      </c>
      <c r="G19" s="7">
        <f>'1 datos preparados'!F12</f>
        <v/>
      </c>
      <c r="H19" s="7">
        <f>'1 datos preparados'!G12</f>
        <v/>
      </c>
      <c r="I19" s="7">
        <f>'1 datos preparados'!H12</f>
        <v/>
      </c>
      <c r="J19" s="7">
        <f>'1 datos preparados'!I12</f>
        <v/>
      </c>
      <c r="K19" s="7">
        <f>'1 datos preparados'!J12</f>
        <v/>
      </c>
      <c r="L19" s="7">
        <f>'1 datos preparados'!K12</f>
        <v/>
      </c>
      <c r="M19" s="7">
        <f>'1 datos preparados'!L12</f>
        <v/>
      </c>
      <c r="N19" s="7">
        <f>'1 datos preparados'!M12</f>
        <v/>
      </c>
      <c r="O19" s="7">
        <f>'1 datos preparados'!N12</f>
        <v/>
      </c>
      <c r="P19" s="7">
        <f>'1 datos preparados'!O12</f>
        <v/>
      </c>
      <c r="Q19" s="7">
        <f>'1 datos preparados'!P12</f>
        <v/>
      </c>
      <c r="R19" s="7">
        <f>'1 datos preparados'!Q12</f>
        <v/>
      </c>
      <c r="S19" s="7">
        <f>'1 datos preparados'!R12</f>
        <v/>
      </c>
      <c r="T19" s="7">
        <f>'1 datos preparados'!S12</f>
        <v/>
      </c>
      <c r="U19" s="7">
        <f>'1 datos preparados'!T12</f>
        <v/>
      </c>
      <c r="V19" s="8">
        <f>$AE$12+D19*$AE$13+E19*$AE$14+F19*$AE$15+G19*$AE$16+H19*$AE$17+I19*$AE$18+J19*$AE$19+K19*$AE$20+L19*$AE$21+M19*$AE$22+N19*$AE$23+O19*$AE$24+P19*$AE$25+Q19*$AE$26+R19*$AE$27+S19*$AE$28+T19*$AE$29+U19*$AE$30</f>
        <v/>
      </c>
      <c r="W19" s="8">
        <f>1/(1+EXP(-V19))</f>
        <v/>
      </c>
      <c r="X19" s="9">
        <f>-IF(C19=1,LN(W19),LN(1-W19))</f>
        <v/>
      </c>
      <c r="Y19" s="8">
        <f>1</f>
        <v/>
      </c>
      <c r="Z19" s="9">
        <f>Y19*X19</f>
        <v/>
      </c>
      <c r="AA19" s="10">
        <f>IF(W19&gt;$AE$32,1,0)</f>
        <v/>
      </c>
      <c r="AB19">
        <f>IF(AA19=C19,1,0)</f>
        <v/>
      </c>
      <c r="AD19" t="inlineStr">
        <is>
          <t>cta_sobre_200</t>
        </is>
      </c>
      <c r="AE19" s="11" t="n">
        <v>0.6683615861023957</v>
      </c>
      <c r="AF19" s="12" t="n">
        <v>0.6683615861023957</v>
      </c>
      <c r="AI19" s="3" t="inlineStr">
        <is>
          <t>clase 0 (paga)</t>
        </is>
      </c>
      <c r="AJ19" s="14">
        <f>IF(AK14+AK15=0,0,AK14/(AK14+AK15))</f>
        <v/>
      </c>
      <c r="AK19" s="14">
        <f>IF(AK14+AL14=0,0,AK14/(AK14+AL14))</f>
        <v/>
      </c>
      <c r="AL19" s="14">
        <f>IF(AJ19+AK19=0,0,2*AJ19*AK19/(AJ19+AK19))</f>
        <v/>
      </c>
      <c r="AM19">
        <f>AM14</f>
        <v/>
      </c>
    </row>
    <row r="20">
      <c r="A20">
        <f>'1 datos preparados'!A13</f>
        <v/>
      </c>
      <c r="B20" s="5">
        <f>'1 datos preparados'!U13</f>
        <v/>
      </c>
      <c r="C20">
        <f>'1 datos preparados'!B13</f>
        <v/>
      </c>
      <c r="D20" s="7">
        <f>'1 datos preparados'!C13</f>
        <v/>
      </c>
      <c r="E20" s="7">
        <f>'1 datos preparados'!D13</f>
        <v/>
      </c>
      <c r="F20" s="7">
        <f>'1 datos preparados'!E13</f>
        <v/>
      </c>
      <c r="G20" s="7">
        <f>'1 datos preparados'!F13</f>
        <v/>
      </c>
      <c r="H20" s="7">
        <f>'1 datos preparados'!G13</f>
        <v/>
      </c>
      <c r="I20" s="7">
        <f>'1 datos preparados'!H13</f>
        <v/>
      </c>
      <c r="J20" s="7">
        <f>'1 datos preparados'!I13</f>
        <v/>
      </c>
      <c r="K20" s="7">
        <f>'1 datos preparados'!J13</f>
        <v/>
      </c>
      <c r="L20" s="7">
        <f>'1 datos preparados'!K13</f>
        <v/>
      </c>
      <c r="M20" s="7">
        <f>'1 datos preparados'!L13</f>
        <v/>
      </c>
      <c r="N20" s="7">
        <f>'1 datos preparados'!M13</f>
        <v/>
      </c>
      <c r="O20" s="7">
        <f>'1 datos preparados'!N13</f>
        <v/>
      </c>
      <c r="P20" s="7">
        <f>'1 datos preparados'!O13</f>
        <v/>
      </c>
      <c r="Q20" s="7">
        <f>'1 datos preparados'!P13</f>
        <v/>
      </c>
      <c r="R20" s="7">
        <f>'1 datos preparados'!Q13</f>
        <v/>
      </c>
      <c r="S20" s="7">
        <f>'1 datos preparados'!R13</f>
        <v/>
      </c>
      <c r="T20" s="7">
        <f>'1 datos preparados'!S13</f>
        <v/>
      </c>
      <c r="U20" s="7">
        <f>'1 datos preparados'!T13</f>
        <v/>
      </c>
      <c r="V20" s="8">
        <f>$AE$12+D20*$AE$13+E20*$AE$14+F20*$AE$15+G20*$AE$16+H20*$AE$17+I20*$AE$18+J20*$AE$19+K20*$AE$20+L20*$AE$21+M20*$AE$22+N20*$AE$23+O20*$AE$24+P20*$AE$25+Q20*$AE$26+R20*$AE$27+S20*$AE$28+T20*$AE$29+U20*$AE$30</f>
        <v/>
      </c>
      <c r="W20" s="8">
        <f>1/(1+EXP(-V20))</f>
        <v/>
      </c>
      <c r="X20" s="9">
        <f>-IF(C20=1,LN(W20),LN(1-W20))</f>
        <v/>
      </c>
      <c r="Y20" s="8">
        <f>1</f>
        <v/>
      </c>
      <c r="Z20" s="9">
        <f>Y20*X20</f>
        <v/>
      </c>
      <c r="AA20" s="10">
        <f>IF(W20&gt;$AE$32,1,0)</f>
        <v/>
      </c>
      <c r="AB20">
        <f>IF(AA20=C20,1,0)</f>
        <v/>
      </c>
      <c r="AD20" t="inlineStr">
        <is>
          <t>hist_critico</t>
        </is>
      </c>
      <c r="AE20" s="11" t="n">
        <v>-0.6573449373610837</v>
      </c>
      <c r="AF20" s="12" t="n">
        <v>-0.6573449373610837</v>
      </c>
      <c r="AI20" s="3" t="inlineStr">
        <is>
          <t>clase 1 (no paga)</t>
        </is>
      </c>
      <c r="AJ20" s="14">
        <f>IF(AL15+AL14=0,0,AL15/(AL15+AL14))</f>
        <v/>
      </c>
      <c r="AK20" s="14">
        <f>IF(AL15+AK15=0,0,AL15/(AL15+AK15))</f>
        <v/>
      </c>
      <c r="AL20" s="14">
        <f>IF(AJ20+AK20=0,0,2*AJ20*AK20/(AJ20+AK20))</f>
        <v/>
      </c>
      <c r="AM20">
        <f>AM15</f>
        <v/>
      </c>
    </row>
    <row r="21">
      <c r="A21">
        <f>'1 datos preparados'!A14</f>
        <v/>
      </c>
      <c r="B21" s="5">
        <f>'1 datos preparados'!U14</f>
        <v/>
      </c>
      <c r="C21">
        <f>'1 datos preparados'!B14</f>
        <v/>
      </c>
      <c r="D21" s="7">
        <f>'1 datos preparados'!C14</f>
        <v/>
      </c>
      <c r="E21" s="7">
        <f>'1 datos preparados'!D14</f>
        <v/>
      </c>
      <c r="F21" s="7">
        <f>'1 datos preparados'!E14</f>
        <v/>
      </c>
      <c r="G21" s="7">
        <f>'1 datos preparados'!F14</f>
        <v/>
      </c>
      <c r="H21" s="7">
        <f>'1 datos preparados'!G14</f>
        <v/>
      </c>
      <c r="I21" s="7">
        <f>'1 datos preparados'!H14</f>
        <v/>
      </c>
      <c r="J21" s="7">
        <f>'1 datos preparados'!I14</f>
        <v/>
      </c>
      <c r="K21" s="7">
        <f>'1 datos preparados'!J14</f>
        <v/>
      </c>
      <c r="L21" s="7">
        <f>'1 datos preparados'!K14</f>
        <v/>
      </c>
      <c r="M21" s="7">
        <f>'1 datos preparados'!L14</f>
        <v/>
      </c>
      <c r="N21" s="7">
        <f>'1 datos preparados'!M14</f>
        <v/>
      </c>
      <c r="O21" s="7">
        <f>'1 datos preparados'!N14</f>
        <v/>
      </c>
      <c r="P21" s="7">
        <f>'1 datos preparados'!O14</f>
        <v/>
      </c>
      <c r="Q21" s="7">
        <f>'1 datos preparados'!P14</f>
        <v/>
      </c>
      <c r="R21" s="7">
        <f>'1 datos preparados'!Q14</f>
        <v/>
      </c>
      <c r="S21" s="7">
        <f>'1 datos preparados'!R14</f>
        <v/>
      </c>
      <c r="T21" s="7">
        <f>'1 datos preparados'!S14</f>
        <v/>
      </c>
      <c r="U21" s="7">
        <f>'1 datos preparados'!T14</f>
        <v/>
      </c>
      <c r="V21" s="8">
        <f>$AE$12+D21*$AE$13+E21*$AE$14+F21*$AE$15+G21*$AE$16+H21*$AE$17+I21*$AE$18+J21*$AE$19+K21*$AE$20+L21*$AE$21+M21*$AE$22+N21*$AE$23+O21*$AE$24+P21*$AE$25+Q21*$AE$26+R21*$AE$27+S21*$AE$28+T21*$AE$29+U21*$AE$30</f>
        <v/>
      </c>
      <c r="W21" s="8">
        <f>1/(1+EXP(-V21))</f>
        <v/>
      </c>
      <c r="X21" s="9">
        <f>-IF(C21=1,LN(W21),LN(1-W21))</f>
        <v/>
      </c>
      <c r="Y21" s="8">
        <f>1</f>
        <v/>
      </c>
      <c r="Z21" s="9">
        <f>Y21*X21</f>
        <v/>
      </c>
      <c r="AA21" s="10">
        <f>IF(W21&gt;$AE$32,1,0)</f>
        <v/>
      </c>
      <c r="AB21">
        <f>IF(AA21=C21,1,0)</f>
        <v/>
      </c>
      <c r="AD21" t="inlineStr">
        <is>
          <t>hist_atrasos</t>
        </is>
      </c>
      <c r="AE21" s="11" t="n">
        <v>-0.04019551911120235</v>
      </c>
      <c r="AF21" s="12" t="n">
        <v>-0.04019551911120235</v>
      </c>
      <c r="AI21" s="3" t="inlineStr">
        <is>
          <t>accuracy</t>
        </is>
      </c>
      <c r="AL21" s="14">
        <f>(AL15+AK14)/AM16</f>
        <v/>
      </c>
    </row>
    <row r="22">
      <c r="A22">
        <f>'1 datos preparados'!A15</f>
        <v/>
      </c>
      <c r="B22" s="5">
        <f>'1 datos preparados'!U15</f>
        <v/>
      </c>
      <c r="C22">
        <f>'1 datos preparados'!B15</f>
        <v/>
      </c>
      <c r="D22" s="7">
        <f>'1 datos preparados'!C15</f>
        <v/>
      </c>
      <c r="E22" s="7">
        <f>'1 datos preparados'!D15</f>
        <v/>
      </c>
      <c r="F22" s="7">
        <f>'1 datos preparados'!E15</f>
        <v/>
      </c>
      <c r="G22" s="7">
        <f>'1 datos preparados'!F15</f>
        <v/>
      </c>
      <c r="H22" s="7">
        <f>'1 datos preparados'!G15</f>
        <v/>
      </c>
      <c r="I22" s="7">
        <f>'1 datos preparados'!H15</f>
        <v/>
      </c>
      <c r="J22" s="7">
        <f>'1 datos preparados'!I15</f>
        <v/>
      </c>
      <c r="K22" s="7">
        <f>'1 datos preparados'!J15</f>
        <v/>
      </c>
      <c r="L22" s="7">
        <f>'1 datos preparados'!K15</f>
        <v/>
      </c>
      <c r="M22" s="7">
        <f>'1 datos preparados'!L15</f>
        <v/>
      </c>
      <c r="N22" s="7">
        <f>'1 datos preparados'!M15</f>
        <v/>
      </c>
      <c r="O22" s="7">
        <f>'1 datos preparados'!N15</f>
        <v/>
      </c>
      <c r="P22" s="7">
        <f>'1 datos preparados'!O15</f>
        <v/>
      </c>
      <c r="Q22" s="7">
        <f>'1 datos preparados'!P15</f>
        <v/>
      </c>
      <c r="R22" s="7">
        <f>'1 datos preparados'!Q15</f>
        <v/>
      </c>
      <c r="S22" s="7">
        <f>'1 datos preparados'!R15</f>
        <v/>
      </c>
      <c r="T22" s="7">
        <f>'1 datos preparados'!S15</f>
        <v/>
      </c>
      <c r="U22" s="7">
        <f>'1 datos preparados'!T15</f>
        <v/>
      </c>
      <c r="V22" s="8">
        <f>$AE$12+D22*$AE$13+E22*$AE$14+F22*$AE$15+G22*$AE$16+H22*$AE$17+I22*$AE$18+J22*$AE$19+K22*$AE$20+L22*$AE$21+M22*$AE$22+N22*$AE$23+O22*$AE$24+P22*$AE$25+Q22*$AE$26+R22*$AE$27+S22*$AE$28+T22*$AE$29+U22*$AE$30</f>
        <v/>
      </c>
      <c r="W22" s="8">
        <f>1/(1+EXP(-V22))</f>
        <v/>
      </c>
      <c r="X22" s="9">
        <f>-IF(C22=1,LN(W22),LN(1-W22))</f>
        <v/>
      </c>
      <c r="Y22" s="8">
        <f>1</f>
        <v/>
      </c>
      <c r="Z22" s="9">
        <f>Y22*X22</f>
        <v/>
      </c>
      <c r="AA22" s="10">
        <f>IF(W22&gt;$AE$32,1,0)</f>
        <v/>
      </c>
      <c r="AB22">
        <f>IF(AA22=C22,1,0)</f>
        <v/>
      </c>
      <c r="AD22" t="inlineStr">
        <is>
          <t>hist_sin_creditos</t>
        </is>
      </c>
      <c r="AE22" s="11" t="n">
        <v>0.6690656278784681</v>
      </c>
      <c r="AF22" s="12" t="n">
        <v>0.6690656278784681</v>
      </c>
    </row>
    <row r="23">
      <c r="A23">
        <f>'1 datos preparados'!A16</f>
        <v/>
      </c>
      <c r="B23" s="5">
        <f>'1 datos preparados'!U16</f>
        <v/>
      </c>
      <c r="C23">
        <f>'1 datos preparados'!B16</f>
        <v/>
      </c>
      <c r="D23" s="7">
        <f>'1 datos preparados'!C16</f>
        <v/>
      </c>
      <c r="E23" s="7">
        <f>'1 datos preparados'!D16</f>
        <v/>
      </c>
      <c r="F23" s="7">
        <f>'1 datos preparados'!E16</f>
        <v/>
      </c>
      <c r="G23" s="7">
        <f>'1 datos preparados'!F16</f>
        <v/>
      </c>
      <c r="H23" s="7">
        <f>'1 datos preparados'!G16</f>
        <v/>
      </c>
      <c r="I23" s="7">
        <f>'1 datos preparados'!H16</f>
        <v/>
      </c>
      <c r="J23" s="7">
        <f>'1 datos preparados'!I16</f>
        <v/>
      </c>
      <c r="K23" s="7">
        <f>'1 datos preparados'!J16</f>
        <v/>
      </c>
      <c r="L23" s="7">
        <f>'1 datos preparados'!K16</f>
        <v/>
      </c>
      <c r="M23" s="7">
        <f>'1 datos preparados'!L16</f>
        <v/>
      </c>
      <c r="N23" s="7">
        <f>'1 datos preparados'!M16</f>
        <v/>
      </c>
      <c r="O23" s="7">
        <f>'1 datos preparados'!N16</f>
        <v/>
      </c>
      <c r="P23" s="7">
        <f>'1 datos preparados'!O16</f>
        <v/>
      </c>
      <c r="Q23" s="7">
        <f>'1 datos preparados'!P16</f>
        <v/>
      </c>
      <c r="R23" s="7">
        <f>'1 datos preparados'!Q16</f>
        <v/>
      </c>
      <c r="S23" s="7">
        <f>'1 datos preparados'!R16</f>
        <v/>
      </c>
      <c r="T23" s="7">
        <f>'1 datos preparados'!S16</f>
        <v/>
      </c>
      <c r="U23" s="7">
        <f>'1 datos preparados'!T16</f>
        <v/>
      </c>
      <c r="V23" s="8">
        <f>$AE$12+D23*$AE$13+E23*$AE$14+F23*$AE$15+G23*$AE$16+H23*$AE$17+I23*$AE$18+J23*$AE$19+K23*$AE$20+L23*$AE$21+M23*$AE$22+N23*$AE$23+O23*$AE$24+P23*$AE$25+Q23*$AE$26+R23*$AE$27+S23*$AE$28+T23*$AE$29+U23*$AE$30</f>
        <v/>
      </c>
      <c r="W23" s="8">
        <f>1/(1+EXP(-V23))</f>
        <v/>
      </c>
      <c r="X23" s="9">
        <f>-IF(C23=1,LN(W23),LN(1-W23))</f>
        <v/>
      </c>
      <c r="Y23" s="8">
        <f>1</f>
        <v/>
      </c>
      <c r="Z23" s="9">
        <f>Y23*X23</f>
        <v/>
      </c>
      <c r="AA23" s="10">
        <f>IF(W23&gt;$AE$32,1,0)</f>
        <v/>
      </c>
      <c r="AB23">
        <f>IF(AA23=C23,1,0)</f>
        <v/>
      </c>
      <c r="AD23" t="inlineStr">
        <is>
          <t>ahorro_100_1000</t>
        </is>
      </c>
      <c r="AE23" s="11" t="n">
        <v>-0.3895834298458181</v>
      </c>
      <c r="AF23" s="12" t="n">
        <v>-0.3895834298458181</v>
      </c>
    </row>
    <row r="24">
      <c r="A24">
        <f>'1 datos preparados'!A17</f>
        <v/>
      </c>
      <c r="B24" s="5">
        <f>'1 datos preparados'!U17</f>
        <v/>
      </c>
      <c r="C24">
        <f>'1 datos preparados'!B17</f>
        <v/>
      </c>
      <c r="D24" s="7">
        <f>'1 datos preparados'!C17</f>
        <v/>
      </c>
      <c r="E24" s="7">
        <f>'1 datos preparados'!D17</f>
        <v/>
      </c>
      <c r="F24" s="7">
        <f>'1 datos preparados'!E17</f>
        <v/>
      </c>
      <c r="G24" s="7">
        <f>'1 datos preparados'!F17</f>
        <v/>
      </c>
      <c r="H24" s="7">
        <f>'1 datos preparados'!G17</f>
        <v/>
      </c>
      <c r="I24" s="7">
        <f>'1 datos preparados'!H17</f>
        <v/>
      </c>
      <c r="J24" s="7">
        <f>'1 datos preparados'!I17</f>
        <v/>
      </c>
      <c r="K24" s="7">
        <f>'1 datos preparados'!J17</f>
        <v/>
      </c>
      <c r="L24" s="7">
        <f>'1 datos preparados'!K17</f>
        <v/>
      </c>
      <c r="M24" s="7">
        <f>'1 datos preparados'!L17</f>
        <v/>
      </c>
      <c r="N24" s="7">
        <f>'1 datos preparados'!M17</f>
        <v/>
      </c>
      <c r="O24" s="7">
        <f>'1 datos preparados'!N17</f>
        <v/>
      </c>
      <c r="P24" s="7">
        <f>'1 datos preparados'!O17</f>
        <v/>
      </c>
      <c r="Q24" s="7">
        <f>'1 datos preparados'!P17</f>
        <v/>
      </c>
      <c r="R24" s="7">
        <f>'1 datos preparados'!Q17</f>
        <v/>
      </c>
      <c r="S24" s="7">
        <f>'1 datos preparados'!R17</f>
        <v/>
      </c>
      <c r="T24" s="7">
        <f>'1 datos preparados'!S17</f>
        <v/>
      </c>
      <c r="U24" s="7">
        <f>'1 datos preparados'!T17</f>
        <v/>
      </c>
      <c r="V24" s="8">
        <f>$AE$12+D24*$AE$13+E24*$AE$14+F24*$AE$15+G24*$AE$16+H24*$AE$17+I24*$AE$18+J24*$AE$19+K24*$AE$20+L24*$AE$21+M24*$AE$22+N24*$AE$23+O24*$AE$24+P24*$AE$25+Q24*$AE$26+R24*$AE$27+S24*$AE$28+T24*$AE$29+U24*$AE$30</f>
        <v/>
      </c>
      <c r="W24" s="8">
        <f>1/(1+EXP(-V24))</f>
        <v/>
      </c>
      <c r="X24" s="9">
        <f>-IF(C24=1,LN(W24),LN(1-W24))</f>
        <v/>
      </c>
      <c r="Y24" s="8">
        <f>1</f>
        <v/>
      </c>
      <c r="Z24" s="9">
        <f>Y24*X24</f>
        <v/>
      </c>
      <c r="AA24" s="10">
        <f>IF(W24&gt;$AE$32,1,0)</f>
        <v/>
      </c>
      <c r="AB24">
        <f>IF(AA24=C24,1,0)</f>
        <v/>
      </c>
      <c r="AD24" t="inlineStr">
        <is>
          <t>ahorro_sobre_1000</t>
        </is>
      </c>
      <c r="AE24" s="11" t="n">
        <v>-0.8892238593761824</v>
      </c>
      <c r="AF24" s="12" t="n">
        <v>-0.8892238593761824</v>
      </c>
    </row>
    <row r="25">
      <c r="A25">
        <f>'1 datos preparados'!A18</f>
        <v/>
      </c>
      <c r="B25" s="5">
        <f>'1 datos preparados'!U18</f>
        <v/>
      </c>
      <c r="C25">
        <f>'1 datos preparados'!B18</f>
        <v/>
      </c>
      <c r="D25" s="7">
        <f>'1 datos preparados'!C18</f>
        <v/>
      </c>
      <c r="E25" s="7">
        <f>'1 datos preparados'!D18</f>
        <v/>
      </c>
      <c r="F25" s="7">
        <f>'1 datos preparados'!E18</f>
        <v/>
      </c>
      <c r="G25" s="7">
        <f>'1 datos preparados'!F18</f>
        <v/>
      </c>
      <c r="H25" s="7">
        <f>'1 datos preparados'!G18</f>
        <v/>
      </c>
      <c r="I25" s="7">
        <f>'1 datos preparados'!H18</f>
        <v/>
      </c>
      <c r="J25" s="7">
        <f>'1 datos preparados'!I18</f>
        <v/>
      </c>
      <c r="K25" s="7">
        <f>'1 datos preparados'!J18</f>
        <v/>
      </c>
      <c r="L25" s="7">
        <f>'1 datos preparados'!K18</f>
        <v/>
      </c>
      <c r="M25" s="7">
        <f>'1 datos preparados'!L18</f>
        <v/>
      </c>
      <c r="N25" s="7">
        <f>'1 datos preparados'!M18</f>
        <v/>
      </c>
      <c r="O25" s="7">
        <f>'1 datos preparados'!N18</f>
        <v/>
      </c>
      <c r="P25" s="7">
        <f>'1 datos preparados'!O18</f>
        <v/>
      </c>
      <c r="Q25" s="7">
        <f>'1 datos preparados'!P18</f>
        <v/>
      </c>
      <c r="R25" s="7">
        <f>'1 datos preparados'!Q18</f>
        <v/>
      </c>
      <c r="S25" s="7">
        <f>'1 datos preparados'!R18</f>
        <v/>
      </c>
      <c r="T25" s="7">
        <f>'1 datos preparados'!S18</f>
        <v/>
      </c>
      <c r="U25" s="7">
        <f>'1 datos preparados'!T18</f>
        <v/>
      </c>
      <c r="V25" s="8">
        <f>$AE$12+D25*$AE$13+E25*$AE$14+F25*$AE$15+G25*$AE$16+H25*$AE$17+I25*$AE$18+J25*$AE$19+K25*$AE$20+L25*$AE$21+M25*$AE$22+N25*$AE$23+O25*$AE$24+P25*$AE$25+Q25*$AE$26+R25*$AE$27+S25*$AE$28+T25*$AE$29+U25*$AE$30</f>
        <v/>
      </c>
      <c r="W25" s="8">
        <f>1/(1+EXP(-V25))</f>
        <v/>
      </c>
      <c r="X25" s="9">
        <f>-IF(C25=1,LN(W25),LN(1-W25))</f>
        <v/>
      </c>
      <c r="Y25" s="8">
        <f>1</f>
        <v/>
      </c>
      <c r="Z25" s="9">
        <f>Y25*X25</f>
        <v/>
      </c>
      <c r="AA25" s="10">
        <f>IF(W25&gt;$AE$32,1,0)</f>
        <v/>
      </c>
      <c r="AB25">
        <f>IF(AA25=C25,1,0)</f>
        <v/>
      </c>
      <c r="AD25" t="inlineStr">
        <is>
          <t>ahorro_desconocido</t>
        </is>
      </c>
      <c r="AE25" s="11" t="n">
        <v>-1.076092926242446</v>
      </c>
      <c r="AF25" s="12" t="n">
        <v>-1.076092926242446</v>
      </c>
    </row>
    <row r="26">
      <c r="A26">
        <f>'1 datos preparados'!A19</f>
        <v/>
      </c>
      <c r="B26" s="5">
        <f>'1 datos preparados'!U19</f>
        <v/>
      </c>
      <c r="C26">
        <f>'1 datos preparados'!B19</f>
        <v/>
      </c>
      <c r="D26" s="7">
        <f>'1 datos preparados'!C19</f>
        <v/>
      </c>
      <c r="E26" s="7">
        <f>'1 datos preparados'!D19</f>
        <v/>
      </c>
      <c r="F26" s="7">
        <f>'1 datos preparados'!E19</f>
        <v/>
      </c>
      <c r="G26" s="7">
        <f>'1 datos preparados'!F19</f>
        <v/>
      </c>
      <c r="H26" s="7">
        <f>'1 datos preparados'!G19</f>
        <v/>
      </c>
      <c r="I26" s="7">
        <f>'1 datos preparados'!H19</f>
        <v/>
      </c>
      <c r="J26" s="7">
        <f>'1 datos preparados'!I19</f>
        <v/>
      </c>
      <c r="K26" s="7">
        <f>'1 datos preparados'!J19</f>
        <v/>
      </c>
      <c r="L26" s="7">
        <f>'1 datos preparados'!K19</f>
        <v/>
      </c>
      <c r="M26" s="7">
        <f>'1 datos preparados'!L19</f>
        <v/>
      </c>
      <c r="N26" s="7">
        <f>'1 datos preparados'!M19</f>
        <v/>
      </c>
      <c r="O26" s="7">
        <f>'1 datos preparados'!N19</f>
        <v/>
      </c>
      <c r="P26" s="7">
        <f>'1 datos preparados'!O19</f>
        <v/>
      </c>
      <c r="Q26" s="7">
        <f>'1 datos preparados'!P19</f>
        <v/>
      </c>
      <c r="R26" s="7">
        <f>'1 datos preparados'!Q19</f>
        <v/>
      </c>
      <c r="S26" s="7">
        <f>'1 datos preparados'!R19</f>
        <v/>
      </c>
      <c r="T26" s="7">
        <f>'1 datos preparados'!S19</f>
        <v/>
      </c>
      <c r="U26" s="7">
        <f>'1 datos preparados'!T19</f>
        <v/>
      </c>
      <c r="V26" s="8">
        <f>$AE$12+D26*$AE$13+E26*$AE$14+F26*$AE$15+G26*$AE$16+H26*$AE$17+I26*$AE$18+J26*$AE$19+K26*$AE$20+L26*$AE$21+M26*$AE$22+N26*$AE$23+O26*$AE$24+P26*$AE$25+Q26*$AE$26+R26*$AE$27+S26*$AE$28+T26*$AE$29+U26*$AE$30</f>
        <v/>
      </c>
      <c r="W26" s="8">
        <f>1/(1+EXP(-V26))</f>
        <v/>
      </c>
      <c r="X26" s="9">
        <f>-IF(C26=1,LN(W26),LN(1-W26))</f>
        <v/>
      </c>
      <c r="Y26" s="8">
        <f>1</f>
        <v/>
      </c>
      <c r="Z26" s="9">
        <f>Y26*X26</f>
        <v/>
      </c>
      <c r="AA26" s="10">
        <f>IF(W26&gt;$AE$32,1,0)</f>
        <v/>
      </c>
      <c r="AB26">
        <f>IF(AA26=C26,1,0)</f>
        <v/>
      </c>
      <c r="AD26" t="inlineStr">
        <is>
          <t>vivienda_arriendo</t>
        </is>
      </c>
      <c r="AE26" s="11" t="n">
        <v>0.6538371780658356</v>
      </c>
      <c r="AF26" s="12" t="n">
        <v>0.6538371780658356</v>
      </c>
    </row>
    <row r="27">
      <c r="A27">
        <f>'1 datos preparados'!A20</f>
        <v/>
      </c>
      <c r="B27" s="5">
        <f>'1 datos preparados'!U20</f>
        <v/>
      </c>
      <c r="C27">
        <f>'1 datos preparados'!B20</f>
        <v/>
      </c>
      <c r="D27" s="7">
        <f>'1 datos preparados'!C20</f>
        <v/>
      </c>
      <c r="E27" s="7">
        <f>'1 datos preparados'!D20</f>
        <v/>
      </c>
      <c r="F27" s="7">
        <f>'1 datos preparados'!E20</f>
        <v/>
      </c>
      <c r="G27" s="7">
        <f>'1 datos preparados'!F20</f>
        <v/>
      </c>
      <c r="H27" s="7">
        <f>'1 datos preparados'!G20</f>
        <v/>
      </c>
      <c r="I27" s="7">
        <f>'1 datos preparados'!H20</f>
        <v/>
      </c>
      <c r="J27" s="7">
        <f>'1 datos preparados'!I20</f>
        <v/>
      </c>
      <c r="K27" s="7">
        <f>'1 datos preparados'!J20</f>
        <v/>
      </c>
      <c r="L27" s="7">
        <f>'1 datos preparados'!K20</f>
        <v/>
      </c>
      <c r="M27" s="7">
        <f>'1 datos preparados'!L20</f>
        <v/>
      </c>
      <c r="N27" s="7">
        <f>'1 datos preparados'!M20</f>
        <v/>
      </c>
      <c r="O27" s="7">
        <f>'1 datos preparados'!N20</f>
        <v/>
      </c>
      <c r="P27" s="7">
        <f>'1 datos preparados'!O20</f>
        <v/>
      </c>
      <c r="Q27" s="7">
        <f>'1 datos preparados'!P20</f>
        <v/>
      </c>
      <c r="R27" s="7">
        <f>'1 datos preparados'!Q20</f>
        <v/>
      </c>
      <c r="S27" s="7">
        <f>'1 datos preparados'!R20</f>
        <v/>
      </c>
      <c r="T27" s="7">
        <f>'1 datos preparados'!S20</f>
        <v/>
      </c>
      <c r="U27" s="7">
        <f>'1 datos preparados'!T20</f>
        <v/>
      </c>
      <c r="V27" s="8">
        <f>$AE$12+D27*$AE$13+E27*$AE$14+F27*$AE$15+G27*$AE$16+H27*$AE$17+I27*$AE$18+J27*$AE$19+K27*$AE$20+L27*$AE$21+M27*$AE$22+N27*$AE$23+O27*$AE$24+P27*$AE$25+Q27*$AE$26+R27*$AE$27+S27*$AE$28+T27*$AE$29+U27*$AE$30</f>
        <v/>
      </c>
      <c r="W27" s="8">
        <f>1/(1+EXP(-V27))</f>
        <v/>
      </c>
      <c r="X27" s="9">
        <f>-IF(C27=1,LN(W27),LN(1-W27))</f>
        <v/>
      </c>
      <c r="Y27" s="8">
        <f>1</f>
        <v/>
      </c>
      <c r="Z27" s="9">
        <f>Y27*X27</f>
        <v/>
      </c>
      <c r="AA27" s="10">
        <f>IF(W27&gt;$AE$32,1,0)</f>
        <v/>
      </c>
      <c r="AB27">
        <f>IF(AA27=C27,1,0)</f>
        <v/>
      </c>
      <c r="AD27" t="inlineStr">
        <is>
          <t>vivienda_gratis</t>
        </is>
      </c>
      <c r="AE27" s="11" t="n">
        <v>0.1953653579159878</v>
      </c>
      <c r="AF27" s="12" t="n">
        <v>0.1953653579159878</v>
      </c>
    </row>
    <row r="28">
      <c r="A28">
        <f>'1 datos preparados'!A21</f>
        <v/>
      </c>
      <c r="B28" s="5">
        <f>'1 datos preparados'!U21</f>
        <v/>
      </c>
      <c r="C28">
        <f>'1 datos preparados'!B21</f>
        <v/>
      </c>
      <c r="D28" s="7">
        <f>'1 datos preparados'!C21</f>
        <v/>
      </c>
      <c r="E28" s="7">
        <f>'1 datos preparados'!D21</f>
        <v/>
      </c>
      <c r="F28" s="7">
        <f>'1 datos preparados'!E21</f>
        <v/>
      </c>
      <c r="G28" s="7">
        <f>'1 datos preparados'!F21</f>
        <v/>
      </c>
      <c r="H28" s="7">
        <f>'1 datos preparados'!G21</f>
        <v/>
      </c>
      <c r="I28" s="7">
        <f>'1 datos preparados'!H21</f>
        <v/>
      </c>
      <c r="J28" s="7">
        <f>'1 datos preparados'!I21</f>
        <v/>
      </c>
      <c r="K28" s="7">
        <f>'1 datos preparados'!J21</f>
        <v/>
      </c>
      <c r="L28" s="7">
        <f>'1 datos preparados'!K21</f>
        <v/>
      </c>
      <c r="M28" s="7">
        <f>'1 datos preparados'!L21</f>
        <v/>
      </c>
      <c r="N28" s="7">
        <f>'1 datos preparados'!M21</f>
        <v/>
      </c>
      <c r="O28" s="7">
        <f>'1 datos preparados'!N21</f>
        <v/>
      </c>
      <c r="P28" s="7">
        <f>'1 datos preparados'!O21</f>
        <v/>
      </c>
      <c r="Q28" s="7">
        <f>'1 datos preparados'!P21</f>
        <v/>
      </c>
      <c r="R28" s="7">
        <f>'1 datos preparados'!Q21</f>
        <v/>
      </c>
      <c r="S28" s="7">
        <f>'1 datos preparados'!R21</f>
        <v/>
      </c>
      <c r="T28" s="7">
        <f>'1 datos preparados'!S21</f>
        <v/>
      </c>
      <c r="U28" s="7">
        <f>'1 datos preparados'!T21</f>
        <v/>
      </c>
      <c r="V28" s="8">
        <f>$AE$12+D28*$AE$13+E28*$AE$14+F28*$AE$15+G28*$AE$16+H28*$AE$17+I28*$AE$18+J28*$AE$19+K28*$AE$20+L28*$AE$21+M28*$AE$22+N28*$AE$23+O28*$AE$24+P28*$AE$25+Q28*$AE$26+R28*$AE$27+S28*$AE$28+T28*$AE$29+U28*$AE$30</f>
        <v/>
      </c>
      <c r="W28" s="8">
        <f>1/(1+EXP(-V28))</f>
        <v/>
      </c>
      <c r="X28" s="9">
        <f>-IF(C28=1,LN(W28),LN(1-W28))</f>
        <v/>
      </c>
      <c r="Y28" s="8">
        <f>1</f>
        <v/>
      </c>
      <c r="Z28" s="9">
        <f>Y28*X28</f>
        <v/>
      </c>
      <c r="AA28" s="10">
        <f>IF(W28&gt;$AE$32,1,0)</f>
        <v/>
      </c>
      <c r="AB28">
        <f>IF(AA28=C28,1,0)</f>
        <v/>
      </c>
      <c r="AD28" t="inlineStr">
        <is>
          <t>proposito_auto</t>
        </is>
      </c>
      <c r="AE28" s="11" t="n">
        <v>-0.08016547581790479</v>
      </c>
      <c r="AF28" s="12" t="n">
        <v>-0.08016547581790479</v>
      </c>
    </row>
    <row r="29">
      <c r="A29">
        <f>'1 datos preparados'!A22</f>
        <v/>
      </c>
      <c r="B29" s="5">
        <f>'1 datos preparados'!U22</f>
        <v/>
      </c>
      <c r="C29">
        <f>'1 datos preparados'!B22</f>
        <v/>
      </c>
      <c r="D29" s="7">
        <f>'1 datos preparados'!C22</f>
        <v/>
      </c>
      <c r="E29" s="7">
        <f>'1 datos preparados'!D22</f>
        <v/>
      </c>
      <c r="F29" s="7">
        <f>'1 datos preparados'!E22</f>
        <v/>
      </c>
      <c r="G29" s="7">
        <f>'1 datos preparados'!F22</f>
        <v/>
      </c>
      <c r="H29" s="7">
        <f>'1 datos preparados'!G22</f>
        <v/>
      </c>
      <c r="I29" s="7">
        <f>'1 datos preparados'!H22</f>
        <v/>
      </c>
      <c r="J29" s="7">
        <f>'1 datos preparados'!I22</f>
        <v/>
      </c>
      <c r="K29" s="7">
        <f>'1 datos preparados'!J22</f>
        <v/>
      </c>
      <c r="L29" s="7">
        <f>'1 datos preparados'!K22</f>
        <v/>
      </c>
      <c r="M29" s="7">
        <f>'1 datos preparados'!L22</f>
        <v/>
      </c>
      <c r="N29" s="7">
        <f>'1 datos preparados'!M22</f>
        <v/>
      </c>
      <c r="O29" s="7">
        <f>'1 datos preparados'!N22</f>
        <v/>
      </c>
      <c r="P29" s="7">
        <f>'1 datos preparados'!O22</f>
        <v/>
      </c>
      <c r="Q29" s="7">
        <f>'1 datos preparados'!P22</f>
        <v/>
      </c>
      <c r="R29" s="7">
        <f>'1 datos preparados'!Q22</f>
        <v/>
      </c>
      <c r="S29" s="7">
        <f>'1 datos preparados'!R22</f>
        <v/>
      </c>
      <c r="T29" s="7">
        <f>'1 datos preparados'!S22</f>
        <v/>
      </c>
      <c r="U29" s="7">
        <f>'1 datos preparados'!T22</f>
        <v/>
      </c>
      <c r="V29" s="8">
        <f>$AE$12+D29*$AE$13+E29*$AE$14+F29*$AE$15+G29*$AE$16+H29*$AE$17+I29*$AE$18+J29*$AE$19+K29*$AE$20+L29*$AE$21+M29*$AE$22+N29*$AE$23+O29*$AE$24+P29*$AE$25+Q29*$AE$26+R29*$AE$27+S29*$AE$28+T29*$AE$29+U29*$AE$30</f>
        <v/>
      </c>
      <c r="W29" s="8">
        <f>1/(1+EXP(-V29))</f>
        <v/>
      </c>
      <c r="X29" s="9">
        <f>-IF(C29=1,LN(W29),LN(1-W29))</f>
        <v/>
      </c>
      <c r="Y29" s="8">
        <f>1</f>
        <v/>
      </c>
      <c r="Z29" s="9">
        <f>Y29*X29</f>
        <v/>
      </c>
      <c r="AA29" s="10">
        <f>IF(W29&gt;$AE$32,1,0)</f>
        <v/>
      </c>
      <c r="AB29">
        <f>IF(AA29=C29,1,0)</f>
        <v/>
      </c>
      <c r="AD29" t="inlineStr">
        <is>
          <t>proposito_radio_tv</t>
        </is>
      </c>
      <c r="AE29" s="11" t="n">
        <v>-0.5202106472417524</v>
      </c>
      <c r="AF29" s="12" t="n">
        <v>-0.5202106472417524</v>
      </c>
    </row>
    <row r="30">
      <c r="A30">
        <f>'1 datos preparados'!A23</f>
        <v/>
      </c>
      <c r="B30" s="5">
        <f>'1 datos preparados'!U23</f>
        <v/>
      </c>
      <c r="C30">
        <f>'1 datos preparados'!B23</f>
        <v/>
      </c>
      <c r="D30" s="7">
        <f>'1 datos preparados'!C23</f>
        <v/>
      </c>
      <c r="E30" s="7">
        <f>'1 datos preparados'!D23</f>
        <v/>
      </c>
      <c r="F30" s="7">
        <f>'1 datos preparados'!E23</f>
        <v/>
      </c>
      <c r="G30" s="7">
        <f>'1 datos preparados'!F23</f>
        <v/>
      </c>
      <c r="H30" s="7">
        <f>'1 datos preparados'!G23</f>
        <v/>
      </c>
      <c r="I30" s="7">
        <f>'1 datos preparados'!H23</f>
        <v/>
      </c>
      <c r="J30" s="7">
        <f>'1 datos preparados'!I23</f>
        <v/>
      </c>
      <c r="K30" s="7">
        <f>'1 datos preparados'!J23</f>
        <v/>
      </c>
      <c r="L30" s="7">
        <f>'1 datos preparados'!K23</f>
        <v/>
      </c>
      <c r="M30" s="7">
        <f>'1 datos preparados'!L23</f>
        <v/>
      </c>
      <c r="N30" s="7">
        <f>'1 datos preparados'!M23</f>
        <v/>
      </c>
      <c r="O30" s="7">
        <f>'1 datos preparados'!N23</f>
        <v/>
      </c>
      <c r="P30" s="7">
        <f>'1 datos preparados'!O23</f>
        <v/>
      </c>
      <c r="Q30" s="7">
        <f>'1 datos preparados'!P23</f>
        <v/>
      </c>
      <c r="R30" s="7">
        <f>'1 datos preparados'!Q23</f>
        <v/>
      </c>
      <c r="S30" s="7">
        <f>'1 datos preparados'!R23</f>
        <v/>
      </c>
      <c r="T30" s="7">
        <f>'1 datos preparados'!S23</f>
        <v/>
      </c>
      <c r="U30" s="7">
        <f>'1 datos preparados'!T23</f>
        <v/>
      </c>
      <c r="V30" s="8">
        <f>$AE$12+D30*$AE$13+E30*$AE$14+F30*$AE$15+G30*$AE$16+H30*$AE$17+I30*$AE$18+J30*$AE$19+K30*$AE$20+L30*$AE$21+M30*$AE$22+N30*$AE$23+O30*$AE$24+P30*$AE$25+Q30*$AE$26+R30*$AE$27+S30*$AE$28+T30*$AE$29+U30*$AE$30</f>
        <v/>
      </c>
      <c r="W30" s="8">
        <f>1/(1+EXP(-V30))</f>
        <v/>
      </c>
      <c r="X30" s="9">
        <f>-IF(C30=1,LN(W30),LN(1-W30))</f>
        <v/>
      </c>
      <c r="Y30" s="8">
        <f>1</f>
        <v/>
      </c>
      <c r="Z30" s="9">
        <f>Y30*X30</f>
        <v/>
      </c>
      <c r="AA30" s="10">
        <f>IF(W30&gt;$AE$32,1,0)</f>
        <v/>
      </c>
      <c r="AB30">
        <f>IF(AA30=C30,1,0)</f>
        <v/>
      </c>
      <c r="AD30" t="inlineStr">
        <is>
          <t>proposito_muebles</t>
        </is>
      </c>
      <c r="AE30" s="11" t="n">
        <v>-0.2818027438096851</v>
      </c>
      <c r="AF30" s="12" t="n">
        <v>-0.2818027438096851</v>
      </c>
    </row>
    <row r="31">
      <c r="A31">
        <f>'1 datos preparados'!A24</f>
        <v/>
      </c>
      <c r="B31" s="5">
        <f>'1 datos preparados'!U24</f>
        <v/>
      </c>
      <c r="C31">
        <f>'1 datos preparados'!B24</f>
        <v/>
      </c>
      <c r="D31" s="7">
        <f>'1 datos preparados'!C24</f>
        <v/>
      </c>
      <c r="E31" s="7">
        <f>'1 datos preparados'!D24</f>
        <v/>
      </c>
      <c r="F31" s="7">
        <f>'1 datos preparados'!E24</f>
        <v/>
      </c>
      <c r="G31" s="7">
        <f>'1 datos preparados'!F24</f>
        <v/>
      </c>
      <c r="H31" s="7">
        <f>'1 datos preparados'!G24</f>
        <v/>
      </c>
      <c r="I31" s="7">
        <f>'1 datos preparados'!H24</f>
        <v/>
      </c>
      <c r="J31" s="7">
        <f>'1 datos preparados'!I24</f>
        <v/>
      </c>
      <c r="K31" s="7">
        <f>'1 datos preparados'!J24</f>
        <v/>
      </c>
      <c r="L31" s="7">
        <f>'1 datos preparados'!K24</f>
        <v/>
      </c>
      <c r="M31" s="7">
        <f>'1 datos preparados'!L24</f>
        <v/>
      </c>
      <c r="N31" s="7">
        <f>'1 datos preparados'!M24</f>
        <v/>
      </c>
      <c r="O31" s="7">
        <f>'1 datos preparados'!N24</f>
        <v/>
      </c>
      <c r="P31" s="7">
        <f>'1 datos preparados'!O24</f>
        <v/>
      </c>
      <c r="Q31" s="7">
        <f>'1 datos preparados'!P24</f>
        <v/>
      </c>
      <c r="R31" s="7">
        <f>'1 datos preparados'!Q24</f>
        <v/>
      </c>
      <c r="S31" s="7">
        <f>'1 datos preparados'!R24</f>
        <v/>
      </c>
      <c r="T31" s="7">
        <f>'1 datos preparados'!S24</f>
        <v/>
      </c>
      <c r="U31" s="7">
        <f>'1 datos preparados'!T24</f>
        <v/>
      </c>
      <c r="V31" s="8">
        <f>$AE$12+D31*$AE$13+E31*$AE$14+F31*$AE$15+G31*$AE$16+H31*$AE$17+I31*$AE$18+J31*$AE$19+K31*$AE$20+L31*$AE$21+M31*$AE$22+N31*$AE$23+O31*$AE$24+P31*$AE$25+Q31*$AE$26+R31*$AE$27+S31*$AE$28+T31*$AE$29+U31*$AE$30</f>
        <v/>
      </c>
      <c r="W31" s="8">
        <f>1/(1+EXP(-V31))</f>
        <v/>
      </c>
      <c r="X31" s="9">
        <f>-IF(C31=1,LN(W31),LN(1-W31))</f>
        <v/>
      </c>
      <c r="Y31" s="8">
        <f>1</f>
        <v/>
      </c>
      <c r="Z31" s="9">
        <f>Y31*X31</f>
        <v/>
      </c>
      <c r="AA31" s="10">
        <f>IF(W31&gt;$AE$32,1,0)</f>
        <v/>
      </c>
      <c r="AB31">
        <f>IF(AA31=C31,1,0)</f>
        <v/>
      </c>
    </row>
    <row r="32">
      <c r="A32">
        <f>'1 datos preparados'!A25</f>
        <v/>
      </c>
      <c r="B32" s="5">
        <f>'1 datos preparados'!U25</f>
        <v/>
      </c>
      <c r="C32">
        <f>'1 datos preparados'!B25</f>
        <v/>
      </c>
      <c r="D32" s="7">
        <f>'1 datos preparados'!C25</f>
        <v/>
      </c>
      <c r="E32" s="7">
        <f>'1 datos preparados'!D25</f>
        <v/>
      </c>
      <c r="F32" s="7">
        <f>'1 datos preparados'!E25</f>
        <v/>
      </c>
      <c r="G32" s="7">
        <f>'1 datos preparados'!F25</f>
        <v/>
      </c>
      <c r="H32" s="7">
        <f>'1 datos preparados'!G25</f>
        <v/>
      </c>
      <c r="I32" s="7">
        <f>'1 datos preparados'!H25</f>
        <v/>
      </c>
      <c r="J32" s="7">
        <f>'1 datos preparados'!I25</f>
        <v/>
      </c>
      <c r="K32" s="7">
        <f>'1 datos preparados'!J25</f>
        <v/>
      </c>
      <c r="L32" s="7">
        <f>'1 datos preparados'!K25</f>
        <v/>
      </c>
      <c r="M32" s="7">
        <f>'1 datos preparados'!L25</f>
        <v/>
      </c>
      <c r="N32" s="7">
        <f>'1 datos preparados'!M25</f>
        <v/>
      </c>
      <c r="O32" s="7">
        <f>'1 datos preparados'!N25</f>
        <v/>
      </c>
      <c r="P32" s="7">
        <f>'1 datos preparados'!O25</f>
        <v/>
      </c>
      <c r="Q32" s="7">
        <f>'1 datos preparados'!P25</f>
        <v/>
      </c>
      <c r="R32" s="7">
        <f>'1 datos preparados'!Q25</f>
        <v/>
      </c>
      <c r="S32" s="7">
        <f>'1 datos preparados'!R25</f>
        <v/>
      </c>
      <c r="T32" s="7">
        <f>'1 datos preparados'!S25</f>
        <v/>
      </c>
      <c r="U32" s="7">
        <f>'1 datos preparados'!T25</f>
        <v/>
      </c>
      <c r="V32" s="8">
        <f>$AE$12+D32*$AE$13+E32*$AE$14+F32*$AE$15+G32*$AE$16+H32*$AE$17+I32*$AE$18+J32*$AE$19+K32*$AE$20+L32*$AE$21+M32*$AE$22+N32*$AE$23+O32*$AE$24+P32*$AE$25+Q32*$AE$26+R32*$AE$27+S32*$AE$28+T32*$AE$29+U32*$AE$30</f>
        <v/>
      </c>
      <c r="W32" s="8">
        <f>1/(1+EXP(-V32))</f>
        <v/>
      </c>
      <c r="X32" s="9">
        <f>-IF(C32=1,LN(W32),LN(1-W32))</f>
        <v/>
      </c>
      <c r="Y32" s="8">
        <f>1</f>
        <v/>
      </c>
      <c r="Z32" s="9">
        <f>Y32*X32</f>
        <v/>
      </c>
      <c r="AA32" s="10">
        <f>IF(W32&gt;$AE$32,1,0)</f>
        <v/>
      </c>
      <c r="AB32">
        <f>IF(AA32=C32,1,0)</f>
        <v/>
      </c>
      <c r="AD32" s="3" t="inlineStr">
        <is>
          <t>umbral</t>
        </is>
      </c>
      <c r="AE32" s="15" t="n">
        <v>0.5</v>
      </c>
    </row>
    <row r="33">
      <c r="A33">
        <f>'1 datos preparados'!A26</f>
        <v/>
      </c>
      <c r="B33" s="5">
        <f>'1 datos preparados'!U26</f>
        <v/>
      </c>
      <c r="C33">
        <f>'1 datos preparados'!B26</f>
        <v/>
      </c>
      <c r="D33" s="7">
        <f>'1 datos preparados'!C26</f>
        <v/>
      </c>
      <c r="E33" s="7">
        <f>'1 datos preparados'!D26</f>
        <v/>
      </c>
      <c r="F33" s="7">
        <f>'1 datos preparados'!E26</f>
        <v/>
      </c>
      <c r="G33" s="7">
        <f>'1 datos preparados'!F26</f>
        <v/>
      </c>
      <c r="H33" s="7">
        <f>'1 datos preparados'!G26</f>
        <v/>
      </c>
      <c r="I33" s="7">
        <f>'1 datos preparados'!H26</f>
        <v/>
      </c>
      <c r="J33" s="7">
        <f>'1 datos preparados'!I26</f>
        <v/>
      </c>
      <c r="K33" s="7">
        <f>'1 datos preparados'!J26</f>
        <v/>
      </c>
      <c r="L33" s="7">
        <f>'1 datos preparados'!K26</f>
        <v/>
      </c>
      <c r="M33" s="7">
        <f>'1 datos preparados'!L26</f>
        <v/>
      </c>
      <c r="N33" s="7">
        <f>'1 datos preparados'!M26</f>
        <v/>
      </c>
      <c r="O33" s="7">
        <f>'1 datos preparados'!N26</f>
        <v/>
      </c>
      <c r="P33" s="7">
        <f>'1 datos preparados'!O26</f>
        <v/>
      </c>
      <c r="Q33" s="7">
        <f>'1 datos preparados'!P26</f>
        <v/>
      </c>
      <c r="R33" s="7">
        <f>'1 datos preparados'!Q26</f>
        <v/>
      </c>
      <c r="S33" s="7">
        <f>'1 datos preparados'!R26</f>
        <v/>
      </c>
      <c r="T33" s="7">
        <f>'1 datos preparados'!S26</f>
        <v/>
      </c>
      <c r="U33" s="7">
        <f>'1 datos preparados'!T26</f>
        <v/>
      </c>
      <c r="V33" s="8">
        <f>$AE$12+D33*$AE$13+E33*$AE$14+F33*$AE$15+G33*$AE$16+H33*$AE$17+I33*$AE$18+J33*$AE$19+K33*$AE$20+L33*$AE$21+M33*$AE$22+N33*$AE$23+O33*$AE$24+P33*$AE$25+Q33*$AE$26+R33*$AE$27+S33*$AE$28+T33*$AE$29+U33*$AE$30</f>
        <v/>
      </c>
      <c r="W33" s="8">
        <f>1/(1+EXP(-V33))</f>
        <v/>
      </c>
      <c r="X33" s="9">
        <f>-IF(C33=1,LN(W33),LN(1-W33))</f>
        <v/>
      </c>
      <c r="Y33" s="8">
        <f>1</f>
        <v/>
      </c>
      <c r="Z33" s="9">
        <f>Y33*X33</f>
        <v/>
      </c>
      <c r="AA33" s="10">
        <f>IF(W33&gt;$AE$32,1,0)</f>
        <v/>
      </c>
      <c r="AB33">
        <f>IF(AA33=C33,1,0)</f>
        <v/>
      </c>
    </row>
    <row r="34">
      <c r="A34">
        <f>'1 datos preparados'!A27</f>
        <v/>
      </c>
      <c r="B34" s="5">
        <f>'1 datos preparados'!U27</f>
        <v/>
      </c>
      <c r="C34">
        <f>'1 datos preparados'!B27</f>
        <v/>
      </c>
      <c r="D34" s="7">
        <f>'1 datos preparados'!C27</f>
        <v/>
      </c>
      <c r="E34" s="7">
        <f>'1 datos preparados'!D27</f>
        <v/>
      </c>
      <c r="F34" s="7">
        <f>'1 datos preparados'!E27</f>
        <v/>
      </c>
      <c r="G34" s="7">
        <f>'1 datos preparados'!F27</f>
        <v/>
      </c>
      <c r="H34" s="7">
        <f>'1 datos preparados'!G27</f>
        <v/>
      </c>
      <c r="I34" s="7">
        <f>'1 datos preparados'!H27</f>
        <v/>
      </c>
      <c r="J34" s="7">
        <f>'1 datos preparados'!I27</f>
        <v/>
      </c>
      <c r="K34" s="7">
        <f>'1 datos preparados'!J27</f>
        <v/>
      </c>
      <c r="L34" s="7">
        <f>'1 datos preparados'!K27</f>
        <v/>
      </c>
      <c r="M34" s="7">
        <f>'1 datos preparados'!L27</f>
        <v/>
      </c>
      <c r="N34" s="7">
        <f>'1 datos preparados'!M27</f>
        <v/>
      </c>
      <c r="O34" s="7">
        <f>'1 datos preparados'!N27</f>
        <v/>
      </c>
      <c r="P34" s="7">
        <f>'1 datos preparados'!O27</f>
        <v/>
      </c>
      <c r="Q34" s="7">
        <f>'1 datos preparados'!P27</f>
        <v/>
      </c>
      <c r="R34" s="7">
        <f>'1 datos preparados'!Q27</f>
        <v/>
      </c>
      <c r="S34" s="7">
        <f>'1 datos preparados'!R27</f>
        <v/>
      </c>
      <c r="T34" s="7">
        <f>'1 datos preparados'!S27</f>
        <v/>
      </c>
      <c r="U34" s="7">
        <f>'1 datos preparados'!T27</f>
        <v/>
      </c>
      <c r="V34" s="8">
        <f>$AE$12+D34*$AE$13+E34*$AE$14+F34*$AE$15+G34*$AE$16+H34*$AE$17+I34*$AE$18+J34*$AE$19+K34*$AE$20+L34*$AE$21+M34*$AE$22+N34*$AE$23+O34*$AE$24+P34*$AE$25+Q34*$AE$26+R34*$AE$27+S34*$AE$28+T34*$AE$29+U34*$AE$30</f>
        <v/>
      </c>
      <c r="W34" s="8">
        <f>1/(1+EXP(-V34))</f>
        <v/>
      </c>
      <c r="X34" s="9">
        <f>-IF(C34=1,LN(W34),LN(1-W34))</f>
        <v/>
      </c>
      <c r="Y34" s="8">
        <f>1</f>
        <v/>
      </c>
      <c r="Z34" s="9">
        <f>Y34*X34</f>
        <v/>
      </c>
      <c r="AA34" s="10">
        <f>IF(W34&gt;$AE$32,1,0)</f>
        <v/>
      </c>
      <c r="AB34">
        <f>IF(AA34=C34,1,0)</f>
        <v/>
      </c>
      <c r="AD34" s="3" t="inlineStr">
        <is>
          <t>RESULTADOS</t>
        </is>
      </c>
    </row>
    <row r="35">
      <c r="A35">
        <f>'1 datos preparados'!A28</f>
        <v/>
      </c>
      <c r="B35" s="5">
        <f>'1 datos preparados'!U28</f>
        <v/>
      </c>
      <c r="C35">
        <f>'1 datos preparados'!B28</f>
        <v/>
      </c>
      <c r="D35" s="7">
        <f>'1 datos preparados'!C28</f>
        <v/>
      </c>
      <c r="E35" s="7">
        <f>'1 datos preparados'!D28</f>
        <v/>
      </c>
      <c r="F35" s="7">
        <f>'1 datos preparados'!E28</f>
        <v/>
      </c>
      <c r="G35" s="7">
        <f>'1 datos preparados'!F28</f>
        <v/>
      </c>
      <c r="H35" s="7">
        <f>'1 datos preparados'!G28</f>
        <v/>
      </c>
      <c r="I35" s="7">
        <f>'1 datos preparados'!H28</f>
        <v/>
      </c>
      <c r="J35" s="7">
        <f>'1 datos preparados'!I28</f>
        <v/>
      </c>
      <c r="K35" s="7">
        <f>'1 datos preparados'!J28</f>
        <v/>
      </c>
      <c r="L35" s="7">
        <f>'1 datos preparados'!K28</f>
        <v/>
      </c>
      <c r="M35" s="7">
        <f>'1 datos preparados'!L28</f>
        <v/>
      </c>
      <c r="N35" s="7">
        <f>'1 datos preparados'!M28</f>
        <v/>
      </c>
      <c r="O35" s="7">
        <f>'1 datos preparados'!N28</f>
        <v/>
      </c>
      <c r="P35" s="7">
        <f>'1 datos preparados'!O28</f>
        <v/>
      </c>
      <c r="Q35" s="7">
        <f>'1 datos preparados'!P28</f>
        <v/>
      </c>
      <c r="R35" s="7">
        <f>'1 datos preparados'!Q28</f>
        <v/>
      </c>
      <c r="S35" s="7">
        <f>'1 datos preparados'!R28</f>
        <v/>
      </c>
      <c r="T35" s="7">
        <f>'1 datos preparados'!S28</f>
        <v/>
      </c>
      <c r="U35" s="7">
        <f>'1 datos preparados'!T28</f>
        <v/>
      </c>
      <c r="V35" s="8">
        <f>$AE$12+D35*$AE$13+E35*$AE$14+F35*$AE$15+G35*$AE$16+H35*$AE$17+I35*$AE$18+J35*$AE$19+K35*$AE$20+L35*$AE$21+M35*$AE$22+N35*$AE$23+O35*$AE$24+P35*$AE$25+Q35*$AE$26+R35*$AE$27+S35*$AE$28+T35*$AE$29+U35*$AE$30</f>
        <v/>
      </c>
      <c r="W35" s="8">
        <f>1/(1+EXP(-V35))</f>
        <v/>
      </c>
      <c r="X35" s="9">
        <f>-IF(C35=1,LN(W35),LN(1-W35))</f>
        <v/>
      </c>
      <c r="Y35" s="8">
        <f>1</f>
        <v/>
      </c>
      <c r="Z35" s="9">
        <f>Y35*X35</f>
        <v/>
      </c>
      <c r="AA35" s="10">
        <f>IF(W35&gt;$AE$32,1,0)</f>
        <v/>
      </c>
      <c r="AB35">
        <f>IF(AA35=C35,1,0)</f>
        <v/>
      </c>
      <c r="AD35" t="inlineStr">
        <is>
          <t>J = suma de pérdidas ponderadas en training (OBJETIVO DE SOLVER)</t>
        </is>
      </c>
      <c r="AE35" s="16">
        <f>SUMPRODUCT(($B$12:$B$1011="training")*$Z$12:$Z$1011)</f>
        <v/>
      </c>
    </row>
    <row r="36">
      <c r="A36">
        <f>'1 datos preparados'!A29</f>
        <v/>
      </c>
      <c r="B36" s="5">
        <f>'1 datos preparados'!U29</f>
        <v/>
      </c>
      <c r="C36">
        <f>'1 datos preparados'!B29</f>
        <v/>
      </c>
      <c r="D36" s="7">
        <f>'1 datos preparados'!C29</f>
        <v/>
      </c>
      <c r="E36" s="7">
        <f>'1 datos preparados'!D29</f>
        <v/>
      </c>
      <c r="F36" s="7">
        <f>'1 datos preparados'!E29</f>
        <v/>
      </c>
      <c r="G36" s="7">
        <f>'1 datos preparados'!F29</f>
        <v/>
      </c>
      <c r="H36" s="7">
        <f>'1 datos preparados'!G29</f>
        <v/>
      </c>
      <c r="I36" s="7">
        <f>'1 datos preparados'!H29</f>
        <v/>
      </c>
      <c r="J36" s="7">
        <f>'1 datos preparados'!I29</f>
        <v/>
      </c>
      <c r="K36" s="7">
        <f>'1 datos preparados'!J29</f>
        <v/>
      </c>
      <c r="L36" s="7">
        <f>'1 datos preparados'!K29</f>
        <v/>
      </c>
      <c r="M36" s="7">
        <f>'1 datos preparados'!L29</f>
        <v/>
      </c>
      <c r="N36" s="7">
        <f>'1 datos preparados'!M29</f>
        <v/>
      </c>
      <c r="O36" s="7">
        <f>'1 datos preparados'!N29</f>
        <v/>
      </c>
      <c r="P36" s="7">
        <f>'1 datos preparados'!O29</f>
        <v/>
      </c>
      <c r="Q36" s="7">
        <f>'1 datos preparados'!P29</f>
        <v/>
      </c>
      <c r="R36" s="7">
        <f>'1 datos preparados'!Q29</f>
        <v/>
      </c>
      <c r="S36" s="7">
        <f>'1 datos preparados'!R29</f>
        <v/>
      </c>
      <c r="T36" s="7">
        <f>'1 datos preparados'!S29</f>
        <v/>
      </c>
      <c r="U36" s="7">
        <f>'1 datos preparados'!T29</f>
        <v/>
      </c>
      <c r="V36" s="8">
        <f>$AE$12+D36*$AE$13+E36*$AE$14+F36*$AE$15+G36*$AE$16+H36*$AE$17+I36*$AE$18+J36*$AE$19+K36*$AE$20+L36*$AE$21+M36*$AE$22+N36*$AE$23+O36*$AE$24+P36*$AE$25+Q36*$AE$26+R36*$AE$27+S36*$AE$28+T36*$AE$29+U36*$AE$30</f>
        <v/>
      </c>
      <c r="W36" s="8">
        <f>1/(1+EXP(-V36))</f>
        <v/>
      </c>
      <c r="X36" s="9">
        <f>-IF(C36=1,LN(W36),LN(1-W36))</f>
        <v/>
      </c>
      <c r="Y36" s="8">
        <f>1</f>
        <v/>
      </c>
      <c r="Z36" s="9">
        <f>Y36*X36</f>
        <v/>
      </c>
      <c r="AA36" s="10">
        <f>IF(W36&gt;$AE$32,1,0)</f>
        <v/>
      </c>
      <c r="AB36">
        <f>IF(AA36=C36,1,0)</f>
        <v/>
      </c>
      <c r="AD36" t="inlineStr">
        <is>
          <t>suma de pesos de fila en training</t>
        </is>
      </c>
      <c r="AE36" s="17">
        <f>SUMPRODUCT(($B$12:$B$1011="training")*$Y$12:$Y$1011)</f>
        <v/>
      </c>
    </row>
    <row r="37">
      <c r="A37">
        <f>'1 datos preparados'!A30</f>
        <v/>
      </c>
      <c r="B37" s="5">
        <f>'1 datos preparados'!U30</f>
        <v/>
      </c>
      <c r="C37">
        <f>'1 datos preparados'!B30</f>
        <v/>
      </c>
      <c r="D37" s="7">
        <f>'1 datos preparados'!C30</f>
        <v/>
      </c>
      <c r="E37" s="7">
        <f>'1 datos preparados'!D30</f>
        <v/>
      </c>
      <c r="F37" s="7">
        <f>'1 datos preparados'!E30</f>
        <v/>
      </c>
      <c r="G37" s="7">
        <f>'1 datos preparados'!F30</f>
        <v/>
      </c>
      <c r="H37" s="7">
        <f>'1 datos preparados'!G30</f>
        <v/>
      </c>
      <c r="I37" s="7">
        <f>'1 datos preparados'!H30</f>
        <v/>
      </c>
      <c r="J37" s="7">
        <f>'1 datos preparados'!I30</f>
        <v/>
      </c>
      <c r="K37" s="7">
        <f>'1 datos preparados'!J30</f>
        <v/>
      </c>
      <c r="L37" s="7">
        <f>'1 datos preparados'!K30</f>
        <v/>
      </c>
      <c r="M37" s="7">
        <f>'1 datos preparados'!L30</f>
        <v/>
      </c>
      <c r="N37" s="7">
        <f>'1 datos preparados'!M30</f>
        <v/>
      </c>
      <c r="O37" s="7">
        <f>'1 datos preparados'!N30</f>
        <v/>
      </c>
      <c r="P37" s="7">
        <f>'1 datos preparados'!O30</f>
        <v/>
      </c>
      <c r="Q37" s="7">
        <f>'1 datos preparados'!P30</f>
        <v/>
      </c>
      <c r="R37" s="7">
        <f>'1 datos preparados'!Q30</f>
        <v/>
      </c>
      <c r="S37" s="7">
        <f>'1 datos preparados'!R30</f>
        <v/>
      </c>
      <c r="T37" s="7">
        <f>'1 datos preparados'!S30</f>
        <v/>
      </c>
      <c r="U37" s="7">
        <f>'1 datos preparados'!T30</f>
        <v/>
      </c>
      <c r="V37" s="8">
        <f>$AE$12+D37*$AE$13+E37*$AE$14+F37*$AE$15+G37*$AE$16+H37*$AE$17+I37*$AE$18+J37*$AE$19+K37*$AE$20+L37*$AE$21+M37*$AE$22+N37*$AE$23+O37*$AE$24+P37*$AE$25+Q37*$AE$26+R37*$AE$27+S37*$AE$28+T37*$AE$29+U37*$AE$30</f>
        <v/>
      </c>
      <c r="W37" s="8">
        <f>1/(1+EXP(-V37))</f>
        <v/>
      </c>
      <c r="X37" s="9">
        <f>-IF(C37=1,LN(W37),LN(1-W37))</f>
        <v/>
      </c>
      <c r="Y37" s="8">
        <f>1</f>
        <v/>
      </c>
      <c r="Z37" s="9">
        <f>Y37*X37</f>
        <v/>
      </c>
      <c r="AA37" s="10">
        <f>IF(W37&gt;$AE$32,1,0)</f>
        <v/>
      </c>
      <c r="AB37">
        <f>IF(AA37=C37,1,0)</f>
        <v/>
      </c>
      <c r="AD37" t="inlineStr">
        <is>
          <t>de la cual, clase 1</t>
        </is>
      </c>
      <c r="AE37" s="17">
        <f>SUMPRODUCT(($B$12:$B$1011="training")*($C$12:$C$1011=1)*$Y$12:$Y$1011)</f>
        <v/>
      </c>
    </row>
    <row r="38">
      <c r="A38">
        <f>'1 datos preparados'!A31</f>
        <v/>
      </c>
      <c r="B38" s="5">
        <f>'1 datos preparados'!U31</f>
        <v/>
      </c>
      <c r="C38">
        <f>'1 datos preparados'!B31</f>
        <v/>
      </c>
      <c r="D38" s="7">
        <f>'1 datos preparados'!C31</f>
        <v/>
      </c>
      <c r="E38" s="7">
        <f>'1 datos preparados'!D31</f>
        <v/>
      </c>
      <c r="F38" s="7">
        <f>'1 datos preparados'!E31</f>
        <v/>
      </c>
      <c r="G38" s="7">
        <f>'1 datos preparados'!F31</f>
        <v/>
      </c>
      <c r="H38" s="7">
        <f>'1 datos preparados'!G31</f>
        <v/>
      </c>
      <c r="I38" s="7">
        <f>'1 datos preparados'!H31</f>
        <v/>
      </c>
      <c r="J38" s="7">
        <f>'1 datos preparados'!I31</f>
        <v/>
      </c>
      <c r="K38" s="7">
        <f>'1 datos preparados'!J31</f>
        <v/>
      </c>
      <c r="L38" s="7">
        <f>'1 datos preparados'!K31</f>
        <v/>
      </c>
      <c r="M38" s="7">
        <f>'1 datos preparados'!L31</f>
        <v/>
      </c>
      <c r="N38" s="7">
        <f>'1 datos preparados'!M31</f>
        <v/>
      </c>
      <c r="O38" s="7">
        <f>'1 datos preparados'!N31</f>
        <v/>
      </c>
      <c r="P38" s="7">
        <f>'1 datos preparados'!O31</f>
        <v/>
      </c>
      <c r="Q38" s="7">
        <f>'1 datos preparados'!P31</f>
        <v/>
      </c>
      <c r="R38" s="7">
        <f>'1 datos preparados'!Q31</f>
        <v/>
      </c>
      <c r="S38" s="7">
        <f>'1 datos preparados'!R31</f>
        <v/>
      </c>
      <c r="T38" s="7">
        <f>'1 datos preparados'!S31</f>
        <v/>
      </c>
      <c r="U38" s="7">
        <f>'1 datos preparados'!T31</f>
        <v/>
      </c>
      <c r="V38" s="8">
        <f>$AE$12+D38*$AE$13+E38*$AE$14+F38*$AE$15+G38*$AE$16+H38*$AE$17+I38*$AE$18+J38*$AE$19+K38*$AE$20+L38*$AE$21+M38*$AE$22+N38*$AE$23+O38*$AE$24+P38*$AE$25+Q38*$AE$26+R38*$AE$27+S38*$AE$28+T38*$AE$29+U38*$AE$30</f>
        <v/>
      </c>
      <c r="W38" s="8">
        <f>1/(1+EXP(-V38))</f>
        <v/>
      </c>
      <c r="X38" s="9">
        <f>-IF(C38=1,LN(W38),LN(1-W38))</f>
        <v/>
      </c>
      <c r="Y38" s="8">
        <f>1</f>
        <v/>
      </c>
      <c r="Z38" s="9">
        <f>Y38*X38</f>
        <v/>
      </c>
      <c r="AA38" s="10">
        <f>IF(W38&gt;$AE$32,1,0)</f>
        <v/>
      </c>
      <c r="AB38">
        <f>IF(AA38=C38,1,0)</f>
        <v/>
      </c>
      <c r="AD38" t="inlineStr">
        <is>
          <t>de la cual, clase 0</t>
        </is>
      </c>
      <c r="AE38" s="17">
        <f>SUMPRODUCT(($B$12:$B$1011="training")*($C$12:$C$1011=0)*$Y$12:$Y$1011)</f>
        <v/>
      </c>
    </row>
    <row r="39">
      <c r="A39">
        <f>'1 datos preparados'!A32</f>
        <v/>
      </c>
      <c r="B39" s="5">
        <f>'1 datos preparados'!U32</f>
        <v/>
      </c>
      <c r="C39">
        <f>'1 datos preparados'!B32</f>
        <v/>
      </c>
      <c r="D39" s="7">
        <f>'1 datos preparados'!C32</f>
        <v/>
      </c>
      <c r="E39" s="7">
        <f>'1 datos preparados'!D32</f>
        <v/>
      </c>
      <c r="F39" s="7">
        <f>'1 datos preparados'!E32</f>
        <v/>
      </c>
      <c r="G39" s="7">
        <f>'1 datos preparados'!F32</f>
        <v/>
      </c>
      <c r="H39" s="7">
        <f>'1 datos preparados'!G32</f>
        <v/>
      </c>
      <c r="I39" s="7">
        <f>'1 datos preparados'!H32</f>
        <v/>
      </c>
      <c r="J39" s="7">
        <f>'1 datos preparados'!I32</f>
        <v/>
      </c>
      <c r="K39" s="7">
        <f>'1 datos preparados'!J32</f>
        <v/>
      </c>
      <c r="L39" s="7">
        <f>'1 datos preparados'!K32</f>
        <v/>
      </c>
      <c r="M39" s="7">
        <f>'1 datos preparados'!L32</f>
        <v/>
      </c>
      <c r="N39" s="7">
        <f>'1 datos preparados'!M32</f>
        <v/>
      </c>
      <c r="O39" s="7">
        <f>'1 datos preparados'!N32</f>
        <v/>
      </c>
      <c r="P39" s="7">
        <f>'1 datos preparados'!O32</f>
        <v/>
      </c>
      <c r="Q39" s="7">
        <f>'1 datos preparados'!P32</f>
        <v/>
      </c>
      <c r="R39" s="7">
        <f>'1 datos preparados'!Q32</f>
        <v/>
      </c>
      <c r="S39" s="7">
        <f>'1 datos preparados'!R32</f>
        <v/>
      </c>
      <c r="T39" s="7">
        <f>'1 datos preparados'!S32</f>
        <v/>
      </c>
      <c r="U39" s="7">
        <f>'1 datos preparados'!T32</f>
        <v/>
      </c>
      <c r="V39" s="8">
        <f>$AE$12+D39*$AE$13+E39*$AE$14+F39*$AE$15+G39*$AE$16+H39*$AE$17+I39*$AE$18+J39*$AE$19+K39*$AE$20+L39*$AE$21+M39*$AE$22+N39*$AE$23+O39*$AE$24+P39*$AE$25+Q39*$AE$26+R39*$AE$27+S39*$AE$28+T39*$AE$29+U39*$AE$30</f>
        <v/>
      </c>
      <c r="W39" s="8">
        <f>1/(1+EXP(-V39))</f>
        <v/>
      </c>
      <c r="X39" s="9">
        <f>-IF(C39=1,LN(W39),LN(1-W39))</f>
        <v/>
      </c>
      <c r="Y39" s="8">
        <f>1</f>
        <v/>
      </c>
      <c r="Z39" s="9">
        <f>Y39*X39</f>
        <v/>
      </c>
      <c r="AA39" s="10">
        <f>IF(W39&gt;$AE$32,1,0)</f>
        <v/>
      </c>
      <c r="AB39">
        <f>IF(AA39=C39,1,0)</f>
        <v/>
      </c>
      <c r="AD39" t="inlineStr">
        <is>
          <t>pérdida promedio testing (sin ponderar)</t>
        </is>
      </c>
      <c r="AE39" s="18">
        <f>SUMPRODUCT(($B$12:$B$1011="testing")*$X$12:$X$1011)/COUNTIF($B$12:$B$1011,"testing")</f>
        <v/>
      </c>
    </row>
    <row r="40">
      <c r="A40">
        <f>'1 datos preparados'!A33</f>
        <v/>
      </c>
      <c r="B40" s="5">
        <f>'1 datos preparados'!U33</f>
        <v/>
      </c>
      <c r="C40">
        <f>'1 datos preparados'!B33</f>
        <v/>
      </c>
      <c r="D40" s="7">
        <f>'1 datos preparados'!C33</f>
        <v/>
      </c>
      <c r="E40" s="7">
        <f>'1 datos preparados'!D33</f>
        <v/>
      </c>
      <c r="F40" s="7">
        <f>'1 datos preparados'!E33</f>
        <v/>
      </c>
      <c r="G40" s="7">
        <f>'1 datos preparados'!F33</f>
        <v/>
      </c>
      <c r="H40" s="7">
        <f>'1 datos preparados'!G33</f>
        <v/>
      </c>
      <c r="I40" s="7">
        <f>'1 datos preparados'!H33</f>
        <v/>
      </c>
      <c r="J40" s="7">
        <f>'1 datos preparados'!I33</f>
        <v/>
      </c>
      <c r="K40" s="7">
        <f>'1 datos preparados'!J33</f>
        <v/>
      </c>
      <c r="L40" s="7">
        <f>'1 datos preparados'!K33</f>
        <v/>
      </c>
      <c r="M40" s="7">
        <f>'1 datos preparados'!L33</f>
        <v/>
      </c>
      <c r="N40" s="7">
        <f>'1 datos preparados'!M33</f>
        <v/>
      </c>
      <c r="O40" s="7">
        <f>'1 datos preparados'!N33</f>
        <v/>
      </c>
      <c r="P40" s="7">
        <f>'1 datos preparados'!O33</f>
        <v/>
      </c>
      <c r="Q40" s="7">
        <f>'1 datos preparados'!P33</f>
        <v/>
      </c>
      <c r="R40" s="7">
        <f>'1 datos preparados'!Q33</f>
        <v/>
      </c>
      <c r="S40" s="7">
        <f>'1 datos preparados'!R33</f>
        <v/>
      </c>
      <c r="T40" s="7">
        <f>'1 datos preparados'!S33</f>
        <v/>
      </c>
      <c r="U40" s="7">
        <f>'1 datos preparados'!T33</f>
        <v/>
      </c>
      <c r="V40" s="8">
        <f>$AE$12+D40*$AE$13+E40*$AE$14+F40*$AE$15+G40*$AE$16+H40*$AE$17+I40*$AE$18+J40*$AE$19+K40*$AE$20+L40*$AE$21+M40*$AE$22+N40*$AE$23+O40*$AE$24+P40*$AE$25+Q40*$AE$26+R40*$AE$27+S40*$AE$28+T40*$AE$29+U40*$AE$30</f>
        <v/>
      </c>
      <c r="W40" s="8">
        <f>1/(1+EXP(-V40))</f>
        <v/>
      </c>
      <c r="X40" s="9">
        <f>-IF(C40=1,LN(W40),LN(1-W40))</f>
        <v/>
      </c>
      <c r="Y40" s="8">
        <f>1</f>
        <v/>
      </c>
      <c r="Z40" s="9">
        <f>Y40*X40</f>
        <v/>
      </c>
      <c r="AA40" s="10">
        <f>IF(W40&gt;$AE$32,1,0)</f>
        <v/>
      </c>
      <c r="AB40">
        <f>IF(AA40=C40,1,0)</f>
        <v/>
      </c>
      <c r="AD40" t="inlineStr">
        <is>
          <t>p promedio en testing (la tasa real es 0,300)</t>
        </is>
      </c>
      <c r="AE40" s="14">
        <f>SUMPRODUCT(($B$12:$B$1011="testing")*$W$12:$W$1011)/COUNTIF($B$12:$B$1011,"testing")</f>
        <v/>
      </c>
    </row>
    <row r="41">
      <c r="A41">
        <f>'1 datos preparados'!A34</f>
        <v/>
      </c>
      <c r="B41" s="5">
        <f>'1 datos preparados'!U34</f>
        <v/>
      </c>
      <c r="C41">
        <f>'1 datos preparados'!B34</f>
        <v/>
      </c>
      <c r="D41" s="7">
        <f>'1 datos preparados'!C34</f>
        <v/>
      </c>
      <c r="E41" s="7">
        <f>'1 datos preparados'!D34</f>
        <v/>
      </c>
      <c r="F41" s="7">
        <f>'1 datos preparados'!E34</f>
        <v/>
      </c>
      <c r="G41" s="7">
        <f>'1 datos preparados'!F34</f>
        <v/>
      </c>
      <c r="H41" s="7">
        <f>'1 datos preparados'!G34</f>
        <v/>
      </c>
      <c r="I41" s="7">
        <f>'1 datos preparados'!H34</f>
        <v/>
      </c>
      <c r="J41" s="7">
        <f>'1 datos preparados'!I34</f>
        <v/>
      </c>
      <c r="K41" s="7">
        <f>'1 datos preparados'!J34</f>
        <v/>
      </c>
      <c r="L41" s="7">
        <f>'1 datos preparados'!K34</f>
        <v/>
      </c>
      <c r="M41" s="7">
        <f>'1 datos preparados'!L34</f>
        <v/>
      </c>
      <c r="N41" s="7">
        <f>'1 datos preparados'!M34</f>
        <v/>
      </c>
      <c r="O41" s="7">
        <f>'1 datos preparados'!N34</f>
        <v/>
      </c>
      <c r="P41" s="7">
        <f>'1 datos preparados'!O34</f>
        <v/>
      </c>
      <c r="Q41" s="7">
        <f>'1 datos preparados'!P34</f>
        <v/>
      </c>
      <c r="R41" s="7">
        <f>'1 datos preparados'!Q34</f>
        <v/>
      </c>
      <c r="S41" s="7">
        <f>'1 datos preparados'!R34</f>
        <v/>
      </c>
      <c r="T41" s="7">
        <f>'1 datos preparados'!S34</f>
        <v/>
      </c>
      <c r="U41" s="7">
        <f>'1 datos preparados'!T34</f>
        <v/>
      </c>
      <c r="V41" s="8">
        <f>$AE$12+D41*$AE$13+E41*$AE$14+F41*$AE$15+G41*$AE$16+H41*$AE$17+I41*$AE$18+J41*$AE$19+K41*$AE$20+L41*$AE$21+M41*$AE$22+N41*$AE$23+O41*$AE$24+P41*$AE$25+Q41*$AE$26+R41*$AE$27+S41*$AE$28+T41*$AE$29+U41*$AE$30</f>
        <v/>
      </c>
      <c r="W41" s="8">
        <f>1/(1+EXP(-V41))</f>
        <v/>
      </c>
      <c r="X41" s="9">
        <f>-IF(C41=1,LN(W41),LN(1-W41))</f>
        <v/>
      </c>
      <c r="Y41" s="8">
        <f>1</f>
        <v/>
      </c>
      <c r="Z41" s="9">
        <f>Y41*X41</f>
        <v/>
      </c>
      <c r="AA41" s="10">
        <f>IF(W41&gt;$AE$32,1,0)</f>
        <v/>
      </c>
      <c r="AB41">
        <f>IF(AA41=C41,1,0)</f>
        <v/>
      </c>
      <c r="AD41" t="inlineStr">
        <is>
          <t>acierto testing</t>
        </is>
      </c>
      <c r="AE41" s="19">
        <f>SUMPRODUCT(($B$12:$B$1011="testing")*$AB$12:$AB$1011)/COUNTIF($B$12:$B$1011,"testing")</f>
        <v/>
      </c>
    </row>
    <row r="42">
      <c r="A42">
        <f>'1 datos preparados'!A35</f>
        <v/>
      </c>
      <c r="B42" s="5">
        <f>'1 datos preparados'!U35</f>
        <v/>
      </c>
      <c r="C42">
        <f>'1 datos preparados'!B35</f>
        <v/>
      </c>
      <c r="D42" s="7">
        <f>'1 datos preparados'!C35</f>
        <v/>
      </c>
      <c r="E42" s="7">
        <f>'1 datos preparados'!D35</f>
        <v/>
      </c>
      <c r="F42" s="7">
        <f>'1 datos preparados'!E35</f>
        <v/>
      </c>
      <c r="G42" s="7">
        <f>'1 datos preparados'!F35</f>
        <v/>
      </c>
      <c r="H42" s="7">
        <f>'1 datos preparados'!G35</f>
        <v/>
      </c>
      <c r="I42" s="7">
        <f>'1 datos preparados'!H35</f>
        <v/>
      </c>
      <c r="J42" s="7">
        <f>'1 datos preparados'!I35</f>
        <v/>
      </c>
      <c r="K42" s="7">
        <f>'1 datos preparados'!J35</f>
        <v/>
      </c>
      <c r="L42" s="7">
        <f>'1 datos preparados'!K35</f>
        <v/>
      </c>
      <c r="M42" s="7">
        <f>'1 datos preparados'!L35</f>
        <v/>
      </c>
      <c r="N42" s="7">
        <f>'1 datos preparados'!M35</f>
        <v/>
      </c>
      <c r="O42" s="7">
        <f>'1 datos preparados'!N35</f>
        <v/>
      </c>
      <c r="P42" s="7">
        <f>'1 datos preparados'!O35</f>
        <v/>
      </c>
      <c r="Q42" s="7">
        <f>'1 datos preparados'!P35</f>
        <v/>
      </c>
      <c r="R42" s="7">
        <f>'1 datos preparados'!Q35</f>
        <v/>
      </c>
      <c r="S42" s="7">
        <f>'1 datos preparados'!R35</f>
        <v/>
      </c>
      <c r="T42" s="7">
        <f>'1 datos preparados'!S35</f>
        <v/>
      </c>
      <c r="U42" s="7">
        <f>'1 datos preparados'!T35</f>
        <v/>
      </c>
      <c r="V42" s="8">
        <f>$AE$12+D42*$AE$13+E42*$AE$14+F42*$AE$15+G42*$AE$16+H42*$AE$17+I42*$AE$18+J42*$AE$19+K42*$AE$20+L42*$AE$21+M42*$AE$22+N42*$AE$23+O42*$AE$24+P42*$AE$25+Q42*$AE$26+R42*$AE$27+S42*$AE$28+T42*$AE$29+U42*$AE$30</f>
        <v/>
      </c>
      <c r="W42" s="8">
        <f>1/(1+EXP(-V42))</f>
        <v/>
      </c>
      <c r="X42" s="9">
        <f>-IF(C42=1,LN(W42),LN(1-W42))</f>
        <v/>
      </c>
      <c r="Y42" s="8">
        <f>1</f>
        <v/>
      </c>
      <c r="Z42" s="9">
        <f>Y42*X42</f>
        <v/>
      </c>
      <c r="AA42" s="10">
        <f>IF(W42&gt;$AE$32,1,0)</f>
        <v/>
      </c>
      <c r="AB42">
        <f>IF(AA42=C42,1,0)</f>
        <v/>
      </c>
      <c r="AD42" t="inlineStr">
        <is>
          <t>referencia scikit-learn: recall clase 1 en testing (umbral 0,5)</t>
        </is>
      </c>
      <c r="AE42" s="6" t="n">
        <v>0.5666666666666667</v>
      </c>
    </row>
    <row r="43">
      <c r="A43">
        <f>'1 datos preparados'!A36</f>
        <v/>
      </c>
      <c r="B43" s="5">
        <f>'1 datos preparados'!U36</f>
        <v/>
      </c>
      <c r="C43">
        <f>'1 datos preparados'!B36</f>
        <v/>
      </c>
      <c r="D43" s="7">
        <f>'1 datos preparados'!C36</f>
        <v/>
      </c>
      <c r="E43" s="7">
        <f>'1 datos preparados'!D36</f>
        <v/>
      </c>
      <c r="F43" s="7">
        <f>'1 datos preparados'!E36</f>
        <v/>
      </c>
      <c r="G43" s="7">
        <f>'1 datos preparados'!F36</f>
        <v/>
      </c>
      <c r="H43" s="7">
        <f>'1 datos preparados'!G36</f>
        <v/>
      </c>
      <c r="I43" s="7">
        <f>'1 datos preparados'!H36</f>
        <v/>
      </c>
      <c r="J43" s="7">
        <f>'1 datos preparados'!I36</f>
        <v/>
      </c>
      <c r="K43" s="7">
        <f>'1 datos preparados'!J36</f>
        <v/>
      </c>
      <c r="L43" s="7">
        <f>'1 datos preparados'!K36</f>
        <v/>
      </c>
      <c r="M43" s="7">
        <f>'1 datos preparados'!L36</f>
        <v/>
      </c>
      <c r="N43" s="7">
        <f>'1 datos preparados'!M36</f>
        <v/>
      </c>
      <c r="O43" s="7">
        <f>'1 datos preparados'!N36</f>
        <v/>
      </c>
      <c r="P43" s="7">
        <f>'1 datos preparados'!O36</f>
        <v/>
      </c>
      <c r="Q43" s="7">
        <f>'1 datos preparados'!P36</f>
        <v/>
      </c>
      <c r="R43" s="7">
        <f>'1 datos preparados'!Q36</f>
        <v/>
      </c>
      <c r="S43" s="7">
        <f>'1 datos preparados'!R36</f>
        <v/>
      </c>
      <c r="T43" s="7">
        <f>'1 datos preparados'!S36</f>
        <v/>
      </c>
      <c r="U43" s="7">
        <f>'1 datos preparados'!T36</f>
        <v/>
      </c>
      <c r="V43" s="8">
        <f>$AE$12+D43*$AE$13+E43*$AE$14+F43*$AE$15+G43*$AE$16+H43*$AE$17+I43*$AE$18+J43*$AE$19+K43*$AE$20+L43*$AE$21+M43*$AE$22+N43*$AE$23+O43*$AE$24+P43*$AE$25+Q43*$AE$26+R43*$AE$27+S43*$AE$28+T43*$AE$29+U43*$AE$30</f>
        <v/>
      </c>
      <c r="W43" s="8">
        <f>1/(1+EXP(-V43))</f>
        <v/>
      </c>
      <c r="X43" s="9">
        <f>-IF(C43=1,LN(W43),LN(1-W43))</f>
        <v/>
      </c>
      <c r="Y43" s="8">
        <f>1</f>
        <v/>
      </c>
      <c r="Z43" s="9">
        <f>Y43*X43</f>
        <v/>
      </c>
      <c r="AA43" s="10">
        <f>IF(W43&gt;$AE$32,1,0)</f>
        <v/>
      </c>
      <c r="AB43">
        <f>IF(AA43=C43,1,0)</f>
        <v/>
      </c>
      <c r="AD43" t="inlineStr">
        <is>
          <t>referencia scikit-learn: precision clase 1 en testing</t>
        </is>
      </c>
      <c r="AE43" s="6" t="n">
        <v>0.6538461538461539</v>
      </c>
    </row>
    <row r="44">
      <c r="A44">
        <f>'1 datos preparados'!A37</f>
        <v/>
      </c>
      <c r="B44" s="5">
        <f>'1 datos preparados'!U37</f>
        <v/>
      </c>
      <c r="C44">
        <f>'1 datos preparados'!B37</f>
        <v/>
      </c>
      <c r="D44" s="7">
        <f>'1 datos preparados'!C37</f>
        <v/>
      </c>
      <c r="E44" s="7">
        <f>'1 datos preparados'!D37</f>
        <v/>
      </c>
      <c r="F44" s="7">
        <f>'1 datos preparados'!E37</f>
        <v/>
      </c>
      <c r="G44" s="7">
        <f>'1 datos preparados'!F37</f>
        <v/>
      </c>
      <c r="H44" s="7">
        <f>'1 datos preparados'!G37</f>
        <v/>
      </c>
      <c r="I44" s="7">
        <f>'1 datos preparados'!H37</f>
        <v/>
      </c>
      <c r="J44" s="7">
        <f>'1 datos preparados'!I37</f>
        <v/>
      </c>
      <c r="K44" s="7">
        <f>'1 datos preparados'!J37</f>
        <v/>
      </c>
      <c r="L44" s="7">
        <f>'1 datos preparados'!K37</f>
        <v/>
      </c>
      <c r="M44" s="7">
        <f>'1 datos preparados'!L37</f>
        <v/>
      </c>
      <c r="N44" s="7">
        <f>'1 datos preparados'!M37</f>
        <v/>
      </c>
      <c r="O44" s="7">
        <f>'1 datos preparados'!N37</f>
        <v/>
      </c>
      <c r="P44" s="7">
        <f>'1 datos preparados'!O37</f>
        <v/>
      </c>
      <c r="Q44" s="7">
        <f>'1 datos preparados'!P37</f>
        <v/>
      </c>
      <c r="R44" s="7">
        <f>'1 datos preparados'!Q37</f>
        <v/>
      </c>
      <c r="S44" s="7">
        <f>'1 datos preparados'!R37</f>
        <v/>
      </c>
      <c r="T44" s="7">
        <f>'1 datos preparados'!S37</f>
        <v/>
      </c>
      <c r="U44" s="7">
        <f>'1 datos preparados'!T37</f>
        <v/>
      </c>
      <c r="V44" s="8">
        <f>$AE$12+D44*$AE$13+E44*$AE$14+F44*$AE$15+G44*$AE$16+H44*$AE$17+I44*$AE$18+J44*$AE$19+K44*$AE$20+L44*$AE$21+M44*$AE$22+N44*$AE$23+O44*$AE$24+P44*$AE$25+Q44*$AE$26+R44*$AE$27+S44*$AE$28+T44*$AE$29+U44*$AE$30</f>
        <v/>
      </c>
      <c r="W44" s="8">
        <f>1/(1+EXP(-V44))</f>
        <v/>
      </c>
      <c r="X44" s="9">
        <f>-IF(C44=1,LN(W44),LN(1-W44))</f>
        <v/>
      </c>
      <c r="Y44" s="8">
        <f>1</f>
        <v/>
      </c>
      <c r="Z44" s="9">
        <f>Y44*X44</f>
        <v/>
      </c>
      <c r="AA44" s="10">
        <f>IF(W44&gt;$AE$32,1,0)</f>
        <v/>
      </c>
      <c r="AB44">
        <f>IF(AA44=C44,1,0)</f>
        <v/>
      </c>
      <c r="AD44" t="inlineStr">
        <is>
          <t>referencia scikit-learn: AUC testing</t>
        </is>
      </c>
      <c r="AE44" s="6" t="n">
        <v>0.8216931216931216</v>
      </c>
    </row>
    <row r="45">
      <c r="A45">
        <f>'1 datos preparados'!A38</f>
        <v/>
      </c>
      <c r="B45" s="5">
        <f>'1 datos preparados'!U38</f>
        <v/>
      </c>
      <c r="C45">
        <f>'1 datos preparados'!B38</f>
        <v/>
      </c>
      <c r="D45" s="7">
        <f>'1 datos preparados'!C38</f>
        <v/>
      </c>
      <c r="E45" s="7">
        <f>'1 datos preparados'!D38</f>
        <v/>
      </c>
      <c r="F45" s="7">
        <f>'1 datos preparados'!E38</f>
        <v/>
      </c>
      <c r="G45" s="7">
        <f>'1 datos preparados'!F38</f>
        <v/>
      </c>
      <c r="H45" s="7">
        <f>'1 datos preparados'!G38</f>
        <v/>
      </c>
      <c r="I45" s="7">
        <f>'1 datos preparados'!H38</f>
        <v/>
      </c>
      <c r="J45" s="7">
        <f>'1 datos preparados'!I38</f>
        <v/>
      </c>
      <c r="K45" s="7">
        <f>'1 datos preparados'!J38</f>
        <v/>
      </c>
      <c r="L45" s="7">
        <f>'1 datos preparados'!K38</f>
        <v/>
      </c>
      <c r="M45" s="7">
        <f>'1 datos preparados'!L38</f>
        <v/>
      </c>
      <c r="N45" s="7">
        <f>'1 datos preparados'!M38</f>
        <v/>
      </c>
      <c r="O45" s="7">
        <f>'1 datos preparados'!N38</f>
        <v/>
      </c>
      <c r="P45" s="7">
        <f>'1 datos preparados'!O38</f>
        <v/>
      </c>
      <c r="Q45" s="7">
        <f>'1 datos preparados'!P38</f>
        <v/>
      </c>
      <c r="R45" s="7">
        <f>'1 datos preparados'!Q38</f>
        <v/>
      </c>
      <c r="S45" s="7">
        <f>'1 datos preparados'!R38</f>
        <v/>
      </c>
      <c r="T45" s="7">
        <f>'1 datos preparados'!S38</f>
        <v/>
      </c>
      <c r="U45" s="7">
        <f>'1 datos preparados'!T38</f>
        <v/>
      </c>
      <c r="V45" s="8">
        <f>$AE$12+D45*$AE$13+E45*$AE$14+F45*$AE$15+G45*$AE$16+H45*$AE$17+I45*$AE$18+J45*$AE$19+K45*$AE$20+L45*$AE$21+M45*$AE$22+N45*$AE$23+O45*$AE$24+P45*$AE$25+Q45*$AE$26+R45*$AE$27+S45*$AE$28+T45*$AE$29+U45*$AE$30</f>
        <v/>
      </c>
      <c r="W45" s="8">
        <f>1/(1+EXP(-V45))</f>
        <v/>
      </c>
      <c r="X45" s="9">
        <f>-IF(C45=1,LN(W45),LN(1-W45))</f>
        <v/>
      </c>
      <c r="Y45" s="8">
        <f>1</f>
        <v/>
      </c>
      <c r="Z45" s="9">
        <f>Y45*X45</f>
        <v/>
      </c>
      <c r="AA45" s="10">
        <f>IF(W45&gt;$AE$32,1,0)</f>
        <v/>
      </c>
      <c r="AB45">
        <f>IF(AA45=C45,1,0)</f>
        <v/>
      </c>
    </row>
    <row r="46" ht="62" customHeight="1">
      <c r="A46">
        <f>'1 datos preparados'!A39</f>
        <v/>
      </c>
      <c r="B46" s="5">
        <f>'1 datos preparados'!U39</f>
        <v/>
      </c>
      <c r="C46">
        <f>'1 datos preparados'!B39</f>
        <v/>
      </c>
      <c r="D46" s="7">
        <f>'1 datos preparados'!C39</f>
        <v/>
      </c>
      <c r="E46" s="7">
        <f>'1 datos preparados'!D39</f>
        <v/>
      </c>
      <c r="F46" s="7">
        <f>'1 datos preparados'!E39</f>
        <v/>
      </c>
      <c r="G46" s="7">
        <f>'1 datos preparados'!F39</f>
        <v/>
      </c>
      <c r="H46" s="7">
        <f>'1 datos preparados'!G39</f>
        <v/>
      </c>
      <c r="I46" s="7">
        <f>'1 datos preparados'!H39</f>
        <v/>
      </c>
      <c r="J46" s="7">
        <f>'1 datos preparados'!I39</f>
        <v/>
      </c>
      <c r="K46" s="7">
        <f>'1 datos preparados'!J39</f>
        <v/>
      </c>
      <c r="L46" s="7">
        <f>'1 datos preparados'!K39</f>
        <v/>
      </c>
      <c r="M46" s="7">
        <f>'1 datos preparados'!L39</f>
        <v/>
      </c>
      <c r="N46" s="7">
        <f>'1 datos preparados'!M39</f>
        <v/>
      </c>
      <c r="O46" s="7">
        <f>'1 datos preparados'!N39</f>
        <v/>
      </c>
      <c r="P46" s="7">
        <f>'1 datos preparados'!O39</f>
        <v/>
      </c>
      <c r="Q46" s="7">
        <f>'1 datos preparados'!P39</f>
        <v/>
      </c>
      <c r="R46" s="7">
        <f>'1 datos preparados'!Q39</f>
        <v/>
      </c>
      <c r="S46" s="7">
        <f>'1 datos preparados'!R39</f>
        <v/>
      </c>
      <c r="T46" s="7">
        <f>'1 datos preparados'!S39</f>
        <v/>
      </c>
      <c r="U46" s="7">
        <f>'1 datos preparados'!T39</f>
        <v/>
      </c>
      <c r="V46" s="8">
        <f>$AE$12+D46*$AE$13+E46*$AE$14+F46*$AE$15+G46*$AE$16+H46*$AE$17+I46*$AE$18+J46*$AE$19+K46*$AE$20+L46*$AE$21+M46*$AE$22+N46*$AE$23+O46*$AE$24+P46*$AE$25+Q46*$AE$26+R46*$AE$27+S46*$AE$28+T46*$AE$29+U46*$AE$30</f>
        <v/>
      </c>
      <c r="W46" s="8">
        <f>1/(1+EXP(-V46))</f>
        <v/>
      </c>
      <c r="X46" s="9">
        <f>-IF(C46=1,LN(W46),LN(1-W46))</f>
        <v/>
      </c>
      <c r="Y46" s="8">
        <f>1</f>
        <v/>
      </c>
      <c r="Z46" s="9">
        <f>Y46*X46</f>
        <v/>
      </c>
      <c r="AA46" s="10">
        <f>IF(W46&gt;$AE$32,1,0)</f>
        <v/>
      </c>
      <c r="AB46">
        <f>IF(AA46=C46,1,0)</f>
        <v/>
      </c>
      <c r="AD46" s="2" t="inlineStr">
        <is>
          <t>Solver: minimizar J cambiando las celdas celestes de los pesos del modelo (no las de clase), GRG no lineal, derivadas centrales, convergencia 0,000001, sin restricciones y con 'Convertir variables sin restricciones en no negativas' DESMARCADA. Correr dos veces si se detiene antes.</t>
        </is>
      </c>
    </row>
    <row r="47">
      <c r="A47">
        <f>'1 datos preparados'!A40</f>
        <v/>
      </c>
      <c r="B47" s="5">
        <f>'1 datos preparados'!U40</f>
        <v/>
      </c>
      <c r="C47">
        <f>'1 datos preparados'!B40</f>
        <v/>
      </c>
      <c r="D47" s="7">
        <f>'1 datos preparados'!C40</f>
        <v/>
      </c>
      <c r="E47" s="7">
        <f>'1 datos preparados'!D40</f>
        <v/>
      </c>
      <c r="F47" s="7">
        <f>'1 datos preparados'!E40</f>
        <v/>
      </c>
      <c r="G47" s="7">
        <f>'1 datos preparados'!F40</f>
        <v/>
      </c>
      <c r="H47" s="7">
        <f>'1 datos preparados'!G40</f>
        <v/>
      </c>
      <c r="I47" s="7">
        <f>'1 datos preparados'!H40</f>
        <v/>
      </c>
      <c r="J47" s="7">
        <f>'1 datos preparados'!I40</f>
        <v/>
      </c>
      <c r="K47" s="7">
        <f>'1 datos preparados'!J40</f>
        <v/>
      </c>
      <c r="L47" s="7">
        <f>'1 datos preparados'!K40</f>
        <v/>
      </c>
      <c r="M47" s="7">
        <f>'1 datos preparados'!L40</f>
        <v/>
      </c>
      <c r="N47" s="7">
        <f>'1 datos preparados'!M40</f>
        <v/>
      </c>
      <c r="O47" s="7">
        <f>'1 datos preparados'!N40</f>
        <v/>
      </c>
      <c r="P47" s="7">
        <f>'1 datos preparados'!O40</f>
        <v/>
      </c>
      <c r="Q47" s="7">
        <f>'1 datos preparados'!P40</f>
        <v/>
      </c>
      <c r="R47" s="7">
        <f>'1 datos preparados'!Q40</f>
        <v/>
      </c>
      <c r="S47" s="7">
        <f>'1 datos preparados'!R40</f>
        <v/>
      </c>
      <c r="T47" s="7">
        <f>'1 datos preparados'!S40</f>
        <v/>
      </c>
      <c r="U47" s="7">
        <f>'1 datos preparados'!T40</f>
        <v/>
      </c>
      <c r="V47" s="8">
        <f>$AE$12+D47*$AE$13+E47*$AE$14+F47*$AE$15+G47*$AE$16+H47*$AE$17+I47*$AE$18+J47*$AE$19+K47*$AE$20+L47*$AE$21+M47*$AE$22+N47*$AE$23+O47*$AE$24+P47*$AE$25+Q47*$AE$26+R47*$AE$27+S47*$AE$28+T47*$AE$29+U47*$AE$30</f>
        <v/>
      </c>
      <c r="W47" s="8">
        <f>1/(1+EXP(-V47))</f>
        <v/>
      </c>
      <c r="X47" s="9">
        <f>-IF(C47=1,LN(W47),LN(1-W47))</f>
        <v/>
      </c>
      <c r="Y47" s="8">
        <f>1</f>
        <v/>
      </c>
      <c r="Z47" s="9">
        <f>Y47*X47</f>
        <v/>
      </c>
      <c r="AA47" s="10">
        <f>IF(W47&gt;$AE$32,1,0)</f>
        <v/>
      </c>
      <c r="AB47">
        <f>IF(AA47=C47,1,0)</f>
        <v/>
      </c>
    </row>
    <row r="48">
      <c r="A48">
        <f>'1 datos preparados'!A41</f>
        <v/>
      </c>
      <c r="B48" s="5">
        <f>'1 datos preparados'!U41</f>
        <v/>
      </c>
      <c r="C48">
        <f>'1 datos preparados'!B41</f>
        <v/>
      </c>
      <c r="D48" s="7">
        <f>'1 datos preparados'!C41</f>
        <v/>
      </c>
      <c r="E48" s="7">
        <f>'1 datos preparados'!D41</f>
        <v/>
      </c>
      <c r="F48" s="7">
        <f>'1 datos preparados'!E41</f>
        <v/>
      </c>
      <c r="G48" s="7">
        <f>'1 datos preparados'!F41</f>
        <v/>
      </c>
      <c r="H48" s="7">
        <f>'1 datos preparados'!G41</f>
        <v/>
      </c>
      <c r="I48" s="7">
        <f>'1 datos preparados'!H41</f>
        <v/>
      </c>
      <c r="J48" s="7">
        <f>'1 datos preparados'!I41</f>
        <v/>
      </c>
      <c r="K48" s="7">
        <f>'1 datos preparados'!J41</f>
        <v/>
      </c>
      <c r="L48" s="7">
        <f>'1 datos preparados'!K41</f>
        <v/>
      </c>
      <c r="M48" s="7">
        <f>'1 datos preparados'!L41</f>
        <v/>
      </c>
      <c r="N48" s="7">
        <f>'1 datos preparados'!M41</f>
        <v/>
      </c>
      <c r="O48" s="7">
        <f>'1 datos preparados'!N41</f>
        <v/>
      </c>
      <c r="P48" s="7">
        <f>'1 datos preparados'!O41</f>
        <v/>
      </c>
      <c r="Q48" s="7">
        <f>'1 datos preparados'!P41</f>
        <v/>
      </c>
      <c r="R48" s="7">
        <f>'1 datos preparados'!Q41</f>
        <v/>
      </c>
      <c r="S48" s="7">
        <f>'1 datos preparados'!R41</f>
        <v/>
      </c>
      <c r="T48" s="7">
        <f>'1 datos preparados'!S41</f>
        <v/>
      </c>
      <c r="U48" s="7">
        <f>'1 datos preparados'!T41</f>
        <v/>
      </c>
      <c r="V48" s="8">
        <f>$AE$12+D48*$AE$13+E48*$AE$14+F48*$AE$15+G48*$AE$16+H48*$AE$17+I48*$AE$18+J48*$AE$19+K48*$AE$20+L48*$AE$21+M48*$AE$22+N48*$AE$23+O48*$AE$24+P48*$AE$25+Q48*$AE$26+R48*$AE$27+S48*$AE$28+T48*$AE$29+U48*$AE$30</f>
        <v/>
      </c>
      <c r="W48" s="8">
        <f>1/(1+EXP(-V48))</f>
        <v/>
      </c>
      <c r="X48" s="9">
        <f>-IF(C48=1,LN(W48),LN(1-W48))</f>
        <v/>
      </c>
      <c r="Y48" s="8">
        <f>1</f>
        <v/>
      </c>
      <c r="Z48" s="9">
        <f>Y48*X48</f>
        <v/>
      </c>
      <c r="AA48" s="10">
        <f>IF(W48&gt;$AE$32,1,0)</f>
        <v/>
      </c>
      <c r="AB48">
        <f>IF(AA48=C48,1,0)</f>
        <v/>
      </c>
    </row>
    <row r="49">
      <c r="A49">
        <f>'1 datos preparados'!A42</f>
        <v/>
      </c>
      <c r="B49" s="5">
        <f>'1 datos preparados'!U42</f>
        <v/>
      </c>
      <c r="C49">
        <f>'1 datos preparados'!B42</f>
        <v/>
      </c>
      <c r="D49" s="7">
        <f>'1 datos preparados'!C42</f>
        <v/>
      </c>
      <c r="E49" s="7">
        <f>'1 datos preparados'!D42</f>
        <v/>
      </c>
      <c r="F49" s="7">
        <f>'1 datos preparados'!E42</f>
        <v/>
      </c>
      <c r="G49" s="7">
        <f>'1 datos preparados'!F42</f>
        <v/>
      </c>
      <c r="H49" s="7">
        <f>'1 datos preparados'!G42</f>
        <v/>
      </c>
      <c r="I49" s="7">
        <f>'1 datos preparados'!H42</f>
        <v/>
      </c>
      <c r="J49" s="7">
        <f>'1 datos preparados'!I42</f>
        <v/>
      </c>
      <c r="K49" s="7">
        <f>'1 datos preparados'!J42</f>
        <v/>
      </c>
      <c r="L49" s="7">
        <f>'1 datos preparados'!K42</f>
        <v/>
      </c>
      <c r="M49" s="7">
        <f>'1 datos preparados'!L42</f>
        <v/>
      </c>
      <c r="N49" s="7">
        <f>'1 datos preparados'!M42</f>
        <v/>
      </c>
      <c r="O49" s="7">
        <f>'1 datos preparados'!N42</f>
        <v/>
      </c>
      <c r="P49" s="7">
        <f>'1 datos preparados'!O42</f>
        <v/>
      </c>
      <c r="Q49" s="7">
        <f>'1 datos preparados'!P42</f>
        <v/>
      </c>
      <c r="R49" s="7">
        <f>'1 datos preparados'!Q42</f>
        <v/>
      </c>
      <c r="S49" s="7">
        <f>'1 datos preparados'!R42</f>
        <v/>
      </c>
      <c r="T49" s="7">
        <f>'1 datos preparados'!S42</f>
        <v/>
      </c>
      <c r="U49" s="7">
        <f>'1 datos preparados'!T42</f>
        <v/>
      </c>
      <c r="V49" s="8">
        <f>$AE$12+D49*$AE$13+E49*$AE$14+F49*$AE$15+G49*$AE$16+H49*$AE$17+I49*$AE$18+J49*$AE$19+K49*$AE$20+L49*$AE$21+M49*$AE$22+N49*$AE$23+O49*$AE$24+P49*$AE$25+Q49*$AE$26+R49*$AE$27+S49*$AE$28+T49*$AE$29+U49*$AE$30</f>
        <v/>
      </c>
      <c r="W49" s="8">
        <f>1/(1+EXP(-V49))</f>
        <v/>
      </c>
      <c r="X49" s="9">
        <f>-IF(C49=1,LN(W49),LN(1-W49))</f>
        <v/>
      </c>
      <c r="Y49" s="8">
        <f>1</f>
        <v/>
      </c>
      <c r="Z49" s="9">
        <f>Y49*X49</f>
        <v/>
      </c>
      <c r="AA49" s="10">
        <f>IF(W49&gt;$AE$32,1,0)</f>
        <v/>
      </c>
      <c r="AB49">
        <f>IF(AA49=C49,1,0)</f>
        <v/>
      </c>
    </row>
    <row r="50">
      <c r="A50">
        <f>'1 datos preparados'!A43</f>
        <v/>
      </c>
      <c r="B50" s="5">
        <f>'1 datos preparados'!U43</f>
        <v/>
      </c>
      <c r="C50">
        <f>'1 datos preparados'!B43</f>
        <v/>
      </c>
      <c r="D50" s="7">
        <f>'1 datos preparados'!C43</f>
        <v/>
      </c>
      <c r="E50" s="7">
        <f>'1 datos preparados'!D43</f>
        <v/>
      </c>
      <c r="F50" s="7">
        <f>'1 datos preparados'!E43</f>
        <v/>
      </c>
      <c r="G50" s="7">
        <f>'1 datos preparados'!F43</f>
        <v/>
      </c>
      <c r="H50" s="7">
        <f>'1 datos preparados'!G43</f>
        <v/>
      </c>
      <c r="I50" s="7">
        <f>'1 datos preparados'!H43</f>
        <v/>
      </c>
      <c r="J50" s="7">
        <f>'1 datos preparados'!I43</f>
        <v/>
      </c>
      <c r="K50" s="7">
        <f>'1 datos preparados'!J43</f>
        <v/>
      </c>
      <c r="L50" s="7">
        <f>'1 datos preparados'!K43</f>
        <v/>
      </c>
      <c r="M50" s="7">
        <f>'1 datos preparados'!L43</f>
        <v/>
      </c>
      <c r="N50" s="7">
        <f>'1 datos preparados'!M43</f>
        <v/>
      </c>
      <c r="O50" s="7">
        <f>'1 datos preparados'!N43</f>
        <v/>
      </c>
      <c r="P50" s="7">
        <f>'1 datos preparados'!O43</f>
        <v/>
      </c>
      <c r="Q50" s="7">
        <f>'1 datos preparados'!P43</f>
        <v/>
      </c>
      <c r="R50" s="7">
        <f>'1 datos preparados'!Q43</f>
        <v/>
      </c>
      <c r="S50" s="7">
        <f>'1 datos preparados'!R43</f>
        <v/>
      </c>
      <c r="T50" s="7">
        <f>'1 datos preparados'!S43</f>
        <v/>
      </c>
      <c r="U50" s="7">
        <f>'1 datos preparados'!T43</f>
        <v/>
      </c>
      <c r="V50" s="8">
        <f>$AE$12+D50*$AE$13+E50*$AE$14+F50*$AE$15+G50*$AE$16+H50*$AE$17+I50*$AE$18+J50*$AE$19+K50*$AE$20+L50*$AE$21+M50*$AE$22+N50*$AE$23+O50*$AE$24+P50*$AE$25+Q50*$AE$26+R50*$AE$27+S50*$AE$28+T50*$AE$29+U50*$AE$30</f>
        <v/>
      </c>
      <c r="W50" s="8">
        <f>1/(1+EXP(-V50))</f>
        <v/>
      </c>
      <c r="X50" s="9">
        <f>-IF(C50=1,LN(W50),LN(1-W50))</f>
        <v/>
      </c>
      <c r="Y50" s="8">
        <f>1</f>
        <v/>
      </c>
      <c r="Z50" s="9">
        <f>Y50*X50</f>
        <v/>
      </c>
      <c r="AA50" s="10">
        <f>IF(W50&gt;$AE$32,1,0)</f>
        <v/>
      </c>
      <c r="AB50">
        <f>IF(AA50=C50,1,0)</f>
        <v/>
      </c>
    </row>
    <row r="51">
      <c r="A51">
        <f>'1 datos preparados'!A44</f>
        <v/>
      </c>
      <c r="B51" s="5">
        <f>'1 datos preparados'!U44</f>
        <v/>
      </c>
      <c r="C51">
        <f>'1 datos preparados'!B44</f>
        <v/>
      </c>
      <c r="D51" s="7">
        <f>'1 datos preparados'!C44</f>
        <v/>
      </c>
      <c r="E51" s="7">
        <f>'1 datos preparados'!D44</f>
        <v/>
      </c>
      <c r="F51" s="7">
        <f>'1 datos preparados'!E44</f>
        <v/>
      </c>
      <c r="G51" s="7">
        <f>'1 datos preparados'!F44</f>
        <v/>
      </c>
      <c r="H51" s="7">
        <f>'1 datos preparados'!G44</f>
        <v/>
      </c>
      <c r="I51" s="7">
        <f>'1 datos preparados'!H44</f>
        <v/>
      </c>
      <c r="J51" s="7">
        <f>'1 datos preparados'!I44</f>
        <v/>
      </c>
      <c r="K51" s="7">
        <f>'1 datos preparados'!J44</f>
        <v/>
      </c>
      <c r="L51" s="7">
        <f>'1 datos preparados'!K44</f>
        <v/>
      </c>
      <c r="M51" s="7">
        <f>'1 datos preparados'!L44</f>
        <v/>
      </c>
      <c r="N51" s="7">
        <f>'1 datos preparados'!M44</f>
        <v/>
      </c>
      <c r="O51" s="7">
        <f>'1 datos preparados'!N44</f>
        <v/>
      </c>
      <c r="P51" s="7">
        <f>'1 datos preparados'!O44</f>
        <v/>
      </c>
      <c r="Q51" s="7">
        <f>'1 datos preparados'!P44</f>
        <v/>
      </c>
      <c r="R51" s="7">
        <f>'1 datos preparados'!Q44</f>
        <v/>
      </c>
      <c r="S51" s="7">
        <f>'1 datos preparados'!R44</f>
        <v/>
      </c>
      <c r="T51" s="7">
        <f>'1 datos preparados'!S44</f>
        <v/>
      </c>
      <c r="U51" s="7">
        <f>'1 datos preparados'!T44</f>
        <v/>
      </c>
      <c r="V51" s="8">
        <f>$AE$12+D51*$AE$13+E51*$AE$14+F51*$AE$15+G51*$AE$16+H51*$AE$17+I51*$AE$18+J51*$AE$19+K51*$AE$20+L51*$AE$21+M51*$AE$22+N51*$AE$23+O51*$AE$24+P51*$AE$25+Q51*$AE$26+R51*$AE$27+S51*$AE$28+T51*$AE$29+U51*$AE$30</f>
        <v/>
      </c>
      <c r="W51" s="8">
        <f>1/(1+EXP(-V51))</f>
        <v/>
      </c>
      <c r="X51" s="9">
        <f>-IF(C51=1,LN(W51),LN(1-W51))</f>
        <v/>
      </c>
      <c r="Y51" s="8">
        <f>1</f>
        <v/>
      </c>
      <c r="Z51" s="9">
        <f>Y51*X51</f>
        <v/>
      </c>
      <c r="AA51" s="10">
        <f>IF(W51&gt;$AE$32,1,0)</f>
        <v/>
      </c>
      <c r="AB51">
        <f>IF(AA51=C51,1,0)</f>
        <v/>
      </c>
    </row>
    <row r="52">
      <c r="A52">
        <f>'1 datos preparados'!A45</f>
        <v/>
      </c>
      <c r="B52" s="5">
        <f>'1 datos preparados'!U45</f>
        <v/>
      </c>
      <c r="C52">
        <f>'1 datos preparados'!B45</f>
        <v/>
      </c>
      <c r="D52" s="7">
        <f>'1 datos preparados'!C45</f>
        <v/>
      </c>
      <c r="E52" s="7">
        <f>'1 datos preparados'!D45</f>
        <v/>
      </c>
      <c r="F52" s="7">
        <f>'1 datos preparados'!E45</f>
        <v/>
      </c>
      <c r="G52" s="7">
        <f>'1 datos preparados'!F45</f>
        <v/>
      </c>
      <c r="H52" s="7">
        <f>'1 datos preparados'!G45</f>
        <v/>
      </c>
      <c r="I52" s="7">
        <f>'1 datos preparados'!H45</f>
        <v/>
      </c>
      <c r="J52" s="7">
        <f>'1 datos preparados'!I45</f>
        <v/>
      </c>
      <c r="K52" s="7">
        <f>'1 datos preparados'!J45</f>
        <v/>
      </c>
      <c r="L52" s="7">
        <f>'1 datos preparados'!K45</f>
        <v/>
      </c>
      <c r="M52" s="7">
        <f>'1 datos preparados'!L45</f>
        <v/>
      </c>
      <c r="N52" s="7">
        <f>'1 datos preparados'!M45</f>
        <v/>
      </c>
      <c r="O52" s="7">
        <f>'1 datos preparados'!N45</f>
        <v/>
      </c>
      <c r="P52" s="7">
        <f>'1 datos preparados'!O45</f>
        <v/>
      </c>
      <c r="Q52" s="7">
        <f>'1 datos preparados'!P45</f>
        <v/>
      </c>
      <c r="R52" s="7">
        <f>'1 datos preparados'!Q45</f>
        <v/>
      </c>
      <c r="S52" s="7">
        <f>'1 datos preparados'!R45</f>
        <v/>
      </c>
      <c r="T52" s="7">
        <f>'1 datos preparados'!S45</f>
        <v/>
      </c>
      <c r="U52" s="7">
        <f>'1 datos preparados'!T45</f>
        <v/>
      </c>
      <c r="V52" s="8">
        <f>$AE$12+D52*$AE$13+E52*$AE$14+F52*$AE$15+G52*$AE$16+H52*$AE$17+I52*$AE$18+J52*$AE$19+K52*$AE$20+L52*$AE$21+M52*$AE$22+N52*$AE$23+O52*$AE$24+P52*$AE$25+Q52*$AE$26+R52*$AE$27+S52*$AE$28+T52*$AE$29+U52*$AE$30</f>
        <v/>
      </c>
      <c r="W52" s="8">
        <f>1/(1+EXP(-V52))</f>
        <v/>
      </c>
      <c r="X52" s="9">
        <f>-IF(C52=1,LN(W52),LN(1-W52))</f>
        <v/>
      </c>
      <c r="Y52" s="8">
        <f>1</f>
        <v/>
      </c>
      <c r="Z52" s="9">
        <f>Y52*X52</f>
        <v/>
      </c>
      <c r="AA52" s="10">
        <f>IF(W52&gt;$AE$32,1,0)</f>
        <v/>
      </c>
      <c r="AB52">
        <f>IF(AA52=C52,1,0)</f>
        <v/>
      </c>
    </row>
    <row r="53">
      <c r="A53">
        <f>'1 datos preparados'!A46</f>
        <v/>
      </c>
      <c r="B53" s="5">
        <f>'1 datos preparados'!U46</f>
        <v/>
      </c>
      <c r="C53">
        <f>'1 datos preparados'!B46</f>
        <v/>
      </c>
      <c r="D53" s="7">
        <f>'1 datos preparados'!C46</f>
        <v/>
      </c>
      <c r="E53" s="7">
        <f>'1 datos preparados'!D46</f>
        <v/>
      </c>
      <c r="F53" s="7">
        <f>'1 datos preparados'!E46</f>
        <v/>
      </c>
      <c r="G53" s="7">
        <f>'1 datos preparados'!F46</f>
        <v/>
      </c>
      <c r="H53" s="7">
        <f>'1 datos preparados'!G46</f>
        <v/>
      </c>
      <c r="I53" s="7">
        <f>'1 datos preparados'!H46</f>
        <v/>
      </c>
      <c r="J53" s="7">
        <f>'1 datos preparados'!I46</f>
        <v/>
      </c>
      <c r="K53" s="7">
        <f>'1 datos preparados'!J46</f>
        <v/>
      </c>
      <c r="L53" s="7">
        <f>'1 datos preparados'!K46</f>
        <v/>
      </c>
      <c r="M53" s="7">
        <f>'1 datos preparados'!L46</f>
        <v/>
      </c>
      <c r="N53" s="7">
        <f>'1 datos preparados'!M46</f>
        <v/>
      </c>
      <c r="O53" s="7">
        <f>'1 datos preparados'!N46</f>
        <v/>
      </c>
      <c r="P53" s="7">
        <f>'1 datos preparados'!O46</f>
        <v/>
      </c>
      <c r="Q53" s="7">
        <f>'1 datos preparados'!P46</f>
        <v/>
      </c>
      <c r="R53" s="7">
        <f>'1 datos preparados'!Q46</f>
        <v/>
      </c>
      <c r="S53" s="7">
        <f>'1 datos preparados'!R46</f>
        <v/>
      </c>
      <c r="T53" s="7">
        <f>'1 datos preparados'!S46</f>
        <v/>
      </c>
      <c r="U53" s="7">
        <f>'1 datos preparados'!T46</f>
        <v/>
      </c>
      <c r="V53" s="8">
        <f>$AE$12+D53*$AE$13+E53*$AE$14+F53*$AE$15+G53*$AE$16+H53*$AE$17+I53*$AE$18+J53*$AE$19+K53*$AE$20+L53*$AE$21+M53*$AE$22+N53*$AE$23+O53*$AE$24+P53*$AE$25+Q53*$AE$26+R53*$AE$27+S53*$AE$28+T53*$AE$29+U53*$AE$30</f>
        <v/>
      </c>
      <c r="W53" s="8">
        <f>1/(1+EXP(-V53))</f>
        <v/>
      </c>
      <c r="X53" s="9">
        <f>-IF(C53=1,LN(W53),LN(1-W53))</f>
        <v/>
      </c>
      <c r="Y53" s="8">
        <f>1</f>
        <v/>
      </c>
      <c r="Z53" s="9">
        <f>Y53*X53</f>
        <v/>
      </c>
      <c r="AA53" s="10">
        <f>IF(W53&gt;$AE$32,1,0)</f>
        <v/>
      </c>
      <c r="AB53">
        <f>IF(AA53=C53,1,0)</f>
        <v/>
      </c>
    </row>
    <row r="54">
      <c r="A54">
        <f>'1 datos preparados'!A47</f>
        <v/>
      </c>
      <c r="B54" s="5">
        <f>'1 datos preparados'!U47</f>
        <v/>
      </c>
      <c r="C54">
        <f>'1 datos preparados'!B47</f>
        <v/>
      </c>
      <c r="D54" s="7">
        <f>'1 datos preparados'!C47</f>
        <v/>
      </c>
      <c r="E54" s="7">
        <f>'1 datos preparados'!D47</f>
        <v/>
      </c>
      <c r="F54" s="7">
        <f>'1 datos preparados'!E47</f>
        <v/>
      </c>
      <c r="G54" s="7">
        <f>'1 datos preparados'!F47</f>
        <v/>
      </c>
      <c r="H54" s="7">
        <f>'1 datos preparados'!G47</f>
        <v/>
      </c>
      <c r="I54" s="7">
        <f>'1 datos preparados'!H47</f>
        <v/>
      </c>
      <c r="J54" s="7">
        <f>'1 datos preparados'!I47</f>
        <v/>
      </c>
      <c r="K54" s="7">
        <f>'1 datos preparados'!J47</f>
        <v/>
      </c>
      <c r="L54" s="7">
        <f>'1 datos preparados'!K47</f>
        <v/>
      </c>
      <c r="M54" s="7">
        <f>'1 datos preparados'!L47</f>
        <v/>
      </c>
      <c r="N54" s="7">
        <f>'1 datos preparados'!M47</f>
        <v/>
      </c>
      <c r="O54" s="7">
        <f>'1 datos preparados'!N47</f>
        <v/>
      </c>
      <c r="P54" s="7">
        <f>'1 datos preparados'!O47</f>
        <v/>
      </c>
      <c r="Q54" s="7">
        <f>'1 datos preparados'!P47</f>
        <v/>
      </c>
      <c r="R54" s="7">
        <f>'1 datos preparados'!Q47</f>
        <v/>
      </c>
      <c r="S54" s="7">
        <f>'1 datos preparados'!R47</f>
        <v/>
      </c>
      <c r="T54" s="7">
        <f>'1 datos preparados'!S47</f>
        <v/>
      </c>
      <c r="U54" s="7">
        <f>'1 datos preparados'!T47</f>
        <v/>
      </c>
      <c r="V54" s="8">
        <f>$AE$12+D54*$AE$13+E54*$AE$14+F54*$AE$15+G54*$AE$16+H54*$AE$17+I54*$AE$18+J54*$AE$19+K54*$AE$20+L54*$AE$21+M54*$AE$22+N54*$AE$23+O54*$AE$24+P54*$AE$25+Q54*$AE$26+R54*$AE$27+S54*$AE$28+T54*$AE$29+U54*$AE$30</f>
        <v/>
      </c>
      <c r="W54" s="8">
        <f>1/(1+EXP(-V54))</f>
        <v/>
      </c>
      <c r="X54" s="9">
        <f>-IF(C54=1,LN(W54),LN(1-W54))</f>
        <v/>
      </c>
      <c r="Y54" s="8">
        <f>1</f>
        <v/>
      </c>
      <c r="Z54" s="9">
        <f>Y54*X54</f>
        <v/>
      </c>
      <c r="AA54" s="10">
        <f>IF(W54&gt;$AE$32,1,0)</f>
        <v/>
      </c>
      <c r="AB54">
        <f>IF(AA54=C54,1,0)</f>
        <v/>
      </c>
    </row>
    <row r="55">
      <c r="A55">
        <f>'1 datos preparados'!A48</f>
        <v/>
      </c>
      <c r="B55" s="5">
        <f>'1 datos preparados'!U48</f>
        <v/>
      </c>
      <c r="C55">
        <f>'1 datos preparados'!B48</f>
        <v/>
      </c>
      <c r="D55" s="7">
        <f>'1 datos preparados'!C48</f>
        <v/>
      </c>
      <c r="E55" s="7">
        <f>'1 datos preparados'!D48</f>
        <v/>
      </c>
      <c r="F55" s="7">
        <f>'1 datos preparados'!E48</f>
        <v/>
      </c>
      <c r="G55" s="7">
        <f>'1 datos preparados'!F48</f>
        <v/>
      </c>
      <c r="H55" s="7">
        <f>'1 datos preparados'!G48</f>
        <v/>
      </c>
      <c r="I55" s="7">
        <f>'1 datos preparados'!H48</f>
        <v/>
      </c>
      <c r="J55" s="7">
        <f>'1 datos preparados'!I48</f>
        <v/>
      </c>
      <c r="K55" s="7">
        <f>'1 datos preparados'!J48</f>
        <v/>
      </c>
      <c r="L55" s="7">
        <f>'1 datos preparados'!K48</f>
        <v/>
      </c>
      <c r="M55" s="7">
        <f>'1 datos preparados'!L48</f>
        <v/>
      </c>
      <c r="N55" s="7">
        <f>'1 datos preparados'!M48</f>
        <v/>
      </c>
      <c r="O55" s="7">
        <f>'1 datos preparados'!N48</f>
        <v/>
      </c>
      <c r="P55" s="7">
        <f>'1 datos preparados'!O48</f>
        <v/>
      </c>
      <c r="Q55" s="7">
        <f>'1 datos preparados'!P48</f>
        <v/>
      </c>
      <c r="R55" s="7">
        <f>'1 datos preparados'!Q48</f>
        <v/>
      </c>
      <c r="S55" s="7">
        <f>'1 datos preparados'!R48</f>
        <v/>
      </c>
      <c r="T55" s="7">
        <f>'1 datos preparados'!S48</f>
        <v/>
      </c>
      <c r="U55" s="7">
        <f>'1 datos preparados'!T48</f>
        <v/>
      </c>
      <c r="V55" s="8">
        <f>$AE$12+D55*$AE$13+E55*$AE$14+F55*$AE$15+G55*$AE$16+H55*$AE$17+I55*$AE$18+J55*$AE$19+K55*$AE$20+L55*$AE$21+M55*$AE$22+N55*$AE$23+O55*$AE$24+P55*$AE$25+Q55*$AE$26+R55*$AE$27+S55*$AE$28+T55*$AE$29+U55*$AE$30</f>
        <v/>
      </c>
      <c r="W55" s="8">
        <f>1/(1+EXP(-V55))</f>
        <v/>
      </c>
      <c r="X55" s="9">
        <f>-IF(C55=1,LN(W55),LN(1-W55))</f>
        <v/>
      </c>
      <c r="Y55" s="8">
        <f>1</f>
        <v/>
      </c>
      <c r="Z55" s="9">
        <f>Y55*X55</f>
        <v/>
      </c>
      <c r="AA55" s="10">
        <f>IF(W55&gt;$AE$32,1,0)</f>
        <v/>
      </c>
      <c r="AB55">
        <f>IF(AA55=C55,1,0)</f>
        <v/>
      </c>
    </row>
    <row r="56">
      <c r="A56">
        <f>'1 datos preparados'!A49</f>
        <v/>
      </c>
      <c r="B56" s="5">
        <f>'1 datos preparados'!U49</f>
        <v/>
      </c>
      <c r="C56">
        <f>'1 datos preparados'!B49</f>
        <v/>
      </c>
      <c r="D56" s="7">
        <f>'1 datos preparados'!C49</f>
        <v/>
      </c>
      <c r="E56" s="7">
        <f>'1 datos preparados'!D49</f>
        <v/>
      </c>
      <c r="F56" s="7">
        <f>'1 datos preparados'!E49</f>
        <v/>
      </c>
      <c r="G56" s="7">
        <f>'1 datos preparados'!F49</f>
        <v/>
      </c>
      <c r="H56" s="7">
        <f>'1 datos preparados'!G49</f>
        <v/>
      </c>
      <c r="I56" s="7">
        <f>'1 datos preparados'!H49</f>
        <v/>
      </c>
      <c r="J56" s="7">
        <f>'1 datos preparados'!I49</f>
        <v/>
      </c>
      <c r="K56" s="7">
        <f>'1 datos preparados'!J49</f>
        <v/>
      </c>
      <c r="L56" s="7">
        <f>'1 datos preparados'!K49</f>
        <v/>
      </c>
      <c r="M56" s="7">
        <f>'1 datos preparados'!L49</f>
        <v/>
      </c>
      <c r="N56" s="7">
        <f>'1 datos preparados'!M49</f>
        <v/>
      </c>
      <c r="O56" s="7">
        <f>'1 datos preparados'!N49</f>
        <v/>
      </c>
      <c r="P56" s="7">
        <f>'1 datos preparados'!O49</f>
        <v/>
      </c>
      <c r="Q56" s="7">
        <f>'1 datos preparados'!P49</f>
        <v/>
      </c>
      <c r="R56" s="7">
        <f>'1 datos preparados'!Q49</f>
        <v/>
      </c>
      <c r="S56" s="7">
        <f>'1 datos preparados'!R49</f>
        <v/>
      </c>
      <c r="T56" s="7">
        <f>'1 datos preparados'!S49</f>
        <v/>
      </c>
      <c r="U56" s="7">
        <f>'1 datos preparados'!T49</f>
        <v/>
      </c>
      <c r="V56" s="8">
        <f>$AE$12+D56*$AE$13+E56*$AE$14+F56*$AE$15+G56*$AE$16+H56*$AE$17+I56*$AE$18+J56*$AE$19+K56*$AE$20+L56*$AE$21+M56*$AE$22+N56*$AE$23+O56*$AE$24+P56*$AE$25+Q56*$AE$26+R56*$AE$27+S56*$AE$28+T56*$AE$29+U56*$AE$30</f>
        <v/>
      </c>
      <c r="W56" s="8">
        <f>1/(1+EXP(-V56))</f>
        <v/>
      </c>
      <c r="X56" s="9">
        <f>-IF(C56=1,LN(W56),LN(1-W56))</f>
        <v/>
      </c>
      <c r="Y56" s="8">
        <f>1</f>
        <v/>
      </c>
      <c r="Z56" s="9">
        <f>Y56*X56</f>
        <v/>
      </c>
      <c r="AA56" s="10">
        <f>IF(W56&gt;$AE$32,1,0)</f>
        <v/>
      </c>
      <c r="AB56">
        <f>IF(AA56=C56,1,0)</f>
        <v/>
      </c>
    </row>
    <row r="57">
      <c r="A57">
        <f>'1 datos preparados'!A50</f>
        <v/>
      </c>
      <c r="B57" s="5">
        <f>'1 datos preparados'!U50</f>
        <v/>
      </c>
      <c r="C57">
        <f>'1 datos preparados'!B50</f>
        <v/>
      </c>
      <c r="D57" s="7">
        <f>'1 datos preparados'!C50</f>
        <v/>
      </c>
      <c r="E57" s="7">
        <f>'1 datos preparados'!D50</f>
        <v/>
      </c>
      <c r="F57" s="7">
        <f>'1 datos preparados'!E50</f>
        <v/>
      </c>
      <c r="G57" s="7">
        <f>'1 datos preparados'!F50</f>
        <v/>
      </c>
      <c r="H57" s="7">
        <f>'1 datos preparados'!G50</f>
        <v/>
      </c>
      <c r="I57" s="7">
        <f>'1 datos preparados'!H50</f>
        <v/>
      </c>
      <c r="J57" s="7">
        <f>'1 datos preparados'!I50</f>
        <v/>
      </c>
      <c r="K57" s="7">
        <f>'1 datos preparados'!J50</f>
        <v/>
      </c>
      <c r="L57" s="7">
        <f>'1 datos preparados'!K50</f>
        <v/>
      </c>
      <c r="M57" s="7">
        <f>'1 datos preparados'!L50</f>
        <v/>
      </c>
      <c r="N57" s="7">
        <f>'1 datos preparados'!M50</f>
        <v/>
      </c>
      <c r="O57" s="7">
        <f>'1 datos preparados'!N50</f>
        <v/>
      </c>
      <c r="P57" s="7">
        <f>'1 datos preparados'!O50</f>
        <v/>
      </c>
      <c r="Q57" s="7">
        <f>'1 datos preparados'!P50</f>
        <v/>
      </c>
      <c r="R57" s="7">
        <f>'1 datos preparados'!Q50</f>
        <v/>
      </c>
      <c r="S57" s="7">
        <f>'1 datos preparados'!R50</f>
        <v/>
      </c>
      <c r="T57" s="7">
        <f>'1 datos preparados'!S50</f>
        <v/>
      </c>
      <c r="U57" s="7">
        <f>'1 datos preparados'!T50</f>
        <v/>
      </c>
      <c r="V57" s="8">
        <f>$AE$12+D57*$AE$13+E57*$AE$14+F57*$AE$15+G57*$AE$16+H57*$AE$17+I57*$AE$18+J57*$AE$19+K57*$AE$20+L57*$AE$21+M57*$AE$22+N57*$AE$23+O57*$AE$24+P57*$AE$25+Q57*$AE$26+R57*$AE$27+S57*$AE$28+T57*$AE$29+U57*$AE$30</f>
        <v/>
      </c>
      <c r="W57" s="8">
        <f>1/(1+EXP(-V57))</f>
        <v/>
      </c>
      <c r="X57" s="9">
        <f>-IF(C57=1,LN(W57),LN(1-W57))</f>
        <v/>
      </c>
      <c r="Y57" s="8">
        <f>1</f>
        <v/>
      </c>
      <c r="Z57" s="9">
        <f>Y57*X57</f>
        <v/>
      </c>
      <c r="AA57" s="10">
        <f>IF(W57&gt;$AE$32,1,0)</f>
        <v/>
      </c>
      <c r="AB57">
        <f>IF(AA57=C57,1,0)</f>
        <v/>
      </c>
    </row>
    <row r="58">
      <c r="A58">
        <f>'1 datos preparados'!A51</f>
        <v/>
      </c>
      <c r="B58" s="5">
        <f>'1 datos preparados'!U51</f>
        <v/>
      </c>
      <c r="C58">
        <f>'1 datos preparados'!B51</f>
        <v/>
      </c>
      <c r="D58" s="7">
        <f>'1 datos preparados'!C51</f>
        <v/>
      </c>
      <c r="E58" s="7">
        <f>'1 datos preparados'!D51</f>
        <v/>
      </c>
      <c r="F58" s="7">
        <f>'1 datos preparados'!E51</f>
        <v/>
      </c>
      <c r="G58" s="7">
        <f>'1 datos preparados'!F51</f>
        <v/>
      </c>
      <c r="H58" s="7">
        <f>'1 datos preparados'!G51</f>
        <v/>
      </c>
      <c r="I58" s="7">
        <f>'1 datos preparados'!H51</f>
        <v/>
      </c>
      <c r="J58" s="7">
        <f>'1 datos preparados'!I51</f>
        <v/>
      </c>
      <c r="K58" s="7">
        <f>'1 datos preparados'!J51</f>
        <v/>
      </c>
      <c r="L58" s="7">
        <f>'1 datos preparados'!K51</f>
        <v/>
      </c>
      <c r="M58" s="7">
        <f>'1 datos preparados'!L51</f>
        <v/>
      </c>
      <c r="N58" s="7">
        <f>'1 datos preparados'!M51</f>
        <v/>
      </c>
      <c r="O58" s="7">
        <f>'1 datos preparados'!N51</f>
        <v/>
      </c>
      <c r="P58" s="7">
        <f>'1 datos preparados'!O51</f>
        <v/>
      </c>
      <c r="Q58" s="7">
        <f>'1 datos preparados'!P51</f>
        <v/>
      </c>
      <c r="R58" s="7">
        <f>'1 datos preparados'!Q51</f>
        <v/>
      </c>
      <c r="S58" s="7">
        <f>'1 datos preparados'!R51</f>
        <v/>
      </c>
      <c r="T58" s="7">
        <f>'1 datos preparados'!S51</f>
        <v/>
      </c>
      <c r="U58" s="7">
        <f>'1 datos preparados'!T51</f>
        <v/>
      </c>
      <c r="V58" s="8">
        <f>$AE$12+D58*$AE$13+E58*$AE$14+F58*$AE$15+G58*$AE$16+H58*$AE$17+I58*$AE$18+J58*$AE$19+K58*$AE$20+L58*$AE$21+M58*$AE$22+N58*$AE$23+O58*$AE$24+P58*$AE$25+Q58*$AE$26+R58*$AE$27+S58*$AE$28+T58*$AE$29+U58*$AE$30</f>
        <v/>
      </c>
      <c r="W58" s="8">
        <f>1/(1+EXP(-V58))</f>
        <v/>
      </c>
      <c r="X58" s="9">
        <f>-IF(C58=1,LN(W58),LN(1-W58))</f>
        <v/>
      </c>
      <c r="Y58" s="8">
        <f>1</f>
        <v/>
      </c>
      <c r="Z58" s="9">
        <f>Y58*X58</f>
        <v/>
      </c>
      <c r="AA58" s="10">
        <f>IF(W58&gt;$AE$32,1,0)</f>
        <v/>
      </c>
      <c r="AB58">
        <f>IF(AA58=C58,1,0)</f>
        <v/>
      </c>
    </row>
    <row r="59">
      <c r="A59">
        <f>'1 datos preparados'!A52</f>
        <v/>
      </c>
      <c r="B59" s="5">
        <f>'1 datos preparados'!U52</f>
        <v/>
      </c>
      <c r="C59">
        <f>'1 datos preparados'!B52</f>
        <v/>
      </c>
      <c r="D59" s="7">
        <f>'1 datos preparados'!C52</f>
        <v/>
      </c>
      <c r="E59" s="7">
        <f>'1 datos preparados'!D52</f>
        <v/>
      </c>
      <c r="F59" s="7">
        <f>'1 datos preparados'!E52</f>
        <v/>
      </c>
      <c r="G59" s="7">
        <f>'1 datos preparados'!F52</f>
        <v/>
      </c>
      <c r="H59" s="7">
        <f>'1 datos preparados'!G52</f>
        <v/>
      </c>
      <c r="I59" s="7">
        <f>'1 datos preparados'!H52</f>
        <v/>
      </c>
      <c r="J59" s="7">
        <f>'1 datos preparados'!I52</f>
        <v/>
      </c>
      <c r="K59" s="7">
        <f>'1 datos preparados'!J52</f>
        <v/>
      </c>
      <c r="L59" s="7">
        <f>'1 datos preparados'!K52</f>
        <v/>
      </c>
      <c r="M59" s="7">
        <f>'1 datos preparados'!L52</f>
        <v/>
      </c>
      <c r="N59" s="7">
        <f>'1 datos preparados'!M52</f>
        <v/>
      </c>
      <c r="O59" s="7">
        <f>'1 datos preparados'!N52</f>
        <v/>
      </c>
      <c r="P59" s="7">
        <f>'1 datos preparados'!O52</f>
        <v/>
      </c>
      <c r="Q59" s="7">
        <f>'1 datos preparados'!P52</f>
        <v/>
      </c>
      <c r="R59" s="7">
        <f>'1 datos preparados'!Q52</f>
        <v/>
      </c>
      <c r="S59" s="7">
        <f>'1 datos preparados'!R52</f>
        <v/>
      </c>
      <c r="T59" s="7">
        <f>'1 datos preparados'!S52</f>
        <v/>
      </c>
      <c r="U59" s="7">
        <f>'1 datos preparados'!T52</f>
        <v/>
      </c>
      <c r="V59" s="8">
        <f>$AE$12+D59*$AE$13+E59*$AE$14+F59*$AE$15+G59*$AE$16+H59*$AE$17+I59*$AE$18+J59*$AE$19+K59*$AE$20+L59*$AE$21+M59*$AE$22+N59*$AE$23+O59*$AE$24+P59*$AE$25+Q59*$AE$26+R59*$AE$27+S59*$AE$28+T59*$AE$29+U59*$AE$30</f>
        <v/>
      </c>
      <c r="W59" s="8">
        <f>1/(1+EXP(-V59))</f>
        <v/>
      </c>
      <c r="X59" s="9">
        <f>-IF(C59=1,LN(W59),LN(1-W59))</f>
        <v/>
      </c>
      <c r="Y59" s="8">
        <f>1</f>
        <v/>
      </c>
      <c r="Z59" s="9">
        <f>Y59*X59</f>
        <v/>
      </c>
      <c r="AA59" s="10">
        <f>IF(W59&gt;$AE$32,1,0)</f>
        <v/>
      </c>
      <c r="AB59">
        <f>IF(AA59=C59,1,0)</f>
        <v/>
      </c>
    </row>
    <row r="60">
      <c r="A60">
        <f>'1 datos preparados'!A53</f>
        <v/>
      </c>
      <c r="B60" s="5">
        <f>'1 datos preparados'!U53</f>
        <v/>
      </c>
      <c r="C60">
        <f>'1 datos preparados'!B53</f>
        <v/>
      </c>
      <c r="D60" s="7">
        <f>'1 datos preparados'!C53</f>
        <v/>
      </c>
      <c r="E60" s="7">
        <f>'1 datos preparados'!D53</f>
        <v/>
      </c>
      <c r="F60" s="7">
        <f>'1 datos preparados'!E53</f>
        <v/>
      </c>
      <c r="G60" s="7">
        <f>'1 datos preparados'!F53</f>
        <v/>
      </c>
      <c r="H60" s="7">
        <f>'1 datos preparados'!G53</f>
        <v/>
      </c>
      <c r="I60" s="7">
        <f>'1 datos preparados'!H53</f>
        <v/>
      </c>
      <c r="J60" s="7">
        <f>'1 datos preparados'!I53</f>
        <v/>
      </c>
      <c r="K60" s="7">
        <f>'1 datos preparados'!J53</f>
        <v/>
      </c>
      <c r="L60" s="7">
        <f>'1 datos preparados'!K53</f>
        <v/>
      </c>
      <c r="M60" s="7">
        <f>'1 datos preparados'!L53</f>
        <v/>
      </c>
      <c r="N60" s="7">
        <f>'1 datos preparados'!M53</f>
        <v/>
      </c>
      <c r="O60" s="7">
        <f>'1 datos preparados'!N53</f>
        <v/>
      </c>
      <c r="P60" s="7">
        <f>'1 datos preparados'!O53</f>
        <v/>
      </c>
      <c r="Q60" s="7">
        <f>'1 datos preparados'!P53</f>
        <v/>
      </c>
      <c r="R60" s="7">
        <f>'1 datos preparados'!Q53</f>
        <v/>
      </c>
      <c r="S60" s="7">
        <f>'1 datos preparados'!R53</f>
        <v/>
      </c>
      <c r="T60" s="7">
        <f>'1 datos preparados'!S53</f>
        <v/>
      </c>
      <c r="U60" s="7">
        <f>'1 datos preparados'!T53</f>
        <v/>
      </c>
      <c r="V60" s="8">
        <f>$AE$12+D60*$AE$13+E60*$AE$14+F60*$AE$15+G60*$AE$16+H60*$AE$17+I60*$AE$18+J60*$AE$19+K60*$AE$20+L60*$AE$21+M60*$AE$22+N60*$AE$23+O60*$AE$24+P60*$AE$25+Q60*$AE$26+R60*$AE$27+S60*$AE$28+T60*$AE$29+U60*$AE$30</f>
        <v/>
      </c>
      <c r="W60" s="8">
        <f>1/(1+EXP(-V60))</f>
        <v/>
      </c>
      <c r="X60" s="9">
        <f>-IF(C60=1,LN(W60),LN(1-W60))</f>
        <v/>
      </c>
      <c r="Y60" s="8">
        <f>1</f>
        <v/>
      </c>
      <c r="Z60" s="9">
        <f>Y60*X60</f>
        <v/>
      </c>
      <c r="AA60" s="10">
        <f>IF(W60&gt;$AE$32,1,0)</f>
        <v/>
      </c>
      <c r="AB60">
        <f>IF(AA60=C60,1,0)</f>
        <v/>
      </c>
    </row>
    <row r="61">
      <c r="A61">
        <f>'1 datos preparados'!A54</f>
        <v/>
      </c>
      <c r="B61" s="5">
        <f>'1 datos preparados'!U54</f>
        <v/>
      </c>
      <c r="C61">
        <f>'1 datos preparados'!B54</f>
        <v/>
      </c>
      <c r="D61" s="7">
        <f>'1 datos preparados'!C54</f>
        <v/>
      </c>
      <c r="E61" s="7">
        <f>'1 datos preparados'!D54</f>
        <v/>
      </c>
      <c r="F61" s="7">
        <f>'1 datos preparados'!E54</f>
        <v/>
      </c>
      <c r="G61" s="7">
        <f>'1 datos preparados'!F54</f>
        <v/>
      </c>
      <c r="H61" s="7">
        <f>'1 datos preparados'!G54</f>
        <v/>
      </c>
      <c r="I61" s="7">
        <f>'1 datos preparados'!H54</f>
        <v/>
      </c>
      <c r="J61" s="7">
        <f>'1 datos preparados'!I54</f>
        <v/>
      </c>
      <c r="K61" s="7">
        <f>'1 datos preparados'!J54</f>
        <v/>
      </c>
      <c r="L61" s="7">
        <f>'1 datos preparados'!K54</f>
        <v/>
      </c>
      <c r="M61" s="7">
        <f>'1 datos preparados'!L54</f>
        <v/>
      </c>
      <c r="N61" s="7">
        <f>'1 datos preparados'!M54</f>
        <v/>
      </c>
      <c r="O61" s="7">
        <f>'1 datos preparados'!N54</f>
        <v/>
      </c>
      <c r="P61" s="7">
        <f>'1 datos preparados'!O54</f>
        <v/>
      </c>
      <c r="Q61" s="7">
        <f>'1 datos preparados'!P54</f>
        <v/>
      </c>
      <c r="R61" s="7">
        <f>'1 datos preparados'!Q54</f>
        <v/>
      </c>
      <c r="S61" s="7">
        <f>'1 datos preparados'!R54</f>
        <v/>
      </c>
      <c r="T61" s="7">
        <f>'1 datos preparados'!S54</f>
        <v/>
      </c>
      <c r="U61" s="7">
        <f>'1 datos preparados'!T54</f>
        <v/>
      </c>
      <c r="V61" s="8">
        <f>$AE$12+D61*$AE$13+E61*$AE$14+F61*$AE$15+G61*$AE$16+H61*$AE$17+I61*$AE$18+J61*$AE$19+K61*$AE$20+L61*$AE$21+M61*$AE$22+N61*$AE$23+O61*$AE$24+P61*$AE$25+Q61*$AE$26+R61*$AE$27+S61*$AE$28+T61*$AE$29+U61*$AE$30</f>
        <v/>
      </c>
      <c r="W61" s="8">
        <f>1/(1+EXP(-V61))</f>
        <v/>
      </c>
      <c r="X61" s="9">
        <f>-IF(C61=1,LN(W61),LN(1-W61))</f>
        <v/>
      </c>
      <c r="Y61" s="8">
        <f>1</f>
        <v/>
      </c>
      <c r="Z61" s="9">
        <f>Y61*X61</f>
        <v/>
      </c>
      <c r="AA61" s="10">
        <f>IF(W61&gt;$AE$32,1,0)</f>
        <v/>
      </c>
      <c r="AB61">
        <f>IF(AA61=C61,1,0)</f>
        <v/>
      </c>
    </row>
    <row r="62">
      <c r="A62">
        <f>'1 datos preparados'!A55</f>
        <v/>
      </c>
      <c r="B62" s="5">
        <f>'1 datos preparados'!U55</f>
        <v/>
      </c>
      <c r="C62">
        <f>'1 datos preparados'!B55</f>
        <v/>
      </c>
      <c r="D62" s="7">
        <f>'1 datos preparados'!C55</f>
        <v/>
      </c>
      <c r="E62" s="7">
        <f>'1 datos preparados'!D55</f>
        <v/>
      </c>
      <c r="F62" s="7">
        <f>'1 datos preparados'!E55</f>
        <v/>
      </c>
      <c r="G62" s="7">
        <f>'1 datos preparados'!F55</f>
        <v/>
      </c>
      <c r="H62" s="7">
        <f>'1 datos preparados'!G55</f>
        <v/>
      </c>
      <c r="I62" s="7">
        <f>'1 datos preparados'!H55</f>
        <v/>
      </c>
      <c r="J62" s="7">
        <f>'1 datos preparados'!I55</f>
        <v/>
      </c>
      <c r="K62" s="7">
        <f>'1 datos preparados'!J55</f>
        <v/>
      </c>
      <c r="L62" s="7">
        <f>'1 datos preparados'!K55</f>
        <v/>
      </c>
      <c r="M62" s="7">
        <f>'1 datos preparados'!L55</f>
        <v/>
      </c>
      <c r="N62" s="7">
        <f>'1 datos preparados'!M55</f>
        <v/>
      </c>
      <c r="O62" s="7">
        <f>'1 datos preparados'!N55</f>
        <v/>
      </c>
      <c r="P62" s="7">
        <f>'1 datos preparados'!O55</f>
        <v/>
      </c>
      <c r="Q62" s="7">
        <f>'1 datos preparados'!P55</f>
        <v/>
      </c>
      <c r="R62" s="7">
        <f>'1 datos preparados'!Q55</f>
        <v/>
      </c>
      <c r="S62" s="7">
        <f>'1 datos preparados'!R55</f>
        <v/>
      </c>
      <c r="T62" s="7">
        <f>'1 datos preparados'!S55</f>
        <v/>
      </c>
      <c r="U62" s="7">
        <f>'1 datos preparados'!T55</f>
        <v/>
      </c>
      <c r="V62" s="8">
        <f>$AE$12+D62*$AE$13+E62*$AE$14+F62*$AE$15+G62*$AE$16+H62*$AE$17+I62*$AE$18+J62*$AE$19+K62*$AE$20+L62*$AE$21+M62*$AE$22+N62*$AE$23+O62*$AE$24+P62*$AE$25+Q62*$AE$26+R62*$AE$27+S62*$AE$28+T62*$AE$29+U62*$AE$30</f>
        <v/>
      </c>
      <c r="W62" s="8">
        <f>1/(1+EXP(-V62))</f>
        <v/>
      </c>
      <c r="X62" s="9">
        <f>-IF(C62=1,LN(W62),LN(1-W62))</f>
        <v/>
      </c>
      <c r="Y62" s="8">
        <f>1</f>
        <v/>
      </c>
      <c r="Z62" s="9">
        <f>Y62*X62</f>
        <v/>
      </c>
      <c r="AA62" s="10">
        <f>IF(W62&gt;$AE$32,1,0)</f>
        <v/>
      </c>
      <c r="AB62">
        <f>IF(AA62=C62,1,0)</f>
        <v/>
      </c>
    </row>
    <row r="63">
      <c r="A63">
        <f>'1 datos preparados'!A56</f>
        <v/>
      </c>
      <c r="B63" s="5">
        <f>'1 datos preparados'!U56</f>
        <v/>
      </c>
      <c r="C63">
        <f>'1 datos preparados'!B56</f>
        <v/>
      </c>
      <c r="D63" s="7">
        <f>'1 datos preparados'!C56</f>
        <v/>
      </c>
      <c r="E63" s="7">
        <f>'1 datos preparados'!D56</f>
        <v/>
      </c>
      <c r="F63" s="7">
        <f>'1 datos preparados'!E56</f>
        <v/>
      </c>
      <c r="G63" s="7">
        <f>'1 datos preparados'!F56</f>
        <v/>
      </c>
      <c r="H63" s="7">
        <f>'1 datos preparados'!G56</f>
        <v/>
      </c>
      <c r="I63" s="7">
        <f>'1 datos preparados'!H56</f>
        <v/>
      </c>
      <c r="J63" s="7">
        <f>'1 datos preparados'!I56</f>
        <v/>
      </c>
      <c r="K63" s="7">
        <f>'1 datos preparados'!J56</f>
        <v/>
      </c>
      <c r="L63" s="7">
        <f>'1 datos preparados'!K56</f>
        <v/>
      </c>
      <c r="M63" s="7">
        <f>'1 datos preparados'!L56</f>
        <v/>
      </c>
      <c r="N63" s="7">
        <f>'1 datos preparados'!M56</f>
        <v/>
      </c>
      <c r="O63" s="7">
        <f>'1 datos preparados'!N56</f>
        <v/>
      </c>
      <c r="P63" s="7">
        <f>'1 datos preparados'!O56</f>
        <v/>
      </c>
      <c r="Q63" s="7">
        <f>'1 datos preparados'!P56</f>
        <v/>
      </c>
      <c r="R63" s="7">
        <f>'1 datos preparados'!Q56</f>
        <v/>
      </c>
      <c r="S63" s="7">
        <f>'1 datos preparados'!R56</f>
        <v/>
      </c>
      <c r="T63" s="7">
        <f>'1 datos preparados'!S56</f>
        <v/>
      </c>
      <c r="U63" s="7">
        <f>'1 datos preparados'!T56</f>
        <v/>
      </c>
      <c r="V63" s="8">
        <f>$AE$12+D63*$AE$13+E63*$AE$14+F63*$AE$15+G63*$AE$16+H63*$AE$17+I63*$AE$18+J63*$AE$19+K63*$AE$20+L63*$AE$21+M63*$AE$22+N63*$AE$23+O63*$AE$24+P63*$AE$25+Q63*$AE$26+R63*$AE$27+S63*$AE$28+T63*$AE$29+U63*$AE$30</f>
        <v/>
      </c>
      <c r="W63" s="8">
        <f>1/(1+EXP(-V63))</f>
        <v/>
      </c>
      <c r="X63" s="9">
        <f>-IF(C63=1,LN(W63),LN(1-W63))</f>
        <v/>
      </c>
      <c r="Y63" s="8">
        <f>1</f>
        <v/>
      </c>
      <c r="Z63" s="9">
        <f>Y63*X63</f>
        <v/>
      </c>
      <c r="AA63" s="10">
        <f>IF(W63&gt;$AE$32,1,0)</f>
        <v/>
      </c>
      <c r="AB63">
        <f>IF(AA63=C63,1,0)</f>
        <v/>
      </c>
    </row>
    <row r="64">
      <c r="A64">
        <f>'1 datos preparados'!A57</f>
        <v/>
      </c>
      <c r="B64" s="5">
        <f>'1 datos preparados'!U57</f>
        <v/>
      </c>
      <c r="C64">
        <f>'1 datos preparados'!B57</f>
        <v/>
      </c>
      <c r="D64" s="7">
        <f>'1 datos preparados'!C57</f>
        <v/>
      </c>
      <c r="E64" s="7">
        <f>'1 datos preparados'!D57</f>
        <v/>
      </c>
      <c r="F64" s="7">
        <f>'1 datos preparados'!E57</f>
        <v/>
      </c>
      <c r="G64" s="7">
        <f>'1 datos preparados'!F57</f>
        <v/>
      </c>
      <c r="H64" s="7">
        <f>'1 datos preparados'!G57</f>
        <v/>
      </c>
      <c r="I64" s="7">
        <f>'1 datos preparados'!H57</f>
        <v/>
      </c>
      <c r="J64" s="7">
        <f>'1 datos preparados'!I57</f>
        <v/>
      </c>
      <c r="K64" s="7">
        <f>'1 datos preparados'!J57</f>
        <v/>
      </c>
      <c r="L64" s="7">
        <f>'1 datos preparados'!K57</f>
        <v/>
      </c>
      <c r="M64" s="7">
        <f>'1 datos preparados'!L57</f>
        <v/>
      </c>
      <c r="N64" s="7">
        <f>'1 datos preparados'!M57</f>
        <v/>
      </c>
      <c r="O64" s="7">
        <f>'1 datos preparados'!N57</f>
        <v/>
      </c>
      <c r="P64" s="7">
        <f>'1 datos preparados'!O57</f>
        <v/>
      </c>
      <c r="Q64" s="7">
        <f>'1 datos preparados'!P57</f>
        <v/>
      </c>
      <c r="R64" s="7">
        <f>'1 datos preparados'!Q57</f>
        <v/>
      </c>
      <c r="S64" s="7">
        <f>'1 datos preparados'!R57</f>
        <v/>
      </c>
      <c r="T64" s="7">
        <f>'1 datos preparados'!S57</f>
        <v/>
      </c>
      <c r="U64" s="7">
        <f>'1 datos preparados'!T57</f>
        <v/>
      </c>
      <c r="V64" s="8">
        <f>$AE$12+D64*$AE$13+E64*$AE$14+F64*$AE$15+G64*$AE$16+H64*$AE$17+I64*$AE$18+J64*$AE$19+K64*$AE$20+L64*$AE$21+M64*$AE$22+N64*$AE$23+O64*$AE$24+P64*$AE$25+Q64*$AE$26+R64*$AE$27+S64*$AE$28+T64*$AE$29+U64*$AE$30</f>
        <v/>
      </c>
      <c r="W64" s="8">
        <f>1/(1+EXP(-V64))</f>
        <v/>
      </c>
      <c r="X64" s="9">
        <f>-IF(C64=1,LN(W64),LN(1-W64))</f>
        <v/>
      </c>
      <c r="Y64" s="8">
        <f>1</f>
        <v/>
      </c>
      <c r="Z64" s="9">
        <f>Y64*X64</f>
        <v/>
      </c>
      <c r="AA64" s="10">
        <f>IF(W64&gt;$AE$32,1,0)</f>
        <v/>
      </c>
      <c r="AB64">
        <f>IF(AA64=C64,1,0)</f>
        <v/>
      </c>
    </row>
    <row r="65">
      <c r="A65">
        <f>'1 datos preparados'!A58</f>
        <v/>
      </c>
      <c r="B65" s="5">
        <f>'1 datos preparados'!U58</f>
        <v/>
      </c>
      <c r="C65">
        <f>'1 datos preparados'!B58</f>
        <v/>
      </c>
      <c r="D65" s="7">
        <f>'1 datos preparados'!C58</f>
        <v/>
      </c>
      <c r="E65" s="7">
        <f>'1 datos preparados'!D58</f>
        <v/>
      </c>
      <c r="F65" s="7">
        <f>'1 datos preparados'!E58</f>
        <v/>
      </c>
      <c r="G65" s="7">
        <f>'1 datos preparados'!F58</f>
        <v/>
      </c>
      <c r="H65" s="7">
        <f>'1 datos preparados'!G58</f>
        <v/>
      </c>
      <c r="I65" s="7">
        <f>'1 datos preparados'!H58</f>
        <v/>
      </c>
      <c r="J65" s="7">
        <f>'1 datos preparados'!I58</f>
        <v/>
      </c>
      <c r="K65" s="7">
        <f>'1 datos preparados'!J58</f>
        <v/>
      </c>
      <c r="L65" s="7">
        <f>'1 datos preparados'!K58</f>
        <v/>
      </c>
      <c r="M65" s="7">
        <f>'1 datos preparados'!L58</f>
        <v/>
      </c>
      <c r="N65" s="7">
        <f>'1 datos preparados'!M58</f>
        <v/>
      </c>
      <c r="O65" s="7">
        <f>'1 datos preparados'!N58</f>
        <v/>
      </c>
      <c r="P65" s="7">
        <f>'1 datos preparados'!O58</f>
        <v/>
      </c>
      <c r="Q65" s="7">
        <f>'1 datos preparados'!P58</f>
        <v/>
      </c>
      <c r="R65" s="7">
        <f>'1 datos preparados'!Q58</f>
        <v/>
      </c>
      <c r="S65" s="7">
        <f>'1 datos preparados'!R58</f>
        <v/>
      </c>
      <c r="T65" s="7">
        <f>'1 datos preparados'!S58</f>
        <v/>
      </c>
      <c r="U65" s="7">
        <f>'1 datos preparados'!T58</f>
        <v/>
      </c>
      <c r="V65" s="8">
        <f>$AE$12+D65*$AE$13+E65*$AE$14+F65*$AE$15+G65*$AE$16+H65*$AE$17+I65*$AE$18+J65*$AE$19+K65*$AE$20+L65*$AE$21+M65*$AE$22+N65*$AE$23+O65*$AE$24+P65*$AE$25+Q65*$AE$26+R65*$AE$27+S65*$AE$28+T65*$AE$29+U65*$AE$30</f>
        <v/>
      </c>
      <c r="W65" s="8">
        <f>1/(1+EXP(-V65))</f>
        <v/>
      </c>
      <c r="X65" s="9">
        <f>-IF(C65=1,LN(W65),LN(1-W65))</f>
        <v/>
      </c>
      <c r="Y65" s="8">
        <f>1</f>
        <v/>
      </c>
      <c r="Z65" s="9">
        <f>Y65*X65</f>
        <v/>
      </c>
      <c r="AA65" s="10">
        <f>IF(W65&gt;$AE$32,1,0)</f>
        <v/>
      </c>
      <c r="AB65">
        <f>IF(AA65=C65,1,0)</f>
        <v/>
      </c>
    </row>
    <row r="66">
      <c r="A66">
        <f>'1 datos preparados'!A59</f>
        <v/>
      </c>
      <c r="B66" s="5">
        <f>'1 datos preparados'!U59</f>
        <v/>
      </c>
      <c r="C66">
        <f>'1 datos preparados'!B59</f>
        <v/>
      </c>
      <c r="D66" s="7">
        <f>'1 datos preparados'!C59</f>
        <v/>
      </c>
      <c r="E66" s="7">
        <f>'1 datos preparados'!D59</f>
        <v/>
      </c>
      <c r="F66" s="7">
        <f>'1 datos preparados'!E59</f>
        <v/>
      </c>
      <c r="G66" s="7">
        <f>'1 datos preparados'!F59</f>
        <v/>
      </c>
      <c r="H66" s="7">
        <f>'1 datos preparados'!G59</f>
        <v/>
      </c>
      <c r="I66" s="7">
        <f>'1 datos preparados'!H59</f>
        <v/>
      </c>
      <c r="J66" s="7">
        <f>'1 datos preparados'!I59</f>
        <v/>
      </c>
      <c r="K66" s="7">
        <f>'1 datos preparados'!J59</f>
        <v/>
      </c>
      <c r="L66" s="7">
        <f>'1 datos preparados'!K59</f>
        <v/>
      </c>
      <c r="M66" s="7">
        <f>'1 datos preparados'!L59</f>
        <v/>
      </c>
      <c r="N66" s="7">
        <f>'1 datos preparados'!M59</f>
        <v/>
      </c>
      <c r="O66" s="7">
        <f>'1 datos preparados'!N59</f>
        <v/>
      </c>
      <c r="P66" s="7">
        <f>'1 datos preparados'!O59</f>
        <v/>
      </c>
      <c r="Q66" s="7">
        <f>'1 datos preparados'!P59</f>
        <v/>
      </c>
      <c r="R66" s="7">
        <f>'1 datos preparados'!Q59</f>
        <v/>
      </c>
      <c r="S66" s="7">
        <f>'1 datos preparados'!R59</f>
        <v/>
      </c>
      <c r="T66" s="7">
        <f>'1 datos preparados'!S59</f>
        <v/>
      </c>
      <c r="U66" s="7">
        <f>'1 datos preparados'!T59</f>
        <v/>
      </c>
      <c r="V66" s="8">
        <f>$AE$12+D66*$AE$13+E66*$AE$14+F66*$AE$15+G66*$AE$16+H66*$AE$17+I66*$AE$18+J66*$AE$19+K66*$AE$20+L66*$AE$21+M66*$AE$22+N66*$AE$23+O66*$AE$24+P66*$AE$25+Q66*$AE$26+R66*$AE$27+S66*$AE$28+T66*$AE$29+U66*$AE$30</f>
        <v/>
      </c>
      <c r="W66" s="8">
        <f>1/(1+EXP(-V66))</f>
        <v/>
      </c>
      <c r="X66" s="9">
        <f>-IF(C66=1,LN(W66),LN(1-W66))</f>
        <v/>
      </c>
      <c r="Y66" s="8">
        <f>1</f>
        <v/>
      </c>
      <c r="Z66" s="9">
        <f>Y66*X66</f>
        <v/>
      </c>
      <c r="AA66" s="10">
        <f>IF(W66&gt;$AE$32,1,0)</f>
        <v/>
      </c>
      <c r="AB66">
        <f>IF(AA66=C66,1,0)</f>
        <v/>
      </c>
    </row>
    <row r="67">
      <c r="A67">
        <f>'1 datos preparados'!A60</f>
        <v/>
      </c>
      <c r="B67" s="5">
        <f>'1 datos preparados'!U60</f>
        <v/>
      </c>
      <c r="C67">
        <f>'1 datos preparados'!B60</f>
        <v/>
      </c>
      <c r="D67" s="7">
        <f>'1 datos preparados'!C60</f>
        <v/>
      </c>
      <c r="E67" s="7">
        <f>'1 datos preparados'!D60</f>
        <v/>
      </c>
      <c r="F67" s="7">
        <f>'1 datos preparados'!E60</f>
        <v/>
      </c>
      <c r="G67" s="7">
        <f>'1 datos preparados'!F60</f>
        <v/>
      </c>
      <c r="H67" s="7">
        <f>'1 datos preparados'!G60</f>
        <v/>
      </c>
      <c r="I67" s="7">
        <f>'1 datos preparados'!H60</f>
        <v/>
      </c>
      <c r="J67" s="7">
        <f>'1 datos preparados'!I60</f>
        <v/>
      </c>
      <c r="K67" s="7">
        <f>'1 datos preparados'!J60</f>
        <v/>
      </c>
      <c r="L67" s="7">
        <f>'1 datos preparados'!K60</f>
        <v/>
      </c>
      <c r="M67" s="7">
        <f>'1 datos preparados'!L60</f>
        <v/>
      </c>
      <c r="N67" s="7">
        <f>'1 datos preparados'!M60</f>
        <v/>
      </c>
      <c r="O67" s="7">
        <f>'1 datos preparados'!N60</f>
        <v/>
      </c>
      <c r="P67" s="7">
        <f>'1 datos preparados'!O60</f>
        <v/>
      </c>
      <c r="Q67" s="7">
        <f>'1 datos preparados'!P60</f>
        <v/>
      </c>
      <c r="R67" s="7">
        <f>'1 datos preparados'!Q60</f>
        <v/>
      </c>
      <c r="S67" s="7">
        <f>'1 datos preparados'!R60</f>
        <v/>
      </c>
      <c r="T67" s="7">
        <f>'1 datos preparados'!S60</f>
        <v/>
      </c>
      <c r="U67" s="7">
        <f>'1 datos preparados'!T60</f>
        <v/>
      </c>
      <c r="V67" s="8">
        <f>$AE$12+D67*$AE$13+E67*$AE$14+F67*$AE$15+G67*$AE$16+H67*$AE$17+I67*$AE$18+J67*$AE$19+K67*$AE$20+L67*$AE$21+M67*$AE$22+N67*$AE$23+O67*$AE$24+P67*$AE$25+Q67*$AE$26+R67*$AE$27+S67*$AE$28+T67*$AE$29+U67*$AE$30</f>
        <v/>
      </c>
      <c r="W67" s="8">
        <f>1/(1+EXP(-V67))</f>
        <v/>
      </c>
      <c r="X67" s="9">
        <f>-IF(C67=1,LN(W67),LN(1-W67))</f>
        <v/>
      </c>
      <c r="Y67" s="8">
        <f>1</f>
        <v/>
      </c>
      <c r="Z67" s="9">
        <f>Y67*X67</f>
        <v/>
      </c>
      <c r="AA67" s="10">
        <f>IF(W67&gt;$AE$32,1,0)</f>
        <v/>
      </c>
      <c r="AB67">
        <f>IF(AA67=C67,1,0)</f>
        <v/>
      </c>
    </row>
    <row r="68">
      <c r="A68">
        <f>'1 datos preparados'!A61</f>
        <v/>
      </c>
      <c r="B68" s="5">
        <f>'1 datos preparados'!U61</f>
        <v/>
      </c>
      <c r="C68">
        <f>'1 datos preparados'!B61</f>
        <v/>
      </c>
      <c r="D68" s="7">
        <f>'1 datos preparados'!C61</f>
        <v/>
      </c>
      <c r="E68" s="7">
        <f>'1 datos preparados'!D61</f>
        <v/>
      </c>
      <c r="F68" s="7">
        <f>'1 datos preparados'!E61</f>
        <v/>
      </c>
      <c r="G68" s="7">
        <f>'1 datos preparados'!F61</f>
        <v/>
      </c>
      <c r="H68" s="7">
        <f>'1 datos preparados'!G61</f>
        <v/>
      </c>
      <c r="I68" s="7">
        <f>'1 datos preparados'!H61</f>
        <v/>
      </c>
      <c r="J68" s="7">
        <f>'1 datos preparados'!I61</f>
        <v/>
      </c>
      <c r="K68" s="7">
        <f>'1 datos preparados'!J61</f>
        <v/>
      </c>
      <c r="L68" s="7">
        <f>'1 datos preparados'!K61</f>
        <v/>
      </c>
      <c r="M68" s="7">
        <f>'1 datos preparados'!L61</f>
        <v/>
      </c>
      <c r="N68" s="7">
        <f>'1 datos preparados'!M61</f>
        <v/>
      </c>
      <c r="O68" s="7">
        <f>'1 datos preparados'!N61</f>
        <v/>
      </c>
      <c r="P68" s="7">
        <f>'1 datos preparados'!O61</f>
        <v/>
      </c>
      <c r="Q68" s="7">
        <f>'1 datos preparados'!P61</f>
        <v/>
      </c>
      <c r="R68" s="7">
        <f>'1 datos preparados'!Q61</f>
        <v/>
      </c>
      <c r="S68" s="7">
        <f>'1 datos preparados'!R61</f>
        <v/>
      </c>
      <c r="T68" s="7">
        <f>'1 datos preparados'!S61</f>
        <v/>
      </c>
      <c r="U68" s="7">
        <f>'1 datos preparados'!T61</f>
        <v/>
      </c>
      <c r="V68" s="8">
        <f>$AE$12+D68*$AE$13+E68*$AE$14+F68*$AE$15+G68*$AE$16+H68*$AE$17+I68*$AE$18+J68*$AE$19+K68*$AE$20+L68*$AE$21+M68*$AE$22+N68*$AE$23+O68*$AE$24+P68*$AE$25+Q68*$AE$26+R68*$AE$27+S68*$AE$28+T68*$AE$29+U68*$AE$30</f>
        <v/>
      </c>
      <c r="W68" s="8">
        <f>1/(1+EXP(-V68))</f>
        <v/>
      </c>
      <c r="X68" s="9">
        <f>-IF(C68=1,LN(W68),LN(1-W68))</f>
        <v/>
      </c>
      <c r="Y68" s="8">
        <f>1</f>
        <v/>
      </c>
      <c r="Z68" s="9">
        <f>Y68*X68</f>
        <v/>
      </c>
      <c r="AA68" s="10">
        <f>IF(W68&gt;$AE$32,1,0)</f>
        <v/>
      </c>
      <c r="AB68">
        <f>IF(AA68=C68,1,0)</f>
        <v/>
      </c>
    </row>
    <row r="69">
      <c r="A69">
        <f>'1 datos preparados'!A62</f>
        <v/>
      </c>
      <c r="B69" s="5">
        <f>'1 datos preparados'!U62</f>
        <v/>
      </c>
      <c r="C69">
        <f>'1 datos preparados'!B62</f>
        <v/>
      </c>
      <c r="D69" s="7">
        <f>'1 datos preparados'!C62</f>
        <v/>
      </c>
      <c r="E69" s="7">
        <f>'1 datos preparados'!D62</f>
        <v/>
      </c>
      <c r="F69" s="7">
        <f>'1 datos preparados'!E62</f>
        <v/>
      </c>
      <c r="G69" s="7">
        <f>'1 datos preparados'!F62</f>
        <v/>
      </c>
      <c r="H69" s="7">
        <f>'1 datos preparados'!G62</f>
        <v/>
      </c>
      <c r="I69" s="7">
        <f>'1 datos preparados'!H62</f>
        <v/>
      </c>
      <c r="J69" s="7">
        <f>'1 datos preparados'!I62</f>
        <v/>
      </c>
      <c r="K69" s="7">
        <f>'1 datos preparados'!J62</f>
        <v/>
      </c>
      <c r="L69" s="7">
        <f>'1 datos preparados'!K62</f>
        <v/>
      </c>
      <c r="M69" s="7">
        <f>'1 datos preparados'!L62</f>
        <v/>
      </c>
      <c r="N69" s="7">
        <f>'1 datos preparados'!M62</f>
        <v/>
      </c>
      <c r="O69" s="7">
        <f>'1 datos preparados'!N62</f>
        <v/>
      </c>
      <c r="P69" s="7">
        <f>'1 datos preparados'!O62</f>
        <v/>
      </c>
      <c r="Q69" s="7">
        <f>'1 datos preparados'!P62</f>
        <v/>
      </c>
      <c r="R69" s="7">
        <f>'1 datos preparados'!Q62</f>
        <v/>
      </c>
      <c r="S69" s="7">
        <f>'1 datos preparados'!R62</f>
        <v/>
      </c>
      <c r="T69" s="7">
        <f>'1 datos preparados'!S62</f>
        <v/>
      </c>
      <c r="U69" s="7">
        <f>'1 datos preparados'!T62</f>
        <v/>
      </c>
      <c r="V69" s="8">
        <f>$AE$12+D69*$AE$13+E69*$AE$14+F69*$AE$15+G69*$AE$16+H69*$AE$17+I69*$AE$18+J69*$AE$19+K69*$AE$20+L69*$AE$21+M69*$AE$22+N69*$AE$23+O69*$AE$24+P69*$AE$25+Q69*$AE$26+R69*$AE$27+S69*$AE$28+T69*$AE$29+U69*$AE$30</f>
        <v/>
      </c>
      <c r="W69" s="8">
        <f>1/(1+EXP(-V69))</f>
        <v/>
      </c>
      <c r="X69" s="9">
        <f>-IF(C69=1,LN(W69),LN(1-W69))</f>
        <v/>
      </c>
      <c r="Y69" s="8">
        <f>1</f>
        <v/>
      </c>
      <c r="Z69" s="9">
        <f>Y69*X69</f>
        <v/>
      </c>
      <c r="AA69" s="10">
        <f>IF(W69&gt;$AE$32,1,0)</f>
        <v/>
      </c>
      <c r="AB69">
        <f>IF(AA69=C69,1,0)</f>
        <v/>
      </c>
    </row>
    <row r="70">
      <c r="A70">
        <f>'1 datos preparados'!A63</f>
        <v/>
      </c>
      <c r="B70" s="5">
        <f>'1 datos preparados'!U63</f>
        <v/>
      </c>
      <c r="C70">
        <f>'1 datos preparados'!B63</f>
        <v/>
      </c>
      <c r="D70" s="7">
        <f>'1 datos preparados'!C63</f>
        <v/>
      </c>
      <c r="E70" s="7">
        <f>'1 datos preparados'!D63</f>
        <v/>
      </c>
      <c r="F70" s="7">
        <f>'1 datos preparados'!E63</f>
        <v/>
      </c>
      <c r="G70" s="7">
        <f>'1 datos preparados'!F63</f>
        <v/>
      </c>
      <c r="H70" s="7">
        <f>'1 datos preparados'!G63</f>
        <v/>
      </c>
      <c r="I70" s="7">
        <f>'1 datos preparados'!H63</f>
        <v/>
      </c>
      <c r="J70" s="7">
        <f>'1 datos preparados'!I63</f>
        <v/>
      </c>
      <c r="K70" s="7">
        <f>'1 datos preparados'!J63</f>
        <v/>
      </c>
      <c r="L70" s="7">
        <f>'1 datos preparados'!K63</f>
        <v/>
      </c>
      <c r="M70" s="7">
        <f>'1 datos preparados'!L63</f>
        <v/>
      </c>
      <c r="N70" s="7">
        <f>'1 datos preparados'!M63</f>
        <v/>
      </c>
      <c r="O70" s="7">
        <f>'1 datos preparados'!N63</f>
        <v/>
      </c>
      <c r="P70" s="7">
        <f>'1 datos preparados'!O63</f>
        <v/>
      </c>
      <c r="Q70" s="7">
        <f>'1 datos preparados'!P63</f>
        <v/>
      </c>
      <c r="R70" s="7">
        <f>'1 datos preparados'!Q63</f>
        <v/>
      </c>
      <c r="S70" s="7">
        <f>'1 datos preparados'!R63</f>
        <v/>
      </c>
      <c r="T70" s="7">
        <f>'1 datos preparados'!S63</f>
        <v/>
      </c>
      <c r="U70" s="7">
        <f>'1 datos preparados'!T63</f>
        <v/>
      </c>
      <c r="V70" s="8">
        <f>$AE$12+D70*$AE$13+E70*$AE$14+F70*$AE$15+G70*$AE$16+H70*$AE$17+I70*$AE$18+J70*$AE$19+K70*$AE$20+L70*$AE$21+M70*$AE$22+N70*$AE$23+O70*$AE$24+P70*$AE$25+Q70*$AE$26+R70*$AE$27+S70*$AE$28+T70*$AE$29+U70*$AE$30</f>
        <v/>
      </c>
      <c r="W70" s="8">
        <f>1/(1+EXP(-V70))</f>
        <v/>
      </c>
      <c r="X70" s="9">
        <f>-IF(C70=1,LN(W70),LN(1-W70))</f>
        <v/>
      </c>
      <c r="Y70" s="8">
        <f>1</f>
        <v/>
      </c>
      <c r="Z70" s="9">
        <f>Y70*X70</f>
        <v/>
      </c>
      <c r="AA70" s="10">
        <f>IF(W70&gt;$AE$32,1,0)</f>
        <v/>
      </c>
      <c r="AB70">
        <f>IF(AA70=C70,1,0)</f>
        <v/>
      </c>
    </row>
    <row r="71">
      <c r="A71">
        <f>'1 datos preparados'!A64</f>
        <v/>
      </c>
      <c r="B71" s="5">
        <f>'1 datos preparados'!U64</f>
        <v/>
      </c>
      <c r="C71">
        <f>'1 datos preparados'!B64</f>
        <v/>
      </c>
      <c r="D71" s="7">
        <f>'1 datos preparados'!C64</f>
        <v/>
      </c>
      <c r="E71" s="7">
        <f>'1 datos preparados'!D64</f>
        <v/>
      </c>
      <c r="F71" s="7">
        <f>'1 datos preparados'!E64</f>
        <v/>
      </c>
      <c r="G71" s="7">
        <f>'1 datos preparados'!F64</f>
        <v/>
      </c>
      <c r="H71" s="7">
        <f>'1 datos preparados'!G64</f>
        <v/>
      </c>
      <c r="I71" s="7">
        <f>'1 datos preparados'!H64</f>
        <v/>
      </c>
      <c r="J71" s="7">
        <f>'1 datos preparados'!I64</f>
        <v/>
      </c>
      <c r="K71" s="7">
        <f>'1 datos preparados'!J64</f>
        <v/>
      </c>
      <c r="L71" s="7">
        <f>'1 datos preparados'!K64</f>
        <v/>
      </c>
      <c r="M71" s="7">
        <f>'1 datos preparados'!L64</f>
        <v/>
      </c>
      <c r="N71" s="7">
        <f>'1 datos preparados'!M64</f>
        <v/>
      </c>
      <c r="O71" s="7">
        <f>'1 datos preparados'!N64</f>
        <v/>
      </c>
      <c r="P71" s="7">
        <f>'1 datos preparados'!O64</f>
        <v/>
      </c>
      <c r="Q71" s="7">
        <f>'1 datos preparados'!P64</f>
        <v/>
      </c>
      <c r="R71" s="7">
        <f>'1 datos preparados'!Q64</f>
        <v/>
      </c>
      <c r="S71" s="7">
        <f>'1 datos preparados'!R64</f>
        <v/>
      </c>
      <c r="T71" s="7">
        <f>'1 datos preparados'!S64</f>
        <v/>
      </c>
      <c r="U71" s="7">
        <f>'1 datos preparados'!T64</f>
        <v/>
      </c>
      <c r="V71" s="8">
        <f>$AE$12+D71*$AE$13+E71*$AE$14+F71*$AE$15+G71*$AE$16+H71*$AE$17+I71*$AE$18+J71*$AE$19+K71*$AE$20+L71*$AE$21+M71*$AE$22+N71*$AE$23+O71*$AE$24+P71*$AE$25+Q71*$AE$26+R71*$AE$27+S71*$AE$28+T71*$AE$29+U71*$AE$30</f>
        <v/>
      </c>
      <c r="W71" s="8">
        <f>1/(1+EXP(-V71))</f>
        <v/>
      </c>
      <c r="X71" s="9">
        <f>-IF(C71=1,LN(W71),LN(1-W71))</f>
        <v/>
      </c>
      <c r="Y71" s="8">
        <f>1</f>
        <v/>
      </c>
      <c r="Z71" s="9">
        <f>Y71*X71</f>
        <v/>
      </c>
      <c r="AA71" s="10">
        <f>IF(W71&gt;$AE$32,1,0)</f>
        <v/>
      </c>
      <c r="AB71">
        <f>IF(AA71=C71,1,0)</f>
        <v/>
      </c>
    </row>
    <row r="72">
      <c r="A72">
        <f>'1 datos preparados'!A65</f>
        <v/>
      </c>
      <c r="B72" s="5">
        <f>'1 datos preparados'!U65</f>
        <v/>
      </c>
      <c r="C72">
        <f>'1 datos preparados'!B65</f>
        <v/>
      </c>
      <c r="D72" s="7">
        <f>'1 datos preparados'!C65</f>
        <v/>
      </c>
      <c r="E72" s="7">
        <f>'1 datos preparados'!D65</f>
        <v/>
      </c>
      <c r="F72" s="7">
        <f>'1 datos preparados'!E65</f>
        <v/>
      </c>
      <c r="G72" s="7">
        <f>'1 datos preparados'!F65</f>
        <v/>
      </c>
      <c r="H72" s="7">
        <f>'1 datos preparados'!G65</f>
        <v/>
      </c>
      <c r="I72" s="7">
        <f>'1 datos preparados'!H65</f>
        <v/>
      </c>
      <c r="J72" s="7">
        <f>'1 datos preparados'!I65</f>
        <v/>
      </c>
      <c r="K72" s="7">
        <f>'1 datos preparados'!J65</f>
        <v/>
      </c>
      <c r="L72" s="7">
        <f>'1 datos preparados'!K65</f>
        <v/>
      </c>
      <c r="M72" s="7">
        <f>'1 datos preparados'!L65</f>
        <v/>
      </c>
      <c r="N72" s="7">
        <f>'1 datos preparados'!M65</f>
        <v/>
      </c>
      <c r="O72" s="7">
        <f>'1 datos preparados'!N65</f>
        <v/>
      </c>
      <c r="P72" s="7">
        <f>'1 datos preparados'!O65</f>
        <v/>
      </c>
      <c r="Q72" s="7">
        <f>'1 datos preparados'!P65</f>
        <v/>
      </c>
      <c r="R72" s="7">
        <f>'1 datos preparados'!Q65</f>
        <v/>
      </c>
      <c r="S72" s="7">
        <f>'1 datos preparados'!R65</f>
        <v/>
      </c>
      <c r="T72" s="7">
        <f>'1 datos preparados'!S65</f>
        <v/>
      </c>
      <c r="U72" s="7">
        <f>'1 datos preparados'!T65</f>
        <v/>
      </c>
      <c r="V72" s="8">
        <f>$AE$12+D72*$AE$13+E72*$AE$14+F72*$AE$15+G72*$AE$16+H72*$AE$17+I72*$AE$18+J72*$AE$19+K72*$AE$20+L72*$AE$21+M72*$AE$22+N72*$AE$23+O72*$AE$24+P72*$AE$25+Q72*$AE$26+R72*$AE$27+S72*$AE$28+T72*$AE$29+U72*$AE$30</f>
        <v/>
      </c>
      <c r="W72" s="8">
        <f>1/(1+EXP(-V72))</f>
        <v/>
      </c>
      <c r="X72" s="9">
        <f>-IF(C72=1,LN(W72),LN(1-W72))</f>
        <v/>
      </c>
      <c r="Y72" s="8">
        <f>1</f>
        <v/>
      </c>
      <c r="Z72" s="9">
        <f>Y72*X72</f>
        <v/>
      </c>
      <c r="AA72" s="10">
        <f>IF(W72&gt;$AE$32,1,0)</f>
        <v/>
      </c>
      <c r="AB72">
        <f>IF(AA72=C72,1,0)</f>
        <v/>
      </c>
    </row>
    <row r="73">
      <c r="A73">
        <f>'1 datos preparados'!A66</f>
        <v/>
      </c>
      <c r="B73" s="5">
        <f>'1 datos preparados'!U66</f>
        <v/>
      </c>
      <c r="C73">
        <f>'1 datos preparados'!B66</f>
        <v/>
      </c>
      <c r="D73" s="7">
        <f>'1 datos preparados'!C66</f>
        <v/>
      </c>
      <c r="E73" s="7">
        <f>'1 datos preparados'!D66</f>
        <v/>
      </c>
      <c r="F73" s="7">
        <f>'1 datos preparados'!E66</f>
        <v/>
      </c>
      <c r="G73" s="7">
        <f>'1 datos preparados'!F66</f>
        <v/>
      </c>
      <c r="H73" s="7">
        <f>'1 datos preparados'!G66</f>
        <v/>
      </c>
      <c r="I73" s="7">
        <f>'1 datos preparados'!H66</f>
        <v/>
      </c>
      <c r="J73" s="7">
        <f>'1 datos preparados'!I66</f>
        <v/>
      </c>
      <c r="K73" s="7">
        <f>'1 datos preparados'!J66</f>
        <v/>
      </c>
      <c r="L73" s="7">
        <f>'1 datos preparados'!K66</f>
        <v/>
      </c>
      <c r="M73" s="7">
        <f>'1 datos preparados'!L66</f>
        <v/>
      </c>
      <c r="N73" s="7">
        <f>'1 datos preparados'!M66</f>
        <v/>
      </c>
      <c r="O73" s="7">
        <f>'1 datos preparados'!N66</f>
        <v/>
      </c>
      <c r="P73" s="7">
        <f>'1 datos preparados'!O66</f>
        <v/>
      </c>
      <c r="Q73" s="7">
        <f>'1 datos preparados'!P66</f>
        <v/>
      </c>
      <c r="R73" s="7">
        <f>'1 datos preparados'!Q66</f>
        <v/>
      </c>
      <c r="S73" s="7">
        <f>'1 datos preparados'!R66</f>
        <v/>
      </c>
      <c r="T73" s="7">
        <f>'1 datos preparados'!S66</f>
        <v/>
      </c>
      <c r="U73" s="7">
        <f>'1 datos preparados'!T66</f>
        <v/>
      </c>
      <c r="V73" s="8">
        <f>$AE$12+D73*$AE$13+E73*$AE$14+F73*$AE$15+G73*$AE$16+H73*$AE$17+I73*$AE$18+J73*$AE$19+K73*$AE$20+L73*$AE$21+M73*$AE$22+N73*$AE$23+O73*$AE$24+P73*$AE$25+Q73*$AE$26+R73*$AE$27+S73*$AE$28+T73*$AE$29+U73*$AE$30</f>
        <v/>
      </c>
      <c r="W73" s="8">
        <f>1/(1+EXP(-V73))</f>
        <v/>
      </c>
      <c r="X73" s="9">
        <f>-IF(C73=1,LN(W73),LN(1-W73))</f>
        <v/>
      </c>
      <c r="Y73" s="8">
        <f>1</f>
        <v/>
      </c>
      <c r="Z73" s="9">
        <f>Y73*X73</f>
        <v/>
      </c>
      <c r="AA73" s="10">
        <f>IF(W73&gt;$AE$32,1,0)</f>
        <v/>
      </c>
      <c r="AB73">
        <f>IF(AA73=C73,1,0)</f>
        <v/>
      </c>
    </row>
    <row r="74">
      <c r="A74">
        <f>'1 datos preparados'!A67</f>
        <v/>
      </c>
      <c r="B74" s="5">
        <f>'1 datos preparados'!U67</f>
        <v/>
      </c>
      <c r="C74">
        <f>'1 datos preparados'!B67</f>
        <v/>
      </c>
      <c r="D74" s="7">
        <f>'1 datos preparados'!C67</f>
        <v/>
      </c>
      <c r="E74" s="7">
        <f>'1 datos preparados'!D67</f>
        <v/>
      </c>
      <c r="F74" s="7">
        <f>'1 datos preparados'!E67</f>
        <v/>
      </c>
      <c r="G74" s="7">
        <f>'1 datos preparados'!F67</f>
        <v/>
      </c>
      <c r="H74" s="7">
        <f>'1 datos preparados'!G67</f>
        <v/>
      </c>
      <c r="I74" s="7">
        <f>'1 datos preparados'!H67</f>
        <v/>
      </c>
      <c r="J74" s="7">
        <f>'1 datos preparados'!I67</f>
        <v/>
      </c>
      <c r="K74" s="7">
        <f>'1 datos preparados'!J67</f>
        <v/>
      </c>
      <c r="L74" s="7">
        <f>'1 datos preparados'!K67</f>
        <v/>
      </c>
      <c r="M74" s="7">
        <f>'1 datos preparados'!L67</f>
        <v/>
      </c>
      <c r="N74" s="7">
        <f>'1 datos preparados'!M67</f>
        <v/>
      </c>
      <c r="O74" s="7">
        <f>'1 datos preparados'!N67</f>
        <v/>
      </c>
      <c r="P74" s="7">
        <f>'1 datos preparados'!O67</f>
        <v/>
      </c>
      <c r="Q74" s="7">
        <f>'1 datos preparados'!P67</f>
        <v/>
      </c>
      <c r="R74" s="7">
        <f>'1 datos preparados'!Q67</f>
        <v/>
      </c>
      <c r="S74" s="7">
        <f>'1 datos preparados'!R67</f>
        <v/>
      </c>
      <c r="T74" s="7">
        <f>'1 datos preparados'!S67</f>
        <v/>
      </c>
      <c r="U74" s="7">
        <f>'1 datos preparados'!T67</f>
        <v/>
      </c>
      <c r="V74" s="8">
        <f>$AE$12+D74*$AE$13+E74*$AE$14+F74*$AE$15+G74*$AE$16+H74*$AE$17+I74*$AE$18+J74*$AE$19+K74*$AE$20+L74*$AE$21+M74*$AE$22+N74*$AE$23+O74*$AE$24+P74*$AE$25+Q74*$AE$26+R74*$AE$27+S74*$AE$28+T74*$AE$29+U74*$AE$30</f>
        <v/>
      </c>
      <c r="W74" s="8">
        <f>1/(1+EXP(-V74))</f>
        <v/>
      </c>
      <c r="X74" s="9">
        <f>-IF(C74=1,LN(W74),LN(1-W74))</f>
        <v/>
      </c>
      <c r="Y74" s="8">
        <f>1</f>
        <v/>
      </c>
      <c r="Z74" s="9">
        <f>Y74*X74</f>
        <v/>
      </c>
      <c r="AA74" s="10">
        <f>IF(W74&gt;$AE$32,1,0)</f>
        <v/>
      </c>
      <c r="AB74">
        <f>IF(AA74=C74,1,0)</f>
        <v/>
      </c>
    </row>
    <row r="75">
      <c r="A75">
        <f>'1 datos preparados'!A68</f>
        <v/>
      </c>
      <c r="B75" s="5">
        <f>'1 datos preparados'!U68</f>
        <v/>
      </c>
      <c r="C75">
        <f>'1 datos preparados'!B68</f>
        <v/>
      </c>
      <c r="D75" s="7">
        <f>'1 datos preparados'!C68</f>
        <v/>
      </c>
      <c r="E75" s="7">
        <f>'1 datos preparados'!D68</f>
        <v/>
      </c>
      <c r="F75" s="7">
        <f>'1 datos preparados'!E68</f>
        <v/>
      </c>
      <c r="G75" s="7">
        <f>'1 datos preparados'!F68</f>
        <v/>
      </c>
      <c r="H75" s="7">
        <f>'1 datos preparados'!G68</f>
        <v/>
      </c>
      <c r="I75" s="7">
        <f>'1 datos preparados'!H68</f>
        <v/>
      </c>
      <c r="J75" s="7">
        <f>'1 datos preparados'!I68</f>
        <v/>
      </c>
      <c r="K75" s="7">
        <f>'1 datos preparados'!J68</f>
        <v/>
      </c>
      <c r="L75" s="7">
        <f>'1 datos preparados'!K68</f>
        <v/>
      </c>
      <c r="M75" s="7">
        <f>'1 datos preparados'!L68</f>
        <v/>
      </c>
      <c r="N75" s="7">
        <f>'1 datos preparados'!M68</f>
        <v/>
      </c>
      <c r="O75" s="7">
        <f>'1 datos preparados'!N68</f>
        <v/>
      </c>
      <c r="P75" s="7">
        <f>'1 datos preparados'!O68</f>
        <v/>
      </c>
      <c r="Q75" s="7">
        <f>'1 datos preparados'!P68</f>
        <v/>
      </c>
      <c r="R75" s="7">
        <f>'1 datos preparados'!Q68</f>
        <v/>
      </c>
      <c r="S75" s="7">
        <f>'1 datos preparados'!R68</f>
        <v/>
      </c>
      <c r="T75" s="7">
        <f>'1 datos preparados'!S68</f>
        <v/>
      </c>
      <c r="U75" s="7">
        <f>'1 datos preparados'!T68</f>
        <v/>
      </c>
      <c r="V75" s="8">
        <f>$AE$12+D75*$AE$13+E75*$AE$14+F75*$AE$15+G75*$AE$16+H75*$AE$17+I75*$AE$18+J75*$AE$19+K75*$AE$20+L75*$AE$21+M75*$AE$22+N75*$AE$23+O75*$AE$24+P75*$AE$25+Q75*$AE$26+R75*$AE$27+S75*$AE$28+T75*$AE$29+U75*$AE$30</f>
        <v/>
      </c>
      <c r="W75" s="8">
        <f>1/(1+EXP(-V75))</f>
        <v/>
      </c>
      <c r="X75" s="9">
        <f>-IF(C75=1,LN(W75),LN(1-W75))</f>
        <v/>
      </c>
      <c r="Y75" s="8">
        <f>1</f>
        <v/>
      </c>
      <c r="Z75" s="9">
        <f>Y75*X75</f>
        <v/>
      </c>
      <c r="AA75" s="10">
        <f>IF(W75&gt;$AE$32,1,0)</f>
        <v/>
      </c>
      <c r="AB75">
        <f>IF(AA75=C75,1,0)</f>
        <v/>
      </c>
    </row>
    <row r="76">
      <c r="A76">
        <f>'1 datos preparados'!A69</f>
        <v/>
      </c>
      <c r="B76" s="5">
        <f>'1 datos preparados'!U69</f>
        <v/>
      </c>
      <c r="C76">
        <f>'1 datos preparados'!B69</f>
        <v/>
      </c>
      <c r="D76" s="7">
        <f>'1 datos preparados'!C69</f>
        <v/>
      </c>
      <c r="E76" s="7">
        <f>'1 datos preparados'!D69</f>
        <v/>
      </c>
      <c r="F76" s="7">
        <f>'1 datos preparados'!E69</f>
        <v/>
      </c>
      <c r="G76" s="7">
        <f>'1 datos preparados'!F69</f>
        <v/>
      </c>
      <c r="H76" s="7">
        <f>'1 datos preparados'!G69</f>
        <v/>
      </c>
      <c r="I76" s="7">
        <f>'1 datos preparados'!H69</f>
        <v/>
      </c>
      <c r="J76" s="7">
        <f>'1 datos preparados'!I69</f>
        <v/>
      </c>
      <c r="K76" s="7">
        <f>'1 datos preparados'!J69</f>
        <v/>
      </c>
      <c r="L76" s="7">
        <f>'1 datos preparados'!K69</f>
        <v/>
      </c>
      <c r="M76" s="7">
        <f>'1 datos preparados'!L69</f>
        <v/>
      </c>
      <c r="N76" s="7">
        <f>'1 datos preparados'!M69</f>
        <v/>
      </c>
      <c r="O76" s="7">
        <f>'1 datos preparados'!N69</f>
        <v/>
      </c>
      <c r="P76" s="7">
        <f>'1 datos preparados'!O69</f>
        <v/>
      </c>
      <c r="Q76" s="7">
        <f>'1 datos preparados'!P69</f>
        <v/>
      </c>
      <c r="R76" s="7">
        <f>'1 datos preparados'!Q69</f>
        <v/>
      </c>
      <c r="S76" s="7">
        <f>'1 datos preparados'!R69</f>
        <v/>
      </c>
      <c r="T76" s="7">
        <f>'1 datos preparados'!S69</f>
        <v/>
      </c>
      <c r="U76" s="7">
        <f>'1 datos preparados'!T69</f>
        <v/>
      </c>
      <c r="V76" s="8">
        <f>$AE$12+D76*$AE$13+E76*$AE$14+F76*$AE$15+G76*$AE$16+H76*$AE$17+I76*$AE$18+J76*$AE$19+K76*$AE$20+L76*$AE$21+M76*$AE$22+N76*$AE$23+O76*$AE$24+P76*$AE$25+Q76*$AE$26+R76*$AE$27+S76*$AE$28+T76*$AE$29+U76*$AE$30</f>
        <v/>
      </c>
      <c r="W76" s="8">
        <f>1/(1+EXP(-V76))</f>
        <v/>
      </c>
      <c r="X76" s="9">
        <f>-IF(C76=1,LN(W76),LN(1-W76))</f>
        <v/>
      </c>
      <c r="Y76" s="8">
        <f>1</f>
        <v/>
      </c>
      <c r="Z76" s="9">
        <f>Y76*X76</f>
        <v/>
      </c>
      <c r="AA76" s="10">
        <f>IF(W76&gt;$AE$32,1,0)</f>
        <v/>
      </c>
      <c r="AB76">
        <f>IF(AA76=C76,1,0)</f>
        <v/>
      </c>
    </row>
    <row r="77">
      <c r="A77">
        <f>'1 datos preparados'!A70</f>
        <v/>
      </c>
      <c r="B77" s="5">
        <f>'1 datos preparados'!U70</f>
        <v/>
      </c>
      <c r="C77">
        <f>'1 datos preparados'!B70</f>
        <v/>
      </c>
      <c r="D77" s="7">
        <f>'1 datos preparados'!C70</f>
        <v/>
      </c>
      <c r="E77" s="7">
        <f>'1 datos preparados'!D70</f>
        <v/>
      </c>
      <c r="F77" s="7">
        <f>'1 datos preparados'!E70</f>
        <v/>
      </c>
      <c r="G77" s="7">
        <f>'1 datos preparados'!F70</f>
        <v/>
      </c>
      <c r="H77" s="7">
        <f>'1 datos preparados'!G70</f>
        <v/>
      </c>
      <c r="I77" s="7">
        <f>'1 datos preparados'!H70</f>
        <v/>
      </c>
      <c r="J77" s="7">
        <f>'1 datos preparados'!I70</f>
        <v/>
      </c>
      <c r="K77" s="7">
        <f>'1 datos preparados'!J70</f>
        <v/>
      </c>
      <c r="L77" s="7">
        <f>'1 datos preparados'!K70</f>
        <v/>
      </c>
      <c r="M77" s="7">
        <f>'1 datos preparados'!L70</f>
        <v/>
      </c>
      <c r="N77" s="7">
        <f>'1 datos preparados'!M70</f>
        <v/>
      </c>
      <c r="O77" s="7">
        <f>'1 datos preparados'!N70</f>
        <v/>
      </c>
      <c r="P77" s="7">
        <f>'1 datos preparados'!O70</f>
        <v/>
      </c>
      <c r="Q77" s="7">
        <f>'1 datos preparados'!P70</f>
        <v/>
      </c>
      <c r="R77" s="7">
        <f>'1 datos preparados'!Q70</f>
        <v/>
      </c>
      <c r="S77" s="7">
        <f>'1 datos preparados'!R70</f>
        <v/>
      </c>
      <c r="T77" s="7">
        <f>'1 datos preparados'!S70</f>
        <v/>
      </c>
      <c r="U77" s="7">
        <f>'1 datos preparados'!T70</f>
        <v/>
      </c>
      <c r="V77" s="8">
        <f>$AE$12+D77*$AE$13+E77*$AE$14+F77*$AE$15+G77*$AE$16+H77*$AE$17+I77*$AE$18+J77*$AE$19+K77*$AE$20+L77*$AE$21+M77*$AE$22+N77*$AE$23+O77*$AE$24+P77*$AE$25+Q77*$AE$26+R77*$AE$27+S77*$AE$28+T77*$AE$29+U77*$AE$30</f>
        <v/>
      </c>
      <c r="W77" s="8">
        <f>1/(1+EXP(-V77))</f>
        <v/>
      </c>
      <c r="X77" s="9">
        <f>-IF(C77=1,LN(W77),LN(1-W77))</f>
        <v/>
      </c>
      <c r="Y77" s="8">
        <f>1</f>
        <v/>
      </c>
      <c r="Z77" s="9">
        <f>Y77*X77</f>
        <v/>
      </c>
      <c r="AA77" s="10">
        <f>IF(W77&gt;$AE$32,1,0)</f>
        <v/>
      </c>
      <c r="AB77">
        <f>IF(AA77=C77,1,0)</f>
        <v/>
      </c>
    </row>
    <row r="78">
      <c r="A78">
        <f>'1 datos preparados'!A71</f>
        <v/>
      </c>
      <c r="B78" s="5">
        <f>'1 datos preparados'!U71</f>
        <v/>
      </c>
      <c r="C78">
        <f>'1 datos preparados'!B71</f>
        <v/>
      </c>
      <c r="D78" s="7">
        <f>'1 datos preparados'!C71</f>
        <v/>
      </c>
      <c r="E78" s="7">
        <f>'1 datos preparados'!D71</f>
        <v/>
      </c>
      <c r="F78" s="7">
        <f>'1 datos preparados'!E71</f>
        <v/>
      </c>
      <c r="G78" s="7">
        <f>'1 datos preparados'!F71</f>
        <v/>
      </c>
      <c r="H78" s="7">
        <f>'1 datos preparados'!G71</f>
        <v/>
      </c>
      <c r="I78" s="7">
        <f>'1 datos preparados'!H71</f>
        <v/>
      </c>
      <c r="J78" s="7">
        <f>'1 datos preparados'!I71</f>
        <v/>
      </c>
      <c r="K78" s="7">
        <f>'1 datos preparados'!J71</f>
        <v/>
      </c>
      <c r="L78" s="7">
        <f>'1 datos preparados'!K71</f>
        <v/>
      </c>
      <c r="M78" s="7">
        <f>'1 datos preparados'!L71</f>
        <v/>
      </c>
      <c r="N78" s="7">
        <f>'1 datos preparados'!M71</f>
        <v/>
      </c>
      <c r="O78" s="7">
        <f>'1 datos preparados'!N71</f>
        <v/>
      </c>
      <c r="P78" s="7">
        <f>'1 datos preparados'!O71</f>
        <v/>
      </c>
      <c r="Q78" s="7">
        <f>'1 datos preparados'!P71</f>
        <v/>
      </c>
      <c r="R78" s="7">
        <f>'1 datos preparados'!Q71</f>
        <v/>
      </c>
      <c r="S78" s="7">
        <f>'1 datos preparados'!R71</f>
        <v/>
      </c>
      <c r="T78" s="7">
        <f>'1 datos preparados'!S71</f>
        <v/>
      </c>
      <c r="U78" s="7">
        <f>'1 datos preparados'!T71</f>
        <v/>
      </c>
      <c r="V78" s="8">
        <f>$AE$12+D78*$AE$13+E78*$AE$14+F78*$AE$15+G78*$AE$16+H78*$AE$17+I78*$AE$18+J78*$AE$19+K78*$AE$20+L78*$AE$21+M78*$AE$22+N78*$AE$23+O78*$AE$24+P78*$AE$25+Q78*$AE$26+R78*$AE$27+S78*$AE$28+T78*$AE$29+U78*$AE$30</f>
        <v/>
      </c>
      <c r="W78" s="8">
        <f>1/(1+EXP(-V78))</f>
        <v/>
      </c>
      <c r="X78" s="9">
        <f>-IF(C78=1,LN(W78),LN(1-W78))</f>
        <v/>
      </c>
      <c r="Y78" s="8">
        <f>1</f>
        <v/>
      </c>
      <c r="Z78" s="9">
        <f>Y78*X78</f>
        <v/>
      </c>
      <c r="AA78" s="10">
        <f>IF(W78&gt;$AE$32,1,0)</f>
        <v/>
      </c>
      <c r="AB78">
        <f>IF(AA78=C78,1,0)</f>
        <v/>
      </c>
    </row>
    <row r="79">
      <c r="A79">
        <f>'1 datos preparados'!A72</f>
        <v/>
      </c>
      <c r="B79" s="5">
        <f>'1 datos preparados'!U72</f>
        <v/>
      </c>
      <c r="C79">
        <f>'1 datos preparados'!B72</f>
        <v/>
      </c>
      <c r="D79" s="7">
        <f>'1 datos preparados'!C72</f>
        <v/>
      </c>
      <c r="E79" s="7">
        <f>'1 datos preparados'!D72</f>
        <v/>
      </c>
      <c r="F79" s="7">
        <f>'1 datos preparados'!E72</f>
        <v/>
      </c>
      <c r="G79" s="7">
        <f>'1 datos preparados'!F72</f>
        <v/>
      </c>
      <c r="H79" s="7">
        <f>'1 datos preparados'!G72</f>
        <v/>
      </c>
      <c r="I79" s="7">
        <f>'1 datos preparados'!H72</f>
        <v/>
      </c>
      <c r="J79" s="7">
        <f>'1 datos preparados'!I72</f>
        <v/>
      </c>
      <c r="K79" s="7">
        <f>'1 datos preparados'!J72</f>
        <v/>
      </c>
      <c r="L79" s="7">
        <f>'1 datos preparados'!K72</f>
        <v/>
      </c>
      <c r="M79" s="7">
        <f>'1 datos preparados'!L72</f>
        <v/>
      </c>
      <c r="N79" s="7">
        <f>'1 datos preparados'!M72</f>
        <v/>
      </c>
      <c r="O79" s="7">
        <f>'1 datos preparados'!N72</f>
        <v/>
      </c>
      <c r="P79" s="7">
        <f>'1 datos preparados'!O72</f>
        <v/>
      </c>
      <c r="Q79" s="7">
        <f>'1 datos preparados'!P72</f>
        <v/>
      </c>
      <c r="R79" s="7">
        <f>'1 datos preparados'!Q72</f>
        <v/>
      </c>
      <c r="S79" s="7">
        <f>'1 datos preparados'!R72</f>
        <v/>
      </c>
      <c r="T79" s="7">
        <f>'1 datos preparados'!S72</f>
        <v/>
      </c>
      <c r="U79" s="7">
        <f>'1 datos preparados'!T72</f>
        <v/>
      </c>
      <c r="V79" s="8">
        <f>$AE$12+D79*$AE$13+E79*$AE$14+F79*$AE$15+G79*$AE$16+H79*$AE$17+I79*$AE$18+J79*$AE$19+K79*$AE$20+L79*$AE$21+M79*$AE$22+N79*$AE$23+O79*$AE$24+P79*$AE$25+Q79*$AE$26+R79*$AE$27+S79*$AE$28+T79*$AE$29+U79*$AE$30</f>
        <v/>
      </c>
      <c r="W79" s="8">
        <f>1/(1+EXP(-V79))</f>
        <v/>
      </c>
      <c r="X79" s="9">
        <f>-IF(C79=1,LN(W79),LN(1-W79))</f>
        <v/>
      </c>
      <c r="Y79" s="8">
        <f>1</f>
        <v/>
      </c>
      <c r="Z79" s="9">
        <f>Y79*X79</f>
        <v/>
      </c>
      <c r="AA79" s="10">
        <f>IF(W79&gt;$AE$32,1,0)</f>
        <v/>
      </c>
      <c r="AB79">
        <f>IF(AA79=C79,1,0)</f>
        <v/>
      </c>
    </row>
    <row r="80">
      <c r="A80">
        <f>'1 datos preparados'!A73</f>
        <v/>
      </c>
      <c r="B80" s="5">
        <f>'1 datos preparados'!U73</f>
        <v/>
      </c>
      <c r="C80">
        <f>'1 datos preparados'!B73</f>
        <v/>
      </c>
      <c r="D80" s="7">
        <f>'1 datos preparados'!C73</f>
        <v/>
      </c>
      <c r="E80" s="7">
        <f>'1 datos preparados'!D73</f>
        <v/>
      </c>
      <c r="F80" s="7">
        <f>'1 datos preparados'!E73</f>
        <v/>
      </c>
      <c r="G80" s="7">
        <f>'1 datos preparados'!F73</f>
        <v/>
      </c>
      <c r="H80" s="7">
        <f>'1 datos preparados'!G73</f>
        <v/>
      </c>
      <c r="I80" s="7">
        <f>'1 datos preparados'!H73</f>
        <v/>
      </c>
      <c r="J80" s="7">
        <f>'1 datos preparados'!I73</f>
        <v/>
      </c>
      <c r="K80" s="7">
        <f>'1 datos preparados'!J73</f>
        <v/>
      </c>
      <c r="L80" s="7">
        <f>'1 datos preparados'!K73</f>
        <v/>
      </c>
      <c r="M80" s="7">
        <f>'1 datos preparados'!L73</f>
        <v/>
      </c>
      <c r="N80" s="7">
        <f>'1 datos preparados'!M73</f>
        <v/>
      </c>
      <c r="O80" s="7">
        <f>'1 datos preparados'!N73</f>
        <v/>
      </c>
      <c r="P80" s="7">
        <f>'1 datos preparados'!O73</f>
        <v/>
      </c>
      <c r="Q80" s="7">
        <f>'1 datos preparados'!P73</f>
        <v/>
      </c>
      <c r="R80" s="7">
        <f>'1 datos preparados'!Q73</f>
        <v/>
      </c>
      <c r="S80" s="7">
        <f>'1 datos preparados'!R73</f>
        <v/>
      </c>
      <c r="T80" s="7">
        <f>'1 datos preparados'!S73</f>
        <v/>
      </c>
      <c r="U80" s="7">
        <f>'1 datos preparados'!T73</f>
        <v/>
      </c>
      <c r="V80" s="8">
        <f>$AE$12+D80*$AE$13+E80*$AE$14+F80*$AE$15+G80*$AE$16+H80*$AE$17+I80*$AE$18+J80*$AE$19+K80*$AE$20+L80*$AE$21+M80*$AE$22+N80*$AE$23+O80*$AE$24+P80*$AE$25+Q80*$AE$26+R80*$AE$27+S80*$AE$28+T80*$AE$29+U80*$AE$30</f>
        <v/>
      </c>
      <c r="W80" s="8">
        <f>1/(1+EXP(-V80))</f>
        <v/>
      </c>
      <c r="X80" s="9">
        <f>-IF(C80=1,LN(W80),LN(1-W80))</f>
        <v/>
      </c>
      <c r="Y80" s="8">
        <f>1</f>
        <v/>
      </c>
      <c r="Z80" s="9">
        <f>Y80*X80</f>
        <v/>
      </c>
      <c r="AA80" s="10">
        <f>IF(W80&gt;$AE$32,1,0)</f>
        <v/>
      </c>
      <c r="AB80">
        <f>IF(AA80=C80,1,0)</f>
        <v/>
      </c>
    </row>
    <row r="81">
      <c r="A81">
        <f>'1 datos preparados'!A74</f>
        <v/>
      </c>
      <c r="B81" s="5">
        <f>'1 datos preparados'!U74</f>
        <v/>
      </c>
      <c r="C81">
        <f>'1 datos preparados'!B74</f>
        <v/>
      </c>
      <c r="D81" s="7">
        <f>'1 datos preparados'!C74</f>
        <v/>
      </c>
      <c r="E81" s="7">
        <f>'1 datos preparados'!D74</f>
        <v/>
      </c>
      <c r="F81" s="7">
        <f>'1 datos preparados'!E74</f>
        <v/>
      </c>
      <c r="G81" s="7">
        <f>'1 datos preparados'!F74</f>
        <v/>
      </c>
      <c r="H81" s="7">
        <f>'1 datos preparados'!G74</f>
        <v/>
      </c>
      <c r="I81" s="7">
        <f>'1 datos preparados'!H74</f>
        <v/>
      </c>
      <c r="J81" s="7">
        <f>'1 datos preparados'!I74</f>
        <v/>
      </c>
      <c r="K81" s="7">
        <f>'1 datos preparados'!J74</f>
        <v/>
      </c>
      <c r="L81" s="7">
        <f>'1 datos preparados'!K74</f>
        <v/>
      </c>
      <c r="M81" s="7">
        <f>'1 datos preparados'!L74</f>
        <v/>
      </c>
      <c r="N81" s="7">
        <f>'1 datos preparados'!M74</f>
        <v/>
      </c>
      <c r="O81" s="7">
        <f>'1 datos preparados'!N74</f>
        <v/>
      </c>
      <c r="P81" s="7">
        <f>'1 datos preparados'!O74</f>
        <v/>
      </c>
      <c r="Q81" s="7">
        <f>'1 datos preparados'!P74</f>
        <v/>
      </c>
      <c r="R81" s="7">
        <f>'1 datos preparados'!Q74</f>
        <v/>
      </c>
      <c r="S81" s="7">
        <f>'1 datos preparados'!R74</f>
        <v/>
      </c>
      <c r="T81" s="7">
        <f>'1 datos preparados'!S74</f>
        <v/>
      </c>
      <c r="U81" s="7">
        <f>'1 datos preparados'!T74</f>
        <v/>
      </c>
      <c r="V81" s="8">
        <f>$AE$12+D81*$AE$13+E81*$AE$14+F81*$AE$15+G81*$AE$16+H81*$AE$17+I81*$AE$18+J81*$AE$19+K81*$AE$20+L81*$AE$21+M81*$AE$22+N81*$AE$23+O81*$AE$24+P81*$AE$25+Q81*$AE$26+R81*$AE$27+S81*$AE$28+T81*$AE$29+U81*$AE$30</f>
        <v/>
      </c>
      <c r="W81" s="8">
        <f>1/(1+EXP(-V81))</f>
        <v/>
      </c>
      <c r="X81" s="9">
        <f>-IF(C81=1,LN(W81),LN(1-W81))</f>
        <v/>
      </c>
      <c r="Y81" s="8">
        <f>1</f>
        <v/>
      </c>
      <c r="Z81" s="9">
        <f>Y81*X81</f>
        <v/>
      </c>
      <c r="AA81" s="10">
        <f>IF(W81&gt;$AE$32,1,0)</f>
        <v/>
      </c>
      <c r="AB81">
        <f>IF(AA81=C81,1,0)</f>
        <v/>
      </c>
    </row>
    <row r="82">
      <c r="A82">
        <f>'1 datos preparados'!A75</f>
        <v/>
      </c>
      <c r="B82" s="5">
        <f>'1 datos preparados'!U75</f>
        <v/>
      </c>
      <c r="C82">
        <f>'1 datos preparados'!B75</f>
        <v/>
      </c>
      <c r="D82" s="7">
        <f>'1 datos preparados'!C75</f>
        <v/>
      </c>
      <c r="E82" s="7">
        <f>'1 datos preparados'!D75</f>
        <v/>
      </c>
      <c r="F82" s="7">
        <f>'1 datos preparados'!E75</f>
        <v/>
      </c>
      <c r="G82" s="7">
        <f>'1 datos preparados'!F75</f>
        <v/>
      </c>
      <c r="H82" s="7">
        <f>'1 datos preparados'!G75</f>
        <v/>
      </c>
      <c r="I82" s="7">
        <f>'1 datos preparados'!H75</f>
        <v/>
      </c>
      <c r="J82" s="7">
        <f>'1 datos preparados'!I75</f>
        <v/>
      </c>
      <c r="K82" s="7">
        <f>'1 datos preparados'!J75</f>
        <v/>
      </c>
      <c r="L82" s="7">
        <f>'1 datos preparados'!K75</f>
        <v/>
      </c>
      <c r="M82" s="7">
        <f>'1 datos preparados'!L75</f>
        <v/>
      </c>
      <c r="N82" s="7">
        <f>'1 datos preparados'!M75</f>
        <v/>
      </c>
      <c r="O82" s="7">
        <f>'1 datos preparados'!N75</f>
        <v/>
      </c>
      <c r="P82" s="7">
        <f>'1 datos preparados'!O75</f>
        <v/>
      </c>
      <c r="Q82" s="7">
        <f>'1 datos preparados'!P75</f>
        <v/>
      </c>
      <c r="R82" s="7">
        <f>'1 datos preparados'!Q75</f>
        <v/>
      </c>
      <c r="S82" s="7">
        <f>'1 datos preparados'!R75</f>
        <v/>
      </c>
      <c r="T82" s="7">
        <f>'1 datos preparados'!S75</f>
        <v/>
      </c>
      <c r="U82" s="7">
        <f>'1 datos preparados'!T75</f>
        <v/>
      </c>
      <c r="V82" s="8">
        <f>$AE$12+D82*$AE$13+E82*$AE$14+F82*$AE$15+G82*$AE$16+H82*$AE$17+I82*$AE$18+J82*$AE$19+K82*$AE$20+L82*$AE$21+M82*$AE$22+N82*$AE$23+O82*$AE$24+P82*$AE$25+Q82*$AE$26+R82*$AE$27+S82*$AE$28+T82*$AE$29+U82*$AE$30</f>
        <v/>
      </c>
      <c r="W82" s="8">
        <f>1/(1+EXP(-V82))</f>
        <v/>
      </c>
      <c r="X82" s="9">
        <f>-IF(C82=1,LN(W82),LN(1-W82))</f>
        <v/>
      </c>
      <c r="Y82" s="8">
        <f>1</f>
        <v/>
      </c>
      <c r="Z82" s="9">
        <f>Y82*X82</f>
        <v/>
      </c>
      <c r="AA82" s="10">
        <f>IF(W82&gt;$AE$32,1,0)</f>
        <v/>
      </c>
      <c r="AB82">
        <f>IF(AA82=C82,1,0)</f>
        <v/>
      </c>
    </row>
    <row r="83">
      <c r="A83">
        <f>'1 datos preparados'!A76</f>
        <v/>
      </c>
      <c r="B83" s="5">
        <f>'1 datos preparados'!U76</f>
        <v/>
      </c>
      <c r="C83">
        <f>'1 datos preparados'!B76</f>
        <v/>
      </c>
      <c r="D83" s="7">
        <f>'1 datos preparados'!C76</f>
        <v/>
      </c>
      <c r="E83" s="7">
        <f>'1 datos preparados'!D76</f>
        <v/>
      </c>
      <c r="F83" s="7">
        <f>'1 datos preparados'!E76</f>
        <v/>
      </c>
      <c r="G83" s="7">
        <f>'1 datos preparados'!F76</f>
        <v/>
      </c>
      <c r="H83" s="7">
        <f>'1 datos preparados'!G76</f>
        <v/>
      </c>
      <c r="I83" s="7">
        <f>'1 datos preparados'!H76</f>
        <v/>
      </c>
      <c r="J83" s="7">
        <f>'1 datos preparados'!I76</f>
        <v/>
      </c>
      <c r="K83" s="7">
        <f>'1 datos preparados'!J76</f>
        <v/>
      </c>
      <c r="L83" s="7">
        <f>'1 datos preparados'!K76</f>
        <v/>
      </c>
      <c r="M83" s="7">
        <f>'1 datos preparados'!L76</f>
        <v/>
      </c>
      <c r="N83" s="7">
        <f>'1 datos preparados'!M76</f>
        <v/>
      </c>
      <c r="O83" s="7">
        <f>'1 datos preparados'!N76</f>
        <v/>
      </c>
      <c r="P83" s="7">
        <f>'1 datos preparados'!O76</f>
        <v/>
      </c>
      <c r="Q83" s="7">
        <f>'1 datos preparados'!P76</f>
        <v/>
      </c>
      <c r="R83" s="7">
        <f>'1 datos preparados'!Q76</f>
        <v/>
      </c>
      <c r="S83" s="7">
        <f>'1 datos preparados'!R76</f>
        <v/>
      </c>
      <c r="T83" s="7">
        <f>'1 datos preparados'!S76</f>
        <v/>
      </c>
      <c r="U83" s="7">
        <f>'1 datos preparados'!T76</f>
        <v/>
      </c>
      <c r="V83" s="8">
        <f>$AE$12+D83*$AE$13+E83*$AE$14+F83*$AE$15+G83*$AE$16+H83*$AE$17+I83*$AE$18+J83*$AE$19+K83*$AE$20+L83*$AE$21+M83*$AE$22+N83*$AE$23+O83*$AE$24+P83*$AE$25+Q83*$AE$26+R83*$AE$27+S83*$AE$28+T83*$AE$29+U83*$AE$30</f>
        <v/>
      </c>
      <c r="W83" s="8">
        <f>1/(1+EXP(-V83))</f>
        <v/>
      </c>
      <c r="X83" s="9">
        <f>-IF(C83=1,LN(W83),LN(1-W83))</f>
        <v/>
      </c>
      <c r="Y83" s="8">
        <f>1</f>
        <v/>
      </c>
      <c r="Z83" s="9">
        <f>Y83*X83</f>
        <v/>
      </c>
      <c r="AA83" s="10">
        <f>IF(W83&gt;$AE$32,1,0)</f>
        <v/>
      </c>
      <c r="AB83">
        <f>IF(AA83=C83,1,0)</f>
        <v/>
      </c>
    </row>
    <row r="84">
      <c r="A84">
        <f>'1 datos preparados'!A77</f>
        <v/>
      </c>
      <c r="B84" s="5">
        <f>'1 datos preparados'!U77</f>
        <v/>
      </c>
      <c r="C84">
        <f>'1 datos preparados'!B77</f>
        <v/>
      </c>
      <c r="D84" s="7">
        <f>'1 datos preparados'!C77</f>
        <v/>
      </c>
      <c r="E84" s="7">
        <f>'1 datos preparados'!D77</f>
        <v/>
      </c>
      <c r="F84" s="7">
        <f>'1 datos preparados'!E77</f>
        <v/>
      </c>
      <c r="G84" s="7">
        <f>'1 datos preparados'!F77</f>
        <v/>
      </c>
      <c r="H84" s="7">
        <f>'1 datos preparados'!G77</f>
        <v/>
      </c>
      <c r="I84" s="7">
        <f>'1 datos preparados'!H77</f>
        <v/>
      </c>
      <c r="J84" s="7">
        <f>'1 datos preparados'!I77</f>
        <v/>
      </c>
      <c r="K84" s="7">
        <f>'1 datos preparados'!J77</f>
        <v/>
      </c>
      <c r="L84" s="7">
        <f>'1 datos preparados'!K77</f>
        <v/>
      </c>
      <c r="M84" s="7">
        <f>'1 datos preparados'!L77</f>
        <v/>
      </c>
      <c r="N84" s="7">
        <f>'1 datos preparados'!M77</f>
        <v/>
      </c>
      <c r="O84" s="7">
        <f>'1 datos preparados'!N77</f>
        <v/>
      </c>
      <c r="P84" s="7">
        <f>'1 datos preparados'!O77</f>
        <v/>
      </c>
      <c r="Q84" s="7">
        <f>'1 datos preparados'!P77</f>
        <v/>
      </c>
      <c r="R84" s="7">
        <f>'1 datos preparados'!Q77</f>
        <v/>
      </c>
      <c r="S84" s="7">
        <f>'1 datos preparados'!R77</f>
        <v/>
      </c>
      <c r="T84" s="7">
        <f>'1 datos preparados'!S77</f>
        <v/>
      </c>
      <c r="U84" s="7">
        <f>'1 datos preparados'!T77</f>
        <v/>
      </c>
      <c r="V84" s="8">
        <f>$AE$12+D84*$AE$13+E84*$AE$14+F84*$AE$15+G84*$AE$16+H84*$AE$17+I84*$AE$18+J84*$AE$19+K84*$AE$20+L84*$AE$21+M84*$AE$22+N84*$AE$23+O84*$AE$24+P84*$AE$25+Q84*$AE$26+R84*$AE$27+S84*$AE$28+T84*$AE$29+U84*$AE$30</f>
        <v/>
      </c>
      <c r="W84" s="8">
        <f>1/(1+EXP(-V84))</f>
        <v/>
      </c>
      <c r="X84" s="9">
        <f>-IF(C84=1,LN(W84),LN(1-W84))</f>
        <v/>
      </c>
      <c r="Y84" s="8">
        <f>1</f>
        <v/>
      </c>
      <c r="Z84" s="9">
        <f>Y84*X84</f>
        <v/>
      </c>
      <c r="AA84" s="10">
        <f>IF(W84&gt;$AE$32,1,0)</f>
        <v/>
      </c>
      <c r="AB84">
        <f>IF(AA84=C84,1,0)</f>
        <v/>
      </c>
    </row>
    <row r="85">
      <c r="A85">
        <f>'1 datos preparados'!A78</f>
        <v/>
      </c>
      <c r="B85" s="5">
        <f>'1 datos preparados'!U78</f>
        <v/>
      </c>
      <c r="C85">
        <f>'1 datos preparados'!B78</f>
        <v/>
      </c>
      <c r="D85" s="7">
        <f>'1 datos preparados'!C78</f>
        <v/>
      </c>
      <c r="E85" s="7">
        <f>'1 datos preparados'!D78</f>
        <v/>
      </c>
      <c r="F85" s="7">
        <f>'1 datos preparados'!E78</f>
        <v/>
      </c>
      <c r="G85" s="7">
        <f>'1 datos preparados'!F78</f>
        <v/>
      </c>
      <c r="H85" s="7">
        <f>'1 datos preparados'!G78</f>
        <v/>
      </c>
      <c r="I85" s="7">
        <f>'1 datos preparados'!H78</f>
        <v/>
      </c>
      <c r="J85" s="7">
        <f>'1 datos preparados'!I78</f>
        <v/>
      </c>
      <c r="K85" s="7">
        <f>'1 datos preparados'!J78</f>
        <v/>
      </c>
      <c r="L85" s="7">
        <f>'1 datos preparados'!K78</f>
        <v/>
      </c>
      <c r="M85" s="7">
        <f>'1 datos preparados'!L78</f>
        <v/>
      </c>
      <c r="N85" s="7">
        <f>'1 datos preparados'!M78</f>
        <v/>
      </c>
      <c r="O85" s="7">
        <f>'1 datos preparados'!N78</f>
        <v/>
      </c>
      <c r="P85" s="7">
        <f>'1 datos preparados'!O78</f>
        <v/>
      </c>
      <c r="Q85" s="7">
        <f>'1 datos preparados'!P78</f>
        <v/>
      </c>
      <c r="R85" s="7">
        <f>'1 datos preparados'!Q78</f>
        <v/>
      </c>
      <c r="S85" s="7">
        <f>'1 datos preparados'!R78</f>
        <v/>
      </c>
      <c r="T85" s="7">
        <f>'1 datos preparados'!S78</f>
        <v/>
      </c>
      <c r="U85" s="7">
        <f>'1 datos preparados'!T78</f>
        <v/>
      </c>
      <c r="V85" s="8">
        <f>$AE$12+D85*$AE$13+E85*$AE$14+F85*$AE$15+G85*$AE$16+H85*$AE$17+I85*$AE$18+J85*$AE$19+K85*$AE$20+L85*$AE$21+M85*$AE$22+N85*$AE$23+O85*$AE$24+P85*$AE$25+Q85*$AE$26+R85*$AE$27+S85*$AE$28+T85*$AE$29+U85*$AE$30</f>
        <v/>
      </c>
      <c r="W85" s="8">
        <f>1/(1+EXP(-V85))</f>
        <v/>
      </c>
      <c r="X85" s="9">
        <f>-IF(C85=1,LN(W85),LN(1-W85))</f>
        <v/>
      </c>
      <c r="Y85" s="8">
        <f>1</f>
        <v/>
      </c>
      <c r="Z85" s="9">
        <f>Y85*X85</f>
        <v/>
      </c>
      <c r="AA85" s="10">
        <f>IF(W85&gt;$AE$32,1,0)</f>
        <v/>
      </c>
      <c r="AB85">
        <f>IF(AA85=C85,1,0)</f>
        <v/>
      </c>
    </row>
    <row r="86">
      <c r="A86">
        <f>'1 datos preparados'!A79</f>
        <v/>
      </c>
      <c r="B86" s="5">
        <f>'1 datos preparados'!U79</f>
        <v/>
      </c>
      <c r="C86">
        <f>'1 datos preparados'!B79</f>
        <v/>
      </c>
      <c r="D86" s="7">
        <f>'1 datos preparados'!C79</f>
        <v/>
      </c>
      <c r="E86" s="7">
        <f>'1 datos preparados'!D79</f>
        <v/>
      </c>
      <c r="F86" s="7">
        <f>'1 datos preparados'!E79</f>
        <v/>
      </c>
      <c r="G86" s="7">
        <f>'1 datos preparados'!F79</f>
        <v/>
      </c>
      <c r="H86" s="7">
        <f>'1 datos preparados'!G79</f>
        <v/>
      </c>
      <c r="I86" s="7">
        <f>'1 datos preparados'!H79</f>
        <v/>
      </c>
      <c r="J86" s="7">
        <f>'1 datos preparados'!I79</f>
        <v/>
      </c>
      <c r="K86" s="7">
        <f>'1 datos preparados'!J79</f>
        <v/>
      </c>
      <c r="L86" s="7">
        <f>'1 datos preparados'!K79</f>
        <v/>
      </c>
      <c r="M86" s="7">
        <f>'1 datos preparados'!L79</f>
        <v/>
      </c>
      <c r="N86" s="7">
        <f>'1 datos preparados'!M79</f>
        <v/>
      </c>
      <c r="O86" s="7">
        <f>'1 datos preparados'!N79</f>
        <v/>
      </c>
      <c r="P86" s="7">
        <f>'1 datos preparados'!O79</f>
        <v/>
      </c>
      <c r="Q86" s="7">
        <f>'1 datos preparados'!P79</f>
        <v/>
      </c>
      <c r="R86" s="7">
        <f>'1 datos preparados'!Q79</f>
        <v/>
      </c>
      <c r="S86" s="7">
        <f>'1 datos preparados'!R79</f>
        <v/>
      </c>
      <c r="T86" s="7">
        <f>'1 datos preparados'!S79</f>
        <v/>
      </c>
      <c r="U86" s="7">
        <f>'1 datos preparados'!T79</f>
        <v/>
      </c>
      <c r="V86" s="8">
        <f>$AE$12+D86*$AE$13+E86*$AE$14+F86*$AE$15+G86*$AE$16+H86*$AE$17+I86*$AE$18+J86*$AE$19+K86*$AE$20+L86*$AE$21+M86*$AE$22+N86*$AE$23+O86*$AE$24+P86*$AE$25+Q86*$AE$26+R86*$AE$27+S86*$AE$28+T86*$AE$29+U86*$AE$30</f>
        <v/>
      </c>
      <c r="W86" s="8">
        <f>1/(1+EXP(-V86))</f>
        <v/>
      </c>
      <c r="X86" s="9">
        <f>-IF(C86=1,LN(W86),LN(1-W86))</f>
        <v/>
      </c>
      <c r="Y86" s="8">
        <f>1</f>
        <v/>
      </c>
      <c r="Z86" s="9">
        <f>Y86*X86</f>
        <v/>
      </c>
      <c r="AA86" s="10">
        <f>IF(W86&gt;$AE$32,1,0)</f>
        <v/>
      </c>
      <c r="AB86">
        <f>IF(AA86=C86,1,0)</f>
        <v/>
      </c>
    </row>
    <row r="87">
      <c r="A87">
        <f>'1 datos preparados'!A80</f>
        <v/>
      </c>
      <c r="B87" s="5">
        <f>'1 datos preparados'!U80</f>
        <v/>
      </c>
      <c r="C87">
        <f>'1 datos preparados'!B80</f>
        <v/>
      </c>
      <c r="D87" s="7">
        <f>'1 datos preparados'!C80</f>
        <v/>
      </c>
      <c r="E87" s="7">
        <f>'1 datos preparados'!D80</f>
        <v/>
      </c>
      <c r="F87" s="7">
        <f>'1 datos preparados'!E80</f>
        <v/>
      </c>
      <c r="G87" s="7">
        <f>'1 datos preparados'!F80</f>
        <v/>
      </c>
      <c r="H87" s="7">
        <f>'1 datos preparados'!G80</f>
        <v/>
      </c>
      <c r="I87" s="7">
        <f>'1 datos preparados'!H80</f>
        <v/>
      </c>
      <c r="J87" s="7">
        <f>'1 datos preparados'!I80</f>
        <v/>
      </c>
      <c r="K87" s="7">
        <f>'1 datos preparados'!J80</f>
        <v/>
      </c>
      <c r="L87" s="7">
        <f>'1 datos preparados'!K80</f>
        <v/>
      </c>
      <c r="M87" s="7">
        <f>'1 datos preparados'!L80</f>
        <v/>
      </c>
      <c r="N87" s="7">
        <f>'1 datos preparados'!M80</f>
        <v/>
      </c>
      <c r="O87" s="7">
        <f>'1 datos preparados'!N80</f>
        <v/>
      </c>
      <c r="P87" s="7">
        <f>'1 datos preparados'!O80</f>
        <v/>
      </c>
      <c r="Q87" s="7">
        <f>'1 datos preparados'!P80</f>
        <v/>
      </c>
      <c r="R87" s="7">
        <f>'1 datos preparados'!Q80</f>
        <v/>
      </c>
      <c r="S87" s="7">
        <f>'1 datos preparados'!R80</f>
        <v/>
      </c>
      <c r="T87" s="7">
        <f>'1 datos preparados'!S80</f>
        <v/>
      </c>
      <c r="U87" s="7">
        <f>'1 datos preparados'!T80</f>
        <v/>
      </c>
      <c r="V87" s="8">
        <f>$AE$12+D87*$AE$13+E87*$AE$14+F87*$AE$15+G87*$AE$16+H87*$AE$17+I87*$AE$18+J87*$AE$19+K87*$AE$20+L87*$AE$21+M87*$AE$22+N87*$AE$23+O87*$AE$24+P87*$AE$25+Q87*$AE$26+R87*$AE$27+S87*$AE$28+T87*$AE$29+U87*$AE$30</f>
        <v/>
      </c>
      <c r="W87" s="8">
        <f>1/(1+EXP(-V87))</f>
        <v/>
      </c>
      <c r="X87" s="9">
        <f>-IF(C87=1,LN(W87),LN(1-W87))</f>
        <v/>
      </c>
      <c r="Y87" s="8">
        <f>1</f>
        <v/>
      </c>
      <c r="Z87" s="9">
        <f>Y87*X87</f>
        <v/>
      </c>
      <c r="AA87" s="10">
        <f>IF(W87&gt;$AE$32,1,0)</f>
        <v/>
      </c>
      <c r="AB87">
        <f>IF(AA87=C87,1,0)</f>
        <v/>
      </c>
    </row>
    <row r="88">
      <c r="A88">
        <f>'1 datos preparados'!A81</f>
        <v/>
      </c>
      <c r="B88" s="5">
        <f>'1 datos preparados'!U81</f>
        <v/>
      </c>
      <c r="C88">
        <f>'1 datos preparados'!B81</f>
        <v/>
      </c>
      <c r="D88" s="7">
        <f>'1 datos preparados'!C81</f>
        <v/>
      </c>
      <c r="E88" s="7">
        <f>'1 datos preparados'!D81</f>
        <v/>
      </c>
      <c r="F88" s="7">
        <f>'1 datos preparados'!E81</f>
        <v/>
      </c>
      <c r="G88" s="7">
        <f>'1 datos preparados'!F81</f>
        <v/>
      </c>
      <c r="H88" s="7">
        <f>'1 datos preparados'!G81</f>
        <v/>
      </c>
      <c r="I88" s="7">
        <f>'1 datos preparados'!H81</f>
        <v/>
      </c>
      <c r="J88" s="7">
        <f>'1 datos preparados'!I81</f>
        <v/>
      </c>
      <c r="K88" s="7">
        <f>'1 datos preparados'!J81</f>
        <v/>
      </c>
      <c r="L88" s="7">
        <f>'1 datos preparados'!K81</f>
        <v/>
      </c>
      <c r="M88" s="7">
        <f>'1 datos preparados'!L81</f>
        <v/>
      </c>
      <c r="N88" s="7">
        <f>'1 datos preparados'!M81</f>
        <v/>
      </c>
      <c r="O88" s="7">
        <f>'1 datos preparados'!N81</f>
        <v/>
      </c>
      <c r="P88" s="7">
        <f>'1 datos preparados'!O81</f>
        <v/>
      </c>
      <c r="Q88" s="7">
        <f>'1 datos preparados'!P81</f>
        <v/>
      </c>
      <c r="R88" s="7">
        <f>'1 datos preparados'!Q81</f>
        <v/>
      </c>
      <c r="S88" s="7">
        <f>'1 datos preparados'!R81</f>
        <v/>
      </c>
      <c r="T88" s="7">
        <f>'1 datos preparados'!S81</f>
        <v/>
      </c>
      <c r="U88" s="7">
        <f>'1 datos preparados'!T81</f>
        <v/>
      </c>
      <c r="V88" s="8">
        <f>$AE$12+D88*$AE$13+E88*$AE$14+F88*$AE$15+G88*$AE$16+H88*$AE$17+I88*$AE$18+J88*$AE$19+K88*$AE$20+L88*$AE$21+M88*$AE$22+N88*$AE$23+O88*$AE$24+P88*$AE$25+Q88*$AE$26+R88*$AE$27+S88*$AE$28+T88*$AE$29+U88*$AE$30</f>
        <v/>
      </c>
      <c r="W88" s="8">
        <f>1/(1+EXP(-V88))</f>
        <v/>
      </c>
      <c r="X88" s="9">
        <f>-IF(C88=1,LN(W88),LN(1-W88))</f>
        <v/>
      </c>
      <c r="Y88" s="8">
        <f>1</f>
        <v/>
      </c>
      <c r="Z88" s="9">
        <f>Y88*X88</f>
        <v/>
      </c>
      <c r="AA88" s="10">
        <f>IF(W88&gt;$AE$32,1,0)</f>
        <v/>
      </c>
      <c r="AB88">
        <f>IF(AA88=C88,1,0)</f>
        <v/>
      </c>
    </row>
    <row r="89">
      <c r="A89">
        <f>'1 datos preparados'!A82</f>
        <v/>
      </c>
      <c r="B89" s="5">
        <f>'1 datos preparados'!U82</f>
        <v/>
      </c>
      <c r="C89">
        <f>'1 datos preparados'!B82</f>
        <v/>
      </c>
      <c r="D89" s="7">
        <f>'1 datos preparados'!C82</f>
        <v/>
      </c>
      <c r="E89" s="7">
        <f>'1 datos preparados'!D82</f>
        <v/>
      </c>
      <c r="F89" s="7">
        <f>'1 datos preparados'!E82</f>
        <v/>
      </c>
      <c r="G89" s="7">
        <f>'1 datos preparados'!F82</f>
        <v/>
      </c>
      <c r="H89" s="7">
        <f>'1 datos preparados'!G82</f>
        <v/>
      </c>
      <c r="I89" s="7">
        <f>'1 datos preparados'!H82</f>
        <v/>
      </c>
      <c r="J89" s="7">
        <f>'1 datos preparados'!I82</f>
        <v/>
      </c>
      <c r="K89" s="7">
        <f>'1 datos preparados'!J82</f>
        <v/>
      </c>
      <c r="L89" s="7">
        <f>'1 datos preparados'!K82</f>
        <v/>
      </c>
      <c r="M89" s="7">
        <f>'1 datos preparados'!L82</f>
        <v/>
      </c>
      <c r="N89" s="7">
        <f>'1 datos preparados'!M82</f>
        <v/>
      </c>
      <c r="O89" s="7">
        <f>'1 datos preparados'!N82</f>
        <v/>
      </c>
      <c r="P89" s="7">
        <f>'1 datos preparados'!O82</f>
        <v/>
      </c>
      <c r="Q89" s="7">
        <f>'1 datos preparados'!P82</f>
        <v/>
      </c>
      <c r="R89" s="7">
        <f>'1 datos preparados'!Q82</f>
        <v/>
      </c>
      <c r="S89" s="7">
        <f>'1 datos preparados'!R82</f>
        <v/>
      </c>
      <c r="T89" s="7">
        <f>'1 datos preparados'!S82</f>
        <v/>
      </c>
      <c r="U89" s="7">
        <f>'1 datos preparados'!T82</f>
        <v/>
      </c>
      <c r="V89" s="8">
        <f>$AE$12+D89*$AE$13+E89*$AE$14+F89*$AE$15+G89*$AE$16+H89*$AE$17+I89*$AE$18+J89*$AE$19+K89*$AE$20+L89*$AE$21+M89*$AE$22+N89*$AE$23+O89*$AE$24+P89*$AE$25+Q89*$AE$26+R89*$AE$27+S89*$AE$28+T89*$AE$29+U89*$AE$30</f>
        <v/>
      </c>
      <c r="W89" s="8">
        <f>1/(1+EXP(-V89))</f>
        <v/>
      </c>
      <c r="X89" s="9">
        <f>-IF(C89=1,LN(W89),LN(1-W89))</f>
        <v/>
      </c>
      <c r="Y89" s="8">
        <f>1</f>
        <v/>
      </c>
      <c r="Z89" s="9">
        <f>Y89*X89</f>
        <v/>
      </c>
      <c r="AA89" s="10">
        <f>IF(W89&gt;$AE$32,1,0)</f>
        <v/>
      </c>
      <c r="AB89">
        <f>IF(AA89=C89,1,0)</f>
        <v/>
      </c>
    </row>
    <row r="90">
      <c r="A90">
        <f>'1 datos preparados'!A83</f>
        <v/>
      </c>
      <c r="B90" s="5">
        <f>'1 datos preparados'!U83</f>
        <v/>
      </c>
      <c r="C90">
        <f>'1 datos preparados'!B83</f>
        <v/>
      </c>
      <c r="D90" s="7">
        <f>'1 datos preparados'!C83</f>
        <v/>
      </c>
      <c r="E90" s="7">
        <f>'1 datos preparados'!D83</f>
        <v/>
      </c>
      <c r="F90" s="7">
        <f>'1 datos preparados'!E83</f>
        <v/>
      </c>
      <c r="G90" s="7">
        <f>'1 datos preparados'!F83</f>
        <v/>
      </c>
      <c r="H90" s="7">
        <f>'1 datos preparados'!G83</f>
        <v/>
      </c>
      <c r="I90" s="7">
        <f>'1 datos preparados'!H83</f>
        <v/>
      </c>
      <c r="J90" s="7">
        <f>'1 datos preparados'!I83</f>
        <v/>
      </c>
      <c r="K90" s="7">
        <f>'1 datos preparados'!J83</f>
        <v/>
      </c>
      <c r="L90" s="7">
        <f>'1 datos preparados'!K83</f>
        <v/>
      </c>
      <c r="M90" s="7">
        <f>'1 datos preparados'!L83</f>
        <v/>
      </c>
      <c r="N90" s="7">
        <f>'1 datos preparados'!M83</f>
        <v/>
      </c>
      <c r="O90" s="7">
        <f>'1 datos preparados'!N83</f>
        <v/>
      </c>
      <c r="P90" s="7">
        <f>'1 datos preparados'!O83</f>
        <v/>
      </c>
      <c r="Q90" s="7">
        <f>'1 datos preparados'!P83</f>
        <v/>
      </c>
      <c r="R90" s="7">
        <f>'1 datos preparados'!Q83</f>
        <v/>
      </c>
      <c r="S90" s="7">
        <f>'1 datos preparados'!R83</f>
        <v/>
      </c>
      <c r="T90" s="7">
        <f>'1 datos preparados'!S83</f>
        <v/>
      </c>
      <c r="U90" s="7">
        <f>'1 datos preparados'!T83</f>
        <v/>
      </c>
      <c r="V90" s="8">
        <f>$AE$12+D90*$AE$13+E90*$AE$14+F90*$AE$15+G90*$AE$16+H90*$AE$17+I90*$AE$18+J90*$AE$19+K90*$AE$20+L90*$AE$21+M90*$AE$22+N90*$AE$23+O90*$AE$24+P90*$AE$25+Q90*$AE$26+R90*$AE$27+S90*$AE$28+T90*$AE$29+U90*$AE$30</f>
        <v/>
      </c>
      <c r="W90" s="8">
        <f>1/(1+EXP(-V90))</f>
        <v/>
      </c>
      <c r="X90" s="9">
        <f>-IF(C90=1,LN(W90),LN(1-W90))</f>
        <v/>
      </c>
      <c r="Y90" s="8">
        <f>1</f>
        <v/>
      </c>
      <c r="Z90" s="9">
        <f>Y90*X90</f>
        <v/>
      </c>
      <c r="AA90" s="10">
        <f>IF(W90&gt;$AE$32,1,0)</f>
        <v/>
      </c>
      <c r="AB90">
        <f>IF(AA90=C90,1,0)</f>
        <v/>
      </c>
    </row>
    <row r="91">
      <c r="A91">
        <f>'1 datos preparados'!A84</f>
        <v/>
      </c>
      <c r="B91" s="5">
        <f>'1 datos preparados'!U84</f>
        <v/>
      </c>
      <c r="C91">
        <f>'1 datos preparados'!B84</f>
        <v/>
      </c>
      <c r="D91" s="7">
        <f>'1 datos preparados'!C84</f>
        <v/>
      </c>
      <c r="E91" s="7">
        <f>'1 datos preparados'!D84</f>
        <v/>
      </c>
      <c r="F91" s="7">
        <f>'1 datos preparados'!E84</f>
        <v/>
      </c>
      <c r="G91" s="7">
        <f>'1 datos preparados'!F84</f>
        <v/>
      </c>
      <c r="H91" s="7">
        <f>'1 datos preparados'!G84</f>
        <v/>
      </c>
      <c r="I91" s="7">
        <f>'1 datos preparados'!H84</f>
        <v/>
      </c>
      <c r="J91" s="7">
        <f>'1 datos preparados'!I84</f>
        <v/>
      </c>
      <c r="K91" s="7">
        <f>'1 datos preparados'!J84</f>
        <v/>
      </c>
      <c r="L91" s="7">
        <f>'1 datos preparados'!K84</f>
        <v/>
      </c>
      <c r="M91" s="7">
        <f>'1 datos preparados'!L84</f>
        <v/>
      </c>
      <c r="N91" s="7">
        <f>'1 datos preparados'!M84</f>
        <v/>
      </c>
      <c r="O91" s="7">
        <f>'1 datos preparados'!N84</f>
        <v/>
      </c>
      <c r="P91" s="7">
        <f>'1 datos preparados'!O84</f>
        <v/>
      </c>
      <c r="Q91" s="7">
        <f>'1 datos preparados'!P84</f>
        <v/>
      </c>
      <c r="R91" s="7">
        <f>'1 datos preparados'!Q84</f>
        <v/>
      </c>
      <c r="S91" s="7">
        <f>'1 datos preparados'!R84</f>
        <v/>
      </c>
      <c r="T91" s="7">
        <f>'1 datos preparados'!S84</f>
        <v/>
      </c>
      <c r="U91" s="7">
        <f>'1 datos preparados'!T84</f>
        <v/>
      </c>
      <c r="V91" s="8">
        <f>$AE$12+D91*$AE$13+E91*$AE$14+F91*$AE$15+G91*$AE$16+H91*$AE$17+I91*$AE$18+J91*$AE$19+K91*$AE$20+L91*$AE$21+M91*$AE$22+N91*$AE$23+O91*$AE$24+P91*$AE$25+Q91*$AE$26+R91*$AE$27+S91*$AE$28+T91*$AE$29+U91*$AE$30</f>
        <v/>
      </c>
      <c r="W91" s="8">
        <f>1/(1+EXP(-V91))</f>
        <v/>
      </c>
      <c r="X91" s="9">
        <f>-IF(C91=1,LN(W91),LN(1-W91))</f>
        <v/>
      </c>
      <c r="Y91" s="8">
        <f>1</f>
        <v/>
      </c>
      <c r="Z91" s="9">
        <f>Y91*X91</f>
        <v/>
      </c>
      <c r="AA91" s="10">
        <f>IF(W91&gt;$AE$32,1,0)</f>
        <v/>
      </c>
      <c r="AB91">
        <f>IF(AA91=C91,1,0)</f>
        <v/>
      </c>
    </row>
    <row r="92">
      <c r="A92">
        <f>'1 datos preparados'!A85</f>
        <v/>
      </c>
      <c r="B92" s="5">
        <f>'1 datos preparados'!U85</f>
        <v/>
      </c>
      <c r="C92">
        <f>'1 datos preparados'!B85</f>
        <v/>
      </c>
      <c r="D92" s="7">
        <f>'1 datos preparados'!C85</f>
        <v/>
      </c>
      <c r="E92" s="7">
        <f>'1 datos preparados'!D85</f>
        <v/>
      </c>
      <c r="F92" s="7">
        <f>'1 datos preparados'!E85</f>
        <v/>
      </c>
      <c r="G92" s="7">
        <f>'1 datos preparados'!F85</f>
        <v/>
      </c>
      <c r="H92" s="7">
        <f>'1 datos preparados'!G85</f>
        <v/>
      </c>
      <c r="I92" s="7">
        <f>'1 datos preparados'!H85</f>
        <v/>
      </c>
      <c r="J92" s="7">
        <f>'1 datos preparados'!I85</f>
        <v/>
      </c>
      <c r="K92" s="7">
        <f>'1 datos preparados'!J85</f>
        <v/>
      </c>
      <c r="L92" s="7">
        <f>'1 datos preparados'!K85</f>
        <v/>
      </c>
      <c r="M92" s="7">
        <f>'1 datos preparados'!L85</f>
        <v/>
      </c>
      <c r="N92" s="7">
        <f>'1 datos preparados'!M85</f>
        <v/>
      </c>
      <c r="O92" s="7">
        <f>'1 datos preparados'!N85</f>
        <v/>
      </c>
      <c r="P92" s="7">
        <f>'1 datos preparados'!O85</f>
        <v/>
      </c>
      <c r="Q92" s="7">
        <f>'1 datos preparados'!P85</f>
        <v/>
      </c>
      <c r="R92" s="7">
        <f>'1 datos preparados'!Q85</f>
        <v/>
      </c>
      <c r="S92" s="7">
        <f>'1 datos preparados'!R85</f>
        <v/>
      </c>
      <c r="T92" s="7">
        <f>'1 datos preparados'!S85</f>
        <v/>
      </c>
      <c r="U92" s="7">
        <f>'1 datos preparados'!T85</f>
        <v/>
      </c>
      <c r="V92" s="8">
        <f>$AE$12+D92*$AE$13+E92*$AE$14+F92*$AE$15+G92*$AE$16+H92*$AE$17+I92*$AE$18+J92*$AE$19+K92*$AE$20+L92*$AE$21+M92*$AE$22+N92*$AE$23+O92*$AE$24+P92*$AE$25+Q92*$AE$26+R92*$AE$27+S92*$AE$28+T92*$AE$29+U92*$AE$30</f>
        <v/>
      </c>
      <c r="W92" s="8">
        <f>1/(1+EXP(-V92))</f>
        <v/>
      </c>
      <c r="X92" s="9">
        <f>-IF(C92=1,LN(W92),LN(1-W92))</f>
        <v/>
      </c>
      <c r="Y92" s="8">
        <f>1</f>
        <v/>
      </c>
      <c r="Z92" s="9">
        <f>Y92*X92</f>
        <v/>
      </c>
      <c r="AA92" s="10">
        <f>IF(W92&gt;$AE$32,1,0)</f>
        <v/>
      </c>
      <c r="AB92">
        <f>IF(AA92=C92,1,0)</f>
        <v/>
      </c>
    </row>
    <row r="93">
      <c r="A93">
        <f>'1 datos preparados'!A86</f>
        <v/>
      </c>
      <c r="B93" s="5">
        <f>'1 datos preparados'!U86</f>
        <v/>
      </c>
      <c r="C93">
        <f>'1 datos preparados'!B86</f>
        <v/>
      </c>
      <c r="D93" s="7">
        <f>'1 datos preparados'!C86</f>
        <v/>
      </c>
      <c r="E93" s="7">
        <f>'1 datos preparados'!D86</f>
        <v/>
      </c>
      <c r="F93" s="7">
        <f>'1 datos preparados'!E86</f>
        <v/>
      </c>
      <c r="G93" s="7">
        <f>'1 datos preparados'!F86</f>
        <v/>
      </c>
      <c r="H93" s="7">
        <f>'1 datos preparados'!G86</f>
        <v/>
      </c>
      <c r="I93" s="7">
        <f>'1 datos preparados'!H86</f>
        <v/>
      </c>
      <c r="J93" s="7">
        <f>'1 datos preparados'!I86</f>
        <v/>
      </c>
      <c r="K93" s="7">
        <f>'1 datos preparados'!J86</f>
        <v/>
      </c>
      <c r="L93" s="7">
        <f>'1 datos preparados'!K86</f>
        <v/>
      </c>
      <c r="M93" s="7">
        <f>'1 datos preparados'!L86</f>
        <v/>
      </c>
      <c r="N93" s="7">
        <f>'1 datos preparados'!M86</f>
        <v/>
      </c>
      <c r="O93" s="7">
        <f>'1 datos preparados'!N86</f>
        <v/>
      </c>
      <c r="P93" s="7">
        <f>'1 datos preparados'!O86</f>
        <v/>
      </c>
      <c r="Q93" s="7">
        <f>'1 datos preparados'!P86</f>
        <v/>
      </c>
      <c r="R93" s="7">
        <f>'1 datos preparados'!Q86</f>
        <v/>
      </c>
      <c r="S93" s="7">
        <f>'1 datos preparados'!R86</f>
        <v/>
      </c>
      <c r="T93" s="7">
        <f>'1 datos preparados'!S86</f>
        <v/>
      </c>
      <c r="U93" s="7">
        <f>'1 datos preparados'!T86</f>
        <v/>
      </c>
      <c r="V93" s="8">
        <f>$AE$12+D93*$AE$13+E93*$AE$14+F93*$AE$15+G93*$AE$16+H93*$AE$17+I93*$AE$18+J93*$AE$19+K93*$AE$20+L93*$AE$21+M93*$AE$22+N93*$AE$23+O93*$AE$24+P93*$AE$25+Q93*$AE$26+R93*$AE$27+S93*$AE$28+T93*$AE$29+U93*$AE$30</f>
        <v/>
      </c>
      <c r="W93" s="8">
        <f>1/(1+EXP(-V93))</f>
        <v/>
      </c>
      <c r="X93" s="9">
        <f>-IF(C93=1,LN(W93),LN(1-W93))</f>
        <v/>
      </c>
      <c r="Y93" s="8">
        <f>1</f>
        <v/>
      </c>
      <c r="Z93" s="9">
        <f>Y93*X93</f>
        <v/>
      </c>
      <c r="AA93" s="10">
        <f>IF(W93&gt;$AE$32,1,0)</f>
        <v/>
      </c>
      <c r="AB93">
        <f>IF(AA93=C93,1,0)</f>
        <v/>
      </c>
    </row>
    <row r="94">
      <c r="A94">
        <f>'1 datos preparados'!A87</f>
        <v/>
      </c>
      <c r="B94" s="5">
        <f>'1 datos preparados'!U87</f>
        <v/>
      </c>
      <c r="C94">
        <f>'1 datos preparados'!B87</f>
        <v/>
      </c>
      <c r="D94" s="7">
        <f>'1 datos preparados'!C87</f>
        <v/>
      </c>
      <c r="E94" s="7">
        <f>'1 datos preparados'!D87</f>
        <v/>
      </c>
      <c r="F94" s="7">
        <f>'1 datos preparados'!E87</f>
        <v/>
      </c>
      <c r="G94" s="7">
        <f>'1 datos preparados'!F87</f>
        <v/>
      </c>
      <c r="H94" s="7">
        <f>'1 datos preparados'!G87</f>
        <v/>
      </c>
      <c r="I94" s="7">
        <f>'1 datos preparados'!H87</f>
        <v/>
      </c>
      <c r="J94" s="7">
        <f>'1 datos preparados'!I87</f>
        <v/>
      </c>
      <c r="K94" s="7">
        <f>'1 datos preparados'!J87</f>
        <v/>
      </c>
      <c r="L94" s="7">
        <f>'1 datos preparados'!K87</f>
        <v/>
      </c>
      <c r="M94" s="7">
        <f>'1 datos preparados'!L87</f>
        <v/>
      </c>
      <c r="N94" s="7">
        <f>'1 datos preparados'!M87</f>
        <v/>
      </c>
      <c r="O94" s="7">
        <f>'1 datos preparados'!N87</f>
        <v/>
      </c>
      <c r="P94" s="7">
        <f>'1 datos preparados'!O87</f>
        <v/>
      </c>
      <c r="Q94" s="7">
        <f>'1 datos preparados'!P87</f>
        <v/>
      </c>
      <c r="R94" s="7">
        <f>'1 datos preparados'!Q87</f>
        <v/>
      </c>
      <c r="S94" s="7">
        <f>'1 datos preparados'!R87</f>
        <v/>
      </c>
      <c r="T94" s="7">
        <f>'1 datos preparados'!S87</f>
        <v/>
      </c>
      <c r="U94" s="7">
        <f>'1 datos preparados'!T87</f>
        <v/>
      </c>
      <c r="V94" s="8">
        <f>$AE$12+D94*$AE$13+E94*$AE$14+F94*$AE$15+G94*$AE$16+H94*$AE$17+I94*$AE$18+J94*$AE$19+K94*$AE$20+L94*$AE$21+M94*$AE$22+N94*$AE$23+O94*$AE$24+P94*$AE$25+Q94*$AE$26+R94*$AE$27+S94*$AE$28+T94*$AE$29+U94*$AE$30</f>
        <v/>
      </c>
      <c r="W94" s="8">
        <f>1/(1+EXP(-V94))</f>
        <v/>
      </c>
      <c r="X94" s="9">
        <f>-IF(C94=1,LN(W94),LN(1-W94))</f>
        <v/>
      </c>
      <c r="Y94" s="8">
        <f>1</f>
        <v/>
      </c>
      <c r="Z94" s="9">
        <f>Y94*X94</f>
        <v/>
      </c>
      <c r="AA94" s="10">
        <f>IF(W94&gt;$AE$32,1,0)</f>
        <v/>
      </c>
      <c r="AB94">
        <f>IF(AA94=C94,1,0)</f>
        <v/>
      </c>
    </row>
    <row r="95">
      <c r="A95">
        <f>'1 datos preparados'!A88</f>
        <v/>
      </c>
      <c r="B95" s="5">
        <f>'1 datos preparados'!U88</f>
        <v/>
      </c>
      <c r="C95">
        <f>'1 datos preparados'!B88</f>
        <v/>
      </c>
      <c r="D95" s="7">
        <f>'1 datos preparados'!C88</f>
        <v/>
      </c>
      <c r="E95" s="7">
        <f>'1 datos preparados'!D88</f>
        <v/>
      </c>
      <c r="F95" s="7">
        <f>'1 datos preparados'!E88</f>
        <v/>
      </c>
      <c r="G95" s="7">
        <f>'1 datos preparados'!F88</f>
        <v/>
      </c>
      <c r="H95" s="7">
        <f>'1 datos preparados'!G88</f>
        <v/>
      </c>
      <c r="I95" s="7">
        <f>'1 datos preparados'!H88</f>
        <v/>
      </c>
      <c r="J95" s="7">
        <f>'1 datos preparados'!I88</f>
        <v/>
      </c>
      <c r="K95" s="7">
        <f>'1 datos preparados'!J88</f>
        <v/>
      </c>
      <c r="L95" s="7">
        <f>'1 datos preparados'!K88</f>
        <v/>
      </c>
      <c r="M95" s="7">
        <f>'1 datos preparados'!L88</f>
        <v/>
      </c>
      <c r="N95" s="7">
        <f>'1 datos preparados'!M88</f>
        <v/>
      </c>
      <c r="O95" s="7">
        <f>'1 datos preparados'!N88</f>
        <v/>
      </c>
      <c r="P95" s="7">
        <f>'1 datos preparados'!O88</f>
        <v/>
      </c>
      <c r="Q95" s="7">
        <f>'1 datos preparados'!P88</f>
        <v/>
      </c>
      <c r="R95" s="7">
        <f>'1 datos preparados'!Q88</f>
        <v/>
      </c>
      <c r="S95" s="7">
        <f>'1 datos preparados'!R88</f>
        <v/>
      </c>
      <c r="T95" s="7">
        <f>'1 datos preparados'!S88</f>
        <v/>
      </c>
      <c r="U95" s="7">
        <f>'1 datos preparados'!T88</f>
        <v/>
      </c>
      <c r="V95" s="8">
        <f>$AE$12+D95*$AE$13+E95*$AE$14+F95*$AE$15+G95*$AE$16+H95*$AE$17+I95*$AE$18+J95*$AE$19+K95*$AE$20+L95*$AE$21+M95*$AE$22+N95*$AE$23+O95*$AE$24+P95*$AE$25+Q95*$AE$26+R95*$AE$27+S95*$AE$28+T95*$AE$29+U95*$AE$30</f>
        <v/>
      </c>
      <c r="W95" s="8">
        <f>1/(1+EXP(-V95))</f>
        <v/>
      </c>
      <c r="X95" s="9">
        <f>-IF(C95=1,LN(W95),LN(1-W95))</f>
        <v/>
      </c>
      <c r="Y95" s="8">
        <f>1</f>
        <v/>
      </c>
      <c r="Z95" s="9">
        <f>Y95*X95</f>
        <v/>
      </c>
      <c r="AA95" s="10">
        <f>IF(W95&gt;$AE$32,1,0)</f>
        <v/>
      </c>
      <c r="AB95">
        <f>IF(AA95=C95,1,0)</f>
        <v/>
      </c>
    </row>
    <row r="96">
      <c r="A96">
        <f>'1 datos preparados'!A89</f>
        <v/>
      </c>
      <c r="B96" s="5">
        <f>'1 datos preparados'!U89</f>
        <v/>
      </c>
      <c r="C96">
        <f>'1 datos preparados'!B89</f>
        <v/>
      </c>
      <c r="D96" s="7">
        <f>'1 datos preparados'!C89</f>
        <v/>
      </c>
      <c r="E96" s="7">
        <f>'1 datos preparados'!D89</f>
        <v/>
      </c>
      <c r="F96" s="7">
        <f>'1 datos preparados'!E89</f>
        <v/>
      </c>
      <c r="G96" s="7">
        <f>'1 datos preparados'!F89</f>
        <v/>
      </c>
      <c r="H96" s="7">
        <f>'1 datos preparados'!G89</f>
        <v/>
      </c>
      <c r="I96" s="7">
        <f>'1 datos preparados'!H89</f>
        <v/>
      </c>
      <c r="J96" s="7">
        <f>'1 datos preparados'!I89</f>
        <v/>
      </c>
      <c r="K96" s="7">
        <f>'1 datos preparados'!J89</f>
        <v/>
      </c>
      <c r="L96" s="7">
        <f>'1 datos preparados'!K89</f>
        <v/>
      </c>
      <c r="M96" s="7">
        <f>'1 datos preparados'!L89</f>
        <v/>
      </c>
      <c r="N96" s="7">
        <f>'1 datos preparados'!M89</f>
        <v/>
      </c>
      <c r="O96" s="7">
        <f>'1 datos preparados'!N89</f>
        <v/>
      </c>
      <c r="P96" s="7">
        <f>'1 datos preparados'!O89</f>
        <v/>
      </c>
      <c r="Q96" s="7">
        <f>'1 datos preparados'!P89</f>
        <v/>
      </c>
      <c r="R96" s="7">
        <f>'1 datos preparados'!Q89</f>
        <v/>
      </c>
      <c r="S96" s="7">
        <f>'1 datos preparados'!R89</f>
        <v/>
      </c>
      <c r="T96" s="7">
        <f>'1 datos preparados'!S89</f>
        <v/>
      </c>
      <c r="U96" s="7">
        <f>'1 datos preparados'!T89</f>
        <v/>
      </c>
      <c r="V96" s="8">
        <f>$AE$12+D96*$AE$13+E96*$AE$14+F96*$AE$15+G96*$AE$16+H96*$AE$17+I96*$AE$18+J96*$AE$19+K96*$AE$20+L96*$AE$21+M96*$AE$22+N96*$AE$23+O96*$AE$24+P96*$AE$25+Q96*$AE$26+R96*$AE$27+S96*$AE$28+T96*$AE$29+U96*$AE$30</f>
        <v/>
      </c>
      <c r="W96" s="8">
        <f>1/(1+EXP(-V96))</f>
        <v/>
      </c>
      <c r="X96" s="9">
        <f>-IF(C96=1,LN(W96),LN(1-W96))</f>
        <v/>
      </c>
      <c r="Y96" s="8">
        <f>1</f>
        <v/>
      </c>
      <c r="Z96" s="9">
        <f>Y96*X96</f>
        <v/>
      </c>
      <c r="AA96" s="10">
        <f>IF(W96&gt;$AE$32,1,0)</f>
        <v/>
      </c>
      <c r="AB96">
        <f>IF(AA96=C96,1,0)</f>
        <v/>
      </c>
    </row>
    <row r="97">
      <c r="A97">
        <f>'1 datos preparados'!A90</f>
        <v/>
      </c>
      <c r="B97" s="5">
        <f>'1 datos preparados'!U90</f>
        <v/>
      </c>
      <c r="C97">
        <f>'1 datos preparados'!B90</f>
        <v/>
      </c>
      <c r="D97" s="7">
        <f>'1 datos preparados'!C90</f>
        <v/>
      </c>
      <c r="E97" s="7">
        <f>'1 datos preparados'!D90</f>
        <v/>
      </c>
      <c r="F97" s="7">
        <f>'1 datos preparados'!E90</f>
        <v/>
      </c>
      <c r="G97" s="7">
        <f>'1 datos preparados'!F90</f>
        <v/>
      </c>
      <c r="H97" s="7">
        <f>'1 datos preparados'!G90</f>
        <v/>
      </c>
      <c r="I97" s="7">
        <f>'1 datos preparados'!H90</f>
        <v/>
      </c>
      <c r="J97" s="7">
        <f>'1 datos preparados'!I90</f>
        <v/>
      </c>
      <c r="K97" s="7">
        <f>'1 datos preparados'!J90</f>
        <v/>
      </c>
      <c r="L97" s="7">
        <f>'1 datos preparados'!K90</f>
        <v/>
      </c>
      <c r="M97" s="7">
        <f>'1 datos preparados'!L90</f>
        <v/>
      </c>
      <c r="N97" s="7">
        <f>'1 datos preparados'!M90</f>
        <v/>
      </c>
      <c r="O97" s="7">
        <f>'1 datos preparados'!N90</f>
        <v/>
      </c>
      <c r="P97" s="7">
        <f>'1 datos preparados'!O90</f>
        <v/>
      </c>
      <c r="Q97" s="7">
        <f>'1 datos preparados'!P90</f>
        <v/>
      </c>
      <c r="R97" s="7">
        <f>'1 datos preparados'!Q90</f>
        <v/>
      </c>
      <c r="S97" s="7">
        <f>'1 datos preparados'!R90</f>
        <v/>
      </c>
      <c r="T97" s="7">
        <f>'1 datos preparados'!S90</f>
        <v/>
      </c>
      <c r="U97" s="7">
        <f>'1 datos preparados'!T90</f>
        <v/>
      </c>
      <c r="V97" s="8">
        <f>$AE$12+D97*$AE$13+E97*$AE$14+F97*$AE$15+G97*$AE$16+H97*$AE$17+I97*$AE$18+J97*$AE$19+K97*$AE$20+L97*$AE$21+M97*$AE$22+N97*$AE$23+O97*$AE$24+P97*$AE$25+Q97*$AE$26+R97*$AE$27+S97*$AE$28+T97*$AE$29+U97*$AE$30</f>
        <v/>
      </c>
      <c r="W97" s="8">
        <f>1/(1+EXP(-V97))</f>
        <v/>
      </c>
      <c r="X97" s="9">
        <f>-IF(C97=1,LN(W97),LN(1-W97))</f>
        <v/>
      </c>
      <c r="Y97" s="8">
        <f>1</f>
        <v/>
      </c>
      <c r="Z97" s="9">
        <f>Y97*X97</f>
        <v/>
      </c>
      <c r="AA97" s="10">
        <f>IF(W97&gt;$AE$32,1,0)</f>
        <v/>
      </c>
      <c r="AB97">
        <f>IF(AA97=C97,1,0)</f>
        <v/>
      </c>
    </row>
    <row r="98">
      <c r="A98">
        <f>'1 datos preparados'!A91</f>
        <v/>
      </c>
      <c r="B98" s="5">
        <f>'1 datos preparados'!U91</f>
        <v/>
      </c>
      <c r="C98">
        <f>'1 datos preparados'!B91</f>
        <v/>
      </c>
      <c r="D98" s="7">
        <f>'1 datos preparados'!C91</f>
        <v/>
      </c>
      <c r="E98" s="7">
        <f>'1 datos preparados'!D91</f>
        <v/>
      </c>
      <c r="F98" s="7">
        <f>'1 datos preparados'!E91</f>
        <v/>
      </c>
      <c r="G98" s="7">
        <f>'1 datos preparados'!F91</f>
        <v/>
      </c>
      <c r="H98" s="7">
        <f>'1 datos preparados'!G91</f>
        <v/>
      </c>
      <c r="I98" s="7">
        <f>'1 datos preparados'!H91</f>
        <v/>
      </c>
      <c r="J98" s="7">
        <f>'1 datos preparados'!I91</f>
        <v/>
      </c>
      <c r="K98" s="7">
        <f>'1 datos preparados'!J91</f>
        <v/>
      </c>
      <c r="L98" s="7">
        <f>'1 datos preparados'!K91</f>
        <v/>
      </c>
      <c r="M98" s="7">
        <f>'1 datos preparados'!L91</f>
        <v/>
      </c>
      <c r="N98" s="7">
        <f>'1 datos preparados'!M91</f>
        <v/>
      </c>
      <c r="O98" s="7">
        <f>'1 datos preparados'!N91</f>
        <v/>
      </c>
      <c r="P98" s="7">
        <f>'1 datos preparados'!O91</f>
        <v/>
      </c>
      <c r="Q98" s="7">
        <f>'1 datos preparados'!P91</f>
        <v/>
      </c>
      <c r="R98" s="7">
        <f>'1 datos preparados'!Q91</f>
        <v/>
      </c>
      <c r="S98" s="7">
        <f>'1 datos preparados'!R91</f>
        <v/>
      </c>
      <c r="T98" s="7">
        <f>'1 datos preparados'!S91</f>
        <v/>
      </c>
      <c r="U98" s="7">
        <f>'1 datos preparados'!T91</f>
        <v/>
      </c>
      <c r="V98" s="8">
        <f>$AE$12+D98*$AE$13+E98*$AE$14+F98*$AE$15+G98*$AE$16+H98*$AE$17+I98*$AE$18+J98*$AE$19+K98*$AE$20+L98*$AE$21+M98*$AE$22+N98*$AE$23+O98*$AE$24+P98*$AE$25+Q98*$AE$26+R98*$AE$27+S98*$AE$28+T98*$AE$29+U98*$AE$30</f>
        <v/>
      </c>
      <c r="W98" s="8">
        <f>1/(1+EXP(-V98))</f>
        <v/>
      </c>
      <c r="X98" s="9">
        <f>-IF(C98=1,LN(W98),LN(1-W98))</f>
        <v/>
      </c>
      <c r="Y98" s="8">
        <f>1</f>
        <v/>
      </c>
      <c r="Z98" s="9">
        <f>Y98*X98</f>
        <v/>
      </c>
      <c r="AA98" s="10">
        <f>IF(W98&gt;$AE$32,1,0)</f>
        <v/>
      </c>
      <c r="AB98">
        <f>IF(AA98=C98,1,0)</f>
        <v/>
      </c>
    </row>
    <row r="99">
      <c r="A99">
        <f>'1 datos preparados'!A92</f>
        <v/>
      </c>
      <c r="B99" s="5">
        <f>'1 datos preparados'!U92</f>
        <v/>
      </c>
      <c r="C99">
        <f>'1 datos preparados'!B92</f>
        <v/>
      </c>
      <c r="D99" s="7">
        <f>'1 datos preparados'!C92</f>
        <v/>
      </c>
      <c r="E99" s="7">
        <f>'1 datos preparados'!D92</f>
        <v/>
      </c>
      <c r="F99" s="7">
        <f>'1 datos preparados'!E92</f>
        <v/>
      </c>
      <c r="G99" s="7">
        <f>'1 datos preparados'!F92</f>
        <v/>
      </c>
      <c r="H99" s="7">
        <f>'1 datos preparados'!G92</f>
        <v/>
      </c>
      <c r="I99" s="7">
        <f>'1 datos preparados'!H92</f>
        <v/>
      </c>
      <c r="J99" s="7">
        <f>'1 datos preparados'!I92</f>
        <v/>
      </c>
      <c r="K99" s="7">
        <f>'1 datos preparados'!J92</f>
        <v/>
      </c>
      <c r="L99" s="7">
        <f>'1 datos preparados'!K92</f>
        <v/>
      </c>
      <c r="M99" s="7">
        <f>'1 datos preparados'!L92</f>
        <v/>
      </c>
      <c r="N99" s="7">
        <f>'1 datos preparados'!M92</f>
        <v/>
      </c>
      <c r="O99" s="7">
        <f>'1 datos preparados'!N92</f>
        <v/>
      </c>
      <c r="P99" s="7">
        <f>'1 datos preparados'!O92</f>
        <v/>
      </c>
      <c r="Q99" s="7">
        <f>'1 datos preparados'!P92</f>
        <v/>
      </c>
      <c r="R99" s="7">
        <f>'1 datos preparados'!Q92</f>
        <v/>
      </c>
      <c r="S99" s="7">
        <f>'1 datos preparados'!R92</f>
        <v/>
      </c>
      <c r="T99" s="7">
        <f>'1 datos preparados'!S92</f>
        <v/>
      </c>
      <c r="U99" s="7">
        <f>'1 datos preparados'!T92</f>
        <v/>
      </c>
      <c r="V99" s="8">
        <f>$AE$12+D99*$AE$13+E99*$AE$14+F99*$AE$15+G99*$AE$16+H99*$AE$17+I99*$AE$18+J99*$AE$19+K99*$AE$20+L99*$AE$21+M99*$AE$22+N99*$AE$23+O99*$AE$24+P99*$AE$25+Q99*$AE$26+R99*$AE$27+S99*$AE$28+T99*$AE$29+U99*$AE$30</f>
        <v/>
      </c>
      <c r="W99" s="8">
        <f>1/(1+EXP(-V99))</f>
        <v/>
      </c>
      <c r="X99" s="9">
        <f>-IF(C99=1,LN(W99),LN(1-W99))</f>
        <v/>
      </c>
      <c r="Y99" s="8">
        <f>1</f>
        <v/>
      </c>
      <c r="Z99" s="9">
        <f>Y99*X99</f>
        <v/>
      </c>
      <c r="AA99" s="10">
        <f>IF(W99&gt;$AE$32,1,0)</f>
        <v/>
      </c>
      <c r="AB99">
        <f>IF(AA99=C99,1,0)</f>
        <v/>
      </c>
    </row>
    <row r="100">
      <c r="A100">
        <f>'1 datos preparados'!A93</f>
        <v/>
      </c>
      <c r="B100" s="5">
        <f>'1 datos preparados'!U93</f>
        <v/>
      </c>
      <c r="C100">
        <f>'1 datos preparados'!B93</f>
        <v/>
      </c>
      <c r="D100" s="7">
        <f>'1 datos preparados'!C93</f>
        <v/>
      </c>
      <c r="E100" s="7">
        <f>'1 datos preparados'!D93</f>
        <v/>
      </c>
      <c r="F100" s="7">
        <f>'1 datos preparados'!E93</f>
        <v/>
      </c>
      <c r="G100" s="7">
        <f>'1 datos preparados'!F93</f>
        <v/>
      </c>
      <c r="H100" s="7">
        <f>'1 datos preparados'!G93</f>
        <v/>
      </c>
      <c r="I100" s="7">
        <f>'1 datos preparados'!H93</f>
        <v/>
      </c>
      <c r="J100" s="7">
        <f>'1 datos preparados'!I93</f>
        <v/>
      </c>
      <c r="K100" s="7">
        <f>'1 datos preparados'!J93</f>
        <v/>
      </c>
      <c r="L100" s="7">
        <f>'1 datos preparados'!K93</f>
        <v/>
      </c>
      <c r="M100" s="7">
        <f>'1 datos preparados'!L93</f>
        <v/>
      </c>
      <c r="N100" s="7">
        <f>'1 datos preparados'!M93</f>
        <v/>
      </c>
      <c r="O100" s="7">
        <f>'1 datos preparados'!N93</f>
        <v/>
      </c>
      <c r="P100" s="7">
        <f>'1 datos preparados'!O93</f>
        <v/>
      </c>
      <c r="Q100" s="7">
        <f>'1 datos preparados'!P93</f>
        <v/>
      </c>
      <c r="R100" s="7">
        <f>'1 datos preparados'!Q93</f>
        <v/>
      </c>
      <c r="S100" s="7">
        <f>'1 datos preparados'!R93</f>
        <v/>
      </c>
      <c r="T100" s="7">
        <f>'1 datos preparados'!S93</f>
        <v/>
      </c>
      <c r="U100" s="7">
        <f>'1 datos preparados'!T93</f>
        <v/>
      </c>
      <c r="V100" s="8">
        <f>$AE$12+D100*$AE$13+E100*$AE$14+F100*$AE$15+G100*$AE$16+H100*$AE$17+I100*$AE$18+J100*$AE$19+K100*$AE$20+L100*$AE$21+M100*$AE$22+N100*$AE$23+O100*$AE$24+P100*$AE$25+Q100*$AE$26+R100*$AE$27+S100*$AE$28+T100*$AE$29+U100*$AE$30</f>
        <v/>
      </c>
      <c r="W100" s="8">
        <f>1/(1+EXP(-V100))</f>
        <v/>
      </c>
      <c r="X100" s="9">
        <f>-IF(C100=1,LN(W100),LN(1-W100))</f>
        <v/>
      </c>
      <c r="Y100" s="8">
        <f>1</f>
        <v/>
      </c>
      <c r="Z100" s="9">
        <f>Y100*X100</f>
        <v/>
      </c>
      <c r="AA100" s="10">
        <f>IF(W100&gt;$AE$32,1,0)</f>
        <v/>
      </c>
      <c r="AB100">
        <f>IF(AA100=C100,1,0)</f>
        <v/>
      </c>
    </row>
    <row r="101">
      <c r="A101">
        <f>'1 datos preparados'!A94</f>
        <v/>
      </c>
      <c r="B101" s="5">
        <f>'1 datos preparados'!U94</f>
        <v/>
      </c>
      <c r="C101">
        <f>'1 datos preparados'!B94</f>
        <v/>
      </c>
      <c r="D101" s="7">
        <f>'1 datos preparados'!C94</f>
        <v/>
      </c>
      <c r="E101" s="7">
        <f>'1 datos preparados'!D94</f>
        <v/>
      </c>
      <c r="F101" s="7">
        <f>'1 datos preparados'!E94</f>
        <v/>
      </c>
      <c r="G101" s="7">
        <f>'1 datos preparados'!F94</f>
        <v/>
      </c>
      <c r="H101" s="7">
        <f>'1 datos preparados'!G94</f>
        <v/>
      </c>
      <c r="I101" s="7">
        <f>'1 datos preparados'!H94</f>
        <v/>
      </c>
      <c r="J101" s="7">
        <f>'1 datos preparados'!I94</f>
        <v/>
      </c>
      <c r="K101" s="7">
        <f>'1 datos preparados'!J94</f>
        <v/>
      </c>
      <c r="L101" s="7">
        <f>'1 datos preparados'!K94</f>
        <v/>
      </c>
      <c r="M101" s="7">
        <f>'1 datos preparados'!L94</f>
        <v/>
      </c>
      <c r="N101" s="7">
        <f>'1 datos preparados'!M94</f>
        <v/>
      </c>
      <c r="O101" s="7">
        <f>'1 datos preparados'!N94</f>
        <v/>
      </c>
      <c r="P101" s="7">
        <f>'1 datos preparados'!O94</f>
        <v/>
      </c>
      <c r="Q101" s="7">
        <f>'1 datos preparados'!P94</f>
        <v/>
      </c>
      <c r="R101" s="7">
        <f>'1 datos preparados'!Q94</f>
        <v/>
      </c>
      <c r="S101" s="7">
        <f>'1 datos preparados'!R94</f>
        <v/>
      </c>
      <c r="T101" s="7">
        <f>'1 datos preparados'!S94</f>
        <v/>
      </c>
      <c r="U101" s="7">
        <f>'1 datos preparados'!T94</f>
        <v/>
      </c>
      <c r="V101" s="8">
        <f>$AE$12+D101*$AE$13+E101*$AE$14+F101*$AE$15+G101*$AE$16+H101*$AE$17+I101*$AE$18+J101*$AE$19+K101*$AE$20+L101*$AE$21+M101*$AE$22+N101*$AE$23+O101*$AE$24+P101*$AE$25+Q101*$AE$26+R101*$AE$27+S101*$AE$28+T101*$AE$29+U101*$AE$30</f>
        <v/>
      </c>
      <c r="W101" s="8">
        <f>1/(1+EXP(-V101))</f>
        <v/>
      </c>
      <c r="X101" s="9">
        <f>-IF(C101=1,LN(W101),LN(1-W101))</f>
        <v/>
      </c>
      <c r="Y101" s="8">
        <f>1</f>
        <v/>
      </c>
      <c r="Z101" s="9">
        <f>Y101*X101</f>
        <v/>
      </c>
      <c r="AA101" s="10">
        <f>IF(W101&gt;$AE$32,1,0)</f>
        <v/>
      </c>
      <c r="AB101">
        <f>IF(AA101=C101,1,0)</f>
        <v/>
      </c>
    </row>
    <row r="102">
      <c r="A102">
        <f>'1 datos preparados'!A95</f>
        <v/>
      </c>
      <c r="B102" s="5">
        <f>'1 datos preparados'!U95</f>
        <v/>
      </c>
      <c r="C102">
        <f>'1 datos preparados'!B95</f>
        <v/>
      </c>
      <c r="D102" s="7">
        <f>'1 datos preparados'!C95</f>
        <v/>
      </c>
      <c r="E102" s="7">
        <f>'1 datos preparados'!D95</f>
        <v/>
      </c>
      <c r="F102" s="7">
        <f>'1 datos preparados'!E95</f>
        <v/>
      </c>
      <c r="G102" s="7">
        <f>'1 datos preparados'!F95</f>
        <v/>
      </c>
      <c r="H102" s="7">
        <f>'1 datos preparados'!G95</f>
        <v/>
      </c>
      <c r="I102" s="7">
        <f>'1 datos preparados'!H95</f>
        <v/>
      </c>
      <c r="J102" s="7">
        <f>'1 datos preparados'!I95</f>
        <v/>
      </c>
      <c r="K102" s="7">
        <f>'1 datos preparados'!J95</f>
        <v/>
      </c>
      <c r="L102" s="7">
        <f>'1 datos preparados'!K95</f>
        <v/>
      </c>
      <c r="M102" s="7">
        <f>'1 datos preparados'!L95</f>
        <v/>
      </c>
      <c r="N102" s="7">
        <f>'1 datos preparados'!M95</f>
        <v/>
      </c>
      <c r="O102" s="7">
        <f>'1 datos preparados'!N95</f>
        <v/>
      </c>
      <c r="P102" s="7">
        <f>'1 datos preparados'!O95</f>
        <v/>
      </c>
      <c r="Q102" s="7">
        <f>'1 datos preparados'!P95</f>
        <v/>
      </c>
      <c r="R102" s="7">
        <f>'1 datos preparados'!Q95</f>
        <v/>
      </c>
      <c r="S102" s="7">
        <f>'1 datos preparados'!R95</f>
        <v/>
      </c>
      <c r="T102" s="7">
        <f>'1 datos preparados'!S95</f>
        <v/>
      </c>
      <c r="U102" s="7">
        <f>'1 datos preparados'!T95</f>
        <v/>
      </c>
      <c r="V102" s="8">
        <f>$AE$12+D102*$AE$13+E102*$AE$14+F102*$AE$15+G102*$AE$16+H102*$AE$17+I102*$AE$18+J102*$AE$19+K102*$AE$20+L102*$AE$21+M102*$AE$22+N102*$AE$23+O102*$AE$24+P102*$AE$25+Q102*$AE$26+R102*$AE$27+S102*$AE$28+T102*$AE$29+U102*$AE$30</f>
        <v/>
      </c>
      <c r="W102" s="8">
        <f>1/(1+EXP(-V102))</f>
        <v/>
      </c>
      <c r="X102" s="9">
        <f>-IF(C102=1,LN(W102),LN(1-W102))</f>
        <v/>
      </c>
      <c r="Y102" s="8">
        <f>1</f>
        <v/>
      </c>
      <c r="Z102" s="9">
        <f>Y102*X102</f>
        <v/>
      </c>
      <c r="AA102" s="10">
        <f>IF(W102&gt;$AE$32,1,0)</f>
        <v/>
      </c>
      <c r="AB102">
        <f>IF(AA102=C102,1,0)</f>
        <v/>
      </c>
    </row>
    <row r="103">
      <c r="A103">
        <f>'1 datos preparados'!A96</f>
        <v/>
      </c>
      <c r="B103" s="5">
        <f>'1 datos preparados'!U96</f>
        <v/>
      </c>
      <c r="C103">
        <f>'1 datos preparados'!B96</f>
        <v/>
      </c>
      <c r="D103" s="7">
        <f>'1 datos preparados'!C96</f>
        <v/>
      </c>
      <c r="E103" s="7">
        <f>'1 datos preparados'!D96</f>
        <v/>
      </c>
      <c r="F103" s="7">
        <f>'1 datos preparados'!E96</f>
        <v/>
      </c>
      <c r="G103" s="7">
        <f>'1 datos preparados'!F96</f>
        <v/>
      </c>
      <c r="H103" s="7">
        <f>'1 datos preparados'!G96</f>
        <v/>
      </c>
      <c r="I103" s="7">
        <f>'1 datos preparados'!H96</f>
        <v/>
      </c>
      <c r="J103" s="7">
        <f>'1 datos preparados'!I96</f>
        <v/>
      </c>
      <c r="K103" s="7">
        <f>'1 datos preparados'!J96</f>
        <v/>
      </c>
      <c r="L103" s="7">
        <f>'1 datos preparados'!K96</f>
        <v/>
      </c>
      <c r="M103" s="7">
        <f>'1 datos preparados'!L96</f>
        <v/>
      </c>
      <c r="N103" s="7">
        <f>'1 datos preparados'!M96</f>
        <v/>
      </c>
      <c r="O103" s="7">
        <f>'1 datos preparados'!N96</f>
        <v/>
      </c>
      <c r="P103" s="7">
        <f>'1 datos preparados'!O96</f>
        <v/>
      </c>
      <c r="Q103" s="7">
        <f>'1 datos preparados'!P96</f>
        <v/>
      </c>
      <c r="R103" s="7">
        <f>'1 datos preparados'!Q96</f>
        <v/>
      </c>
      <c r="S103" s="7">
        <f>'1 datos preparados'!R96</f>
        <v/>
      </c>
      <c r="T103" s="7">
        <f>'1 datos preparados'!S96</f>
        <v/>
      </c>
      <c r="U103" s="7">
        <f>'1 datos preparados'!T96</f>
        <v/>
      </c>
      <c r="V103" s="8">
        <f>$AE$12+D103*$AE$13+E103*$AE$14+F103*$AE$15+G103*$AE$16+H103*$AE$17+I103*$AE$18+J103*$AE$19+K103*$AE$20+L103*$AE$21+M103*$AE$22+N103*$AE$23+O103*$AE$24+P103*$AE$25+Q103*$AE$26+R103*$AE$27+S103*$AE$28+T103*$AE$29+U103*$AE$30</f>
        <v/>
      </c>
      <c r="W103" s="8">
        <f>1/(1+EXP(-V103))</f>
        <v/>
      </c>
      <c r="X103" s="9">
        <f>-IF(C103=1,LN(W103),LN(1-W103))</f>
        <v/>
      </c>
      <c r="Y103" s="8">
        <f>1</f>
        <v/>
      </c>
      <c r="Z103" s="9">
        <f>Y103*X103</f>
        <v/>
      </c>
      <c r="AA103" s="10">
        <f>IF(W103&gt;$AE$32,1,0)</f>
        <v/>
      </c>
      <c r="AB103">
        <f>IF(AA103=C103,1,0)</f>
        <v/>
      </c>
    </row>
    <row r="104">
      <c r="A104">
        <f>'1 datos preparados'!A97</f>
        <v/>
      </c>
      <c r="B104" s="5">
        <f>'1 datos preparados'!U97</f>
        <v/>
      </c>
      <c r="C104">
        <f>'1 datos preparados'!B97</f>
        <v/>
      </c>
      <c r="D104" s="7">
        <f>'1 datos preparados'!C97</f>
        <v/>
      </c>
      <c r="E104" s="7">
        <f>'1 datos preparados'!D97</f>
        <v/>
      </c>
      <c r="F104" s="7">
        <f>'1 datos preparados'!E97</f>
        <v/>
      </c>
      <c r="G104" s="7">
        <f>'1 datos preparados'!F97</f>
        <v/>
      </c>
      <c r="H104" s="7">
        <f>'1 datos preparados'!G97</f>
        <v/>
      </c>
      <c r="I104" s="7">
        <f>'1 datos preparados'!H97</f>
        <v/>
      </c>
      <c r="J104" s="7">
        <f>'1 datos preparados'!I97</f>
        <v/>
      </c>
      <c r="K104" s="7">
        <f>'1 datos preparados'!J97</f>
        <v/>
      </c>
      <c r="L104" s="7">
        <f>'1 datos preparados'!K97</f>
        <v/>
      </c>
      <c r="M104" s="7">
        <f>'1 datos preparados'!L97</f>
        <v/>
      </c>
      <c r="N104" s="7">
        <f>'1 datos preparados'!M97</f>
        <v/>
      </c>
      <c r="O104" s="7">
        <f>'1 datos preparados'!N97</f>
        <v/>
      </c>
      <c r="P104" s="7">
        <f>'1 datos preparados'!O97</f>
        <v/>
      </c>
      <c r="Q104" s="7">
        <f>'1 datos preparados'!P97</f>
        <v/>
      </c>
      <c r="R104" s="7">
        <f>'1 datos preparados'!Q97</f>
        <v/>
      </c>
      <c r="S104" s="7">
        <f>'1 datos preparados'!R97</f>
        <v/>
      </c>
      <c r="T104" s="7">
        <f>'1 datos preparados'!S97</f>
        <v/>
      </c>
      <c r="U104" s="7">
        <f>'1 datos preparados'!T97</f>
        <v/>
      </c>
      <c r="V104" s="8">
        <f>$AE$12+D104*$AE$13+E104*$AE$14+F104*$AE$15+G104*$AE$16+H104*$AE$17+I104*$AE$18+J104*$AE$19+K104*$AE$20+L104*$AE$21+M104*$AE$22+N104*$AE$23+O104*$AE$24+P104*$AE$25+Q104*$AE$26+R104*$AE$27+S104*$AE$28+T104*$AE$29+U104*$AE$30</f>
        <v/>
      </c>
      <c r="W104" s="8">
        <f>1/(1+EXP(-V104))</f>
        <v/>
      </c>
      <c r="X104" s="9">
        <f>-IF(C104=1,LN(W104),LN(1-W104))</f>
        <v/>
      </c>
      <c r="Y104" s="8">
        <f>1</f>
        <v/>
      </c>
      <c r="Z104" s="9">
        <f>Y104*X104</f>
        <v/>
      </c>
      <c r="AA104" s="10">
        <f>IF(W104&gt;$AE$32,1,0)</f>
        <v/>
      </c>
      <c r="AB104">
        <f>IF(AA104=C104,1,0)</f>
        <v/>
      </c>
    </row>
    <row r="105">
      <c r="A105">
        <f>'1 datos preparados'!A98</f>
        <v/>
      </c>
      <c r="B105" s="5">
        <f>'1 datos preparados'!U98</f>
        <v/>
      </c>
      <c r="C105">
        <f>'1 datos preparados'!B98</f>
        <v/>
      </c>
      <c r="D105" s="7">
        <f>'1 datos preparados'!C98</f>
        <v/>
      </c>
      <c r="E105" s="7">
        <f>'1 datos preparados'!D98</f>
        <v/>
      </c>
      <c r="F105" s="7">
        <f>'1 datos preparados'!E98</f>
        <v/>
      </c>
      <c r="G105" s="7">
        <f>'1 datos preparados'!F98</f>
        <v/>
      </c>
      <c r="H105" s="7">
        <f>'1 datos preparados'!G98</f>
        <v/>
      </c>
      <c r="I105" s="7">
        <f>'1 datos preparados'!H98</f>
        <v/>
      </c>
      <c r="J105" s="7">
        <f>'1 datos preparados'!I98</f>
        <v/>
      </c>
      <c r="K105" s="7">
        <f>'1 datos preparados'!J98</f>
        <v/>
      </c>
      <c r="L105" s="7">
        <f>'1 datos preparados'!K98</f>
        <v/>
      </c>
      <c r="M105" s="7">
        <f>'1 datos preparados'!L98</f>
        <v/>
      </c>
      <c r="N105" s="7">
        <f>'1 datos preparados'!M98</f>
        <v/>
      </c>
      <c r="O105" s="7">
        <f>'1 datos preparados'!N98</f>
        <v/>
      </c>
      <c r="P105" s="7">
        <f>'1 datos preparados'!O98</f>
        <v/>
      </c>
      <c r="Q105" s="7">
        <f>'1 datos preparados'!P98</f>
        <v/>
      </c>
      <c r="R105" s="7">
        <f>'1 datos preparados'!Q98</f>
        <v/>
      </c>
      <c r="S105" s="7">
        <f>'1 datos preparados'!R98</f>
        <v/>
      </c>
      <c r="T105" s="7">
        <f>'1 datos preparados'!S98</f>
        <v/>
      </c>
      <c r="U105" s="7">
        <f>'1 datos preparados'!T98</f>
        <v/>
      </c>
      <c r="V105" s="8">
        <f>$AE$12+D105*$AE$13+E105*$AE$14+F105*$AE$15+G105*$AE$16+H105*$AE$17+I105*$AE$18+J105*$AE$19+K105*$AE$20+L105*$AE$21+M105*$AE$22+N105*$AE$23+O105*$AE$24+P105*$AE$25+Q105*$AE$26+R105*$AE$27+S105*$AE$28+T105*$AE$29+U105*$AE$30</f>
        <v/>
      </c>
      <c r="W105" s="8">
        <f>1/(1+EXP(-V105))</f>
        <v/>
      </c>
      <c r="X105" s="9">
        <f>-IF(C105=1,LN(W105),LN(1-W105))</f>
        <v/>
      </c>
      <c r="Y105" s="8">
        <f>1</f>
        <v/>
      </c>
      <c r="Z105" s="9">
        <f>Y105*X105</f>
        <v/>
      </c>
      <c r="AA105" s="10">
        <f>IF(W105&gt;$AE$32,1,0)</f>
        <v/>
      </c>
      <c r="AB105">
        <f>IF(AA105=C105,1,0)</f>
        <v/>
      </c>
    </row>
    <row r="106">
      <c r="A106">
        <f>'1 datos preparados'!A99</f>
        <v/>
      </c>
      <c r="B106" s="5">
        <f>'1 datos preparados'!U99</f>
        <v/>
      </c>
      <c r="C106">
        <f>'1 datos preparados'!B99</f>
        <v/>
      </c>
      <c r="D106" s="7">
        <f>'1 datos preparados'!C99</f>
        <v/>
      </c>
      <c r="E106" s="7">
        <f>'1 datos preparados'!D99</f>
        <v/>
      </c>
      <c r="F106" s="7">
        <f>'1 datos preparados'!E99</f>
        <v/>
      </c>
      <c r="G106" s="7">
        <f>'1 datos preparados'!F99</f>
        <v/>
      </c>
      <c r="H106" s="7">
        <f>'1 datos preparados'!G99</f>
        <v/>
      </c>
      <c r="I106" s="7">
        <f>'1 datos preparados'!H99</f>
        <v/>
      </c>
      <c r="J106" s="7">
        <f>'1 datos preparados'!I99</f>
        <v/>
      </c>
      <c r="K106" s="7">
        <f>'1 datos preparados'!J99</f>
        <v/>
      </c>
      <c r="L106" s="7">
        <f>'1 datos preparados'!K99</f>
        <v/>
      </c>
      <c r="M106" s="7">
        <f>'1 datos preparados'!L99</f>
        <v/>
      </c>
      <c r="N106" s="7">
        <f>'1 datos preparados'!M99</f>
        <v/>
      </c>
      <c r="O106" s="7">
        <f>'1 datos preparados'!N99</f>
        <v/>
      </c>
      <c r="P106" s="7">
        <f>'1 datos preparados'!O99</f>
        <v/>
      </c>
      <c r="Q106" s="7">
        <f>'1 datos preparados'!P99</f>
        <v/>
      </c>
      <c r="R106" s="7">
        <f>'1 datos preparados'!Q99</f>
        <v/>
      </c>
      <c r="S106" s="7">
        <f>'1 datos preparados'!R99</f>
        <v/>
      </c>
      <c r="T106" s="7">
        <f>'1 datos preparados'!S99</f>
        <v/>
      </c>
      <c r="U106" s="7">
        <f>'1 datos preparados'!T99</f>
        <v/>
      </c>
      <c r="V106" s="8">
        <f>$AE$12+D106*$AE$13+E106*$AE$14+F106*$AE$15+G106*$AE$16+H106*$AE$17+I106*$AE$18+J106*$AE$19+K106*$AE$20+L106*$AE$21+M106*$AE$22+N106*$AE$23+O106*$AE$24+P106*$AE$25+Q106*$AE$26+R106*$AE$27+S106*$AE$28+T106*$AE$29+U106*$AE$30</f>
        <v/>
      </c>
      <c r="W106" s="8">
        <f>1/(1+EXP(-V106))</f>
        <v/>
      </c>
      <c r="X106" s="9">
        <f>-IF(C106=1,LN(W106),LN(1-W106))</f>
        <v/>
      </c>
      <c r="Y106" s="8">
        <f>1</f>
        <v/>
      </c>
      <c r="Z106" s="9">
        <f>Y106*X106</f>
        <v/>
      </c>
      <c r="AA106" s="10">
        <f>IF(W106&gt;$AE$32,1,0)</f>
        <v/>
      </c>
      <c r="AB106">
        <f>IF(AA106=C106,1,0)</f>
        <v/>
      </c>
    </row>
    <row r="107">
      <c r="A107">
        <f>'1 datos preparados'!A100</f>
        <v/>
      </c>
      <c r="B107" s="5">
        <f>'1 datos preparados'!U100</f>
        <v/>
      </c>
      <c r="C107">
        <f>'1 datos preparados'!B100</f>
        <v/>
      </c>
      <c r="D107" s="7">
        <f>'1 datos preparados'!C100</f>
        <v/>
      </c>
      <c r="E107" s="7">
        <f>'1 datos preparados'!D100</f>
        <v/>
      </c>
      <c r="F107" s="7">
        <f>'1 datos preparados'!E100</f>
        <v/>
      </c>
      <c r="G107" s="7">
        <f>'1 datos preparados'!F100</f>
        <v/>
      </c>
      <c r="H107" s="7">
        <f>'1 datos preparados'!G100</f>
        <v/>
      </c>
      <c r="I107" s="7">
        <f>'1 datos preparados'!H100</f>
        <v/>
      </c>
      <c r="J107" s="7">
        <f>'1 datos preparados'!I100</f>
        <v/>
      </c>
      <c r="K107" s="7">
        <f>'1 datos preparados'!J100</f>
        <v/>
      </c>
      <c r="L107" s="7">
        <f>'1 datos preparados'!K100</f>
        <v/>
      </c>
      <c r="M107" s="7">
        <f>'1 datos preparados'!L100</f>
        <v/>
      </c>
      <c r="N107" s="7">
        <f>'1 datos preparados'!M100</f>
        <v/>
      </c>
      <c r="O107" s="7">
        <f>'1 datos preparados'!N100</f>
        <v/>
      </c>
      <c r="P107" s="7">
        <f>'1 datos preparados'!O100</f>
        <v/>
      </c>
      <c r="Q107" s="7">
        <f>'1 datos preparados'!P100</f>
        <v/>
      </c>
      <c r="R107" s="7">
        <f>'1 datos preparados'!Q100</f>
        <v/>
      </c>
      <c r="S107" s="7">
        <f>'1 datos preparados'!R100</f>
        <v/>
      </c>
      <c r="T107" s="7">
        <f>'1 datos preparados'!S100</f>
        <v/>
      </c>
      <c r="U107" s="7">
        <f>'1 datos preparados'!T100</f>
        <v/>
      </c>
      <c r="V107" s="8">
        <f>$AE$12+D107*$AE$13+E107*$AE$14+F107*$AE$15+G107*$AE$16+H107*$AE$17+I107*$AE$18+J107*$AE$19+K107*$AE$20+L107*$AE$21+M107*$AE$22+N107*$AE$23+O107*$AE$24+P107*$AE$25+Q107*$AE$26+R107*$AE$27+S107*$AE$28+T107*$AE$29+U107*$AE$30</f>
        <v/>
      </c>
      <c r="W107" s="8">
        <f>1/(1+EXP(-V107))</f>
        <v/>
      </c>
      <c r="X107" s="9">
        <f>-IF(C107=1,LN(W107),LN(1-W107))</f>
        <v/>
      </c>
      <c r="Y107" s="8">
        <f>1</f>
        <v/>
      </c>
      <c r="Z107" s="9">
        <f>Y107*X107</f>
        <v/>
      </c>
      <c r="AA107" s="10">
        <f>IF(W107&gt;$AE$32,1,0)</f>
        <v/>
      </c>
      <c r="AB107">
        <f>IF(AA107=C107,1,0)</f>
        <v/>
      </c>
    </row>
    <row r="108">
      <c r="A108">
        <f>'1 datos preparados'!A101</f>
        <v/>
      </c>
      <c r="B108" s="5">
        <f>'1 datos preparados'!U101</f>
        <v/>
      </c>
      <c r="C108">
        <f>'1 datos preparados'!B101</f>
        <v/>
      </c>
      <c r="D108" s="7">
        <f>'1 datos preparados'!C101</f>
        <v/>
      </c>
      <c r="E108" s="7">
        <f>'1 datos preparados'!D101</f>
        <v/>
      </c>
      <c r="F108" s="7">
        <f>'1 datos preparados'!E101</f>
        <v/>
      </c>
      <c r="G108" s="7">
        <f>'1 datos preparados'!F101</f>
        <v/>
      </c>
      <c r="H108" s="7">
        <f>'1 datos preparados'!G101</f>
        <v/>
      </c>
      <c r="I108" s="7">
        <f>'1 datos preparados'!H101</f>
        <v/>
      </c>
      <c r="J108" s="7">
        <f>'1 datos preparados'!I101</f>
        <v/>
      </c>
      <c r="K108" s="7">
        <f>'1 datos preparados'!J101</f>
        <v/>
      </c>
      <c r="L108" s="7">
        <f>'1 datos preparados'!K101</f>
        <v/>
      </c>
      <c r="M108" s="7">
        <f>'1 datos preparados'!L101</f>
        <v/>
      </c>
      <c r="N108" s="7">
        <f>'1 datos preparados'!M101</f>
        <v/>
      </c>
      <c r="O108" s="7">
        <f>'1 datos preparados'!N101</f>
        <v/>
      </c>
      <c r="P108" s="7">
        <f>'1 datos preparados'!O101</f>
        <v/>
      </c>
      <c r="Q108" s="7">
        <f>'1 datos preparados'!P101</f>
        <v/>
      </c>
      <c r="R108" s="7">
        <f>'1 datos preparados'!Q101</f>
        <v/>
      </c>
      <c r="S108" s="7">
        <f>'1 datos preparados'!R101</f>
        <v/>
      </c>
      <c r="T108" s="7">
        <f>'1 datos preparados'!S101</f>
        <v/>
      </c>
      <c r="U108" s="7">
        <f>'1 datos preparados'!T101</f>
        <v/>
      </c>
      <c r="V108" s="8">
        <f>$AE$12+D108*$AE$13+E108*$AE$14+F108*$AE$15+G108*$AE$16+H108*$AE$17+I108*$AE$18+J108*$AE$19+K108*$AE$20+L108*$AE$21+M108*$AE$22+N108*$AE$23+O108*$AE$24+P108*$AE$25+Q108*$AE$26+R108*$AE$27+S108*$AE$28+T108*$AE$29+U108*$AE$30</f>
        <v/>
      </c>
      <c r="W108" s="8">
        <f>1/(1+EXP(-V108))</f>
        <v/>
      </c>
      <c r="X108" s="9">
        <f>-IF(C108=1,LN(W108),LN(1-W108))</f>
        <v/>
      </c>
      <c r="Y108" s="8">
        <f>1</f>
        <v/>
      </c>
      <c r="Z108" s="9">
        <f>Y108*X108</f>
        <v/>
      </c>
      <c r="AA108" s="10">
        <f>IF(W108&gt;$AE$32,1,0)</f>
        <v/>
      </c>
      <c r="AB108">
        <f>IF(AA108=C108,1,0)</f>
        <v/>
      </c>
    </row>
    <row r="109">
      <c r="A109">
        <f>'1 datos preparados'!A102</f>
        <v/>
      </c>
      <c r="B109" s="5">
        <f>'1 datos preparados'!U102</f>
        <v/>
      </c>
      <c r="C109">
        <f>'1 datos preparados'!B102</f>
        <v/>
      </c>
      <c r="D109" s="7">
        <f>'1 datos preparados'!C102</f>
        <v/>
      </c>
      <c r="E109" s="7">
        <f>'1 datos preparados'!D102</f>
        <v/>
      </c>
      <c r="F109" s="7">
        <f>'1 datos preparados'!E102</f>
        <v/>
      </c>
      <c r="G109" s="7">
        <f>'1 datos preparados'!F102</f>
        <v/>
      </c>
      <c r="H109" s="7">
        <f>'1 datos preparados'!G102</f>
        <v/>
      </c>
      <c r="I109" s="7">
        <f>'1 datos preparados'!H102</f>
        <v/>
      </c>
      <c r="J109" s="7">
        <f>'1 datos preparados'!I102</f>
        <v/>
      </c>
      <c r="K109" s="7">
        <f>'1 datos preparados'!J102</f>
        <v/>
      </c>
      <c r="L109" s="7">
        <f>'1 datos preparados'!K102</f>
        <v/>
      </c>
      <c r="M109" s="7">
        <f>'1 datos preparados'!L102</f>
        <v/>
      </c>
      <c r="N109" s="7">
        <f>'1 datos preparados'!M102</f>
        <v/>
      </c>
      <c r="O109" s="7">
        <f>'1 datos preparados'!N102</f>
        <v/>
      </c>
      <c r="P109" s="7">
        <f>'1 datos preparados'!O102</f>
        <v/>
      </c>
      <c r="Q109" s="7">
        <f>'1 datos preparados'!P102</f>
        <v/>
      </c>
      <c r="R109" s="7">
        <f>'1 datos preparados'!Q102</f>
        <v/>
      </c>
      <c r="S109" s="7">
        <f>'1 datos preparados'!R102</f>
        <v/>
      </c>
      <c r="T109" s="7">
        <f>'1 datos preparados'!S102</f>
        <v/>
      </c>
      <c r="U109" s="7">
        <f>'1 datos preparados'!T102</f>
        <v/>
      </c>
      <c r="V109" s="8">
        <f>$AE$12+D109*$AE$13+E109*$AE$14+F109*$AE$15+G109*$AE$16+H109*$AE$17+I109*$AE$18+J109*$AE$19+K109*$AE$20+L109*$AE$21+M109*$AE$22+N109*$AE$23+O109*$AE$24+P109*$AE$25+Q109*$AE$26+R109*$AE$27+S109*$AE$28+T109*$AE$29+U109*$AE$30</f>
        <v/>
      </c>
      <c r="W109" s="8">
        <f>1/(1+EXP(-V109))</f>
        <v/>
      </c>
      <c r="X109" s="9">
        <f>-IF(C109=1,LN(W109),LN(1-W109))</f>
        <v/>
      </c>
      <c r="Y109" s="8">
        <f>1</f>
        <v/>
      </c>
      <c r="Z109" s="9">
        <f>Y109*X109</f>
        <v/>
      </c>
      <c r="AA109" s="10">
        <f>IF(W109&gt;$AE$32,1,0)</f>
        <v/>
      </c>
      <c r="AB109">
        <f>IF(AA109=C109,1,0)</f>
        <v/>
      </c>
    </row>
    <row r="110">
      <c r="A110">
        <f>'1 datos preparados'!A103</f>
        <v/>
      </c>
      <c r="B110" s="5">
        <f>'1 datos preparados'!U103</f>
        <v/>
      </c>
      <c r="C110">
        <f>'1 datos preparados'!B103</f>
        <v/>
      </c>
      <c r="D110" s="7">
        <f>'1 datos preparados'!C103</f>
        <v/>
      </c>
      <c r="E110" s="7">
        <f>'1 datos preparados'!D103</f>
        <v/>
      </c>
      <c r="F110" s="7">
        <f>'1 datos preparados'!E103</f>
        <v/>
      </c>
      <c r="G110" s="7">
        <f>'1 datos preparados'!F103</f>
        <v/>
      </c>
      <c r="H110" s="7">
        <f>'1 datos preparados'!G103</f>
        <v/>
      </c>
      <c r="I110" s="7">
        <f>'1 datos preparados'!H103</f>
        <v/>
      </c>
      <c r="J110" s="7">
        <f>'1 datos preparados'!I103</f>
        <v/>
      </c>
      <c r="K110" s="7">
        <f>'1 datos preparados'!J103</f>
        <v/>
      </c>
      <c r="L110" s="7">
        <f>'1 datos preparados'!K103</f>
        <v/>
      </c>
      <c r="M110" s="7">
        <f>'1 datos preparados'!L103</f>
        <v/>
      </c>
      <c r="N110" s="7">
        <f>'1 datos preparados'!M103</f>
        <v/>
      </c>
      <c r="O110" s="7">
        <f>'1 datos preparados'!N103</f>
        <v/>
      </c>
      <c r="P110" s="7">
        <f>'1 datos preparados'!O103</f>
        <v/>
      </c>
      <c r="Q110" s="7">
        <f>'1 datos preparados'!P103</f>
        <v/>
      </c>
      <c r="R110" s="7">
        <f>'1 datos preparados'!Q103</f>
        <v/>
      </c>
      <c r="S110" s="7">
        <f>'1 datos preparados'!R103</f>
        <v/>
      </c>
      <c r="T110" s="7">
        <f>'1 datos preparados'!S103</f>
        <v/>
      </c>
      <c r="U110" s="7">
        <f>'1 datos preparados'!T103</f>
        <v/>
      </c>
      <c r="V110" s="8">
        <f>$AE$12+D110*$AE$13+E110*$AE$14+F110*$AE$15+G110*$AE$16+H110*$AE$17+I110*$AE$18+J110*$AE$19+K110*$AE$20+L110*$AE$21+M110*$AE$22+N110*$AE$23+O110*$AE$24+P110*$AE$25+Q110*$AE$26+R110*$AE$27+S110*$AE$28+T110*$AE$29+U110*$AE$30</f>
        <v/>
      </c>
      <c r="W110" s="8">
        <f>1/(1+EXP(-V110))</f>
        <v/>
      </c>
      <c r="X110" s="9">
        <f>-IF(C110=1,LN(W110),LN(1-W110))</f>
        <v/>
      </c>
      <c r="Y110" s="8">
        <f>1</f>
        <v/>
      </c>
      <c r="Z110" s="9">
        <f>Y110*X110</f>
        <v/>
      </c>
      <c r="AA110" s="10">
        <f>IF(W110&gt;$AE$32,1,0)</f>
        <v/>
      </c>
      <c r="AB110">
        <f>IF(AA110=C110,1,0)</f>
        <v/>
      </c>
    </row>
    <row r="111">
      <c r="A111">
        <f>'1 datos preparados'!A104</f>
        <v/>
      </c>
      <c r="B111" s="5">
        <f>'1 datos preparados'!U104</f>
        <v/>
      </c>
      <c r="C111">
        <f>'1 datos preparados'!B104</f>
        <v/>
      </c>
      <c r="D111" s="7">
        <f>'1 datos preparados'!C104</f>
        <v/>
      </c>
      <c r="E111" s="7">
        <f>'1 datos preparados'!D104</f>
        <v/>
      </c>
      <c r="F111" s="7">
        <f>'1 datos preparados'!E104</f>
        <v/>
      </c>
      <c r="G111" s="7">
        <f>'1 datos preparados'!F104</f>
        <v/>
      </c>
      <c r="H111" s="7">
        <f>'1 datos preparados'!G104</f>
        <v/>
      </c>
      <c r="I111" s="7">
        <f>'1 datos preparados'!H104</f>
        <v/>
      </c>
      <c r="J111" s="7">
        <f>'1 datos preparados'!I104</f>
        <v/>
      </c>
      <c r="K111" s="7">
        <f>'1 datos preparados'!J104</f>
        <v/>
      </c>
      <c r="L111" s="7">
        <f>'1 datos preparados'!K104</f>
        <v/>
      </c>
      <c r="M111" s="7">
        <f>'1 datos preparados'!L104</f>
        <v/>
      </c>
      <c r="N111" s="7">
        <f>'1 datos preparados'!M104</f>
        <v/>
      </c>
      <c r="O111" s="7">
        <f>'1 datos preparados'!N104</f>
        <v/>
      </c>
      <c r="P111" s="7">
        <f>'1 datos preparados'!O104</f>
        <v/>
      </c>
      <c r="Q111" s="7">
        <f>'1 datos preparados'!P104</f>
        <v/>
      </c>
      <c r="R111" s="7">
        <f>'1 datos preparados'!Q104</f>
        <v/>
      </c>
      <c r="S111" s="7">
        <f>'1 datos preparados'!R104</f>
        <v/>
      </c>
      <c r="T111" s="7">
        <f>'1 datos preparados'!S104</f>
        <v/>
      </c>
      <c r="U111" s="7">
        <f>'1 datos preparados'!T104</f>
        <v/>
      </c>
      <c r="V111" s="8">
        <f>$AE$12+D111*$AE$13+E111*$AE$14+F111*$AE$15+G111*$AE$16+H111*$AE$17+I111*$AE$18+J111*$AE$19+K111*$AE$20+L111*$AE$21+M111*$AE$22+N111*$AE$23+O111*$AE$24+P111*$AE$25+Q111*$AE$26+R111*$AE$27+S111*$AE$28+T111*$AE$29+U111*$AE$30</f>
        <v/>
      </c>
      <c r="W111" s="8">
        <f>1/(1+EXP(-V111))</f>
        <v/>
      </c>
      <c r="X111" s="9">
        <f>-IF(C111=1,LN(W111),LN(1-W111))</f>
        <v/>
      </c>
      <c r="Y111" s="8">
        <f>1</f>
        <v/>
      </c>
      <c r="Z111" s="9">
        <f>Y111*X111</f>
        <v/>
      </c>
      <c r="AA111" s="10">
        <f>IF(W111&gt;$AE$32,1,0)</f>
        <v/>
      </c>
      <c r="AB111">
        <f>IF(AA111=C111,1,0)</f>
        <v/>
      </c>
    </row>
    <row r="112">
      <c r="A112">
        <f>'1 datos preparados'!A105</f>
        <v/>
      </c>
      <c r="B112" s="5">
        <f>'1 datos preparados'!U105</f>
        <v/>
      </c>
      <c r="C112">
        <f>'1 datos preparados'!B105</f>
        <v/>
      </c>
      <c r="D112" s="7">
        <f>'1 datos preparados'!C105</f>
        <v/>
      </c>
      <c r="E112" s="7">
        <f>'1 datos preparados'!D105</f>
        <v/>
      </c>
      <c r="F112" s="7">
        <f>'1 datos preparados'!E105</f>
        <v/>
      </c>
      <c r="G112" s="7">
        <f>'1 datos preparados'!F105</f>
        <v/>
      </c>
      <c r="H112" s="7">
        <f>'1 datos preparados'!G105</f>
        <v/>
      </c>
      <c r="I112" s="7">
        <f>'1 datos preparados'!H105</f>
        <v/>
      </c>
      <c r="J112" s="7">
        <f>'1 datos preparados'!I105</f>
        <v/>
      </c>
      <c r="K112" s="7">
        <f>'1 datos preparados'!J105</f>
        <v/>
      </c>
      <c r="L112" s="7">
        <f>'1 datos preparados'!K105</f>
        <v/>
      </c>
      <c r="M112" s="7">
        <f>'1 datos preparados'!L105</f>
        <v/>
      </c>
      <c r="N112" s="7">
        <f>'1 datos preparados'!M105</f>
        <v/>
      </c>
      <c r="O112" s="7">
        <f>'1 datos preparados'!N105</f>
        <v/>
      </c>
      <c r="P112" s="7">
        <f>'1 datos preparados'!O105</f>
        <v/>
      </c>
      <c r="Q112" s="7">
        <f>'1 datos preparados'!P105</f>
        <v/>
      </c>
      <c r="R112" s="7">
        <f>'1 datos preparados'!Q105</f>
        <v/>
      </c>
      <c r="S112" s="7">
        <f>'1 datos preparados'!R105</f>
        <v/>
      </c>
      <c r="T112" s="7">
        <f>'1 datos preparados'!S105</f>
        <v/>
      </c>
      <c r="U112" s="7">
        <f>'1 datos preparados'!T105</f>
        <v/>
      </c>
      <c r="V112" s="8">
        <f>$AE$12+D112*$AE$13+E112*$AE$14+F112*$AE$15+G112*$AE$16+H112*$AE$17+I112*$AE$18+J112*$AE$19+K112*$AE$20+L112*$AE$21+M112*$AE$22+N112*$AE$23+O112*$AE$24+P112*$AE$25+Q112*$AE$26+R112*$AE$27+S112*$AE$28+T112*$AE$29+U112*$AE$30</f>
        <v/>
      </c>
      <c r="W112" s="8">
        <f>1/(1+EXP(-V112))</f>
        <v/>
      </c>
      <c r="X112" s="9">
        <f>-IF(C112=1,LN(W112),LN(1-W112))</f>
        <v/>
      </c>
      <c r="Y112" s="8">
        <f>1</f>
        <v/>
      </c>
      <c r="Z112" s="9">
        <f>Y112*X112</f>
        <v/>
      </c>
      <c r="AA112" s="10">
        <f>IF(W112&gt;$AE$32,1,0)</f>
        <v/>
      </c>
      <c r="AB112">
        <f>IF(AA112=C112,1,0)</f>
        <v/>
      </c>
    </row>
    <row r="113">
      <c r="A113">
        <f>'1 datos preparados'!A106</f>
        <v/>
      </c>
      <c r="B113" s="5">
        <f>'1 datos preparados'!U106</f>
        <v/>
      </c>
      <c r="C113">
        <f>'1 datos preparados'!B106</f>
        <v/>
      </c>
      <c r="D113" s="7">
        <f>'1 datos preparados'!C106</f>
        <v/>
      </c>
      <c r="E113" s="7">
        <f>'1 datos preparados'!D106</f>
        <v/>
      </c>
      <c r="F113" s="7">
        <f>'1 datos preparados'!E106</f>
        <v/>
      </c>
      <c r="G113" s="7">
        <f>'1 datos preparados'!F106</f>
        <v/>
      </c>
      <c r="H113" s="7">
        <f>'1 datos preparados'!G106</f>
        <v/>
      </c>
      <c r="I113" s="7">
        <f>'1 datos preparados'!H106</f>
        <v/>
      </c>
      <c r="J113" s="7">
        <f>'1 datos preparados'!I106</f>
        <v/>
      </c>
      <c r="K113" s="7">
        <f>'1 datos preparados'!J106</f>
        <v/>
      </c>
      <c r="L113" s="7">
        <f>'1 datos preparados'!K106</f>
        <v/>
      </c>
      <c r="M113" s="7">
        <f>'1 datos preparados'!L106</f>
        <v/>
      </c>
      <c r="N113" s="7">
        <f>'1 datos preparados'!M106</f>
        <v/>
      </c>
      <c r="O113" s="7">
        <f>'1 datos preparados'!N106</f>
        <v/>
      </c>
      <c r="P113" s="7">
        <f>'1 datos preparados'!O106</f>
        <v/>
      </c>
      <c r="Q113" s="7">
        <f>'1 datos preparados'!P106</f>
        <v/>
      </c>
      <c r="R113" s="7">
        <f>'1 datos preparados'!Q106</f>
        <v/>
      </c>
      <c r="S113" s="7">
        <f>'1 datos preparados'!R106</f>
        <v/>
      </c>
      <c r="T113" s="7">
        <f>'1 datos preparados'!S106</f>
        <v/>
      </c>
      <c r="U113" s="7">
        <f>'1 datos preparados'!T106</f>
        <v/>
      </c>
      <c r="V113" s="8">
        <f>$AE$12+D113*$AE$13+E113*$AE$14+F113*$AE$15+G113*$AE$16+H113*$AE$17+I113*$AE$18+J113*$AE$19+K113*$AE$20+L113*$AE$21+M113*$AE$22+N113*$AE$23+O113*$AE$24+P113*$AE$25+Q113*$AE$26+R113*$AE$27+S113*$AE$28+T113*$AE$29+U113*$AE$30</f>
        <v/>
      </c>
      <c r="W113" s="8">
        <f>1/(1+EXP(-V113))</f>
        <v/>
      </c>
      <c r="X113" s="9">
        <f>-IF(C113=1,LN(W113),LN(1-W113))</f>
        <v/>
      </c>
      <c r="Y113" s="8">
        <f>1</f>
        <v/>
      </c>
      <c r="Z113" s="9">
        <f>Y113*X113</f>
        <v/>
      </c>
      <c r="AA113" s="10">
        <f>IF(W113&gt;$AE$32,1,0)</f>
        <v/>
      </c>
      <c r="AB113">
        <f>IF(AA113=C113,1,0)</f>
        <v/>
      </c>
    </row>
    <row r="114">
      <c r="A114">
        <f>'1 datos preparados'!A107</f>
        <v/>
      </c>
      <c r="B114" s="5">
        <f>'1 datos preparados'!U107</f>
        <v/>
      </c>
      <c r="C114">
        <f>'1 datos preparados'!B107</f>
        <v/>
      </c>
      <c r="D114" s="7">
        <f>'1 datos preparados'!C107</f>
        <v/>
      </c>
      <c r="E114" s="7">
        <f>'1 datos preparados'!D107</f>
        <v/>
      </c>
      <c r="F114" s="7">
        <f>'1 datos preparados'!E107</f>
        <v/>
      </c>
      <c r="G114" s="7">
        <f>'1 datos preparados'!F107</f>
        <v/>
      </c>
      <c r="H114" s="7">
        <f>'1 datos preparados'!G107</f>
        <v/>
      </c>
      <c r="I114" s="7">
        <f>'1 datos preparados'!H107</f>
        <v/>
      </c>
      <c r="J114" s="7">
        <f>'1 datos preparados'!I107</f>
        <v/>
      </c>
      <c r="K114" s="7">
        <f>'1 datos preparados'!J107</f>
        <v/>
      </c>
      <c r="L114" s="7">
        <f>'1 datos preparados'!K107</f>
        <v/>
      </c>
      <c r="M114" s="7">
        <f>'1 datos preparados'!L107</f>
        <v/>
      </c>
      <c r="N114" s="7">
        <f>'1 datos preparados'!M107</f>
        <v/>
      </c>
      <c r="O114" s="7">
        <f>'1 datos preparados'!N107</f>
        <v/>
      </c>
      <c r="P114" s="7">
        <f>'1 datos preparados'!O107</f>
        <v/>
      </c>
      <c r="Q114" s="7">
        <f>'1 datos preparados'!P107</f>
        <v/>
      </c>
      <c r="R114" s="7">
        <f>'1 datos preparados'!Q107</f>
        <v/>
      </c>
      <c r="S114" s="7">
        <f>'1 datos preparados'!R107</f>
        <v/>
      </c>
      <c r="T114" s="7">
        <f>'1 datos preparados'!S107</f>
        <v/>
      </c>
      <c r="U114" s="7">
        <f>'1 datos preparados'!T107</f>
        <v/>
      </c>
      <c r="V114" s="8">
        <f>$AE$12+D114*$AE$13+E114*$AE$14+F114*$AE$15+G114*$AE$16+H114*$AE$17+I114*$AE$18+J114*$AE$19+K114*$AE$20+L114*$AE$21+M114*$AE$22+N114*$AE$23+O114*$AE$24+P114*$AE$25+Q114*$AE$26+R114*$AE$27+S114*$AE$28+T114*$AE$29+U114*$AE$30</f>
        <v/>
      </c>
      <c r="W114" s="8">
        <f>1/(1+EXP(-V114))</f>
        <v/>
      </c>
      <c r="X114" s="9">
        <f>-IF(C114=1,LN(W114),LN(1-W114))</f>
        <v/>
      </c>
      <c r="Y114" s="8">
        <f>1</f>
        <v/>
      </c>
      <c r="Z114" s="9">
        <f>Y114*X114</f>
        <v/>
      </c>
      <c r="AA114" s="10">
        <f>IF(W114&gt;$AE$32,1,0)</f>
        <v/>
      </c>
      <c r="AB114">
        <f>IF(AA114=C114,1,0)</f>
        <v/>
      </c>
    </row>
    <row r="115">
      <c r="A115">
        <f>'1 datos preparados'!A108</f>
        <v/>
      </c>
      <c r="B115" s="5">
        <f>'1 datos preparados'!U108</f>
        <v/>
      </c>
      <c r="C115">
        <f>'1 datos preparados'!B108</f>
        <v/>
      </c>
      <c r="D115" s="7">
        <f>'1 datos preparados'!C108</f>
        <v/>
      </c>
      <c r="E115" s="7">
        <f>'1 datos preparados'!D108</f>
        <v/>
      </c>
      <c r="F115" s="7">
        <f>'1 datos preparados'!E108</f>
        <v/>
      </c>
      <c r="G115" s="7">
        <f>'1 datos preparados'!F108</f>
        <v/>
      </c>
      <c r="H115" s="7">
        <f>'1 datos preparados'!G108</f>
        <v/>
      </c>
      <c r="I115" s="7">
        <f>'1 datos preparados'!H108</f>
        <v/>
      </c>
      <c r="J115" s="7">
        <f>'1 datos preparados'!I108</f>
        <v/>
      </c>
      <c r="K115" s="7">
        <f>'1 datos preparados'!J108</f>
        <v/>
      </c>
      <c r="L115" s="7">
        <f>'1 datos preparados'!K108</f>
        <v/>
      </c>
      <c r="M115" s="7">
        <f>'1 datos preparados'!L108</f>
        <v/>
      </c>
      <c r="N115" s="7">
        <f>'1 datos preparados'!M108</f>
        <v/>
      </c>
      <c r="O115" s="7">
        <f>'1 datos preparados'!N108</f>
        <v/>
      </c>
      <c r="P115" s="7">
        <f>'1 datos preparados'!O108</f>
        <v/>
      </c>
      <c r="Q115" s="7">
        <f>'1 datos preparados'!P108</f>
        <v/>
      </c>
      <c r="R115" s="7">
        <f>'1 datos preparados'!Q108</f>
        <v/>
      </c>
      <c r="S115" s="7">
        <f>'1 datos preparados'!R108</f>
        <v/>
      </c>
      <c r="T115" s="7">
        <f>'1 datos preparados'!S108</f>
        <v/>
      </c>
      <c r="U115" s="7">
        <f>'1 datos preparados'!T108</f>
        <v/>
      </c>
      <c r="V115" s="8">
        <f>$AE$12+D115*$AE$13+E115*$AE$14+F115*$AE$15+G115*$AE$16+H115*$AE$17+I115*$AE$18+J115*$AE$19+K115*$AE$20+L115*$AE$21+M115*$AE$22+N115*$AE$23+O115*$AE$24+P115*$AE$25+Q115*$AE$26+R115*$AE$27+S115*$AE$28+T115*$AE$29+U115*$AE$30</f>
        <v/>
      </c>
      <c r="W115" s="8">
        <f>1/(1+EXP(-V115))</f>
        <v/>
      </c>
      <c r="X115" s="9">
        <f>-IF(C115=1,LN(W115),LN(1-W115))</f>
        <v/>
      </c>
      <c r="Y115" s="8">
        <f>1</f>
        <v/>
      </c>
      <c r="Z115" s="9">
        <f>Y115*X115</f>
        <v/>
      </c>
      <c r="AA115" s="10">
        <f>IF(W115&gt;$AE$32,1,0)</f>
        <v/>
      </c>
      <c r="AB115">
        <f>IF(AA115=C115,1,0)</f>
        <v/>
      </c>
    </row>
    <row r="116">
      <c r="A116">
        <f>'1 datos preparados'!A109</f>
        <v/>
      </c>
      <c r="B116" s="5">
        <f>'1 datos preparados'!U109</f>
        <v/>
      </c>
      <c r="C116">
        <f>'1 datos preparados'!B109</f>
        <v/>
      </c>
      <c r="D116" s="7">
        <f>'1 datos preparados'!C109</f>
        <v/>
      </c>
      <c r="E116" s="7">
        <f>'1 datos preparados'!D109</f>
        <v/>
      </c>
      <c r="F116" s="7">
        <f>'1 datos preparados'!E109</f>
        <v/>
      </c>
      <c r="G116" s="7">
        <f>'1 datos preparados'!F109</f>
        <v/>
      </c>
      <c r="H116" s="7">
        <f>'1 datos preparados'!G109</f>
        <v/>
      </c>
      <c r="I116" s="7">
        <f>'1 datos preparados'!H109</f>
        <v/>
      </c>
      <c r="J116" s="7">
        <f>'1 datos preparados'!I109</f>
        <v/>
      </c>
      <c r="K116" s="7">
        <f>'1 datos preparados'!J109</f>
        <v/>
      </c>
      <c r="L116" s="7">
        <f>'1 datos preparados'!K109</f>
        <v/>
      </c>
      <c r="M116" s="7">
        <f>'1 datos preparados'!L109</f>
        <v/>
      </c>
      <c r="N116" s="7">
        <f>'1 datos preparados'!M109</f>
        <v/>
      </c>
      <c r="O116" s="7">
        <f>'1 datos preparados'!N109</f>
        <v/>
      </c>
      <c r="P116" s="7">
        <f>'1 datos preparados'!O109</f>
        <v/>
      </c>
      <c r="Q116" s="7">
        <f>'1 datos preparados'!P109</f>
        <v/>
      </c>
      <c r="R116" s="7">
        <f>'1 datos preparados'!Q109</f>
        <v/>
      </c>
      <c r="S116" s="7">
        <f>'1 datos preparados'!R109</f>
        <v/>
      </c>
      <c r="T116" s="7">
        <f>'1 datos preparados'!S109</f>
        <v/>
      </c>
      <c r="U116" s="7">
        <f>'1 datos preparados'!T109</f>
        <v/>
      </c>
      <c r="V116" s="8">
        <f>$AE$12+D116*$AE$13+E116*$AE$14+F116*$AE$15+G116*$AE$16+H116*$AE$17+I116*$AE$18+J116*$AE$19+K116*$AE$20+L116*$AE$21+M116*$AE$22+N116*$AE$23+O116*$AE$24+P116*$AE$25+Q116*$AE$26+R116*$AE$27+S116*$AE$28+T116*$AE$29+U116*$AE$30</f>
        <v/>
      </c>
      <c r="W116" s="8">
        <f>1/(1+EXP(-V116))</f>
        <v/>
      </c>
      <c r="X116" s="9">
        <f>-IF(C116=1,LN(W116),LN(1-W116))</f>
        <v/>
      </c>
      <c r="Y116" s="8">
        <f>1</f>
        <v/>
      </c>
      <c r="Z116" s="9">
        <f>Y116*X116</f>
        <v/>
      </c>
      <c r="AA116" s="10">
        <f>IF(W116&gt;$AE$32,1,0)</f>
        <v/>
      </c>
      <c r="AB116">
        <f>IF(AA116=C116,1,0)</f>
        <v/>
      </c>
    </row>
    <row r="117">
      <c r="A117">
        <f>'1 datos preparados'!A110</f>
        <v/>
      </c>
      <c r="B117" s="5">
        <f>'1 datos preparados'!U110</f>
        <v/>
      </c>
      <c r="C117">
        <f>'1 datos preparados'!B110</f>
        <v/>
      </c>
      <c r="D117" s="7">
        <f>'1 datos preparados'!C110</f>
        <v/>
      </c>
      <c r="E117" s="7">
        <f>'1 datos preparados'!D110</f>
        <v/>
      </c>
      <c r="F117" s="7">
        <f>'1 datos preparados'!E110</f>
        <v/>
      </c>
      <c r="G117" s="7">
        <f>'1 datos preparados'!F110</f>
        <v/>
      </c>
      <c r="H117" s="7">
        <f>'1 datos preparados'!G110</f>
        <v/>
      </c>
      <c r="I117" s="7">
        <f>'1 datos preparados'!H110</f>
        <v/>
      </c>
      <c r="J117" s="7">
        <f>'1 datos preparados'!I110</f>
        <v/>
      </c>
      <c r="K117" s="7">
        <f>'1 datos preparados'!J110</f>
        <v/>
      </c>
      <c r="L117" s="7">
        <f>'1 datos preparados'!K110</f>
        <v/>
      </c>
      <c r="M117" s="7">
        <f>'1 datos preparados'!L110</f>
        <v/>
      </c>
      <c r="N117" s="7">
        <f>'1 datos preparados'!M110</f>
        <v/>
      </c>
      <c r="O117" s="7">
        <f>'1 datos preparados'!N110</f>
        <v/>
      </c>
      <c r="P117" s="7">
        <f>'1 datos preparados'!O110</f>
        <v/>
      </c>
      <c r="Q117" s="7">
        <f>'1 datos preparados'!P110</f>
        <v/>
      </c>
      <c r="R117" s="7">
        <f>'1 datos preparados'!Q110</f>
        <v/>
      </c>
      <c r="S117" s="7">
        <f>'1 datos preparados'!R110</f>
        <v/>
      </c>
      <c r="T117" s="7">
        <f>'1 datos preparados'!S110</f>
        <v/>
      </c>
      <c r="U117" s="7">
        <f>'1 datos preparados'!T110</f>
        <v/>
      </c>
      <c r="V117" s="8">
        <f>$AE$12+D117*$AE$13+E117*$AE$14+F117*$AE$15+G117*$AE$16+H117*$AE$17+I117*$AE$18+J117*$AE$19+K117*$AE$20+L117*$AE$21+M117*$AE$22+N117*$AE$23+O117*$AE$24+P117*$AE$25+Q117*$AE$26+R117*$AE$27+S117*$AE$28+T117*$AE$29+U117*$AE$30</f>
        <v/>
      </c>
      <c r="W117" s="8">
        <f>1/(1+EXP(-V117))</f>
        <v/>
      </c>
      <c r="X117" s="9">
        <f>-IF(C117=1,LN(W117),LN(1-W117))</f>
        <v/>
      </c>
      <c r="Y117" s="8">
        <f>1</f>
        <v/>
      </c>
      <c r="Z117" s="9">
        <f>Y117*X117</f>
        <v/>
      </c>
      <c r="AA117" s="10">
        <f>IF(W117&gt;$AE$32,1,0)</f>
        <v/>
      </c>
      <c r="AB117">
        <f>IF(AA117=C117,1,0)</f>
        <v/>
      </c>
    </row>
    <row r="118">
      <c r="A118">
        <f>'1 datos preparados'!A111</f>
        <v/>
      </c>
      <c r="B118" s="5">
        <f>'1 datos preparados'!U111</f>
        <v/>
      </c>
      <c r="C118">
        <f>'1 datos preparados'!B111</f>
        <v/>
      </c>
      <c r="D118" s="7">
        <f>'1 datos preparados'!C111</f>
        <v/>
      </c>
      <c r="E118" s="7">
        <f>'1 datos preparados'!D111</f>
        <v/>
      </c>
      <c r="F118" s="7">
        <f>'1 datos preparados'!E111</f>
        <v/>
      </c>
      <c r="G118" s="7">
        <f>'1 datos preparados'!F111</f>
        <v/>
      </c>
      <c r="H118" s="7">
        <f>'1 datos preparados'!G111</f>
        <v/>
      </c>
      <c r="I118" s="7">
        <f>'1 datos preparados'!H111</f>
        <v/>
      </c>
      <c r="J118" s="7">
        <f>'1 datos preparados'!I111</f>
        <v/>
      </c>
      <c r="K118" s="7">
        <f>'1 datos preparados'!J111</f>
        <v/>
      </c>
      <c r="L118" s="7">
        <f>'1 datos preparados'!K111</f>
        <v/>
      </c>
      <c r="M118" s="7">
        <f>'1 datos preparados'!L111</f>
        <v/>
      </c>
      <c r="N118" s="7">
        <f>'1 datos preparados'!M111</f>
        <v/>
      </c>
      <c r="O118" s="7">
        <f>'1 datos preparados'!N111</f>
        <v/>
      </c>
      <c r="P118" s="7">
        <f>'1 datos preparados'!O111</f>
        <v/>
      </c>
      <c r="Q118" s="7">
        <f>'1 datos preparados'!P111</f>
        <v/>
      </c>
      <c r="R118" s="7">
        <f>'1 datos preparados'!Q111</f>
        <v/>
      </c>
      <c r="S118" s="7">
        <f>'1 datos preparados'!R111</f>
        <v/>
      </c>
      <c r="T118" s="7">
        <f>'1 datos preparados'!S111</f>
        <v/>
      </c>
      <c r="U118" s="7">
        <f>'1 datos preparados'!T111</f>
        <v/>
      </c>
      <c r="V118" s="8">
        <f>$AE$12+D118*$AE$13+E118*$AE$14+F118*$AE$15+G118*$AE$16+H118*$AE$17+I118*$AE$18+J118*$AE$19+K118*$AE$20+L118*$AE$21+M118*$AE$22+N118*$AE$23+O118*$AE$24+P118*$AE$25+Q118*$AE$26+R118*$AE$27+S118*$AE$28+T118*$AE$29+U118*$AE$30</f>
        <v/>
      </c>
      <c r="W118" s="8">
        <f>1/(1+EXP(-V118))</f>
        <v/>
      </c>
      <c r="X118" s="9">
        <f>-IF(C118=1,LN(W118),LN(1-W118))</f>
        <v/>
      </c>
      <c r="Y118" s="8">
        <f>1</f>
        <v/>
      </c>
      <c r="Z118" s="9">
        <f>Y118*X118</f>
        <v/>
      </c>
      <c r="AA118" s="10">
        <f>IF(W118&gt;$AE$32,1,0)</f>
        <v/>
      </c>
      <c r="AB118">
        <f>IF(AA118=C118,1,0)</f>
        <v/>
      </c>
    </row>
    <row r="119">
      <c r="A119">
        <f>'1 datos preparados'!A112</f>
        <v/>
      </c>
      <c r="B119" s="5">
        <f>'1 datos preparados'!U112</f>
        <v/>
      </c>
      <c r="C119">
        <f>'1 datos preparados'!B112</f>
        <v/>
      </c>
      <c r="D119" s="7">
        <f>'1 datos preparados'!C112</f>
        <v/>
      </c>
      <c r="E119" s="7">
        <f>'1 datos preparados'!D112</f>
        <v/>
      </c>
      <c r="F119" s="7">
        <f>'1 datos preparados'!E112</f>
        <v/>
      </c>
      <c r="G119" s="7">
        <f>'1 datos preparados'!F112</f>
        <v/>
      </c>
      <c r="H119" s="7">
        <f>'1 datos preparados'!G112</f>
        <v/>
      </c>
      <c r="I119" s="7">
        <f>'1 datos preparados'!H112</f>
        <v/>
      </c>
      <c r="J119" s="7">
        <f>'1 datos preparados'!I112</f>
        <v/>
      </c>
      <c r="K119" s="7">
        <f>'1 datos preparados'!J112</f>
        <v/>
      </c>
      <c r="L119" s="7">
        <f>'1 datos preparados'!K112</f>
        <v/>
      </c>
      <c r="M119" s="7">
        <f>'1 datos preparados'!L112</f>
        <v/>
      </c>
      <c r="N119" s="7">
        <f>'1 datos preparados'!M112</f>
        <v/>
      </c>
      <c r="O119" s="7">
        <f>'1 datos preparados'!N112</f>
        <v/>
      </c>
      <c r="P119" s="7">
        <f>'1 datos preparados'!O112</f>
        <v/>
      </c>
      <c r="Q119" s="7">
        <f>'1 datos preparados'!P112</f>
        <v/>
      </c>
      <c r="R119" s="7">
        <f>'1 datos preparados'!Q112</f>
        <v/>
      </c>
      <c r="S119" s="7">
        <f>'1 datos preparados'!R112</f>
        <v/>
      </c>
      <c r="T119" s="7">
        <f>'1 datos preparados'!S112</f>
        <v/>
      </c>
      <c r="U119" s="7">
        <f>'1 datos preparados'!T112</f>
        <v/>
      </c>
      <c r="V119" s="8">
        <f>$AE$12+D119*$AE$13+E119*$AE$14+F119*$AE$15+G119*$AE$16+H119*$AE$17+I119*$AE$18+J119*$AE$19+K119*$AE$20+L119*$AE$21+M119*$AE$22+N119*$AE$23+O119*$AE$24+P119*$AE$25+Q119*$AE$26+R119*$AE$27+S119*$AE$28+T119*$AE$29+U119*$AE$30</f>
        <v/>
      </c>
      <c r="W119" s="8">
        <f>1/(1+EXP(-V119))</f>
        <v/>
      </c>
      <c r="X119" s="9">
        <f>-IF(C119=1,LN(W119),LN(1-W119))</f>
        <v/>
      </c>
      <c r="Y119" s="8">
        <f>1</f>
        <v/>
      </c>
      <c r="Z119" s="9">
        <f>Y119*X119</f>
        <v/>
      </c>
      <c r="AA119" s="10">
        <f>IF(W119&gt;$AE$32,1,0)</f>
        <v/>
      </c>
      <c r="AB119">
        <f>IF(AA119=C119,1,0)</f>
        <v/>
      </c>
    </row>
    <row r="120">
      <c r="A120">
        <f>'1 datos preparados'!A113</f>
        <v/>
      </c>
      <c r="B120" s="5">
        <f>'1 datos preparados'!U113</f>
        <v/>
      </c>
      <c r="C120">
        <f>'1 datos preparados'!B113</f>
        <v/>
      </c>
      <c r="D120" s="7">
        <f>'1 datos preparados'!C113</f>
        <v/>
      </c>
      <c r="E120" s="7">
        <f>'1 datos preparados'!D113</f>
        <v/>
      </c>
      <c r="F120" s="7">
        <f>'1 datos preparados'!E113</f>
        <v/>
      </c>
      <c r="G120" s="7">
        <f>'1 datos preparados'!F113</f>
        <v/>
      </c>
      <c r="H120" s="7">
        <f>'1 datos preparados'!G113</f>
        <v/>
      </c>
      <c r="I120" s="7">
        <f>'1 datos preparados'!H113</f>
        <v/>
      </c>
      <c r="J120" s="7">
        <f>'1 datos preparados'!I113</f>
        <v/>
      </c>
      <c r="K120" s="7">
        <f>'1 datos preparados'!J113</f>
        <v/>
      </c>
      <c r="L120" s="7">
        <f>'1 datos preparados'!K113</f>
        <v/>
      </c>
      <c r="M120" s="7">
        <f>'1 datos preparados'!L113</f>
        <v/>
      </c>
      <c r="N120" s="7">
        <f>'1 datos preparados'!M113</f>
        <v/>
      </c>
      <c r="O120" s="7">
        <f>'1 datos preparados'!N113</f>
        <v/>
      </c>
      <c r="P120" s="7">
        <f>'1 datos preparados'!O113</f>
        <v/>
      </c>
      <c r="Q120" s="7">
        <f>'1 datos preparados'!P113</f>
        <v/>
      </c>
      <c r="R120" s="7">
        <f>'1 datos preparados'!Q113</f>
        <v/>
      </c>
      <c r="S120" s="7">
        <f>'1 datos preparados'!R113</f>
        <v/>
      </c>
      <c r="T120" s="7">
        <f>'1 datos preparados'!S113</f>
        <v/>
      </c>
      <c r="U120" s="7">
        <f>'1 datos preparados'!T113</f>
        <v/>
      </c>
      <c r="V120" s="8">
        <f>$AE$12+D120*$AE$13+E120*$AE$14+F120*$AE$15+G120*$AE$16+H120*$AE$17+I120*$AE$18+J120*$AE$19+K120*$AE$20+L120*$AE$21+M120*$AE$22+N120*$AE$23+O120*$AE$24+P120*$AE$25+Q120*$AE$26+R120*$AE$27+S120*$AE$28+T120*$AE$29+U120*$AE$30</f>
        <v/>
      </c>
      <c r="W120" s="8">
        <f>1/(1+EXP(-V120))</f>
        <v/>
      </c>
      <c r="X120" s="9">
        <f>-IF(C120=1,LN(W120),LN(1-W120))</f>
        <v/>
      </c>
      <c r="Y120" s="8">
        <f>1</f>
        <v/>
      </c>
      <c r="Z120" s="9">
        <f>Y120*X120</f>
        <v/>
      </c>
      <c r="AA120" s="10">
        <f>IF(W120&gt;$AE$32,1,0)</f>
        <v/>
      </c>
      <c r="AB120">
        <f>IF(AA120=C120,1,0)</f>
        <v/>
      </c>
    </row>
    <row r="121">
      <c r="A121">
        <f>'1 datos preparados'!A114</f>
        <v/>
      </c>
      <c r="B121" s="5">
        <f>'1 datos preparados'!U114</f>
        <v/>
      </c>
      <c r="C121">
        <f>'1 datos preparados'!B114</f>
        <v/>
      </c>
      <c r="D121" s="7">
        <f>'1 datos preparados'!C114</f>
        <v/>
      </c>
      <c r="E121" s="7">
        <f>'1 datos preparados'!D114</f>
        <v/>
      </c>
      <c r="F121" s="7">
        <f>'1 datos preparados'!E114</f>
        <v/>
      </c>
      <c r="G121" s="7">
        <f>'1 datos preparados'!F114</f>
        <v/>
      </c>
      <c r="H121" s="7">
        <f>'1 datos preparados'!G114</f>
        <v/>
      </c>
      <c r="I121" s="7">
        <f>'1 datos preparados'!H114</f>
        <v/>
      </c>
      <c r="J121" s="7">
        <f>'1 datos preparados'!I114</f>
        <v/>
      </c>
      <c r="K121" s="7">
        <f>'1 datos preparados'!J114</f>
        <v/>
      </c>
      <c r="L121" s="7">
        <f>'1 datos preparados'!K114</f>
        <v/>
      </c>
      <c r="M121" s="7">
        <f>'1 datos preparados'!L114</f>
        <v/>
      </c>
      <c r="N121" s="7">
        <f>'1 datos preparados'!M114</f>
        <v/>
      </c>
      <c r="O121" s="7">
        <f>'1 datos preparados'!N114</f>
        <v/>
      </c>
      <c r="P121" s="7">
        <f>'1 datos preparados'!O114</f>
        <v/>
      </c>
      <c r="Q121" s="7">
        <f>'1 datos preparados'!P114</f>
        <v/>
      </c>
      <c r="R121" s="7">
        <f>'1 datos preparados'!Q114</f>
        <v/>
      </c>
      <c r="S121" s="7">
        <f>'1 datos preparados'!R114</f>
        <v/>
      </c>
      <c r="T121" s="7">
        <f>'1 datos preparados'!S114</f>
        <v/>
      </c>
      <c r="U121" s="7">
        <f>'1 datos preparados'!T114</f>
        <v/>
      </c>
      <c r="V121" s="8">
        <f>$AE$12+D121*$AE$13+E121*$AE$14+F121*$AE$15+G121*$AE$16+H121*$AE$17+I121*$AE$18+J121*$AE$19+K121*$AE$20+L121*$AE$21+M121*$AE$22+N121*$AE$23+O121*$AE$24+P121*$AE$25+Q121*$AE$26+R121*$AE$27+S121*$AE$28+T121*$AE$29+U121*$AE$30</f>
        <v/>
      </c>
      <c r="W121" s="8">
        <f>1/(1+EXP(-V121))</f>
        <v/>
      </c>
      <c r="X121" s="9">
        <f>-IF(C121=1,LN(W121),LN(1-W121))</f>
        <v/>
      </c>
      <c r="Y121" s="8">
        <f>1</f>
        <v/>
      </c>
      <c r="Z121" s="9">
        <f>Y121*X121</f>
        <v/>
      </c>
      <c r="AA121" s="10">
        <f>IF(W121&gt;$AE$32,1,0)</f>
        <v/>
      </c>
      <c r="AB121">
        <f>IF(AA121=C121,1,0)</f>
        <v/>
      </c>
    </row>
    <row r="122">
      <c r="A122">
        <f>'1 datos preparados'!A115</f>
        <v/>
      </c>
      <c r="B122" s="5">
        <f>'1 datos preparados'!U115</f>
        <v/>
      </c>
      <c r="C122">
        <f>'1 datos preparados'!B115</f>
        <v/>
      </c>
      <c r="D122" s="7">
        <f>'1 datos preparados'!C115</f>
        <v/>
      </c>
      <c r="E122" s="7">
        <f>'1 datos preparados'!D115</f>
        <v/>
      </c>
      <c r="F122" s="7">
        <f>'1 datos preparados'!E115</f>
        <v/>
      </c>
      <c r="G122" s="7">
        <f>'1 datos preparados'!F115</f>
        <v/>
      </c>
      <c r="H122" s="7">
        <f>'1 datos preparados'!G115</f>
        <v/>
      </c>
      <c r="I122" s="7">
        <f>'1 datos preparados'!H115</f>
        <v/>
      </c>
      <c r="J122" s="7">
        <f>'1 datos preparados'!I115</f>
        <v/>
      </c>
      <c r="K122" s="7">
        <f>'1 datos preparados'!J115</f>
        <v/>
      </c>
      <c r="L122" s="7">
        <f>'1 datos preparados'!K115</f>
        <v/>
      </c>
      <c r="M122" s="7">
        <f>'1 datos preparados'!L115</f>
        <v/>
      </c>
      <c r="N122" s="7">
        <f>'1 datos preparados'!M115</f>
        <v/>
      </c>
      <c r="O122" s="7">
        <f>'1 datos preparados'!N115</f>
        <v/>
      </c>
      <c r="P122" s="7">
        <f>'1 datos preparados'!O115</f>
        <v/>
      </c>
      <c r="Q122" s="7">
        <f>'1 datos preparados'!P115</f>
        <v/>
      </c>
      <c r="R122" s="7">
        <f>'1 datos preparados'!Q115</f>
        <v/>
      </c>
      <c r="S122" s="7">
        <f>'1 datos preparados'!R115</f>
        <v/>
      </c>
      <c r="T122" s="7">
        <f>'1 datos preparados'!S115</f>
        <v/>
      </c>
      <c r="U122" s="7">
        <f>'1 datos preparados'!T115</f>
        <v/>
      </c>
      <c r="V122" s="8">
        <f>$AE$12+D122*$AE$13+E122*$AE$14+F122*$AE$15+G122*$AE$16+H122*$AE$17+I122*$AE$18+J122*$AE$19+K122*$AE$20+L122*$AE$21+M122*$AE$22+N122*$AE$23+O122*$AE$24+P122*$AE$25+Q122*$AE$26+R122*$AE$27+S122*$AE$28+T122*$AE$29+U122*$AE$30</f>
        <v/>
      </c>
      <c r="W122" s="8">
        <f>1/(1+EXP(-V122))</f>
        <v/>
      </c>
      <c r="X122" s="9">
        <f>-IF(C122=1,LN(W122),LN(1-W122))</f>
        <v/>
      </c>
      <c r="Y122" s="8">
        <f>1</f>
        <v/>
      </c>
      <c r="Z122" s="9">
        <f>Y122*X122</f>
        <v/>
      </c>
      <c r="AA122" s="10">
        <f>IF(W122&gt;$AE$32,1,0)</f>
        <v/>
      </c>
      <c r="AB122">
        <f>IF(AA122=C122,1,0)</f>
        <v/>
      </c>
    </row>
    <row r="123">
      <c r="A123">
        <f>'1 datos preparados'!A116</f>
        <v/>
      </c>
      <c r="B123" s="5">
        <f>'1 datos preparados'!U116</f>
        <v/>
      </c>
      <c r="C123">
        <f>'1 datos preparados'!B116</f>
        <v/>
      </c>
      <c r="D123" s="7">
        <f>'1 datos preparados'!C116</f>
        <v/>
      </c>
      <c r="E123" s="7">
        <f>'1 datos preparados'!D116</f>
        <v/>
      </c>
      <c r="F123" s="7">
        <f>'1 datos preparados'!E116</f>
        <v/>
      </c>
      <c r="G123" s="7">
        <f>'1 datos preparados'!F116</f>
        <v/>
      </c>
      <c r="H123" s="7">
        <f>'1 datos preparados'!G116</f>
        <v/>
      </c>
      <c r="I123" s="7">
        <f>'1 datos preparados'!H116</f>
        <v/>
      </c>
      <c r="J123" s="7">
        <f>'1 datos preparados'!I116</f>
        <v/>
      </c>
      <c r="K123" s="7">
        <f>'1 datos preparados'!J116</f>
        <v/>
      </c>
      <c r="L123" s="7">
        <f>'1 datos preparados'!K116</f>
        <v/>
      </c>
      <c r="M123" s="7">
        <f>'1 datos preparados'!L116</f>
        <v/>
      </c>
      <c r="N123" s="7">
        <f>'1 datos preparados'!M116</f>
        <v/>
      </c>
      <c r="O123" s="7">
        <f>'1 datos preparados'!N116</f>
        <v/>
      </c>
      <c r="P123" s="7">
        <f>'1 datos preparados'!O116</f>
        <v/>
      </c>
      <c r="Q123" s="7">
        <f>'1 datos preparados'!P116</f>
        <v/>
      </c>
      <c r="R123" s="7">
        <f>'1 datos preparados'!Q116</f>
        <v/>
      </c>
      <c r="S123" s="7">
        <f>'1 datos preparados'!R116</f>
        <v/>
      </c>
      <c r="T123" s="7">
        <f>'1 datos preparados'!S116</f>
        <v/>
      </c>
      <c r="U123" s="7">
        <f>'1 datos preparados'!T116</f>
        <v/>
      </c>
      <c r="V123" s="8">
        <f>$AE$12+D123*$AE$13+E123*$AE$14+F123*$AE$15+G123*$AE$16+H123*$AE$17+I123*$AE$18+J123*$AE$19+K123*$AE$20+L123*$AE$21+M123*$AE$22+N123*$AE$23+O123*$AE$24+P123*$AE$25+Q123*$AE$26+R123*$AE$27+S123*$AE$28+T123*$AE$29+U123*$AE$30</f>
        <v/>
      </c>
      <c r="W123" s="8">
        <f>1/(1+EXP(-V123))</f>
        <v/>
      </c>
      <c r="X123" s="9">
        <f>-IF(C123=1,LN(W123),LN(1-W123))</f>
        <v/>
      </c>
      <c r="Y123" s="8">
        <f>1</f>
        <v/>
      </c>
      <c r="Z123" s="9">
        <f>Y123*X123</f>
        <v/>
      </c>
      <c r="AA123" s="10">
        <f>IF(W123&gt;$AE$32,1,0)</f>
        <v/>
      </c>
      <c r="AB123">
        <f>IF(AA123=C123,1,0)</f>
        <v/>
      </c>
    </row>
    <row r="124">
      <c r="A124">
        <f>'1 datos preparados'!A117</f>
        <v/>
      </c>
      <c r="B124" s="5">
        <f>'1 datos preparados'!U117</f>
        <v/>
      </c>
      <c r="C124">
        <f>'1 datos preparados'!B117</f>
        <v/>
      </c>
      <c r="D124" s="7">
        <f>'1 datos preparados'!C117</f>
        <v/>
      </c>
      <c r="E124" s="7">
        <f>'1 datos preparados'!D117</f>
        <v/>
      </c>
      <c r="F124" s="7">
        <f>'1 datos preparados'!E117</f>
        <v/>
      </c>
      <c r="G124" s="7">
        <f>'1 datos preparados'!F117</f>
        <v/>
      </c>
      <c r="H124" s="7">
        <f>'1 datos preparados'!G117</f>
        <v/>
      </c>
      <c r="I124" s="7">
        <f>'1 datos preparados'!H117</f>
        <v/>
      </c>
      <c r="J124" s="7">
        <f>'1 datos preparados'!I117</f>
        <v/>
      </c>
      <c r="K124" s="7">
        <f>'1 datos preparados'!J117</f>
        <v/>
      </c>
      <c r="L124" s="7">
        <f>'1 datos preparados'!K117</f>
        <v/>
      </c>
      <c r="M124" s="7">
        <f>'1 datos preparados'!L117</f>
        <v/>
      </c>
      <c r="N124" s="7">
        <f>'1 datos preparados'!M117</f>
        <v/>
      </c>
      <c r="O124" s="7">
        <f>'1 datos preparados'!N117</f>
        <v/>
      </c>
      <c r="P124" s="7">
        <f>'1 datos preparados'!O117</f>
        <v/>
      </c>
      <c r="Q124" s="7">
        <f>'1 datos preparados'!P117</f>
        <v/>
      </c>
      <c r="R124" s="7">
        <f>'1 datos preparados'!Q117</f>
        <v/>
      </c>
      <c r="S124" s="7">
        <f>'1 datos preparados'!R117</f>
        <v/>
      </c>
      <c r="T124" s="7">
        <f>'1 datos preparados'!S117</f>
        <v/>
      </c>
      <c r="U124" s="7">
        <f>'1 datos preparados'!T117</f>
        <v/>
      </c>
      <c r="V124" s="8">
        <f>$AE$12+D124*$AE$13+E124*$AE$14+F124*$AE$15+G124*$AE$16+H124*$AE$17+I124*$AE$18+J124*$AE$19+K124*$AE$20+L124*$AE$21+M124*$AE$22+N124*$AE$23+O124*$AE$24+P124*$AE$25+Q124*$AE$26+R124*$AE$27+S124*$AE$28+T124*$AE$29+U124*$AE$30</f>
        <v/>
      </c>
      <c r="W124" s="8">
        <f>1/(1+EXP(-V124))</f>
        <v/>
      </c>
      <c r="X124" s="9">
        <f>-IF(C124=1,LN(W124),LN(1-W124))</f>
        <v/>
      </c>
      <c r="Y124" s="8">
        <f>1</f>
        <v/>
      </c>
      <c r="Z124" s="9">
        <f>Y124*X124</f>
        <v/>
      </c>
      <c r="AA124" s="10">
        <f>IF(W124&gt;$AE$32,1,0)</f>
        <v/>
      </c>
      <c r="AB124">
        <f>IF(AA124=C124,1,0)</f>
        <v/>
      </c>
    </row>
    <row r="125">
      <c r="A125">
        <f>'1 datos preparados'!A118</f>
        <v/>
      </c>
      <c r="B125" s="5">
        <f>'1 datos preparados'!U118</f>
        <v/>
      </c>
      <c r="C125">
        <f>'1 datos preparados'!B118</f>
        <v/>
      </c>
      <c r="D125" s="7">
        <f>'1 datos preparados'!C118</f>
        <v/>
      </c>
      <c r="E125" s="7">
        <f>'1 datos preparados'!D118</f>
        <v/>
      </c>
      <c r="F125" s="7">
        <f>'1 datos preparados'!E118</f>
        <v/>
      </c>
      <c r="G125" s="7">
        <f>'1 datos preparados'!F118</f>
        <v/>
      </c>
      <c r="H125" s="7">
        <f>'1 datos preparados'!G118</f>
        <v/>
      </c>
      <c r="I125" s="7">
        <f>'1 datos preparados'!H118</f>
        <v/>
      </c>
      <c r="J125" s="7">
        <f>'1 datos preparados'!I118</f>
        <v/>
      </c>
      <c r="K125" s="7">
        <f>'1 datos preparados'!J118</f>
        <v/>
      </c>
      <c r="L125" s="7">
        <f>'1 datos preparados'!K118</f>
        <v/>
      </c>
      <c r="M125" s="7">
        <f>'1 datos preparados'!L118</f>
        <v/>
      </c>
      <c r="N125" s="7">
        <f>'1 datos preparados'!M118</f>
        <v/>
      </c>
      <c r="O125" s="7">
        <f>'1 datos preparados'!N118</f>
        <v/>
      </c>
      <c r="P125" s="7">
        <f>'1 datos preparados'!O118</f>
        <v/>
      </c>
      <c r="Q125" s="7">
        <f>'1 datos preparados'!P118</f>
        <v/>
      </c>
      <c r="R125" s="7">
        <f>'1 datos preparados'!Q118</f>
        <v/>
      </c>
      <c r="S125" s="7">
        <f>'1 datos preparados'!R118</f>
        <v/>
      </c>
      <c r="T125" s="7">
        <f>'1 datos preparados'!S118</f>
        <v/>
      </c>
      <c r="U125" s="7">
        <f>'1 datos preparados'!T118</f>
        <v/>
      </c>
      <c r="V125" s="8">
        <f>$AE$12+D125*$AE$13+E125*$AE$14+F125*$AE$15+G125*$AE$16+H125*$AE$17+I125*$AE$18+J125*$AE$19+K125*$AE$20+L125*$AE$21+M125*$AE$22+N125*$AE$23+O125*$AE$24+P125*$AE$25+Q125*$AE$26+R125*$AE$27+S125*$AE$28+T125*$AE$29+U125*$AE$30</f>
        <v/>
      </c>
      <c r="W125" s="8">
        <f>1/(1+EXP(-V125))</f>
        <v/>
      </c>
      <c r="X125" s="9">
        <f>-IF(C125=1,LN(W125),LN(1-W125))</f>
        <v/>
      </c>
      <c r="Y125" s="8">
        <f>1</f>
        <v/>
      </c>
      <c r="Z125" s="9">
        <f>Y125*X125</f>
        <v/>
      </c>
      <c r="AA125" s="10">
        <f>IF(W125&gt;$AE$32,1,0)</f>
        <v/>
      </c>
      <c r="AB125">
        <f>IF(AA125=C125,1,0)</f>
        <v/>
      </c>
    </row>
    <row r="126">
      <c r="A126">
        <f>'1 datos preparados'!A119</f>
        <v/>
      </c>
      <c r="B126" s="5">
        <f>'1 datos preparados'!U119</f>
        <v/>
      </c>
      <c r="C126">
        <f>'1 datos preparados'!B119</f>
        <v/>
      </c>
      <c r="D126" s="7">
        <f>'1 datos preparados'!C119</f>
        <v/>
      </c>
      <c r="E126" s="7">
        <f>'1 datos preparados'!D119</f>
        <v/>
      </c>
      <c r="F126" s="7">
        <f>'1 datos preparados'!E119</f>
        <v/>
      </c>
      <c r="G126" s="7">
        <f>'1 datos preparados'!F119</f>
        <v/>
      </c>
      <c r="H126" s="7">
        <f>'1 datos preparados'!G119</f>
        <v/>
      </c>
      <c r="I126" s="7">
        <f>'1 datos preparados'!H119</f>
        <v/>
      </c>
      <c r="J126" s="7">
        <f>'1 datos preparados'!I119</f>
        <v/>
      </c>
      <c r="K126" s="7">
        <f>'1 datos preparados'!J119</f>
        <v/>
      </c>
      <c r="L126" s="7">
        <f>'1 datos preparados'!K119</f>
        <v/>
      </c>
      <c r="M126" s="7">
        <f>'1 datos preparados'!L119</f>
        <v/>
      </c>
      <c r="N126" s="7">
        <f>'1 datos preparados'!M119</f>
        <v/>
      </c>
      <c r="O126" s="7">
        <f>'1 datos preparados'!N119</f>
        <v/>
      </c>
      <c r="P126" s="7">
        <f>'1 datos preparados'!O119</f>
        <v/>
      </c>
      <c r="Q126" s="7">
        <f>'1 datos preparados'!P119</f>
        <v/>
      </c>
      <c r="R126" s="7">
        <f>'1 datos preparados'!Q119</f>
        <v/>
      </c>
      <c r="S126" s="7">
        <f>'1 datos preparados'!R119</f>
        <v/>
      </c>
      <c r="T126" s="7">
        <f>'1 datos preparados'!S119</f>
        <v/>
      </c>
      <c r="U126" s="7">
        <f>'1 datos preparados'!T119</f>
        <v/>
      </c>
      <c r="V126" s="8">
        <f>$AE$12+D126*$AE$13+E126*$AE$14+F126*$AE$15+G126*$AE$16+H126*$AE$17+I126*$AE$18+J126*$AE$19+K126*$AE$20+L126*$AE$21+M126*$AE$22+N126*$AE$23+O126*$AE$24+P126*$AE$25+Q126*$AE$26+R126*$AE$27+S126*$AE$28+T126*$AE$29+U126*$AE$30</f>
        <v/>
      </c>
      <c r="W126" s="8">
        <f>1/(1+EXP(-V126))</f>
        <v/>
      </c>
      <c r="X126" s="9">
        <f>-IF(C126=1,LN(W126),LN(1-W126))</f>
        <v/>
      </c>
      <c r="Y126" s="8">
        <f>1</f>
        <v/>
      </c>
      <c r="Z126" s="9">
        <f>Y126*X126</f>
        <v/>
      </c>
      <c r="AA126" s="10">
        <f>IF(W126&gt;$AE$32,1,0)</f>
        <v/>
      </c>
      <c r="AB126">
        <f>IF(AA126=C126,1,0)</f>
        <v/>
      </c>
    </row>
    <row r="127">
      <c r="A127">
        <f>'1 datos preparados'!A120</f>
        <v/>
      </c>
      <c r="B127" s="5">
        <f>'1 datos preparados'!U120</f>
        <v/>
      </c>
      <c r="C127">
        <f>'1 datos preparados'!B120</f>
        <v/>
      </c>
      <c r="D127" s="7">
        <f>'1 datos preparados'!C120</f>
        <v/>
      </c>
      <c r="E127" s="7">
        <f>'1 datos preparados'!D120</f>
        <v/>
      </c>
      <c r="F127" s="7">
        <f>'1 datos preparados'!E120</f>
        <v/>
      </c>
      <c r="G127" s="7">
        <f>'1 datos preparados'!F120</f>
        <v/>
      </c>
      <c r="H127" s="7">
        <f>'1 datos preparados'!G120</f>
        <v/>
      </c>
      <c r="I127" s="7">
        <f>'1 datos preparados'!H120</f>
        <v/>
      </c>
      <c r="J127" s="7">
        <f>'1 datos preparados'!I120</f>
        <v/>
      </c>
      <c r="K127" s="7">
        <f>'1 datos preparados'!J120</f>
        <v/>
      </c>
      <c r="L127" s="7">
        <f>'1 datos preparados'!K120</f>
        <v/>
      </c>
      <c r="M127" s="7">
        <f>'1 datos preparados'!L120</f>
        <v/>
      </c>
      <c r="N127" s="7">
        <f>'1 datos preparados'!M120</f>
        <v/>
      </c>
      <c r="O127" s="7">
        <f>'1 datos preparados'!N120</f>
        <v/>
      </c>
      <c r="P127" s="7">
        <f>'1 datos preparados'!O120</f>
        <v/>
      </c>
      <c r="Q127" s="7">
        <f>'1 datos preparados'!P120</f>
        <v/>
      </c>
      <c r="R127" s="7">
        <f>'1 datos preparados'!Q120</f>
        <v/>
      </c>
      <c r="S127" s="7">
        <f>'1 datos preparados'!R120</f>
        <v/>
      </c>
      <c r="T127" s="7">
        <f>'1 datos preparados'!S120</f>
        <v/>
      </c>
      <c r="U127" s="7">
        <f>'1 datos preparados'!T120</f>
        <v/>
      </c>
      <c r="V127" s="8">
        <f>$AE$12+D127*$AE$13+E127*$AE$14+F127*$AE$15+G127*$AE$16+H127*$AE$17+I127*$AE$18+J127*$AE$19+K127*$AE$20+L127*$AE$21+M127*$AE$22+N127*$AE$23+O127*$AE$24+P127*$AE$25+Q127*$AE$26+R127*$AE$27+S127*$AE$28+T127*$AE$29+U127*$AE$30</f>
        <v/>
      </c>
      <c r="W127" s="8">
        <f>1/(1+EXP(-V127))</f>
        <v/>
      </c>
      <c r="X127" s="9">
        <f>-IF(C127=1,LN(W127),LN(1-W127))</f>
        <v/>
      </c>
      <c r="Y127" s="8">
        <f>1</f>
        <v/>
      </c>
      <c r="Z127" s="9">
        <f>Y127*X127</f>
        <v/>
      </c>
      <c r="AA127" s="10">
        <f>IF(W127&gt;$AE$32,1,0)</f>
        <v/>
      </c>
      <c r="AB127">
        <f>IF(AA127=C127,1,0)</f>
        <v/>
      </c>
    </row>
    <row r="128">
      <c r="A128">
        <f>'1 datos preparados'!A121</f>
        <v/>
      </c>
      <c r="B128" s="5">
        <f>'1 datos preparados'!U121</f>
        <v/>
      </c>
      <c r="C128">
        <f>'1 datos preparados'!B121</f>
        <v/>
      </c>
      <c r="D128" s="7">
        <f>'1 datos preparados'!C121</f>
        <v/>
      </c>
      <c r="E128" s="7">
        <f>'1 datos preparados'!D121</f>
        <v/>
      </c>
      <c r="F128" s="7">
        <f>'1 datos preparados'!E121</f>
        <v/>
      </c>
      <c r="G128" s="7">
        <f>'1 datos preparados'!F121</f>
        <v/>
      </c>
      <c r="H128" s="7">
        <f>'1 datos preparados'!G121</f>
        <v/>
      </c>
      <c r="I128" s="7">
        <f>'1 datos preparados'!H121</f>
        <v/>
      </c>
      <c r="J128" s="7">
        <f>'1 datos preparados'!I121</f>
        <v/>
      </c>
      <c r="K128" s="7">
        <f>'1 datos preparados'!J121</f>
        <v/>
      </c>
      <c r="L128" s="7">
        <f>'1 datos preparados'!K121</f>
        <v/>
      </c>
      <c r="M128" s="7">
        <f>'1 datos preparados'!L121</f>
        <v/>
      </c>
      <c r="N128" s="7">
        <f>'1 datos preparados'!M121</f>
        <v/>
      </c>
      <c r="O128" s="7">
        <f>'1 datos preparados'!N121</f>
        <v/>
      </c>
      <c r="P128" s="7">
        <f>'1 datos preparados'!O121</f>
        <v/>
      </c>
      <c r="Q128" s="7">
        <f>'1 datos preparados'!P121</f>
        <v/>
      </c>
      <c r="R128" s="7">
        <f>'1 datos preparados'!Q121</f>
        <v/>
      </c>
      <c r="S128" s="7">
        <f>'1 datos preparados'!R121</f>
        <v/>
      </c>
      <c r="T128" s="7">
        <f>'1 datos preparados'!S121</f>
        <v/>
      </c>
      <c r="U128" s="7">
        <f>'1 datos preparados'!T121</f>
        <v/>
      </c>
      <c r="V128" s="8">
        <f>$AE$12+D128*$AE$13+E128*$AE$14+F128*$AE$15+G128*$AE$16+H128*$AE$17+I128*$AE$18+J128*$AE$19+K128*$AE$20+L128*$AE$21+M128*$AE$22+N128*$AE$23+O128*$AE$24+P128*$AE$25+Q128*$AE$26+R128*$AE$27+S128*$AE$28+T128*$AE$29+U128*$AE$30</f>
        <v/>
      </c>
      <c r="W128" s="8">
        <f>1/(1+EXP(-V128))</f>
        <v/>
      </c>
      <c r="X128" s="9">
        <f>-IF(C128=1,LN(W128),LN(1-W128))</f>
        <v/>
      </c>
      <c r="Y128" s="8">
        <f>1</f>
        <v/>
      </c>
      <c r="Z128" s="9">
        <f>Y128*X128</f>
        <v/>
      </c>
      <c r="AA128" s="10">
        <f>IF(W128&gt;$AE$32,1,0)</f>
        <v/>
      </c>
      <c r="AB128">
        <f>IF(AA128=C128,1,0)</f>
        <v/>
      </c>
    </row>
    <row r="129">
      <c r="A129">
        <f>'1 datos preparados'!A122</f>
        <v/>
      </c>
      <c r="B129" s="5">
        <f>'1 datos preparados'!U122</f>
        <v/>
      </c>
      <c r="C129">
        <f>'1 datos preparados'!B122</f>
        <v/>
      </c>
      <c r="D129" s="7">
        <f>'1 datos preparados'!C122</f>
        <v/>
      </c>
      <c r="E129" s="7">
        <f>'1 datos preparados'!D122</f>
        <v/>
      </c>
      <c r="F129" s="7">
        <f>'1 datos preparados'!E122</f>
        <v/>
      </c>
      <c r="G129" s="7">
        <f>'1 datos preparados'!F122</f>
        <v/>
      </c>
      <c r="H129" s="7">
        <f>'1 datos preparados'!G122</f>
        <v/>
      </c>
      <c r="I129" s="7">
        <f>'1 datos preparados'!H122</f>
        <v/>
      </c>
      <c r="J129" s="7">
        <f>'1 datos preparados'!I122</f>
        <v/>
      </c>
      <c r="K129" s="7">
        <f>'1 datos preparados'!J122</f>
        <v/>
      </c>
      <c r="L129" s="7">
        <f>'1 datos preparados'!K122</f>
        <v/>
      </c>
      <c r="M129" s="7">
        <f>'1 datos preparados'!L122</f>
        <v/>
      </c>
      <c r="N129" s="7">
        <f>'1 datos preparados'!M122</f>
        <v/>
      </c>
      <c r="O129" s="7">
        <f>'1 datos preparados'!N122</f>
        <v/>
      </c>
      <c r="P129" s="7">
        <f>'1 datos preparados'!O122</f>
        <v/>
      </c>
      <c r="Q129" s="7">
        <f>'1 datos preparados'!P122</f>
        <v/>
      </c>
      <c r="R129" s="7">
        <f>'1 datos preparados'!Q122</f>
        <v/>
      </c>
      <c r="S129" s="7">
        <f>'1 datos preparados'!R122</f>
        <v/>
      </c>
      <c r="T129" s="7">
        <f>'1 datos preparados'!S122</f>
        <v/>
      </c>
      <c r="U129" s="7">
        <f>'1 datos preparados'!T122</f>
        <v/>
      </c>
      <c r="V129" s="8">
        <f>$AE$12+D129*$AE$13+E129*$AE$14+F129*$AE$15+G129*$AE$16+H129*$AE$17+I129*$AE$18+J129*$AE$19+K129*$AE$20+L129*$AE$21+M129*$AE$22+N129*$AE$23+O129*$AE$24+P129*$AE$25+Q129*$AE$26+R129*$AE$27+S129*$AE$28+T129*$AE$29+U129*$AE$30</f>
        <v/>
      </c>
      <c r="W129" s="8">
        <f>1/(1+EXP(-V129))</f>
        <v/>
      </c>
      <c r="X129" s="9">
        <f>-IF(C129=1,LN(W129),LN(1-W129))</f>
        <v/>
      </c>
      <c r="Y129" s="8">
        <f>1</f>
        <v/>
      </c>
      <c r="Z129" s="9">
        <f>Y129*X129</f>
        <v/>
      </c>
      <c r="AA129" s="10">
        <f>IF(W129&gt;$AE$32,1,0)</f>
        <v/>
      </c>
      <c r="AB129">
        <f>IF(AA129=C129,1,0)</f>
        <v/>
      </c>
    </row>
    <row r="130">
      <c r="A130">
        <f>'1 datos preparados'!A123</f>
        <v/>
      </c>
      <c r="B130" s="5">
        <f>'1 datos preparados'!U123</f>
        <v/>
      </c>
      <c r="C130">
        <f>'1 datos preparados'!B123</f>
        <v/>
      </c>
      <c r="D130" s="7">
        <f>'1 datos preparados'!C123</f>
        <v/>
      </c>
      <c r="E130" s="7">
        <f>'1 datos preparados'!D123</f>
        <v/>
      </c>
      <c r="F130" s="7">
        <f>'1 datos preparados'!E123</f>
        <v/>
      </c>
      <c r="G130" s="7">
        <f>'1 datos preparados'!F123</f>
        <v/>
      </c>
      <c r="H130" s="7">
        <f>'1 datos preparados'!G123</f>
        <v/>
      </c>
      <c r="I130" s="7">
        <f>'1 datos preparados'!H123</f>
        <v/>
      </c>
      <c r="J130" s="7">
        <f>'1 datos preparados'!I123</f>
        <v/>
      </c>
      <c r="K130" s="7">
        <f>'1 datos preparados'!J123</f>
        <v/>
      </c>
      <c r="L130" s="7">
        <f>'1 datos preparados'!K123</f>
        <v/>
      </c>
      <c r="M130" s="7">
        <f>'1 datos preparados'!L123</f>
        <v/>
      </c>
      <c r="N130" s="7">
        <f>'1 datos preparados'!M123</f>
        <v/>
      </c>
      <c r="O130" s="7">
        <f>'1 datos preparados'!N123</f>
        <v/>
      </c>
      <c r="P130" s="7">
        <f>'1 datos preparados'!O123</f>
        <v/>
      </c>
      <c r="Q130" s="7">
        <f>'1 datos preparados'!P123</f>
        <v/>
      </c>
      <c r="R130" s="7">
        <f>'1 datos preparados'!Q123</f>
        <v/>
      </c>
      <c r="S130" s="7">
        <f>'1 datos preparados'!R123</f>
        <v/>
      </c>
      <c r="T130" s="7">
        <f>'1 datos preparados'!S123</f>
        <v/>
      </c>
      <c r="U130" s="7">
        <f>'1 datos preparados'!T123</f>
        <v/>
      </c>
      <c r="V130" s="8">
        <f>$AE$12+D130*$AE$13+E130*$AE$14+F130*$AE$15+G130*$AE$16+H130*$AE$17+I130*$AE$18+J130*$AE$19+K130*$AE$20+L130*$AE$21+M130*$AE$22+N130*$AE$23+O130*$AE$24+P130*$AE$25+Q130*$AE$26+R130*$AE$27+S130*$AE$28+T130*$AE$29+U130*$AE$30</f>
        <v/>
      </c>
      <c r="W130" s="8">
        <f>1/(1+EXP(-V130))</f>
        <v/>
      </c>
      <c r="X130" s="9">
        <f>-IF(C130=1,LN(W130),LN(1-W130))</f>
        <v/>
      </c>
      <c r="Y130" s="8">
        <f>1</f>
        <v/>
      </c>
      <c r="Z130" s="9">
        <f>Y130*X130</f>
        <v/>
      </c>
      <c r="AA130" s="10">
        <f>IF(W130&gt;$AE$32,1,0)</f>
        <v/>
      </c>
      <c r="AB130">
        <f>IF(AA130=C130,1,0)</f>
        <v/>
      </c>
    </row>
    <row r="131">
      <c r="A131">
        <f>'1 datos preparados'!A124</f>
        <v/>
      </c>
      <c r="B131" s="5">
        <f>'1 datos preparados'!U124</f>
        <v/>
      </c>
      <c r="C131">
        <f>'1 datos preparados'!B124</f>
        <v/>
      </c>
      <c r="D131" s="7">
        <f>'1 datos preparados'!C124</f>
        <v/>
      </c>
      <c r="E131" s="7">
        <f>'1 datos preparados'!D124</f>
        <v/>
      </c>
      <c r="F131" s="7">
        <f>'1 datos preparados'!E124</f>
        <v/>
      </c>
      <c r="G131" s="7">
        <f>'1 datos preparados'!F124</f>
        <v/>
      </c>
      <c r="H131" s="7">
        <f>'1 datos preparados'!G124</f>
        <v/>
      </c>
      <c r="I131" s="7">
        <f>'1 datos preparados'!H124</f>
        <v/>
      </c>
      <c r="J131" s="7">
        <f>'1 datos preparados'!I124</f>
        <v/>
      </c>
      <c r="K131" s="7">
        <f>'1 datos preparados'!J124</f>
        <v/>
      </c>
      <c r="L131" s="7">
        <f>'1 datos preparados'!K124</f>
        <v/>
      </c>
      <c r="M131" s="7">
        <f>'1 datos preparados'!L124</f>
        <v/>
      </c>
      <c r="N131" s="7">
        <f>'1 datos preparados'!M124</f>
        <v/>
      </c>
      <c r="O131" s="7">
        <f>'1 datos preparados'!N124</f>
        <v/>
      </c>
      <c r="P131" s="7">
        <f>'1 datos preparados'!O124</f>
        <v/>
      </c>
      <c r="Q131" s="7">
        <f>'1 datos preparados'!P124</f>
        <v/>
      </c>
      <c r="R131" s="7">
        <f>'1 datos preparados'!Q124</f>
        <v/>
      </c>
      <c r="S131" s="7">
        <f>'1 datos preparados'!R124</f>
        <v/>
      </c>
      <c r="T131" s="7">
        <f>'1 datos preparados'!S124</f>
        <v/>
      </c>
      <c r="U131" s="7">
        <f>'1 datos preparados'!T124</f>
        <v/>
      </c>
      <c r="V131" s="8">
        <f>$AE$12+D131*$AE$13+E131*$AE$14+F131*$AE$15+G131*$AE$16+H131*$AE$17+I131*$AE$18+J131*$AE$19+K131*$AE$20+L131*$AE$21+M131*$AE$22+N131*$AE$23+O131*$AE$24+P131*$AE$25+Q131*$AE$26+R131*$AE$27+S131*$AE$28+T131*$AE$29+U131*$AE$30</f>
        <v/>
      </c>
      <c r="W131" s="8">
        <f>1/(1+EXP(-V131))</f>
        <v/>
      </c>
      <c r="X131" s="9">
        <f>-IF(C131=1,LN(W131),LN(1-W131))</f>
        <v/>
      </c>
      <c r="Y131" s="8">
        <f>1</f>
        <v/>
      </c>
      <c r="Z131" s="9">
        <f>Y131*X131</f>
        <v/>
      </c>
      <c r="AA131" s="10">
        <f>IF(W131&gt;$AE$32,1,0)</f>
        <v/>
      </c>
      <c r="AB131">
        <f>IF(AA131=C131,1,0)</f>
        <v/>
      </c>
    </row>
    <row r="132">
      <c r="A132">
        <f>'1 datos preparados'!A125</f>
        <v/>
      </c>
      <c r="B132" s="5">
        <f>'1 datos preparados'!U125</f>
        <v/>
      </c>
      <c r="C132">
        <f>'1 datos preparados'!B125</f>
        <v/>
      </c>
      <c r="D132" s="7">
        <f>'1 datos preparados'!C125</f>
        <v/>
      </c>
      <c r="E132" s="7">
        <f>'1 datos preparados'!D125</f>
        <v/>
      </c>
      <c r="F132" s="7">
        <f>'1 datos preparados'!E125</f>
        <v/>
      </c>
      <c r="G132" s="7">
        <f>'1 datos preparados'!F125</f>
        <v/>
      </c>
      <c r="H132" s="7">
        <f>'1 datos preparados'!G125</f>
        <v/>
      </c>
      <c r="I132" s="7">
        <f>'1 datos preparados'!H125</f>
        <v/>
      </c>
      <c r="J132" s="7">
        <f>'1 datos preparados'!I125</f>
        <v/>
      </c>
      <c r="K132" s="7">
        <f>'1 datos preparados'!J125</f>
        <v/>
      </c>
      <c r="L132" s="7">
        <f>'1 datos preparados'!K125</f>
        <v/>
      </c>
      <c r="M132" s="7">
        <f>'1 datos preparados'!L125</f>
        <v/>
      </c>
      <c r="N132" s="7">
        <f>'1 datos preparados'!M125</f>
        <v/>
      </c>
      <c r="O132" s="7">
        <f>'1 datos preparados'!N125</f>
        <v/>
      </c>
      <c r="P132" s="7">
        <f>'1 datos preparados'!O125</f>
        <v/>
      </c>
      <c r="Q132" s="7">
        <f>'1 datos preparados'!P125</f>
        <v/>
      </c>
      <c r="R132" s="7">
        <f>'1 datos preparados'!Q125</f>
        <v/>
      </c>
      <c r="S132" s="7">
        <f>'1 datos preparados'!R125</f>
        <v/>
      </c>
      <c r="T132" s="7">
        <f>'1 datos preparados'!S125</f>
        <v/>
      </c>
      <c r="U132" s="7">
        <f>'1 datos preparados'!T125</f>
        <v/>
      </c>
      <c r="V132" s="8">
        <f>$AE$12+D132*$AE$13+E132*$AE$14+F132*$AE$15+G132*$AE$16+H132*$AE$17+I132*$AE$18+J132*$AE$19+K132*$AE$20+L132*$AE$21+M132*$AE$22+N132*$AE$23+O132*$AE$24+P132*$AE$25+Q132*$AE$26+R132*$AE$27+S132*$AE$28+T132*$AE$29+U132*$AE$30</f>
        <v/>
      </c>
      <c r="W132" s="8">
        <f>1/(1+EXP(-V132))</f>
        <v/>
      </c>
      <c r="X132" s="9">
        <f>-IF(C132=1,LN(W132),LN(1-W132))</f>
        <v/>
      </c>
      <c r="Y132" s="8">
        <f>1</f>
        <v/>
      </c>
      <c r="Z132" s="9">
        <f>Y132*X132</f>
        <v/>
      </c>
      <c r="AA132" s="10">
        <f>IF(W132&gt;$AE$32,1,0)</f>
        <v/>
      </c>
      <c r="AB132">
        <f>IF(AA132=C132,1,0)</f>
        <v/>
      </c>
    </row>
    <row r="133">
      <c r="A133">
        <f>'1 datos preparados'!A126</f>
        <v/>
      </c>
      <c r="B133" s="5">
        <f>'1 datos preparados'!U126</f>
        <v/>
      </c>
      <c r="C133">
        <f>'1 datos preparados'!B126</f>
        <v/>
      </c>
      <c r="D133" s="7">
        <f>'1 datos preparados'!C126</f>
        <v/>
      </c>
      <c r="E133" s="7">
        <f>'1 datos preparados'!D126</f>
        <v/>
      </c>
      <c r="F133" s="7">
        <f>'1 datos preparados'!E126</f>
        <v/>
      </c>
      <c r="G133" s="7">
        <f>'1 datos preparados'!F126</f>
        <v/>
      </c>
      <c r="H133" s="7">
        <f>'1 datos preparados'!G126</f>
        <v/>
      </c>
      <c r="I133" s="7">
        <f>'1 datos preparados'!H126</f>
        <v/>
      </c>
      <c r="J133" s="7">
        <f>'1 datos preparados'!I126</f>
        <v/>
      </c>
      <c r="K133" s="7">
        <f>'1 datos preparados'!J126</f>
        <v/>
      </c>
      <c r="L133" s="7">
        <f>'1 datos preparados'!K126</f>
        <v/>
      </c>
      <c r="M133" s="7">
        <f>'1 datos preparados'!L126</f>
        <v/>
      </c>
      <c r="N133" s="7">
        <f>'1 datos preparados'!M126</f>
        <v/>
      </c>
      <c r="O133" s="7">
        <f>'1 datos preparados'!N126</f>
        <v/>
      </c>
      <c r="P133" s="7">
        <f>'1 datos preparados'!O126</f>
        <v/>
      </c>
      <c r="Q133" s="7">
        <f>'1 datos preparados'!P126</f>
        <v/>
      </c>
      <c r="R133" s="7">
        <f>'1 datos preparados'!Q126</f>
        <v/>
      </c>
      <c r="S133" s="7">
        <f>'1 datos preparados'!R126</f>
        <v/>
      </c>
      <c r="T133" s="7">
        <f>'1 datos preparados'!S126</f>
        <v/>
      </c>
      <c r="U133" s="7">
        <f>'1 datos preparados'!T126</f>
        <v/>
      </c>
      <c r="V133" s="8">
        <f>$AE$12+D133*$AE$13+E133*$AE$14+F133*$AE$15+G133*$AE$16+H133*$AE$17+I133*$AE$18+J133*$AE$19+K133*$AE$20+L133*$AE$21+M133*$AE$22+N133*$AE$23+O133*$AE$24+P133*$AE$25+Q133*$AE$26+R133*$AE$27+S133*$AE$28+T133*$AE$29+U133*$AE$30</f>
        <v/>
      </c>
      <c r="W133" s="8">
        <f>1/(1+EXP(-V133))</f>
        <v/>
      </c>
      <c r="X133" s="9">
        <f>-IF(C133=1,LN(W133),LN(1-W133))</f>
        <v/>
      </c>
      <c r="Y133" s="8">
        <f>1</f>
        <v/>
      </c>
      <c r="Z133" s="9">
        <f>Y133*X133</f>
        <v/>
      </c>
      <c r="AA133" s="10">
        <f>IF(W133&gt;$AE$32,1,0)</f>
        <v/>
      </c>
      <c r="AB133">
        <f>IF(AA133=C133,1,0)</f>
        <v/>
      </c>
    </row>
    <row r="134">
      <c r="A134">
        <f>'1 datos preparados'!A127</f>
        <v/>
      </c>
      <c r="B134" s="5">
        <f>'1 datos preparados'!U127</f>
        <v/>
      </c>
      <c r="C134">
        <f>'1 datos preparados'!B127</f>
        <v/>
      </c>
      <c r="D134" s="7">
        <f>'1 datos preparados'!C127</f>
        <v/>
      </c>
      <c r="E134" s="7">
        <f>'1 datos preparados'!D127</f>
        <v/>
      </c>
      <c r="F134" s="7">
        <f>'1 datos preparados'!E127</f>
        <v/>
      </c>
      <c r="G134" s="7">
        <f>'1 datos preparados'!F127</f>
        <v/>
      </c>
      <c r="H134" s="7">
        <f>'1 datos preparados'!G127</f>
        <v/>
      </c>
      <c r="I134" s="7">
        <f>'1 datos preparados'!H127</f>
        <v/>
      </c>
      <c r="J134" s="7">
        <f>'1 datos preparados'!I127</f>
        <v/>
      </c>
      <c r="K134" s="7">
        <f>'1 datos preparados'!J127</f>
        <v/>
      </c>
      <c r="L134" s="7">
        <f>'1 datos preparados'!K127</f>
        <v/>
      </c>
      <c r="M134" s="7">
        <f>'1 datos preparados'!L127</f>
        <v/>
      </c>
      <c r="N134" s="7">
        <f>'1 datos preparados'!M127</f>
        <v/>
      </c>
      <c r="O134" s="7">
        <f>'1 datos preparados'!N127</f>
        <v/>
      </c>
      <c r="P134" s="7">
        <f>'1 datos preparados'!O127</f>
        <v/>
      </c>
      <c r="Q134" s="7">
        <f>'1 datos preparados'!P127</f>
        <v/>
      </c>
      <c r="R134" s="7">
        <f>'1 datos preparados'!Q127</f>
        <v/>
      </c>
      <c r="S134" s="7">
        <f>'1 datos preparados'!R127</f>
        <v/>
      </c>
      <c r="T134" s="7">
        <f>'1 datos preparados'!S127</f>
        <v/>
      </c>
      <c r="U134" s="7">
        <f>'1 datos preparados'!T127</f>
        <v/>
      </c>
      <c r="V134" s="8">
        <f>$AE$12+D134*$AE$13+E134*$AE$14+F134*$AE$15+G134*$AE$16+H134*$AE$17+I134*$AE$18+J134*$AE$19+K134*$AE$20+L134*$AE$21+M134*$AE$22+N134*$AE$23+O134*$AE$24+P134*$AE$25+Q134*$AE$26+R134*$AE$27+S134*$AE$28+T134*$AE$29+U134*$AE$30</f>
        <v/>
      </c>
      <c r="W134" s="8">
        <f>1/(1+EXP(-V134))</f>
        <v/>
      </c>
      <c r="X134" s="9">
        <f>-IF(C134=1,LN(W134),LN(1-W134))</f>
        <v/>
      </c>
      <c r="Y134" s="8">
        <f>1</f>
        <v/>
      </c>
      <c r="Z134" s="9">
        <f>Y134*X134</f>
        <v/>
      </c>
      <c r="AA134" s="10">
        <f>IF(W134&gt;$AE$32,1,0)</f>
        <v/>
      </c>
      <c r="AB134">
        <f>IF(AA134=C134,1,0)</f>
        <v/>
      </c>
    </row>
    <row r="135">
      <c r="A135">
        <f>'1 datos preparados'!A128</f>
        <v/>
      </c>
      <c r="B135" s="5">
        <f>'1 datos preparados'!U128</f>
        <v/>
      </c>
      <c r="C135">
        <f>'1 datos preparados'!B128</f>
        <v/>
      </c>
      <c r="D135" s="7">
        <f>'1 datos preparados'!C128</f>
        <v/>
      </c>
      <c r="E135" s="7">
        <f>'1 datos preparados'!D128</f>
        <v/>
      </c>
      <c r="F135" s="7">
        <f>'1 datos preparados'!E128</f>
        <v/>
      </c>
      <c r="G135" s="7">
        <f>'1 datos preparados'!F128</f>
        <v/>
      </c>
      <c r="H135" s="7">
        <f>'1 datos preparados'!G128</f>
        <v/>
      </c>
      <c r="I135" s="7">
        <f>'1 datos preparados'!H128</f>
        <v/>
      </c>
      <c r="J135" s="7">
        <f>'1 datos preparados'!I128</f>
        <v/>
      </c>
      <c r="K135" s="7">
        <f>'1 datos preparados'!J128</f>
        <v/>
      </c>
      <c r="L135" s="7">
        <f>'1 datos preparados'!K128</f>
        <v/>
      </c>
      <c r="M135" s="7">
        <f>'1 datos preparados'!L128</f>
        <v/>
      </c>
      <c r="N135" s="7">
        <f>'1 datos preparados'!M128</f>
        <v/>
      </c>
      <c r="O135" s="7">
        <f>'1 datos preparados'!N128</f>
        <v/>
      </c>
      <c r="P135" s="7">
        <f>'1 datos preparados'!O128</f>
        <v/>
      </c>
      <c r="Q135" s="7">
        <f>'1 datos preparados'!P128</f>
        <v/>
      </c>
      <c r="R135" s="7">
        <f>'1 datos preparados'!Q128</f>
        <v/>
      </c>
      <c r="S135" s="7">
        <f>'1 datos preparados'!R128</f>
        <v/>
      </c>
      <c r="T135" s="7">
        <f>'1 datos preparados'!S128</f>
        <v/>
      </c>
      <c r="U135" s="7">
        <f>'1 datos preparados'!T128</f>
        <v/>
      </c>
      <c r="V135" s="8">
        <f>$AE$12+D135*$AE$13+E135*$AE$14+F135*$AE$15+G135*$AE$16+H135*$AE$17+I135*$AE$18+J135*$AE$19+K135*$AE$20+L135*$AE$21+M135*$AE$22+N135*$AE$23+O135*$AE$24+P135*$AE$25+Q135*$AE$26+R135*$AE$27+S135*$AE$28+T135*$AE$29+U135*$AE$30</f>
        <v/>
      </c>
      <c r="W135" s="8">
        <f>1/(1+EXP(-V135))</f>
        <v/>
      </c>
      <c r="X135" s="9">
        <f>-IF(C135=1,LN(W135),LN(1-W135))</f>
        <v/>
      </c>
      <c r="Y135" s="8">
        <f>1</f>
        <v/>
      </c>
      <c r="Z135" s="9">
        <f>Y135*X135</f>
        <v/>
      </c>
      <c r="AA135" s="10">
        <f>IF(W135&gt;$AE$32,1,0)</f>
        <v/>
      </c>
      <c r="AB135">
        <f>IF(AA135=C135,1,0)</f>
        <v/>
      </c>
    </row>
    <row r="136">
      <c r="A136">
        <f>'1 datos preparados'!A129</f>
        <v/>
      </c>
      <c r="B136" s="5">
        <f>'1 datos preparados'!U129</f>
        <v/>
      </c>
      <c r="C136">
        <f>'1 datos preparados'!B129</f>
        <v/>
      </c>
      <c r="D136" s="7">
        <f>'1 datos preparados'!C129</f>
        <v/>
      </c>
      <c r="E136" s="7">
        <f>'1 datos preparados'!D129</f>
        <v/>
      </c>
      <c r="F136" s="7">
        <f>'1 datos preparados'!E129</f>
        <v/>
      </c>
      <c r="G136" s="7">
        <f>'1 datos preparados'!F129</f>
        <v/>
      </c>
      <c r="H136" s="7">
        <f>'1 datos preparados'!G129</f>
        <v/>
      </c>
      <c r="I136" s="7">
        <f>'1 datos preparados'!H129</f>
        <v/>
      </c>
      <c r="J136" s="7">
        <f>'1 datos preparados'!I129</f>
        <v/>
      </c>
      <c r="K136" s="7">
        <f>'1 datos preparados'!J129</f>
        <v/>
      </c>
      <c r="L136" s="7">
        <f>'1 datos preparados'!K129</f>
        <v/>
      </c>
      <c r="M136" s="7">
        <f>'1 datos preparados'!L129</f>
        <v/>
      </c>
      <c r="N136" s="7">
        <f>'1 datos preparados'!M129</f>
        <v/>
      </c>
      <c r="O136" s="7">
        <f>'1 datos preparados'!N129</f>
        <v/>
      </c>
      <c r="P136" s="7">
        <f>'1 datos preparados'!O129</f>
        <v/>
      </c>
      <c r="Q136" s="7">
        <f>'1 datos preparados'!P129</f>
        <v/>
      </c>
      <c r="R136" s="7">
        <f>'1 datos preparados'!Q129</f>
        <v/>
      </c>
      <c r="S136" s="7">
        <f>'1 datos preparados'!R129</f>
        <v/>
      </c>
      <c r="T136" s="7">
        <f>'1 datos preparados'!S129</f>
        <v/>
      </c>
      <c r="U136" s="7">
        <f>'1 datos preparados'!T129</f>
        <v/>
      </c>
      <c r="V136" s="8">
        <f>$AE$12+D136*$AE$13+E136*$AE$14+F136*$AE$15+G136*$AE$16+H136*$AE$17+I136*$AE$18+J136*$AE$19+K136*$AE$20+L136*$AE$21+M136*$AE$22+N136*$AE$23+O136*$AE$24+P136*$AE$25+Q136*$AE$26+R136*$AE$27+S136*$AE$28+T136*$AE$29+U136*$AE$30</f>
        <v/>
      </c>
      <c r="W136" s="8">
        <f>1/(1+EXP(-V136))</f>
        <v/>
      </c>
      <c r="X136" s="9">
        <f>-IF(C136=1,LN(W136),LN(1-W136))</f>
        <v/>
      </c>
      <c r="Y136" s="8">
        <f>1</f>
        <v/>
      </c>
      <c r="Z136" s="9">
        <f>Y136*X136</f>
        <v/>
      </c>
      <c r="AA136" s="10">
        <f>IF(W136&gt;$AE$32,1,0)</f>
        <v/>
      </c>
      <c r="AB136">
        <f>IF(AA136=C136,1,0)</f>
        <v/>
      </c>
    </row>
    <row r="137">
      <c r="A137">
        <f>'1 datos preparados'!A130</f>
        <v/>
      </c>
      <c r="B137" s="5">
        <f>'1 datos preparados'!U130</f>
        <v/>
      </c>
      <c r="C137">
        <f>'1 datos preparados'!B130</f>
        <v/>
      </c>
      <c r="D137" s="7">
        <f>'1 datos preparados'!C130</f>
        <v/>
      </c>
      <c r="E137" s="7">
        <f>'1 datos preparados'!D130</f>
        <v/>
      </c>
      <c r="F137" s="7">
        <f>'1 datos preparados'!E130</f>
        <v/>
      </c>
      <c r="G137" s="7">
        <f>'1 datos preparados'!F130</f>
        <v/>
      </c>
      <c r="H137" s="7">
        <f>'1 datos preparados'!G130</f>
        <v/>
      </c>
      <c r="I137" s="7">
        <f>'1 datos preparados'!H130</f>
        <v/>
      </c>
      <c r="J137" s="7">
        <f>'1 datos preparados'!I130</f>
        <v/>
      </c>
      <c r="K137" s="7">
        <f>'1 datos preparados'!J130</f>
        <v/>
      </c>
      <c r="L137" s="7">
        <f>'1 datos preparados'!K130</f>
        <v/>
      </c>
      <c r="M137" s="7">
        <f>'1 datos preparados'!L130</f>
        <v/>
      </c>
      <c r="N137" s="7">
        <f>'1 datos preparados'!M130</f>
        <v/>
      </c>
      <c r="O137" s="7">
        <f>'1 datos preparados'!N130</f>
        <v/>
      </c>
      <c r="P137" s="7">
        <f>'1 datos preparados'!O130</f>
        <v/>
      </c>
      <c r="Q137" s="7">
        <f>'1 datos preparados'!P130</f>
        <v/>
      </c>
      <c r="R137" s="7">
        <f>'1 datos preparados'!Q130</f>
        <v/>
      </c>
      <c r="S137" s="7">
        <f>'1 datos preparados'!R130</f>
        <v/>
      </c>
      <c r="T137" s="7">
        <f>'1 datos preparados'!S130</f>
        <v/>
      </c>
      <c r="U137" s="7">
        <f>'1 datos preparados'!T130</f>
        <v/>
      </c>
      <c r="V137" s="8">
        <f>$AE$12+D137*$AE$13+E137*$AE$14+F137*$AE$15+G137*$AE$16+H137*$AE$17+I137*$AE$18+J137*$AE$19+K137*$AE$20+L137*$AE$21+M137*$AE$22+N137*$AE$23+O137*$AE$24+P137*$AE$25+Q137*$AE$26+R137*$AE$27+S137*$AE$28+T137*$AE$29+U137*$AE$30</f>
        <v/>
      </c>
      <c r="W137" s="8">
        <f>1/(1+EXP(-V137))</f>
        <v/>
      </c>
      <c r="X137" s="9">
        <f>-IF(C137=1,LN(W137),LN(1-W137))</f>
        <v/>
      </c>
      <c r="Y137" s="8">
        <f>1</f>
        <v/>
      </c>
      <c r="Z137" s="9">
        <f>Y137*X137</f>
        <v/>
      </c>
      <c r="AA137" s="10">
        <f>IF(W137&gt;$AE$32,1,0)</f>
        <v/>
      </c>
      <c r="AB137">
        <f>IF(AA137=C137,1,0)</f>
        <v/>
      </c>
    </row>
    <row r="138">
      <c r="A138">
        <f>'1 datos preparados'!A131</f>
        <v/>
      </c>
      <c r="B138" s="5">
        <f>'1 datos preparados'!U131</f>
        <v/>
      </c>
      <c r="C138">
        <f>'1 datos preparados'!B131</f>
        <v/>
      </c>
      <c r="D138" s="7">
        <f>'1 datos preparados'!C131</f>
        <v/>
      </c>
      <c r="E138" s="7">
        <f>'1 datos preparados'!D131</f>
        <v/>
      </c>
      <c r="F138" s="7">
        <f>'1 datos preparados'!E131</f>
        <v/>
      </c>
      <c r="G138" s="7">
        <f>'1 datos preparados'!F131</f>
        <v/>
      </c>
      <c r="H138" s="7">
        <f>'1 datos preparados'!G131</f>
        <v/>
      </c>
      <c r="I138" s="7">
        <f>'1 datos preparados'!H131</f>
        <v/>
      </c>
      <c r="J138" s="7">
        <f>'1 datos preparados'!I131</f>
        <v/>
      </c>
      <c r="K138" s="7">
        <f>'1 datos preparados'!J131</f>
        <v/>
      </c>
      <c r="L138" s="7">
        <f>'1 datos preparados'!K131</f>
        <v/>
      </c>
      <c r="M138" s="7">
        <f>'1 datos preparados'!L131</f>
        <v/>
      </c>
      <c r="N138" s="7">
        <f>'1 datos preparados'!M131</f>
        <v/>
      </c>
      <c r="O138" s="7">
        <f>'1 datos preparados'!N131</f>
        <v/>
      </c>
      <c r="P138" s="7">
        <f>'1 datos preparados'!O131</f>
        <v/>
      </c>
      <c r="Q138" s="7">
        <f>'1 datos preparados'!P131</f>
        <v/>
      </c>
      <c r="R138" s="7">
        <f>'1 datos preparados'!Q131</f>
        <v/>
      </c>
      <c r="S138" s="7">
        <f>'1 datos preparados'!R131</f>
        <v/>
      </c>
      <c r="T138" s="7">
        <f>'1 datos preparados'!S131</f>
        <v/>
      </c>
      <c r="U138" s="7">
        <f>'1 datos preparados'!T131</f>
        <v/>
      </c>
      <c r="V138" s="8">
        <f>$AE$12+D138*$AE$13+E138*$AE$14+F138*$AE$15+G138*$AE$16+H138*$AE$17+I138*$AE$18+J138*$AE$19+K138*$AE$20+L138*$AE$21+M138*$AE$22+N138*$AE$23+O138*$AE$24+P138*$AE$25+Q138*$AE$26+R138*$AE$27+S138*$AE$28+T138*$AE$29+U138*$AE$30</f>
        <v/>
      </c>
      <c r="W138" s="8">
        <f>1/(1+EXP(-V138))</f>
        <v/>
      </c>
      <c r="X138" s="9">
        <f>-IF(C138=1,LN(W138),LN(1-W138))</f>
        <v/>
      </c>
      <c r="Y138" s="8">
        <f>1</f>
        <v/>
      </c>
      <c r="Z138" s="9">
        <f>Y138*X138</f>
        <v/>
      </c>
      <c r="AA138" s="10">
        <f>IF(W138&gt;$AE$32,1,0)</f>
        <v/>
      </c>
      <c r="AB138">
        <f>IF(AA138=C138,1,0)</f>
        <v/>
      </c>
    </row>
    <row r="139">
      <c r="A139">
        <f>'1 datos preparados'!A132</f>
        <v/>
      </c>
      <c r="B139" s="5">
        <f>'1 datos preparados'!U132</f>
        <v/>
      </c>
      <c r="C139">
        <f>'1 datos preparados'!B132</f>
        <v/>
      </c>
      <c r="D139" s="7">
        <f>'1 datos preparados'!C132</f>
        <v/>
      </c>
      <c r="E139" s="7">
        <f>'1 datos preparados'!D132</f>
        <v/>
      </c>
      <c r="F139" s="7">
        <f>'1 datos preparados'!E132</f>
        <v/>
      </c>
      <c r="G139" s="7">
        <f>'1 datos preparados'!F132</f>
        <v/>
      </c>
      <c r="H139" s="7">
        <f>'1 datos preparados'!G132</f>
        <v/>
      </c>
      <c r="I139" s="7">
        <f>'1 datos preparados'!H132</f>
        <v/>
      </c>
      <c r="J139" s="7">
        <f>'1 datos preparados'!I132</f>
        <v/>
      </c>
      <c r="K139" s="7">
        <f>'1 datos preparados'!J132</f>
        <v/>
      </c>
      <c r="L139" s="7">
        <f>'1 datos preparados'!K132</f>
        <v/>
      </c>
      <c r="M139" s="7">
        <f>'1 datos preparados'!L132</f>
        <v/>
      </c>
      <c r="N139" s="7">
        <f>'1 datos preparados'!M132</f>
        <v/>
      </c>
      <c r="O139" s="7">
        <f>'1 datos preparados'!N132</f>
        <v/>
      </c>
      <c r="P139" s="7">
        <f>'1 datos preparados'!O132</f>
        <v/>
      </c>
      <c r="Q139" s="7">
        <f>'1 datos preparados'!P132</f>
        <v/>
      </c>
      <c r="R139" s="7">
        <f>'1 datos preparados'!Q132</f>
        <v/>
      </c>
      <c r="S139" s="7">
        <f>'1 datos preparados'!R132</f>
        <v/>
      </c>
      <c r="T139" s="7">
        <f>'1 datos preparados'!S132</f>
        <v/>
      </c>
      <c r="U139" s="7">
        <f>'1 datos preparados'!T132</f>
        <v/>
      </c>
      <c r="V139" s="8">
        <f>$AE$12+D139*$AE$13+E139*$AE$14+F139*$AE$15+G139*$AE$16+H139*$AE$17+I139*$AE$18+J139*$AE$19+K139*$AE$20+L139*$AE$21+M139*$AE$22+N139*$AE$23+O139*$AE$24+P139*$AE$25+Q139*$AE$26+R139*$AE$27+S139*$AE$28+T139*$AE$29+U139*$AE$30</f>
        <v/>
      </c>
      <c r="W139" s="8">
        <f>1/(1+EXP(-V139))</f>
        <v/>
      </c>
      <c r="X139" s="9">
        <f>-IF(C139=1,LN(W139),LN(1-W139))</f>
        <v/>
      </c>
      <c r="Y139" s="8">
        <f>1</f>
        <v/>
      </c>
      <c r="Z139" s="9">
        <f>Y139*X139</f>
        <v/>
      </c>
      <c r="AA139" s="10">
        <f>IF(W139&gt;$AE$32,1,0)</f>
        <v/>
      </c>
      <c r="AB139">
        <f>IF(AA139=C139,1,0)</f>
        <v/>
      </c>
    </row>
    <row r="140">
      <c r="A140">
        <f>'1 datos preparados'!A133</f>
        <v/>
      </c>
      <c r="B140" s="5">
        <f>'1 datos preparados'!U133</f>
        <v/>
      </c>
      <c r="C140">
        <f>'1 datos preparados'!B133</f>
        <v/>
      </c>
      <c r="D140" s="7">
        <f>'1 datos preparados'!C133</f>
        <v/>
      </c>
      <c r="E140" s="7">
        <f>'1 datos preparados'!D133</f>
        <v/>
      </c>
      <c r="F140" s="7">
        <f>'1 datos preparados'!E133</f>
        <v/>
      </c>
      <c r="G140" s="7">
        <f>'1 datos preparados'!F133</f>
        <v/>
      </c>
      <c r="H140" s="7">
        <f>'1 datos preparados'!G133</f>
        <v/>
      </c>
      <c r="I140" s="7">
        <f>'1 datos preparados'!H133</f>
        <v/>
      </c>
      <c r="J140" s="7">
        <f>'1 datos preparados'!I133</f>
        <v/>
      </c>
      <c r="K140" s="7">
        <f>'1 datos preparados'!J133</f>
        <v/>
      </c>
      <c r="L140" s="7">
        <f>'1 datos preparados'!K133</f>
        <v/>
      </c>
      <c r="M140" s="7">
        <f>'1 datos preparados'!L133</f>
        <v/>
      </c>
      <c r="N140" s="7">
        <f>'1 datos preparados'!M133</f>
        <v/>
      </c>
      <c r="O140" s="7">
        <f>'1 datos preparados'!N133</f>
        <v/>
      </c>
      <c r="P140" s="7">
        <f>'1 datos preparados'!O133</f>
        <v/>
      </c>
      <c r="Q140" s="7">
        <f>'1 datos preparados'!P133</f>
        <v/>
      </c>
      <c r="R140" s="7">
        <f>'1 datos preparados'!Q133</f>
        <v/>
      </c>
      <c r="S140" s="7">
        <f>'1 datos preparados'!R133</f>
        <v/>
      </c>
      <c r="T140" s="7">
        <f>'1 datos preparados'!S133</f>
        <v/>
      </c>
      <c r="U140" s="7">
        <f>'1 datos preparados'!T133</f>
        <v/>
      </c>
      <c r="V140" s="8">
        <f>$AE$12+D140*$AE$13+E140*$AE$14+F140*$AE$15+G140*$AE$16+H140*$AE$17+I140*$AE$18+J140*$AE$19+K140*$AE$20+L140*$AE$21+M140*$AE$22+N140*$AE$23+O140*$AE$24+P140*$AE$25+Q140*$AE$26+R140*$AE$27+S140*$AE$28+T140*$AE$29+U140*$AE$30</f>
        <v/>
      </c>
      <c r="W140" s="8">
        <f>1/(1+EXP(-V140))</f>
        <v/>
      </c>
      <c r="X140" s="9">
        <f>-IF(C140=1,LN(W140),LN(1-W140))</f>
        <v/>
      </c>
      <c r="Y140" s="8">
        <f>1</f>
        <v/>
      </c>
      <c r="Z140" s="9">
        <f>Y140*X140</f>
        <v/>
      </c>
      <c r="AA140" s="10">
        <f>IF(W140&gt;$AE$32,1,0)</f>
        <v/>
      </c>
      <c r="AB140">
        <f>IF(AA140=C140,1,0)</f>
        <v/>
      </c>
    </row>
    <row r="141">
      <c r="A141">
        <f>'1 datos preparados'!A134</f>
        <v/>
      </c>
      <c r="B141" s="5">
        <f>'1 datos preparados'!U134</f>
        <v/>
      </c>
      <c r="C141">
        <f>'1 datos preparados'!B134</f>
        <v/>
      </c>
      <c r="D141" s="7">
        <f>'1 datos preparados'!C134</f>
        <v/>
      </c>
      <c r="E141" s="7">
        <f>'1 datos preparados'!D134</f>
        <v/>
      </c>
      <c r="F141" s="7">
        <f>'1 datos preparados'!E134</f>
        <v/>
      </c>
      <c r="G141" s="7">
        <f>'1 datos preparados'!F134</f>
        <v/>
      </c>
      <c r="H141" s="7">
        <f>'1 datos preparados'!G134</f>
        <v/>
      </c>
      <c r="I141" s="7">
        <f>'1 datos preparados'!H134</f>
        <v/>
      </c>
      <c r="J141" s="7">
        <f>'1 datos preparados'!I134</f>
        <v/>
      </c>
      <c r="K141" s="7">
        <f>'1 datos preparados'!J134</f>
        <v/>
      </c>
      <c r="L141" s="7">
        <f>'1 datos preparados'!K134</f>
        <v/>
      </c>
      <c r="M141" s="7">
        <f>'1 datos preparados'!L134</f>
        <v/>
      </c>
      <c r="N141" s="7">
        <f>'1 datos preparados'!M134</f>
        <v/>
      </c>
      <c r="O141" s="7">
        <f>'1 datos preparados'!N134</f>
        <v/>
      </c>
      <c r="P141" s="7">
        <f>'1 datos preparados'!O134</f>
        <v/>
      </c>
      <c r="Q141" s="7">
        <f>'1 datos preparados'!P134</f>
        <v/>
      </c>
      <c r="R141" s="7">
        <f>'1 datos preparados'!Q134</f>
        <v/>
      </c>
      <c r="S141" s="7">
        <f>'1 datos preparados'!R134</f>
        <v/>
      </c>
      <c r="T141" s="7">
        <f>'1 datos preparados'!S134</f>
        <v/>
      </c>
      <c r="U141" s="7">
        <f>'1 datos preparados'!T134</f>
        <v/>
      </c>
      <c r="V141" s="8">
        <f>$AE$12+D141*$AE$13+E141*$AE$14+F141*$AE$15+G141*$AE$16+H141*$AE$17+I141*$AE$18+J141*$AE$19+K141*$AE$20+L141*$AE$21+M141*$AE$22+N141*$AE$23+O141*$AE$24+P141*$AE$25+Q141*$AE$26+R141*$AE$27+S141*$AE$28+T141*$AE$29+U141*$AE$30</f>
        <v/>
      </c>
      <c r="W141" s="8">
        <f>1/(1+EXP(-V141))</f>
        <v/>
      </c>
      <c r="X141" s="9">
        <f>-IF(C141=1,LN(W141),LN(1-W141))</f>
        <v/>
      </c>
      <c r="Y141" s="8">
        <f>1</f>
        <v/>
      </c>
      <c r="Z141" s="9">
        <f>Y141*X141</f>
        <v/>
      </c>
      <c r="AA141" s="10">
        <f>IF(W141&gt;$AE$32,1,0)</f>
        <v/>
      </c>
      <c r="AB141">
        <f>IF(AA141=C141,1,0)</f>
        <v/>
      </c>
    </row>
    <row r="142">
      <c r="A142">
        <f>'1 datos preparados'!A135</f>
        <v/>
      </c>
      <c r="B142" s="5">
        <f>'1 datos preparados'!U135</f>
        <v/>
      </c>
      <c r="C142">
        <f>'1 datos preparados'!B135</f>
        <v/>
      </c>
      <c r="D142" s="7">
        <f>'1 datos preparados'!C135</f>
        <v/>
      </c>
      <c r="E142" s="7">
        <f>'1 datos preparados'!D135</f>
        <v/>
      </c>
      <c r="F142" s="7">
        <f>'1 datos preparados'!E135</f>
        <v/>
      </c>
      <c r="G142" s="7">
        <f>'1 datos preparados'!F135</f>
        <v/>
      </c>
      <c r="H142" s="7">
        <f>'1 datos preparados'!G135</f>
        <v/>
      </c>
      <c r="I142" s="7">
        <f>'1 datos preparados'!H135</f>
        <v/>
      </c>
      <c r="J142" s="7">
        <f>'1 datos preparados'!I135</f>
        <v/>
      </c>
      <c r="K142" s="7">
        <f>'1 datos preparados'!J135</f>
        <v/>
      </c>
      <c r="L142" s="7">
        <f>'1 datos preparados'!K135</f>
        <v/>
      </c>
      <c r="M142" s="7">
        <f>'1 datos preparados'!L135</f>
        <v/>
      </c>
      <c r="N142" s="7">
        <f>'1 datos preparados'!M135</f>
        <v/>
      </c>
      <c r="O142" s="7">
        <f>'1 datos preparados'!N135</f>
        <v/>
      </c>
      <c r="P142" s="7">
        <f>'1 datos preparados'!O135</f>
        <v/>
      </c>
      <c r="Q142" s="7">
        <f>'1 datos preparados'!P135</f>
        <v/>
      </c>
      <c r="R142" s="7">
        <f>'1 datos preparados'!Q135</f>
        <v/>
      </c>
      <c r="S142" s="7">
        <f>'1 datos preparados'!R135</f>
        <v/>
      </c>
      <c r="T142" s="7">
        <f>'1 datos preparados'!S135</f>
        <v/>
      </c>
      <c r="U142" s="7">
        <f>'1 datos preparados'!T135</f>
        <v/>
      </c>
      <c r="V142" s="8">
        <f>$AE$12+D142*$AE$13+E142*$AE$14+F142*$AE$15+G142*$AE$16+H142*$AE$17+I142*$AE$18+J142*$AE$19+K142*$AE$20+L142*$AE$21+M142*$AE$22+N142*$AE$23+O142*$AE$24+P142*$AE$25+Q142*$AE$26+R142*$AE$27+S142*$AE$28+T142*$AE$29+U142*$AE$30</f>
        <v/>
      </c>
      <c r="W142" s="8">
        <f>1/(1+EXP(-V142))</f>
        <v/>
      </c>
      <c r="X142" s="9">
        <f>-IF(C142=1,LN(W142),LN(1-W142))</f>
        <v/>
      </c>
      <c r="Y142" s="8">
        <f>1</f>
        <v/>
      </c>
      <c r="Z142" s="9">
        <f>Y142*X142</f>
        <v/>
      </c>
      <c r="AA142" s="10">
        <f>IF(W142&gt;$AE$32,1,0)</f>
        <v/>
      </c>
      <c r="AB142">
        <f>IF(AA142=C142,1,0)</f>
        <v/>
      </c>
    </row>
    <row r="143">
      <c r="A143">
        <f>'1 datos preparados'!A136</f>
        <v/>
      </c>
      <c r="B143" s="5">
        <f>'1 datos preparados'!U136</f>
        <v/>
      </c>
      <c r="C143">
        <f>'1 datos preparados'!B136</f>
        <v/>
      </c>
      <c r="D143" s="7">
        <f>'1 datos preparados'!C136</f>
        <v/>
      </c>
      <c r="E143" s="7">
        <f>'1 datos preparados'!D136</f>
        <v/>
      </c>
      <c r="F143" s="7">
        <f>'1 datos preparados'!E136</f>
        <v/>
      </c>
      <c r="G143" s="7">
        <f>'1 datos preparados'!F136</f>
        <v/>
      </c>
      <c r="H143" s="7">
        <f>'1 datos preparados'!G136</f>
        <v/>
      </c>
      <c r="I143" s="7">
        <f>'1 datos preparados'!H136</f>
        <v/>
      </c>
      <c r="J143" s="7">
        <f>'1 datos preparados'!I136</f>
        <v/>
      </c>
      <c r="K143" s="7">
        <f>'1 datos preparados'!J136</f>
        <v/>
      </c>
      <c r="L143" s="7">
        <f>'1 datos preparados'!K136</f>
        <v/>
      </c>
      <c r="M143" s="7">
        <f>'1 datos preparados'!L136</f>
        <v/>
      </c>
      <c r="N143" s="7">
        <f>'1 datos preparados'!M136</f>
        <v/>
      </c>
      <c r="O143" s="7">
        <f>'1 datos preparados'!N136</f>
        <v/>
      </c>
      <c r="P143" s="7">
        <f>'1 datos preparados'!O136</f>
        <v/>
      </c>
      <c r="Q143" s="7">
        <f>'1 datos preparados'!P136</f>
        <v/>
      </c>
      <c r="R143" s="7">
        <f>'1 datos preparados'!Q136</f>
        <v/>
      </c>
      <c r="S143" s="7">
        <f>'1 datos preparados'!R136</f>
        <v/>
      </c>
      <c r="T143" s="7">
        <f>'1 datos preparados'!S136</f>
        <v/>
      </c>
      <c r="U143" s="7">
        <f>'1 datos preparados'!T136</f>
        <v/>
      </c>
      <c r="V143" s="8">
        <f>$AE$12+D143*$AE$13+E143*$AE$14+F143*$AE$15+G143*$AE$16+H143*$AE$17+I143*$AE$18+J143*$AE$19+K143*$AE$20+L143*$AE$21+M143*$AE$22+N143*$AE$23+O143*$AE$24+P143*$AE$25+Q143*$AE$26+R143*$AE$27+S143*$AE$28+T143*$AE$29+U143*$AE$30</f>
        <v/>
      </c>
      <c r="W143" s="8">
        <f>1/(1+EXP(-V143))</f>
        <v/>
      </c>
      <c r="X143" s="9">
        <f>-IF(C143=1,LN(W143),LN(1-W143))</f>
        <v/>
      </c>
      <c r="Y143" s="8">
        <f>1</f>
        <v/>
      </c>
      <c r="Z143" s="9">
        <f>Y143*X143</f>
        <v/>
      </c>
      <c r="AA143" s="10">
        <f>IF(W143&gt;$AE$32,1,0)</f>
        <v/>
      </c>
      <c r="AB143">
        <f>IF(AA143=C143,1,0)</f>
        <v/>
      </c>
    </row>
    <row r="144">
      <c r="A144">
        <f>'1 datos preparados'!A137</f>
        <v/>
      </c>
      <c r="B144" s="5">
        <f>'1 datos preparados'!U137</f>
        <v/>
      </c>
      <c r="C144">
        <f>'1 datos preparados'!B137</f>
        <v/>
      </c>
      <c r="D144" s="7">
        <f>'1 datos preparados'!C137</f>
        <v/>
      </c>
      <c r="E144" s="7">
        <f>'1 datos preparados'!D137</f>
        <v/>
      </c>
      <c r="F144" s="7">
        <f>'1 datos preparados'!E137</f>
        <v/>
      </c>
      <c r="G144" s="7">
        <f>'1 datos preparados'!F137</f>
        <v/>
      </c>
      <c r="H144" s="7">
        <f>'1 datos preparados'!G137</f>
        <v/>
      </c>
      <c r="I144" s="7">
        <f>'1 datos preparados'!H137</f>
        <v/>
      </c>
      <c r="J144" s="7">
        <f>'1 datos preparados'!I137</f>
        <v/>
      </c>
      <c r="K144" s="7">
        <f>'1 datos preparados'!J137</f>
        <v/>
      </c>
      <c r="L144" s="7">
        <f>'1 datos preparados'!K137</f>
        <v/>
      </c>
      <c r="M144" s="7">
        <f>'1 datos preparados'!L137</f>
        <v/>
      </c>
      <c r="N144" s="7">
        <f>'1 datos preparados'!M137</f>
        <v/>
      </c>
      <c r="O144" s="7">
        <f>'1 datos preparados'!N137</f>
        <v/>
      </c>
      <c r="P144" s="7">
        <f>'1 datos preparados'!O137</f>
        <v/>
      </c>
      <c r="Q144" s="7">
        <f>'1 datos preparados'!P137</f>
        <v/>
      </c>
      <c r="R144" s="7">
        <f>'1 datos preparados'!Q137</f>
        <v/>
      </c>
      <c r="S144" s="7">
        <f>'1 datos preparados'!R137</f>
        <v/>
      </c>
      <c r="T144" s="7">
        <f>'1 datos preparados'!S137</f>
        <v/>
      </c>
      <c r="U144" s="7">
        <f>'1 datos preparados'!T137</f>
        <v/>
      </c>
      <c r="V144" s="8">
        <f>$AE$12+D144*$AE$13+E144*$AE$14+F144*$AE$15+G144*$AE$16+H144*$AE$17+I144*$AE$18+J144*$AE$19+K144*$AE$20+L144*$AE$21+M144*$AE$22+N144*$AE$23+O144*$AE$24+P144*$AE$25+Q144*$AE$26+R144*$AE$27+S144*$AE$28+T144*$AE$29+U144*$AE$30</f>
        <v/>
      </c>
      <c r="W144" s="8">
        <f>1/(1+EXP(-V144))</f>
        <v/>
      </c>
      <c r="X144" s="9">
        <f>-IF(C144=1,LN(W144),LN(1-W144))</f>
        <v/>
      </c>
      <c r="Y144" s="8">
        <f>1</f>
        <v/>
      </c>
      <c r="Z144" s="9">
        <f>Y144*X144</f>
        <v/>
      </c>
      <c r="AA144" s="10">
        <f>IF(W144&gt;$AE$32,1,0)</f>
        <v/>
      </c>
      <c r="AB144">
        <f>IF(AA144=C144,1,0)</f>
        <v/>
      </c>
    </row>
    <row r="145">
      <c r="A145">
        <f>'1 datos preparados'!A138</f>
        <v/>
      </c>
      <c r="B145" s="5">
        <f>'1 datos preparados'!U138</f>
        <v/>
      </c>
      <c r="C145">
        <f>'1 datos preparados'!B138</f>
        <v/>
      </c>
      <c r="D145" s="7">
        <f>'1 datos preparados'!C138</f>
        <v/>
      </c>
      <c r="E145" s="7">
        <f>'1 datos preparados'!D138</f>
        <v/>
      </c>
      <c r="F145" s="7">
        <f>'1 datos preparados'!E138</f>
        <v/>
      </c>
      <c r="G145" s="7">
        <f>'1 datos preparados'!F138</f>
        <v/>
      </c>
      <c r="H145" s="7">
        <f>'1 datos preparados'!G138</f>
        <v/>
      </c>
      <c r="I145" s="7">
        <f>'1 datos preparados'!H138</f>
        <v/>
      </c>
      <c r="J145" s="7">
        <f>'1 datos preparados'!I138</f>
        <v/>
      </c>
      <c r="K145" s="7">
        <f>'1 datos preparados'!J138</f>
        <v/>
      </c>
      <c r="L145" s="7">
        <f>'1 datos preparados'!K138</f>
        <v/>
      </c>
      <c r="M145" s="7">
        <f>'1 datos preparados'!L138</f>
        <v/>
      </c>
      <c r="N145" s="7">
        <f>'1 datos preparados'!M138</f>
        <v/>
      </c>
      <c r="O145" s="7">
        <f>'1 datos preparados'!N138</f>
        <v/>
      </c>
      <c r="P145" s="7">
        <f>'1 datos preparados'!O138</f>
        <v/>
      </c>
      <c r="Q145" s="7">
        <f>'1 datos preparados'!P138</f>
        <v/>
      </c>
      <c r="R145" s="7">
        <f>'1 datos preparados'!Q138</f>
        <v/>
      </c>
      <c r="S145" s="7">
        <f>'1 datos preparados'!R138</f>
        <v/>
      </c>
      <c r="T145" s="7">
        <f>'1 datos preparados'!S138</f>
        <v/>
      </c>
      <c r="U145" s="7">
        <f>'1 datos preparados'!T138</f>
        <v/>
      </c>
      <c r="V145" s="8">
        <f>$AE$12+D145*$AE$13+E145*$AE$14+F145*$AE$15+G145*$AE$16+H145*$AE$17+I145*$AE$18+J145*$AE$19+K145*$AE$20+L145*$AE$21+M145*$AE$22+N145*$AE$23+O145*$AE$24+P145*$AE$25+Q145*$AE$26+R145*$AE$27+S145*$AE$28+T145*$AE$29+U145*$AE$30</f>
        <v/>
      </c>
      <c r="W145" s="8">
        <f>1/(1+EXP(-V145))</f>
        <v/>
      </c>
      <c r="X145" s="9">
        <f>-IF(C145=1,LN(W145),LN(1-W145))</f>
        <v/>
      </c>
      <c r="Y145" s="8">
        <f>1</f>
        <v/>
      </c>
      <c r="Z145" s="9">
        <f>Y145*X145</f>
        <v/>
      </c>
      <c r="AA145" s="10">
        <f>IF(W145&gt;$AE$32,1,0)</f>
        <v/>
      </c>
      <c r="AB145">
        <f>IF(AA145=C145,1,0)</f>
        <v/>
      </c>
    </row>
    <row r="146">
      <c r="A146">
        <f>'1 datos preparados'!A139</f>
        <v/>
      </c>
      <c r="B146" s="5">
        <f>'1 datos preparados'!U139</f>
        <v/>
      </c>
      <c r="C146">
        <f>'1 datos preparados'!B139</f>
        <v/>
      </c>
      <c r="D146" s="7">
        <f>'1 datos preparados'!C139</f>
        <v/>
      </c>
      <c r="E146" s="7">
        <f>'1 datos preparados'!D139</f>
        <v/>
      </c>
      <c r="F146" s="7">
        <f>'1 datos preparados'!E139</f>
        <v/>
      </c>
      <c r="G146" s="7">
        <f>'1 datos preparados'!F139</f>
        <v/>
      </c>
      <c r="H146" s="7">
        <f>'1 datos preparados'!G139</f>
        <v/>
      </c>
      <c r="I146" s="7">
        <f>'1 datos preparados'!H139</f>
        <v/>
      </c>
      <c r="J146" s="7">
        <f>'1 datos preparados'!I139</f>
        <v/>
      </c>
      <c r="K146" s="7">
        <f>'1 datos preparados'!J139</f>
        <v/>
      </c>
      <c r="L146" s="7">
        <f>'1 datos preparados'!K139</f>
        <v/>
      </c>
      <c r="M146" s="7">
        <f>'1 datos preparados'!L139</f>
        <v/>
      </c>
      <c r="N146" s="7">
        <f>'1 datos preparados'!M139</f>
        <v/>
      </c>
      <c r="O146" s="7">
        <f>'1 datos preparados'!N139</f>
        <v/>
      </c>
      <c r="P146" s="7">
        <f>'1 datos preparados'!O139</f>
        <v/>
      </c>
      <c r="Q146" s="7">
        <f>'1 datos preparados'!P139</f>
        <v/>
      </c>
      <c r="R146" s="7">
        <f>'1 datos preparados'!Q139</f>
        <v/>
      </c>
      <c r="S146" s="7">
        <f>'1 datos preparados'!R139</f>
        <v/>
      </c>
      <c r="T146" s="7">
        <f>'1 datos preparados'!S139</f>
        <v/>
      </c>
      <c r="U146" s="7">
        <f>'1 datos preparados'!T139</f>
        <v/>
      </c>
      <c r="V146" s="8">
        <f>$AE$12+D146*$AE$13+E146*$AE$14+F146*$AE$15+G146*$AE$16+H146*$AE$17+I146*$AE$18+J146*$AE$19+K146*$AE$20+L146*$AE$21+M146*$AE$22+N146*$AE$23+O146*$AE$24+P146*$AE$25+Q146*$AE$26+R146*$AE$27+S146*$AE$28+T146*$AE$29+U146*$AE$30</f>
        <v/>
      </c>
      <c r="W146" s="8">
        <f>1/(1+EXP(-V146))</f>
        <v/>
      </c>
      <c r="X146" s="9">
        <f>-IF(C146=1,LN(W146),LN(1-W146))</f>
        <v/>
      </c>
      <c r="Y146" s="8">
        <f>1</f>
        <v/>
      </c>
      <c r="Z146" s="9">
        <f>Y146*X146</f>
        <v/>
      </c>
      <c r="AA146" s="10">
        <f>IF(W146&gt;$AE$32,1,0)</f>
        <v/>
      </c>
      <c r="AB146">
        <f>IF(AA146=C146,1,0)</f>
        <v/>
      </c>
    </row>
    <row r="147">
      <c r="A147">
        <f>'1 datos preparados'!A140</f>
        <v/>
      </c>
      <c r="B147" s="5">
        <f>'1 datos preparados'!U140</f>
        <v/>
      </c>
      <c r="C147">
        <f>'1 datos preparados'!B140</f>
        <v/>
      </c>
      <c r="D147" s="7">
        <f>'1 datos preparados'!C140</f>
        <v/>
      </c>
      <c r="E147" s="7">
        <f>'1 datos preparados'!D140</f>
        <v/>
      </c>
      <c r="F147" s="7">
        <f>'1 datos preparados'!E140</f>
        <v/>
      </c>
      <c r="G147" s="7">
        <f>'1 datos preparados'!F140</f>
        <v/>
      </c>
      <c r="H147" s="7">
        <f>'1 datos preparados'!G140</f>
        <v/>
      </c>
      <c r="I147" s="7">
        <f>'1 datos preparados'!H140</f>
        <v/>
      </c>
      <c r="J147" s="7">
        <f>'1 datos preparados'!I140</f>
        <v/>
      </c>
      <c r="K147" s="7">
        <f>'1 datos preparados'!J140</f>
        <v/>
      </c>
      <c r="L147" s="7">
        <f>'1 datos preparados'!K140</f>
        <v/>
      </c>
      <c r="M147" s="7">
        <f>'1 datos preparados'!L140</f>
        <v/>
      </c>
      <c r="N147" s="7">
        <f>'1 datos preparados'!M140</f>
        <v/>
      </c>
      <c r="O147" s="7">
        <f>'1 datos preparados'!N140</f>
        <v/>
      </c>
      <c r="P147" s="7">
        <f>'1 datos preparados'!O140</f>
        <v/>
      </c>
      <c r="Q147" s="7">
        <f>'1 datos preparados'!P140</f>
        <v/>
      </c>
      <c r="R147" s="7">
        <f>'1 datos preparados'!Q140</f>
        <v/>
      </c>
      <c r="S147" s="7">
        <f>'1 datos preparados'!R140</f>
        <v/>
      </c>
      <c r="T147" s="7">
        <f>'1 datos preparados'!S140</f>
        <v/>
      </c>
      <c r="U147" s="7">
        <f>'1 datos preparados'!T140</f>
        <v/>
      </c>
      <c r="V147" s="8">
        <f>$AE$12+D147*$AE$13+E147*$AE$14+F147*$AE$15+G147*$AE$16+H147*$AE$17+I147*$AE$18+J147*$AE$19+K147*$AE$20+L147*$AE$21+M147*$AE$22+N147*$AE$23+O147*$AE$24+P147*$AE$25+Q147*$AE$26+R147*$AE$27+S147*$AE$28+T147*$AE$29+U147*$AE$30</f>
        <v/>
      </c>
      <c r="W147" s="8">
        <f>1/(1+EXP(-V147))</f>
        <v/>
      </c>
      <c r="X147" s="9">
        <f>-IF(C147=1,LN(W147),LN(1-W147))</f>
        <v/>
      </c>
      <c r="Y147" s="8">
        <f>1</f>
        <v/>
      </c>
      <c r="Z147" s="9">
        <f>Y147*X147</f>
        <v/>
      </c>
      <c r="AA147" s="10">
        <f>IF(W147&gt;$AE$32,1,0)</f>
        <v/>
      </c>
      <c r="AB147">
        <f>IF(AA147=C147,1,0)</f>
        <v/>
      </c>
    </row>
    <row r="148">
      <c r="A148">
        <f>'1 datos preparados'!A141</f>
        <v/>
      </c>
      <c r="B148" s="5">
        <f>'1 datos preparados'!U141</f>
        <v/>
      </c>
      <c r="C148">
        <f>'1 datos preparados'!B141</f>
        <v/>
      </c>
      <c r="D148" s="7">
        <f>'1 datos preparados'!C141</f>
        <v/>
      </c>
      <c r="E148" s="7">
        <f>'1 datos preparados'!D141</f>
        <v/>
      </c>
      <c r="F148" s="7">
        <f>'1 datos preparados'!E141</f>
        <v/>
      </c>
      <c r="G148" s="7">
        <f>'1 datos preparados'!F141</f>
        <v/>
      </c>
      <c r="H148" s="7">
        <f>'1 datos preparados'!G141</f>
        <v/>
      </c>
      <c r="I148" s="7">
        <f>'1 datos preparados'!H141</f>
        <v/>
      </c>
      <c r="J148" s="7">
        <f>'1 datos preparados'!I141</f>
        <v/>
      </c>
      <c r="K148" s="7">
        <f>'1 datos preparados'!J141</f>
        <v/>
      </c>
      <c r="L148" s="7">
        <f>'1 datos preparados'!K141</f>
        <v/>
      </c>
      <c r="M148" s="7">
        <f>'1 datos preparados'!L141</f>
        <v/>
      </c>
      <c r="N148" s="7">
        <f>'1 datos preparados'!M141</f>
        <v/>
      </c>
      <c r="O148" s="7">
        <f>'1 datos preparados'!N141</f>
        <v/>
      </c>
      <c r="P148" s="7">
        <f>'1 datos preparados'!O141</f>
        <v/>
      </c>
      <c r="Q148" s="7">
        <f>'1 datos preparados'!P141</f>
        <v/>
      </c>
      <c r="R148" s="7">
        <f>'1 datos preparados'!Q141</f>
        <v/>
      </c>
      <c r="S148" s="7">
        <f>'1 datos preparados'!R141</f>
        <v/>
      </c>
      <c r="T148" s="7">
        <f>'1 datos preparados'!S141</f>
        <v/>
      </c>
      <c r="U148" s="7">
        <f>'1 datos preparados'!T141</f>
        <v/>
      </c>
      <c r="V148" s="8">
        <f>$AE$12+D148*$AE$13+E148*$AE$14+F148*$AE$15+G148*$AE$16+H148*$AE$17+I148*$AE$18+J148*$AE$19+K148*$AE$20+L148*$AE$21+M148*$AE$22+N148*$AE$23+O148*$AE$24+P148*$AE$25+Q148*$AE$26+R148*$AE$27+S148*$AE$28+T148*$AE$29+U148*$AE$30</f>
        <v/>
      </c>
      <c r="W148" s="8">
        <f>1/(1+EXP(-V148))</f>
        <v/>
      </c>
      <c r="X148" s="9">
        <f>-IF(C148=1,LN(W148),LN(1-W148))</f>
        <v/>
      </c>
      <c r="Y148" s="8">
        <f>1</f>
        <v/>
      </c>
      <c r="Z148" s="9">
        <f>Y148*X148</f>
        <v/>
      </c>
      <c r="AA148" s="10">
        <f>IF(W148&gt;$AE$32,1,0)</f>
        <v/>
      </c>
      <c r="AB148">
        <f>IF(AA148=C148,1,0)</f>
        <v/>
      </c>
    </row>
    <row r="149">
      <c r="A149">
        <f>'1 datos preparados'!A142</f>
        <v/>
      </c>
      <c r="B149" s="5">
        <f>'1 datos preparados'!U142</f>
        <v/>
      </c>
      <c r="C149">
        <f>'1 datos preparados'!B142</f>
        <v/>
      </c>
      <c r="D149" s="7">
        <f>'1 datos preparados'!C142</f>
        <v/>
      </c>
      <c r="E149" s="7">
        <f>'1 datos preparados'!D142</f>
        <v/>
      </c>
      <c r="F149" s="7">
        <f>'1 datos preparados'!E142</f>
        <v/>
      </c>
      <c r="G149" s="7">
        <f>'1 datos preparados'!F142</f>
        <v/>
      </c>
      <c r="H149" s="7">
        <f>'1 datos preparados'!G142</f>
        <v/>
      </c>
      <c r="I149" s="7">
        <f>'1 datos preparados'!H142</f>
        <v/>
      </c>
      <c r="J149" s="7">
        <f>'1 datos preparados'!I142</f>
        <v/>
      </c>
      <c r="K149" s="7">
        <f>'1 datos preparados'!J142</f>
        <v/>
      </c>
      <c r="L149" s="7">
        <f>'1 datos preparados'!K142</f>
        <v/>
      </c>
      <c r="M149" s="7">
        <f>'1 datos preparados'!L142</f>
        <v/>
      </c>
      <c r="N149" s="7">
        <f>'1 datos preparados'!M142</f>
        <v/>
      </c>
      <c r="O149" s="7">
        <f>'1 datos preparados'!N142</f>
        <v/>
      </c>
      <c r="P149" s="7">
        <f>'1 datos preparados'!O142</f>
        <v/>
      </c>
      <c r="Q149" s="7">
        <f>'1 datos preparados'!P142</f>
        <v/>
      </c>
      <c r="R149" s="7">
        <f>'1 datos preparados'!Q142</f>
        <v/>
      </c>
      <c r="S149" s="7">
        <f>'1 datos preparados'!R142</f>
        <v/>
      </c>
      <c r="T149" s="7">
        <f>'1 datos preparados'!S142</f>
        <v/>
      </c>
      <c r="U149" s="7">
        <f>'1 datos preparados'!T142</f>
        <v/>
      </c>
      <c r="V149" s="8">
        <f>$AE$12+D149*$AE$13+E149*$AE$14+F149*$AE$15+G149*$AE$16+H149*$AE$17+I149*$AE$18+J149*$AE$19+K149*$AE$20+L149*$AE$21+M149*$AE$22+N149*$AE$23+O149*$AE$24+P149*$AE$25+Q149*$AE$26+R149*$AE$27+S149*$AE$28+T149*$AE$29+U149*$AE$30</f>
        <v/>
      </c>
      <c r="W149" s="8">
        <f>1/(1+EXP(-V149))</f>
        <v/>
      </c>
      <c r="X149" s="9">
        <f>-IF(C149=1,LN(W149),LN(1-W149))</f>
        <v/>
      </c>
      <c r="Y149" s="8">
        <f>1</f>
        <v/>
      </c>
      <c r="Z149" s="9">
        <f>Y149*X149</f>
        <v/>
      </c>
      <c r="AA149" s="10">
        <f>IF(W149&gt;$AE$32,1,0)</f>
        <v/>
      </c>
      <c r="AB149">
        <f>IF(AA149=C149,1,0)</f>
        <v/>
      </c>
    </row>
    <row r="150">
      <c r="A150">
        <f>'1 datos preparados'!A143</f>
        <v/>
      </c>
      <c r="B150" s="5">
        <f>'1 datos preparados'!U143</f>
        <v/>
      </c>
      <c r="C150">
        <f>'1 datos preparados'!B143</f>
        <v/>
      </c>
      <c r="D150" s="7">
        <f>'1 datos preparados'!C143</f>
        <v/>
      </c>
      <c r="E150" s="7">
        <f>'1 datos preparados'!D143</f>
        <v/>
      </c>
      <c r="F150" s="7">
        <f>'1 datos preparados'!E143</f>
        <v/>
      </c>
      <c r="G150" s="7">
        <f>'1 datos preparados'!F143</f>
        <v/>
      </c>
      <c r="H150" s="7">
        <f>'1 datos preparados'!G143</f>
        <v/>
      </c>
      <c r="I150" s="7">
        <f>'1 datos preparados'!H143</f>
        <v/>
      </c>
      <c r="J150" s="7">
        <f>'1 datos preparados'!I143</f>
        <v/>
      </c>
      <c r="K150" s="7">
        <f>'1 datos preparados'!J143</f>
        <v/>
      </c>
      <c r="L150" s="7">
        <f>'1 datos preparados'!K143</f>
        <v/>
      </c>
      <c r="M150" s="7">
        <f>'1 datos preparados'!L143</f>
        <v/>
      </c>
      <c r="N150" s="7">
        <f>'1 datos preparados'!M143</f>
        <v/>
      </c>
      <c r="O150" s="7">
        <f>'1 datos preparados'!N143</f>
        <v/>
      </c>
      <c r="P150" s="7">
        <f>'1 datos preparados'!O143</f>
        <v/>
      </c>
      <c r="Q150" s="7">
        <f>'1 datos preparados'!P143</f>
        <v/>
      </c>
      <c r="R150" s="7">
        <f>'1 datos preparados'!Q143</f>
        <v/>
      </c>
      <c r="S150" s="7">
        <f>'1 datos preparados'!R143</f>
        <v/>
      </c>
      <c r="T150" s="7">
        <f>'1 datos preparados'!S143</f>
        <v/>
      </c>
      <c r="U150" s="7">
        <f>'1 datos preparados'!T143</f>
        <v/>
      </c>
      <c r="V150" s="8">
        <f>$AE$12+D150*$AE$13+E150*$AE$14+F150*$AE$15+G150*$AE$16+H150*$AE$17+I150*$AE$18+J150*$AE$19+K150*$AE$20+L150*$AE$21+M150*$AE$22+N150*$AE$23+O150*$AE$24+P150*$AE$25+Q150*$AE$26+R150*$AE$27+S150*$AE$28+T150*$AE$29+U150*$AE$30</f>
        <v/>
      </c>
      <c r="W150" s="8">
        <f>1/(1+EXP(-V150))</f>
        <v/>
      </c>
      <c r="X150" s="9">
        <f>-IF(C150=1,LN(W150),LN(1-W150))</f>
        <v/>
      </c>
      <c r="Y150" s="8">
        <f>1</f>
        <v/>
      </c>
      <c r="Z150" s="9">
        <f>Y150*X150</f>
        <v/>
      </c>
      <c r="AA150" s="10">
        <f>IF(W150&gt;$AE$32,1,0)</f>
        <v/>
      </c>
      <c r="AB150">
        <f>IF(AA150=C150,1,0)</f>
        <v/>
      </c>
    </row>
    <row r="151">
      <c r="A151">
        <f>'1 datos preparados'!A144</f>
        <v/>
      </c>
      <c r="B151" s="5">
        <f>'1 datos preparados'!U144</f>
        <v/>
      </c>
      <c r="C151">
        <f>'1 datos preparados'!B144</f>
        <v/>
      </c>
      <c r="D151" s="7">
        <f>'1 datos preparados'!C144</f>
        <v/>
      </c>
      <c r="E151" s="7">
        <f>'1 datos preparados'!D144</f>
        <v/>
      </c>
      <c r="F151" s="7">
        <f>'1 datos preparados'!E144</f>
        <v/>
      </c>
      <c r="G151" s="7">
        <f>'1 datos preparados'!F144</f>
        <v/>
      </c>
      <c r="H151" s="7">
        <f>'1 datos preparados'!G144</f>
        <v/>
      </c>
      <c r="I151" s="7">
        <f>'1 datos preparados'!H144</f>
        <v/>
      </c>
      <c r="J151" s="7">
        <f>'1 datos preparados'!I144</f>
        <v/>
      </c>
      <c r="K151" s="7">
        <f>'1 datos preparados'!J144</f>
        <v/>
      </c>
      <c r="L151" s="7">
        <f>'1 datos preparados'!K144</f>
        <v/>
      </c>
      <c r="M151" s="7">
        <f>'1 datos preparados'!L144</f>
        <v/>
      </c>
      <c r="N151" s="7">
        <f>'1 datos preparados'!M144</f>
        <v/>
      </c>
      <c r="O151" s="7">
        <f>'1 datos preparados'!N144</f>
        <v/>
      </c>
      <c r="P151" s="7">
        <f>'1 datos preparados'!O144</f>
        <v/>
      </c>
      <c r="Q151" s="7">
        <f>'1 datos preparados'!P144</f>
        <v/>
      </c>
      <c r="R151" s="7">
        <f>'1 datos preparados'!Q144</f>
        <v/>
      </c>
      <c r="S151" s="7">
        <f>'1 datos preparados'!R144</f>
        <v/>
      </c>
      <c r="T151" s="7">
        <f>'1 datos preparados'!S144</f>
        <v/>
      </c>
      <c r="U151" s="7">
        <f>'1 datos preparados'!T144</f>
        <v/>
      </c>
      <c r="V151" s="8">
        <f>$AE$12+D151*$AE$13+E151*$AE$14+F151*$AE$15+G151*$AE$16+H151*$AE$17+I151*$AE$18+J151*$AE$19+K151*$AE$20+L151*$AE$21+M151*$AE$22+N151*$AE$23+O151*$AE$24+P151*$AE$25+Q151*$AE$26+R151*$AE$27+S151*$AE$28+T151*$AE$29+U151*$AE$30</f>
        <v/>
      </c>
      <c r="W151" s="8">
        <f>1/(1+EXP(-V151))</f>
        <v/>
      </c>
      <c r="X151" s="9">
        <f>-IF(C151=1,LN(W151),LN(1-W151))</f>
        <v/>
      </c>
      <c r="Y151" s="8">
        <f>1</f>
        <v/>
      </c>
      <c r="Z151" s="9">
        <f>Y151*X151</f>
        <v/>
      </c>
      <c r="AA151" s="10">
        <f>IF(W151&gt;$AE$32,1,0)</f>
        <v/>
      </c>
      <c r="AB151">
        <f>IF(AA151=C151,1,0)</f>
        <v/>
      </c>
    </row>
    <row r="152">
      <c r="A152">
        <f>'1 datos preparados'!A145</f>
        <v/>
      </c>
      <c r="B152" s="5">
        <f>'1 datos preparados'!U145</f>
        <v/>
      </c>
      <c r="C152">
        <f>'1 datos preparados'!B145</f>
        <v/>
      </c>
      <c r="D152" s="7">
        <f>'1 datos preparados'!C145</f>
        <v/>
      </c>
      <c r="E152" s="7">
        <f>'1 datos preparados'!D145</f>
        <v/>
      </c>
      <c r="F152" s="7">
        <f>'1 datos preparados'!E145</f>
        <v/>
      </c>
      <c r="G152" s="7">
        <f>'1 datos preparados'!F145</f>
        <v/>
      </c>
      <c r="H152" s="7">
        <f>'1 datos preparados'!G145</f>
        <v/>
      </c>
      <c r="I152" s="7">
        <f>'1 datos preparados'!H145</f>
        <v/>
      </c>
      <c r="J152" s="7">
        <f>'1 datos preparados'!I145</f>
        <v/>
      </c>
      <c r="K152" s="7">
        <f>'1 datos preparados'!J145</f>
        <v/>
      </c>
      <c r="L152" s="7">
        <f>'1 datos preparados'!K145</f>
        <v/>
      </c>
      <c r="M152" s="7">
        <f>'1 datos preparados'!L145</f>
        <v/>
      </c>
      <c r="N152" s="7">
        <f>'1 datos preparados'!M145</f>
        <v/>
      </c>
      <c r="O152" s="7">
        <f>'1 datos preparados'!N145</f>
        <v/>
      </c>
      <c r="P152" s="7">
        <f>'1 datos preparados'!O145</f>
        <v/>
      </c>
      <c r="Q152" s="7">
        <f>'1 datos preparados'!P145</f>
        <v/>
      </c>
      <c r="R152" s="7">
        <f>'1 datos preparados'!Q145</f>
        <v/>
      </c>
      <c r="S152" s="7">
        <f>'1 datos preparados'!R145</f>
        <v/>
      </c>
      <c r="T152" s="7">
        <f>'1 datos preparados'!S145</f>
        <v/>
      </c>
      <c r="U152" s="7">
        <f>'1 datos preparados'!T145</f>
        <v/>
      </c>
      <c r="V152" s="8">
        <f>$AE$12+D152*$AE$13+E152*$AE$14+F152*$AE$15+G152*$AE$16+H152*$AE$17+I152*$AE$18+J152*$AE$19+K152*$AE$20+L152*$AE$21+M152*$AE$22+N152*$AE$23+O152*$AE$24+P152*$AE$25+Q152*$AE$26+R152*$AE$27+S152*$AE$28+T152*$AE$29+U152*$AE$30</f>
        <v/>
      </c>
      <c r="W152" s="8">
        <f>1/(1+EXP(-V152))</f>
        <v/>
      </c>
      <c r="X152" s="9">
        <f>-IF(C152=1,LN(W152),LN(1-W152))</f>
        <v/>
      </c>
      <c r="Y152" s="8">
        <f>1</f>
        <v/>
      </c>
      <c r="Z152" s="9">
        <f>Y152*X152</f>
        <v/>
      </c>
      <c r="AA152" s="10">
        <f>IF(W152&gt;$AE$32,1,0)</f>
        <v/>
      </c>
      <c r="AB152">
        <f>IF(AA152=C152,1,0)</f>
        <v/>
      </c>
    </row>
    <row r="153">
      <c r="A153">
        <f>'1 datos preparados'!A146</f>
        <v/>
      </c>
      <c r="B153" s="5">
        <f>'1 datos preparados'!U146</f>
        <v/>
      </c>
      <c r="C153">
        <f>'1 datos preparados'!B146</f>
        <v/>
      </c>
      <c r="D153" s="7">
        <f>'1 datos preparados'!C146</f>
        <v/>
      </c>
      <c r="E153" s="7">
        <f>'1 datos preparados'!D146</f>
        <v/>
      </c>
      <c r="F153" s="7">
        <f>'1 datos preparados'!E146</f>
        <v/>
      </c>
      <c r="G153" s="7">
        <f>'1 datos preparados'!F146</f>
        <v/>
      </c>
      <c r="H153" s="7">
        <f>'1 datos preparados'!G146</f>
        <v/>
      </c>
      <c r="I153" s="7">
        <f>'1 datos preparados'!H146</f>
        <v/>
      </c>
      <c r="J153" s="7">
        <f>'1 datos preparados'!I146</f>
        <v/>
      </c>
      <c r="K153" s="7">
        <f>'1 datos preparados'!J146</f>
        <v/>
      </c>
      <c r="L153" s="7">
        <f>'1 datos preparados'!K146</f>
        <v/>
      </c>
      <c r="M153" s="7">
        <f>'1 datos preparados'!L146</f>
        <v/>
      </c>
      <c r="N153" s="7">
        <f>'1 datos preparados'!M146</f>
        <v/>
      </c>
      <c r="O153" s="7">
        <f>'1 datos preparados'!N146</f>
        <v/>
      </c>
      <c r="P153" s="7">
        <f>'1 datos preparados'!O146</f>
        <v/>
      </c>
      <c r="Q153" s="7">
        <f>'1 datos preparados'!P146</f>
        <v/>
      </c>
      <c r="R153" s="7">
        <f>'1 datos preparados'!Q146</f>
        <v/>
      </c>
      <c r="S153" s="7">
        <f>'1 datos preparados'!R146</f>
        <v/>
      </c>
      <c r="T153" s="7">
        <f>'1 datos preparados'!S146</f>
        <v/>
      </c>
      <c r="U153" s="7">
        <f>'1 datos preparados'!T146</f>
        <v/>
      </c>
      <c r="V153" s="8">
        <f>$AE$12+D153*$AE$13+E153*$AE$14+F153*$AE$15+G153*$AE$16+H153*$AE$17+I153*$AE$18+J153*$AE$19+K153*$AE$20+L153*$AE$21+M153*$AE$22+N153*$AE$23+O153*$AE$24+P153*$AE$25+Q153*$AE$26+R153*$AE$27+S153*$AE$28+T153*$AE$29+U153*$AE$30</f>
        <v/>
      </c>
      <c r="W153" s="8">
        <f>1/(1+EXP(-V153))</f>
        <v/>
      </c>
      <c r="X153" s="9">
        <f>-IF(C153=1,LN(W153),LN(1-W153))</f>
        <v/>
      </c>
      <c r="Y153" s="8">
        <f>1</f>
        <v/>
      </c>
      <c r="Z153" s="9">
        <f>Y153*X153</f>
        <v/>
      </c>
      <c r="AA153" s="10">
        <f>IF(W153&gt;$AE$32,1,0)</f>
        <v/>
      </c>
      <c r="AB153">
        <f>IF(AA153=C153,1,0)</f>
        <v/>
      </c>
    </row>
    <row r="154">
      <c r="A154">
        <f>'1 datos preparados'!A147</f>
        <v/>
      </c>
      <c r="B154" s="5">
        <f>'1 datos preparados'!U147</f>
        <v/>
      </c>
      <c r="C154">
        <f>'1 datos preparados'!B147</f>
        <v/>
      </c>
      <c r="D154" s="7">
        <f>'1 datos preparados'!C147</f>
        <v/>
      </c>
      <c r="E154" s="7">
        <f>'1 datos preparados'!D147</f>
        <v/>
      </c>
      <c r="F154" s="7">
        <f>'1 datos preparados'!E147</f>
        <v/>
      </c>
      <c r="G154" s="7">
        <f>'1 datos preparados'!F147</f>
        <v/>
      </c>
      <c r="H154" s="7">
        <f>'1 datos preparados'!G147</f>
        <v/>
      </c>
      <c r="I154" s="7">
        <f>'1 datos preparados'!H147</f>
        <v/>
      </c>
      <c r="J154" s="7">
        <f>'1 datos preparados'!I147</f>
        <v/>
      </c>
      <c r="K154" s="7">
        <f>'1 datos preparados'!J147</f>
        <v/>
      </c>
      <c r="L154" s="7">
        <f>'1 datos preparados'!K147</f>
        <v/>
      </c>
      <c r="M154" s="7">
        <f>'1 datos preparados'!L147</f>
        <v/>
      </c>
      <c r="N154" s="7">
        <f>'1 datos preparados'!M147</f>
        <v/>
      </c>
      <c r="O154" s="7">
        <f>'1 datos preparados'!N147</f>
        <v/>
      </c>
      <c r="P154" s="7">
        <f>'1 datos preparados'!O147</f>
        <v/>
      </c>
      <c r="Q154" s="7">
        <f>'1 datos preparados'!P147</f>
        <v/>
      </c>
      <c r="R154" s="7">
        <f>'1 datos preparados'!Q147</f>
        <v/>
      </c>
      <c r="S154" s="7">
        <f>'1 datos preparados'!R147</f>
        <v/>
      </c>
      <c r="T154" s="7">
        <f>'1 datos preparados'!S147</f>
        <v/>
      </c>
      <c r="U154" s="7">
        <f>'1 datos preparados'!T147</f>
        <v/>
      </c>
      <c r="V154" s="8">
        <f>$AE$12+D154*$AE$13+E154*$AE$14+F154*$AE$15+G154*$AE$16+H154*$AE$17+I154*$AE$18+J154*$AE$19+K154*$AE$20+L154*$AE$21+M154*$AE$22+N154*$AE$23+O154*$AE$24+P154*$AE$25+Q154*$AE$26+R154*$AE$27+S154*$AE$28+T154*$AE$29+U154*$AE$30</f>
        <v/>
      </c>
      <c r="W154" s="8">
        <f>1/(1+EXP(-V154))</f>
        <v/>
      </c>
      <c r="X154" s="9">
        <f>-IF(C154=1,LN(W154),LN(1-W154))</f>
        <v/>
      </c>
      <c r="Y154" s="8">
        <f>1</f>
        <v/>
      </c>
      <c r="Z154" s="9">
        <f>Y154*X154</f>
        <v/>
      </c>
      <c r="AA154" s="10">
        <f>IF(W154&gt;$AE$32,1,0)</f>
        <v/>
      </c>
      <c r="AB154">
        <f>IF(AA154=C154,1,0)</f>
        <v/>
      </c>
    </row>
    <row r="155">
      <c r="A155">
        <f>'1 datos preparados'!A148</f>
        <v/>
      </c>
      <c r="B155" s="5">
        <f>'1 datos preparados'!U148</f>
        <v/>
      </c>
      <c r="C155">
        <f>'1 datos preparados'!B148</f>
        <v/>
      </c>
      <c r="D155" s="7">
        <f>'1 datos preparados'!C148</f>
        <v/>
      </c>
      <c r="E155" s="7">
        <f>'1 datos preparados'!D148</f>
        <v/>
      </c>
      <c r="F155" s="7">
        <f>'1 datos preparados'!E148</f>
        <v/>
      </c>
      <c r="G155" s="7">
        <f>'1 datos preparados'!F148</f>
        <v/>
      </c>
      <c r="H155" s="7">
        <f>'1 datos preparados'!G148</f>
        <v/>
      </c>
      <c r="I155" s="7">
        <f>'1 datos preparados'!H148</f>
        <v/>
      </c>
      <c r="J155" s="7">
        <f>'1 datos preparados'!I148</f>
        <v/>
      </c>
      <c r="K155" s="7">
        <f>'1 datos preparados'!J148</f>
        <v/>
      </c>
      <c r="L155" s="7">
        <f>'1 datos preparados'!K148</f>
        <v/>
      </c>
      <c r="M155" s="7">
        <f>'1 datos preparados'!L148</f>
        <v/>
      </c>
      <c r="N155" s="7">
        <f>'1 datos preparados'!M148</f>
        <v/>
      </c>
      <c r="O155" s="7">
        <f>'1 datos preparados'!N148</f>
        <v/>
      </c>
      <c r="P155" s="7">
        <f>'1 datos preparados'!O148</f>
        <v/>
      </c>
      <c r="Q155" s="7">
        <f>'1 datos preparados'!P148</f>
        <v/>
      </c>
      <c r="R155" s="7">
        <f>'1 datos preparados'!Q148</f>
        <v/>
      </c>
      <c r="S155" s="7">
        <f>'1 datos preparados'!R148</f>
        <v/>
      </c>
      <c r="T155" s="7">
        <f>'1 datos preparados'!S148</f>
        <v/>
      </c>
      <c r="U155" s="7">
        <f>'1 datos preparados'!T148</f>
        <v/>
      </c>
      <c r="V155" s="8">
        <f>$AE$12+D155*$AE$13+E155*$AE$14+F155*$AE$15+G155*$AE$16+H155*$AE$17+I155*$AE$18+J155*$AE$19+K155*$AE$20+L155*$AE$21+M155*$AE$22+N155*$AE$23+O155*$AE$24+P155*$AE$25+Q155*$AE$26+R155*$AE$27+S155*$AE$28+T155*$AE$29+U155*$AE$30</f>
        <v/>
      </c>
      <c r="W155" s="8">
        <f>1/(1+EXP(-V155))</f>
        <v/>
      </c>
      <c r="X155" s="9">
        <f>-IF(C155=1,LN(W155),LN(1-W155))</f>
        <v/>
      </c>
      <c r="Y155" s="8">
        <f>1</f>
        <v/>
      </c>
      <c r="Z155" s="9">
        <f>Y155*X155</f>
        <v/>
      </c>
      <c r="AA155" s="10">
        <f>IF(W155&gt;$AE$32,1,0)</f>
        <v/>
      </c>
      <c r="AB155">
        <f>IF(AA155=C155,1,0)</f>
        <v/>
      </c>
    </row>
    <row r="156">
      <c r="A156">
        <f>'1 datos preparados'!A149</f>
        <v/>
      </c>
      <c r="B156" s="5">
        <f>'1 datos preparados'!U149</f>
        <v/>
      </c>
      <c r="C156">
        <f>'1 datos preparados'!B149</f>
        <v/>
      </c>
      <c r="D156" s="7">
        <f>'1 datos preparados'!C149</f>
        <v/>
      </c>
      <c r="E156" s="7">
        <f>'1 datos preparados'!D149</f>
        <v/>
      </c>
      <c r="F156" s="7">
        <f>'1 datos preparados'!E149</f>
        <v/>
      </c>
      <c r="G156" s="7">
        <f>'1 datos preparados'!F149</f>
        <v/>
      </c>
      <c r="H156" s="7">
        <f>'1 datos preparados'!G149</f>
        <v/>
      </c>
      <c r="I156" s="7">
        <f>'1 datos preparados'!H149</f>
        <v/>
      </c>
      <c r="J156" s="7">
        <f>'1 datos preparados'!I149</f>
        <v/>
      </c>
      <c r="K156" s="7">
        <f>'1 datos preparados'!J149</f>
        <v/>
      </c>
      <c r="L156" s="7">
        <f>'1 datos preparados'!K149</f>
        <v/>
      </c>
      <c r="M156" s="7">
        <f>'1 datos preparados'!L149</f>
        <v/>
      </c>
      <c r="N156" s="7">
        <f>'1 datos preparados'!M149</f>
        <v/>
      </c>
      <c r="O156" s="7">
        <f>'1 datos preparados'!N149</f>
        <v/>
      </c>
      <c r="P156" s="7">
        <f>'1 datos preparados'!O149</f>
        <v/>
      </c>
      <c r="Q156" s="7">
        <f>'1 datos preparados'!P149</f>
        <v/>
      </c>
      <c r="R156" s="7">
        <f>'1 datos preparados'!Q149</f>
        <v/>
      </c>
      <c r="S156" s="7">
        <f>'1 datos preparados'!R149</f>
        <v/>
      </c>
      <c r="T156" s="7">
        <f>'1 datos preparados'!S149</f>
        <v/>
      </c>
      <c r="U156" s="7">
        <f>'1 datos preparados'!T149</f>
        <v/>
      </c>
      <c r="V156" s="8">
        <f>$AE$12+D156*$AE$13+E156*$AE$14+F156*$AE$15+G156*$AE$16+H156*$AE$17+I156*$AE$18+J156*$AE$19+K156*$AE$20+L156*$AE$21+M156*$AE$22+N156*$AE$23+O156*$AE$24+P156*$AE$25+Q156*$AE$26+R156*$AE$27+S156*$AE$28+T156*$AE$29+U156*$AE$30</f>
        <v/>
      </c>
      <c r="W156" s="8">
        <f>1/(1+EXP(-V156))</f>
        <v/>
      </c>
      <c r="X156" s="9">
        <f>-IF(C156=1,LN(W156),LN(1-W156))</f>
        <v/>
      </c>
      <c r="Y156" s="8">
        <f>1</f>
        <v/>
      </c>
      <c r="Z156" s="9">
        <f>Y156*X156</f>
        <v/>
      </c>
      <c r="AA156" s="10">
        <f>IF(W156&gt;$AE$32,1,0)</f>
        <v/>
      </c>
      <c r="AB156">
        <f>IF(AA156=C156,1,0)</f>
        <v/>
      </c>
    </row>
    <row r="157">
      <c r="A157">
        <f>'1 datos preparados'!A150</f>
        <v/>
      </c>
      <c r="B157" s="5">
        <f>'1 datos preparados'!U150</f>
        <v/>
      </c>
      <c r="C157">
        <f>'1 datos preparados'!B150</f>
        <v/>
      </c>
      <c r="D157" s="7">
        <f>'1 datos preparados'!C150</f>
        <v/>
      </c>
      <c r="E157" s="7">
        <f>'1 datos preparados'!D150</f>
        <v/>
      </c>
      <c r="F157" s="7">
        <f>'1 datos preparados'!E150</f>
        <v/>
      </c>
      <c r="G157" s="7">
        <f>'1 datos preparados'!F150</f>
        <v/>
      </c>
      <c r="H157" s="7">
        <f>'1 datos preparados'!G150</f>
        <v/>
      </c>
      <c r="I157" s="7">
        <f>'1 datos preparados'!H150</f>
        <v/>
      </c>
      <c r="J157" s="7">
        <f>'1 datos preparados'!I150</f>
        <v/>
      </c>
      <c r="K157" s="7">
        <f>'1 datos preparados'!J150</f>
        <v/>
      </c>
      <c r="L157" s="7">
        <f>'1 datos preparados'!K150</f>
        <v/>
      </c>
      <c r="M157" s="7">
        <f>'1 datos preparados'!L150</f>
        <v/>
      </c>
      <c r="N157" s="7">
        <f>'1 datos preparados'!M150</f>
        <v/>
      </c>
      <c r="O157" s="7">
        <f>'1 datos preparados'!N150</f>
        <v/>
      </c>
      <c r="P157" s="7">
        <f>'1 datos preparados'!O150</f>
        <v/>
      </c>
      <c r="Q157" s="7">
        <f>'1 datos preparados'!P150</f>
        <v/>
      </c>
      <c r="R157" s="7">
        <f>'1 datos preparados'!Q150</f>
        <v/>
      </c>
      <c r="S157" s="7">
        <f>'1 datos preparados'!R150</f>
        <v/>
      </c>
      <c r="T157" s="7">
        <f>'1 datos preparados'!S150</f>
        <v/>
      </c>
      <c r="U157" s="7">
        <f>'1 datos preparados'!T150</f>
        <v/>
      </c>
      <c r="V157" s="8">
        <f>$AE$12+D157*$AE$13+E157*$AE$14+F157*$AE$15+G157*$AE$16+H157*$AE$17+I157*$AE$18+J157*$AE$19+K157*$AE$20+L157*$AE$21+M157*$AE$22+N157*$AE$23+O157*$AE$24+P157*$AE$25+Q157*$AE$26+R157*$AE$27+S157*$AE$28+T157*$AE$29+U157*$AE$30</f>
        <v/>
      </c>
      <c r="W157" s="8">
        <f>1/(1+EXP(-V157))</f>
        <v/>
      </c>
      <c r="X157" s="9">
        <f>-IF(C157=1,LN(W157),LN(1-W157))</f>
        <v/>
      </c>
      <c r="Y157" s="8">
        <f>1</f>
        <v/>
      </c>
      <c r="Z157" s="9">
        <f>Y157*X157</f>
        <v/>
      </c>
      <c r="AA157" s="10">
        <f>IF(W157&gt;$AE$32,1,0)</f>
        <v/>
      </c>
      <c r="AB157">
        <f>IF(AA157=C157,1,0)</f>
        <v/>
      </c>
    </row>
    <row r="158">
      <c r="A158">
        <f>'1 datos preparados'!A151</f>
        <v/>
      </c>
      <c r="B158" s="5">
        <f>'1 datos preparados'!U151</f>
        <v/>
      </c>
      <c r="C158">
        <f>'1 datos preparados'!B151</f>
        <v/>
      </c>
      <c r="D158" s="7">
        <f>'1 datos preparados'!C151</f>
        <v/>
      </c>
      <c r="E158" s="7">
        <f>'1 datos preparados'!D151</f>
        <v/>
      </c>
      <c r="F158" s="7">
        <f>'1 datos preparados'!E151</f>
        <v/>
      </c>
      <c r="G158" s="7">
        <f>'1 datos preparados'!F151</f>
        <v/>
      </c>
      <c r="H158" s="7">
        <f>'1 datos preparados'!G151</f>
        <v/>
      </c>
      <c r="I158" s="7">
        <f>'1 datos preparados'!H151</f>
        <v/>
      </c>
      <c r="J158" s="7">
        <f>'1 datos preparados'!I151</f>
        <v/>
      </c>
      <c r="K158" s="7">
        <f>'1 datos preparados'!J151</f>
        <v/>
      </c>
      <c r="L158" s="7">
        <f>'1 datos preparados'!K151</f>
        <v/>
      </c>
      <c r="M158" s="7">
        <f>'1 datos preparados'!L151</f>
        <v/>
      </c>
      <c r="N158" s="7">
        <f>'1 datos preparados'!M151</f>
        <v/>
      </c>
      <c r="O158" s="7">
        <f>'1 datos preparados'!N151</f>
        <v/>
      </c>
      <c r="P158" s="7">
        <f>'1 datos preparados'!O151</f>
        <v/>
      </c>
      <c r="Q158" s="7">
        <f>'1 datos preparados'!P151</f>
        <v/>
      </c>
      <c r="R158" s="7">
        <f>'1 datos preparados'!Q151</f>
        <v/>
      </c>
      <c r="S158" s="7">
        <f>'1 datos preparados'!R151</f>
        <v/>
      </c>
      <c r="T158" s="7">
        <f>'1 datos preparados'!S151</f>
        <v/>
      </c>
      <c r="U158" s="7">
        <f>'1 datos preparados'!T151</f>
        <v/>
      </c>
      <c r="V158" s="8">
        <f>$AE$12+D158*$AE$13+E158*$AE$14+F158*$AE$15+G158*$AE$16+H158*$AE$17+I158*$AE$18+J158*$AE$19+K158*$AE$20+L158*$AE$21+M158*$AE$22+N158*$AE$23+O158*$AE$24+P158*$AE$25+Q158*$AE$26+R158*$AE$27+S158*$AE$28+T158*$AE$29+U158*$AE$30</f>
        <v/>
      </c>
      <c r="W158" s="8">
        <f>1/(1+EXP(-V158))</f>
        <v/>
      </c>
      <c r="X158" s="9">
        <f>-IF(C158=1,LN(W158),LN(1-W158))</f>
        <v/>
      </c>
      <c r="Y158" s="8">
        <f>1</f>
        <v/>
      </c>
      <c r="Z158" s="9">
        <f>Y158*X158</f>
        <v/>
      </c>
      <c r="AA158" s="10">
        <f>IF(W158&gt;$AE$32,1,0)</f>
        <v/>
      </c>
      <c r="AB158">
        <f>IF(AA158=C158,1,0)</f>
        <v/>
      </c>
    </row>
    <row r="159">
      <c r="A159">
        <f>'1 datos preparados'!A152</f>
        <v/>
      </c>
      <c r="B159" s="5">
        <f>'1 datos preparados'!U152</f>
        <v/>
      </c>
      <c r="C159">
        <f>'1 datos preparados'!B152</f>
        <v/>
      </c>
      <c r="D159" s="7">
        <f>'1 datos preparados'!C152</f>
        <v/>
      </c>
      <c r="E159" s="7">
        <f>'1 datos preparados'!D152</f>
        <v/>
      </c>
      <c r="F159" s="7">
        <f>'1 datos preparados'!E152</f>
        <v/>
      </c>
      <c r="G159" s="7">
        <f>'1 datos preparados'!F152</f>
        <v/>
      </c>
      <c r="H159" s="7">
        <f>'1 datos preparados'!G152</f>
        <v/>
      </c>
      <c r="I159" s="7">
        <f>'1 datos preparados'!H152</f>
        <v/>
      </c>
      <c r="J159" s="7">
        <f>'1 datos preparados'!I152</f>
        <v/>
      </c>
      <c r="K159" s="7">
        <f>'1 datos preparados'!J152</f>
        <v/>
      </c>
      <c r="L159" s="7">
        <f>'1 datos preparados'!K152</f>
        <v/>
      </c>
      <c r="M159" s="7">
        <f>'1 datos preparados'!L152</f>
        <v/>
      </c>
      <c r="N159" s="7">
        <f>'1 datos preparados'!M152</f>
        <v/>
      </c>
      <c r="O159" s="7">
        <f>'1 datos preparados'!N152</f>
        <v/>
      </c>
      <c r="P159" s="7">
        <f>'1 datos preparados'!O152</f>
        <v/>
      </c>
      <c r="Q159" s="7">
        <f>'1 datos preparados'!P152</f>
        <v/>
      </c>
      <c r="R159" s="7">
        <f>'1 datos preparados'!Q152</f>
        <v/>
      </c>
      <c r="S159" s="7">
        <f>'1 datos preparados'!R152</f>
        <v/>
      </c>
      <c r="T159" s="7">
        <f>'1 datos preparados'!S152</f>
        <v/>
      </c>
      <c r="U159" s="7">
        <f>'1 datos preparados'!T152</f>
        <v/>
      </c>
      <c r="V159" s="8">
        <f>$AE$12+D159*$AE$13+E159*$AE$14+F159*$AE$15+G159*$AE$16+H159*$AE$17+I159*$AE$18+J159*$AE$19+K159*$AE$20+L159*$AE$21+M159*$AE$22+N159*$AE$23+O159*$AE$24+P159*$AE$25+Q159*$AE$26+R159*$AE$27+S159*$AE$28+T159*$AE$29+U159*$AE$30</f>
        <v/>
      </c>
      <c r="W159" s="8">
        <f>1/(1+EXP(-V159))</f>
        <v/>
      </c>
      <c r="X159" s="9">
        <f>-IF(C159=1,LN(W159),LN(1-W159))</f>
        <v/>
      </c>
      <c r="Y159" s="8">
        <f>1</f>
        <v/>
      </c>
      <c r="Z159" s="9">
        <f>Y159*X159</f>
        <v/>
      </c>
      <c r="AA159" s="10">
        <f>IF(W159&gt;$AE$32,1,0)</f>
        <v/>
      </c>
      <c r="AB159">
        <f>IF(AA159=C159,1,0)</f>
        <v/>
      </c>
    </row>
    <row r="160">
      <c r="A160">
        <f>'1 datos preparados'!A153</f>
        <v/>
      </c>
      <c r="B160" s="5">
        <f>'1 datos preparados'!U153</f>
        <v/>
      </c>
      <c r="C160">
        <f>'1 datos preparados'!B153</f>
        <v/>
      </c>
      <c r="D160" s="7">
        <f>'1 datos preparados'!C153</f>
        <v/>
      </c>
      <c r="E160" s="7">
        <f>'1 datos preparados'!D153</f>
        <v/>
      </c>
      <c r="F160" s="7">
        <f>'1 datos preparados'!E153</f>
        <v/>
      </c>
      <c r="G160" s="7">
        <f>'1 datos preparados'!F153</f>
        <v/>
      </c>
      <c r="H160" s="7">
        <f>'1 datos preparados'!G153</f>
        <v/>
      </c>
      <c r="I160" s="7">
        <f>'1 datos preparados'!H153</f>
        <v/>
      </c>
      <c r="J160" s="7">
        <f>'1 datos preparados'!I153</f>
        <v/>
      </c>
      <c r="K160" s="7">
        <f>'1 datos preparados'!J153</f>
        <v/>
      </c>
      <c r="L160" s="7">
        <f>'1 datos preparados'!K153</f>
        <v/>
      </c>
      <c r="M160" s="7">
        <f>'1 datos preparados'!L153</f>
        <v/>
      </c>
      <c r="N160" s="7">
        <f>'1 datos preparados'!M153</f>
        <v/>
      </c>
      <c r="O160" s="7">
        <f>'1 datos preparados'!N153</f>
        <v/>
      </c>
      <c r="P160" s="7">
        <f>'1 datos preparados'!O153</f>
        <v/>
      </c>
      <c r="Q160" s="7">
        <f>'1 datos preparados'!P153</f>
        <v/>
      </c>
      <c r="R160" s="7">
        <f>'1 datos preparados'!Q153</f>
        <v/>
      </c>
      <c r="S160" s="7">
        <f>'1 datos preparados'!R153</f>
        <v/>
      </c>
      <c r="T160" s="7">
        <f>'1 datos preparados'!S153</f>
        <v/>
      </c>
      <c r="U160" s="7">
        <f>'1 datos preparados'!T153</f>
        <v/>
      </c>
      <c r="V160" s="8">
        <f>$AE$12+D160*$AE$13+E160*$AE$14+F160*$AE$15+G160*$AE$16+H160*$AE$17+I160*$AE$18+J160*$AE$19+K160*$AE$20+L160*$AE$21+M160*$AE$22+N160*$AE$23+O160*$AE$24+P160*$AE$25+Q160*$AE$26+R160*$AE$27+S160*$AE$28+T160*$AE$29+U160*$AE$30</f>
        <v/>
      </c>
      <c r="W160" s="8">
        <f>1/(1+EXP(-V160))</f>
        <v/>
      </c>
      <c r="X160" s="9">
        <f>-IF(C160=1,LN(W160),LN(1-W160))</f>
        <v/>
      </c>
      <c r="Y160" s="8">
        <f>1</f>
        <v/>
      </c>
      <c r="Z160" s="9">
        <f>Y160*X160</f>
        <v/>
      </c>
      <c r="AA160" s="10">
        <f>IF(W160&gt;$AE$32,1,0)</f>
        <v/>
      </c>
      <c r="AB160">
        <f>IF(AA160=C160,1,0)</f>
        <v/>
      </c>
    </row>
    <row r="161">
      <c r="A161">
        <f>'1 datos preparados'!A154</f>
        <v/>
      </c>
      <c r="B161" s="5">
        <f>'1 datos preparados'!U154</f>
        <v/>
      </c>
      <c r="C161">
        <f>'1 datos preparados'!B154</f>
        <v/>
      </c>
      <c r="D161" s="7">
        <f>'1 datos preparados'!C154</f>
        <v/>
      </c>
      <c r="E161" s="7">
        <f>'1 datos preparados'!D154</f>
        <v/>
      </c>
      <c r="F161" s="7">
        <f>'1 datos preparados'!E154</f>
        <v/>
      </c>
      <c r="G161" s="7">
        <f>'1 datos preparados'!F154</f>
        <v/>
      </c>
      <c r="H161" s="7">
        <f>'1 datos preparados'!G154</f>
        <v/>
      </c>
      <c r="I161" s="7">
        <f>'1 datos preparados'!H154</f>
        <v/>
      </c>
      <c r="J161" s="7">
        <f>'1 datos preparados'!I154</f>
        <v/>
      </c>
      <c r="K161" s="7">
        <f>'1 datos preparados'!J154</f>
        <v/>
      </c>
      <c r="L161" s="7">
        <f>'1 datos preparados'!K154</f>
        <v/>
      </c>
      <c r="M161" s="7">
        <f>'1 datos preparados'!L154</f>
        <v/>
      </c>
      <c r="N161" s="7">
        <f>'1 datos preparados'!M154</f>
        <v/>
      </c>
      <c r="O161" s="7">
        <f>'1 datos preparados'!N154</f>
        <v/>
      </c>
      <c r="P161" s="7">
        <f>'1 datos preparados'!O154</f>
        <v/>
      </c>
      <c r="Q161" s="7">
        <f>'1 datos preparados'!P154</f>
        <v/>
      </c>
      <c r="R161" s="7">
        <f>'1 datos preparados'!Q154</f>
        <v/>
      </c>
      <c r="S161" s="7">
        <f>'1 datos preparados'!R154</f>
        <v/>
      </c>
      <c r="T161" s="7">
        <f>'1 datos preparados'!S154</f>
        <v/>
      </c>
      <c r="U161" s="7">
        <f>'1 datos preparados'!T154</f>
        <v/>
      </c>
      <c r="V161" s="8">
        <f>$AE$12+D161*$AE$13+E161*$AE$14+F161*$AE$15+G161*$AE$16+H161*$AE$17+I161*$AE$18+J161*$AE$19+K161*$AE$20+L161*$AE$21+M161*$AE$22+N161*$AE$23+O161*$AE$24+P161*$AE$25+Q161*$AE$26+R161*$AE$27+S161*$AE$28+T161*$AE$29+U161*$AE$30</f>
        <v/>
      </c>
      <c r="W161" s="8">
        <f>1/(1+EXP(-V161))</f>
        <v/>
      </c>
      <c r="X161" s="9">
        <f>-IF(C161=1,LN(W161),LN(1-W161))</f>
        <v/>
      </c>
      <c r="Y161" s="8">
        <f>1</f>
        <v/>
      </c>
      <c r="Z161" s="9">
        <f>Y161*X161</f>
        <v/>
      </c>
      <c r="AA161" s="10">
        <f>IF(W161&gt;$AE$32,1,0)</f>
        <v/>
      </c>
      <c r="AB161">
        <f>IF(AA161=C161,1,0)</f>
        <v/>
      </c>
    </row>
    <row r="162">
      <c r="A162">
        <f>'1 datos preparados'!A155</f>
        <v/>
      </c>
      <c r="B162" s="5">
        <f>'1 datos preparados'!U155</f>
        <v/>
      </c>
      <c r="C162">
        <f>'1 datos preparados'!B155</f>
        <v/>
      </c>
      <c r="D162" s="7">
        <f>'1 datos preparados'!C155</f>
        <v/>
      </c>
      <c r="E162" s="7">
        <f>'1 datos preparados'!D155</f>
        <v/>
      </c>
      <c r="F162" s="7">
        <f>'1 datos preparados'!E155</f>
        <v/>
      </c>
      <c r="G162" s="7">
        <f>'1 datos preparados'!F155</f>
        <v/>
      </c>
      <c r="H162" s="7">
        <f>'1 datos preparados'!G155</f>
        <v/>
      </c>
      <c r="I162" s="7">
        <f>'1 datos preparados'!H155</f>
        <v/>
      </c>
      <c r="J162" s="7">
        <f>'1 datos preparados'!I155</f>
        <v/>
      </c>
      <c r="K162" s="7">
        <f>'1 datos preparados'!J155</f>
        <v/>
      </c>
      <c r="L162" s="7">
        <f>'1 datos preparados'!K155</f>
        <v/>
      </c>
      <c r="M162" s="7">
        <f>'1 datos preparados'!L155</f>
        <v/>
      </c>
      <c r="N162" s="7">
        <f>'1 datos preparados'!M155</f>
        <v/>
      </c>
      <c r="O162" s="7">
        <f>'1 datos preparados'!N155</f>
        <v/>
      </c>
      <c r="P162" s="7">
        <f>'1 datos preparados'!O155</f>
        <v/>
      </c>
      <c r="Q162" s="7">
        <f>'1 datos preparados'!P155</f>
        <v/>
      </c>
      <c r="R162" s="7">
        <f>'1 datos preparados'!Q155</f>
        <v/>
      </c>
      <c r="S162" s="7">
        <f>'1 datos preparados'!R155</f>
        <v/>
      </c>
      <c r="T162" s="7">
        <f>'1 datos preparados'!S155</f>
        <v/>
      </c>
      <c r="U162" s="7">
        <f>'1 datos preparados'!T155</f>
        <v/>
      </c>
      <c r="V162" s="8">
        <f>$AE$12+D162*$AE$13+E162*$AE$14+F162*$AE$15+G162*$AE$16+H162*$AE$17+I162*$AE$18+J162*$AE$19+K162*$AE$20+L162*$AE$21+M162*$AE$22+N162*$AE$23+O162*$AE$24+P162*$AE$25+Q162*$AE$26+R162*$AE$27+S162*$AE$28+T162*$AE$29+U162*$AE$30</f>
        <v/>
      </c>
      <c r="W162" s="8">
        <f>1/(1+EXP(-V162))</f>
        <v/>
      </c>
      <c r="X162" s="9">
        <f>-IF(C162=1,LN(W162),LN(1-W162))</f>
        <v/>
      </c>
      <c r="Y162" s="8">
        <f>1</f>
        <v/>
      </c>
      <c r="Z162" s="9">
        <f>Y162*X162</f>
        <v/>
      </c>
      <c r="AA162" s="10">
        <f>IF(W162&gt;$AE$32,1,0)</f>
        <v/>
      </c>
      <c r="AB162">
        <f>IF(AA162=C162,1,0)</f>
        <v/>
      </c>
    </row>
    <row r="163">
      <c r="A163">
        <f>'1 datos preparados'!A156</f>
        <v/>
      </c>
      <c r="B163" s="5">
        <f>'1 datos preparados'!U156</f>
        <v/>
      </c>
      <c r="C163">
        <f>'1 datos preparados'!B156</f>
        <v/>
      </c>
      <c r="D163" s="7">
        <f>'1 datos preparados'!C156</f>
        <v/>
      </c>
      <c r="E163" s="7">
        <f>'1 datos preparados'!D156</f>
        <v/>
      </c>
      <c r="F163" s="7">
        <f>'1 datos preparados'!E156</f>
        <v/>
      </c>
      <c r="G163" s="7">
        <f>'1 datos preparados'!F156</f>
        <v/>
      </c>
      <c r="H163" s="7">
        <f>'1 datos preparados'!G156</f>
        <v/>
      </c>
      <c r="I163" s="7">
        <f>'1 datos preparados'!H156</f>
        <v/>
      </c>
      <c r="J163" s="7">
        <f>'1 datos preparados'!I156</f>
        <v/>
      </c>
      <c r="K163" s="7">
        <f>'1 datos preparados'!J156</f>
        <v/>
      </c>
      <c r="L163" s="7">
        <f>'1 datos preparados'!K156</f>
        <v/>
      </c>
      <c r="M163" s="7">
        <f>'1 datos preparados'!L156</f>
        <v/>
      </c>
      <c r="N163" s="7">
        <f>'1 datos preparados'!M156</f>
        <v/>
      </c>
      <c r="O163" s="7">
        <f>'1 datos preparados'!N156</f>
        <v/>
      </c>
      <c r="P163" s="7">
        <f>'1 datos preparados'!O156</f>
        <v/>
      </c>
      <c r="Q163" s="7">
        <f>'1 datos preparados'!P156</f>
        <v/>
      </c>
      <c r="R163" s="7">
        <f>'1 datos preparados'!Q156</f>
        <v/>
      </c>
      <c r="S163" s="7">
        <f>'1 datos preparados'!R156</f>
        <v/>
      </c>
      <c r="T163" s="7">
        <f>'1 datos preparados'!S156</f>
        <v/>
      </c>
      <c r="U163" s="7">
        <f>'1 datos preparados'!T156</f>
        <v/>
      </c>
      <c r="V163" s="8">
        <f>$AE$12+D163*$AE$13+E163*$AE$14+F163*$AE$15+G163*$AE$16+H163*$AE$17+I163*$AE$18+J163*$AE$19+K163*$AE$20+L163*$AE$21+M163*$AE$22+N163*$AE$23+O163*$AE$24+P163*$AE$25+Q163*$AE$26+R163*$AE$27+S163*$AE$28+T163*$AE$29+U163*$AE$30</f>
        <v/>
      </c>
      <c r="W163" s="8">
        <f>1/(1+EXP(-V163))</f>
        <v/>
      </c>
      <c r="X163" s="9">
        <f>-IF(C163=1,LN(W163),LN(1-W163))</f>
        <v/>
      </c>
      <c r="Y163" s="8">
        <f>1</f>
        <v/>
      </c>
      <c r="Z163" s="9">
        <f>Y163*X163</f>
        <v/>
      </c>
      <c r="AA163" s="10">
        <f>IF(W163&gt;$AE$32,1,0)</f>
        <v/>
      </c>
      <c r="AB163">
        <f>IF(AA163=C163,1,0)</f>
        <v/>
      </c>
    </row>
    <row r="164">
      <c r="A164">
        <f>'1 datos preparados'!A157</f>
        <v/>
      </c>
      <c r="B164" s="5">
        <f>'1 datos preparados'!U157</f>
        <v/>
      </c>
      <c r="C164">
        <f>'1 datos preparados'!B157</f>
        <v/>
      </c>
      <c r="D164" s="7">
        <f>'1 datos preparados'!C157</f>
        <v/>
      </c>
      <c r="E164" s="7">
        <f>'1 datos preparados'!D157</f>
        <v/>
      </c>
      <c r="F164" s="7">
        <f>'1 datos preparados'!E157</f>
        <v/>
      </c>
      <c r="G164" s="7">
        <f>'1 datos preparados'!F157</f>
        <v/>
      </c>
      <c r="H164" s="7">
        <f>'1 datos preparados'!G157</f>
        <v/>
      </c>
      <c r="I164" s="7">
        <f>'1 datos preparados'!H157</f>
        <v/>
      </c>
      <c r="J164" s="7">
        <f>'1 datos preparados'!I157</f>
        <v/>
      </c>
      <c r="K164" s="7">
        <f>'1 datos preparados'!J157</f>
        <v/>
      </c>
      <c r="L164" s="7">
        <f>'1 datos preparados'!K157</f>
        <v/>
      </c>
      <c r="M164" s="7">
        <f>'1 datos preparados'!L157</f>
        <v/>
      </c>
      <c r="N164" s="7">
        <f>'1 datos preparados'!M157</f>
        <v/>
      </c>
      <c r="O164" s="7">
        <f>'1 datos preparados'!N157</f>
        <v/>
      </c>
      <c r="P164" s="7">
        <f>'1 datos preparados'!O157</f>
        <v/>
      </c>
      <c r="Q164" s="7">
        <f>'1 datos preparados'!P157</f>
        <v/>
      </c>
      <c r="R164" s="7">
        <f>'1 datos preparados'!Q157</f>
        <v/>
      </c>
      <c r="S164" s="7">
        <f>'1 datos preparados'!R157</f>
        <v/>
      </c>
      <c r="T164" s="7">
        <f>'1 datos preparados'!S157</f>
        <v/>
      </c>
      <c r="U164" s="7">
        <f>'1 datos preparados'!T157</f>
        <v/>
      </c>
      <c r="V164" s="8">
        <f>$AE$12+D164*$AE$13+E164*$AE$14+F164*$AE$15+G164*$AE$16+H164*$AE$17+I164*$AE$18+J164*$AE$19+K164*$AE$20+L164*$AE$21+M164*$AE$22+N164*$AE$23+O164*$AE$24+P164*$AE$25+Q164*$AE$26+R164*$AE$27+S164*$AE$28+T164*$AE$29+U164*$AE$30</f>
        <v/>
      </c>
      <c r="W164" s="8">
        <f>1/(1+EXP(-V164))</f>
        <v/>
      </c>
      <c r="X164" s="9">
        <f>-IF(C164=1,LN(W164),LN(1-W164))</f>
        <v/>
      </c>
      <c r="Y164" s="8">
        <f>1</f>
        <v/>
      </c>
      <c r="Z164" s="9">
        <f>Y164*X164</f>
        <v/>
      </c>
      <c r="AA164" s="10">
        <f>IF(W164&gt;$AE$32,1,0)</f>
        <v/>
      </c>
      <c r="AB164">
        <f>IF(AA164=C164,1,0)</f>
        <v/>
      </c>
    </row>
    <row r="165">
      <c r="A165">
        <f>'1 datos preparados'!A158</f>
        <v/>
      </c>
      <c r="B165" s="5">
        <f>'1 datos preparados'!U158</f>
        <v/>
      </c>
      <c r="C165">
        <f>'1 datos preparados'!B158</f>
        <v/>
      </c>
      <c r="D165" s="7">
        <f>'1 datos preparados'!C158</f>
        <v/>
      </c>
      <c r="E165" s="7">
        <f>'1 datos preparados'!D158</f>
        <v/>
      </c>
      <c r="F165" s="7">
        <f>'1 datos preparados'!E158</f>
        <v/>
      </c>
      <c r="G165" s="7">
        <f>'1 datos preparados'!F158</f>
        <v/>
      </c>
      <c r="H165" s="7">
        <f>'1 datos preparados'!G158</f>
        <v/>
      </c>
      <c r="I165" s="7">
        <f>'1 datos preparados'!H158</f>
        <v/>
      </c>
      <c r="J165" s="7">
        <f>'1 datos preparados'!I158</f>
        <v/>
      </c>
      <c r="K165" s="7">
        <f>'1 datos preparados'!J158</f>
        <v/>
      </c>
      <c r="L165" s="7">
        <f>'1 datos preparados'!K158</f>
        <v/>
      </c>
      <c r="M165" s="7">
        <f>'1 datos preparados'!L158</f>
        <v/>
      </c>
      <c r="N165" s="7">
        <f>'1 datos preparados'!M158</f>
        <v/>
      </c>
      <c r="O165" s="7">
        <f>'1 datos preparados'!N158</f>
        <v/>
      </c>
      <c r="P165" s="7">
        <f>'1 datos preparados'!O158</f>
        <v/>
      </c>
      <c r="Q165" s="7">
        <f>'1 datos preparados'!P158</f>
        <v/>
      </c>
      <c r="R165" s="7">
        <f>'1 datos preparados'!Q158</f>
        <v/>
      </c>
      <c r="S165" s="7">
        <f>'1 datos preparados'!R158</f>
        <v/>
      </c>
      <c r="T165" s="7">
        <f>'1 datos preparados'!S158</f>
        <v/>
      </c>
      <c r="U165" s="7">
        <f>'1 datos preparados'!T158</f>
        <v/>
      </c>
      <c r="V165" s="8">
        <f>$AE$12+D165*$AE$13+E165*$AE$14+F165*$AE$15+G165*$AE$16+H165*$AE$17+I165*$AE$18+J165*$AE$19+K165*$AE$20+L165*$AE$21+M165*$AE$22+N165*$AE$23+O165*$AE$24+P165*$AE$25+Q165*$AE$26+R165*$AE$27+S165*$AE$28+T165*$AE$29+U165*$AE$30</f>
        <v/>
      </c>
      <c r="W165" s="8">
        <f>1/(1+EXP(-V165))</f>
        <v/>
      </c>
      <c r="X165" s="9">
        <f>-IF(C165=1,LN(W165),LN(1-W165))</f>
        <v/>
      </c>
      <c r="Y165" s="8">
        <f>1</f>
        <v/>
      </c>
      <c r="Z165" s="9">
        <f>Y165*X165</f>
        <v/>
      </c>
      <c r="AA165" s="10">
        <f>IF(W165&gt;$AE$32,1,0)</f>
        <v/>
      </c>
      <c r="AB165">
        <f>IF(AA165=C165,1,0)</f>
        <v/>
      </c>
    </row>
    <row r="166">
      <c r="A166">
        <f>'1 datos preparados'!A159</f>
        <v/>
      </c>
      <c r="B166" s="5">
        <f>'1 datos preparados'!U159</f>
        <v/>
      </c>
      <c r="C166">
        <f>'1 datos preparados'!B159</f>
        <v/>
      </c>
      <c r="D166" s="7">
        <f>'1 datos preparados'!C159</f>
        <v/>
      </c>
      <c r="E166" s="7">
        <f>'1 datos preparados'!D159</f>
        <v/>
      </c>
      <c r="F166" s="7">
        <f>'1 datos preparados'!E159</f>
        <v/>
      </c>
      <c r="G166" s="7">
        <f>'1 datos preparados'!F159</f>
        <v/>
      </c>
      <c r="H166" s="7">
        <f>'1 datos preparados'!G159</f>
        <v/>
      </c>
      <c r="I166" s="7">
        <f>'1 datos preparados'!H159</f>
        <v/>
      </c>
      <c r="J166" s="7">
        <f>'1 datos preparados'!I159</f>
        <v/>
      </c>
      <c r="K166" s="7">
        <f>'1 datos preparados'!J159</f>
        <v/>
      </c>
      <c r="L166" s="7">
        <f>'1 datos preparados'!K159</f>
        <v/>
      </c>
      <c r="M166" s="7">
        <f>'1 datos preparados'!L159</f>
        <v/>
      </c>
      <c r="N166" s="7">
        <f>'1 datos preparados'!M159</f>
        <v/>
      </c>
      <c r="O166" s="7">
        <f>'1 datos preparados'!N159</f>
        <v/>
      </c>
      <c r="P166" s="7">
        <f>'1 datos preparados'!O159</f>
        <v/>
      </c>
      <c r="Q166" s="7">
        <f>'1 datos preparados'!P159</f>
        <v/>
      </c>
      <c r="R166" s="7">
        <f>'1 datos preparados'!Q159</f>
        <v/>
      </c>
      <c r="S166" s="7">
        <f>'1 datos preparados'!R159</f>
        <v/>
      </c>
      <c r="T166" s="7">
        <f>'1 datos preparados'!S159</f>
        <v/>
      </c>
      <c r="U166" s="7">
        <f>'1 datos preparados'!T159</f>
        <v/>
      </c>
      <c r="V166" s="8">
        <f>$AE$12+D166*$AE$13+E166*$AE$14+F166*$AE$15+G166*$AE$16+H166*$AE$17+I166*$AE$18+J166*$AE$19+K166*$AE$20+L166*$AE$21+M166*$AE$22+N166*$AE$23+O166*$AE$24+P166*$AE$25+Q166*$AE$26+R166*$AE$27+S166*$AE$28+T166*$AE$29+U166*$AE$30</f>
        <v/>
      </c>
      <c r="W166" s="8">
        <f>1/(1+EXP(-V166))</f>
        <v/>
      </c>
      <c r="X166" s="9">
        <f>-IF(C166=1,LN(W166),LN(1-W166))</f>
        <v/>
      </c>
      <c r="Y166" s="8">
        <f>1</f>
        <v/>
      </c>
      <c r="Z166" s="9">
        <f>Y166*X166</f>
        <v/>
      </c>
      <c r="AA166" s="10">
        <f>IF(W166&gt;$AE$32,1,0)</f>
        <v/>
      </c>
      <c r="AB166">
        <f>IF(AA166=C166,1,0)</f>
        <v/>
      </c>
    </row>
    <row r="167">
      <c r="A167">
        <f>'1 datos preparados'!A160</f>
        <v/>
      </c>
      <c r="B167" s="5">
        <f>'1 datos preparados'!U160</f>
        <v/>
      </c>
      <c r="C167">
        <f>'1 datos preparados'!B160</f>
        <v/>
      </c>
      <c r="D167" s="7">
        <f>'1 datos preparados'!C160</f>
        <v/>
      </c>
      <c r="E167" s="7">
        <f>'1 datos preparados'!D160</f>
        <v/>
      </c>
      <c r="F167" s="7">
        <f>'1 datos preparados'!E160</f>
        <v/>
      </c>
      <c r="G167" s="7">
        <f>'1 datos preparados'!F160</f>
        <v/>
      </c>
      <c r="H167" s="7">
        <f>'1 datos preparados'!G160</f>
        <v/>
      </c>
      <c r="I167" s="7">
        <f>'1 datos preparados'!H160</f>
        <v/>
      </c>
      <c r="J167" s="7">
        <f>'1 datos preparados'!I160</f>
        <v/>
      </c>
      <c r="K167" s="7">
        <f>'1 datos preparados'!J160</f>
        <v/>
      </c>
      <c r="L167" s="7">
        <f>'1 datos preparados'!K160</f>
        <v/>
      </c>
      <c r="M167" s="7">
        <f>'1 datos preparados'!L160</f>
        <v/>
      </c>
      <c r="N167" s="7">
        <f>'1 datos preparados'!M160</f>
        <v/>
      </c>
      <c r="O167" s="7">
        <f>'1 datos preparados'!N160</f>
        <v/>
      </c>
      <c r="P167" s="7">
        <f>'1 datos preparados'!O160</f>
        <v/>
      </c>
      <c r="Q167" s="7">
        <f>'1 datos preparados'!P160</f>
        <v/>
      </c>
      <c r="R167" s="7">
        <f>'1 datos preparados'!Q160</f>
        <v/>
      </c>
      <c r="S167" s="7">
        <f>'1 datos preparados'!R160</f>
        <v/>
      </c>
      <c r="T167" s="7">
        <f>'1 datos preparados'!S160</f>
        <v/>
      </c>
      <c r="U167" s="7">
        <f>'1 datos preparados'!T160</f>
        <v/>
      </c>
      <c r="V167" s="8">
        <f>$AE$12+D167*$AE$13+E167*$AE$14+F167*$AE$15+G167*$AE$16+H167*$AE$17+I167*$AE$18+J167*$AE$19+K167*$AE$20+L167*$AE$21+M167*$AE$22+N167*$AE$23+O167*$AE$24+P167*$AE$25+Q167*$AE$26+R167*$AE$27+S167*$AE$28+T167*$AE$29+U167*$AE$30</f>
        <v/>
      </c>
      <c r="W167" s="8">
        <f>1/(1+EXP(-V167))</f>
        <v/>
      </c>
      <c r="X167" s="9">
        <f>-IF(C167=1,LN(W167),LN(1-W167))</f>
        <v/>
      </c>
      <c r="Y167" s="8">
        <f>1</f>
        <v/>
      </c>
      <c r="Z167" s="9">
        <f>Y167*X167</f>
        <v/>
      </c>
      <c r="AA167" s="10">
        <f>IF(W167&gt;$AE$32,1,0)</f>
        <v/>
      </c>
      <c r="AB167">
        <f>IF(AA167=C167,1,0)</f>
        <v/>
      </c>
    </row>
    <row r="168">
      <c r="A168">
        <f>'1 datos preparados'!A161</f>
        <v/>
      </c>
      <c r="B168" s="5">
        <f>'1 datos preparados'!U161</f>
        <v/>
      </c>
      <c r="C168">
        <f>'1 datos preparados'!B161</f>
        <v/>
      </c>
      <c r="D168" s="7">
        <f>'1 datos preparados'!C161</f>
        <v/>
      </c>
      <c r="E168" s="7">
        <f>'1 datos preparados'!D161</f>
        <v/>
      </c>
      <c r="F168" s="7">
        <f>'1 datos preparados'!E161</f>
        <v/>
      </c>
      <c r="G168" s="7">
        <f>'1 datos preparados'!F161</f>
        <v/>
      </c>
      <c r="H168" s="7">
        <f>'1 datos preparados'!G161</f>
        <v/>
      </c>
      <c r="I168" s="7">
        <f>'1 datos preparados'!H161</f>
        <v/>
      </c>
      <c r="J168" s="7">
        <f>'1 datos preparados'!I161</f>
        <v/>
      </c>
      <c r="K168" s="7">
        <f>'1 datos preparados'!J161</f>
        <v/>
      </c>
      <c r="L168" s="7">
        <f>'1 datos preparados'!K161</f>
        <v/>
      </c>
      <c r="M168" s="7">
        <f>'1 datos preparados'!L161</f>
        <v/>
      </c>
      <c r="N168" s="7">
        <f>'1 datos preparados'!M161</f>
        <v/>
      </c>
      <c r="O168" s="7">
        <f>'1 datos preparados'!N161</f>
        <v/>
      </c>
      <c r="P168" s="7">
        <f>'1 datos preparados'!O161</f>
        <v/>
      </c>
      <c r="Q168" s="7">
        <f>'1 datos preparados'!P161</f>
        <v/>
      </c>
      <c r="R168" s="7">
        <f>'1 datos preparados'!Q161</f>
        <v/>
      </c>
      <c r="S168" s="7">
        <f>'1 datos preparados'!R161</f>
        <v/>
      </c>
      <c r="T168" s="7">
        <f>'1 datos preparados'!S161</f>
        <v/>
      </c>
      <c r="U168" s="7">
        <f>'1 datos preparados'!T161</f>
        <v/>
      </c>
      <c r="V168" s="8">
        <f>$AE$12+D168*$AE$13+E168*$AE$14+F168*$AE$15+G168*$AE$16+H168*$AE$17+I168*$AE$18+J168*$AE$19+K168*$AE$20+L168*$AE$21+M168*$AE$22+N168*$AE$23+O168*$AE$24+P168*$AE$25+Q168*$AE$26+R168*$AE$27+S168*$AE$28+T168*$AE$29+U168*$AE$30</f>
        <v/>
      </c>
      <c r="W168" s="8">
        <f>1/(1+EXP(-V168))</f>
        <v/>
      </c>
      <c r="X168" s="9">
        <f>-IF(C168=1,LN(W168),LN(1-W168))</f>
        <v/>
      </c>
      <c r="Y168" s="8">
        <f>1</f>
        <v/>
      </c>
      <c r="Z168" s="9">
        <f>Y168*X168</f>
        <v/>
      </c>
      <c r="AA168" s="10">
        <f>IF(W168&gt;$AE$32,1,0)</f>
        <v/>
      </c>
      <c r="AB168">
        <f>IF(AA168=C168,1,0)</f>
        <v/>
      </c>
    </row>
    <row r="169">
      <c r="A169">
        <f>'1 datos preparados'!A162</f>
        <v/>
      </c>
      <c r="B169" s="5">
        <f>'1 datos preparados'!U162</f>
        <v/>
      </c>
      <c r="C169">
        <f>'1 datos preparados'!B162</f>
        <v/>
      </c>
      <c r="D169" s="7">
        <f>'1 datos preparados'!C162</f>
        <v/>
      </c>
      <c r="E169" s="7">
        <f>'1 datos preparados'!D162</f>
        <v/>
      </c>
      <c r="F169" s="7">
        <f>'1 datos preparados'!E162</f>
        <v/>
      </c>
      <c r="G169" s="7">
        <f>'1 datos preparados'!F162</f>
        <v/>
      </c>
      <c r="H169" s="7">
        <f>'1 datos preparados'!G162</f>
        <v/>
      </c>
      <c r="I169" s="7">
        <f>'1 datos preparados'!H162</f>
        <v/>
      </c>
      <c r="J169" s="7">
        <f>'1 datos preparados'!I162</f>
        <v/>
      </c>
      <c r="K169" s="7">
        <f>'1 datos preparados'!J162</f>
        <v/>
      </c>
      <c r="L169" s="7">
        <f>'1 datos preparados'!K162</f>
        <v/>
      </c>
      <c r="M169" s="7">
        <f>'1 datos preparados'!L162</f>
        <v/>
      </c>
      <c r="N169" s="7">
        <f>'1 datos preparados'!M162</f>
        <v/>
      </c>
      <c r="O169" s="7">
        <f>'1 datos preparados'!N162</f>
        <v/>
      </c>
      <c r="P169" s="7">
        <f>'1 datos preparados'!O162</f>
        <v/>
      </c>
      <c r="Q169" s="7">
        <f>'1 datos preparados'!P162</f>
        <v/>
      </c>
      <c r="R169" s="7">
        <f>'1 datos preparados'!Q162</f>
        <v/>
      </c>
      <c r="S169" s="7">
        <f>'1 datos preparados'!R162</f>
        <v/>
      </c>
      <c r="T169" s="7">
        <f>'1 datos preparados'!S162</f>
        <v/>
      </c>
      <c r="U169" s="7">
        <f>'1 datos preparados'!T162</f>
        <v/>
      </c>
      <c r="V169" s="8">
        <f>$AE$12+D169*$AE$13+E169*$AE$14+F169*$AE$15+G169*$AE$16+H169*$AE$17+I169*$AE$18+J169*$AE$19+K169*$AE$20+L169*$AE$21+M169*$AE$22+N169*$AE$23+O169*$AE$24+P169*$AE$25+Q169*$AE$26+R169*$AE$27+S169*$AE$28+T169*$AE$29+U169*$AE$30</f>
        <v/>
      </c>
      <c r="W169" s="8">
        <f>1/(1+EXP(-V169))</f>
        <v/>
      </c>
      <c r="X169" s="9">
        <f>-IF(C169=1,LN(W169),LN(1-W169))</f>
        <v/>
      </c>
      <c r="Y169" s="8">
        <f>1</f>
        <v/>
      </c>
      <c r="Z169" s="9">
        <f>Y169*X169</f>
        <v/>
      </c>
      <c r="AA169" s="10">
        <f>IF(W169&gt;$AE$32,1,0)</f>
        <v/>
      </c>
      <c r="AB169">
        <f>IF(AA169=C169,1,0)</f>
        <v/>
      </c>
    </row>
    <row r="170">
      <c r="A170">
        <f>'1 datos preparados'!A163</f>
        <v/>
      </c>
      <c r="B170" s="5">
        <f>'1 datos preparados'!U163</f>
        <v/>
      </c>
      <c r="C170">
        <f>'1 datos preparados'!B163</f>
        <v/>
      </c>
      <c r="D170" s="7">
        <f>'1 datos preparados'!C163</f>
        <v/>
      </c>
      <c r="E170" s="7">
        <f>'1 datos preparados'!D163</f>
        <v/>
      </c>
      <c r="F170" s="7">
        <f>'1 datos preparados'!E163</f>
        <v/>
      </c>
      <c r="G170" s="7">
        <f>'1 datos preparados'!F163</f>
        <v/>
      </c>
      <c r="H170" s="7">
        <f>'1 datos preparados'!G163</f>
        <v/>
      </c>
      <c r="I170" s="7">
        <f>'1 datos preparados'!H163</f>
        <v/>
      </c>
      <c r="J170" s="7">
        <f>'1 datos preparados'!I163</f>
        <v/>
      </c>
      <c r="K170" s="7">
        <f>'1 datos preparados'!J163</f>
        <v/>
      </c>
      <c r="L170" s="7">
        <f>'1 datos preparados'!K163</f>
        <v/>
      </c>
      <c r="M170" s="7">
        <f>'1 datos preparados'!L163</f>
        <v/>
      </c>
      <c r="N170" s="7">
        <f>'1 datos preparados'!M163</f>
        <v/>
      </c>
      <c r="O170" s="7">
        <f>'1 datos preparados'!N163</f>
        <v/>
      </c>
      <c r="P170" s="7">
        <f>'1 datos preparados'!O163</f>
        <v/>
      </c>
      <c r="Q170" s="7">
        <f>'1 datos preparados'!P163</f>
        <v/>
      </c>
      <c r="R170" s="7">
        <f>'1 datos preparados'!Q163</f>
        <v/>
      </c>
      <c r="S170" s="7">
        <f>'1 datos preparados'!R163</f>
        <v/>
      </c>
      <c r="T170" s="7">
        <f>'1 datos preparados'!S163</f>
        <v/>
      </c>
      <c r="U170" s="7">
        <f>'1 datos preparados'!T163</f>
        <v/>
      </c>
      <c r="V170" s="8">
        <f>$AE$12+D170*$AE$13+E170*$AE$14+F170*$AE$15+G170*$AE$16+H170*$AE$17+I170*$AE$18+J170*$AE$19+K170*$AE$20+L170*$AE$21+M170*$AE$22+N170*$AE$23+O170*$AE$24+P170*$AE$25+Q170*$AE$26+R170*$AE$27+S170*$AE$28+T170*$AE$29+U170*$AE$30</f>
        <v/>
      </c>
      <c r="W170" s="8">
        <f>1/(1+EXP(-V170))</f>
        <v/>
      </c>
      <c r="X170" s="9">
        <f>-IF(C170=1,LN(W170),LN(1-W170))</f>
        <v/>
      </c>
      <c r="Y170" s="8">
        <f>1</f>
        <v/>
      </c>
      <c r="Z170" s="9">
        <f>Y170*X170</f>
        <v/>
      </c>
      <c r="AA170" s="10">
        <f>IF(W170&gt;$AE$32,1,0)</f>
        <v/>
      </c>
      <c r="AB170">
        <f>IF(AA170=C170,1,0)</f>
        <v/>
      </c>
    </row>
    <row r="171">
      <c r="A171">
        <f>'1 datos preparados'!A164</f>
        <v/>
      </c>
      <c r="B171" s="5">
        <f>'1 datos preparados'!U164</f>
        <v/>
      </c>
      <c r="C171">
        <f>'1 datos preparados'!B164</f>
        <v/>
      </c>
      <c r="D171" s="7">
        <f>'1 datos preparados'!C164</f>
        <v/>
      </c>
      <c r="E171" s="7">
        <f>'1 datos preparados'!D164</f>
        <v/>
      </c>
      <c r="F171" s="7">
        <f>'1 datos preparados'!E164</f>
        <v/>
      </c>
      <c r="G171" s="7">
        <f>'1 datos preparados'!F164</f>
        <v/>
      </c>
      <c r="H171" s="7">
        <f>'1 datos preparados'!G164</f>
        <v/>
      </c>
      <c r="I171" s="7">
        <f>'1 datos preparados'!H164</f>
        <v/>
      </c>
      <c r="J171" s="7">
        <f>'1 datos preparados'!I164</f>
        <v/>
      </c>
      <c r="K171" s="7">
        <f>'1 datos preparados'!J164</f>
        <v/>
      </c>
      <c r="L171" s="7">
        <f>'1 datos preparados'!K164</f>
        <v/>
      </c>
      <c r="M171" s="7">
        <f>'1 datos preparados'!L164</f>
        <v/>
      </c>
      <c r="N171" s="7">
        <f>'1 datos preparados'!M164</f>
        <v/>
      </c>
      <c r="O171" s="7">
        <f>'1 datos preparados'!N164</f>
        <v/>
      </c>
      <c r="P171" s="7">
        <f>'1 datos preparados'!O164</f>
        <v/>
      </c>
      <c r="Q171" s="7">
        <f>'1 datos preparados'!P164</f>
        <v/>
      </c>
      <c r="R171" s="7">
        <f>'1 datos preparados'!Q164</f>
        <v/>
      </c>
      <c r="S171" s="7">
        <f>'1 datos preparados'!R164</f>
        <v/>
      </c>
      <c r="T171" s="7">
        <f>'1 datos preparados'!S164</f>
        <v/>
      </c>
      <c r="U171" s="7">
        <f>'1 datos preparados'!T164</f>
        <v/>
      </c>
      <c r="V171" s="8">
        <f>$AE$12+D171*$AE$13+E171*$AE$14+F171*$AE$15+G171*$AE$16+H171*$AE$17+I171*$AE$18+J171*$AE$19+K171*$AE$20+L171*$AE$21+M171*$AE$22+N171*$AE$23+O171*$AE$24+P171*$AE$25+Q171*$AE$26+R171*$AE$27+S171*$AE$28+T171*$AE$29+U171*$AE$30</f>
        <v/>
      </c>
      <c r="W171" s="8">
        <f>1/(1+EXP(-V171))</f>
        <v/>
      </c>
      <c r="X171" s="9">
        <f>-IF(C171=1,LN(W171),LN(1-W171))</f>
        <v/>
      </c>
      <c r="Y171" s="8">
        <f>1</f>
        <v/>
      </c>
      <c r="Z171" s="9">
        <f>Y171*X171</f>
        <v/>
      </c>
      <c r="AA171" s="10">
        <f>IF(W171&gt;$AE$32,1,0)</f>
        <v/>
      </c>
      <c r="AB171">
        <f>IF(AA171=C171,1,0)</f>
        <v/>
      </c>
    </row>
    <row r="172">
      <c r="A172">
        <f>'1 datos preparados'!A165</f>
        <v/>
      </c>
      <c r="B172" s="5">
        <f>'1 datos preparados'!U165</f>
        <v/>
      </c>
      <c r="C172">
        <f>'1 datos preparados'!B165</f>
        <v/>
      </c>
      <c r="D172" s="7">
        <f>'1 datos preparados'!C165</f>
        <v/>
      </c>
      <c r="E172" s="7">
        <f>'1 datos preparados'!D165</f>
        <v/>
      </c>
      <c r="F172" s="7">
        <f>'1 datos preparados'!E165</f>
        <v/>
      </c>
      <c r="G172" s="7">
        <f>'1 datos preparados'!F165</f>
        <v/>
      </c>
      <c r="H172" s="7">
        <f>'1 datos preparados'!G165</f>
        <v/>
      </c>
      <c r="I172" s="7">
        <f>'1 datos preparados'!H165</f>
        <v/>
      </c>
      <c r="J172" s="7">
        <f>'1 datos preparados'!I165</f>
        <v/>
      </c>
      <c r="K172" s="7">
        <f>'1 datos preparados'!J165</f>
        <v/>
      </c>
      <c r="L172" s="7">
        <f>'1 datos preparados'!K165</f>
        <v/>
      </c>
      <c r="M172" s="7">
        <f>'1 datos preparados'!L165</f>
        <v/>
      </c>
      <c r="N172" s="7">
        <f>'1 datos preparados'!M165</f>
        <v/>
      </c>
      <c r="O172" s="7">
        <f>'1 datos preparados'!N165</f>
        <v/>
      </c>
      <c r="P172" s="7">
        <f>'1 datos preparados'!O165</f>
        <v/>
      </c>
      <c r="Q172" s="7">
        <f>'1 datos preparados'!P165</f>
        <v/>
      </c>
      <c r="R172" s="7">
        <f>'1 datos preparados'!Q165</f>
        <v/>
      </c>
      <c r="S172" s="7">
        <f>'1 datos preparados'!R165</f>
        <v/>
      </c>
      <c r="T172" s="7">
        <f>'1 datos preparados'!S165</f>
        <v/>
      </c>
      <c r="U172" s="7">
        <f>'1 datos preparados'!T165</f>
        <v/>
      </c>
      <c r="V172" s="8">
        <f>$AE$12+D172*$AE$13+E172*$AE$14+F172*$AE$15+G172*$AE$16+H172*$AE$17+I172*$AE$18+J172*$AE$19+K172*$AE$20+L172*$AE$21+M172*$AE$22+N172*$AE$23+O172*$AE$24+P172*$AE$25+Q172*$AE$26+R172*$AE$27+S172*$AE$28+T172*$AE$29+U172*$AE$30</f>
        <v/>
      </c>
      <c r="W172" s="8">
        <f>1/(1+EXP(-V172))</f>
        <v/>
      </c>
      <c r="X172" s="9">
        <f>-IF(C172=1,LN(W172),LN(1-W172))</f>
        <v/>
      </c>
      <c r="Y172" s="8">
        <f>1</f>
        <v/>
      </c>
      <c r="Z172" s="9">
        <f>Y172*X172</f>
        <v/>
      </c>
      <c r="AA172" s="10">
        <f>IF(W172&gt;$AE$32,1,0)</f>
        <v/>
      </c>
      <c r="AB172">
        <f>IF(AA172=C172,1,0)</f>
        <v/>
      </c>
    </row>
    <row r="173">
      <c r="A173">
        <f>'1 datos preparados'!A166</f>
        <v/>
      </c>
      <c r="B173" s="5">
        <f>'1 datos preparados'!U166</f>
        <v/>
      </c>
      <c r="C173">
        <f>'1 datos preparados'!B166</f>
        <v/>
      </c>
      <c r="D173" s="7">
        <f>'1 datos preparados'!C166</f>
        <v/>
      </c>
      <c r="E173" s="7">
        <f>'1 datos preparados'!D166</f>
        <v/>
      </c>
      <c r="F173" s="7">
        <f>'1 datos preparados'!E166</f>
        <v/>
      </c>
      <c r="G173" s="7">
        <f>'1 datos preparados'!F166</f>
        <v/>
      </c>
      <c r="H173" s="7">
        <f>'1 datos preparados'!G166</f>
        <v/>
      </c>
      <c r="I173" s="7">
        <f>'1 datos preparados'!H166</f>
        <v/>
      </c>
      <c r="J173" s="7">
        <f>'1 datos preparados'!I166</f>
        <v/>
      </c>
      <c r="K173" s="7">
        <f>'1 datos preparados'!J166</f>
        <v/>
      </c>
      <c r="L173" s="7">
        <f>'1 datos preparados'!K166</f>
        <v/>
      </c>
      <c r="M173" s="7">
        <f>'1 datos preparados'!L166</f>
        <v/>
      </c>
      <c r="N173" s="7">
        <f>'1 datos preparados'!M166</f>
        <v/>
      </c>
      <c r="O173" s="7">
        <f>'1 datos preparados'!N166</f>
        <v/>
      </c>
      <c r="P173" s="7">
        <f>'1 datos preparados'!O166</f>
        <v/>
      </c>
      <c r="Q173" s="7">
        <f>'1 datos preparados'!P166</f>
        <v/>
      </c>
      <c r="R173" s="7">
        <f>'1 datos preparados'!Q166</f>
        <v/>
      </c>
      <c r="S173" s="7">
        <f>'1 datos preparados'!R166</f>
        <v/>
      </c>
      <c r="T173" s="7">
        <f>'1 datos preparados'!S166</f>
        <v/>
      </c>
      <c r="U173" s="7">
        <f>'1 datos preparados'!T166</f>
        <v/>
      </c>
      <c r="V173" s="8">
        <f>$AE$12+D173*$AE$13+E173*$AE$14+F173*$AE$15+G173*$AE$16+H173*$AE$17+I173*$AE$18+J173*$AE$19+K173*$AE$20+L173*$AE$21+M173*$AE$22+N173*$AE$23+O173*$AE$24+P173*$AE$25+Q173*$AE$26+R173*$AE$27+S173*$AE$28+T173*$AE$29+U173*$AE$30</f>
        <v/>
      </c>
      <c r="W173" s="8">
        <f>1/(1+EXP(-V173))</f>
        <v/>
      </c>
      <c r="X173" s="9">
        <f>-IF(C173=1,LN(W173),LN(1-W173))</f>
        <v/>
      </c>
      <c r="Y173" s="8">
        <f>1</f>
        <v/>
      </c>
      <c r="Z173" s="9">
        <f>Y173*X173</f>
        <v/>
      </c>
      <c r="AA173" s="10">
        <f>IF(W173&gt;$AE$32,1,0)</f>
        <v/>
      </c>
      <c r="AB173">
        <f>IF(AA173=C173,1,0)</f>
        <v/>
      </c>
    </row>
    <row r="174">
      <c r="A174">
        <f>'1 datos preparados'!A167</f>
        <v/>
      </c>
      <c r="B174" s="5">
        <f>'1 datos preparados'!U167</f>
        <v/>
      </c>
      <c r="C174">
        <f>'1 datos preparados'!B167</f>
        <v/>
      </c>
      <c r="D174" s="7">
        <f>'1 datos preparados'!C167</f>
        <v/>
      </c>
      <c r="E174" s="7">
        <f>'1 datos preparados'!D167</f>
        <v/>
      </c>
      <c r="F174" s="7">
        <f>'1 datos preparados'!E167</f>
        <v/>
      </c>
      <c r="G174" s="7">
        <f>'1 datos preparados'!F167</f>
        <v/>
      </c>
      <c r="H174" s="7">
        <f>'1 datos preparados'!G167</f>
        <v/>
      </c>
      <c r="I174" s="7">
        <f>'1 datos preparados'!H167</f>
        <v/>
      </c>
      <c r="J174" s="7">
        <f>'1 datos preparados'!I167</f>
        <v/>
      </c>
      <c r="K174" s="7">
        <f>'1 datos preparados'!J167</f>
        <v/>
      </c>
      <c r="L174" s="7">
        <f>'1 datos preparados'!K167</f>
        <v/>
      </c>
      <c r="M174" s="7">
        <f>'1 datos preparados'!L167</f>
        <v/>
      </c>
      <c r="N174" s="7">
        <f>'1 datos preparados'!M167</f>
        <v/>
      </c>
      <c r="O174" s="7">
        <f>'1 datos preparados'!N167</f>
        <v/>
      </c>
      <c r="P174" s="7">
        <f>'1 datos preparados'!O167</f>
        <v/>
      </c>
      <c r="Q174" s="7">
        <f>'1 datos preparados'!P167</f>
        <v/>
      </c>
      <c r="R174" s="7">
        <f>'1 datos preparados'!Q167</f>
        <v/>
      </c>
      <c r="S174" s="7">
        <f>'1 datos preparados'!R167</f>
        <v/>
      </c>
      <c r="T174" s="7">
        <f>'1 datos preparados'!S167</f>
        <v/>
      </c>
      <c r="U174" s="7">
        <f>'1 datos preparados'!T167</f>
        <v/>
      </c>
      <c r="V174" s="8">
        <f>$AE$12+D174*$AE$13+E174*$AE$14+F174*$AE$15+G174*$AE$16+H174*$AE$17+I174*$AE$18+J174*$AE$19+K174*$AE$20+L174*$AE$21+M174*$AE$22+N174*$AE$23+O174*$AE$24+P174*$AE$25+Q174*$AE$26+R174*$AE$27+S174*$AE$28+T174*$AE$29+U174*$AE$30</f>
        <v/>
      </c>
      <c r="W174" s="8">
        <f>1/(1+EXP(-V174))</f>
        <v/>
      </c>
      <c r="X174" s="9">
        <f>-IF(C174=1,LN(W174),LN(1-W174))</f>
        <v/>
      </c>
      <c r="Y174" s="8">
        <f>1</f>
        <v/>
      </c>
      <c r="Z174" s="9">
        <f>Y174*X174</f>
        <v/>
      </c>
      <c r="AA174" s="10">
        <f>IF(W174&gt;$AE$32,1,0)</f>
        <v/>
      </c>
      <c r="AB174">
        <f>IF(AA174=C174,1,0)</f>
        <v/>
      </c>
    </row>
    <row r="175">
      <c r="A175">
        <f>'1 datos preparados'!A168</f>
        <v/>
      </c>
      <c r="B175" s="5">
        <f>'1 datos preparados'!U168</f>
        <v/>
      </c>
      <c r="C175">
        <f>'1 datos preparados'!B168</f>
        <v/>
      </c>
      <c r="D175" s="7">
        <f>'1 datos preparados'!C168</f>
        <v/>
      </c>
      <c r="E175" s="7">
        <f>'1 datos preparados'!D168</f>
        <v/>
      </c>
      <c r="F175" s="7">
        <f>'1 datos preparados'!E168</f>
        <v/>
      </c>
      <c r="G175" s="7">
        <f>'1 datos preparados'!F168</f>
        <v/>
      </c>
      <c r="H175" s="7">
        <f>'1 datos preparados'!G168</f>
        <v/>
      </c>
      <c r="I175" s="7">
        <f>'1 datos preparados'!H168</f>
        <v/>
      </c>
      <c r="J175" s="7">
        <f>'1 datos preparados'!I168</f>
        <v/>
      </c>
      <c r="K175" s="7">
        <f>'1 datos preparados'!J168</f>
        <v/>
      </c>
      <c r="L175" s="7">
        <f>'1 datos preparados'!K168</f>
        <v/>
      </c>
      <c r="M175" s="7">
        <f>'1 datos preparados'!L168</f>
        <v/>
      </c>
      <c r="N175" s="7">
        <f>'1 datos preparados'!M168</f>
        <v/>
      </c>
      <c r="O175" s="7">
        <f>'1 datos preparados'!N168</f>
        <v/>
      </c>
      <c r="P175" s="7">
        <f>'1 datos preparados'!O168</f>
        <v/>
      </c>
      <c r="Q175" s="7">
        <f>'1 datos preparados'!P168</f>
        <v/>
      </c>
      <c r="R175" s="7">
        <f>'1 datos preparados'!Q168</f>
        <v/>
      </c>
      <c r="S175" s="7">
        <f>'1 datos preparados'!R168</f>
        <v/>
      </c>
      <c r="T175" s="7">
        <f>'1 datos preparados'!S168</f>
        <v/>
      </c>
      <c r="U175" s="7">
        <f>'1 datos preparados'!T168</f>
        <v/>
      </c>
      <c r="V175" s="8">
        <f>$AE$12+D175*$AE$13+E175*$AE$14+F175*$AE$15+G175*$AE$16+H175*$AE$17+I175*$AE$18+J175*$AE$19+K175*$AE$20+L175*$AE$21+M175*$AE$22+N175*$AE$23+O175*$AE$24+P175*$AE$25+Q175*$AE$26+R175*$AE$27+S175*$AE$28+T175*$AE$29+U175*$AE$30</f>
        <v/>
      </c>
      <c r="W175" s="8">
        <f>1/(1+EXP(-V175))</f>
        <v/>
      </c>
      <c r="X175" s="9">
        <f>-IF(C175=1,LN(W175),LN(1-W175))</f>
        <v/>
      </c>
      <c r="Y175" s="8">
        <f>1</f>
        <v/>
      </c>
      <c r="Z175" s="9">
        <f>Y175*X175</f>
        <v/>
      </c>
      <c r="AA175" s="10">
        <f>IF(W175&gt;$AE$32,1,0)</f>
        <v/>
      </c>
      <c r="AB175">
        <f>IF(AA175=C175,1,0)</f>
        <v/>
      </c>
    </row>
    <row r="176">
      <c r="A176">
        <f>'1 datos preparados'!A169</f>
        <v/>
      </c>
      <c r="B176" s="5">
        <f>'1 datos preparados'!U169</f>
        <v/>
      </c>
      <c r="C176">
        <f>'1 datos preparados'!B169</f>
        <v/>
      </c>
      <c r="D176" s="7">
        <f>'1 datos preparados'!C169</f>
        <v/>
      </c>
      <c r="E176" s="7">
        <f>'1 datos preparados'!D169</f>
        <v/>
      </c>
      <c r="F176" s="7">
        <f>'1 datos preparados'!E169</f>
        <v/>
      </c>
      <c r="G176" s="7">
        <f>'1 datos preparados'!F169</f>
        <v/>
      </c>
      <c r="H176" s="7">
        <f>'1 datos preparados'!G169</f>
        <v/>
      </c>
      <c r="I176" s="7">
        <f>'1 datos preparados'!H169</f>
        <v/>
      </c>
      <c r="J176" s="7">
        <f>'1 datos preparados'!I169</f>
        <v/>
      </c>
      <c r="K176" s="7">
        <f>'1 datos preparados'!J169</f>
        <v/>
      </c>
      <c r="L176" s="7">
        <f>'1 datos preparados'!K169</f>
        <v/>
      </c>
      <c r="M176" s="7">
        <f>'1 datos preparados'!L169</f>
        <v/>
      </c>
      <c r="N176" s="7">
        <f>'1 datos preparados'!M169</f>
        <v/>
      </c>
      <c r="O176" s="7">
        <f>'1 datos preparados'!N169</f>
        <v/>
      </c>
      <c r="P176" s="7">
        <f>'1 datos preparados'!O169</f>
        <v/>
      </c>
      <c r="Q176" s="7">
        <f>'1 datos preparados'!P169</f>
        <v/>
      </c>
      <c r="R176" s="7">
        <f>'1 datos preparados'!Q169</f>
        <v/>
      </c>
      <c r="S176" s="7">
        <f>'1 datos preparados'!R169</f>
        <v/>
      </c>
      <c r="T176" s="7">
        <f>'1 datos preparados'!S169</f>
        <v/>
      </c>
      <c r="U176" s="7">
        <f>'1 datos preparados'!T169</f>
        <v/>
      </c>
      <c r="V176" s="8">
        <f>$AE$12+D176*$AE$13+E176*$AE$14+F176*$AE$15+G176*$AE$16+H176*$AE$17+I176*$AE$18+J176*$AE$19+K176*$AE$20+L176*$AE$21+M176*$AE$22+N176*$AE$23+O176*$AE$24+P176*$AE$25+Q176*$AE$26+R176*$AE$27+S176*$AE$28+T176*$AE$29+U176*$AE$30</f>
        <v/>
      </c>
      <c r="W176" s="8">
        <f>1/(1+EXP(-V176))</f>
        <v/>
      </c>
      <c r="X176" s="9">
        <f>-IF(C176=1,LN(W176),LN(1-W176))</f>
        <v/>
      </c>
      <c r="Y176" s="8">
        <f>1</f>
        <v/>
      </c>
      <c r="Z176" s="9">
        <f>Y176*X176</f>
        <v/>
      </c>
      <c r="AA176" s="10">
        <f>IF(W176&gt;$AE$32,1,0)</f>
        <v/>
      </c>
      <c r="AB176">
        <f>IF(AA176=C176,1,0)</f>
        <v/>
      </c>
    </row>
    <row r="177">
      <c r="A177">
        <f>'1 datos preparados'!A170</f>
        <v/>
      </c>
      <c r="B177" s="5">
        <f>'1 datos preparados'!U170</f>
        <v/>
      </c>
      <c r="C177">
        <f>'1 datos preparados'!B170</f>
        <v/>
      </c>
      <c r="D177" s="7">
        <f>'1 datos preparados'!C170</f>
        <v/>
      </c>
      <c r="E177" s="7">
        <f>'1 datos preparados'!D170</f>
        <v/>
      </c>
      <c r="F177" s="7">
        <f>'1 datos preparados'!E170</f>
        <v/>
      </c>
      <c r="G177" s="7">
        <f>'1 datos preparados'!F170</f>
        <v/>
      </c>
      <c r="H177" s="7">
        <f>'1 datos preparados'!G170</f>
        <v/>
      </c>
      <c r="I177" s="7">
        <f>'1 datos preparados'!H170</f>
        <v/>
      </c>
      <c r="J177" s="7">
        <f>'1 datos preparados'!I170</f>
        <v/>
      </c>
      <c r="K177" s="7">
        <f>'1 datos preparados'!J170</f>
        <v/>
      </c>
      <c r="L177" s="7">
        <f>'1 datos preparados'!K170</f>
        <v/>
      </c>
      <c r="M177" s="7">
        <f>'1 datos preparados'!L170</f>
        <v/>
      </c>
      <c r="N177" s="7">
        <f>'1 datos preparados'!M170</f>
        <v/>
      </c>
      <c r="O177" s="7">
        <f>'1 datos preparados'!N170</f>
        <v/>
      </c>
      <c r="P177" s="7">
        <f>'1 datos preparados'!O170</f>
        <v/>
      </c>
      <c r="Q177" s="7">
        <f>'1 datos preparados'!P170</f>
        <v/>
      </c>
      <c r="R177" s="7">
        <f>'1 datos preparados'!Q170</f>
        <v/>
      </c>
      <c r="S177" s="7">
        <f>'1 datos preparados'!R170</f>
        <v/>
      </c>
      <c r="T177" s="7">
        <f>'1 datos preparados'!S170</f>
        <v/>
      </c>
      <c r="U177" s="7">
        <f>'1 datos preparados'!T170</f>
        <v/>
      </c>
      <c r="V177" s="8">
        <f>$AE$12+D177*$AE$13+E177*$AE$14+F177*$AE$15+G177*$AE$16+H177*$AE$17+I177*$AE$18+J177*$AE$19+K177*$AE$20+L177*$AE$21+M177*$AE$22+N177*$AE$23+O177*$AE$24+P177*$AE$25+Q177*$AE$26+R177*$AE$27+S177*$AE$28+T177*$AE$29+U177*$AE$30</f>
        <v/>
      </c>
      <c r="W177" s="8">
        <f>1/(1+EXP(-V177))</f>
        <v/>
      </c>
      <c r="X177" s="9">
        <f>-IF(C177=1,LN(W177),LN(1-W177))</f>
        <v/>
      </c>
      <c r="Y177" s="8">
        <f>1</f>
        <v/>
      </c>
      <c r="Z177" s="9">
        <f>Y177*X177</f>
        <v/>
      </c>
      <c r="AA177" s="10">
        <f>IF(W177&gt;$AE$32,1,0)</f>
        <v/>
      </c>
      <c r="AB177">
        <f>IF(AA177=C177,1,0)</f>
        <v/>
      </c>
    </row>
    <row r="178">
      <c r="A178">
        <f>'1 datos preparados'!A171</f>
        <v/>
      </c>
      <c r="B178" s="5">
        <f>'1 datos preparados'!U171</f>
        <v/>
      </c>
      <c r="C178">
        <f>'1 datos preparados'!B171</f>
        <v/>
      </c>
      <c r="D178" s="7">
        <f>'1 datos preparados'!C171</f>
        <v/>
      </c>
      <c r="E178" s="7">
        <f>'1 datos preparados'!D171</f>
        <v/>
      </c>
      <c r="F178" s="7">
        <f>'1 datos preparados'!E171</f>
        <v/>
      </c>
      <c r="G178" s="7">
        <f>'1 datos preparados'!F171</f>
        <v/>
      </c>
      <c r="H178" s="7">
        <f>'1 datos preparados'!G171</f>
        <v/>
      </c>
      <c r="I178" s="7">
        <f>'1 datos preparados'!H171</f>
        <v/>
      </c>
      <c r="J178" s="7">
        <f>'1 datos preparados'!I171</f>
        <v/>
      </c>
      <c r="K178" s="7">
        <f>'1 datos preparados'!J171</f>
        <v/>
      </c>
      <c r="L178" s="7">
        <f>'1 datos preparados'!K171</f>
        <v/>
      </c>
      <c r="M178" s="7">
        <f>'1 datos preparados'!L171</f>
        <v/>
      </c>
      <c r="N178" s="7">
        <f>'1 datos preparados'!M171</f>
        <v/>
      </c>
      <c r="O178" s="7">
        <f>'1 datos preparados'!N171</f>
        <v/>
      </c>
      <c r="P178" s="7">
        <f>'1 datos preparados'!O171</f>
        <v/>
      </c>
      <c r="Q178" s="7">
        <f>'1 datos preparados'!P171</f>
        <v/>
      </c>
      <c r="R178" s="7">
        <f>'1 datos preparados'!Q171</f>
        <v/>
      </c>
      <c r="S178" s="7">
        <f>'1 datos preparados'!R171</f>
        <v/>
      </c>
      <c r="T178" s="7">
        <f>'1 datos preparados'!S171</f>
        <v/>
      </c>
      <c r="U178" s="7">
        <f>'1 datos preparados'!T171</f>
        <v/>
      </c>
      <c r="V178" s="8">
        <f>$AE$12+D178*$AE$13+E178*$AE$14+F178*$AE$15+G178*$AE$16+H178*$AE$17+I178*$AE$18+J178*$AE$19+K178*$AE$20+L178*$AE$21+M178*$AE$22+N178*$AE$23+O178*$AE$24+P178*$AE$25+Q178*$AE$26+R178*$AE$27+S178*$AE$28+T178*$AE$29+U178*$AE$30</f>
        <v/>
      </c>
      <c r="W178" s="8">
        <f>1/(1+EXP(-V178))</f>
        <v/>
      </c>
      <c r="X178" s="9">
        <f>-IF(C178=1,LN(W178),LN(1-W178))</f>
        <v/>
      </c>
      <c r="Y178" s="8">
        <f>1</f>
        <v/>
      </c>
      <c r="Z178" s="9">
        <f>Y178*X178</f>
        <v/>
      </c>
      <c r="AA178" s="10">
        <f>IF(W178&gt;$AE$32,1,0)</f>
        <v/>
      </c>
      <c r="AB178">
        <f>IF(AA178=C178,1,0)</f>
        <v/>
      </c>
    </row>
    <row r="179">
      <c r="A179">
        <f>'1 datos preparados'!A172</f>
        <v/>
      </c>
      <c r="B179" s="5">
        <f>'1 datos preparados'!U172</f>
        <v/>
      </c>
      <c r="C179">
        <f>'1 datos preparados'!B172</f>
        <v/>
      </c>
      <c r="D179" s="7">
        <f>'1 datos preparados'!C172</f>
        <v/>
      </c>
      <c r="E179" s="7">
        <f>'1 datos preparados'!D172</f>
        <v/>
      </c>
      <c r="F179" s="7">
        <f>'1 datos preparados'!E172</f>
        <v/>
      </c>
      <c r="G179" s="7">
        <f>'1 datos preparados'!F172</f>
        <v/>
      </c>
      <c r="H179" s="7">
        <f>'1 datos preparados'!G172</f>
        <v/>
      </c>
      <c r="I179" s="7">
        <f>'1 datos preparados'!H172</f>
        <v/>
      </c>
      <c r="J179" s="7">
        <f>'1 datos preparados'!I172</f>
        <v/>
      </c>
      <c r="K179" s="7">
        <f>'1 datos preparados'!J172</f>
        <v/>
      </c>
      <c r="L179" s="7">
        <f>'1 datos preparados'!K172</f>
        <v/>
      </c>
      <c r="M179" s="7">
        <f>'1 datos preparados'!L172</f>
        <v/>
      </c>
      <c r="N179" s="7">
        <f>'1 datos preparados'!M172</f>
        <v/>
      </c>
      <c r="O179" s="7">
        <f>'1 datos preparados'!N172</f>
        <v/>
      </c>
      <c r="P179" s="7">
        <f>'1 datos preparados'!O172</f>
        <v/>
      </c>
      <c r="Q179" s="7">
        <f>'1 datos preparados'!P172</f>
        <v/>
      </c>
      <c r="R179" s="7">
        <f>'1 datos preparados'!Q172</f>
        <v/>
      </c>
      <c r="S179" s="7">
        <f>'1 datos preparados'!R172</f>
        <v/>
      </c>
      <c r="T179" s="7">
        <f>'1 datos preparados'!S172</f>
        <v/>
      </c>
      <c r="U179" s="7">
        <f>'1 datos preparados'!T172</f>
        <v/>
      </c>
      <c r="V179" s="8">
        <f>$AE$12+D179*$AE$13+E179*$AE$14+F179*$AE$15+G179*$AE$16+H179*$AE$17+I179*$AE$18+J179*$AE$19+K179*$AE$20+L179*$AE$21+M179*$AE$22+N179*$AE$23+O179*$AE$24+P179*$AE$25+Q179*$AE$26+R179*$AE$27+S179*$AE$28+T179*$AE$29+U179*$AE$30</f>
        <v/>
      </c>
      <c r="W179" s="8">
        <f>1/(1+EXP(-V179))</f>
        <v/>
      </c>
      <c r="X179" s="9">
        <f>-IF(C179=1,LN(W179),LN(1-W179))</f>
        <v/>
      </c>
      <c r="Y179" s="8">
        <f>1</f>
        <v/>
      </c>
      <c r="Z179" s="9">
        <f>Y179*X179</f>
        <v/>
      </c>
      <c r="AA179" s="10">
        <f>IF(W179&gt;$AE$32,1,0)</f>
        <v/>
      </c>
      <c r="AB179">
        <f>IF(AA179=C179,1,0)</f>
        <v/>
      </c>
    </row>
    <row r="180">
      <c r="A180">
        <f>'1 datos preparados'!A173</f>
        <v/>
      </c>
      <c r="B180" s="5">
        <f>'1 datos preparados'!U173</f>
        <v/>
      </c>
      <c r="C180">
        <f>'1 datos preparados'!B173</f>
        <v/>
      </c>
      <c r="D180" s="7">
        <f>'1 datos preparados'!C173</f>
        <v/>
      </c>
      <c r="E180" s="7">
        <f>'1 datos preparados'!D173</f>
        <v/>
      </c>
      <c r="F180" s="7">
        <f>'1 datos preparados'!E173</f>
        <v/>
      </c>
      <c r="G180" s="7">
        <f>'1 datos preparados'!F173</f>
        <v/>
      </c>
      <c r="H180" s="7">
        <f>'1 datos preparados'!G173</f>
        <v/>
      </c>
      <c r="I180" s="7">
        <f>'1 datos preparados'!H173</f>
        <v/>
      </c>
      <c r="J180" s="7">
        <f>'1 datos preparados'!I173</f>
        <v/>
      </c>
      <c r="K180" s="7">
        <f>'1 datos preparados'!J173</f>
        <v/>
      </c>
      <c r="L180" s="7">
        <f>'1 datos preparados'!K173</f>
        <v/>
      </c>
      <c r="M180" s="7">
        <f>'1 datos preparados'!L173</f>
        <v/>
      </c>
      <c r="N180" s="7">
        <f>'1 datos preparados'!M173</f>
        <v/>
      </c>
      <c r="O180" s="7">
        <f>'1 datos preparados'!N173</f>
        <v/>
      </c>
      <c r="P180" s="7">
        <f>'1 datos preparados'!O173</f>
        <v/>
      </c>
      <c r="Q180" s="7">
        <f>'1 datos preparados'!P173</f>
        <v/>
      </c>
      <c r="R180" s="7">
        <f>'1 datos preparados'!Q173</f>
        <v/>
      </c>
      <c r="S180" s="7">
        <f>'1 datos preparados'!R173</f>
        <v/>
      </c>
      <c r="T180" s="7">
        <f>'1 datos preparados'!S173</f>
        <v/>
      </c>
      <c r="U180" s="7">
        <f>'1 datos preparados'!T173</f>
        <v/>
      </c>
      <c r="V180" s="8">
        <f>$AE$12+D180*$AE$13+E180*$AE$14+F180*$AE$15+G180*$AE$16+H180*$AE$17+I180*$AE$18+J180*$AE$19+K180*$AE$20+L180*$AE$21+M180*$AE$22+N180*$AE$23+O180*$AE$24+P180*$AE$25+Q180*$AE$26+R180*$AE$27+S180*$AE$28+T180*$AE$29+U180*$AE$30</f>
        <v/>
      </c>
      <c r="W180" s="8">
        <f>1/(1+EXP(-V180))</f>
        <v/>
      </c>
      <c r="X180" s="9">
        <f>-IF(C180=1,LN(W180),LN(1-W180))</f>
        <v/>
      </c>
      <c r="Y180" s="8">
        <f>1</f>
        <v/>
      </c>
      <c r="Z180" s="9">
        <f>Y180*X180</f>
        <v/>
      </c>
      <c r="AA180" s="10">
        <f>IF(W180&gt;$AE$32,1,0)</f>
        <v/>
      </c>
      <c r="AB180">
        <f>IF(AA180=C180,1,0)</f>
        <v/>
      </c>
    </row>
    <row r="181">
      <c r="A181">
        <f>'1 datos preparados'!A174</f>
        <v/>
      </c>
      <c r="B181" s="5">
        <f>'1 datos preparados'!U174</f>
        <v/>
      </c>
      <c r="C181">
        <f>'1 datos preparados'!B174</f>
        <v/>
      </c>
      <c r="D181" s="7">
        <f>'1 datos preparados'!C174</f>
        <v/>
      </c>
      <c r="E181" s="7">
        <f>'1 datos preparados'!D174</f>
        <v/>
      </c>
      <c r="F181" s="7">
        <f>'1 datos preparados'!E174</f>
        <v/>
      </c>
      <c r="G181" s="7">
        <f>'1 datos preparados'!F174</f>
        <v/>
      </c>
      <c r="H181" s="7">
        <f>'1 datos preparados'!G174</f>
        <v/>
      </c>
      <c r="I181" s="7">
        <f>'1 datos preparados'!H174</f>
        <v/>
      </c>
      <c r="J181" s="7">
        <f>'1 datos preparados'!I174</f>
        <v/>
      </c>
      <c r="K181" s="7">
        <f>'1 datos preparados'!J174</f>
        <v/>
      </c>
      <c r="L181" s="7">
        <f>'1 datos preparados'!K174</f>
        <v/>
      </c>
      <c r="M181" s="7">
        <f>'1 datos preparados'!L174</f>
        <v/>
      </c>
      <c r="N181" s="7">
        <f>'1 datos preparados'!M174</f>
        <v/>
      </c>
      <c r="O181" s="7">
        <f>'1 datos preparados'!N174</f>
        <v/>
      </c>
      <c r="P181" s="7">
        <f>'1 datos preparados'!O174</f>
        <v/>
      </c>
      <c r="Q181" s="7">
        <f>'1 datos preparados'!P174</f>
        <v/>
      </c>
      <c r="R181" s="7">
        <f>'1 datos preparados'!Q174</f>
        <v/>
      </c>
      <c r="S181" s="7">
        <f>'1 datos preparados'!R174</f>
        <v/>
      </c>
      <c r="T181" s="7">
        <f>'1 datos preparados'!S174</f>
        <v/>
      </c>
      <c r="U181" s="7">
        <f>'1 datos preparados'!T174</f>
        <v/>
      </c>
      <c r="V181" s="8">
        <f>$AE$12+D181*$AE$13+E181*$AE$14+F181*$AE$15+G181*$AE$16+H181*$AE$17+I181*$AE$18+J181*$AE$19+K181*$AE$20+L181*$AE$21+M181*$AE$22+N181*$AE$23+O181*$AE$24+P181*$AE$25+Q181*$AE$26+R181*$AE$27+S181*$AE$28+T181*$AE$29+U181*$AE$30</f>
        <v/>
      </c>
      <c r="W181" s="8">
        <f>1/(1+EXP(-V181))</f>
        <v/>
      </c>
      <c r="X181" s="9">
        <f>-IF(C181=1,LN(W181),LN(1-W181))</f>
        <v/>
      </c>
      <c r="Y181" s="8">
        <f>1</f>
        <v/>
      </c>
      <c r="Z181" s="9">
        <f>Y181*X181</f>
        <v/>
      </c>
      <c r="AA181" s="10">
        <f>IF(W181&gt;$AE$32,1,0)</f>
        <v/>
      </c>
      <c r="AB181">
        <f>IF(AA181=C181,1,0)</f>
        <v/>
      </c>
    </row>
    <row r="182">
      <c r="A182">
        <f>'1 datos preparados'!A175</f>
        <v/>
      </c>
      <c r="B182" s="5">
        <f>'1 datos preparados'!U175</f>
        <v/>
      </c>
      <c r="C182">
        <f>'1 datos preparados'!B175</f>
        <v/>
      </c>
      <c r="D182" s="7">
        <f>'1 datos preparados'!C175</f>
        <v/>
      </c>
      <c r="E182" s="7">
        <f>'1 datos preparados'!D175</f>
        <v/>
      </c>
      <c r="F182" s="7">
        <f>'1 datos preparados'!E175</f>
        <v/>
      </c>
      <c r="G182" s="7">
        <f>'1 datos preparados'!F175</f>
        <v/>
      </c>
      <c r="H182" s="7">
        <f>'1 datos preparados'!G175</f>
        <v/>
      </c>
      <c r="I182" s="7">
        <f>'1 datos preparados'!H175</f>
        <v/>
      </c>
      <c r="J182" s="7">
        <f>'1 datos preparados'!I175</f>
        <v/>
      </c>
      <c r="K182" s="7">
        <f>'1 datos preparados'!J175</f>
        <v/>
      </c>
      <c r="L182" s="7">
        <f>'1 datos preparados'!K175</f>
        <v/>
      </c>
      <c r="M182" s="7">
        <f>'1 datos preparados'!L175</f>
        <v/>
      </c>
      <c r="N182" s="7">
        <f>'1 datos preparados'!M175</f>
        <v/>
      </c>
      <c r="O182" s="7">
        <f>'1 datos preparados'!N175</f>
        <v/>
      </c>
      <c r="P182" s="7">
        <f>'1 datos preparados'!O175</f>
        <v/>
      </c>
      <c r="Q182" s="7">
        <f>'1 datos preparados'!P175</f>
        <v/>
      </c>
      <c r="R182" s="7">
        <f>'1 datos preparados'!Q175</f>
        <v/>
      </c>
      <c r="S182" s="7">
        <f>'1 datos preparados'!R175</f>
        <v/>
      </c>
      <c r="T182" s="7">
        <f>'1 datos preparados'!S175</f>
        <v/>
      </c>
      <c r="U182" s="7">
        <f>'1 datos preparados'!T175</f>
        <v/>
      </c>
      <c r="V182" s="8">
        <f>$AE$12+D182*$AE$13+E182*$AE$14+F182*$AE$15+G182*$AE$16+H182*$AE$17+I182*$AE$18+J182*$AE$19+K182*$AE$20+L182*$AE$21+M182*$AE$22+N182*$AE$23+O182*$AE$24+P182*$AE$25+Q182*$AE$26+R182*$AE$27+S182*$AE$28+T182*$AE$29+U182*$AE$30</f>
        <v/>
      </c>
      <c r="W182" s="8">
        <f>1/(1+EXP(-V182))</f>
        <v/>
      </c>
      <c r="X182" s="9">
        <f>-IF(C182=1,LN(W182),LN(1-W182))</f>
        <v/>
      </c>
      <c r="Y182" s="8">
        <f>1</f>
        <v/>
      </c>
      <c r="Z182" s="9">
        <f>Y182*X182</f>
        <v/>
      </c>
      <c r="AA182" s="10">
        <f>IF(W182&gt;$AE$32,1,0)</f>
        <v/>
      </c>
      <c r="AB182">
        <f>IF(AA182=C182,1,0)</f>
        <v/>
      </c>
    </row>
    <row r="183">
      <c r="A183">
        <f>'1 datos preparados'!A176</f>
        <v/>
      </c>
      <c r="B183" s="5">
        <f>'1 datos preparados'!U176</f>
        <v/>
      </c>
      <c r="C183">
        <f>'1 datos preparados'!B176</f>
        <v/>
      </c>
      <c r="D183" s="7">
        <f>'1 datos preparados'!C176</f>
        <v/>
      </c>
      <c r="E183" s="7">
        <f>'1 datos preparados'!D176</f>
        <v/>
      </c>
      <c r="F183" s="7">
        <f>'1 datos preparados'!E176</f>
        <v/>
      </c>
      <c r="G183" s="7">
        <f>'1 datos preparados'!F176</f>
        <v/>
      </c>
      <c r="H183" s="7">
        <f>'1 datos preparados'!G176</f>
        <v/>
      </c>
      <c r="I183" s="7">
        <f>'1 datos preparados'!H176</f>
        <v/>
      </c>
      <c r="J183" s="7">
        <f>'1 datos preparados'!I176</f>
        <v/>
      </c>
      <c r="K183" s="7">
        <f>'1 datos preparados'!J176</f>
        <v/>
      </c>
      <c r="L183" s="7">
        <f>'1 datos preparados'!K176</f>
        <v/>
      </c>
      <c r="M183" s="7">
        <f>'1 datos preparados'!L176</f>
        <v/>
      </c>
      <c r="N183" s="7">
        <f>'1 datos preparados'!M176</f>
        <v/>
      </c>
      <c r="O183" s="7">
        <f>'1 datos preparados'!N176</f>
        <v/>
      </c>
      <c r="P183" s="7">
        <f>'1 datos preparados'!O176</f>
        <v/>
      </c>
      <c r="Q183" s="7">
        <f>'1 datos preparados'!P176</f>
        <v/>
      </c>
      <c r="R183" s="7">
        <f>'1 datos preparados'!Q176</f>
        <v/>
      </c>
      <c r="S183" s="7">
        <f>'1 datos preparados'!R176</f>
        <v/>
      </c>
      <c r="T183" s="7">
        <f>'1 datos preparados'!S176</f>
        <v/>
      </c>
      <c r="U183" s="7">
        <f>'1 datos preparados'!T176</f>
        <v/>
      </c>
      <c r="V183" s="8">
        <f>$AE$12+D183*$AE$13+E183*$AE$14+F183*$AE$15+G183*$AE$16+H183*$AE$17+I183*$AE$18+J183*$AE$19+K183*$AE$20+L183*$AE$21+M183*$AE$22+N183*$AE$23+O183*$AE$24+P183*$AE$25+Q183*$AE$26+R183*$AE$27+S183*$AE$28+T183*$AE$29+U183*$AE$30</f>
        <v/>
      </c>
      <c r="W183" s="8">
        <f>1/(1+EXP(-V183))</f>
        <v/>
      </c>
      <c r="X183" s="9">
        <f>-IF(C183=1,LN(W183),LN(1-W183))</f>
        <v/>
      </c>
      <c r="Y183" s="8">
        <f>1</f>
        <v/>
      </c>
      <c r="Z183" s="9">
        <f>Y183*X183</f>
        <v/>
      </c>
      <c r="AA183" s="10">
        <f>IF(W183&gt;$AE$32,1,0)</f>
        <v/>
      </c>
      <c r="AB183">
        <f>IF(AA183=C183,1,0)</f>
        <v/>
      </c>
    </row>
    <row r="184">
      <c r="A184">
        <f>'1 datos preparados'!A177</f>
        <v/>
      </c>
      <c r="B184" s="5">
        <f>'1 datos preparados'!U177</f>
        <v/>
      </c>
      <c r="C184">
        <f>'1 datos preparados'!B177</f>
        <v/>
      </c>
      <c r="D184" s="7">
        <f>'1 datos preparados'!C177</f>
        <v/>
      </c>
      <c r="E184" s="7">
        <f>'1 datos preparados'!D177</f>
        <v/>
      </c>
      <c r="F184" s="7">
        <f>'1 datos preparados'!E177</f>
        <v/>
      </c>
      <c r="G184" s="7">
        <f>'1 datos preparados'!F177</f>
        <v/>
      </c>
      <c r="H184" s="7">
        <f>'1 datos preparados'!G177</f>
        <v/>
      </c>
      <c r="I184" s="7">
        <f>'1 datos preparados'!H177</f>
        <v/>
      </c>
      <c r="J184" s="7">
        <f>'1 datos preparados'!I177</f>
        <v/>
      </c>
      <c r="K184" s="7">
        <f>'1 datos preparados'!J177</f>
        <v/>
      </c>
      <c r="L184" s="7">
        <f>'1 datos preparados'!K177</f>
        <v/>
      </c>
      <c r="M184" s="7">
        <f>'1 datos preparados'!L177</f>
        <v/>
      </c>
      <c r="N184" s="7">
        <f>'1 datos preparados'!M177</f>
        <v/>
      </c>
      <c r="O184" s="7">
        <f>'1 datos preparados'!N177</f>
        <v/>
      </c>
      <c r="P184" s="7">
        <f>'1 datos preparados'!O177</f>
        <v/>
      </c>
      <c r="Q184" s="7">
        <f>'1 datos preparados'!P177</f>
        <v/>
      </c>
      <c r="R184" s="7">
        <f>'1 datos preparados'!Q177</f>
        <v/>
      </c>
      <c r="S184" s="7">
        <f>'1 datos preparados'!R177</f>
        <v/>
      </c>
      <c r="T184" s="7">
        <f>'1 datos preparados'!S177</f>
        <v/>
      </c>
      <c r="U184" s="7">
        <f>'1 datos preparados'!T177</f>
        <v/>
      </c>
      <c r="V184" s="8">
        <f>$AE$12+D184*$AE$13+E184*$AE$14+F184*$AE$15+G184*$AE$16+H184*$AE$17+I184*$AE$18+J184*$AE$19+K184*$AE$20+L184*$AE$21+M184*$AE$22+N184*$AE$23+O184*$AE$24+P184*$AE$25+Q184*$AE$26+R184*$AE$27+S184*$AE$28+T184*$AE$29+U184*$AE$30</f>
        <v/>
      </c>
      <c r="W184" s="8">
        <f>1/(1+EXP(-V184))</f>
        <v/>
      </c>
      <c r="X184" s="9">
        <f>-IF(C184=1,LN(W184),LN(1-W184))</f>
        <v/>
      </c>
      <c r="Y184" s="8">
        <f>1</f>
        <v/>
      </c>
      <c r="Z184" s="9">
        <f>Y184*X184</f>
        <v/>
      </c>
      <c r="AA184" s="10">
        <f>IF(W184&gt;$AE$32,1,0)</f>
        <v/>
      </c>
      <c r="AB184">
        <f>IF(AA184=C184,1,0)</f>
        <v/>
      </c>
    </row>
    <row r="185">
      <c r="A185">
        <f>'1 datos preparados'!A178</f>
        <v/>
      </c>
      <c r="B185" s="5">
        <f>'1 datos preparados'!U178</f>
        <v/>
      </c>
      <c r="C185">
        <f>'1 datos preparados'!B178</f>
        <v/>
      </c>
      <c r="D185" s="7">
        <f>'1 datos preparados'!C178</f>
        <v/>
      </c>
      <c r="E185" s="7">
        <f>'1 datos preparados'!D178</f>
        <v/>
      </c>
      <c r="F185" s="7">
        <f>'1 datos preparados'!E178</f>
        <v/>
      </c>
      <c r="G185" s="7">
        <f>'1 datos preparados'!F178</f>
        <v/>
      </c>
      <c r="H185" s="7">
        <f>'1 datos preparados'!G178</f>
        <v/>
      </c>
      <c r="I185" s="7">
        <f>'1 datos preparados'!H178</f>
        <v/>
      </c>
      <c r="J185" s="7">
        <f>'1 datos preparados'!I178</f>
        <v/>
      </c>
      <c r="K185" s="7">
        <f>'1 datos preparados'!J178</f>
        <v/>
      </c>
      <c r="L185" s="7">
        <f>'1 datos preparados'!K178</f>
        <v/>
      </c>
      <c r="M185" s="7">
        <f>'1 datos preparados'!L178</f>
        <v/>
      </c>
      <c r="N185" s="7">
        <f>'1 datos preparados'!M178</f>
        <v/>
      </c>
      <c r="O185" s="7">
        <f>'1 datos preparados'!N178</f>
        <v/>
      </c>
      <c r="P185" s="7">
        <f>'1 datos preparados'!O178</f>
        <v/>
      </c>
      <c r="Q185" s="7">
        <f>'1 datos preparados'!P178</f>
        <v/>
      </c>
      <c r="R185" s="7">
        <f>'1 datos preparados'!Q178</f>
        <v/>
      </c>
      <c r="S185" s="7">
        <f>'1 datos preparados'!R178</f>
        <v/>
      </c>
      <c r="T185" s="7">
        <f>'1 datos preparados'!S178</f>
        <v/>
      </c>
      <c r="U185" s="7">
        <f>'1 datos preparados'!T178</f>
        <v/>
      </c>
      <c r="V185" s="8">
        <f>$AE$12+D185*$AE$13+E185*$AE$14+F185*$AE$15+G185*$AE$16+H185*$AE$17+I185*$AE$18+J185*$AE$19+K185*$AE$20+L185*$AE$21+M185*$AE$22+N185*$AE$23+O185*$AE$24+P185*$AE$25+Q185*$AE$26+R185*$AE$27+S185*$AE$28+T185*$AE$29+U185*$AE$30</f>
        <v/>
      </c>
      <c r="W185" s="8">
        <f>1/(1+EXP(-V185))</f>
        <v/>
      </c>
      <c r="X185" s="9">
        <f>-IF(C185=1,LN(W185),LN(1-W185))</f>
        <v/>
      </c>
      <c r="Y185" s="8">
        <f>1</f>
        <v/>
      </c>
      <c r="Z185" s="9">
        <f>Y185*X185</f>
        <v/>
      </c>
      <c r="AA185" s="10">
        <f>IF(W185&gt;$AE$32,1,0)</f>
        <v/>
      </c>
      <c r="AB185">
        <f>IF(AA185=C185,1,0)</f>
        <v/>
      </c>
    </row>
    <row r="186">
      <c r="A186">
        <f>'1 datos preparados'!A179</f>
        <v/>
      </c>
      <c r="B186" s="5">
        <f>'1 datos preparados'!U179</f>
        <v/>
      </c>
      <c r="C186">
        <f>'1 datos preparados'!B179</f>
        <v/>
      </c>
      <c r="D186" s="7">
        <f>'1 datos preparados'!C179</f>
        <v/>
      </c>
      <c r="E186" s="7">
        <f>'1 datos preparados'!D179</f>
        <v/>
      </c>
      <c r="F186" s="7">
        <f>'1 datos preparados'!E179</f>
        <v/>
      </c>
      <c r="G186" s="7">
        <f>'1 datos preparados'!F179</f>
        <v/>
      </c>
      <c r="H186" s="7">
        <f>'1 datos preparados'!G179</f>
        <v/>
      </c>
      <c r="I186" s="7">
        <f>'1 datos preparados'!H179</f>
        <v/>
      </c>
      <c r="J186" s="7">
        <f>'1 datos preparados'!I179</f>
        <v/>
      </c>
      <c r="K186" s="7">
        <f>'1 datos preparados'!J179</f>
        <v/>
      </c>
      <c r="L186" s="7">
        <f>'1 datos preparados'!K179</f>
        <v/>
      </c>
      <c r="M186" s="7">
        <f>'1 datos preparados'!L179</f>
        <v/>
      </c>
      <c r="N186" s="7">
        <f>'1 datos preparados'!M179</f>
        <v/>
      </c>
      <c r="O186" s="7">
        <f>'1 datos preparados'!N179</f>
        <v/>
      </c>
      <c r="P186" s="7">
        <f>'1 datos preparados'!O179</f>
        <v/>
      </c>
      <c r="Q186" s="7">
        <f>'1 datos preparados'!P179</f>
        <v/>
      </c>
      <c r="R186" s="7">
        <f>'1 datos preparados'!Q179</f>
        <v/>
      </c>
      <c r="S186" s="7">
        <f>'1 datos preparados'!R179</f>
        <v/>
      </c>
      <c r="T186" s="7">
        <f>'1 datos preparados'!S179</f>
        <v/>
      </c>
      <c r="U186" s="7">
        <f>'1 datos preparados'!T179</f>
        <v/>
      </c>
      <c r="V186" s="8">
        <f>$AE$12+D186*$AE$13+E186*$AE$14+F186*$AE$15+G186*$AE$16+H186*$AE$17+I186*$AE$18+J186*$AE$19+K186*$AE$20+L186*$AE$21+M186*$AE$22+N186*$AE$23+O186*$AE$24+P186*$AE$25+Q186*$AE$26+R186*$AE$27+S186*$AE$28+T186*$AE$29+U186*$AE$30</f>
        <v/>
      </c>
      <c r="W186" s="8">
        <f>1/(1+EXP(-V186))</f>
        <v/>
      </c>
      <c r="X186" s="9">
        <f>-IF(C186=1,LN(W186),LN(1-W186))</f>
        <v/>
      </c>
      <c r="Y186" s="8">
        <f>1</f>
        <v/>
      </c>
      <c r="Z186" s="9">
        <f>Y186*X186</f>
        <v/>
      </c>
      <c r="AA186" s="10">
        <f>IF(W186&gt;$AE$32,1,0)</f>
        <v/>
      </c>
      <c r="AB186">
        <f>IF(AA186=C186,1,0)</f>
        <v/>
      </c>
    </row>
    <row r="187">
      <c r="A187">
        <f>'1 datos preparados'!A180</f>
        <v/>
      </c>
      <c r="B187" s="5">
        <f>'1 datos preparados'!U180</f>
        <v/>
      </c>
      <c r="C187">
        <f>'1 datos preparados'!B180</f>
        <v/>
      </c>
      <c r="D187" s="7">
        <f>'1 datos preparados'!C180</f>
        <v/>
      </c>
      <c r="E187" s="7">
        <f>'1 datos preparados'!D180</f>
        <v/>
      </c>
      <c r="F187" s="7">
        <f>'1 datos preparados'!E180</f>
        <v/>
      </c>
      <c r="G187" s="7">
        <f>'1 datos preparados'!F180</f>
        <v/>
      </c>
      <c r="H187" s="7">
        <f>'1 datos preparados'!G180</f>
        <v/>
      </c>
      <c r="I187" s="7">
        <f>'1 datos preparados'!H180</f>
        <v/>
      </c>
      <c r="J187" s="7">
        <f>'1 datos preparados'!I180</f>
        <v/>
      </c>
      <c r="K187" s="7">
        <f>'1 datos preparados'!J180</f>
        <v/>
      </c>
      <c r="L187" s="7">
        <f>'1 datos preparados'!K180</f>
        <v/>
      </c>
      <c r="M187" s="7">
        <f>'1 datos preparados'!L180</f>
        <v/>
      </c>
      <c r="N187" s="7">
        <f>'1 datos preparados'!M180</f>
        <v/>
      </c>
      <c r="O187" s="7">
        <f>'1 datos preparados'!N180</f>
        <v/>
      </c>
      <c r="P187" s="7">
        <f>'1 datos preparados'!O180</f>
        <v/>
      </c>
      <c r="Q187" s="7">
        <f>'1 datos preparados'!P180</f>
        <v/>
      </c>
      <c r="R187" s="7">
        <f>'1 datos preparados'!Q180</f>
        <v/>
      </c>
      <c r="S187" s="7">
        <f>'1 datos preparados'!R180</f>
        <v/>
      </c>
      <c r="T187" s="7">
        <f>'1 datos preparados'!S180</f>
        <v/>
      </c>
      <c r="U187" s="7">
        <f>'1 datos preparados'!T180</f>
        <v/>
      </c>
      <c r="V187" s="8">
        <f>$AE$12+D187*$AE$13+E187*$AE$14+F187*$AE$15+G187*$AE$16+H187*$AE$17+I187*$AE$18+J187*$AE$19+K187*$AE$20+L187*$AE$21+M187*$AE$22+N187*$AE$23+O187*$AE$24+P187*$AE$25+Q187*$AE$26+R187*$AE$27+S187*$AE$28+T187*$AE$29+U187*$AE$30</f>
        <v/>
      </c>
      <c r="W187" s="8">
        <f>1/(1+EXP(-V187))</f>
        <v/>
      </c>
      <c r="X187" s="9">
        <f>-IF(C187=1,LN(W187),LN(1-W187))</f>
        <v/>
      </c>
      <c r="Y187" s="8">
        <f>1</f>
        <v/>
      </c>
      <c r="Z187" s="9">
        <f>Y187*X187</f>
        <v/>
      </c>
      <c r="AA187" s="10">
        <f>IF(W187&gt;$AE$32,1,0)</f>
        <v/>
      </c>
      <c r="AB187">
        <f>IF(AA187=C187,1,0)</f>
        <v/>
      </c>
    </row>
    <row r="188">
      <c r="A188">
        <f>'1 datos preparados'!A181</f>
        <v/>
      </c>
      <c r="B188" s="5">
        <f>'1 datos preparados'!U181</f>
        <v/>
      </c>
      <c r="C188">
        <f>'1 datos preparados'!B181</f>
        <v/>
      </c>
      <c r="D188" s="7">
        <f>'1 datos preparados'!C181</f>
        <v/>
      </c>
      <c r="E188" s="7">
        <f>'1 datos preparados'!D181</f>
        <v/>
      </c>
      <c r="F188" s="7">
        <f>'1 datos preparados'!E181</f>
        <v/>
      </c>
      <c r="G188" s="7">
        <f>'1 datos preparados'!F181</f>
        <v/>
      </c>
      <c r="H188" s="7">
        <f>'1 datos preparados'!G181</f>
        <v/>
      </c>
      <c r="I188" s="7">
        <f>'1 datos preparados'!H181</f>
        <v/>
      </c>
      <c r="J188" s="7">
        <f>'1 datos preparados'!I181</f>
        <v/>
      </c>
      <c r="K188" s="7">
        <f>'1 datos preparados'!J181</f>
        <v/>
      </c>
      <c r="L188" s="7">
        <f>'1 datos preparados'!K181</f>
        <v/>
      </c>
      <c r="M188" s="7">
        <f>'1 datos preparados'!L181</f>
        <v/>
      </c>
      <c r="N188" s="7">
        <f>'1 datos preparados'!M181</f>
        <v/>
      </c>
      <c r="O188" s="7">
        <f>'1 datos preparados'!N181</f>
        <v/>
      </c>
      <c r="P188" s="7">
        <f>'1 datos preparados'!O181</f>
        <v/>
      </c>
      <c r="Q188" s="7">
        <f>'1 datos preparados'!P181</f>
        <v/>
      </c>
      <c r="R188" s="7">
        <f>'1 datos preparados'!Q181</f>
        <v/>
      </c>
      <c r="S188" s="7">
        <f>'1 datos preparados'!R181</f>
        <v/>
      </c>
      <c r="T188" s="7">
        <f>'1 datos preparados'!S181</f>
        <v/>
      </c>
      <c r="U188" s="7">
        <f>'1 datos preparados'!T181</f>
        <v/>
      </c>
      <c r="V188" s="8">
        <f>$AE$12+D188*$AE$13+E188*$AE$14+F188*$AE$15+G188*$AE$16+H188*$AE$17+I188*$AE$18+J188*$AE$19+K188*$AE$20+L188*$AE$21+M188*$AE$22+N188*$AE$23+O188*$AE$24+P188*$AE$25+Q188*$AE$26+R188*$AE$27+S188*$AE$28+T188*$AE$29+U188*$AE$30</f>
        <v/>
      </c>
      <c r="W188" s="8">
        <f>1/(1+EXP(-V188))</f>
        <v/>
      </c>
      <c r="X188" s="9">
        <f>-IF(C188=1,LN(W188),LN(1-W188))</f>
        <v/>
      </c>
      <c r="Y188" s="8">
        <f>1</f>
        <v/>
      </c>
      <c r="Z188" s="9">
        <f>Y188*X188</f>
        <v/>
      </c>
      <c r="AA188" s="10">
        <f>IF(W188&gt;$AE$32,1,0)</f>
        <v/>
      </c>
      <c r="AB188">
        <f>IF(AA188=C188,1,0)</f>
        <v/>
      </c>
    </row>
    <row r="189">
      <c r="A189">
        <f>'1 datos preparados'!A182</f>
        <v/>
      </c>
      <c r="B189" s="5">
        <f>'1 datos preparados'!U182</f>
        <v/>
      </c>
      <c r="C189">
        <f>'1 datos preparados'!B182</f>
        <v/>
      </c>
      <c r="D189" s="7">
        <f>'1 datos preparados'!C182</f>
        <v/>
      </c>
      <c r="E189" s="7">
        <f>'1 datos preparados'!D182</f>
        <v/>
      </c>
      <c r="F189" s="7">
        <f>'1 datos preparados'!E182</f>
        <v/>
      </c>
      <c r="G189" s="7">
        <f>'1 datos preparados'!F182</f>
        <v/>
      </c>
      <c r="H189" s="7">
        <f>'1 datos preparados'!G182</f>
        <v/>
      </c>
      <c r="I189" s="7">
        <f>'1 datos preparados'!H182</f>
        <v/>
      </c>
      <c r="J189" s="7">
        <f>'1 datos preparados'!I182</f>
        <v/>
      </c>
      <c r="K189" s="7">
        <f>'1 datos preparados'!J182</f>
        <v/>
      </c>
      <c r="L189" s="7">
        <f>'1 datos preparados'!K182</f>
        <v/>
      </c>
      <c r="M189" s="7">
        <f>'1 datos preparados'!L182</f>
        <v/>
      </c>
      <c r="N189" s="7">
        <f>'1 datos preparados'!M182</f>
        <v/>
      </c>
      <c r="O189" s="7">
        <f>'1 datos preparados'!N182</f>
        <v/>
      </c>
      <c r="P189" s="7">
        <f>'1 datos preparados'!O182</f>
        <v/>
      </c>
      <c r="Q189" s="7">
        <f>'1 datos preparados'!P182</f>
        <v/>
      </c>
      <c r="R189" s="7">
        <f>'1 datos preparados'!Q182</f>
        <v/>
      </c>
      <c r="S189" s="7">
        <f>'1 datos preparados'!R182</f>
        <v/>
      </c>
      <c r="T189" s="7">
        <f>'1 datos preparados'!S182</f>
        <v/>
      </c>
      <c r="U189" s="7">
        <f>'1 datos preparados'!T182</f>
        <v/>
      </c>
      <c r="V189" s="8">
        <f>$AE$12+D189*$AE$13+E189*$AE$14+F189*$AE$15+G189*$AE$16+H189*$AE$17+I189*$AE$18+J189*$AE$19+K189*$AE$20+L189*$AE$21+M189*$AE$22+N189*$AE$23+O189*$AE$24+P189*$AE$25+Q189*$AE$26+R189*$AE$27+S189*$AE$28+T189*$AE$29+U189*$AE$30</f>
        <v/>
      </c>
      <c r="W189" s="8">
        <f>1/(1+EXP(-V189))</f>
        <v/>
      </c>
      <c r="X189" s="9">
        <f>-IF(C189=1,LN(W189),LN(1-W189))</f>
        <v/>
      </c>
      <c r="Y189" s="8">
        <f>1</f>
        <v/>
      </c>
      <c r="Z189" s="9">
        <f>Y189*X189</f>
        <v/>
      </c>
      <c r="AA189" s="10">
        <f>IF(W189&gt;$AE$32,1,0)</f>
        <v/>
      </c>
      <c r="AB189">
        <f>IF(AA189=C189,1,0)</f>
        <v/>
      </c>
    </row>
    <row r="190">
      <c r="A190">
        <f>'1 datos preparados'!A183</f>
        <v/>
      </c>
      <c r="B190" s="5">
        <f>'1 datos preparados'!U183</f>
        <v/>
      </c>
      <c r="C190">
        <f>'1 datos preparados'!B183</f>
        <v/>
      </c>
      <c r="D190" s="7">
        <f>'1 datos preparados'!C183</f>
        <v/>
      </c>
      <c r="E190" s="7">
        <f>'1 datos preparados'!D183</f>
        <v/>
      </c>
      <c r="F190" s="7">
        <f>'1 datos preparados'!E183</f>
        <v/>
      </c>
      <c r="G190" s="7">
        <f>'1 datos preparados'!F183</f>
        <v/>
      </c>
      <c r="H190" s="7">
        <f>'1 datos preparados'!G183</f>
        <v/>
      </c>
      <c r="I190" s="7">
        <f>'1 datos preparados'!H183</f>
        <v/>
      </c>
      <c r="J190" s="7">
        <f>'1 datos preparados'!I183</f>
        <v/>
      </c>
      <c r="K190" s="7">
        <f>'1 datos preparados'!J183</f>
        <v/>
      </c>
      <c r="L190" s="7">
        <f>'1 datos preparados'!K183</f>
        <v/>
      </c>
      <c r="M190" s="7">
        <f>'1 datos preparados'!L183</f>
        <v/>
      </c>
      <c r="N190" s="7">
        <f>'1 datos preparados'!M183</f>
        <v/>
      </c>
      <c r="O190" s="7">
        <f>'1 datos preparados'!N183</f>
        <v/>
      </c>
      <c r="P190" s="7">
        <f>'1 datos preparados'!O183</f>
        <v/>
      </c>
      <c r="Q190" s="7">
        <f>'1 datos preparados'!P183</f>
        <v/>
      </c>
      <c r="R190" s="7">
        <f>'1 datos preparados'!Q183</f>
        <v/>
      </c>
      <c r="S190" s="7">
        <f>'1 datos preparados'!R183</f>
        <v/>
      </c>
      <c r="T190" s="7">
        <f>'1 datos preparados'!S183</f>
        <v/>
      </c>
      <c r="U190" s="7">
        <f>'1 datos preparados'!T183</f>
        <v/>
      </c>
      <c r="V190" s="8">
        <f>$AE$12+D190*$AE$13+E190*$AE$14+F190*$AE$15+G190*$AE$16+H190*$AE$17+I190*$AE$18+J190*$AE$19+K190*$AE$20+L190*$AE$21+M190*$AE$22+N190*$AE$23+O190*$AE$24+P190*$AE$25+Q190*$AE$26+R190*$AE$27+S190*$AE$28+T190*$AE$29+U190*$AE$30</f>
        <v/>
      </c>
      <c r="W190" s="8">
        <f>1/(1+EXP(-V190))</f>
        <v/>
      </c>
      <c r="X190" s="9">
        <f>-IF(C190=1,LN(W190),LN(1-W190))</f>
        <v/>
      </c>
      <c r="Y190" s="8">
        <f>1</f>
        <v/>
      </c>
      <c r="Z190" s="9">
        <f>Y190*X190</f>
        <v/>
      </c>
      <c r="AA190" s="10">
        <f>IF(W190&gt;$AE$32,1,0)</f>
        <v/>
      </c>
      <c r="AB190">
        <f>IF(AA190=C190,1,0)</f>
        <v/>
      </c>
    </row>
    <row r="191">
      <c r="A191">
        <f>'1 datos preparados'!A184</f>
        <v/>
      </c>
      <c r="B191" s="5">
        <f>'1 datos preparados'!U184</f>
        <v/>
      </c>
      <c r="C191">
        <f>'1 datos preparados'!B184</f>
        <v/>
      </c>
      <c r="D191" s="7">
        <f>'1 datos preparados'!C184</f>
        <v/>
      </c>
      <c r="E191" s="7">
        <f>'1 datos preparados'!D184</f>
        <v/>
      </c>
      <c r="F191" s="7">
        <f>'1 datos preparados'!E184</f>
        <v/>
      </c>
      <c r="G191" s="7">
        <f>'1 datos preparados'!F184</f>
        <v/>
      </c>
      <c r="H191" s="7">
        <f>'1 datos preparados'!G184</f>
        <v/>
      </c>
      <c r="I191" s="7">
        <f>'1 datos preparados'!H184</f>
        <v/>
      </c>
      <c r="J191" s="7">
        <f>'1 datos preparados'!I184</f>
        <v/>
      </c>
      <c r="K191" s="7">
        <f>'1 datos preparados'!J184</f>
        <v/>
      </c>
      <c r="L191" s="7">
        <f>'1 datos preparados'!K184</f>
        <v/>
      </c>
      <c r="M191" s="7">
        <f>'1 datos preparados'!L184</f>
        <v/>
      </c>
      <c r="N191" s="7">
        <f>'1 datos preparados'!M184</f>
        <v/>
      </c>
      <c r="O191" s="7">
        <f>'1 datos preparados'!N184</f>
        <v/>
      </c>
      <c r="P191" s="7">
        <f>'1 datos preparados'!O184</f>
        <v/>
      </c>
      <c r="Q191" s="7">
        <f>'1 datos preparados'!P184</f>
        <v/>
      </c>
      <c r="R191" s="7">
        <f>'1 datos preparados'!Q184</f>
        <v/>
      </c>
      <c r="S191" s="7">
        <f>'1 datos preparados'!R184</f>
        <v/>
      </c>
      <c r="T191" s="7">
        <f>'1 datos preparados'!S184</f>
        <v/>
      </c>
      <c r="U191" s="7">
        <f>'1 datos preparados'!T184</f>
        <v/>
      </c>
      <c r="V191" s="8">
        <f>$AE$12+D191*$AE$13+E191*$AE$14+F191*$AE$15+G191*$AE$16+H191*$AE$17+I191*$AE$18+J191*$AE$19+K191*$AE$20+L191*$AE$21+M191*$AE$22+N191*$AE$23+O191*$AE$24+P191*$AE$25+Q191*$AE$26+R191*$AE$27+S191*$AE$28+T191*$AE$29+U191*$AE$30</f>
        <v/>
      </c>
      <c r="W191" s="8">
        <f>1/(1+EXP(-V191))</f>
        <v/>
      </c>
      <c r="X191" s="9">
        <f>-IF(C191=1,LN(W191),LN(1-W191))</f>
        <v/>
      </c>
      <c r="Y191" s="8">
        <f>1</f>
        <v/>
      </c>
      <c r="Z191" s="9">
        <f>Y191*X191</f>
        <v/>
      </c>
      <c r="AA191" s="10">
        <f>IF(W191&gt;$AE$32,1,0)</f>
        <v/>
      </c>
      <c r="AB191">
        <f>IF(AA191=C191,1,0)</f>
        <v/>
      </c>
    </row>
    <row r="192">
      <c r="A192">
        <f>'1 datos preparados'!A185</f>
        <v/>
      </c>
      <c r="B192" s="5">
        <f>'1 datos preparados'!U185</f>
        <v/>
      </c>
      <c r="C192">
        <f>'1 datos preparados'!B185</f>
        <v/>
      </c>
      <c r="D192" s="7">
        <f>'1 datos preparados'!C185</f>
        <v/>
      </c>
      <c r="E192" s="7">
        <f>'1 datos preparados'!D185</f>
        <v/>
      </c>
      <c r="F192" s="7">
        <f>'1 datos preparados'!E185</f>
        <v/>
      </c>
      <c r="G192" s="7">
        <f>'1 datos preparados'!F185</f>
        <v/>
      </c>
      <c r="H192" s="7">
        <f>'1 datos preparados'!G185</f>
        <v/>
      </c>
      <c r="I192" s="7">
        <f>'1 datos preparados'!H185</f>
        <v/>
      </c>
      <c r="J192" s="7">
        <f>'1 datos preparados'!I185</f>
        <v/>
      </c>
      <c r="K192" s="7">
        <f>'1 datos preparados'!J185</f>
        <v/>
      </c>
      <c r="L192" s="7">
        <f>'1 datos preparados'!K185</f>
        <v/>
      </c>
      <c r="M192" s="7">
        <f>'1 datos preparados'!L185</f>
        <v/>
      </c>
      <c r="N192" s="7">
        <f>'1 datos preparados'!M185</f>
        <v/>
      </c>
      <c r="O192" s="7">
        <f>'1 datos preparados'!N185</f>
        <v/>
      </c>
      <c r="P192" s="7">
        <f>'1 datos preparados'!O185</f>
        <v/>
      </c>
      <c r="Q192" s="7">
        <f>'1 datos preparados'!P185</f>
        <v/>
      </c>
      <c r="R192" s="7">
        <f>'1 datos preparados'!Q185</f>
        <v/>
      </c>
      <c r="S192" s="7">
        <f>'1 datos preparados'!R185</f>
        <v/>
      </c>
      <c r="T192" s="7">
        <f>'1 datos preparados'!S185</f>
        <v/>
      </c>
      <c r="U192" s="7">
        <f>'1 datos preparados'!T185</f>
        <v/>
      </c>
      <c r="V192" s="8">
        <f>$AE$12+D192*$AE$13+E192*$AE$14+F192*$AE$15+G192*$AE$16+H192*$AE$17+I192*$AE$18+J192*$AE$19+K192*$AE$20+L192*$AE$21+M192*$AE$22+N192*$AE$23+O192*$AE$24+P192*$AE$25+Q192*$AE$26+R192*$AE$27+S192*$AE$28+T192*$AE$29+U192*$AE$30</f>
        <v/>
      </c>
      <c r="W192" s="8">
        <f>1/(1+EXP(-V192))</f>
        <v/>
      </c>
      <c r="X192" s="9">
        <f>-IF(C192=1,LN(W192),LN(1-W192))</f>
        <v/>
      </c>
      <c r="Y192" s="8">
        <f>1</f>
        <v/>
      </c>
      <c r="Z192" s="9">
        <f>Y192*X192</f>
        <v/>
      </c>
      <c r="AA192" s="10">
        <f>IF(W192&gt;$AE$32,1,0)</f>
        <v/>
      </c>
      <c r="AB192">
        <f>IF(AA192=C192,1,0)</f>
        <v/>
      </c>
    </row>
    <row r="193">
      <c r="A193">
        <f>'1 datos preparados'!A186</f>
        <v/>
      </c>
      <c r="B193" s="5">
        <f>'1 datos preparados'!U186</f>
        <v/>
      </c>
      <c r="C193">
        <f>'1 datos preparados'!B186</f>
        <v/>
      </c>
      <c r="D193" s="7">
        <f>'1 datos preparados'!C186</f>
        <v/>
      </c>
      <c r="E193" s="7">
        <f>'1 datos preparados'!D186</f>
        <v/>
      </c>
      <c r="F193" s="7">
        <f>'1 datos preparados'!E186</f>
        <v/>
      </c>
      <c r="G193" s="7">
        <f>'1 datos preparados'!F186</f>
        <v/>
      </c>
      <c r="H193" s="7">
        <f>'1 datos preparados'!G186</f>
        <v/>
      </c>
      <c r="I193" s="7">
        <f>'1 datos preparados'!H186</f>
        <v/>
      </c>
      <c r="J193" s="7">
        <f>'1 datos preparados'!I186</f>
        <v/>
      </c>
      <c r="K193" s="7">
        <f>'1 datos preparados'!J186</f>
        <v/>
      </c>
      <c r="L193" s="7">
        <f>'1 datos preparados'!K186</f>
        <v/>
      </c>
      <c r="M193" s="7">
        <f>'1 datos preparados'!L186</f>
        <v/>
      </c>
      <c r="N193" s="7">
        <f>'1 datos preparados'!M186</f>
        <v/>
      </c>
      <c r="O193" s="7">
        <f>'1 datos preparados'!N186</f>
        <v/>
      </c>
      <c r="P193" s="7">
        <f>'1 datos preparados'!O186</f>
        <v/>
      </c>
      <c r="Q193" s="7">
        <f>'1 datos preparados'!P186</f>
        <v/>
      </c>
      <c r="R193" s="7">
        <f>'1 datos preparados'!Q186</f>
        <v/>
      </c>
      <c r="S193" s="7">
        <f>'1 datos preparados'!R186</f>
        <v/>
      </c>
      <c r="T193" s="7">
        <f>'1 datos preparados'!S186</f>
        <v/>
      </c>
      <c r="U193" s="7">
        <f>'1 datos preparados'!T186</f>
        <v/>
      </c>
      <c r="V193" s="8">
        <f>$AE$12+D193*$AE$13+E193*$AE$14+F193*$AE$15+G193*$AE$16+H193*$AE$17+I193*$AE$18+J193*$AE$19+K193*$AE$20+L193*$AE$21+M193*$AE$22+N193*$AE$23+O193*$AE$24+P193*$AE$25+Q193*$AE$26+R193*$AE$27+S193*$AE$28+T193*$AE$29+U193*$AE$30</f>
        <v/>
      </c>
      <c r="W193" s="8">
        <f>1/(1+EXP(-V193))</f>
        <v/>
      </c>
      <c r="X193" s="9">
        <f>-IF(C193=1,LN(W193),LN(1-W193))</f>
        <v/>
      </c>
      <c r="Y193" s="8">
        <f>1</f>
        <v/>
      </c>
      <c r="Z193" s="9">
        <f>Y193*X193</f>
        <v/>
      </c>
      <c r="AA193" s="10">
        <f>IF(W193&gt;$AE$32,1,0)</f>
        <v/>
      </c>
      <c r="AB193">
        <f>IF(AA193=C193,1,0)</f>
        <v/>
      </c>
    </row>
    <row r="194">
      <c r="A194">
        <f>'1 datos preparados'!A187</f>
        <v/>
      </c>
      <c r="B194" s="5">
        <f>'1 datos preparados'!U187</f>
        <v/>
      </c>
      <c r="C194">
        <f>'1 datos preparados'!B187</f>
        <v/>
      </c>
      <c r="D194" s="7">
        <f>'1 datos preparados'!C187</f>
        <v/>
      </c>
      <c r="E194" s="7">
        <f>'1 datos preparados'!D187</f>
        <v/>
      </c>
      <c r="F194" s="7">
        <f>'1 datos preparados'!E187</f>
        <v/>
      </c>
      <c r="G194" s="7">
        <f>'1 datos preparados'!F187</f>
        <v/>
      </c>
      <c r="H194" s="7">
        <f>'1 datos preparados'!G187</f>
        <v/>
      </c>
      <c r="I194" s="7">
        <f>'1 datos preparados'!H187</f>
        <v/>
      </c>
      <c r="J194" s="7">
        <f>'1 datos preparados'!I187</f>
        <v/>
      </c>
      <c r="K194" s="7">
        <f>'1 datos preparados'!J187</f>
        <v/>
      </c>
      <c r="L194" s="7">
        <f>'1 datos preparados'!K187</f>
        <v/>
      </c>
      <c r="M194" s="7">
        <f>'1 datos preparados'!L187</f>
        <v/>
      </c>
      <c r="N194" s="7">
        <f>'1 datos preparados'!M187</f>
        <v/>
      </c>
      <c r="O194" s="7">
        <f>'1 datos preparados'!N187</f>
        <v/>
      </c>
      <c r="P194" s="7">
        <f>'1 datos preparados'!O187</f>
        <v/>
      </c>
      <c r="Q194" s="7">
        <f>'1 datos preparados'!P187</f>
        <v/>
      </c>
      <c r="R194" s="7">
        <f>'1 datos preparados'!Q187</f>
        <v/>
      </c>
      <c r="S194" s="7">
        <f>'1 datos preparados'!R187</f>
        <v/>
      </c>
      <c r="T194" s="7">
        <f>'1 datos preparados'!S187</f>
        <v/>
      </c>
      <c r="U194" s="7">
        <f>'1 datos preparados'!T187</f>
        <v/>
      </c>
      <c r="V194" s="8">
        <f>$AE$12+D194*$AE$13+E194*$AE$14+F194*$AE$15+G194*$AE$16+H194*$AE$17+I194*$AE$18+J194*$AE$19+K194*$AE$20+L194*$AE$21+M194*$AE$22+N194*$AE$23+O194*$AE$24+P194*$AE$25+Q194*$AE$26+R194*$AE$27+S194*$AE$28+T194*$AE$29+U194*$AE$30</f>
        <v/>
      </c>
      <c r="W194" s="8">
        <f>1/(1+EXP(-V194))</f>
        <v/>
      </c>
      <c r="X194" s="9">
        <f>-IF(C194=1,LN(W194),LN(1-W194))</f>
        <v/>
      </c>
      <c r="Y194" s="8">
        <f>1</f>
        <v/>
      </c>
      <c r="Z194" s="9">
        <f>Y194*X194</f>
        <v/>
      </c>
      <c r="AA194" s="10">
        <f>IF(W194&gt;$AE$32,1,0)</f>
        <v/>
      </c>
      <c r="AB194">
        <f>IF(AA194=C194,1,0)</f>
        <v/>
      </c>
    </row>
    <row r="195">
      <c r="A195">
        <f>'1 datos preparados'!A188</f>
        <v/>
      </c>
      <c r="B195" s="5">
        <f>'1 datos preparados'!U188</f>
        <v/>
      </c>
      <c r="C195">
        <f>'1 datos preparados'!B188</f>
        <v/>
      </c>
      <c r="D195" s="7">
        <f>'1 datos preparados'!C188</f>
        <v/>
      </c>
      <c r="E195" s="7">
        <f>'1 datos preparados'!D188</f>
        <v/>
      </c>
      <c r="F195" s="7">
        <f>'1 datos preparados'!E188</f>
        <v/>
      </c>
      <c r="G195" s="7">
        <f>'1 datos preparados'!F188</f>
        <v/>
      </c>
      <c r="H195" s="7">
        <f>'1 datos preparados'!G188</f>
        <v/>
      </c>
      <c r="I195" s="7">
        <f>'1 datos preparados'!H188</f>
        <v/>
      </c>
      <c r="J195" s="7">
        <f>'1 datos preparados'!I188</f>
        <v/>
      </c>
      <c r="K195" s="7">
        <f>'1 datos preparados'!J188</f>
        <v/>
      </c>
      <c r="L195" s="7">
        <f>'1 datos preparados'!K188</f>
        <v/>
      </c>
      <c r="M195" s="7">
        <f>'1 datos preparados'!L188</f>
        <v/>
      </c>
      <c r="N195" s="7">
        <f>'1 datos preparados'!M188</f>
        <v/>
      </c>
      <c r="O195" s="7">
        <f>'1 datos preparados'!N188</f>
        <v/>
      </c>
      <c r="P195" s="7">
        <f>'1 datos preparados'!O188</f>
        <v/>
      </c>
      <c r="Q195" s="7">
        <f>'1 datos preparados'!P188</f>
        <v/>
      </c>
      <c r="R195" s="7">
        <f>'1 datos preparados'!Q188</f>
        <v/>
      </c>
      <c r="S195" s="7">
        <f>'1 datos preparados'!R188</f>
        <v/>
      </c>
      <c r="T195" s="7">
        <f>'1 datos preparados'!S188</f>
        <v/>
      </c>
      <c r="U195" s="7">
        <f>'1 datos preparados'!T188</f>
        <v/>
      </c>
      <c r="V195" s="8">
        <f>$AE$12+D195*$AE$13+E195*$AE$14+F195*$AE$15+G195*$AE$16+H195*$AE$17+I195*$AE$18+J195*$AE$19+K195*$AE$20+L195*$AE$21+M195*$AE$22+N195*$AE$23+O195*$AE$24+P195*$AE$25+Q195*$AE$26+R195*$AE$27+S195*$AE$28+T195*$AE$29+U195*$AE$30</f>
        <v/>
      </c>
      <c r="W195" s="8">
        <f>1/(1+EXP(-V195))</f>
        <v/>
      </c>
      <c r="X195" s="9">
        <f>-IF(C195=1,LN(W195),LN(1-W195))</f>
        <v/>
      </c>
      <c r="Y195" s="8">
        <f>1</f>
        <v/>
      </c>
      <c r="Z195" s="9">
        <f>Y195*X195</f>
        <v/>
      </c>
      <c r="AA195" s="10">
        <f>IF(W195&gt;$AE$32,1,0)</f>
        <v/>
      </c>
      <c r="AB195">
        <f>IF(AA195=C195,1,0)</f>
        <v/>
      </c>
    </row>
    <row r="196">
      <c r="A196">
        <f>'1 datos preparados'!A189</f>
        <v/>
      </c>
      <c r="B196" s="5">
        <f>'1 datos preparados'!U189</f>
        <v/>
      </c>
      <c r="C196">
        <f>'1 datos preparados'!B189</f>
        <v/>
      </c>
      <c r="D196" s="7">
        <f>'1 datos preparados'!C189</f>
        <v/>
      </c>
      <c r="E196" s="7">
        <f>'1 datos preparados'!D189</f>
        <v/>
      </c>
      <c r="F196" s="7">
        <f>'1 datos preparados'!E189</f>
        <v/>
      </c>
      <c r="G196" s="7">
        <f>'1 datos preparados'!F189</f>
        <v/>
      </c>
      <c r="H196" s="7">
        <f>'1 datos preparados'!G189</f>
        <v/>
      </c>
      <c r="I196" s="7">
        <f>'1 datos preparados'!H189</f>
        <v/>
      </c>
      <c r="J196" s="7">
        <f>'1 datos preparados'!I189</f>
        <v/>
      </c>
      <c r="K196" s="7">
        <f>'1 datos preparados'!J189</f>
        <v/>
      </c>
      <c r="L196" s="7">
        <f>'1 datos preparados'!K189</f>
        <v/>
      </c>
      <c r="M196" s="7">
        <f>'1 datos preparados'!L189</f>
        <v/>
      </c>
      <c r="N196" s="7">
        <f>'1 datos preparados'!M189</f>
        <v/>
      </c>
      <c r="O196" s="7">
        <f>'1 datos preparados'!N189</f>
        <v/>
      </c>
      <c r="P196" s="7">
        <f>'1 datos preparados'!O189</f>
        <v/>
      </c>
      <c r="Q196" s="7">
        <f>'1 datos preparados'!P189</f>
        <v/>
      </c>
      <c r="R196" s="7">
        <f>'1 datos preparados'!Q189</f>
        <v/>
      </c>
      <c r="S196" s="7">
        <f>'1 datos preparados'!R189</f>
        <v/>
      </c>
      <c r="T196" s="7">
        <f>'1 datos preparados'!S189</f>
        <v/>
      </c>
      <c r="U196" s="7">
        <f>'1 datos preparados'!T189</f>
        <v/>
      </c>
      <c r="V196" s="8">
        <f>$AE$12+D196*$AE$13+E196*$AE$14+F196*$AE$15+G196*$AE$16+H196*$AE$17+I196*$AE$18+J196*$AE$19+K196*$AE$20+L196*$AE$21+M196*$AE$22+N196*$AE$23+O196*$AE$24+P196*$AE$25+Q196*$AE$26+R196*$AE$27+S196*$AE$28+T196*$AE$29+U196*$AE$30</f>
        <v/>
      </c>
      <c r="W196" s="8">
        <f>1/(1+EXP(-V196))</f>
        <v/>
      </c>
      <c r="X196" s="9">
        <f>-IF(C196=1,LN(W196),LN(1-W196))</f>
        <v/>
      </c>
      <c r="Y196" s="8">
        <f>1</f>
        <v/>
      </c>
      <c r="Z196" s="9">
        <f>Y196*X196</f>
        <v/>
      </c>
      <c r="AA196" s="10">
        <f>IF(W196&gt;$AE$32,1,0)</f>
        <v/>
      </c>
      <c r="AB196">
        <f>IF(AA196=C196,1,0)</f>
        <v/>
      </c>
    </row>
    <row r="197">
      <c r="A197">
        <f>'1 datos preparados'!A190</f>
        <v/>
      </c>
      <c r="B197" s="5">
        <f>'1 datos preparados'!U190</f>
        <v/>
      </c>
      <c r="C197">
        <f>'1 datos preparados'!B190</f>
        <v/>
      </c>
      <c r="D197" s="7">
        <f>'1 datos preparados'!C190</f>
        <v/>
      </c>
      <c r="E197" s="7">
        <f>'1 datos preparados'!D190</f>
        <v/>
      </c>
      <c r="F197" s="7">
        <f>'1 datos preparados'!E190</f>
        <v/>
      </c>
      <c r="G197" s="7">
        <f>'1 datos preparados'!F190</f>
        <v/>
      </c>
      <c r="H197" s="7">
        <f>'1 datos preparados'!G190</f>
        <v/>
      </c>
      <c r="I197" s="7">
        <f>'1 datos preparados'!H190</f>
        <v/>
      </c>
      <c r="J197" s="7">
        <f>'1 datos preparados'!I190</f>
        <v/>
      </c>
      <c r="K197" s="7">
        <f>'1 datos preparados'!J190</f>
        <v/>
      </c>
      <c r="L197" s="7">
        <f>'1 datos preparados'!K190</f>
        <v/>
      </c>
      <c r="M197" s="7">
        <f>'1 datos preparados'!L190</f>
        <v/>
      </c>
      <c r="N197" s="7">
        <f>'1 datos preparados'!M190</f>
        <v/>
      </c>
      <c r="O197" s="7">
        <f>'1 datos preparados'!N190</f>
        <v/>
      </c>
      <c r="P197" s="7">
        <f>'1 datos preparados'!O190</f>
        <v/>
      </c>
      <c r="Q197" s="7">
        <f>'1 datos preparados'!P190</f>
        <v/>
      </c>
      <c r="R197" s="7">
        <f>'1 datos preparados'!Q190</f>
        <v/>
      </c>
      <c r="S197" s="7">
        <f>'1 datos preparados'!R190</f>
        <v/>
      </c>
      <c r="T197" s="7">
        <f>'1 datos preparados'!S190</f>
        <v/>
      </c>
      <c r="U197" s="7">
        <f>'1 datos preparados'!T190</f>
        <v/>
      </c>
      <c r="V197" s="8">
        <f>$AE$12+D197*$AE$13+E197*$AE$14+F197*$AE$15+G197*$AE$16+H197*$AE$17+I197*$AE$18+J197*$AE$19+K197*$AE$20+L197*$AE$21+M197*$AE$22+N197*$AE$23+O197*$AE$24+P197*$AE$25+Q197*$AE$26+R197*$AE$27+S197*$AE$28+T197*$AE$29+U197*$AE$30</f>
        <v/>
      </c>
      <c r="W197" s="8">
        <f>1/(1+EXP(-V197))</f>
        <v/>
      </c>
      <c r="X197" s="9">
        <f>-IF(C197=1,LN(W197),LN(1-W197))</f>
        <v/>
      </c>
      <c r="Y197" s="8">
        <f>1</f>
        <v/>
      </c>
      <c r="Z197" s="9">
        <f>Y197*X197</f>
        <v/>
      </c>
      <c r="AA197" s="10">
        <f>IF(W197&gt;$AE$32,1,0)</f>
        <v/>
      </c>
      <c r="AB197">
        <f>IF(AA197=C197,1,0)</f>
        <v/>
      </c>
    </row>
    <row r="198">
      <c r="A198">
        <f>'1 datos preparados'!A191</f>
        <v/>
      </c>
      <c r="B198" s="5">
        <f>'1 datos preparados'!U191</f>
        <v/>
      </c>
      <c r="C198">
        <f>'1 datos preparados'!B191</f>
        <v/>
      </c>
      <c r="D198" s="7">
        <f>'1 datos preparados'!C191</f>
        <v/>
      </c>
      <c r="E198" s="7">
        <f>'1 datos preparados'!D191</f>
        <v/>
      </c>
      <c r="F198" s="7">
        <f>'1 datos preparados'!E191</f>
        <v/>
      </c>
      <c r="G198" s="7">
        <f>'1 datos preparados'!F191</f>
        <v/>
      </c>
      <c r="H198" s="7">
        <f>'1 datos preparados'!G191</f>
        <v/>
      </c>
      <c r="I198" s="7">
        <f>'1 datos preparados'!H191</f>
        <v/>
      </c>
      <c r="J198" s="7">
        <f>'1 datos preparados'!I191</f>
        <v/>
      </c>
      <c r="K198" s="7">
        <f>'1 datos preparados'!J191</f>
        <v/>
      </c>
      <c r="L198" s="7">
        <f>'1 datos preparados'!K191</f>
        <v/>
      </c>
      <c r="M198" s="7">
        <f>'1 datos preparados'!L191</f>
        <v/>
      </c>
      <c r="N198" s="7">
        <f>'1 datos preparados'!M191</f>
        <v/>
      </c>
      <c r="O198" s="7">
        <f>'1 datos preparados'!N191</f>
        <v/>
      </c>
      <c r="P198" s="7">
        <f>'1 datos preparados'!O191</f>
        <v/>
      </c>
      <c r="Q198" s="7">
        <f>'1 datos preparados'!P191</f>
        <v/>
      </c>
      <c r="R198" s="7">
        <f>'1 datos preparados'!Q191</f>
        <v/>
      </c>
      <c r="S198" s="7">
        <f>'1 datos preparados'!R191</f>
        <v/>
      </c>
      <c r="T198" s="7">
        <f>'1 datos preparados'!S191</f>
        <v/>
      </c>
      <c r="U198" s="7">
        <f>'1 datos preparados'!T191</f>
        <v/>
      </c>
      <c r="V198" s="8">
        <f>$AE$12+D198*$AE$13+E198*$AE$14+F198*$AE$15+G198*$AE$16+H198*$AE$17+I198*$AE$18+J198*$AE$19+K198*$AE$20+L198*$AE$21+M198*$AE$22+N198*$AE$23+O198*$AE$24+P198*$AE$25+Q198*$AE$26+R198*$AE$27+S198*$AE$28+T198*$AE$29+U198*$AE$30</f>
        <v/>
      </c>
      <c r="W198" s="8">
        <f>1/(1+EXP(-V198))</f>
        <v/>
      </c>
      <c r="X198" s="9">
        <f>-IF(C198=1,LN(W198),LN(1-W198))</f>
        <v/>
      </c>
      <c r="Y198" s="8">
        <f>1</f>
        <v/>
      </c>
      <c r="Z198" s="9">
        <f>Y198*X198</f>
        <v/>
      </c>
      <c r="AA198" s="10">
        <f>IF(W198&gt;$AE$32,1,0)</f>
        <v/>
      </c>
      <c r="AB198">
        <f>IF(AA198=C198,1,0)</f>
        <v/>
      </c>
    </row>
    <row r="199">
      <c r="A199">
        <f>'1 datos preparados'!A192</f>
        <v/>
      </c>
      <c r="B199" s="5">
        <f>'1 datos preparados'!U192</f>
        <v/>
      </c>
      <c r="C199">
        <f>'1 datos preparados'!B192</f>
        <v/>
      </c>
      <c r="D199" s="7">
        <f>'1 datos preparados'!C192</f>
        <v/>
      </c>
      <c r="E199" s="7">
        <f>'1 datos preparados'!D192</f>
        <v/>
      </c>
      <c r="F199" s="7">
        <f>'1 datos preparados'!E192</f>
        <v/>
      </c>
      <c r="G199" s="7">
        <f>'1 datos preparados'!F192</f>
        <v/>
      </c>
      <c r="H199" s="7">
        <f>'1 datos preparados'!G192</f>
        <v/>
      </c>
      <c r="I199" s="7">
        <f>'1 datos preparados'!H192</f>
        <v/>
      </c>
      <c r="J199" s="7">
        <f>'1 datos preparados'!I192</f>
        <v/>
      </c>
      <c r="K199" s="7">
        <f>'1 datos preparados'!J192</f>
        <v/>
      </c>
      <c r="L199" s="7">
        <f>'1 datos preparados'!K192</f>
        <v/>
      </c>
      <c r="M199" s="7">
        <f>'1 datos preparados'!L192</f>
        <v/>
      </c>
      <c r="N199" s="7">
        <f>'1 datos preparados'!M192</f>
        <v/>
      </c>
      <c r="O199" s="7">
        <f>'1 datos preparados'!N192</f>
        <v/>
      </c>
      <c r="P199" s="7">
        <f>'1 datos preparados'!O192</f>
        <v/>
      </c>
      <c r="Q199" s="7">
        <f>'1 datos preparados'!P192</f>
        <v/>
      </c>
      <c r="R199" s="7">
        <f>'1 datos preparados'!Q192</f>
        <v/>
      </c>
      <c r="S199" s="7">
        <f>'1 datos preparados'!R192</f>
        <v/>
      </c>
      <c r="T199" s="7">
        <f>'1 datos preparados'!S192</f>
        <v/>
      </c>
      <c r="U199" s="7">
        <f>'1 datos preparados'!T192</f>
        <v/>
      </c>
      <c r="V199" s="8">
        <f>$AE$12+D199*$AE$13+E199*$AE$14+F199*$AE$15+G199*$AE$16+H199*$AE$17+I199*$AE$18+J199*$AE$19+K199*$AE$20+L199*$AE$21+M199*$AE$22+N199*$AE$23+O199*$AE$24+P199*$AE$25+Q199*$AE$26+R199*$AE$27+S199*$AE$28+T199*$AE$29+U199*$AE$30</f>
        <v/>
      </c>
      <c r="W199" s="8">
        <f>1/(1+EXP(-V199))</f>
        <v/>
      </c>
      <c r="X199" s="9">
        <f>-IF(C199=1,LN(W199),LN(1-W199))</f>
        <v/>
      </c>
      <c r="Y199" s="8">
        <f>1</f>
        <v/>
      </c>
      <c r="Z199" s="9">
        <f>Y199*X199</f>
        <v/>
      </c>
      <c r="AA199" s="10">
        <f>IF(W199&gt;$AE$32,1,0)</f>
        <v/>
      </c>
      <c r="AB199">
        <f>IF(AA199=C199,1,0)</f>
        <v/>
      </c>
    </row>
    <row r="200">
      <c r="A200">
        <f>'1 datos preparados'!A193</f>
        <v/>
      </c>
      <c r="B200" s="5">
        <f>'1 datos preparados'!U193</f>
        <v/>
      </c>
      <c r="C200">
        <f>'1 datos preparados'!B193</f>
        <v/>
      </c>
      <c r="D200" s="7">
        <f>'1 datos preparados'!C193</f>
        <v/>
      </c>
      <c r="E200" s="7">
        <f>'1 datos preparados'!D193</f>
        <v/>
      </c>
      <c r="F200" s="7">
        <f>'1 datos preparados'!E193</f>
        <v/>
      </c>
      <c r="G200" s="7">
        <f>'1 datos preparados'!F193</f>
        <v/>
      </c>
      <c r="H200" s="7">
        <f>'1 datos preparados'!G193</f>
        <v/>
      </c>
      <c r="I200" s="7">
        <f>'1 datos preparados'!H193</f>
        <v/>
      </c>
      <c r="J200" s="7">
        <f>'1 datos preparados'!I193</f>
        <v/>
      </c>
      <c r="K200" s="7">
        <f>'1 datos preparados'!J193</f>
        <v/>
      </c>
      <c r="L200" s="7">
        <f>'1 datos preparados'!K193</f>
        <v/>
      </c>
      <c r="M200" s="7">
        <f>'1 datos preparados'!L193</f>
        <v/>
      </c>
      <c r="N200" s="7">
        <f>'1 datos preparados'!M193</f>
        <v/>
      </c>
      <c r="O200" s="7">
        <f>'1 datos preparados'!N193</f>
        <v/>
      </c>
      <c r="P200" s="7">
        <f>'1 datos preparados'!O193</f>
        <v/>
      </c>
      <c r="Q200" s="7">
        <f>'1 datos preparados'!P193</f>
        <v/>
      </c>
      <c r="R200" s="7">
        <f>'1 datos preparados'!Q193</f>
        <v/>
      </c>
      <c r="S200" s="7">
        <f>'1 datos preparados'!R193</f>
        <v/>
      </c>
      <c r="T200" s="7">
        <f>'1 datos preparados'!S193</f>
        <v/>
      </c>
      <c r="U200" s="7">
        <f>'1 datos preparados'!T193</f>
        <v/>
      </c>
      <c r="V200" s="8">
        <f>$AE$12+D200*$AE$13+E200*$AE$14+F200*$AE$15+G200*$AE$16+H200*$AE$17+I200*$AE$18+J200*$AE$19+K200*$AE$20+L200*$AE$21+M200*$AE$22+N200*$AE$23+O200*$AE$24+P200*$AE$25+Q200*$AE$26+R200*$AE$27+S200*$AE$28+T200*$AE$29+U200*$AE$30</f>
        <v/>
      </c>
      <c r="W200" s="8">
        <f>1/(1+EXP(-V200))</f>
        <v/>
      </c>
      <c r="X200" s="9">
        <f>-IF(C200=1,LN(W200),LN(1-W200))</f>
        <v/>
      </c>
      <c r="Y200" s="8">
        <f>1</f>
        <v/>
      </c>
      <c r="Z200" s="9">
        <f>Y200*X200</f>
        <v/>
      </c>
      <c r="AA200" s="10">
        <f>IF(W200&gt;$AE$32,1,0)</f>
        <v/>
      </c>
      <c r="AB200">
        <f>IF(AA200=C200,1,0)</f>
        <v/>
      </c>
    </row>
    <row r="201">
      <c r="A201">
        <f>'1 datos preparados'!A194</f>
        <v/>
      </c>
      <c r="B201" s="5">
        <f>'1 datos preparados'!U194</f>
        <v/>
      </c>
      <c r="C201">
        <f>'1 datos preparados'!B194</f>
        <v/>
      </c>
      <c r="D201" s="7">
        <f>'1 datos preparados'!C194</f>
        <v/>
      </c>
      <c r="E201" s="7">
        <f>'1 datos preparados'!D194</f>
        <v/>
      </c>
      <c r="F201" s="7">
        <f>'1 datos preparados'!E194</f>
        <v/>
      </c>
      <c r="G201" s="7">
        <f>'1 datos preparados'!F194</f>
        <v/>
      </c>
      <c r="H201" s="7">
        <f>'1 datos preparados'!G194</f>
        <v/>
      </c>
      <c r="I201" s="7">
        <f>'1 datos preparados'!H194</f>
        <v/>
      </c>
      <c r="J201" s="7">
        <f>'1 datos preparados'!I194</f>
        <v/>
      </c>
      <c r="K201" s="7">
        <f>'1 datos preparados'!J194</f>
        <v/>
      </c>
      <c r="L201" s="7">
        <f>'1 datos preparados'!K194</f>
        <v/>
      </c>
      <c r="M201" s="7">
        <f>'1 datos preparados'!L194</f>
        <v/>
      </c>
      <c r="N201" s="7">
        <f>'1 datos preparados'!M194</f>
        <v/>
      </c>
      <c r="O201" s="7">
        <f>'1 datos preparados'!N194</f>
        <v/>
      </c>
      <c r="P201" s="7">
        <f>'1 datos preparados'!O194</f>
        <v/>
      </c>
      <c r="Q201" s="7">
        <f>'1 datos preparados'!P194</f>
        <v/>
      </c>
      <c r="R201" s="7">
        <f>'1 datos preparados'!Q194</f>
        <v/>
      </c>
      <c r="S201" s="7">
        <f>'1 datos preparados'!R194</f>
        <v/>
      </c>
      <c r="T201" s="7">
        <f>'1 datos preparados'!S194</f>
        <v/>
      </c>
      <c r="U201" s="7">
        <f>'1 datos preparados'!T194</f>
        <v/>
      </c>
      <c r="V201" s="8">
        <f>$AE$12+D201*$AE$13+E201*$AE$14+F201*$AE$15+G201*$AE$16+H201*$AE$17+I201*$AE$18+J201*$AE$19+K201*$AE$20+L201*$AE$21+M201*$AE$22+N201*$AE$23+O201*$AE$24+P201*$AE$25+Q201*$AE$26+R201*$AE$27+S201*$AE$28+T201*$AE$29+U201*$AE$30</f>
        <v/>
      </c>
      <c r="W201" s="8">
        <f>1/(1+EXP(-V201))</f>
        <v/>
      </c>
      <c r="X201" s="9">
        <f>-IF(C201=1,LN(W201),LN(1-W201))</f>
        <v/>
      </c>
      <c r="Y201" s="8">
        <f>1</f>
        <v/>
      </c>
      <c r="Z201" s="9">
        <f>Y201*X201</f>
        <v/>
      </c>
      <c r="AA201" s="10">
        <f>IF(W201&gt;$AE$32,1,0)</f>
        <v/>
      </c>
      <c r="AB201">
        <f>IF(AA201=C201,1,0)</f>
        <v/>
      </c>
    </row>
    <row r="202">
      <c r="A202">
        <f>'1 datos preparados'!A195</f>
        <v/>
      </c>
      <c r="B202" s="5">
        <f>'1 datos preparados'!U195</f>
        <v/>
      </c>
      <c r="C202">
        <f>'1 datos preparados'!B195</f>
        <v/>
      </c>
      <c r="D202" s="7">
        <f>'1 datos preparados'!C195</f>
        <v/>
      </c>
      <c r="E202" s="7">
        <f>'1 datos preparados'!D195</f>
        <v/>
      </c>
      <c r="F202" s="7">
        <f>'1 datos preparados'!E195</f>
        <v/>
      </c>
      <c r="G202" s="7">
        <f>'1 datos preparados'!F195</f>
        <v/>
      </c>
      <c r="H202" s="7">
        <f>'1 datos preparados'!G195</f>
        <v/>
      </c>
      <c r="I202" s="7">
        <f>'1 datos preparados'!H195</f>
        <v/>
      </c>
      <c r="J202" s="7">
        <f>'1 datos preparados'!I195</f>
        <v/>
      </c>
      <c r="K202" s="7">
        <f>'1 datos preparados'!J195</f>
        <v/>
      </c>
      <c r="L202" s="7">
        <f>'1 datos preparados'!K195</f>
        <v/>
      </c>
      <c r="M202" s="7">
        <f>'1 datos preparados'!L195</f>
        <v/>
      </c>
      <c r="N202" s="7">
        <f>'1 datos preparados'!M195</f>
        <v/>
      </c>
      <c r="O202" s="7">
        <f>'1 datos preparados'!N195</f>
        <v/>
      </c>
      <c r="P202" s="7">
        <f>'1 datos preparados'!O195</f>
        <v/>
      </c>
      <c r="Q202" s="7">
        <f>'1 datos preparados'!P195</f>
        <v/>
      </c>
      <c r="R202" s="7">
        <f>'1 datos preparados'!Q195</f>
        <v/>
      </c>
      <c r="S202" s="7">
        <f>'1 datos preparados'!R195</f>
        <v/>
      </c>
      <c r="T202" s="7">
        <f>'1 datos preparados'!S195</f>
        <v/>
      </c>
      <c r="U202" s="7">
        <f>'1 datos preparados'!T195</f>
        <v/>
      </c>
      <c r="V202" s="8">
        <f>$AE$12+D202*$AE$13+E202*$AE$14+F202*$AE$15+G202*$AE$16+H202*$AE$17+I202*$AE$18+J202*$AE$19+K202*$AE$20+L202*$AE$21+M202*$AE$22+N202*$AE$23+O202*$AE$24+P202*$AE$25+Q202*$AE$26+R202*$AE$27+S202*$AE$28+T202*$AE$29+U202*$AE$30</f>
        <v/>
      </c>
      <c r="W202" s="8">
        <f>1/(1+EXP(-V202))</f>
        <v/>
      </c>
      <c r="X202" s="9">
        <f>-IF(C202=1,LN(W202),LN(1-W202))</f>
        <v/>
      </c>
      <c r="Y202" s="8">
        <f>1</f>
        <v/>
      </c>
      <c r="Z202" s="9">
        <f>Y202*X202</f>
        <v/>
      </c>
      <c r="AA202" s="10">
        <f>IF(W202&gt;$AE$32,1,0)</f>
        <v/>
      </c>
      <c r="AB202">
        <f>IF(AA202=C202,1,0)</f>
        <v/>
      </c>
    </row>
    <row r="203">
      <c r="A203">
        <f>'1 datos preparados'!A196</f>
        <v/>
      </c>
      <c r="B203" s="5">
        <f>'1 datos preparados'!U196</f>
        <v/>
      </c>
      <c r="C203">
        <f>'1 datos preparados'!B196</f>
        <v/>
      </c>
      <c r="D203" s="7">
        <f>'1 datos preparados'!C196</f>
        <v/>
      </c>
      <c r="E203" s="7">
        <f>'1 datos preparados'!D196</f>
        <v/>
      </c>
      <c r="F203" s="7">
        <f>'1 datos preparados'!E196</f>
        <v/>
      </c>
      <c r="G203" s="7">
        <f>'1 datos preparados'!F196</f>
        <v/>
      </c>
      <c r="H203" s="7">
        <f>'1 datos preparados'!G196</f>
        <v/>
      </c>
      <c r="I203" s="7">
        <f>'1 datos preparados'!H196</f>
        <v/>
      </c>
      <c r="J203" s="7">
        <f>'1 datos preparados'!I196</f>
        <v/>
      </c>
      <c r="K203" s="7">
        <f>'1 datos preparados'!J196</f>
        <v/>
      </c>
      <c r="L203" s="7">
        <f>'1 datos preparados'!K196</f>
        <v/>
      </c>
      <c r="M203" s="7">
        <f>'1 datos preparados'!L196</f>
        <v/>
      </c>
      <c r="N203" s="7">
        <f>'1 datos preparados'!M196</f>
        <v/>
      </c>
      <c r="O203" s="7">
        <f>'1 datos preparados'!N196</f>
        <v/>
      </c>
      <c r="P203" s="7">
        <f>'1 datos preparados'!O196</f>
        <v/>
      </c>
      <c r="Q203" s="7">
        <f>'1 datos preparados'!P196</f>
        <v/>
      </c>
      <c r="R203" s="7">
        <f>'1 datos preparados'!Q196</f>
        <v/>
      </c>
      <c r="S203" s="7">
        <f>'1 datos preparados'!R196</f>
        <v/>
      </c>
      <c r="T203" s="7">
        <f>'1 datos preparados'!S196</f>
        <v/>
      </c>
      <c r="U203" s="7">
        <f>'1 datos preparados'!T196</f>
        <v/>
      </c>
      <c r="V203" s="8">
        <f>$AE$12+D203*$AE$13+E203*$AE$14+F203*$AE$15+G203*$AE$16+H203*$AE$17+I203*$AE$18+J203*$AE$19+K203*$AE$20+L203*$AE$21+M203*$AE$22+N203*$AE$23+O203*$AE$24+P203*$AE$25+Q203*$AE$26+R203*$AE$27+S203*$AE$28+T203*$AE$29+U203*$AE$30</f>
        <v/>
      </c>
      <c r="W203" s="8">
        <f>1/(1+EXP(-V203))</f>
        <v/>
      </c>
      <c r="X203" s="9">
        <f>-IF(C203=1,LN(W203),LN(1-W203))</f>
        <v/>
      </c>
      <c r="Y203" s="8">
        <f>1</f>
        <v/>
      </c>
      <c r="Z203" s="9">
        <f>Y203*X203</f>
        <v/>
      </c>
      <c r="AA203" s="10">
        <f>IF(W203&gt;$AE$32,1,0)</f>
        <v/>
      </c>
      <c r="AB203">
        <f>IF(AA203=C203,1,0)</f>
        <v/>
      </c>
    </row>
    <row r="204">
      <c r="A204">
        <f>'1 datos preparados'!A197</f>
        <v/>
      </c>
      <c r="B204" s="5">
        <f>'1 datos preparados'!U197</f>
        <v/>
      </c>
      <c r="C204">
        <f>'1 datos preparados'!B197</f>
        <v/>
      </c>
      <c r="D204" s="7">
        <f>'1 datos preparados'!C197</f>
        <v/>
      </c>
      <c r="E204" s="7">
        <f>'1 datos preparados'!D197</f>
        <v/>
      </c>
      <c r="F204" s="7">
        <f>'1 datos preparados'!E197</f>
        <v/>
      </c>
      <c r="G204" s="7">
        <f>'1 datos preparados'!F197</f>
        <v/>
      </c>
      <c r="H204" s="7">
        <f>'1 datos preparados'!G197</f>
        <v/>
      </c>
      <c r="I204" s="7">
        <f>'1 datos preparados'!H197</f>
        <v/>
      </c>
      <c r="J204" s="7">
        <f>'1 datos preparados'!I197</f>
        <v/>
      </c>
      <c r="K204" s="7">
        <f>'1 datos preparados'!J197</f>
        <v/>
      </c>
      <c r="L204" s="7">
        <f>'1 datos preparados'!K197</f>
        <v/>
      </c>
      <c r="M204" s="7">
        <f>'1 datos preparados'!L197</f>
        <v/>
      </c>
      <c r="N204" s="7">
        <f>'1 datos preparados'!M197</f>
        <v/>
      </c>
      <c r="O204" s="7">
        <f>'1 datos preparados'!N197</f>
        <v/>
      </c>
      <c r="P204" s="7">
        <f>'1 datos preparados'!O197</f>
        <v/>
      </c>
      <c r="Q204" s="7">
        <f>'1 datos preparados'!P197</f>
        <v/>
      </c>
      <c r="R204" s="7">
        <f>'1 datos preparados'!Q197</f>
        <v/>
      </c>
      <c r="S204" s="7">
        <f>'1 datos preparados'!R197</f>
        <v/>
      </c>
      <c r="T204" s="7">
        <f>'1 datos preparados'!S197</f>
        <v/>
      </c>
      <c r="U204" s="7">
        <f>'1 datos preparados'!T197</f>
        <v/>
      </c>
      <c r="V204" s="8">
        <f>$AE$12+D204*$AE$13+E204*$AE$14+F204*$AE$15+G204*$AE$16+H204*$AE$17+I204*$AE$18+J204*$AE$19+K204*$AE$20+L204*$AE$21+M204*$AE$22+N204*$AE$23+O204*$AE$24+P204*$AE$25+Q204*$AE$26+R204*$AE$27+S204*$AE$28+T204*$AE$29+U204*$AE$30</f>
        <v/>
      </c>
      <c r="W204" s="8">
        <f>1/(1+EXP(-V204))</f>
        <v/>
      </c>
      <c r="X204" s="9">
        <f>-IF(C204=1,LN(W204),LN(1-W204))</f>
        <v/>
      </c>
      <c r="Y204" s="8">
        <f>1</f>
        <v/>
      </c>
      <c r="Z204" s="9">
        <f>Y204*X204</f>
        <v/>
      </c>
      <c r="AA204" s="10">
        <f>IF(W204&gt;$AE$32,1,0)</f>
        <v/>
      </c>
      <c r="AB204">
        <f>IF(AA204=C204,1,0)</f>
        <v/>
      </c>
    </row>
    <row r="205">
      <c r="A205">
        <f>'1 datos preparados'!A198</f>
        <v/>
      </c>
      <c r="B205" s="5">
        <f>'1 datos preparados'!U198</f>
        <v/>
      </c>
      <c r="C205">
        <f>'1 datos preparados'!B198</f>
        <v/>
      </c>
      <c r="D205" s="7">
        <f>'1 datos preparados'!C198</f>
        <v/>
      </c>
      <c r="E205" s="7">
        <f>'1 datos preparados'!D198</f>
        <v/>
      </c>
      <c r="F205" s="7">
        <f>'1 datos preparados'!E198</f>
        <v/>
      </c>
      <c r="G205" s="7">
        <f>'1 datos preparados'!F198</f>
        <v/>
      </c>
      <c r="H205" s="7">
        <f>'1 datos preparados'!G198</f>
        <v/>
      </c>
      <c r="I205" s="7">
        <f>'1 datos preparados'!H198</f>
        <v/>
      </c>
      <c r="J205" s="7">
        <f>'1 datos preparados'!I198</f>
        <v/>
      </c>
      <c r="K205" s="7">
        <f>'1 datos preparados'!J198</f>
        <v/>
      </c>
      <c r="L205" s="7">
        <f>'1 datos preparados'!K198</f>
        <v/>
      </c>
      <c r="M205" s="7">
        <f>'1 datos preparados'!L198</f>
        <v/>
      </c>
      <c r="N205" s="7">
        <f>'1 datos preparados'!M198</f>
        <v/>
      </c>
      <c r="O205" s="7">
        <f>'1 datos preparados'!N198</f>
        <v/>
      </c>
      <c r="P205" s="7">
        <f>'1 datos preparados'!O198</f>
        <v/>
      </c>
      <c r="Q205" s="7">
        <f>'1 datos preparados'!P198</f>
        <v/>
      </c>
      <c r="R205" s="7">
        <f>'1 datos preparados'!Q198</f>
        <v/>
      </c>
      <c r="S205" s="7">
        <f>'1 datos preparados'!R198</f>
        <v/>
      </c>
      <c r="T205" s="7">
        <f>'1 datos preparados'!S198</f>
        <v/>
      </c>
      <c r="U205" s="7">
        <f>'1 datos preparados'!T198</f>
        <v/>
      </c>
      <c r="V205" s="8">
        <f>$AE$12+D205*$AE$13+E205*$AE$14+F205*$AE$15+G205*$AE$16+H205*$AE$17+I205*$AE$18+J205*$AE$19+K205*$AE$20+L205*$AE$21+M205*$AE$22+N205*$AE$23+O205*$AE$24+P205*$AE$25+Q205*$AE$26+R205*$AE$27+S205*$AE$28+T205*$AE$29+U205*$AE$30</f>
        <v/>
      </c>
      <c r="W205" s="8">
        <f>1/(1+EXP(-V205))</f>
        <v/>
      </c>
      <c r="X205" s="9">
        <f>-IF(C205=1,LN(W205),LN(1-W205))</f>
        <v/>
      </c>
      <c r="Y205" s="8">
        <f>1</f>
        <v/>
      </c>
      <c r="Z205" s="9">
        <f>Y205*X205</f>
        <v/>
      </c>
      <c r="AA205" s="10">
        <f>IF(W205&gt;$AE$32,1,0)</f>
        <v/>
      </c>
      <c r="AB205">
        <f>IF(AA205=C205,1,0)</f>
        <v/>
      </c>
    </row>
    <row r="206">
      <c r="A206">
        <f>'1 datos preparados'!A199</f>
        <v/>
      </c>
      <c r="B206" s="5">
        <f>'1 datos preparados'!U199</f>
        <v/>
      </c>
      <c r="C206">
        <f>'1 datos preparados'!B199</f>
        <v/>
      </c>
      <c r="D206" s="7">
        <f>'1 datos preparados'!C199</f>
        <v/>
      </c>
      <c r="E206" s="7">
        <f>'1 datos preparados'!D199</f>
        <v/>
      </c>
      <c r="F206" s="7">
        <f>'1 datos preparados'!E199</f>
        <v/>
      </c>
      <c r="G206" s="7">
        <f>'1 datos preparados'!F199</f>
        <v/>
      </c>
      <c r="H206" s="7">
        <f>'1 datos preparados'!G199</f>
        <v/>
      </c>
      <c r="I206" s="7">
        <f>'1 datos preparados'!H199</f>
        <v/>
      </c>
      <c r="J206" s="7">
        <f>'1 datos preparados'!I199</f>
        <v/>
      </c>
      <c r="K206" s="7">
        <f>'1 datos preparados'!J199</f>
        <v/>
      </c>
      <c r="L206" s="7">
        <f>'1 datos preparados'!K199</f>
        <v/>
      </c>
      <c r="M206" s="7">
        <f>'1 datos preparados'!L199</f>
        <v/>
      </c>
      <c r="N206" s="7">
        <f>'1 datos preparados'!M199</f>
        <v/>
      </c>
      <c r="O206" s="7">
        <f>'1 datos preparados'!N199</f>
        <v/>
      </c>
      <c r="P206" s="7">
        <f>'1 datos preparados'!O199</f>
        <v/>
      </c>
      <c r="Q206" s="7">
        <f>'1 datos preparados'!P199</f>
        <v/>
      </c>
      <c r="R206" s="7">
        <f>'1 datos preparados'!Q199</f>
        <v/>
      </c>
      <c r="S206" s="7">
        <f>'1 datos preparados'!R199</f>
        <v/>
      </c>
      <c r="T206" s="7">
        <f>'1 datos preparados'!S199</f>
        <v/>
      </c>
      <c r="U206" s="7">
        <f>'1 datos preparados'!T199</f>
        <v/>
      </c>
      <c r="V206" s="8">
        <f>$AE$12+D206*$AE$13+E206*$AE$14+F206*$AE$15+G206*$AE$16+H206*$AE$17+I206*$AE$18+J206*$AE$19+K206*$AE$20+L206*$AE$21+M206*$AE$22+N206*$AE$23+O206*$AE$24+P206*$AE$25+Q206*$AE$26+R206*$AE$27+S206*$AE$28+T206*$AE$29+U206*$AE$30</f>
        <v/>
      </c>
      <c r="W206" s="8">
        <f>1/(1+EXP(-V206))</f>
        <v/>
      </c>
      <c r="X206" s="9">
        <f>-IF(C206=1,LN(W206),LN(1-W206))</f>
        <v/>
      </c>
      <c r="Y206" s="8">
        <f>1</f>
        <v/>
      </c>
      <c r="Z206" s="9">
        <f>Y206*X206</f>
        <v/>
      </c>
      <c r="AA206" s="10">
        <f>IF(W206&gt;$AE$32,1,0)</f>
        <v/>
      </c>
      <c r="AB206">
        <f>IF(AA206=C206,1,0)</f>
        <v/>
      </c>
    </row>
    <row r="207">
      <c r="A207">
        <f>'1 datos preparados'!A200</f>
        <v/>
      </c>
      <c r="B207" s="5">
        <f>'1 datos preparados'!U200</f>
        <v/>
      </c>
      <c r="C207">
        <f>'1 datos preparados'!B200</f>
        <v/>
      </c>
      <c r="D207" s="7">
        <f>'1 datos preparados'!C200</f>
        <v/>
      </c>
      <c r="E207" s="7">
        <f>'1 datos preparados'!D200</f>
        <v/>
      </c>
      <c r="F207" s="7">
        <f>'1 datos preparados'!E200</f>
        <v/>
      </c>
      <c r="G207" s="7">
        <f>'1 datos preparados'!F200</f>
        <v/>
      </c>
      <c r="H207" s="7">
        <f>'1 datos preparados'!G200</f>
        <v/>
      </c>
      <c r="I207" s="7">
        <f>'1 datos preparados'!H200</f>
        <v/>
      </c>
      <c r="J207" s="7">
        <f>'1 datos preparados'!I200</f>
        <v/>
      </c>
      <c r="K207" s="7">
        <f>'1 datos preparados'!J200</f>
        <v/>
      </c>
      <c r="L207" s="7">
        <f>'1 datos preparados'!K200</f>
        <v/>
      </c>
      <c r="M207" s="7">
        <f>'1 datos preparados'!L200</f>
        <v/>
      </c>
      <c r="N207" s="7">
        <f>'1 datos preparados'!M200</f>
        <v/>
      </c>
      <c r="O207" s="7">
        <f>'1 datos preparados'!N200</f>
        <v/>
      </c>
      <c r="P207" s="7">
        <f>'1 datos preparados'!O200</f>
        <v/>
      </c>
      <c r="Q207" s="7">
        <f>'1 datos preparados'!P200</f>
        <v/>
      </c>
      <c r="R207" s="7">
        <f>'1 datos preparados'!Q200</f>
        <v/>
      </c>
      <c r="S207" s="7">
        <f>'1 datos preparados'!R200</f>
        <v/>
      </c>
      <c r="T207" s="7">
        <f>'1 datos preparados'!S200</f>
        <v/>
      </c>
      <c r="U207" s="7">
        <f>'1 datos preparados'!T200</f>
        <v/>
      </c>
      <c r="V207" s="8">
        <f>$AE$12+D207*$AE$13+E207*$AE$14+F207*$AE$15+G207*$AE$16+H207*$AE$17+I207*$AE$18+J207*$AE$19+K207*$AE$20+L207*$AE$21+M207*$AE$22+N207*$AE$23+O207*$AE$24+P207*$AE$25+Q207*$AE$26+R207*$AE$27+S207*$AE$28+T207*$AE$29+U207*$AE$30</f>
        <v/>
      </c>
      <c r="W207" s="8">
        <f>1/(1+EXP(-V207))</f>
        <v/>
      </c>
      <c r="X207" s="9">
        <f>-IF(C207=1,LN(W207),LN(1-W207))</f>
        <v/>
      </c>
      <c r="Y207" s="8">
        <f>1</f>
        <v/>
      </c>
      <c r="Z207" s="9">
        <f>Y207*X207</f>
        <v/>
      </c>
      <c r="AA207" s="10">
        <f>IF(W207&gt;$AE$32,1,0)</f>
        <v/>
      </c>
      <c r="AB207">
        <f>IF(AA207=C207,1,0)</f>
        <v/>
      </c>
    </row>
    <row r="208">
      <c r="A208">
        <f>'1 datos preparados'!A201</f>
        <v/>
      </c>
      <c r="B208" s="5">
        <f>'1 datos preparados'!U201</f>
        <v/>
      </c>
      <c r="C208">
        <f>'1 datos preparados'!B201</f>
        <v/>
      </c>
      <c r="D208" s="7">
        <f>'1 datos preparados'!C201</f>
        <v/>
      </c>
      <c r="E208" s="7">
        <f>'1 datos preparados'!D201</f>
        <v/>
      </c>
      <c r="F208" s="7">
        <f>'1 datos preparados'!E201</f>
        <v/>
      </c>
      <c r="G208" s="7">
        <f>'1 datos preparados'!F201</f>
        <v/>
      </c>
      <c r="H208" s="7">
        <f>'1 datos preparados'!G201</f>
        <v/>
      </c>
      <c r="I208" s="7">
        <f>'1 datos preparados'!H201</f>
        <v/>
      </c>
      <c r="J208" s="7">
        <f>'1 datos preparados'!I201</f>
        <v/>
      </c>
      <c r="K208" s="7">
        <f>'1 datos preparados'!J201</f>
        <v/>
      </c>
      <c r="L208" s="7">
        <f>'1 datos preparados'!K201</f>
        <v/>
      </c>
      <c r="M208" s="7">
        <f>'1 datos preparados'!L201</f>
        <v/>
      </c>
      <c r="N208" s="7">
        <f>'1 datos preparados'!M201</f>
        <v/>
      </c>
      <c r="O208" s="7">
        <f>'1 datos preparados'!N201</f>
        <v/>
      </c>
      <c r="P208" s="7">
        <f>'1 datos preparados'!O201</f>
        <v/>
      </c>
      <c r="Q208" s="7">
        <f>'1 datos preparados'!P201</f>
        <v/>
      </c>
      <c r="R208" s="7">
        <f>'1 datos preparados'!Q201</f>
        <v/>
      </c>
      <c r="S208" s="7">
        <f>'1 datos preparados'!R201</f>
        <v/>
      </c>
      <c r="T208" s="7">
        <f>'1 datos preparados'!S201</f>
        <v/>
      </c>
      <c r="U208" s="7">
        <f>'1 datos preparados'!T201</f>
        <v/>
      </c>
      <c r="V208" s="8">
        <f>$AE$12+D208*$AE$13+E208*$AE$14+F208*$AE$15+G208*$AE$16+H208*$AE$17+I208*$AE$18+J208*$AE$19+K208*$AE$20+L208*$AE$21+M208*$AE$22+N208*$AE$23+O208*$AE$24+P208*$AE$25+Q208*$AE$26+R208*$AE$27+S208*$AE$28+T208*$AE$29+U208*$AE$30</f>
        <v/>
      </c>
      <c r="W208" s="8">
        <f>1/(1+EXP(-V208))</f>
        <v/>
      </c>
      <c r="X208" s="9">
        <f>-IF(C208=1,LN(W208),LN(1-W208))</f>
        <v/>
      </c>
      <c r="Y208" s="8">
        <f>1</f>
        <v/>
      </c>
      <c r="Z208" s="9">
        <f>Y208*X208</f>
        <v/>
      </c>
      <c r="AA208" s="10">
        <f>IF(W208&gt;$AE$32,1,0)</f>
        <v/>
      </c>
      <c r="AB208">
        <f>IF(AA208=C208,1,0)</f>
        <v/>
      </c>
    </row>
    <row r="209">
      <c r="A209">
        <f>'1 datos preparados'!A202</f>
        <v/>
      </c>
      <c r="B209" s="5">
        <f>'1 datos preparados'!U202</f>
        <v/>
      </c>
      <c r="C209">
        <f>'1 datos preparados'!B202</f>
        <v/>
      </c>
      <c r="D209" s="7">
        <f>'1 datos preparados'!C202</f>
        <v/>
      </c>
      <c r="E209" s="7">
        <f>'1 datos preparados'!D202</f>
        <v/>
      </c>
      <c r="F209" s="7">
        <f>'1 datos preparados'!E202</f>
        <v/>
      </c>
      <c r="G209" s="7">
        <f>'1 datos preparados'!F202</f>
        <v/>
      </c>
      <c r="H209" s="7">
        <f>'1 datos preparados'!G202</f>
        <v/>
      </c>
      <c r="I209" s="7">
        <f>'1 datos preparados'!H202</f>
        <v/>
      </c>
      <c r="J209" s="7">
        <f>'1 datos preparados'!I202</f>
        <v/>
      </c>
      <c r="K209" s="7">
        <f>'1 datos preparados'!J202</f>
        <v/>
      </c>
      <c r="L209" s="7">
        <f>'1 datos preparados'!K202</f>
        <v/>
      </c>
      <c r="M209" s="7">
        <f>'1 datos preparados'!L202</f>
        <v/>
      </c>
      <c r="N209" s="7">
        <f>'1 datos preparados'!M202</f>
        <v/>
      </c>
      <c r="O209" s="7">
        <f>'1 datos preparados'!N202</f>
        <v/>
      </c>
      <c r="P209" s="7">
        <f>'1 datos preparados'!O202</f>
        <v/>
      </c>
      <c r="Q209" s="7">
        <f>'1 datos preparados'!P202</f>
        <v/>
      </c>
      <c r="R209" s="7">
        <f>'1 datos preparados'!Q202</f>
        <v/>
      </c>
      <c r="S209" s="7">
        <f>'1 datos preparados'!R202</f>
        <v/>
      </c>
      <c r="T209" s="7">
        <f>'1 datos preparados'!S202</f>
        <v/>
      </c>
      <c r="U209" s="7">
        <f>'1 datos preparados'!T202</f>
        <v/>
      </c>
      <c r="V209" s="8">
        <f>$AE$12+D209*$AE$13+E209*$AE$14+F209*$AE$15+G209*$AE$16+H209*$AE$17+I209*$AE$18+J209*$AE$19+K209*$AE$20+L209*$AE$21+M209*$AE$22+N209*$AE$23+O209*$AE$24+P209*$AE$25+Q209*$AE$26+R209*$AE$27+S209*$AE$28+T209*$AE$29+U209*$AE$30</f>
        <v/>
      </c>
      <c r="W209" s="8">
        <f>1/(1+EXP(-V209))</f>
        <v/>
      </c>
      <c r="X209" s="9">
        <f>-IF(C209=1,LN(W209),LN(1-W209))</f>
        <v/>
      </c>
      <c r="Y209" s="8">
        <f>1</f>
        <v/>
      </c>
      <c r="Z209" s="9">
        <f>Y209*X209</f>
        <v/>
      </c>
      <c r="AA209" s="10">
        <f>IF(W209&gt;$AE$32,1,0)</f>
        <v/>
      </c>
      <c r="AB209">
        <f>IF(AA209=C209,1,0)</f>
        <v/>
      </c>
    </row>
    <row r="210">
      <c r="A210">
        <f>'1 datos preparados'!A203</f>
        <v/>
      </c>
      <c r="B210" s="5">
        <f>'1 datos preparados'!U203</f>
        <v/>
      </c>
      <c r="C210">
        <f>'1 datos preparados'!B203</f>
        <v/>
      </c>
      <c r="D210" s="7">
        <f>'1 datos preparados'!C203</f>
        <v/>
      </c>
      <c r="E210" s="7">
        <f>'1 datos preparados'!D203</f>
        <v/>
      </c>
      <c r="F210" s="7">
        <f>'1 datos preparados'!E203</f>
        <v/>
      </c>
      <c r="G210" s="7">
        <f>'1 datos preparados'!F203</f>
        <v/>
      </c>
      <c r="H210" s="7">
        <f>'1 datos preparados'!G203</f>
        <v/>
      </c>
      <c r="I210" s="7">
        <f>'1 datos preparados'!H203</f>
        <v/>
      </c>
      <c r="J210" s="7">
        <f>'1 datos preparados'!I203</f>
        <v/>
      </c>
      <c r="K210" s="7">
        <f>'1 datos preparados'!J203</f>
        <v/>
      </c>
      <c r="L210" s="7">
        <f>'1 datos preparados'!K203</f>
        <v/>
      </c>
      <c r="M210" s="7">
        <f>'1 datos preparados'!L203</f>
        <v/>
      </c>
      <c r="N210" s="7">
        <f>'1 datos preparados'!M203</f>
        <v/>
      </c>
      <c r="O210" s="7">
        <f>'1 datos preparados'!N203</f>
        <v/>
      </c>
      <c r="P210" s="7">
        <f>'1 datos preparados'!O203</f>
        <v/>
      </c>
      <c r="Q210" s="7">
        <f>'1 datos preparados'!P203</f>
        <v/>
      </c>
      <c r="R210" s="7">
        <f>'1 datos preparados'!Q203</f>
        <v/>
      </c>
      <c r="S210" s="7">
        <f>'1 datos preparados'!R203</f>
        <v/>
      </c>
      <c r="T210" s="7">
        <f>'1 datos preparados'!S203</f>
        <v/>
      </c>
      <c r="U210" s="7">
        <f>'1 datos preparados'!T203</f>
        <v/>
      </c>
      <c r="V210" s="8">
        <f>$AE$12+D210*$AE$13+E210*$AE$14+F210*$AE$15+G210*$AE$16+H210*$AE$17+I210*$AE$18+J210*$AE$19+K210*$AE$20+L210*$AE$21+M210*$AE$22+N210*$AE$23+O210*$AE$24+P210*$AE$25+Q210*$AE$26+R210*$AE$27+S210*$AE$28+T210*$AE$29+U210*$AE$30</f>
        <v/>
      </c>
      <c r="W210" s="8">
        <f>1/(1+EXP(-V210))</f>
        <v/>
      </c>
      <c r="X210" s="9">
        <f>-IF(C210=1,LN(W210),LN(1-W210))</f>
        <v/>
      </c>
      <c r="Y210" s="8">
        <f>1</f>
        <v/>
      </c>
      <c r="Z210" s="9">
        <f>Y210*X210</f>
        <v/>
      </c>
      <c r="AA210" s="10">
        <f>IF(W210&gt;$AE$32,1,0)</f>
        <v/>
      </c>
      <c r="AB210">
        <f>IF(AA210=C210,1,0)</f>
        <v/>
      </c>
    </row>
    <row r="211">
      <c r="A211">
        <f>'1 datos preparados'!A204</f>
        <v/>
      </c>
      <c r="B211" s="5">
        <f>'1 datos preparados'!U204</f>
        <v/>
      </c>
      <c r="C211">
        <f>'1 datos preparados'!B204</f>
        <v/>
      </c>
      <c r="D211" s="7">
        <f>'1 datos preparados'!C204</f>
        <v/>
      </c>
      <c r="E211" s="7">
        <f>'1 datos preparados'!D204</f>
        <v/>
      </c>
      <c r="F211" s="7">
        <f>'1 datos preparados'!E204</f>
        <v/>
      </c>
      <c r="G211" s="7">
        <f>'1 datos preparados'!F204</f>
        <v/>
      </c>
      <c r="H211" s="7">
        <f>'1 datos preparados'!G204</f>
        <v/>
      </c>
      <c r="I211" s="7">
        <f>'1 datos preparados'!H204</f>
        <v/>
      </c>
      <c r="J211" s="7">
        <f>'1 datos preparados'!I204</f>
        <v/>
      </c>
      <c r="K211" s="7">
        <f>'1 datos preparados'!J204</f>
        <v/>
      </c>
      <c r="L211" s="7">
        <f>'1 datos preparados'!K204</f>
        <v/>
      </c>
      <c r="M211" s="7">
        <f>'1 datos preparados'!L204</f>
        <v/>
      </c>
      <c r="N211" s="7">
        <f>'1 datos preparados'!M204</f>
        <v/>
      </c>
      <c r="O211" s="7">
        <f>'1 datos preparados'!N204</f>
        <v/>
      </c>
      <c r="P211" s="7">
        <f>'1 datos preparados'!O204</f>
        <v/>
      </c>
      <c r="Q211" s="7">
        <f>'1 datos preparados'!P204</f>
        <v/>
      </c>
      <c r="R211" s="7">
        <f>'1 datos preparados'!Q204</f>
        <v/>
      </c>
      <c r="S211" s="7">
        <f>'1 datos preparados'!R204</f>
        <v/>
      </c>
      <c r="T211" s="7">
        <f>'1 datos preparados'!S204</f>
        <v/>
      </c>
      <c r="U211" s="7">
        <f>'1 datos preparados'!T204</f>
        <v/>
      </c>
      <c r="V211" s="8">
        <f>$AE$12+D211*$AE$13+E211*$AE$14+F211*$AE$15+G211*$AE$16+H211*$AE$17+I211*$AE$18+J211*$AE$19+K211*$AE$20+L211*$AE$21+M211*$AE$22+N211*$AE$23+O211*$AE$24+P211*$AE$25+Q211*$AE$26+R211*$AE$27+S211*$AE$28+T211*$AE$29+U211*$AE$30</f>
        <v/>
      </c>
      <c r="W211" s="8">
        <f>1/(1+EXP(-V211))</f>
        <v/>
      </c>
      <c r="X211" s="9">
        <f>-IF(C211=1,LN(W211),LN(1-W211))</f>
        <v/>
      </c>
      <c r="Y211" s="8">
        <f>1</f>
        <v/>
      </c>
      <c r="Z211" s="9">
        <f>Y211*X211</f>
        <v/>
      </c>
      <c r="AA211" s="10">
        <f>IF(W211&gt;$AE$32,1,0)</f>
        <v/>
      </c>
      <c r="AB211">
        <f>IF(AA211=C211,1,0)</f>
        <v/>
      </c>
    </row>
    <row r="212">
      <c r="A212">
        <f>'1 datos preparados'!A205</f>
        <v/>
      </c>
      <c r="B212" s="5">
        <f>'1 datos preparados'!U205</f>
        <v/>
      </c>
      <c r="C212">
        <f>'1 datos preparados'!B205</f>
        <v/>
      </c>
      <c r="D212" s="7">
        <f>'1 datos preparados'!C205</f>
        <v/>
      </c>
      <c r="E212" s="7">
        <f>'1 datos preparados'!D205</f>
        <v/>
      </c>
      <c r="F212" s="7">
        <f>'1 datos preparados'!E205</f>
        <v/>
      </c>
      <c r="G212" s="7">
        <f>'1 datos preparados'!F205</f>
        <v/>
      </c>
      <c r="H212" s="7">
        <f>'1 datos preparados'!G205</f>
        <v/>
      </c>
      <c r="I212" s="7">
        <f>'1 datos preparados'!H205</f>
        <v/>
      </c>
      <c r="J212" s="7">
        <f>'1 datos preparados'!I205</f>
        <v/>
      </c>
      <c r="K212" s="7">
        <f>'1 datos preparados'!J205</f>
        <v/>
      </c>
      <c r="L212" s="7">
        <f>'1 datos preparados'!K205</f>
        <v/>
      </c>
      <c r="M212" s="7">
        <f>'1 datos preparados'!L205</f>
        <v/>
      </c>
      <c r="N212" s="7">
        <f>'1 datos preparados'!M205</f>
        <v/>
      </c>
      <c r="O212" s="7">
        <f>'1 datos preparados'!N205</f>
        <v/>
      </c>
      <c r="P212" s="7">
        <f>'1 datos preparados'!O205</f>
        <v/>
      </c>
      <c r="Q212" s="7">
        <f>'1 datos preparados'!P205</f>
        <v/>
      </c>
      <c r="R212" s="7">
        <f>'1 datos preparados'!Q205</f>
        <v/>
      </c>
      <c r="S212" s="7">
        <f>'1 datos preparados'!R205</f>
        <v/>
      </c>
      <c r="T212" s="7">
        <f>'1 datos preparados'!S205</f>
        <v/>
      </c>
      <c r="U212" s="7">
        <f>'1 datos preparados'!T205</f>
        <v/>
      </c>
      <c r="V212" s="8">
        <f>$AE$12+D212*$AE$13+E212*$AE$14+F212*$AE$15+G212*$AE$16+H212*$AE$17+I212*$AE$18+J212*$AE$19+K212*$AE$20+L212*$AE$21+M212*$AE$22+N212*$AE$23+O212*$AE$24+P212*$AE$25+Q212*$AE$26+R212*$AE$27+S212*$AE$28+T212*$AE$29+U212*$AE$30</f>
        <v/>
      </c>
      <c r="W212" s="8">
        <f>1/(1+EXP(-V212))</f>
        <v/>
      </c>
      <c r="X212" s="9">
        <f>-IF(C212=1,LN(W212),LN(1-W212))</f>
        <v/>
      </c>
      <c r="Y212" s="8">
        <f>1</f>
        <v/>
      </c>
      <c r="Z212" s="9">
        <f>Y212*X212</f>
        <v/>
      </c>
      <c r="AA212" s="10">
        <f>IF(W212&gt;$AE$32,1,0)</f>
        <v/>
      </c>
      <c r="AB212">
        <f>IF(AA212=C212,1,0)</f>
        <v/>
      </c>
    </row>
    <row r="213">
      <c r="A213">
        <f>'1 datos preparados'!A206</f>
        <v/>
      </c>
      <c r="B213" s="5">
        <f>'1 datos preparados'!U206</f>
        <v/>
      </c>
      <c r="C213">
        <f>'1 datos preparados'!B206</f>
        <v/>
      </c>
      <c r="D213" s="7">
        <f>'1 datos preparados'!C206</f>
        <v/>
      </c>
      <c r="E213" s="7">
        <f>'1 datos preparados'!D206</f>
        <v/>
      </c>
      <c r="F213" s="7">
        <f>'1 datos preparados'!E206</f>
        <v/>
      </c>
      <c r="G213" s="7">
        <f>'1 datos preparados'!F206</f>
        <v/>
      </c>
      <c r="H213" s="7">
        <f>'1 datos preparados'!G206</f>
        <v/>
      </c>
      <c r="I213" s="7">
        <f>'1 datos preparados'!H206</f>
        <v/>
      </c>
      <c r="J213" s="7">
        <f>'1 datos preparados'!I206</f>
        <v/>
      </c>
      <c r="K213" s="7">
        <f>'1 datos preparados'!J206</f>
        <v/>
      </c>
      <c r="L213" s="7">
        <f>'1 datos preparados'!K206</f>
        <v/>
      </c>
      <c r="M213" s="7">
        <f>'1 datos preparados'!L206</f>
        <v/>
      </c>
      <c r="N213" s="7">
        <f>'1 datos preparados'!M206</f>
        <v/>
      </c>
      <c r="O213" s="7">
        <f>'1 datos preparados'!N206</f>
        <v/>
      </c>
      <c r="P213" s="7">
        <f>'1 datos preparados'!O206</f>
        <v/>
      </c>
      <c r="Q213" s="7">
        <f>'1 datos preparados'!P206</f>
        <v/>
      </c>
      <c r="R213" s="7">
        <f>'1 datos preparados'!Q206</f>
        <v/>
      </c>
      <c r="S213" s="7">
        <f>'1 datos preparados'!R206</f>
        <v/>
      </c>
      <c r="T213" s="7">
        <f>'1 datos preparados'!S206</f>
        <v/>
      </c>
      <c r="U213" s="7">
        <f>'1 datos preparados'!T206</f>
        <v/>
      </c>
      <c r="V213" s="8">
        <f>$AE$12+D213*$AE$13+E213*$AE$14+F213*$AE$15+G213*$AE$16+H213*$AE$17+I213*$AE$18+J213*$AE$19+K213*$AE$20+L213*$AE$21+M213*$AE$22+N213*$AE$23+O213*$AE$24+P213*$AE$25+Q213*$AE$26+R213*$AE$27+S213*$AE$28+T213*$AE$29+U213*$AE$30</f>
        <v/>
      </c>
      <c r="W213" s="8">
        <f>1/(1+EXP(-V213))</f>
        <v/>
      </c>
      <c r="X213" s="9">
        <f>-IF(C213=1,LN(W213),LN(1-W213))</f>
        <v/>
      </c>
      <c r="Y213" s="8">
        <f>1</f>
        <v/>
      </c>
      <c r="Z213" s="9">
        <f>Y213*X213</f>
        <v/>
      </c>
      <c r="AA213" s="10">
        <f>IF(W213&gt;$AE$32,1,0)</f>
        <v/>
      </c>
      <c r="AB213">
        <f>IF(AA213=C213,1,0)</f>
        <v/>
      </c>
    </row>
    <row r="214">
      <c r="A214">
        <f>'1 datos preparados'!A207</f>
        <v/>
      </c>
      <c r="B214" s="5">
        <f>'1 datos preparados'!U207</f>
        <v/>
      </c>
      <c r="C214">
        <f>'1 datos preparados'!B207</f>
        <v/>
      </c>
      <c r="D214" s="7">
        <f>'1 datos preparados'!C207</f>
        <v/>
      </c>
      <c r="E214" s="7">
        <f>'1 datos preparados'!D207</f>
        <v/>
      </c>
      <c r="F214" s="7">
        <f>'1 datos preparados'!E207</f>
        <v/>
      </c>
      <c r="G214" s="7">
        <f>'1 datos preparados'!F207</f>
        <v/>
      </c>
      <c r="H214" s="7">
        <f>'1 datos preparados'!G207</f>
        <v/>
      </c>
      <c r="I214" s="7">
        <f>'1 datos preparados'!H207</f>
        <v/>
      </c>
      <c r="J214" s="7">
        <f>'1 datos preparados'!I207</f>
        <v/>
      </c>
      <c r="K214" s="7">
        <f>'1 datos preparados'!J207</f>
        <v/>
      </c>
      <c r="L214" s="7">
        <f>'1 datos preparados'!K207</f>
        <v/>
      </c>
      <c r="M214" s="7">
        <f>'1 datos preparados'!L207</f>
        <v/>
      </c>
      <c r="N214" s="7">
        <f>'1 datos preparados'!M207</f>
        <v/>
      </c>
      <c r="O214" s="7">
        <f>'1 datos preparados'!N207</f>
        <v/>
      </c>
      <c r="P214" s="7">
        <f>'1 datos preparados'!O207</f>
        <v/>
      </c>
      <c r="Q214" s="7">
        <f>'1 datos preparados'!P207</f>
        <v/>
      </c>
      <c r="R214" s="7">
        <f>'1 datos preparados'!Q207</f>
        <v/>
      </c>
      <c r="S214" s="7">
        <f>'1 datos preparados'!R207</f>
        <v/>
      </c>
      <c r="T214" s="7">
        <f>'1 datos preparados'!S207</f>
        <v/>
      </c>
      <c r="U214" s="7">
        <f>'1 datos preparados'!T207</f>
        <v/>
      </c>
      <c r="V214" s="8">
        <f>$AE$12+D214*$AE$13+E214*$AE$14+F214*$AE$15+G214*$AE$16+H214*$AE$17+I214*$AE$18+J214*$AE$19+K214*$AE$20+L214*$AE$21+M214*$AE$22+N214*$AE$23+O214*$AE$24+P214*$AE$25+Q214*$AE$26+R214*$AE$27+S214*$AE$28+T214*$AE$29+U214*$AE$30</f>
        <v/>
      </c>
      <c r="W214" s="8">
        <f>1/(1+EXP(-V214))</f>
        <v/>
      </c>
      <c r="X214" s="9">
        <f>-IF(C214=1,LN(W214),LN(1-W214))</f>
        <v/>
      </c>
      <c r="Y214" s="8">
        <f>1</f>
        <v/>
      </c>
      <c r="Z214" s="9">
        <f>Y214*X214</f>
        <v/>
      </c>
      <c r="AA214" s="10">
        <f>IF(W214&gt;$AE$32,1,0)</f>
        <v/>
      </c>
      <c r="AB214">
        <f>IF(AA214=C214,1,0)</f>
        <v/>
      </c>
    </row>
    <row r="215">
      <c r="A215">
        <f>'1 datos preparados'!A208</f>
        <v/>
      </c>
      <c r="B215" s="5">
        <f>'1 datos preparados'!U208</f>
        <v/>
      </c>
      <c r="C215">
        <f>'1 datos preparados'!B208</f>
        <v/>
      </c>
      <c r="D215" s="7">
        <f>'1 datos preparados'!C208</f>
        <v/>
      </c>
      <c r="E215" s="7">
        <f>'1 datos preparados'!D208</f>
        <v/>
      </c>
      <c r="F215" s="7">
        <f>'1 datos preparados'!E208</f>
        <v/>
      </c>
      <c r="G215" s="7">
        <f>'1 datos preparados'!F208</f>
        <v/>
      </c>
      <c r="H215" s="7">
        <f>'1 datos preparados'!G208</f>
        <v/>
      </c>
      <c r="I215" s="7">
        <f>'1 datos preparados'!H208</f>
        <v/>
      </c>
      <c r="J215" s="7">
        <f>'1 datos preparados'!I208</f>
        <v/>
      </c>
      <c r="K215" s="7">
        <f>'1 datos preparados'!J208</f>
        <v/>
      </c>
      <c r="L215" s="7">
        <f>'1 datos preparados'!K208</f>
        <v/>
      </c>
      <c r="M215" s="7">
        <f>'1 datos preparados'!L208</f>
        <v/>
      </c>
      <c r="N215" s="7">
        <f>'1 datos preparados'!M208</f>
        <v/>
      </c>
      <c r="O215" s="7">
        <f>'1 datos preparados'!N208</f>
        <v/>
      </c>
      <c r="P215" s="7">
        <f>'1 datos preparados'!O208</f>
        <v/>
      </c>
      <c r="Q215" s="7">
        <f>'1 datos preparados'!P208</f>
        <v/>
      </c>
      <c r="R215" s="7">
        <f>'1 datos preparados'!Q208</f>
        <v/>
      </c>
      <c r="S215" s="7">
        <f>'1 datos preparados'!R208</f>
        <v/>
      </c>
      <c r="T215" s="7">
        <f>'1 datos preparados'!S208</f>
        <v/>
      </c>
      <c r="U215" s="7">
        <f>'1 datos preparados'!T208</f>
        <v/>
      </c>
      <c r="V215" s="8">
        <f>$AE$12+D215*$AE$13+E215*$AE$14+F215*$AE$15+G215*$AE$16+H215*$AE$17+I215*$AE$18+J215*$AE$19+K215*$AE$20+L215*$AE$21+M215*$AE$22+N215*$AE$23+O215*$AE$24+P215*$AE$25+Q215*$AE$26+R215*$AE$27+S215*$AE$28+T215*$AE$29+U215*$AE$30</f>
        <v/>
      </c>
      <c r="W215" s="8">
        <f>1/(1+EXP(-V215))</f>
        <v/>
      </c>
      <c r="X215" s="9">
        <f>-IF(C215=1,LN(W215),LN(1-W215))</f>
        <v/>
      </c>
      <c r="Y215" s="8">
        <f>1</f>
        <v/>
      </c>
      <c r="Z215" s="9">
        <f>Y215*X215</f>
        <v/>
      </c>
      <c r="AA215" s="10">
        <f>IF(W215&gt;$AE$32,1,0)</f>
        <v/>
      </c>
      <c r="AB215">
        <f>IF(AA215=C215,1,0)</f>
        <v/>
      </c>
    </row>
    <row r="216">
      <c r="A216">
        <f>'1 datos preparados'!A209</f>
        <v/>
      </c>
      <c r="B216" s="5">
        <f>'1 datos preparados'!U209</f>
        <v/>
      </c>
      <c r="C216">
        <f>'1 datos preparados'!B209</f>
        <v/>
      </c>
      <c r="D216" s="7">
        <f>'1 datos preparados'!C209</f>
        <v/>
      </c>
      <c r="E216" s="7">
        <f>'1 datos preparados'!D209</f>
        <v/>
      </c>
      <c r="F216" s="7">
        <f>'1 datos preparados'!E209</f>
        <v/>
      </c>
      <c r="G216" s="7">
        <f>'1 datos preparados'!F209</f>
        <v/>
      </c>
      <c r="H216" s="7">
        <f>'1 datos preparados'!G209</f>
        <v/>
      </c>
      <c r="I216" s="7">
        <f>'1 datos preparados'!H209</f>
        <v/>
      </c>
      <c r="J216" s="7">
        <f>'1 datos preparados'!I209</f>
        <v/>
      </c>
      <c r="K216" s="7">
        <f>'1 datos preparados'!J209</f>
        <v/>
      </c>
      <c r="L216" s="7">
        <f>'1 datos preparados'!K209</f>
        <v/>
      </c>
      <c r="M216" s="7">
        <f>'1 datos preparados'!L209</f>
        <v/>
      </c>
      <c r="N216" s="7">
        <f>'1 datos preparados'!M209</f>
        <v/>
      </c>
      <c r="O216" s="7">
        <f>'1 datos preparados'!N209</f>
        <v/>
      </c>
      <c r="P216" s="7">
        <f>'1 datos preparados'!O209</f>
        <v/>
      </c>
      <c r="Q216" s="7">
        <f>'1 datos preparados'!P209</f>
        <v/>
      </c>
      <c r="R216" s="7">
        <f>'1 datos preparados'!Q209</f>
        <v/>
      </c>
      <c r="S216" s="7">
        <f>'1 datos preparados'!R209</f>
        <v/>
      </c>
      <c r="T216" s="7">
        <f>'1 datos preparados'!S209</f>
        <v/>
      </c>
      <c r="U216" s="7">
        <f>'1 datos preparados'!T209</f>
        <v/>
      </c>
      <c r="V216" s="8">
        <f>$AE$12+D216*$AE$13+E216*$AE$14+F216*$AE$15+G216*$AE$16+H216*$AE$17+I216*$AE$18+J216*$AE$19+K216*$AE$20+L216*$AE$21+M216*$AE$22+N216*$AE$23+O216*$AE$24+P216*$AE$25+Q216*$AE$26+R216*$AE$27+S216*$AE$28+T216*$AE$29+U216*$AE$30</f>
        <v/>
      </c>
      <c r="W216" s="8">
        <f>1/(1+EXP(-V216))</f>
        <v/>
      </c>
      <c r="X216" s="9">
        <f>-IF(C216=1,LN(W216),LN(1-W216))</f>
        <v/>
      </c>
      <c r="Y216" s="8">
        <f>1</f>
        <v/>
      </c>
      <c r="Z216" s="9">
        <f>Y216*X216</f>
        <v/>
      </c>
      <c r="AA216" s="10">
        <f>IF(W216&gt;$AE$32,1,0)</f>
        <v/>
      </c>
      <c r="AB216">
        <f>IF(AA216=C216,1,0)</f>
        <v/>
      </c>
    </row>
    <row r="217">
      <c r="A217">
        <f>'1 datos preparados'!A210</f>
        <v/>
      </c>
      <c r="B217" s="5">
        <f>'1 datos preparados'!U210</f>
        <v/>
      </c>
      <c r="C217">
        <f>'1 datos preparados'!B210</f>
        <v/>
      </c>
      <c r="D217" s="7">
        <f>'1 datos preparados'!C210</f>
        <v/>
      </c>
      <c r="E217" s="7">
        <f>'1 datos preparados'!D210</f>
        <v/>
      </c>
      <c r="F217" s="7">
        <f>'1 datos preparados'!E210</f>
        <v/>
      </c>
      <c r="G217" s="7">
        <f>'1 datos preparados'!F210</f>
        <v/>
      </c>
      <c r="H217" s="7">
        <f>'1 datos preparados'!G210</f>
        <v/>
      </c>
      <c r="I217" s="7">
        <f>'1 datos preparados'!H210</f>
        <v/>
      </c>
      <c r="J217" s="7">
        <f>'1 datos preparados'!I210</f>
        <v/>
      </c>
      <c r="K217" s="7">
        <f>'1 datos preparados'!J210</f>
        <v/>
      </c>
      <c r="L217" s="7">
        <f>'1 datos preparados'!K210</f>
        <v/>
      </c>
      <c r="M217" s="7">
        <f>'1 datos preparados'!L210</f>
        <v/>
      </c>
      <c r="N217" s="7">
        <f>'1 datos preparados'!M210</f>
        <v/>
      </c>
      <c r="O217" s="7">
        <f>'1 datos preparados'!N210</f>
        <v/>
      </c>
      <c r="P217" s="7">
        <f>'1 datos preparados'!O210</f>
        <v/>
      </c>
      <c r="Q217" s="7">
        <f>'1 datos preparados'!P210</f>
        <v/>
      </c>
      <c r="R217" s="7">
        <f>'1 datos preparados'!Q210</f>
        <v/>
      </c>
      <c r="S217" s="7">
        <f>'1 datos preparados'!R210</f>
        <v/>
      </c>
      <c r="T217" s="7">
        <f>'1 datos preparados'!S210</f>
        <v/>
      </c>
      <c r="U217" s="7">
        <f>'1 datos preparados'!T210</f>
        <v/>
      </c>
      <c r="V217" s="8">
        <f>$AE$12+D217*$AE$13+E217*$AE$14+F217*$AE$15+G217*$AE$16+H217*$AE$17+I217*$AE$18+J217*$AE$19+K217*$AE$20+L217*$AE$21+M217*$AE$22+N217*$AE$23+O217*$AE$24+P217*$AE$25+Q217*$AE$26+R217*$AE$27+S217*$AE$28+T217*$AE$29+U217*$AE$30</f>
        <v/>
      </c>
      <c r="W217" s="8">
        <f>1/(1+EXP(-V217))</f>
        <v/>
      </c>
      <c r="X217" s="9">
        <f>-IF(C217=1,LN(W217),LN(1-W217))</f>
        <v/>
      </c>
      <c r="Y217" s="8">
        <f>1</f>
        <v/>
      </c>
      <c r="Z217" s="9">
        <f>Y217*X217</f>
        <v/>
      </c>
      <c r="AA217" s="10">
        <f>IF(W217&gt;$AE$32,1,0)</f>
        <v/>
      </c>
      <c r="AB217">
        <f>IF(AA217=C217,1,0)</f>
        <v/>
      </c>
    </row>
    <row r="218">
      <c r="A218">
        <f>'1 datos preparados'!A211</f>
        <v/>
      </c>
      <c r="B218" s="5">
        <f>'1 datos preparados'!U211</f>
        <v/>
      </c>
      <c r="C218">
        <f>'1 datos preparados'!B211</f>
        <v/>
      </c>
      <c r="D218" s="7">
        <f>'1 datos preparados'!C211</f>
        <v/>
      </c>
      <c r="E218" s="7">
        <f>'1 datos preparados'!D211</f>
        <v/>
      </c>
      <c r="F218" s="7">
        <f>'1 datos preparados'!E211</f>
        <v/>
      </c>
      <c r="G218" s="7">
        <f>'1 datos preparados'!F211</f>
        <v/>
      </c>
      <c r="H218" s="7">
        <f>'1 datos preparados'!G211</f>
        <v/>
      </c>
      <c r="I218" s="7">
        <f>'1 datos preparados'!H211</f>
        <v/>
      </c>
      <c r="J218" s="7">
        <f>'1 datos preparados'!I211</f>
        <v/>
      </c>
      <c r="K218" s="7">
        <f>'1 datos preparados'!J211</f>
        <v/>
      </c>
      <c r="L218" s="7">
        <f>'1 datos preparados'!K211</f>
        <v/>
      </c>
      <c r="M218" s="7">
        <f>'1 datos preparados'!L211</f>
        <v/>
      </c>
      <c r="N218" s="7">
        <f>'1 datos preparados'!M211</f>
        <v/>
      </c>
      <c r="O218" s="7">
        <f>'1 datos preparados'!N211</f>
        <v/>
      </c>
      <c r="P218" s="7">
        <f>'1 datos preparados'!O211</f>
        <v/>
      </c>
      <c r="Q218" s="7">
        <f>'1 datos preparados'!P211</f>
        <v/>
      </c>
      <c r="R218" s="7">
        <f>'1 datos preparados'!Q211</f>
        <v/>
      </c>
      <c r="S218" s="7">
        <f>'1 datos preparados'!R211</f>
        <v/>
      </c>
      <c r="T218" s="7">
        <f>'1 datos preparados'!S211</f>
        <v/>
      </c>
      <c r="U218" s="7">
        <f>'1 datos preparados'!T211</f>
        <v/>
      </c>
      <c r="V218" s="8">
        <f>$AE$12+D218*$AE$13+E218*$AE$14+F218*$AE$15+G218*$AE$16+H218*$AE$17+I218*$AE$18+J218*$AE$19+K218*$AE$20+L218*$AE$21+M218*$AE$22+N218*$AE$23+O218*$AE$24+P218*$AE$25+Q218*$AE$26+R218*$AE$27+S218*$AE$28+T218*$AE$29+U218*$AE$30</f>
        <v/>
      </c>
      <c r="W218" s="8">
        <f>1/(1+EXP(-V218))</f>
        <v/>
      </c>
      <c r="X218" s="9">
        <f>-IF(C218=1,LN(W218),LN(1-W218))</f>
        <v/>
      </c>
      <c r="Y218" s="8">
        <f>1</f>
        <v/>
      </c>
      <c r="Z218" s="9">
        <f>Y218*X218</f>
        <v/>
      </c>
      <c r="AA218" s="10">
        <f>IF(W218&gt;$AE$32,1,0)</f>
        <v/>
      </c>
      <c r="AB218">
        <f>IF(AA218=C218,1,0)</f>
        <v/>
      </c>
    </row>
    <row r="219">
      <c r="A219">
        <f>'1 datos preparados'!A212</f>
        <v/>
      </c>
      <c r="B219" s="5">
        <f>'1 datos preparados'!U212</f>
        <v/>
      </c>
      <c r="C219">
        <f>'1 datos preparados'!B212</f>
        <v/>
      </c>
      <c r="D219" s="7">
        <f>'1 datos preparados'!C212</f>
        <v/>
      </c>
      <c r="E219" s="7">
        <f>'1 datos preparados'!D212</f>
        <v/>
      </c>
      <c r="F219" s="7">
        <f>'1 datos preparados'!E212</f>
        <v/>
      </c>
      <c r="G219" s="7">
        <f>'1 datos preparados'!F212</f>
        <v/>
      </c>
      <c r="H219" s="7">
        <f>'1 datos preparados'!G212</f>
        <v/>
      </c>
      <c r="I219" s="7">
        <f>'1 datos preparados'!H212</f>
        <v/>
      </c>
      <c r="J219" s="7">
        <f>'1 datos preparados'!I212</f>
        <v/>
      </c>
      <c r="K219" s="7">
        <f>'1 datos preparados'!J212</f>
        <v/>
      </c>
      <c r="L219" s="7">
        <f>'1 datos preparados'!K212</f>
        <v/>
      </c>
      <c r="M219" s="7">
        <f>'1 datos preparados'!L212</f>
        <v/>
      </c>
      <c r="N219" s="7">
        <f>'1 datos preparados'!M212</f>
        <v/>
      </c>
      <c r="O219" s="7">
        <f>'1 datos preparados'!N212</f>
        <v/>
      </c>
      <c r="P219" s="7">
        <f>'1 datos preparados'!O212</f>
        <v/>
      </c>
      <c r="Q219" s="7">
        <f>'1 datos preparados'!P212</f>
        <v/>
      </c>
      <c r="R219" s="7">
        <f>'1 datos preparados'!Q212</f>
        <v/>
      </c>
      <c r="S219" s="7">
        <f>'1 datos preparados'!R212</f>
        <v/>
      </c>
      <c r="T219" s="7">
        <f>'1 datos preparados'!S212</f>
        <v/>
      </c>
      <c r="U219" s="7">
        <f>'1 datos preparados'!T212</f>
        <v/>
      </c>
      <c r="V219" s="8">
        <f>$AE$12+D219*$AE$13+E219*$AE$14+F219*$AE$15+G219*$AE$16+H219*$AE$17+I219*$AE$18+J219*$AE$19+K219*$AE$20+L219*$AE$21+M219*$AE$22+N219*$AE$23+O219*$AE$24+P219*$AE$25+Q219*$AE$26+R219*$AE$27+S219*$AE$28+T219*$AE$29+U219*$AE$30</f>
        <v/>
      </c>
      <c r="W219" s="8">
        <f>1/(1+EXP(-V219))</f>
        <v/>
      </c>
      <c r="X219" s="9">
        <f>-IF(C219=1,LN(W219),LN(1-W219))</f>
        <v/>
      </c>
      <c r="Y219" s="8">
        <f>1</f>
        <v/>
      </c>
      <c r="Z219" s="9">
        <f>Y219*X219</f>
        <v/>
      </c>
      <c r="AA219" s="10">
        <f>IF(W219&gt;$AE$32,1,0)</f>
        <v/>
      </c>
      <c r="AB219">
        <f>IF(AA219=C219,1,0)</f>
        <v/>
      </c>
    </row>
    <row r="220">
      <c r="A220">
        <f>'1 datos preparados'!A213</f>
        <v/>
      </c>
      <c r="B220" s="5">
        <f>'1 datos preparados'!U213</f>
        <v/>
      </c>
      <c r="C220">
        <f>'1 datos preparados'!B213</f>
        <v/>
      </c>
      <c r="D220" s="7">
        <f>'1 datos preparados'!C213</f>
        <v/>
      </c>
      <c r="E220" s="7">
        <f>'1 datos preparados'!D213</f>
        <v/>
      </c>
      <c r="F220" s="7">
        <f>'1 datos preparados'!E213</f>
        <v/>
      </c>
      <c r="G220" s="7">
        <f>'1 datos preparados'!F213</f>
        <v/>
      </c>
      <c r="H220" s="7">
        <f>'1 datos preparados'!G213</f>
        <v/>
      </c>
      <c r="I220" s="7">
        <f>'1 datos preparados'!H213</f>
        <v/>
      </c>
      <c r="J220" s="7">
        <f>'1 datos preparados'!I213</f>
        <v/>
      </c>
      <c r="K220" s="7">
        <f>'1 datos preparados'!J213</f>
        <v/>
      </c>
      <c r="L220" s="7">
        <f>'1 datos preparados'!K213</f>
        <v/>
      </c>
      <c r="M220" s="7">
        <f>'1 datos preparados'!L213</f>
        <v/>
      </c>
      <c r="N220" s="7">
        <f>'1 datos preparados'!M213</f>
        <v/>
      </c>
      <c r="O220" s="7">
        <f>'1 datos preparados'!N213</f>
        <v/>
      </c>
      <c r="P220" s="7">
        <f>'1 datos preparados'!O213</f>
        <v/>
      </c>
      <c r="Q220" s="7">
        <f>'1 datos preparados'!P213</f>
        <v/>
      </c>
      <c r="R220" s="7">
        <f>'1 datos preparados'!Q213</f>
        <v/>
      </c>
      <c r="S220" s="7">
        <f>'1 datos preparados'!R213</f>
        <v/>
      </c>
      <c r="T220" s="7">
        <f>'1 datos preparados'!S213</f>
        <v/>
      </c>
      <c r="U220" s="7">
        <f>'1 datos preparados'!T213</f>
        <v/>
      </c>
      <c r="V220" s="8">
        <f>$AE$12+D220*$AE$13+E220*$AE$14+F220*$AE$15+G220*$AE$16+H220*$AE$17+I220*$AE$18+J220*$AE$19+K220*$AE$20+L220*$AE$21+M220*$AE$22+N220*$AE$23+O220*$AE$24+P220*$AE$25+Q220*$AE$26+R220*$AE$27+S220*$AE$28+T220*$AE$29+U220*$AE$30</f>
        <v/>
      </c>
      <c r="W220" s="8">
        <f>1/(1+EXP(-V220))</f>
        <v/>
      </c>
      <c r="X220" s="9">
        <f>-IF(C220=1,LN(W220),LN(1-W220))</f>
        <v/>
      </c>
      <c r="Y220" s="8">
        <f>1</f>
        <v/>
      </c>
      <c r="Z220" s="9">
        <f>Y220*X220</f>
        <v/>
      </c>
      <c r="AA220" s="10">
        <f>IF(W220&gt;$AE$32,1,0)</f>
        <v/>
      </c>
      <c r="AB220">
        <f>IF(AA220=C220,1,0)</f>
        <v/>
      </c>
    </row>
    <row r="221">
      <c r="A221">
        <f>'1 datos preparados'!A214</f>
        <v/>
      </c>
      <c r="B221" s="5">
        <f>'1 datos preparados'!U214</f>
        <v/>
      </c>
      <c r="C221">
        <f>'1 datos preparados'!B214</f>
        <v/>
      </c>
      <c r="D221" s="7">
        <f>'1 datos preparados'!C214</f>
        <v/>
      </c>
      <c r="E221" s="7">
        <f>'1 datos preparados'!D214</f>
        <v/>
      </c>
      <c r="F221" s="7">
        <f>'1 datos preparados'!E214</f>
        <v/>
      </c>
      <c r="G221" s="7">
        <f>'1 datos preparados'!F214</f>
        <v/>
      </c>
      <c r="H221" s="7">
        <f>'1 datos preparados'!G214</f>
        <v/>
      </c>
      <c r="I221" s="7">
        <f>'1 datos preparados'!H214</f>
        <v/>
      </c>
      <c r="J221" s="7">
        <f>'1 datos preparados'!I214</f>
        <v/>
      </c>
      <c r="K221" s="7">
        <f>'1 datos preparados'!J214</f>
        <v/>
      </c>
      <c r="L221" s="7">
        <f>'1 datos preparados'!K214</f>
        <v/>
      </c>
      <c r="M221" s="7">
        <f>'1 datos preparados'!L214</f>
        <v/>
      </c>
      <c r="N221" s="7">
        <f>'1 datos preparados'!M214</f>
        <v/>
      </c>
      <c r="O221" s="7">
        <f>'1 datos preparados'!N214</f>
        <v/>
      </c>
      <c r="P221" s="7">
        <f>'1 datos preparados'!O214</f>
        <v/>
      </c>
      <c r="Q221" s="7">
        <f>'1 datos preparados'!P214</f>
        <v/>
      </c>
      <c r="R221" s="7">
        <f>'1 datos preparados'!Q214</f>
        <v/>
      </c>
      <c r="S221" s="7">
        <f>'1 datos preparados'!R214</f>
        <v/>
      </c>
      <c r="T221" s="7">
        <f>'1 datos preparados'!S214</f>
        <v/>
      </c>
      <c r="U221" s="7">
        <f>'1 datos preparados'!T214</f>
        <v/>
      </c>
      <c r="V221" s="8">
        <f>$AE$12+D221*$AE$13+E221*$AE$14+F221*$AE$15+G221*$AE$16+H221*$AE$17+I221*$AE$18+J221*$AE$19+K221*$AE$20+L221*$AE$21+M221*$AE$22+N221*$AE$23+O221*$AE$24+P221*$AE$25+Q221*$AE$26+R221*$AE$27+S221*$AE$28+T221*$AE$29+U221*$AE$30</f>
        <v/>
      </c>
      <c r="W221" s="8">
        <f>1/(1+EXP(-V221))</f>
        <v/>
      </c>
      <c r="X221" s="9">
        <f>-IF(C221=1,LN(W221),LN(1-W221))</f>
        <v/>
      </c>
      <c r="Y221" s="8">
        <f>1</f>
        <v/>
      </c>
      <c r="Z221" s="9">
        <f>Y221*X221</f>
        <v/>
      </c>
      <c r="AA221" s="10">
        <f>IF(W221&gt;$AE$32,1,0)</f>
        <v/>
      </c>
      <c r="AB221">
        <f>IF(AA221=C221,1,0)</f>
        <v/>
      </c>
    </row>
    <row r="222">
      <c r="A222">
        <f>'1 datos preparados'!A215</f>
        <v/>
      </c>
      <c r="B222" s="5">
        <f>'1 datos preparados'!U215</f>
        <v/>
      </c>
      <c r="C222">
        <f>'1 datos preparados'!B215</f>
        <v/>
      </c>
      <c r="D222" s="7">
        <f>'1 datos preparados'!C215</f>
        <v/>
      </c>
      <c r="E222" s="7">
        <f>'1 datos preparados'!D215</f>
        <v/>
      </c>
      <c r="F222" s="7">
        <f>'1 datos preparados'!E215</f>
        <v/>
      </c>
      <c r="G222" s="7">
        <f>'1 datos preparados'!F215</f>
        <v/>
      </c>
      <c r="H222" s="7">
        <f>'1 datos preparados'!G215</f>
        <v/>
      </c>
      <c r="I222" s="7">
        <f>'1 datos preparados'!H215</f>
        <v/>
      </c>
      <c r="J222" s="7">
        <f>'1 datos preparados'!I215</f>
        <v/>
      </c>
      <c r="K222" s="7">
        <f>'1 datos preparados'!J215</f>
        <v/>
      </c>
      <c r="L222" s="7">
        <f>'1 datos preparados'!K215</f>
        <v/>
      </c>
      <c r="M222" s="7">
        <f>'1 datos preparados'!L215</f>
        <v/>
      </c>
      <c r="N222" s="7">
        <f>'1 datos preparados'!M215</f>
        <v/>
      </c>
      <c r="O222" s="7">
        <f>'1 datos preparados'!N215</f>
        <v/>
      </c>
      <c r="P222" s="7">
        <f>'1 datos preparados'!O215</f>
        <v/>
      </c>
      <c r="Q222" s="7">
        <f>'1 datos preparados'!P215</f>
        <v/>
      </c>
      <c r="R222" s="7">
        <f>'1 datos preparados'!Q215</f>
        <v/>
      </c>
      <c r="S222" s="7">
        <f>'1 datos preparados'!R215</f>
        <v/>
      </c>
      <c r="T222" s="7">
        <f>'1 datos preparados'!S215</f>
        <v/>
      </c>
      <c r="U222" s="7">
        <f>'1 datos preparados'!T215</f>
        <v/>
      </c>
      <c r="V222" s="8">
        <f>$AE$12+D222*$AE$13+E222*$AE$14+F222*$AE$15+G222*$AE$16+H222*$AE$17+I222*$AE$18+J222*$AE$19+K222*$AE$20+L222*$AE$21+M222*$AE$22+N222*$AE$23+O222*$AE$24+P222*$AE$25+Q222*$AE$26+R222*$AE$27+S222*$AE$28+T222*$AE$29+U222*$AE$30</f>
        <v/>
      </c>
      <c r="W222" s="8">
        <f>1/(1+EXP(-V222))</f>
        <v/>
      </c>
      <c r="X222" s="9">
        <f>-IF(C222=1,LN(W222),LN(1-W222))</f>
        <v/>
      </c>
      <c r="Y222" s="8">
        <f>1</f>
        <v/>
      </c>
      <c r="Z222" s="9">
        <f>Y222*X222</f>
        <v/>
      </c>
      <c r="AA222" s="10">
        <f>IF(W222&gt;$AE$32,1,0)</f>
        <v/>
      </c>
      <c r="AB222">
        <f>IF(AA222=C222,1,0)</f>
        <v/>
      </c>
    </row>
    <row r="223">
      <c r="A223">
        <f>'1 datos preparados'!A216</f>
        <v/>
      </c>
      <c r="B223" s="5">
        <f>'1 datos preparados'!U216</f>
        <v/>
      </c>
      <c r="C223">
        <f>'1 datos preparados'!B216</f>
        <v/>
      </c>
      <c r="D223" s="7">
        <f>'1 datos preparados'!C216</f>
        <v/>
      </c>
      <c r="E223" s="7">
        <f>'1 datos preparados'!D216</f>
        <v/>
      </c>
      <c r="F223" s="7">
        <f>'1 datos preparados'!E216</f>
        <v/>
      </c>
      <c r="G223" s="7">
        <f>'1 datos preparados'!F216</f>
        <v/>
      </c>
      <c r="H223" s="7">
        <f>'1 datos preparados'!G216</f>
        <v/>
      </c>
      <c r="I223" s="7">
        <f>'1 datos preparados'!H216</f>
        <v/>
      </c>
      <c r="J223" s="7">
        <f>'1 datos preparados'!I216</f>
        <v/>
      </c>
      <c r="K223" s="7">
        <f>'1 datos preparados'!J216</f>
        <v/>
      </c>
      <c r="L223" s="7">
        <f>'1 datos preparados'!K216</f>
        <v/>
      </c>
      <c r="M223" s="7">
        <f>'1 datos preparados'!L216</f>
        <v/>
      </c>
      <c r="N223" s="7">
        <f>'1 datos preparados'!M216</f>
        <v/>
      </c>
      <c r="O223" s="7">
        <f>'1 datos preparados'!N216</f>
        <v/>
      </c>
      <c r="P223" s="7">
        <f>'1 datos preparados'!O216</f>
        <v/>
      </c>
      <c r="Q223" s="7">
        <f>'1 datos preparados'!P216</f>
        <v/>
      </c>
      <c r="R223" s="7">
        <f>'1 datos preparados'!Q216</f>
        <v/>
      </c>
      <c r="S223" s="7">
        <f>'1 datos preparados'!R216</f>
        <v/>
      </c>
      <c r="T223" s="7">
        <f>'1 datos preparados'!S216</f>
        <v/>
      </c>
      <c r="U223" s="7">
        <f>'1 datos preparados'!T216</f>
        <v/>
      </c>
      <c r="V223" s="8">
        <f>$AE$12+D223*$AE$13+E223*$AE$14+F223*$AE$15+G223*$AE$16+H223*$AE$17+I223*$AE$18+J223*$AE$19+K223*$AE$20+L223*$AE$21+M223*$AE$22+N223*$AE$23+O223*$AE$24+P223*$AE$25+Q223*$AE$26+R223*$AE$27+S223*$AE$28+T223*$AE$29+U223*$AE$30</f>
        <v/>
      </c>
      <c r="W223" s="8">
        <f>1/(1+EXP(-V223))</f>
        <v/>
      </c>
      <c r="X223" s="9">
        <f>-IF(C223=1,LN(W223),LN(1-W223))</f>
        <v/>
      </c>
      <c r="Y223" s="8">
        <f>1</f>
        <v/>
      </c>
      <c r="Z223" s="9">
        <f>Y223*X223</f>
        <v/>
      </c>
      <c r="AA223" s="10">
        <f>IF(W223&gt;$AE$32,1,0)</f>
        <v/>
      </c>
      <c r="AB223">
        <f>IF(AA223=C223,1,0)</f>
        <v/>
      </c>
    </row>
    <row r="224">
      <c r="A224">
        <f>'1 datos preparados'!A217</f>
        <v/>
      </c>
      <c r="B224" s="5">
        <f>'1 datos preparados'!U217</f>
        <v/>
      </c>
      <c r="C224">
        <f>'1 datos preparados'!B217</f>
        <v/>
      </c>
      <c r="D224" s="7">
        <f>'1 datos preparados'!C217</f>
        <v/>
      </c>
      <c r="E224" s="7">
        <f>'1 datos preparados'!D217</f>
        <v/>
      </c>
      <c r="F224" s="7">
        <f>'1 datos preparados'!E217</f>
        <v/>
      </c>
      <c r="G224" s="7">
        <f>'1 datos preparados'!F217</f>
        <v/>
      </c>
      <c r="H224" s="7">
        <f>'1 datos preparados'!G217</f>
        <v/>
      </c>
      <c r="I224" s="7">
        <f>'1 datos preparados'!H217</f>
        <v/>
      </c>
      <c r="J224" s="7">
        <f>'1 datos preparados'!I217</f>
        <v/>
      </c>
      <c r="K224" s="7">
        <f>'1 datos preparados'!J217</f>
        <v/>
      </c>
      <c r="L224" s="7">
        <f>'1 datos preparados'!K217</f>
        <v/>
      </c>
      <c r="M224" s="7">
        <f>'1 datos preparados'!L217</f>
        <v/>
      </c>
      <c r="N224" s="7">
        <f>'1 datos preparados'!M217</f>
        <v/>
      </c>
      <c r="O224" s="7">
        <f>'1 datos preparados'!N217</f>
        <v/>
      </c>
      <c r="P224" s="7">
        <f>'1 datos preparados'!O217</f>
        <v/>
      </c>
      <c r="Q224" s="7">
        <f>'1 datos preparados'!P217</f>
        <v/>
      </c>
      <c r="R224" s="7">
        <f>'1 datos preparados'!Q217</f>
        <v/>
      </c>
      <c r="S224" s="7">
        <f>'1 datos preparados'!R217</f>
        <v/>
      </c>
      <c r="T224" s="7">
        <f>'1 datos preparados'!S217</f>
        <v/>
      </c>
      <c r="U224" s="7">
        <f>'1 datos preparados'!T217</f>
        <v/>
      </c>
      <c r="V224" s="8">
        <f>$AE$12+D224*$AE$13+E224*$AE$14+F224*$AE$15+G224*$AE$16+H224*$AE$17+I224*$AE$18+J224*$AE$19+K224*$AE$20+L224*$AE$21+M224*$AE$22+N224*$AE$23+O224*$AE$24+P224*$AE$25+Q224*$AE$26+R224*$AE$27+S224*$AE$28+T224*$AE$29+U224*$AE$30</f>
        <v/>
      </c>
      <c r="W224" s="8">
        <f>1/(1+EXP(-V224))</f>
        <v/>
      </c>
      <c r="X224" s="9">
        <f>-IF(C224=1,LN(W224),LN(1-W224))</f>
        <v/>
      </c>
      <c r="Y224" s="8">
        <f>1</f>
        <v/>
      </c>
      <c r="Z224" s="9">
        <f>Y224*X224</f>
        <v/>
      </c>
      <c r="AA224" s="10">
        <f>IF(W224&gt;$AE$32,1,0)</f>
        <v/>
      </c>
      <c r="AB224">
        <f>IF(AA224=C224,1,0)</f>
        <v/>
      </c>
    </row>
    <row r="225">
      <c r="A225">
        <f>'1 datos preparados'!A218</f>
        <v/>
      </c>
      <c r="B225" s="5">
        <f>'1 datos preparados'!U218</f>
        <v/>
      </c>
      <c r="C225">
        <f>'1 datos preparados'!B218</f>
        <v/>
      </c>
      <c r="D225" s="7">
        <f>'1 datos preparados'!C218</f>
        <v/>
      </c>
      <c r="E225" s="7">
        <f>'1 datos preparados'!D218</f>
        <v/>
      </c>
      <c r="F225" s="7">
        <f>'1 datos preparados'!E218</f>
        <v/>
      </c>
      <c r="G225" s="7">
        <f>'1 datos preparados'!F218</f>
        <v/>
      </c>
      <c r="H225" s="7">
        <f>'1 datos preparados'!G218</f>
        <v/>
      </c>
      <c r="I225" s="7">
        <f>'1 datos preparados'!H218</f>
        <v/>
      </c>
      <c r="J225" s="7">
        <f>'1 datos preparados'!I218</f>
        <v/>
      </c>
      <c r="K225" s="7">
        <f>'1 datos preparados'!J218</f>
        <v/>
      </c>
      <c r="L225" s="7">
        <f>'1 datos preparados'!K218</f>
        <v/>
      </c>
      <c r="M225" s="7">
        <f>'1 datos preparados'!L218</f>
        <v/>
      </c>
      <c r="N225" s="7">
        <f>'1 datos preparados'!M218</f>
        <v/>
      </c>
      <c r="O225" s="7">
        <f>'1 datos preparados'!N218</f>
        <v/>
      </c>
      <c r="P225" s="7">
        <f>'1 datos preparados'!O218</f>
        <v/>
      </c>
      <c r="Q225" s="7">
        <f>'1 datos preparados'!P218</f>
        <v/>
      </c>
      <c r="R225" s="7">
        <f>'1 datos preparados'!Q218</f>
        <v/>
      </c>
      <c r="S225" s="7">
        <f>'1 datos preparados'!R218</f>
        <v/>
      </c>
      <c r="T225" s="7">
        <f>'1 datos preparados'!S218</f>
        <v/>
      </c>
      <c r="U225" s="7">
        <f>'1 datos preparados'!T218</f>
        <v/>
      </c>
      <c r="V225" s="8">
        <f>$AE$12+D225*$AE$13+E225*$AE$14+F225*$AE$15+G225*$AE$16+H225*$AE$17+I225*$AE$18+J225*$AE$19+K225*$AE$20+L225*$AE$21+M225*$AE$22+N225*$AE$23+O225*$AE$24+P225*$AE$25+Q225*$AE$26+R225*$AE$27+S225*$AE$28+T225*$AE$29+U225*$AE$30</f>
        <v/>
      </c>
      <c r="W225" s="8">
        <f>1/(1+EXP(-V225))</f>
        <v/>
      </c>
      <c r="X225" s="9">
        <f>-IF(C225=1,LN(W225),LN(1-W225))</f>
        <v/>
      </c>
      <c r="Y225" s="8">
        <f>1</f>
        <v/>
      </c>
      <c r="Z225" s="9">
        <f>Y225*X225</f>
        <v/>
      </c>
      <c r="AA225" s="10">
        <f>IF(W225&gt;$AE$32,1,0)</f>
        <v/>
      </c>
      <c r="AB225">
        <f>IF(AA225=C225,1,0)</f>
        <v/>
      </c>
    </row>
    <row r="226">
      <c r="A226">
        <f>'1 datos preparados'!A219</f>
        <v/>
      </c>
      <c r="B226" s="5">
        <f>'1 datos preparados'!U219</f>
        <v/>
      </c>
      <c r="C226">
        <f>'1 datos preparados'!B219</f>
        <v/>
      </c>
      <c r="D226" s="7">
        <f>'1 datos preparados'!C219</f>
        <v/>
      </c>
      <c r="E226" s="7">
        <f>'1 datos preparados'!D219</f>
        <v/>
      </c>
      <c r="F226" s="7">
        <f>'1 datos preparados'!E219</f>
        <v/>
      </c>
      <c r="G226" s="7">
        <f>'1 datos preparados'!F219</f>
        <v/>
      </c>
      <c r="H226" s="7">
        <f>'1 datos preparados'!G219</f>
        <v/>
      </c>
      <c r="I226" s="7">
        <f>'1 datos preparados'!H219</f>
        <v/>
      </c>
      <c r="J226" s="7">
        <f>'1 datos preparados'!I219</f>
        <v/>
      </c>
      <c r="K226" s="7">
        <f>'1 datos preparados'!J219</f>
        <v/>
      </c>
      <c r="L226" s="7">
        <f>'1 datos preparados'!K219</f>
        <v/>
      </c>
      <c r="M226" s="7">
        <f>'1 datos preparados'!L219</f>
        <v/>
      </c>
      <c r="N226" s="7">
        <f>'1 datos preparados'!M219</f>
        <v/>
      </c>
      <c r="O226" s="7">
        <f>'1 datos preparados'!N219</f>
        <v/>
      </c>
      <c r="P226" s="7">
        <f>'1 datos preparados'!O219</f>
        <v/>
      </c>
      <c r="Q226" s="7">
        <f>'1 datos preparados'!P219</f>
        <v/>
      </c>
      <c r="R226" s="7">
        <f>'1 datos preparados'!Q219</f>
        <v/>
      </c>
      <c r="S226" s="7">
        <f>'1 datos preparados'!R219</f>
        <v/>
      </c>
      <c r="T226" s="7">
        <f>'1 datos preparados'!S219</f>
        <v/>
      </c>
      <c r="U226" s="7">
        <f>'1 datos preparados'!T219</f>
        <v/>
      </c>
      <c r="V226" s="8">
        <f>$AE$12+D226*$AE$13+E226*$AE$14+F226*$AE$15+G226*$AE$16+H226*$AE$17+I226*$AE$18+J226*$AE$19+K226*$AE$20+L226*$AE$21+M226*$AE$22+N226*$AE$23+O226*$AE$24+P226*$AE$25+Q226*$AE$26+R226*$AE$27+S226*$AE$28+T226*$AE$29+U226*$AE$30</f>
        <v/>
      </c>
      <c r="W226" s="8">
        <f>1/(1+EXP(-V226))</f>
        <v/>
      </c>
      <c r="X226" s="9">
        <f>-IF(C226=1,LN(W226),LN(1-W226))</f>
        <v/>
      </c>
      <c r="Y226" s="8">
        <f>1</f>
        <v/>
      </c>
      <c r="Z226" s="9">
        <f>Y226*X226</f>
        <v/>
      </c>
      <c r="AA226" s="10">
        <f>IF(W226&gt;$AE$32,1,0)</f>
        <v/>
      </c>
      <c r="AB226">
        <f>IF(AA226=C226,1,0)</f>
        <v/>
      </c>
    </row>
    <row r="227">
      <c r="A227">
        <f>'1 datos preparados'!A220</f>
        <v/>
      </c>
      <c r="B227" s="5">
        <f>'1 datos preparados'!U220</f>
        <v/>
      </c>
      <c r="C227">
        <f>'1 datos preparados'!B220</f>
        <v/>
      </c>
      <c r="D227" s="7">
        <f>'1 datos preparados'!C220</f>
        <v/>
      </c>
      <c r="E227" s="7">
        <f>'1 datos preparados'!D220</f>
        <v/>
      </c>
      <c r="F227" s="7">
        <f>'1 datos preparados'!E220</f>
        <v/>
      </c>
      <c r="G227" s="7">
        <f>'1 datos preparados'!F220</f>
        <v/>
      </c>
      <c r="H227" s="7">
        <f>'1 datos preparados'!G220</f>
        <v/>
      </c>
      <c r="I227" s="7">
        <f>'1 datos preparados'!H220</f>
        <v/>
      </c>
      <c r="J227" s="7">
        <f>'1 datos preparados'!I220</f>
        <v/>
      </c>
      <c r="K227" s="7">
        <f>'1 datos preparados'!J220</f>
        <v/>
      </c>
      <c r="L227" s="7">
        <f>'1 datos preparados'!K220</f>
        <v/>
      </c>
      <c r="M227" s="7">
        <f>'1 datos preparados'!L220</f>
        <v/>
      </c>
      <c r="N227" s="7">
        <f>'1 datos preparados'!M220</f>
        <v/>
      </c>
      <c r="O227" s="7">
        <f>'1 datos preparados'!N220</f>
        <v/>
      </c>
      <c r="P227" s="7">
        <f>'1 datos preparados'!O220</f>
        <v/>
      </c>
      <c r="Q227" s="7">
        <f>'1 datos preparados'!P220</f>
        <v/>
      </c>
      <c r="R227" s="7">
        <f>'1 datos preparados'!Q220</f>
        <v/>
      </c>
      <c r="S227" s="7">
        <f>'1 datos preparados'!R220</f>
        <v/>
      </c>
      <c r="T227" s="7">
        <f>'1 datos preparados'!S220</f>
        <v/>
      </c>
      <c r="U227" s="7">
        <f>'1 datos preparados'!T220</f>
        <v/>
      </c>
      <c r="V227" s="8">
        <f>$AE$12+D227*$AE$13+E227*$AE$14+F227*$AE$15+G227*$AE$16+H227*$AE$17+I227*$AE$18+J227*$AE$19+K227*$AE$20+L227*$AE$21+M227*$AE$22+N227*$AE$23+O227*$AE$24+P227*$AE$25+Q227*$AE$26+R227*$AE$27+S227*$AE$28+T227*$AE$29+U227*$AE$30</f>
        <v/>
      </c>
      <c r="W227" s="8">
        <f>1/(1+EXP(-V227))</f>
        <v/>
      </c>
      <c r="X227" s="9">
        <f>-IF(C227=1,LN(W227),LN(1-W227))</f>
        <v/>
      </c>
      <c r="Y227" s="8">
        <f>1</f>
        <v/>
      </c>
      <c r="Z227" s="9">
        <f>Y227*X227</f>
        <v/>
      </c>
      <c r="AA227" s="10">
        <f>IF(W227&gt;$AE$32,1,0)</f>
        <v/>
      </c>
      <c r="AB227">
        <f>IF(AA227=C227,1,0)</f>
        <v/>
      </c>
    </row>
    <row r="228">
      <c r="A228">
        <f>'1 datos preparados'!A221</f>
        <v/>
      </c>
      <c r="B228" s="5">
        <f>'1 datos preparados'!U221</f>
        <v/>
      </c>
      <c r="C228">
        <f>'1 datos preparados'!B221</f>
        <v/>
      </c>
      <c r="D228" s="7">
        <f>'1 datos preparados'!C221</f>
        <v/>
      </c>
      <c r="E228" s="7">
        <f>'1 datos preparados'!D221</f>
        <v/>
      </c>
      <c r="F228" s="7">
        <f>'1 datos preparados'!E221</f>
        <v/>
      </c>
      <c r="G228" s="7">
        <f>'1 datos preparados'!F221</f>
        <v/>
      </c>
      <c r="H228" s="7">
        <f>'1 datos preparados'!G221</f>
        <v/>
      </c>
      <c r="I228" s="7">
        <f>'1 datos preparados'!H221</f>
        <v/>
      </c>
      <c r="J228" s="7">
        <f>'1 datos preparados'!I221</f>
        <v/>
      </c>
      <c r="K228" s="7">
        <f>'1 datos preparados'!J221</f>
        <v/>
      </c>
      <c r="L228" s="7">
        <f>'1 datos preparados'!K221</f>
        <v/>
      </c>
      <c r="M228" s="7">
        <f>'1 datos preparados'!L221</f>
        <v/>
      </c>
      <c r="N228" s="7">
        <f>'1 datos preparados'!M221</f>
        <v/>
      </c>
      <c r="O228" s="7">
        <f>'1 datos preparados'!N221</f>
        <v/>
      </c>
      <c r="P228" s="7">
        <f>'1 datos preparados'!O221</f>
        <v/>
      </c>
      <c r="Q228" s="7">
        <f>'1 datos preparados'!P221</f>
        <v/>
      </c>
      <c r="R228" s="7">
        <f>'1 datos preparados'!Q221</f>
        <v/>
      </c>
      <c r="S228" s="7">
        <f>'1 datos preparados'!R221</f>
        <v/>
      </c>
      <c r="T228" s="7">
        <f>'1 datos preparados'!S221</f>
        <v/>
      </c>
      <c r="U228" s="7">
        <f>'1 datos preparados'!T221</f>
        <v/>
      </c>
      <c r="V228" s="8">
        <f>$AE$12+D228*$AE$13+E228*$AE$14+F228*$AE$15+G228*$AE$16+H228*$AE$17+I228*$AE$18+J228*$AE$19+K228*$AE$20+L228*$AE$21+M228*$AE$22+N228*$AE$23+O228*$AE$24+P228*$AE$25+Q228*$AE$26+R228*$AE$27+S228*$AE$28+T228*$AE$29+U228*$AE$30</f>
        <v/>
      </c>
      <c r="W228" s="8">
        <f>1/(1+EXP(-V228))</f>
        <v/>
      </c>
      <c r="X228" s="9">
        <f>-IF(C228=1,LN(W228),LN(1-W228))</f>
        <v/>
      </c>
      <c r="Y228" s="8">
        <f>1</f>
        <v/>
      </c>
      <c r="Z228" s="9">
        <f>Y228*X228</f>
        <v/>
      </c>
      <c r="AA228" s="10">
        <f>IF(W228&gt;$AE$32,1,0)</f>
        <v/>
      </c>
      <c r="AB228">
        <f>IF(AA228=C228,1,0)</f>
        <v/>
      </c>
    </row>
    <row r="229">
      <c r="A229">
        <f>'1 datos preparados'!A222</f>
        <v/>
      </c>
      <c r="B229" s="5">
        <f>'1 datos preparados'!U222</f>
        <v/>
      </c>
      <c r="C229">
        <f>'1 datos preparados'!B222</f>
        <v/>
      </c>
      <c r="D229" s="7">
        <f>'1 datos preparados'!C222</f>
        <v/>
      </c>
      <c r="E229" s="7">
        <f>'1 datos preparados'!D222</f>
        <v/>
      </c>
      <c r="F229" s="7">
        <f>'1 datos preparados'!E222</f>
        <v/>
      </c>
      <c r="G229" s="7">
        <f>'1 datos preparados'!F222</f>
        <v/>
      </c>
      <c r="H229" s="7">
        <f>'1 datos preparados'!G222</f>
        <v/>
      </c>
      <c r="I229" s="7">
        <f>'1 datos preparados'!H222</f>
        <v/>
      </c>
      <c r="J229" s="7">
        <f>'1 datos preparados'!I222</f>
        <v/>
      </c>
      <c r="K229" s="7">
        <f>'1 datos preparados'!J222</f>
        <v/>
      </c>
      <c r="L229" s="7">
        <f>'1 datos preparados'!K222</f>
        <v/>
      </c>
      <c r="M229" s="7">
        <f>'1 datos preparados'!L222</f>
        <v/>
      </c>
      <c r="N229" s="7">
        <f>'1 datos preparados'!M222</f>
        <v/>
      </c>
      <c r="O229" s="7">
        <f>'1 datos preparados'!N222</f>
        <v/>
      </c>
      <c r="P229" s="7">
        <f>'1 datos preparados'!O222</f>
        <v/>
      </c>
      <c r="Q229" s="7">
        <f>'1 datos preparados'!P222</f>
        <v/>
      </c>
      <c r="R229" s="7">
        <f>'1 datos preparados'!Q222</f>
        <v/>
      </c>
      <c r="S229" s="7">
        <f>'1 datos preparados'!R222</f>
        <v/>
      </c>
      <c r="T229" s="7">
        <f>'1 datos preparados'!S222</f>
        <v/>
      </c>
      <c r="U229" s="7">
        <f>'1 datos preparados'!T222</f>
        <v/>
      </c>
      <c r="V229" s="8">
        <f>$AE$12+D229*$AE$13+E229*$AE$14+F229*$AE$15+G229*$AE$16+H229*$AE$17+I229*$AE$18+J229*$AE$19+K229*$AE$20+L229*$AE$21+M229*$AE$22+N229*$AE$23+O229*$AE$24+P229*$AE$25+Q229*$AE$26+R229*$AE$27+S229*$AE$28+T229*$AE$29+U229*$AE$30</f>
        <v/>
      </c>
      <c r="W229" s="8">
        <f>1/(1+EXP(-V229))</f>
        <v/>
      </c>
      <c r="X229" s="9">
        <f>-IF(C229=1,LN(W229),LN(1-W229))</f>
        <v/>
      </c>
      <c r="Y229" s="8">
        <f>1</f>
        <v/>
      </c>
      <c r="Z229" s="9">
        <f>Y229*X229</f>
        <v/>
      </c>
      <c r="AA229" s="10">
        <f>IF(W229&gt;$AE$32,1,0)</f>
        <v/>
      </c>
      <c r="AB229">
        <f>IF(AA229=C229,1,0)</f>
        <v/>
      </c>
    </row>
    <row r="230">
      <c r="A230">
        <f>'1 datos preparados'!A223</f>
        <v/>
      </c>
      <c r="B230" s="5">
        <f>'1 datos preparados'!U223</f>
        <v/>
      </c>
      <c r="C230">
        <f>'1 datos preparados'!B223</f>
        <v/>
      </c>
      <c r="D230" s="7">
        <f>'1 datos preparados'!C223</f>
        <v/>
      </c>
      <c r="E230" s="7">
        <f>'1 datos preparados'!D223</f>
        <v/>
      </c>
      <c r="F230" s="7">
        <f>'1 datos preparados'!E223</f>
        <v/>
      </c>
      <c r="G230" s="7">
        <f>'1 datos preparados'!F223</f>
        <v/>
      </c>
      <c r="H230" s="7">
        <f>'1 datos preparados'!G223</f>
        <v/>
      </c>
      <c r="I230" s="7">
        <f>'1 datos preparados'!H223</f>
        <v/>
      </c>
      <c r="J230" s="7">
        <f>'1 datos preparados'!I223</f>
        <v/>
      </c>
      <c r="K230" s="7">
        <f>'1 datos preparados'!J223</f>
        <v/>
      </c>
      <c r="L230" s="7">
        <f>'1 datos preparados'!K223</f>
        <v/>
      </c>
      <c r="M230" s="7">
        <f>'1 datos preparados'!L223</f>
        <v/>
      </c>
      <c r="N230" s="7">
        <f>'1 datos preparados'!M223</f>
        <v/>
      </c>
      <c r="O230" s="7">
        <f>'1 datos preparados'!N223</f>
        <v/>
      </c>
      <c r="P230" s="7">
        <f>'1 datos preparados'!O223</f>
        <v/>
      </c>
      <c r="Q230" s="7">
        <f>'1 datos preparados'!P223</f>
        <v/>
      </c>
      <c r="R230" s="7">
        <f>'1 datos preparados'!Q223</f>
        <v/>
      </c>
      <c r="S230" s="7">
        <f>'1 datos preparados'!R223</f>
        <v/>
      </c>
      <c r="T230" s="7">
        <f>'1 datos preparados'!S223</f>
        <v/>
      </c>
      <c r="U230" s="7">
        <f>'1 datos preparados'!T223</f>
        <v/>
      </c>
      <c r="V230" s="8">
        <f>$AE$12+D230*$AE$13+E230*$AE$14+F230*$AE$15+G230*$AE$16+H230*$AE$17+I230*$AE$18+J230*$AE$19+K230*$AE$20+L230*$AE$21+M230*$AE$22+N230*$AE$23+O230*$AE$24+P230*$AE$25+Q230*$AE$26+R230*$AE$27+S230*$AE$28+T230*$AE$29+U230*$AE$30</f>
        <v/>
      </c>
      <c r="W230" s="8">
        <f>1/(1+EXP(-V230))</f>
        <v/>
      </c>
      <c r="X230" s="9">
        <f>-IF(C230=1,LN(W230),LN(1-W230))</f>
        <v/>
      </c>
      <c r="Y230" s="8">
        <f>1</f>
        <v/>
      </c>
      <c r="Z230" s="9">
        <f>Y230*X230</f>
        <v/>
      </c>
      <c r="AA230" s="10">
        <f>IF(W230&gt;$AE$32,1,0)</f>
        <v/>
      </c>
      <c r="AB230">
        <f>IF(AA230=C230,1,0)</f>
        <v/>
      </c>
    </row>
    <row r="231">
      <c r="A231">
        <f>'1 datos preparados'!A224</f>
        <v/>
      </c>
      <c r="B231" s="5">
        <f>'1 datos preparados'!U224</f>
        <v/>
      </c>
      <c r="C231">
        <f>'1 datos preparados'!B224</f>
        <v/>
      </c>
      <c r="D231" s="7">
        <f>'1 datos preparados'!C224</f>
        <v/>
      </c>
      <c r="E231" s="7">
        <f>'1 datos preparados'!D224</f>
        <v/>
      </c>
      <c r="F231" s="7">
        <f>'1 datos preparados'!E224</f>
        <v/>
      </c>
      <c r="G231" s="7">
        <f>'1 datos preparados'!F224</f>
        <v/>
      </c>
      <c r="H231" s="7">
        <f>'1 datos preparados'!G224</f>
        <v/>
      </c>
      <c r="I231" s="7">
        <f>'1 datos preparados'!H224</f>
        <v/>
      </c>
      <c r="J231" s="7">
        <f>'1 datos preparados'!I224</f>
        <v/>
      </c>
      <c r="K231" s="7">
        <f>'1 datos preparados'!J224</f>
        <v/>
      </c>
      <c r="L231" s="7">
        <f>'1 datos preparados'!K224</f>
        <v/>
      </c>
      <c r="M231" s="7">
        <f>'1 datos preparados'!L224</f>
        <v/>
      </c>
      <c r="N231" s="7">
        <f>'1 datos preparados'!M224</f>
        <v/>
      </c>
      <c r="O231" s="7">
        <f>'1 datos preparados'!N224</f>
        <v/>
      </c>
      <c r="P231" s="7">
        <f>'1 datos preparados'!O224</f>
        <v/>
      </c>
      <c r="Q231" s="7">
        <f>'1 datos preparados'!P224</f>
        <v/>
      </c>
      <c r="R231" s="7">
        <f>'1 datos preparados'!Q224</f>
        <v/>
      </c>
      <c r="S231" s="7">
        <f>'1 datos preparados'!R224</f>
        <v/>
      </c>
      <c r="T231" s="7">
        <f>'1 datos preparados'!S224</f>
        <v/>
      </c>
      <c r="U231" s="7">
        <f>'1 datos preparados'!T224</f>
        <v/>
      </c>
      <c r="V231" s="8">
        <f>$AE$12+D231*$AE$13+E231*$AE$14+F231*$AE$15+G231*$AE$16+H231*$AE$17+I231*$AE$18+J231*$AE$19+K231*$AE$20+L231*$AE$21+M231*$AE$22+N231*$AE$23+O231*$AE$24+P231*$AE$25+Q231*$AE$26+R231*$AE$27+S231*$AE$28+T231*$AE$29+U231*$AE$30</f>
        <v/>
      </c>
      <c r="W231" s="8">
        <f>1/(1+EXP(-V231))</f>
        <v/>
      </c>
      <c r="X231" s="9">
        <f>-IF(C231=1,LN(W231),LN(1-W231))</f>
        <v/>
      </c>
      <c r="Y231" s="8">
        <f>1</f>
        <v/>
      </c>
      <c r="Z231" s="9">
        <f>Y231*X231</f>
        <v/>
      </c>
      <c r="AA231" s="10">
        <f>IF(W231&gt;$AE$32,1,0)</f>
        <v/>
      </c>
      <c r="AB231">
        <f>IF(AA231=C231,1,0)</f>
        <v/>
      </c>
    </row>
    <row r="232">
      <c r="A232">
        <f>'1 datos preparados'!A225</f>
        <v/>
      </c>
      <c r="B232" s="5">
        <f>'1 datos preparados'!U225</f>
        <v/>
      </c>
      <c r="C232">
        <f>'1 datos preparados'!B225</f>
        <v/>
      </c>
      <c r="D232" s="7">
        <f>'1 datos preparados'!C225</f>
        <v/>
      </c>
      <c r="E232" s="7">
        <f>'1 datos preparados'!D225</f>
        <v/>
      </c>
      <c r="F232" s="7">
        <f>'1 datos preparados'!E225</f>
        <v/>
      </c>
      <c r="G232" s="7">
        <f>'1 datos preparados'!F225</f>
        <v/>
      </c>
      <c r="H232" s="7">
        <f>'1 datos preparados'!G225</f>
        <v/>
      </c>
      <c r="I232" s="7">
        <f>'1 datos preparados'!H225</f>
        <v/>
      </c>
      <c r="J232" s="7">
        <f>'1 datos preparados'!I225</f>
        <v/>
      </c>
      <c r="K232" s="7">
        <f>'1 datos preparados'!J225</f>
        <v/>
      </c>
      <c r="L232" s="7">
        <f>'1 datos preparados'!K225</f>
        <v/>
      </c>
      <c r="M232" s="7">
        <f>'1 datos preparados'!L225</f>
        <v/>
      </c>
      <c r="N232" s="7">
        <f>'1 datos preparados'!M225</f>
        <v/>
      </c>
      <c r="O232" s="7">
        <f>'1 datos preparados'!N225</f>
        <v/>
      </c>
      <c r="P232" s="7">
        <f>'1 datos preparados'!O225</f>
        <v/>
      </c>
      <c r="Q232" s="7">
        <f>'1 datos preparados'!P225</f>
        <v/>
      </c>
      <c r="R232" s="7">
        <f>'1 datos preparados'!Q225</f>
        <v/>
      </c>
      <c r="S232" s="7">
        <f>'1 datos preparados'!R225</f>
        <v/>
      </c>
      <c r="T232" s="7">
        <f>'1 datos preparados'!S225</f>
        <v/>
      </c>
      <c r="U232" s="7">
        <f>'1 datos preparados'!T225</f>
        <v/>
      </c>
      <c r="V232" s="8">
        <f>$AE$12+D232*$AE$13+E232*$AE$14+F232*$AE$15+G232*$AE$16+H232*$AE$17+I232*$AE$18+J232*$AE$19+K232*$AE$20+L232*$AE$21+M232*$AE$22+N232*$AE$23+O232*$AE$24+P232*$AE$25+Q232*$AE$26+R232*$AE$27+S232*$AE$28+T232*$AE$29+U232*$AE$30</f>
        <v/>
      </c>
      <c r="W232" s="8">
        <f>1/(1+EXP(-V232))</f>
        <v/>
      </c>
      <c r="X232" s="9">
        <f>-IF(C232=1,LN(W232),LN(1-W232))</f>
        <v/>
      </c>
      <c r="Y232" s="8">
        <f>1</f>
        <v/>
      </c>
      <c r="Z232" s="9">
        <f>Y232*X232</f>
        <v/>
      </c>
      <c r="AA232" s="10">
        <f>IF(W232&gt;$AE$32,1,0)</f>
        <v/>
      </c>
      <c r="AB232">
        <f>IF(AA232=C232,1,0)</f>
        <v/>
      </c>
    </row>
    <row r="233">
      <c r="A233">
        <f>'1 datos preparados'!A226</f>
        <v/>
      </c>
      <c r="B233" s="5">
        <f>'1 datos preparados'!U226</f>
        <v/>
      </c>
      <c r="C233">
        <f>'1 datos preparados'!B226</f>
        <v/>
      </c>
      <c r="D233" s="7">
        <f>'1 datos preparados'!C226</f>
        <v/>
      </c>
      <c r="E233" s="7">
        <f>'1 datos preparados'!D226</f>
        <v/>
      </c>
      <c r="F233" s="7">
        <f>'1 datos preparados'!E226</f>
        <v/>
      </c>
      <c r="G233" s="7">
        <f>'1 datos preparados'!F226</f>
        <v/>
      </c>
      <c r="H233" s="7">
        <f>'1 datos preparados'!G226</f>
        <v/>
      </c>
      <c r="I233" s="7">
        <f>'1 datos preparados'!H226</f>
        <v/>
      </c>
      <c r="J233" s="7">
        <f>'1 datos preparados'!I226</f>
        <v/>
      </c>
      <c r="K233" s="7">
        <f>'1 datos preparados'!J226</f>
        <v/>
      </c>
      <c r="L233" s="7">
        <f>'1 datos preparados'!K226</f>
        <v/>
      </c>
      <c r="M233" s="7">
        <f>'1 datos preparados'!L226</f>
        <v/>
      </c>
      <c r="N233" s="7">
        <f>'1 datos preparados'!M226</f>
        <v/>
      </c>
      <c r="O233" s="7">
        <f>'1 datos preparados'!N226</f>
        <v/>
      </c>
      <c r="P233" s="7">
        <f>'1 datos preparados'!O226</f>
        <v/>
      </c>
      <c r="Q233" s="7">
        <f>'1 datos preparados'!P226</f>
        <v/>
      </c>
      <c r="R233" s="7">
        <f>'1 datos preparados'!Q226</f>
        <v/>
      </c>
      <c r="S233" s="7">
        <f>'1 datos preparados'!R226</f>
        <v/>
      </c>
      <c r="T233" s="7">
        <f>'1 datos preparados'!S226</f>
        <v/>
      </c>
      <c r="U233" s="7">
        <f>'1 datos preparados'!T226</f>
        <v/>
      </c>
      <c r="V233" s="8">
        <f>$AE$12+D233*$AE$13+E233*$AE$14+F233*$AE$15+G233*$AE$16+H233*$AE$17+I233*$AE$18+J233*$AE$19+K233*$AE$20+L233*$AE$21+M233*$AE$22+N233*$AE$23+O233*$AE$24+P233*$AE$25+Q233*$AE$26+R233*$AE$27+S233*$AE$28+T233*$AE$29+U233*$AE$30</f>
        <v/>
      </c>
      <c r="W233" s="8">
        <f>1/(1+EXP(-V233))</f>
        <v/>
      </c>
      <c r="X233" s="9">
        <f>-IF(C233=1,LN(W233),LN(1-W233))</f>
        <v/>
      </c>
      <c r="Y233" s="8">
        <f>1</f>
        <v/>
      </c>
      <c r="Z233" s="9">
        <f>Y233*X233</f>
        <v/>
      </c>
      <c r="AA233" s="10">
        <f>IF(W233&gt;$AE$32,1,0)</f>
        <v/>
      </c>
      <c r="AB233">
        <f>IF(AA233=C233,1,0)</f>
        <v/>
      </c>
    </row>
    <row r="234">
      <c r="A234">
        <f>'1 datos preparados'!A227</f>
        <v/>
      </c>
      <c r="B234" s="5">
        <f>'1 datos preparados'!U227</f>
        <v/>
      </c>
      <c r="C234">
        <f>'1 datos preparados'!B227</f>
        <v/>
      </c>
      <c r="D234" s="7">
        <f>'1 datos preparados'!C227</f>
        <v/>
      </c>
      <c r="E234" s="7">
        <f>'1 datos preparados'!D227</f>
        <v/>
      </c>
      <c r="F234" s="7">
        <f>'1 datos preparados'!E227</f>
        <v/>
      </c>
      <c r="G234" s="7">
        <f>'1 datos preparados'!F227</f>
        <v/>
      </c>
      <c r="H234" s="7">
        <f>'1 datos preparados'!G227</f>
        <v/>
      </c>
      <c r="I234" s="7">
        <f>'1 datos preparados'!H227</f>
        <v/>
      </c>
      <c r="J234" s="7">
        <f>'1 datos preparados'!I227</f>
        <v/>
      </c>
      <c r="K234" s="7">
        <f>'1 datos preparados'!J227</f>
        <v/>
      </c>
      <c r="L234" s="7">
        <f>'1 datos preparados'!K227</f>
        <v/>
      </c>
      <c r="M234" s="7">
        <f>'1 datos preparados'!L227</f>
        <v/>
      </c>
      <c r="N234" s="7">
        <f>'1 datos preparados'!M227</f>
        <v/>
      </c>
      <c r="O234" s="7">
        <f>'1 datos preparados'!N227</f>
        <v/>
      </c>
      <c r="P234" s="7">
        <f>'1 datos preparados'!O227</f>
        <v/>
      </c>
      <c r="Q234" s="7">
        <f>'1 datos preparados'!P227</f>
        <v/>
      </c>
      <c r="R234" s="7">
        <f>'1 datos preparados'!Q227</f>
        <v/>
      </c>
      <c r="S234" s="7">
        <f>'1 datos preparados'!R227</f>
        <v/>
      </c>
      <c r="T234" s="7">
        <f>'1 datos preparados'!S227</f>
        <v/>
      </c>
      <c r="U234" s="7">
        <f>'1 datos preparados'!T227</f>
        <v/>
      </c>
      <c r="V234" s="8">
        <f>$AE$12+D234*$AE$13+E234*$AE$14+F234*$AE$15+G234*$AE$16+H234*$AE$17+I234*$AE$18+J234*$AE$19+K234*$AE$20+L234*$AE$21+M234*$AE$22+N234*$AE$23+O234*$AE$24+P234*$AE$25+Q234*$AE$26+R234*$AE$27+S234*$AE$28+T234*$AE$29+U234*$AE$30</f>
        <v/>
      </c>
      <c r="W234" s="8">
        <f>1/(1+EXP(-V234))</f>
        <v/>
      </c>
      <c r="X234" s="9">
        <f>-IF(C234=1,LN(W234),LN(1-W234))</f>
        <v/>
      </c>
      <c r="Y234" s="8">
        <f>1</f>
        <v/>
      </c>
      <c r="Z234" s="9">
        <f>Y234*X234</f>
        <v/>
      </c>
      <c r="AA234" s="10">
        <f>IF(W234&gt;$AE$32,1,0)</f>
        <v/>
      </c>
      <c r="AB234">
        <f>IF(AA234=C234,1,0)</f>
        <v/>
      </c>
    </row>
    <row r="235">
      <c r="A235">
        <f>'1 datos preparados'!A228</f>
        <v/>
      </c>
      <c r="B235" s="5">
        <f>'1 datos preparados'!U228</f>
        <v/>
      </c>
      <c r="C235">
        <f>'1 datos preparados'!B228</f>
        <v/>
      </c>
      <c r="D235" s="7">
        <f>'1 datos preparados'!C228</f>
        <v/>
      </c>
      <c r="E235" s="7">
        <f>'1 datos preparados'!D228</f>
        <v/>
      </c>
      <c r="F235" s="7">
        <f>'1 datos preparados'!E228</f>
        <v/>
      </c>
      <c r="G235" s="7">
        <f>'1 datos preparados'!F228</f>
        <v/>
      </c>
      <c r="H235" s="7">
        <f>'1 datos preparados'!G228</f>
        <v/>
      </c>
      <c r="I235" s="7">
        <f>'1 datos preparados'!H228</f>
        <v/>
      </c>
      <c r="J235" s="7">
        <f>'1 datos preparados'!I228</f>
        <v/>
      </c>
      <c r="K235" s="7">
        <f>'1 datos preparados'!J228</f>
        <v/>
      </c>
      <c r="L235" s="7">
        <f>'1 datos preparados'!K228</f>
        <v/>
      </c>
      <c r="M235" s="7">
        <f>'1 datos preparados'!L228</f>
        <v/>
      </c>
      <c r="N235" s="7">
        <f>'1 datos preparados'!M228</f>
        <v/>
      </c>
      <c r="O235" s="7">
        <f>'1 datos preparados'!N228</f>
        <v/>
      </c>
      <c r="P235" s="7">
        <f>'1 datos preparados'!O228</f>
        <v/>
      </c>
      <c r="Q235" s="7">
        <f>'1 datos preparados'!P228</f>
        <v/>
      </c>
      <c r="R235" s="7">
        <f>'1 datos preparados'!Q228</f>
        <v/>
      </c>
      <c r="S235" s="7">
        <f>'1 datos preparados'!R228</f>
        <v/>
      </c>
      <c r="T235" s="7">
        <f>'1 datos preparados'!S228</f>
        <v/>
      </c>
      <c r="U235" s="7">
        <f>'1 datos preparados'!T228</f>
        <v/>
      </c>
      <c r="V235" s="8">
        <f>$AE$12+D235*$AE$13+E235*$AE$14+F235*$AE$15+G235*$AE$16+H235*$AE$17+I235*$AE$18+J235*$AE$19+K235*$AE$20+L235*$AE$21+M235*$AE$22+N235*$AE$23+O235*$AE$24+P235*$AE$25+Q235*$AE$26+R235*$AE$27+S235*$AE$28+T235*$AE$29+U235*$AE$30</f>
        <v/>
      </c>
      <c r="W235" s="8">
        <f>1/(1+EXP(-V235))</f>
        <v/>
      </c>
      <c r="X235" s="9">
        <f>-IF(C235=1,LN(W235),LN(1-W235))</f>
        <v/>
      </c>
      <c r="Y235" s="8">
        <f>1</f>
        <v/>
      </c>
      <c r="Z235" s="9">
        <f>Y235*X235</f>
        <v/>
      </c>
      <c r="AA235" s="10">
        <f>IF(W235&gt;$AE$32,1,0)</f>
        <v/>
      </c>
      <c r="AB235">
        <f>IF(AA235=C235,1,0)</f>
        <v/>
      </c>
    </row>
    <row r="236">
      <c r="A236">
        <f>'1 datos preparados'!A229</f>
        <v/>
      </c>
      <c r="B236" s="5">
        <f>'1 datos preparados'!U229</f>
        <v/>
      </c>
      <c r="C236">
        <f>'1 datos preparados'!B229</f>
        <v/>
      </c>
      <c r="D236" s="7">
        <f>'1 datos preparados'!C229</f>
        <v/>
      </c>
      <c r="E236" s="7">
        <f>'1 datos preparados'!D229</f>
        <v/>
      </c>
      <c r="F236" s="7">
        <f>'1 datos preparados'!E229</f>
        <v/>
      </c>
      <c r="G236" s="7">
        <f>'1 datos preparados'!F229</f>
        <v/>
      </c>
      <c r="H236" s="7">
        <f>'1 datos preparados'!G229</f>
        <v/>
      </c>
      <c r="I236" s="7">
        <f>'1 datos preparados'!H229</f>
        <v/>
      </c>
      <c r="J236" s="7">
        <f>'1 datos preparados'!I229</f>
        <v/>
      </c>
      <c r="K236" s="7">
        <f>'1 datos preparados'!J229</f>
        <v/>
      </c>
      <c r="L236" s="7">
        <f>'1 datos preparados'!K229</f>
        <v/>
      </c>
      <c r="M236" s="7">
        <f>'1 datos preparados'!L229</f>
        <v/>
      </c>
      <c r="N236" s="7">
        <f>'1 datos preparados'!M229</f>
        <v/>
      </c>
      <c r="O236" s="7">
        <f>'1 datos preparados'!N229</f>
        <v/>
      </c>
      <c r="P236" s="7">
        <f>'1 datos preparados'!O229</f>
        <v/>
      </c>
      <c r="Q236" s="7">
        <f>'1 datos preparados'!P229</f>
        <v/>
      </c>
      <c r="R236" s="7">
        <f>'1 datos preparados'!Q229</f>
        <v/>
      </c>
      <c r="S236" s="7">
        <f>'1 datos preparados'!R229</f>
        <v/>
      </c>
      <c r="T236" s="7">
        <f>'1 datos preparados'!S229</f>
        <v/>
      </c>
      <c r="U236" s="7">
        <f>'1 datos preparados'!T229</f>
        <v/>
      </c>
      <c r="V236" s="8">
        <f>$AE$12+D236*$AE$13+E236*$AE$14+F236*$AE$15+G236*$AE$16+H236*$AE$17+I236*$AE$18+J236*$AE$19+K236*$AE$20+L236*$AE$21+M236*$AE$22+N236*$AE$23+O236*$AE$24+P236*$AE$25+Q236*$AE$26+R236*$AE$27+S236*$AE$28+T236*$AE$29+U236*$AE$30</f>
        <v/>
      </c>
      <c r="W236" s="8">
        <f>1/(1+EXP(-V236))</f>
        <v/>
      </c>
      <c r="X236" s="9">
        <f>-IF(C236=1,LN(W236),LN(1-W236))</f>
        <v/>
      </c>
      <c r="Y236" s="8">
        <f>1</f>
        <v/>
      </c>
      <c r="Z236" s="9">
        <f>Y236*X236</f>
        <v/>
      </c>
      <c r="AA236" s="10">
        <f>IF(W236&gt;$AE$32,1,0)</f>
        <v/>
      </c>
      <c r="AB236">
        <f>IF(AA236=C236,1,0)</f>
        <v/>
      </c>
    </row>
    <row r="237">
      <c r="A237">
        <f>'1 datos preparados'!A230</f>
        <v/>
      </c>
      <c r="B237" s="5">
        <f>'1 datos preparados'!U230</f>
        <v/>
      </c>
      <c r="C237">
        <f>'1 datos preparados'!B230</f>
        <v/>
      </c>
      <c r="D237" s="7">
        <f>'1 datos preparados'!C230</f>
        <v/>
      </c>
      <c r="E237" s="7">
        <f>'1 datos preparados'!D230</f>
        <v/>
      </c>
      <c r="F237" s="7">
        <f>'1 datos preparados'!E230</f>
        <v/>
      </c>
      <c r="G237" s="7">
        <f>'1 datos preparados'!F230</f>
        <v/>
      </c>
      <c r="H237" s="7">
        <f>'1 datos preparados'!G230</f>
        <v/>
      </c>
      <c r="I237" s="7">
        <f>'1 datos preparados'!H230</f>
        <v/>
      </c>
      <c r="J237" s="7">
        <f>'1 datos preparados'!I230</f>
        <v/>
      </c>
      <c r="K237" s="7">
        <f>'1 datos preparados'!J230</f>
        <v/>
      </c>
      <c r="L237" s="7">
        <f>'1 datos preparados'!K230</f>
        <v/>
      </c>
      <c r="M237" s="7">
        <f>'1 datos preparados'!L230</f>
        <v/>
      </c>
      <c r="N237" s="7">
        <f>'1 datos preparados'!M230</f>
        <v/>
      </c>
      <c r="O237" s="7">
        <f>'1 datos preparados'!N230</f>
        <v/>
      </c>
      <c r="P237" s="7">
        <f>'1 datos preparados'!O230</f>
        <v/>
      </c>
      <c r="Q237" s="7">
        <f>'1 datos preparados'!P230</f>
        <v/>
      </c>
      <c r="R237" s="7">
        <f>'1 datos preparados'!Q230</f>
        <v/>
      </c>
      <c r="S237" s="7">
        <f>'1 datos preparados'!R230</f>
        <v/>
      </c>
      <c r="T237" s="7">
        <f>'1 datos preparados'!S230</f>
        <v/>
      </c>
      <c r="U237" s="7">
        <f>'1 datos preparados'!T230</f>
        <v/>
      </c>
      <c r="V237" s="8">
        <f>$AE$12+D237*$AE$13+E237*$AE$14+F237*$AE$15+G237*$AE$16+H237*$AE$17+I237*$AE$18+J237*$AE$19+K237*$AE$20+L237*$AE$21+M237*$AE$22+N237*$AE$23+O237*$AE$24+P237*$AE$25+Q237*$AE$26+R237*$AE$27+S237*$AE$28+T237*$AE$29+U237*$AE$30</f>
        <v/>
      </c>
      <c r="W237" s="8">
        <f>1/(1+EXP(-V237))</f>
        <v/>
      </c>
      <c r="X237" s="9">
        <f>-IF(C237=1,LN(W237),LN(1-W237))</f>
        <v/>
      </c>
      <c r="Y237" s="8">
        <f>1</f>
        <v/>
      </c>
      <c r="Z237" s="9">
        <f>Y237*X237</f>
        <v/>
      </c>
      <c r="AA237" s="10">
        <f>IF(W237&gt;$AE$32,1,0)</f>
        <v/>
      </c>
      <c r="AB237">
        <f>IF(AA237=C237,1,0)</f>
        <v/>
      </c>
    </row>
    <row r="238">
      <c r="A238">
        <f>'1 datos preparados'!A231</f>
        <v/>
      </c>
      <c r="B238" s="5">
        <f>'1 datos preparados'!U231</f>
        <v/>
      </c>
      <c r="C238">
        <f>'1 datos preparados'!B231</f>
        <v/>
      </c>
      <c r="D238" s="7">
        <f>'1 datos preparados'!C231</f>
        <v/>
      </c>
      <c r="E238" s="7">
        <f>'1 datos preparados'!D231</f>
        <v/>
      </c>
      <c r="F238" s="7">
        <f>'1 datos preparados'!E231</f>
        <v/>
      </c>
      <c r="G238" s="7">
        <f>'1 datos preparados'!F231</f>
        <v/>
      </c>
      <c r="H238" s="7">
        <f>'1 datos preparados'!G231</f>
        <v/>
      </c>
      <c r="I238" s="7">
        <f>'1 datos preparados'!H231</f>
        <v/>
      </c>
      <c r="J238" s="7">
        <f>'1 datos preparados'!I231</f>
        <v/>
      </c>
      <c r="K238" s="7">
        <f>'1 datos preparados'!J231</f>
        <v/>
      </c>
      <c r="L238" s="7">
        <f>'1 datos preparados'!K231</f>
        <v/>
      </c>
      <c r="M238" s="7">
        <f>'1 datos preparados'!L231</f>
        <v/>
      </c>
      <c r="N238" s="7">
        <f>'1 datos preparados'!M231</f>
        <v/>
      </c>
      <c r="O238" s="7">
        <f>'1 datos preparados'!N231</f>
        <v/>
      </c>
      <c r="P238" s="7">
        <f>'1 datos preparados'!O231</f>
        <v/>
      </c>
      <c r="Q238" s="7">
        <f>'1 datos preparados'!P231</f>
        <v/>
      </c>
      <c r="R238" s="7">
        <f>'1 datos preparados'!Q231</f>
        <v/>
      </c>
      <c r="S238" s="7">
        <f>'1 datos preparados'!R231</f>
        <v/>
      </c>
      <c r="T238" s="7">
        <f>'1 datos preparados'!S231</f>
        <v/>
      </c>
      <c r="U238" s="7">
        <f>'1 datos preparados'!T231</f>
        <v/>
      </c>
      <c r="V238" s="8">
        <f>$AE$12+D238*$AE$13+E238*$AE$14+F238*$AE$15+G238*$AE$16+H238*$AE$17+I238*$AE$18+J238*$AE$19+K238*$AE$20+L238*$AE$21+M238*$AE$22+N238*$AE$23+O238*$AE$24+P238*$AE$25+Q238*$AE$26+R238*$AE$27+S238*$AE$28+T238*$AE$29+U238*$AE$30</f>
        <v/>
      </c>
      <c r="W238" s="8">
        <f>1/(1+EXP(-V238))</f>
        <v/>
      </c>
      <c r="X238" s="9">
        <f>-IF(C238=1,LN(W238),LN(1-W238))</f>
        <v/>
      </c>
      <c r="Y238" s="8">
        <f>1</f>
        <v/>
      </c>
      <c r="Z238" s="9">
        <f>Y238*X238</f>
        <v/>
      </c>
      <c r="AA238" s="10">
        <f>IF(W238&gt;$AE$32,1,0)</f>
        <v/>
      </c>
      <c r="AB238">
        <f>IF(AA238=C238,1,0)</f>
        <v/>
      </c>
    </row>
    <row r="239">
      <c r="A239">
        <f>'1 datos preparados'!A232</f>
        <v/>
      </c>
      <c r="B239" s="5">
        <f>'1 datos preparados'!U232</f>
        <v/>
      </c>
      <c r="C239">
        <f>'1 datos preparados'!B232</f>
        <v/>
      </c>
      <c r="D239" s="7">
        <f>'1 datos preparados'!C232</f>
        <v/>
      </c>
      <c r="E239" s="7">
        <f>'1 datos preparados'!D232</f>
        <v/>
      </c>
      <c r="F239" s="7">
        <f>'1 datos preparados'!E232</f>
        <v/>
      </c>
      <c r="G239" s="7">
        <f>'1 datos preparados'!F232</f>
        <v/>
      </c>
      <c r="H239" s="7">
        <f>'1 datos preparados'!G232</f>
        <v/>
      </c>
      <c r="I239" s="7">
        <f>'1 datos preparados'!H232</f>
        <v/>
      </c>
      <c r="J239" s="7">
        <f>'1 datos preparados'!I232</f>
        <v/>
      </c>
      <c r="K239" s="7">
        <f>'1 datos preparados'!J232</f>
        <v/>
      </c>
      <c r="L239" s="7">
        <f>'1 datos preparados'!K232</f>
        <v/>
      </c>
      <c r="M239" s="7">
        <f>'1 datos preparados'!L232</f>
        <v/>
      </c>
      <c r="N239" s="7">
        <f>'1 datos preparados'!M232</f>
        <v/>
      </c>
      <c r="O239" s="7">
        <f>'1 datos preparados'!N232</f>
        <v/>
      </c>
      <c r="P239" s="7">
        <f>'1 datos preparados'!O232</f>
        <v/>
      </c>
      <c r="Q239" s="7">
        <f>'1 datos preparados'!P232</f>
        <v/>
      </c>
      <c r="R239" s="7">
        <f>'1 datos preparados'!Q232</f>
        <v/>
      </c>
      <c r="S239" s="7">
        <f>'1 datos preparados'!R232</f>
        <v/>
      </c>
      <c r="T239" s="7">
        <f>'1 datos preparados'!S232</f>
        <v/>
      </c>
      <c r="U239" s="7">
        <f>'1 datos preparados'!T232</f>
        <v/>
      </c>
      <c r="V239" s="8">
        <f>$AE$12+D239*$AE$13+E239*$AE$14+F239*$AE$15+G239*$AE$16+H239*$AE$17+I239*$AE$18+J239*$AE$19+K239*$AE$20+L239*$AE$21+M239*$AE$22+N239*$AE$23+O239*$AE$24+P239*$AE$25+Q239*$AE$26+R239*$AE$27+S239*$AE$28+T239*$AE$29+U239*$AE$30</f>
        <v/>
      </c>
      <c r="W239" s="8">
        <f>1/(1+EXP(-V239))</f>
        <v/>
      </c>
      <c r="X239" s="9">
        <f>-IF(C239=1,LN(W239),LN(1-W239))</f>
        <v/>
      </c>
      <c r="Y239" s="8">
        <f>1</f>
        <v/>
      </c>
      <c r="Z239" s="9">
        <f>Y239*X239</f>
        <v/>
      </c>
      <c r="AA239" s="10">
        <f>IF(W239&gt;$AE$32,1,0)</f>
        <v/>
      </c>
      <c r="AB239">
        <f>IF(AA239=C239,1,0)</f>
        <v/>
      </c>
    </row>
    <row r="240">
      <c r="A240">
        <f>'1 datos preparados'!A233</f>
        <v/>
      </c>
      <c r="B240" s="5">
        <f>'1 datos preparados'!U233</f>
        <v/>
      </c>
      <c r="C240">
        <f>'1 datos preparados'!B233</f>
        <v/>
      </c>
      <c r="D240" s="7">
        <f>'1 datos preparados'!C233</f>
        <v/>
      </c>
      <c r="E240" s="7">
        <f>'1 datos preparados'!D233</f>
        <v/>
      </c>
      <c r="F240" s="7">
        <f>'1 datos preparados'!E233</f>
        <v/>
      </c>
      <c r="G240" s="7">
        <f>'1 datos preparados'!F233</f>
        <v/>
      </c>
      <c r="H240" s="7">
        <f>'1 datos preparados'!G233</f>
        <v/>
      </c>
      <c r="I240" s="7">
        <f>'1 datos preparados'!H233</f>
        <v/>
      </c>
      <c r="J240" s="7">
        <f>'1 datos preparados'!I233</f>
        <v/>
      </c>
      <c r="K240" s="7">
        <f>'1 datos preparados'!J233</f>
        <v/>
      </c>
      <c r="L240" s="7">
        <f>'1 datos preparados'!K233</f>
        <v/>
      </c>
      <c r="M240" s="7">
        <f>'1 datos preparados'!L233</f>
        <v/>
      </c>
      <c r="N240" s="7">
        <f>'1 datos preparados'!M233</f>
        <v/>
      </c>
      <c r="O240" s="7">
        <f>'1 datos preparados'!N233</f>
        <v/>
      </c>
      <c r="P240" s="7">
        <f>'1 datos preparados'!O233</f>
        <v/>
      </c>
      <c r="Q240" s="7">
        <f>'1 datos preparados'!P233</f>
        <v/>
      </c>
      <c r="R240" s="7">
        <f>'1 datos preparados'!Q233</f>
        <v/>
      </c>
      <c r="S240" s="7">
        <f>'1 datos preparados'!R233</f>
        <v/>
      </c>
      <c r="T240" s="7">
        <f>'1 datos preparados'!S233</f>
        <v/>
      </c>
      <c r="U240" s="7">
        <f>'1 datos preparados'!T233</f>
        <v/>
      </c>
      <c r="V240" s="8">
        <f>$AE$12+D240*$AE$13+E240*$AE$14+F240*$AE$15+G240*$AE$16+H240*$AE$17+I240*$AE$18+J240*$AE$19+K240*$AE$20+L240*$AE$21+M240*$AE$22+N240*$AE$23+O240*$AE$24+P240*$AE$25+Q240*$AE$26+R240*$AE$27+S240*$AE$28+T240*$AE$29+U240*$AE$30</f>
        <v/>
      </c>
      <c r="W240" s="8">
        <f>1/(1+EXP(-V240))</f>
        <v/>
      </c>
      <c r="X240" s="9">
        <f>-IF(C240=1,LN(W240),LN(1-W240))</f>
        <v/>
      </c>
      <c r="Y240" s="8">
        <f>1</f>
        <v/>
      </c>
      <c r="Z240" s="9">
        <f>Y240*X240</f>
        <v/>
      </c>
      <c r="AA240" s="10">
        <f>IF(W240&gt;$AE$32,1,0)</f>
        <v/>
      </c>
      <c r="AB240">
        <f>IF(AA240=C240,1,0)</f>
        <v/>
      </c>
    </row>
    <row r="241">
      <c r="A241">
        <f>'1 datos preparados'!A234</f>
        <v/>
      </c>
      <c r="B241" s="5">
        <f>'1 datos preparados'!U234</f>
        <v/>
      </c>
      <c r="C241">
        <f>'1 datos preparados'!B234</f>
        <v/>
      </c>
      <c r="D241" s="7">
        <f>'1 datos preparados'!C234</f>
        <v/>
      </c>
      <c r="E241" s="7">
        <f>'1 datos preparados'!D234</f>
        <v/>
      </c>
      <c r="F241" s="7">
        <f>'1 datos preparados'!E234</f>
        <v/>
      </c>
      <c r="G241" s="7">
        <f>'1 datos preparados'!F234</f>
        <v/>
      </c>
      <c r="H241" s="7">
        <f>'1 datos preparados'!G234</f>
        <v/>
      </c>
      <c r="I241" s="7">
        <f>'1 datos preparados'!H234</f>
        <v/>
      </c>
      <c r="J241" s="7">
        <f>'1 datos preparados'!I234</f>
        <v/>
      </c>
      <c r="K241" s="7">
        <f>'1 datos preparados'!J234</f>
        <v/>
      </c>
      <c r="L241" s="7">
        <f>'1 datos preparados'!K234</f>
        <v/>
      </c>
      <c r="M241" s="7">
        <f>'1 datos preparados'!L234</f>
        <v/>
      </c>
      <c r="N241" s="7">
        <f>'1 datos preparados'!M234</f>
        <v/>
      </c>
      <c r="O241" s="7">
        <f>'1 datos preparados'!N234</f>
        <v/>
      </c>
      <c r="P241" s="7">
        <f>'1 datos preparados'!O234</f>
        <v/>
      </c>
      <c r="Q241" s="7">
        <f>'1 datos preparados'!P234</f>
        <v/>
      </c>
      <c r="R241" s="7">
        <f>'1 datos preparados'!Q234</f>
        <v/>
      </c>
      <c r="S241" s="7">
        <f>'1 datos preparados'!R234</f>
        <v/>
      </c>
      <c r="T241" s="7">
        <f>'1 datos preparados'!S234</f>
        <v/>
      </c>
      <c r="U241" s="7">
        <f>'1 datos preparados'!T234</f>
        <v/>
      </c>
      <c r="V241" s="8">
        <f>$AE$12+D241*$AE$13+E241*$AE$14+F241*$AE$15+G241*$AE$16+H241*$AE$17+I241*$AE$18+J241*$AE$19+K241*$AE$20+L241*$AE$21+M241*$AE$22+N241*$AE$23+O241*$AE$24+P241*$AE$25+Q241*$AE$26+R241*$AE$27+S241*$AE$28+T241*$AE$29+U241*$AE$30</f>
        <v/>
      </c>
      <c r="W241" s="8">
        <f>1/(1+EXP(-V241))</f>
        <v/>
      </c>
      <c r="X241" s="9">
        <f>-IF(C241=1,LN(W241),LN(1-W241))</f>
        <v/>
      </c>
      <c r="Y241" s="8">
        <f>1</f>
        <v/>
      </c>
      <c r="Z241" s="9">
        <f>Y241*X241</f>
        <v/>
      </c>
      <c r="AA241" s="10">
        <f>IF(W241&gt;$AE$32,1,0)</f>
        <v/>
      </c>
      <c r="AB241">
        <f>IF(AA241=C241,1,0)</f>
        <v/>
      </c>
    </row>
    <row r="242">
      <c r="A242">
        <f>'1 datos preparados'!A235</f>
        <v/>
      </c>
      <c r="B242" s="5">
        <f>'1 datos preparados'!U235</f>
        <v/>
      </c>
      <c r="C242">
        <f>'1 datos preparados'!B235</f>
        <v/>
      </c>
      <c r="D242" s="7">
        <f>'1 datos preparados'!C235</f>
        <v/>
      </c>
      <c r="E242" s="7">
        <f>'1 datos preparados'!D235</f>
        <v/>
      </c>
      <c r="F242" s="7">
        <f>'1 datos preparados'!E235</f>
        <v/>
      </c>
      <c r="G242" s="7">
        <f>'1 datos preparados'!F235</f>
        <v/>
      </c>
      <c r="H242" s="7">
        <f>'1 datos preparados'!G235</f>
        <v/>
      </c>
      <c r="I242" s="7">
        <f>'1 datos preparados'!H235</f>
        <v/>
      </c>
      <c r="J242" s="7">
        <f>'1 datos preparados'!I235</f>
        <v/>
      </c>
      <c r="K242" s="7">
        <f>'1 datos preparados'!J235</f>
        <v/>
      </c>
      <c r="L242" s="7">
        <f>'1 datos preparados'!K235</f>
        <v/>
      </c>
      <c r="M242" s="7">
        <f>'1 datos preparados'!L235</f>
        <v/>
      </c>
      <c r="N242" s="7">
        <f>'1 datos preparados'!M235</f>
        <v/>
      </c>
      <c r="O242" s="7">
        <f>'1 datos preparados'!N235</f>
        <v/>
      </c>
      <c r="P242" s="7">
        <f>'1 datos preparados'!O235</f>
        <v/>
      </c>
      <c r="Q242" s="7">
        <f>'1 datos preparados'!P235</f>
        <v/>
      </c>
      <c r="R242" s="7">
        <f>'1 datos preparados'!Q235</f>
        <v/>
      </c>
      <c r="S242" s="7">
        <f>'1 datos preparados'!R235</f>
        <v/>
      </c>
      <c r="T242" s="7">
        <f>'1 datos preparados'!S235</f>
        <v/>
      </c>
      <c r="U242" s="7">
        <f>'1 datos preparados'!T235</f>
        <v/>
      </c>
      <c r="V242" s="8">
        <f>$AE$12+D242*$AE$13+E242*$AE$14+F242*$AE$15+G242*$AE$16+H242*$AE$17+I242*$AE$18+J242*$AE$19+K242*$AE$20+L242*$AE$21+M242*$AE$22+N242*$AE$23+O242*$AE$24+P242*$AE$25+Q242*$AE$26+R242*$AE$27+S242*$AE$28+T242*$AE$29+U242*$AE$30</f>
        <v/>
      </c>
      <c r="W242" s="8">
        <f>1/(1+EXP(-V242))</f>
        <v/>
      </c>
      <c r="X242" s="9">
        <f>-IF(C242=1,LN(W242),LN(1-W242))</f>
        <v/>
      </c>
      <c r="Y242" s="8">
        <f>1</f>
        <v/>
      </c>
      <c r="Z242" s="9">
        <f>Y242*X242</f>
        <v/>
      </c>
      <c r="AA242" s="10">
        <f>IF(W242&gt;$AE$32,1,0)</f>
        <v/>
      </c>
      <c r="AB242">
        <f>IF(AA242=C242,1,0)</f>
        <v/>
      </c>
    </row>
    <row r="243">
      <c r="A243">
        <f>'1 datos preparados'!A236</f>
        <v/>
      </c>
      <c r="B243" s="5">
        <f>'1 datos preparados'!U236</f>
        <v/>
      </c>
      <c r="C243">
        <f>'1 datos preparados'!B236</f>
        <v/>
      </c>
      <c r="D243" s="7">
        <f>'1 datos preparados'!C236</f>
        <v/>
      </c>
      <c r="E243" s="7">
        <f>'1 datos preparados'!D236</f>
        <v/>
      </c>
      <c r="F243" s="7">
        <f>'1 datos preparados'!E236</f>
        <v/>
      </c>
      <c r="G243" s="7">
        <f>'1 datos preparados'!F236</f>
        <v/>
      </c>
      <c r="H243" s="7">
        <f>'1 datos preparados'!G236</f>
        <v/>
      </c>
      <c r="I243" s="7">
        <f>'1 datos preparados'!H236</f>
        <v/>
      </c>
      <c r="J243" s="7">
        <f>'1 datos preparados'!I236</f>
        <v/>
      </c>
      <c r="K243" s="7">
        <f>'1 datos preparados'!J236</f>
        <v/>
      </c>
      <c r="L243" s="7">
        <f>'1 datos preparados'!K236</f>
        <v/>
      </c>
      <c r="M243" s="7">
        <f>'1 datos preparados'!L236</f>
        <v/>
      </c>
      <c r="N243" s="7">
        <f>'1 datos preparados'!M236</f>
        <v/>
      </c>
      <c r="O243" s="7">
        <f>'1 datos preparados'!N236</f>
        <v/>
      </c>
      <c r="P243" s="7">
        <f>'1 datos preparados'!O236</f>
        <v/>
      </c>
      <c r="Q243" s="7">
        <f>'1 datos preparados'!P236</f>
        <v/>
      </c>
      <c r="R243" s="7">
        <f>'1 datos preparados'!Q236</f>
        <v/>
      </c>
      <c r="S243" s="7">
        <f>'1 datos preparados'!R236</f>
        <v/>
      </c>
      <c r="T243" s="7">
        <f>'1 datos preparados'!S236</f>
        <v/>
      </c>
      <c r="U243" s="7">
        <f>'1 datos preparados'!T236</f>
        <v/>
      </c>
      <c r="V243" s="8">
        <f>$AE$12+D243*$AE$13+E243*$AE$14+F243*$AE$15+G243*$AE$16+H243*$AE$17+I243*$AE$18+J243*$AE$19+K243*$AE$20+L243*$AE$21+M243*$AE$22+N243*$AE$23+O243*$AE$24+P243*$AE$25+Q243*$AE$26+R243*$AE$27+S243*$AE$28+T243*$AE$29+U243*$AE$30</f>
        <v/>
      </c>
      <c r="W243" s="8">
        <f>1/(1+EXP(-V243))</f>
        <v/>
      </c>
      <c r="X243" s="9">
        <f>-IF(C243=1,LN(W243),LN(1-W243))</f>
        <v/>
      </c>
      <c r="Y243" s="8">
        <f>1</f>
        <v/>
      </c>
      <c r="Z243" s="9">
        <f>Y243*X243</f>
        <v/>
      </c>
      <c r="AA243" s="10">
        <f>IF(W243&gt;$AE$32,1,0)</f>
        <v/>
      </c>
      <c r="AB243">
        <f>IF(AA243=C243,1,0)</f>
        <v/>
      </c>
    </row>
    <row r="244">
      <c r="A244">
        <f>'1 datos preparados'!A237</f>
        <v/>
      </c>
      <c r="B244" s="5">
        <f>'1 datos preparados'!U237</f>
        <v/>
      </c>
      <c r="C244">
        <f>'1 datos preparados'!B237</f>
        <v/>
      </c>
      <c r="D244" s="7">
        <f>'1 datos preparados'!C237</f>
        <v/>
      </c>
      <c r="E244" s="7">
        <f>'1 datos preparados'!D237</f>
        <v/>
      </c>
      <c r="F244" s="7">
        <f>'1 datos preparados'!E237</f>
        <v/>
      </c>
      <c r="G244" s="7">
        <f>'1 datos preparados'!F237</f>
        <v/>
      </c>
      <c r="H244" s="7">
        <f>'1 datos preparados'!G237</f>
        <v/>
      </c>
      <c r="I244" s="7">
        <f>'1 datos preparados'!H237</f>
        <v/>
      </c>
      <c r="J244" s="7">
        <f>'1 datos preparados'!I237</f>
        <v/>
      </c>
      <c r="K244" s="7">
        <f>'1 datos preparados'!J237</f>
        <v/>
      </c>
      <c r="L244" s="7">
        <f>'1 datos preparados'!K237</f>
        <v/>
      </c>
      <c r="M244" s="7">
        <f>'1 datos preparados'!L237</f>
        <v/>
      </c>
      <c r="N244" s="7">
        <f>'1 datos preparados'!M237</f>
        <v/>
      </c>
      <c r="O244" s="7">
        <f>'1 datos preparados'!N237</f>
        <v/>
      </c>
      <c r="P244" s="7">
        <f>'1 datos preparados'!O237</f>
        <v/>
      </c>
      <c r="Q244" s="7">
        <f>'1 datos preparados'!P237</f>
        <v/>
      </c>
      <c r="R244" s="7">
        <f>'1 datos preparados'!Q237</f>
        <v/>
      </c>
      <c r="S244" s="7">
        <f>'1 datos preparados'!R237</f>
        <v/>
      </c>
      <c r="T244" s="7">
        <f>'1 datos preparados'!S237</f>
        <v/>
      </c>
      <c r="U244" s="7">
        <f>'1 datos preparados'!T237</f>
        <v/>
      </c>
      <c r="V244" s="8">
        <f>$AE$12+D244*$AE$13+E244*$AE$14+F244*$AE$15+G244*$AE$16+H244*$AE$17+I244*$AE$18+J244*$AE$19+K244*$AE$20+L244*$AE$21+M244*$AE$22+N244*$AE$23+O244*$AE$24+P244*$AE$25+Q244*$AE$26+R244*$AE$27+S244*$AE$28+T244*$AE$29+U244*$AE$30</f>
        <v/>
      </c>
      <c r="W244" s="8">
        <f>1/(1+EXP(-V244))</f>
        <v/>
      </c>
      <c r="X244" s="9">
        <f>-IF(C244=1,LN(W244),LN(1-W244))</f>
        <v/>
      </c>
      <c r="Y244" s="8">
        <f>1</f>
        <v/>
      </c>
      <c r="Z244" s="9">
        <f>Y244*X244</f>
        <v/>
      </c>
      <c r="AA244" s="10">
        <f>IF(W244&gt;$AE$32,1,0)</f>
        <v/>
      </c>
      <c r="AB244">
        <f>IF(AA244=C244,1,0)</f>
        <v/>
      </c>
    </row>
    <row r="245">
      <c r="A245">
        <f>'1 datos preparados'!A238</f>
        <v/>
      </c>
      <c r="B245" s="5">
        <f>'1 datos preparados'!U238</f>
        <v/>
      </c>
      <c r="C245">
        <f>'1 datos preparados'!B238</f>
        <v/>
      </c>
      <c r="D245" s="7">
        <f>'1 datos preparados'!C238</f>
        <v/>
      </c>
      <c r="E245" s="7">
        <f>'1 datos preparados'!D238</f>
        <v/>
      </c>
      <c r="F245" s="7">
        <f>'1 datos preparados'!E238</f>
        <v/>
      </c>
      <c r="G245" s="7">
        <f>'1 datos preparados'!F238</f>
        <v/>
      </c>
      <c r="H245" s="7">
        <f>'1 datos preparados'!G238</f>
        <v/>
      </c>
      <c r="I245" s="7">
        <f>'1 datos preparados'!H238</f>
        <v/>
      </c>
      <c r="J245" s="7">
        <f>'1 datos preparados'!I238</f>
        <v/>
      </c>
      <c r="K245" s="7">
        <f>'1 datos preparados'!J238</f>
        <v/>
      </c>
      <c r="L245" s="7">
        <f>'1 datos preparados'!K238</f>
        <v/>
      </c>
      <c r="M245" s="7">
        <f>'1 datos preparados'!L238</f>
        <v/>
      </c>
      <c r="N245" s="7">
        <f>'1 datos preparados'!M238</f>
        <v/>
      </c>
      <c r="O245" s="7">
        <f>'1 datos preparados'!N238</f>
        <v/>
      </c>
      <c r="P245" s="7">
        <f>'1 datos preparados'!O238</f>
        <v/>
      </c>
      <c r="Q245" s="7">
        <f>'1 datos preparados'!P238</f>
        <v/>
      </c>
      <c r="R245" s="7">
        <f>'1 datos preparados'!Q238</f>
        <v/>
      </c>
      <c r="S245" s="7">
        <f>'1 datos preparados'!R238</f>
        <v/>
      </c>
      <c r="T245" s="7">
        <f>'1 datos preparados'!S238</f>
        <v/>
      </c>
      <c r="U245" s="7">
        <f>'1 datos preparados'!T238</f>
        <v/>
      </c>
      <c r="V245" s="8">
        <f>$AE$12+D245*$AE$13+E245*$AE$14+F245*$AE$15+G245*$AE$16+H245*$AE$17+I245*$AE$18+J245*$AE$19+K245*$AE$20+L245*$AE$21+M245*$AE$22+N245*$AE$23+O245*$AE$24+P245*$AE$25+Q245*$AE$26+R245*$AE$27+S245*$AE$28+T245*$AE$29+U245*$AE$30</f>
        <v/>
      </c>
      <c r="W245" s="8">
        <f>1/(1+EXP(-V245))</f>
        <v/>
      </c>
      <c r="X245" s="9">
        <f>-IF(C245=1,LN(W245),LN(1-W245))</f>
        <v/>
      </c>
      <c r="Y245" s="8">
        <f>1</f>
        <v/>
      </c>
      <c r="Z245" s="9">
        <f>Y245*X245</f>
        <v/>
      </c>
      <c r="AA245" s="10">
        <f>IF(W245&gt;$AE$32,1,0)</f>
        <v/>
      </c>
      <c r="AB245">
        <f>IF(AA245=C245,1,0)</f>
        <v/>
      </c>
    </row>
    <row r="246">
      <c r="A246">
        <f>'1 datos preparados'!A239</f>
        <v/>
      </c>
      <c r="B246" s="5">
        <f>'1 datos preparados'!U239</f>
        <v/>
      </c>
      <c r="C246">
        <f>'1 datos preparados'!B239</f>
        <v/>
      </c>
      <c r="D246" s="7">
        <f>'1 datos preparados'!C239</f>
        <v/>
      </c>
      <c r="E246" s="7">
        <f>'1 datos preparados'!D239</f>
        <v/>
      </c>
      <c r="F246" s="7">
        <f>'1 datos preparados'!E239</f>
        <v/>
      </c>
      <c r="G246" s="7">
        <f>'1 datos preparados'!F239</f>
        <v/>
      </c>
      <c r="H246" s="7">
        <f>'1 datos preparados'!G239</f>
        <v/>
      </c>
      <c r="I246" s="7">
        <f>'1 datos preparados'!H239</f>
        <v/>
      </c>
      <c r="J246" s="7">
        <f>'1 datos preparados'!I239</f>
        <v/>
      </c>
      <c r="K246" s="7">
        <f>'1 datos preparados'!J239</f>
        <v/>
      </c>
      <c r="L246" s="7">
        <f>'1 datos preparados'!K239</f>
        <v/>
      </c>
      <c r="M246" s="7">
        <f>'1 datos preparados'!L239</f>
        <v/>
      </c>
      <c r="N246" s="7">
        <f>'1 datos preparados'!M239</f>
        <v/>
      </c>
      <c r="O246" s="7">
        <f>'1 datos preparados'!N239</f>
        <v/>
      </c>
      <c r="P246" s="7">
        <f>'1 datos preparados'!O239</f>
        <v/>
      </c>
      <c r="Q246" s="7">
        <f>'1 datos preparados'!P239</f>
        <v/>
      </c>
      <c r="R246" s="7">
        <f>'1 datos preparados'!Q239</f>
        <v/>
      </c>
      <c r="S246" s="7">
        <f>'1 datos preparados'!R239</f>
        <v/>
      </c>
      <c r="T246" s="7">
        <f>'1 datos preparados'!S239</f>
        <v/>
      </c>
      <c r="U246" s="7">
        <f>'1 datos preparados'!T239</f>
        <v/>
      </c>
      <c r="V246" s="8">
        <f>$AE$12+D246*$AE$13+E246*$AE$14+F246*$AE$15+G246*$AE$16+H246*$AE$17+I246*$AE$18+J246*$AE$19+K246*$AE$20+L246*$AE$21+M246*$AE$22+N246*$AE$23+O246*$AE$24+P246*$AE$25+Q246*$AE$26+R246*$AE$27+S246*$AE$28+T246*$AE$29+U246*$AE$30</f>
        <v/>
      </c>
      <c r="W246" s="8">
        <f>1/(1+EXP(-V246))</f>
        <v/>
      </c>
      <c r="X246" s="9">
        <f>-IF(C246=1,LN(W246),LN(1-W246))</f>
        <v/>
      </c>
      <c r="Y246" s="8">
        <f>1</f>
        <v/>
      </c>
      <c r="Z246" s="9">
        <f>Y246*X246</f>
        <v/>
      </c>
      <c r="AA246" s="10">
        <f>IF(W246&gt;$AE$32,1,0)</f>
        <v/>
      </c>
      <c r="AB246">
        <f>IF(AA246=C246,1,0)</f>
        <v/>
      </c>
    </row>
    <row r="247">
      <c r="A247">
        <f>'1 datos preparados'!A240</f>
        <v/>
      </c>
      <c r="B247" s="5">
        <f>'1 datos preparados'!U240</f>
        <v/>
      </c>
      <c r="C247">
        <f>'1 datos preparados'!B240</f>
        <v/>
      </c>
      <c r="D247" s="7">
        <f>'1 datos preparados'!C240</f>
        <v/>
      </c>
      <c r="E247" s="7">
        <f>'1 datos preparados'!D240</f>
        <v/>
      </c>
      <c r="F247" s="7">
        <f>'1 datos preparados'!E240</f>
        <v/>
      </c>
      <c r="G247" s="7">
        <f>'1 datos preparados'!F240</f>
        <v/>
      </c>
      <c r="H247" s="7">
        <f>'1 datos preparados'!G240</f>
        <v/>
      </c>
      <c r="I247" s="7">
        <f>'1 datos preparados'!H240</f>
        <v/>
      </c>
      <c r="J247" s="7">
        <f>'1 datos preparados'!I240</f>
        <v/>
      </c>
      <c r="K247" s="7">
        <f>'1 datos preparados'!J240</f>
        <v/>
      </c>
      <c r="L247" s="7">
        <f>'1 datos preparados'!K240</f>
        <v/>
      </c>
      <c r="M247" s="7">
        <f>'1 datos preparados'!L240</f>
        <v/>
      </c>
      <c r="N247" s="7">
        <f>'1 datos preparados'!M240</f>
        <v/>
      </c>
      <c r="O247" s="7">
        <f>'1 datos preparados'!N240</f>
        <v/>
      </c>
      <c r="P247" s="7">
        <f>'1 datos preparados'!O240</f>
        <v/>
      </c>
      <c r="Q247" s="7">
        <f>'1 datos preparados'!P240</f>
        <v/>
      </c>
      <c r="R247" s="7">
        <f>'1 datos preparados'!Q240</f>
        <v/>
      </c>
      <c r="S247" s="7">
        <f>'1 datos preparados'!R240</f>
        <v/>
      </c>
      <c r="T247" s="7">
        <f>'1 datos preparados'!S240</f>
        <v/>
      </c>
      <c r="U247" s="7">
        <f>'1 datos preparados'!T240</f>
        <v/>
      </c>
      <c r="V247" s="8">
        <f>$AE$12+D247*$AE$13+E247*$AE$14+F247*$AE$15+G247*$AE$16+H247*$AE$17+I247*$AE$18+J247*$AE$19+K247*$AE$20+L247*$AE$21+M247*$AE$22+N247*$AE$23+O247*$AE$24+P247*$AE$25+Q247*$AE$26+R247*$AE$27+S247*$AE$28+T247*$AE$29+U247*$AE$30</f>
        <v/>
      </c>
      <c r="W247" s="8">
        <f>1/(1+EXP(-V247))</f>
        <v/>
      </c>
      <c r="X247" s="9">
        <f>-IF(C247=1,LN(W247),LN(1-W247))</f>
        <v/>
      </c>
      <c r="Y247" s="8">
        <f>1</f>
        <v/>
      </c>
      <c r="Z247" s="9">
        <f>Y247*X247</f>
        <v/>
      </c>
      <c r="AA247" s="10">
        <f>IF(W247&gt;$AE$32,1,0)</f>
        <v/>
      </c>
      <c r="AB247">
        <f>IF(AA247=C247,1,0)</f>
        <v/>
      </c>
    </row>
    <row r="248">
      <c r="A248">
        <f>'1 datos preparados'!A241</f>
        <v/>
      </c>
      <c r="B248" s="5">
        <f>'1 datos preparados'!U241</f>
        <v/>
      </c>
      <c r="C248">
        <f>'1 datos preparados'!B241</f>
        <v/>
      </c>
      <c r="D248" s="7">
        <f>'1 datos preparados'!C241</f>
        <v/>
      </c>
      <c r="E248" s="7">
        <f>'1 datos preparados'!D241</f>
        <v/>
      </c>
      <c r="F248" s="7">
        <f>'1 datos preparados'!E241</f>
        <v/>
      </c>
      <c r="G248" s="7">
        <f>'1 datos preparados'!F241</f>
        <v/>
      </c>
      <c r="H248" s="7">
        <f>'1 datos preparados'!G241</f>
        <v/>
      </c>
      <c r="I248" s="7">
        <f>'1 datos preparados'!H241</f>
        <v/>
      </c>
      <c r="J248" s="7">
        <f>'1 datos preparados'!I241</f>
        <v/>
      </c>
      <c r="K248" s="7">
        <f>'1 datos preparados'!J241</f>
        <v/>
      </c>
      <c r="L248" s="7">
        <f>'1 datos preparados'!K241</f>
        <v/>
      </c>
      <c r="M248" s="7">
        <f>'1 datos preparados'!L241</f>
        <v/>
      </c>
      <c r="N248" s="7">
        <f>'1 datos preparados'!M241</f>
        <v/>
      </c>
      <c r="O248" s="7">
        <f>'1 datos preparados'!N241</f>
        <v/>
      </c>
      <c r="P248" s="7">
        <f>'1 datos preparados'!O241</f>
        <v/>
      </c>
      <c r="Q248" s="7">
        <f>'1 datos preparados'!P241</f>
        <v/>
      </c>
      <c r="R248" s="7">
        <f>'1 datos preparados'!Q241</f>
        <v/>
      </c>
      <c r="S248" s="7">
        <f>'1 datos preparados'!R241</f>
        <v/>
      </c>
      <c r="T248" s="7">
        <f>'1 datos preparados'!S241</f>
        <v/>
      </c>
      <c r="U248" s="7">
        <f>'1 datos preparados'!T241</f>
        <v/>
      </c>
      <c r="V248" s="8">
        <f>$AE$12+D248*$AE$13+E248*$AE$14+F248*$AE$15+G248*$AE$16+H248*$AE$17+I248*$AE$18+J248*$AE$19+K248*$AE$20+L248*$AE$21+M248*$AE$22+N248*$AE$23+O248*$AE$24+P248*$AE$25+Q248*$AE$26+R248*$AE$27+S248*$AE$28+T248*$AE$29+U248*$AE$30</f>
        <v/>
      </c>
      <c r="W248" s="8">
        <f>1/(1+EXP(-V248))</f>
        <v/>
      </c>
      <c r="X248" s="9">
        <f>-IF(C248=1,LN(W248),LN(1-W248))</f>
        <v/>
      </c>
      <c r="Y248" s="8">
        <f>1</f>
        <v/>
      </c>
      <c r="Z248" s="9">
        <f>Y248*X248</f>
        <v/>
      </c>
      <c r="AA248" s="10">
        <f>IF(W248&gt;$AE$32,1,0)</f>
        <v/>
      </c>
      <c r="AB248">
        <f>IF(AA248=C248,1,0)</f>
        <v/>
      </c>
    </row>
    <row r="249">
      <c r="A249">
        <f>'1 datos preparados'!A242</f>
        <v/>
      </c>
      <c r="B249" s="5">
        <f>'1 datos preparados'!U242</f>
        <v/>
      </c>
      <c r="C249">
        <f>'1 datos preparados'!B242</f>
        <v/>
      </c>
      <c r="D249" s="7">
        <f>'1 datos preparados'!C242</f>
        <v/>
      </c>
      <c r="E249" s="7">
        <f>'1 datos preparados'!D242</f>
        <v/>
      </c>
      <c r="F249" s="7">
        <f>'1 datos preparados'!E242</f>
        <v/>
      </c>
      <c r="G249" s="7">
        <f>'1 datos preparados'!F242</f>
        <v/>
      </c>
      <c r="H249" s="7">
        <f>'1 datos preparados'!G242</f>
        <v/>
      </c>
      <c r="I249" s="7">
        <f>'1 datos preparados'!H242</f>
        <v/>
      </c>
      <c r="J249" s="7">
        <f>'1 datos preparados'!I242</f>
        <v/>
      </c>
      <c r="K249" s="7">
        <f>'1 datos preparados'!J242</f>
        <v/>
      </c>
      <c r="L249" s="7">
        <f>'1 datos preparados'!K242</f>
        <v/>
      </c>
      <c r="M249" s="7">
        <f>'1 datos preparados'!L242</f>
        <v/>
      </c>
      <c r="N249" s="7">
        <f>'1 datos preparados'!M242</f>
        <v/>
      </c>
      <c r="O249" s="7">
        <f>'1 datos preparados'!N242</f>
        <v/>
      </c>
      <c r="P249" s="7">
        <f>'1 datos preparados'!O242</f>
        <v/>
      </c>
      <c r="Q249" s="7">
        <f>'1 datos preparados'!P242</f>
        <v/>
      </c>
      <c r="R249" s="7">
        <f>'1 datos preparados'!Q242</f>
        <v/>
      </c>
      <c r="S249" s="7">
        <f>'1 datos preparados'!R242</f>
        <v/>
      </c>
      <c r="T249" s="7">
        <f>'1 datos preparados'!S242</f>
        <v/>
      </c>
      <c r="U249" s="7">
        <f>'1 datos preparados'!T242</f>
        <v/>
      </c>
      <c r="V249" s="8">
        <f>$AE$12+D249*$AE$13+E249*$AE$14+F249*$AE$15+G249*$AE$16+H249*$AE$17+I249*$AE$18+J249*$AE$19+K249*$AE$20+L249*$AE$21+M249*$AE$22+N249*$AE$23+O249*$AE$24+P249*$AE$25+Q249*$AE$26+R249*$AE$27+S249*$AE$28+T249*$AE$29+U249*$AE$30</f>
        <v/>
      </c>
      <c r="W249" s="8">
        <f>1/(1+EXP(-V249))</f>
        <v/>
      </c>
      <c r="X249" s="9">
        <f>-IF(C249=1,LN(W249),LN(1-W249))</f>
        <v/>
      </c>
      <c r="Y249" s="8">
        <f>1</f>
        <v/>
      </c>
      <c r="Z249" s="9">
        <f>Y249*X249</f>
        <v/>
      </c>
      <c r="AA249" s="10">
        <f>IF(W249&gt;$AE$32,1,0)</f>
        <v/>
      </c>
      <c r="AB249">
        <f>IF(AA249=C249,1,0)</f>
        <v/>
      </c>
    </row>
    <row r="250">
      <c r="A250">
        <f>'1 datos preparados'!A243</f>
        <v/>
      </c>
      <c r="B250" s="5">
        <f>'1 datos preparados'!U243</f>
        <v/>
      </c>
      <c r="C250">
        <f>'1 datos preparados'!B243</f>
        <v/>
      </c>
      <c r="D250" s="7">
        <f>'1 datos preparados'!C243</f>
        <v/>
      </c>
      <c r="E250" s="7">
        <f>'1 datos preparados'!D243</f>
        <v/>
      </c>
      <c r="F250" s="7">
        <f>'1 datos preparados'!E243</f>
        <v/>
      </c>
      <c r="G250" s="7">
        <f>'1 datos preparados'!F243</f>
        <v/>
      </c>
      <c r="H250" s="7">
        <f>'1 datos preparados'!G243</f>
        <v/>
      </c>
      <c r="I250" s="7">
        <f>'1 datos preparados'!H243</f>
        <v/>
      </c>
      <c r="J250" s="7">
        <f>'1 datos preparados'!I243</f>
        <v/>
      </c>
      <c r="K250" s="7">
        <f>'1 datos preparados'!J243</f>
        <v/>
      </c>
      <c r="L250" s="7">
        <f>'1 datos preparados'!K243</f>
        <v/>
      </c>
      <c r="M250" s="7">
        <f>'1 datos preparados'!L243</f>
        <v/>
      </c>
      <c r="N250" s="7">
        <f>'1 datos preparados'!M243</f>
        <v/>
      </c>
      <c r="O250" s="7">
        <f>'1 datos preparados'!N243</f>
        <v/>
      </c>
      <c r="P250" s="7">
        <f>'1 datos preparados'!O243</f>
        <v/>
      </c>
      <c r="Q250" s="7">
        <f>'1 datos preparados'!P243</f>
        <v/>
      </c>
      <c r="R250" s="7">
        <f>'1 datos preparados'!Q243</f>
        <v/>
      </c>
      <c r="S250" s="7">
        <f>'1 datos preparados'!R243</f>
        <v/>
      </c>
      <c r="T250" s="7">
        <f>'1 datos preparados'!S243</f>
        <v/>
      </c>
      <c r="U250" s="7">
        <f>'1 datos preparados'!T243</f>
        <v/>
      </c>
      <c r="V250" s="8">
        <f>$AE$12+D250*$AE$13+E250*$AE$14+F250*$AE$15+G250*$AE$16+H250*$AE$17+I250*$AE$18+J250*$AE$19+K250*$AE$20+L250*$AE$21+M250*$AE$22+N250*$AE$23+O250*$AE$24+P250*$AE$25+Q250*$AE$26+R250*$AE$27+S250*$AE$28+T250*$AE$29+U250*$AE$30</f>
        <v/>
      </c>
      <c r="W250" s="8">
        <f>1/(1+EXP(-V250))</f>
        <v/>
      </c>
      <c r="X250" s="9">
        <f>-IF(C250=1,LN(W250),LN(1-W250))</f>
        <v/>
      </c>
      <c r="Y250" s="8">
        <f>1</f>
        <v/>
      </c>
      <c r="Z250" s="9">
        <f>Y250*X250</f>
        <v/>
      </c>
      <c r="AA250" s="10">
        <f>IF(W250&gt;$AE$32,1,0)</f>
        <v/>
      </c>
      <c r="AB250">
        <f>IF(AA250=C250,1,0)</f>
        <v/>
      </c>
    </row>
    <row r="251">
      <c r="A251">
        <f>'1 datos preparados'!A244</f>
        <v/>
      </c>
      <c r="B251" s="5">
        <f>'1 datos preparados'!U244</f>
        <v/>
      </c>
      <c r="C251">
        <f>'1 datos preparados'!B244</f>
        <v/>
      </c>
      <c r="D251" s="7">
        <f>'1 datos preparados'!C244</f>
        <v/>
      </c>
      <c r="E251" s="7">
        <f>'1 datos preparados'!D244</f>
        <v/>
      </c>
      <c r="F251" s="7">
        <f>'1 datos preparados'!E244</f>
        <v/>
      </c>
      <c r="G251" s="7">
        <f>'1 datos preparados'!F244</f>
        <v/>
      </c>
      <c r="H251" s="7">
        <f>'1 datos preparados'!G244</f>
        <v/>
      </c>
      <c r="I251" s="7">
        <f>'1 datos preparados'!H244</f>
        <v/>
      </c>
      <c r="J251" s="7">
        <f>'1 datos preparados'!I244</f>
        <v/>
      </c>
      <c r="K251" s="7">
        <f>'1 datos preparados'!J244</f>
        <v/>
      </c>
      <c r="L251" s="7">
        <f>'1 datos preparados'!K244</f>
        <v/>
      </c>
      <c r="M251" s="7">
        <f>'1 datos preparados'!L244</f>
        <v/>
      </c>
      <c r="N251" s="7">
        <f>'1 datos preparados'!M244</f>
        <v/>
      </c>
      <c r="O251" s="7">
        <f>'1 datos preparados'!N244</f>
        <v/>
      </c>
      <c r="P251" s="7">
        <f>'1 datos preparados'!O244</f>
        <v/>
      </c>
      <c r="Q251" s="7">
        <f>'1 datos preparados'!P244</f>
        <v/>
      </c>
      <c r="R251" s="7">
        <f>'1 datos preparados'!Q244</f>
        <v/>
      </c>
      <c r="S251" s="7">
        <f>'1 datos preparados'!R244</f>
        <v/>
      </c>
      <c r="T251" s="7">
        <f>'1 datos preparados'!S244</f>
        <v/>
      </c>
      <c r="U251" s="7">
        <f>'1 datos preparados'!T244</f>
        <v/>
      </c>
      <c r="V251" s="8">
        <f>$AE$12+D251*$AE$13+E251*$AE$14+F251*$AE$15+G251*$AE$16+H251*$AE$17+I251*$AE$18+J251*$AE$19+K251*$AE$20+L251*$AE$21+M251*$AE$22+N251*$AE$23+O251*$AE$24+P251*$AE$25+Q251*$AE$26+R251*$AE$27+S251*$AE$28+T251*$AE$29+U251*$AE$30</f>
        <v/>
      </c>
      <c r="W251" s="8">
        <f>1/(1+EXP(-V251))</f>
        <v/>
      </c>
      <c r="X251" s="9">
        <f>-IF(C251=1,LN(W251),LN(1-W251))</f>
        <v/>
      </c>
      <c r="Y251" s="8">
        <f>1</f>
        <v/>
      </c>
      <c r="Z251" s="9">
        <f>Y251*X251</f>
        <v/>
      </c>
      <c r="AA251" s="10">
        <f>IF(W251&gt;$AE$32,1,0)</f>
        <v/>
      </c>
      <c r="AB251">
        <f>IF(AA251=C251,1,0)</f>
        <v/>
      </c>
    </row>
    <row r="252">
      <c r="A252">
        <f>'1 datos preparados'!A245</f>
        <v/>
      </c>
      <c r="B252" s="5">
        <f>'1 datos preparados'!U245</f>
        <v/>
      </c>
      <c r="C252">
        <f>'1 datos preparados'!B245</f>
        <v/>
      </c>
      <c r="D252" s="7">
        <f>'1 datos preparados'!C245</f>
        <v/>
      </c>
      <c r="E252" s="7">
        <f>'1 datos preparados'!D245</f>
        <v/>
      </c>
      <c r="F252" s="7">
        <f>'1 datos preparados'!E245</f>
        <v/>
      </c>
      <c r="G252" s="7">
        <f>'1 datos preparados'!F245</f>
        <v/>
      </c>
      <c r="H252" s="7">
        <f>'1 datos preparados'!G245</f>
        <v/>
      </c>
      <c r="I252" s="7">
        <f>'1 datos preparados'!H245</f>
        <v/>
      </c>
      <c r="J252" s="7">
        <f>'1 datos preparados'!I245</f>
        <v/>
      </c>
      <c r="K252" s="7">
        <f>'1 datos preparados'!J245</f>
        <v/>
      </c>
      <c r="L252" s="7">
        <f>'1 datos preparados'!K245</f>
        <v/>
      </c>
      <c r="M252" s="7">
        <f>'1 datos preparados'!L245</f>
        <v/>
      </c>
      <c r="N252" s="7">
        <f>'1 datos preparados'!M245</f>
        <v/>
      </c>
      <c r="O252" s="7">
        <f>'1 datos preparados'!N245</f>
        <v/>
      </c>
      <c r="P252" s="7">
        <f>'1 datos preparados'!O245</f>
        <v/>
      </c>
      <c r="Q252" s="7">
        <f>'1 datos preparados'!P245</f>
        <v/>
      </c>
      <c r="R252" s="7">
        <f>'1 datos preparados'!Q245</f>
        <v/>
      </c>
      <c r="S252" s="7">
        <f>'1 datos preparados'!R245</f>
        <v/>
      </c>
      <c r="T252" s="7">
        <f>'1 datos preparados'!S245</f>
        <v/>
      </c>
      <c r="U252" s="7">
        <f>'1 datos preparados'!T245</f>
        <v/>
      </c>
      <c r="V252" s="8">
        <f>$AE$12+D252*$AE$13+E252*$AE$14+F252*$AE$15+G252*$AE$16+H252*$AE$17+I252*$AE$18+J252*$AE$19+K252*$AE$20+L252*$AE$21+M252*$AE$22+N252*$AE$23+O252*$AE$24+P252*$AE$25+Q252*$AE$26+R252*$AE$27+S252*$AE$28+T252*$AE$29+U252*$AE$30</f>
        <v/>
      </c>
      <c r="W252" s="8">
        <f>1/(1+EXP(-V252))</f>
        <v/>
      </c>
      <c r="X252" s="9">
        <f>-IF(C252=1,LN(W252),LN(1-W252))</f>
        <v/>
      </c>
      <c r="Y252" s="8">
        <f>1</f>
        <v/>
      </c>
      <c r="Z252" s="9">
        <f>Y252*X252</f>
        <v/>
      </c>
      <c r="AA252" s="10">
        <f>IF(W252&gt;$AE$32,1,0)</f>
        <v/>
      </c>
      <c r="AB252">
        <f>IF(AA252=C252,1,0)</f>
        <v/>
      </c>
    </row>
    <row r="253">
      <c r="A253">
        <f>'1 datos preparados'!A246</f>
        <v/>
      </c>
      <c r="B253" s="5">
        <f>'1 datos preparados'!U246</f>
        <v/>
      </c>
      <c r="C253">
        <f>'1 datos preparados'!B246</f>
        <v/>
      </c>
      <c r="D253" s="7">
        <f>'1 datos preparados'!C246</f>
        <v/>
      </c>
      <c r="E253" s="7">
        <f>'1 datos preparados'!D246</f>
        <v/>
      </c>
      <c r="F253" s="7">
        <f>'1 datos preparados'!E246</f>
        <v/>
      </c>
      <c r="G253" s="7">
        <f>'1 datos preparados'!F246</f>
        <v/>
      </c>
      <c r="H253" s="7">
        <f>'1 datos preparados'!G246</f>
        <v/>
      </c>
      <c r="I253" s="7">
        <f>'1 datos preparados'!H246</f>
        <v/>
      </c>
      <c r="J253" s="7">
        <f>'1 datos preparados'!I246</f>
        <v/>
      </c>
      <c r="K253" s="7">
        <f>'1 datos preparados'!J246</f>
        <v/>
      </c>
      <c r="L253" s="7">
        <f>'1 datos preparados'!K246</f>
        <v/>
      </c>
      <c r="M253" s="7">
        <f>'1 datos preparados'!L246</f>
        <v/>
      </c>
      <c r="N253" s="7">
        <f>'1 datos preparados'!M246</f>
        <v/>
      </c>
      <c r="O253" s="7">
        <f>'1 datos preparados'!N246</f>
        <v/>
      </c>
      <c r="P253" s="7">
        <f>'1 datos preparados'!O246</f>
        <v/>
      </c>
      <c r="Q253" s="7">
        <f>'1 datos preparados'!P246</f>
        <v/>
      </c>
      <c r="R253" s="7">
        <f>'1 datos preparados'!Q246</f>
        <v/>
      </c>
      <c r="S253" s="7">
        <f>'1 datos preparados'!R246</f>
        <v/>
      </c>
      <c r="T253" s="7">
        <f>'1 datos preparados'!S246</f>
        <v/>
      </c>
      <c r="U253" s="7">
        <f>'1 datos preparados'!T246</f>
        <v/>
      </c>
      <c r="V253" s="8">
        <f>$AE$12+D253*$AE$13+E253*$AE$14+F253*$AE$15+G253*$AE$16+H253*$AE$17+I253*$AE$18+J253*$AE$19+K253*$AE$20+L253*$AE$21+M253*$AE$22+N253*$AE$23+O253*$AE$24+P253*$AE$25+Q253*$AE$26+R253*$AE$27+S253*$AE$28+T253*$AE$29+U253*$AE$30</f>
        <v/>
      </c>
      <c r="W253" s="8">
        <f>1/(1+EXP(-V253))</f>
        <v/>
      </c>
      <c r="X253" s="9">
        <f>-IF(C253=1,LN(W253),LN(1-W253))</f>
        <v/>
      </c>
      <c r="Y253" s="8">
        <f>1</f>
        <v/>
      </c>
      <c r="Z253" s="9">
        <f>Y253*X253</f>
        <v/>
      </c>
      <c r="AA253" s="10">
        <f>IF(W253&gt;$AE$32,1,0)</f>
        <v/>
      </c>
      <c r="AB253">
        <f>IF(AA253=C253,1,0)</f>
        <v/>
      </c>
    </row>
    <row r="254">
      <c r="A254">
        <f>'1 datos preparados'!A247</f>
        <v/>
      </c>
      <c r="B254" s="5">
        <f>'1 datos preparados'!U247</f>
        <v/>
      </c>
      <c r="C254">
        <f>'1 datos preparados'!B247</f>
        <v/>
      </c>
      <c r="D254" s="7">
        <f>'1 datos preparados'!C247</f>
        <v/>
      </c>
      <c r="E254" s="7">
        <f>'1 datos preparados'!D247</f>
        <v/>
      </c>
      <c r="F254" s="7">
        <f>'1 datos preparados'!E247</f>
        <v/>
      </c>
      <c r="G254" s="7">
        <f>'1 datos preparados'!F247</f>
        <v/>
      </c>
      <c r="H254" s="7">
        <f>'1 datos preparados'!G247</f>
        <v/>
      </c>
      <c r="I254" s="7">
        <f>'1 datos preparados'!H247</f>
        <v/>
      </c>
      <c r="J254" s="7">
        <f>'1 datos preparados'!I247</f>
        <v/>
      </c>
      <c r="K254" s="7">
        <f>'1 datos preparados'!J247</f>
        <v/>
      </c>
      <c r="L254" s="7">
        <f>'1 datos preparados'!K247</f>
        <v/>
      </c>
      <c r="M254" s="7">
        <f>'1 datos preparados'!L247</f>
        <v/>
      </c>
      <c r="N254" s="7">
        <f>'1 datos preparados'!M247</f>
        <v/>
      </c>
      <c r="O254" s="7">
        <f>'1 datos preparados'!N247</f>
        <v/>
      </c>
      <c r="P254" s="7">
        <f>'1 datos preparados'!O247</f>
        <v/>
      </c>
      <c r="Q254" s="7">
        <f>'1 datos preparados'!P247</f>
        <v/>
      </c>
      <c r="R254" s="7">
        <f>'1 datos preparados'!Q247</f>
        <v/>
      </c>
      <c r="S254" s="7">
        <f>'1 datos preparados'!R247</f>
        <v/>
      </c>
      <c r="T254" s="7">
        <f>'1 datos preparados'!S247</f>
        <v/>
      </c>
      <c r="U254" s="7">
        <f>'1 datos preparados'!T247</f>
        <v/>
      </c>
      <c r="V254" s="8">
        <f>$AE$12+D254*$AE$13+E254*$AE$14+F254*$AE$15+G254*$AE$16+H254*$AE$17+I254*$AE$18+J254*$AE$19+K254*$AE$20+L254*$AE$21+M254*$AE$22+N254*$AE$23+O254*$AE$24+P254*$AE$25+Q254*$AE$26+R254*$AE$27+S254*$AE$28+T254*$AE$29+U254*$AE$30</f>
        <v/>
      </c>
      <c r="W254" s="8">
        <f>1/(1+EXP(-V254))</f>
        <v/>
      </c>
      <c r="X254" s="9">
        <f>-IF(C254=1,LN(W254),LN(1-W254))</f>
        <v/>
      </c>
      <c r="Y254" s="8">
        <f>1</f>
        <v/>
      </c>
      <c r="Z254" s="9">
        <f>Y254*X254</f>
        <v/>
      </c>
      <c r="AA254" s="10">
        <f>IF(W254&gt;$AE$32,1,0)</f>
        <v/>
      </c>
      <c r="AB254">
        <f>IF(AA254=C254,1,0)</f>
        <v/>
      </c>
    </row>
    <row r="255">
      <c r="A255">
        <f>'1 datos preparados'!A248</f>
        <v/>
      </c>
      <c r="B255" s="5">
        <f>'1 datos preparados'!U248</f>
        <v/>
      </c>
      <c r="C255">
        <f>'1 datos preparados'!B248</f>
        <v/>
      </c>
      <c r="D255" s="7">
        <f>'1 datos preparados'!C248</f>
        <v/>
      </c>
      <c r="E255" s="7">
        <f>'1 datos preparados'!D248</f>
        <v/>
      </c>
      <c r="F255" s="7">
        <f>'1 datos preparados'!E248</f>
        <v/>
      </c>
      <c r="G255" s="7">
        <f>'1 datos preparados'!F248</f>
        <v/>
      </c>
      <c r="H255" s="7">
        <f>'1 datos preparados'!G248</f>
        <v/>
      </c>
      <c r="I255" s="7">
        <f>'1 datos preparados'!H248</f>
        <v/>
      </c>
      <c r="J255" s="7">
        <f>'1 datos preparados'!I248</f>
        <v/>
      </c>
      <c r="K255" s="7">
        <f>'1 datos preparados'!J248</f>
        <v/>
      </c>
      <c r="L255" s="7">
        <f>'1 datos preparados'!K248</f>
        <v/>
      </c>
      <c r="M255" s="7">
        <f>'1 datos preparados'!L248</f>
        <v/>
      </c>
      <c r="N255" s="7">
        <f>'1 datos preparados'!M248</f>
        <v/>
      </c>
      <c r="O255" s="7">
        <f>'1 datos preparados'!N248</f>
        <v/>
      </c>
      <c r="P255" s="7">
        <f>'1 datos preparados'!O248</f>
        <v/>
      </c>
      <c r="Q255" s="7">
        <f>'1 datos preparados'!P248</f>
        <v/>
      </c>
      <c r="R255" s="7">
        <f>'1 datos preparados'!Q248</f>
        <v/>
      </c>
      <c r="S255" s="7">
        <f>'1 datos preparados'!R248</f>
        <v/>
      </c>
      <c r="T255" s="7">
        <f>'1 datos preparados'!S248</f>
        <v/>
      </c>
      <c r="U255" s="7">
        <f>'1 datos preparados'!T248</f>
        <v/>
      </c>
      <c r="V255" s="8">
        <f>$AE$12+D255*$AE$13+E255*$AE$14+F255*$AE$15+G255*$AE$16+H255*$AE$17+I255*$AE$18+J255*$AE$19+K255*$AE$20+L255*$AE$21+M255*$AE$22+N255*$AE$23+O255*$AE$24+P255*$AE$25+Q255*$AE$26+R255*$AE$27+S255*$AE$28+T255*$AE$29+U255*$AE$30</f>
        <v/>
      </c>
      <c r="W255" s="8">
        <f>1/(1+EXP(-V255))</f>
        <v/>
      </c>
      <c r="X255" s="9">
        <f>-IF(C255=1,LN(W255),LN(1-W255))</f>
        <v/>
      </c>
      <c r="Y255" s="8">
        <f>1</f>
        <v/>
      </c>
      <c r="Z255" s="9">
        <f>Y255*X255</f>
        <v/>
      </c>
      <c r="AA255" s="10">
        <f>IF(W255&gt;$AE$32,1,0)</f>
        <v/>
      </c>
      <c r="AB255">
        <f>IF(AA255=C255,1,0)</f>
        <v/>
      </c>
    </row>
    <row r="256">
      <c r="A256">
        <f>'1 datos preparados'!A249</f>
        <v/>
      </c>
      <c r="B256" s="5">
        <f>'1 datos preparados'!U249</f>
        <v/>
      </c>
      <c r="C256">
        <f>'1 datos preparados'!B249</f>
        <v/>
      </c>
      <c r="D256" s="7">
        <f>'1 datos preparados'!C249</f>
        <v/>
      </c>
      <c r="E256" s="7">
        <f>'1 datos preparados'!D249</f>
        <v/>
      </c>
      <c r="F256" s="7">
        <f>'1 datos preparados'!E249</f>
        <v/>
      </c>
      <c r="G256" s="7">
        <f>'1 datos preparados'!F249</f>
        <v/>
      </c>
      <c r="H256" s="7">
        <f>'1 datos preparados'!G249</f>
        <v/>
      </c>
      <c r="I256" s="7">
        <f>'1 datos preparados'!H249</f>
        <v/>
      </c>
      <c r="J256" s="7">
        <f>'1 datos preparados'!I249</f>
        <v/>
      </c>
      <c r="K256" s="7">
        <f>'1 datos preparados'!J249</f>
        <v/>
      </c>
      <c r="L256" s="7">
        <f>'1 datos preparados'!K249</f>
        <v/>
      </c>
      <c r="M256" s="7">
        <f>'1 datos preparados'!L249</f>
        <v/>
      </c>
      <c r="N256" s="7">
        <f>'1 datos preparados'!M249</f>
        <v/>
      </c>
      <c r="O256" s="7">
        <f>'1 datos preparados'!N249</f>
        <v/>
      </c>
      <c r="P256" s="7">
        <f>'1 datos preparados'!O249</f>
        <v/>
      </c>
      <c r="Q256" s="7">
        <f>'1 datos preparados'!P249</f>
        <v/>
      </c>
      <c r="R256" s="7">
        <f>'1 datos preparados'!Q249</f>
        <v/>
      </c>
      <c r="S256" s="7">
        <f>'1 datos preparados'!R249</f>
        <v/>
      </c>
      <c r="T256" s="7">
        <f>'1 datos preparados'!S249</f>
        <v/>
      </c>
      <c r="U256" s="7">
        <f>'1 datos preparados'!T249</f>
        <v/>
      </c>
      <c r="V256" s="8">
        <f>$AE$12+D256*$AE$13+E256*$AE$14+F256*$AE$15+G256*$AE$16+H256*$AE$17+I256*$AE$18+J256*$AE$19+K256*$AE$20+L256*$AE$21+M256*$AE$22+N256*$AE$23+O256*$AE$24+P256*$AE$25+Q256*$AE$26+R256*$AE$27+S256*$AE$28+T256*$AE$29+U256*$AE$30</f>
        <v/>
      </c>
      <c r="W256" s="8">
        <f>1/(1+EXP(-V256))</f>
        <v/>
      </c>
      <c r="X256" s="9">
        <f>-IF(C256=1,LN(W256),LN(1-W256))</f>
        <v/>
      </c>
      <c r="Y256" s="8">
        <f>1</f>
        <v/>
      </c>
      <c r="Z256" s="9">
        <f>Y256*X256</f>
        <v/>
      </c>
      <c r="AA256" s="10">
        <f>IF(W256&gt;$AE$32,1,0)</f>
        <v/>
      </c>
      <c r="AB256">
        <f>IF(AA256=C256,1,0)</f>
        <v/>
      </c>
    </row>
    <row r="257">
      <c r="A257">
        <f>'1 datos preparados'!A250</f>
        <v/>
      </c>
      <c r="B257" s="5">
        <f>'1 datos preparados'!U250</f>
        <v/>
      </c>
      <c r="C257">
        <f>'1 datos preparados'!B250</f>
        <v/>
      </c>
      <c r="D257" s="7">
        <f>'1 datos preparados'!C250</f>
        <v/>
      </c>
      <c r="E257" s="7">
        <f>'1 datos preparados'!D250</f>
        <v/>
      </c>
      <c r="F257" s="7">
        <f>'1 datos preparados'!E250</f>
        <v/>
      </c>
      <c r="G257" s="7">
        <f>'1 datos preparados'!F250</f>
        <v/>
      </c>
      <c r="H257" s="7">
        <f>'1 datos preparados'!G250</f>
        <v/>
      </c>
      <c r="I257" s="7">
        <f>'1 datos preparados'!H250</f>
        <v/>
      </c>
      <c r="J257" s="7">
        <f>'1 datos preparados'!I250</f>
        <v/>
      </c>
      <c r="K257" s="7">
        <f>'1 datos preparados'!J250</f>
        <v/>
      </c>
      <c r="L257" s="7">
        <f>'1 datos preparados'!K250</f>
        <v/>
      </c>
      <c r="M257" s="7">
        <f>'1 datos preparados'!L250</f>
        <v/>
      </c>
      <c r="N257" s="7">
        <f>'1 datos preparados'!M250</f>
        <v/>
      </c>
      <c r="O257" s="7">
        <f>'1 datos preparados'!N250</f>
        <v/>
      </c>
      <c r="P257" s="7">
        <f>'1 datos preparados'!O250</f>
        <v/>
      </c>
      <c r="Q257" s="7">
        <f>'1 datos preparados'!P250</f>
        <v/>
      </c>
      <c r="R257" s="7">
        <f>'1 datos preparados'!Q250</f>
        <v/>
      </c>
      <c r="S257" s="7">
        <f>'1 datos preparados'!R250</f>
        <v/>
      </c>
      <c r="T257" s="7">
        <f>'1 datos preparados'!S250</f>
        <v/>
      </c>
      <c r="U257" s="7">
        <f>'1 datos preparados'!T250</f>
        <v/>
      </c>
      <c r="V257" s="8">
        <f>$AE$12+D257*$AE$13+E257*$AE$14+F257*$AE$15+G257*$AE$16+H257*$AE$17+I257*$AE$18+J257*$AE$19+K257*$AE$20+L257*$AE$21+M257*$AE$22+N257*$AE$23+O257*$AE$24+P257*$AE$25+Q257*$AE$26+R257*$AE$27+S257*$AE$28+T257*$AE$29+U257*$AE$30</f>
        <v/>
      </c>
      <c r="W257" s="8">
        <f>1/(1+EXP(-V257))</f>
        <v/>
      </c>
      <c r="X257" s="9">
        <f>-IF(C257=1,LN(W257),LN(1-W257))</f>
        <v/>
      </c>
      <c r="Y257" s="8">
        <f>1</f>
        <v/>
      </c>
      <c r="Z257" s="9">
        <f>Y257*X257</f>
        <v/>
      </c>
      <c r="AA257" s="10">
        <f>IF(W257&gt;$AE$32,1,0)</f>
        <v/>
      </c>
      <c r="AB257">
        <f>IF(AA257=C257,1,0)</f>
        <v/>
      </c>
    </row>
    <row r="258">
      <c r="A258">
        <f>'1 datos preparados'!A251</f>
        <v/>
      </c>
      <c r="B258" s="5">
        <f>'1 datos preparados'!U251</f>
        <v/>
      </c>
      <c r="C258">
        <f>'1 datos preparados'!B251</f>
        <v/>
      </c>
      <c r="D258" s="7">
        <f>'1 datos preparados'!C251</f>
        <v/>
      </c>
      <c r="E258" s="7">
        <f>'1 datos preparados'!D251</f>
        <v/>
      </c>
      <c r="F258" s="7">
        <f>'1 datos preparados'!E251</f>
        <v/>
      </c>
      <c r="G258" s="7">
        <f>'1 datos preparados'!F251</f>
        <v/>
      </c>
      <c r="H258" s="7">
        <f>'1 datos preparados'!G251</f>
        <v/>
      </c>
      <c r="I258" s="7">
        <f>'1 datos preparados'!H251</f>
        <v/>
      </c>
      <c r="J258" s="7">
        <f>'1 datos preparados'!I251</f>
        <v/>
      </c>
      <c r="K258" s="7">
        <f>'1 datos preparados'!J251</f>
        <v/>
      </c>
      <c r="L258" s="7">
        <f>'1 datos preparados'!K251</f>
        <v/>
      </c>
      <c r="M258" s="7">
        <f>'1 datos preparados'!L251</f>
        <v/>
      </c>
      <c r="N258" s="7">
        <f>'1 datos preparados'!M251</f>
        <v/>
      </c>
      <c r="O258" s="7">
        <f>'1 datos preparados'!N251</f>
        <v/>
      </c>
      <c r="P258" s="7">
        <f>'1 datos preparados'!O251</f>
        <v/>
      </c>
      <c r="Q258" s="7">
        <f>'1 datos preparados'!P251</f>
        <v/>
      </c>
      <c r="R258" s="7">
        <f>'1 datos preparados'!Q251</f>
        <v/>
      </c>
      <c r="S258" s="7">
        <f>'1 datos preparados'!R251</f>
        <v/>
      </c>
      <c r="T258" s="7">
        <f>'1 datos preparados'!S251</f>
        <v/>
      </c>
      <c r="U258" s="7">
        <f>'1 datos preparados'!T251</f>
        <v/>
      </c>
      <c r="V258" s="8">
        <f>$AE$12+D258*$AE$13+E258*$AE$14+F258*$AE$15+G258*$AE$16+H258*$AE$17+I258*$AE$18+J258*$AE$19+K258*$AE$20+L258*$AE$21+M258*$AE$22+N258*$AE$23+O258*$AE$24+P258*$AE$25+Q258*$AE$26+R258*$AE$27+S258*$AE$28+T258*$AE$29+U258*$AE$30</f>
        <v/>
      </c>
      <c r="W258" s="8">
        <f>1/(1+EXP(-V258))</f>
        <v/>
      </c>
      <c r="X258" s="9">
        <f>-IF(C258=1,LN(W258),LN(1-W258))</f>
        <v/>
      </c>
      <c r="Y258" s="8">
        <f>1</f>
        <v/>
      </c>
      <c r="Z258" s="9">
        <f>Y258*X258</f>
        <v/>
      </c>
      <c r="AA258" s="10">
        <f>IF(W258&gt;$AE$32,1,0)</f>
        <v/>
      </c>
      <c r="AB258">
        <f>IF(AA258=C258,1,0)</f>
        <v/>
      </c>
    </row>
    <row r="259">
      <c r="A259">
        <f>'1 datos preparados'!A252</f>
        <v/>
      </c>
      <c r="B259" s="5">
        <f>'1 datos preparados'!U252</f>
        <v/>
      </c>
      <c r="C259">
        <f>'1 datos preparados'!B252</f>
        <v/>
      </c>
      <c r="D259" s="7">
        <f>'1 datos preparados'!C252</f>
        <v/>
      </c>
      <c r="E259" s="7">
        <f>'1 datos preparados'!D252</f>
        <v/>
      </c>
      <c r="F259" s="7">
        <f>'1 datos preparados'!E252</f>
        <v/>
      </c>
      <c r="G259" s="7">
        <f>'1 datos preparados'!F252</f>
        <v/>
      </c>
      <c r="H259" s="7">
        <f>'1 datos preparados'!G252</f>
        <v/>
      </c>
      <c r="I259" s="7">
        <f>'1 datos preparados'!H252</f>
        <v/>
      </c>
      <c r="J259" s="7">
        <f>'1 datos preparados'!I252</f>
        <v/>
      </c>
      <c r="K259" s="7">
        <f>'1 datos preparados'!J252</f>
        <v/>
      </c>
      <c r="L259" s="7">
        <f>'1 datos preparados'!K252</f>
        <v/>
      </c>
      <c r="M259" s="7">
        <f>'1 datos preparados'!L252</f>
        <v/>
      </c>
      <c r="N259" s="7">
        <f>'1 datos preparados'!M252</f>
        <v/>
      </c>
      <c r="O259" s="7">
        <f>'1 datos preparados'!N252</f>
        <v/>
      </c>
      <c r="P259" s="7">
        <f>'1 datos preparados'!O252</f>
        <v/>
      </c>
      <c r="Q259" s="7">
        <f>'1 datos preparados'!P252</f>
        <v/>
      </c>
      <c r="R259" s="7">
        <f>'1 datos preparados'!Q252</f>
        <v/>
      </c>
      <c r="S259" s="7">
        <f>'1 datos preparados'!R252</f>
        <v/>
      </c>
      <c r="T259" s="7">
        <f>'1 datos preparados'!S252</f>
        <v/>
      </c>
      <c r="U259" s="7">
        <f>'1 datos preparados'!T252</f>
        <v/>
      </c>
      <c r="V259" s="8">
        <f>$AE$12+D259*$AE$13+E259*$AE$14+F259*$AE$15+G259*$AE$16+H259*$AE$17+I259*$AE$18+J259*$AE$19+K259*$AE$20+L259*$AE$21+M259*$AE$22+N259*$AE$23+O259*$AE$24+P259*$AE$25+Q259*$AE$26+R259*$AE$27+S259*$AE$28+T259*$AE$29+U259*$AE$30</f>
        <v/>
      </c>
      <c r="W259" s="8">
        <f>1/(1+EXP(-V259))</f>
        <v/>
      </c>
      <c r="X259" s="9">
        <f>-IF(C259=1,LN(W259),LN(1-W259))</f>
        <v/>
      </c>
      <c r="Y259" s="8">
        <f>1</f>
        <v/>
      </c>
      <c r="Z259" s="9">
        <f>Y259*X259</f>
        <v/>
      </c>
      <c r="AA259" s="10">
        <f>IF(W259&gt;$AE$32,1,0)</f>
        <v/>
      </c>
      <c r="AB259">
        <f>IF(AA259=C259,1,0)</f>
        <v/>
      </c>
    </row>
    <row r="260">
      <c r="A260">
        <f>'1 datos preparados'!A253</f>
        <v/>
      </c>
      <c r="B260" s="5">
        <f>'1 datos preparados'!U253</f>
        <v/>
      </c>
      <c r="C260">
        <f>'1 datos preparados'!B253</f>
        <v/>
      </c>
      <c r="D260" s="7">
        <f>'1 datos preparados'!C253</f>
        <v/>
      </c>
      <c r="E260" s="7">
        <f>'1 datos preparados'!D253</f>
        <v/>
      </c>
      <c r="F260" s="7">
        <f>'1 datos preparados'!E253</f>
        <v/>
      </c>
      <c r="G260" s="7">
        <f>'1 datos preparados'!F253</f>
        <v/>
      </c>
      <c r="H260" s="7">
        <f>'1 datos preparados'!G253</f>
        <v/>
      </c>
      <c r="I260" s="7">
        <f>'1 datos preparados'!H253</f>
        <v/>
      </c>
      <c r="J260" s="7">
        <f>'1 datos preparados'!I253</f>
        <v/>
      </c>
      <c r="K260" s="7">
        <f>'1 datos preparados'!J253</f>
        <v/>
      </c>
      <c r="L260" s="7">
        <f>'1 datos preparados'!K253</f>
        <v/>
      </c>
      <c r="M260" s="7">
        <f>'1 datos preparados'!L253</f>
        <v/>
      </c>
      <c r="N260" s="7">
        <f>'1 datos preparados'!M253</f>
        <v/>
      </c>
      <c r="O260" s="7">
        <f>'1 datos preparados'!N253</f>
        <v/>
      </c>
      <c r="P260" s="7">
        <f>'1 datos preparados'!O253</f>
        <v/>
      </c>
      <c r="Q260" s="7">
        <f>'1 datos preparados'!P253</f>
        <v/>
      </c>
      <c r="R260" s="7">
        <f>'1 datos preparados'!Q253</f>
        <v/>
      </c>
      <c r="S260" s="7">
        <f>'1 datos preparados'!R253</f>
        <v/>
      </c>
      <c r="T260" s="7">
        <f>'1 datos preparados'!S253</f>
        <v/>
      </c>
      <c r="U260" s="7">
        <f>'1 datos preparados'!T253</f>
        <v/>
      </c>
      <c r="V260" s="8">
        <f>$AE$12+D260*$AE$13+E260*$AE$14+F260*$AE$15+G260*$AE$16+H260*$AE$17+I260*$AE$18+J260*$AE$19+K260*$AE$20+L260*$AE$21+M260*$AE$22+N260*$AE$23+O260*$AE$24+P260*$AE$25+Q260*$AE$26+R260*$AE$27+S260*$AE$28+T260*$AE$29+U260*$AE$30</f>
        <v/>
      </c>
      <c r="W260" s="8">
        <f>1/(1+EXP(-V260))</f>
        <v/>
      </c>
      <c r="X260" s="9">
        <f>-IF(C260=1,LN(W260),LN(1-W260))</f>
        <v/>
      </c>
      <c r="Y260" s="8">
        <f>1</f>
        <v/>
      </c>
      <c r="Z260" s="9">
        <f>Y260*X260</f>
        <v/>
      </c>
      <c r="AA260" s="10">
        <f>IF(W260&gt;$AE$32,1,0)</f>
        <v/>
      </c>
      <c r="AB260">
        <f>IF(AA260=C260,1,0)</f>
        <v/>
      </c>
    </row>
    <row r="261">
      <c r="A261">
        <f>'1 datos preparados'!A254</f>
        <v/>
      </c>
      <c r="B261" s="5">
        <f>'1 datos preparados'!U254</f>
        <v/>
      </c>
      <c r="C261">
        <f>'1 datos preparados'!B254</f>
        <v/>
      </c>
      <c r="D261" s="7">
        <f>'1 datos preparados'!C254</f>
        <v/>
      </c>
      <c r="E261" s="7">
        <f>'1 datos preparados'!D254</f>
        <v/>
      </c>
      <c r="F261" s="7">
        <f>'1 datos preparados'!E254</f>
        <v/>
      </c>
      <c r="G261" s="7">
        <f>'1 datos preparados'!F254</f>
        <v/>
      </c>
      <c r="H261" s="7">
        <f>'1 datos preparados'!G254</f>
        <v/>
      </c>
      <c r="I261" s="7">
        <f>'1 datos preparados'!H254</f>
        <v/>
      </c>
      <c r="J261" s="7">
        <f>'1 datos preparados'!I254</f>
        <v/>
      </c>
      <c r="K261" s="7">
        <f>'1 datos preparados'!J254</f>
        <v/>
      </c>
      <c r="L261" s="7">
        <f>'1 datos preparados'!K254</f>
        <v/>
      </c>
      <c r="M261" s="7">
        <f>'1 datos preparados'!L254</f>
        <v/>
      </c>
      <c r="N261" s="7">
        <f>'1 datos preparados'!M254</f>
        <v/>
      </c>
      <c r="O261" s="7">
        <f>'1 datos preparados'!N254</f>
        <v/>
      </c>
      <c r="P261" s="7">
        <f>'1 datos preparados'!O254</f>
        <v/>
      </c>
      <c r="Q261" s="7">
        <f>'1 datos preparados'!P254</f>
        <v/>
      </c>
      <c r="R261" s="7">
        <f>'1 datos preparados'!Q254</f>
        <v/>
      </c>
      <c r="S261" s="7">
        <f>'1 datos preparados'!R254</f>
        <v/>
      </c>
      <c r="T261" s="7">
        <f>'1 datos preparados'!S254</f>
        <v/>
      </c>
      <c r="U261" s="7">
        <f>'1 datos preparados'!T254</f>
        <v/>
      </c>
      <c r="V261" s="8">
        <f>$AE$12+D261*$AE$13+E261*$AE$14+F261*$AE$15+G261*$AE$16+H261*$AE$17+I261*$AE$18+J261*$AE$19+K261*$AE$20+L261*$AE$21+M261*$AE$22+N261*$AE$23+O261*$AE$24+P261*$AE$25+Q261*$AE$26+R261*$AE$27+S261*$AE$28+T261*$AE$29+U261*$AE$30</f>
        <v/>
      </c>
      <c r="W261" s="8">
        <f>1/(1+EXP(-V261))</f>
        <v/>
      </c>
      <c r="X261" s="9">
        <f>-IF(C261=1,LN(W261),LN(1-W261))</f>
        <v/>
      </c>
      <c r="Y261" s="8">
        <f>1</f>
        <v/>
      </c>
      <c r="Z261" s="9">
        <f>Y261*X261</f>
        <v/>
      </c>
      <c r="AA261" s="10">
        <f>IF(W261&gt;$AE$32,1,0)</f>
        <v/>
      </c>
      <c r="AB261">
        <f>IF(AA261=C261,1,0)</f>
        <v/>
      </c>
    </row>
    <row r="262">
      <c r="A262">
        <f>'1 datos preparados'!A255</f>
        <v/>
      </c>
      <c r="B262" s="5">
        <f>'1 datos preparados'!U255</f>
        <v/>
      </c>
      <c r="C262">
        <f>'1 datos preparados'!B255</f>
        <v/>
      </c>
      <c r="D262" s="7">
        <f>'1 datos preparados'!C255</f>
        <v/>
      </c>
      <c r="E262" s="7">
        <f>'1 datos preparados'!D255</f>
        <v/>
      </c>
      <c r="F262" s="7">
        <f>'1 datos preparados'!E255</f>
        <v/>
      </c>
      <c r="G262" s="7">
        <f>'1 datos preparados'!F255</f>
        <v/>
      </c>
      <c r="H262" s="7">
        <f>'1 datos preparados'!G255</f>
        <v/>
      </c>
      <c r="I262" s="7">
        <f>'1 datos preparados'!H255</f>
        <v/>
      </c>
      <c r="J262" s="7">
        <f>'1 datos preparados'!I255</f>
        <v/>
      </c>
      <c r="K262" s="7">
        <f>'1 datos preparados'!J255</f>
        <v/>
      </c>
      <c r="L262" s="7">
        <f>'1 datos preparados'!K255</f>
        <v/>
      </c>
      <c r="M262" s="7">
        <f>'1 datos preparados'!L255</f>
        <v/>
      </c>
      <c r="N262" s="7">
        <f>'1 datos preparados'!M255</f>
        <v/>
      </c>
      <c r="O262" s="7">
        <f>'1 datos preparados'!N255</f>
        <v/>
      </c>
      <c r="P262" s="7">
        <f>'1 datos preparados'!O255</f>
        <v/>
      </c>
      <c r="Q262" s="7">
        <f>'1 datos preparados'!P255</f>
        <v/>
      </c>
      <c r="R262" s="7">
        <f>'1 datos preparados'!Q255</f>
        <v/>
      </c>
      <c r="S262" s="7">
        <f>'1 datos preparados'!R255</f>
        <v/>
      </c>
      <c r="T262" s="7">
        <f>'1 datos preparados'!S255</f>
        <v/>
      </c>
      <c r="U262" s="7">
        <f>'1 datos preparados'!T255</f>
        <v/>
      </c>
      <c r="V262" s="8">
        <f>$AE$12+D262*$AE$13+E262*$AE$14+F262*$AE$15+G262*$AE$16+H262*$AE$17+I262*$AE$18+J262*$AE$19+K262*$AE$20+L262*$AE$21+M262*$AE$22+N262*$AE$23+O262*$AE$24+P262*$AE$25+Q262*$AE$26+R262*$AE$27+S262*$AE$28+T262*$AE$29+U262*$AE$30</f>
        <v/>
      </c>
      <c r="W262" s="8">
        <f>1/(1+EXP(-V262))</f>
        <v/>
      </c>
      <c r="X262" s="9">
        <f>-IF(C262=1,LN(W262),LN(1-W262))</f>
        <v/>
      </c>
      <c r="Y262" s="8">
        <f>1</f>
        <v/>
      </c>
      <c r="Z262" s="9">
        <f>Y262*X262</f>
        <v/>
      </c>
      <c r="AA262" s="10">
        <f>IF(W262&gt;$AE$32,1,0)</f>
        <v/>
      </c>
      <c r="AB262">
        <f>IF(AA262=C262,1,0)</f>
        <v/>
      </c>
    </row>
    <row r="263">
      <c r="A263">
        <f>'1 datos preparados'!A256</f>
        <v/>
      </c>
      <c r="B263" s="5">
        <f>'1 datos preparados'!U256</f>
        <v/>
      </c>
      <c r="C263">
        <f>'1 datos preparados'!B256</f>
        <v/>
      </c>
      <c r="D263" s="7">
        <f>'1 datos preparados'!C256</f>
        <v/>
      </c>
      <c r="E263" s="7">
        <f>'1 datos preparados'!D256</f>
        <v/>
      </c>
      <c r="F263" s="7">
        <f>'1 datos preparados'!E256</f>
        <v/>
      </c>
      <c r="G263" s="7">
        <f>'1 datos preparados'!F256</f>
        <v/>
      </c>
      <c r="H263" s="7">
        <f>'1 datos preparados'!G256</f>
        <v/>
      </c>
      <c r="I263" s="7">
        <f>'1 datos preparados'!H256</f>
        <v/>
      </c>
      <c r="J263" s="7">
        <f>'1 datos preparados'!I256</f>
        <v/>
      </c>
      <c r="K263" s="7">
        <f>'1 datos preparados'!J256</f>
        <v/>
      </c>
      <c r="L263" s="7">
        <f>'1 datos preparados'!K256</f>
        <v/>
      </c>
      <c r="M263" s="7">
        <f>'1 datos preparados'!L256</f>
        <v/>
      </c>
      <c r="N263" s="7">
        <f>'1 datos preparados'!M256</f>
        <v/>
      </c>
      <c r="O263" s="7">
        <f>'1 datos preparados'!N256</f>
        <v/>
      </c>
      <c r="P263" s="7">
        <f>'1 datos preparados'!O256</f>
        <v/>
      </c>
      <c r="Q263" s="7">
        <f>'1 datos preparados'!P256</f>
        <v/>
      </c>
      <c r="R263" s="7">
        <f>'1 datos preparados'!Q256</f>
        <v/>
      </c>
      <c r="S263" s="7">
        <f>'1 datos preparados'!R256</f>
        <v/>
      </c>
      <c r="T263" s="7">
        <f>'1 datos preparados'!S256</f>
        <v/>
      </c>
      <c r="U263" s="7">
        <f>'1 datos preparados'!T256</f>
        <v/>
      </c>
      <c r="V263" s="8">
        <f>$AE$12+D263*$AE$13+E263*$AE$14+F263*$AE$15+G263*$AE$16+H263*$AE$17+I263*$AE$18+J263*$AE$19+K263*$AE$20+L263*$AE$21+M263*$AE$22+N263*$AE$23+O263*$AE$24+P263*$AE$25+Q263*$AE$26+R263*$AE$27+S263*$AE$28+T263*$AE$29+U263*$AE$30</f>
        <v/>
      </c>
      <c r="W263" s="8">
        <f>1/(1+EXP(-V263))</f>
        <v/>
      </c>
      <c r="X263" s="9">
        <f>-IF(C263=1,LN(W263),LN(1-W263))</f>
        <v/>
      </c>
      <c r="Y263" s="8">
        <f>1</f>
        <v/>
      </c>
      <c r="Z263" s="9">
        <f>Y263*X263</f>
        <v/>
      </c>
      <c r="AA263" s="10">
        <f>IF(W263&gt;$AE$32,1,0)</f>
        <v/>
      </c>
      <c r="AB263">
        <f>IF(AA263=C263,1,0)</f>
        <v/>
      </c>
    </row>
    <row r="264">
      <c r="A264">
        <f>'1 datos preparados'!A257</f>
        <v/>
      </c>
      <c r="B264" s="5">
        <f>'1 datos preparados'!U257</f>
        <v/>
      </c>
      <c r="C264">
        <f>'1 datos preparados'!B257</f>
        <v/>
      </c>
      <c r="D264" s="7">
        <f>'1 datos preparados'!C257</f>
        <v/>
      </c>
      <c r="E264" s="7">
        <f>'1 datos preparados'!D257</f>
        <v/>
      </c>
      <c r="F264" s="7">
        <f>'1 datos preparados'!E257</f>
        <v/>
      </c>
      <c r="G264" s="7">
        <f>'1 datos preparados'!F257</f>
        <v/>
      </c>
      <c r="H264" s="7">
        <f>'1 datos preparados'!G257</f>
        <v/>
      </c>
      <c r="I264" s="7">
        <f>'1 datos preparados'!H257</f>
        <v/>
      </c>
      <c r="J264" s="7">
        <f>'1 datos preparados'!I257</f>
        <v/>
      </c>
      <c r="K264" s="7">
        <f>'1 datos preparados'!J257</f>
        <v/>
      </c>
      <c r="L264" s="7">
        <f>'1 datos preparados'!K257</f>
        <v/>
      </c>
      <c r="M264" s="7">
        <f>'1 datos preparados'!L257</f>
        <v/>
      </c>
      <c r="N264" s="7">
        <f>'1 datos preparados'!M257</f>
        <v/>
      </c>
      <c r="O264" s="7">
        <f>'1 datos preparados'!N257</f>
        <v/>
      </c>
      <c r="P264" s="7">
        <f>'1 datos preparados'!O257</f>
        <v/>
      </c>
      <c r="Q264" s="7">
        <f>'1 datos preparados'!P257</f>
        <v/>
      </c>
      <c r="R264" s="7">
        <f>'1 datos preparados'!Q257</f>
        <v/>
      </c>
      <c r="S264" s="7">
        <f>'1 datos preparados'!R257</f>
        <v/>
      </c>
      <c r="T264" s="7">
        <f>'1 datos preparados'!S257</f>
        <v/>
      </c>
      <c r="U264" s="7">
        <f>'1 datos preparados'!T257</f>
        <v/>
      </c>
      <c r="V264" s="8">
        <f>$AE$12+D264*$AE$13+E264*$AE$14+F264*$AE$15+G264*$AE$16+H264*$AE$17+I264*$AE$18+J264*$AE$19+K264*$AE$20+L264*$AE$21+M264*$AE$22+N264*$AE$23+O264*$AE$24+P264*$AE$25+Q264*$AE$26+R264*$AE$27+S264*$AE$28+T264*$AE$29+U264*$AE$30</f>
        <v/>
      </c>
      <c r="W264" s="8">
        <f>1/(1+EXP(-V264))</f>
        <v/>
      </c>
      <c r="X264" s="9">
        <f>-IF(C264=1,LN(W264),LN(1-W264))</f>
        <v/>
      </c>
      <c r="Y264" s="8">
        <f>1</f>
        <v/>
      </c>
      <c r="Z264" s="9">
        <f>Y264*X264</f>
        <v/>
      </c>
      <c r="AA264" s="10">
        <f>IF(W264&gt;$AE$32,1,0)</f>
        <v/>
      </c>
      <c r="AB264">
        <f>IF(AA264=C264,1,0)</f>
        <v/>
      </c>
    </row>
    <row r="265">
      <c r="A265">
        <f>'1 datos preparados'!A258</f>
        <v/>
      </c>
      <c r="B265" s="5">
        <f>'1 datos preparados'!U258</f>
        <v/>
      </c>
      <c r="C265">
        <f>'1 datos preparados'!B258</f>
        <v/>
      </c>
      <c r="D265" s="7">
        <f>'1 datos preparados'!C258</f>
        <v/>
      </c>
      <c r="E265" s="7">
        <f>'1 datos preparados'!D258</f>
        <v/>
      </c>
      <c r="F265" s="7">
        <f>'1 datos preparados'!E258</f>
        <v/>
      </c>
      <c r="G265" s="7">
        <f>'1 datos preparados'!F258</f>
        <v/>
      </c>
      <c r="H265" s="7">
        <f>'1 datos preparados'!G258</f>
        <v/>
      </c>
      <c r="I265" s="7">
        <f>'1 datos preparados'!H258</f>
        <v/>
      </c>
      <c r="J265" s="7">
        <f>'1 datos preparados'!I258</f>
        <v/>
      </c>
      <c r="K265" s="7">
        <f>'1 datos preparados'!J258</f>
        <v/>
      </c>
      <c r="L265" s="7">
        <f>'1 datos preparados'!K258</f>
        <v/>
      </c>
      <c r="M265" s="7">
        <f>'1 datos preparados'!L258</f>
        <v/>
      </c>
      <c r="N265" s="7">
        <f>'1 datos preparados'!M258</f>
        <v/>
      </c>
      <c r="O265" s="7">
        <f>'1 datos preparados'!N258</f>
        <v/>
      </c>
      <c r="P265" s="7">
        <f>'1 datos preparados'!O258</f>
        <v/>
      </c>
      <c r="Q265" s="7">
        <f>'1 datos preparados'!P258</f>
        <v/>
      </c>
      <c r="R265" s="7">
        <f>'1 datos preparados'!Q258</f>
        <v/>
      </c>
      <c r="S265" s="7">
        <f>'1 datos preparados'!R258</f>
        <v/>
      </c>
      <c r="T265" s="7">
        <f>'1 datos preparados'!S258</f>
        <v/>
      </c>
      <c r="U265" s="7">
        <f>'1 datos preparados'!T258</f>
        <v/>
      </c>
      <c r="V265" s="8">
        <f>$AE$12+D265*$AE$13+E265*$AE$14+F265*$AE$15+G265*$AE$16+H265*$AE$17+I265*$AE$18+J265*$AE$19+K265*$AE$20+L265*$AE$21+M265*$AE$22+N265*$AE$23+O265*$AE$24+P265*$AE$25+Q265*$AE$26+R265*$AE$27+S265*$AE$28+T265*$AE$29+U265*$AE$30</f>
        <v/>
      </c>
      <c r="W265" s="8">
        <f>1/(1+EXP(-V265))</f>
        <v/>
      </c>
      <c r="X265" s="9">
        <f>-IF(C265=1,LN(W265),LN(1-W265))</f>
        <v/>
      </c>
      <c r="Y265" s="8">
        <f>1</f>
        <v/>
      </c>
      <c r="Z265" s="9">
        <f>Y265*X265</f>
        <v/>
      </c>
      <c r="AA265" s="10">
        <f>IF(W265&gt;$AE$32,1,0)</f>
        <v/>
      </c>
      <c r="AB265">
        <f>IF(AA265=C265,1,0)</f>
        <v/>
      </c>
    </row>
    <row r="266">
      <c r="A266">
        <f>'1 datos preparados'!A259</f>
        <v/>
      </c>
      <c r="B266" s="5">
        <f>'1 datos preparados'!U259</f>
        <v/>
      </c>
      <c r="C266">
        <f>'1 datos preparados'!B259</f>
        <v/>
      </c>
      <c r="D266" s="7">
        <f>'1 datos preparados'!C259</f>
        <v/>
      </c>
      <c r="E266" s="7">
        <f>'1 datos preparados'!D259</f>
        <v/>
      </c>
      <c r="F266" s="7">
        <f>'1 datos preparados'!E259</f>
        <v/>
      </c>
      <c r="G266" s="7">
        <f>'1 datos preparados'!F259</f>
        <v/>
      </c>
      <c r="H266" s="7">
        <f>'1 datos preparados'!G259</f>
        <v/>
      </c>
      <c r="I266" s="7">
        <f>'1 datos preparados'!H259</f>
        <v/>
      </c>
      <c r="J266" s="7">
        <f>'1 datos preparados'!I259</f>
        <v/>
      </c>
      <c r="K266" s="7">
        <f>'1 datos preparados'!J259</f>
        <v/>
      </c>
      <c r="L266" s="7">
        <f>'1 datos preparados'!K259</f>
        <v/>
      </c>
      <c r="M266" s="7">
        <f>'1 datos preparados'!L259</f>
        <v/>
      </c>
      <c r="N266" s="7">
        <f>'1 datos preparados'!M259</f>
        <v/>
      </c>
      <c r="O266" s="7">
        <f>'1 datos preparados'!N259</f>
        <v/>
      </c>
      <c r="P266" s="7">
        <f>'1 datos preparados'!O259</f>
        <v/>
      </c>
      <c r="Q266" s="7">
        <f>'1 datos preparados'!P259</f>
        <v/>
      </c>
      <c r="R266" s="7">
        <f>'1 datos preparados'!Q259</f>
        <v/>
      </c>
      <c r="S266" s="7">
        <f>'1 datos preparados'!R259</f>
        <v/>
      </c>
      <c r="T266" s="7">
        <f>'1 datos preparados'!S259</f>
        <v/>
      </c>
      <c r="U266" s="7">
        <f>'1 datos preparados'!T259</f>
        <v/>
      </c>
      <c r="V266" s="8">
        <f>$AE$12+D266*$AE$13+E266*$AE$14+F266*$AE$15+G266*$AE$16+H266*$AE$17+I266*$AE$18+J266*$AE$19+K266*$AE$20+L266*$AE$21+M266*$AE$22+N266*$AE$23+O266*$AE$24+P266*$AE$25+Q266*$AE$26+R266*$AE$27+S266*$AE$28+T266*$AE$29+U266*$AE$30</f>
        <v/>
      </c>
      <c r="W266" s="8">
        <f>1/(1+EXP(-V266))</f>
        <v/>
      </c>
      <c r="X266" s="9">
        <f>-IF(C266=1,LN(W266),LN(1-W266))</f>
        <v/>
      </c>
      <c r="Y266" s="8">
        <f>1</f>
        <v/>
      </c>
      <c r="Z266" s="9">
        <f>Y266*X266</f>
        <v/>
      </c>
      <c r="AA266" s="10">
        <f>IF(W266&gt;$AE$32,1,0)</f>
        <v/>
      </c>
      <c r="AB266">
        <f>IF(AA266=C266,1,0)</f>
        <v/>
      </c>
    </row>
    <row r="267">
      <c r="A267">
        <f>'1 datos preparados'!A260</f>
        <v/>
      </c>
      <c r="B267" s="5">
        <f>'1 datos preparados'!U260</f>
        <v/>
      </c>
      <c r="C267">
        <f>'1 datos preparados'!B260</f>
        <v/>
      </c>
      <c r="D267" s="7">
        <f>'1 datos preparados'!C260</f>
        <v/>
      </c>
      <c r="E267" s="7">
        <f>'1 datos preparados'!D260</f>
        <v/>
      </c>
      <c r="F267" s="7">
        <f>'1 datos preparados'!E260</f>
        <v/>
      </c>
      <c r="G267" s="7">
        <f>'1 datos preparados'!F260</f>
        <v/>
      </c>
      <c r="H267" s="7">
        <f>'1 datos preparados'!G260</f>
        <v/>
      </c>
      <c r="I267" s="7">
        <f>'1 datos preparados'!H260</f>
        <v/>
      </c>
      <c r="J267" s="7">
        <f>'1 datos preparados'!I260</f>
        <v/>
      </c>
      <c r="K267" s="7">
        <f>'1 datos preparados'!J260</f>
        <v/>
      </c>
      <c r="L267" s="7">
        <f>'1 datos preparados'!K260</f>
        <v/>
      </c>
      <c r="M267" s="7">
        <f>'1 datos preparados'!L260</f>
        <v/>
      </c>
      <c r="N267" s="7">
        <f>'1 datos preparados'!M260</f>
        <v/>
      </c>
      <c r="O267" s="7">
        <f>'1 datos preparados'!N260</f>
        <v/>
      </c>
      <c r="P267" s="7">
        <f>'1 datos preparados'!O260</f>
        <v/>
      </c>
      <c r="Q267" s="7">
        <f>'1 datos preparados'!P260</f>
        <v/>
      </c>
      <c r="R267" s="7">
        <f>'1 datos preparados'!Q260</f>
        <v/>
      </c>
      <c r="S267" s="7">
        <f>'1 datos preparados'!R260</f>
        <v/>
      </c>
      <c r="T267" s="7">
        <f>'1 datos preparados'!S260</f>
        <v/>
      </c>
      <c r="U267" s="7">
        <f>'1 datos preparados'!T260</f>
        <v/>
      </c>
      <c r="V267" s="8">
        <f>$AE$12+D267*$AE$13+E267*$AE$14+F267*$AE$15+G267*$AE$16+H267*$AE$17+I267*$AE$18+J267*$AE$19+K267*$AE$20+L267*$AE$21+M267*$AE$22+N267*$AE$23+O267*$AE$24+P267*$AE$25+Q267*$AE$26+R267*$AE$27+S267*$AE$28+T267*$AE$29+U267*$AE$30</f>
        <v/>
      </c>
      <c r="W267" s="8">
        <f>1/(1+EXP(-V267))</f>
        <v/>
      </c>
      <c r="X267" s="9">
        <f>-IF(C267=1,LN(W267),LN(1-W267))</f>
        <v/>
      </c>
      <c r="Y267" s="8">
        <f>1</f>
        <v/>
      </c>
      <c r="Z267" s="9">
        <f>Y267*X267</f>
        <v/>
      </c>
      <c r="AA267" s="10">
        <f>IF(W267&gt;$AE$32,1,0)</f>
        <v/>
      </c>
      <c r="AB267">
        <f>IF(AA267=C267,1,0)</f>
        <v/>
      </c>
    </row>
    <row r="268">
      <c r="A268">
        <f>'1 datos preparados'!A261</f>
        <v/>
      </c>
      <c r="B268" s="5">
        <f>'1 datos preparados'!U261</f>
        <v/>
      </c>
      <c r="C268">
        <f>'1 datos preparados'!B261</f>
        <v/>
      </c>
      <c r="D268" s="7">
        <f>'1 datos preparados'!C261</f>
        <v/>
      </c>
      <c r="E268" s="7">
        <f>'1 datos preparados'!D261</f>
        <v/>
      </c>
      <c r="F268" s="7">
        <f>'1 datos preparados'!E261</f>
        <v/>
      </c>
      <c r="G268" s="7">
        <f>'1 datos preparados'!F261</f>
        <v/>
      </c>
      <c r="H268" s="7">
        <f>'1 datos preparados'!G261</f>
        <v/>
      </c>
      <c r="I268" s="7">
        <f>'1 datos preparados'!H261</f>
        <v/>
      </c>
      <c r="J268" s="7">
        <f>'1 datos preparados'!I261</f>
        <v/>
      </c>
      <c r="K268" s="7">
        <f>'1 datos preparados'!J261</f>
        <v/>
      </c>
      <c r="L268" s="7">
        <f>'1 datos preparados'!K261</f>
        <v/>
      </c>
      <c r="M268" s="7">
        <f>'1 datos preparados'!L261</f>
        <v/>
      </c>
      <c r="N268" s="7">
        <f>'1 datos preparados'!M261</f>
        <v/>
      </c>
      <c r="O268" s="7">
        <f>'1 datos preparados'!N261</f>
        <v/>
      </c>
      <c r="P268" s="7">
        <f>'1 datos preparados'!O261</f>
        <v/>
      </c>
      <c r="Q268" s="7">
        <f>'1 datos preparados'!P261</f>
        <v/>
      </c>
      <c r="R268" s="7">
        <f>'1 datos preparados'!Q261</f>
        <v/>
      </c>
      <c r="S268" s="7">
        <f>'1 datos preparados'!R261</f>
        <v/>
      </c>
      <c r="T268" s="7">
        <f>'1 datos preparados'!S261</f>
        <v/>
      </c>
      <c r="U268" s="7">
        <f>'1 datos preparados'!T261</f>
        <v/>
      </c>
      <c r="V268" s="8">
        <f>$AE$12+D268*$AE$13+E268*$AE$14+F268*$AE$15+G268*$AE$16+H268*$AE$17+I268*$AE$18+J268*$AE$19+K268*$AE$20+L268*$AE$21+M268*$AE$22+N268*$AE$23+O268*$AE$24+P268*$AE$25+Q268*$AE$26+R268*$AE$27+S268*$AE$28+T268*$AE$29+U268*$AE$30</f>
        <v/>
      </c>
      <c r="W268" s="8">
        <f>1/(1+EXP(-V268))</f>
        <v/>
      </c>
      <c r="X268" s="9">
        <f>-IF(C268=1,LN(W268),LN(1-W268))</f>
        <v/>
      </c>
      <c r="Y268" s="8">
        <f>1</f>
        <v/>
      </c>
      <c r="Z268" s="9">
        <f>Y268*X268</f>
        <v/>
      </c>
      <c r="AA268" s="10">
        <f>IF(W268&gt;$AE$32,1,0)</f>
        <v/>
      </c>
      <c r="AB268">
        <f>IF(AA268=C268,1,0)</f>
        <v/>
      </c>
    </row>
    <row r="269">
      <c r="A269">
        <f>'1 datos preparados'!A262</f>
        <v/>
      </c>
      <c r="B269" s="5">
        <f>'1 datos preparados'!U262</f>
        <v/>
      </c>
      <c r="C269">
        <f>'1 datos preparados'!B262</f>
        <v/>
      </c>
      <c r="D269" s="7">
        <f>'1 datos preparados'!C262</f>
        <v/>
      </c>
      <c r="E269" s="7">
        <f>'1 datos preparados'!D262</f>
        <v/>
      </c>
      <c r="F269" s="7">
        <f>'1 datos preparados'!E262</f>
        <v/>
      </c>
      <c r="G269" s="7">
        <f>'1 datos preparados'!F262</f>
        <v/>
      </c>
      <c r="H269" s="7">
        <f>'1 datos preparados'!G262</f>
        <v/>
      </c>
      <c r="I269" s="7">
        <f>'1 datos preparados'!H262</f>
        <v/>
      </c>
      <c r="J269" s="7">
        <f>'1 datos preparados'!I262</f>
        <v/>
      </c>
      <c r="K269" s="7">
        <f>'1 datos preparados'!J262</f>
        <v/>
      </c>
      <c r="L269" s="7">
        <f>'1 datos preparados'!K262</f>
        <v/>
      </c>
      <c r="M269" s="7">
        <f>'1 datos preparados'!L262</f>
        <v/>
      </c>
      <c r="N269" s="7">
        <f>'1 datos preparados'!M262</f>
        <v/>
      </c>
      <c r="O269" s="7">
        <f>'1 datos preparados'!N262</f>
        <v/>
      </c>
      <c r="P269" s="7">
        <f>'1 datos preparados'!O262</f>
        <v/>
      </c>
      <c r="Q269" s="7">
        <f>'1 datos preparados'!P262</f>
        <v/>
      </c>
      <c r="R269" s="7">
        <f>'1 datos preparados'!Q262</f>
        <v/>
      </c>
      <c r="S269" s="7">
        <f>'1 datos preparados'!R262</f>
        <v/>
      </c>
      <c r="T269" s="7">
        <f>'1 datos preparados'!S262</f>
        <v/>
      </c>
      <c r="U269" s="7">
        <f>'1 datos preparados'!T262</f>
        <v/>
      </c>
      <c r="V269" s="8">
        <f>$AE$12+D269*$AE$13+E269*$AE$14+F269*$AE$15+G269*$AE$16+H269*$AE$17+I269*$AE$18+J269*$AE$19+K269*$AE$20+L269*$AE$21+M269*$AE$22+N269*$AE$23+O269*$AE$24+P269*$AE$25+Q269*$AE$26+R269*$AE$27+S269*$AE$28+T269*$AE$29+U269*$AE$30</f>
        <v/>
      </c>
      <c r="W269" s="8">
        <f>1/(1+EXP(-V269))</f>
        <v/>
      </c>
      <c r="X269" s="9">
        <f>-IF(C269=1,LN(W269),LN(1-W269))</f>
        <v/>
      </c>
      <c r="Y269" s="8">
        <f>1</f>
        <v/>
      </c>
      <c r="Z269" s="9">
        <f>Y269*X269</f>
        <v/>
      </c>
      <c r="AA269" s="10">
        <f>IF(W269&gt;$AE$32,1,0)</f>
        <v/>
      </c>
      <c r="AB269">
        <f>IF(AA269=C269,1,0)</f>
        <v/>
      </c>
    </row>
    <row r="270">
      <c r="A270">
        <f>'1 datos preparados'!A263</f>
        <v/>
      </c>
      <c r="B270" s="5">
        <f>'1 datos preparados'!U263</f>
        <v/>
      </c>
      <c r="C270">
        <f>'1 datos preparados'!B263</f>
        <v/>
      </c>
      <c r="D270" s="7">
        <f>'1 datos preparados'!C263</f>
        <v/>
      </c>
      <c r="E270" s="7">
        <f>'1 datos preparados'!D263</f>
        <v/>
      </c>
      <c r="F270" s="7">
        <f>'1 datos preparados'!E263</f>
        <v/>
      </c>
      <c r="G270" s="7">
        <f>'1 datos preparados'!F263</f>
        <v/>
      </c>
      <c r="H270" s="7">
        <f>'1 datos preparados'!G263</f>
        <v/>
      </c>
      <c r="I270" s="7">
        <f>'1 datos preparados'!H263</f>
        <v/>
      </c>
      <c r="J270" s="7">
        <f>'1 datos preparados'!I263</f>
        <v/>
      </c>
      <c r="K270" s="7">
        <f>'1 datos preparados'!J263</f>
        <v/>
      </c>
      <c r="L270" s="7">
        <f>'1 datos preparados'!K263</f>
        <v/>
      </c>
      <c r="M270" s="7">
        <f>'1 datos preparados'!L263</f>
        <v/>
      </c>
      <c r="N270" s="7">
        <f>'1 datos preparados'!M263</f>
        <v/>
      </c>
      <c r="O270" s="7">
        <f>'1 datos preparados'!N263</f>
        <v/>
      </c>
      <c r="P270" s="7">
        <f>'1 datos preparados'!O263</f>
        <v/>
      </c>
      <c r="Q270" s="7">
        <f>'1 datos preparados'!P263</f>
        <v/>
      </c>
      <c r="R270" s="7">
        <f>'1 datos preparados'!Q263</f>
        <v/>
      </c>
      <c r="S270" s="7">
        <f>'1 datos preparados'!R263</f>
        <v/>
      </c>
      <c r="T270" s="7">
        <f>'1 datos preparados'!S263</f>
        <v/>
      </c>
      <c r="U270" s="7">
        <f>'1 datos preparados'!T263</f>
        <v/>
      </c>
      <c r="V270" s="8">
        <f>$AE$12+D270*$AE$13+E270*$AE$14+F270*$AE$15+G270*$AE$16+H270*$AE$17+I270*$AE$18+J270*$AE$19+K270*$AE$20+L270*$AE$21+M270*$AE$22+N270*$AE$23+O270*$AE$24+P270*$AE$25+Q270*$AE$26+R270*$AE$27+S270*$AE$28+T270*$AE$29+U270*$AE$30</f>
        <v/>
      </c>
      <c r="W270" s="8">
        <f>1/(1+EXP(-V270))</f>
        <v/>
      </c>
      <c r="X270" s="9">
        <f>-IF(C270=1,LN(W270),LN(1-W270))</f>
        <v/>
      </c>
      <c r="Y270" s="8">
        <f>1</f>
        <v/>
      </c>
      <c r="Z270" s="9">
        <f>Y270*X270</f>
        <v/>
      </c>
      <c r="AA270" s="10">
        <f>IF(W270&gt;$AE$32,1,0)</f>
        <v/>
      </c>
      <c r="AB270">
        <f>IF(AA270=C270,1,0)</f>
        <v/>
      </c>
    </row>
    <row r="271">
      <c r="A271">
        <f>'1 datos preparados'!A264</f>
        <v/>
      </c>
      <c r="B271" s="5">
        <f>'1 datos preparados'!U264</f>
        <v/>
      </c>
      <c r="C271">
        <f>'1 datos preparados'!B264</f>
        <v/>
      </c>
      <c r="D271" s="7">
        <f>'1 datos preparados'!C264</f>
        <v/>
      </c>
      <c r="E271" s="7">
        <f>'1 datos preparados'!D264</f>
        <v/>
      </c>
      <c r="F271" s="7">
        <f>'1 datos preparados'!E264</f>
        <v/>
      </c>
      <c r="G271" s="7">
        <f>'1 datos preparados'!F264</f>
        <v/>
      </c>
      <c r="H271" s="7">
        <f>'1 datos preparados'!G264</f>
        <v/>
      </c>
      <c r="I271" s="7">
        <f>'1 datos preparados'!H264</f>
        <v/>
      </c>
      <c r="J271" s="7">
        <f>'1 datos preparados'!I264</f>
        <v/>
      </c>
      <c r="K271" s="7">
        <f>'1 datos preparados'!J264</f>
        <v/>
      </c>
      <c r="L271" s="7">
        <f>'1 datos preparados'!K264</f>
        <v/>
      </c>
      <c r="M271" s="7">
        <f>'1 datos preparados'!L264</f>
        <v/>
      </c>
      <c r="N271" s="7">
        <f>'1 datos preparados'!M264</f>
        <v/>
      </c>
      <c r="O271" s="7">
        <f>'1 datos preparados'!N264</f>
        <v/>
      </c>
      <c r="P271" s="7">
        <f>'1 datos preparados'!O264</f>
        <v/>
      </c>
      <c r="Q271" s="7">
        <f>'1 datos preparados'!P264</f>
        <v/>
      </c>
      <c r="R271" s="7">
        <f>'1 datos preparados'!Q264</f>
        <v/>
      </c>
      <c r="S271" s="7">
        <f>'1 datos preparados'!R264</f>
        <v/>
      </c>
      <c r="T271" s="7">
        <f>'1 datos preparados'!S264</f>
        <v/>
      </c>
      <c r="U271" s="7">
        <f>'1 datos preparados'!T264</f>
        <v/>
      </c>
      <c r="V271" s="8">
        <f>$AE$12+D271*$AE$13+E271*$AE$14+F271*$AE$15+G271*$AE$16+H271*$AE$17+I271*$AE$18+J271*$AE$19+K271*$AE$20+L271*$AE$21+M271*$AE$22+N271*$AE$23+O271*$AE$24+P271*$AE$25+Q271*$AE$26+R271*$AE$27+S271*$AE$28+T271*$AE$29+U271*$AE$30</f>
        <v/>
      </c>
      <c r="W271" s="8">
        <f>1/(1+EXP(-V271))</f>
        <v/>
      </c>
      <c r="X271" s="9">
        <f>-IF(C271=1,LN(W271),LN(1-W271))</f>
        <v/>
      </c>
      <c r="Y271" s="8">
        <f>1</f>
        <v/>
      </c>
      <c r="Z271" s="9">
        <f>Y271*X271</f>
        <v/>
      </c>
      <c r="AA271" s="10">
        <f>IF(W271&gt;$AE$32,1,0)</f>
        <v/>
      </c>
      <c r="AB271">
        <f>IF(AA271=C271,1,0)</f>
        <v/>
      </c>
    </row>
    <row r="272">
      <c r="A272">
        <f>'1 datos preparados'!A265</f>
        <v/>
      </c>
      <c r="B272" s="5">
        <f>'1 datos preparados'!U265</f>
        <v/>
      </c>
      <c r="C272">
        <f>'1 datos preparados'!B265</f>
        <v/>
      </c>
      <c r="D272" s="7">
        <f>'1 datos preparados'!C265</f>
        <v/>
      </c>
      <c r="E272" s="7">
        <f>'1 datos preparados'!D265</f>
        <v/>
      </c>
      <c r="F272" s="7">
        <f>'1 datos preparados'!E265</f>
        <v/>
      </c>
      <c r="G272" s="7">
        <f>'1 datos preparados'!F265</f>
        <v/>
      </c>
      <c r="H272" s="7">
        <f>'1 datos preparados'!G265</f>
        <v/>
      </c>
      <c r="I272" s="7">
        <f>'1 datos preparados'!H265</f>
        <v/>
      </c>
      <c r="J272" s="7">
        <f>'1 datos preparados'!I265</f>
        <v/>
      </c>
      <c r="K272" s="7">
        <f>'1 datos preparados'!J265</f>
        <v/>
      </c>
      <c r="L272" s="7">
        <f>'1 datos preparados'!K265</f>
        <v/>
      </c>
      <c r="M272" s="7">
        <f>'1 datos preparados'!L265</f>
        <v/>
      </c>
      <c r="N272" s="7">
        <f>'1 datos preparados'!M265</f>
        <v/>
      </c>
      <c r="O272" s="7">
        <f>'1 datos preparados'!N265</f>
        <v/>
      </c>
      <c r="P272" s="7">
        <f>'1 datos preparados'!O265</f>
        <v/>
      </c>
      <c r="Q272" s="7">
        <f>'1 datos preparados'!P265</f>
        <v/>
      </c>
      <c r="R272" s="7">
        <f>'1 datos preparados'!Q265</f>
        <v/>
      </c>
      <c r="S272" s="7">
        <f>'1 datos preparados'!R265</f>
        <v/>
      </c>
      <c r="T272" s="7">
        <f>'1 datos preparados'!S265</f>
        <v/>
      </c>
      <c r="U272" s="7">
        <f>'1 datos preparados'!T265</f>
        <v/>
      </c>
      <c r="V272" s="8">
        <f>$AE$12+D272*$AE$13+E272*$AE$14+F272*$AE$15+G272*$AE$16+H272*$AE$17+I272*$AE$18+J272*$AE$19+K272*$AE$20+L272*$AE$21+M272*$AE$22+N272*$AE$23+O272*$AE$24+P272*$AE$25+Q272*$AE$26+R272*$AE$27+S272*$AE$28+T272*$AE$29+U272*$AE$30</f>
        <v/>
      </c>
      <c r="W272" s="8">
        <f>1/(1+EXP(-V272))</f>
        <v/>
      </c>
      <c r="X272" s="9">
        <f>-IF(C272=1,LN(W272),LN(1-W272))</f>
        <v/>
      </c>
      <c r="Y272" s="8">
        <f>1</f>
        <v/>
      </c>
      <c r="Z272" s="9">
        <f>Y272*X272</f>
        <v/>
      </c>
      <c r="AA272" s="10">
        <f>IF(W272&gt;$AE$32,1,0)</f>
        <v/>
      </c>
      <c r="AB272">
        <f>IF(AA272=C272,1,0)</f>
        <v/>
      </c>
    </row>
    <row r="273">
      <c r="A273">
        <f>'1 datos preparados'!A266</f>
        <v/>
      </c>
      <c r="B273" s="5">
        <f>'1 datos preparados'!U266</f>
        <v/>
      </c>
      <c r="C273">
        <f>'1 datos preparados'!B266</f>
        <v/>
      </c>
      <c r="D273" s="7">
        <f>'1 datos preparados'!C266</f>
        <v/>
      </c>
      <c r="E273" s="7">
        <f>'1 datos preparados'!D266</f>
        <v/>
      </c>
      <c r="F273" s="7">
        <f>'1 datos preparados'!E266</f>
        <v/>
      </c>
      <c r="G273" s="7">
        <f>'1 datos preparados'!F266</f>
        <v/>
      </c>
      <c r="H273" s="7">
        <f>'1 datos preparados'!G266</f>
        <v/>
      </c>
      <c r="I273" s="7">
        <f>'1 datos preparados'!H266</f>
        <v/>
      </c>
      <c r="J273" s="7">
        <f>'1 datos preparados'!I266</f>
        <v/>
      </c>
      <c r="K273" s="7">
        <f>'1 datos preparados'!J266</f>
        <v/>
      </c>
      <c r="L273" s="7">
        <f>'1 datos preparados'!K266</f>
        <v/>
      </c>
      <c r="M273" s="7">
        <f>'1 datos preparados'!L266</f>
        <v/>
      </c>
      <c r="N273" s="7">
        <f>'1 datos preparados'!M266</f>
        <v/>
      </c>
      <c r="O273" s="7">
        <f>'1 datos preparados'!N266</f>
        <v/>
      </c>
      <c r="P273" s="7">
        <f>'1 datos preparados'!O266</f>
        <v/>
      </c>
      <c r="Q273" s="7">
        <f>'1 datos preparados'!P266</f>
        <v/>
      </c>
      <c r="R273" s="7">
        <f>'1 datos preparados'!Q266</f>
        <v/>
      </c>
      <c r="S273" s="7">
        <f>'1 datos preparados'!R266</f>
        <v/>
      </c>
      <c r="T273" s="7">
        <f>'1 datos preparados'!S266</f>
        <v/>
      </c>
      <c r="U273" s="7">
        <f>'1 datos preparados'!T266</f>
        <v/>
      </c>
      <c r="V273" s="8">
        <f>$AE$12+D273*$AE$13+E273*$AE$14+F273*$AE$15+G273*$AE$16+H273*$AE$17+I273*$AE$18+J273*$AE$19+K273*$AE$20+L273*$AE$21+M273*$AE$22+N273*$AE$23+O273*$AE$24+P273*$AE$25+Q273*$AE$26+R273*$AE$27+S273*$AE$28+T273*$AE$29+U273*$AE$30</f>
        <v/>
      </c>
      <c r="W273" s="8">
        <f>1/(1+EXP(-V273))</f>
        <v/>
      </c>
      <c r="X273" s="9">
        <f>-IF(C273=1,LN(W273),LN(1-W273))</f>
        <v/>
      </c>
      <c r="Y273" s="8">
        <f>1</f>
        <v/>
      </c>
      <c r="Z273" s="9">
        <f>Y273*X273</f>
        <v/>
      </c>
      <c r="AA273" s="10">
        <f>IF(W273&gt;$AE$32,1,0)</f>
        <v/>
      </c>
      <c r="AB273">
        <f>IF(AA273=C273,1,0)</f>
        <v/>
      </c>
    </row>
    <row r="274">
      <c r="A274">
        <f>'1 datos preparados'!A267</f>
        <v/>
      </c>
      <c r="B274" s="5">
        <f>'1 datos preparados'!U267</f>
        <v/>
      </c>
      <c r="C274">
        <f>'1 datos preparados'!B267</f>
        <v/>
      </c>
      <c r="D274" s="7">
        <f>'1 datos preparados'!C267</f>
        <v/>
      </c>
      <c r="E274" s="7">
        <f>'1 datos preparados'!D267</f>
        <v/>
      </c>
      <c r="F274" s="7">
        <f>'1 datos preparados'!E267</f>
        <v/>
      </c>
      <c r="G274" s="7">
        <f>'1 datos preparados'!F267</f>
        <v/>
      </c>
      <c r="H274" s="7">
        <f>'1 datos preparados'!G267</f>
        <v/>
      </c>
      <c r="I274" s="7">
        <f>'1 datos preparados'!H267</f>
        <v/>
      </c>
      <c r="J274" s="7">
        <f>'1 datos preparados'!I267</f>
        <v/>
      </c>
      <c r="K274" s="7">
        <f>'1 datos preparados'!J267</f>
        <v/>
      </c>
      <c r="L274" s="7">
        <f>'1 datos preparados'!K267</f>
        <v/>
      </c>
      <c r="M274" s="7">
        <f>'1 datos preparados'!L267</f>
        <v/>
      </c>
      <c r="N274" s="7">
        <f>'1 datos preparados'!M267</f>
        <v/>
      </c>
      <c r="O274" s="7">
        <f>'1 datos preparados'!N267</f>
        <v/>
      </c>
      <c r="P274" s="7">
        <f>'1 datos preparados'!O267</f>
        <v/>
      </c>
      <c r="Q274" s="7">
        <f>'1 datos preparados'!P267</f>
        <v/>
      </c>
      <c r="R274" s="7">
        <f>'1 datos preparados'!Q267</f>
        <v/>
      </c>
      <c r="S274" s="7">
        <f>'1 datos preparados'!R267</f>
        <v/>
      </c>
      <c r="T274" s="7">
        <f>'1 datos preparados'!S267</f>
        <v/>
      </c>
      <c r="U274" s="7">
        <f>'1 datos preparados'!T267</f>
        <v/>
      </c>
      <c r="V274" s="8">
        <f>$AE$12+D274*$AE$13+E274*$AE$14+F274*$AE$15+G274*$AE$16+H274*$AE$17+I274*$AE$18+J274*$AE$19+K274*$AE$20+L274*$AE$21+M274*$AE$22+N274*$AE$23+O274*$AE$24+P274*$AE$25+Q274*$AE$26+R274*$AE$27+S274*$AE$28+T274*$AE$29+U274*$AE$30</f>
        <v/>
      </c>
      <c r="W274" s="8">
        <f>1/(1+EXP(-V274))</f>
        <v/>
      </c>
      <c r="X274" s="9">
        <f>-IF(C274=1,LN(W274),LN(1-W274))</f>
        <v/>
      </c>
      <c r="Y274" s="8">
        <f>1</f>
        <v/>
      </c>
      <c r="Z274" s="9">
        <f>Y274*X274</f>
        <v/>
      </c>
      <c r="AA274" s="10">
        <f>IF(W274&gt;$AE$32,1,0)</f>
        <v/>
      </c>
      <c r="AB274">
        <f>IF(AA274=C274,1,0)</f>
        <v/>
      </c>
    </row>
    <row r="275">
      <c r="A275">
        <f>'1 datos preparados'!A268</f>
        <v/>
      </c>
      <c r="B275" s="5">
        <f>'1 datos preparados'!U268</f>
        <v/>
      </c>
      <c r="C275">
        <f>'1 datos preparados'!B268</f>
        <v/>
      </c>
      <c r="D275" s="7">
        <f>'1 datos preparados'!C268</f>
        <v/>
      </c>
      <c r="E275" s="7">
        <f>'1 datos preparados'!D268</f>
        <v/>
      </c>
      <c r="F275" s="7">
        <f>'1 datos preparados'!E268</f>
        <v/>
      </c>
      <c r="G275" s="7">
        <f>'1 datos preparados'!F268</f>
        <v/>
      </c>
      <c r="H275" s="7">
        <f>'1 datos preparados'!G268</f>
        <v/>
      </c>
      <c r="I275" s="7">
        <f>'1 datos preparados'!H268</f>
        <v/>
      </c>
      <c r="J275" s="7">
        <f>'1 datos preparados'!I268</f>
        <v/>
      </c>
      <c r="K275" s="7">
        <f>'1 datos preparados'!J268</f>
        <v/>
      </c>
      <c r="L275" s="7">
        <f>'1 datos preparados'!K268</f>
        <v/>
      </c>
      <c r="M275" s="7">
        <f>'1 datos preparados'!L268</f>
        <v/>
      </c>
      <c r="N275" s="7">
        <f>'1 datos preparados'!M268</f>
        <v/>
      </c>
      <c r="O275" s="7">
        <f>'1 datos preparados'!N268</f>
        <v/>
      </c>
      <c r="P275" s="7">
        <f>'1 datos preparados'!O268</f>
        <v/>
      </c>
      <c r="Q275" s="7">
        <f>'1 datos preparados'!P268</f>
        <v/>
      </c>
      <c r="R275" s="7">
        <f>'1 datos preparados'!Q268</f>
        <v/>
      </c>
      <c r="S275" s="7">
        <f>'1 datos preparados'!R268</f>
        <v/>
      </c>
      <c r="T275" s="7">
        <f>'1 datos preparados'!S268</f>
        <v/>
      </c>
      <c r="U275" s="7">
        <f>'1 datos preparados'!T268</f>
        <v/>
      </c>
      <c r="V275" s="8">
        <f>$AE$12+D275*$AE$13+E275*$AE$14+F275*$AE$15+G275*$AE$16+H275*$AE$17+I275*$AE$18+J275*$AE$19+K275*$AE$20+L275*$AE$21+M275*$AE$22+N275*$AE$23+O275*$AE$24+P275*$AE$25+Q275*$AE$26+R275*$AE$27+S275*$AE$28+T275*$AE$29+U275*$AE$30</f>
        <v/>
      </c>
      <c r="W275" s="8">
        <f>1/(1+EXP(-V275))</f>
        <v/>
      </c>
      <c r="X275" s="9">
        <f>-IF(C275=1,LN(W275),LN(1-W275))</f>
        <v/>
      </c>
      <c r="Y275" s="8">
        <f>1</f>
        <v/>
      </c>
      <c r="Z275" s="9">
        <f>Y275*X275</f>
        <v/>
      </c>
      <c r="AA275" s="10">
        <f>IF(W275&gt;$AE$32,1,0)</f>
        <v/>
      </c>
      <c r="AB275">
        <f>IF(AA275=C275,1,0)</f>
        <v/>
      </c>
    </row>
    <row r="276">
      <c r="A276">
        <f>'1 datos preparados'!A269</f>
        <v/>
      </c>
      <c r="B276" s="5">
        <f>'1 datos preparados'!U269</f>
        <v/>
      </c>
      <c r="C276">
        <f>'1 datos preparados'!B269</f>
        <v/>
      </c>
      <c r="D276" s="7">
        <f>'1 datos preparados'!C269</f>
        <v/>
      </c>
      <c r="E276" s="7">
        <f>'1 datos preparados'!D269</f>
        <v/>
      </c>
      <c r="F276" s="7">
        <f>'1 datos preparados'!E269</f>
        <v/>
      </c>
      <c r="G276" s="7">
        <f>'1 datos preparados'!F269</f>
        <v/>
      </c>
      <c r="H276" s="7">
        <f>'1 datos preparados'!G269</f>
        <v/>
      </c>
      <c r="I276" s="7">
        <f>'1 datos preparados'!H269</f>
        <v/>
      </c>
      <c r="J276" s="7">
        <f>'1 datos preparados'!I269</f>
        <v/>
      </c>
      <c r="K276" s="7">
        <f>'1 datos preparados'!J269</f>
        <v/>
      </c>
      <c r="L276" s="7">
        <f>'1 datos preparados'!K269</f>
        <v/>
      </c>
      <c r="M276" s="7">
        <f>'1 datos preparados'!L269</f>
        <v/>
      </c>
      <c r="N276" s="7">
        <f>'1 datos preparados'!M269</f>
        <v/>
      </c>
      <c r="O276" s="7">
        <f>'1 datos preparados'!N269</f>
        <v/>
      </c>
      <c r="P276" s="7">
        <f>'1 datos preparados'!O269</f>
        <v/>
      </c>
      <c r="Q276" s="7">
        <f>'1 datos preparados'!P269</f>
        <v/>
      </c>
      <c r="R276" s="7">
        <f>'1 datos preparados'!Q269</f>
        <v/>
      </c>
      <c r="S276" s="7">
        <f>'1 datos preparados'!R269</f>
        <v/>
      </c>
      <c r="T276" s="7">
        <f>'1 datos preparados'!S269</f>
        <v/>
      </c>
      <c r="U276" s="7">
        <f>'1 datos preparados'!T269</f>
        <v/>
      </c>
      <c r="V276" s="8">
        <f>$AE$12+D276*$AE$13+E276*$AE$14+F276*$AE$15+G276*$AE$16+H276*$AE$17+I276*$AE$18+J276*$AE$19+K276*$AE$20+L276*$AE$21+M276*$AE$22+N276*$AE$23+O276*$AE$24+P276*$AE$25+Q276*$AE$26+R276*$AE$27+S276*$AE$28+T276*$AE$29+U276*$AE$30</f>
        <v/>
      </c>
      <c r="W276" s="8">
        <f>1/(1+EXP(-V276))</f>
        <v/>
      </c>
      <c r="X276" s="9">
        <f>-IF(C276=1,LN(W276),LN(1-W276))</f>
        <v/>
      </c>
      <c r="Y276" s="8">
        <f>1</f>
        <v/>
      </c>
      <c r="Z276" s="9">
        <f>Y276*X276</f>
        <v/>
      </c>
      <c r="AA276" s="10">
        <f>IF(W276&gt;$AE$32,1,0)</f>
        <v/>
      </c>
      <c r="AB276">
        <f>IF(AA276=C276,1,0)</f>
        <v/>
      </c>
    </row>
    <row r="277">
      <c r="A277">
        <f>'1 datos preparados'!A270</f>
        <v/>
      </c>
      <c r="B277" s="5">
        <f>'1 datos preparados'!U270</f>
        <v/>
      </c>
      <c r="C277">
        <f>'1 datos preparados'!B270</f>
        <v/>
      </c>
      <c r="D277" s="7">
        <f>'1 datos preparados'!C270</f>
        <v/>
      </c>
      <c r="E277" s="7">
        <f>'1 datos preparados'!D270</f>
        <v/>
      </c>
      <c r="F277" s="7">
        <f>'1 datos preparados'!E270</f>
        <v/>
      </c>
      <c r="G277" s="7">
        <f>'1 datos preparados'!F270</f>
        <v/>
      </c>
      <c r="H277" s="7">
        <f>'1 datos preparados'!G270</f>
        <v/>
      </c>
      <c r="I277" s="7">
        <f>'1 datos preparados'!H270</f>
        <v/>
      </c>
      <c r="J277" s="7">
        <f>'1 datos preparados'!I270</f>
        <v/>
      </c>
      <c r="K277" s="7">
        <f>'1 datos preparados'!J270</f>
        <v/>
      </c>
      <c r="L277" s="7">
        <f>'1 datos preparados'!K270</f>
        <v/>
      </c>
      <c r="M277" s="7">
        <f>'1 datos preparados'!L270</f>
        <v/>
      </c>
      <c r="N277" s="7">
        <f>'1 datos preparados'!M270</f>
        <v/>
      </c>
      <c r="O277" s="7">
        <f>'1 datos preparados'!N270</f>
        <v/>
      </c>
      <c r="P277" s="7">
        <f>'1 datos preparados'!O270</f>
        <v/>
      </c>
      <c r="Q277" s="7">
        <f>'1 datos preparados'!P270</f>
        <v/>
      </c>
      <c r="R277" s="7">
        <f>'1 datos preparados'!Q270</f>
        <v/>
      </c>
      <c r="S277" s="7">
        <f>'1 datos preparados'!R270</f>
        <v/>
      </c>
      <c r="T277" s="7">
        <f>'1 datos preparados'!S270</f>
        <v/>
      </c>
      <c r="U277" s="7">
        <f>'1 datos preparados'!T270</f>
        <v/>
      </c>
      <c r="V277" s="8">
        <f>$AE$12+D277*$AE$13+E277*$AE$14+F277*$AE$15+G277*$AE$16+H277*$AE$17+I277*$AE$18+J277*$AE$19+K277*$AE$20+L277*$AE$21+M277*$AE$22+N277*$AE$23+O277*$AE$24+P277*$AE$25+Q277*$AE$26+R277*$AE$27+S277*$AE$28+T277*$AE$29+U277*$AE$30</f>
        <v/>
      </c>
      <c r="W277" s="8">
        <f>1/(1+EXP(-V277))</f>
        <v/>
      </c>
      <c r="X277" s="9">
        <f>-IF(C277=1,LN(W277),LN(1-W277))</f>
        <v/>
      </c>
      <c r="Y277" s="8">
        <f>1</f>
        <v/>
      </c>
      <c r="Z277" s="9">
        <f>Y277*X277</f>
        <v/>
      </c>
      <c r="AA277" s="10">
        <f>IF(W277&gt;$AE$32,1,0)</f>
        <v/>
      </c>
      <c r="AB277">
        <f>IF(AA277=C277,1,0)</f>
        <v/>
      </c>
    </row>
    <row r="278">
      <c r="A278">
        <f>'1 datos preparados'!A271</f>
        <v/>
      </c>
      <c r="B278" s="5">
        <f>'1 datos preparados'!U271</f>
        <v/>
      </c>
      <c r="C278">
        <f>'1 datos preparados'!B271</f>
        <v/>
      </c>
      <c r="D278" s="7">
        <f>'1 datos preparados'!C271</f>
        <v/>
      </c>
      <c r="E278" s="7">
        <f>'1 datos preparados'!D271</f>
        <v/>
      </c>
      <c r="F278" s="7">
        <f>'1 datos preparados'!E271</f>
        <v/>
      </c>
      <c r="G278" s="7">
        <f>'1 datos preparados'!F271</f>
        <v/>
      </c>
      <c r="H278" s="7">
        <f>'1 datos preparados'!G271</f>
        <v/>
      </c>
      <c r="I278" s="7">
        <f>'1 datos preparados'!H271</f>
        <v/>
      </c>
      <c r="J278" s="7">
        <f>'1 datos preparados'!I271</f>
        <v/>
      </c>
      <c r="K278" s="7">
        <f>'1 datos preparados'!J271</f>
        <v/>
      </c>
      <c r="L278" s="7">
        <f>'1 datos preparados'!K271</f>
        <v/>
      </c>
      <c r="M278" s="7">
        <f>'1 datos preparados'!L271</f>
        <v/>
      </c>
      <c r="N278" s="7">
        <f>'1 datos preparados'!M271</f>
        <v/>
      </c>
      <c r="O278" s="7">
        <f>'1 datos preparados'!N271</f>
        <v/>
      </c>
      <c r="P278" s="7">
        <f>'1 datos preparados'!O271</f>
        <v/>
      </c>
      <c r="Q278" s="7">
        <f>'1 datos preparados'!P271</f>
        <v/>
      </c>
      <c r="R278" s="7">
        <f>'1 datos preparados'!Q271</f>
        <v/>
      </c>
      <c r="S278" s="7">
        <f>'1 datos preparados'!R271</f>
        <v/>
      </c>
      <c r="T278" s="7">
        <f>'1 datos preparados'!S271</f>
        <v/>
      </c>
      <c r="U278" s="7">
        <f>'1 datos preparados'!T271</f>
        <v/>
      </c>
      <c r="V278" s="8">
        <f>$AE$12+D278*$AE$13+E278*$AE$14+F278*$AE$15+G278*$AE$16+H278*$AE$17+I278*$AE$18+J278*$AE$19+K278*$AE$20+L278*$AE$21+M278*$AE$22+N278*$AE$23+O278*$AE$24+P278*$AE$25+Q278*$AE$26+R278*$AE$27+S278*$AE$28+T278*$AE$29+U278*$AE$30</f>
        <v/>
      </c>
      <c r="W278" s="8">
        <f>1/(1+EXP(-V278))</f>
        <v/>
      </c>
      <c r="X278" s="9">
        <f>-IF(C278=1,LN(W278),LN(1-W278))</f>
        <v/>
      </c>
      <c r="Y278" s="8">
        <f>1</f>
        <v/>
      </c>
      <c r="Z278" s="9">
        <f>Y278*X278</f>
        <v/>
      </c>
      <c r="AA278" s="10">
        <f>IF(W278&gt;$AE$32,1,0)</f>
        <v/>
      </c>
      <c r="AB278">
        <f>IF(AA278=C278,1,0)</f>
        <v/>
      </c>
    </row>
    <row r="279">
      <c r="A279">
        <f>'1 datos preparados'!A272</f>
        <v/>
      </c>
      <c r="B279" s="5">
        <f>'1 datos preparados'!U272</f>
        <v/>
      </c>
      <c r="C279">
        <f>'1 datos preparados'!B272</f>
        <v/>
      </c>
      <c r="D279" s="7">
        <f>'1 datos preparados'!C272</f>
        <v/>
      </c>
      <c r="E279" s="7">
        <f>'1 datos preparados'!D272</f>
        <v/>
      </c>
      <c r="F279" s="7">
        <f>'1 datos preparados'!E272</f>
        <v/>
      </c>
      <c r="G279" s="7">
        <f>'1 datos preparados'!F272</f>
        <v/>
      </c>
      <c r="H279" s="7">
        <f>'1 datos preparados'!G272</f>
        <v/>
      </c>
      <c r="I279" s="7">
        <f>'1 datos preparados'!H272</f>
        <v/>
      </c>
      <c r="J279" s="7">
        <f>'1 datos preparados'!I272</f>
        <v/>
      </c>
      <c r="K279" s="7">
        <f>'1 datos preparados'!J272</f>
        <v/>
      </c>
      <c r="L279" s="7">
        <f>'1 datos preparados'!K272</f>
        <v/>
      </c>
      <c r="M279" s="7">
        <f>'1 datos preparados'!L272</f>
        <v/>
      </c>
      <c r="N279" s="7">
        <f>'1 datos preparados'!M272</f>
        <v/>
      </c>
      <c r="O279" s="7">
        <f>'1 datos preparados'!N272</f>
        <v/>
      </c>
      <c r="P279" s="7">
        <f>'1 datos preparados'!O272</f>
        <v/>
      </c>
      <c r="Q279" s="7">
        <f>'1 datos preparados'!P272</f>
        <v/>
      </c>
      <c r="R279" s="7">
        <f>'1 datos preparados'!Q272</f>
        <v/>
      </c>
      <c r="S279" s="7">
        <f>'1 datos preparados'!R272</f>
        <v/>
      </c>
      <c r="T279" s="7">
        <f>'1 datos preparados'!S272</f>
        <v/>
      </c>
      <c r="U279" s="7">
        <f>'1 datos preparados'!T272</f>
        <v/>
      </c>
      <c r="V279" s="8">
        <f>$AE$12+D279*$AE$13+E279*$AE$14+F279*$AE$15+G279*$AE$16+H279*$AE$17+I279*$AE$18+J279*$AE$19+K279*$AE$20+L279*$AE$21+M279*$AE$22+N279*$AE$23+O279*$AE$24+P279*$AE$25+Q279*$AE$26+R279*$AE$27+S279*$AE$28+T279*$AE$29+U279*$AE$30</f>
        <v/>
      </c>
      <c r="W279" s="8">
        <f>1/(1+EXP(-V279))</f>
        <v/>
      </c>
      <c r="X279" s="9">
        <f>-IF(C279=1,LN(W279),LN(1-W279))</f>
        <v/>
      </c>
      <c r="Y279" s="8">
        <f>1</f>
        <v/>
      </c>
      <c r="Z279" s="9">
        <f>Y279*X279</f>
        <v/>
      </c>
      <c r="AA279" s="10">
        <f>IF(W279&gt;$AE$32,1,0)</f>
        <v/>
      </c>
      <c r="AB279">
        <f>IF(AA279=C279,1,0)</f>
        <v/>
      </c>
    </row>
    <row r="280">
      <c r="A280">
        <f>'1 datos preparados'!A273</f>
        <v/>
      </c>
      <c r="B280" s="5">
        <f>'1 datos preparados'!U273</f>
        <v/>
      </c>
      <c r="C280">
        <f>'1 datos preparados'!B273</f>
        <v/>
      </c>
      <c r="D280" s="7">
        <f>'1 datos preparados'!C273</f>
        <v/>
      </c>
      <c r="E280" s="7">
        <f>'1 datos preparados'!D273</f>
        <v/>
      </c>
      <c r="F280" s="7">
        <f>'1 datos preparados'!E273</f>
        <v/>
      </c>
      <c r="G280" s="7">
        <f>'1 datos preparados'!F273</f>
        <v/>
      </c>
      <c r="H280" s="7">
        <f>'1 datos preparados'!G273</f>
        <v/>
      </c>
      <c r="I280" s="7">
        <f>'1 datos preparados'!H273</f>
        <v/>
      </c>
      <c r="J280" s="7">
        <f>'1 datos preparados'!I273</f>
        <v/>
      </c>
      <c r="K280" s="7">
        <f>'1 datos preparados'!J273</f>
        <v/>
      </c>
      <c r="L280" s="7">
        <f>'1 datos preparados'!K273</f>
        <v/>
      </c>
      <c r="M280" s="7">
        <f>'1 datos preparados'!L273</f>
        <v/>
      </c>
      <c r="N280" s="7">
        <f>'1 datos preparados'!M273</f>
        <v/>
      </c>
      <c r="O280" s="7">
        <f>'1 datos preparados'!N273</f>
        <v/>
      </c>
      <c r="P280" s="7">
        <f>'1 datos preparados'!O273</f>
        <v/>
      </c>
      <c r="Q280" s="7">
        <f>'1 datos preparados'!P273</f>
        <v/>
      </c>
      <c r="R280" s="7">
        <f>'1 datos preparados'!Q273</f>
        <v/>
      </c>
      <c r="S280" s="7">
        <f>'1 datos preparados'!R273</f>
        <v/>
      </c>
      <c r="T280" s="7">
        <f>'1 datos preparados'!S273</f>
        <v/>
      </c>
      <c r="U280" s="7">
        <f>'1 datos preparados'!T273</f>
        <v/>
      </c>
      <c r="V280" s="8">
        <f>$AE$12+D280*$AE$13+E280*$AE$14+F280*$AE$15+G280*$AE$16+H280*$AE$17+I280*$AE$18+J280*$AE$19+K280*$AE$20+L280*$AE$21+M280*$AE$22+N280*$AE$23+O280*$AE$24+P280*$AE$25+Q280*$AE$26+R280*$AE$27+S280*$AE$28+T280*$AE$29+U280*$AE$30</f>
        <v/>
      </c>
      <c r="W280" s="8">
        <f>1/(1+EXP(-V280))</f>
        <v/>
      </c>
      <c r="X280" s="9">
        <f>-IF(C280=1,LN(W280),LN(1-W280))</f>
        <v/>
      </c>
      <c r="Y280" s="8">
        <f>1</f>
        <v/>
      </c>
      <c r="Z280" s="9">
        <f>Y280*X280</f>
        <v/>
      </c>
      <c r="AA280" s="10">
        <f>IF(W280&gt;$AE$32,1,0)</f>
        <v/>
      </c>
      <c r="AB280">
        <f>IF(AA280=C280,1,0)</f>
        <v/>
      </c>
    </row>
    <row r="281">
      <c r="A281">
        <f>'1 datos preparados'!A274</f>
        <v/>
      </c>
      <c r="B281" s="5">
        <f>'1 datos preparados'!U274</f>
        <v/>
      </c>
      <c r="C281">
        <f>'1 datos preparados'!B274</f>
        <v/>
      </c>
      <c r="D281" s="7">
        <f>'1 datos preparados'!C274</f>
        <v/>
      </c>
      <c r="E281" s="7">
        <f>'1 datos preparados'!D274</f>
        <v/>
      </c>
      <c r="F281" s="7">
        <f>'1 datos preparados'!E274</f>
        <v/>
      </c>
      <c r="G281" s="7">
        <f>'1 datos preparados'!F274</f>
        <v/>
      </c>
      <c r="H281" s="7">
        <f>'1 datos preparados'!G274</f>
        <v/>
      </c>
      <c r="I281" s="7">
        <f>'1 datos preparados'!H274</f>
        <v/>
      </c>
      <c r="J281" s="7">
        <f>'1 datos preparados'!I274</f>
        <v/>
      </c>
      <c r="K281" s="7">
        <f>'1 datos preparados'!J274</f>
        <v/>
      </c>
      <c r="L281" s="7">
        <f>'1 datos preparados'!K274</f>
        <v/>
      </c>
      <c r="M281" s="7">
        <f>'1 datos preparados'!L274</f>
        <v/>
      </c>
      <c r="N281" s="7">
        <f>'1 datos preparados'!M274</f>
        <v/>
      </c>
      <c r="O281" s="7">
        <f>'1 datos preparados'!N274</f>
        <v/>
      </c>
      <c r="P281" s="7">
        <f>'1 datos preparados'!O274</f>
        <v/>
      </c>
      <c r="Q281" s="7">
        <f>'1 datos preparados'!P274</f>
        <v/>
      </c>
      <c r="R281" s="7">
        <f>'1 datos preparados'!Q274</f>
        <v/>
      </c>
      <c r="S281" s="7">
        <f>'1 datos preparados'!R274</f>
        <v/>
      </c>
      <c r="T281" s="7">
        <f>'1 datos preparados'!S274</f>
        <v/>
      </c>
      <c r="U281" s="7">
        <f>'1 datos preparados'!T274</f>
        <v/>
      </c>
      <c r="V281" s="8">
        <f>$AE$12+D281*$AE$13+E281*$AE$14+F281*$AE$15+G281*$AE$16+H281*$AE$17+I281*$AE$18+J281*$AE$19+K281*$AE$20+L281*$AE$21+M281*$AE$22+N281*$AE$23+O281*$AE$24+P281*$AE$25+Q281*$AE$26+R281*$AE$27+S281*$AE$28+T281*$AE$29+U281*$AE$30</f>
        <v/>
      </c>
      <c r="W281" s="8">
        <f>1/(1+EXP(-V281))</f>
        <v/>
      </c>
      <c r="X281" s="9">
        <f>-IF(C281=1,LN(W281),LN(1-W281))</f>
        <v/>
      </c>
      <c r="Y281" s="8">
        <f>1</f>
        <v/>
      </c>
      <c r="Z281" s="9">
        <f>Y281*X281</f>
        <v/>
      </c>
      <c r="AA281" s="10">
        <f>IF(W281&gt;$AE$32,1,0)</f>
        <v/>
      </c>
      <c r="AB281">
        <f>IF(AA281=C281,1,0)</f>
        <v/>
      </c>
    </row>
    <row r="282">
      <c r="A282">
        <f>'1 datos preparados'!A275</f>
        <v/>
      </c>
      <c r="B282" s="5">
        <f>'1 datos preparados'!U275</f>
        <v/>
      </c>
      <c r="C282">
        <f>'1 datos preparados'!B275</f>
        <v/>
      </c>
      <c r="D282" s="7">
        <f>'1 datos preparados'!C275</f>
        <v/>
      </c>
      <c r="E282" s="7">
        <f>'1 datos preparados'!D275</f>
        <v/>
      </c>
      <c r="F282" s="7">
        <f>'1 datos preparados'!E275</f>
        <v/>
      </c>
      <c r="G282" s="7">
        <f>'1 datos preparados'!F275</f>
        <v/>
      </c>
      <c r="H282" s="7">
        <f>'1 datos preparados'!G275</f>
        <v/>
      </c>
      <c r="I282" s="7">
        <f>'1 datos preparados'!H275</f>
        <v/>
      </c>
      <c r="J282" s="7">
        <f>'1 datos preparados'!I275</f>
        <v/>
      </c>
      <c r="K282" s="7">
        <f>'1 datos preparados'!J275</f>
        <v/>
      </c>
      <c r="L282" s="7">
        <f>'1 datos preparados'!K275</f>
        <v/>
      </c>
      <c r="M282" s="7">
        <f>'1 datos preparados'!L275</f>
        <v/>
      </c>
      <c r="N282" s="7">
        <f>'1 datos preparados'!M275</f>
        <v/>
      </c>
      <c r="O282" s="7">
        <f>'1 datos preparados'!N275</f>
        <v/>
      </c>
      <c r="P282" s="7">
        <f>'1 datos preparados'!O275</f>
        <v/>
      </c>
      <c r="Q282" s="7">
        <f>'1 datos preparados'!P275</f>
        <v/>
      </c>
      <c r="R282" s="7">
        <f>'1 datos preparados'!Q275</f>
        <v/>
      </c>
      <c r="S282" s="7">
        <f>'1 datos preparados'!R275</f>
        <v/>
      </c>
      <c r="T282" s="7">
        <f>'1 datos preparados'!S275</f>
        <v/>
      </c>
      <c r="U282" s="7">
        <f>'1 datos preparados'!T275</f>
        <v/>
      </c>
      <c r="V282" s="8">
        <f>$AE$12+D282*$AE$13+E282*$AE$14+F282*$AE$15+G282*$AE$16+H282*$AE$17+I282*$AE$18+J282*$AE$19+K282*$AE$20+L282*$AE$21+M282*$AE$22+N282*$AE$23+O282*$AE$24+P282*$AE$25+Q282*$AE$26+R282*$AE$27+S282*$AE$28+T282*$AE$29+U282*$AE$30</f>
        <v/>
      </c>
      <c r="W282" s="8">
        <f>1/(1+EXP(-V282))</f>
        <v/>
      </c>
      <c r="X282" s="9">
        <f>-IF(C282=1,LN(W282),LN(1-W282))</f>
        <v/>
      </c>
      <c r="Y282" s="8">
        <f>1</f>
        <v/>
      </c>
      <c r="Z282" s="9">
        <f>Y282*X282</f>
        <v/>
      </c>
      <c r="AA282" s="10">
        <f>IF(W282&gt;$AE$32,1,0)</f>
        <v/>
      </c>
      <c r="AB282">
        <f>IF(AA282=C282,1,0)</f>
        <v/>
      </c>
    </row>
    <row r="283">
      <c r="A283">
        <f>'1 datos preparados'!A276</f>
        <v/>
      </c>
      <c r="B283" s="5">
        <f>'1 datos preparados'!U276</f>
        <v/>
      </c>
      <c r="C283">
        <f>'1 datos preparados'!B276</f>
        <v/>
      </c>
      <c r="D283" s="7">
        <f>'1 datos preparados'!C276</f>
        <v/>
      </c>
      <c r="E283" s="7">
        <f>'1 datos preparados'!D276</f>
        <v/>
      </c>
      <c r="F283" s="7">
        <f>'1 datos preparados'!E276</f>
        <v/>
      </c>
      <c r="G283" s="7">
        <f>'1 datos preparados'!F276</f>
        <v/>
      </c>
      <c r="H283" s="7">
        <f>'1 datos preparados'!G276</f>
        <v/>
      </c>
      <c r="I283" s="7">
        <f>'1 datos preparados'!H276</f>
        <v/>
      </c>
      <c r="J283" s="7">
        <f>'1 datos preparados'!I276</f>
        <v/>
      </c>
      <c r="K283" s="7">
        <f>'1 datos preparados'!J276</f>
        <v/>
      </c>
      <c r="L283" s="7">
        <f>'1 datos preparados'!K276</f>
        <v/>
      </c>
      <c r="M283" s="7">
        <f>'1 datos preparados'!L276</f>
        <v/>
      </c>
      <c r="N283" s="7">
        <f>'1 datos preparados'!M276</f>
        <v/>
      </c>
      <c r="O283" s="7">
        <f>'1 datos preparados'!N276</f>
        <v/>
      </c>
      <c r="P283" s="7">
        <f>'1 datos preparados'!O276</f>
        <v/>
      </c>
      <c r="Q283" s="7">
        <f>'1 datos preparados'!P276</f>
        <v/>
      </c>
      <c r="R283" s="7">
        <f>'1 datos preparados'!Q276</f>
        <v/>
      </c>
      <c r="S283" s="7">
        <f>'1 datos preparados'!R276</f>
        <v/>
      </c>
      <c r="T283" s="7">
        <f>'1 datos preparados'!S276</f>
        <v/>
      </c>
      <c r="U283" s="7">
        <f>'1 datos preparados'!T276</f>
        <v/>
      </c>
      <c r="V283" s="8">
        <f>$AE$12+D283*$AE$13+E283*$AE$14+F283*$AE$15+G283*$AE$16+H283*$AE$17+I283*$AE$18+J283*$AE$19+K283*$AE$20+L283*$AE$21+M283*$AE$22+N283*$AE$23+O283*$AE$24+P283*$AE$25+Q283*$AE$26+R283*$AE$27+S283*$AE$28+T283*$AE$29+U283*$AE$30</f>
        <v/>
      </c>
      <c r="W283" s="8">
        <f>1/(1+EXP(-V283))</f>
        <v/>
      </c>
      <c r="X283" s="9">
        <f>-IF(C283=1,LN(W283),LN(1-W283))</f>
        <v/>
      </c>
      <c r="Y283" s="8">
        <f>1</f>
        <v/>
      </c>
      <c r="Z283" s="9">
        <f>Y283*X283</f>
        <v/>
      </c>
      <c r="AA283" s="10">
        <f>IF(W283&gt;$AE$32,1,0)</f>
        <v/>
      </c>
      <c r="AB283">
        <f>IF(AA283=C283,1,0)</f>
        <v/>
      </c>
    </row>
    <row r="284">
      <c r="A284">
        <f>'1 datos preparados'!A277</f>
        <v/>
      </c>
      <c r="B284" s="5">
        <f>'1 datos preparados'!U277</f>
        <v/>
      </c>
      <c r="C284">
        <f>'1 datos preparados'!B277</f>
        <v/>
      </c>
      <c r="D284" s="7">
        <f>'1 datos preparados'!C277</f>
        <v/>
      </c>
      <c r="E284" s="7">
        <f>'1 datos preparados'!D277</f>
        <v/>
      </c>
      <c r="F284" s="7">
        <f>'1 datos preparados'!E277</f>
        <v/>
      </c>
      <c r="G284" s="7">
        <f>'1 datos preparados'!F277</f>
        <v/>
      </c>
      <c r="H284" s="7">
        <f>'1 datos preparados'!G277</f>
        <v/>
      </c>
      <c r="I284" s="7">
        <f>'1 datos preparados'!H277</f>
        <v/>
      </c>
      <c r="J284" s="7">
        <f>'1 datos preparados'!I277</f>
        <v/>
      </c>
      <c r="K284" s="7">
        <f>'1 datos preparados'!J277</f>
        <v/>
      </c>
      <c r="L284" s="7">
        <f>'1 datos preparados'!K277</f>
        <v/>
      </c>
      <c r="M284" s="7">
        <f>'1 datos preparados'!L277</f>
        <v/>
      </c>
      <c r="N284" s="7">
        <f>'1 datos preparados'!M277</f>
        <v/>
      </c>
      <c r="O284" s="7">
        <f>'1 datos preparados'!N277</f>
        <v/>
      </c>
      <c r="P284" s="7">
        <f>'1 datos preparados'!O277</f>
        <v/>
      </c>
      <c r="Q284" s="7">
        <f>'1 datos preparados'!P277</f>
        <v/>
      </c>
      <c r="R284" s="7">
        <f>'1 datos preparados'!Q277</f>
        <v/>
      </c>
      <c r="S284" s="7">
        <f>'1 datos preparados'!R277</f>
        <v/>
      </c>
      <c r="T284" s="7">
        <f>'1 datos preparados'!S277</f>
        <v/>
      </c>
      <c r="U284" s="7">
        <f>'1 datos preparados'!T277</f>
        <v/>
      </c>
      <c r="V284" s="8">
        <f>$AE$12+D284*$AE$13+E284*$AE$14+F284*$AE$15+G284*$AE$16+H284*$AE$17+I284*$AE$18+J284*$AE$19+K284*$AE$20+L284*$AE$21+M284*$AE$22+N284*$AE$23+O284*$AE$24+P284*$AE$25+Q284*$AE$26+R284*$AE$27+S284*$AE$28+T284*$AE$29+U284*$AE$30</f>
        <v/>
      </c>
      <c r="W284" s="8">
        <f>1/(1+EXP(-V284))</f>
        <v/>
      </c>
      <c r="X284" s="9">
        <f>-IF(C284=1,LN(W284),LN(1-W284))</f>
        <v/>
      </c>
      <c r="Y284" s="8">
        <f>1</f>
        <v/>
      </c>
      <c r="Z284" s="9">
        <f>Y284*X284</f>
        <v/>
      </c>
      <c r="AA284" s="10">
        <f>IF(W284&gt;$AE$32,1,0)</f>
        <v/>
      </c>
      <c r="AB284">
        <f>IF(AA284=C284,1,0)</f>
        <v/>
      </c>
    </row>
    <row r="285">
      <c r="A285">
        <f>'1 datos preparados'!A278</f>
        <v/>
      </c>
      <c r="B285" s="5">
        <f>'1 datos preparados'!U278</f>
        <v/>
      </c>
      <c r="C285">
        <f>'1 datos preparados'!B278</f>
        <v/>
      </c>
      <c r="D285" s="7">
        <f>'1 datos preparados'!C278</f>
        <v/>
      </c>
      <c r="E285" s="7">
        <f>'1 datos preparados'!D278</f>
        <v/>
      </c>
      <c r="F285" s="7">
        <f>'1 datos preparados'!E278</f>
        <v/>
      </c>
      <c r="G285" s="7">
        <f>'1 datos preparados'!F278</f>
        <v/>
      </c>
      <c r="H285" s="7">
        <f>'1 datos preparados'!G278</f>
        <v/>
      </c>
      <c r="I285" s="7">
        <f>'1 datos preparados'!H278</f>
        <v/>
      </c>
      <c r="J285" s="7">
        <f>'1 datos preparados'!I278</f>
        <v/>
      </c>
      <c r="K285" s="7">
        <f>'1 datos preparados'!J278</f>
        <v/>
      </c>
      <c r="L285" s="7">
        <f>'1 datos preparados'!K278</f>
        <v/>
      </c>
      <c r="M285" s="7">
        <f>'1 datos preparados'!L278</f>
        <v/>
      </c>
      <c r="N285" s="7">
        <f>'1 datos preparados'!M278</f>
        <v/>
      </c>
      <c r="O285" s="7">
        <f>'1 datos preparados'!N278</f>
        <v/>
      </c>
      <c r="P285" s="7">
        <f>'1 datos preparados'!O278</f>
        <v/>
      </c>
      <c r="Q285" s="7">
        <f>'1 datos preparados'!P278</f>
        <v/>
      </c>
      <c r="R285" s="7">
        <f>'1 datos preparados'!Q278</f>
        <v/>
      </c>
      <c r="S285" s="7">
        <f>'1 datos preparados'!R278</f>
        <v/>
      </c>
      <c r="T285" s="7">
        <f>'1 datos preparados'!S278</f>
        <v/>
      </c>
      <c r="U285" s="7">
        <f>'1 datos preparados'!T278</f>
        <v/>
      </c>
      <c r="V285" s="8">
        <f>$AE$12+D285*$AE$13+E285*$AE$14+F285*$AE$15+G285*$AE$16+H285*$AE$17+I285*$AE$18+J285*$AE$19+K285*$AE$20+L285*$AE$21+M285*$AE$22+N285*$AE$23+O285*$AE$24+P285*$AE$25+Q285*$AE$26+R285*$AE$27+S285*$AE$28+T285*$AE$29+U285*$AE$30</f>
        <v/>
      </c>
      <c r="W285" s="8">
        <f>1/(1+EXP(-V285))</f>
        <v/>
      </c>
      <c r="X285" s="9">
        <f>-IF(C285=1,LN(W285),LN(1-W285))</f>
        <v/>
      </c>
      <c r="Y285" s="8">
        <f>1</f>
        <v/>
      </c>
      <c r="Z285" s="9">
        <f>Y285*X285</f>
        <v/>
      </c>
      <c r="AA285" s="10">
        <f>IF(W285&gt;$AE$32,1,0)</f>
        <v/>
      </c>
      <c r="AB285">
        <f>IF(AA285=C285,1,0)</f>
        <v/>
      </c>
    </row>
    <row r="286">
      <c r="A286">
        <f>'1 datos preparados'!A279</f>
        <v/>
      </c>
      <c r="B286" s="5">
        <f>'1 datos preparados'!U279</f>
        <v/>
      </c>
      <c r="C286">
        <f>'1 datos preparados'!B279</f>
        <v/>
      </c>
      <c r="D286" s="7">
        <f>'1 datos preparados'!C279</f>
        <v/>
      </c>
      <c r="E286" s="7">
        <f>'1 datos preparados'!D279</f>
        <v/>
      </c>
      <c r="F286" s="7">
        <f>'1 datos preparados'!E279</f>
        <v/>
      </c>
      <c r="G286" s="7">
        <f>'1 datos preparados'!F279</f>
        <v/>
      </c>
      <c r="H286" s="7">
        <f>'1 datos preparados'!G279</f>
        <v/>
      </c>
      <c r="I286" s="7">
        <f>'1 datos preparados'!H279</f>
        <v/>
      </c>
      <c r="J286" s="7">
        <f>'1 datos preparados'!I279</f>
        <v/>
      </c>
      <c r="K286" s="7">
        <f>'1 datos preparados'!J279</f>
        <v/>
      </c>
      <c r="L286" s="7">
        <f>'1 datos preparados'!K279</f>
        <v/>
      </c>
      <c r="M286" s="7">
        <f>'1 datos preparados'!L279</f>
        <v/>
      </c>
      <c r="N286" s="7">
        <f>'1 datos preparados'!M279</f>
        <v/>
      </c>
      <c r="O286" s="7">
        <f>'1 datos preparados'!N279</f>
        <v/>
      </c>
      <c r="P286" s="7">
        <f>'1 datos preparados'!O279</f>
        <v/>
      </c>
      <c r="Q286" s="7">
        <f>'1 datos preparados'!P279</f>
        <v/>
      </c>
      <c r="R286" s="7">
        <f>'1 datos preparados'!Q279</f>
        <v/>
      </c>
      <c r="S286" s="7">
        <f>'1 datos preparados'!R279</f>
        <v/>
      </c>
      <c r="T286" s="7">
        <f>'1 datos preparados'!S279</f>
        <v/>
      </c>
      <c r="U286" s="7">
        <f>'1 datos preparados'!T279</f>
        <v/>
      </c>
      <c r="V286" s="8">
        <f>$AE$12+D286*$AE$13+E286*$AE$14+F286*$AE$15+G286*$AE$16+H286*$AE$17+I286*$AE$18+J286*$AE$19+K286*$AE$20+L286*$AE$21+M286*$AE$22+N286*$AE$23+O286*$AE$24+P286*$AE$25+Q286*$AE$26+R286*$AE$27+S286*$AE$28+T286*$AE$29+U286*$AE$30</f>
        <v/>
      </c>
      <c r="W286" s="8">
        <f>1/(1+EXP(-V286))</f>
        <v/>
      </c>
      <c r="X286" s="9">
        <f>-IF(C286=1,LN(W286),LN(1-W286))</f>
        <v/>
      </c>
      <c r="Y286" s="8">
        <f>1</f>
        <v/>
      </c>
      <c r="Z286" s="9">
        <f>Y286*X286</f>
        <v/>
      </c>
      <c r="AA286" s="10">
        <f>IF(W286&gt;$AE$32,1,0)</f>
        <v/>
      </c>
      <c r="AB286">
        <f>IF(AA286=C286,1,0)</f>
        <v/>
      </c>
    </row>
    <row r="287">
      <c r="A287">
        <f>'1 datos preparados'!A280</f>
        <v/>
      </c>
      <c r="B287" s="5">
        <f>'1 datos preparados'!U280</f>
        <v/>
      </c>
      <c r="C287">
        <f>'1 datos preparados'!B280</f>
        <v/>
      </c>
      <c r="D287" s="7">
        <f>'1 datos preparados'!C280</f>
        <v/>
      </c>
      <c r="E287" s="7">
        <f>'1 datos preparados'!D280</f>
        <v/>
      </c>
      <c r="F287" s="7">
        <f>'1 datos preparados'!E280</f>
        <v/>
      </c>
      <c r="G287" s="7">
        <f>'1 datos preparados'!F280</f>
        <v/>
      </c>
      <c r="H287" s="7">
        <f>'1 datos preparados'!G280</f>
        <v/>
      </c>
      <c r="I287" s="7">
        <f>'1 datos preparados'!H280</f>
        <v/>
      </c>
      <c r="J287" s="7">
        <f>'1 datos preparados'!I280</f>
        <v/>
      </c>
      <c r="K287" s="7">
        <f>'1 datos preparados'!J280</f>
        <v/>
      </c>
      <c r="L287" s="7">
        <f>'1 datos preparados'!K280</f>
        <v/>
      </c>
      <c r="M287" s="7">
        <f>'1 datos preparados'!L280</f>
        <v/>
      </c>
      <c r="N287" s="7">
        <f>'1 datos preparados'!M280</f>
        <v/>
      </c>
      <c r="O287" s="7">
        <f>'1 datos preparados'!N280</f>
        <v/>
      </c>
      <c r="P287" s="7">
        <f>'1 datos preparados'!O280</f>
        <v/>
      </c>
      <c r="Q287" s="7">
        <f>'1 datos preparados'!P280</f>
        <v/>
      </c>
      <c r="R287" s="7">
        <f>'1 datos preparados'!Q280</f>
        <v/>
      </c>
      <c r="S287" s="7">
        <f>'1 datos preparados'!R280</f>
        <v/>
      </c>
      <c r="T287" s="7">
        <f>'1 datos preparados'!S280</f>
        <v/>
      </c>
      <c r="U287" s="7">
        <f>'1 datos preparados'!T280</f>
        <v/>
      </c>
      <c r="V287" s="8">
        <f>$AE$12+D287*$AE$13+E287*$AE$14+F287*$AE$15+G287*$AE$16+H287*$AE$17+I287*$AE$18+J287*$AE$19+K287*$AE$20+L287*$AE$21+M287*$AE$22+N287*$AE$23+O287*$AE$24+P287*$AE$25+Q287*$AE$26+R287*$AE$27+S287*$AE$28+T287*$AE$29+U287*$AE$30</f>
        <v/>
      </c>
      <c r="W287" s="8">
        <f>1/(1+EXP(-V287))</f>
        <v/>
      </c>
      <c r="X287" s="9">
        <f>-IF(C287=1,LN(W287),LN(1-W287))</f>
        <v/>
      </c>
      <c r="Y287" s="8">
        <f>1</f>
        <v/>
      </c>
      <c r="Z287" s="9">
        <f>Y287*X287</f>
        <v/>
      </c>
      <c r="AA287" s="10">
        <f>IF(W287&gt;$AE$32,1,0)</f>
        <v/>
      </c>
      <c r="AB287">
        <f>IF(AA287=C287,1,0)</f>
        <v/>
      </c>
    </row>
    <row r="288">
      <c r="A288">
        <f>'1 datos preparados'!A281</f>
        <v/>
      </c>
      <c r="B288" s="5">
        <f>'1 datos preparados'!U281</f>
        <v/>
      </c>
      <c r="C288">
        <f>'1 datos preparados'!B281</f>
        <v/>
      </c>
      <c r="D288" s="7">
        <f>'1 datos preparados'!C281</f>
        <v/>
      </c>
      <c r="E288" s="7">
        <f>'1 datos preparados'!D281</f>
        <v/>
      </c>
      <c r="F288" s="7">
        <f>'1 datos preparados'!E281</f>
        <v/>
      </c>
      <c r="G288" s="7">
        <f>'1 datos preparados'!F281</f>
        <v/>
      </c>
      <c r="H288" s="7">
        <f>'1 datos preparados'!G281</f>
        <v/>
      </c>
      <c r="I288" s="7">
        <f>'1 datos preparados'!H281</f>
        <v/>
      </c>
      <c r="J288" s="7">
        <f>'1 datos preparados'!I281</f>
        <v/>
      </c>
      <c r="K288" s="7">
        <f>'1 datos preparados'!J281</f>
        <v/>
      </c>
      <c r="L288" s="7">
        <f>'1 datos preparados'!K281</f>
        <v/>
      </c>
      <c r="M288" s="7">
        <f>'1 datos preparados'!L281</f>
        <v/>
      </c>
      <c r="N288" s="7">
        <f>'1 datos preparados'!M281</f>
        <v/>
      </c>
      <c r="O288" s="7">
        <f>'1 datos preparados'!N281</f>
        <v/>
      </c>
      <c r="P288" s="7">
        <f>'1 datos preparados'!O281</f>
        <v/>
      </c>
      <c r="Q288" s="7">
        <f>'1 datos preparados'!P281</f>
        <v/>
      </c>
      <c r="R288" s="7">
        <f>'1 datos preparados'!Q281</f>
        <v/>
      </c>
      <c r="S288" s="7">
        <f>'1 datos preparados'!R281</f>
        <v/>
      </c>
      <c r="T288" s="7">
        <f>'1 datos preparados'!S281</f>
        <v/>
      </c>
      <c r="U288" s="7">
        <f>'1 datos preparados'!T281</f>
        <v/>
      </c>
      <c r="V288" s="8">
        <f>$AE$12+D288*$AE$13+E288*$AE$14+F288*$AE$15+G288*$AE$16+H288*$AE$17+I288*$AE$18+J288*$AE$19+K288*$AE$20+L288*$AE$21+M288*$AE$22+N288*$AE$23+O288*$AE$24+P288*$AE$25+Q288*$AE$26+R288*$AE$27+S288*$AE$28+T288*$AE$29+U288*$AE$30</f>
        <v/>
      </c>
      <c r="W288" s="8">
        <f>1/(1+EXP(-V288))</f>
        <v/>
      </c>
      <c r="X288" s="9">
        <f>-IF(C288=1,LN(W288),LN(1-W288))</f>
        <v/>
      </c>
      <c r="Y288" s="8">
        <f>1</f>
        <v/>
      </c>
      <c r="Z288" s="9">
        <f>Y288*X288</f>
        <v/>
      </c>
      <c r="AA288" s="10">
        <f>IF(W288&gt;$AE$32,1,0)</f>
        <v/>
      </c>
      <c r="AB288">
        <f>IF(AA288=C288,1,0)</f>
        <v/>
      </c>
    </row>
    <row r="289">
      <c r="A289">
        <f>'1 datos preparados'!A282</f>
        <v/>
      </c>
      <c r="B289" s="5">
        <f>'1 datos preparados'!U282</f>
        <v/>
      </c>
      <c r="C289">
        <f>'1 datos preparados'!B282</f>
        <v/>
      </c>
      <c r="D289" s="7">
        <f>'1 datos preparados'!C282</f>
        <v/>
      </c>
      <c r="E289" s="7">
        <f>'1 datos preparados'!D282</f>
        <v/>
      </c>
      <c r="F289" s="7">
        <f>'1 datos preparados'!E282</f>
        <v/>
      </c>
      <c r="G289" s="7">
        <f>'1 datos preparados'!F282</f>
        <v/>
      </c>
      <c r="H289" s="7">
        <f>'1 datos preparados'!G282</f>
        <v/>
      </c>
      <c r="I289" s="7">
        <f>'1 datos preparados'!H282</f>
        <v/>
      </c>
      <c r="J289" s="7">
        <f>'1 datos preparados'!I282</f>
        <v/>
      </c>
      <c r="K289" s="7">
        <f>'1 datos preparados'!J282</f>
        <v/>
      </c>
      <c r="L289" s="7">
        <f>'1 datos preparados'!K282</f>
        <v/>
      </c>
      <c r="M289" s="7">
        <f>'1 datos preparados'!L282</f>
        <v/>
      </c>
      <c r="N289" s="7">
        <f>'1 datos preparados'!M282</f>
        <v/>
      </c>
      <c r="O289" s="7">
        <f>'1 datos preparados'!N282</f>
        <v/>
      </c>
      <c r="P289" s="7">
        <f>'1 datos preparados'!O282</f>
        <v/>
      </c>
      <c r="Q289" s="7">
        <f>'1 datos preparados'!P282</f>
        <v/>
      </c>
      <c r="R289" s="7">
        <f>'1 datos preparados'!Q282</f>
        <v/>
      </c>
      <c r="S289" s="7">
        <f>'1 datos preparados'!R282</f>
        <v/>
      </c>
      <c r="T289" s="7">
        <f>'1 datos preparados'!S282</f>
        <v/>
      </c>
      <c r="U289" s="7">
        <f>'1 datos preparados'!T282</f>
        <v/>
      </c>
      <c r="V289" s="8">
        <f>$AE$12+D289*$AE$13+E289*$AE$14+F289*$AE$15+G289*$AE$16+H289*$AE$17+I289*$AE$18+J289*$AE$19+K289*$AE$20+L289*$AE$21+M289*$AE$22+N289*$AE$23+O289*$AE$24+P289*$AE$25+Q289*$AE$26+R289*$AE$27+S289*$AE$28+T289*$AE$29+U289*$AE$30</f>
        <v/>
      </c>
      <c r="W289" s="8">
        <f>1/(1+EXP(-V289))</f>
        <v/>
      </c>
      <c r="X289" s="9">
        <f>-IF(C289=1,LN(W289),LN(1-W289))</f>
        <v/>
      </c>
      <c r="Y289" s="8">
        <f>1</f>
        <v/>
      </c>
      <c r="Z289" s="9">
        <f>Y289*X289</f>
        <v/>
      </c>
      <c r="AA289" s="10">
        <f>IF(W289&gt;$AE$32,1,0)</f>
        <v/>
      </c>
      <c r="AB289">
        <f>IF(AA289=C289,1,0)</f>
        <v/>
      </c>
    </row>
    <row r="290">
      <c r="A290">
        <f>'1 datos preparados'!A283</f>
        <v/>
      </c>
      <c r="B290" s="5">
        <f>'1 datos preparados'!U283</f>
        <v/>
      </c>
      <c r="C290">
        <f>'1 datos preparados'!B283</f>
        <v/>
      </c>
      <c r="D290" s="7">
        <f>'1 datos preparados'!C283</f>
        <v/>
      </c>
      <c r="E290" s="7">
        <f>'1 datos preparados'!D283</f>
        <v/>
      </c>
      <c r="F290" s="7">
        <f>'1 datos preparados'!E283</f>
        <v/>
      </c>
      <c r="G290" s="7">
        <f>'1 datos preparados'!F283</f>
        <v/>
      </c>
      <c r="H290" s="7">
        <f>'1 datos preparados'!G283</f>
        <v/>
      </c>
      <c r="I290" s="7">
        <f>'1 datos preparados'!H283</f>
        <v/>
      </c>
      <c r="J290" s="7">
        <f>'1 datos preparados'!I283</f>
        <v/>
      </c>
      <c r="K290" s="7">
        <f>'1 datos preparados'!J283</f>
        <v/>
      </c>
      <c r="L290" s="7">
        <f>'1 datos preparados'!K283</f>
        <v/>
      </c>
      <c r="M290" s="7">
        <f>'1 datos preparados'!L283</f>
        <v/>
      </c>
      <c r="N290" s="7">
        <f>'1 datos preparados'!M283</f>
        <v/>
      </c>
      <c r="O290" s="7">
        <f>'1 datos preparados'!N283</f>
        <v/>
      </c>
      <c r="P290" s="7">
        <f>'1 datos preparados'!O283</f>
        <v/>
      </c>
      <c r="Q290" s="7">
        <f>'1 datos preparados'!P283</f>
        <v/>
      </c>
      <c r="R290" s="7">
        <f>'1 datos preparados'!Q283</f>
        <v/>
      </c>
      <c r="S290" s="7">
        <f>'1 datos preparados'!R283</f>
        <v/>
      </c>
      <c r="T290" s="7">
        <f>'1 datos preparados'!S283</f>
        <v/>
      </c>
      <c r="U290" s="7">
        <f>'1 datos preparados'!T283</f>
        <v/>
      </c>
      <c r="V290" s="8">
        <f>$AE$12+D290*$AE$13+E290*$AE$14+F290*$AE$15+G290*$AE$16+H290*$AE$17+I290*$AE$18+J290*$AE$19+K290*$AE$20+L290*$AE$21+M290*$AE$22+N290*$AE$23+O290*$AE$24+P290*$AE$25+Q290*$AE$26+R290*$AE$27+S290*$AE$28+T290*$AE$29+U290*$AE$30</f>
        <v/>
      </c>
      <c r="W290" s="8">
        <f>1/(1+EXP(-V290))</f>
        <v/>
      </c>
      <c r="X290" s="9">
        <f>-IF(C290=1,LN(W290),LN(1-W290))</f>
        <v/>
      </c>
      <c r="Y290" s="8">
        <f>1</f>
        <v/>
      </c>
      <c r="Z290" s="9">
        <f>Y290*X290</f>
        <v/>
      </c>
      <c r="AA290" s="10">
        <f>IF(W290&gt;$AE$32,1,0)</f>
        <v/>
      </c>
      <c r="AB290">
        <f>IF(AA290=C290,1,0)</f>
        <v/>
      </c>
    </row>
    <row r="291">
      <c r="A291">
        <f>'1 datos preparados'!A284</f>
        <v/>
      </c>
      <c r="B291" s="5">
        <f>'1 datos preparados'!U284</f>
        <v/>
      </c>
      <c r="C291">
        <f>'1 datos preparados'!B284</f>
        <v/>
      </c>
      <c r="D291" s="7">
        <f>'1 datos preparados'!C284</f>
        <v/>
      </c>
      <c r="E291" s="7">
        <f>'1 datos preparados'!D284</f>
        <v/>
      </c>
      <c r="F291" s="7">
        <f>'1 datos preparados'!E284</f>
        <v/>
      </c>
      <c r="G291" s="7">
        <f>'1 datos preparados'!F284</f>
        <v/>
      </c>
      <c r="H291" s="7">
        <f>'1 datos preparados'!G284</f>
        <v/>
      </c>
      <c r="I291" s="7">
        <f>'1 datos preparados'!H284</f>
        <v/>
      </c>
      <c r="J291" s="7">
        <f>'1 datos preparados'!I284</f>
        <v/>
      </c>
      <c r="K291" s="7">
        <f>'1 datos preparados'!J284</f>
        <v/>
      </c>
      <c r="L291" s="7">
        <f>'1 datos preparados'!K284</f>
        <v/>
      </c>
      <c r="M291" s="7">
        <f>'1 datos preparados'!L284</f>
        <v/>
      </c>
      <c r="N291" s="7">
        <f>'1 datos preparados'!M284</f>
        <v/>
      </c>
      <c r="O291" s="7">
        <f>'1 datos preparados'!N284</f>
        <v/>
      </c>
      <c r="P291" s="7">
        <f>'1 datos preparados'!O284</f>
        <v/>
      </c>
      <c r="Q291" s="7">
        <f>'1 datos preparados'!P284</f>
        <v/>
      </c>
      <c r="R291" s="7">
        <f>'1 datos preparados'!Q284</f>
        <v/>
      </c>
      <c r="S291" s="7">
        <f>'1 datos preparados'!R284</f>
        <v/>
      </c>
      <c r="T291" s="7">
        <f>'1 datos preparados'!S284</f>
        <v/>
      </c>
      <c r="U291" s="7">
        <f>'1 datos preparados'!T284</f>
        <v/>
      </c>
      <c r="V291" s="8">
        <f>$AE$12+D291*$AE$13+E291*$AE$14+F291*$AE$15+G291*$AE$16+H291*$AE$17+I291*$AE$18+J291*$AE$19+K291*$AE$20+L291*$AE$21+M291*$AE$22+N291*$AE$23+O291*$AE$24+P291*$AE$25+Q291*$AE$26+R291*$AE$27+S291*$AE$28+T291*$AE$29+U291*$AE$30</f>
        <v/>
      </c>
      <c r="W291" s="8">
        <f>1/(1+EXP(-V291))</f>
        <v/>
      </c>
      <c r="X291" s="9">
        <f>-IF(C291=1,LN(W291),LN(1-W291))</f>
        <v/>
      </c>
      <c r="Y291" s="8">
        <f>1</f>
        <v/>
      </c>
      <c r="Z291" s="9">
        <f>Y291*X291</f>
        <v/>
      </c>
      <c r="AA291" s="10">
        <f>IF(W291&gt;$AE$32,1,0)</f>
        <v/>
      </c>
      <c r="AB291">
        <f>IF(AA291=C291,1,0)</f>
        <v/>
      </c>
    </row>
    <row r="292">
      <c r="A292">
        <f>'1 datos preparados'!A285</f>
        <v/>
      </c>
      <c r="B292" s="5">
        <f>'1 datos preparados'!U285</f>
        <v/>
      </c>
      <c r="C292">
        <f>'1 datos preparados'!B285</f>
        <v/>
      </c>
      <c r="D292" s="7">
        <f>'1 datos preparados'!C285</f>
        <v/>
      </c>
      <c r="E292" s="7">
        <f>'1 datos preparados'!D285</f>
        <v/>
      </c>
      <c r="F292" s="7">
        <f>'1 datos preparados'!E285</f>
        <v/>
      </c>
      <c r="G292" s="7">
        <f>'1 datos preparados'!F285</f>
        <v/>
      </c>
      <c r="H292" s="7">
        <f>'1 datos preparados'!G285</f>
        <v/>
      </c>
      <c r="I292" s="7">
        <f>'1 datos preparados'!H285</f>
        <v/>
      </c>
      <c r="J292" s="7">
        <f>'1 datos preparados'!I285</f>
        <v/>
      </c>
      <c r="K292" s="7">
        <f>'1 datos preparados'!J285</f>
        <v/>
      </c>
      <c r="L292" s="7">
        <f>'1 datos preparados'!K285</f>
        <v/>
      </c>
      <c r="M292" s="7">
        <f>'1 datos preparados'!L285</f>
        <v/>
      </c>
      <c r="N292" s="7">
        <f>'1 datos preparados'!M285</f>
        <v/>
      </c>
      <c r="O292" s="7">
        <f>'1 datos preparados'!N285</f>
        <v/>
      </c>
      <c r="P292" s="7">
        <f>'1 datos preparados'!O285</f>
        <v/>
      </c>
      <c r="Q292" s="7">
        <f>'1 datos preparados'!P285</f>
        <v/>
      </c>
      <c r="R292" s="7">
        <f>'1 datos preparados'!Q285</f>
        <v/>
      </c>
      <c r="S292" s="7">
        <f>'1 datos preparados'!R285</f>
        <v/>
      </c>
      <c r="T292" s="7">
        <f>'1 datos preparados'!S285</f>
        <v/>
      </c>
      <c r="U292" s="7">
        <f>'1 datos preparados'!T285</f>
        <v/>
      </c>
      <c r="V292" s="8">
        <f>$AE$12+D292*$AE$13+E292*$AE$14+F292*$AE$15+G292*$AE$16+H292*$AE$17+I292*$AE$18+J292*$AE$19+K292*$AE$20+L292*$AE$21+M292*$AE$22+N292*$AE$23+O292*$AE$24+P292*$AE$25+Q292*$AE$26+R292*$AE$27+S292*$AE$28+T292*$AE$29+U292*$AE$30</f>
        <v/>
      </c>
      <c r="W292" s="8">
        <f>1/(1+EXP(-V292))</f>
        <v/>
      </c>
      <c r="X292" s="9">
        <f>-IF(C292=1,LN(W292),LN(1-W292))</f>
        <v/>
      </c>
      <c r="Y292" s="8">
        <f>1</f>
        <v/>
      </c>
      <c r="Z292" s="9">
        <f>Y292*X292</f>
        <v/>
      </c>
      <c r="AA292" s="10">
        <f>IF(W292&gt;$AE$32,1,0)</f>
        <v/>
      </c>
      <c r="AB292">
        <f>IF(AA292=C292,1,0)</f>
        <v/>
      </c>
    </row>
    <row r="293">
      <c r="A293">
        <f>'1 datos preparados'!A286</f>
        <v/>
      </c>
      <c r="B293" s="5">
        <f>'1 datos preparados'!U286</f>
        <v/>
      </c>
      <c r="C293">
        <f>'1 datos preparados'!B286</f>
        <v/>
      </c>
      <c r="D293" s="7">
        <f>'1 datos preparados'!C286</f>
        <v/>
      </c>
      <c r="E293" s="7">
        <f>'1 datos preparados'!D286</f>
        <v/>
      </c>
      <c r="F293" s="7">
        <f>'1 datos preparados'!E286</f>
        <v/>
      </c>
      <c r="G293" s="7">
        <f>'1 datos preparados'!F286</f>
        <v/>
      </c>
      <c r="H293" s="7">
        <f>'1 datos preparados'!G286</f>
        <v/>
      </c>
      <c r="I293" s="7">
        <f>'1 datos preparados'!H286</f>
        <v/>
      </c>
      <c r="J293" s="7">
        <f>'1 datos preparados'!I286</f>
        <v/>
      </c>
      <c r="K293" s="7">
        <f>'1 datos preparados'!J286</f>
        <v/>
      </c>
      <c r="L293" s="7">
        <f>'1 datos preparados'!K286</f>
        <v/>
      </c>
      <c r="M293" s="7">
        <f>'1 datos preparados'!L286</f>
        <v/>
      </c>
      <c r="N293" s="7">
        <f>'1 datos preparados'!M286</f>
        <v/>
      </c>
      <c r="O293" s="7">
        <f>'1 datos preparados'!N286</f>
        <v/>
      </c>
      <c r="P293" s="7">
        <f>'1 datos preparados'!O286</f>
        <v/>
      </c>
      <c r="Q293" s="7">
        <f>'1 datos preparados'!P286</f>
        <v/>
      </c>
      <c r="R293" s="7">
        <f>'1 datos preparados'!Q286</f>
        <v/>
      </c>
      <c r="S293" s="7">
        <f>'1 datos preparados'!R286</f>
        <v/>
      </c>
      <c r="T293" s="7">
        <f>'1 datos preparados'!S286</f>
        <v/>
      </c>
      <c r="U293" s="7">
        <f>'1 datos preparados'!T286</f>
        <v/>
      </c>
      <c r="V293" s="8">
        <f>$AE$12+D293*$AE$13+E293*$AE$14+F293*$AE$15+G293*$AE$16+H293*$AE$17+I293*$AE$18+J293*$AE$19+K293*$AE$20+L293*$AE$21+M293*$AE$22+N293*$AE$23+O293*$AE$24+P293*$AE$25+Q293*$AE$26+R293*$AE$27+S293*$AE$28+T293*$AE$29+U293*$AE$30</f>
        <v/>
      </c>
      <c r="W293" s="8">
        <f>1/(1+EXP(-V293))</f>
        <v/>
      </c>
      <c r="X293" s="9">
        <f>-IF(C293=1,LN(W293),LN(1-W293))</f>
        <v/>
      </c>
      <c r="Y293" s="8">
        <f>1</f>
        <v/>
      </c>
      <c r="Z293" s="9">
        <f>Y293*X293</f>
        <v/>
      </c>
      <c r="AA293" s="10">
        <f>IF(W293&gt;$AE$32,1,0)</f>
        <v/>
      </c>
      <c r="AB293">
        <f>IF(AA293=C293,1,0)</f>
        <v/>
      </c>
    </row>
    <row r="294">
      <c r="A294">
        <f>'1 datos preparados'!A287</f>
        <v/>
      </c>
      <c r="B294" s="5">
        <f>'1 datos preparados'!U287</f>
        <v/>
      </c>
      <c r="C294">
        <f>'1 datos preparados'!B287</f>
        <v/>
      </c>
      <c r="D294" s="7">
        <f>'1 datos preparados'!C287</f>
        <v/>
      </c>
      <c r="E294" s="7">
        <f>'1 datos preparados'!D287</f>
        <v/>
      </c>
      <c r="F294" s="7">
        <f>'1 datos preparados'!E287</f>
        <v/>
      </c>
      <c r="G294" s="7">
        <f>'1 datos preparados'!F287</f>
        <v/>
      </c>
      <c r="H294" s="7">
        <f>'1 datos preparados'!G287</f>
        <v/>
      </c>
      <c r="I294" s="7">
        <f>'1 datos preparados'!H287</f>
        <v/>
      </c>
      <c r="J294" s="7">
        <f>'1 datos preparados'!I287</f>
        <v/>
      </c>
      <c r="K294" s="7">
        <f>'1 datos preparados'!J287</f>
        <v/>
      </c>
      <c r="L294" s="7">
        <f>'1 datos preparados'!K287</f>
        <v/>
      </c>
      <c r="M294" s="7">
        <f>'1 datos preparados'!L287</f>
        <v/>
      </c>
      <c r="N294" s="7">
        <f>'1 datos preparados'!M287</f>
        <v/>
      </c>
      <c r="O294" s="7">
        <f>'1 datos preparados'!N287</f>
        <v/>
      </c>
      <c r="P294" s="7">
        <f>'1 datos preparados'!O287</f>
        <v/>
      </c>
      <c r="Q294" s="7">
        <f>'1 datos preparados'!P287</f>
        <v/>
      </c>
      <c r="R294" s="7">
        <f>'1 datos preparados'!Q287</f>
        <v/>
      </c>
      <c r="S294" s="7">
        <f>'1 datos preparados'!R287</f>
        <v/>
      </c>
      <c r="T294" s="7">
        <f>'1 datos preparados'!S287</f>
        <v/>
      </c>
      <c r="U294" s="7">
        <f>'1 datos preparados'!T287</f>
        <v/>
      </c>
      <c r="V294" s="8">
        <f>$AE$12+D294*$AE$13+E294*$AE$14+F294*$AE$15+G294*$AE$16+H294*$AE$17+I294*$AE$18+J294*$AE$19+K294*$AE$20+L294*$AE$21+M294*$AE$22+N294*$AE$23+O294*$AE$24+P294*$AE$25+Q294*$AE$26+R294*$AE$27+S294*$AE$28+T294*$AE$29+U294*$AE$30</f>
        <v/>
      </c>
      <c r="W294" s="8">
        <f>1/(1+EXP(-V294))</f>
        <v/>
      </c>
      <c r="X294" s="9">
        <f>-IF(C294=1,LN(W294),LN(1-W294))</f>
        <v/>
      </c>
      <c r="Y294" s="8">
        <f>1</f>
        <v/>
      </c>
      <c r="Z294" s="9">
        <f>Y294*X294</f>
        <v/>
      </c>
      <c r="AA294" s="10">
        <f>IF(W294&gt;$AE$32,1,0)</f>
        <v/>
      </c>
      <c r="AB294">
        <f>IF(AA294=C294,1,0)</f>
        <v/>
      </c>
    </row>
    <row r="295">
      <c r="A295">
        <f>'1 datos preparados'!A288</f>
        <v/>
      </c>
      <c r="B295" s="5">
        <f>'1 datos preparados'!U288</f>
        <v/>
      </c>
      <c r="C295">
        <f>'1 datos preparados'!B288</f>
        <v/>
      </c>
      <c r="D295" s="7">
        <f>'1 datos preparados'!C288</f>
        <v/>
      </c>
      <c r="E295" s="7">
        <f>'1 datos preparados'!D288</f>
        <v/>
      </c>
      <c r="F295" s="7">
        <f>'1 datos preparados'!E288</f>
        <v/>
      </c>
      <c r="G295" s="7">
        <f>'1 datos preparados'!F288</f>
        <v/>
      </c>
      <c r="H295" s="7">
        <f>'1 datos preparados'!G288</f>
        <v/>
      </c>
      <c r="I295" s="7">
        <f>'1 datos preparados'!H288</f>
        <v/>
      </c>
      <c r="J295" s="7">
        <f>'1 datos preparados'!I288</f>
        <v/>
      </c>
      <c r="K295" s="7">
        <f>'1 datos preparados'!J288</f>
        <v/>
      </c>
      <c r="L295" s="7">
        <f>'1 datos preparados'!K288</f>
        <v/>
      </c>
      <c r="M295" s="7">
        <f>'1 datos preparados'!L288</f>
        <v/>
      </c>
      <c r="N295" s="7">
        <f>'1 datos preparados'!M288</f>
        <v/>
      </c>
      <c r="O295" s="7">
        <f>'1 datos preparados'!N288</f>
        <v/>
      </c>
      <c r="P295" s="7">
        <f>'1 datos preparados'!O288</f>
        <v/>
      </c>
      <c r="Q295" s="7">
        <f>'1 datos preparados'!P288</f>
        <v/>
      </c>
      <c r="R295" s="7">
        <f>'1 datos preparados'!Q288</f>
        <v/>
      </c>
      <c r="S295" s="7">
        <f>'1 datos preparados'!R288</f>
        <v/>
      </c>
      <c r="T295" s="7">
        <f>'1 datos preparados'!S288</f>
        <v/>
      </c>
      <c r="U295" s="7">
        <f>'1 datos preparados'!T288</f>
        <v/>
      </c>
      <c r="V295" s="8">
        <f>$AE$12+D295*$AE$13+E295*$AE$14+F295*$AE$15+G295*$AE$16+H295*$AE$17+I295*$AE$18+J295*$AE$19+K295*$AE$20+L295*$AE$21+M295*$AE$22+N295*$AE$23+O295*$AE$24+P295*$AE$25+Q295*$AE$26+R295*$AE$27+S295*$AE$28+T295*$AE$29+U295*$AE$30</f>
        <v/>
      </c>
      <c r="W295" s="8">
        <f>1/(1+EXP(-V295))</f>
        <v/>
      </c>
      <c r="X295" s="9">
        <f>-IF(C295=1,LN(W295),LN(1-W295))</f>
        <v/>
      </c>
      <c r="Y295" s="8">
        <f>1</f>
        <v/>
      </c>
      <c r="Z295" s="9">
        <f>Y295*X295</f>
        <v/>
      </c>
      <c r="AA295" s="10">
        <f>IF(W295&gt;$AE$32,1,0)</f>
        <v/>
      </c>
      <c r="AB295">
        <f>IF(AA295=C295,1,0)</f>
        <v/>
      </c>
    </row>
    <row r="296">
      <c r="A296">
        <f>'1 datos preparados'!A289</f>
        <v/>
      </c>
      <c r="B296" s="5">
        <f>'1 datos preparados'!U289</f>
        <v/>
      </c>
      <c r="C296">
        <f>'1 datos preparados'!B289</f>
        <v/>
      </c>
      <c r="D296" s="7">
        <f>'1 datos preparados'!C289</f>
        <v/>
      </c>
      <c r="E296" s="7">
        <f>'1 datos preparados'!D289</f>
        <v/>
      </c>
      <c r="F296" s="7">
        <f>'1 datos preparados'!E289</f>
        <v/>
      </c>
      <c r="G296" s="7">
        <f>'1 datos preparados'!F289</f>
        <v/>
      </c>
      <c r="H296" s="7">
        <f>'1 datos preparados'!G289</f>
        <v/>
      </c>
      <c r="I296" s="7">
        <f>'1 datos preparados'!H289</f>
        <v/>
      </c>
      <c r="J296" s="7">
        <f>'1 datos preparados'!I289</f>
        <v/>
      </c>
      <c r="K296" s="7">
        <f>'1 datos preparados'!J289</f>
        <v/>
      </c>
      <c r="L296" s="7">
        <f>'1 datos preparados'!K289</f>
        <v/>
      </c>
      <c r="M296" s="7">
        <f>'1 datos preparados'!L289</f>
        <v/>
      </c>
      <c r="N296" s="7">
        <f>'1 datos preparados'!M289</f>
        <v/>
      </c>
      <c r="O296" s="7">
        <f>'1 datos preparados'!N289</f>
        <v/>
      </c>
      <c r="P296" s="7">
        <f>'1 datos preparados'!O289</f>
        <v/>
      </c>
      <c r="Q296" s="7">
        <f>'1 datos preparados'!P289</f>
        <v/>
      </c>
      <c r="R296" s="7">
        <f>'1 datos preparados'!Q289</f>
        <v/>
      </c>
      <c r="S296" s="7">
        <f>'1 datos preparados'!R289</f>
        <v/>
      </c>
      <c r="T296" s="7">
        <f>'1 datos preparados'!S289</f>
        <v/>
      </c>
      <c r="U296" s="7">
        <f>'1 datos preparados'!T289</f>
        <v/>
      </c>
      <c r="V296" s="8">
        <f>$AE$12+D296*$AE$13+E296*$AE$14+F296*$AE$15+G296*$AE$16+H296*$AE$17+I296*$AE$18+J296*$AE$19+K296*$AE$20+L296*$AE$21+M296*$AE$22+N296*$AE$23+O296*$AE$24+P296*$AE$25+Q296*$AE$26+R296*$AE$27+S296*$AE$28+T296*$AE$29+U296*$AE$30</f>
        <v/>
      </c>
      <c r="W296" s="8">
        <f>1/(1+EXP(-V296))</f>
        <v/>
      </c>
      <c r="X296" s="9">
        <f>-IF(C296=1,LN(W296),LN(1-W296))</f>
        <v/>
      </c>
      <c r="Y296" s="8">
        <f>1</f>
        <v/>
      </c>
      <c r="Z296" s="9">
        <f>Y296*X296</f>
        <v/>
      </c>
      <c r="AA296" s="10">
        <f>IF(W296&gt;$AE$32,1,0)</f>
        <v/>
      </c>
      <c r="AB296">
        <f>IF(AA296=C296,1,0)</f>
        <v/>
      </c>
    </row>
    <row r="297">
      <c r="A297">
        <f>'1 datos preparados'!A290</f>
        <v/>
      </c>
      <c r="B297" s="5">
        <f>'1 datos preparados'!U290</f>
        <v/>
      </c>
      <c r="C297">
        <f>'1 datos preparados'!B290</f>
        <v/>
      </c>
      <c r="D297" s="7">
        <f>'1 datos preparados'!C290</f>
        <v/>
      </c>
      <c r="E297" s="7">
        <f>'1 datos preparados'!D290</f>
        <v/>
      </c>
      <c r="F297" s="7">
        <f>'1 datos preparados'!E290</f>
        <v/>
      </c>
      <c r="G297" s="7">
        <f>'1 datos preparados'!F290</f>
        <v/>
      </c>
      <c r="H297" s="7">
        <f>'1 datos preparados'!G290</f>
        <v/>
      </c>
      <c r="I297" s="7">
        <f>'1 datos preparados'!H290</f>
        <v/>
      </c>
      <c r="J297" s="7">
        <f>'1 datos preparados'!I290</f>
        <v/>
      </c>
      <c r="K297" s="7">
        <f>'1 datos preparados'!J290</f>
        <v/>
      </c>
      <c r="L297" s="7">
        <f>'1 datos preparados'!K290</f>
        <v/>
      </c>
      <c r="M297" s="7">
        <f>'1 datos preparados'!L290</f>
        <v/>
      </c>
      <c r="N297" s="7">
        <f>'1 datos preparados'!M290</f>
        <v/>
      </c>
      <c r="O297" s="7">
        <f>'1 datos preparados'!N290</f>
        <v/>
      </c>
      <c r="P297" s="7">
        <f>'1 datos preparados'!O290</f>
        <v/>
      </c>
      <c r="Q297" s="7">
        <f>'1 datos preparados'!P290</f>
        <v/>
      </c>
      <c r="R297" s="7">
        <f>'1 datos preparados'!Q290</f>
        <v/>
      </c>
      <c r="S297" s="7">
        <f>'1 datos preparados'!R290</f>
        <v/>
      </c>
      <c r="T297" s="7">
        <f>'1 datos preparados'!S290</f>
        <v/>
      </c>
      <c r="U297" s="7">
        <f>'1 datos preparados'!T290</f>
        <v/>
      </c>
      <c r="V297" s="8">
        <f>$AE$12+D297*$AE$13+E297*$AE$14+F297*$AE$15+G297*$AE$16+H297*$AE$17+I297*$AE$18+J297*$AE$19+K297*$AE$20+L297*$AE$21+M297*$AE$22+N297*$AE$23+O297*$AE$24+P297*$AE$25+Q297*$AE$26+R297*$AE$27+S297*$AE$28+T297*$AE$29+U297*$AE$30</f>
        <v/>
      </c>
      <c r="W297" s="8">
        <f>1/(1+EXP(-V297))</f>
        <v/>
      </c>
      <c r="X297" s="9">
        <f>-IF(C297=1,LN(W297),LN(1-W297))</f>
        <v/>
      </c>
      <c r="Y297" s="8">
        <f>1</f>
        <v/>
      </c>
      <c r="Z297" s="9">
        <f>Y297*X297</f>
        <v/>
      </c>
      <c r="AA297" s="10">
        <f>IF(W297&gt;$AE$32,1,0)</f>
        <v/>
      </c>
      <c r="AB297">
        <f>IF(AA297=C297,1,0)</f>
        <v/>
      </c>
    </row>
    <row r="298">
      <c r="A298">
        <f>'1 datos preparados'!A291</f>
        <v/>
      </c>
      <c r="B298" s="5">
        <f>'1 datos preparados'!U291</f>
        <v/>
      </c>
      <c r="C298">
        <f>'1 datos preparados'!B291</f>
        <v/>
      </c>
      <c r="D298" s="7">
        <f>'1 datos preparados'!C291</f>
        <v/>
      </c>
      <c r="E298" s="7">
        <f>'1 datos preparados'!D291</f>
        <v/>
      </c>
      <c r="F298" s="7">
        <f>'1 datos preparados'!E291</f>
        <v/>
      </c>
      <c r="G298" s="7">
        <f>'1 datos preparados'!F291</f>
        <v/>
      </c>
      <c r="H298" s="7">
        <f>'1 datos preparados'!G291</f>
        <v/>
      </c>
      <c r="I298" s="7">
        <f>'1 datos preparados'!H291</f>
        <v/>
      </c>
      <c r="J298" s="7">
        <f>'1 datos preparados'!I291</f>
        <v/>
      </c>
      <c r="K298" s="7">
        <f>'1 datos preparados'!J291</f>
        <v/>
      </c>
      <c r="L298" s="7">
        <f>'1 datos preparados'!K291</f>
        <v/>
      </c>
      <c r="M298" s="7">
        <f>'1 datos preparados'!L291</f>
        <v/>
      </c>
      <c r="N298" s="7">
        <f>'1 datos preparados'!M291</f>
        <v/>
      </c>
      <c r="O298" s="7">
        <f>'1 datos preparados'!N291</f>
        <v/>
      </c>
      <c r="P298" s="7">
        <f>'1 datos preparados'!O291</f>
        <v/>
      </c>
      <c r="Q298" s="7">
        <f>'1 datos preparados'!P291</f>
        <v/>
      </c>
      <c r="R298" s="7">
        <f>'1 datos preparados'!Q291</f>
        <v/>
      </c>
      <c r="S298" s="7">
        <f>'1 datos preparados'!R291</f>
        <v/>
      </c>
      <c r="T298" s="7">
        <f>'1 datos preparados'!S291</f>
        <v/>
      </c>
      <c r="U298" s="7">
        <f>'1 datos preparados'!T291</f>
        <v/>
      </c>
      <c r="V298" s="8">
        <f>$AE$12+D298*$AE$13+E298*$AE$14+F298*$AE$15+G298*$AE$16+H298*$AE$17+I298*$AE$18+J298*$AE$19+K298*$AE$20+L298*$AE$21+M298*$AE$22+N298*$AE$23+O298*$AE$24+P298*$AE$25+Q298*$AE$26+R298*$AE$27+S298*$AE$28+T298*$AE$29+U298*$AE$30</f>
        <v/>
      </c>
      <c r="W298" s="8">
        <f>1/(1+EXP(-V298))</f>
        <v/>
      </c>
      <c r="X298" s="9">
        <f>-IF(C298=1,LN(W298),LN(1-W298))</f>
        <v/>
      </c>
      <c r="Y298" s="8">
        <f>1</f>
        <v/>
      </c>
      <c r="Z298" s="9">
        <f>Y298*X298</f>
        <v/>
      </c>
      <c r="AA298" s="10">
        <f>IF(W298&gt;$AE$32,1,0)</f>
        <v/>
      </c>
      <c r="AB298">
        <f>IF(AA298=C298,1,0)</f>
        <v/>
      </c>
    </row>
    <row r="299">
      <c r="A299">
        <f>'1 datos preparados'!A292</f>
        <v/>
      </c>
      <c r="B299" s="5">
        <f>'1 datos preparados'!U292</f>
        <v/>
      </c>
      <c r="C299">
        <f>'1 datos preparados'!B292</f>
        <v/>
      </c>
      <c r="D299" s="7">
        <f>'1 datos preparados'!C292</f>
        <v/>
      </c>
      <c r="E299" s="7">
        <f>'1 datos preparados'!D292</f>
        <v/>
      </c>
      <c r="F299" s="7">
        <f>'1 datos preparados'!E292</f>
        <v/>
      </c>
      <c r="G299" s="7">
        <f>'1 datos preparados'!F292</f>
        <v/>
      </c>
      <c r="H299" s="7">
        <f>'1 datos preparados'!G292</f>
        <v/>
      </c>
      <c r="I299" s="7">
        <f>'1 datos preparados'!H292</f>
        <v/>
      </c>
      <c r="J299" s="7">
        <f>'1 datos preparados'!I292</f>
        <v/>
      </c>
      <c r="K299" s="7">
        <f>'1 datos preparados'!J292</f>
        <v/>
      </c>
      <c r="L299" s="7">
        <f>'1 datos preparados'!K292</f>
        <v/>
      </c>
      <c r="M299" s="7">
        <f>'1 datos preparados'!L292</f>
        <v/>
      </c>
      <c r="N299" s="7">
        <f>'1 datos preparados'!M292</f>
        <v/>
      </c>
      <c r="O299" s="7">
        <f>'1 datos preparados'!N292</f>
        <v/>
      </c>
      <c r="P299" s="7">
        <f>'1 datos preparados'!O292</f>
        <v/>
      </c>
      <c r="Q299" s="7">
        <f>'1 datos preparados'!P292</f>
        <v/>
      </c>
      <c r="R299" s="7">
        <f>'1 datos preparados'!Q292</f>
        <v/>
      </c>
      <c r="S299" s="7">
        <f>'1 datos preparados'!R292</f>
        <v/>
      </c>
      <c r="T299" s="7">
        <f>'1 datos preparados'!S292</f>
        <v/>
      </c>
      <c r="U299" s="7">
        <f>'1 datos preparados'!T292</f>
        <v/>
      </c>
      <c r="V299" s="8">
        <f>$AE$12+D299*$AE$13+E299*$AE$14+F299*$AE$15+G299*$AE$16+H299*$AE$17+I299*$AE$18+J299*$AE$19+K299*$AE$20+L299*$AE$21+M299*$AE$22+N299*$AE$23+O299*$AE$24+P299*$AE$25+Q299*$AE$26+R299*$AE$27+S299*$AE$28+T299*$AE$29+U299*$AE$30</f>
        <v/>
      </c>
      <c r="W299" s="8">
        <f>1/(1+EXP(-V299))</f>
        <v/>
      </c>
      <c r="X299" s="9">
        <f>-IF(C299=1,LN(W299),LN(1-W299))</f>
        <v/>
      </c>
      <c r="Y299" s="8">
        <f>1</f>
        <v/>
      </c>
      <c r="Z299" s="9">
        <f>Y299*X299</f>
        <v/>
      </c>
      <c r="AA299" s="10">
        <f>IF(W299&gt;$AE$32,1,0)</f>
        <v/>
      </c>
      <c r="AB299">
        <f>IF(AA299=C299,1,0)</f>
        <v/>
      </c>
    </row>
    <row r="300">
      <c r="A300">
        <f>'1 datos preparados'!A293</f>
        <v/>
      </c>
      <c r="B300" s="5">
        <f>'1 datos preparados'!U293</f>
        <v/>
      </c>
      <c r="C300">
        <f>'1 datos preparados'!B293</f>
        <v/>
      </c>
      <c r="D300" s="7">
        <f>'1 datos preparados'!C293</f>
        <v/>
      </c>
      <c r="E300" s="7">
        <f>'1 datos preparados'!D293</f>
        <v/>
      </c>
      <c r="F300" s="7">
        <f>'1 datos preparados'!E293</f>
        <v/>
      </c>
      <c r="G300" s="7">
        <f>'1 datos preparados'!F293</f>
        <v/>
      </c>
      <c r="H300" s="7">
        <f>'1 datos preparados'!G293</f>
        <v/>
      </c>
      <c r="I300" s="7">
        <f>'1 datos preparados'!H293</f>
        <v/>
      </c>
      <c r="J300" s="7">
        <f>'1 datos preparados'!I293</f>
        <v/>
      </c>
      <c r="K300" s="7">
        <f>'1 datos preparados'!J293</f>
        <v/>
      </c>
      <c r="L300" s="7">
        <f>'1 datos preparados'!K293</f>
        <v/>
      </c>
      <c r="M300" s="7">
        <f>'1 datos preparados'!L293</f>
        <v/>
      </c>
      <c r="N300" s="7">
        <f>'1 datos preparados'!M293</f>
        <v/>
      </c>
      <c r="O300" s="7">
        <f>'1 datos preparados'!N293</f>
        <v/>
      </c>
      <c r="P300" s="7">
        <f>'1 datos preparados'!O293</f>
        <v/>
      </c>
      <c r="Q300" s="7">
        <f>'1 datos preparados'!P293</f>
        <v/>
      </c>
      <c r="R300" s="7">
        <f>'1 datos preparados'!Q293</f>
        <v/>
      </c>
      <c r="S300" s="7">
        <f>'1 datos preparados'!R293</f>
        <v/>
      </c>
      <c r="T300" s="7">
        <f>'1 datos preparados'!S293</f>
        <v/>
      </c>
      <c r="U300" s="7">
        <f>'1 datos preparados'!T293</f>
        <v/>
      </c>
      <c r="V300" s="8">
        <f>$AE$12+D300*$AE$13+E300*$AE$14+F300*$AE$15+G300*$AE$16+H300*$AE$17+I300*$AE$18+J300*$AE$19+K300*$AE$20+L300*$AE$21+M300*$AE$22+N300*$AE$23+O300*$AE$24+P300*$AE$25+Q300*$AE$26+R300*$AE$27+S300*$AE$28+T300*$AE$29+U300*$AE$30</f>
        <v/>
      </c>
      <c r="W300" s="8">
        <f>1/(1+EXP(-V300))</f>
        <v/>
      </c>
      <c r="X300" s="9">
        <f>-IF(C300=1,LN(W300),LN(1-W300))</f>
        <v/>
      </c>
      <c r="Y300" s="8">
        <f>1</f>
        <v/>
      </c>
      <c r="Z300" s="9">
        <f>Y300*X300</f>
        <v/>
      </c>
      <c r="AA300" s="10">
        <f>IF(W300&gt;$AE$32,1,0)</f>
        <v/>
      </c>
      <c r="AB300">
        <f>IF(AA300=C300,1,0)</f>
        <v/>
      </c>
    </row>
    <row r="301">
      <c r="A301">
        <f>'1 datos preparados'!A294</f>
        <v/>
      </c>
      <c r="B301" s="5">
        <f>'1 datos preparados'!U294</f>
        <v/>
      </c>
      <c r="C301">
        <f>'1 datos preparados'!B294</f>
        <v/>
      </c>
      <c r="D301" s="7">
        <f>'1 datos preparados'!C294</f>
        <v/>
      </c>
      <c r="E301" s="7">
        <f>'1 datos preparados'!D294</f>
        <v/>
      </c>
      <c r="F301" s="7">
        <f>'1 datos preparados'!E294</f>
        <v/>
      </c>
      <c r="G301" s="7">
        <f>'1 datos preparados'!F294</f>
        <v/>
      </c>
      <c r="H301" s="7">
        <f>'1 datos preparados'!G294</f>
        <v/>
      </c>
      <c r="I301" s="7">
        <f>'1 datos preparados'!H294</f>
        <v/>
      </c>
      <c r="J301" s="7">
        <f>'1 datos preparados'!I294</f>
        <v/>
      </c>
      <c r="K301" s="7">
        <f>'1 datos preparados'!J294</f>
        <v/>
      </c>
      <c r="L301" s="7">
        <f>'1 datos preparados'!K294</f>
        <v/>
      </c>
      <c r="M301" s="7">
        <f>'1 datos preparados'!L294</f>
        <v/>
      </c>
      <c r="N301" s="7">
        <f>'1 datos preparados'!M294</f>
        <v/>
      </c>
      <c r="O301" s="7">
        <f>'1 datos preparados'!N294</f>
        <v/>
      </c>
      <c r="P301" s="7">
        <f>'1 datos preparados'!O294</f>
        <v/>
      </c>
      <c r="Q301" s="7">
        <f>'1 datos preparados'!P294</f>
        <v/>
      </c>
      <c r="R301" s="7">
        <f>'1 datos preparados'!Q294</f>
        <v/>
      </c>
      <c r="S301" s="7">
        <f>'1 datos preparados'!R294</f>
        <v/>
      </c>
      <c r="T301" s="7">
        <f>'1 datos preparados'!S294</f>
        <v/>
      </c>
      <c r="U301" s="7">
        <f>'1 datos preparados'!T294</f>
        <v/>
      </c>
      <c r="V301" s="8">
        <f>$AE$12+D301*$AE$13+E301*$AE$14+F301*$AE$15+G301*$AE$16+H301*$AE$17+I301*$AE$18+J301*$AE$19+K301*$AE$20+L301*$AE$21+M301*$AE$22+N301*$AE$23+O301*$AE$24+P301*$AE$25+Q301*$AE$26+R301*$AE$27+S301*$AE$28+T301*$AE$29+U301*$AE$30</f>
        <v/>
      </c>
      <c r="W301" s="8">
        <f>1/(1+EXP(-V301))</f>
        <v/>
      </c>
      <c r="X301" s="9">
        <f>-IF(C301=1,LN(W301),LN(1-W301))</f>
        <v/>
      </c>
      <c r="Y301" s="8">
        <f>1</f>
        <v/>
      </c>
      <c r="Z301" s="9">
        <f>Y301*X301</f>
        <v/>
      </c>
      <c r="AA301" s="10">
        <f>IF(W301&gt;$AE$32,1,0)</f>
        <v/>
      </c>
      <c r="AB301">
        <f>IF(AA301=C301,1,0)</f>
        <v/>
      </c>
    </row>
    <row r="302">
      <c r="A302">
        <f>'1 datos preparados'!A295</f>
        <v/>
      </c>
      <c r="B302" s="5">
        <f>'1 datos preparados'!U295</f>
        <v/>
      </c>
      <c r="C302">
        <f>'1 datos preparados'!B295</f>
        <v/>
      </c>
      <c r="D302" s="7">
        <f>'1 datos preparados'!C295</f>
        <v/>
      </c>
      <c r="E302" s="7">
        <f>'1 datos preparados'!D295</f>
        <v/>
      </c>
      <c r="F302" s="7">
        <f>'1 datos preparados'!E295</f>
        <v/>
      </c>
      <c r="G302" s="7">
        <f>'1 datos preparados'!F295</f>
        <v/>
      </c>
      <c r="H302" s="7">
        <f>'1 datos preparados'!G295</f>
        <v/>
      </c>
      <c r="I302" s="7">
        <f>'1 datos preparados'!H295</f>
        <v/>
      </c>
      <c r="J302" s="7">
        <f>'1 datos preparados'!I295</f>
        <v/>
      </c>
      <c r="K302" s="7">
        <f>'1 datos preparados'!J295</f>
        <v/>
      </c>
      <c r="L302" s="7">
        <f>'1 datos preparados'!K295</f>
        <v/>
      </c>
      <c r="M302" s="7">
        <f>'1 datos preparados'!L295</f>
        <v/>
      </c>
      <c r="N302" s="7">
        <f>'1 datos preparados'!M295</f>
        <v/>
      </c>
      <c r="O302" s="7">
        <f>'1 datos preparados'!N295</f>
        <v/>
      </c>
      <c r="P302" s="7">
        <f>'1 datos preparados'!O295</f>
        <v/>
      </c>
      <c r="Q302" s="7">
        <f>'1 datos preparados'!P295</f>
        <v/>
      </c>
      <c r="R302" s="7">
        <f>'1 datos preparados'!Q295</f>
        <v/>
      </c>
      <c r="S302" s="7">
        <f>'1 datos preparados'!R295</f>
        <v/>
      </c>
      <c r="T302" s="7">
        <f>'1 datos preparados'!S295</f>
        <v/>
      </c>
      <c r="U302" s="7">
        <f>'1 datos preparados'!T295</f>
        <v/>
      </c>
      <c r="V302" s="8">
        <f>$AE$12+D302*$AE$13+E302*$AE$14+F302*$AE$15+G302*$AE$16+H302*$AE$17+I302*$AE$18+J302*$AE$19+K302*$AE$20+L302*$AE$21+M302*$AE$22+N302*$AE$23+O302*$AE$24+P302*$AE$25+Q302*$AE$26+R302*$AE$27+S302*$AE$28+T302*$AE$29+U302*$AE$30</f>
        <v/>
      </c>
      <c r="W302" s="8">
        <f>1/(1+EXP(-V302))</f>
        <v/>
      </c>
      <c r="X302" s="9">
        <f>-IF(C302=1,LN(W302),LN(1-W302))</f>
        <v/>
      </c>
      <c r="Y302" s="8">
        <f>1</f>
        <v/>
      </c>
      <c r="Z302" s="9">
        <f>Y302*X302</f>
        <v/>
      </c>
      <c r="AA302" s="10">
        <f>IF(W302&gt;$AE$32,1,0)</f>
        <v/>
      </c>
      <c r="AB302">
        <f>IF(AA302=C302,1,0)</f>
        <v/>
      </c>
    </row>
    <row r="303">
      <c r="A303">
        <f>'1 datos preparados'!A296</f>
        <v/>
      </c>
      <c r="B303" s="5">
        <f>'1 datos preparados'!U296</f>
        <v/>
      </c>
      <c r="C303">
        <f>'1 datos preparados'!B296</f>
        <v/>
      </c>
      <c r="D303" s="7">
        <f>'1 datos preparados'!C296</f>
        <v/>
      </c>
      <c r="E303" s="7">
        <f>'1 datos preparados'!D296</f>
        <v/>
      </c>
      <c r="F303" s="7">
        <f>'1 datos preparados'!E296</f>
        <v/>
      </c>
      <c r="G303" s="7">
        <f>'1 datos preparados'!F296</f>
        <v/>
      </c>
      <c r="H303" s="7">
        <f>'1 datos preparados'!G296</f>
        <v/>
      </c>
      <c r="I303" s="7">
        <f>'1 datos preparados'!H296</f>
        <v/>
      </c>
      <c r="J303" s="7">
        <f>'1 datos preparados'!I296</f>
        <v/>
      </c>
      <c r="K303" s="7">
        <f>'1 datos preparados'!J296</f>
        <v/>
      </c>
      <c r="L303" s="7">
        <f>'1 datos preparados'!K296</f>
        <v/>
      </c>
      <c r="M303" s="7">
        <f>'1 datos preparados'!L296</f>
        <v/>
      </c>
      <c r="N303" s="7">
        <f>'1 datos preparados'!M296</f>
        <v/>
      </c>
      <c r="O303" s="7">
        <f>'1 datos preparados'!N296</f>
        <v/>
      </c>
      <c r="P303" s="7">
        <f>'1 datos preparados'!O296</f>
        <v/>
      </c>
      <c r="Q303" s="7">
        <f>'1 datos preparados'!P296</f>
        <v/>
      </c>
      <c r="R303" s="7">
        <f>'1 datos preparados'!Q296</f>
        <v/>
      </c>
      <c r="S303" s="7">
        <f>'1 datos preparados'!R296</f>
        <v/>
      </c>
      <c r="T303" s="7">
        <f>'1 datos preparados'!S296</f>
        <v/>
      </c>
      <c r="U303" s="7">
        <f>'1 datos preparados'!T296</f>
        <v/>
      </c>
      <c r="V303" s="8">
        <f>$AE$12+D303*$AE$13+E303*$AE$14+F303*$AE$15+G303*$AE$16+H303*$AE$17+I303*$AE$18+J303*$AE$19+K303*$AE$20+L303*$AE$21+M303*$AE$22+N303*$AE$23+O303*$AE$24+P303*$AE$25+Q303*$AE$26+R303*$AE$27+S303*$AE$28+T303*$AE$29+U303*$AE$30</f>
        <v/>
      </c>
      <c r="W303" s="8">
        <f>1/(1+EXP(-V303))</f>
        <v/>
      </c>
      <c r="X303" s="9">
        <f>-IF(C303=1,LN(W303),LN(1-W303))</f>
        <v/>
      </c>
      <c r="Y303" s="8">
        <f>1</f>
        <v/>
      </c>
      <c r="Z303" s="9">
        <f>Y303*X303</f>
        <v/>
      </c>
      <c r="AA303" s="10">
        <f>IF(W303&gt;$AE$32,1,0)</f>
        <v/>
      </c>
      <c r="AB303">
        <f>IF(AA303=C303,1,0)</f>
        <v/>
      </c>
    </row>
    <row r="304">
      <c r="A304">
        <f>'1 datos preparados'!A297</f>
        <v/>
      </c>
      <c r="B304" s="5">
        <f>'1 datos preparados'!U297</f>
        <v/>
      </c>
      <c r="C304">
        <f>'1 datos preparados'!B297</f>
        <v/>
      </c>
      <c r="D304" s="7">
        <f>'1 datos preparados'!C297</f>
        <v/>
      </c>
      <c r="E304" s="7">
        <f>'1 datos preparados'!D297</f>
        <v/>
      </c>
      <c r="F304" s="7">
        <f>'1 datos preparados'!E297</f>
        <v/>
      </c>
      <c r="G304" s="7">
        <f>'1 datos preparados'!F297</f>
        <v/>
      </c>
      <c r="H304" s="7">
        <f>'1 datos preparados'!G297</f>
        <v/>
      </c>
      <c r="I304" s="7">
        <f>'1 datos preparados'!H297</f>
        <v/>
      </c>
      <c r="J304" s="7">
        <f>'1 datos preparados'!I297</f>
        <v/>
      </c>
      <c r="K304" s="7">
        <f>'1 datos preparados'!J297</f>
        <v/>
      </c>
      <c r="L304" s="7">
        <f>'1 datos preparados'!K297</f>
        <v/>
      </c>
      <c r="M304" s="7">
        <f>'1 datos preparados'!L297</f>
        <v/>
      </c>
      <c r="N304" s="7">
        <f>'1 datos preparados'!M297</f>
        <v/>
      </c>
      <c r="O304" s="7">
        <f>'1 datos preparados'!N297</f>
        <v/>
      </c>
      <c r="P304" s="7">
        <f>'1 datos preparados'!O297</f>
        <v/>
      </c>
      <c r="Q304" s="7">
        <f>'1 datos preparados'!P297</f>
        <v/>
      </c>
      <c r="R304" s="7">
        <f>'1 datos preparados'!Q297</f>
        <v/>
      </c>
      <c r="S304" s="7">
        <f>'1 datos preparados'!R297</f>
        <v/>
      </c>
      <c r="T304" s="7">
        <f>'1 datos preparados'!S297</f>
        <v/>
      </c>
      <c r="U304" s="7">
        <f>'1 datos preparados'!T297</f>
        <v/>
      </c>
      <c r="V304" s="8">
        <f>$AE$12+D304*$AE$13+E304*$AE$14+F304*$AE$15+G304*$AE$16+H304*$AE$17+I304*$AE$18+J304*$AE$19+K304*$AE$20+L304*$AE$21+M304*$AE$22+N304*$AE$23+O304*$AE$24+P304*$AE$25+Q304*$AE$26+R304*$AE$27+S304*$AE$28+T304*$AE$29+U304*$AE$30</f>
        <v/>
      </c>
      <c r="W304" s="8">
        <f>1/(1+EXP(-V304))</f>
        <v/>
      </c>
      <c r="X304" s="9">
        <f>-IF(C304=1,LN(W304),LN(1-W304))</f>
        <v/>
      </c>
      <c r="Y304" s="8">
        <f>1</f>
        <v/>
      </c>
      <c r="Z304" s="9">
        <f>Y304*X304</f>
        <v/>
      </c>
      <c r="AA304" s="10">
        <f>IF(W304&gt;$AE$32,1,0)</f>
        <v/>
      </c>
      <c r="AB304">
        <f>IF(AA304=C304,1,0)</f>
        <v/>
      </c>
    </row>
    <row r="305">
      <c r="A305">
        <f>'1 datos preparados'!A298</f>
        <v/>
      </c>
      <c r="B305" s="5">
        <f>'1 datos preparados'!U298</f>
        <v/>
      </c>
      <c r="C305">
        <f>'1 datos preparados'!B298</f>
        <v/>
      </c>
      <c r="D305" s="7">
        <f>'1 datos preparados'!C298</f>
        <v/>
      </c>
      <c r="E305" s="7">
        <f>'1 datos preparados'!D298</f>
        <v/>
      </c>
      <c r="F305" s="7">
        <f>'1 datos preparados'!E298</f>
        <v/>
      </c>
      <c r="G305" s="7">
        <f>'1 datos preparados'!F298</f>
        <v/>
      </c>
      <c r="H305" s="7">
        <f>'1 datos preparados'!G298</f>
        <v/>
      </c>
      <c r="I305" s="7">
        <f>'1 datos preparados'!H298</f>
        <v/>
      </c>
      <c r="J305" s="7">
        <f>'1 datos preparados'!I298</f>
        <v/>
      </c>
      <c r="K305" s="7">
        <f>'1 datos preparados'!J298</f>
        <v/>
      </c>
      <c r="L305" s="7">
        <f>'1 datos preparados'!K298</f>
        <v/>
      </c>
      <c r="M305" s="7">
        <f>'1 datos preparados'!L298</f>
        <v/>
      </c>
      <c r="N305" s="7">
        <f>'1 datos preparados'!M298</f>
        <v/>
      </c>
      <c r="O305" s="7">
        <f>'1 datos preparados'!N298</f>
        <v/>
      </c>
      <c r="P305" s="7">
        <f>'1 datos preparados'!O298</f>
        <v/>
      </c>
      <c r="Q305" s="7">
        <f>'1 datos preparados'!P298</f>
        <v/>
      </c>
      <c r="R305" s="7">
        <f>'1 datos preparados'!Q298</f>
        <v/>
      </c>
      <c r="S305" s="7">
        <f>'1 datos preparados'!R298</f>
        <v/>
      </c>
      <c r="T305" s="7">
        <f>'1 datos preparados'!S298</f>
        <v/>
      </c>
      <c r="U305" s="7">
        <f>'1 datos preparados'!T298</f>
        <v/>
      </c>
      <c r="V305" s="8">
        <f>$AE$12+D305*$AE$13+E305*$AE$14+F305*$AE$15+G305*$AE$16+H305*$AE$17+I305*$AE$18+J305*$AE$19+K305*$AE$20+L305*$AE$21+M305*$AE$22+N305*$AE$23+O305*$AE$24+P305*$AE$25+Q305*$AE$26+R305*$AE$27+S305*$AE$28+T305*$AE$29+U305*$AE$30</f>
        <v/>
      </c>
      <c r="W305" s="8">
        <f>1/(1+EXP(-V305))</f>
        <v/>
      </c>
      <c r="X305" s="9">
        <f>-IF(C305=1,LN(W305),LN(1-W305))</f>
        <v/>
      </c>
      <c r="Y305" s="8">
        <f>1</f>
        <v/>
      </c>
      <c r="Z305" s="9">
        <f>Y305*X305</f>
        <v/>
      </c>
      <c r="AA305" s="10">
        <f>IF(W305&gt;$AE$32,1,0)</f>
        <v/>
      </c>
      <c r="AB305">
        <f>IF(AA305=C305,1,0)</f>
        <v/>
      </c>
    </row>
    <row r="306">
      <c r="A306">
        <f>'1 datos preparados'!A299</f>
        <v/>
      </c>
      <c r="B306" s="5">
        <f>'1 datos preparados'!U299</f>
        <v/>
      </c>
      <c r="C306">
        <f>'1 datos preparados'!B299</f>
        <v/>
      </c>
      <c r="D306" s="7">
        <f>'1 datos preparados'!C299</f>
        <v/>
      </c>
      <c r="E306" s="7">
        <f>'1 datos preparados'!D299</f>
        <v/>
      </c>
      <c r="F306" s="7">
        <f>'1 datos preparados'!E299</f>
        <v/>
      </c>
      <c r="G306" s="7">
        <f>'1 datos preparados'!F299</f>
        <v/>
      </c>
      <c r="H306" s="7">
        <f>'1 datos preparados'!G299</f>
        <v/>
      </c>
      <c r="I306" s="7">
        <f>'1 datos preparados'!H299</f>
        <v/>
      </c>
      <c r="J306" s="7">
        <f>'1 datos preparados'!I299</f>
        <v/>
      </c>
      <c r="K306" s="7">
        <f>'1 datos preparados'!J299</f>
        <v/>
      </c>
      <c r="L306" s="7">
        <f>'1 datos preparados'!K299</f>
        <v/>
      </c>
      <c r="M306" s="7">
        <f>'1 datos preparados'!L299</f>
        <v/>
      </c>
      <c r="N306" s="7">
        <f>'1 datos preparados'!M299</f>
        <v/>
      </c>
      <c r="O306" s="7">
        <f>'1 datos preparados'!N299</f>
        <v/>
      </c>
      <c r="P306" s="7">
        <f>'1 datos preparados'!O299</f>
        <v/>
      </c>
      <c r="Q306" s="7">
        <f>'1 datos preparados'!P299</f>
        <v/>
      </c>
      <c r="R306" s="7">
        <f>'1 datos preparados'!Q299</f>
        <v/>
      </c>
      <c r="S306" s="7">
        <f>'1 datos preparados'!R299</f>
        <v/>
      </c>
      <c r="T306" s="7">
        <f>'1 datos preparados'!S299</f>
        <v/>
      </c>
      <c r="U306" s="7">
        <f>'1 datos preparados'!T299</f>
        <v/>
      </c>
      <c r="V306" s="8">
        <f>$AE$12+D306*$AE$13+E306*$AE$14+F306*$AE$15+G306*$AE$16+H306*$AE$17+I306*$AE$18+J306*$AE$19+K306*$AE$20+L306*$AE$21+M306*$AE$22+N306*$AE$23+O306*$AE$24+P306*$AE$25+Q306*$AE$26+R306*$AE$27+S306*$AE$28+T306*$AE$29+U306*$AE$30</f>
        <v/>
      </c>
      <c r="W306" s="8">
        <f>1/(1+EXP(-V306))</f>
        <v/>
      </c>
      <c r="X306" s="9">
        <f>-IF(C306=1,LN(W306),LN(1-W306))</f>
        <v/>
      </c>
      <c r="Y306" s="8">
        <f>1</f>
        <v/>
      </c>
      <c r="Z306" s="9">
        <f>Y306*X306</f>
        <v/>
      </c>
      <c r="AA306" s="10">
        <f>IF(W306&gt;$AE$32,1,0)</f>
        <v/>
      </c>
      <c r="AB306">
        <f>IF(AA306=C306,1,0)</f>
        <v/>
      </c>
    </row>
    <row r="307">
      <c r="A307">
        <f>'1 datos preparados'!A300</f>
        <v/>
      </c>
      <c r="B307" s="5">
        <f>'1 datos preparados'!U300</f>
        <v/>
      </c>
      <c r="C307">
        <f>'1 datos preparados'!B300</f>
        <v/>
      </c>
      <c r="D307" s="7">
        <f>'1 datos preparados'!C300</f>
        <v/>
      </c>
      <c r="E307" s="7">
        <f>'1 datos preparados'!D300</f>
        <v/>
      </c>
      <c r="F307" s="7">
        <f>'1 datos preparados'!E300</f>
        <v/>
      </c>
      <c r="G307" s="7">
        <f>'1 datos preparados'!F300</f>
        <v/>
      </c>
      <c r="H307" s="7">
        <f>'1 datos preparados'!G300</f>
        <v/>
      </c>
      <c r="I307" s="7">
        <f>'1 datos preparados'!H300</f>
        <v/>
      </c>
      <c r="J307" s="7">
        <f>'1 datos preparados'!I300</f>
        <v/>
      </c>
      <c r="K307" s="7">
        <f>'1 datos preparados'!J300</f>
        <v/>
      </c>
      <c r="L307" s="7">
        <f>'1 datos preparados'!K300</f>
        <v/>
      </c>
      <c r="M307" s="7">
        <f>'1 datos preparados'!L300</f>
        <v/>
      </c>
      <c r="N307" s="7">
        <f>'1 datos preparados'!M300</f>
        <v/>
      </c>
      <c r="O307" s="7">
        <f>'1 datos preparados'!N300</f>
        <v/>
      </c>
      <c r="P307" s="7">
        <f>'1 datos preparados'!O300</f>
        <v/>
      </c>
      <c r="Q307" s="7">
        <f>'1 datos preparados'!P300</f>
        <v/>
      </c>
      <c r="R307" s="7">
        <f>'1 datos preparados'!Q300</f>
        <v/>
      </c>
      <c r="S307" s="7">
        <f>'1 datos preparados'!R300</f>
        <v/>
      </c>
      <c r="T307" s="7">
        <f>'1 datos preparados'!S300</f>
        <v/>
      </c>
      <c r="U307" s="7">
        <f>'1 datos preparados'!T300</f>
        <v/>
      </c>
      <c r="V307" s="8">
        <f>$AE$12+D307*$AE$13+E307*$AE$14+F307*$AE$15+G307*$AE$16+H307*$AE$17+I307*$AE$18+J307*$AE$19+K307*$AE$20+L307*$AE$21+M307*$AE$22+N307*$AE$23+O307*$AE$24+P307*$AE$25+Q307*$AE$26+R307*$AE$27+S307*$AE$28+T307*$AE$29+U307*$AE$30</f>
        <v/>
      </c>
      <c r="W307" s="8">
        <f>1/(1+EXP(-V307))</f>
        <v/>
      </c>
      <c r="X307" s="9">
        <f>-IF(C307=1,LN(W307),LN(1-W307))</f>
        <v/>
      </c>
      <c r="Y307" s="8">
        <f>1</f>
        <v/>
      </c>
      <c r="Z307" s="9">
        <f>Y307*X307</f>
        <v/>
      </c>
      <c r="AA307" s="10">
        <f>IF(W307&gt;$AE$32,1,0)</f>
        <v/>
      </c>
      <c r="AB307">
        <f>IF(AA307=C307,1,0)</f>
        <v/>
      </c>
    </row>
    <row r="308">
      <c r="A308">
        <f>'1 datos preparados'!A301</f>
        <v/>
      </c>
      <c r="B308" s="5">
        <f>'1 datos preparados'!U301</f>
        <v/>
      </c>
      <c r="C308">
        <f>'1 datos preparados'!B301</f>
        <v/>
      </c>
      <c r="D308" s="7">
        <f>'1 datos preparados'!C301</f>
        <v/>
      </c>
      <c r="E308" s="7">
        <f>'1 datos preparados'!D301</f>
        <v/>
      </c>
      <c r="F308" s="7">
        <f>'1 datos preparados'!E301</f>
        <v/>
      </c>
      <c r="G308" s="7">
        <f>'1 datos preparados'!F301</f>
        <v/>
      </c>
      <c r="H308" s="7">
        <f>'1 datos preparados'!G301</f>
        <v/>
      </c>
      <c r="I308" s="7">
        <f>'1 datos preparados'!H301</f>
        <v/>
      </c>
      <c r="J308" s="7">
        <f>'1 datos preparados'!I301</f>
        <v/>
      </c>
      <c r="K308" s="7">
        <f>'1 datos preparados'!J301</f>
        <v/>
      </c>
      <c r="L308" s="7">
        <f>'1 datos preparados'!K301</f>
        <v/>
      </c>
      <c r="M308" s="7">
        <f>'1 datos preparados'!L301</f>
        <v/>
      </c>
      <c r="N308" s="7">
        <f>'1 datos preparados'!M301</f>
        <v/>
      </c>
      <c r="O308" s="7">
        <f>'1 datos preparados'!N301</f>
        <v/>
      </c>
      <c r="P308" s="7">
        <f>'1 datos preparados'!O301</f>
        <v/>
      </c>
      <c r="Q308" s="7">
        <f>'1 datos preparados'!P301</f>
        <v/>
      </c>
      <c r="R308" s="7">
        <f>'1 datos preparados'!Q301</f>
        <v/>
      </c>
      <c r="S308" s="7">
        <f>'1 datos preparados'!R301</f>
        <v/>
      </c>
      <c r="T308" s="7">
        <f>'1 datos preparados'!S301</f>
        <v/>
      </c>
      <c r="U308" s="7">
        <f>'1 datos preparados'!T301</f>
        <v/>
      </c>
      <c r="V308" s="8">
        <f>$AE$12+D308*$AE$13+E308*$AE$14+F308*$AE$15+G308*$AE$16+H308*$AE$17+I308*$AE$18+J308*$AE$19+K308*$AE$20+L308*$AE$21+M308*$AE$22+N308*$AE$23+O308*$AE$24+P308*$AE$25+Q308*$AE$26+R308*$AE$27+S308*$AE$28+T308*$AE$29+U308*$AE$30</f>
        <v/>
      </c>
      <c r="W308" s="8">
        <f>1/(1+EXP(-V308))</f>
        <v/>
      </c>
      <c r="X308" s="9">
        <f>-IF(C308=1,LN(W308),LN(1-W308))</f>
        <v/>
      </c>
      <c r="Y308" s="8">
        <f>1</f>
        <v/>
      </c>
      <c r="Z308" s="9">
        <f>Y308*X308</f>
        <v/>
      </c>
      <c r="AA308" s="10">
        <f>IF(W308&gt;$AE$32,1,0)</f>
        <v/>
      </c>
      <c r="AB308">
        <f>IF(AA308=C308,1,0)</f>
        <v/>
      </c>
    </row>
    <row r="309">
      <c r="A309">
        <f>'1 datos preparados'!A302</f>
        <v/>
      </c>
      <c r="B309" s="5">
        <f>'1 datos preparados'!U302</f>
        <v/>
      </c>
      <c r="C309">
        <f>'1 datos preparados'!B302</f>
        <v/>
      </c>
      <c r="D309" s="7">
        <f>'1 datos preparados'!C302</f>
        <v/>
      </c>
      <c r="E309" s="7">
        <f>'1 datos preparados'!D302</f>
        <v/>
      </c>
      <c r="F309" s="7">
        <f>'1 datos preparados'!E302</f>
        <v/>
      </c>
      <c r="G309" s="7">
        <f>'1 datos preparados'!F302</f>
        <v/>
      </c>
      <c r="H309" s="7">
        <f>'1 datos preparados'!G302</f>
        <v/>
      </c>
      <c r="I309" s="7">
        <f>'1 datos preparados'!H302</f>
        <v/>
      </c>
      <c r="J309" s="7">
        <f>'1 datos preparados'!I302</f>
        <v/>
      </c>
      <c r="K309" s="7">
        <f>'1 datos preparados'!J302</f>
        <v/>
      </c>
      <c r="L309" s="7">
        <f>'1 datos preparados'!K302</f>
        <v/>
      </c>
      <c r="M309" s="7">
        <f>'1 datos preparados'!L302</f>
        <v/>
      </c>
      <c r="N309" s="7">
        <f>'1 datos preparados'!M302</f>
        <v/>
      </c>
      <c r="O309" s="7">
        <f>'1 datos preparados'!N302</f>
        <v/>
      </c>
      <c r="P309" s="7">
        <f>'1 datos preparados'!O302</f>
        <v/>
      </c>
      <c r="Q309" s="7">
        <f>'1 datos preparados'!P302</f>
        <v/>
      </c>
      <c r="R309" s="7">
        <f>'1 datos preparados'!Q302</f>
        <v/>
      </c>
      <c r="S309" s="7">
        <f>'1 datos preparados'!R302</f>
        <v/>
      </c>
      <c r="T309" s="7">
        <f>'1 datos preparados'!S302</f>
        <v/>
      </c>
      <c r="U309" s="7">
        <f>'1 datos preparados'!T302</f>
        <v/>
      </c>
      <c r="V309" s="8">
        <f>$AE$12+D309*$AE$13+E309*$AE$14+F309*$AE$15+G309*$AE$16+H309*$AE$17+I309*$AE$18+J309*$AE$19+K309*$AE$20+L309*$AE$21+M309*$AE$22+N309*$AE$23+O309*$AE$24+P309*$AE$25+Q309*$AE$26+R309*$AE$27+S309*$AE$28+T309*$AE$29+U309*$AE$30</f>
        <v/>
      </c>
      <c r="W309" s="8">
        <f>1/(1+EXP(-V309))</f>
        <v/>
      </c>
      <c r="X309" s="9">
        <f>-IF(C309=1,LN(W309),LN(1-W309))</f>
        <v/>
      </c>
      <c r="Y309" s="8">
        <f>1</f>
        <v/>
      </c>
      <c r="Z309" s="9">
        <f>Y309*X309</f>
        <v/>
      </c>
      <c r="AA309" s="10">
        <f>IF(W309&gt;$AE$32,1,0)</f>
        <v/>
      </c>
      <c r="AB309">
        <f>IF(AA309=C309,1,0)</f>
        <v/>
      </c>
    </row>
    <row r="310">
      <c r="A310">
        <f>'1 datos preparados'!A303</f>
        <v/>
      </c>
      <c r="B310" s="5">
        <f>'1 datos preparados'!U303</f>
        <v/>
      </c>
      <c r="C310">
        <f>'1 datos preparados'!B303</f>
        <v/>
      </c>
      <c r="D310" s="7">
        <f>'1 datos preparados'!C303</f>
        <v/>
      </c>
      <c r="E310" s="7">
        <f>'1 datos preparados'!D303</f>
        <v/>
      </c>
      <c r="F310" s="7">
        <f>'1 datos preparados'!E303</f>
        <v/>
      </c>
      <c r="G310" s="7">
        <f>'1 datos preparados'!F303</f>
        <v/>
      </c>
      <c r="H310" s="7">
        <f>'1 datos preparados'!G303</f>
        <v/>
      </c>
      <c r="I310" s="7">
        <f>'1 datos preparados'!H303</f>
        <v/>
      </c>
      <c r="J310" s="7">
        <f>'1 datos preparados'!I303</f>
        <v/>
      </c>
      <c r="K310" s="7">
        <f>'1 datos preparados'!J303</f>
        <v/>
      </c>
      <c r="L310" s="7">
        <f>'1 datos preparados'!K303</f>
        <v/>
      </c>
      <c r="M310" s="7">
        <f>'1 datos preparados'!L303</f>
        <v/>
      </c>
      <c r="N310" s="7">
        <f>'1 datos preparados'!M303</f>
        <v/>
      </c>
      <c r="O310" s="7">
        <f>'1 datos preparados'!N303</f>
        <v/>
      </c>
      <c r="P310" s="7">
        <f>'1 datos preparados'!O303</f>
        <v/>
      </c>
      <c r="Q310" s="7">
        <f>'1 datos preparados'!P303</f>
        <v/>
      </c>
      <c r="R310" s="7">
        <f>'1 datos preparados'!Q303</f>
        <v/>
      </c>
      <c r="S310" s="7">
        <f>'1 datos preparados'!R303</f>
        <v/>
      </c>
      <c r="T310" s="7">
        <f>'1 datos preparados'!S303</f>
        <v/>
      </c>
      <c r="U310" s="7">
        <f>'1 datos preparados'!T303</f>
        <v/>
      </c>
      <c r="V310" s="8">
        <f>$AE$12+D310*$AE$13+E310*$AE$14+F310*$AE$15+G310*$AE$16+H310*$AE$17+I310*$AE$18+J310*$AE$19+K310*$AE$20+L310*$AE$21+M310*$AE$22+N310*$AE$23+O310*$AE$24+P310*$AE$25+Q310*$AE$26+R310*$AE$27+S310*$AE$28+T310*$AE$29+U310*$AE$30</f>
        <v/>
      </c>
      <c r="W310" s="8">
        <f>1/(1+EXP(-V310))</f>
        <v/>
      </c>
      <c r="X310" s="9">
        <f>-IF(C310=1,LN(W310),LN(1-W310))</f>
        <v/>
      </c>
      <c r="Y310" s="8">
        <f>1</f>
        <v/>
      </c>
      <c r="Z310" s="9">
        <f>Y310*X310</f>
        <v/>
      </c>
      <c r="AA310" s="10">
        <f>IF(W310&gt;$AE$32,1,0)</f>
        <v/>
      </c>
      <c r="AB310">
        <f>IF(AA310=C310,1,0)</f>
        <v/>
      </c>
    </row>
    <row r="311">
      <c r="A311">
        <f>'1 datos preparados'!A304</f>
        <v/>
      </c>
      <c r="B311" s="5">
        <f>'1 datos preparados'!U304</f>
        <v/>
      </c>
      <c r="C311">
        <f>'1 datos preparados'!B304</f>
        <v/>
      </c>
      <c r="D311" s="7">
        <f>'1 datos preparados'!C304</f>
        <v/>
      </c>
      <c r="E311" s="7">
        <f>'1 datos preparados'!D304</f>
        <v/>
      </c>
      <c r="F311" s="7">
        <f>'1 datos preparados'!E304</f>
        <v/>
      </c>
      <c r="G311" s="7">
        <f>'1 datos preparados'!F304</f>
        <v/>
      </c>
      <c r="H311" s="7">
        <f>'1 datos preparados'!G304</f>
        <v/>
      </c>
      <c r="I311" s="7">
        <f>'1 datos preparados'!H304</f>
        <v/>
      </c>
      <c r="J311" s="7">
        <f>'1 datos preparados'!I304</f>
        <v/>
      </c>
      <c r="K311" s="7">
        <f>'1 datos preparados'!J304</f>
        <v/>
      </c>
      <c r="L311" s="7">
        <f>'1 datos preparados'!K304</f>
        <v/>
      </c>
      <c r="M311" s="7">
        <f>'1 datos preparados'!L304</f>
        <v/>
      </c>
      <c r="N311" s="7">
        <f>'1 datos preparados'!M304</f>
        <v/>
      </c>
      <c r="O311" s="7">
        <f>'1 datos preparados'!N304</f>
        <v/>
      </c>
      <c r="P311" s="7">
        <f>'1 datos preparados'!O304</f>
        <v/>
      </c>
      <c r="Q311" s="7">
        <f>'1 datos preparados'!P304</f>
        <v/>
      </c>
      <c r="R311" s="7">
        <f>'1 datos preparados'!Q304</f>
        <v/>
      </c>
      <c r="S311" s="7">
        <f>'1 datos preparados'!R304</f>
        <v/>
      </c>
      <c r="T311" s="7">
        <f>'1 datos preparados'!S304</f>
        <v/>
      </c>
      <c r="U311" s="7">
        <f>'1 datos preparados'!T304</f>
        <v/>
      </c>
      <c r="V311" s="8">
        <f>$AE$12+D311*$AE$13+E311*$AE$14+F311*$AE$15+G311*$AE$16+H311*$AE$17+I311*$AE$18+J311*$AE$19+K311*$AE$20+L311*$AE$21+M311*$AE$22+N311*$AE$23+O311*$AE$24+P311*$AE$25+Q311*$AE$26+R311*$AE$27+S311*$AE$28+T311*$AE$29+U311*$AE$30</f>
        <v/>
      </c>
      <c r="W311" s="8">
        <f>1/(1+EXP(-V311))</f>
        <v/>
      </c>
      <c r="X311" s="9">
        <f>-IF(C311=1,LN(W311),LN(1-W311))</f>
        <v/>
      </c>
      <c r="Y311" s="8">
        <f>1</f>
        <v/>
      </c>
      <c r="Z311" s="9">
        <f>Y311*X311</f>
        <v/>
      </c>
      <c r="AA311" s="10">
        <f>IF(W311&gt;$AE$32,1,0)</f>
        <v/>
      </c>
      <c r="AB311">
        <f>IF(AA311=C311,1,0)</f>
        <v/>
      </c>
    </row>
    <row r="312">
      <c r="A312">
        <f>'1 datos preparados'!A305</f>
        <v/>
      </c>
      <c r="B312" s="5">
        <f>'1 datos preparados'!U305</f>
        <v/>
      </c>
      <c r="C312">
        <f>'1 datos preparados'!B305</f>
        <v/>
      </c>
      <c r="D312" s="7">
        <f>'1 datos preparados'!C305</f>
        <v/>
      </c>
      <c r="E312" s="7">
        <f>'1 datos preparados'!D305</f>
        <v/>
      </c>
      <c r="F312" s="7">
        <f>'1 datos preparados'!E305</f>
        <v/>
      </c>
      <c r="G312" s="7">
        <f>'1 datos preparados'!F305</f>
        <v/>
      </c>
      <c r="H312" s="7">
        <f>'1 datos preparados'!G305</f>
        <v/>
      </c>
      <c r="I312" s="7">
        <f>'1 datos preparados'!H305</f>
        <v/>
      </c>
      <c r="J312" s="7">
        <f>'1 datos preparados'!I305</f>
        <v/>
      </c>
      <c r="K312" s="7">
        <f>'1 datos preparados'!J305</f>
        <v/>
      </c>
      <c r="L312" s="7">
        <f>'1 datos preparados'!K305</f>
        <v/>
      </c>
      <c r="M312" s="7">
        <f>'1 datos preparados'!L305</f>
        <v/>
      </c>
      <c r="N312" s="7">
        <f>'1 datos preparados'!M305</f>
        <v/>
      </c>
      <c r="O312" s="7">
        <f>'1 datos preparados'!N305</f>
        <v/>
      </c>
      <c r="P312" s="7">
        <f>'1 datos preparados'!O305</f>
        <v/>
      </c>
      <c r="Q312" s="7">
        <f>'1 datos preparados'!P305</f>
        <v/>
      </c>
      <c r="R312" s="7">
        <f>'1 datos preparados'!Q305</f>
        <v/>
      </c>
      <c r="S312" s="7">
        <f>'1 datos preparados'!R305</f>
        <v/>
      </c>
      <c r="T312" s="7">
        <f>'1 datos preparados'!S305</f>
        <v/>
      </c>
      <c r="U312" s="7">
        <f>'1 datos preparados'!T305</f>
        <v/>
      </c>
      <c r="V312" s="8">
        <f>$AE$12+D312*$AE$13+E312*$AE$14+F312*$AE$15+G312*$AE$16+H312*$AE$17+I312*$AE$18+J312*$AE$19+K312*$AE$20+L312*$AE$21+M312*$AE$22+N312*$AE$23+O312*$AE$24+P312*$AE$25+Q312*$AE$26+R312*$AE$27+S312*$AE$28+T312*$AE$29+U312*$AE$30</f>
        <v/>
      </c>
      <c r="W312" s="8">
        <f>1/(1+EXP(-V312))</f>
        <v/>
      </c>
      <c r="X312" s="9">
        <f>-IF(C312=1,LN(W312),LN(1-W312))</f>
        <v/>
      </c>
      <c r="Y312" s="8">
        <f>1</f>
        <v/>
      </c>
      <c r="Z312" s="9">
        <f>Y312*X312</f>
        <v/>
      </c>
      <c r="AA312" s="10">
        <f>IF(W312&gt;$AE$32,1,0)</f>
        <v/>
      </c>
      <c r="AB312">
        <f>IF(AA312=C312,1,0)</f>
        <v/>
      </c>
    </row>
    <row r="313">
      <c r="A313">
        <f>'1 datos preparados'!A306</f>
        <v/>
      </c>
      <c r="B313" s="5">
        <f>'1 datos preparados'!U306</f>
        <v/>
      </c>
      <c r="C313">
        <f>'1 datos preparados'!B306</f>
        <v/>
      </c>
      <c r="D313" s="7">
        <f>'1 datos preparados'!C306</f>
        <v/>
      </c>
      <c r="E313" s="7">
        <f>'1 datos preparados'!D306</f>
        <v/>
      </c>
      <c r="F313" s="7">
        <f>'1 datos preparados'!E306</f>
        <v/>
      </c>
      <c r="G313" s="7">
        <f>'1 datos preparados'!F306</f>
        <v/>
      </c>
      <c r="H313" s="7">
        <f>'1 datos preparados'!G306</f>
        <v/>
      </c>
      <c r="I313" s="7">
        <f>'1 datos preparados'!H306</f>
        <v/>
      </c>
      <c r="J313" s="7">
        <f>'1 datos preparados'!I306</f>
        <v/>
      </c>
      <c r="K313" s="7">
        <f>'1 datos preparados'!J306</f>
        <v/>
      </c>
      <c r="L313" s="7">
        <f>'1 datos preparados'!K306</f>
        <v/>
      </c>
      <c r="M313" s="7">
        <f>'1 datos preparados'!L306</f>
        <v/>
      </c>
      <c r="N313" s="7">
        <f>'1 datos preparados'!M306</f>
        <v/>
      </c>
      <c r="O313" s="7">
        <f>'1 datos preparados'!N306</f>
        <v/>
      </c>
      <c r="P313" s="7">
        <f>'1 datos preparados'!O306</f>
        <v/>
      </c>
      <c r="Q313" s="7">
        <f>'1 datos preparados'!P306</f>
        <v/>
      </c>
      <c r="R313" s="7">
        <f>'1 datos preparados'!Q306</f>
        <v/>
      </c>
      <c r="S313" s="7">
        <f>'1 datos preparados'!R306</f>
        <v/>
      </c>
      <c r="T313" s="7">
        <f>'1 datos preparados'!S306</f>
        <v/>
      </c>
      <c r="U313" s="7">
        <f>'1 datos preparados'!T306</f>
        <v/>
      </c>
      <c r="V313" s="8">
        <f>$AE$12+D313*$AE$13+E313*$AE$14+F313*$AE$15+G313*$AE$16+H313*$AE$17+I313*$AE$18+J313*$AE$19+K313*$AE$20+L313*$AE$21+M313*$AE$22+N313*$AE$23+O313*$AE$24+P313*$AE$25+Q313*$AE$26+R313*$AE$27+S313*$AE$28+T313*$AE$29+U313*$AE$30</f>
        <v/>
      </c>
      <c r="W313" s="8">
        <f>1/(1+EXP(-V313))</f>
        <v/>
      </c>
      <c r="X313" s="9">
        <f>-IF(C313=1,LN(W313),LN(1-W313))</f>
        <v/>
      </c>
      <c r="Y313" s="8">
        <f>1</f>
        <v/>
      </c>
      <c r="Z313" s="9">
        <f>Y313*X313</f>
        <v/>
      </c>
      <c r="AA313" s="10">
        <f>IF(W313&gt;$AE$32,1,0)</f>
        <v/>
      </c>
      <c r="AB313">
        <f>IF(AA313=C313,1,0)</f>
        <v/>
      </c>
    </row>
    <row r="314">
      <c r="A314">
        <f>'1 datos preparados'!A307</f>
        <v/>
      </c>
      <c r="B314" s="5">
        <f>'1 datos preparados'!U307</f>
        <v/>
      </c>
      <c r="C314">
        <f>'1 datos preparados'!B307</f>
        <v/>
      </c>
      <c r="D314" s="7">
        <f>'1 datos preparados'!C307</f>
        <v/>
      </c>
      <c r="E314" s="7">
        <f>'1 datos preparados'!D307</f>
        <v/>
      </c>
      <c r="F314" s="7">
        <f>'1 datos preparados'!E307</f>
        <v/>
      </c>
      <c r="G314" s="7">
        <f>'1 datos preparados'!F307</f>
        <v/>
      </c>
      <c r="H314" s="7">
        <f>'1 datos preparados'!G307</f>
        <v/>
      </c>
      <c r="I314" s="7">
        <f>'1 datos preparados'!H307</f>
        <v/>
      </c>
      <c r="J314" s="7">
        <f>'1 datos preparados'!I307</f>
        <v/>
      </c>
      <c r="K314" s="7">
        <f>'1 datos preparados'!J307</f>
        <v/>
      </c>
      <c r="L314" s="7">
        <f>'1 datos preparados'!K307</f>
        <v/>
      </c>
      <c r="M314" s="7">
        <f>'1 datos preparados'!L307</f>
        <v/>
      </c>
      <c r="N314" s="7">
        <f>'1 datos preparados'!M307</f>
        <v/>
      </c>
      <c r="O314" s="7">
        <f>'1 datos preparados'!N307</f>
        <v/>
      </c>
      <c r="P314" s="7">
        <f>'1 datos preparados'!O307</f>
        <v/>
      </c>
      <c r="Q314" s="7">
        <f>'1 datos preparados'!P307</f>
        <v/>
      </c>
      <c r="R314" s="7">
        <f>'1 datos preparados'!Q307</f>
        <v/>
      </c>
      <c r="S314" s="7">
        <f>'1 datos preparados'!R307</f>
        <v/>
      </c>
      <c r="T314" s="7">
        <f>'1 datos preparados'!S307</f>
        <v/>
      </c>
      <c r="U314" s="7">
        <f>'1 datos preparados'!T307</f>
        <v/>
      </c>
      <c r="V314" s="8">
        <f>$AE$12+D314*$AE$13+E314*$AE$14+F314*$AE$15+G314*$AE$16+H314*$AE$17+I314*$AE$18+J314*$AE$19+K314*$AE$20+L314*$AE$21+M314*$AE$22+N314*$AE$23+O314*$AE$24+P314*$AE$25+Q314*$AE$26+R314*$AE$27+S314*$AE$28+T314*$AE$29+U314*$AE$30</f>
        <v/>
      </c>
      <c r="W314" s="8">
        <f>1/(1+EXP(-V314))</f>
        <v/>
      </c>
      <c r="X314" s="9">
        <f>-IF(C314=1,LN(W314),LN(1-W314))</f>
        <v/>
      </c>
      <c r="Y314" s="8">
        <f>1</f>
        <v/>
      </c>
      <c r="Z314" s="9">
        <f>Y314*X314</f>
        <v/>
      </c>
      <c r="AA314" s="10">
        <f>IF(W314&gt;$AE$32,1,0)</f>
        <v/>
      </c>
      <c r="AB314">
        <f>IF(AA314=C314,1,0)</f>
        <v/>
      </c>
    </row>
    <row r="315">
      <c r="A315">
        <f>'1 datos preparados'!A308</f>
        <v/>
      </c>
      <c r="B315" s="5">
        <f>'1 datos preparados'!U308</f>
        <v/>
      </c>
      <c r="C315">
        <f>'1 datos preparados'!B308</f>
        <v/>
      </c>
      <c r="D315" s="7">
        <f>'1 datos preparados'!C308</f>
        <v/>
      </c>
      <c r="E315" s="7">
        <f>'1 datos preparados'!D308</f>
        <v/>
      </c>
      <c r="F315" s="7">
        <f>'1 datos preparados'!E308</f>
        <v/>
      </c>
      <c r="G315" s="7">
        <f>'1 datos preparados'!F308</f>
        <v/>
      </c>
      <c r="H315" s="7">
        <f>'1 datos preparados'!G308</f>
        <v/>
      </c>
      <c r="I315" s="7">
        <f>'1 datos preparados'!H308</f>
        <v/>
      </c>
      <c r="J315" s="7">
        <f>'1 datos preparados'!I308</f>
        <v/>
      </c>
      <c r="K315" s="7">
        <f>'1 datos preparados'!J308</f>
        <v/>
      </c>
      <c r="L315" s="7">
        <f>'1 datos preparados'!K308</f>
        <v/>
      </c>
      <c r="M315" s="7">
        <f>'1 datos preparados'!L308</f>
        <v/>
      </c>
      <c r="N315" s="7">
        <f>'1 datos preparados'!M308</f>
        <v/>
      </c>
      <c r="O315" s="7">
        <f>'1 datos preparados'!N308</f>
        <v/>
      </c>
      <c r="P315" s="7">
        <f>'1 datos preparados'!O308</f>
        <v/>
      </c>
      <c r="Q315" s="7">
        <f>'1 datos preparados'!P308</f>
        <v/>
      </c>
      <c r="R315" s="7">
        <f>'1 datos preparados'!Q308</f>
        <v/>
      </c>
      <c r="S315" s="7">
        <f>'1 datos preparados'!R308</f>
        <v/>
      </c>
      <c r="T315" s="7">
        <f>'1 datos preparados'!S308</f>
        <v/>
      </c>
      <c r="U315" s="7">
        <f>'1 datos preparados'!T308</f>
        <v/>
      </c>
      <c r="V315" s="8">
        <f>$AE$12+D315*$AE$13+E315*$AE$14+F315*$AE$15+G315*$AE$16+H315*$AE$17+I315*$AE$18+J315*$AE$19+K315*$AE$20+L315*$AE$21+M315*$AE$22+N315*$AE$23+O315*$AE$24+P315*$AE$25+Q315*$AE$26+R315*$AE$27+S315*$AE$28+T315*$AE$29+U315*$AE$30</f>
        <v/>
      </c>
      <c r="W315" s="8">
        <f>1/(1+EXP(-V315))</f>
        <v/>
      </c>
      <c r="X315" s="9">
        <f>-IF(C315=1,LN(W315),LN(1-W315))</f>
        <v/>
      </c>
      <c r="Y315" s="8">
        <f>1</f>
        <v/>
      </c>
      <c r="Z315" s="9">
        <f>Y315*X315</f>
        <v/>
      </c>
      <c r="AA315" s="10">
        <f>IF(W315&gt;$AE$32,1,0)</f>
        <v/>
      </c>
      <c r="AB315">
        <f>IF(AA315=C315,1,0)</f>
        <v/>
      </c>
    </row>
    <row r="316">
      <c r="A316">
        <f>'1 datos preparados'!A309</f>
        <v/>
      </c>
      <c r="B316" s="5">
        <f>'1 datos preparados'!U309</f>
        <v/>
      </c>
      <c r="C316">
        <f>'1 datos preparados'!B309</f>
        <v/>
      </c>
      <c r="D316" s="7">
        <f>'1 datos preparados'!C309</f>
        <v/>
      </c>
      <c r="E316" s="7">
        <f>'1 datos preparados'!D309</f>
        <v/>
      </c>
      <c r="F316" s="7">
        <f>'1 datos preparados'!E309</f>
        <v/>
      </c>
      <c r="G316" s="7">
        <f>'1 datos preparados'!F309</f>
        <v/>
      </c>
      <c r="H316" s="7">
        <f>'1 datos preparados'!G309</f>
        <v/>
      </c>
      <c r="I316" s="7">
        <f>'1 datos preparados'!H309</f>
        <v/>
      </c>
      <c r="J316" s="7">
        <f>'1 datos preparados'!I309</f>
        <v/>
      </c>
      <c r="K316" s="7">
        <f>'1 datos preparados'!J309</f>
        <v/>
      </c>
      <c r="L316" s="7">
        <f>'1 datos preparados'!K309</f>
        <v/>
      </c>
      <c r="M316" s="7">
        <f>'1 datos preparados'!L309</f>
        <v/>
      </c>
      <c r="N316" s="7">
        <f>'1 datos preparados'!M309</f>
        <v/>
      </c>
      <c r="O316" s="7">
        <f>'1 datos preparados'!N309</f>
        <v/>
      </c>
      <c r="P316" s="7">
        <f>'1 datos preparados'!O309</f>
        <v/>
      </c>
      <c r="Q316" s="7">
        <f>'1 datos preparados'!P309</f>
        <v/>
      </c>
      <c r="R316" s="7">
        <f>'1 datos preparados'!Q309</f>
        <v/>
      </c>
      <c r="S316" s="7">
        <f>'1 datos preparados'!R309</f>
        <v/>
      </c>
      <c r="T316" s="7">
        <f>'1 datos preparados'!S309</f>
        <v/>
      </c>
      <c r="U316" s="7">
        <f>'1 datos preparados'!T309</f>
        <v/>
      </c>
      <c r="V316" s="8">
        <f>$AE$12+D316*$AE$13+E316*$AE$14+F316*$AE$15+G316*$AE$16+H316*$AE$17+I316*$AE$18+J316*$AE$19+K316*$AE$20+L316*$AE$21+M316*$AE$22+N316*$AE$23+O316*$AE$24+P316*$AE$25+Q316*$AE$26+R316*$AE$27+S316*$AE$28+T316*$AE$29+U316*$AE$30</f>
        <v/>
      </c>
      <c r="W316" s="8">
        <f>1/(1+EXP(-V316))</f>
        <v/>
      </c>
      <c r="X316" s="9">
        <f>-IF(C316=1,LN(W316),LN(1-W316))</f>
        <v/>
      </c>
      <c r="Y316" s="8">
        <f>1</f>
        <v/>
      </c>
      <c r="Z316" s="9">
        <f>Y316*X316</f>
        <v/>
      </c>
      <c r="AA316" s="10">
        <f>IF(W316&gt;$AE$32,1,0)</f>
        <v/>
      </c>
      <c r="AB316">
        <f>IF(AA316=C316,1,0)</f>
        <v/>
      </c>
    </row>
    <row r="317">
      <c r="A317">
        <f>'1 datos preparados'!A310</f>
        <v/>
      </c>
      <c r="B317" s="5">
        <f>'1 datos preparados'!U310</f>
        <v/>
      </c>
      <c r="C317">
        <f>'1 datos preparados'!B310</f>
        <v/>
      </c>
      <c r="D317" s="7">
        <f>'1 datos preparados'!C310</f>
        <v/>
      </c>
      <c r="E317" s="7">
        <f>'1 datos preparados'!D310</f>
        <v/>
      </c>
      <c r="F317" s="7">
        <f>'1 datos preparados'!E310</f>
        <v/>
      </c>
      <c r="G317" s="7">
        <f>'1 datos preparados'!F310</f>
        <v/>
      </c>
      <c r="H317" s="7">
        <f>'1 datos preparados'!G310</f>
        <v/>
      </c>
      <c r="I317" s="7">
        <f>'1 datos preparados'!H310</f>
        <v/>
      </c>
      <c r="J317" s="7">
        <f>'1 datos preparados'!I310</f>
        <v/>
      </c>
      <c r="K317" s="7">
        <f>'1 datos preparados'!J310</f>
        <v/>
      </c>
      <c r="L317" s="7">
        <f>'1 datos preparados'!K310</f>
        <v/>
      </c>
      <c r="M317" s="7">
        <f>'1 datos preparados'!L310</f>
        <v/>
      </c>
      <c r="N317" s="7">
        <f>'1 datos preparados'!M310</f>
        <v/>
      </c>
      <c r="O317" s="7">
        <f>'1 datos preparados'!N310</f>
        <v/>
      </c>
      <c r="P317" s="7">
        <f>'1 datos preparados'!O310</f>
        <v/>
      </c>
      <c r="Q317" s="7">
        <f>'1 datos preparados'!P310</f>
        <v/>
      </c>
      <c r="R317" s="7">
        <f>'1 datos preparados'!Q310</f>
        <v/>
      </c>
      <c r="S317" s="7">
        <f>'1 datos preparados'!R310</f>
        <v/>
      </c>
      <c r="T317" s="7">
        <f>'1 datos preparados'!S310</f>
        <v/>
      </c>
      <c r="U317" s="7">
        <f>'1 datos preparados'!T310</f>
        <v/>
      </c>
      <c r="V317" s="8">
        <f>$AE$12+D317*$AE$13+E317*$AE$14+F317*$AE$15+G317*$AE$16+H317*$AE$17+I317*$AE$18+J317*$AE$19+K317*$AE$20+L317*$AE$21+M317*$AE$22+N317*$AE$23+O317*$AE$24+P317*$AE$25+Q317*$AE$26+R317*$AE$27+S317*$AE$28+T317*$AE$29+U317*$AE$30</f>
        <v/>
      </c>
      <c r="W317" s="8">
        <f>1/(1+EXP(-V317))</f>
        <v/>
      </c>
      <c r="X317" s="9">
        <f>-IF(C317=1,LN(W317),LN(1-W317))</f>
        <v/>
      </c>
      <c r="Y317" s="8">
        <f>1</f>
        <v/>
      </c>
      <c r="Z317" s="9">
        <f>Y317*X317</f>
        <v/>
      </c>
      <c r="AA317" s="10">
        <f>IF(W317&gt;$AE$32,1,0)</f>
        <v/>
      </c>
      <c r="AB317">
        <f>IF(AA317=C317,1,0)</f>
        <v/>
      </c>
    </row>
    <row r="318">
      <c r="A318">
        <f>'1 datos preparados'!A311</f>
        <v/>
      </c>
      <c r="B318" s="5">
        <f>'1 datos preparados'!U311</f>
        <v/>
      </c>
      <c r="C318">
        <f>'1 datos preparados'!B311</f>
        <v/>
      </c>
      <c r="D318" s="7">
        <f>'1 datos preparados'!C311</f>
        <v/>
      </c>
      <c r="E318" s="7">
        <f>'1 datos preparados'!D311</f>
        <v/>
      </c>
      <c r="F318" s="7">
        <f>'1 datos preparados'!E311</f>
        <v/>
      </c>
      <c r="G318" s="7">
        <f>'1 datos preparados'!F311</f>
        <v/>
      </c>
      <c r="H318" s="7">
        <f>'1 datos preparados'!G311</f>
        <v/>
      </c>
      <c r="I318" s="7">
        <f>'1 datos preparados'!H311</f>
        <v/>
      </c>
      <c r="J318" s="7">
        <f>'1 datos preparados'!I311</f>
        <v/>
      </c>
      <c r="K318" s="7">
        <f>'1 datos preparados'!J311</f>
        <v/>
      </c>
      <c r="L318" s="7">
        <f>'1 datos preparados'!K311</f>
        <v/>
      </c>
      <c r="M318" s="7">
        <f>'1 datos preparados'!L311</f>
        <v/>
      </c>
      <c r="N318" s="7">
        <f>'1 datos preparados'!M311</f>
        <v/>
      </c>
      <c r="O318" s="7">
        <f>'1 datos preparados'!N311</f>
        <v/>
      </c>
      <c r="P318" s="7">
        <f>'1 datos preparados'!O311</f>
        <v/>
      </c>
      <c r="Q318" s="7">
        <f>'1 datos preparados'!P311</f>
        <v/>
      </c>
      <c r="R318" s="7">
        <f>'1 datos preparados'!Q311</f>
        <v/>
      </c>
      <c r="S318" s="7">
        <f>'1 datos preparados'!R311</f>
        <v/>
      </c>
      <c r="T318" s="7">
        <f>'1 datos preparados'!S311</f>
        <v/>
      </c>
      <c r="U318" s="7">
        <f>'1 datos preparados'!T311</f>
        <v/>
      </c>
      <c r="V318" s="8">
        <f>$AE$12+D318*$AE$13+E318*$AE$14+F318*$AE$15+G318*$AE$16+H318*$AE$17+I318*$AE$18+J318*$AE$19+K318*$AE$20+L318*$AE$21+M318*$AE$22+N318*$AE$23+O318*$AE$24+P318*$AE$25+Q318*$AE$26+R318*$AE$27+S318*$AE$28+T318*$AE$29+U318*$AE$30</f>
        <v/>
      </c>
      <c r="W318" s="8">
        <f>1/(1+EXP(-V318))</f>
        <v/>
      </c>
      <c r="X318" s="9">
        <f>-IF(C318=1,LN(W318),LN(1-W318))</f>
        <v/>
      </c>
      <c r="Y318" s="8">
        <f>1</f>
        <v/>
      </c>
      <c r="Z318" s="9">
        <f>Y318*X318</f>
        <v/>
      </c>
      <c r="AA318" s="10">
        <f>IF(W318&gt;$AE$32,1,0)</f>
        <v/>
      </c>
      <c r="AB318">
        <f>IF(AA318=C318,1,0)</f>
        <v/>
      </c>
    </row>
    <row r="319">
      <c r="A319">
        <f>'1 datos preparados'!A312</f>
        <v/>
      </c>
      <c r="B319" s="5">
        <f>'1 datos preparados'!U312</f>
        <v/>
      </c>
      <c r="C319">
        <f>'1 datos preparados'!B312</f>
        <v/>
      </c>
      <c r="D319" s="7">
        <f>'1 datos preparados'!C312</f>
        <v/>
      </c>
      <c r="E319" s="7">
        <f>'1 datos preparados'!D312</f>
        <v/>
      </c>
      <c r="F319" s="7">
        <f>'1 datos preparados'!E312</f>
        <v/>
      </c>
      <c r="G319" s="7">
        <f>'1 datos preparados'!F312</f>
        <v/>
      </c>
      <c r="H319" s="7">
        <f>'1 datos preparados'!G312</f>
        <v/>
      </c>
      <c r="I319" s="7">
        <f>'1 datos preparados'!H312</f>
        <v/>
      </c>
      <c r="J319" s="7">
        <f>'1 datos preparados'!I312</f>
        <v/>
      </c>
      <c r="K319" s="7">
        <f>'1 datos preparados'!J312</f>
        <v/>
      </c>
      <c r="L319" s="7">
        <f>'1 datos preparados'!K312</f>
        <v/>
      </c>
      <c r="M319" s="7">
        <f>'1 datos preparados'!L312</f>
        <v/>
      </c>
      <c r="N319" s="7">
        <f>'1 datos preparados'!M312</f>
        <v/>
      </c>
      <c r="O319" s="7">
        <f>'1 datos preparados'!N312</f>
        <v/>
      </c>
      <c r="P319" s="7">
        <f>'1 datos preparados'!O312</f>
        <v/>
      </c>
      <c r="Q319" s="7">
        <f>'1 datos preparados'!P312</f>
        <v/>
      </c>
      <c r="R319" s="7">
        <f>'1 datos preparados'!Q312</f>
        <v/>
      </c>
      <c r="S319" s="7">
        <f>'1 datos preparados'!R312</f>
        <v/>
      </c>
      <c r="T319" s="7">
        <f>'1 datos preparados'!S312</f>
        <v/>
      </c>
      <c r="U319" s="7">
        <f>'1 datos preparados'!T312</f>
        <v/>
      </c>
      <c r="V319" s="8">
        <f>$AE$12+D319*$AE$13+E319*$AE$14+F319*$AE$15+G319*$AE$16+H319*$AE$17+I319*$AE$18+J319*$AE$19+K319*$AE$20+L319*$AE$21+M319*$AE$22+N319*$AE$23+O319*$AE$24+P319*$AE$25+Q319*$AE$26+R319*$AE$27+S319*$AE$28+T319*$AE$29+U319*$AE$30</f>
        <v/>
      </c>
      <c r="W319" s="8">
        <f>1/(1+EXP(-V319))</f>
        <v/>
      </c>
      <c r="X319" s="9">
        <f>-IF(C319=1,LN(W319),LN(1-W319))</f>
        <v/>
      </c>
      <c r="Y319" s="8">
        <f>1</f>
        <v/>
      </c>
      <c r="Z319" s="9">
        <f>Y319*X319</f>
        <v/>
      </c>
      <c r="AA319" s="10">
        <f>IF(W319&gt;$AE$32,1,0)</f>
        <v/>
      </c>
      <c r="AB319">
        <f>IF(AA319=C319,1,0)</f>
        <v/>
      </c>
    </row>
    <row r="320">
      <c r="A320">
        <f>'1 datos preparados'!A313</f>
        <v/>
      </c>
      <c r="B320" s="5">
        <f>'1 datos preparados'!U313</f>
        <v/>
      </c>
      <c r="C320">
        <f>'1 datos preparados'!B313</f>
        <v/>
      </c>
      <c r="D320" s="7">
        <f>'1 datos preparados'!C313</f>
        <v/>
      </c>
      <c r="E320" s="7">
        <f>'1 datos preparados'!D313</f>
        <v/>
      </c>
      <c r="F320" s="7">
        <f>'1 datos preparados'!E313</f>
        <v/>
      </c>
      <c r="G320" s="7">
        <f>'1 datos preparados'!F313</f>
        <v/>
      </c>
      <c r="H320" s="7">
        <f>'1 datos preparados'!G313</f>
        <v/>
      </c>
      <c r="I320" s="7">
        <f>'1 datos preparados'!H313</f>
        <v/>
      </c>
      <c r="J320" s="7">
        <f>'1 datos preparados'!I313</f>
        <v/>
      </c>
      <c r="K320" s="7">
        <f>'1 datos preparados'!J313</f>
        <v/>
      </c>
      <c r="L320" s="7">
        <f>'1 datos preparados'!K313</f>
        <v/>
      </c>
      <c r="M320" s="7">
        <f>'1 datos preparados'!L313</f>
        <v/>
      </c>
      <c r="N320" s="7">
        <f>'1 datos preparados'!M313</f>
        <v/>
      </c>
      <c r="O320" s="7">
        <f>'1 datos preparados'!N313</f>
        <v/>
      </c>
      <c r="P320" s="7">
        <f>'1 datos preparados'!O313</f>
        <v/>
      </c>
      <c r="Q320" s="7">
        <f>'1 datos preparados'!P313</f>
        <v/>
      </c>
      <c r="R320" s="7">
        <f>'1 datos preparados'!Q313</f>
        <v/>
      </c>
      <c r="S320" s="7">
        <f>'1 datos preparados'!R313</f>
        <v/>
      </c>
      <c r="T320" s="7">
        <f>'1 datos preparados'!S313</f>
        <v/>
      </c>
      <c r="U320" s="7">
        <f>'1 datos preparados'!T313</f>
        <v/>
      </c>
      <c r="V320" s="8">
        <f>$AE$12+D320*$AE$13+E320*$AE$14+F320*$AE$15+G320*$AE$16+H320*$AE$17+I320*$AE$18+J320*$AE$19+K320*$AE$20+L320*$AE$21+M320*$AE$22+N320*$AE$23+O320*$AE$24+P320*$AE$25+Q320*$AE$26+R320*$AE$27+S320*$AE$28+T320*$AE$29+U320*$AE$30</f>
        <v/>
      </c>
      <c r="W320" s="8">
        <f>1/(1+EXP(-V320))</f>
        <v/>
      </c>
      <c r="X320" s="9">
        <f>-IF(C320=1,LN(W320),LN(1-W320))</f>
        <v/>
      </c>
      <c r="Y320" s="8">
        <f>1</f>
        <v/>
      </c>
      <c r="Z320" s="9">
        <f>Y320*X320</f>
        <v/>
      </c>
      <c r="AA320" s="10">
        <f>IF(W320&gt;$AE$32,1,0)</f>
        <v/>
      </c>
      <c r="AB320">
        <f>IF(AA320=C320,1,0)</f>
        <v/>
      </c>
    </row>
    <row r="321">
      <c r="A321">
        <f>'1 datos preparados'!A314</f>
        <v/>
      </c>
      <c r="B321" s="5">
        <f>'1 datos preparados'!U314</f>
        <v/>
      </c>
      <c r="C321">
        <f>'1 datos preparados'!B314</f>
        <v/>
      </c>
      <c r="D321" s="7">
        <f>'1 datos preparados'!C314</f>
        <v/>
      </c>
      <c r="E321" s="7">
        <f>'1 datos preparados'!D314</f>
        <v/>
      </c>
      <c r="F321" s="7">
        <f>'1 datos preparados'!E314</f>
        <v/>
      </c>
      <c r="G321" s="7">
        <f>'1 datos preparados'!F314</f>
        <v/>
      </c>
      <c r="H321" s="7">
        <f>'1 datos preparados'!G314</f>
        <v/>
      </c>
      <c r="I321" s="7">
        <f>'1 datos preparados'!H314</f>
        <v/>
      </c>
      <c r="J321" s="7">
        <f>'1 datos preparados'!I314</f>
        <v/>
      </c>
      <c r="K321" s="7">
        <f>'1 datos preparados'!J314</f>
        <v/>
      </c>
      <c r="L321" s="7">
        <f>'1 datos preparados'!K314</f>
        <v/>
      </c>
      <c r="M321" s="7">
        <f>'1 datos preparados'!L314</f>
        <v/>
      </c>
      <c r="N321" s="7">
        <f>'1 datos preparados'!M314</f>
        <v/>
      </c>
      <c r="O321" s="7">
        <f>'1 datos preparados'!N314</f>
        <v/>
      </c>
      <c r="P321" s="7">
        <f>'1 datos preparados'!O314</f>
        <v/>
      </c>
      <c r="Q321" s="7">
        <f>'1 datos preparados'!P314</f>
        <v/>
      </c>
      <c r="R321" s="7">
        <f>'1 datos preparados'!Q314</f>
        <v/>
      </c>
      <c r="S321" s="7">
        <f>'1 datos preparados'!R314</f>
        <v/>
      </c>
      <c r="T321" s="7">
        <f>'1 datos preparados'!S314</f>
        <v/>
      </c>
      <c r="U321" s="7">
        <f>'1 datos preparados'!T314</f>
        <v/>
      </c>
      <c r="V321" s="8">
        <f>$AE$12+D321*$AE$13+E321*$AE$14+F321*$AE$15+G321*$AE$16+H321*$AE$17+I321*$AE$18+J321*$AE$19+K321*$AE$20+L321*$AE$21+M321*$AE$22+N321*$AE$23+O321*$AE$24+P321*$AE$25+Q321*$AE$26+R321*$AE$27+S321*$AE$28+T321*$AE$29+U321*$AE$30</f>
        <v/>
      </c>
      <c r="W321" s="8">
        <f>1/(1+EXP(-V321))</f>
        <v/>
      </c>
      <c r="X321" s="9">
        <f>-IF(C321=1,LN(W321),LN(1-W321))</f>
        <v/>
      </c>
      <c r="Y321" s="8">
        <f>1</f>
        <v/>
      </c>
      <c r="Z321" s="9">
        <f>Y321*X321</f>
        <v/>
      </c>
      <c r="AA321" s="10">
        <f>IF(W321&gt;$AE$32,1,0)</f>
        <v/>
      </c>
      <c r="AB321">
        <f>IF(AA321=C321,1,0)</f>
        <v/>
      </c>
    </row>
    <row r="322">
      <c r="A322">
        <f>'1 datos preparados'!A315</f>
        <v/>
      </c>
      <c r="B322" s="5">
        <f>'1 datos preparados'!U315</f>
        <v/>
      </c>
      <c r="C322">
        <f>'1 datos preparados'!B315</f>
        <v/>
      </c>
      <c r="D322" s="7">
        <f>'1 datos preparados'!C315</f>
        <v/>
      </c>
      <c r="E322" s="7">
        <f>'1 datos preparados'!D315</f>
        <v/>
      </c>
      <c r="F322" s="7">
        <f>'1 datos preparados'!E315</f>
        <v/>
      </c>
      <c r="G322" s="7">
        <f>'1 datos preparados'!F315</f>
        <v/>
      </c>
      <c r="H322" s="7">
        <f>'1 datos preparados'!G315</f>
        <v/>
      </c>
      <c r="I322" s="7">
        <f>'1 datos preparados'!H315</f>
        <v/>
      </c>
      <c r="J322" s="7">
        <f>'1 datos preparados'!I315</f>
        <v/>
      </c>
      <c r="K322" s="7">
        <f>'1 datos preparados'!J315</f>
        <v/>
      </c>
      <c r="L322" s="7">
        <f>'1 datos preparados'!K315</f>
        <v/>
      </c>
      <c r="M322" s="7">
        <f>'1 datos preparados'!L315</f>
        <v/>
      </c>
      <c r="N322" s="7">
        <f>'1 datos preparados'!M315</f>
        <v/>
      </c>
      <c r="O322" s="7">
        <f>'1 datos preparados'!N315</f>
        <v/>
      </c>
      <c r="P322" s="7">
        <f>'1 datos preparados'!O315</f>
        <v/>
      </c>
      <c r="Q322" s="7">
        <f>'1 datos preparados'!P315</f>
        <v/>
      </c>
      <c r="R322" s="7">
        <f>'1 datos preparados'!Q315</f>
        <v/>
      </c>
      <c r="S322" s="7">
        <f>'1 datos preparados'!R315</f>
        <v/>
      </c>
      <c r="T322" s="7">
        <f>'1 datos preparados'!S315</f>
        <v/>
      </c>
      <c r="U322" s="7">
        <f>'1 datos preparados'!T315</f>
        <v/>
      </c>
      <c r="V322" s="8">
        <f>$AE$12+D322*$AE$13+E322*$AE$14+F322*$AE$15+G322*$AE$16+H322*$AE$17+I322*$AE$18+J322*$AE$19+K322*$AE$20+L322*$AE$21+M322*$AE$22+N322*$AE$23+O322*$AE$24+P322*$AE$25+Q322*$AE$26+R322*$AE$27+S322*$AE$28+T322*$AE$29+U322*$AE$30</f>
        <v/>
      </c>
      <c r="W322" s="8">
        <f>1/(1+EXP(-V322))</f>
        <v/>
      </c>
      <c r="X322" s="9">
        <f>-IF(C322=1,LN(W322),LN(1-W322))</f>
        <v/>
      </c>
      <c r="Y322" s="8">
        <f>1</f>
        <v/>
      </c>
      <c r="Z322" s="9">
        <f>Y322*X322</f>
        <v/>
      </c>
      <c r="AA322" s="10">
        <f>IF(W322&gt;$AE$32,1,0)</f>
        <v/>
      </c>
      <c r="AB322">
        <f>IF(AA322=C322,1,0)</f>
        <v/>
      </c>
    </row>
    <row r="323">
      <c r="A323">
        <f>'1 datos preparados'!A316</f>
        <v/>
      </c>
      <c r="B323" s="5">
        <f>'1 datos preparados'!U316</f>
        <v/>
      </c>
      <c r="C323">
        <f>'1 datos preparados'!B316</f>
        <v/>
      </c>
      <c r="D323" s="7">
        <f>'1 datos preparados'!C316</f>
        <v/>
      </c>
      <c r="E323" s="7">
        <f>'1 datos preparados'!D316</f>
        <v/>
      </c>
      <c r="F323" s="7">
        <f>'1 datos preparados'!E316</f>
        <v/>
      </c>
      <c r="G323" s="7">
        <f>'1 datos preparados'!F316</f>
        <v/>
      </c>
      <c r="H323" s="7">
        <f>'1 datos preparados'!G316</f>
        <v/>
      </c>
      <c r="I323" s="7">
        <f>'1 datos preparados'!H316</f>
        <v/>
      </c>
      <c r="J323" s="7">
        <f>'1 datos preparados'!I316</f>
        <v/>
      </c>
      <c r="K323" s="7">
        <f>'1 datos preparados'!J316</f>
        <v/>
      </c>
      <c r="L323" s="7">
        <f>'1 datos preparados'!K316</f>
        <v/>
      </c>
      <c r="M323" s="7">
        <f>'1 datos preparados'!L316</f>
        <v/>
      </c>
      <c r="N323" s="7">
        <f>'1 datos preparados'!M316</f>
        <v/>
      </c>
      <c r="O323" s="7">
        <f>'1 datos preparados'!N316</f>
        <v/>
      </c>
      <c r="P323" s="7">
        <f>'1 datos preparados'!O316</f>
        <v/>
      </c>
      <c r="Q323" s="7">
        <f>'1 datos preparados'!P316</f>
        <v/>
      </c>
      <c r="R323" s="7">
        <f>'1 datos preparados'!Q316</f>
        <v/>
      </c>
      <c r="S323" s="7">
        <f>'1 datos preparados'!R316</f>
        <v/>
      </c>
      <c r="T323" s="7">
        <f>'1 datos preparados'!S316</f>
        <v/>
      </c>
      <c r="U323" s="7">
        <f>'1 datos preparados'!T316</f>
        <v/>
      </c>
      <c r="V323" s="8">
        <f>$AE$12+D323*$AE$13+E323*$AE$14+F323*$AE$15+G323*$AE$16+H323*$AE$17+I323*$AE$18+J323*$AE$19+K323*$AE$20+L323*$AE$21+M323*$AE$22+N323*$AE$23+O323*$AE$24+P323*$AE$25+Q323*$AE$26+R323*$AE$27+S323*$AE$28+T323*$AE$29+U323*$AE$30</f>
        <v/>
      </c>
      <c r="W323" s="8">
        <f>1/(1+EXP(-V323))</f>
        <v/>
      </c>
      <c r="X323" s="9">
        <f>-IF(C323=1,LN(W323),LN(1-W323))</f>
        <v/>
      </c>
      <c r="Y323" s="8">
        <f>1</f>
        <v/>
      </c>
      <c r="Z323" s="9">
        <f>Y323*X323</f>
        <v/>
      </c>
      <c r="AA323" s="10">
        <f>IF(W323&gt;$AE$32,1,0)</f>
        <v/>
      </c>
      <c r="AB323">
        <f>IF(AA323=C323,1,0)</f>
        <v/>
      </c>
    </row>
    <row r="324">
      <c r="A324">
        <f>'1 datos preparados'!A317</f>
        <v/>
      </c>
      <c r="B324" s="5">
        <f>'1 datos preparados'!U317</f>
        <v/>
      </c>
      <c r="C324">
        <f>'1 datos preparados'!B317</f>
        <v/>
      </c>
      <c r="D324" s="7">
        <f>'1 datos preparados'!C317</f>
        <v/>
      </c>
      <c r="E324" s="7">
        <f>'1 datos preparados'!D317</f>
        <v/>
      </c>
      <c r="F324" s="7">
        <f>'1 datos preparados'!E317</f>
        <v/>
      </c>
      <c r="G324" s="7">
        <f>'1 datos preparados'!F317</f>
        <v/>
      </c>
      <c r="H324" s="7">
        <f>'1 datos preparados'!G317</f>
        <v/>
      </c>
      <c r="I324" s="7">
        <f>'1 datos preparados'!H317</f>
        <v/>
      </c>
      <c r="J324" s="7">
        <f>'1 datos preparados'!I317</f>
        <v/>
      </c>
      <c r="K324" s="7">
        <f>'1 datos preparados'!J317</f>
        <v/>
      </c>
      <c r="L324" s="7">
        <f>'1 datos preparados'!K317</f>
        <v/>
      </c>
      <c r="M324" s="7">
        <f>'1 datos preparados'!L317</f>
        <v/>
      </c>
      <c r="N324" s="7">
        <f>'1 datos preparados'!M317</f>
        <v/>
      </c>
      <c r="O324" s="7">
        <f>'1 datos preparados'!N317</f>
        <v/>
      </c>
      <c r="P324" s="7">
        <f>'1 datos preparados'!O317</f>
        <v/>
      </c>
      <c r="Q324" s="7">
        <f>'1 datos preparados'!P317</f>
        <v/>
      </c>
      <c r="R324" s="7">
        <f>'1 datos preparados'!Q317</f>
        <v/>
      </c>
      <c r="S324" s="7">
        <f>'1 datos preparados'!R317</f>
        <v/>
      </c>
      <c r="T324" s="7">
        <f>'1 datos preparados'!S317</f>
        <v/>
      </c>
      <c r="U324" s="7">
        <f>'1 datos preparados'!T317</f>
        <v/>
      </c>
      <c r="V324" s="8">
        <f>$AE$12+D324*$AE$13+E324*$AE$14+F324*$AE$15+G324*$AE$16+H324*$AE$17+I324*$AE$18+J324*$AE$19+K324*$AE$20+L324*$AE$21+M324*$AE$22+N324*$AE$23+O324*$AE$24+P324*$AE$25+Q324*$AE$26+R324*$AE$27+S324*$AE$28+T324*$AE$29+U324*$AE$30</f>
        <v/>
      </c>
      <c r="W324" s="8">
        <f>1/(1+EXP(-V324))</f>
        <v/>
      </c>
      <c r="X324" s="9">
        <f>-IF(C324=1,LN(W324),LN(1-W324))</f>
        <v/>
      </c>
      <c r="Y324" s="8">
        <f>1</f>
        <v/>
      </c>
      <c r="Z324" s="9">
        <f>Y324*X324</f>
        <v/>
      </c>
      <c r="AA324" s="10">
        <f>IF(W324&gt;$AE$32,1,0)</f>
        <v/>
      </c>
      <c r="AB324">
        <f>IF(AA324=C324,1,0)</f>
        <v/>
      </c>
    </row>
    <row r="325">
      <c r="A325">
        <f>'1 datos preparados'!A318</f>
        <v/>
      </c>
      <c r="B325" s="5">
        <f>'1 datos preparados'!U318</f>
        <v/>
      </c>
      <c r="C325">
        <f>'1 datos preparados'!B318</f>
        <v/>
      </c>
      <c r="D325" s="7">
        <f>'1 datos preparados'!C318</f>
        <v/>
      </c>
      <c r="E325" s="7">
        <f>'1 datos preparados'!D318</f>
        <v/>
      </c>
      <c r="F325" s="7">
        <f>'1 datos preparados'!E318</f>
        <v/>
      </c>
      <c r="G325" s="7">
        <f>'1 datos preparados'!F318</f>
        <v/>
      </c>
      <c r="H325" s="7">
        <f>'1 datos preparados'!G318</f>
        <v/>
      </c>
      <c r="I325" s="7">
        <f>'1 datos preparados'!H318</f>
        <v/>
      </c>
      <c r="J325" s="7">
        <f>'1 datos preparados'!I318</f>
        <v/>
      </c>
      <c r="K325" s="7">
        <f>'1 datos preparados'!J318</f>
        <v/>
      </c>
      <c r="L325" s="7">
        <f>'1 datos preparados'!K318</f>
        <v/>
      </c>
      <c r="M325" s="7">
        <f>'1 datos preparados'!L318</f>
        <v/>
      </c>
      <c r="N325" s="7">
        <f>'1 datos preparados'!M318</f>
        <v/>
      </c>
      <c r="O325" s="7">
        <f>'1 datos preparados'!N318</f>
        <v/>
      </c>
      <c r="P325" s="7">
        <f>'1 datos preparados'!O318</f>
        <v/>
      </c>
      <c r="Q325" s="7">
        <f>'1 datos preparados'!P318</f>
        <v/>
      </c>
      <c r="R325" s="7">
        <f>'1 datos preparados'!Q318</f>
        <v/>
      </c>
      <c r="S325" s="7">
        <f>'1 datos preparados'!R318</f>
        <v/>
      </c>
      <c r="T325" s="7">
        <f>'1 datos preparados'!S318</f>
        <v/>
      </c>
      <c r="U325" s="7">
        <f>'1 datos preparados'!T318</f>
        <v/>
      </c>
      <c r="V325" s="8">
        <f>$AE$12+D325*$AE$13+E325*$AE$14+F325*$AE$15+G325*$AE$16+H325*$AE$17+I325*$AE$18+J325*$AE$19+K325*$AE$20+L325*$AE$21+M325*$AE$22+N325*$AE$23+O325*$AE$24+P325*$AE$25+Q325*$AE$26+R325*$AE$27+S325*$AE$28+T325*$AE$29+U325*$AE$30</f>
        <v/>
      </c>
      <c r="W325" s="8">
        <f>1/(1+EXP(-V325))</f>
        <v/>
      </c>
      <c r="X325" s="9">
        <f>-IF(C325=1,LN(W325),LN(1-W325))</f>
        <v/>
      </c>
      <c r="Y325" s="8">
        <f>1</f>
        <v/>
      </c>
      <c r="Z325" s="9">
        <f>Y325*X325</f>
        <v/>
      </c>
      <c r="AA325" s="10">
        <f>IF(W325&gt;$AE$32,1,0)</f>
        <v/>
      </c>
      <c r="AB325">
        <f>IF(AA325=C325,1,0)</f>
        <v/>
      </c>
    </row>
    <row r="326">
      <c r="A326">
        <f>'1 datos preparados'!A319</f>
        <v/>
      </c>
      <c r="B326" s="5">
        <f>'1 datos preparados'!U319</f>
        <v/>
      </c>
      <c r="C326">
        <f>'1 datos preparados'!B319</f>
        <v/>
      </c>
      <c r="D326" s="7">
        <f>'1 datos preparados'!C319</f>
        <v/>
      </c>
      <c r="E326" s="7">
        <f>'1 datos preparados'!D319</f>
        <v/>
      </c>
      <c r="F326" s="7">
        <f>'1 datos preparados'!E319</f>
        <v/>
      </c>
      <c r="G326" s="7">
        <f>'1 datos preparados'!F319</f>
        <v/>
      </c>
      <c r="H326" s="7">
        <f>'1 datos preparados'!G319</f>
        <v/>
      </c>
      <c r="I326" s="7">
        <f>'1 datos preparados'!H319</f>
        <v/>
      </c>
      <c r="J326" s="7">
        <f>'1 datos preparados'!I319</f>
        <v/>
      </c>
      <c r="K326" s="7">
        <f>'1 datos preparados'!J319</f>
        <v/>
      </c>
      <c r="L326" s="7">
        <f>'1 datos preparados'!K319</f>
        <v/>
      </c>
      <c r="M326" s="7">
        <f>'1 datos preparados'!L319</f>
        <v/>
      </c>
      <c r="N326" s="7">
        <f>'1 datos preparados'!M319</f>
        <v/>
      </c>
      <c r="O326" s="7">
        <f>'1 datos preparados'!N319</f>
        <v/>
      </c>
      <c r="P326" s="7">
        <f>'1 datos preparados'!O319</f>
        <v/>
      </c>
      <c r="Q326" s="7">
        <f>'1 datos preparados'!P319</f>
        <v/>
      </c>
      <c r="R326" s="7">
        <f>'1 datos preparados'!Q319</f>
        <v/>
      </c>
      <c r="S326" s="7">
        <f>'1 datos preparados'!R319</f>
        <v/>
      </c>
      <c r="T326" s="7">
        <f>'1 datos preparados'!S319</f>
        <v/>
      </c>
      <c r="U326" s="7">
        <f>'1 datos preparados'!T319</f>
        <v/>
      </c>
      <c r="V326" s="8">
        <f>$AE$12+D326*$AE$13+E326*$AE$14+F326*$AE$15+G326*$AE$16+H326*$AE$17+I326*$AE$18+J326*$AE$19+K326*$AE$20+L326*$AE$21+M326*$AE$22+N326*$AE$23+O326*$AE$24+P326*$AE$25+Q326*$AE$26+R326*$AE$27+S326*$AE$28+T326*$AE$29+U326*$AE$30</f>
        <v/>
      </c>
      <c r="W326" s="8">
        <f>1/(1+EXP(-V326))</f>
        <v/>
      </c>
      <c r="X326" s="9">
        <f>-IF(C326=1,LN(W326),LN(1-W326))</f>
        <v/>
      </c>
      <c r="Y326" s="8">
        <f>1</f>
        <v/>
      </c>
      <c r="Z326" s="9">
        <f>Y326*X326</f>
        <v/>
      </c>
      <c r="AA326" s="10">
        <f>IF(W326&gt;$AE$32,1,0)</f>
        <v/>
      </c>
      <c r="AB326">
        <f>IF(AA326=C326,1,0)</f>
        <v/>
      </c>
    </row>
    <row r="327">
      <c r="A327">
        <f>'1 datos preparados'!A320</f>
        <v/>
      </c>
      <c r="B327" s="5">
        <f>'1 datos preparados'!U320</f>
        <v/>
      </c>
      <c r="C327">
        <f>'1 datos preparados'!B320</f>
        <v/>
      </c>
      <c r="D327" s="7">
        <f>'1 datos preparados'!C320</f>
        <v/>
      </c>
      <c r="E327" s="7">
        <f>'1 datos preparados'!D320</f>
        <v/>
      </c>
      <c r="F327" s="7">
        <f>'1 datos preparados'!E320</f>
        <v/>
      </c>
      <c r="G327" s="7">
        <f>'1 datos preparados'!F320</f>
        <v/>
      </c>
      <c r="H327" s="7">
        <f>'1 datos preparados'!G320</f>
        <v/>
      </c>
      <c r="I327" s="7">
        <f>'1 datos preparados'!H320</f>
        <v/>
      </c>
      <c r="J327" s="7">
        <f>'1 datos preparados'!I320</f>
        <v/>
      </c>
      <c r="K327" s="7">
        <f>'1 datos preparados'!J320</f>
        <v/>
      </c>
      <c r="L327" s="7">
        <f>'1 datos preparados'!K320</f>
        <v/>
      </c>
      <c r="M327" s="7">
        <f>'1 datos preparados'!L320</f>
        <v/>
      </c>
      <c r="N327" s="7">
        <f>'1 datos preparados'!M320</f>
        <v/>
      </c>
      <c r="O327" s="7">
        <f>'1 datos preparados'!N320</f>
        <v/>
      </c>
      <c r="P327" s="7">
        <f>'1 datos preparados'!O320</f>
        <v/>
      </c>
      <c r="Q327" s="7">
        <f>'1 datos preparados'!P320</f>
        <v/>
      </c>
      <c r="R327" s="7">
        <f>'1 datos preparados'!Q320</f>
        <v/>
      </c>
      <c r="S327" s="7">
        <f>'1 datos preparados'!R320</f>
        <v/>
      </c>
      <c r="T327" s="7">
        <f>'1 datos preparados'!S320</f>
        <v/>
      </c>
      <c r="U327" s="7">
        <f>'1 datos preparados'!T320</f>
        <v/>
      </c>
      <c r="V327" s="8">
        <f>$AE$12+D327*$AE$13+E327*$AE$14+F327*$AE$15+G327*$AE$16+H327*$AE$17+I327*$AE$18+J327*$AE$19+K327*$AE$20+L327*$AE$21+M327*$AE$22+N327*$AE$23+O327*$AE$24+P327*$AE$25+Q327*$AE$26+R327*$AE$27+S327*$AE$28+T327*$AE$29+U327*$AE$30</f>
        <v/>
      </c>
      <c r="W327" s="8">
        <f>1/(1+EXP(-V327))</f>
        <v/>
      </c>
      <c r="X327" s="9">
        <f>-IF(C327=1,LN(W327),LN(1-W327))</f>
        <v/>
      </c>
      <c r="Y327" s="8">
        <f>1</f>
        <v/>
      </c>
      <c r="Z327" s="9">
        <f>Y327*X327</f>
        <v/>
      </c>
      <c r="AA327" s="10">
        <f>IF(W327&gt;$AE$32,1,0)</f>
        <v/>
      </c>
      <c r="AB327">
        <f>IF(AA327=C327,1,0)</f>
        <v/>
      </c>
    </row>
    <row r="328">
      <c r="A328">
        <f>'1 datos preparados'!A321</f>
        <v/>
      </c>
      <c r="B328" s="5">
        <f>'1 datos preparados'!U321</f>
        <v/>
      </c>
      <c r="C328">
        <f>'1 datos preparados'!B321</f>
        <v/>
      </c>
      <c r="D328" s="7">
        <f>'1 datos preparados'!C321</f>
        <v/>
      </c>
      <c r="E328" s="7">
        <f>'1 datos preparados'!D321</f>
        <v/>
      </c>
      <c r="F328" s="7">
        <f>'1 datos preparados'!E321</f>
        <v/>
      </c>
      <c r="G328" s="7">
        <f>'1 datos preparados'!F321</f>
        <v/>
      </c>
      <c r="H328" s="7">
        <f>'1 datos preparados'!G321</f>
        <v/>
      </c>
      <c r="I328" s="7">
        <f>'1 datos preparados'!H321</f>
        <v/>
      </c>
      <c r="J328" s="7">
        <f>'1 datos preparados'!I321</f>
        <v/>
      </c>
      <c r="K328" s="7">
        <f>'1 datos preparados'!J321</f>
        <v/>
      </c>
      <c r="L328" s="7">
        <f>'1 datos preparados'!K321</f>
        <v/>
      </c>
      <c r="M328" s="7">
        <f>'1 datos preparados'!L321</f>
        <v/>
      </c>
      <c r="N328" s="7">
        <f>'1 datos preparados'!M321</f>
        <v/>
      </c>
      <c r="O328" s="7">
        <f>'1 datos preparados'!N321</f>
        <v/>
      </c>
      <c r="P328" s="7">
        <f>'1 datos preparados'!O321</f>
        <v/>
      </c>
      <c r="Q328" s="7">
        <f>'1 datos preparados'!P321</f>
        <v/>
      </c>
      <c r="R328" s="7">
        <f>'1 datos preparados'!Q321</f>
        <v/>
      </c>
      <c r="S328" s="7">
        <f>'1 datos preparados'!R321</f>
        <v/>
      </c>
      <c r="T328" s="7">
        <f>'1 datos preparados'!S321</f>
        <v/>
      </c>
      <c r="U328" s="7">
        <f>'1 datos preparados'!T321</f>
        <v/>
      </c>
      <c r="V328" s="8">
        <f>$AE$12+D328*$AE$13+E328*$AE$14+F328*$AE$15+G328*$AE$16+H328*$AE$17+I328*$AE$18+J328*$AE$19+K328*$AE$20+L328*$AE$21+M328*$AE$22+N328*$AE$23+O328*$AE$24+P328*$AE$25+Q328*$AE$26+R328*$AE$27+S328*$AE$28+T328*$AE$29+U328*$AE$30</f>
        <v/>
      </c>
      <c r="W328" s="8">
        <f>1/(1+EXP(-V328))</f>
        <v/>
      </c>
      <c r="X328" s="9">
        <f>-IF(C328=1,LN(W328),LN(1-W328))</f>
        <v/>
      </c>
      <c r="Y328" s="8">
        <f>1</f>
        <v/>
      </c>
      <c r="Z328" s="9">
        <f>Y328*X328</f>
        <v/>
      </c>
      <c r="AA328" s="10">
        <f>IF(W328&gt;$AE$32,1,0)</f>
        <v/>
      </c>
      <c r="AB328">
        <f>IF(AA328=C328,1,0)</f>
        <v/>
      </c>
    </row>
    <row r="329">
      <c r="A329">
        <f>'1 datos preparados'!A322</f>
        <v/>
      </c>
      <c r="B329" s="5">
        <f>'1 datos preparados'!U322</f>
        <v/>
      </c>
      <c r="C329">
        <f>'1 datos preparados'!B322</f>
        <v/>
      </c>
      <c r="D329" s="7">
        <f>'1 datos preparados'!C322</f>
        <v/>
      </c>
      <c r="E329" s="7">
        <f>'1 datos preparados'!D322</f>
        <v/>
      </c>
      <c r="F329" s="7">
        <f>'1 datos preparados'!E322</f>
        <v/>
      </c>
      <c r="G329" s="7">
        <f>'1 datos preparados'!F322</f>
        <v/>
      </c>
      <c r="H329" s="7">
        <f>'1 datos preparados'!G322</f>
        <v/>
      </c>
      <c r="I329" s="7">
        <f>'1 datos preparados'!H322</f>
        <v/>
      </c>
      <c r="J329" s="7">
        <f>'1 datos preparados'!I322</f>
        <v/>
      </c>
      <c r="K329" s="7">
        <f>'1 datos preparados'!J322</f>
        <v/>
      </c>
      <c r="L329" s="7">
        <f>'1 datos preparados'!K322</f>
        <v/>
      </c>
      <c r="M329" s="7">
        <f>'1 datos preparados'!L322</f>
        <v/>
      </c>
      <c r="N329" s="7">
        <f>'1 datos preparados'!M322</f>
        <v/>
      </c>
      <c r="O329" s="7">
        <f>'1 datos preparados'!N322</f>
        <v/>
      </c>
      <c r="P329" s="7">
        <f>'1 datos preparados'!O322</f>
        <v/>
      </c>
      <c r="Q329" s="7">
        <f>'1 datos preparados'!P322</f>
        <v/>
      </c>
      <c r="R329" s="7">
        <f>'1 datos preparados'!Q322</f>
        <v/>
      </c>
      <c r="S329" s="7">
        <f>'1 datos preparados'!R322</f>
        <v/>
      </c>
      <c r="T329" s="7">
        <f>'1 datos preparados'!S322</f>
        <v/>
      </c>
      <c r="U329" s="7">
        <f>'1 datos preparados'!T322</f>
        <v/>
      </c>
      <c r="V329" s="8">
        <f>$AE$12+D329*$AE$13+E329*$AE$14+F329*$AE$15+G329*$AE$16+H329*$AE$17+I329*$AE$18+J329*$AE$19+K329*$AE$20+L329*$AE$21+M329*$AE$22+N329*$AE$23+O329*$AE$24+P329*$AE$25+Q329*$AE$26+R329*$AE$27+S329*$AE$28+T329*$AE$29+U329*$AE$30</f>
        <v/>
      </c>
      <c r="W329" s="8">
        <f>1/(1+EXP(-V329))</f>
        <v/>
      </c>
      <c r="X329" s="9">
        <f>-IF(C329=1,LN(W329),LN(1-W329))</f>
        <v/>
      </c>
      <c r="Y329" s="8">
        <f>1</f>
        <v/>
      </c>
      <c r="Z329" s="9">
        <f>Y329*X329</f>
        <v/>
      </c>
      <c r="AA329" s="10">
        <f>IF(W329&gt;$AE$32,1,0)</f>
        <v/>
      </c>
      <c r="AB329">
        <f>IF(AA329=C329,1,0)</f>
        <v/>
      </c>
    </row>
    <row r="330">
      <c r="A330">
        <f>'1 datos preparados'!A323</f>
        <v/>
      </c>
      <c r="B330" s="5">
        <f>'1 datos preparados'!U323</f>
        <v/>
      </c>
      <c r="C330">
        <f>'1 datos preparados'!B323</f>
        <v/>
      </c>
      <c r="D330" s="7">
        <f>'1 datos preparados'!C323</f>
        <v/>
      </c>
      <c r="E330" s="7">
        <f>'1 datos preparados'!D323</f>
        <v/>
      </c>
      <c r="F330" s="7">
        <f>'1 datos preparados'!E323</f>
        <v/>
      </c>
      <c r="G330" s="7">
        <f>'1 datos preparados'!F323</f>
        <v/>
      </c>
      <c r="H330" s="7">
        <f>'1 datos preparados'!G323</f>
        <v/>
      </c>
      <c r="I330" s="7">
        <f>'1 datos preparados'!H323</f>
        <v/>
      </c>
      <c r="J330" s="7">
        <f>'1 datos preparados'!I323</f>
        <v/>
      </c>
      <c r="K330" s="7">
        <f>'1 datos preparados'!J323</f>
        <v/>
      </c>
      <c r="L330" s="7">
        <f>'1 datos preparados'!K323</f>
        <v/>
      </c>
      <c r="M330" s="7">
        <f>'1 datos preparados'!L323</f>
        <v/>
      </c>
      <c r="N330" s="7">
        <f>'1 datos preparados'!M323</f>
        <v/>
      </c>
      <c r="O330" s="7">
        <f>'1 datos preparados'!N323</f>
        <v/>
      </c>
      <c r="P330" s="7">
        <f>'1 datos preparados'!O323</f>
        <v/>
      </c>
      <c r="Q330" s="7">
        <f>'1 datos preparados'!P323</f>
        <v/>
      </c>
      <c r="R330" s="7">
        <f>'1 datos preparados'!Q323</f>
        <v/>
      </c>
      <c r="S330" s="7">
        <f>'1 datos preparados'!R323</f>
        <v/>
      </c>
      <c r="T330" s="7">
        <f>'1 datos preparados'!S323</f>
        <v/>
      </c>
      <c r="U330" s="7">
        <f>'1 datos preparados'!T323</f>
        <v/>
      </c>
      <c r="V330" s="8">
        <f>$AE$12+D330*$AE$13+E330*$AE$14+F330*$AE$15+G330*$AE$16+H330*$AE$17+I330*$AE$18+J330*$AE$19+K330*$AE$20+L330*$AE$21+M330*$AE$22+N330*$AE$23+O330*$AE$24+P330*$AE$25+Q330*$AE$26+R330*$AE$27+S330*$AE$28+T330*$AE$29+U330*$AE$30</f>
        <v/>
      </c>
      <c r="W330" s="8">
        <f>1/(1+EXP(-V330))</f>
        <v/>
      </c>
      <c r="X330" s="9">
        <f>-IF(C330=1,LN(W330),LN(1-W330))</f>
        <v/>
      </c>
      <c r="Y330" s="8">
        <f>1</f>
        <v/>
      </c>
      <c r="Z330" s="9">
        <f>Y330*X330</f>
        <v/>
      </c>
      <c r="AA330" s="10">
        <f>IF(W330&gt;$AE$32,1,0)</f>
        <v/>
      </c>
      <c r="AB330">
        <f>IF(AA330=C330,1,0)</f>
        <v/>
      </c>
    </row>
    <row r="331">
      <c r="A331">
        <f>'1 datos preparados'!A324</f>
        <v/>
      </c>
      <c r="B331" s="5">
        <f>'1 datos preparados'!U324</f>
        <v/>
      </c>
      <c r="C331">
        <f>'1 datos preparados'!B324</f>
        <v/>
      </c>
      <c r="D331" s="7">
        <f>'1 datos preparados'!C324</f>
        <v/>
      </c>
      <c r="E331" s="7">
        <f>'1 datos preparados'!D324</f>
        <v/>
      </c>
      <c r="F331" s="7">
        <f>'1 datos preparados'!E324</f>
        <v/>
      </c>
      <c r="G331" s="7">
        <f>'1 datos preparados'!F324</f>
        <v/>
      </c>
      <c r="H331" s="7">
        <f>'1 datos preparados'!G324</f>
        <v/>
      </c>
      <c r="I331" s="7">
        <f>'1 datos preparados'!H324</f>
        <v/>
      </c>
      <c r="J331" s="7">
        <f>'1 datos preparados'!I324</f>
        <v/>
      </c>
      <c r="K331" s="7">
        <f>'1 datos preparados'!J324</f>
        <v/>
      </c>
      <c r="L331" s="7">
        <f>'1 datos preparados'!K324</f>
        <v/>
      </c>
      <c r="M331" s="7">
        <f>'1 datos preparados'!L324</f>
        <v/>
      </c>
      <c r="N331" s="7">
        <f>'1 datos preparados'!M324</f>
        <v/>
      </c>
      <c r="O331" s="7">
        <f>'1 datos preparados'!N324</f>
        <v/>
      </c>
      <c r="P331" s="7">
        <f>'1 datos preparados'!O324</f>
        <v/>
      </c>
      <c r="Q331" s="7">
        <f>'1 datos preparados'!P324</f>
        <v/>
      </c>
      <c r="R331" s="7">
        <f>'1 datos preparados'!Q324</f>
        <v/>
      </c>
      <c r="S331" s="7">
        <f>'1 datos preparados'!R324</f>
        <v/>
      </c>
      <c r="T331" s="7">
        <f>'1 datos preparados'!S324</f>
        <v/>
      </c>
      <c r="U331" s="7">
        <f>'1 datos preparados'!T324</f>
        <v/>
      </c>
      <c r="V331" s="8">
        <f>$AE$12+D331*$AE$13+E331*$AE$14+F331*$AE$15+G331*$AE$16+H331*$AE$17+I331*$AE$18+J331*$AE$19+K331*$AE$20+L331*$AE$21+M331*$AE$22+N331*$AE$23+O331*$AE$24+P331*$AE$25+Q331*$AE$26+R331*$AE$27+S331*$AE$28+T331*$AE$29+U331*$AE$30</f>
        <v/>
      </c>
      <c r="W331" s="8">
        <f>1/(1+EXP(-V331))</f>
        <v/>
      </c>
      <c r="X331" s="9">
        <f>-IF(C331=1,LN(W331),LN(1-W331))</f>
        <v/>
      </c>
      <c r="Y331" s="8">
        <f>1</f>
        <v/>
      </c>
      <c r="Z331" s="9">
        <f>Y331*X331</f>
        <v/>
      </c>
      <c r="AA331" s="10">
        <f>IF(W331&gt;$AE$32,1,0)</f>
        <v/>
      </c>
      <c r="AB331">
        <f>IF(AA331=C331,1,0)</f>
        <v/>
      </c>
    </row>
    <row r="332">
      <c r="A332">
        <f>'1 datos preparados'!A325</f>
        <v/>
      </c>
      <c r="B332" s="5">
        <f>'1 datos preparados'!U325</f>
        <v/>
      </c>
      <c r="C332">
        <f>'1 datos preparados'!B325</f>
        <v/>
      </c>
      <c r="D332" s="7">
        <f>'1 datos preparados'!C325</f>
        <v/>
      </c>
      <c r="E332" s="7">
        <f>'1 datos preparados'!D325</f>
        <v/>
      </c>
      <c r="F332" s="7">
        <f>'1 datos preparados'!E325</f>
        <v/>
      </c>
      <c r="G332" s="7">
        <f>'1 datos preparados'!F325</f>
        <v/>
      </c>
      <c r="H332" s="7">
        <f>'1 datos preparados'!G325</f>
        <v/>
      </c>
      <c r="I332" s="7">
        <f>'1 datos preparados'!H325</f>
        <v/>
      </c>
      <c r="J332" s="7">
        <f>'1 datos preparados'!I325</f>
        <v/>
      </c>
      <c r="K332" s="7">
        <f>'1 datos preparados'!J325</f>
        <v/>
      </c>
      <c r="L332" s="7">
        <f>'1 datos preparados'!K325</f>
        <v/>
      </c>
      <c r="M332" s="7">
        <f>'1 datos preparados'!L325</f>
        <v/>
      </c>
      <c r="N332" s="7">
        <f>'1 datos preparados'!M325</f>
        <v/>
      </c>
      <c r="O332" s="7">
        <f>'1 datos preparados'!N325</f>
        <v/>
      </c>
      <c r="P332" s="7">
        <f>'1 datos preparados'!O325</f>
        <v/>
      </c>
      <c r="Q332" s="7">
        <f>'1 datos preparados'!P325</f>
        <v/>
      </c>
      <c r="R332" s="7">
        <f>'1 datos preparados'!Q325</f>
        <v/>
      </c>
      <c r="S332" s="7">
        <f>'1 datos preparados'!R325</f>
        <v/>
      </c>
      <c r="T332" s="7">
        <f>'1 datos preparados'!S325</f>
        <v/>
      </c>
      <c r="U332" s="7">
        <f>'1 datos preparados'!T325</f>
        <v/>
      </c>
      <c r="V332" s="8">
        <f>$AE$12+D332*$AE$13+E332*$AE$14+F332*$AE$15+G332*$AE$16+H332*$AE$17+I332*$AE$18+J332*$AE$19+K332*$AE$20+L332*$AE$21+M332*$AE$22+N332*$AE$23+O332*$AE$24+P332*$AE$25+Q332*$AE$26+R332*$AE$27+S332*$AE$28+T332*$AE$29+U332*$AE$30</f>
        <v/>
      </c>
      <c r="W332" s="8">
        <f>1/(1+EXP(-V332))</f>
        <v/>
      </c>
      <c r="X332" s="9">
        <f>-IF(C332=1,LN(W332),LN(1-W332))</f>
        <v/>
      </c>
      <c r="Y332" s="8">
        <f>1</f>
        <v/>
      </c>
      <c r="Z332" s="9">
        <f>Y332*X332</f>
        <v/>
      </c>
      <c r="AA332" s="10">
        <f>IF(W332&gt;$AE$32,1,0)</f>
        <v/>
      </c>
      <c r="AB332">
        <f>IF(AA332=C332,1,0)</f>
        <v/>
      </c>
    </row>
    <row r="333">
      <c r="A333">
        <f>'1 datos preparados'!A326</f>
        <v/>
      </c>
      <c r="B333" s="5">
        <f>'1 datos preparados'!U326</f>
        <v/>
      </c>
      <c r="C333">
        <f>'1 datos preparados'!B326</f>
        <v/>
      </c>
      <c r="D333" s="7">
        <f>'1 datos preparados'!C326</f>
        <v/>
      </c>
      <c r="E333" s="7">
        <f>'1 datos preparados'!D326</f>
        <v/>
      </c>
      <c r="F333" s="7">
        <f>'1 datos preparados'!E326</f>
        <v/>
      </c>
      <c r="G333" s="7">
        <f>'1 datos preparados'!F326</f>
        <v/>
      </c>
      <c r="H333" s="7">
        <f>'1 datos preparados'!G326</f>
        <v/>
      </c>
      <c r="I333" s="7">
        <f>'1 datos preparados'!H326</f>
        <v/>
      </c>
      <c r="J333" s="7">
        <f>'1 datos preparados'!I326</f>
        <v/>
      </c>
      <c r="K333" s="7">
        <f>'1 datos preparados'!J326</f>
        <v/>
      </c>
      <c r="L333" s="7">
        <f>'1 datos preparados'!K326</f>
        <v/>
      </c>
      <c r="M333" s="7">
        <f>'1 datos preparados'!L326</f>
        <v/>
      </c>
      <c r="N333" s="7">
        <f>'1 datos preparados'!M326</f>
        <v/>
      </c>
      <c r="O333" s="7">
        <f>'1 datos preparados'!N326</f>
        <v/>
      </c>
      <c r="P333" s="7">
        <f>'1 datos preparados'!O326</f>
        <v/>
      </c>
      <c r="Q333" s="7">
        <f>'1 datos preparados'!P326</f>
        <v/>
      </c>
      <c r="R333" s="7">
        <f>'1 datos preparados'!Q326</f>
        <v/>
      </c>
      <c r="S333" s="7">
        <f>'1 datos preparados'!R326</f>
        <v/>
      </c>
      <c r="T333" s="7">
        <f>'1 datos preparados'!S326</f>
        <v/>
      </c>
      <c r="U333" s="7">
        <f>'1 datos preparados'!T326</f>
        <v/>
      </c>
      <c r="V333" s="8">
        <f>$AE$12+D333*$AE$13+E333*$AE$14+F333*$AE$15+G333*$AE$16+H333*$AE$17+I333*$AE$18+J333*$AE$19+K333*$AE$20+L333*$AE$21+M333*$AE$22+N333*$AE$23+O333*$AE$24+P333*$AE$25+Q333*$AE$26+R333*$AE$27+S333*$AE$28+T333*$AE$29+U333*$AE$30</f>
        <v/>
      </c>
      <c r="W333" s="8">
        <f>1/(1+EXP(-V333))</f>
        <v/>
      </c>
      <c r="X333" s="9">
        <f>-IF(C333=1,LN(W333),LN(1-W333))</f>
        <v/>
      </c>
      <c r="Y333" s="8">
        <f>1</f>
        <v/>
      </c>
      <c r="Z333" s="9">
        <f>Y333*X333</f>
        <v/>
      </c>
      <c r="AA333" s="10">
        <f>IF(W333&gt;$AE$32,1,0)</f>
        <v/>
      </c>
      <c r="AB333">
        <f>IF(AA333=C333,1,0)</f>
        <v/>
      </c>
    </row>
    <row r="334">
      <c r="A334">
        <f>'1 datos preparados'!A327</f>
        <v/>
      </c>
      <c r="B334" s="5">
        <f>'1 datos preparados'!U327</f>
        <v/>
      </c>
      <c r="C334">
        <f>'1 datos preparados'!B327</f>
        <v/>
      </c>
      <c r="D334" s="7">
        <f>'1 datos preparados'!C327</f>
        <v/>
      </c>
      <c r="E334" s="7">
        <f>'1 datos preparados'!D327</f>
        <v/>
      </c>
      <c r="F334" s="7">
        <f>'1 datos preparados'!E327</f>
        <v/>
      </c>
      <c r="G334" s="7">
        <f>'1 datos preparados'!F327</f>
        <v/>
      </c>
      <c r="H334" s="7">
        <f>'1 datos preparados'!G327</f>
        <v/>
      </c>
      <c r="I334" s="7">
        <f>'1 datos preparados'!H327</f>
        <v/>
      </c>
      <c r="J334" s="7">
        <f>'1 datos preparados'!I327</f>
        <v/>
      </c>
      <c r="K334" s="7">
        <f>'1 datos preparados'!J327</f>
        <v/>
      </c>
      <c r="L334" s="7">
        <f>'1 datos preparados'!K327</f>
        <v/>
      </c>
      <c r="M334" s="7">
        <f>'1 datos preparados'!L327</f>
        <v/>
      </c>
      <c r="N334" s="7">
        <f>'1 datos preparados'!M327</f>
        <v/>
      </c>
      <c r="O334" s="7">
        <f>'1 datos preparados'!N327</f>
        <v/>
      </c>
      <c r="P334" s="7">
        <f>'1 datos preparados'!O327</f>
        <v/>
      </c>
      <c r="Q334" s="7">
        <f>'1 datos preparados'!P327</f>
        <v/>
      </c>
      <c r="R334" s="7">
        <f>'1 datos preparados'!Q327</f>
        <v/>
      </c>
      <c r="S334" s="7">
        <f>'1 datos preparados'!R327</f>
        <v/>
      </c>
      <c r="T334" s="7">
        <f>'1 datos preparados'!S327</f>
        <v/>
      </c>
      <c r="U334" s="7">
        <f>'1 datos preparados'!T327</f>
        <v/>
      </c>
      <c r="V334" s="8">
        <f>$AE$12+D334*$AE$13+E334*$AE$14+F334*$AE$15+G334*$AE$16+H334*$AE$17+I334*$AE$18+J334*$AE$19+K334*$AE$20+L334*$AE$21+M334*$AE$22+N334*$AE$23+O334*$AE$24+P334*$AE$25+Q334*$AE$26+R334*$AE$27+S334*$AE$28+T334*$AE$29+U334*$AE$30</f>
        <v/>
      </c>
      <c r="W334" s="8">
        <f>1/(1+EXP(-V334))</f>
        <v/>
      </c>
      <c r="X334" s="9">
        <f>-IF(C334=1,LN(W334),LN(1-W334))</f>
        <v/>
      </c>
      <c r="Y334" s="8">
        <f>1</f>
        <v/>
      </c>
      <c r="Z334" s="9">
        <f>Y334*X334</f>
        <v/>
      </c>
      <c r="AA334" s="10">
        <f>IF(W334&gt;$AE$32,1,0)</f>
        <v/>
      </c>
      <c r="AB334">
        <f>IF(AA334=C334,1,0)</f>
        <v/>
      </c>
    </row>
    <row r="335">
      <c r="A335">
        <f>'1 datos preparados'!A328</f>
        <v/>
      </c>
      <c r="B335" s="5">
        <f>'1 datos preparados'!U328</f>
        <v/>
      </c>
      <c r="C335">
        <f>'1 datos preparados'!B328</f>
        <v/>
      </c>
      <c r="D335" s="7">
        <f>'1 datos preparados'!C328</f>
        <v/>
      </c>
      <c r="E335" s="7">
        <f>'1 datos preparados'!D328</f>
        <v/>
      </c>
      <c r="F335" s="7">
        <f>'1 datos preparados'!E328</f>
        <v/>
      </c>
      <c r="G335" s="7">
        <f>'1 datos preparados'!F328</f>
        <v/>
      </c>
      <c r="H335" s="7">
        <f>'1 datos preparados'!G328</f>
        <v/>
      </c>
      <c r="I335" s="7">
        <f>'1 datos preparados'!H328</f>
        <v/>
      </c>
      <c r="J335" s="7">
        <f>'1 datos preparados'!I328</f>
        <v/>
      </c>
      <c r="K335" s="7">
        <f>'1 datos preparados'!J328</f>
        <v/>
      </c>
      <c r="L335" s="7">
        <f>'1 datos preparados'!K328</f>
        <v/>
      </c>
      <c r="M335" s="7">
        <f>'1 datos preparados'!L328</f>
        <v/>
      </c>
      <c r="N335" s="7">
        <f>'1 datos preparados'!M328</f>
        <v/>
      </c>
      <c r="O335" s="7">
        <f>'1 datos preparados'!N328</f>
        <v/>
      </c>
      <c r="P335" s="7">
        <f>'1 datos preparados'!O328</f>
        <v/>
      </c>
      <c r="Q335" s="7">
        <f>'1 datos preparados'!P328</f>
        <v/>
      </c>
      <c r="R335" s="7">
        <f>'1 datos preparados'!Q328</f>
        <v/>
      </c>
      <c r="S335" s="7">
        <f>'1 datos preparados'!R328</f>
        <v/>
      </c>
      <c r="T335" s="7">
        <f>'1 datos preparados'!S328</f>
        <v/>
      </c>
      <c r="U335" s="7">
        <f>'1 datos preparados'!T328</f>
        <v/>
      </c>
      <c r="V335" s="8">
        <f>$AE$12+D335*$AE$13+E335*$AE$14+F335*$AE$15+G335*$AE$16+H335*$AE$17+I335*$AE$18+J335*$AE$19+K335*$AE$20+L335*$AE$21+M335*$AE$22+N335*$AE$23+O335*$AE$24+P335*$AE$25+Q335*$AE$26+R335*$AE$27+S335*$AE$28+T335*$AE$29+U335*$AE$30</f>
        <v/>
      </c>
      <c r="W335" s="8">
        <f>1/(1+EXP(-V335))</f>
        <v/>
      </c>
      <c r="X335" s="9">
        <f>-IF(C335=1,LN(W335),LN(1-W335))</f>
        <v/>
      </c>
      <c r="Y335" s="8">
        <f>1</f>
        <v/>
      </c>
      <c r="Z335" s="9">
        <f>Y335*X335</f>
        <v/>
      </c>
      <c r="AA335" s="10">
        <f>IF(W335&gt;$AE$32,1,0)</f>
        <v/>
      </c>
      <c r="AB335">
        <f>IF(AA335=C335,1,0)</f>
        <v/>
      </c>
    </row>
    <row r="336">
      <c r="A336">
        <f>'1 datos preparados'!A329</f>
        <v/>
      </c>
      <c r="B336" s="5">
        <f>'1 datos preparados'!U329</f>
        <v/>
      </c>
      <c r="C336">
        <f>'1 datos preparados'!B329</f>
        <v/>
      </c>
      <c r="D336" s="7">
        <f>'1 datos preparados'!C329</f>
        <v/>
      </c>
      <c r="E336" s="7">
        <f>'1 datos preparados'!D329</f>
        <v/>
      </c>
      <c r="F336" s="7">
        <f>'1 datos preparados'!E329</f>
        <v/>
      </c>
      <c r="G336" s="7">
        <f>'1 datos preparados'!F329</f>
        <v/>
      </c>
      <c r="H336" s="7">
        <f>'1 datos preparados'!G329</f>
        <v/>
      </c>
      <c r="I336" s="7">
        <f>'1 datos preparados'!H329</f>
        <v/>
      </c>
      <c r="J336" s="7">
        <f>'1 datos preparados'!I329</f>
        <v/>
      </c>
      <c r="K336" s="7">
        <f>'1 datos preparados'!J329</f>
        <v/>
      </c>
      <c r="L336" s="7">
        <f>'1 datos preparados'!K329</f>
        <v/>
      </c>
      <c r="M336" s="7">
        <f>'1 datos preparados'!L329</f>
        <v/>
      </c>
      <c r="N336" s="7">
        <f>'1 datos preparados'!M329</f>
        <v/>
      </c>
      <c r="O336" s="7">
        <f>'1 datos preparados'!N329</f>
        <v/>
      </c>
      <c r="P336" s="7">
        <f>'1 datos preparados'!O329</f>
        <v/>
      </c>
      <c r="Q336" s="7">
        <f>'1 datos preparados'!P329</f>
        <v/>
      </c>
      <c r="R336" s="7">
        <f>'1 datos preparados'!Q329</f>
        <v/>
      </c>
      <c r="S336" s="7">
        <f>'1 datos preparados'!R329</f>
        <v/>
      </c>
      <c r="T336" s="7">
        <f>'1 datos preparados'!S329</f>
        <v/>
      </c>
      <c r="U336" s="7">
        <f>'1 datos preparados'!T329</f>
        <v/>
      </c>
      <c r="V336" s="8">
        <f>$AE$12+D336*$AE$13+E336*$AE$14+F336*$AE$15+G336*$AE$16+H336*$AE$17+I336*$AE$18+J336*$AE$19+K336*$AE$20+L336*$AE$21+M336*$AE$22+N336*$AE$23+O336*$AE$24+P336*$AE$25+Q336*$AE$26+R336*$AE$27+S336*$AE$28+T336*$AE$29+U336*$AE$30</f>
        <v/>
      </c>
      <c r="W336" s="8">
        <f>1/(1+EXP(-V336))</f>
        <v/>
      </c>
      <c r="X336" s="9">
        <f>-IF(C336=1,LN(W336),LN(1-W336))</f>
        <v/>
      </c>
      <c r="Y336" s="8">
        <f>1</f>
        <v/>
      </c>
      <c r="Z336" s="9">
        <f>Y336*X336</f>
        <v/>
      </c>
      <c r="AA336" s="10">
        <f>IF(W336&gt;$AE$32,1,0)</f>
        <v/>
      </c>
      <c r="AB336">
        <f>IF(AA336=C336,1,0)</f>
        <v/>
      </c>
    </row>
    <row r="337">
      <c r="A337">
        <f>'1 datos preparados'!A330</f>
        <v/>
      </c>
      <c r="B337" s="5">
        <f>'1 datos preparados'!U330</f>
        <v/>
      </c>
      <c r="C337">
        <f>'1 datos preparados'!B330</f>
        <v/>
      </c>
      <c r="D337" s="7">
        <f>'1 datos preparados'!C330</f>
        <v/>
      </c>
      <c r="E337" s="7">
        <f>'1 datos preparados'!D330</f>
        <v/>
      </c>
      <c r="F337" s="7">
        <f>'1 datos preparados'!E330</f>
        <v/>
      </c>
      <c r="G337" s="7">
        <f>'1 datos preparados'!F330</f>
        <v/>
      </c>
      <c r="H337" s="7">
        <f>'1 datos preparados'!G330</f>
        <v/>
      </c>
      <c r="I337" s="7">
        <f>'1 datos preparados'!H330</f>
        <v/>
      </c>
      <c r="J337" s="7">
        <f>'1 datos preparados'!I330</f>
        <v/>
      </c>
      <c r="K337" s="7">
        <f>'1 datos preparados'!J330</f>
        <v/>
      </c>
      <c r="L337" s="7">
        <f>'1 datos preparados'!K330</f>
        <v/>
      </c>
      <c r="M337" s="7">
        <f>'1 datos preparados'!L330</f>
        <v/>
      </c>
      <c r="N337" s="7">
        <f>'1 datos preparados'!M330</f>
        <v/>
      </c>
      <c r="O337" s="7">
        <f>'1 datos preparados'!N330</f>
        <v/>
      </c>
      <c r="P337" s="7">
        <f>'1 datos preparados'!O330</f>
        <v/>
      </c>
      <c r="Q337" s="7">
        <f>'1 datos preparados'!P330</f>
        <v/>
      </c>
      <c r="R337" s="7">
        <f>'1 datos preparados'!Q330</f>
        <v/>
      </c>
      <c r="S337" s="7">
        <f>'1 datos preparados'!R330</f>
        <v/>
      </c>
      <c r="T337" s="7">
        <f>'1 datos preparados'!S330</f>
        <v/>
      </c>
      <c r="U337" s="7">
        <f>'1 datos preparados'!T330</f>
        <v/>
      </c>
      <c r="V337" s="8">
        <f>$AE$12+D337*$AE$13+E337*$AE$14+F337*$AE$15+G337*$AE$16+H337*$AE$17+I337*$AE$18+J337*$AE$19+K337*$AE$20+L337*$AE$21+M337*$AE$22+N337*$AE$23+O337*$AE$24+P337*$AE$25+Q337*$AE$26+R337*$AE$27+S337*$AE$28+T337*$AE$29+U337*$AE$30</f>
        <v/>
      </c>
      <c r="W337" s="8">
        <f>1/(1+EXP(-V337))</f>
        <v/>
      </c>
      <c r="X337" s="9">
        <f>-IF(C337=1,LN(W337),LN(1-W337))</f>
        <v/>
      </c>
      <c r="Y337" s="8">
        <f>1</f>
        <v/>
      </c>
      <c r="Z337" s="9">
        <f>Y337*X337</f>
        <v/>
      </c>
      <c r="AA337" s="10">
        <f>IF(W337&gt;$AE$32,1,0)</f>
        <v/>
      </c>
      <c r="AB337">
        <f>IF(AA337=C337,1,0)</f>
        <v/>
      </c>
    </row>
    <row r="338">
      <c r="A338">
        <f>'1 datos preparados'!A331</f>
        <v/>
      </c>
      <c r="B338" s="5">
        <f>'1 datos preparados'!U331</f>
        <v/>
      </c>
      <c r="C338">
        <f>'1 datos preparados'!B331</f>
        <v/>
      </c>
      <c r="D338" s="7">
        <f>'1 datos preparados'!C331</f>
        <v/>
      </c>
      <c r="E338" s="7">
        <f>'1 datos preparados'!D331</f>
        <v/>
      </c>
      <c r="F338" s="7">
        <f>'1 datos preparados'!E331</f>
        <v/>
      </c>
      <c r="G338" s="7">
        <f>'1 datos preparados'!F331</f>
        <v/>
      </c>
      <c r="H338" s="7">
        <f>'1 datos preparados'!G331</f>
        <v/>
      </c>
      <c r="I338" s="7">
        <f>'1 datos preparados'!H331</f>
        <v/>
      </c>
      <c r="J338" s="7">
        <f>'1 datos preparados'!I331</f>
        <v/>
      </c>
      <c r="K338" s="7">
        <f>'1 datos preparados'!J331</f>
        <v/>
      </c>
      <c r="L338" s="7">
        <f>'1 datos preparados'!K331</f>
        <v/>
      </c>
      <c r="M338" s="7">
        <f>'1 datos preparados'!L331</f>
        <v/>
      </c>
      <c r="N338" s="7">
        <f>'1 datos preparados'!M331</f>
        <v/>
      </c>
      <c r="O338" s="7">
        <f>'1 datos preparados'!N331</f>
        <v/>
      </c>
      <c r="P338" s="7">
        <f>'1 datos preparados'!O331</f>
        <v/>
      </c>
      <c r="Q338" s="7">
        <f>'1 datos preparados'!P331</f>
        <v/>
      </c>
      <c r="R338" s="7">
        <f>'1 datos preparados'!Q331</f>
        <v/>
      </c>
      <c r="S338" s="7">
        <f>'1 datos preparados'!R331</f>
        <v/>
      </c>
      <c r="T338" s="7">
        <f>'1 datos preparados'!S331</f>
        <v/>
      </c>
      <c r="U338" s="7">
        <f>'1 datos preparados'!T331</f>
        <v/>
      </c>
      <c r="V338" s="8">
        <f>$AE$12+D338*$AE$13+E338*$AE$14+F338*$AE$15+G338*$AE$16+H338*$AE$17+I338*$AE$18+J338*$AE$19+K338*$AE$20+L338*$AE$21+M338*$AE$22+N338*$AE$23+O338*$AE$24+P338*$AE$25+Q338*$AE$26+R338*$AE$27+S338*$AE$28+T338*$AE$29+U338*$AE$30</f>
        <v/>
      </c>
      <c r="W338" s="8">
        <f>1/(1+EXP(-V338))</f>
        <v/>
      </c>
      <c r="X338" s="9">
        <f>-IF(C338=1,LN(W338),LN(1-W338))</f>
        <v/>
      </c>
      <c r="Y338" s="8">
        <f>1</f>
        <v/>
      </c>
      <c r="Z338" s="9">
        <f>Y338*X338</f>
        <v/>
      </c>
      <c r="AA338" s="10">
        <f>IF(W338&gt;$AE$32,1,0)</f>
        <v/>
      </c>
      <c r="AB338">
        <f>IF(AA338=C338,1,0)</f>
        <v/>
      </c>
    </row>
    <row r="339">
      <c r="A339">
        <f>'1 datos preparados'!A332</f>
        <v/>
      </c>
      <c r="B339" s="5">
        <f>'1 datos preparados'!U332</f>
        <v/>
      </c>
      <c r="C339">
        <f>'1 datos preparados'!B332</f>
        <v/>
      </c>
      <c r="D339" s="7">
        <f>'1 datos preparados'!C332</f>
        <v/>
      </c>
      <c r="E339" s="7">
        <f>'1 datos preparados'!D332</f>
        <v/>
      </c>
      <c r="F339" s="7">
        <f>'1 datos preparados'!E332</f>
        <v/>
      </c>
      <c r="G339" s="7">
        <f>'1 datos preparados'!F332</f>
        <v/>
      </c>
      <c r="H339" s="7">
        <f>'1 datos preparados'!G332</f>
        <v/>
      </c>
      <c r="I339" s="7">
        <f>'1 datos preparados'!H332</f>
        <v/>
      </c>
      <c r="J339" s="7">
        <f>'1 datos preparados'!I332</f>
        <v/>
      </c>
      <c r="K339" s="7">
        <f>'1 datos preparados'!J332</f>
        <v/>
      </c>
      <c r="L339" s="7">
        <f>'1 datos preparados'!K332</f>
        <v/>
      </c>
      <c r="M339" s="7">
        <f>'1 datos preparados'!L332</f>
        <v/>
      </c>
      <c r="N339" s="7">
        <f>'1 datos preparados'!M332</f>
        <v/>
      </c>
      <c r="O339" s="7">
        <f>'1 datos preparados'!N332</f>
        <v/>
      </c>
      <c r="P339" s="7">
        <f>'1 datos preparados'!O332</f>
        <v/>
      </c>
      <c r="Q339" s="7">
        <f>'1 datos preparados'!P332</f>
        <v/>
      </c>
      <c r="R339" s="7">
        <f>'1 datos preparados'!Q332</f>
        <v/>
      </c>
      <c r="S339" s="7">
        <f>'1 datos preparados'!R332</f>
        <v/>
      </c>
      <c r="T339" s="7">
        <f>'1 datos preparados'!S332</f>
        <v/>
      </c>
      <c r="U339" s="7">
        <f>'1 datos preparados'!T332</f>
        <v/>
      </c>
      <c r="V339" s="8">
        <f>$AE$12+D339*$AE$13+E339*$AE$14+F339*$AE$15+G339*$AE$16+H339*$AE$17+I339*$AE$18+J339*$AE$19+K339*$AE$20+L339*$AE$21+M339*$AE$22+N339*$AE$23+O339*$AE$24+P339*$AE$25+Q339*$AE$26+R339*$AE$27+S339*$AE$28+T339*$AE$29+U339*$AE$30</f>
        <v/>
      </c>
      <c r="W339" s="8">
        <f>1/(1+EXP(-V339))</f>
        <v/>
      </c>
      <c r="X339" s="9">
        <f>-IF(C339=1,LN(W339),LN(1-W339))</f>
        <v/>
      </c>
      <c r="Y339" s="8">
        <f>1</f>
        <v/>
      </c>
      <c r="Z339" s="9">
        <f>Y339*X339</f>
        <v/>
      </c>
      <c r="AA339" s="10">
        <f>IF(W339&gt;$AE$32,1,0)</f>
        <v/>
      </c>
      <c r="AB339">
        <f>IF(AA339=C339,1,0)</f>
        <v/>
      </c>
    </row>
    <row r="340">
      <c r="A340">
        <f>'1 datos preparados'!A333</f>
        <v/>
      </c>
      <c r="B340" s="5">
        <f>'1 datos preparados'!U333</f>
        <v/>
      </c>
      <c r="C340">
        <f>'1 datos preparados'!B333</f>
        <v/>
      </c>
      <c r="D340" s="7">
        <f>'1 datos preparados'!C333</f>
        <v/>
      </c>
      <c r="E340" s="7">
        <f>'1 datos preparados'!D333</f>
        <v/>
      </c>
      <c r="F340" s="7">
        <f>'1 datos preparados'!E333</f>
        <v/>
      </c>
      <c r="G340" s="7">
        <f>'1 datos preparados'!F333</f>
        <v/>
      </c>
      <c r="H340" s="7">
        <f>'1 datos preparados'!G333</f>
        <v/>
      </c>
      <c r="I340" s="7">
        <f>'1 datos preparados'!H333</f>
        <v/>
      </c>
      <c r="J340" s="7">
        <f>'1 datos preparados'!I333</f>
        <v/>
      </c>
      <c r="K340" s="7">
        <f>'1 datos preparados'!J333</f>
        <v/>
      </c>
      <c r="L340" s="7">
        <f>'1 datos preparados'!K333</f>
        <v/>
      </c>
      <c r="M340" s="7">
        <f>'1 datos preparados'!L333</f>
        <v/>
      </c>
      <c r="N340" s="7">
        <f>'1 datos preparados'!M333</f>
        <v/>
      </c>
      <c r="O340" s="7">
        <f>'1 datos preparados'!N333</f>
        <v/>
      </c>
      <c r="P340" s="7">
        <f>'1 datos preparados'!O333</f>
        <v/>
      </c>
      <c r="Q340" s="7">
        <f>'1 datos preparados'!P333</f>
        <v/>
      </c>
      <c r="R340" s="7">
        <f>'1 datos preparados'!Q333</f>
        <v/>
      </c>
      <c r="S340" s="7">
        <f>'1 datos preparados'!R333</f>
        <v/>
      </c>
      <c r="T340" s="7">
        <f>'1 datos preparados'!S333</f>
        <v/>
      </c>
      <c r="U340" s="7">
        <f>'1 datos preparados'!T333</f>
        <v/>
      </c>
      <c r="V340" s="8">
        <f>$AE$12+D340*$AE$13+E340*$AE$14+F340*$AE$15+G340*$AE$16+H340*$AE$17+I340*$AE$18+J340*$AE$19+K340*$AE$20+L340*$AE$21+M340*$AE$22+N340*$AE$23+O340*$AE$24+P340*$AE$25+Q340*$AE$26+R340*$AE$27+S340*$AE$28+T340*$AE$29+U340*$AE$30</f>
        <v/>
      </c>
      <c r="W340" s="8">
        <f>1/(1+EXP(-V340))</f>
        <v/>
      </c>
      <c r="X340" s="9">
        <f>-IF(C340=1,LN(W340),LN(1-W340))</f>
        <v/>
      </c>
      <c r="Y340" s="8">
        <f>1</f>
        <v/>
      </c>
      <c r="Z340" s="9">
        <f>Y340*X340</f>
        <v/>
      </c>
      <c r="AA340" s="10">
        <f>IF(W340&gt;$AE$32,1,0)</f>
        <v/>
      </c>
      <c r="AB340">
        <f>IF(AA340=C340,1,0)</f>
        <v/>
      </c>
    </row>
    <row r="341">
      <c r="A341">
        <f>'1 datos preparados'!A334</f>
        <v/>
      </c>
      <c r="B341" s="5">
        <f>'1 datos preparados'!U334</f>
        <v/>
      </c>
      <c r="C341">
        <f>'1 datos preparados'!B334</f>
        <v/>
      </c>
      <c r="D341" s="7">
        <f>'1 datos preparados'!C334</f>
        <v/>
      </c>
      <c r="E341" s="7">
        <f>'1 datos preparados'!D334</f>
        <v/>
      </c>
      <c r="F341" s="7">
        <f>'1 datos preparados'!E334</f>
        <v/>
      </c>
      <c r="G341" s="7">
        <f>'1 datos preparados'!F334</f>
        <v/>
      </c>
      <c r="H341" s="7">
        <f>'1 datos preparados'!G334</f>
        <v/>
      </c>
      <c r="I341" s="7">
        <f>'1 datos preparados'!H334</f>
        <v/>
      </c>
      <c r="J341" s="7">
        <f>'1 datos preparados'!I334</f>
        <v/>
      </c>
      <c r="K341" s="7">
        <f>'1 datos preparados'!J334</f>
        <v/>
      </c>
      <c r="L341" s="7">
        <f>'1 datos preparados'!K334</f>
        <v/>
      </c>
      <c r="M341" s="7">
        <f>'1 datos preparados'!L334</f>
        <v/>
      </c>
      <c r="N341" s="7">
        <f>'1 datos preparados'!M334</f>
        <v/>
      </c>
      <c r="O341" s="7">
        <f>'1 datos preparados'!N334</f>
        <v/>
      </c>
      <c r="P341" s="7">
        <f>'1 datos preparados'!O334</f>
        <v/>
      </c>
      <c r="Q341" s="7">
        <f>'1 datos preparados'!P334</f>
        <v/>
      </c>
      <c r="R341" s="7">
        <f>'1 datos preparados'!Q334</f>
        <v/>
      </c>
      <c r="S341" s="7">
        <f>'1 datos preparados'!R334</f>
        <v/>
      </c>
      <c r="T341" s="7">
        <f>'1 datos preparados'!S334</f>
        <v/>
      </c>
      <c r="U341" s="7">
        <f>'1 datos preparados'!T334</f>
        <v/>
      </c>
      <c r="V341" s="8">
        <f>$AE$12+D341*$AE$13+E341*$AE$14+F341*$AE$15+G341*$AE$16+H341*$AE$17+I341*$AE$18+J341*$AE$19+K341*$AE$20+L341*$AE$21+M341*$AE$22+N341*$AE$23+O341*$AE$24+P341*$AE$25+Q341*$AE$26+R341*$AE$27+S341*$AE$28+T341*$AE$29+U341*$AE$30</f>
        <v/>
      </c>
      <c r="W341" s="8">
        <f>1/(1+EXP(-V341))</f>
        <v/>
      </c>
      <c r="X341" s="9">
        <f>-IF(C341=1,LN(W341),LN(1-W341))</f>
        <v/>
      </c>
      <c r="Y341" s="8">
        <f>1</f>
        <v/>
      </c>
      <c r="Z341" s="9">
        <f>Y341*X341</f>
        <v/>
      </c>
      <c r="AA341" s="10">
        <f>IF(W341&gt;$AE$32,1,0)</f>
        <v/>
      </c>
      <c r="AB341">
        <f>IF(AA341=C341,1,0)</f>
        <v/>
      </c>
    </row>
    <row r="342">
      <c r="A342">
        <f>'1 datos preparados'!A335</f>
        <v/>
      </c>
      <c r="B342" s="5">
        <f>'1 datos preparados'!U335</f>
        <v/>
      </c>
      <c r="C342">
        <f>'1 datos preparados'!B335</f>
        <v/>
      </c>
      <c r="D342" s="7">
        <f>'1 datos preparados'!C335</f>
        <v/>
      </c>
      <c r="E342" s="7">
        <f>'1 datos preparados'!D335</f>
        <v/>
      </c>
      <c r="F342" s="7">
        <f>'1 datos preparados'!E335</f>
        <v/>
      </c>
      <c r="G342" s="7">
        <f>'1 datos preparados'!F335</f>
        <v/>
      </c>
      <c r="H342" s="7">
        <f>'1 datos preparados'!G335</f>
        <v/>
      </c>
      <c r="I342" s="7">
        <f>'1 datos preparados'!H335</f>
        <v/>
      </c>
      <c r="J342" s="7">
        <f>'1 datos preparados'!I335</f>
        <v/>
      </c>
      <c r="K342" s="7">
        <f>'1 datos preparados'!J335</f>
        <v/>
      </c>
      <c r="L342" s="7">
        <f>'1 datos preparados'!K335</f>
        <v/>
      </c>
      <c r="M342" s="7">
        <f>'1 datos preparados'!L335</f>
        <v/>
      </c>
      <c r="N342" s="7">
        <f>'1 datos preparados'!M335</f>
        <v/>
      </c>
      <c r="O342" s="7">
        <f>'1 datos preparados'!N335</f>
        <v/>
      </c>
      <c r="P342" s="7">
        <f>'1 datos preparados'!O335</f>
        <v/>
      </c>
      <c r="Q342" s="7">
        <f>'1 datos preparados'!P335</f>
        <v/>
      </c>
      <c r="R342" s="7">
        <f>'1 datos preparados'!Q335</f>
        <v/>
      </c>
      <c r="S342" s="7">
        <f>'1 datos preparados'!R335</f>
        <v/>
      </c>
      <c r="T342" s="7">
        <f>'1 datos preparados'!S335</f>
        <v/>
      </c>
      <c r="U342" s="7">
        <f>'1 datos preparados'!T335</f>
        <v/>
      </c>
      <c r="V342" s="8">
        <f>$AE$12+D342*$AE$13+E342*$AE$14+F342*$AE$15+G342*$AE$16+H342*$AE$17+I342*$AE$18+J342*$AE$19+K342*$AE$20+L342*$AE$21+M342*$AE$22+N342*$AE$23+O342*$AE$24+P342*$AE$25+Q342*$AE$26+R342*$AE$27+S342*$AE$28+T342*$AE$29+U342*$AE$30</f>
        <v/>
      </c>
      <c r="W342" s="8">
        <f>1/(1+EXP(-V342))</f>
        <v/>
      </c>
      <c r="X342" s="9">
        <f>-IF(C342=1,LN(W342),LN(1-W342))</f>
        <v/>
      </c>
      <c r="Y342" s="8">
        <f>1</f>
        <v/>
      </c>
      <c r="Z342" s="9">
        <f>Y342*X342</f>
        <v/>
      </c>
      <c r="AA342" s="10">
        <f>IF(W342&gt;$AE$32,1,0)</f>
        <v/>
      </c>
      <c r="AB342">
        <f>IF(AA342=C342,1,0)</f>
        <v/>
      </c>
    </row>
    <row r="343">
      <c r="A343">
        <f>'1 datos preparados'!A336</f>
        <v/>
      </c>
      <c r="B343" s="5">
        <f>'1 datos preparados'!U336</f>
        <v/>
      </c>
      <c r="C343">
        <f>'1 datos preparados'!B336</f>
        <v/>
      </c>
      <c r="D343" s="7">
        <f>'1 datos preparados'!C336</f>
        <v/>
      </c>
      <c r="E343" s="7">
        <f>'1 datos preparados'!D336</f>
        <v/>
      </c>
      <c r="F343" s="7">
        <f>'1 datos preparados'!E336</f>
        <v/>
      </c>
      <c r="G343" s="7">
        <f>'1 datos preparados'!F336</f>
        <v/>
      </c>
      <c r="H343" s="7">
        <f>'1 datos preparados'!G336</f>
        <v/>
      </c>
      <c r="I343" s="7">
        <f>'1 datos preparados'!H336</f>
        <v/>
      </c>
      <c r="J343" s="7">
        <f>'1 datos preparados'!I336</f>
        <v/>
      </c>
      <c r="K343" s="7">
        <f>'1 datos preparados'!J336</f>
        <v/>
      </c>
      <c r="L343" s="7">
        <f>'1 datos preparados'!K336</f>
        <v/>
      </c>
      <c r="M343" s="7">
        <f>'1 datos preparados'!L336</f>
        <v/>
      </c>
      <c r="N343" s="7">
        <f>'1 datos preparados'!M336</f>
        <v/>
      </c>
      <c r="O343" s="7">
        <f>'1 datos preparados'!N336</f>
        <v/>
      </c>
      <c r="P343" s="7">
        <f>'1 datos preparados'!O336</f>
        <v/>
      </c>
      <c r="Q343" s="7">
        <f>'1 datos preparados'!P336</f>
        <v/>
      </c>
      <c r="R343" s="7">
        <f>'1 datos preparados'!Q336</f>
        <v/>
      </c>
      <c r="S343" s="7">
        <f>'1 datos preparados'!R336</f>
        <v/>
      </c>
      <c r="T343" s="7">
        <f>'1 datos preparados'!S336</f>
        <v/>
      </c>
      <c r="U343" s="7">
        <f>'1 datos preparados'!T336</f>
        <v/>
      </c>
      <c r="V343" s="8">
        <f>$AE$12+D343*$AE$13+E343*$AE$14+F343*$AE$15+G343*$AE$16+H343*$AE$17+I343*$AE$18+J343*$AE$19+K343*$AE$20+L343*$AE$21+M343*$AE$22+N343*$AE$23+O343*$AE$24+P343*$AE$25+Q343*$AE$26+R343*$AE$27+S343*$AE$28+T343*$AE$29+U343*$AE$30</f>
        <v/>
      </c>
      <c r="W343" s="8">
        <f>1/(1+EXP(-V343))</f>
        <v/>
      </c>
      <c r="X343" s="9">
        <f>-IF(C343=1,LN(W343),LN(1-W343))</f>
        <v/>
      </c>
      <c r="Y343" s="8">
        <f>1</f>
        <v/>
      </c>
      <c r="Z343" s="9">
        <f>Y343*X343</f>
        <v/>
      </c>
      <c r="AA343" s="10">
        <f>IF(W343&gt;$AE$32,1,0)</f>
        <v/>
      </c>
      <c r="AB343">
        <f>IF(AA343=C343,1,0)</f>
        <v/>
      </c>
    </row>
    <row r="344">
      <c r="A344">
        <f>'1 datos preparados'!A337</f>
        <v/>
      </c>
      <c r="B344" s="5">
        <f>'1 datos preparados'!U337</f>
        <v/>
      </c>
      <c r="C344">
        <f>'1 datos preparados'!B337</f>
        <v/>
      </c>
      <c r="D344" s="7">
        <f>'1 datos preparados'!C337</f>
        <v/>
      </c>
      <c r="E344" s="7">
        <f>'1 datos preparados'!D337</f>
        <v/>
      </c>
      <c r="F344" s="7">
        <f>'1 datos preparados'!E337</f>
        <v/>
      </c>
      <c r="G344" s="7">
        <f>'1 datos preparados'!F337</f>
        <v/>
      </c>
      <c r="H344" s="7">
        <f>'1 datos preparados'!G337</f>
        <v/>
      </c>
      <c r="I344" s="7">
        <f>'1 datos preparados'!H337</f>
        <v/>
      </c>
      <c r="J344" s="7">
        <f>'1 datos preparados'!I337</f>
        <v/>
      </c>
      <c r="K344" s="7">
        <f>'1 datos preparados'!J337</f>
        <v/>
      </c>
      <c r="L344" s="7">
        <f>'1 datos preparados'!K337</f>
        <v/>
      </c>
      <c r="M344" s="7">
        <f>'1 datos preparados'!L337</f>
        <v/>
      </c>
      <c r="N344" s="7">
        <f>'1 datos preparados'!M337</f>
        <v/>
      </c>
      <c r="O344" s="7">
        <f>'1 datos preparados'!N337</f>
        <v/>
      </c>
      <c r="P344" s="7">
        <f>'1 datos preparados'!O337</f>
        <v/>
      </c>
      <c r="Q344" s="7">
        <f>'1 datos preparados'!P337</f>
        <v/>
      </c>
      <c r="R344" s="7">
        <f>'1 datos preparados'!Q337</f>
        <v/>
      </c>
      <c r="S344" s="7">
        <f>'1 datos preparados'!R337</f>
        <v/>
      </c>
      <c r="T344" s="7">
        <f>'1 datos preparados'!S337</f>
        <v/>
      </c>
      <c r="U344" s="7">
        <f>'1 datos preparados'!T337</f>
        <v/>
      </c>
      <c r="V344" s="8">
        <f>$AE$12+D344*$AE$13+E344*$AE$14+F344*$AE$15+G344*$AE$16+H344*$AE$17+I344*$AE$18+J344*$AE$19+K344*$AE$20+L344*$AE$21+M344*$AE$22+N344*$AE$23+O344*$AE$24+P344*$AE$25+Q344*$AE$26+R344*$AE$27+S344*$AE$28+T344*$AE$29+U344*$AE$30</f>
        <v/>
      </c>
      <c r="W344" s="8">
        <f>1/(1+EXP(-V344))</f>
        <v/>
      </c>
      <c r="X344" s="9">
        <f>-IF(C344=1,LN(W344),LN(1-W344))</f>
        <v/>
      </c>
      <c r="Y344" s="8">
        <f>1</f>
        <v/>
      </c>
      <c r="Z344" s="9">
        <f>Y344*X344</f>
        <v/>
      </c>
      <c r="AA344" s="10">
        <f>IF(W344&gt;$AE$32,1,0)</f>
        <v/>
      </c>
      <c r="AB344">
        <f>IF(AA344=C344,1,0)</f>
        <v/>
      </c>
    </row>
    <row r="345">
      <c r="A345">
        <f>'1 datos preparados'!A338</f>
        <v/>
      </c>
      <c r="B345" s="5">
        <f>'1 datos preparados'!U338</f>
        <v/>
      </c>
      <c r="C345">
        <f>'1 datos preparados'!B338</f>
        <v/>
      </c>
      <c r="D345" s="7">
        <f>'1 datos preparados'!C338</f>
        <v/>
      </c>
      <c r="E345" s="7">
        <f>'1 datos preparados'!D338</f>
        <v/>
      </c>
      <c r="F345" s="7">
        <f>'1 datos preparados'!E338</f>
        <v/>
      </c>
      <c r="G345" s="7">
        <f>'1 datos preparados'!F338</f>
        <v/>
      </c>
      <c r="H345" s="7">
        <f>'1 datos preparados'!G338</f>
        <v/>
      </c>
      <c r="I345" s="7">
        <f>'1 datos preparados'!H338</f>
        <v/>
      </c>
      <c r="J345" s="7">
        <f>'1 datos preparados'!I338</f>
        <v/>
      </c>
      <c r="K345" s="7">
        <f>'1 datos preparados'!J338</f>
        <v/>
      </c>
      <c r="L345" s="7">
        <f>'1 datos preparados'!K338</f>
        <v/>
      </c>
      <c r="M345" s="7">
        <f>'1 datos preparados'!L338</f>
        <v/>
      </c>
      <c r="N345" s="7">
        <f>'1 datos preparados'!M338</f>
        <v/>
      </c>
      <c r="O345" s="7">
        <f>'1 datos preparados'!N338</f>
        <v/>
      </c>
      <c r="P345" s="7">
        <f>'1 datos preparados'!O338</f>
        <v/>
      </c>
      <c r="Q345" s="7">
        <f>'1 datos preparados'!P338</f>
        <v/>
      </c>
      <c r="R345" s="7">
        <f>'1 datos preparados'!Q338</f>
        <v/>
      </c>
      <c r="S345" s="7">
        <f>'1 datos preparados'!R338</f>
        <v/>
      </c>
      <c r="T345" s="7">
        <f>'1 datos preparados'!S338</f>
        <v/>
      </c>
      <c r="U345" s="7">
        <f>'1 datos preparados'!T338</f>
        <v/>
      </c>
      <c r="V345" s="8">
        <f>$AE$12+D345*$AE$13+E345*$AE$14+F345*$AE$15+G345*$AE$16+H345*$AE$17+I345*$AE$18+J345*$AE$19+K345*$AE$20+L345*$AE$21+M345*$AE$22+N345*$AE$23+O345*$AE$24+P345*$AE$25+Q345*$AE$26+R345*$AE$27+S345*$AE$28+T345*$AE$29+U345*$AE$30</f>
        <v/>
      </c>
      <c r="W345" s="8">
        <f>1/(1+EXP(-V345))</f>
        <v/>
      </c>
      <c r="X345" s="9">
        <f>-IF(C345=1,LN(W345),LN(1-W345))</f>
        <v/>
      </c>
      <c r="Y345" s="8">
        <f>1</f>
        <v/>
      </c>
      <c r="Z345" s="9">
        <f>Y345*X345</f>
        <v/>
      </c>
      <c r="AA345" s="10">
        <f>IF(W345&gt;$AE$32,1,0)</f>
        <v/>
      </c>
      <c r="AB345">
        <f>IF(AA345=C345,1,0)</f>
        <v/>
      </c>
    </row>
    <row r="346">
      <c r="A346">
        <f>'1 datos preparados'!A339</f>
        <v/>
      </c>
      <c r="B346" s="5">
        <f>'1 datos preparados'!U339</f>
        <v/>
      </c>
      <c r="C346">
        <f>'1 datos preparados'!B339</f>
        <v/>
      </c>
      <c r="D346" s="7">
        <f>'1 datos preparados'!C339</f>
        <v/>
      </c>
      <c r="E346" s="7">
        <f>'1 datos preparados'!D339</f>
        <v/>
      </c>
      <c r="F346" s="7">
        <f>'1 datos preparados'!E339</f>
        <v/>
      </c>
      <c r="G346" s="7">
        <f>'1 datos preparados'!F339</f>
        <v/>
      </c>
      <c r="H346" s="7">
        <f>'1 datos preparados'!G339</f>
        <v/>
      </c>
      <c r="I346" s="7">
        <f>'1 datos preparados'!H339</f>
        <v/>
      </c>
      <c r="J346" s="7">
        <f>'1 datos preparados'!I339</f>
        <v/>
      </c>
      <c r="K346" s="7">
        <f>'1 datos preparados'!J339</f>
        <v/>
      </c>
      <c r="L346" s="7">
        <f>'1 datos preparados'!K339</f>
        <v/>
      </c>
      <c r="M346" s="7">
        <f>'1 datos preparados'!L339</f>
        <v/>
      </c>
      <c r="N346" s="7">
        <f>'1 datos preparados'!M339</f>
        <v/>
      </c>
      <c r="O346" s="7">
        <f>'1 datos preparados'!N339</f>
        <v/>
      </c>
      <c r="P346" s="7">
        <f>'1 datos preparados'!O339</f>
        <v/>
      </c>
      <c r="Q346" s="7">
        <f>'1 datos preparados'!P339</f>
        <v/>
      </c>
      <c r="R346" s="7">
        <f>'1 datos preparados'!Q339</f>
        <v/>
      </c>
      <c r="S346" s="7">
        <f>'1 datos preparados'!R339</f>
        <v/>
      </c>
      <c r="T346" s="7">
        <f>'1 datos preparados'!S339</f>
        <v/>
      </c>
      <c r="U346" s="7">
        <f>'1 datos preparados'!T339</f>
        <v/>
      </c>
      <c r="V346" s="8">
        <f>$AE$12+D346*$AE$13+E346*$AE$14+F346*$AE$15+G346*$AE$16+H346*$AE$17+I346*$AE$18+J346*$AE$19+K346*$AE$20+L346*$AE$21+M346*$AE$22+N346*$AE$23+O346*$AE$24+P346*$AE$25+Q346*$AE$26+R346*$AE$27+S346*$AE$28+T346*$AE$29+U346*$AE$30</f>
        <v/>
      </c>
      <c r="W346" s="8">
        <f>1/(1+EXP(-V346))</f>
        <v/>
      </c>
      <c r="X346" s="9">
        <f>-IF(C346=1,LN(W346),LN(1-W346))</f>
        <v/>
      </c>
      <c r="Y346" s="8">
        <f>1</f>
        <v/>
      </c>
      <c r="Z346" s="9">
        <f>Y346*X346</f>
        <v/>
      </c>
      <c r="AA346" s="10">
        <f>IF(W346&gt;$AE$32,1,0)</f>
        <v/>
      </c>
      <c r="AB346">
        <f>IF(AA346=C346,1,0)</f>
        <v/>
      </c>
    </row>
    <row r="347">
      <c r="A347">
        <f>'1 datos preparados'!A340</f>
        <v/>
      </c>
      <c r="B347" s="5">
        <f>'1 datos preparados'!U340</f>
        <v/>
      </c>
      <c r="C347">
        <f>'1 datos preparados'!B340</f>
        <v/>
      </c>
      <c r="D347" s="7">
        <f>'1 datos preparados'!C340</f>
        <v/>
      </c>
      <c r="E347" s="7">
        <f>'1 datos preparados'!D340</f>
        <v/>
      </c>
      <c r="F347" s="7">
        <f>'1 datos preparados'!E340</f>
        <v/>
      </c>
      <c r="G347" s="7">
        <f>'1 datos preparados'!F340</f>
        <v/>
      </c>
      <c r="H347" s="7">
        <f>'1 datos preparados'!G340</f>
        <v/>
      </c>
      <c r="I347" s="7">
        <f>'1 datos preparados'!H340</f>
        <v/>
      </c>
      <c r="J347" s="7">
        <f>'1 datos preparados'!I340</f>
        <v/>
      </c>
      <c r="K347" s="7">
        <f>'1 datos preparados'!J340</f>
        <v/>
      </c>
      <c r="L347" s="7">
        <f>'1 datos preparados'!K340</f>
        <v/>
      </c>
      <c r="M347" s="7">
        <f>'1 datos preparados'!L340</f>
        <v/>
      </c>
      <c r="N347" s="7">
        <f>'1 datos preparados'!M340</f>
        <v/>
      </c>
      <c r="O347" s="7">
        <f>'1 datos preparados'!N340</f>
        <v/>
      </c>
      <c r="P347" s="7">
        <f>'1 datos preparados'!O340</f>
        <v/>
      </c>
      <c r="Q347" s="7">
        <f>'1 datos preparados'!P340</f>
        <v/>
      </c>
      <c r="R347" s="7">
        <f>'1 datos preparados'!Q340</f>
        <v/>
      </c>
      <c r="S347" s="7">
        <f>'1 datos preparados'!R340</f>
        <v/>
      </c>
      <c r="T347" s="7">
        <f>'1 datos preparados'!S340</f>
        <v/>
      </c>
      <c r="U347" s="7">
        <f>'1 datos preparados'!T340</f>
        <v/>
      </c>
      <c r="V347" s="8">
        <f>$AE$12+D347*$AE$13+E347*$AE$14+F347*$AE$15+G347*$AE$16+H347*$AE$17+I347*$AE$18+J347*$AE$19+K347*$AE$20+L347*$AE$21+M347*$AE$22+N347*$AE$23+O347*$AE$24+P347*$AE$25+Q347*$AE$26+R347*$AE$27+S347*$AE$28+T347*$AE$29+U347*$AE$30</f>
        <v/>
      </c>
      <c r="W347" s="8">
        <f>1/(1+EXP(-V347))</f>
        <v/>
      </c>
      <c r="X347" s="9">
        <f>-IF(C347=1,LN(W347),LN(1-W347))</f>
        <v/>
      </c>
      <c r="Y347" s="8">
        <f>1</f>
        <v/>
      </c>
      <c r="Z347" s="9">
        <f>Y347*X347</f>
        <v/>
      </c>
      <c r="AA347" s="10">
        <f>IF(W347&gt;$AE$32,1,0)</f>
        <v/>
      </c>
      <c r="AB347">
        <f>IF(AA347=C347,1,0)</f>
        <v/>
      </c>
    </row>
    <row r="348">
      <c r="A348">
        <f>'1 datos preparados'!A341</f>
        <v/>
      </c>
      <c r="B348" s="5">
        <f>'1 datos preparados'!U341</f>
        <v/>
      </c>
      <c r="C348">
        <f>'1 datos preparados'!B341</f>
        <v/>
      </c>
      <c r="D348" s="7">
        <f>'1 datos preparados'!C341</f>
        <v/>
      </c>
      <c r="E348" s="7">
        <f>'1 datos preparados'!D341</f>
        <v/>
      </c>
      <c r="F348" s="7">
        <f>'1 datos preparados'!E341</f>
        <v/>
      </c>
      <c r="G348" s="7">
        <f>'1 datos preparados'!F341</f>
        <v/>
      </c>
      <c r="H348" s="7">
        <f>'1 datos preparados'!G341</f>
        <v/>
      </c>
      <c r="I348" s="7">
        <f>'1 datos preparados'!H341</f>
        <v/>
      </c>
      <c r="J348" s="7">
        <f>'1 datos preparados'!I341</f>
        <v/>
      </c>
      <c r="K348" s="7">
        <f>'1 datos preparados'!J341</f>
        <v/>
      </c>
      <c r="L348" s="7">
        <f>'1 datos preparados'!K341</f>
        <v/>
      </c>
      <c r="M348" s="7">
        <f>'1 datos preparados'!L341</f>
        <v/>
      </c>
      <c r="N348" s="7">
        <f>'1 datos preparados'!M341</f>
        <v/>
      </c>
      <c r="O348" s="7">
        <f>'1 datos preparados'!N341</f>
        <v/>
      </c>
      <c r="P348" s="7">
        <f>'1 datos preparados'!O341</f>
        <v/>
      </c>
      <c r="Q348" s="7">
        <f>'1 datos preparados'!P341</f>
        <v/>
      </c>
      <c r="R348" s="7">
        <f>'1 datos preparados'!Q341</f>
        <v/>
      </c>
      <c r="S348" s="7">
        <f>'1 datos preparados'!R341</f>
        <v/>
      </c>
      <c r="T348" s="7">
        <f>'1 datos preparados'!S341</f>
        <v/>
      </c>
      <c r="U348" s="7">
        <f>'1 datos preparados'!T341</f>
        <v/>
      </c>
      <c r="V348" s="8">
        <f>$AE$12+D348*$AE$13+E348*$AE$14+F348*$AE$15+G348*$AE$16+H348*$AE$17+I348*$AE$18+J348*$AE$19+K348*$AE$20+L348*$AE$21+M348*$AE$22+N348*$AE$23+O348*$AE$24+P348*$AE$25+Q348*$AE$26+R348*$AE$27+S348*$AE$28+T348*$AE$29+U348*$AE$30</f>
        <v/>
      </c>
      <c r="W348" s="8">
        <f>1/(1+EXP(-V348))</f>
        <v/>
      </c>
      <c r="X348" s="9">
        <f>-IF(C348=1,LN(W348),LN(1-W348))</f>
        <v/>
      </c>
      <c r="Y348" s="8">
        <f>1</f>
        <v/>
      </c>
      <c r="Z348" s="9">
        <f>Y348*X348</f>
        <v/>
      </c>
      <c r="AA348" s="10">
        <f>IF(W348&gt;$AE$32,1,0)</f>
        <v/>
      </c>
      <c r="AB348">
        <f>IF(AA348=C348,1,0)</f>
        <v/>
      </c>
    </row>
    <row r="349">
      <c r="A349">
        <f>'1 datos preparados'!A342</f>
        <v/>
      </c>
      <c r="B349" s="5">
        <f>'1 datos preparados'!U342</f>
        <v/>
      </c>
      <c r="C349">
        <f>'1 datos preparados'!B342</f>
        <v/>
      </c>
      <c r="D349" s="7">
        <f>'1 datos preparados'!C342</f>
        <v/>
      </c>
      <c r="E349" s="7">
        <f>'1 datos preparados'!D342</f>
        <v/>
      </c>
      <c r="F349" s="7">
        <f>'1 datos preparados'!E342</f>
        <v/>
      </c>
      <c r="G349" s="7">
        <f>'1 datos preparados'!F342</f>
        <v/>
      </c>
      <c r="H349" s="7">
        <f>'1 datos preparados'!G342</f>
        <v/>
      </c>
      <c r="I349" s="7">
        <f>'1 datos preparados'!H342</f>
        <v/>
      </c>
      <c r="J349" s="7">
        <f>'1 datos preparados'!I342</f>
        <v/>
      </c>
      <c r="K349" s="7">
        <f>'1 datos preparados'!J342</f>
        <v/>
      </c>
      <c r="L349" s="7">
        <f>'1 datos preparados'!K342</f>
        <v/>
      </c>
      <c r="M349" s="7">
        <f>'1 datos preparados'!L342</f>
        <v/>
      </c>
      <c r="N349" s="7">
        <f>'1 datos preparados'!M342</f>
        <v/>
      </c>
      <c r="O349" s="7">
        <f>'1 datos preparados'!N342</f>
        <v/>
      </c>
      <c r="P349" s="7">
        <f>'1 datos preparados'!O342</f>
        <v/>
      </c>
      <c r="Q349" s="7">
        <f>'1 datos preparados'!P342</f>
        <v/>
      </c>
      <c r="R349" s="7">
        <f>'1 datos preparados'!Q342</f>
        <v/>
      </c>
      <c r="S349" s="7">
        <f>'1 datos preparados'!R342</f>
        <v/>
      </c>
      <c r="T349" s="7">
        <f>'1 datos preparados'!S342</f>
        <v/>
      </c>
      <c r="U349" s="7">
        <f>'1 datos preparados'!T342</f>
        <v/>
      </c>
      <c r="V349" s="8">
        <f>$AE$12+D349*$AE$13+E349*$AE$14+F349*$AE$15+G349*$AE$16+H349*$AE$17+I349*$AE$18+J349*$AE$19+K349*$AE$20+L349*$AE$21+M349*$AE$22+N349*$AE$23+O349*$AE$24+P349*$AE$25+Q349*$AE$26+R349*$AE$27+S349*$AE$28+T349*$AE$29+U349*$AE$30</f>
        <v/>
      </c>
      <c r="W349" s="8">
        <f>1/(1+EXP(-V349))</f>
        <v/>
      </c>
      <c r="X349" s="9">
        <f>-IF(C349=1,LN(W349),LN(1-W349))</f>
        <v/>
      </c>
      <c r="Y349" s="8">
        <f>1</f>
        <v/>
      </c>
      <c r="Z349" s="9">
        <f>Y349*X349</f>
        <v/>
      </c>
      <c r="AA349" s="10">
        <f>IF(W349&gt;$AE$32,1,0)</f>
        <v/>
      </c>
      <c r="AB349">
        <f>IF(AA349=C349,1,0)</f>
        <v/>
      </c>
    </row>
    <row r="350">
      <c r="A350">
        <f>'1 datos preparados'!A343</f>
        <v/>
      </c>
      <c r="B350" s="5">
        <f>'1 datos preparados'!U343</f>
        <v/>
      </c>
      <c r="C350">
        <f>'1 datos preparados'!B343</f>
        <v/>
      </c>
      <c r="D350" s="7">
        <f>'1 datos preparados'!C343</f>
        <v/>
      </c>
      <c r="E350" s="7">
        <f>'1 datos preparados'!D343</f>
        <v/>
      </c>
      <c r="F350" s="7">
        <f>'1 datos preparados'!E343</f>
        <v/>
      </c>
      <c r="G350" s="7">
        <f>'1 datos preparados'!F343</f>
        <v/>
      </c>
      <c r="H350" s="7">
        <f>'1 datos preparados'!G343</f>
        <v/>
      </c>
      <c r="I350" s="7">
        <f>'1 datos preparados'!H343</f>
        <v/>
      </c>
      <c r="J350" s="7">
        <f>'1 datos preparados'!I343</f>
        <v/>
      </c>
      <c r="K350" s="7">
        <f>'1 datos preparados'!J343</f>
        <v/>
      </c>
      <c r="L350" s="7">
        <f>'1 datos preparados'!K343</f>
        <v/>
      </c>
      <c r="M350" s="7">
        <f>'1 datos preparados'!L343</f>
        <v/>
      </c>
      <c r="N350" s="7">
        <f>'1 datos preparados'!M343</f>
        <v/>
      </c>
      <c r="O350" s="7">
        <f>'1 datos preparados'!N343</f>
        <v/>
      </c>
      <c r="P350" s="7">
        <f>'1 datos preparados'!O343</f>
        <v/>
      </c>
      <c r="Q350" s="7">
        <f>'1 datos preparados'!P343</f>
        <v/>
      </c>
      <c r="R350" s="7">
        <f>'1 datos preparados'!Q343</f>
        <v/>
      </c>
      <c r="S350" s="7">
        <f>'1 datos preparados'!R343</f>
        <v/>
      </c>
      <c r="T350" s="7">
        <f>'1 datos preparados'!S343</f>
        <v/>
      </c>
      <c r="U350" s="7">
        <f>'1 datos preparados'!T343</f>
        <v/>
      </c>
      <c r="V350" s="8">
        <f>$AE$12+D350*$AE$13+E350*$AE$14+F350*$AE$15+G350*$AE$16+H350*$AE$17+I350*$AE$18+J350*$AE$19+K350*$AE$20+L350*$AE$21+M350*$AE$22+N350*$AE$23+O350*$AE$24+P350*$AE$25+Q350*$AE$26+R350*$AE$27+S350*$AE$28+T350*$AE$29+U350*$AE$30</f>
        <v/>
      </c>
      <c r="W350" s="8">
        <f>1/(1+EXP(-V350))</f>
        <v/>
      </c>
      <c r="X350" s="9">
        <f>-IF(C350=1,LN(W350),LN(1-W350))</f>
        <v/>
      </c>
      <c r="Y350" s="8">
        <f>1</f>
        <v/>
      </c>
      <c r="Z350" s="9">
        <f>Y350*X350</f>
        <v/>
      </c>
      <c r="AA350" s="10">
        <f>IF(W350&gt;$AE$32,1,0)</f>
        <v/>
      </c>
      <c r="AB350">
        <f>IF(AA350=C350,1,0)</f>
        <v/>
      </c>
    </row>
    <row r="351">
      <c r="A351">
        <f>'1 datos preparados'!A344</f>
        <v/>
      </c>
      <c r="B351" s="5">
        <f>'1 datos preparados'!U344</f>
        <v/>
      </c>
      <c r="C351">
        <f>'1 datos preparados'!B344</f>
        <v/>
      </c>
      <c r="D351" s="7">
        <f>'1 datos preparados'!C344</f>
        <v/>
      </c>
      <c r="E351" s="7">
        <f>'1 datos preparados'!D344</f>
        <v/>
      </c>
      <c r="F351" s="7">
        <f>'1 datos preparados'!E344</f>
        <v/>
      </c>
      <c r="G351" s="7">
        <f>'1 datos preparados'!F344</f>
        <v/>
      </c>
      <c r="H351" s="7">
        <f>'1 datos preparados'!G344</f>
        <v/>
      </c>
      <c r="I351" s="7">
        <f>'1 datos preparados'!H344</f>
        <v/>
      </c>
      <c r="J351" s="7">
        <f>'1 datos preparados'!I344</f>
        <v/>
      </c>
      <c r="K351" s="7">
        <f>'1 datos preparados'!J344</f>
        <v/>
      </c>
      <c r="L351" s="7">
        <f>'1 datos preparados'!K344</f>
        <v/>
      </c>
      <c r="M351" s="7">
        <f>'1 datos preparados'!L344</f>
        <v/>
      </c>
      <c r="N351" s="7">
        <f>'1 datos preparados'!M344</f>
        <v/>
      </c>
      <c r="O351" s="7">
        <f>'1 datos preparados'!N344</f>
        <v/>
      </c>
      <c r="P351" s="7">
        <f>'1 datos preparados'!O344</f>
        <v/>
      </c>
      <c r="Q351" s="7">
        <f>'1 datos preparados'!P344</f>
        <v/>
      </c>
      <c r="R351" s="7">
        <f>'1 datos preparados'!Q344</f>
        <v/>
      </c>
      <c r="S351" s="7">
        <f>'1 datos preparados'!R344</f>
        <v/>
      </c>
      <c r="T351" s="7">
        <f>'1 datos preparados'!S344</f>
        <v/>
      </c>
      <c r="U351" s="7">
        <f>'1 datos preparados'!T344</f>
        <v/>
      </c>
      <c r="V351" s="8">
        <f>$AE$12+D351*$AE$13+E351*$AE$14+F351*$AE$15+G351*$AE$16+H351*$AE$17+I351*$AE$18+J351*$AE$19+K351*$AE$20+L351*$AE$21+M351*$AE$22+N351*$AE$23+O351*$AE$24+P351*$AE$25+Q351*$AE$26+R351*$AE$27+S351*$AE$28+T351*$AE$29+U351*$AE$30</f>
        <v/>
      </c>
      <c r="W351" s="8">
        <f>1/(1+EXP(-V351))</f>
        <v/>
      </c>
      <c r="X351" s="9">
        <f>-IF(C351=1,LN(W351),LN(1-W351))</f>
        <v/>
      </c>
      <c r="Y351" s="8">
        <f>1</f>
        <v/>
      </c>
      <c r="Z351" s="9">
        <f>Y351*X351</f>
        <v/>
      </c>
      <c r="AA351" s="10">
        <f>IF(W351&gt;$AE$32,1,0)</f>
        <v/>
      </c>
      <c r="AB351">
        <f>IF(AA351=C351,1,0)</f>
        <v/>
      </c>
    </row>
    <row r="352">
      <c r="A352">
        <f>'1 datos preparados'!A345</f>
        <v/>
      </c>
      <c r="B352" s="5">
        <f>'1 datos preparados'!U345</f>
        <v/>
      </c>
      <c r="C352">
        <f>'1 datos preparados'!B345</f>
        <v/>
      </c>
      <c r="D352" s="7">
        <f>'1 datos preparados'!C345</f>
        <v/>
      </c>
      <c r="E352" s="7">
        <f>'1 datos preparados'!D345</f>
        <v/>
      </c>
      <c r="F352" s="7">
        <f>'1 datos preparados'!E345</f>
        <v/>
      </c>
      <c r="G352" s="7">
        <f>'1 datos preparados'!F345</f>
        <v/>
      </c>
      <c r="H352" s="7">
        <f>'1 datos preparados'!G345</f>
        <v/>
      </c>
      <c r="I352" s="7">
        <f>'1 datos preparados'!H345</f>
        <v/>
      </c>
      <c r="J352" s="7">
        <f>'1 datos preparados'!I345</f>
        <v/>
      </c>
      <c r="K352" s="7">
        <f>'1 datos preparados'!J345</f>
        <v/>
      </c>
      <c r="L352" s="7">
        <f>'1 datos preparados'!K345</f>
        <v/>
      </c>
      <c r="M352" s="7">
        <f>'1 datos preparados'!L345</f>
        <v/>
      </c>
      <c r="N352" s="7">
        <f>'1 datos preparados'!M345</f>
        <v/>
      </c>
      <c r="O352" s="7">
        <f>'1 datos preparados'!N345</f>
        <v/>
      </c>
      <c r="P352" s="7">
        <f>'1 datos preparados'!O345</f>
        <v/>
      </c>
      <c r="Q352" s="7">
        <f>'1 datos preparados'!P345</f>
        <v/>
      </c>
      <c r="R352" s="7">
        <f>'1 datos preparados'!Q345</f>
        <v/>
      </c>
      <c r="S352" s="7">
        <f>'1 datos preparados'!R345</f>
        <v/>
      </c>
      <c r="T352" s="7">
        <f>'1 datos preparados'!S345</f>
        <v/>
      </c>
      <c r="U352" s="7">
        <f>'1 datos preparados'!T345</f>
        <v/>
      </c>
      <c r="V352" s="8">
        <f>$AE$12+D352*$AE$13+E352*$AE$14+F352*$AE$15+G352*$AE$16+H352*$AE$17+I352*$AE$18+J352*$AE$19+K352*$AE$20+L352*$AE$21+M352*$AE$22+N352*$AE$23+O352*$AE$24+P352*$AE$25+Q352*$AE$26+R352*$AE$27+S352*$AE$28+T352*$AE$29+U352*$AE$30</f>
        <v/>
      </c>
      <c r="W352" s="8">
        <f>1/(1+EXP(-V352))</f>
        <v/>
      </c>
      <c r="X352" s="9">
        <f>-IF(C352=1,LN(W352),LN(1-W352))</f>
        <v/>
      </c>
      <c r="Y352" s="8">
        <f>1</f>
        <v/>
      </c>
      <c r="Z352" s="9">
        <f>Y352*X352</f>
        <v/>
      </c>
      <c r="AA352" s="10">
        <f>IF(W352&gt;$AE$32,1,0)</f>
        <v/>
      </c>
      <c r="AB352">
        <f>IF(AA352=C352,1,0)</f>
        <v/>
      </c>
    </row>
    <row r="353">
      <c r="A353">
        <f>'1 datos preparados'!A346</f>
        <v/>
      </c>
      <c r="B353" s="5">
        <f>'1 datos preparados'!U346</f>
        <v/>
      </c>
      <c r="C353">
        <f>'1 datos preparados'!B346</f>
        <v/>
      </c>
      <c r="D353" s="7">
        <f>'1 datos preparados'!C346</f>
        <v/>
      </c>
      <c r="E353" s="7">
        <f>'1 datos preparados'!D346</f>
        <v/>
      </c>
      <c r="F353" s="7">
        <f>'1 datos preparados'!E346</f>
        <v/>
      </c>
      <c r="G353" s="7">
        <f>'1 datos preparados'!F346</f>
        <v/>
      </c>
      <c r="H353" s="7">
        <f>'1 datos preparados'!G346</f>
        <v/>
      </c>
      <c r="I353" s="7">
        <f>'1 datos preparados'!H346</f>
        <v/>
      </c>
      <c r="J353" s="7">
        <f>'1 datos preparados'!I346</f>
        <v/>
      </c>
      <c r="K353" s="7">
        <f>'1 datos preparados'!J346</f>
        <v/>
      </c>
      <c r="L353" s="7">
        <f>'1 datos preparados'!K346</f>
        <v/>
      </c>
      <c r="M353" s="7">
        <f>'1 datos preparados'!L346</f>
        <v/>
      </c>
      <c r="N353" s="7">
        <f>'1 datos preparados'!M346</f>
        <v/>
      </c>
      <c r="O353" s="7">
        <f>'1 datos preparados'!N346</f>
        <v/>
      </c>
      <c r="P353" s="7">
        <f>'1 datos preparados'!O346</f>
        <v/>
      </c>
      <c r="Q353" s="7">
        <f>'1 datos preparados'!P346</f>
        <v/>
      </c>
      <c r="R353" s="7">
        <f>'1 datos preparados'!Q346</f>
        <v/>
      </c>
      <c r="S353" s="7">
        <f>'1 datos preparados'!R346</f>
        <v/>
      </c>
      <c r="T353" s="7">
        <f>'1 datos preparados'!S346</f>
        <v/>
      </c>
      <c r="U353" s="7">
        <f>'1 datos preparados'!T346</f>
        <v/>
      </c>
      <c r="V353" s="8">
        <f>$AE$12+D353*$AE$13+E353*$AE$14+F353*$AE$15+G353*$AE$16+H353*$AE$17+I353*$AE$18+J353*$AE$19+K353*$AE$20+L353*$AE$21+M353*$AE$22+N353*$AE$23+O353*$AE$24+P353*$AE$25+Q353*$AE$26+R353*$AE$27+S353*$AE$28+T353*$AE$29+U353*$AE$30</f>
        <v/>
      </c>
      <c r="W353" s="8">
        <f>1/(1+EXP(-V353))</f>
        <v/>
      </c>
      <c r="X353" s="9">
        <f>-IF(C353=1,LN(W353),LN(1-W353))</f>
        <v/>
      </c>
      <c r="Y353" s="8">
        <f>1</f>
        <v/>
      </c>
      <c r="Z353" s="9">
        <f>Y353*X353</f>
        <v/>
      </c>
      <c r="AA353" s="10">
        <f>IF(W353&gt;$AE$32,1,0)</f>
        <v/>
      </c>
      <c r="AB353">
        <f>IF(AA353=C353,1,0)</f>
        <v/>
      </c>
    </row>
    <row r="354">
      <c r="A354">
        <f>'1 datos preparados'!A347</f>
        <v/>
      </c>
      <c r="B354" s="5">
        <f>'1 datos preparados'!U347</f>
        <v/>
      </c>
      <c r="C354">
        <f>'1 datos preparados'!B347</f>
        <v/>
      </c>
      <c r="D354" s="7">
        <f>'1 datos preparados'!C347</f>
        <v/>
      </c>
      <c r="E354" s="7">
        <f>'1 datos preparados'!D347</f>
        <v/>
      </c>
      <c r="F354" s="7">
        <f>'1 datos preparados'!E347</f>
        <v/>
      </c>
      <c r="G354" s="7">
        <f>'1 datos preparados'!F347</f>
        <v/>
      </c>
      <c r="H354" s="7">
        <f>'1 datos preparados'!G347</f>
        <v/>
      </c>
      <c r="I354" s="7">
        <f>'1 datos preparados'!H347</f>
        <v/>
      </c>
      <c r="J354" s="7">
        <f>'1 datos preparados'!I347</f>
        <v/>
      </c>
      <c r="K354" s="7">
        <f>'1 datos preparados'!J347</f>
        <v/>
      </c>
      <c r="L354" s="7">
        <f>'1 datos preparados'!K347</f>
        <v/>
      </c>
      <c r="M354" s="7">
        <f>'1 datos preparados'!L347</f>
        <v/>
      </c>
      <c r="N354" s="7">
        <f>'1 datos preparados'!M347</f>
        <v/>
      </c>
      <c r="O354" s="7">
        <f>'1 datos preparados'!N347</f>
        <v/>
      </c>
      <c r="P354" s="7">
        <f>'1 datos preparados'!O347</f>
        <v/>
      </c>
      <c r="Q354" s="7">
        <f>'1 datos preparados'!P347</f>
        <v/>
      </c>
      <c r="R354" s="7">
        <f>'1 datos preparados'!Q347</f>
        <v/>
      </c>
      <c r="S354" s="7">
        <f>'1 datos preparados'!R347</f>
        <v/>
      </c>
      <c r="T354" s="7">
        <f>'1 datos preparados'!S347</f>
        <v/>
      </c>
      <c r="U354" s="7">
        <f>'1 datos preparados'!T347</f>
        <v/>
      </c>
      <c r="V354" s="8">
        <f>$AE$12+D354*$AE$13+E354*$AE$14+F354*$AE$15+G354*$AE$16+H354*$AE$17+I354*$AE$18+J354*$AE$19+K354*$AE$20+L354*$AE$21+M354*$AE$22+N354*$AE$23+O354*$AE$24+P354*$AE$25+Q354*$AE$26+R354*$AE$27+S354*$AE$28+T354*$AE$29+U354*$AE$30</f>
        <v/>
      </c>
      <c r="W354" s="8">
        <f>1/(1+EXP(-V354))</f>
        <v/>
      </c>
      <c r="X354" s="9">
        <f>-IF(C354=1,LN(W354),LN(1-W354))</f>
        <v/>
      </c>
      <c r="Y354" s="8">
        <f>1</f>
        <v/>
      </c>
      <c r="Z354" s="9">
        <f>Y354*X354</f>
        <v/>
      </c>
      <c r="AA354" s="10">
        <f>IF(W354&gt;$AE$32,1,0)</f>
        <v/>
      </c>
      <c r="AB354">
        <f>IF(AA354=C354,1,0)</f>
        <v/>
      </c>
    </row>
    <row r="355">
      <c r="A355">
        <f>'1 datos preparados'!A348</f>
        <v/>
      </c>
      <c r="B355" s="5">
        <f>'1 datos preparados'!U348</f>
        <v/>
      </c>
      <c r="C355">
        <f>'1 datos preparados'!B348</f>
        <v/>
      </c>
      <c r="D355" s="7">
        <f>'1 datos preparados'!C348</f>
        <v/>
      </c>
      <c r="E355" s="7">
        <f>'1 datos preparados'!D348</f>
        <v/>
      </c>
      <c r="F355" s="7">
        <f>'1 datos preparados'!E348</f>
        <v/>
      </c>
      <c r="G355" s="7">
        <f>'1 datos preparados'!F348</f>
        <v/>
      </c>
      <c r="H355" s="7">
        <f>'1 datos preparados'!G348</f>
        <v/>
      </c>
      <c r="I355" s="7">
        <f>'1 datos preparados'!H348</f>
        <v/>
      </c>
      <c r="J355" s="7">
        <f>'1 datos preparados'!I348</f>
        <v/>
      </c>
      <c r="K355" s="7">
        <f>'1 datos preparados'!J348</f>
        <v/>
      </c>
      <c r="L355" s="7">
        <f>'1 datos preparados'!K348</f>
        <v/>
      </c>
      <c r="M355" s="7">
        <f>'1 datos preparados'!L348</f>
        <v/>
      </c>
      <c r="N355" s="7">
        <f>'1 datos preparados'!M348</f>
        <v/>
      </c>
      <c r="O355" s="7">
        <f>'1 datos preparados'!N348</f>
        <v/>
      </c>
      <c r="P355" s="7">
        <f>'1 datos preparados'!O348</f>
        <v/>
      </c>
      <c r="Q355" s="7">
        <f>'1 datos preparados'!P348</f>
        <v/>
      </c>
      <c r="R355" s="7">
        <f>'1 datos preparados'!Q348</f>
        <v/>
      </c>
      <c r="S355" s="7">
        <f>'1 datos preparados'!R348</f>
        <v/>
      </c>
      <c r="T355" s="7">
        <f>'1 datos preparados'!S348</f>
        <v/>
      </c>
      <c r="U355" s="7">
        <f>'1 datos preparados'!T348</f>
        <v/>
      </c>
      <c r="V355" s="8">
        <f>$AE$12+D355*$AE$13+E355*$AE$14+F355*$AE$15+G355*$AE$16+H355*$AE$17+I355*$AE$18+J355*$AE$19+K355*$AE$20+L355*$AE$21+M355*$AE$22+N355*$AE$23+O355*$AE$24+P355*$AE$25+Q355*$AE$26+R355*$AE$27+S355*$AE$28+T355*$AE$29+U355*$AE$30</f>
        <v/>
      </c>
      <c r="W355" s="8">
        <f>1/(1+EXP(-V355))</f>
        <v/>
      </c>
      <c r="X355" s="9">
        <f>-IF(C355=1,LN(W355),LN(1-W355))</f>
        <v/>
      </c>
      <c r="Y355" s="8">
        <f>1</f>
        <v/>
      </c>
      <c r="Z355" s="9">
        <f>Y355*X355</f>
        <v/>
      </c>
      <c r="AA355" s="10">
        <f>IF(W355&gt;$AE$32,1,0)</f>
        <v/>
      </c>
      <c r="AB355">
        <f>IF(AA355=C355,1,0)</f>
        <v/>
      </c>
    </row>
    <row r="356">
      <c r="A356">
        <f>'1 datos preparados'!A349</f>
        <v/>
      </c>
      <c r="B356" s="5">
        <f>'1 datos preparados'!U349</f>
        <v/>
      </c>
      <c r="C356">
        <f>'1 datos preparados'!B349</f>
        <v/>
      </c>
      <c r="D356" s="7">
        <f>'1 datos preparados'!C349</f>
        <v/>
      </c>
      <c r="E356" s="7">
        <f>'1 datos preparados'!D349</f>
        <v/>
      </c>
      <c r="F356" s="7">
        <f>'1 datos preparados'!E349</f>
        <v/>
      </c>
      <c r="G356" s="7">
        <f>'1 datos preparados'!F349</f>
        <v/>
      </c>
      <c r="H356" s="7">
        <f>'1 datos preparados'!G349</f>
        <v/>
      </c>
      <c r="I356" s="7">
        <f>'1 datos preparados'!H349</f>
        <v/>
      </c>
      <c r="J356" s="7">
        <f>'1 datos preparados'!I349</f>
        <v/>
      </c>
      <c r="K356" s="7">
        <f>'1 datos preparados'!J349</f>
        <v/>
      </c>
      <c r="L356" s="7">
        <f>'1 datos preparados'!K349</f>
        <v/>
      </c>
      <c r="M356" s="7">
        <f>'1 datos preparados'!L349</f>
        <v/>
      </c>
      <c r="N356" s="7">
        <f>'1 datos preparados'!M349</f>
        <v/>
      </c>
      <c r="O356" s="7">
        <f>'1 datos preparados'!N349</f>
        <v/>
      </c>
      <c r="P356" s="7">
        <f>'1 datos preparados'!O349</f>
        <v/>
      </c>
      <c r="Q356" s="7">
        <f>'1 datos preparados'!P349</f>
        <v/>
      </c>
      <c r="R356" s="7">
        <f>'1 datos preparados'!Q349</f>
        <v/>
      </c>
      <c r="S356" s="7">
        <f>'1 datos preparados'!R349</f>
        <v/>
      </c>
      <c r="T356" s="7">
        <f>'1 datos preparados'!S349</f>
        <v/>
      </c>
      <c r="U356" s="7">
        <f>'1 datos preparados'!T349</f>
        <v/>
      </c>
      <c r="V356" s="8">
        <f>$AE$12+D356*$AE$13+E356*$AE$14+F356*$AE$15+G356*$AE$16+H356*$AE$17+I356*$AE$18+J356*$AE$19+K356*$AE$20+L356*$AE$21+M356*$AE$22+N356*$AE$23+O356*$AE$24+P356*$AE$25+Q356*$AE$26+R356*$AE$27+S356*$AE$28+T356*$AE$29+U356*$AE$30</f>
        <v/>
      </c>
      <c r="W356" s="8">
        <f>1/(1+EXP(-V356))</f>
        <v/>
      </c>
      <c r="X356" s="9">
        <f>-IF(C356=1,LN(W356),LN(1-W356))</f>
        <v/>
      </c>
      <c r="Y356" s="8">
        <f>1</f>
        <v/>
      </c>
      <c r="Z356" s="9">
        <f>Y356*X356</f>
        <v/>
      </c>
      <c r="AA356" s="10">
        <f>IF(W356&gt;$AE$32,1,0)</f>
        <v/>
      </c>
      <c r="AB356">
        <f>IF(AA356=C356,1,0)</f>
        <v/>
      </c>
    </row>
    <row r="357">
      <c r="A357">
        <f>'1 datos preparados'!A350</f>
        <v/>
      </c>
      <c r="B357" s="5">
        <f>'1 datos preparados'!U350</f>
        <v/>
      </c>
      <c r="C357">
        <f>'1 datos preparados'!B350</f>
        <v/>
      </c>
      <c r="D357" s="7">
        <f>'1 datos preparados'!C350</f>
        <v/>
      </c>
      <c r="E357" s="7">
        <f>'1 datos preparados'!D350</f>
        <v/>
      </c>
      <c r="F357" s="7">
        <f>'1 datos preparados'!E350</f>
        <v/>
      </c>
      <c r="G357" s="7">
        <f>'1 datos preparados'!F350</f>
        <v/>
      </c>
      <c r="H357" s="7">
        <f>'1 datos preparados'!G350</f>
        <v/>
      </c>
      <c r="I357" s="7">
        <f>'1 datos preparados'!H350</f>
        <v/>
      </c>
      <c r="J357" s="7">
        <f>'1 datos preparados'!I350</f>
        <v/>
      </c>
      <c r="K357" s="7">
        <f>'1 datos preparados'!J350</f>
        <v/>
      </c>
      <c r="L357" s="7">
        <f>'1 datos preparados'!K350</f>
        <v/>
      </c>
      <c r="M357" s="7">
        <f>'1 datos preparados'!L350</f>
        <v/>
      </c>
      <c r="N357" s="7">
        <f>'1 datos preparados'!M350</f>
        <v/>
      </c>
      <c r="O357" s="7">
        <f>'1 datos preparados'!N350</f>
        <v/>
      </c>
      <c r="P357" s="7">
        <f>'1 datos preparados'!O350</f>
        <v/>
      </c>
      <c r="Q357" s="7">
        <f>'1 datos preparados'!P350</f>
        <v/>
      </c>
      <c r="R357" s="7">
        <f>'1 datos preparados'!Q350</f>
        <v/>
      </c>
      <c r="S357" s="7">
        <f>'1 datos preparados'!R350</f>
        <v/>
      </c>
      <c r="T357" s="7">
        <f>'1 datos preparados'!S350</f>
        <v/>
      </c>
      <c r="U357" s="7">
        <f>'1 datos preparados'!T350</f>
        <v/>
      </c>
      <c r="V357" s="8">
        <f>$AE$12+D357*$AE$13+E357*$AE$14+F357*$AE$15+G357*$AE$16+H357*$AE$17+I357*$AE$18+J357*$AE$19+K357*$AE$20+L357*$AE$21+M357*$AE$22+N357*$AE$23+O357*$AE$24+P357*$AE$25+Q357*$AE$26+R357*$AE$27+S357*$AE$28+T357*$AE$29+U357*$AE$30</f>
        <v/>
      </c>
      <c r="W357" s="8">
        <f>1/(1+EXP(-V357))</f>
        <v/>
      </c>
      <c r="X357" s="9">
        <f>-IF(C357=1,LN(W357),LN(1-W357))</f>
        <v/>
      </c>
      <c r="Y357" s="8">
        <f>1</f>
        <v/>
      </c>
      <c r="Z357" s="9">
        <f>Y357*X357</f>
        <v/>
      </c>
      <c r="AA357" s="10">
        <f>IF(W357&gt;$AE$32,1,0)</f>
        <v/>
      </c>
      <c r="AB357">
        <f>IF(AA357=C357,1,0)</f>
        <v/>
      </c>
    </row>
    <row r="358">
      <c r="A358">
        <f>'1 datos preparados'!A351</f>
        <v/>
      </c>
      <c r="B358" s="5">
        <f>'1 datos preparados'!U351</f>
        <v/>
      </c>
      <c r="C358">
        <f>'1 datos preparados'!B351</f>
        <v/>
      </c>
      <c r="D358" s="7">
        <f>'1 datos preparados'!C351</f>
        <v/>
      </c>
      <c r="E358" s="7">
        <f>'1 datos preparados'!D351</f>
        <v/>
      </c>
      <c r="F358" s="7">
        <f>'1 datos preparados'!E351</f>
        <v/>
      </c>
      <c r="G358" s="7">
        <f>'1 datos preparados'!F351</f>
        <v/>
      </c>
      <c r="H358" s="7">
        <f>'1 datos preparados'!G351</f>
        <v/>
      </c>
      <c r="I358" s="7">
        <f>'1 datos preparados'!H351</f>
        <v/>
      </c>
      <c r="J358" s="7">
        <f>'1 datos preparados'!I351</f>
        <v/>
      </c>
      <c r="K358" s="7">
        <f>'1 datos preparados'!J351</f>
        <v/>
      </c>
      <c r="L358" s="7">
        <f>'1 datos preparados'!K351</f>
        <v/>
      </c>
      <c r="M358" s="7">
        <f>'1 datos preparados'!L351</f>
        <v/>
      </c>
      <c r="N358" s="7">
        <f>'1 datos preparados'!M351</f>
        <v/>
      </c>
      <c r="O358" s="7">
        <f>'1 datos preparados'!N351</f>
        <v/>
      </c>
      <c r="P358" s="7">
        <f>'1 datos preparados'!O351</f>
        <v/>
      </c>
      <c r="Q358" s="7">
        <f>'1 datos preparados'!P351</f>
        <v/>
      </c>
      <c r="R358" s="7">
        <f>'1 datos preparados'!Q351</f>
        <v/>
      </c>
      <c r="S358" s="7">
        <f>'1 datos preparados'!R351</f>
        <v/>
      </c>
      <c r="T358" s="7">
        <f>'1 datos preparados'!S351</f>
        <v/>
      </c>
      <c r="U358" s="7">
        <f>'1 datos preparados'!T351</f>
        <v/>
      </c>
      <c r="V358" s="8">
        <f>$AE$12+D358*$AE$13+E358*$AE$14+F358*$AE$15+G358*$AE$16+H358*$AE$17+I358*$AE$18+J358*$AE$19+K358*$AE$20+L358*$AE$21+M358*$AE$22+N358*$AE$23+O358*$AE$24+P358*$AE$25+Q358*$AE$26+R358*$AE$27+S358*$AE$28+T358*$AE$29+U358*$AE$30</f>
        <v/>
      </c>
      <c r="W358" s="8">
        <f>1/(1+EXP(-V358))</f>
        <v/>
      </c>
      <c r="X358" s="9">
        <f>-IF(C358=1,LN(W358),LN(1-W358))</f>
        <v/>
      </c>
      <c r="Y358" s="8">
        <f>1</f>
        <v/>
      </c>
      <c r="Z358" s="9">
        <f>Y358*X358</f>
        <v/>
      </c>
      <c r="AA358" s="10">
        <f>IF(W358&gt;$AE$32,1,0)</f>
        <v/>
      </c>
      <c r="AB358">
        <f>IF(AA358=C358,1,0)</f>
        <v/>
      </c>
    </row>
    <row r="359">
      <c r="A359">
        <f>'1 datos preparados'!A352</f>
        <v/>
      </c>
      <c r="B359" s="5">
        <f>'1 datos preparados'!U352</f>
        <v/>
      </c>
      <c r="C359">
        <f>'1 datos preparados'!B352</f>
        <v/>
      </c>
      <c r="D359" s="7">
        <f>'1 datos preparados'!C352</f>
        <v/>
      </c>
      <c r="E359" s="7">
        <f>'1 datos preparados'!D352</f>
        <v/>
      </c>
      <c r="F359" s="7">
        <f>'1 datos preparados'!E352</f>
        <v/>
      </c>
      <c r="G359" s="7">
        <f>'1 datos preparados'!F352</f>
        <v/>
      </c>
      <c r="H359" s="7">
        <f>'1 datos preparados'!G352</f>
        <v/>
      </c>
      <c r="I359" s="7">
        <f>'1 datos preparados'!H352</f>
        <v/>
      </c>
      <c r="J359" s="7">
        <f>'1 datos preparados'!I352</f>
        <v/>
      </c>
      <c r="K359" s="7">
        <f>'1 datos preparados'!J352</f>
        <v/>
      </c>
      <c r="L359" s="7">
        <f>'1 datos preparados'!K352</f>
        <v/>
      </c>
      <c r="M359" s="7">
        <f>'1 datos preparados'!L352</f>
        <v/>
      </c>
      <c r="N359" s="7">
        <f>'1 datos preparados'!M352</f>
        <v/>
      </c>
      <c r="O359" s="7">
        <f>'1 datos preparados'!N352</f>
        <v/>
      </c>
      <c r="P359" s="7">
        <f>'1 datos preparados'!O352</f>
        <v/>
      </c>
      <c r="Q359" s="7">
        <f>'1 datos preparados'!P352</f>
        <v/>
      </c>
      <c r="R359" s="7">
        <f>'1 datos preparados'!Q352</f>
        <v/>
      </c>
      <c r="S359" s="7">
        <f>'1 datos preparados'!R352</f>
        <v/>
      </c>
      <c r="T359" s="7">
        <f>'1 datos preparados'!S352</f>
        <v/>
      </c>
      <c r="U359" s="7">
        <f>'1 datos preparados'!T352</f>
        <v/>
      </c>
      <c r="V359" s="8">
        <f>$AE$12+D359*$AE$13+E359*$AE$14+F359*$AE$15+G359*$AE$16+H359*$AE$17+I359*$AE$18+J359*$AE$19+K359*$AE$20+L359*$AE$21+M359*$AE$22+N359*$AE$23+O359*$AE$24+P359*$AE$25+Q359*$AE$26+R359*$AE$27+S359*$AE$28+T359*$AE$29+U359*$AE$30</f>
        <v/>
      </c>
      <c r="W359" s="8">
        <f>1/(1+EXP(-V359))</f>
        <v/>
      </c>
      <c r="X359" s="9">
        <f>-IF(C359=1,LN(W359),LN(1-W359))</f>
        <v/>
      </c>
      <c r="Y359" s="8">
        <f>1</f>
        <v/>
      </c>
      <c r="Z359" s="9">
        <f>Y359*X359</f>
        <v/>
      </c>
      <c r="AA359" s="10">
        <f>IF(W359&gt;$AE$32,1,0)</f>
        <v/>
      </c>
      <c r="AB359">
        <f>IF(AA359=C359,1,0)</f>
        <v/>
      </c>
    </row>
    <row r="360">
      <c r="A360">
        <f>'1 datos preparados'!A353</f>
        <v/>
      </c>
      <c r="B360" s="5">
        <f>'1 datos preparados'!U353</f>
        <v/>
      </c>
      <c r="C360">
        <f>'1 datos preparados'!B353</f>
        <v/>
      </c>
      <c r="D360" s="7">
        <f>'1 datos preparados'!C353</f>
        <v/>
      </c>
      <c r="E360" s="7">
        <f>'1 datos preparados'!D353</f>
        <v/>
      </c>
      <c r="F360" s="7">
        <f>'1 datos preparados'!E353</f>
        <v/>
      </c>
      <c r="G360" s="7">
        <f>'1 datos preparados'!F353</f>
        <v/>
      </c>
      <c r="H360" s="7">
        <f>'1 datos preparados'!G353</f>
        <v/>
      </c>
      <c r="I360" s="7">
        <f>'1 datos preparados'!H353</f>
        <v/>
      </c>
      <c r="J360" s="7">
        <f>'1 datos preparados'!I353</f>
        <v/>
      </c>
      <c r="K360" s="7">
        <f>'1 datos preparados'!J353</f>
        <v/>
      </c>
      <c r="L360" s="7">
        <f>'1 datos preparados'!K353</f>
        <v/>
      </c>
      <c r="M360" s="7">
        <f>'1 datos preparados'!L353</f>
        <v/>
      </c>
      <c r="N360" s="7">
        <f>'1 datos preparados'!M353</f>
        <v/>
      </c>
      <c r="O360" s="7">
        <f>'1 datos preparados'!N353</f>
        <v/>
      </c>
      <c r="P360" s="7">
        <f>'1 datos preparados'!O353</f>
        <v/>
      </c>
      <c r="Q360" s="7">
        <f>'1 datos preparados'!P353</f>
        <v/>
      </c>
      <c r="R360" s="7">
        <f>'1 datos preparados'!Q353</f>
        <v/>
      </c>
      <c r="S360" s="7">
        <f>'1 datos preparados'!R353</f>
        <v/>
      </c>
      <c r="T360" s="7">
        <f>'1 datos preparados'!S353</f>
        <v/>
      </c>
      <c r="U360" s="7">
        <f>'1 datos preparados'!T353</f>
        <v/>
      </c>
      <c r="V360" s="8">
        <f>$AE$12+D360*$AE$13+E360*$AE$14+F360*$AE$15+G360*$AE$16+H360*$AE$17+I360*$AE$18+J360*$AE$19+K360*$AE$20+L360*$AE$21+M360*$AE$22+N360*$AE$23+O360*$AE$24+P360*$AE$25+Q360*$AE$26+R360*$AE$27+S360*$AE$28+T360*$AE$29+U360*$AE$30</f>
        <v/>
      </c>
      <c r="W360" s="8">
        <f>1/(1+EXP(-V360))</f>
        <v/>
      </c>
      <c r="X360" s="9">
        <f>-IF(C360=1,LN(W360),LN(1-W360))</f>
        <v/>
      </c>
      <c r="Y360" s="8">
        <f>1</f>
        <v/>
      </c>
      <c r="Z360" s="9">
        <f>Y360*X360</f>
        <v/>
      </c>
      <c r="AA360" s="10">
        <f>IF(W360&gt;$AE$32,1,0)</f>
        <v/>
      </c>
      <c r="AB360">
        <f>IF(AA360=C360,1,0)</f>
        <v/>
      </c>
    </row>
    <row r="361">
      <c r="A361">
        <f>'1 datos preparados'!A354</f>
        <v/>
      </c>
      <c r="B361" s="5">
        <f>'1 datos preparados'!U354</f>
        <v/>
      </c>
      <c r="C361">
        <f>'1 datos preparados'!B354</f>
        <v/>
      </c>
      <c r="D361" s="7">
        <f>'1 datos preparados'!C354</f>
        <v/>
      </c>
      <c r="E361" s="7">
        <f>'1 datos preparados'!D354</f>
        <v/>
      </c>
      <c r="F361" s="7">
        <f>'1 datos preparados'!E354</f>
        <v/>
      </c>
      <c r="G361" s="7">
        <f>'1 datos preparados'!F354</f>
        <v/>
      </c>
      <c r="H361" s="7">
        <f>'1 datos preparados'!G354</f>
        <v/>
      </c>
      <c r="I361" s="7">
        <f>'1 datos preparados'!H354</f>
        <v/>
      </c>
      <c r="J361" s="7">
        <f>'1 datos preparados'!I354</f>
        <v/>
      </c>
      <c r="K361" s="7">
        <f>'1 datos preparados'!J354</f>
        <v/>
      </c>
      <c r="L361" s="7">
        <f>'1 datos preparados'!K354</f>
        <v/>
      </c>
      <c r="M361" s="7">
        <f>'1 datos preparados'!L354</f>
        <v/>
      </c>
      <c r="N361" s="7">
        <f>'1 datos preparados'!M354</f>
        <v/>
      </c>
      <c r="O361" s="7">
        <f>'1 datos preparados'!N354</f>
        <v/>
      </c>
      <c r="P361" s="7">
        <f>'1 datos preparados'!O354</f>
        <v/>
      </c>
      <c r="Q361" s="7">
        <f>'1 datos preparados'!P354</f>
        <v/>
      </c>
      <c r="R361" s="7">
        <f>'1 datos preparados'!Q354</f>
        <v/>
      </c>
      <c r="S361" s="7">
        <f>'1 datos preparados'!R354</f>
        <v/>
      </c>
      <c r="T361" s="7">
        <f>'1 datos preparados'!S354</f>
        <v/>
      </c>
      <c r="U361" s="7">
        <f>'1 datos preparados'!T354</f>
        <v/>
      </c>
      <c r="V361" s="8">
        <f>$AE$12+D361*$AE$13+E361*$AE$14+F361*$AE$15+G361*$AE$16+H361*$AE$17+I361*$AE$18+J361*$AE$19+K361*$AE$20+L361*$AE$21+M361*$AE$22+N361*$AE$23+O361*$AE$24+P361*$AE$25+Q361*$AE$26+R361*$AE$27+S361*$AE$28+T361*$AE$29+U361*$AE$30</f>
        <v/>
      </c>
      <c r="W361" s="8">
        <f>1/(1+EXP(-V361))</f>
        <v/>
      </c>
      <c r="X361" s="9">
        <f>-IF(C361=1,LN(W361),LN(1-W361))</f>
        <v/>
      </c>
      <c r="Y361" s="8">
        <f>1</f>
        <v/>
      </c>
      <c r="Z361" s="9">
        <f>Y361*X361</f>
        <v/>
      </c>
      <c r="AA361" s="10">
        <f>IF(W361&gt;$AE$32,1,0)</f>
        <v/>
      </c>
      <c r="AB361">
        <f>IF(AA361=C361,1,0)</f>
        <v/>
      </c>
    </row>
    <row r="362">
      <c r="A362">
        <f>'1 datos preparados'!A355</f>
        <v/>
      </c>
      <c r="B362" s="5">
        <f>'1 datos preparados'!U355</f>
        <v/>
      </c>
      <c r="C362">
        <f>'1 datos preparados'!B355</f>
        <v/>
      </c>
      <c r="D362" s="7">
        <f>'1 datos preparados'!C355</f>
        <v/>
      </c>
      <c r="E362" s="7">
        <f>'1 datos preparados'!D355</f>
        <v/>
      </c>
      <c r="F362" s="7">
        <f>'1 datos preparados'!E355</f>
        <v/>
      </c>
      <c r="G362" s="7">
        <f>'1 datos preparados'!F355</f>
        <v/>
      </c>
      <c r="H362" s="7">
        <f>'1 datos preparados'!G355</f>
        <v/>
      </c>
      <c r="I362" s="7">
        <f>'1 datos preparados'!H355</f>
        <v/>
      </c>
      <c r="J362" s="7">
        <f>'1 datos preparados'!I355</f>
        <v/>
      </c>
      <c r="K362" s="7">
        <f>'1 datos preparados'!J355</f>
        <v/>
      </c>
      <c r="L362" s="7">
        <f>'1 datos preparados'!K355</f>
        <v/>
      </c>
      <c r="M362" s="7">
        <f>'1 datos preparados'!L355</f>
        <v/>
      </c>
      <c r="N362" s="7">
        <f>'1 datos preparados'!M355</f>
        <v/>
      </c>
      <c r="O362" s="7">
        <f>'1 datos preparados'!N355</f>
        <v/>
      </c>
      <c r="P362" s="7">
        <f>'1 datos preparados'!O355</f>
        <v/>
      </c>
      <c r="Q362" s="7">
        <f>'1 datos preparados'!P355</f>
        <v/>
      </c>
      <c r="R362" s="7">
        <f>'1 datos preparados'!Q355</f>
        <v/>
      </c>
      <c r="S362" s="7">
        <f>'1 datos preparados'!R355</f>
        <v/>
      </c>
      <c r="T362" s="7">
        <f>'1 datos preparados'!S355</f>
        <v/>
      </c>
      <c r="U362" s="7">
        <f>'1 datos preparados'!T355</f>
        <v/>
      </c>
      <c r="V362" s="8">
        <f>$AE$12+D362*$AE$13+E362*$AE$14+F362*$AE$15+G362*$AE$16+H362*$AE$17+I362*$AE$18+J362*$AE$19+K362*$AE$20+L362*$AE$21+M362*$AE$22+N362*$AE$23+O362*$AE$24+P362*$AE$25+Q362*$AE$26+R362*$AE$27+S362*$AE$28+T362*$AE$29+U362*$AE$30</f>
        <v/>
      </c>
      <c r="W362" s="8">
        <f>1/(1+EXP(-V362))</f>
        <v/>
      </c>
      <c r="X362" s="9">
        <f>-IF(C362=1,LN(W362),LN(1-W362))</f>
        <v/>
      </c>
      <c r="Y362" s="8">
        <f>1</f>
        <v/>
      </c>
      <c r="Z362" s="9">
        <f>Y362*X362</f>
        <v/>
      </c>
      <c r="AA362" s="10">
        <f>IF(W362&gt;$AE$32,1,0)</f>
        <v/>
      </c>
      <c r="AB362">
        <f>IF(AA362=C362,1,0)</f>
        <v/>
      </c>
    </row>
    <row r="363">
      <c r="A363">
        <f>'1 datos preparados'!A356</f>
        <v/>
      </c>
      <c r="B363" s="5">
        <f>'1 datos preparados'!U356</f>
        <v/>
      </c>
      <c r="C363">
        <f>'1 datos preparados'!B356</f>
        <v/>
      </c>
      <c r="D363" s="7">
        <f>'1 datos preparados'!C356</f>
        <v/>
      </c>
      <c r="E363" s="7">
        <f>'1 datos preparados'!D356</f>
        <v/>
      </c>
      <c r="F363" s="7">
        <f>'1 datos preparados'!E356</f>
        <v/>
      </c>
      <c r="G363" s="7">
        <f>'1 datos preparados'!F356</f>
        <v/>
      </c>
      <c r="H363" s="7">
        <f>'1 datos preparados'!G356</f>
        <v/>
      </c>
      <c r="I363" s="7">
        <f>'1 datos preparados'!H356</f>
        <v/>
      </c>
      <c r="J363" s="7">
        <f>'1 datos preparados'!I356</f>
        <v/>
      </c>
      <c r="K363" s="7">
        <f>'1 datos preparados'!J356</f>
        <v/>
      </c>
      <c r="L363" s="7">
        <f>'1 datos preparados'!K356</f>
        <v/>
      </c>
      <c r="M363" s="7">
        <f>'1 datos preparados'!L356</f>
        <v/>
      </c>
      <c r="N363" s="7">
        <f>'1 datos preparados'!M356</f>
        <v/>
      </c>
      <c r="O363" s="7">
        <f>'1 datos preparados'!N356</f>
        <v/>
      </c>
      <c r="P363" s="7">
        <f>'1 datos preparados'!O356</f>
        <v/>
      </c>
      <c r="Q363" s="7">
        <f>'1 datos preparados'!P356</f>
        <v/>
      </c>
      <c r="R363" s="7">
        <f>'1 datos preparados'!Q356</f>
        <v/>
      </c>
      <c r="S363" s="7">
        <f>'1 datos preparados'!R356</f>
        <v/>
      </c>
      <c r="T363" s="7">
        <f>'1 datos preparados'!S356</f>
        <v/>
      </c>
      <c r="U363" s="7">
        <f>'1 datos preparados'!T356</f>
        <v/>
      </c>
      <c r="V363" s="8">
        <f>$AE$12+D363*$AE$13+E363*$AE$14+F363*$AE$15+G363*$AE$16+H363*$AE$17+I363*$AE$18+J363*$AE$19+K363*$AE$20+L363*$AE$21+M363*$AE$22+N363*$AE$23+O363*$AE$24+P363*$AE$25+Q363*$AE$26+R363*$AE$27+S363*$AE$28+T363*$AE$29+U363*$AE$30</f>
        <v/>
      </c>
      <c r="W363" s="8">
        <f>1/(1+EXP(-V363))</f>
        <v/>
      </c>
      <c r="X363" s="9">
        <f>-IF(C363=1,LN(W363),LN(1-W363))</f>
        <v/>
      </c>
      <c r="Y363" s="8">
        <f>1</f>
        <v/>
      </c>
      <c r="Z363" s="9">
        <f>Y363*X363</f>
        <v/>
      </c>
      <c r="AA363" s="10">
        <f>IF(W363&gt;$AE$32,1,0)</f>
        <v/>
      </c>
      <c r="AB363">
        <f>IF(AA363=C363,1,0)</f>
        <v/>
      </c>
    </row>
    <row r="364">
      <c r="A364">
        <f>'1 datos preparados'!A357</f>
        <v/>
      </c>
      <c r="B364" s="5">
        <f>'1 datos preparados'!U357</f>
        <v/>
      </c>
      <c r="C364">
        <f>'1 datos preparados'!B357</f>
        <v/>
      </c>
      <c r="D364" s="7">
        <f>'1 datos preparados'!C357</f>
        <v/>
      </c>
      <c r="E364" s="7">
        <f>'1 datos preparados'!D357</f>
        <v/>
      </c>
      <c r="F364" s="7">
        <f>'1 datos preparados'!E357</f>
        <v/>
      </c>
      <c r="G364" s="7">
        <f>'1 datos preparados'!F357</f>
        <v/>
      </c>
      <c r="H364" s="7">
        <f>'1 datos preparados'!G357</f>
        <v/>
      </c>
      <c r="I364" s="7">
        <f>'1 datos preparados'!H357</f>
        <v/>
      </c>
      <c r="J364" s="7">
        <f>'1 datos preparados'!I357</f>
        <v/>
      </c>
      <c r="K364" s="7">
        <f>'1 datos preparados'!J357</f>
        <v/>
      </c>
      <c r="L364" s="7">
        <f>'1 datos preparados'!K357</f>
        <v/>
      </c>
      <c r="M364" s="7">
        <f>'1 datos preparados'!L357</f>
        <v/>
      </c>
      <c r="N364" s="7">
        <f>'1 datos preparados'!M357</f>
        <v/>
      </c>
      <c r="O364" s="7">
        <f>'1 datos preparados'!N357</f>
        <v/>
      </c>
      <c r="P364" s="7">
        <f>'1 datos preparados'!O357</f>
        <v/>
      </c>
      <c r="Q364" s="7">
        <f>'1 datos preparados'!P357</f>
        <v/>
      </c>
      <c r="R364" s="7">
        <f>'1 datos preparados'!Q357</f>
        <v/>
      </c>
      <c r="S364" s="7">
        <f>'1 datos preparados'!R357</f>
        <v/>
      </c>
      <c r="T364" s="7">
        <f>'1 datos preparados'!S357</f>
        <v/>
      </c>
      <c r="U364" s="7">
        <f>'1 datos preparados'!T357</f>
        <v/>
      </c>
      <c r="V364" s="8">
        <f>$AE$12+D364*$AE$13+E364*$AE$14+F364*$AE$15+G364*$AE$16+H364*$AE$17+I364*$AE$18+J364*$AE$19+K364*$AE$20+L364*$AE$21+M364*$AE$22+N364*$AE$23+O364*$AE$24+P364*$AE$25+Q364*$AE$26+R364*$AE$27+S364*$AE$28+T364*$AE$29+U364*$AE$30</f>
        <v/>
      </c>
      <c r="W364" s="8">
        <f>1/(1+EXP(-V364))</f>
        <v/>
      </c>
      <c r="X364" s="9">
        <f>-IF(C364=1,LN(W364),LN(1-W364))</f>
        <v/>
      </c>
      <c r="Y364" s="8">
        <f>1</f>
        <v/>
      </c>
      <c r="Z364" s="9">
        <f>Y364*X364</f>
        <v/>
      </c>
      <c r="AA364" s="10">
        <f>IF(W364&gt;$AE$32,1,0)</f>
        <v/>
      </c>
      <c r="AB364">
        <f>IF(AA364=C364,1,0)</f>
        <v/>
      </c>
    </row>
    <row r="365">
      <c r="A365">
        <f>'1 datos preparados'!A358</f>
        <v/>
      </c>
      <c r="B365" s="5">
        <f>'1 datos preparados'!U358</f>
        <v/>
      </c>
      <c r="C365">
        <f>'1 datos preparados'!B358</f>
        <v/>
      </c>
      <c r="D365" s="7">
        <f>'1 datos preparados'!C358</f>
        <v/>
      </c>
      <c r="E365" s="7">
        <f>'1 datos preparados'!D358</f>
        <v/>
      </c>
      <c r="F365" s="7">
        <f>'1 datos preparados'!E358</f>
        <v/>
      </c>
      <c r="G365" s="7">
        <f>'1 datos preparados'!F358</f>
        <v/>
      </c>
      <c r="H365" s="7">
        <f>'1 datos preparados'!G358</f>
        <v/>
      </c>
      <c r="I365" s="7">
        <f>'1 datos preparados'!H358</f>
        <v/>
      </c>
      <c r="J365" s="7">
        <f>'1 datos preparados'!I358</f>
        <v/>
      </c>
      <c r="K365" s="7">
        <f>'1 datos preparados'!J358</f>
        <v/>
      </c>
      <c r="L365" s="7">
        <f>'1 datos preparados'!K358</f>
        <v/>
      </c>
      <c r="M365" s="7">
        <f>'1 datos preparados'!L358</f>
        <v/>
      </c>
      <c r="N365" s="7">
        <f>'1 datos preparados'!M358</f>
        <v/>
      </c>
      <c r="O365" s="7">
        <f>'1 datos preparados'!N358</f>
        <v/>
      </c>
      <c r="P365" s="7">
        <f>'1 datos preparados'!O358</f>
        <v/>
      </c>
      <c r="Q365" s="7">
        <f>'1 datos preparados'!P358</f>
        <v/>
      </c>
      <c r="R365" s="7">
        <f>'1 datos preparados'!Q358</f>
        <v/>
      </c>
      <c r="S365" s="7">
        <f>'1 datos preparados'!R358</f>
        <v/>
      </c>
      <c r="T365" s="7">
        <f>'1 datos preparados'!S358</f>
        <v/>
      </c>
      <c r="U365" s="7">
        <f>'1 datos preparados'!T358</f>
        <v/>
      </c>
      <c r="V365" s="8">
        <f>$AE$12+D365*$AE$13+E365*$AE$14+F365*$AE$15+G365*$AE$16+H365*$AE$17+I365*$AE$18+J365*$AE$19+K365*$AE$20+L365*$AE$21+M365*$AE$22+N365*$AE$23+O365*$AE$24+P365*$AE$25+Q365*$AE$26+R365*$AE$27+S365*$AE$28+T365*$AE$29+U365*$AE$30</f>
        <v/>
      </c>
      <c r="W365" s="8">
        <f>1/(1+EXP(-V365))</f>
        <v/>
      </c>
      <c r="X365" s="9">
        <f>-IF(C365=1,LN(W365),LN(1-W365))</f>
        <v/>
      </c>
      <c r="Y365" s="8">
        <f>1</f>
        <v/>
      </c>
      <c r="Z365" s="9">
        <f>Y365*X365</f>
        <v/>
      </c>
      <c r="AA365" s="10">
        <f>IF(W365&gt;$AE$32,1,0)</f>
        <v/>
      </c>
      <c r="AB365">
        <f>IF(AA365=C365,1,0)</f>
        <v/>
      </c>
    </row>
    <row r="366">
      <c r="A366">
        <f>'1 datos preparados'!A359</f>
        <v/>
      </c>
      <c r="B366" s="5">
        <f>'1 datos preparados'!U359</f>
        <v/>
      </c>
      <c r="C366">
        <f>'1 datos preparados'!B359</f>
        <v/>
      </c>
      <c r="D366" s="7">
        <f>'1 datos preparados'!C359</f>
        <v/>
      </c>
      <c r="E366" s="7">
        <f>'1 datos preparados'!D359</f>
        <v/>
      </c>
      <c r="F366" s="7">
        <f>'1 datos preparados'!E359</f>
        <v/>
      </c>
      <c r="G366" s="7">
        <f>'1 datos preparados'!F359</f>
        <v/>
      </c>
      <c r="H366" s="7">
        <f>'1 datos preparados'!G359</f>
        <v/>
      </c>
      <c r="I366" s="7">
        <f>'1 datos preparados'!H359</f>
        <v/>
      </c>
      <c r="J366" s="7">
        <f>'1 datos preparados'!I359</f>
        <v/>
      </c>
      <c r="K366" s="7">
        <f>'1 datos preparados'!J359</f>
        <v/>
      </c>
      <c r="L366" s="7">
        <f>'1 datos preparados'!K359</f>
        <v/>
      </c>
      <c r="M366" s="7">
        <f>'1 datos preparados'!L359</f>
        <v/>
      </c>
      <c r="N366" s="7">
        <f>'1 datos preparados'!M359</f>
        <v/>
      </c>
      <c r="O366" s="7">
        <f>'1 datos preparados'!N359</f>
        <v/>
      </c>
      <c r="P366" s="7">
        <f>'1 datos preparados'!O359</f>
        <v/>
      </c>
      <c r="Q366" s="7">
        <f>'1 datos preparados'!P359</f>
        <v/>
      </c>
      <c r="R366" s="7">
        <f>'1 datos preparados'!Q359</f>
        <v/>
      </c>
      <c r="S366" s="7">
        <f>'1 datos preparados'!R359</f>
        <v/>
      </c>
      <c r="T366" s="7">
        <f>'1 datos preparados'!S359</f>
        <v/>
      </c>
      <c r="U366" s="7">
        <f>'1 datos preparados'!T359</f>
        <v/>
      </c>
      <c r="V366" s="8">
        <f>$AE$12+D366*$AE$13+E366*$AE$14+F366*$AE$15+G366*$AE$16+H366*$AE$17+I366*$AE$18+J366*$AE$19+K366*$AE$20+L366*$AE$21+M366*$AE$22+N366*$AE$23+O366*$AE$24+P366*$AE$25+Q366*$AE$26+R366*$AE$27+S366*$AE$28+T366*$AE$29+U366*$AE$30</f>
        <v/>
      </c>
      <c r="W366" s="8">
        <f>1/(1+EXP(-V366))</f>
        <v/>
      </c>
      <c r="X366" s="9">
        <f>-IF(C366=1,LN(W366),LN(1-W366))</f>
        <v/>
      </c>
      <c r="Y366" s="8">
        <f>1</f>
        <v/>
      </c>
      <c r="Z366" s="9">
        <f>Y366*X366</f>
        <v/>
      </c>
      <c r="AA366" s="10">
        <f>IF(W366&gt;$AE$32,1,0)</f>
        <v/>
      </c>
      <c r="AB366">
        <f>IF(AA366=C366,1,0)</f>
        <v/>
      </c>
    </row>
    <row r="367">
      <c r="A367">
        <f>'1 datos preparados'!A360</f>
        <v/>
      </c>
      <c r="B367" s="5">
        <f>'1 datos preparados'!U360</f>
        <v/>
      </c>
      <c r="C367">
        <f>'1 datos preparados'!B360</f>
        <v/>
      </c>
      <c r="D367" s="7">
        <f>'1 datos preparados'!C360</f>
        <v/>
      </c>
      <c r="E367" s="7">
        <f>'1 datos preparados'!D360</f>
        <v/>
      </c>
      <c r="F367" s="7">
        <f>'1 datos preparados'!E360</f>
        <v/>
      </c>
      <c r="G367" s="7">
        <f>'1 datos preparados'!F360</f>
        <v/>
      </c>
      <c r="H367" s="7">
        <f>'1 datos preparados'!G360</f>
        <v/>
      </c>
      <c r="I367" s="7">
        <f>'1 datos preparados'!H360</f>
        <v/>
      </c>
      <c r="J367" s="7">
        <f>'1 datos preparados'!I360</f>
        <v/>
      </c>
      <c r="K367" s="7">
        <f>'1 datos preparados'!J360</f>
        <v/>
      </c>
      <c r="L367" s="7">
        <f>'1 datos preparados'!K360</f>
        <v/>
      </c>
      <c r="M367" s="7">
        <f>'1 datos preparados'!L360</f>
        <v/>
      </c>
      <c r="N367" s="7">
        <f>'1 datos preparados'!M360</f>
        <v/>
      </c>
      <c r="O367" s="7">
        <f>'1 datos preparados'!N360</f>
        <v/>
      </c>
      <c r="P367" s="7">
        <f>'1 datos preparados'!O360</f>
        <v/>
      </c>
      <c r="Q367" s="7">
        <f>'1 datos preparados'!P360</f>
        <v/>
      </c>
      <c r="R367" s="7">
        <f>'1 datos preparados'!Q360</f>
        <v/>
      </c>
      <c r="S367" s="7">
        <f>'1 datos preparados'!R360</f>
        <v/>
      </c>
      <c r="T367" s="7">
        <f>'1 datos preparados'!S360</f>
        <v/>
      </c>
      <c r="U367" s="7">
        <f>'1 datos preparados'!T360</f>
        <v/>
      </c>
      <c r="V367" s="8">
        <f>$AE$12+D367*$AE$13+E367*$AE$14+F367*$AE$15+G367*$AE$16+H367*$AE$17+I367*$AE$18+J367*$AE$19+K367*$AE$20+L367*$AE$21+M367*$AE$22+N367*$AE$23+O367*$AE$24+P367*$AE$25+Q367*$AE$26+R367*$AE$27+S367*$AE$28+T367*$AE$29+U367*$AE$30</f>
        <v/>
      </c>
      <c r="W367" s="8">
        <f>1/(1+EXP(-V367))</f>
        <v/>
      </c>
      <c r="X367" s="9">
        <f>-IF(C367=1,LN(W367),LN(1-W367))</f>
        <v/>
      </c>
      <c r="Y367" s="8">
        <f>1</f>
        <v/>
      </c>
      <c r="Z367" s="9">
        <f>Y367*X367</f>
        <v/>
      </c>
      <c r="AA367" s="10">
        <f>IF(W367&gt;$AE$32,1,0)</f>
        <v/>
      </c>
      <c r="AB367">
        <f>IF(AA367=C367,1,0)</f>
        <v/>
      </c>
    </row>
    <row r="368">
      <c r="A368">
        <f>'1 datos preparados'!A361</f>
        <v/>
      </c>
      <c r="B368" s="5">
        <f>'1 datos preparados'!U361</f>
        <v/>
      </c>
      <c r="C368">
        <f>'1 datos preparados'!B361</f>
        <v/>
      </c>
      <c r="D368" s="7">
        <f>'1 datos preparados'!C361</f>
        <v/>
      </c>
      <c r="E368" s="7">
        <f>'1 datos preparados'!D361</f>
        <v/>
      </c>
      <c r="F368" s="7">
        <f>'1 datos preparados'!E361</f>
        <v/>
      </c>
      <c r="G368" s="7">
        <f>'1 datos preparados'!F361</f>
        <v/>
      </c>
      <c r="H368" s="7">
        <f>'1 datos preparados'!G361</f>
        <v/>
      </c>
      <c r="I368" s="7">
        <f>'1 datos preparados'!H361</f>
        <v/>
      </c>
      <c r="J368" s="7">
        <f>'1 datos preparados'!I361</f>
        <v/>
      </c>
      <c r="K368" s="7">
        <f>'1 datos preparados'!J361</f>
        <v/>
      </c>
      <c r="L368" s="7">
        <f>'1 datos preparados'!K361</f>
        <v/>
      </c>
      <c r="M368" s="7">
        <f>'1 datos preparados'!L361</f>
        <v/>
      </c>
      <c r="N368" s="7">
        <f>'1 datos preparados'!M361</f>
        <v/>
      </c>
      <c r="O368" s="7">
        <f>'1 datos preparados'!N361</f>
        <v/>
      </c>
      <c r="P368" s="7">
        <f>'1 datos preparados'!O361</f>
        <v/>
      </c>
      <c r="Q368" s="7">
        <f>'1 datos preparados'!P361</f>
        <v/>
      </c>
      <c r="R368" s="7">
        <f>'1 datos preparados'!Q361</f>
        <v/>
      </c>
      <c r="S368" s="7">
        <f>'1 datos preparados'!R361</f>
        <v/>
      </c>
      <c r="T368" s="7">
        <f>'1 datos preparados'!S361</f>
        <v/>
      </c>
      <c r="U368" s="7">
        <f>'1 datos preparados'!T361</f>
        <v/>
      </c>
      <c r="V368" s="8">
        <f>$AE$12+D368*$AE$13+E368*$AE$14+F368*$AE$15+G368*$AE$16+H368*$AE$17+I368*$AE$18+J368*$AE$19+K368*$AE$20+L368*$AE$21+M368*$AE$22+N368*$AE$23+O368*$AE$24+P368*$AE$25+Q368*$AE$26+R368*$AE$27+S368*$AE$28+T368*$AE$29+U368*$AE$30</f>
        <v/>
      </c>
      <c r="W368" s="8">
        <f>1/(1+EXP(-V368))</f>
        <v/>
      </c>
      <c r="X368" s="9">
        <f>-IF(C368=1,LN(W368),LN(1-W368))</f>
        <v/>
      </c>
      <c r="Y368" s="8">
        <f>1</f>
        <v/>
      </c>
      <c r="Z368" s="9">
        <f>Y368*X368</f>
        <v/>
      </c>
      <c r="AA368" s="10">
        <f>IF(W368&gt;$AE$32,1,0)</f>
        <v/>
      </c>
      <c r="AB368">
        <f>IF(AA368=C368,1,0)</f>
        <v/>
      </c>
    </row>
    <row r="369">
      <c r="A369">
        <f>'1 datos preparados'!A362</f>
        <v/>
      </c>
      <c r="B369" s="5">
        <f>'1 datos preparados'!U362</f>
        <v/>
      </c>
      <c r="C369">
        <f>'1 datos preparados'!B362</f>
        <v/>
      </c>
      <c r="D369" s="7">
        <f>'1 datos preparados'!C362</f>
        <v/>
      </c>
      <c r="E369" s="7">
        <f>'1 datos preparados'!D362</f>
        <v/>
      </c>
      <c r="F369" s="7">
        <f>'1 datos preparados'!E362</f>
        <v/>
      </c>
      <c r="G369" s="7">
        <f>'1 datos preparados'!F362</f>
        <v/>
      </c>
      <c r="H369" s="7">
        <f>'1 datos preparados'!G362</f>
        <v/>
      </c>
      <c r="I369" s="7">
        <f>'1 datos preparados'!H362</f>
        <v/>
      </c>
      <c r="J369" s="7">
        <f>'1 datos preparados'!I362</f>
        <v/>
      </c>
      <c r="K369" s="7">
        <f>'1 datos preparados'!J362</f>
        <v/>
      </c>
      <c r="L369" s="7">
        <f>'1 datos preparados'!K362</f>
        <v/>
      </c>
      <c r="M369" s="7">
        <f>'1 datos preparados'!L362</f>
        <v/>
      </c>
      <c r="N369" s="7">
        <f>'1 datos preparados'!M362</f>
        <v/>
      </c>
      <c r="O369" s="7">
        <f>'1 datos preparados'!N362</f>
        <v/>
      </c>
      <c r="P369" s="7">
        <f>'1 datos preparados'!O362</f>
        <v/>
      </c>
      <c r="Q369" s="7">
        <f>'1 datos preparados'!P362</f>
        <v/>
      </c>
      <c r="R369" s="7">
        <f>'1 datos preparados'!Q362</f>
        <v/>
      </c>
      <c r="S369" s="7">
        <f>'1 datos preparados'!R362</f>
        <v/>
      </c>
      <c r="T369" s="7">
        <f>'1 datos preparados'!S362</f>
        <v/>
      </c>
      <c r="U369" s="7">
        <f>'1 datos preparados'!T362</f>
        <v/>
      </c>
      <c r="V369" s="8">
        <f>$AE$12+D369*$AE$13+E369*$AE$14+F369*$AE$15+G369*$AE$16+H369*$AE$17+I369*$AE$18+J369*$AE$19+K369*$AE$20+L369*$AE$21+M369*$AE$22+N369*$AE$23+O369*$AE$24+P369*$AE$25+Q369*$AE$26+R369*$AE$27+S369*$AE$28+T369*$AE$29+U369*$AE$30</f>
        <v/>
      </c>
      <c r="W369" s="8">
        <f>1/(1+EXP(-V369))</f>
        <v/>
      </c>
      <c r="X369" s="9">
        <f>-IF(C369=1,LN(W369),LN(1-W369))</f>
        <v/>
      </c>
      <c r="Y369" s="8">
        <f>1</f>
        <v/>
      </c>
      <c r="Z369" s="9">
        <f>Y369*X369</f>
        <v/>
      </c>
      <c r="AA369" s="10">
        <f>IF(W369&gt;$AE$32,1,0)</f>
        <v/>
      </c>
      <c r="AB369">
        <f>IF(AA369=C369,1,0)</f>
        <v/>
      </c>
    </row>
    <row r="370">
      <c r="A370">
        <f>'1 datos preparados'!A363</f>
        <v/>
      </c>
      <c r="B370" s="5">
        <f>'1 datos preparados'!U363</f>
        <v/>
      </c>
      <c r="C370">
        <f>'1 datos preparados'!B363</f>
        <v/>
      </c>
      <c r="D370" s="7">
        <f>'1 datos preparados'!C363</f>
        <v/>
      </c>
      <c r="E370" s="7">
        <f>'1 datos preparados'!D363</f>
        <v/>
      </c>
      <c r="F370" s="7">
        <f>'1 datos preparados'!E363</f>
        <v/>
      </c>
      <c r="G370" s="7">
        <f>'1 datos preparados'!F363</f>
        <v/>
      </c>
      <c r="H370" s="7">
        <f>'1 datos preparados'!G363</f>
        <v/>
      </c>
      <c r="I370" s="7">
        <f>'1 datos preparados'!H363</f>
        <v/>
      </c>
      <c r="J370" s="7">
        <f>'1 datos preparados'!I363</f>
        <v/>
      </c>
      <c r="K370" s="7">
        <f>'1 datos preparados'!J363</f>
        <v/>
      </c>
      <c r="L370" s="7">
        <f>'1 datos preparados'!K363</f>
        <v/>
      </c>
      <c r="M370" s="7">
        <f>'1 datos preparados'!L363</f>
        <v/>
      </c>
      <c r="N370" s="7">
        <f>'1 datos preparados'!M363</f>
        <v/>
      </c>
      <c r="O370" s="7">
        <f>'1 datos preparados'!N363</f>
        <v/>
      </c>
      <c r="P370" s="7">
        <f>'1 datos preparados'!O363</f>
        <v/>
      </c>
      <c r="Q370" s="7">
        <f>'1 datos preparados'!P363</f>
        <v/>
      </c>
      <c r="R370" s="7">
        <f>'1 datos preparados'!Q363</f>
        <v/>
      </c>
      <c r="S370" s="7">
        <f>'1 datos preparados'!R363</f>
        <v/>
      </c>
      <c r="T370" s="7">
        <f>'1 datos preparados'!S363</f>
        <v/>
      </c>
      <c r="U370" s="7">
        <f>'1 datos preparados'!T363</f>
        <v/>
      </c>
      <c r="V370" s="8">
        <f>$AE$12+D370*$AE$13+E370*$AE$14+F370*$AE$15+G370*$AE$16+H370*$AE$17+I370*$AE$18+J370*$AE$19+K370*$AE$20+L370*$AE$21+M370*$AE$22+N370*$AE$23+O370*$AE$24+P370*$AE$25+Q370*$AE$26+R370*$AE$27+S370*$AE$28+T370*$AE$29+U370*$AE$30</f>
        <v/>
      </c>
      <c r="W370" s="8">
        <f>1/(1+EXP(-V370))</f>
        <v/>
      </c>
      <c r="X370" s="9">
        <f>-IF(C370=1,LN(W370),LN(1-W370))</f>
        <v/>
      </c>
      <c r="Y370" s="8">
        <f>1</f>
        <v/>
      </c>
      <c r="Z370" s="9">
        <f>Y370*X370</f>
        <v/>
      </c>
      <c r="AA370" s="10">
        <f>IF(W370&gt;$AE$32,1,0)</f>
        <v/>
      </c>
      <c r="AB370">
        <f>IF(AA370=C370,1,0)</f>
        <v/>
      </c>
    </row>
    <row r="371">
      <c r="A371">
        <f>'1 datos preparados'!A364</f>
        <v/>
      </c>
      <c r="B371" s="5">
        <f>'1 datos preparados'!U364</f>
        <v/>
      </c>
      <c r="C371">
        <f>'1 datos preparados'!B364</f>
        <v/>
      </c>
      <c r="D371" s="7">
        <f>'1 datos preparados'!C364</f>
        <v/>
      </c>
      <c r="E371" s="7">
        <f>'1 datos preparados'!D364</f>
        <v/>
      </c>
      <c r="F371" s="7">
        <f>'1 datos preparados'!E364</f>
        <v/>
      </c>
      <c r="G371" s="7">
        <f>'1 datos preparados'!F364</f>
        <v/>
      </c>
      <c r="H371" s="7">
        <f>'1 datos preparados'!G364</f>
        <v/>
      </c>
      <c r="I371" s="7">
        <f>'1 datos preparados'!H364</f>
        <v/>
      </c>
      <c r="J371" s="7">
        <f>'1 datos preparados'!I364</f>
        <v/>
      </c>
      <c r="K371" s="7">
        <f>'1 datos preparados'!J364</f>
        <v/>
      </c>
      <c r="L371" s="7">
        <f>'1 datos preparados'!K364</f>
        <v/>
      </c>
      <c r="M371" s="7">
        <f>'1 datos preparados'!L364</f>
        <v/>
      </c>
      <c r="N371" s="7">
        <f>'1 datos preparados'!M364</f>
        <v/>
      </c>
      <c r="O371" s="7">
        <f>'1 datos preparados'!N364</f>
        <v/>
      </c>
      <c r="P371" s="7">
        <f>'1 datos preparados'!O364</f>
        <v/>
      </c>
      <c r="Q371" s="7">
        <f>'1 datos preparados'!P364</f>
        <v/>
      </c>
      <c r="R371" s="7">
        <f>'1 datos preparados'!Q364</f>
        <v/>
      </c>
      <c r="S371" s="7">
        <f>'1 datos preparados'!R364</f>
        <v/>
      </c>
      <c r="T371" s="7">
        <f>'1 datos preparados'!S364</f>
        <v/>
      </c>
      <c r="U371" s="7">
        <f>'1 datos preparados'!T364</f>
        <v/>
      </c>
      <c r="V371" s="8">
        <f>$AE$12+D371*$AE$13+E371*$AE$14+F371*$AE$15+G371*$AE$16+H371*$AE$17+I371*$AE$18+J371*$AE$19+K371*$AE$20+L371*$AE$21+M371*$AE$22+N371*$AE$23+O371*$AE$24+P371*$AE$25+Q371*$AE$26+R371*$AE$27+S371*$AE$28+T371*$AE$29+U371*$AE$30</f>
        <v/>
      </c>
      <c r="W371" s="8">
        <f>1/(1+EXP(-V371))</f>
        <v/>
      </c>
      <c r="X371" s="9">
        <f>-IF(C371=1,LN(W371),LN(1-W371))</f>
        <v/>
      </c>
      <c r="Y371" s="8">
        <f>1</f>
        <v/>
      </c>
      <c r="Z371" s="9">
        <f>Y371*X371</f>
        <v/>
      </c>
      <c r="AA371" s="10">
        <f>IF(W371&gt;$AE$32,1,0)</f>
        <v/>
      </c>
      <c r="AB371">
        <f>IF(AA371=C371,1,0)</f>
        <v/>
      </c>
    </row>
    <row r="372">
      <c r="A372">
        <f>'1 datos preparados'!A365</f>
        <v/>
      </c>
      <c r="B372" s="5">
        <f>'1 datos preparados'!U365</f>
        <v/>
      </c>
      <c r="C372">
        <f>'1 datos preparados'!B365</f>
        <v/>
      </c>
      <c r="D372" s="7">
        <f>'1 datos preparados'!C365</f>
        <v/>
      </c>
      <c r="E372" s="7">
        <f>'1 datos preparados'!D365</f>
        <v/>
      </c>
      <c r="F372" s="7">
        <f>'1 datos preparados'!E365</f>
        <v/>
      </c>
      <c r="G372" s="7">
        <f>'1 datos preparados'!F365</f>
        <v/>
      </c>
      <c r="H372" s="7">
        <f>'1 datos preparados'!G365</f>
        <v/>
      </c>
      <c r="I372" s="7">
        <f>'1 datos preparados'!H365</f>
        <v/>
      </c>
      <c r="J372" s="7">
        <f>'1 datos preparados'!I365</f>
        <v/>
      </c>
      <c r="K372" s="7">
        <f>'1 datos preparados'!J365</f>
        <v/>
      </c>
      <c r="L372" s="7">
        <f>'1 datos preparados'!K365</f>
        <v/>
      </c>
      <c r="M372" s="7">
        <f>'1 datos preparados'!L365</f>
        <v/>
      </c>
      <c r="N372" s="7">
        <f>'1 datos preparados'!M365</f>
        <v/>
      </c>
      <c r="O372" s="7">
        <f>'1 datos preparados'!N365</f>
        <v/>
      </c>
      <c r="P372" s="7">
        <f>'1 datos preparados'!O365</f>
        <v/>
      </c>
      <c r="Q372" s="7">
        <f>'1 datos preparados'!P365</f>
        <v/>
      </c>
      <c r="R372" s="7">
        <f>'1 datos preparados'!Q365</f>
        <v/>
      </c>
      <c r="S372" s="7">
        <f>'1 datos preparados'!R365</f>
        <v/>
      </c>
      <c r="T372" s="7">
        <f>'1 datos preparados'!S365</f>
        <v/>
      </c>
      <c r="U372" s="7">
        <f>'1 datos preparados'!T365</f>
        <v/>
      </c>
      <c r="V372" s="8">
        <f>$AE$12+D372*$AE$13+E372*$AE$14+F372*$AE$15+G372*$AE$16+H372*$AE$17+I372*$AE$18+J372*$AE$19+K372*$AE$20+L372*$AE$21+M372*$AE$22+N372*$AE$23+O372*$AE$24+P372*$AE$25+Q372*$AE$26+R372*$AE$27+S372*$AE$28+T372*$AE$29+U372*$AE$30</f>
        <v/>
      </c>
      <c r="W372" s="8">
        <f>1/(1+EXP(-V372))</f>
        <v/>
      </c>
      <c r="X372" s="9">
        <f>-IF(C372=1,LN(W372),LN(1-W372))</f>
        <v/>
      </c>
      <c r="Y372" s="8">
        <f>1</f>
        <v/>
      </c>
      <c r="Z372" s="9">
        <f>Y372*X372</f>
        <v/>
      </c>
      <c r="AA372" s="10">
        <f>IF(W372&gt;$AE$32,1,0)</f>
        <v/>
      </c>
      <c r="AB372">
        <f>IF(AA372=C372,1,0)</f>
        <v/>
      </c>
    </row>
    <row r="373">
      <c r="A373">
        <f>'1 datos preparados'!A366</f>
        <v/>
      </c>
      <c r="B373" s="5">
        <f>'1 datos preparados'!U366</f>
        <v/>
      </c>
      <c r="C373">
        <f>'1 datos preparados'!B366</f>
        <v/>
      </c>
      <c r="D373" s="7">
        <f>'1 datos preparados'!C366</f>
        <v/>
      </c>
      <c r="E373" s="7">
        <f>'1 datos preparados'!D366</f>
        <v/>
      </c>
      <c r="F373" s="7">
        <f>'1 datos preparados'!E366</f>
        <v/>
      </c>
      <c r="G373" s="7">
        <f>'1 datos preparados'!F366</f>
        <v/>
      </c>
      <c r="H373" s="7">
        <f>'1 datos preparados'!G366</f>
        <v/>
      </c>
      <c r="I373" s="7">
        <f>'1 datos preparados'!H366</f>
        <v/>
      </c>
      <c r="J373" s="7">
        <f>'1 datos preparados'!I366</f>
        <v/>
      </c>
      <c r="K373" s="7">
        <f>'1 datos preparados'!J366</f>
        <v/>
      </c>
      <c r="L373" s="7">
        <f>'1 datos preparados'!K366</f>
        <v/>
      </c>
      <c r="M373" s="7">
        <f>'1 datos preparados'!L366</f>
        <v/>
      </c>
      <c r="N373" s="7">
        <f>'1 datos preparados'!M366</f>
        <v/>
      </c>
      <c r="O373" s="7">
        <f>'1 datos preparados'!N366</f>
        <v/>
      </c>
      <c r="P373" s="7">
        <f>'1 datos preparados'!O366</f>
        <v/>
      </c>
      <c r="Q373" s="7">
        <f>'1 datos preparados'!P366</f>
        <v/>
      </c>
      <c r="R373" s="7">
        <f>'1 datos preparados'!Q366</f>
        <v/>
      </c>
      <c r="S373" s="7">
        <f>'1 datos preparados'!R366</f>
        <v/>
      </c>
      <c r="T373" s="7">
        <f>'1 datos preparados'!S366</f>
        <v/>
      </c>
      <c r="U373" s="7">
        <f>'1 datos preparados'!T366</f>
        <v/>
      </c>
      <c r="V373" s="8">
        <f>$AE$12+D373*$AE$13+E373*$AE$14+F373*$AE$15+G373*$AE$16+H373*$AE$17+I373*$AE$18+J373*$AE$19+K373*$AE$20+L373*$AE$21+M373*$AE$22+N373*$AE$23+O373*$AE$24+P373*$AE$25+Q373*$AE$26+R373*$AE$27+S373*$AE$28+T373*$AE$29+U373*$AE$30</f>
        <v/>
      </c>
      <c r="W373" s="8">
        <f>1/(1+EXP(-V373))</f>
        <v/>
      </c>
      <c r="X373" s="9">
        <f>-IF(C373=1,LN(W373),LN(1-W373))</f>
        <v/>
      </c>
      <c r="Y373" s="8">
        <f>1</f>
        <v/>
      </c>
      <c r="Z373" s="9">
        <f>Y373*X373</f>
        <v/>
      </c>
      <c r="AA373" s="10">
        <f>IF(W373&gt;$AE$32,1,0)</f>
        <v/>
      </c>
      <c r="AB373">
        <f>IF(AA373=C373,1,0)</f>
        <v/>
      </c>
    </row>
    <row r="374">
      <c r="A374">
        <f>'1 datos preparados'!A367</f>
        <v/>
      </c>
      <c r="B374" s="5">
        <f>'1 datos preparados'!U367</f>
        <v/>
      </c>
      <c r="C374">
        <f>'1 datos preparados'!B367</f>
        <v/>
      </c>
      <c r="D374" s="7">
        <f>'1 datos preparados'!C367</f>
        <v/>
      </c>
      <c r="E374" s="7">
        <f>'1 datos preparados'!D367</f>
        <v/>
      </c>
      <c r="F374" s="7">
        <f>'1 datos preparados'!E367</f>
        <v/>
      </c>
      <c r="G374" s="7">
        <f>'1 datos preparados'!F367</f>
        <v/>
      </c>
      <c r="H374" s="7">
        <f>'1 datos preparados'!G367</f>
        <v/>
      </c>
      <c r="I374" s="7">
        <f>'1 datos preparados'!H367</f>
        <v/>
      </c>
      <c r="J374" s="7">
        <f>'1 datos preparados'!I367</f>
        <v/>
      </c>
      <c r="K374" s="7">
        <f>'1 datos preparados'!J367</f>
        <v/>
      </c>
      <c r="L374" s="7">
        <f>'1 datos preparados'!K367</f>
        <v/>
      </c>
      <c r="M374" s="7">
        <f>'1 datos preparados'!L367</f>
        <v/>
      </c>
      <c r="N374" s="7">
        <f>'1 datos preparados'!M367</f>
        <v/>
      </c>
      <c r="O374" s="7">
        <f>'1 datos preparados'!N367</f>
        <v/>
      </c>
      <c r="P374" s="7">
        <f>'1 datos preparados'!O367</f>
        <v/>
      </c>
      <c r="Q374" s="7">
        <f>'1 datos preparados'!P367</f>
        <v/>
      </c>
      <c r="R374" s="7">
        <f>'1 datos preparados'!Q367</f>
        <v/>
      </c>
      <c r="S374" s="7">
        <f>'1 datos preparados'!R367</f>
        <v/>
      </c>
      <c r="T374" s="7">
        <f>'1 datos preparados'!S367</f>
        <v/>
      </c>
      <c r="U374" s="7">
        <f>'1 datos preparados'!T367</f>
        <v/>
      </c>
      <c r="V374" s="8">
        <f>$AE$12+D374*$AE$13+E374*$AE$14+F374*$AE$15+G374*$AE$16+H374*$AE$17+I374*$AE$18+J374*$AE$19+K374*$AE$20+L374*$AE$21+M374*$AE$22+N374*$AE$23+O374*$AE$24+P374*$AE$25+Q374*$AE$26+R374*$AE$27+S374*$AE$28+T374*$AE$29+U374*$AE$30</f>
        <v/>
      </c>
      <c r="W374" s="8">
        <f>1/(1+EXP(-V374))</f>
        <v/>
      </c>
      <c r="X374" s="9">
        <f>-IF(C374=1,LN(W374),LN(1-W374))</f>
        <v/>
      </c>
      <c r="Y374" s="8">
        <f>1</f>
        <v/>
      </c>
      <c r="Z374" s="9">
        <f>Y374*X374</f>
        <v/>
      </c>
      <c r="AA374" s="10">
        <f>IF(W374&gt;$AE$32,1,0)</f>
        <v/>
      </c>
      <c r="AB374">
        <f>IF(AA374=C374,1,0)</f>
        <v/>
      </c>
    </row>
    <row r="375">
      <c r="A375">
        <f>'1 datos preparados'!A368</f>
        <v/>
      </c>
      <c r="B375" s="5">
        <f>'1 datos preparados'!U368</f>
        <v/>
      </c>
      <c r="C375">
        <f>'1 datos preparados'!B368</f>
        <v/>
      </c>
      <c r="D375" s="7">
        <f>'1 datos preparados'!C368</f>
        <v/>
      </c>
      <c r="E375" s="7">
        <f>'1 datos preparados'!D368</f>
        <v/>
      </c>
      <c r="F375" s="7">
        <f>'1 datos preparados'!E368</f>
        <v/>
      </c>
      <c r="G375" s="7">
        <f>'1 datos preparados'!F368</f>
        <v/>
      </c>
      <c r="H375" s="7">
        <f>'1 datos preparados'!G368</f>
        <v/>
      </c>
      <c r="I375" s="7">
        <f>'1 datos preparados'!H368</f>
        <v/>
      </c>
      <c r="J375" s="7">
        <f>'1 datos preparados'!I368</f>
        <v/>
      </c>
      <c r="K375" s="7">
        <f>'1 datos preparados'!J368</f>
        <v/>
      </c>
      <c r="L375" s="7">
        <f>'1 datos preparados'!K368</f>
        <v/>
      </c>
      <c r="M375" s="7">
        <f>'1 datos preparados'!L368</f>
        <v/>
      </c>
      <c r="N375" s="7">
        <f>'1 datos preparados'!M368</f>
        <v/>
      </c>
      <c r="O375" s="7">
        <f>'1 datos preparados'!N368</f>
        <v/>
      </c>
      <c r="P375" s="7">
        <f>'1 datos preparados'!O368</f>
        <v/>
      </c>
      <c r="Q375" s="7">
        <f>'1 datos preparados'!P368</f>
        <v/>
      </c>
      <c r="R375" s="7">
        <f>'1 datos preparados'!Q368</f>
        <v/>
      </c>
      <c r="S375" s="7">
        <f>'1 datos preparados'!R368</f>
        <v/>
      </c>
      <c r="T375" s="7">
        <f>'1 datos preparados'!S368</f>
        <v/>
      </c>
      <c r="U375" s="7">
        <f>'1 datos preparados'!T368</f>
        <v/>
      </c>
      <c r="V375" s="8">
        <f>$AE$12+D375*$AE$13+E375*$AE$14+F375*$AE$15+G375*$AE$16+H375*$AE$17+I375*$AE$18+J375*$AE$19+K375*$AE$20+L375*$AE$21+M375*$AE$22+N375*$AE$23+O375*$AE$24+P375*$AE$25+Q375*$AE$26+R375*$AE$27+S375*$AE$28+T375*$AE$29+U375*$AE$30</f>
        <v/>
      </c>
      <c r="W375" s="8">
        <f>1/(1+EXP(-V375))</f>
        <v/>
      </c>
      <c r="X375" s="9">
        <f>-IF(C375=1,LN(W375),LN(1-W375))</f>
        <v/>
      </c>
      <c r="Y375" s="8">
        <f>1</f>
        <v/>
      </c>
      <c r="Z375" s="9">
        <f>Y375*X375</f>
        <v/>
      </c>
      <c r="AA375" s="10">
        <f>IF(W375&gt;$AE$32,1,0)</f>
        <v/>
      </c>
      <c r="AB375">
        <f>IF(AA375=C375,1,0)</f>
        <v/>
      </c>
    </row>
    <row r="376">
      <c r="A376">
        <f>'1 datos preparados'!A369</f>
        <v/>
      </c>
      <c r="B376" s="5">
        <f>'1 datos preparados'!U369</f>
        <v/>
      </c>
      <c r="C376">
        <f>'1 datos preparados'!B369</f>
        <v/>
      </c>
      <c r="D376" s="7">
        <f>'1 datos preparados'!C369</f>
        <v/>
      </c>
      <c r="E376" s="7">
        <f>'1 datos preparados'!D369</f>
        <v/>
      </c>
      <c r="F376" s="7">
        <f>'1 datos preparados'!E369</f>
        <v/>
      </c>
      <c r="G376" s="7">
        <f>'1 datos preparados'!F369</f>
        <v/>
      </c>
      <c r="H376" s="7">
        <f>'1 datos preparados'!G369</f>
        <v/>
      </c>
      <c r="I376" s="7">
        <f>'1 datos preparados'!H369</f>
        <v/>
      </c>
      <c r="J376" s="7">
        <f>'1 datos preparados'!I369</f>
        <v/>
      </c>
      <c r="K376" s="7">
        <f>'1 datos preparados'!J369</f>
        <v/>
      </c>
      <c r="L376" s="7">
        <f>'1 datos preparados'!K369</f>
        <v/>
      </c>
      <c r="M376" s="7">
        <f>'1 datos preparados'!L369</f>
        <v/>
      </c>
      <c r="N376" s="7">
        <f>'1 datos preparados'!M369</f>
        <v/>
      </c>
      <c r="O376" s="7">
        <f>'1 datos preparados'!N369</f>
        <v/>
      </c>
      <c r="P376" s="7">
        <f>'1 datos preparados'!O369</f>
        <v/>
      </c>
      <c r="Q376" s="7">
        <f>'1 datos preparados'!P369</f>
        <v/>
      </c>
      <c r="R376" s="7">
        <f>'1 datos preparados'!Q369</f>
        <v/>
      </c>
      <c r="S376" s="7">
        <f>'1 datos preparados'!R369</f>
        <v/>
      </c>
      <c r="T376" s="7">
        <f>'1 datos preparados'!S369</f>
        <v/>
      </c>
      <c r="U376" s="7">
        <f>'1 datos preparados'!T369</f>
        <v/>
      </c>
      <c r="V376" s="8">
        <f>$AE$12+D376*$AE$13+E376*$AE$14+F376*$AE$15+G376*$AE$16+H376*$AE$17+I376*$AE$18+J376*$AE$19+K376*$AE$20+L376*$AE$21+M376*$AE$22+N376*$AE$23+O376*$AE$24+P376*$AE$25+Q376*$AE$26+R376*$AE$27+S376*$AE$28+T376*$AE$29+U376*$AE$30</f>
        <v/>
      </c>
      <c r="W376" s="8">
        <f>1/(1+EXP(-V376))</f>
        <v/>
      </c>
      <c r="X376" s="9">
        <f>-IF(C376=1,LN(W376),LN(1-W376))</f>
        <v/>
      </c>
      <c r="Y376" s="8">
        <f>1</f>
        <v/>
      </c>
      <c r="Z376" s="9">
        <f>Y376*X376</f>
        <v/>
      </c>
      <c r="AA376" s="10">
        <f>IF(W376&gt;$AE$32,1,0)</f>
        <v/>
      </c>
      <c r="AB376">
        <f>IF(AA376=C376,1,0)</f>
        <v/>
      </c>
    </row>
    <row r="377">
      <c r="A377">
        <f>'1 datos preparados'!A370</f>
        <v/>
      </c>
      <c r="B377" s="5">
        <f>'1 datos preparados'!U370</f>
        <v/>
      </c>
      <c r="C377">
        <f>'1 datos preparados'!B370</f>
        <v/>
      </c>
      <c r="D377" s="7">
        <f>'1 datos preparados'!C370</f>
        <v/>
      </c>
      <c r="E377" s="7">
        <f>'1 datos preparados'!D370</f>
        <v/>
      </c>
      <c r="F377" s="7">
        <f>'1 datos preparados'!E370</f>
        <v/>
      </c>
      <c r="G377" s="7">
        <f>'1 datos preparados'!F370</f>
        <v/>
      </c>
      <c r="H377" s="7">
        <f>'1 datos preparados'!G370</f>
        <v/>
      </c>
      <c r="I377" s="7">
        <f>'1 datos preparados'!H370</f>
        <v/>
      </c>
      <c r="J377" s="7">
        <f>'1 datos preparados'!I370</f>
        <v/>
      </c>
      <c r="K377" s="7">
        <f>'1 datos preparados'!J370</f>
        <v/>
      </c>
      <c r="L377" s="7">
        <f>'1 datos preparados'!K370</f>
        <v/>
      </c>
      <c r="M377" s="7">
        <f>'1 datos preparados'!L370</f>
        <v/>
      </c>
      <c r="N377" s="7">
        <f>'1 datos preparados'!M370</f>
        <v/>
      </c>
      <c r="O377" s="7">
        <f>'1 datos preparados'!N370</f>
        <v/>
      </c>
      <c r="P377" s="7">
        <f>'1 datos preparados'!O370</f>
        <v/>
      </c>
      <c r="Q377" s="7">
        <f>'1 datos preparados'!P370</f>
        <v/>
      </c>
      <c r="R377" s="7">
        <f>'1 datos preparados'!Q370</f>
        <v/>
      </c>
      <c r="S377" s="7">
        <f>'1 datos preparados'!R370</f>
        <v/>
      </c>
      <c r="T377" s="7">
        <f>'1 datos preparados'!S370</f>
        <v/>
      </c>
      <c r="U377" s="7">
        <f>'1 datos preparados'!T370</f>
        <v/>
      </c>
      <c r="V377" s="8">
        <f>$AE$12+D377*$AE$13+E377*$AE$14+F377*$AE$15+G377*$AE$16+H377*$AE$17+I377*$AE$18+J377*$AE$19+K377*$AE$20+L377*$AE$21+M377*$AE$22+N377*$AE$23+O377*$AE$24+P377*$AE$25+Q377*$AE$26+R377*$AE$27+S377*$AE$28+T377*$AE$29+U377*$AE$30</f>
        <v/>
      </c>
      <c r="W377" s="8">
        <f>1/(1+EXP(-V377))</f>
        <v/>
      </c>
      <c r="X377" s="9">
        <f>-IF(C377=1,LN(W377),LN(1-W377))</f>
        <v/>
      </c>
      <c r="Y377" s="8">
        <f>1</f>
        <v/>
      </c>
      <c r="Z377" s="9">
        <f>Y377*X377</f>
        <v/>
      </c>
      <c r="AA377" s="10">
        <f>IF(W377&gt;$AE$32,1,0)</f>
        <v/>
      </c>
      <c r="AB377">
        <f>IF(AA377=C377,1,0)</f>
        <v/>
      </c>
    </row>
    <row r="378">
      <c r="A378">
        <f>'1 datos preparados'!A371</f>
        <v/>
      </c>
      <c r="B378" s="5">
        <f>'1 datos preparados'!U371</f>
        <v/>
      </c>
      <c r="C378">
        <f>'1 datos preparados'!B371</f>
        <v/>
      </c>
      <c r="D378" s="7">
        <f>'1 datos preparados'!C371</f>
        <v/>
      </c>
      <c r="E378" s="7">
        <f>'1 datos preparados'!D371</f>
        <v/>
      </c>
      <c r="F378" s="7">
        <f>'1 datos preparados'!E371</f>
        <v/>
      </c>
      <c r="G378" s="7">
        <f>'1 datos preparados'!F371</f>
        <v/>
      </c>
      <c r="H378" s="7">
        <f>'1 datos preparados'!G371</f>
        <v/>
      </c>
      <c r="I378" s="7">
        <f>'1 datos preparados'!H371</f>
        <v/>
      </c>
      <c r="J378" s="7">
        <f>'1 datos preparados'!I371</f>
        <v/>
      </c>
      <c r="K378" s="7">
        <f>'1 datos preparados'!J371</f>
        <v/>
      </c>
      <c r="L378" s="7">
        <f>'1 datos preparados'!K371</f>
        <v/>
      </c>
      <c r="M378" s="7">
        <f>'1 datos preparados'!L371</f>
        <v/>
      </c>
      <c r="N378" s="7">
        <f>'1 datos preparados'!M371</f>
        <v/>
      </c>
      <c r="O378" s="7">
        <f>'1 datos preparados'!N371</f>
        <v/>
      </c>
      <c r="P378" s="7">
        <f>'1 datos preparados'!O371</f>
        <v/>
      </c>
      <c r="Q378" s="7">
        <f>'1 datos preparados'!P371</f>
        <v/>
      </c>
      <c r="R378" s="7">
        <f>'1 datos preparados'!Q371</f>
        <v/>
      </c>
      <c r="S378" s="7">
        <f>'1 datos preparados'!R371</f>
        <v/>
      </c>
      <c r="T378" s="7">
        <f>'1 datos preparados'!S371</f>
        <v/>
      </c>
      <c r="U378" s="7">
        <f>'1 datos preparados'!T371</f>
        <v/>
      </c>
      <c r="V378" s="8">
        <f>$AE$12+D378*$AE$13+E378*$AE$14+F378*$AE$15+G378*$AE$16+H378*$AE$17+I378*$AE$18+J378*$AE$19+K378*$AE$20+L378*$AE$21+M378*$AE$22+N378*$AE$23+O378*$AE$24+P378*$AE$25+Q378*$AE$26+R378*$AE$27+S378*$AE$28+T378*$AE$29+U378*$AE$30</f>
        <v/>
      </c>
      <c r="W378" s="8">
        <f>1/(1+EXP(-V378))</f>
        <v/>
      </c>
      <c r="X378" s="9">
        <f>-IF(C378=1,LN(W378),LN(1-W378))</f>
        <v/>
      </c>
      <c r="Y378" s="8">
        <f>1</f>
        <v/>
      </c>
      <c r="Z378" s="9">
        <f>Y378*X378</f>
        <v/>
      </c>
      <c r="AA378" s="10">
        <f>IF(W378&gt;$AE$32,1,0)</f>
        <v/>
      </c>
      <c r="AB378">
        <f>IF(AA378=C378,1,0)</f>
        <v/>
      </c>
    </row>
    <row r="379">
      <c r="A379">
        <f>'1 datos preparados'!A372</f>
        <v/>
      </c>
      <c r="B379" s="5">
        <f>'1 datos preparados'!U372</f>
        <v/>
      </c>
      <c r="C379">
        <f>'1 datos preparados'!B372</f>
        <v/>
      </c>
      <c r="D379" s="7">
        <f>'1 datos preparados'!C372</f>
        <v/>
      </c>
      <c r="E379" s="7">
        <f>'1 datos preparados'!D372</f>
        <v/>
      </c>
      <c r="F379" s="7">
        <f>'1 datos preparados'!E372</f>
        <v/>
      </c>
      <c r="G379" s="7">
        <f>'1 datos preparados'!F372</f>
        <v/>
      </c>
      <c r="H379" s="7">
        <f>'1 datos preparados'!G372</f>
        <v/>
      </c>
      <c r="I379" s="7">
        <f>'1 datos preparados'!H372</f>
        <v/>
      </c>
      <c r="J379" s="7">
        <f>'1 datos preparados'!I372</f>
        <v/>
      </c>
      <c r="K379" s="7">
        <f>'1 datos preparados'!J372</f>
        <v/>
      </c>
      <c r="L379" s="7">
        <f>'1 datos preparados'!K372</f>
        <v/>
      </c>
      <c r="M379" s="7">
        <f>'1 datos preparados'!L372</f>
        <v/>
      </c>
      <c r="N379" s="7">
        <f>'1 datos preparados'!M372</f>
        <v/>
      </c>
      <c r="O379" s="7">
        <f>'1 datos preparados'!N372</f>
        <v/>
      </c>
      <c r="P379" s="7">
        <f>'1 datos preparados'!O372</f>
        <v/>
      </c>
      <c r="Q379" s="7">
        <f>'1 datos preparados'!P372</f>
        <v/>
      </c>
      <c r="R379" s="7">
        <f>'1 datos preparados'!Q372</f>
        <v/>
      </c>
      <c r="S379" s="7">
        <f>'1 datos preparados'!R372</f>
        <v/>
      </c>
      <c r="T379" s="7">
        <f>'1 datos preparados'!S372</f>
        <v/>
      </c>
      <c r="U379" s="7">
        <f>'1 datos preparados'!T372</f>
        <v/>
      </c>
      <c r="V379" s="8">
        <f>$AE$12+D379*$AE$13+E379*$AE$14+F379*$AE$15+G379*$AE$16+H379*$AE$17+I379*$AE$18+J379*$AE$19+K379*$AE$20+L379*$AE$21+M379*$AE$22+N379*$AE$23+O379*$AE$24+P379*$AE$25+Q379*$AE$26+R379*$AE$27+S379*$AE$28+T379*$AE$29+U379*$AE$30</f>
        <v/>
      </c>
      <c r="W379" s="8">
        <f>1/(1+EXP(-V379))</f>
        <v/>
      </c>
      <c r="X379" s="9">
        <f>-IF(C379=1,LN(W379),LN(1-W379))</f>
        <v/>
      </c>
      <c r="Y379" s="8">
        <f>1</f>
        <v/>
      </c>
      <c r="Z379" s="9">
        <f>Y379*X379</f>
        <v/>
      </c>
      <c r="AA379" s="10">
        <f>IF(W379&gt;$AE$32,1,0)</f>
        <v/>
      </c>
      <c r="AB379">
        <f>IF(AA379=C379,1,0)</f>
        <v/>
      </c>
    </row>
    <row r="380">
      <c r="A380">
        <f>'1 datos preparados'!A373</f>
        <v/>
      </c>
      <c r="B380" s="5">
        <f>'1 datos preparados'!U373</f>
        <v/>
      </c>
      <c r="C380">
        <f>'1 datos preparados'!B373</f>
        <v/>
      </c>
      <c r="D380" s="7">
        <f>'1 datos preparados'!C373</f>
        <v/>
      </c>
      <c r="E380" s="7">
        <f>'1 datos preparados'!D373</f>
        <v/>
      </c>
      <c r="F380" s="7">
        <f>'1 datos preparados'!E373</f>
        <v/>
      </c>
      <c r="G380" s="7">
        <f>'1 datos preparados'!F373</f>
        <v/>
      </c>
      <c r="H380" s="7">
        <f>'1 datos preparados'!G373</f>
        <v/>
      </c>
      <c r="I380" s="7">
        <f>'1 datos preparados'!H373</f>
        <v/>
      </c>
      <c r="J380" s="7">
        <f>'1 datos preparados'!I373</f>
        <v/>
      </c>
      <c r="K380" s="7">
        <f>'1 datos preparados'!J373</f>
        <v/>
      </c>
      <c r="L380" s="7">
        <f>'1 datos preparados'!K373</f>
        <v/>
      </c>
      <c r="M380" s="7">
        <f>'1 datos preparados'!L373</f>
        <v/>
      </c>
      <c r="N380" s="7">
        <f>'1 datos preparados'!M373</f>
        <v/>
      </c>
      <c r="O380" s="7">
        <f>'1 datos preparados'!N373</f>
        <v/>
      </c>
      <c r="P380" s="7">
        <f>'1 datos preparados'!O373</f>
        <v/>
      </c>
      <c r="Q380" s="7">
        <f>'1 datos preparados'!P373</f>
        <v/>
      </c>
      <c r="R380" s="7">
        <f>'1 datos preparados'!Q373</f>
        <v/>
      </c>
      <c r="S380" s="7">
        <f>'1 datos preparados'!R373</f>
        <v/>
      </c>
      <c r="T380" s="7">
        <f>'1 datos preparados'!S373</f>
        <v/>
      </c>
      <c r="U380" s="7">
        <f>'1 datos preparados'!T373</f>
        <v/>
      </c>
      <c r="V380" s="8">
        <f>$AE$12+D380*$AE$13+E380*$AE$14+F380*$AE$15+G380*$AE$16+H380*$AE$17+I380*$AE$18+J380*$AE$19+K380*$AE$20+L380*$AE$21+M380*$AE$22+N380*$AE$23+O380*$AE$24+P380*$AE$25+Q380*$AE$26+R380*$AE$27+S380*$AE$28+T380*$AE$29+U380*$AE$30</f>
        <v/>
      </c>
      <c r="W380" s="8">
        <f>1/(1+EXP(-V380))</f>
        <v/>
      </c>
      <c r="X380" s="9">
        <f>-IF(C380=1,LN(W380),LN(1-W380))</f>
        <v/>
      </c>
      <c r="Y380" s="8">
        <f>1</f>
        <v/>
      </c>
      <c r="Z380" s="9">
        <f>Y380*X380</f>
        <v/>
      </c>
      <c r="AA380" s="10">
        <f>IF(W380&gt;$AE$32,1,0)</f>
        <v/>
      </c>
      <c r="AB380">
        <f>IF(AA380=C380,1,0)</f>
        <v/>
      </c>
    </row>
    <row r="381">
      <c r="A381">
        <f>'1 datos preparados'!A374</f>
        <v/>
      </c>
      <c r="B381" s="5">
        <f>'1 datos preparados'!U374</f>
        <v/>
      </c>
      <c r="C381">
        <f>'1 datos preparados'!B374</f>
        <v/>
      </c>
      <c r="D381" s="7">
        <f>'1 datos preparados'!C374</f>
        <v/>
      </c>
      <c r="E381" s="7">
        <f>'1 datos preparados'!D374</f>
        <v/>
      </c>
      <c r="F381" s="7">
        <f>'1 datos preparados'!E374</f>
        <v/>
      </c>
      <c r="G381" s="7">
        <f>'1 datos preparados'!F374</f>
        <v/>
      </c>
      <c r="H381" s="7">
        <f>'1 datos preparados'!G374</f>
        <v/>
      </c>
      <c r="I381" s="7">
        <f>'1 datos preparados'!H374</f>
        <v/>
      </c>
      <c r="J381" s="7">
        <f>'1 datos preparados'!I374</f>
        <v/>
      </c>
      <c r="K381" s="7">
        <f>'1 datos preparados'!J374</f>
        <v/>
      </c>
      <c r="L381" s="7">
        <f>'1 datos preparados'!K374</f>
        <v/>
      </c>
      <c r="M381" s="7">
        <f>'1 datos preparados'!L374</f>
        <v/>
      </c>
      <c r="N381" s="7">
        <f>'1 datos preparados'!M374</f>
        <v/>
      </c>
      <c r="O381" s="7">
        <f>'1 datos preparados'!N374</f>
        <v/>
      </c>
      <c r="P381" s="7">
        <f>'1 datos preparados'!O374</f>
        <v/>
      </c>
      <c r="Q381" s="7">
        <f>'1 datos preparados'!P374</f>
        <v/>
      </c>
      <c r="R381" s="7">
        <f>'1 datos preparados'!Q374</f>
        <v/>
      </c>
      <c r="S381" s="7">
        <f>'1 datos preparados'!R374</f>
        <v/>
      </c>
      <c r="T381" s="7">
        <f>'1 datos preparados'!S374</f>
        <v/>
      </c>
      <c r="U381" s="7">
        <f>'1 datos preparados'!T374</f>
        <v/>
      </c>
      <c r="V381" s="8">
        <f>$AE$12+D381*$AE$13+E381*$AE$14+F381*$AE$15+G381*$AE$16+H381*$AE$17+I381*$AE$18+J381*$AE$19+K381*$AE$20+L381*$AE$21+M381*$AE$22+N381*$AE$23+O381*$AE$24+P381*$AE$25+Q381*$AE$26+R381*$AE$27+S381*$AE$28+T381*$AE$29+U381*$AE$30</f>
        <v/>
      </c>
      <c r="W381" s="8">
        <f>1/(1+EXP(-V381))</f>
        <v/>
      </c>
      <c r="X381" s="9">
        <f>-IF(C381=1,LN(W381),LN(1-W381))</f>
        <v/>
      </c>
      <c r="Y381" s="8">
        <f>1</f>
        <v/>
      </c>
      <c r="Z381" s="9">
        <f>Y381*X381</f>
        <v/>
      </c>
      <c r="AA381" s="10">
        <f>IF(W381&gt;$AE$32,1,0)</f>
        <v/>
      </c>
      <c r="AB381">
        <f>IF(AA381=C381,1,0)</f>
        <v/>
      </c>
    </row>
    <row r="382">
      <c r="A382">
        <f>'1 datos preparados'!A375</f>
        <v/>
      </c>
      <c r="B382" s="5">
        <f>'1 datos preparados'!U375</f>
        <v/>
      </c>
      <c r="C382">
        <f>'1 datos preparados'!B375</f>
        <v/>
      </c>
      <c r="D382" s="7">
        <f>'1 datos preparados'!C375</f>
        <v/>
      </c>
      <c r="E382" s="7">
        <f>'1 datos preparados'!D375</f>
        <v/>
      </c>
      <c r="F382" s="7">
        <f>'1 datos preparados'!E375</f>
        <v/>
      </c>
      <c r="G382" s="7">
        <f>'1 datos preparados'!F375</f>
        <v/>
      </c>
      <c r="H382" s="7">
        <f>'1 datos preparados'!G375</f>
        <v/>
      </c>
      <c r="I382" s="7">
        <f>'1 datos preparados'!H375</f>
        <v/>
      </c>
      <c r="J382" s="7">
        <f>'1 datos preparados'!I375</f>
        <v/>
      </c>
      <c r="K382" s="7">
        <f>'1 datos preparados'!J375</f>
        <v/>
      </c>
      <c r="L382" s="7">
        <f>'1 datos preparados'!K375</f>
        <v/>
      </c>
      <c r="M382" s="7">
        <f>'1 datos preparados'!L375</f>
        <v/>
      </c>
      <c r="N382" s="7">
        <f>'1 datos preparados'!M375</f>
        <v/>
      </c>
      <c r="O382" s="7">
        <f>'1 datos preparados'!N375</f>
        <v/>
      </c>
      <c r="P382" s="7">
        <f>'1 datos preparados'!O375</f>
        <v/>
      </c>
      <c r="Q382" s="7">
        <f>'1 datos preparados'!P375</f>
        <v/>
      </c>
      <c r="R382" s="7">
        <f>'1 datos preparados'!Q375</f>
        <v/>
      </c>
      <c r="S382" s="7">
        <f>'1 datos preparados'!R375</f>
        <v/>
      </c>
      <c r="T382" s="7">
        <f>'1 datos preparados'!S375</f>
        <v/>
      </c>
      <c r="U382" s="7">
        <f>'1 datos preparados'!T375</f>
        <v/>
      </c>
      <c r="V382" s="8">
        <f>$AE$12+D382*$AE$13+E382*$AE$14+F382*$AE$15+G382*$AE$16+H382*$AE$17+I382*$AE$18+J382*$AE$19+K382*$AE$20+L382*$AE$21+M382*$AE$22+N382*$AE$23+O382*$AE$24+P382*$AE$25+Q382*$AE$26+R382*$AE$27+S382*$AE$28+T382*$AE$29+U382*$AE$30</f>
        <v/>
      </c>
      <c r="W382" s="8">
        <f>1/(1+EXP(-V382))</f>
        <v/>
      </c>
      <c r="X382" s="9">
        <f>-IF(C382=1,LN(W382),LN(1-W382))</f>
        <v/>
      </c>
      <c r="Y382" s="8">
        <f>1</f>
        <v/>
      </c>
      <c r="Z382" s="9">
        <f>Y382*X382</f>
        <v/>
      </c>
      <c r="AA382" s="10">
        <f>IF(W382&gt;$AE$32,1,0)</f>
        <v/>
      </c>
      <c r="AB382">
        <f>IF(AA382=C382,1,0)</f>
        <v/>
      </c>
    </row>
    <row r="383">
      <c r="A383">
        <f>'1 datos preparados'!A376</f>
        <v/>
      </c>
      <c r="B383" s="5">
        <f>'1 datos preparados'!U376</f>
        <v/>
      </c>
      <c r="C383">
        <f>'1 datos preparados'!B376</f>
        <v/>
      </c>
      <c r="D383" s="7">
        <f>'1 datos preparados'!C376</f>
        <v/>
      </c>
      <c r="E383" s="7">
        <f>'1 datos preparados'!D376</f>
        <v/>
      </c>
      <c r="F383" s="7">
        <f>'1 datos preparados'!E376</f>
        <v/>
      </c>
      <c r="G383" s="7">
        <f>'1 datos preparados'!F376</f>
        <v/>
      </c>
      <c r="H383" s="7">
        <f>'1 datos preparados'!G376</f>
        <v/>
      </c>
      <c r="I383" s="7">
        <f>'1 datos preparados'!H376</f>
        <v/>
      </c>
      <c r="J383" s="7">
        <f>'1 datos preparados'!I376</f>
        <v/>
      </c>
      <c r="K383" s="7">
        <f>'1 datos preparados'!J376</f>
        <v/>
      </c>
      <c r="L383" s="7">
        <f>'1 datos preparados'!K376</f>
        <v/>
      </c>
      <c r="M383" s="7">
        <f>'1 datos preparados'!L376</f>
        <v/>
      </c>
      <c r="N383" s="7">
        <f>'1 datos preparados'!M376</f>
        <v/>
      </c>
      <c r="O383" s="7">
        <f>'1 datos preparados'!N376</f>
        <v/>
      </c>
      <c r="P383" s="7">
        <f>'1 datos preparados'!O376</f>
        <v/>
      </c>
      <c r="Q383" s="7">
        <f>'1 datos preparados'!P376</f>
        <v/>
      </c>
      <c r="R383" s="7">
        <f>'1 datos preparados'!Q376</f>
        <v/>
      </c>
      <c r="S383" s="7">
        <f>'1 datos preparados'!R376</f>
        <v/>
      </c>
      <c r="T383" s="7">
        <f>'1 datos preparados'!S376</f>
        <v/>
      </c>
      <c r="U383" s="7">
        <f>'1 datos preparados'!T376</f>
        <v/>
      </c>
      <c r="V383" s="8">
        <f>$AE$12+D383*$AE$13+E383*$AE$14+F383*$AE$15+G383*$AE$16+H383*$AE$17+I383*$AE$18+J383*$AE$19+K383*$AE$20+L383*$AE$21+M383*$AE$22+N383*$AE$23+O383*$AE$24+P383*$AE$25+Q383*$AE$26+R383*$AE$27+S383*$AE$28+T383*$AE$29+U383*$AE$30</f>
        <v/>
      </c>
      <c r="W383" s="8">
        <f>1/(1+EXP(-V383))</f>
        <v/>
      </c>
      <c r="X383" s="9">
        <f>-IF(C383=1,LN(W383),LN(1-W383))</f>
        <v/>
      </c>
      <c r="Y383" s="8">
        <f>1</f>
        <v/>
      </c>
      <c r="Z383" s="9">
        <f>Y383*X383</f>
        <v/>
      </c>
      <c r="AA383" s="10">
        <f>IF(W383&gt;$AE$32,1,0)</f>
        <v/>
      </c>
      <c r="AB383">
        <f>IF(AA383=C383,1,0)</f>
        <v/>
      </c>
    </row>
    <row r="384">
      <c r="A384">
        <f>'1 datos preparados'!A377</f>
        <v/>
      </c>
      <c r="B384" s="5">
        <f>'1 datos preparados'!U377</f>
        <v/>
      </c>
      <c r="C384">
        <f>'1 datos preparados'!B377</f>
        <v/>
      </c>
      <c r="D384" s="7">
        <f>'1 datos preparados'!C377</f>
        <v/>
      </c>
      <c r="E384" s="7">
        <f>'1 datos preparados'!D377</f>
        <v/>
      </c>
      <c r="F384" s="7">
        <f>'1 datos preparados'!E377</f>
        <v/>
      </c>
      <c r="G384" s="7">
        <f>'1 datos preparados'!F377</f>
        <v/>
      </c>
      <c r="H384" s="7">
        <f>'1 datos preparados'!G377</f>
        <v/>
      </c>
      <c r="I384" s="7">
        <f>'1 datos preparados'!H377</f>
        <v/>
      </c>
      <c r="J384" s="7">
        <f>'1 datos preparados'!I377</f>
        <v/>
      </c>
      <c r="K384" s="7">
        <f>'1 datos preparados'!J377</f>
        <v/>
      </c>
      <c r="L384" s="7">
        <f>'1 datos preparados'!K377</f>
        <v/>
      </c>
      <c r="M384" s="7">
        <f>'1 datos preparados'!L377</f>
        <v/>
      </c>
      <c r="N384" s="7">
        <f>'1 datos preparados'!M377</f>
        <v/>
      </c>
      <c r="O384" s="7">
        <f>'1 datos preparados'!N377</f>
        <v/>
      </c>
      <c r="P384" s="7">
        <f>'1 datos preparados'!O377</f>
        <v/>
      </c>
      <c r="Q384" s="7">
        <f>'1 datos preparados'!P377</f>
        <v/>
      </c>
      <c r="R384" s="7">
        <f>'1 datos preparados'!Q377</f>
        <v/>
      </c>
      <c r="S384" s="7">
        <f>'1 datos preparados'!R377</f>
        <v/>
      </c>
      <c r="T384" s="7">
        <f>'1 datos preparados'!S377</f>
        <v/>
      </c>
      <c r="U384" s="7">
        <f>'1 datos preparados'!T377</f>
        <v/>
      </c>
      <c r="V384" s="8">
        <f>$AE$12+D384*$AE$13+E384*$AE$14+F384*$AE$15+G384*$AE$16+H384*$AE$17+I384*$AE$18+J384*$AE$19+K384*$AE$20+L384*$AE$21+M384*$AE$22+N384*$AE$23+O384*$AE$24+P384*$AE$25+Q384*$AE$26+R384*$AE$27+S384*$AE$28+T384*$AE$29+U384*$AE$30</f>
        <v/>
      </c>
      <c r="W384" s="8">
        <f>1/(1+EXP(-V384))</f>
        <v/>
      </c>
      <c r="X384" s="9">
        <f>-IF(C384=1,LN(W384),LN(1-W384))</f>
        <v/>
      </c>
      <c r="Y384" s="8">
        <f>1</f>
        <v/>
      </c>
      <c r="Z384" s="9">
        <f>Y384*X384</f>
        <v/>
      </c>
      <c r="AA384" s="10">
        <f>IF(W384&gt;$AE$32,1,0)</f>
        <v/>
      </c>
      <c r="AB384">
        <f>IF(AA384=C384,1,0)</f>
        <v/>
      </c>
    </row>
    <row r="385">
      <c r="A385">
        <f>'1 datos preparados'!A378</f>
        <v/>
      </c>
      <c r="B385" s="5">
        <f>'1 datos preparados'!U378</f>
        <v/>
      </c>
      <c r="C385">
        <f>'1 datos preparados'!B378</f>
        <v/>
      </c>
      <c r="D385" s="7">
        <f>'1 datos preparados'!C378</f>
        <v/>
      </c>
      <c r="E385" s="7">
        <f>'1 datos preparados'!D378</f>
        <v/>
      </c>
      <c r="F385" s="7">
        <f>'1 datos preparados'!E378</f>
        <v/>
      </c>
      <c r="G385" s="7">
        <f>'1 datos preparados'!F378</f>
        <v/>
      </c>
      <c r="H385" s="7">
        <f>'1 datos preparados'!G378</f>
        <v/>
      </c>
      <c r="I385" s="7">
        <f>'1 datos preparados'!H378</f>
        <v/>
      </c>
      <c r="J385" s="7">
        <f>'1 datos preparados'!I378</f>
        <v/>
      </c>
      <c r="K385" s="7">
        <f>'1 datos preparados'!J378</f>
        <v/>
      </c>
      <c r="L385" s="7">
        <f>'1 datos preparados'!K378</f>
        <v/>
      </c>
      <c r="M385" s="7">
        <f>'1 datos preparados'!L378</f>
        <v/>
      </c>
      <c r="N385" s="7">
        <f>'1 datos preparados'!M378</f>
        <v/>
      </c>
      <c r="O385" s="7">
        <f>'1 datos preparados'!N378</f>
        <v/>
      </c>
      <c r="P385" s="7">
        <f>'1 datos preparados'!O378</f>
        <v/>
      </c>
      <c r="Q385" s="7">
        <f>'1 datos preparados'!P378</f>
        <v/>
      </c>
      <c r="R385" s="7">
        <f>'1 datos preparados'!Q378</f>
        <v/>
      </c>
      <c r="S385" s="7">
        <f>'1 datos preparados'!R378</f>
        <v/>
      </c>
      <c r="T385" s="7">
        <f>'1 datos preparados'!S378</f>
        <v/>
      </c>
      <c r="U385" s="7">
        <f>'1 datos preparados'!T378</f>
        <v/>
      </c>
      <c r="V385" s="8">
        <f>$AE$12+D385*$AE$13+E385*$AE$14+F385*$AE$15+G385*$AE$16+H385*$AE$17+I385*$AE$18+J385*$AE$19+K385*$AE$20+L385*$AE$21+M385*$AE$22+N385*$AE$23+O385*$AE$24+P385*$AE$25+Q385*$AE$26+R385*$AE$27+S385*$AE$28+T385*$AE$29+U385*$AE$30</f>
        <v/>
      </c>
      <c r="W385" s="8">
        <f>1/(1+EXP(-V385))</f>
        <v/>
      </c>
      <c r="X385" s="9">
        <f>-IF(C385=1,LN(W385),LN(1-W385))</f>
        <v/>
      </c>
      <c r="Y385" s="8">
        <f>1</f>
        <v/>
      </c>
      <c r="Z385" s="9">
        <f>Y385*X385</f>
        <v/>
      </c>
      <c r="AA385" s="10">
        <f>IF(W385&gt;$AE$32,1,0)</f>
        <v/>
      </c>
      <c r="AB385">
        <f>IF(AA385=C385,1,0)</f>
        <v/>
      </c>
    </row>
    <row r="386">
      <c r="A386">
        <f>'1 datos preparados'!A379</f>
        <v/>
      </c>
      <c r="B386" s="5">
        <f>'1 datos preparados'!U379</f>
        <v/>
      </c>
      <c r="C386">
        <f>'1 datos preparados'!B379</f>
        <v/>
      </c>
      <c r="D386" s="7">
        <f>'1 datos preparados'!C379</f>
        <v/>
      </c>
      <c r="E386" s="7">
        <f>'1 datos preparados'!D379</f>
        <v/>
      </c>
      <c r="F386" s="7">
        <f>'1 datos preparados'!E379</f>
        <v/>
      </c>
      <c r="G386" s="7">
        <f>'1 datos preparados'!F379</f>
        <v/>
      </c>
      <c r="H386" s="7">
        <f>'1 datos preparados'!G379</f>
        <v/>
      </c>
      <c r="I386" s="7">
        <f>'1 datos preparados'!H379</f>
        <v/>
      </c>
      <c r="J386" s="7">
        <f>'1 datos preparados'!I379</f>
        <v/>
      </c>
      <c r="K386" s="7">
        <f>'1 datos preparados'!J379</f>
        <v/>
      </c>
      <c r="L386" s="7">
        <f>'1 datos preparados'!K379</f>
        <v/>
      </c>
      <c r="M386" s="7">
        <f>'1 datos preparados'!L379</f>
        <v/>
      </c>
      <c r="N386" s="7">
        <f>'1 datos preparados'!M379</f>
        <v/>
      </c>
      <c r="O386" s="7">
        <f>'1 datos preparados'!N379</f>
        <v/>
      </c>
      <c r="P386" s="7">
        <f>'1 datos preparados'!O379</f>
        <v/>
      </c>
      <c r="Q386" s="7">
        <f>'1 datos preparados'!P379</f>
        <v/>
      </c>
      <c r="R386" s="7">
        <f>'1 datos preparados'!Q379</f>
        <v/>
      </c>
      <c r="S386" s="7">
        <f>'1 datos preparados'!R379</f>
        <v/>
      </c>
      <c r="T386" s="7">
        <f>'1 datos preparados'!S379</f>
        <v/>
      </c>
      <c r="U386" s="7">
        <f>'1 datos preparados'!T379</f>
        <v/>
      </c>
      <c r="V386" s="8">
        <f>$AE$12+D386*$AE$13+E386*$AE$14+F386*$AE$15+G386*$AE$16+H386*$AE$17+I386*$AE$18+J386*$AE$19+K386*$AE$20+L386*$AE$21+M386*$AE$22+N386*$AE$23+O386*$AE$24+P386*$AE$25+Q386*$AE$26+R386*$AE$27+S386*$AE$28+T386*$AE$29+U386*$AE$30</f>
        <v/>
      </c>
      <c r="W386" s="8">
        <f>1/(1+EXP(-V386))</f>
        <v/>
      </c>
      <c r="X386" s="9">
        <f>-IF(C386=1,LN(W386),LN(1-W386))</f>
        <v/>
      </c>
      <c r="Y386" s="8">
        <f>1</f>
        <v/>
      </c>
      <c r="Z386" s="9">
        <f>Y386*X386</f>
        <v/>
      </c>
      <c r="AA386" s="10">
        <f>IF(W386&gt;$AE$32,1,0)</f>
        <v/>
      </c>
      <c r="AB386">
        <f>IF(AA386=C386,1,0)</f>
        <v/>
      </c>
    </row>
    <row r="387">
      <c r="A387">
        <f>'1 datos preparados'!A380</f>
        <v/>
      </c>
      <c r="B387" s="5">
        <f>'1 datos preparados'!U380</f>
        <v/>
      </c>
      <c r="C387">
        <f>'1 datos preparados'!B380</f>
        <v/>
      </c>
      <c r="D387" s="7">
        <f>'1 datos preparados'!C380</f>
        <v/>
      </c>
      <c r="E387" s="7">
        <f>'1 datos preparados'!D380</f>
        <v/>
      </c>
      <c r="F387" s="7">
        <f>'1 datos preparados'!E380</f>
        <v/>
      </c>
      <c r="G387" s="7">
        <f>'1 datos preparados'!F380</f>
        <v/>
      </c>
      <c r="H387" s="7">
        <f>'1 datos preparados'!G380</f>
        <v/>
      </c>
      <c r="I387" s="7">
        <f>'1 datos preparados'!H380</f>
        <v/>
      </c>
      <c r="J387" s="7">
        <f>'1 datos preparados'!I380</f>
        <v/>
      </c>
      <c r="K387" s="7">
        <f>'1 datos preparados'!J380</f>
        <v/>
      </c>
      <c r="L387" s="7">
        <f>'1 datos preparados'!K380</f>
        <v/>
      </c>
      <c r="M387" s="7">
        <f>'1 datos preparados'!L380</f>
        <v/>
      </c>
      <c r="N387" s="7">
        <f>'1 datos preparados'!M380</f>
        <v/>
      </c>
      <c r="O387" s="7">
        <f>'1 datos preparados'!N380</f>
        <v/>
      </c>
      <c r="P387" s="7">
        <f>'1 datos preparados'!O380</f>
        <v/>
      </c>
      <c r="Q387" s="7">
        <f>'1 datos preparados'!P380</f>
        <v/>
      </c>
      <c r="R387" s="7">
        <f>'1 datos preparados'!Q380</f>
        <v/>
      </c>
      <c r="S387" s="7">
        <f>'1 datos preparados'!R380</f>
        <v/>
      </c>
      <c r="T387" s="7">
        <f>'1 datos preparados'!S380</f>
        <v/>
      </c>
      <c r="U387" s="7">
        <f>'1 datos preparados'!T380</f>
        <v/>
      </c>
      <c r="V387" s="8">
        <f>$AE$12+D387*$AE$13+E387*$AE$14+F387*$AE$15+G387*$AE$16+H387*$AE$17+I387*$AE$18+J387*$AE$19+K387*$AE$20+L387*$AE$21+M387*$AE$22+N387*$AE$23+O387*$AE$24+P387*$AE$25+Q387*$AE$26+R387*$AE$27+S387*$AE$28+T387*$AE$29+U387*$AE$30</f>
        <v/>
      </c>
      <c r="W387" s="8">
        <f>1/(1+EXP(-V387))</f>
        <v/>
      </c>
      <c r="X387" s="9">
        <f>-IF(C387=1,LN(W387),LN(1-W387))</f>
        <v/>
      </c>
      <c r="Y387" s="8">
        <f>1</f>
        <v/>
      </c>
      <c r="Z387" s="9">
        <f>Y387*X387</f>
        <v/>
      </c>
      <c r="AA387" s="10">
        <f>IF(W387&gt;$AE$32,1,0)</f>
        <v/>
      </c>
      <c r="AB387">
        <f>IF(AA387=C387,1,0)</f>
        <v/>
      </c>
    </row>
    <row r="388">
      <c r="A388">
        <f>'1 datos preparados'!A381</f>
        <v/>
      </c>
      <c r="B388" s="5">
        <f>'1 datos preparados'!U381</f>
        <v/>
      </c>
      <c r="C388">
        <f>'1 datos preparados'!B381</f>
        <v/>
      </c>
      <c r="D388" s="7">
        <f>'1 datos preparados'!C381</f>
        <v/>
      </c>
      <c r="E388" s="7">
        <f>'1 datos preparados'!D381</f>
        <v/>
      </c>
      <c r="F388" s="7">
        <f>'1 datos preparados'!E381</f>
        <v/>
      </c>
      <c r="G388" s="7">
        <f>'1 datos preparados'!F381</f>
        <v/>
      </c>
      <c r="H388" s="7">
        <f>'1 datos preparados'!G381</f>
        <v/>
      </c>
      <c r="I388" s="7">
        <f>'1 datos preparados'!H381</f>
        <v/>
      </c>
      <c r="J388" s="7">
        <f>'1 datos preparados'!I381</f>
        <v/>
      </c>
      <c r="K388" s="7">
        <f>'1 datos preparados'!J381</f>
        <v/>
      </c>
      <c r="L388" s="7">
        <f>'1 datos preparados'!K381</f>
        <v/>
      </c>
      <c r="M388" s="7">
        <f>'1 datos preparados'!L381</f>
        <v/>
      </c>
      <c r="N388" s="7">
        <f>'1 datos preparados'!M381</f>
        <v/>
      </c>
      <c r="O388" s="7">
        <f>'1 datos preparados'!N381</f>
        <v/>
      </c>
      <c r="P388" s="7">
        <f>'1 datos preparados'!O381</f>
        <v/>
      </c>
      <c r="Q388" s="7">
        <f>'1 datos preparados'!P381</f>
        <v/>
      </c>
      <c r="R388" s="7">
        <f>'1 datos preparados'!Q381</f>
        <v/>
      </c>
      <c r="S388" s="7">
        <f>'1 datos preparados'!R381</f>
        <v/>
      </c>
      <c r="T388" s="7">
        <f>'1 datos preparados'!S381</f>
        <v/>
      </c>
      <c r="U388" s="7">
        <f>'1 datos preparados'!T381</f>
        <v/>
      </c>
      <c r="V388" s="8">
        <f>$AE$12+D388*$AE$13+E388*$AE$14+F388*$AE$15+G388*$AE$16+H388*$AE$17+I388*$AE$18+J388*$AE$19+K388*$AE$20+L388*$AE$21+M388*$AE$22+N388*$AE$23+O388*$AE$24+P388*$AE$25+Q388*$AE$26+R388*$AE$27+S388*$AE$28+T388*$AE$29+U388*$AE$30</f>
        <v/>
      </c>
      <c r="W388" s="8">
        <f>1/(1+EXP(-V388))</f>
        <v/>
      </c>
      <c r="X388" s="9">
        <f>-IF(C388=1,LN(W388),LN(1-W388))</f>
        <v/>
      </c>
      <c r="Y388" s="8">
        <f>1</f>
        <v/>
      </c>
      <c r="Z388" s="9">
        <f>Y388*X388</f>
        <v/>
      </c>
      <c r="AA388" s="10">
        <f>IF(W388&gt;$AE$32,1,0)</f>
        <v/>
      </c>
      <c r="AB388">
        <f>IF(AA388=C388,1,0)</f>
        <v/>
      </c>
    </row>
    <row r="389">
      <c r="A389">
        <f>'1 datos preparados'!A382</f>
        <v/>
      </c>
      <c r="B389" s="5">
        <f>'1 datos preparados'!U382</f>
        <v/>
      </c>
      <c r="C389">
        <f>'1 datos preparados'!B382</f>
        <v/>
      </c>
      <c r="D389" s="7">
        <f>'1 datos preparados'!C382</f>
        <v/>
      </c>
      <c r="E389" s="7">
        <f>'1 datos preparados'!D382</f>
        <v/>
      </c>
      <c r="F389" s="7">
        <f>'1 datos preparados'!E382</f>
        <v/>
      </c>
      <c r="G389" s="7">
        <f>'1 datos preparados'!F382</f>
        <v/>
      </c>
      <c r="H389" s="7">
        <f>'1 datos preparados'!G382</f>
        <v/>
      </c>
      <c r="I389" s="7">
        <f>'1 datos preparados'!H382</f>
        <v/>
      </c>
      <c r="J389" s="7">
        <f>'1 datos preparados'!I382</f>
        <v/>
      </c>
      <c r="K389" s="7">
        <f>'1 datos preparados'!J382</f>
        <v/>
      </c>
      <c r="L389" s="7">
        <f>'1 datos preparados'!K382</f>
        <v/>
      </c>
      <c r="M389" s="7">
        <f>'1 datos preparados'!L382</f>
        <v/>
      </c>
      <c r="N389" s="7">
        <f>'1 datos preparados'!M382</f>
        <v/>
      </c>
      <c r="O389" s="7">
        <f>'1 datos preparados'!N382</f>
        <v/>
      </c>
      <c r="P389" s="7">
        <f>'1 datos preparados'!O382</f>
        <v/>
      </c>
      <c r="Q389" s="7">
        <f>'1 datos preparados'!P382</f>
        <v/>
      </c>
      <c r="R389" s="7">
        <f>'1 datos preparados'!Q382</f>
        <v/>
      </c>
      <c r="S389" s="7">
        <f>'1 datos preparados'!R382</f>
        <v/>
      </c>
      <c r="T389" s="7">
        <f>'1 datos preparados'!S382</f>
        <v/>
      </c>
      <c r="U389" s="7">
        <f>'1 datos preparados'!T382</f>
        <v/>
      </c>
      <c r="V389" s="8">
        <f>$AE$12+D389*$AE$13+E389*$AE$14+F389*$AE$15+G389*$AE$16+H389*$AE$17+I389*$AE$18+J389*$AE$19+K389*$AE$20+L389*$AE$21+M389*$AE$22+N389*$AE$23+O389*$AE$24+P389*$AE$25+Q389*$AE$26+R389*$AE$27+S389*$AE$28+T389*$AE$29+U389*$AE$30</f>
        <v/>
      </c>
      <c r="W389" s="8">
        <f>1/(1+EXP(-V389))</f>
        <v/>
      </c>
      <c r="X389" s="9">
        <f>-IF(C389=1,LN(W389),LN(1-W389))</f>
        <v/>
      </c>
      <c r="Y389" s="8">
        <f>1</f>
        <v/>
      </c>
      <c r="Z389" s="9">
        <f>Y389*X389</f>
        <v/>
      </c>
      <c r="AA389" s="10">
        <f>IF(W389&gt;$AE$32,1,0)</f>
        <v/>
      </c>
      <c r="AB389">
        <f>IF(AA389=C389,1,0)</f>
        <v/>
      </c>
    </row>
    <row r="390">
      <c r="A390">
        <f>'1 datos preparados'!A383</f>
        <v/>
      </c>
      <c r="B390" s="5">
        <f>'1 datos preparados'!U383</f>
        <v/>
      </c>
      <c r="C390">
        <f>'1 datos preparados'!B383</f>
        <v/>
      </c>
      <c r="D390" s="7">
        <f>'1 datos preparados'!C383</f>
        <v/>
      </c>
      <c r="E390" s="7">
        <f>'1 datos preparados'!D383</f>
        <v/>
      </c>
      <c r="F390" s="7">
        <f>'1 datos preparados'!E383</f>
        <v/>
      </c>
      <c r="G390" s="7">
        <f>'1 datos preparados'!F383</f>
        <v/>
      </c>
      <c r="H390" s="7">
        <f>'1 datos preparados'!G383</f>
        <v/>
      </c>
      <c r="I390" s="7">
        <f>'1 datos preparados'!H383</f>
        <v/>
      </c>
      <c r="J390" s="7">
        <f>'1 datos preparados'!I383</f>
        <v/>
      </c>
      <c r="K390" s="7">
        <f>'1 datos preparados'!J383</f>
        <v/>
      </c>
      <c r="L390" s="7">
        <f>'1 datos preparados'!K383</f>
        <v/>
      </c>
      <c r="M390" s="7">
        <f>'1 datos preparados'!L383</f>
        <v/>
      </c>
      <c r="N390" s="7">
        <f>'1 datos preparados'!M383</f>
        <v/>
      </c>
      <c r="O390" s="7">
        <f>'1 datos preparados'!N383</f>
        <v/>
      </c>
      <c r="P390" s="7">
        <f>'1 datos preparados'!O383</f>
        <v/>
      </c>
      <c r="Q390" s="7">
        <f>'1 datos preparados'!P383</f>
        <v/>
      </c>
      <c r="R390" s="7">
        <f>'1 datos preparados'!Q383</f>
        <v/>
      </c>
      <c r="S390" s="7">
        <f>'1 datos preparados'!R383</f>
        <v/>
      </c>
      <c r="T390" s="7">
        <f>'1 datos preparados'!S383</f>
        <v/>
      </c>
      <c r="U390" s="7">
        <f>'1 datos preparados'!T383</f>
        <v/>
      </c>
      <c r="V390" s="8">
        <f>$AE$12+D390*$AE$13+E390*$AE$14+F390*$AE$15+G390*$AE$16+H390*$AE$17+I390*$AE$18+J390*$AE$19+K390*$AE$20+L390*$AE$21+M390*$AE$22+N390*$AE$23+O390*$AE$24+P390*$AE$25+Q390*$AE$26+R390*$AE$27+S390*$AE$28+T390*$AE$29+U390*$AE$30</f>
        <v/>
      </c>
      <c r="W390" s="8">
        <f>1/(1+EXP(-V390))</f>
        <v/>
      </c>
      <c r="X390" s="9">
        <f>-IF(C390=1,LN(W390),LN(1-W390))</f>
        <v/>
      </c>
      <c r="Y390" s="8">
        <f>1</f>
        <v/>
      </c>
      <c r="Z390" s="9">
        <f>Y390*X390</f>
        <v/>
      </c>
      <c r="AA390" s="10">
        <f>IF(W390&gt;$AE$32,1,0)</f>
        <v/>
      </c>
      <c r="AB390">
        <f>IF(AA390=C390,1,0)</f>
        <v/>
      </c>
    </row>
    <row r="391">
      <c r="A391">
        <f>'1 datos preparados'!A384</f>
        <v/>
      </c>
      <c r="B391" s="5">
        <f>'1 datos preparados'!U384</f>
        <v/>
      </c>
      <c r="C391">
        <f>'1 datos preparados'!B384</f>
        <v/>
      </c>
      <c r="D391" s="7">
        <f>'1 datos preparados'!C384</f>
        <v/>
      </c>
      <c r="E391" s="7">
        <f>'1 datos preparados'!D384</f>
        <v/>
      </c>
      <c r="F391" s="7">
        <f>'1 datos preparados'!E384</f>
        <v/>
      </c>
      <c r="G391" s="7">
        <f>'1 datos preparados'!F384</f>
        <v/>
      </c>
      <c r="H391" s="7">
        <f>'1 datos preparados'!G384</f>
        <v/>
      </c>
      <c r="I391" s="7">
        <f>'1 datos preparados'!H384</f>
        <v/>
      </c>
      <c r="J391" s="7">
        <f>'1 datos preparados'!I384</f>
        <v/>
      </c>
      <c r="K391" s="7">
        <f>'1 datos preparados'!J384</f>
        <v/>
      </c>
      <c r="L391" s="7">
        <f>'1 datos preparados'!K384</f>
        <v/>
      </c>
      <c r="M391" s="7">
        <f>'1 datos preparados'!L384</f>
        <v/>
      </c>
      <c r="N391" s="7">
        <f>'1 datos preparados'!M384</f>
        <v/>
      </c>
      <c r="O391" s="7">
        <f>'1 datos preparados'!N384</f>
        <v/>
      </c>
      <c r="P391" s="7">
        <f>'1 datos preparados'!O384</f>
        <v/>
      </c>
      <c r="Q391" s="7">
        <f>'1 datos preparados'!P384</f>
        <v/>
      </c>
      <c r="R391" s="7">
        <f>'1 datos preparados'!Q384</f>
        <v/>
      </c>
      <c r="S391" s="7">
        <f>'1 datos preparados'!R384</f>
        <v/>
      </c>
      <c r="T391" s="7">
        <f>'1 datos preparados'!S384</f>
        <v/>
      </c>
      <c r="U391" s="7">
        <f>'1 datos preparados'!T384</f>
        <v/>
      </c>
      <c r="V391" s="8">
        <f>$AE$12+D391*$AE$13+E391*$AE$14+F391*$AE$15+G391*$AE$16+H391*$AE$17+I391*$AE$18+J391*$AE$19+K391*$AE$20+L391*$AE$21+M391*$AE$22+N391*$AE$23+O391*$AE$24+P391*$AE$25+Q391*$AE$26+R391*$AE$27+S391*$AE$28+T391*$AE$29+U391*$AE$30</f>
        <v/>
      </c>
      <c r="W391" s="8">
        <f>1/(1+EXP(-V391))</f>
        <v/>
      </c>
      <c r="X391" s="9">
        <f>-IF(C391=1,LN(W391),LN(1-W391))</f>
        <v/>
      </c>
      <c r="Y391" s="8">
        <f>1</f>
        <v/>
      </c>
      <c r="Z391" s="9">
        <f>Y391*X391</f>
        <v/>
      </c>
      <c r="AA391" s="10">
        <f>IF(W391&gt;$AE$32,1,0)</f>
        <v/>
      </c>
      <c r="AB391">
        <f>IF(AA391=C391,1,0)</f>
        <v/>
      </c>
    </row>
    <row r="392">
      <c r="A392">
        <f>'1 datos preparados'!A385</f>
        <v/>
      </c>
      <c r="B392" s="5">
        <f>'1 datos preparados'!U385</f>
        <v/>
      </c>
      <c r="C392">
        <f>'1 datos preparados'!B385</f>
        <v/>
      </c>
      <c r="D392" s="7">
        <f>'1 datos preparados'!C385</f>
        <v/>
      </c>
      <c r="E392" s="7">
        <f>'1 datos preparados'!D385</f>
        <v/>
      </c>
      <c r="F392" s="7">
        <f>'1 datos preparados'!E385</f>
        <v/>
      </c>
      <c r="G392" s="7">
        <f>'1 datos preparados'!F385</f>
        <v/>
      </c>
      <c r="H392" s="7">
        <f>'1 datos preparados'!G385</f>
        <v/>
      </c>
      <c r="I392" s="7">
        <f>'1 datos preparados'!H385</f>
        <v/>
      </c>
      <c r="J392" s="7">
        <f>'1 datos preparados'!I385</f>
        <v/>
      </c>
      <c r="K392" s="7">
        <f>'1 datos preparados'!J385</f>
        <v/>
      </c>
      <c r="L392" s="7">
        <f>'1 datos preparados'!K385</f>
        <v/>
      </c>
      <c r="M392" s="7">
        <f>'1 datos preparados'!L385</f>
        <v/>
      </c>
      <c r="N392" s="7">
        <f>'1 datos preparados'!M385</f>
        <v/>
      </c>
      <c r="O392" s="7">
        <f>'1 datos preparados'!N385</f>
        <v/>
      </c>
      <c r="P392" s="7">
        <f>'1 datos preparados'!O385</f>
        <v/>
      </c>
      <c r="Q392" s="7">
        <f>'1 datos preparados'!P385</f>
        <v/>
      </c>
      <c r="R392" s="7">
        <f>'1 datos preparados'!Q385</f>
        <v/>
      </c>
      <c r="S392" s="7">
        <f>'1 datos preparados'!R385</f>
        <v/>
      </c>
      <c r="T392" s="7">
        <f>'1 datos preparados'!S385</f>
        <v/>
      </c>
      <c r="U392" s="7">
        <f>'1 datos preparados'!T385</f>
        <v/>
      </c>
      <c r="V392" s="8">
        <f>$AE$12+D392*$AE$13+E392*$AE$14+F392*$AE$15+G392*$AE$16+H392*$AE$17+I392*$AE$18+J392*$AE$19+K392*$AE$20+L392*$AE$21+M392*$AE$22+N392*$AE$23+O392*$AE$24+P392*$AE$25+Q392*$AE$26+R392*$AE$27+S392*$AE$28+T392*$AE$29+U392*$AE$30</f>
        <v/>
      </c>
      <c r="W392" s="8">
        <f>1/(1+EXP(-V392))</f>
        <v/>
      </c>
      <c r="X392" s="9">
        <f>-IF(C392=1,LN(W392),LN(1-W392))</f>
        <v/>
      </c>
      <c r="Y392" s="8">
        <f>1</f>
        <v/>
      </c>
      <c r="Z392" s="9">
        <f>Y392*X392</f>
        <v/>
      </c>
      <c r="AA392" s="10">
        <f>IF(W392&gt;$AE$32,1,0)</f>
        <v/>
      </c>
      <c r="AB392">
        <f>IF(AA392=C392,1,0)</f>
        <v/>
      </c>
    </row>
    <row r="393">
      <c r="A393">
        <f>'1 datos preparados'!A386</f>
        <v/>
      </c>
      <c r="B393" s="5">
        <f>'1 datos preparados'!U386</f>
        <v/>
      </c>
      <c r="C393">
        <f>'1 datos preparados'!B386</f>
        <v/>
      </c>
      <c r="D393" s="7">
        <f>'1 datos preparados'!C386</f>
        <v/>
      </c>
      <c r="E393" s="7">
        <f>'1 datos preparados'!D386</f>
        <v/>
      </c>
      <c r="F393" s="7">
        <f>'1 datos preparados'!E386</f>
        <v/>
      </c>
      <c r="G393" s="7">
        <f>'1 datos preparados'!F386</f>
        <v/>
      </c>
      <c r="H393" s="7">
        <f>'1 datos preparados'!G386</f>
        <v/>
      </c>
      <c r="I393" s="7">
        <f>'1 datos preparados'!H386</f>
        <v/>
      </c>
      <c r="J393" s="7">
        <f>'1 datos preparados'!I386</f>
        <v/>
      </c>
      <c r="K393" s="7">
        <f>'1 datos preparados'!J386</f>
        <v/>
      </c>
      <c r="L393" s="7">
        <f>'1 datos preparados'!K386</f>
        <v/>
      </c>
      <c r="M393" s="7">
        <f>'1 datos preparados'!L386</f>
        <v/>
      </c>
      <c r="N393" s="7">
        <f>'1 datos preparados'!M386</f>
        <v/>
      </c>
      <c r="O393" s="7">
        <f>'1 datos preparados'!N386</f>
        <v/>
      </c>
      <c r="P393" s="7">
        <f>'1 datos preparados'!O386</f>
        <v/>
      </c>
      <c r="Q393" s="7">
        <f>'1 datos preparados'!P386</f>
        <v/>
      </c>
      <c r="R393" s="7">
        <f>'1 datos preparados'!Q386</f>
        <v/>
      </c>
      <c r="S393" s="7">
        <f>'1 datos preparados'!R386</f>
        <v/>
      </c>
      <c r="T393" s="7">
        <f>'1 datos preparados'!S386</f>
        <v/>
      </c>
      <c r="U393" s="7">
        <f>'1 datos preparados'!T386</f>
        <v/>
      </c>
      <c r="V393" s="8">
        <f>$AE$12+D393*$AE$13+E393*$AE$14+F393*$AE$15+G393*$AE$16+H393*$AE$17+I393*$AE$18+J393*$AE$19+K393*$AE$20+L393*$AE$21+M393*$AE$22+N393*$AE$23+O393*$AE$24+P393*$AE$25+Q393*$AE$26+R393*$AE$27+S393*$AE$28+T393*$AE$29+U393*$AE$30</f>
        <v/>
      </c>
      <c r="W393" s="8">
        <f>1/(1+EXP(-V393))</f>
        <v/>
      </c>
      <c r="X393" s="9">
        <f>-IF(C393=1,LN(W393),LN(1-W393))</f>
        <v/>
      </c>
      <c r="Y393" s="8">
        <f>1</f>
        <v/>
      </c>
      <c r="Z393" s="9">
        <f>Y393*X393</f>
        <v/>
      </c>
      <c r="AA393" s="10">
        <f>IF(W393&gt;$AE$32,1,0)</f>
        <v/>
      </c>
      <c r="AB393">
        <f>IF(AA393=C393,1,0)</f>
        <v/>
      </c>
    </row>
    <row r="394">
      <c r="A394">
        <f>'1 datos preparados'!A387</f>
        <v/>
      </c>
      <c r="B394" s="5">
        <f>'1 datos preparados'!U387</f>
        <v/>
      </c>
      <c r="C394">
        <f>'1 datos preparados'!B387</f>
        <v/>
      </c>
      <c r="D394" s="7">
        <f>'1 datos preparados'!C387</f>
        <v/>
      </c>
      <c r="E394" s="7">
        <f>'1 datos preparados'!D387</f>
        <v/>
      </c>
      <c r="F394" s="7">
        <f>'1 datos preparados'!E387</f>
        <v/>
      </c>
      <c r="G394" s="7">
        <f>'1 datos preparados'!F387</f>
        <v/>
      </c>
      <c r="H394" s="7">
        <f>'1 datos preparados'!G387</f>
        <v/>
      </c>
      <c r="I394" s="7">
        <f>'1 datos preparados'!H387</f>
        <v/>
      </c>
      <c r="J394" s="7">
        <f>'1 datos preparados'!I387</f>
        <v/>
      </c>
      <c r="K394" s="7">
        <f>'1 datos preparados'!J387</f>
        <v/>
      </c>
      <c r="L394" s="7">
        <f>'1 datos preparados'!K387</f>
        <v/>
      </c>
      <c r="M394" s="7">
        <f>'1 datos preparados'!L387</f>
        <v/>
      </c>
      <c r="N394" s="7">
        <f>'1 datos preparados'!M387</f>
        <v/>
      </c>
      <c r="O394" s="7">
        <f>'1 datos preparados'!N387</f>
        <v/>
      </c>
      <c r="P394" s="7">
        <f>'1 datos preparados'!O387</f>
        <v/>
      </c>
      <c r="Q394" s="7">
        <f>'1 datos preparados'!P387</f>
        <v/>
      </c>
      <c r="R394" s="7">
        <f>'1 datos preparados'!Q387</f>
        <v/>
      </c>
      <c r="S394" s="7">
        <f>'1 datos preparados'!R387</f>
        <v/>
      </c>
      <c r="T394" s="7">
        <f>'1 datos preparados'!S387</f>
        <v/>
      </c>
      <c r="U394" s="7">
        <f>'1 datos preparados'!T387</f>
        <v/>
      </c>
      <c r="V394" s="8">
        <f>$AE$12+D394*$AE$13+E394*$AE$14+F394*$AE$15+G394*$AE$16+H394*$AE$17+I394*$AE$18+J394*$AE$19+K394*$AE$20+L394*$AE$21+M394*$AE$22+N394*$AE$23+O394*$AE$24+P394*$AE$25+Q394*$AE$26+R394*$AE$27+S394*$AE$28+T394*$AE$29+U394*$AE$30</f>
        <v/>
      </c>
      <c r="W394" s="8">
        <f>1/(1+EXP(-V394))</f>
        <v/>
      </c>
      <c r="X394" s="9">
        <f>-IF(C394=1,LN(W394),LN(1-W394))</f>
        <v/>
      </c>
      <c r="Y394" s="8">
        <f>1</f>
        <v/>
      </c>
      <c r="Z394" s="9">
        <f>Y394*X394</f>
        <v/>
      </c>
      <c r="AA394" s="10">
        <f>IF(W394&gt;$AE$32,1,0)</f>
        <v/>
      </c>
      <c r="AB394">
        <f>IF(AA394=C394,1,0)</f>
        <v/>
      </c>
    </row>
    <row r="395">
      <c r="A395">
        <f>'1 datos preparados'!A388</f>
        <v/>
      </c>
      <c r="B395" s="5">
        <f>'1 datos preparados'!U388</f>
        <v/>
      </c>
      <c r="C395">
        <f>'1 datos preparados'!B388</f>
        <v/>
      </c>
      <c r="D395" s="7">
        <f>'1 datos preparados'!C388</f>
        <v/>
      </c>
      <c r="E395" s="7">
        <f>'1 datos preparados'!D388</f>
        <v/>
      </c>
      <c r="F395" s="7">
        <f>'1 datos preparados'!E388</f>
        <v/>
      </c>
      <c r="G395" s="7">
        <f>'1 datos preparados'!F388</f>
        <v/>
      </c>
      <c r="H395" s="7">
        <f>'1 datos preparados'!G388</f>
        <v/>
      </c>
      <c r="I395" s="7">
        <f>'1 datos preparados'!H388</f>
        <v/>
      </c>
      <c r="J395" s="7">
        <f>'1 datos preparados'!I388</f>
        <v/>
      </c>
      <c r="K395" s="7">
        <f>'1 datos preparados'!J388</f>
        <v/>
      </c>
      <c r="L395" s="7">
        <f>'1 datos preparados'!K388</f>
        <v/>
      </c>
      <c r="M395" s="7">
        <f>'1 datos preparados'!L388</f>
        <v/>
      </c>
      <c r="N395" s="7">
        <f>'1 datos preparados'!M388</f>
        <v/>
      </c>
      <c r="O395" s="7">
        <f>'1 datos preparados'!N388</f>
        <v/>
      </c>
      <c r="P395" s="7">
        <f>'1 datos preparados'!O388</f>
        <v/>
      </c>
      <c r="Q395" s="7">
        <f>'1 datos preparados'!P388</f>
        <v/>
      </c>
      <c r="R395" s="7">
        <f>'1 datos preparados'!Q388</f>
        <v/>
      </c>
      <c r="S395" s="7">
        <f>'1 datos preparados'!R388</f>
        <v/>
      </c>
      <c r="T395" s="7">
        <f>'1 datos preparados'!S388</f>
        <v/>
      </c>
      <c r="U395" s="7">
        <f>'1 datos preparados'!T388</f>
        <v/>
      </c>
      <c r="V395" s="8">
        <f>$AE$12+D395*$AE$13+E395*$AE$14+F395*$AE$15+G395*$AE$16+H395*$AE$17+I395*$AE$18+J395*$AE$19+K395*$AE$20+L395*$AE$21+M395*$AE$22+N395*$AE$23+O395*$AE$24+P395*$AE$25+Q395*$AE$26+R395*$AE$27+S395*$AE$28+T395*$AE$29+U395*$AE$30</f>
        <v/>
      </c>
      <c r="W395" s="8">
        <f>1/(1+EXP(-V395))</f>
        <v/>
      </c>
      <c r="X395" s="9">
        <f>-IF(C395=1,LN(W395),LN(1-W395))</f>
        <v/>
      </c>
      <c r="Y395" s="8">
        <f>1</f>
        <v/>
      </c>
      <c r="Z395" s="9">
        <f>Y395*X395</f>
        <v/>
      </c>
      <c r="AA395" s="10">
        <f>IF(W395&gt;$AE$32,1,0)</f>
        <v/>
      </c>
      <c r="AB395">
        <f>IF(AA395=C395,1,0)</f>
        <v/>
      </c>
    </row>
    <row r="396">
      <c r="A396">
        <f>'1 datos preparados'!A389</f>
        <v/>
      </c>
      <c r="B396" s="5">
        <f>'1 datos preparados'!U389</f>
        <v/>
      </c>
      <c r="C396">
        <f>'1 datos preparados'!B389</f>
        <v/>
      </c>
      <c r="D396" s="7">
        <f>'1 datos preparados'!C389</f>
        <v/>
      </c>
      <c r="E396" s="7">
        <f>'1 datos preparados'!D389</f>
        <v/>
      </c>
      <c r="F396" s="7">
        <f>'1 datos preparados'!E389</f>
        <v/>
      </c>
      <c r="G396" s="7">
        <f>'1 datos preparados'!F389</f>
        <v/>
      </c>
      <c r="H396" s="7">
        <f>'1 datos preparados'!G389</f>
        <v/>
      </c>
      <c r="I396" s="7">
        <f>'1 datos preparados'!H389</f>
        <v/>
      </c>
      <c r="J396" s="7">
        <f>'1 datos preparados'!I389</f>
        <v/>
      </c>
      <c r="K396" s="7">
        <f>'1 datos preparados'!J389</f>
        <v/>
      </c>
      <c r="L396" s="7">
        <f>'1 datos preparados'!K389</f>
        <v/>
      </c>
      <c r="M396" s="7">
        <f>'1 datos preparados'!L389</f>
        <v/>
      </c>
      <c r="N396" s="7">
        <f>'1 datos preparados'!M389</f>
        <v/>
      </c>
      <c r="O396" s="7">
        <f>'1 datos preparados'!N389</f>
        <v/>
      </c>
      <c r="P396" s="7">
        <f>'1 datos preparados'!O389</f>
        <v/>
      </c>
      <c r="Q396" s="7">
        <f>'1 datos preparados'!P389</f>
        <v/>
      </c>
      <c r="R396" s="7">
        <f>'1 datos preparados'!Q389</f>
        <v/>
      </c>
      <c r="S396" s="7">
        <f>'1 datos preparados'!R389</f>
        <v/>
      </c>
      <c r="T396" s="7">
        <f>'1 datos preparados'!S389</f>
        <v/>
      </c>
      <c r="U396" s="7">
        <f>'1 datos preparados'!T389</f>
        <v/>
      </c>
      <c r="V396" s="8">
        <f>$AE$12+D396*$AE$13+E396*$AE$14+F396*$AE$15+G396*$AE$16+H396*$AE$17+I396*$AE$18+J396*$AE$19+K396*$AE$20+L396*$AE$21+M396*$AE$22+N396*$AE$23+O396*$AE$24+P396*$AE$25+Q396*$AE$26+R396*$AE$27+S396*$AE$28+T396*$AE$29+U396*$AE$30</f>
        <v/>
      </c>
      <c r="W396" s="8">
        <f>1/(1+EXP(-V396))</f>
        <v/>
      </c>
      <c r="X396" s="9">
        <f>-IF(C396=1,LN(W396),LN(1-W396))</f>
        <v/>
      </c>
      <c r="Y396" s="8">
        <f>1</f>
        <v/>
      </c>
      <c r="Z396" s="9">
        <f>Y396*X396</f>
        <v/>
      </c>
      <c r="AA396" s="10">
        <f>IF(W396&gt;$AE$32,1,0)</f>
        <v/>
      </c>
      <c r="AB396">
        <f>IF(AA396=C396,1,0)</f>
        <v/>
      </c>
    </row>
    <row r="397">
      <c r="A397">
        <f>'1 datos preparados'!A390</f>
        <v/>
      </c>
      <c r="B397" s="5">
        <f>'1 datos preparados'!U390</f>
        <v/>
      </c>
      <c r="C397">
        <f>'1 datos preparados'!B390</f>
        <v/>
      </c>
      <c r="D397" s="7">
        <f>'1 datos preparados'!C390</f>
        <v/>
      </c>
      <c r="E397" s="7">
        <f>'1 datos preparados'!D390</f>
        <v/>
      </c>
      <c r="F397" s="7">
        <f>'1 datos preparados'!E390</f>
        <v/>
      </c>
      <c r="G397" s="7">
        <f>'1 datos preparados'!F390</f>
        <v/>
      </c>
      <c r="H397" s="7">
        <f>'1 datos preparados'!G390</f>
        <v/>
      </c>
      <c r="I397" s="7">
        <f>'1 datos preparados'!H390</f>
        <v/>
      </c>
      <c r="J397" s="7">
        <f>'1 datos preparados'!I390</f>
        <v/>
      </c>
      <c r="K397" s="7">
        <f>'1 datos preparados'!J390</f>
        <v/>
      </c>
      <c r="L397" s="7">
        <f>'1 datos preparados'!K390</f>
        <v/>
      </c>
      <c r="M397" s="7">
        <f>'1 datos preparados'!L390</f>
        <v/>
      </c>
      <c r="N397" s="7">
        <f>'1 datos preparados'!M390</f>
        <v/>
      </c>
      <c r="O397" s="7">
        <f>'1 datos preparados'!N390</f>
        <v/>
      </c>
      <c r="P397" s="7">
        <f>'1 datos preparados'!O390</f>
        <v/>
      </c>
      <c r="Q397" s="7">
        <f>'1 datos preparados'!P390</f>
        <v/>
      </c>
      <c r="R397" s="7">
        <f>'1 datos preparados'!Q390</f>
        <v/>
      </c>
      <c r="S397" s="7">
        <f>'1 datos preparados'!R390</f>
        <v/>
      </c>
      <c r="T397" s="7">
        <f>'1 datos preparados'!S390</f>
        <v/>
      </c>
      <c r="U397" s="7">
        <f>'1 datos preparados'!T390</f>
        <v/>
      </c>
      <c r="V397" s="8">
        <f>$AE$12+D397*$AE$13+E397*$AE$14+F397*$AE$15+G397*$AE$16+H397*$AE$17+I397*$AE$18+J397*$AE$19+K397*$AE$20+L397*$AE$21+M397*$AE$22+N397*$AE$23+O397*$AE$24+P397*$AE$25+Q397*$AE$26+R397*$AE$27+S397*$AE$28+T397*$AE$29+U397*$AE$30</f>
        <v/>
      </c>
      <c r="W397" s="8">
        <f>1/(1+EXP(-V397))</f>
        <v/>
      </c>
      <c r="X397" s="9">
        <f>-IF(C397=1,LN(W397),LN(1-W397))</f>
        <v/>
      </c>
      <c r="Y397" s="8">
        <f>1</f>
        <v/>
      </c>
      <c r="Z397" s="9">
        <f>Y397*X397</f>
        <v/>
      </c>
      <c r="AA397" s="10">
        <f>IF(W397&gt;$AE$32,1,0)</f>
        <v/>
      </c>
      <c r="AB397">
        <f>IF(AA397=C397,1,0)</f>
        <v/>
      </c>
    </row>
    <row r="398">
      <c r="A398">
        <f>'1 datos preparados'!A391</f>
        <v/>
      </c>
      <c r="B398" s="5">
        <f>'1 datos preparados'!U391</f>
        <v/>
      </c>
      <c r="C398">
        <f>'1 datos preparados'!B391</f>
        <v/>
      </c>
      <c r="D398" s="7">
        <f>'1 datos preparados'!C391</f>
        <v/>
      </c>
      <c r="E398" s="7">
        <f>'1 datos preparados'!D391</f>
        <v/>
      </c>
      <c r="F398" s="7">
        <f>'1 datos preparados'!E391</f>
        <v/>
      </c>
      <c r="G398" s="7">
        <f>'1 datos preparados'!F391</f>
        <v/>
      </c>
      <c r="H398" s="7">
        <f>'1 datos preparados'!G391</f>
        <v/>
      </c>
      <c r="I398" s="7">
        <f>'1 datos preparados'!H391</f>
        <v/>
      </c>
      <c r="J398" s="7">
        <f>'1 datos preparados'!I391</f>
        <v/>
      </c>
      <c r="K398" s="7">
        <f>'1 datos preparados'!J391</f>
        <v/>
      </c>
      <c r="L398" s="7">
        <f>'1 datos preparados'!K391</f>
        <v/>
      </c>
      <c r="M398" s="7">
        <f>'1 datos preparados'!L391</f>
        <v/>
      </c>
      <c r="N398" s="7">
        <f>'1 datos preparados'!M391</f>
        <v/>
      </c>
      <c r="O398" s="7">
        <f>'1 datos preparados'!N391</f>
        <v/>
      </c>
      <c r="P398" s="7">
        <f>'1 datos preparados'!O391</f>
        <v/>
      </c>
      <c r="Q398" s="7">
        <f>'1 datos preparados'!P391</f>
        <v/>
      </c>
      <c r="R398" s="7">
        <f>'1 datos preparados'!Q391</f>
        <v/>
      </c>
      <c r="S398" s="7">
        <f>'1 datos preparados'!R391</f>
        <v/>
      </c>
      <c r="T398" s="7">
        <f>'1 datos preparados'!S391</f>
        <v/>
      </c>
      <c r="U398" s="7">
        <f>'1 datos preparados'!T391</f>
        <v/>
      </c>
      <c r="V398" s="8">
        <f>$AE$12+D398*$AE$13+E398*$AE$14+F398*$AE$15+G398*$AE$16+H398*$AE$17+I398*$AE$18+J398*$AE$19+K398*$AE$20+L398*$AE$21+M398*$AE$22+N398*$AE$23+O398*$AE$24+P398*$AE$25+Q398*$AE$26+R398*$AE$27+S398*$AE$28+T398*$AE$29+U398*$AE$30</f>
        <v/>
      </c>
      <c r="W398" s="8">
        <f>1/(1+EXP(-V398))</f>
        <v/>
      </c>
      <c r="X398" s="9">
        <f>-IF(C398=1,LN(W398),LN(1-W398))</f>
        <v/>
      </c>
      <c r="Y398" s="8">
        <f>1</f>
        <v/>
      </c>
      <c r="Z398" s="9">
        <f>Y398*X398</f>
        <v/>
      </c>
      <c r="AA398" s="10">
        <f>IF(W398&gt;$AE$32,1,0)</f>
        <v/>
      </c>
      <c r="AB398">
        <f>IF(AA398=C398,1,0)</f>
        <v/>
      </c>
    </row>
    <row r="399">
      <c r="A399">
        <f>'1 datos preparados'!A392</f>
        <v/>
      </c>
      <c r="B399" s="5">
        <f>'1 datos preparados'!U392</f>
        <v/>
      </c>
      <c r="C399">
        <f>'1 datos preparados'!B392</f>
        <v/>
      </c>
      <c r="D399" s="7">
        <f>'1 datos preparados'!C392</f>
        <v/>
      </c>
      <c r="E399" s="7">
        <f>'1 datos preparados'!D392</f>
        <v/>
      </c>
      <c r="F399" s="7">
        <f>'1 datos preparados'!E392</f>
        <v/>
      </c>
      <c r="G399" s="7">
        <f>'1 datos preparados'!F392</f>
        <v/>
      </c>
      <c r="H399" s="7">
        <f>'1 datos preparados'!G392</f>
        <v/>
      </c>
      <c r="I399" s="7">
        <f>'1 datos preparados'!H392</f>
        <v/>
      </c>
      <c r="J399" s="7">
        <f>'1 datos preparados'!I392</f>
        <v/>
      </c>
      <c r="K399" s="7">
        <f>'1 datos preparados'!J392</f>
        <v/>
      </c>
      <c r="L399" s="7">
        <f>'1 datos preparados'!K392</f>
        <v/>
      </c>
      <c r="M399" s="7">
        <f>'1 datos preparados'!L392</f>
        <v/>
      </c>
      <c r="N399" s="7">
        <f>'1 datos preparados'!M392</f>
        <v/>
      </c>
      <c r="O399" s="7">
        <f>'1 datos preparados'!N392</f>
        <v/>
      </c>
      <c r="P399" s="7">
        <f>'1 datos preparados'!O392</f>
        <v/>
      </c>
      <c r="Q399" s="7">
        <f>'1 datos preparados'!P392</f>
        <v/>
      </c>
      <c r="R399" s="7">
        <f>'1 datos preparados'!Q392</f>
        <v/>
      </c>
      <c r="S399" s="7">
        <f>'1 datos preparados'!R392</f>
        <v/>
      </c>
      <c r="T399" s="7">
        <f>'1 datos preparados'!S392</f>
        <v/>
      </c>
      <c r="U399" s="7">
        <f>'1 datos preparados'!T392</f>
        <v/>
      </c>
      <c r="V399" s="8">
        <f>$AE$12+D399*$AE$13+E399*$AE$14+F399*$AE$15+G399*$AE$16+H399*$AE$17+I399*$AE$18+J399*$AE$19+K399*$AE$20+L399*$AE$21+M399*$AE$22+N399*$AE$23+O399*$AE$24+P399*$AE$25+Q399*$AE$26+R399*$AE$27+S399*$AE$28+T399*$AE$29+U399*$AE$30</f>
        <v/>
      </c>
      <c r="W399" s="8">
        <f>1/(1+EXP(-V399))</f>
        <v/>
      </c>
      <c r="X399" s="9">
        <f>-IF(C399=1,LN(W399),LN(1-W399))</f>
        <v/>
      </c>
      <c r="Y399" s="8">
        <f>1</f>
        <v/>
      </c>
      <c r="Z399" s="9">
        <f>Y399*X399</f>
        <v/>
      </c>
      <c r="AA399" s="10">
        <f>IF(W399&gt;$AE$32,1,0)</f>
        <v/>
      </c>
      <c r="AB399">
        <f>IF(AA399=C399,1,0)</f>
        <v/>
      </c>
    </row>
    <row r="400">
      <c r="A400">
        <f>'1 datos preparados'!A393</f>
        <v/>
      </c>
      <c r="B400" s="5">
        <f>'1 datos preparados'!U393</f>
        <v/>
      </c>
      <c r="C400">
        <f>'1 datos preparados'!B393</f>
        <v/>
      </c>
      <c r="D400" s="7">
        <f>'1 datos preparados'!C393</f>
        <v/>
      </c>
      <c r="E400" s="7">
        <f>'1 datos preparados'!D393</f>
        <v/>
      </c>
      <c r="F400" s="7">
        <f>'1 datos preparados'!E393</f>
        <v/>
      </c>
      <c r="G400" s="7">
        <f>'1 datos preparados'!F393</f>
        <v/>
      </c>
      <c r="H400" s="7">
        <f>'1 datos preparados'!G393</f>
        <v/>
      </c>
      <c r="I400" s="7">
        <f>'1 datos preparados'!H393</f>
        <v/>
      </c>
      <c r="J400" s="7">
        <f>'1 datos preparados'!I393</f>
        <v/>
      </c>
      <c r="K400" s="7">
        <f>'1 datos preparados'!J393</f>
        <v/>
      </c>
      <c r="L400" s="7">
        <f>'1 datos preparados'!K393</f>
        <v/>
      </c>
      <c r="M400" s="7">
        <f>'1 datos preparados'!L393</f>
        <v/>
      </c>
      <c r="N400" s="7">
        <f>'1 datos preparados'!M393</f>
        <v/>
      </c>
      <c r="O400" s="7">
        <f>'1 datos preparados'!N393</f>
        <v/>
      </c>
      <c r="P400" s="7">
        <f>'1 datos preparados'!O393</f>
        <v/>
      </c>
      <c r="Q400" s="7">
        <f>'1 datos preparados'!P393</f>
        <v/>
      </c>
      <c r="R400" s="7">
        <f>'1 datos preparados'!Q393</f>
        <v/>
      </c>
      <c r="S400" s="7">
        <f>'1 datos preparados'!R393</f>
        <v/>
      </c>
      <c r="T400" s="7">
        <f>'1 datos preparados'!S393</f>
        <v/>
      </c>
      <c r="U400" s="7">
        <f>'1 datos preparados'!T393</f>
        <v/>
      </c>
      <c r="V400" s="8">
        <f>$AE$12+D400*$AE$13+E400*$AE$14+F400*$AE$15+G400*$AE$16+H400*$AE$17+I400*$AE$18+J400*$AE$19+K400*$AE$20+L400*$AE$21+M400*$AE$22+N400*$AE$23+O400*$AE$24+P400*$AE$25+Q400*$AE$26+R400*$AE$27+S400*$AE$28+T400*$AE$29+U400*$AE$30</f>
        <v/>
      </c>
      <c r="W400" s="8">
        <f>1/(1+EXP(-V400))</f>
        <v/>
      </c>
      <c r="X400" s="9">
        <f>-IF(C400=1,LN(W400),LN(1-W400))</f>
        <v/>
      </c>
      <c r="Y400" s="8">
        <f>1</f>
        <v/>
      </c>
      <c r="Z400" s="9">
        <f>Y400*X400</f>
        <v/>
      </c>
      <c r="AA400" s="10">
        <f>IF(W400&gt;$AE$32,1,0)</f>
        <v/>
      </c>
      <c r="AB400">
        <f>IF(AA400=C400,1,0)</f>
        <v/>
      </c>
    </row>
    <row r="401">
      <c r="A401">
        <f>'1 datos preparados'!A394</f>
        <v/>
      </c>
      <c r="B401" s="5">
        <f>'1 datos preparados'!U394</f>
        <v/>
      </c>
      <c r="C401">
        <f>'1 datos preparados'!B394</f>
        <v/>
      </c>
      <c r="D401" s="7">
        <f>'1 datos preparados'!C394</f>
        <v/>
      </c>
      <c r="E401" s="7">
        <f>'1 datos preparados'!D394</f>
        <v/>
      </c>
      <c r="F401" s="7">
        <f>'1 datos preparados'!E394</f>
        <v/>
      </c>
      <c r="G401" s="7">
        <f>'1 datos preparados'!F394</f>
        <v/>
      </c>
      <c r="H401" s="7">
        <f>'1 datos preparados'!G394</f>
        <v/>
      </c>
      <c r="I401" s="7">
        <f>'1 datos preparados'!H394</f>
        <v/>
      </c>
      <c r="J401" s="7">
        <f>'1 datos preparados'!I394</f>
        <v/>
      </c>
      <c r="K401" s="7">
        <f>'1 datos preparados'!J394</f>
        <v/>
      </c>
      <c r="L401" s="7">
        <f>'1 datos preparados'!K394</f>
        <v/>
      </c>
      <c r="M401" s="7">
        <f>'1 datos preparados'!L394</f>
        <v/>
      </c>
      <c r="N401" s="7">
        <f>'1 datos preparados'!M394</f>
        <v/>
      </c>
      <c r="O401" s="7">
        <f>'1 datos preparados'!N394</f>
        <v/>
      </c>
      <c r="P401" s="7">
        <f>'1 datos preparados'!O394</f>
        <v/>
      </c>
      <c r="Q401" s="7">
        <f>'1 datos preparados'!P394</f>
        <v/>
      </c>
      <c r="R401" s="7">
        <f>'1 datos preparados'!Q394</f>
        <v/>
      </c>
      <c r="S401" s="7">
        <f>'1 datos preparados'!R394</f>
        <v/>
      </c>
      <c r="T401" s="7">
        <f>'1 datos preparados'!S394</f>
        <v/>
      </c>
      <c r="U401" s="7">
        <f>'1 datos preparados'!T394</f>
        <v/>
      </c>
      <c r="V401" s="8">
        <f>$AE$12+D401*$AE$13+E401*$AE$14+F401*$AE$15+G401*$AE$16+H401*$AE$17+I401*$AE$18+J401*$AE$19+K401*$AE$20+L401*$AE$21+M401*$AE$22+N401*$AE$23+O401*$AE$24+P401*$AE$25+Q401*$AE$26+R401*$AE$27+S401*$AE$28+T401*$AE$29+U401*$AE$30</f>
        <v/>
      </c>
      <c r="W401" s="8">
        <f>1/(1+EXP(-V401))</f>
        <v/>
      </c>
      <c r="X401" s="9">
        <f>-IF(C401=1,LN(W401),LN(1-W401))</f>
        <v/>
      </c>
      <c r="Y401" s="8">
        <f>1</f>
        <v/>
      </c>
      <c r="Z401" s="9">
        <f>Y401*X401</f>
        <v/>
      </c>
      <c r="AA401" s="10">
        <f>IF(W401&gt;$AE$32,1,0)</f>
        <v/>
      </c>
      <c r="AB401">
        <f>IF(AA401=C401,1,0)</f>
        <v/>
      </c>
    </row>
    <row r="402">
      <c r="A402">
        <f>'1 datos preparados'!A395</f>
        <v/>
      </c>
      <c r="B402" s="5">
        <f>'1 datos preparados'!U395</f>
        <v/>
      </c>
      <c r="C402">
        <f>'1 datos preparados'!B395</f>
        <v/>
      </c>
      <c r="D402" s="7">
        <f>'1 datos preparados'!C395</f>
        <v/>
      </c>
      <c r="E402" s="7">
        <f>'1 datos preparados'!D395</f>
        <v/>
      </c>
      <c r="F402" s="7">
        <f>'1 datos preparados'!E395</f>
        <v/>
      </c>
      <c r="G402" s="7">
        <f>'1 datos preparados'!F395</f>
        <v/>
      </c>
      <c r="H402" s="7">
        <f>'1 datos preparados'!G395</f>
        <v/>
      </c>
      <c r="I402" s="7">
        <f>'1 datos preparados'!H395</f>
        <v/>
      </c>
      <c r="J402" s="7">
        <f>'1 datos preparados'!I395</f>
        <v/>
      </c>
      <c r="K402" s="7">
        <f>'1 datos preparados'!J395</f>
        <v/>
      </c>
      <c r="L402" s="7">
        <f>'1 datos preparados'!K395</f>
        <v/>
      </c>
      <c r="M402" s="7">
        <f>'1 datos preparados'!L395</f>
        <v/>
      </c>
      <c r="N402" s="7">
        <f>'1 datos preparados'!M395</f>
        <v/>
      </c>
      <c r="O402" s="7">
        <f>'1 datos preparados'!N395</f>
        <v/>
      </c>
      <c r="P402" s="7">
        <f>'1 datos preparados'!O395</f>
        <v/>
      </c>
      <c r="Q402" s="7">
        <f>'1 datos preparados'!P395</f>
        <v/>
      </c>
      <c r="R402" s="7">
        <f>'1 datos preparados'!Q395</f>
        <v/>
      </c>
      <c r="S402" s="7">
        <f>'1 datos preparados'!R395</f>
        <v/>
      </c>
      <c r="T402" s="7">
        <f>'1 datos preparados'!S395</f>
        <v/>
      </c>
      <c r="U402" s="7">
        <f>'1 datos preparados'!T395</f>
        <v/>
      </c>
      <c r="V402" s="8">
        <f>$AE$12+D402*$AE$13+E402*$AE$14+F402*$AE$15+G402*$AE$16+H402*$AE$17+I402*$AE$18+J402*$AE$19+K402*$AE$20+L402*$AE$21+M402*$AE$22+N402*$AE$23+O402*$AE$24+P402*$AE$25+Q402*$AE$26+R402*$AE$27+S402*$AE$28+T402*$AE$29+U402*$AE$30</f>
        <v/>
      </c>
      <c r="W402" s="8">
        <f>1/(1+EXP(-V402))</f>
        <v/>
      </c>
      <c r="X402" s="9">
        <f>-IF(C402=1,LN(W402),LN(1-W402))</f>
        <v/>
      </c>
      <c r="Y402" s="8">
        <f>1</f>
        <v/>
      </c>
      <c r="Z402" s="9">
        <f>Y402*X402</f>
        <v/>
      </c>
      <c r="AA402" s="10">
        <f>IF(W402&gt;$AE$32,1,0)</f>
        <v/>
      </c>
      <c r="AB402">
        <f>IF(AA402=C402,1,0)</f>
        <v/>
      </c>
    </row>
    <row r="403">
      <c r="A403">
        <f>'1 datos preparados'!A396</f>
        <v/>
      </c>
      <c r="B403" s="5">
        <f>'1 datos preparados'!U396</f>
        <v/>
      </c>
      <c r="C403">
        <f>'1 datos preparados'!B396</f>
        <v/>
      </c>
      <c r="D403" s="7">
        <f>'1 datos preparados'!C396</f>
        <v/>
      </c>
      <c r="E403" s="7">
        <f>'1 datos preparados'!D396</f>
        <v/>
      </c>
      <c r="F403" s="7">
        <f>'1 datos preparados'!E396</f>
        <v/>
      </c>
      <c r="G403" s="7">
        <f>'1 datos preparados'!F396</f>
        <v/>
      </c>
      <c r="H403" s="7">
        <f>'1 datos preparados'!G396</f>
        <v/>
      </c>
      <c r="I403" s="7">
        <f>'1 datos preparados'!H396</f>
        <v/>
      </c>
      <c r="J403" s="7">
        <f>'1 datos preparados'!I396</f>
        <v/>
      </c>
      <c r="K403" s="7">
        <f>'1 datos preparados'!J396</f>
        <v/>
      </c>
      <c r="L403" s="7">
        <f>'1 datos preparados'!K396</f>
        <v/>
      </c>
      <c r="M403" s="7">
        <f>'1 datos preparados'!L396</f>
        <v/>
      </c>
      <c r="N403" s="7">
        <f>'1 datos preparados'!M396</f>
        <v/>
      </c>
      <c r="O403" s="7">
        <f>'1 datos preparados'!N396</f>
        <v/>
      </c>
      <c r="P403" s="7">
        <f>'1 datos preparados'!O396</f>
        <v/>
      </c>
      <c r="Q403" s="7">
        <f>'1 datos preparados'!P396</f>
        <v/>
      </c>
      <c r="R403" s="7">
        <f>'1 datos preparados'!Q396</f>
        <v/>
      </c>
      <c r="S403" s="7">
        <f>'1 datos preparados'!R396</f>
        <v/>
      </c>
      <c r="T403" s="7">
        <f>'1 datos preparados'!S396</f>
        <v/>
      </c>
      <c r="U403" s="7">
        <f>'1 datos preparados'!T396</f>
        <v/>
      </c>
      <c r="V403" s="8">
        <f>$AE$12+D403*$AE$13+E403*$AE$14+F403*$AE$15+G403*$AE$16+H403*$AE$17+I403*$AE$18+J403*$AE$19+K403*$AE$20+L403*$AE$21+M403*$AE$22+N403*$AE$23+O403*$AE$24+P403*$AE$25+Q403*$AE$26+R403*$AE$27+S403*$AE$28+T403*$AE$29+U403*$AE$30</f>
        <v/>
      </c>
      <c r="W403" s="8">
        <f>1/(1+EXP(-V403))</f>
        <v/>
      </c>
      <c r="X403" s="9">
        <f>-IF(C403=1,LN(W403),LN(1-W403))</f>
        <v/>
      </c>
      <c r="Y403" s="8">
        <f>1</f>
        <v/>
      </c>
      <c r="Z403" s="9">
        <f>Y403*X403</f>
        <v/>
      </c>
      <c r="AA403" s="10">
        <f>IF(W403&gt;$AE$32,1,0)</f>
        <v/>
      </c>
      <c r="AB403">
        <f>IF(AA403=C403,1,0)</f>
        <v/>
      </c>
    </row>
    <row r="404">
      <c r="A404">
        <f>'1 datos preparados'!A397</f>
        <v/>
      </c>
      <c r="B404" s="5">
        <f>'1 datos preparados'!U397</f>
        <v/>
      </c>
      <c r="C404">
        <f>'1 datos preparados'!B397</f>
        <v/>
      </c>
      <c r="D404" s="7">
        <f>'1 datos preparados'!C397</f>
        <v/>
      </c>
      <c r="E404" s="7">
        <f>'1 datos preparados'!D397</f>
        <v/>
      </c>
      <c r="F404" s="7">
        <f>'1 datos preparados'!E397</f>
        <v/>
      </c>
      <c r="G404" s="7">
        <f>'1 datos preparados'!F397</f>
        <v/>
      </c>
      <c r="H404" s="7">
        <f>'1 datos preparados'!G397</f>
        <v/>
      </c>
      <c r="I404" s="7">
        <f>'1 datos preparados'!H397</f>
        <v/>
      </c>
      <c r="J404" s="7">
        <f>'1 datos preparados'!I397</f>
        <v/>
      </c>
      <c r="K404" s="7">
        <f>'1 datos preparados'!J397</f>
        <v/>
      </c>
      <c r="L404" s="7">
        <f>'1 datos preparados'!K397</f>
        <v/>
      </c>
      <c r="M404" s="7">
        <f>'1 datos preparados'!L397</f>
        <v/>
      </c>
      <c r="N404" s="7">
        <f>'1 datos preparados'!M397</f>
        <v/>
      </c>
      <c r="O404" s="7">
        <f>'1 datos preparados'!N397</f>
        <v/>
      </c>
      <c r="P404" s="7">
        <f>'1 datos preparados'!O397</f>
        <v/>
      </c>
      <c r="Q404" s="7">
        <f>'1 datos preparados'!P397</f>
        <v/>
      </c>
      <c r="R404" s="7">
        <f>'1 datos preparados'!Q397</f>
        <v/>
      </c>
      <c r="S404" s="7">
        <f>'1 datos preparados'!R397</f>
        <v/>
      </c>
      <c r="T404" s="7">
        <f>'1 datos preparados'!S397</f>
        <v/>
      </c>
      <c r="U404" s="7">
        <f>'1 datos preparados'!T397</f>
        <v/>
      </c>
      <c r="V404" s="8">
        <f>$AE$12+D404*$AE$13+E404*$AE$14+F404*$AE$15+G404*$AE$16+H404*$AE$17+I404*$AE$18+J404*$AE$19+K404*$AE$20+L404*$AE$21+M404*$AE$22+N404*$AE$23+O404*$AE$24+P404*$AE$25+Q404*$AE$26+R404*$AE$27+S404*$AE$28+T404*$AE$29+U404*$AE$30</f>
        <v/>
      </c>
      <c r="W404" s="8">
        <f>1/(1+EXP(-V404))</f>
        <v/>
      </c>
      <c r="X404" s="9">
        <f>-IF(C404=1,LN(W404),LN(1-W404))</f>
        <v/>
      </c>
      <c r="Y404" s="8">
        <f>1</f>
        <v/>
      </c>
      <c r="Z404" s="9">
        <f>Y404*X404</f>
        <v/>
      </c>
      <c r="AA404" s="10">
        <f>IF(W404&gt;$AE$32,1,0)</f>
        <v/>
      </c>
      <c r="AB404">
        <f>IF(AA404=C404,1,0)</f>
        <v/>
      </c>
    </row>
    <row r="405">
      <c r="A405">
        <f>'1 datos preparados'!A398</f>
        <v/>
      </c>
      <c r="B405" s="5">
        <f>'1 datos preparados'!U398</f>
        <v/>
      </c>
      <c r="C405">
        <f>'1 datos preparados'!B398</f>
        <v/>
      </c>
      <c r="D405" s="7">
        <f>'1 datos preparados'!C398</f>
        <v/>
      </c>
      <c r="E405" s="7">
        <f>'1 datos preparados'!D398</f>
        <v/>
      </c>
      <c r="F405" s="7">
        <f>'1 datos preparados'!E398</f>
        <v/>
      </c>
      <c r="G405" s="7">
        <f>'1 datos preparados'!F398</f>
        <v/>
      </c>
      <c r="H405" s="7">
        <f>'1 datos preparados'!G398</f>
        <v/>
      </c>
      <c r="I405" s="7">
        <f>'1 datos preparados'!H398</f>
        <v/>
      </c>
      <c r="J405" s="7">
        <f>'1 datos preparados'!I398</f>
        <v/>
      </c>
      <c r="K405" s="7">
        <f>'1 datos preparados'!J398</f>
        <v/>
      </c>
      <c r="L405" s="7">
        <f>'1 datos preparados'!K398</f>
        <v/>
      </c>
      <c r="M405" s="7">
        <f>'1 datos preparados'!L398</f>
        <v/>
      </c>
      <c r="N405" s="7">
        <f>'1 datos preparados'!M398</f>
        <v/>
      </c>
      <c r="O405" s="7">
        <f>'1 datos preparados'!N398</f>
        <v/>
      </c>
      <c r="P405" s="7">
        <f>'1 datos preparados'!O398</f>
        <v/>
      </c>
      <c r="Q405" s="7">
        <f>'1 datos preparados'!P398</f>
        <v/>
      </c>
      <c r="R405" s="7">
        <f>'1 datos preparados'!Q398</f>
        <v/>
      </c>
      <c r="S405" s="7">
        <f>'1 datos preparados'!R398</f>
        <v/>
      </c>
      <c r="T405" s="7">
        <f>'1 datos preparados'!S398</f>
        <v/>
      </c>
      <c r="U405" s="7">
        <f>'1 datos preparados'!T398</f>
        <v/>
      </c>
      <c r="V405" s="8">
        <f>$AE$12+D405*$AE$13+E405*$AE$14+F405*$AE$15+G405*$AE$16+H405*$AE$17+I405*$AE$18+J405*$AE$19+K405*$AE$20+L405*$AE$21+M405*$AE$22+N405*$AE$23+O405*$AE$24+P405*$AE$25+Q405*$AE$26+R405*$AE$27+S405*$AE$28+T405*$AE$29+U405*$AE$30</f>
        <v/>
      </c>
      <c r="W405" s="8">
        <f>1/(1+EXP(-V405))</f>
        <v/>
      </c>
      <c r="X405" s="9">
        <f>-IF(C405=1,LN(W405),LN(1-W405))</f>
        <v/>
      </c>
      <c r="Y405" s="8">
        <f>1</f>
        <v/>
      </c>
      <c r="Z405" s="9">
        <f>Y405*X405</f>
        <v/>
      </c>
      <c r="AA405" s="10">
        <f>IF(W405&gt;$AE$32,1,0)</f>
        <v/>
      </c>
      <c r="AB405">
        <f>IF(AA405=C405,1,0)</f>
        <v/>
      </c>
    </row>
    <row r="406">
      <c r="A406">
        <f>'1 datos preparados'!A399</f>
        <v/>
      </c>
      <c r="B406" s="5">
        <f>'1 datos preparados'!U399</f>
        <v/>
      </c>
      <c r="C406">
        <f>'1 datos preparados'!B399</f>
        <v/>
      </c>
      <c r="D406" s="7">
        <f>'1 datos preparados'!C399</f>
        <v/>
      </c>
      <c r="E406" s="7">
        <f>'1 datos preparados'!D399</f>
        <v/>
      </c>
      <c r="F406" s="7">
        <f>'1 datos preparados'!E399</f>
        <v/>
      </c>
      <c r="G406" s="7">
        <f>'1 datos preparados'!F399</f>
        <v/>
      </c>
      <c r="H406" s="7">
        <f>'1 datos preparados'!G399</f>
        <v/>
      </c>
      <c r="I406" s="7">
        <f>'1 datos preparados'!H399</f>
        <v/>
      </c>
      <c r="J406" s="7">
        <f>'1 datos preparados'!I399</f>
        <v/>
      </c>
      <c r="K406" s="7">
        <f>'1 datos preparados'!J399</f>
        <v/>
      </c>
      <c r="L406" s="7">
        <f>'1 datos preparados'!K399</f>
        <v/>
      </c>
      <c r="M406" s="7">
        <f>'1 datos preparados'!L399</f>
        <v/>
      </c>
      <c r="N406" s="7">
        <f>'1 datos preparados'!M399</f>
        <v/>
      </c>
      <c r="O406" s="7">
        <f>'1 datos preparados'!N399</f>
        <v/>
      </c>
      <c r="P406" s="7">
        <f>'1 datos preparados'!O399</f>
        <v/>
      </c>
      <c r="Q406" s="7">
        <f>'1 datos preparados'!P399</f>
        <v/>
      </c>
      <c r="R406" s="7">
        <f>'1 datos preparados'!Q399</f>
        <v/>
      </c>
      <c r="S406" s="7">
        <f>'1 datos preparados'!R399</f>
        <v/>
      </c>
      <c r="T406" s="7">
        <f>'1 datos preparados'!S399</f>
        <v/>
      </c>
      <c r="U406" s="7">
        <f>'1 datos preparados'!T399</f>
        <v/>
      </c>
      <c r="V406" s="8">
        <f>$AE$12+D406*$AE$13+E406*$AE$14+F406*$AE$15+G406*$AE$16+H406*$AE$17+I406*$AE$18+J406*$AE$19+K406*$AE$20+L406*$AE$21+M406*$AE$22+N406*$AE$23+O406*$AE$24+P406*$AE$25+Q406*$AE$26+R406*$AE$27+S406*$AE$28+T406*$AE$29+U406*$AE$30</f>
        <v/>
      </c>
      <c r="W406" s="8">
        <f>1/(1+EXP(-V406))</f>
        <v/>
      </c>
      <c r="X406" s="9">
        <f>-IF(C406=1,LN(W406),LN(1-W406))</f>
        <v/>
      </c>
      <c r="Y406" s="8">
        <f>1</f>
        <v/>
      </c>
      <c r="Z406" s="9">
        <f>Y406*X406</f>
        <v/>
      </c>
      <c r="AA406" s="10">
        <f>IF(W406&gt;$AE$32,1,0)</f>
        <v/>
      </c>
      <c r="AB406">
        <f>IF(AA406=C406,1,0)</f>
        <v/>
      </c>
    </row>
    <row r="407">
      <c r="A407">
        <f>'1 datos preparados'!A400</f>
        <v/>
      </c>
      <c r="B407" s="5">
        <f>'1 datos preparados'!U400</f>
        <v/>
      </c>
      <c r="C407">
        <f>'1 datos preparados'!B400</f>
        <v/>
      </c>
      <c r="D407" s="7">
        <f>'1 datos preparados'!C400</f>
        <v/>
      </c>
      <c r="E407" s="7">
        <f>'1 datos preparados'!D400</f>
        <v/>
      </c>
      <c r="F407" s="7">
        <f>'1 datos preparados'!E400</f>
        <v/>
      </c>
      <c r="G407" s="7">
        <f>'1 datos preparados'!F400</f>
        <v/>
      </c>
      <c r="H407" s="7">
        <f>'1 datos preparados'!G400</f>
        <v/>
      </c>
      <c r="I407" s="7">
        <f>'1 datos preparados'!H400</f>
        <v/>
      </c>
      <c r="J407" s="7">
        <f>'1 datos preparados'!I400</f>
        <v/>
      </c>
      <c r="K407" s="7">
        <f>'1 datos preparados'!J400</f>
        <v/>
      </c>
      <c r="L407" s="7">
        <f>'1 datos preparados'!K400</f>
        <v/>
      </c>
      <c r="M407" s="7">
        <f>'1 datos preparados'!L400</f>
        <v/>
      </c>
      <c r="N407" s="7">
        <f>'1 datos preparados'!M400</f>
        <v/>
      </c>
      <c r="O407" s="7">
        <f>'1 datos preparados'!N400</f>
        <v/>
      </c>
      <c r="P407" s="7">
        <f>'1 datos preparados'!O400</f>
        <v/>
      </c>
      <c r="Q407" s="7">
        <f>'1 datos preparados'!P400</f>
        <v/>
      </c>
      <c r="R407" s="7">
        <f>'1 datos preparados'!Q400</f>
        <v/>
      </c>
      <c r="S407" s="7">
        <f>'1 datos preparados'!R400</f>
        <v/>
      </c>
      <c r="T407" s="7">
        <f>'1 datos preparados'!S400</f>
        <v/>
      </c>
      <c r="U407" s="7">
        <f>'1 datos preparados'!T400</f>
        <v/>
      </c>
      <c r="V407" s="8">
        <f>$AE$12+D407*$AE$13+E407*$AE$14+F407*$AE$15+G407*$AE$16+H407*$AE$17+I407*$AE$18+J407*$AE$19+K407*$AE$20+L407*$AE$21+M407*$AE$22+N407*$AE$23+O407*$AE$24+P407*$AE$25+Q407*$AE$26+R407*$AE$27+S407*$AE$28+T407*$AE$29+U407*$AE$30</f>
        <v/>
      </c>
      <c r="W407" s="8">
        <f>1/(1+EXP(-V407))</f>
        <v/>
      </c>
      <c r="X407" s="9">
        <f>-IF(C407=1,LN(W407),LN(1-W407))</f>
        <v/>
      </c>
      <c r="Y407" s="8">
        <f>1</f>
        <v/>
      </c>
      <c r="Z407" s="9">
        <f>Y407*X407</f>
        <v/>
      </c>
      <c r="AA407" s="10">
        <f>IF(W407&gt;$AE$32,1,0)</f>
        <v/>
      </c>
      <c r="AB407">
        <f>IF(AA407=C407,1,0)</f>
        <v/>
      </c>
    </row>
    <row r="408">
      <c r="A408">
        <f>'1 datos preparados'!A401</f>
        <v/>
      </c>
      <c r="B408" s="5">
        <f>'1 datos preparados'!U401</f>
        <v/>
      </c>
      <c r="C408">
        <f>'1 datos preparados'!B401</f>
        <v/>
      </c>
      <c r="D408" s="7">
        <f>'1 datos preparados'!C401</f>
        <v/>
      </c>
      <c r="E408" s="7">
        <f>'1 datos preparados'!D401</f>
        <v/>
      </c>
      <c r="F408" s="7">
        <f>'1 datos preparados'!E401</f>
        <v/>
      </c>
      <c r="G408" s="7">
        <f>'1 datos preparados'!F401</f>
        <v/>
      </c>
      <c r="H408" s="7">
        <f>'1 datos preparados'!G401</f>
        <v/>
      </c>
      <c r="I408" s="7">
        <f>'1 datos preparados'!H401</f>
        <v/>
      </c>
      <c r="J408" s="7">
        <f>'1 datos preparados'!I401</f>
        <v/>
      </c>
      <c r="K408" s="7">
        <f>'1 datos preparados'!J401</f>
        <v/>
      </c>
      <c r="L408" s="7">
        <f>'1 datos preparados'!K401</f>
        <v/>
      </c>
      <c r="M408" s="7">
        <f>'1 datos preparados'!L401</f>
        <v/>
      </c>
      <c r="N408" s="7">
        <f>'1 datos preparados'!M401</f>
        <v/>
      </c>
      <c r="O408" s="7">
        <f>'1 datos preparados'!N401</f>
        <v/>
      </c>
      <c r="P408" s="7">
        <f>'1 datos preparados'!O401</f>
        <v/>
      </c>
      <c r="Q408" s="7">
        <f>'1 datos preparados'!P401</f>
        <v/>
      </c>
      <c r="R408" s="7">
        <f>'1 datos preparados'!Q401</f>
        <v/>
      </c>
      <c r="S408" s="7">
        <f>'1 datos preparados'!R401</f>
        <v/>
      </c>
      <c r="T408" s="7">
        <f>'1 datos preparados'!S401</f>
        <v/>
      </c>
      <c r="U408" s="7">
        <f>'1 datos preparados'!T401</f>
        <v/>
      </c>
      <c r="V408" s="8">
        <f>$AE$12+D408*$AE$13+E408*$AE$14+F408*$AE$15+G408*$AE$16+H408*$AE$17+I408*$AE$18+J408*$AE$19+K408*$AE$20+L408*$AE$21+M408*$AE$22+N408*$AE$23+O408*$AE$24+P408*$AE$25+Q408*$AE$26+R408*$AE$27+S408*$AE$28+T408*$AE$29+U408*$AE$30</f>
        <v/>
      </c>
      <c r="W408" s="8">
        <f>1/(1+EXP(-V408))</f>
        <v/>
      </c>
      <c r="X408" s="9">
        <f>-IF(C408=1,LN(W408),LN(1-W408))</f>
        <v/>
      </c>
      <c r="Y408" s="8">
        <f>1</f>
        <v/>
      </c>
      <c r="Z408" s="9">
        <f>Y408*X408</f>
        <v/>
      </c>
      <c r="AA408" s="10">
        <f>IF(W408&gt;$AE$32,1,0)</f>
        <v/>
      </c>
      <c r="AB408">
        <f>IF(AA408=C408,1,0)</f>
        <v/>
      </c>
    </row>
    <row r="409">
      <c r="A409">
        <f>'1 datos preparados'!A402</f>
        <v/>
      </c>
      <c r="B409" s="5">
        <f>'1 datos preparados'!U402</f>
        <v/>
      </c>
      <c r="C409">
        <f>'1 datos preparados'!B402</f>
        <v/>
      </c>
      <c r="D409" s="7">
        <f>'1 datos preparados'!C402</f>
        <v/>
      </c>
      <c r="E409" s="7">
        <f>'1 datos preparados'!D402</f>
        <v/>
      </c>
      <c r="F409" s="7">
        <f>'1 datos preparados'!E402</f>
        <v/>
      </c>
      <c r="G409" s="7">
        <f>'1 datos preparados'!F402</f>
        <v/>
      </c>
      <c r="H409" s="7">
        <f>'1 datos preparados'!G402</f>
        <v/>
      </c>
      <c r="I409" s="7">
        <f>'1 datos preparados'!H402</f>
        <v/>
      </c>
      <c r="J409" s="7">
        <f>'1 datos preparados'!I402</f>
        <v/>
      </c>
      <c r="K409" s="7">
        <f>'1 datos preparados'!J402</f>
        <v/>
      </c>
      <c r="L409" s="7">
        <f>'1 datos preparados'!K402</f>
        <v/>
      </c>
      <c r="M409" s="7">
        <f>'1 datos preparados'!L402</f>
        <v/>
      </c>
      <c r="N409" s="7">
        <f>'1 datos preparados'!M402</f>
        <v/>
      </c>
      <c r="O409" s="7">
        <f>'1 datos preparados'!N402</f>
        <v/>
      </c>
      <c r="P409" s="7">
        <f>'1 datos preparados'!O402</f>
        <v/>
      </c>
      <c r="Q409" s="7">
        <f>'1 datos preparados'!P402</f>
        <v/>
      </c>
      <c r="R409" s="7">
        <f>'1 datos preparados'!Q402</f>
        <v/>
      </c>
      <c r="S409" s="7">
        <f>'1 datos preparados'!R402</f>
        <v/>
      </c>
      <c r="T409" s="7">
        <f>'1 datos preparados'!S402</f>
        <v/>
      </c>
      <c r="U409" s="7">
        <f>'1 datos preparados'!T402</f>
        <v/>
      </c>
      <c r="V409" s="8">
        <f>$AE$12+D409*$AE$13+E409*$AE$14+F409*$AE$15+G409*$AE$16+H409*$AE$17+I409*$AE$18+J409*$AE$19+K409*$AE$20+L409*$AE$21+M409*$AE$22+N409*$AE$23+O409*$AE$24+P409*$AE$25+Q409*$AE$26+R409*$AE$27+S409*$AE$28+T409*$AE$29+U409*$AE$30</f>
        <v/>
      </c>
      <c r="W409" s="8">
        <f>1/(1+EXP(-V409))</f>
        <v/>
      </c>
      <c r="X409" s="9">
        <f>-IF(C409=1,LN(W409),LN(1-W409))</f>
        <v/>
      </c>
      <c r="Y409" s="8">
        <f>1</f>
        <v/>
      </c>
      <c r="Z409" s="9">
        <f>Y409*X409</f>
        <v/>
      </c>
      <c r="AA409" s="10">
        <f>IF(W409&gt;$AE$32,1,0)</f>
        <v/>
      </c>
      <c r="AB409">
        <f>IF(AA409=C409,1,0)</f>
        <v/>
      </c>
    </row>
    <row r="410">
      <c r="A410">
        <f>'1 datos preparados'!A403</f>
        <v/>
      </c>
      <c r="B410" s="5">
        <f>'1 datos preparados'!U403</f>
        <v/>
      </c>
      <c r="C410">
        <f>'1 datos preparados'!B403</f>
        <v/>
      </c>
      <c r="D410" s="7">
        <f>'1 datos preparados'!C403</f>
        <v/>
      </c>
      <c r="E410" s="7">
        <f>'1 datos preparados'!D403</f>
        <v/>
      </c>
      <c r="F410" s="7">
        <f>'1 datos preparados'!E403</f>
        <v/>
      </c>
      <c r="G410" s="7">
        <f>'1 datos preparados'!F403</f>
        <v/>
      </c>
      <c r="H410" s="7">
        <f>'1 datos preparados'!G403</f>
        <v/>
      </c>
      <c r="I410" s="7">
        <f>'1 datos preparados'!H403</f>
        <v/>
      </c>
      <c r="J410" s="7">
        <f>'1 datos preparados'!I403</f>
        <v/>
      </c>
      <c r="K410" s="7">
        <f>'1 datos preparados'!J403</f>
        <v/>
      </c>
      <c r="L410" s="7">
        <f>'1 datos preparados'!K403</f>
        <v/>
      </c>
      <c r="M410" s="7">
        <f>'1 datos preparados'!L403</f>
        <v/>
      </c>
      <c r="N410" s="7">
        <f>'1 datos preparados'!M403</f>
        <v/>
      </c>
      <c r="O410" s="7">
        <f>'1 datos preparados'!N403</f>
        <v/>
      </c>
      <c r="P410" s="7">
        <f>'1 datos preparados'!O403</f>
        <v/>
      </c>
      <c r="Q410" s="7">
        <f>'1 datos preparados'!P403</f>
        <v/>
      </c>
      <c r="R410" s="7">
        <f>'1 datos preparados'!Q403</f>
        <v/>
      </c>
      <c r="S410" s="7">
        <f>'1 datos preparados'!R403</f>
        <v/>
      </c>
      <c r="T410" s="7">
        <f>'1 datos preparados'!S403</f>
        <v/>
      </c>
      <c r="U410" s="7">
        <f>'1 datos preparados'!T403</f>
        <v/>
      </c>
      <c r="V410" s="8">
        <f>$AE$12+D410*$AE$13+E410*$AE$14+F410*$AE$15+G410*$AE$16+H410*$AE$17+I410*$AE$18+J410*$AE$19+K410*$AE$20+L410*$AE$21+M410*$AE$22+N410*$AE$23+O410*$AE$24+P410*$AE$25+Q410*$AE$26+R410*$AE$27+S410*$AE$28+T410*$AE$29+U410*$AE$30</f>
        <v/>
      </c>
      <c r="W410" s="8">
        <f>1/(1+EXP(-V410))</f>
        <v/>
      </c>
      <c r="X410" s="9">
        <f>-IF(C410=1,LN(W410),LN(1-W410))</f>
        <v/>
      </c>
      <c r="Y410" s="8">
        <f>1</f>
        <v/>
      </c>
      <c r="Z410" s="9">
        <f>Y410*X410</f>
        <v/>
      </c>
      <c r="AA410" s="10">
        <f>IF(W410&gt;$AE$32,1,0)</f>
        <v/>
      </c>
      <c r="AB410">
        <f>IF(AA410=C410,1,0)</f>
        <v/>
      </c>
    </row>
    <row r="411">
      <c r="A411">
        <f>'1 datos preparados'!A404</f>
        <v/>
      </c>
      <c r="B411" s="5">
        <f>'1 datos preparados'!U404</f>
        <v/>
      </c>
      <c r="C411">
        <f>'1 datos preparados'!B404</f>
        <v/>
      </c>
      <c r="D411" s="7">
        <f>'1 datos preparados'!C404</f>
        <v/>
      </c>
      <c r="E411" s="7">
        <f>'1 datos preparados'!D404</f>
        <v/>
      </c>
      <c r="F411" s="7">
        <f>'1 datos preparados'!E404</f>
        <v/>
      </c>
      <c r="G411" s="7">
        <f>'1 datos preparados'!F404</f>
        <v/>
      </c>
      <c r="H411" s="7">
        <f>'1 datos preparados'!G404</f>
        <v/>
      </c>
      <c r="I411" s="7">
        <f>'1 datos preparados'!H404</f>
        <v/>
      </c>
      <c r="J411" s="7">
        <f>'1 datos preparados'!I404</f>
        <v/>
      </c>
      <c r="K411" s="7">
        <f>'1 datos preparados'!J404</f>
        <v/>
      </c>
      <c r="L411" s="7">
        <f>'1 datos preparados'!K404</f>
        <v/>
      </c>
      <c r="M411" s="7">
        <f>'1 datos preparados'!L404</f>
        <v/>
      </c>
      <c r="N411" s="7">
        <f>'1 datos preparados'!M404</f>
        <v/>
      </c>
      <c r="O411" s="7">
        <f>'1 datos preparados'!N404</f>
        <v/>
      </c>
      <c r="P411" s="7">
        <f>'1 datos preparados'!O404</f>
        <v/>
      </c>
      <c r="Q411" s="7">
        <f>'1 datos preparados'!P404</f>
        <v/>
      </c>
      <c r="R411" s="7">
        <f>'1 datos preparados'!Q404</f>
        <v/>
      </c>
      <c r="S411" s="7">
        <f>'1 datos preparados'!R404</f>
        <v/>
      </c>
      <c r="T411" s="7">
        <f>'1 datos preparados'!S404</f>
        <v/>
      </c>
      <c r="U411" s="7">
        <f>'1 datos preparados'!T404</f>
        <v/>
      </c>
      <c r="V411" s="8">
        <f>$AE$12+D411*$AE$13+E411*$AE$14+F411*$AE$15+G411*$AE$16+H411*$AE$17+I411*$AE$18+J411*$AE$19+K411*$AE$20+L411*$AE$21+M411*$AE$22+N411*$AE$23+O411*$AE$24+P411*$AE$25+Q411*$AE$26+R411*$AE$27+S411*$AE$28+T411*$AE$29+U411*$AE$30</f>
        <v/>
      </c>
      <c r="W411" s="8">
        <f>1/(1+EXP(-V411))</f>
        <v/>
      </c>
      <c r="X411" s="9">
        <f>-IF(C411=1,LN(W411),LN(1-W411))</f>
        <v/>
      </c>
      <c r="Y411" s="8">
        <f>1</f>
        <v/>
      </c>
      <c r="Z411" s="9">
        <f>Y411*X411</f>
        <v/>
      </c>
      <c r="AA411" s="10">
        <f>IF(W411&gt;$AE$32,1,0)</f>
        <v/>
      </c>
      <c r="AB411">
        <f>IF(AA411=C411,1,0)</f>
        <v/>
      </c>
    </row>
    <row r="412">
      <c r="A412">
        <f>'1 datos preparados'!A405</f>
        <v/>
      </c>
      <c r="B412" s="5">
        <f>'1 datos preparados'!U405</f>
        <v/>
      </c>
      <c r="C412">
        <f>'1 datos preparados'!B405</f>
        <v/>
      </c>
      <c r="D412" s="7">
        <f>'1 datos preparados'!C405</f>
        <v/>
      </c>
      <c r="E412" s="7">
        <f>'1 datos preparados'!D405</f>
        <v/>
      </c>
      <c r="F412" s="7">
        <f>'1 datos preparados'!E405</f>
        <v/>
      </c>
      <c r="G412" s="7">
        <f>'1 datos preparados'!F405</f>
        <v/>
      </c>
      <c r="H412" s="7">
        <f>'1 datos preparados'!G405</f>
        <v/>
      </c>
      <c r="I412" s="7">
        <f>'1 datos preparados'!H405</f>
        <v/>
      </c>
      <c r="J412" s="7">
        <f>'1 datos preparados'!I405</f>
        <v/>
      </c>
      <c r="K412" s="7">
        <f>'1 datos preparados'!J405</f>
        <v/>
      </c>
      <c r="L412" s="7">
        <f>'1 datos preparados'!K405</f>
        <v/>
      </c>
      <c r="M412" s="7">
        <f>'1 datos preparados'!L405</f>
        <v/>
      </c>
      <c r="N412" s="7">
        <f>'1 datos preparados'!M405</f>
        <v/>
      </c>
      <c r="O412" s="7">
        <f>'1 datos preparados'!N405</f>
        <v/>
      </c>
      <c r="P412" s="7">
        <f>'1 datos preparados'!O405</f>
        <v/>
      </c>
      <c r="Q412" s="7">
        <f>'1 datos preparados'!P405</f>
        <v/>
      </c>
      <c r="R412" s="7">
        <f>'1 datos preparados'!Q405</f>
        <v/>
      </c>
      <c r="S412" s="7">
        <f>'1 datos preparados'!R405</f>
        <v/>
      </c>
      <c r="T412" s="7">
        <f>'1 datos preparados'!S405</f>
        <v/>
      </c>
      <c r="U412" s="7">
        <f>'1 datos preparados'!T405</f>
        <v/>
      </c>
      <c r="V412" s="8">
        <f>$AE$12+D412*$AE$13+E412*$AE$14+F412*$AE$15+G412*$AE$16+H412*$AE$17+I412*$AE$18+J412*$AE$19+K412*$AE$20+L412*$AE$21+M412*$AE$22+N412*$AE$23+O412*$AE$24+P412*$AE$25+Q412*$AE$26+R412*$AE$27+S412*$AE$28+T412*$AE$29+U412*$AE$30</f>
        <v/>
      </c>
      <c r="W412" s="8">
        <f>1/(1+EXP(-V412))</f>
        <v/>
      </c>
      <c r="X412" s="9">
        <f>-IF(C412=1,LN(W412),LN(1-W412))</f>
        <v/>
      </c>
      <c r="Y412" s="8">
        <f>1</f>
        <v/>
      </c>
      <c r="Z412" s="9">
        <f>Y412*X412</f>
        <v/>
      </c>
      <c r="AA412" s="10">
        <f>IF(W412&gt;$AE$32,1,0)</f>
        <v/>
      </c>
      <c r="AB412">
        <f>IF(AA412=C412,1,0)</f>
        <v/>
      </c>
    </row>
    <row r="413">
      <c r="A413">
        <f>'1 datos preparados'!A406</f>
        <v/>
      </c>
      <c r="B413" s="5">
        <f>'1 datos preparados'!U406</f>
        <v/>
      </c>
      <c r="C413">
        <f>'1 datos preparados'!B406</f>
        <v/>
      </c>
      <c r="D413" s="7">
        <f>'1 datos preparados'!C406</f>
        <v/>
      </c>
      <c r="E413" s="7">
        <f>'1 datos preparados'!D406</f>
        <v/>
      </c>
      <c r="F413" s="7">
        <f>'1 datos preparados'!E406</f>
        <v/>
      </c>
      <c r="G413" s="7">
        <f>'1 datos preparados'!F406</f>
        <v/>
      </c>
      <c r="H413" s="7">
        <f>'1 datos preparados'!G406</f>
        <v/>
      </c>
      <c r="I413" s="7">
        <f>'1 datos preparados'!H406</f>
        <v/>
      </c>
      <c r="J413" s="7">
        <f>'1 datos preparados'!I406</f>
        <v/>
      </c>
      <c r="K413" s="7">
        <f>'1 datos preparados'!J406</f>
        <v/>
      </c>
      <c r="L413" s="7">
        <f>'1 datos preparados'!K406</f>
        <v/>
      </c>
      <c r="M413" s="7">
        <f>'1 datos preparados'!L406</f>
        <v/>
      </c>
      <c r="N413" s="7">
        <f>'1 datos preparados'!M406</f>
        <v/>
      </c>
      <c r="O413" s="7">
        <f>'1 datos preparados'!N406</f>
        <v/>
      </c>
      <c r="P413" s="7">
        <f>'1 datos preparados'!O406</f>
        <v/>
      </c>
      <c r="Q413" s="7">
        <f>'1 datos preparados'!P406</f>
        <v/>
      </c>
      <c r="R413" s="7">
        <f>'1 datos preparados'!Q406</f>
        <v/>
      </c>
      <c r="S413" s="7">
        <f>'1 datos preparados'!R406</f>
        <v/>
      </c>
      <c r="T413" s="7">
        <f>'1 datos preparados'!S406</f>
        <v/>
      </c>
      <c r="U413" s="7">
        <f>'1 datos preparados'!T406</f>
        <v/>
      </c>
      <c r="V413" s="8">
        <f>$AE$12+D413*$AE$13+E413*$AE$14+F413*$AE$15+G413*$AE$16+H413*$AE$17+I413*$AE$18+J413*$AE$19+K413*$AE$20+L413*$AE$21+M413*$AE$22+N413*$AE$23+O413*$AE$24+P413*$AE$25+Q413*$AE$26+R413*$AE$27+S413*$AE$28+T413*$AE$29+U413*$AE$30</f>
        <v/>
      </c>
      <c r="W413" s="8">
        <f>1/(1+EXP(-V413))</f>
        <v/>
      </c>
      <c r="X413" s="9">
        <f>-IF(C413=1,LN(W413),LN(1-W413))</f>
        <v/>
      </c>
      <c r="Y413" s="8">
        <f>1</f>
        <v/>
      </c>
      <c r="Z413" s="9">
        <f>Y413*X413</f>
        <v/>
      </c>
      <c r="AA413" s="10">
        <f>IF(W413&gt;$AE$32,1,0)</f>
        <v/>
      </c>
      <c r="AB413">
        <f>IF(AA413=C413,1,0)</f>
        <v/>
      </c>
    </row>
    <row r="414">
      <c r="A414">
        <f>'1 datos preparados'!A407</f>
        <v/>
      </c>
      <c r="B414" s="5">
        <f>'1 datos preparados'!U407</f>
        <v/>
      </c>
      <c r="C414">
        <f>'1 datos preparados'!B407</f>
        <v/>
      </c>
      <c r="D414" s="7">
        <f>'1 datos preparados'!C407</f>
        <v/>
      </c>
      <c r="E414" s="7">
        <f>'1 datos preparados'!D407</f>
        <v/>
      </c>
      <c r="F414" s="7">
        <f>'1 datos preparados'!E407</f>
        <v/>
      </c>
      <c r="G414" s="7">
        <f>'1 datos preparados'!F407</f>
        <v/>
      </c>
      <c r="H414" s="7">
        <f>'1 datos preparados'!G407</f>
        <v/>
      </c>
      <c r="I414" s="7">
        <f>'1 datos preparados'!H407</f>
        <v/>
      </c>
      <c r="J414" s="7">
        <f>'1 datos preparados'!I407</f>
        <v/>
      </c>
      <c r="K414" s="7">
        <f>'1 datos preparados'!J407</f>
        <v/>
      </c>
      <c r="L414" s="7">
        <f>'1 datos preparados'!K407</f>
        <v/>
      </c>
      <c r="M414" s="7">
        <f>'1 datos preparados'!L407</f>
        <v/>
      </c>
      <c r="N414" s="7">
        <f>'1 datos preparados'!M407</f>
        <v/>
      </c>
      <c r="O414" s="7">
        <f>'1 datos preparados'!N407</f>
        <v/>
      </c>
      <c r="P414" s="7">
        <f>'1 datos preparados'!O407</f>
        <v/>
      </c>
      <c r="Q414" s="7">
        <f>'1 datos preparados'!P407</f>
        <v/>
      </c>
      <c r="R414" s="7">
        <f>'1 datos preparados'!Q407</f>
        <v/>
      </c>
      <c r="S414" s="7">
        <f>'1 datos preparados'!R407</f>
        <v/>
      </c>
      <c r="T414" s="7">
        <f>'1 datos preparados'!S407</f>
        <v/>
      </c>
      <c r="U414" s="7">
        <f>'1 datos preparados'!T407</f>
        <v/>
      </c>
      <c r="V414" s="8">
        <f>$AE$12+D414*$AE$13+E414*$AE$14+F414*$AE$15+G414*$AE$16+H414*$AE$17+I414*$AE$18+J414*$AE$19+K414*$AE$20+L414*$AE$21+M414*$AE$22+N414*$AE$23+O414*$AE$24+P414*$AE$25+Q414*$AE$26+R414*$AE$27+S414*$AE$28+T414*$AE$29+U414*$AE$30</f>
        <v/>
      </c>
      <c r="W414" s="8">
        <f>1/(1+EXP(-V414))</f>
        <v/>
      </c>
      <c r="X414" s="9">
        <f>-IF(C414=1,LN(W414),LN(1-W414))</f>
        <v/>
      </c>
      <c r="Y414" s="8">
        <f>1</f>
        <v/>
      </c>
      <c r="Z414" s="9">
        <f>Y414*X414</f>
        <v/>
      </c>
      <c r="AA414" s="10">
        <f>IF(W414&gt;$AE$32,1,0)</f>
        <v/>
      </c>
      <c r="AB414">
        <f>IF(AA414=C414,1,0)</f>
        <v/>
      </c>
    </row>
    <row r="415">
      <c r="A415">
        <f>'1 datos preparados'!A408</f>
        <v/>
      </c>
      <c r="B415" s="5">
        <f>'1 datos preparados'!U408</f>
        <v/>
      </c>
      <c r="C415">
        <f>'1 datos preparados'!B408</f>
        <v/>
      </c>
      <c r="D415" s="7">
        <f>'1 datos preparados'!C408</f>
        <v/>
      </c>
      <c r="E415" s="7">
        <f>'1 datos preparados'!D408</f>
        <v/>
      </c>
      <c r="F415" s="7">
        <f>'1 datos preparados'!E408</f>
        <v/>
      </c>
      <c r="G415" s="7">
        <f>'1 datos preparados'!F408</f>
        <v/>
      </c>
      <c r="H415" s="7">
        <f>'1 datos preparados'!G408</f>
        <v/>
      </c>
      <c r="I415" s="7">
        <f>'1 datos preparados'!H408</f>
        <v/>
      </c>
      <c r="J415" s="7">
        <f>'1 datos preparados'!I408</f>
        <v/>
      </c>
      <c r="K415" s="7">
        <f>'1 datos preparados'!J408</f>
        <v/>
      </c>
      <c r="L415" s="7">
        <f>'1 datos preparados'!K408</f>
        <v/>
      </c>
      <c r="M415" s="7">
        <f>'1 datos preparados'!L408</f>
        <v/>
      </c>
      <c r="N415" s="7">
        <f>'1 datos preparados'!M408</f>
        <v/>
      </c>
      <c r="O415" s="7">
        <f>'1 datos preparados'!N408</f>
        <v/>
      </c>
      <c r="P415" s="7">
        <f>'1 datos preparados'!O408</f>
        <v/>
      </c>
      <c r="Q415" s="7">
        <f>'1 datos preparados'!P408</f>
        <v/>
      </c>
      <c r="R415" s="7">
        <f>'1 datos preparados'!Q408</f>
        <v/>
      </c>
      <c r="S415" s="7">
        <f>'1 datos preparados'!R408</f>
        <v/>
      </c>
      <c r="T415" s="7">
        <f>'1 datos preparados'!S408</f>
        <v/>
      </c>
      <c r="U415" s="7">
        <f>'1 datos preparados'!T408</f>
        <v/>
      </c>
      <c r="V415" s="8">
        <f>$AE$12+D415*$AE$13+E415*$AE$14+F415*$AE$15+G415*$AE$16+H415*$AE$17+I415*$AE$18+J415*$AE$19+K415*$AE$20+L415*$AE$21+M415*$AE$22+N415*$AE$23+O415*$AE$24+P415*$AE$25+Q415*$AE$26+R415*$AE$27+S415*$AE$28+T415*$AE$29+U415*$AE$30</f>
        <v/>
      </c>
      <c r="W415" s="8">
        <f>1/(1+EXP(-V415))</f>
        <v/>
      </c>
      <c r="X415" s="9">
        <f>-IF(C415=1,LN(W415),LN(1-W415))</f>
        <v/>
      </c>
      <c r="Y415" s="8">
        <f>1</f>
        <v/>
      </c>
      <c r="Z415" s="9">
        <f>Y415*X415</f>
        <v/>
      </c>
      <c r="AA415" s="10">
        <f>IF(W415&gt;$AE$32,1,0)</f>
        <v/>
      </c>
      <c r="AB415">
        <f>IF(AA415=C415,1,0)</f>
        <v/>
      </c>
    </row>
    <row r="416">
      <c r="A416">
        <f>'1 datos preparados'!A409</f>
        <v/>
      </c>
      <c r="B416" s="5">
        <f>'1 datos preparados'!U409</f>
        <v/>
      </c>
      <c r="C416">
        <f>'1 datos preparados'!B409</f>
        <v/>
      </c>
      <c r="D416" s="7">
        <f>'1 datos preparados'!C409</f>
        <v/>
      </c>
      <c r="E416" s="7">
        <f>'1 datos preparados'!D409</f>
        <v/>
      </c>
      <c r="F416" s="7">
        <f>'1 datos preparados'!E409</f>
        <v/>
      </c>
      <c r="G416" s="7">
        <f>'1 datos preparados'!F409</f>
        <v/>
      </c>
      <c r="H416" s="7">
        <f>'1 datos preparados'!G409</f>
        <v/>
      </c>
      <c r="I416" s="7">
        <f>'1 datos preparados'!H409</f>
        <v/>
      </c>
      <c r="J416" s="7">
        <f>'1 datos preparados'!I409</f>
        <v/>
      </c>
      <c r="K416" s="7">
        <f>'1 datos preparados'!J409</f>
        <v/>
      </c>
      <c r="L416" s="7">
        <f>'1 datos preparados'!K409</f>
        <v/>
      </c>
      <c r="M416" s="7">
        <f>'1 datos preparados'!L409</f>
        <v/>
      </c>
      <c r="N416" s="7">
        <f>'1 datos preparados'!M409</f>
        <v/>
      </c>
      <c r="O416" s="7">
        <f>'1 datos preparados'!N409</f>
        <v/>
      </c>
      <c r="P416" s="7">
        <f>'1 datos preparados'!O409</f>
        <v/>
      </c>
      <c r="Q416" s="7">
        <f>'1 datos preparados'!P409</f>
        <v/>
      </c>
      <c r="R416" s="7">
        <f>'1 datos preparados'!Q409</f>
        <v/>
      </c>
      <c r="S416" s="7">
        <f>'1 datos preparados'!R409</f>
        <v/>
      </c>
      <c r="T416" s="7">
        <f>'1 datos preparados'!S409</f>
        <v/>
      </c>
      <c r="U416" s="7">
        <f>'1 datos preparados'!T409</f>
        <v/>
      </c>
      <c r="V416" s="8">
        <f>$AE$12+D416*$AE$13+E416*$AE$14+F416*$AE$15+G416*$AE$16+H416*$AE$17+I416*$AE$18+J416*$AE$19+K416*$AE$20+L416*$AE$21+M416*$AE$22+N416*$AE$23+O416*$AE$24+P416*$AE$25+Q416*$AE$26+R416*$AE$27+S416*$AE$28+T416*$AE$29+U416*$AE$30</f>
        <v/>
      </c>
      <c r="W416" s="8">
        <f>1/(1+EXP(-V416))</f>
        <v/>
      </c>
      <c r="X416" s="9">
        <f>-IF(C416=1,LN(W416),LN(1-W416))</f>
        <v/>
      </c>
      <c r="Y416" s="8">
        <f>1</f>
        <v/>
      </c>
      <c r="Z416" s="9">
        <f>Y416*X416</f>
        <v/>
      </c>
      <c r="AA416" s="10">
        <f>IF(W416&gt;$AE$32,1,0)</f>
        <v/>
      </c>
      <c r="AB416">
        <f>IF(AA416=C416,1,0)</f>
        <v/>
      </c>
    </row>
    <row r="417">
      <c r="A417">
        <f>'1 datos preparados'!A410</f>
        <v/>
      </c>
      <c r="B417" s="5">
        <f>'1 datos preparados'!U410</f>
        <v/>
      </c>
      <c r="C417">
        <f>'1 datos preparados'!B410</f>
        <v/>
      </c>
      <c r="D417" s="7">
        <f>'1 datos preparados'!C410</f>
        <v/>
      </c>
      <c r="E417" s="7">
        <f>'1 datos preparados'!D410</f>
        <v/>
      </c>
      <c r="F417" s="7">
        <f>'1 datos preparados'!E410</f>
        <v/>
      </c>
      <c r="G417" s="7">
        <f>'1 datos preparados'!F410</f>
        <v/>
      </c>
      <c r="H417" s="7">
        <f>'1 datos preparados'!G410</f>
        <v/>
      </c>
      <c r="I417" s="7">
        <f>'1 datos preparados'!H410</f>
        <v/>
      </c>
      <c r="J417" s="7">
        <f>'1 datos preparados'!I410</f>
        <v/>
      </c>
      <c r="K417" s="7">
        <f>'1 datos preparados'!J410</f>
        <v/>
      </c>
      <c r="L417" s="7">
        <f>'1 datos preparados'!K410</f>
        <v/>
      </c>
      <c r="M417" s="7">
        <f>'1 datos preparados'!L410</f>
        <v/>
      </c>
      <c r="N417" s="7">
        <f>'1 datos preparados'!M410</f>
        <v/>
      </c>
      <c r="O417" s="7">
        <f>'1 datos preparados'!N410</f>
        <v/>
      </c>
      <c r="P417" s="7">
        <f>'1 datos preparados'!O410</f>
        <v/>
      </c>
      <c r="Q417" s="7">
        <f>'1 datos preparados'!P410</f>
        <v/>
      </c>
      <c r="R417" s="7">
        <f>'1 datos preparados'!Q410</f>
        <v/>
      </c>
      <c r="S417" s="7">
        <f>'1 datos preparados'!R410</f>
        <v/>
      </c>
      <c r="T417" s="7">
        <f>'1 datos preparados'!S410</f>
        <v/>
      </c>
      <c r="U417" s="7">
        <f>'1 datos preparados'!T410</f>
        <v/>
      </c>
      <c r="V417" s="8">
        <f>$AE$12+D417*$AE$13+E417*$AE$14+F417*$AE$15+G417*$AE$16+H417*$AE$17+I417*$AE$18+J417*$AE$19+K417*$AE$20+L417*$AE$21+M417*$AE$22+N417*$AE$23+O417*$AE$24+P417*$AE$25+Q417*$AE$26+R417*$AE$27+S417*$AE$28+T417*$AE$29+U417*$AE$30</f>
        <v/>
      </c>
      <c r="W417" s="8">
        <f>1/(1+EXP(-V417))</f>
        <v/>
      </c>
      <c r="X417" s="9">
        <f>-IF(C417=1,LN(W417),LN(1-W417))</f>
        <v/>
      </c>
      <c r="Y417" s="8">
        <f>1</f>
        <v/>
      </c>
      <c r="Z417" s="9">
        <f>Y417*X417</f>
        <v/>
      </c>
      <c r="AA417" s="10">
        <f>IF(W417&gt;$AE$32,1,0)</f>
        <v/>
      </c>
      <c r="AB417">
        <f>IF(AA417=C417,1,0)</f>
        <v/>
      </c>
    </row>
    <row r="418">
      <c r="A418">
        <f>'1 datos preparados'!A411</f>
        <v/>
      </c>
      <c r="B418" s="5">
        <f>'1 datos preparados'!U411</f>
        <v/>
      </c>
      <c r="C418">
        <f>'1 datos preparados'!B411</f>
        <v/>
      </c>
      <c r="D418" s="7">
        <f>'1 datos preparados'!C411</f>
        <v/>
      </c>
      <c r="E418" s="7">
        <f>'1 datos preparados'!D411</f>
        <v/>
      </c>
      <c r="F418" s="7">
        <f>'1 datos preparados'!E411</f>
        <v/>
      </c>
      <c r="G418" s="7">
        <f>'1 datos preparados'!F411</f>
        <v/>
      </c>
      <c r="H418" s="7">
        <f>'1 datos preparados'!G411</f>
        <v/>
      </c>
      <c r="I418" s="7">
        <f>'1 datos preparados'!H411</f>
        <v/>
      </c>
      <c r="J418" s="7">
        <f>'1 datos preparados'!I411</f>
        <v/>
      </c>
      <c r="K418" s="7">
        <f>'1 datos preparados'!J411</f>
        <v/>
      </c>
      <c r="L418" s="7">
        <f>'1 datos preparados'!K411</f>
        <v/>
      </c>
      <c r="M418" s="7">
        <f>'1 datos preparados'!L411</f>
        <v/>
      </c>
      <c r="N418" s="7">
        <f>'1 datos preparados'!M411</f>
        <v/>
      </c>
      <c r="O418" s="7">
        <f>'1 datos preparados'!N411</f>
        <v/>
      </c>
      <c r="P418" s="7">
        <f>'1 datos preparados'!O411</f>
        <v/>
      </c>
      <c r="Q418" s="7">
        <f>'1 datos preparados'!P411</f>
        <v/>
      </c>
      <c r="R418" s="7">
        <f>'1 datos preparados'!Q411</f>
        <v/>
      </c>
      <c r="S418" s="7">
        <f>'1 datos preparados'!R411</f>
        <v/>
      </c>
      <c r="T418" s="7">
        <f>'1 datos preparados'!S411</f>
        <v/>
      </c>
      <c r="U418" s="7">
        <f>'1 datos preparados'!T411</f>
        <v/>
      </c>
      <c r="V418" s="8">
        <f>$AE$12+D418*$AE$13+E418*$AE$14+F418*$AE$15+G418*$AE$16+H418*$AE$17+I418*$AE$18+J418*$AE$19+K418*$AE$20+L418*$AE$21+M418*$AE$22+N418*$AE$23+O418*$AE$24+P418*$AE$25+Q418*$AE$26+R418*$AE$27+S418*$AE$28+T418*$AE$29+U418*$AE$30</f>
        <v/>
      </c>
      <c r="W418" s="8">
        <f>1/(1+EXP(-V418))</f>
        <v/>
      </c>
      <c r="X418" s="9">
        <f>-IF(C418=1,LN(W418),LN(1-W418))</f>
        <v/>
      </c>
      <c r="Y418" s="8">
        <f>1</f>
        <v/>
      </c>
      <c r="Z418" s="9">
        <f>Y418*X418</f>
        <v/>
      </c>
      <c r="AA418" s="10">
        <f>IF(W418&gt;$AE$32,1,0)</f>
        <v/>
      </c>
      <c r="AB418">
        <f>IF(AA418=C418,1,0)</f>
        <v/>
      </c>
    </row>
    <row r="419">
      <c r="A419">
        <f>'1 datos preparados'!A412</f>
        <v/>
      </c>
      <c r="B419" s="5">
        <f>'1 datos preparados'!U412</f>
        <v/>
      </c>
      <c r="C419">
        <f>'1 datos preparados'!B412</f>
        <v/>
      </c>
      <c r="D419" s="7">
        <f>'1 datos preparados'!C412</f>
        <v/>
      </c>
      <c r="E419" s="7">
        <f>'1 datos preparados'!D412</f>
        <v/>
      </c>
      <c r="F419" s="7">
        <f>'1 datos preparados'!E412</f>
        <v/>
      </c>
      <c r="G419" s="7">
        <f>'1 datos preparados'!F412</f>
        <v/>
      </c>
      <c r="H419" s="7">
        <f>'1 datos preparados'!G412</f>
        <v/>
      </c>
      <c r="I419" s="7">
        <f>'1 datos preparados'!H412</f>
        <v/>
      </c>
      <c r="J419" s="7">
        <f>'1 datos preparados'!I412</f>
        <v/>
      </c>
      <c r="K419" s="7">
        <f>'1 datos preparados'!J412</f>
        <v/>
      </c>
      <c r="L419" s="7">
        <f>'1 datos preparados'!K412</f>
        <v/>
      </c>
      <c r="M419" s="7">
        <f>'1 datos preparados'!L412</f>
        <v/>
      </c>
      <c r="N419" s="7">
        <f>'1 datos preparados'!M412</f>
        <v/>
      </c>
      <c r="O419" s="7">
        <f>'1 datos preparados'!N412</f>
        <v/>
      </c>
      <c r="P419" s="7">
        <f>'1 datos preparados'!O412</f>
        <v/>
      </c>
      <c r="Q419" s="7">
        <f>'1 datos preparados'!P412</f>
        <v/>
      </c>
      <c r="R419" s="7">
        <f>'1 datos preparados'!Q412</f>
        <v/>
      </c>
      <c r="S419" s="7">
        <f>'1 datos preparados'!R412</f>
        <v/>
      </c>
      <c r="T419" s="7">
        <f>'1 datos preparados'!S412</f>
        <v/>
      </c>
      <c r="U419" s="7">
        <f>'1 datos preparados'!T412</f>
        <v/>
      </c>
      <c r="V419" s="8">
        <f>$AE$12+D419*$AE$13+E419*$AE$14+F419*$AE$15+G419*$AE$16+H419*$AE$17+I419*$AE$18+J419*$AE$19+K419*$AE$20+L419*$AE$21+M419*$AE$22+N419*$AE$23+O419*$AE$24+P419*$AE$25+Q419*$AE$26+R419*$AE$27+S419*$AE$28+T419*$AE$29+U419*$AE$30</f>
        <v/>
      </c>
      <c r="W419" s="8">
        <f>1/(1+EXP(-V419))</f>
        <v/>
      </c>
      <c r="X419" s="9">
        <f>-IF(C419=1,LN(W419),LN(1-W419))</f>
        <v/>
      </c>
      <c r="Y419" s="8">
        <f>1</f>
        <v/>
      </c>
      <c r="Z419" s="9">
        <f>Y419*X419</f>
        <v/>
      </c>
      <c r="AA419" s="10">
        <f>IF(W419&gt;$AE$32,1,0)</f>
        <v/>
      </c>
      <c r="AB419">
        <f>IF(AA419=C419,1,0)</f>
        <v/>
      </c>
    </row>
    <row r="420">
      <c r="A420">
        <f>'1 datos preparados'!A413</f>
        <v/>
      </c>
      <c r="B420" s="5">
        <f>'1 datos preparados'!U413</f>
        <v/>
      </c>
      <c r="C420">
        <f>'1 datos preparados'!B413</f>
        <v/>
      </c>
      <c r="D420" s="7">
        <f>'1 datos preparados'!C413</f>
        <v/>
      </c>
      <c r="E420" s="7">
        <f>'1 datos preparados'!D413</f>
        <v/>
      </c>
      <c r="F420" s="7">
        <f>'1 datos preparados'!E413</f>
        <v/>
      </c>
      <c r="G420" s="7">
        <f>'1 datos preparados'!F413</f>
        <v/>
      </c>
      <c r="H420" s="7">
        <f>'1 datos preparados'!G413</f>
        <v/>
      </c>
      <c r="I420" s="7">
        <f>'1 datos preparados'!H413</f>
        <v/>
      </c>
      <c r="J420" s="7">
        <f>'1 datos preparados'!I413</f>
        <v/>
      </c>
      <c r="K420" s="7">
        <f>'1 datos preparados'!J413</f>
        <v/>
      </c>
      <c r="L420" s="7">
        <f>'1 datos preparados'!K413</f>
        <v/>
      </c>
      <c r="M420" s="7">
        <f>'1 datos preparados'!L413</f>
        <v/>
      </c>
      <c r="N420" s="7">
        <f>'1 datos preparados'!M413</f>
        <v/>
      </c>
      <c r="O420" s="7">
        <f>'1 datos preparados'!N413</f>
        <v/>
      </c>
      <c r="P420" s="7">
        <f>'1 datos preparados'!O413</f>
        <v/>
      </c>
      <c r="Q420" s="7">
        <f>'1 datos preparados'!P413</f>
        <v/>
      </c>
      <c r="R420" s="7">
        <f>'1 datos preparados'!Q413</f>
        <v/>
      </c>
      <c r="S420" s="7">
        <f>'1 datos preparados'!R413</f>
        <v/>
      </c>
      <c r="T420" s="7">
        <f>'1 datos preparados'!S413</f>
        <v/>
      </c>
      <c r="U420" s="7">
        <f>'1 datos preparados'!T413</f>
        <v/>
      </c>
      <c r="V420" s="8">
        <f>$AE$12+D420*$AE$13+E420*$AE$14+F420*$AE$15+G420*$AE$16+H420*$AE$17+I420*$AE$18+J420*$AE$19+K420*$AE$20+L420*$AE$21+M420*$AE$22+N420*$AE$23+O420*$AE$24+P420*$AE$25+Q420*$AE$26+R420*$AE$27+S420*$AE$28+T420*$AE$29+U420*$AE$30</f>
        <v/>
      </c>
      <c r="W420" s="8">
        <f>1/(1+EXP(-V420))</f>
        <v/>
      </c>
      <c r="X420" s="9">
        <f>-IF(C420=1,LN(W420),LN(1-W420))</f>
        <v/>
      </c>
      <c r="Y420" s="8">
        <f>1</f>
        <v/>
      </c>
      <c r="Z420" s="9">
        <f>Y420*X420</f>
        <v/>
      </c>
      <c r="AA420" s="10">
        <f>IF(W420&gt;$AE$32,1,0)</f>
        <v/>
      </c>
      <c r="AB420">
        <f>IF(AA420=C420,1,0)</f>
        <v/>
      </c>
    </row>
    <row r="421">
      <c r="A421">
        <f>'1 datos preparados'!A414</f>
        <v/>
      </c>
      <c r="B421" s="5">
        <f>'1 datos preparados'!U414</f>
        <v/>
      </c>
      <c r="C421">
        <f>'1 datos preparados'!B414</f>
        <v/>
      </c>
      <c r="D421" s="7">
        <f>'1 datos preparados'!C414</f>
        <v/>
      </c>
      <c r="E421" s="7">
        <f>'1 datos preparados'!D414</f>
        <v/>
      </c>
      <c r="F421" s="7">
        <f>'1 datos preparados'!E414</f>
        <v/>
      </c>
      <c r="G421" s="7">
        <f>'1 datos preparados'!F414</f>
        <v/>
      </c>
      <c r="H421" s="7">
        <f>'1 datos preparados'!G414</f>
        <v/>
      </c>
      <c r="I421" s="7">
        <f>'1 datos preparados'!H414</f>
        <v/>
      </c>
      <c r="J421" s="7">
        <f>'1 datos preparados'!I414</f>
        <v/>
      </c>
      <c r="K421" s="7">
        <f>'1 datos preparados'!J414</f>
        <v/>
      </c>
      <c r="L421" s="7">
        <f>'1 datos preparados'!K414</f>
        <v/>
      </c>
      <c r="M421" s="7">
        <f>'1 datos preparados'!L414</f>
        <v/>
      </c>
      <c r="N421" s="7">
        <f>'1 datos preparados'!M414</f>
        <v/>
      </c>
      <c r="O421" s="7">
        <f>'1 datos preparados'!N414</f>
        <v/>
      </c>
      <c r="P421" s="7">
        <f>'1 datos preparados'!O414</f>
        <v/>
      </c>
      <c r="Q421" s="7">
        <f>'1 datos preparados'!P414</f>
        <v/>
      </c>
      <c r="R421" s="7">
        <f>'1 datos preparados'!Q414</f>
        <v/>
      </c>
      <c r="S421" s="7">
        <f>'1 datos preparados'!R414</f>
        <v/>
      </c>
      <c r="T421" s="7">
        <f>'1 datos preparados'!S414</f>
        <v/>
      </c>
      <c r="U421" s="7">
        <f>'1 datos preparados'!T414</f>
        <v/>
      </c>
      <c r="V421" s="8">
        <f>$AE$12+D421*$AE$13+E421*$AE$14+F421*$AE$15+G421*$AE$16+H421*$AE$17+I421*$AE$18+J421*$AE$19+K421*$AE$20+L421*$AE$21+M421*$AE$22+N421*$AE$23+O421*$AE$24+P421*$AE$25+Q421*$AE$26+R421*$AE$27+S421*$AE$28+T421*$AE$29+U421*$AE$30</f>
        <v/>
      </c>
      <c r="W421" s="8">
        <f>1/(1+EXP(-V421))</f>
        <v/>
      </c>
      <c r="X421" s="9">
        <f>-IF(C421=1,LN(W421),LN(1-W421))</f>
        <v/>
      </c>
      <c r="Y421" s="8">
        <f>1</f>
        <v/>
      </c>
      <c r="Z421" s="9">
        <f>Y421*X421</f>
        <v/>
      </c>
      <c r="AA421" s="10">
        <f>IF(W421&gt;$AE$32,1,0)</f>
        <v/>
      </c>
      <c r="AB421">
        <f>IF(AA421=C421,1,0)</f>
        <v/>
      </c>
    </row>
    <row r="422">
      <c r="A422">
        <f>'1 datos preparados'!A415</f>
        <v/>
      </c>
      <c r="B422" s="5">
        <f>'1 datos preparados'!U415</f>
        <v/>
      </c>
      <c r="C422">
        <f>'1 datos preparados'!B415</f>
        <v/>
      </c>
      <c r="D422" s="7">
        <f>'1 datos preparados'!C415</f>
        <v/>
      </c>
      <c r="E422" s="7">
        <f>'1 datos preparados'!D415</f>
        <v/>
      </c>
      <c r="F422" s="7">
        <f>'1 datos preparados'!E415</f>
        <v/>
      </c>
      <c r="G422" s="7">
        <f>'1 datos preparados'!F415</f>
        <v/>
      </c>
      <c r="H422" s="7">
        <f>'1 datos preparados'!G415</f>
        <v/>
      </c>
      <c r="I422" s="7">
        <f>'1 datos preparados'!H415</f>
        <v/>
      </c>
      <c r="J422" s="7">
        <f>'1 datos preparados'!I415</f>
        <v/>
      </c>
      <c r="K422" s="7">
        <f>'1 datos preparados'!J415</f>
        <v/>
      </c>
      <c r="L422" s="7">
        <f>'1 datos preparados'!K415</f>
        <v/>
      </c>
      <c r="M422" s="7">
        <f>'1 datos preparados'!L415</f>
        <v/>
      </c>
      <c r="N422" s="7">
        <f>'1 datos preparados'!M415</f>
        <v/>
      </c>
      <c r="O422" s="7">
        <f>'1 datos preparados'!N415</f>
        <v/>
      </c>
      <c r="P422" s="7">
        <f>'1 datos preparados'!O415</f>
        <v/>
      </c>
      <c r="Q422" s="7">
        <f>'1 datos preparados'!P415</f>
        <v/>
      </c>
      <c r="R422" s="7">
        <f>'1 datos preparados'!Q415</f>
        <v/>
      </c>
      <c r="S422" s="7">
        <f>'1 datos preparados'!R415</f>
        <v/>
      </c>
      <c r="T422" s="7">
        <f>'1 datos preparados'!S415</f>
        <v/>
      </c>
      <c r="U422" s="7">
        <f>'1 datos preparados'!T415</f>
        <v/>
      </c>
      <c r="V422" s="8">
        <f>$AE$12+D422*$AE$13+E422*$AE$14+F422*$AE$15+G422*$AE$16+H422*$AE$17+I422*$AE$18+J422*$AE$19+K422*$AE$20+L422*$AE$21+M422*$AE$22+N422*$AE$23+O422*$AE$24+P422*$AE$25+Q422*$AE$26+R422*$AE$27+S422*$AE$28+T422*$AE$29+U422*$AE$30</f>
        <v/>
      </c>
      <c r="W422" s="8">
        <f>1/(1+EXP(-V422))</f>
        <v/>
      </c>
      <c r="X422" s="9">
        <f>-IF(C422=1,LN(W422),LN(1-W422))</f>
        <v/>
      </c>
      <c r="Y422" s="8">
        <f>1</f>
        <v/>
      </c>
      <c r="Z422" s="9">
        <f>Y422*X422</f>
        <v/>
      </c>
      <c r="AA422" s="10">
        <f>IF(W422&gt;$AE$32,1,0)</f>
        <v/>
      </c>
      <c r="AB422">
        <f>IF(AA422=C422,1,0)</f>
        <v/>
      </c>
    </row>
    <row r="423">
      <c r="A423">
        <f>'1 datos preparados'!A416</f>
        <v/>
      </c>
      <c r="B423" s="5">
        <f>'1 datos preparados'!U416</f>
        <v/>
      </c>
      <c r="C423">
        <f>'1 datos preparados'!B416</f>
        <v/>
      </c>
      <c r="D423" s="7">
        <f>'1 datos preparados'!C416</f>
        <v/>
      </c>
      <c r="E423" s="7">
        <f>'1 datos preparados'!D416</f>
        <v/>
      </c>
      <c r="F423" s="7">
        <f>'1 datos preparados'!E416</f>
        <v/>
      </c>
      <c r="G423" s="7">
        <f>'1 datos preparados'!F416</f>
        <v/>
      </c>
      <c r="H423" s="7">
        <f>'1 datos preparados'!G416</f>
        <v/>
      </c>
      <c r="I423" s="7">
        <f>'1 datos preparados'!H416</f>
        <v/>
      </c>
      <c r="J423" s="7">
        <f>'1 datos preparados'!I416</f>
        <v/>
      </c>
      <c r="K423" s="7">
        <f>'1 datos preparados'!J416</f>
        <v/>
      </c>
      <c r="L423" s="7">
        <f>'1 datos preparados'!K416</f>
        <v/>
      </c>
      <c r="M423" s="7">
        <f>'1 datos preparados'!L416</f>
        <v/>
      </c>
      <c r="N423" s="7">
        <f>'1 datos preparados'!M416</f>
        <v/>
      </c>
      <c r="O423" s="7">
        <f>'1 datos preparados'!N416</f>
        <v/>
      </c>
      <c r="P423" s="7">
        <f>'1 datos preparados'!O416</f>
        <v/>
      </c>
      <c r="Q423" s="7">
        <f>'1 datos preparados'!P416</f>
        <v/>
      </c>
      <c r="R423" s="7">
        <f>'1 datos preparados'!Q416</f>
        <v/>
      </c>
      <c r="S423" s="7">
        <f>'1 datos preparados'!R416</f>
        <v/>
      </c>
      <c r="T423" s="7">
        <f>'1 datos preparados'!S416</f>
        <v/>
      </c>
      <c r="U423" s="7">
        <f>'1 datos preparados'!T416</f>
        <v/>
      </c>
      <c r="V423" s="8">
        <f>$AE$12+D423*$AE$13+E423*$AE$14+F423*$AE$15+G423*$AE$16+H423*$AE$17+I423*$AE$18+J423*$AE$19+K423*$AE$20+L423*$AE$21+M423*$AE$22+N423*$AE$23+O423*$AE$24+P423*$AE$25+Q423*$AE$26+R423*$AE$27+S423*$AE$28+T423*$AE$29+U423*$AE$30</f>
        <v/>
      </c>
      <c r="W423" s="8">
        <f>1/(1+EXP(-V423))</f>
        <v/>
      </c>
      <c r="X423" s="9">
        <f>-IF(C423=1,LN(W423),LN(1-W423))</f>
        <v/>
      </c>
      <c r="Y423" s="8">
        <f>1</f>
        <v/>
      </c>
      <c r="Z423" s="9">
        <f>Y423*X423</f>
        <v/>
      </c>
      <c r="AA423" s="10">
        <f>IF(W423&gt;$AE$32,1,0)</f>
        <v/>
      </c>
      <c r="AB423">
        <f>IF(AA423=C423,1,0)</f>
        <v/>
      </c>
    </row>
    <row r="424">
      <c r="A424">
        <f>'1 datos preparados'!A417</f>
        <v/>
      </c>
      <c r="B424" s="5">
        <f>'1 datos preparados'!U417</f>
        <v/>
      </c>
      <c r="C424">
        <f>'1 datos preparados'!B417</f>
        <v/>
      </c>
      <c r="D424" s="7">
        <f>'1 datos preparados'!C417</f>
        <v/>
      </c>
      <c r="E424" s="7">
        <f>'1 datos preparados'!D417</f>
        <v/>
      </c>
      <c r="F424" s="7">
        <f>'1 datos preparados'!E417</f>
        <v/>
      </c>
      <c r="G424" s="7">
        <f>'1 datos preparados'!F417</f>
        <v/>
      </c>
      <c r="H424" s="7">
        <f>'1 datos preparados'!G417</f>
        <v/>
      </c>
      <c r="I424" s="7">
        <f>'1 datos preparados'!H417</f>
        <v/>
      </c>
      <c r="J424" s="7">
        <f>'1 datos preparados'!I417</f>
        <v/>
      </c>
      <c r="K424" s="7">
        <f>'1 datos preparados'!J417</f>
        <v/>
      </c>
      <c r="L424" s="7">
        <f>'1 datos preparados'!K417</f>
        <v/>
      </c>
      <c r="M424" s="7">
        <f>'1 datos preparados'!L417</f>
        <v/>
      </c>
      <c r="N424" s="7">
        <f>'1 datos preparados'!M417</f>
        <v/>
      </c>
      <c r="O424" s="7">
        <f>'1 datos preparados'!N417</f>
        <v/>
      </c>
      <c r="P424" s="7">
        <f>'1 datos preparados'!O417</f>
        <v/>
      </c>
      <c r="Q424" s="7">
        <f>'1 datos preparados'!P417</f>
        <v/>
      </c>
      <c r="R424" s="7">
        <f>'1 datos preparados'!Q417</f>
        <v/>
      </c>
      <c r="S424" s="7">
        <f>'1 datos preparados'!R417</f>
        <v/>
      </c>
      <c r="T424" s="7">
        <f>'1 datos preparados'!S417</f>
        <v/>
      </c>
      <c r="U424" s="7">
        <f>'1 datos preparados'!T417</f>
        <v/>
      </c>
      <c r="V424" s="8">
        <f>$AE$12+D424*$AE$13+E424*$AE$14+F424*$AE$15+G424*$AE$16+H424*$AE$17+I424*$AE$18+J424*$AE$19+K424*$AE$20+L424*$AE$21+M424*$AE$22+N424*$AE$23+O424*$AE$24+P424*$AE$25+Q424*$AE$26+R424*$AE$27+S424*$AE$28+T424*$AE$29+U424*$AE$30</f>
        <v/>
      </c>
      <c r="W424" s="8">
        <f>1/(1+EXP(-V424))</f>
        <v/>
      </c>
      <c r="X424" s="9">
        <f>-IF(C424=1,LN(W424),LN(1-W424))</f>
        <v/>
      </c>
      <c r="Y424" s="8">
        <f>1</f>
        <v/>
      </c>
      <c r="Z424" s="9">
        <f>Y424*X424</f>
        <v/>
      </c>
      <c r="AA424" s="10">
        <f>IF(W424&gt;$AE$32,1,0)</f>
        <v/>
      </c>
      <c r="AB424">
        <f>IF(AA424=C424,1,0)</f>
        <v/>
      </c>
    </row>
    <row r="425">
      <c r="A425">
        <f>'1 datos preparados'!A418</f>
        <v/>
      </c>
      <c r="B425" s="5">
        <f>'1 datos preparados'!U418</f>
        <v/>
      </c>
      <c r="C425">
        <f>'1 datos preparados'!B418</f>
        <v/>
      </c>
      <c r="D425" s="7">
        <f>'1 datos preparados'!C418</f>
        <v/>
      </c>
      <c r="E425" s="7">
        <f>'1 datos preparados'!D418</f>
        <v/>
      </c>
      <c r="F425" s="7">
        <f>'1 datos preparados'!E418</f>
        <v/>
      </c>
      <c r="G425" s="7">
        <f>'1 datos preparados'!F418</f>
        <v/>
      </c>
      <c r="H425" s="7">
        <f>'1 datos preparados'!G418</f>
        <v/>
      </c>
      <c r="I425" s="7">
        <f>'1 datos preparados'!H418</f>
        <v/>
      </c>
      <c r="J425" s="7">
        <f>'1 datos preparados'!I418</f>
        <v/>
      </c>
      <c r="K425" s="7">
        <f>'1 datos preparados'!J418</f>
        <v/>
      </c>
      <c r="L425" s="7">
        <f>'1 datos preparados'!K418</f>
        <v/>
      </c>
      <c r="M425" s="7">
        <f>'1 datos preparados'!L418</f>
        <v/>
      </c>
      <c r="N425" s="7">
        <f>'1 datos preparados'!M418</f>
        <v/>
      </c>
      <c r="O425" s="7">
        <f>'1 datos preparados'!N418</f>
        <v/>
      </c>
      <c r="P425" s="7">
        <f>'1 datos preparados'!O418</f>
        <v/>
      </c>
      <c r="Q425" s="7">
        <f>'1 datos preparados'!P418</f>
        <v/>
      </c>
      <c r="R425" s="7">
        <f>'1 datos preparados'!Q418</f>
        <v/>
      </c>
      <c r="S425" s="7">
        <f>'1 datos preparados'!R418</f>
        <v/>
      </c>
      <c r="T425" s="7">
        <f>'1 datos preparados'!S418</f>
        <v/>
      </c>
      <c r="U425" s="7">
        <f>'1 datos preparados'!T418</f>
        <v/>
      </c>
      <c r="V425" s="8">
        <f>$AE$12+D425*$AE$13+E425*$AE$14+F425*$AE$15+G425*$AE$16+H425*$AE$17+I425*$AE$18+J425*$AE$19+K425*$AE$20+L425*$AE$21+M425*$AE$22+N425*$AE$23+O425*$AE$24+P425*$AE$25+Q425*$AE$26+R425*$AE$27+S425*$AE$28+T425*$AE$29+U425*$AE$30</f>
        <v/>
      </c>
      <c r="W425" s="8">
        <f>1/(1+EXP(-V425))</f>
        <v/>
      </c>
      <c r="X425" s="9">
        <f>-IF(C425=1,LN(W425),LN(1-W425))</f>
        <v/>
      </c>
      <c r="Y425" s="8">
        <f>1</f>
        <v/>
      </c>
      <c r="Z425" s="9">
        <f>Y425*X425</f>
        <v/>
      </c>
      <c r="AA425" s="10">
        <f>IF(W425&gt;$AE$32,1,0)</f>
        <v/>
      </c>
      <c r="AB425">
        <f>IF(AA425=C425,1,0)</f>
        <v/>
      </c>
    </row>
    <row r="426">
      <c r="A426">
        <f>'1 datos preparados'!A419</f>
        <v/>
      </c>
      <c r="B426" s="5">
        <f>'1 datos preparados'!U419</f>
        <v/>
      </c>
      <c r="C426">
        <f>'1 datos preparados'!B419</f>
        <v/>
      </c>
      <c r="D426" s="7">
        <f>'1 datos preparados'!C419</f>
        <v/>
      </c>
      <c r="E426" s="7">
        <f>'1 datos preparados'!D419</f>
        <v/>
      </c>
      <c r="F426" s="7">
        <f>'1 datos preparados'!E419</f>
        <v/>
      </c>
      <c r="G426" s="7">
        <f>'1 datos preparados'!F419</f>
        <v/>
      </c>
      <c r="H426" s="7">
        <f>'1 datos preparados'!G419</f>
        <v/>
      </c>
      <c r="I426" s="7">
        <f>'1 datos preparados'!H419</f>
        <v/>
      </c>
      <c r="J426" s="7">
        <f>'1 datos preparados'!I419</f>
        <v/>
      </c>
      <c r="K426" s="7">
        <f>'1 datos preparados'!J419</f>
        <v/>
      </c>
      <c r="L426" s="7">
        <f>'1 datos preparados'!K419</f>
        <v/>
      </c>
      <c r="M426" s="7">
        <f>'1 datos preparados'!L419</f>
        <v/>
      </c>
      <c r="N426" s="7">
        <f>'1 datos preparados'!M419</f>
        <v/>
      </c>
      <c r="O426" s="7">
        <f>'1 datos preparados'!N419</f>
        <v/>
      </c>
      <c r="P426" s="7">
        <f>'1 datos preparados'!O419</f>
        <v/>
      </c>
      <c r="Q426" s="7">
        <f>'1 datos preparados'!P419</f>
        <v/>
      </c>
      <c r="R426" s="7">
        <f>'1 datos preparados'!Q419</f>
        <v/>
      </c>
      <c r="S426" s="7">
        <f>'1 datos preparados'!R419</f>
        <v/>
      </c>
      <c r="T426" s="7">
        <f>'1 datos preparados'!S419</f>
        <v/>
      </c>
      <c r="U426" s="7">
        <f>'1 datos preparados'!T419</f>
        <v/>
      </c>
      <c r="V426" s="8">
        <f>$AE$12+D426*$AE$13+E426*$AE$14+F426*$AE$15+G426*$AE$16+H426*$AE$17+I426*$AE$18+J426*$AE$19+K426*$AE$20+L426*$AE$21+M426*$AE$22+N426*$AE$23+O426*$AE$24+P426*$AE$25+Q426*$AE$26+R426*$AE$27+S426*$AE$28+T426*$AE$29+U426*$AE$30</f>
        <v/>
      </c>
      <c r="W426" s="8">
        <f>1/(1+EXP(-V426))</f>
        <v/>
      </c>
      <c r="X426" s="9">
        <f>-IF(C426=1,LN(W426),LN(1-W426))</f>
        <v/>
      </c>
      <c r="Y426" s="8">
        <f>1</f>
        <v/>
      </c>
      <c r="Z426" s="9">
        <f>Y426*X426</f>
        <v/>
      </c>
      <c r="AA426" s="10">
        <f>IF(W426&gt;$AE$32,1,0)</f>
        <v/>
      </c>
      <c r="AB426">
        <f>IF(AA426=C426,1,0)</f>
        <v/>
      </c>
    </row>
    <row r="427">
      <c r="A427">
        <f>'1 datos preparados'!A420</f>
        <v/>
      </c>
      <c r="B427" s="5">
        <f>'1 datos preparados'!U420</f>
        <v/>
      </c>
      <c r="C427">
        <f>'1 datos preparados'!B420</f>
        <v/>
      </c>
      <c r="D427" s="7">
        <f>'1 datos preparados'!C420</f>
        <v/>
      </c>
      <c r="E427" s="7">
        <f>'1 datos preparados'!D420</f>
        <v/>
      </c>
      <c r="F427" s="7">
        <f>'1 datos preparados'!E420</f>
        <v/>
      </c>
      <c r="G427" s="7">
        <f>'1 datos preparados'!F420</f>
        <v/>
      </c>
      <c r="H427" s="7">
        <f>'1 datos preparados'!G420</f>
        <v/>
      </c>
      <c r="I427" s="7">
        <f>'1 datos preparados'!H420</f>
        <v/>
      </c>
      <c r="J427" s="7">
        <f>'1 datos preparados'!I420</f>
        <v/>
      </c>
      <c r="K427" s="7">
        <f>'1 datos preparados'!J420</f>
        <v/>
      </c>
      <c r="L427" s="7">
        <f>'1 datos preparados'!K420</f>
        <v/>
      </c>
      <c r="M427" s="7">
        <f>'1 datos preparados'!L420</f>
        <v/>
      </c>
      <c r="N427" s="7">
        <f>'1 datos preparados'!M420</f>
        <v/>
      </c>
      <c r="O427" s="7">
        <f>'1 datos preparados'!N420</f>
        <v/>
      </c>
      <c r="P427" s="7">
        <f>'1 datos preparados'!O420</f>
        <v/>
      </c>
      <c r="Q427" s="7">
        <f>'1 datos preparados'!P420</f>
        <v/>
      </c>
      <c r="R427" s="7">
        <f>'1 datos preparados'!Q420</f>
        <v/>
      </c>
      <c r="S427" s="7">
        <f>'1 datos preparados'!R420</f>
        <v/>
      </c>
      <c r="T427" s="7">
        <f>'1 datos preparados'!S420</f>
        <v/>
      </c>
      <c r="U427" s="7">
        <f>'1 datos preparados'!T420</f>
        <v/>
      </c>
      <c r="V427" s="8">
        <f>$AE$12+D427*$AE$13+E427*$AE$14+F427*$AE$15+G427*$AE$16+H427*$AE$17+I427*$AE$18+J427*$AE$19+K427*$AE$20+L427*$AE$21+M427*$AE$22+N427*$AE$23+O427*$AE$24+P427*$AE$25+Q427*$AE$26+R427*$AE$27+S427*$AE$28+T427*$AE$29+U427*$AE$30</f>
        <v/>
      </c>
      <c r="W427" s="8">
        <f>1/(1+EXP(-V427))</f>
        <v/>
      </c>
      <c r="X427" s="9">
        <f>-IF(C427=1,LN(W427),LN(1-W427))</f>
        <v/>
      </c>
      <c r="Y427" s="8">
        <f>1</f>
        <v/>
      </c>
      <c r="Z427" s="9">
        <f>Y427*X427</f>
        <v/>
      </c>
      <c r="AA427" s="10">
        <f>IF(W427&gt;$AE$32,1,0)</f>
        <v/>
      </c>
      <c r="AB427">
        <f>IF(AA427=C427,1,0)</f>
        <v/>
      </c>
    </row>
    <row r="428">
      <c r="A428">
        <f>'1 datos preparados'!A421</f>
        <v/>
      </c>
      <c r="B428" s="5">
        <f>'1 datos preparados'!U421</f>
        <v/>
      </c>
      <c r="C428">
        <f>'1 datos preparados'!B421</f>
        <v/>
      </c>
      <c r="D428" s="7">
        <f>'1 datos preparados'!C421</f>
        <v/>
      </c>
      <c r="E428" s="7">
        <f>'1 datos preparados'!D421</f>
        <v/>
      </c>
      <c r="F428" s="7">
        <f>'1 datos preparados'!E421</f>
        <v/>
      </c>
      <c r="G428" s="7">
        <f>'1 datos preparados'!F421</f>
        <v/>
      </c>
      <c r="H428" s="7">
        <f>'1 datos preparados'!G421</f>
        <v/>
      </c>
      <c r="I428" s="7">
        <f>'1 datos preparados'!H421</f>
        <v/>
      </c>
      <c r="J428" s="7">
        <f>'1 datos preparados'!I421</f>
        <v/>
      </c>
      <c r="K428" s="7">
        <f>'1 datos preparados'!J421</f>
        <v/>
      </c>
      <c r="L428" s="7">
        <f>'1 datos preparados'!K421</f>
        <v/>
      </c>
      <c r="M428" s="7">
        <f>'1 datos preparados'!L421</f>
        <v/>
      </c>
      <c r="N428" s="7">
        <f>'1 datos preparados'!M421</f>
        <v/>
      </c>
      <c r="O428" s="7">
        <f>'1 datos preparados'!N421</f>
        <v/>
      </c>
      <c r="P428" s="7">
        <f>'1 datos preparados'!O421</f>
        <v/>
      </c>
      <c r="Q428" s="7">
        <f>'1 datos preparados'!P421</f>
        <v/>
      </c>
      <c r="R428" s="7">
        <f>'1 datos preparados'!Q421</f>
        <v/>
      </c>
      <c r="S428" s="7">
        <f>'1 datos preparados'!R421</f>
        <v/>
      </c>
      <c r="T428" s="7">
        <f>'1 datos preparados'!S421</f>
        <v/>
      </c>
      <c r="U428" s="7">
        <f>'1 datos preparados'!T421</f>
        <v/>
      </c>
      <c r="V428" s="8">
        <f>$AE$12+D428*$AE$13+E428*$AE$14+F428*$AE$15+G428*$AE$16+H428*$AE$17+I428*$AE$18+J428*$AE$19+K428*$AE$20+L428*$AE$21+M428*$AE$22+N428*$AE$23+O428*$AE$24+P428*$AE$25+Q428*$AE$26+R428*$AE$27+S428*$AE$28+T428*$AE$29+U428*$AE$30</f>
        <v/>
      </c>
      <c r="W428" s="8">
        <f>1/(1+EXP(-V428))</f>
        <v/>
      </c>
      <c r="X428" s="9">
        <f>-IF(C428=1,LN(W428),LN(1-W428))</f>
        <v/>
      </c>
      <c r="Y428" s="8">
        <f>1</f>
        <v/>
      </c>
      <c r="Z428" s="9">
        <f>Y428*X428</f>
        <v/>
      </c>
      <c r="AA428" s="10">
        <f>IF(W428&gt;$AE$32,1,0)</f>
        <v/>
      </c>
      <c r="AB428">
        <f>IF(AA428=C428,1,0)</f>
        <v/>
      </c>
    </row>
    <row r="429">
      <c r="A429">
        <f>'1 datos preparados'!A422</f>
        <v/>
      </c>
      <c r="B429" s="5">
        <f>'1 datos preparados'!U422</f>
        <v/>
      </c>
      <c r="C429">
        <f>'1 datos preparados'!B422</f>
        <v/>
      </c>
      <c r="D429" s="7">
        <f>'1 datos preparados'!C422</f>
        <v/>
      </c>
      <c r="E429" s="7">
        <f>'1 datos preparados'!D422</f>
        <v/>
      </c>
      <c r="F429" s="7">
        <f>'1 datos preparados'!E422</f>
        <v/>
      </c>
      <c r="G429" s="7">
        <f>'1 datos preparados'!F422</f>
        <v/>
      </c>
      <c r="H429" s="7">
        <f>'1 datos preparados'!G422</f>
        <v/>
      </c>
      <c r="I429" s="7">
        <f>'1 datos preparados'!H422</f>
        <v/>
      </c>
      <c r="J429" s="7">
        <f>'1 datos preparados'!I422</f>
        <v/>
      </c>
      <c r="K429" s="7">
        <f>'1 datos preparados'!J422</f>
        <v/>
      </c>
      <c r="L429" s="7">
        <f>'1 datos preparados'!K422</f>
        <v/>
      </c>
      <c r="M429" s="7">
        <f>'1 datos preparados'!L422</f>
        <v/>
      </c>
      <c r="N429" s="7">
        <f>'1 datos preparados'!M422</f>
        <v/>
      </c>
      <c r="O429" s="7">
        <f>'1 datos preparados'!N422</f>
        <v/>
      </c>
      <c r="P429" s="7">
        <f>'1 datos preparados'!O422</f>
        <v/>
      </c>
      <c r="Q429" s="7">
        <f>'1 datos preparados'!P422</f>
        <v/>
      </c>
      <c r="R429" s="7">
        <f>'1 datos preparados'!Q422</f>
        <v/>
      </c>
      <c r="S429" s="7">
        <f>'1 datos preparados'!R422</f>
        <v/>
      </c>
      <c r="T429" s="7">
        <f>'1 datos preparados'!S422</f>
        <v/>
      </c>
      <c r="U429" s="7">
        <f>'1 datos preparados'!T422</f>
        <v/>
      </c>
      <c r="V429" s="8">
        <f>$AE$12+D429*$AE$13+E429*$AE$14+F429*$AE$15+G429*$AE$16+H429*$AE$17+I429*$AE$18+J429*$AE$19+K429*$AE$20+L429*$AE$21+M429*$AE$22+N429*$AE$23+O429*$AE$24+P429*$AE$25+Q429*$AE$26+R429*$AE$27+S429*$AE$28+T429*$AE$29+U429*$AE$30</f>
        <v/>
      </c>
      <c r="W429" s="8">
        <f>1/(1+EXP(-V429))</f>
        <v/>
      </c>
      <c r="X429" s="9">
        <f>-IF(C429=1,LN(W429),LN(1-W429))</f>
        <v/>
      </c>
      <c r="Y429" s="8">
        <f>1</f>
        <v/>
      </c>
      <c r="Z429" s="9">
        <f>Y429*X429</f>
        <v/>
      </c>
      <c r="AA429" s="10">
        <f>IF(W429&gt;$AE$32,1,0)</f>
        <v/>
      </c>
      <c r="AB429">
        <f>IF(AA429=C429,1,0)</f>
        <v/>
      </c>
    </row>
    <row r="430">
      <c r="A430">
        <f>'1 datos preparados'!A423</f>
        <v/>
      </c>
      <c r="B430" s="5">
        <f>'1 datos preparados'!U423</f>
        <v/>
      </c>
      <c r="C430">
        <f>'1 datos preparados'!B423</f>
        <v/>
      </c>
      <c r="D430" s="7">
        <f>'1 datos preparados'!C423</f>
        <v/>
      </c>
      <c r="E430" s="7">
        <f>'1 datos preparados'!D423</f>
        <v/>
      </c>
      <c r="F430" s="7">
        <f>'1 datos preparados'!E423</f>
        <v/>
      </c>
      <c r="G430" s="7">
        <f>'1 datos preparados'!F423</f>
        <v/>
      </c>
      <c r="H430" s="7">
        <f>'1 datos preparados'!G423</f>
        <v/>
      </c>
      <c r="I430" s="7">
        <f>'1 datos preparados'!H423</f>
        <v/>
      </c>
      <c r="J430" s="7">
        <f>'1 datos preparados'!I423</f>
        <v/>
      </c>
      <c r="K430" s="7">
        <f>'1 datos preparados'!J423</f>
        <v/>
      </c>
      <c r="L430" s="7">
        <f>'1 datos preparados'!K423</f>
        <v/>
      </c>
      <c r="M430" s="7">
        <f>'1 datos preparados'!L423</f>
        <v/>
      </c>
      <c r="N430" s="7">
        <f>'1 datos preparados'!M423</f>
        <v/>
      </c>
      <c r="O430" s="7">
        <f>'1 datos preparados'!N423</f>
        <v/>
      </c>
      <c r="P430" s="7">
        <f>'1 datos preparados'!O423</f>
        <v/>
      </c>
      <c r="Q430" s="7">
        <f>'1 datos preparados'!P423</f>
        <v/>
      </c>
      <c r="R430" s="7">
        <f>'1 datos preparados'!Q423</f>
        <v/>
      </c>
      <c r="S430" s="7">
        <f>'1 datos preparados'!R423</f>
        <v/>
      </c>
      <c r="T430" s="7">
        <f>'1 datos preparados'!S423</f>
        <v/>
      </c>
      <c r="U430" s="7">
        <f>'1 datos preparados'!T423</f>
        <v/>
      </c>
      <c r="V430" s="8">
        <f>$AE$12+D430*$AE$13+E430*$AE$14+F430*$AE$15+G430*$AE$16+H430*$AE$17+I430*$AE$18+J430*$AE$19+K430*$AE$20+L430*$AE$21+M430*$AE$22+N430*$AE$23+O430*$AE$24+P430*$AE$25+Q430*$AE$26+R430*$AE$27+S430*$AE$28+T430*$AE$29+U430*$AE$30</f>
        <v/>
      </c>
      <c r="W430" s="8">
        <f>1/(1+EXP(-V430))</f>
        <v/>
      </c>
      <c r="X430" s="9">
        <f>-IF(C430=1,LN(W430),LN(1-W430))</f>
        <v/>
      </c>
      <c r="Y430" s="8">
        <f>1</f>
        <v/>
      </c>
      <c r="Z430" s="9">
        <f>Y430*X430</f>
        <v/>
      </c>
      <c r="AA430" s="10">
        <f>IF(W430&gt;$AE$32,1,0)</f>
        <v/>
      </c>
      <c r="AB430">
        <f>IF(AA430=C430,1,0)</f>
        <v/>
      </c>
    </row>
    <row r="431">
      <c r="A431">
        <f>'1 datos preparados'!A424</f>
        <v/>
      </c>
      <c r="B431" s="5">
        <f>'1 datos preparados'!U424</f>
        <v/>
      </c>
      <c r="C431">
        <f>'1 datos preparados'!B424</f>
        <v/>
      </c>
      <c r="D431" s="7">
        <f>'1 datos preparados'!C424</f>
        <v/>
      </c>
      <c r="E431" s="7">
        <f>'1 datos preparados'!D424</f>
        <v/>
      </c>
      <c r="F431" s="7">
        <f>'1 datos preparados'!E424</f>
        <v/>
      </c>
      <c r="G431" s="7">
        <f>'1 datos preparados'!F424</f>
        <v/>
      </c>
      <c r="H431" s="7">
        <f>'1 datos preparados'!G424</f>
        <v/>
      </c>
      <c r="I431" s="7">
        <f>'1 datos preparados'!H424</f>
        <v/>
      </c>
      <c r="J431" s="7">
        <f>'1 datos preparados'!I424</f>
        <v/>
      </c>
      <c r="K431" s="7">
        <f>'1 datos preparados'!J424</f>
        <v/>
      </c>
      <c r="L431" s="7">
        <f>'1 datos preparados'!K424</f>
        <v/>
      </c>
      <c r="M431" s="7">
        <f>'1 datos preparados'!L424</f>
        <v/>
      </c>
      <c r="N431" s="7">
        <f>'1 datos preparados'!M424</f>
        <v/>
      </c>
      <c r="O431" s="7">
        <f>'1 datos preparados'!N424</f>
        <v/>
      </c>
      <c r="P431" s="7">
        <f>'1 datos preparados'!O424</f>
        <v/>
      </c>
      <c r="Q431" s="7">
        <f>'1 datos preparados'!P424</f>
        <v/>
      </c>
      <c r="R431" s="7">
        <f>'1 datos preparados'!Q424</f>
        <v/>
      </c>
      <c r="S431" s="7">
        <f>'1 datos preparados'!R424</f>
        <v/>
      </c>
      <c r="T431" s="7">
        <f>'1 datos preparados'!S424</f>
        <v/>
      </c>
      <c r="U431" s="7">
        <f>'1 datos preparados'!T424</f>
        <v/>
      </c>
      <c r="V431" s="8">
        <f>$AE$12+D431*$AE$13+E431*$AE$14+F431*$AE$15+G431*$AE$16+H431*$AE$17+I431*$AE$18+J431*$AE$19+K431*$AE$20+L431*$AE$21+M431*$AE$22+N431*$AE$23+O431*$AE$24+P431*$AE$25+Q431*$AE$26+R431*$AE$27+S431*$AE$28+T431*$AE$29+U431*$AE$30</f>
        <v/>
      </c>
      <c r="W431" s="8">
        <f>1/(1+EXP(-V431))</f>
        <v/>
      </c>
      <c r="X431" s="9">
        <f>-IF(C431=1,LN(W431),LN(1-W431))</f>
        <v/>
      </c>
      <c r="Y431" s="8">
        <f>1</f>
        <v/>
      </c>
      <c r="Z431" s="9">
        <f>Y431*X431</f>
        <v/>
      </c>
      <c r="AA431" s="10">
        <f>IF(W431&gt;$AE$32,1,0)</f>
        <v/>
      </c>
      <c r="AB431">
        <f>IF(AA431=C431,1,0)</f>
        <v/>
      </c>
    </row>
    <row r="432">
      <c r="A432">
        <f>'1 datos preparados'!A425</f>
        <v/>
      </c>
      <c r="B432" s="5">
        <f>'1 datos preparados'!U425</f>
        <v/>
      </c>
      <c r="C432">
        <f>'1 datos preparados'!B425</f>
        <v/>
      </c>
      <c r="D432" s="7">
        <f>'1 datos preparados'!C425</f>
        <v/>
      </c>
      <c r="E432" s="7">
        <f>'1 datos preparados'!D425</f>
        <v/>
      </c>
      <c r="F432" s="7">
        <f>'1 datos preparados'!E425</f>
        <v/>
      </c>
      <c r="G432" s="7">
        <f>'1 datos preparados'!F425</f>
        <v/>
      </c>
      <c r="H432" s="7">
        <f>'1 datos preparados'!G425</f>
        <v/>
      </c>
      <c r="I432" s="7">
        <f>'1 datos preparados'!H425</f>
        <v/>
      </c>
      <c r="J432" s="7">
        <f>'1 datos preparados'!I425</f>
        <v/>
      </c>
      <c r="K432" s="7">
        <f>'1 datos preparados'!J425</f>
        <v/>
      </c>
      <c r="L432" s="7">
        <f>'1 datos preparados'!K425</f>
        <v/>
      </c>
      <c r="M432" s="7">
        <f>'1 datos preparados'!L425</f>
        <v/>
      </c>
      <c r="N432" s="7">
        <f>'1 datos preparados'!M425</f>
        <v/>
      </c>
      <c r="O432" s="7">
        <f>'1 datos preparados'!N425</f>
        <v/>
      </c>
      <c r="P432" s="7">
        <f>'1 datos preparados'!O425</f>
        <v/>
      </c>
      <c r="Q432" s="7">
        <f>'1 datos preparados'!P425</f>
        <v/>
      </c>
      <c r="R432" s="7">
        <f>'1 datos preparados'!Q425</f>
        <v/>
      </c>
      <c r="S432" s="7">
        <f>'1 datos preparados'!R425</f>
        <v/>
      </c>
      <c r="T432" s="7">
        <f>'1 datos preparados'!S425</f>
        <v/>
      </c>
      <c r="U432" s="7">
        <f>'1 datos preparados'!T425</f>
        <v/>
      </c>
      <c r="V432" s="8">
        <f>$AE$12+D432*$AE$13+E432*$AE$14+F432*$AE$15+G432*$AE$16+H432*$AE$17+I432*$AE$18+J432*$AE$19+K432*$AE$20+L432*$AE$21+M432*$AE$22+N432*$AE$23+O432*$AE$24+P432*$AE$25+Q432*$AE$26+R432*$AE$27+S432*$AE$28+T432*$AE$29+U432*$AE$30</f>
        <v/>
      </c>
      <c r="W432" s="8">
        <f>1/(1+EXP(-V432))</f>
        <v/>
      </c>
      <c r="X432" s="9">
        <f>-IF(C432=1,LN(W432),LN(1-W432))</f>
        <v/>
      </c>
      <c r="Y432" s="8">
        <f>1</f>
        <v/>
      </c>
      <c r="Z432" s="9">
        <f>Y432*X432</f>
        <v/>
      </c>
      <c r="AA432" s="10">
        <f>IF(W432&gt;$AE$32,1,0)</f>
        <v/>
      </c>
      <c r="AB432">
        <f>IF(AA432=C432,1,0)</f>
        <v/>
      </c>
    </row>
    <row r="433">
      <c r="A433">
        <f>'1 datos preparados'!A426</f>
        <v/>
      </c>
      <c r="B433" s="5">
        <f>'1 datos preparados'!U426</f>
        <v/>
      </c>
      <c r="C433">
        <f>'1 datos preparados'!B426</f>
        <v/>
      </c>
      <c r="D433" s="7">
        <f>'1 datos preparados'!C426</f>
        <v/>
      </c>
      <c r="E433" s="7">
        <f>'1 datos preparados'!D426</f>
        <v/>
      </c>
      <c r="F433" s="7">
        <f>'1 datos preparados'!E426</f>
        <v/>
      </c>
      <c r="G433" s="7">
        <f>'1 datos preparados'!F426</f>
        <v/>
      </c>
      <c r="H433" s="7">
        <f>'1 datos preparados'!G426</f>
        <v/>
      </c>
      <c r="I433" s="7">
        <f>'1 datos preparados'!H426</f>
        <v/>
      </c>
      <c r="J433" s="7">
        <f>'1 datos preparados'!I426</f>
        <v/>
      </c>
      <c r="K433" s="7">
        <f>'1 datos preparados'!J426</f>
        <v/>
      </c>
      <c r="L433" s="7">
        <f>'1 datos preparados'!K426</f>
        <v/>
      </c>
      <c r="M433" s="7">
        <f>'1 datos preparados'!L426</f>
        <v/>
      </c>
      <c r="N433" s="7">
        <f>'1 datos preparados'!M426</f>
        <v/>
      </c>
      <c r="O433" s="7">
        <f>'1 datos preparados'!N426</f>
        <v/>
      </c>
      <c r="P433" s="7">
        <f>'1 datos preparados'!O426</f>
        <v/>
      </c>
      <c r="Q433" s="7">
        <f>'1 datos preparados'!P426</f>
        <v/>
      </c>
      <c r="R433" s="7">
        <f>'1 datos preparados'!Q426</f>
        <v/>
      </c>
      <c r="S433" s="7">
        <f>'1 datos preparados'!R426</f>
        <v/>
      </c>
      <c r="T433" s="7">
        <f>'1 datos preparados'!S426</f>
        <v/>
      </c>
      <c r="U433" s="7">
        <f>'1 datos preparados'!T426</f>
        <v/>
      </c>
      <c r="V433" s="8">
        <f>$AE$12+D433*$AE$13+E433*$AE$14+F433*$AE$15+G433*$AE$16+H433*$AE$17+I433*$AE$18+J433*$AE$19+K433*$AE$20+L433*$AE$21+M433*$AE$22+N433*$AE$23+O433*$AE$24+P433*$AE$25+Q433*$AE$26+R433*$AE$27+S433*$AE$28+T433*$AE$29+U433*$AE$30</f>
        <v/>
      </c>
      <c r="W433" s="8">
        <f>1/(1+EXP(-V433))</f>
        <v/>
      </c>
      <c r="X433" s="9">
        <f>-IF(C433=1,LN(W433),LN(1-W433))</f>
        <v/>
      </c>
      <c r="Y433" s="8">
        <f>1</f>
        <v/>
      </c>
      <c r="Z433" s="9">
        <f>Y433*X433</f>
        <v/>
      </c>
      <c r="AA433" s="10">
        <f>IF(W433&gt;$AE$32,1,0)</f>
        <v/>
      </c>
      <c r="AB433">
        <f>IF(AA433=C433,1,0)</f>
        <v/>
      </c>
    </row>
    <row r="434">
      <c r="A434">
        <f>'1 datos preparados'!A427</f>
        <v/>
      </c>
      <c r="B434" s="5">
        <f>'1 datos preparados'!U427</f>
        <v/>
      </c>
      <c r="C434">
        <f>'1 datos preparados'!B427</f>
        <v/>
      </c>
      <c r="D434" s="7">
        <f>'1 datos preparados'!C427</f>
        <v/>
      </c>
      <c r="E434" s="7">
        <f>'1 datos preparados'!D427</f>
        <v/>
      </c>
      <c r="F434" s="7">
        <f>'1 datos preparados'!E427</f>
        <v/>
      </c>
      <c r="G434" s="7">
        <f>'1 datos preparados'!F427</f>
        <v/>
      </c>
      <c r="H434" s="7">
        <f>'1 datos preparados'!G427</f>
        <v/>
      </c>
      <c r="I434" s="7">
        <f>'1 datos preparados'!H427</f>
        <v/>
      </c>
      <c r="J434" s="7">
        <f>'1 datos preparados'!I427</f>
        <v/>
      </c>
      <c r="K434" s="7">
        <f>'1 datos preparados'!J427</f>
        <v/>
      </c>
      <c r="L434" s="7">
        <f>'1 datos preparados'!K427</f>
        <v/>
      </c>
      <c r="M434" s="7">
        <f>'1 datos preparados'!L427</f>
        <v/>
      </c>
      <c r="N434" s="7">
        <f>'1 datos preparados'!M427</f>
        <v/>
      </c>
      <c r="O434" s="7">
        <f>'1 datos preparados'!N427</f>
        <v/>
      </c>
      <c r="P434" s="7">
        <f>'1 datos preparados'!O427</f>
        <v/>
      </c>
      <c r="Q434" s="7">
        <f>'1 datos preparados'!P427</f>
        <v/>
      </c>
      <c r="R434" s="7">
        <f>'1 datos preparados'!Q427</f>
        <v/>
      </c>
      <c r="S434" s="7">
        <f>'1 datos preparados'!R427</f>
        <v/>
      </c>
      <c r="T434" s="7">
        <f>'1 datos preparados'!S427</f>
        <v/>
      </c>
      <c r="U434" s="7">
        <f>'1 datos preparados'!T427</f>
        <v/>
      </c>
      <c r="V434" s="8">
        <f>$AE$12+D434*$AE$13+E434*$AE$14+F434*$AE$15+G434*$AE$16+H434*$AE$17+I434*$AE$18+J434*$AE$19+K434*$AE$20+L434*$AE$21+M434*$AE$22+N434*$AE$23+O434*$AE$24+P434*$AE$25+Q434*$AE$26+R434*$AE$27+S434*$AE$28+T434*$AE$29+U434*$AE$30</f>
        <v/>
      </c>
      <c r="W434" s="8">
        <f>1/(1+EXP(-V434))</f>
        <v/>
      </c>
      <c r="X434" s="9">
        <f>-IF(C434=1,LN(W434),LN(1-W434))</f>
        <v/>
      </c>
      <c r="Y434" s="8">
        <f>1</f>
        <v/>
      </c>
      <c r="Z434" s="9">
        <f>Y434*X434</f>
        <v/>
      </c>
      <c r="AA434" s="10">
        <f>IF(W434&gt;$AE$32,1,0)</f>
        <v/>
      </c>
      <c r="AB434">
        <f>IF(AA434=C434,1,0)</f>
        <v/>
      </c>
    </row>
    <row r="435">
      <c r="A435">
        <f>'1 datos preparados'!A428</f>
        <v/>
      </c>
      <c r="B435" s="5">
        <f>'1 datos preparados'!U428</f>
        <v/>
      </c>
      <c r="C435">
        <f>'1 datos preparados'!B428</f>
        <v/>
      </c>
      <c r="D435" s="7">
        <f>'1 datos preparados'!C428</f>
        <v/>
      </c>
      <c r="E435" s="7">
        <f>'1 datos preparados'!D428</f>
        <v/>
      </c>
      <c r="F435" s="7">
        <f>'1 datos preparados'!E428</f>
        <v/>
      </c>
      <c r="G435" s="7">
        <f>'1 datos preparados'!F428</f>
        <v/>
      </c>
      <c r="H435" s="7">
        <f>'1 datos preparados'!G428</f>
        <v/>
      </c>
      <c r="I435" s="7">
        <f>'1 datos preparados'!H428</f>
        <v/>
      </c>
      <c r="J435" s="7">
        <f>'1 datos preparados'!I428</f>
        <v/>
      </c>
      <c r="K435" s="7">
        <f>'1 datos preparados'!J428</f>
        <v/>
      </c>
      <c r="L435" s="7">
        <f>'1 datos preparados'!K428</f>
        <v/>
      </c>
      <c r="M435" s="7">
        <f>'1 datos preparados'!L428</f>
        <v/>
      </c>
      <c r="N435" s="7">
        <f>'1 datos preparados'!M428</f>
        <v/>
      </c>
      <c r="O435" s="7">
        <f>'1 datos preparados'!N428</f>
        <v/>
      </c>
      <c r="P435" s="7">
        <f>'1 datos preparados'!O428</f>
        <v/>
      </c>
      <c r="Q435" s="7">
        <f>'1 datos preparados'!P428</f>
        <v/>
      </c>
      <c r="R435" s="7">
        <f>'1 datos preparados'!Q428</f>
        <v/>
      </c>
      <c r="S435" s="7">
        <f>'1 datos preparados'!R428</f>
        <v/>
      </c>
      <c r="T435" s="7">
        <f>'1 datos preparados'!S428</f>
        <v/>
      </c>
      <c r="U435" s="7">
        <f>'1 datos preparados'!T428</f>
        <v/>
      </c>
      <c r="V435" s="8">
        <f>$AE$12+D435*$AE$13+E435*$AE$14+F435*$AE$15+G435*$AE$16+H435*$AE$17+I435*$AE$18+J435*$AE$19+K435*$AE$20+L435*$AE$21+M435*$AE$22+N435*$AE$23+O435*$AE$24+P435*$AE$25+Q435*$AE$26+R435*$AE$27+S435*$AE$28+T435*$AE$29+U435*$AE$30</f>
        <v/>
      </c>
      <c r="W435" s="8">
        <f>1/(1+EXP(-V435))</f>
        <v/>
      </c>
      <c r="X435" s="9">
        <f>-IF(C435=1,LN(W435),LN(1-W435))</f>
        <v/>
      </c>
      <c r="Y435" s="8">
        <f>1</f>
        <v/>
      </c>
      <c r="Z435" s="9">
        <f>Y435*X435</f>
        <v/>
      </c>
      <c r="AA435" s="10">
        <f>IF(W435&gt;$AE$32,1,0)</f>
        <v/>
      </c>
      <c r="AB435">
        <f>IF(AA435=C435,1,0)</f>
        <v/>
      </c>
    </row>
    <row r="436">
      <c r="A436">
        <f>'1 datos preparados'!A429</f>
        <v/>
      </c>
      <c r="B436" s="5">
        <f>'1 datos preparados'!U429</f>
        <v/>
      </c>
      <c r="C436">
        <f>'1 datos preparados'!B429</f>
        <v/>
      </c>
      <c r="D436" s="7">
        <f>'1 datos preparados'!C429</f>
        <v/>
      </c>
      <c r="E436" s="7">
        <f>'1 datos preparados'!D429</f>
        <v/>
      </c>
      <c r="F436" s="7">
        <f>'1 datos preparados'!E429</f>
        <v/>
      </c>
      <c r="G436" s="7">
        <f>'1 datos preparados'!F429</f>
        <v/>
      </c>
      <c r="H436" s="7">
        <f>'1 datos preparados'!G429</f>
        <v/>
      </c>
      <c r="I436" s="7">
        <f>'1 datos preparados'!H429</f>
        <v/>
      </c>
      <c r="J436" s="7">
        <f>'1 datos preparados'!I429</f>
        <v/>
      </c>
      <c r="K436" s="7">
        <f>'1 datos preparados'!J429</f>
        <v/>
      </c>
      <c r="L436" s="7">
        <f>'1 datos preparados'!K429</f>
        <v/>
      </c>
      <c r="M436" s="7">
        <f>'1 datos preparados'!L429</f>
        <v/>
      </c>
      <c r="N436" s="7">
        <f>'1 datos preparados'!M429</f>
        <v/>
      </c>
      <c r="O436" s="7">
        <f>'1 datos preparados'!N429</f>
        <v/>
      </c>
      <c r="P436" s="7">
        <f>'1 datos preparados'!O429</f>
        <v/>
      </c>
      <c r="Q436" s="7">
        <f>'1 datos preparados'!P429</f>
        <v/>
      </c>
      <c r="R436" s="7">
        <f>'1 datos preparados'!Q429</f>
        <v/>
      </c>
      <c r="S436" s="7">
        <f>'1 datos preparados'!R429</f>
        <v/>
      </c>
      <c r="T436" s="7">
        <f>'1 datos preparados'!S429</f>
        <v/>
      </c>
      <c r="U436" s="7">
        <f>'1 datos preparados'!T429</f>
        <v/>
      </c>
      <c r="V436" s="8">
        <f>$AE$12+D436*$AE$13+E436*$AE$14+F436*$AE$15+G436*$AE$16+H436*$AE$17+I436*$AE$18+J436*$AE$19+K436*$AE$20+L436*$AE$21+M436*$AE$22+N436*$AE$23+O436*$AE$24+P436*$AE$25+Q436*$AE$26+R436*$AE$27+S436*$AE$28+T436*$AE$29+U436*$AE$30</f>
        <v/>
      </c>
      <c r="W436" s="8">
        <f>1/(1+EXP(-V436))</f>
        <v/>
      </c>
      <c r="X436" s="9">
        <f>-IF(C436=1,LN(W436),LN(1-W436))</f>
        <v/>
      </c>
      <c r="Y436" s="8">
        <f>1</f>
        <v/>
      </c>
      <c r="Z436" s="9">
        <f>Y436*X436</f>
        <v/>
      </c>
      <c r="AA436" s="10">
        <f>IF(W436&gt;$AE$32,1,0)</f>
        <v/>
      </c>
      <c r="AB436">
        <f>IF(AA436=C436,1,0)</f>
        <v/>
      </c>
    </row>
    <row r="437">
      <c r="A437">
        <f>'1 datos preparados'!A430</f>
        <v/>
      </c>
      <c r="B437" s="5">
        <f>'1 datos preparados'!U430</f>
        <v/>
      </c>
      <c r="C437">
        <f>'1 datos preparados'!B430</f>
        <v/>
      </c>
      <c r="D437" s="7">
        <f>'1 datos preparados'!C430</f>
        <v/>
      </c>
      <c r="E437" s="7">
        <f>'1 datos preparados'!D430</f>
        <v/>
      </c>
      <c r="F437" s="7">
        <f>'1 datos preparados'!E430</f>
        <v/>
      </c>
      <c r="G437" s="7">
        <f>'1 datos preparados'!F430</f>
        <v/>
      </c>
      <c r="H437" s="7">
        <f>'1 datos preparados'!G430</f>
        <v/>
      </c>
      <c r="I437" s="7">
        <f>'1 datos preparados'!H430</f>
        <v/>
      </c>
      <c r="J437" s="7">
        <f>'1 datos preparados'!I430</f>
        <v/>
      </c>
      <c r="K437" s="7">
        <f>'1 datos preparados'!J430</f>
        <v/>
      </c>
      <c r="L437" s="7">
        <f>'1 datos preparados'!K430</f>
        <v/>
      </c>
      <c r="M437" s="7">
        <f>'1 datos preparados'!L430</f>
        <v/>
      </c>
      <c r="N437" s="7">
        <f>'1 datos preparados'!M430</f>
        <v/>
      </c>
      <c r="O437" s="7">
        <f>'1 datos preparados'!N430</f>
        <v/>
      </c>
      <c r="P437" s="7">
        <f>'1 datos preparados'!O430</f>
        <v/>
      </c>
      <c r="Q437" s="7">
        <f>'1 datos preparados'!P430</f>
        <v/>
      </c>
      <c r="R437" s="7">
        <f>'1 datos preparados'!Q430</f>
        <v/>
      </c>
      <c r="S437" s="7">
        <f>'1 datos preparados'!R430</f>
        <v/>
      </c>
      <c r="T437" s="7">
        <f>'1 datos preparados'!S430</f>
        <v/>
      </c>
      <c r="U437" s="7">
        <f>'1 datos preparados'!T430</f>
        <v/>
      </c>
      <c r="V437" s="8">
        <f>$AE$12+D437*$AE$13+E437*$AE$14+F437*$AE$15+G437*$AE$16+H437*$AE$17+I437*$AE$18+J437*$AE$19+K437*$AE$20+L437*$AE$21+M437*$AE$22+N437*$AE$23+O437*$AE$24+P437*$AE$25+Q437*$AE$26+R437*$AE$27+S437*$AE$28+T437*$AE$29+U437*$AE$30</f>
        <v/>
      </c>
      <c r="W437" s="8">
        <f>1/(1+EXP(-V437))</f>
        <v/>
      </c>
      <c r="X437" s="9">
        <f>-IF(C437=1,LN(W437),LN(1-W437))</f>
        <v/>
      </c>
      <c r="Y437" s="8">
        <f>1</f>
        <v/>
      </c>
      <c r="Z437" s="9">
        <f>Y437*X437</f>
        <v/>
      </c>
      <c r="AA437" s="10">
        <f>IF(W437&gt;$AE$32,1,0)</f>
        <v/>
      </c>
      <c r="AB437">
        <f>IF(AA437=C437,1,0)</f>
        <v/>
      </c>
    </row>
    <row r="438">
      <c r="A438">
        <f>'1 datos preparados'!A431</f>
        <v/>
      </c>
      <c r="B438" s="5">
        <f>'1 datos preparados'!U431</f>
        <v/>
      </c>
      <c r="C438">
        <f>'1 datos preparados'!B431</f>
        <v/>
      </c>
      <c r="D438" s="7">
        <f>'1 datos preparados'!C431</f>
        <v/>
      </c>
      <c r="E438" s="7">
        <f>'1 datos preparados'!D431</f>
        <v/>
      </c>
      <c r="F438" s="7">
        <f>'1 datos preparados'!E431</f>
        <v/>
      </c>
      <c r="G438" s="7">
        <f>'1 datos preparados'!F431</f>
        <v/>
      </c>
      <c r="H438" s="7">
        <f>'1 datos preparados'!G431</f>
        <v/>
      </c>
      <c r="I438" s="7">
        <f>'1 datos preparados'!H431</f>
        <v/>
      </c>
      <c r="J438" s="7">
        <f>'1 datos preparados'!I431</f>
        <v/>
      </c>
      <c r="K438" s="7">
        <f>'1 datos preparados'!J431</f>
        <v/>
      </c>
      <c r="L438" s="7">
        <f>'1 datos preparados'!K431</f>
        <v/>
      </c>
      <c r="M438" s="7">
        <f>'1 datos preparados'!L431</f>
        <v/>
      </c>
      <c r="N438" s="7">
        <f>'1 datos preparados'!M431</f>
        <v/>
      </c>
      <c r="O438" s="7">
        <f>'1 datos preparados'!N431</f>
        <v/>
      </c>
      <c r="P438" s="7">
        <f>'1 datos preparados'!O431</f>
        <v/>
      </c>
      <c r="Q438" s="7">
        <f>'1 datos preparados'!P431</f>
        <v/>
      </c>
      <c r="R438" s="7">
        <f>'1 datos preparados'!Q431</f>
        <v/>
      </c>
      <c r="S438" s="7">
        <f>'1 datos preparados'!R431</f>
        <v/>
      </c>
      <c r="T438" s="7">
        <f>'1 datos preparados'!S431</f>
        <v/>
      </c>
      <c r="U438" s="7">
        <f>'1 datos preparados'!T431</f>
        <v/>
      </c>
      <c r="V438" s="8">
        <f>$AE$12+D438*$AE$13+E438*$AE$14+F438*$AE$15+G438*$AE$16+H438*$AE$17+I438*$AE$18+J438*$AE$19+K438*$AE$20+L438*$AE$21+M438*$AE$22+N438*$AE$23+O438*$AE$24+P438*$AE$25+Q438*$AE$26+R438*$AE$27+S438*$AE$28+T438*$AE$29+U438*$AE$30</f>
        <v/>
      </c>
      <c r="W438" s="8">
        <f>1/(1+EXP(-V438))</f>
        <v/>
      </c>
      <c r="X438" s="9">
        <f>-IF(C438=1,LN(W438),LN(1-W438))</f>
        <v/>
      </c>
      <c r="Y438" s="8">
        <f>1</f>
        <v/>
      </c>
      <c r="Z438" s="9">
        <f>Y438*X438</f>
        <v/>
      </c>
      <c r="AA438" s="10">
        <f>IF(W438&gt;$AE$32,1,0)</f>
        <v/>
      </c>
      <c r="AB438">
        <f>IF(AA438=C438,1,0)</f>
        <v/>
      </c>
    </row>
    <row r="439">
      <c r="A439">
        <f>'1 datos preparados'!A432</f>
        <v/>
      </c>
      <c r="B439" s="5">
        <f>'1 datos preparados'!U432</f>
        <v/>
      </c>
      <c r="C439">
        <f>'1 datos preparados'!B432</f>
        <v/>
      </c>
      <c r="D439" s="7">
        <f>'1 datos preparados'!C432</f>
        <v/>
      </c>
      <c r="E439" s="7">
        <f>'1 datos preparados'!D432</f>
        <v/>
      </c>
      <c r="F439" s="7">
        <f>'1 datos preparados'!E432</f>
        <v/>
      </c>
      <c r="G439" s="7">
        <f>'1 datos preparados'!F432</f>
        <v/>
      </c>
      <c r="H439" s="7">
        <f>'1 datos preparados'!G432</f>
        <v/>
      </c>
      <c r="I439" s="7">
        <f>'1 datos preparados'!H432</f>
        <v/>
      </c>
      <c r="J439" s="7">
        <f>'1 datos preparados'!I432</f>
        <v/>
      </c>
      <c r="K439" s="7">
        <f>'1 datos preparados'!J432</f>
        <v/>
      </c>
      <c r="L439" s="7">
        <f>'1 datos preparados'!K432</f>
        <v/>
      </c>
      <c r="M439" s="7">
        <f>'1 datos preparados'!L432</f>
        <v/>
      </c>
      <c r="N439" s="7">
        <f>'1 datos preparados'!M432</f>
        <v/>
      </c>
      <c r="O439" s="7">
        <f>'1 datos preparados'!N432</f>
        <v/>
      </c>
      <c r="P439" s="7">
        <f>'1 datos preparados'!O432</f>
        <v/>
      </c>
      <c r="Q439" s="7">
        <f>'1 datos preparados'!P432</f>
        <v/>
      </c>
      <c r="R439" s="7">
        <f>'1 datos preparados'!Q432</f>
        <v/>
      </c>
      <c r="S439" s="7">
        <f>'1 datos preparados'!R432</f>
        <v/>
      </c>
      <c r="T439" s="7">
        <f>'1 datos preparados'!S432</f>
        <v/>
      </c>
      <c r="U439" s="7">
        <f>'1 datos preparados'!T432</f>
        <v/>
      </c>
      <c r="V439" s="8">
        <f>$AE$12+D439*$AE$13+E439*$AE$14+F439*$AE$15+G439*$AE$16+H439*$AE$17+I439*$AE$18+J439*$AE$19+K439*$AE$20+L439*$AE$21+M439*$AE$22+N439*$AE$23+O439*$AE$24+P439*$AE$25+Q439*$AE$26+R439*$AE$27+S439*$AE$28+T439*$AE$29+U439*$AE$30</f>
        <v/>
      </c>
      <c r="W439" s="8">
        <f>1/(1+EXP(-V439))</f>
        <v/>
      </c>
      <c r="X439" s="9">
        <f>-IF(C439=1,LN(W439),LN(1-W439))</f>
        <v/>
      </c>
      <c r="Y439" s="8">
        <f>1</f>
        <v/>
      </c>
      <c r="Z439" s="9">
        <f>Y439*X439</f>
        <v/>
      </c>
      <c r="AA439" s="10">
        <f>IF(W439&gt;$AE$32,1,0)</f>
        <v/>
      </c>
      <c r="AB439">
        <f>IF(AA439=C439,1,0)</f>
        <v/>
      </c>
    </row>
    <row r="440">
      <c r="A440">
        <f>'1 datos preparados'!A433</f>
        <v/>
      </c>
      <c r="B440" s="5">
        <f>'1 datos preparados'!U433</f>
        <v/>
      </c>
      <c r="C440">
        <f>'1 datos preparados'!B433</f>
        <v/>
      </c>
      <c r="D440" s="7">
        <f>'1 datos preparados'!C433</f>
        <v/>
      </c>
      <c r="E440" s="7">
        <f>'1 datos preparados'!D433</f>
        <v/>
      </c>
      <c r="F440" s="7">
        <f>'1 datos preparados'!E433</f>
        <v/>
      </c>
      <c r="G440" s="7">
        <f>'1 datos preparados'!F433</f>
        <v/>
      </c>
      <c r="H440" s="7">
        <f>'1 datos preparados'!G433</f>
        <v/>
      </c>
      <c r="I440" s="7">
        <f>'1 datos preparados'!H433</f>
        <v/>
      </c>
      <c r="J440" s="7">
        <f>'1 datos preparados'!I433</f>
        <v/>
      </c>
      <c r="K440" s="7">
        <f>'1 datos preparados'!J433</f>
        <v/>
      </c>
      <c r="L440" s="7">
        <f>'1 datos preparados'!K433</f>
        <v/>
      </c>
      <c r="M440" s="7">
        <f>'1 datos preparados'!L433</f>
        <v/>
      </c>
      <c r="N440" s="7">
        <f>'1 datos preparados'!M433</f>
        <v/>
      </c>
      <c r="O440" s="7">
        <f>'1 datos preparados'!N433</f>
        <v/>
      </c>
      <c r="P440" s="7">
        <f>'1 datos preparados'!O433</f>
        <v/>
      </c>
      <c r="Q440" s="7">
        <f>'1 datos preparados'!P433</f>
        <v/>
      </c>
      <c r="R440" s="7">
        <f>'1 datos preparados'!Q433</f>
        <v/>
      </c>
      <c r="S440" s="7">
        <f>'1 datos preparados'!R433</f>
        <v/>
      </c>
      <c r="T440" s="7">
        <f>'1 datos preparados'!S433</f>
        <v/>
      </c>
      <c r="U440" s="7">
        <f>'1 datos preparados'!T433</f>
        <v/>
      </c>
      <c r="V440" s="8">
        <f>$AE$12+D440*$AE$13+E440*$AE$14+F440*$AE$15+G440*$AE$16+H440*$AE$17+I440*$AE$18+J440*$AE$19+K440*$AE$20+L440*$AE$21+M440*$AE$22+N440*$AE$23+O440*$AE$24+P440*$AE$25+Q440*$AE$26+R440*$AE$27+S440*$AE$28+T440*$AE$29+U440*$AE$30</f>
        <v/>
      </c>
      <c r="W440" s="8">
        <f>1/(1+EXP(-V440))</f>
        <v/>
      </c>
      <c r="X440" s="9">
        <f>-IF(C440=1,LN(W440),LN(1-W440))</f>
        <v/>
      </c>
      <c r="Y440" s="8">
        <f>1</f>
        <v/>
      </c>
      <c r="Z440" s="9">
        <f>Y440*X440</f>
        <v/>
      </c>
      <c r="AA440" s="10">
        <f>IF(W440&gt;$AE$32,1,0)</f>
        <v/>
      </c>
      <c r="AB440">
        <f>IF(AA440=C440,1,0)</f>
        <v/>
      </c>
    </row>
    <row r="441">
      <c r="A441">
        <f>'1 datos preparados'!A434</f>
        <v/>
      </c>
      <c r="B441" s="5">
        <f>'1 datos preparados'!U434</f>
        <v/>
      </c>
      <c r="C441">
        <f>'1 datos preparados'!B434</f>
        <v/>
      </c>
      <c r="D441" s="7">
        <f>'1 datos preparados'!C434</f>
        <v/>
      </c>
      <c r="E441" s="7">
        <f>'1 datos preparados'!D434</f>
        <v/>
      </c>
      <c r="F441" s="7">
        <f>'1 datos preparados'!E434</f>
        <v/>
      </c>
      <c r="G441" s="7">
        <f>'1 datos preparados'!F434</f>
        <v/>
      </c>
      <c r="H441" s="7">
        <f>'1 datos preparados'!G434</f>
        <v/>
      </c>
      <c r="I441" s="7">
        <f>'1 datos preparados'!H434</f>
        <v/>
      </c>
      <c r="J441" s="7">
        <f>'1 datos preparados'!I434</f>
        <v/>
      </c>
      <c r="K441" s="7">
        <f>'1 datos preparados'!J434</f>
        <v/>
      </c>
      <c r="L441" s="7">
        <f>'1 datos preparados'!K434</f>
        <v/>
      </c>
      <c r="M441" s="7">
        <f>'1 datos preparados'!L434</f>
        <v/>
      </c>
      <c r="N441" s="7">
        <f>'1 datos preparados'!M434</f>
        <v/>
      </c>
      <c r="O441" s="7">
        <f>'1 datos preparados'!N434</f>
        <v/>
      </c>
      <c r="P441" s="7">
        <f>'1 datos preparados'!O434</f>
        <v/>
      </c>
      <c r="Q441" s="7">
        <f>'1 datos preparados'!P434</f>
        <v/>
      </c>
      <c r="R441" s="7">
        <f>'1 datos preparados'!Q434</f>
        <v/>
      </c>
      <c r="S441" s="7">
        <f>'1 datos preparados'!R434</f>
        <v/>
      </c>
      <c r="T441" s="7">
        <f>'1 datos preparados'!S434</f>
        <v/>
      </c>
      <c r="U441" s="7">
        <f>'1 datos preparados'!T434</f>
        <v/>
      </c>
      <c r="V441" s="8">
        <f>$AE$12+D441*$AE$13+E441*$AE$14+F441*$AE$15+G441*$AE$16+H441*$AE$17+I441*$AE$18+J441*$AE$19+K441*$AE$20+L441*$AE$21+M441*$AE$22+N441*$AE$23+O441*$AE$24+P441*$AE$25+Q441*$AE$26+R441*$AE$27+S441*$AE$28+T441*$AE$29+U441*$AE$30</f>
        <v/>
      </c>
      <c r="W441" s="8">
        <f>1/(1+EXP(-V441))</f>
        <v/>
      </c>
      <c r="X441" s="9">
        <f>-IF(C441=1,LN(W441),LN(1-W441))</f>
        <v/>
      </c>
      <c r="Y441" s="8">
        <f>1</f>
        <v/>
      </c>
      <c r="Z441" s="9">
        <f>Y441*X441</f>
        <v/>
      </c>
      <c r="AA441" s="10">
        <f>IF(W441&gt;$AE$32,1,0)</f>
        <v/>
      </c>
      <c r="AB441">
        <f>IF(AA441=C441,1,0)</f>
        <v/>
      </c>
    </row>
    <row r="442">
      <c r="A442">
        <f>'1 datos preparados'!A435</f>
        <v/>
      </c>
      <c r="B442" s="5">
        <f>'1 datos preparados'!U435</f>
        <v/>
      </c>
      <c r="C442">
        <f>'1 datos preparados'!B435</f>
        <v/>
      </c>
      <c r="D442" s="7">
        <f>'1 datos preparados'!C435</f>
        <v/>
      </c>
      <c r="E442" s="7">
        <f>'1 datos preparados'!D435</f>
        <v/>
      </c>
      <c r="F442" s="7">
        <f>'1 datos preparados'!E435</f>
        <v/>
      </c>
      <c r="G442" s="7">
        <f>'1 datos preparados'!F435</f>
        <v/>
      </c>
      <c r="H442" s="7">
        <f>'1 datos preparados'!G435</f>
        <v/>
      </c>
      <c r="I442" s="7">
        <f>'1 datos preparados'!H435</f>
        <v/>
      </c>
      <c r="J442" s="7">
        <f>'1 datos preparados'!I435</f>
        <v/>
      </c>
      <c r="K442" s="7">
        <f>'1 datos preparados'!J435</f>
        <v/>
      </c>
      <c r="L442" s="7">
        <f>'1 datos preparados'!K435</f>
        <v/>
      </c>
      <c r="M442" s="7">
        <f>'1 datos preparados'!L435</f>
        <v/>
      </c>
      <c r="N442" s="7">
        <f>'1 datos preparados'!M435</f>
        <v/>
      </c>
      <c r="O442" s="7">
        <f>'1 datos preparados'!N435</f>
        <v/>
      </c>
      <c r="P442" s="7">
        <f>'1 datos preparados'!O435</f>
        <v/>
      </c>
      <c r="Q442" s="7">
        <f>'1 datos preparados'!P435</f>
        <v/>
      </c>
      <c r="R442" s="7">
        <f>'1 datos preparados'!Q435</f>
        <v/>
      </c>
      <c r="S442" s="7">
        <f>'1 datos preparados'!R435</f>
        <v/>
      </c>
      <c r="T442" s="7">
        <f>'1 datos preparados'!S435</f>
        <v/>
      </c>
      <c r="U442" s="7">
        <f>'1 datos preparados'!T435</f>
        <v/>
      </c>
      <c r="V442" s="8">
        <f>$AE$12+D442*$AE$13+E442*$AE$14+F442*$AE$15+G442*$AE$16+H442*$AE$17+I442*$AE$18+J442*$AE$19+K442*$AE$20+L442*$AE$21+M442*$AE$22+N442*$AE$23+O442*$AE$24+P442*$AE$25+Q442*$AE$26+R442*$AE$27+S442*$AE$28+T442*$AE$29+U442*$AE$30</f>
        <v/>
      </c>
      <c r="W442" s="8">
        <f>1/(1+EXP(-V442))</f>
        <v/>
      </c>
      <c r="X442" s="9">
        <f>-IF(C442=1,LN(W442),LN(1-W442))</f>
        <v/>
      </c>
      <c r="Y442" s="8">
        <f>1</f>
        <v/>
      </c>
      <c r="Z442" s="9">
        <f>Y442*X442</f>
        <v/>
      </c>
      <c r="AA442" s="10">
        <f>IF(W442&gt;$AE$32,1,0)</f>
        <v/>
      </c>
      <c r="AB442">
        <f>IF(AA442=C442,1,0)</f>
        <v/>
      </c>
    </row>
    <row r="443">
      <c r="A443">
        <f>'1 datos preparados'!A436</f>
        <v/>
      </c>
      <c r="B443" s="5">
        <f>'1 datos preparados'!U436</f>
        <v/>
      </c>
      <c r="C443">
        <f>'1 datos preparados'!B436</f>
        <v/>
      </c>
      <c r="D443" s="7">
        <f>'1 datos preparados'!C436</f>
        <v/>
      </c>
      <c r="E443" s="7">
        <f>'1 datos preparados'!D436</f>
        <v/>
      </c>
      <c r="F443" s="7">
        <f>'1 datos preparados'!E436</f>
        <v/>
      </c>
      <c r="G443" s="7">
        <f>'1 datos preparados'!F436</f>
        <v/>
      </c>
      <c r="H443" s="7">
        <f>'1 datos preparados'!G436</f>
        <v/>
      </c>
      <c r="I443" s="7">
        <f>'1 datos preparados'!H436</f>
        <v/>
      </c>
      <c r="J443" s="7">
        <f>'1 datos preparados'!I436</f>
        <v/>
      </c>
      <c r="K443" s="7">
        <f>'1 datos preparados'!J436</f>
        <v/>
      </c>
      <c r="L443" s="7">
        <f>'1 datos preparados'!K436</f>
        <v/>
      </c>
      <c r="M443" s="7">
        <f>'1 datos preparados'!L436</f>
        <v/>
      </c>
      <c r="N443" s="7">
        <f>'1 datos preparados'!M436</f>
        <v/>
      </c>
      <c r="O443" s="7">
        <f>'1 datos preparados'!N436</f>
        <v/>
      </c>
      <c r="P443" s="7">
        <f>'1 datos preparados'!O436</f>
        <v/>
      </c>
      <c r="Q443" s="7">
        <f>'1 datos preparados'!P436</f>
        <v/>
      </c>
      <c r="R443" s="7">
        <f>'1 datos preparados'!Q436</f>
        <v/>
      </c>
      <c r="S443" s="7">
        <f>'1 datos preparados'!R436</f>
        <v/>
      </c>
      <c r="T443" s="7">
        <f>'1 datos preparados'!S436</f>
        <v/>
      </c>
      <c r="U443" s="7">
        <f>'1 datos preparados'!T436</f>
        <v/>
      </c>
      <c r="V443" s="8">
        <f>$AE$12+D443*$AE$13+E443*$AE$14+F443*$AE$15+G443*$AE$16+H443*$AE$17+I443*$AE$18+J443*$AE$19+K443*$AE$20+L443*$AE$21+M443*$AE$22+N443*$AE$23+O443*$AE$24+P443*$AE$25+Q443*$AE$26+R443*$AE$27+S443*$AE$28+T443*$AE$29+U443*$AE$30</f>
        <v/>
      </c>
      <c r="W443" s="8">
        <f>1/(1+EXP(-V443))</f>
        <v/>
      </c>
      <c r="X443" s="9">
        <f>-IF(C443=1,LN(W443),LN(1-W443))</f>
        <v/>
      </c>
      <c r="Y443" s="8">
        <f>1</f>
        <v/>
      </c>
      <c r="Z443" s="9">
        <f>Y443*X443</f>
        <v/>
      </c>
      <c r="AA443" s="10">
        <f>IF(W443&gt;$AE$32,1,0)</f>
        <v/>
      </c>
      <c r="AB443">
        <f>IF(AA443=C443,1,0)</f>
        <v/>
      </c>
    </row>
    <row r="444">
      <c r="A444">
        <f>'1 datos preparados'!A437</f>
        <v/>
      </c>
      <c r="B444" s="5">
        <f>'1 datos preparados'!U437</f>
        <v/>
      </c>
      <c r="C444">
        <f>'1 datos preparados'!B437</f>
        <v/>
      </c>
      <c r="D444" s="7">
        <f>'1 datos preparados'!C437</f>
        <v/>
      </c>
      <c r="E444" s="7">
        <f>'1 datos preparados'!D437</f>
        <v/>
      </c>
      <c r="F444" s="7">
        <f>'1 datos preparados'!E437</f>
        <v/>
      </c>
      <c r="G444" s="7">
        <f>'1 datos preparados'!F437</f>
        <v/>
      </c>
      <c r="H444" s="7">
        <f>'1 datos preparados'!G437</f>
        <v/>
      </c>
      <c r="I444" s="7">
        <f>'1 datos preparados'!H437</f>
        <v/>
      </c>
      <c r="J444" s="7">
        <f>'1 datos preparados'!I437</f>
        <v/>
      </c>
      <c r="K444" s="7">
        <f>'1 datos preparados'!J437</f>
        <v/>
      </c>
      <c r="L444" s="7">
        <f>'1 datos preparados'!K437</f>
        <v/>
      </c>
      <c r="M444" s="7">
        <f>'1 datos preparados'!L437</f>
        <v/>
      </c>
      <c r="N444" s="7">
        <f>'1 datos preparados'!M437</f>
        <v/>
      </c>
      <c r="O444" s="7">
        <f>'1 datos preparados'!N437</f>
        <v/>
      </c>
      <c r="P444" s="7">
        <f>'1 datos preparados'!O437</f>
        <v/>
      </c>
      <c r="Q444" s="7">
        <f>'1 datos preparados'!P437</f>
        <v/>
      </c>
      <c r="R444" s="7">
        <f>'1 datos preparados'!Q437</f>
        <v/>
      </c>
      <c r="S444" s="7">
        <f>'1 datos preparados'!R437</f>
        <v/>
      </c>
      <c r="T444" s="7">
        <f>'1 datos preparados'!S437</f>
        <v/>
      </c>
      <c r="U444" s="7">
        <f>'1 datos preparados'!T437</f>
        <v/>
      </c>
      <c r="V444" s="8">
        <f>$AE$12+D444*$AE$13+E444*$AE$14+F444*$AE$15+G444*$AE$16+H444*$AE$17+I444*$AE$18+J444*$AE$19+K444*$AE$20+L444*$AE$21+M444*$AE$22+N444*$AE$23+O444*$AE$24+P444*$AE$25+Q444*$AE$26+R444*$AE$27+S444*$AE$28+T444*$AE$29+U444*$AE$30</f>
        <v/>
      </c>
      <c r="W444" s="8">
        <f>1/(1+EXP(-V444))</f>
        <v/>
      </c>
      <c r="X444" s="9">
        <f>-IF(C444=1,LN(W444),LN(1-W444))</f>
        <v/>
      </c>
      <c r="Y444" s="8">
        <f>1</f>
        <v/>
      </c>
      <c r="Z444" s="9">
        <f>Y444*X444</f>
        <v/>
      </c>
      <c r="AA444" s="10">
        <f>IF(W444&gt;$AE$32,1,0)</f>
        <v/>
      </c>
      <c r="AB444">
        <f>IF(AA444=C444,1,0)</f>
        <v/>
      </c>
    </row>
    <row r="445">
      <c r="A445">
        <f>'1 datos preparados'!A438</f>
        <v/>
      </c>
      <c r="B445" s="5">
        <f>'1 datos preparados'!U438</f>
        <v/>
      </c>
      <c r="C445">
        <f>'1 datos preparados'!B438</f>
        <v/>
      </c>
      <c r="D445" s="7">
        <f>'1 datos preparados'!C438</f>
        <v/>
      </c>
      <c r="E445" s="7">
        <f>'1 datos preparados'!D438</f>
        <v/>
      </c>
      <c r="F445" s="7">
        <f>'1 datos preparados'!E438</f>
        <v/>
      </c>
      <c r="G445" s="7">
        <f>'1 datos preparados'!F438</f>
        <v/>
      </c>
      <c r="H445" s="7">
        <f>'1 datos preparados'!G438</f>
        <v/>
      </c>
      <c r="I445" s="7">
        <f>'1 datos preparados'!H438</f>
        <v/>
      </c>
      <c r="J445" s="7">
        <f>'1 datos preparados'!I438</f>
        <v/>
      </c>
      <c r="K445" s="7">
        <f>'1 datos preparados'!J438</f>
        <v/>
      </c>
      <c r="L445" s="7">
        <f>'1 datos preparados'!K438</f>
        <v/>
      </c>
      <c r="M445" s="7">
        <f>'1 datos preparados'!L438</f>
        <v/>
      </c>
      <c r="N445" s="7">
        <f>'1 datos preparados'!M438</f>
        <v/>
      </c>
      <c r="O445" s="7">
        <f>'1 datos preparados'!N438</f>
        <v/>
      </c>
      <c r="P445" s="7">
        <f>'1 datos preparados'!O438</f>
        <v/>
      </c>
      <c r="Q445" s="7">
        <f>'1 datos preparados'!P438</f>
        <v/>
      </c>
      <c r="R445" s="7">
        <f>'1 datos preparados'!Q438</f>
        <v/>
      </c>
      <c r="S445" s="7">
        <f>'1 datos preparados'!R438</f>
        <v/>
      </c>
      <c r="T445" s="7">
        <f>'1 datos preparados'!S438</f>
        <v/>
      </c>
      <c r="U445" s="7">
        <f>'1 datos preparados'!T438</f>
        <v/>
      </c>
      <c r="V445" s="8">
        <f>$AE$12+D445*$AE$13+E445*$AE$14+F445*$AE$15+G445*$AE$16+H445*$AE$17+I445*$AE$18+J445*$AE$19+K445*$AE$20+L445*$AE$21+M445*$AE$22+N445*$AE$23+O445*$AE$24+P445*$AE$25+Q445*$AE$26+R445*$AE$27+S445*$AE$28+T445*$AE$29+U445*$AE$30</f>
        <v/>
      </c>
      <c r="W445" s="8">
        <f>1/(1+EXP(-V445))</f>
        <v/>
      </c>
      <c r="X445" s="9">
        <f>-IF(C445=1,LN(W445),LN(1-W445))</f>
        <v/>
      </c>
      <c r="Y445" s="8">
        <f>1</f>
        <v/>
      </c>
      <c r="Z445" s="9">
        <f>Y445*X445</f>
        <v/>
      </c>
      <c r="AA445" s="10">
        <f>IF(W445&gt;$AE$32,1,0)</f>
        <v/>
      </c>
      <c r="AB445">
        <f>IF(AA445=C445,1,0)</f>
        <v/>
      </c>
    </row>
    <row r="446">
      <c r="A446">
        <f>'1 datos preparados'!A439</f>
        <v/>
      </c>
      <c r="B446" s="5">
        <f>'1 datos preparados'!U439</f>
        <v/>
      </c>
      <c r="C446">
        <f>'1 datos preparados'!B439</f>
        <v/>
      </c>
      <c r="D446" s="7">
        <f>'1 datos preparados'!C439</f>
        <v/>
      </c>
      <c r="E446" s="7">
        <f>'1 datos preparados'!D439</f>
        <v/>
      </c>
      <c r="F446" s="7">
        <f>'1 datos preparados'!E439</f>
        <v/>
      </c>
      <c r="G446" s="7">
        <f>'1 datos preparados'!F439</f>
        <v/>
      </c>
      <c r="H446" s="7">
        <f>'1 datos preparados'!G439</f>
        <v/>
      </c>
      <c r="I446" s="7">
        <f>'1 datos preparados'!H439</f>
        <v/>
      </c>
      <c r="J446" s="7">
        <f>'1 datos preparados'!I439</f>
        <v/>
      </c>
      <c r="K446" s="7">
        <f>'1 datos preparados'!J439</f>
        <v/>
      </c>
      <c r="L446" s="7">
        <f>'1 datos preparados'!K439</f>
        <v/>
      </c>
      <c r="M446" s="7">
        <f>'1 datos preparados'!L439</f>
        <v/>
      </c>
      <c r="N446" s="7">
        <f>'1 datos preparados'!M439</f>
        <v/>
      </c>
      <c r="O446" s="7">
        <f>'1 datos preparados'!N439</f>
        <v/>
      </c>
      <c r="P446" s="7">
        <f>'1 datos preparados'!O439</f>
        <v/>
      </c>
      <c r="Q446" s="7">
        <f>'1 datos preparados'!P439</f>
        <v/>
      </c>
      <c r="R446" s="7">
        <f>'1 datos preparados'!Q439</f>
        <v/>
      </c>
      <c r="S446" s="7">
        <f>'1 datos preparados'!R439</f>
        <v/>
      </c>
      <c r="T446" s="7">
        <f>'1 datos preparados'!S439</f>
        <v/>
      </c>
      <c r="U446" s="7">
        <f>'1 datos preparados'!T439</f>
        <v/>
      </c>
      <c r="V446" s="8">
        <f>$AE$12+D446*$AE$13+E446*$AE$14+F446*$AE$15+G446*$AE$16+H446*$AE$17+I446*$AE$18+J446*$AE$19+K446*$AE$20+L446*$AE$21+M446*$AE$22+N446*$AE$23+O446*$AE$24+P446*$AE$25+Q446*$AE$26+R446*$AE$27+S446*$AE$28+T446*$AE$29+U446*$AE$30</f>
        <v/>
      </c>
      <c r="W446" s="8">
        <f>1/(1+EXP(-V446))</f>
        <v/>
      </c>
      <c r="X446" s="9">
        <f>-IF(C446=1,LN(W446),LN(1-W446))</f>
        <v/>
      </c>
      <c r="Y446" s="8">
        <f>1</f>
        <v/>
      </c>
      <c r="Z446" s="9">
        <f>Y446*X446</f>
        <v/>
      </c>
      <c r="AA446" s="10">
        <f>IF(W446&gt;$AE$32,1,0)</f>
        <v/>
      </c>
      <c r="AB446">
        <f>IF(AA446=C446,1,0)</f>
        <v/>
      </c>
    </row>
    <row r="447">
      <c r="A447">
        <f>'1 datos preparados'!A440</f>
        <v/>
      </c>
      <c r="B447" s="5">
        <f>'1 datos preparados'!U440</f>
        <v/>
      </c>
      <c r="C447">
        <f>'1 datos preparados'!B440</f>
        <v/>
      </c>
      <c r="D447" s="7">
        <f>'1 datos preparados'!C440</f>
        <v/>
      </c>
      <c r="E447" s="7">
        <f>'1 datos preparados'!D440</f>
        <v/>
      </c>
      <c r="F447" s="7">
        <f>'1 datos preparados'!E440</f>
        <v/>
      </c>
      <c r="G447" s="7">
        <f>'1 datos preparados'!F440</f>
        <v/>
      </c>
      <c r="H447" s="7">
        <f>'1 datos preparados'!G440</f>
        <v/>
      </c>
      <c r="I447" s="7">
        <f>'1 datos preparados'!H440</f>
        <v/>
      </c>
      <c r="J447" s="7">
        <f>'1 datos preparados'!I440</f>
        <v/>
      </c>
      <c r="K447" s="7">
        <f>'1 datos preparados'!J440</f>
        <v/>
      </c>
      <c r="L447" s="7">
        <f>'1 datos preparados'!K440</f>
        <v/>
      </c>
      <c r="M447" s="7">
        <f>'1 datos preparados'!L440</f>
        <v/>
      </c>
      <c r="N447" s="7">
        <f>'1 datos preparados'!M440</f>
        <v/>
      </c>
      <c r="O447" s="7">
        <f>'1 datos preparados'!N440</f>
        <v/>
      </c>
      <c r="P447" s="7">
        <f>'1 datos preparados'!O440</f>
        <v/>
      </c>
      <c r="Q447" s="7">
        <f>'1 datos preparados'!P440</f>
        <v/>
      </c>
      <c r="R447" s="7">
        <f>'1 datos preparados'!Q440</f>
        <v/>
      </c>
      <c r="S447" s="7">
        <f>'1 datos preparados'!R440</f>
        <v/>
      </c>
      <c r="T447" s="7">
        <f>'1 datos preparados'!S440</f>
        <v/>
      </c>
      <c r="U447" s="7">
        <f>'1 datos preparados'!T440</f>
        <v/>
      </c>
      <c r="V447" s="8">
        <f>$AE$12+D447*$AE$13+E447*$AE$14+F447*$AE$15+G447*$AE$16+H447*$AE$17+I447*$AE$18+J447*$AE$19+K447*$AE$20+L447*$AE$21+M447*$AE$22+N447*$AE$23+O447*$AE$24+P447*$AE$25+Q447*$AE$26+R447*$AE$27+S447*$AE$28+T447*$AE$29+U447*$AE$30</f>
        <v/>
      </c>
      <c r="W447" s="8">
        <f>1/(1+EXP(-V447))</f>
        <v/>
      </c>
      <c r="X447" s="9">
        <f>-IF(C447=1,LN(W447),LN(1-W447))</f>
        <v/>
      </c>
      <c r="Y447" s="8">
        <f>1</f>
        <v/>
      </c>
      <c r="Z447" s="9">
        <f>Y447*X447</f>
        <v/>
      </c>
      <c r="AA447" s="10">
        <f>IF(W447&gt;$AE$32,1,0)</f>
        <v/>
      </c>
      <c r="AB447">
        <f>IF(AA447=C447,1,0)</f>
        <v/>
      </c>
    </row>
    <row r="448">
      <c r="A448">
        <f>'1 datos preparados'!A441</f>
        <v/>
      </c>
      <c r="B448" s="5">
        <f>'1 datos preparados'!U441</f>
        <v/>
      </c>
      <c r="C448">
        <f>'1 datos preparados'!B441</f>
        <v/>
      </c>
      <c r="D448" s="7">
        <f>'1 datos preparados'!C441</f>
        <v/>
      </c>
      <c r="E448" s="7">
        <f>'1 datos preparados'!D441</f>
        <v/>
      </c>
      <c r="F448" s="7">
        <f>'1 datos preparados'!E441</f>
        <v/>
      </c>
      <c r="G448" s="7">
        <f>'1 datos preparados'!F441</f>
        <v/>
      </c>
      <c r="H448" s="7">
        <f>'1 datos preparados'!G441</f>
        <v/>
      </c>
      <c r="I448" s="7">
        <f>'1 datos preparados'!H441</f>
        <v/>
      </c>
      <c r="J448" s="7">
        <f>'1 datos preparados'!I441</f>
        <v/>
      </c>
      <c r="K448" s="7">
        <f>'1 datos preparados'!J441</f>
        <v/>
      </c>
      <c r="L448" s="7">
        <f>'1 datos preparados'!K441</f>
        <v/>
      </c>
      <c r="M448" s="7">
        <f>'1 datos preparados'!L441</f>
        <v/>
      </c>
      <c r="N448" s="7">
        <f>'1 datos preparados'!M441</f>
        <v/>
      </c>
      <c r="O448" s="7">
        <f>'1 datos preparados'!N441</f>
        <v/>
      </c>
      <c r="P448" s="7">
        <f>'1 datos preparados'!O441</f>
        <v/>
      </c>
      <c r="Q448" s="7">
        <f>'1 datos preparados'!P441</f>
        <v/>
      </c>
      <c r="R448" s="7">
        <f>'1 datos preparados'!Q441</f>
        <v/>
      </c>
      <c r="S448" s="7">
        <f>'1 datos preparados'!R441</f>
        <v/>
      </c>
      <c r="T448" s="7">
        <f>'1 datos preparados'!S441</f>
        <v/>
      </c>
      <c r="U448" s="7">
        <f>'1 datos preparados'!T441</f>
        <v/>
      </c>
      <c r="V448" s="8">
        <f>$AE$12+D448*$AE$13+E448*$AE$14+F448*$AE$15+G448*$AE$16+H448*$AE$17+I448*$AE$18+J448*$AE$19+K448*$AE$20+L448*$AE$21+M448*$AE$22+N448*$AE$23+O448*$AE$24+P448*$AE$25+Q448*$AE$26+R448*$AE$27+S448*$AE$28+T448*$AE$29+U448*$AE$30</f>
        <v/>
      </c>
      <c r="W448" s="8">
        <f>1/(1+EXP(-V448))</f>
        <v/>
      </c>
      <c r="X448" s="9">
        <f>-IF(C448=1,LN(W448),LN(1-W448))</f>
        <v/>
      </c>
      <c r="Y448" s="8">
        <f>1</f>
        <v/>
      </c>
      <c r="Z448" s="9">
        <f>Y448*X448</f>
        <v/>
      </c>
      <c r="AA448" s="10">
        <f>IF(W448&gt;$AE$32,1,0)</f>
        <v/>
      </c>
      <c r="AB448">
        <f>IF(AA448=C448,1,0)</f>
        <v/>
      </c>
    </row>
    <row r="449">
      <c r="A449">
        <f>'1 datos preparados'!A442</f>
        <v/>
      </c>
      <c r="B449" s="5">
        <f>'1 datos preparados'!U442</f>
        <v/>
      </c>
      <c r="C449">
        <f>'1 datos preparados'!B442</f>
        <v/>
      </c>
      <c r="D449" s="7">
        <f>'1 datos preparados'!C442</f>
        <v/>
      </c>
      <c r="E449" s="7">
        <f>'1 datos preparados'!D442</f>
        <v/>
      </c>
      <c r="F449" s="7">
        <f>'1 datos preparados'!E442</f>
        <v/>
      </c>
      <c r="G449" s="7">
        <f>'1 datos preparados'!F442</f>
        <v/>
      </c>
      <c r="H449" s="7">
        <f>'1 datos preparados'!G442</f>
        <v/>
      </c>
      <c r="I449" s="7">
        <f>'1 datos preparados'!H442</f>
        <v/>
      </c>
      <c r="J449" s="7">
        <f>'1 datos preparados'!I442</f>
        <v/>
      </c>
      <c r="K449" s="7">
        <f>'1 datos preparados'!J442</f>
        <v/>
      </c>
      <c r="L449" s="7">
        <f>'1 datos preparados'!K442</f>
        <v/>
      </c>
      <c r="M449" s="7">
        <f>'1 datos preparados'!L442</f>
        <v/>
      </c>
      <c r="N449" s="7">
        <f>'1 datos preparados'!M442</f>
        <v/>
      </c>
      <c r="O449" s="7">
        <f>'1 datos preparados'!N442</f>
        <v/>
      </c>
      <c r="P449" s="7">
        <f>'1 datos preparados'!O442</f>
        <v/>
      </c>
      <c r="Q449" s="7">
        <f>'1 datos preparados'!P442</f>
        <v/>
      </c>
      <c r="R449" s="7">
        <f>'1 datos preparados'!Q442</f>
        <v/>
      </c>
      <c r="S449" s="7">
        <f>'1 datos preparados'!R442</f>
        <v/>
      </c>
      <c r="T449" s="7">
        <f>'1 datos preparados'!S442</f>
        <v/>
      </c>
      <c r="U449" s="7">
        <f>'1 datos preparados'!T442</f>
        <v/>
      </c>
      <c r="V449" s="8">
        <f>$AE$12+D449*$AE$13+E449*$AE$14+F449*$AE$15+G449*$AE$16+H449*$AE$17+I449*$AE$18+J449*$AE$19+K449*$AE$20+L449*$AE$21+M449*$AE$22+N449*$AE$23+O449*$AE$24+P449*$AE$25+Q449*$AE$26+R449*$AE$27+S449*$AE$28+T449*$AE$29+U449*$AE$30</f>
        <v/>
      </c>
      <c r="W449" s="8">
        <f>1/(1+EXP(-V449))</f>
        <v/>
      </c>
      <c r="X449" s="9">
        <f>-IF(C449=1,LN(W449),LN(1-W449))</f>
        <v/>
      </c>
      <c r="Y449" s="8">
        <f>1</f>
        <v/>
      </c>
      <c r="Z449" s="9">
        <f>Y449*X449</f>
        <v/>
      </c>
      <c r="AA449" s="10">
        <f>IF(W449&gt;$AE$32,1,0)</f>
        <v/>
      </c>
      <c r="AB449">
        <f>IF(AA449=C449,1,0)</f>
        <v/>
      </c>
    </row>
    <row r="450">
      <c r="A450">
        <f>'1 datos preparados'!A443</f>
        <v/>
      </c>
      <c r="B450" s="5">
        <f>'1 datos preparados'!U443</f>
        <v/>
      </c>
      <c r="C450">
        <f>'1 datos preparados'!B443</f>
        <v/>
      </c>
      <c r="D450" s="7">
        <f>'1 datos preparados'!C443</f>
        <v/>
      </c>
      <c r="E450" s="7">
        <f>'1 datos preparados'!D443</f>
        <v/>
      </c>
      <c r="F450" s="7">
        <f>'1 datos preparados'!E443</f>
        <v/>
      </c>
      <c r="G450" s="7">
        <f>'1 datos preparados'!F443</f>
        <v/>
      </c>
      <c r="H450" s="7">
        <f>'1 datos preparados'!G443</f>
        <v/>
      </c>
      <c r="I450" s="7">
        <f>'1 datos preparados'!H443</f>
        <v/>
      </c>
      <c r="J450" s="7">
        <f>'1 datos preparados'!I443</f>
        <v/>
      </c>
      <c r="K450" s="7">
        <f>'1 datos preparados'!J443</f>
        <v/>
      </c>
      <c r="L450" s="7">
        <f>'1 datos preparados'!K443</f>
        <v/>
      </c>
      <c r="M450" s="7">
        <f>'1 datos preparados'!L443</f>
        <v/>
      </c>
      <c r="N450" s="7">
        <f>'1 datos preparados'!M443</f>
        <v/>
      </c>
      <c r="O450" s="7">
        <f>'1 datos preparados'!N443</f>
        <v/>
      </c>
      <c r="P450" s="7">
        <f>'1 datos preparados'!O443</f>
        <v/>
      </c>
      <c r="Q450" s="7">
        <f>'1 datos preparados'!P443</f>
        <v/>
      </c>
      <c r="R450" s="7">
        <f>'1 datos preparados'!Q443</f>
        <v/>
      </c>
      <c r="S450" s="7">
        <f>'1 datos preparados'!R443</f>
        <v/>
      </c>
      <c r="T450" s="7">
        <f>'1 datos preparados'!S443</f>
        <v/>
      </c>
      <c r="U450" s="7">
        <f>'1 datos preparados'!T443</f>
        <v/>
      </c>
      <c r="V450" s="8">
        <f>$AE$12+D450*$AE$13+E450*$AE$14+F450*$AE$15+G450*$AE$16+H450*$AE$17+I450*$AE$18+J450*$AE$19+K450*$AE$20+L450*$AE$21+M450*$AE$22+N450*$AE$23+O450*$AE$24+P450*$AE$25+Q450*$AE$26+R450*$AE$27+S450*$AE$28+T450*$AE$29+U450*$AE$30</f>
        <v/>
      </c>
      <c r="W450" s="8">
        <f>1/(1+EXP(-V450))</f>
        <v/>
      </c>
      <c r="X450" s="9">
        <f>-IF(C450=1,LN(W450),LN(1-W450))</f>
        <v/>
      </c>
      <c r="Y450" s="8">
        <f>1</f>
        <v/>
      </c>
      <c r="Z450" s="9">
        <f>Y450*X450</f>
        <v/>
      </c>
      <c r="AA450" s="10">
        <f>IF(W450&gt;$AE$32,1,0)</f>
        <v/>
      </c>
      <c r="AB450">
        <f>IF(AA450=C450,1,0)</f>
        <v/>
      </c>
    </row>
    <row r="451">
      <c r="A451">
        <f>'1 datos preparados'!A444</f>
        <v/>
      </c>
      <c r="B451" s="5">
        <f>'1 datos preparados'!U444</f>
        <v/>
      </c>
      <c r="C451">
        <f>'1 datos preparados'!B444</f>
        <v/>
      </c>
      <c r="D451" s="7">
        <f>'1 datos preparados'!C444</f>
        <v/>
      </c>
      <c r="E451" s="7">
        <f>'1 datos preparados'!D444</f>
        <v/>
      </c>
      <c r="F451" s="7">
        <f>'1 datos preparados'!E444</f>
        <v/>
      </c>
      <c r="G451" s="7">
        <f>'1 datos preparados'!F444</f>
        <v/>
      </c>
      <c r="H451" s="7">
        <f>'1 datos preparados'!G444</f>
        <v/>
      </c>
      <c r="I451" s="7">
        <f>'1 datos preparados'!H444</f>
        <v/>
      </c>
      <c r="J451" s="7">
        <f>'1 datos preparados'!I444</f>
        <v/>
      </c>
      <c r="K451" s="7">
        <f>'1 datos preparados'!J444</f>
        <v/>
      </c>
      <c r="L451" s="7">
        <f>'1 datos preparados'!K444</f>
        <v/>
      </c>
      <c r="M451" s="7">
        <f>'1 datos preparados'!L444</f>
        <v/>
      </c>
      <c r="N451" s="7">
        <f>'1 datos preparados'!M444</f>
        <v/>
      </c>
      <c r="O451" s="7">
        <f>'1 datos preparados'!N444</f>
        <v/>
      </c>
      <c r="P451" s="7">
        <f>'1 datos preparados'!O444</f>
        <v/>
      </c>
      <c r="Q451" s="7">
        <f>'1 datos preparados'!P444</f>
        <v/>
      </c>
      <c r="R451" s="7">
        <f>'1 datos preparados'!Q444</f>
        <v/>
      </c>
      <c r="S451" s="7">
        <f>'1 datos preparados'!R444</f>
        <v/>
      </c>
      <c r="T451" s="7">
        <f>'1 datos preparados'!S444</f>
        <v/>
      </c>
      <c r="U451" s="7">
        <f>'1 datos preparados'!T444</f>
        <v/>
      </c>
      <c r="V451" s="8">
        <f>$AE$12+D451*$AE$13+E451*$AE$14+F451*$AE$15+G451*$AE$16+H451*$AE$17+I451*$AE$18+J451*$AE$19+K451*$AE$20+L451*$AE$21+M451*$AE$22+N451*$AE$23+O451*$AE$24+P451*$AE$25+Q451*$AE$26+R451*$AE$27+S451*$AE$28+T451*$AE$29+U451*$AE$30</f>
        <v/>
      </c>
      <c r="W451" s="8">
        <f>1/(1+EXP(-V451))</f>
        <v/>
      </c>
      <c r="X451" s="9">
        <f>-IF(C451=1,LN(W451),LN(1-W451))</f>
        <v/>
      </c>
      <c r="Y451" s="8">
        <f>1</f>
        <v/>
      </c>
      <c r="Z451" s="9">
        <f>Y451*X451</f>
        <v/>
      </c>
      <c r="AA451" s="10">
        <f>IF(W451&gt;$AE$32,1,0)</f>
        <v/>
      </c>
      <c r="AB451">
        <f>IF(AA451=C451,1,0)</f>
        <v/>
      </c>
    </row>
    <row r="452">
      <c r="A452">
        <f>'1 datos preparados'!A445</f>
        <v/>
      </c>
      <c r="B452" s="5">
        <f>'1 datos preparados'!U445</f>
        <v/>
      </c>
      <c r="C452">
        <f>'1 datos preparados'!B445</f>
        <v/>
      </c>
      <c r="D452" s="7">
        <f>'1 datos preparados'!C445</f>
        <v/>
      </c>
      <c r="E452" s="7">
        <f>'1 datos preparados'!D445</f>
        <v/>
      </c>
      <c r="F452" s="7">
        <f>'1 datos preparados'!E445</f>
        <v/>
      </c>
      <c r="G452" s="7">
        <f>'1 datos preparados'!F445</f>
        <v/>
      </c>
      <c r="H452" s="7">
        <f>'1 datos preparados'!G445</f>
        <v/>
      </c>
      <c r="I452" s="7">
        <f>'1 datos preparados'!H445</f>
        <v/>
      </c>
      <c r="J452" s="7">
        <f>'1 datos preparados'!I445</f>
        <v/>
      </c>
      <c r="K452" s="7">
        <f>'1 datos preparados'!J445</f>
        <v/>
      </c>
      <c r="L452" s="7">
        <f>'1 datos preparados'!K445</f>
        <v/>
      </c>
      <c r="M452" s="7">
        <f>'1 datos preparados'!L445</f>
        <v/>
      </c>
      <c r="N452" s="7">
        <f>'1 datos preparados'!M445</f>
        <v/>
      </c>
      <c r="O452" s="7">
        <f>'1 datos preparados'!N445</f>
        <v/>
      </c>
      <c r="P452" s="7">
        <f>'1 datos preparados'!O445</f>
        <v/>
      </c>
      <c r="Q452" s="7">
        <f>'1 datos preparados'!P445</f>
        <v/>
      </c>
      <c r="R452" s="7">
        <f>'1 datos preparados'!Q445</f>
        <v/>
      </c>
      <c r="S452" s="7">
        <f>'1 datos preparados'!R445</f>
        <v/>
      </c>
      <c r="T452" s="7">
        <f>'1 datos preparados'!S445</f>
        <v/>
      </c>
      <c r="U452" s="7">
        <f>'1 datos preparados'!T445</f>
        <v/>
      </c>
      <c r="V452" s="8">
        <f>$AE$12+D452*$AE$13+E452*$AE$14+F452*$AE$15+G452*$AE$16+H452*$AE$17+I452*$AE$18+J452*$AE$19+K452*$AE$20+L452*$AE$21+M452*$AE$22+N452*$AE$23+O452*$AE$24+P452*$AE$25+Q452*$AE$26+R452*$AE$27+S452*$AE$28+T452*$AE$29+U452*$AE$30</f>
        <v/>
      </c>
      <c r="W452" s="8">
        <f>1/(1+EXP(-V452))</f>
        <v/>
      </c>
      <c r="X452" s="9">
        <f>-IF(C452=1,LN(W452),LN(1-W452))</f>
        <v/>
      </c>
      <c r="Y452" s="8">
        <f>1</f>
        <v/>
      </c>
      <c r="Z452" s="9">
        <f>Y452*X452</f>
        <v/>
      </c>
      <c r="AA452" s="10">
        <f>IF(W452&gt;$AE$32,1,0)</f>
        <v/>
      </c>
      <c r="AB452">
        <f>IF(AA452=C452,1,0)</f>
        <v/>
      </c>
    </row>
    <row r="453">
      <c r="A453">
        <f>'1 datos preparados'!A446</f>
        <v/>
      </c>
      <c r="B453" s="5">
        <f>'1 datos preparados'!U446</f>
        <v/>
      </c>
      <c r="C453">
        <f>'1 datos preparados'!B446</f>
        <v/>
      </c>
      <c r="D453" s="7">
        <f>'1 datos preparados'!C446</f>
        <v/>
      </c>
      <c r="E453" s="7">
        <f>'1 datos preparados'!D446</f>
        <v/>
      </c>
      <c r="F453" s="7">
        <f>'1 datos preparados'!E446</f>
        <v/>
      </c>
      <c r="G453" s="7">
        <f>'1 datos preparados'!F446</f>
        <v/>
      </c>
      <c r="H453" s="7">
        <f>'1 datos preparados'!G446</f>
        <v/>
      </c>
      <c r="I453" s="7">
        <f>'1 datos preparados'!H446</f>
        <v/>
      </c>
      <c r="J453" s="7">
        <f>'1 datos preparados'!I446</f>
        <v/>
      </c>
      <c r="K453" s="7">
        <f>'1 datos preparados'!J446</f>
        <v/>
      </c>
      <c r="L453" s="7">
        <f>'1 datos preparados'!K446</f>
        <v/>
      </c>
      <c r="M453" s="7">
        <f>'1 datos preparados'!L446</f>
        <v/>
      </c>
      <c r="N453" s="7">
        <f>'1 datos preparados'!M446</f>
        <v/>
      </c>
      <c r="O453" s="7">
        <f>'1 datos preparados'!N446</f>
        <v/>
      </c>
      <c r="P453" s="7">
        <f>'1 datos preparados'!O446</f>
        <v/>
      </c>
      <c r="Q453" s="7">
        <f>'1 datos preparados'!P446</f>
        <v/>
      </c>
      <c r="R453" s="7">
        <f>'1 datos preparados'!Q446</f>
        <v/>
      </c>
      <c r="S453" s="7">
        <f>'1 datos preparados'!R446</f>
        <v/>
      </c>
      <c r="T453" s="7">
        <f>'1 datos preparados'!S446</f>
        <v/>
      </c>
      <c r="U453" s="7">
        <f>'1 datos preparados'!T446</f>
        <v/>
      </c>
      <c r="V453" s="8">
        <f>$AE$12+D453*$AE$13+E453*$AE$14+F453*$AE$15+G453*$AE$16+H453*$AE$17+I453*$AE$18+J453*$AE$19+K453*$AE$20+L453*$AE$21+M453*$AE$22+N453*$AE$23+O453*$AE$24+P453*$AE$25+Q453*$AE$26+R453*$AE$27+S453*$AE$28+T453*$AE$29+U453*$AE$30</f>
        <v/>
      </c>
      <c r="W453" s="8">
        <f>1/(1+EXP(-V453))</f>
        <v/>
      </c>
      <c r="X453" s="9">
        <f>-IF(C453=1,LN(W453),LN(1-W453))</f>
        <v/>
      </c>
      <c r="Y453" s="8">
        <f>1</f>
        <v/>
      </c>
      <c r="Z453" s="9">
        <f>Y453*X453</f>
        <v/>
      </c>
      <c r="AA453" s="10">
        <f>IF(W453&gt;$AE$32,1,0)</f>
        <v/>
      </c>
      <c r="AB453">
        <f>IF(AA453=C453,1,0)</f>
        <v/>
      </c>
    </row>
    <row r="454">
      <c r="A454">
        <f>'1 datos preparados'!A447</f>
        <v/>
      </c>
      <c r="B454" s="5">
        <f>'1 datos preparados'!U447</f>
        <v/>
      </c>
      <c r="C454">
        <f>'1 datos preparados'!B447</f>
        <v/>
      </c>
      <c r="D454" s="7">
        <f>'1 datos preparados'!C447</f>
        <v/>
      </c>
      <c r="E454" s="7">
        <f>'1 datos preparados'!D447</f>
        <v/>
      </c>
      <c r="F454" s="7">
        <f>'1 datos preparados'!E447</f>
        <v/>
      </c>
      <c r="G454" s="7">
        <f>'1 datos preparados'!F447</f>
        <v/>
      </c>
      <c r="H454" s="7">
        <f>'1 datos preparados'!G447</f>
        <v/>
      </c>
      <c r="I454" s="7">
        <f>'1 datos preparados'!H447</f>
        <v/>
      </c>
      <c r="J454" s="7">
        <f>'1 datos preparados'!I447</f>
        <v/>
      </c>
      <c r="K454" s="7">
        <f>'1 datos preparados'!J447</f>
        <v/>
      </c>
      <c r="L454" s="7">
        <f>'1 datos preparados'!K447</f>
        <v/>
      </c>
      <c r="M454" s="7">
        <f>'1 datos preparados'!L447</f>
        <v/>
      </c>
      <c r="N454" s="7">
        <f>'1 datos preparados'!M447</f>
        <v/>
      </c>
      <c r="O454" s="7">
        <f>'1 datos preparados'!N447</f>
        <v/>
      </c>
      <c r="P454" s="7">
        <f>'1 datos preparados'!O447</f>
        <v/>
      </c>
      <c r="Q454" s="7">
        <f>'1 datos preparados'!P447</f>
        <v/>
      </c>
      <c r="R454" s="7">
        <f>'1 datos preparados'!Q447</f>
        <v/>
      </c>
      <c r="S454" s="7">
        <f>'1 datos preparados'!R447</f>
        <v/>
      </c>
      <c r="T454" s="7">
        <f>'1 datos preparados'!S447</f>
        <v/>
      </c>
      <c r="U454" s="7">
        <f>'1 datos preparados'!T447</f>
        <v/>
      </c>
      <c r="V454" s="8">
        <f>$AE$12+D454*$AE$13+E454*$AE$14+F454*$AE$15+G454*$AE$16+H454*$AE$17+I454*$AE$18+J454*$AE$19+K454*$AE$20+L454*$AE$21+M454*$AE$22+N454*$AE$23+O454*$AE$24+P454*$AE$25+Q454*$AE$26+R454*$AE$27+S454*$AE$28+T454*$AE$29+U454*$AE$30</f>
        <v/>
      </c>
      <c r="W454" s="8">
        <f>1/(1+EXP(-V454))</f>
        <v/>
      </c>
      <c r="X454" s="9">
        <f>-IF(C454=1,LN(W454),LN(1-W454))</f>
        <v/>
      </c>
      <c r="Y454" s="8">
        <f>1</f>
        <v/>
      </c>
      <c r="Z454" s="9">
        <f>Y454*X454</f>
        <v/>
      </c>
      <c r="AA454" s="10">
        <f>IF(W454&gt;$AE$32,1,0)</f>
        <v/>
      </c>
      <c r="AB454">
        <f>IF(AA454=C454,1,0)</f>
        <v/>
      </c>
    </row>
    <row r="455">
      <c r="A455">
        <f>'1 datos preparados'!A448</f>
        <v/>
      </c>
      <c r="B455" s="5">
        <f>'1 datos preparados'!U448</f>
        <v/>
      </c>
      <c r="C455">
        <f>'1 datos preparados'!B448</f>
        <v/>
      </c>
      <c r="D455" s="7">
        <f>'1 datos preparados'!C448</f>
        <v/>
      </c>
      <c r="E455" s="7">
        <f>'1 datos preparados'!D448</f>
        <v/>
      </c>
      <c r="F455" s="7">
        <f>'1 datos preparados'!E448</f>
        <v/>
      </c>
      <c r="G455" s="7">
        <f>'1 datos preparados'!F448</f>
        <v/>
      </c>
      <c r="H455" s="7">
        <f>'1 datos preparados'!G448</f>
        <v/>
      </c>
      <c r="I455" s="7">
        <f>'1 datos preparados'!H448</f>
        <v/>
      </c>
      <c r="J455" s="7">
        <f>'1 datos preparados'!I448</f>
        <v/>
      </c>
      <c r="K455" s="7">
        <f>'1 datos preparados'!J448</f>
        <v/>
      </c>
      <c r="L455" s="7">
        <f>'1 datos preparados'!K448</f>
        <v/>
      </c>
      <c r="M455" s="7">
        <f>'1 datos preparados'!L448</f>
        <v/>
      </c>
      <c r="N455" s="7">
        <f>'1 datos preparados'!M448</f>
        <v/>
      </c>
      <c r="O455" s="7">
        <f>'1 datos preparados'!N448</f>
        <v/>
      </c>
      <c r="P455" s="7">
        <f>'1 datos preparados'!O448</f>
        <v/>
      </c>
      <c r="Q455" s="7">
        <f>'1 datos preparados'!P448</f>
        <v/>
      </c>
      <c r="R455" s="7">
        <f>'1 datos preparados'!Q448</f>
        <v/>
      </c>
      <c r="S455" s="7">
        <f>'1 datos preparados'!R448</f>
        <v/>
      </c>
      <c r="T455" s="7">
        <f>'1 datos preparados'!S448</f>
        <v/>
      </c>
      <c r="U455" s="7">
        <f>'1 datos preparados'!T448</f>
        <v/>
      </c>
      <c r="V455" s="8">
        <f>$AE$12+D455*$AE$13+E455*$AE$14+F455*$AE$15+G455*$AE$16+H455*$AE$17+I455*$AE$18+J455*$AE$19+K455*$AE$20+L455*$AE$21+M455*$AE$22+N455*$AE$23+O455*$AE$24+P455*$AE$25+Q455*$AE$26+R455*$AE$27+S455*$AE$28+T455*$AE$29+U455*$AE$30</f>
        <v/>
      </c>
      <c r="W455" s="8">
        <f>1/(1+EXP(-V455))</f>
        <v/>
      </c>
      <c r="X455" s="9">
        <f>-IF(C455=1,LN(W455),LN(1-W455))</f>
        <v/>
      </c>
      <c r="Y455" s="8">
        <f>1</f>
        <v/>
      </c>
      <c r="Z455" s="9">
        <f>Y455*X455</f>
        <v/>
      </c>
      <c r="AA455" s="10">
        <f>IF(W455&gt;$AE$32,1,0)</f>
        <v/>
      </c>
      <c r="AB455">
        <f>IF(AA455=C455,1,0)</f>
        <v/>
      </c>
    </row>
    <row r="456">
      <c r="A456">
        <f>'1 datos preparados'!A449</f>
        <v/>
      </c>
      <c r="B456" s="5">
        <f>'1 datos preparados'!U449</f>
        <v/>
      </c>
      <c r="C456">
        <f>'1 datos preparados'!B449</f>
        <v/>
      </c>
      <c r="D456" s="7">
        <f>'1 datos preparados'!C449</f>
        <v/>
      </c>
      <c r="E456" s="7">
        <f>'1 datos preparados'!D449</f>
        <v/>
      </c>
      <c r="F456" s="7">
        <f>'1 datos preparados'!E449</f>
        <v/>
      </c>
      <c r="G456" s="7">
        <f>'1 datos preparados'!F449</f>
        <v/>
      </c>
      <c r="H456" s="7">
        <f>'1 datos preparados'!G449</f>
        <v/>
      </c>
      <c r="I456" s="7">
        <f>'1 datos preparados'!H449</f>
        <v/>
      </c>
      <c r="J456" s="7">
        <f>'1 datos preparados'!I449</f>
        <v/>
      </c>
      <c r="K456" s="7">
        <f>'1 datos preparados'!J449</f>
        <v/>
      </c>
      <c r="L456" s="7">
        <f>'1 datos preparados'!K449</f>
        <v/>
      </c>
      <c r="M456" s="7">
        <f>'1 datos preparados'!L449</f>
        <v/>
      </c>
      <c r="N456" s="7">
        <f>'1 datos preparados'!M449</f>
        <v/>
      </c>
      <c r="O456" s="7">
        <f>'1 datos preparados'!N449</f>
        <v/>
      </c>
      <c r="P456" s="7">
        <f>'1 datos preparados'!O449</f>
        <v/>
      </c>
      <c r="Q456" s="7">
        <f>'1 datos preparados'!P449</f>
        <v/>
      </c>
      <c r="R456" s="7">
        <f>'1 datos preparados'!Q449</f>
        <v/>
      </c>
      <c r="S456" s="7">
        <f>'1 datos preparados'!R449</f>
        <v/>
      </c>
      <c r="T456" s="7">
        <f>'1 datos preparados'!S449</f>
        <v/>
      </c>
      <c r="U456" s="7">
        <f>'1 datos preparados'!T449</f>
        <v/>
      </c>
      <c r="V456" s="8">
        <f>$AE$12+D456*$AE$13+E456*$AE$14+F456*$AE$15+G456*$AE$16+H456*$AE$17+I456*$AE$18+J456*$AE$19+K456*$AE$20+L456*$AE$21+M456*$AE$22+N456*$AE$23+O456*$AE$24+P456*$AE$25+Q456*$AE$26+R456*$AE$27+S456*$AE$28+T456*$AE$29+U456*$AE$30</f>
        <v/>
      </c>
      <c r="W456" s="8">
        <f>1/(1+EXP(-V456))</f>
        <v/>
      </c>
      <c r="X456" s="9">
        <f>-IF(C456=1,LN(W456),LN(1-W456))</f>
        <v/>
      </c>
      <c r="Y456" s="8">
        <f>1</f>
        <v/>
      </c>
      <c r="Z456" s="9">
        <f>Y456*X456</f>
        <v/>
      </c>
      <c r="AA456" s="10">
        <f>IF(W456&gt;$AE$32,1,0)</f>
        <v/>
      </c>
      <c r="AB456">
        <f>IF(AA456=C456,1,0)</f>
        <v/>
      </c>
    </row>
    <row r="457">
      <c r="A457">
        <f>'1 datos preparados'!A450</f>
        <v/>
      </c>
      <c r="B457" s="5">
        <f>'1 datos preparados'!U450</f>
        <v/>
      </c>
      <c r="C457">
        <f>'1 datos preparados'!B450</f>
        <v/>
      </c>
      <c r="D457" s="7">
        <f>'1 datos preparados'!C450</f>
        <v/>
      </c>
      <c r="E457" s="7">
        <f>'1 datos preparados'!D450</f>
        <v/>
      </c>
      <c r="F457" s="7">
        <f>'1 datos preparados'!E450</f>
        <v/>
      </c>
      <c r="G457" s="7">
        <f>'1 datos preparados'!F450</f>
        <v/>
      </c>
      <c r="H457" s="7">
        <f>'1 datos preparados'!G450</f>
        <v/>
      </c>
      <c r="I457" s="7">
        <f>'1 datos preparados'!H450</f>
        <v/>
      </c>
      <c r="J457" s="7">
        <f>'1 datos preparados'!I450</f>
        <v/>
      </c>
      <c r="K457" s="7">
        <f>'1 datos preparados'!J450</f>
        <v/>
      </c>
      <c r="L457" s="7">
        <f>'1 datos preparados'!K450</f>
        <v/>
      </c>
      <c r="M457" s="7">
        <f>'1 datos preparados'!L450</f>
        <v/>
      </c>
      <c r="N457" s="7">
        <f>'1 datos preparados'!M450</f>
        <v/>
      </c>
      <c r="O457" s="7">
        <f>'1 datos preparados'!N450</f>
        <v/>
      </c>
      <c r="P457" s="7">
        <f>'1 datos preparados'!O450</f>
        <v/>
      </c>
      <c r="Q457" s="7">
        <f>'1 datos preparados'!P450</f>
        <v/>
      </c>
      <c r="R457" s="7">
        <f>'1 datos preparados'!Q450</f>
        <v/>
      </c>
      <c r="S457" s="7">
        <f>'1 datos preparados'!R450</f>
        <v/>
      </c>
      <c r="T457" s="7">
        <f>'1 datos preparados'!S450</f>
        <v/>
      </c>
      <c r="U457" s="7">
        <f>'1 datos preparados'!T450</f>
        <v/>
      </c>
      <c r="V457" s="8">
        <f>$AE$12+D457*$AE$13+E457*$AE$14+F457*$AE$15+G457*$AE$16+H457*$AE$17+I457*$AE$18+J457*$AE$19+K457*$AE$20+L457*$AE$21+M457*$AE$22+N457*$AE$23+O457*$AE$24+P457*$AE$25+Q457*$AE$26+R457*$AE$27+S457*$AE$28+T457*$AE$29+U457*$AE$30</f>
        <v/>
      </c>
      <c r="W457" s="8">
        <f>1/(1+EXP(-V457))</f>
        <v/>
      </c>
      <c r="X457" s="9">
        <f>-IF(C457=1,LN(W457),LN(1-W457))</f>
        <v/>
      </c>
      <c r="Y457" s="8">
        <f>1</f>
        <v/>
      </c>
      <c r="Z457" s="9">
        <f>Y457*X457</f>
        <v/>
      </c>
      <c r="AA457" s="10">
        <f>IF(W457&gt;$AE$32,1,0)</f>
        <v/>
      </c>
      <c r="AB457">
        <f>IF(AA457=C457,1,0)</f>
        <v/>
      </c>
    </row>
    <row r="458">
      <c r="A458">
        <f>'1 datos preparados'!A451</f>
        <v/>
      </c>
      <c r="B458" s="5">
        <f>'1 datos preparados'!U451</f>
        <v/>
      </c>
      <c r="C458">
        <f>'1 datos preparados'!B451</f>
        <v/>
      </c>
      <c r="D458" s="7">
        <f>'1 datos preparados'!C451</f>
        <v/>
      </c>
      <c r="E458" s="7">
        <f>'1 datos preparados'!D451</f>
        <v/>
      </c>
      <c r="F458" s="7">
        <f>'1 datos preparados'!E451</f>
        <v/>
      </c>
      <c r="G458" s="7">
        <f>'1 datos preparados'!F451</f>
        <v/>
      </c>
      <c r="H458" s="7">
        <f>'1 datos preparados'!G451</f>
        <v/>
      </c>
      <c r="I458" s="7">
        <f>'1 datos preparados'!H451</f>
        <v/>
      </c>
      <c r="J458" s="7">
        <f>'1 datos preparados'!I451</f>
        <v/>
      </c>
      <c r="K458" s="7">
        <f>'1 datos preparados'!J451</f>
        <v/>
      </c>
      <c r="L458" s="7">
        <f>'1 datos preparados'!K451</f>
        <v/>
      </c>
      <c r="M458" s="7">
        <f>'1 datos preparados'!L451</f>
        <v/>
      </c>
      <c r="N458" s="7">
        <f>'1 datos preparados'!M451</f>
        <v/>
      </c>
      <c r="O458" s="7">
        <f>'1 datos preparados'!N451</f>
        <v/>
      </c>
      <c r="P458" s="7">
        <f>'1 datos preparados'!O451</f>
        <v/>
      </c>
      <c r="Q458" s="7">
        <f>'1 datos preparados'!P451</f>
        <v/>
      </c>
      <c r="R458" s="7">
        <f>'1 datos preparados'!Q451</f>
        <v/>
      </c>
      <c r="S458" s="7">
        <f>'1 datos preparados'!R451</f>
        <v/>
      </c>
      <c r="T458" s="7">
        <f>'1 datos preparados'!S451</f>
        <v/>
      </c>
      <c r="U458" s="7">
        <f>'1 datos preparados'!T451</f>
        <v/>
      </c>
      <c r="V458" s="8">
        <f>$AE$12+D458*$AE$13+E458*$AE$14+F458*$AE$15+G458*$AE$16+H458*$AE$17+I458*$AE$18+J458*$AE$19+K458*$AE$20+L458*$AE$21+M458*$AE$22+N458*$AE$23+O458*$AE$24+P458*$AE$25+Q458*$AE$26+R458*$AE$27+S458*$AE$28+T458*$AE$29+U458*$AE$30</f>
        <v/>
      </c>
      <c r="W458" s="8">
        <f>1/(1+EXP(-V458))</f>
        <v/>
      </c>
      <c r="X458" s="9">
        <f>-IF(C458=1,LN(W458),LN(1-W458))</f>
        <v/>
      </c>
      <c r="Y458" s="8">
        <f>1</f>
        <v/>
      </c>
      <c r="Z458" s="9">
        <f>Y458*X458</f>
        <v/>
      </c>
      <c r="AA458" s="10">
        <f>IF(W458&gt;$AE$32,1,0)</f>
        <v/>
      </c>
      <c r="AB458">
        <f>IF(AA458=C458,1,0)</f>
        <v/>
      </c>
    </row>
    <row r="459">
      <c r="A459">
        <f>'1 datos preparados'!A452</f>
        <v/>
      </c>
      <c r="B459" s="5">
        <f>'1 datos preparados'!U452</f>
        <v/>
      </c>
      <c r="C459">
        <f>'1 datos preparados'!B452</f>
        <v/>
      </c>
      <c r="D459" s="7">
        <f>'1 datos preparados'!C452</f>
        <v/>
      </c>
      <c r="E459" s="7">
        <f>'1 datos preparados'!D452</f>
        <v/>
      </c>
      <c r="F459" s="7">
        <f>'1 datos preparados'!E452</f>
        <v/>
      </c>
      <c r="G459" s="7">
        <f>'1 datos preparados'!F452</f>
        <v/>
      </c>
      <c r="H459" s="7">
        <f>'1 datos preparados'!G452</f>
        <v/>
      </c>
      <c r="I459" s="7">
        <f>'1 datos preparados'!H452</f>
        <v/>
      </c>
      <c r="J459" s="7">
        <f>'1 datos preparados'!I452</f>
        <v/>
      </c>
      <c r="K459" s="7">
        <f>'1 datos preparados'!J452</f>
        <v/>
      </c>
      <c r="L459" s="7">
        <f>'1 datos preparados'!K452</f>
        <v/>
      </c>
      <c r="M459" s="7">
        <f>'1 datos preparados'!L452</f>
        <v/>
      </c>
      <c r="N459" s="7">
        <f>'1 datos preparados'!M452</f>
        <v/>
      </c>
      <c r="O459" s="7">
        <f>'1 datos preparados'!N452</f>
        <v/>
      </c>
      <c r="P459" s="7">
        <f>'1 datos preparados'!O452</f>
        <v/>
      </c>
      <c r="Q459" s="7">
        <f>'1 datos preparados'!P452</f>
        <v/>
      </c>
      <c r="R459" s="7">
        <f>'1 datos preparados'!Q452</f>
        <v/>
      </c>
      <c r="S459" s="7">
        <f>'1 datos preparados'!R452</f>
        <v/>
      </c>
      <c r="T459" s="7">
        <f>'1 datos preparados'!S452</f>
        <v/>
      </c>
      <c r="U459" s="7">
        <f>'1 datos preparados'!T452</f>
        <v/>
      </c>
      <c r="V459" s="8">
        <f>$AE$12+D459*$AE$13+E459*$AE$14+F459*$AE$15+G459*$AE$16+H459*$AE$17+I459*$AE$18+J459*$AE$19+K459*$AE$20+L459*$AE$21+M459*$AE$22+N459*$AE$23+O459*$AE$24+P459*$AE$25+Q459*$AE$26+R459*$AE$27+S459*$AE$28+T459*$AE$29+U459*$AE$30</f>
        <v/>
      </c>
      <c r="W459" s="8">
        <f>1/(1+EXP(-V459))</f>
        <v/>
      </c>
      <c r="X459" s="9">
        <f>-IF(C459=1,LN(W459),LN(1-W459))</f>
        <v/>
      </c>
      <c r="Y459" s="8">
        <f>1</f>
        <v/>
      </c>
      <c r="Z459" s="9">
        <f>Y459*X459</f>
        <v/>
      </c>
      <c r="AA459" s="10">
        <f>IF(W459&gt;$AE$32,1,0)</f>
        <v/>
      </c>
      <c r="AB459">
        <f>IF(AA459=C459,1,0)</f>
        <v/>
      </c>
    </row>
    <row r="460">
      <c r="A460">
        <f>'1 datos preparados'!A453</f>
        <v/>
      </c>
      <c r="B460" s="5">
        <f>'1 datos preparados'!U453</f>
        <v/>
      </c>
      <c r="C460">
        <f>'1 datos preparados'!B453</f>
        <v/>
      </c>
      <c r="D460" s="7">
        <f>'1 datos preparados'!C453</f>
        <v/>
      </c>
      <c r="E460" s="7">
        <f>'1 datos preparados'!D453</f>
        <v/>
      </c>
      <c r="F460" s="7">
        <f>'1 datos preparados'!E453</f>
        <v/>
      </c>
      <c r="G460" s="7">
        <f>'1 datos preparados'!F453</f>
        <v/>
      </c>
      <c r="H460" s="7">
        <f>'1 datos preparados'!G453</f>
        <v/>
      </c>
      <c r="I460" s="7">
        <f>'1 datos preparados'!H453</f>
        <v/>
      </c>
      <c r="J460" s="7">
        <f>'1 datos preparados'!I453</f>
        <v/>
      </c>
      <c r="K460" s="7">
        <f>'1 datos preparados'!J453</f>
        <v/>
      </c>
      <c r="L460" s="7">
        <f>'1 datos preparados'!K453</f>
        <v/>
      </c>
      <c r="M460" s="7">
        <f>'1 datos preparados'!L453</f>
        <v/>
      </c>
      <c r="N460" s="7">
        <f>'1 datos preparados'!M453</f>
        <v/>
      </c>
      <c r="O460" s="7">
        <f>'1 datos preparados'!N453</f>
        <v/>
      </c>
      <c r="P460" s="7">
        <f>'1 datos preparados'!O453</f>
        <v/>
      </c>
      <c r="Q460" s="7">
        <f>'1 datos preparados'!P453</f>
        <v/>
      </c>
      <c r="R460" s="7">
        <f>'1 datos preparados'!Q453</f>
        <v/>
      </c>
      <c r="S460" s="7">
        <f>'1 datos preparados'!R453</f>
        <v/>
      </c>
      <c r="T460" s="7">
        <f>'1 datos preparados'!S453</f>
        <v/>
      </c>
      <c r="U460" s="7">
        <f>'1 datos preparados'!T453</f>
        <v/>
      </c>
      <c r="V460" s="8">
        <f>$AE$12+D460*$AE$13+E460*$AE$14+F460*$AE$15+G460*$AE$16+H460*$AE$17+I460*$AE$18+J460*$AE$19+K460*$AE$20+L460*$AE$21+M460*$AE$22+N460*$AE$23+O460*$AE$24+P460*$AE$25+Q460*$AE$26+R460*$AE$27+S460*$AE$28+T460*$AE$29+U460*$AE$30</f>
        <v/>
      </c>
      <c r="W460" s="8">
        <f>1/(1+EXP(-V460))</f>
        <v/>
      </c>
      <c r="X460" s="9">
        <f>-IF(C460=1,LN(W460),LN(1-W460))</f>
        <v/>
      </c>
      <c r="Y460" s="8">
        <f>1</f>
        <v/>
      </c>
      <c r="Z460" s="9">
        <f>Y460*X460</f>
        <v/>
      </c>
      <c r="AA460" s="10">
        <f>IF(W460&gt;$AE$32,1,0)</f>
        <v/>
      </c>
      <c r="AB460">
        <f>IF(AA460=C460,1,0)</f>
        <v/>
      </c>
    </row>
    <row r="461">
      <c r="A461">
        <f>'1 datos preparados'!A454</f>
        <v/>
      </c>
      <c r="B461" s="5">
        <f>'1 datos preparados'!U454</f>
        <v/>
      </c>
      <c r="C461">
        <f>'1 datos preparados'!B454</f>
        <v/>
      </c>
      <c r="D461" s="7">
        <f>'1 datos preparados'!C454</f>
        <v/>
      </c>
      <c r="E461" s="7">
        <f>'1 datos preparados'!D454</f>
        <v/>
      </c>
      <c r="F461" s="7">
        <f>'1 datos preparados'!E454</f>
        <v/>
      </c>
      <c r="G461" s="7">
        <f>'1 datos preparados'!F454</f>
        <v/>
      </c>
      <c r="H461" s="7">
        <f>'1 datos preparados'!G454</f>
        <v/>
      </c>
      <c r="I461" s="7">
        <f>'1 datos preparados'!H454</f>
        <v/>
      </c>
      <c r="J461" s="7">
        <f>'1 datos preparados'!I454</f>
        <v/>
      </c>
      <c r="K461" s="7">
        <f>'1 datos preparados'!J454</f>
        <v/>
      </c>
      <c r="L461" s="7">
        <f>'1 datos preparados'!K454</f>
        <v/>
      </c>
      <c r="M461" s="7">
        <f>'1 datos preparados'!L454</f>
        <v/>
      </c>
      <c r="N461" s="7">
        <f>'1 datos preparados'!M454</f>
        <v/>
      </c>
      <c r="O461" s="7">
        <f>'1 datos preparados'!N454</f>
        <v/>
      </c>
      <c r="P461" s="7">
        <f>'1 datos preparados'!O454</f>
        <v/>
      </c>
      <c r="Q461" s="7">
        <f>'1 datos preparados'!P454</f>
        <v/>
      </c>
      <c r="R461" s="7">
        <f>'1 datos preparados'!Q454</f>
        <v/>
      </c>
      <c r="S461" s="7">
        <f>'1 datos preparados'!R454</f>
        <v/>
      </c>
      <c r="T461" s="7">
        <f>'1 datos preparados'!S454</f>
        <v/>
      </c>
      <c r="U461" s="7">
        <f>'1 datos preparados'!T454</f>
        <v/>
      </c>
      <c r="V461" s="8">
        <f>$AE$12+D461*$AE$13+E461*$AE$14+F461*$AE$15+G461*$AE$16+H461*$AE$17+I461*$AE$18+J461*$AE$19+K461*$AE$20+L461*$AE$21+M461*$AE$22+N461*$AE$23+O461*$AE$24+P461*$AE$25+Q461*$AE$26+R461*$AE$27+S461*$AE$28+T461*$AE$29+U461*$AE$30</f>
        <v/>
      </c>
      <c r="W461" s="8">
        <f>1/(1+EXP(-V461))</f>
        <v/>
      </c>
      <c r="X461" s="9">
        <f>-IF(C461=1,LN(W461),LN(1-W461))</f>
        <v/>
      </c>
      <c r="Y461" s="8">
        <f>1</f>
        <v/>
      </c>
      <c r="Z461" s="9">
        <f>Y461*X461</f>
        <v/>
      </c>
      <c r="AA461" s="10">
        <f>IF(W461&gt;$AE$32,1,0)</f>
        <v/>
      </c>
      <c r="AB461">
        <f>IF(AA461=C461,1,0)</f>
        <v/>
      </c>
    </row>
    <row r="462">
      <c r="A462">
        <f>'1 datos preparados'!A455</f>
        <v/>
      </c>
      <c r="B462" s="5">
        <f>'1 datos preparados'!U455</f>
        <v/>
      </c>
      <c r="C462">
        <f>'1 datos preparados'!B455</f>
        <v/>
      </c>
      <c r="D462" s="7">
        <f>'1 datos preparados'!C455</f>
        <v/>
      </c>
      <c r="E462" s="7">
        <f>'1 datos preparados'!D455</f>
        <v/>
      </c>
      <c r="F462" s="7">
        <f>'1 datos preparados'!E455</f>
        <v/>
      </c>
      <c r="G462" s="7">
        <f>'1 datos preparados'!F455</f>
        <v/>
      </c>
      <c r="H462" s="7">
        <f>'1 datos preparados'!G455</f>
        <v/>
      </c>
      <c r="I462" s="7">
        <f>'1 datos preparados'!H455</f>
        <v/>
      </c>
      <c r="J462" s="7">
        <f>'1 datos preparados'!I455</f>
        <v/>
      </c>
      <c r="K462" s="7">
        <f>'1 datos preparados'!J455</f>
        <v/>
      </c>
      <c r="L462" s="7">
        <f>'1 datos preparados'!K455</f>
        <v/>
      </c>
      <c r="M462" s="7">
        <f>'1 datos preparados'!L455</f>
        <v/>
      </c>
      <c r="N462" s="7">
        <f>'1 datos preparados'!M455</f>
        <v/>
      </c>
      <c r="O462" s="7">
        <f>'1 datos preparados'!N455</f>
        <v/>
      </c>
      <c r="P462" s="7">
        <f>'1 datos preparados'!O455</f>
        <v/>
      </c>
      <c r="Q462" s="7">
        <f>'1 datos preparados'!P455</f>
        <v/>
      </c>
      <c r="R462" s="7">
        <f>'1 datos preparados'!Q455</f>
        <v/>
      </c>
      <c r="S462" s="7">
        <f>'1 datos preparados'!R455</f>
        <v/>
      </c>
      <c r="T462" s="7">
        <f>'1 datos preparados'!S455</f>
        <v/>
      </c>
      <c r="U462" s="7">
        <f>'1 datos preparados'!T455</f>
        <v/>
      </c>
      <c r="V462" s="8">
        <f>$AE$12+D462*$AE$13+E462*$AE$14+F462*$AE$15+G462*$AE$16+H462*$AE$17+I462*$AE$18+J462*$AE$19+K462*$AE$20+L462*$AE$21+M462*$AE$22+N462*$AE$23+O462*$AE$24+P462*$AE$25+Q462*$AE$26+R462*$AE$27+S462*$AE$28+T462*$AE$29+U462*$AE$30</f>
        <v/>
      </c>
      <c r="W462" s="8">
        <f>1/(1+EXP(-V462))</f>
        <v/>
      </c>
      <c r="X462" s="9">
        <f>-IF(C462=1,LN(W462),LN(1-W462))</f>
        <v/>
      </c>
      <c r="Y462" s="8">
        <f>1</f>
        <v/>
      </c>
      <c r="Z462" s="9">
        <f>Y462*X462</f>
        <v/>
      </c>
      <c r="AA462" s="10">
        <f>IF(W462&gt;$AE$32,1,0)</f>
        <v/>
      </c>
      <c r="AB462">
        <f>IF(AA462=C462,1,0)</f>
        <v/>
      </c>
    </row>
    <row r="463">
      <c r="A463">
        <f>'1 datos preparados'!A456</f>
        <v/>
      </c>
      <c r="B463" s="5">
        <f>'1 datos preparados'!U456</f>
        <v/>
      </c>
      <c r="C463">
        <f>'1 datos preparados'!B456</f>
        <v/>
      </c>
      <c r="D463" s="7">
        <f>'1 datos preparados'!C456</f>
        <v/>
      </c>
      <c r="E463" s="7">
        <f>'1 datos preparados'!D456</f>
        <v/>
      </c>
      <c r="F463" s="7">
        <f>'1 datos preparados'!E456</f>
        <v/>
      </c>
      <c r="G463" s="7">
        <f>'1 datos preparados'!F456</f>
        <v/>
      </c>
      <c r="H463" s="7">
        <f>'1 datos preparados'!G456</f>
        <v/>
      </c>
      <c r="I463" s="7">
        <f>'1 datos preparados'!H456</f>
        <v/>
      </c>
      <c r="J463" s="7">
        <f>'1 datos preparados'!I456</f>
        <v/>
      </c>
      <c r="K463" s="7">
        <f>'1 datos preparados'!J456</f>
        <v/>
      </c>
      <c r="L463" s="7">
        <f>'1 datos preparados'!K456</f>
        <v/>
      </c>
      <c r="M463" s="7">
        <f>'1 datos preparados'!L456</f>
        <v/>
      </c>
      <c r="N463" s="7">
        <f>'1 datos preparados'!M456</f>
        <v/>
      </c>
      <c r="O463" s="7">
        <f>'1 datos preparados'!N456</f>
        <v/>
      </c>
      <c r="P463" s="7">
        <f>'1 datos preparados'!O456</f>
        <v/>
      </c>
      <c r="Q463" s="7">
        <f>'1 datos preparados'!P456</f>
        <v/>
      </c>
      <c r="R463" s="7">
        <f>'1 datos preparados'!Q456</f>
        <v/>
      </c>
      <c r="S463" s="7">
        <f>'1 datos preparados'!R456</f>
        <v/>
      </c>
      <c r="T463" s="7">
        <f>'1 datos preparados'!S456</f>
        <v/>
      </c>
      <c r="U463" s="7">
        <f>'1 datos preparados'!T456</f>
        <v/>
      </c>
      <c r="V463" s="8">
        <f>$AE$12+D463*$AE$13+E463*$AE$14+F463*$AE$15+G463*$AE$16+H463*$AE$17+I463*$AE$18+J463*$AE$19+K463*$AE$20+L463*$AE$21+M463*$AE$22+N463*$AE$23+O463*$AE$24+P463*$AE$25+Q463*$AE$26+R463*$AE$27+S463*$AE$28+T463*$AE$29+U463*$AE$30</f>
        <v/>
      </c>
      <c r="W463" s="8">
        <f>1/(1+EXP(-V463))</f>
        <v/>
      </c>
      <c r="X463" s="9">
        <f>-IF(C463=1,LN(W463),LN(1-W463))</f>
        <v/>
      </c>
      <c r="Y463" s="8">
        <f>1</f>
        <v/>
      </c>
      <c r="Z463" s="9">
        <f>Y463*X463</f>
        <v/>
      </c>
      <c r="AA463" s="10">
        <f>IF(W463&gt;$AE$32,1,0)</f>
        <v/>
      </c>
      <c r="AB463">
        <f>IF(AA463=C463,1,0)</f>
        <v/>
      </c>
    </row>
    <row r="464">
      <c r="A464">
        <f>'1 datos preparados'!A457</f>
        <v/>
      </c>
      <c r="B464" s="5">
        <f>'1 datos preparados'!U457</f>
        <v/>
      </c>
      <c r="C464">
        <f>'1 datos preparados'!B457</f>
        <v/>
      </c>
      <c r="D464" s="7">
        <f>'1 datos preparados'!C457</f>
        <v/>
      </c>
      <c r="E464" s="7">
        <f>'1 datos preparados'!D457</f>
        <v/>
      </c>
      <c r="F464" s="7">
        <f>'1 datos preparados'!E457</f>
        <v/>
      </c>
      <c r="G464" s="7">
        <f>'1 datos preparados'!F457</f>
        <v/>
      </c>
      <c r="H464" s="7">
        <f>'1 datos preparados'!G457</f>
        <v/>
      </c>
      <c r="I464" s="7">
        <f>'1 datos preparados'!H457</f>
        <v/>
      </c>
      <c r="J464" s="7">
        <f>'1 datos preparados'!I457</f>
        <v/>
      </c>
      <c r="K464" s="7">
        <f>'1 datos preparados'!J457</f>
        <v/>
      </c>
      <c r="L464" s="7">
        <f>'1 datos preparados'!K457</f>
        <v/>
      </c>
      <c r="M464" s="7">
        <f>'1 datos preparados'!L457</f>
        <v/>
      </c>
      <c r="N464" s="7">
        <f>'1 datos preparados'!M457</f>
        <v/>
      </c>
      <c r="O464" s="7">
        <f>'1 datos preparados'!N457</f>
        <v/>
      </c>
      <c r="P464" s="7">
        <f>'1 datos preparados'!O457</f>
        <v/>
      </c>
      <c r="Q464" s="7">
        <f>'1 datos preparados'!P457</f>
        <v/>
      </c>
      <c r="R464" s="7">
        <f>'1 datos preparados'!Q457</f>
        <v/>
      </c>
      <c r="S464" s="7">
        <f>'1 datos preparados'!R457</f>
        <v/>
      </c>
      <c r="T464" s="7">
        <f>'1 datos preparados'!S457</f>
        <v/>
      </c>
      <c r="U464" s="7">
        <f>'1 datos preparados'!T457</f>
        <v/>
      </c>
      <c r="V464" s="8">
        <f>$AE$12+D464*$AE$13+E464*$AE$14+F464*$AE$15+G464*$AE$16+H464*$AE$17+I464*$AE$18+J464*$AE$19+K464*$AE$20+L464*$AE$21+M464*$AE$22+N464*$AE$23+O464*$AE$24+P464*$AE$25+Q464*$AE$26+R464*$AE$27+S464*$AE$28+T464*$AE$29+U464*$AE$30</f>
        <v/>
      </c>
      <c r="W464" s="8">
        <f>1/(1+EXP(-V464))</f>
        <v/>
      </c>
      <c r="X464" s="9">
        <f>-IF(C464=1,LN(W464),LN(1-W464))</f>
        <v/>
      </c>
      <c r="Y464" s="8">
        <f>1</f>
        <v/>
      </c>
      <c r="Z464" s="9">
        <f>Y464*X464</f>
        <v/>
      </c>
      <c r="AA464" s="10">
        <f>IF(W464&gt;$AE$32,1,0)</f>
        <v/>
      </c>
      <c r="AB464">
        <f>IF(AA464=C464,1,0)</f>
        <v/>
      </c>
    </row>
    <row r="465">
      <c r="A465">
        <f>'1 datos preparados'!A458</f>
        <v/>
      </c>
      <c r="B465" s="5">
        <f>'1 datos preparados'!U458</f>
        <v/>
      </c>
      <c r="C465">
        <f>'1 datos preparados'!B458</f>
        <v/>
      </c>
      <c r="D465" s="7">
        <f>'1 datos preparados'!C458</f>
        <v/>
      </c>
      <c r="E465" s="7">
        <f>'1 datos preparados'!D458</f>
        <v/>
      </c>
      <c r="F465" s="7">
        <f>'1 datos preparados'!E458</f>
        <v/>
      </c>
      <c r="G465" s="7">
        <f>'1 datos preparados'!F458</f>
        <v/>
      </c>
      <c r="H465" s="7">
        <f>'1 datos preparados'!G458</f>
        <v/>
      </c>
      <c r="I465" s="7">
        <f>'1 datos preparados'!H458</f>
        <v/>
      </c>
      <c r="J465" s="7">
        <f>'1 datos preparados'!I458</f>
        <v/>
      </c>
      <c r="K465" s="7">
        <f>'1 datos preparados'!J458</f>
        <v/>
      </c>
      <c r="L465" s="7">
        <f>'1 datos preparados'!K458</f>
        <v/>
      </c>
      <c r="M465" s="7">
        <f>'1 datos preparados'!L458</f>
        <v/>
      </c>
      <c r="N465" s="7">
        <f>'1 datos preparados'!M458</f>
        <v/>
      </c>
      <c r="O465" s="7">
        <f>'1 datos preparados'!N458</f>
        <v/>
      </c>
      <c r="P465" s="7">
        <f>'1 datos preparados'!O458</f>
        <v/>
      </c>
      <c r="Q465" s="7">
        <f>'1 datos preparados'!P458</f>
        <v/>
      </c>
      <c r="R465" s="7">
        <f>'1 datos preparados'!Q458</f>
        <v/>
      </c>
      <c r="S465" s="7">
        <f>'1 datos preparados'!R458</f>
        <v/>
      </c>
      <c r="T465" s="7">
        <f>'1 datos preparados'!S458</f>
        <v/>
      </c>
      <c r="U465" s="7">
        <f>'1 datos preparados'!T458</f>
        <v/>
      </c>
      <c r="V465" s="8">
        <f>$AE$12+D465*$AE$13+E465*$AE$14+F465*$AE$15+G465*$AE$16+H465*$AE$17+I465*$AE$18+J465*$AE$19+K465*$AE$20+L465*$AE$21+M465*$AE$22+N465*$AE$23+O465*$AE$24+P465*$AE$25+Q465*$AE$26+R465*$AE$27+S465*$AE$28+T465*$AE$29+U465*$AE$30</f>
        <v/>
      </c>
      <c r="W465" s="8">
        <f>1/(1+EXP(-V465))</f>
        <v/>
      </c>
      <c r="X465" s="9">
        <f>-IF(C465=1,LN(W465),LN(1-W465))</f>
        <v/>
      </c>
      <c r="Y465" s="8">
        <f>1</f>
        <v/>
      </c>
      <c r="Z465" s="9">
        <f>Y465*X465</f>
        <v/>
      </c>
      <c r="AA465" s="10">
        <f>IF(W465&gt;$AE$32,1,0)</f>
        <v/>
      </c>
      <c r="AB465">
        <f>IF(AA465=C465,1,0)</f>
        <v/>
      </c>
    </row>
    <row r="466">
      <c r="A466">
        <f>'1 datos preparados'!A459</f>
        <v/>
      </c>
      <c r="B466" s="5">
        <f>'1 datos preparados'!U459</f>
        <v/>
      </c>
      <c r="C466">
        <f>'1 datos preparados'!B459</f>
        <v/>
      </c>
      <c r="D466" s="7">
        <f>'1 datos preparados'!C459</f>
        <v/>
      </c>
      <c r="E466" s="7">
        <f>'1 datos preparados'!D459</f>
        <v/>
      </c>
      <c r="F466" s="7">
        <f>'1 datos preparados'!E459</f>
        <v/>
      </c>
      <c r="G466" s="7">
        <f>'1 datos preparados'!F459</f>
        <v/>
      </c>
      <c r="H466" s="7">
        <f>'1 datos preparados'!G459</f>
        <v/>
      </c>
      <c r="I466" s="7">
        <f>'1 datos preparados'!H459</f>
        <v/>
      </c>
      <c r="J466" s="7">
        <f>'1 datos preparados'!I459</f>
        <v/>
      </c>
      <c r="K466" s="7">
        <f>'1 datos preparados'!J459</f>
        <v/>
      </c>
      <c r="L466" s="7">
        <f>'1 datos preparados'!K459</f>
        <v/>
      </c>
      <c r="M466" s="7">
        <f>'1 datos preparados'!L459</f>
        <v/>
      </c>
      <c r="N466" s="7">
        <f>'1 datos preparados'!M459</f>
        <v/>
      </c>
      <c r="O466" s="7">
        <f>'1 datos preparados'!N459</f>
        <v/>
      </c>
      <c r="P466" s="7">
        <f>'1 datos preparados'!O459</f>
        <v/>
      </c>
      <c r="Q466" s="7">
        <f>'1 datos preparados'!P459</f>
        <v/>
      </c>
      <c r="R466" s="7">
        <f>'1 datos preparados'!Q459</f>
        <v/>
      </c>
      <c r="S466" s="7">
        <f>'1 datos preparados'!R459</f>
        <v/>
      </c>
      <c r="T466" s="7">
        <f>'1 datos preparados'!S459</f>
        <v/>
      </c>
      <c r="U466" s="7">
        <f>'1 datos preparados'!T459</f>
        <v/>
      </c>
      <c r="V466" s="8">
        <f>$AE$12+D466*$AE$13+E466*$AE$14+F466*$AE$15+G466*$AE$16+H466*$AE$17+I466*$AE$18+J466*$AE$19+K466*$AE$20+L466*$AE$21+M466*$AE$22+N466*$AE$23+O466*$AE$24+P466*$AE$25+Q466*$AE$26+R466*$AE$27+S466*$AE$28+T466*$AE$29+U466*$AE$30</f>
        <v/>
      </c>
      <c r="W466" s="8">
        <f>1/(1+EXP(-V466))</f>
        <v/>
      </c>
      <c r="X466" s="9">
        <f>-IF(C466=1,LN(W466),LN(1-W466))</f>
        <v/>
      </c>
      <c r="Y466" s="8">
        <f>1</f>
        <v/>
      </c>
      <c r="Z466" s="9">
        <f>Y466*X466</f>
        <v/>
      </c>
      <c r="AA466" s="10">
        <f>IF(W466&gt;$AE$32,1,0)</f>
        <v/>
      </c>
      <c r="AB466">
        <f>IF(AA466=C466,1,0)</f>
        <v/>
      </c>
    </row>
    <row r="467">
      <c r="A467">
        <f>'1 datos preparados'!A460</f>
        <v/>
      </c>
      <c r="B467" s="5">
        <f>'1 datos preparados'!U460</f>
        <v/>
      </c>
      <c r="C467">
        <f>'1 datos preparados'!B460</f>
        <v/>
      </c>
      <c r="D467" s="7">
        <f>'1 datos preparados'!C460</f>
        <v/>
      </c>
      <c r="E467" s="7">
        <f>'1 datos preparados'!D460</f>
        <v/>
      </c>
      <c r="F467" s="7">
        <f>'1 datos preparados'!E460</f>
        <v/>
      </c>
      <c r="G467" s="7">
        <f>'1 datos preparados'!F460</f>
        <v/>
      </c>
      <c r="H467" s="7">
        <f>'1 datos preparados'!G460</f>
        <v/>
      </c>
      <c r="I467" s="7">
        <f>'1 datos preparados'!H460</f>
        <v/>
      </c>
      <c r="J467" s="7">
        <f>'1 datos preparados'!I460</f>
        <v/>
      </c>
      <c r="K467" s="7">
        <f>'1 datos preparados'!J460</f>
        <v/>
      </c>
      <c r="L467" s="7">
        <f>'1 datos preparados'!K460</f>
        <v/>
      </c>
      <c r="M467" s="7">
        <f>'1 datos preparados'!L460</f>
        <v/>
      </c>
      <c r="N467" s="7">
        <f>'1 datos preparados'!M460</f>
        <v/>
      </c>
      <c r="O467" s="7">
        <f>'1 datos preparados'!N460</f>
        <v/>
      </c>
      <c r="P467" s="7">
        <f>'1 datos preparados'!O460</f>
        <v/>
      </c>
      <c r="Q467" s="7">
        <f>'1 datos preparados'!P460</f>
        <v/>
      </c>
      <c r="R467" s="7">
        <f>'1 datos preparados'!Q460</f>
        <v/>
      </c>
      <c r="S467" s="7">
        <f>'1 datos preparados'!R460</f>
        <v/>
      </c>
      <c r="T467" s="7">
        <f>'1 datos preparados'!S460</f>
        <v/>
      </c>
      <c r="U467" s="7">
        <f>'1 datos preparados'!T460</f>
        <v/>
      </c>
      <c r="V467" s="8">
        <f>$AE$12+D467*$AE$13+E467*$AE$14+F467*$AE$15+G467*$AE$16+H467*$AE$17+I467*$AE$18+J467*$AE$19+K467*$AE$20+L467*$AE$21+M467*$AE$22+N467*$AE$23+O467*$AE$24+P467*$AE$25+Q467*$AE$26+R467*$AE$27+S467*$AE$28+T467*$AE$29+U467*$AE$30</f>
        <v/>
      </c>
      <c r="W467" s="8">
        <f>1/(1+EXP(-V467))</f>
        <v/>
      </c>
      <c r="X467" s="9">
        <f>-IF(C467=1,LN(W467),LN(1-W467))</f>
        <v/>
      </c>
      <c r="Y467" s="8">
        <f>1</f>
        <v/>
      </c>
      <c r="Z467" s="9">
        <f>Y467*X467</f>
        <v/>
      </c>
      <c r="AA467" s="10">
        <f>IF(W467&gt;$AE$32,1,0)</f>
        <v/>
      </c>
      <c r="AB467">
        <f>IF(AA467=C467,1,0)</f>
        <v/>
      </c>
    </row>
    <row r="468">
      <c r="A468">
        <f>'1 datos preparados'!A461</f>
        <v/>
      </c>
      <c r="B468" s="5">
        <f>'1 datos preparados'!U461</f>
        <v/>
      </c>
      <c r="C468">
        <f>'1 datos preparados'!B461</f>
        <v/>
      </c>
      <c r="D468" s="7">
        <f>'1 datos preparados'!C461</f>
        <v/>
      </c>
      <c r="E468" s="7">
        <f>'1 datos preparados'!D461</f>
        <v/>
      </c>
      <c r="F468" s="7">
        <f>'1 datos preparados'!E461</f>
        <v/>
      </c>
      <c r="G468" s="7">
        <f>'1 datos preparados'!F461</f>
        <v/>
      </c>
      <c r="H468" s="7">
        <f>'1 datos preparados'!G461</f>
        <v/>
      </c>
      <c r="I468" s="7">
        <f>'1 datos preparados'!H461</f>
        <v/>
      </c>
      <c r="J468" s="7">
        <f>'1 datos preparados'!I461</f>
        <v/>
      </c>
      <c r="K468" s="7">
        <f>'1 datos preparados'!J461</f>
        <v/>
      </c>
      <c r="L468" s="7">
        <f>'1 datos preparados'!K461</f>
        <v/>
      </c>
      <c r="M468" s="7">
        <f>'1 datos preparados'!L461</f>
        <v/>
      </c>
      <c r="N468" s="7">
        <f>'1 datos preparados'!M461</f>
        <v/>
      </c>
      <c r="O468" s="7">
        <f>'1 datos preparados'!N461</f>
        <v/>
      </c>
      <c r="P468" s="7">
        <f>'1 datos preparados'!O461</f>
        <v/>
      </c>
      <c r="Q468" s="7">
        <f>'1 datos preparados'!P461</f>
        <v/>
      </c>
      <c r="R468" s="7">
        <f>'1 datos preparados'!Q461</f>
        <v/>
      </c>
      <c r="S468" s="7">
        <f>'1 datos preparados'!R461</f>
        <v/>
      </c>
      <c r="T468" s="7">
        <f>'1 datos preparados'!S461</f>
        <v/>
      </c>
      <c r="U468" s="7">
        <f>'1 datos preparados'!T461</f>
        <v/>
      </c>
      <c r="V468" s="8">
        <f>$AE$12+D468*$AE$13+E468*$AE$14+F468*$AE$15+G468*$AE$16+H468*$AE$17+I468*$AE$18+J468*$AE$19+K468*$AE$20+L468*$AE$21+M468*$AE$22+N468*$AE$23+O468*$AE$24+P468*$AE$25+Q468*$AE$26+R468*$AE$27+S468*$AE$28+T468*$AE$29+U468*$AE$30</f>
        <v/>
      </c>
      <c r="W468" s="8">
        <f>1/(1+EXP(-V468))</f>
        <v/>
      </c>
      <c r="X468" s="9">
        <f>-IF(C468=1,LN(W468),LN(1-W468))</f>
        <v/>
      </c>
      <c r="Y468" s="8">
        <f>1</f>
        <v/>
      </c>
      <c r="Z468" s="9">
        <f>Y468*X468</f>
        <v/>
      </c>
      <c r="AA468" s="10">
        <f>IF(W468&gt;$AE$32,1,0)</f>
        <v/>
      </c>
      <c r="AB468">
        <f>IF(AA468=C468,1,0)</f>
        <v/>
      </c>
    </row>
    <row r="469">
      <c r="A469">
        <f>'1 datos preparados'!A462</f>
        <v/>
      </c>
      <c r="B469" s="5">
        <f>'1 datos preparados'!U462</f>
        <v/>
      </c>
      <c r="C469">
        <f>'1 datos preparados'!B462</f>
        <v/>
      </c>
      <c r="D469" s="7">
        <f>'1 datos preparados'!C462</f>
        <v/>
      </c>
      <c r="E469" s="7">
        <f>'1 datos preparados'!D462</f>
        <v/>
      </c>
      <c r="F469" s="7">
        <f>'1 datos preparados'!E462</f>
        <v/>
      </c>
      <c r="G469" s="7">
        <f>'1 datos preparados'!F462</f>
        <v/>
      </c>
      <c r="H469" s="7">
        <f>'1 datos preparados'!G462</f>
        <v/>
      </c>
      <c r="I469" s="7">
        <f>'1 datos preparados'!H462</f>
        <v/>
      </c>
      <c r="J469" s="7">
        <f>'1 datos preparados'!I462</f>
        <v/>
      </c>
      <c r="K469" s="7">
        <f>'1 datos preparados'!J462</f>
        <v/>
      </c>
      <c r="L469" s="7">
        <f>'1 datos preparados'!K462</f>
        <v/>
      </c>
      <c r="M469" s="7">
        <f>'1 datos preparados'!L462</f>
        <v/>
      </c>
      <c r="N469" s="7">
        <f>'1 datos preparados'!M462</f>
        <v/>
      </c>
      <c r="O469" s="7">
        <f>'1 datos preparados'!N462</f>
        <v/>
      </c>
      <c r="P469" s="7">
        <f>'1 datos preparados'!O462</f>
        <v/>
      </c>
      <c r="Q469" s="7">
        <f>'1 datos preparados'!P462</f>
        <v/>
      </c>
      <c r="R469" s="7">
        <f>'1 datos preparados'!Q462</f>
        <v/>
      </c>
      <c r="S469" s="7">
        <f>'1 datos preparados'!R462</f>
        <v/>
      </c>
      <c r="T469" s="7">
        <f>'1 datos preparados'!S462</f>
        <v/>
      </c>
      <c r="U469" s="7">
        <f>'1 datos preparados'!T462</f>
        <v/>
      </c>
      <c r="V469" s="8">
        <f>$AE$12+D469*$AE$13+E469*$AE$14+F469*$AE$15+G469*$AE$16+H469*$AE$17+I469*$AE$18+J469*$AE$19+K469*$AE$20+L469*$AE$21+M469*$AE$22+N469*$AE$23+O469*$AE$24+P469*$AE$25+Q469*$AE$26+R469*$AE$27+S469*$AE$28+T469*$AE$29+U469*$AE$30</f>
        <v/>
      </c>
      <c r="W469" s="8">
        <f>1/(1+EXP(-V469))</f>
        <v/>
      </c>
      <c r="X469" s="9">
        <f>-IF(C469=1,LN(W469),LN(1-W469))</f>
        <v/>
      </c>
      <c r="Y469" s="8">
        <f>1</f>
        <v/>
      </c>
      <c r="Z469" s="9">
        <f>Y469*X469</f>
        <v/>
      </c>
      <c r="AA469" s="10">
        <f>IF(W469&gt;$AE$32,1,0)</f>
        <v/>
      </c>
      <c r="AB469">
        <f>IF(AA469=C469,1,0)</f>
        <v/>
      </c>
    </row>
    <row r="470">
      <c r="A470">
        <f>'1 datos preparados'!A463</f>
        <v/>
      </c>
      <c r="B470" s="5">
        <f>'1 datos preparados'!U463</f>
        <v/>
      </c>
      <c r="C470">
        <f>'1 datos preparados'!B463</f>
        <v/>
      </c>
      <c r="D470" s="7">
        <f>'1 datos preparados'!C463</f>
        <v/>
      </c>
      <c r="E470" s="7">
        <f>'1 datos preparados'!D463</f>
        <v/>
      </c>
      <c r="F470" s="7">
        <f>'1 datos preparados'!E463</f>
        <v/>
      </c>
      <c r="G470" s="7">
        <f>'1 datos preparados'!F463</f>
        <v/>
      </c>
      <c r="H470" s="7">
        <f>'1 datos preparados'!G463</f>
        <v/>
      </c>
      <c r="I470" s="7">
        <f>'1 datos preparados'!H463</f>
        <v/>
      </c>
      <c r="J470" s="7">
        <f>'1 datos preparados'!I463</f>
        <v/>
      </c>
      <c r="K470" s="7">
        <f>'1 datos preparados'!J463</f>
        <v/>
      </c>
      <c r="L470" s="7">
        <f>'1 datos preparados'!K463</f>
        <v/>
      </c>
      <c r="M470" s="7">
        <f>'1 datos preparados'!L463</f>
        <v/>
      </c>
      <c r="N470" s="7">
        <f>'1 datos preparados'!M463</f>
        <v/>
      </c>
      <c r="O470" s="7">
        <f>'1 datos preparados'!N463</f>
        <v/>
      </c>
      <c r="P470" s="7">
        <f>'1 datos preparados'!O463</f>
        <v/>
      </c>
      <c r="Q470" s="7">
        <f>'1 datos preparados'!P463</f>
        <v/>
      </c>
      <c r="R470" s="7">
        <f>'1 datos preparados'!Q463</f>
        <v/>
      </c>
      <c r="S470" s="7">
        <f>'1 datos preparados'!R463</f>
        <v/>
      </c>
      <c r="T470" s="7">
        <f>'1 datos preparados'!S463</f>
        <v/>
      </c>
      <c r="U470" s="7">
        <f>'1 datos preparados'!T463</f>
        <v/>
      </c>
      <c r="V470" s="8">
        <f>$AE$12+D470*$AE$13+E470*$AE$14+F470*$AE$15+G470*$AE$16+H470*$AE$17+I470*$AE$18+J470*$AE$19+K470*$AE$20+L470*$AE$21+M470*$AE$22+N470*$AE$23+O470*$AE$24+P470*$AE$25+Q470*$AE$26+R470*$AE$27+S470*$AE$28+T470*$AE$29+U470*$AE$30</f>
        <v/>
      </c>
      <c r="W470" s="8">
        <f>1/(1+EXP(-V470))</f>
        <v/>
      </c>
      <c r="X470" s="9">
        <f>-IF(C470=1,LN(W470),LN(1-W470))</f>
        <v/>
      </c>
      <c r="Y470" s="8">
        <f>1</f>
        <v/>
      </c>
      <c r="Z470" s="9">
        <f>Y470*X470</f>
        <v/>
      </c>
      <c r="AA470" s="10">
        <f>IF(W470&gt;$AE$32,1,0)</f>
        <v/>
      </c>
      <c r="AB470">
        <f>IF(AA470=C470,1,0)</f>
        <v/>
      </c>
    </row>
    <row r="471">
      <c r="A471">
        <f>'1 datos preparados'!A464</f>
        <v/>
      </c>
      <c r="B471" s="5">
        <f>'1 datos preparados'!U464</f>
        <v/>
      </c>
      <c r="C471">
        <f>'1 datos preparados'!B464</f>
        <v/>
      </c>
      <c r="D471" s="7">
        <f>'1 datos preparados'!C464</f>
        <v/>
      </c>
      <c r="E471" s="7">
        <f>'1 datos preparados'!D464</f>
        <v/>
      </c>
      <c r="F471" s="7">
        <f>'1 datos preparados'!E464</f>
        <v/>
      </c>
      <c r="G471" s="7">
        <f>'1 datos preparados'!F464</f>
        <v/>
      </c>
      <c r="H471" s="7">
        <f>'1 datos preparados'!G464</f>
        <v/>
      </c>
      <c r="I471" s="7">
        <f>'1 datos preparados'!H464</f>
        <v/>
      </c>
      <c r="J471" s="7">
        <f>'1 datos preparados'!I464</f>
        <v/>
      </c>
      <c r="K471" s="7">
        <f>'1 datos preparados'!J464</f>
        <v/>
      </c>
      <c r="L471" s="7">
        <f>'1 datos preparados'!K464</f>
        <v/>
      </c>
      <c r="M471" s="7">
        <f>'1 datos preparados'!L464</f>
        <v/>
      </c>
      <c r="N471" s="7">
        <f>'1 datos preparados'!M464</f>
        <v/>
      </c>
      <c r="O471" s="7">
        <f>'1 datos preparados'!N464</f>
        <v/>
      </c>
      <c r="P471" s="7">
        <f>'1 datos preparados'!O464</f>
        <v/>
      </c>
      <c r="Q471" s="7">
        <f>'1 datos preparados'!P464</f>
        <v/>
      </c>
      <c r="R471" s="7">
        <f>'1 datos preparados'!Q464</f>
        <v/>
      </c>
      <c r="S471" s="7">
        <f>'1 datos preparados'!R464</f>
        <v/>
      </c>
      <c r="T471" s="7">
        <f>'1 datos preparados'!S464</f>
        <v/>
      </c>
      <c r="U471" s="7">
        <f>'1 datos preparados'!T464</f>
        <v/>
      </c>
      <c r="V471" s="8">
        <f>$AE$12+D471*$AE$13+E471*$AE$14+F471*$AE$15+G471*$AE$16+H471*$AE$17+I471*$AE$18+J471*$AE$19+K471*$AE$20+L471*$AE$21+M471*$AE$22+N471*$AE$23+O471*$AE$24+P471*$AE$25+Q471*$AE$26+R471*$AE$27+S471*$AE$28+T471*$AE$29+U471*$AE$30</f>
        <v/>
      </c>
      <c r="W471" s="8">
        <f>1/(1+EXP(-V471))</f>
        <v/>
      </c>
      <c r="X471" s="9">
        <f>-IF(C471=1,LN(W471),LN(1-W471))</f>
        <v/>
      </c>
      <c r="Y471" s="8">
        <f>1</f>
        <v/>
      </c>
      <c r="Z471" s="9">
        <f>Y471*X471</f>
        <v/>
      </c>
      <c r="AA471" s="10">
        <f>IF(W471&gt;$AE$32,1,0)</f>
        <v/>
      </c>
      <c r="AB471">
        <f>IF(AA471=C471,1,0)</f>
        <v/>
      </c>
    </row>
    <row r="472">
      <c r="A472">
        <f>'1 datos preparados'!A465</f>
        <v/>
      </c>
      <c r="B472" s="5">
        <f>'1 datos preparados'!U465</f>
        <v/>
      </c>
      <c r="C472">
        <f>'1 datos preparados'!B465</f>
        <v/>
      </c>
      <c r="D472" s="7">
        <f>'1 datos preparados'!C465</f>
        <v/>
      </c>
      <c r="E472" s="7">
        <f>'1 datos preparados'!D465</f>
        <v/>
      </c>
      <c r="F472" s="7">
        <f>'1 datos preparados'!E465</f>
        <v/>
      </c>
      <c r="G472" s="7">
        <f>'1 datos preparados'!F465</f>
        <v/>
      </c>
      <c r="H472" s="7">
        <f>'1 datos preparados'!G465</f>
        <v/>
      </c>
      <c r="I472" s="7">
        <f>'1 datos preparados'!H465</f>
        <v/>
      </c>
      <c r="J472" s="7">
        <f>'1 datos preparados'!I465</f>
        <v/>
      </c>
      <c r="K472" s="7">
        <f>'1 datos preparados'!J465</f>
        <v/>
      </c>
      <c r="L472" s="7">
        <f>'1 datos preparados'!K465</f>
        <v/>
      </c>
      <c r="M472" s="7">
        <f>'1 datos preparados'!L465</f>
        <v/>
      </c>
      <c r="N472" s="7">
        <f>'1 datos preparados'!M465</f>
        <v/>
      </c>
      <c r="O472" s="7">
        <f>'1 datos preparados'!N465</f>
        <v/>
      </c>
      <c r="P472" s="7">
        <f>'1 datos preparados'!O465</f>
        <v/>
      </c>
      <c r="Q472" s="7">
        <f>'1 datos preparados'!P465</f>
        <v/>
      </c>
      <c r="R472" s="7">
        <f>'1 datos preparados'!Q465</f>
        <v/>
      </c>
      <c r="S472" s="7">
        <f>'1 datos preparados'!R465</f>
        <v/>
      </c>
      <c r="T472" s="7">
        <f>'1 datos preparados'!S465</f>
        <v/>
      </c>
      <c r="U472" s="7">
        <f>'1 datos preparados'!T465</f>
        <v/>
      </c>
      <c r="V472" s="8">
        <f>$AE$12+D472*$AE$13+E472*$AE$14+F472*$AE$15+G472*$AE$16+H472*$AE$17+I472*$AE$18+J472*$AE$19+K472*$AE$20+L472*$AE$21+M472*$AE$22+N472*$AE$23+O472*$AE$24+P472*$AE$25+Q472*$AE$26+R472*$AE$27+S472*$AE$28+T472*$AE$29+U472*$AE$30</f>
        <v/>
      </c>
      <c r="W472" s="8">
        <f>1/(1+EXP(-V472))</f>
        <v/>
      </c>
      <c r="X472" s="9">
        <f>-IF(C472=1,LN(W472),LN(1-W472))</f>
        <v/>
      </c>
      <c r="Y472" s="8">
        <f>1</f>
        <v/>
      </c>
      <c r="Z472" s="9">
        <f>Y472*X472</f>
        <v/>
      </c>
      <c r="AA472" s="10">
        <f>IF(W472&gt;$AE$32,1,0)</f>
        <v/>
      </c>
      <c r="AB472">
        <f>IF(AA472=C472,1,0)</f>
        <v/>
      </c>
    </row>
    <row r="473">
      <c r="A473">
        <f>'1 datos preparados'!A466</f>
        <v/>
      </c>
      <c r="B473" s="5">
        <f>'1 datos preparados'!U466</f>
        <v/>
      </c>
      <c r="C473">
        <f>'1 datos preparados'!B466</f>
        <v/>
      </c>
      <c r="D473" s="7">
        <f>'1 datos preparados'!C466</f>
        <v/>
      </c>
      <c r="E473" s="7">
        <f>'1 datos preparados'!D466</f>
        <v/>
      </c>
      <c r="F473" s="7">
        <f>'1 datos preparados'!E466</f>
        <v/>
      </c>
      <c r="G473" s="7">
        <f>'1 datos preparados'!F466</f>
        <v/>
      </c>
      <c r="H473" s="7">
        <f>'1 datos preparados'!G466</f>
        <v/>
      </c>
      <c r="I473" s="7">
        <f>'1 datos preparados'!H466</f>
        <v/>
      </c>
      <c r="J473" s="7">
        <f>'1 datos preparados'!I466</f>
        <v/>
      </c>
      <c r="K473" s="7">
        <f>'1 datos preparados'!J466</f>
        <v/>
      </c>
      <c r="L473" s="7">
        <f>'1 datos preparados'!K466</f>
        <v/>
      </c>
      <c r="M473" s="7">
        <f>'1 datos preparados'!L466</f>
        <v/>
      </c>
      <c r="N473" s="7">
        <f>'1 datos preparados'!M466</f>
        <v/>
      </c>
      <c r="O473" s="7">
        <f>'1 datos preparados'!N466</f>
        <v/>
      </c>
      <c r="P473" s="7">
        <f>'1 datos preparados'!O466</f>
        <v/>
      </c>
      <c r="Q473" s="7">
        <f>'1 datos preparados'!P466</f>
        <v/>
      </c>
      <c r="R473" s="7">
        <f>'1 datos preparados'!Q466</f>
        <v/>
      </c>
      <c r="S473" s="7">
        <f>'1 datos preparados'!R466</f>
        <v/>
      </c>
      <c r="T473" s="7">
        <f>'1 datos preparados'!S466</f>
        <v/>
      </c>
      <c r="U473" s="7">
        <f>'1 datos preparados'!T466</f>
        <v/>
      </c>
      <c r="V473" s="8">
        <f>$AE$12+D473*$AE$13+E473*$AE$14+F473*$AE$15+G473*$AE$16+H473*$AE$17+I473*$AE$18+J473*$AE$19+K473*$AE$20+L473*$AE$21+M473*$AE$22+N473*$AE$23+O473*$AE$24+P473*$AE$25+Q473*$AE$26+R473*$AE$27+S473*$AE$28+T473*$AE$29+U473*$AE$30</f>
        <v/>
      </c>
      <c r="W473" s="8">
        <f>1/(1+EXP(-V473))</f>
        <v/>
      </c>
      <c r="X473" s="9">
        <f>-IF(C473=1,LN(W473),LN(1-W473))</f>
        <v/>
      </c>
      <c r="Y473" s="8">
        <f>1</f>
        <v/>
      </c>
      <c r="Z473" s="9">
        <f>Y473*X473</f>
        <v/>
      </c>
      <c r="AA473" s="10">
        <f>IF(W473&gt;$AE$32,1,0)</f>
        <v/>
      </c>
      <c r="AB473">
        <f>IF(AA473=C473,1,0)</f>
        <v/>
      </c>
    </row>
    <row r="474">
      <c r="A474">
        <f>'1 datos preparados'!A467</f>
        <v/>
      </c>
      <c r="B474" s="5">
        <f>'1 datos preparados'!U467</f>
        <v/>
      </c>
      <c r="C474">
        <f>'1 datos preparados'!B467</f>
        <v/>
      </c>
      <c r="D474" s="7">
        <f>'1 datos preparados'!C467</f>
        <v/>
      </c>
      <c r="E474" s="7">
        <f>'1 datos preparados'!D467</f>
        <v/>
      </c>
      <c r="F474" s="7">
        <f>'1 datos preparados'!E467</f>
        <v/>
      </c>
      <c r="G474" s="7">
        <f>'1 datos preparados'!F467</f>
        <v/>
      </c>
      <c r="H474" s="7">
        <f>'1 datos preparados'!G467</f>
        <v/>
      </c>
      <c r="I474" s="7">
        <f>'1 datos preparados'!H467</f>
        <v/>
      </c>
      <c r="J474" s="7">
        <f>'1 datos preparados'!I467</f>
        <v/>
      </c>
      <c r="K474" s="7">
        <f>'1 datos preparados'!J467</f>
        <v/>
      </c>
      <c r="L474" s="7">
        <f>'1 datos preparados'!K467</f>
        <v/>
      </c>
      <c r="M474" s="7">
        <f>'1 datos preparados'!L467</f>
        <v/>
      </c>
      <c r="N474" s="7">
        <f>'1 datos preparados'!M467</f>
        <v/>
      </c>
      <c r="O474" s="7">
        <f>'1 datos preparados'!N467</f>
        <v/>
      </c>
      <c r="P474" s="7">
        <f>'1 datos preparados'!O467</f>
        <v/>
      </c>
      <c r="Q474" s="7">
        <f>'1 datos preparados'!P467</f>
        <v/>
      </c>
      <c r="R474" s="7">
        <f>'1 datos preparados'!Q467</f>
        <v/>
      </c>
      <c r="S474" s="7">
        <f>'1 datos preparados'!R467</f>
        <v/>
      </c>
      <c r="T474" s="7">
        <f>'1 datos preparados'!S467</f>
        <v/>
      </c>
      <c r="U474" s="7">
        <f>'1 datos preparados'!T467</f>
        <v/>
      </c>
      <c r="V474" s="8">
        <f>$AE$12+D474*$AE$13+E474*$AE$14+F474*$AE$15+G474*$AE$16+H474*$AE$17+I474*$AE$18+J474*$AE$19+K474*$AE$20+L474*$AE$21+M474*$AE$22+N474*$AE$23+O474*$AE$24+P474*$AE$25+Q474*$AE$26+R474*$AE$27+S474*$AE$28+T474*$AE$29+U474*$AE$30</f>
        <v/>
      </c>
      <c r="W474" s="8">
        <f>1/(1+EXP(-V474))</f>
        <v/>
      </c>
      <c r="X474" s="9">
        <f>-IF(C474=1,LN(W474),LN(1-W474))</f>
        <v/>
      </c>
      <c r="Y474" s="8">
        <f>1</f>
        <v/>
      </c>
      <c r="Z474" s="9">
        <f>Y474*X474</f>
        <v/>
      </c>
      <c r="AA474" s="10">
        <f>IF(W474&gt;$AE$32,1,0)</f>
        <v/>
      </c>
      <c r="AB474">
        <f>IF(AA474=C474,1,0)</f>
        <v/>
      </c>
    </row>
    <row r="475">
      <c r="A475">
        <f>'1 datos preparados'!A468</f>
        <v/>
      </c>
      <c r="B475" s="5">
        <f>'1 datos preparados'!U468</f>
        <v/>
      </c>
      <c r="C475">
        <f>'1 datos preparados'!B468</f>
        <v/>
      </c>
      <c r="D475" s="7">
        <f>'1 datos preparados'!C468</f>
        <v/>
      </c>
      <c r="E475" s="7">
        <f>'1 datos preparados'!D468</f>
        <v/>
      </c>
      <c r="F475" s="7">
        <f>'1 datos preparados'!E468</f>
        <v/>
      </c>
      <c r="G475" s="7">
        <f>'1 datos preparados'!F468</f>
        <v/>
      </c>
      <c r="H475" s="7">
        <f>'1 datos preparados'!G468</f>
        <v/>
      </c>
      <c r="I475" s="7">
        <f>'1 datos preparados'!H468</f>
        <v/>
      </c>
      <c r="J475" s="7">
        <f>'1 datos preparados'!I468</f>
        <v/>
      </c>
      <c r="K475" s="7">
        <f>'1 datos preparados'!J468</f>
        <v/>
      </c>
      <c r="L475" s="7">
        <f>'1 datos preparados'!K468</f>
        <v/>
      </c>
      <c r="M475" s="7">
        <f>'1 datos preparados'!L468</f>
        <v/>
      </c>
      <c r="N475" s="7">
        <f>'1 datos preparados'!M468</f>
        <v/>
      </c>
      <c r="O475" s="7">
        <f>'1 datos preparados'!N468</f>
        <v/>
      </c>
      <c r="P475" s="7">
        <f>'1 datos preparados'!O468</f>
        <v/>
      </c>
      <c r="Q475" s="7">
        <f>'1 datos preparados'!P468</f>
        <v/>
      </c>
      <c r="R475" s="7">
        <f>'1 datos preparados'!Q468</f>
        <v/>
      </c>
      <c r="S475" s="7">
        <f>'1 datos preparados'!R468</f>
        <v/>
      </c>
      <c r="T475" s="7">
        <f>'1 datos preparados'!S468</f>
        <v/>
      </c>
      <c r="U475" s="7">
        <f>'1 datos preparados'!T468</f>
        <v/>
      </c>
      <c r="V475" s="8">
        <f>$AE$12+D475*$AE$13+E475*$AE$14+F475*$AE$15+G475*$AE$16+H475*$AE$17+I475*$AE$18+J475*$AE$19+K475*$AE$20+L475*$AE$21+M475*$AE$22+N475*$AE$23+O475*$AE$24+P475*$AE$25+Q475*$AE$26+R475*$AE$27+S475*$AE$28+T475*$AE$29+U475*$AE$30</f>
        <v/>
      </c>
      <c r="W475" s="8">
        <f>1/(1+EXP(-V475))</f>
        <v/>
      </c>
      <c r="X475" s="9">
        <f>-IF(C475=1,LN(W475),LN(1-W475))</f>
        <v/>
      </c>
      <c r="Y475" s="8">
        <f>1</f>
        <v/>
      </c>
      <c r="Z475" s="9">
        <f>Y475*X475</f>
        <v/>
      </c>
      <c r="AA475" s="10">
        <f>IF(W475&gt;$AE$32,1,0)</f>
        <v/>
      </c>
      <c r="AB475">
        <f>IF(AA475=C475,1,0)</f>
        <v/>
      </c>
    </row>
    <row r="476">
      <c r="A476">
        <f>'1 datos preparados'!A469</f>
        <v/>
      </c>
      <c r="B476" s="5">
        <f>'1 datos preparados'!U469</f>
        <v/>
      </c>
      <c r="C476">
        <f>'1 datos preparados'!B469</f>
        <v/>
      </c>
      <c r="D476" s="7">
        <f>'1 datos preparados'!C469</f>
        <v/>
      </c>
      <c r="E476" s="7">
        <f>'1 datos preparados'!D469</f>
        <v/>
      </c>
      <c r="F476" s="7">
        <f>'1 datos preparados'!E469</f>
        <v/>
      </c>
      <c r="G476" s="7">
        <f>'1 datos preparados'!F469</f>
        <v/>
      </c>
      <c r="H476" s="7">
        <f>'1 datos preparados'!G469</f>
        <v/>
      </c>
      <c r="I476" s="7">
        <f>'1 datos preparados'!H469</f>
        <v/>
      </c>
      <c r="J476" s="7">
        <f>'1 datos preparados'!I469</f>
        <v/>
      </c>
      <c r="K476" s="7">
        <f>'1 datos preparados'!J469</f>
        <v/>
      </c>
      <c r="L476" s="7">
        <f>'1 datos preparados'!K469</f>
        <v/>
      </c>
      <c r="M476" s="7">
        <f>'1 datos preparados'!L469</f>
        <v/>
      </c>
      <c r="N476" s="7">
        <f>'1 datos preparados'!M469</f>
        <v/>
      </c>
      <c r="O476" s="7">
        <f>'1 datos preparados'!N469</f>
        <v/>
      </c>
      <c r="P476" s="7">
        <f>'1 datos preparados'!O469</f>
        <v/>
      </c>
      <c r="Q476" s="7">
        <f>'1 datos preparados'!P469</f>
        <v/>
      </c>
      <c r="R476" s="7">
        <f>'1 datos preparados'!Q469</f>
        <v/>
      </c>
      <c r="S476" s="7">
        <f>'1 datos preparados'!R469</f>
        <v/>
      </c>
      <c r="T476" s="7">
        <f>'1 datos preparados'!S469</f>
        <v/>
      </c>
      <c r="U476" s="7">
        <f>'1 datos preparados'!T469</f>
        <v/>
      </c>
      <c r="V476" s="8">
        <f>$AE$12+D476*$AE$13+E476*$AE$14+F476*$AE$15+G476*$AE$16+H476*$AE$17+I476*$AE$18+J476*$AE$19+K476*$AE$20+L476*$AE$21+M476*$AE$22+N476*$AE$23+O476*$AE$24+P476*$AE$25+Q476*$AE$26+R476*$AE$27+S476*$AE$28+T476*$AE$29+U476*$AE$30</f>
        <v/>
      </c>
      <c r="W476" s="8">
        <f>1/(1+EXP(-V476))</f>
        <v/>
      </c>
      <c r="X476" s="9">
        <f>-IF(C476=1,LN(W476),LN(1-W476))</f>
        <v/>
      </c>
      <c r="Y476" s="8">
        <f>1</f>
        <v/>
      </c>
      <c r="Z476" s="9">
        <f>Y476*X476</f>
        <v/>
      </c>
      <c r="AA476" s="10">
        <f>IF(W476&gt;$AE$32,1,0)</f>
        <v/>
      </c>
      <c r="AB476">
        <f>IF(AA476=C476,1,0)</f>
        <v/>
      </c>
    </row>
    <row r="477">
      <c r="A477">
        <f>'1 datos preparados'!A470</f>
        <v/>
      </c>
      <c r="B477" s="5">
        <f>'1 datos preparados'!U470</f>
        <v/>
      </c>
      <c r="C477">
        <f>'1 datos preparados'!B470</f>
        <v/>
      </c>
      <c r="D477" s="7">
        <f>'1 datos preparados'!C470</f>
        <v/>
      </c>
      <c r="E477" s="7">
        <f>'1 datos preparados'!D470</f>
        <v/>
      </c>
      <c r="F477" s="7">
        <f>'1 datos preparados'!E470</f>
        <v/>
      </c>
      <c r="G477" s="7">
        <f>'1 datos preparados'!F470</f>
        <v/>
      </c>
      <c r="H477" s="7">
        <f>'1 datos preparados'!G470</f>
        <v/>
      </c>
      <c r="I477" s="7">
        <f>'1 datos preparados'!H470</f>
        <v/>
      </c>
      <c r="J477" s="7">
        <f>'1 datos preparados'!I470</f>
        <v/>
      </c>
      <c r="K477" s="7">
        <f>'1 datos preparados'!J470</f>
        <v/>
      </c>
      <c r="L477" s="7">
        <f>'1 datos preparados'!K470</f>
        <v/>
      </c>
      <c r="M477" s="7">
        <f>'1 datos preparados'!L470</f>
        <v/>
      </c>
      <c r="N477" s="7">
        <f>'1 datos preparados'!M470</f>
        <v/>
      </c>
      <c r="O477" s="7">
        <f>'1 datos preparados'!N470</f>
        <v/>
      </c>
      <c r="P477" s="7">
        <f>'1 datos preparados'!O470</f>
        <v/>
      </c>
      <c r="Q477" s="7">
        <f>'1 datos preparados'!P470</f>
        <v/>
      </c>
      <c r="R477" s="7">
        <f>'1 datos preparados'!Q470</f>
        <v/>
      </c>
      <c r="S477" s="7">
        <f>'1 datos preparados'!R470</f>
        <v/>
      </c>
      <c r="T477" s="7">
        <f>'1 datos preparados'!S470</f>
        <v/>
      </c>
      <c r="U477" s="7">
        <f>'1 datos preparados'!T470</f>
        <v/>
      </c>
      <c r="V477" s="8">
        <f>$AE$12+D477*$AE$13+E477*$AE$14+F477*$AE$15+G477*$AE$16+H477*$AE$17+I477*$AE$18+J477*$AE$19+K477*$AE$20+L477*$AE$21+M477*$AE$22+N477*$AE$23+O477*$AE$24+P477*$AE$25+Q477*$AE$26+R477*$AE$27+S477*$AE$28+T477*$AE$29+U477*$AE$30</f>
        <v/>
      </c>
      <c r="W477" s="8">
        <f>1/(1+EXP(-V477))</f>
        <v/>
      </c>
      <c r="X477" s="9">
        <f>-IF(C477=1,LN(W477),LN(1-W477))</f>
        <v/>
      </c>
      <c r="Y477" s="8">
        <f>1</f>
        <v/>
      </c>
      <c r="Z477" s="9">
        <f>Y477*X477</f>
        <v/>
      </c>
      <c r="AA477" s="10">
        <f>IF(W477&gt;$AE$32,1,0)</f>
        <v/>
      </c>
      <c r="AB477">
        <f>IF(AA477=C477,1,0)</f>
        <v/>
      </c>
    </row>
    <row r="478">
      <c r="A478">
        <f>'1 datos preparados'!A471</f>
        <v/>
      </c>
      <c r="B478" s="5">
        <f>'1 datos preparados'!U471</f>
        <v/>
      </c>
      <c r="C478">
        <f>'1 datos preparados'!B471</f>
        <v/>
      </c>
      <c r="D478" s="7">
        <f>'1 datos preparados'!C471</f>
        <v/>
      </c>
      <c r="E478" s="7">
        <f>'1 datos preparados'!D471</f>
        <v/>
      </c>
      <c r="F478" s="7">
        <f>'1 datos preparados'!E471</f>
        <v/>
      </c>
      <c r="G478" s="7">
        <f>'1 datos preparados'!F471</f>
        <v/>
      </c>
      <c r="H478" s="7">
        <f>'1 datos preparados'!G471</f>
        <v/>
      </c>
      <c r="I478" s="7">
        <f>'1 datos preparados'!H471</f>
        <v/>
      </c>
      <c r="J478" s="7">
        <f>'1 datos preparados'!I471</f>
        <v/>
      </c>
      <c r="K478" s="7">
        <f>'1 datos preparados'!J471</f>
        <v/>
      </c>
      <c r="L478" s="7">
        <f>'1 datos preparados'!K471</f>
        <v/>
      </c>
      <c r="M478" s="7">
        <f>'1 datos preparados'!L471</f>
        <v/>
      </c>
      <c r="N478" s="7">
        <f>'1 datos preparados'!M471</f>
        <v/>
      </c>
      <c r="O478" s="7">
        <f>'1 datos preparados'!N471</f>
        <v/>
      </c>
      <c r="P478" s="7">
        <f>'1 datos preparados'!O471</f>
        <v/>
      </c>
      <c r="Q478" s="7">
        <f>'1 datos preparados'!P471</f>
        <v/>
      </c>
      <c r="R478" s="7">
        <f>'1 datos preparados'!Q471</f>
        <v/>
      </c>
      <c r="S478" s="7">
        <f>'1 datos preparados'!R471</f>
        <v/>
      </c>
      <c r="T478" s="7">
        <f>'1 datos preparados'!S471</f>
        <v/>
      </c>
      <c r="U478" s="7">
        <f>'1 datos preparados'!T471</f>
        <v/>
      </c>
      <c r="V478" s="8">
        <f>$AE$12+D478*$AE$13+E478*$AE$14+F478*$AE$15+G478*$AE$16+H478*$AE$17+I478*$AE$18+J478*$AE$19+K478*$AE$20+L478*$AE$21+M478*$AE$22+N478*$AE$23+O478*$AE$24+P478*$AE$25+Q478*$AE$26+R478*$AE$27+S478*$AE$28+T478*$AE$29+U478*$AE$30</f>
        <v/>
      </c>
      <c r="W478" s="8">
        <f>1/(1+EXP(-V478))</f>
        <v/>
      </c>
      <c r="X478" s="9">
        <f>-IF(C478=1,LN(W478),LN(1-W478))</f>
        <v/>
      </c>
      <c r="Y478" s="8">
        <f>1</f>
        <v/>
      </c>
      <c r="Z478" s="9">
        <f>Y478*X478</f>
        <v/>
      </c>
      <c r="AA478" s="10">
        <f>IF(W478&gt;$AE$32,1,0)</f>
        <v/>
      </c>
      <c r="AB478">
        <f>IF(AA478=C478,1,0)</f>
        <v/>
      </c>
    </row>
    <row r="479">
      <c r="A479">
        <f>'1 datos preparados'!A472</f>
        <v/>
      </c>
      <c r="B479" s="5">
        <f>'1 datos preparados'!U472</f>
        <v/>
      </c>
      <c r="C479">
        <f>'1 datos preparados'!B472</f>
        <v/>
      </c>
      <c r="D479" s="7">
        <f>'1 datos preparados'!C472</f>
        <v/>
      </c>
      <c r="E479" s="7">
        <f>'1 datos preparados'!D472</f>
        <v/>
      </c>
      <c r="F479" s="7">
        <f>'1 datos preparados'!E472</f>
        <v/>
      </c>
      <c r="G479" s="7">
        <f>'1 datos preparados'!F472</f>
        <v/>
      </c>
      <c r="H479" s="7">
        <f>'1 datos preparados'!G472</f>
        <v/>
      </c>
      <c r="I479" s="7">
        <f>'1 datos preparados'!H472</f>
        <v/>
      </c>
      <c r="J479" s="7">
        <f>'1 datos preparados'!I472</f>
        <v/>
      </c>
      <c r="K479" s="7">
        <f>'1 datos preparados'!J472</f>
        <v/>
      </c>
      <c r="L479" s="7">
        <f>'1 datos preparados'!K472</f>
        <v/>
      </c>
      <c r="M479" s="7">
        <f>'1 datos preparados'!L472</f>
        <v/>
      </c>
      <c r="N479" s="7">
        <f>'1 datos preparados'!M472</f>
        <v/>
      </c>
      <c r="O479" s="7">
        <f>'1 datos preparados'!N472</f>
        <v/>
      </c>
      <c r="P479" s="7">
        <f>'1 datos preparados'!O472</f>
        <v/>
      </c>
      <c r="Q479" s="7">
        <f>'1 datos preparados'!P472</f>
        <v/>
      </c>
      <c r="R479" s="7">
        <f>'1 datos preparados'!Q472</f>
        <v/>
      </c>
      <c r="S479" s="7">
        <f>'1 datos preparados'!R472</f>
        <v/>
      </c>
      <c r="T479" s="7">
        <f>'1 datos preparados'!S472</f>
        <v/>
      </c>
      <c r="U479" s="7">
        <f>'1 datos preparados'!T472</f>
        <v/>
      </c>
      <c r="V479" s="8">
        <f>$AE$12+D479*$AE$13+E479*$AE$14+F479*$AE$15+G479*$AE$16+H479*$AE$17+I479*$AE$18+J479*$AE$19+K479*$AE$20+L479*$AE$21+M479*$AE$22+N479*$AE$23+O479*$AE$24+P479*$AE$25+Q479*$AE$26+R479*$AE$27+S479*$AE$28+T479*$AE$29+U479*$AE$30</f>
        <v/>
      </c>
      <c r="W479" s="8">
        <f>1/(1+EXP(-V479))</f>
        <v/>
      </c>
      <c r="X479" s="9">
        <f>-IF(C479=1,LN(W479),LN(1-W479))</f>
        <v/>
      </c>
      <c r="Y479" s="8">
        <f>1</f>
        <v/>
      </c>
      <c r="Z479" s="9">
        <f>Y479*X479</f>
        <v/>
      </c>
      <c r="AA479" s="10">
        <f>IF(W479&gt;$AE$32,1,0)</f>
        <v/>
      </c>
      <c r="AB479">
        <f>IF(AA479=C479,1,0)</f>
        <v/>
      </c>
    </row>
    <row r="480">
      <c r="A480">
        <f>'1 datos preparados'!A473</f>
        <v/>
      </c>
      <c r="B480" s="5">
        <f>'1 datos preparados'!U473</f>
        <v/>
      </c>
      <c r="C480">
        <f>'1 datos preparados'!B473</f>
        <v/>
      </c>
      <c r="D480" s="7">
        <f>'1 datos preparados'!C473</f>
        <v/>
      </c>
      <c r="E480" s="7">
        <f>'1 datos preparados'!D473</f>
        <v/>
      </c>
      <c r="F480" s="7">
        <f>'1 datos preparados'!E473</f>
        <v/>
      </c>
      <c r="G480" s="7">
        <f>'1 datos preparados'!F473</f>
        <v/>
      </c>
      <c r="H480" s="7">
        <f>'1 datos preparados'!G473</f>
        <v/>
      </c>
      <c r="I480" s="7">
        <f>'1 datos preparados'!H473</f>
        <v/>
      </c>
      <c r="J480" s="7">
        <f>'1 datos preparados'!I473</f>
        <v/>
      </c>
      <c r="K480" s="7">
        <f>'1 datos preparados'!J473</f>
        <v/>
      </c>
      <c r="L480" s="7">
        <f>'1 datos preparados'!K473</f>
        <v/>
      </c>
      <c r="M480" s="7">
        <f>'1 datos preparados'!L473</f>
        <v/>
      </c>
      <c r="N480" s="7">
        <f>'1 datos preparados'!M473</f>
        <v/>
      </c>
      <c r="O480" s="7">
        <f>'1 datos preparados'!N473</f>
        <v/>
      </c>
      <c r="P480" s="7">
        <f>'1 datos preparados'!O473</f>
        <v/>
      </c>
      <c r="Q480" s="7">
        <f>'1 datos preparados'!P473</f>
        <v/>
      </c>
      <c r="R480" s="7">
        <f>'1 datos preparados'!Q473</f>
        <v/>
      </c>
      <c r="S480" s="7">
        <f>'1 datos preparados'!R473</f>
        <v/>
      </c>
      <c r="T480" s="7">
        <f>'1 datos preparados'!S473</f>
        <v/>
      </c>
      <c r="U480" s="7">
        <f>'1 datos preparados'!T473</f>
        <v/>
      </c>
      <c r="V480" s="8">
        <f>$AE$12+D480*$AE$13+E480*$AE$14+F480*$AE$15+G480*$AE$16+H480*$AE$17+I480*$AE$18+J480*$AE$19+K480*$AE$20+L480*$AE$21+M480*$AE$22+N480*$AE$23+O480*$AE$24+P480*$AE$25+Q480*$AE$26+R480*$AE$27+S480*$AE$28+T480*$AE$29+U480*$AE$30</f>
        <v/>
      </c>
      <c r="W480" s="8">
        <f>1/(1+EXP(-V480))</f>
        <v/>
      </c>
      <c r="X480" s="9">
        <f>-IF(C480=1,LN(W480),LN(1-W480))</f>
        <v/>
      </c>
      <c r="Y480" s="8">
        <f>1</f>
        <v/>
      </c>
      <c r="Z480" s="9">
        <f>Y480*X480</f>
        <v/>
      </c>
      <c r="AA480" s="10">
        <f>IF(W480&gt;$AE$32,1,0)</f>
        <v/>
      </c>
      <c r="AB480">
        <f>IF(AA480=C480,1,0)</f>
        <v/>
      </c>
    </row>
    <row r="481">
      <c r="A481">
        <f>'1 datos preparados'!A474</f>
        <v/>
      </c>
      <c r="B481" s="5">
        <f>'1 datos preparados'!U474</f>
        <v/>
      </c>
      <c r="C481">
        <f>'1 datos preparados'!B474</f>
        <v/>
      </c>
      <c r="D481" s="7">
        <f>'1 datos preparados'!C474</f>
        <v/>
      </c>
      <c r="E481" s="7">
        <f>'1 datos preparados'!D474</f>
        <v/>
      </c>
      <c r="F481" s="7">
        <f>'1 datos preparados'!E474</f>
        <v/>
      </c>
      <c r="G481" s="7">
        <f>'1 datos preparados'!F474</f>
        <v/>
      </c>
      <c r="H481" s="7">
        <f>'1 datos preparados'!G474</f>
        <v/>
      </c>
      <c r="I481" s="7">
        <f>'1 datos preparados'!H474</f>
        <v/>
      </c>
      <c r="J481" s="7">
        <f>'1 datos preparados'!I474</f>
        <v/>
      </c>
      <c r="K481" s="7">
        <f>'1 datos preparados'!J474</f>
        <v/>
      </c>
      <c r="L481" s="7">
        <f>'1 datos preparados'!K474</f>
        <v/>
      </c>
      <c r="M481" s="7">
        <f>'1 datos preparados'!L474</f>
        <v/>
      </c>
      <c r="N481" s="7">
        <f>'1 datos preparados'!M474</f>
        <v/>
      </c>
      <c r="O481" s="7">
        <f>'1 datos preparados'!N474</f>
        <v/>
      </c>
      <c r="P481" s="7">
        <f>'1 datos preparados'!O474</f>
        <v/>
      </c>
      <c r="Q481" s="7">
        <f>'1 datos preparados'!P474</f>
        <v/>
      </c>
      <c r="R481" s="7">
        <f>'1 datos preparados'!Q474</f>
        <v/>
      </c>
      <c r="S481" s="7">
        <f>'1 datos preparados'!R474</f>
        <v/>
      </c>
      <c r="T481" s="7">
        <f>'1 datos preparados'!S474</f>
        <v/>
      </c>
      <c r="U481" s="7">
        <f>'1 datos preparados'!T474</f>
        <v/>
      </c>
      <c r="V481" s="8">
        <f>$AE$12+D481*$AE$13+E481*$AE$14+F481*$AE$15+G481*$AE$16+H481*$AE$17+I481*$AE$18+J481*$AE$19+K481*$AE$20+L481*$AE$21+M481*$AE$22+N481*$AE$23+O481*$AE$24+P481*$AE$25+Q481*$AE$26+R481*$AE$27+S481*$AE$28+T481*$AE$29+U481*$AE$30</f>
        <v/>
      </c>
      <c r="W481" s="8">
        <f>1/(1+EXP(-V481))</f>
        <v/>
      </c>
      <c r="X481" s="9">
        <f>-IF(C481=1,LN(W481),LN(1-W481))</f>
        <v/>
      </c>
      <c r="Y481" s="8">
        <f>1</f>
        <v/>
      </c>
      <c r="Z481" s="9">
        <f>Y481*X481</f>
        <v/>
      </c>
      <c r="AA481" s="10">
        <f>IF(W481&gt;$AE$32,1,0)</f>
        <v/>
      </c>
      <c r="AB481">
        <f>IF(AA481=C481,1,0)</f>
        <v/>
      </c>
    </row>
    <row r="482">
      <c r="A482">
        <f>'1 datos preparados'!A475</f>
        <v/>
      </c>
      <c r="B482" s="5">
        <f>'1 datos preparados'!U475</f>
        <v/>
      </c>
      <c r="C482">
        <f>'1 datos preparados'!B475</f>
        <v/>
      </c>
      <c r="D482" s="7">
        <f>'1 datos preparados'!C475</f>
        <v/>
      </c>
      <c r="E482" s="7">
        <f>'1 datos preparados'!D475</f>
        <v/>
      </c>
      <c r="F482" s="7">
        <f>'1 datos preparados'!E475</f>
        <v/>
      </c>
      <c r="G482" s="7">
        <f>'1 datos preparados'!F475</f>
        <v/>
      </c>
      <c r="H482" s="7">
        <f>'1 datos preparados'!G475</f>
        <v/>
      </c>
      <c r="I482" s="7">
        <f>'1 datos preparados'!H475</f>
        <v/>
      </c>
      <c r="J482" s="7">
        <f>'1 datos preparados'!I475</f>
        <v/>
      </c>
      <c r="K482" s="7">
        <f>'1 datos preparados'!J475</f>
        <v/>
      </c>
      <c r="L482" s="7">
        <f>'1 datos preparados'!K475</f>
        <v/>
      </c>
      <c r="M482" s="7">
        <f>'1 datos preparados'!L475</f>
        <v/>
      </c>
      <c r="N482" s="7">
        <f>'1 datos preparados'!M475</f>
        <v/>
      </c>
      <c r="O482" s="7">
        <f>'1 datos preparados'!N475</f>
        <v/>
      </c>
      <c r="P482" s="7">
        <f>'1 datos preparados'!O475</f>
        <v/>
      </c>
      <c r="Q482" s="7">
        <f>'1 datos preparados'!P475</f>
        <v/>
      </c>
      <c r="R482" s="7">
        <f>'1 datos preparados'!Q475</f>
        <v/>
      </c>
      <c r="S482" s="7">
        <f>'1 datos preparados'!R475</f>
        <v/>
      </c>
      <c r="T482" s="7">
        <f>'1 datos preparados'!S475</f>
        <v/>
      </c>
      <c r="U482" s="7">
        <f>'1 datos preparados'!T475</f>
        <v/>
      </c>
      <c r="V482" s="8">
        <f>$AE$12+D482*$AE$13+E482*$AE$14+F482*$AE$15+G482*$AE$16+H482*$AE$17+I482*$AE$18+J482*$AE$19+K482*$AE$20+L482*$AE$21+M482*$AE$22+N482*$AE$23+O482*$AE$24+P482*$AE$25+Q482*$AE$26+R482*$AE$27+S482*$AE$28+T482*$AE$29+U482*$AE$30</f>
        <v/>
      </c>
      <c r="W482" s="8">
        <f>1/(1+EXP(-V482))</f>
        <v/>
      </c>
      <c r="X482" s="9">
        <f>-IF(C482=1,LN(W482),LN(1-W482))</f>
        <v/>
      </c>
      <c r="Y482" s="8">
        <f>1</f>
        <v/>
      </c>
      <c r="Z482" s="9">
        <f>Y482*X482</f>
        <v/>
      </c>
      <c r="AA482" s="10">
        <f>IF(W482&gt;$AE$32,1,0)</f>
        <v/>
      </c>
      <c r="AB482">
        <f>IF(AA482=C482,1,0)</f>
        <v/>
      </c>
    </row>
    <row r="483">
      <c r="A483">
        <f>'1 datos preparados'!A476</f>
        <v/>
      </c>
      <c r="B483" s="5">
        <f>'1 datos preparados'!U476</f>
        <v/>
      </c>
      <c r="C483">
        <f>'1 datos preparados'!B476</f>
        <v/>
      </c>
      <c r="D483" s="7">
        <f>'1 datos preparados'!C476</f>
        <v/>
      </c>
      <c r="E483" s="7">
        <f>'1 datos preparados'!D476</f>
        <v/>
      </c>
      <c r="F483" s="7">
        <f>'1 datos preparados'!E476</f>
        <v/>
      </c>
      <c r="G483" s="7">
        <f>'1 datos preparados'!F476</f>
        <v/>
      </c>
      <c r="H483" s="7">
        <f>'1 datos preparados'!G476</f>
        <v/>
      </c>
      <c r="I483" s="7">
        <f>'1 datos preparados'!H476</f>
        <v/>
      </c>
      <c r="J483" s="7">
        <f>'1 datos preparados'!I476</f>
        <v/>
      </c>
      <c r="K483" s="7">
        <f>'1 datos preparados'!J476</f>
        <v/>
      </c>
      <c r="L483" s="7">
        <f>'1 datos preparados'!K476</f>
        <v/>
      </c>
      <c r="M483" s="7">
        <f>'1 datos preparados'!L476</f>
        <v/>
      </c>
      <c r="N483" s="7">
        <f>'1 datos preparados'!M476</f>
        <v/>
      </c>
      <c r="O483" s="7">
        <f>'1 datos preparados'!N476</f>
        <v/>
      </c>
      <c r="P483" s="7">
        <f>'1 datos preparados'!O476</f>
        <v/>
      </c>
      <c r="Q483" s="7">
        <f>'1 datos preparados'!P476</f>
        <v/>
      </c>
      <c r="R483" s="7">
        <f>'1 datos preparados'!Q476</f>
        <v/>
      </c>
      <c r="S483" s="7">
        <f>'1 datos preparados'!R476</f>
        <v/>
      </c>
      <c r="T483" s="7">
        <f>'1 datos preparados'!S476</f>
        <v/>
      </c>
      <c r="U483" s="7">
        <f>'1 datos preparados'!T476</f>
        <v/>
      </c>
      <c r="V483" s="8">
        <f>$AE$12+D483*$AE$13+E483*$AE$14+F483*$AE$15+G483*$AE$16+H483*$AE$17+I483*$AE$18+J483*$AE$19+K483*$AE$20+L483*$AE$21+M483*$AE$22+N483*$AE$23+O483*$AE$24+P483*$AE$25+Q483*$AE$26+R483*$AE$27+S483*$AE$28+T483*$AE$29+U483*$AE$30</f>
        <v/>
      </c>
      <c r="W483" s="8">
        <f>1/(1+EXP(-V483))</f>
        <v/>
      </c>
      <c r="X483" s="9">
        <f>-IF(C483=1,LN(W483),LN(1-W483))</f>
        <v/>
      </c>
      <c r="Y483" s="8">
        <f>1</f>
        <v/>
      </c>
      <c r="Z483" s="9">
        <f>Y483*X483</f>
        <v/>
      </c>
      <c r="AA483" s="10">
        <f>IF(W483&gt;$AE$32,1,0)</f>
        <v/>
      </c>
      <c r="AB483">
        <f>IF(AA483=C483,1,0)</f>
        <v/>
      </c>
    </row>
    <row r="484">
      <c r="A484">
        <f>'1 datos preparados'!A477</f>
        <v/>
      </c>
      <c r="B484" s="5">
        <f>'1 datos preparados'!U477</f>
        <v/>
      </c>
      <c r="C484">
        <f>'1 datos preparados'!B477</f>
        <v/>
      </c>
      <c r="D484" s="7">
        <f>'1 datos preparados'!C477</f>
        <v/>
      </c>
      <c r="E484" s="7">
        <f>'1 datos preparados'!D477</f>
        <v/>
      </c>
      <c r="F484" s="7">
        <f>'1 datos preparados'!E477</f>
        <v/>
      </c>
      <c r="G484" s="7">
        <f>'1 datos preparados'!F477</f>
        <v/>
      </c>
      <c r="H484" s="7">
        <f>'1 datos preparados'!G477</f>
        <v/>
      </c>
      <c r="I484" s="7">
        <f>'1 datos preparados'!H477</f>
        <v/>
      </c>
      <c r="J484" s="7">
        <f>'1 datos preparados'!I477</f>
        <v/>
      </c>
      <c r="K484" s="7">
        <f>'1 datos preparados'!J477</f>
        <v/>
      </c>
      <c r="L484" s="7">
        <f>'1 datos preparados'!K477</f>
        <v/>
      </c>
      <c r="M484" s="7">
        <f>'1 datos preparados'!L477</f>
        <v/>
      </c>
      <c r="N484" s="7">
        <f>'1 datos preparados'!M477</f>
        <v/>
      </c>
      <c r="O484" s="7">
        <f>'1 datos preparados'!N477</f>
        <v/>
      </c>
      <c r="P484" s="7">
        <f>'1 datos preparados'!O477</f>
        <v/>
      </c>
      <c r="Q484" s="7">
        <f>'1 datos preparados'!P477</f>
        <v/>
      </c>
      <c r="R484" s="7">
        <f>'1 datos preparados'!Q477</f>
        <v/>
      </c>
      <c r="S484" s="7">
        <f>'1 datos preparados'!R477</f>
        <v/>
      </c>
      <c r="T484" s="7">
        <f>'1 datos preparados'!S477</f>
        <v/>
      </c>
      <c r="U484" s="7">
        <f>'1 datos preparados'!T477</f>
        <v/>
      </c>
      <c r="V484" s="8">
        <f>$AE$12+D484*$AE$13+E484*$AE$14+F484*$AE$15+G484*$AE$16+H484*$AE$17+I484*$AE$18+J484*$AE$19+K484*$AE$20+L484*$AE$21+M484*$AE$22+N484*$AE$23+O484*$AE$24+P484*$AE$25+Q484*$AE$26+R484*$AE$27+S484*$AE$28+T484*$AE$29+U484*$AE$30</f>
        <v/>
      </c>
      <c r="W484" s="8">
        <f>1/(1+EXP(-V484))</f>
        <v/>
      </c>
      <c r="X484" s="9">
        <f>-IF(C484=1,LN(W484),LN(1-W484))</f>
        <v/>
      </c>
      <c r="Y484" s="8">
        <f>1</f>
        <v/>
      </c>
      <c r="Z484" s="9">
        <f>Y484*X484</f>
        <v/>
      </c>
      <c r="AA484" s="10">
        <f>IF(W484&gt;$AE$32,1,0)</f>
        <v/>
      </c>
      <c r="AB484">
        <f>IF(AA484=C484,1,0)</f>
        <v/>
      </c>
    </row>
    <row r="485">
      <c r="A485">
        <f>'1 datos preparados'!A478</f>
        <v/>
      </c>
      <c r="B485" s="5">
        <f>'1 datos preparados'!U478</f>
        <v/>
      </c>
      <c r="C485">
        <f>'1 datos preparados'!B478</f>
        <v/>
      </c>
      <c r="D485" s="7">
        <f>'1 datos preparados'!C478</f>
        <v/>
      </c>
      <c r="E485" s="7">
        <f>'1 datos preparados'!D478</f>
        <v/>
      </c>
      <c r="F485" s="7">
        <f>'1 datos preparados'!E478</f>
        <v/>
      </c>
      <c r="G485" s="7">
        <f>'1 datos preparados'!F478</f>
        <v/>
      </c>
      <c r="H485" s="7">
        <f>'1 datos preparados'!G478</f>
        <v/>
      </c>
      <c r="I485" s="7">
        <f>'1 datos preparados'!H478</f>
        <v/>
      </c>
      <c r="J485" s="7">
        <f>'1 datos preparados'!I478</f>
        <v/>
      </c>
      <c r="K485" s="7">
        <f>'1 datos preparados'!J478</f>
        <v/>
      </c>
      <c r="L485" s="7">
        <f>'1 datos preparados'!K478</f>
        <v/>
      </c>
      <c r="M485" s="7">
        <f>'1 datos preparados'!L478</f>
        <v/>
      </c>
      <c r="N485" s="7">
        <f>'1 datos preparados'!M478</f>
        <v/>
      </c>
      <c r="O485" s="7">
        <f>'1 datos preparados'!N478</f>
        <v/>
      </c>
      <c r="P485" s="7">
        <f>'1 datos preparados'!O478</f>
        <v/>
      </c>
      <c r="Q485" s="7">
        <f>'1 datos preparados'!P478</f>
        <v/>
      </c>
      <c r="R485" s="7">
        <f>'1 datos preparados'!Q478</f>
        <v/>
      </c>
      <c r="S485" s="7">
        <f>'1 datos preparados'!R478</f>
        <v/>
      </c>
      <c r="T485" s="7">
        <f>'1 datos preparados'!S478</f>
        <v/>
      </c>
      <c r="U485" s="7">
        <f>'1 datos preparados'!T478</f>
        <v/>
      </c>
      <c r="V485" s="8">
        <f>$AE$12+D485*$AE$13+E485*$AE$14+F485*$AE$15+G485*$AE$16+H485*$AE$17+I485*$AE$18+J485*$AE$19+K485*$AE$20+L485*$AE$21+M485*$AE$22+N485*$AE$23+O485*$AE$24+P485*$AE$25+Q485*$AE$26+R485*$AE$27+S485*$AE$28+T485*$AE$29+U485*$AE$30</f>
        <v/>
      </c>
      <c r="W485" s="8">
        <f>1/(1+EXP(-V485))</f>
        <v/>
      </c>
      <c r="X485" s="9">
        <f>-IF(C485=1,LN(W485),LN(1-W485))</f>
        <v/>
      </c>
      <c r="Y485" s="8">
        <f>1</f>
        <v/>
      </c>
      <c r="Z485" s="9">
        <f>Y485*X485</f>
        <v/>
      </c>
      <c r="AA485" s="10">
        <f>IF(W485&gt;$AE$32,1,0)</f>
        <v/>
      </c>
      <c r="AB485">
        <f>IF(AA485=C485,1,0)</f>
        <v/>
      </c>
    </row>
    <row r="486">
      <c r="A486">
        <f>'1 datos preparados'!A479</f>
        <v/>
      </c>
      <c r="B486" s="5">
        <f>'1 datos preparados'!U479</f>
        <v/>
      </c>
      <c r="C486">
        <f>'1 datos preparados'!B479</f>
        <v/>
      </c>
      <c r="D486" s="7">
        <f>'1 datos preparados'!C479</f>
        <v/>
      </c>
      <c r="E486" s="7">
        <f>'1 datos preparados'!D479</f>
        <v/>
      </c>
      <c r="F486" s="7">
        <f>'1 datos preparados'!E479</f>
        <v/>
      </c>
      <c r="G486" s="7">
        <f>'1 datos preparados'!F479</f>
        <v/>
      </c>
      <c r="H486" s="7">
        <f>'1 datos preparados'!G479</f>
        <v/>
      </c>
      <c r="I486" s="7">
        <f>'1 datos preparados'!H479</f>
        <v/>
      </c>
      <c r="J486" s="7">
        <f>'1 datos preparados'!I479</f>
        <v/>
      </c>
      <c r="K486" s="7">
        <f>'1 datos preparados'!J479</f>
        <v/>
      </c>
      <c r="L486" s="7">
        <f>'1 datos preparados'!K479</f>
        <v/>
      </c>
      <c r="M486" s="7">
        <f>'1 datos preparados'!L479</f>
        <v/>
      </c>
      <c r="N486" s="7">
        <f>'1 datos preparados'!M479</f>
        <v/>
      </c>
      <c r="O486" s="7">
        <f>'1 datos preparados'!N479</f>
        <v/>
      </c>
      <c r="P486" s="7">
        <f>'1 datos preparados'!O479</f>
        <v/>
      </c>
      <c r="Q486" s="7">
        <f>'1 datos preparados'!P479</f>
        <v/>
      </c>
      <c r="R486" s="7">
        <f>'1 datos preparados'!Q479</f>
        <v/>
      </c>
      <c r="S486" s="7">
        <f>'1 datos preparados'!R479</f>
        <v/>
      </c>
      <c r="T486" s="7">
        <f>'1 datos preparados'!S479</f>
        <v/>
      </c>
      <c r="U486" s="7">
        <f>'1 datos preparados'!T479</f>
        <v/>
      </c>
      <c r="V486" s="8">
        <f>$AE$12+D486*$AE$13+E486*$AE$14+F486*$AE$15+G486*$AE$16+H486*$AE$17+I486*$AE$18+J486*$AE$19+K486*$AE$20+L486*$AE$21+M486*$AE$22+N486*$AE$23+O486*$AE$24+P486*$AE$25+Q486*$AE$26+R486*$AE$27+S486*$AE$28+T486*$AE$29+U486*$AE$30</f>
        <v/>
      </c>
      <c r="W486" s="8">
        <f>1/(1+EXP(-V486))</f>
        <v/>
      </c>
      <c r="X486" s="9">
        <f>-IF(C486=1,LN(W486),LN(1-W486))</f>
        <v/>
      </c>
      <c r="Y486" s="8">
        <f>1</f>
        <v/>
      </c>
      <c r="Z486" s="9">
        <f>Y486*X486</f>
        <v/>
      </c>
      <c r="AA486" s="10">
        <f>IF(W486&gt;$AE$32,1,0)</f>
        <v/>
      </c>
      <c r="AB486">
        <f>IF(AA486=C486,1,0)</f>
        <v/>
      </c>
    </row>
    <row r="487">
      <c r="A487">
        <f>'1 datos preparados'!A480</f>
        <v/>
      </c>
      <c r="B487" s="5">
        <f>'1 datos preparados'!U480</f>
        <v/>
      </c>
      <c r="C487">
        <f>'1 datos preparados'!B480</f>
        <v/>
      </c>
      <c r="D487" s="7">
        <f>'1 datos preparados'!C480</f>
        <v/>
      </c>
      <c r="E487" s="7">
        <f>'1 datos preparados'!D480</f>
        <v/>
      </c>
      <c r="F487" s="7">
        <f>'1 datos preparados'!E480</f>
        <v/>
      </c>
      <c r="G487" s="7">
        <f>'1 datos preparados'!F480</f>
        <v/>
      </c>
      <c r="H487" s="7">
        <f>'1 datos preparados'!G480</f>
        <v/>
      </c>
      <c r="I487" s="7">
        <f>'1 datos preparados'!H480</f>
        <v/>
      </c>
      <c r="J487" s="7">
        <f>'1 datos preparados'!I480</f>
        <v/>
      </c>
      <c r="K487" s="7">
        <f>'1 datos preparados'!J480</f>
        <v/>
      </c>
      <c r="L487" s="7">
        <f>'1 datos preparados'!K480</f>
        <v/>
      </c>
      <c r="M487" s="7">
        <f>'1 datos preparados'!L480</f>
        <v/>
      </c>
      <c r="N487" s="7">
        <f>'1 datos preparados'!M480</f>
        <v/>
      </c>
      <c r="O487" s="7">
        <f>'1 datos preparados'!N480</f>
        <v/>
      </c>
      <c r="P487" s="7">
        <f>'1 datos preparados'!O480</f>
        <v/>
      </c>
      <c r="Q487" s="7">
        <f>'1 datos preparados'!P480</f>
        <v/>
      </c>
      <c r="R487" s="7">
        <f>'1 datos preparados'!Q480</f>
        <v/>
      </c>
      <c r="S487" s="7">
        <f>'1 datos preparados'!R480</f>
        <v/>
      </c>
      <c r="T487" s="7">
        <f>'1 datos preparados'!S480</f>
        <v/>
      </c>
      <c r="U487" s="7">
        <f>'1 datos preparados'!T480</f>
        <v/>
      </c>
      <c r="V487" s="8">
        <f>$AE$12+D487*$AE$13+E487*$AE$14+F487*$AE$15+G487*$AE$16+H487*$AE$17+I487*$AE$18+J487*$AE$19+K487*$AE$20+L487*$AE$21+M487*$AE$22+N487*$AE$23+O487*$AE$24+P487*$AE$25+Q487*$AE$26+R487*$AE$27+S487*$AE$28+T487*$AE$29+U487*$AE$30</f>
        <v/>
      </c>
      <c r="W487" s="8">
        <f>1/(1+EXP(-V487))</f>
        <v/>
      </c>
      <c r="X487" s="9">
        <f>-IF(C487=1,LN(W487),LN(1-W487))</f>
        <v/>
      </c>
      <c r="Y487" s="8">
        <f>1</f>
        <v/>
      </c>
      <c r="Z487" s="9">
        <f>Y487*X487</f>
        <v/>
      </c>
      <c r="AA487" s="10">
        <f>IF(W487&gt;$AE$32,1,0)</f>
        <v/>
      </c>
      <c r="AB487">
        <f>IF(AA487=C487,1,0)</f>
        <v/>
      </c>
    </row>
    <row r="488">
      <c r="A488">
        <f>'1 datos preparados'!A481</f>
        <v/>
      </c>
      <c r="B488" s="5">
        <f>'1 datos preparados'!U481</f>
        <v/>
      </c>
      <c r="C488">
        <f>'1 datos preparados'!B481</f>
        <v/>
      </c>
      <c r="D488" s="7">
        <f>'1 datos preparados'!C481</f>
        <v/>
      </c>
      <c r="E488" s="7">
        <f>'1 datos preparados'!D481</f>
        <v/>
      </c>
      <c r="F488" s="7">
        <f>'1 datos preparados'!E481</f>
        <v/>
      </c>
      <c r="G488" s="7">
        <f>'1 datos preparados'!F481</f>
        <v/>
      </c>
      <c r="H488" s="7">
        <f>'1 datos preparados'!G481</f>
        <v/>
      </c>
      <c r="I488" s="7">
        <f>'1 datos preparados'!H481</f>
        <v/>
      </c>
      <c r="J488" s="7">
        <f>'1 datos preparados'!I481</f>
        <v/>
      </c>
      <c r="K488" s="7">
        <f>'1 datos preparados'!J481</f>
        <v/>
      </c>
      <c r="L488" s="7">
        <f>'1 datos preparados'!K481</f>
        <v/>
      </c>
      <c r="M488" s="7">
        <f>'1 datos preparados'!L481</f>
        <v/>
      </c>
      <c r="N488" s="7">
        <f>'1 datos preparados'!M481</f>
        <v/>
      </c>
      <c r="O488" s="7">
        <f>'1 datos preparados'!N481</f>
        <v/>
      </c>
      <c r="P488" s="7">
        <f>'1 datos preparados'!O481</f>
        <v/>
      </c>
      <c r="Q488" s="7">
        <f>'1 datos preparados'!P481</f>
        <v/>
      </c>
      <c r="R488" s="7">
        <f>'1 datos preparados'!Q481</f>
        <v/>
      </c>
      <c r="S488" s="7">
        <f>'1 datos preparados'!R481</f>
        <v/>
      </c>
      <c r="T488" s="7">
        <f>'1 datos preparados'!S481</f>
        <v/>
      </c>
      <c r="U488" s="7">
        <f>'1 datos preparados'!T481</f>
        <v/>
      </c>
      <c r="V488" s="8">
        <f>$AE$12+D488*$AE$13+E488*$AE$14+F488*$AE$15+G488*$AE$16+H488*$AE$17+I488*$AE$18+J488*$AE$19+K488*$AE$20+L488*$AE$21+M488*$AE$22+N488*$AE$23+O488*$AE$24+P488*$AE$25+Q488*$AE$26+R488*$AE$27+S488*$AE$28+T488*$AE$29+U488*$AE$30</f>
        <v/>
      </c>
      <c r="W488" s="8">
        <f>1/(1+EXP(-V488))</f>
        <v/>
      </c>
      <c r="X488" s="9">
        <f>-IF(C488=1,LN(W488),LN(1-W488))</f>
        <v/>
      </c>
      <c r="Y488" s="8">
        <f>1</f>
        <v/>
      </c>
      <c r="Z488" s="9">
        <f>Y488*X488</f>
        <v/>
      </c>
      <c r="AA488" s="10">
        <f>IF(W488&gt;$AE$32,1,0)</f>
        <v/>
      </c>
      <c r="AB488">
        <f>IF(AA488=C488,1,0)</f>
        <v/>
      </c>
    </row>
    <row r="489">
      <c r="A489">
        <f>'1 datos preparados'!A482</f>
        <v/>
      </c>
      <c r="B489" s="5">
        <f>'1 datos preparados'!U482</f>
        <v/>
      </c>
      <c r="C489">
        <f>'1 datos preparados'!B482</f>
        <v/>
      </c>
      <c r="D489" s="7">
        <f>'1 datos preparados'!C482</f>
        <v/>
      </c>
      <c r="E489" s="7">
        <f>'1 datos preparados'!D482</f>
        <v/>
      </c>
      <c r="F489" s="7">
        <f>'1 datos preparados'!E482</f>
        <v/>
      </c>
      <c r="G489" s="7">
        <f>'1 datos preparados'!F482</f>
        <v/>
      </c>
      <c r="H489" s="7">
        <f>'1 datos preparados'!G482</f>
        <v/>
      </c>
      <c r="I489" s="7">
        <f>'1 datos preparados'!H482</f>
        <v/>
      </c>
      <c r="J489" s="7">
        <f>'1 datos preparados'!I482</f>
        <v/>
      </c>
      <c r="K489" s="7">
        <f>'1 datos preparados'!J482</f>
        <v/>
      </c>
      <c r="L489" s="7">
        <f>'1 datos preparados'!K482</f>
        <v/>
      </c>
      <c r="M489" s="7">
        <f>'1 datos preparados'!L482</f>
        <v/>
      </c>
      <c r="N489" s="7">
        <f>'1 datos preparados'!M482</f>
        <v/>
      </c>
      <c r="O489" s="7">
        <f>'1 datos preparados'!N482</f>
        <v/>
      </c>
      <c r="P489" s="7">
        <f>'1 datos preparados'!O482</f>
        <v/>
      </c>
      <c r="Q489" s="7">
        <f>'1 datos preparados'!P482</f>
        <v/>
      </c>
      <c r="R489" s="7">
        <f>'1 datos preparados'!Q482</f>
        <v/>
      </c>
      <c r="S489" s="7">
        <f>'1 datos preparados'!R482</f>
        <v/>
      </c>
      <c r="T489" s="7">
        <f>'1 datos preparados'!S482</f>
        <v/>
      </c>
      <c r="U489" s="7">
        <f>'1 datos preparados'!T482</f>
        <v/>
      </c>
      <c r="V489" s="8">
        <f>$AE$12+D489*$AE$13+E489*$AE$14+F489*$AE$15+G489*$AE$16+H489*$AE$17+I489*$AE$18+J489*$AE$19+K489*$AE$20+L489*$AE$21+M489*$AE$22+N489*$AE$23+O489*$AE$24+P489*$AE$25+Q489*$AE$26+R489*$AE$27+S489*$AE$28+T489*$AE$29+U489*$AE$30</f>
        <v/>
      </c>
      <c r="W489" s="8">
        <f>1/(1+EXP(-V489))</f>
        <v/>
      </c>
      <c r="X489" s="9">
        <f>-IF(C489=1,LN(W489),LN(1-W489))</f>
        <v/>
      </c>
      <c r="Y489" s="8">
        <f>1</f>
        <v/>
      </c>
      <c r="Z489" s="9">
        <f>Y489*X489</f>
        <v/>
      </c>
      <c r="AA489" s="10">
        <f>IF(W489&gt;$AE$32,1,0)</f>
        <v/>
      </c>
      <c r="AB489">
        <f>IF(AA489=C489,1,0)</f>
        <v/>
      </c>
    </row>
    <row r="490">
      <c r="A490">
        <f>'1 datos preparados'!A483</f>
        <v/>
      </c>
      <c r="B490" s="5">
        <f>'1 datos preparados'!U483</f>
        <v/>
      </c>
      <c r="C490">
        <f>'1 datos preparados'!B483</f>
        <v/>
      </c>
      <c r="D490" s="7">
        <f>'1 datos preparados'!C483</f>
        <v/>
      </c>
      <c r="E490" s="7">
        <f>'1 datos preparados'!D483</f>
        <v/>
      </c>
      <c r="F490" s="7">
        <f>'1 datos preparados'!E483</f>
        <v/>
      </c>
      <c r="G490" s="7">
        <f>'1 datos preparados'!F483</f>
        <v/>
      </c>
      <c r="H490" s="7">
        <f>'1 datos preparados'!G483</f>
        <v/>
      </c>
      <c r="I490" s="7">
        <f>'1 datos preparados'!H483</f>
        <v/>
      </c>
      <c r="J490" s="7">
        <f>'1 datos preparados'!I483</f>
        <v/>
      </c>
      <c r="K490" s="7">
        <f>'1 datos preparados'!J483</f>
        <v/>
      </c>
      <c r="L490" s="7">
        <f>'1 datos preparados'!K483</f>
        <v/>
      </c>
      <c r="M490" s="7">
        <f>'1 datos preparados'!L483</f>
        <v/>
      </c>
      <c r="N490" s="7">
        <f>'1 datos preparados'!M483</f>
        <v/>
      </c>
      <c r="O490" s="7">
        <f>'1 datos preparados'!N483</f>
        <v/>
      </c>
      <c r="P490" s="7">
        <f>'1 datos preparados'!O483</f>
        <v/>
      </c>
      <c r="Q490" s="7">
        <f>'1 datos preparados'!P483</f>
        <v/>
      </c>
      <c r="R490" s="7">
        <f>'1 datos preparados'!Q483</f>
        <v/>
      </c>
      <c r="S490" s="7">
        <f>'1 datos preparados'!R483</f>
        <v/>
      </c>
      <c r="T490" s="7">
        <f>'1 datos preparados'!S483</f>
        <v/>
      </c>
      <c r="U490" s="7">
        <f>'1 datos preparados'!T483</f>
        <v/>
      </c>
      <c r="V490" s="8">
        <f>$AE$12+D490*$AE$13+E490*$AE$14+F490*$AE$15+G490*$AE$16+H490*$AE$17+I490*$AE$18+J490*$AE$19+K490*$AE$20+L490*$AE$21+M490*$AE$22+N490*$AE$23+O490*$AE$24+P490*$AE$25+Q490*$AE$26+R490*$AE$27+S490*$AE$28+T490*$AE$29+U490*$AE$30</f>
        <v/>
      </c>
      <c r="W490" s="8">
        <f>1/(1+EXP(-V490))</f>
        <v/>
      </c>
      <c r="X490" s="9">
        <f>-IF(C490=1,LN(W490),LN(1-W490))</f>
        <v/>
      </c>
      <c r="Y490" s="8">
        <f>1</f>
        <v/>
      </c>
      <c r="Z490" s="9">
        <f>Y490*X490</f>
        <v/>
      </c>
      <c r="AA490" s="10">
        <f>IF(W490&gt;$AE$32,1,0)</f>
        <v/>
      </c>
      <c r="AB490">
        <f>IF(AA490=C490,1,0)</f>
        <v/>
      </c>
    </row>
    <row r="491">
      <c r="A491">
        <f>'1 datos preparados'!A484</f>
        <v/>
      </c>
      <c r="B491" s="5">
        <f>'1 datos preparados'!U484</f>
        <v/>
      </c>
      <c r="C491">
        <f>'1 datos preparados'!B484</f>
        <v/>
      </c>
      <c r="D491" s="7">
        <f>'1 datos preparados'!C484</f>
        <v/>
      </c>
      <c r="E491" s="7">
        <f>'1 datos preparados'!D484</f>
        <v/>
      </c>
      <c r="F491" s="7">
        <f>'1 datos preparados'!E484</f>
        <v/>
      </c>
      <c r="G491" s="7">
        <f>'1 datos preparados'!F484</f>
        <v/>
      </c>
      <c r="H491" s="7">
        <f>'1 datos preparados'!G484</f>
        <v/>
      </c>
      <c r="I491" s="7">
        <f>'1 datos preparados'!H484</f>
        <v/>
      </c>
      <c r="J491" s="7">
        <f>'1 datos preparados'!I484</f>
        <v/>
      </c>
      <c r="K491" s="7">
        <f>'1 datos preparados'!J484</f>
        <v/>
      </c>
      <c r="L491" s="7">
        <f>'1 datos preparados'!K484</f>
        <v/>
      </c>
      <c r="M491" s="7">
        <f>'1 datos preparados'!L484</f>
        <v/>
      </c>
      <c r="N491" s="7">
        <f>'1 datos preparados'!M484</f>
        <v/>
      </c>
      <c r="O491" s="7">
        <f>'1 datos preparados'!N484</f>
        <v/>
      </c>
      <c r="P491" s="7">
        <f>'1 datos preparados'!O484</f>
        <v/>
      </c>
      <c r="Q491" s="7">
        <f>'1 datos preparados'!P484</f>
        <v/>
      </c>
      <c r="R491" s="7">
        <f>'1 datos preparados'!Q484</f>
        <v/>
      </c>
      <c r="S491" s="7">
        <f>'1 datos preparados'!R484</f>
        <v/>
      </c>
      <c r="T491" s="7">
        <f>'1 datos preparados'!S484</f>
        <v/>
      </c>
      <c r="U491" s="7">
        <f>'1 datos preparados'!T484</f>
        <v/>
      </c>
      <c r="V491" s="8">
        <f>$AE$12+D491*$AE$13+E491*$AE$14+F491*$AE$15+G491*$AE$16+H491*$AE$17+I491*$AE$18+J491*$AE$19+K491*$AE$20+L491*$AE$21+M491*$AE$22+N491*$AE$23+O491*$AE$24+P491*$AE$25+Q491*$AE$26+R491*$AE$27+S491*$AE$28+T491*$AE$29+U491*$AE$30</f>
        <v/>
      </c>
      <c r="W491" s="8">
        <f>1/(1+EXP(-V491))</f>
        <v/>
      </c>
      <c r="X491" s="9">
        <f>-IF(C491=1,LN(W491),LN(1-W491))</f>
        <v/>
      </c>
      <c r="Y491" s="8">
        <f>1</f>
        <v/>
      </c>
      <c r="Z491" s="9">
        <f>Y491*X491</f>
        <v/>
      </c>
      <c r="AA491" s="10">
        <f>IF(W491&gt;$AE$32,1,0)</f>
        <v/>
      </c>
      <c r="AB491">
        <f>IF(AA491=C491,1,0)</f>
        <v/>
      </c>
    </row>
    <row r="492">
      <c r="A492">
        <f>'1 datos preparados'!A485</f>
        <v/>
      </c>
      <c r="B492" s="5">
        <f>'1 datos preparados'!U485</f>
        <v/>
      </c>
      <c r="C492">
        <f>'1 datos preparados'!B485</f>
        <v/>
      </c>
      <c r="D492" s="7">
        <f>'1 datos preparados'!C485</f>
        <v/>
      </c>
      <c r="E492" s="7">
        <f>'1 datos preparados'!D485</f>
        <v/>
      </c>
      <c r="F492" s="7">
        <f>'1 datos preparados'!E485</f>
        <v/>
      </c>
      <c r="G492" s="7">
        <f>'1 datos preparados'!F485</f>
        <v/>
      </c>
      <c r="H492" s="7">
        <f>'1 datos preparados'!G485</f>
        <v/>
      </c>
      <c r="I492" s="7">
        <f>'1 datos preparados'!H485</f>
        <v/>
      </c>
      <c r="J492" s="7">
        <f>'1 datos preparados'!I485</f>
        <v/>
      </c>
      <c r="K492" s="7">
        <f>'1 datos preparados'!J485</f>
        <v/>
      </c>
      <c r="L492" s="7">
        <f>'1 datos preparados'!K485</f>
        <v/>
      </c>
      <c r="M492" s="7">
        <f>'1 datos preparados'!L485</f>
        <v/>
      </c>
      <c r="N492" s="7">
        <f>'1 datos preparados'!M485</f>
        <v/>
      </c>
      <c r="O492" s="7">
        <f>'1 datos preparados'!N485</f>
        <v/>
      </c>
      <c r="P492" s="7">
        <f>'1 datos preparados'!O485</f>
        <v/>
      </c>
      <c r="Q492" s="7">
        <f>'1 datos preparados'!P485</f>
        <v/>
      </c>
      <c r="R492" s="7">
        <f>'1 datos preparados'!Q485</f>
        <v/>
      </c>
      <c r="S492" s="7">
        <f>'1 datos preparados'!R485</f>
        <v/>
      </c>
      <c r="T492" s="7">
        <f>'1 datos preparados'!S485</f>
        <v/>
      </c>
      <c r="U492" s="7">
        <f>'1 datos preparados'!T485</f>
        <v/>
      </c>
      <c r="V492" s="8">
        <f>$AE$12+D492*$AE$13+E492*$AE$14+F492*$AE$15+G492*$AE$16+H492*$AE$17+I492*$AE$18+J492*$AE$19+K492*$AE$20+L492*$AE$21+M492*$AE$22+N492*$AE$23+O492*$AE$24+P492*$AE$25+Q492*$AE$26+R492*$AE$27+S492*$AE$28+T492*$AE$29+U492*$AE$30</f>
        <v/>
      </c>
      <c r="W492" s="8">
        <f>1/(1+EXP(-V492))</f>
        <v/>
      </c>
      <c r="X492" s="9">
        <f>-IF(C492=1,LN(W492),LN(1-W492))</f>
        <v/>
      </c>
      <c r="Y492" s="8">
        <f>1</f>
        <v/>
      </c>
      <c r="Z492" s="9">
        <f>Y492*X492</f>
        <v/>
      </c>
      <c r="AA492" s="10">
        <f>IF(W492&gt;$AE$32,1,0)</f>
        <v/>
      </c>
      <c r="AB492">
        <f>IF(AA492=C492,1,0)</f>
        <v/>
      </c>
    </row>
    <row r="493">
      <c r="A493">
        <f>'1 datos preparados'!A486</f>
        <v/>
      </c>
      <c r="B493" s="5">
        <f>'1 datos preparados'!U486</f>
        <v/>
      </c>
      <c r="C493">
        <f>'1 datos preparados'!B486</f>
        <v/>
      </c>
      <c r="D493" s="7">
        <f>'1 datos preparados'!C486</f>
        <v/>
      </c>
      <c r="E493" s="7">
        <f>'1 datos preparados'!D486</f>
        <v/>
      </c>
      <c r="F493" s="7">
        <f>'1 datos preparados'!E486</f>
        <v/>
      </c>
      <c r="G493" s="7">
        <f>'1 datos preparados'!F486</f>
        <v/>
      </c>
      <c r="H493" s="7">
        <f>'1 datos preparados'!G486</f>
        <v/>
      </c>
      <c r="I493" s="7">
        <f>'1 datos preparados'!H486</f>
        <v/>
      </c>
      <c r="J493" s="7">
        <f>'1 datos preparados'!I486</f>
        <v/>
      </c>
      <c r="K493" s="7">
        <f>'1 datos preparados'!J486</f>
        <v/>
      </c>
      <c r="L493" s="7">
        <f>'1 datos preparados'!K486</f>
        <v/>
      </c>
      <c r="M493" s="7">
        <f>'1 datos preparados'!L486</f>
        <v/>
      </c>
      <c r="N493" s="7">
        <f>'1 datos preparados'!M486</f>
        <v/>
      </c>
      <c r="O493" s="7">
        <f>'1 datos preparados'!N486</f>
        <v/>
      </c>
      <c r="P493" s="7">
        <f>'1 datos preparados'!O486</f>
        <v/>
      </c>
      <c r="Q493" s="7">
        <f>'1 datos preparados'!P486</f>
        <v/>
      </c>
      <c r="R493" s="7">
        <f>'1 datos preparados'!Q486</f>
        <v/>
      </c>
      <c r="S493" s="7">
        <f>'1 datos preparados'!R486</f>
        <v/>
      </c>
      <c r="T493" s="7">
        <f>'1 datos preparados'!S486</f>
        <v/>
      </c>
      <c r="U493" s="7">
        <f>'1 datos preparados'!T486</f>
        <v/>
      </c>
      <c r="V493" s="8">
        <f>$AE$12+D493*$AE$13+E493*$AE$14+F493*$AE$15+G493*$AE$16+H493*$AE$17+I493*$AE$18+J493*$AE$19+K493*$AE$20+L493*$AE$21+M493*$AE$22+N493*$AE$23+O493*$AE$24+P493*$AE$25+Q493*$AE$26+R493*$AE$27+S493*$AE$28+T493*$AE$29+U493*$AE$30</f>
        <v/>
      </c>
      <c r="W493" s="8">
        <f>1/(1+EXP(-V493))</f>
        <v/>
      </c>
      <c r="X493" s="9">
        <f>-IF(C493=1,LN(W493),LN(1-W493))</f>
        <v/>
      </c>
      <c r="Y493" s="8">
        <f>1</f>
        <v/>
      </c>
      <c r="Z493" s="9">
        <f>Y493*X493</f>
        <v/>
      </c>
      <c r="AA493" s="10">
        <f>IF(W493&gt;$AE$32,1,0)</f>
        <v/>
      </c>
      <c r="AB493">
        <f>IF(AA493=C493,1,0)</f>
        <v/>
      </c>
    </row>
    <row r="494">
      <c r="A494">
        <f>'1 datos preparados'!A487</f>
        <v/>
      </c>
      <c r="B494" s="5">
        <f>'1 datos preparados'!U487</f>
        <v/>
      </c>
      <c r="C494">
        <f>'1 datos preparados'!B487</f>
        <v/>
      </c>
      <c r="D494" s="7">
        <f>'1 datos preparados'!C487</f>
        <v/>
      </c>
      <c r="E494" s="7">
        <f>'1 datos preparados'!D487</f>
        <v/>
      </c>
      <c r="F494" s="7">
        <f>'1 datos preparados'!E487</f>
        <v/>
      </c>
      <c r="G494" s="7">
        <f>'1 datos preparados'!F487</f>
        <v/>
      </c>
      <c r="H494" s="7">
        <f>'1 datos preparados'!G487</f>
        <v/>
      </c>
      <c r="I494" s="7">
        <f>'1 datos preparados'!H487</f>
        <v/>
      </c>
      <c r="J494" s="7">
        <f>'1 datos preparados'!I487</f>
        <v/>
      </c>
      <c r="K494" s="7">
        <f>'1 datos preparados'!J487</f>
        <v/>
      </c>
      <c r="L494" s="7">
        <f>'1 datos preparados'!K487</f>
        <v/>
      </c>
      <c r="M494" s="7">
        <f>'1 datos preparados'!L487</f>
        <v/>
      </c>
      <c r="N494" s="7">
        <f>'1 datos preparados'!M487</f>
        <v/>
      </c>
      <c r="O494" s="7">
        <f>'1 datos preparados'!N487</f>
        <v/>
      </c>
      <c r="P494" s="7">
        <f>'1 datos preparados'!O487</f>
        <v/>
      </c>
      <c r="Q494" s="7">
        <f>'1 datos preparados'!P487</f>
        <v/>
      </c>
      <c r="R494" s="7">
        <f>'1 datos preparados'!Q487</f>
        <v/>
      </c>
      <c r="S494" s="7">
        <f>'1 datos preparados'!R487</f>
        <v/>
      </c>
      <c r="T494" s="7">
        <f>'1 datos preparados'!S487</f>
        <v/>
      </c>
      <c r="U494" s="7">
        <f>'1 datos preparados'!T487</f>
        <v/>
      </c>
      <c r="V494" s="8">
        <f>$AE$12+D494*$AE$13+E494*$AE$14+F494*$AE$15+G494*$AE$16+H494*$AE$17+I494*$AE$18+J494*$AE$19+K494*$AE$20+L494*$AE$21+M494*$AE$22+N494*$AE$23+O494*$AE$24+P494*$AE$25+Q494*$AE$26+R494*$AE$27+S494*$AE$28+T494*$AE$29+U494*$AE$30</f>
        <v/>
      </c>
      <c r="W494" s="8">
        <f>1/(1+EXP(-V494))</f>
        <v/>
      </c>
      <c r="X494" s="9">
        <f>-IF(C494=1,LN(W494),LN(1-W494))</f>
        <v/>
      </c>
      <c r="Y494" s="8">
        <f>1</f>
        <v/>
      </c>
      <c r="Z494" s="9">
        <f>Y494*X494</f>
        <v/>
      </c>
      <c r="AA494" s="10">
        <f>IF(W494&gt;$AE$32,1,0)</f>
        <v/>
      </c>
      <c r="AB494">
        <f>IF(AA494=C494,1,0)</f>
        <v/>
      </c>
    </row>
    <row r="495">
      <c r="A495">
        <f>'1 datos preparados'!A488</f>
        <v/>
      </c>
      <c r="B495" s="5">
        <f>'1 datos preparados'!U488</f>
        <v/>
      </c>
      <c r="C495">
        <f>'1 datos preparados'!B488</f>
        <v/>
      </c>
      <c r="D495" s="7">
        <f>'1 datos preparados'!C488</f>
        <v/>
      </c>
      <c r="E495" s="7">
        <f>'1 datos preparados'!D488</f>
        <v/>
      </c>
      <c r="F495" s="7">
        <f>'1 datos preparados'!E488</f>
        <v/>
      </c>
      <c r="G495" s="7">
        <f>'1 datos preparados'!F488</f>
        <v/>
      </c>
      <c r="H495" s="7">
        <f>'1 datos preparados'!G488</f>
        <v/>
      </c>
      <c r="I495" s="7">
        <f>'1 datos preparados'!H488</f>
        <v/>
      </c>
      <c r="J495" s="7">
        <f>'1 datos preparados'!I488</f>
        <v/>
      </c>
      <c r="K495" s="7">
        <f>'1 datos preparados'!J488</f>
        <v/>
      </c>
      <c r="L495" s="7">
        <f>'1 datos preparados'!K488</f>
        <v/>
      </c>
      <c r="M495" s="7">
        <f>'1 datos preparados'!L488</f>
        <v/>
      </c>
      <c r="N495" s="7">
        <f>'1 datos preparados'!M488</f>
        <v/>
      </c>
      <c r="O495" s="7">
        <f>'1 datos preparados'!N488</f>
        <v/>
      </c>
      <c r="P495" s="7">
        <f>'1 datos preparados'!O488</f>
        <v/>
      </c>
      <c r="Q495" s="7">
        <f>'1 datos preparados'!P488</f>
        <v/>
      </c>
      <c r="R495" s="7">
        <f>'1 datos preparados'!Q488</f>
        <v/>
      </c>
      <c r="S495" s="7">
        <f>'1 datos preparados'!R488</f>
        <v/>
      </c>
      <c r="T495" s="7">
        <f>'1 datos preparados'!S488</f>
        <v/>
      </c>
      <c r="U495" s="7">
        <f>'1 datos preparados'!T488</f>
        <v/>
      </c>
      <c r="V495" s="8">
        <f>$AE$12+D495*$AE$13+E495*$AE$14+F495*$AE$15+G495*$AE$16+H495*$AE$17+I495*$AE$18+J495*$AE$19+K495*$AE$20+L495*$AE$21+M495*$AE$22+N495*$AE$23+O495*$AE$24+P495*$AE$25+Q495*$AE$26+R495*$AE$27+S495*$AE$28+T495*$AE$29+U495*$AE$30</f>
        <v/>
      </c>
      <c r="W495" s="8">
        <f>1/(1+EXP(-V495))</f>
        <v/>
      </c>
      <c r="X495" s="9">
        <f>-IF(C495=1,LN(W495),LN(1-W495))</f>
        <v/>
      </c>
      <c r="Y495" s="8">
        <f>1</f>
        <v/>
      </c>
      <c r="Z495" s="9">
        <f>Y495*X495</f>
        <v/>
      </c>
      <c r="AA495" s="10">
        <f>IF(W495&gt;$AE$32,1,0)</f>
        <v/>
      </c>
      <c r="AB495">
        <f>IF(AA495=C495,1,0)</f>
        <v/>
      </c>
    </row>
    <row r="496">
      <c r="A496">
        <f>'1 datos preparados'!A489</f>
        <v/>
      </c>
      <c r="B496" s="5">
        <f>'1 datos preparados'!U489</f>
        <v/>
      </c>
      <c r="C496">
        <f>'1 datos preparados'!B489</f>
        <v/>
      </c>
      <c r="D496" s="7">
        <f>'1 datos preparados'!C489</f>
        <v/>
      </c>
      <c r="E496" s="7">
        <f>'1 datos preparados'!D489</f>
        <v/>
      </c>
      <c r="F496" s="7">
        <f>'1 datos preparados'!E489</f>
        <v/>
      </c>
      <c r="G496" s="7">
        <f>'1 datos preparados'!F489</f>
        <v/>
      </c>
      <c r="H496" s="7">
        <f>'1 datos preparados'!G489</f>
        <v/>
      </c>
      <c r="I496" s="7">
        <f>'1 datos preparados'!H489</f>
        <v/>
      </c>
      <c r="J496" s="7">
        <f>'1 datos preparados'!I489</f>
        <v/>
      </c>
      <c r="K496" s="7">
        <f>'1 datos preparados'!J489</f>
        <v/>
      </c>
      <c r="L496" s="7">
        <f>'1 datos preparados'!K489</f>
        <v/>
      </c>
      <c r="M496" s="7">
        <f>'1 datos preparados'!L489</f>
        <v/>
      </c>
      <c r="N496" s="7">
        <f>'1 datos preparados'!M489</f>
        <v/>
      </c>
      <c r="O496" s="7">
        <f>'1 datos preparados'!N489</f>
        <v/>
      </c>
      <c r="P496" s="7">
        <f>'1 datos preparados'!O489</f>
        <v/>
      </c>
      <c r="Q496" s="7">
        <f>'1 datos preparados'!P489</f>
        <v/>
      </c>
      <c r="R496" s="7">
        <f>'1 datos preparados'!Q489</f>
        <v/>
      </c>
      <c r="S496" s="7">
        <f>'1 datos preparados'!R489</f>
        <v/>
      </c>
      <c r="T496" s="7">
        <f>'1 datos preparados'!S489</f>
        <v/>
      </c>
      <c r="U496" s="7">
        <f>'1 datos preparados'!T489</f>
        <v/>
      </c>
      <c r="V496" s="8">
        <f>$AE$12+D496*$AE$13+E496*$AE$14+F496*$AE$15+G496*$AE$16+H496*$AE$17+I496*$AE$18+J496*$AE$19+K496*$AE$20+L496*$AE$21+M496*$AE$22+N496*$AE$23+O496*$AE$24+P496*$AE$25+Q496*$AE$26+R496*$AE$27+S496*$AE$28+T496*$AE$29+U496*$AE$30</f>
        <v/>
      </c>
      <c r="W496" s="8">
        <f>1/(1+EXP(-V496))</f>
        <v/>
      </c>
      <c r="X496" s="9">
        <f>-IF(C496=1,LN(W496),LN(1-W496))</f>
        <v/>
      </c>
      <c r="Y496" s="8">
        <f>1</f>
        <v/>
      </c>
      <c r="Z496" s="9">
        <f>Y496*X496</f>
        <v/>
      </c>
      <c r="AA496" s="10">
        <f>IF(W496&gt;$AE$32,1,0)</f>
        <v/>
      </c>
      <c r="AB496">
        <f>IF(AA496=C496,1,0)</f>
        <v/>
      </c>
    </row>
    <row r="497">
      <c r="A497">
        <f>'1 datos preparados'!A490</f>
        <v/>
      </c>
      <c r="B497" s="5">
        <f>'1 datos preparados'!U490</f>
        <v/>
      </c>
      <c r="C497">
        <f>'1 datos preparados'!B490</f>
        <v/>
      </c>
      <c r="D497" s="7">
        <f>'1 datos preparados'!C490</f>
        <v/>
      </c>
      <c r="E497" s="7">
        <f>'1 datos preparados'!D490</f>
        <v/>
      </c>
      <c r="F497" s="7">
        <f>'1 datos preparados'!E490</f>
        <v/>
      </c>
      <c r="G497" s="7">
        <f>'1 datos preparados'!F490</f>
        <v/>
      </c>
      <c r="H497" s="7">
        <f>'1 datos preparados'!G490</f>
        <v/>
      </c>
      <c r="I497" s="7">
        <f>'1 datos preparados'!H490</f>
        <v/>
      </c>
      <c r="J497" s="7">
        <f>'1 datos preparados'!I490</f>
        <v/>
      </c>
      <c r="K497" s="7">
        <f>'1 datos preparados'!J490</f>
        <v/>
      </c>
      <c r="L497" s="7">
        <f>'1 datos preparados'!K490</f>
        <v/>
      </c>
      <c r="M497" s="7">
        <f>'1 datos preparados'!L490</f>
        <v/>
      </c>
      <c r="N497" s="7">
        <f>'1 datos preparados'!M490</f>
        <v/>
      </c>
      <c r="O497" s="7">
        <f>'1 datos preparados'!N490</f>
        <v/>
      </c>
      <c r="P497" s="7">
        <f>'1 datos preparados'!O490</f>
        <v/>
      </c>
      <c r="Q497" s="7">
        <f>'1 datos preparados'!P490</f>
        <v/>
      </c>
      <c r="R497" s="7">
        <f>'1 datos preparados'!Q490</f>
        <v/>
      </c>
      <c r="S497" s="7">
        <f>'1 datos preparados'!R490</f>
        <v/>
      </c>
      <c r="T497" s="7">
        <f>'1 datos preparados'!S490</f>
        <v/>
      </c>
      <c r="U497" s="7">
        <f>'1 datos preparados'!T490</f>
        <v/>
      </c>
      <c r="V497" s="8">
        <f>$AE$12+D497*$AE$13+E497*$AE$14+F497*$AE$15+G497*$AE$16+H497*$AE$17+I497*$AE$18+J497*$AE$19+K497*$AE$20+L497*$AE$21+M497*$AE$22+N497*$AE$23+O497*$AE$24+P497*$AE$25+Q497*$AE$26+R497*$AE$27+S497*$AE$28+T497*$AE$29+U497*$AE$30</f>
        <v/>
      </c>
      <c r="W497" s="8">
        <f>1/(1+EXP(-V497))</f>
        <v/>
      </c>
      <c r="X497" s="9">
        <f>-IF(C497=1,LN(W497),LN(1-W497))</f>
        <v/>
      </c>
      <c r="Y497" s="8">
        <f>1</f>
        <v/>
      </c>
      <c r="Z497" s="9">
        <f>Y497*X497</f>
        <v/>
      </c>
      <c r="AA497" s="10">
        <f>IF(W497&gt;$AE$32,1,0)</f>
        <v/>
      </c>
      <c r="AB497">
        <f>IF(AA497=C497,1,0)</f>
        <v/>
      </c>
    </row>
    <row r="498">
      <c r="A498">
        <f>'1 datos preparados'!A491</f>
        <v/>
      </c>
      <c r="B498" s="5">
        <f>'1 datos preparados'!U491</f>
        <v/>
      </c>
      <c r="C498">
        <f>'1 datos preparados'!B491</f>
        <v/>
      </c>
      <c r="D498" s="7">
        <f>'1 datos preparados'!C491</f>
        <v/>
      </c>
      <c r="E498" s="7">
        <f>'1 datos preparados'!D491</f>
        <v/>
      </c>
      <c r="F498" s="7">
        <f>'1 datos preparados'!E491</f>
        <v/>
      </c>
      <c r="G498" s="7">
        <f>'1 datos preparados'!F491</f>
        <v/>
      </c>
      <c r="H498" s="7">
        <f>'1 datos preparados'!G491</f>
        <v/>
      </c>
      <c r="I498" s="7">
        <f>'1 datos preparados'!H491</f>
        <v/>
      </c>
      <c r="J498" s="7">
        <f>'1 datos preparados'!I491</f>
        <v/>
      </c>
      <c r="K498" s="7">
        <f>'1 datos preparados'!J491</f>
        <v/>
      </c>
      <c r="L498" s="7">
        <f>'1 datos preparados'!K491</f>
        <v/>
      </c>
      <c r="M498" s="7">
        <f>'1 datos preparados'!L491</f>
        <v/>
      </c>
      <c r="N498" s="7">
        <f>'1 datos preparados'!M491</f>
        <v/>
      </c>
      <c r="O498" s="7">
        <f>'1 datos preparados'!N491</f>
        <v/>
      </c>
      <c r="P498" s="7">
        <f>'1 datos preparados'!O491</f>
        <v/>
      </c>
      <c r="Q498" s="7">
        <f>'1 datos preparados'!P491</f>
        <v/>
      </c>
      <c r="R498" s="7">
        <f>'1 datos preparados'!Q491</f>
        <v/>
      </c>
      <c r="S498" s="7">
        <f>'1 datos preparados'!R491</f>
        <v/>
      </c>
      <c r="T498" s="7">
        <f>'1 datos preparados'!S491</f>
        <v/>
      </c>
      <c r="U498" s="7">
        <f>'1 datos preparados'!T491</f>
        <v/>
      </c>
      <c r="V498" s="8">
        <f>$AE$12+D498*$AE$13+E498*$AE$14+F498*$AE$15+G498*$AE$16+H498*$AE$17+I498*$AE$18+J498*$AE$19+K498*$AE$20+L498*$AE$21+M498*$AE$22+N498*$AE$23+O498*$AE$24+P498*$AE$25+Q498*$AE$26+R498*$AE$27+S498*$AE$28+T498*$AE$29+U498*$AE$30</f>
        <v/>
      </c>
      <c r="W498" s="8">
        <f>1/(1+EXP(-V498))</f>
        <v/>
      </c>
      <c r="X498" s="9">
        <f>-IF(C498=1,LN(W498),LN(1-W498))</f>
        <v/>
      </c>
      <c r="Y498" s="8">
        <f>1</f>
        <v/>
      </c>
      <c r="Z498" s="9">
        <f>Y498*X498</f>
        <v/>
      </c>
      <c r="AA498" s="10">
        <f>IF(W498&gt;$AE$32,1,0)</f>
        <v/>
      </c>
      <c r="AB498">
        <f>IF(AA498=C498,1,0)</f>
        <v/>
      </c>
    </row>
    <row r="499">
      <c r="A499">
        <f>'1 datos preparados'!A492</f>
        <v/>
      </c>
      <c r="B499" s="5">
        <f>'1 datos preparados'!U492</f>
        <v/>
      </c>
      <c r="C499">
        <f>'1 datos preparados'!B492</f>
        <v/>
      </c>
      <c r="D499" s="7">
        <f>'1 datos preparados'!C492</f>
        <v/>
      </c>
      <c r="E499" s="7">
        <f>'1 datos preparados'!D492</f>
        <v/>
      </c>
      <c r="F499" s="7">
        <f>'1 datos preparados'!E492</f>
        <v/>
      </c>
      <c r="G499" s="7">
        <f>'1 datos preparados'!F492</f>
        <v/>
      </c>
      <c r="H499" s="7">
        <f>'1 datos preparados'!G492</f>
        <v/>
      </c>
      <c r="I499" s="7">
        <f>'1 datos preparados'!H492</f>
        <v/>
      </c>
      <c r="J499" s="7">
        <f>'1 datos preparados'!I492</f>
        <v/>
      </c>
      <c r="K499" s="7">
        <f>'1 datos preparados'!J492</f>
        <v/>
      </c>
      <c r="L499" s="7">
        <f>'1 datos preparados'!K492</f>
        <v/>
      </c>
      <c r="M499" s="7">
        <f>'1 datos preparados'!L492</f>
        <v/>
      </c>
      <c r="N499" s="7">
        <f>'1 datos preparados'!M492</f>
        <v/>
      </c>
      <c r="O499" s="7">
        <f>'1 datos preparados'!N492</f>
        <v/>
      </c>
      <c r="P499" s="7">
        <f>'1 datos preparados'!O492</f>
        <v/>
      </c>
      <c r="Q499" s="7">
        <f>'1 datos preparados'!P492</f>
        <v/>
      </c>
      <c r="R499" s="7">
        <f>'1 datos preparados'!Q492</f>
        <v/>
      </c>
      <c r="S499" s="7">
        <f>'1 datos preparados'!R492</f>
        <v/>
      </c>
      <c r="T499" s="7">
        <f>'1 datos preparados'!S492</f>
        <v/>
      </c>
      <c r="U499" s="7">
        <f>'1 datos preparados'!T492</f>
        <v/>
      </c>
      <c r="V499" s="8">
        <f>$AE$12+D499*$AE$13+E499*$AE$14+F499*$AE$15+G499*$AE$16+H499*$AE$17+I499*$AE$18+J499*$AE$19+K499*$AE$20+L499*$AE$21+M499*$AE$22+N499*$AE$23+O499*$AE$24+P499*$AE$25+Q499*$AE$26+R499*$AE$27+S499*$AE$28+T499*$AE$29+U499*$AE$30</f>
        <v/>
      </c>
      <c r="W499" s="8">
        <f>1/(1+EXP(-V499))</f>
        <v/>
      </c>
      <c r="X499" s="9">
        <f>-IF(C499=1,LN(W499),LN(1-W499))</f>
        <v/>
      </c>
      <c r="Y499" s="8">
        <f>1</f>
        <v/>
      </c>
      <c r="Z499" s="9">
        <f>Y499*X499</f>
        <v/>
      </c>
      <c r="AA499" s="10">
        <f>IF(W499&gt;$AE$32,1,0)</f>
        <v/>
      </c>
      <c r="AB499">
        <f>IF(AA499=C499,1,0)</f>
        <v/>
      </c>
    </row>
    <row r="500">
      <c r="A500">
        <f>'1 datos preparados'!A493</f>
        <v/>
      </c>
      <c r="B500" s="5">
        <f>'1 datos preparados'!U493</f>
        <v/>
      </c>
      <c r="C500">
        <f>'1 datos preparados'!B493</f>
        <v/>
      </c>
      <c r="D500" s="7">
        <f>'1 datos preparados'!C493</f>
        <v/>
      </c>
      <c r="E500" s="7">
        <f>'1 datos preparados'!D493</f>
        <v/>
      </c>
      <c r="F500" s="7">
        <f>'1 datos preparados'!E493</f>
        <v/>
      </c>
      <c r="G500" s="7">
        <f>'1 datos preparados'!F493</f>
        <v/>
      </c>
      <c r="H500" s="7">
        <f>'1 datos preparados'!G493</f>
        <v/>
      </c>
      <c r="I500" s="7">
        <f>'1 datos preparados'!H493</f>
        <v/>
      </c>
      <c r="J500" s="7">
        <f>'1 datos preparados'!I493</f>
        <v/>
      </c>
      <c r="K500" s="7">
        <f>'1 datos preparados'!J493</f>
        <v/>
      </c>
      <c r="L500" s="7">
        <f>'1 datos preparados'!K493</f>
        <v/>
      </c>
      <c r="M500" s="7">
        <f>'1 datos preparados'!L493</f>
        <v/>
      </c>
      <c r="N500" s="7">
        <f>'1 datos preparados'!M493</f>
        <v/>
      </c>
      <c r="O500" s="7">
        <f>'1 datos preparados'!N493</f>
        <v/>
      </c>
      <c r="P500" s="7">
        <f>'1 datos preparados'!O493</f>
        <v/>
      </c>
      <c r="Q500" s="7">
        <f>'1 datos preparados'!P493</f>
        <v/>
      </c>
      <c r="R500" s="7">
        <f>'1 datos preparados'!Q493</f>
        <v/>
      </c>
      <c r="S500" s="7">
        <f>'1 datos preparados'!R493</f>
        <v/>
      </c>
      <c r="T500" s="7">
        <f>'1 datos preparados'!S493</f>
        <v/>
      </c>
      <c r="U500" s="7">
        <f>'1 datos preparados'!T493</f>
        <v/>
      </c>
      <c r="V500" s="8">
        <f>$AE$12+D500*$AE$13+E500*$AE$14+F500*$AE$15+G500*$AE$16+H500*$AE$17+I500*$AE$18+J500*$AE$19+K500*$AE$20+L500*$AE$21+M500*$AE$22+N500*$AE$23+O500*$AE$24+P500*$AE$25+Q500*$AE$26+R500*$AE$27+S500*$AE$28+T500*$AE$29+U500*$AE$30</f>
        <v/>
      </c>
      <c r="W500" s="8">
        <f>1/(1+EXP(-V500))</f>
        <v/>
      </c>
      <c r="X500" s="9">
        <f>-IF(C500=1,LN(W500),LN(1-W500))</f>
        <v/>
      </c>
      <c r="Y500" s="8">
        <f>1</f>
        <v/>
      </c>
      <c r="Z500" s="9">
        <f>Y500*X500</f>
        <v/>
      </c>
      <c r="AA500" s="10">
        <f>IF(W500&gt;$AE$32,1,0)</f>
        <v/>
      </c>
      <c r="AB500">
        <f>IF(AA500=C500,1,0)</f>
        <v/>
      </c>
    </row>
    <row r="501">
      <c r="A501">
        <f>'1 datos preparados'!A494</f>
        <v/>
      </c>
      <c r="B501" s="5">
        <f>'1 datos preparados'!U494</f>
        <v/>
      </c>
      <c r="C501">
        <f>'1 datos preparados'!B494</f>
        <v/>
      </c>
      <c r="D501" s="7">
        <f>'1 datos preparados'!C494</f>
        <v/>
      </c>
      <c r="E501" s="7">
        <f>'1 datos preparados'!D494</f>
        <v/>
      </c>
      <c r="F501" s="7">
        <f>'1 datos preparados'!E494</f>
        <v/>
      </c>
      <c r="G501" s="7">
        <f>'1 datos preparados'!F494</f>
        <v/>
      </c>
      <c r="H501" s="7">
        <f>'1 datos preparados'!G494</f>
        <v/>
      </c>
      <c r="I501" s="7">
        <f>'1 datos preparados'!H494</f>
        <v/>
      </c>
      <c r="J501" s="7">
        <f>'1 datos preparados'!I494</f>
        <v/>
      </c>
      <c r="K501" s="7">
        <f>'1 datos preparados'!J494</f>
        <v/>
      </c>
      <c r="L501" s="7">
        <f>'1 datos preparados'!K494</f>
        <v/>
      </c>
      <c r="M501" s="7">
        <f>'1 datos preparados'!L494</f>
        <v/>
      </c>
      <c r="N501" s="7">
        <f>'1 datos preparados'!M494</f>
        <v/>
      </c>
      <c r="O501" s="7">
        <f>'1 datos preparados'!N494</f>
        <v/>
      </c>
      <c r="P501" s="7">
        <f>'1 datos preparados'!O494</f>
        <v/>
      </c>
      <c r="Q501" s="7">
        <f>'1 datos preparados'!P494</f>
        <v/>
      </c>
      <c r="R501" s="7">
        <f>'1 datos preparados'!Q494</f>
        <v/>
      </c>
      <c r="S501" s="7">
        <f>'1 datos preparados'!R494</f>
        <v/>
      </c>
      <c r="T501" s="7">
        <f>'1 datos preparados'!S494</f>
        <v/>
      </c>
      <c r="U501" s="7">
        <f>'1 datos preparados'!T494</f>
        <v/>
      </c>
      <c r="V501" s="8">
        <f>$AE$12+D501*$AE$13+E501*$AE$14+F501*$AE$15+G501*$AE$16+H501*$AE$17+I501*$AE$18+J501*$AE$19+K501*$AE$20+L501*$AE$21+M501*$AE$22+N501*$AE$23+O501*$AE$24+P501*$AE$25+Q501*$AE$26+R501*$AE$27+S501*$AE$28+T501*$AE$29+U501*$AE$30</f>
        <v/>
      </c>
      <c r="W501" s="8">
        <f>1/(1+EXP(-V501))</f>
        <v/>
      </c>
      <c r="X501" s="9">
        <f>-IF(C501=1,LN(W501),LN(1-W501))</f>
        <v/>
      </c>
      <c r="Y501" s="8">
        <f>1</f>
        <v/>
      </c>
      <c r="Z501" s="9">
        <f>Y501*X501</f>
        <v/>
      </c>
      <c r="AA501" s="10">
        <f>IF(W501&gt;$AE$32,1,0)</f>
        <v/>
      </c>
      <c r="AB501">
        <f>IF(AA501=C501,1,0)</f>
        <v/>
      </c>
    </row>
    <row r="502">
      <c r="A502">
        <f>'1 datos preparados'!A495</f>
        <v/>
      </c>
      <c r="B502" s="5">
        <f>'1 datos preparados'!U495</f>
        <v/>
      </c>
      <c r="C502">
        <f>'1 datos preparados'!B495</f>
        <v/>
      </c>
      <c r="D502" s="7">
        <f>'1 datos preparados'!C495</f>
        <v/>
      </c>
      <c r="E502" s="7">
        <f>'1 datos preparados'!D495</f>
        <v/>
      </c>
      <c r="F502" s="7">
        <f>'1 datos preparados'!E495</f>
        <v/>
      </c>
      <c r="G502" s="7">
        <f>'1 datos preparados'!F495</f>
        <v/>
      </c>
      <c r="H502" s="7">
        <f>'1 datos preparados'!G495</f>
        <v/>
      </c>
      <c r="I502" s="7">
        <f>'1 datos preparados'!H495</f>
        <v/>
      </c>
      <c r="J502" s="7">
        <f>'1 datos preparados'!I495</f>
        <v/>
      </c>
      <c r="K502" s="7">
        <f>'1 datos preparados'!J495</f>
        <v/>
      </c>
      <c r="L502" s="7">
        <f>'1 datos preparados'!K495</f>
        <v/>
      </c>
      <c r="M502" s="7">
        <f>'1 datos preparados'!L495</f>
        <v/>
      </c>
      <c r="N502" s="7">
        <f>'1 datos preparados'!M495</f>
        <v/>
      </c>
      <c r="O502" s="7">
        <f>'1 datos preparados'!N495</f>
        <v/>
      </c>
      <c r="P502" s="7">
        <f>'1 datos preparados'!O495</f>
        <v/>
      </c>
      <c r="Q502" s="7">
        <f>'1 datos preparados'!P495</f>
        <v/>
      </c>
      <c r="R502" s="7">
        <f>'1 datos preparados'!Q495</f>
        <v/>
      </c>
      <c r="S502" s="7">
        <f>'1 datos preparados'!R495</f>
        <v/>
      </c>
      <c r="T502" s="7">
        <f>'1 datos preparados'!S495</f>
        <v/>
      </c>
      <c r="U502" s="7">
        <f>'1 datos preparados'!T495</f>
        <v/>
      </c>
      <c r="V502" s="8">
        <f>$AE$12+D502*$AE$13+E502*$AE$14+F502*$AE$15+G502*$AE$16+H502*$AE$17+I502*$AE$18+J502*$AE$19+K502*$AE$20+L502*$AE$21+M502*$AE$22+N502*$AE$23+O502*$AE$24+P502*$AE$25+Q502*$AE$26+R502*$AE$27+S502*$AE$28+T502*$AE$29+U502*$AE$30</f>
        <v/>
      </c>
      <c r="W502" s="8">
        <f>1/(1+EXP(-V502))</f>
        <v/>
      </c>
      <c r="X502" s="9">
        <f>-IF(C502=1,LN(W502),LN(1-W502))</f>
        <v/>
      </c>
      <c r="Y502" s="8">
        <f>1</f>
        <v/>
      </c>
      <c r="Z502" s="9">
        <f>Y502*X502</f>
        <v/>
      </c>
      <c r="AA502" s="10">
        <f>IF(W502&gt;$AE$32,1,0)</f>
        <v/>
      </c>
      <c r="AB502">
        <f>IF(AA502=C502,1,0)</f>
        <v/>
      </c>
    </row>
    <row r="503">
      <c r="A503">
        <f>'1 datos preparados'!A496</f>
        <v/>
      </c>
      <c r="B503" s="5">
        <f>'1 datos preparados'!U496</f>
        <v/>
      </c>
      <c r="C503">
        <f>'1 datos preparados'!B496</f>
        <v/>
      </c>
      <c r="D503" s="7">
        <f>'1 datos preparados'!C496</f>
        <v/>
      </c>
      <c r="E503" s="7">
        <f>'1 datos preparados'!D496</f>
        <v/>
      </c>
      <c r="F503" s="7">
        <f>'1 datos preparados'!E496</f>
        <v/>
      </c>
      <c r="G503" s="7">
        <f>'1 datos preparados'!F496</f>
        <v/>
      </c>
      <c r="H503" s="7">
        <f>'1 datos preparados'!G496</f>
        <v/>
      </c>
      <c r="I503" s="7">
        <f>'1 datos preparados'!H496</f>
        <v/>
      </c>
      <c r="J503" s="7">
        <f>'1 datos preparados'!I496</f>
        <v/>
      </c>
      <c r="K503" s="7">
        <f>'1 datos preparados'!J496</f>
        <v/>
      </c>
      <c r="L503" s="7">
        <f>'1 datos preparados'!K496</f>
        <v/>
      </c>
      <c r="M503" s="7">
        <f>'1 datos preparados'!L496</f>
        <v/>
      </c>
      <c r="N503" s="7">
        <f>'1 datos preparados'!M496</f>
        <v/>
      </c>
      <c r="O503" s="7">
        <f>'1 datos preparados'!N496</f>
        <v/>
      </c>
      <c r="P503" s="7">
        <f>'1 datos preparados'!O496</f>
        <v/>
      </c>
      <c r="Q503" s="7">
        <f>'1 datos preparados'!P496</f>
        <v/>
      </c>
      <c r="R503" s="7">
        <f>'1 datos preparados'!Q496</f>
        <v/>
      </c>
      <c r="S503" s="7">
        <f>'1 datos preparados'!R496</f>
        <v/>
      </c>
      <c r="T503" s="7">
        <f>'1 datos preparados'!S496</f>
        <v/>
      </c>
      <c r="U503" s="7">
        <f>'1 datos preparados'!T496</f>
        <v/>
      </c>
      <c r="V503" s="8">
        <f>$AE$12+D503*$AE$13+E503*$AE$14+F503*$AE$15+G503*$AE$16+H503*$AE$17+I503*$AE$18+J503*$AE$19+K503*$AE$20+L503*$AE$21+M503*$AE$22+N503*$AE$23+O503*$AE$24+P503*$AE$25+Q503*$AE$26+R503*$AE$27+S503*$AE$28+T503*$AE$29+U503*$AE$30</f>
        <v/>
      </c>
      <c r="W503" s="8">
        <f>1/(1+EXP(-V503))</f>
        <v/>
      </c>
      <c r="X503" s="9">
        <f>-IF(C503=1,LN(W503),LN(1-W503))</f>
        <v/>
      </c>
      <c r="Y503" s="8">
        <f>1</f>
        <v/>
      </c>
      <c r="Z503" s="9">
        <f>Y503*X503</f>
        <v/>
      </c>
      <c r="AA503" s="10">
        <f>IF(W503&gt;$AE$32,1,0)</f>
        <v/>
      </c>
      <c r="AB503">
        <f>IF(AA503=C503,1,0)</f>
        <v/>
      </c>
    </row>
    <row r="504">
      <c r="A504">
        <f>'1 datos preparados'!A497</f>
        <v/>
      </c>
      <c r="B504" s="5">
        <f>'1 datos preparados'!U497</f>
        <v/>
      </c>
      <c r="C504">
        <f>'1 datos preparados'!B497</f>
        <v/>
      </c>
      <c r="D504" s="7">
        <f>'1 datos preparados'!C497</f>
        <v/>
      </c>
      <c r="E504" s="7">
        <f>'1 datos preparados'!D497</f>
        <v/>
      </c>
      <c r="F504" s="7">
        <f>'1 datos preparados'!E497</f>
        <v/>
      </c>
      <c r="G504" s="7">
        <f>'1 datos preparados'!F497</f>
        <v/>
      </c>
      <c r="H504" s="7">
        <f>'1 datos preparados'!G497</f>
        <v/>
      </c>
      <c r="I504" s="7">
        <f>'1 datos preparados'!H497</f>
        <v/>
      </c>
      <c r="J504" s="7">
        <f>'1 datos preparados'!I497</f>
        <v/>
      </c>
      <c r="K504" s="7">
        <f>'1 datos preparados'!J497</f>
        <v/>
      </c>
      <c r="L504" s="7">
        <f>'1 datos preparados'!K497</f>
        <v/>
      </c>
      <c r="M504" s="7">
        <f>'1 datos preparados'!L497</f>
        <v/>
      </c>
      <c r="N504" s="7">
        <f>'1 datos preparados'!M497</f>
        <v/>
      </c>
      <c r="O504" s="7">
        <f>'1 datos preparados'!N497</f>
        <v/>
      </c>
      <c r="P504" s="7">
        <f>'1 datos preparados'!O497</f>
        <v/>
      </c>
      <c r="Q504" s="7">
        <f>'1 datos preparados'!P497</f>
        <v/>
      </c>
      <c r="R504" s="7">
        <f>'1 datos preparados'!Q497</f>
        <v/>
      </c>
      <c r="S504" s="7">
        <f>'1 datos preparados'!R497</f>
        <v/>
      </c>
      <c r="T504" s="7">
        <f>'1 datos preparados'!S497</f>
        <v/>
      </c>
      <c r="U504" s="7">
        <f>'1 datos preparados'!T497</f>
        <v/>
      </c>
      <c r="V504" s="8">
        <f>$AE$12+D504*$AE$13+E504*$AE$14+F504*$AE$15+G504*$AE$16+H504*$AE$17+I504*$AE$18+J504*$AE$19+K504*$AE$20+L504*$AE$21+M504*$AE$22+N504*$AE$23+O504*$AE$24+P504*$AE$25+Q504*$AE$26+R504*$AE$27+S504*$AE$28+T504*$AE$29+U504*$AE$30</f>
        <v/>
      </c>
      <c r="W504" s="8">
        <f>1/(1+EXP(-V504))</f>
        <v/>
      </c>
      <c r="X504" s="9">
        <f>-IF(C504=1,LN(W504),LN(1-W504))</f>
        <v/>
      </c>
      <c r="Y504" s="8">
        <f>1</f>
        <v/>
      </c>
      <c r="Z504" s="9">
        <f>Y504*X504</f>
        <v/>
      </c>
      <c r="AA504" s="10">
        <f>IF(W504&gt;$AE$32,1,0)</f>
        <v/>
      </c>
      <c r="AB504">
        <f>IF(AA504=C504,1,0)</f>
        <v/>
      </c>
    </row>
    <row r="505">
      <c r="A505">
        <f>'1 datos preparados'!A498</f>
        <v/>
      </c>
      <c r="B505" s="5">
        <f>'1 datos preparados'!U498</f>
        <v/>
      </c>
      <c r="C505">
        <f>'1 datos preparados'!B498</f>
        <v/>
      </c>
      <c r="D505" s="7">
        <f>'1 datos preparados'!C498</f>
        <v/>
      </c>
      <c r="E505" s="7">
        <f>'1 datos preparados'!D498</f>
        <v/>
      </c>
      <c r="F505" s="7">
        <f>'1 datos preparados'!E498</f>
        <v/>
      </c>
      <c r="G505" s="7">
        <f>'1 datos preparados'!F498</f>
        <v/>
      </c>
      <c r="H505" s="7">
        <f>'1 datos preparados'!G498</f>
        <v/>
      </c>
      <c r="I505" s="7">
        <f>'1 datos preparados'!H498</f>
        <v/>
      </c>
      <c r="J505" s="7">
        <f>'1 datos preparados'!I498</f>
        <v/>
      </c>
      <c r="K505" s="7">
        <f>'1 datos preparados'!J498</f>
        <v/>
      </c>
      <c r="L505" s="7">
        <f>'1 datos preparados'!K498</f>
        <v/>
      </c>
      <c r="M505" s="7">
        <f>'1 datos preparados'!L498</f>
        <v/>
      </c>
      <c r="N505" s="7">
        <f>'1 datos preparados'!M498</f>
        <v/>
      </c>
      <c r="O505" s="7">
        <f>'1 datos preparados'!N498</f>
        <v/>
      </c>
      <c r="P505" s="7">
        <f>'1 datos preparados'!O498</f>
        <v/>
      </c>
      <c r="Q505" s="7">
        <f>'1 datos preparados'!P498</f>
        <v/>
      </c>
      <c r="R505" s="7">
        <f>'1 datos preparados'!Q498</f>
        <v/>
      </c>
      <c r="S505" s="7">
        <f>'1 datos preparados'!R498</f>
        <v/>
      </c>
      <c r="T505" s="7">
        <f>'1 datos preparados'!S498</f>
        <v/>
      </c>
      <c r="U505" s="7">
        <f>'1 datos preparados'!T498</f>
        <v/>
      </c>
      <c r="V505" s="8">
        <f>$AE$12+D505*$AE$13+E505*$AE$14+F505*$AE$15+G505*$AE$16+H505*$AE$17+I505*$AE$18+J505*$AE$19+K505*$AE$20+L505*$AE$21+M505*$AE$22+N505*$AE$23+O505*$AE$24+P505*$AE$25+Q505*$AE$26+R505*$AE$27+S505*$AE$28+T505*$AE$29+U505*$AE$30</f>
        <v/>
      </c>
      <c r="W505" s="8">
        <f>1/(1+EXP(-V505))</f>
        <v/>
      </c>
      <c r="X505" s="9">
        <f>-IF(C505=1,LN(W505),LN(1-W505))</f>
        <v/>
      </c>
      <c r="Y505" s="8">
        <f>1</f>
        <v/>
      </c>
      <c r="Z505" s="9">
        <f>Y505*X505</f>
        <v/>
      </c>
      <c r="AA505" s="10">
        <f>IF(W505&gt;$AE$32,1,0)</f>
        <v/>
      </c>
      <c r="AB505">
        <f>IF(AA505=C505,1,0)</f>
        <v/>
      </c>
    </row>
    <row r="506">
      <c r="A506">
        <f>'1 datos preparados'!A499</f>
        <v/>
      </c>
      <c r="B506" s="5">
        <f>'1 datos preparados'!U499</f>
        <v/>
      </c>
      <c r="C506">
        <f>'1 datos preparados'!B499</f>
        <v/>
      </c>
      <c r="D506" s="7">
        <f>'1 datos preparados'!C499</f>
        <v/>
      </c>
      <c r="E506" s="7">
        <f>'1 datos preparados'!D499</f>
        <v/>
      </c>
      <c r="F506" s="7">
        <f>'1 datos preparados'!E499</f>
        <v/>
      </c>
      <c r="G506" s="7">
        <f>'1 datos preparados'!F499</f>
        <v/>
      </c>
      <c r="H506" s="7">
        <f>'1 datos preparados'!G499</f>
        <v/>
      </c>
      <c r="I506" s="7">
        <f>'1 datos preparados'!H499</f>
        <v/>
      </c>
      <c r="J506" s="7">
        <f>'1 datos preparados'!I499</f>
        <v/>
      </c>
      <c r="K506" s="7">
        <f>'1 datos preparados'!J499</f>
        <v/>
      </c>
      <c r="L506" s="7">
        <f>'1 datos preparados'!K499</f>
        <v/>
      </c>
      <c r="M506" s="7">
        <f>'1 datos preparados'!L499</f>
        <v/>
      </c>
      <c r="N506" s="7">
        <f>'1 datos preparados'!M499</f>
        <v/>
      </c>
      <c r="O506" s="7">
        <f>'1 datos preparados'!N499</f>
        <v/>
      </c>
      <c r="P506" s="7">
        <f>'1 datos preparados'!O499</f>
        <v/>
      </c>
      <c r="Q506" s="7">
        <f>'1 datos preparados'!P499</f>
        <v/>
      </c>
      <c r="R506" s="7">
        <f>'1 datos preparados'!Q499</f>
        <v/>
      </c>
      <c r="S506" s="7">
        <f>'1 datos preparados'!R499</f>
        <v/>
      </c>
      <c r="T506" s="7">
        <f>'1 datos preparados'!S499</f>
        <v/>
      </c>
      <c r="U506" s="7">
        <f>'1 datos preparados'!T499</f>
        <v/>
      </c>
      <c r="V506" s="8">
        <f>$AE$12+D506*$AE$13+E506*$AE$14+F506*$AE$15+G506*$AE$16+H506*$AE$17+I506*$AE$18+J506*$AE$19+K506*$AE$20+L506*$AE$21+M506*$AE$22+N506*$AE$23+O506*$AE$24+P506*$AE$25+Q506*$AE$26+R506*$AE$27+S506*$AE$28+T506*$AE$29+U506*$AE$30</f>
        <v/>
      </c>
      <c r="W506" s="8">
        <f>1/(1+EXP(-V506))</f>
        <v/>
      </c>
      <c r="X506" s="9">
        <f>-IF(C506=1,LN(W506),LN(1-W506))</f>
        <v/>
      </c>
      <c r="Y506" s="8">
        <f>1</f>
        <v/>
      </c>
      <c r="Z506" s="9">
        <f>Y506*X506</f>
        <v/>
      </c>
      <c r="AA506" s="10">
        <f>IF(W506&gt;$AE$32,1,0)</f>
        <v/>
      </c>
      <c r="AB506">
        <f>IF(AA506=C506,1,0)</f>
        <v/>
      </c>
    </row>
    <row r="507">
      <c r="A507">
        <f>'1 datos preparados'!A500</f>
        <v/>
      </c>
      <c r="B507" s="5">
        <f>'1 datos preparados'!U500</f>
        <v/>
      </c>
      <c r="C507">
        <f>'1 datos preparados'!B500</f>
        <v/>
      </c>
      <c r="D507" s="7">
        <f>'1 datos preparados'!C500</f>
        <v/>
      </c>
      <c r="E507" s="7">
        <f>'1 datos preparados'!D500</f>
        <v/>
      </c>
      <c r="F507" s="7">
        <f>'1 datos preparados'!E500</f>
        <v/>
      </c>
      <c r="G507" s="7">
        <f>'1 datos preparados'!F500</f>
        <v/>
      </c>
      <c r="H507" s="7">
        <f>'1 datos preparados'!G500</f>
        <v/>
      </c>
      <c r="I507" s="7">
        <f>'1 datos preparados'!H500</f>
        <v/>
      </c>
      <c r="J507" s="7">
        <f>'1 datos preparados'!I500</f>
        <v/>
      </c>
      <c r="K507" s="7">
        <f>'1 datos preparados'!J500</f>
        <v/>
      </c>
      <c r="L507" s="7">
        <f>'1 datos preparados'!K500</f>
        <v/>
      </c>
      <c r="M507" s="7">
        <f>'1 datos preparados'!L500</f>
        <v/>
      </c>
      <c r="N507" s="7">
        <f>'1 datos preparados'!M500</f>
        <v/>
      </c>
      <c r="O507" s="7">
        <f>'1 datos preparados'!N500</f>
        <v/>
      </c>
      <c r="P507" s="7">
        <f>'1 datos preparados'!O500</f>
        <v/>
      </c>
      <c r="Q507" s="7">
        <f>'1 datos preparados'!P500</f>
        <v/>
      </c>
      <c r="R507" s="7">
        <f>'1 datos preparados'!Q500</f>
        <v/>
      </c>
      <c r="S507" s="7">
        <f>'1 datos preparados'!R500</f>
        <v/>
      </c>
      <c r="T507" s="7">
        <f>'1 datos preparados'!S500</f>
        <v/>
      </c>
      <c r="U507" s="7">
        <f>'1 datos preparados'!T500</f>
        <v/>
      </c>
      <c r="V507" s="8">
        <f>$AE$12+D507*$AE$13+E507*$AE$14+F507*$AE$15+G507*$AE$16+H507*$AE$17+I507*$AE$18+J507*$AE$19+K507*$AE$20+L507*$AE$21+M507*$AE$22+N507*$AE$23+O507*$AE$24+P507*$AE$25+Q507*$AE$26+R507*$AE$27+S507*$AE$28+T507*$AE$29+U507*$AE$30</f>
        <v/>
      </c>
      <c r="W507" s="8">
        <f>1/(1+EXP(-V507))</f>
        <v/>
      </c>
      <c r="X507" s="9">
        <f>-IF(C507=1,LN(W507),LN(1-W507))</f>
        <v/>
      </c>
      <c r="Y507" s="8">
        <f>1</f>
        <v/>
      </c>
      <c r="Z507" s="9">
        <f>Y507*X507</f>
        <v/>
      </c>
      <c r="AA507" s="10">
        <f>IF(W507&gt;$AE$32,1,0)</f>
        <v/>
      </c>
      <c r="AB507">
        <f>IF(AA507=C507,1,0)</f>
        <v/>
      </c>
    </row>
    <row r="508">
      <c r="A508">
        <f>'1 datos preparados'!A501</f>
        <v/>
      </c>
      <c r="B508" s="5">
        <f>'1 datos preparados'!U501</f>
        <v/>
      </c>
      <c r="C508">
        <f>'1 datos preparados'!B501</f>
        <v/>
      </c>
      <c r="D508" s="7">
        <f>'1 datos preparados'!C501</f>
        <v/>
      </c>
      <c r="E508" s="7">
        <f>'1 datos preparados'!D501</f>
        <v/>
      </c>
      <c r="F508" s="7">
        <f>'1 datos preparados'!E501</f>
        <v/>
      </c>
      <c r="G508" s="7">
        <f>'1 datos preparados'!F501</f>
        <v/>
      </c>
      <c r="H508" s="7">
        <f>'1 datos preparados'!G501</f>
        <v/>
      </c>
      <c r="I508" s="7">
        <f>'1 datos preparados'!H501</f>
        <v/>
      </c>
      <c r="J508" s="7">
        <f>'1 datos preparados'!I501</f>
        <v/>
      </c>
      <c r="K508" s="7">
        <f>'1 datos preparados'!J501</f>
        <v/>
      </c>
      <c r="L508" s="7">
        <f>'1 datos preparados'!K501</f>
        <v/>
      </c>
      <c r="M508" s="7">
        <f>'1 datos preparados'!L501</f>
        <v/>
      </c>
      <c r="N508" s="7">
        <f>'1 datos preparados'!M501</f>
        <v/>
      </c>
      <c r="O508" s="7">
        <f>'1 datos preparados'!N501</f>
        <v/>
      </c>
      <c r="P508" s="7">
        <f>'1 datos preparados'!O501</f>
        <v/>
      </c>
      <c r="Q508" s="7">
        <f>'1 datos preparados'!P501</f>
        <v/>
      </c>
      <c r="R508" s="7">
        <f>'1 datos preparados'!Q501</f>
        <v/>
      </c>
      <c r="S508" s="7">
        <f>'1 datos preparados'!R501</f>
        <v/>
      </c>
      <c r="T508" s="7">
        <f>'1 datos preparados'!S501</f>
        <v/>
      </c>
      <c r="U508" s="7">
        <f>'1 datos preparados'!T501</f>
        <v/>
      </c>
      <c r="V508" s="8">
        <f>$AE$12+D508*$AE$13+E508*$AE$14+F508*$AE$15+G508*$AE$16+H508*$AE$17+I508*$AE$18+J508*$AE$19+K508*$AE$20+L508*$AE$21+M508*$AE$22+N508*$AE$23+O508*$AE$24+P508*$AE$25+Q508*$AE$26+R508*$AE$27+S508*$AE$28+T508*$AE$29+U508*$AE$30</f>
        <v/>
      </c>
      <c r="W508" s="8">
        <f>1/(1+EXP(-V508))</f>
        <v/>
      </c>
      <c r="X508" s="9">
        <f>-IF(C508=1,LN(W508),LN(1-W508))</f>
        <v/>
      </c>
      <c r="Y508" s="8">
        <f>1</f>
        <v/>
      </c>
      <c r="Z508" s="9">
        <f>Y508*X508</f>
        <v/>
      </c>
      <c r="AA508" s="10">
        <f>IF(W508&gt;$AE$32,1,0)</f>
        <v/>
      </c>
      <c r="AB508">
        <f>IF(AA508=C508,1,0)</f>
        <v/>
      </c>
    </row>
    <row r="509">
      <c r="A509">
        <f>'1 datos preparados'!A502</f>
        <v/>
      </c>
      <c r="B509" s="5">
        <f>'1 datos preparados'!U502</f>
        <v/>
      </c>
      <c r="C509">
        <f>'1 datos preparados'!B502</f>
        <v/>
      </c>
      <c r="D509" s="7">
        <f>'1 datos preparados'!C502</f>
        <v/>
      </c>
      <c r="E509" s="7">
        <f>'1 datos preparados'!D502</f>
        <v/>
      </c>
      <c r="F509" s="7">
        <f>'1 datos preparados'!E502</f>
        <v/>
      </c>
      <c r="G509" s="7">
        <f>'1 datos preparados'!F502</f>
        <v/>
      </c>
      <c r="H509" s="7">
        <f>'1 datos preparados'!G502</f>
        <v/>
      </c>
      <c r="I509" s="7">
        <f>'1 datos preparados'!H502</f>
        <v/>
      </c>
      <c r="J509" s="7">
        <f>'1 datos preparados'!I502</f>
        <v/>
      </c>
      <c r="K509" s="7">
        <f>'1 datos preparados'!J502</f>
        <v/>
      </c>
      <c r="L509" s="7">
        <f>'1 datos preparados'!K502</f>
        <v/>
      </c>
      <c r="M509" s="7">
        <f>'1 datos preparados'!L502</f>
        <v/>
      </c>
      <c r="N509" s="7">
        <f>'1 datos preparados'!M502</f>
        <v/>
      </c>
      <c r="O509" s="7">
        <f>'1 datos preparados'!N502</f>
        <v/>
      </c>
      <c r="P509" s="7">
        <f>'1 datos preparados'!O502</f>
        <v/>
      </c>
      <c r="Q509" s="7">
        <f>'1 datos preparados'!P502</f>
        <v/>
      </c>
      <c r="R509" s="7">
        <f>'1 datos preparados'!Q502</f>
        <v/>
      </c>
      <c r="S509" s="7">
        <f>'1 datos preparados'!R502</f>
        <v/>
      </c>
      <c r="T509" s="7">
        <f>'1 datos preparados'!S502</f>
        <v/>
      </c>
      <c r="U509" s="7">
        <f>'1 datos preparados'!T502</f>
        <v/>
      </c>
      <c r="V509" s="8">
        <f>$AE$12+D509*$AE$13+E509*$AE$14+F509*$AE$15+G509*$AE$16+H509*$AE$17+I509*$AE$18+J509*$AE$19+K509*$AE$20+L509*$AE$21+M509*$AE$22+N509*$AE$23+O509*$AE$24+P509*$AE$25+Q509*$AE$26+R509*$AE$27+S509*$AE$28+T509*$AE$29+U509*$AE$30</f>
        <v/>
      </c>
      <c r="W509" s="8">
        <f>1/(1+EXP(-V509))</f>
        <v/>
      </c>
      <c r="X509" s="9">
        <f>-IF(C509=1,LN(W509),LN(1-W509))</f>
        <v/>
      </c>
      <c r="Y509" s="8">
        <f>1</f>
        <v/>
      </c>
      <c r="Z509" s="9">
        <f>Y509*X509</f>
        <v/>
      </c>
      <c r="AA509" s="10">
        <f>IF(W509&gt;$AE$32,1,0)</f>
        <v/>
      </c>
      <c r="AB509">
        <f>IF(AA509=C509,1,0)</f>
        <v/>
      </c>
    </row>
    <row r="510">
      <c r="A510">
        <f>'1 datos preparados'!A503</f>
        <v/>
      </c>
      <c r="B510" s="5">
        <f>'1 datos preparados'!U503</f>
        <v/>
      </c>
      <c r="C510">
        <f>'1 datos preparados'!B503</f>
        <v/>
      </c>
      <c r="D510" s="7">
        <f>'1 datos preparados'!C503</f>
        <v/>
      </c>
      <c r="E510" s="7">
        <f>'1 datos preparados'!D503</f>
        <v/>
      </c>
      <c r="F510" s="7">
        <f>'1 datos preparados'!E503</f>
        <v/>
      </c>
      <c r="G510" s="7">
        <f>'1 datos preparados'!F503</f>
        <v/>
      </c>
      <c r="H510" s="7">
        <f>'1 datos preparados'!G503</f>
        <v/>
      </c>
      <c r="I510" s="7">
        <f>'1 datos preparados'!H503</f>
        <v/>
      </c>
      <c r="J510" s="7">
        <f>'1 datos preparados'!I503</f>
        <v/>
      </c>
      <c r="K510" s="7">
        <f>'1 datos preparados'!J503</f>
        <v/>
      </c>
      <c r="L510" s="7">
        <f>'1 datos preparados'!K503</f>
        <v/>
      </c>
      <c r="M510" s="7">
        <f>'1 datos preparados'!L503</f>
        <v/>
      </c>
      <c r="N510" s="7">
        <f>'1 datos preparados'!M503</f>
        <v/>
      </c>
      <c r="O510" s="7">
        <f>'1 datos preparados'!N503</f>
        <v/>
      </c>
      <c r="P510" s="7">
        <f>'1 datos preparados'!O503</f>
        <v/>
      </c>
      <c r="Q510" s="7">
        <f>'1 datos preparados'!P503</f>
        <v/>
      </c>
      <c r="R510" s="7">
        <f>'1 datos preparados'!Q503</f>
        <v/>
      </c>
      <c r="S510" s="7">
        <f>'1 datos preparados'!R503</f>
        <v/>
      </c>
      <c r="T510" s="7">
        <f>'1 datos preparados'!S503</f>
        <v/>
      </c>
      <c r="U510" s="7">
        <f>'1 datos preparados'!T503</f>
        <v/>
      </c>
      <c r="V510" s="8">
        <f>$AE$12+D510*$AE$13+E510*$AE$14+F510*$AE$15+G510*$AE$16+H510*$AE$17+I510*$AE$18+J510*$AE$19+K510*$AE$20+L510*$AE$21+M510*$AE$22+N510*$AE$23+O510*$AE$24+P510*$AE$25+Q510*$AE$26+R510*$AE$27+S510*$AE$28+T510*$AE$29+U510*$AE$30</f>
        <v/>
      </c>
      <c r="W510" s="8">
        <f>1/(1+EXP(-V510))</f>
        <v/>
      </c>
      <c r="X510" s="9">
        <f>-IF(C510=1,LN(W510),LN(1-W510))</f>
        <v/>
      </c>
      <c r="Y510" s="8">
        <f>1</f>
        <v/>
      </c>
      <c r="Z510" s="9">
        <f>Y510*X510</f>
        <v/>
      </c>
      <c r="AA510" s="10">
        <f>IF(W510&gt;$AE$32,1,0)</f>
        <v/>
      </c>
      <c r="AB510">
        <f>IF(AA510=C510,1,0)</f>
        <v/>
      </c>
    </row>
    <row r="511">
      <c r="A511">
        <f>'1 datos preparados'!A504</f>
        <v/>
      </c>
      <c r="B511" s="5">
        <f>'1 datos preparados'!U504</f>
        <v/>
      </c>
      <c r="C511">
        <f>'1 datos preparados'!B504</f>
        <v/>
      </c>
      <c r="D511" s="7">
        <f>'1 datos preparados'!C504</f>
        <v/>
      </c>
      <c r="E511" s="7">
        <f>'1 datos preparados'!D504</f>
        <v/>
      </c>
      <c r="F511" s="7">
        <f>'1 datos preparados'!E504</f>
        <v/>
      </c>
      <c r="G511" s="7">
        <f>'1 datos preparados'!F504</f>
        <v/>
      </c>
      <c r="H511" s="7">
        <f>'1 datos preparados'!G504</f>
        <v/>
      </c>
      <c r="I511" s="7">
        <f>'1 datos preparados'!H504</f>
        <v/>
      </c>
      <c r="J511" s="7">
        <f>'1 datos preparados'!I504</f>
        <v/>
      </c>
      <c r="K511" s="7">
        <f>'1 datos preparados'!J504</f>
        <v/>
      </c>
      <c r="L511" s="7">
        <f>'1 datos preparados'!K504</f>
        <v/>
      </c>
      <c r="M511" s="7">
        <f>'1 datos preparados'!L504</f>
        <v/>
      </c>
      <c r="N511" s="7">
        <f>'1 datos preparados'!M504</f>
        <v/>
      </c>
      <c r="O511" s="7">
        <f>'1 datos preparados'!N504</f>
        <v/>
      </c>
      <c r="P511" s="7">
        <f>'1 datos preparados'!O504</f>
        <v/>
      </c>
      <c r="Q511" s="7">
        <f>'1 datos preparados'!P504</f>
        <v/>
      </c>
      <c r="R511" s="7">
        <f>'1 datos preparados'!Q504</f>
        <v/>
      </c>
      <c r="S511" s="7">
        <f>'1 datos preparados'!R504</f>
        <v/>
      </c>
      <c r="T511" s="7">
        <f>'1 datos preparados'!S504</f>
        <v/>
      </c>
      <c r="U511" s="7">
        <f>'1 datos preparados'!T504</f>
        <v/>
      </c>
      <c r="V511" s="8">
        <f>$AE$12+D511*$AE$13+E511*$AE$14+F511*$AE$15+G511*$AE$16+H511*$AE$17+I511*$AE$18+J511*$AE$19+K511*$AE$20+L511*$AE$21+M511*$AE$22+N511*$AE$23+O511*$AE$24+P511*$AE$25+Q511*$AE$26+R511*$AE$27+S511*$AE$28+T511*$AE$29+U511*$AE$30</f>
        <v/>
      </c>
      <c r="W511" s="8">
        <f>1/(1+EXP(-V511))</f>
        <v/>
      </c>
      <c r="X511" s="9">
        <f>-IF(C511=1,LN(W511),LN(1-W511))</f>
        <v/>
      </c>
      <c r="Y511" s="8">
        <f>1</f>
        <v/>
      </c>
      <c r="Z511" s="9">
        <f>Y511*X511</f>
        <v/>
      </c>
      <c r="AA511" s="10">
        <f>IF(W511&gt;$AE$32,1,0)</f>
        <v/>
      </c>
      <c r="AB511">
        <f>IF(AA511=C511,1,0)</f>
        <v/>
      </c>
    </row>
    <row r="512">
      <c r="A512">
        <f>'1 datos preparados'!A505</f>
        <v/>
      </c>
      <c r="B512" s="5">
        <f>'1 datos preparados'!U505</f>
        <v/>
      </c>
      <c r="C512">
        <f>'1 datos preparados'!B505</f>
        <v/>
      </c>
      <c r="D512" s="7">
        <f>'1 datos preparados'!C505</f>
        <v/>
      </c>
      <c r="E512" s="7">
        <f>'1 datos preparados'!D505</f>
        <v/>
      </c>
      <c r="F512" s="7">
        <f>'1 datos preparados'!E505</f>
        <v/>
      </c>
      <c r="G512" s="7">
        <f>'1 datos preparados'!F505</f>
        <v/>
      </c>
      <c r="H512" s="7">
        <f>'1 datos preparados'!G505</f>
        <v/>
      </c>
      <c r="I512" s="7">
        <f>'1 datos preparados'!H505</f>
        <v/>
      </c>
      <c r="J512" s="7">
        <f>'1 datos preparados'!I505</f>
        <v/>
      </c>
      <c r="K512" s="7">
        <f>'1 datos preparados'!J505</f>
        <v/>
      </c>
      <c r="L512" s="7">
        <f>'1 datos preparados'!K505</f>
        <v/>
      </c>
      <c r="M512" s="7">
        <f>'1 datos preparados'!L505</f>
        <v/>
      </c>
      <c r="N512" s="7">
        <f>'1 datos preparados'!M505</f>
        <v/>
      </c>
      <c r="O512" s="7">
        <f>'1 datos preparados'!N505</f>
        <v/>
      </c>
      <c r="P512" s="7">
        <f>'1 datos preparados'!O505</f>
        <v/>
      </c>
      <c r="Q512" s="7">
        <f>'1 datos preparados'!P505</f>
        <v/>
      </c>
      <c r="R512" s="7">
        <f>'1 datos preparados'!Q505</f>
        <v/>
      </c>
      <c r="S512" s="7">
        <f>'1 datos preparados'!R505</f>
        <v/>
      </c>
      <c r="T512" s="7">
        <f>'1 datos preparados'!S505</f>
        <v/>
      </c>
      <c r="U512" s="7">
        <f>'1 datos preparados'!T505</f>
        <v/>
      </c>
      <c r="V512" s="8">
        <f>$AE$12+D512*$AE$13+E512*$AE$14+F512*$AE$15+G512*$AE$16+H512*$AE$17+I512*$AE$18+J512*$AE$19+K512*$AE$20+L512*$AE$21+M512*$AE$22+N512*$AE$23+O512*$AE$24+P512*$AE$25+Q512*$AE$26+R512*$AE$27+S512*$AE$28+T512*$AE$29+U512*$AE$30</f>
        <v/>
      </c>
      <c r="W512" s="8">
        <f>1/(1+EXP(-V512))</f>
        <v/>
      </c>
      <c r="X512" s="9">
        <f>-IF(C512=1,LN(W512),LN(1-W512))</f>
        <v/>
      </c>
      <c r="Y512" s="8">
        <f>1</f>
        <v/>
      </c>
      <c r="Z512" s="9">
        <f>Y512*X512</f>
        <v/>
      </c>
      <c r="AA512" s="10">
        <f>IF(W512&gt;$AE$32,1,0)</f>
        <v/>
      </c>
      <c r="AB512">
        <f>IF(AA512=C512,1,0)</f>
        <v/>
      </c>
    </row>
    <row r="513">
      <c r="A513">
        <f>'1 datos preparados'!A506</f>
        <v/>
      </c>
      <c r="B513" s="5">
        <f>'1 datos preparados'!U506</f>
        <v/>
      </c>
      <c r="C513">
        <f>'1 datos preparados'!B506</f>
        <v/>
      </c>
      <c r="D513" s="7">
        <f>'1 datos preparados'!C506</f>
        <v/>
      </c>
      <c r="E513" s="7">
        <f>'1 datos preparados'!D506</f>
        <v/>
      </c>
      <c r="F513" s="7">
        <f>'1 datos preparados'!E506</f>
        <v/>
      </c>
      <c r="G513" s="7">
        <f>'1 datos preparados'!F506</f>
        <v/>
      </c>
      <c r="H513" s="7">
        <f>'1 datos preparados'!G506</f>
        <v/>
      </c>
      <c r="I513" s="7">
        <f>'1 datos preparados'!H506</f>
        <v/>
      </c>
      <c r="J513" s="7">
        <f>'1 datos preparados'!I506</f>
        <v/>
      </c>
      <c r="K513" s="7">
        <f>'1 datos preparados'!J506</f>
        <v/>
      </c>
      <c r="L513" s="7">
        <f>'1 datos preparados'!K506</f>
        <v/>
      </c>
      <c r="M513" s="7">
        <f>'1 datos preparados'!L506</f>
        <v/>
      </c>
      <c r="N513" s="7">
        <f>'1 datos preparados'!M506</f>
        <v/>
      </c>
      <c r="O513" s="7">
        <f>'1 datos preparados'!N506</f>
        <v/>
      </c>
      <c r="P513" s="7">
        <f>'1 datos preparados'!O506</f>
        <v/>
      </c>
      <c r="Q513" s="7">
        <f>'1 datos preparados'!P506</f>
        <v/>
      </c>
      <c r="R513" s="7">
        <f>'1 datos preparados'!Q506</f>
        <v/>
      </c>
      <c r="S513" s="7">
        <f>'1 datos preparados'!R506</f>
        <v/>
      </c>
      <c r="T513" s="7">
        <f>'1 datos preparados'!S506</f>
        <v/>
      </c>
      <c r="U513" s="7">
        <f>'1 datos preparados'!T506</f>
        <v/>
      </c>
      <c r="V513" s="8">
        <f>$AE$12+D513*$AE$13+E513*$AE$14+F513*$AE$15+G513*$AE$16+H513*$AE$17+I513*$AE$18+J513*$AE$19+K513*$AE$20+L513*$AE$21+M513*$AE$22+N513*$AE$23+O513*$AE$24+P513*$AE$25+Q513*$AE$26+R513*$AE$27+S513*$AE$28+T513*$AE$29+U513*$AE$30</f>
        <v/>
      </c>
      <c r="W513" s="8">
        <f>1/(1+EXP(-V513))</f>
        <v/>
      </c>
      <c r="X513" s="9">
        <f>-IF(C513=1,LN(W513),LN(1-W513))</f>
        <v/>
      </c>
      <c r="Y513" s="8">
        <f>1</f>
        <v/>
      </c>
      <c r="Z513" s="9">
        <f>Y513*X513</f>
        <v/>
      </c>
      <c r="AA513" s="10">
        <f>IF(W513&gt;$AE$32,1,0)</f>
        <v/>
      </c>
      <c r="AB513">
        <f>IF(AA513=C513,1,0)</f>
        <v/>
      </c>
    </row>
    <row r="514">
      <c r="A514">
        <f>'1 datos preparados'!A507</f>
        <v/>
      </c>
      <c r="B514" s="5">
        <f>'1 datos preparados'!U507</f>
        <v/>
      </c>
      <c r="C514">
        <f>'1 datos preparados'!B507</f>
        <v/>
      </c>
      <c r="D514" s="7">
        <f>'1 datos preparados'!C507</f>
        <v/>
      </c>
      <c r="E514" s="7">
        <f>'1 datos preparados'!D507</f>
        <v/>
      </c>
      <c r="F514" s="7">
        <f>'1 datos preparados'!E507</f>
        <v/>
      </c>
      <c r="G514" s="7">
        <f>'1 datos preparados'!F507</f>
        <v/>
      </c>
      <c r="H514" s="7">
        <f>'1 datos preparados'!G507</f>
        <v/>
      </c>
      <c r="I514" s="7">
        <f>'1 datos preparados'!H507</f>
        <v/>
      </c>
      <c r="J514" s="7">
        <f>'1 datos preparados'!I507</f>
        <v/>
      </c>
      <c r="K514" s="7">
        <f>'1 datos preparados'!J507</f>
        <v/>
      </c>
      <c r="L514" s="7">
        <f>'1 datos preparados'!K507</f>
        <v/>
      </c>
      <c r="M514" s="7">
        <f>'1 datos preparados'!L507</f>
        <v/>
      </c>
      <c r="N514" s="7">
        <f>'1 datos preparados'!M507</f>
        <v/>
      </c>
      <c r="O514" s="7">
        <f>'1 datos preparados'!N507</f>
        <v/>
      </c>
      <c r="P514" s="7">
        <f>'1 datos preparados'!O507</f>
        <v/>
      </c>
      <c r="Q514" s="7">
        <f>'1 datos preparados'!P507</f>
        <v/>
      </c>
      <c r="R514" s="7">
        <f>'1 datos preparados'!Q507</f>
        <v/>
      </c>
      <c r="S514" s="7">
        <f>'1 datos preparados'!R507</f>
        <v/>
      </c>
      <c r="T514" s="7">
        <f>'1 datos preparados'!S507</f>
        <v/>
      </c>
      <c r="U514" s="7">
        <f>'1 datos preparados'!T507</f>
        <v/>
      </c>
      <c r="V514" s="8">
        <f>$AE$12+D514*$AE$13+E514*$AE$14+F514*$AE$15+G514*$AE$16+H514*$AE$17+I514*$AE$18+J514*$AE$19+K514*$AE$20+L514*$AE$21+M514*$AE$22+N514*$AE$23+O514*$AE$24+P514*$AE$25+Q514*$AE$26+R514*$AE$27+S514*$AE$28+T514*$AE$29+U514*$AE$30</f>
        <v/>
      </c>
      <c r="W514" s="8">
        <f>1/(1+EXP(-V514))</f>
        <v/>
      </c>
      <c r="X514" s="9">
        <f>-IF(C514=1,LN(W514),LN(1-W514))</f>
        <v/>
      </c>
      <c r="Y514" s="8">
        <f>1</f>
        <v/>
      </c>
      <c r="Z514" s="9">
        <f>Y514*X514</f>
        <v/>
      </c>
      <c r="AA514" s="10">
        <f>IF(W514&gt;$AE$32,1,0)</f>
        <v/>
      </c>
      <c r="AB514">
        <f>IF(AA514=C514,1,0)</f>
        <v/>
      </c>
    </row>
    <row r="515">
      <c r="A515">
        <f>'1 datos preparados'!A508</f>
        <v/>
      </c>
      <c r="B515" s="5">
        <f>'1 datos preparados'!U508</f>
        <v/>
      </c>
      <c r="C515">
        <f>'1 datos preparados'!B508</f>
        <v/>
      </c>
      <c r="D515" s="7">
        <f>'1 datos preparados'!C508</f>
        <v/>
      </c>
      <c r="E515" s="7">
        <f>'1 datos preparados'!D508</f>
        <v/>
      </c>
      <c r="F515" s="7">
        <f>'1 datos preparados'!E508</f>
        <v/>
      </c>
      <c r="G515" s="7">
        <f>'1 datos preparados'!F508</f>
        <v/>
      </c>
      <c r="H515" s="7">
        <f>'1 datos preparados'!G508</f>
        <v/>
      </c>
      <c r="I515" s="7">
        <f>'1 datos preparados'!H508</f>
        <v/>
      </c>
      <c r="J515" s="7">
        <f>'1 datos preparados'!I508</f>
        <v/>
      </c>
      <c r="K515" s="7">
        <f>'1 datos preparados'!J508</f>
        <v/>
      </c>
      <c r="L515" s="7">
        <f>'1 datos preparados'!K508</f>
        <v/>
      </c>
      <c r="M515" s="7">
        <f>'1 datos preparados'!L508</f>
        <v/>
      </c>
      <c r="N515" s="7">
        <f>'1 datos preparados'!M508</f>
        <v/>
      </c>
      <c r="O515" s="7">
        <f>'1 datos preparados'!N508</f>
        <v/>
      </c>
      <c r="P515" s="7">
        <f>'1 datos preparados'!O508</f>
        <v/>
      </c>
      <c r="Q515" s="7">
        <f>'1 datos preparados'!P508</f>
        <v/>
      </c>
      <c r="R515" s="7">
        <f>'1 datos preparados'!Q508</f>
        <v/>
      </c>
      <c r="S515" s="7">
        <f>'1 datos preparados'!R508</f>
        <v/>
      </c>
      <c r="T515" s="7">
        <f>'1 datos preparados'!S508</f>
        <v/>
      </c>
      <c r="U515" s="7">
        <f>'1 datos preparados'!T508</f>
        <v/>
      </c>
      <c r="V515" s="8">
        <f>$AE$12+D515*$AE$13+E515*$AE$14+F515*$AE$15+G515*$AE$16+H515*$AE$17+I515*$AE$18+J515*$AE$19+K515*$AE$20+L515*$AE$21+M515*$AE$22+N515*$AE$23+O515*$AE$24+P515*$AE$25+Q515*$AE$26+R515*$AE$27+S515*$AE$28+T515*$AE$29+U515*$AE$30</f>
        <v/>
      </c>
      <c r="W515" s="8">
        <f>1/(1+EXP(-V515))</f>
        <v/>
      </c>
      <c r="X515" s="9">
        <f>-IF(C515=1,LN(W515),LN(1-W515))</f>
        <v/>
      </c>
      <c r="Y515" s="8">
        <f>1</f>
        <v/>
      </c>
      <c r="Z515" s="9">
        <f>Y515*X515</f>
        <v/>
      </c>
      <c r="AA515" s="10">
        <f>IF(W515&gt;$AE$32,1,0)</f>
        <v/>
      </c>
      <c r="AB515">
        <f>IF(AA515=C515,1,0)</f>
        <v/>
      </c>
    </row>
    <row r="516">
      <c r="A516">
        <f>'1 datos preparados'!A509</f>
        <v/>
      </c>
      <c r="B516" s="5">
        <f>'1 datos preparados'!U509</f>
        <v/>
      </c>
      <c r="C516">
        <f>'1 datos preparados'!B509</f>
        <v/>
      </c>
      <c r="D516" s="7">
        <f>'1 datos preparados'!C509</f>
        <v/>
      </c>
      <c r="E516" s="7">
        <f>'1 datos preparados'!D509</f>
        <v/>
      </c>
      <c r="F516" s="7">
        <f>'1 datos preparados'!E509</f>
        <v/>
      </c>
      <c r="G516" s="7">
        <f>'1 datos preparados'!F509</f>
        <v/>
      </c>
      <c r="H516" s="7">
        <f>'1 datos preparados'!G509</f>
        <v/>
      </c>
      <c r="I516" s="7">
        <f>'1 datos preparados'!H509</f>
        <v/>
      </c>
      <c r="J516" s="7">
        <f>'1 datos preparados'!I509</f>
        <v/>
      </c>
      <c r="K516" s="7">
        <f>'1 datos preparados'!J509</f>
        <v/>
      </c>
      <c r="L516" s="7">
        <f>'1 datos preparados'!K509</f>
        <v/>
      </c>
      <c r="M516" s="7">
        <f>'1 datos preparados'!L509</f>
        <v/>
      </c>
      <c r="N516" s="7">
        <f>'1 datos preparados'!M509</f>
        <v/>
      </c>
      <c r="O516" s="7">
        <f>'1 datos preparados'!N509</f>
        <v/>
      </c>
      <c r="P516" s="7">
        <f>'1 datos preparados'!O509</f>
        <v/>
      </c>
      <c r="Q516" s="7">
        <f>'1 datos preparados'!P509</f>
        <v/>
      </c>
      <c r="R516" s="7">
        <f>'1 datos preparados'!Q509</f>
        <v/>
      </c>
      <c r="S516" s="7">
        <f>'1 datos preparados'!R509</f>
        <v/>
      </c>
      <c r="T516" s="7">
        <f>'1 datos preparados'!S509</f>
        <v/>
      </c>
      <c r="U516" s="7">
        <f>'1 datos preparados'!T509</f>
        <v/>
      </c>
      <c r="V516" s="8">
        <f>$AE$12+D516*$AE$13+E516*$AE$14+F516*$AE$15+G516*$AE$16+H516*$AE$17+I516*$AE$18+J516*$AE$19+K516*$AE$20+L516*$AE$21+M516*$AE$22+N516*$AE$23+O516*$AE$24+P516*$AE$25+Q516*$AE$26+R516*$AE$27+S516*$AE$28+T516*$AE$29+U516*$AE$30</f>
        <v/>
      </c>
      <c r="W516" s="8">
        <f>1/(1+EXP(-V516))</f>
        <v/>
      </c>
      <c r="X516" s="9">
        <f>-IF(C516=1,LN(W516),LN(1-W516))</f>
        <v/>
      </c>
      <c r="Y516" s="8">
        <f>1</f>
        <v/>
      </c>
      <c r="Z516" s="9">
        <f>Y516*X516</f>
        <v/>
      </c>
      <c r="AA516" s="10">
        <f>IF(W516&gt;$AE$32,1,0)</f>
        <v/>
      </c>
      <c r="AB516">
        <f>IF(AA516=C516,1,0)</f>
        <v/>
      </c>
    </row>
    <row r="517">
      <c r="A517">
        <f>'1 datos preparados'!A510</f>
        <v/>
      </c>
      <c r="B517" s="5">
        <f>'1 datos preparados'!U510</f>
        <v/>
      </c>
      <c r="C517">
        <f>'1 datos preparados'!B510</f>
        <v/>
      </c>
      <c r="D517" s="7">
        <f>'1 datos preparados'!C510</f>
        <v/>
      </c>
      <c r="E517" s="7">
        <f>'1 datos preparados'!D510</f>
        <v/>
      </c>
      <c r="F517" s="7">
        <f>'1 datos preparados'!E510</f>
        <v/>
      </c>
      <c r="G517" s="7">
        <f>'1 datos preparados'!F510</f>
        <v/>
      </c>
      <c r="H517" s="7">
        <f>'1 datos preparados'!G510</f>
        <v/>
      </c>
      <c r="I517" s="7">
        <f>'1 datos preparados'!H510</f>
        <v/>
      </c>
      <c r="J517" s="7">
        <f>'1 datos preparados'!I510</f>
        <v/>
      </c>
      <c r="K517" s="7">
        <f>'1 datos preparados'!J510</f>
        <v/>
      </c>
      <c r="L517" s="7">
        <f>'1 datos preparados'!K510</f>
        <v/>
      </c>
      <c r="M517" s="7">
        <f>'1 datos preparados'!L510</f>
        <v/>
      </c>
      <c r="N517" s="7">
        <f>'1 datos preparados'!M510</f>
        <v/>
      </c>
      <c r="O517" s="7">
        <f>'1 datos preparados'!N510</f>
        <v/>
      </c>
      <c r="P517" s="7">
        <f>'1 datos preparados'!O510</f>
        <v/>
      </c>
      <c r="Q517" s="7">
        <f>'1 datos preparados'!P510</f>
        <v/>
      </c>
      <c r="R517" s="7">
        <f>'1 datos preparados'!Q510</f>
        <v/>
      </c>
      <c r="S517" s="7">
        <f>'1 datos preparados'!R510</f>
        <v/>
      </c>
      <c r="T517" s="7">
        <f>'1 datos preparados'!S510</f>
        <v/>
      </c>
      <c r="U517" s="7">
        <f>'1 datos preparados'!T510</f>
        <v/>
      </c>
      <c r="V517" s="8">
        <f>$AE$12+D517*$AE$13+E517*$AE$14+F517*$AE$15+G517*$AE$16+H517*$AE$17+I517*$AE$18+J517*$AE$19+K517*$AE$20+L517*$AE$21+M517*$AE$22+N517*$AE$23+O517*$AE$24+P517*$AE$25+Q517*$AE$26+R517*$AE$27+S517*$AE$28+T517*$AE$29+U517*$AE$30</f>
        <v/>
      </c>
      <c r="W517" s="8">
        <f>1/(1+EXP(-V517))</f>
        <v/>
      </c>
      <c r="X517" s="9">
        <f>-IF(C517=1,LN(W517),LN(1-W517))</f>
        <v/>
      </c>
      <c r="Y517" s="8">
        <f>1</f>
        <v/>
      </c>
      <c r="Z517" s="9">
        <f>Y517*X517</f>
        <v/>
      </c>
      <c r="AA517" s="10">
        <f>IF(W517&gt;$AE$32,1,0)</f>
        <v/>
      </c>
      <c r="AB517">
        <f>IF(AA517=C517,1,0)</f>
        <v/>
      </c>
    </row>
    <row r="518">
      <c r="A518">
        <f>'1 datos preparados'!A511</f>
        <v/>
      </c>
      <c r="B518" s="5">
        <f>'1 datos preparados'!U511</f>
        <v/>
      </c>
      <c r="C518">
        <f>'1 datos preparados'!B511</f>
        <v/>
      </c>
      <c r="D518" s="7">
        <f>'1 datos preparados'!C511</f>
        <v/>
      </c>
      <c r="E518" s="7">
        <f>'1 datos preparados'!D511</f>
        <v/>
      </c>
      <c r="F518" s="7">
        <f>'1 datos preparados'!E511</f>
        <v/>
      </c>
      <c r="G518" s="7">
        <f>'1 datos preparados'!F511</f>
        <v/>
      </c>
      <c r="H518" s="7">
        <f>'1 datos preparados'!G511</f>
        <v/>
      </c>
      <c r="I518" s="7">
        <f>'1 datos preparados'!H511</f>
        <v/>
      </c>
      <c r="J518" s="7">
        <f>'1 datos preparados'!I511</f>
        <v/>
      </c>
      <c r="K518" s="7">
        <f>'1 datos preparados'!J511</f>
        <v/>
      </c>
      <c r="L518" s="7">
        <f>'1 datos preparados'!K511</f>
        <v/>
      </c>
      <c r="M518" s="7">
        <f>'1 datos preparados'!L511</f>
        <v/>
      </c>
      <c r="N518" s="7">
        <f>'1 datos preparados'!M511</f>
        <v/>
      </c>
      <c r="O518" s="7">
        <f>'1 datos preparados'!N511</f>
        <v/>
      </c>
      <c r="P518" s="7">
        <f>'1 datos preparados'!O511</f>
        <v/>
      </c>
      <c r="Q518" s="7">
        <f>'1 datos preparados'!P511</f>
        <v/>
      </c>
      <c r="R518" s="7">
        <f>'1 datos preparados'!Q511</f>
        <v/>
      </c>
      <c r="S518" s="7">
        <f>'1 datos preparados'!R511</f>
        <v/>
      </c>
      <c r="T518" s="7">
        <f>'1 datos preparados'!S511</f>
        <v/>
      </c>
      <c r="U518" s="7">
        <f>'1 datos preparados'!T511</f>
        <v/>
      </c>
      <c r="V518" s="8">
        <f>$AE$12+D518*$AE$13+E518*$AE$14+F518*$AE$15+G518*$AE$16+H518*$AE$17+I518*$AE$18+J518*$AE$19+K518*$AE$20+L518*$AE$21+M518*$AE$22+N518*$AE$23+O518*$AE$24+P518*$AE$25+Q518*$AE$26+R518*$AE$27+S518*$AE$28+T518*$AE$29+U518*$AE$30</f>
        <v/>
      </c>
      <c r="W518" s="8">
        <f>1/(1+EXP(-V518))</f>
        <v/>
      </c>
      <c r="X518" s="9">
        <f>-IF(C518=1,LN(W518),LN(1-W518))</f>
        <v/>
      </c>
      <c r="Y518" s="8">
        <f>1</f>
        <v/>
      </c>
      <c r="Z518" s="9">
        <f>Y518*X518</f>
        <v/>
      </c>
      <c r="AA518" s="10">
        <f>IF(W518&gt;$AE$32,1,0)</f>
        <v/>
      </c>
      <c r="AB518">
        <f>IF(AA518=C518,1,0)</f>
        <v/>
      </c>
    </row>
    <row r="519">
      <c r="A519">
        <f>'1 datos preparados'!A512</f>
        <v/>
      </c>
      <c r="B519" s="5">
        <f>'1 datos preparados'!U512</f>
        <v/>
      </c>
      <c r="C519">
        <f>'1 datos preparados'!B512</f>
        <v/>
      </c>
      <c r="D519" s="7">
        <f>'1 datos preparados'!C512</f>
        <v/>
      </c>
      <c r="E519" s="7">
        <f>'1 datos preparados'!D512</f>
        <v/>
      </c>
      <c r="F519" s="7">
        <f>'1 datos preparados'!E512</f>
        <v/>
      </c>
      <c r="G519" s="7">
        <f>'1 datos preparados'!F512</f>
        <v/>
      </c>
      <c r="H519" s="7">
        <f>'1 datos preparados'!G512</f>
        <v/>
      </c>
      <c r="I519" s="7">
        <f>'1 datos preparados'!H512</f>
        <v/>
      </c>
      <c r="J519" s="7">
        <f>'1 datos preparados'!I512</f>
        <v/>
      </c>
      <c r="K519" s="7">
        <f>'1 datos preparados'!J512</f>
        <v/>
      </c>
      <c r="L519" s="7">
        <f>'1 datos preparados'!K512</f>
        <v/>
      </c>
      <c r="M519" s="7">
        <f>'1 datos preparados'!L512</f>
        <v/>
      </c>
      <c r="N519" s="7">
        <f>'1 datos preparados'!M512</f>
        <v/>
      </c>
      <c r="O519" s="7">
        <f>'1 datos preparados'!N512</f>
        <v/>
      </c>
      <c r="P519" s="7">
        <f>'1 datos preparados'!O512</f>
        <v/>
      </c>
      <c r="Q519" s="7">
        <f>'1 datos preparados'!P512</f>
        <v/>
      </c>
      <c r="R519" s="7">
        <f>'1 datos preparados'!Q512</f>
        <v/>
      </c>
      <c r="S519" s="7">
        <f>'1 datos preparados'!R512</f>
        <v/>
      </c>
      <c r="T519" s="7">
        <f>'1 datos preparados'!S512</f>
        <v/>
      </c>
      <c r="U519" s="7">
        <f>'1 datos preparados'!T512</f>
        <v/>
      </c>
      <c r="V519" s="8">
        <f>$AE$12+D519*$AE$13+E519*$AE$14+F519*$AE$15+G519*$AE$16+H519*$AE$17+I519*$AE$18+J519*$AE$19+K519*$AE$20+L519*$AE$21+M519*$AE$22+N519*$AE$23+O519*$AE$24+P519*$AE$25+Q519*$AE$26+R519*$AE$27+S519*$AE$28+T519*$AE$29+U519*$AE$30</f>
        <v/>
      </c>
      <c r="W519" s="8">
        <f>1/(1+EXP(-V519))</f>
        <v/>
      </c>
      <c r="X519" s="9">
        <f>-IF(C519=1,LN(W519),LN(1-W519))</f>
        <v/>
      </c>
      <c r="Y519" s="8">
        <f>1</f>
        <v/>
      </c>
      <c r="Z519" s="9">
        <f>Y519*X519</f>
        <v/>
      </c>
      <c r="AA519" s="10">
        <f>IF(W519&gt;$AE$32,1,0)</f>
        <v/>
      </c>
      <c r="AB519">
        <f>IF(AA519=C519,1,0)</f>
        <v/>
      </c>
    </row>
    <row r="520">
      <c r="A520">
        <f>'1 datos preparados'!A513</f>
        <v/>
      </c>
      <c r="B520" s="5">
        <f>'1 datos preparados'!U513</f>
        <v/>
      </c>
      <c r="C520">
        <f>'1 datos preparados'!B513</f>
        <v/>
      </c>
      <c r="D520" s="7">
        <f>'1 datos preparados'!C513</f>
        <v/>
      </c>
      <c r="E520" s="7">
        <f>'1 datos preparados'!D513</f>
        <v/>
      </c>
      <c r="F520" s="7">
        <f>'1 datos preparados'!E513</f>
        <v/>
      </c>
      <c r="G520" s="7">
        <f>'1 datos preparados'!F513</f>
        <v/>
      </c>
      <c r="H520" s="7">
        <f>'1 datos preparados'!G513</f>
        <v/>
      </c>
      <c r="I520" s="7">
        <f>'1 datos preparados'!H513</f>
        <v/>
      </c>
      <c r="J520" s="7">
        <f>'1 datos preparados'!I513</f>
        <v/>
      </c>
      <c r="K520" s="7">
        <f>'1 datos preparados'!J513</f>
        <v/>
      </c>
      <c r="L520" s="7">
        <f>'1 datos preparados'!K513</f>
        <v/>
      </c>
      <c r="M520" s="7">
        <f>'1 datos preparados'!L513</f>
        <v/>
      </c>
      <c r="N520" s="7">
        <f>'1 datos preparados'!M513</f>
        <v/>
      </c>
      <c r="O520" s="7">
        <f>'1 datos preparados'!N513</f>
        <v/>
      </c>
      <c r="P520" s="7">
        <f>'1 datos preparados'!O513</f>
        <v/>
      </c>
      <c r="Q520" s="7">
        <f>'1 datos preparados'!P513</f>
        <v/>
      </c>
      <c r="R520" s="7">
        <f>'1 datos preparados'!Q513</f>
        <v/>
      </c>
      <c r="S520" s="7">
        <f>'1 datos preparados'!R513</f>
        <v/>
      </c>
      <c r="T520" s="7">
        <f>'1 datos preparados'!S513</f>
        <v/>
      </c>
      <c r="U520" s="7">
        <f>'1 datos preparados'!T513</f>
        <v/>
      </c>
      <c r="V520" s="8">
        <f>$AE$12+D520*$AE$13+E520*$AE$14+F520*$AE$15+G520*$AE$16+H520*$AE$17+I520*$AE$18+J520*$AE$19+K520*$AE$20+L520*$AE$21+M520*$AE$22+N520*$AE$23+O520*$AE$24+P520*$AE$25+Q520*$AE$26+R520*$AE$27+S520*$AE$28+T520*$AE$29+U520*$AE$30</f>
        <v/>
      </c>
      <c r="W520" s="8">
        <f>1/(1+EXP(-V520))</f>
        <v/>
      </c>
      <c r="X520" s="9">
        <f>-IF(C520=1,LN(W520),LN(1-W520))</f>
        <v/>
      </c>
      <c r="Y520" s="8">
        <f>1</f>
        <v/>
      </c>
      <c r="Z520" s="9">
        <f>Y520*X520</f>
        <v/>
      </c>
      <c r="AA520" s="10">
        <f>IF(W520&gt;$AE$32,1,0)</f>
        <v/>
      </c>
      <c r="AB520">
        <f>IF(AA520=C520,1,0)</f>
        <v/>
      </c>
    </row>
    <row r="521">
      <c r="A521">
        <f>'1 datos preparados'!A514</f>
        <v/>
      </c>
      <c r="B521" s="5">
        <f>'1 datos preparados'!U514</f>
        <v/>
      </c>
      <c r="C521">
        <f>'1 datos preparados'!B514</f>
        <v/>
      </c>
      <c r="D521" s="7">
        <f>'1 datos preparados'!C514</f>
        <v/>
      </c>
      <c r="E521" s="7">
        <f>'1 datos preparados'!D514</f>
        <v/>
      </c>
      <c r="F521" s="7">
        <f>'1 datos preparados'!E514</f>
        <v/>
      </c>
      <c r="G521" s="7">
        <f>'1 datos preparados'!F514</f>
        <v/>
      </c>
      <c r="H521" s="7">
        <f>'1 datos preparados'!G514</f>
        <v/>
      </c>
      <c r="I521" s="7">
        <f>'1 datos preparados'!H514</f>
        <v/>
      </c>
      <c r="J521" s="7">
        <f>'1 datos preparados'!I514</f>
        <v/>
      </c>
      <c r="K521" s="7">
        <f>'1 datos preparados'!J514</f>
        <v/>
      </c>
      <c r="L521" s="7">
        <f>'1 datos preparados'!K514</f>
        <v/>
      </c>
      <c r="M521" s="7">
        <f>'1 datos preparados'!L514</f>
        <v/>
      </c>
      <c r="N521" s="7">
        <f>'1 datos preparados'!M514</f>
        <v/>
      </c>
      <c r="O521" s="7">
        <f>'1 datos preparados'!N514</f>
        <v/>
      </c>
      <c r="P521" s="7">
        <f>'1 datos preparados'!O514</f>
        <v/>
      </c>
      <c r="Q521" s="7">
        <f>'1 datos preparados'!P514</f>
        <v/>
      </c>
      <c r="R521" s="7">
        <f>'1 datos preparados'!Q514</f>
        <v/>
      </c>
      <c r="S521" s="7">
        <f>'1 datos preparados'!R514</f>
        <v/>
      </c>
      <c r="T521" s="7">
        <f>'1 datos preparados'!S514</f>
        <v/>
      </c>
      <c r="U521" s="7">
        <f>'1 datos preparados'!T514</f>
        <v/>
      </c>
      <c r="V521" s="8">
        <f>$AE$12+D521*$AE$13+E521*$AE$14+F521*$AE$15+G521*$AE$16+H521*$AE$17+I521*$AE$18+J521*$AE$19+K521*$AE$20+L521*$AE$21+M521*$AE$22+N521*$AE$23+O521*$AE$24+P521*$AE$25+Q521*$AE$26+R521*$AE$27+S521*$AE$28+T521*$AE$29+U521*$AE$30</f>
        <v/>
      </c>
      <c r="W521" s="8">
        <f>1/(1+EXP(-V521))</f>
        <v/>
      </c>
      <c r="X521" s="9">
        <f>-IF(C521=1,LN(W521),LN(1-W521))</f>
        <v/>
      </c>
      <c r="Y521" s="8">
        <f>1</f>
        <v/>
      </c>
      <c r="Z521" s="9">
        <f>Y521*X521</f>
        <v/>
      </c>
      <c r="AA521" s="10">
        <f>IF(W521&gt;$AE$32,1,0)</f>
        <v/>
      </c>
      <c r="AB521">
        <f>IF(AA521=C521,1,0)</f>
        <v/>
      </c>
    </row>
    <row r="522">
      <c r="A522">
        <f>'1 datos preparados'!A515</f>
        <v/>
      </c>
      <c r="B522" s="5">
        <f>'1 datos preparados'!U515</f>
        <v/>
      </c>
      <c r="C522">
        <f>'1 datos preparados'!B515</f>
        <v/>
      </c>
      <c r="D522" s="7">
        <f>'1 datos preparados'!C515</f>
        <v/>
      </c>
      <c r="E522" s="7">
        <f>'1 datos preparados'!D515</f>
        <v/>
      </c>
      <c r="F522" s="7">
        <f>'1 datos preparados'!E515</f>
        <v/>
      </c>
      <c r="G522" s="7">
        <f>'1 datos preparados'!F515</f>
        <v/>
      </c>
      <c r="H522" s="7">
        <f>'1 datos preparados'!G515</f>
        <v/>
      </c>
      <c r="I522" s="7">
        <f>'1 datos preparados'!H515</f>
        <v/>
      </c>
      <c r="J522" s="7">
        <f>'1 datos preparados'!I515</f>
        <v/>
      </c>
      <c r="K522" s="7">
        <f>'1 datos preparados'!J515</f>
        <v/>
      </c>
      <c r="L522" s="7">
        <f>'1 datos preparados'!K515</f>
        <v/>
      </c>
      <c r="M522" s="7">
        <f>'1 datos preparados'!L515</f>
        <v/>
      </c>
      <c r="N522" s="7">
        <f>'1 datos preparados'!M515</f>
        <v/>
      </c>
      <c r="O522" s="7">
        <f>'1 datos preparados'!N515</f>
        <v/>
      </c>
      <c r="P522" s="7">
        <f>'1 datos preparados'!O515</f>
        <v/>
      </c>
      <c r="Q522" s="7">
        <f>'1 datos preparados'!P515</f>
        <v/>
      </c>
      <c r="R522" s="7">
        <f>'1 datos preparados'!Q515</f>
        <v/>
      </c>
      <c r="S522" s="7">
        <f>'1 datos preparados'!R515</f>
        <v/>
      </c>
      <c r="T522" s="7">
        <f>'1 datos preparados'!S515</f>
        <v/>
      </c>
      <c r="U522" s="7">
        <f>'1 datos preparados'!T515</f>
        <v/>
      </c>
      <c r="V522" s="8">
        <f>$AE$12+D522*$AE$13+E522*$AE$14+F522*$AE$15+G522*$AE$16+H522*$AE$17+I522*$AE$18+J522*$AE$19+K522*$AE$20+L522*$AE$21+M522*$AE$22+N522*$AE$23+O522*$AE$24+P522*$AE$25+Q522*$AE$26+R522*$AE$27+S522*$AE$28+T522*$AE$29+U522*$AE$30</f>
        <v/>
      </c>
      <c r="W522" s="8">
        <f>1/(1+EXP(-V522))</f>
        <v/>
      </c>
      <c r="X522" s="9">
        <f>-IF(C522=1,LN(W522),LN(1-W522))</f>
        <v/>
      </c>
      <c r="Y522" s="8">
        <f>1</f>
        <v/>
      </c>
      <c r="Z522" s="9">
        <f>Y522*X522</f>
        <v/>
      </c>
      <c r="AA522" s="10">
        <f>IF(W522&gt;$AE$32,1,0)</f>
        <v/>
      </c>
      <c r="AB522">
        <f>IF(AA522=C522,1,0)</f>
        <v/>
      </c>
    </row>
    <row r="523">
      <c r="A523">
        <f>'1 datos preparados'!A516</f>
        <v/>
      </c>
      <c r="B523" s="5">
        <f>'1 datos preparados'!U516</f>
        <v/>
      </c>
      <c r="C523">
        <f>'1 datos preparados'!B516</f>
        <v/>
      </c>
      <c r="D523" s="7">
        <f>'1 datos preparados'!C516</f>
        <v/>
      </c>
      <c r="E523" s="7">
        <f>'1 datos preparados'!D516</f>
        <v/>
      </c>
      <c r="F523" s="7">
        <f>'1 datos preparados'!E516</f>
        <v/>
      </c>
      <c r="G523" s="7">
        <f>'1 datos preparados'!F516</f>
        <v/>
      </c>
      <c r="H523" s="7">
        <f>'1 datos preparados'!G516</f>
        <v/>
      </c>
      <c r="I523" s="7">
        <f>'1 datos preparados'!H516</f>
        <v/>
      </c>
      <c r="J523" s="7">
        <f>'1 datos preparados'!I516</f>
        <v/>
      </c>
      <c r="K523" s="7">
        <f>'1 datos preparados'!J516</f>
        <v/>
      </c>
      <c r="L523" s="7">
        <f>'1 datos preparados'!K516</f>
        <v/>
      </c>
      <c r="M523" s="7">
        <f>'1 datos preparados'!L516</f>
        <v/>
      </c>
      <c r="N523" s="7">
        <f>'1 datos preparados'!M516</f>
        <v/>
      </c>
      <c r="O523" s="7">
        <f>'1 datos preparados'!N516</f>
        <v/>
      </c>
      <c r="P523" s="7">
        <f>'1 datos preparados'!O516</f>
        <v/>
      </c>
      <c r="Q523" s="7">
        <f>'1 datos preparados'!P516</f>
        <v/>
      </c>
      <c r="R523" s="7">
        <f>'1 datos preparados'!Q516</f>
        <v/>
      </c>
      <c r="S523" s="7">
        <f>'1 datos preparados'!R516</f>
        <v/>
      </c>
      <c r="T523" s="7">
        <f>'1 datos preparados'!S516</f>
        <v/>
      </c>
      <c r="U523" s="7">
        <f>'1 datos preparados'!T516</f>
        <v/>
      </c>
      <c r="V523" s="8">
        <f>$AE$12+D523*$AE$13+E523*$AE$14+F523*$AE$15+G523*$AE$16+H523*$AE$17+I523*$AE$18+J523*$AE$19+K523*$AE$20+L523*$AE$21+M523*$AE$22+N523*$AE$23+O523*$AE$24+P523*$AE$25+Q523*$AE$26+R523*$AE$27+S523*$AE$28+T523*$AE$29+U523*$AE$30</f>
        <v/>
      </c>
      <c r="W523" s="8">
        <f>1/(1+EXP(-V523))</f>
        <v/>
      </c>
      <c r="X523" s="9">
        <f>-IF(C523=1,LN(W523),LN(1-W523))</f>
        <v/>
      </c>
      <c r="Y523" s="8">
        <f>1</f>
        <v/>
      </c>
      <c r="Z523" s="9">
        <f>Y523*X523</f>
        <v/>
      </c>
      <c r="AA523" s="10">
        <f>IF(W523&gt;$AE$32,1,0)</f>
        <v/>
      </c>
      <c r="AB523">
        <f>IF(AA523=C523,1,0)</f>
        <v/>
      </c>
    </row>
    <row r="524">
      <c r="A524">
        <f>'1 datos preparados'!A517</f>
        <v/>
      </c>
      <c r="B524" s="5">
        <f>'1 datos preparados'!U517</f>
        <v/>
      </c>
      <c r="C524">
        <f>'1 datos preparados'!B517</f>
        <v/>
      </c>
      <c r="D524" s="7">
        <f>'1 datos preparados'!C517</f>
        <v/>
      </c>
      <c r="E524" s="7">
        <f>'1 datos preparados'!D517</f>
        <v/>
      </c>
      <c r="F524" s="7">
        <f>'1 datos preparados'!E517</f>
        <v/>
      </c>
      <c r="G524" s="7">
        <f>'1 datos preparados'!F517</f>
        <v/>
      </c>
      <c r="H524" s="7">
        <f>'1 datos preparados'!G517</f>
        <v/>
      </c>
      <c r="I524" s="7">
        <f>'1 datos preparados'!H517</f>
        <v/>
      </c>
      <c r="J524" s="7">
        <f>'1 datos preparados'!I517</f>
        <v/>
      </c>
      <c r="K524" s="7">
        <f>'1 datos preparados'!J517</f>
        <v/>
      </c>
      <c r="L524" s="7">
        <f>'1 datos preparados'!K517</f>
        <v/>
      </c>
      <c r="M524" s="7">
        <f>'1 datos preparados'!L517</f>
        <v/>
      </c>
      <c r="N524" s="7">
        <f>'1 datos preparados'!M517</f>
        <v/>
      </c>
      <c r="O524" s="7">
        <f>'1 datos preparados'!N517</f>
        <v/>
      </c>
      <c r="P524" s="7">
        <f>'1 datos preparados'!O517</f>
        <v/>
      </c>
      <c r="Q524" s="7">
        <f>'1 datos preparados'!P517</f>
        <v/>
      </c>
      <c r="R524" s="7">
        <f>'1 datos preparados'!Q517</f>
        <v/>
      </c>
      <c r="S524" s="7">
        <f>'1 datos preparados'!R517</f>
        <v/>
      </c>
      <c r="T524" s="7">
        <f>'1 datos preparados'!S517</f>
        <v/>
      </c>
      <c r="U524" s="7">
        <f>'1 datos preparados'!T517</f>
        <v/>
      </c>
      <c r="V524" s="8">
        <f>$AE$12+D524*$AE$13+E524*$AE$14+F524*$AE$15+G524*$AE$16+H524*$AE$17+I524*$AE$18+J524*$AE$19+K524*$AE$20+L524*$AE$21+M524*$AE$22+N524*$AE$23+O524*$AE$24+P524*$AE$25+Q524*$AE$26+R524*$AE$27+S524*$AE$28+T524*$AE$29+U524*$AE$30</f>
        <v/>
      </c>
      <c r="W524" s="8">
        <f>1/(1+EXP(-V524))</f>
        <v/>
      </c>
      <c r="X524" s="9">
        <f>-IF(C524=1,LN(W524),LN(1-W524))</f>
        <v/>
      </c>
      <c r="Y524" s="8">
        <f>1</f>
        <v/>
      </c>
      <c r="Z524" s="9">
        <f>Y524*X524</f>
        <v/>
      </c>
      <c r="AA524" s="10">
        <f>IF(W524&gt;$AE$32,1,0)</f>
        <v/>
      </c>
      <c r="AB524">
        <f>IF(AA524=C524,1,0)</f>
        <v/>
      </c>
    </row>
    <row r="525">
      <c r="A525">
        <f>'1 datos preparados'!A518</f>
        <v/>
      </c>
      <c r="B525" s="5">
        <f>'1 datos preparados'!U518</f>
        <v/>
      </c>
      <c r="C525">
        <f>'1 datos preparados'!B518</f>
        <v/>
      </c>
      <c r="D525" s="7">
        <f>'1 datos preparados'!C518</f>
        <v/>
      </c>
      <c r="E525" s="7">
        <f>'1 datos preparados'!D518</f>
        <v/>
      </c>
      <c r="F525" s="7">
        <f>'1 datos preparados'!E518</f>
        <v/>
      </c>
      <c r="G525" s="7">
        <f>'1 datos preparados'!F518</f>
        <v/>
      </c>
      <c r="H525" s="7">
        <f>'1 datos preparados'!G518</f>
        <v/>
      </c>
      <c r="I525" s="7">
        <f>'1 datos preparados'!H518</f>
        <v/>
      </c>
      <c r="J525" s="7">
        <f>'1 datos preparados'!I518</f>
        <v/>
      </c>
      <c r="K525" s="7">
        <f>'1 datos preparados'!J518</f>
        <v/>
      </c>
      <c r="L525" s="7">
        <f>'1 datos preparados'!K518</f>
        <v/>
      </c>
      <c r="M525" s="7">
        <f>'1 datos preparados'!L518</f>
        <v/>
      </c>
      <c r="N525" s="7">
        <f>'1 datos preparados'!M518</f>
        <v/>
      </c>
      <c r="O525" s="7">
        <f>'1 datos preparados'!N518</f>
        <v/>
      </c>
      <c r="P525" s="7">
        <f>'1 datos preparados'!O518</f>
        <v/>
      </c>
      <c r="Q525" s="7">
        <f>'1 datos preparados'!P518</f>
        <v/>
      </c>
      <c r="R525" s="7">
        <f>'1 datos preparados'!Q518</f>
        <v/>
      </c>
      <c r="S525" s="7">
        <f>'1 datos preparados'!R518</f>
        <v/>
      </c>
      <c r="T525" s="7">
        <f>'1 datos preparados'!S518</f>
        <v/>
      </c>
      <c r="U525" s="7">
        <f>'1 datos preparados'!T518</f>
        <v/>
      </c>
      <c r="V525" s="8">
        <f>$AE$12+D525*$AE$13+E525*$AE$14+F525*$AE$15+G525*$AE$16+H525*$AE$17+I525*$AE$18+J525*$AE$19+K525*$AE$20+L525*$AE$21+M525*$AE$22+N525*$AE$23+O525*$AE$24+P525*$AE$25+Q525*$AE$26+R525*$AE$27+S525*$AE$28+T525*$AE$29+U525*$AE$30</f>
        <v/>
      </c>
      <c r="W525" s="8">
        <f>1/(1+EXP(-V525))</f>
        <v/>
      </c>
      <c r="X525" s="9">
        <f>-IF(C525=1,LN(W525),LN(1-W525))</f>
        <v/>
      </c>
      <c r="Y525" s="8">
        <f>1</f>
        <v/>
      </c>
      <c r="Z525" s="9">
        <f>Y525*X525</f>
        <v/>
      </c>
      <c r="AA525" s="10">
        <f>IF(W525&gt;$AE$32,1,0)</f>
        <v/>
      </c>
      <c r="AB525">
        <f>IF(AA525=C525,1,0)</f>
        <v/>
      </c>
    </row>
    <row r="526">
      <c r="A526">
        <f>'1 datos preparados'!A519</f>
        <v/>
      </c>
      <c r="B526" s="5">
        <f>'1 datos preparados'!U519</f>
        <v/>
      </c>
      <c r="C526">
        <f>'1 datos preparados'!B519</f>
        <v/>
      </c>
      <c r="D526" s="7">
        <f>'1 datos preparados'!C519</f>
        <v/>
      </c>
      <c r="E526" s="7">
        <f>'1 datos preparados'!D519</f>
        <v/>
      </c>
      <c r="F526" s="7">
        <f>'1 datos preparados'!E519</f>
        <v/>
      </c>
      <c r="G526" s="7">
        <f>'1 datos preparados'!F519</f>
        <v/>
      </c>
      <c r="H526" s="7">
        <f>'1 datos preparados'!G519</f>
        <v/>
      </c>
      <c r="I526" s="7">
        <f>'1 datos preparados'!H519</f>
        <v/>
      </c>
      <c r="J526" s="7">
        <f>'1 datos preparados'!I519</f>
        <v/>
      </c>
      <c r="K526" s="7">
        <f>'1 datos preparados'!J519</f>
        <v/>
      </c>
      <c r="L526" s="7">
        <f>'1 datos preparados'!K519</f>
        <v/>
      </c>
      <c r="M526" s="7">
        <f>'1 datos preparados'!L519</f>
        <v/>
      </c>
      <c r="N526" s="7">
        <f>'1 datos preparados'!M519</f>
        <v/>
      </c>
      <c r="O526" s="7">
        <f>'1 datos preparados'!N519</f>
        <v/>
      </c>
      <c r="P526" s="7">
        <f>'1 datos preparados'!O519</f>
        <v/>
      </c>
      <c r="Q526" s="7">
        <f>'1 datos preparados'!P519</f>
        <v/>
      </c>
      <c r="R526" s="7">
        <f>'1 datos preparados'!Q519</f>
        <v/>
      </c>
      <c r="S526" s="7">
        <f>'1 datos preparados'!R519</f>
        <v/>
      </c>
      <c r="T526" s="7">
        <f>'1 datos preparados'!S519</f>
        <v/>
      </c>
      <c r="U526" s="7">
        <f>'1 datos preparados'!T519</f>
        <v/>
      </c>
      <c r="V526" s="8">
        <f>$AE$12+D526*$AE$13+E526*$AE$14+F526*$AE$15+G526*$AE$16+H526*$AE$17+I526*$AE$18+J526*$AE$19+K526*$AE$20+L526*$AE$21+M526*$AE$22+N526*$AE$23+O526*$AE$24+P526*$AE$25+Q526*$AE$26+R526*$AE$27+S526*$AE$28+T526*$AE$29+U526*$AE$30</f>
        <v/>
      </c>
      <c r="W526" s="8">
        <f>1/(1+EXP(-V526))</f>
        <v/>
      </c>
      <c r="X526" s="9">
        <f>-IF(C526=1,LN(W526),LN(1-W526))</f>
        <v/>
      </c>
      <c r="Y526" s="8">
        <f>1</f>
        <v/>
      </c>
      <c r="Z526" s="9">
        <f>Y526*X526</f>
        <v/>
      </c>
      <c r="AA526" s="10">
        <f>IF(W526&gt;$AE$32,1,0)</f>
        <v/>
      </c>
      <c r="AB526">
        <f>IF(AA526=C526,1,0)</f>
        <v/>
      </c>
    </row>
    <row r="527">
      <c r="A527">
        <f>'1 datos preparados'!A520</f>
        <v/>
      </c>
      <c r="B527" s="5">
        <f>'1 datos preparados'!U520</f>
        <v/>
      </c>
      <c r="C527">
        <f>'1 datos preparados'!B520</f>
        <v/>
      </c>
      <c r="D527" s="7">
        <f>'1 datos preparados'!C520</f>
        <v/>
      </c>
      <c r="E527" s="7">
        <f>'1 datos preparados'!D520</f>
        <v/>
      </c>
      <c r="F527" s="7">
        <f>'1 datos preparados'!E520</f>
        <v/>
      </c>
      <c r="G527" s="7">
        <f>'1 datos preparados'!F520</f>
        <v/>
      </c>
      <c r="H527" s="7">
        <f>'1 datos preparados'!G520</f>
        <v/>
      </c>
      <c r="I527" s="7">
        <f>'1 datos preparados'!H520</f>
        <v/>
      </c>
      <c r="J527" s="7">
        <f>'1 datos preparados'!I520</f>
        <v/>
      </c>
      <c r="K527" s="7">
        <f>'1 datos preparados'!J520</f>
        <v/>
      </c>
      <c r="L527" s="7">
        <f>'1 datos preparados'!K520</f>
        <v/>
      </c>
      <c r="M527" s="7">
        <f>'1 datos preparados'!L520</f>
        <v/>
      </c>
      <c r="N527" s="7">
        <f>'1 datos preparados'!M520</f>
        <v/>
      </c>
      <c r="O527" s="7">
        <f>'1 datos preparados'!N520</f>
        <v/>
      </c>
      <c r="P527" s="7">
        <f>'1 datos preparados'!O520</f>
        <v/>
      </c>
      <c r="Q527" s="7">
        <f>'1 datos preparados'!P520</f>
        <v/>
      </c>
      <c r="R527" s="7">
        <f>'1 datos preparados'!Q520</f>
        <v/>
      </c>
      <c r="S527" s="7">
        <f>'1 datos preparados'!R520</f>
        <v/>
      </c>
      <c r="T527" s="7">
        <f>'1 datos preparados'!S520</f>
        <v/>
      </c>
      <c r="U527" s="7">
        <f>'1 datos preparados'!T520</f>
        <v/>
      </c>
      <c r="V527" s="8">
        <f>$AE$12+D527*$AE$13+E527*$AE$14+F527*$AE$15+G527*$AE$16+H527*$AE$17+I527*$AE$18+J527*$AE$19+K527*$AE$20+L527*$AE$21+M527*$AE$22+N527*$AE$23+O527*$AE$24+P527*$AE$25+Q527*$AE$26+R527*$AE$27+S527*$AE$28+T527*$AE$29+U527*$AE$30</f>
        <v/>
      </c>
      <c r="W527" s="8">
        <f>1/(1+EXP(-V527))</f>
        <v/>
      </c>
      <c r="X527" s="9">
        <f>-IF(C527=1,LN(W527),LN(1-W527))</f>
        <v/>
      </c>
      <c r="Y527" s="8">
        <f>1</f>
        <v/>
      </c>
      <c r="Z527" s="9">
        <f>Y527*X527</f>
        <v/>
      </c>
      <c r="AA527" s="10">
        <f>IF(W527&gt;$AE$32,1,0)</f>
        <v/>
      </c>
      <c r="AB527">
        <f>IF(AA527=C527,1,0)</f>
        <v/>
      </c>
    </row>
    <row r="528">
      <c r="A528">
        <f>'1 datos preparados'!A521</f>
        <v/>
      </c>
      <c r="B528" s="5">
        <f>'1 datos preparados'!U521</f>
        <v/>
      </c>
      <c r="C528">
        <f>'1 datos preparados'!B521</f>
        <v/>
      </c>
      <c r="D528" s="7">
        <f>'1 datos preparados'!C521</f>
        <v/>
      </c>
      <c r="E528" s="7">
        <f>'1 datos preparados'!D521</f>
        <v/>
      </c>
      <c r="F528" s="7">
        <f>'1 datos preparados'!E521</f>
        <v/>
      </c>
      <c r="G528" s="7">
        <f>'1 datos preparados'!F521</f>
        <v/>
      </c>
      <c r="H528" s="7">
        <f>'1 datos preparados'!G521</f>
        <v/>
      </c>
      <c r="I528" s="7">
        <f>'1 datos preparados'!H521</f>
        <v/>
      </c>
      <c r="J528" s="7">
        <f>'1 datos preparados'!I521</f>
        <v/>
      </c>
      <c r="K528" s="7">
        <f>'1 datos preparados'!J521</f>
        <v/>
      </c>
      <c r="L528" s="7">
        <f>'1 datos preparados'!K521</f>
        <v/>
      </c>
      <c r="M528" s="7">
        <f>'1 datos preparados'!L521</f>
        <v/>
      </c>
      <c r="N528" s="7">
        <f>'1 datos preparados'!M521</f>
        <v/>
      </c>
      <c r="O528" s="7">
        <f>'1 datos preparados'!N521</f>
        <v/>
      </c>
      <c r="P528" s="7">
        <f>'1 datos preparados'!O521</f>
        <v/>
      </c>
      <c r="Q528" s="7">
        <f>'1 datos preparados'!P521</f>
        <v/>
      </c>
      <c r="R528" s="7">
        <f>'1 datos preparados'!Q521</f>
        <v/>
      </c>
      <c r="S528" s="7">
        <f>'1 datos preparados'!R521</f>
        <v/>
      </c>
      <c r="T528" s="7">
        <f>'1 datos preparados'!S521</f>
        <v/>
      </c>
      <c r="U528" s="7">
        <f>'1 datos preparados'!T521</f>
        <v/>
      </c>
      <c r="V528" s="8">
        <f>$AE$12+D528*$AE$13+E528*$AE$14+F528*$AE$15+G528*$AE$16+H528*$AE$17+I528*$AE$18+J528*$AE$19+K528*$AE$20+L528*$AE$21+M528*$AE$22+N528*$AE$23+O528*$AE$24+P528*$AE$25+Q528*$AE$26+R528*$AE$27+S528*$AE$28+T528*$AE$29+U528*$AE$30</f>
        <v/>
      </c>
      <c r="W528" s="8">
        <f>1/(1+EXP(-V528))</f>
        <v/>
      </c>
      <c r="X528" s="9">
        <f>-IF(C528=1,LN(W528),LN(1-W528))</f>
        <v/>
      </c>
      <c r="Y528" s="8">
        <f>1</f>
        <v/>
      </c>
      <c r="Z528" s="9">
        <f>Y528*X528</f>
        <v/>
      </c>
      <c r="AA528" s="10">
        <f>IF(W528&gt;$AE$32,1,0)</f>
        <v/>
      </c>
      <c r="AB528">
        <f>IF(AA528=C528,1,0)</f>
        <v/>
      </c>
    </row>
    <row r="529">
      <c r="A529">
        <f>'1 datos preparados'!A522</f>
        <v/>
      </c>
      <c r="B529" s="5">
        <f>'1 datos preparados'!U522</f>
        <v/>
      </c>
      <c r="C529">
        <f>'1 datos preparados'!B522</f>
        <v/>
      </c>
      <c r="D529" s="7">
        <f>'1 datos preparados'!C522</f>
        <v/>
      </c>
      <c r="E529" s="7">
        <f>'1 datos preparados'!D522</f>
        <v/>
      </c>
      <c r="F529" s="7">
        <f>'1 datos preparados'!E522</f>
        <v/>
      </c>
      <c r="G529" s="7">
        <f>'1 datos preparados'!F522</f>
        <v/>
      </c>
      <c r="H529" s="7">
        <f>'1 datos preparados'!G522</f>
        <v/>
      </c>
      <c r="I529" s="7">
        <f>'1 datos preparados'!H522</f>
        <v/>
      </c>
      <c r="J529" s="7">
        <f>'1 datos preparados'!I522</f>
        <v/>
      </c>
      <c r="K529" s="7">
        <f>'1 datos preparados'!J522</f>
        <v/>
      </c>
      <c r="L529" s="7">
        <f>'1 datos preparados'!K522</f>
        <v/>
      </c>
      <c r="M529" s="7">
        <f>'1 datos preparados'!L522</f>
        <v/>
      </c>
      <c r="N529" s="7">
        <f>'1 datos preparados'!M522</f>
        <v/>
      </c>
      <c r="O529" s="7">
        <f>'1 datos preparados'!N522</f>
        <v/>
      </c>
      <c r="P529" s="7">
        <f>'1 datos preparados'!O522</f>
        <v/>
      </c>
      <c r="Q529" s="7">
        <f>'1 datos preparados'!P522</f>
        <v/>
      </c>
      <c r="R529" s="7">
        <f>'1 datos preparados'!Q522</f>
        <v/>
      </c>
      <c r="S529" s="7">
        <f>'1 datos preparados'!R522</f>
        <v/>
      </c>
      <c r="T529" s="7">
        <f>'1 datos preparados'!S522</f>
        <v/>
      </c>
      <c r="U529" s="7">
        <f>'1 datos preparados'!T522</f>
        <v/>
      </c>
      <c r="V529" s="8">
        <f>$AE$12+D529*$AE$13+E529*$AE$14+F529*$AE$15+G529*$AE$16+H529*$AE$17+I529*$AE$18+J529*$AE$19+K529*$AE$20+L529*$AE$21+M529*$AE$22+N529*$AE$23+O529*$AE$24+P529*$AE$25+Q529*$AE$26+R529*$AE$27+S529*$AE$28+T529*$AE$29+U529*$AE$30</f>
        <v/>
      </c>
      <c r="W529" s="8">
        <f>1/(1+EXP(-V529))</f>
        <v/>
      </c>
      <c r="X529" s="9">
        <f>-IF(C529=1,LN(W529),LN(1-W529))</f>
        <v/>
      </c>
      <c r="Y529" s="8">
        <f>1</f>
        <v/>
      </c>
      <c r="Z529" s="9">
        <f>Y529*X529</f>
        <v/>
      </c>
      <c r="AA529" s="10">
        <f>IF(W529&gt;$AE$32,1,0)</f>
        <v/>
      </c>
      <c r="AB529">
        <f>IF(AA529=C529,1,0)</f>
        <v/>
      </c>
    </row>
    <row r="530">
      <c r="A530">
        <f>'1 datos preparados'!A523</f>
        <v/>
      </c>
      <c r="B530" s="5">
        <f>'1 datos preparados'!U523</f>
        <v/>
      </c>
      <c r="C530">
        <f>'1 datos preparados'!B523</f>
        <v/>
      </c>
      <c r="D530" s="7">
        <f>'1 datos preparados'!C523</f>
        <v/>
      </c>
      <c r="E530" s="7">
        <f>'1 datos preparados'!D523</f>
        <v/>
      </c>
      <c r="F530" s="7">
        <f>'1 datos preparados'!E523</f>
        <v/>
      </c>
      <c r="G530" s="7">
        <f>'1 datos preparados'!F523</f>
        <v/>
      </c>
      <c r="H530" s="7">
        <f>'1 datos preparados'!G523</f>
        <v/>
      </c>
      <c r="I530" s="7">
        <f>'1 datos preparados'!H523</f>
        <v/>
      </c>
      <c r="J530" s="7">
        <f>'1 datos preparados'!I523</f>
        <v/>
      </c>
      <c r="K530" s="7">
        <f>'1 datos preparados'!J523</f>
        <v/>
      </c>
      <c r="L530" s="7">
        <f>'1 datos preparados'!K523</f>
        <v/>
      </c>
      <c r="M530" s="7">
        <f>'1 datos preparados'!L523</f>
        <v/>
      </c>
      <c r="N530" s="7">
        <f>'1 datos preparados'!M523</f>
        <v/>
      </c>
      <c r="O530" s="7">
        <f>'1 datos preparados'!N523</f>
        <v/>
      </c>
      <c r="P530" s="7">
        <f>'1 datos preparados'!O523</f>
        <v/>
      </c>
      <c r="Q530" s="7">
        <f>'1 datos preparados'!P523</f>
        <v/>
      </c>
      <c r="R530" s="7">
        <f>'1 datos preparados'!Q523</f>
        <v/>
      </c>
      <c r="S530" s="7">
        <f>'1 datos preparados'!R523</f>
        <v/>
      </c>
      <c r="T530" s="7">
        <f>'1 datos preparados'!S523</f>
        <v/>
      </c>
      <c r="U530" s="7">
        <f>'1 datos preparados'!T523</f>
        <v/>
      </c>
      <c r="V530" s="8">
        <f>$AE$12+D530*$AE$13+E530*$AE$14+F530*$AE$15+G530*$AE$16+H530*$AE$17+I530*$AE$18+J530*$AE$19+K530*$AE$20+L530*$AE$21+M530*$AE$22+N530*$AE$23+O530*$AE$24+P530*$AE$25+Q530*$AE$26+R530*$AE$27+S530*$AE$28+T530*$AE$29+U530*$AE$30</f>
        <v/>
      </c>
      <c r="W530" s="8">
        <f>1/(1+EXP(-V530))</f>
        <v/>
      </c>
      <c r="X530" s="9">
        <f>-IF(C530=1,LN(W530),LN(1-W530))</f>
        <v/>
      </c>
      <c r="Y530" s="8">
        <f>1</f>
        <v/>
      </c>
      <c r="Z530" s="9">
        <f>Y530*X530</f>
        <v/>
      </c>
      <c r="AA530" s="10">
        <f>IF(W530&gt;$AE$32,1,0)</f>
        <v/>
      </c>
      <c r="AB530">
        <f>IF(AA530=C530,1,0)</f>
        <v/>
      </c>
    </row>
    <row r="531">
      <c r="A531">
        <f>'1 datos preparados'!A524</f>
        <v/>
      </c>
      <c r="B531" s="5">
        <f>'1 datos preparados'!U524</f>
        <v/>
      </c>
      <c r="C531">
        <f>'1 datos preparados'!B524</f>
        <v/>
      </c>
      <c r="D531" s="7">
        <f>'1 datos preparados'!C524</f>
        <v/>
      </c>
      <c r="E531" s="7">
        <f>'1 datos preparados'!D524</f>
        <v/>
      </c>
      <c r="F531" s="7">
        <f>'1 datos preparados'!E524</f>
        <v/>
      </c>
      <c r="G531" s="7">
        <f>'1 datos preparados'!F524</f>
        <v/>
      </c>
      <c r="H531" s="7">
        <f>'1 datos preparados'!G524</f>
        <v/>
      </c>
      <c r="I531" s="7">
        <f>'1 datos preparados'!H524</f>
        <v/>
      </c>
      <c r="J531" s="7">
        <f>'1 datos preparados'!I524</f>
        <v/>
      </c>
      <c r="K531" s="7">
        <f>'1 datos preparados'!J524</f>
        <v/>
      </c>
      <c r="L531" s="7">
        <f>'1 datos preparados'!K524</f>
        <v/>
      </c>
      <c r="M531" s="7">
        <f>'1 datos preparados'!L524</f>
        <v/>
      </c>
      <c r="N531" s="7">
        <f>'1 datos preparados'!M524</f>
        <v/>
      </c>
      <c r="O531" s="7">
        <f>'1 datos preparados'!N524</f>
        <v/>
      </c>
      <c r="P531" s="7">
        <f>'1 datos preparados'!O524</f>
        <v/>
      </c>
      <c r="Q531" s="7">
        <f>'1 datos preparados'!P524</f>
        <v/>
      </c>
      <c r="R531" s="7">
        <f>'1 datos preparados'!Q524</f>
        <v/>
      </c>
      <c r="S531" s="7">
        <f>'1 datos preparados'!R524</f>
        <v/>
      </c>
      <c r="T531" s="7">
        <f>'1 datos preparados'!S524</f>
        <v/>
      </c>
      <c r="U531" s="7">
        <f>'1 datos preparados'!T524</f>
        <v/>
      </c>
      <c r="V531" s="8">
        <f>$AE$12+D531*$AE$13+E531*$AE$14+F531*$AE$15+G531*$AE$16+H531*$AE$17+I531*$AE$18+J531*$AE$19+K531*$AE$20+L531*$AE$21+M531*$AE$22+N531*$AE$23+O531*$AE$24+P531*$AE$25+Q531*$AE$26+R531*$AE$27+S531*$AE$28+T531*$AE$29+U531*$AE$30</f>
        <v/>
      </c>
      <c r="W531" s="8">
        <f>1/(1+EXP(-V531))</f>
        <v/>
      </c>
      <c r="X531" s="9">
        <f>-IF(C531=1,LN(W531),LN(1-W531))</f>
        <v/>
      </c>
      <c r="Y531" s="8">
        <f>1</f>
        <v/>
      </c>
      <c r="Z531" s="9">
        <f>Y531*X531</f>
        <v/>
      </c>
      <c r="AA531" s="10">
        <f>IF(W531&gt;$AE$32,1,0)</f>
        <v/>
      </c>
      <c r="AB531">
        <f>IF(AA531=C531,1,0)</f>
        <v/>
      </c>
    </row>
    <row r="532">
      <c r="A532">
        <f>'1 datos preparados'!A525</f>
        <v/>
      </c>
      <c r="B532" s="5">
        <f>'1 datos preparados'!U525</f>
        <v/>
      </c>
      <c r="C532">
        <f>'1 datos preparados'!B525</f>
        <v/>
      </c>
      <c r="D532" s="7">
        <f>'1 datos preparados'!C525</f>
        <v/>
      </c>
      <c r="E532" s="7">
        <f>'1 datos preparados'!D525</f>
        <v/>
      </c>
      <c r="F532" s="7">
        <f>'1 datos preparados'!E525</f>
        <v/>
      </c>
      <c r="G532" s="7">
        <f>'1 datos preparados'!F525</f>
        <v/>
      </c>
      <c r="H532" s="7">
        <f>'1 datos preparados'!G525</f>
        <v/>
      </c>
      <c r="I532" s="7">
        <f>'1 datos preparados'!H525</f>
        <v/>
      </c>
      <c r="J532" s="7">
        <f>'1 datos preparados'!I525</f>
        <v/>
      </c>
      <c r="K532" s="7">
        <f>'1 datos preparados'!J525</f>
        <v/>
      </c>
      <c r="L532" s="7">
        <f>'1 datos preparados'!K525</f>
        <v/>
      </c>
      <c r="M532" s="7">
        <f>'1 datos preparados'!L525</f>
        <v/>
      </c>
      <c r="N532" s="7">
        <f>'1 datos preparados'!M525</f>
        <v/>
      </c>
      <c r="O532" s="7">
        <f>'1 datos preparados'!N525</f>
        <v/>
      </c>
      <c r="P532" s="7">
        <f>'1 datos preparados'!O525</f>
        <v/>
      </c>
      <c r="Q532" s="7">
        <f>'1 datos preparados'!P525</f>
        <v/>
      </c>
      <c r="R532" s="7">
        <f>'1 datos preparados'!Q525</f>
        <v/>
      </c>
      <c r="S532" s="7">
        <f>'1 datos preparados'!R525</f>
        <v/>
      </c>
      <c r="T532" s="7">
        <f>'1 datos preparados'!S525</f>
        <v/>
      </c>
      <c r="U532" s="7">
        <f>'1 datos preparados'!T525</f>
        <v/>
      </c>
      <c r="V532" s="8">
        <f>$AE$12+D532*$AE$13+E532*$AE$14+F532*$AE$15+G532*$AE$16+H532*$AE$17+I532*$AE$18+J532*$AE$19+K532*$AE$20+L532*$AE$21+M532*$AE$22+N532*$AE$23+O532*$AE$24+P532*$AE$25+Q532*$AE$26+R532*$AE$27+S532*$AE$28+T532*$AE$29+U532*$AE$30</f>
        <v/>
      </c>
      <c r="W532" s="8">
        <f>1/(1+EXP(-V532))</f>
        <v/>
      </c>
      <c r="X532" s="9">
        <f>-IF(C532=1,LN(W532),LN(1-W532))</f>
        <v/>
      </c>
      <c r="Y532" s="8">
        <f>1</f>
        <v/>
      </c>
      <c r="Z532" s="9">
        <f>Y532*X532</f>
        <v/>
      </c>
      <c r="AA532" s="10">
        <f>IF(W532&gt;$AE$32,1,0)</f>
        <v/>
      </c>
      <c r="AB532">
        <f>IF(AA532=C532,1,0)</f>
        <v/>
      </c>
    </row>
    <row r="533">
      <c r="A533">
        <f>'1 datos preparados'!A526</f>
        <v/>
      </c>
      <c r="B533" s="5">
        <f>'1 datos preparados'!U526</f>
        <v/>
      </c>
      <c r="C533">
        <f>'1 datos preparados'!B526</f>
        <v/>
      </c>
      <c r="D533" s="7">
        <f>'1 datos preparados'!C526</f>
        <v/>
      </c>
      <c r="E533" s="7">
        <f>'1 datos preparados'!D526</f>
        <v/>
      </c>
      <c r="F533" s="7">
        <f>'1 datos preparados'!E526</f>
        <v/>
      </c>
      <c r="G533" s="7">
        <f>'1 datos preparados'!F526</f>
        <v/>
      </c>
      <c r="H533" s="7">
        <f>'1 datos preparados'!G526</f>
        <v/>
      </c>
      <c r="I533" s="7">
        <f>'1 datos preparados'!H526</f>
        <v/>
      </c>
      <c r="J533" s="7">
        <f>'1 datos preparados'!I526</f>
        <v/>
      </c>
      <c r="K533" s="7">
        <f>'1 datos preparados'!J526</f>
        <v/>
      </c>
      <c r="L533" s="7">
        <f>'1 datos preparados'!K526</f>
        <v/>
      </c>
      <c r="M533" s="7">
        <f>'1 datos preparados'!L526</f>
        <v/>
      </c>
      <c r="N533" s="7">
        <f>'1 datos preparados'!M526</f>
        <v/>
      </c>
      <c r="O533" s="7">
        <f>'1 datos preparados'!N526</f>
        <v/>
      </c>
      <c r="P533" s="7">
        <f>'1 datos preparados'!O526</f>
        <v/>
      </c>
      <c r="Q533" s="7">
        <f>'1 datos preparados'!P526</f>
        <v/>
      </c>
      <c r="R533" s="7">
        <f>'1 datos preparados'!Q526</f>
        <v/>
      </c>
      <c r="S533" s="7">
        <f>'1 datos preparados'!R526</f>
        <v/>
      </c>
      <c r="T533" s="7">
        <f>'1 datos preparados'!S526</f>
        <v/>
      </c>
      <c r="U533" s="7">
        <f>'1 datos preparados'!T526</f>
        <v/>
      </c>
      <c r="V533" s="8">
        <f>$AE$12+D533*$AE$13+E533*$AE$14+F533*$AE$15+G533*$AE$16+H533*$AE$17+I533*$AE$18+J533*$AE$19+K533*$AE$20+L533*$AE$21+M533*$AE$22+N533*$AE$23+O533*$AE$24+P533*$AE$25+Q533*$AE$26+R533*$AE$27+S533*$AE$28+T533*$AE$29+U533*$AE$30</f>
        <v/>
      </c>
      <c r="W533" s="8">
        <f>1/(1+EXP(-V533))</f>
        <v/>
      </c>
      <c r="X533" s="9">
        <f>-IF(C533=1,LN(W533),LN(1-W533))</f>
        <v/>
      </c>
      <c r="Y533" s="8">
        <f>1</f>
        <v/>
      </c>
      <c r="Z533" s="9">
        <f>Y533*X533</f>
        <v/>
      </c>
      <c r="AA533" s="10">
        <f>IF(W533&gt;$AE$32,1,0)</f>
        <v/>
      </c>
      <c r="AB533">
        <f>IF(AA533=C533,1,0)</f>
        <v/>
      </c>
    </row>
    <row r="534">
      <c r="A534">
        <f>'1 datos preparados'!A527</f>
        <v/>
      </c>
      <c r="B534" s="5">
        <f>'1 datos preparados'!U527</f>
        <v/>
      </c>
      <c r="C534">
        <f>'1 datos preparados'!B527</f>
        <v/>
      </c>
      <c r="D534" s="7">
        <f>'1 datos preparados'!C527</f>
        <v/>
      </c>
      <c r="E534" s="7">
        <f>'1 datos preparados'!D527</f>
        <v/>
      </c>
      <c r="F534" s="7">
        <f>'1 datos preparados'!E527</f>
        <v/>
      </c>
      <c r="G534" s="7">
        <f>'1 datos preparados'!F527</f>
        <v/>
      </c>
      <c r="H534" s="7">
        <f>'1 datos preparados'!G527</f>
        <v/>
      </c>
      <c r="I534" s="7">
        <f>'1 datos preparados'!H527</f>
        <v/>
      </c>
      <c r="J534" s="7">
        <f>'1 datos preparados'!I527</f>
        <v/>
      </c>
      <c r="K534" s="7">
        <f>'1 datos preparados'!J527</f>
        <v/>
      </c>
      <c r="L534" s="7">
        <f>'1 datos preparados'!K527</f>
        <v/>
      </c>
      <c r="M534" s="7">
        <f>'1 datos preparados'!L527</f>
        <v/>
      </c>
      <c r="N534" s="7">
        <f>'1 datos preparados'!M527</f>
        <v/>
      </c>
      <c r="O534" s="7">
        <f>'1 datos preparados'!N527</f>
        <v/>
      </c>
      <c r="P534" s="7">
        <f>'1 datos preparados'!O527</f>
        <v/>
      </c>
      <c r="Q534" s="7">
        <f>'1 datos preparados'!P527</f>
        <v/>
      </c>
      <c r="R534" s="7">
        <f>'1 datos preparados'!Q527</f>
        <v/>
      </c>
      <c r="S534" s="7">
        <f>'1 datos preparados'!R527</f>
        <v/>
      </c>
      <c r="T534" s="7">
        <f>'1 datos preparados'!S527</f>
        <v/>
      </c>
      <c r="U534" s="7">
        <f>'1 datos preparados'!T527</f>
        <v/>
      </c>
      <c r="V534" s="8">
        <f>$AE$12+D534*$AE$13+E534*$AE$14+F534*$AE$15+G534*$AE$16+H534*$AE$17+I534*$AE$18+J534*$AE$19+K534*$AE$20+L534*$AE$21+M534*$AE$22+N534*$AE$23+O534*$AE$24+P534*$AE$25+Q534*$AE$26+R534*$AE$27+S534*$AE$28+T534*$AE$29+U534*$AE$30</f>
        <v/>
      </c>
      <c r="W534" s="8">
        <f>1/(1+EXP(-V534))</f>
        <v/>
      </c>
      <c r="X534" s="9">
        <f>-IF(C534=1,LN(W534),LN(1-W534))</f>
        <v/>
      </c>
      <c r="Y534" s="8">
        <f>1</f>
        <v/>
      </c>
      <c r="Z534" s="9">
        <f>Y534*X534</f>
        <v/>
      </c>
      <c r="AA534" s="10">
        <f>IF(W534&gt;$AE$32,1,0)</f>
        <v/>
      </c>
      <c r="AB534">
        <f>IF(AA534=C534,1,0)</f>
        <v/>
      </c>
    </row>
    <row r="535">
      <c r="A535">
        <f>'1 datos preparados'!A528</f>
        <v/>
      </c>
      <c r="B535" s="5">
        <f>'1 datos preparados'!U528</f>
        <v/>
      </c>
      <c r="C535">
        <f>'1 datos preparados'!B528</f>
        <v/>
      </c>
      <c r="D535" s="7">
        <f>'1 datos preparados'!C528</f>
        <v/>
      </c>
      <c r="E535" s="7">
        <f>'1 datos preparados'!D528</f>
        <v/>
      </c>
      <c r="F535" s="7">
        <f>'1 datos preparados'!E528</f>
        <v/>
      </c>
      <c r="G535" s="7">
        <f>'1 datos preparados'!F528</f>
        <v/>
      </c>
      <c r="H535" s="7">
        <f>'1 datos preparados'!G528</f>
        <v/>
      </c>
      <c r="I535" s="7">
        <f>'1 datos preparados'!H528</f>
        <v/>
      </c>
      <c r="J535" s="7">
        <f>'1 datos preparados'!I528</f>
        <v/>
      </c>
      <c r="K535" s="7">
        <f>'1 datos preparados'!J528</f>
        <v/>
      </c>
      <c r="L535" s="7">
        <f>'1 datos preparados'!K528</f>
        <v/>
      </c>
      <c r="M535" s="7">
        <f>'1 datos preparados'!L528</f>
        <v/>
      </c>
      <c r="N535" s="7">
        <f>'1 datos preparados'!M528</f>
        <v/>
      </c>
      <c r="O535" s="7">
        <f>'1 datos preparados'!N528</f>
        <v/>
      </c>
      <c r="P535" s="7">
        <f>'1 datos preparados'!O528</f>
        <v/>
      </c>
      <c r="Q535" s="7">
        <f>'1 datos preparados'!P528</f>
        <v/>
      </c>
      <c r="R535" s="7">
        <f>'1 datos preparados'!Q528</f>
        <v/>
      </c>
      <c r="S535" s="7">
        <f>'1 datos preparados'!R528</f>
        <v/>
      </c>
      <c r="T535" s="7">
        <f>'1 datos preparados'!S528</f>
        <v/>
      </c>
      <c r="U535" s="7">
        <f>'1 datos preparados'!T528</f>
        <v/>
      </c>
      <c r="V535" s="8">
        <f>$AE$12+D535*$AE$13+E535*$AE$14+F535*$AE$15+G535*$AE$16+H535*$AE$17+I535*$AE$18+J535*$AE$19+K535*$AE$20+L535*$AE$21+M535*$AE$22+N535*$AE$23+O535*$AE$24+P535*$AE$25+Q535*$AE$26+R535*$AE$27+S535*$AE$28+T535*$AE$29+U535*$AE$30</f>
        <v/>
      </c>
      <c r="W535" s="8">
        <f>1/(1+EXP(-V535))</f>
        <v/>
      </c>
      <c r="X535" s="9">
        <f>-IF(C535=1,LN(W535),LN(1-W535))</f>
        <v/>
      </c>
      <c r="Y535" s="8">
        <f>1</f>
        <v/>
      </c>
      <c r="Z535" s="9">
        <f>Y535*X535</f>
        <v/>
      </c>
      <c r="AA535" s="10">
        <f>IF(W535&gt;$AE$32,1,0)</f>
        <v/>
      </c>
      <c r="AB535">
        <f>IF(AA535=C535,1,0)</f>
        <v/>
      </c>
    </row>
    <row r="536">
      <c r="A536">
        <f>'1 datos preparados'!A529</f>
        <v/>
      </c>
      <c r="B536" s="5">
        <f>'1 datos preparados'!U529</f>
        <v/>
      </c>
      <c r="C536">
        <f>'1 datos preparados'!B529</f>
        <v/>
      </c>
      <c r="D536" s="7">
        <f>'1 datos preparados'!C529</f>
        <v/>
      </c>
      <c r="E536" s="7">
        <f>'1 datos preparados'!D529</f>
        <v/>
      </c>
      <c r="F536" s="7">
        <f>'1 datos preparados'!E529</f>
        <v/>
      </c>
      <c r="G536" s="7">
        <f>'1 datos preparados'!F529</f>
        <v/>
      </c>
      <c r="H536" s="7">
        <f>'1 datos preparados'!G529</f>
        <v/>
      </c>
      <c r="I536" s="7">
        <f>'1 datos preparados'!H529</f>
        <v/>
      </c>
      <c r="J536" s="7">
        <f>'1 datos preparados'!I529</f>
        <v/>
      </c>
      <c r="K536" s="7">
        <f>'1 datos preparados'!J529</f>
        <v/>
      </c>
      <c r="L536" s="7">
        <f>'1 datos preparados'!K529</f>
        <v/>
      </c>
      <c r="M536" s="7">
        <f>'1 datos preparados'!L529</f>
        <v/>
      </c>
      <c r="N536" s="7">
        <f>'1 datos preparados'!M529</f>
        <v/>
      </c>
      <c r="O536" s="7">
        <f>'1 datos preparados'!N529</f>
        <v/>
      </c>
      <c r="P536" s="7">
        <f>'1 datos preparados'!O529</f>
        <v/>
      </c>
      <c r="Q536" s="7">
        <f>'1 datos preparados'!P529</f>
        <v/>
      </c>
      <c r="R536" s="7">
        <f>'1 datos preparados'!Q529</f>
        <v/>
      </c>
      <c r="S536" s="7">
        <f>'1 datos preparados'!R529</f>
        <v/>
      </c>
      <c r="T536" s="7">
        <f>'1 datos preparados'!S529</f>
        <v/>
      </c>
      <c r="U536" s="7">
        <f>'1 datos preparados'!T529</f>
        <v/>
      </c>
      <c r="V536" s="8">
        <f>$AE$12+D536*$AE$13+E536*$AE$14+F536*$AE$15+G536*$AE$16+H536*$AE$17+I536*$AE$18+J536*$AE$19+K536*$AE$20+L536*$AE$21+M536*$AE$22+N536*$AE$23+O536*$AE$24+P536*$AE$25+Q536*$AE$26+R536*$AE$27+S536*$AE$28+T536*$AE$29+U536*$AE$30</f>
        <v/>
      </c>
      <c r="W536" s="8">
        <f>1/(1+EXP(-V536))</f>
        <v/>
      </c>
      <c r="X536" s="9">
        <f>-IF(C536=1,LN(W536),LN(1-W536))</f>
        <v/>
      </c>
      <c r="Y536" s="8">
        <f>1</f>
        <v/>
      </c>
      <c r="Z536" s="9">
        <f>Y536*X536</f>
        <v/>
      </c>
      <c r="AA536" s="10">
        <f>IF(W536&gt;$AE$32,1,0)</f>
        <v/>
      </c>
      <c r="AB536">
        <f>IF(AA536=C536,1,0)</f>
        <v/>
      </c>
    </row>
    <row r="537">
      <c r="A537">
        <f>'1 datos preparados'!A530</f>
        <v/>
      </c>
      <c r="B537" s="5">
        <f>'1 datos preparados'!U530</f>
        <v/>
      </c>
      <c r="C537">
        <f>'1 datos preparados'!B530</f>
        <v/>
      </c>
      <c r="D537" s="7">
        <f>'1 datos preparados'!C530</f>
        <v/>
      </c>
      <c r="E537" s="7">
        <f>'1 datos preparados'!D530</f>
        <v/>
      </c>
      <c r="F537" s="7">
        <f>'1 datos preparados'!E530</f>
        <v/>
      </c>
      <c r="G537" s="7">
        <f>'1 datos preparados'!F530</f>
        <v/>
      </c>
      <c r="H537" s="7">
        <f>'1 datos preparados'!G530</f>
        <v/>
      </c>
      <c r="I537" s="7">
        <f>'1 datos preparados'!H530</f>
        <v/>
      </c>
      <c r="J537" s="7">
        <f>'1 datos preparados'!I530</f>
        <v/>
      </c>
      <c r="K537" s="7">
        <f>'1 datos preparados'!J530</f>
        <v/>
      </c>
      <c r="L537" s="7">
        <f>'1 datos preparados'!K530</f>
        <v/>
      </c>
      <c r="M537" s="7">
        <f>'1 datos preparados'!L530</f>
        <v/>
      </c>
      <c r="N537" s="7">
        <f>'1 datos preparados'!M530</f>
        <v/>
      </c>
      <c r="O537" s="7">
        <f>'1 datos preparados'!N530</f>
        <v/>
      </c>
      <c r="P537" s="7">
        <f>'1 datos preparados'!O530</f>
        <v/>
      </c>
      <c r="Q537" s="7">
        <f>'1 datos preparados'!P530</f>
        <v/>
      </c>
      <c r="R537" s="7">
        <f>'1 datos preparados'!Q530</f>
        <v/>
      </c>
      <c r="S537" s="7">
        <f>'1 datos preparados'!R530</f>
        <v/>
      </c>
      <c r="T537" s="7">
        <f>'1 datos preparados'!S530</f>
        <v/>
      </c>
      <c r="U537" s="7">
        <f>'1 datos preparados'!T530</f>
        <v/>
      </c>
      <c r="V537" s="8">
        <f>$AE$12+D537*$AE$13+E537*$AE$14+F537*$AE$15+G537*$AE$16+H537*$AE$17+I537*$AE$18+J537*$AE$19+K537*$AE$20+L537*$AE$21+M537*$AE$22+N537*$AE$23+O537*$AE$24+P537*$AE$25+Q537*$AE$26+R537*$AE$27+S537*$AE$28+T537*$AE$29+U537*$AE$30</f>
        <v/>
      </c>
      <c r="W537" s="8">
        <f>1/(1+EXP(-V537))</f>
        <v/>
      </c>
      <c r="X537" s="9">
        <f>-IF(C537=1,LN(W537),LN(1-W537))</f>
        <v/>
      </c>
      <c r="Y537" s="8">
        <f>1</f>
        <v/>
      </c>
      <c r="Z537" s="9">
        <f>Y537*X537</f>
        <v/>
      </c>
      <c r="AA537" s="10">
        <f>IF(W537&gt;$AE$32,1,0)</f>
        <v/>
      </c>
      <c r="AB537">
        <f>IF(AA537=C537,1,0)</f>
        <v/>
      </c>
    </row>
    <row r="538">
      <c r="A538">
        <f>'1 datos preparados'!A531</f>
        <v/>
      </c>
      <c r="B538" s="5">
        <f>'1 datos preparados'!U531</f>
        <v/>
      </c>
      <c r="C538">
        <f>'1 datos preparados'!B531</f>
        <v/>
      </c>
      <c r="D538" s="7">
        <f>'1 datos preparados'!C531</f>
        <v/>
      </c>
      <c r="E538" s="7">
        <f>'1 datos preparados'!D531</f>
        <v/>
      </c>
      <c r="F538" s="7">
        <f>'1 datos preparados'!E531</f>
        <v/>
      </c>
      <c r="G538" s="7">
        <f>'1 datos preparados'!F531</f>
        <v/>
      </c>
      <c r="H538" s="7">
        <f>'1 datos preparados'!G531</f>
        <v/>
      </c>
      <c r="I538" s="7">
        <f>'1 datos preparados'!H531</f>
        <v/>
      </c>
      <c r="J538" s="7">
        <f>'1 datos preparados'!I531</f>
        <v/>
      </c>
      <c r="K538" s="7">
        <f>'1 datos preparados'!J531</f>
        <v/>
      </c>
      <c r="L538" s="7">
        <f>'1 datos preparados'!K531</f>
        <v/>
      </c>
      <c r="M538" s="7">
        <f>'1 datos preparados'!L531</f>
        <v/>
      </c>
      <c r="N538" s="7">
        <f>'1 datos preparados'!M531</f>
        <v/>
      </c>
      <c r="O538" s="7">
        <f>'1 datos preparados'!N531</f>
        <v/>
      </c>
      <c r="P538" s="7">
        <f>'1 datos preparados'!O531</f>
        <v/>
      </c>
      <c r="Q538" s="7">
        <f>'1 datos preparados'!P531</f>
        <v/>
      </c>
      <c r="R538" s="7">
        <f>'1 datos preparados'!Q531</f>
        <v/>
      </c>
      <c r="S538" s="7">
        <f>'1 datos preparados'!R531</f>
        <v/>
      </c>
      <c r="T538" s="7">
        <f>'1 datos preparados'!S531</f>
        <v/>
      </c>
      <c r="U538" s="7">
        <f>'1 datos preparados'!T531</f>
        <v/>
      </c>
      <c r="V538" s="8">
        <f>$AE$12+D538*$AE$13+E538*$AE$14+F538*$AE$15+G538*$AE$16+H538*$AE$17+I538*$AE$18+J538*$AE$19+K538*$AE$20+L538*$AE$21+M538*$AE$22+N538*$AE$23+O538*$AE$24+P538*$AE$25+Q538*$AE$26+R538*$AE$27+S538*$AE$28+T538*$AE$29+U538*$AE$30</f>
        <v/>
      </c>
      <c r="W538" s="8">
        <f>1/(1+EXP(-V538))</f>
        <v/>
      </c>
      <c r="X538" s="9">
        <f>-IF(C538=1,LN(W538),LN(1-W538))</f>
        <v/>
      </c>
      <c r="Y538" s="8">
        <f>1</f>
        <v/>
      </c>
      <c r="Z538" s="9">
        <f>Y538*X538</f>
        <v/>
      </c>
      <c r="AA538" s="10">
        <f>IF(W538&gt;$AE$32,1,0)</f>
        <v/>
      </c>
      <c r="AB538">
        <f>IF(AA538=C538,1,0)</f>
        <v/>
      </c>
    </row>
    <row r="539">
      <c r="A539">
        <f>'1 datos preparados'!A532</f>
        <v/>
      </c>
      <c r="B539" s="5">
        <f>'1 datos preparados'!U532</f>
        <v/>
      </c>
      <c r="C539">
        <f>'1 datos preparados'!B532</f>
        <v/>
      </c>
      <c r="D539" s="7">
        <f>'1 datos preparados'!C532</f>
        <v/>
      </c>
      <c r="E539" s="7">
        <f>'1 datos preparados'!D532</f>
        <v/>
      </c>
      <c r="F539" s="7">
        <f>'1 datos preparados'!E532</f>
        <v/>
      </c>
      <c r="G539" s="7">
        <f>'1 datos preparados'!F532</f>
        <v/>
      </c>
      <c r="H539" s="7">
        <f>'1 datos preparados'!G532</f>
        <v/>
      </c>
      <c r="I539" s="7">
        <f>'1 datos preparados'!H532</f>
        <v/>
      </c>
      <c r="J539" s="7">
        <f>'1 datos preparados'!I532</f>
        <v/>
      </c>
      <c r="K539" s="7">
        <f>'1 datos preparados'!J532</f>
        <v/>
      </c>
      <c r="L539" s="7">
        <f>'1 datos preparados'!K532</f>
        <v/>
      </c>
      <c r="M539" s="7">
        <f>'1 datos preparados'!L532</f>
        <v/>
      </c>
      <c r="N539" s="7">
        <f>'1 datos preparados'!M532</f>
        <v/>
      </c>
      <c r="O539" s="7">
        <f>'1 datos preparados'!N532</f>
        <v/>
      </c>
      <c r="P539" s="7">
        <f>'1 datos preparados'!O532</f>
        <v/>
      </c>
      <c r="Q539" s="7">
        <f>'1 datos preparados'!P532</f>
        <v/>
      </c>
      <c r="R539" s="7">
        <f>'1 datos preparados'!Q532</f>
        <v/>
      </c>
      <c r="S539" s="7">
        <f>'1 datos preparados'!R532</f>
        <v/>
      </c>
      <c r="T539" s="7">
        <f>'1 datos preparados'!S532</f>
        <v/>
      </c>
      <c r="U539" s="7">
        <f>'1 datos preparados'!T532</f>
        <v/>
      </c>
      <c r="V539" s="8">
        <f>$AE$12+D539*$AE$13+E539*$AE$14+F539*$AE$15+G539*$AE$16+H539*$AE$17+I539*$AE$18+J539*$AE$19+K539*$AE$20+L539*$AE$21+M539*$AE$22+N539*$AE$23+O539*$AE$24+P539*$AE$25+Q539*$AE$26+R539*$AE$27+S539*$AE$28+T539*$AE$29+U539*$AE$30</f>
        <v/>
      </c>
      <c r="W539" s="8">
        <f>1/(1+EXP(-V539))</f>
        <v/>
      </c>
      <c r="X539" s="9">
        <f>-IF(C539=1,LN(W539),LN(1-W539))</f>
        <v/>
      </c>
      <c r="Y539" s="8">
        <f>1</f>
        <v/>
      </c>
      <c r="Z539" s="9">
        <f>Y539*X539</f>
        <v/>
      </c>
      <c r="AA539" s="10">
        <f>IF(W539&gt;$AE$32,1,0)</f>
        <v/>
      </c>
      <c r="AB539">
        <f>IF(AA539=C539,1,0)</f>
        <v/>
      </c>
    </row>
    <row r="540">
      <c r="A540">
        <f>'1 datos preparados'!A533</f>
        <v/>
      </c>
      <c r="B540" s="5">
        <f>'1 datos preparados'!U533</f>
        <v/>
      </c>
      <c r="C540">
        <f>'1 datos preparados'!B533</f>
        <v/>
      </c>
      <c r="D540" s="7">
        <f>'1 datos preparados'!C533</f>
        <v/>
      </c>
      <c r="E540" s="7">
        <f>'1 datos preparados'!D533</f>
        <v/>
      </c>
      <c r="F540" s="7">
        <f>'1 datos preparados'!E533</f>
        <v/>
      </c>
      <c r="G540" s="7">
        <f>'1 datos preparados'!F533</f>
        <v/>
      </c>
      <c r="H540" s="7">
        <f>'1 datos preparados'!G533</f>
        <v/>
      </c>
      <c r="I540" s="7">
        <f>'1 datos preparados'!H533</f>
        <v/>
      </c>
      <c r="J540" s="7">
        <f>'1 datos preparados'!I533</f>
        <v/>
      </c>
      <c r="K540" s="7">
        <f>'1 datos preparados'!J533</f>
        <v/>
      </c>
      <c r="L540" s="7">
        <f>'1 datos preparados'!K533</f>
        <v/>
      </c>
      <c r="M540" s="7">
        <f>'1 datos preparados'!L533</f>
        <v/>
      </c>
      <c r="N540" s="7">
        <f>'1 datos preparados'!M533</f>
        <v/>
      </c>
      <c r="O540" s="7">
        <f>'1 datos preparados'!N533</f>
        <v/>
      </c>
      <c r="P540" s="7">
        <f>'1 datos preparados'!O533</f>
        <v/>
      </c>
      <c r="Q540" s="7">
        <f>'1 datos preparados'!P533</f>
        <v/>
      </c>
      <c r="R540" s="7">
        <f>'1 datos preparados'!Q533</f>
        <v/>
      </c>
      <c r="S540" s="7">
        <f>'1 datos preparados'!R533</f>
        <v/>
      </c>
      <c r="T540" s="7">
        <f>'1 datos preparados'!S533</f>
        <v/>
      </c>
      <c r="U540" s="7">
        <f>'1 datos preparados'!T533</f>
        <v/>
      </c>
      <c r="V540" s="8">
        <f>$AE$12+D540*$AE$13+E540*$AE$14+F540*$AE$15+G540*$AE$16+H540*$AE$17+I540*$AE$18+J540*$AE$19+K540*$AE$20+L540*$AE$21+M540*$AE$22+N540*$AE$23+O540*$AE$24+P540*$AE$25+Q540*$AE$26+R540*$AE$27+S540*$AE$28+T540*$AE$29+U540*$AE$30</f>
        <v/>
      </c>
      <c r="W540" s="8">
        <f>1/(1+EXP(-V540))</f>
        <v/>
      </c>
      <c r="X540" s="9">
        <f>-IF(C540=1,LN(W540),LN(1-W540))</f>
        <v/>
      </c>
      <c r="Y540" s="8">
        <f>1</f>
        <v/>
      </c>
      <c r="Z540" s="9">
        <f>Y540*X540</f>
        <v/>
      </c>
      <c r="AA540" s="10">
        <f>IF(W540&gt;$AE$32,1,0)</f>
        <v/>
      </c>
      <c r="AB540">
        <f>IF(AA540=C540,1,0)</f>
        <v/>
      </c>
    </row>
    <row r="541">
      <c r="A541">
        <f>'1 datos preparados'!A534</f>
        <v/>
      </c>
      <c r="B541" s="5">
        <f>'1 datos preparados'!U534</f>
        <v/>
      </c>
      <c r="C541">
        <f>'1 datos preparados'!B534</f>
        <v/>
      </c>
      <c r="D541" s="7">
        <f>'1 datos preparados'!C534</f>
        <v/>
      </c>
      <c r="E541" s="7">
        <f>'1 datos preparados'!D534</f>
        <v/>
      </c>
      <c r="F541" s="7">
        <f>'1 datos preparados'!E534</f>
        <v/>
      </c>
      <c r="G541" s="7">
        <f>'1 datos preparados'!F534</f>
        <v/>
      </c>
      <c r="H541" s="7">
        <f>'1 datos preparados'!G534</f>
        <v/>
      </c>
      <c r="I541" s="7">
        <f>'1 datos preparados'!H534</f>
        <v/>
      </c>
      <c r="J541" s="7">
        <f>'1 datos preparados'!I534</f>
        <v/>
      </c>
      <c r="K541" s="7">
        <f>'1 datos preparados'!J534</f>
        <v/>
      </c>
      <c r="L541" s="7">
        <f>'1 datos preparados'!K534</f>
        <v/>
      </c>
      <c r="M541" s="7">
        <f>'1 datos preparados'!L534</f>
        <v/>
      </c>
      <c r="N541" s="7">
        <f>'1 datos preparados'!M534</f>
        <v/>
      </c>
      <c r="O541" s="7">
        <f>'1 datos preparados'!N534</f>
        <v/>
      </c>
      <c r="P541" s="7">
        <f>'1 datos preparados'!O534</f>
        <v/>
      </c>
      <c r="Q541" s="7">
        <f>'1 datos preparados'!P534</f>
        <v/>
      </c>
      <c r="R541" s="7">
        <f>'1 datos preparados'!Q534</f>
        <v/>
      </c>
      <c r="S541" s="7">
        <f>'1 datos preparados'!R534</f>
        <v/>
      </c>
      <c r="T541" s="7">
        <f>'1 datos preparados'!S534</f>
        <v/>
      </c>
      <c r="U541" s="7">
        <f>'1 datos preparados'!T534</f>
        <v/>
      </c>
      <c r="V541" s="8">
        <f>$AE$12+D541*$AE$13+E541*$AE$14+F541*$AE$15+G541*$AE$16+H541*$AE$17+I541*$AE$18+J541*$AE$19+K541*$AE$20+L541*$AE$21+M541*$AE$22+N541*$AE$23+O541*$AE$24+P541*$AE$25+Q541*$AE$26+R541*$AE$27+S541*$AE$28+T541*$AE$29+U541*$AE$30</f>
        <v/>
      </c>
      <c r="W541" s="8">
        <f>1/(1+EXP(-V541))</f>
        <v/>
      </c>
      <c r="X541" s="9">
        <f>-IF(C541=1,LN(W541),LN(1-W541))</f>
        <v/>
      </c>
      <c r="Y541" s="8">
        <f>1</f>
        <v/>
      </c>
      <c r="Z541" s="9">
        <f>Y541*X541</f>
        <v/>
      </c>
      <c r="AA541" s="10">
        <f>IF(W541&gt;$AE$32,1,0)</f>
        <v/>
      </c>
      <c r="AB541">
        <f>IF(AA541=C541,1,0)</f>
        <v/>
      </c>
    </row>
    <row r="542">
      <c r="A542">
        <f>'1 datos preparados'!A535</f>
        <v/>
      </c>
      <c r="B542" s="5">
        <f>'1 datos preparados'!U535</f>
        <v/>
      </c>
      <c r="C542">
        <f>'1 datos preparados'!B535</f>
        <v/>
      </c>
      <c r="D542" s="7">
        <f>'1 datos preparados'!C535</f>
        <v/>
      </c>
      <c r="E542" s="7">
        <f>'1 datos preparados'!D535</f>
        <v/>
      </c>
      <c r="F542" s="7">
        <f>'1 datos preparados'!E535</f>
        <v/>
      </c>
      <c r="G542" s="7">
        <f>'1 datos preparados'!F535</f>
        <v/>
      </c>
      <c r="H542" s="7">
        <f>'1 datos preparados'!G535</f>
        <v/>
      </c>
      <c r="I542" s="7">
        <f>'1 datos preparados'!H535</f>
        <v/>
      </c>
      <c r="J542" s="7">
        <f>'1 datos preparados'!I535</f>
        <v/>
      </c>
      <c r="K542" s="7">
        <f>'1 datos preparados'!J535</f>
        <v/>
      </c>
      <c r="L542" s="7">
        <f>'1 datos preparados'!K535</f>
        <v/>
      </c>
      <c r="M542" s="7">
        <f>'1 datos preparados'!L535</f>
        <v/>
      </c>
      <c r="N542" s="7">
        <f>'1 datos preparados'!M535</f>
        <v/>
      </c>
      <c r="O542" s="7">
        <f>'1 datos preparados'!N535</f>
        <v/>
      </c>
      <c r="P542" s="7">
        <f>'1 datos preparados'!O535</f>
        <v/>
      </c>
      <c r="Q542" s="7">
        <f>'1 datos preparados'!P535</f>
        <v/>
      </c>
      <c r="R542" s="7">
        <f>'1 datos preparados'!Q535</f>
        <v/>
      </c>
      <c r="S542" s="7">
        <f>'1 datos preparados'!R535</f>
        <v/>
      </c>
      <c r="T542" s="7">
        <f>'1 datos preparados'!S535</f>
        <v/>
      </c>
      <c r="U542" s="7">
        <f>'1 datos preparados'!T535</f>
        <v/>
      </c>
      <c r="V542" s="8">
        <f>$AE$12+D542*$AE$13+E542*$AE$14+F542*$AE$15+G542*$AE$16+H542*$AE$17+I542*$AE$18+J542*$AE$19+K542*$AE$20+L542*$AE$21+M542*$AE$22+N542*$AE$23+O542*$AE$24+P542*$AE$25+Q542*$AE$26+R542*$AE$27+S542*$AE$28+T542*$AE$29+U542*$AE$30</f>
        <v/>
      </c>
      <c r="W542" s="8">
        <f>1/(1+EXP(-V542))</f>
        <v/>
      </c>
      <c r="X542" s="9">
        <f>-IF(C542=1,LN(W542),LN(1-W542))</f>
        <v/>
      </c>
      <c r="Y542" s="8">
        <f>1</f>
        <v/>
      </c>
      <c r="Z542" s="9">
        <f>Y542*X542</f>
        <v/>
      </c>
      <c r="AA542" s="10">
        <f>IF(W542&gt;$AE$32,1,0)</f>
        <v/>
      </c>
      <c r="AB542">
        <f>IF(AA542=C542,1,0)</f>
        <v/>
      </c>
    </row>
    <row r="543">
      <c r="A543">
        <f>'1 datos preparados'!A536</f>
        <v/>
      </c>
      <c r="B543" s="5">
        <f>'1 datos preparados'!U536</f>
        <v/>
      </c>
      <c r="C543">
        <f>'1 datos preparados'!B536</f>
        <v/>
      </c>
      <c r="D543" s="7">
        <f>'1 datos preparados'!C536</f>
        <v/>
      </c>
      <c r="E543" s="7">
        <f>'1 datos preparados'!D536</f>
        <v/>
      </c>
      <c r="F543" s="7">
        <f>'1 datos preparados'!E536</f>
        <v/>
      </c>
      <c r="G543" s="7">
        <f>'1 datos preparados'!F536</f>
        <v/>
      </c>
      <c r="H543" s="7">
        <f>'1 datos preparados'!G536</f>
        <v/>
      </c>
      <c r="I543" s="7">
        <f>'1 datos preparados'!H536</f>
        <v/>
      </c>
      <c r="J543" s="7">
        <f>'1 datos preparados'!I536</f>
        <v/>
      </c>
      <c r="K543" s="7">
        <f>'1 datos preparados'!J536</f>
        <v/>
      </c>
      <c r="L543" s="7">
        <f>'1 datos preparados'!K536</f>
        <v/>
      </c>
      <c r="M543" s="7">
        <f>'1 datos preparados'!L536</f>
        <v/>
      </c>
      <c r="N543" s="7">
        <f>'1 datos preparados'!M536</f>
        <v/>
      </c>
      <c r="O543" s="7">
        <f>'1 datos preparados'!N536</f>
        <v/>
      </c>
      <c r="P543" s="7">
        <f>'1 datos preparados'!O536</f>
        <v/>
      </c>
      <c r="Q543" s="7">
        <f>'1 datos preparados'!P536</f>
        <v/>
      </c>
      <c r="R543" s="7">
        <f>'1 datos preparados'!Q536</f>
        <v/>
      </c>
      <c r="S543" s="7">
        <f>'1 datos preparados'!R536</f>
        <v/>
      </c>
      <c r="T543" s="7">
        <f>'1 datos preparados'!S536</f>
        <v/>
      </c>
      <c r="U543" s="7">
        <f>'1 datos preparados'!T536</f>
        <v/>
      </c>
      <c r="V543" s="8">
        <f>$AE$12+D543*$AE$13+E543*$AE$14+F543*$AE$15+G543*$AE$16+H543*$AE$17+I543*$AE$18+J543*$AE$19+K543*$AE$20+L543*$AE$21+M543*$AE$22+N543*$AE$23+O543*$AE$24+P543*$AE$25+Q543*$AE$26+R543*$AE$27+S543*$AE$28+T543*$AE$29+U543*$AE$30</f>
        <v/>
      </c>
      <c r="W543" s="8">
        <f>1/(1+EXP(-V543))</f>
        <v/>
      </c>
      <c r="X543" s="9">
        <f>-IF(C543=1,LN(W543),LN(1-W543))</f>
        <v/>
      </c>
      <c r="Y543" s="8">
        <f>1</f>
        <v/>
      </c>
      <c r="Z543" s="9">
        <f>Y543*X543</f>
        <v/>
      </c>
      <c r="AA543" s="10">
        <f>IF(W543&gt;$AE$32,1,0)</f>
        <v/>
      </c>
      <c r="AB543">
        <f>IF(AA543=C543,1,0)</f>
        <v/>
      </c>
    </row>
    <row r="544">
      <c r="A544">
        <f>'1 datos preparados'!A537</f>
        <v/>
      </c>
      <c r="B544" s="5">
        <f>'1 datos preparados'!U537</f>
        <v/>
      </c>
      <c r="C544">
        <f>'1 datos preparados'!B537</f>
        <v/>
      </c>
      <c r="D544" s="7">
        <f>'1 datos preparados'!C537</f>
        <v/>
      </c>
      <c r="E544" s="7">
        <f>'1 datos preparados'!D537</f>
        <v/>
      </c>
      <c r="F544" s="7">
        <f>'1 datos preparados'!E537</f>
        <v/>
      </c>
      <c r="G544" s="7">
        <f>'1 datos preparados'!F537</f>
        <v/>
      </c>
      <c r="H544" s="7">
        <f>'1 datos preparados'!G537</f>
        <v/>
      </c>
      <c r="I544" s="7">
        <f>'1 datos preparados'!H537</f>
        <v/>
      </c>
      <c r="J544" s="7">
        <f>'1 datos preparados'!I537</f>
        <v/>
      </c>
      <c r="K544" s="7">
        <f>'1 datos preparados'!J537</f>
        <v/>
      </c>
      <c r="L544" s="7">
        <f>'1 datos preparados'!K537</f>
        <v/>
      </c>
      <c r="M544" s="7">
        <f>'1 datos preparados'!L537</f>
        <v/>
      </c>
      <c r="N544" s="7">
        <f>'1 datos preparados'!M537</f>
        <v/>
      </c>
      <c r="O544" s="7">
        <f>'1 datos preparados'!N537</f>
        <v/>
      </c>
      <c r="P544" s="7">
        <f>'1 datos preparados'!O537</f>
        <v/>
      </c>
      <c r="Q544" s="7">
        <f>'1 datos preparados'!P537</f>
        <v/>
      </c>
      <c r="R544" s="7">
        <f>'1 datos preparados'!Q537</f>
        <v/>
      </c>
      <c r="S544" s="7">
        <f>'1 datos preparados'!R537</f>
        <v/>
      </c>
      <c r="T544" s="7">
        <f>'1 datos preparados'!S537</f>
        <v/>
      </c>
      <c r="U544" s="7">
        <f>'1 datos preparados'!T537</f>
        <v/>
      </c>
      <c r="V544" s="8">
        <f>$AE$12+D544*$AE$13+E544*$AE$14+F544*$AE$15+G544*$AE$16+H544*$AE$17+I544*$AE$18+J544*$AE$19+K544*$AE$20+L544*$AE$21+M544*$AE$22+N544*$AE$23+O544*$AE$24+P544*$AE$25+Q544*$AE$26+R544*$AE$27+S544*$AE$28+T544*$AE$29+U544*$AE$30</f>
        <v/>
      </c>
      <c r="W544" s="8">
        <f>1/(1+EXP(-V544))</f>
        <v/>
      </c>
      <c r="X544" s="9">
        <f>-IF(C544=1,LN(W544),LN(1-W544))</f>
        <v/>
      </c>
      <c r="Y544" s="8">
        <f>1</f>
        <v/>
      </c>
      <c r="Z544" s="9">
        <f>Y544*X544</f>
        <v/>
      </c>
      <c r="AA544" s="10">
        <f>IF(W544&gt;$AE$32,1,0)</f>
        <v/>
      </c>
      <c r="AB544">
        <f>IF(AA544=C544,1,0)</f>
        <v/>
      </c>
    </row>
    <row r="545">
      <c r="A545">
        <f>'1 datos preparados'!A538</f>
        <v/>
      </c>
      <c r="B545" s="5">
        <f>'1 datos preparados'!U538</f>
        <v/>
      </c>
      <c r="C545">
        <f>'1 datos preparados'!B538</f>
        <v/>
      </c>
      <c r="D545" s="7">
        <f>'1 datos preparados'!C538</f>
        <v/>
      </c>
      <c r="E545" s="7">
        <f>'1 datos preparados'!D538</f>
        <v/>
      </c>
      <c r="F545" s="7">
        <f>'1 datos preparados'!E538</f>
        <v/>
      </c>
      <c r="G545" s="7">
        <f>'1 datos preparados'!F538</f>
        <v/>
      </c>
      <c r="H545" s="7">
        <f>'1 datos preparados'!G538</f>
        <v/>
      </c>
      <c r="I545" s="7">
        <f>'1 datos preparados'!H538</f>
        <v/>
      </c>
      <c r="J545" s="7">
        <f>'1 datos preparados'!I538</f>
        <v/>
      </c>
      <c r="K545" s="7">
        <f>'1 datos preparados'!J538</f>
        <v/>
      </c>
      <c r="L545" s="7">
        <f>'1 datos preparados'!K538</f>
        <v/>
      </c>
      <c r="M545" s="7">
        <f>'1 datos preparados'!L538</f>
        <v/>
      </c>
      <c r="N545" s="7">
        <f>'1 datos preparados'!M538</f>
        <v/>
      </c>
      <c r="O545" s="7">
        <f>'1 datos preparados'!N538</f>
        <v/>
      </c>
      <c r="P545" s="7">
        <f>'1 datos preparados'!O538</f>
        <v/>
      </c>
      <c r="Q545" s="7">
        <f>'1 datos preparados'!P538</f>
        <v/>
      </c>
      <c r="R545" s="7">
        <f>'1 datos preparados'!Q538</f>
        <v/>
      </c>
      <c r="S545" s="7">
        <f>'1 datos preparados'!R538</f>
        <v/>
      </c>
      <c r="T545" s="7">
        <f>'1 datos preparados'!S538</f>
        <v/>
      </c>
      <c r="U545" s="7">
        <f>'1 datos preparados'!T538</f>
        <v/>
      </c>
      <c r="V545" s="8">
        <f>$AE$12+D545*$AE$13+E545*$AE$14+F545*$AE$15+G545*$AE$16+H545*$AE$17+I545*$AE$18+J545*$AE$19+K545*$AE$20+L545*$AE$21+M545*$AE$22+N545*$AE$23+O545*$AE$24+P545*$AE$25+Q545*$AE$26+R545*$AE$27+S545*$AE$28+T545*$AE$29+U545*$AE$30</f>
        <v/>
      </c>
      <c r="W545" s="8">
        <f>1/(1+EXP(-V545))</f>
        <v/>
      </c>
      <c r="X545" s="9">
        <f>-IF(C545=1,LN(W545),LN(1-W545))</f>
        <v/>
      </c>
      <c r="Y545" s="8">
        <f>1</f>
        <v/>
      </c>
      <c r="Z545" s="9">
        <f>Y545*X545</f>
        <v/>
      </c>
      <c r="AA545" s="10">
        <f>IF(W545&gt;$AE$32,1,0)</f>
        <v/>
      </c>
      <c r="AB545">
        <f>IF(AA545=C545,1,0)</f>
        <v/>
      </c>
    </row>
    <row r="546">
      <c r="A546">
        <f>'1 datos preparados'!A539</f>
        <v/>
      </c>
      <c r="B546" s="5">
        <f>'1 datos preparados'!U539</f>
        <v/>
      </c>
      <c r="C546">
        <f>'1 datos preparados'!B539</f>
        <v/>
      </c>
      <c r="D546" s="7">
        <f>'1 datos preparados'!C539</f>
        <v/>
      </c>
      <c r="E546" s="7">
        <f>'1 datos preparados'!D539</f>
        <v/>
      </c>
      <c r="F546" s="7">
        <f>'1 datos preparados'!E539</f>
        <v/>
      </c>
      <c r="G546" s="7">
        <f>'1 datos preparados'!F539</f>
        <v/>
      </c>
      <c r="H546" s="7">
        <f>'1 datos preparados'!G539</f>
        <v/>
      </c>
      <c r="I546" s="7">
        <f>'1 datos preparados'!H539</f>
        <v/>
      </c>
      <c r="J546" s="7">
        <f>'1 datos preparados'!I539</f>
        <v/>
      </c>
      <c r="K546" s="7">
        <f>'1 datos preparados'!J539</f>
        <v/>
      </c>
      <c r="L546" s="7">
        <f>'1 datos preparados'!K539</f>
        <v/>
      </c>
      <c r="M546" s="7">
        <f>'1 datos preparados'!L539</f>
        <v/>
      </c>
      <c r="N546" s="7">
        <f>'1 datos preparados'!M539</f>
        <v/>
      </c>
      <c r="O546" s="7">
        <f>'1 datos preparados'!N539</f>
        <v/>
      </c>
      <c r="P546" s="7">
        <f>'1 datos preparados'!O539</f>
        <v/>
      </c>
      <c r="Q546" s="7">
        <f>'1 datos preparados'!P539</f>
        <v/>
      </c>
      <c r="R546" s="7">
        <f>'1 datos preparados'!Q539</f>
        <v/>
      </c>
      <c r="S546" s="7">
        <f>'1 datos preparados'!R539</f>
        <v/>
      </c>
      <c r="T546" s="7">
        <f>'1 datos preparados'!S539</f>
        <v/>
      </c>
      <c r="U546" s="7">
        <f>'1 datos preparados'!T539</f>
        <v/>
      </c>
      <c r="V546" s="8">
        <f>$AE$12+D546*$AE$13+E546*$AE$14+F546*$AE$15+G546*$AE$16+H546*$AE$17+I546*$AE$18+J546*$AE$19+K546*$AE$20+L546*$AE$21+M546*$AE$22+N546*$AE$23+O546*$AE$24+P546*$AE$25+Q546*$AE$26+R546*$AE$27+S546*$AE$28+T546*$AE$29+U546*$AE$30</f>
        <v/>
      </c>
      <c r="W546" s="8">
        <f>1/(1+EXP(-V546))</f>
        <v/>
      </c>
      <c r="X546" s="9">
        <f>-IF(C546=1,LN(W546),LN(1-W546))</f>
        <v/>
      </c>
      <c r="Y546" s="8">
        <f>1</f>
        <v/>
      </c>
      <c r="Z546" s="9">
        <f>Y546*X546</f>
        <v/>
      </c>
      <c r="AA546" s="10">
        <f>IF(W546&gt;$AE$32,1,0)</f>
        <v/>
      </c>
      <c r="AB546">
        <f>IF(AA546=C546,1,0)</f>
        <v/>
      </c>
    </row>
    <row r="547">
      <c r="A547">
        <f>'1 datos preparados'!A540</f>
        <v/>
      </c>
      <c r="B547" s="5">
        <f>'1 datos preparados'!U540</f>
        <v/>
      </c>
      <c r="C547">
        <f>'1 datos preparados'!B540</f>
        <v/>
      </c>
      <c r="D547" s="7">
        <f>'1 datos preparados'!C540</f>
        <v/>
      </c>
      <c r="E547" s="7">
        <f>'1 datos preparados'!D540</f>
        <v/>
      </c>
      <c r="F547" s="7">
        <f>'1 datos preparados'!E540</f>
        <v/>
      </c>
      <c r="G547" s="7">
        <f>'1 datos preparados'!F540</f>
        <v/>
      </c>
      <c r="H547" s="7">
        <f>'1 datos preparados'!G540</f>
        <v/>
      </c>
      <c r="I547" s="7">
        <f>'1 datos preparados'!H540</f>
        <v/>
      </c>
      <c r="J547" s="7">
        <f>'1 datos preparados'!I540</f>
        <v/>
      </c>
      <c r="K547" s="7">
        <f>'1 datos preparados'!J540</f>
        <v/>
      </c>
      <c r="L547" s="7">
        <f>'1 datos preparados'!K540</f>
        <v/>
      </c>
      <c r="M547" s="7">
        <f>'1 datos preparados'!L540</f>
        <v/>
      </c>
      <c r="N547" s="7">
        <f>'1 datos preparados'!M540</f>
        <v/>
      </c>
      <c r="O547" s="7">
        <f>'1 datos preparados'!N540</f>
        <v/>
      </c>
      <c r="P547" s="7">
        <f>'1 datos preparados'!O540</f>
        <v/>
      </c>
      <c r="Q547" s="7">
        <f>'1 datos preparados'!P540</f>
        <v/>
      </c>
      <c r="R547" s="7">
        <f>'1 datos preparados'!Q540</f>
        <v/>
      </c>
      <c r="S547" s="7">
        <f>'1 datos preparados'!R540</f>
        <v/>
      </c>
      <c r="T547" s="7">
        <f>'1 datos preparados'!S540</f>
        <v/>
      </c>
      <c r="U547" s="7">
        <f>'1 datos preparados'!T540</f>
        <v/>
      </c>
      <c r="V547" s="8">
        <f>$AE$12+D547*$AE$13+E547*$AE$14+F547*$AE$15+G547*$AE$16+H547*$AE$17+I547*$AE$18+J547*$AE$19+K547*$AE$20+L547*$AE$21+M547*$AE$22+N547*$AE$23+O547*$AE$24+P547*$AE$25+Q547*$AE$26+R547*$AE$27+S547*$AE$28+T547*$AE$29+U547*$AE$30</f>
        <v/>
      </c>
      <c r="W547" s="8">
        <f>1/(1+EXP(-V547))</f>
        <v/>
      </c>
      <c r="X547" s="9">
        <f>-IF(C547=1,LN(W547),LN(1-W547))</f>
        <v/>
      </c>
      <c r="Y547" s="8">
        <f>1</f>
        <v/>
      </c>
      <c r="Z547" s="9">
        <f>Y547*X547</f>
        <v/>
      </c>
      <c r="AA547" s="10">
        <f>IF(W547&gt;$AE$32,1,0)</f>
        <v/>
      </c>
      <c r="AB547">
        <f>IF(AA547=C547,1,0)</f>
        <v/>
      </c>
    </row>
    <row r="548">
      <c r="A548">
        <f>'1 datos preparados'!A541</f>
        <v/>
      </c>
      <c r="B548" s="5">
        <f>'1 datos preparados'!U541</f>
        <v/>
      </c>
      <c r="C548">
        <f>'1 datos preparados'!B541</f>
        <v/>
      </c>
      <c r="D548" s="7">
        <f>'1 datos preparados'!C541</f>
        <v/>
      </c>
      <c r="E548" s="7">
        <f>'1 datos preparados'!D541</f>
        <v/>
      </c>
      <c r="F548" s="7">
        <f>'1 datos preparados'!E541</f>
        <v/>
      </c>
      <c r="G548" s="7">
        <f>'1 datos preparados'!F541</f>
        <v/>
      </c>
      <c r="H548" s="7">
        <f>'1 datos preparados'!G541</f>
        <v/>
      </c>
      <c r="I548" s="7">
        <f>'1 datos preparados'!H541</f>
        <v/>
      </c>
      <c r="J548" s="7">
        <f>'1 datos preparados'!I541</f>
        <v/>
      </c>
      <c r="K548" s="7">
        <f>'1 datos preparados'!J541</f>
        <v/>
      </c>
      <c r="L548" s="7">
        <f>'1 datos preparados'!K541</f>
        <v/>
      </c>
      <c r="M548" s="7">
        <f>'1 datos preparados'!L541</f>
        <v/>
      </c>
      <c r="N548" s="7">
        <f>'1 datos preparados'!M541</f>
        <v/>
      </c>
      <c r="O548" s="7">
        <f>'1 datos preparados'!N541</f>
        <v/>
      </c>
      <c r="P548" s="7">
        <f>'1 datos preparados'!O541</f>
        <v/>
      </c>
      <c r="Q548" s="7">
        <f>'1 datos preparados'!P541</f>
        <v/>
      </c>
      <c r="R548" s="7">
        <f>'1 datos preparados'!Q541</f>
        <v/>
      </c>
      <c r="S548" s="7">
        <f>'1 datos preparados'!R541</f>
        <v/>
      </c>
      <c r="T548" s="7">
        <f>'1 datos preparados'!S541</f>
        <v/>
      </c>
      <c r="U548" s="7">
        <f>'1 datos preparados'!T541</f>
        <v/>
      </c>
      <c r="V548" s="8">
        <f>$AE$12+D548*$AE$13+E548*$AE$14+F548*$AE$15+G548*$AE$16+H548*$AE$17+I548*$AE$18+J548*$AE$19+K548*$AE$20+L548*$AE$21+M548*$AE$22+N548*$AE$23+O548*$AE$24+P548*$AE$25+Q548*$AE$26+R548*$AE$27+S548*$AE$28+T548*$AE$29+U548*$AE$30</f>
        <v/>
      </c>
      <c r="W548" s="8">
        <f>1/(1+EXP(-V548))</f>
        <v/>
      </c>
      <c r="X548" s="9">
        <f>-IF(C548=1,LN(W548),LN(1-W548))</f>
        <v/>
      </c>
      <c r="Y548" s="8">
        <f>1</f>
        <v/>
      </c>
      <c r="Z548" s="9">
        <f>Y548*X548</f>
        <v/>
      </c>
      <c r="AA548" s="10">
        <f>IF(W548&gt;$AE$32,1,0)</f>
        <v/>
      </c>
      <c r="AB548">
        <f>IF(AA548=C548,1,0)</f>
        <v/>
      </c>
    </row>
    <row r="549">
      <c r="A549">
        <f>'1 datos preparados'!A542</f>
        <v/>
      </c>
      <c r="B549" s="5">
        <f>'1 datos preparados'!U542</f>
        <v/>
      </c>
      <c r="C549">
        <f>'1 datos preparados'!B542</f>
        <v/>
      </c>
      <c r="D549" s="7">
        <f>'1 datos preparados'!C542</f>
        <v/>
      </c>
      <c r="E549" s="7">
        <f>'1 datos preparados'!D542</f>
        <v/>
      </c>
      <c r="F549" s="7">
        <f>'1 datos preparados'!E542</f>
        <v/>
      </c>
      <c r="G549" s="7">
        <f>'1 datos preparados'!F542</f>
        <v/>
      </c>
      <c r="H549" s="7">
        <f>'1 datos preparados'!G542</f>
        <v/>
      </c>
      <c r="I549" s="7">
        <f>'1 datos preparados'!H542</f>
        <v/>
      </c>
      <c r="J549" s="7">
        <f>'1 datos preparados'!I542</f>
        <v/>
      </c>
      <c r="K549" s="7">
        <f>'1 datos preparados'!J542</f>
        <v/>
      </c>
      <c r="L549" s="7">
        <f>'1 datos preparados'!K542</f>
        <v/>
      </c>
      <c r="M549" s="7">
        <f>'1 datos preparados'!L542</f>
        <v/>
      </c>
      <c r="N549" s="7">
        <f>'1 datos preparados'!M542</f>
        <v/>
      </c>
      <c r="O549" s="7">
        <f>'1 datos preparados'!N542</f>
        <v/>
      </c>
      <c r="P549" s="7">
        <f>'1 datos preparados'!O542</f>
        <v/>
      </c>
      <c r="Q549" s="7">
        <f>'1 datos preparados'!P542</f>
        <v/>
      </c>
      <c r="R549" s="7">
        <f>'1 datos preparados'!Q542</f>
        <v/>
      </c>
      <c r="S549" s="7">
        <f>'1 datos preparados'!R542</f>
        <v/>
      </c>
      <c r="T549" s="7">
        <f>'1 datos preparados'!S542</f>
        <v/>
      </c>
      <c r="U549" s="7">
        <f>'1 datos preparados'!T542</f>
        <v/>
      </c>
      <c r="V549" s="8">
        <f>$AE$12+D549*$AE$13+E549*$AE$14+F549*$AE$15+G549*$AE$16+H549*$AE$17+I549*$AE$18+J549*$AE$19+K549*$AE$20+L549*$AE$21+M549*$AE$22+N549*$AE$23+O549*$AE$24+P549*$AE$25+Q549*$AE$26+R549*$AE$27+S549*$AE$28+T549*$AE$29+U549*$AE$30</f>
        <v/>
      </c>
      <c r="W549" s="8">
        <f>1/(1+EXP(-V549))</f>
        <v/>
      </c>
      <c r="X549" s="9">
        <f>-IF(C549=1,LN(W549),LN(1-W549))</f>
        <v/>
      </c>
      <c r="Y549" s="8">
        <f>1</f>
        <v/>
      </c>
      <c r="Z549" s="9">
        <f>Y549*X549</f>
        <v/>
      </c>
      <c r="AA549" s="10">
        <f>IF(W549&gt;$AE$32,1,0)</f>
        <v/>
      </c>
      <c r="AB549">
        <f>IF(AA549=C549,1,0)</f>
        <v/>
      </c>
    </row>
    <row r="550">
      <c r="A550">
        <f>'1 datos preparados'!A543</f>
        <v/>
      </c>
      <c r="B550" s="5">
        <f>'1 datos preparados'!U543</f>
        <v/>
      </c>
      <c r="C550">
        <f>'1 datos preparados'!B543</f>
        <v/>
      </c>
      <c r="D550" s="7">
        <f>'1 datos preparados'!C543</f>
        <v/>
      </c>
      <c r="E550" s="7">
        <f>'1 datos preparados'!D543</f>
        <v/>
      </c>
      <c r="F550" s="7">
        <f>'1 datos preparados'!E543</f>
        <v/>
      </c>
      <c r="G550" s="7">
        <f>'1 datos preparados'!F543</f>
        <v/>
      </c>
      <c r="H550" s="7">
        <f>'1 datos preparados'!G543</f>
        <v/>
      </c>
      <c r="I550" s="7">
        <f>'1 datos preparados'!H543</f>
        <v/>
      </c>
      <c r="J550" s="7">
        <f>'1 datos preparados'!I543</f>
        <v/>
      </c>
      <c r="K550" s="7">
        <f>'1 datos preparados'!J543</f>
        <v/>
      </c>
      <c r="L550" s="7">
        <f>'1 datos preparados'!K543</f>
        <v/>
      </c>
      <c r="M550" s="7">
        <f>'1 datos preparados'!L543</f>
        <v/>
      </c>
      <c r="N550" s="7">
        <f>'1 datos preparados'!M543</f>
        <v/>
      </c>
      <c r="O550" s="7">
        <f>'1 datos preparados'!N543</f>
        <v/>
      </c>
      <c r="P550" s="7">
        <f>'1 datos preparados'!O543</f>
        <v/>
      </c>
      <c r="Q550" s="7">
        <f>'1 datos preparados'!P543</f>
        <v/>
      </c>
      <c r="R550" s="7">
        <f>'1 datos preparados'!Q543</f>
        <v/>
      </c>
      <c r="S550" s="7">
        <f>'1 datos preparados'!R543</f>
        <v/>
      </c>
      <c r="T550" s="7">
        <f>'1 datos preparados'!S543</f>
        <v/>
      </c>
      <c r="U550" s="7">
        <f>'1 datos preparados'!T543</f>
        <v/>
      </c>
      <c r="V550" s="8">
        <f>$AE$12+D550*$AE$13+E550*$AE$14+F550*$AE$15+G550*$AE$16+H550*$AE$17+I550*$AE$18+J550*$AE$19+K550*$AE$20+L550*$AE$21+M550*$AE$22+N550*$AE$23+O550*$AE$24+P550*$AE$25+Q550*$AE$26+R550*$AE$27+S550*$AE$28+T550*$AE$29+U550*$AE$30</f>
        <v/>
      </c>
      <c r="W550" s="8">
        <f>1/(1+EXP(-V550))</f>
        <v/>
      </c>
      <c r="X550" s="9">
        <f>-IF(C550=1,LN(W550),LN(1-W550))</f>
        <v/>
      </c>
      <c r="Y550" s="8">
        <f>1</f>
        <v/>
      </c>
      <c r="Z550" s="9">
        <f>Y550*X550</f>
        <v/>
      </c>
      <c r="AA550" s="10">
        <f>IF(W550&gt;$AE$32,1,0)</f>
        <v/>
      </c>
      <c r="AB550">
        <f>IF(AA550=C550,1,0)</f>
        <v/>
      </c>
    </row>
    <row r="551">
      <c r="A551">
        <f>'1 datos preparados'!A544</f>
        <v/>
      </c>
      <c r="B551" s="5">
        <f>'1 datos preparados'!U544</f>
        <v/>
      </c>
      <c r="C551">
        <f>'1 datos preparados'!B544</f>
        <v/>
      </c>
      <c r="D551" s="7">
        <f>'1 datos preparados'!C544</f>
        <v/>
      </c>
      <c r="E551" s="7">
        <f>'1 datos preparados'!D544</f>
        <v/>
      </c>
      <c r="F551" s="7">
        <f>'1 datos preparados'!E544</f>
        <v/>
      </c>
      <c r="G551" s="7">
        <f>'1 datos preparados'!F544</f>
        <v/>
      </c>
      <c r="H551" s="7">
        <f>'1 datos preparados'!G544</f>
        <v/>
      </c>
      <c r="I551" s="7">
        <f>'1 datos preparados'!H544</f>
        <v/>
      </c>
      <c r="J551" s="7">
        <f>'1 datos preparados'!I544</f>
        <v/>
      </c>
      <c r="K551" s="7">
        <f>'1 datos preparados'!J544</f>
        <v/>
      </c>
      <c r="L551" s="7">
        <f>'1 datos preparados'!K544</f>
        <v/>
      </c>
      <c r="M551" s="7">
        <f>'1 datos preparados'!L544</f>
        <v/>
      </c>
      <c r="N551" s="7">
        <f>'1 datos preparados'!M544</f>
        <v/>
      </c>
      <c r="O551" s="7">
        <f>'1 datos preparados'!N544</f>
        <v/>
      </c>
      <c r="P551" s="7">
        <f>'1 datos preparados'!O544</f>
        <v/>
      </c>
      <c r="Q551" s="7">
        <f>'1 datos preparados'!P544</f>
        <v/>
      </c>
      <c r="R551" s="7">
        <f>'1 datos preparados'!Q544</f>
        <v/>
      </c>
      <c r="S551" s="7">
        <f>'1 datos preparados'!R544</f>
        <v/>
      </c>
      <c r="T551" s="7">
        <f>'1 datos preparados'!S544</f>
        <v/>
      </c>
      <c r="U551" s="7">
        <f>'1 datos preparados'!T544</f>
        <v/>
      </c>
      <c r="V551" s="8">
        <f>$AE$12+D551*$AE$13+E551*$AE$14+F551*$AE$15+G551*$AE$16+H551*$AE$17+I551*$AE$18+J551*$AE$19+K551*$AE$20+L551*$AE$21+M551*$AE$22+N551*$AE$23+O551*$AE$24+P551*$AE$25+Q551*$AE$26+R551*$AE$27+S551*$AE$28+T551*$AE$29+U551*$AE$30</f>
        <v/>
      </c>
      <c r="W551" s="8">
        <f>1/(1+EXP(-V551))</f>
        <v/>
      </c>
      <c r="X551" s="9">
        <f>-IF(C551=1,LN(W551),LN(1-W551))</f>
        <v/>
      </c>
      <c r="Y551" s="8">
        <f>1</f>
        <v/>
      </c>
      <c r="Z551" s="9">
        <f>Y551*X551</f>
        <v/>
      </c>
      <c r="AA551" s="10">
        <f>IF(W551&gt;$AE$32,1,0)</f>
        <v/>
      </c>
      <c r="AB551">
        <f>IF(AA551=C551,1,0)</f>
        <v/>
      </c>
    </row>
    <row r="552">
      <c r="A552">
        <f>'1 datos preparados'!A545</f>
        <v/>
      </c>
      <c r="B552" s="5">
        <f>'1 datos preparados'!U545</f>
        <v/>
      </c>
      <c r="C552">
        <f>'1 datos preparados'!B545</f>
        <v/>
      </c>
      <c r="D552" s="7">
        <f>'1 datos preparados'!C545</f>
        <v/>
      </c>
      <c r="E552" s="7">
        <f>'1 datos preparados'!D545</f>
        <v/>
      </c>
      <c r="F552" s="7">
        <f>'1 datos preparados'!E545</f>
        <v/>
      </c>
      <c r="G552" s="7">
        <f>'1 datos preparados'!F545</f>
        <v/>
      </c>
      <c r="H552" s="7">
        <f>'1 datos preparados'!G545</f>
        <v/>
      </c>
      <c r="I552" s="7">
        <f>'1 datos preparados'!H545</f>
        <v/>
      </c>
      <c r="J552" s="7">
        <f>'1 datos preparados'!I545</f>
        <v/>
      </c>
      <c r="K552" s="7">
        <f>'1 datos preparados'!J545</f>
        <v/>
      </c>
      <c r="L552" s="7">
        <f>'1 datos preparados'!K545</f>
        <v/>
      </c>
      <c r="M552" s="7">
        <f>'1 datos preparados'!L545</f>
        <v/>
      </c>
      <c r="N552" s="7">
        <f>'1 datos preparados'!M545</f>
        <v/>
      </c>
      <c r="O552" s="7">
        <f>'1 datos preparados'!N545</f>
        <v/>
      </c>
      <c r="P552" s="7">
        <f>'1 datos preparados'!O545</f>
        <v/>
      </c>
      <c r="Q552" s="7">
        <f>'1 datos preparados'!P545</f>
        <v/>
      </c>
      <c r="R552" s="7">
        <f>'1 datos preparados'!Q545</f>
        <v/>
      </c>
      <c r="S552" s="7">
        <f>'1 datos preparados'!R545</f>
        <v/>
      </c>
      <c r="T552" s="7">
        <f>'1 datos preparados'!S545</f>
        <v/>
      </c>
      <c r="U552" s="7">
        <f>'1 datos preparados'!T545</f>
        <v/>
      </c>
      <c r="V552" s="8">
        <f>$AE$12+D552*$AE$13+E552*$AE$14+F552*$AE$15+G552*$AE$16+H552*$AE$17+I552*$AE$18+J552*$AE$19+K552*$AE$20+L552*$AE$21+M552*$AE$22+N552*$AE$23+O552*$AE$24+P552*$AE$25+Q552*$AE$26+R552*$AE$27+S552*$AE$28+T552*$AE$29+U552*$AE$30</f>
        <v/>
      </c>
      <c r="W552" s="8">
        <f>1/(1+EXP(-V552))</f>
        <v/>
      </c>
      <c r="X552" s="9">
        <f>-IF(C552=1,LN(W552),LN(1-W552))</f>
        <v/>
      </c>
      <c r="Y552" s="8">
        <f>1</f>
        <v/>
      </c>
      <c r="Z552" s="9">
        <f>Y552*X552</f>
        <v/>
      </c>
      <c r="AA552" s="10">
        <f>IF(W552&gt;$AE$32,1,0)</f>
        <v/>
      </c>
      <c r="AB552">
        <f>IF(AA552=C552,1,0)</f>
        <v/>
      </c>
    </row>
    <row r="553">
      <c r="A553">
        <f>'1 datos preparados'!A546</f>
        <v/>
      </c>
      <c r="B553" s="5">
        <f>'1 datos preparados'!U546</f>
        <v/>
      </c>
      <c r="C553">
        <f>'1 datos preparados'!B546</f>
        <v/>
      </c>
      <c r="D553" s="7">
        <f>'1 datos preparados'!C546</f>
        <v/>
      </c>
      <c r="E553" s="7">
        <f>'1 datos preparados'!D546</f>
        <v/>
      </c>
      <c r="F553" s="7">
        <f>'1 datos preparados'!E546</f>
        <v/>
      </c>
      <c r="G553" s="7">
        <f>'1 datos preparados'!F546</f>
        <v/>
      </c>
      <c r="H553" s="7">
        <f>'1 datos preparados'!G546</f>
        <v/>
      </c>
      <c r="I553" s="7">
        <f>'1 datos preparados'!H546</f>
        <v/>
      </c>
      <c r="J553" s="7">
        <f>'1 datos preparados'!I546</f>
        <v/>
      </c>
      <c r="K553" s="7">
        <f>'1 datos preparados'!J546</f>
        <v/>
      </c>
      <c r="L553" s="7">
        <f>'1 datos preparados'!K546</f>
        <v/>
      </c>
      <c r="M553" s="7">
        <f>'1 datos preparados'!L546</f>
        <v/>
      </c>
      <c r="N553" s="7">
        <f>'1 datos preparados'!M546</f>
        <v/>
      </c>
      <c r="O553" s="7">
        <f>'1 datos preparados'!N546</f>
        <v/>
      </c>
      <c r="P553" s="7">
        <f>'1 datos preparados'!O546</f>
        <v/>
      </c>
      <c r="Q553" s="7">
        <f>'1 datos preparados'!P546</f>
        <v/>
      </c>
      <c r="R553" s="7">
        <f>'1 datos preparados'!Q546</f>
        <v/>
      </c>
      <c r="S553" s="7">
        <f>'1 datos preparados'!R546</f>
        <v/>
      </c>
      <c r="T553" s="7">
        <f>'1 datos preparados'!S546</f>
        <v/>
      </c>
      <c r="U553" s="7">
        <f>'1 datos preparados'!T546</f>
        <v/>
      </c>
      <c r="V553" s="8">
        <f>$AE$12+D553*$AE$13+E553*$AE$14+F553*$AE$15+G553*$AE$16+H553*$AE$17+I553*$AE$18+J553*$AE$19+K553*$AE$20+L553*$AE$21+M553*$AE$22+N553*$AE$23+O553*$AE$24+P553*$AE$25+Q553*$AE$26+R553*$AE$27+S553*$AE$28+T553*$AE$29+U553*$AE$30</f>
        <v/>
      </c>
      <c r="W553" s="8">
        <f>1/(1+EXP(-V553))</f>
        <v/>
      </c>
      <c r="X553" s="9">
        <f>-IF(C553=1,LN(W553),LN(1-W553))</f>
        <v/>
      </c>
      <c r="Y553" s="8">
        <f>1</f>
        <v/>
      </c>
      <c r="Z553" s="9">
        <f>Y553*X553</f>
        <v/>
      </c>
      <c r="AA553" s="10">
        <f>IF(W553&gt;$AE$32,1,0)</f>
        <v/>
      </c>
      <c r="AB553">
        <f>IF(AA553=C553,1,0)</f>
        <v/>
      </c>
    </row>
    <row r="554">
      <c r="A554">
        <f>'1 datos preparados'!A547</f>
        <v/>
      </c>
      <c r="B554" s="5">
        <f>'1 datos preparados'!U547</f>
        <v/>
      </c>
      <c r="C554">
        <f>'1 datos preparados'!B547</f>
        <v/>
      </c>
      <c r="D554" s="7">
        <f>'1 datos preparados'!C547</f>
        <v/>
      </c>
      <c r="E554" s="7">
        <f>'1 datos preparados'!D547</f>
        <v/>
      </c>
      <c r="F554" s="7">
        <f>'1 datos preparados'!E547</f>
        <v/>
      </c>
      <c r="G554" s="7">
        <f>'1 datos preparados'!F547</f>
        <v/>
      </c>
      <c r="H554" s="7">
        <f>'1 datos preparados'!G547</f>
        <v/>
      </c>
      <c r="I554" s="7">
        <f>'1 datos preparados'!H547</f>
        <v/>
      </c>
      <c r="J554" s="7">
        <f>'1 datos preparados'!I547</f>
        <v/>
      </c>
      <c r="K554" s="7">
        <f>'1 datos preparados'!J547</f>
        <v/>
      </c>
      <c r="L554" s="7">
        <f>'1 datos preparados'!K547</f>
        <v/>
      </c>
      <c r="M554" s="7">
        <f>'1 datos preparados'!L547</f>
        <v/>
      </c>
      <c r="N554" s="7">
        <f>'1 datos preparados'!M547</f>
        <v/>
      </c>
      <c r="O554" s="7">
        <f>'1 datos preparados'!N547</f>
        <v/>
      </c>
      <c r="P554" s="7">
        <f>'1 datos preparados'!O547</f>
        <v/>
      </c>
      <c r="Q554" s="7">
        <f>'1 datos preparados'!P547</f>
        <v/>
      </c>
      <c r="R554" s="7">
        <f>'1 datos preparados'!Q547</f>
        <v/>
      </c>
      <c r="S554" s="7">
        <f>'1 datos preparados'!R547</f>
        <v/>
      </c>
      <c r="T554" s="7">
        <f>'1 datos preparados'!S547</f>
        <v/>
      </c>
      <c r="U554" s="7">
        <f>'1 datos preparados'!T547</f>
        <v/>
      </c>
      <c r="V554" s="8">
        <f>$AE$12+D554*$AE$13+E554*$AE$14+F554*$AE$15+G554*$AE$16+H554*$AE$17+I554*$AE$18+J554*$AE$19+K554*$AE$20+L554*$AE$21+M554*$AE$22+N554*$AE$23+O554*$AE$24+P554*$AE$25+Q554*$AE$26+R554*$AE$27+S554*$AE$28+T554*$AE$29+U554*$AE$30</f>
        <v/>
      </c>
      <c r="W554" s="8">
        <f>1/(1+EXP(-V554))</f>
        <v/>
      </c>
      <c r="X554" s="9">
        <f>-IF(C554=1,LN(W554),LN(1-W554))</f>
        <v/>
      </c>
      <c r="Y554" s="8">
        <f>1</f>
        <v/>
      </c>
      <c r="Z554" s="9">
        <f>Y554*X554</f>
        <v/>
      </c>
      <c r="AA554" s="10">
        <f>IF(W554&gt;$AE$32,1,0)</f>
        <v/>
      </c>
      <c r="AB554">
        <f>IF(AA554=C554,1,0)</f>
        <v/>
      </c>
    </row>
    <row r="555">
      <c r="A555">
        <f>'1 datos preparados'!A548</f>
        <v/>
      </c>
      <c r="B555" s="5">
        <f>'1 datos preparados'!U548</f>
        <v/>
      </c>
      <c r="C555">
        <f>'1 datos preparados'!B548</f>
        <v/>
      </c>
      <c r="D555" s="7">
        <f>'1 datos preparados'!C548</f>
        <v/>
      </c>
      <c r="E555" s="7">
        <f>'1 datos preparados'!D548</f>
        <v/>
      </c>
      <c r="F555" s="7">
        <f>'1 datos preparados'!E548</f>
        <v/>
      </c>
      <c r="G555" s="7">
        <f>'1 datos preparados'!F548</f>
        <v/>
      </c>
      <c r="H555" s="7">
        <f>'1 datos preparados'!G548</f>
        <v/>
      </c>
      <c r="I555" s="7">
        <f>'1 datos preparados'!H548</f>
        <v/>
      </c>
      <c r="J555" s="7">
        <f>'1 datos preparados'!I548</f>
        <v/>
      </c>
      <c r="K555" s="7">
        <f>'1 datos preparados'!J548</f>
        <v/>
      </c>
      <c r="L555" s="7">
        <f>'1 datos preparados'!K548</f>
        <v/>
      </c>
      <c r="M555" s="7">
        <f>'1 datos preparados'!L548</f>
        <v/>
      </c>
      <c r="N555" s="7">
        <f>'1 datos preparados'!M548</f>
        <v/>
      </c>
      <c r="O555" s="7">
        <f>'1 datos preparados'!N548</f>
        <v/>
      </c>
      <c r="P555" s="7">
        <f>'1 datos preparados'!O548</f>
        <v/>
      </c>
      <c r="Q555" s="7">
        <f>'1 datos preparados'!P548</f>
        <v/>
      </c>
      <c r="R555" s="7">
        <f>'1 datos preparados'!Q548</f>
        <v/>
      </c>
      <c r="S555" s="7">
        <f>'1 datos preparados'!R548</f>
        <v/>
      </c>
      <c r="T555" s="7">
        <f>'1 datos preparados'!S548</f>
        <v/>
      </c>
      <c r="U555" s="7">
        <f>'1 datos preparados'!T548</f>
        <v/>
      </c>
      <c r="V555" s="8">
        <f>$AE$12+D555*$AE$13+E555*$AE$14+F555*$AE$15+G555*$AE$16+H555*$AE$17+I555*$AE$18+J555*$AE$19+K555*$AE$20+L555*$AE$21+M555*$AE$22+N555*$AE$23+O555*$AE$24+P555*$AE$25+Q555*$AE$26+R555*$AE$27+S555*$AE$28+T555*$AE$29+U555*$AE$30</f>
        <v/>
      </c>
      <c r="W555" s="8">
        <f>1/(1+EXP(-V555))</f>
        <v/>
      </c>
      <c r="X555" s="9">
        <f>-IF(C555=1,LN(W555),LN(1-W555))</f>
        <v/>
      </c>
      <c r="Y555" s="8">
        <f>1</f>
        <v/>
      </c>
      <c r="Z555" s="9">
        <f>Y555*X555</f>
        <v/>
      </c>
      <c r="AA555" s="10">
        <f>IF(W555&gt;$AE$32,1,0)</f>
        <v/>
      </c>
      <c r="AB555">
        <f>IF(AA555=C555,1,0)</f>
        <v/>
      </c>
    </row>
    <row r="556">
      <c r="A556">
        <f>'1 datos preparados'!A549</f>
        <v/>
      </c>
      <c r="B556" s="5">
        <f>'1 datos preparados'!U549</f>
        <v/>
      </c>
      <c r="C556">
        <f>'1 datos preparados'!B549</f>
        <v/>
      </c>
      <c r="D556" s="7">
        <f>'1 datos preparados'!C549</f>
        <v/>
      </c>
      <c r="E556" s="7">
        <f>'1 datos preparados'!D549</f>
        <v/>
      </c>
      <c r="F556" s="7">
        <f>'1 datos preparados'!E549</f>
        <v/>
      </c>
      <c r="G556" s="7">
        <f>'1 datos preparados'!F549</f>
        <v/>
      </c>
      <c r="H556" s="7">
        <f>'1 datos preparados'!G549</f>
        <v/>
      </c>
      <c r="I556" s="7">
        <f>'1 datos preparados'!H549</f>
        <v/>
      </c>
      <c r="J556" s="7">
        <f>'1 datos preparados'!I549</f>
        <v/>
      </c>
      <c r="K556" s="7">
        <f>'1 datos preparados'!J549</f>
        <v/>
      </c>
      <c r="L556" s="7">
        <f>'1 datos preparados'!K549</f>
        <v/>
      </c>
      <c r="M556" s="7">
        <f>'1 datos preparados'!L549</f>
        <v/>
      </c>
      <c r="N556" s="7">
        <f>'1 datos preparados'!M549</f>
        <v/>
      </c>
      <c r="O556" s="7">
        <f>'1 datos preparados'!N549</f>
        <v/>
      </c>
      <c r="P556" s="7">
        <f>'1 datos preparados'!O549</f>
        <v/>
      </c>
      <c r="Q556" s="7">
        <f>'1 datos preparados'!P549</f>
        <v/>
      </c>
      <c r="R556" s="7">
        <f>'1 datos preparados'!Q549</f>
        <v/>
      </c>
      <c r="S556" s="7">
        <f>'1 datos preparados'!R549</f>
        <v/>
      </c>
      <c r="T556" s="7">
        <f>'1 datos preparados'!S549</f>
        <v/>
      </c>
      <c r="U556" s="7">
        <f>'1 datos preparados'!T549</f>
        <v/>
      </c>
      <c r="V556" s="8">
        <f>$AE$12+D556*$AE$13+E556*$AE$14+F556*$AE$15+G556*$AE$16+H556*$AE$17+I556*$AE$18+J556*$AE$19+K556*$AE$20+L556*$AE$21+M556*$AE$22+N556*$AE$23+O556*$AE$24+P556*$AE$25+Q556*$AE$26+R556*$AE$27+S556*$AE$28+T556*$AE$29+U556*$AE$30</f>
        <v/>
      </c>
      <c r="W556" s="8">
        <f>1/(1+EXP(-V556))</f>
        <v/>
      </c>
      <c r="X556" s="9">
        <f>-IF(C556=1,LN(W556),LN(1-W556))</f>
        <v/>
      </c>
      <c r="Y556" s="8">
        <f>1</f>
        <v/>
      </c>
      <c r="Z556" s="9">
        <f>Y556*X556</f>
        <v/>
      </c>
      <c r="AA556" s="10">
        <f>IF(W556&gt;$AE$32,1,0)</f>
        <v/>
      </c>
      <c r="AB556">
        <f>IF(AA556=C556,1,0)</f>
        <v/>
      </c>
    </row>
    <row r="557">
      <c r="A557">
        <f>'1 datos preparados'!A550</f>
        <v/>
      </c>
      <c r="B557" s="5">
        <f>'1 datos preparados'!U550</f>
        <v/>
      </c>
      <c r="C557">
        <f>'1 datos preparados'!B550</f>
        <v/>
      </c>
      <c r="D557" s="7">
        <f>'1 datos preparados'!C550</f>
        <v/>
      </c>
      <c r="E557" s="7">
        <f>'1 datos preparados'!D550</f>
        <v/>
      </c>
      <c r="F557" s="7">
        <f>'1 datos preparados'!E550</f>
        <v/>
      </c>
      <c r="G557" s="7">
        <f>'1 datos preparados'!F550</f>
        <v/>
      </c>
      <c r="H557" s="7">
        <f>'1 datos preparados'!G550</f>
        <v/>
      </c>
      <c r="I557" s="7">
        <f>'1 datos preparados'!H550</f>
        <v/>
      </c>
      <c r="J557" s="7">
        <f>'1 datos preparados'!I550</f>
        <v/>
      </c>
      <c r="K557" s="7">
        <f>'1 datos preparados'!J550</f>
        <v/>
      </c>
      <c r="L557" s="7">
        <f>'1 datos preparados'!K550</f>
        <v/>
      </c>
      <c r="M557" s="7">
        <f>'1 datos preparados'!L550</f>
        <v/>
      </c>
      <c r="N557" s="7">
        <f>'1 datos preparados'!M550</f>
        <v/>
      </c>
      <c r="O557" s="7">
        <f>'1 datos preparados'!N550</f>
        <v/>
      </c>
      <c r="P557" s="7">
        <f>'1 datos preparados'!O550</f>
        <v/>
      </c>
      <c r="Q557" s="7">
        <f>'1 datos preparados'!P550</f>
        <v/>
      </c>
      <c r="R557" s="7">
        <f>'1 datos preparados'!Q550</f>
        <v/>
      </c>
      <c r="S557" s="7">
        <f>'1 datos preparados'!R550</f>
        <v/>
      </c>
      <c r="T557" s="7">
        <f>'1 datos preparados'!S550</f>
        <v/>
      </c>
      <c r="U557" s="7">
        <f>'1 datos preparados'!T550</f>
        <v/>
      </c>
      <c r="V557" s="8">
        <f>$AE$12+D557*$AE$13+E557*$AE$14+F557*$AE$15+G557*$AE$16+H557*$AE$17+I557*$AE$18+J557*$AE$19+K557*$AE$20+L557*$AE$21+M557*$AE$22+N557*$AE$23+O557*$AE$24+P557*$AE$25+Q557*$AE$26+R557*$AE$27+S557*$AE$28+T557*$AE$29+U557*$AE$30</f>
        <v/>
      </c>
      <c r="W557" s="8">
        <f>1/(1+EXP(-V557))</f>
        <v/>
      </c>
      <c r="X557" s="9">
        <f>-IF(C557=1,LN(W557),LN(1-W557))</f>
        <v/>
      </c>
      <c r="Y557" s="8">
        <f>1</f>
        <v/>
      </c>
      <c r="Z557" s="9">
        <f>Y557*X557</f>
        <v/>
      </c>
      <c r="AA557" s="10">
        <f>IF(W557&gt;$AE$32,1,0)</f>
        <v/>
      </c>
      <c r="AB557">
        <f>IF(AA557=C557,1,0)</f>
        <v/>
      </c>
    </row>
    <row r="558">
      <c r="A558">
        <f>'1 datos preparados'!A551</f>
        <v/>
      </c>
      <c r="B558" s="5">
        <f>'1 datos preparados'!U551</f>
        <v/>
      </c>
      <c r="C558">
        <f>'1 datos preparados'!B551</f>
        <v/>
      </c>
      <c r="D558" s="7">
        <f>'1 datos preparados'!C551</f>
        <v/>
      </c>
      <c r="E558" s="7">
        <f>'1 datos preparados'!D551</f>
        <v/>
      </c>
      <c r="F558" s="7">
        <f>'1 datos preparados'!E551</f>
        <v/>
      </c>
      <c r="G558" s="7">
        <f>'1 datos preparados'!F551</f>
        <v/>
      </c>
      <c r="H558" s="7">
        <f>'1 datos preparados'!G551</f>
        <v/>
      </c>
      <c r="I558" s="7">
        <f>'1 datos preparados'!H551</f>
        <v/>
      </c>
      <c r="J558" s="7">
        <f>'1 datos preparados'!I551</f>
        <v/>
      </c>
      <c r="K558" s="7">
        <f>'1 datos preparados'!J551</f>
        <v/>
      </c>
      <c r="L558" s="7">
        <f>'1 datos preparados'!K551</f>
        <v/>
      </c>
      <c r="M558" s="7">
        <f>'1 datos preparados'!L551</f>
        <v/>
      </c>
      <c r="N558" s="7">
        <f>'1 datos preparados'!M551</f>
        <v/>
      </c>
      <c r="O558" s="7">
        <f>'1 datos preparados'!N551</f>
        <v/>
      </c>
      <c r="P558" s="7">
        <f>'1 datos preparados'!O551</f>
        <v/>
      </c>
      <c r="Q558" s="7">
        <f>'1 datos preparados'!P551</f>
        <v/>
      </c>
      <c r="R558" s="7">
        <f>'1 datos preparados'!Q551</f>
        <v/>
      </c>
      <c r="S558" s="7">
        <f>'1 datos preparados'!R551</f>
        <v/>
      </c>
      <c r="T558" s="7">
        <f>'1 datos preparados'!S551</f>
        <v/>
      </c>
      <c r="U558" s="7">
        <f>'1 datos preparados'!T551</f>
        <v/>
      </c>
      <c r="V558" s="8">
        <f>$AE$12+D558*$AE$13+E558*$AE$14+F558*$AE$15+G558*$AE$16+H558*$AE$17+I558*$AE$18+J558*$AE$19+K558*$AE$20+L558*$AE$21+M558*$AE$22+N558*$AE$23+O558*$AE$24+P558*$AE$25+Q558*$AE$26+R558*$AE$27+S558*$AE$28+T558*$AE$29+U558*$AE$30</f>
        <v/>
      </c>
      <c r="W558" s="8">
        <f>1/(1+EXP(-V558))</f>
        <v/>
      </c>
      <c r="X558" s="9">
        <f>-IF(C558=1,LN(W558),LN(1-W558))</f>
        <v/>
      </c>
      <c r="Y558" s="8">
        <f>1</f>
        <v/>
      </c>
      <c r="Z558" s="9">
        <f>Y558*X558</f>
        <v/>
      </c>
      <c r="AA558" s="10">
        <f>IF(W558&gt;$AE$32,1,0)</f>
        <v/>
      </c>
      <c r="AB558">
        <f>IF(AA558=C558,1,0)</f>
        <v/>
      </c>
    </row>
    <row r="559">
      <c r="A559">
        <f>'1 datos preparados'!A552</f>
        <v/>
      </c>
      <c r="B559" s="5">
        <f>'1 datos preparados'!U552</f>
        <v/>
      </c>
      <c r="C559">
        <f>'1 datos preparados'!B552</f>
        <v/>
      </c>
      <c r="D559" s="7">
        <f>'1 datos preparados'!C552</f>
        <v/>
      </c>
      <c r="E559" s="7">
        <f>'1 datos preparados'!D552</f>
        <v/>
      </c>
      <c r="F559" s="7">
        <f>'1 datos preparados'!E552</f>
        <v/>
      </c>
      <c r="G559" s="7">
        <f>'1 datos preparados'!F552</f>
        <v/>
      </c>
      <c r="H559" s="7">
        <f>'1 datos preparados'!G552</f>
        <v/>
      </c>
      <c r="I559" s="7">
        <f>'1 datos preparados'!H552</f>
        <v/>
      </c>
      <c r="J559" s="7">
        <f>'1 datos preparados'!I552</f>
        <v/>
      </c>
      <c r="K559" s="7">
        <f>'1 datos preparados'!J552</f>
        <v/>
      </c>
      <c r="L559" s="7">
        <f>'1 datos preparados'!K552</f>
        <v/>
      </c>
      <c r="M559" s="7">
        <f>'1 datos preparados'!L552</f>
        <v/>
      </c>
      <c r="N559" s="7">
        <f>'1 datos preparados'!M552</f>
        <v/>
      </c>
      <c r="O559" s="7">
        <f>'1 datos preparados'!N552</f>
        <v/>
      </c>
      <c r="P559" s="7">
        <f>'1 datos preparados'!O552</f>
        <v/>
      </c>
      <c r="Q559" s="7">
        <f>'1 datos preparados'!P552</f>
        <v/>
      </c>
      <c r="R559" s="7">
        <f>'1 datos preparados'!Q552</f>
        <v/>
      </c>
      <c r="S559" s="7">
        <f>'1 datos preparados'!R552</f>
        <v/>
      </c>
      <c r="T559" s="7">
        <f>'1 datos preparados'!S552</f>
        <v/>
      </c>
      <c r="U559" s="7">
        <f>'1 datos preparados'!T552</f>
        <v/>
      </c>
      <c r="V559" s="8">
        <f>$AE$12+D559*$AE$13+E559*$AE$14+F559*$AE$15+G559*$AE$16+H559*$AE$17+I559*$AE$18+J559*$AE$19+K559*$AE$20+L559*$AE$21+M559*$AE$22+N559*$AE$23+O559*$AE$24+P559*$AE$25+Q559*$AE$26+R559*$AE$27+S559*$AE$28+T559*$AE$29+U559*$AE$30</f>
        <v/>
      </c>
      <c r="W559" s="8">
        <f>1/(1+EXP(-V559))</f>
        <v/>
      </c>
      <c r="X559" s="9">
        <f>-IF(C559=1,LN(W559),LN(1-W559))</f>
        <v/>
      </c>
      <c r="Y559" s="8">
        <f>1</f>
        <v/>
      </c>
      <c r="Z559" s="9">
        <f>Y559*X559</f>
        <v/>
      </c>
      <c r="AA559" s="10">
        <f>IF(W559&gt;$AE$32,1,0)</f>
        <v/>
      </c>
      <c r="AB559">
        <f>IF(AA559=C559,1,0)</f>
        <v/>
      </c>
    </row>
    <row r="560">
      <c r="A560">
        <f>'1 datos preparados'!A553</f>
        <v/>
      </c>
      <c r="B560" s="5">
        <f>'1 datos preparados'!U553</f>
        <v/>
      </c>
      <c r="C560">
        <f>'1 datos preparados'!B553</f>
        <v/>
      </c>
      <c r="D560" s="7">
        <f>'1 datos preparados'!C553</f>
        <v/>
      </c>
      <c r="E560" s="7">
        <f>'1 datos preparados'!D553</f>
        <v/>
      </c>
      <c r="F560" s="7">
        <f>'1 datos preparados'!E553</f>
        <v/>
      </c>
      <c r="G560" s="7">
        <f>'1 datos preparados'!F553</f>
        <v/>
      </c>
      <c r="H560" s="7">
        <f>'1 datos preparados'!G553</f>
        <v/>
      </c>
      <c r="I560" s="7">
        <f>'1 datos preparados'!H553</f>
        <v/>
      </c>
      <c r="J560" s="7">
        <f>'1 datos preparados'!I553</f>
        <v/>
      </c>
      <c r="K560" s="7">
        <f>'1 datos preparados'!J553</f>
        <v/>
      </c>
      <c r="L560" s="7">
        <f>'1 datos preparados'!K553</f>
        <v/>
      </c>
      <c r="M560" s="7">
        <f>'1 datos preparados'!L553</f>
        <v/>
      </c>
      <c r="N560" s="7">
        <f>'1 datos preparados'!M553</f>
        <v/>
      </c>
      <c r="O560" s="7">
        <f>'1 datos preparados'!N553</f>
        <v/>
      </c>
      <c r="P560" s="7">
        <f>'1 datos preparados'!O553</f>
        <v/>
      </c>
      <c r="Q560" s="7">
        <f>'1 datos preparados'!P553</f>
        <v/>
      </c>
      <c r="R560" s="7">
        <f>'1 datos preparados'!Q553</f>
        <v/>
      </c>
      <c r="S560" s="7">
        <f>'1 datos preparados'!R553</f>
        <v/>
      </c>
      <c r="T560" s="7">
        <f>'1 datos preparados'!S553</f>
        <v/>
      </c>
      <c r="U560" s="7">
        <f>'1 datos preparados'!T553</f>
        <v/>
      </c>
      <c r="V560" s="8">
        <f>$AE$12+D560*$AE$13+E560*$AE$14+F560*$AE$15+G560*$AE$16+H560*$AE$17+I560*$AE$18+J560*$AE$19+K560*$AE$20+L560*$AE$21+M560*$AE$22+N560*$AE$23+O560*$AE$24+P560*$AE$25+Q560*$AE$26+R560*$AE$27+S560*$AE$28+T560*$AE$29+U560*$AE$30</f>
        <v/>
      </c>
      <c r="W560" s="8">
        <f>1/(1+EXP(-V560))</f>
        <v/>
      </c>
      <c r="X560" s="9">
        <f>-IF(C560=1,LN(W560),LN(1-W560))</f>
        <v/>
      </c>
      <c r="Y560" s="8">
        <f>1</f>
        <v/>
      </c>
      <c r="Z560" s="9">
        <f>Y560*X560</f>
        <v/>
      </c>
      <c r="AA560" s="10">
        <f>IF(W560&gt;$AE$32,1,0)</f>
        <v/>
      </c>
      <c r="AB560">
        <f>IF(AA560=C560,1,0)</f>
        <v/>
      </c>
    </row>
    <row r="561">
      <c r="A561">
        <f>'1 datos preparados'!A554</f>
        <v/>
      </c>
      <c r="B561" s="5">
        <f>'1 datos preparados'!U554</f>
        <v/>
      </c>
      <c r="C561">
        <f>'1 datos preparados'!B554</f>
        <v/>
      </c>
      <c r="D561" s="7">
        <f>'1 datos preparados'!C554</f>
        <v/>
      </c>
      <c r="E561" s="7">
        <f>'1 datos preparados'!D554</f>
        <v/>
      </c>
      <c r="F561" s="7">
        <f>'1 datos preparados'!E554</f>
        <v/>
      </c>
      <c r="G561" s="7">
        <f>'1 datos preparados'!F554</f>
        <v/>
      </c>
      <c r="H561" s="7">
        <f>'1 datos preparados'!G554</f>
        <v/>
      </c>
      <c r="I561" s="7">
        <f>'1 datos preparados'!H554</f>
        <v/>
      </c>
      <c r="J561" s="7">
        <f>'1 datos preparados'!I554</f>
        <v/>
      </c>
      <c r="K561" s="7">
        <f>'1 datos preparados'!J554</f>
        <v/>
      </c>
      <c r="L561" s="7">
        <f>'1 datos preparados'!K554</f>
        <v/>
      </c>
      <c r="M561" s="7">
        <f>'1 datos preparados'!L554</f>
        <v/>
      </c>
      <c r="N561" s="7">
        <f>'1 datos preparados'!M554</f>
        <v/>
      </c>
      <c r="O561" s="7">
        <f>'1 datos preparados'!N554</f>
        <v/>
      </c>
      <c r="P561" s="7">
        <f>'1 datos preparados'!O554</f>
        <v/>
      </c>
      <c r="Q561" s="7">
        <f>'1 datos preparados'!P554</f>
        <v/>
      </c>
      <c r="R561" s="7">
        <f>'1 datos preparados'!Q554</f>
        <v/>
      </c>
      <c r="S561" s="7">
        <f>'1 datos preparados'!R554</f>
        <v/>
      </c>
      <c r="T561" s="7">
        <f>'1 datos preparados'!S554</f>
        <v/>
      </c>
      <c r="U561" s="7">
        <f>'1 datos preparados'!T554</f>
        <v/>
      </c>
      <c r="V561" s="8">
        <f>$AE$12+D561*$AE$13+E561*$AE$14+F561*$AE$15+G561*$AE$16+H561*$AE$17+I561*$AE$18+J561*$AE$19+K561*$AE$20+L561*$AE$21+M561*$AE$22+N561*$AE$23+O561*$AE$24+P561*$AE$25+Q561*$AE$26+R561*$AE$27+S561*$AE$28+T561*$AE$29+U561*$AE$30</f>
        <v/>
      </c>
      <c r="W561" s="8">
        <f>1/(1+EXP(-V561))</f>
        <v/>
      </c>
      <c r="X561" s="9">
        <f>-IF(C561=1,LN(W561),LN(1-W561))</f>
        <v/>
      </c>
      <c r="Y561" s="8">
        <f>1</f>
        <v/>
      </c>
      <c r="Z561" s="9">
        <f>Y561*X561</f>
        <v/>
      </c>
      <c r="AA561" s="10">
        <f>IF(W561&gt;$AE$32,1,0)</f>
        <v/>
      </c>
      <c r="AB561">
        <f>IF(AA561=C561,1,0)</f>
        <v/>
      </c>
    </row>
    <row r="562">
      <c r="A562">
        <f>'1 datos preparados'!A555</f>
        <v/>
      </c>
      <c r="B562" s="5">
        <f>'1 datos preparados'!U555</f>
        <v/>
      </c>
      <c r="C562">
        <f>'1 datos preparados'!B555</f>
        <v/>
      </c>
      <c r="D562" s="7">
        <f>'1 datos preparados'!C555</f>
        <v/>
      </c>
      <c r="E562" s="7">
        <f>'1 datos preparados'!D555</f>
        <v/>
      </c>
      <c r="F562" s="7">
        <f>'1 datos preparados'!E555</f>
        <v/>
      </c>
      <c r="G562" s="7">
        <f>'1 datos preparados'!F555</f>
        <v/>
      </c>
      <c r="H562" s="7">
        <f>'1 datos preparados'!G555</f>
        <v/>
      </c>
      <c r="I562" s="7">
        <f>'1 datos preparados'!H555</f>
        <v/>
      </c>
      <c r="J562" s="7">
        <f>'1 datos preparados'!I555</f>
        <v/>
      </c>
      <c r="K562" s="7">
        <f>'1 datos preparados'!J555</f>
        <v/>
      </c>
      <c r="L562" s="7">
        <f>'1 datos preparados'!K555</f>
        <v/>
      </c>
      <c r="M562" s="7">
        <f>'1 datos preparados'!L555</f>
        <v/>
      </c>
      <c r="N562" s="7">
        <f>'1 datos preparados'!M555</f>
        <v/>
      </c>
      <c r="O562" s="7">
        <f>'1 datos preparados'!N555</f>
        <v/>
      </c>
      <c r="P562" s="7">
        <f>'1 datos preparados'!O555</f>
        <v/>
      </c>
      <c r="Q562" s="7">
        <f>'1 datos preparados'!P555</f>
        <v/>
      </c>
      <c r="R562" s="7">
        <f>'1 datos preparados'!Q555</f>
        <v/>
      </c>
      <c r="S562" s="7">
        <f>'1 datos preparados'!R555</f>
        <v/>
      </c>
      <c r="T562" s="7">
        <f>'1 datos preparados'!S555</f>
        <v/>
      </c>
      <c r="U562" s="7">
        <f>'1 datos preparados'!T555</f>
        <v/>
      </c>
      <c r="V562" s="8">
        <f>$AE$12+D562*$AE$13+E562*$AE$14+F562*$AE$15+G562*$AE$16+H562*$AE$17+I562*$AE$18+J562*$AE$19+K562*$AE$20+L562*$AE$21+M562*$AE$22+N562*$AE$23+O562*$AE$24+P562*$AE$25+Q562*$AE$26+R562*$AE$27+S562*$AE$28+T562*$AE$29+U562*$AE$30</f>
        <v/>
      </c>
      <c r="W562" s="8">
        <f>1/(1+EXP(-V562))</f>
        <v/>
      </c>
      <c r="X562" s="9">
        <f>-IF(C562=1,LN(W562),LN(1-W562))</f>
        <v/>
      </c>
      <c r="Y562" s="8">
        <f>1</f>
        <v/>
      </c>
      <c r="Z562" s="9">
        <f>Y562*X562</f>
        <v/>
      </c>
      <c r="AA562" s="10">
        <f>IF(W562&gt;$AE$32,1,0)</f>
        <v/>
      </c>
      <c r="AB562">
        <f>IF(AA562=C562,1,0)</f>
        <v/>
      </c>
    </row>
    <row r="563">
      <c r="A563">
        <f>'1 datos preparados'!A556</f>
        <v/>
      </c>
      <c r="B563" s="5">
        <f>'1 datos preparados'!U556</f>
        <v/>
      </c>
      <c r="C563">
        <f>'1 datos preparados'!B556</f>
        <v/>
      </c>
      <c r="D563" s="7">
        <f>'1 datos preparados'!C556</f>
        <v/>
      </c>
      <c r="E563" s="7">
        <f>'1 datos preparados'!D556</f>
        <v/>
      </c>
      <c r="F563" s="7">
        <f>'1 datos preparados'!E556</f>
        <v/>
      </c>
      <c r="G563" s="7">
        <f>'1 datos preparados'!F556</f>
        <v/>
      </c>
      <c r="H563" s="7">
        <f>'1 datos preparados'!G556</f>
        <v/>
      </c>
      <c r="I563" s="7">
        <f>'1 datos preparados'!H556</f>
        <v/>
      </c>
      <c r="J563" s="7">
        <f>'1 datos preparados'!I556</f>
        <v/>
      </c>
      <c r="K563" s="7">
        <f>'1 datos preparados'!J556</f>
        <v/>
      </c>
      <c r="L563" s="7">
        <f>'1 datos preparados'!K556</f>
        <v/>
      </c>
      <c r="M563" s="7">
        <f>'1 datos preparados'!L556</f>
        <v/>
      </c>
      <c r="N563" s="7">
        <f>'1 datos preparados'!M556</f>
        <v/>
      </c>
      <c r="O563" s="7">
        <f>'1 datos preparados'!N556</f>
        <v/>
      </c>
      <c r="P563" s="7">
        <f>'1 datos preparados'!O556</f>
        <v/>
      </c>
      <c r="Q563" s="7">
        <f>'1 datos preparados'!P556</f>
        <v/>
      </c>
      <c r="R563" s="7">
        <f>'1 datos preparados'!Q556</f>
        <v/>
      </c>
      <c r="S563" s="7">
        <f>'1 datos preparados'!R556</f>
        <v/>
      </c>
      <c r="T563" s="7">
        <f>'1 datos preparados'!S556</f>
        <v/>
      </c>
      <c r="U563" s="7">
        <f>'1 datos preparados'!T556</f>
        <v/>
      </c>
      <c r="V563" s="8">
        <f>$AE$12+D563*$AE$13+E563*$AE$14+F563*$AE$15+G563*$AE$16+H563*$AE$17+I563*$AE$18+J563*$AE$19+K563*$AE$20+L563*$AE$21+M563*$AE$22+N563*$AE$23+O563*$AE$24+P563*$AE$25+Q563*$AE$26+R563*$AE$27+S563*$AE$28+T563*$AE$29+U563*$AE$30</f>
        <v/>
      </c>
      <c r="W563" s="8">
        <f>1/(1+EXP(-V563))</f>
        <v/>
      </c>
      <c r="X563" s="9">
        <f>-IF(C563=1,LN(W563),LN(1-W563))</f>
        <v/>
      </c>
      <c r="Y563" s="8">
        <f>1</f>
        <v/>
      </c>
      <c r="Z563" s="9">
        <f>Y563*X563</f>
        <v/>
      </c>
      <c r="AA563" s="10">
        <f>IF(W563&gt;$AE$32,1,0)</f>
        <v/>
      </c>
      <c r="AB563">
        <f>IF(AA563=C563,1,0)</f>
        <v/>
      </c>
    </row>
    <row r="564">
      <c r="A564">
        <f>'1 datos preparados'!A557</f>
        <v/>
      </c>
      <c r="B564" s="5">
        <f>'1 datos preparados'!U557</f>
        <v/>
      </c>
      <c r="C564">
        <f>'1 datos preparados'!B557</f>
        <v/>
      </c>
      <c r="D564" s="7">
        <f>'1 datos preparados'!C557</f>
        <v/>
      </c>
      <c r="E564" s="7">
        <f>'1 datos preparados'!D557</f>
        <v/>
      </c>
      <c r="F564" s="7">
        <f>'1 datos preparados'!E557</f>
        <v/>
      </c>
      <c r="G564" s="7">
        <f>'1 datos preparados'!F557</f>
        <v/>
      </c>
      <c r="H564" s="7">
        <f>'1 datos preparados'!G557</f>
        <v/>
      </c>
      <c r="I564" s="7">
        <f>'1 datos preparados'!H557</f>
        <v/>
      </c>
      <c r="J564" s="7">
        <f>'1 datos preparados'!I557</f>
        <v/>
      </c>
      <c r="K564" s="7">
        <f>'1 datos preparados'!J557</f>
        <v/>
      </c>
      <c r="L564" s="7">
        <f>'1 datos preparados'!K557</f>
        <v/>
      </c>
      <c r="M564" s="7">
        <f>'1 datos preparados'!L557</f>
        <v/>
      </c>
      <c r="N564" s="7">
        <f>'1 datos preparados'!M557</f>
        <v/>
      </c>
      <c r="O564" s="7">
        <f>'1 datos preparados'!N557</f>
        <v/>
      </c>
      <c r="P564" s="7">
        <f>'1 datos preparados'!O557</f>
        <v/>
      </c>
      <c r="Q564" s="7">
        <f>'1 datos preparados'!P557</f>
        <v/>
      </c>
      <c r="R564" s="7">
        <f>'1 datos preparados'!Q557</f>
        <v/>
      </c>
      <c r="S564" s="7">
        <f>'1 datos preparados'!R557</f>
        <v/>
      </c>
      <c r="T564" s="7">
        <f>'1 datos preparados'!S557</f>
        <v/>
      </c>
      <c r="U564" s="7">
        <f>'1 datos preparados'!T557</f>
        <v/>
      </c>
      <c r="V564" s="8">
        <f>$AE$12+D564*$AE$13+E564*$AE$14+F564*$AE$15+G564*$AE$16+H564*$AE$17+I564*$AE$18+J564*$AE$19+K564*$AE$20+L564*$AE$21+M564*$AE$22+N564*$AE$23+O564*$AE$24+P564*$AE$25+Q564*$AE$26+R564*$AE$27+S564*$AE$28+T564*$AE$29+U564*$AE$30</f>
        <v/>
      </c>
      <c r="W564" s="8">
        <f>1/(1+EXP(-V564))</f>
        <v/>
      </c>
      <c r="X564" s="9">
        <f>-IF(C564=1,LN(W564),LN(1-W564))</f>
        <v/>
      </c>
      <c r="Y564" s="8">
        <f>1</f>
        <v/>
      </c>
      <c r="Z564" s="9">
        <f>Y564*X564</f>
        <v/>
      </c>
      <c r="AA564" s="10">
        <f>IF(W564&gt;$AE$32,1,0)</f>
        <v/>
      </c>
      <c r="AB564">
        <f>IF(AA564=C564,1,0)</f>
        <v/>
      </c>
    </row>
    <row r="565">
      <c r="A565">
        <f>'1 datos preparados'!A558</f>
        <v/>
      </c>
      <c r="B565" s="5">
        <f>'1 datos preparados'!U558</f>
        <v/>
      </c>
      <c r="C565">
        <f>'1 datos preparados'!B558</f>
        <v/>
      </c>
      <c r="D565" s="7">
        <f>'1 datos preparados'!C558</f>
        <v/>
      </c>
      <c r="E565" s="7">
        <f>'1 datos preparados'!D558</f>
        <v/>
      </c>
      <c r="F565" s="7">
        <f>'1 datos preparados'!E558</f>
        <v/>
      </c>
      <c r="G565" s="7">
        <f>'1 datos preparados'!F558</f>
        <v/>
      </c>
      <c r="H565" s="7">
        <f>'1 datos preparados'!G558</f>
        <v/>
      </c>
      <c r="I565" s="7">
        <f>'1 datos preparados'!H558</f>
        <v/>
      </c>
      <c r="J565" s="7">
        <f>'1 datos preparados'!I558</f>
        <v/>
      </c>
      <c r="K565" s="7">
        <f>'1 datos preparados'!J558</f>
        <v/>
      </c>
      <c r="L565" s="7">
        <f>'1 datos preparados'!K558</f>
        <v/>
      </c>
      <c r="M565" s="7">
        <f>'1 datos preparados'!L558</f>
        <v/>
      </c>
      <c r="N565" s="7">
        <f>'1 datos preparados'!M558</f>
        <v/>
      </c>
      <c r="O565" s="7">
        <f>'1 datos preparados'!N558</f>
        <v/>
      </c>
      <c r="P565" s="7">
        <f>'1 datos preparados'!O558</f>
        <v/>
      </c>
      <c r="Q565" s="7">
        <f>'1 datos preparados'!P558</f>
        <v/>
      </c>
      <c r="R565" s="7">
        <f>'1 datos preparados'!Q558</f>
        <v/>
      </c>
      <c r="S565" s="7">
        <f>'1 datos preparados'!R558</f>
        <v/>
      </c>
      <c r="T565" s="7">
        <f>'1 datos preparados'!S558</f>
        <v/>
      </c>
      <c r="U565" s="7">
        <f>'1 datos preparados'!T558</f>
        <v/>
      </c>
      <c r="V565" s="8">
        <f>$AE$12+D565*$AE$13+E565*$AE$14+F565*$AE$15+G565*$AE$16+H565*$AE$17+I565*$AE$18+J565*$AE$19+K565*$AE$20+L565*$AE$21+M565*$AE$22+N565*$AE$23+O565*$AE$24+P565*$AE$25+Q565*$AE$26+R565*$AE$27+S565*$AE$28+T565*$AE$29+U565*$AE$30</f>
        <v/>
      </c>
      <c r="W565" s="8">
        <f>1/(1+EXP(-V565))</f>
        <v/>
      </c>
      <c r="X565" s="9">
        <f>-IF(C565=1,LN(W565),LN(1-W565))</f>
        <v/>
      </c>
      <c r="Y565" s="8">
        <f>1</f>
        <v/>
      </c>
      <c r="Z565" s="9">
        <f>Y565*X565</f>
        <v/>
      </c>
      <c r="AA565" s="10">
        <f>IF(W565&gt;$AE$32,1,0)</f>
        <v/>
      </c>
      <c r="AB565">
        <f>IF(AA565=C565,1,0)</f>
        <v/>
      </c>
    </row>
    <row r="566">
      <c r="A566">
        <f>'1 datos preparados'!A559</f>
        <v/>
      </c>
      <c r="B566" s="5">
        <f>'1 datos preparados'!U559</f>
        <v/>
      </c>
      <c r="C566">
        <f>'1 datos preparados'!B559</f>
        <v/>
      </c>
      <c r="D566" s="7">
        <f>'1 datos preparados'!C559</f>
        <v/>
      </c>
      <c r="E566" s="7">
        <f>'1 datos preparados'!D559</f>
        <v/>
      </c>
      <c r="F566" s="7">
        <f>'1 datos preparados'!E559</f>
        <v/>
      </c>
      <c r="G566" s="7">
        <f>'1 datos preparados'!F559</f>
        <v/>
      </c>
      <c r="H566" s="7">
        <f>'1 datos preparados'!G559</f>
        <v/>
      </c>
      <c r="I566" s="7">
        <f>'1 datos preparados'!H559</f>
        <v/>
      </c>
      <c r="J566" s="7">
        <f>'1 datos preparados'!I559</f>
        <v/>
      </c>
      <c r="K566" s="7">
        <f>'1 datos preparados'!J559</f>
        <v/>
      </c>
      <c r="L566" s="7">
        <f>'1 datos preparados'!K559</f>
        <v/>
      </c>
      <c r="M566" s="7">
        <f>'1 datos preparados'!L559</f>
        <v/>
      </c>
      <c r="N566" s="7">
        <f>'1 datos preparados'!M559</f>
        <v/>
      </c>
      <c r="O566" s="7">
        <f>'1 datos preparados'!N559</f>
        <v/>
      </c>
      <c r="P566" s="7">
        <f>'1 datos preparados'!O559</f>
        <v/>
      </c>
      <c r="Q566" s="7">
        <f>'1 datos preparados'!P559</f>
        <v/>
      </c>
      <c r="R566" s="7">
        <f>'1 datos preparados'!Q559</f>
        <v/>
      </c>
      <c r="S566" s="7">
        <f>'1 datos preparados'!R559</f>
        <v/>
      </c>
      <c r="T566" s="7">
        <f>'1 datos preparados'!S559</f>
        <v/>
      </c>
      <c r="U566" s="7">
        <f>'1 datos preparados'!T559</f>
        <v/>
      </c>
      <c r="V566" s="8">
        <f>$AE$12+D566*$AE$13+E566*$AE$14+F566*$AE$15+G566*$AE$16+H566*$AE$17+I566*$AE$18+J566*$AE$19+K566*$AE$20+L566*$AE$21+M566*$AE$22+N566*$AE$23+O566*$AE$24+P566*$AE$25+Q566*$AE$26+R566*$AE$27+S566*$AE$28+T566*$AE$29+U566*$AE$30</f>
        <v/>
      </c>
      <c r="W566" s="8">
        <f>1/(1+EXP(-V566))</f>
        <v/>
      </c>
      <c r="X566" s="9">
        <f>-IF(C566=1,LN(W566),LN(1-W566))</f>
        <v/>
      </c>
      <c r="Y566" s="8">
        <f>1</f>
        <v/>
      </c>
      <c r="Z566" s="9">
        <f>Y566*X566</f>
        <v/>
      </c>
      <c r="AA566" s="10">
        <f>IF(W566&gt;$AE$32,1,0)</f>
        <v/>
      </c>
      <c r="AB566">
        <f>IF(AA566=C566,1,0)</f>
        <v/>
      </c>
    </row>
    <row r="567">
      <c r="A567">
        <f>'1 datos preparados'!A560</f>
        <v/>
      </c>
      <c r="B567" s="5">
        <f>'1 datos preparados'!U560</f>
        <v/>
      </c>
      <c r="C567">
        <f>'1 datos preparados'!B560</f>
        <v/>
      </c>
      <c r="D567" s="7">
        <f>'1 datos preparados'!C560</f>
        <v/>
      </c>
      <c r="E567" s="7">
        <f>'1 datos preparados'!D560</f>
        <v/>
      </c>
      <c r="F567" s="7">
        <f>'1 datos preparados'!E560</f>
        <v/>
      </c>
      <c r="G567" s="7">
        <f>'1 datos preparados'!F560</f>
        <v/>
      </c>
      <c r="H567" s="7">
        <f>'1 datos preparados'!G560</f>
        <v/>
      </c>
      <c r="I567" s="7">
        <f>'1 datos preparados'!H560</f>
        <v/>
      </c>
      <c r="J567" s="7">
        <f>'1 datos preparados'!I560</f>
        <v/>
      </c>
      <c r="K567" s="7">
        <f>'1 datos preparados'!J560</f>
        <v/>
      </c>
      <c r="L567" s="7">
        <f>'1 datos preparados'!K560</f>
        <v/>
      </c>
      <c r="M567" s="7">
        <f>'1 datos preparados'!L560</f>
        <v/>
      </c>
      <c r="N567" s="7">
        <f>'1 datos preparados'!M560</f>
        <v/>
      </c>
      <c r="O567" s="7">
        <f>'1 datos preparados'!N560</f>
        <v/>
      </c>
      <c r="P567" s="7">
        <f>'1 datos preparados'!O560</f>
        <v/>
      </c>
      <c r="Q567" s="7">
        <f>'1 datos preparados'!P560</f>
        <v/>
      </c>
      <c r="R567" s="7">
        <f>'1 datos preparados'!Q560</f>
        <v/>
      </c>
      <c r="S567" s="7">
        <f>'1 datos preparados'!R560</f>
        <v/>
      </c>
      <c r="T567" s="7">
        <f>'1 datos preparados'!S560</f>
        <v/>
      </c>
      <c r="U567" s="7">
        <f>'1 datos preparados'!T560</f>
        <v/>
      </c>
      <c r="V567" s="8">
        <f>$AE$12+D567*$AE$13+E567*$AE$14+F567*$AE$15+G567*$AE$16+H567*$AE$17+I567*$AE$18+J567*$AE$19+K567*$AE$20+L567*$AE$21+M567*$AE$22+N567*$AE$23+O567*$AE$24+P567*$AE$25+Q567*$AE$26+R567*$AE$27+S567*$AE$28+T567*$AE$29+U567*$AE$30</f>
        <v/>
      </c>
      <c r="W567" s="8">
        <f>1/(1+EXP(-V567))</f>
        <v/>
      </c>
      <c r="X567" s="9">
        <f>-IF(C567=1,LN(W567),LN(1-W567))</f>
        <v/>
      </c>
      <c r="Y567" s="8">
        <f>1</f>
        <v/>
      </c>
      <c r="Z567" s="9">
        <f>Y567*X567</f>
        <v/>
      </c>
      <c r="AA567" s="10">
        <f>IF(W567&gt;$AE$32,1,0)</f>
        <v/>
      </c>
      <c r="AB567">
        <f>IF(AA567=C567,1,0)</f>
        <v/>
      </c>
    </row>
    <row r="568">
      <c r="A568">
        <f>'1 datos preparados'!A561</f>
        <v/>
      </c>
      <c r="B568" s="5">
        <f>'1 datos preparados'!U561</f>
        <v/>
      </c>
      <c r="C568">
        <f>'1 datos preparados'!B561</f>
        <v/>
      </c>
      <c r="D568" s="7">
        <f>'1 datos preparados'!C561</f>
        <v/>
      </c>
      <c r="E568" s="7">
        <f>'1 datos preparados'!D561</f>
        <v/>
      </c>
      <c r="F568" s="7">
        <f>'1 datos preparados'!E561</f>
        <v/>
      </c>
      <c r="G568" s="7">
        <f>'1 datos preparados'!F561</f>
        <v/>
      </c>
      <c r="H568" s="7">
        <f>'1 datos preparados'!G561</f>
        <v/>
      </c>
      <c r="I568" s="7">
        <f>'1 datos preparados'!H561</f>
        <v/>
      </c>
      <c r="J568" s="7">
        <f>'1 datos preparados'!I561</f>
        <v/>
      </c>
      <c r="K568" s="7">
        <f>'1 datos preparados'!J561</f>
        <v/>
      </c>
      <c r="L568" s="7">
        <f>'1 datos preparados'!K561</f>
        <v/>
      </c>
      <c r="M568" s="7">
        <f>'1 datos preparados'!L561</f>
        <v/>
      </c>
      <c r="N568" s="7">
        <f>'1 datos preparados'!M561</f>
        <v/>
      </c>
      <c r="O568" s="7">
        <f>'1 datos preparados'!N561</f>
        <v/>
      </c>
      <c r="P568" s="7">
        <f>'1 datos preparados'!O561</f>
        <v/>
      </c>
      <c r="Q568" s="7">
        <f>'1 datos preparados'!P561</f>
        <v/>
      </c>
      <c r="R568" s="7">
        <f>'1 datos preparados'!Q561</f>
        <v/>
      </c>
      <c r="S568" s="7">
        <f>'1 datos preparados'!R561</f>
        <v/>
      </c>
      <c r="T568" s="7">
        <f>'1 datos preparados'!S561</f>
        <v/>
      </c>
      <c r="U568" s="7">
        <f>'1 datos preparados'!T561</f>
        <v/>
      </c>
      <c r="V568" s="8">
        <f>$AE$12+D568*$AE$13+E568*$AE$14+F568*$AE$15+G568*$AE$16+H568*$AE$17+I568*$AE$18+J568*$AE$19+K568*$AE$20+L568*$AE$21+M568*$AE$22+N568*$AE$23+O568*$AE$24+P568*$AE$25+Q568*$AE$26+R568*$AE$27+S568*$AE$28+T568*$AE$29+U568*$AE$30</f>
        <v/>
      </c>
      <c r="W568" s="8">
        <f>1/(1+EXP(-V568))</f>
        <v/>
      </c>
      <c r="X568" s="9">
        <f>-IF(C568=1,LN(W568),LN(1-W568))</f>
        <v/>
      </c>
      <c r="Y568" s="8">
        <f>1</f>
        <v/>
      </c>
      <c r="Z568" s="9">
        <f>Y568*X568</f>
        <v/>
      </c>
      <c r="AA568" s="10">
        <f>IF(W568&gt;$AE$32,1,0)</f>
        <v/>
      </c>
      <c r="AB568">
        <f>IF(AA568=C568,1,0)</f>
        <v/>
      </c>
    </row>
    <row r="569">
      <c r="A569">
        <f>'1 datos preparados'!A562</f>
        <v/>
      </c>
      <c r="B569" s="5">
        <f>'1 datos preparados'!U562</f>
        <v/>
      </c>
      <c r="C569">
        <f>'1 datos preparados'!B562</f>
        <v/>
      </c>
      <c r="D569" s="7">
        <f>'1 datos preparados'!C562</f>
        <v/>
      </c>
      <c r="E569" s="7">
        <f>'1 datos preparados'!D562</f>
        <v/>
      </c>
      <c r="F569" s="7">
        <f>'1 datos preparados'!E562</f>
        <v/>
      </c>
      <c r="G569" s="7">
        <f>'1 datos preparados'!F562</f>
        <v/>
      </c>
      <c r="H569" s="7">
        <f>'1 datos preparados'!G562</f>
        <v/>
      </c>
      <c r="I569" s="7">
        <f>'1 datos preparados'!H562</f>
        <v/>
      </c>
      <c r="J569" s="7">
        <f>'1 datos preparados'!I562</f>
        <v/>
      </c>
      <c r="K569" s="7">
        <f>'1 datos preparados'!J562</f>
        <v/>
      </c>
      <c r="L569" s="7">
        <f>'1 datos preparados'!K562</f>
        <v/>
      </c>
      <c r="M569" s="7">
        <f>'1 datos preparados'!L562</f>
        <v/>
      </c>
      <c r="N569" s="7">
        <f>'1 datos preparados'!M562</f>
        <v/>
      </c>
      <c r="O569" s="7">
        <f>'1 datos preparados'!N562</f>
        <v/>
      </c>
      <c r="P569" s="7">
        <f>'1 datos preparados'!O562</f>
        <v/>
      </c>
      <c r="Q569" s="7">
        <f>'1 datos preparados'!P562</f>
        <v/>
      </c>
      <c r="R569" s="7">
        <f>'1 datos preparados'!Q562</f>
        <v/>
      </c>
      <c r="S569" s="7">
        <f>'1 datos preparados'!R562</f>
        <v/>
      </c>
      <c r="T569" s="7">
        <f>'1 datos preparados'!S562</f>
        <v/>
      </c>
      <c r="U569" s="7">
        <f>'1 datos preparados'!T562</f>
        <v/>
      </c>
      <c r="V569" s="8">
        <f>$AE$12+D569*$AE$13+E569*$AE$14+F569*$AE$15+G569*$AE$16+H569*$AE$17+I569*$AE$18+J569*$AE$19+K569*$AE$20+L569*$AE$21+M569*$AE$22+N569*$AE$23+O569*$AE$24+P569*$AE$25+Q569*$AE$26+R569*$AE$27+S569*$AE$28+T569*$AE$29+U569*$AE$30</f>
        <v/>
      </c>
      <c r="W569" s="8">
        <f>1/(1+EXP(-V569))</f>
        <v/>
      </c>
      <c r="X569" s="9">
        <f>-IF(C569=1,LN(W569),LN(1-W569))</f>
        <v/>
      </c>
      <c r="Y569" s="8">
        <f>1</f>
        <v/>
      </c>
      <c r="Z569" s="9">
        <f>Y569*X569</f>
        <v/>
      </c>
      <c r="AA569" s="10">
        <f>IF(W569&gt;$AE$32,1,0)</f>
        <v/>
      </c>
      <c r="AB569">
        <f>IF(AA569=C569,1,0)</f>
        <v/>
      </c>
    </row>
    <row r="570">
      <c r="A570">
        <f>'1 datos preparados'!A563</f>
        <v/>
      </c>
      <c r="B570" s="5">
        <f>'1 datos preparados'!U563</f>
        <v/>
      </c>
      <c r="C570">
        <f>'1 datos preparados'!B563</f>
        <v/>
      </c>
      <c r="D570" s="7">
        <f>'1 datos preparados'!C563</f>
        <v/>
      </c>
      <c r="E570" s="7">
        <f>'1 datos preparados'!D563</f>
        <v/>
      </c>
      <c r="F570" s="7">
        <f>'1 datos preparados'!E563</f>
        <v/>
      </c>
      <c r="G570" s="7">
        <f>'1 datos preparados'!F563</f>
        <v/>
      </c>
      <c r="H570" s="7">
        <f>'1 datos preparados'!G563</f>
        <v/>
      </c>
      <c r="I570" s="7">
        <f>'1 datos preparados'!H563</f>
        <v/>
      </c>
      <c r="J570" s="7">
        <f>'1 datos preparados'!I563</f>
        <v/>
      </c>
      <c r="K570" s="7">
        <f>'1 datos preparados'!J563</f>
        <v/>
      </c>
      <c r="L570" s="7">
        <f>'1 datos preparados'!K563</f>
        <v/>
      </c>
      <c r="M570" s="7">
        <f>'1 datos preparados'!L563</f>
        <v/>
      </c>
      <c r="N570" s="7">
        <f>'1 datos preparados'!M563</f>
        <v/>
      </c>
      <c r="O570" s="7">
        <f>'1 datos preparados'!N563</f>
        <v/>
      </c>
      <c r="P570" s="7">
        <f>'1 datos preparados'!O563</f>
        <v/>
      </c>
      <c r="Q570" s="7">
        <f>'1 datos preparados'!P563</f>
        <v/>
      </c>
      <c r="R570" s="7">
        <f>'1 datos preparados'!Q563</f>
        <v/>
      </c>
      <c r="S570" s="7">
        <f>'1 datos preparados'!R563</f>
        <v/>
      </c>
      <c r="T570" s="7">
        <f>'1 datos preparados'!S563</f>
        <v/>
      </c>
      <c r="U570" s="7">
        <f>'1 datos preparados'!T563</f>
        <v/>
      </c>
      <c r="V570" s="8">
        <f>$AE$12+D570*$AE$13+E570*$AE$14+F570*$AE$15+G570*$AE$16+H570*$AE$17+I570*$AE$18+J570*$AE$19+K570*$AE$20+L570*$AE$21+M570*$AE$22+N570*$AE$23+O570*$AE$24+P570*$AE$25+Q570*$AE$26+R570*$AE$27+S570*$AE$28+T570*$AE$29+U570*$AE$30</f>
        <v/>
      </c>
      <c r="W570" s="8">
        <f>1/(1+EXP(-V570))</f>
        <v/>
      </c>
      <c r="X570" s="9">
        <f>-IF(C570=1,LN(W570),LN(1-W570))</f>
        <v/>
      </c>
      <c r="Y570" s="8">
        <f>1</f>
        <v/>
      </c>
      <c r="Z570" s="9">
        <f>Y570*X570</f>
        <v/>
      </c>
      <c r="AA570" s="10">
        <f>IF(W570&gt;$AE$32,1,0)</f>
        <v/>
      </c>
      <c r="AB570">
        <f>IF(AA570=C570,1,0)</f>
        <v/>
      </c>
    </row>
    <row r="571">
      <c r="A571">
        <f>'1 datos preparados'!A564</f>
        <v/>
      </c>
      <c r="B571" s="5">
        <f>'1 datos preparados'!U564</f>
        <v/>
      </c>
      <c r="C571">
        <f>'1 datos preparados'!B564</f>
        <v/>
      </c>
      <c r="D571" s="7">
        <f>'1 datos preparados'!C564</f>
        <v/>
      </c>
      <c r="E571" s="7">
        <f>'1 datos preparados'!D564</f>
        <v/>
      </c>
      <c r="F571" s="7">
        <f>'1 datos preparados'!E564</f>
        <v/>
      </c>
      <c r="G571" s="7">
        <f>'1 datos preparados'!F564</f>
        <v/>
      </c>
      <c r="H571" s="7">
        <f>'1 datos preparados'!G564</f>
        <v/>
      </c>
      <c r="I571" s="7">
        <f>'1 datos preparados'!H564</f>
        <v/>
      </c>
      <c r="J571" s="7">
        <f>'1 datos preparados'!I564</f>
        <v/>
      </c>
      <c r="K571" s="7">
        <f>'1 datos preparados'!J564</f>
        <v/>
      </c>
      <c r="L571" s="7">
        <f>'1 datos preparados'!K564</f>
        <v/>
      </c>
      <c r="M571" s="7">
        <f>'1 datos preparados'!L564</f>
        <v/>
      </c>
      <c r="N571" s="7">
        <f>'1 datos preparados'!M564</f>
        <v/>
      </c>
      <c r="O571" s="7">
        <f>'1 datos preparados'!N564</f>
        <v/>
      </c>
      <c r="P571" s="7">
        <f>'1 datos preparados'!O564</f>
        <v/>
      </c>
      <c r="Q571" s="7">
        <f>'1 datos preparados'!P564</f>
        <v/>
      </c>
      <c r="R571" s="7">
        <f>'1 datos preparados'!Q564</f>
        <v/>
      </c>
      <c r="S571" s="7">
        <f>'1 datos preparados'!R564</f>
        <v/>
      </c>
      <c r="T571" s="7">
        <f>'1 datos preparados'!S564</f>
        <v/>
      </c>
      <c r="U571" s="7">
        <f>'1 datos preparados'!T564</f>
        <v/>
      </c>
      <c r="V571" s="8">
        <f>$AE$12+D571*$AE$13+E571*$AE$14+F571*$AE$15+G571*$AE$16+H571*$AE$17+I571*$AE$18+J571*$AE$19+K571*$AE$20+L571*$AE$21+M571*$AE$22+N571*$AE$23+O571*$AE$24+P571*$AE$25+Q571*$AE$26+R571*$AE$27+S571*$AE$28+T571*$AE$29+U571*$AE$30</f>
        <v/>
      </c>
      <c r="W571" s="8">
        <f>1/(1+EXP(-V571))</f>
        <v/>
      </c>
      <c r="X571" s="9">
        <f>-IF(C571=1,LN(W571),LN(1-W571))</f>
        <v/>
      </c>
      <c r="Y571" s="8">
        <f>1</f>
        <v/>
      </c>
      <c r="Z571" s="9">
        <f>Y571*X571</f>
        <v/>
      </c>
      <c r="AA571" s="10">
        <f>IF(W571&gt;$AE$32,1,0)</f>
        <v/>
      </c>
      <c r="AB571">
        <f>IF(AA571=C571,1,0)</f>
        <v/>
      </c>
    </row>
    <row r="572">
      <c r="A572">
        <f>'1 datos preparados'!A565</f>
        <v/>
      </c>
      <c r="B572" s="5">
        <f>'1 datos preparados'!U565</f>
        <v/>
      </c>
      <c r="C572">
        <f>'1 datos preparados'!B565</f>
        <v/>
      </c>
      <c r="D572" s="7">
        <f>'1 datos preparados'!C565</f>
        <v/>
      </c>
      <c r="E572" s="7">
        <f>'1 datos preparados'!D565</f>
        <v/>
      </c>
      <c r="F572" s="7">
        <f>'1 datos preparados'!E565</f>
        <v/>
      </c>
      <c r="G572" s="7">
        <f>'1 datos preparados'!F565</f>
        <v/>
      </c>
      <c r="H572" s="7">
        <f>'1 datos preparados'!G565</f>
        <v/>
      </c>
      <c r="I572" s="7">
        <f>'1 datos preparados'!H565</f>
        <v/>
      </c>
      <c r="J572" s="7">
        <f>'1 datos preparados'!I565</f>
        <v/>
      </c>
      <c r="K572" s="7">
        <f>'1 datos preparados'!J565</f>
        <v/>
      </c>
      <c r="L572" s="7">
        <f>'1 datos preparados'!K565</f>
        <v/>
      </c>
      <c r="M572" s="7">
        <f>'1 datos preparados'!L565</f>
        <v/>
      </c>
      <c r="N572" s="7">
        <f>'1 datos preparados'!M565</f>
        <v/>
      </c>
      <c r="O572" s="7">
        <f>'1 datos preparados'!N565</f>
        <v/>
      </c>
      <c r="P572" s="7">
        <f>'1 datos preparados'!O565</f>
        <v/>
      </c>
      <c r="Q572" s="7">
        <f>'1 datos preparados'!P565</f>
        <v/>
      </c>
      <c r="R572" s="7">
        <f>'1 datos preparados'!Q565</f>
        <v/>
      </c>
      <c r="S572" s="7">
        <f>'1 datos preparados'!R565</f>
        <v/>
      </c>
      <c r="T572" s="7">
        <f>'1 datos preparados'!S565</f>
        <v/>
      </c>
      <c r="U572" s="7">
        <f>'1 datos preparados'!T565</f>
        <v/>
      </c>
      <c r="V572" s="8">
        <f>$AE$12+D572*$AE$13+E572*$AE$14+F572*$AE$15+G572*$AE$16+H572*$AE$17+I572*$AE$18+J572*$AE$19+K572*$AE$20+L572*$AE$21+M572*$AE$22+N572*$AE$23+O572*$AE$24+P572*$AE$25+Q572*$AE$26+R572*$AE$27+S572*$AE$28+T572*$AE$29+U572*$AE$30</f>
        <v/>
      </c>
      <c r="W572" s="8">
        <f>1/(1+EXP(-V572))</f>
        <v/>
      </c>
      <c r="X572" s="9">
        <f>-IF(C572=1,LN(W572),LN(1-W572))</f>
        <v/>
      </c>
      <c r="Y572" s="8">
        <f>1</f>
        <v/>
      </c>
      <c r="Z572" s="9">
        <f>Y572*X572</f>
        <v/>
      </c>
      <c r="AA572" s="10">
        <f>IF(W572&gt;$AE$32,1,0)</f>
        <v/>
      </c>
      <c r="AB572">
        <f>IF(AA572=C572,1,0)</f>
        <v/>
      </c>
    </row>
    <row r="573">
      <c r="A573">
        <f>'1 datos preparados'!A566</f>
        <v/>
      </c>
      <c r="B573" s="5">
        <f>'1 datos preparados'!U566</f>
        <v/>
      </c>
      <c r="C573">
        <f>'1 datos preparados'!B566</f>
        <v/>
      </c>
      <c r="D573" s="7">
        <f>'1 datos preparados'!C566</f>
        <v/>
      </c>
      <c r="E573" s="7">
        <f>'1 datos preparados'!D566</f>
        <v/>
      </c>
      <c r="F573" s="7">
        <f>'1 datos preparados'!E566</f>
        <v/>
      </c>
      <c r="G573" s="7">
        <f>'1 datos preparados'!F566</f>
        <v/>
      </c>
      <c r="H573" s="7">
        <f>'1 datos preparados'!G566</f>
        <v/>
      </c>
      <c r="I573" s="7">
        <f>'1 datos preparados'!H566</f>
        <v/>
      </c>
      <c r="J573" s="7">
        <f>'1 datos preparados'!I566</f>
        <v/>
      </c>
      <c r="K573" s="7">
        <f>'1 datos preparados'!J566</f>
        <v/>
      </c>
      <c r="L573" s="7">
        <f>'1 datos preparados'!K566</f>
        <v/>
      </c>
      <c r="M573" s="7">
        <f>'1 datos preparados'!L566</f>
        <v/>
      </c>
      <c r="N573" s="7">
        <f>'1 datos preparados'!M566</f>
        <v/>
      </c>
      <c r="O573" s="7">
        <f>'1 datos preparados'!N566</f>
        <v/>
      </c>
      <c r="P573" s="7">
        <f>'1 datos preparados'!O566</f>
        <v/>
      </c>
      <c r="Q573" s="7">
        <f>'1 datos preparados'!P566</f>
        <v/>
      </c>
      <c r="R573" s="7">
        <f>'1 datos preparados'!Q566</f>
        <v/>
      </c>
      <c r="S573" s="7">
        <f>'1 datos preparados'!R566</f>
        <v/>
      </c>
      <c r="T573" s="7">
        <f>'1 datos preparados'!S566</f>
        <v/>
      </c>
      <c r="U573" s="7">
        <f>'1 datos preparados'!T566</f>
        <v/>
      </c>
      <c r="V573" s="8">
        <f>$AE$12+D573*$AE$13+E573*$AE$14+F573*$AE$15+G573*$AE$16+H573*$AE$17+I573*$AE$18+J573*$AE$19+K573*$AE$20+L573*$AE$21+M573*$AE$22+N573*$AE$23+O573*$AE$24+P573*$AE$25+Q573*$AE$26+R573*$AE$27+S573*$AE$28+T573*$AE$29+U573*$AE$30</f>
        <v/>
      </c>
      <c r="W573" s="8">
        <f>1/(1+EXP(-V573))</f>
        <v/>
      </c>
      <c r="X573" s="9">
        <f>-IF(C573=1,LN(W573),LN(1-W573))</f>
        <v/>
      </c>
      <c r="Y573" s="8">
        <f>1</f>
        <v/>
      </c>
      <c r="Z573" s="9">
        <f>Y573*X573</f>
        <v/>
      </c>
      <c r="AA573" s="10">
        <f>IF(W573&gt;$AE$32,1,0)</f>
        <v/>
      </c>
      <c r="AB573">
        <f>IF(AA573=C573,1,0)</f>
        <v/>
      </c>
    </row>
    <row r="574">
      <c r="A574">
        <f>'1 datos preparados'!A567</f>
        <v/>
      </c>
      <c r="B574" s="5">
        <f>'1 datos preparados'!U567</f>
        <v/>
      </c>
      <c r="C574">
        <f>'1 datos preparados'!B567</f>
        <v/>
      </c>
      <c r="D574" s="7">
        <f>'1 datos preparados'!C567</f>
        <v/>
      </c>
      <c r="E574" s="7">
        <f>'1 datos preparados'!D567</f>
        <v/>
      </c>
      <c r="F574" s="7">
        <f>'1 datos preparados'!E567</f>
        <v/>
      </c>
      <c r="G574" s="7">
        <f>'1 datos preparados'!F567</f>
        <v/>
      </c>
      <c r="H574" s="7">
        <f>'1 datos preparados'!G567</f>
        <v/>
      </c>
      <c r="I574" s="7">
        <f>'1 datos preparados'!H567</f>
        <v/>
      </c>
      <c r="J574" s="7">
        <f>'1 datos preparados'!I567</f>
        <v/>
      </c>
      <c r="K574" s="7">
        <f>'1 datos preparados'!J567</f>
        <v/>
      </c>
      <c r="L574" s="7">
        <f>'1 datos preparados'!K567</f>
        <v/>
      </c>
      <c r="M574" s="7">
        <f>'1 datos preparados'!L567</f>
        <v/>
      </c>
      <c r="N574" s="7">
        <f>'1 datos preparados'!M567</f>
        <v/>
      </c>
      <c r="O574" s="7">
        <f>'1 datos preparados'!N567</f>
        <v/>
      </c>
      <c r="P574" s="7">
        <f>'1 datos preparados'!O567</f>
        <v/>
      </c>
      <c r="Q574" s="7">
        <f>'1 datos preparados'!P567</f>
        <v/>
      </c>
      <c r="R574" s="7">
        <f>'1 datos preparados'!Q567</f>
        <v/>
      </c>
      <c r="S574" s="7">
        <f>'1 datos preparados'!R567</f>
        <v/>
      </c>
      <c r="T574" s="7">
        <f>'1 datos preparados'!S567</f>
        <v/>
      </c>
      <c r="U574" s="7">
        <f>'1 datos preparados'!T567</f>
        <v/>
      </c>
      <c r="V574" s="8">
        <f>$AE$12+D574*$AE$13+E574*$AE$14+F574*$AE$15+G574*$AE$16+H574*$AE$17+I574*$AE$18+J574*$AE$19+K574*$AE$20+L574*$AE$21+M574*$AE$22+N574*$AE$23+O574*$AE$24+P574*$AE$25+Q574*$AE$26+R574*$AE$27+S574*$AE$28+T574*$AE$29+U574*$AE$30</f>
        <v/>
      </c>
      <c r="W574" s="8">
        <f>1/(1+EXP(-V574))</f>
        <v/>
      </c>
      <c r="X574" s="9">
        <f>-IF(C574=1,LN(W574),LN(1-W574))</f>
        <v/>
      </c>
      <c r="Y574" s="8">
        <f>1</f>
        <v/>
      </c>
      <c r="Z574" s="9">
        <f>Y574*X574</f>
        <v/>
      </c>
      <c r="AA574" s="10">
        <f>IF(W574&gt;$AE$32,1,0)</f>
        <v/>
      </c>
      <c r="AB574">
        <f>IF(AA574=C574,1,0)</f>
        <v/>
      </c>
    </row>
    <row r="575">
      <c r="A575">
        <f>'1 datos preparados'!A568</f>
        <v/>
      </c>
      <c r="B575" s="5">
        <f>'1 datos preparados'!U568</f>
        <v/>
      </c>
      <c r="C575">
        <f>'1 datos preparados'!B568</f>
        <v/>
      </c>
      <c r="D575" s="7">
        <f>'1 datos preparados'!C568</f>
        <v/>
      </c>
      <c r="E575" s="7">
        <f>'1 datos preparados'!D568</f>
        <v/>
      </c>
      <c r="F575" s="7">
        <f>'1 datos preparados'!E568</f>
        <v/>
      </c>
      <c r="G575" s="7">
        <f>'1 datos preparados'!F568</f>
        <v/>
      </c>
      <c r="H575" s="7">
        <f>'1 datos preparados'!G568</f>
        <v/>
      </c>
      <c r="I575" s="7">
        <f>'1 datos preparados'!H568</f>
        <v/>
      </c>
      <c r="J575" s="7">
        <f>'1 datos preparados'!I568</f>
        <v/>
      </c>
      <c r="K575" s="7">
        <f>'1 datos preparados'!J568</f>
        <v/>
      </c>
      <c r="L575" s="7">
        <f>'1 datos preparados'!K568</f>
        <v/>
      </c>
      <c r="M575" s="7">
        <f>'1 datos preparados'!L568</f>
        <v/>
      </c>
      <c r="N575" s="7">
        <f>'1 datos preparados'!M568</f>
        <v/>
      </c>
      <c r="O575" s="7">
        <f>'1 datos preparados'!N568</f>
        <v/>
      </c>
      <c r="P575" s="7">
        <f>'1 datos preparados'!O568</f>
        <v/>
      </c>
      <c r="Q575" s="7">
        <f>'1 datos preparados'!P568</f>
        <v/>
      </c>
      <c r="R575" s="7">
        <f>'1 datos preparados'!Q568</f>
        <v/>
      </c>
      <c r="S575" s="7">
        <f>'1 datos preparados'!R568</f>
        <v/>
      </c>
      <c r="T575" s="7">
        <f>'1 datos preparados'!S568</f>
        <v/>
      </c>
      <c r="U575" s="7">
        <f>'1 datos preparados'!T568</f>
        <v/>
      </c>
      <c r="V575" s="8">
        <f>$AE$12+D575*$AE$13+E575*$AE$14+F575*$AE$15+G575*$AE$16+H575*$AE$17+I575*$AE$18+J575*$AE$19+K575*$AE$20+L575*$AE$21+M575*$AE$22+N575*$AE$23+O575*$AE$24+P575*$AE$25+Q575*$AE$26+R575*$AE$27+S575*$AE$28+T575*$AE$29+U575*$AE$30</f>
        <v/>
      </c>
      <c r="W575" s="8">
        <f>1/(1+EXP(-V575))</f>
        <v/>
      </c>
      <c r="X575" s="9">
        <f>-IF(C575=1,LN(W575),LN(1-W575))</f>
        <v/>
      </c>
      <c r="Y575" s="8">
        <f>1</f>
        <v/>
      </c>
      <c r="Z575" s="9">
        <f>Y575*X575</f>
        <v/>
      </c>
      <c r="AA575" s="10">
        <f>IF(W575&gt;$AE$32,1,0)</f>
        <v/>
      </c>
      <c r="AB575">
        <f>IF(AA575=C575,1,0)</f>
        <v/>
      </c>
    </row>
    <row r="576">
      <c r="A576">
        <f>'1 datos preparados'!A569</f>
        <v/>
      </c>
      <c r="B576" s="5">
        <f>'1 datos preparados'!U569</f>
        <v/>
      </c>
      <c r="C576">
        <f>'1 datos preparados'!B569</f>
        <v/>
      </c>
      <c r="D576" s="7">
        <f>'1 datos preparados'!C569</f>
        <v/>
      </c>
      <c r="E576" s="7">
        <f>'1 datos preparados'!D569</f>
        <v/>
      </c>
      <c r="F576" s="7">
        <f>'1 datos preparados'!E569</f>
        <v/>
      </c>
      <c r="G576" s="7">
        <f>'1 datos preparados'!F569</f>
        <v/>
      </c>
      <c r="H576" s="7">
        <f>'1 datos preparados'!G569</f>
        <v/>
      </c>
      <c r="I576" s="7">
        <f>'1 datos preparados'!H569</f>
        <v/>
      </c>
      <c r="J576" s="7">
        <f>'1 datos preparados'!I569</f>
        <v/>
      </c>
      <c r="K576" s="7">
        <f>'1 datos preparados'!J569</f>
        <v/>
      </c>
      <c r="L576" s="7">
        <f>'1 datos preparados'!K569</f>
        <v/>
      </c>
      <c r="M576" s="7">
        <f>'1 datos preparados'!L569</f>
        <v/>
      </c>
      <c r="N576" s="7">
        <f>'1 datos preparados'!M569</f>
        <v/>
      </c>
      <c r="O576" s="7">
        <f>'1 datos preparados'!N569</f>
        <v/>
      </c>
      <c r="P576" s="7">
        <f>'1 datos preparados'!O569</f>
        <v/>
      </c>
      <c r="Q576" s="7">
        <f>'1 datos preparados'!P569</f>
        <v/>
      </c>
      <c r="R576" s="7">
        <f>'1 datos preparados'!Q569</f>
        <v/>
      </c>
      <c r="S576" s="7">
        <f>'1 datos preparados'!R569</f>
        <v/>
      </c>
      <c r="T576" s="7">
        <f>'1 datos preparados'!S569</f>
        <v/>
      </c>
      <c r="U576" s="7">
        <f>'1 datos preparados'!T569</f>
        <v/>
      </c>
      <c r="V576" s="8">
        <f>$AE$12+D576*$AE$13+E576*$AE$14+F576*$AE$15+G576*$AE$16+H576*$AE$17+I576*$AE$18+J576*$AE$19+K576*$AE$20+L576*$AE$21+M576*$AE$22+N576*$AE$23+O576*$AE$24+P576*$AE$25+Q576*$AE$26+R576*$AE$27+S576*$AE$28+T576*$AE$29+U576*$AE$30</f>
        <v/>
      </c>
      <c r="W576" s="8">
        <f>1/(1+EXP(-V576))</f>
        <v/>
      </c>
      <c r="X576" s="9">
        <f>-IF(C576=1,LN(W576),LN(1-W576))</f>
        <v/>
      </c>
      <c r="Y576" s="8">
        <f>1</f>
        <v/>
      </c>
      <c r="Z576" s="9">
        <f>Y576*X576</f>
        <v/>
      </c>
      <c r="AA576" s="10">
        <f>IF(W576&gt;$AE$32,1,0)</f>
        <v/>
      </c>
      <c r="AB576">
        <f>IF(AA576=C576,1,0)</f>
        <v/>
      </c>
    </row>
    <row r="577">
      <c r="A577">
        <f>'1 datos preparados'!A570</f>
        <v/>
      </c>
      <c r="B577" s="5">
        <f>'1 datos preparados'!U570</f>
        <v/>
      </c>
      <c r="C577">
        <f>'1 datos preparados'!B570</f>
        <v/>
      </c>
      <c r="D577" s="7">
        <f>'1 datos preparados'!C570</f>
        <v/>
      </c>
      <c r="E577" s="7">
        <f>'1 datos preparados'!D570</f>
        <v/>
      </c>
      <c r="F577" s="7">
        <f>'1 datos preparados'!E570</f>
        <v/>
      </c>
      <c r="G577" s="7">
        <f>'1 datos preparados'!F570</f>
        <v/>
      </c>
      <c r="H577" s="7">
        <f>'1 datos preparados'!G570</f>
        <v/>
      </c>
      <c r="I577" s="7">
        <f>'1 datos preparados'!H570</f>
        <v/>
      </c>
      <c r="J577" s="7">
        <f>'1 datos preparados'!I570</f>
        <v/>
      </c>
      <c r="K577" s="7">
        <f>'1 datos preparados'!J570</f>
        <v/>
      </c>
      <c r="L577" s="7">
        <f>'1 datos preparados'!K570</f>
        <v/>
      </c>
      <c r="M577" s="7">
        <f>'1 datos preparados'!L570</f>
        <v/>
      </c>
      <c r="N577" s="7">
        <f>'1 datos preparados'!M570</f>
        <v/>
      </c>
      <c r="O577" s="7">
        <f>'1 datos preparados'!N570</f>
        <v/>
      </c>
      <c r="P577" s="7">
        <f>'1 datos preparados'!O570</f>
        <v/>
      </c>
      <c r="Q577" s="7">
        <f>'1 datos preparados'!P570</f>
        <v/>
      </c>
      <c r="R577" s="7">
        <f>'1 datos preparados'!Q570</f>
        <v/>
      </c>
      <c r="S577" s="7">
        <f>'1 datos preparados'!R570</f>
        <v/>
      </c>
      <c r="T577" s="7">
        <f>'1 datos preparados'!S570</f>
        <v/>
      </c>
      <c r="U577" s="7">
        <f>'1 datos preparados'!T570</f>
        <v/>
      </c>
      <c r="V577" s="8">
        <f>$AE$12+D577*$AE$13+E577*$AE$14+F577*$AE$15+G577*$AE$16+H577*$AE$17+I577*$AE$18+J577*$AE$19+K577*$AE$20+L577*$AE$21+M577*$AE$22+N577*$AE$23+O577*$AE$24+P577*$AE$25+Q577*$AE$26+R577*$AE$27+S577*$AE$28+T577*$AE$29+U577*$AE$30</f>
        <v/>
      </c>
      <c r="W577" s="8">
        <f>1/(1+EXP(-V577))</f>
        <v/>
      </c>
      <c r="X577" s="9">
        <f>-IF(C577=1,LN(W577),LN(1-W577))</f>
        <v/>
      </c>
      <c r="Y577" s="8">
        <f>1</f>
        <v/>
      </c>
      <c r="Z577" s="9">
        <f>Y577*X577</f>
        <v/>
      </c>
      <c r="AA577" s="10">
        <f>IF(W577&gt;$AE$32,1,0)</f>
        <v/>
      </c>
      <c r="AB577">
        <f>IF(AA577=C577,1,0)</f>
        <v/>
      </c>
    </row>
    <row r="578">
      <c r="A578">
        <f>'1 datos preparados'!A571</f>
        <v/>
      </c>
      <c r="B578" s="5">
        <f>'1 datos preparados'!U571</f>
        <v/>
      </c>
      <c r="C578">
        <f>'1 datos preparados'!B571</f>
        <v/>
      </c>
      <c r="D578" s="7">
        <f>'1 datos preparados'!C571</f>
        <v/>
      </c>
      <c r="E578" s="7">
        <f>'1 datos preparados'!D571</f>
        <v/>
      </c>
      <c r="F578" s="7">
        <f>'1 datos preparados'!E571</f>
        <v/>
      </c>
      <c r="G578" s="7">
        <f>'1 datos preparados'!F571</f>
        <v/>
      </c>
      <c r="H578" s="7">
        <f>'1 datos preparados'!G571</f>
        <v/>
      </c>
      <c r="I578" s="7">
        <f>'1 datos preparados'!H571</f>
        <v/>
      </c>
      <c r="J578" s="7">
        <f>'1 datos preparados'!I571</f>
        <v/>
      </c>
      <c r="K578" s="7">
        <f>'1 datos preparados'!J571</f>
        <v/>
      </c>
      <c r="L578" s="7">
        <f>'1 datos preparados'!K571</f>
        <v/>
      </c>
      <c r="M578" s="7">
        <f>'1 datos preparados'!L571</f>
        <v/>
      </c>
      <c r="N578" s="7">
        <f>'1 datos preparados'!M571</f>
        <v/>
      </c>
      <c r="O578" s="7">
        <f>'1 datos preparados'!N571</f>
        <v/>
      </c>
      <c r="P578" s="7">
        <f>'1 datos preparados'!O571</f>
        <v/>
      </c>
      <c r="Q578" s="7">
        <f>'1 datos preparados'!P571</f>
        <v/>
      </c>
      <c r="R578" s="7">
        <f>'1 datos preparados'!Q571</f>
        <v/>
      </c>
      <c r="S578" s="7">
        <f>'1 datos preparados'!R571</f>
        <v/>
      </c>
      <c r="T578" s="7">
        <f>'1 datos preparados'!S571</f>
        <v/>
      </c>
      <c r="U578" s="7">
        <f>'1 datos preparados'!T571</f>
        <v/>
      </c>
      <c r="V578" s="8">
        <f>$AE$12+D578*$AE$13+E578*$AE$14+F578*$AE$15+G578*$AE$16+H578*$AE$17+I578*$AE$18+J578*$AE$19+K578*$AE$20+L578*$AE$21+M578*$AE$22+N578*$AE$23+O578*$AE$24+P578*$AE$25+Q578*$AE$26+R578*$AE$27+S578*$AE$28+T578*$AE$29+U578*$AE$30</f>
        <v/>
      </c>
      <c r="W578" s="8">
        <f>1/(1+EXP(-V578))</f>
        <v/>
      </c>
      <c r="X578" s="9">
        <f>-IF(C578=1,LN(W578),LN(1-W578))</f>
        <v/>
      </c>
      <c r="Y578" s="8">
        <f>1</f>
        <v/>
      </c>
      <c r="Z578" s="9">
        <f>Y578*X578</f>
        <v/>
      </c>
      <c r="AA578" s="10">
        <f>IF(W578&gt;$AE$32,1,0)</f>
        <v/>
      </c>
      <c r="AB578">
        <f>IF(AA578=C578,1,0)</f>
        <v/>
      </c>
    </row>
    <row r="579">
      <c r="A579">
        <f>'1 datos preparados'!A572</f>
        <v/>
      </c>
      <c r="B579" s="5">
        <f>'1 datos preparados'!U572</f>
        <v/>
      </c>
      <c r="C579">
        <f>'1 datos preparados'!B572</f>
        <v/>
      </c>
      <c r="D579" s="7">
        <f>'1 datos preparados'!C572</f>
        <v/>
      </c>
      <c r="E579" s="7">
        <f>'1 datos preparados'!D572</f>
        <v/>
      </c>
      <c r="F579" s="7">
        <f>'1 datos preparados'!E572</f>
        <v/>
      </c>
      <c r="G579" s="7">
        <f>'1 datos preparados'!F572</f>
        <v/>
      </c>
      <c r="H579" s="7">
        <f>'1 datos preparados'!G572</f>
        <v/>
      </c>
      <c r="I579" s="7">
        <f>'1 datos preparados'!H572</f>
        <v/>
      </c>
      <c r="J579" s="7">
        <f>'1 datos preparados'!I572</f>
        <v/>
      </c>
      <c r="K579" s="7">
        <f>'1 datos preparados'!J572</f>
        <v/>
      </c>
      <c r="L579" s="7">
        <f>'1 datos preparados'!K572</f>
        <v/>
      </c>
      <c r="M579" s="7">
        <f>'1 datos preparados'!L572</f>
        <v/>
      </c>
      <c r="N579" s="7">
        <f>'1 datos preparados'!M572</f>
        <v/>
      </c>
      <c r="O579" s="7">
        <f>'1 datos preparados'!N572</f>
        <v/>
      </c>
      <c r="P579" s="7">
        <f>'1 datos preparados'!O572</f>
        <v/>
      </c>
      <c r="Q579" s="7">
        <f>'1 datos preparados'!P572</f>
        <v/>
      </c>
      <c r="R579" s="7">
        <f>'1 datos preparados'!Q572</f>
        <v/>
      </c>
      <c r="S579" s="7">
        <f>'1 datos preparados'!R572</f>
        <v/>
      </c>
      <c r="T579" s="7">
        <f>'1 datos preparados'!S572</f>
        <v/>
      </c>
      <c r="U579" s="7">
        <f>'1 datos preparados'!T572</f>
        <v/>
      </c>
      <c r="V579" s="8">
        <f>$AE$12+D579*$AE$13+E579*$AE$14+F579*$AE$15+G579*$AE$16+H579*$AE$17+I579*$AE$18+J579*$AE$19+K579*$AE$20+L579*$AE$21+M579*$AE$22+N579*$AE$23+O579*$AE$24+P579*$AE$25+Q579*$AE$26+R579*$AE$27+S579*$AE$28+T579*$AE$29+U579*$AE$30</f>
        <v/>
      </c>
      <c r="W579" s="8">
        <f>1/(1+EXP(-V579))</f>
        <v/>
      </c>
      <c r="X579" s="9">
        <f>-IF(C579=1,LN(W579),LN(1-W579))</f>
        <v/>
      </c>
      <c r="Y579" s="8">
        <f>1</f>
        <v/>
      </c>
      <c r="Z579" s="9">
        <f>Y579*X579</f>
        <v/>
      </c>
      <c r="AA579" s="10">
        <f>IF(W579&gt;$AE$32,1,0)</f>
        <v/>
      </c>
      <c r="AB579">
        <f>IF(AA579=C579,1,0)</f>
        <v/>
      </c>
    </row>
    <row r="580">
      <c r="A580">
        <f>'1 datos preparados'!A573</f>
        <v/>
      </c>
      <c r="B580" s="5">
        <f>'1 datos preparados'!U573</f>
        <v/>
      </c>
      <c r="C580">
        <f>'1 datos preparados'!B573</f>
        <v/>
      </c>
      <c r="D580" s="7">
        <f>'1 datos preparados'!C573</f>
        <v/>
      </c>
      <c r="E580" s="7">
        <f>'1 datos preparados'!D573</f>
        <v/>
      </c>
      <c r="F580" s="7">
        <f>'1 datos preparados'!E573</f>
        <v/>
      </c>
      <c r="G580" s="7">
        <f>'1 datos preparados'!F573</f>
        <v/>
      </c>
      <c r="H580" s="7">
        <f>'1 datos preparados'!G573</f>
        <v/>
      </c>
      <c r="I580" s="7">
        <f>'1 datos preparados'!H573</f>
        <v/>
      </c>
      <c r="J580" s="7">
        <f>'1 datos preparados'!I573</f>
        <v/>
      </c>
      <c r="K580" s="7">
        <f>'1 datos preparados'!J573</f>
        <v/>
      </c>
      <c r="L580" s="7">
        <f>'1 datos preparados'!K573</f>
        <v/>
      </c>
      <c r="M580" s="7">
        <f>'1 datos preparados'!L573</f>
        <v/>
      </c>
      <c r="N580" s="7">
        <f>'1 datos preparados'!M573</f>
        <v/>
      </c>
      <c r="O580" s="7">
        <f>'1 datos preparados'!N573</f>
        <v/>
      </c>
      <c r="P580" s="7">
        <f>'1 datos preparados'!O573</f>
        <v/>
      </c>
      <c r="Q580" s="7">
        <f>'1 datos preparados'!P573</f>
        <v/>
      </c>
      <c r="R580" s="7">
        <f>'1 datos preparados'!Q573</f>
        <v/>
      </c>
      <c r="S580" s="7">
        <f>'1 datos preparados'!R573</f>
        <v/>
      </c>
      <c r="T580" s="7">
        <f>'1 datos preparados'!S573</f>
        <v/>
      </c>
      <c r="U580" s="7">
        <f>'1 datos preparados'!T573</f>
        <v/>
      </c>
      <c r="V580" s="8">
        <f>$AE$12+D580*$AE$13+E580*$AE$14+F580*$AE$15+G580*$AE$16+H580*$AE$17+I580*$AE$18+J580*$AE$19+K580*$AE$20+L580*$AE$21+M580*$AE$22+N580*$AE$23+O580*$AE$24+P580*$AE$25+Q580*$AE$26+R580*$AE$27+S580*$AE$28+T580*$AE$29+U580*$AE$30</f>
        <v/>
      </c>
      <c r="W580" s="8">
        <f>1/(1+EXP(-V580))</f>
        <v/>
      </c>
      <c r="X580" s="9">
        <f>-IF(C580=1,LN(W580),LN(1-W580))</f>
        <v/>
      </c>
      <c r="Y580" s="8">
        <f>1</f>
        <v/>
      </c>
      <c r="Z580" s="9">
        <f>Y580*X580</f>
        <v/>
      </c>
      <c r="AA580" s="10">
        <f>IF(W580&gt;$AE$32,1,0)</f>
        <v/>
      </c>
      <c r="AB580">
        <f>IF(AA580=C580,1,0)</f>
        <v/>
      </c>
    </row>
    <row r="581">
      <c r="A581">
        <f>'1 datos preparados'!A574</f>
        <v/>
      </c>
      <c r="B581" s="5">
        <f>'1 datos preparados'!U574</f>
        <v/>
      </c>
      <c r="C581">
        <f>'1 datos preparados'!B574</f>
        <v/>
      </c>
      <c r="D581" s="7">
        <f>'1 datos preparados'!C574</f>
        <v/>
      </c>
      <c r="E581" s="7">
        <f>'1 datos preparados'!D574</f>
        <v/>
      </c>
      <c r="F581" s="7">
        <f>'1 datos preparados'!E574</f>
        <v/>
      </c>
      <c r="G581" s="7">
        <f>'1 datos preparados'!F574</f>
        <v/>
      </c>
      <c r="H581" s="7">
        <f>'1 datos preparados'!G574</f>
        <v/>
      </c>
      <c r="I581" s="7">
        <f>'1 datos preparados'!H574</f>
        <v/>
      </c>
      <c r="J581" s="7">
        <f>'1 datos preparados'!I574</f>
        <v/>
      </c>
      <c r="K581" s="7">
        <f>'1 datos preparados'!J574</f>
        <v/>
      </c>
      <c r="L581" s="7">
        <f>'1 datos preparados'!K574</f>
        <v/>
      </c>
      <c r="M581" s="7">
        <f>'1 datos preparados'!L574</f>
        <v/>
      </c>
      <c r="N581" s="7">
        <f>'1 datos preparados'!M574</f>
        <v/>
      </c>
      <c r="O581" s="7">
        <f>'1 datos preparados'!N574</f>
        <v/>
      </c>
      <c r="P581" s="7">
        <f>'1 datos preparados'!O574</f>
        <v/>
      </c>
      <c r="Q581" s="7">
        <f>'1 datos preparados'!P574</f>
        <v/>
      </c>
      <c r="R581" s="7">
        <f>'1 datos preparados'!Q574</f>
        <v/>
      </c>
      <c r="S581" s="7">
        <f>'1 datos preparados'!R574</f>
        <v/>
      </c>
      <c r="T581" s="7">
        <f>'1 datos preparados'!S574</f>
        <v/>
      </c>
      <c r="U581" s="7">
        <f>'1 datos preparados'!T574</f>
        <v/>
      </c>
      <c r="V581" s="8">
        <f>$AE$12+D581*$AE$13+E581*$AE$14+F581*$AE$15+G581*$AE$16+H581*$AE$17+I581*$AE$18+J581*$AE$19+K581*$AE$20+L581*$AE$21+M581*$AE$22+N581*$AE$23+O581*$AE$24+P581*$AE$25+Q581*$AE$26+R581*$AE$27+S581*$AE$28+T581*$AE$29+U581*$AE$30</f>
        <v/>
      </c>
      <c r="W581" s="8">
        <f>1/(1+EXP(-V581))</f>
        <v/>
      </c>
      <c r="X581" s="9">
        <f>-IF(C581=1,LN(W581),LN(1-W581))</f>
        <v/>
      </c>
      <c r="Y581" s="8">
        <f>1</f>
        <v/>
      </c>
      <c r="Z581" s="9">
        <f>Y581*X581</f>
        <v/>
      </c>
      <c r="AA581" s="10">
        <f>IF(W581&gt;$AE$32,1,0)</f>
        <v/>
      </c>
      <c r="AB581">
        <f>IF(AA581=C581,1,0)</f>
        <v/>
      </c>
    </row>
    <row r="582">
      <c r="A582">
        <f>'1 datos preparados'!A575</f>
        <v/>
      </c>
      <c r="B582" s="5">
        <f>'1 datos preparados'!U575</f>
        <v/>
      </c>
      <c r="C582">
        <f>'1 datos preparados'!B575</f>
        <v/>
      </c>
      <c r="D582" s="7">
        <f>'1 datos preparados'!C575</f>
        <v/>
      </c>
      <c r="E582" s="7">
        <f>'1 datos preparados'!D575</f>
        <v/>
      </c>
      <c r="F582" s="7">
        <f>'1 datos preparados'!E575</f>
        <v/>
      </c>
      <c r="G582" s="7">
        <f>'1 datos preparados'!F575</f>
        <v/>
      </c>
      <c r="H582" s="7">
        <f>'1 datos preparados'!G575</f>
        <v/>
      </c>
      <c r="I582" s="7">
        <f>'1 datos preparados'!H575</f>
        <v/>
      </c>
      <c r="J582" s="7">
        <f>'1 datos preparados'!I575</f>
        <v/>
      </c>
      <c r="K582" s="7">
        <f>'1 datos preparados'!J575</f>
        <v/>
      </c>
      <c r="L582" s="7">
        <f>'1 datos preparados'!K575</f>
        <v/>
      </c>
      <c r="M582" s="7">
        <f>'1 datos preparados'!L575</f>
        <v/>
      </c>
      <c r="N582" s="7">
        <f>'1 datos preparados'!M575</f>
        <v/>
      </c>
      <c r="O582" s="7">
        <f>'1 datos preparados'!N575</f>
        <v/>
      </c>
      <c r="P582" s="7">
        <f>'1 datos preparados'!O575</f>
        <v/>
      </c>
      <c r="Q582" s="7">
        <f>'1 datos preparados'!P575</f>
        <v/>
      </c>
      <c r="R582" s="7">
        <f>'1 datos preparados'!Q575</f>
        <v/>
      </c>
      <c r="S582" s="7">
        <f>'1 datos preparados'!R575</f>
        <v/>
      </c>
      <c r="T582" s="7">
        <f>'1 datos preparados'!S575</f>
        <v/>
      </c>
      <c r="U582" s="7">
        <f>'1 datos preparados'!T575</f>
        <v/>
      </c>
      <c r="V582" s="8">
        <f>$AE$12+D582*$AE$13+E582*$AE$14+F582*$AE$15+G582*$AE$16+H582*$AE$17+I582*$AE$18+J582*$AE$19+K582*$AE$20+L582*$AE$21+M582*$AE$22+N582*$AE$23+O582*$AE$24+P582*$AE$25+Q582*$AE$26+R582*$AE$27+S582*$AE$28+T582*$AE$29+U582*$AE$30</f>
        <v/>
      </c>
      <c r="W582" s="8">
        <f>1/(1+EXP(-V582))</f>
        <v/>
      </c>
      <c r="X582" s="9">
        <f>-IF(C582=1,LN(W582),LN(1-W582))</f>
        <v/>
      </c>
      <c r="Y582" s="8">
        <f>1</f>
        <v/>
      </c>
      <c r="Z582" s="9">
        <f>Y582*X582</f>
        <v/>
      </c>
      <c r="AA582" s="10">
        <f>IF(W582&gt;$AE$32,1,0)</f>
        <v/>
      </c>
      <c r="AB582">
        <f>IF(AA582=C582,1,0)</f>
        <v/>
      </c>
    </row>
    <row r="583">
      <c r="A583">
        <f>'1 datos preparados'!A576</f>
        <v/>
      </c>
      <c r="B583" s="5">
        <f>'1 datos preparados'!U576</f>
        <v/>
      </c>
      <c r="C583">
        <f>'1 datos preparados'!B576</f>
        <v/>
      </c>
      <c r="D583" s="7">
        <f>'1 datos preparados'!C576</f>
        <v/>
      </c>
      <c r="E583" s="7">
        <f>'1 datos preparados'!D576</f>
        <v/>
      </c>
      <c r="F583" s="7">
        <f>'1 datos preparados'!E576</f>
        <v/>
      </c>
      <c r="G583" s="7">
        <f>'1 datos preparados'!F576</f>
        <v/>
      </c>
      <c r="H583" s="7">
        <f>'1 datos preparados'!G576</f>
        <v/>
      </c>
      <c r="I583" s="7">
        <f>'1 datos preparados'!H576</f>
        <v/>
      </c>
      <c r="J583" s="7">
        <f>'1 datos preparados'!I576</f>
        <v/>
      </c>
      <c r="K583" s="7">
        <f>'1 datos preparados'!J576</f>
        <v/>
      </c>
      <c r="L583" s="7">
        <f>'1 datos preparados'!K576</f>
        <v/>
      </c>
      <c r="M583" s="7">
        <f>'1 datos preparados'!L576</f>
        <v/>
      </c>
      <c r="N583" s="7">
        <f>'1 datos preparados'!M576</f>
        <v/>
      </c>
      <c r="O583" s="7">
        <f>'1 datos preparados'!N576</f>
        <v/>
      </c>
      <c r="P583" s="7">
        <f>'1 datos preparados'!O576</f>
        <v/>
      </c>
      <c r="Q583" s="7">
        <f>'1 datos preparados'!P576</f>
        <v/>
      </c>
      <c r="R583" s="7">
        <f>'1 datos preparados'!Q576</f>
        <v/>
      </c>
      <c r="S583" s="7">
        <f>'1 datos preparados'!R576</f>
        <v/>
      </c>
      <c r="T583" s="7">
        <f>'1 datos preparados'!S576</f>
        <v/>
      </c>
      <c r="U583" s="7">
        <f>'1 datos preparados'!T576</f>
        <v/>
      </c>
      <c r="V583" s="8">
        <f>$AE$12+D583*$AE$13+E583*$AE$14+F583*$AE$15+G583*$AE$16+H583*$AE$17+I583*$AE$18+J583*$AE$19+K583*$AE$20+L583*$AE$21+M583*$AE$22+N583*$AE$23+O583*$AE$24+P583*$AE$25+Q583*$AE$26+R583*$AE$27+S583*$AE$28+T583*$AE$29+U583*$AE$30</f>
        <v/>
      </c>
      <c r="W583" s="8">
        <f>1/(1+EXP(-V583))</f>
        <v/>
      </c>
      <c r="X583" s="9">
        <f>-IF(C583=1,LN(W583),LN(1-W583))</f>
        <v/>
      </c>
      <c r="Y583" s="8">
        <f>1</f>
        <v/>
      </c>
      <c r="Z583" s="9">
        <f>Y583*X583</f>
        <v/>
      </c>
      <c r="AA583" s="10">
        <f>IF(W583&gt;$AE$32,1,0)</f>
        <v/>
      </c>
      <c r="AB583">
        <f>IF(AA583=C583,1,0)</f>
        <v/>
      </c>
    </row>
    <row r="584">
      <c r="A584">
        <f>'1 datos preparados'!A577</f>
        <v/>
      </c>
      <c r="B584" s="5">
        <f>'1 datos preparados'!U577</f>
        <v/>
      </c>
      <c r="C584">
        <f>'1 datos preparados'!B577</f>
        <v/>
      </c>
      <c r="D584" s="7">
        <f>'1 datos preparados'!C577</f>
        <v/>
      </c>
      <c r="E584" s="7">
        <f>'1 datos preparados'!D577</f>
        <v/>
      </c>
      <c r="F584" s="7">
        <f>'1 datos preparados'!E577</f>
        <v/>
      </c>
      <c r="G584" s="7">
        <f>'1 datos preparados'!F577</f>
        <v/>
      </c>
      <c r="H584" s="7">
        <f>'1 datos preparados'!G577</f>
        <v/>
      </c>
      <c r="I584" s="7">
        <f>'1 datos preparados'!H577</f>
        <v/>
      </c>
      <c r="J584" s="7">
        <f>'1 datos preparados'!I577</f>
        <v/>
      </c>
      <c r="K584" s="7">
        <f>'1 datos preparados'!J577</f>
        <v/>
      </c>
      <c r="L584" s="7">
        <f>'1 datos preparados'!K577</f>
        <v/>
      </c>
      <c r="M584" s="7">
        <f>'1 datos preparados'!L577</f>
        <v/>
      </c>
      <c r="N584" s="7">
        <f>'1 datos preparados'!M577</f>
        <v/>
      </c>
      <c r="O584" s="7">
        <f>'1 datos preparados'!N577</f>
        <v/>
      </c>
      <c r="P584" s="7">
        <f>'1 datos preparados'!O577</f>
        <v/>
      </c>
      <c r="Q584" s="7">
        <f>'1 datos preparados'!P577</f>
        <v/>
      </c>
      <c r="R584" s="7">
        <f>'1 datos preparados'!Q577</f>
        <v/>
      </c>
      <c r="S584" s="7">
        <f>'1 datos preparados'!R577</f>
        <v/>
      </c>
      <c r="T584" s="7">
        <f>'1 datos preparados'!S577</f>
        <v/>
      </c>
      <c r="U584" s="7">
        <f>'1 datos preparados'!T577</f>
        <v/>
      </c>
      <c r="V584" s="8">
        <f>$AE$12+D584*$AE$13+E584*$AE$14+F584*$AE$15+G584*$AE$16+H584*$AE$17+I584*$AE$18+J584*$AE$19+K584*$AE$20+L584*$AE$21+M584*$AE$22+N584*$AE$23+O584*$AE$24+P584*$AE$25+Q584*$AE$26+R584*$AE$27+S584*$AE$28+T584*$AE$29+U584*$AE$30</f>
        <v/>
      </c>
      <c r="W584" s="8">
        <f>1/(1+EXP(-V584))</f>
        <v/>
      </c>
      <c r="X584" s="9">
        <f>-IF(C584=1,LN(W584),LN(1-W584))</f>
        <v/>
      </c>
      <c r="Y584" s="8">
        <f>1</f>
        <v/>
      </c>
      <c r="Z584" s="9">
        <f>Y584*X584</f>
        <v/>
      </c>
      <c r="AA584" s="10">
        <f>IF(W584&gt;$AE$32,1,0)</f>
        <v/>
      </c>
      <c r="AB584">
        <f>IF(AA584=C584,1,0)</f>
        <v/>
      </c>
    </row>
    <row r="585">
      <c r="A585">
        <f>'1 datos preparados'!A578</f>
        <v/>
      </c>
      <c r="B585" s="5">
        <f>'1 datos preparados'!U578</f>
        <v/>
      </c>
      <c r="C585">
        <f>'1 datos preparados'!B578</f>
        <v/>
      </c>
      <c r="D585" s="7">
        <f>'1 datos preparados'!C578</f>
        <v/>
      </c>
      <c r="E585" s="7">
        <f>'1 datos preparados'!D578</f>
        <v/>
      </c>
      <c r="F585" s="7">
        <f>'1 datos preparados'!E578</f>
        <v/>
      </c>
      <c r="G585" s="7">
        <f>'1 datos preparados'!F578</f>
        <v/>
      </c>
      <c r="H585" s="7">
        <f>'1 datos preparados'!G578</f>
        <v/>
      </c>
      <c r="I585" s="7">
        <f>'1 datos preparados'!H578</f>
        <v/>
      </c>
      <c r="J585" s="7">
        <f>'1 datos preparados'!I578</f>
        <v/>
      </c>
      <c r="K585" s="7">
        <f>'1 datos preparados'!J578</f>
        <v/>
      </c>
      <c r="L585" s="7">
        <f>'1 datos preparados'!K578</f>
        <v/>
      </c>
      <c r="M585" s="7">
        <f>'1 datos preparados'!L578</f>
        <v/>
      </c>
      <c r="N585" s="7">
        <f>'1 datos preparados'!M578</f>
        <v/>
      </c>
      <c r="O585" s="7">
        <f>'1 datos preparados'!N578</f>
        <v/>
      </c>
      <c r="P585" s="7">
        <f>'1 datos preparados'!O578</f>
        <v/>
      </c>
      <c r="Q585" s="7">
        <f>'1 datos preparados'!P578</f>
        <v/>
      </c>
      <c r="R585" s="7">
        <f>'1 datos preparados'!Q578</f>
        <v/>
      </c>
      <c r="S585" s="7">
        <f>'1 datos preparados'!R578</f>
        <v/>
      </c>
      <c r="T585" s="7">
        <f>'1 datos preparados'!S578</f>
        <v/>
      </c>
      <c r="U585" s="7">
        <f>'1 datos preparados'!T578</f>
        <v/>
      </c>
      <c r="V585" s="8">
        <f>$AE$12+D585*$AE$13+E585*$AE$14+F585*$AE$15+G585*$AE$16+H585*$AE$17+I585*$AE$18+J585*$AE$19+K585*$AE$20+L585*$AE$21+M585*$AE$22+N585*$AE$23+O585*$AE$24+P585*$AE$25+Q585*$AE$26+R585*$AE$27+S585*$AE$28+T585*$AE$29+U585*$AE$30</f>
        <v/>
      </c>
      <c r="W585" s="8">
        <f>1/(1+EXP(-V585))</f>
        <v/>
      </c>
      <c r="X585" s="9">
        <f>-IF(C585=1,LN(W585),LN(1-W585))</f>
        <v/>
      </c>
      <c r="Y585" s="8">
        <f>1</f>
        <v/>
      </c>
      <c r="Z585" s="9">
        <f>Y585*X585</f>
        <v/>
      </c>
      <c r="AA585" s="10">
        <f>IF(W585&gt;$AE$32,1,0)</f>
        <v/>
      </c>
      <c r="AB585">
        <f>IF(AA585=C585,1,0)</f>
        <v/>
      </c>
    </row>
    <row r="586">
      <c r="A586">
        <f>'1 datos preparados'!A579</f>
        <v/>
      </c>
      <c r="B586" s="5">
        <f>'1 datos preparados'!U579</f>
        <v/>
      </c>
      <c r="C586">
        <f>'1 datos preparados'!B579</f>
        <v/>
      </c>
      <c r="D586" s="7">
        <f>'1 datos preparados'!C579</f>
        <v/>
      </c>
      <c r="E586" s="7">
        <f>'1 datos preparados'!D579</f>
        <v/>
      </c>
      <c r="F586" s="7">
        <f>'1 datos preparados'!E579</f>
        <v/>
      </c>
      <c r="G586" s="7">
        <f>'1 datos preparados'!F579</f>
        <v/>
      </c>
      <c r="H586" s="7">
        <f>'1 datos preparados'!G579</f>
        <v/>
      </c>
      <c r="I586" s="7">
        <f>'1 datos preparados'!H579</f>
        <v/>
      </c>
      <c r="J586" s="7">
        <f>'1 datos preparados'!I579</f>
        <v/>
      </c>
      <c r="K586" s="7">
        <f>'1 datos preparados'!J579</f>
        <v/>
      </c>
      <c r="L586" s="7">
        <f>'1 datos preparados'!K579</f>
        <v/>
      </c>
      <c r="M586" s="7">
        <f>'1 datos preparados'!L579</f>
        <v/>
      </c>
      <c r="N586" s="7">
        <f>'1 datos preparados'!M579</f>
        <v/>
      </c>
      <c r="O586" s="7">
        <f>'1 datos preparados'!N579</f>
        <v/>
      </c>
      <c r="P586" s="7">
        <f>'1 datos preparados'!O579</f>
        <v/>
      </c>
      <c r="Q586" s="7">
        <f>'1 datos preparados'!P579</f>
        <v/>
      </c>
      <c r="R586" s="7">
        <f>'1 datos preparados'!Q579</f>
        <v/>
      </c>
      <c r="S586" s="7">
        <f>'1 datos preparados'!R579</f>
        <v/>
      </c>
      <c r="T586" s="7">
        <f>'1 datos preparados'!S579</f>
        <v/>
      </c>
      <c r="U586" s="7">
        <f>'1 datos preparados'!T579</f>
        <v/>
      </c>
      <c r="V586" s="8">
        <f>$AE$12+D586*$AE$13+E586*$AE$14+F586*$AE$15+G586*$AE$16+H586*$AE$17+I586*$AE$18+J586*$AE$19+K586*$AE$20+L586*$AE$21+M586*$AE$22+N586*$AE$23+O586*$AE$24+P586*$AE$25+Q586*$AE$26+R586*$AE$27+S586*$AE$28+T586*$AE$29+U586*$AE$30</f>
        <v/>
      </c>
      <c r="W586" s="8">
        <f>1/(1+EXP(-V586))</f>
        <v/>
      </c>
      <c r="X586" s="9">
        <f>-IF(C586=1,LN(W586),LN(1-W586))</f>
        <v/>
      </c>
      <c r="Y586" s="8">
        <f>1</f>
        <v/>
      </c>
      <c r="Z586" s="9">
        <f>Y586*X586</f>
        <v/>
      </c>
      <c r="AA586" s="10">
        <f>IF(W586&gt;$AE$32,1,0)</f>
        <v/>
      </c>
      <c r="AB586">
        <f>IF(AA586=C586,1,0)</f>
        <v/>
      </c>
    </row>
    <row r="587">
      <c r="A587">
        <f>'1 datos preparados'!A580</f>
        <v/>
      </c>
      <c r="B587" s="5">
        <f>'1 datos preparados'!U580</f>
        <v/>
      </c>
      <c r="C587">
        <f>'1 datos preparados'!B580</f>
        <v/>
      </c>
      <c r="D587" s="7">
        <f>'1 datos preparados'!C580</f>
        <v/>
      </c>
      <c r="E587" s="7">
        <f>'1 datos preparados'!D580</f>
        <v/>
      </c>
      <c r="F587" s="7">
        <f>'1 datos preparados'!E580</f>
        <v/>
      </c>
      <c r="G587" s="7">
        <f>'1 datos preparados'!F580</f>
        <v/>
      </c>
      <c r="H587" s="7">
        <f>'1 datos preparados'!G580</f>
        <v/>
      </c>
      <c r="I587" s="7">
        <f>'1 datos preparados'!H580</f>
        <v/>
      </c>
      <c r="J587" s="7">
        <f>'1 datos preparados'!I580</f>
        <v/>
      </c>
      <c r="K587" s="7">
        <f>'1 datos preparados'!J580</f>
        <v/>
      </c>
      <c r="L587" s="7">
        <f>'1 datos preparados'!K580</f>
        <v/>
      </c>
      <c r="M587" s="7">
        <f>'1 datos preparados'!L580</f>
        <v/>
      </c>
      <c r="N587" s="7">
        <f>'1 datos preparados'!M580</f>
        <v/>
      </c>
      <c r="O587" s="7">
        <f>'1 datos preparados'!N580</f>
        <v/>
      </c>
      <c r="P587" s="7">
        <f>'1 datos preparados'!O580</f>
        <v/>
      </c>
      <c r="Q587" s="7">
        <f>'1 datos preparados'!P580</f>
        <v/>
      </c>
      <c r="R587" s="7">
        <f>'1 datos preparados'!Q580</f>
        <v/>
      </c>
      <c r="S587" s="7">
        <f>'1 datos preparados'!R580</f>
        <v/>
      </c>
      <c r="T587" s="7">
        <f>'1 datos preparados'!S580</f>
        <v/>
      </c>
      <c r="U587" s="7">
        <f>'1 datos preparados'!T580</f>
        <v/>
      </c>
      <c r="V587" s="8">
        <f>$AE$12+D587*$AE$13+E587*$AE$14+F587*$AE$15+G587*$AE$16+H587*$AE$17+I587*$AE$18+J587*$AE$19+K587*$AE$20+L587*$AE$21+M587*$AE$22+N587*$AE$23+O587*$AE$24+P587*$AE$25+Q587*$AE$26+R587*$AE$27+S587*$AE$28+T587*$AE$29+U587*$AE$30</f>
        <v/>
      </c>
      <c r="W587" s="8">
        <f>1/(1+EXP(-V587))</f>
        <v/>
      </c>
      <c r="X587" s="9">
        <f>-IF(C587=1,LN(W587),LN(1-W587))</f>
        <v/>
      </c>
      <c r="Y587" s="8">
        <f>1</f>
        <v/>
      </c>
      <c r="Z587" s="9">
        <f>Y587*X587</f>
        <v/>
      </c>
      <c r="AA587" s="10">
        <f>IF(W587&gt;$AE$32,1,0)</f>
        <v/>
      </c>
      <c r="AB587">
        <f>IF(AA587=C587,1,0)</f>
        <v/>
      </c>
    </row>
    <row r="588">
      <c r="A588">
        <f>'1 datos preparados'!A581</f>
        <v/>
      </c>
      <c r="B588" s="5">
        <f>'1 datos preparados'!U581</f>
        <v/>
      </c>
      <c r="C588">
        <f>'1 datos preparados'!B581</f>
        <v/>
      </c>
      <c r="D588" s="7">
        <f>'1 datos preparados'!C581</f>
        <v/>
      </c>
      <c r="E588" s="7">
        <f>'1 datos preparados'!D581</f>
        <v/>
      </c>
      <c r="F588" s="7">
        <f>'1 datos preparados'!E581</f>
        <v/>
      </c>
      <c r="G588" s="7">
        <f>'1 datos preparados'!F581</f>
        <v/>
      </c>
      <c r="H588" s="7">
        <f>'1 datos preparados'!G581</f>
        <v/>
      </c>
      <c r="I588" s="7">
        <f>'1 datos preparados'!H581</f>
        <v/>
      </c>
      <c r="J588" s="7">
        <f>'1 datos preparados'!I581</f>
        <v/>
      </c>
      <c r="K588" s="7">
        <f>'1 datos preparados'!J581</f>
        <v/>
      </c>
      <c r="L588" s="7">
        <f>'1 datos preparados'!K581</f>
        <v/>
      </c>
      <c r="M588" s="7">
        <f>'1 datos preparados'!L581</f>
        <v/>
      </c>
      <c r="N588" s="7">
        <f>'1 datos preparados'!M581</f>
        <v/>
      </c>
      <c r="O588" s="7">
        <f>'1 datos preparados'!N581</f>
        <v/>
      </c>
      <c r="P588" s="7">
        <f>'1 datos preparados'!O581</f>
        <v/>
      </c>
      <c r="Q588" s="7">
        <f>'1 datos preparados'!P581</f>
        <v/>
      </c>
      <c r="R588" s="7">
        <f>'1 datos preparados'!Q581</f>
        <v/>
      </c>
      <c r="S588" s="7">
        <f>'1 datos preparados'!R581</f>
        <v/>
      </c>
      <c r="T588" s="7">
        <f>'1 datos preparados'!S581</f>
        <v/>
      </c>
      <c r="U588" s="7">
        <f>'1 datos preparados'!T581</f>
        <v/>
      </c>
      <c r="V588" s="8">
        <f>$AE$12+D588*$AE$13+E588*$AE$14+F588*$AE$15+G588*$AE$16+H588*$AE$17+I588*$AE$18+J588*$AE$19+K588*$AE$20+L588*$AE$21+M588*$AE$22+N588*$AE$23+O588*$AE$24+P588*$AE$25+Q588*$AE$26+R588*$AE$27+S588*$AE$28+T588*$AE$29+U588*$AE$30</f>
        <v/>
      </c>
      <c r="W588" s="8">
        <f>1/(1+EXP(-V588))</f>
        <v/>
      </c>
      <c r="X588" s="9">
        <f>-IF(C588=1,LN(W588),LN(1-W588))</f>
        <v/>
      </c>
      <c r="Y588" s="8">
        <f>1</f>
        <v/>
      </c>
      <c r="Z588" s="9">
        <f>Y588*X588</f>
        <v/>
      </c>
      <c r="AA588" s="10">
        <f>IF(W588&gt;$AE$32,1,0)</f>
        <v/>
      </c>
      <c r="AB588">
        <f>IF(AA588=C588,1,0)</f>
        <v/>
      </c>
    </row>
    <row r="589">
      <c r="A589">
        <f>'1 datos preparados'!A582</f>
        <v/>
      </c>
      <c r="B589" s="5">
        <f>'1 datos preparados'!U582</f>
        <v/>
      </c>
      <c r="C589">
        <f>'1 datos preparados'!B582</f>
        <v/>
      </c>
      <c r="D589" s="7">
        <f>'1 datos preparados'!C582</f>
        <v/>
      </c>
      <c r="E589" s="7">
        <f>'1 datos preparados'!D582</f>
        <v/>
      </c>
      <c r="F589" s="7">
        <f>'1 datos preparados'!E582</f>
        <v/>
      </c>
      <c r="G589" s="7">
        <f>'1 datos preparados'!F582</f>
        <v/>
      </c>
      <c r="H589" s="7">
        <f>'1 datos preparados'!G582</f>
        <v/>
      </c>
      <c r="I589" s="7">
        <f>'1 datos preparados'!H582</f>
        <v/>
      </c>
      <c r="J589" s="7">
        <f>'1 datos preparados'!I582</f>
        <v/>
      </c>
      <c r="K589" s="7">
        <f>'1 datos preparados'!J582</f>
        <v/>
      </c>
      <c r="L589" s="7">
        <f>'1 datos preparados'!K582</f>
        <v/>
      </c>
      <c r="M589" s="7">
        <f>'1 datos preparados'!L582</f>
        <v/>
      </c>
      <c r="N589" s="7">
        <f>'1 datos preparados'!M582</f>
        <v/>
      </c>
      <c r="O589" s="7">
        <f>'1 datos preparados'!N582</f>
        <v/>
      </c>
      <c r="P589" s="7">
        <f>'1 datos preparados'!O582</f>
        <v/>
      </c>
      <c r="Q589" s="7">
        <f>'1 datos preparados'!P582</f>
        <v/>
      </c>
      <c r="R589" s="7">
        <f>'1 datos preparados'!Q582</f>
        <v/>
      </c>
      <c r="S589" s="7">
        <f>'1 datos preparados'!R582</f>
        <v/>
      </c>
      <c r="T589" s="7">
        <f>'1 datos preparados'!S582</f>
        <v/>
      </c>
      <c r="U589" s="7">
        <f>'1 datos preparados'!T582</f>
        <v/>
      </c>
      <c r="V589" s="8">
        <f>$AE$12+D589*$AE$13+E589*$AE$14+F589*$AE$15+G589*$AE$16+H589*$AE$17+I589*$AE$18+J589*$AE$19+K589*$AE$20+L589*$AE$21+M589*$AE$22+N589*$AE$23+O589*$AE$24+P589*$AE$25+Q589*$AE$26+R589*$AE$27+S589*$AE$28+T589*$AE$29+U589*$AE$30</f>
        <v/>
      </c>
      <c r="W589" s="8">
        <f>1/(1+EXP(-V589))</f>
        <v/>
      </c>
      <c r="X589" s="9">
        <f>-IF(C589=1,LN(W589),LN(1-W589))</f>
        <v/>
      </c>
      <c r="Y589" s="8">
        <f>1</f>
        <v/>
      </c>
      <c r="Z589" s="9">
        <f>Y589*X589</f>
        <v/>
      </c>
      <c r="AA589" s="10">
        <f>IF(W589&gt;$AE$32,1,0)</f>
        <v/>
      </c>
      <c r="AB589">
        <f>IF(AA589=C589,1,0)</f>
        <v/>
      </c>
    </row>
    <row r="590">
      <c r="A590">
        <f>'1 datos preparados'!A583</f>
        <v/>
      </c>
      <c r="B590" s="5">
        <f>'1 datos preparados'!U583</f>
        <v/>
      </c>
      <c r="C590">
        <f>'1 datos preparados'!B583</f>
        <v/>
      </c>
      <c r="D590" s="7">
        <f>'1 datos preparados'!C583</f>
        <v/>
      </c>
      <c r="E590" s="7">
        <f>'1 datos preparados'!D583</f>
        <v/>
      </c>
      <c r="F590" s="7">
        <f>'1 datos preparados'!E583</f>
        <v/>
      </c>
      <c r="G590" s="7">
        <f>'1 datos preparados'!F583</f>
        <v/>
      </c>
      <c r="H590" s="7">
        <f>'1 datos preparados'!G583</f>
        <v/>
      </c>
      <c r="I590" s="7">
        <f>'1 datos preparados'!H583</f>
        <v/>
      </c>
      <c r="J590" s="7">
        <f>'1 datos preparados'!I583</f>
        <v/>
      </c>
      <c r="K590" s="7">
        <f>'1 datos preparados'!J583</f>
        <v/>
      </c>
      <c r="L590" s="7">
        <f>'1 datos preparados'!K583</f>
        <v/>
      </c>
      <c r="M590" s="7">
        <f>'1 datos preparados'!L583</f>
        <v/>
      </c>
      <c r="N590" s="7">
        <f>'1 datos preparados'!M583</f>
        <v/>
      </c>
      <c r="O590" s="7">
        <f>'1 datos preparados'!N583</f>
        <v/>
      </c>
      <c r="P590" s="7">
        <f>'1 datos preparados'!O583</f>
        <v/>
      </c>
      <c r="Q590" s="7">
        <f>'1 datos preparados'!P583</f>
        <v/>
      </c>
      <c r="R590" s="7">
        <f>'1 datos preparados'!Q583</f>
        <v/>
      </c>
      <c r="S590" s="7">
        <f>'1 datos preparados'!R583</f>
        <v/>
      </c>
      <c r="T590" s="7">
        <f>'1 datos preparados'!S583</f>
        <v/>
      </c>
      <c r="U590" s="7">
        <f>'1 datos preparados'!T583</f>
        <v/>
      </c>
      <c r="V590" s="8">
        <f>$AE$12+D590*$AE$13+E590*$AE$14+F590*$AE$15+G590*$AE$16+H590*$AE$17+I590*$AE$18+J590*$AE$19+K590*$AE$20+L590*$AE$21+M590*$AE$22+N590*$AE$23+O590*$AE$24+P590*$AE$25+Q590*$AE$26+R590*$AE$27+S590*$AE$28+T590*$AE$29+U590*$AE$30</f>
        <v/>
      </c>
      <c r="W590" s="8">
        <f>1/(1+EXP(-V590))</f>
        <v/>
      </c>
      <c r="X590" s="9">
        <f>-IF(C590=1,LN(W590),LN(1-W590))</f>
        <v/>
      </c>
      <c r="Y590" s="8">
        <f>1</f>
        <v/>
      </c>
      <c r="Z590" s="9">
        <f>Y590*X590</f>
        <v/>
      </c>
      <c r="AA590" s="10">
        <f>IF(W590&gt;$AE$32,1,0)</f>
        <v/>
      </c>
      <c r="AB590">
        <f>IF(AA590=C590,1,0)</f>
        <v/>
      </c>
    </row>
    <row r="591">
      <c r="A591">
        <f>'1 datos preparados'!A584</f>
        <v/>
      </c>
      <c r="B591" s="5">
        <f>'1 datos preparados'!U584</f>
        <v/>
      </c>
      <c r="C591">
        <f>'1 datos preparados'!B584</f>
        <v/>
      </c>
      <c r="D591" s="7">
        <f>'1 datos preparados'!C584</f>
        <v/>
      </c>
      <c r="E591" s="7">
        <f>'1 datos preparados'!D584</f>
        <v/>
      </c>
      <c r="F591" s="7">
        <f>'1 datos preparados'!E584</f>
        <v/>
      </c>
      <c r="G591" s="7">
        <f>'1 datos preparados'!F584</f>
        <v/>
      </c>
      <c r="H591" s="7">
        <f>'1 datos preparados'!G584</f>
        <v/>
      </c>
      <c r="I591" s="7">
        <f>'1 datos preparados'!H584</f>
        <v/>
      </c>
      <c r="J591" s="7">
        <f>'1 datos preparados'!I584</f>
        <v/>
      </c>
      <c r="K591" s="7">
        <f>'1 datos preparados'!J584</f>
        <v/>
      </c>
      <c r="L591" s="7">
        <f>'1 datos preparados'!K584</f>
        <v/>
      </c>
      <c r="M591" s="7">
        <f>'1 datos preparados'!L584</f>
        <v/>
      </c>
      <c r="N591" s="7">
        <f>'1 datos preparados'!M584</f>
        <v/>
      </c>
      <c r="O591" s="7">
        <f>'1 datos preparados'!N584</f>
        <v/>
      </c>
      <c r="P591" s="7">
        <f>'1 datos preparados'!O584</f>
        <v/>
      </c>
      <c r="Q591" s="7">
        <f>'1 datos preparados'!P584</f>
        <v/>
      </c>
      <c r="R591" s="7">
        <f>'1 datos preparados'!Q584</f>
        <v/>
      </c>
      <c r="S591" s="7">
        <f>'1 datos preparados'!R584</f>
        <v/>
      </c>
      <c r="T591" s="7">
        <f>'1 datos preparados'!S584</f>
        <v/>
      </c>
      <c r="U591" s="7">
        <f>'1 datos preparados'!T584</f>
        <v/>
      </c>
      <c r="V591" s="8">
        <f>$AE$12+D591*$AE$13+E591*$AE$14+F591*$AE$15+G591*$AE$16+H591*$AE$17+I591*$AE$18+J591*$AE$19+K591*$AE$20+L591*$AE$21+M591*$AE$22+N591*$AE$23+O591*$AE$24+P591*$AE$25+Q591*$AE$26+R591*$AE$27+S591*$AE$28+T591*$AE$29+U591*$AE$30</f>
        <v/>
      </c>
      <c r="W591" s="8">
        <f>1/(1+EXP(-V591))</f>
        <v/>
      </c>
      <c r="X591" s="9">
        <f>-IF(C591=1,LN(W591),LN(1-W591))</f>
        <v/>
      </c>
      <c r="Y591" s="8">
        <f>1</f>
        <v/>
      </c>
      <c r="Z591" s="9">
        <f>Y591*X591</f>
        <v/>
      </c>
      <c r="AA591" s="10">
        <f>IF(W591&gt;$AE$32,1,0)</f>
        <v/>
      </c>
      <c r="AB591">
        <f>IF(AA591=C591,1,0)</f>
        <v/>
      </c>
    </row>
    <row r="592">
      <c r="A592">
        <f>'1 datos preparados'!A585</f>
        <v/>
      </c>
      <c r="B592" s="5">
        <f>'1 datos preparados'!U585</f>
        <v/>
      </c>
      <c r="C592">
        <f>'1 datos preparados'!B585</f>
        <v/>
      </c>
      <c r="D592" s="7">
        <f>'1 datos preparados'!C585</f>
        <v/>
      </c>
      <c r="E592" s="7">
        <f>'1 datos preparados'!D585</f>
        <v/>
      </c>
      <c r="F592" s="7">
        <f>'1 datos preparados'!E585</f>
        <v/>
      </c>
      <c r="G592" s="7">
        <f>'1 datos preparados'!F585</f>
        <v/>
      </c>
      <c r="H592" s="7">
        <f>'1 datos preparados'!G585</f>
        <v/>
      </c>
      <c r="I592" s="7">
        <f>'1 datos preparados'!H585</f>
        <v/>
      </c>
      <c r="J592" s="7">
        <f>'1 datos preparados'!I585</f>
        <v/>
      </c>
      <c r="K592" s="7">
        <f>'1 datos preparados'!J585</f>
        <v/>
      </c>
      <c r="L592" s="7">
        <f>'1 datos preparados'!K585</f>
        <v/>
      </c>
      <c r="M592" s="7">
        <f>'1 datos preparados'!L585</f>
        <v/>
      </c>
      <c r="N592" s="7">
        <f>'1 datos preparados'!M585</f>
        <v/>
      </c>
      <c r="O592" s="7">
        <f>'1 datos preparados'!N585</f>
        <v/>
      </c>
      <c r="P592" s="7">
        <f>'1 datos preparados'!O585</f>
        <v/>
      </c>
      <c r="Q592" s="7">
        <f>'1 datos preparados'!P585</f>
        <v/>
      </c>
      <c r="R592" s="7">
        <f>'1 datos preparados'!Q585</f>
        <v/>
      </c>
      <c r="S592" s="7">
        <f>'1 datos preparados'!R585</f>
        <v/>
      </c>
      <c r="T592" s="7">
        <f>'1 datos preparados'!S585</f>
        <v/>
      </c>
      <c r="U592" s="7">
        <f>'1 datos preparados'!T585</f>
        <v/>
      </c>
      <c r="V592" s="8">
        <f>$AE$12+D592*$AE$13+E592*$AE$14+F592*$AE$15+G592*$AE$16+H592*$AE$17+I592*$AE$18+J592*$AE$19+K592*$AE$20+L592*$AE$21+M592*$AE$22+N592*$AE$23+O592*$AE$24+P592*$AE$25+Q592*$AE$26+R592*$AE$27+S592*$AE$28+T592*$AE$29+U592*$AE$30</f>
        <v/>
      </c>
      <c r="W592" s="8">
        <f>1/(1+EXP(-V592))</f>
        <v/>
      </c>
      <c r="X592" s="9">
        <f>-IF(C592=1,LN(W592),LN(1-W592))</f>
        <v/>
      </c>
      <c r="Y592" s="8">
        <f>1</f>
        <v/>
      </c>
      <c r="Z592" s="9">
        <f>Y592*X592</f>
        <v/>
      </c>
      <c r="AA592" s="10">
        <f>IF(W592&gt;$AE$32,1,0)</f>
        <v/>
      </c>
      <c r="AB592">
        <f>IF(AA592=C592,1,0)</f>
        <v/>
      </c>
    </row>
    <row r="593">
      <c r="A593">
        <f>'1 datos preparados'!A586</f>
        <v/>
      </c>
      <c r="B593" s="5">
        <f>'1 datos preparados'!U586</f>
        <v/>
      </c>
      <c r="C593">
        <f>'1 datos preparados'!B586</f>
        <v/>
      </c>
      <c r="D593" s="7">
        <f>'1 datos preparados'!C586</f>
        <v/>
      </c>
      <c r="E593" s="7">
        <f>'1 datos preparados'!D586</f>
        <v/>
      </c>
      <c r="F593" s="7">
        <f>'1 datos preparados'!E586</f>
        <v/>
      </c>
      <c r="G593" s="7">
        <f>'1 datos preparados'!F586</f>
        <v/>
      </c>
      <c r="H593" s="7">
        <f>'1 datos preparados'!G586</f>
        <v/>
      </c>
      <c r="I593" s="7">
        <f>'1 datos preparados'!H586</f>
        <v/>
      </c>
      <c r="J593" s="7">
        <f>'1 datos preparados'!I586</f>
        <v/>
      </c>
      <c r="K593" s="7">
        <f>'1 datos preparados'!J586</f>
        <v/>
      </c>
      <c r="L593" s="7">
        <f>'1 datos preparados'!K586</f>
        <v/>
      </c>
      <c r="M593" s="7">
        <f>'1 datos preparados'!L586</f>
        <v/>
      </c>
      <c r="N593" s="7">
        <f>'1 datos preparados'!M586</f>
        <v/>
      </c>
      <c r="O593" s="7">
        <f>'1 datos preparados'!N586</f>
        <v/>
      </c>
      <c r="P593" s="7">
        <f>'1 datos preparados'!O586</f>
        <v/>
      </c>
      <c r="Q593" s="7">
        <f>'1 datos preparados'!P586</f>
        <v/>
      </c>
      <c r="R593" s="7">
        <f>'1 datos preparados'!Q586</f>
        <v/>
      </c>
      <c r="S593" s="7">
        <f>'1 datos preparados'!R586</f>
        <v/>
      </c>
      <c r="T593" s="7">
        <f>'1 datos preparados'!S586</f>
        <v/>
      </c>
      <c r="U593" s="7">
        <f>'1 datos preparados'!T586</f>
        <v/>
      </c>
      <c r="V593" s="8">
        <f>$AE$12+D593*$AE$13+E593*$AE$14+F593*$AE$15+G593*$AE$16+H593*$AE$17+I593*$AE$18+J593*$AE$19+K593*$AE$20+L593*$AE$21+M593*$AE$22+N593*$AE$23+O593*$AE$24+P593*$AE$25+Q593*$AE$26+R593*$AE$27+S593*$AE$28+T593*$AE$29+U593*$AE$30</f>
        <v/>
      </c>
      <c r="W593" s="8">
        <f>1/(1+EXP(-V593))</f>
        <v/>
      </c>
      <c r="X593" s="9">
        <f>-IF(C593=1,LN(W593),LN(1-W593))</f>
        <v/>
      </c>
      <c r="Y593" s="8">
        <f>1</f>
        <v/>
      </c>
      <c r="Z593" s="9">
        <f>Y593*X593</f>
        <v/>
      </c>
      <c r="AA593" s="10">
        <f>IF(W593&gt;$AE$32,1,0)</f>
        <v/>
      </c>
      <c r="AB593">
        <f>IF(AA593=C593,1,0)</f>
        <v/>
      </c>
    </row>
    <row r="594">
      <c r="A594">
        <f>'1 datos preparados'!A587</f>
        <v/>
      </c>
      <c r="B594" s="5">
        <f>'1 datos preparados'!U587</f>
        <v/>
      </c>
      <c r="C594">
        <f>'1 datos preparados'!B587</f>
        <v/>
      </c>
      <c r="D594" s="7">
        <f>'1 datos preparados'!C587</f>
        <v/>
      </c>
      <c r="E594" s="7">
        <f>'1 datos preparados'!D587</f>
        <v/>
      </c>
      <c r="F594" s="7">
        <f>'1 datos preparados'!E587</f>
        <v/>
      </c>
      <c r="G594" s="7">
        <f>'1 datos preparados'!F587</f>
        <v/>
      </c>
      <c r="H594" s="7">
        <f>'1 datos preparados'!G587</f>
        <v/>
      </c>
      <c r="I594" s="7">
        <f>'1 datos preparados'!H587</f>
        <v/>
      </c>
      <c r="J594" s="7">
        <f>'1 datos preparados'!I587</f>
        <v/>
      </c>
      <c r="K594" s="7">
        <f>'1 datos preparados'!J587</f>
        <v/>
      </c>
      <c r="L594" s="7">
        <f>'1 datos preparados'!K587</f>
        <v/>
      </c>
      <c r="M594" s="7">
        <f>'1 datos preparados'!L587</f>
        <v/>
      </c>
      <c r="N594" s="7">
        <f>'1 datos preparados'!M587</f>
        <v/>
      </c>
      <c r="O594" s="7">
        <f>'1 datos preparados'!N587</f>
        <v/>
      </c>
      <c r="P594" s="7">
        <f>'1 datos preparados'!O587</f>
        <v/>
      </c>
      <c r="Q594" s="7">
        <f>'1 datos preparados'!P587</f>
        <v/>
      </c>
      <c r="R594" s="7">
        <f>'1 datos preparados'!Q587</f>
        <v/>
      </c>
      <c r="S594" s="7">
        <f>'1 datos preparados'!R587</f>
        <v/>
      </c>
      <c r="T594" s="7">
        <f>'1 datos preparados'!S587</f>
        <v/>
      </c>
      <c r="U594" s="7">
        <f>'1 datos preparados'!T587</f>
        <v/>
      </c>
      <c r="V594" s="8">
        <f>$AE$12+D594*$AE$13+E594*$AE$14+F594*$AE$15+G594*$AE$16+H594*$AE$17+I594*$AE$18+J594*$AE$19+K594*$AE$20+L594*$AE$21+M594*$AE$22+N594*$AE$23+O594*$AE$24+P594*$AE$25+Q594*$AE$26+R594*$AE$27+S594*$AE$28+T594*$AE$29+U594*$AE$30</f>
        <v/>
      </c>
      <c r="W594" s="8">
        <f>1/(1+EXP(-V594))</f>
        <v/>
      </c>
      <c r="X594" s="9">
        <f>-IF(C594=1,LN(W594),LN(1-W594))</f>
        <v/>
      </c>
      <c r="Y594" s="8">
        <f>1</f>
        <v/>
      </c>
      <c r="Z594" s="9">
        <f>Y594*X594</f>
        <v/>
      </c>
      <c r="AA594" s="10">
        <f>IF(W594&gt;$AE$32,1,0)</f>
        <v/>
      </c>
      <c r="AB594">
        <f>IF(AA594=C594,1,0)</f>
        <v/>
      </c>
    </row>
    <row r="595">
      <c r="A595">
        <f>'1 datos preparados'!A588</f>
        <v/>
      </c>
      <c r="B595" s="5">
        <f>'1 datos preparados'!U588</f>
        <v/>
      </c>
      <c r="C595">
        <f>'1 datos preparados'!B588</f>
        <v/>
      </c>
      <c r="D595" s="7">
        <f>'1 datos preparados'!C588</f>
        <v/>
      </c>
      <c r="E595" s="7">
        <f>'1 datos preparados'!D588</f>
        <v/>
      </c>
      <c r="F595" s="7">
        <f>'1 datos preparados'!E588</f>
        <v/>
      </c>
      <c r="G595" s="7">
        <f>'1 datos preparados'!F588</f>
        <v/>
      </c>
      <c r="H595" s="7">
        <f>'1 datos preparados'!G588</f>
        <v/>
      </c>
      <c r="I595" s="7">
        <f>'1 datos preparados'!H588</f>
        <v/>
      </c>
      <c r="J595" s="7">
        <f>'1 datos preparados'!I588</f>
        <v/>
      </c>
      <c r="K595" s="7">
        <f>'1 datos preparados'!J588</f>
        <v/>
      </c>
      <c r="L595" s="7">
        <f>'1 datos preparados'!K588</f>
        <v/>
      </c>
      <c r="M595" s="7">
        <f>'1 datos preparados'!L588</f>
        <v/>
      </c>
      <c r="N595" s="7">
        <f>'1 datos preparados'!M588</f>
        <v/>
      </c>
      <c r="O595" s="7">
        <f>'1 datos preparados'!N588</f>
        <v/>
      </c>
      <c r="P595" s="7">
        <f>'1 datos preparados'!O588</f>
        <v/>
      </c>
      <c r="Q595" s="7">
        <f>'1 datos preparados'!P588</f>
        <v/>
      </c>
      <c r="R595" s="7">
        <f>'1 datos preparados'!Q588</f>
        <v/>
      </c>
      <c r="S595" s="7">
        <f>'1 datos preparados'!R588</f>
        <v/>
      </c>
      <c r="T595" s="7">
        <f>'1 datos preparados'!S588</f>
        <v/>
      </c>
      <c r="U595" s="7">
        <f>'1 datos preparados'!T588</f>
        <v/>
      </c>
      <c r="V595" s="8">
        <f>$AE$12+D595*$AE$13+E595*$AE$14+F595*$AE$15+G595*$AE$16+H595*$AE$17+I595*$AE$18+J595*$AE$19+K595*$AE$20+L595*$AE$21+M595*$AE$22+N595*$AE$23+O595*$AE$24+P595*$AE$25+Q595*$AE$26+R595*$AE$27+S595*$AE$28+T595*$AE$29+U595*$AE$30</f>
        <v/>
      </c>
      <c r="W595" s="8">
        <f>1/(1+EXP(-V595))</f>
        <v/>
      </c>
      <c r="X595" s="9">
        <f>-IF(C595=1,LN(W595),LN(1-W595))</f>
        <v/>
      </c>
      <c r="Y595" s="8">
        <f>1</f>
        <v/>
      </c>
      <c r="Z595" s="9">
        <f>Y595*X595</f>
        <v/>
      </c>
      <c r="AA595" s="10">
        <f>IF(W595&gt;$AE$32,1,0)</f>
        <v/>
      </c>
      <c r="AB595">
        <f>IF(AA595=C595,1,0)</f>
        <v/>
      </c>
    </row>
    <row r="596">
      <c r="A596">
        <f>'1 datos preparados'!A589</f>
        <v/>
      </c>
      <c r="B596" s="5">
        <f>'1 datos preparados'!U589</f>
        <v/>
      </c>
      <c r="C596">
        <f>'1 datos preparados'!B589</f>
        <v/>
      </c>
      <c r="D596" s="7">
        <f>'1 datos preparados'!C589</f>
        <v/>
      </c>
      <c r="E596" s="7">
        <f>'1 datos preparados'!D589</f>
        <v/>
      </c>
      <c r="F596" s="7">
        <f>'1 datos preparados'!E589</f>
        <v/>
      </c>
      <c r="G596" s="7">
        <f>'1 datos preparados'!F589</f>
        <v/>
      </c>
      <c r="H596" s="7">
        <f>'1 datos preparados'!G589</f>
        <v/>
      </c>
      <c r="I596" s="7">
        <f>'1 datos preparados'!H589</f>
        <v/>
      </c>
      <c r="J596" s="7">
        <f>'1 datos preparados'!I589</f>
        <v/>
      </c>
      <c r="K596" s="7">
        <f>'1 datos preparados'!J589</f>
        <v/>
      </c>
      <c r="L596" s="7">
        <f>'1 datos preparados'!K589</f>
        <v/>
      </c>
      <c r="M596" s="7">
        <f>'1 datos preparados'!L589</f>
        <v/>
      </c>
      <c r="N596" s="7">
        <f>'1 datos preparados'!M589</f>
        <v/>
      </c>
      <c r="O596" s="7">
        <f>'1 datos preparados'!N589</f>
        <v/>
      </c>
      <c r="P596" s="7">
        <f>'1 datos preparados'!O589</f>
        <v/>
      </c>
      <c r="Q596" s="7">
        <f>'1 datos preparados'!P589</f>
        <v/>
      </c>
      <c r="R596" s="7">
        <f>'1 datos preparados'!Q589</f>
        <v/>
      </c>
      <c r="S596" s="7">
        <f>'1 datos preparados'!R589</f>
        <v/>
      </c>
      <c r="T596" s="7">
        <f>'1 datos preparados'!S589</f>
        <v/>
      </c>
      <c r="U596" s="7">
        <f>'1 datos preparados'!T589</f>
        <v/>
      </c>
      <c r="V596" s="8">
        <f>$AE$12+D596*$AE$13+E596*$AE$14+F596*$AE$15+G596*$AE$16+H596*$AE$17+I596*$AE$18+J596*$AE$19+K596*$AE$20+L596*$AE$21+M596*$AE$22+N596*$AE$23+O596*$AE$24+P596*$AE$25+Q596*$AE$26+R596*$AE$27+S596*$AE$28+T596*$AE$29+U596*$AE$30</f>
        <v/>
      </c>
      <c r="W596" s="8">
        <f>1/(1+EXP(-V596))</f>
        <v/>
      </c>
      <c r="X596" s="9">
        <f>-IF(C596=1,LN(W596),LN(1-W596))</f>
        <v/>
      </c>
      <c r="Y596" s="8">
        <f>1</f>
        <v/>
      </c>
      <c r="Z596" s="9">
        <f>Y596*X596</f>
        <v/>
      </c>
      <c r="AA596" s="10">
        <f>IF(W596&gt;$AE$32,1,0)</f>
        <v/>
      </c>
      <c r="AB596">
        <f>IF(AA596=C596,1,0)</f>
        <v/>
      </c>
    </row>
    <row r="597">
      <c r="A597">
        <f>'1 datos preparados'!A590</f>
        <v/>
      </c>
      <c r="B597" s="5">
        <f>'1 datos preparados'!U590</f>
        <v/>
      </c>
      <c r="C597">
        <f>'1 datos preparados'!B590</f>
        <v/>
      </c>
      <c r="D597" s="7">
        <f>'1 datos preparados'!C590</f>
        <v/>
      </c>
      <c r="E597" s="7">
        <f>'1 datos preparados'!D590</f>
        <v/>
      </c>
      <c r="F597" s="7">
        <f>'1 datos preparados'!E590</f>
        <v/>
      </c>
      <c r="G597" s="7">
        <f>'1 datos preparados'!F590</f>
        <v/>
      </c>
      <c r="H597" s="7">
        <f>'1 datos preparados'!G590</f>
        <v/>
      </c>
      <c r="I597" s="7">
        <f>'1 datos preparados'!H590</f>
        <v/>
      </c>
      <c r="J597" s="7">
        <f>'1 datos preparados'!I590</f>
        <v/>
      </c>
      <c r="K597" s="7">
        <f>'1 datos preparados'!J590</f>
        <v/>
      </c>
      <c r="L597" s="7">
        <f>'1 datos preparados'!K590</f>
        <v/>
      </c>
      <c r="M597" s="7">
        <f>'1 datos preparados'!L590</f>
        <v/>
      </c>
      <c r="N597" s="7">
        <f>'1 datos preparados'!M590</f>
        <v/>
      </c>
      <c r="O597" s="7">
        <f>'1 datos preparados'!N590</f>
        <v/>
      </c>
      <c r="P597" s="7">
        <f>'1 datos preparados'!O590</f>
        <v/>
      </c>
      <c r="Q597" s="7">
        <f>'1 datos preparados'!P590</f>
        <v/>
      </c>
      <c r="R597" s="7">
        <f>'1 datos preparados'!Q590</f>
        <v/>
      </c>
      <c r="S597" s="7">
        <f>'1 datos preparados'!R590</f>
        <v/>
      </c>
      <c r="T597" s="7">
        <f>'1 datos preparados'!S590</f>
        <v/>
      </c>
      <c r="U597" s="7">
        <f>'1 datos preparados'!T590</f>
        <v/>
      </c>
      <c r="V597" s="8">
        <f>$AE$12+D597*$AE$13+E597*$AE$14+F597*$AE$15+G597*$AE$16+H597*$AE$17+I597*$AE$18+J597*$AE$19+K597*$AE$20+L597*$AE$21+M597*$AE$22+N597*$AE$23+O597*$AE$24+P597*$AE$25+Q597*$AE$26+R597*$AE$27+S597*$AE$28+T597*$AE$29+U597*$AE$30</f>
        <v/>
      </c>
      <c r="W597" s="8">
        <f>1/(1+EXP(-V597))</f>
        <v/>
      </c>
      <c r="X597" s="9">
        <f>-IF(C597=1,LN(W597),LN(1-W597))</f>
        <v/>
      </c>
      <c r="Y597" s="8">
        <f>1</f>
        <v/>
      </c>
      <c r="Z597" s="9">
        <f>Y597*X597</f>
        <v/>
      </c>
      <c r="AA597" s="10">
        <f>IF(W597&gt;$AE$32,1,0)</f>
        <v/>
      </c>
      <c r="AB597">
        <f>IF(AA597=C597,1,0)</f>
        <v/>
      </c>
    </row>
    <row r="598">
      <c r="A598">
        <f>'1 datos preparados'!A591</f>
        <v/>
      </c>
      <c r="B598" s="5">
        <f>'1 datos preparados'!U591</f>
        <v/>
      </c>
      <c r="C598">
        <f>'1 datos preparados'!B591</f>
        <v/>
      </c>
      <c r="D598" s="7">
        <f>'1 datos preparados'!C591</f>
        <v/>
      </c>
      <c r="E598" s="7">
        <f>'1 datos preparados'!D591</f>
        <v/>
      </c>
      <c r="F598" s="7">
        <f>'1 datos preparados'!E591</f>
        <v/>
      </c>
      <c r="G598" s="7">
        <f>'1 datos preparados'!F591</f>
        <v/>
      </c>
      <c r="H598" s="7">
        <f>'1 datos preparados'!G591</f>
        <v/>
      </c>
      <c r="I598" s="7">
        <f>'1 datos preparados'!H591</f>
        <v/>
      </c>
      <c r="J598" s="7">
        <f>'1 datos preparados'!I591</f>
        <v/>
      </c>
      <c r="K598" s="7">
        <f>'1 datos preparados'!J591</f>
        <v/>
      </c>
      <c r="L598" s="7">
        <f>'1 datos preparados'!K591</f>
        <v/>
      </c>
      <c r="M598" s="7">
        <f>'1 datos preparados'!L591</f>
        <v/>
      </c>
      <c r="N598" s="7">
        <f>'1 datos preparados'!M591</f>
        <v/>
      </c>
      <c r="O598" s="7">
        <f>'1 datos preparados'!N591</f>
        <v/>
      </c>
      <c r="P598" s="7">
        <f>'1 datos preparados'!O591</f>
        <v/>
      </c>
      <c r="Q598" s="7">
        <f>'1 datos preparados'!P591</f>
        <v/>
      </c>
      <c r="R598" s="7">
        <f>'1 datos preparados'!Q591</f>
        <v/>
      </c>
      <c r="S598" s="7">
        <f>'1 datos preparados'!R591</f>
        <v/>
      </c>
      <c r="T598" s="7">
        <f>'1 datos preparados'!S591</f>
        <v/>
      </c>
      <c r="U598" s="7">
        <f>'1 datos preparados'!T591</f>
        <v/>
      </c>
      <c r="V598" s="8">
        <f>$AE$12+D598*$AE$13+E598*$AE$14+F598*$AE$15+G598*$AE$16+H598*$AE$17+I598*$AE$18+J598*$AE$19+K598*$AE$20+L598*$AE$21+M598*$AE$22+N598*$AE$23+O598*$AE$24+P598*$AE$25+Q598*$AE$26+R598*$AE$27+S598*$AE$28+T598*$AE$29+U598*$AE$30</f>
        <v/>
      </c>
      <c r="W598" s="8">
        <f>1/(1+EXP(-V598))</f>
        <v/>
      </c>
      <c r="X598" s="9">
        <f>-IF(C598=1,LN(W598),LN(1-W598))</f>
        <v/>
      </c>
      <c r="Y598" s="8">
        <f>1</f>
        <v/>
      </c>
      <c r="Z598" s="9">
        <f>Y598*X598</f>
        <v/>
      </c>
      <c r="AA598" s="10">
        <f>IF(W598&gt;$AE$32,1,0)</f>
        <v/>
      </c>
      <c r="AB598">
        <f>IF(AA598=C598,1,0)</f>
        <v/>
      </c>
    </row>
    <row r="599">
      <c r="A599">
        <f>'1 datos preparados'!A592</f>
        <v/>
      </c>
      <c r="B599" s="5">
        <f>'1 datos preparados'!U592</f>
        <v/>
      </c>
      <c r="C599">
        <f>'1 datos preparados'!B592</f>
        <v/>
      </c>
      <c r="D599" s="7">
        <f>'1 datos preparados'!C592</f>
        <v/>
      </c>
      <c r="E599" s="7">
        <f>'1 datos preparados'!D592</f>
        <v/>
      </c>
      <c r="F599" s="7">
        <f>'1 datos preparados'!E592</f>
        <v/>
      </c>
      <c r="G599" s="7">
        <f>'1 datos preparados'!F592</f>
        <v/>
      </c>
      <c r="H599" s="7">
        <f>'1 datos preparados'!G592</f>
        <v/>
      </c>
      <c r="I599" s="7">
        <f>'1 datos preparados'!H592</f>
        <v/>
      </c>
      <c r="J599" s="7">
        <f>'1 datos preparados'!I592</f>
        <v/>
      </c>
      <c r="K599" s="7">
        <f>'1 datos preparados'!J592</f>
        <v/>
      </c>
      <c r="L599" s="7">
        <f>'1 datos preparados'!K592</f>
        <v/>
      </c>
      <c r="M599" s="7">
        <f>'1 datos preparados'!L592</f>
        <v/>
      </c>
      <c r="N599" s="7">
        <f>'1 datos preparados'!M592</f>
        <v/>
      </c>
      <c r="O599" s="7">
        <f>'1 datos preparados'!N592</f>
        <v/>
      </c>
      <c r="P599" s="7">
        <f>'1 datos preparados'!O592</f>
        <v/>
      </c>
      <c r="Q599" s="7">
        <f>'1 datos preparados'!P592</f>
        <v/>
      </c>
      <c r="R599" s="7">
        <f>'1 datos preparados'!Q592</f>
        <v/>
      </c>
      <c r="S599" s="7">
        <f>'1 datos preparados'!R592</f>
        <v/>
      </c>
      <c r="T599" s="7">
        <f>'1 datos preparados'!S592</f>
        <v/>
      </c>
      <c r="U599" s="7">
        <f>'1 datos preparados'!T592</f>
        <v/>
      </c>
      <c r="V599" s="8">
        <f>$AE$12+D599*$AE$13+E599*$AE$14+F599*$AE$15+G599*$AE$16+H599*$AE$17+I599*$AE$18+J599*$AE$19+K599*$AE$20+L599*$AE$21+M599*$AE$22+N599*$AE$23+O599*$AE$24+P599*$AE$25+Q599*$AE$26+R599*$AE$27+S599*$AE$28+T599*$AE$29+U599*$AE$30</f>
        <v/>
      </c>
      <c r="W599" s="8">
        <f>1/(1+EXP(-V599))</f>
        <v/>
      </c>
      <c r="X599" s="9">
        <f>-IF(C599=1,LN(W599),LN(1-W599))</f>
        <v/>
      </c>
      <c r="Y599" s="8">
        <f>1</f>
        <v/>
      </c>
      <c r="Z599" s="9">
        <f>Y599*X599</f>
        <v/>
      </c>
      <c r="AA599" s="10">
        <f>IF(W599&gt;$AE$32,1,0)</f>
        <v/>
      </c>
      <c r="AB599">
        <f>IF(AA599=C599,1,0)</f>
        <v/>
      </c>
    </row>
    <row r="600">
      <c r="A600">
        <f>'1 datos preparados'!A593</f>
        <v/>
      </c>
      <c r="B600" s="5">
        <f>'1 datos preparados'!U593</f>
        <v/>
      </c>
      <c r="C600">
        <f>'1 datos preparados'!B593</f>
        <v/>
      </c>
      <c r="D600" s="7">
        <f>'1 datos preparados'!C593</f>
        <v/>
      </c>
      <c r="E600" s="7">
        <f>'1 datos preparados'!D593</f>
        <v/>
      </c>
      <c r="F600" s="7">
        <f>'1 datos preparados'!E593</f>
        <v/>
      </c>
      <c r="G600" s="7">
        <f>'1 datos preparados'!F593</f>
        <v/>
      </c>
      <c r="H600" s="7">
        <f>'1 datos preparados'!G593</f>
        <v/>
      </c>
      <c r="I600" s="7">
        <f>'1 datos preparados'!H593</f>
        <v/>
      </c>
      <c r="J600" s="7">
        <f>'1 datos preparados'!I593</f>
        <v/>
      </c>
      <c r="K600" s="7">
        <f>'1 datos preparados'!J593</f>
        <v/>
      </c>
      <c r="L600" s="7">
        <f>'1 datos preparados'!K593</f>
        <v/>
      </c>
      <c r="M600" s="7">
        <f>'1 datos preparados'!L593</f>
        <v/>
      </c>
      <c r="N600" s="7">
        <f>'1 datos preparados'!M593</f>
        <v/>
      </c>
      <c r="O600" s="7">
        <f>'1 datos preparados'!N593</f>
        <v/>
      </c>
      <c r="P600" s="7">
        <f>'1 datos preparados'!O593</f>
        <v/>
      </c>
      <c r="Q600" s="7">
        <f>'1 datos preparados'!P593</f>
        <v/>
      </c>
      <c r="R600" s="7">
        <f>'1 datos preparados'!Q593</f>
        <v/>
      </c>
      <c r="S600" s="7">
        <f>'1 datos preparados'!R593</f>
        <v/>
      </c>
      <c r="T600" s="7">
        <f>'1 datos preparados'!S593</f>
        <v/>
      </c>
      <c r="U600" s="7">
        <f>'1 datos preparados'!T593</f>
        <v/>
      </c>
      <c r="V600" s="8">
        <f>$AE$12+D600*$AE$13+E600*$AE$14+F600*$AE$15+G600*$AE$16+H600*$AE$17+I600*$AE$18+J600*$AE$19+K600*$AE$20+L600*$AE$21+M600*$AE$22+N600*$AE$23+O600*$AE$24+P600*$AE$25+Q600*$AE$26+R600*$AE$27+S600*$AE$28+T600*$AE$29+U600*$AE$30</f>
        <v/>
      </c>
      <c r="W600" s="8">
        <f>1/(1+EXP(-V600))</f>
        <v/>
      </c>
      <c r="X600" s="9">
        <f>-IF(C600=1,LN(W600),LN(1-W600))</f>
        <v/>
      </c>
      <c r="Y600" s="8">
        <f>1</f>
        <v/>
      </c>
      <c r="Z600" s="9">
        <f>Y600*X600</f>
        <v/>
      </c>
      <c r="AA600" s="10">
        <f>IF(W600&gt;$AE$32,1,0)</f>
        <v/>
      </c>
      <c r="AB600">
        <f>IF(AA600=C600,1,0)</f>
        <v/>
      </c>
    </row>
    <row r="601">
      <c r="A601">
        <f>'1 datos preparados'!A594</f>
        <v/>
      </c>
      <c r="B601" s="5">
        <f>'1 datos preparados'!U594</f>
        <v/>
      </c>
      <c r="C601">
        <f>'1 datos preparados'!B594</f>
        <v/>
      </c>
      <c r="D601" s="7">
        <f>'1 datos preparados'!C594</f>
        <v/>
      </c>
      <c r="E601" s="7">
        <f>'1 datos preparados'!D594</f>
        <v/>
      </c>
      <c r="F601" s="7">
        <f>'1 datos preparados'!E594</f>
        <v/>
      </c>
      <c r="G601" s="7">
        <f>'1 datos preparados'!F594</f>
        <v/>
      </c>
      <c r="H601" s="7">
        <f>'1 datos preparados'!G594</f>
        <v/>
      </c>
      <c r="I601" s="7">
        <f>'1 datos preparados'!H594</f>
        <v/>
      </c>
      <c r="J601" s="7">
        <f>'1 datos preparados'!I594</f>
        <v/>
      </c>
      <c r="K601" s="7">
        <f>'1 datos preparados'!J594</f>
        <v/>
      </c>
      <c r="L601" s="7">
        <f>'1 datos preparados'!K594</f>
        <v/>
      </c>
      <c r="M601" s="7">
        <f>'1 datos preparados'!L594</f>
        <v/>
      </c>
      <c r="N601" s="7">
        <f>'1 datos preparados'!M594</f>
        <v/>
      </c>
      <c r="O601" s="7">
        <f>'1 datos preparados'!N594</f>
        <v/>
      </c>
      <c r="P601" s="7">
        <f>'1 datos preparados'!O594</f>
        <v/>
      </c>
      <c r="Q601" s="7">
        <f>'1 datos preparados'!P594</f>
        <v/>
      </c>
      <c r="R601" s="7">
        <f>'1 datos preparados'!Q594</f>
        <v/>
      </c>
      <c r="S601" s="7">
        <f>'1 datos preparados'!R594</f>
        <v/>
      </c>
      <c r="T601" s="7">
        <f>'1 datos preparados'!S594</f>
        <v/>
      </c>
      <c r="U601" s="7">
        <f>'1 datos preparados'!T594</f>
        <v/>
      </c>
      <c r="V601" s="8">
        <f>$AE$12+D601*$AE$13+E601*$AE$14+F601*$AE$15+G601*$AE$16+H601*$AE$17+I601*$AE$18+J601*$AE$19+K601*$AE$20+L601*$AE$21+M601*$AE$22+N601*$AE$23+O601*$AE$24+P601*$AE$25+Q601*$AE$26+R601*$AE$27+S601*$AE$28+T601*$AE$29+U601*$AE$30</f>
        <v/>
      </c>
      <c r="W601" s="8">
        <f>1/(1+EXP(-V601))</f>
        <v/>
      </c>
      <c r="X601" s="9">
        <f>-IF(C601=1,LN(W601),LN(1-W601))</f>
        <v/>
      </c>
      <c r="Y601" s="8">
        <f>1</f>
        <v/>
      </c>
      <c r="Z601" s="9">
        <f>Y601*X601</f>
        <v/>
      </c>
      <c r="AA601" s="10">
        <f>IF(W601&gt;$AE$32,1,0)</f>
        <v/>
      </c>
      <c r="AB601">
        <f>IF(AA601=C601,1,0)</f>
        <v/>
      </c>
    </row>
    <row r="602">
      <c r="A602">
        <f>'1 datos preparados'!A595</f>
        <v/>
      </c>
      <c r="B602" s="5">
        <f>'1 datos preparados'!U595</f>
        <v/>
      </c>
      <c r="C602">
        <f>'1 datos preparados'!B595</f>
        <v/>
      </c>
      <c r="D602" s="7">
        <f>'1 datos preparados'!C595</f>
        <v/>
      </c>
      <c r="E602" s="7">
        <f>'1 datos preparados'!D595</f>
        <v/>
      </c>
      <c r="F602" s="7">
        <f>'1 datos preparados'!E595</f>
        <v/>
      </c>
      <c r="G602" s="7">
        <f>'1 datos preparados'!F595</f>
        <v/>
      </c>
      <c r="H602" s="7">
        <f>'1 datos preparados'!G595</f>
        <v/>
      </c>
      <c r="I602" s="7">
        <f>'1 datos preparados'!H595</f>
        <v/>
      </c>
      <c r="J602" s="7">
        <f>'1 datos preparados'!I595</f>
        <v/>
      </c>
      <c r="K602" s="7">
        <f>'1 datos preparados'!J595</f>
        <v/>
      </c>
      <c r="L602" s="7">
        <f>'1 datos preparados'!K595</f>
        <v/>
      </c>
      <c r="M602" s="7">
        <f>'1 datos preparados'!L595</f>
        <v/>
      </c>
      <c r="N602" s="7">
        <f>'1 datos preparados'!M595</f>
        <v/>
      </c>
      <c r="O602" s="7">
        <f>'1 datos preparados'!N595</f>
        <v/>
      </c>
      <c r="P602" s="7">
        <f>'1 datos preparados'!O595</f>
        <v/>
      </c>
      <c r="Q602" s="7">
        <f>'1 datos preparados'!P595</f>
        <v/>
      </c>
      <c r="R602" s="7">
        <f>'1 datos preparados'!Q595</f>
        <v/>
      </c>
      <c r="S602" s="7">
        <f>'1 datos preparados'!R595</f>
        <v/>
      </c>
      <c r="T602" s="7">
        <f>'1 datos preparados'!S595</f>
        <v/>
      </c>
      <c r="U602" s="7">
        <f>'1 datos preparados'!T595</f>
        <v/>
      </c>
      <c r="V602" s="8">
        <f>$AE$12+D602*$AE$13+E602*$AE$14+F602*$AE$15+G602*$AE$16+H602*$AE$17+I602*$AE$18+J602*$AE$19+K602*$AE$20+L602*$AE$21+M602*$AE$22+N602*$AE$23+O602*$AE$24+P602*$AE$25+Q602*$AE$26+R602*$AE$27+S602*$AE$28+T602*$AE$29+U602*$AE$30</f>
        <v/>
      </c>
      <c r="W602" s="8">
        <f>1/(1+EXP(-V602))</f>
        <v/>
      </c>
      <c r="X602" s="9">
        <f>-IF(C602=1,LN(W602),LN(1-W602))</f>
        <v/>
      </c>
      <c r="Y602" s="8">
        <f>1</f>
        <v/>
      </c>
      <c r="Z602" s="9">
        <f>Y602*X602</f>
        <v/>
      </c>
      <c r="AA602" s="10">
        <f>IF(W602&gt;$AE$32,1,0)</f>
        <v/>
      </c>
      <c r="AB602">
        <f>IF(AA602=C602,1,0)</f>
        <v/>
      </c>
    </row>
    <row r="603">
      <c r="A603">
        <f>'1 datos preparados'!A596</f>
        <v/>
      </c>
      <c r="B603" s="5">
        <f>'1 datos preparados'!U596</f>
        <v/>
      </c>
      <c r="C603">
        <f>'1 datos preparados'!B596</f>
        <v/>
      </c>
      <c r="D603" s="7">
        <f>'1 datos preparados'!C596</f>
        <v/>
      </c>
      <c r="E603" s="7">
        <f>'1 datos preparados'!D596</f>
        <v/>
      </c>
      <c r="F603" s="7">
        <f>'1 datos preparados'!E596</f>
        <v/>
      </c>
      <c r="G603" s="7">
        <f>'1 datos preparados'!F596</f>
        <v/>
      </c>
      <c r="H603" s="7">
        <f>'1 datos preparados'!G596</f>
        <v/>
      </c>
      <c r="I603" s="7">
        <f>'1 datos preparados'!H596</f>
        <v/>
      </c>
      <c r="J603" s="7">
        <f>'1 datos preparados'!I596</f>
        <v/>
      </c>
      <c r="K603" s="7">
        <f>'1 datos preparados'!J596</f>
        <v/>
      </c>
      <c r="L603" s="7">
        <f>'1 datos preparados'!K596</f>
        <v/>
      </c>
      <c r="M603" s="7">
        <f>'1 datos preparados'!L596</f>
        <v/>
      </c>
      <c r="N603" s="7">
        <f>'1 datos preparados'!M596</f>
        <v/>
      </c>
      <c r="O603" s="7">
        <f>'1 datos preparados'!N596</f>
        <v/>
      </c>
      <c r="P603" s="7">
        <f>'1 datos preparados'!O596</f>
        <v/>
      </c>
      <c r="Q603" s="7">
        <f>'1 datos preparados'!P596</f>
        <v/>
      </c>
      <c r="R603" s="7">
        <f>'1 datos preparados'!Q596</f>
        <v/>
      </c>
      <c r="S603" s="7">
        <f>'1 datos preparados'!R596</f>
        <v/>
      </c>
      <c r="T603" s="7">
        <f>'1 datos preparados'!S596</f>
        <v/>
      </c>
      <c r="U603" s="7">
        <f>'1 datos preparados'!T596</f>
        <v/>
      </c>
      <c r="V603" s="8">
        <f>$AE$12+D603*$AE$13+E603*$AE$14+F603*$AE$15+G603*$AE$16+H603*$AE$17+I603*$AE$18+J603*$AE$19+K603*$AE$20+L603*$AE$21+M603*$AE$22+N603*$AE$23+O603*$AE$24+P603*$AE$25+Q603*$AE$26+R603*$AE$27+S603*$AE$28+T603*$AE$29+U603*$AE$30</f>
        <v/>
      </c>
      <c r="W603" s="8">
        <f>1/(1+EXP(-V603))</f>
        <v/>
      </c>
      <c r="X603" s="9">
        <f>-IF(C603=1,LN(W603),LN(1-W603))</f>
        <v/>
      </c>
      <c r="Y603" s="8">
        <f>1</f>
        <v/>
      </c>
      <c r="Z603" s="9">
        <f>Y603*X603</f>
        <v/>
      </c>
      <c r="AA603" s="10">
        <f>IF(W603&gt;$AE$32,1,0)</f>
        <v/>
      </c>
      <c r="AB603">
        <f>IF(AA603=C603,1,0)</f>
        <v/>
      </c>
    </row>
    <row r="604">
      <c r="A604">
        <f>'1 datos preparados'!A597</f>
        <v/>
      </c>
      <c r="B604" s="5">
        <f>'1 datos preparados'!U597</f>
        <v/>
      </c>
      <c r="C604">
        <f>'1 datos preparados'!B597</f>
        <v/>
      </c>
      <c r="D604" s="7">
        <f>'1 datos preparados'!C597</f>
        <v/>
      </c>
      <c r="E604" s="7">
        <f>'1 datos preparados'!D597</f>
        <v/>
      </c>
      <c r="F604" s="7">
        <f>'1 datos preparados'!E597</f>
        <v/>
      </c>
      <c r="G604" s="7">
        <f>'1 datos preparados'!F597</f>
        <v/>
      </c>
      <c r="H604" s="7">
        <f>'1 datos preparados'!G597</f>
        <v/>
      </c>
      <c r="I604" s="7">
        <f>'1 datos preparados'!H597</f>
        <v/>
      </c>
      <c r="J604" s="7">
        <f>'1 datos preparados'!I597</f>
        <v/>
      </c>
      <c r="K604" s="7">
        <f>'1 datos preparados'!J597</f>
        <v/>
      </c>
      <c r="L604" s="7">
        <f>'1 datos preparados'!K597</f>
        <v/>
      </c>
      <c r="M604" s="7">
        <f>'1 datos preparados'!L597</f>
        <v/>
      </c>
      <c r="N604" s="7">
        <f>'1 datos preparados'!M597</f>
        <v/>
      </c>
      <c r="O604" s="7">
        <f>'1 datos preparados'!N597</f>
        <v/>
      </c>
      <c r="P604" s="7">
        <f>'1 datos preparados'!O597</f>
        <v/>
      </c>
      <c r="Q604" s="7">
        <f>'1 datos preparados'!P597</f>
        <v/>
      </c>
      <c r="R604" s="7">
        <f>'1 datos preparados'!Q597</f>
        <v/>
      </c>
      <c r="S604" s="7">
        <f>'1 datos preparados'!R597</f>
        <v/>
      </c>
      <c r="T604" s="7">
        <f>'1 datos preparados'!S597</f>
        <v/>
      </c>
      <c r="U604" s="7">
        <f>'1 datos preparados'!T597</f>
        <v/>
      </c>
      <c r="V604" s="8">
        <f>$AE$12+D604*$AE$13+E604*$AE$14+F604*$AE$15+G604*$AE$16+H604*$AE$17+I604*$AE$18+J604*$AE$19+K604*$AE$20+L604*$AE$21+M604*$AE$22+N604*$AE$23+O604*$AE$24+P604*$AE$25+Q604*$AE$26+R604*$AE$27+S604*$AE$28+T604*$AE$29+U604*$AE$30</f>
        <v/>
      </c>
      <c r="W604" s="8">
        <f>1/(1+EXP(-V604))</f>
        <v/>
      </c>
      <c r="X604" s="9">
        <f>-IF(C604=1,LN(W604),LN(1-W604))</f>
        <v/>
      </c>
      <c r="Y604" s="8">
        <f>1</f>
        <v/>
      </c>
      <c r="Z604" s="9">
        <f>Y604*X604</f>
        <v/>
      </c>
      <c r="AA604" s="10">
        <f>IF(W604&gt;$AE$32,1,0)</f>
        <v/>
      </c>
      <c r="AB604">
        <f>IF(AA604=C604,1,0)</f>
        <v/>
      </c>
    </row>
    <row r="605">
      <c r="A605">
        <f>'1 datos preparados'!A598</f>
        <v/>
      </c>
      <c r="B605" s="5">
        <f>'1 datos preparados'!U598</f>
        <v/>
      </c>
      <c r="C605">
        <f>'1 datos preparados'!B598</f>
        <v/>
      </c>
      <c r="D605" s="7">
        <f>'1 datos preparados'!C598</f>
        <v/>
      </c>
      <c r="E605" s="7">
        <f>'1 datos preparados'!D598</f>
        <v/>
      </c>
      <c r="F605" s="7">
        <f>'1 datos preparados'!E598</f>
        <v/>
      </c>
      <c r="G605" s="7">
        <f>'1 datos preparados'!F598</f>
        <v/>
      </c>
      <c r="H605" s="7">
        <f>'1 datos preparados'!G598</f>
        <v/>
      </c>
      <c r="I605" s="7">
        <f>'1 datos preparados'!H598</f>
        <v/>
      </c>
      <c r="J605" s="7">
        <f>'1 datos preparados'!I598</f>
        <v/>
      </c>
      <c r="K605" s="7">
        <f>'1 datos preparados'!J598</f>
        <v/>
      </c>
      <c r="L605" s="7">
        <f>'1 datos preparados'!K598</f>
        <v/>
      </c>
      <c r="M605" s="7">
        <f>'1 datos preparados'!L598</f>
        <v/>
      </c>
      <c r="N605" s="7">
        <f>'1 datos preparados'!M598</f>
        <v/>
      </c>
      <c r="O605" s="7">
        <f>'1 datos preparados'!N598</f>
        <v/>
      </c>
      <c r="P605" s="7">
        <f>'1 datos preparados'!O598</f>
        <v/>
      </c>
      <c r="Q605" s="7">
        <f>'1 datos preparados'!P598</f>
        <v/>
      </c>
      <c r="R605" s="7">
        <f>'1 datos preparados'!Q598</f>
        <v/>
      </c>
      <c r="S605" s="7">
        <f>'1 datos preparados'!R598</f>
        <v/>
      </c>
      <c r="T605" s="7">
        <f>'1 datos preparados'!S598</f>
        <v/>
      </c>
      <c r="U605" s="7">
        <f>'1 datos preparados'!T598</f>
        <v/>
      </c>
      <c r="V605" s="8">
        <f>$AE$12+D605*$AE$13+E605*$AE$14+F605*$AE$15+G605*$AE$16+H605*$AE$17+I605*$AE$18+J605*$AE$19+K605*$AE$20+L605*$AE$21+M605*$AE$22+N605*$AE$23+O605*$AE$24+P605*$AE$25+Q605*$AE$26+R605*$AE$27+S605*$AE$28+T605*$AE$29+U605*$AE$30</f>
        <v/>
      </c>
      <c r="W605" s="8">
        <f>1/(1+EXP(-V605))</f>
        <v/>
      </c>
      <c r="X605" s="9">
        <f>-IF(C605=1,LN(W605),LN(1-W605))</f>
        <v/>
      </c>
      <c r="Y605" s="8">
        <f>1</f>
        <v/>
      </c>
      <c r="Z605" s="9">
        <f>Y605*X605</f>
        <v/>
      </c>
      <c r="AA605" s="10">
        <f>IF(W605&gt;$AE$32,1,0)</f>
        <v/>
      </c>
      <c r="AB605">
        <f>IF(AA605=C605,1,0)</f>
        <v/>
      </c>
    </row>
    <row r="606">
      <c r="A606">
        <f>'1 datos preparados'!A599</f>
        <v/>
      </c>
      <c r="B606" s="5">
        <f>'1 datos preparados'!U599</f>
        <v/>
      </c>
      <c r="C606">
        <f>'1 datos preparados'!B599</f>
        <v/>
      </c>
      <c r="D606" s="7">
        <f>'1 datos preparados'!C599</f>
        <v/>
      </c>
      <c r="E606" s="7">
        <f>'1 datos preparados'!D599</f>
        <v/>
      </c>
      <c r="F606" s="7">
        <f>'1 datos preparados'!E599</f>
        <v/>
      </c>
      <c r="G606" s="7">
        <f>'1 datos preparados'!F599</f>
        <v/>
      </c>
      <c r="H606" s="7">
        <f>'1 datos preparados'!G599</f>
        <v/>
      </c>
      <c r="I606" s="7">
        <f>'1 datos preparados'!H599</f>
        <v/>
      </c>
      <c r="J606" s="7">
        <f>'1 datos preparados'!I599</f>
        <v/>
      </c>
      <c r="K606" s="7">
        <f>'1 datos preparados'!J599</f>
        <v/>
      </c>
      <c r="L606" s="7">
        <f>'1 datos preparados'!K599</f>
        <v/>
      </c>
      <c r="M606" s="7">
        <f>'1 datos preparados'!L599</f>
        <v/>
      </c>
      <c r="N606" s="7">
        <f>'1 datos preparados'!M599</f>
        <v/>
      </c>
      <c r="O606" s="7">
        <f>'1 datos preparados'!N599</f>
        <v/>
      </c>
      <c r="P606" s="7">
        <f>'1 datos preparados'!O599</f>
        <v/>
      </c>
      <c r="Q606" s="7">
        <f>'1 datos preparados'!P599</f>
        <v/>
      </c>
      <c r="R606" s="7">
        <f>'1 datos preparados'!Q599</f>
        <v/>
      </c>
      <c r="S606" s="7">
        <f>'1 datos preparados'!R599</f>
        <v/>
      </c>
      <c r="T606" s="7">
        <f>'1 datos preparados'!S599</f>
        <v/>
      </c>
      <c r="U606" s="7">
        <f>'1 datos preparados'!T599</f>
        <v/>
      </c>
      <c r="V606" s="8">
        <f>$AE$12+D606*$AE$13+E606*$AE$14+F606*$AE$15+G606*$AE$16+H606*$AE$17+I606*$AE$18+J606*$AE$19+K606*$AE$20+L606*$AE$21+M606*$AE$22+N606*$AE$23+O606*$AE$24+P606*$AE$25+Q606*$AE$26+R606*$AE$27+S606*$AE$28+T606*$AE$29+U606*$AE$30</f>
        <v/>
      </c>
      <c r="W606" s="8">
        <f>1/(1+EXP(-V606))</f>
        <v/>
      </c>
      <c r="X606" s="9">
        <f>-IF(C606=1,LN(W606),LN(1-W606))</f>
        <v/>
      </c>
      <c r="Y606" s="8">
        <f>1</f>
        <v/>
      </c>
      <c r="Z606" s="9">
        <f>Y606*X606</f>
        <v/>
      </c>
      <c r="AA606" s="10">
        <f>IF(W606&gt;$AE$32,1,0)</f>
        <v/>
      </c>
      <c r="AB606">
        <f>IF(AA606=C606,1,0)</f>
        <v/>
      </c>
    </row>
    <row r="607">
      <c r="A607">
        <f>'1 datos preparados'!A600</f>
        <v/>
      </c>
      <c r="B607" s="5">
        <f>'1 datos preparados'!U600</f>
        <v/>
      </c>
      <c r="C607">
        <f>'1 datos preparados'!B600</f>
        <v/>
      </c>
      <c r="D607" s="7">
        <f>'1 datos preparados'!C600</f>
        <v/>
      </c>
      <c r="E607" s="7">
        <f>'1 datos preparados'!D600</f>
        <v/>
      </c>
      <c r="F607" s="7">
        <f>'1 datos preparados'!E600</f>
        <v/>
      </c>
      <c r="G607" s="7">
        <f>'1 datos preparados'!F600</f>
        <v/>
      </c>
      <c r="H607" s="7">
        <f>'1 datos preparados'!G600</f>
        <v/>
      </c>
      <c r="I607" s="7">
        <f>'1 datos preparados'!H600</f>
        <v/>
      </c>
      <c r="J607" s="7">
        <f>'1 datos preparados'!I600</f>
        <v/>
      </c>
      <c r="K607" s="7">
        <f>'1 datos preparados'!J600</f>
        <v/>
      </c>
      <c r="L607" s="7">
        <f>'1 datos preparados'!K600</f>
        <v/>
      </c>
      <c r="M607" s="7">
        <f>'1 datos preparados'!L600</f>
        <v/>
      </c>
      <c r="N607" s="7">
        <f>'1 datos preparados'!M600</f>
        <v/>
      </c>
      <c r="O607" s="7">
        <f>'1 datos preparados'!N600</f>
        <v/>
      </c>
      <c r="P607" s="7">
        <f>'1 datos preparados'!O600</f>
        <v/>
      </c>
      <c r="Q607" s="7">
        <f>'1 datos preparados'!P600</f>
        <v/>
      </c>
      <c r="R607" s="7">
        <f>'1 datos preparados'!Q600</f>
        <v/>
      </c>
      <c r="S607" s="7">
        <f>'1 datos preparados'!R600</f>
        <v/>
      </c>
      <c r="T607" s="7">
        <f>'1 datos preparados'!S600</f>
        <v/>
      </c>
      <c r="U607" s="7">
        <f>'1 datos preparados'!T600</f>
        <v/>
      </c>
      <c r="V607" s="8">
        <f>$AE$12+D607*$AE$13+E607*$AE$14+F607*$AE$15+G607*$AE$16+H607*$AE$17+I607*$AE$18+J607*$AE$19+K607*$AE$20+L607*$AE$21+M607*$AE$22+N607*$AE$23+O607*$AE$24+P607*$AE$25+Q607*$AE$26+R607*$AE$27+S607*$AE$28+T607*$AE$29+U607*$AE$30</f>
        <v/>
      </c>
      <c r="W607" s="8">
        <f>1/(1+EXP(-V607))</f>
        <v/>
      </c>
      <c r="X607" s="9">
        <f>-IF(C607=1,LN(W607),LN(1-W607))</f>
        <v/>
      </c>
      <c r="Y607" s="8">
        <f>1</f>
        <v/>
      </c>
      <c r="Z607" s="9">
        <f>Y607*X607</f>
        <v/>
      </c>
      <c r="AA607" s="10">
        <f>IF(W607&gt;$AE$32,1,0)</f>
        <v/>
      </c>
      <c r="AB607">
        <f>IF(AA607=C607,1,0)</f>
        <v/>
      </c>
    </row>
    <row r="608">
      <c r="A608">
        <f>'1 datos preparados'!A601</f>
        <v/>
      </c>
      <c r="B608" s="5">
        <f>'1 datos preparados'!U601</f>
        <v/>
      </c>
      <c r="C608">
        <f>'1 datos preparados'!B601</f>
        <v/>
      </c>
      <c r="D608" s="7">
        <f>'1 datos preparados'!C601</f>
        <v/>
      </c>
      <c r="E608" s="7">
        <f>'1 datos preparados'!D601</f>
        <v/>
      </c>
      <c r="F608" s="7">
        <f>'1 datos preparados'!E601</f>
        <v/>
      </c>
      <c r="G608" s="7">
        <f>'1 datos preparados'!F601</f>
        <v/>
      </c>
      <c r="H608" s="7">
        <f>'1 datos preparados'!G601</f>
        <v/>
      </c>
      <c r="I608" s="7">
        <f>'1 datos preparados'!H601</f>
        <v/>
      </c>
      <c r="J608" s="7">
        <f>'1 datos preparados'!I601</f>
        <v/>
      </c>
      <c r="K608" s="7">
        <f>'1 datos preparados'!J601</f>
        <v/>
      </c>
      <c r="L608" s="7">
        <f>'1 datos preparados'!K601</f>
        <v/>
      </c>
      <c r="M608" s="7">
        <f>'1 datos preparados'!L601</f>
        <v/>
      </c>
      <c r="N608" s="7">
        <f>'1 datos preparados'!M601</f>
        <v/>
      </c>
      <c r="O608" s="7">
        <f>'1 datos preparados'!N601</f>
        <v/>
      </c>
      <c r="P608" s="7">
        <f>'1 datos preparados'!O601</f>
        <v/>
      </c>
      <c r="Q608" s="7">
        <f>'1 datos preparados'!P601</f>
        <v/>
      </c>
      <c r="R608" s="7">
        <f>'1 datos preparados'!Q601</f>
        <v/>
      </c>
      <c r="S608" s="7">
        <f>'1 datos preparados'!R601</f>
        <v/>
      </c>
      <c r="T608" s="7">
        <f>'1 datos preparados'!S601</f>
        <v/>
      </c>
      <c r="U608" s="7">
        <f>'1 datos preparados'!T601</f>
        <v/>
      </c>
      <c r="V608" s="8">
        <f>$AE$12+D608*$AE$13+E608*$AE$14+F608*$AE$15+G608*$AE$16+H608*$AE$17+I608*$AE$18+J608*$AE$19+K608*$AE$20+L608*$AE$21+M608*$AE$22+N608*$AE$23+O608*$AE$24+P608*$AE$25+Q608*$AE$26+R608*$AE$27+S608*$AE$28+T608*$AE$29+U608*$AE$30</f>
        <v/>
      </c>
      <c r="W608" s="8">
        <f>1/(1+EXP(-V608))</f>
        <v/>
      </c>
      <c r="X608" s="9">
        <f>-IF(C608=1,LN(W608),LN(1-W608))</f>
        <v/>
      </c>
      <c r="Y608" s="8">
        <f>1</f>
        <v/>
      </c>
      <c r="Z608" s="9">
        <f>Y608*X608</f>
        <v/>
      </c>
      <c r="AA608" s="10">
        <f>IF(W608&gt;$AE$32,1,0)</f>
        <v/>
      </c>
      <c r="AB608">
        <f>IF(AA608=C608,1,0)</f>
        <v/>
      </c>
    </row>
    <row r="609">
      <c r="A609">
        <f>'1 datos preparados'!A602</f>
        <v/>
      </c>
      <c r="B609" s="5">
        <f>'1 datos preparados'!U602</f>
        <v/>
      </c>
      <c r="C609">
        <f>'1 datos preparados'!B602</f>
        <v/>
      </c>
      <c r="D609" s="7">
        <f>'1 datos preparados'!C602</f>
        <v/>
      </c>
      <c r="E609" s="7">
        <f>'1 datos preparados'!D602</f>
        <v/>
      </c>
      <c r="F609" s="7">
        <f>'1 datos preparados'!E602</f>
        <v/>
      </c>
      <c r="G609" s="7">
        <f>'1 datos preparados'!F602</f>
        <v/>
      </c>
      <c r="H609" s="7">
        <f>'1 datos preparados'!G602</f>
        <v/>
      </c>
      <c r="I609" s="7">
        <f>'1 datos preparados'!H602</f>
        <v/>
      </c>
      <c r="J609" s="7">
        <f>'1 datos preparados'!I602</f>
        <v/>
      </c>
      <c r="K609" s="7">
        <f>'1 datos preparados'!J602</f>
        <v/>
      </c>
      <c r="L609" s="7">
        <f>'1 datos preparados'!K602</f>
        <v/>
      </c>
      <c r="M609" s="7">
        <f>'1 datos preparados'!L602</f>
        <v/>
      </c>
      <c r="N609" s="7">
        <f>'1 datos preparados'!M602</f>
        <v/>
      </c>
      <c r="O609" s="7">
        <f>'1 datos preparados'!N602</f>
        <v/>
      </c>
      <c r="P609" s="7">
        <f>'1 datos preparados'!O602</f>
        <v/>
      </c>
      <c r="Q609" s="7">
        <f>'1 datos preparados'!P602</f>
        <v/>
      </c>
      <c r="R609" s="7">
        <f>'1 datos preparados'!Q602</f>
        <v/>
      </c>
      <c r="S609" s="7">
        <f>'1 datos preparados'!R602</f>
        <v/>
      </c>
      <c r="T609" s="7">
        <f>'1 datos preparados'!S602</f>
        <v/>
      </c>
      <c r="U609" s="7">
        <f>'1 datos preparados'!T602</f>
        <v/>
      </c>
      <c r="V609" s="8">
        <f>$AE$12+D609*$AE$13+E609*$AE$14+F609*$AE$15+G609*$AE$16+H609*$AE$17+I609*$AE$18+J609*$AE$19+K609*$AE$20+L609*$AE$21+M609*$AE$22+N609*$AE$23+O609*$AE$24+P609*$AE$25+Q609*$AE$26+R609*$AE$27+S609*$AE$28+T609*$AE$29+U609*$AE$30</f>
        <v/>
      </c>
      <c r="W609" s="8">
        <f>1/(1+EXP(-V609))</f>
        <v/>
      </c>
      <c r="X609" s="9">
        <f>-IF(C609=1,LN(W609),LN(1-W609))</f>
        <v/>
      </c>
      <c r="Y609" s="8">
        <f>1</f>
        <v/>
      </c>
      <c r="Z609" s="9">
        <f>Y609*X609</f>
        <v/>
      </c>
      <c r="AA609" s="10">
        <f>IF(W609&gt;$AE$32,1,0)</f>
        <v/>
      </c>
      <c r="AB609">
        <f>IF(AA609=C609,1,0)</f>
        <v/>
      </c>
    </row>
    <row r="610">
      <c r="A610">
        <f>'1 datos preparados'!A603</f>
        <v/>
      </c>
      <c r="B610" s="5">
        <f>'1 datos preparados'!U603</f>
        <v/>
      </c>
      <c r="C610">
        <f>'1 datos preparados'!B603</f>
        <v/>
      </c>
      <c r="D610" s="7">
        <f>'1 datos preparados'!C603</f>
        <v/>
      </c>
      <c r="E610" s="7">
        <f>'1 datos preparados'!D603</f>
        <v/>
      </c>
      <c r="F610" s="7">
        <f>'1 datos preparados'!E603</f>
        <v/>
      </c>
      <c r="G610" s="7">
        <f>'1 datos preparados'!F603</f>
        <v/>
      </c>
      <c r="H610" s="7">
        <f>'1 datos preparados'!G603</f>
        <v/>
      </c>
      <c r="I610" s="7">
        <f>'1 datos preparados'!H603</f>
        <v/>
      </c>
      <c r="J610" s="7">
        <f>'1 datos preparados'!I603</f>
        <v/>
      </c>
      <c r="K610" s="7">
        <f>'1 datos preparados'!J603</f>
        <v/>
      </c>
      <c r="L610" s="7">
        <f>'1 datos preparados'!K603</f>
        <v/>
      </c>
      <c r="M610" s="7">
        <f>'1 datos preparados'!L603</f>
        <v/>
      </c>
      <c r="N610" s="7">
        <f>'1 datos preparados'!M603</f>
        <v/>
      </c>
      <c r="O610" s="7">
        <f>'1 datos preparados'!N603</f>
        <v/>
      </c>
      <c r="P610" s="7">
        <f>'1 datos preparados'!O603</f>
        <v/>
      </c>
      <c r="Q610" s="7">
        <f>'1 datos preparados'!P603</f>
        <v/>
      </c>
      <c r="R610" s="7">
        <f>'1 datos preparados'!Q603</f>
        <v/>
      </c>
      <c r="S610" s="7">
        <f>'1 datos preparados'!R603</f>
        <v/>
      </c>
      <c r="T610" s="7">
        <f>'1 datos preparados'!S603</f>
        <v/>
      </c>
      <c r="U610" s="7">
        <f>'1 datos preparados'!T603</f>
        <v/>
      </c>
      <c r="V610" s="8">
        <f>$AE$12+D610*$AE$13+E610*$AE$14+F610*$AE$15+G610*$AE$16+H610*$AE$17+I610*$AE$18+J610*$AE$19+K610*$AE$20+L610*$AE$21+M610*$AE$22+N610*$AE$23+O610*$AE$24+P610*$AE$25+Q610*$AE$26+R610*$AE$27+S610*$AE$28+T610*$AE$29+U610*$AE$30</f>
        <v/>
      </c>
      <c r="W610" s="8">
        <f>1/(1+EXP(-V610))</f>
        <v/>
      </c>
      <c r="X610" s="9">
        <f>-IF(C610=1,LN(W610),LN(1-W610))</f>
        <v/>
      </c>
      <c r="Y610" s="8">
        <f>1</f>
        <v/>
      </c>
      <c r="Z610" s="9">
        <f>Y610*X610</f>
        <v/>
      </c>
      <c r="AA610" s="10">
        <f>IF(W610&gt;$AE$32,1,0)</f>
        <v/>
      </c>
      <c r="AB610">
        <f>IF(AA610=C610,1,0)</f>
        <v/>
      </c>
    </row>
    <row r="611">
      <c r="A611">
        <f>'1 datos preparados'!A604</f>
        <v/>
      </c>
      <c r="B611" s="5">
        <f>'1 datos preparados'!U604</f>
        <v/>
      </c>
      <c r="C611">
        <f>'1 datos preparados'!B604</f>
        <v/>
      </c>
      <c r="D611" s="7">
        <f>'1 datos preparados'!C604</f>
        <v/>
      </c>
      <c r="E611" s="7">
        <f>'1 datos preparados'!D604</f>
        <v/>
      </c>
      <c r="F611" s="7">
        <f>'1 datos preparados'!E604</f>
        <v/>
      </c>
      <c r="G611" s="7">
        <f>'1 datos preparados'!F604</f>
        <v/>
      </c>
      <c r="H611" s="7">
        <f>'1 datos preparados'!G604</f>
        <v/>
      </c>
      <c r="I611" s="7">
        <f>'1 datos preparados'!H604</f>
        <v/>
      </c>
      <c r="J611" s="7">
        <f>'1 datos preparados'!I604</f>
        <v/>
      </c>
      <c r="K611" s="7">
        <f>'1 datos preparados'!J604</f>
        <v/>
      </c>
      <c r="L611" s="7">
        <f>'1 datos preparados'!K604</f>
        <v/>
      </c>
      <c r="M611" s="7">
        <f>'1 datos preparados'!L604</f>
        <v/>
      </c>
      <c r="N611" s="7">
        <f>'1 datos preparados'!M604</f>
        <v/>
      </c>
      <c r="O611" s="7">
        <f>'1 datos preparados'!N604</f>
        <v/>
      </c>
      <c r="P611" s="7">
        <f>'1 datos preparados'!O604</f>
        <v/>
      </c>
      <c r="Q611" s="7">
        <f>'1 datos preparados'!P604</f>
        <v/>
      </c>
      <c r="R611" s="7">
        <f>'1 datos preparados'!Q604</f>
        <v/>
      </c>
      <c r="S611" s="7">
        <f>'1 datos preparados'!R604</f>
        <v/>
      </c>
      <c r="T611" s="7">
        <f>'1 datos preparados'!S604</f>
        <v/>
      </c>
      <c r="U611" s="7">
        <f>'1 datos preparados'!T604</f>
        <v/>
      </c>
      <c r="V611" s="8">
        <f>$AE$12+D611*$AE$13+E611*$AE$14+F611*$AE$15+G611*$AE$16+H611*$AE$17+I611*$AE$18+J611*$AE$19+K611*$AE$20+L611*$AE$21+M611*$AE$22+N611*$AE$23+O611*$AE$24+P611*$AE$25+Q611*$AE$26+R611*$AE$27+S611*$AE$28+T611*$AE$29+U611*$AE$30</f>
        <v/>
      </c>
      <c r="W611" s="8">
        <f>1/(1+EXP(-V611))</f>
        <v/>
      </c>
      <c r="X611" s="9">
        <f>-IF(C611=1,LN(W611),LN(1-W611))</f>
        <v/>
      </c>
      <c r="Y611" s="8">
        <f>1</f>
        <v/>
      </c>
      <c r="Z611" s="9">
        <f>Y611*X611</f>
        <v/>
      </c>
      <c r="AA611" s="10">
        <f>IF(W611&gt;$AE$32,1,0)</f>
        <v/>
      </c>
      <c r="AB611">
        <f>IF(AA611=C611,1,0)</f>
        <v/>
      </c>
    </row>
    <row r="612">
      <c r="A612">
        <f>'1 datos preparados'!A605</f>
        <v/>
      </c>
      <c r="B612" s="5">
        <f>'1 datos preparados'!U605</f>
        <v/>
      </c>
      <c r="C612">
        <f>'1 datos preparados'!B605</f>
        <v/>
      </c>
      <c r="D612" s="7">
        <f>'1 datos preparados'!C605</f>
        <v/>
      </c>
      <c r="E612" s="7">
        <f>'1 datos preparados'!D605</f>
        <v/>
      </c>
      <c r="F612" s="7">
        <f>'1 datos preparados'!E605</f>
        <v/>
      </c>
      <c r="G612" s="7">
        <f>'1 datos preparados'!F605</f>
        <v/>
      </c>
      <c r="H612" s="7">
        <f>'1 datos preparados'!G605</f>
        <v/>
      </c>
      <c r="I612" s="7">
        <f>'1 datos preparados'!H605</f>
        <v/>
      </c>
      <c r="J612" s="7">
        <f>'1 datos preparados'!I605</f>
        <v/>
      </c>
      <c r="K612" s="7">
        <f>'1 datos preparados'!J605</f>
        <v/>
      </c>
      <c r="L612" s="7">
        <f>'1 datos preparados'!K605</f>
        <v/>
      </c>
      <c r="M612" s="7">
        <f>'1 datos preparados'!L605</f>
        <v/>
      </c>
      <c r="N612" s="7">
        <f>'1 datos preparados'!M605</f>
        <v/>
      </c>
      <c r="O612" s="7">
        <f>'1 datos preparados'!N605</f>
        <v/>
      </c>
      <c r="P612" s="7">
        <f>'1 datos preparados'!O605</f>
        <v/>
      </c>
      <c r="Q612" s="7">
        <f>'1 datos preparados'!P605</f>
        <v/>
      </c>
      <c r="R612" s="7">
        <f>'1 datos preparados'!Q605</f>
        <v/>
      </c>
      <c r="S612" s="7">
        <f>'1 datos preparados'!R605</f>
        <v/>
      </c>
      <c r="T612" s="7">
        <f>'1 datos preparados'!S605</f>
        <v/>
      </c>
      <c r="U612" s="7">
        <f>'1 datos preparados'!T605</f>
        <v/>
      </c>
      <c r="V612" s="8">
        <f>$AE$12+D612*$AE$13+E612*$AE$14+F612*$AE$15+G612*$AE$16+H612*$AE$17+I612*$AE$18+J612*$AE$19+K612*$AE$20+L612*$AE$21+M612*$AE$22+N612*$AE$23+O612*$AE$24+P612*$AE$25+Q612*$AE$26+R612*$AE$27+S612*$AE$28+T612*$AE$29+U612*$AE$30</f>
        <v/>
      </c>
      <c r="W612" s="8">
        <f>1/(1+EXP(-V612))</f>
        <v/>
      </c>
      <c r="X612" s="9">
        <f>-IF(C612=1,LN(W612),LN(1-W612))</f>
        <v/>
      </c>
      <c r="Y612" s="8">
        <f>1</f>
        <v/>
      </c>
      <c r="Z612" s="9">
        <f>Y612*X612</f>
        <v/>
      </c>
      <c r="AA612" s="10">
        <f>IF(W612&gt;$AE$32,1,0)</f>
        <v/>
      </c>
      <c r="AB612">
        <f>IF(AA612=C612,1,0)</f>
        <v/>
      </c>
    </row>
    <row r="613">
      <c r="A613">
        <f>'1 datos preparados'!A606</f>
        <v/>
      </c>
      <c r="B613" s="5">
        <f>'1 datos preparados'!U606</f>
        <v/>
      </c>
      <c r="C613">
        <f>'1 datos preparados'!B606</f>
        <v/>
      </c>
      <c r="D613" s="7">
        <f>'1 datos preparados'!C606</f>
        <v/>
      </c>
      <c r="E613" s="7">
        <f>'1 datos preparados'!D606</f>
        <v/>
      </c>
      <c r="F613" s="7">
        <f>'1 datos preparados'!E606</f>
        <v/>
      </c>
      <c r="G613" s="7">
        <f>'1 datos preparados'!F606</f>
        <v/>
      </c>
      <c r="H613" s="7">
        <f>'1 datos preparados'!G606</f>
        <v/>
      </c>
      <c r="I613" s="7">
        <f>'1 datos preparados'!H606</f>
        <v/>
      </c>
      <c r="J613" s="7">
        <f>'1 datos preparados'!I606</f>
        <v/>
      </c>
      <c r="K613" s="7">
        <f>'1 datos preparados'!J606</f>
        <v/>
      </c>
      <c r="L613" s="7">
        <f>'1 datos preparados'!K606</f>
        <v/>
      </c>
      <c r="M613" s="7">
        <f>'1 datos preparados'!L606</f>
        <v/>
      </c>
      <c r="N613" s="7">
        <f>'1 datos preparados'!M606</f>
        <v/>
      </c>
      <c r="O613" s="7">
        <f>'1 datos preparados'!N606</f>
        <v/>
      </c>
      <c r="P613" s="7">
        <f>'1 datos preparados'!O606</f>
        <v/>
      </c>
      <c r="Q613" s="7">
        <f>'1 datos preparados'!P606</f>
        <v/>
      </c>
      <c r="R613" s="7">
        <f>'1 datos preparados'!Q606</f>
        <v/>
      </c>
      <c r="S613" s="7">
        <f>'1 datos preparados'!R606</f>
        <v/>
      </c>
      <c r="T613" s="7">
        <f>'1 datos preparados'!S606</f>
        <v/>
      </c>
      <c r="U613" s="7">
        <f>'1 datos preparados'!T606</f>
        <v/>
      </c>
      <c r="V613" s="8">
        <f>$AE$12+D613*$AE$13+E613*$AE$14+F613*$AE$15+G613*$AE$16+H613*$AE$17+I613*$AE$18+J613*$AE$19+K613*$AE$20+L613*$AE$21+M613*$AE$22+N613*$AE$23+O613*$AE$24+P613*$AE$25+Q613*$AE$26+R613*$AE$27+S613*$AE$28+T613*$AE$29+U613*$AE$30</f>
        <v/>
      </c>
      <c r="W613" s="8">
        <f>1/(1+EXP(-V613))</f>
        <v/>
      </c>
      <c r="X613" s="9">
        <f>-IF(C613=1,LN(W613),LN(1-W613))</f>
        <v/>
      </c>
      <c r="Y613" s="8">
        <f>1</f>
        <v/>
      </c>
      <c r="Z613" s="9">
        <f>Y613*X613</f>
        <v/>
      </c>
      <c r="AA613" s="10">
        <f>IF(W613&gt;$AE$32,1,0)</f>
        <v/>
      </c>
      <c r="AB613">
        <f>IF(AA613=C613,1,0)</f>
        <v/>
      </c>
    </row>
    <row r="614">
      <c r="A614">
        <f>'1 datos preparados'!A607</f>
        <v/>
      </c>
      <c r="B614" s="5">
        <f>'1 datos preparados'!U607</f>
        <v/>
      </c>
      <c r="C614">
        <f>'1 datos preparados'!B607</f>
        <v/>
      </c>
      <c r="D614" s="7">
        <f>'1 datos preparados'!C607</f>
        <v/>
      </c>
      <c r="E614" s="7">
        <f>'1 datos preparados'!D607</f>
        <v/>
      </c>
      <c r="F614" s="7">
        <f>'1 datos preparados'!E607</f>
        <v/>
      </c>
      <c r="G614" s="7">
        <f>'1 datos preparados'!F607</f>
        <v/>
      </c>
      <c r="H614" s="7">
        <f>'1 datos preparados'!G607</f>
        <v/>
      </c>
      <c r="I614" s="7">
        <f>'1 datos preparados'!H607</f>
        <v/>
      </c>
      <c r="J614" s="7">
        <f>'1 datos preparados'!I607</f>
        <v/>
      </c>
      <c r="K614" s="7">
        <f>'1 datos preparados'!J607</f>
        <v/>
      </c>
      <c r="L614" s="7">
        <f>'1 datos preparados'!K607</f>
        <v/>
      </c>
      <c r="M614" s="7">
        <f>'1 datos preparados'!L607</f>
        <v/>
      </c>
      <c r="N614" s="7">
        <f>'1 datos preparados'!M607</f>
        <v/>
      </c>
      <c r="O614" s="7">
        <f>'1 datos preparados'!N607</f>
        <v/>
      </c>
      <c r="P614" s="7">
        <f>'1 datos preparados'!O607</f>
        <v/>
      </c>
      <c r="Q614" s="7">
        <f>'1 datos preparados'!P607</f>
        <v/>
      </c>
      <c r="R614" s="7">
        <f>'1 datos preparados'!Q607</f>
        <v/>
      </c>
      <c r="S614" s="7">
        <f>'1 datos preparados'!R607</f>
        <v/>
      </c>
      <c r="T614" s="7">
        <f>'1 datos preparados'!S607</f>
        <v/>
      </c>
      <c r="U614" s="7">
        <f>'1 datos preparados'!T607</f>
        <v/>
      </c>
      <c r="V614" s="8">
        <f>$AE$12+D614*$AE$13+E614*$AE$14+F614*$AE$15+G614*$AE$16+H614*$AE$17+I614*$AE$18+J614*$AE$19+K614*$AE$20+L614*$AE$21+M614*$AE$22+N614*$AE$23+O614*$AE$24+P614*$AE$25+Q614*$AE$26+R614*$AE$27+S614*$AE$28+T614*$AE$29+U614*$AE$30</f>
        <v/>
      </c>
      <c r="W614" s="8">
        <f>1/(1+EXP(-V614))</f>
        <v/>
      </c>
      <c r="X614" s="9">
        <f>-IF(C614=1,LN(W614),LN(1-W614))</f>
        <v/>
      </c>
      <c r="Y614" s="8">
        <f>1</f>
        <v/>
      </c>
      <c r="Z614" s="9">
        <f>Y614*X614</f>
        <v/>
      </c>
      <c r="AA614" s="10">
        <f>IF(W614&gt;$AE$32,1,0)</f>
        <v/>
      </c>
      <c r="AB614">
        <f>IF(AA614=C614,1,0)</f>
        <v/>
      </c>
    </row>
    <row r="615">
      <c r="A615">
        <f>'1 datos preparados'!A608</f>
        <v/>
      </c>
      <c r="B615" s="5">
        <f>'1 datos preparados'!U608</f>
        <v/>
      </c>
      <c r="C615">
        <f>'1 datos preparados'!B608</f>
        <v/>
      </c>
      <c r="D615" s="7">
        <f>'1 datos preparados'!C608</f>
        <v/>
      </c>
      <c r="E615" s="7">
        <f>'1 datos preparados'!D608</f>
        <v/>
      </c>
      <c r="F615" s="7">
        <f>'1 datos preparados'!E608</f>
        <v/>
      </c>
      <c r="G615" s="7">
        <f>'1 datos preparados'!F608</f>
        <v/>
      </c>
      <c r="H615" s="7">
        <f>'1 datos preparados'!G608</f>
        <v/>
      </c>
      <c r="I615" s="7">
        <f>'1 datos preparados'!H608</f>
        <v/>
      </c>
      <c r="J615" s="7">
        <f>'1 datos preparados'!I608</f>
        <v/>
      </c>
      <c r="K615" s="7">
        <f>'1 datos preparados'!J608</f>
        <v/>
      </c>
      <c r="L615" s="7">
        <f>'1 datos preparados'!K608</f>
        <v/>
      </c>
      <c r="M615" s="7">
        <f>'1 datos preparados'!L608</f>
        <v/>
      </c>
      <c r="N615" s="7">
        <f>'1 datos preparados'!M608</f>
        <v/>
      </c>
      <c r="O615" s="7">
        <f>'1 datos preparados'!N608</f>
        <v/>
      </c>
      <c r="P615" s="7">
        <f>'1 datos preparados'!O608</f>
        <v/>
      </c>
      <c r="Q615" s="7">
        <f>'1 datos preparados'!P608</f>
        <v/>
      </c>
      <c r="R615" s="7">
        <f>'1 datos preparados'!Q608</f>
        <v/>
      </c>
      <c r="S615" s="7">
        <f>'1 datos preparados'!R608</f>
        <v/>
      </c>
      <c r="T615" s="7">
        <f>'1 datos preparados'!S608</f>
        <v/>
      </c>
      <c r="U615" s="7">
        <f>'1 datos preparados'!T608</f>
        <v/>
      </c>
      <c r="V615" s="8">
        <f>$AE$12+D615*$AE$13+E615*$AE$14+F615*$AE$15+G615*$AE$16+H615*$AE$17+I615*$AE$18+J615*$AE$19+K615*$AE$20+L615*$AE$21+M615*$AE$22+N615*$AE$23+O615*$AE$24+P615*$AE$25+Q615*$AE$26+R615*$AE$27+S615*$AE$28+T615*$AE$29+U615*$AE$30</f>
        <v/>
      </c>
      <c r="W615" s="8">
        <f>1/(1+EXP(-V615))</f>
        <v/>
      </c>
      <c r="X615" s="9">
        <f>-IF(C615=1,LN(W615),LN(1-W615))</f>
        <v/>
      </c>
      <c r="Y615" s="8">
        <f>1</f>
        <v/>
      </c>
      <c r="Z615" s="9">
        <f>Y615*X615</f>
        <v/>
      </c>
      <c r="AA615" s="10">
        <f>IF(W615&gt;$AE$32,1,0)</f>
        <v/>
      </c>
      <c r="AB615">
        <f>IF(AA615=C615,1,0)</f>
        <v/>
      </c>
    </row>
    <row r="616">
      <c r="A616">
        <f>'1 datos preparados'!A609</f>
        <v/>
      </c>
      <c r="B616" s="5">
        <f>'1 datos preparados'!U609</f>
        <v/>
      </c>
      <c r="C616">
        <f>'1 datos preparados'!B609</f>
        <v/>
      </c>
      <c r="D616" s="7">
        <f>'1 datos preparados'!C609</f>
        <v/>
      </c>
      <c r="E616" s="7">
        <f>'1 datos preparados'!D609</f>
        <v/>
      </c>
      <c r="F616" s="7">
        <f>'1 datos preparados'!E609</f>
        <v/>
      </c>
      <c r="G616" s="7">
        <f>'1 datos preparados'!F609</f>
        <v/>
      </c>
      <c r="H616" s="7">
        <f>'1 datos preparados'!G609</f>
        <v/>
      </c>
      <c r="I616" s="7">
        <f>'1 datos preparados'!H609</f>
        <v/>
      </c>
      <c r="J616" s="7">
        <f>'1 datos preparados'!I609</f>
        <v/>
      </c>
      <c r="K616" s="7">
        <f>'1 datos preparados'!J609</f>
        <v/>
      </c>
      <c r="L616" s="7">
        <f>'1 datos preparados'!K609</f>
        <v/>
      </c>
      <c r="M616" s="7">
        <f>'1 datos preparados'!L609</f>
        <v/>
      </c>
      <c r="N616" s="7">
        <f>'1 datos preparados'!M609</f>
        <v/>
      </c>
      <c r="O616" s="7">
        <f>'1 datos preparados'!N609</f>
        <v/>
      </c>
      <c r="P616" s="7">
        <f>'1 datos preparados'!O609</f>
        <v/>
      </c>
      <c r="Q616" s="7">
        <f>'1 datos preparados'!P609</f>
        <v/>
      </c>
      <c r="R616" s="7">
        <f>'1 datos preparados'!Q609</f>
        <v/>
      </c>
      <c r="S616" s="7">
        <f>'1 datos preparados'!R609</f>
        <v/>
      </c>
      <c r="T616" s="7">
        <f>'1 datos preparados'!S609</f>
        <v/>
      </c>
      <c r="U616" s="7">
        <f>'1 datos preparados'!T609</f>
        <v/>
      </c>
      <c r="V616" s="8">
        <f>$AE$12+D616*$AE$13+E616*$AE$14+F616*$AE$15+G616*$AE$16+H616*$AE$17+I616*$AE$18+J616*$AE$19+K616*$AE$20+L616*$AE$21+M616*$AE$22+N616*$AE$23+O616*$AE$24+P616*$AE$25+Q616*$AE$26+R616*$AE$27+S616*$AE$28+T616*$AE$29+U616*$AE$30</f>
        <v/>
      </c>
      <c r="W616" s="8">
        <f>1/(1+EXP(-V616))</f>
        <v/>
      </c>
      <c r="X616" s="9">
        <f>-IF(C616=1,LN(W616),LN(1-W616))</f>
        <v/>
      </c>
      <c r="Y616" s="8">
        <f>1</f>
        <v/>
      </c>
      <c r="Z616" s="9">
        <f>Y616*X616</f>
        <v/>
      </c>
      <c r="AA616" s="10">
        <f>IF(W616&gt;$AE$32,1,0)</f>
        <v/>
      </c>
      <c r="AB616">
        <f>IF(AA616=C616,1,0)</f>
        <v/>
      </c>
    </row>
    <row r="617">
      <c r="A617">
        <f>'1 datos preparados'!A610</f>
        <v/>
      </c>
      <c r="B617" s="5">
        <f>'1 datos preparados'!U610</f>
        <v/>
      </c>
      <c r="C617">
        <f>'1 datos preparados'!B610</f>
        <v/>
      </c>
      <c r="D617" s="7">
        <f>'1 datos preparados'!C610</f>
        <v/>
      </c>
      <c r="E617" s="7">
        <f>'1 datos preparados'!D610</f>
        <v/>
      </c>
      <c r="F617" s="7">
        <f>'1 datos preparados'!E610</f>
        <v/>
      </c>
      <c r="G617" s="7">
        <f>'1 datos preparados'!F610</f>
        <v/>
      </c>
      <c r="H617" s="7">
        <f>'1 datos preparados'!G610</f>
        <v/>
      </c>
      <c r="I617" s="7">
        <f>'1 datos preparados'!H610</f>
        <v/>
      </c>
      <c r="J617" s="7">
        <f>'1 datos preparados'!I610</f>
        <v/>
      </c>
      <c r="K617" s="7">
        <f>'1 datos preparados'!J610</f>
        <v/>
      </c>
      <c r="L617" s="7">
        <f>'1 datos preparados'!K610</f>
        <v/>
      </c>
      <c r="M617" s="7">
        <f>'1 datos preparados'!L610</f>
        <v/>
      </c>
      <c r="N617" s="7">
        <f>'1 datos preparados'!M610</f>
        <v/>
      </c>
      <c r="O617" s="7">
        <f>'1 datos preparados'!N610</f>
        <v/>
      </c>
      <c r="P617" s="7">
        <f>'1 datos preparados'!O610</f>
        <v/>
      </c>
      <c r="Q617" s="7">
        <f>'1 datos preparados'!P610</f>
        <v/>
      </c>
      <c r="R617" s="7">
        <f>'1 datos preparados'!Q610</f>
        <v/>
      </c>
      <c r="S617" s="7">
        <f>'1 datos preparados'!R610</f>
        <v/>
      </c>
      <c r="T617" s="7">
        <f>'1 datos preparados'!S610</f>
        <v/>
      </c>
      <c r="U617" s="7">
        <f>'1 datos preparados'!T610</f>
        <v/>
      </c>
      <c r="V617" s="8">
        <f>$AE$12+D617*$AE$13+E617*$AE$14+F617*$AE$15+G617*$AE$16+H617*$AE$17+I617*$AE$18+J617*$AE$19+K617*$AE$20+L617*$AE$21+M617*$AE$22+N617*$AE$23+O617*$AE$24+P617*$AE$25+Q617*$AE$26+R617*$AE$27+S617*$AE$28+T617*$AE$29+U617*$AE$30</f>
        <v/>
      </c>
      <c r="W617" s="8">
        <f>1/(1+EXP(-V617))</f>
        <v/>
      </c>
      <c r="X617" s="9">
        <f>-IF(C617=1,LN(W617),LN(1-W617))</f>
        <v/>
      </c>
      <c r="Y617" s="8">
        <f>1</f>
        <v/>
      </c>
      <c r="Z617" s="9">
        <f>Y617*X617</f>
        <v/>
      </c>
      <c r="AA617" s="10">
        <f>IF(W617&gt;$AE$32,1,0)</f>
        <v/>
      </c>
      <c r="AB617">
        <f>IF(AA617=C617,1,0)</f>
        <v/>
      </c>
    </row>
    <row r="618">
      <c r="A618">
        <f>'1 datos preparados'!A611</f>
        <v/>
      </c>
      <c r="B618" s="5">
        <f>'1 datos preparados'!U611</f>
        <v/>
      </c>
      <c r="C618">
        <f>'1 datos preparados'!B611</f>
        <v/>
      </c>
      <c r="D618" s="7">
        <f>'1 datos preparados'!C611</f>
        <v/>
      </c>
      <c r="E618" s="7">
        <f>'1 datos preparados'!D611</f>
        <v/>
      </c>
      <c r="F618" s="7">
        <f>'1 datos preparados'!E611</f>
        <v/>
      </c>
      <c r="G618" s="7">
        <f>'1 datos preparados'!F611</f>
        <v/>
      </c>
      <c r="H618" s="7">
        <f>'1 datos preparados'!G611</f>
        <v/>
      </c>
      <c r="I618" s="7">
        <f>'1 datos preparados'!H611</f>
        <v/>
      </c>
      <c r="J618" s="7">
        <f>'1 datos preparados'!I611</f>
        <v/>
      </c>
      <c r="K618" s="7">
        <f>'1 datos preparados'!J611</f>
        <v/>
      </c>
      <c r="L618" s="7">
        <f>'1 datos preparados'!K611</f>
        <v/>
      </c>
      <c r="M618" s="7">
        <f>'1 datos preparados'!L611</f>
        <v/>
      </c>
      <c r="N618" s="7">
        <f>'1 datos preparados'!M611</f>
        <v/>
      </c>
      <c r="O618" s="7">
        <f>'1 datos preparados'!N611</f>
        <v/>
      </c>
      <c r="P618" s="7">
        <f>'1 datos preparados'!O611</f>
        <v/>
      </c>
      <c r="Q618" s="7">
        <f>'1 datos preparados'!P611</f>
        <v/>
      </c>
      <c r="R618" s="7">
        <f>'1 datos preparados'!Q611</f>
        <v/>
      </c>
      <c r="S618" s="7">
        <f>'1 datos preparados'!R611</f>
        <v/>
      </c>
      <c r="T618" s="7">
        <f>'1 datos preparados'!S611</f>
        <v/>
      </c>
      <c r="U618" s="7">
        <f>'1 datos preparados'!T611</f>
        <v/>
      </c>
      <c r="V618" s="8">
        <f>$AE$12+D618*$AE$13+E618*$AE$14+F618*$AE$15+G618*$AE$16+H618*$AE$17+I618*$AE$18+J618*$AE$19+K618*$AE$20+L618*$AE$21+M618*$AE$22+N618*$AE$23+O618*$AE$24+P618*$AE$25+Q618*$AE$26+R618*$AE$27+S618*$AE$28+T618*$AE$29+U618*$AE$30</f>
        <v/>
      </c>
      <c r="W618" s="8">
        <f>1/(1+EXP(-V618))</f>
        <v/>
      </c>
      <c r="X618" s="9">
        <f>-IF(C618=1,LN(W618),LN(1-W618))</f>
        <v/>
      </c>
      <c r="Y618" s="8">
        <f>1</f>
        <v/>
      </c>
      <c r="Z618" s="9">
        <f>Y618*X618</f>
        <v/>
      </c>
      <c r="AA618" s="10">
        <f>IF(W618&gt;$AE$32,1,0)</f>
        <v/>
      </c>
      <c r="AB618">
        <f>IF(AA618=C618,1,0)</f>
        <v/>
      </c>
    </row>
    <row r="619">
      <c r="A619">
        <f>'1 datos preparados'!A612</f>
        <v/>
      </c>
      <c r="B619" s="5">
        <f>'1 datos preparados'!U612</f>
        <v/>
      </c>
      <c r="C619">
        <f>'1 datos preparados'!B612</f>
        <v/>
      </c>
      <c r="D619" s="7">
        <f>'1 datos preparados'!C612</f>
        <v/>
      </c>
      <c r="E619" s="7">
        <f>'1 datos preparados'!D612</f>
        <v/>
      </c>
      <c r="F619" s="7">
        <f>'1 datos preparados'!E612</f>
        <v/>
      </c>
      <c r="G619" s="7">
        <f>'1 datos preparados'!F612</f>
        <v/>
      </c>
      <c r="H619" s="7">
        <f>'1 datos preparados'!G612</f>
        <v/>
      </c>
      <c r="I619" s="7">
        <f>'1 datos preparados'!H612</f>
        <v/>
      </c>
      <c r="J619" s="7">
        <f>'1 datos preparados'!I612</f>
        <v/>
      </c>
      <c r="K619" s="7">
        <f>'1 datos preparados'!J612</f>
        <v/>
      </c>
      <c r="L619" s="7">
        <f>'1 datos preparados'!K612</f>
        <v/>
      </c>
      <c r="M619" s="7">
        <f>'1 datos preparados'!L612</f>
        <v/>
      </c>
      <c r="N619" s="7">
        <f>'1 datos preparados'!M612</f>
        <v/>
      </c>
      <c r="O619" s="7">
        <f>'1 datos preparados'!N612</f>
        <v/>
      </c>
      <c r="P619" s="7">
        <f>'1 datos preparados'!O612</f>
        <v/>
      </c>
      <c r="Q619" s="7">
        <f>'1 datos preparados'!P612</f>
        <v/>
      </c>
      <c r="R619" s="7">
        <f>'1 datos preparados'!Q612</f>
        <v/>
      </c>
      <c r="S619" s="7">
        <f>'1 datos preparados'!R612</f>
        <v/>
      </c>
      <c r="T619" s="7">
        <f>'1 datos preparados'!S612</f>
        <v/>
      </c>
      <c r="U619" s="7">
        <f>'1 datos preparados'!T612</f>
        <v/>
      </c>
      <c r="V619" s="8">
        <f>$AE$12+D619*$AE$13+E619*$AE$14+F619*$AE$15+G619*$AE$16+H619*$AE$17+I619*$AE$18+J619*$AE$19+K619*$AE$20+L619*$AE$21+M619*$AE$22+N619*$AE$23+O619*$AE$24+P619*$AE$25+Q619*$AE$26+R619*$AE$27+S619*$AE$28+T619*$AE$29+U619*$AE$30</f>
        <v/>
      </c>
      <c r="W619" s="8">
        <f>1/(1+EXP(-V619))</f>
        <v/>
      </c>
      <c r="X619" s="9">
        <f>-IF(C619=1,LN(W619),LN(1-W619))</f>
        <v/>
      </c>
      <c r="Y619" s="8">
        <f>1</f>
        <v/>
      </c>
      <c r="Z619" s="9">
        <f>Y619*X619</f>
        <v/>
      </c>
      <c r="AA619" s="10">
        <f>IF(W619&gt;$AE$32,1,0)</f>
        <v/>
      </c>
      <c r="AB619">
        <f>IF(AA619=C619,1,0)</f>
        <v/>
      </c>
    </row>
    <row r="620">
      <c r="A620">
        <f>'1 datos preparados'!A613</f>
        <v/>
      </c>
      <c r="B620" s="5">
        <f>'1 datos preparados'!U613</f>
        <v/>
      </c>
      <c r="C620">
        <f>'1 datos preparados'!B613</f>
        <v/>
      </c>
      <c r="D620" s="7">
        <f>'1 datos preparados'!C613</f>
        <v/>
      </c>
      <c r="E620" s="7">
        <f>'1 datos preparados'!D613</f>
        <v/>
      </c>
      <c r="F620" s="7">
        <f>'1 datos preparados'!E613</f>
        <v/>
      </c>
      <c r="G620" s="7">
        <f>'1 datos preparados'!F613</f>
        <v/>
      </c>
      <c r="H620" s="7">
        <f>'1 datos preparados'!G613</f>
        <v/>
      </c>
      <c r="I620" s="7">
        <f>'1 datos preparados'!H613</f>
        <v/>
      </c>
      <c r="J620" s="7">
        <f>'1 datos preparados'!I613</f>
        <v/>
      </c>
      <c r="K620" s="7">
        <f>'1 datos preparados'!J613</f>
        <v/>
      </c>
      <c r="L620" s="7">
        <f>'1 datos preparados'!K613</f>
        <v/>
      </c>
      <c r="M620" s="7">
        <f>'1 datos preparados'!L613</f>
        <v/>
      </c>
      <c r="N620" s="7">
        <f>'1 datos preparados'!M613</f>
        <v/>
      </c>
      <c r="O620" s="7">
        <f>'1 datos preparados'!N613</f>
        <v/>
      </c>
      <c r="P620" s="7">
        <f>'1 datos preparados'!O613</f>
        <v/>
      </c>
      <c r="Q620" s="7">
        <f>'1 datos preparados'!P613</f>
        <v/>
      </c>
      <c r="R620" s="7">
        <f>'1 datos preparados'!Q613</f>
        <v/>
      </c>
      <c r="S620" s="7">
        <f>'1 datos preparados'!R613</f>
        <v/>
      </c>
      <c r="T620" s="7">
        <f>'1 datos preparados'!S613</f>
        <v/>
      </c>
      <c r="U620" s="7">
        <f>'1 datos preparados'!T613</f>
        <v/>
      </c>
      <c r="V620" s="8">
        <f>$AE$12+D620*$AE$13+E620*$AE$14+F620*$AE$15+G620*$AE$16+H620*$AE$17+I620*$AE$18+J620*$AE$19+K620*$AE$20+L620*$AE$21+M620*$AE$22+N620*$AE$23+O620*$AE$24+P620*$AE$25+Q620*$AE$26+R620*$AE$27+S620*$AE$28+T620*$AE$29+U620*$AE$30</f>
        <v/>
      </c>
      <c r="W620" s="8">
        <f>1/(1+EXP(-V620))</f>
        <v/>
      </c>
      <c r="X620" s="9">
        <f>-IF(C620=1,LN(W620),LN(1-W620))</f>
        <v/>
      </c>
      <c r="Y620" s="8">
        <f>1</f>
        <v/>
      </c>
      <c r="Z620" s="9">
        <f>Y620*X620</f>
        <v/>
      </c>
      <c r="AA620" s="10">
        <f>IF(W620&gt;$AE$32,1,0)</f>
        <v/>
      </c>
      <c r="AB620">
        <f>IF(AA620=C620,1,0)</f>
        <v/>
      </c>
    </row>
    <row r="621">
      <c r="A621">
        <f>'1 datos preparados'!A614</f>
        <v/>
      </c>
      <c r="B621" s="5">
        <f>'1 datos preparados'!U614</f>
        <v/>
      </c>
      <c r="C621">
        <f>'1 datos preparados'!B614</f>
        <v/>
      </c>
      <c r="D621" s="7">
        <f>'1 datos preparados'!C614</f>
        <v/>
      </c>
      <c r="E621" s="7">
        <f>'1 datos preparados'!D614</f>
        <v/>
      </c>
      <c r="F621" s="7">
        <f>'1 datos preparados'!E614</f>
        <v/>
      </c>
      <c r="G621" s="7">
        <f>'1 datos preparados'!F614</f>
        <v/>
      </c>
      <c r="H621" s="7">
        <f>'1 datos preparados'!G614</f>
        <v/>
      </c>
      <c r="I621" s="7">
        <f>'1 datos preparados'!H614</f>
        <v/>
      </c>
      <c r="J621" s="7">
        <f>'1 datos preparados'!I614</f>
        <v/>
      </c>
      <c r="K621" s="7">
        <f>'1 datos preparados'!J614</f>
        <v/>
      </c>
      <c r="L621" s="7">
        <f>'1 datos preparados'!K614</f>
        <v/>
      </c>
      <c r="M621" s="7">
        <f>'1 datos preparados'!L614</f>
        <v/>
      </c>
      <c r="N621" s="7">
        <f>'1 datos preparados'!M614</f>
        <v/>
      </c>
      <c r="O621" s="7">
        <f>'1 datos preparados'!N614</f>
        <v/>
      </c>
      <c r="P621" s="7">
        <f>'1 datos preparados'!O614</f>
        <v/>
      </c>
      <c r="Q621" s="7">
        <f>'1 datos preparados'!P614</f>
        <v/>
      </c>
      <c r="R621" s="7">
        <f>'1 datos preparados'!Q614</f>
        <v/>
      </c>
      <c r="S621" s="7">
        <f>'1 datos preparados'!R614</f>
        <v/>
      </c>
      <c r="T621" s="7">
        <f>'1 datos preparados'!S614</f>
        <v/>
      </c>
      <c r="U621" s="7">
        <f>'1 datos preparados'!T614</f>
        <v/>
      </c>
      <c r="V621" s="8">
        <f>$AE$12+D621*$AE$13+E621*$AE$14+F621*$AE$15+G621*$AE$16+H621*$AE$17+I621*$AE$18+J621*$AE$19+K621*$AE$20+L621*$AE$21+M621*$AE$22+N621*$AE$23+O621*$AE$24+P621*$AE$25+Q621*$AE$26+R621*$AE$27+S621*$AE$28+T621*$AE$29+U621*$AE$30</f>
        <v/>
      </c>
      <c r="W621" s="8">
        <f>1/(1+EXP(-V621))</f>
        <v/>
      </c>
      <c r="X621" s="9">
        <f>-IF(C621=1,LN(W621),LN(1-W621))</f>
        <v/>
      </c>
      <c r="Y621" s="8">
        <f>1</f>
        <v/>
      </c>
      <c r="Z621" s="9">
        <f>Y621*X621</f>
        <v/>
      </c>
      <c r="AA621" s="10">
        <f>IF(W621&gt;$AE$32,1,0)</f>
        <v/>
      </c>
      <c r="AB621">
        <f>IF(AA621=C621,1,0)</f>
        <v/>
      </c>
    </row>
    <row r="622">
      <c r="A622">
        <f>'1 datos preparados'!A615</f>
        <v/>
      </c>
      <c r="B622" s="5">
        <f>'1 datos preparados'!U615</f>
        <v/>
      </c>
      <c r="C622">
        <f>'1 datos preparados'!B615</f>
        <v/>
      </c>
      <c r="D622" s="7">
        <f>'1 datos preparados'!C615</f>
        <v/>
      </c>
      <c r="E622" s="7">
        <f>'1 datos preparados'!D615</f>
        <v/>
      </c>
      <c r="F622" s="7">
        <f>'1 datos preparados'!E615</f>
        <v/>
      </c>
      <c r="G622" s="7">
        <f>'1 datos preparados'!F615</f>
        <v/>
      </c>
      <c r="H622" s="7">
        <f>'1 datos preparados'!G615</f>
        <v/>
      </c>
      <c r="I622" s="7">
        <f>'1 datos preparados'!H615</f>
        <v/>
      </c>
      <c r="J622" s="7">
        <f>'1 datos preparados'!I615</f>
        <v/>
      </c>
      <c r="K622" s="7">
        <f>'1 datos preparados'!J615</f>
        <v/>
      </c>
      <c r="L622" s="7">
        <f>'1 datos preparados'!K615</f>
        <v/>
      </c>
      <c r="M622" s="7">
        <f>'1 datos preparados'!L615</f>
        <v/>
      </c>
      <c r="N622" s="7">
        <f>'1 datos preparados'!M615</f>
        <v/>
      </c>
      <c r="O622" s="7">
        <f>'1 datos preparados'!N615</f>
        <v/>
      </c>
      <c r="P622" s="7">
        <f>'1 datos preparados'!O615</f>
        <v/>
      </c>
      <c r="Q622" s="7">
        <f>'1 datos preparados'!P615</f>
        <v/>
      </c>
      <c r="R622" s="7">
        <f>'1 datos preparados'!Q615</f>
        <v/>
      </c>
      <c r="S622" s="7">
        <f>'1 datos preparados'!R615</f>
        <v/>
      </c>
      <c r="T622" s="7">
        <f>'1 datos preparados'!S615</f>
        <v/>
      </c>
      <c r="U622" s="7">
        <f>'1 datos preparados'!T615</f>
        <v/>
      </c>
      <c r="V622" s="8">
        <f>$AE$12+D622*$AE$13+E622*$AE$14+F622*$AE$15+G622*$AE$16+H622*$AE$17+I622*$AE$18+J622*$AE$19+K622*$AE$20+L622*$AE$21+M622*$AE$22+N622*$AE$23+O622*$AE$24+P622*$AE$25+Q622*$AE$26+R622*$AE$27+S622*$AE$28+T622*$AE$29+U622*$AE$30</f>
        <v/>
      </c>
      <c r="W622" s="8">
        <f>1/(1+EXP(-V622))</f>
        <v/>
      </c>
      <c r="X622" s="9">
        <f>-IF(C622=1,LN(W622),LN(1-W622))</f>
        <v/>
      </c>
      <c r="Y622" s="8">
        <f>1</f>
        <v/>
      </c>
      <c r="Z622" s="9">
        <f>Y622*X622</f>
        <v/>
      </c>
      <c r="AA622" s="10">
        <f>IF(W622&gt;$AE$32,1,0)</f>
        <v/>
      </c>
      <c r="AB622">
        <f>IF(AA622=C622,1,0)</f>
        <v/>
      </c>
    </row>
    <row r="623">
      <c r="A623">
        <f>'1 datos preparados'!A616</f>
        <v/>
      </c>
      <c r="B623" s="5">
        <f>'1 datos preparados'!U616</f>
        <v/>
      </c>
      <c r="C623">
        <f>'1 datos preparados'!B616</f>
        <v/>
      </c>
      <c r="D623" s="7">
        <f>'1 datos preparados'!C616</f>
        <v/>
      </c>
      <c r="E623" s="7">
        <f>'1 datos preparados'!D616</f>
        <v/>
      </c>
      <c r="F623" s="7">
        <f>'1 datos preparados'!E616</f>
        <v/>
      </c>
      <c r="G623" s="7">
        <f>'1 datos preparados'!F616</f>
        <v/>
      </c>
      <c r="H623" s="7">
        <f>'1 datos preparados'!G616</f>
        <v/>
      </c>
      <c r="I623" s="7">
        <f>'1 datos preparados'!H616</f>
        <v/>
      </c>
      <c r="J623" s="7">
        <f>'1 datos preparados'!I616</f>
        <v/>
      </c>
      <c r="K623" s="7">
        <f>'1 datos preparados'!J616</f>
        <v/>
      </c>
      <c r="L623" s="7">
        <f>'1 datos preparados'!K616</f>
        <v/>
      </c>
      <c r="M623" s="7">
        <f>'1 datos preparados'!L616</f>
        <v/>
      </c>
      <c r="N623" s="7">
        <f>'1 datos preparados'!M616</f>
        <v/>
      </c>
      <c r="O623" s="7">
        <f>'1 datos preparados'!N616</f>
        <v/>
      </c>
      <c r="P623" s="7">
        <f>'1 datos preparados'!O616</f>
        <v/>
      </c>
      <c r="Q623" s="7">
        <f>'1 datos preparados'!P616</f>
        <v/>
      </c>
      <c r="R623" s="7">
        <f>'1 datos preparados'!Q616</f>
        <v/>
      </c>
      <c r="S623" s="7">
        <f>'1 datos preparados'!R616</f>
        <v/>
      </c>
      <c r="T623" s="7">
        <f>'1 datos preparados'!S616</f>
        <v/>
      </c>
      <c r="U623" s="7">
        <f>'1 datos preparados'!T616</f>
        <v/>
      </c>
      <c r="V623" s="8">
        <f>$AE$12+D623*$AE$13+E623*$AE$14+F623*$AE$15+G623*$AE$16+H623*$AE$17+I623*$AE$18+J623*$AE$19+K623*$AE$20+L623*$AE$21+M623*$AE$22+N623*$AE$23+O623*$AE$24+P623*$AE$25+Q623*$AE$26+R623*$AE$27+S623*$AE$28+T623*$AE$29+U623*$AE$30</f>
        <v/>
      </c>
      <c r="W623" s="8">
        <f>1/(1+EXP(-V623))</f>
        <v/>
      </c>
      <c r="X623" s="9">
        <f>-IF(C623=1,LN(W623),LN(1-W623))</f>
        <v/>
      </c>
      <c r="Y623" s="8">
        <f>1</f>
        <v/>
      </c>
      <c r="Z623" s="9">
        <f>Y623*X623</f>
        <v/>
      </c>
      <c r="AA623" s="10">
        <f>IF(W623&gt;$AE$32,1,0)</f>
        <v/>
      </c>
      <c r="AB623">
        <f>IF(AA623=C623,1,0)</f>
        <v/>
      </c>
    </row>
    <row r="624">
      <c r="A624">
        <f>'1 datos preparados'!A617</f>
        <v/>
      </c>
      <c r="B624" s="5">
        <f>'1 datos preparados'!U617</f>
        <v/>
      </c>
      <c r="C624">
        <f>'1 datos preparados'!B617</f>
        <v/>
      </c>
      <c r="D624" s="7">
        <f>'1 datos preparados'!C617</f>
        <v/>
      </c>
      <c r="E624" s="7">
        <f>'1 datos preparados'!D617</f>
        <v/>
      </c>
      <c r="F624" s="7">
        <f>'1 datos preparados'!E617</f>
        <v/>
      </c>
      <c r="G624" s="7">
        <f>'1 datos preparados'!F617</f>
        <v/>
      </c>
      <c r="H624" s="7">
        <f>'1 datos preparados'!G617</f>
        <v/>
      </c>
      <c r="I624" s="7">
        <f>'1 datos preparados'!H617</f>
        <v/>
      </c>
      <c r="J624" s="7">
        <f>'1 datos preparados'!I617</f>
        <v/>
      </c>
      <c r="K624" s="7">
        <f>'1 datos preparados'!J617</f>
        <v/>
      </c>
      <c r="L624" s="7">
        <f>'1 datos preparados'!K617</f>
        <v/>
      </c>
      <c r="M624" s="7">
        <f>'1 datos preparados'!L617</f>
        <v/>
      </c>
      <c r="N624" s="7">
        <f>'1 datos preparados'!M617</f>
        <v/>
      </c>
      <c r="O624" s="7">
        <f>'1 datos preparados'!N617</f>
        <v/>
      </c>
      <c r="P624" s="7">
        <f>'1 datos preparados'!O617</f>
        <v/>
      </c>
      <c r="Q624" s="7">
        <f>'1 datos preparados'!P617</f>
        <v/>
      </c>
      <c r="R624" s="7">
        <f>'1 datos preparados'!Q617</f>
        <v/>
      </c>
      <c r="S624" s="7">
        <f>'1 datos preparados'!R617</f>
        <v/>
      </c>
      <c r="T624" s="7">
        <f>'1 datos preparados'!S617</f>
        <v/>
      </c>
      <c r="U624" s="7">
        <f>'1 datos preparados'!T617</f>
        <v/>
      </c>
      <c r="V624" s="8">
        <f>$AE$12+D624*$AE$13+E624*$AE$14+F624*$AE$15+G624*$AE$16+H624*$AE$17+I624*$AE$18+J624*$AE$19+K624*$AE$20+L624*$AE$21+M624*$AE$22+N624*$AE$23+O624*$AE$24+P624*$AE$25+Q624*$AE$26+R624*$AE$27+S624*$AE$28+T624*$AE$29+U624*$AE$30</f>
        <v/>
      </c>
      <c r="W624" s="8">
        <f>1/(1+EXP(-V624))</f>
        <v/>
      </c>
      <c r="X624" s="9">
        <f>-IF(C624=1,LN(W624),LN(1-W624))</f>
        <v/>
      </c>
      <c r="Y624" s="8">
        <f>1</f>
        <v/>
      </c>
      <c r="Z624" s="9">
        <f>Y624*X624</f>
        <v/>
      </c>
      <c r="AA624" s="10">
        <f>IF(W624&gt;$AE$32,1,0)</f>
        <v/>
      </c>
      <c r="AB624">
        <f>IF(AA624=C624,1,0)</f>
        <v/>
      </c>
    </row>
    <row r="625">
      <c r="A625">
        <f>'1 datos preparados'!A618</f>
        <v/>
      </c>
      <c r="B625" s="5">
        <f>'1 datos preparados'!U618</f>
        <v/>
      </c>
      <c r="C625">
        <f>'1 datos preparados'!B618</f>
        <v/>
      </c>
      <c r="D625" s="7">
        <f>'1 datos preparados'!C618</f>
        <v/>
      </c>
      <c r="E625" s="7">
        <f>'1 datos preparados'!D618</f>
        <v/>
      </c>
      <c r="F625" s="7">
        <f>'1 datos preparados'!E618</f>
        <v/>
      </c>
      <c r="G625" s="7">
        <f>'1 datos preparados'!F618</f>
        <v/>
      </c>
      <c r="H625" s="7">
        <f>'1 datos preparados'!G618</f>
        <v/>
      </c>
      <c r="I625" s="7">
        <f>'1 datos preparados'!H618</f>
        <v/>
      </c>
      <c r="J625" s="7">
        <f>'1 datos preparados'!I618</f>
        <v/>
      </c>
      <c r="K625" s="7">
        <f>'1 datos preparados'!J618</f>
        <v/>
      </c>
      <c r="L625" s="7">
        <f>'1 datos preparados'!K618</f>
        <v/>
      </c>
      <c r="M625" s="7">
        <f>'1 datos preparados'!L618</f>
        <v/>
      </c>
      <c r="N625" s="7">
        <f>'1 datos preparados'!M618</f>
        <v/>
      </c>
      <c r="O625" s="7">
        <f>'1 datos preparados'!N618</f>
        <v/>
      </c>
      <c r="P625" s="7">
        <f>'1 datos preparados'!O618</f>
        <v/>
      </c>
      <c r="Q625" s="7">
        <f>'1 datos preparados'!P618</f>
        <v/>
      </c>
      <c r="R625" s="7">
        <f>'1 datos preparados'!Q618</f>
        <v/>
      </c>
      <c r="S625" s="7">
        <f>'1 datos preparados'!R618</f>
        <v/>
      </c>
      <c r="T625" s="7">
        <f>'1 datos preparados'!S618</f>
        <v/>
      </c>
      <c r="U625" s="7">
        <f>'1 datos preparados'!T618</f>
        <v/>
      </c>
      <c r="V625" s="8">
        <f>$AE$12+D625*$AE$13+E625*$AE$14+F625*$AE$15+G625*$AE$16+H625*$AE$17+I625*$AE$18+J625*$AE$19+K625*$AE$20+L625*$AE$21+M625*$AE$22+N625*$AE$23+O625*$AE$24+P625*$AE$25+Q625*$AE$26+R625*$AE$27+S625*$AE$28+T625*$AE$29+U625*$AE$30</f>
        <v/>
      </c>
      <c r="W625" s="8">
        <f>1/(1+EXP(-V625))</f>
        <v/>
      </c>
      <c r="X625" s="9">
        <f>-IF(C625=1,LN(W625),LN(1-W625))</f>
        <v/>
      </c>
      <c r="Y625" s="8">
        <f>1</f>
        <v/>
      </c>
      <c r="Z625" s="9">
        <f>Y625*X625</f>
        <v/>
      </c>
      <c r="AA625" s="10">
        <f>IF(W625&gt;$AE$32,1,0)</f>
        <v/>
      </c>
      <c r="AB625">
        <f>IF(AA625=C625,1,0)</f>
        <v/>
      </c>
    </row>
    <row r="626">
      <c r="A626">
        <f>'1 datos preparados'!A619</f>
        <v/>
      </c>
      <c r="B626" s="5">
        <f>'1 datos preparados'!U619</f>
        <v/>
      </c>
      <c r="C626">
        <f>'1 datos preparados'!B619</f>
        <v/>
      </c>
      <c r="D626" s="7">
        <f>'1 datos preparados'!C619</f>
        <v/>
      </c>
      <c r="E626" s="7">
        <f>'1 datos preparados'!D619</f>
        <v/>
      </c>
      <c r="F626" s="7">
        <f>'1 datos preparados'!E619</f>
        <v/>
      </c>
      <c r="G626" s="7">
        <f>'1 datos preparados'!F619</f>
        <v/>
      </c>
      <c r="H626" s="7">
        <f>'1 datos preparados'!G619</f>
        <v/>
      </c>
      <c r="I626" s="7">
        <f>'1 datos preparados'!H619</f>
        <v/>
      </c>
      <c r="J626" s="7">
        <f>'1 datos preparados'!I619</f>
        <v/>
      </c>
      <c r="K626" s="7">
        <f>'1 datos preparados'!J619</f>
        <v/>
      </c>
      <c r="L626" s="7">
        <f>'1 datos preparados'!K619</f>
        <v/>
      </c>
      <c r="M626" s="7">
        <f>'1 datos preparados'!L619</f>
        <v/>
      </c>
      <c r="N626" s="7">
        <f>'1 datos preparados'!M619</f>
        <v/>
      </c>
      <c r="O626" s="7">
        <f>'1 datos preparados'!N619</f>
        <v/>
      </c>
      <c r="P626" s="7">
        <f>'1 datos preparados'!O619</f>
        <v/>
      </c>
      <c r="Q626" s="7">
        <f>'1 datos preparados'!P619</f>
        <v/>
      </c>
      <c r="R626" s="7">
        <f>'1 datos preparados'!Q619</f>
        <v/>
      </c>
      <c r="S626" s="7">
        <f>'1 datos preparados'!R619</f>
        <v/>
      </c>
      <c r="T626" s="7">
        <f>'1 datos preparados'!S619</f>
        <v/>
      </c>
      <c r="U626" s="7">
        <f>'1 datos preparados'!T619</f>
        <v/>
      </c>
      <c r="V626" s="8">
        <f>$AE$12+D626*$AE$13+E626*$AE$14+F626*$AE$15+G626*$AE$16+H626*$AE$17+I626*$AE$18+J626*$AE$19+K626*$AE$20+L626*$AE$21+M626*$AE$22+N626*$AE$23+O626*$AE$24+P626*$AE$25+Q626*$AE$26+R626*$AE$27+S626*$AE$28+T626*$AE$29+U626*$AE$30</f>
        <v/>
      </c>
      <c r="W626" s="8">
        <f>1/(1+EXP(-V626))</f>
        <v/>
      </c>
      <c r="X626" s="9">
        <f>-IF(C626=1,LN(W626),LN(1-W626))</f>
        <v/>
      </c>
      <c r="Y626" s="8">
        <f>1</f>
        <v/>
      </c>
      <c r="Z626" s="9">
        <f>Y626*X626</f>
        <v/>
      </c>
      <c r="AA626" s="10">
        <f>IF(W626&gt;$AE$32,1,0)</f>
        <v/>
      </c>
      <c r="AB626">
        <f>IF(AA626=C626,1,0)</f>
        <v/>
      </c>
    </row>
    <row r="627">
      <c r="A627">
        <f>'1 datos preparados'!A620</f>
        <v/>
      </c>
      <c r="B627" s="5">
        <f>'1 datos preparados'!U620</f>
        <v/>
      </c>
      <c r="C627">
        <f>'1 datos preparados'!B620</f>
        <v/>
      </c>
      <c r="D627" s="7">
        <f>'1 datos preparados'!C620</f>
        <v/>
      </c>
      <c r="E627" s="7">
        <f>'1 datos preparados'!D620</f>
        <v/>
      </c>
      <c r="F627" s="7">
        <f>'1 datos preparados'!E620</f>
        <v/>
      </c>
      <c r="G627" s="7">
        <f>'1 datos preparados'!F620</f>
        <v/>
      </c>
      <c r="H627" s="7">
        <f>'1 datos preparados'!G620</f>
        <v/>
      </c>
      <c r="I627" s="7">
        <f>'1 datos preparados'!H620</f>
        <v/>
      </c>
      <c r="J627" s="7">
        <f>'1 datos preparados'!I620</f>
        <v/>
      </c>
      <c r="K627" s="7">
        <f>'1 datos preparados'!J620</f>
        <v/>
      </c>
      <c r="L627" s="7">
        <f>'1 datos preparados'!K620</f>
        <v/>
      </c>
      <c r="M627" s="7">
        <f>'1 datos preparados'!L620</f>
        <v/>
      </c>
      <c r="N627" s="7">
        <f>'1 datos preparados'!M620</f>
        <v/>
      </c>
      <c r="O627" s="7">
        <f>'1 datos preparados'!N620</f>
        <v/>
      </c>
      <c r="P627" s="7">
        <f>'1 datos preparados'!O620</f>
        <v/>
      </c>
      <c r="Q627" s="7">
        <f>'1 datos preparados'!P620</f>
        <v/>
      </c>
      <c r="R627" s="7">
        <f>'1 datos preparados'!Q620</f>
        <v/>
      </c>
      <c r="S627" s="7">
        <f>'1 datos preparados'!R620</f>
        <v/>
      </c>
      <c r="T627" s="7">
        <f>'1 datos preparados'!S620</f>
        <v/>
      </c>
      <c r="U627" s="7">
        <f>'1 datos preparados'!T620</f>
        <v/>
      </c>
      <c r="V627" s="8">
        <f>$AE$12+D627*$AE$13+E627*$AE$14+F627*$AE$15+G627*$AE$16+H627*$AE$17+I627*$AE$18+J627*$AE$19+K627*$AE$20+L627*$AE$21+M627*$AE$22+N627*$AE$23+O627*$AE$24+P627*$AE$25+Q627*$AE$26+R627*$AE$27+S627*$AE$28+T627*$AE$29+U627*$AE$30</f>
        <v/>
      </c>
      <c r="W627" s="8">
        <f>1/(1+EXP(-V627))</f>
        <v/>
      </c>
      <c r="X627" s="9">
        <f>-IF(C627=1,LN(W627),LN(1-W627))</f>
        <v/>
      </c>
      <c r="Y627" s="8">
        <f>1</f>
        <v/>
      </c>
      <c r="Z627" s="9">
        <f>Y627*X627</f>
        <v/>
      </c>
      <c r="AA627" s="10">
        <f>IF(W627&gt;$AE$32,1,0)</f>
        <v/>
      </c>
      <c r="AB627">
        <f>IF(AA627=C627,1,0)</f>
        <v/>
      </c>
    </row>
    <row r="628">
      <c r="A628">
        <f>'1 datos preparados'!A621</f>
        <v/>
      </c>
      <c r="B628" s="5">
        <f>'1 datos preparados'!U621</f>
        <v/>
      </c>
      <c r="C628">
        <f>'1 datos preparados'!B621</f>
        <v/>
      </c>
      <c r="D628" s="7">
        <f>'1 datos preparados'!C621</f>
        <v/>
      </c>
      <c r="E628" s="7">
        <f>'1 datos preparados'!D621</f>
        <v/>
      </c>
      <c r="F628" s="7">
        <f>'1 datos preparados'!E621</f>
        <v/>
      </c>
      <c r="G628" s="7">
        <f>'1 datos preparados'!F621</f>
        <v/>
      </c>
      <c r="H628" s="7">
        <f>'1 datos preparados'!G621</f>
        <v/>
      </c>
      <c r="I628" s="7">
        <f>'1 datos preparados'!H621</f>
        <v/>
      </c>
      <c r="J628" s="7">
        <f>'1 datos preparados'!I621</f>
        <v/>
      </c>
      <c r="K628" s="7">
        <f>'1 datos preparados'!J621</f>
        <v/>
      </c>
      <c r="L628" s="7">
        <f>'1 datos preparados'!K621</f>
        <v/>
      </c>
      <c r="M628" s="7">
        <f>'1 datos preparados'!L621</f>
        <v/>
      </c>
      <c r="N628" s="7">
        <f>'1 datos preparados'!M621</f>
        <v/>
      </c>
      <c r="O628" s="7">
        <f>'1 datos preparados'!N621</f>
        <v/>
      </c>
      <c r="P628" s="7">
        <f>'1 datos preparados'!O621</f>
        <v/>
      </c>
      <c r="Q628" s="7">
        <f>'1 datos preparados'!P621</f>
        <v/>
      </c>
      <c r="R628" s="7">
        <f>'1 datos preparados'!Q621</f>
        <v/>
      </c>
      <c r="S628" s="7">
        <f>'1 datos preparados'!R621</f>
        <v/>
      </c>
      <c r="T628" s="7">
        <f>'1 datos preparados'!S621</f>
        <v/>
      </c>
      <c r="U628" s="7">
        <f>'1 datos preparados'!T621</f>
        <v/>
      </c>
      <c r="V628" s="8">
        <f>$AE$12+D628*$AE$13+E628*$AE$14+F628*$AE$15+G628*$AE$16+H628*$AE$17+I628*$AE$18+J628*$AE$19+K628*$AE$20+L628*$AE$21+M628*$AE$22+N628*$AE$23+O628*$AE$24+P628*$AE$25+Q628*$AE$26+R628*$AE$27+S628*$AE$28+T628*$AE$29+U628*$AE$30</f>
        <v/>
      </c>
      <c r="W628" s="8">
        <f>1/(1+EXP(-V628))</f>
        <v/>
      </c>
      <c r="X628" s="9">
        <f>-IF(C628=1,LN(W628),LN(1-W628))</f>
        <v/>
      </c>
      <c r="Y628" s="8">
        <f>1</f>
        <v/>
      </c>
      <c r="Z628" s="9">
        <f>Y628*X628</f>
        <v/>
      </c>
      <c r="AA628" s="10">
        <f>IF(W628&gt;$AE$32,1,0)</f>
        <v/>
      </c>
      <c r="AB628">
        <f>IF(AA628=C628,1,0)</f>
        <v/>
      </c>
    </row>
    <row r="629">
      <c r="A629">
        <f>'1 datos preparados'!A622</f>
        <v/>
      </c>
      <c r="B629" s="5">
        <f>'1 datos preparados'!U622</f>
        <v/>
      </c>
      <c r="C629">
        <f>'1 datos preparados'!B622</f>
        <v/>
      </c>
      <c r="D629" s="7">
        <f>'1 datos preparados'!C622</f>
        <v/>
      </c>
      <c r="E629" s="7">
        <f>'1 datos preparados'!D622</f>
        <v/>
      </c>
      <c r="F629" s="7">
        <f>'1 datos preparados'!E622</f>
        <v/>
      </c>
      <c r="G629" s="7">
        <f>'1 datos preparados'!F622</f>
        <v/>
      </c>
      <c r="H629" s="7">
        <f>'1 datos preparados'!G622</f>
        <v/>
      </c>
      <c r="I629" s="7">
        <f>'1 datos preparados'!H622</f>
        <v/>
      </c>
      <c r="J629" s="7">
        <f>'1 datos preparados'!I622</f>
        <v/>
      </c>
      <c r="K629" s="7">
        <f>'1 datos preparados'!J622</f>
        <v/>
      </c>
      <c r="L629" s="7">
        <f>'1 datos preparados'!K622</f>
        <v/>
      </c>
      <c r="M629" s="7">
        <f>'1 datos preparados'!L622</f>
        <v/>
      </c>
      <c r="N629" s="7">
        <f>'1 datos preparados'!M622</f>
        <v/>
      </c>
      <c r="O629" s="7">
        <f>'1 datos preparados'!N622</f>
        <v/>
      </c>
      <c r="P629" s="7">
        <f>'1 datos preparados'!O622</f>
        <v/>
      </c>
      <c r="Q629" s="7">
        <f>'1 datos preparados'!P622</f>
        <v/>
      </c>
      <c r="R629" s="7">
        <f>'1 datos preparados'!Q622</f>
        <v/>
      </c>
      <c r="S629" s="7">
        <f>'1 datos preparados'!R622</f>
        <v/>
      </c>
      <c r="T629" s="7">
        <f>'1 datos preparados'!S622</f>
        <v/>
      </c>
      <c r="U629" s="7">
        <f>'1 datos preparados'!T622</f>
        <v/>
      </c>
      <c r="V629" s="8">
        <f>$AE$12+D629*$AE$13+E629*$AE$14+F629*$AE$15+G629*$AE$16+H629*$AE$17+I629*$AE$18+J629*$AE$19+K629*$AE$20+L629*$AE$21+M629*$AE$22+N629*$AE$23+O629*$AE$24+P629*$AE$25+Q629*$AE$26+R629*$AE$27+S629*$AE$28+T629*$AE$29+U629*$AE$30</f>
        <v/>
      </c>
      <c r="W629" s="8">
        <f>1/(1+EXP(-V629))</f>
        <v/>
      </c>
      <c r="X629" s="9">
        <f>-IF(C629=1,LN(W629),LN(1-W629))</f>
        <v/>
      </c>
      <c r="Y629" s="8">
        <f>1</f>
        <v/>
      </c>
      <c r="Z629" s="9">
        <f>Y629*X629</f>
        <v/>
      </c>
      <c r="AA629" s="10">
        <f>IF(W629&gt;$AE$32,1,0)</f>
        <v/>
      </c>
      <c r="AB629">
        <f>IF(AA629=C629,1,0)</f>
        <v/>
      </c>
    </row>
    <row r="630">
      <c r="A630">
        <f>'1 datos preparados'!A623</f>
        <v/>
      </c>
      <c r="B630" s="5">
        <f>'1 datos preparados'!U623</f>
        <v/>
      </c>
      <c r="C630">
        <f>'1 datos preparados'!B623</f>
        <v/>
      </c>
      <c r="D630" s="7">
        <f>'1 datos preparados'!C623</f>
        <v/>
      </c>
      <c r="E630" s="7">
        <f>'1 datos preparados'!D623</f>
        <v/>
      </c>
      <c r="F630" s="7">
        <f>'1 datos preparados'!E623</f>
        <v/>
      </c>
      <c r="G630" s="7">
        <f>'1 datos preparados'!F623</f>
        <v/>
      </c>
      <c r="H630" s="7">
        <f>'1 datos preparados'!G623</f>
        <v/>
      </c>
      <c r="I630" s="7">
        <f>'1 datos preparados'!H623</f>
        <v/>
      </c>
      <c r="J630" s="7">
        <f>'1 datos preparados'!I623</f>
        <v/>
      </c>
      <c r="K630" s="7">
        <f>'1 datos preparados'!J623</f>
        <v/>
      </c>
      <c r="L630" s="7">
        <f>'1 datos preparados'!K623</f>
        <v/>
      </c>
      <c r="M630" s="7">
        <f>'1 datos preparados'!L623</f>
        <v/>
      </c>
      <c r="N630" s="7">
        <f>'1 datos preparados'!M623</f>
        <v/>
      </c>
      <c r="O630" s="7">
        <f>'1 datos preparados'!N623</f>
        <v/>
      </c>
      <c r="P630" s="7">
        <f>'1 datos preparados'!O623</f>
        <v/>
      </c>
      <c r="Q630" s="7">
        <f>'1 datos preparados'!P623</f>
        <v/>
      </c>
      <c r="R630" s="7">
        <f>'1 datos preparados'!Q623</f>
        <v/>
      </c>
      <c r="S630" s="7">
        <f>'1 datos preparados'!R623</f>
        <v/>
      </c>
      <c r="T630" s="7">
        <f>'1 datos preparados'!S623</f>
        <v/>
      </c>
      <c r="U630" s="7">
        <f>'1 datos preparados'!T623</f>
        <v/>
      </c>
      <c r="V630" s="8">
        <f>$AE$12+D630*$AE$13+E630*$AE$14+F630*$AE$15+G630*$AE$16+H630*$AE$17+I630*$AE$18+J630*$AE$19+K630*$AE$20+L630*$AE$21+M630*$AE$22+N630*$AE$23+O630*$AE$24+P630*$AE$25+Q630*$AE$26+R630*$AE$27+S630*$AE$28+T630*$AE$29+U630*$AE$30</f>
        <v/>
      </c>
      <c r="W630" s="8">
        <f>1/(1+EXP(-V630))</f>
        <v/>
      </c>
      <c r="X630" s="9">
        <f>-IF(C630=1,LN(W630),LN(1-W630))</f>
        <v/>
      </c>
      <c r="Y630" s="8">
        <f>1</f>
        <v/>
      </c>
      <c r="Z630" s="9">
        <f>Y630*X630</f>
        <v/>
      </c>
      <c r="AA630" s="10">
        <f>IF(W630&gt;$AE$32,1,0)</f>
        <v/>
      </c>
      <c r="AB630">
        <f>IF(AA630=C630,1,0)</f>
        <v/>
      </c>
    </row>
    <row r="631">
      <c r="A631">
        <f>'1 datos preparados'!A624</f>
        <v/>
      </c>
      <c r="B631" s="5">
        <f>'1 datos preparados'!U624</f>
        <v/>
      </c>
      <c r="C631">
        <f>'1 datos preparados'!B624</f>
        <v/>
      </c>
      <c r="D631" s="7">
        <f>'1 datos preparados'!C624</f>
        <v/>
      </c>
      <c r="E631" s="7">
        <f>'1 datos preparados'!D624</f>
        <v/>
      </c>
      <c r="F631" s="7">
        <f>'1 datos preparados'!E624</f>
        <v/>
      </c>
      <c r="G631" s="7">
        <f>'1 datos preparados'!F624</f>
        <v/>
      </c>
      <c r="H631" s="7">
        <f>'1 datos preparados'!G624</f>
        <v/>
      </c>
      <c r="I631" s="7">
        <f>'1 datos preparados'!H624</f>
        <v/>
      </c>
      <c r="J631" s="7">
        <f>'1 datos preparados'!I624</f>
        <v/>
      </c>
      <c r="K631" s="7">
        <f>'1 datos preparados'!J624</f>
        <v/>
      </c>
      <c r="L631" s="7">
        <f>'1 datos preparados'!K624</f>
        <v/>
      </c>
      <c r="M631" s="7">
        <f>'1 datos preparados'!L624</f>
        <v/>
      </c>
      <c r="N631" s="7">
        <f>'1 datos preparados'!M624</f>
        <v/>
      </c>
      <c r="O631" s="7">
        <f>'1 datos preparados'!N624</f>
        <v/>
      </c>
      <c r="P631" s="7">
        <f>'1 datos preparados'!O624</f>
        <v/>
      </c>
      <c r="Q631" s="7">
        <f>'1 datos preparados'!P624</f>
        <v/>
      </c>
      <c r="R631" s="7">
        <f>'1 datos preparados'!Q624</f>
        <v/>
      </c>
      <c r="S631" s="7">
        <f>'1 datos preparados'!R624</f>
        <v/>
      </c>
      <c r="T631" s="7">
        <f>'1 datos preparados'!S624</f>
        <v/>
      </c>
      <c r="U631" s="7">
        <f>'1 datos preparados'!T624</f>
        <v/>
      </c>
      <c r="V631" s="8">
        <f>$AE$12+D631*$AE$13+E631*$AE$14+F631*$AE$15+G631*$AE$16+H631*$AE$17+I631*$AE$18+J631*$AE$19+K631*$AE$20+L631*$AE$21+M631*$AE$22+N631*$AE$23+O631*$AE$24+P631*$AE$25+Q631*$AE$26+R631*$AE$27+S631*$AE$28+T631*$AE$29+U631*$AE$30</f>
        <v/>
      </c>
      <c r="W631" s="8">
        <f>1/(1+EXP(-V631))</f>
        <v/>
      </c>
      <c r="X631" s="9">
        <f>-IF(C631=1,LN(W631),LN(1-W631))</f>
        <v/>
      </c>
      <c r="Y631" s="8">
        <f>1</f>
        <v/>
      </c>
      <c r="Z631" s="9">
        <f>Y631*X631</f>
        <v/>
      </c>
      <c r="AA631" s="10">
        <f>IF(W631&gt;$AE$32,1,0)</f>
        <v/>
      </c>
      <c r="AB631">
        <f>IF(AA631=C631,1,0)</f>
        <v/>
      </c>
    </row>
    <row r="632">
      <c r="A632">
        <f>'1 datos preparados'!A625</f>
        <v/>
      </c>
      <c r="B632" s="5">
        <f>'1 datos preparados'!U625</f>
        <v/>
      </c>
      <c r="C632">
        <f>'1 datos preparados'!B625</f>
        <v/>
      </c>
      <c r="D632" s="7">
        <f>'1 datos preparados'!C625</f>
        <v/>
      </c>
      <c r="E632" s="7">
        <f>'1 datos preparados'!D625</f>
        <v/>
      </c>
      <c r="F632" s="7">
        <f>'1 datos preparados'!E625</f>
        <v/>
      </c>
      <c r="G632" s="7">
        <f>'1 datos preparados'!F625</f>
        <v/>
      </c>
      <c r="H632" s="7">
        <f>'1 datos preparados'!G625</f>
        <v/>
      </c>
      <c r="I632" s="7">
        <f>'1 datos preparados'!H625</f>
        <v/>
      </c>
      <c r="J632" s="7">
        <f>'1 datos preparados'!I625</f>
        <v/>
      </c>
      <c r="K632" s="7">
        <f>'1 datos preparados'!J625</f>
        <v/>
      </c>
      <c r="L632" s="7">
        <f>'1 datos preparados'!K625</f>
        <v/>
      </c>
      <c r="M632" s="7">
        <f>'1 datos preparados'!L625</f>
        <v/>
      </c>
      <c r="N632" s="7">
        <f>'1 datos preparados'!M625</f>
        <v/>
      </c>
      <c r="O632" s="7">
        <f>'1 datos preparados'!N625</f>
        <v/>
      </c>
      <c r="P632" s="7">
        <f>'1 datos preparados'!O625</f>
        <v/>
      </c>
      <c r="Q632" s="7">
        <f>'1 datos preparados'!P625</f>
        <v/>
      </c>
      <c r="R632" s="7">
        <f>'1 datos preparados'!Q625</f>
        <v/>
      </c>
      <c r="S632" s="7">
        <f>'1 datos preparados'!R625</f>
        <v/>
      </c>
      <c r="T632" s="7">
        <f>'1 datos preparados'!S625</f>
        <v/>
      </c>
      <c r="U632" s="7">
        <f>'1 datos preparados'!T625</f>
        <v/>
      </c>
      <c r="V632" s="8">
        <f>$AE$12+D632*$AE$13+E632*$AE$14+F632*$AE$15+G632*$AE$16+H632*$AE$17+I632*$AE$18+J632*$AE$19+K632*$AE$20+L632*$AE$21+M632*$AE$22+N632*$AE$23+O632*$AE$24+P632*$AE$25+Q632*$AE$26+R632*$AE$27+S632*$AE$28+T632*$AE$29+U632*$AE$30</f>
        <v/>
      </c>
      <c r="W632" s="8">
        <f>1/(1+EXP(-V632))</f>
        <v/>
      </c>
      <c r="X632" s="9">
        <f>-IF(C632=1,LN(W632),LN(1-W632))</f>
        <v/>
      </c>
      <c r="Y632" s="8">
        <f>1</f>
        <v/>
      </c>
      <c r="Z632" s="9">
        <f>Y632*X632</f>
        <v/>
      </c>
      <c r="AA632" s="10">
        <f>IF(W632&gt;$AE$32,1,0)</f>
        <v/>
      </c>
      <c r="AB632">
        <f>IF(AA632=C632,1,0)</f>
        <v/>
      </c>
    </row>
    <row r="633">
      <c r="A633">
        <f>'1 datos preparados'!A626</f>
        <v/>
      </c>
      <c r="B633" s="5">
        <f>'1 datos preparados'!U626</f>
        <v/>
      </c>
      <c r="C633">
        <f>'1 datos preparados'!B626</f>
        <v/>
      </c>
      <c r="D633" s="7">
        <f>'1 datos preparados'!C626</f>
        <v/>
      </c>
      <c r="E633" s="7">
        <f>'1 datos preparados'!D626</f>
        <v/>
      </c>
      <c r="F633" s="7">
        <f>'1 datos preparados'!E626</f>
        <v/>
      </c>
      <c r="G633" s="7">
        <f>'1 datos preparados'!F626</f>
        <v/>
      </c>
      <c r="H633" s="7">
        <f>'1 datos preparados'!G626</f>
        <v/>
      </c>
      <c r="I633" s="7">
        <f>'1 datos preparados'!H626</f>
        <v/>
      </c>
      <c r="J633" s="7">
        <f>'1 datos preparados'!I626</f>
        <v/>
      </c>
      <c r="K633" s="7">
        <f>'1 datos preparados'!J626</f>
        <v/>
      </c>
      <c r="L633" s="7">
        <f>'1 datos preparados'!K626</f>
        <v/>
      </c>
      <c r="M633" s="7">
        <f>'1 datos preparados'!L626</f>
        <v/>
      </c>
      <c r="N633" s="7">
        <f>'1 datos preparados'!M626</f>
        <v/>
      </c>
      <c r="O633" s="7">
        <f>'1 datos preparados'!N626</f>
        <v/>
      </c>
      <c r="P633" s="7">
        <f>'1 datos preparados'!O626</f>
        <v/>
      </c>
      <c r="Q633" s="7">
        <f>'1 datos preparados'!P626</f>
        <v/>
      </c>
      <c r="R633" s="7">
        <f>'1 datos preparados'!Q626</f>
        <v/>
      </c>
      <c r="S633" s="7">
        <f>'1 datos preparados'!R626</f>
        <v/>
      </c>
      <c r="T633" s="7">
        <f>'1 datos preparados'!S626</f>
        <v/>
      </c>
      <c r="U633" s="7">
        <f>'1 datos preparados'!T626</f>
        <v/>
      </c>
      <c r="V633" s="8">
        <f>$AE$12+D633*$AE$13+E633*$AE$14+F633*$AE$15+G633*$AE$16+H633*$AE$17+I633*$AE$18+J633*$AE$19+K633*$AE$20+L633*$AE$21+M633*$AE$22+N633*$AE$23+O633*$AE$24+P633*$AE$25+Q633*$AE$26+R633*$AE$27+S633*$AE$28+T633*$AE$29+U633*$AE$30</f>
        <v/>
      </c>
      <c r="W633" s="8">
        <f>1/(1+EXP(-V633))</f>
        <v/>
      </c>
      <c r="X633" s="9">
        <f>-IF(C633=1,LN(W633),LN(1-W633))</f>
        <v/>
      </c>
      <c r="Y633" s="8">
        <f>1</f>
        <v/>
      </c>
      <c r="Z633" s="9">
        <f>Y633*X633</f>
        <v/>
      </c>
      <c r="AA633" s="10">
        <f>IF(W633&gt;$AE$32,1,0)</f>
        <v/>
      </c>
      <c r="AB633">
        <f>IF(AA633=C633,1,0)</f>
        <v/>
      </c>
    </row>
    <row r="634">
      <c r="A634">
        <f>'1 datos preparados'!A627</f>
        <v/>
      </c>
      <c r="B634" s="5">
        <f>'1 datos preparados'!U627</f>
        <v/>
      </c>
      <c r="C634">
        <f>'1 datos preparados'!B627</f>
        <v/>
      </c>
      <c r="D634" s="7">
        <f>'1 datos preparados'!C627</f>
        <v/>
      </c>
      <c r="E634" s="7">
        <f>'1 datos preparados'!D627</f>
        <v/>
      </c>
      <c r="F634" s="7">
        <f>'1 datos preparados'!E627</f>
        <v/>
      </c>
      <c r="G634" s="7">
        <f>'1 datos preparados'!F627</f>
        <v/>
      </c>
      <c r="H634" s="7">
        <f>'1 datos preparados'!G627</f>
        <v/>
      </c>
      <c r="I634" s="7">
        <f>'1 datos preparados'!H627</f>
        <v/>
      </c>
      <c r="J634" s="7">
        <f>'1 datos preparados'!I627</f>
        <v/>
      </c>
      <c r="K634" s="7">
        <f>'1 datos preparados'!J627</f>
        <v/>
      </c>
      <c r="L634" s="7">
        <f>'1 datos preparados'!K627</f>
        <v/>
      </c>
      <c r="M634" s="7">
        <f>'1 datos preparados'!L627</f>
        <v/>
      </c>
      <c r="N634" s="7">
        <f>'1 datos preparados'!M627</f>
        <v/>
      </c>
      <c r="O634" s="7">
        <f>'1 datos preparados'!N627</f>
        <v/>
      </c>
      <c r="P634" s="7">
        <f>'1 datos preparados'!O627</f>
        <v/>
      </c>
      <c r="Q634" s="7">
        <f>'1 datos preparados'!P627</f>
        <v/>
      </c>
      <c r="R634" s="7">
        <f>'1 datos preparados'!Q627</f>
        <v/>
      </c>
      <c r="S634" s="7">
        <f>'1 datos preparados'!R627</f>
        <v/>
      </c>
      <c r="T634" s="7">
        <f>'1 datos preparados'!S627</f>
        <v/>
      </c>
      <c r="U634" s="7">
        <f>'1 datos preparados'!T627</f>
        <v/>
      </c>
      <c r="V634" s="8">
        <f>$AE$12+D634*$AE$13+E634*$AE$14+F634*$AE$15+G634*$AE$16+H634*$AE$17+I634*$AE$18+J634*$AE$19+K634*$AE$20+L634*$AE$21+M634*$AE$22+N634*$AE$23+O634*$AE$24+P634*$AE$25+Q634*$AE$26+R634*$AE$27+S634*$AE$28+T634*$AE$29+U634*$AE$30</f>
        <v/>
      </c>
      <c r="W634" s="8">
        <f>1/(1+EXP(-V634))</f>
        <v/>
      </c>
      <c r="X634" s="9">
        <f>-IF(C634=1,LN(W634),LN(1-W634))</f>
        <v/>
      </c>
      <c r="Y634" s="8">
        <f>1</f>
        <v/>
      </c>
      <c r="Z634" s="9">
        <f>Y634*X634</f>
        <v/>
      </c>
      <c r="AA634" s="10">
        <f>IF(W634&gt;$AE$32,1,0)</f>
        <v/>
      </c>
      <c r="AB634">
        <f>IF(AA634=C634,1,0)</f>
        <v/>
      </c>
    </row>
    <row r="635">
      <c r="A635">
        <f>'1 datos preparados'!A628</f>
        <v/>
      </c>
      <c r="B635" s="5">
        <f>'1 datos preparados'!U628</f>
        <v/>
      </c>
      <c r="C635">
        <f>'1 datos preparados'!B628</f>
        <v/>
      </c>
      <c r="D635" s="7">
        <f>'1 datos preparados'!C628</f>
        <v/>
      </c>
      <c r="E635" s="7">
        <f>'1 datos preparados'!D628</f>
        <v/>
      </c>
      <c r="F635" s="7">
        <f>'1 datos preparados'!E628</f>
        <v/>
      </c>
      <c r="G635" s="7">
        <f>'1 datos preparados'!F628</f>
        <v/>
      </c>
      <c r="H635" s="7">
        <f>'1 datos preparados'!G628</f>
        <v/>
      </c>
      <c r="I635" s="7">
        <f>'1 datos preparados'!H628</f>
        <v/>
      </c>
      <c r="J635" s="7">
        <f>'1 datos preparados'!I628</f>
        <v/>
      </c>
      <c r="K635" s="7">
        <f>'1 datos preparados'!J628</f>
        <v/>
      </c>
      <c r="L635" s="7">
        <f>'1 datos preparados'!K628</f>
        <v/>
      </c>
      <c r="M635" s="7">
        <f>'1 datos preparados'!L628</f>
        <v/>
      </c>
      <c r="N635" s="7">
        <f>'1 datos preparados'!M628</f>
        <v/>
      </c>
      <c r="O635" s="7">
        <f>'1 datos preparados'!N628</f>
        <v/>
      </c>
      <c r="P635" s="7">
        <f>'1 datos preparados'!O628</f>
        <v/>
      </c>
      <c r="Q635" s="7">
        <f>'1 datos preparados'!P628</f>
        <v/>
      </c>
      <c r="R635" s="7">
        <f>'1 datos preparados'!Q628</f>
        <v/>
      </c>
      <c r="S635" s="7">
        <f>'1 datos preparados'!R628</f>
        <v/>
      </c>
      <c r="T635" s="7">
        <f>'1 datos preparados'!S628</f>
        <v/>
      </c>
      <c r="U635" s="7">
        <f>'1 datos preparados'!T628</f>
        <v/>
      </c>
      <c r="V635" s="8">
        <f>$AE$12+D635*$AE$13+E635*$AE$14+F635*$AE$15+G635*$AE$16+H635*$AE$17+I635*$AE$18+J635*$AE$19+K635*$AE$20+L635*$AE$21+M635*$AE$22+N635*$AE$23+O635*$AE$24+P635*$AE$25+Q635*$AE$26+R635*$AE$27+S635*$AE$28+T635*$AE$29+U635*$AE$30</f>
        <v/>
      </c>
      <c r="W635" s="8">
        <f>1/(1+EXP(-V635))</f>
        <v/>
      </c>
      <c r="X635" s="9">
        <f>-IF(C635=1,LN(W635),LN(1-W635))</f>
        <v/>
      </c>
      <c r="Y635" s="8">
        <f>1</f>
        <v/>
      </c>
      <c r="Z635" s="9">
        <f>Y635*X635</f>
        <v/>
      </c>
      <c r="AA635" s="10">
        <f>IF(W635&gt;$AE$32,1,0)</f>
        <v/>
      </c>
      <c r="AB635">
        <f>IF(AA635=C635,1,0)</f>
        <v/>
      </c>
    </row>
    <row r="636">
      <c r="A636">
        <f>'1 datos preparados'!A629</f>
        <v/>
      </c>
      <c r="B636" s="5">
        <f>'1 datos preparados'!U629</f>
        <v/>
      </c>
      <c r="C636">
        <f>'1 datos preparados'!B629</f>
        <v/>
      </c>
      <c r="D636" s="7">
        <f>'1 datos preparados'!C629</f>
        <v/>
      </c>
      <c r="E636" s="7">
        <f>'1 datos preparados'!D629</f>
        <v/>
      </c>
      <c r="F636" s="7">
        <f>'1 datos preparados'!E629</f>
        <v/>
      </c>
      <c r="G636" s="7">
        <f>'1 datos preparados'!F629</f>
        <v/>
      </c>
      <c r="H636" s="7">
        <f>'1 datos preparados'!G629</f>
        <v/>
      </c>
      <c r="I636" s="7">
        <f>'1 datos preparados'!H629</f>
        <v/>
      </c>
      <c r="J636" s="7">
        <f>'1 datos preparados'!I629</f>
        <v/>
      </c>
      <c r="K636" s="7">
        <f>'1 datos preparados'!J629</f>
        <v/>
      </c>
      <c r="L636" s="7">
        <f>'1 datos preparados'!K629</f>
        <v/>
      </c>
      <c r="M636" s="7">
        <f>'1 datos preparados'!L629</f>
        <v/>
      </c>
      <c r="N636" s="7">
        <f>'1 datos preparados'!M629</f>
        <v/>
      </c>
      <c r="O636" s="7">
        <f>'1 datos preparados'!N629</f>
        <v/>
      </c>
      <c r="P636" s="7">
        <f>'1 datos preparados'!O629</f>
        <v/>
      </c>
      <c r="Q636" s="7">
        <f>'1 datos preparados'!P629</f>
        <v/>
      </c>
      <c r="R636" s="7">
        <f>'1 datos preparados'!Q629</f>
        <v/>
      </c>
      <c r="S636" s="7">
        <f>'1 datos preparados'!R629</f>
        <v/>
      </c>
      <c r="T636" s="7">
        <f>'1 datos preparados'!S629</f>
        <v/>
      </c>
      <c r="U636" s="7">
        <f>'1 datos preparados'!T629</f>
        <v/>
      </c>
      <c r="V636" s="8">
        <f>$AE$12+D636*$AE$13+E636*$AE$14+F636*$AE$15+G636*$AE$16+H636*$AE$17+I636*$AE$18+J636*$AE$19+K636*$AE$20+L636*$AE$21+M636*$AE$22+N636*$AE$23+O636*$AE$24+P636*$AE$25+Q636*$AE$26+R636*$AE$27+S636*$AE$28+T636*$AE$29+U636*$AE$30</f>
        <v/>
      </c>
      <c r="W636" s="8">
        <f>1/(1+EXP(-V636))</f>
        <v/>
      </c>
      <c r="X636" s="9">
        <f>-IF(C636=1,LN(W636),LN(1-W636))</f>
        <v/>
      </c>
      <c r="Y636" s="8">
        <f>1</f>
        <v/>
      </c>
      <c r="Z636" s="9">
        <f>Y636*X636</f>
        <v/>
      </c>
      <c r="AA636" s="10">
        <f>IF(W636&gt;$AE$32,1,0)</f>
        <v/>
      </c>
      <c r="AB636">
        <f>IF(AA636=C636,1,0)</f>
        <v/>
      </c>
    </row>
    <row r="637">
      <c r="A637">
        <f>'1 datos preparados'!A630</f>
        <v/>
      </c>
      <c r="B637" s="5">
        <f>'1 datos preparados'!U630</f>
        <v/>
      </c>
      <c r="C637">
        <f>'1 datos preparados'!B630</f>
        <v/>
      </c>
      <c r="D637" s="7">
        <f>'1 datos preparados'!C630</f>
        <v/>
      </c>
      <c r="E637" s="7">
        <f>'1 datos preparados'!D630</f>
        <v/>
      </c>
      <c r="F637" s="7">
        <f>'1 datos preparados'!E630</f>
        <v/>
      </c>
      <c r="G637" s="7">
        <f>'1 datos preparados'!F630</f>
        <v/>
      </c>
      <c r="H637" s="7">
        <f>'1 datos preparados'!G630</f>
        <v/>
      </c>
      <c r="I637" s="7">
        <f>'1 datos preparados'!H630</f>
        <v/>
      </c>
      <c r="J637" s="7">
        <f>'1 datos preparados'!I630</f>
        <v/>
      </c>
      <c r="K637" s="7">
        <f>'1 datos preparados'!J630</f>
        <v/>
      </c>
      <c r="L637" s="7">
        <f>'1 datos preparados'!K630</f>
        <v/>
      </c>
      <c r="M637" s="7">
        <f>'1 datos preparados'!L630</f>
        <v/>
      </c>
      <c r="N637" s="7">
        <f>'1 datos preparados'!M630</f>
        <v/>
      </c>
      <c r="O637" s="7">
        <f>'1 datos preparados'!N630</f>
        <v/>
      </c>
      <c r="P637" s="7">
        <f>'1 datos preparados'!O630</f>
        <v/>
      </c>
      <c r="Q637" s="7">
        <f>'1 datos preparados'!P630</f>
        <v/>
      </c>
      <c r="R637" s="7">
        <f>'1 datos preparados'!Q630</f>
        <v/>
      </c>
      <c r="S637" s="7">
        <f>'1 datos preparados'!R630</f>
        <v/>
      </c>
      <c r="T637" s="7">
        <f>'1 datos preparados'!S630</f>
        <v/>
      </c>
      <c r="U637" s="7">
        <f>'1 datos preparados'!T630</f>
        <v/>
      </c>
      <c r="V637" s="8">
        <f>$AE$12+D637*$AE$13+E637*$AE$14+F637*$AE$15+G637*$AE$16+H637*$AE$17+I637*$AE$18+J637*$AE$19+K637*$AE$20+L637*$AE$21+M637*$AE$22+N637*$AE$23+O637*$AE$24+P637*$AE$25+Q637*$AE$26+R637*$AE$27+S637*$AE$28+T637*$AE$29+U637*$AE$30</f>
        <v/>
      </c>
      <c r="W637" s="8">
        <f>1/(1+EXP(-V637))</f>
        <v/>
      </c>
      <c r="X637" s="9">
        <f>-IF(C637=1,LN(W637),LN(1-W637))</f>
        <v/>
      </c>
      <c r="Y637" s="8">
        <f>1</f>
        <v/>
      </c>
      <c r="Z637" s="9">
        <f>Y637*X637</f>
        <v/>
      </c>
      <c r="AA637" s="10">
        <f>IF(W637&gt;$AE$32,1,0)</f>
        <v/>
      </c>
      <c r="AB637">
        <f>IF(AA637=C637,1,0)</f>
        <v/>
      </c>
    </row>
    <row r="638">
      <c r="A638">
        <f>'1 datos preparados'!A631</f>
        <v/>
      </c>
      <c r="B638" s="5">
        <f>'1 datos preparados'!U631</f>
        <v/>
      </c>
      <c r="C638">
        <f>'1 datos preparados'!B631</f>
        <v/>
      </c>
      <c r="D638" s="7">
        <f>'1 datos preparados'!C631</f>
        <v/>
      </c>
      <c r="E638" s="7">
        <f>'1 datos preparados'!D631</f>
        <v/>
      </c>
      <c r="F638" s="7">
        <f>'1 datos preparados'!E631</f>
        <v/>
      </c>
      <c r="G638" s="7">
        <f>'1 datos preparados'!F631</f>
        <v/>
      </c>
      <c r="H638" s="7">
        <f>'1 datos preparados'!G631</f>
        <v/>
      </c>
      <c r="I638" s="7">
        <f>'1 datos preparados'!H631</f>
        <v/>
      </c>
      <c r="J638" s="7">
        <f>'1 datos preparados'!I631</f>
        <v/>
      </c>
      <c r="K638" s="7">
        <f>'1 datos preparados'!J631</f>
        <v/>
      </c>
      <c r="L638" s="7">
        <f>'1 datos preparados'!K631</f>
        <v/>
      </c>
      <c r="M638" s="7">
        <f>'1 datos preparados'!L631</f>
        <v/>
      </c>
      <c r="N638" s="7">
        <f>'1 datos preparados'!M631</f>
        <v/>
      </c>
      <c r="O638" s="7">
        <f>'1 datos preparados'!N631</f>
        <v/>
      </c>
      <c r="P638" s="7">
        <f>'1 datos preparados'!O631</f>
        <v/>
      </c>
      <c r="Q638" s="7">
        <f>'1 datos preparados'!P631</f>
        <v/>
      </c>
      <c r="R638" s="7">
        <f>'1 datos preparados'!Q631</f>
        <v/>
      </c>
      <c r="S638" s="7">
        <f>'1 datos preparados'!R631</f>
        <v/>
      </c>
      <c r="T638" s="7">
        <f>'1 datos preparados'!S631</f>
        <v/>
      </c>
      <c r="U638" s="7">
        <f>'1 datos preparados'!T631</f>
        <v/>
      </c>
      <c r="V638" s="8">
        <f>$AE$12+D638*$AE$13+E638*$AE$14+F638*$AE$15+G638*$AE$16+H638*$AE$17+I638*$AE$18+J638*$AE$19+K638*$AE$20+L638*$AE$21+M638*$AE$22+N638*$AE$23+O638*$AE$24+P638*$AE$25+Q638*$AE$26+R638*$AE$27+S638*$AE$28+T638*$AE$29+U638*$AE$30</f>
        <v/>
      </c>
      <c r="W638" s="8">
        <f>1/(1+EXP(-V638))</f>
        <v/>
      </c>
      <c r="X638" s="9">
        <f>-IF(C638=1,LN(W638),LN(1-W638))</f>
        <v/>
      </c>
      <c r="Y638" s="8">
        <f>1</f>
        <v/>
      </c>
      <c r="Z638" s="9">
        <f>Y638*X638</f>
        <v/>
      </c>
      <c r="AA638" s="10">
        <f>IF(W638&gt;$AE$32,1,0)</f>
        <v/>
      </c>
      <c r="AB638">
        <f>IF(AA638=C638,1,0)</f>
        <v/>
      </c>
    </row>
    <row r="639">
      <c r="A639">
        <f>'1 datos preparados'!A632</f>
        <v/>
      </c>
      <c r="B639" s="5">
        <f>'1 datos preparados'!U632</f>
        <v/>
      </c>
      <c r="C639">
        <f>'1 datos preparados'!B632</f>
        <v/>
      </c>
      <c r="D639" s="7">
        <f>'1 datos preparados'!C632</f>
        <v/>
      </c>
      <c r="E639" s="7">
        <f>'1 datos preparados'!D632</f>
        <v/>
      </c>
      <c r="F639" s="7">
        <f>'1 datos preparados'!E632</f>
        <v/>
      </c>
      <c r="G639" s="7">
        <f>'1 datos preparados'!F632</f>
        <v/>
      </c>
      <c r="H639" s="7">
        <f>'1 datos preparados'!G632</f>
        <v/>
      </c>
      <c r="I639" s="7">
        <f>'1 datos preparados'!H632</f>
        <v/>
      </c>
      <c r="J639" s="7">
        <f>'1 datos preparados'!I632</f>
        <v/>
      </c>
      <c r="K639" s="7">
        <f>'1 datos preparados'!J632</f>
        <v/>
      </c>
      <c r="L639" s="7">
        <f>'1 datos preparados'!K632</f>
        <v/>
      </c>
      <c r="M639" s="7">
        <f>'1 datos preparados'!L632</f>
        <v/>
      </c>
      <c r="N639" s="7">
        <f>'1 datos preparados'!M632</f>
        <v/>
      </c>
      <c r="O639" s="7">
        <f>'1 datos preparados'!N632</f>
        <v/>
      </c>
      <c r="P639" s="7">
        <f>'1 datos preparados'!O632</f>
        <v/>
      </c>
      <c r="Q639" s="7">
        <f>'1 datos preparados'!P632</f>
        <v/>
      </c>
      <c r="R639" s="7">
        <f>'1 datos preparados'!Q632</f>
        <v/>
      </c>
      <c r="S639" s="7">
        <f>'1 datos preparados'!R632</f>
        <v/>
      </c>
      <c r="T639" s="7">
        <f>'1 datos preparados'!S632</f>
        <v/>
      </c>
      <c r="U639" s="7">
        <f>'1 datos preparados'!T632</f>
        <v/>
      </c>
      <c r="V639" s="8">
        <f>$AE$12+D639*$AE$13+E639*$AE$14+F639*$AE$15+G639*$AE$16+H639*$AE$17+I639*$AE$18+J639*$AE$19+K639*$AE$20+L639*$AE$21+M639*$AE$22+N639*$AE$23+O639*$AE$24+P639*$AE$25+Q639*$AE$26+R639*$AE$27+S639*$AE$28+T639*$AE$29+U639*$AE$30</f>
        <v/>
      </c>
      <c r="W639" s="8">
        <f>1/(1+EXP(-V639))</f>
        <v/>
      </c>
      <c r="X639" s="9">
        <f>-IF(C639=1,LN(W639),LN(1-W639))</f>
        <v/>
      </c>
      <c r="Y639" s="8">
        <f>1</f>
        <v/>
      </c>
      <c r="Z639" s="9">
        <f>Y639*X639</f>
        <v/>
      </c>
      <c r="AA639" s="10">
        <f>IF(W639&gt;$AE$32,1,0)</f>
        <v/>
      </c>
      <c r="AB639">
        <f>IF(AA639=C639,1,0)</f>
        <v/>
      </c>
    </row>
    <row r="640">
      <c r="A640">
        <f>'1 datos preparados'!A633</f>
        <v/>
      </c>
      <c r="B640" s="5">
        <f>'1 datos preparados'!U633</f>
        <v/>
      </c>
      <c r="C640">
        <f>'1 datos preparados'!B633</f>
        <v/>
      </c>
      <c r="D640" s="7">
        <f>'1 datos preparados'!C633</f>
        <v/>
      </c>
      <c r="E640" s="7">
        <f>'1 datos preparados'!D633</f>
        <v/>
      </c>
      <c r="F640" s="7">
        <f>'1 datos preparados'!E633</f>
        <v/>
      </c>
      <c r="G640" s="7">
        <f>'1 datos preparados'!F633</f>
        <v/>
      </c>
      <c r="H640" s="7">
        <f>'1 datos preparados'!G633</f>
        <v/>
      </c>
      <c r="I640" s="7">
        <f>'1 datos preparados'!H633</f>
        <v/>
      </c>
      <c r="J640" s="7">
        <f>'1 datos preparados'!I633</f>
        <v/>
      </c>
      <c r="K640" s="7">
        <f>'1 datos preparados'!J633</f>
        <v/>
      </c>
      <c r="L640" s="7">
        <f>'1 datos preparados'!K633</f>
        <v/>
      </c>
      <c r="M640" s="7">
        <f>'1 datos preparados'!L633</f>
        <v/>
      </c>
      <c r="N640" s="7">
        <f>'1 datos preparados'!M633</f>
        <v/>
      </c>
      <c r="O640" s="7">
        <f>'1 datos preparados'!N633</f>
        <v/>
      </c>
      <c r="P640" s="7">
        <f>'1 datos preparados'!O633</f>
        <v/>
      </c>
      <c r="Q640" s="7">
        <f>'1 datos preparados'!P633</f>
        <v/>
      </c>
      <c r="R640" s="7">
        <f>'1 datos preparados'!Q633</f>
        <v/>
      </c>
      <c r="S640" s="7">
        <f>'1 datos preparados'!R633</f>
        <v/>
      </c>
      <c r="T640" s="7">
        <f>'1 datos preparados'!S633</f>
        <v/>
      </c>
      <c r="U640" s="7">
        <f>'1 datos preparados'!T633</f>
        <v/>
      </c>
      <c r="V640" s="8">
        <f>$AE$12+D640*$AE$13+E640*$AE$14+F640*$AE$15+G640*$AE$16+H640*$AE$17+I640*$AE$18+J640*$AE$19+K640*$AE$20+L640*$AE$21+M640*$AE$22+N640*$AE$23+O640*$AE$24+P640*$AE$25+Q640*$AE$26+R640*$AE$27+S640*$AE$28+T640*$AE$29+U640*$AE$30</f>
        <v/>
      </c>
      <c r="W640" s="8">
        <f>1/(1+EXP(-V640))</f>
        <v/>
      </c>
      <c r="X640" s="9">
        <f>-IF(C640=1,LN(W640),LN(1-W640))</f>
        <v/>
      </c>
      <c r="Y640" s="8">
        <f>1</f>
        <v/>
      </c>
      <c r="Z640" s="9">
        <f>Y640*X640</f>
        <v/>
      </c>
      <c r="AA640" s="10">
        <f>IF(W640&gt;$AE$32,1,0)</f>
        <v/>
      </c>
      <c r="AB640">
        <f>IF(AA640=C640,1,0)</f>
        <v/>
      </c>
    </row>
    <row r="641">
      <c r="A641">
        <f>'1 datos preparados'!A634</f>
        <v/>
      </c>
      <c r="B641" s="5">
        <f>'1 datos preparados'!U634</f>
        <v/>
      </c>
      <c r="C641">
        <f>'1 datos preparados'!B634</f>
        <v/>
      </c>
      <c r="D641" s="7">
        <f>'1 datos preparados'!C634</f>
        <v/>
      </c>
      <c r="E641" s="7">
        <f>'1 datos preparados'!D634</f>
        <v/>
      </c>
      <c r="F641" s="7">
        <f>'1 datos preparados'!E634</f>
        <v/>
      </c>
      <c r="G641" s="7">
        <f>'1 datos preparados'!F634</f>
        <v/>
      </c>
      <c r="H641" s="7">
        <f>'1 datos preparados'!G634</f>
        <v/>
      </c>
      <c r="I641" s="7">
        <f>'1 datos preparados'!H634</f>
        <v/>
      </c>
      <c r="J641" s="7">
        <f>'1 datos preparados'!I634</f>
        <v/>
      </c>
      <c r="K641" s="7">
        <f>'1 datos preparados'!J634</f>
        <v/>
      </c>
      <c r="L641" s="7">
        <f>'1 datos preparados'!K634</f>
        <v/>
      </c>
      <c r="M641" s="7">
        <f>'1 datos preparados'!L634</f>
        <v/>
      </c>
      <c r="N641" s="7">
        <f>'1 datos preparados'!M634</f>
        <v/>
      </c>
      <c r="O641" s="7">
        <f>'1 datos preparados'!N634</f>
        <v/>
      </c>
      <c r="P641" s="7">
        <f>'1 datos preparados'!O634</f>
        <v/>
      </c>
      <c r="Q641" s="7">
        <f>'1 datos preparados'!P634</f>
        <v/>
      </c>
      <c r="R641" s="7">
        <f>'1 datos preparados'!Q634</f>
        <v/>
      </c>
      <c r="S641" s="7">
        <f>'1 datos preparados'!R634</f>
        <v/>
      </c>
      <c r="T641" s="7">
        <f>'1 datos preparados'!S634</f>
        <v/>
      </c>
      <c r="U641" s="7">
        <f>'1 datos preparados'!T634</f>
        <v/>
      </c>
      <c r="V641" s="8">
        <f>$AE$12+D641*$AE$13+E641*$AE$14+F641*$AE$15+G641*$AE$16+H641*$AE$17+I641*$AE$18+J641*$AE$19+K641*$AE$20+L641*$AE$21+M641*$AE$22+N641*$AE$23+O641*$AE$24+P641*$AE$25+Q641*$AE$26+R641*$AE$27+S641*$AE$28+T641*$AE$29+U641*$AE$30</f>
        <v/>
      </c>
      <c r="W641" s="8">
        <f>1/(1+EXP(-V641))</f>
        <v/>
      </c>
      <c r="X641" s="9">
        <f>-IF(C641=1,LN(W641),LN(1-W641))</f>
        <v/>
      </c>
      <c r="Y641" s="8">
        <f>1</f>
        <v/>
      </c>
      <c r="Z641" s="9">
        <f>Y641*X641</f>
        <v/>
      </c>
      <c r="AA641" s="10">
        <f>IF(W641&gt;$AE$32,1,0)</f>
        <v/>
      </c>
      <c r="AB641">
        <f>IF(AA641=C641,1,0)</f>
        <v/>
      </c>
    </row>
    <row r="642">
      <c r="A642">
        <f>'1 datos preparados'!A635</f>
        <v/>
      </c>
      <c r="B642" s="5">
        <f>'1 datos preparados'!U635</f>
        <v/>
      </c>
      <c r="C642">
        <f>'1 datos preparados'!B635</f>
        <v/>
      </c>
      <c r="D642" s="7">
        <f>'1 datos preparados'!C635</f>
        <v/>
      </c>
      <c r="E642" s="7">
        <f>'1 datos preparados'!D635</f>
        <v/>
      </c>
      <c r="F642" s="7">
        <f>'1 datos preparados'!E635</f>
        <v/>
      </c>
      <c r="G642" s="7">
        <f>'1 datos preparados'!F635</f>
        <v/>
      </c>
      <c r="H642" s="7">
        <f>'1 datos preparados'!G635</f>
        <v/>
      </c>
      <c r="I642" s="7">
        <f>'1 datos preparados'!H635</f>
        <v/>
      </c>
      <c r="J642" s="7">
        <f>'1 datos preparados'!I635</f>
        <v/>
      </c>
      <c r="K642" s="7">
        <f>'1 datos preparados'!J635</f>
        <v/>
      </c>
      <c r="L642" s="7">
        <f>'1 datos preparados'!K635</f>
        <v/>
      </c>
      <c r="M642" s="7">
        <f>'1 datos preparados'!L635</f>
        <v/>
      </c>
      <c r="N642" s="7">
        <f>'1 datos preparados'!M635</f>
        <v/>
      </c>
      <c r="O642" s="7">
        <f>'1 datos preparados'!N635</f>
        <v/>
      </c>
      <c r="P642" s="7">
        <f>'1 datos preparados'!O635</f>
        <v/>
      </c>
      <c r="Q642" s="7">
        <f>'1 datos preparados'!P635</f>
        <v/>
      </c>
      <c r="R642" s="7">
        <f>'1 datos preparados'!Q635</f>
        <v/>
      </c>
      <c r="S642" s="7">
        <f>'1 datos preparados'!R635</f>
        <v/>
      </c>
      <c r="T642" s="7">
        <f>'1 datos preparados'!S635</f>
        <v/>
      </c>
      <c r="U642" s="7">
        <f>'1 datos preparados'!T635</f>
        <v/>
      </c>
      <c r="V642" s="8">
        <f>$AE$12+D642*$AE$13+E642*$AE$14+F642*$AE$15+G642*$AE$16+H642*$AE$17+I642*$AE$18+J642*$AE$19+K642*$AE$20+L642*$AE$21+M642*$AE$22+N642*$AE$23+O642*$AE$24+P642*$AE$25+Q642*$AE$26+R642*$AE$27+S642*$AE$28+T642*$AE$29+U642*$AE$30</f>
        <v/>
      </c>
      <c r="W642" s="8">
        <f>1/(1+EXP(-V642))</f>
        <v/>
      </c>
      <c r="X642" s="9">
        <f>-IF(C642=1,LN(W642),LN(1-W642))</f>
        <v/>
      </c>
      <c r="Y642" s="8">
        <f>1</f>
        <v/>
      </c>
      <c r="Z642" s="9">
        <f>Y642*X642</f>
        <v/>
      </c>
      <c r="AA642" s="10">
        <f>IF(W642&gt;$AE$32,1,0)</f>
        <v/>
      </c>
      <c r="AB642">
        <f>IF(AA642=C642,1,0)</f>
        <v/>
      </c>
    </row>
    <row r="643">
      <c r="A643">
        <f>'1 datos preparados'!A636</f>
        <v/>
      </c>
      <c r="B643" s="5">
        <f>'1 datos preparados'!U636</f>
        <v/>
      </c>
      <c r="C643">
        <f>'1 datos preparados'!B636</f>
        <v/>
      </c>
      <c r="D643" s="7">
        <f>'1 datos preparados'!C636</f>
        <v/>
      </c>
      <c r="E643" s="7">
        <f>'1 datos preparados'!D636</f>
        <v/>
      </c>
      <c r="F643" s="7">
        <f>'1 datos preparados'!E636</f>
        <v/>
      </c>
      <c r="G643" s="7">
        <f>'1 datos preparados'!F636</f>
        <v/>
      </c>
      <c r="H643" s="7">
        <f>'1 datos preparados'!G636</f>
        <v/>
      </c>
      <c r="I643" s="7">
        <f>'1 datos preparados'!H636</f>
        <v/>
      </c>
      <c r="J643" s="7">
        <f>'1 datos preparados'!I636</f>
        <v/>
      </c>
      <c r="K643" s="7">
        <f>'1 datos preparados'!J636</f>
        <v/>
      </c>
      <c r="L643" s="7">
        <f>'1 datos preparados'!K636</f>
        <v/>
      </c>
      <c r="M643" s="7">
        <f>'1 datos preparados'!L636</f>
        <v/>
      </c>
      <c r="N643" s="7">
        <f>'1 datos preparados'!M636</f>
        <v/>
      </c>
      <c r="O643" s="7">
        <f>'1 datos preparados'!N636</f>
        <v/>
      </c>
      <c r="P643" s="7">
        <f>'1 datos preparados'!O636</f>
        <v/>
      </c>
      <c r="Q643" s="7">
        <f>'1 datos preparados'!P636</f>
        <v/>
      </c>
      <c r="R643" s="7">
        <f>'1 datos preparados'!Q636</f>
        <v/>
      </c>
      <c r="S643" s="7">
        <f>'1 datos preparados'!R636</f>
        <v/>
      </c>
      <c r="T643" s="7">
        <f>'1 datos preparados'!S636</f>
        <v/>
      </c>
      <c r="U643" s="7">
        <f>'1 datos preparados'!T636</f>
        <v/>
      </c>
      <c r="V643" s="8">
        <f>$AE$12+D643*$AE$13+E643*$AE$14+F643*$AE$15+G643*$AE$16+H643*$AE$17+I643*$AE$18+J643*$AE$19+K643*$AE$20+L643*$AE$21+M643*$AE$22+N643*$AE$23+O643*$AE$24+P643*$AE$25+Q643*$AE$26+R643*$AE$27+S643*$AE$28+T643*$AE$29+U643*$AE$30</f>
        <v/>
      </c>
      <c r="W643" s="8">
        <f>1/(1+EXP(-V643))</f>
        <v/>
      </c>
      <c r="X643" s="9">
        <f>-IF(C643=1,LN(W643),LN(1-W643))</f>
        <v/>
      </c>
      <c r="Y643" s="8">
        <f>1</f>
        <v/>
      </c>
      <c r="Z643" s="9">
        <f>Y643*X643</f>
        <v/>
      </c>
      <c r="AA643" s="10">
        <f>IF(W643&gt;$AE$32,1,0)</f>
        <v/>
      </c>
      <c r="AB643">
        <f>IF(AA643=C643,1,0)</f>
        <v/>
      </c>
    </row>
    <row r="644">
      <c r="A644">
        <f>'1 datos preparados'!A637</f>
        <v/>
      </c>
      <c r="B644" s="5">
        <f>'1 datos preparados'!U637</f>
        <v/>
      </c>
      <c r="C644">
        <f>'1 datos preparados'!B637</f>
        <v/>
      </c>
      <c r="D644" s="7">
        <f>'1 datos preparados'!C637</f>
        <v/>
      </c>
      <c r="E644" s="7">
        <f>'1 datos preparados'!D637</f>
        <v/>
      </c>
      <c r="F644" s="7">
        <f>'1 datos preparados'!E637</f>
        <v/>
      </c>
      <c r="G644" s="7">
        <f>'1 datos preparados'!F637</f>
        <v/>
      </c>
      <c r="H644" s="7">
        <f>'1 datos preparados'!G637</f>
        <v/>
      </c>
      <c r="I644" s="7">
        <f>'1 datos preparados'!H637</f>
        <v/>
      </c>
      <c r="J644" s="7">
        <f>'1 datos preparados'!I637</f>
        <v/>
      </c>
      <c r="K644" s="7">
        <f>'1 datos preparados'!J637</f>
        <v/>
      </c>
      <c r="L644" s="7">
        <f>'1 datos preparados'!K637</f>
        <v/>
      </c>
      <c r="M644" s="7">
        <f>'1 datos preparados'!L637</f>
        <v/>
      </c>
      <c r="N644" s="7">
        <f>'1 datos preparados'!M637</f>
        <v/>
      </c>
      <c r="O644" s="7">
        <f>'1 datos preparados'!N637</f>
        <v/>
      </c>
      <c r="P644" s="7">
        <f>'1 datos preparados'!O637</f>
        <v/>
      </c>
      <c r="Q644" s="7">
        <f>'1 datos preparados'!P637</f>
        <v/>
      </c>
      <c r="R644" s="7">
        <f>'1 datos preparados'!Q637</f>
        <v/>
      </c>
      <c r="S644" s="7">
        <f>'1 datos preparados'!R637</f>
        <v/>
      </c>
      <c r="T644" s="7">
        <f>'1 datos preparados'!S637</f>
        <v/>
      </c>
      <c r="U644" s="7">
        <f>'1 datos preparados'!T637</f>
        <v/>
      </c>
      <c r="V644" s="8">
        <f>$AE$12+D644*$AE$13+E644*$AE$14+F644*$AE$15+G644*$AE$16+H644*$AE$17+I644*$AE$18+J644*$AE$19+K644*$AE$20+L644*$AE$21+M644*$AE$22+N644*$AE$23+O644*$AE$24+P644*$AE$25+Q644*$AE$26+R644*$AE$27+S644*$AE$28+T644*$AE$29+U644*$AE$30</f>
        <v/>
      </c>
      <c r="W644" s="8">
        <f>1/(1+EXP(-V644))</f>
        <v/>
      </c>
      <c r="X644" s="9">
        <f>-IF(C644=1,LN(W644),LN(1-W644))</f>
        <v/>
      </c>
      <c r="Y644" s="8">
        <f>1</f>
        <v/>
      </c>
      <c r="Z644" s="9">
        <f>Y644*X644</f>
        <v/>
      </c>
      <c r="AA644" s="10">
        <f>IF(W644&gt;$AE$32,1,0)</f>
        <v/>
      </c>
      <c r="AB644">
        <f>IF(AA644=C644,1,0)</f>
        <v/>
      </c>
    </row>
    <row r="645">
      <c r="A645">
        <f>'1 datos preparados'!A638</f>
        <v/>
      </c>
      <c r="B645" s="5">
        <f>'1 datos preparados'!U638</f>
        <v/>
      </c>
      <c r="C645">
        <f>'1 datos preparados'!B638</f>
        <v/>
      </c>
      <c r="D645" s="7">
        <f>'1 datos preparados'!C638</f>
        <v/>
      </c>
      <c r="E645" s="7">
        <f>'1 datos preparados'!D638</f>
        <v/>
      </c>
      <c r="F645" s="7">
        <f>'1 datos preparados'!E638</f>
        <v/>
      </c>
      <c r="G645" s="7">
        <f>'1 datos preparados'!F638</f>
        <v/>
      </c>
      <c r="H645" s="7">
        <f>'1 datos preparados'!G638</f>
        <v/>
      </c>
      <c r="I645" s="7">
        <f>'1 datos preparados'!H638</f>
        <v/>
      </c>
      <c r="J645" s="7">
        <f>'1 datos preparados'!I638</f>
        <v/>
      </c>
      <c r="K645" s="7">
        <f>'1 datos preparados'!J638</f>
        <v/>
      </c>
      <c r="L645" s="7">
        <f>'1 datos preparados'!K638</f>
        <v/>
      </c>
      <c r="M645" s="7">
        <f>'1 datos preparados'!L638</f>
        <v/>
      </c>
      <c r="N645" s="7">
        <f>'1 datos preparados'!M638</f>
        <v/>
      </c>
      <c r="O645" s="7">
        <f>'1 datos preparados'!N638</f>
        <v/>
      </c>
      <c r="P645" s="7">
        <f>'1 datos preparados'!O638</f>
        <v/>
      </c>
      <c r="Q645" s="7">
        <f>'1 datos preparados'!P638</f>
        <v/>
      </c>
      <c r="R645" s="7">
        <f>'1 datos preparados'!Q638</f>
        <v/>
      </c>
      <c r="S645" s="7">
        <f>'1 datos preparados'!R638</f>
        <v/>
      </c>
      <c r="T645" s="7">
        <f>'1 datos preparados'!S638</f>
        <v/>
      </c>
      <c r="U645" s="7">
        <f>'1 datos preparados'!T638</f>
        <v/>
      </c>
      <c r="V645" s="8">
        <f>$AE$12+D645*$AE$13+E645*$AE$14+F645*$AE$15+G645*$AE$16+H645*$AE$17+I645*$AE$18+J645*$AE$19+K645*$AE$20+L645*$AE$21+M645*$AE$22+N645*$AE$23+O645*$AE$24+P645*$AE$25+Q645*$AE$26+R645*$AE$27+S645*$AE$28+T645*$AE$29+U645*$AE$30</f>
        <v/>
      </c>
      <c r="W645" s="8">
        <f>1/(1+EXP(-V645))</f>
        <v/>
      </c>
      <c r="X645" s="9">
        <f>-IF(C645=1,LN(W645),LN(1-W645))</f>
        <v/>
      </c>
      <c r="Y645" s="8">
        <f>1</f>
        <v/>
      </c>
      <c r="Z645" s="9">
        <f>Y645*X645</f>
        <v/>
      </c>
      <c r="AA645" s="10">
        <f>IF(W645&gt;$AE$32,1,0)</f>
        <v/>
      </c>
      <c r="AB645">
        <f>IF(AA645=C645,1,0)</f>
        <v/>
      </c>
    </row>
    <row r="646">
      <c r="A646">
        <f>'1 datos preparados'!A639</f>
        <v/>
      </c>
      <c r="B646" s="5">
        <f>'1 datos preparados'!U639</f>
        <v/>
      </c>
      <c r="C646">
        <f>'1 datos preparados'!B639</f>
        <v/>
      </c>
      <c r="D646" s="7">
        <f>'1 datos preparados'!C639</f>
        <v/>
      </c>
      <c r="E646" s="7">
        <f>'1 datos preparados'!D639</f>
        <v/>
      </c>
      <c r="F646" s="7">
        <f>'1 datos preparados'!E639</f>
        <v/>
      </c>
      <c r="G646" s="7">
        <f>'1 datos preparados'!F639</f>
        <v/>
      </c>
      <c r="H646" s="7">
        <f>'1 datos preparados'!G639</f>
        <v/>
      </c>
      <c r="I646" s="7">
        <f>'1 datos preparados'!H639</f>
        <v/>
      </c>
      <c r="J646" s="7">
        <f>'1 datos preparados'!I639</f>
        <v/>
      </c>
      <c r="K646" s="7">
        <f>'1 datos preparados'!J639</f>
        <v/>
      </c>
      <c r="L646" s="7">
        <f>'1 datos preparados'!K639</f>
        <v/>
      </c>
      <c r="M646" s="7">
        <f>'1 datos preparados'!L639</f>
        <v/>
      </c>
      <c r="N646" s="7">
        <f>'1 datos preparados'!M639</f>
        <v/>
      </c>
      <c r="O646" s="7">
        <f>'1 datos preparados'!N639</f>
        <v/>
      </c>
      <c r="P646" s="7">
        <f>'1 datos preparados'!O639</f>
        <v/>
      </c>
      <c r="Q646" s="7">
        <f>'1 datos preparados'!P639</f>
        <v/>
      </c>
      <c r="R646" s="7">
        <f>'1 datos preparados'!Q639</f>
        <v/>
      </c>
      <c r="S646" s="7">
        <f>'1 datos preparados'!R639</f>
        <v/>
      </c>
      <c r="T646" s="7">
        <f>'1 datos preparados'!S639</f>
        <v/>
      </c>
      <c r="U646" s="7">
        <f>'1 datos preparados'!T639</f>
        <v/>
      </c>
      <c r="V646" s="8">
        <f>$AE$12+D646*$AE$13+E646*$AE$14+F646*$AE$15+G646*$AE$16+H646*$AE$17+I646*$AE$18+J646*$AE$19+K646*$AE$20+L646*$AE$21+M646*$AE$22+N646*$AE$23+O646*$AE$24+P646*$AE$25+Q646*$AE$26+R646*$AE$27+S646*$AE$28+T646*$AE$29+U646*$AE$30</f>
        <v/>
      </c>
      <c r="W646" s="8">
        <f>1/(1+EXP(-V646))</f>
        <v/>
      </c>
      <c r="X646" s="9">
        <f>-IF(C646=1,LN(W646),LN(1-W646))</f>
        <v/>
      </c>
      <c r="Y646" s="8">
        <f>1</f>
        <v/>
      </c>
      <c r="Z646" s="9">
        <f>Y646*X646</f>
        <v/>
      </c>
      <c r="AA646" s="10">
        <f>IF(W646&gt;$AE$32,1,0)</f>
        <v/>
      </c>
      <c r="AB646">
        <f>IF(AA646=C646,1,0)</f>
        <v/>
      </c>
    </row>
    <row r="647">
      <c r="A647">
        <f>'1 datos preparados'!A640</f>
        <v/>
      </c>
      <c r="B647" s="5">
        <f>'1 datos preparados'!U640</f>
        <v/>
      </c>
      <c r="C647">
        <f>'1 datos preparados'!B640</f>
        <v/>
      </c>
      <c r="D647" s="7">
        <f>'1 datos preparados'!C640</f>
        <v/>
      </c>
      <c r="E647" s="7">
        <f>'1 datos preparados'!D640</f>
        <v/>
      </c>
      <c r="F647" s="7">
        <f>'1 datos preparados'!E640</f>
        <v/>
      </c>
      <c r="G647" s="7">
        <f>'1 datos preparados'!F640</f>
        <v/>
      </c>
      <c r="H647" s="7">
        <f>'1 datos preparados'!G640</f>
        <v/>
      </c>
      <c r="I647" s="7">
        <f>'1 datos preparados'!H640</f>
        <v/>
      </c>
      <c r="J647" s="7">
        <f>'1 datos preparados'!I640</f>
        <v/>
      </c>
      <c r="K647" s="7">
        <f>'1 datos preparados'!J640</f>
        <v/>
      </c>
      <c r="L647" s="7">
        <f>'1 datos preparados'!K640</f>
        <v/>
      </c>
      <c r="M647" s="7">
        <f>'1 datos preparados'!L640</f>
        <v/>
      </c>
      <c r="N647" s="7">
        <f>'1 datos preparados'!M640</f>
        <v/>
      </c>
      <c r="O647" s="7">
        <f>'1 datos preparados'!N640</f>
        <v/>
      </c>
      <c r="P647" s="7">
        <f>'1 datos preparados'!O640</f>
        <v/>
      </c>
      <c r="Q647" s="7">
        <f>'1 datos preparados'!P640</f>
        <v/>
      </c>
      <c r="R647" s="7">
        <f>'1 datos preparados'!Q640</f>
        <v/>
      </c>
      <c r="S647" s="7">
        <f>'1 datos preparados'!R640</f>
        <v/>
      </c>
      <c r="T647" s="7">
        <f>'1 datos preparados'!S640</f>
        <v/>
      </c>
      <c r="U647" s="7">
        <f>'1 datos preparados'!T640</f>
        <v/>
      </c>
      <c r="V647" s="8">
        <f>$AE$12+D647*$AE$13+E647*$AE$14+F647*$AE$15+G647*$AE$16+H647*$AE$17+I647*$AE$18+J647*$AE$19+K647*$AE$20+L647*$AE$21+M647*$AE$22+N647*$AE$23+O647*$AE$24+P647*$AE$25+Q647*$AE$26+R647*$AE$27+S647*$AE$28+T647*$AE$29+U647*$AE$30</f>
        <v/>
      </c>
      <c r="W647" s="8">
        <f>1/(1+EXP(-V647))</f>
        <v/>
      </c>
      <c r="X647" s="9">
        <f>-IF(C647=1,LN(W647),LN(1-W647))</f>
        <v/>
      </c>
      <c r="Y647" s="8">
        <f>1</f>
        <v/>
      </c>
      <c r="Z647" s="9">
        <f>Y647*X647</f>
        <v/>
      </c>
      <c r="AA647" s="10">
        <f>IF(W647&gt;$AE$32,1,0)</f>
        <v/>
      </c>
      <c r="AB647">
        <f>IF(AA647=C647,1,0)</f>
        <v/>
      </c>
    </row>
    <row r="648">
      <c r="A648">
        <f>'1 datos preparados'!A641</f>
        <v/>
      </c>
      <c r="B648" s="5">
        <f>'1 datos preparados'!U641</f>
        <v/>
      </c>
      <c r="C648">
        <f>'1 datos preparados'!B641</f>
        <v/>
      </c>
      <c r="D648" s="7">
        <f>'1 datos preparados'!C641</f>
        <v/>
      </c>
      <c r="E648" s="7">
        <f>'1 datos preparados'!D641</f>
        <v/>
      </c>
      <c r="F648" s="7">
        <f>'1 datos preparados'!E641</f>
        <v/>
      </c>
      <c r="G648" s="7">
        <f>'1 datos preparados'!F641</f>
        <v/>
      </c>
      <c r="H648" s="7">
        <f>'1 datos preparados'!G641</f>
        <v/>
      </c>
      <c r="I648" s="7">
        <f>'1 datos preparados'!H641</f>
        <v/>
      </c>
      <c r="J648" s="7">
        <f>'1 datos preparados'!I641</f>
        <v/>
      </c>
      <c r="K648" s="7">
        <f>'1 datos preparados'!J641</f>
        <v/>
      </c>
      <c r="L648" s="7">
        <f>'1 datos preparados'!K641</f>
        <v/>
      </c>
      <c r="M648" s="7">
        <f>'1 datos preparados'!L641</f>
        <v/>
      </c>
      <c r="N648" s="7">
        <f>'1 datos preparados'!M641</f>
        <v/>
      </c>
      <c r="O648" s="7">
        <f>'1 datos preparados'!N641</f>
        <v/>
      </c>
      <c r="P648" s="7">
        <f>'1 datos preparados'!O641</f>
        <v/>
      </c>
      <c r="Q648" s="7">
        <f>'1 datos preparados'!P641</f>
        <v/>
      </c>
      <c r="R648" s="7">
        <f>'1 datos preparados'!Q641</f>
        <v/>
      </c>
      <c r="S648" s="7">
        <f>'1 datos preparados'!R641</f>
        <v/>
      </c>
      <c r="T648" s="7">
        <f>'1 datos preparados'!S641</f>
        <v/>
      </c>
      <c r="U648" s="7">
        <f>'1 datos preparados'!T641</f>
        <v/>
      </c>
      <c r="V648" s="8">
        <f>$AE$12+D648*$AE$13+E648*$AE$14+F648*$AE$15+G648*$AE$16+H648*$AE$17+I648*$AE$18+J648*$AE$19+K648*$AE$20+L648*$AE$21+M648*$AE$22+N648*$AE$23+O648*$AE$24+P648*$AE$25+Q648*$AE$26+R648*$AE$27+S648*$AE$28+T648*$AE$29+U648*$AE$30</f>
        <v/>
      </c>
      <c r="W648" s="8">
        <f>1/(1+EXP(-V648))</f>
        <v/>
      </c>
      <c r="X648" s="9">
        <f>-IF(C648=1,LN(W648),LN(1-W648))</f>
        <v/>
      </c>
      <c r="Y648" s="8">
        <f>1</f>
        <v/>
      </c>
      <c r="Z648" s="9">
        <f>Y648*X648</f>
        <v/>
      </c>
      <c r="AA648" s="10">
        <f>IF(W648&gt;$AE$32,1,0)</f>
        <v/>
      </c>
      <c r="AB648">
        <f>IF(AA648=C648,1,0)</f>
        <v/>
      </c>
    </row>
    <row r="649">
      <c r="A649">
        <f>'1 datos preparados'!A642</f>
        <v/>
      </c>
      <c r="B649" s="5">
        <f>'1 datos preparados'!U642</f>
        <v/>
      </c>
      <c r="C649">
        <f>'1 datos preparados'!B642</f>
        <v/>
      </c>
      <c r="D649" s="7">
        <f>'1 datos preparados'!C642</f>
        <v/>
      </c>
      <c r="E649" s="7">
        <f>'1 datos preparados'!D642</f>
        <v/>
      </c>
      <c r="F649" s="7">
        <f>'1 datos preparados'!E642</f>
        <v/>
      </c>
      <c r="G649" s="7">
        <f>'1 datos preparados'!F642</f>
        <v/>
      </c>
      <c r="H649" s="7">
        <f>'1 datos preparados'!G642</f>
        <v/>
      </c>
      <c r="I649" s="7">
        <f>'1 datos preparados'!H642</f>
        <v/>
      </c>
      <c r="J649" s="7">
        <f>'1 datos preparados'!I642</f>
        <v/>
      </c>
      <c r="K649" s="7">
        <f>'1 datos preparados'!J642</f>
        <v/>
      </c>
      <c r="L649" s="7">
        <f>'1 datos preparados'!K642</f>
        <v/>
      </c>
      <c r="M649" s="7">
        <f>'1 datos preparados'!L642</f>
        <v/>
      </c>
      <c r="N649" s="7">
        <f>'1 datos preparados'!M642</f>
        <v/>
      </c>
      <c r="O649" s="7">
        <f>'1 datos preparados'!N642</f>
        <v/>
      </c>
      <c r="P649" s="7">
        <f>'1 datos preparados'!O642</f>
        <v/>
      </c>
      <c r="Q649" s="7">
        <f>'1 datos preparados'!P642</f>
        <v/>
      </c>
      <c r="R649" s="7">
        <f>'1 datos preparados'!Q642</f>
        <v/>
      </c>
      <c r="S649" s="7">
        <f>'1 datos preparados'!R642</f>
        <v/>
      </c>
      <c r="T649" s="7">
        <f>'1 datos preparados'!S642</f>
        <v/>
      </c>
      <c r="U649" s="7">
        <f>'1 datos preparados'!T642</f>
        <v/>
      </c>
      <c r="V649" s="8">
        <f>$AE$12+D649*$AE$13+E649*$AE$14+F649*$AE$15+G649*$AE$16+H649*$AE$17+I649*$AE$18+J649*$AE$19+K649*$AE$20+L649*$AE$21+M649*$AE$22+N649*$AE$23+O649*$AE$24+P649*$AE$25+Q649*$AE$26+R649*$AE$27+S649*$AE$28+T649*$AE$29+U649*$AE$30</f>
        <v/>
      </c>
      <c r="W649" s="8">
        <f>1/(1+EXP(-V649))</f>
        <v/>
      </c>
      <c r="X649" s="9">
        <f>-IF(C649=1,LN(W649),LN(1-W649))</f>
        <v/>
      </c>
      <c r="Y649" s="8">
        <f>1</f>
        <v/>
      </c>
      <c r="Z649" s="9">
        <f>Y649*X649</f>
        <v/>
      </c>
      <c r="AA649" s="10">
        <f>IF(W649&gt;$AE$32,1,0)</f>
        <v/>
      </c>
      <c r="AB649">
        <f>IF(AA649=C649,1,0)</f>
        <v/>
      </c>
    </row>
    <row r="650">
      <c r="A650">
        <f>'1 datos preparados'!A643</f>
        <v/>
      </c>
      <c r="B650" s="5">
        <f>'1 datos preparados'!U643</f>
        <v/>
      </c>
      <c r="C650">
        <f>'1 datos preparados'!B643</f>
        <v/>
      </c>
      <c r="D650" s="7">
        <f>'1 datos preparados'!C643</f>
        <v/>
      </c>
      <c r="E650" s="7">
        <f>'1 datos preparados'!D643</f>
        <v/>
      </c>
      <c r="F650" s="7">
        <f>'1 datos preparados'!E643</f>
        <v/>
      </c>
      <c r="G650" s="7">
        <f>'1 datos preparados'!F643</f>
        <v/>
      </c>
      <c r="H650" s="7">
        <f>'1 datos preparados'!G643</f>
        <v/>
      </c>
      <c r="I650" s="7">
        <f>'1 datos preparados'!H643</f>
        <v/>
      </c>
      <c r="J650" s="7">
        <f>'1 datos preparados'!I643</f>
        <v/>
      </c>
      <c r="K650" s="7">
        <f>'1 datos preparados'!J643</f>
        <v/>
      </c>
      <c r="L650" s="7">
        <f>'1 datos preparados'!K643</f>
        <v/>
      </c>
      <c r="M650" s="7">
        <f>'1 datos preparados'!L643</f>
        <v/>
      </c>
      <c r="N650" s="7">
        <f>'1 datos preparados'!M643</f>
        <v/>
      </c>
      <c r="O650" s="7">
        <f>'1 datos preparados'!N643</f>
        <v/>
      </c>
      <c r="P650" s="7">
        <f>'1 datos preparados'!O643</f>
        <v/>
      </c>
      <c r="Q650" s="7">
        <f>'1 datos preparados'!P643</f>
        <v/>
      </c>
      <c r="R650" s="7">
        <f>'1 datos preparados'!Q643</f>
        <v/>
      </c>
      <c r="S650" s="7">
        <f>'1 datos preparados'!R643</f>
        <v/>
      </c>
      <c r="T650" s="7">
        <f>'1 datos preparados'!S643</f>
        <v/>
      </c>
      <c r="U650" s="7">
        <f>'1 datos preparados'!T643</f>
        <v/>
      </c>
      <c r="V650" s="8">
        <f>$AE$12+D650*$AE$13+E650*$AE$14+F650*$AE$15+G650*$AE$16+H650*$AE$17+I650*$AE$18+J650*$AE$19+K650*$AE$20+L650*$AE$21+M650*$AE$22+N650*$AE$23+O650*$AE$24+P650*$AE$25+Q650*$AE$26+R650*$AE$27+S650*$AE$28+T650*$AE$29+U650*$AE$30</f>
        <v/>
      </c>
      <c r="W650" s="8">
        <f>1/(1+EXP(-V650))</f>
        <v/>
      </c>
      <c r="X650" s="9">
        <f>-IF(C650=1,LN(W650),LN(1-W650))</f>
        <v/>
      </c>
      <c r="Y650" s="8">
        <f>1</f>
        <v/>
      </c>
      <c r="Z650" s="9">
        <f>Y650*X650</f>
        <v/>
      </c>
      <c r="AA650" s="10">
        <f>IF(W650&gt;$AE$32,1,0)</f>
        <v/>
      </c>
      <c r="AB650">
        <f>IF(AA650=C650,1,0)</f>
        <v/>
      </c>
    </row>
    <row r="651">
      <c r="A651">
        <f>'1 datos preparados'!A644</f>
        <v/>
      </c>
      <c r="B651" s="5">
        <f>'1 datos preparados'!U644</f>
        <v/>
      </c>
      <c r="C651">
        <f>'1 datos preparados'!B644</f>
        <v/>
      </c>
      <c r="D651" s="7">
        <f>'1 datos preparados'!C644</f>
        <v/>
      </c>
      <c r="E651" s="7">
        <f>'1 datos preparados'!D644</f>
        <v/>
      </c>
      <c r="F651" s="7">
        <f>'1 datos preparados'!E644</f>
        <v/>
      </c>
      <c r="G651" s="7">
        <f>'1 datos preparados'!F644</f>
        <v/>
      </c>
      <c r="H651" s="7">
        <f>'1 datos preparados'!G644</f>
        <v/>
      </c>
      <c r="I651" s="7">
        <f>'1 datos preparados'!H644</f>
        <v/>
      </c>
      <c r="J651" s="7">
        <f>'1 datos preparados'!I644</f>
        <v/>
      </c>
      <c r="K651" s="7">
        <f>'1 datos preparados'!J644</f>
        <v/>
      </c>
      <c r="L651" s="7">
        <f>'1 datos preparados'!K644</f>
        <v/>
      </c>
      <c r="M651" s="7">
        <f>'1 datos preparados'!L644</f>
        <v/>
      </c>
      <c r="N651" s="7">
        <f>'1 datos preparados'!M644</f>
        <v/>
      </c>
      <c r="O651" s="7">
        <f>'1 datos preparados'!N644</f>
        <v/>
      </c>
      <c r="P651" s="7">
        <f>'1 datos preparados'!O644</f>
        <v/>
      </c>
      <c r="Q651" s="7">
        <f>'1 datos preparados'!P644</f>
        <v/>
      </c>
      <c r="R651" s="7">
        <f>'1 datos preparados'!Q644</f>
        <v/>
      </c>
      <c r="S651" s="7">
        <f>'1 datos preparados'!R644</f>
        <v/>
      </c>
      <c r="T651" s="7">
        <f>'1 datos preparados'!S644</f>
        <v/>
      </c>
      <c r="U651" s="7">
        <f>'1 datos preparados'!T644</f>
        <v/>
      </c>
      <c r="V651" s="8">
        <f>$AE$12+D651*$AE$13+E651*$AE$14+F651*$AE$15+G651*$AE$16+H651*$AE$17+I651*$AE$18+J651*$AE$19+K651*$AE$20+L651*$AE$21+M651*$AE$22+N651*$AE$23+O651*$AE$24+P651*$AE$25+Q651*$AE$26+R651*$AE$27+S651*$AE$28+T651*$AE$29+U651*$AE$30</f>
        <v/>
      </c>
      <c r="W651" s="8">
        <f>1/(1+EXP(-V651))</f>
        <v/>
      </c>
      <c r="X651" s="9">
        <f>-IF(C651=1,LN(W651),LN(1-W651))</f>
        <v/>
      </c>
      <c r="Y651" s="8">
        <f>1</f>
        <v/>
      </c>
      <c r="Z651" s="9">
        <f>Y651*X651</f>
        <v/>
      </c>
      <c r="AA651" s="10">
        <f>IF(W651&gt;$AE$32,1,0)</f>
        <v/>
      </c>
      <c r="AB651">
        <f>IF(AA651=C651,1,0)</f>
        <v/>
      </c>
    </row>
    <row r="652">
      <c r="A652">
        <f>'1 datos preparados'!A645</f>
        <v/>
      </c>
      <c r="B652" s="5">
        <f>'1 datos preparados'!U645</f>
        <v/>
      </c>
      <c r="C652">
        <f>'1 datos preparados'!B645</f>
        <v/>
      </c>
      <c r="D652" s="7">
        <f>'1 datos preparados'!C645</f>
        <v/>
      </c>
      <c r="E652" s="7">
        <f>'1 datos preparados'!D645</f>
        <v/>
      </c>
      <c r="F652" s="7">
        <f>'1 datos preparados'!E645</f>
        <v/>
      </c>
      <c r="G652" s="7">
        <f>'1 datos preparados'!F645</f>
        <v/>
      </c>
      <c r="H652" s="7">
        <f>'1 datos preparados'!G645</f>
        <v/>
      </c>
      <c r="I652" s="7">
        <f>'1 datos preparados'!H645</f>
        <v/>
      </c>
      <c r="J652" s="7">
        <f>'1 datos preparados'!I645</f>
        <v/>
      </c>
      <c r="K652" s="7">
        <f>'1 datos preparados'!J645</f>
        <v/>
      </c>
      <c r="L652" s="7">
        <f>'1 datos preparados'!K645</f>
        <v/>
      </c>
      <c r="M652" s="7">
        <f>'1 datos preparados'!L645</f>
        <v/>
      </c>
      <c r="N652" s="7">
        <f>'1 datos preparados'!M645</f>
        <v/>
      </c>
      <c r="O652" s="7">
        <f>'1 datos preparados'!N645</f>
        <v/>
      </c>
      <c r="P652" s="7">
        <f>'1 datos preparados'!O645</f>
        <v/>
      </c>
      <c r="Q652" s="7">
        <f>'1 datos preparados'!P645</f>
        <v/>
      </c>
      <c r="R652" s="7">
        <f>'1 datos preparados'!Q645</f>
        <v/>
      </c>
      <c r="S652" s="7">
        <f>'1 datos preparados'!R645</f>
        <v/>
      </c>
      <c r="T652" s="7">
        <f>'1 datos preparados'!S645</f>
        <v/>
      </c>
      <c r="U652" s="7">
        <f>'1 datos preparados'!T645</f>
        <v/>
      </c>
      <c r="V652" s="8">
        <f>$AE$12+D652*$AE$13+E652*$AE$14+F652*$AE$15+G652*$AE$16+H652*$AE$17+I652*$AE$18+J652*$AE$19+K652*$AE$20+L652*$AE$21+M652*$AE$22+N652*$AE$23+O652*$AE$24+P652*$AE$25+Q652*$AE$26+R652*$AE$27+S652*$AE$28+T652*$AE$29+U652*$AE$30</f>
        <v/>
      </c>
      <c r="W652" s="8">
        <f>1/(1+EXP(-V652))</f>
        <v/>
      </c>
      <c r="X652" s="9">
        <f>-IF(C652=1,LN(W652),LN(1-W652))</f>
        <v/>
      </c>
      <c r="Y652" s="8">
        <f>1</f>
        <v/>
      </c>
      <c r="Z652" s="9">
        <f>Y652*X652</f>
        <v/>
      </c>
      <c r="AA652" s="10">
        <f>IF(W652&gt;$AE$32,1,0)</f>
        <v/>
      </c>
      <c r="AB652">
        <f>IF(AA652=C652,1,0)</f>
        <v/>
      </c>
    </row>
    <row r="653">
      <c r="A653">
        <f>'1 datos preparados'!A646</f>
        <v/>
      </c>
      <c r="B653" s="5">
        <f>'1 datos preparados'!U646</f>
        <v/>
      </c>
      <c r="C653">
        <f>'1 datos preparados'!B646</f>
        <v/>
      </c>
      <c r="D653" s="7">
        <f>'1 datos preparados'!C646</f>
        <v/>
      </c>
      <c r="E653" s="7">
        <f>'1 datos preparados'!D646</f>
        <v/>
      </c>
      <c r="F653" s="7">
        <f>'1 datos preparados'!E646</f>
        <v/>
      </c>
      <c r="G653" s="7">
        <f>'1 datos preparados'!F646</f>
        <v/>
      </c>
      <c r="H653" s="7">
        <f>'1 datos preparados'!G646</f>
        <v/>
      </c>
      <c r="I653" s="7">
        <f>'1 datos preparados'!H646</f>
        <v/>
      </c>
      <c r="J653" s="7">
        <f>'1 datos preparados'!I646</f>
        <v/>
      </c>
      <c r="K653" s="7">
        <f>'1 datos preparados'!J646</f>
        <v/>
      </c>
      <c r="L653" s="7">
        <f>'1 datos preparados'!K646</f>
        <v/>
      </c>
      <c r="M653" s="7">
        <f>'1 datos preparados'!L646</f>
        <v/>
      </c>
      <c r="N653" s="7">
        <f>'1 datos preparados'!M646</f>
        <v/>
      </c>
      <c r="O653" s="7">
        <f>'1 datos preparados'!N646</f>
        <v/>
      </c>
      <c r="P653" s="7">
        <f>'1 datos preparados'!O646</f>
        <v/>
      </c>
      <c r="Q653" s="7">
        <f>'1 datos preparados'!P646</f>
        <v/>
      </c>
      <c r="R653" s="7">
        <f>'1 datos preparados'!Q646</f>
        <v/>
      </c>
      <c r="S653" s="7">
        <f>'1 datos preparados'!R646</f>
        <v/>
      </c>
      <c r="T653" s="7">
        <f>'1 datos preparados'!S646</f>
        <v/>
      </c>
      <c r="U653" s="7">
        <f>'1 datos preparados'!T646</f>
        <v/>
      </c>
      <c r="V653" s="8">
        <f>$AE$12+D653*$AE$13+E653*$AE$14+F653*$AE$15+G653*$AE$16+H653*$AE$17+I653*$AE$18+J653*$AE$19+K653*$AE$20+L653*$AE$21+M653*$AE$22+N653*$AE$23+O653*$AE$24+P653*$AE$25+Q653*$AE$26+R653*$AE$27+S653*$AE$28+T653*$AE$29+U653*$AE$30</f>
        <v/>
      </c>
      <c r="W653" s="8">
        <f>1/(1+EXP(-V653))</f>
        <v/>
      </c>
      <c r="X653" s="9">
        <f>-IF(C653=1,LN(W653),LN(1-W653))</f>
        <v/>
      </c>
      <c r="Y653" s="8">
        <f>1</f>
        <v/>
      </c>
      <c r="Z653" s="9">
        <f>Y653*X653</f>
        <v/>
      </c>
      <c r="AA653" s="10">
        <f>IF(W653&gt;$AE$32,1,0)</f>
        <v/>
      </c>
      <c r="AB653">
        <f>IF(AA653=C653,1,0)</f>
        <v/>
      </c>
    </row>
    <row r="654">
      <c r="A654">
        <f>'1 datos preparados'!A647</f>
        <v/>
      </c>
      <c r="B654" s="5">
        <f>'1 datos preparados'!U647</f>
        <v/>
      </c>
      <c r="C654">
        <f>'1 datos preparados'!B647</f>
        <v/>
      </c>
      <c r="D654" s="7">
        <f>'1 datos preparados'!C647</f>
        <v/>
      </c>
      <c r="E654" s="7">
        <f>'1 datos preparados'!D647</f>
        <v/>
      </c>
      <c r="F654" s="7">
        <f>'1 datos preparados'!E647</f>
        <v/>
      </c>
      <c r="G654" s="7">
        <f>'1 datos preparados'!F647</f>
        <v/>
      </c>
      <c r="H654" s="7">
        <f>'1 datos preparados'!G647</f>
        <v/>
      </c>
      <c r="I654" s="7">
        <f>'1 datos preparados'!H647</f>
        <v/>
      </c>
      <c r="J654" s="7">
        <f>'1 datos preparados'!I647</f>
        <v/>
      </c>
      <c r="K654" s="7">
        <f>'1 datos preparados'!J647</f>
        <v/>
      </c>
      <c r="L654" s="7">
        <f>'1 datos preparados'!K647</f>
        <v/>
      </c>
      <c r="M654" s="7">
        <f>'1 datos preparados'!L647</f>
        <v/>
      </c>
      <c r="N654" s="7">
        <f>'1 datos preparados'!M647</f>
        <v/>
      </c>
      <c r="O654" s="7">
        <f>'1 datos preparados'!N647</f>
        <v/>
      </c>
      <c r="P654" s="7">
        <f>'1 datos preparados'!O647</f>
        <v/>
      </c>
      <c r="Q654" s="7">
        <f>'1 datos preparados'!P647</f>
        <v/>
      </c>
      <c r="R654" s="7">
        <f>'1 datos preparados'!Q647</f>
        <v/>
      </c>
      <c r="S654" s="7">
        <f>'1 datos preparados'!R647</f>
        <v/>
      </c>
      <c r="T654" s="7">
        <f>'1 datos preparados'!S647</f>
        <v/>
      </c>
      <c r="U654" s="7">
        <f>'1 datos preparados'!T647</f>
        <v/>
      </c>
      <c r="V654" s="8">
        <f>$AE$12+D654*$AE$13+E654*$AE$14+F654*$AE$15+G654*$AE$16+H654*$AE$17+I654*$AE$18+J654*$AE$19+K654*$AE$20+L654*$AE$21+M654*$AE$22+N654*$AE$23+O654*$AE$24+P654*$AE$25+Q654*$AE$26+R654*$AE$27+S654*$AE$28+T654*$AE$29+U654*$AE$30</f>
        <v/>
      </c>
      <c r="W654" s="8">
        <f>1/(1+EXP(-V654))</f>
        <v/>
      </c>
      <c r="X654" s="9">
        <f>-IF(C654=1,LN(W654),LN(1-W654))</f>
        <v/>
      </c>
      <c r="Y654" s="8">
        <f>1</f>
        <v/>
      </c>
      <c r="Z654" s="9">
        <f>Y654*X654</f>
        <v/>
      </c>
      <c r="AA654" s="10">
        <f>IF(W654&gt;$AE$32,1,0)</f>
        <v/>
      </c>
      <c r="AB654">
        <f>IF(AA654=C654,1,0)</f>
        <v/>
      </c>
    </row>
    <row r="655">
      <c r="A655">
        <f>'1 datos preparados'!A648</f>
        <v/>
      </c>
      <c r="B655" s="5">
        <f>'1 datos preparados'!U648</f>
        <v/>
      </c>
      <c r="C655">
        <f>'1 datos preparados'!B648</f>
        <v/>
      </c>
      <c r="D655" s="7">
        <f>'1 datos preparados'!C648</f>
        <v/>
      </c>
      <c r="E655" s="7">
        <f>'1 datos preparados'!D648</f>
        <v/>
      </c>
      <c r="F655" s="7">
        <f>'1 datos preparados'!E648</f>
        <v/>
      </c>
      <c r="G655" s="7">
        <f>'1 datos preparados'!F648</f>
        <v/>
      </c>
      <c r="H655" s="7">
        <f>'1 datos preparados'!G648</f>
        <v/>
      </c>
      <c r="I655" s="7">
        <f>'1 datos preparados'!H648</f>
        <v/>
      </c>
      <c r="J655" s="7">
        <f>'1 datos preparados'!I648</f>
        <v/>
      </c>
      <c r="K655" s="7">
        <f>'1 datos preparados'!J648</f>
        <v/>
      </c>
      <c r="L655" s="7">
        <f>'1 datos preparados'!K648</f>
        <v/>
      </c>
      <c r="M655" s="7">
        <f>'1 datos preparados'!L648</f>
        <v/>
      </c>
      <c r="N655" s="7">
        <f>'1 datos preparados'!M648</f>
        <v/>
      </c>
      <c r="O655" s="7">
        <f>'1 datos preparados'!N648</f>
        <v/>
      </c>
      <c r="P655" s="7">
        <f>'1 datos preparados'!O648</f>
        <v/>
      </c>
      <c r="Q655" s="7">
        <f>'1 datos preparados'!P648</f>
        <v/>
      </c>
      <c r="R655" s="7">
        <f>'1 datos preparados'!Q648</f>
        <v/>
      </c>
      <c r="S655" s="7">
        <f>'1 datos preparados'!R648</f>
        <v/>
      </c>
      <c r="T655" s="7">
        <f>'1 datos preparados'!S648</f>
        <v/>
      </c>
      <c r="U655" s="7">
        <f>'1 datos preparados'!T648</f>
        <v/>
      </c>
      <c r="V655" s="8">
        <f>$AE$12+D655*$AE$13+E655*$AE$14+F655*$AE$15+G655*$AE$16+H655*$AE$17+I655*$AE$18+J655*$AE$19+K655*$AE$20+L655*$AE$21+M655*$AE$22+N655*$AE$23+O655*$AE$24+P655*$AE$25+Q655*$AE$26+R655*$AE$27+S655*$AE$28+T655*$AE$29+U655*$AE$30</f>
        <v/>
      </c>
      <c r="W655" s="8">
        <f>1/(1+EXP(-V655))</f>
        <v/>
      </c>
      <c r="X655" s="9">
        <f>-IF(C655=1,LN(W655),LN(1-W655))</f>
        <v/>
      </c>
      <c r="Y655" s="8">
        <f>1</f>
        <v/>
      </c>
      <c r="Z655" s="9">
        <f>Y655*X655</f>
        <v/>
      </c>
      <c r="AA655" s="10">
        <f>IF(W655&gt;$AE$32,1,0)</f>
        <v/>
      </c>
      <c r="AB655">
        <f>IF(AA655=C655,1,0)</f>
        <v/>
      </c>
    </row>
    <row r="656">
      <c r="A656">
        <f>'1 datos preparados'!A649</f>
        <v/>
      </c>
      <c r="B656" s="5">
        <f>'1 datos preparados'!U649</f>
        <v/>
      </c>
      <c r="C656">
        <f>'1 datos preparados'!B649</f>
        <v/>
      </c>
      <c r="D656" s="7">
        <f>'1 datos preparados'!C649</f>
        <v/>
      </c>
      <c r="E656" s="7">
        <f>'1 datos preparados'!D649</f>
        <v/>
      </c>
      <c r="F656" s="7">
        <f>'1 datos preparados'!E649</f>
        <v/>
      </c>
      <c r="G656" s="7">
        <f>'1 datos preparados'!F649</f>
        <v/>
      </c>
      <c r="H656" s="7">
        <f>'1 datos preparados'!G649</f>
        <v/>
      </c>
      <c r="I656" s="7">
        <f>'1 datos preparados'!H649</f>
        <v/>
      </c>
      <c r="J656" s="7">
        <f>'1 datos preparados'!I649</f>
        <v/>
      </c>
      <c r="K656" s="7">
        <f>'1 datos preparados'!J649</f>
        <v/>
      </c>
      <c r="L656" s="7">
        <f>'1 datos preparados'!K649</f>
        <v/>
      </c>
      <c r="M656" s="7">
        <f>'1 datos preparados'!L649</f>
        <v/>
      </c>
      <c r="N656" s="7">
        <f>'1 datos preparados'!M649</f>
        <v/>
      </c>
      <c r="O656" s="7">
        <f>'1 datos preparados'!N649</f>
        <v/>
      </c>
      <c r="P656" s="7">
        <f>'1 datos preparados'!O649</f>
        <v/>
      </c>
      <c r="Q656" s="7">
        <f>'1 datos preparados'!P649</f>
        <v/>
      </c>
      <c r="R656" s="7">
        <f>'1 datos preparados'!Q649</f>
        <v/>
      </c>
      <c r="S656" s="7">
        <f>'1 datos preparados'!R649</f>
        <v/>
      </c>
      <c r="T656" s="7">
        <f>'1 datos preparados'!S649</f>
        <v/>
      </c>
      <c r="U656" s="7">
        <f>'1 datos preparados'!T649</f>
        <v/>
      </c>
      <c r="V656" s="8">
        <f>$AE$12+D656*$AE$13+E656*$AE$14+F656*$AE$15+G656*$AE$16+H656*$AE$17+I656*$AE$18+J656*$AE$19+K656*$AE$20+L656*$AE$21+M656*$AE$22+N656*$AE$23+O656*$AE$24+P656*$AE$25+Q656*$AE$26+R656*$AE$27+S656*$AE$28+T656*$AE$29+U656*$AE$30</f>
        <v/>
      </c>
      <c r="W656" s="8">
        <f>1/(1+EXP(-V656))</f>
        <v/>
      </c>
      <c r="X656" s="9">
        <f>-IF(C656=1,LN(W656),LN(1-W656))</f>
        <v/>
      </c>
      <c r="Y656" s="8">
        <f>1</f>
        <v/>
      </c>
      <c r="Z656" s="9">
        <f>Y656*X656</f>
        <v/>
      </c>
      <c r="AA656" s="10">
        <f>IF(W656&gt;$AE$32,1,0)</f>
        <v/>
      </c>
      <c r="AB656">
        <f>IF(AA656=C656,1,0)</f>
        <v/>
      </c>
    </row>
    <row r="657">
      <c r="A657">
        <f>'1 datos preparados'!A650</f>
        <v/>
      </c>
      <c r="B657" s="5">
        <f>'1 datos preparados'!U650</f>
        <v/>
      </c>
      <c r="C657">
        <f>'1 datos preparados'!B650</f>
        <v/>
      </c>
      <c r="D657" s="7">
        <f>'1 datos preparados'!C650</f>
        <v/>
      </c>
      <c r="E657" s="7">
        <f>'1 datos preparados'!D650</f>
        <v/>
      </c>
      <c r="F657" s="7">
        <f>'1 datos preparados'!E650</f>
        <v/>
      </c>
      <c r="G657" s="7">
        <f>'1 datos preparados'!F650</f>
        <v/>
      </c>
      <c r="H657" s="7">
        <f>'1 datos preparados'!G650</f>
        <v/>
      </c>
      <c r="I657" s="7">
        <f>'1 datos preparados'!H650</f>
        <v/>
      </c>
      <c r="J657" s="7">
        <f>'1 datos preparados'!I650</f>
        <v/>
      </c>
      <c r="K657" s="7">
        <f>'1 datos preparados'!J650</f>
        <v/>
      </c>
      <c r="L657" s="7">
        <f>'1 datos preparados'!K650</f>
        <v/>
      </c>
      <c r="M657" s="7">
        <f>'1 datos preparados'!L650</f>
        <v/>
      </c>
      <c r="N657" s="7">
        <f>'1 datos preparados'!M650</f>
        <v/>
      </c>
      <c r="O657" s="7">
        <f>'1 datos preparados'!N650</f>
        <v/>
      </c>
      <c r="P657" s="7">
        <f>'1 datos preparados'!O650</f>
        <v/>
      </c>
      <c r="Q657" s="7">
        <f>'1 datos preparados'!P650</f>
        <v/>
      </c>
      <c r="R657" s="7">
        <f>'1 datos preparados'!Q650</f>
        <v/>
      </c>
      <c r="S657" s="7">
        <f>'1 datos preparados'!R650</f>
        <v/>
      </c>
      <c r="T657" s="7">
        <f>'1 datos preparados'!S650</f>
        <v/>
      </c>
      <c r="U657" s="7">
        <f>'1 datos preparados'!T650</f>
        <v/>
      </c>
      <c r="V657" s="8">
        <f>$AE$12+D657*$AE$13+E657*$AE$14+F657*$AE$15+G657*$AE$16+H657*$AE$17+I657*$AE$18+J657*$AE$19+K657*$AE$20+L657*$AE$21+M657*$AE$22+N657*$AE$23+O657*$AE$24+P657*$AE$25+Q657*$AE$26+R657*$AE$27+S657*$AE$28+T657*$AE$29+U657*$AE$30</f>
        <v/>
      </c>
      <c r="W657" s="8">
        <f>1/(1+EXP(-V657))</f>
        <v/>
      </c>
      <c r="X657" s="9">
        <f>-IF(C657=1,LN(W657),LN(1-W657))</f>
        <v/>
      </c>
      <c r="Y657" s="8">
        <f>1</f>
        <v/>
      </c>
      <c r="Z657" s="9">
        <f>Y657*X657</f>
        <v/>
      </c>
      <c r="AA657" s="10">
        <f>IF(W657&gt;$AE$32,1,0)</f>
        <v/>
      </c>
      <c r="AB657">
        <f>IF(AA657=C657,1,0)</f>
        <v/>
      </c>
    </row>
    <row r="658">
      <c r="A658">
        <f>'1 datos preparados'!A651</f>
        <v/>
      </c>
      <c r="B658" s="5">
        <f>'1 datos preparados'!U651</f>
        <v/>
      </c>
      <c r="C658">
        <f>'1 datos preparados'!B651</f>
        <v/>
      </c>
      <c r="D658" s="7">
        <f>'1 datos preparados'!C651</f>
        <v/>
      </c>
      <c r="E658" s="7">
        <f>'1 datos preparados'!D651</f>
        <v/>
      </c>
      <c r="F658" s="7">
        <f>'1 datos preparados'!E651</f>
        <v/>
      </c>
      <c r="G658" s="7">
        <f>'1 datos preparados'!F651</f>
        <v/>
      </c>
      <c r="H658" s="7">
        <f>'1 datos preparados'!G651</f>
        <v/>
      </c>
      <c r="I658" s="7">
        <f>'1 datos preparados'!H651</f>
        <v/>
      </c>
      <c r="J658" s="7">
        <f>'1 datos preparados'!I651</f>
        <v/>
      </c>
      <c r="K658" s="7">
        <f>'1 datos preparados'!J651</f>
        <v/>
      </c>
      <c r="L658" s="7">
        <f>'1 datos preparados'!K651</f>
        <v/>
      </c>
      <c r="M658" s="7">
        <f>'1 datos preparados'!L651</f>
        <v/>
      </c>
      <c r="N658" s="7">
        <f>'1 datos preparados'!M651</f>
        <v/>
      </c>
      <c r="O658" s="7">
        <f>'1 datos preparados'!N651</f>
        <v/>
      </c>
      <c r="P658" s="7">
        <f>'1 datos preparados'!O651</f>
        <v/>
      </c>
      <c r="Q658" s="7">
        <f>'1 datos preparados'!P651</f>
        <v/>
      </c>
      <c r="R658" s="7">
        <f>'1 datos preparados'!Q651</f>
        <v/>
      </c>
      <c r="S658" s="7">
        <f>'1 datos preparados'!R651</f>
        <v/>
      </c>
      <c r="T658" s="7">
        <f>'1 datos preparados'!S651</f>
        <v/>
      </c>
      <c r="U658" s="7">
        <f>'1 datos preparados'!T651</f>
        <v/>
      </c>
      <c r="V658" s="8">
        <f>$AE$12+D658*$AE$13+E658*$AE$14+F658*$AE$15+G658*$AE$16+H658*$AE$17+I658*$AE$18+J658*$AE$19+K658*$AE$20+L658*$AE$21+M658*$AE$22+N658*$AE$23+O658*$AE$24+P658*$AE$25+Q658*$AE$26+R658*$AE$27+S658*$AE$28+T658*$AE$29+U658*$AE$30</f>
        <v/>
      </c>
      <c r="W658" s="8">
        <f>1/(1+EXP(-V658))</f>
        <v/>
      </c>
      <c r="X658" s="9">
        <f>-IF(C658=1,LN(W658),LN(1-W658))</f>
        <v/>
      </c>
      <c r="Y658" s="8">
        <f>1</f>
        <v/>
      </c>
      <c r="Z658" s="9">
        <f>Y658*X658</f>
        <v/>
      </c>
      <c r="AA658" s="10">
        <f>IF(W658&gt;$AE$32,1,0)</f>
        <v/>
      </c>
      <c r="AB658">
        <f>IF(AA658=C658,1,0)</f>
        <v/>
      </c>
    </row>
    <row r="659">
      <c r="A659">
        <f>'1 datos preparados'!A652</f>
        <v/>
      </c>
      <c r="B659" s="5">
        <f>'1 datos preparados'!U652</f>
        <v/>
      </c>
      <c r="C659">
        <f>'1 datos preparados'!B652</f>
        <v/>
      </c>
      <c r="D659" s="7">
        <f>'1 datos preparados'!C652</f>
        <v/>
      </c>
      <c r="E659" s="7">
        <f>'1 datos preparados'!D652</f>
        <v/>
      </c>
      <c r="F659" s="7">
        <f>'1 datos preparados'!E652</f>
        <v/>
      </c>
      <c r="G659" s="7">
        <f>'1 datos preparados'!F652</f>
        <v/>
      </c>
      <c r="H659" s="7">
        <f>'1 datos preparados'!G652</f>
        <v/>
      </c>
      <c r="I659" s="7">
        <f>'1 datos preparados'!H652</f>
        <v/>
      </c>
      <c r="J659" s="7">
        <f>'1 datos preparados'!I652</f>
        <v/>
      </c>
      <c r="K659" s="7">
        <f>'1 datos preparados'!J652</f>
        <v/>
      </c>
      <c r="L659" s="7">
        <f>'1 datos preparados'!K652</f>
        <v/>
      </c>
      <c r="M659" s="7">
        <f>'1 datos preparados'!L652</f>
        <v/>
      </c>
      <c r="N659" s="7">
        <f>'1 datos preparados'!M652</f>
        <v/>
      </c>
      <c r="O659" s="7">
        <f>'1 datos preparados'!N652</f>
        <v/>
      </c>
      <c r="P659" s="7">
        <f>'1 datos preparados'!O652</f>
        <v/>
      </c>
      <c r="Q659" s="7">
        <f>'1 datos preparados'!P652</f>
        <v/>
      </c>
      <c r="R659" s="7">
        <f>'1 datos preparados'!Q652</f>
        <v/>
      </c>
      <c r="S659" s="7">
        <f>'1 datos preparados'!R652</f>
        <v/>
      </c>
      <c r="T659" s="7">
        <f>'1 datos preparados'!S652</f>
        <v/>
      </c>
      <c r="U659" s="7">
        <f>'1 datos preparados'!T652</f>
        <v/>
      </c>
      <c r="V659" s="8">
        <f>$AE$12+D659*$AE$13+E659*$AE$14+F659*$AE$15+G659*$AE$16+H659*$AE$17+I659*$AE$18+J659*$AE$19+K659*$AE$20+L659*$AE$21+M659*$AE$22+N659*$AE$23+O659*$AE$24+P659*$AE$25+Q659*$AE$26+R659*$AE$27+S659*$AE$28+T659*$AE$29+U659*$AE$30</f>
        <v/>
      </c>
      <c r="W659" s="8">
        <f>1/(1+EXP(-V659))</f>
        <v/>
      </c>
      <c r="X659" s="9">
        <f>-IF(C659=1,LN(W659),LN(1-W659))</f>
        <v/>
      </c>
      <c r="Y659" s="8">
        <f>1</f>
        <v/>
      </c>
      <c r="Z659" s="9">
        <f>Y659*X659</f>
        <v/>
      </c>
      <c r="AA659" s="10">
        <f>IF(W659&gt;$AE$32,1,0)</f>
        <v/>
      </c>
      <c r="AB659">
        <f>IF(AA659=C659,1,0)</f>
        <v/>
      </c>
    </row>
    <row r="660">
      <c r="A660">
        <f>'1 datos preparados'!A653</f>
        <v/>
      </c>
      <c r="B660" s="5">
        <f>'1 datos preparados'!U653</f>
        <v/>
      </c>
      <c r="C660">
        <f>'1 datos preparados'!B653</f>
        <v/>
      </c>
      <c r="D660" s="7">
        <f>'1 datos preparados'!C653</f>
        <v/>
      </c>
      <c r="E660" s="7">
        <f>'1 datos preparados'!D653</f>
        <v/>
      </c>
      <c r="F660" s="7">
        <f>'1 datos preparados'!E653</f>
        <v/>
      </c>
      <c r="G660" s="7">
        <f>'1 datos preparados'!F653</f>
        <v/>
      </c>
      <c r="H660" s="7">
        <f>'1 datos preparados'!G653</f>
        <v/>
      </c>
      <c r="I660" s="7">
        <f>'1 datos preparados'!H653</f>
        <v/>
      </c>
      <c r="J660" s="7">
        <f>'1 datos preparados'!I653</f>
        <v/>
      </c>
      <c r="K660" s="7">
        <f>'1 datos preparados'!J653</f>
        <v/>
      </c>
      <c r="L660" s="7">
        <f>'1 datos preparados'!K653</f>
        <v/>
      </c>
      <c r="M660" s="7">
        <f>'1 datos preparados'!L653</f>
        <v/>
      </c>
      <c r="N660" s="7">
        <f>'1 datos preparados'!M653</f>
        <v/>
      </c>
      <c r="O660" s="7">
        <f>'1 datos preparados'!N653</f>
        <v/>
      </c>
      <c r="P660" s="7">
        <f>'1 datos preparados'!O653</f>
        <v/>
      </c>
      <c r="Q660" s="7">
        <f>'1 datos preparados'!P653</f>
        <v/>
      </c>
      <c r="R660" s="7">
        <f>'1 datos preparados'!Q653</f>
        <v/>
      </c>
      <c r="S660" s="7">
        <f>'1 datos preparados'!R653</f>
        <v/>
      </c>
      <c r="T660" s="7">
        <f>'1 datos preparados'!S653</f>
        <v/>
      </c>
      <c r="U660" s="7">
        <f>'1 datos preparados'!T653</f>
        <v/>
      </c>
      <c r="V660" s="8">
        <f>$AE$12+D660*$AE$13+E660*$AE$14+F660*$AE$15+G660*$AE$16+H660*$AE$17+I660*$AE$18+J660*$AE$19+K660*$AE$20+L660*$AE$21+M660*$AE$22+N660*$AE$23+O660*$AE$24+P660*$AE$25+Q660*$AE$26+R660*$AE$27+S660*$AE$28+T660*$AE$29+U660*$AE$30</f>
        <v/>
      </c>
      <c r="W660" s="8">
        <f>1/(1+EXP(-V660))</f>
        <v/>
      </c>
      <c r="X660" s="9">
        <f>-IF(C660=1,LN(W660),LN(1-W660))</f>
        <v/>
      </c>
      <c r="Y660" s="8">
        <f>1</f>
        <v/>
      </c>
      <c r="Z660" s="9">
        <f>Y660*X660</f>
        <v/>
      </c>
      <c r="AA660" s="10">
        <f>IF(W660&gt;$AE$32,1,0)</f>
        <v/>
      </c>
      <c r="AB660">
        <f>IF(AA660=C660,1,0)</f>
        <v/>
      </c>
    </row>
    <row r="661">
      <c r="A661">
        <f>'1 datos preparados'!A654</f>
        <v/>
      </c>
      <c r="B661" s="5">
        <f>'1 datos preparados'!U654</f>
        <v/>
      </c>
      <c r="C661">
        <f>'1 datos preparados'!B654</f>
        <v/>
      </c>
      <c r="D661" s="7">
        <f>'1 datos preparados'!C654</f>
        <v/>
      </c>
      <c r="E661" s="7">
        <f>'1 datos preparados'!D654</f>
        <v/>
      </c>
      <c r="F661" s="7">
        <f>'1 datos preparados'!E654</f>
        <v/>
      </c>
      <c r="G661" s="7">
        <f>'1 datos preparados'!F654</f>
        <v/>
      </c>
      <c r="H661" s="7">
        <f>'1 datos preparados'!G654</f>
        <v/>
      </c>
      <c r="I661" s="7">
        <f>'1 datos preparados'!H654</f>
        <v/>
      </c>
      <c r="J661" s="7">
        <f>'1 datos preparados'!I654</f>
        <v/>
      </c>
      <c r="K661" s="7">
        <f>'1 datos preparados'!J654</f>
        <v/>
      </c>
      <c r="L661" s="7">
        <f>'1 datos preparados'!K654</f>
        <v/>
      </c>
      <c r="M661" s="7">
        <f>'1 datos preparados'!L654</f>
        <v/>
      </c>
      <c r="N661" s="7">
        <f>'1 datos preparados'!M654</f>
        <v/>
      </c>
      <c r="O661" s="7">
        <f>'1 datos preparados'!N654</f>
        <v/>
      </c>
      <c r="P661" s="7">
        <f>'1 datos preparados'!O654</f>
        <v/>
      </c>
      <c r="Q661" s="7">
        <f>'1 datos preparados'!P654</f>
        <v/>
      </c>
      <c r="R661" s="7">
        <f>'1 datos preparados'!Q654</f>
        <v/>
      </c>
      <c r="S661" s="7">
        <f>'1 datos preparados'!R654</f>
        <v/>
      </c>
      <c r="T661" s="7">
        <f>'1 datos preparados'!S654</f>
        <v/>
      </c>
      <c r="U661" s="7">
        <f>'1 datos preparados'!T654</f>
        <v/>
      </c>
      <c r="V661" s="8">
        <f>$AE$12+D661*$AE$13+E661*$AE$14+F661*$AE$15+G661*$AE$16+H661*$AE$17+I661*$AE$18+J661*$AE$19+K661*$AE$20+L661*$AE$21+M661*$AE$22+N661*$AE$23+O661*$AE$24+P661*$AE$25+Q661*$AE$26+R661*$AE$27+S661*$AE$28+T661*$AE$29+U661*$AE$30</f>
        <v/>
      </c>
      <c r="W661" s="8">
        <f>1/(1+EXP(-V661))</f>
        <v/>
      </c>
      <c r="X661" s="9">
        <f>-IF(C661=1,LN(W661),LN(1-W661))</f>
        <v/>
      </c>
      <c r="Y661" s="8">
        <f>1</f>
        <v/>
      </c>
      <c r="Z661" s="9">
        <f>Y661*X661</f>
        <v/>
      </c>
      <c r="AA661" s="10">
        <f>IF(W661&gt;$AE$32,1,0)</f>
        <v/>
      </c>
      <c r="AB661">
        <f>IF(AA661=C661,1,0)</f>
        <v/>
      </c>
    </row>
    <row r="662">
      <c r="A662">
        <f>'1 datos preparados'!A655</f>
        <v/>
      </c>
      <c r="B662" s="5">
        <f>'1 datos preparados'!U655</f>
        <v/>
      </c>
      <c r="C662">
        <f>'1 datos preparados'!B655</f>
        <v/>
      </c>
      <c r="D662" s="7">
        <f>'1 datos preparados'!C655</f>
        <v/>
      </c>
      <c r="E662" s="7">
        <f>'1 datos preparados'!D655</f>
        <v/>
      </c>
      <c r="F662" s="7">
        <f>'1 datos preparados'!E655</f>
        <v/>
      </c>
      <c r="G662" s="7">
        <f>'1 datos preparados'!F655</f>
        <v/>
      </c>
      <c r="H662" s="7">
        <f>'1 datos preparados'!G655</f>
        <v/>
      </c>
      <c r="I662" s="7">
        <f>'1 datos preparados'!H655</f>
        <v/>
      </c>
      <c r="J662" s="7">
        <f>'1 datos preparados'!I655</f>
        <v/>
      </c>
      <c r="K662" s="7">
        <f>'1 datos preparados'!J655</f>
        <v/>
      </c>
      <c r="L662" s="7">
        <f>'1 datos preparados'!K655</f>
        <v/>
      </c>
      <c r="M662" s="7">
        <f>'1 datos preparados'!L655</f>
        <v/>
      </c>
      <c r="N662" s="7">
        <f>'1 datos preparados'!M655</f>
        <v/>
      </c>
      <c r="O662" s="7">
        <f>'1 datos preparados'!N655</f>
        <v/>
      </c>
      <c r="P662" s="7">
        <f>'1 datos preparados'!O655</f>
        <v/>
      </c>
      <c r="Q662" s="7">
        <f>'1 datos preparados'!P655</f>
        <v/>
      </c>
      <c r="R662" s="7">
        <f>'1 datos preparados'!Q655</f>
        <v/>
      </c>
      <c r="S662" s="7">
        <f>'1 datos preparados'!R655</f>
        <v/>
      </c>
      <c r="T662" s="7">
        <f>'1 datos preparados'!S655</f>
        <v/>
      </c>
      <c r="U662" s="7">
        <f>'1 datos preparados'!T655</f>
        <v/>
      </c>
      <c r="V662" s="8">
        <f>$AE$12+D662*$AE$13+E662*$AE$14+F662*$AE$15+G662*$AE$16+H662*$AE$17+I662*$AE$18+J662*$AE$19+K662*$AE$20+L662*$AE$21+M662*$AE$22+N662*$AE$23+O662*$AE$24+P662*$AE$25+Q662*$AE$26+R662*$AE$27+S662*$AE$28+T662*$AE$29+U662*$AE$30</f>
        <v/>
      </c>
      <c r="W662" s="8">
        <f>1/(1+EXP(-V662))</f>
        <v/>
      </c>
      <c r="X662" s="9">
        <f>-IF(C662=1,LN(W662),LN(1-W662))</f>
        <v/>
      </c>
      <c r="Y662" s="8">
        <f>1</f>
        <v/>
      </c>
      <c r="Z662" s="9">
        <f>Y662*X662</f>
        <v/>
      </c>
      <c r="AA662" s="10">
        <f>IF(W662&gt;$AE$32,1,0)</f>
        <v/>
      </c>
      <c r="AB662">
        <f>IF(AA662=C662,1,0)</f>
        <v/>
      </c>
    </row>
    <row r="663">
      <c r="A663">
        <f>'1 datos preparados'!A656</f>
        <v/>
      </c>
      <c r="B663" s="5">
        <f>'1 datos preparados'!U656</f>
        <v/>
      </c>
      <c r="C663">
        <f>'1 datos preparados'!B656</f>
        <v/>
      </c>
      <c r="D663" s="7">
        <f>'1 datos preparados'!C656</f>
        <v/>
      </c>
      <c r="E663" s="7">
        <f>'1 datos preparados'!D656</f>
        <v/>
      </c>
      <c r="F663" s="7">
        <f>'1 datos preparados'!E656</f>
        <v/>
      </c>
      <c r="G663" s="7">
        <f>'1 datos preparados'!F656</f>
        <v/>
      </c>
      <c r="H663" s="7">
        <f>'1 datos preparados'!G656</f>
        <v/>
      </c>
      <c r="I663" s="7">
        <f>'1 datos preparados'!H656</f>
        <v/>
      </c>
      <c r="J663" s="7">
        <f>'1 datos preparados'!I656</f>
        <v/>
      </c>
      <c r="K663" s="7">
        <f>'1 datos preparados'!J656</f>
        <v/>
      </c>
      <c r="L663" s="7">
        <f>'1 datos preparados'!K656</f>
        <v/>
      </c>
      <c r="M663" s="7">
        <f>'1 datos preparados'!L656</f>
        <v/>
      </c>
      <c r="N663" s="7">
        <f>'1 datos preparados'!M656</f>
        <v/>
      </c>
      <c r="O663" s="7">
        <f>'1 datos preparados'!N656</f>
        <v/>
      </c>
      <c r="P663" s="7">
        <f>'1 datos preparados'!O656</f>
        <v/>
      </c>
      <c r="Q663" s="7">
        <f>'1 datos preparados'!P656</f>
        <v/>
      </c>
      <c r="R663" s="7">
        <f>'1 datos preparados'!Q656</f>
        <v/>
      </c>
      <c r="S663" s="7">
        <f>'1 datos preparados'!R656</f>
        <v/>
      </c>
      <c r="T663" s="7">
        <f>'1 datos preparados'!S656</f>
        <v/>
      </c>
      <c r="U663" s="7">
        <f>'1 datos preparados'!T656</f>
        <v/>
      </c>
      <c r="V663" s="8">
        <f>$AE$12+D663*$AE$13+E663*$AE$14+F663*$AE$15+G663*$AE$16+H663*$AE$17+I663*$AE$18+J663*$AE$19+K663*$AE$20+L663*$AE$21+M663*$AE$22+N663*$AE$23+O663*$AE$24+P663*$AE$25+Q663*$AE$26+R663*$AE$27+S663*$AE$28+T663*$AE$29+U663*$AE$30</f>
        <v/>
      </c>
      <c r="W663" s="8">
        <f>1/(1+EXP(-V663))</f>
        <v/>
      </c>
      <c r="X663" s="9">
        <f>-IF(C663=1,LN(W663),LN(1-W663))</f>
        <v/>
      </c>
      <c r="Y663" s="8">
        <f>1</f>
        <v/>
      </c>
      <c r="Z663" s="9">
        <f>Y663*X663</f>
        <v/>
      </c>
      <c r="AA663" s="10">
        <f>IF(W663&gt;$AE$32,1,0)</f>
        <v/>
      </c>
      <c r="AB663">
        <f>IF(AA663=C663,1,0)</f>
        <v/>
      </c>
    </row>
    <row r="664">
      <c r="A664">
        <f>'1 datos preparados'!A657</f>
        <v/>
      </c>
      <c r="B664" s="5">
        <f>'1 datos preparados'!U657</f>
        <v/>
      </c>
      <c r="C664">
        <f>'1 datos preparados'!B657</f>
        <v/>
      </c>
      <c r="D664" s="7">
        <f>'1 datos preparados'!C657</f>
        <v/>
      </c>
      <c r="E664" s="7">
        <f>'1 datos preparados'!D657</f>
        <v/>
      </c>
      <c r="F664" s="7">
        <f>'1 datos preparados'!E657</f>
        <v/>
      </c>
      <c r="G664" s="7">
        <f>'1 datos preparados'!F657</f>
        <v/>
      </c>
      <c r="H664" s="7">
        <f>'1 datos preparados'!G657</f>
        <v/>
      </c>
      <c r="I664" s="7">
        <f>'1 datos preparados'!H657</f>
        <v/>
      </c>
      <c r="J664" s="7">
        <f>'1 datos preparados'!I657</f>
        <v/>
      </c>
      <c r="K664" s="7">
        <f>'1 datos preparados'!J657</f>
        <v/>
      </c>
      <c r="L664" s="7">
        <f>'1 datos preparados'!K657</f>
        <v/>
      </c>
      <c r="M664" s="7">
        <f>'1 datos preparados'!L657</f>
        <v/>
      </c>
      <c r="N664" s="7">
        <f>'1 datos preparados'!M657</f>
        <v/>
      </c>
      <c r="O664" s="7">
        <f>'1 datos preparados'!N657</f>
        <v/>
      </c>
      <c r="P664" s="7">
        <f>'1 datos preparados'!O657</f>
        <v/>
      </c>
      <c r="Q664" s="7">
        <f>'1 datos preparados'!P657</f>
        <v/>
      </c>
      <c r="R664" s="7">
        <f>'1 datos preparados'!Q657</f>
        <v/>
      </c>
      <c r="S664" s="7">
        <f>'1 datos preparados'!R657</f>
        <v/>
      </c>
      <c r="T664" s="7">
        <f>'1 datos preparados'!S657</f>
        <v/>
      </c>
      <c r="U664" s="7">
        <f>'1 datos preparados'!T657</f>
        <v/>
      </c>
      <c r="V664" s="8">
        <f>$AE$12+D664*$AE$13+E664*$AE$14+F664*$AE$15+G664*$AE$16+H664*$AE$17+I664*$AE$18+J664*$AE$19+K664*$AE$20+L664*$AE$21+M664*$AE$22+N664*$AE$23+O664*$AE$24+P664*$AE$25+Q664*$AE$26+R664*$AE$27+S664*$AE$28+T664*$AE$29+U664*$AE$30</f>
        <v/>
      </c>
      <c r="W664" s="8">
        <f>1/(1+EXP(-V664))</f>
        <v/>
      </c>
      <c r="X664" s="9">
        <f>-IF(C664=1,LN(W664),LN(1-W664))</f>
        <v/>
      </c>
      <c r="Y664" s="8">
        <f>1</f>
        <v/>
      </c>
      <c r="Z664" s="9">
        <f>Y664*X664</f>
        <v/>
      </c>
      <c r="AA664" s="10">
        <f>IF(W664&gt;$AE$32,1,0)</f>
        <v/>
      </c>
      <c r="AB664">
        <f>IF(AA664=C664,1,0)</f>
        <v/>
      </c>
    </row>
    <row r="665">
      <c r="A665">
        <f>'1 datos preparados'!A658</f>
        <v/>
      </c>
      <c r="B665" s="5">
        <f>'1 datos preparados'!U658</f>
        <v/>
      </c>
      <c r="C665">
        <f>'1 datos preparados'!B658</f>
        <v/>
      </c>
      <c r="D665" s="7">
        <f>'1 datos preparados'!C658</f>
        <v/>
      </c>
      <c r="E665" s="7">
        <f>'1 datos preparados'!D658</f>
        <v/>
      </c>
      <c r="F665" s="7">
        <f>'1 datos preparados'!E658</f>
        <v/>
      </c>
      <c r="G665" s="7">
        <f>'1 datos preparados'!F658</f>
        <v/>
      </c>
      <c r="H665" s="7">
        <f>'1 datos preparados'!G658</f>
        <v/>
      </c>
      <c r="I665" s="7">
        <f>'1 datos preparados'!H658</f>
        <v/>
      </c>
      <c r="J665" s="7">
        <f>'1 datos preparados'!I658</f>
        <v/>
      </c>
      <c r="K665" s="7">
        <f>'1 datos preparados'!J658</f>
        <v/>
      </c>
      <c r="L665" s="7">
        <f>'1 datos preparados'!K658</f>
        <v/>
      </c>
      <c r="M665" s="7">
        <f>'1 datos preparados'!L658</f>
        <v/>
      </c>
      <c r="N665" s="7">
        <f>'1 datos preparados'!M658</f>
        <v/>
      </c>
      <c r="O665" s="7">
        <f>'1 datos preparados'!N658</f>
        <v/>
      </c>
      <c r="P665" s="7">
        <f>'1 datos preparados'!O658</f>
        <v/>
      </c>
      <c r="Q665" s="7">
        <f>'1 datos preparados'!P658</f>
        <v/>
      </c>
      <c r="R665" s="7">
        <f>'1 datos preparados'!Q658</f>
        <v/>
      </c>
      <c r="S665" s="7">
        <f>'1 datos preparados'!R658</f>
        <v/>
      </c>
      <c r="T665" s="7">
        <f>'1 datos preparados'!S658</f>
        <v/>
      </c>
      <c r="U665" s="7">
        <f>'1 datos preparados'!T658</f>
        <v/>
      </c>
      <c r="V665" s="8">
        <f>$AE$12+D665*$AE$13+E665*$AE$14+F665*$AE$15+G665*$AE$16+H665*$AE$17+I665*$AE$18+J665*$AE$19+K665*$AE$20+L665*$AE$21+M665*$AE$22+N665*$AE$23+O665*$AE$24+P665*$AE$25+Q665*$AE$26+R665*$AE$27+S665*$AE$28+T665*$AE$29+U665*$AE$30</f>
        <v/>
      </c>
      <c r="W665" s="8">
        <f>1/(1+EXP(-V665))</f>
        <v/>
      </c>
      <c r="X665" s="9">
        <f>-IF(C665=1,LN(W665),LN(1-W665))</f>
        <v/>
      </c>
      <c r="Y665" s="8">
        <f>1</f>
        <v/>
      </c>
      <c r="Z665" s="9">
        <f>Y665*X665</f>
        <v/>
      </c>
      <c r="AA665" s="10">
        <f>IF(W665&gt;$AE$32,1,0)</f>
        <v/>
      </c>
      <c r="AB665">
        <f>IF(AA665=C665,1,0)</f>
        <v/>
      </c>
    </row>
    <row r="666">
      <c r="A666">
        <f>'1 datos preparados'!A659</f>
        <v/>
      </c>
      <c r="B666" s="5">
        <f>'1 datos preparados'!U659</f>
        <v/>
      </c>
      <c r="C666">
        <f>'1 datos preparados'!B659</f>
        <v/>
      </c>
      <c r="D666" s="7">
        <f>'1 datos preparados'!C659</f>
        <v/>
      </c>
      <c r="E666" s="7">
        <f>'1 datos preparados'!D659</f>
        <v/>
      </c>
      <c r="F666" s="7">
        <f>'1 datos preparados'!E659</f>
        <v/>
      </c>
      <c r="G666" s="7">
        <f>'1 datos preparados'!F659</f>
        <v/>
      </c>
      <c r="H666" s="7">
        <f>'1 datos preparados'!G659</f>
        <v/>
      </c>
      <c r="I666" s="7">
        <f>'1 datos preparados'!H659</f>
        <v/>
      </c>
      <c r="J666" s="7">
        <f>'1 datos preparados'!I659</f>
        <v/>
      </c>
      <c r="K666" s="7">
        <f>'1 datos preparados'!J659</f>
        <v/>
      </c>
      <c r="L666" s="7">
        <f>'1 datos preparados'!K659</f>
        <v/>
      </c>
      <c r="M666" s="7">
        <f>'1 datos preparados'!L659</f>
        <v/>
      </c>
      <c r="N666" s="7">
        <f>'1 datos preparados'!M659</f>
        <v/>
      </c>
      <c r="O666" s="7">
        <f>'1 datos preparados'!N659</f>
        <v/>
      </c>
      <c r="P666" s="7">
        <f>'1 datos preparados'!O659</f>
        <v/>
      </c>
      <c r="Q666" s="7">
        <f>'1 datos preparados'!P659</f>
        <v/>
      </c>
      <c r="R666" s="7">
        <f>'1 datos preparados'!Q659</f>
        <v/>
      </c>
      <c r="S666" s="7">
        <f>'1 datos preparados'!R659</f>
        <v/>
      </c>
      <c r="T666" s="7">
        <f>'1 datos preparados'!S659</f>
        <v/>
      </c>
      <c r="U666" s="7">
        <f>'1 datos preparados'!T659</f>
        <v/>
      </c>
      <c r="V666" s="8">
        <f>$AE$12+D666*$AE$13+E666*$AE$14+F666*$AE$15+G666*$AE$16+H666*$AE$17+I666*$AE$18+J666*$AE$19+K666*$AE$20+L666*$AE$21+M666*$AE$22+N666*$AE$23+O666*$AE$24+P666*$AE$25+Q666*$AE$26+R666*$AE$27+S666*$AE$28+T666*$AE$29+U666*$AE$30</f>
        <v/>
      </c>
      <c r="W666" s="8">
        <f>1/(1+EXP(-V666))</f>
        <v/>
      </c>
      <c r="X666" s="9">
        <f>-IF(C666=1,LN(W666),LN(1-W666))</f>
        <v/>
      </c>
      <c r="Y666" s="8">
        <f>1</f>
        <v/>
      </c>
      <c r="Z666" s="9">
        <f>Y666*X666</f>
        <v/>
      </c>
      <c r="AA666" s="10">
        <f>IF(W666&gt;$AE$32,1,0)</f>
        <v/>
      </c>
      <c r="AB666">
        <f>IF(AA666=C666,1,0)</f>
        <v/>
      </c>
    </row>
    <row r="667">
      <c r="A667">
        <f>'1 datos preparados'!A660</f>
        <v/>
      </c>
      <c r="B667" s="5">
        <f>'1 datos preparados'!U660</f>
        <v/>
      </c>
      <c r="C667">
        <f>'1 datos preparados'!B660</f>
        <v/>
      </c>
      <c r="D667" s="7">
        <f>'1 datos preparados'!C660</f>
        <v/>
      </c>
      <c r="E667" s="7">
        <f>'1 datos preparados'!D660</f>
        <v/>
      </c>
      <c r="F667" s="7">
        <f>'1 datos preparados'!E660</f>
        <v/>
      </c>
      <c r="G667" s="7">
        <f>'1 datos preparados'!F660</f>
        <v/>
      </c>
      <c r="H667" s="7">
        <f>'1 datos preparados'!G660</f>
        <v/>
      </c>
      <c r="I667" s="7">
        <f>'1 datos preparados'!H660</f>
        <v/>
      </c>
      <c r="J667" s="7">
        <f>'1 datos preparados'!I660</f>
        <v/>
      </c>
      <c r="K667" s="7">
        <f>'1 datos preparados'!J660</f>
        <v/>
      </c>
      <c r="L667" s="7">
        <f>'1 datos preparados'!K660</f>
        <v/>
      </c>
      <c r="M667" s="7">
        <f>'1 datos preparados'!L660</f>
        <v/>
      </c>
      <c r="N667" s="7">
        <f>'1 datos preparados'!M660</f>
        <v/>
      </c>
      <c r="O667" s="7">
        <f>'1 datos preparados'!N660</f>
        <v/>
      </c>
      <c r="P667" s="7">
        <f>'1 datos preparados'!O660</f>
        <v/>
      </c>
      <c r="Q667" s="7">
        <f>'1 datos preparados'!P660</f>
        <v/>
      </c>
      <c r="R667" s="7">
        <f>'1 datos preparados'!Q660</f>
        <v/>
      </c>
      <c r="S667" s="7">
        <f>'1 datos preparados'!R660</f>
        <v/>
      </c>
      <c r="T667" s="7">
        <f>'1 datos preparados'!S660</f>
        <v/>
      </c>
      <c r="U667" s="7">
        <f>'1 datos preparados'!T660</f>
        <v/>
      </c>
      <c r="V667" s="8">
        <f>$AE$12+D667*$AE$13+E667*$AE$14+F667*$AE$15+G667*$AE$16+H667*$AE$17+I667*$AE$18+J667*$AE$19+K667*$AE$20+L667*$AE$21+M667*$AE$22+N667*$AE$23+O667*$AE$24+P667*$AE$25+Q667*$AE$26+R667*$AE$27+S667*$AE$28+T667*$AE$29+U667*$AE$30</f>
        <v/>
      </c>
      <c r="W667" s="8">
        <f>1/(1+EXP(-V667))</f>
        <v/>
      </c>
      <c r="X667" s="9">
        <f>-IF(C667=1,LN(W667),LN(1-W667))</f>
        <v/>
      </c>
      <c r="Y667" s="8">
        <f>1</f>
        <v/>
      </c>
      <c r="Z667" s="9">
        <f>Y667*X667</f>
        <v/>
      </c>
      <c r="AA667" s="10">
        <f>IF(W667&gt;$AE$32,1,0)</f>
        <v/>
      </c>
      <c r="AB667">
        <f>IF(AA667=C667,1,0)</f>
        <v/>
      </c>
    </row>
    <row r="668">
      <c r="A668">
        <f>'1 datos preparados'!A661</f>
        <v/>
      </c>
      <c r="B668" s="5">
        <f>'1 datos preparados'!U661</f>
        <v/>
      </c>
      <c r="C668">
        <f>'1 datos preparados'!B661</f>
        <v/>
      </c>
      <c r="D668" s="7">
        <f>'1 datos preparados'!C661</f>
        <v/>
      </c>
      <c r="E668" s="7">
        <f>'1 datos preparados'!D661</f>
        <v/>
      </c>
      <c r="F668" s="7">
        <f>'1 datos preparados'!E661</f>
        <v/>
      </c>
      <c r="G668" s="7">
        <f>'1 datos preparados'!F661</f>
        <v/>
      </c>
      <c r="H668" s="7">
        <f>'1 datos preparados'!G661</f>
        <v/>
      </c>
      <c r="I668" s="7">
        <f>'1 datos preparados'!H661</f>
        <v/>
      </c>
      <c r="J668" s="7">
        <f>'1 datos preparados'!I661</f>
        <v/>
      </c>
      <c r="K668" s="7">
        <f>'1 datos preparados'!J661</f>
        <v/>
      </c>
      <c r="L668" s="7">
        <f>'1 datos preparados'!K661</f>
        <v/>
      </c>
      <c r="M668" s="7">
        <f>'1 datos preparados'!L661</f>
        <v/>
      </c>
      <c r="N668" s="7">
        <f>'1 datos preparados'!M661</f>
        <v/>
      </c>
      <c r="O668" s="7">
        <f>'1 datos preparados'!N661</f>
        <v/>
      </c>
      <c r="P668" s="7">
        <f>'1 datos preparados'!O661</f>
        <v/>
      </c>
      <c r="Q668" s="7">
        <f>'1 datos preparados'!P661</f>
        <v/>
      </c>
      <c r="R668" s="7">
        <f>'1 datos preparados'!Q661</f>
        <v/>
      </c>
      <c r="S668" s="7">
        <f>'1 datos preparados'!R661</f>
        <v/>
      </c>
      <c r="T668" s="7">
        <f>'1 datos preparados'!S661</f>
        <v/>
      </c>
      <c r="U668" s="7">
        <f>'1 datos preparados'!T661</f>
        <v/>
      </c>
      <c r="V668" s="8">
        <f>$AE$12+D668*$AE$13+E668*$AE$14+F668*$AE$15+G668*$AE$16+H668*$AE$17+I668*$AE$18+J668*$AE$19+K668*$AE$20+L668*$AE$21+M668*$AE$22+N668*$AE$23+O668*$AE$24+P668*$AE$25+Q668*$AE$26+R668*$AE$27+S668*$AE$28+T668*$AE$29+U668*$AE$30</f>
        <v/>
      </c>
      <c r="W668" s="8">
        <f>1/(1+EXP(-V668))</f>
        <v/>
      </c>
      <c r="X668" s="9">
        <f>-IF(C668=1,LN(W668),LN(1-W668))</f>
        <v/>
      </c>
      <c r="Y668" s="8">
        <f>1</f>
        <v/>
      </c>
      <c r="Z668" s="9">
        <f>Y668*X668</f>
        <v/>
      </c>
      <c r="AA668" s="10">
        <f>IF(W668&gt;$AE$32,1,0)</f>
        <v/>
      </c>
      <c r="AB668">
        <f>IF(AA668=C668,1,0)</f>
        <v/>
      </c>
    </row>
    <row r="669">
      <c r="A669">
        <f>'1 datos preparados'!A662</f>
        <v/>
      </c>
      <c r="B669" s="5">
        <f>'1 datos preparados'!U662</f>
        <v/>
      </c>
      <c r="C669">
        <f>'1 datos preparados'!B662</f>
        <v/>
      </c>
      <c r="D669" s="7">
        <f>'1 datos preparados'!C662</f>
        <v/>
      </c>
      <c r="E669" s="7">
        <f>'1 datos preparados'!D662</f>
        <v/>
      </c>
      <c r="F669" s="7">
        <f>'1 datos preparados'!E662</f>
        <v/>
      </c>
      <c r="G669" s="7">
        <f>'1 datos preparados'!F662</f>
        <v/>
      </c>
      <c r="H669" s="7">
        <f>'1 datos preparados'!G662</f>
        <v/>
      </c>
      <c r="I669" s="7">
        <f>'1 datos preparados'!H662</f>
        <v/>
      </c>
      <c r="J669" s="7">
        <f>'1 datos preparados'!I662</f>
        <v/>
      </c>
      <c r="K669" s="7">
        <f>'1 datos preparados'!J662</f>
        <v/>
      </c>
      <c r="L669" s="7">
        <f>'1 datos preparados'!K662</f>
        <v/>
      </c>
      <c r="M669" s="7">
        <f>'1 datos preparados'!L662</f>
        <v/>
      </c>
      <c r="N669" s="7">
        <f>'1 datos preparados'!M662</f>
        <v/>
      </c>
      <c r="O669" s="7">
        <f>'1 datos preparados'!N662</f>
        <v/>
      </c>
      <c r="P669" s="7">
        <f>'1 datos preparados'!O662</f>
        <v/>
      </c>
      <c r="Q669" s="7">
        <f>'1 datos preparados'!P662</f>
        <v/>
      </c>
      <c r="R669" s="7">
        <f>'1 datos preparados'!Q662</f>
        <v/>
      </c>
      <c r="S669" s="7">
        <f>'1 datos preparados'!R662</f>
        <v/>
      </c>
      <c r="T669" s="7">
        <f>'1 datos preparados'!S662</f>
        <v/>
      </c>
      <c r="U669" s="7">
        <f>'1 datos preparados'!T662</f>
        <v/>
      </c>
      <c r="V669" s="8">
        <f>$AE$12+D669*$AE$13+E669*$AE$14+F669*$AE$15+G669*$AE$16+H669*$AE$17+I669*$AE$18+J669*$AE$19+K669*$AE$20+L669*$AE$21+M669*$AE$22+N669*$AE$23+O669*$AE$24+P669*$AE$25+Q669*$AE$26+R669*$AE$27+S669*$AE$28+T669*$AE$29+U669*$AE$30</f>
        <v/>
      </c>
      <c r="W669" s="8">
        <f>1/(1+EXP(-V669))</f>
        <v/>
      </c>
      <c r="X669" s="9">
        <f>-IF(C669=1,LN(W669),LN(1-W669))</f>
        <v/>
      </c>
      <c r="Y669" s="8">
        <f>1</f>
        <v/>
      </c>
      <c r="Z669" s="9">
        <f>Y669*X669</f>
        <v/>
      </c>
      <c r="AA669" s="10">
        <f>IF(W669&gt;$AE$32,1,0)</f>
        <v/>
      </c>
      <c r="AB669">
        <f>IF(AA669=C669,1,0)</f>
        <v/>
      </c>
    </row>
    <row r="670">
      <c r="A670">
        <f>'1 datos preparados'!A663</f>
        <v/>
      </c>
      <c r="B670" s="5">
        <f>'1 datos preparados'!U663</f>
        <v/>
      </c>
      <c r="C670">
        <f>'1 datos preparados'!B663</f>
        <v/>
      </c>
      <c r="D670" s="7">
        <f>'1 datos preparados'!C663</f>
        <v/>
      </c>
      <c r="E670" s="7">
        <f>'1 datos preparados'!D663</f>
        <v/>
      </c>
      <c r="F670" s="7">
        <f>'1 datos preparados'!E663</f>
        <v/>
      </c>
      <c r="G670" s="7">
        <f>'1 datos preparados'!F663</f>
        <v/>
      </c>
      <c r="H670" s="7">
        <f>'1 datos preparados'!G663</f>
        <v/>
      </c>
      <c r="I670" s="7">
        <f>'1 datos preparados'!H663</f>
        <v/>
      </c>
      <c r="J670" s="7">
        <f>'1 datos preparados'!I663</f>
        <v/>
      </c>
      <c r="K670" s="7">
        <f>'1 datos preparados'!J663</f>
        <v/>
      </c>
      <c r="L670" s="7">
        <f>'1 datos preparados'!K663</f>
        <v/>
      </c>
      <c r="M670" s="7">
        <f>'1 datos preparados'!L663</f>
        <v/>
      </c>
      <c r="N670" s="7">
        <f>'1 datos preparados'!M663</f>
        <v/>
      </c>
      <c r="O670" s="7">
        <f>'1 datos preparados'!N663</f>
        <v/>
      </c>
      <c r="P670" s="7">
        <f>'1 datos preparados'!O663</f>
        <v/>
      </c>
      <c r="Q670" s="7">
        <f>'1 datos preparados'!P663</f>
        <v/>
      </c>
      <c r="R670" s="7">
        <f>'1 datos preparados'!Q663</f>
        <v/>
      </c>
      <c r="S670" s="7">
        <f>'1 datos preparados'!R663</f>
        <v/>
      </c>
      <c r="T670" s="7">
        <f>'1 datos preparados'!S663</f>
        <v/>
      </c>
      <c r="U670" s="7">
        <f>'1 datos preparados'!T663</f>
        <v/>
      </c>
      <c r="V670" s="8">
        <f>$AE$12+D670*$AE$13+E670*$AE$14+F670*$AE$15+G670*$AE$16+H670*$AE$17+I670*$AE$18+J670*$AE$19+K670*$AE$20+L670*$AE$21+M670*$AE$22+N670*$AE$23+O670*$AE$24+P670*$AE$25+Q670*$AE$26+R670*$AE$27+S670*$AE$28+T670*$AE$29+U670*$AE$30</f>
        <v/>
      </c>
      <c r="W670" s="8">
        <f>1/(1+EXP(-V670))</f>
        <v/>
      </c>
      <c r="X670" s="9">
        <f>-IF(C670=1,LN(W670),LN(1-W670))</f>
        <v/>
      </c>
      <c r="Y670" s="8">
        <f>1</f>
        <v/>
      </c>
      <c r="Z670" s="9">
        <f>Y670*X670</f>
        <v/>
      </c>
      <c r="AA670" s="10">
        <f>IF(W670&gt;$AE$32,1,0)</f>
        <v/>
      </c>
      <c r="AB670">
        <f>IF(AA670=C670,1,0)</f>
        <v/>
      </c>
    </row>
    <row r="671">
      <c r="A671">
        <f>'1 datos preparados'!A664</f>
        <v/>
      </c>
      <c r="B671" s="5">
        <f>'1 datos preparados'!U664</f>
        <v/>
      </c>
      <c r="C671">
        <f>'1 datos preparados'!B664</f>
        <v/>
      </c>
      <c r="D671" s="7">
        <f>'1 datos preparados'!C664</f>
        <v/>
      </c>
      <c r="E671" s="7">
        <f>'1 datos preparados'!D664</f>
        <v/>
      </c>
      <c r="F671" s="7">
        <f>'1 datos preparados'!E664</f>
        <v/>
      </c>
      <c r="G671" s="7">
        <f>'1 datos preparados'!F664</f>
        <v/>
      </c>
      <c r="H671" s="7">
        <f>'1 datos preparados'!G664</f>
        <v/>
      </c>
      <c r="I671" s="7">
        <f>'1 datos preparados'!H664</f>
        <v/>
      </c>
      <c r="J671" s="7">
        <f>'1 datos preparados'!I664</f>
        <v/>
      </c>
      <c r="K671" s="7">
        <f>'1 datos preparados'!J664</f>
        <v/>
      </c>
      <c r="L671" s="7">
        <f>'1 datos preparados'!K664</f>
        <v/>
      </c>
      <c r="M671" s="7">
        <f>'1 datos preparados'!L664</f>
        <v/>
      </c>
      <c r="N671" s="7">
        <f>'1 datos preparados'!M664</f>
        <v/>
      </c>
      <c r="O671" s="7">
        <f>'1 datos preparados'!N664</f>
        <v/>
      </c>
      <c r="P671" s="7">
        <f>'1 datos preparados'!O664</f>
        <v/>
      </c>
      <c r="Q671" s="7">
        <f>'1 datos preparados'!P664</f>
        <v/>
      </c>
      <c r="R671" s="7">
        <f>'1 datos preparados'!Q664</f>
        <v/>
      </c>
      <c r="S671" s="7">
        <f>'1 datos preparados'!R664</f>
        <v/>
      </c>
      <c r="T671" s="7">
        <f>'1 datos preparados'!S664</f>
        <v/>
      </c>
      <c r="U671" s="7">
        <f>'1 datos preparados'!T664</f>
        <v/>
      </c>
      <c r="V671" s="8">
        <f>$AE$12+D671*$AE$13+E671*$AE$14+F671*$AE$15+G671*$AE$16+H671*$AE$17+I671*$AE$18+J671*$AE$19+K671*$AE$20+L671*$AE$21+M671*$AE$22+N671*$AE$23+O671*$AE$24+P671*$AE$25+Q671*$AE$26+R671*$AE$27+S671*$AE$28+T671*$AE$29+U671*$AE$30</f>
        <v/>
      </c>
      <c r="W671" s="8">
        <f>1/(1+EXP(-V671))</f>
        <v/>
      </c>
      <c r="X671" s="9">
        <f>-IF(C671=1,LN(W671),LN(1-W671))</f>
        <v/>
      </c>
      <c r="Y671" s="8">
        <f>1</f>
        <v/>
      </c>
      <c r="Z671" s="9">
        <f>Y671*X671</f>
        <v/>
      </c>
      <c r="AA671" s="10">
        <f>IF(W671&gt;$AE$32,1,0)</f>
        <v/>
      </c>
      <c r="AB671">
        <f>IF(AA671=C671,1,0)</f>
        <v/>
      </c>
    </row>
    <row r="672">
      <c r="A672">
        <f>'1 datos preparados'!A665</f>
        <v/>
      </c>
      <c r="B672" s="5">
        <f>'1 datos preparados'!U665</f>
        <v/>
      </c>
      <c r="C672">
        <f>'1 datos preparados'!B665</f>
        <v/>
      </c>
      <c r="D672" s="7">
        <f>'1 datos preparados'!C665</f>
        <v/>
      </c>
      <c r="E672" s="7">
        <f>'1 datos preparados'!D665</f>
        <v/>
      </c>
      <c r="F672" s="7">
        <f>'1 datos preparados'!E665</f>
        <v/>
      </c>
      <c r="G672" s="7">
        <f>'1 datos preparados'!F665</f>
        <v/>
      </c>
      <c r="H672" s="7">
        <f>'1 datos preparados'!G665</f>
        <v/>
      </c>
      <c r="I672" s="7">
        <f>'1 datos preparados'!H665</f>
        <v/>
      </c>
      <c r="J672" s="7">
        <f>'1 datos preparados'!I665</f>
        <v/>
      </c>
      <c r="K672" s="7">
        <f>'1 datos preparados'!J665</f>
        <v/>
      </c>
      <c r="L672" s="7">
        <f>'1 datos preparados'!K665</f>
        <v/>
      </c>
      <c r="M672" s="7">
        <f>'1 datos preparados'!L665</f>
        <v/>
      </c>
      <c r="N672" s="7">
        <f>'1 datos preparados'!M665</f>
        <v/>
      </c>
      <c r="O672" s="7">
        <f>'1 datos preparados'!N665</f>
        <v/>
      </c>
      <c r="P672" s="7">
        <f>'1 datos preparados'!O665</f>
        <v/>
      </c>
      <c r="Q672" s="7">
        <f>'1 datos preparados'!P665</f>
        <v/>
      </c>
      <c r="R672" s="7">
        <f>'1 datos preparados'!Q665</f>
        <v/>
      </c>
      <c r="S672" s="7">
        <f>'1 datos preparados'!R665</f>
        <v/>
      </c>
      <c r="T672" s="7">
        <f>'1 datos preparados'!S665</f>
        <v/>
      </c>
      <c r="U672" s="7">
        <f>'1 datos preparados'!T665</f>
        <v/>
      </c>
      <c r="V672" s="8">
        <f>$AE$12+D672*$AE$13+E672*$AE$14+F672*$AE$15+G672*$AE$16+H672*$AE$17+I672*$AE$18+J672*$AE$19+K672*$AE$20+L672*$AE$21+M672*$AE$22+N672*$AE$23+O672*$AE$24+P672*$AE$25+Q672*$AE$26+R672*$AE$27+S672*$AE$28+T672*$AE$29+U672*$AE$30</f>
        <v/>
      </c>
      <c r="W672" s="8">
        <f>1/(1+EXP(-V672))</f>
        <v/>
      </c>
      <c r="X672" s="9">
        <f>-IF(C672=1,LN(W672),LN(1-W672))</f>
        <v/>
      </c>
      <c r="Y672" s="8">
        <f>1</f>
        <v/>
      </c>
      <c r="Z672" s="9">
        <f>Y672*X672</f>
        <v/>
      </c>
      <c r="AA672" s="10">
        <f>IF(W672&gt;$AE$32,1,0)</f>
        <v/>
      </c>
      <c r="AB672">
        <f>IF(AA672=C672,1,0)</f>
        <v/>
      </c>
    </row>
    <row r="673">
      <c r="A673">
        <f>'1 datos preparados'!A666</f>
        <v/>
      </c>
      <c r="B673" s="5">
        <f>'1 datos preparados'!U666</f>
        <v/>
      </c>
      <c r="C673">
        <f>'1 datos preparados'!B666</f>
        <v/>
      </c>
      <c r="D673" s="7">
        <f>'1 datos preparados'!C666</f>
        <v/>
      </c>
      <c r="E673" s="7">
        <f>'1 datos preparados'!D666</f>
        <v/>
      </c>
      <c r="F673" s="7">
        <f>'1 datos preparados'!E666</f>
        <v/>
      </c>
      <c r="G673" s="7">
        <f>'1 datos preparados'!F666</f>
        <v/>
      </c>
      <c r="H673" s="7">
        <f>'1 datos preparados'!G666</f>
        <v/>
      </c>
      <c r="I673" s="7">
        <f>'1 datos preparados'!H666</f>
        <v/>
      </c>
      <c r="J673" s="7">
        <f>'1 datos preparados'!I666</f>
        <v/>
      </c>
      <c r="K673" s="7">
        <f>'1 datos preparados'!J666</f>
        <v/>
      </c>
      <c r="L673" s="7">
        <f>'1 datos preparados'!K666</f>
        <v/>
      </c>
      <c r="M673" s="7">
        <f>'1 datos preparados'!L666</f>
        <v/>
      </c>
      <c r="N673" s="7">
        <f>'1 datos preparados'!M666</f>
        <v/>
      </c>
      <c r="O673" s="7">
        <f>'1 datos preparados'!N666</f>
        <v/>
      </c>
      <c r="P673" s="7">
        <f>'1 datos preparados'!O666</f>
        <v/>
      </c>
      <c r="Q673" s="7">
        <f>'1 datos preparados'!P666</f>
        <v/>
      </c>
      <c r="R673" s="7">
        <f>'1 datos preparados'!Q666</f>
        <v/>
      </c>
      <c r="S673" s="7">
        <f>'1 datos preparados'!R666</f>
        <v/>
      </c>
      <c r="T673" s="7">
        <f>'1 datos preparados'!S666</f>
        <v/>
      </c>
      <c r="U673" s="7">
        <f>'1 datos preparados'!T666</f>
        <v/>
      </c>
      <c r="V673" s="8">
        <f>$AE$12+D673*$AE$13+E673*$AE$14+F673*$AE$15+G673*$AE$16+H673*$AE$17+I673*$AE$18+J673*$AE$19+K673*$AE$20+L673*$AE$21+M673*$AE$22+N673*$AE$23+O673*$AE$24+P673*$AE$25+Q673*$AE$26+R673*$AE$27+S673*$AE$28+T673*$AE$29+U673*$AE$30</f>
        <v/>
      </c>
      <c r="W673" s="8">
        <f>1/(1+EXP(-V673))</f>
        <v/>
      </c>
      <c r="X673" s="9">
        <f>-IF(C673=1,LN(W673),LN(1-W673))</f>
        <v/>
      </c>
      <c r="Y673" s="8">
        <f>1</f>
        <v/>
      </c>
      <c r="Z673" s="9">
        <f>Y673*X673</f>
        <v/>
      </c>
      <c r="AA673" s="10">
        <f>IF(W673&gt;$AE$32,1,0)</f>
        <v/>
      </c>
      <c r="AB673">
        <f>IF(AA673=C673,1,0)</f>
        <v/>
      </c>
    </row>
    <row r="674">
      <c r="A674">
        <f>'1 datos preparados'!A667</f>
        <v/>
      </c>
      <c r="B674" s="5">
        <f>'1 datos preparados'!U667</f>
        <v/>
      </c>
      <c r="C674">
        <f>'1 datos preparados'!B667</f>
        <v/>
      </c>
      <c r="D674" s="7">
        <f>'1 datos preparados'!C667</f>
        <v/>
      </c>
      <c r="E674" s="7">
        <f>'1 datos preparados'!D667</f>
        <v/>
      </c>
      <c r="F674" s="7">
        <f>'1 datos preparados'!E667</f>
        <v/>
      </c>
      <c r="G674" s="7">
        <f>'1 datos preparados'!F667</f>
        <v/>
      </c>
      <c r="H674" s="7">
        <f>'1 datos preparados'!G667</f>
        <v/>
      </c>
      <c r="I674" s="7">
        <f>'1 datos preparados'!H667</f>
        <v/>
      </c>
      <c r="J674" s="7">
        <f>'1 datos preparados'!I667</f>
        <v/>
      </c>
      <c r="K674" s="7">
        <f>'1 datos preparados'!J667</f>
        <v/>
      </c>
      <c r="L674" s="7">
        <f>'1 datos preparados'!K667</f>
        <v/>
      </c>
      <c r="M674" s="7">
        <f>'1 datos preparados'!L667</f>
        <v/>
      </c>
      <c r="N674" s="7">
        <f>'1 datos preparados'!M667</f>
        <v/>
      </c>
      <c r="O674" s="7">
        <f>'1 datos preparados'!N667</f>
        <v/>
      </c>
      <c r="P674" s="7">
        <f>'1 datos preparados'!O667</f>
        <v/>
      </c>
      <c r="Q674" s="7">
        <f>'1 datos preparados'!P667</f>
        <v/>
      </c>
      <c r="R674" s="7">
        <f>'1 datos preparados'!Q667</f>
        <v/>
      </c>
      <c r="S674" s="7">
        <f>'1 datos preparados'!R667</f>
        <v/>
      </c>
      <c r="T674" s="7">
        <f>'1 datos preparados'!S667</f>
        <v/>
      </c>
      <c r="U674" s="7">
        <f>'1 datos preparados'!T667</f>
        <v/>
      </c>
      <c r="V674" s="8">
        <f>$AE$12+D674*$AE$13+E674*$AE$14+F674*$AE$15+G674*$AE$16+H674*$AE$17+I674*$AE$18+J674*$AE$19+K674*$AE$20+L674*$AE$21+M674*$AE$22+N674*$AE$23+O674*$AE$24+P674*$AE$25+Q674*$AE$26+R674*$AE$27+S674*$AE$28+T674*$AE$29+U674*$AE$30</f>
        <v/>
      </c>
      <c r="W674" s="8">
        <f>1/(1+EXP(-V674))</f>
        <v/>
      </c>
      <c r="X674" s="9">
        <f>-IF(C674=1,LN(W674),LN(1-W674))</f>
        <v/>
      </c>
      <c r="Y674" s="8">
        <f>1</f>
        <v/>
      </c>
      <c r="Z674" s="9">
        <f>Y674*X674</f>
        <v/>
      </c>
      <c r="AA674" s="10">
        <f>IF(W674&gt;$AE$32,1,0)</f>
        <v/>
      </c>
      <c r="AB674">
        <f>IF(AA674=C674,1,0)</f>
        <v/>
      </c>
    </row>
    <row r="675">
      <c r="A675">
        <f>'1 datos preparados'!A668</f>
        <v/>
      </c>
      <c r="B675" s="5">
        <f>'1 datos preparados'!U668</f>
        <v/>
      </c>
      <c r="C675">
        <f>'1 datos preparados'!B668</f>
        <v/>
      </c>
      <c r="D675" s="7">
        <f>'1 datos preparados'!C668</f>
        <v/>
      </c>
      <c r="E675" s="7">
        <f>'1 datos preparados'!D668</f>
        <v/>
      </c>
      <c r="F675" s="7">
        <f>'1 datos preparados'!E668</f>
        <v/>
      </c>
      <c r="G675" s="7">
        <f>'1 datos preparados'!F668</f>
        <v/>
      </c>
      <c r="H675" s="7">
        <f>'1 datos preparados'!G668</f>
        <v/>
      </c>
      <c r="I675" s="7">
        <f>'1 datos preparados'!H668</f>
        <v/>
      </c>
      <c r="J675" s="7">
        <f>'1 datos preparados'!I668</f>
        <v/>
      </c>
      <c r="K675" s="7">
        <f>'1 datos preparados'!J668</f>
        <v/>
      </c>
      <c r="L675" s="7">
        <f>'1 datos preparados'!K668</f>
        <v/>
      </c>
      <c r="M675" s="7">
        <f>'1 datos preparados'!L668</f>
        <v/>
      </c>
      <c r="N675" s="7">
        <f>'1 datos preparados'!M668</f>
        <v/>
      </c>
      <c r="O675" s="7">
        <f>'1 datos preparados'!N668</f>
        <v/>
      </c>
      <c r="P675" s="7">
        <f>'1 datos preparados'!O668</f>
        <v/>
      </c>
      <c r="Q675" s="7">
        <f>'1 datos preparados'!P668</f>
        <v/>
      </c>
      <c r="R675" s="7">
        <f>'1 datos preparados'!Q668</f>
        <v/>
      </c>
      <c r="S675" s="7">
        <f>'1 datos preparados'!R668</f>
        <v/>
      </c>
      <c r="T675" s="7">
        <f>'1 datos preparados'!S668</f>
        <v/>
      </c>
      <c r="U675" s="7">
        <f>'1 datos preparados'!T668</f>
        <v/>
      </c>
      <c r="V675" s="8">
        <f>$AE$12+D675*$AE$13+E675*$AE$14+F675*$AE$15+G675*$AE$16+H675*$AE$17+I675*$AE$18+J675*$AE$19+K675*$AE$20+L675*$AE$21+M675*$AE$22+N675*$AE$23+O675*$AE$24+P675*$AE$25+Q675*$AE$26+R675*$AE$27+S675*$AE$28+T675*$AE$29+U675*$AE$30</f>
        <v/>
      </c>
      <c r="W675" s="8">
        <f>1/(1+EXP(-V675))</f>
        <v/>
      </c>
      <c r="X675" s="9">
        <f>-IF(C675=1,LN(W675),LN(1-W675))</f>
        <v/>
      </c>
      <c r="Y675" s="8">
        <f>1</f>
        <v/>
      </c>
      <c r="Z675" s="9">
        <f>Y675*X675</f>
        <v/>
      </c>
      <c r="AA675" s="10">
        <f>IF(W675&gt;$AE$32,1,0)</f>
        <v/>
      </c>
      <c r="AB675">
        <f>IF(AA675=C675,1,0)</f>
        <v/>
      </c>
    </row>
    <row r="676">
      <c r="A676">
        <f>'1 datos preparados'!A669</f>
        <v/>
      </c>
      <c r="B676" s="5">
        <f>'1 datos preparados'!U669</f>
        <v/>
      </c>
      <c r="C676">
        <f>'1 datos preparados'!B669</f>
        <v/>
      </c>
      <c r="D676" s="7">
        <f>'1 datos preparados'!C669</f>
        <v/>
      </c>
      <c r="E676" s="7">
        <f>'1 datos preparados'!D669</f>
        <v/>
      </c>
      <c r="F676" s="7">
        <f>'1 datos preparados'!E669</f>
        <v/>
      </c>
      <c r="G676" s="7">
        <f>'1 datos preparados'!F669</f>
        <v/>
      </c>
      <c r="H676" s="7">
        <f>'1 datos preparados'!G669</f>
        <v/>
      </c>
      <c r="I676" s="7">
        <f>'1 datos preparados'!H669</f>
        <v/>
      </c>
      <c r="J676" s="7">
        <f>'1 datos preparados'!I669</f>
        <v/>
      </c>
      <c r="K676" s="7">
        <f>'1 datos preparados'!J669</f>
        <v/>
      </c>
      <c r="L676" s="7">
        <f>'1 datos preparados'!K669</f>
        <v/>
      </c>
      <c r="M676" s="7">
        <f>'1 datos preparados'!L669</f>
        <v/>
      </c>
      <c r="N676" s="7">
        <f>'1 datos preparados'!M669</f>
        <v/>
      </c>
      <c r="O676" s="7">
        <f>'1 datos preparados'!N669</f>
        <v/>
      </c>
      <c r="P676" s="7">
        <f>'1 datos preparados'!O669</f>
        <v/>
      </c>
      <c r="Q676" s="7">
        <f>'1 datos preparados'!P669</f>
        <v/>
      </c>
      <c r="R676" s="7">
        <f>'1 datos preparados'!Q669</f>
        <v/>
      </c>
      <c r="S676" s="7">
        <f>'1 datos preparados'!R669</f>
        <v/>
      </c>
      <c r="T676" s="7">
        <f>'1 datos preparados'!S669</f>
        <v/>
      </c>
      <c r="U676" s="7">
        <f>'1 datos preparados'!T669</f>
        <v/>
      </c>
      <c r="V676" s="8">
        <f>$AE$12+D676*$AE$13+E676*$AE$14+F676*$AE$15+G676*$AE$16+H676*$AE$17+I676*$AE$18+J676*$AE$19+K676*$AE$20+L676*$AE$21+M676*$AE$22+N676*$AE$23+O676*$AE$24+P676*$AE$25+Q676*$AE$26+R676*$AE$27+S676*$AE$28+T676*$AE$29+U676*$AE$30</f>
        <v/>
      </c>
      <c r="W676" s="8">
        <f>1/(1+EXP(-V676))</f>
        <v/>
      </c>
      <c r="X676" s="9">
        <f>-IF(C676=1,LN(W676),LN(1-W676))</f>
        <v/>
      </c>
      <c r="Y676" s="8">
        <f>1</f>
        <v/>
      </c>
      <c r="Z676" s="9">
        <f>Y676*X676</f>
        <v/>
      </c>
      <c r="AA676" s="10">
        <f>IF(W676&gt;$AE$32,1,0)</f>
        <v/>
      </c>
      <c r="AB676">
        <f>IF(AA676=C676,1,0)</f>
        <v/>
      </c>
    </row>
    <row r="677">
      <c r="A677">
        <f>'1 datos preparados'!A670</f>
        <v/>
      </c>
      <c r="B677" s="5">
        <f>'1 datos preparados'!U670</f>
        <v/>
      </c>
      <c r="C677">
        <f>'1 datos preparados'!B670</f>
        <v/>
      </c>
      <c r="D677" s="7">
        <f>'1 datos preparados'!C670</f>
        <v/>
      </c>
      <c r="E677" s="7">
        <f>'1 datos preparados'!D670</f>
        <v/>
      </c>
      <c r="F677" s="7">
        <f>'1 datos preparados'!E670</f>
        <v/>
      </c>
      <c r="G677" s="7">
        <f>'1 datos preparados'!F670</f>
        <v/>
      </c>
      <c r="H677" s="7">
        <f>'1 datos preparados'!G670</f>
        <v/>
      </c>
      <c r="I677" s="7">
        <f>'1 datos preparados'!H670</f>
        <v/>
      </c>
      <c r="J677" s="7">
        <f>'1 datos preparados'!I670</f>
        <v/>
      </c>
      <c r="K677" s="7">
        <f>'1 datos preparados'!J670</f>
        <v/>
      </c>
      <c r="L677" s="7">
        <f>'1 datos preparados'!K670</f>
        <v/>
      </c>
      <c r="M677" s="7">
        <f>'1 datos preparados'!L670</f>
        <v/>
      </c>
      <c r="N677" s="7">
        <f>'1 datos preparados'!M670</f>
        <v/>
      </c>
      <c r="O677" s="7">
        <f>'1 datos preparados'!N670</f>
        <v/>
      </c>
      <c r="P677" s="7">
        <f>'1 datos preparados'!O670</f>
        <v/>
      </c>
      <c r="Q677" s="7">
        <f>'1 datos preparados'!P670</f>
        <v/>
      </c>
      <c r="R677" s="7">
        <f>'1 datos preparados'!Q670</f>
        <v/>
      </c>
      <c r="S677" s="7">
        <f>'1 datos preparados'!R670</f>
        <v/>
      </c>
      <c r="T677" s="7">
        <f>'1 datos preparados'!S670</f>
        <v/>
      </c>
      <c r="U677" s="7">
        <f>'1 datos preparados'!T670</f>
        <v/>
      </c>
      <c r="V677" s="8">
        <f>$AE$12+D677*$AE$13+E677*$AE$14+F677*$AE$15+G677*$AE$16+H677*$AE$17+I677*$AE$18+J677*$AE$19+K677*$AE$20+L677*$AE$21+M677*$AE$22+N677*$AE$23+O677*$AE$24+P677*$AE$25+Q677*$AE$26+R677*$AE$27+S677*$AE$28+T677*$AE$29+U677*$AE$30</f>
        <v/>
      </c>
      <c r="W677" s="8">
        <f>1/(1+EXP(-V677))</f>
        <v/>
      </c>
      <c r="X677" s="9">
        <f>-IF(C677=1,LN(W677),LN(1-W677))</f>
        <v/>
      </c>
      <c r="Y677" s="8">
        <f>1</f>
        <v/>
      </c>
      <c r="Z677" s="9">
        <f>Y677*X677</f>
        <v/>
      </c>
      <c r="AA677" s="10">
        <f>IF(W677&gt;$AE$32,1,0)</f>
        <v/>
      </c>
      <c r="AB677">
        <f>IF(AA677=C677,1,0)</f>
        <v/>
      </c>
    </row>
    <row r="678">
      <c r="A678">
        <f>'1 datos preparados'!A671</f>
        <v/>
      </c>
      <c r="B678" s="5">
        <f>'1 datos preparados'!U671</f>
        <v/>
      </c>
      <c r="C678">
        <f>'1 datos preparados'!B671</f>
        <v/>
      </c>
      <c r="D678" s="7">
        <f>'1 datos preparados'!C671</f>
        <v/>
      </c>
      <c r="E678" s="7">
        <f>'1 datos preparados'!D671</f>
        <v/>
      </c>
      <c r="F678" s="7">
        <f>'1 datos preparados'!E671</f>
        <v/>
      </c>
      <c r="G678" s="7">
        <f>'1 datos preparados'!F671</f>
        <v/>
      </c>
      <c r="H678" s="7">
        <f>'1 datos preparados'!G671</f>
        <v/>
      </c>
      <c r="I678" s="7">
        <f>'1 datos preparados'!H671</f>
        <v/>
      </c>
      <c r="J678" s="7">
        <f>'1 datos preparados'!I671</f>
        <v/>
      </c>
      <c r="K678" s="7">
        <f>'1 datos preparados'!J671</f>
        <v/>
      </c>
      <c r="L678" s="7">
        <f>'1 datos preparados'!K671</f>
        <v/>
      </c>
      <c r="M678" s="7">
        <f>'1 datos preparados'!L671</f>
        <v/>
      </c>
      <c r="N678" s="7">
        <f>'1 datos preparados'!M671</f>
        <v/>
      </c>
      <c r="O678" s="7">
        <f>'1 datos preparados'!N671</f>
        <v/>
      </c>
      <c r="P678" s="7">
        <f>'1 datos preparados'!O671</f>
        <v/>
      </c>
      <c r="Q678" s="7">
        <f>'1 datos preparados'!P671</f>
        <v/>
      </c>
      <c r="R678" s="7">
        <f>'1 datos preparados'!Q671</f>
        <v/>
      </c>
      <c r="S678" s="7">
        <f>'1 datos preparados'!R671</f>
        <v/>
      </c>
      <c r="T678" s="7">
        <f>'1 datos preparados'!S671</f>
        <v/>
      </c>
      <c r="U678" s="7">
        <f>'1 datos preparados'!T671</f>
        <v/>
      </c>
      <c r="V678" s="8">
        <f>$AE$12+D678*$AE$13+E678*$AE$14+F678*$AE$15+G678*$AE$16+H678*$AE$17+I678*$AE$18+J678*$AE$19+K678*$AE$20+L678*$AE$21+M678*$AE$22+N678*$AE$23+O678*$AE$24+P678*$AE$25+Q678*$AE$26+R678*$AE$27+S678*$AE$28+T678*$AE$29+U678*$AE$30</f>
        <v/>
      </c>
      <c r="W678" s="8">
        <f>1/(1+EXP(-V678))</f>
        <v/>
      </c>
      <c r="X678" s="9">
        <f>-IF(C678=1,LN(W678),LN(1-W678))</f>
        <v/>
      </c>
      <c r="Y678" s="8">
        <f>1</f>
        <v/>
      </c>
      <c r="Z678" s="9">
        <f>Y678*X678</f>
        <v/>
      </c>
      <c r="AA678" s="10">
        <f>IF(W678&gt;$AE$32,1,0)</f>
        <v/>
      </c>
      <c r="AB678">
        <f>IF(AA678=C678,1,0)</f>
        <v/>
      </c>
    </row>
    <row r="679">
      <c r="A679">
        <f>'1 datos preparados'!A672</f>
        <v/>
      </c>
      <c r="B679" s="5">
        <f>'1 datos preparados'!U672</f>
        <v/>
      </c>
      <c r="C679">
        <f>'1 datos preparados'!B672</f>
        <v/>
      </c>
      <c r="D679" s="7">
        <f>'1 datos preparados'!C672</f>
        <v/>
      </c>
      <c r="E679" s="7">
        <f>'1 datos preparados'!D672</f>
        <v/>
      </c>
      <c r="F679" s="7">
        <f>'1 datos preparados'!E672</f>
        <v/>
      </c>
      <c r="G679" s="7">
        <f>'1 datos preparados'!F672</f>
        <v/>
      </c>
      <c r="H679" s="7">
        <f>'1 datos preparados'!G672</f>
        <v/>
      </c>
      <c r="I679" s="7">
        <f>'1 datos preparados'!H672</f>
        <v/>
      </c>
      <c r="J679" s="7">
        <f>'1 datos preparados'!I672</f>
        <v/>
      </c>
      <c r="K679" s="7">
        <f>'1 datos preparados'!J672</f>
        <v/>
      </c>
      <c r="L679" s="7">
        <f>'1 datos preparados'!K672</f>
        <v/>
      </c>
      <c r="M679" s="7">
        <f>'1 datos preparados'!L672</f>
        <v/>
      </c>
      <c r="N679" s="7">
        <f>'1 datos preparados'!M672</f>
        <v/>
      </c>
      <c r="O679" s="7">
        <f>'1 datos preparados'!N672</f>
        <v/>
      </c>
      <c r="P679" s="7">
        <f>'1 datos preparados'!O672</f>
        <v/>
      </c>
      <c r="Q679" s="7">
        <f>'1 datos preparados'!P672</f>
        <v/>
      </c>
      <c r="R679" s="7">
        <f>'1 datos preparados'!Q672</f>
        <v/>
      </c>
      <c r="S679" s="7">
        <f>'1 datos preparados'!R672</f>
        <v/>
      </c>
      <c r="T679" s="7">
        <f>'1 datos preparados'!S672</f>
        <v/>
      </c>
      <c r="U679" s="7">
        <f>'1 datos preparados'!T672</f>
        <v/>
      </c>
      <c r="V679" s="8">
        <f>$AE$12+D679*$AE$13+E679*$AE$14+F679*$AE$15+G679*$AE$16+H679*$AE$17+I679*$AE$18+J679*$AE$19+K679*$AE$20+L679*$AE$21+M679*$AE$22+N679*$AE$23+O679*$AE$24+P679*$AE$25+Q679*$AE$26+R679*$AE$27+S679*$AE$28+T679*$AE$29+U679*$AE$30</f>
        <v/>
      </c>
      <c r="W679" s="8">
        <f>1/(1+EXP(-V679))</f>
        <v/>
      </c>
      <c r="X679" s="9">
        <f>-IF(C679=1,LN(W679),LN(1-W679))</f>
        <v/>
      </c>
      <c r="Y679" s="8">
        <f>1</f>
        <v/>
      </c>
      <c r="Z679" s="9">
        <f>Y679*X679</f>
        <v/>
      </c>
      <c r="AA679" s="10">
        <f>IF(W679&gt;$AE$32,1,0)</f>
        <v/>
      </c>
      <c r="AB679">
        <f>IF(AA679=C679,1,0)</f>
        <v/>
      </c>
    </row>
    <row r="680">
      <c r="A680">
        <f>'1 datos preparados'!A673</f>
        <v/>
      </c>
      <c r="B680" s="5">
        <f>'1 datos preparados'!U673</f>
        <v/>
      </c>
      <c r="C680">
        <f>'1 datos preparados'!B673</f>
        <v/>
      </c>
      <c r="D680" s="7">
        <f>'1 datos preparados'!C673</f>
        <v/>
      </c>
      <c r="E680" s="7">
        <f>'1 datos preparados'!D673</f>
        <v/>
      </c>
      <c r="F680" s="7">
        <f>'1 datos preparados'!E673</f>
        <v/>
      </c>
      <c r="G680" s="7">
        <f>'1 datos preparados'!F673</f>
        <v/>
      </c>
      <c r="H680" s="7">
        <f>'1 datos preparados'!G673</f>
        <v/>
      </c>
      <c r="I680" s="7">
        <f>'1 datos preparados'!H673</f>
        <v/>
      </c>
      <c r="J680" s="7">
        <f>'1 datos preparados'!I673</f>
        <v/>
      </c>
      <c r="K680" s="7">
        <f>'1 datos preparados'!J673</f>
        <v/>
      </c>
      <c r="L680" s="7">
        <f>'1 datos preparados'!K673</f>
        <v/>
      </c>
      <c r="M680" s="7">
        <f>'1 datos preparados'!L673</f>
        <v/>
      </c>
      <c r="N680" s="7">
        <f>'1 datos preparados'!M673</f>
        <v/>
      </c>
      <c r="O680" s="7">
        <f>'1 datos preparados'!N673</f>
        <v/>
      </c>
      <c r="P680" s="7">
        <f>'1 datos preparados'!O673</f>
        <v/>
      </c>
      <c r="Q680" s="7">
        <f>'1 datos preparados'!P673</f>
        <v/>
      </c>
      <c r="R680" s="7">
        <f>'1 datos preparados'!Q673</f>
        <v/>
      </c>
      <c r="S680" s="7">
        <f>'1 datos preparados'!R673</f>
        <v/>
      </c>
      <c r="T680" s="7">
        <f>'1 datos preparados'!S673</f>
        <v/>
      </c>
      <c r="U680" s="7">
        <f>'1 datos preparados'!T673</f>
        <v/>
      </c>
      <c r="V680" s="8">
        <f>$AE$12+D680*$AE$13+E680*$AE$14+F680*$AE$15+G680*$AE$16+H680*$AE$17+I680*$AE$18+J680*$AE$19+K680*$AE$20+L680*$AE$21+M680*$AE$22+N680*$AE$23+O680*$AE$24+P680*$AE$25+Q680*$AE$26+R680*$AE$27+S680*$AE$28+T680*$AE$29+U680*$AE$30</f>
        <v/>
      </c>
      <c r="W680" s="8">
        <f>1/(1+EXP(-V680))</f>
        <v/>
      </c>
      <c r="X680" s="9">
        <f>-IF(C680=1,LN(W680),LN(1-W680))</f>
        <v/>
      </c>
      <c r="Y680" s="8">
        <f>1</f>
        <v/>
      </c>
      <c r="Z680" s="9">
        <f>Y680*X680</f>
        <v/>
      </c>
      <c r="AA680" s="10">
        <f>IF(W680&gt;$AE$32,1,0)</f>
        <v/>
      </c>
      <c r="AB680">
        <f>IF(AA680=C680,1,0)</f>
        <v/>
      </c>
    </row>
    <row r="681">
      <c r="A681">
        <f>'1 datos preparados'!A674</f>
        <v/>
      </c>
      <c r="B681" s="5">
        <f>'1 datos preparados'!U674</f>
        <v/>
      </c>
      <c r="C681">
        <f>'1 datos preparados'!B674</f>
        <v/>
      </c>
      <c r="D681" s="7">
        <f>'1 datos preparados'!C674</f>
        <v/>
      </c>
      <c r="E681" s="7">
        <f>'1 datos preparados'!D674</f>
        <v/>
      </c>
      <c r="F681" s="7">
        <f>'1 datos preparados'!E674</f>
        <v/>
      </c>
      <c r="G681" s="7">
        <f>'1 datos preparados'!F674</f>
        <v/>
      </c>
      <c r="H681" s="7">
        <f>'1 datos preparados'!G674</f>
        <v/>
      </c>
      <c r="I681" s="7">
        <f>'1 datos preparados'!H674</f>
        <v/>
      </c>
      <c r="J681" s="7">
        <f>'1 datos preparados'!I674</f>
        <v/>
      </c>
      <c r="K681" s="7">
        <f>'1 datos preparados'!J674</f>
        <v/>
      </c>
      <c r="L681" s="7">
        <f>'1 datos preparados'!K674</f>
        <v/>
      </c>
      <c r="M681" s="7">
        <f>'1 datos preparados'!L674</f>
        <v/>
      </c>
      <c r="N681" s="7">
        <f>'1 datos preparados'!M674</f>
        <v/>
      </c>
      <c r="O681" s="7">
        <f>'1 datos preparados'!N674</f>
        <v/>
      </c>
      <c r="P681" s="7">
        <f>'1 datos preparados'!O674</f>
        <v/>
      </c>
      <c r="Q681" s="7">
        <f>'1 datos preparados'!P674</f>
        <v/>
      </c>
      <c r="R681" s="7">
        <f>'1 datos preparados'!Q674</f>
        <v/>
      </c>
      <c r="S681" s="7">
        <f>'1 datos preparados'!R674</f>
        <v/>
      </c>
      <c r="T681" s="7">
        <f>'1 datos preparados'!S674</f>
        <v/>
      </c>
      <c r="U681" s="7">
        <f>'1 datos preparados'!T674</f>
        <v/>
      </c>
      <c r="V681" s="8">
        <f>$AE$12+D681*$AE$13+E681*$AE$14+F681*$AE$15+G681*$AE$16+H681*$AE$17+I681*$AE$18+J681*$AE$19+K681*$AE$20+L681*$AE$21+M681*$AE$22+N681*$AE$23+O681*$AE$24+P681*$AE$25+Q681*$AE$26+R681*$AE$27+S681*$AE$28+T681*$AE$29+U681*$AE$30</f>
        <v/>
      </c>
      <c r="W681" s="8">
        <f>1/(1+EXP(-V681))</f>
        <v/>
      </c>
      <c r="X681" s="9">
        <f>-IF(C681=1,LN(W681),LN(1-W681))</f>
        <v/>
      </c>
      <c r="Y681" s="8">
        <f>1</f>
        <v/>
      </c>
      <c r="Z681" s="9">
        <f>Y681*X681</f>
        <v/>
      </c>
      <c r="AA681" s="10">
        <f>IF(W681&gt;$AE$32,1,0)</f>
        <v/>
      </c>
      <c r="AB681">
        <f>IF(AA681=C681,1,0)</f>
        <v/>
      </c>
    </row>
    <row r="682">
      <c r="A682">
        <f>'1 datos preparados'!A675</f>
        <v/>
      </c>
      <c r="B682" s="5">
        <f>'1 datos preparados'!U675</f>
        <v/>
      </c>
      <c r="C682">
        <f>'1 datos preparados'!B675</f>
        <v/>
      </c>
      <c r="D682" s="7">
        <f>'1 datos preparados'!C675</f>
        <v/>
      </c>
      <c r="E682" s="7">
        <f>'1 datos preparados'!D675</f>
        <v/>
      </c>
      <c r="F682" s="7">
        <f>'1 datos preparados'!E675</f>
        <v/>
      </c>
      <c r="G682" s="7">
        <f>'1 datos preparados'!F675</f>
        <v/>
      </c>
      <c r="H682" s="7">
        <f>'1 datos preparados'!G675</f>
        <v/>
      </c>
      <c r="I682" s="7">
        <f>'1 datos preparados'!H675</f>
        <v/>
      </c>
      <c r="J682" s="7">
        <f>'1 datos preparados'!I675</f>
        <v/>
      </c>
      <c r="K682" s="7">
        <f>'1 datos preparados'!J675</f>
        <v/>
      </c>
      <c r="L682" s="7">
        <f>'1 datos preparados'!K675</f>
        <v/>
      </c>
      <c r="M682" s="7">
        <f>'1 datos preparados'!L675</f>
        <v/>
      </c>
      <c r="N682" s="7">
        <f>'1 datos preparados'!M675</f>
        <v/>
      </c>
      <c r="O682" s="7">
        <f>'1 datos preparados'!N675</f>
        <v/>
      </c>
      <c r="P682" s="7">
        <f>'1 datos preparados'!O675</f>
        <v/>
      </c>
      <c r="Q682" s="7">
        <f>'1 datos preparados'!P675</f>
        <v/>
      </c>
      <c r="R682" s="7">
        <f>'1 datos preparados'!Q675</f>
        <v/>
      </c>
      <c r="S682" s="7">
        <f>'1 datos preparados'!R675</f>
        <v/>
      </c>
      <c r="T682" s="7">
        <f>'1 datos preparados'!S675</f>
        <v/>
      </c>
      <c r="U682" s="7">
        <f>'1 datos preparados'!T675</f>
        <v/>
      </c>
      <c r="V682" s="8">
        <f>$AE$12+D682*$AE$13+E682*$AE$14+F682*$AE$15+G682*$AE$16+H682*$AE$17+I682*$AE$18+J682*$AE$19+K682*$AE$20+L682*$AE$21+M682*$AE$22+N682*$AE$23+O682*$AE$24+P682*$AE$25+Q682*$AE$26+R682*$AE$27+S682*$AE$28+T682*$AE$29+U682*$AE$30</f>
        <v/>
      </c>
      <c r="W682" s="8">
        <f>1/(1+EXP(-V682))</f>
        <v/>
      </c>
      <c r="X682" s="9">
        <f>-IF(C682=1,LN(W682),LN(1-W682))</f>
        <v/>
      </c>
      <c r="Y682" s="8">
        <f>1</f>
        <v/>
      </c>
      <c r="Z682" s="9">
        <f>Y682*X682</f>
        <v/>
      </c>
      <c r="AA682" s="10">
        <f>IF(W682&gt;$AE$32,1,0)</f>
        <v/>
      </c>
      <c r="AB682">
        <f>IF(AA682=C682,1,0)</f>
        <v/>
      </c>
    </row>
    <row r="683">
      <c r="A683">
        <f>'1 datos preparados'!A676</f>
        <v/>
      </c>
      <c r="B683" s="5">
        <f>'1 datos preparados'!U676</f>
        <v/>
      </c>
      <c r="C683">
        <f>'1 datos preparados'!B676</f>
        <v/>
      </c>
      <c r="D683" s="7">
        <f>'1 datos preparados'!C676</f>
        <v/>
      </c>
      <c r="E683" s="7">
        <f>'1 datos preparados'!D676</f>
        <v/>
      </c>
      <c r="F683" s="7">
        <f>'1 datos preparados'!E676</f>
        <v/>
      </c>
      <c r="G683" s="7">
        <f>'1 datos preparados'!F676</f>
        <v/>
      </c>
      <c r="H683" s="7">
        <f>'1 datos preparados'!G676</f>
        <v/>
      </c>
      <c r="I683" s="7">
        <f>'1 datos preparados'!H676</f>
        <v/>
      </c>
      <c r="J683" s="7">
        <f>'1 datos preparados'!I676</f>
        <v/>
      </c>
      <c r="K683" s="7">
        <f>'1 datos preparados'!J676</f>
        <v/>
      </c>
      <c r="L683" s="7">
        <f>'1 datos preparados'!K676</f>
        <v/>
      </c>
      <c r="M683" s="7">
        <f>'1 datos preparados'!L676</f>
        <v/>
      </c>
      <c r="N683" s="7">
        <f>'1 datos preparados'!M676</f>
        <v/>
      </c>
      <c r="O683" s="7">
        <f>'1 datos preparados'!N676</f>
        <v/>
      </c>
      <c r="P683" s="7">
        <f>'1 datos preparados'!O676</f>
        <v/>
      </c>
      <c r="Q683" s="7">
        <f>'1 datos preparados'!P676</f>
        <v/>
      </c>
      <c r="R683" s="7">
        <f>'1 datos preparados'!Q676</f>
        <v/>
      </c>
      <c r="S683" s="7">
        <f>'1 datos preparados'!R676</f>
        <v/>
      </c>
      <c r="T683" s="7">
        <f>'1 datos preparados'!S676</f>
        <v/>
      </c>
      <c r="U683" s="7">
        <f>'1 datos preparados'!T676</f>
        <v/>
      </c>
      <c r="V683" s="8">
        <f>$AE$12+D683*$AE$13+E683*$AE$14+F683*$AE$15+G683*$AE$16+H683*$AE$17+I683*$AE$18+J683*$AE$19+K683*$AE$20+L683*$AE$21+M683*$AE$22+N683*$AE$23+O683*$AE$24+P683*$AE$25+Q683*$AE$26+R683*$AE$27+S683*$AE$28+T683*$AE$29+U683*$AE$30</f>
        <v/>
      </c>
      <c r="W683" s="8">
        <f>1/(1+EXP(-V683))</f>
        <v/>
      </c>
      <c r="X683" s="9">
        <f>-IF(C683=1,LN(W683),LN(1-W683))</f>
        <v/>
      </c>
      <c r="Y683" s="8">
        <f>1</f>
        <v/>
      </c>
      <c r="Z683" s="9">
        <f>Y683*X683</f>
        <v/>
      </c>
      <c r="AA683" s="10">
        <f>IF(W683&gt;$AE$32,1,0)</f>
        <v/>
      </c>
      <c r="AB683">
        <f>IF(AA683=C683,1,0)</f>
        <v/>
      </c>
    </row>
    <row r="684">
      <c r="A684">
        <f>'1 datos preparados'!A677</f>
        <v/>
      </c>
      <c r="B684" s="5">
        <f>'1 datos preparados'!U677</f>
        <v/>
      </c>
      <c r="C684">
        <f>'1 datos preparados'!B677</f>
        <v/>
      </c>
      <c r="D684" s="7">
        <f>'1 datos preparados'!C677</f>
        <v/>
      </c>
      <c r="E684" s="7">
        <f>'1 datos preparados'!D677</f>
        <v/>
      </c>
      <c r="F684" s="7">
        <f>'1 datos preparados'!E677</f>
        <v/>
      </c>
      <c r="G684" s="7">
        <f>'1 datos preparados'!F677</f>
        <v/>
      </c>
      <c r="H684" s="7">
        <f>'1 datos preparados'!G677</f>
        <v/>
      </c>
      <c r="I684" s="7">
        <f>'1 datos preparados'!H677</f>
        <v/>
      </c>
      <c r="J684" s="7">
        <f>'1 datos preparados'!I677</f>
        <v/>
      </c>
      <c r="K684" s="7">
        <f>'1 datos preparados'!J677</f>
        <v/>
      </c>
      <c r="L684" s="7">
        <f>'1 datos preparados'!K677</f>
        <v/>
      </c>
      <c r="M684" s="7">
        <f>'1 datos preparados'!L677</f>
        <v/>
      </c>
      <c r="N684" s="7">
        <f>'1 datos preparados'!M677</f>
        <v/>
      </c>
      <c r="O684" s="7">
        <f>'1 datos preparados'!N677</f>
        <v/>
      </c>
      <c r="P684" s="7">
        <f>'1 datos preparados'!O677</f>
        <v/>
      </c>
      <c r="Q684" s="7">
        <f>'1 datos preparados'!P677</f>
        <v/>
      </c>
      <c r="R684" s="7">
        <f>'1 datos preparados'!Q677</f>
        <v/>
      </c>
      <c r="S684" s="7">
        <f>'1 datos preparados'!R677</f>
        <v/>
      </c>
      <c r="T684" s="7">
        <f>'1 datos preparados'!S677</f>
        <v/>
      </c>
      <c r="U684" s="7">
        <f>'1 datos preparados'!T677</f>
        <v/>
      </c>
      <c r="V684" s="8">
        <f>$AE$12+D684*$AE$13+E684*$AE$14+F684*$AE$15+G684*$AE$16+H684*$AE$17+I684*$AE$18+J684*$AE$19+K684*$AE$20+L684*$AE$21+M684*$AE$22+N684*$AE$23+O684*$AE$24+P684*$AE$25+Q684*$AE$26+R684*$AE$27+S684*$AE$28+T684*$AE$29+U684*$AE$30</f>
        <v/>
      </c>
      <c r="W684" s="8">
        <f>1/(1+EXP(-V684))</f>
        <v/>
      </c>
      <c r="X684" s="9">
        <f>-IF(C684=1,LN(W684),LN(1-W684))</f>
        <v/>
      </c>
      <c r="Y684" s="8">
        <f>1</f>
        <v/>
      </c>
      <c r="Z684" s="9">
        <f>Y684*X684</f>
        <v/>
      </c>
      <c r="AA684" s="10">
        <f>IF(W684&gt;$AE$32,1,0)</f>
        <v/>
      </c>
      <c r="AB684">
        <f>IF(AA684=C684,1,0)</f>
        <v/>
      </c>
    </row>
    <row r="685">
      <c r="A685">
        <f>'1 datos preparados'!A678</f>
        <v/>
      </c>
      <c r="B685" s="5">
        <f>'1 datos preparados'!U678</f>
        <v/>
      </c>
      <c r="C685">
        <f>'1 datos preparados'!B678</f>
        <v/>
      </c>
      <c r="D685" s="7">
        <f>'1 datos preparados'!C678</f>
        <v/>
      </c>
      <c r="E685" s="7">
        <f>'1 datos preparados'!D678</f>
        <v/>
      </c>
      <c r="F685" s="7">
        <f>'1 datos preparados'!E678</f>
        <v/>
      </c>
      <c r="G685" s="7">
        <f>'1 datos preparados'!F678</f>
        <v/>
      </c>
      <c r="H685" s="7">
        <f>'1 datos preparados'!G678</f>
        <v/>
      </c>
      <c r="I685" s="7">
        <f>'1 datos preparados'!H678</f>
        <v/>
      </c>
      <c r="J685" s="7">
        <f>'1 datos preparados'!I678</f>
        <v/>
      </c>
      <c r="K685" s="7">
        <f>'1 datos preparados'!J678</f>
        <v/>
      </c>
      <c r="L685" s="7">
        <f>'1 datos preparados'!K678</f>
        <v/>
      </c>
      <c r="M685" s="7">
        <f>'1 datos preparados'!L678</f>
        <v/>
      </c>
      <c r="N685" s="7">
        <f>'1 datos preparados'!M678</f>
        <v/>
      </c>
      <c r="O685" s="7">
        <f>'1 datos preparados'!N678</f>
        <v/>
      </c>
      <c r="P685" s="7">
        <f>'1 datos preparados'!O678</f>
        <v/>
      </c>
      <c r="Q685" s="7">
        <f>'1 datos preparados'!P678</f>
        <v/>
      </c>
      <c r="R685" s="7">
        <f>'1 datos preparados'!Q678</f>
        <v/>
      </c>
      <c r="S685" s="7">
        <f>'1 datos preparados'!R678</f>
        <v/>
      </c>
      <c r="T685" s="7">
        <f>'1 datos preparados'!S678</f>
        <v/>
      </c>
      <c r="U685" s="7">
        <f>'1 datos preparados'!T678</f>
        <v/>
      </c>
      <c r="V685" s="8">
        <f>$AE$12+D685*$AE$13+E685*$AE$14+F685*$AE$15+G685*$AE$16+H685*$AE$17+I685*$AE$18+J685*$AE$19+K685*$AE$20+L685*$AE$21+M685*$AE$22+N685*$AE$23+O685*$AE$24+P685*$AE$25+Q685*$AE$26+R685*$AE$27+S685*$AE$28+T685*$AE$29+U685*$AE$30</f>
        <v/>
      </c>
      <c r="W685" s="8">
        <f>1/(1+EXP(-V685))</f>
        <v/>
      </c>
      <c r="X685" s="9">
        <f>-IF(C685=1,LN(W685),LN(1-W685))</f>
        <v/>
      </c>
      <c r="Y685" s="8">
        <f>1</f>
        <v/>
      </c>
      <c r="Z685" s="9">
        <f>Y685*X685</f>
        <v/>
      </c>
      <c r="AA685" s="10">
        <f>IF(W685&gt;$AE$32,1,0)</f>
        <v/>
      </c>
      <c r="AB685">
        <f>IF(AA685=C685,1,0)</f>
        <v/>
      </c>
    </row>
    <row r="686">
      <c r="A686">
        <f>'1 datos preparados'!A679</f>
        <v/>
      </c>
      <c r="B686" s="5">
        <f>'1 datos preparados'!U679</f>
        <v/>
      </c>
      <c r="C686">
        <f>'1 datos preparados'!B679</f>
        <v/>
      </c>
      <c r="D686" s="7">
        <f>'1 datos preparados'!C679</f>
        <v/>
      </c>
      <c r="E686" s="7">
        <f>'1 datos preparados'!D679</f>
        <v/>
      </c>
      <c r="F686" s="7">
        <f>'1 datos preparados'!E679</f>
        <v/>
      </c>
      <c r="G686" s="7">
        <f>'1 datos preparados'!F679</f>
        <v/>
      </c>
      <c r="H686" s="7">
        <f>'1 datos preparados'!G679</f>
        <v/>
      </c>
      <c r="I686" s="7">
        <f>'1 datos preparados'!H679</f>
        <v/>
      </c>
      <c r="J686" s="7">
        <f>'1 datos preparados'!I679</f>
        <v/>
      </c>
      <c r="K686" s="7">
        <f>'1 datos preparados'!J679</f>
        <v/>
      </c>
      <c r="L686" s="7">
        <f>'1 datos preparados'!K679</f>
        <v/>
      </c>
      <c r="M686" s="7">
        <f>'1 datos preparados'!L679</f>
        <v/>
      </c>
      <c r="N686" s="7">
        <f>'1 datos preparados'!M679</f>
        <v/>
      </c>
      <c r="O686" s="7">
        <f>'1 datos preparados'!N679</f>
        <v/>
      </c>
      <c r="P686" s="7">
        <f>'1 datos preparados'!O679</f>
        <v/>
      </c>
      <c r="Q686" s="7">
        <f>'1 datos preparados'!P679</f>
        <v/>
      </c>
      <c r="R686" s="7">
        <f>'1 datos preparados'!Q679</f>
        <v/>
      </c>
      <c r="S686" s="7">
        <f>'1 datos preparados'!R679</f>
        <v/>
      </c>
      <c r="T686" s="7">
        <f>'1 datos preparados'!S679</f>
        <v/>
      </c>
      <c r="U686" s="7">
        <f>'1 datos preparados'!T679</f>
        <v/>
      </c>
      <c r="V686" s="8">
        <f>$AE$12+D686*$AE$13+E686*$AE$14+F686*$AE$15+G686*$AE$16+H686*$AE$17+I686*$AE$18+J686*$AE$19+K686*$AE$20+L686*$AE$21+M686*$AE$22+N686*$AE$23+O686*$AE$24+P686*$AE$25+Q686*$AE$26+R686*$AE$27+S686*$AE$28+T686*$AE$29+U686*$AE$30</f>
        <v/>
      </c>
      <c r="W686" s="8">
        <f>1/(1+EXP(-V686))</f>
        <v/>
      </c>
      <c r="X686" s="9">
        <f>-IF(C686=1,LN(W686),LN(1-W686))</f>
        <v/>
      </c>
      <c r="Y686" s="8">
        <f>1</f>
        <v/>
      </c>
      <c r="Z686" s="9">
        <f>Y686*X686</f>
        <v/>
      </c>
      <c r="AA686" s="10">
        <f>IF(W686&gt;$AE$32,1,0)</f>
        <v/>
      </c>
      <c r="AB686">
        <f>IF(AA686=C686,1,0)</f>
        <v/>
      </c>
    </row>
    <row r="687">
      <c r="A687">
        <f>'1 datos preparados'!A680</f>
        <v/>
      </c>
      <c r="B687" s="5">
        <f>'1 datos preparados'!U680</f>
        <v/>
      </c>
      <c r="C687">
        <f>'1 datos preparados'!B680</f>
        <v/>
      </c>
      <c r="D687" s="7">
        <f>'1 datos preparados'!C680</f>
        <v/>
      </c>
      <c r="E687" s="7">
        <f>'1 datos preparados'!D680</f>
        <v/>
      </c>
      <c r="F687" s="7">
        <f>'1 datos preparados'!E680</f>
        <v/>
      </c>
      <c r="G687" s="7">
        <f>'1 datos preparados'!F680</f>
        <v/>
      </c>
      <c r="H687" s="7">
        <f>'1 datos preparados'!G680</f>
        <v/>
      </c>
      <c r="I687" s="7">
        <f>'1 datos preparados'!H680</f>
        <v/>
      </c>
      <c r="J687" s="7">
        <f>'1 datos preparados'!I680</f>
        <v/>
      </c>
      <c r="K687" s="7">
        <f>'1 datos preparados'!J680</f>
        <v/>
      </c>
      <c r="L687" s="7">
        <f>'1 datos preparados'!K680</f>
        <v/>
      </c>
      <c r="M687" s="7">
        <f>'1 datos preparados'!L680</f>
        <v/>
      </c>
      <c r="N687" s="7">
        <f>'1 datos preparados'!M680</f>
        <v/>
      </c>
      <c r="O687" s="7">
        <f>'1 datos preparados'!N680</f>
        <v/>
      </c>
      <c r="P687" s="7">
        <f>'1 datos preparados'!O680</f>
        <v/>
      </c>
      <c r="Q687" s="7">
        <f>'1 datos preparados'!P680</f>
        <v/>
      </c>
      <c r="R687" s="7">
        <f>'1 datos preparados'!Q680</f>
        <v/>
      </c>
      <c r="S687" s="7">
        <f>'1 datos preparados'!R680</f>
        <v/>
      </c>
      <c r="T687" s="7">
        <f>'1 datos preparados'!S680</f>
        <v/>
      </c>
      <c r="U687" s="7">
        <f>'1 datos preparados'!T680</f>
        <v/>
      </c>
      <c r="V687" s="8">
        <f>$AE$12+D687*$AE$13+E687*$AE$14+F687*$AE$15+G687*$AE$16+H687*$AE$17+I687*$AE$18+J687*$AE$19+K687*$AE$20+L687*$AE$21+M687*$AE$22+N687*$AE$23+O687*$AE$24+P687*$AE$25+Q687*$AE$26+R687*$AE$27+S687*$AE$28+T687*$AE$29+U687*$AE$30</f>
        <v/>
      </c>
      <c r="W687" s="8">
        <f>1/(1+EXP(-V687))</f>
        <v/>
      </c>
      <c r="X687" s="9">
        <f>-IF(C687=1,LN(W687),LN(1-W687))</f>
        <v/>
      </c>
      <c r="Y687" s="8">
        <f>1</f>
        <v/>
      </c>
      <c r="Z687" s="9">
        <f>Y687*X687</f>
        <v/>
      </c>
      <c r="AA687" s="10">
        <f>IF(W687&gt;$AE$32,1,0)</f>
        <v/>
      </c>
      <c r="AB687">
        <f>IF(AA687=C687,1,0)</f>
        <v/>
      </c>
    </row>
    <row r="688">
      <c r="A688">
        <f>'1 datos preparados'!A681</f>
        <v/>
      </c>
      <c r="B688" s="5">
        <f>'1 datos preparados'!U681</f>
        <v/>
      </c>
      <c r="C688">
        <f>'1 datos preparados'!B681</f>
        <v/>
      </c>
      <c r="D688" s="7">
        <f>'1 datos preparados'!C681</f>
        <v/>
      </c>
      <c r="E688" s="7">
        <f>'1 datos preparados'!D681</f>
        <v/>
      </c>
      <c r="F688" s="7">
        <f>'1 datos preparados'!E681</f>
        <v/>
      </c>
      <c r="G688" s="7">
        <f>'1 datos preparados'!F681</f>
        <v/>
      </c>
      <c r="H688" s="7">
        <f>'1 datos preparados'!G681</f>
        <v/>
      </c>
      <c r="I688" s="7">
        <f>'1 datos preparados'!H681</f>
        <v/>
      </c>
      <c r="J688" s="7">
        <f>'1 datos preparados'!I681</f>
        <v/>
      </c>
      <c r="K688" s="7">
        <f>'1 datos preparados'!J681</f>
        <v/>
      </c>
      <c r="L688" s="7">
        <f>'1 datos preparados'!K681</f>
        <v/>
      </c>
      <c r="M688" s="7">
        <f>'1 datos preparados'!L681</f>
        <v/>
      </c>
      <c r="N688" s="7">
        <f>'1 datos preparados'!M681</f>
        <v/>
      </c>
      <c r="O688" s="7">
        <f>'1 datos preparados'!N681</f>
        <v/>
      </c>
      <c r="P688" s="7">
        <f>'1 datos preparados'!O681</f>
        <v/>
      </c>
      <c r="Q688" s="7">
        <f>'1 datos preparados'!P681</f>
        <v/>
      </c>
      <c r="R688" s="7">
        <f>'1 datos preparados'!Q681</f>
        <v/>
      </c>
      <c r="S688" s="7">
        <f>'1 datos preparados'!R681</f>
        <v/>
      </c>
      <c r="T688" s="7">
        <f>'1 datos preparados'!S681</f>
        <v/>
      </c>
      <c r="U688" s="7">
        <f>'1 datos preparados'!T681</f>
        <v/>
      </c>
      <c r="V688" s="8">
        <f>$AE$12+D688*$AE$13+E688*$AE$14+F688*$AE$15+G688*$AE$16+H688*$AE$17+I688*$AE$18+J688*$AE$19+K688*$AE$20+L688*$AE$21+M688*$AE$22+N688*$AE$23+O688*$AE$24+P688*$AE$25+Q688*$AE$26+R688*$AE$27+S688*$AE$28+T688*$AE$29+U688*$AE$30</f>
        <v/>
      </c>
      <c r="W688" s="8">
        <f>1/(1+EXP(-V688))</f>
        <v/>
      </c>
      <c r="X688" s="9">
        <f>-IF(C688=1,LN(W688),LN(1-W688))</f>
        <v/>
      </c>
      <c r="Y688" s="8">
        <f>1</f>
        <v/>
      </c>
      <c r="Z688" s="9">
        <f>Y688*X688</f>
        <v/>
      </c>
      <c r="AA688" s="10">
        <f>IF(W688&gt;$AE$32,1,0)</f>
        <v/>
      </c>
      <c r="AB688">
        <f>IF(AA688=C688,1,0)</f>
        <v/>
      </c>
    </row>
    <row r="689">
      <c r="A689">
        <f>'1 datos preparados'!A682</f>
        <v/>
      </c>
      <c r="B689" s="5">
        <f>'1 datos preparados'!U682</f>
        <v/>
      </c>
      <c r="C689">
        <f>'1 datos preparados'!B682</f>
        <v/>
      </c>
      <c r="D689" s="7">
        <f>'1 datos preparados'!C682</f>
        <v/>
      </c>
      <c r="E689" s="7">
        <f>'1 datos preparados'!D682</f>
        <v/>
      </c>
      <c r="F689" s="7">
        <f>'1 datos preparados'!E682</f>
        <v/>
      </c>
      <c r="G689" s="7">
        <f>'1 datos preparados'!F682</f>
        <v/>
      </c>
      <c r="H689" s="7">
        <f>'1 datos preparados'!G682</f>
        <v/>
      </c>
      <c r="I689" s="7">
        <f>'1 datos preparados'!H682</f>
        <v/>
      </c>
      <c r="J689" s="7">
        <f>'1 datos preparados'!I682</f>
        <v/>
      </c>
      <c r="K689" s="7">
        <f>'1 datos preparados'!J682</f>
        <v/>
      </c>
      <c r="L689" s="7">
        <f>'1 datos preparados'!K682</f>
        <v/>
      </c>
      <c r="M689" s="7">
        <f>'1 datos preparados'!L682</f>
        <v/>
      </c>
      <c r="N689" s="7">
        <f>'1 datos preparados'!M682</f>
        <v/>
      </c>
      <c r="O689" s="7">
        <f>'1 datos preparados'!N682</f>
        <v/>
      </c>
      <c r="P689" s="7">
        <f>'1 datos preparados'!O682</f>
        <v/>
      </c>
      <c r="Q689" s="7">
        <f>'1 datos preparados'!P682</f>
        <v/>
      </c>
      <c r="R689" s="7">
        <f>'1 datos preparados'!Q682</f>
        <v/>
      </c>
      <c r="S689" s="7">
        <f>'1 datos preparados'!R682</f>
        <v/>
      </c>
      <c r="T689" s="7">
        <f>'1 datos preparados'!S682</f>
        <v/>
      </c>
      <c r="U689" s="7">
        <f>'1 datos preparados'!T682</f>
        <v/>
      </c>
      <c r="V689" s="8">
        <f>$AE$12+D689*$AE$13+E689*$AE$14+F689*$AE$15+G689*$AE$16+H689*$AE$17+I689*$AE$18+J689*$AE$19+K689*$AE$20+L689*$AE$21+M689*$AE$22+N689*$AE$23+O689*$AE$24+P689*$AE$25+Q689*$AE$26+R689*$AE$27+S689*$AE$28+T689*$AE$29+U689*$AE$30</f>
        <v/>
      </c>
      <c r="W689" s="8">
        <f>1/(1+EXP(-V689))</f>
        <v/>
      </c>
      <c r="X689" s="9">
        <f>-IF(C689=1,LN(W689),LN(1-W689))</f>
        <v/>
      </c>
      <c r="Y689" s="8">
        <f>1</f>
        <v/>
      </c>
      <c r="Z689" s="9">
        <f>Y689*X689</f>
        <v/>
      </c>
      <c r="AA689" s="10">
        <f>IF(W689&gt;$AE$32,1,0)</f>
        <v/>
      </c>
      <c r="AB689">
        <f>IF(AA689=C689,1,0)</f>
        <v/>
      </c>
    </row>
    <row r="690">
      <c r="A690">
        <f>'1 datos preparados'!A683</f>
        <v/>
      </c>
      <c r="B690" s="5">
        <f>'1 datos preparados'!U683</f>
        <v/>
      </c>
      <c r="C690">
        <f>'1 datos preparados'!B683</f>
        <v/>
      </c>
      <c r="D690" s="7">
        <f>'1 datos preparados'!C683</f>
        <v/>
      </c>
      <c r="E690" s="7">
        <f>'1 datos preparados'!D683</f>
        <v/>
      </c>
      <c r="F690" s="7">
        <f>'1 datos preparados'!E683</f>
        <v/>
      </c>
      <c r="G690" s="7">
        <f>'1 datos preparados'!F683</f>
        <v/>
      </c>
      <c r="H690" s="7">
        <f>'1 datos preparados'!G683</f>
        <v/>
      </c>
      <c r="I690" s="7">
        <f>'1 datos preparados'!H683</f>
        <v/>
      </c>
      <c r="J690" s="7">
        <f>'1 datos preparados'!I683</f>
        <v/>
      </c>
      <c r="K690" s="7">
        <f>'1 datos preparados'!J683</f>
        <v/>
      </c>
      <c r="L690" s="7">
        <f>'1 datos preparados'!K683</f>
        <v/>
      </c>
      <c r="M690" s="7">
        <f>'1 datos preparados'!L683</f>
        <v/>
      </c>
      <c r="N690" s="7">
        <f>'1 datos preparados'!M683</f>
        <v/>
      </c>
      <c r="O690" s="7">
        <f>'1 datos preparados'!N683</f>
        <v/>
      </c>
      <c r="P690" s="7">
        <f>'1 datos preparados'!O683</f>
        <v/>
      </c>
      <c r="Q690" s="7">
        <f>'1 datos preparados'!P683</f>
        <v/>
      </c>
      <c r="R690" s="7">
        <f>'1 datos preparados'!Q683</f>
        <v/>
      </c>
      <c r="S690" s="7">
        <f>'1 datos preparados'!R683</f>
        <v/>
      </c>
      <c r="T690" s="7">
        <f>'1 datos preparados'!S683</f>
        <v/>
      </c>
      <c r="U690" s="7">
        <f>'1 datos preparados'!T683</f>
        <v/>
      </c>
      <c r="V690" s="8">
        <f>$AE$12+D690*$AE$13+E690*$AE$14+F690*$AE$15+G690*$AE$16+H690*$AE$17+I690*$AE$18+J690*$AE$19+K690*$AE$20+L690*$AE$21+M690*$AE$22+N690*$AE$23+O690*$AE$24+P690*$AE$25+Q690*$AE$26+R690*$AE$27+S690*$AE$28+T690*$AE$29+U690*$AE$30</f>
        <v/>
      </c>
      <c r="W690" s="8">
        <f>1/(1+EXP(-V690))</f>
        <v/>
      </c>
      <c r="X690" s="9">
        <f>-IF(C690=1,LN(W690),LN(1-W690))</f>
        <v/>
      </c>
      <c r="Y690" s="8">
        <f>1</f>
        <v/>
      </c>
      <c r="Z690" s="9">
        <f>Y690*X690</f>
        <v/>
      </c>
      <c r="AA690" s="10">
        <f>IF(W690&gt;$AE$32,1,0)</f>
        <v/>
      </c>
      <c r="AB690">
        <f>IF(AA690=C690,1,0)</f>
        <v/>
      </c>
    </row>
    <row r="691">
      <c r="A691">
        <f>'1 datos preparados'!A684</f>
        <v/>
      </c>
      <c r="B691" s="5">
        <f>'1 datos preparados'!U684</f>
        <v/>
      </c>
      <c r="C691">
        <f>'1 datos preparados'!B684</f>
        <v/>
      </c>
      <c r="D691" s="7">
        <f>'1 datos preparados'!C684</f>
        <v/>
      </c>
      <c r="E691" s="7">
        <f>'1 datos preparados'!D684</f>
        <v/>
      </c>
      <c r="F691" s="7">
        <f>'1 datos preparados'!E684</f>
        <v/>
      </c>
      <c r="G691" s="7">
        <f>'1 datos preparados'!F684</f>
        <v/>
      </c>
      <c r="H691" s="7">
        <f>'1 datos preparados'!G684</f>
        <v/>
      </c>
      <c r="I691" s="7">
        <f>'1 datos preparados'!H684</f>
        <v/>
      </c>
      <c r="J691" s="7">
        <f>'1 datos preparados'!I684</f>
        <v/>
      </c>
      <c r="K691" s="7">
        <f>'1 datos preparados'!J684</f>
        <v/>
      </c>
      <c r="L691" s="7">
        <f>'1 datos preparados'!K684</f>
        <v/>
      </c>
      <c r="M691" s="7">
        <f>'1 datos preparados'!L684</f>
        <v/>
      </c>
      <c r="N691" s="7">
        <f>'1 datos preparados'!M684</f>
        <v/>
      </c>
      <c r="O691" s="7">
        <f>'1 datos preparados'!N684</f>
        <v/>
      </c>
      <c r="P691" s="7">
        <f>'1 datos preparados'!O684</f>
        <v/>
      </c>
      <c r="Q691" s="7">
        <f>'1 datos preparados'!P684</f>
        <v/>
      </c>
      <c r="R691" s="7">
        <f>'1 datos preparados'!Q684</f>
        <v/>
      </c>
      <c r="S691" s="7">
        <f>'1 datos preparados'!R684</f>
        <v/>
      </c>
      <c r="T691" s="7">
        <f>'1 datos preparados'!S684</f>
        <v/>
      </c>
      <c r="U691" s="7">
        <f>'1 datos preparados'!T684</f>
        <v/>
      </c>
      <c r="V691" s="8">
        <f>$AE$12+D691*$AE$13+E691*$AE$14+F691*$AE$15+G691*$AE$16+H691*$AE$17+I691*$AE$18+J691*$AE$19+K691*$AE$20+L691*$AE$21+M691*$AE$22+N691*$AE$23+O691*$AE$24+P691*$AE$25+Q691*$AE$26+R691*$AE$27+S691*$AE$28+T691*$AE$29+U691*$AE$30</f>
        <v/>
      </c>
      <c r="W691" s="8">
        <f>1/(1+EXP(-V691))</f>
        <v/>
      </c>
      <c r="X691" s="9">
        <f>-IF(C691=1,LN(W691),LN(1-W691))</f>
        <v/>
      </c>
      <c r="Y691" s="8">
        <f>1</f>
        <v/>
      </c>
      <c r="Z691" s="9">
        <f>Y691*X691</f>
        <v/>
      </c>
      <c r="AA691" s="10">
        <f>IF(W691&gt;$AE$32,1,0)</f>
        <v/>
      </c>
      <c r="AB691">
        <f>IF(AA691=C691,1,0)</f>
        <v/>
      </c>
    </row>
    <row r="692">
      <c r="A692">
        <f>'1 datos preparados'!A685</f>
        <v/>
      </c>
      <c r="B692" s="5">
        <f>'1 datos preparados'!U685</f>
        <v/>
      </c>
      <c r="C692">
        <f>'1 datos preparados'!B685</f>
        <v/>
      </c>
      <c r="D692" s="7">
        <f>'1 datos preparados'!C685</f>
        <v/>
      </c>
      <c r="E692" s="7">
        <f>'1 datos preparados'!D685</f>
        <v/>
      </c>
      <c r="F692" s="7">
        <f>'1 datos preparados'!E685</f>
        <v/>
      </c>
      <c r="G692" s="7">
        <f>'1 datos preparados'!F685</f>
        <v/>
      </c>
      <c r="H692" s="7">
        <f>'1 datos preparados'!G685</f>
        <v/>
      </c>
      <c r="I692" s="7">
        <f>'1 datos preparados'!H685</f>
        <v/>
      </c>
      <c r="J692" s="7">
        <f>'1 datos preparados'!I685</f>
        <v/>
      </c>
      <c r="K692" s="7">
        <f>'1 datos preparados'!J685</f>
        <v/>
      </c>
      <c r="L692" s="7">
        <f>'1 datos preparados'!K685</f>
        <v/>
      </c>
      <c r="M692" s="7">
        <f>'1 datos preparados'!L685</f>
        <v/>
      </c>
      <c r="N692" s="7">
        <f>'1 datos preparados'!M685</f>
        <v/>
      </c>
      <c r="O692" s="7">
        <f>'1 datos preparados'!N685</f>
        <v/>
      </c>
      <c r="P692" s="7">
        <f>'1 datos preparados'!O685</f>
        <v/>
      </c>
      <c r="Q692" s="7">
        <f>'1 datos preparados'!P685</f>
        <v/>
      </c>
      <c r="R692" s="7">
        <f>'1 datos preparados'!Q685</f>
        <v/>
      </c>
      <c r="S692" s="7">
        <f>'1 datos preparados'!R685</f>
        <v/>
      </c>
      <c r="T692" s="7">
        <f>'1 datos preparados'!S685</f>
        <v/>
      </c>
      <c r="U692" s="7">
        <f>'1 datos preparados'!T685</f>
        <v/>
      </c>
      <c r="V692" s="8">
        <f>$AE$12+D692*$AE$13+E692*$AE$14+F692*$AE$15+G692*$AE$16+H692*$AE$17+I692*$AE$18+J692*$AE$19+K692*$AE$20+L692*$AE$21+M692*$AE$22+N692*$AE$23+O692*$AE$24+P692*$AE$25+Q692*$AE$26+R692*$AE$27+S692*$AE$28+T692*$AE$29+U692*$AE$30</f>
        <v/>
      </c>
      <c r="W692" s="8">
        <f>1/(1+EXP(-V692))</f>
        <v/>
      </c>
      <c r="X692" s="9">
        <f>-IF(C692=1,LN(W692),LN(1-W692))</f>
        <v/>
      </c>
      <c r="Y692" s="8">
        <f>1</f>
        <v/>
      </c>
      <c r="Z692" s="9">
        <f>Y692*X692</f>
        <v/>
      </c>
      <c r="AA692" s="10">
        <f>IF(W692&gt;$AE$32,1,0)</f>
        <v/>
      </c>
      <c r="AB692">
        <f>IF(AA692=C692,1,0)</f>
        <v/>
      </c>
    </row>
    <row r="693">
      <c r="A693">
        <f>'1 datos preparados'!A686</f>
        <v/>
      </c>
      <c r="B693" s="5">
        <f>'1 datos preparados'!U686</f>
        <v/>
      </c>
      <c r="C693">
        <f>'1 datos preparados'!B686</f>
        <v/>
      </c>
      <c r="D693" s="7">
        <f>'1 datos preparados'!C686</f>
        <v/>
      </c>
      <c r="E693" s="7">
        <f>'1 datos preparados'!D686</f>
        <v/>
      </c>
      <c r="F693" s="7">
        <f>'1 datos preparados'!E686</f>
        <v/>
      </c>
      <c r="G693" s="7">
        <f>'1 datos preparados'!F686</f>
        <v/>
      </c>
      <c r="H693" s="7">
        <f>'1 datos preparados'!G686</f>
        <v/>
      </c>
      <c r="I693" s="7">
        <f>'1 datos preparados'!H686</f>
        <v/>
      </c>
      <c r="J693" s="7">
        <f>'1 datos preparados'!I686</f>
        <v/>
      </c>
      <c r="K693" s="7">
        <f>'1 datos preparados'!J686</f>
        <v/>
      </c>
      <c r="L693" s="7">
        <f>'1 datos preparados'!K686</f>
        <v/>
      </c>
      <c r="M693" s="7">
        <f>'1 datos preparados'!L686</f>
        <v/>
      </c>
      <c r="N693" s="7">
        <f>'1 datos preparados'!M686</f>
        <v/>
      </c>
      <c r="O693" s="7">
        <f>'1 datos preparados'!N686</f>
        <v/>
      </c>
      <c r="P693" s="7">
        <f>'1 datos preparados'!O686</f>
        <v/>
      </c>
      <c r="Q693" s="7">
        <f>'1 datos preparados'!P686</f>
        <v/>
      </c>
      <c r="R693" s="7">
        <f>'1 datos preparados'!Q686</f>
        <v/>
      </c>
      <c r="S693" s="7">
        <f>'1 datos preparados'!R686</f>
        <v/>
      </c>
      <c r="T693" s="7">
        <f>'1 datos preparados'!S686</f>
        <v/>
      </c>
      <c r="U693" s="7">
        <f>'1 datos preparados'!T686</f>
        <v/>
      </c>
      <c r="V693" s="8">
        <f>$AE$12+D693*$AE$13+E693*$AE$14+F693*$AE$15+G693*$AE$16+H693*$AE$17+I693*$AE$18+J693*$AE$19+K693*$AE$20+L693*$AE$21+M693*$AE$22+N693*$AE$23+O693*$AE$24+P693*$AE$25+Q693*$AE$26+R693*$AE$27+S693*$AE$28+T693*$AE$29+U693*$AE$30</f>
        <v/>
      </c>
      <c r="W693" s="8">
        <f>1/(1+EXP(-V693))</f>
        <v/>
      </c>
      <c r="X693" s="9">
        <f>-IF(C693=1,LN(W693),LN(1-W693))</f>
        <v/>
      </c>
      <c r="Y693" s="8">
        <f>1</f>
        <v/>
      </c>
      <c r="Z693" s="9">
        <f>Y693*X693</f>
        <v/>
      </c>
      <c r="AA693" s="10">
        <f>IF(W693&gt;$AE$32,1,0)</f>
        <v/>
      </c>
      <c r="AB693">
        <f>IF(AA693=C693,1,0)</f>
        <v/>
      </c>
    </row>
    <row r="694">
      <c r="A694">
        <f>'1 datos preparados'!A687</f>
        <v/>
      </c>
      <c r="B694" s="5">
        <f>'1 datos preparados'!U687</f>
        <v/>
      </c>
      <c r="C694">
        <f>'1 datos preparados'!B687</f>
        <v/>
      </c>
      <c r="D694" s="7">
        <f>'1 datos preparados'!C687</f>
        <v/>
      </c>
      <c r="E694" s="7">
        <f>'1 datos preparados'!D687</f>
        <v/>
      </c>
      <c r="F694" s="7">
        <f>'1 datos preparados'!E687</f>
        <v/>
      </c>
      <c r="G694" s="7">
        <f>'1 datos preparados'!F687</f>
        <v/>
      </c>
      <c r="H694" s="7">
        <f>'1 datos preparados'!G687</f>
        <v/>
      </c>
      <c r="I694" s="7">
        <f>'1 datos preparados'!H687</f>
        <v/>
      </c>
      <c r="J694" s="7">
        <f>'1 datos preparados'!I687</f>
        <v/>
      </c>
      <c r="K694" s="7">
        <f>'1 datos preparados'!J687</f>
        <v/>
      </c>
      <c r="L694" s="7">
        <f>'1 datos preparados'!K687</f>
        <v/>
      </c>
      <c r="M694" s="7">
        <f>'1 datos preparados'!L687</f>
        <v/>
      </c>
      <c r="N694" s="7">
        <f>'1 datos preparados'!M687</f>
        <v/>
      </c>
      <c r="O694" s="7">
        <f>'1 datos preparados'!N687</f>
        <v/>
      </c>
      <c r="P694" s="7">
        <f>'1 datos preparados'!O687</f>
        <v/>
      </c>
      <c r="Q694" s="7">
        <f>'1 datos preparados'!P687</f>
        <v/>
      </c>
      <c r="R694" s="7">
        <f>'1 datos preparados'!Q687</f>
        <v/>
      </c>
      <c r="S694" s="7">
        <f>'1 datos preparados'!R687</f>
        <v/>
      </c>
      <c r="T694" s="7">
        <f>'1 datos preparados'!S687</f>
        <v/>
      </c>
      <c r="U694" s="7">
        <f>'1 datos preparados'!T687</f>
        <v/>
      </c>
      <c r="V694" s="8">
        <f>$AE$12+D694*$AE$13+E694*$AE$14+F694*$AE$15+G694*$AE$16+H694*$AE$17+I694*$AE$18+J694*$AE$19+K694*$AE$20+L694*$AE$21+M694*$AE$22+N694*$AE$23+O694*$AE$24+P694*$AE$25+Q694*$AE$26+R694*$AE$27+S694*$AE$28+T694*$AE$29+U694*$AE$30</f>
        <v/>
      </c>
      <c r="W694" s="8">
        <f>1/(1+EXP(-V694))</f>
        <v/>
      </c>
      <c r="X694" s="9">
        <f>-IF(C694=1,LN(W694),LN(1-W694))</f>
        <v/>
      </c>
      <c r="Y694" s="8">
        <f>1</f>
        <v/>
      </c>
      <c r="Z694" s="9">
        <f>Y694*X694</f>
        <v/>
      </c>
      <c r="AA694" s="10">
        <f>IF(W694&gt;$AE$32,1,0)</f>
        <v/>
      </c>
      <c r="AB694">
        <f>IF(AA694=C694,1,0)</f>
        <v/>
      </c>
    </row>
    <row r="695">
      <c r="A695">
        <f>'1 datos preparados'!A688</f>
        <v/>
      </c>
      <c r="B695" s="5">
        <f>'1 datos preparados'!U688</f>
        <v/>
      </c>
      <c r="C695">
        <f>'1 datos preparados'!B688</f>
        <v/>
      </c>
      <c r="D695" s="7">
        <f>'1 datos preparados'!C688</f>
        <v/>
      </c>
      <c r="E695" s="7">
        <f>'1 datos preparados'!D688</f>
        <v/>
      </c>
      <c r="F695" s="7">
        <f>'1 datos preparados'!E688</f>
        <v/>
      </c>
      <c r="G695" s="7">
        <f>'1 datos preparados'!F688</f>
        <v/>
      </c>
      <c r="H695" s="7">
        <f>'1 datos preparados'!G688</f>
        <v/>
      </c>
      <c r="I695" s="7">
        <f>'1 datos preparados'!H688</f>
        <v/>
      </c>
      <c r="J695" s="7">
        <f>'1 datos preparados'!I688</f>
        <v/>
      </c>
      <c r="K695" s="7">
        <f>'1 datos preparados'!J688</f>
        <v/>
      </c>
      <c r="L695" s="7">
        <f>'1 datos preparados'!K688</f>
        <v/>
      </c>
      <c r="M695" s="7">
        <f>'1 datos preparados'!L688</f>
        <v/>
      </c>
      <c r="N695" s="7">
        <f>'1 datos preparados'!M688</f>
        <v/>
      </c>
      <c r="O695" s="7">
        <f>'1 datos preparados'!N688</f>
        <v/>
      </c>
      <c r="P695" s="7">
        <f>'1 datos preparados'!O688</f>
        <v/>
      </c>
      <c r="Q695" s="7">
        <f>'1 datos preparados'!P688</f>
        <v/>
      </c>
      <c r="R695" s="7">
        <f>'1 datos preparados'!Q688</f>
        <v/>
      </c>
      <c r="S695" s="7">
        <f>'1 datos preparados'!R688</f>
        <v/>
      </c>
      <c r="T695" s="7">
        <f>'1 datos preparados'!S688</f>
        <v/>
      </c>
      <c r="U695" s="7">
        <f>'1 datos preparados'!T688</f>
        <v/>
      </c>
      <c r="V695" s="8">
        <f>$AE$12+D695*$AE$13+E695*$AE$14+F695*$AE$15+G695*$AE$16+H695*$AE$17+I695*$AE$18+J695*$AE$19+K695*$AE$20+L695*$AE$21+M695*$AE$22+N695*$AE$23+O695*$AE$24+P695*$AE$25+Q695*$AE$26+R695*$AE$27+S695*$AE$28+T695*$AE$29+U695*$AE$30</f>
        <v/>
      </c>
      <c r="W695" s="8">
        <f>1/(1+EXP(-V695))</f>
        <v/>
      </c>
      <c r="X695" s="9">
        <f>-IF(C695=1,LN(W695),LN(1-W695))</f>
        <v/>
      </c>
      <c r="Y695" s="8">
        <f>1</f>
        <v/>
      </c>
      <c r="Z695" s="9">
        <f>Y695*X695</f>
        <v/>
      </c>
      <c r="AA695" s="10">
        <f>IF(W695&gt;$AE$32,1,0)</f>
        <v/>
      </c>
      <c r="AB695">
        <f>IF(AA695=C695,1,0)</f>
        <v/>
      </c>
    </row>
    <row r="696">
      <c r="A696">
        <f>'1 datos preparados'!A689</f>
        <v/>
      </c>
      <c r="B696" s="5">
        <f>'1 datos preparados'!U689</f>
        <v/>
      </c>
      <c r="C696">
        <f>'1 datos preparados'!B689</f>
        <v/>
      </c>
      <c r="D696" s="7">
        <f>'1 datos preparados'!C689</f>
        <v/>
      </c>
      <c r="E696" s="7">
        <f>'1 datos preparados'!D689</f>
        <v/>
      </c>
      <c r="F696" s="7">
        <f>'1 datos preparados'!E689</f>
        <v/>
      </c>
      <c r="G696" s="7">
        <f>'1 datos preparados'!F689</f>
        <v/>
      </c>
      <c r="H696" s="7">
        <f>'1 datos preparados'!G689</f>
        <v/>
      </c>
      <c r="I696" s="7">
        <f>'1 datos preparados'!H689</f>
        <v/>
      </c>
      <c r="J696" s="7">
        <f>'1 datos preparados'!I689</f>
        <v/>
      </c>
      <c r="K696" s="7">
        <f>'1 datos preparados'!J689</f>
        <v/>
      </c>
      <c r="L696" s="7">
        <f>'1 datos preparados'!K689</f>
        <v/>
      </c>
      <c r="M696" s="7">
        <f>'1 datos preparados'!L689</f>
        <v/>
      </c>
      <c r="N696" s="7">
        <f>'1 datos preparados'!M689</f>
        <v/>
      </c>
      <c r="O696" s="7">
        <f>'1 datos preparados'!N689</f>
        <v/>
      </c>
      <c r="P696" s="7">
        <f>'1 datos preparados'!O689</f>
        <v/>
      </c>
      <c r="Q696" s="7">
        <f>'1 datos preparados'!P689</f>
        <v/>
      </c>
      <c r="R696" s="7">
        <f>'1 datos preparados'!Q689</f>
        <v/>
      </c>
      <c r="S696" s="7">
        <f>'1 datos preparados'!R689</f>
        <v/>
      </c>
      <c r="T696" s="7">
        <f>'1 datos preparados'!S689</f>
        <v/>
      </c>
      <c r="U696" s="7">
        <f>'1 datos preparados'!T689</f>
        <v/>
      </c>
      <c r="V696" s="8">
        <f>$AE$12+D696*$AE$13+E696*$AE$14+F696*$AE$15+G696*$AE$16+H696*$AE$17+I696*$AE$18+J696*$AE$19+K696*$AE$20+L696*$AE$21+M696*$AE$22+N696*$AE$23+O696*$AE$24+P696*$AE$25+Q696*$AE$26+R696*$AE$27+S696*$AE$28+T696*$AE$29+U696*$AE$30</f>
        <v/>
      </c>
      <c r="W696" s="8">
        <f>1/(1+EXP(-V696))</f>
        <v/>
      </c>
      <c r="X696" s="9">
        <f>-IF(C696=1,LN(W696),LN(1-W696))</f>
        <v/>
      </c>
      <c r="Y696" s="8">
        <f>1</f>
        <v/>
      </c>
      <c r="Z696" s="9">
        <f>Y696*X696</f>
        <v/>
      </c>
      <c r="AA696" s="10">
        <f>IF(W696&gt;$AE$32,1,0)</f>
        <v/>
      </c>
      <c r="AB696">
        <f>IF(AA696=C696,1,0)</f>
        <v/>
      </c>
    </row>
    <row r="697">
      <c r="A697">
        <f>'1 datos preparados'!A690</f>
        <v/>
      </c>
      <c r="B697" s="5">
        <f>'1 datos preparados'!U690</f>
        <v/>
      </c>
      <c r="C697">
        <f>'1 datos preparados'!B690</f>
        <v/>
      </c>
      <c r="D697" s="7">
        <f>'1 datos preparados'!C690</f>
        <v/>
      </c>
      <c r="E697" s="7">
        <f>'1 datos preparados'!D690</f>
        <v/>
      </c>
      <c r="F697" s="7">
        <f>'1 datos preparados'!E690</f>
        <v/>
      </c>
      <c r="G697" s="7">
        <f>'1 datos preparados'!F690</f>
        <v/>
      </c>
      <c r="H697" s="7">
        <f>'1 datos preparados'!G690</f>
        <v/>
      </c>
      <c r="I697" s="7">
        <f>'1 datos preparados'!H690</f>
        <v/>
      </c>
      <c r="J697" s="7">
        <f>'1 datos preparados'!I690</f>
        <v/>
      </c>
      <c r="K697" s="7">
        <f>'1 datos preparados'!J690</f>
        <v/>
      </c>
      <c r="L697" s="7">
        <f>'1 datos preparados'!K690</f>
        <v/>
      </c>
      <c r="M697" s="7">
        <f>'1 datos preparados'!L690</f>
        <v/>
      </c>
      <c r="N697" s="7">
        <f>'1 datos preparados'!M690</f>
        <v/>
      </c>
      <c r="O697" s="7">
        <f>'1 datos preparados'!N690</f>
        <v/>
      </c>
      <c r="P697" s="7">
        <f>'1 datos preparados'!O690</f>
        <v/>
      </c>
      <c r="Q697" s="7">
        <f>'1 datos preparados'!P690</f>
        <v/>
      </c>
      <c r="R697" s="7">
        <f>'1 datos preparados'!Q690</f>
        <v/>
      </c>
      <c r="S697" s="7">
        <f>'1 datos preparados'!R690</f>
        <v/>
      </c>
      <c r="T697" s="7">
        <f>'1 datos preparados'!S690</f>
        <v/>
      </c>
      <c r="U697" s="7">
        <f>'1 datos preparados'!T690</f>
        <v/>
      </c>
      <c r="V697" s="8">
        <f>$AE$12+D697*$AE$13+E697*$AE$14+F697*$AE$15+G697*$AE$16+H697*$AE$17+I697*$AE$18+J697*$AE$19+K697*$AE$20+L697*$AE$21+M697*$AE$22+N697*$AE$23+O697*$AE$24+P697*$AE$25+Q697*$AE$26+R697*$AE$27+S697*$AE$28+T697*$AE$29+U697*$AE$30</f>
        <v/>
      </c>
      <c r="W697" s="8">
        <f>1/(1+EXP(-V697))</f>
        <v/>
      </c>
      <c r="X697" s="9">
        <f>-IF(C697=1,LN(W697),LN(1-W697))</f>
        <v/>
      </c>
      <c r="Y697" s="8">
        <f>1</f>
        <v/>
      </c>
      <c r="Z697" s="9">
        <f>Y697*X697</f>
        <v/>
      </c>
      <c r="AA697" s="10">
        <f>IF(W697&gt;$AE$32,1,0)</f>
        <v/>
      </c>
      <c r="AB697">
        <f>IF(AA697=C697,1,0)</f>
        <v/>
      </c>
    </row>
    <row r="698">
      <c r="A698">
        <f>'1 datos preparados'!A691</f>
        <v/>
      </c>
      <c r="B698" s="5">
        <f>'1 datos preparados'!U691</f>
        <v/>
      </c>
      <c r="C698">
        <f>'1 datos preparados'!B691</f>
        <v/>
      </c>
      <c r="D698" s="7">
        <f>'1 datos preparados'!C691</f>
        <v/>
      </c>
      <c r="E698" s="7">
        <f>'1 datos preparados'!D691</f>
        <v/>
      </c>
      <c r="F698" s="7">
        <f>'1 datos preparados'!E691</f>
        <v/>
      </c>
      <c r="G698" s="7">
        <f>'1 datos preparados'!F691</f>
        <v/>
      </c>
      <c r="H698" s="7">
        <f>'1 datos preparados'!G691</f>
        <v/>
      </c>
      <c r="I698" s="7">
        <f>'1 datos preparados'!H691</f>
        <v/>
      </c>
      <c r="J698" s="7">
        <f>'1 datos preparados'!I691</f>
        <v/>
      </c>
      <c r="K698" s="7">
        <f>'1 datos preparados'!J691</f>
        <v/>
      </c>
      <c r="L698" s="7">
        <f>'1 datos preparados'!K691</f>
        <v/>
      </c>
      <c r="M698" s="7">
        <f>'1 datos preparados'!L691</f>
        <v/>
      </c>
      <c r="N698" s="7">
        <f>'1 datos preparados'!M691</f>
        <v/>
      </c>
      <c r="O698" s="7">
        <f>'1 datos preparados'!N691</f>
        <v/>
      </c>
      <c r="P698" s="7">
        <f>'1 datos preparados'!O691</f>
        <v/>
      </c>
      <c r="Q698" s="7">
        <f>'1 datos preparados'!P691</f>
        <v/>
      </c>
      <c r="R698" s="7">
        <f>'1 datos preparados'!Q691</f>
        <v/>
      </c>
      <c r="S698" s="7">
        <f>'1 datos preparados'!R691</f>
        <v/>
      </c>
      <c r="T698" s="7">
        <f>'1 datos preparados'!S691</f>
        <v/>
      </c>
      <c r="U698" s="7">
        <f>'1 datos preparados'!T691</f>
        <v/>
      </c>
      <c r="V698" s="8">
        <f>$AE$12+D698*$AE$13+E698*$AE$14+F698*$AE$15+G698*$AE$16+H698*$AE$17+I698*$AE$18+J698*$AE$19+K698*$AE$20+L698*$AE$21+M698*$AE$22+N698*$AE$23+O698*$AE$24+P698*$AE$25+Q698*$AE$26+R698*$AE$27+S698*$AE$28+T698*$AE$29+U698*$AE$30</f>
        <v/>
      </c>
      <c r="W698" s="8">
        <f>1/(1+EXP(-V698))</f>
        <v/>
      </c>
      <c r="X698" s="9">
        <f>-IF(C698=1,LN(W698),LN(1-W698))</f>
        <v/>
      </c>
      <c r="Y698" s="8">
        <f>1</f>
        <v/>
      </c>
      <c r="Z698" s="9">
        <f>Y698*X698</f>
        <v/>
      </c>
      <c r="AA698" s="10">
        <f>IF(W698&gt;$AE$32,1,0)</f>
        <v/>
      </c>
      <c r="AB698">
        <f>IF(AA698=C698,1,0)</f>
        <v/>
      </c>
    </row>
    <row r="699">
      <c r="A699">
        <f>'1 datos preparados'!A692</f>
        <v/>
      </c>
      <c r="B699" s="5">
        <f>'1 datos preparados'!U692</f>
        <v/>
      </c>
      <c r="C699">
        <f>'1 datos preparados'!B692</f>
        <v/>
      </c>
      <c r="D699" s="7">
        <f>'1 datos preparados'!C692</f>
        <v/>
      </c>
      <c r="E699" s="7">
        <f>'1 datos preparados'!D692</f>
        <v/>
      </c>
      <c r="F699" s="7">
        <f>'1 datos preparados'!E692</f>
        <v/>
      </c>
      <c r="G699" s="7">
        <f>'1 datos preparados'!F692</f>
        <v/>
      </c>
      <c r="H699" s="7">
        <f>'1 datos preparados'!G692</f>
        <v/>
      </c>
      <c r="I699" s="7">
        <f>'1 datos preparados'!H692</f>
        <v/>
      </c>
      <c r="J699" s="7">
        <f>'1 datos preparados'!I692</f>
        <v/>
      </c>
      <c r="K699" s="7">
        <f>'1 datos preparados'!J692</f>
        <v/>
      </c>
      <c r="L699" s="7">
        <f>'1 datos preparados'!K692</f>
        <v/>
      </c>
      <c r="M699" s="7">
        <f>'1 datos preparados'!L692</f>
        <v/>
      </c>
      <c r="N699" s="7">
        <f>'1 datos preparados'!M692</f>
        <v/>
      </c>
      <c r="O699" s="7">
        <f>'1 datos preparados'!N692</f>
        <v/>
      </c>
      <c r="P699" s="7">
        <f>'1 datos preparados'!O692</f>
        <v/>
      </c>
      <c r="Q699" s="7">
        <f>'1 datos preparados'!P692</f>
        <v/>
      </c>
      <c r="R699" s="7">
        <f>'1 datos preparados'!Q692</f>
        <v/>
      </c>
      <c r="S699" s="7">
        <f>'1 datos preparados'!R692</f>
        <v/>
      </c>
      <c r="T699" s="7">
        <f>'1 datos preparados'!S692</f>
        <v/>
      </c>
      <c r="U699" s="7">
        <f>'1 datos preparados'!T692</f>
        <v/>
      </c>
      <c r="V699" s="8">
        <f>$AE$12+D699*$AE$13+E699*$AE$14+F699*$AE$15+G699*$AE$16+H699*$AE$17+I699*$AE$18+J699*$AE$19+K699*$AE$20+L699*$AE$21+M699*$AE$22+N699*$AE$23+O699*$AE$24+P699*$AE$25+Q699*$AE$26+R699*$AE$27+S699*$AE$28+T699*$AE$29+U699*$AE$30</f>
        <v/>
      </c>
      <c r="W699" s="8">
        <f>1/(1+EXP(-V699))</f>
        <v/>
      </c>
      <c r="X699" s="9">
        <f>-IF(C699=1,LN(W699),LN(1-W699))</f>
        <v/>
      </c>
      <c r="Y699" s="8">
        <f>1</f>
        <v/>
      </c>
      <c r="Z699" s="9">
        <f>Y699*X699</f>
        <v/>
      </c>
      <c r="AA699" s="10">
        <f>IF(W699&gt;$AE$32,1,0)</f>
        <v/>
      </c>
      <c r="AB699">
        <f>IF(AA699=C699,1,0)</f>
        <v/>
      </c>
    </row>
    <row r="700">
      <c r="A700">
        <f>'1 datos preparados'!A693</f>
        <v/>
      </c>
      <c r="B700" s="5">
        <f>'1 datos preparados'!U693</f>
        <v/>
      </c>
      <c r="C700">
        <f>'1 datos preparados'!B693</f>
        <v/>
      </c>
      <c r="D700" s="7">
        <f>'1 datos preparados'!C693</f>
        <v/>
      </c>
      <c r="E700" s="7">
        <f>'1 datos preparados'!D693</f>
        <v/>
      </c>
      <c r="F700" s="7">
        <f>'1 datos preparados'!E693</f>
        <v/>
      </c>
      <c r="G700" s="7">
        <f>'1 datos preparados'!F693</f>
        <v/>
      </c>
      <c r="H700" s="7">
        <f>'1 datos preparados'!G693</f>
        <v/>
      </c>
      <c r="I700" s="7">
        <f>'1 datos preparados'!H693</f>
        <v/>
      </c>
      <c r="J700" s="7">
        <f>'1 datos preparados'!I693</f>
        <v/>
      </c>
      <c r="K700" s="7">
        <f>'1 datos preparados'!J693</f>
        <v/>
      </c>
      <c r="L700" s="7">
        <f>'1 datos preparados'!K693</f>
        <v/>
      </c>
      <c r="M700" s="7">
        <f>'1 datos preparados'!L693</f>
        <v/>
      </c>
      <c r="N700" s="7">
        <f>'1 datos preparados'!M693</f>
        <v/>
      </c>
      <c r="O700" s="7">
        <f>'1 datos preparados'!N693</f>
        <v/>
      </c>
      <c r="P700" s="7">
        <f>'1 datos preparados'!O693</f>
        <v/>
      </c>
      <c r="Q700" s="7">
        <f>'1 datos preparados'!P693</f>
        <v/>
      </c>
      <c r="R700" s="7">
        <f>'1 datos preparados'!Q693</f>
        <v/>
      </c>
      <c r="S700" s="7">
        <f>'1 datos preparados'!R693</f>
        <v/>
      </c>
      <c r="T700" s="7">
        <f>'1 datos preparados'!S693</f>
        <v/>
      </c>
      <c r="U700" s="7">
        <f>'1 datos preparados'!T693</f>
        <v/>
      </c>
      <c r="V700" s="8">
        <f>$AE$12+D700*$AE$13+E700*$AE$14+F700*$AE$15+G700*$AE$16+H700*$AE$17+I700*$AE$18+J700*$AE$19+K700*$AE$20+L700*$AE$21+M700*$AE$22+N700*$AE$23+O700*$AE$24+P700*$AE$25+Q700*$AE$26+R700*$AE$27+S700*$AE$28+T700*$AE$29+U700*$AE$30</f>
        <v/>
      </c>
      <c r="W700" s="8">
        <f>1/(1+EXP(-V700))</f>
        <v/>
      </c>
      <c r="X700" s="9">
        <f>-IF(C700=1,LN(W700),LN(1-W700))</f>
        <v/>
      </c>
      <c r="Y700" s="8">
        <f>1</f>
        <v/>
      </c>
      <c r="Z700" s="9">
        <f>Y700*X700</f>
        <v/>
      </c>
      <c r="AA700" s="10">
        <f>IF(W700&gt;$AE$32,1,0)</f>
        <v/>
      </c>
      <c r="AB700">
        <f>IF(AA700=C700,1,0)</f>
        <v/>
      </c>
    </row>
    <row r="701">
      <c r="A701">
        <f>'1 datos preparados'!A694</f>
        <v/>
      </c>
      <c r="B701" s="5">
        <f>'1 datos preparados'!U694</f>
        <v/>
      </c>
      <c r="C701">
        <f>'1 datos preparados'!B694</f>
        <v/>
      </c>
      <c r="D701" s="7">
        <f>'1 datos preparados'!C694</f>
        <v/>
      </c>
      <c r="E701" s="7">
        <f>'1 datos preparados'!D694</f>
        <v/>
      </c>
      <c r="F701" s="7">
        <f>'1 datos preparados'!E694</f>
        <v/>
      </c>
      <c r="G701" s="7">
        <f>'1 datos preparados'!F694</f>
        <v/>
      </c>
      <c r="H701" s="7">
        <f>'1 datos preparados'!G694</f>
        <v/>
      </c>
      <c r="I701" s="7">
        <f>'1 datos preparados'!H694</f>
        <v/>
      </c>
      <c r="J701" s="7">
        <f>'1 datos preparados'!I694</f>
        <v/>
      </c>
      <c r="K701" s="7">
        <f>'1 datos preparados'!J694</f>
        <v/>
      </c>
      <c r="L701" s="7">
        <f>'1 datos preparados'!K694</f>
        <v/>
      </c>
      <c r="M701" s="7">
        <f>'1 datos preparados'!L694</f>
        <v/>
      </c>
      <c r="N701" s="7">
        <f>'1 datos preparados'!M694</f>
        <v/>
      </c>
      <c r="O701" s="7">
        <f>'1 datos preparados'!N694</f>
        <v/>
      </c>
      <c r="P701" s="7">
        <f>'1 datos preparados'!O694</f>
        <v/>
      </c>
      <c r="Q701" s="7">
        <f>'1 datos preparados'!P694</f>
        <v/>
      </c>
      <c r="R701" s="7">
        <f>'1 datos preparados'!Q694</f>
        <v/>
      </c>
      <c r="S701" s="7">
        <f>'1 datos preparados'!R694</f>
        <v/>
      </c>
      <c r="T701" s="7">
        <f>'1 datos preparados'!S694</f>
        <v/>
      </c>
      <c r="U701" s="7">
        <f>'1 datos preparados'!T694</f>
        <v/>
      </c>
      <c r="V701" s="8">
        <f>$AE$12+D701*$AE$13+E701*$AE$14+F701*$AE$15+G701*$AE$16+H701*$AE$17+I701*$AE$18+J701*$AE$19+K701*$AE$20+L701*$AE$21+M701*$AE$22+N701*$AE$23+O701*$AE$24+P701*$AE$25+Q701*$AE$26+R701*$AE$27+S701*$AE$28+T701*$AE$29+U701*$AE$30</f>
        <v/>
      </c>
      <c r="W701" s="8">
        <f>1/(1+EXP(-V701))</f>
        <v/>
      </c>
      <c r="X701" s="9">
        <f>-IF(C701=1,LN(W701),LN(1-W701))</f>
        <v/>
      </c>
      <c r="Y701" s="8">
        <f>1</f>
        <v/>
      </c>
      <c r="Z701" s="9">
        <f>Y701*X701</f>
        <v/>
      </c>
      <c r="AA701" s="10">
        <f>IF(W701&gt;$AE$32,1,0)</f>
        <v/>
      </c>
      <c r="AB701">
        <f>IF(AA701=C701,1,0)</f>
        <v/>
      </c>
    </row>
    <row r="702">
      <c r="A702">
        <f>'1 datos preparados'!A695</f>
        <v/>
      </c>
      <c r="B702" s="5">
        <f>'1 datos preparados'!U695</f>
        <v/>
      </c>
      <c r="C702">
        <f>'1 datos preparados'!B695</f>
        <v/>
      </c>
      <c r="D702" s="7">
        <f>'1 datos preparados'!C695</f>
        <v/>
      </c>
      <c r="E702" s="7">
        <f>'1 datos preparados'!D695</f>
        <v/>
      </c>
      <c r="F702" s="7">
        <f>'1 datos preparados'!E695</f>
        <v/>
      </c>
      <c r="G702" s="7">
        <f>'1 datos preparados'!F695</f>
        <v/>
      </c>
      <c r="H702" s="7">
        <f>'1 datos preparados'!G695</f>
        <v/>
      </c>
      <c r="I702" s="7">
        <f>'1 datos preparados'!H695</f>
        <v/>
      </c>
      <c r="J702" s="7">
        <f>'1 datos preparados'!I695</f>
        <v/>
      </c>
      <c r="K702" s="7">
        <f>'1 datos preparados'!J695</f>
        <v/>
      </c>
      <c r="L702" s="7">
        <f>'1 datos preparados'!K695</f>
        <v/>
      </c>
      <c r="M702" s="7">
        <f>'1 datos preparados'!L695</f>
        <v/>
      </c>
      <c r="N702" s="7">
        <f>'1 datos preparados'!M695</f>
        <v/>
      </c>
      <c r="O702" s="7">
        <f>'1 datos preparados'!N695</f>
        <v/>
      </c>
      <c r="P702" s="7">
        <f>'1 datos preparados'!O695</f>
        <v/>
      </c>
      <c r="Q702" s="7">
        <f>'1 datos preparados'!P695</f>
        <v/>
      </c>
      <c r="R702" s="7">
        <f>'1 datos preparados'!Q695</f>
        <v/>
      </c>
      <c r="S702" s="7">
        <f>'1 datos preparados'!R695</f>
        <v/>
      </c>
      <c r="T702" s="7">
        <f>'1 datos preparados'!S695</f>
        <v/>
      </c>
      <c r="U702" s="7">
        <f>'1 datos preparados'!T695</f>
        <v/>
      </c>
      <c r="V702" s="8">
        <f>$AE$12+D702*$AE$13+E702*$AE$14+F702*$AE$15+G702*$AE$16+H702*$AE$17+I702*$AE$18+J702*$AE$19+K702*$AE$20+L702*$AE$21+M702*$AE$22+N702*$AE$23+O702*$AE$24+P702*$AE$25+Q702*$AE$26+R702*$AE$27+S702*$AE$28+T702*$AE$29+U702*$AE$30</f>
        <v/>
      </c>
      <c r="W702" s="8">
        <f>1/(1+EXP(-V702))</f>
        <v/>
      </c>
      <c r="X702" s="9">
        <f>-IF(C702=1,LN(W702),LN(1-W702))</f>
        <v/>
      </c>
      <c r="Y702" s="8">
        <f>1</f>
        <v/>
      </c>
      <c r="Z702" s="9">
        <f>Y702*X702</f>
        <v/>
      </c>
      <c r="AA702" s="10">
        <f>IF(W702&gt;$AE$32,1,0)</f>
        <v/>
      </c>
      <c r="AB702">
        <f>IF(AA702=C702,1,0)</f>
        <v/>
      </c>
    </row>
    <row r="703">
      <c r="A703">
        <f>'1 datos preparados'!A696</f>
        <v/>
      </c>
      <c r="B703" s="5">
        <f>'1 datos preparados'!U696</f>
        <v/>
      </c>
      <c r="C703">
        <f>'1 datos preparados'!B696</f>
        <v/>
      </c>
      <c r="D703" s="7">
        <f>'1 datos preparados'!C696</f>
        <v/>
      </c>
      <c r="E703" s="7">
        <f>'1 datos preparados'!D696</f>
        <v/>
      </c>
      <c r="F703" s="7">
        <f>'1 datos preparados'!E696</f>
        <v/>
      </c>
      <c r="G703" s="7">
        <f>'1 datos preparados'!F696</f>
        <v/>
      </c>
      <c r="H703" s="7">
        <f>'1 datos preparados'!G696</f>
        <v/>
      </c>
      <c r="I703" s="7">
        <f>'1 datos preparados'!H696</f>
        <v/>
      </c>
      <c r="J703" s="7">
        <f>'1 datos preparados'!I696</f>
        <v/>
      </c>
      <c r="K703" s="7">
        <f>'1 datos preparados'!J696</f>
        <v/>
      </c>
      <c r="L703" s="7">
        <f>'1 datos preparados'!K696</f>
        <v/>
      </c>
      <c r="M703" s="7">
        <f>'1 datos preparados'!L696</f>
        <v/>
      </c>
      <c r="N703" s="7">
        <f>'1 datos preparados'!M696</f>
        <v/>
      </c>
      <c r="O703" s="7">
        <f>'1 datos preparados'!N696</f>
        <v/>
      </c>
      <c r="P703" s="7">
        <f>'1 datos preparados'!O696</f>
        <v/>
      </c>
      <c r="Q703" s="7">
        <f>'1 datos preparados'!P696</f>
        <v/>
      </c>
      <c r="R703" s="7">
        <f>'1 datos preparados'!Q696</f>
        <v/>
      </c>
      <c r="S703" s="7">
        <f>'1 datos preparados'!R696</f>
        <v/>
      </c>
      <c r="T703" s="7">
        <f>'1 datos preparados'!S696</f>
        <v/>
      </c>
      <c r="U703" s="7">
        <f>'1 datos preparados'!T696</f>
        <v/>
      </c>
      <c r="V703" s="8">
        <f>$AE$12+D703*$AE$13+E703*$AE$14+F703*$AE$15+G703*$AE$16+H703*$AE$17+I703*$AE$18+J703*$AE$19+K703*$AE$20+L703*$AE$21+M703*$AE$22+N703*$AE$23+O703*$AE$24+P703*$AE$25+Q703*$AE$26+R703*$AE$27+S703*$AE$28+T703*$AE$29+U703*$AE$30</f>
        <v/>
      </c>
      <c r="W703" s="8">
        <f>1/(1+EXP(-V703))</f>
        <v/>
      </c>
      <c r="X703" s="9">
        <f>-IF(C703=1,LN(W703),LN(1-W703))</f>
        <v/>
      </c>
      <c r="Y703" s="8">
        <f>1</f>
        <v/>
      </c>
      <c r="Z703" s="9">
        <f>Y703*X703</f>
        <v/>
      </c>
      <c r="AA703" s="10">
        <f>IF(W703&gt;$AE$32,1,0)</f>
        <v/>
      </c>
      <c r="AB703">
        <f>IF(AA703=C703,1,0)</f>
        <v/>
      </c>
    </row>
    <row r="704">
      <c r="A704">
        <f>'1 datos preparados'!A697</f>
        <v/>
      </c>
      <c r="B704" s="5">
        <f>'1 datos preparados'!U697</f>
        <v/>
      </c>
      <c r="C704">
        <f>'1 datos preparados'!B697</f>
        <v/>
      </c>
      <c r="D704" s="7">
        <f>'1 datos preparados'!C697</f>
        <v/>
      </c>
      <c r="E704" s="7">
        <f>'1 datos preparados'!D697</f>
        <v/>
      </c>
      <c r="F704" s="7">
        <f>'1 datos preparados'!E697</f>
        <v/>
      </c>
      <c r="G704" s="7">
        <f>'1 datos preparados'!F697</f>
        <v/>
      </c>
      <c r="H704" s="7">
        <f>'1 datos preparados'!G697</f>
        <v/>
      </c>
      <c r="I704" s="7">
        <f>'1 datos preparados'!H697</f>
        <v/>
      </c>
      <c r="J704" s="7">
        <f>'1 datos preparados'!I697</f>
        <v/>
      </c>
      <c r="K704" s="7">
        <f>'1 datos preparados'!J697</f>
        <v/>
      </c>
      <c r="L704" s="7">
        <f>'1 datos preparados'!K697</f>
        <v/>
      </c>
      <c r="M704" s="7">
        <f>'1 datos preparados'!L697</f>
        <v/>
      </c>
      <c r="N704" s="7">
        <f>'1 datos preparados'!M697</f>
        <v/>
      </c>
      <c r="O704" s="7">
        <f>'1 datos preparados'!N697</f>
        <v/>
      </c>
      <c r="P704" s="7">
        <f>'1 datos preparados'!O697</f>
        <v/>
      </c>
      <c r="Q704" s="7">
        <f>'1 datos preparados'!P697</f>
        <v/>
      </c>
      <c r="R704" s="7">
        <f>'1 datos preparados'!Q697</f>
        <v/>
      </c>
      <c r="S704" s="7">
        <f>'1 datos preparados'!R697</f>
        <v/>
      </c>
      <c r="T704" s="7">
        <f>'1 datos preparados'!S697</f>
        <v/>
      </c>
      <c r="U704" s="7">
        <f>'1 datos preparados'!T697</f>
        <v/>
      </c>
      <c r="V704" s="8">
        <f>$AE$12+D704*$AE$13+E704*$AE$14+F704*$AE$15+G704*$AE$16+H704*$AE$17+I704*$AE$18+J704*$AE$19+K704*$AE$20+L704*$AE$21+M704*$AE$22+N704*$AE$23+O704*$AE$24+P704*$AE$25+Q704*$AE$26+R704*$AE$27+S704*$AE$28+T704*$AE$29+U704*$AE$30</f>
        <v/>
      </c>
      <c r="W704" s="8">
        <f>1/(1+EXP(-V704))</f>
        <v/>
      </c>
      <c r="X704" s="9">
        <f>-IF(C704=1,LN(W704),LN(1-W704))</f>
        <v/>
      </c>
      <c r="Y704" s="8">
        <f>1</f>
        <v/>
      </c>
      <c r="Z704" s="9">
        <f>Y704*X704</f>
        <v/>
      </c>
      <c r="AA704" s="10">
        <f>IF(W704&gt;$AE$32,1,0)</f>
        <v/>
      </c>
      <c r="AB704">
        <f>IF(AA704=C704,1,0)</f>
        <v/>
      </c>
    </row>
    <row r="705">
      <c r="A705">
        <f>'1 datos preparados'!A698</f>
        <v/>
      </c>
      <c r="B705" s="5">
        <f>'1 datos preparados'!U698</f>
        <v/>
      </c>
      <c r="C705">
        <f>'1 datos preparados'!B698</f>
        <v/>
      </c>
      <c r="D705" s="7">
        <f>'1 datos preparados'!C698</f>
        <v/>
      </c>
      <c r="E705" s="7">
        <f>'1 datos preparados'!D698</f>
        <v/>
      </c>
      <c r="F705" s="7">
        <f>'1 datos preparados'!E698</f>
        <v/>
      </c>
      <c r="G705" s="7">
        <f>'1 datos preparados'!F698</f>
        <v/>
      </c>
      <c r="H705" s="7">
        <f>'1 datos preparados'!G698</f>
        <v/>
      </c>
      <c r="I705" s="7">
        <f>'1 datos preparados'!H698</f>
        <v/>
      </c>
      <c r="J705" s="7">
        <f>'1 datos preparados'!I698</f>
        <v/>
      </c>
      <c r="K705" s="7">
        <f>'1 datos preparados'!J698</f>
        <v/>
      </c>
      <c r="L705" s="7">
        <f>'1 datos preparados'!K698</f>
        <v/>
      </c>
      <c r="M705" s="7">
        <f>'1 datos preparados'!L698</f>
        <v/>
      </c>
      <c r="N705" s="7">
        <f>'1 datos preparados'!M698</f>
        <v/>
      </c>
      <c r="O705" s="7">
        <f>'1 datos preparados'!N698</f>
        <v/>
      </c>
      <c r="P705" s="7">
        <f>'1 datos preparados'!O698</f>
        <v/>
      </c>
      <c r="Q705" s="7">
        <f>'1 datos preparados'!P698</f>
        <v/>
      </c>
      <c r="R705" s="7">
        <f>'1 datos preparados'!Q698</f>
        <v/>
      </c>
      <c r="S705" s="7">
        <f>'1 datos preparados'!R698</f>
        <v/>
      </c>
      <c r="T705" s="7">
        <f>'1 datos preparados'!S698</f>
        <v/>
      </c>
      <c r="U705" s="7">
        <f>'1 datos preparados'!T698</f>
        <v/>
      </c>
      <c r="V705" s="8">
        <f>$AE$12+D705*$AE$13+E705*$AE$14+F705*$AE$15+G705*$AE$16+H705*$AE$17+I705*$AE$18+J705*$AE$19+K705*$AE$20+L705*$AE$21+M705*$AE$22+N705*$AE$23+O705*$AE$24+P705*$AE$25+Q705*$AE$26+R705*$AE$27+S705*$AE$28+T705*$AE$29+U705*$AE$30</f>
        <v/>
      </c>
      <c r="W705" s="8">
        <f>1/(1+EXP(-V705))</f>
        <v/>
      </c>
      <c r="X705" s="9">
        <f>-IF(C705=1,LN(W705),LN(1-W705))</f>
        <v/>
      </c>
      <c r="Y705" s="8">
        <f>1</f>
        <v/>
      </c>
      <c r="Z705" s="9">
        <f>Y705*X705</f>
        <v/>
      </c>
      <c r="AA705" s="10">
        <f>IF(W705&gt;$AE$32,1,0)</f>
        <v/>
      </c>
      <c r="AB705">
        <f>IF(AA705=C705,1,0)</f>
        <v/>
      </c>
    </row>
    <row r="706">
      <c r="A706">
        <f>'1 datos preparados'!A699</f>
        <v/>
      </c>
      <c r="B706" s="5">
        <f>'1 datos preparados'!U699</f>
        <v/>
      </c>
      <c r="C706">
        <f>'1 datos preparados'!B699</f>
        <v/>
      </c>
      <c r="D706" s="7">
        <f>'1 datos preparados'!C699</f>
        <v/>
      </c>
      <c r="E706" s="7">
        <f>'1 datos preparados'!D699</f>
        <v/>
      </c>
      <c r="F706" s="7">
        <f>'1 datos preparados'!E699</f>
        <v/>
      </c>
      <c r="G706" s="7">
        <f>'1 datos preparados'!F699</f>
        <v/>
      </c>
      <c r="H706" s="7">
        <f>'1 datos preparados'!G699</f>
        <v/>
      </c>
      <c r="I706" s="7">
        <f>'1 datos preparados'!H699</f>
        <v/>
      </c>
      <c r="J706" s="7">
        <f>'1 datos preparados'!I699</f>
        <v/>
      </c>
      <c r="K706" s="7">
        <f>'1 datos preparados'!J699</f>
        <v/>
      </c>
      <c r="L706" s="7">
        <f>'1 datos preparados'!K699</f>
        <v/>
      </c>
      <c r="M706" s="7">
        <f>'1 datos preparados'!L699</f>
        <v/>
      </c>
      <c r="N706" s="7">
        <f>'1 datos preparados'!M699</f>
        <v/>
      </c>
      <c r="O706" s="7">
        <f>'1 datos preparados'!N699</f>
        <v/>
      </c>
      <c r="P706" s="7">
        <f>'1 datos preparados'!O699</f>
        <v/>
      </c>
      <c r="Q706" s="7">
        <f>'1 datos preparados'!P699</f>
        <v/>
      </c>
      <c r="R706" s="7">
        <f>'1 datos preparados'!Q699</f>
        <v/>
      </c>
      <c r="S706" s="7">
        <f>'1 datos preparados'!R699</f>
        <v/>
      </c>
      <c r="T706" s="7">
        <f>'1 datos preparados'!S699</f>
        <v/>
      </c>
      <c r="U706" s="7">
        <f>'1 datos preparados'!T699</f>
        <v/>
      </c>
      <c r="V706" s="8">
        <f>$AE$12+D706*$AE$13+E706*$AE$14+F706*$AE$15+G706*$AE$16+H706*$AE$17+I706*$AE$18+J706*$AE$19+K706*$AE$20+L706*$AE$21+M706*$AE$22+N706*$AE$23+O706*$AE$24+P706*$AE$25+Q706*$AE$26+R706*$AE$27+S706*$AE$28+T706*$AE$29+U706*$AE$30</f>
        <v/>
      </c>
      <c r="W706" s="8">
        <f>1/(1+EXP(-V706))</f>
        <v/>
      </c>
      <c r="X706" s="9">
        <f>-IF(C706=1,LN(W706),LN(1-W706))</f>
        <v/>
      </c>
      <c r="Y706" s="8">
        <f>1</f>
        <v/>
      </c>
      <c r="Z706" s="9">
        <f>Y706*X706</f>
        <v/>
      </c>
      <c r="AA706" s="10">
        <f>IF(W706&gt;$AE$32,1,0)</f>
        <v/>
      </c>
      <c r="AB706">
        <f>IF(AA706=C706,1,0)</f>
        <v/>
      </c>
    </row>
    <row r="707">
      <c r="A707">
        <f>'1 datos preparados'!A700</f>
        <v/>
      </c>
      <c r="B707" s="5">
        <f>'1 datos preparados'!U700</f>
        <v/>
      </c>
      <c r="C707">
        <f>'1 datos preparados'!B700</f>
        <v/>
      </c>
      <c r="D707" s="7">
        <f>'1 datos preparados'!C700</f>
        <v/>
      </c>
      <c r="E707" s="7">
        <f>'1 datos preparados'!D700</f>
        <v/>
      </c>
      <c r="F707" s="7">
        <f>'1 datos preparados'!E700</f>
        <v/>
      </c>
      <c r="G707" s="7">
        <f>'1 datos preparados'!F700</f>
        <v/>
      </c>
      <c r="H707" s="7">
        <f>'1 datos preparados'!G700</f>
        <v/>
      </c>
      <c r="I707" s="7">
        <f>'1 datos preparados'!H700</f>
        <v/>
      </c>
      <c r="J707" s="7">
        <f>'1 datos preparados'!I700</f>
        <v/>
      </c>
      <c r="K707" s="7">
        <f>'1 datos preparados'!J700</f>
        <v/>
      </c>
      <c r="L707" s="7">
        <f>'1 datos preparados'!K700</f>
        <v/>
      </c>
      <c r="M707" s="7">
        <f>'1 datos preparados'!L700</f>
        <v/>
      </c>
      <c r="N707" s="7">
        <f>'1 datos preparados'!M700</f>
        <v/>
      </c>
      <c r="O707" s="7">
        <f>'1 datos preparados'!N700</f>
        <v/>
      </c>
      <c r="P707" s="7">
        <f>'1 datos preparados'!O700</f>
        <v/>
      </c>
      <c r="Q707" s="7">
        <f>'1 datos preparados'!P700</f>
        <v/>
      </c>
      <c r="R707" s="7">
        <f>'1 datos preparados'!Q700</f>
        <v/>
      </c>
      <c r="S707" s="7">
        <f>'1 datos preparados'!R700</f>
        <v/>
      </c>
      <c r="T707" s="7">
        <f>'1 datos preparados'!S700</f>
        <v/>
      </c>
      <c r="U707" s="7">
        <f>'1 datos preparados'!T700</f>
        <v/>
      </c>
      <c r="V707" s="8">
        <f>$AE$12+D707*$AE$13+E707*$AE$14+F707*$AE$15+G707*$AE$16+H707*$AE$17+I707*$AE$18+J707*$AE$19+K707*$AE$20+L707*$AE$21+M707*$AE$22+N707*$AE$23+O707*$AE$24+P707*$AE$25+Q707*$AE$26+R707*$AE$27+S707*$AE$28+T707*$AE$29+U707*$AE$30</f>
        <v/>
      </c>
      <c r="W707" s="8">
        <f>1/(1+EXP(-V707))</f>
        <v/>
      </c>
      <c r="X707" s="9">
        <f>-IF(C707=1,LN(W707),LN(1-W707))</f>
        <v/>
      </c>
      <c r="Y707" s="8">
        <f>1</f>
        <v/>
      </c>
      <c r="Z707" s="9">
        <f>Y707*X707</f>
        <v/>
      </c>
      <c r="AA707" s="10">
        <f>IF(W707&gt;$AE$32,1,0)</f>
        <v/>
      </c>
      <c r="AB707">
        <f>IF(AA707=C707,1,0)</f>
        <v/>
      </c>
    </row>
    <row r="708">
      <c r="A708">
        <f>'1 datos preparados'!A701</f>
        <v/>
      </c>
      <c r="B708" s="5">
        <f>'1 datos preparados'!U701</f>
        <v/>
      </c>
      <c r="C708">
        <f>'1 datos preparados'!B701</f>
        <v/>
      </c>
      <c r="D708" s="7">
        <f>'1 datos preparados'!C701</f>
        <v/>
      </c>
      <c r="E708" s="7">
        <f>'1 datos preparados'!D701</f>
        <v/>
      </c>
      <c r="F708" s="7">
        <f>'1 datos preparados'!E701</f>
        <v/>
      </c>
      <c r="G708" s="7">
        <f>'1 datos preparados'!F701</f>
        <v/>
      </c>
      <c r="H708" s="7">
        <f>'1 datos preparados'!G701</f>
        <v/>
      </c>
      <c r="I708" s="7">
        <f>'1 datos preparados'!H701</f>
        <v/>
      </c>
      <c r="J708" s="7">
        <f>'1 datos preparados'!I701</f>
        <v/>
      </c>
      <c r="K708" s="7">
        <f>'1 datos preparados'!J701</f>
        <v/>
      </c>
      <c r="L708" s="7">
        <f>'1 datos preparados'!K701</f>
        <v/>
      </c>
      <c r="M708" s="7">
        <f>'1 datos preparados'!L701</f>
        <v/>
      </c>
      <c r="N708" s="7">
        <f>'1 datos preparados'!M701</f>
        <v/>
      </c>
      <c r="O708" s="7">
        <f>'1 datos preparados'!N701</f>
        <v/>
      </c>
      <c r="P708" s="7">
        <f>'1 datos preparados'!O701</f>
        <v/>
      </c>
      <c r="Q708" s="7">
        <f>'1 datos preparados'!P701</f>
        <v/>
      </c>
      <c r="R708" s="7">
        <f>'1 datos preparados'!Q701</f>
        <v/>
      </c>
      <c r="S708" s="7">
        <f>'1 datos preparados'!R701</f>
        <v/>
      </c>
      <c r="T708" s="7">
        <f>'1 datos preparados'!S701</f>
        <v/>
      </c>
      <c r="U708" s="7">
        <f>'1 datos preparados'!T701</f>
        <v/>
      </c>
      <c r="V708" s="8">
        <f>$AE$12+D708*$AE$13+E708*$AE$14+F708*$AE$15+G708*$AE$16+H708*$AE$17+I708*$AE$18+J708*$AE$19+K708*$AE$20+L708*$AE$21+M708*$AE$22+N708*$AE$23+O708*$AE$24+P708*$AE$25+Q708*$AE$26+R708*$AE$27+S708*$AE$28+T708*$AE$29+U708*$AE$30</f>
        <v/>
      </c>
      <c r="W708" s="8">
        <f>1/(1+EXP(-V708))</f>
        <v/>
      </c>
      <c r="X708" s="9">
        <f>-IF(C708=1,LN(W708),LN(1-W708))</f>
        <v/>
      </c>
      <c r="Y708" s="8">
        <f>1</f>
        <v/>
      </c>
      <c r="Z708" s="9">
        <f>Y708*X708</f>
        <v/>
      </c>
      <c r="AA708" s="10">
        <f>IF(W708&gt;$AE$32,1,0)</f>
        <v/>
      </c>
      <c r="AB708">
        <f>IF(AA708=C708,1,0)</f>
        <v/>
      </c>
    </row>
    <row r="709">
      <c r="A709">
        <f>'1 datos preparados'!A702</f>
        <v/>
      </c>
      <c r="B709" s="5">
        <f>'1 datos preparados'!U702</f>
        <v/>
      </c>
      <c r="C709">
        <f>'1 datos preparados'!B702</f>
        <v/>
      </c>
      <c r="D709" s="7">
        <f>'1 datos preparados'!C702</f>
        <v/>
      </c>
      <c r="E709" s="7">
        <f>'1 datos preparados'!D702</f>
        <v/>
      </c>
      <c r="F709" s="7">
        <f>'1 datos preparados'!E702</f>
        <v/>
      </c>
      <c r="G709" s="7">
        <f>'1 datos preparados'!F702</f>
        <v/>
      </c>
      <c r="H709" s="7">
        <f>'1 datos preparados'!G702</f>
        <v/>
      </c>
      <c r="I709" s="7">
        <f>'1 datos preparados'!H702</f>
        <v/>
      </c>
      <c r="J709" s="7">
        <f>'1 datos preparados'!I702</f>
        <v/>
      </c>
      <c r="K709" s="7">
        <f>'1 datos preparados'!J702</f>
        <v/>
      </c>
      <c r="L709" s="7">
        <f>'1 datos preparados'!K702</f>
        <v/>
      </c>
      <c r="M709" s="7">
        <f>'1 datos preparados'!L702</f>
        <v/>
      </c>
      <c r="N709" s="7">
        <f>'1 datos preparados'!M702</f>
        <v/>
      </c>
      <c r="O709" s="7">
        <f>'1 datos preparados'!N702</f>
        <v/>
      </c>
      <c r="P709" s="7">
        <f>'1 datos preparados'!O702</f>
        <v/>
      </c>
      <c r="Q709" s="7">
        <f>'1 datos preparados'!P702</f>
        <v/>
      </c>
      <c r="R709" s="7">
        <f>'1 datos preparados'!Q702</f>
        <v/>
      </c>
      <c r="S709" s="7">
        <f>'1 datos preparados'!R702</f>
        <v/>
      </c>
      <c r="T709" s="7">
        <f>'1 datos preparados'!S702</f>
        <v/>
      </c>
      <c r="U709" s="7">
        <f>'1 datos preparados'!T702</f>
        <v/>
      </c>
      <c r="V709" s="8">
        <f>$AE$12+D709*$AE$13+E709*$AE$14+F709*$AE$15+G709*$AE$16+H709*$AE$17+I709*$AE$18+J709*$AE$19+K709*$AE$20+L709*$AE$21+M709*$AE$22+N709*$AE$23+O709*$AE$24+P709*$AE$25+Q709*$AE$26+R709*$AE$27+S709*$AE$28+T709*$AE$29+U709*$AE$30</f>
        <v/>
      </c>
      <c r="W709" s="8">
        <f>1/(1+EXP(-V709))</f>
        <v/>
      </c>
      <c r="X709" s="9">
        <f>-IF(C709=1,LN(W709),LN(1-W709))</f>
        <v/>
      </c>
      <c r="Y709" s="8">
        <f>1</f>
        <v/>
      </c>
      <c r="Z709" s="9">
        <f>Y709*X709</f>
        <v/>
      </c>
      <c r="AA709" s="10">
        <f>IF(W709&gt;$AE$32,1,0)</f>
        <v/>
      </c>
      <c r="AB709">
        <f>IF(AA709=C709,1,0)</f>
        <v/>
      </c>
    </row>
    <row r="710">
      <c r="A710">
        <f>'1 datos preparados'!A703</f>
        <v/>
      </c>
      <c r="B710" s="5">
        <f>'1 datos preparados'!U703</f>
        <v/>
      </c>
      <c r="C710">
        <f>'1 datos preparados'!B703</f>
        <v/>
      </c>
      <c r="D710" s="7">
        <f>'1 datos preparados'!C703</f>
        <v/>
      </c>
      <c r="E710" s="7">
        <f>'1 datos preparados'!D703</f>
        <v/>
      </c>
      <c r="F710" s="7">
        <f>'1 datos preparados'!E703</f>
        <v/>
      </c>
      <c r="G710" s="7">
        <f>'1 datos preparados'!F703</f>
        <v/>
      </c>
      <c r="H710" s="7">
        <f>'1 datos preparados'!G703</f>
        <v/>
      </c>
      <c r="I710" s="7">
        <f>'1 datos preparados'!H703</f>
        <v/>
      </c>
      <c r="J710" s="7">
        <f>'1 datos preparados'!I703</f>
        <v/>
      </c>
      <c r="K710" s="7">
        <f>'1 datos preparados'!J703</f>
        <v/>
      </c>
      <c r="L710" s="7">
        <f>'1 datos preparados'!K703</f>
        <v/>
      </c>
      <c r="M710" s="7">
        <f>'1 datos preparados'!L703</f>
        <v/>
      </c>
      <c r="N710" s="7">
        <f>'1 datos preparados'!M703</f>
        <v/>
      </c>
      <c r="O710" s="7">
        <f>'1 datos preparados'!N703</f>
        <v/>
      </c>
      <c r="P710" s="7">
        <f>'1 datos preparados'!O703</f>
        <v/>
      </c>
      <c r="Q710" s="7">
        <f>'1 datos preparados'!P703</f>
        <v/>
      </c>
      <c r="R710" s="7">
        <f>'1 datos preparados'!Q703</f>
        <v/>
      </c>
      <c r="S710" s="7">
        <f>'1 datos preparados'!R703</f>
        <v/>
      </c>
      <c r="T710" s="7">
        <f>'1 datos preparados'!S703</f>
        <v/>
      </c>
      <c r="U710" s="7">
        <f>'1 datos preparados'!T703</f>
        <v/>
      </c>
      <c r="V710" s="8">
        <f>$AE$12+D710*$AE$13+E710*$AE$14+F710*$AE$15+G710*$AE$16+H710*$AE$17+I710*$AE$18+J710*$AE$19+K710*$AE$20+L710*$AE$21+M710*$AE$22+N710*$AE$23+O710*$AE$24+P710*$AE$25+Q710*$AE$26+R710*$AE$27+S710*$AE$28+T710*$AE$29+U710*$AE$30</f>
        <v/>
      </c>
      <c r="W710" s="8">
        <f>1/(1+EXP(-V710))</f>
        <v/>
      </c>
      <c r="X710" s="9">
        <f>-IF(C710=1,LN(W710),LN(1-W710))</f>
        <v/>
      </c>
      <c r="Y710" s="8">
        <f>1</f>
        <v/>
      </c>
      <c r="Z710" s="9">
        <f>Y710*X710</f>
        <v/>
      </c>
      <c r="AA710" s="10">
        <f>IF(W710&gt;$AE$32,1,0)</f>
        <v/>
      </c>
      <c r="AB710">
        <f>IF(AA710=C710,1,0)</f>
        <v/>
      </c>
    </row>
    <row r="711">
      <c r="A711">
        <f>'1 datos preparados'!A704</f>
        <v/>
      </c>
      <c r="B711" s="5">
        <f>'1 datos preparados'!U704</f>
        <v/>
      </c>
      <c r="C711">
        <f>'1 datos preparados'!B704</f>
        <v/>
      </c>
      <c r="D711" s="7">
        <f>'1 datos preparados'!C704</f>
        <v/>
      </c>
      <c r="E711" s="7">
        <f>'1 datos preparados'!D704</f>
        <v/>
      </c>
      <c r="F711" s="7">
        <f>'1 datos preparados'!E704</f>
        <v/>
      </c>
      <c r="G711" s="7">
        <f>'1 datos preparados'!F704</f>
        <v/>
      </c>
      <c r="H711" s="7">
        <f>'1 datos preparados'!G704</f>
        <v/>
      </c>
      <c r="I711" s="7">
        <f>'1 datos preparados'!H704</f>
        <v/>
      </c>
      <c r="J711" s="7">
        <f>'1 datos preparados'!I704</f>
        <v/>
      </c>
      <c r="K711" s="7">
        <f>'1 datos preparados'!J704</f>
        <v/>
      </c>
      <c r="L711" s="7">
        <f>'1 datos preparados'!K704</f>
        <v/>
      </c>
      <c r="M711" s="7">
        <f>'1 datos preparados'!L704</f>
        <v/>
      </c>
      <c r="N711" s="7">
        <f>'1 datos preparados'!M704</f>
        <v/>
      </c>
      <c r="O711" s="7">
        <f>'1 datos preparados'!N704</f>
        <v/>
      </c>
      <c r="P711" s="7">
        <f>'1 datos preparados'!O704</f>
        <v/>
      </c>
      <c r="Q711" s="7">
        <f>'1 datos preparados'!P704</f>
        <v/>
      </c>
      <c r="R711" s="7">
        <f>'1 datos preparados'!Q704</f>
        <v/>
      </c>
      <c r="S711" s="7">
        <f>'1 datos preparados'!R704</f>
        <v/>
      </c>
      <c r="T711" s="7">
        <f>'1 datos preparados'!S704</f>
        <v/>
      </c>
      <c r="U711" s="7">
        <f>'1 datos preparados'!T704</f>
        <v/>
      </c>
      <c r="V711" s="8">
        <f>$AE$12+D711*$AE$13+E711*$AE$14+F711*$AE$15+G711*$AE$16+H711*$AE$17+I711*$AE$18+J711*$AE$19+K711*$AE$20+L711*$AE$21+M711*$AE$22+N711*$AE$23+O711*$AE$24+P711*$AE$25+Q711*$AE$26+R711*$AE$27+S711*$AE$28+T711*$AE$29+U711*$AE$30</f>
        <v/>
      </c>
      <c r="W711" s="8">
        <f>1/(1+EXP(-V711))</f>
        <v/>
      </c>
      <c r="X711" s="9">
        <f>-IF(C711=1,LN(W711),LN(1-W711))</f>
        <v/>
      </c>
      <c r="Y711" s="8">
        <f>1</f>
        <v/>
      </c>
      <c r="Z711" s="9">
        <f>Y711*X711</f>
        <v/>
      </c>
      <c r="AA711" s="10">
        <f>IF(W711&gt;$AE$32,1,0)</f>
        <v/>
      </c>
      <c r="AB711">
        <f>IF(AA711=C711,1,0)</f>
        <v/>
      </c>
    </row>
    <row r="712">
      <c r="A712">
        <f>'1 datos preparados'!A705</f>
        <v/>
      </c>
      <c r="B712" s="5">
        <f>'1 datos preparados'!U705</f>
        <v/>
      </c>
      <c r="C712">
        <f>'1 datos preparados'!B705</f>
        <v/>
      </c>
      <c r="D712" s="7">
        <f>'1 datos preparados'!C705</f>
        <v/>
      </c>
      <c r="E712" s="7">
        <f>'1 datos preparados'!D705</f>
        <v/>
      </c>
      <c r="F712" s="7">
        <f>'1 datos preparados'!E705</f>
        <v/>
      </c>
      <c r="G712" s="7">
        <f>'1 datos preparados'!F705</f>
        <v/>
      </c>
      <c r="H712" s="7">
        <f>'1 datos preparados'!G705</f>
        <v/>
      </c>
      <c r="I712" s="7">
        <f>'1 datos preparados'!H705</f>
        <v/>
      </c>
      <c r="J712" s="7">
        <f>'1 datos preparados'!I705</f>
        <v/>
      </c>
      <c r="K712" s="7">
        <f>'1 datos preparados'!J705</f>
        <v/>
      </c>
      <c r="L712" s="7">
        <f>'1 datos preparados'!K705</f>
        <v/>
      </c>
      <c r="M712" s="7">
        <f>'1 datos preparados'!L705</f>
        <v/>
      </c>
      <c r="N712" s="7">
        <f>'1 datos preparados'!M705</f>
        <v/>
      </c>
      <c r="O712" s="7">
        <f>'1 datos preparados'!N705</f>
        <v/>
      </c>
      <c r="P712" s="7">
        <f>'1 datos preparados'!O705</f>
        <v/>
      </c>
      <c r="Q712" s="7">
        <f>'1 datos preparados'!P705</f>
        <v/>
      </c>
      <c r="R712" s="7">
        <f>'1 datos preparados'!Q705</f>
        <v/>
      </c>
      <c r="S712" s="7">
        <f>'1 datos preparados'!R705</f>
        <v/>
      </c>
      <c r="T712" s="7">
        <f>'1 datos preparados'!S705</f>
        <v/>
      </c>
      <c r="U712" s="7">
        <f>'1 datos preparados'!T705</f>
        <v/>
      </c>
      <c r="V712" s="8">
        <f>$AE$12+D712*$AE$13+E712*$AE$14+F712*$AE$15+G712*$AE$16+H712*$AE$17+I712*$AE$18+J712*$AE$19+K712*$AE$20+L712*$AE$21+M712*$AE$22+N712*$AE$23+O712*$AE$24+P712*$AE$25+Q712*$AE$26+R712*$AE$27+S712*$AE$28+T712*$AE$29+U712*$AE$30</f>
        <v/>
      </c>
      <c r="W712" s="8">
        <f>1/(1+EXP(-V712))</f>
        <v/>
      </c>
      <c r="X712" s="9">
        <f>-IF(C712=1,LN(W712),LN(1-W712))</f>
        <v/>
      </c>
      <c r="Y712" s="8">
        <f>1</f>
        <v/>
      </c>
      <c r="Z712" s="9">
        <f>Y712*X712</f>
        <v/>
      </c>
      <c r="AA712" s="10">
        <f>IF(W712&gt;$AE$32,1,0)</f>
        <v/>
      </c>
      <c r="AB712">
        <f>IF(AA712=C712,1,0)</f>
        <v/>
      </c>
    </row>
    <row r="713">
      <c r="A713">
        <f>'1 datos preparados'!A706</f>
        <v/>
      </c>
      <c r="B713" s="5">
        <f>'1 datos preparados'!U706</f>
        <v/>
      </c>
      <c r="C713">
        <f>'1 datos preparados'!B706</f>
        <v/>
      </c>
      <c r="D713" s="7">
        <f>'1 datos preparados'!C706</f>
        <v/>
      </c>
      <c r="E713" s="7">
        <f>'1 datos preparados'!D706</f>
        <v/>
      </c>
      <c r="F713" s="7">
        <f>'1 datos preparados'!E706</f>
        <v/>
      </c>
      <c r="G713" s="7">
        <f>'1 datos preparados'!F706</f>
        <v/>
      </c>
      <c r="H713" s="7">
        <f>'1 datos preparados'!G706</f>
        <v/>
      </c>
      <c r="I713" s="7">
        <f>'1 datos preparados'!H706</f>
        <v/>
      </c>
      <c r="J713" s="7">
        <f>'1 datos preparados'!I706</f>
        <v/>
      </c>
      <c r="K713" s="7">
        <f>'1 datos preparados'!J706</f>
        <v/>
      </c>
      <c r="L713" s="7">
        <f>'1 datos preparados'!K706</f>
        <v/>
      </c>
      <c r="M713" s="7">
        <f>'1 datos preparados'!L706</f>
        <v/>
      </c>
      <c r="N713" s="7">
        <f>'1 datos preparados'!M706</f>
        <v/>
      </c>
      <c r="O713" s="7">
        <f>'1 datos preparados'!N706</f>
        <v/>
      </c>
      <c r="P713" s="7">
        <f>'1 datos preparados'!O706</f>
        <v/>
      </c>
      <c r="Q713" s="7">
        <f>'1 datos preparados'!P706</f>
        <v/>
      </c>
      <c r="R713" s="7">
        <f>'1 datos preparados'!Q706</f>
        <v/>
      </c>
      <c r="S713" s="7">
        <f>'1 datos preparados'!R706</f>
        <v/>
      </c>
      <c r="T713" s="7">
        <f>'1 datos preparados'!S706</f>
        <v/>
      </c>
      <c r="U713" s="7">
        <f>'1 datos preparados'!T706</f>
        <v/>
      </c>
      <c r="V713" s="8">
        <f>$AE$12+D713*$AE$13+E713*$AE$14+F713*$AE$15+G713*$AE$16+H713*$AE$17+I713*$AE$18+J713*$AE$19+K713*$AE$20+L713*$AE$21+M713*$AE$22+N713*$AE$23+O713*$AE$24+P713*$AE$25+Q713*$AE$26+R713*$AE$27+S713*$AE$28+T713*$AE$29+U713*$AE$30</f>
        <v/>
      </c>
      <c r="W713" s="8">
        <f>1/(1+EXP(-V713))</f>
        <v/>
      </c>
      <c r="X713" s="9">
        <f>-IF(C713=1,LN(W713),LN(1-W713))</f>
        <v/>
      </c>
      <c r="Y713" s="8">
        <f>1</f>
        <v/>
      </c>
      <c r="Z713" s="9">
        <f>Y713*X713</f>
        <v/>
      </c>
      <c r="AA713" s="10">
        <f>IF(W713&gt;$AE$32,1,0)</f>
        <v/>
      </c>
      <c r="AB713">
        <f>IF(AA713=C713,1,0)</f>
        <v/>
      </c>
    </row>
    <row r="714">
      <c r="A714">
        <f>'1 datos preparados'!A707</f>
        <v/>
      </c>
      <c r="B714" s="5">
        <f>'1 datos preparados'!U707</f>
        <v/>
      </c>
      <c r="C714">
        <f>'1 datos preparados'!B707</f>
        <v/>
      </c>
      <c r="D714" s="7">
        <f>'1 datos preparados'!C707</f>
        <v/>
      </c>
      <c r="E714" s="7">
        <f>'1 datos preparados'!D707</f>
        <v/>
      </c>
      <c r="F714" s="7">
        <f>'1 datos preparados'!E707</f>
        <v/>
      </c>
      <c r="G714" s="7">
        <f>'1 datos preparados'!F707</f>
        <v/>
      </c>
      <c r="H714" s="7">
        <f>'1 datos preparados'!G707</f>
        <v/>
      </c>
      <c r="I714" s="7">
        <f>'1 datos preparados'!H707</f>
        <v/>
      </c>
      <c r="J714" s="7">
        <f>'1 datos preparados'!I707</f>
        <v/>
      </c>
      <c r="K714" s="7">
        <f>'1 datos preparados'!J707</f>
        <v/>
      </c>
      <c r="L714" s="7">
        <f>'1 datos preparados'!K707</f>
        <v/>
      </c>
      <c r="M714" s="7">
        <f>'1 datos preparados'!L707</f>
        <v/>
      </c>
      <c r="N714" s="7">
        <f>'1 datos preparados'!M707</f>
        <v/>
      </c>
      <c r="O714" s="7">
        <f>'1 datos preparados'!N707</f>
        <v/>
      </c>
      <c r="P714" s="7">
        <f>'1 datos preparados'!O707</f>
        <v/>
      </c>
      <c r="Q714" s="7">
        <f>'1 datos preparados'!P707</f>
        <v/>
      </c>
      <c r="R714" s="7">
        <f>'1 datos preparados'!Q707</f>
        <v/>
      </c>
      <c r="S714" s="7">
        <f>'1 datos preparados'!R707</f>
        <v/>
      </c>
      <c r="T714" s="7">
        <f>'1 datos preparados'!S707</f>
        <v/>
      </c>
      <c r="U714" s="7">
        <f>'1 datos preparados'!T707</f>
        <v/>
      </c>
      <c r="V714" s="8">
        <f>$AE$12+D714*$AE$13+E714*$AE$14+F714*$AE$15+G714*$AE$16+H714*$AE$17+I714*$AE$18+J714*$AE$19+K714*$AE$20+L714*$AE$21+M714*$AE$22+N714*$AE$23+O714*$AE$24+P714*$AE$25+Q714*$AE$26+R714*$AE$27+S714*$AE$28+T714*$AE$29+U714*$AE$30</f>
        <v/>
      </c>
      <c r="W714" s="8">
        <f>1/(1+EXP(-V714))</f>
        <v/>
      </c>
      <c r="X714" s="9">
        <f>-IF(C714=1,LN(W714),LN(1-W714))</f>
        <v/>
      </c>
      <c r="Y714" s="8">
        <f>1</f>
        <v/>
      </c>
      <c r="Z714" s="9">
        <f>Y714*X714</f>
        <v/>
      </c>
      <c r="AA714" s="10">
        <f>IF(W714&gt;$AE$32,1,0)</f>
        <v/>
      </c>
      <c r="AB714">
        <f>IF(AA714=C714,1,0)</f>
        <v/>
      </c>
    </row>
    <row r="715">
      <c r="A715">
        <f>'1 datos preparados'!A708</f>
        <v/>
      </c>
      <c r="B715" s="5">
        <f>'1 datos preparados'!U708</f>
        <v/>
      </c>
      <c r="C715">
        <f>'1 datos preparados'!B708</f>
        <v/>
      </c>
      <c r="D715" s="7">
        <f>'1 datos preparados'!C708</f>
        <v/>
      </c>
      <c r="E715" s="7">
        <f>'1 datos preparados'!D708</f>
        <v/>
      </c>
      <c r="F715" s="7">
        <f>'1 datos preparados'!E708</f>
        <v/>
      </c>
      <c r="G715" s="7">
        <f>'1 datos preparados'!F708</f>
        <v/>
      </c>
      <c r="H715" s="7">
        <f>'1 datos preparados'!G708</f>
        <v/>
      </c>
      <c r="I715" s="7">
        <f>'1 datos preparados'!H708</f>
        <v/>
      </c>
      <c r="J715" s="7">
        <f>'1 datos preparados'!I708</f>
        <v/>
      </c>
      <c r="K715" s="7">
        <f>'1 datos preparados'!J708</f>
        <v/>
      </c>
      <c r="L715" s="7">
        <f>'1 datos preparados'!K708</f>
        <v/>
      </c>
      <c r="M715" s="7">
        <f>'1 datos preparados'!L708</f>
        <v/>
      </c>
      <c r="N715" s="7">
        <f>'1 datos preparados'!M708</f>
        <v/>
      </c>
      <c r="O715" s="7">
        <f>'1 datos preparados'!N708</f>
        <v/>
      </c>
      <c r="P715" s="7">
        <f>'1 datos preparados'!O708</f>
        <v/>
      </c>
      <c r="Q715" s="7">
        <f>'1 datos preparados'!P708</f>
        <v/>
      </c>
      <c r="R715" s="7">
        <f>'1 datos preparados'!Q708</f>
        <v/>
      </c>
      <c r="S715" s="7">
        <f>'1 datos preparados'!R708</f>
        <v/>
      </c>
      <c r="T715" s="7">
        <f>'1 datos preparados'!S708</f>
        <v/>
      </c>
      <c r="U715" s="7">
        <f>'1 datos preparados'!T708</f>
        <v/>
      </c>
      <c r="V715" s="8">
        <f>$AE$12+D715*$AE$13+E715*$AE$14+F715*$AE$15+G715*$AE$16+H715*$AE$17+I715*$AE$18+J715*$AE$19+K715*$AE$20+L715*$AE$21+M715*$AE$22+N715*$AE$23+O715*$AE$24+P715*$AE$25+Q715*$AE$26+R715*$AE$27+S715*$AE$28+T715*$AE$29+U715*$AE$30</f>
        <v/>
      </c>
      <c r="W715" s="8">
        <f>1/(1+EXP(-V715))</f>
        <v/>
      </c>
      <c r="X715" s="9">
        <f>-IF(C715=1,LN(W715),LN(1-W715))</f>
        <v/>
      </c>
      <c r="Y715" s="8">
        <f>1</f>
        <v/>
      </c>
      <c r="Z715" s="9">
        <f>Y715*X715</f>
        <v/>
      </c>
      <c r="AA715" s="10">
        <f>IF(W715&gt;$AE$32,1,0)</f>
        <v/>
      </c>
      <c r="AB715">
        <f>IF(AA715=C715,1,0)</f>
        <v/>
      </c>
    </row>
    <row r="716">
      <c r="A716">
        <f>'1 datos preparados'!A709</f>
        <v/>
      </c>
      <c r="B716" s="5">
        <f>'1 datos preparados'!U709</f>
        <v/>
      </c>
      <c r="C716">
        <f>'1 datos preparados'!B709</f>
        <v/>
      </c>
      <c r="D716" s="7">
        <f>'1 datos preparados'!C709</f>
        <v/>
      </c>
      <c r="E716" s="7">
        <f>'1 datos preparados'!D709</f>
        <v/>
      </c>
      <c r="F716" s="7">
        <f>'1 datos preparados'!E709</f>
        <v/>
      </c>
      <c r="G716" s="7">
        <f>'1 datos preparados'!F709</f>
        <v/>
      </c>
      <c r="H716" s="7">
        <f>'1 datos preparados'!G709</f>
        <v/>
      </c>
      <c r="I716" s="7">
        <f>'1 datos preparados'!H709</f>
        <v/>
      </c>
      <c r="J716" s="7">
        <f>'1 datos preparados'!I709</f>
        <v/>
      </c>
      <c r="K716" s="7">
        <f>'1 datos preparados'!J709</f>
        <v/>
      </c>
      <c r="L716" s="7">
        <f>'1 datos preparados'!K709</f>
        <v/>
      </c>
      <c r="M716" s="7">
        <f>'1 datos preparados'!L709</f>
        <v/>
      </c>
      <c r="N716" s="7">
        <f>'1 datos preparados'!M709</f>
        <v/>
      </c>
      <c r="O716" s="7">
        <f>'1 datos preparados'!N709</f>
        <v/>
      </c>
      <c r="P716" s="7">
        <f>'1 datos preparados'!O709</f>
        <v/>
      </c>
      <c r="Q716" s="7">
        <f>'1 datos preparados'!P709</f>
        <v/>
      </c>
      <c r="R716" s="7">
        <f>'1 datos preparados'!Q709</f>
        <v/>
      </c>
      <c r="S716" s="7">
        <f>'1 datos preparados'!R709</f>
        <v/>
      </c>
      <c r="T716" s="7">
        <f>'1 datos preparados'!S709</f>
        <v/>
      </c>
      <c r="U716" s="7">
        <f>'1 datos preparados'!T709</f>
        <v/>
      </c>
      <c r="V716" s="8">
        <f>$AE$12+D716*$AE$13+E716*$AE$14+F716*$AE$15+G716*$AE$16+H716*$AE$17+I716*$AE$18+J716*$AE$19+K716*$AE$20+L716*$AE$21+M716*$AE$22+N716*$AE$23+O716*$AE$24+P716*$AE$25+Q716*$AE$26+R716*$AE$27+S716*$AE$28+T716*$AE$29+U716*$AE$30</f>
        <v/>
      </c>
      <c r="W716" s="8">
        <f>1/(1+EXP(-V716))</f>
        <v/>
      </c>
      <c r="X716" s="9">
        <f>-IF(C716=1,LN(W716),LN(1-W716))</f>
        <v/>
      </c>
      <c r="Y716" s="8">
        <f>1</f>
        <v/>
      </c>
      <c r="Z716" s="9">
        <f>Y716*X716</f>
        <v/>
      </c>
      <c r="AA716" s="10">
        <f>IF(W716&gt;$AE$32,1,0)</f>
        <v/>
      </c>
      <c r="AB716">
        <f>IF(AA716=C716,1,0)</f>
        <v/>
      </c>
    </row>
    <row r="717">
      <c r="A717">
        <f>'1 datos preparados'!A710</f>
        <v/>
      </c>
      <c r="B717" s="5">
        <f>'1 datos preparados'!U710</f>
        <v/>
      </c>
      <c r="C717">
        <f>'1 datos preparados'!B710</f>
        <v/>
      </c>
      <c r="D717" s="7">
        <f>'1 datos preparados'!C710</f>
        <v/>
      </c>
      <c r="E717" s="7">
        <f>'1 datos preparados'!D710</f>
        <v/>
      </c>
      <c r="F717" s="7">
        <f>'1 datos preparados'!E710</f>
        <v/>
      </c>
      <c r="G717" s="7">
        <f>'1 datos preparados'!F710</f>
        <v/>
      </c>
      <c r="H717" s="7">
        <f>'1 datos preparados'!G710</f>
        <v/>
      </c>
      <c r="I717" s="7">
        <f>'1 datos preparados'!H710</f>
        <v/>
      </c>
      <c r="J717" s="7">
        <f>'1 datos preparados'!I710</f>
        <v/>
      </c>
      <c r="K717" s="7">
        <f>'1 datos preparados'!J710</f>
        <v/>
      </c>
      <c r="L717" s="7">
        <f>'1 datos preparados'!K710</f>
        <v/>
      </c>
      <c r="M717" s="7">
        <f>'1 datos preparados'!L710</f>
        <v/>
      </c>
      <c r="N717" s="7">
        <f>'1 datos preparados'!M710</f>
        <v/>
      </c>
      <c r="O717" s="7">
        <f>'1 datos preparados'!N710</f>
        <v/>
      </c>
      <c r="P717" s="7">
        <f>'1 datos preparados'!O710</f>
        <v/>
      </c>
      <c r="Q717" s="7">
        <f>'1 datos preparados'!P710</f>
        <v/>
      </c>
      <c r="R717" s="7">
        <f>'1 datos preparados'!Q710</f>
        <v/>
      </c>
      <c r="S717" s="7">
        <f>'1 datos preparados'!R710</f>
        <v/>
      </c>
      <c r="T717" s="7">
        <f>'1 datos preparados'!S710</f>
        <v/>
      </c>
      <c r="U717" s="7">
        <f>'1 datos preparados'!T710</f>
        <v/>
      </c>
      <c r="V717" s="8">
        <f>$AE$12+D717*$AE$13+E717*$AE$14+F717*$AE$15+G717*$AE$16+H717*$AE$17+I717*$AE$18+J717*$AE$19+K717*$AE$20+L717*$AE$21+M717*$AE$22+N717*$AE$23+O717*$AE$24+P717*$AE$25+Q717*$AE$26+R717*$AE$27+S717*$AE$28+T717*$AE$29+U717*$AE$30</f>
        <v/>
      </c>
      <c r="W717" s="8">
        <f>1/(1+EXP(-V717))</f>
        <v/>
      </c>
      <c r="X717" s="9">
        <f>-IF(C717=1,LN(W717),LN(1-W717))</f>
        <v/>
      </c>
      <c r="Y717" s="8">
        <f>1</f>
        <v/>
      </c>
      <c r="Z717" s="9">
        <f>Y717*X717</f>
        <v/>
      </c>
      <c r="AA717" s="10">
        <f>IF(W717&gt;$AE$32,1,0)</f>
        <v/>
      </c>
      <c r="AB717">
        <f>IF(AA717=C717,1,0)</f>
        <v/>
      </c>
    </row>
    <row r="718">
      <c r="A718">
        <f>'1 datos preparados'!A711</f>
        <v/>
      </c>
      <c r="B718" s="5">
        <f>'1 datos preparados'!U711</f>
        <v/>
      </c>
      <c r="C718">
        <f>'1 datos preparados'!B711</f>
        <v/>
      </c>
      <c r="D718" s="7">
        <f>'1 datos preparados'!C711</f>
        <v/>
      </c>
      <c r="E718" s="7">
        <f>'1 datos preparados'!D711</f>
        <v/>
      </c>
      <c r="F718" s="7">
        <f>'1 datos preparados'!E711</f>
        <v/>
      </c>
      <c r="G718" s="7">
        <f>'1 datos preparados'!F711</f>
        <v/>
      </c>
      <c r="H718" s="7">
        <f>'1 datos preparados'!G711</f>
        <v/>
      </c>
      <c r="I718" s="7">
        <f>'1 datos preparados'!H711</f>
        <v/>
      </c>
      <c r="J718" s="7">
        <f>'1 datos preparados'!I711</f>
        <v/>
      </c>
      <c r="K718" s="7">
        <f>'1 datos preparados'!J711</f>
        <v/>
      </c>
      <c r="L718" s="7">
        <f>'1 datos preparados'!K711</f>
        <v/>
      </c>
      <c r="M718" s="7">
        <f>'1 datos preparados'!L711</f>
        <v/>
      </c>
      <c r="N718" s="7">
        <f>'1 datos preparados'!M711</f>
        <v/>
      </c>
      <c r="O718" s="7">
        <f>'1 datos preparados'!N711</f>
        <v/>
      </c>
      <c r="P718" s="7">
        <f>'1 datos preparados'!O711</f>
        <v/>
      </c>
      <c r="Q718" s="7">
        <f>'1 datos preparados'!P711</f>
        <v/>
      </c>
      <c r="R718" s="7">
        <f>'1 datos preparados'!Q711</f>
        <v/>
      </c>
      <c r="S718" s="7">
        <f>'1 datos preparados'!R711</f>
        <v/>
      </c>
      <c r="T718" s="7">
        <f>'1 datos preparados'!S711</f>
        <v/>
      </c>
      <c r="U718" s="7">
        <f>'1 datos preparados'!T711</f>
        <v/>
      </c>
      <c r="V718" s="8">
        <f>$AE$12+D718*$AE$13+E718*$AE$14+F718*$AE$15+G718*$AE$16+H718*$AE$17+I718*$AE$18+J718*$AE$19+K718*$AE$20+L718*$AE$21+M718*$AE$22+N718*$AE$23+O718*$AE$24+P718*$AE$25+Q718*$AE$26+R718*$AE$27+S718*$AE$28+T718*$AE$29+U718*$AE$30</f>
        <v/>
      </c>
      <c r="W718" s="8">
        <f>1/(1+EXP(-V718))</f>
        <v/>
      </c>
      <c r="X718" s="9">
        <f>-IF(C718=1,LN(W718),LN(1-W718))</f>
        <v/>
      </c>
      <c r="Y718" s="8">
        <f>1</f>
        <v/>
      </c>
      <c r="Z718" s="9">
        <f>Y718*X718</f>
        <v/>
      </c>
      <c r="AA718" s="10">
        <f>IF(W718&gt;$AE$32,1,0)</f>
        <v/>
      </c>
      <c r="AB718">
        <f>IF(AA718=C718,1,0)</f>
        <v/>
      </c>
    </row>
    <row r="719">
      <c r="A719">
        <f>'1 datos preparados'!A712</f>
        <v/>
      </c>
      <c r="B719" s="5">
        <f>'1 datos preparados'!U712</f>
        <v/>
      </c>
      <c r="C719">
        <f>'1 datos preparados'!B712</f>
        <v/>
      </c>
      <c r="D719" s="7">
        <f>'1 datos preparados'!C712</f>
        <v/>
      </c>
      <c r="E719" s="7">
        <f>'1 datos preparados'!D712</f>
        <v/>
      </c>
      <c r="F719" s="7">
        <f>'1 datos preparados'!E712</f>
        <v/>
      </c>
      <c r="G719" s="7">
        <f>'1 datos preparados'!F712</f>
        <v/>
      </c>
      <c r="H719" s="7">
        <f>'1 datos preparados'!G712</f>
        <v/>
      </c>
      <c r="I719" s="7">
        <f>'1 datos preparados'!H712</f>
        <v/>
      </c>
      <c r="J719" s="7">
        <f>'1 datos preparados'!I712</f>
        <v/>
      </c>
      <c r="K719" s="7">
        <f>'1 datos preparados'!J712</f>
        <v/>
      </c>
      <c r="L719" s="7">
        <f>'1 datos preparados'!K712</f>
        <v/>
      </c>
      <c r="M719" s="7">
        <f>'1 datos preparados'!L712</f>
        <v/>
      </c>
      <c r="N719" s="7">
        <f>'1 datos preparados'!M712</f>
        <v/>
      </c>
      <c r="O719" s="7">
        <f>'1 datos preparados'!N712</f>
        <v/>
      </c>
      <c r="P719" s="7">
        <f>'1 datos preparados'!O712</f>
        <v/>
      </c>
      <c r="Q719" s="7">
        <f>'1 datos preparados'!P712</f>
        <v/>
      </c>
      <c r="R719" s="7">
        <f>'1 datos preparados'!Q712</f>
        <v/>
      </c>
      <c r="S719" s="7">
        <f>'1 datos preparados'!R712</f>
        <v/>
      </c>
      <c r="T719" s="7">
        <f>'1 datos preparados'!S712</f>
        <v/>
      </c>
      <c r="U719" s="7">
        <f>'1 datos preparados'!T712</f>
        <v/>
      </c>
      <c r="V719" s="8">
        <f>$AE$12+D719*$AE$13+E719*$AE$14+F719*$AE$15+G719*$AE$16+H719*$AE$17+I719*$AE$18+J719*$AE$19+K719*$AE$20+L719*$AE$21+M719*$AE$22+N719*$AE$23+O719*$AE$24+P719*$AE$25+Q719*$AE$26+R719*$AE$27+S719*$AE$28+T719*$AE$29+U719*$AE$30</f>
        <v/>
      </c>
      <c r="W719" s="8">
        <f>1/(1+EXP(-V719))</f>
        <v/>
      </c>
      <c r="X719" s="9">
        <f>-IF(C719=1,LN(W719),LN(1-W719))</f>
        <v/>
      </c>
      <c r="Y719" s="8">
        <f>1</f>
        <v/>
      </c>
      <c r="Z719" s="9">
        <f>Y719*X719</f>
        <v/>
      </c>
      <c r="AA719" s="10">
        <f>IF(W719&gt;$AE$32,1,0)</f>
        <v/>
      </c>
      <c r="AB719">
        <f>IF(AA719=C719,1,0)</f>
        <v/>
      </c>
    </row>
    <row r="720">
      <c r="A720">
        <f>'1 datos preparados'!A713</f>
        <v/>
      </c>
      <c r="B720" s="5">
        <f>'1 datos preparados'!U713</f>
        <v/>
      </c>
      <c r="C720">
        <f>'1 datos preparados'!B713</f>
        <v/>
      </c>
      <c r="D720" s="7">
        <f>'1 datos preparados'!C713</f>
        <v/>
      </c>
      <c r="E720" s="7">
        <f>'1 datos preparados'!D713</f>
        <v/>
      </c>
      <c r="F720" s="7">
        <f>'1 datos preparados'!E713</f>
        <v/>
      </c>
      <c r="G720" s="7">
        <f>'1 datos preparados'!F713</f>
        <v/>
      </c>
      <c r="H720" s="7">
        <f>'1 datos preparados'!G713</f>
        <v/>
      </c>
      <c r="I720" s="7">
        <f>'1 datos preparados'!H713</f>
        <v/>
      </c>
      <c r="J720" s="7">
        <f>'1 datos preparados'!I713</f>
        <v/>
      </c>
      <c r="K720" s="7">
        <f>'1 datos preparados'!J713</f>
        <v/>
      </c>
      <c r="L720" s="7">
        <f>'1 datos preparados'!K713</f>
        <v/>
      </c>
      <c r="M720" s="7">
        <f>'1 datos preparados'!L713</f>
        <v/>
      </c>
      <c r="N720" s="7">
        <f>'1 datos preparados'!M713</f>
        <v/>
      </c>
      <c r="O720" s="7">
        <f>'1 datos preparados'!N713</f>
        <v/>
      </c>
      <c r="P720" s="7">
        <f>'1 datos preparados'!O713</f>
        <v/>
      </c>
      <c r="Q720" s="7">
        <f>'1 datos preparados'!P713</f>
        <v/>
      </c>
      <c r="R720" s="7">
        <f>'1 datos preparados'!Q713</f>
        <v/>
      </c>
      <c r="S720" s="7">
        <f>'1 datos preparados'!R713</f>
        <v/>
      </c>
      <c r="T720" s="7">
        <f>'1 datos preparados'!S713</f>
        <v/>
      </c>
      <c r="U720" s="7">
        <f>'1 datos preparados'!T713</f>
        <v/>
      </c>
      <c r="V720" s="8">
        <f>$AE$12+D720*$AE$13+E720*$AE$14+F720*$AE$15+G720*$AE$16+H720*$AE$17+I720*$AE$18+J720*$AE$19+K720*$AE$20+L720*$AE$21+M720*$AE$22+N720*$AE$23+O720*$AE$24+P720*$AE$25+Q720*$AE$26+R720*$AE$27+S720*$AE$28+T720*$AE$29+U720*$AE$30</f>
        <v/>
      </c>
      <c r="W720" s="8">
        <f>1/(1+EXP(-V720))</f>
        <v/>
      </c>
      <c r="X720" s="9">
        <f>-IF(C720=1,LN(W720),LN(1-W720))</f>
        <v/>
      </c>
      <c r="Y720" s="8">
        <f>1</f>
        <v/>
      </c>
      <c r="Z720" s="9">
        <f>Y720*X720</f>
        <v/>
      </c>
      <c r="AA720" s="10">
        <f>IF(W720&gt;$AE$32,1,0)</f>
        <v/>
      </c>
      <c r="AB720">
        <f>IF(AA720=C720,1,0)</f>
        <v/>
      </c>
    </row>
    <row r="721">
      <c r="A721">
        <f>'1 datos preparados'!A714</f>
        <v/>
      </c>
      <c r="B721" s="5">
        <f>'1 datos preparados'!U714</f>
        <v/>
      </c>
      <c r="C721">
        <f>'1 datos preparados'!B714</f>
        <v/>
      </c>
      <c r="D721" s="7">
        <f>'1 datos preparados'!C714</f>
        <v/>
      </c>
      <c r="E721" s="7">
        <f>'1 datos preparados'!D714</f>
        <v/>
      </c>
      <c r="F721" s="7">
        <f>'1 datos preparados'!E714</f>
        <v/>
      </c>
      <c r="G721" s="7">
        <f>'1 datos preparados'!F714</f>
        <v/>
      </c>
      <c r="H721" s="7">
        <f>'1 datos preparados'!G714</f>
        <v/>
      </c>
      <c r="I721" s="7">
        <f>'1 datos preparados'!H714</f>
        <v/>
      </c>
      <c r="J721" s="7">
        <f>'1 datos preparados'!I714</f>
        <v/>
      </c>
      <c r="K721" s="7">
        <f>'1 datos preparados'!J714</f>
        <v/>
      </c>
      <c r="L721" s="7">
        <f>'1 datos preparados'!K714</f>
        <v/>
      </c>
      <c r="M721" s="7">
        <f>'1 datos preparados'!L714</f>
        <v/>
      </c>
      <c r="N721" s="7">
        <f>'1 datos preparados'!M714</f>
        <v/>
      </c>
      <c r="O721" s="7">
        <f>'1 datos preparados'!N714</f>
        <v/>
      </c>
      <c r="P721" s="7">
        <f>'1 datos preparados'!O714</f>
        <v/>
      </c>
      <c r="Q721" s="7">
        <f>'1 datos preparados'!P714</f>
        <v/>
      </c>
      <c r="R721" s="7">
        <f>'1 datos preparados'!Q714</f>
        <v/>
      </c>
      <c r="S721" s="7">
        <f>'1 datos preparados'!R714</f>
        <v/>
      </c>
      <c r="T721" s="7">
        <f>'1 datos preparados'!S714</f>
        <v/>
      </c>
      <c r="U721" s="7">
        <f>'1 datos preparados'!T714</f>
        <v/>
      </c>
      <c r="V721" s="8">
        <f>$AE$12+D721*$AE$13+E721*$AE$14+F721*$AE$15+G721*$AE$16+H721*$AE$17+I721*$AE$18+J721*$AE$19+K721*$AE$20+L721*$AE$21+M721*$AE$22+N721*$AE$23+O721*$AE$24+P721*$AE$25+Q721*$AE$26+R721*$AE$27+S721*$AE$28+T721*$AE$29+U721*$AE$30</f>
        <v/>
      </c>
      <c r="W721" s="8">
        <f>1/(1+EXP(-V721))</f>
        <v/>
      </c>
      <c r="X721" s="9">
        <f>-IF(C721=1,LN(W721),LN(1-W721))</f>
        <v/>
      </c>
      <c r="Y721" s="8">
        <f>1</f>
        <v/>
      </c>
      <c r="Z721" s="9">
        <f>Y721*X721</f>
        <v/>
      </c>
      <c r="AA721" s="10">
        <f>IF(W721&gt;$AE$32,1,0)</f>
        <v/>
      </c>
      <c r="AB721">
        <f>IF(AA721=C721,1,0)</f>
        <v/>
      </c>
    </row>
    <row r="722">
      <c r="A722">
        <f>'1 datos preparados'!A715</f>
        <v/>
      </c>
      <c r="B722" s="5">
        <f>'1 datos preparados'!U715</f>
        <v/>
      </c>
      <c r="C722">
        <f>'1 datos preparados'!B715</f>
        <v/>
      </c>
      <c r="D722" s="7">
        <f>'1 datos preparados'!C715</f>
        <v/>
      </c>
      <c r="E722" s="7">
        <f>'1 datos preparados'!D715</f>
        <v/>
      </c>
      <c r="F722" s="7">
        <f>'1 datos preparados'!E715</f>
        <v/>
      </c>
      <c r="G722" s="7">
        <f>'1 datos preparados'!F715</f>
        <v/>
      </c>
      <c r="H722" s="7">
        <f>'1 datos preparados'!G715</f>
        <v/>
      </c>
      <c r="I722" s="7">
        <f>'1 datos preparados'!H715</f>
        <v/>
      </c>
      <c r="J722" s="7">
        <f>'1 datos preparados'!I715</f>
        <v/>
      </c>
      <c r="K722" s="7">
        <f>'1 datos preparados'!J715</f>
        <v/>
      </c>
      <c r="L722" s="7">
        <f>'1 datos preparados'!K715</f>
        <v/>
      </c>
      <c r="M722" s="7">
        <f>'1 datos preparados'!L715</f>
        <v/>
      </c>
      <c r="N722" s="7">
        <f>'1 datos preparados'!M715</f>
        <v/>
      </c>
      <c r="O722" s="7">
        <f>'1 datos preparados'!N715</f>
        <v/>
      </c>
      <c r="P722" s="7">
        <f>'1 datos preparados'!O715</f>
        <v/>
      </c>
      <c r="Q722" s="7">
        <f>'1 datos preparados'!P715</f>
        <v/>
      </c>
      <c r="R722" s="7">
        <f>'1 datos preparados'!Q715</f>
        <v/>
      </c>
      <c r="S722" s="7">
        <f>'1 datos preparados'!R715</f>
        <v/>
      </c>
      <c r="T722" s="7">
        <f>'1 datos preparados'!S715</f>
        <v/>
      </c>
      <c r="U722" s="7">
        <f>'1 datos preparados'!T715</f>
        <v/>
      </c>
      <c r="V722" s="8">
        <f>$AE$12+D722*$AE$13+E722*$AE$14+F722*$AE$15+G722*$AE$16+H722*$AE$17+I722*$AE$18+J722*$AE$19+K722*$AE$20+L722*$AE$21+M722*$AE$22+N722*$AE$23+O722*$AE$24+P722*$AE$25+Q722*$AE$26+R722*$AE$27+S722*$AE$28+T722*$AE$29+U722*$AE$30</f>
        <v/>
      </c>
      <c r="W722" s="8">
        <f>1/(1+EXP(-V722))</f>
        <v/>
      </c>
      <c r="X722" s="9">
        <f>-IF(C722=1,LN(W722),LN(1-W722))</f>
        <v/>
      </c>
      <c r="Y722" s="8">
        <f>1</f>
        <v/>
      </c>
      <c r="Z722" s="9">
        <f>Y722*X722</f>
        <v/>
      </c>
      <c r="AA722" s="10">
        <f>IF(W722&gt;$AE$32,1,0)</f>
        <v/>
      </c>
      <c r="AB722">
        <f>IF(AA722=C722,1,0)</f>
        <v/>
      </c>
    </row>
    <row r="723">
      <c r="A723">
        <f>'1 datos preparados'!A716</f>
        <v/>
      </c>
      <c r="B723" s="5">
        <f>'1 datos preparados'!U716</f>
        <v/>
      </c>
      <c r="C723">
        <f>'1 datos preparados'!B716</f>
        <v/>
      </c>
      <c r="D723" s="7">
        <f>'1 datos preparados'!C716</f>
        <v/>
      </c>
      <c r="E723" s="7">
        <f>'1 datos preparados'!D716</f>
        <v/>
      </c>
      <c r="F723" s="7">
        <f>'1 datos preparados'!E716</f>
        <v/>
      </c>
      <c r="G723" s="7">
        <f>'1 datos preparados'!F716</f>
        <v/>
      </c>
      <c r="H723" s="7">
        <f>'1 datos preparados'!G716</f>
        <v/>
      </c>
      <c r="I723" s="7">
        <f>'1 datos preparados'!H716</f>
        <v/>
      </c>
      <c r="J723" s="7">
        <f>'1 datos preparados'!I716</f>
        <v/>
      </c>
      <c r="K723" s="7">
        <f>'1 datos preparados'!J716</f>
        <v/>
      </c>
      <c r="L723" s="7">
        <f>'1 datos preparados'!K716</f>
        <v/>
      </c>
      <c r="M723" s="7">
        <f>'1 datos preparados'!L716</f>
        <v/>
      </c>
      <c r="N723" s="7">
        <f>'1 datos preparados'!M716</f>
        <v/>
      </c>
      <c r="O723" s="7">
        <f>'1 datos preparados'!N716</f>
        <v/>
      </c>
      <c r="P723" s="7">
        <f>'1 datos preparados'!O716</f>
        <v/>
      </c>
      <c r="Q723" s="7">
        <f>'1 datos preparados'!P716</f>
        <v/>
      </c>
      <c r="R723" s="7">
        <f>'1 datos preparados'!Q716</f>
        <v/>
      </c>
      <c r="S723" s="7">
        <f>'1 datos preparados'!R716</f>
        <v/>
      </c>
      <c r="T723" s="7">
        <f>'1 datos preparados'!S716</f>
        <v/>
      </c>
      <c r="U723" s="7">
        <f>'1 datos preparados'!T716</f>
        <v/>
      </c>
      <c r="V723" s="8">
        <f>$AE$12+D723*$AE$13+E723*$AE$14+F723*$AE$15+G723*$AE$16+H723*$AE$17+I723*$AE$18+J723*$AE$19+K723*$AE$20+L723*$AE$21+M723*$AE$22+N723*$AE$23+O723*$AE$24+P723*$AE$25+Q723*$AE$26+R723*$AE$27+S723*$AE$28+T723*$AE$29+U723*$AE$30</f>
        <v/>
      </c>
      <c r="W723" s="8">
        <f>1/(1+EXP(-V723))</f>
        <v/>
      </c>
      <c r="X723" s="9">
        <f>-IF(C723=1,LN(W723),LN(1-W723))</f>
        <v/>
      </c>
      <c r="Y723" s="8">
        <f>1</f>
        <v/>
      </c>
      <c r="Z723" s="9">
        <f>Y723*X723</f>
        <v/>
      </c>
      <c r="AA723" s="10">
        <f>IF(W723&gt;$AE$32,1,0)</f>
        <v/>
      </c>
      <c r="AB723">
        <f>IF(AA723=C723,1,0)</f>
        <v/>
      </c>
    </row>
    <row r="724">
      <c r="A724">
        <f>'1 datos preparados'!A717</f>
        <v/>
      </c>
      <c r="B724" s="5">
        <f>'1 datos preparados'!U717</f>
        <v/>
      </c>
      <c r="C724">
        <f>'1 datos preparados'!B717</f>
        <v/>
      </c>
      <c r="D724" s="7">
        <f>'1 datos preparados'!C717</f>
        <v/>
      </c>
      <c r="E724" s="7">
        <f>'1 datos preparados'!D717</f>
        <v/>
      </c>
      <c r="F724" s="7">
        <f>'1 datos preparados'!E717</f>
        <v/>
      </c>
      <c r="G724" s="7">
        <f>'1 datos preparados'!F717</f>
        <v/>
      </c>
      <c r="H724" s="7">
        <f>'1 datos preparados'!G717</f>
        <v/>
      </c>
      <c r="I724" s="7">
        <f>'1 datos preparados'!H717</f>
        <v/>
      </c>
      <c r="J724" s="7">
        <f>'1 datos preparados'!I717</f>
        <v/>
      </c>
      <c r="K724" s="7">
        <f>'1 datos preparados'!J717</f>
        <v/>
      </c>
      <c r="L724" s="7">
        <f>'1 datos preparados'!K717</f>
        <v/>
      </c>
      <c r="M724" s="7">
        <f>'1 datos preparados'!L717</f>
        <v/>
      </c>
      <c r="N724" s="7">
        <f>'1 datos preparados'!M717</f>
        <v/>
      </c>
      <c r="O724" s="7">
        <f>'1 datos preparados'!N717</f>
        <v/>
      </c>
      <c r="P724" s="7">
        <f>'1 datos preparados'!O717</f>
        <v/>
      </c>
      <c r="Q724" s="7">
        <f>'1 datos preparados'!P717</f>
        <v/>
      </c>
      <c r="R724" s="7">
        <f>'1 datos preparados'!Q717</f>
        <v/>
      </c>
      <c r="S724" s="7">
        <f>'1 datos preparados'!R717</f>
        <v/>
      </c>
      <c r="T724" s="7">
        <f>'1 datos preparados'!S717</f>
        <v/>
      </c>
      <c r="U724" s="7">
        <f>'1 datos preparados'!T717</f>
        <v/>
      </c>
      <c r="V724" s="8">
        <f>$AE$12+D724*$AE$13+E724*$AE$14+F724*$AE$15+G724*$AE$16+H724*$AE$17+I724*$AE$18+J724*$AE$19+K724*$AE$20+L724*$AE$21+M724*$AE$22+N724*$AE$23+O724*$AE$24+P724*$AE$25+Q724*$AE$26+R724*$AE$27+S724*$AE$28+T724*$AE$29+U724*$AE$30</f>
        <v/>
      </c>
      <c r="W724" s="8">
        <f>1/(1+EXP(-V724))</f>
        <v/>
      </c>
      <c r="X724" s="9">
        <f>-IF(C724=1,LN(W724),LN(1-W724))</f>
        <v/>
      </c>
      <c r="Y724" s="8">
        <f>1</f>
        <v/>
      </c>
      <c r="Z724" s="9">
        <f>Y724*X724</f>
        <v/>
      </c>
      <c r="AA724" s="10">
        <f>IF(W724&gt;$AE$32,1,0)</f>
        <v/>
      </c>
      <c r="AB724">
        <f>IF(AA724=C724,1,0)</f>
        <v/>
      </c>
    </row>
    <row r="725">
      <c r="A725">
        <f>'1 datos preparados'!A718</f>
        <v/>
      </c>
      <c r="B725" s="5">
        <f>'1 datos preparados'!U718</f>
        <v/>
      </c>
      <c r="C725">
        <f>'1 datos preparados'!B718</f>
        <v/>
      </c>
      <c r="D725" s="7">
        <f>'1 datos preparados'!C718</f>
        <v/>
      </c>
      <c r="E725" s="7">
        <f>'1 datos preparados'!D718</f>
        <v/>
      </c>
      <c r="F725" s="7">
        <f>'1 datos preparados'!E718</f>
        <v/>
      </c>
      <c r="G725" s="7">
        <f>'1 datos preparados'!F718</f>
        <v/>
      </c>
      <c r="H725" s="7">
        <f>'1 datos preparados'!G718</f>
        <v/>
      </c>
      <c r="I725" s="7">
        <f>'1 datos preparados'!H718</f>
        <v/>
      </c>
      <c r="J725" s="7">
        <f>'1 datos preparados'!I718</f>
        <v/>
      </c>
      <c r="K725" s="7">
        <f>'1 datos preparados'!J718</f>
        <v/>
      </c>
      <c r="L725" s="7">
        <f>'1 datos preparados'!K718</f>
        <v/>
      </c>
      <c r="M725" s="7">
        <f>'1 datos preparados'!L718</f>
        <v/>
      </c>
      <c r="N725" s="7">
        <f>'1 datos preparados'!M718</f>
        <v/>
      </c>
      <c r="O725" s="7">
        <f>'1 datos preparados'!N718</f>
        <v/>
      </c>
      <c r="P725" s="7">
        <f>'1 datos preparados'!O718</f>
        <v/>
      </c>
      <c r="Q725" s="7">
        <f>'1 datos preparados'!P718</f>
        <v/>
      </c>
      <c r="R725" s="7">
        <f>'1 datos preparados'!Q718</f>
        <v/>
      </c>
      <c r="S725" s="7">
        <f>'1 datos preparados'!R718</f>
        <v/>
      </c>
      <c r="T725" s="7">
        <f>'1 datos preparados'!S718</f>
        <v/>
      </c>
      <c r="U725" s="7">
        <f>'1 datos preparados'!T718</f>
        <v/>
      </c>
      <c r="V725" s="8">
        <f>$AE$12+D725*$AE$13+E725*$AE$14+F725*$AE$15+G725*$AE$16+H725*$AE$17+I725*$AE$18+J725*$AE$19+K725*$AE$20+L725*$AE$21+M725*$AE$22+N725*$AE$23+O725*$AE$24+P725*$AE$25+Q725*$AE$26+R725*$AE$27+S725*$AE$28+T725*$AE$29+U725*$AE$30</f>
        <v/>
      </c>
      <c r="W725" s="8">
        <f>1/(1+EXP(-V725))</f>
        <v/>
      </c>
      <c r="X725" s="9">
        <f>-IF(C725=1,LN(W725),LN(1-W725))</f>
        <v/>
      </c>
      <c r="Y725" s="8">
        <f>1</f>
        <v/>
      </c>
      <c r="Z725" s="9">
        <f>Y725*X725</f>
        <v/>
      </c>
      <c r="AA725" s="10">
        <f>IF(W725&gt;$AE$32,1,0)</f>
        <v/>
      </c>
      <c r="AB725">
        <f>IF(AA725=C725,1,0)</f>
        <v/>
      </c>
    </row>
    <row r="726">
      <c r="A726">
        <f>'1 datos preparados'!A719</f>
        <v/>
      </c>
      <c r="B726" s="5">
        <f>'1 datos preparados'!U719</f>
        <v/>
      </c>
      <c r="C726">
        <f>'1 datos preparados'!B719</f>
        <v/>
      </c>
      <c r="D726" s="7">
        <f>'1 datos preparados'!C719</f>
        <v/>
      </c>
      <c r="E726" s="7">
        <f>'1 datos preparados'!D719</f>
        <v/>
      </c>
      <c r="F726" s="7">
        <f>'1 datos preparados'!E719</f>
        <v/>
      </c>
      <c r="G726" s="7">
        <f>'1 datos preparados'!F719</f>
        <v/>
      </c>
      <c r="H726" s="7">
        <f>'1 datos preparados'!G719</f>
        <v/>
      </c>
      <c r="I726" s="7">
        <f>'1 datos preparados'!H719</f>
        <v/>
      </c>
      <c r="J726" s="7">
        <f>'1 datos preparados'!I719</f>
        <v/>
      </c>
      <c r="K726" s="7">
        <f>'1 datos preparados'!J719</f>
        <v/>
      </c>
      <c r="L726" s="7">
        <f>'1 datos preparados'!K719</f>
        <v/>
      </c>
      <c r="M726" s="7">
        <f>'1 datos preparados'!L719</f>
        <v/>
      </c>
      <c r="N726" s="7">
        <f>'1 datos preparados'!M719</f>
        <v/>
      </c>
      <c r="O726" s="7">
        <f>'1 datos preparados'!N719</f>
        <v/>
      </c>
      <c r="P726" s="7">
        <f>'1 datos preparados'!O719</f>
        <v/>
      </c>
      <c r="Q726" s="7">
        <f>'1 datos preparados'!P719</f>
        <v/>
      </c>
      <c r="R726" s="7">
        <f>'1 datos preparados'!Q719</f>
        <v/>
      </c>
      <c r="S726" s="7">
        <f>'1 datos preparados'!R719</f>
        <v/>
      </c>
      <c r="T726" s="7">
        <f>'1 datos preparados'!S719</f>
        <v/>
      </c>
      <c r="U726" s="7">
        <f>'1 datos preparados'!T719</f>
        <v/>
      </c>
      <c r="V726" s="8">
        <f>$AE$12+D726*$AE$13+E726*$AE$14+F726*$AE$15+G726*$AE$16+H726*$AE$17+I726*$AE$18+J726*$AE$19+K726*$AE$20+L726*$AE$21+M726*$AE$22+N726*$AE$23+O726*$AE$24+P726*$AE$25+Q726*$AE$26+R726*$AE$27+S726*$AE$28+T726*$AE$29+U726*$AE$30</f>
        <v/>
      </c>
      <c r="W726" s="8">
        <f>1/(1+EXP(-V726))</f>
        <v/>
      </c>
      <c r="X726" s="9">
        <f>-IF(C726=1,LN(W726),LN(1-W726))</f>
        <v/>
      </c>
      <c r="Y726" s="8">
        <f>1</f>
        <v/>
      </c>
      <c r="Z726" s="9">
        <f>Y726*X726</f>
        <v/>
      </c>
      <c r="AA726" s="10">
        <f>IF(W726&gt;$AE$32,1,0)</f>
        <v/>
      </c>
      <c r="AB726">
        <f>IF(AA726=C726,1,0)</f>
        <v/>
      </c>
    </row>
    <row r="727">
      <c r="A727">
        <f>'1 datos preparados'!A720</f>
        <v/>
      </c>
      <c r="B727" s="5">
        <f>'1 datos preparados'!U720</f>
        <v/>
      </c>
      <c r="C727">
        <f>'1 datos preparados'!B720</f>
        <v/>
      </c>
      <c r="D727" s="7">
        <f>'1 datos preparados'!C720</f>
        <v/>
      </c>
      <c r="E727" s="7">
        <f>'1 datos preparados'!D720</f>
        <v/>
      </c>
      <c r="F727" s="7">
        <f>'1 datos preparados'!E720</f>
        <v/>
      </c>
      <c r="G727" s="7">
        <f>'1 datos preparados'!F720</f>
        <v/>
      </c>
      <c r="H727" s="7">
        <f>'1 datos preparados'!G720</f>
        <v/>
      </c>
      <c r="I727" s="7">
        <f>'1 datos preparados'!H720</f>
        <v/>
      </c>
      <c r="J727" s="7">
        <f>'1 datos preparados'!I720</f>
        <v/>
      </c>
      <c r="K727" s="7">
        <f>'1 datos preparados'!J720</f>
        <v/>
      </c>
      <c r="L727" s="7">
        <f>'1 datos preparados'!K720</f>
        <v/>
      </c>
      <c r="M727" s="7">
        <f>'1 datos preparados'!L720</f>
        <v/>
      </c>
      <c r="N727" s="7">
        <f>'1 datos preparados'!M720</f>
        <v/>
      </c>
      <c r="O727" s="7">
        <f>'1 datos preparados'!N720</f>
        <v/>
      </c>
      <c r="P727" s="7">
        <f>'1 datos preparados'!O720</f>
        <v/>
      </c>
      <c r="Q727" s="7">
        <f>'1 datos preparados'!P720</f>
        <v/>
      </c>
      <c r="R727" s="7">
        <f>'1 datos preparados'!Q720</f>
        <v/>
      </c>
      <c r="S727" s="7">
        <f>'1 datos preparados'!R720</f>
        <v/>
      </c>
      <c r="T727" s="7">
        <f>'1 datos preparados'!S720</f>
        <v/>
      </c>
      <c r="U727" s="7">
        <f>'1 datos preparados'!T720</f>
        <v/>
      </c>
      <c r="V727" s="8">
        <f>$AE$12+D727*$AE$13+E727*$AE$14+F727*$AE$15+G727*$AE$16+H727*$AE$17+I727*$AE$18+J727*$AE$19+K727*$AE$20+L727*$AE$21+M727*$AE$22+N727*$AE$23+O727*$AE$24+P727*$AE$25+Q727*$AE$26+R727*$AE$27+S727*$AE$28+T727*$AE$29+U727*$AE$30</f>
        <v/>
      </c>
      <c r="W727" s="8">
        <f>1/(1+EXP(-V727))</f>
        <v/>
      </c>
      <c r="X727" s="9">
        <f>-IF(C727=1,LN(W727),LN(1-W727))</f>
        <v/>
      </c>
      <c r="Y727" s="8">
        <f>1</f>
        <v/>
      </c>
      <c r="Z727" s="9">
        <f>Y727*X727</f>
        <v/>
      </c>
      <c r="AA727" s="10">
        <f>IF(W727&gt;$AE$32,1,0)</f>
        <v/>
      </c>
      <c r="AB727">
        <f>IF(AA727=C727,1,0)</f>
        <v/>
      </c>
    </row>
    <row r="728">
      <c r="A728">
        <f>'1 datos preparados'!A721</f>
        <v/>
      </c>
      <c r="B728" s="5">
        <f>'1 datos preparados'!U721</f>
        <v/>
      </c>
      <c r="C728">
        <f>'1 datos preparados'!B721</f>
        <v/>
      </c>
      <c r="D728" s="7">
        <f>'1 datos preparados'!C721</f>
        <v/>
      </c>
      <c r="E728" s="7">
        <f>'1 datos preparados'!D721</f>
        <v/>
      </c>
      <c r="F728" s="7">
        <f>'1 datos preparados'!E721</f>
        <v/>
      </c>
      <c r="G728" s="7">
        <f>'1 datos preparados'!F721</f>
        <v/>
      </c>
      <c r="H728" s="7">
        <f>'1 datos preparados'!G721</f>
        <v/>
      </c>
      <c r="I728" s="7">
        <f>'1 datos preparados'!H721</f>
        <v/>
      </c>
      <c r="J728" s="7">
        <f>'1 datos preparados'!I721</f>
        <v/>
      </c>
      <c r="K728" s="7">
        <f>'1 datos preparados'!J721</f>
        <v/>
      </c>
      <c r="L728" s="7">
        <f>'1 datos preparados'!K721</f>
        <v/>
      </c>
      <c r="M728" s="7">
        <f>'1 datos preparados'!L721</f>
        <v/>
      </c>
      <c r="N728" s="7">
        <f>'1 datos preparados'!M721</f>
        <v/>
      </c>
      <c r="O728" s="7">
        <f>'1 datos preparados'!N721</f>
        <v/>
      </c>
      <c r="P728" s="7">
        <f>'1 datos preparados'!O721</f>
        <v/>
      </c>
      <c r="Q728" s="7">
        <f>'1 datos preparados'!P721</f>
        <v/>
      </c>
      <c r="R728" s="7">
        <f>'1 datos preparados'!Q721</f>
        <v/>
      </c>
      <c r="S728" s="7">
        <f>'1 datos preparados'!R721</f>
        <v/>
      </c>
      <c r="T728" s="7">
        <f>'1 datos preparados'!S721</f>
        <v/>
      </c>
      <c r="U728" s="7">
        <f>'1 datos preparados'!T721</f>
        <v/>
      </c>
      <c r="V728" s="8">
        <f>$AE$12+D728*$AE$13+E728*$AE$14+F728*$AE$15+G728*$AE$16+H728*$AE$17+I728*$AE$18+J728*$AE$19+K728*$AE$20+L728*$AE$21+M728*$AE$22+N728*$AE$23+O728*$AE$24+P728*$AE$25+Q728*$AE$26+R728*$AE$27+S728*$AE$28+T728*$AE$29+U728*$AE$30</f>
        <v/>
      </c>
      <c r="W728" s="8">
        <f>1/(1+EXP(-V728))</f>
        <v/>
      </c>
      <c r="X728" s="9">
        <f>-IF(C728=1,LN(W728),LN(1-W728))</f>
        <v/>
      </c>
      <c r="Y728" s="8">
        <f>1</f>
        <v/>
      </c>
      <c r="Z728" s="9">
        <f>Y728*X728</f>
        <v/>
      </c>
      <c r="AA728" s="10">
        <f>IF(W728&gt;$AE$32,1,0)</f>
        <v/>
      </c>
      <c r="AB728">
        <f>IF(AA728=C728,1,0)</f>
        <v/>
      </c>
    </row>
    <row r="729">
      <c r="A729">
        <f>'1 datos preparados'!A722</f>
        <v/>
      </c>
      <c r="B729" s="5">
        <f>'1 datos preparados'!U722</f>
        <v/>
      </c>
      <c r="C729">
        <f>'1 datos preparados'!B722</f>
        <v/>
      </c>
      <c r="D729" s="7">
        <f>'1 datos preparados'!C722</f>
        <v/>
      </c>
      <c r="E729" s="7">
        <f>'1 datos preparados'!D722</f>
        <v/>
      </c>
      <c r="F729" s="7">
        <f>'1 datos preparados'!E722</f>
        <v/>
      </c>
      <c r="G729" s="7">
        <f>'1 datos preparados'!F722</f>
        <v/>
      </c>
      <c r="H729" s="7">
        <f>'1 datos preparados'!G722</f>
        <v/>
      </c>
      <c r="I729" s="7">
        <f>'1 datos preparados'!H722</f>
        <v/>
      </c>
      <c r="J729" s="7">
        <f>'1 datos preparados'!I722</f>
        <v/>
      </c>
      <c r="K729" s="7">
        <f>'1 datos preparados'!J722</f>
        <v/>
      </c>
      <c r="L729" s="7">
        <f>'1 datos preparados'!K722</f>
        <v/>
      </c>
      <c r="M729" s="7">
        <f>'1 datos preparados'!L722</f>
        <v/>
      </c>
      <c r="N729" s="7">
        <f>'1 datos preparados'!M722</f>
        <v/>
      </c>
      <c r="O729" s="7">
        <f>'1 datos preparados'!N722</f>
        <v/>
      </c>
      <c r="P729" s="7">
        <f>'1 datos preparados'!O722</f>
        <v/>
      </c>
      <c r="Q729" s="7">
        <f>'1 datos preparados'!P722</f>
        <v/>
      </c>
      <c r="R729" s="7">
        <f>'1 datos preparados'!Q722</f>
        <v/>
      </c>
      <c r="S729" s="7">
        <f>'1 datos preparados'!R722</f>
        <v/>
      </c>
      <c r="T729" s="7">
        <f>'1 datos preparados'!S722</f>
        <v/>
      </c>
      <c r="U729" s="7">
        <f>'1 datos preparados'!T722</f>
        <v/>
      </c>
      <c r="V729" s="8">
        <f>$AE$12+D729*$AE$13+E729*$AE$14+F729*$AE$15+G729*$AE$16+H729*$AE$17+I729*$AE$18+J729*$AE$19+K729*$AE$20+L729*$AE$21+M729*$AE$22+N729*$AE$23+O729*$AE$24+P729*$AE$25+Q729*$AE$26+R729*$AE$27+S729*$AE$28+T729*$AE$29+U729*$AE$30</f>
        <v/>
      </c>
      <c r="W729" s="8">
        <f>1/(1+EXP(-V729))</f>
        <v/>
      </c>
      <c r="X729" s="9">
        <f>-IF(C729=1,LN(W729),LN(1-W729))</f>
        <v/>
      </c>
      <c r="Y729" s="8">
        <f>1</f>
        <v/>
      </c>
      <c r="Z729" s="9">
        <f>Y729*X729</f>
        <v/>
      </c>
      <c r="AA729" s="10">
        <f>IF(W729&gt;$AE$32,1,0)</f>
        <v/>
      </c>
      <c r="AB729">
        <f>IF(AA729=C729,1,0)</f>
        <v/>
      </c>
    </row>
    <row r="730">
      <c r="A730">
        <f>'1 datos preparados'!A723</f>
        <v/>
      </c>
      <c r="B730" s="5">
        <f>'1 datos preparados'!U723</f>
        <v/>
      </c>
      <c r="C730">
        <f>'1 datos preparados'!B723</f>
        <v/>
      </c>
      <c r="D730" s="7">
        <f>'1 datos preparados'!C723</f>
        <v/>
      </c>
      <c r="E730" s="7">
        <f>'1 datos preparados'!D723</f>
        <v/>
      </c>
      <c r="F730" s="7">
        <f>'1 datos preparados'!E723</f>
        <v/>
      </c>
      <c r="G730" s="7">
        <f>'1 datos preparados'!F723</f>
        <v/>
      </c>
      <c r="H730" s="7">
        <f>'1 datos preparados'!G723</f>
        <v/>
      </c>
      <c r="I730" s="7">
        <f>'1 datos preparados'!H723</f>
        <v/>
      </c>
      <c r="J730" s="7">
        <f>'1 datos preparados'!I723</f>
        <v/>
      </c>
      <c r="K730" s="7">
        <f>'1 datos preparados'!J723</f>
        <v/>
      </c>
      <c r="L730" s="7">
        <f>'1 datos preparados'!K723</f>
        <v/>
      </c>
      <c r="M730" s="7">
        <f>'1 datos preparados'!L723</f>
        <v/>
      </c>
      <c r="N730" s="7">
        <f>'1 datos preparados'!M723</f>
        <v/>
      </c>
      <c r="O730" s="7">
        <f>'1 datos preparados'!N723</f>
        <v/>
      </c>
      <c r="P730" s="7">
        <f>'1 datos preparados'!O723</f>
        <v/>
      </c>
      <c r="Q730" s="7">
        <f>'1 datos preparados'!P723</f>
        <v/>
      </c>
      <c r="R730" s="7">
        <f>'1 datos preparados'!Q723</f>
        <v/>
      </c>
      <c r="S730" s="7">
        <f>'1 datos preparados'!R723</f>
        <v/>
      </c>
      <c r="T730" s="7">
        <f>'1 datos preparados'!S723</f>
        <v/>
      </c>
      <c r="U730" s="7">
        <f>'1 datos preparados'!T723</f>
        <v/>
      </c>
      <c r="V730" s="8">
        <f>$AE$12+D730*$AE$13+E730*$AE$14+F730*$AE$15+G730*$AE$16+H730*$AE$17+I730*$AE$18+J730*$AE$19+K730*$AE$20+L730*$AE$21+M730*$AE$22+N730*$AE$23+O730*$AE$24+P730*$AE$25+Q730*$AE$26+R730*$AE$27+S730*$AE$28+T730*$AE$29+U730*$AE$30</f>
        <v/>
      </c>
      <c r="W730" s="8">
        <f>1/(1+EXP(-V730))</f>
        <v/>
      </c>
      <c r="X730" s="9">
        <f>-IF(C730=1,LN(W730),LN(1-W730))</f>
        <v/>
      </c>
      <c r="Y730" s="8">
        <f>1</f>
        <v/>
      </c>
      <c r="Z730" s="9">
        <f>Y730*X730</f>
        <v/>
      </c>
      <c r="AA730" s="10">
        <f>IF(W730&gt;$AE$32,1,0)</f>
        <v/>
      </c>
      <c r="AB730">
        <f>IF(AA730=C730,1,0)</f>
        <v/>
      </c>
    </row>
    <row r="731">
      <c r="A731">
        <f>'1 datos preparados'!A724</f>
        <v/>
      </c>
      <c r="B731" s="5">
        <f>'1 datos preparados'!U724</f>
        <v/>
      </c>
      <c r="C731">
        <f>'1 datos preparados'!B724</f>
        <v/>
      </c>
      <c r="D731" s="7">
        <f>'1 datos preparados'!C724</f>
        <v/>
      </c>
      <c r="E731" s="7">
        <f>'1 datos preparados'!D724</f>
        <v/>
      </c>
      <c r="F731" s="7">
        <f>'1 datos preparados'!E724</f>
        <v/>
      </c>
      <c r="G731" s="7">
        <f>'1 datos preparados'!F724</f>
        <v/>
      </c>
      <c r="H731" s="7">
        <f>'1 datos preparados'!G724</f>
        <v/>
      </c>
      <c r="I731" s="7">
        <f>'1 datos preparados'!H724</f>
        <v/>
      </c>
      <c r="J731" s="7">
        <f>'1 datos preparados'!I724</f>
        <v/>
      </c>
      <c r="K731" s="7">
        <f>'1 datos preparados'!J724</f>
        <v/>
      </c>
      <c r="L731" s="7">
        <f>'1 datos preparados'!K724</f>
        <v/>
      </c>
      <c r="M731" s="7">
        <f>'1 datos preparados'!L724</f>
        <v/>
      </c>
      <c r="N731" s="7">
        <f>'1 datos preparados'!M724</f>
        <v/>
      </c>
      <c r="O731" s="7">
        <f>'1 datos preparados'!N724</f>
        <v/>
      </c>
      <c r="P731" s="7">
        <f>'1 datos preparados'!O724</f>
        <v/>
      </c>
      <c r="Q731" s="7">
        <f>'1 datos preparados'!P724</f>
        <v/>
      </c>
      <c r="R731" s="7">
        <f>'1 datos preparados'!Q724</f>
        <v/>
      </c>
      <c r="S731" s="7">
        <f>'1 datos preparados'!R724</f>
        <v/>
      </c>
      <c r="T731" s="7">
        <f>'1 datos preparados'!S724</f>
        <v/>
      </c>
      <c r="U731" s="7">
        <f>'1 datos preparados'!T724</f>
        <v/>
      </c>
      <c r="V731" s="8">
        <f>$AE$12+D731*$AE$13+E731*$AE$14+F731*$AE$15+G731*$AE$16+H731*$AE$17+I731*$AE$18+J731*$AE$19+K731*$AE$20+L731*$AE$21+M731*$AE$22+N731*$AE$23+O731*$AE$24+P731*$AE$25+Q731*$AE$26+R731*$AE$27+S731*$AE$28+T731*$AE$29+U731*$AE$30</f>
        <v/>
      </c>
      <c r="W731" s="8">
        <f>1/(1+EXP(-V731))</f>
        <v/>
      </c>
      <c r="X731" s="9">
        <f>-IF(C731=1,LN(W731),LN(1-W731))</f>
        <v/>
      </c>
      <c r="Y731" s="8">
        <f>1</f>
        <v/>
      </c>
      <c r="Z731" s="9">
        <f>Y731*X731</f>
        <v/>
      </c>
      <c r="AA731" s="10">
        <f>IF(W731&gt;$AE$32,1,0)</f>
        <v/>
      </c>
      <c r="AB731">
        <f>IF(AA731=C731,1,0)</f>
        <v/>
      </c>
    </row>
    <row r="732">
      <c r="A732">
        <f>'1 datos preparados'!A725</f>
        <v/>
      </c>
      <c r="B732" s="5">
        <f>'1 datos preparados'!U725</f>
        <v/>
      </c>
      <c r="C732">
        <f>'1 datos preparados'!B725</f>
        <v/>
      </c>
      <c r="D732" s="7">
        <f>'1 datos preparados'!C725</f>
        <v/>
      </c>
      <c r="E732" s="7">
        <f>'1 datos preparados'!D725</f>
        <v/>
      </c>
      <c r="F732" s="7">
        <f>'1 datos preparados'!E725</f>
        <v/>
      </c>
      <c r="G732" s="7">
        <f>'1 datos preparados'!F725</f>
        <v/>
      </c>
      <c r="H732" s="7">
        <f>'1 datos preparados'!G725</f>
        <v/>
      </c>
      <c r="I732" s="7">
        <f>'1 datos preparados'!H725</f>
        <v/>
      </c>
      <c r="J732" s="7">
        <f>'1 datos preparados'!I725</f>
        <v/>
      </c>
      <c r="K732" s="7">
        <f>'1 datos preparados'!J725</f>
        <v/>
      </c>
      <c r="L732" s="7">
        <f>'1 datos preparados'!K725</f>
        <v/>
      </c>
      <c r="M732" s="7">
        <f>'1 datos preparados'!L725</f>
        <v/>
      </c>
      <c r="N732" s="7">
        <f>'1 datos preparados'!M725</f>
        <v/>
      </c>
      <c r="O732" s="7">
        <f>'1 datos preparados'!N725</f>
        <v/>
      </c>
      <c r="P732" s="7">
        <f>'1 datos preparados'!O725</f>
        <v/>
      </c>
      <c r="Q732" s="7">
        <f>'1 datos preparados'!P725</f>
        <v/>
      </c>
      <c r="R732" s="7">
        <f>'1 datos preparados'!Q725</f>
        <v/>
      </c>
      <c r="S732" s="7">
        <f>'1 datos preparados'!R725</f>
        <v/>
      </c>
      <c r="T732" s="7">
        <f>'1 datos preparados'!S725</f>
        <v/>
      </c>
      <c r="U732" s="7">
        <f>'1 datos preparados'!T725</f>
        <v/>
      </c>
      <c r="V732" s="8">
        <f>$AE$12+D732*$AE$13+E732*$AE$14+F732*$AE$15+G732*$AE$16+H732*$AE$17+I732*$AE$18+J732*$AE$19+K732*$AE$20+L732*$AE$21+M732*$AE$22+N732*$AE$23+O732*$AE$24+P732*$AE$25+Q732*$AE$26+R732*$AE$27+S732*$AE$28+T732*$AE$29+U732*$AE$30</f>
        <v/>
      </c>
      <c r="W732" s="8">
        <f>1/(1+EXP(-V732))</f>
        <v/>
      </c>
      <c r="X732" s="9">
        <f>-IF(C732=1,LN(W732),LN(1-W732))</f>
        <v/>
      </c>
      <c r="Y732" s="8">
        <f>1</f>
        <v/>
      </c>
      <c r="Z732" s="9">
        <f>Y732*X732</f>
        <v/>
      </c>
      <c r="AA732" s="10">
        <f>IF(W732&gt;$AE$32,1,0)</f>
        <v/>
      </c>
      <c r="AB732">
        <f>IF(AA732=C732,1,0)</f>
        <v/>
      </c>
    </row>
    <row r="733">
      <c r="A733">
        <f>'1 datos preparados'!A726</f>
        <v/>
      </c>
      <c r="B733" s="5">
        <f>'1 datos preparados'!U726</f>
        <v/>
      </c>
      <c r="C733">
        <f>'1 datos preparados'!B726</f>
        <v/>
      </c>
      <c r="D733" s="7">
        <f>'1 datos preparados'!C726</f>
        <v/>
      </c>
      <c r="E733" s="7">
        <f>'1 datos preparados'!D726</f>
        <v/>
      </c>
      <c r="F733" s="7">
        <f>'1 datos preparados'!E726</f>
        <v/>
      </c>
      <c r="G733" s="7">
        <f>'1 datos preparados'!F726</f>
        <v/>
      </c>
      <c r="H733" s="7">
        <f>'1 datos preparados'!G726</f>
        <v/>
      </c>
      <c r="I733" s="7">
        <f>'1 datos preparados'!H726</f>
        <v/>
      </c>
      <c r="J733" s="7">
        <f>'1 datos preparados'!I726</f>
        <v/>
      </c>
      <c r="K733" s="7">
        <f>'1 datos preparados'!J726</f>
        <v/>
      </c>
      <c r="L733" s="7">
        <f>'1 datos preparados'!K726</f>
        <v/>
      </c>
      <c r="M733" s="7">
        <f>'1 datos preparados'!L726</f>
        <v/>
      </c>
      <c r="N733" s="7">
        <f>'1 datos preparados'!M726</f>
        <v/>
      </c>
      <c r="O733" s="7">
        <f>'1 datos preparados'!N726</f>
        <v/>
      </c>
      <c r="P733" s="7">
        <f>'1 datos preparados'!O726</f>
        <v/>
      </c>
      <c r="Q733" s="7">
        <f>'1 datos preparados'!P726</f>
        <v/>
      </c>
      <c r="R733" s="7">
        <f>'1 datos preparados'!Q726</f>
        <v/>
      </c>
      <c r="S733" s="7">
        <f>'1 datos preparados'!R726</f>
        <v/>
      </c>
      <c r="T733" s="7">
        <f>'1 datos preparados'!S726</f>
        <v/>
      </c>
      <c r="U733" s="7">
        <f>'1 datos preparados'!T726</f>
        <v/>
      </c>
      <c r="V733" s="8">
        <f>$AE$12+D733*$AE$13+E733*$AE$14+F733*$AE$15+G733*$AE$16+H733*$AE$17+I733*$AE$18+J733*$AE$19+K733*$AE$20+L733*$AE$21+M733*$AE$22+N733*$AE$23+O733*$AE$24+P733*$AE$25+Q733*$AE$26+R733*$AE$27+S733*$AE$28+T733*$AE$29+U733*$AE$30</f>
        <v/>
      </c>
      <c r="W733" s="8">
        <f>1/(1+EXP(-V733))</f>
        <v/>
      </c>
      <c r="X733" s="9">
        <f>-IF(C733=1,LN(W733),LN(1-W733))</f>
        <v/>
      </c>
      <c r="Y733" s="8">
        <f>1</f>
        <v/>
      </c>
      <c r="Z733" s="9">
        <f>Y733*X733</f>
        <v/>
      </c>
      <c r="AA733" s="10">
        <f>IF(W733&gt;$AE$32,1,0)</f>
        <v/>
      </c>
      <c r="AB733">
        <f>IF(AA733=C733,1,0)</f>
        <v/>
      </c>
    </row>
    <row r="734">
      <c r="A734">
        <f>'1 datos preparados'!A727</f>
        <v/>
      </c>
      <c r="B734" s="5">
        <f>'1 datos preparados'!U727</f>
        <v/>
      </c>
      <c r="C734">
        <f>'1 datos preparados'!B727</f>
        <v/>
      </c>
      <c r="D734" s="7">
        <f>'1 datos preparados'!C727</f>
        <v/>
      </c>
      <c r="E734" s="7">
        <f>'1 datos preparados'!D727</f>
        <v/>
      </c>
      <c r="F734" s="7">
        <f>'1 datos preparados'!E727</f>
        <v/>
      </c>
      <c r="G734" s="7">
        <f>'1 datos preparados'!F727</f>
        <v/>
      </c>
      <c r="H734" s="7">
        <f>'1 datos preparados'!G727</f>
        <v/>
      </c>
      <c r="I734" s="7">
        <f>'1 datos preparados'!H727</f>
        <v/>
      </c>
      <c r="J734" s="7">
        <f>'1 datos preparados'!I727</f>
        <v/>
      </c>
      <c r="K734" s="7">
        <f>'1 datos preparados'!J727</f>
        <v/>
      </c>
      <c r="L734" s="7">
        <f>'1 datos preparados'!K727</f>
        <v/>
      </c>
      <c r="M734" s="7">
        <f>'1 datos preparados'!L727</f>
        <v/>
      </c>
      <c r="N734" s="7">
        <f>'1 datos preparados'!M727</f>
        <v/>
      </c>
      <c r="O734" s="7">
        <f>'1 datos preparados'!N727</f>
        <v/>
      </c>
      <c r="P734" s="7">
        <f>'1 datos preparados'!O727</f>
        <v/>
      </c>
      <c r="Q734" s="7">
        <f>'1 datos preparados'!P727</f>
        <v/>
      </c>
      <c r="R734" s="7">
        <f>'1 datos preparados'!Q727</f>
        <v/>
      </c>
      <c r="S734" s="7">
        <f>'1 datos preparados'!R727</f>
        <v/>
      </c>
      <c r="T734" s="7">
        <f>'1 datos preparados'!S727</f>
        <v/>
      </c>
      <c r="U734" s="7">
        <f>'1 datos preparados'!T727</f>
        <v/>
      </c>
      <c r="V734" s="8">
        <f>$AE$12+D734*$AE$13+E734*$AE$14+F734*$AE$15+G734*$AE$16+H734*$AE$17+I734*$AE$18+J734*$AE$19+K734*$AE$20+L734*$AE$21+M734*$AE$22+N734*$AE$23+O734*$AE$24+P734*$AE$25+Q734*$AE$26+R734*$AE$27+S734*$AE$28+T734*$AE$29+U734*$AE$30</f>
        <v/>
      </c>
      <c r="W734" s="8">
        <f>1/(1+EXP(-V734))</f>
        <v/>
      </c>
      <c r="X734" s="9">
        <f>-IF(C734=1,LN(W734),LN(1-W734))</f>
        <v/>
      </c>
      <c r="Y734" s="8">
        <f>1</f>
        <v/>
      </c>
      <c r="Z734" s="9">
        <f>Y734*X734</f>
        <v/>
      </c>
      <c r="AA734" s="10">
        <f>IF(W734&gt;$AE$32,1,0)</f>
        <v/>
      </c>
      <c r="AB734">
        <f>IF(AA734=C734,1,0)</f>
        <v/>
      </c>
    </row>
    <row r="735">
      <c r="A735">
        <f>'1 datos preparados'!A728</f>
        <v/>
      </c>
      <c r="B735" s="5">
        <f>'1 datos preparados'!U728</f>
        <v/>
      </c>
      <c r="C735">
        <f>'1 datos preparados'!B728</f>
        <v/>
      </c>
      <c r="D735" s="7">
        <f>'1 datos preparados'!C728</f>
        <v/>
      </c>
      <c r="E735" s="7">
        <f>'1 datos preparados'!D728</f>
        <v/>
      </c>
      <c r="F735" s="7">
        <f>'1 datos preparados'!E728</f>
        <v/>
      </c>
      <c r="G735" s="7">
        <f>'1 datos preparados'!F728</f>
        <v/>
      </c>
      <c r="H735" s="7">
        <f>'1 datos preparados'!G728</f>
        <v/>
      </c>
      <c r="I735" s="7">
        <f>'1 datos preparados'!H728</f>
        <v/>
      </c>
      <c r="J735" s="7">
        <f>'1 datos preparados'!I728</f>
        <v/>
      </c>
      <c r="K735" s="7">
        <f>'1 datos preparados'!J728</f>
        <v/>
      </c>
      <c r="L735" s="7">
        <f>'1 datos preparados'!K728</f>
        <v/>
      </c>
      <c r="M735" s="7">
        <f>'1 datos preparados'!L728</f>
        <v/>
      </c>
      <c r="N735" s="7">
        <f>'1 datos preparados'!M728</f>
        <v/>
      </c>
      <c r="O735" s="7">
        <f>'1 datos preparados'!N728</f>
        <v/>
      </c>
      <c r="P735" s="7">
        <f>'1 datos preparados'!O728</f>
        <v/>
      </c>
      <c r="Q735" s="7">
        <f>'1 datos preparados'!P728</f>
        <v/>
      </c>
      <c r="R735" s="7">
        <f>'1 datos preparados'!Q728</f>
        <v/>
      </c>
      <c r="S735" s="7">
        <f>'1 datos preparados'!R728</f>
        <v/>
      </c>
      <c r="T735" s="7">
        <f>'1 datos preparados'!S728</f>
        <v/>
      </c>
      <c r="U735" s="7">
        <f>'1 datos preparados'!T728</f>
        <v/>
      </c>
      <c r="V735" s="8">
        <f>$AE$12+D735*$AE$13+E735*$AE$14+F735*$AE$15+G735*$AE$16+H735*$AE$17+I735*$AE$18+J735*$AE$19+K735*$AE$20+L735*$AE$21+M735*$AE$22+N735*$AE$23+O735*$AE$24+P735*$AE$25+Q735*$AE$26+R735*$AE$27+S735*$AE$28+T735*$AE$29+U735*$AE$30</f>
        <v/>
      </c>
      <c r="W735" s="8">
        <f>1/(1+EXP(-V735))</f>
        <v/>
      </c>
      <c r="X735" s="9">
        <f>-IF(C735=1,LN(W735),LN(1-W735))</f>
        <v/>
      </c>
      <c r="Y735" s="8">
        <f>1</f>
        <v/>
      </c>
      <c r="Z735" s="9">
        <f>Y735*X735</f>
        <v/>
      </c>
      <c r="AA735" s="10">
        <f>IF(W735&gt;$AE$32,1,0)</f>
        <v/>
      </c>
      <c r="AB735">
        <f>IF(AA735=C735,1,0)</f>
        <v/>
      </c>
    </row>
    <row r="736">
      <c r="A736">
        <f>'1 datos preparados'!A729</f>
        <v/>
      </c>
      <c r="B736" s="5">
        <f>'1 datos preparados'!U729</f>
        <v/>
      </c>
      <c r="C736">
        <f>'1 datos preparados'!B729</f>
        <v/>
      </c>
      <c r="D736" s="7">
        <f>'1 datos preparados'!C729</f>
        <v/>
      </c>
      <c r="E736" s="7">
        <f>'1 datos preparados'!D729</f>
        <v/>
      </c>
      <c r="F736" s="7">
        <f>'1 datos preparados'!E729</f>
        <v/>
      </c>
      <c r="G736" s="7">
        <f>'1 datos preparados'!F729</f>
        <v/>
      </c>
      <c r="H736" s="7">
        <f>'1 datos preparados'!G729</f>
        <v/>
      </c>
      <c r="I736" s="7">
        <f>'1 datos preparados'!H729</f>
        <v/>
      </c>
      <c r="J736" s="7">
        <f>'1 datos preparados'!I729</f>
        <v/>
      </c>
      <c r="K736" s="7">
        <f>'1 datos preparados'!J729</f>
        <v/>
      </c>
      <c r="L736" s="7">
        <f>'1 datos preparados'!K729</f>
        <v/>
      </c>
      <c r="M736" s="7">
        <f>'1 datos preparados'!L729</f>
        <v/>
      </c>
      <c r="N736" s="7">
        <f>'1 datos preparados'!M729</f>
        <v/>
      </c>
      <c r="O736" s="7">
        <f>'1 datos preparados'!N729</f>
        <v/>
      </c>
      <c r="P736" s="7">
        <f>'1 datos preparados'!O729</f>
        <v/>
      </c>
      <c r="Q736" s="7">
        <f>'1 datos preparados'!P729</f>
        <v/>
      </c>
      <c r="R736" s="7">
        <f>'1 datos preparados'!Q729</f>
        <v/>
      </c>
      <c r="S736" s="7">
        <f>'1 datos preparados'!R729</f>
        <v/>
      </c>
      <c r="T736" s="7">
        <f>'1 datos preparados'!S729</f>
        <v/>
      </c>
      <c r="U736" s="7">
        <f>'1 datos preparados'!T729</f>
        <v/>
      </c>
      <c r="V736" s="8">
        <f>$AE$12+D736*$AE$13+E736*$AE$14+F736*$AE$15+G736*$AE$16+H736*$AE$17+I736*$AE$18+J736*$AE$19+K736*$AE$20+L736*$AE$21+M736*$AE$22+N736*$AE$23+O736*$AE$24+P736*$AE$25+Q736*$AE$26+R736*$AE$27+S736*$AE$28+T736*$AE$29+U736*$AE$30</f>
        <v/>
      </c>
      <c r="W736" s="8">
        <f>1/(1+EXP(-V736))</f>
        <v/>
      </c>
      <c r="X736" s="9">
        <f>-IF(C736=1,LN(W736),LN(1-W736))</f>
        <v/>
      </c>
      <c r="Y736" s="8">
        <f>1</f>
        <v/>
      </c>
      <c r="Z736" s="9">
        <f>Y736*X736</f>
        <v/>
      </c>
      <c r="AA736" s="10">
        <f>IF(W736&gt;$AE$32,1,0)</f>
        <v/>
      </c>
      <c r="AB736">
        <f>IF(AA736=C736,1,0)</f>
        <v/>
      </c>
    </row>
    <row r="737">
      <c r="A737">
        <f>'1 datos preparados'!A730</f>
        <v/>
      </c>
      <c r="B737" s="5">
        <f>'1 datos preparados'!U730</f>
        <v/>
      </c>
      <c r="C737">
        <f>'1 datos preparados'!B730</f>
        <v/>
      </c>
      <c r="D737" s="7">
        <f>'1 datos preparados'!C730</f>
        <v/>
      </c>
      <c r="E737" s="7">
        <f>'1 datos preparados'!D730</f>
        <v/>
      </c>
      <c r="F737" s="7">
        <f>'1 datos preparados'!E730</f>
        <v/>
      </c>
      <c r="G737" s="7">
        <f>'1 datos preparados'!F730</f>
        <v/>
      </c>
      <c r="H737" s="7">
        <f>'1 datos preparados'!G730</f>
        <v/>
      </c>
      <c r="I737" s="7">
        <f>'1 datos preparados'!H730</f>
        <v/>
      </c>
      <c r="J737" s="7">
        <f>'1 datos preparados'!I730</f>
        <v/>
      </c>
      <c r="K737" s="7">
        <f>'1 datos preparados'!J730</f>
        <v/>
      </c>
      <c r="L737" s="7">
        <f>'1 datos preparados'!K730</f>
        <v/>
      </c>
      <c r="M737" s="7">
        <f>'1 datos preparados'!L730</f>
        <v/>
      </c>
      <c r="N737" s="7">
        <f>'1 datos preparados'!M730</f>
        <v/>
      </c>
      <c r="O737" s="7">
        <f>'1 datos preparados'!N730</f>
        <v/>
      </c>
      <c r="P737" s="7">
        <f>'1 datos preparados'!O730</f>
        <v/>
      </c>
      <c r="Q737" s="7">
        <f>'1 datos preparados'!P730</f>
        <v/>
      </c>
      <c r="R737" s="7">
        <f>'1 datos preparados'!Q730</f>
        <v/>
      </c>
      <c r="S737" s="7">
        <f>'1 datos preparados'!R730</f>
        <v/>
      </c>
      <c r="T737" s="7">
        <f>'1 datos preparados'!S730</f>
        <v/>
      </c>
      <c r="U737" s="7">
        <f>'1 datos preparados'!T730</f>
        <v/>
      </c>
      <c r="V737" s="8">
        <f>$AE$12+D737*$AE$13+E737*$AE$14+F737*$AE$15+G737*$AE$16+H737*$AE$17+I737*$AE$18+J737*$AE$19+K737*$AE$20+L737*$AE$21+M737*$AE$22+N737*$AE$23+O737*$AE$24+P737*$AE$25+Q737*$AE$26+R737*$AE$27+S737*$AE$28+T737*$AE$29+U737*$AE$30</f>
        <v/>
      </c>
      <c r="W737" s="8">
        <f>1/(1+EXP(-V737))</f>
        <v/>
      </c>
      <c r="X737" s="9">
        <f>-IF(C737=1,LN(W737),LN(1-W737))</f>
        <v/>
      </c>
      <c r="Y737" s="8">
        <f>1</f>
        <v/>
      </c>
      <c r="Z737" s="9">
        <f>Y737*X737</f>
        <v/>
      </c>
      <c r="AA737" s="10">
        <f>IF(W737&gt;$AE$32,1,0)</f>
        <v/>
      </c>
      <c r="AB737">
        <f>IF(AA737=C737,1,0)</f>
        <v/>
      </c>
    </row>
    <row r="738">
      <c r="A738">
        <f>'1 datos preparados'!A731</f>
        <v/>
      </c>
      <c r="B738" s="5">
        <f>'1 datos preparados'!U731</f>
        <v/>
      </c>
      <c r="C738">
        <f>'1 datos preparados'!B731</f>
        <v/>
      </c>
      <c r="D738" s="7">
        <f>'1 datos preparados'!C731</f>
        <v/>
      </c>
      <c r="E738" s="7">
        <f>'1 datos preparados'!D731</f>
        <v/>
      </c>
      <c r="F738" s="7">
        <f>'1 datos preparados'!E731</f>
        <v/>
      </c>
      <c r="G738" s="7">
        <f>'1 datos preparados'!F731</f>
        <v/>
      </c>
      <c r="H738" s="7">
        <f>'1 datos preparados'!G731</f>
        <v/>
      </c>
      <c r="I738" s="7">
        <f>'1 datos preparados'!H731</f>
        <v/>
      </c>
      <c r="J738" s="7">
        <f>'1 datos preparados'!I731</f>
        <v/>
      </c>
      <c r="K738" s="7">
        <f>'1 datos preparados'!J731</f>
        <v/>
      </c>
      <c r="L738" s="7">
        <f>'1 datos preparados'!K731</f>
        <v/>
      </c>
      <c r="M738" s="7">
        <f>'1 datos preparados'!L731</f>
        <v/>
      </c>
      <c r="N738" s="7">
        <f>'1 datos preparados'!M731</f>
        <v/>
      </c>
      <c r="O738" s="7">
        <f>'1 datos preparados'!N731</f>
        <v/>
      </c>
      <c r="P738" s="7">
        <f>'1 datos preparados'!O731</f>
        <v/>
      </c>
      <c r="Q738" s="7">
        <f>'1 datos preparados'!P731</f>
        <v/>
      </c>
      <c r="R738" s="7">
        <f>'1 datos preparados'!Q731</f>
        <v/>
      </c>
      <c r="S738" s="7">
        <f>'1 datos preparados'!R731</f>
        <v/>
      </c>
      <c r="T738" s="7">
        <f>'1 datos preparados'!S731</f>
        <v/>
      </c>
      <c r="U738" s="7">
        <f>'1 datos preparados'!T731</f>
        <v/>
      </c>
      <c r="V738" s="8">
        <f>$AE$12+D738*$AE$13+E738*$AE$14+F738*$AE$15+G738*$AE$16+H738*$AE$17+I738*$AE$18+J738*$AE$19+K738*$AE$20+L738*$AE$21+M738*$AE$22+N738*$AE$23+O738*$AE$24+P738*$AE$25+Q738*$AE$26+R738*$AE$27+S738*$AE$28+T738*$AE$29+U738*$AE$30</f>
        <v/>
      </c>
      <c r="W738" s="8">
        <f>1/(1+EXP(-V738))</f>
        <v/>
      </c>
      <c r="X738" s="9">
        <f>-IF(C738=1,LN(W738),LN(1-W738))</f>
        <v/>
      </c>
      <c r="Y738" s="8">
        <f>1</f>
        <v/>
      </c>
      <c r="Z738" s="9">
        <f>Y738*X738</f>
        <v/>
      </c>
      <c r="AA738" s="10">
        <f>IF(W738&gt;$AE$32,1,0)</f>
        <v/>
      </c>
      <c r="AB738">
        <f>IF(AA738=C738,1,0)</f>
        <v/>
      </c>
    </row>
    <row r="739">
      <c r="A739">
        <f>'1 datos preparados'!A732</f>
        <v/>
      </c>
      <c r="B739" s="5">
        <f>'1 datos preparados'!U732</f>
        <v/>
      </c>
      <c r="C739">
        <f>'1 datos preparados'!B732</f>
        <v/>
      </c>
      <c r="D739" s="7">
        <f>'1 datos preparados'!C732</f>
        <v/>
      </c>
      <c r="E739" s="7">
        <f>'1 datos preparados'!D732</f>
        <v/>
      </c>
      <c r="F739" s="7">
        <f>'1 datos preparados'!E732</f>
        <v/>
      </c>
      <c r="G739" s="7">
        <f>'1 datos preparados'!F732</f>
        <v/>
      </c>
      <c r="H739" s="7">
        <f>'1 datos preparados'!G732</f>
        <v/>
      </c>
      <c r="I739" s="7">
        <f>'1 datos preparados'!H732</f>
        <v/>
      </c>
      <c r="J739" s="7">
        <f>'1 datos preparados'!I732</f>
        <v/>
      </c>
      <c r="K739" s="7">
        <f>'1 datos preparados'!J732</f>
        <v/>
      </c>
      <c r="L739" s="7">
        <f>'1 datos preparados'!K732</f>
        <v/>
      </c>
      <c r="M739" s="7">
        <f>'1 datos preparados'!L732</f>
        <v/>
      </c>
      <c r="N739" s="7">
        <f>'1 datos preparados'!M732</f>
        <v/>
      </c>
      <c r="O739" s="7">
        <f>'1 datos preparados'!N732</f>
        <v/>
      </c>
      <c r="P739" s="7">
        <f>'1 datos preparados'!O732</f>
        <v/>
      </c>
      <c r="Q739" s="7">
        <f>'1 datos preparados'!P732</f>
        <v/>
      </c>
      <c r="R739" s="7">
        <f>'1 datos preparados'!Q732</f>
        <v/>
      </c>
      <c r="S739" s="7">
        <f>'1 datos preparados'!R732</f>
        <v/>
      </c>
      <c r="T739" s="7">
        <f>'1 datos preparados'!S732</f>
        <v/>
      </c>
      <c r="U739" s="7">
        <f>'1 datos preparados'!T732</f>
        <v/>
      </c>
      <c r="V739" s="8">
        <f>$AE$12+D739*$AE$13+E739*$AE$14+F739*$AE$15+G739*$AE$16+H739*$AE$17+I739*$AE$18+J739*$AE$19+K739*$AE$20+L739*$AE$21+M739*$AE$22+N739*$AE$23+O739*$AE$24+P739*$AE$25+Q739*$AE$26+R739*$AE$27+S739*$AE$28+T739*$AE$29+U739*$AE$30</f>
        <v/>
      </c>
      <c r="W739" s="8">
        <f>1/(1+EXP(-V739))</f>
        <v/>
      </c>
      <c r="X739" s="9">
        <f>-IF(C739=1,LN(W739),LN(1-W739))</f>
        <v/>
      </c>
      <c r="Y739" s="8">
        <f>1</f>
        <v/>
      </c>
      <c r="Z739" s="9">
        <f>Y739*X739</f>
        <v/>
      </c>
      <c r="AA739" s="10">
        <f>IF(W739&gt;$AE$32,1,0)</f>
        <v/>
      </c>
      <c r="AB739">
        <f>IF(AA739=C739,1,0)</f>
        <v/>
      </c>
    </row>
    <row r="740">
      <c r="A740">
        <f>'1 datos preparados'!A733</f>
        <v/>
      </c>
      <c r="B740" s="5">
        <f>'1 datos preparados'!U733</f>
        <v/>
      </c>
      <c r="C740">
        <f>'1 datos preparados'!B733</f>
        <v/>
      </c>
      <c r="D740" s="7">
        <f>'1 datos preparados'!C733</f>
        <v/>
      </c>
      <c r="E740" s="7">
        <f>'1 datos preparados'!D733</f>
        <v/>
      </c>
      <c r="F740" s="7">
        <f>'1 datos preparados'!E733</f>
        <v/>
      </c>
      <c r="G740" s="7">
        <f>'1 datos preparados'!F733</f>
        <v/>
      </c>
      <c r="H740" s="7">
        <f>'1 datos preparados'!G733</f>
        <v/>
      </c>
      <c r="I740" s="7">
        <f>'1 datos preparados'!H733</f>
        <v/>
      </c>
      <c r="J740" s="7">
        <f>'1 datos preparados'!I733</f>
        <v/>
      </c>
      <c r="K740" s="7">
        <f>'1 datos preparados'!J733</f>
        <v/>
      </c>
      <c r="L740" s="7">
        <f>'1 datos preparados'!K733</f>
        <v/>
      </c>
      <c r="M740" s="7">
        <f>'1 datos preparados'!L733</f>
        <v/>
      </c>
      <c r="N740" s="7">
        <f>'1 datos preparados'!M733</f>
        <v/>
      </c>
      <c r="O740" s="7">
        <f>'1 datos preparados'!N733</f>
        <v/>
      </c>
      <c r="P740" s="7">
        <f>'1 datos preparados'!O733</f>
        <v/>
      </c>
      <c r="Q740" s="7">
        <f>'1 datos preparados'!P733</f>
        <v/>
      </c>
      <c r="R740" s="7">
        <f>'1 datos preparados'!Q733</f>
        <v/>
      </c>
      <c r="S740" s="7">
        <f>'1 datos preparados'!R733</f>
        <v/>
      </c>
      <c r="T740" s="7">
        <f>'1 datos preparados'!S733</f>
        <v/>
      </c>
      <c r="U740" s="7">
        <f>'1 datos preparados'!T733</f>
        <v/>
      </c>
      <c r="V740" s="8">
        <f>$AE$12+D740*$AE$13+E740*$AE$14+F740*$AE$15+G740*$AE$16+H740*$AE$17+I740*$AE$18+J740*$AE$19+K740*$AE$20+L740*$AE$21+M740*$AE$22+N740*$AE$23+O740*$AE$24+P740*$AE$25+Q740*$AE$26+R740*$AE$27+S740*$AE$28+T740*$AE$29+U740*$AE$30</f>
        <v/>
      </c>
      <c r="W740" s="8">
        <f>1/(1+EXP(-V740))</f>
        <v/>
      </c>
      <c r="X740" s="9">
        <f>-IF(C740=1,LN(W740),LN(1-W740))</f>
        <v/>
      </c>
      <c r="Y740" s="8">
        <f>1</f>
        <v/>
      </c>
      <c r="Z740" s="9">
        <f>Y740*X740</f>
        <v/>
      </c>
      <c r="AA740" s="10">
        <f>IF(W740&gt;$AE$32,1,0)</f>
        <v/>
      </c>
      <c r="AB740">
        <f>IF(AA740=C740,1,0)</f>
        <v/>
      </c>
    </row>
    <row r="741">
      <c r="A741">
        <f>'1 datos preparados'!A734</f>
        <v/>
      </c>
      <c r="B741" s="5">
        <f>'1 datos preparados'!U734</f>
        <v/>
      </c>
      <c r="C741">
        <f>'1 datos preparados'!B734</f>
        <v/>
      </c>
      <c r="D741" s="7">
        <f>'1 datos preparados'!C734</f>
        <v/>
      </c>
      <c r="E741" s="7">
        <f>'1 datos preparados'!D734</f>
        <v/>
      </c>
      <c r="F741" s="7">
        <f>'1 datos preparados'!E734</f>
        <v/>
      </c>
      <c r="G741" s="7">
        <f>'1 datos preparados'!F734</f>
        <v/>
      </c>
      <c r="H741" s="7">
        <f>'1 datos preparados'!G734</f>
        <v/>
      </c>
      <c r="I741" s="7">
        <f>'1 datos preparados'!H734</f>
        <v/>
      </c>
      <c r="J741" s="7">
        <f>'1 datos preparados'!I734</f>
        <v/>
      </c>
      <c r="K741" s="7">
        <f>'1 datos preparados'!J734</f>
        <v/>
      </c>
      <c r="L741" s="7">
        <f>'1 datos preparados'!K734</f>
        <v/>
      </c>
      <c r="M741" s="7">
        <f>'1 datos preparados'!L734</f>
        <v/>
      </c>
      <c r="N741" s="7">
        <f>'1 datos preparados'!M734</f>
        <v/>
      </c>
      <c r="O741" s="7">
        <f>'1 datos preparados'!N734</f>
        <v/>
      </c>
      <c r="P741" s="7">
        <f>'1 datos preparados'!O734</f>
        <v/>
      </c>
      <c r="Q741" s="7">
        <f>'1 datos preparados'!P734</f>
        <v/>
      </c>
      <c r="R741" s="7">
        <f>'1 datos preparados'!Q734</f>
        <v/>
      </c>
      <c r="S741" s="7">
        <f>'1 datos preparados'!R734</f>
        <v/>
      </c>
      <c r="T741" s="7">
        <f>'1 datos preparados'!S734</f>
        <v/>
      </c>
      <c r="U741" s="7">
        <f>'1 datos preparados'!T734</f>
        <v/>
      </c>
      <c r="V741" s="8">
        <f>$AE$12+D741*$AE$13+E741*$AE$14+F741*$AE$15+G741*$AE$16+H741*$AE$17+I741*$AE$18+J741*$AE$19+K741*$AE$20+L741*$AE$21+M741*$AE$22+N741*$AE$23+O741*$AE$24+P741*$AE$25+Q741*$AE$26+R741*$AE$27+S741*$AE$28+T741*$AE$29+U741*$AE$30</f>
        <v/>
      </c>
      <c r="W741" s="8">
        <f>1/(1+EXP(-V741))</f>
        <v/>
      </c>
      <c r="X741" s="9">
        <f>-IF(C741=1,LN(W741),LN(1-W741))</f>
        <v/>
      </c>
      <c r="Y741" s="8">
        <f>1</f>
        <v/>
      </c>
      <c r="Z741" s="9">
        <f>Y741*X741</f>
        <v/>
      </c>
      <c r="AA741" s="10">
        <f>IF(W741&gt;$AE$32,1,0)</f>
        <v/>
      </c>
      <c r="AB741">
        <f>IF(AA741=C741,1,0)</f>
        <v/>
      </c>
    </row>
    <row r="742">
      <c r="A742">
        <f>'1 datos preparados'!A735</f>
        <v/>
      </c>
      <c r="B742" s="5">
        <f>'1 datos preparados'!U735</f>
        <v/>
      </c>
      <c r="C742">
        <f>'1 datos preparados'!B735</f>
        <v/>
      </c>
      <c r="D742" s="7">
        <f>'1 datos preparados'!C735</f>
        <v/>
      </c>
      <c r="E742" s="7">
        <f>'1 datos preparados'!D735</f>
        <v/>
      </c>
      <c r="F742" s="7">
        <f>'1 datos preparados'!E735</f>
        <v/>
      </c>
      <c r="G742" s="7">
        <f>'1 datos preparados'!F735</f>
        <v/>
      </c>
      <c r="H742" s="7">
        <f>'1 datos preparados'!G735</f>
        <v/>
      </c>
      <c r="I742" s="7">
        <f>'1 datos preparados'!H735</f>
        <v/>
      </c>
      <c r="J742" s="7">
        <f>'1 datos preparados'!I735</f>
        <v/>
      </c>
      <c r="K742" s="7">
        <f>'1 datos preparados'!J735</f>
        <v/>
      </c>
      <c r="L742" s="7">
        <f>'1 datos preparados'!K735</f>
        <v/>
      </c>
      <c r="M742" s="7">
        <f>'1 datos preparados'!L735</f>
        <v/>
      </c>
      <c r="N742" s="7">
        <f>'1 datos preparados'!M735</f>
        <v/>
      </c>
      <c r="O742" s="7">
        <f>'1 datos preparados'!N735</f>
        <v/>
      </c>
      <c r="P742" s="7">
        <f>'1 datos preparados'!O735</f>
        <v/>
      </c>
      <c r="Q742" s="7">
        <f>'1 datos preparados'!P735</f>
        <v/>
      </c>
      <c r="R742" s="7">
        <f>'1 datos preparados'!Q735</f>
        <v/>
      </c>
      <c r="S742" s="7">
        <f>'1 datos preparados'!R735</f>
        <v/>
      </c>
      <c r="T742" s="7">
        <f>'1 datos preparados'!S735</f>
        <v/>
      </c>
      <c r="U742" s="7">
        <f>'1 datos preparados'!T735</f>
        <v/>
      </c>
      <c r="V742" s="8">
        <f>$AE$12+D742*$AE$13+E742*$AE$14+F742*$AE$15+G742*$AE$16+H742*$AE$17+I742*$AE$18+J742*$AE$19+K742*$AE$20+L742*$AE$21+M742*$AE$22+N742*$AE$23+O742*$AE$24+P742*$AE$25+Q742*$AE$26+R742*$AE$27+S742*$AE$28+T742*$AE$29+U742*$AE$30</f>
        <v/>
      </c>
      <c r="W742" s="8">
        <f>1/(1+EXP(-V742))</f>
        <v/>
      </c>
      <c r="X742" s="9">
        <f>-IF(C742=1,LN(W742),LN(1-W742))</f>
        <v/>
      </c>
      <c r="Y742" s="8">
        <f>1</f>
        <v/>
      </c>
      <c r="Z742" s="9">
        <f>Y742*X742</f>
        <v/>
      </c>
      <c r="AA742" s="10">
        <f>IF(W742&gt;$AE$32,1,0)</f>
        <v/>
      </c>
      <c r="AB742">
        <f>IF(AA742=C742,1,0)</f>
        <v/>
      </c>
    </row>
    <row r="743">
      <c r="A743">
        <f>'1 datos preparados'!A736</f>
        <v/>
      </c>
      <c r="B743" s="5">
        <f>'1 datos preparados'!U736</f>
        <v/>
      </c>
      <c r="C743">
        <f>'1 datos preparados'!B736</f>
        <v/>
      </c>
      <c r="D743" s="7">
        <f>'1 datos preparados'!C736</f>
        <v/>
      </c>
      <c r="E743" s="7">
        <f>'1 datos preparados'!D736</f>
        <v/>
      </c>
      <c r="F743" s="7">
        <f>'1 datos preparados'!E736</f>
        <v/>
      </c>
      <c r="G743" s="7">
        <f>'1 datos preparados'!F736</f>
        <v/>
      </c>
      <c r="H743" s="7">
        <f>'1 datos preparados'!G736</f>
        <v/>
      </c>
      <c r="I743" s="7">
        <f>'1 datos preparados'!H736</f>
        <v/>
      </c>
      <c r="J743" s="7">
        <f>'1 datos preparados'!I736</f>
        <v/>
      </c>
      <c r="K743" s="7">
        <f>'1 datos preparados'!J736</f>
        <v/>
      </c>
      <c r="L743" s="7">
        <f>'1 datos preparados'!K736</f>
        <v/>
      </c>
      <c r="M743" s="7">
        <f>'1 datos preparados'!L736</f>
        <v/>
      </c>
      <c r="N743" s="7">
        <f>'1 datos preparados'!M736</f>
        <v/>
      </c>
      <c r="O743" s="7">
        <f>'1 datos preparados'!N736</f>
        <v/>
      </c>
      <c r="P743" s="7">
        <f>'1 datos preparados'!O736</f>
        <v/>
      </c>
      <c r="Q743" s="7">
        <f>'1 datos preparados'!P736</f>
        <v/>
      </c>
      <c r="R743" s="7">
        <f>'1 datos preparados'!Q736</f>
        <v/>
      </c>
      <c r="S743" s="7">
        <f>'1 datos preparados'!R736</f>
        <v/>
      </c>
      <c r="T743" s="7">
        <f>'1 datos preparados'!S736</f>
        <v/>
      </c>
      <c r="U743" s="7">
        <f>'1 datos preparados'!T736</f>
        <v/>
      </c>
      <c r="V743" s="8">
        <f>$AE$12+D743*$AE$13+E743*$AE$14+F743*$AE$15+G743*$AE$16+H743*$AE$17+I743*$AE$18+J743*$AE$19+K743*$AE$20+L743*$AE$21+M743*$AE$22+N743*$AE$23+O743*$AE$24+P743*$AE$25+Q743*$AE$26+R743*$AE$27+S743*$AE$28+T743*$AE$29+U743*$AE$30</f>
        <v/>
      </c>
      <c r="W743" s="8">
        <f>1/(1+EXP(-V743))</f>
        <v/>
      </c>
      <c r="X743" s="9">
        <f>-IF(C743=1,LN(W743),LN(1-W743))</f>
        <v/>
      </c>
      <c r="Y743" s="8">
        <f>1</f>
        <v/>
      </c>
      <c r="Z743" s="9">
        <f>Y743*X743</f>
        <v/>
      </c>
      <c r="AA743" s="10">
        <f>IF(W743&gt;$AE$32,1,0)</f>
        <v/>
      </c>
      <c r="AB743">
        <f>IF(AA743=C743,1,0)</f>
        <v/>
      </c>
    </row>
    <row r="744">
      <c r="A744">
        <f>'1 datos preparados'!A737</f>
        <v/>
      </c>
      <c r="B744" s="5">
        <f>'1 datos preparados'!U737</f>
        <v/>
      </c>
      <c r="C744">
        <f>'1 datos preparados'!B737</f>
        <v/>
      </c>
      <c r="D744" s="7">
        <f>'1 datos preparados'!C737</f>
        <v/>
      </c>
      <c r="E744" s="7">
        <f>'1 datos preparados'!D737</f>
        <v/>
      </c>
      <c r="F744" s="7">
        <f>'1 datos preparados'!E737</f>
        <v/>
      </c>
      <c r="G744" s="7">
        <f>'1 datos preparados'!F737</f>
        <v/>
      </c>
      <c r="H744" s="7">
        <f>'1 datos preparados'!G737</f>
        <v/>
      </c>
      <c r="I744" s="7">
        <f>'1 datos preparados'!H737</f>
        <v/>
      </c>
      <c r="J744" s="7">
        <f>'1 datos preparados'!I737</f>
        <v/>
      </c>
      <c r="K744" s="7">
        <f>'1 datos preparados'!J737</f>
        <v/>
      </c>
      <c r="L744" s="7">
        <f>'1 datos preparados'!K737</f>
        <v/>
      </c>
      <c r="M744" s="7">
        <f>'1 datos preparados'!L737</f>
        <v/>
      </c>
      <c r="N744" s="7">
        <f>'1 datos preparados'!M737</f>
        <v/>
      </c>
      <c r="O744" s="7">
        <f>'1 datos preparados'!N737</f>
        <v/>
      </c>
      <c r="P744" s="7">
        <f>'1 datos preparados'!O737</f>
        <v/>
      </c>
      <c r="Q744" s="7">
        <f>'1 datos preparados'!P737</f>
        <v/>
      </c>
      <c r="R744" s="7">
        <f>'1 datos preparados'!Q737</f>
        <v/>
      </c>
      <c r="S744" s="7">
        <f>'1 datos preparados'!R737</f>
        <v/>
      </c>
      <c r="T744" s="7">
        <f>'1 datos preparados'!S737</f>
        <v/>
      </c>
      <c r="U744" s="7">
        <f>'1 datos preparados'!T737</f>
        <v/>
      </c>
      <c r="V744" s="8">
        <f>$AE$12+D744*$AE$13+E744*$AE$14+F744*$AE$15+G744*$AE$16+H744*$AE$17+I744*$AE$18+J744*$AE$19+K744*$AE$20+L744*$AE$21+M744*$AE$22+N744*$AE$23+O744*$AE$24+P744*$AE$25+Q744*$AE$26+R744*$AE$27+S744*$AE$28+T744*$AE$29+U744*$AE$30</f>
        <v/>
      </c>
      <c r="W744" s="8">
        <f>1/(1+EXP(-V744))</f>
        <v/>
      </c>
      <c r="X744" s="9">
        <f>-IF(C744=1,LN(W744),LN(1-W744))</f>
        <v/>
      </c>
      <c r="Y744" s="8">
        <f>1</f>
        <v/>
      </c>
      <c r="Z744" s="9">
        <f>Y744*X744</f>
        <v/>
      </c>
      <c r="AA744" s="10">
        <f>IF(W744&gt;$AE$32,1,0)</f>
        <v/>
      </c>
      <c r="AB744">
        <f>IF(AA744=C744,1,0)</f>
        <v/>
      </c>
    </row>
    <row r="745">
      <c r="A745">
        <f>'1 datos preparados'!A738</f>
        <v/>
      </c>
      <c r="B745" s="5">
        <f>'1 datos preparados'!U738</f>
        <v/>
      </c>
      <c r="C745">
        <f>'1 datos preparados'!B738</f>
        <v/>
      </c>
      <c r="D745" s="7">
        <f>'1 datos preparados'!C738</f>
        <v/>
      </c>
      <c r="E745" s="7">
        <f>'1 datos preparados'!D738</f>
        <v/>
      </c>
      <c r="F745" s="7">
        <f>'1 datos preparados'!E738</f>
        <v/>
      </c>
      <c r="G745" s="7">
        <f>'1 datos preparados'!F738</f>
        <v/>
      </c>
      <c r="H745" s="7">
        <f>'1 datos preparados'!G738</f>
        <v/>
      </c>
      <c r="I745" s="7">
        <f>'1 datos preparados'!H738</f>
        <v/>
      </c>
      <c r="J745" s="7">
        <f>'1 datos preparados'!I738</f>
        <v/>
      </c>
      <c r="K745" s="7">
        <f>'1 datos preparados'!J738</f>
        <v/>
      </c>
      <c r="L745" s="7">
        <f>'1 datos preparados'!K738</f>
        <v/>
      </c>
      <c r="M745" s="7">
        <f>'1 datos preparados'!L738</f>
        <v/>
      </c>
      <c r="N745" s="7">
        <f>'1 datos preparados'!M738</f>
        <v/>
      </c>
      <c r="O745" s="7">
        <f>'1 datos preparados'!N738</f>
        <v/>
      </c>
      <c r="P745" s="7">
        <f>'1 datos preparados'!O738</f>
        <v/>
      </c>
      <c r="Q745" s="7">
        <f>'1 datos preparados'!P738</f>
        <v/>
      </c>
      <c r="R745" s="7">
        <f>'1 datos preparados'!Q738</f>
        <v/>
      </c>
      <c r="S745" s="7">
        <f>'1 datos preparados'!R738</f>
        <v/>
      </c>
      <c r="T745" s="7">
        <f>'1 datos preparados'!S738</f>
        <v/>
      </c>
      <c r="U745" s="7">
        <f>'1 datos preparados'!T738</f>
        <v/>
      </c>
      <c r="V745" s="8">
        <f>$AE$12+D745*$AE$13+E745*$AE$14+F745*$AE$15+G745*$AE$16+H745*$AE$17+I745*$AE$18+J745*$AE$19+K745*$AE$20+L745*$AE$21+M745*$AE$22+N745*$AE$23+O745*$AE$24+P745*$AE$25+Q745*$AE$26+R745*$AE$27+S745*$AE$28+T745*$AE$29+U745*$AE$30</f>
        <v/>
      </c>
      <c r="W745" s="8">
        <f>1/(1+EXP(-V745))</f>
        <v/>
      </c>
      <c r="X745" s="9">
        <f>-IF(C745=1,LN(W745),LN(1-W745))</f>
        <v/>
      </c>
      <c r="Y745" s="8">
        <f>1</f>
        <v/>
      </c>
      <c r="Z745" s="9">
        <f>Y745*X745</f>
        <v/>
      </c>
      <c r="AA745" s="10">
        <f>IF(W745&gt;$AE$32,1,0)</f>
        <v/>
      </c>
      <c r="AB745">
        <f>IF(AA745=C745,1,0)</f>
        <v/>
      </c>
    </row>
    <row r="746">
      <c r="A746">
        <f>'1 datos preparados'!A739</f>
        <v/>
      </c>
      <c r="B746" s="5">
        <f>'1 datos preparados'!U739</f>
        <v/>
      </c>
      <c r="C746">
        <f>'1 datos preparados'!B739</f>
        <v/>
      </c>
      <c r="D746" s="7">
        <f>'1 datos preparados'!C739</f>
        <v/>
      </c>
      <c r="E746" s="7">
        <f>'1 datos preparados'!D739</f>
        <v/>
      </c>
      <c r="F746" s="7">
        <f>'1 datos preparados'!E739</f>
        <v/>
      </c>
      <c r="G746" s="7">
        <f>'1 datos preparados'!F739</f>
        <v/>
      </c>
      <c r="H746" s="7">
        <f>'1 datos preparados'!G739</f>
        <v/>
      </c>
      <c r="I746" s="7">
        <f>'1 datos preparados'!H739</f>
        <v/>
      </c>
      <c r="J746" s="7">
        <f>'1 datos preparados'!I739</f>
        <v/>
      </c>
      <c r="K746" s="7">
        <f>'1 datos preparados'!J739</f>
        <v/>
      </c>
      <c r="L746" s="7">
        <f>'1 datos preparados'!K739</f>
        <v/>
      </c>
      <c r="M746" s="7">
        <f>'1 datos preparados'!L739</f>
        <v/>
      </c>
      <c r="N746" s="7">
        <f>'1 datos preparados'!M739</f>
        <v/>
      </c>
      <c r="O746" s="7">
        <f>'1 datos preparados'!N739</f>
        <v/>
      </c>
      <c r="P746" s="7">
        <f>'1 datos preparados'!O739</f>
        <v/>
      </c>
      <c r="Q746" s="7">
        <f>'1 datos preparados'!P739</f>
        <v/>
      </c>
      <c r="R746" s="7">
        <f>'1 datos preparados'!Q739</f>
        <v/>
      </c>
      <c r="S746" s="7">
        <f>'1 datos preparados'!R739</f>
        <v/>
      </c>
      <c r="T746" s="7">
        <f>'1 datos preparados'!S739</f>
        <v/>
      </c>
      <c r="U746" s="7">
        <f>'1 datos preparados'!T739</f>
        <v/>
      </c>
      <c r="V746" s="8">
        <f>$AE$12+D746*$AE$13+E746*$AE$14+F746*$AE$15+G746*$AE$16+H746*$AE$17+I746*$AE$18+J746*$AE$19+K746*$AE$20+L746*$AE$21+M746*$AE$22+N746*$AE$23+O746*$AE$24+P746*$AE$25+Q746*$AE$26+R746*$AE$27+S746*$AE$28+T746*$AE$29+U746*$AE$30</f>
        <v/>
      </c>
      <c r="W746" s="8">
        <f>1/(1+EXP(-V746))</f>
        <v/>
      </c>
      <c r="X746" s="9">
        <f>-IF(C746=1,LN(W746),LN(1-W746))</f>
        <v/>
      </c>
      <c r="Y746" s="8">
        <f>1</f>
        <v/>
      </c>
      <c r="Z746" s="9">
        <f>Y746*X746</f>
        <v/>
      </c>
      <c r="AA746" s="10">
        <f>IF(W746&gt;$AE$32,1,0)</f>
        <v/>
      </c>
      <c r="AB746">
        <f>IF(AA746=C746,1,0)</f>
        <v/>
      </c>
    </row>
    <row r="747">
      <c r="A747">
        <f>'1 datos preparados'!A740</f>
        <v/>
      </c>
      <c r="B747" s="5">
        <f>'1 datos preparados'!U740</f>
        <v/>
      </c>
      <c r="C747">
        <f>'1 datos preparados'!B740</f>
        <v/>
      </c>
      <c r="D747" s="7">
        <f>'1 datos preparados'!C740</f>
        <v/>
      </c>
      <c r="E747" s="7">
        <f>'1 datos preparados'!D740</f>
        <v/>
      </c>
      <c r="F747" s="7">
        <f>'1 datos preparados'!E740</f>
        <v/>
      </c>
      <c r="G747" s="7">
        <f>'1 datos preparados'!F740</f>
        <v/>
      </c>
      <c r="H747" s="7">
        <f>'1 datos preparados'!G740</f>
        <v/>
      </c>
      <c r="I747" s="7">
        <f>'1 datos preparados'!H740</f>
        <v/>
      </c>
      <c r="J747" s="7">
        <f>'1 datos preparados'!I740</f>
        <v/>
      </c>
      <c r="K747" s="7">
        <f>'1 datos preparados'!J740</f>
        <v/>
      </c>
      <c r="L747" s="7">
        <f>'1 datos preparados'!K740</f>
        <v/>
      </c>
      <c r="M747" s="7">
        <f>'1 datos preparados'!L740</f>
        <v/>
      </c>
      <c r="N747" s="7">
        <f>'1 datos preparados'!M740</f>
        <v/>
      </c>
      <c r="O747" s="7">
        <f>'1 datos preparados'!N740</f>
        <v/>
      </c>
      <c r="P747" s="7">
        <f>'1 datos preparados'!O740</f>
        <v/>
      </c>
      <c r="Q747" s="7">
        <f>'1 datos preparados'!P740</f>
        <v/>
      </c>
      <c r="R747" s="7">
        <f>'1 datos preparados'!Q740</f>
        <v/>
      </c>
      <c r="S747" s="7">
        <f>'1 datos preparados'!R740</f>
        <v/>
      </c>
      <c r="T747" s="7">
        <f>'1 datos preparados'!S740</f>
        <v/>
      </c>
      <c r="U747" s="7">
        <f>'1 datos preparados'!T740</f>
        <v/>
      </c>
      <c r="V747" s="8">
        <f>$AE$12+D747*$AE$13+E747*$AE$14+F747*$AE$15+G747*$AE$16+H747*$AE$17+I747*$AE$18+J747*$AE$19+K747*$AE$20+L747*$AE$21+M747*$AE$22+N747*$AE$23+O747*$AE$24+P747*$AE$25+Q747*$AE$26+R747*$AE$27+S747*$AE$28+T747*$AE$29+U747*$AE$30</f>
        <v/>
      </c>
      <c r="W747" s="8">
        <f>1/(1+EXP(-V747))</f>
        <v/>
      </c>
      <c r="X747" s="9">
        <f>-IF(C747=1,LN(W747),LN(1-W747))</f>
        <v/>
      </c>
      <c r="Y747" s="8">
        <f>1</f>
        <v/>
      </c>
      <c r="Z747" s="9">
        <f>Y747*X747</f>
        <v/>
      </c>
      <c r="AA747" s="10">
        <f>IF(W747&gt;$AE$32,1,0)</f>
        <v/>
      </c>
      <c r="AB747">
        <f>IF(AA747=C747,1,0)</f>
        <v/>
      </c>
    </row>
    <row r="748">
      <c r="A748">
        <f>'1 datos preparados'!A741</f>
        <v/>
      </c>
      <c r="B748" s="5">
        <f>'1 datos preparados'!U741</f>
        <v/>
      </c>
      <c r="C748">
        <f>'1 datos preparados'!B741</f>
        <v/>
      </c>
      <c r="D748" s="7">
        <f>'1 datos preparados'!C741</f>
        <v/>
      </c>
      <c r="E748" s="7">
        <f>'1 datos preparados'!D741</f>
        <v/>
      </c>
      <c r="F748" s="7">
        <f>'1 datos preparados'!E741</f>
        <v/>
      </c>
      <c r="G748" s="7">
        <f>'1 datos preparados'!F741</f>
        <v/>
      </c>
      <c r="H748" s="7">
        <f>'1 datos preparados'!G741</f>
        <v/>
      </c>
      <c r="I748" s="7">
        <f>'1 datos preparados'!H741</f>
        <v/>
      </c>
      <c r="J748" s="7">
        <f>'1 datos preparados'!I741</f>
        <v/>
      </c>
      <c r="K748" s="7">
        <f>'1 datos preparados'!J741</f>
        <v/>
      </c>
      <c r="L748" s="7">
        <f>'1 datos preparados'!K741</f>
        <v/>
      </c>
      <c r="M748" s="7">
        <f>'1 datos preparados'!L741</f>
        <v/>
      </c>
      <c r="N748" s="7">
        <f>'1 datos preparados'!M741</f>
        <v/>
      </c>
      <c r="O748" s="7">
        <f>'1 datos preparados'!N741</f>
        <v/>
      </c>
      <c r="P748" s="7">
        <f>'1 datos preparados'!O741</f>
        <v/>
      </c>
      <c r="Q748" s="7">
        <f>'1 datos preparados'!P741</f>
        <v/>
      </c>
      <c r="R748" s="7">
        <f>'1 datos preparados'!Q741</f>
        <v/>
      </c>
      <c r="S748" s="7">
        <f>'1 datos preparados'!R741</f>
        <v/>
      </c>
      <c r="T748" s="7">
        <f>'1 datos preparados'!S741</f>
        <v/>
      </c>
      <c r="U748" s="7">
        <f>'1 datos preparados'!T741</f>
        <v/>
      </c>
      <c r="V748" s="8">
        <f>$AE$12+D748*$AE$13+E748*$AE$14+F748*$AE$15+G748*$AE$16+H748*$AE$17+I748*$AE$18+J748*$AE$19+K748*$AE$20+L748*$AE$21+M748*$AE$22+N748*$AE$23+O748*$AE$24+P748*$AE$25+Q748*$AE$26+R748*$AE$27+S748*$AE$28+T748*$AE$29+U748*$AE$30</f>
        <v/>
      </c>
      <c r="W748" s="8">
        <f>1/(1+EXP(-V748))</f>
        <v/>
      </c>
      <c r="X748" s="9">
        <f>-IF(C748=1,LN(W748),LN(1-W748))</f>
        <v/>
      </c>
      <c r="Y748" s="8">
        <f>1</f>
        <v/>
      </c>
      <c r="Z748" s="9">
        <f>Y748*X748</f>
        <v/>
      </c>
      <c r="AA748" s="10">
        <f>IF(W748&gt;$AE$32,1,0)</f>
        <v/>
      </c>
      <c r="AB748">
        <f>IF(AA748=C748,1,0)</f>
        <v/>
      </c>
    </row>
    <row r="749">
      <c r="A749">
        <f>'1 datos preparados'!A742</f>
        <v/>
      </c>
      <c r="B749" s="5">
        <f>'1 datos preparados'!U742</f>
        <v/>
      </c>
      <c r="C749">
        <f>'1 datos preparados'!B742</f>
        <v/>
      </c>
      <c r="D749" s="7">
        <f>'1 datos preparados'!C742</f>
        <v/>
      </c>
      <c r="E749" s="7">
        <f>'1 datos preparados'!D742</f>
        <v/>
      </c>
      <c r="F749" s="7">
        <f>'1 datos preparados'!E742</f>
        <v/>
      </c>
      <c r="G749" s="7">
        <f>'1 datos preparados'!F742</f>
        <v/>
      </c>
      <c r="H749" s="7">
        <f>'1 datos preparados'!G742</f>
        <v/>
      </c>
      <c r="I749" s="7">
        <f>'1 datos preparados'!H742</f>
        <v/>
      </c>
      <c r="J749" s="7">
        <f>'1 datos preparados'!I742</f>
        <v/>
      </c>
      <c r="K749" s="7">
        <f>'1 datos preparados'!J742</f>
        <v/>
      </c>
      <c r="L749" s="7">
        <f>'1 datos preparados'!K742</f>
        <v/>
      </c>
      <c r="M749" s="7">
        <f>'1 datos preparados'!L742</f>
        <v/>
      </c>
      <c r="N749" s="7">
        <f>'1 datos preparados'!M742</f>
        <v/>
      </c>
      <c r="O749" s="7">
        <f>'1 datos preparados'!N742</f>
        <v/>
      </c>
      <c r="P749" s="7">
        <f>'1 datos preparados'!O742</f>
        <v/>
      </c>
      <c r="Q749" s="7">
        <f>'1 datos preparados'!P742</f>
        <v/>
      </c>
      <c r="R749" s="7">
        <f>'1 datos preparados'!Q742</f>
        <v/>
      </c>
      <c r="S749" s="7">
        <f>'1 datos preparados'!R742</f>
        <v/>
      </c>
      <c r="T749" s="7">
        <f>'1 datos preparados'!S742</f>
        <v/>
      </c>
      <c r="U749" s="7">
        <f>'1 datos preparados'!T742</f>
        <v/>
      </c>
      <c r="V749" s="8">
        <f>$AE$12+D749*$AE$13+E749*$AE$14+F749*$AE$15+G749*$AE$16+H749*$AE$17+I749*$AE$18+J749*$AE$19+K749*$AE$20+L749*$AE$21+M749*$AE$22+N749*$AE$23+O749*$AE$24+P749*$AE$25+Q749*$AE$26+R749*$AE$27+S749*$AE$28+T749*$AE$29+U749*$AE$30</f>
        <v/>
      </c>
      <c r="W749" s="8">
        <f>1/(1+EXP(-V749))</f>
        <v/>
      </c>
      <c r="X749" s="9">
        <f>-IF(C749=1,LN(W749),LN(1-W749))</f>
        <v/>
      </c>
      <c r="Y749" s="8">
        <f>1</f>
        <v/>
      </c>
      <c r="Z749" s="9">
        <f>Y749*X749</f>
        <v/>
      </c>
      <c r="AA749" s="10">
        <f>IF(W749&gt;$AE$32,1,0)</f>
        <v/>
      </c>
      <c r="AB749">
        <f>IF(AA749=C749,1,0)</f>
        <v/>
      </c>
    </row>
    <row r="750">
      <c r="A750">
        <f>'1 datos preparados'!A743</f>
        <v/>
      </c>
      <c r="B750" s="5">
        <f>'1 datos preparados'!U743</f>
        <v/>
      </c>
      <c r="C750">
        <f>'1 datos preparados'!B743</f>
        <v/>
      </c>
      <c r="D750" s="7">
        <f>'1 datos preparados'!C743</f>
        <v/>
      </c>
      <c r="E750" s="7">
        <f>'1 datos preparados'!D743</f>
        <v/>
      </c>
      <c r="F750" s="7">
        <f>'1 datos preparados'!E743</f>
        <v/>
      </c>
      <c r="G750" s="7">
        <f>'1 datos preparados'!F743</f>
        <v/>
      </c>
      <c r="H750" s="7">
        <f>'1 datos preparados'!G743</f>
        <v/>
      </c>
      <c r="I750" s="7">
        <f>'1 datos preparados'!H743</f>
        <v/>
      </c>
      <c r="J750" s="7">
        <f>'1 datos preparados'!I743</f>
        <v/>
      </c>
      <c r="K750" s="7">
        <f>'1 datos preparados'!J743</f>
        <v/>
      </c>
      <c r="L750" s="7">
        <f>'1 datos preparados'!K743</f>
        <v/>
      </c>
      <c r="M750" s="7">
        <f>'1 datos preparados'!L743</f>
        <v/>
      </c>
      <c r="N750" s="7">
        <f>'1 datos preparados'!M743</f>
        <v/>
      </c>
      <c r="O750" s="7">
        <f>'1 datos preparados'!N743</f>
        <v/>
      </c>
      <c r="P750" s="7">
        <f>'1 datos preparados'!O743</f>
        <v/>
      </c>
      <c r="Q750" s="7">
        <f>'1 datos preparados'!P743</f>
        <v/>
      </c>
      <c r="R750" s="7">
        <f>'1 datos preparados'!Q743</f>
        <v/>
      </c>
      <c r="S750" s="7">
        <f>'1 datos preparados'!R743</f>
        <v/>
      </c>
      <c r="T750" s="7">
        <f>'1 datos preparados'!S743</f>
        <v/>
      </c>
      <c r="U750" s="7">
        <f>'1 datos preparados'!T743</f>
        <v/>
      </c>
      <c r="V750" s="8">
        <f>$AE$12+D750*$AE$13+E750*$AE$14+F750*$AE$15+G750*$AE$16+H750*$AE$17+I750*$AE$18+J750*$AE$19+K750*$AE$20+L750*$AE$21+M750*$AE$22+N750*$AE$23+O750*$AE$24+P750*$AE$25+Q750*$AE$26+R750*$AE$27+S750*$AE$28+T750*$AE$29+U750*$AE$30</f>
        <v/>
      </c>
      <c r="W750" s="8">
        <f>1/(1+EXP(-V750))</f>
        <v/>
      </c>
      <c r="X750" s="9">
        <f>-IF(C750=1,LN(W750),LN(1-W750))</f>
        <v/>
      </c>
      <c r="Y750" s="8">
        <f>1</f>
        <v/>
      </c>
      <c r="Z750" s="9">
        <f>Y750*X750</f>
        <v/>
      </c>
      <c r="AA750" s="10">
        <f>IF(W750&gt;$AE$32,1,0)</f>
        <v/>
      </c>
      <c r="AB750">
        <f>IF(AA750=C750,1,0)</f>
        <v/>
      </c>
    </row>
    <row r="751">
      <c r="A751">
        <f>'1 datos preparados'!A744</f>
        <v/>
      </c>
      <c r="B751" s="5">
        <f>'1 datos preparados'!U744</f>
        <v/>
      </c>
      <c r="C751">
        <f>'1 datos preparados'!B744</f>
        <v/>
      </c>
      <c r="D751" s="7">
        <f>'1 datos preparados'!C744</f>
        <v/>
      </c>
      <c r="E751" s="7">
        <f>'1 datos preparados'!D744</f>
        <v/>
      </c>
      <c r="F751" s="7">
        <f>'1 datos preparados'!E744</f>
        <v/>
      </c>
      <c r="G751" s="7">
        <f>'1 datos preparados'!F744</f>
        <v/>
      </c>
      <c r="H751" s="7">
        <f>'1 datos preparados'!G744</f>
        <v/>
      </c>
      <c r="I751" s="7">
        <f>'1 datos preparados'!H744</f>
        <v/>
      </c>
      <c r="J751" s="7">
        <f>'1 datos preparados'!I744</f>
        <v/>
      </c>
      <c r="K751" s="7">
        <f>'1 datos preparados'!J744</f>
        <v/>
      </c>
      <c r="L751" s="7">
        <f>'1 datos preparados'!K744</f>
        <v/>
      </c>
      <c r="M751" s="7">
        <f>'1 datos preparados'!L744</f>
        <v/>
      </c>
      <c r="N751" s="7">
        <f>'1 datos preparados'!M744</f>
        <v/>
      </c>
      <c r="O751" s="7">
        <f>'1 datos preparados'!N744</f>
        <v/>
      </c>
      <c r="P751" s="7">
        <f>'1 datos preparados'!O744</f>
        <v/>
      </c>
      <c r="Q751" s="7">
        <f>'1 datos preparados'!P744</f>
        <v/>
      </c>
      <c r="R751" s="7">
        <f>'1 datos preparados'!Q744</f>
        <v/>
      </c>
      <c r="S751" s="7">
        <f>'1 datos preparados'!R744</f>
        <v/>
      </c>
      <c r="T751" s="7">
        <f>'1 datos preparados'!S744</f>
        <v/>
      </c>
      <c r="U751" s="7">
        <f>'1 datos preparados'!T744</f>
        <v/>
      </c>
      <c r="V751" s="8">
        <f>$AE$12+D751*$AE$13+E751*$AE$14+F751*$AE$15+G751*$AE$16+H751*$AE$17+I751*$AE$18+J751*$AE$19+K751*$AE$20+L751*$AE$21+M751*$AE$22+N751*$AE$23+O751*$AE$24+P751*$AE$25+Q751*$AE$26+R751*$AE$27+S751*$AE$28+T751*$AE$29+U751*$AE$30</f>
        <v/>
      </c>
      <c r="W751" s="8">
        <f>1/(1+EXP(-V751))</f>
        <v/>
      </c>
      <c r="X751" s="9">
        <f>-IF(C751=1,LN(W751),LN(1-W751))</f>
        <v/>
      </c>
      <c r="Y751" s="8">
        <f>1</f>
        <v/>
      </c>
      <c r="Z751" s="9">
        <f>Y751*X751</f>
        <v/>
      </c>
      <c r="AA751" s="10">
        <f>IF(W751&gt;$AE$32,1,0)</f>
        <v/>
      </c>
      <c r="AB751">
        <f>IF(AA751=C751,1,0)</f>
        <v/>
      </c>
    </row>
    <row r="752">
      <c r="A752">
        <f>'1 datos preparados'!A745</f>
        <v/>
      </c>
      <c r="B752" s="5">
        <f>'1 datos preparados'!U745</f>
        <v/>
      </c>
      <c r="C752">
        <f>'1 datos preparados'!B745</f>
        <v/>
      </c>
      <c r="D752" s="7">
        <f>'1 datos preparados'!C745</f>
        <v/>
      </c>
      <c r="E752" s="7">
        <f>'1 datos preparados'!D745</f>
        <v/>
      </c>
      <c r="F752" s="7">
        <f>'1 datos preparados'!E745</f>
        <v/>
      </c>
      <c r="G752" s="7">
        <f>'1 datos preparados'!F745</f>
        <v/>
      </c>
      <c r="H752" s="7">
        <f>'1 datos preparados'!G745</f>
        <v/>
      </c>
      <c r="I752" s="7">
        <f>'1 datos preparados'!H745</f>
        <v/>
      </c>
      <c r="J752" s="7">
        <f>'1 datos preparados'!I745</f>
        <v/>
      </c>
      <c r="K752" s="7">
        <f>'1 datos preparados'!J745</f>
        <v/>
      </c>
      <c r="L752" s="7">
        <f>'1 datos preparados'!K745</f>
        <v/>
      </c>
      <c r="M752" s="7">
        <f>'1 datos preparados'!L745</f>
        <v/>
      </c>
      <c r="N752" s="7">
        <f>'1 datos preparados'!M745</f>
        <v/>
      </c>
      <c r="O752" s="7">
        <f>'1 datos preparados'!N745</f>
        <v/>
      </c>
      <c r="P752" s="7">
        <f>'1 datos preparados'!O745</f>
        <v/>
      </c>
      <c r="Q752" s="7">
        <f>'1 datos preparados'!P745</f>
        <v/>
      </c>
      <c r="R752" s="7">
        <f>'1 datos preparados'!Q745</f>
        <v/>
      </c>
      <c r="S752" s="7">
        <f>'1 datos preparados'!R745</f>
        <v/>
      </c>
      <c r="T752" s="7">
        <f>'1 datos preparados'!S745</f>
        <v/>
      </c>
      <c r="U752" s="7">
        <f>'1 datos preparados'!T745</f>
        <v/>
      </c>
      <c r="V752" s="8">
        <f>$AE$12+D752*$AE$13+E752*$AE$14+F752*$AE$15+G752*$AE$16+H752*$AE$17+I752*$AE$18+J752*$AE$19+K752*$AE$20+L752*$AE$21+M752*$AE$22+N752*$AE$23+O752*$AE$24+P752*$AE$25+Q752*$AE$26+R752*$AE$27+S752*$AE$28+T752*$AE$29+U752*$AE$30</f>
        <v/>
      </c>
      <c r="W752" s="8">
        <f>1/(1+EXP(-V752))</f>
        <v/>
      </c>
      <c r="X752" s="9">
        <f>-IF(C752=1,LN(W752),LN(1-W752))</f>
        <v/>
      </c>
      <c r="Y752" s="8">
        <f>1</f>
        <v/>
      </c>
      <c r="Z752" s="9">
        <f>Y752*X752</f>
        <v/>
      </c>
      <c r="AA752" s="10">
        <f>IF(W752&gt;$AE$32,1,0)</f>
        <v/>
      </c>
      <c r="AB752">
        <f>IF(AA752=C752,1,0)</f>
        <v/>
      </c>
    </row>
    <row r="753">
      <c r="A753">
        <f>'1 datos preparados'!A746</f>
        <v/>
      </c>
      <c r="B753" s="5">
        <f>'1 datos preparados'!U746</f>
        <v/>
      </c>
      <c r="C753">
        <f>'1 datos preparados'!B746</f>
        <v/>
      </c>
      <c r="D753" s="7">
        <f>'1 datos preparados'!C746</f>
        <v/>
      </c>
      <c r="E753" s="7">
        <f>'1 datos preparados'!D746</f>
        <v/>
      </c>
      <c r="F753" s="7">
        <f>'1 datos preparados'!E746</f>
        <v/>
      </c>
      <c r="G753" s="7">
        <f>'1 datos preparados'!F746</f>
        <v/>
      </c>
      <c r="H753" s="7">
        <f>'1 datos preparados'!G746</f>
        <v/>
      </c>
      <c r="I753" s="7">
        <f>'1 datos preparados'!H746</f>
        <v/>
      </c>
      <c r="J753" s="7">
        <f>'1 datos preparados'!I746</f>
        <v/>
      </c>
      <c r="K753" s="7">
        <f>'1 datos preparados'!J746</f>
        <v/>
      </c>
      <c r="L753" s="7">
        <f>'1 datos preparados'!K746</f>
        <v/>
      </c>
      <c r="M753" s="7">
        <f>'1 datos preparados'!L746</f>
        <v/>
      </c>
      <c r="N753" s="7">
        <f>'1 datos preparados'!M746</f>
        <v/>
      </c>
      <c r="O753" s="7">
        <f>'1 datos preparados'!N746</f>
        <v/>
      </c>
      <c r="P753" s="7">
        <f>'1 datos preparados'!O746</f>
        <v/>
      </c>
      <c r="Q753" s="7">
        <f>'1 datos preparados'!P746</f>
        <v/>
      </c>
      <c r="R753" s="7">
        <f>'1 datos preparados'!Q746</f>
        <v/>
      </c>
      <c r="S753" s="7">
        <f>'1 datos preparados'!R746</f>
        <v/>
      </c>
      <c r="T753" s="7">
        <f>'1 datos preparados'!S746</f>
        <v/>
      </c>
      <c r="U753" s="7">
        <f>'1 datos preparados'!T746</f>
        <v/>
      </c>
      <c r="V753" s="8">
        <f>$AE$12+D753*$AE$13+E753*$AE$14+F753*$AE$15+G753*$AE$16+H753*$AE$17+I753*$AE$18+J753*$AE$19+K753*$AE$20+L753*$AE$21+M753*$AE$22+N753*$AE$23+O753*$AE$24+P753*$AE$25+Q753*$AE$26+R753*$AE$27+S753*$AE$28+T753*$AE$29+U753*$AE$30</f>
        <v/>
      </c>
      <c r="W753" s="8">
        <f>1/(1+EXP(-V753))</f>
        <v/>
      </c>
      <c r="X753" s="9">
        <f>-IF(C753=1,LN(W753),LN(1-W753))</f>
        <v/>
      </c>
      <c r="Y753" s="8">
        <f>1</f>
        <v/>
      </c>
      <c r="Z753" s="9">
        <f>Y753*X753</f>
        <v/>
      </c>
      <c r="AA753" s="10">
        <f>IF(W753&gt;$AE$32,1,0)</f>
        <v/>
      </c>
      <c r="AB753">
        <f>IF(AA753=C753,1,0)</f>
        <v/>
      </c>
    </row>
    <row r="754">
      <c r="A754">
        <f>'1 datos preparados'!A747</f>
        <v/>
      </c>
      <c r="B754" s="5">
        <f>'1 datos preparados'!U747</f>
        <v/>
      </c>
      <c r="C754">
        <f>'1 datos preparados'!B747</f>
        <v/>
      </c>
      <c r="D754" s="7">
        <f>'1 datos preparados'!C747</f>
        <v/>
      </c>
      <c r="E754" s="7">
        <f>'1 datos preparados'!D747</f>
        <v/>
      </c>
      <c r="F754" s="7">
        <f>'1 datos preparados'!E747</f>
        <v/>
      </c>
      <c r="G754" s="7">
        <f>'1 datos preparados'!F747</f>
        <v/>
      </c>
      <c r="H754" s="7">
        <f>'1 datos preparados'!G747</f>
        <v/>
      </c>
      <c r="I754" s="7">
        <f>'1 datos preparados'!H747</f>
        <v/>
      </c>
      <c r="J754" s="7">
        <f>'1 datos preparados'!I747</f>
        <v/>
      </c>
      <c r="K754" s="7">
        <f>'1 datos preparados'!J747</f>
        <v/>
      </c>
      <c r="L754" s="7">
        <f>'1 datos preparados'!K747</f>
        <v/>
      </c>
      <c r="M754" s="7">
        <f>'1 datos preparados'!L747</f>
        <v/>
      </c>
      <c r="N754" s="7">
        <f>'1 datos preparados'!M747</f>
        <v/>
      </c>
      <c r="O754" s="7">
        <f>'1 datos preparados'!N747</f>
        <v/>
      </c>
      <c r="P754" s="7">
        <f>'1 datos preparados'!O747</f>
        <v/>
      </c>
      <c r="Q754" s="7">
        <f>'1 datos preparados'!P747</f>
        <v/>
      </c>
      <c r="R754" s="7">
        <f>'1 datos preparados'!Q747</f>
        <v/>
      </c>
      <c r="S754" s="7">
        <f>'1 datos preparados'!R747</f>
        <v/>
      </c>
      <c r="T754" s="7">
        <f>'1 datos preparados'!S747</f>
        <v/>
      </c>
      <c r="U754" s="7">
        <f>'1 datos preparados'!T747</f>
        <v/>
      </c>
      <c r="V754" s="8">
        <f>$AE$12+D754*$AE$13+E754*$AE$14+F754*$AE$15+G754*$AE$16+H754*$AE$17+I754*$AE$18+J754*$AE$19+K754*$AE$20+L754*$AE$21+M754*$AE$22+N754*$AE$23+O754*$AE$24+P754*$AE$25+Q754*$AE$26+R754*$AE$27+S754*$AE$28+T754*$AE$29+U754*$AE$30</f>
        <v/>
      </c>
      <c r="W754" s="8">
        <f>1/(1+EXP(-V754))</f>
        <v/>
      </c>
      <c r="X754" s="9">
        <f>-IF(C754=1,LN(W754),LN(1-W754))</f>
        <v/>
      </c>
      <c r="Y754" s="8">
        <f>1</f>
        <v/>
      </c>
      <c r="Z754" s="9">
        <f>Y754*X754</f>
        <v/>
      </c>
      <c r="AA754" s="10">
        <f>IF(W754&gt;$AE$32,1,0)</f>
        <v/>
      </c>
      <c r="AB754">
        <f>IF(AA754=C754,1,0)</f>
        <v/>
      </c>
    </row>
    <row r="755">
      <c r="A755">
        <f>'1 datos preparados'!A748</f>
        <v/>
      </c>
      <c r="B755" s="5">
        <f>'1 datos preparados'!U748</f>
        <v/>
      </c>
      <c r="C755">
        <f>'1 datos preparados'!B748</f>
        <v/>
      </c>
      <c r="D755" s="7">
        <f>'1 datos preparados'!C748</f>
        <v/>
      </c>
      <c r="E755" s="7">
        <f>'1 datos preparados'!D748</f>
        <v/>
      </c>
      <c r="F755" s="7">
        <f>'1 datos preparados'!E748</f>
        <v/>
      </c>
      <c r="G755" s="7">
        <f>'1 datos preparados'!F748</f>
        <v/>
      </c>
      <c r="H755" s="7">
        <f>'1 datos preparados'!G748</f>
        <v/>
      </c>
      <c r="I755" s="7">
        <f>'1 datos preparados'!H748</f>
        <v/>
      </c>
      <c r="J755" s="7">
        <f>'1 datos preparados'!I748</f>
        <v/>
      </c>
      <c r="K755" s="7">
        <f>'1 datos preparados'!J748</f>
        <v/>
      </c>
      <c r="L755" s="7">
        <f>'1 datos preparados'!K748</f>
        <v/>
      </c>
      <c r="M755" s="7">
        <f>'1 datos preparados'!L748</f>
        <v/>
      </c>
      <c r="N755" s="7">
        <f>'1 datos preparados'!M748</f>
        <v/>
      </c>
      <c r="O755" s="7">
        <f>'1 datos preparados'!N748</f>
        <v/>
      </c>
      <c r="P755" s="7">
        <f>'1 datos preparados'!O748</f>
        <v/>
      </c>
      <c r="Q755" s="7">
        <f>'1 datos preparados'!P748</f>
        <v/>
      </c>
      <c r="R755" s="7">
        <f>'1 datos preparados'!Q748</f>
        <v/>
      </c>
      <c r="S755" s="7">
        <f>'1 datos preparados'!R748</f>
        <v/>
      </c>
      <c r="T755" s="7">
        <f>'1 datos preparados'!S748</f>
        <v/>
      </c>
      <c r="U755" s="7">
        <f>'1 datos preparados'!T748</f>
        <v/>
      </c>
      <c r="V755" s="8">
        <f>$AE$12+D755*$AE$13+E755*$AE$14+F755*$AE$15+G755*$AE$16+H755*$AE$17+I755*$AE$18+J755*$AE$19+K755*$AE$20+L755*$AE$21+M755*$AE$22+N755*$AE$23+O755*$AE$24+P755*$AE$25+Q755*$AE$26+R755*$AE$27+S755*$AE$28+T755*$AE$29+U755*$AE$30</f>
        <v/>
      </c>
      <c r="W755" s="8">
        <f>1/(1+EXP(-V755))</f>
        <v/>
      </c>
      <c r="X755" s="9">
        <f>-IF(C755=1,LN(W755),LN(1-W755))</f>
        <v/>
      </c>
      <c r="Y755" s="8">
        <f>1</f>
        <v/>
      </c>
      <c r="Z755" s="9">
        <f>Y755*X755</f>
        <v/>
      </c>
      <c r="AA755" s="10">
        <f>IF(W755&gt;$AE$32,1,0)</f>
        <v/>
      </c>
      <c r="AB755">
        <f>IF(AA755=C755,1,0)</f>
        <v/>
      </c>
    </row>
    <row r="756">
      <c r="A756">
        <f>'1 datos preparados'!A749</f>
        <v/>
      </c>
      <c r="B756" s="5">
        <f>'1 datos preparados'!U749</f>
        <v/>
      </c>
      <c r="C756">
        <f>'1 datos preparados'!B749</f>
        <v/>
      </c>
      <c r="D756" s="7">
        <f>'1 datos preparados'!C749</f>
        <v/>
      </c>
      <c r="E756" s="7">
        <f>'1 datos preparados'!D749</f>
        <v/>
      </c>
      <c r="F756" s="7">
        <f>'1 datos preparados'!E749</f>
        <v/>
      </c>
      <c r="G756" s="7">
        <f>'1 datos preparados'!F749</f>
        <v/>
      </c>
      <c r="H756" s="7">
        <f>'1 datos preparados'!G749</f>
        <v/>
      </c>
      <c r="I756" s="7">
        <f>'1 datos preparados'!H749</f>
        <v/>
      </c>
      <c r="J756" s="7">
        <f>'1 datos preparados'!I749</f>
        <v/>
      </c>
      <c r="K756" s="7">
        <f>'1 datos preparados'!J749</f>
        <v/>
      </c>
      <c r="L756" s="7">
        <f>'1 datos preparados'!K749</f>
        <v/>
      </c>
      <c r="M756" s="7">
        <f>'1 datos preparados'!L749</f>
        <v/>
      </c>
      <c r="N756" s="7">
        <f>'1 datos preparados'!M749</f>
        <v/>
      </c>
      <c r="O756" s="7">
        <f>'1 datos preparados'!N749</f>
        <v/>
      </c>
      <c r="P756" s="7">
        <f>'1 datos preparados'!O749</f>
        <v/>
      </c>
      <c r="Q756" s="7">
        <f>'1 datos preparados'!P749</f>
        <v/>
      </c>
      <c r="R756" s="7">
        <f>'1 datos preparados'!Q749</f>
        <v/>
      </c>
      <c r="S756" s="7">
        <f>'1 datos preparados'!R749</f>
        <v/>
      </c>
      <c r="T756" s="7">
        <f>'1 datos preparados'!S749</f>
        <v/>
      </c>
      <c r="U756" s="7">
        <f>'1 datos preparados'!T749</f>
        <v/>
      </c>
      <c r="V756" s="8">
        <f>$AE$12+D756*$AE$13+E756*$AE$14+F756*$AE$15+G756*$AE$16+H756*$AE$17+I756*$AE$18+J756*$AE$19+K756*$AE$20+L756*$AE$21+M756*$AE$22+N756*$AE$23+O756*$AE$24+P756*$AE$25+Q756*$AE$26+R756*$AE$27+S756*$AE$28+T756*$AE$29+U756*$AE$30</f>
        <v/>
      </c>
      <c r="W756" s="8">
        <f>1/(1+EXP(-V756))</f>
        <v/>
      </c>
      <c r="X756" s="9">
        <f>-IF(C756=1,LN(W756),LN(1-W756))</f>
        <v/>
      </c>
      <c r="Y756" s="8">
        <f>1</f>
        <v/>
      </c>
      <c r="Z756" s="9">
        <f>Y756*X756</f>
        <v/>
      </c>
      <c r="AA756" s="10">
        <f>IF(W756&gt;$AE$32,1,0)</f>
        <v/>
      </c>
      <c r="AB756">
        <f>IF(AA756=C756,1,0)</f>
        <v/>
      </c>
    </row>
    <row r="757">
      <c r="A757">
        <f>'1 datos preparados'!A750</f>
        <v/>
      </c>
      <c r="B757" s="5">
        <f>'1 datos preparados'!U750</f>
        <v/>
      </c>
      <c r="C757">
        <f>'1 datos preparados'!B750</f>
        <v/>
      </c>
      <c r="D757" s="7">
        <f>'1 datos preparados'!C750</f>
        <v/>
      </c>
      <c r="E757" s="7">
        <f>'1 datos preparados'!D750</f>
        <v/>
      </c>
      <c r="F757" s="7">
        <f>'1 datos preparados'!E750</f>
        <v/>
      </c>
      <c r="G757" s="7">
        <f>'1 datos preparados'!F750</f>
        <v/>
      </c>
      <c r="H757" s="7">
        <f>'1 datos preparados'!G750</f>
        <v/>
      </c>
      <c r="I757" s="7">
        <f>'1 datos preparados'!H750</f>
        <v/>
      </c>
      <c r="J757" s="7">
        <f>'1 datos preparados'!I750</f>
        <v/>
      </c>
      <c r="K757" s="7">
        <f>'1 datos preparados'!J750</f>
        <v/>
      </c>
      <c r="L757" s="7">
        <f>'1 datos preparados'!K750</f>
        <v/>
      </c>
      <c r="M757" s="7">
        <f>'1 datos preparados'!L750</f>
        <v/>
      </c>
      <c r="N757" s="7">
        <f>'1 datos preparados'!M750</f>
        <v/>
      </c>
      <c r="O757" s="7">
        <f>'1 datos preparados'!N750</f>
        <v/>
      </c>
      <c r="P757" s="7">
        <f>'1 datos preparados'!O750</f>
        <v/>
      </c>
      <c r="Q757" s="7">
        <f>'1 datos preparados'!P750</f>
        <v/>
      </c>
      <c r="R757" s="7">
        <f>'1 datos preparados'!Q750</f>
        <v/>
      </c>
      <c r="S757" s="7">
        <f>'1 datos preparados'!R750</f>
        <v/>
      </c>
      <c r="T757" s="7">
        <f>'1 datos preparados'!S750</f>
        <v/>
      </c>
      <c r="U757" s="7">
        <f>'1 datos preparados'!T750</f>
        <v/>
      </c>
      <c r="V757" s="8">
        <f>$AE$12+D757*$AE$13+E757*$AE$14+F757*$AE$15+G757*$AE$16+H757*$AE$17+I757*$AE$18+J757*$AE$19+K757*$AE$20+L757*$AE$21+M757*$AE$22+N757*$AE$23+O757*$AE$24+P757*$AE$25+Q757*$AE$26+R757*$AE$27+S757*$AE$28+T757*$AE$29+U757*$AE$30</f>
        <v/>
      </c>
      <c r="W757" s="8">
        <f>1/(1+EXP(-V757))</f>
        <v/>
      </c>
      <c r="X757" s="9">
        <f>-IF(C757=1,LN(W757),LN(1-W757))</f>
        <v/>
      </c>
      <c r="Y757" s="8">
        <f>1</f>
        <v/>
      </c>
      <c r="Z757" s="9">
        <f>Y757*X757</f>
        <v/>
      </c>
      <c r="AA757" s="10">
        <f>IF(W757&gt;$AE$32,1,0)</f>
        <v/>
      </c>
      <c r="AB757">
        <f>IF(AA757=C757,1,0)</f>
        <v/>
      </c>
    </row>
    <row r="758">
      <c r="A758">
        <f>'1 datos preparados'!A751</f>
        <v/>
      </c>
      <c r="B758" s="5">
        <f>'1 datos preparados'!U751</f>
        <v/>
      </c>
      <c r="C758">
        <f>'1 datos preparados'!B751</f>
        <v/>
      </c>
      <c r="D758" s="7">
        <f>'1 datos preparados'!C751</f>
        <v/>
      </c>
      <c r="E758" s="7">
        <f>'1 datos preparados'!D751</f>
        <v/>
      </c>
      <c r="F758" s="7">
        <f>'1 datos preparados'!E751</f>
        <v/>
      </c>
      <c r="G758" s="7">
        <f>'1 datos preparados'!F751</f>
        <v/>
      </c>
      <c r="H758" s="7">
        <f>'1 datos preparados'!G751</f>
        <v/>
      </c>
      <c r="I758" s="7">
        <f>'1 datos preparados'!H751</f>
        <v/>
      </c>
      <c r="J758" s="7">
        <f>'1 datos preparados'!I751</f>
        <v/>
      </c>
      <c r="K758" s="7">
        <f>'1 datos preparados'!J751</f>
        <v/>
      </c>
      <c r="L758" s="7">
        <f>'1 datos preparados'!K751</f>
        <v/>
      </c>
      <c r="M758" s="7">
        <f>'1 datos preparados'!L751</f>
        <v/>
      </c>
      <c r="N758" s="7">
        <f>'1 datos preparados'!M751</f>
        <v/>
      </c>
      <c r="O758" s="7">
        <f>'1 datos preparados'!N751</f>
        <v/>
      </c>
      <c r="P758" s="7">
        <f>'1 datos preparados'!O751</f>
        <v/>
      </c>
      <c r="Q758" s="7">
        <f>'1 datos preparados'!P751</f>
        <v/>
      </c>
      <c r="R758" s="7">
        <f>'1 datos preparados'!Q751</f>
        <v/>
      </c>
      <c r="S758" s="7">
        <f>'1 datos preparados'!R751</f>
        <v/>
      </c>
      <c r="T758" s="7">
        <f>'1 datos preparados'!S751</f>
        <v/>
      </c>
      <c r="U758" s="7">
        <f>'1 datos preparados'!T751</f>
        <v/>
      </c>
      <c r="V758" s="8">
        <f>$AE$12+D758*$AE$13+E758*$AE$14+F758*$AE$15+G758*$AE$16+H758*$AE$17+I758*$AE$18+J758*$AE$19+K758*$AE$20+L758*$AE$21+M758*$AE$22+N758*$AE$23+O758*$AE$24+P758*$AE$25+Q758*$AE$26+R758*$AE$27+S758*$AE$28+T758*$AE$29+U758*$AE$30</f>
        <v/>
      </c>
      <c r="W758" s="8">
        <f>1/(1+EXP(-V758))</f>
        <v/>
      </c>
      <c r="X758" s="9">
        <f>-IF(C758=1,LN(W758),LN(1-W758))</f>
        <v/>
      </c>
      <c r="Y758" s="8">
        <f>1</f>
        <v/>
      </c>
      <c r="Z758" s="9">
        <f>Y758*X758</f>
        <v/>
      </c>
      <c r="AA758" s="10">
        <f>IF(W758&gt;$AE$32,1,0)</f>
        <v/>
      </c>
      <c r="AB758">
        <f>IF(AA758=C758,1,0)</f>
        <v/>
      </c>
    </row>
    <row r="759">
      <c r="A759">
        <f>'1 datos preparados'!A752</f>
        <v/>
      </c>
      <c r="B759" s="5">
        <f>'1 datos preparados'!U752</f>
        <v/>
      </c>
      <c r="C759">
        <f>'1 datos preparados'!B752</f>
        <v/>
      </c>
      <c r="D759" s="7">
        <f>'1 datos preparados'!C752</f>
        <v/>
      </c>
      <c r="E759" s="7">
        <f>'1 datos preparados'!D752</f>
        <v/>
      </c>
      <c r="F759" s="7">
        <f>'1 datos preparados'!E752</f>
        <v/>
      </c>
      <c r="G759" s="7">
        <f>'1 datos preparados'!F752</f>
        <v/>
      </c>
      <c r="H759" s="7">
        <f>'1 datos preparados'!G752</f>
        <v/>
      </c>
      <c r="I759" s="7">
        <f>'1 datos preparados'!H752</f>
        <v/>
      </c>
      <c r="J759" s="7">
        <f>'1 datos preparados'!I752</f>
        <v/>
      </c>
      <c r="K759" s="7">
        <f>'1 datos preparados'!J752</f>
        <v/>
      </c>
      <c r="L759" s="7">
        <f>'1 datos preparados'!K752</f>
        <v/>
      </c>
      <c r="M759" s="7">
        <f>'1 datos preparados'!L752</f>
        <v/>
      </c>
      <c r="N759" s="7">
        <f>'1 datos preparados'!M752</f>
        <v/>
      </c>
      <c r="O759" s="7">
        <f>'1 datos preparados'!N752</f>
        <v/>
      </c>
      <c r="P759" s="7">
        <f>'1 datos preparados'!O752</f>
        <v/>
      </c>
      <c r="Q759" s="7">
        <f>'1 datos preparados'!P752</f>
        <v/>
      </c>
      <c r="R759" s="7">
        <f>'1 datos preparados'!Q752</f>
        <v/>
      </c>
      <c r="S759" s="7">
        <f>'1 datos preparados'!R752</f>
        <v/>
      </c>
      <c r="T759" s="7">
        <f>'1 datos preparados'!S752</f>
        <v/>
      </c>
      <c r="U759" s="7">
        <f>'1 datos preparados'!T752</f>
        <v/>
      </c>
      <c r="V759" s="8">
        <f>$AE$12+D759*$AE$13+E759*$AE$14+F759*$AE$15+G759*$AE$16+H759*$AE$17+I759*$AE$18+J759*$AE$19+K759*$AE$20+L759*$AE$21+M759*$AE$22+N759*$AE$23+O759*$AE$24+P759*$AE$25+Q759*$AE$26+R759*$AE$27+S759*$AE$28+T759*$AE$29+U759*$AE$30</f>
        <v/>
      </c>
      <c r="W759" s="8">
        <f>1/(1+EXP(-V759))</f>
        <v/>
      </c>
      <c r="X759" s="9">
        <f>-IF(C759=1,LN(W759),LN(1-W759))</f>
        <v/>
      </c>
      <c r="Y759" s="8">
        <f>1</f>
        <v/>
      </c>
      <c r="Z759" s="9">
        <f>Y759*X759</f>
        <v/>
      </c>
      <c r="AA759" s="10">
        <f>IF(W759&gt;$AE$32,1,0)</f>
        <v/>
      </c>
      <c r="AB759">
        <f>IF(AA759=C759,1,0)</f>
        <v/>
      </c>
    </row>
    <row r="760">
      <c r="A760">
        <f>'1 datos preparados'!A753</f>
        <v/>
      </c>
      <c r="B760" s="5">
        <f>'1 datos preparados'!U753</f>
        <v/>
      </c>
      <c r="C760">
        <f>'1 datos preparados'!B753</f>
        <v/>
      </c>
      <c r="D760" s="7">
        <f>'1 datos preparados'!C753</f>
        <v/>
      </c>
      <c r="E760" s="7">
        <f>'1 datos preparados'!D753</f>
        <v/>
      </c>
      <c r="F760" s="7">
        <f>'1 datos preparados'!E753</f>
        <v/>
      </c>
      <c r="G760" s="7">
        <f>'1 datos preparados'!F753</f>
        <v/>
      </c>
      <c r="H760" s="7">
        <f>'1 datos preparados'!G753</f>
        <v/>
      </c>
      <c r="I760" s="7">
        <f>'1 datos preparados'!H753</f>
        <v/>
      </c>
      <c r="J760" s="7">
        <f>'1 datos preparados'!I753</f>
        <v/>
      </c>
      <c r="K760" s="7">
        <f>'1 datos preparados'!J753</f>
        <v/>
      </c>
      <c r="L760" s="7">
        <f>'1 datos preparados'!K753</f>
        <v/>
      </c>
      <c r="M760" s="7">
        <f>'1 datos preparados'!L753</f>
        <v/>
      </c>
      <c r="N760" s="7">
        <f>'1 datos preparados'!M753</f>
        <v/>
      </c>
      <c r="O760" s="7">
        <f>'1 datos preparados'!N753</f>
        <v/>
      </c>
      <c r="P760" s="7">
        <f>'1 datos preparados'!O753</f>
        <v/>
      </c>
      <c r="Q760" s="7">
        <f>'1 datos preparados'!P753</f>
        <v/>
      </c>
      <c r="R760" s="7">
        <f>'1 datos preparados'!Q753</f>
        <v/>
      </c>
      <c r="S760" s="7">
        <f>'1 datos preparados'!R753</f>
        <v/>
      </c>
      <c r="T760" s="7">
        <f>'1 datos preparados'!S753</f>
        <v/>
      </c>
      <c r="U760" s="7">
        <f>'1 datos preparados'!T753</f>
        <v/>
      </c>
      <c r="V760" s="8">
        <f>$AE$12+D760*$AE$13+E760*$AE$14+F760*$AE$15+G760*$AE$16+H760*$AE$17+I760*$AE$18+J760*$AE$19+K760*$AE$20+L760*$AE$21+M760*$AE$22+N760*$AE$23+O760*$AE$24+P760*$AE$25+Q760*$AE$26+R760*$AE$27+S760*$AE$28+T760*$AE$29+U760*$AE$30</f>
        <v/>
      </c>
      <c r="W760" s="8">
        <f>1/(1+EXP(-V760))</f>
        <v/>
      </c>
      <c r="X760" s="9">
        <f>-IF(C760=1,LN(W760),LN(1-W760))</f>
        <v/>
      </c>
      <c r="Y760" s="8">
        <f>1</f>
        <v/>
      </c>
      <c r="Z760" s="9">
        <f>Y760*X760</f>
        <v/>
      </c>
      <c r="AA760" s="10">
        <f>IF(W760&gt;$AE$32,1,0)</f>
        <v/>
      </c>
      <c r="AB760">
        <f>IF(AA760=C760,1,0)</f>
        <v/>
      </c>
    </row>
    <row r="761">
      <c r="A761">
        <f>'1 datos preparados'!A754</f>
        <v/>
      </c>
      <c r="B761" s="5">
        <f>'1 datos preparados'!U754</f>
        <v/>
      </c>
      <c r="C761">
        <f>'1 datos preparados'!B754</f>
        <v/>
      </c>
      <c r="D761" s="7">
        <f>'1 datos preparados'!C754</f>
        <v/>
      </c>
      <c r="E761" s="7">
        <f>'1 datos preparados'!D754</f>
        <v/>
      </c>
      <c r="F761" s="7">
        <f>'1 datos preparados'!E754</f>
        <v/>
      </c>
      <c r="G761" s="7">
        <f>'1 datos preparados'!F754</f>
        <v/>
      </c>
      <c r="H761" s="7">
        <f>'1 datos preparados'!G754</f>
        <v/>
      </c>
      <c r="I761" s="7">
        <f>'1 datos preparados'!H754</f>
        <v/>
      </c>
      <c r="J761" s="7">
        <f>'1 datos preparados'!I754</f>
        <v/>
      </c>
      <c r="K761" s="7">
        <f>'1 datos preparados'!J754</f>
        <v/>
      </c>
      <c r="L761" s="7">
        <f>'1 datos preparados'!K754</f>
        <v/>
      </c>
      <c r="M761" s="7">
        <f>'1 datos preparados'!L754</f>
        <v/>
      </c>
      <c r="N761" s="7">
        <f>'1 datos preparados'!M754</f>
        <v/>
      </c>
      <c r="O761" s="7">
        <f>'1 datos preparados'!N754</f>
        <v/>
      </c>
      <c r="P761" s="7">
        <f>'1 datos preparados'!O754</f>
        <v/>
      </c>
      <c r="Q761" s="7">
        <f>'1 datos preparados'!P754</f>
        <v/>
      </c>
      <c r="R761" s="7">
        <f>'1 datos preparados'!Q754</f>
        <v/>
      </c>
      <c r="S761" s="7">
        <f>'1 datos preparados'!R754</f>
        <v/>
      </c>
      <c r="T761" s="7">
        <f>'1 datos preparados'!S754</f>
        <v/>
      </c>
      <c r="U761" s="7">
        <f>'1 datos preparados'!T754</f>
        <v/>
      </c>
      <c r="V761" s="8">
        <f>$AE$12+D761*$AE$13+E761*$AE$14+F761*$AE$15+G761*$AE$16+H761*$AE$17+I761*$AE$18+J761*$AE$19+K761*$AE$20+L761*$AE$21+M761*$AE$22+N761*$AE$23+O761*$AE$24+P761*$AE$25+Q761*$AE$26+R761*$AE$27+S761*$AE$28+T761*$AE$29+U761*$AE$30</f>
        <v/>
      </c>
      <c r="W761" s="8">
        <f>1/(1+EXP(-V761))</f>
        <v/>
      </c>
      <c r="X761" s="9">
        <f>-IF(C761=1,LN(W761),LN(1-W761))</f>
        <v/>
      </c>
      <c r="Y761" s="8">
        <f>1</f>
        <v/>
      </c>
      <c r="Z761" s="9">
        <f>Y761*X761</f>
        <v/>
      </c>
      <c r="AA761" s="10">
        <f>IF(W761&gt;$AE$32,1,0)</f>
        <v/>
      </c>
      <c r="AB761">
        <f>IF(AA761=C761,1,0)</f>
        <v/>
      </c>
    </row>
    <row r="762">
      <c r="A762">
        <f>'1 datos preparados'!A755</f>
        <v/>
      </c>
      <c r="B762" s="5">
        <f>'1 datos preparados'!U755</f>
        <v/>
      </c>
      <c r="C762">
        <f>'1 datos preparados'!B755</f>
        <v/>
      </c>
      <c r="D762" s="7">
        <f>'1 datos preparados'!C755</f>
        <v/>
      </c>
      <c r="E762" s="7">
        <f>'1 datos preparados'!D755</f>
        <v/>
      </c>
      <c r="F762" s="7">
        <f>'1 datos preparados'!E755</f>
        <v/>
      </c>
      <c r="G762" s="7">
        <f>'1 datos preparados'!F755</f>
        <v/>
      </c>
      <c r="H762" s="7">
        <f>'1 datos preparados'!G755</f>
        <v/>
      </c>
      <c r="I762" s="7">
        <f>'1 datos preparados'!H755</f>
        <v/>
      </c>
      <c r="J762" s="7">
        <f>'1 datos preparados'!I755</f>
        <v/>
      </c>
      <c r="K762" s="7">
        <f>'1 datos preparados'!J755</f>
        <v/>
      </c>
      <c r="L762" s="7">
        <f>'1 datos preparados'!K755</f>
        <v/>
      </c>
      <c r="M762" s="7">
        <f>'1 datos preparados'!L755</f>
        <v/>
      </c>
      <c r="N762" s="7">
        <f>'1 datos preparados'!M755</f>
        <v/>
      </c>
      <c r="O762" s="7">
        <f>'1 datos preparados'!N755</f>
        <v/>
      </c>
      <c r="P762" s="7">
        <f>'1 datos preparados'!O755</f>
        <v/>
      </c>
      <c r="Q762" s="7">
        <f>'1 datos preparados'!P755</f>
        <v/>
      </c>
      <c r="R762" s="7">
        <f>'1 datos preparados'!Q755</f>
        <v/>
      </c>
      <c r="S762" s="7">
        <f>'1 datos preparados'!R755</f>
        <v/>
      </c>
      <c r="T762" s="7">
        <f>'1 datos preparados'!S755</f>
        <v/>
      </c>
      <c r="U762" s="7">
        <f>'1 datos preparados'!T755</f>
        <v/>
      </c>
      <c r="V762" s="8">
        <f>$AE$12+D762*$AE$13+E762*$AE$14+F762*$AE$15+G762*$AE$16+H762*$AE$17+I762*$AE$18+J762*$AE$19+K762*$AE$20+L762*$AE$21+M762*$AE$22+N762*$AE$23+O762*$AE$24+P762*$AE$25+Q762*$AE$26+R762*$AE$27+S762*$AE$28+T762*$AE$29+U762*$AE$30</f>
        <v/>
      </c>
      <c r="W762" s="8">
        <f>1/(1+EXP(-V762))</f>
        <v/>
      </c>
      <c r="X762" s="9">
        <f>-IF(C762=1,LN(W762),LN(1-W762))</f>
        <v/>
      </c>
      <c r="Y762" s="8">
        <f>1</f>
        <v/>
      </c>
      <c r="Z762" s="9">
        <f>Y762*X762</f>
        <v/>
      </c>
      <c r="AA762" s="10">
        <f>IF(W762&gt;$AE$32,1,0)</f>
        <v/>
      </c>
      <c r="AB762">
        <f>IF(AA762=C762,1,0)</f>
        <v/>
      </c>
    </row>
    <row r="763">
      <c r="A763">
        <f>'1 datos preparados'!A756</f>
        <v/>
      </c>
      <c r="B763" s="5">
        <f>'1 datos preparados'!U756</f>
        <v/>
      </c>
      <c r="C763">
        <f>'1 datos preparados'!B756</f>
        <v/>
      </c>
      <c r="D763" s="7">
        <f>'1 datos preparados'!C756</f>
        <v/>
      </c>
      <c r="E763" s="7">
        <f>'1 datos preparados'!D756</f>
        <v/>
      </c>
      <c r="F763" s="7">
        <f>'1 datos preparados'!E756</f>
        <v/>
      </c>
      <c r="G763" s="7">
        <f>'1 datos preparados'!F756</f>
        <v/>
      </c>
      <c r="H763" s="7">
        <f>'1 datos preparados'!G756</f>
        <v/>
      </c>
      <c r="I763" s="7">
        <f>'1 datos preparados'!H756</f>
        <v/>
      </c>
      <c r="J763" s="7">
        <f>'1 datos preparados'!I756</f>
        <v/>
      </c>
      <c r="K763" s="7">
        <f>'1 datos preparados'!J756</f>
        <v/>
      </c>
      <c r="L763" s="7">
        <f>'1 datos preparados'!K756</f>
        <v/>
      </c>
      <c r="M763" s="7">
        <f>'1 datos preparados'!L756</f>
        <v/>
      </c>
      <c r="N763" s="7">
        <f>'1 datos preparados'!M756</f>
        <v/>
      </c>
      <c r="O763" s="7">
        <f>'1 datos preparados'!N756</f>
        <v/>
      </c>
      <c r="P763" s="7">
        <f>'1 datos preparados'!O756</f>
        <v/>
      </c>
      <c r="Q763" s="7">
        <f>'1 datos preparados'!P756</f>
        <v/>
      </c>
      <c r="R763" s="7">
        <f>'1 datos preparados'!Q756</f>
        <v/>
      </c>
      <c r="S763" s="7">
        <f>'1 datos preparados'!R756</f>
        <v/>
      </c>
      <c r="T763" s="7">
        <f>'1 datos preparados'!S756</f>
        <v/>
      </c>
      <c r="U763" s="7">
        <f>'1 datos preparados'!T756</f>
        <v/>
      </c>
      <c r="V763" s="8">
        <f>$AE$12+D763*$AE$13+E763*$AE$14+F763*$AE$15+G763*$AE$16+H763*$AE$17+I763*$AE$18+J763*$AE$19+K763*$AE$20+L763*$AE$21+M763*$AE$22+N763*$AE$23+O763*$AE$24+P763*$AE$25+Q763*$AE$26+R763*$AE$27+S763*$AE$28+T763*$AE$29+U763*$AE$30</f>
        <v/>
      </c>
      <c r="W763" s="8">
        <f>1/(1+EXP(-V763))</f>
        <v/>
      </c>
      <c r="X763" s="9">
        <f>-IF(C763=1,LN(W763),LN(1-W763))</f>
        <v/>
      </c>
      <c r="Y763" s="8">
        <f>1</f>
        <v/>
      </c>
      <c r="Z763" s="9">
        <f>Y763*X763</f>
        <v/>
      </c>
      <c r="AA763" s="10">
        <f>IF(W763&gt;$AE$32,1,0)</f>
        <v/>
      </c>
      <c r="AB763">
        <f>IF(AA763=C763,1,0)</f>
        <v/>
      </c>
    </row>
    <row r="764">
      <c r="A764">
        <f>'1 datos preparados'!A757</f>
        <v/>
      </c>
      <c r="B764" s="5">
        <f>'1 datos preparados'!U757</f>
        <v/>
      </c>
      <c r="C764">
        <f>'1 datos preparados'!B757</f>
        <v/>
      </c>
      <c r="D764" s="7">
        <f>'1 datos preparados'!C757</f>
        <v/>
      </c>
      <c r="E764" s="7">
        <f>'1 datos preparados'!D757</f>
        <v/>
      </c>
      <c r="F764" s="7">
        <f>'1 datos preparados'!E757</f>
        <v/>
      </c>
      <c r="G764" s="7">
        <f>'1 datos preparados'!F757</f>
        <v/>
      </c>
      <c r="H764" s="7">
        <f>'1 datos preparados'!G757</f>
        <v/>
      </c>
      <c r="I764" s="7">
        <f>'1 datos preparados'!H757</f>
        <v/>
      </c>
      <c r="J764" s="7">
        <f>'1 datos preparados'!I757</f>
        <v/>
      </c>
      <c r="K764" s="7">
        <f>'1 datos preparados'!J757</f>
        <v/>
      </c>
      <c r="L764" s="7">
        <f>'1 datos preparados'!K757</f>
        <v/>
      </c>
      <c r="M764" s="7">
        <f>'1 datos preparados'!L757</f>
        <v/>
      </c>
      <c r="N764" s="7">
        <f>'1 datos preparados'!M757</f>
        <v/>
      </c>
      <c r="O764" s="7">
        <f>'1 datos preparados'!N757</f>
        <v/>
      </c>
      <c r="P764" s="7">
        <f>'1 datos preparados'!O757</f>
        <v/>
      </c>
      <c r="Q764" s="7">
        <f>'1 datos preparados'!P757</f>
        <v/>
      </c>
      <c r="R764" s="7">
        <f>'1 datos preparados'!Q757</f>
        <v/>
      </c>
      <c r="S764" s="7">
        <f>'1 datos preparados'!R757</f>
        <v/>
      </c>
      <c r="T764" s="7">
        <f>'1 datos preparados'!S757</f>
        <v/>
      </c>
      <c r="U764" s="7">
        <f>'1 datos preparados'!T757</f>
        <v/>
      </c>
      <c r="V764" s="8">
        <f>$AE$12+D764*$AE$13+E764*$AE$14+F764*$AE$15+G764*$AE$16+H764*$AE$17+I764*$AE$18+J764*$AE$19+K764*$AE$20+L764*$AE$21+M764*$AE$22+N764*$AE$23+O764*$AE$24+P764*$AE$25+Q764*$AE$26+R764*$AE$27+S764*$AE$28+T764*$AE$29+U764*$AE$30</f>
        <v/>
      </c>
      <c r="W764" s="8">
        <f>1/(1+EXP(-V764))</f>
        <v/>
      </c>
      <c r="X764" s="9">
        <f>-IF(C764=1,LN(W764),LN(1-W764))</f>
        <v/>
      </c>
      <c r="Y764" s="8">
        <f>1</f>
        <v/>
      </c>
      <c r="Z764" s="9">
        <f>Y764*X764</f>
        <v/>
      </c>
      <c r="AA764" s="10">
        <f>IF(W764&gt;$AE$32,1,0)</f>
        <v/>
      </c>
      <c r="AB764">
        <f>IF(AA764=C764,1,0)</f>
        <v/>
      </c>
    </row>
    <row r="765">
      <c r="A765">
        <f>'1 datos preparados'!A758</f>
        <v/>
      </c>
      <c r="B765" s="5">
        <f>'1 datos preparados'!U758</f>
        <v/>
      </c>
      <c r="C765">
        <f>'1 datos preparados'!B758</f>
        <v/>
      </c>
      <c r="D765" s="7">
        <f>'1 datos preparados'!C758</f>
        <v/>
      </c>
      <c r="E765" s="7">
        <f>'1 datos preparados'!D758</f>
        <v/>
      </c>
      <c r="F765" s="7">
        <f>'1 datos preparados'!E758</f>
        <v/>
      </c>
      <c r="G765" s="7">
        <f>'1 datos preparados'!F758</f>
        <v/>
      </c>
      <c r="H765" s="7">
        <f>'1 datos preparados'!G758</f>
        <v/>
      </c>
      <c r="I765" s="7">
        <f>'1 datos preparados'!H758</f>
        <v/>
      </c>
      <c r="J765" s="7">
        <f>'1 datos preparados'!I758</f>
        <v/>
      </c>
      <c r="K765" s="7">
        <f>'1 datos preparados'!J758</f>
        <v/>
      </c>
      <c r="L765" s="7">
        <f>'1 datos preparados'!K758</f>
        <v/>
      </c>
      <c r="M765" s="7">
        <f>'1 datos preparados'!L758</f>
        <v/>
      </c>
      <c r="N765" s="7">
        <f>'1 datos preparados'!M758</f>
        <v/>
      </c>
      <c r="O765" s="7">
        <f>'1 datos preparados'!N758</f>
        <v/>
      </c>
      <c r="P765" s="7">
        <f>'1 datos preparados'!O758</f>
        <v/>
      </c>
      <c r="Q765" s="7">
        <f>'1 datos preparados'!P758</f>
        <v/>
      </c>
      <c r="R765" s="7">
        <f>'1 datos preparados'!Q758</f>
        <v/>
      </c>
      <c r="S765" s="7">
        <f>'1 datos preparados'!R758</f>
        <v/>
      </c>
      <c r="T765" s="7">
        <f>'1 datos preparados'!S758</f>
        <v/>
      </c>
      <c r="U765" s="7">
        <f>'1 datos preparados'!T758</f>
        <v/>
      </c>
      <c r="V765" s="8">
        <f>$AE$12+D765*$AE$13+E765*$AE$14+F765*$AE$15+G765*$AE$16+H765*$AE$17+I765*$AE$18+J765*$AE$19+K765*$AE$20+L765*$AE$21+M765*$AE$22+N765*$AE$23+O765*$AE$24+P765*$AE$25+Q765*$AE$26+R765*$AE$27+S765*$AE$28+T765*$AE$29+U765*$AE$30</f>
        <v/>
      </c>
      <c r="W765" s="8">
        <f>1/(1+EXP(-V765))</f>
        <v/>
      </c>
      <c r="X765" s="9">
        <f>-IF(C765=1,LN(W765),LN(1-W765))</f>
        <v/>
      </c>
      <c r="Y765" s="8">
        <f>1</f>
        <v/>
      </c>
      <c r="Z765" s="9">
        <f>Y765*X765</f>
        <v/>
      </c>
      <c r="AA765" s="10">
        <f>IF(W765&gt;$AE$32,1,0)</f>
        <v/>
      </c>
      <c r="AB765">
        <f>IF(AA765=C765,1,0)</f>
        <v/>
      </c>
    </row>
    <row r="766">
      <c r="A766">
        <f>'1 datos preparados'!A759</f>
        <v/>
      </c>
      <c r="B766" s="5">
        <f>'1 datos preparados'!U759</f>
        <v/>
      </c>
      <c r="C766">
        <f>'1 datos preparados'!B759</f>
        <v/>
      </c>
      <c r="D766" s="7">
        <f>'1 datos preparados'!C759</f>
        <v/>
      </c>
      <c r="E766" s="7">
        <f>'1 datos preparados'!D759</f>
        <v/>
      </c>
      <c r="F766" s="7">
        <f>'1 datos preparados'!E759</f>
        <v/>
      </c>
      <c r="G766" s="7">
        <f>'1 datos preparados'!F759</f>
        <v/>
      </c>
      <c r="H766" s="7">
        <f>'1 datos preparados'!G759</f>
        <v/>
      </c>
      <c r="I766" s="7">
        <f>'1 datos preparados'!H759</f>
        <v/>
      </c>
      <c r="J766" s="7">
        <f>'1 datos preparados'!I759</f>
        <v/>
      </c>
      <c r="K766" s="7">
        <f>'1 datos preparados'!J759</f>
        <v/>
      </c>
      <c r="L766" s="7">
        <f>'1 datos preparados'!K759</f>
        <v/>
      </c>
      <c r="M766" s="7">
        <f>'1 datos preparados'!L759</f>
        <v/>
      </c>
      <c r="N766" s="7">
        <f>'1 datos preparados'!M759</f>
        <v/>
      </c>
      <c r="O766" s="7">
        <f>'1 datos preparados'!N759</f>
        <v/>
      </c>
      <c r="P766" s="7">
        <f>'1 datos preparados'!O759</f>
        <v/>
      </c>
      <c r="Q766" s="7">
        <f>'1 datos preparados'!P759</f>
        <v/>
      </c>
      <c r="R766" s="7">
        <f>'1 datos preparados'!Q759</f>
        <v/>
      </c>
      <c r="S766" s="7">
        <f>'1 datos preparados'!R759</f>
        <v/>
      </c>
      <c r="T766" s="7">
        <f>'1 datos preparados'!S759</f>
        <v/>
      </c>
      <c r="U766" s="7">
        <f>'1 datos preparados'!T759</f>
        <v/>
      </c>
      <c r="V766" s="8">
        <f>$AE$12+D766*$AE$13+E766*$AE$14+F766*$AE$15+G766*$AE$16+H766*$AE$17+I766*$AE$18+J766*$AE$19+K766*$AE$20+L766*$AE$21+M766*$AE$22+N766*$AE$23+O766*$AE$24+P766*$AE$25+Q766*$AE$26+R766*$AE$27+S766*$AE$28+T766*$AE$29+U766*$AE$30</f>
        <v/>
      </c>
      <c r="W766" s="8">
        <f>1/(1+EXP(-V766))</f>
        <v/>
      </c>
      <c r="X766" s="9">
        <f>-IF(C766=1,LN(W766),LN(1-W766))</f>
        <v/>
      </c>
      <c r="Y766" s="8">
        <f>1</f>
        <v/>
      </c>
      <c r="Z766" s="9">
        <f>Y766*X766</f>
        <v/>
      </c>
      <c r="AA766" s="10">
        <f>IF(W766&gt;$AE$32,1,0)</f>
        <v/>
      </c>
      <c r="AB766">
        <f>IF(AA766=C766,1,0)</f>
        <v/>
      </c>
    </row>
    <row r="767">
      <c r="A767">
        <f>'1 datos preparados'!A760</f>
        <v/>
      </c>
      <c r="B767" s="5">
        <f>'1 datos preparados'!U760</f>
        <v/>
      </c>
      <c r="C767">
        <f>'1 datos preparados'!B760</f>
        <v/>
      </c>
      <c r="D767" s="7">
        <f>'1 datos preparados'!C760</f>
        <v/>
      </c>
      <c r="E767" s="7">
        <f>'1 datos preparados'!D760</f>
        <v/>
      </c>
      <c r="F767" s="7">
        <f>'1 datos preparados'!E760</f>
        <v/>
      </c>
      <c r="G767" s="7">
        <f>'1 datos preparados'!F760</f>
        <v/>
      </c>
      <c r="H767" s="7">
        <f>'1 datos preparados'!G760</f>
        <v/>
      </c>
      <c r="I767" s="7">
        <f>'1 datos preparados'!H760</f>
        <v/>
      </c>
      <c r="J767" s="7">
        <f>'1 datos preparados'!I760</f>
        <v/>
      </c>
      <c r="K767" s="7">
        <f>'1 datos preparados'!J760</f>
        <v/>
      </c>
      <c r="L767" s="7">
        <f>'1 datos preparados'!K760</f>
        <v/>
      </c>
      <c r="M767" s="7">
        <f>'1 datos preparados'!L760</f>
        <v/>
      </c>
      <c r="N767" s="7">
        <f>'1 datos preparados'!M760</f>
        <v/>
      </c>
      <c r="O767" s="7">
        <f>'1 datos preparados'!N760</f>
        <v/>
      </c>
      <c r="P767" s="7">
        <f>'1 datos preparados'!O760</f>
        <v/>
      </c>
      <c r="Q767" s="7">
        <f>'1 datos preparados'!P760</f>
        <v/>
      </c>
      <c r="R767" s="7">
        <f>'1 datos preparados'!Q760</f>
        <v/>
      </c>
      <c r="S767" s="7">
        <f>'1 datos preparados'!R760</f>
        <v/>
      </c>
      <c r="T767" s="7">
        <f>'1 datos preparados'!S760</f>
        <v/>
      </c>
      <c r="U767" s="7">
        <f>'1 datos preparados'!T760</f>
        <v/>
      </c>
      <c r="V767" s="8">
        <f>$AE$12+D767*$AE$13+E767*$AE$14+F767*$AE$15+G767*$AE$16+H767*$AE$17+I767*$AE$18+J767*$AE$19+K767*$AE$20+L767*$AE$21+M767*$AE$22+N767*$AE$23+O767*$AE$24+P767*$AE$25+Q767*$AE$26+R767*$AE$27+S767*$AE$28+T767*$AE$29+U767*$AE$30</f>
        <v/>
      </c>
      <c r="W767" s="8">
        <f>1/(1+EXP(-V767))</f>
        <v/>
      </c>
      <c r="X767" s="9">
        <f>-IF(C767=1,LN(W767),LN(1-W767))</f>
        <v/>
      </c>
      <c r="Y767" s="8">
        <f>1</f>
        <v/>
      </c>
      <c r="Z767" s="9">
        <f>Y767*X767</f>
        <v/>
      </c>
      <c r="AA767" s="10">
        <f>IF(W767&gt;$AE$32,1,0)</f>
        <v/>
      </c>
      <c r="AB767">
        <f>IF(AA767=C767,1,0)</f>
        <v/>
      </c>
    </row>
    <row r="768">
      <c r="A768">
        <f>'1 datos preparados'!A761</f>
        <v/>
      </c>
      <c r="B768" s="5">
        <f>'1 datos preparados'!U761</f>
        <v/>
      </c>
      <c r="C768">
        <f>'1 datos preparados'!B761</f>
        <v/>
      </c>
      <c r="D768" s="7">
        <f>'1 datos preparados'!C761</f>
        <v/>
      </c>
      <c r="E768" s="7">
        <f>'1 datos preparados'!D761</f>
        <v/>
      </c>
      <c r="F768" s="7">
        <f>'1 datos preparados'!E761</f>
        <v/>
      </c>
      <c r="G768" s="7">
        <f>'1 datos preparados'!F761</f>
        <v/>
      </c>
      <c r="H768" s="7">
        <f>'1 datos preparados'!G761</f>
        <v/>
      </c>
      <c r="I768" s="7">
        <f>'1 datos preparados'!H761</f>
        <v/>
      </c>
      <c r="J768" s="7">
        <f>'1 datos preparados'!I761</f>
        <v/>
      </c>
      <c r="K768" s="7">
        <f>'1 datos preparados'!J761</f>
        <v/>
      </c>
      <c r="L768" s="7">
        <f>'1 datos preparados'!K761</f>
        <v/>
      </c>
      <c r="M768" s="7">
        <f>'1 datos preparados'!L761</f>
        <v/>
      </c>
      <c r="N768" s="7">
        <f>'1 datos preparados'!M761</f>
        <v/>
      </c>
      <c r="O768" s="7">
        <f>'1 datos preparados'!N761</f>
        <v/>
      </c>
      <c r="P768" s="7">
        <f>'1 datos preparados'!O761</f>
        <v/>
      </c>
      <c r="Q768" s="7">
        <f>'1 datos preparados'!P761</f>
        <v/>
      </c>
      <c r="R768" s="7">
        <f>'1 datos preparados'!Q761</f>
        <v/>
      </c>
      <c r="S768" s="7">
        <f>'1 datos preparados'!R761</f>
        <v/>
      </c>
      <c r="T768" s="7">
        <f>'1 datos preparados'!S761</f>
        <v/>
      </c>
      <c r="U768" s="7">
        <f>'1 datos preparados'!T761</f>
        <v/>
      </c>
      <c r="V768" s="8">
        <f>$AE$12+D768*$AE$13+E768*$AE$14+F768*$AE$15+G768*$AE$16+H768*$AE$17+I768*$AE$18+J768*$AE$19+K768*$AE$20+L768*$AE$21+M768*$AE$22+N768*$AE$23+O768*$AE$24+P768*$AE$25+Q768*$AE$26+R768*$AE$27+S768*$AE$28+T768*$AE$29+U768*$AE$30</f>
        <v/>
      </c>
      <c r="W768" s="8">
        <f>1/(1+EXP(-V768))</f>
        <v/>
      </c>
      <c r="X768" s="9">
        <f>-IF(C768=1,LN(W768),LN(1-W768))</f>
        <v/>
      </c>
      <c r="Y768" s="8">
        <f>1</f>
        <v/>
      </c>
      <c r="Z768" s="9">
        <f>Y768*X768</f>
        <v/>
      </c>
      <c r="AA768" s="10">
        <f>IF(W768&gt;$AE$32,1,0)</f>
        <v/>
      </c>
      <c r="AB768">
        <f>IF(AA768=C768,1,0)</f>
        <v/>
      </c>
    </row>
    <row r="769">
      <c r="A769">
        <f>'1 datos preparados'!A762</f>
        <v/>
      </c>
      <c r="B769" s="5">
        <f>'1 datos preparados'!U762</f>
        <v/>
      </c>
      <c r="C769">
        <f>'1 datos preparados'!B762</f>
        <v/>
      </c>
      <c r="D769" s="7">
        <f>'1 datos preparados'!C762</f>
        <v/>
      </c>
      <c r="E769" s="7">
        <f>'1 datos preparados'!D762</f>
        <v/>
      </c>
      <c r="F769" s="7">
        <f>'1 datos preparados'!E762</f>
        <v/>
      </c>
      <c r="G769" s="7">
        <f>'1 datos preparados'!F762</f>
        <v/>
      </c>
      <c r="H769" s="7">
        <f>'1 datos preparados'!G762</f>
        <v/>
      </c>
      <c r="I769" s="7">
        <f>'1 datos preparados'!H762</f>
        <v/>
      </c>
      <c r="J769" s="7">
        <f>'1 datos preparados'!I762</f>
        <v/>
      </c>
      <c r="K769" s="7">
        <f>'1 datos preparados'!J762</f>
        <v/>
      </c>
      <c r="L769" s="7">
        <f>'1 datos preparados'!K762</f>
        <v/>
      </c>
      <c r="M769" s="7">
        <f>'1 datos preparados'!L762</f>
        <v/>
      </c>
      <c r="N769" s="7">
        <f>'1 datos preparados'!M762</f>
        <v/>
      </c>
      <c r="O769" s="7">
        <f>'1 datos preparados'!N762</f>
        <v/>
      </c>
      <c r="P769" s="7">
        <f>'1 datos preparados'!O762</f>
        <v/>
      </c>
      <c r="Q769" s="7">
        <f>'1 datos preparados'!P762</f>
        <v/>
      </c>
      <c r="R769" s="7">
        <f>'1 datos preparados'!Q762</f>
        <v/>
      </c>
      <c r="S769" s="7">
        <f>'1 datos preparados'!R762</f>
        <v/>
      </c>
      <c r="T769" s="7">
        <f>'1 datos preparados'!S762</f>
        <v/>
      </c>
      <c r="U769" s="7">
        <f>'1 datos preparados'!T762</f>
        <v/>
      </c>
      <c r="V769" s="8">
        <f>$AE$12+D769*$AE$13+E769*$AE$14+F769*$AE$15+G769*$AE$16+H769*$AE$17+I769*$AE$18+J769*$AE$19+K769*$AE$20+L769*$AE$21+M769*$AE$22+N769*$AE$23+O769*$AE$24+P769*$AE$25+Q769*$AE$26+R769*$AE$27+S769*$AE$28+T769*$AE$29+U769*$AE$30</f>
        <v/>
      </c>
      <c r="W769" s="8">
        <f>1/(1+EXP(-V769))</f>
        <v/>
      </c>
      <c r="X769" s="9">
        <f>-IF(C769=1,LN(W769),LN(1-W769))</f>
        <v/>
      </c>
      <c r="Y769" s="8">
        <f>1</f>
        <v/>
      </c>
      <c r="Z769" s="9">
        <f>Y769*X769</f>
        <v/>
      </c>
      <c r="AA769" s="10">
        <f>IF(W769&gt;$AE$32,1,0)</f>
        <v/>
      </c>
      <c r="AB769">
        <f>IF(AA769=C769,1,0)</f>
        <v/>
      </c>
    </row>
    <row r="770">
      <c r="A770">
        <f>'1 datos preparados'!A763</f>
        <v/>
      </c>
      <c r="B770" s="5">
        <f>'1 datos preparados'!U763</f>
        <v/>
      </c>
      <c r="C770">
        <f>'1 datos preparados'!B763</f>
        <v/>
      </c>
      <c r="D770" s="7">
        <f>'1 datos preparados'!C763</f>
        <v/>
      </c>
      <c r="E770" s="7">
        <f>'1 datos preparados'!D763</f>
        <v/>
      </c>
      <c r="F770" s="7">
        <f>'1 datos preparados'!E763</f>
        <v/>
      </c>
      <c r="G770" s="7">
        <f>'1 datos preparados'!F763</f>
        <v/>
      </c>
      <c r="H770" s="7">
        <f>'1 datos preparados'!G763</f>
        <v/>
      </c>
      <c r="I770" s="7">
        <f>'1 datos preparados'!H763</f>
        <v/>
      </c>
      <c r="J770" s="7">
        <f>'1 datos preparados'!I763</f>
        <v/>
      </c>
      <c r="K770" s="7">
        <f>'1 datos preparados'!J763</f>
        <v/>
      </c>
      <c r="L770" s="7">
        <f>'1 datos preparados'!K763</f>
        <v/>
      </c>
      <c r="M770" s="7">
        <f>'1 datos preparados'!L763</f>
        <v/>
      </c>
      <c r="N770" s="7">
        <f>'1 datos preparados'!M763</f>
        <v/>
      </c>
      <c r="O770" s="7">
        <f>'1 datos preparados'!N763</f>
        <v/>
      </c>
      <c r="P770" s="7">
        <f>'1 datos preparados'!O763</f>
        <v/>
      </c>
      <c r="Q770" s="7">
        <f>'1 datos preparados'!P763</f>
        <v/>
      </c>
      <c r="R770" s="7">
        <f>'1 datos preparados'!Q763</f>
        <v/>
      </c>
      <c r="S770" s="7">
        <f>'1 datos preparados'!R763</f>
        <v/>
      </c>
      <c r="T770" s="7">
        <f>'1 datos preparados'!S763</f>
        <v/>
      </c>
      <c r="U770" s="7">
        <f>'1 datos preparados'!T763</f>
        <v/>
      </c>
      <c r="V770" s="8">
        <f>$AE$12+D770*$AE$13+E770*$AE$14+F770*$AE$15+G770*$AE$16+H770*$AE$17+I770*$AE$18+J770*$AE$19+K770*$AE$20+L770*$AE$21+M770*$AE$22+N770*$AE$23+O770*$AE$24+P770*$AE$25+Q770*$AE$26+R770*$AE$27+S770*$AE$28+T770*$AE$29+U770*$AE$30</f>
        <v/>
      </c>
      <c r="W770" s="8">
        <f>1/(1+EXP(-V770))</f>
        <v/>
      </c>
      <c r="X770" s="9">
        <f>-IF(C770=1,LN(W770),LN(1-W770))</f>
        <v/>
      </c>
      <c r="Y770" s="8">
        <f>1</f>
        <v/>
      </c>
      <c r="Z770" s="9">
        <f>Y770*X770</f>
        <v/>
      </c>
      <c r="AA770" s="10">
        <f>IF(W770&gt;$AE$32,1,0)</f>
        <v/>
      </c>
      <c r="AB770">
        <f>IF(AA770=C770,1,0)</f>
        <v/>
      </c>
    </row>
    <row r="771">
      <c r="A771">
        <f>'1 datos preparados'!A764</f>
        <v/>
      </c>
      <c r="B771" s="5">
        <f>'1 datos preparados'!U764</f>
        <v/>
      </c>
      <c r="C771">
        <f>'1 datos preparados'!B764</f>
        <v/>
      </c>
      <c r="D771" s="7">
        <f>'1 datos preparados'!C764</f>
        <v/>
      </c>
      <c r="E771" s="7">
        <f>'1 datos preparados'!D764</f>
        <v/>
      </c>
      <c r="F771" s="7">
        <f>'1 datos preparados'!E764</f>
        <v/>
      </c>
      <c r="G771" s="7">
        <f>'1 datos preparados'!F764</f>
        <v/>
      </c>
      <c r="H771" s="7">
        <f>'1 datos preparados'!G764</f>
        <v/>
      </c>
      <c r="I771" s="7">
        <f>'1 datos preparados'!H764</f>
        <v/>
      </c>
      <c r="J771" s="7">
        <f>'1 datos preparados'!I764</f>
        <v/>
      </c>
      <c r="K771" s="7">
        <f>'1 datos preparados'!J764</f>
        <v/>
      </c>
      <c r="L771" s="7">
        <f>'1 datos preparados'!K764</f>
        <v/>
      </c>
      <c r="M771" s="7">
        <f>'1 datos preparados'!L764</f>
        <v/>
      </c>
      <c r="N771" s="7">
        <f>'1 datos preparados'!M764</f>
        <v/>
      </c>
      <c r="O771" s="7">
        <f>'1 datos preparados'!N764</f>
        <v/>
      </c>
      <c r="P771" s="7">
        <f>'1 datos preparados'!O764</f>
        <v/>
      </c>
      <c r="Q771" s="7">
        <f>'1 datos preparados'!P764</f>
        <v/>
      </c>
      <c r="R771" s="7">
        <f>'1 datos preparados'!Q764</f>
        <v/>
      </c>
      <c r="S771" s="7">
        <f>'1 datos preparados'!R764</f>
        <v/>
      </c>
      <c r="T771" s="7">
        <f>'1 datos preparados'!S764</f>
        <v/>
      </c>
      <c r="U771" s="7">
        <f>'1 datos preparados'!T764</f>
        <v/>
      </c>
      <c r="V771" s="8">
        <f>$AE$12+D771*$AE$13+E771*$AE$14+F771*$AE$15+G771*$AE$16+H771*$AE$17+I771*$AE$18+J771*$AE$19+K771*$AE$20+L771*$AE$21+M771*$AE$22+N771*$AE$23+O771*$AE$24+P771*$AE$25+Q771*$AE$26+R771*$AE$27+S771*$AE$28+T771*$AE$29+U771*$AE$30</f>
        <v/>
      </c>
      <c r="W771" s="8">
        <f>1/(1+EXP(-V771))</f>
        <v/>
      </c>
      <c r="X771" s="9">
        <f>-IF(C771=1,LN(W771),LN(1-W771))</f>
        <v/>
      </c>
      <c r="Y771" s="8">
        <f>1</f>
        <v/>
      </c>
      <c r="Z771" s="9">
        <f>Y771*X771</f>
        <v/>
      </c>
      <c r="AA771" s="10">
        <f>IF(W771&gt;$AE$32,1,0)</f>
        <v/>
      </c>
      <c r="AB771">
        <f>IF(AA771=C771,1,0)</f>
        <v/>
      </c>
    </row>
    <row r="772">
      <c r="A772">
        <f>'1 datos preparados'!A765</f>
        <v/>
      </c>
      <c r="B772" s="5">
        <f>'1 datos preparados'!U765</f>
        <v/>
      </c>
      <c r="C772">
        <f>'1 datos preparados'!B765</f>
        <v/>
      </c>
      <c r="D772" s="7">
        <f>'1 datos preparados'!C765</f>
        <v/>
      </c>
      <c r="E772" s="7">
        <f>'1 datos preparados'!D765</f>
        <v/>
      </c>
      <c r="F772" s="7">
        <f>'1 datos preparados'!E765</f>
        <v/>
      </c>
      <c r="G772" s="7">
        <f>'1 datos preparados'!F765</f>
        <v/>
      </c>
      <c r="H772" s="7">
        <f>'1 datos preparados'!G765</f>
        <v/>
      </c>
      <c r="I772" s="7">
        <f>'1 datos preparados'!H765</f>
        <v/>
      </c>
      <c r="J772" s="7">
        <f>'1 datos preparados'!I765</f>
        <v/>
      </c>
      <c r="K772" s="7">
        <f>'1 datos preparados'!J765</f>
        <v/>
      </c>
      <c r="L772" s="7">
        <f>'1 datos preparados'!K765</f>
        <v/>
      </c>
      <c r="M772" s="7">
        <f>'1 datos preparados'!L765</f>
        <v/>
      </c>
      <c r="N772" s="7">
        <f>'1 datos preparados'!M765</f>
        <v/>
      </c>
      <c r="O772" s="7">
        <f>'1 datos preparados'!N765</f>
        <v/>
      </c>
      <c r="P772" s="7">
        <f>'1 datos preparados'!O765</f>
        <v/>
      </c>
      <c r="Q772" s="7">
        <f>'1 datos preparados'!P765</f>
        <v/>
      </c>
      <c r="R772" s="7">
        <f>'1 datos preparados'!Q765</f>
        <v/>
      </c>
      <c r="S772" s="7">
        <f>'1 datos preparados'!R765</f>
        <v/>
      </c>
      <c r="T772" s="7">
        <f>'1 datos preparados'!S765</f>
        <v/>
      </c>
      <c r="U772" s="7">
        <f>'1 datos preparados'!T765</f>
        <v/>
      </c>
      <c r="V772" s="8">
        <f>$AE$12+D772*$AE$13+E772*$AE$14+F772*$AE$15+G772*$AE$16+H772*$AE$17+I772*$AE$18+J772*$AE$19+K772*$AE$20+L772*$AE$21+M772*$AE$22+N772*$AE$23+O772*$AE$24+P772*$AE$25+Q772*$AE$26+R772*$AE$27+S772*$AE$28+T772*$AE$29+U772*$AE$30</f>
        <v/>
      </c>
      <c r="W772" s="8">
        <f>1/(1+EXP(-V772))</f>
        <v/>
      </c>
      <c r="X772" s="9">
        <f>-IF(C772=1,LN(W772),LN(1-W772))</f>
        <v/>
      </c>
      <c r="Y772" s="8">
        <f>1</f>
        <v/>
      </c>
      <c r="Z772" s="9">
        <f>Y772*X772</f>
        <v/>
      </c>
      <c r="AA772" s="10">
        <f>IF(W772&gt;$AE$32,1,0)</f>
        <v/>
      </c>
      <c r="AB772">
        <f>IF(AA772=C772,1,0)</f>
        <v/>
      </c>
    </row>
    <row r="773">
      <c r="A773">
        <f>'1 datos preparados'!A766</f>
        <v/>
      </c>
      <c r="B773" s="5">
        <f>'1 datos preparados'!U766</f>
        <v/>
      </c>
      <c r="C773">
        <f>'1 datos preparados'!B766</f>
        <v/>
      </c>
      <c r="D773" s="7">
        <f>'1 datos preparados'!C766</f>
        <v/>
      </c>
      <c r="E773" s="7">
        <f>'1 datos preparados'!D766</f>
        <v/>
      </c>
      <c r="F773" s="7">
        <f>'1 datos preparados'!E766</f>
        <v/>
      </c>
      <c r="G773" s="7">
        <f>'1 datos preparados'!F766</f>
        <v/>
      </c>
      <c r="H773" s="7">
        <f>'1 datos preparados'!G766</f>
        <v/>
      </c>
      <c r="I773" s="7">
        <f>'1 datos preparados'!H766</f>
        <v/>
      </c>
      <c r="J773" s="7">
        <f>'1 datos preparados'!I766</f>
        <v/>
      </c>
      <c r="K773" s="7">
        <f>'1 datos preparados'!J766</f>
        <v/>
      </c>
      <c r="L773" s="7">
        <f>'1 datos preparados'!K766</f>
        <v/>
      </c>
      <c r="M773" s="7">
        <f>'1 datos preparados'!L766</f>
        <v/>
      </c>
      <c r="N773" s="7">
        <f>'1 datos preparados'!M766</f>
        <v/>
      </c>
      <c r="O773" s="7">
        <f>'1 datos preparados'!N766</f>
        <v/>
      </c>
      <c r="P773" s="7">
        <f>'1 datos preparados'!O766</f>
        <v/>
      </c>
      <c r="Q773" s="7">
        <f>'1 datos preparados'!P766</f>
        <v/>
      </c>
      <c r="R773" s="7">
        <f>'1 datos preparados'!Q766</f>
        <v/>
      </c>
      <c r="S773" s="7">
        <f>'1 datos preparados'!R766</f>
        <v/>
      </c>
      <c r="T773" s="7">
        <f>'1 datos preparados'!S766</f>
        <v/>
      </c>
      <c r="U773" s="7">
        <f>'1 datos preparados'!T766</f>
        <v/>
      </c>
      <c r="V773" s="8">
        <f>$AE$12+D773*$AE$13+E773*$AE$14+F773*$AE$15+G773*$AE$16+H773*$AE$17+I773*$AE$18+J773*$AE$19+K773*$AE$20+L773*$AE$21+M773*$AE$22+N773*$AE$23+O773*$AE$24+P773*$AE$25+Q773*$AE$26+R773*$AE$27+S773*$AE$28+T773*$AE$29+U773*$AE$30</f>
        <v/>
      </c>
      <c r="W773" s="8">
        <f>1/(1+EXP(-V773))</f>
        <v/>
      </c>
      <c r="X773" s="9">
        <f>-IF(C773=1,LN(W773),LN(1-W773))</f>
        <v/>
      </c>
      <c r="Y773" s="8">
        <f>1</f>
        <v/>
      </c>
      <c r="Z773" s="9">
        <f>Y773*X773</f>
        <v/>
      </c>
      <c r="AA773" s="10">
        <f>IF(W773&gt;$AE$32,1,0)</f>
        <v/>
      </c>
      <c r="AB773">
        <f>IF(AA773=C773,1,0)</f>
        <v/>
      </c>
    </row>
    <row r="774">
      <c r="A774">
        <f>'1 datos preparados'!A767</f>
        <v/>
      </c>
      <c r="B774" s="5">
        <f>'1 datos preparados'!U767</f>
        <v/>
      </c>
      <c r="C774">
        <f>'1 datos preparados'!B767</f>
        <v/>
      </c>
      <c r="D774" s="7">
        <f>'1 datos preparados'!C767</f>
        <v/>
      </c>
      <c r="E774" s="7">
        <f>'1 datos preparados'!D767</f>
        <v/>
      </c>
      <c r="F774" s="7">
        <f>'1 datos preparados'!E767</f>
        <v/>
      </c>
      <c r="G774" s="7">
        <f>'1 datos preparados'!F767</f>
        <v/>
      </c>
      <c r="H774" s="7">
        <f>'1 datos preparados'!G767</f>
        <v/>
      </c>
      <c r="I774" s="7">
        <f>'1 datos preparados'!H767</f>
        <v/>
      </c>
      <c r="J774" s="7">
        <f>'1 datos preparados'!I767</f>
        <v/>
      </c>
      <c r="K774" s="7">
        <f>'1 datos preparados'!J767</f>
        <v/>
      </c>
      <c r="L774" s="7">
        <f>'1 datos preparados'!K767</f>
        <v/>
      </c>
      <c r="M774" s="7">
        <f>'1 datos preparados'!L767</f>
        <v/>
      </c>
      <c r="N774" s="7">
        <f>'1 datos preparados'!M767</f>
        <v/>
      </c>
      <c r="O774" s="7">
        <f>'1 datos preparados'!N767</f>
        <v/>
      </c>
      <c r="P774" s="7">
        <f>'1 datos preparados'!O767</f>
        <v/>
      </c>
      <c r="Q774" s="7">
        <f>'1 datos preparados'!P767</f>
        <v/>
      </c>
      <c r="R774" s="7">
        <f>'1 datos preparados'!Q767</f>
        <v/>
      </c>
      <c r="S774" s="7">
        <f>'1 datos preparados'!R767</f>
        <v/>
      </c>
      <c r="T774" s="7">
        <f>'1 datos preparados'!S767</f>
        <v/>
      </c>
      <c r="U774" s="7">
        <f>'1 datos preparados'!T767</f>
        <v/>
      </c>
      <c r="V774" s="8">
        <f>$AE$12+D774*$AE$13+E774*$AE$14+F774*$AE$15+G774*$AE$16+H774*$AE$17+I774*$AE$18+J774*$AE$19+K774*$AE$20+L774*$AE$21+M774*$AE$22+N774*$AE$23+O774*$AE$24+P774*$AE$25+Q774*$AE$26+R774*$AE$27+S774*$AE$28+T774*$AE$29+U774*$AE$30</f>
        <v/>
      </c>
      <c r="W774" s="8">
        <f>1/(1+EXP(-V774))</f>
        <v/>
      </c>
      <c r="X774" s="9">
        <f>-IF(C774=1,LN(W774),LN(1-W774))</f>
        <v/>
      </c>
      <c r="Y774" s="8">
        <f>1</f>
        <v/>
      </c>
      <c r="Z774" s="9">
        <f>Y774*X774</f>
        <v/>
      </c>
      <c r="AA774" s="10">
        <f>IF(W774&gt;$AE$32,1,0)</f>
        <v/>
      </c>
      <c r="AB774">
        <f>IF(AA774=C774,1,0)</f>
        <v/>
      </c>
    </row>
    <row r="775">
      <c r="A775">
        <f>'1 datos preparados'!A768</f>
        <v/>
      </c>
      <c r="B775" s="5">
        <f>'1 datos preparados'!U768</f>
        <v/>
      </c>
      <c r="C775">
        <f>'1 datos preparados'!B768</f>
        <v/>
      </c>
      <c r="D775" s="7">
        <f>'1 datos preparados'!C768</f>
        <v/>
      </c>
      <c r="E775" s="7">
        <f>'1 datos preparados'!D768</f>
        <v/>
      </c>
      <c r="F775" s="7">
        <f>'1 datos preparados'!E768</f>
        <v/>
      </c>
      <c r="G775" s="7">
        <f>'1 datos preparados'!F768</f>
        <v/>
      </c>
      <c r="H775" s="7">
        <f>'1 datos preparados'!G768</f>
        <v/>
      </c>
      <c r="I775" s="7">
        <f>'1 datos preparados'!H768</f>
        <v/>
      </c>
      <c r="J775" s="7">
        <f>'1 datos preparados'!I768</f>
        <v/>
      </c>
      <c r="K775" s="7">
        <f>'1 datos preparados'!J768</f>
        <v/>
      </c>
      <c r="L775" s="7">
        <f>'1 datos preparados'!K768</f>
        <v/>
      </c>
      <c r="M775" s="7">
        <f>'1 datos preparados'!L768</f>
        <v/>
      </c>
      <c r="N775" s="7">
        <f>'1 datos preparados'!M768</f>
        <v/>
      </c>
      <c r="O775" s="7">
        <f>'1 datos preparados'!N768</f>
        <v/>
      </c>
      <c r="P775" s="7">
        <f>'1 datos preparados'!O768</f>
        <v/>
      </c>
      <c r="Q775" s="7">
        <f>'1 datos preparados'!P768</f>
        <v/>
      </c>
      <c r="R775" s="7">
        <f>'1 datos preparados'!Q768</f>
        <v/>
      </c>
      <c r="S775" s="7">
        <f>'1 datos preparados'!R768</f>
        <v/>
      </c>
      <c r="T775" s="7">
        <f>'1 datos preparados'!S768</f>
        <v/>
      </c>
      <c r="U775" s="7">
        <f>'1 datos preparados'!T768</f>
        <v/>
      </c>
      <c r="V775" s="8">
        <f>$AE$12+D775*$AE$13+E775*$AE$14+F775*$AE$15+G775*$AE$16+H775*$AE$17+I775*$AE$18+J775*$AE$19+K775*$AE$20+L775*$AE$21+M775*$AE$22+N775*$AE$23+O775*$AE$24+P775*$AE$25+Q775*$AE$26+R775*$AE$27+S775*$AE$28+T775*$AE$29+U775*$AE$30</f>
        <v/>
      </c>
      <c r="W775" s="8">
        <f>1/(1+EXP(-V775))</f>
        <v/>
      </c>
      <c r="X775" s="9">
        <f>-IF(C775=1,LN(W775),LN(1-W775))</f>
        <v/>
      </c>
      <c r="Y775" s="8">
        <f>1</f>
        <v/>
      </c>
      <c r="Z775" s="9">
        <f>Y775*X775</f>
        <v/>
      </c>
      <c r="AA775" s="10">
        <f>IF(W775&gt;$AE$32,1,0)</f>
        <v/>
      </c>
      <c r="AB775">
        <f>IF(AA775=C775,1,0)</f>
        <v/>
      </c>
    </row>
    <row r="776">
      <c r="A776">
        <f>'1 datos preparados'!A769</f>
        <v/>
      </c>
      <c r="B776" s="5">
        <f>'1 datos preparados'!U769</f>
        <v/>
      </c>
      <c r="C776">
        <f>'1 datos preparados'!B769</f>
        <v/>
      </c>
      <c r="D776" s="7">
        <f>'1 datos preparados'!C769</f>
        <v/>
      </c>
      <c r="E776" s="7">
        <f>'1 datos preparados'!D769</f>
        <v/>
      </c>
      <c r="F776" s="7">
        <f>'1 datos preparados'!E769</f>
        <v/>
      </c>
      <c r="G776" s="7">
        <f>'1 datos preparados'!F769</f>
        <v/>
      </c>
      <c r="H776" s="7">
        <f>'1 datos preparados'!G769</f>
        <v/>
      </c>
      <c r="I776" s="7">
        <f>'1 datos preparados'!H769</f>
        <v/>
      </c>
      <c r="J776" s="7">
        <f>'1 datos preparados'!I769</f>
        <v/>
      </c>
      <c r="K776" s="7">
        <f>'1 datos preparados'!J769</f>
        <v/>
      </c>
      <c r="L776" s="7">
        <f>'1 datos preparados'!K769</f>
        <v/>
      </c>
      <c r="M776" s="7">
        <f>'1 datos preparados'!L769</f>
        <v/>
      </c>
      <c r="N776" s="7">
        <f>'1 datos preparados'!M769</f>
        <v/>
      </c>
      <c r="O776" s="7">
        <f>'1 datos preparados'!N769</f>
        <v/>
      </c>
      <c r="P776" s="7">
        <f>'1 datos preparados'!O769</f>
        <v/>
      </c>
      <c r="Q776" s="7">
        <f>'1 datos preparados'!P769</f>
        <v/>
      </c>
      <c r="R776" s="7">
        <f>'1 datos preparados'!Q769</f>
        <v/>
      </c>
      <c r="S776" s="7">
        <f>'1 datos preparados'!R769</f>
        <v/>
      </c>
      <c r="T776" s="7">
        <f>'1 datos preparados'!S769</f>
        <v/>
      </c>
      <c r="U776" s="7">
        <f>'1 datos preparados'!T769</f>
        <v/>
      </c>
      <c r="V776" s="8">
        <f>$AE$12+D776*$AE$13+E776*$AE$14+F776*$AE$15+G776*$AE$16+H776*$AE$17+I776*$AE$18+J776*$AE$19+K776*$AE$20+L776*$AE$21+M776*$AE$22+N776*$AE$23+O776*$AE$24+P776*$AE$25+Q776*$AE$26+R776*$AE$27+S776*$AE$28+T776*$AE$29+U776*$AE$30</f>
        <v/>
      </c>
      <c r="W776" s="8">
        <f>1/(1+EXP(-V776))</f>
        <v/>
      </c>
      <c r="X776" s="9">
        <f>-IF(C776=1,LN(W776),LN(1-W776))</f>
        <v/>
      </c>
      <c r="Y776" s="8">
        <f>1</f>
        <v/>
      </c>
      <c r="Z776" s="9">
        <f>Y776*X776</f>
        <v/>
      </c>
      <c r="AA776" s="10">
        <f>IF(W776&gt;$AE$32,1,0)</f>
        <v/>
      </c>
      <c r="AB776">
        <f>IF(AA776=C776,1,0)</f>
        <v/>
      </c>
    </row>
    <row r="777">
      <c r="A777">
        <f>'1 datos preparados'!A770</f>
        <v/>
      </c>
      <c r="B777" s="5">
        <f>'1 datos preparados'!U770</f>
        <v/>
      </c>
      <c r="C777">
        <f>'1 datos preparados'!B770</f>
        <v/>
      </c>
      <c r="D777" s="7">
        <f>'1 datos preparados'!C770</f>
        <v/>
      </c>
      <c r="E777" s="7">
        <f>'1 datos preparados'!D770</f>
        <v/>
      </c>
      <c r="F777" s="7">
        <f>'1 datos preparados'!E770</f>
        <v/>
      </c>
      <c r="G777" s="7">
        <f>'1 datos preparados'!F770</f>
        <v/>
      </c>
      <c r="H777" s="7">
        <f>'1 datos preparados'!G770</f>
        <v/>
      </c>
      <c r="I777" s="7">
        <f>'1 datos preparados'!H770</f>
        <v/>
      </c>
      <c r="J777" s="7">
        <f>'1 datos preparados'!I770</f>
        <v/>
      </c>
      <c r="K777" s="7">
        <f>'1 datos preparados'!J770</f>
        <v/>
      </c>
      <c r="L777" s="7">
        <f>'1 datos preparados'!K770</f>
        <v/>
      </c>
      <c r="M777" s="7">
        <f>'1 datos preparados'!L770</f>
        <v/>
      </c>
      <c r="N777" s="7">
        <f>'1 datos preparados'!M770</f>
        <v/>
      </c>
      <c r="O777" s="7">
        <f>'1 datos preparados'!N770</f>
        <v/>
      </c>
      <c r="P777" s="7">
        <f>'1 datos preparados'!O770</f>
        <v/>
      </c>
      <c r="Q777" s="7">
        <f>'1 datos preparados'!P770</f>
        <v/>
      </c>
      <c r="R777" s="7">
        <f>'1 datos preparados'!Q770</f>
        <v/>
      </c>
      <c r="S777" s="7">
        <f>'1 datos preparados'!R770</f>
        <v/>
      </c>
      <c r="T777" s="7">
        <f>'1 datos preparados'!S770</f>
        <v/>
      </c>
      <c r="U777" s="7">
        <f>'1 datos preparados'!T770</f>
        <v/>
      </c>
      <c r="V777" s="8">
        <f>$AE$12+D777*$AE$13+E777*$AE$14+F777*$AE$15+G777*$AE$16+H777*$AE$17+I777*$AE$18+J777*$AE$19+K777*$AE$20+L777*$AE$21+M777*$AE$22+N777*$AE$23+O777*$AE$24+P777*$AE$25+Q777*$AE$26+R777*$AE$27+S777*$AE$28+T777*$AE$29+U777*$AE$30</f>
        <v/>
      </c>
      <c r="W777" s="8">
        <f>1/(1+EXP(-V777))</f>
        <v/>
      </c>
      <c r="X777" s="9">
        <f>-IF(C777=1,LN(W777),LN(1-W777))</f>
        <v/>
      </c>
      <c r="Y777" s="8">
        <f>1</f>
        <v/>
      </c>
      <c r="Z777" s="9">
        <f>Y777*X777</f>
        <v/>
      </c>
      <c r="AA777" s="10">
        <f>IF(W777&gt;$AE$32,1,0)</f>
        <v/>
      </c>
      <c r="AB777">
        <f>IF(AA777=C777,1,0)</f>
        <v/>
      </c>
    </row>
    <row r="778">
      <c r="A778">
        <f>'1 datos preparados'!A771</f>
        <v/>
      </c>
      <c r="B778" s="5">
        <f>'1 datos preparados'!U771</f>
        <v/>
      </c>
      <c r="C778">
        <f>'1 datos preparados'!B771</f>
        <v/>
      </c>
      <c r="D778" s="7">
        <f>'1 datos preparados'!C771</f>
        <v/>
      </c>
      <c r="E778" s="7">
        <f>'1 datos preparados'!D771</f>
        <v/>
      </c>
      <c r="F778" s="7">
        <f>'1 datos preparados'!E771</f>
        <v/>
      </c>
      <c r="G778" s="7">
        <f>'1 datos preparados'!F771</f>
        <v/>
      </c>
      <c r="H778" s="7">
        <f>'1 datos preparados'!G771</f>
        <v/>
      </c>
      <c r="I778" s="7">
        <f>'1 datos preparados'!H771</f>
        <v/>
      </c>
      <c r="J778" s="7">
        <f>'1 datos preparados'!I771</f>
        <v/>
      </c>
      <c r="K778" s="7">
        <f>'1 datos preparados'!J771</f>
        <v/>
      </c>
      <c r="L778" s="7">
        <f>'1 datos preparados'!K771</f>
        <v/>
      </c>
      <c r="M778" s="7">
        <f>'1 datos preparados'!L771</f>
        <v/>
      </c>
      <c r="N778" s="7">
        <f>'1 datos preparados'!M771</f>
        <v/>
      </c>
      <c r="O778" s="7">
        <f>'1 datos preparados'!N771</f>
        <v/>
      </c>
      <c r="P778" s="7">
        <f>'1 datos preparados'!O771</f>
        <v/>
      </c>
      <c r="Q778" s="7">
        <f>'1 datos preparados'!P771</f>
        <v/>
      </c>
      <c r="R778" s="7">
        <f>'1 datos preparados'!Q771</f>
        <v/>
      </c>
      <c r="S778" s="7">
        <f>'1 datos preparados'!R771</f>
        <v/>
      </c>
      <c r="T778" s="7">
        <f>'1 datos preparados'!S771</f>
        <v/>
      </c>
      <c r="U778" s="7">
        <f>'1 datos preparados'!T771</f>
        <v/>
      </c>
      <c r="V778" s="8">
        <f>$AE$12+D778*$AE$13+E778*$AE$14+F778*$AE$15+G778*$AE$16+H778*$AE$17+I778*$AE$18+J778*$AE$19+K778*$AE$20+L778*$AE$21+M778*$AE$22+N778*$AE$23+O778*$AE$24+P778*$AE$25+Q778*$AE$26+R778*$AE$27+S778*$AE$28+T778*$AE$29+U778*$AE$30</f>
        <v/>
      </c>
      <c r="W778" s="8">
        <f>1/(1+EXP(-V778))</f>
        <v/>
      </c>
      <c r="X778" s="9">
        <f>-IF(C778=1,LN(W778),LN(1-W778))</f>
        <v/>
      </c>
      <c r="Y778" s="8">
        <f>1</f>
        <v/>
      </c>
      <c r="Z778" s="9">
        <f>Y778*X778</f>
        <v/>
      </c>
      <c r="AA778" s="10">
        <f>IF(W778&gt;$AE$32,1,0)</f>
        <v/>
      </c>
      <c r="AB778">
        <f>IF(AA778=C778,1,0)</f>
        <v/>
      </c>
    </row>
    <row r="779">
      <c r="A779">
        <f>'1 datos preparados'!A772</f>
        <v/>
      </c>
      <c r="B779" s="5">
        <f>'1 datos preparados'!U772</f>
        <v/>
      </c>
      <c r="C779">
        <f>'1 datos preparados'!B772</f>
        <v/>
      </c>
      <c r="D779" s="7">
        <f>'1 datos preparados'!C772</f>
        <v/>
      </c>
      <c r="E779" s="7">
        <f>'1 datos preparados'!D772</f>
        <v/>
      </c>
      <c r="F779" s="7">
        <f>'1 datos preparados'!E772</f>
        <v/>
      </c>
      <c r="G779" s="7">
        <f>'1 datos preparados'!F772</f>
        <v/>
      </c>
      <c r="H779" s="7">
        <f>'1 datos preparados'!G772</f>
        <v/>
      </c>
      <c r="I779" s="7">
        <f>'1 datos preparados'!H772</f>
        <v/>
      </c>
      <c r="J779" s="7">
        <f>'1 datos preparados'!I772</f>
        <v/>
      </c>
      <c r="K779" s="7">
        <f>'1 datos preparados'!J772</f>
        <v/>
      </c>
      <c r="L779" s="7">
        <f>'1 datos preparados'!K772</f>
        <v/>
      </c>
      <c r="M779" s="7">
        <f>'1 datos preparados'!L772</f>
        <v/>
      </c>
      <c r="N779" s="7">
        <f>'1 datos preparados'!M772</f>
        <v/>
      </c>
      <c r="O779" s="7">
        <f>'1 datos preparados'!N772</f>
        <v/>
      </c>
      <c r="P779" s="7">
        <f>'1 datos preparados'!O772</f>
        <v/>
      </c>
      <c r="Q779" s="7">
        <f>'1 datos preparados'!P772</f>
        <v/>
      </c>
      <c r="R779" s="7">
        <f>'1 datos preparados'!Q772</f>
        <v/>
      </c>
      <c r="S779" s="7">
        <f>'1 datos preparados'!R772</f>
        <v/>
      </c>
      <c r="T779" s="7">
        <f>'1 datos preparados'!S772</f>
        <v/>
      </c>
      <c r="U779" s="7">
        <f>'1 datos preparados'!T772</f>
        <v/>
      </c>
      <c r="V779" s="8">
        <f>$AE$12+D779*$AE$13+E779*$AE$14+F779*$AE$15+G779*$AE$16+H779*$AE$17+I779*$AE$18+J779*$AE$19+K779*$AE$20+L779*$AE$21+M779*$AE$22+N779*$AE$23+O779*$AE$24+P779*$AE$25+Q779*$AE$26+R779*$AE$27+S779*$AE$28+T779*$AE$29+U779*$AE$30</f>
        <v/>
      </c>
      <c r="W779" s="8">
        <f>1/(1+EXP(-V779))</f>
        <v/>
      </c>
      <c r="X779" s="9">
        <f>-IF(C779=1,LN(W779),LN(1-W779))</f>
        <v/>
      </c>
      <c r="Y779" s="8">
        <f>1</f>
        <v/>
      </c>
      <c r="Z779" s="9">
        <f>Y779*X779</f>
        <v/>
      </c>
      <c r="AA779" s="10">
        <f>IF(W779&gt;$AE$32,1,0)</f>
        <v/>
      </c>
      <c r="AB779">
        <f>IF(AA779=C779,1,0)</f>
        <v/>
      </c>
    </row>
    <row r="780">
      <c r="A780">
        <f>'1 datos preparados'!A773</f>
        <v/>
      </c>
      <c r="B780" s="5">
        <f>'1 datos preparados'!U773</f>
        <v/>
      </c>
      <c r="C780">
        <f>'1 datos preparados'!B773</f>
        <v/>
      </c>
      <c r="D780" s="7">
        <f>'1 datos preparados'!C773</f>
        <v/>
      </c>
      <c r="E780" s="7">
        <f>'1 datos preparados'!D773</f>
        <v/>
      </c>
      <c r="F780" s="7">
        <f>'1 datos preparados'!E773</f>
        <v/>
      </c>
      <c r="G780" s="7">
        <f>'1 datos preparados'!F773</f>
        <v/>
      </c>
      <c r="H780" s="7">
        <f>'1 datos preparados'!G773</f>
        <v/>
      </c>
      <c r="I780" s="7">
        <f>'1 datos preparados'!H773</f>
        <v/>
      </c>
      <c r="J780" s="7">
        <f>'1 datos preparados'!I773</f>
        <v/>
      </c>
      <c r="K780" s="7">
        <f>'1 datos preparados'!J773</f>
        <v/>
      </c>
      <c r="L780" s="7">
        <f>'1 datos preparados'!K773</f>
        <v/>
      </c>
      <c r="M780" s="7">
        <f>'1 datos preparados'!L773</f>
        <v/>
      </c>
      <c r="N780" s="7">
        <f>'1 datos preparados'!M773</f>
        <v/>
      </c>
      <c r="O780" s="7">
        <f>'1 datos preparados'!N773</f>
        <v/>
      </c>
      <c r="P780" s="7">
        <f>'1 datos preparados'!O773</f>
        <v/>
      </c>
      <c r="Q780" s="7">
        <f>'1 datos preparados'!P773</f>
        <v/>
      </c>
      <c r="R780" s="7">
        <f>'1 datos preparados'!Q773</f>
        <v/>
      </c>
      <c r="S780" s="7">
        <f>'1 datos preparados'!R773</f>
        <v/>
      </c>
      <c r="T780" s="7">
        <f>'1 datos preparados'!S773</f>
        <v/>
      </c>
      <c r="U780" s="7">
        <f>'1 datos preparados'!T773</f>
        <v/>
      </c>
      <c r="V780" s="8">
        <f>$AE$12+D780*$AE$13+E780*$AE$14+F780*$AE$15+G780*$AE$16+H780*$AE$17+I780*$AE$18+J780*$AE$19+K780*$AE$20+L780*$AE$21+M780*$AE$22+N780*$AE$23+O780*$AE$24+P780*$AE$25+Q780*$AE$26+R780*$AE$27+S780*$AE$28+T780*$AE$29+U780*$AE$30</f>
        <v/>
      </c>
      <c r="W780" s="8">
        <f>1/(1+EXP(-V780))</f>
        <v/>
      </c>
      <c r="X780" s="9">
        <f>-IF(C780=1,LN(W780),LN(1-W780))</f>
        <v/>
      </c>
      <c r="Y780" s="8">
        <f>1</f>
        <v/>
      </c>
      <c r="Z780" s="9">
        <f>Y780*X780</f>
        <v/>
      </c>
      <c r="AA780" s="10">
        <f>IF(W780&gt;$AE$32,1,0)</f>
        <v/>
      </c>
      <c r="AB780">
        <f>IF(AA780=C780,1,0)</f>
        <v/>
      </c>
    </row>
    <row r="781">
      <c r="A781">
        <f>'1 datos preparados'!A774</f>
        <v/>
      </c>
      <c r="B781" s="5">
        <f>'1 datos preparados'!U774</f>
        <v/>
      </c>
      <c r="C781">
        <f>'1 datos preparados'!B774</f>
        <v/>
      </c>
      <c r="D781" s="7">
        <f>'1 datos preparados'!C774</f>
        <v/>
      </c>
      <c r="E781" s="7">
        <f>'1 datos preparados'!D774</f>
        <v/>
      </c>
      <c r="F781" s="7">
        <f>'1 datos preparados'!E774</f>
        <v/>
      </c>
      <c r="G781" s="7">
        <f>'1 datos preparados'!F774</f>
        <v/>
      </c>
      <c r="H781" s="7">
        <f>'1 datos preparados'!G774</f>
        <v/>
      </c>
      <c r="I781" s="7">
        <f>'1 datos preparados'!H774</f>
        <v/>
      </c>
      <c r="J781" s="7">
        <f>'1 datos preparados'!I774</f>
        <v/>
      </c>
      <c r="K781" s="7">
        <f>'1 datos preparados'!J774</f>
        <v/>
      </c>
      <c r="L781" s="7">
        <f>'1 datos preparados'!K774</f>
        <v/>
      </c>
      <c r="M781" s="7">
        <f>'1 datos preparados'!L774</f>
        <v/>
      </c>
      <c r="N781" s="7">
        <f>'1 datos preparados'!M774</f>
        <v/>
      </c>
      <c r="O781" s="7">
        <f>'1 datos preparados'!N774</f>
        <v/>
      </c>
      <c r="P781" s="7">
        <f>'1 datos preparados'!O774</f>
        <v/>
      </c>
      <c r="Q781" s="7">
        <f>'1 datos preparados'!P774</f>
        <v/>
      </c>
      <c r="R781" s="7">
        <f>'1 datos preparados'!Q774</f>
        <v/>
      </c>
      <c r="S781" s="7">
        <f>'1 datos preparados'!R774</f>
        <v/>
      </c>
      <c r="T781" s="7">
        <f>'1 datos preparados'!S774</f>
        <v/>
      </c>
      <c r="U781" s="7">
        <f>'1 datos preparados'!T774</f>
        <v/>
      </c>
      <c r="V781" s="8">
        <f>$AE$12+D781*$AE$13+E781*$AE$14+F781*$AE$15+G781*$AE$16+H781*$AE$17+I781*$AE$18+J781*$AE$19+K781*$AE$20+L781*$AE$21+M781*$AE$22+N781*$AE$23+O781*$AE$24+P781*$AE$25+Q781*$AE$26+R781*$AE$27+S781*$AE$28+T781*$AE$29+U781*$AE$30</f>
        <v/>
      </c>
      <c r="W781" s="8">
        <f>1/(1+EXP(-V781))</f>
        <v/>
      </c>
      <c r="X781" s="9">
        <f>-IF(C781=1,LN(W781),LN(1-W781))</f>
        <v/>
      </c>
      <c r="Y781" s="8">
        <f>1</f>
        <v/>
      </c>
      <c r="Z781" s="9">
        <f>Y781*X781</f>
        <v/>
      </c>
      <c r="AA781" s="10">
        <f>IF(W781&gt;$AE$32,1,0)</f>
        <v/>
      </c>
      <c r="AB781">
        <f>IF(AA781=C781,1,0)</f>
        <v/>
      </c>
    </row>
    <row r="782">
      <c r="A782">
        <f>'1 datos preparados'!A775</f>
        <v/>
      </c>
      <c r="B782" s="5">
        <f>'1 datos preparados'!U775</f>
        <v/>
      </c>
      <c r="C782">
        <f>'1 datos preparados'!B775</f>
        <v/>
      </c>
      <c r="D782" s="7">
        <f>'1 datos preparados'!C775</f>
        <v/>
      </c>
      <c r="E782" s="7">
        <f>'1 datos preparados'!D775</f>
        <v/>
      </c>
      <c r="F782" s="7">
        <f>'1 datos preparados'!E775</f>
        <v/>
      </c>
      <c r="G782" s="7">
        <f>'1 datos preparados'!F775</f>
        <v/>
      </c>
      <c r="H782" s="7">
        <f>'1 datos preparados'!G775</f>
        <v/>
      </c>
      <c r="I782" s="7">
        <f>'1 datos preparados'!H775</f>
        <v/>
      </c>
      <c r="J782" s="7">
        <f>'1 datos preparados'!I775</f>
        <v/>
      </c>
      <c r="K782" s="7">
        <f>'1 datos preparados'!J775</f>
        <v/>
      </c>
      <c r="L782" s="7">
        <f>'1 datos preparados'!K775</f>
        <v/>
      </c>
      <c r="M782" s="7">
        <f>'1 datos preparados'!L775</f>
        <v/>
      </c>
      <c r="N782" s="7">
        <f>'1 datos preparados'!M775</f>
        <v/>
      </c>
      <c r="O782" s="7">
        <f>'1 datos preparados'!N775</f>
        <v/>
      </c>
      <c r="P782" s="7">
        <f>'1 datos preparados'!O775</f>
        <v/>
      </c>
      <c r="Q782" s="7">
        <f>'1 datos preparados'!P775</f>
        <v/>
      </c>
      <c r="R782" s="7">
        <f>'1 datos preparados'!Q775</f>
        <v/>
      </c>
      <c r="S782" s="7">
        <f>'1 datos preparados'!R775</f>
        <v/>
      </c>
      <c r="T782" s="7">
        <f>'1 datos preparados'!S775</f>
        <v/>
      </c>
      <c r="U782" s="7">
        <f>'1 datos preparados'!T775</f>
        <v/>
      </c>
      <c r="V782" s="8">
        <f>$AE$12+D782*$AE$13+E782*$AE$14+F782*$AE$15+G782*$AE$16+H782*$AE$17+I782*$AE$18+J782*$AE$19+K782*$AE$20+L782*$AE$21+M782*$AE$22+N782*$AE$23+O782*$AE$24+P782*$AE$25+Q782*$AE$26+R782*$AE$27+S782*$AE$28+T782*$AE$29+U782*$AE$30</f>
        <v/>
      </c>
      <c r="W782" s="8">
        <f>1/(1+EXP(-V782))</f>
        <v/>
      </c>
      <c r="X782" s="9">
        <f>-IF(C782=1,LN(W782),LN(1-W782))</f>
        <v/>
      </c>
      <c r="Y782" s="8">
        <f>1</f>
        <v/>
      </c>
      <c r="Z782" s="9">
        <f>Y782*X782</f>
        <v/>
      </c>
      <c r="AA782" s="10">
        <f>IF(W782&gt;$AE$32,1,0)</f>
        <v/>
      </c>
      <c r="AB782">
        <f>IF(AA782=C782,1,0)</f>
        <v/>
      </c>
    </row>
    <row r="783">
      <c r="A783">
        <f>'1 datos preparados'!A776</f>
        <v/>
      </c>
      <c r="B783" s="5">
        <f>'1 datos preparados'!U776</f>
        <v/>
      </c>
      <c r="C783">
        <f>'1 datos preparados'!B776</f>
        <v/>
      </c>
      <c r="D783" s="7">
        <f>'1 datos preparados'!C776</f>
        <v/>
      </c>
      <c r="E783" s="7">
        <f>'1 datos preparados'!D776</f>
        <v/>
      </c>
      <c r="F783" s="7">
        <f>'1 datos preparados'!E776</f>
        <v/>
      </c>
      <c r="G783" s="7">
        <f>'1 datos preparados'!F776</f>
        <v/>
      </c>
      <c r="H783" s="7">
        <f>'1 datos preparados'!G776</f>
        <v/>
      </c>
      <c r="I783" s="7">
        <f>'1 datos preparados'!H776</f>
        <v/>
      </c>
      <c r="J783" s="7">
        <f>'1 datos preparados'!I776</f>
        <v/>
      </c>
      <c r="K783" s="7">
        <f>'1 datos preparados'!J776</f>
        <v/>
      </c>
      <c r="L783" s="7">
        <f>'1 datos preparados'!K776</f>
        <v/>
      </c>
      <c r="M783" s="7">
        <f>'1 datos preparados'!L776</f>
        <v/>
      </c>
      <c r="N783" s="7">
        <f>'1 datos preparados'!M776</f>
        <v/>
      </c>
      <c r="O783" s="7">
        <f>'1 datos preparados'!N776</f>
        <v/>
      </c>
      <c r="P783" s="7">
        <f>'1 datos preparados'!O776</f>
        <v/>
      </c>
      <c r="Q783" s="7">
        <f>'1 datos preparados'!P776</f>
        <v/>
      </c>
      <c r="R783" s="7">
        <f>'1 datos preparados'!Q776</f>
        <v/>
      </c>
      <c r="S783" s="7">
        <f>'1 datos preparados'!R776</f>
        <v/>
      </c>
      <c r="T783" s="7">
        <f>'1 datos preparados'!S776</f>
        <v/>
      </c>
      <c r="U783" s="7">
        <f>'1 datos preparados'!T776</f>
        <v/>
      </c>
      <c r="V783" s="8">
        <f>$AE$12+D783*$AE$13+E783*$AE$14+F783*$AE$15+G783*$AE$16+H783*$AE$17+I783*$AE$18+J783*$AE$19+K783*$AE$20+L783*$AE$21+M783*$AE$22+N783*$AE$23+O783*$AE$24+P783*$AE$25+Q783*$AE$26+R783*$AE$27+S783*$AE$28+T783*$AE$29+U783*$AE$30</f>
        <v/>
      </c>
      <c r="W783" s="8">
        <f>1/(1+EXP(-V783))</f>
        <v/>
      </c>
      <c r="X783" s="9">
        <f>-IF(C783=1,LN(W783),LN(1-W783))</f>
        <v/>
      </c>
      <c r="Y783" s="8">
        <f>1</f>
        <v/>
      </c>
      <c r="Z783" s="9">
        <f>Y783*X783</f>
        <v/>
      </c>
      <c r="AA783" s="10">
        <f>IF(W783&gt;$AE$32,1,0)</f>
        <v/>
      </c>
      <c r="AB783">
        <f>IF(AA783=C783,1,0)</f>
        <v/>
      </c>
    </row>
    <row r="784">
      <c r="A784">
        <f>'1 datos preparados'!A777</f>
        <v/>
      </c>
      <c r="B784" s="5">
        <f>'1 datos preparados'!U777</f>
        <v/>
      </c>
      <c r="C784">
        <f>'1 datos preparados'!B777</f>
        <v/>
      </c>
      <c r="D784" s="7">
        <f>'1 datos preparados'!C777</f>
        <v/>
      </c>
      <c r="E784" s="7">
        <f>'1 datos preparados'!D777</f>
        <v/>
      </c>
      <c r="F784" s="7">
        <f>'1 datos preparados'!E777</f>
        <v/>
      </c>
      <c r="G784" s="7">
        <f>'1 datos preparados'!F777</f>
        <v/>
      </c>
      <c r="H784" s="7">
        <f>'1 datos preparados'!G777</f>
        <v/>
      </c>
      <c r="I784" s="7">
        <f>'1 datos preparados'!H777</f>
        <v/>
      </c>
      <c r="J784" s="7">
        <f>'1 datos preparados'!I777</f>
        <v/>
      </c>
      <c r="K784" s="7">
        <f>'1 datos preparados'!J777</f>
        <v/>
      </c>
      <c r="L784" s="7">
        <f>'1 datos preparados'!K777</f>
        <v/>
      </c>
      <c r="M784" s="7">
        <f>'1 datos preparados'!L777</f>
        <v/>
      </c>
      <c r="N784" s="7">
        <f>'1 datos preparados'!M777</f>
        <v/>
      </c>
      <c r="O784" s="7">
        <f>'1 datos preparados'!N777</f>
        <v/>
      </c>
      <c r="P784" s="7">
        <f>'1 datos preparados'!O777</f>
        <v/>
      </c>
      <c r="Q784" s="7">
        <f>'1 datos preparados'!P777</f>
        <v/>
      </c>
      <c r="R784" s="7">
        <f>'1 datos preparados'!Q777</f>
        <v/>
      </c>
      <c r="S784" s="7">
        <f>'1 datos preparados'!R777</f>
        <v/>
      </c>
      <c r="T784" s="7">
        <f>'1 datos preparados'!S777</f>
        <v/>
      </c>
      <c r="U784" s="7">
        <f>'1 datos preparados'!T777</f>
        <v/>
      </c>
      <c r="V784" s="8">
        <f>$AE$12+D784*$AE$13+E784*$AE$14+F784*$AE$15+G784*$AE$16+H784*$AE$17+I784*$AE$18+J784*$AE$19+K784*$AE$20+L784*$AE$21+M784*$AE$22+N784*$AE$23+O784*$AE$24+P784*$AE$25+Q784*$AE$26+R784*$AE$27+S784*$AE$28+T784*$AE$29+U784*$AE$30</f>
        <v/>
      </c>
      <c r="W784" s="8">
        <f>1/(1+EXP(-V784))</f>
        <v/>
      </c>
      <c r="X784" s="9">
        <f>-IF(C784=1,LN(W784),LN(1-W784))</f>
        <v/>
      </c>
      <c r="Y784" s="8">
        <f>1</f>
        <v/>
      </c>
      <c r="Z784" s="9">
        <f>Y784*X784</f>
        <v/>
      </c>
      <c r="AA784" s="10">
        <f>IF(W784&gt;$AE$32,1,0)</f>
        <v/>
      </c>
      <c r="AB784">
        <f>IF(AA784=C784,1,0)</f>
        <v/>
      </c>
    </row>
    <row r="785">
      <c r="A785">
        <f>'1 datos preparados'!A778</f>
        <v/>
      </c>
      <c r="B785" s="5">
        <f>'1 datos preparados'!U778</f>
        <v/>
      </c>
      <c r="C785">
        <f>'1 datos preparados'!B778</f>
        <v/>
      </c>
      <c r="D785" s="7">
        <f>'1 datos preparados'!C778</f>
        <v/>
      </c>
      <c r="E785" s="7">
        <f>'1 datos preparados'!D778</f>
        <v/>
      </c>
      <c r="F785" s="7">
        <f>'1 datos preparados'!E778</f>
        <v/>
      </c>
      <c r="G785" s="7">
        <f>'1 datos preparados'!F778</f>
        <v/>
      </c>
      <c r="H785" s="7">
        <f>'1 datos preparados'!G778</f>
        <v/>
      </c>
      <c r="I785" s="7">
        <f>'1 datos preparados'!H778</f>
        <v/>
      </c>
      <c r="J785" s="7">
        <f>'1 datos preparados'!I778</f>
        <v/>
      </c>
      <c r="K785" s="7">
        <f>'1 datos preparados'!J778</f>
        <v/>
      </c>
      <c r="L785" s="7">
        <f>'1 datos preparados'!K778</f>
        <v/>
      </c>
      <c r="M785" s="7">
        <f>'1 datos preparados'!L778</f>
        <v/>
      </c>
      <c r="N785" s="7">
        <f>'1 datos preparados'!M778</f>
        <v/>
      </c>
      <c r="O785" s="7">
        <f>'1 datos preparados'!N778</f>
        <v/>
      </c>
      <c r="P785" s="7">
        <f>'1 datos preparados'!O778</f>
        <v/>
      </c>
      <c r="Q785" s="7">
        <f>'1 datos preparados'!P778</f>
        <v/>
      </c>
      <c r="R785" s="7">
        <f>'1 datos preparados'!Q778</f>
        <v/>
      </c>
      <c r="S785" s="7">
        <f>'1 datos preparados'!R778</f>
        <v/>
      </c>
      <c r="T785" s="7">
        <f>'1 datos preparados'!S778</f>
        <v/>
      </c>
      <c r="U785" s="7">
        <f>'1 datos preparados'!T778</f>
        <v/>
      </c>
      <c r="V785" s="8">
        <f>$AE$12+D785*$AE$13+E785*$AE$14+F785*$AE$15+G785*$AE$16+H785*$AE$17+I785*$AE$18+J785*$AE$19+K785*$AE$20+L785*$AE$21+M785*$AE$22+N785*$AE$23+O785*$AE$24+P785*$AE$25+Q785*$AE$26+R785*$AE$27+S785*$AE$28+T785*$AE$29+U785*$AE$30</f>
        <v/>
      </c>
      <c r="W785" s="8">
        <f>1/(1+EXP(-V785))</f>
        <v/>
      </c>
      <c r="X785" s="9">
        <f>-IF(C785=1,LN(W785),LN(1-W785))</f>
        <v/>
      </c>
      <c r="Y785" s="8">
        <f>1</f>
        <v/>
      </c>
      <c r="Z785" s="9">
        <f>Y785*X785</f>
        <v/>
      </c>
      <c r="AA785" s="10">
        <f>IF(W785&gt;$AE$32,1,0)</f>
        <v/>
      </c>
      <c r="AB785">
        <f>IF(AA785=C785,1,0)</f>
        <v/>
      </c>
    </row>
    <row r="786">
      <c r="A786">
        <f>'1 datos preparados'!A779</f>
        <v/>
      </c>
      <c r="B786" s="5">
        <f>'1 datos preparados'!U779</f>
        <v/>
      </c>
      <c r="C786">
        <f>'1 datos preparados'!B779</f>
        <v/>
      </c>
      <c r="D786" s="7">
        <f>'1 datos preparados'!C779</f>
        <v/>
      </c>
      <c r="E786" s="7">
        <f>'1 datos preparados'!D779</f>
        <v/>
      </c>
      <c r="F786" s="7">
        <f>'1 datos preparados'!E779</f>
        <v/>
      </c>
      <c r="G786" s="7">
        <f>'1 datos preparados'!F779</f>
        <v/>
      </c>
      <c r="H786" s="7">
        <f>'1 datos preparados'!G779</f>
        <v/>
      </c>
      <c r="I786" s="7">
        <f>'1 datos preparados'!H779</f>
        <v/>
      </c>
      <c r="J786" s="7">
        <f>'1 datos preparados'!I779</f>
        <v/>
      </c>
      <c r="K786" s="7">
        <f>'1 datos preparados'!J779</f>
        <v/>
      </c>
      <c r="L786" s="7">
        <f>'1 datos preparados'!K779</f>
        <v/>
      </c>
      <c r="M786" s="7">
        <f>'1 datos preparados'!L779</f>
        <v/>
      </c>
      <c r="N786" s="7">
        <f>'1 datos preparados'!M779</f>
        <v/>
      </c>
      <c r="O786" s="7">
        <f>'1 datos preparados'!N779</f>
        <v/>
      </c>
      <c r="P786" s="7">
        <f>'1 datos preparados'!O779</f>
        <v/>
      </c>
      <c r="Q786" s="7">
        <f>'1 datos preparados'!P779</f>
        <v/>
      </c>
      <c r="R786" s="7">
        <f>'1 datos preparados'!Q779</f>
        <v/>
      </c>
      <c r="S786" s="7">
        <f>'1 datos preparados'!R779</f>
        <v/>
      </c>
      <c r="T786" s="7">
        <f>'1 datos preparados'!S779</f>
        <v/>
      </c>
      <c r="U786" s="7">
        <f>'1 datos preparados'!T779</f>
        <v/>
      </c>
      <c r="V786" s="8">
        <f>$AE$12+D786*$AE$13+E786*$AE$14+F786*$AE$15+G786*$AE$16+H786*$AE$17+I786*$AE$18+J786*$AE$19+K786*$AE$20+L786*$AE$21+M786*$AE$22+N786*$AE$23+O786*$AE$24+P786*$AE$25+Q786*$AE$26+R786*$AE$27+S786*$AE$28+T786*$AE$29+U786*$AE$30</f>
        <v/>
      </c>
      <c r="W786" s="8">
        <f>1/(1+EXP(-V786))</f>
        <v/>
      </c>
      <c r="X786" s="9">
        <f>-IF(C786=1,LN(W786),LN(1-W786))</f>
        <v/>
      </c>
      <c r="Y786" s="8">
        <f>1</f>
        <v/>
      </c>
      <c r="Z786" s="9">
        <f>Y786*X786</f>
        <v/>
      </c>
      <c r="AA786" s="10">
        <f>IF(W786&gt;$AE$32,1,0)</f>
        <v/>
      </c>
      <c r="AB786">
        <f>IF(AA786=C786,1,0)</f>
        <v/>
      </c>
    </row>
    <row r="787">
      <c r="A787">
        <f>'1 datos preparados'!A780</f>
        <v/>
      </c>
      <c r="B787" s="5">
        <f>'1 datos preparados'!U780</f>
        <v/>
      </c>
      <c r="C787">
        <f>'1 datos preparados'!B780</f>
        <v/>
      </c>
      <c r="D787" s="7">
        <f>'1 datos preparados'!C780</f>
        <v/>
      </c>
      <c r="E787" s="7">
        <f>'1 datos preparados'!D780</f>
        <v/>
      </c>
      <c r="F787" s="7">
        <f>'1 datos preparados'!E780</f>
        <v/>
      </c>
      <c r="G787" s="7">
        <f>'1 datos preparados'!F780</f>
        <v/>
      </c>
      <c r="H787" s="7">
        <f>'1 datos preparados'!G780</f>
        <v/>
      </c>
      <c r="I787" s="7">
        <f>'1 datos preparados'!H780</f>
        <v/>
      </c>
      <c r="J787" s="7">
        <f>'1 datos preparados'!I780</f>
        <v/>
      </c>
      <c r="K787" s="7">
        <f>'1 datos preparados'!J780</f>
        <v/>
      </c>
      <c r="L787" s="7">
        <f>'1 datos preparados'!K780</f>
        <v/>
      </c>
      <c r="M787" s="7">
        <f>'1 datos preparados'!L780</f>
        <v/>
      </c>
      <c r="N787" s="7">
        <f>'1 datos preparados'!M780</f>
        <v/>
      </c>
      <c r="O787" s="7">
        <f>'1 datos preparados'!N780</f>
        <v/>
      </c>
      <c r="P787" s="7">
        <f>'1 datos preparados'!O780</f>
        <v/>
      </c>
      <c r="Q787" s="7">
        <f>'1 datos preparados'!P780</f>
        <v/>
      </c>
      <c r="R787" s="7">
        <f>'1 datos preparados'!Q780</f>
        <v/>
      </c>
      <c r="S787" s="7">
        <f>'1 datos preparados'!R780</f>
        <v/>
      </c>
      <c r="T787" s="7">
        <f>'1 datos preparados'!S780</f>
        <v/>
      </c>
      <c r="U787" s="7">
        <f>'1 datos preparados'!T780</f>
        <v/>
      </c>
      <c r="V787" s="8">
        <f>$AE$12+D787*$AE$13+E787*$AE$14+F787*$AE$15+G787*$AE$16+H787*$AE$17+I787*$AE$18+J787*$AE$19+K787*$AE$20+L787*$AE$21+M787*$AE$22+N787*$AE$23+O787*$AE$24+P787*$AE$25+Q787*$AE$26+R787*$AE$27+S787*$AE$28+T787*$AE$29+U787*$AE$30</f>
        <v/>
      </c>
      <c r="W787" s="8">
        <f>1/(1+EXP(-V787))</f>
        <v/>
      </c>
      <c r="X787" s="9">
        <f>-IF(C787=1,LN(W787),LN(1-W787))</f>
        <v/>
      </c>
      <c r="Y787" s="8">
        <f>1</f>
        <v/>
      </c>
      <c r="Z787" s="9">
        <f>Y787*X787</f>
        <v/>
      </c>
      <c r="AA787" s="10">
        <f>IF(W787&gt;$AE$32,1,0)</f>
        <v/>
      </c>
      <c r="AB787">
        <f>IF(AA787=C787,1,0)</f>
        <v/>
      </c>
    </row>
    <row r="788">
      <c r="A788">
        <f>'1 datos preparados'!A781</f>
        <v/>
      </c>
      <c r="B788" s="5">
        <f>'1 datos preparados'!U781</f>
        <v/>
      </c>
      <c r="C788">
        <f>'1 datos preparados'!B781</f>
        <v/>
      </c>
      <c r="D788" s="7">
        <f>'1 datos preparados'!C781</f>
        <v/>
      </c>
      <c r="E788" s="7">
        <f>'1 datos preparados'!D781</f>
        <v/>
      </c>
      <c r="F788" s="7">
        <f>'1 datos preparados'!E781</f>
        <v/>
      </c>
      <c r="G788" s="7">
        <f>'1 datos preparados'!F781</f>
        <v/>
      </c>
      <c r="H788" s="7">
        <f>'1 datos preparados'!G781</f>
        <v/>
      </c>
      <c r="I788" s="7">
        <f>'1 datos preparados'!H781</f>
        <v/>
      </c>
      <c r="J788" s="7">
        <f>'1 datos preparados'!I781</f>
        <v/>
      </c>
      <c r="K788" s="7">
        <f>'1 datos preparados'!J781</f>
        <v/>
      </c>
      <c r="L788" s="7">
        <f>'1 datos preparados'!K781</f>
        <v/>
      </c>
      <c r="M788" s="7">
        <f>'1 datos preparados'!L781</f>
        <v/>
      </c>
      <c r="N788" s="7">
        <f>'1 datos preparados'!M781</f>
        <v/>
      </c>
      <c r="O788" s="7">
        <f>'1 datos preparados'!N781</f>
        <v/>
      </c>
      <c r="P788" s="7">
        <f>'1 datos preparados'!O781</f>
        <v/>
      </c>
      <c r="Q788" s="7">
        <f>'1 datos preparados'!P781</f>
        <v/>
      </c>
      <c r="R788" s="7">
        <f>'1 datos preparados'!Q781</f>
        <v/>
      </c>
      <c r="S788" s="7">
        <f>'1 datos preparados'!R781</f>
        <v/>
      </c>
      <c r="T788" s="7">
        <f>'1 datos preparados'!S781</f>
        <v/>
      </c>
      <c r="U788" s="7">
        <f>'1 datos preparados'!T781</f>
        <v/>
      </c>
      <c r="V788" s="8">
        <f>$AE$12+D788*$AE$13+E788*$AE$14+F788*$AE$15+G788*$AE$16+H788*$AE$17+I788*$AE$18+J788*$AE$19+K788*$AE$20+L788*$AE$21+M788*$AE$22+N788*$AE$23+O788*$AE$24+P788*$AE$25+Q788*$AE$26+R788*$AE$27+S788*$AE$28+T788*$AE$29+U788*$AE$30</f>
        <v/>
      </c>
      <c r="W788" s="8">
        <f>1/(1+EXP(-V788))</f>
        <v/>
      </c>
      <c r="X788" s="9">
        <f>-IF(C788=1,LN(W788),LN(1-W788))</f>
        <v/>
      </c>
      <c r="Y788" s="8">
        <f>1</f>
        <v/>
      </c>
      <c r="Z788" s="9">
        <f>Y788*X788</f>
        <v/>
      </c>
      <c r="AA788" s="10">
        <f>IF(W788&gt;$AE$32,1,0)</f>
        <v/>
      </c>
      <c r="AB788">
        <f>IF(AA788=C788,1,0)</f>
        <v/>
      </c>
    </row>
    <row r="789">
      <c r="A789">
        <f>'1 datos preparados'!A782</f>
        <v/>
      </c>
      <c r="B789" s="5">
        <f>'1 datos preparados'!U782</f>
        <v/>
      </c>
      <c r="C789">
        <f>'1 datos preparados'!B782</f>
        <v/>
      </c>
      <c r="D789" s="7">
        <f>'1 datos preparados'!C782</f>
        <v/>
      </c>
      <c r="E789" s="7">
        <f>'1 datos preparados'!D782</f>
        <v/>
      </c>
      <c r="F789" s="7">
        <f>'1 datos preparados'!E782</f>
        <v/>
      </c>
      <c r="G789" s="7">
        <f>'1 datos preparados'!F782</f>
        <v/>
      </c>
      <c r="H789" s="7">
        <f>'1 datos preparados'!G782</f>
        <v/>
      </c>
      <c r="I789" s="7">
        <f>'1 datos preparados'!H782</f>
        <v/>
      </c>
      <c r="J789" s="7">
        <f>'1 datos preparados'!I782</f>
        <v/>
      </c>
      <c r="K789" s="7">
        <f>'1 datos preparados'!J782</f>
        <v/>
      </c>
      <c r="L789" s="7">
        <f>'1 datos preparados'!K782</f>
        <v/>
      </c>
      <c r="M789" s="7">
        <f>'1 datos preparados'!L782</f>
        <v/>
      </c>
      <c r="N789" s="7">
        <f>'1 datos preparados'!M782</f>
        <v/>
      </c>
      <c r="O789" s="7">
        <f>'1 datos preparados'!N782</f>
        <v/>
      </c>
      <c r="P789" s="7">
        <f>'1 datos preparados'!O782</f>
        <v/>
      </c>
      <c r="Q789" s="7">
        <f>'1 datos preparados'!P782</f>
        <v/>
      </c>
      <c r="R789" s="7">
        <f>'1 datos preparados'!Q782</f>
        <v/>
      </c>
      <c r="S789" s="7">
        <f>'1 datos preparados'!R782</f>
        <v/>
      </c>
      <c r="T789" s="7">
        <f>'1 datos preparados'!S782</f>
        <v/>
      </c>
      <c r="U789" s="7">
        <f>'1 datos preparados'!T782</f>
        <v/>
      </c>
      <c r="V789" s="8">
        <f>$AE$12+D789*$AE$13+E789*$AE$14+F789*$AE$15+G789*$AE$16+H789*$AE$17+I789*$AE$18+J789*$AE$19+K789*$AE$20+L789*$AE$21+M789*$AE$22+N789*$AE$23+O789*$AE$24+P789*$AE$25+Q789*$AE$26+R789*$AE$27+S789*$AE$28+T789*$AE$29+U789*$AE$30</f>
        <v/>
      </c>
      <c r="W789" s="8">
        <f>1/(1+EXP(-V789))</f>
        <v/>
      </c>
      <c r="X789" s="9">
        <f>-IF(C789=1,LN(W789),LN(1-W789))</f>
        <v/>
      </c>
      <c r="Y789" s="8">
        <f>1</f>
        <v/>
      </c>
      <c r="Z789" s="9">
        <f>Y789*X789</f>
        <v/>
      </c>
      <c r="AA789" s="10">
        <f>IF(W789&gt;$AE$32,1,0)</f>
        <v/>
      </c>
      <c r="AB789">
        <f>IF(AA789=C789,1,0)</f>
        <v/>
      </c>
    </row>
    <row r="790">
      <c r="A790">
        <f>'1 datos preparados'!A783</f>
        <v/>
      </c>
      <c r="B790" s="5">
        <f>'1 datos preparados'!U783</f>
        <v/>
      </c>
      <c r="C790">
        <f>'1 datos preparados'!B783</f>
        <v/>
      </c>
      <c r="D790" s="7">
        <f>'1 datos preparados'!C783</f>
        <v/>
      </c>
      <c r="E790" s="7">
        <f>'1 datos preparados'!D783</f>
        <v/>
      </c>
      <c r="F790" s="7">
        <f>'1 datos preparados'!E783</f>
        <v/>
      </c>
      <c r="G790" s="7">
        <f>'1 datos preparados'!F783</f>
        <v/>
      </c>
      <c r="H790" s="7">
        <f>'1 datos preparados'!G783</f>
        <v/>
      </c>
      <c r="I790" s="7">
        <f>'1 datos preparados'!H783</f>
        <v/>
      </c>
      <c r="J790" s="7">
        <f>'1 datos preparados'!I783</f>
        <v/>
      </c>
      <c r="K790" s="7">
        <f>'1 datos preparados'!J783</f>
        <v/>
      </c>
      <c r="L790" s="7">
        <f>'1 datos preparados'!K783</f>
        <v/>
      </c>
      <c r="M790" s="7">
        <f>'1 datos preparados'!L783</f>
        <v/>
      </c>
      <c r="N790" s="7">
        <f>'1 datos preparados'!M783</f>
        <v/>
      </c>
      <c r="O790" s="7">
        <f>'1 datos preparados'!N783</f>
        <v/>
      </c>
      <c r="P790" s="7">
        <f>'1 datos preparados'!O783</f>
        <v/>
      </c>
      <c r="Q790" s="7">
        <f>'1 datos preparados'!P783</f>
        <v/>
      </c>
      <c r="R790" s="7">
        <f>'1 datos preparados'!Q783</f>
        <v/>
      </c>
      <c r="S790" s="7">
        <f>'1 datos preparados'!R783</f>
        <v/>
      </c>
      <c r="T790" s="7">
        <f>'1 datos preparados'!S783</f>
        <v/>
      </c>
      <c r="U790" s="7">
        <f>'1 datos preparados'!T783</f>
        <v/>
      </c>
      <c r="V790" s="8">
        <f>$AE$12+D790*$AE$13+E790*$AE$14+F790*$AE$15+G790*$AE$16+H790*$AE$17+I790*$AE$18+J790*$AE$19+K790*$AE$20+L790*$AE$21+M790*$AE$22+N790*$AE$23+O790*$AE$24+P790*$AE$25+Q790*$AE$26+R790*$AE$27+S790*$AE$28+T790*$AE$29+U790*$AE$30</f>
        <v/>
      </c>
      <c r="W790" s="8">
        <f>1/(1+EXP(-V790))</f>
        <v/>
      </c>
      <c r="X790" s="9">
        <f>-IF(C790=1,LN(W790),LN(1-W790))</f>
        <v/>
      </c>
      <c r="Y790" s="8">
        <f>1</f>
        <v/>
      </c>
      <c r="Z790" s="9">
        <f>Y790*X790</f>
        <v/>
      </c>
      <c r="AA790" s="10">
        <f>IF(W790&gt;$AE$32,1,0)</f>
        <v/>
      </c>
      <c r="AB790">
        <f>IF(AA790=C790,1,0)</f>
        <v/>
      </c>
    </row>
    <row r="791">
      <c r="A791">
        <f>'1 datos preparados'!A784</f>
        <v/>
      </c>
      <c r="B791" s="5">
        <f>'1 datos preparados'!U784</f>
        <v/>
      </c>
      <c r="C791">
        <f>'1 datos preparados'!B784</f>
        <v/>
      </c>
      <c r="D791" s="7">
        <f>'1 datos preparados'!C784</f>
        <v/>
      </c>
      <c r="E791" s="7">
        <f>'1 datos preparados'!D784</f>
        <v/>
      </c>
      <c r="F791" s="7">
        <f>'1 datos preparados'!E784</f>
        <v/>
      </c>
      <c r="G791" s="7">
        <f>'1 datos preparados'!F784</f>
        <v/>
      </c>
      <c r="H791" s="7">
        <f>'1 datos preparados'!G784</f>
        <v/>
      </c>
      <c r="I791" s="7">
        <f>'1 datos preparados'!H784</f>
        <v/>
      </c>
      <c r="J791" s="7">
        <f>'1 datos preparados'!I784</f>
        <v/>
      </c>
      <c r="K791" s="7">
        <f>'1 datos preparados'!J784</f>
        <v/>
      </c>
      <c r="L791" s="7">
        <f>'1 datos preparados'!K784</f>
        <v/>
      </c>
      <c r="M791" s="7">
        <f>'1 datos preparados'!L784</f>
        <v/>
      </c>
      <c r="N791" s="7">
        <f>'1 datos preparados'!M784</f>
        <v/>
      </c>
      <c r="O791" s="7">
        <f>'1 datos preparados'!N784</f>
        <v/>
      </c>
      <c r="P791" s="7">
        <f>'1 datos preparados'!O784</f>
        <v/>
      </c>
      <c r="Q791" s="7">
        <f>'1 datos preparados'!P784</f>
        <v/>
      </c>
      <c r="R791" s="7">
        <f>'1 datos preparados'!Q784</f>
        <v/>
      </c>
      <c r="S791" s="7">
        <f>'1 datos preparados'!R784</f>
        <v/>
      </c>
      <c r="T791" s="7">
        <f>'1 datos preparados'!S784</f>
        <v/>
      </c>
      <c r="U791" s="7">
        <f>'1 datos preparados'!T784</f>
        <v/>
      </c>
      <c r="V791" s="8">
        <f>$AE$12+D791*$AE$13+E791*$AE$14+F791*$AE$15+G791*$AE$16+H791*$AE$17+I791*$AE$18+J791*$AE$19+K791*$AE$20+L791*$AE$21+M791*$AE$22+N791*$AE$23+O791*$AE$24+P791*$AE$25+Q791*$AE$26+R791*$AE$27+S791*$AE$28+T791*$AE$29+U791*$AE$30</f>
        <v/>
      </c>
      <c r="W791" s="8">
        <f>1/(1+EXP(-V791))</f>
        <v/>
      </c>
      <c r="X791" s="9">
        <f>-IF(C791=1,LN(W791),LN(1-W791))</f>
        <v/>
      </c>
      <c r="Y791" s="8">
        <f>1</f>
        <v/>
      </c>
      <c r="Z791" s="9">
        <f>Y791*X791</f>
        <v/>
      </c>
      <c r="AA791" s="10">
        <f>IF(W791&gt;$AE$32,1,0)</f>
        <v/>
      </c>
      <c r="AB791">
        <f>IF(AA791=C791,1,0)</f>
        <v/>
      </c>
    </row>
    <row r="792">
      <c r="A792">
        <f>'1 datos preparados'!A785</f>
        <v/>
      </c>
      <c r="B792" s="5">
        <f>'1 datos preparados'!U785</f>
        <v/>
      </c>
      <c r="C792">
        <f>'1 datos preparados'!B785</f>
        <v/>
      </c>
      <c r="D792" s="7">
        <f>'1 datos preparados'!C785</f>
        <v/>
      </c>
      <c r="E792" s="7">
        <f>'1 datos preparados'!D785</f>
        <v/>
      </c>
      <c r="F792" s="7">
        <f>'1 datos preparados'!E785</f>
        <v/>
      </c>
      <c r="G792" s="7">
        <f>'1 datos preparados'!F785</f>
        <v/>
      </c>
      <c r="H792" s="7">
        <f>'1 datos preparados'!G785</f>
        <v/>
      </c>
      <c r="I792" s="7">
        <f>'1 datos preparados'!H785</f>
        <v/>
      </c>
      <c r="J792" s="7">
        <f>'1 datos preparados'!I785</f>
        <v/>
      </c>
      <c r="K792" s="7">
        <f>'1 datos preparados'!J785</f>
        <v/>
      </c>
      <c r="L792" s="7">
        <f>'1 datos preparados'!K785</f>
        <v/>
      </c>
      <c r="M792" s="7">
        <f>'1 datos preparados'!L785</f>
        <v/>
      </c>
      <c r="N792" s="7">
        <f>'1 datos preparados'!M785</f>
        <v/>
      </c>
      <c r="O792" s="7">
        <f>'1 datos preparados'!N785</f>
        <v/>
      </c>
      <c r="P792" s="7">
        <f>'1 datos preparados'!O785</f>
        <v/>
      </c>
      <c r="Q792" s="7">
        <f>'1 datos preparados'!P785</f>
        <v/>
      </c>
      <c r="R792" s="7">
        <f>'1 datos preparados'!Q785</f>
        <v/>
      </c>
      <c r="S792" s="7">
        <f>'1 datos preparados'!R785</f>
        <v/>
      </c>
      <c r="T792" s="7">
        <f>'1 datos preparados'!S785</f>
        <v/>
      </c>
      <c r="U792" s="7">
        <f>'1 datos preparados'!T785</f>
        <v/>
      </c>
      <c r="V792" s="8">
        <f>$AE$12+D792*$AE$13+E792*$AE$14+F792*$AE$15+G792*$AE$16+H792*$AE$17+I792*$AE$18+J792*$AE$19+K792*$AE$20+L792*$AE$21+M792*$AE$22+N792*$AE$23+O792*$AE$24+P792*$AE$25+Q792*$AE$26+R792*$AE$27+S792*$AE$28+T792*$AE$29+U792*$AE$30</f>
        <v/>
      </c>
      <c r="W792" s="8">
        <f>1/(1+EXP(-V792))</f>
        <v/>
      </c>
      <c r="X792" s="9">
        <f>-IF(C792=1,LN(W792),LN(1-W792))</f>
        <v/>
      </c>
      <c r="Y792" s="8">
        <f>1</f>
        <v/>
      </c>
      <c r="Z792" s="9">
        <f>Y792*X792</f>
        <v/>
      </c>
      <c r="AA792" s="10">
        <f>IF(W792&gt;$AE$32,1,0)</f>
        <v/>
      </c>
      <c r="AB792">
        <f>IF(AA792=C792,1,0)</f>
        <v/>
      </c>
    </row>
    <row r="793">
      <c r="A793">
        <f>'1 datos preparados'!A786</f>
        <v/>
      </c>
      <c r="B793" s="5">
        <f>'1 datos preparados'!U786</f>
        <v/>
      </c>
      <c r="C793">
        <f>'1 datos preparados'!B786</f>
        <v/>
      </c>
      <c r="D793" s="7">
        <f>'1 datos preparados'!C786</f>
        <v/>
      </c>
      <c r="E793" s="7">
        <f>'1 datos preparados'!D786</f>
        <v/>
      </c>
      <c r="F793" s="7">
        <f>'1 datos preparados'!E786</f>
        <v/>
      </c>
      <c r="G793" s="7">
        <f>'1 datos preparados'!F786</f>
        <v/>
      </c>
      <c r="H793" s="7">
        <f>'1 datos preparados'!G786</f>
        <v/>
      </c>
      <c r="I793" s="7">
        <f>'1 datos preparados'!H786</f>
        <v/>
      </c>
      <c r="J793" s="7">
        <f>'1 datos preparados'!I786</f>
        <v/>
      </c>
      <c r="K793" s="7">
        <f>'1 datos preparados'!J786</f>
        <v/>
      </c>
      <c r="L793" s="7">
        <f>'1 datos preparados'!K786</f>
        <v/>
      </c>
      <c r="M793" s="7">
        <f>'1 datos preparados'!L786</f>
        <v/>
      </c>
      <c r="N793" s="7">
        <f>'1 datos preparados'!M786</f>
        <v/>
      </c>
      <c r="O793" s="7">
        <f>'1 datos preparados'!N786</f>
        <v/>
      </c>
      <c r="P793" s="7">
        <f>'1 datos preparados'!O786</f>
        <v/>
      </c>
      <c r="Q793" s="7">
        <f>'1 datos preparados'!P786</f>
        <v/>
      </c>
      <c r="R793" s="7">
        <f>'1 datos preparados'!Q786</f>
        <v/>
      </c>
      <c r="S793" s="7">
        <f>'1 datos preparados'!R786</f>
        <v/>
      </c>
      <c r="T793" s="7">
        <f>'1 datos preparados'!S786</f>
        <v/>
      </c>
      <c r="U793" s="7">
        <f>'1 datos preparados'!T786</f>
        <v/>
      </c>
      <c r="V793" s="8">
        <f>$AE$12+D793*$AE$13+E793*$AE$14+F793*$AE$15+G793*$AE$16+H793*$AE$17+I793*$AE$18+J793*$AE$19+K793*$AE$20+L793*$AE$21+M793*$AE$22+N793*$AE$23+O793*$AE$24+P793*$AE$25+Q793*$AE$26+R793*$AE$27+S793*$AE$28+T793*$AE$29+U793*$AE$30</f>
        <v/>
      </c>
      <c r="W793" s="8">
        <f>1/(1+EXP(-V793))</f>
        <v/>
      </c>
      <c r="X793" s="9">
        <f>-IF(C793=1,LN(W793),LN(1-W793))</f>
        <v/>
      </c>
      <c r="Y793" s="8">
        <f>1</f>
        <v/>
      </c>
      <c r="Z793" s="9">
        <f>Y793*X793</f>
        <v/>
      </c>
      <c r="AA793" s="10">
        <f>IF(W793&gt;$AE$32,1,0)</f>
        <v/>
      </c>
      <c r="AB793">
        <f>IF(AA793=C793,1,0)</f>
        <v/>
      </c>
    </row>
    <row r="794">
      <c r="A794">
        <f>'1 datos preparados'!A787</f>
        <v/>
      </c>
      <c r="B794" s="5">
        <f>'1 datos preparados'!U787</f>
        <v/>
      </c>
      <c r="C794">
        <f>'1 datos preparados'!B787</f>
        <v/>
      </c>
      <c r="D794" s="7">
        <f>'1 datos preparados'!C787</f>
        <v/>
      </c>
      <c r="E794" s="7">
        <f>'1 datos preparados'!D787</f>
        <v/>
      </c>
      <c r="F794" s="7">
        <f>'1 datos preparados'!E787</f>
        <v/>
      </c>
      <c r="G794" s="7">
        <f>'1 datos preparados'!F787</f>
        <v/>
      </c>
      <c r="H794" s="7">
        <f>'1 datos preparados'!G787</f>
        <v/>
      </c>
      <c r="I794" s="7">
        <f>'1 datos preparados'!H787</f>
        <v/>
      </c>
      <c r="J794" s="7">
        <f>'1 datos preparados'!I787</f>
        <v/>
      </c>
      <c r="K794" s="7">
        <f>'1 datos preparados'!J787</f>
        <v/>
      </c>
      <c r="L794" s="7">
        <f>'1 datos preparados'!K787</f>
        <v/>
      </c>
      <c r="M794" s="7">
        <f>'1 datos preparados'!L787</f>
        <v/>
      </c>
      <c r="N794" s="7">
        <f>'1 datos preparados'!M787</f>
        <v/>
      </c>
      <c r="O794" s="7">
        <f>'1 datos preparados'!N787</f>
        <v/>
      </c>
      <c r="P794" s="7">
        <f>'1 datos preparados'!O787</f>
        <v/>
      </c>
      <c r="Q794" s="7">
        <f>'1 datos preparados'!P787</f>
        <v/>
      </c>
      <c r="R794" s="7">
        <f>'1 datos preparados'!Q787</f>
        <v/>
      </c>
      <c r="S794" s="7">
        <f>'1 datos preparados'!R787</f>
        <v/>
      </c>
      <c r="T794" s="7">
        <f>'1 datos preparados'!S787</f>
        <v/>
      </c>
      <c r="U794" s="7">
        <f>'1 datos preparados'!T787</f>
        <v/>
      </c>
      <c r="V794" s="8">
        <f>$AE$12+D794*$AE$13+E794*$AE$14+F794*$AE$15+G794*$AE$16+H794*$AE$17+I794*$AE$18+J794*$AE$19+K794*$AE$20+L794*$AE$21+M794*$AE$22+N794*$AE$23+O794*$AE$24+P794*$AE$25+Q794*$AE$26+R794*$AE$27+S794*$AE$28+T794*$AE$29+U794*$AE$30</f>
        <v/>
      </c>
      <c r="W794" s="8">
        <f>1/(1+EXP(-V794))</f>
        <v/>
      </c>
      <c r="X794" s="9">
        <f>-IF(C794=1,LN(W794),LN(1-W794))</f>
        <v/>
      </c>
      <c r="Y794" s="8">
        <f>1</f>
        <v/>
      </c>
      <c r="Z794" s="9">
        <f>Y794*X794</f>
        <v/>
      </c>
      <c r="AA794" s="10">
        <f>IF(W794&gt;$AE$32,1,0)</f>
        <v/>
      </c>
      <c r="AB794">
        <f>IF(AA794=C794,1,0)</f>
        <v/>
      </c>
    </row>
    <row r="795">
      <c r="A795">
        <f>'1 datos preparados'!A788</f>
        <v/>
      </c>
      <c r="B795" s="5">
        <f>'1 datos preparados'!U788</f>
        <v/>
      </c>
      <c r="C795">
        <f>'1 datos preparados'!B788</f>
        <v/>
      </c>
      <c r="D795" s="7">
        <f>'1 datos preparados'!C788</f>
        <v/>
      </c>
      <c r="E795" s="7">
        <f>'1 datos preparados'!D788</f>
        <v/>
      </c>
      <c r="F795" s="7">
        <f>'1 datos preparados'!E788</f>
        <v/>
      </c>
      <c r="G795" s="7">
        <f>'1 datos preparados'!F788</f>
        <v/>
      </c>
      <c r="H795" s="7">
        <f>'1 datos preparados'!G788</f>
        <v/>
      </c>
      <c r="I795" s="7">
        <f>'1 datos preparados'!H788</f>
        <v/>
      </c>
      <c r="J795" s="7">
        <f>'1 datos preparados'!I788</f>
        <v/>
      </c>
      <c r="K795" s="7">
        <f>'1 datos preparados'!J788</f>
        <v/>
      </c>
      <c r="L795" s="7">
        <f>'1 datos preparados'!K788</f>
        <v/>
      </c>
      <c r="M795" s="7">
        <f>'1 datos preparados'!L788</f>
        <v/>
      </c>
      <c r="N795" s="7">
        <f>'1 datos preparados'!M788</f>
        <v/>
      </c>
      <c r="O795" s="7">
        <f>'1 datos preparados'!N788</f>
        <v/>
      </c>
      <c r="P795" s="7">
        <f>'1 datos preparados'!O788</f>
        <v/>
      </c>
      <c r="Q795" s="7">
        <f>'1 datos preparados'!P788</f>
        <v/>
      </c>
      <c r="R795" s="7">
        <f>'1 datos preparados'!Q788</f>
        <v/>
      </c>
      <c r="S795" s="7">
        <f>'1 datos preparados'!R788</f>
        <v/>
      </c>
      <c r="T795" s="7">
        <f>'1 datos preparados'!S788</f>
        <v/>
      </c>
      <c r="U795" s="7">
        <f>'1 datos preparados'!T788</f>
        <v/>
      </c>
      <c r="V795" s="8">
        <f>$AE$12+D795*$AE$13+E795*$AE$14+F795*$AE$15+G795*$AE$16+H795*$AE$17+I795*$AE$18+J795*$AE$19+K795*$AE$20+L795*$AE$21+M795*$AE$22+N795*$AE$23+O795*$AE$24+P795*$AE$25+Q795*$AE$26+R795*$AE$27+S795*$AE$28+T795*$AE$29+U795*$AE$30</f>
        <v/>
      </c>
      <c r="W795" s="8">
        <f>1/(1+EXP(-V795))</f>
        <v/>
      </c>
      <c r="X795" s="9">
        <f>-IF(C795=1,LN(W795),LN(1-W795))</f>
        <v/>
      </c>
      <c r="Y795" s="8">
        <f>1</f>
        <v/>
      </c>
      <c r="Z795" s="9">
        <f>Y795*X795</f>
        <v/>
      </c>
      <c r="AA795" s="10">
        <f>IF(W795&gt;$AE$32,1,0)</f>
        <v/>
      </c>
      <c r="AB795">
        <f>IF(AA795=C795,1,0)</f>
        <v/>
      </c>
    </row>
    <row r="796">
      <c r="A796">
        <f>'1 datos preparados'!A789</f>
        <v/>
      </c>
      <c r="B796" s="5">
        <f>'1 datos preparados'!U789</f>
        <v/>
      </c>
      <c r="C796">
        <f>'1 datos preparados'!B789</f>
        <v/>
      </c>
      <c r="D796" s="7">
        <f>'1 datos preparados'!C789</f>
        <v/>
      </c>
      <c r="E796" s="7">
        <f>'1 datos preparados'!D789</f>
        <v/>
      </c>
      <c r="F796" s="7">
        <f>'1 datos preparados'!E789</f>
        <v/>
      </c>
      <c r="G796" s="7">
        <f>'1 datos preparados'!F789</f>
        <v/>
      </c>
      <c r="H796" s="7">
        <f>'1 datos preparados'!G789</f>
        <v/>
      </c>
      <c r="I796" s="7">
        <f>'1 datos preparados'!H789</f>
        <v/>
      </c>
      <c r="J796" s="7">
        <f>'1 datos preparados'!I789</f>
        <v/>
      </c>
      <c r="K796" s="7">
        <f>'1 datos preparados'!J789</f>
        <v/>
      </c>
      <c r="L796" s="7">
        <f>'1 datos preparados'!K789</f>
        <v/>
      </c>
      <c r="M796" s="7">
        <f>'1 datos preparados'!L789</f>
        <v/>
      </c>
      <c r="N796" s="7">
        <f>'1 datos preparados'!M789</f>
        <v/>
      </c>
      <c r="O796" s="7">
        <f>'1 datos preparados'!N789</f>
        <v/>
      </c>
      <c r="P796" s="7">
        <f>'1 datos preparados'!O789</f>
        <v/>
      </c>
      <c r="Q796" s="7">
        <f>'1 datos preparados'!P789</f>
        <v/>
      </c>
      <c r="R796" s="7">
        <f>'1 datos preparados'!Q789</f>
        <v/>
      </c>
      <c r="S796" s="7">
        <f>'1 datos preparados'!R789</f>
        <v/>
      </c>
      <c r="T796" s="7">
        <f>'1 datos preparados'!S789</f>
        <v/>
      </c>
      <c r="U796" s="7">
        <f>'1 datos preparados'!T789</f>
        <v/>
      </c>
      <c r="V796" s="8">
        <f>$AE$12+D796*$AE$13+E796*$AE$14+F796*$AE$15+G796*$AE$16+H796*$AE$17+I796*$AE$18+J796*$AE$19+K796*$AE$20+L796*$AE$21+M796*$AE$22+N796*$AE$23+O796*$AE$24+P796*$AE$25+Q796*$AE$26+R796*$AE$27+S796*$AE$28+T796*$AE$29+U796*$AE$30</f>
        <v/>
      </c>
      <c r="W796" s="8">
        <f>1/(1+EXP(-V796))</f>
        <v/>
      </c>
      <c r="X796" s="9">
        <f>-IF(C796=1,LN(W796),LN(1-W796))</f>
        <v/>
      </c>
      <c r="Y796" s="8">
        <f>1</f>
        <v/>
      </c>
      <c r="Z796" s="9">
        <f>Y796*X796</f>
        <v/>
      </c>
      <c r="AA796" s="10">
        <f>IF(W796&gt;$AE$32,1,0)</f>
        <v/>
      </c>
      <c r="AB796">
        <f>IF(AA796=C796,1,0)</f>
        <v/>
      </c>
    </row>
    <row r="797">
      <c r="A797">
        <f>'1 datos preparados'!A790</f>
        <v/>
      </c>
      <c r="B797" s="5">
        <f>'1 datos preparados'!U790</f>
        <v/>
      </c>
      <c r="C797">
        <f>'1 datos preparados'!B790</f>
        <v/>
      </c>
      <c r="D797" s="7">
        <f>'1 datos preparados'!C790</f>
        <v/>
      </c>
      <c r="E797" s="7">
        <f>'1 datos preparados'!D790</f>
        <v/>
      </c>
      <c r="F797" s="7">
        <f>'1 datos preparados'!E790</f>
        <v/>
      </c>
      <c r="G797" s="7">
        <f>'1 datos preparados'!F790</f>
        <v/>
      </c>
      <c r="H797" s="7">
        <f>'1 datos preparados'!G790</f>
        <v/>
      </c>
      <c r="I797" s="7">
        <f>'1 datos preparados'!H790</f>
        <v/>
      </c>
      <c r="J797" s="7">
        <f>'1 datos preparados'!I790</f>
        <v/>
      </c>
      <c r="K797" s="7">
        <f>'1 datos preparados'!J790</f>
        <v/>
      </c>
      <c r="L797" s="7">
        <f>'1 datos preparados'!K790</f>
        <v/>
      </c>
      <c r="M797" s="7">
        <f>'1 datos preparados'!L790</f>
        <v/>
      </c>
      <c r="N797" s="7">
        <f>'1 datos preparados'!M790</f>
        <v/>
      </c>
      <c r="O797" s="7">
        <f>'1 datos preparados'!N790</f>
        <v/>
      </c>
      <c r="P797" s="7">
        <f>'1 datos preparados'!O790</f>
        <v/>
      </c>
      <c r="Q797" s="7">
        <f>'1 datos preparados'!P790</f>
        <v/>
      </c>
      <c r="R797" s="7">
        <f>'1 datos preparados'!Q790</f>
        <v/>
      </c>
      <c r="S797" s="7">
        <f>'1 datos preparados'!R790</f>
        <v/>
      </c>
      <c r="T797" s="7">
        <f>'1 datos preparados'!S790</f>
        <v/>
      </c>
      <c r="U797" s="7">
        <f>'1 datos preparados'!T790</f>
        <v/>
      </c>
      <c r="V797" s="8">
        <f>$AE$12+D797*$AE$13+E797*$AE$14+F797*$AE$15+G797*$AE$16+H797*$AE$17+I797*$AE$18+J797*$AE$19+K797*$AE$20+L797*$AE$21+M797*$AE$22+N797*$AE$23+O797*$AE$24+P797*$AE$25+Q797*$AE$26+R797*$AE$27+S797*$AE$28+T797*$AE$29+U797*$AE$30</f>
        <v/>
      </c>
      <c r="W797" s="8">
        <f>1/(1+EXP(-V797))</f>
        <v/>
      </c>
      <c r="X797" s="9">
        <f>-IF(C797=1,LN(W797),LN(1-W797))</f>
        <v/>
      </c>
      <c r="Y797" s="8">
        <f>1</f>
        <v/>
      </c>
      <c r="Z797" s="9">
        <f>Y797*X797</f>
        <v/>
      </c>
      <c r="AA797" s="10">
        <f>IF(W797&gt;$AE$32,1,0)</f>
        <v/>
      </c>
      <c r="AB797">
        <f>IF(AA797=C797,1,0)</f>
        <v/>
      </c>
    </row>
    <row r="798">
      <c r="A798">
        <f>'1 datos preparados'!A791</f>
        <v/>
      </c>
      <c r="B798" s="5">
        <f>'1 datos preparados'!U791</f>
        <v/>
      </c>
      <c r="C798">
        <f>'1 datos preparados'!B791</f>
        <v/>
      </c>
      <c r="D798" s="7">
        <f>'1 datos preparados'!C791</f>
        <v/>
      </c>
      <c r="E798" s="7">
        <f>'1 datos preparados'!D791</f>
        <v/>
      </c>
      <c r="F798" s="7">
        <f>'1 datos preparados'!E791</f>
        <v/>
      </c>
      <c r="G798" s="7">
        <f>'1 datos preparados'!F791</f>
        <v/>
      </c>
      <c r="H798" s="7">
        <f>'1 datos preparados'!G791</f>
        <v/>
      </c>
      <c r="I798" s="7">
        <f>'1 datos preparados'!H791</f>
        <v/>
      </c>
      <c r="J798" s="7">
        <f>'1 datos preparados'!I791</f>
        <v/>
      </c>
      <c r="K798" s="7">
        <f>'1 datos preparados'!J791</f>
        <v/>
      </c>
      <c r="L798" s="7">
        <f>'1 datos preparados'!K791</f>
        <v/>
      </c>
      <c r="M798" s="7">
        <f>'1 datos preparados'!L791</f>
        <v/>
      </c>
      <c r="N798" s="7">
        <f>'1 datos preparados'!M791</f>
        <v/>
      </c>
      <c r="O798" s="7">
        <f>'1 datos preparados'!N791</f>
        <v/>
      </c>
      <c r="P798" s="7">
        <f>'1 datos preparados'!O791</f>
        <v/>
      </c>
      <c r="Q798" s="7">
        <f>'1 datos preparados'!P791</f>
        <v/>
      </c>
      <c r="R798" s="7">
        <f>'1 datos preparados'!Q791</f>
        <v/>
      </c>
      <c r="S798" s="7">
        <f>'1 datos preparados'!R791</f>
        <v/>
      </c>
      <c r="T798" s="7">
        <f>'1 datos preparados'!S791</f>
        <v/>
      </c>
      <c r="U798" s="7">
        <f>'1 datos preparados'!T791</f>
        <v/>
      </c>
      <c r="V798" s="8">
        <f>$AE$12+D798*$AE$13+E798*$AE$14+F798*$AE$15+G798*$AE$16+H798*$AE$17+I798*$AE$18+J798*$AE$19+K798*$AE$20+L798*$AE$21+M798*$AE$22+N798*$AE$23+O798*$AE$24+P798*$AE$25+Q798*$AE$26+R798*$AE$27+S798*$AE$28+T798*$AE$29+U798*$AE$30</f>
        <v/>
      </c>
      <c r="W798" s="8">
        <f>1/(1+EXP(-V798))</f>
        <v/>
      </c>
      <c r="X798" s="9">
        <f>-IF(C798=1,LN(W798),LN(1-W798))</f>
        <v/>
      </c>
      <c r="Y798" s="8">
        <f>1</f>
        <v/>
      </c>
      <c r="Z798" s="9">
        <f>Y798*X798</f>
        <v/>
      </c>
      <c r="AA798" s="10">
        <f>IF(W798&gt;$AE$32,1,0)</f>
        <v/>
      </c>
      <c r="AB798">
        <f>IF(AA798=C798,1,0)</f>
        <v/>
      </c>
    </row>
    <row r="799">
      <c r="A799">
        <f>'1 datos preparados'!A792</f>
        <v/>
      </c>
      <c r="B799" s="5">
        <f>'1 datos preparados'!U792</f>
        <v/>
      </c>
      <c r="C799">
        <f>'1 datos preparados'!B792</f>
        <v/>
      </c>
      <c r="D799" s="7">
        <f>'1 datos preparados'!C792</f>
        <v/>
      </c>
      <c r="E799" s="7">
        <f>'1 datos preparados'!D792</f>
        <v/>
      </c>
      <c r="F799" s="7">
        <f>'1 datos preparados'!E792</f>
        <v/>
      </c>
      <c r="G799" s="7">
        <f>'1 datos preparados'!F792</f>
        <v/>
      </c>
      <c r="H799" s="7">
        <f>'1 datos preparados'!G792</f>
        <v/>
      </c>
      <c r="I799" s="7">
        <f>'1 datos preparados'!H792</f>
        <v/>
      </c>
      <c r="J799" s="7">
        <f>'1 datos preparados'!I792</f>
        <v/>
      </c>
      <c r="K799" s="7">
        <f>'1 datos preparados'!J792</f>
        <v/>
      </c>
      <c r="L799" s="7">
        <f>'1 datos preparados'!K792</f>
        <v/>
      </c>
      <c r="M799" s="7">
        <f>'1 datos preparados'!L792</f>
        <v/>
      </c>
      <c r="N799" s="7">
        <f>'1 datos preparados'!M792</f>
        <v/>
      </c>
      <c r="O799" s="7">
        <f>'1 datos preparados'!N792</f>
        <v/>
      </c>
      <c r="P799" s="7">
        <f>'1 datos preparados'!O792</f>
        <v/>
      </c>
      <c r="Q799" s="7">
        <f>'1 datos preparados'!P792</f>
        <v/>
      </c>
      <c r="R799" s="7">
        <f>'1 datos preparados'!Q792</f>
        <v/>
      </c>
      <c r="S799" s="7">
        <f>'1 datos preparados'!R792</f>
        <v/>
      </c>
      <c r="T799" s="7">
        <f>'1 datos preparados'!S792</f>
        <v/>
      </c>
      <c r="U799" s="7">
        <f>'1 datos preparados'!T792</f>
        <v/>
      </c>
      <c r="V799" s="8">
        <f>$AE$12+D799*$AE$13+E799*$AE$14+F799*$AE$15+G799*$AE$16+H799*$AE$17+I799*$AE$18+J799*$AE$19+K799*$AE$20+L799*$AE$21+M799*$AE$22+N799*$AE$23+O799*$AE$24+P799*$AE$25+Q799*$AE$26+R799*$AE$27+S799*$AE$28+T799*$AE$29+U799*$AE$30</f>
        <v/>
      </c>
      <c r="W799" s="8">
        <f>1/(1+EXP(-V799))</f>
        <v/>
      </c>
      <c r="X799" s="9">
        <f>-IF(C799=1,LN(W799),LN(1-W799))</f>
        <v/>
      </c>
      <c r="Y799" s="8">
        <f>1</f>
        <v/>
      </c>
      <c r="Z799" s="9">
        <f>Y799*X799</f>
        <v/>
      </c>
      <c r="AA799" s="10">
        <f>IF(W799&gt;$AE$32,1,0)</f>
        <v/>
      </c>
      <c r="AB799">
        <f>IF(AA799=C799,1,0)</f>
        <v/>
      </c>
    </row>
    <row r="800">
      <c r="A800">
        <f>'1 datos preparados'!A793</f>
        <v/>
      </c>
      <c r="B800" s="5">
        <f>'1 datos preparados'!U793</f>
        <v/>
      </c>
      <c r="C800">
        <f>'1 datos preparados'!B793</f>
        <v/>
      </c>
      <c r="D800" s="7">
        <f>'1 datos preparados'!C793</f>
        <v/>
      </c>
      <c r="E800" s="7">
        <f>'1 datos preparados'!D793</f>
        <v/>
      </c>
      <c r="F800" s="7">
        <f>'1 datos preparados'!E793</f>
        <v/>
      </c>
      <c r="G800" s="7">
        <f>'1 datos preparados'!F793</f>
        <v/>
      </c>
      <c r="H800" s="7">
        <f>'1 datos preparados'!G793</f>
        <v/>
      </c>
      <c r="I800" s="7">
        <f>'1 datos preparados'!H793</f>
        <v/>
      </c>
      <c r="J800" s="7">
        <f>'1 datos preparados'!I793</f>
        <v/>
      </c>
      <c r="K800" s="7">
        <f>'1 datos preparados'!J793</f>
        <v/>
      </c>
      <c r="L800" s="7">
        <f>'1 datos preparados'!K793</f>
        <v/>
      </c>
      <c r="M800" s="7">
        <f>'1 datos preparados'!L793</f>
        <v/>
      </c>
      <c r="N800" s="7">
        <f>'1 datos preparados'!M793</f>
        <v/>
      </c>
      <c r="O800" s="7">
        <f>'1 datos preparados'!N793</f>
        <v/>
      </c>
      <c r="P800" s="7">
        <f>'1 datos preparados'!O793</f>
        <v/>
      </c>
      <c r="Q800" s="7">
        <f>'1 datos preparados'!P793</f>
        <v/>
      </c>
      <c r="R800" s="7">
        <f>'1 datos preparados'!Q793</f>
        <v/>
      </c>
      <c r="S800" s="7">
        <f>'1 datos preparados'!R793</f>
        <v/>
      </c>
      <c r="T800" s="7">
        <f>'1 datos preparados'!S793</f>
        <v/>
      </c>
      <c r="U800" s="7">
        <f>'1 datos preparados'!T793</f>
        <v/>
      </c>
      <c r="V800" s="8">
        <f>$AE$12+D800*$AE$13+E800*$AE$14+F800*$AE$15+G800*$AE$16+H800*$AE$17+I800*$AE$18+J800*$AE$19+K800*$AE$20+L800*$AE$21+M800*$AE$22+N800*$AE$23+O800*$AE$24+P800*$AE$25+Q800*$AE$26+R800*$AE$27+S800*$AE$28+T800*$AE$29+U800*$AE$30</f>
        <v/>
      </c>
      <c r="W800" s="8">
        <f>1/(1+EXP(-V800))</f>
        <v/>
      </c>
      <c r="X800" s="9">
        <f>-IF(C800=1,LN(W800),LN(1-W800))</f>
        <v/>
      </c>
      <c r="Y800" s="8">
        <f>1</f>
        <v/>
      </c>
      <c r="Z800" s="9">
        <f>Y800*X800</f>
        <v/>
      </c>
      <c r="AA800" s="10">
        <f>IF(W800&gt;$AE$32,1,0)</f>
        <v/>
      </c>
      <c r="AB800">
        <f>IF(AA800=C800,1,0)</f>
        <v/>
      </c>
    </row>
    <row r="801">
      <c r="A801">
        <f>'1 datos preparados'!A794</f>
        <v/>
      </c>
      <c r="B801" s="5">
        <f>'1 datos preparados'!U794</f>
        <v/>
      </c>
      <c r="C801">
        <f>'1 datos preparados'!B794</f>
        <v/>
      </c>
      <c r="D801" s="7">
        <f>'1 datos preparados'!C794</f>
        <v/>
      </c>
      <c r="E801" s="7">
        <f>'1 datos preparados'!D794</f>
        <v/>
      </c>
      <c r="F801" s="7">
        <f>'1 datos preparados'!E794</f>
        <v/>
      </c>
      <c r="G801" s="7">
        <f>'1 datos preparados'!F794</f>
        <v/>
      </c>
      <c r="H801" s="7">
        <f>'1 datos preparados'!G794</f>
        <v/>
      </c>
      <c r="I801" s="7">
        <f>'1 datos preparados'!H794</f>
        <v/>
      </c>
      <c r="J801" s="7">
        <f>'1 datos preparados'!I794</f>
        <v/>
      </c>
      <c r="K801" s="7">
        <f>'1 datos preparados'!J794</f>
        <v/>
      </c>
      <c r="L801" s="7">
        <f>'1 datos preparados'!K794</f>
        <v/>
      </c>
      <c r="M801" s="7">
        <f>'1 datos preparados'!L794</f>
        <v/>
      </c>
      <c r="N801" s="7">
        <f>'1 datos preparados'!M794</f>
        <v/>
      </c>
      <c r="O801" s="7">
        <f>'1 datos preparados'!N794</f>
        <v/>
      </c>
      <c r="P801" s="7">
        <f>'1 datos preparados'!O794</f>
        <v/>
      </c>
      <c r="Q801" s="7">
        <f>'1 datos preparados'!P794</f>
        <v/>
      </c>
      <c r="R801" s="7">
        <f>'1 datos preparados'!Q794</f>
        <v/>
      </c>
      <c r="S801" s="7">
        <f>'1 datos preparados'!R794</f>
        <v/>
      </c>
      <c r="T801" s="7">
        <f>'1 datos preparados'!S794</f>
        <v/>
      </c>
      <c r="U801" s="7">
        <f>'1 datos preparados'!T794</f>
        <v/>
      </c>
      <c r="V801" s="8">
        <f>$AE$12+D801*$AE$13+E801*$AE$14+F801*$AE$15+G801*$AE$16+H801*$AE$17+I801*$AE$18+J801*$AE$19+K801*$AE$20+L801*$AE$21+M801*$AE$22+N801*$AE$23+O801*$AE$24+P801*$AE$25+Q801*$AE$26+R801*$AE$27+S801*$AE$28+T801*$AE$29+U801*$AE$30</f>
        <v/>
      </c>
      <c r="W801" s="8">
        <f>1/(1+EXP(-V801))</f>
        <v/>
      </c>
      <c r="X801" s="9">
        <f>-IF(C801=1,LN(W801),LN(1-W801))</f>
        <v/>
      </c>
      <c r="Y801" s="8">
        <f>1</f>
        <v/>
      </c>
      <c r="Z801" s="9">
        <f>Y801*X801</f>
        <v/>
      </c>
      <c r="AA801" s="10">
        <f>IF(W801&gt;$AE$32,1,0)</f>
        <v/>
      </c>
      <c r="AB801">
        <f>IF(AA801=C801,1,0)</f>
        <v/>
      </c>
    </row>
    <row r="802">
      <c r="A802">
        <f>'1 datos preparados'!A795</f>
        <v/>
      </c>
      <c r="B802" s="5">
        <f>'1 datos preparados'!U795</f>
        <v/>
      </c>
      <c r="C802">
        <f>'1 datos preparados'!B795</f>
        <v/>
      </c>
      <c r="D802" s="7">
        <f>'1 datos preparados'!C795</f>
        <v/>
      </c>
      <c r="E802" s="7">
        <f>'1 datos preparados'!D795</f>
        <v/>
      </c>
      <c r="F802" s="7">
        <f>'1 datos preparados'!E795</f>
        <v/>
      </c>
      <c r="G802" s="7">
        <f>'1 datos preparados'!F795</f>
        <v/>
      </c>
      <c r="H802" s="7">
        <f>'1 datos preparados'!G795</f>
        <v/>
      </c>
      <c r="I802" s="7">
        <f>'1 datos preparados'!H795</f>
        <v/>
      </c>
      <c r="J802" s="7">
        <f>'1 datos preparados'!I795</f>
        <v/>
      </c>
      <c r="K802" s="7">
        <f>'1 datos preparados'!J795</f>
        <v/>
      </c>
      <c r="L802" s="7">
        <f>'1 datos preparados'!K795</f>
        <v/>
      </c>
      <c r="M802" s="7">
        <f>'1 datos preparados'!L795</f>
        <v/>
      </c>
      <c r="N802" s="7">
        <f>'1 datos preparados'!M795</f>
        <v/>
      </c>
      <c r="O802" s="7">
        <f>'1 datos preparados'!N795</f>
        <v/>
      </c>
      <c r="P802" s="7">
        <f>'1 datos preparados'!O795</f>
        <v/>
      </c>
      <c r="Q802" s="7">
        <f>'1 datos preparados'!P795</f>
        <v/>
      </c>
      <c r="R802" s="7">
        <f>'1 datos preparados'!Q795</f>
        <v/>
      </c>
      <c r="S802" s="7">
        <f>'1 datos preparados'!R795</f>
        <v/>
      </c>
      <c r="T802" s="7">
        <f>'1 datos preparados'!S795</f>
        <v/>
      </c>
      <c r="U802" s="7">
        <f>'1 datos preparados'!T795</f>
        <v/>
      </c>
      <c r="V802" s="8">
        <f>$AE$12+D802*$AE$13+E802*$AE$14+F802*$AE$15+G802*$AE$16+H802*$AE$17+I802*$AE$18+J802*$AE$19+K802*$AE$20+L802*$AE$21+M802*$AE$22+N802*$AE$23+O802*$AE$24+P802*$AE$25+Q802*$AE$26+R802*$AE$27+S802*$AE$28+T802*$AE$29+U802*$AE$30</f>
        <v/>
      </c>
      <c r="W802" s="8">
        <f>1/(1+EXP(-V802))</f>
        <v/>
      </c>
      <c r="X802" s="9">
        <f>-IF(C802=1,LN(W802),LN(1-W802))</f>
        <v/>
      </c>
      <c r="Y802" s="8">
        <f>1</f>
        <v/>
      </c>
      <c r="Z802" s="9">
        <f>Y802*X802</f>
        <v/>
      </c>
      <c r="AA802" s="10">
        <f>IF(W802&gt;$AE$32,1,0)</f>
        <v/>
      </c>
      <c r="AB802">
        <f>IF(AA802=C802,1,0)</f>
        <v/>
      </c>
    </row>
    <row r="803">
      <c r="A803">
        <f>'1 datos preparados'!A796</f>
        <v/>
      </c>
      <c r="B803" s="5">
        <f>'1 datos preparados'!U796</f>
        <v/>
      </c>
      <c r="C803">
        <f>'1 datos preparados'!B796</f>
        <v/>
      </c>
      <c r="D803" s="7">
        <f>'1 datos preparados'!C796</f>
        <v/>
      </c>
      <c r="E803" s="7">
        <f>'1 datos preparados'!D796</f>
        <v/>
      </c>
      <c r="F803" s="7">
        <f>'1 datos preparados'!E796</f>
        <v/>
      </c>
      <c r="G803" s="7">
        <f>'1 datos preparados'!F796</f>
        <v/>
      </c>
      <c r="H803" s="7">
        <f>'1 datos preparados'!G796</f>
        <v/>
      </c>
      <c r="I803" s="7">
        <f>'1 datos preparados'!H796</f>
        <v/>
      </c>
      <c r="J803" s="7">
        <f>'1 datos preparados'!I796</f>
        <v/>
      </c>
      <c r="K803" s="7">
        <f>'1 datos preparados'!J796</f>
        <v/>
      </c>
      <c r="L803" s="7">
        <f>'1 datos preparados'!K796</f>
        <v/>
      </c>
      <c r="M803" s="7">
        <f>'1 datos preparados'!L796</f>
        <v/>
      </c>
      <c r="N803" s="7">
        <f>'1 datos preparados'!M796</f>
        <v/>
      </c>
      <c r="O803" s="7">
        <f>'1 datos preparados'!N796</f>
        <v/>
      </c>
      <c r="P803" s="7">
        <f>'1 datos preparados'!O796</f>
        <v/>
      </c>
      <c r="Q803" s="7">
        <f>'1 datos preparados'!P796</f>
        <v/>
      </c>
      <c r="R803" s="7">
        <f>'1 datos preparados'!Q796</f>
        <v/>
      </c>
      <c r="S803" s="7">
        <f>'1 datos preparados'!R796</f>
        <v/>
      </c>
      <c r="T803" s="7">
        <f>'1 datos preparados'!S796</f>
        <v/>
      </c>
      <c r="U803" s="7">
        <f>'1 datos preparados'!T796</f>
        <v/>
      </c>
      <c r="V803" s="8">
        <f>$AE$12+D803*$AE$13+E803*$AE$14+F803*$AE$15+G803*$AE$16+H803*$AE$17+I803*$AE$18+J803*$AE$19+K803*$AE$20+L803*$AE$21+M803*$AE$22+N803*$AE$23+O803*$AE$24+P803*$AE$25+Q803*$AE$26+R803*$AE$27+S803*$AE$28+T803*$AE$29+U803*$AE$30</f>
        <v/>
      </c>
      <c r="W803" s="8">
        <f>1/(1+EXP(-V803))</f>
        <v/>
      </c>
      <c r="X803" s="9">
        <f>-IF(C803=1,LN(W803),LN(1-W803))</f>
        <v/>
      </c>
      <c r="Y803" s="8">
        <f>1</f>
        <v/>
      </c>
      <c r="Z803" s="9">
        <f>Y803*X803</f>
        <v/>
      </c>
      <c r="AA803" s="10">
        <f>IF(W803&gt;$AE$32,1,0)</f>
        <v/>
      </c>
      <c r="AB803">
        <f>IF(AA803=C803,1,0)</f>
        <v/>
      </c>
    </row>
    <row r="804">
      <c r="A804">
        <f>'1 datos preparados'!A797</f>
        <v/>
      </c>
      <c r="B804" s="5">
        <f>'1 datos preparados'!U797</f>
        <v/>
      </c>
      <c r="C804">
        <f>'1 datos preparados'!B797</f>
        <v/>
      </c>
      <c r="D804" s="7">
        <f>'1 datos preparados'!C797</f>
        <v/>
      </c>
      <c r="E804" s="7">
        <f>'1 datos preparados'!D797</f>
        <v/>
      </c>
      <c r="F804" s="7">
        <f>'1 datos preparados'!E797</f>
        <v/>
      </c>
      <c r="G804" s="7">
        <f>'1 datos preparados'!F797</f>
        <v/>
      </c>
      <c r="H804" s="7">
        <f>'1 datos preparados'!G797</f>
        <v/>
      </c>
      <c r="I804" s="7">
        <f>'1 datos preparados'!H797</f>
        <v/>
      </c>
      <c r="J804" s="7">
        <f>'1 datos preparados'!I797</f>
        <v/>
      </c>
      <c r="K804" s="7">
        <f>'1 datos preparados'!J797</f>
        <v/>
      </c>
      <c r="L804" s="7">
        <f>'1 datos preparados'!K797</f>
        <v/>
      </c>
      <c r="M804" s="7">
        <f>'1 datos preparados'!L797</f>
        <v/>
      </c>
      <c r="N804" s="7">
        <f>'1 datos preparados'!M797</f>
        <v/>
      </c>
      <c r="O804" s="7">
        <f>'1 datos preparados'!N797</f>
        <v/>
      </c>
      <c r="P804" s="7">
        <f>'1 datos preparados'!O797</f>
        <v/>
      </c>
      <c r="Q804" s="7">
        <f>'1 datos preparados'!P797</f>
        <v/>
      </c>
      <c r="R804" s="7">
        <f>'1 datos preparados'!Q797</f>
        <v/>
      </c>
      <c r="S804" s="7">
        <f>'1 datos preparados'!R797</f>
        <v/>
      </c>
      <c r="T804" s="7">
        <f>'1 datos preparados'!S797</f>
        <v/>
      </c>
      <c r="U804" s="7">
        <f>'1 datos preparados'!T797</f>
        <v/>
      </c>
      <c r="V804" s="8">
        <f>$AE$12+D804*$AE$13+E804*$AE$14+F804*$AE$15+G804*$AE$16+H804*$AE$17+I804*$AE$18+J804*$AE$19+K804*$AE$20+L804*$AE$21+M804*$AE$22+N804*$AE$23+O804*$AE$24+P804*$AE$25+Q804*$AE$26+R804*$AE$27+S804*$AE$28+T804*$AE$29+U804*$AE$30</f>
        <v/>
      </c>
      <c r="W804" s="8">
        <f>1/(1+EXP(-V804))</f>
        <v/>
      </c>
      <c r="X804" s="9">
        <f>-IF(C804=1,LN(W804),LN(1-W804))</f>
        <v/>
      </c>
      <c r="Y804" s="8">
        <f>1</f>
        <v/>
      </c>
      <c r="Z804" s="9">
        <f>Y804*X804</f>
        <v/>
      </c>
      <c r="AA804" s="10">
        <f>IF(W804&gt;$AE$32,1,0)</f>
        <v/>
      </c>
      <c r="AB804">
        <f>IF(AA804=C804,1,0)</f>
        <v/>
      </c>
    </row>
    <row r="805">
      <c r="A805">
        <f>'1 datos preparados'!A798</f>
        <v/>
      </c>
      <c r="B805" s="5">
        <f>'1 datos preparados'!U798</f>
        <v/>
      </c>
      <c r="C805">
        <f>'1 datos preparados'!B798</f>
        <v/>
      </c>
      <c r="D805" s="7">
        <f>'1 datos preparados'!C798</f>
        <v/>
      </c>
      <c r="E805" s="7">
        <f>'1 datos preparados'!D798</f>
        <v/>
      </c>
      <c r="F805" s="7">
        <f>'1 datos preparados'!E798</f>
        <v/>
      </c>
      <c r="G805" s="7">
        <f>'1 datos preparados'!F798</f>
        <v/>
      </c>
      <c r="H805" s="7">
        <f>'1 datos preparados'!G798</f>
        <v/>
      </c>
      <c r="I805" s="7">
        <f>'1 datos preparados'!H798</f>
        <v/>
      </c>
      <c r="J805" s="7">
        <f>'1 datos preparados'!I798</f>
        <v/>
      </c>
      <c r="K805" s="7">
        <f>'1 datos preparados'!J798</f>
        <v/>
      </c>
      <c r="L805" s="7">
        <f>'1 datos preparados'!K798</f>
        <v/>
      </c>
      <c r="M805" s="7">
        <f>'1 datos preparados'!L798</f>
        <v/>
      </c>
      <c r="N805" s="7">
        <f>'1 datos preparados'!M798</f>
        <v/>
      </c>
      <c r="O805" s="7">
        <f>'1 datos preparados'!N798</f>
        <v/>
      </c>
      <c r="P805" s="7">
        <f>'1 datos preparados'!O798</f>
        <v/>
      </c>
      <c r="Q805" s="7">
        <f>'1 datos preparados'!P798</f>
        <v/>
      </c>
      <c r="R805" s="7">
        <f>'1 datos preparados'!Q798</f>
        <v/>
      </c>
      <c r="S805" s="7">
        <f>'1 datos preparados'!R798</f>
        <v/>
      </c>
      <c r="T805" s="7">
        <f>'1 datos preparados'!S798</f>
        <v/>
      </c>
      <c r="U805" s="7">
        <f>'1 datos preparados'!T798</f>
        <v/>
      </c>
      <c r="V805" s="8">
        <f>$AE$12+D805*$AE$13+E805*$AE$14+F805*$AE$15+G805*$AE$16+H805*$AE$17+I805*$AE$18+J805*$AE$19+K805*$AE$20+L805*$AE$21+M805*$AE$22+N805*$AE$23+O805*$AE$24+P805*$AE$25+Q805*$AE$26+R805*$AE$27+S805*$AE$28+T805*$AE$29+U805*$AE$30</f>
        <v/>
      </c>
      <c r="W805" s="8">
        <f>1/(1+EXP(-V805))</f>
        <v/>
      </c>
      <c r="X805" s="9">
        <f>-IF(C805=1,LN(W805),LN(1-W805))</f>
        <v/>
      </c>
      <c r="Y805" s="8">
        <f>1</f>
        <v/>
      </c>
      <c r="Z805" s="9">
        <f>Y805*X805</f>
        <v/>
      </c>
      <c r="AA805" s="10">
        <f>IF(W805&gt;$AE$32,1,0)</f>
        <v/>
      </c>
      <c r="AB805">
        <f>IF(AA805=C805,1,0)</f>
        <v/>
      </c>
    </row>
    <row r="806">
      <c r="A806">
        <f>'1 datos preparados'!A799</f>
        <v/>
      </c>
      <c r="B806" s="5">
        <f>'1 datos preparados'!U799</f>
        <v/>
      </c>
      <c r="C806">
        <f>'1 datos preparados'!B799</f>
        <v/>
      </c>
      <c r="D806" s="7">
        <f>'1 datos preparados'!C799</f>
        <v/>
      </c>
      <c r="E806" s="7">
        <f>'1 datos preparados'!D799</f>
        <v/>
      </c>
      <c r="F806" s="7">
        <f>'1 datos preparados'!E799</f>
        <v/>
      </c>
      <c r="G806" s="7">
        <f>'1 datos preparados'!F799</f>
        <v/>
      </c>
      <c r="H806" s="7">
        <f>'1 datos preparados'!G799</f>
        <v/>
      </c>
      <c r="I806" s="7">
        <f>'1 datos preparados'!H799</f>
        <v/>
      </c>
      <c r="J806" s="7">
        <f>'1 datos preparados'!I799</f>
        <v/>
      </c>
      <c r="K806" s="7">
        <f>'1 datos preparados'!J799</f>
        <v/>
      </c>
      <c r="L806" s="7">
        <f>'1 datos preparados'!K799</f>
        <v/>
      </c>
      <c r="M806" s="7">
        <f>'1 datos preparados'!L799</f>
        <v/>
      </c>
      <c r="N806" s="7">
        <f>'1 datos preparados'!M799</f>
        <v/>
      </c>
      <c r="O806" s="7">
        <f>'1 datos preparados'!N799</f>
        <v/>
      </c>
      <c r="P806" s="7">
        <f>'1 datos preparados'!O799</f>
        <v/>
      </c>
      <c r="Q806" s="7">
        <f>'1 datos preparados'!P799</f>
        <v/>
      </c>
      <c r="R806" s="7">
        <f>'1 datos preparados'!Q799</f>
        <v/>
      </c>
      <c r="S806" s="7">
        <f>'1 datos preparados'!R799</f>
        <v/>
      </c>
      <c r="T806" s="7">
        <f>'1 datos preparados'!S799</f>
        <v/>
      </c>
      <c r="U806" s="7">
        <f>'1 datos preparados'!T799</f>
        <v/>
      </c>
      <c r="V806" s="8">
        <f>$AE$12+D806*$AE$13+E806*$AE$14+F806*$AE$15+G806*$AE$16+H806*$AE$17+I806*$AE$18+J806*$AE$19+K806*$AE$20+L806*$AE$21+M806*$AE$22+N806*$AE$23+O806*$AE$24+P806*$AE$25+Q806*$AE$26+R806*$AE$27+S806*$AE$28+T806*$AE$29+U806*$AE$30</f>
        <v/>
      </c>
      <c r="W806" s="8">
        <f>1/(1+EXP(-V806))</f>
        <v/>
      </c>
      <c r="X806" s="9">
        <f>-IF(C806=1,LN(W806),LN(1-W806))</f>
        <v/>
      </c>
      <c r="Y806" s="8">
        <f>1</f>
        <v/>
      </c>
      <c r="Z806" s="9">
        <f>Y806*X806</f>
        <v/>
      </c>
      <c r="AA806" s="10">
        <f>IF(W806&gt;$AE$32,1,0)</f>
        <v/>
      </c>
      <c r="AB806">
        <f>IF(AA806=C806,1,0)</f>
        <v/>
      </c>
    </row>
    <row r="807">
      <c r="A807">
        <f>'1 datos preparados'!A800</f>
        <v/>
      </c>
      <c r="B807" s="5">
        <f>'1 datos preparados'!U800</f>
        <v/>
      </c>
      <c r="C807">
        <f>'1 datos preparados'!B800</f>
        <v/>
      </c>
      <c r="D807" s="7">
        <f>'1 datos preparados'!C800</f>
        <v/>
      </c>
      <c r="E807" s="7">
        <f>'1 datos preparados'!D800</f>
        <v/>
      </c>
      <c r="F807" s="7">
        <f>'1 datos preparados'!E800</f>
        <v/>
      </c>
      <c r="G807" s="7">
        <f>'1 datos preparados'!F800</f>
        <v/>
      </c>
      <c r="H807" s="7">
        <f>'1 datos preparados'!G800</f>
        <v/>
      </c>
      <c r="I807" s="7">
        <f>'1 datos preparados'!H800</f>
        <v/>
      </c>
      <c r="J807" s="7">
        <f>'1 datos preparados'!I800</f>
        <v/>
      </c>
      <c r="K807" s="7">
        <f>'1 datos preparados'!J800</f>
        <v/>
      </c>
      <c r="L807" s="7">
        <f>'1 datos preparados'!K800</f>
        <v/>
      </c>
      <c r="M807" s="7">
        <f>'1 datos preparados'!L800</f>
        <v/>
      </c>
      <c r="N807" s="7">
        <f>'1 datos preparados'!M800</f>
        <v/>
      </c>
      <c r="O807" s="7">
        <f>'1 datos preparados'!N800</f>
        <v/>
      </c>
      <c r="P807" s="7">
        <f>'1 datos preparados'!O800</f>
        <v/>
      </c>
      <c r="Q807" s="7">
        <f>'1 datos preparados'!P800</f>
        <v/>
      </c>
      <c r="R807" s="7">
        <f>'1 datos preparados'!Q800</f>
        <v/>
      </c>
      <c r="S807" s="7">
        <f>'1 datos preparados'!R800</f>
        <v/>
      </c>
      <c r="T807" s="7">
        <f>'1 datos preparados'!S800</f>
        <v/>
      </c>
      <c r="U807" s="7">
        <f>'1 datos preparados'!T800</f>
        <v/>
      </c>
      <c r="V807" s="8">
        <f>$AE$12+D807*$AE$13+E807*$AE$14+F807*$AE$15+G807*$AE$16+H807*$AE$17+I807*$AE$18+J807*$AE$19+K807*$AE$20+L807*$AE$21+M807*$AE$22+N807*$AE$23+O807*$AE$24+P807*$AE$25+Q807*$AE$26+R807*$AE$27+S807*$AE$28+T807*$AE$29+U807*$AE$30</f>
        <v/>
      </c>
      <c r="W807" s="8">
        <f>1/(1+EXP(-V807))</f>
        <v/>
      </c>
      <c r="X807" s="9">
        <f>-IF(C807=1,LN(W807),LN(1-W807))</f>
        <v/>
      </c>
      <c r="Y807" s="8">
        <f>1</f>
        <v/>
      </c>
      <c r="Z807" s="9">
        <f>Y807*X807</f>
        <v/>
      </c>
      <c r="AA807" s="10">
        <f>IF(W807&gt;$AE$32,1,0)</f>
        <v/>
      </c>
      <c r="AB807">
        <f>IF(AA807=C807,1,0)</f>
        <v/>
      </c>
    </row>
    <row r="808">
      <c r="A808">
        <f>'1 datos preparados'!A801</f>
        <v/>
      </c>
      <c r="B808" s="5">
        <f>'1 datos preparados'!U801</f>
        <v/>
      </c>
      <c r="C808">
        <f>'1 datos preparados'!B801</f>
        <v/>
      </c>
      <c r="D808" s="7">
        <f>'1 datos preparados'!C801</f>
        <v/>
      </c>
      <c r="E808" s="7">
        <f>'1 datos preparados'!D801</f>
        <v/>
      </c>
      <c r="F808" s="7">
        <f>'1 datos preparados'!E801</f>
        <v/>
      </c>
      <c r="G808" s="7">
        <f>'1 datos preparados'!F801</f>
        <v/>
      </c>
      <c r="H808" s="7">
        <f>'1 datos preparados'!G801</f>
        <v/>
      </c>
      <c r="I808" s="7">
        <f>'1 datos preparados'!H801</f>
        <v/>
      </c>
      <c r="J808" s="7">
        <f>'1 datos preparados'!I801</f>
        <v/>
      </c>
      <c r="K808" s="7">
        <f>'1 datos preparados'!J801</f>
        <v/>
      </c>
      <c r="L808" s="7">
        <f>'1 datos preparados'!K801</f>
        <v/>
      </c>
      <c r="M808" s="7">
        <f>'1 datos preparados'!L801</f>
        <v/>
      </c>
      <c r="N808" s="7">
        <f>'1 datos preparados'!M801</f>
        <v/>
      </c>
      <c r="O808" s="7">
        <f>'1 datos preparados'!N801</f>
        <v/>
      </c>
      <c r="P808" s="7">
        <f>'1 datos preparados'!O801</f>
        <v/>
      </c>
      <c r="Q808" s="7">
        <f>'1 datos preparados'!P801</f>
        <v/>
      </c>
      <c r="R808" s="7">
        <f>'1 datos preparados'!Q801</f>
        <v/>
      </c>
      <c r="S808" s="7">
        <f>'1 datos preparados'!R801</f>
        <v/>
      </c>
      <c r="T808" s="7">
        <f>'1 datos preparados'!S801</f>
        <v/>
      </c>
      <c r="U808" s="7">
        <f>'1 datos preparados'!T801</f>
        <v/>
      </c>
      <c r="V808" s="8">
        <f>$AE$12+D808*$AE$13+E808*$AE$14+F808*$AE$15+G808*$AE$16+H808*$AE$17+I808*$AE$18+J808*$AE$19+K808*$AE$20+L808*$AE$21+M808*$AE$22+N808*$AE$23+O808*$AE$24+P808*$AE$25+Q808*$AE$26+R808*$AE$27+S808*$AE$28+T808*$AE$29+U808*$AE$30</f>
        <v/>
      </c>
      <c r="W808" s="8">
        <f>1/(1+EXP(-V808))</f>
        <v/>
      </c>
      <c r="X808" s="9">
        <f>-IF(C808=1,LN(W808),LN(1-W808))</f>
        <v/>
      </c>
      <c r="Y808" s="8">
        <f>1</f>
        <v/>
      </c>
      <c r="Z808" s="9">
        <f>Y808*X808</f>
        <v/>
      </c>
      <c r="AA808" s="10">
        <f>IF(W808&gt;$AE$32,1,0)</f>
        <v/>
      </c>
      <c r="AB808">
        <f>IF(AA808=C808,1,0)</f>
        <v/>
      </c>
    </row>
    <row r="809">
      <c r="A809">
        <f>'1 datos preparados'!A802</f>
        <v/>
      </c>
      <c r="B809" s="5">
        <f>'1 datos preparados'!U802</f>
        <v/>
      </c>
      <c r="C809">
        <f>'1 datos preparados'!B802</f>
        <v/>
      </c>
      <c r="D809" s="7">
        <f>'1 datos preparados'!C802</f>
        <v/>
      </c>
      <c r="E809" s="7">
        <f>'1 datos preparados'!D802</f>
        <v/>
      </c>
      <c r="F809" s="7">
        <f>'1 datos preparados'!E802</f>
        <v/>
      </c>
      <c r="G809" s="7">
        <f>'1 datos preparados'!F802</f>
        <v/>
      </c>
      <c r="H809" s="7">
        <f>'1 datos preparados'!G802</f>
        <v/>
      </c>
      <c r="I809" s="7">
        <f>'1 datos preparados'!H802</f>
        <v/>
      </c>
      <c r="J809" s="7">
        <f>'1 datos preparados'!I802</f>
        <v/>
      </c>
      <c r="K809" s="7">
        <f>'1 datos preparados'!J802</f>
        <v/>
      </c>
      <c r="L809" s="7">
        <f>'1 datos preparados'!K802</f>
        <v/>
      </c>
      <c r="M809" s="7">
        <f>'1 datos preparados'!L802</f>
        <v/>
      </c>
      <c r="N809" s="7">
        <f>'1 datos preparados'!M802</f>
        <v/>
      </c>
      <c r="O809" s="7">
        <f>'1 datos preparados'!N802</f>
        <v/>
      </c>
      <c r="P809" s="7">
        <f>'1 datos preparados'!O802</f>
        <v/>
      </c>
      <c r="Q809" s="7">
        <f>'1 datos preparados'!P802</f>
        <v/>
      </c>
      <c r="R809" s="7">
        <f>'1 datos preparados'!Q802</f>
        <v/>
      </c>
      <c r="S809" s="7">
        <f>'1 datos preparados'!R802</f>
        <v/>
      </c>
      <c r="T809" s="7">
        <f>'1 datos preparados'!S802</f>
        <v/>
      </c>
      <c r="U809" s="7">
        <f>'1 datos preparados'!T802</f>
        <v/>
      </c>
      <c r="V809" s="8">
        <f>$AE$12+D809*$AE$13+E809*$AE$14+F809*$AE$15+G809*$AE$16+H809*$AE$17+I809*$AE$18+J809*$AE$19+K809*$AE$20+L809*$AE$21+M809*$AE$22+N809*$AE$23+O809*$AE$24+P809*$AE$25+Q809*$AE$26+R809*$AE$27+S809*$AE$28+T809*$AE$29+U809*$AE$30</f>
        <v/>
      </c>
      <c r="W809" s="8">
        <f>1/(1+EXP(-V809))</f>
        <v/>
      </c>
      <c r="X809" s="9">
        <f>-IF(C809=1,LN(W809),LN(1-W809))</f>
        <v/>
      </c>
      <c r="Y809" s="8">
        <f>1</f>
        <v/>
      </c>
      <c r="Z809" s="9">
        <f>Y809*X809</f>
        <v/>
      </c>
      <c r="AA809" s="10">
        <f>IF(W809&gt;$AE$32,1,0)</f>
        <v/>
      </c>
      <c r="AB809">
        <f>IF(AA809=C809,1,0)</f>
        <v/>
      </c>
    </row>
    <row r="810">
      <c r="A810">
        <f>'1 datos preparados'!A803</f>
        <v/>
      </c>
      <c r="B810" s="5">
        <f>'1 datos preparados'!U803</f>
        <v/>
      </c>
      <c r="C810">
        <f>'1 datos preparados'!B803</f>
        <v/>
      </c>
      <c r="D810" s="7">
        <f>'1 datos preparados'!C803</f>
        <v/>
      </c>
      <c r="E810" s="7">
        <f>'1 datos preparados'!D803</f>
        <v/>
      </c>
      <c r="F810" s="7">
        <f>'1 datos preparados'!E803</f>
        <v/>
      </c>
      <c r="G810" s="7">
        <f>'1 datos preparados'!F803</f>
        <v/>
      </c>
      <c r="H810" s="7">
        <f>'1 datos preparados'!G803</f>
        <v/>
      </c>
      <c r="I810" s="7">
        <f>'1 datos preparados'!H803</f>
        <v/>
      </c>
      <c r="J810" s="7">
        <f>'1 datos preparados'!I803</f>
        <v/>
      </c>
      <c r="K810" s="7">
        <f>'1 datos preparados'!J803</f>
        <v/>
      </c>
      <c r="L810" s="7">
        <f>'1 datos preparados'!K803</f>
        <v/>
      </c>
      <c r="M810" s="7">
        <f>'1 datos preparados'!L803</f>
        <v/>
      </c>
      <c r="N810" s="7">
        <f>'1 datos preparados'!M803</f>
        <v/>
      </c>
      <c r="O810" s="7">
        <f>'1 datos preparados'!N803</f>
        <v/>
      </c>
      <c r="P810" s="7">
        <f>'1 datos preparados'!O803</f>
        <v/>
      </c>
      <c r="Q810" s="7">
        <f>'1 datos preparados'!P803</f>
        <v/>
      </c>
      <c r="R810" s="7">
        <f>'1 datos preparados'!Q803</f>
        <v/>
      </c>
      <c r="S810" s="7">
        <f>'1 datos preparados'!R803</f>
        <v/>
      </c>
      <c r="T810" s="7">
        <f>'1 datos preparados'!S803</f>
        <v/>
      </c>
      <c r="U810" s="7">
        <f>'1 datos preparados'!T803</f>
        <v/>
      </c>
      <c r="V810" s="8">
        <f>$AE$12+D810*$AE$13+E810*$AE$14+F810*$AE$15+G810*$AE$16+H810*$AE$17+I810*$AE$18+J810*$AE$19+K810*$AE$20+L810*$AE$21+M810*$AE$22+N810*$AE$23+O810*$AE$24+P810*$AE$25+Q810*$AE$26+R810*$AE$27+S810*$AE$28+T810*$AE$29+U810*$AE$30</f>
        <v/>
      </c>
      <c r="W810" s="8">
        <f>1/(1+EXP(-V810))</f>
        <v/>
      </c>
      <c r="X810" s="9">
        <f>-IF(C810=1,LN(W810),LN(1-W810))</f>
        <v/>
      </c>
      <c r="Y810" s="8">
        <f>1</f>
        <v/>
      </c>
      <c r="Z810" s="9">
        <f>Y810*X810</f>
        <v/>
      </c>
      <c r="AA810" s="10">
        <f>IF(W810&gt;$AE$32,1,0)</f>
        <v/>
      </c>
      <c r="AB810">
        <f>IF(AA810=C810,1,0)</f>
        <v/>
      </c>
    </row>
    <row r="811">
      <c r="A811">
        <f>'1 datos preparados'!A804</f>
        <v/>
      </c>
      <c r="B811" s="5">
        <f>'1 datos preparados'!U804</f>
        <v/>
      </c>
      <c r="C811">
        <f>'1 datos preparados'!B804</f>
        <v/>
      </c>
      <c r="D811" s="7">
        <f>'1 datos preparados'!C804</f>
        <v/>
      </c>
      <c r="E811" s="7">
        <f>'1 datos preparados'!D804</f>
        <v/>
      </c>
      <c r="F811" s="7">
        <f>'1 datos preparados'!E804</f>
        <v/>
      </c>
      <c r="G811" s="7">
        <f>'1 datos preparados'!F804</f>
        <v/>
      </c>
      <c r="H811" s="7">
        <f>'1 datos preparados'!G804</f>
        <v/>
      </c>
      <c r="I811" s="7">
        <f>'1 datos preparados'!H804</f>
        <v/>
      </c>
      <c r="J811" s="7">
        <f>'1 datos preparados'!I804</f>
        <v/>
      </c>
      <c r="K811" s="7">
        <f>'1 datos preparados'!J804</f>
        <v/>
      </c>
      <c r="L811" s="7">
        <f>'1 datos preparados'!K804</f>
        <v/>
      </c>
      <c r="M811" s="7">
        <f>'1 datos preparados'!L804</f>
        <v/>
      </c>
      <c r="N811" s="7">
        <f>'1 datos preparados'!M804</f>
        <v/>
      </c>
      <c r="O811" s="7">
        <f>'1 datos preparados'!N804</f>
        <v/>
      </c>
      <c r="P811" s="7">
        <f>'1 datos preparados'!O804</f>
        <v/>
      </c>
      <c r="Q811" s="7">
        <f>'1 datos preparados'!P804</f>
        <v/>
      </c>
      <c r="R811" s="7">
        <f>'1 datos preparados'!Q804</f>
        <v/>
      </c>
      <c r="S811" s="7">
        <f>'1 datos preparados'!R804</f>
        <v/>
      </c>
      <c r="T811" s="7">
        <f>'1 datos preparados'!S804</f>
        <v/>
      </c>
      <c r="U811" s="7">
        <f>'1 datos preparados'!T804</f>
        <v/>
      </c>
      <c r="V811" s="8">
        <f>$AE$12+D811*$AE$13+E811*$AE$14+F811*$AE$15+G811*$AE$16+H811*$AE$17+I811*$AE$18+J811*$AE$19+K811*$AE$20+L811*$AE$21+M811*$AE$22+N811*$AE$23+O811*$AE$24+P811*$AE$25+Q811*$AE$26+R811*$AE$27+S811*$AE$28+T811*$AE$29+U811*$AE$30</f>
        <v/>
      </c>
      <c r="W811" s="8">
        <f>1/(1+EXP(-V811))</f>
        <v/>
      </c>
      <c r="X811" s="9">
        <f>-IF(C811=1,LN(W811),LN(1-W811))</f>
        <v/>
      </c>
      <c r="Y811" s="8">
        <f>1</f>
        <v/>
      </c>
      <c r="Z811" s="9">
        <f>Y811*X811</f>
        <v/>
      </c>
      <c r="AA811" s="10">
        <f>IF(W811&gt;$AE$32,1,0)</f>
        <v/>
      </c>
      <c r="AB811">
        <f>IF(AA811=C811,1,0)</f>
        <v/>
      </c>
    </row>
    <row r="812">
      <c r="A812">
        <f>'1 datos preparados'!A805</f>
        <v/>
      </c>
      <c r="B812" s="5">
        <f>'1 datos preparados'!U805</f>
        <v/>
      </c>
      <c r="C812">
        <f>'1 datos preparados'!B805</f>
        <v/>
      </c>
      <c r="D812" s="7">
        <f>'1 datos preparados'!C805</f>
        <v/>
      </c>
      <c r="E812" s="7">
        <f>'1 datos preparados'!D805</f>
        <v/>
      </c>
      <c r="F812" s="7">
        <f>'1 datos preparados'!E805</f>
        <v/>
      </c>
      <c r="G812" s="7">
        <f>'1 datos preparados'!F805</f>
        <v/>
      </c>
      <c r="H812" s="7">
        <f>'1 datos preparados'!G805</f>
        <v/>
      </c>
      <c r="I812" s="7">
        <f>'1 datos preparados'!H805</f>
        <v/>
      </c>
      <c r="J812" s="7">
        <f>'1 datos preparados'!I805</f>
        <v/>
      </c>
      <c r="K812" s="7">
        <f>'1 datos preparados'!J805</f>
        <v/>
      </c>
      <c r="L812" s="7">
        <f>'1 datos preparados'!K805</f>
        <v/>
      </c>
      <c r="M812" s="7">
        <f>'1 datos preparados'!L805</f>
        <v/>
      </c>
      <c r="N812" s="7">
        <f>'1 datos preparados'!M805</f>
        <v/>
      </c>
      <c r="O812" s="7">
        <f>'1 datos preparados'!N805</f>
        <v/>
      </c>
      <c r="P812" s="7">
        <f>'1 datos preparados'!O805</f>
        <v/>
      </c>
      <c r="Q812" s="7">
        <f>'1 datos preparados'!P805</f>
        <v/>
      </c>
      <c r="R812" s="7">
        <f>'1 datos preparados'!Q805</f>
        <v/>
      </c>
      <c r="S812" s="7">
        <f>'1 datos preparados'!R805</f>
        <v/>
      </c>
      <c r="T812" s="7">
        <f>'1 datos preparados'!S805</f>
        <v/>
      </c>
      <c r="U812" s="7">
        <f>'1 datos preparados'!T805</f>
        <v/>
      </c>
      <c r="V812" s="8">
        <f>$AE$12+D812*$AE$13+E812*$AE$14+F812*$AE$15+G812*$AE$16+H812*$AE$17+I812*$AE$18+J812*$AE$19+K812*$AE$20+L812*$AE$21+M812*$AE$22+N812*$AE$23+O812*$AE$24+P812*$AE$25+Q812*$AE$26+R812*$AE$27+S812*$AE$28+T812*$AE$29+U812*$AE$30</f>
        <v/>
      </c>
      <c r="W812" s="8">
        <f>1/(1+EXP(-V812))</f>
        <v/>
      </c>
      <c r="X812" s="9">
        <f>-IF(C812=1,LN(W812),LN(1-W812))</f>
        <v/>
      </c>
      <c r="Y812" s="8">
        <f>1</f>
        <v/>
      </c>
      <c r="Z812" s="9">
        <f>Y812*X812</f>
        <v/>
      </c>
      <c r="AA812" s="10">
        <f>IF(W812&gt;$AE$32,1,0)</f>
        <v/>
      </c>
      <c r="AB812">
        <f>IF(AA812=C812,1,0)</f>
        <v/>
      </c>
    </row>
    <row r="813">
      <c r="A813">
        <f>'1 datos preparados'!A806</f>
        <v/>
      </c>
      <c r="B813" s="5">
        <f>'1 datos preparados'!U806</f>
        <v/>
      </c>
      <c r="C813">
        <f>'1 datos preparados'!B806</f>
        <v/>
      </c>
      <c r="D813" s="7">
        <f>'1 datos preparados'!C806</f>
        <v/>
      </c>
      <c r="E813" s="7">
        <f>'1 datos preparados'!D806</f>
        <v/>
      </c>
      <c r="F813" s="7">
        <f>'1 datos preparados'!E806</f>
        <v/>
      </c>
      <c r="G813" s="7">
        <f>'1 datos preparados'!F806</f>
        <v/>
      </c>
      <c r="H813" s="7">
        <f>'1 datos preparados'!G806</f>
        <v/>
      </c>
      <c r="I813" s="7">
        <f>'1 datos preparados'!H806</f>
        <v/>
      </c>
      <c r="J813" s="7">
        <f>'1 datos preparados'!I806</f>
        <v/>
      </c>
      <c r="K813" s="7">
        <f>'1 datos preparados'!J806</f>
        <v/>
      </c>
      <c r="L813" s="7">
        <f>'1 datos preparados'!K806</f>
        <v/>
      </c>
      <c r="M813" s="7">
        <f>'1 datos preparados'!L806</f>
        <v/>
      </c>
      <c r="N813" s="7">
        <f>'1 datos preparados'!M806</f>
        <v/>
      </c>
      <c r="O813" s="7">
        <f>'1 datos preparados'!N806</f>
        <v/>
      </c>
      <c r="P813" s="7">
        <f>'1 datos preparados'!O806</f>
        <v/>
      </c>
      <c r="Q813" s="7">
        <f>'1 datos preparados'!P806</f>
        <v/>
      </c>
      <c r="R813" s="7">
        <f>'1 datos preparados'!Q806</f>
        <v/>
      </c>
      <c r="S813" s="7">
        <f>'1 datos preparados'!R806</f>
        <v/>
      </c>
      <c r="T813" s="7">
        <f>'1 datos preparados'!S806</f>
        <v/>
      </c>
      <c r="U813" s="7">
        <f>'1 datos preparados'!T806</f>
        <v/>
      </c>
      <c r="V813" s="8">
        <f>$AE$12+D813*$AE$13+E813*$AE$14+F813*$AE$15+G813*$AE$16+H813*$AE$17+I813*$AE$18+J813*$AE$19+K813*$AE$20+L813*$AE$21+M813*$AE$22+N813*$AE$23+O813*$AE$24+P813*$AE$25+Q813*$AE$26+R813*$AE$27+S813*$AE$28+T813*$AE$29+U813*$AE$30</f>
        <v/>
      </c>
      <c r="W813" s="8">
        <f>1/(1+EXP(-V813))</f>
        <v/>
      </c>
      <c r="X813" s="9">
        <f>-IF(C813=1,LN(W813),LN(1-W813))</f>
        <v/>
      </c>
      <c r="Y813" s="8">
        <f>1</f>
        <v/>
      </c>
      <c r="Z813" s="9">
        <f>Y813*X813</f>
        <v/>
      </c>
      <c r="AA813" s="10">
        <f>IF(W813&gt;$AE$32,1,0)</f>
        <v/>
      </c>
      <c r="AB813">
        <f>IF(AA813=C813,1,0)</f>
        <v/>
      </c>
    </row>
    <row r="814">
      <c r="A814">
        <f>'1 datos preparados'!A807</f>
        <v/>
      </c>
      <c r="B814" s="5">
        <f>'1 datos preparados'!U807</f>
        <v/>
      </c>
      <c r="C814">
        <f>'1 datos preparados'!B807</f>
        <v/>
      </c>
      <c r="D814" s="7">
        <f>'1 datos preparados'!C807</f>
        <v/>
      </c>
      <c r="E814" s="7">
        <f>'1 datos preparados'!D807</f>
        <v/>
      </c>
      <c r="F814" s="7">
        <f>'1 datos preparados'!E807</f>
        <v/>
      </c>
      <c r="G814" s="7">
        <f>'1 datos preparados'!F807</f>
        <v/>
      </c>
      <c r="H814" s="7">
        <f>'1 datos preparados'!G807</f>
        <v/>
      </c>
      <c r="I814" s="7">
        <f>'1 datos preparados'!H807</f>
        <v/>
      </c>
      <c r="J814" s="7">
        <f>'1 datos preparados'!I807</f>
        <v/>
      </c>
      <c r="K814" s="7">
        <f>'1 datos preparados'!J807</f>
        <v/>
      </c>
      <c r="L814" s="7">
        <f>'1 datos preparados'!K807</f>
        <v/>
      </c>
      <c r="M814" s="7">
        <f>'1 datos preparados'!L807</f>
        <v/>
      </c>
      <c r="N814" s="7">
        <f>'1 datos preparados'!M807</f>
        <v/>
      </c>
      <c r="O814" s="7">
        <f>'1 datos preparados'!N807</f>
        <v/>
      </c>
      <c r="P814" s="7">
        <f>'1 datos preparados'!O807</f>
        <v/>
      </c>
      <c r="Q814" s="7">
        <f>'1 datos preparados'!P807</f>
        <v/>
      </c>
      <c r="R814" s="7">
        <f>'1 datos preparados'!Q807</f>
        <v/>
      </c>
      <c r="S814" s="7">
        <f>'1 datos preparados'!R807</f>
        <v/>
      </c>
      <c r="T814" s="7">
        <f>'1 datos preparados'!S807</f>
        <v/>
      </c>
      <c r="U814" s="7">
        <f>'1 datos preparados'!T807</f>
        <v/>
      </c>
      <c r="V814" s="8">
        <f>$AE$12+D814*$AE$13+E814*$AE$14+F814*$AE$15+G814*$AE$16+H814*$AE$17+I814*$AE$18+J814*$AE$19+K814*$AE$20+L814*$AE$21+M814*$AE$22+N814*$AE$23+O814*$AE$24+P814*$AE$25+Q814*$AE$26+R814*$AE$27+S814*$AE$28+T814*$AE$29+U814*$AE$30</f>
        <v/>
      </c>
      <c r="W814" s="8">
        <f>1/(1+EXP(-V814))</f>
        <v/>
      </c>
      <c r="X814" s="9">
        <f>-IF(C814=1,LN(W814),LN(1-W814))</f>
        <v/>
      </c>
      <c r="Y814" s="8">
        <f>1</f>
        <v/>
      </c>
      <c r="Z814" s="9">
        <f>Y814*X814</f>
        <v/>
      </c>
      <c r="AA814" s="10">
        <f>IF(W814&gt;$AE$32,1,0)</f>
        <v/>
      </c>
      <c r="AB814">
        <f>IF(AA814=C814,1,0)</f>
        <v/>
      </c>
    </row>
    <row r="815">
      <c r="A815">
        <f>'1 datos preparados'!A808</f>
        <v/>
      </c>
      <c r="B815" s="5">
        <f>'1 datos preparados'!U808</f>
        <v/>
      </c>
      <c r="C815">
        <f>'1 datos preparados'!B808</f>
        <v/>
      </c>
      <c r="D815" s="7">
        <f>'1 datos preparados'!C808</f>
        <v/>
      </c>
      <c r="E815" s="7">
        <f>'1 datos preparados'!D808</f>
        <v/>
      </c>
      <c r="F815" s="7">
        <f>'1 datos preparados'!E808</f>
        <v/>
      </c>
      <c r="G815" s="7">
        <f>'1 datos preparados'!F808</f>
        <v/>
      </c>
      <c r="H815" s="7">
        <f>'1 datos preparados'!G808</f>
        <v/>
      </c>
      <c r="I815" s="7">
        <f>'1 datos preparados'!H808</f>
        <v/>
      </c>
      <c r="J815" s="7">
        <f>'1 datos preparados'!I808</f>
        <v/>
      </c>
      <c r="K815" s="7">
        <f>'1 datos preparados'!J808</f>
        <v/>
      </c>
      <c r="L815" s="7">
        <f>'1 datos preparados'!K808</f>
        <v/>
      </c>
      <c r="M815" s="7">
        <f>'1 datos preparados'!L808</f>
        <v/>
      </c>
      <c r="N815" s="7">
        <f>'1 datos preparados'!M808</f>
        <v/>
      </c>
      <c r="O815" s="7">
        <f>'1 datos preparados'!N808</f>
        <v/>
      </c>
      <c r="P815" s="7">
        <f>'1 datos preparados'!O808</f>
        <v/>
      </c>
      <c r="Q815" s="7">
        <f>'1 datos preparados'!P808</f>
        <v/>
      </c>
      <c r="R815" s="7">
        <f>'1 datos preparados'!Q808</f>
        <v/>
      </c>
      <c r="S815" s="7">
        <f>'1 datos preparados'!R808</f>
        <v/>
      </c>
      <c r="T815" s="7">
        <f>'1 datos preparados'!S808</f>
        <v/>
      </c>
      <c r="U815" s="7">
        <f>'1 datos preparados'!T808</f>
        <v/>
      </c>
      <c r="V815" s="8">
        <f>$AE$12+D815*$AE$13+E815*$AE$14+F815*$AE$15+G815*$AE$16+H815*$AE$17+I815*$AE$18+J815*$AE$19+K815*$AE$20+L815*$AE$21+M815*$AE$22+N815*$AE$23+O815*$AE$24+P815*$AE$25+Q815*$AE$26+R815*$AE$27+S815*$AE$28+T815*$AE$29+U815*$AE$30</f>
        <v/>
      </c>
      <c r="W815" s="8">
        <f>1/(1+EXP(-V815))</f>
        <v/>
      </c>
      <c r="X815" s="9">
        <f>-IF(C815=1,LN(W815),LN(1-W815))</f>
        <v/>
      </c>
      <c r="Y815" s="8">
        <f>1</f>
        <v/>
      </c>
      <c r="Z815" s="9">
        <f>Y815*X815</f>
        <v/>
      </c>
      <c r="AA815" s="10">
        <f>IF(W815&gt;$AE$32,1,0)</f>
        <v/>
      </c>
      <c r="AB815">
        <f>IF(AA815=C815,1,0)</f>
        <v/>
      </c>
    </row>
    <row r="816">
      <c r="A816">
        <f>'1 datos preparados'!A809</f>
        <v/>
      </c>
      <c r="B816" s="5">
        <f>'1 datos preparados'!U809</f>
        <v/>
      </c>
      <c r="C816">
        <f>'1 datos preparados'!B809</f>
        <v/>
      </c>
      <c r="D816" s="7">
        <f>'1 datos preparados'!C809</f>
        <v/>
      </c>
      <c r="E816" s="7">
        <f>'1 datos preparados'!D809</f>
        <v/>
      </c>
      <c r="F816" s="7">
        <f>'1 datos preparados'!E809</f>
        <v/>
      </c>
      <c r="G816" s="7">
        <f>'1 datos preparados'!F809</f>
        <v/>
      </c>
      <c r="H816" s="7">
        <f>'1 datos preparados'!G809</f>
        <v/>
      </c>
      <c r="I816" s="7">
        <f>'1 datos preparados'!H809</f>
        <v/>
      </c>
      <c r="J816" s="7">
        <f>'1 datos preparados'!I809</f>
        <v/>
      </c>
      <c r="K816" s="7">
        <f>'1 datos preparados'!J809</f>
        <v/>
      </c>
      <c r="L816" s="7">
        <f>'1 datos preparados'!K809</f>
        <v/>
      </c>
      <c r="M816" s="7">
        <f>'1 datos preparados'!L809</f>
        <v/>
      </c>
      <c r="N816" s="7">
        <f>'1 datos preparados'!M809</f>
        <v/>
      </c>
      <c r="O816" s="7">
        <f>'1 datos preparados'!N809</f>
        <v/>
      </c>
      <c r="P816" s="7">
        <f>'1 datos preparados'!O809</f>
        <v/>
      </c>
      <c r="Q816" s="7">
        <f>'1 datos preparados'!P809</f>
        <v/>
      </c>
      <c r="R816" s="7">
        <f>'1 datos preparados'!Q809</f>
        <v/>
      </c>
      <c r="S816" s="7">
        <f>'1 datos preparados'!R809</f>
        <v/>
      </c>
      <c r="T816" s="7">
        <f>'1 datos preparados'!S809</f>
        <v/>
      </c>
      <c r="U816" s="7">
        <f>'1 datos preparados'!T809</f>
        <v/>
      </c>
      <c r="V816" s="8">
        <f>$AE$12+D816*$AE$13+E816*$AE$14+F816*$AE$15+G816*$AE$16+H816*$AE$17+I816*$AE$18+J816*$AE$19+K816*$AE$20+L816*$AE$21+M816*$AE$22+N816*$AE$23+O816*$AE$24+P816*$AE$25+Q816*$AE$26+R816*$AE$27+S816*$AE$28+T816*$AE$29+U816*$AE$30</f>
        <v/>
      </c>
      <c r="W816" s="8">
        <f>1/(1+EXP(-V816))</f>
        <v/>
      </c>
      <c r="X816" s="9">
        <f>-IF(C816=1,LN(W816),LN(1-W816))</f>
        <v/>
      </c>
      <c r="Y816" s="8">
        <f>1</f>
        <v/>
      </c>
      <c r="Z816" s="9">
        <f>Y816*X816</f>
        <v/>
      </c>
      <c r="AA816" s="10">
        <f>IF(W816&gt;$AE$32,1,0)</f>
        <v/>
      </c>
      <c r="AB816">
        <f>IF(AA816=C816,1,0)</f>
        <v/>
      </c>
    </row>
    <row r="817">
      <c r="A817">
        <f>'1 datos preparados'!A810</f>
        <v/>
      </c>
      <c r="B817" s="5">
        <f>'1 datos preparados'!U810</f>
        <v/>
      </c>
      <c r="C817">
        <f>'1 datos preparados'!B810</f>
        <v/>
      </c>
      <c r="D817" s="7">
        <f>'1 datos preparados'!C810</f>
        <v/>
      </c>
      <c r="E817" s="7">
        <f>'1 datos preparados'!D810</f>
        <v/>
      </c>
      <c r="F817" s="7">
        <f>'1 datos preparados'!E810</f>
        <v/>
      </c>
      <c r="G817" s="7">
        <f>'1 datos preparados'!F810</f>
        <v/>
      </c>
      <c r="H817" s="7">
        <f>'1 datos preparados'!G810</f>
        <v/>
      </c>
      <c r="I817" s="7">
        <f>'1 datos preparados'!H810</f>
        <v/>
      </c>
      <c r="J817" s="7">
        <f>'1 datos preparados'!I810</f>
        <v/>
      </c>
      <c r="K817" s="7">
        <f>'1 datos preparados'!J810</f>
        <v/>
      </c>
      <c r="L817" s="7">
        <f>'1 datos preparados'!K810</f>
        <v/>
      </c>
      <c r="M817" s="7">
        <f>'1 datos preparados'!L810</f>
        <v/>
      </c>
      <c r="N817" s="7">
        <f>'1 datos preparados'!M810</f>
        <v/>
      </c>
      <c r="O817" s="7">
        <f>'1 datos preparados'!N810</f>
        <v/>
      </c>
      <c r="P817" s="7">
        <f>'1 datos preparados'!O810</f>
        <v/>
      </c>
      <c r="Q817" s="7">
        <f>'1 datos preparados'!P810</f>
        <v/>
      </c>
      <c r="R817" s="7">
        <f>'1 datos preparados'!Q810</f>
        <v/>
      </c>
      <c r="S817" s="7">
        <f>'1 datos preparados'!R810</f>
        <v/>
      </c>
      <c r="T817" s="7">
        <f>'1 datos preparados'!S810</f>
        <v/>
      </c>
      <c r="U817" s="7">
        <f>'1 datos preparados'!T810</f>
        <v/>
      </c>
      <c r="V817" s="8">
        <f>$AE$12+D817*$AE$13+E817*$AE$14+F817*$AE$15+G817*$AE$16+H817*$AE$17+I817*$AE$18+J817*$AE$19+K817*$AE$20+L817*$AE$21+M817*$AE$22+N817*$AE$23+O817*$AE$24+P817*$AE$25+Q817*$AE$26+R817*$AE$27+S817*$AE$28+T817*$AE$29+U817*$AE$30</f>
        <v/>
      </c>
      <c r="W817" s="8">
        <f>1/(1+EXP(-V817))</f>
        <v/>
      </c>
      <c r="X817" s="9">
        <f>-IF(C817=1,LN(W817),LN(1-W817))</f>
        <v/>
      </c>
      <c r="Y817" s="8">
        <f>1</f>
        <v/>
      </c>
      <c r="Z817" s="9">
        <f>Y817*X817</f>
        <v/>
      </c>
      <c r="AA817" s="10">
        <f>IF(W817&gt;$AE$32,1,0)</f>
        <v/>
      </c>
      <c r="AB817">
        <f>IF(AA817=C817,1,0)</f>
        <v/>
      </c>
    </row>
    <row r="818">
      <c r="A818">
        <f>'1 datos preparados'!A811</f>
        <v/>
      </c>
      <c r="B818" s="5">
        <f>'1 datos preparados'!U811</f>
        <v/>
      </c>
      <c r="C818">
        <f>'1 datos preparados'!B811</f>
        <v/>
      </c>
      <c r="D818" s="7">
        <f>'1 datos preparados'!C811</f>
        <v/>
      </c>
      <c r="E818" s="7">
        <f>'1 datos preparados'!D811</f>
        <v/>
      </c>
      <c r="F818" s="7">
        <f>'1 datos preparados'!E811</f>
        <v/>
      </c>
      <c r="G818" s="7">
        <f>'1 datos preparados'!F811</f>
        <v/>
      </c>
      <c r="H818" s="7">
        <f>'1 datos preparados'!G811</f>
        <v/>
      </c>
      <c r="I818" s="7">
        <f>'1 datos preparados'!H811</f>
        <v/>
      </c>
      <c r="J818" s="7">
        <f>'1 datos preparados'!I811</f>
        <v/>
      </c>
      <c r="K818" s="7">
        <f>'1 datos preparados'!J811</f>
        <v/>
      </c>
      <c r="L818" s="7">
        <f>'1 datos preparados'!K811</f>
        <v/>
      </c>
      <c r="M818" s="7">
        <f>'1 datos preparados'!L811</f>
        <v/>
      </c>
      <c r="N818" s="7">
        <f>'1 datos preparados'!M811</f>
        <v/>
      </c>
      <c r="O818" s="7">
        <f>'1 datos preparados'!N811</f>
        <v/>
      </c>
      <c r="P818" s="7">
        <f>'1 datos preparados'!O811</f>
        <v/>
      </c>
      <c r="Q818" s="7">
        <f>'1 datos preparados'!P811</f>
        <v/>
      </c>
      <c r="R818" s="7">
        <f>'1 datos preparados'!Q811</f>
        <v/>
      </c>
      <c r="S818" s="7">
        <f>'1 datos preparados'!R811</f>
        <v/>
      </c>
      <c r="T818" s="7">
        <f>'1 datos preparados'!S811</f>
        <v/>
      </c>
      <c r="U818" s="7">
        <f>'1 datos preparados'!T811</f>
        <v/>
      </c>
      <c r="V818" s="8">
        <f>$AE$12+D818*$AE$13+E818*$AE$14+F818*$AE$15+G818*$AE$16+H818*$AE$17+I818*$AE$18+J818*$AE$19+K818*$AE$20+L818*$AE$21+M818*$AE$22+N818*$AE$23+O818*$AE$24+P818*$AE$25+Q818*$AE$26+R818*$AE$27+S818*$AE$28+T818*$AE$29+U818*$AE$30</f>
        <v/>
      </c>
      <c r="W818" s="8">
        <f>1/(1+EXP(-V818))</f>
        <v/>
      </c>
      <c r="X818" s="9">
        <f>-IF(C818=1,LN(W818),LN(1-W818))</f>
        <v/>
      </c>
      <c r="Y818" s="8">
        <f>1</f>
        <v/>
      </c>
      <c r="Z818" s="9">
        <f>Y818*X818</f>
        <v/>
      </c>
      <c r="AA818" s="10">
        <f>IF(W818&gt;$AE$32,1,0)</f>
        <v/>
      </c>
      <c r="AB818">
        <f>IF(AA818=C818,1,0)</f>
        <v/>
      </c>
    </row>
    <row r="819">
      <c r="A819">
        <f>'1 datos preparados'!A812</f>
        <v/>
      </c>
      <c r="B819" s="5">
        <f>'1 datos preparados'!U812</f>
        <v/>
      </c>
      <c r="C819">
        <f>'1 datos preparados'!B812</f>
        <v/>
      </c>
      <c r="D819" s="7">
        <f>'1 datos preparados'!C812</f>
        <v/>
      </c>
      <c r="E819" s="7">
        <f>'1 datos preparados'!D812</f>
        <v/>
      </c>
      <c r="F819" s="7">
        <f>'1 datos preparados'!E812</f>
        <v/>
      </c>
      <c r="G819" s="7">
        <f>'1 datos preparados'!F812</f>
        <v/>
      </c>
      <c r="H819" s="7">
        <f>'1 datos preparados'!G812</f>
        <v/>
      </c>
      <c r="I819" s="7">
        <f>'1 datos preparados'!H812</f>
        <v/>
      </c>
      <c r="J819" s="7">
        <f>'1 datos preparados'!I812</f>
        <v/>
      </c>
      <c r="K819" s="7">
        <f>'1 datos preparados'!J812</f>
        <v/>
      </c>
      <c r="L819" s="7">
        <f>'1 datos preparados'!K812</f>
        <v/>
      </c>
      <c r="M819" s="7">
        <f>'1 datos preparados'!L812</f>
        <v/>
      </c>
      <c r="N819" s="7">
        <f>'1 datos preparados'!M812</f>
        <v/>
      </c>
      <c r="O819" s="7">
        <f>'1 datos preparados'!N812</f>
        <v/>
      </c>
      <c r="P819" s="7">
        <f>'1 datos preparados'!O812</f>
        <v/>
      </c>
      <c r="Q819" s="7">
        <f>'1 datos preparados'!P812</f>
        <v/>
      </c>
      <c r="R819" s="7">
        <f>'1 datos preparados'!Q812</f>
        <v/>
      </c>
      <c r="S819" s="7">
        <f>'1 datos preparados'!R812</f>
        <v/>
      </c>
      <c r="T819" s="7">
        <f>'1 datos preparados'!S812</f>
        <v/>
      </c>
      <c r="U819" s="7">
        <f>'1 datos preparados'!T812</f>
        <v/>
      </c>
      <c r="V819" s="8">
        <f>$AE$12+D819*$AE$13+E819*$AE$14+F819*$AE$15+G819*$AE$16+H819*$AE$17+I819*$AE$18+J819*$AE$19+K819*$AE$20+L819*$AE$21+M819*$AE$22+N819*$AE$23+O819*$AE$24+P819*$AE$25+Q819*$AE$26+R819*$AE$27+S819*$AE$28+T819*$AE$29+U819*$AE$30</f>
        <v/>
      </c>
      <c r="W819" s="8">
        <f>1/(1+EXP(-V819))</f>
        <v/>
      </c>
      <c r="X819" s="9">
        <f>-IF(C819=1,LN(W819),LN(1-W819))</f>
        <v/>
      </c>
      <c r="Y819" s="8">
        <f>1</f>
        <v/>
      </c>
      <c r="Z819" s="9">
        <f>Y819*X819</f>
        <v/>
      </c>
      <c r="AA819" s="10">
        <f>IF(W819&gt;$AE$32,1,0)</f>
        <v/>
      </c>
      <c r="AB819">
        <f>IF(AA819=C819,1,0)</f>
        <v/>
      </c>
    </row>
    <row r="820">
      <c r="A820">
        <f>'1 datos preparados'!A813</f>
        <v/>
      </c>
      <c r="B820" s="5">
        <f>'1 datos preparados'!U813</f>
        <v/>
      </c>
      <c r="C820">
        <f>'1 datos preparados'!B813</f>
        <v/>
      </c>
      <c r="D820" s="7">
        <f>'1 datos preparados'!C813</f>
        <v/>
      </c>
      <c r="E820" s="7">
        <f>'1 datos preparados'!D813</f>
        <v/>
      </c>
      <c r="F820" s="7">
        <f>'1 datos preparados'!E813</f>
        <v/>
      </c>
      <c r="G820" s="7">
        <f>'1 datos preparados'!F813</f>
        <v/>
      </c>
      <c r="H820" s="7">
        <f>'1 datos preparados'!G813</f>
        <v/>
      </c>
      <c r="I820" s="7">
        <f>'1 datos preparados'!H813</f>
        <v/>
      </c>
      <c r="J820" s="7">
        <f>'1 datos preparados'!I813</f>
        <v/>
      </c>
      <c r="K820" s="7">
        <f>'1 datos preparados'!J813</f>
        <v/>
      </c>
      <c r="L820" s="7">
        <f>'1 datos preparados'!K813</f>
        <v/>
      </c>
      <c r="M820" s="7">
        <f>'1 datos preparados'!L813</f>
        <v/>
      </c>
      <c r="N820" s="7">
        <f>'1 datos preparados'!M813</f>
        <v/>
      </c>
      <c r="O820" s="7">
        <f>'1 datos preparados'!N813</f>
        <v/>
      </c>
      <c r="P820" s="7">
        <f>'1 datos preparados'!O813</f>
        <v/>
      </c>
      <c r="Q820" s="7">
        <f>'1 datos preparados'!P813</f>
        <v/>
      </c>
      <c r="R820" s="7">
        <f>'1 datos preparados'!Q813</f>
        <v/>
      </c>
      <c r="S820" s="7">
        <f>'1 datos preparados'!R813</f>
        <v/>
      </c>
      <c r="T820" s="7">
        <f>'1 datos preparados'!S813</f>
        <v/>
      </c>
      <c r="U820" s="7">
        <f>'1 datos preparados'!T813</f>
        <v/>
      </c>
      <c r="V820" s="8">
        <f>$AE$12+D820*$AE$13+E820*$AE$14+F820*$AE$15+G820*$AE$16+H820*$AE$17+I820*$AE$18+J820*$AE$19+K820*$AE$20+L820*$AE$21+M820*$AE$22+N820*$AE$23+O820*$AE$24+P820*$AE$25+Q820*$AE$26+R820*$AE$27+S820*$AE$28+T820*$AE$29+U820*$AE$30</f>
        <v/>
      </c>
      <c r="W820" s="8">
        <f>1/(1+EXP(-V820))</f>
        <v/>
      </c>
      <c r="X820" s="9">
        <f>-IF(C820=1,LN(W820),LN(1-W820))</f>
        <v/>
      </c>
      <c r="Y820" s="8">
        <f>1</f>
        <v/>
      </c>
      <c r="Z820" s="9">
        <f>Y820*X820</f>
        <v/>
      </c>
      <c r="AA820" s="10">
        <f>IF(W820&gt;$AE$32,1,0)</f>
        <v/>
      </c>
      <c r="AB820">
        <f>IF(AA820=C820,1,0)</f>
        <v/>
      </c>
    </row>
    <row r="821">
      <c r="A821">
        <f>'1 datos preparados'!A814</f>
        <v/>
      </c>
      <c r="B821" s="5">
        <f>'1 datos preparados'!U814</f>
        <v/>
      </c>
      <c r="C821">
        <f>'1 datos preparados'!B814</f>
        <v/>
      </c>
      <c r="D821" s="7">
        <f>'1 datos preparados'!C814</f>
        <v/>
      </c>
      <c r="E821" s="7">
        <f>'1 datos preparados'!D814</f>
        <v/>
      </c>
      <c r="F821" s="7">
        <f>'1 datos preparados'!E814</f>
        <v/>
      </c>
      <c r="G821" s="7">
        <f>'1 datos preparados'!F814</f>
        <v/>
      </c>
      <c r="H821" s="7">
        <f>'1 datos preparados'!G814</f>
        <v/>
      </c>
      <c r="I821" s="7">
        <f>'1 datos preparados'!H814</f>
        <v/>
      </c>
      <c r="J821" s="7">
        <f>'1 datos preparados'!I814</f>
        <v/>
      </c>
      <c r="K821" s="7">
        <f>'1 datos preparados'!J814</f>
        <v/>
      </c>
      <c r="L821" s="7">
        <f>'1 datos preparados'!K814</f>
        <v/>
      </c>
      <c r="M821" s="7">
        <f>'1 datos preparados'!L814</f>
        <v/>
      </c>
      <c r="N821" s="7">
        <f>'1 datos preparados'!M814</f>
        <v/>
      </c>
      <c r="O821" s="7">
        <f>'1 datos preparados'!N814</f>
        <v/>
      </c>
      <c r="P821" s="7">
        <f>'1 datos preparados'!O814</f>
        <v/>
      </c>
      <c r="Q821" s="7">
        <f>'1 datos preparados'!P814</f>
        <v/>
      </c>
      <c r="R821" s="7">
        <f>'1 datos preparados'!Q814</f>
        <v/>
      </c>
      <c r="S821" s="7">
        <f>'1 datos preparados'!R814</f>
        <v/>
      </c>
      <c r="T821" s="7">
        <f>'1 datos preparados'!S814</f>
        <v/>
      </c>
      <c r="U821" s="7">
        <f>'1 datos preparados'!T814</f>
        <v/>
      </c>
      <c r="V821" s="8">
        <f>$AE$12+D821*$AE$13+E821*$AE$14+F821*$AE$15+G821*$AE$16+H821*$AE$17+I821*$AE$18+J821*$AE$19+K821*$AE$20+L821*$AE$21+M821*$AE$22+N821*$AE$23+O821*$AE$24+P821*$AE$25+Q821*$AE$26+R821*$AE$27+S821*$AE$28+T821*$AE$29+U821*$AE$30</f>
        <v/>
      </c>
      <c r="W821" s="8">
        <f>1/(1+EXP(-V821))</f>
        <v/>
      </c>
      <c r="X821" s="9">
        <f>-IF(C821=1,LN(W821),LN(1-W821))</f>
        <v/>
      </c>
      <c r="Y821" s="8">
        <f>1</f>
        <v/>
      </c>
      <c r="Z821" s="9">
        <f>Y821*X821</f>
        <v/>
      </c>
      <c r="AA821" s="10">
        <f>IF(W821&gt;$AE$32,1,0)</f>
        <v/>
      </c>
      <c r="AB821">
        <f>IF(AA821=C821,1,0)</f>
        <v/>
      </c>
    </row>
    <row r="822">
      <c r="A822">
        <f>'1 datos preparados'!A815</f>
        <v/>
      </c>
      <c r="B822" s="5">
        <f>'1 datos preparados'!U815</f>
        <v/>
      </c>
      <c r="C822">
        <f>'1 datos preparados'!B815</f>
        <v/>
      </c>
      <c r="D822" s="7">
        <f>'1 datos preparados'!C815</f>
        <v/>
      </c>
      <c r="E822" s="7">
        <f>'1 datos preparados'!D815</f>
        <v/>
      </c>
      <c r="F822" s="7">
        <f>'1 datos preparados'!E815</f>
        <v/>
      </c>
      <c r="G822" s="7">
        <f>'1 datos preparados'!F815</f>
        <v/>
      </c>
      <c r="H822" s="7">
        <f>'1 datos preparados'!G815</f>
        <v/>
      </c>
      <c r="I822" s="7">
        <f>'1 datos preparados'!H815</f>
        <v/>
      </c>
      <c r="J822" s="7">
        <f>'1 datos preparados'!I815</f>
        <v/>
      </c>
      <c r="K822" s="7">
        <f>'1 datos preparados'!J815</f>
        <v/>
      </c>
      <c r="L822" s="7">
        <f>'1 datos preparados'!K815</f>
        <v/>
      </c>
      <c r="M822" s="7">
        <f>'1 datos preparados'!L815</f>
        <v/>
      </c>
      <c r="N822" s="7">
        <f>'1 datos preparados'!M815</f>
        <v/>
      </c>
      <c r="O822" s="7">
        <f>'1 datos preparados'!N815</f>
        <v/>
      </c>
      <c r="P822" s="7">
        <f>'1 datos preparados'!O815</f>
        <v/>
      </c>
      <c r="Q822" s="7">
        <f>'1 datos preparados'!P815</f>
        <v/>
      </c>
      <c r="R822" s="7">
        <f>'1 datos preparados'!Q815</f>
        <v/>
      </c>
      <c r="S822" s="7">
        <f>'1 datos preparados'!R815</f>
        <v/>
      </c>
      <c r="T822" s="7">
        <f>'1 datos preparados'!S815</f>
        <v/>
      </c>
      <c r="U822" s="7">
        <f>'1 datos preparados'!T815</f>
        <v/>
      </c>
      <c r="V822" s="8">
        <f>$AE$12+D822*$AE$13+E822*$AE$14+F822*$AE$15+G822*$AE$16+H822*$AE$17+I822*$AE$18+J822*$AE$19+K822*$AE$20+L822*$AE$21+M822*$AE$22+N822*$AE$23+O822*$AE$24+P822*$AE$25+Q822*$AE$26+R822*$AE$27+S822*$AE$28+T822*$AE$29+U822*$AE$30</f>
        <v/>
      </c>
      <c r="W822" s="8">
        <f>1/(1+EXP(-V822))</f>
        <v/>
      </c>
      <c r="X822" s="9">
        <f>-IF(C822=1,LN(W822),LN(1-W822))</f>
        <v/>
      </c>
      <c r="Y822" s="8">
        <f>1</f>
        <v/>
      </c>
      <c r="Z822" s="9">
        <f>Y822*X822</f>
        <v/>
      </c>
      <c r="AA822" s="10">
        <f>IF(W822&gt;$AE$32,1,0)</f>
        <v/>
      </c>
      <c r="AB822">
        <f>IF(AA822=C822,1,0)</f>
        <v/>
      </c>
    </row>
    <row r="823">
      <c r="A823">
        <f>'1 datos preparados'!A816</f>
        <v/>
      </c>
      <c r="B823" s="5">
        <f>'1 datos preparados'!U816</f>
        <v/>
      </c>
      <c r="C823">
        <f>'1 datos preparados'!B816</f>
        <v/>
      </c>
      <c r="D823" s="7">
        <f>'1 datos preparados'!C816</f>
        <v/>
      </c>
      <c r="E823" s="7">
        <f>'1 datos preparados'!D816</f>
        <v/>
      </c>
      <c r="F823" s="7">
        <f>'1 datos preparados'!E816</f>
        <v/>
      </c>
      <c r="G823" s="7">
        <f>'1 datos preparados'!F816</f>
        <v/>
      </c>
      <c r="H823" s="7">
        <f>'1 datos preparados'!G816</f>
        <v/>
      </c>
      <c r="I823" s="7">
        <f>'1 datos preparados'!H816</f>
        <v/>
      </c>
      <c r="J823" s="7">
        <f>'1 datos preparados'!I816</f>
        <v/>
      </c>
      <c r="K823" s="7">
        <f>'1 datos preparados'!J816</f>
        <v/>
      </c>
      <c r="L823" s="7">
        <f>'1 datos preparados'!K816</f>
        <v/>
      </c>
      <c r="M823" s="7">
        <f>'1 datos preparados'!L816</f>
        <v/>
      </c>
      <c r="N823" s="7">
        <f>'1 datos preparados'!M816</f>
        <v/>
      </c>
      <c r="O823" s="7">
        <f>'1 datos preparados'!N816</f>
        <v/>
      </c>
      <c r="P823" s="7">
        <f>'1 datos preparados'!O816</f>
        <v/>
      </c>
      <c r="Q823" s="7">
        <f>'1 datos preparados'!P816</f>
        <v/>
      </c>
      <c r="R823" s="7">
        <f>'1 datos preparados'!Q816</f>
        <v/>
      </c>
      <c r="S823" s="7">
        <f>'1 datos preparados'!R816</f>
        <v/>
      </c>
      <c r="T823" s="7">
        <f>'1 datos preparados'!S816</f>
        <v/>
      </c>
      <c r="U823" s="7">
        <f>'1 datos preparados'!T816</f>
        <v/>
      </c>
      <c r="V823" s="8">
        <f>$AE$12+D823*$AE$13+E823*$AE$14+F823*$AE$15+G823*$AE$16+H823*$AE$17+I823*$AE$18+J823*$AE$19+K823*$AE$20+L823*$AE$21+M823*$AE$22+N823*$AE$23+O823*$AE$24+P823*$AE$25+Q823*$AE$26+R823*$AE$27+S823*$AE$28+T823*$AE$29+U823*$AE$30</f>
        <v/>
      </c>
      <c r="W823" s="8">
        <f>1/(1+EXP(-V823))</f>
        <v/>
      </c>
      <c r="X823" s="9">
        <f>-IF(C823=1,LN(W823),LN(1-W823))</f>
        <v/>
      </c>
      <c r="Y823" s="8">
        <f>1</f>
        <v/>
      </c>
      <c r="Z823" s="9">
        <f>Y823*X823</f>
        <v/>
      </c>
      <c r="AA823" s="10">
        <f>IF(W823&gt;$AE$32,1,0)</f>
        <v/>
      </c>
      <c r="AB823">
        <f>IF(AA823=C823,1,0)</f>
        <v/>
      </c>
    </row>
    <row r="824">
      <c r="A824">
        <f>'1 datos preparados'!A817</f>
        <v/>
      </c>
      <c r="B824" s="5">
        <f>'1 datos preparados'!U817</f>
        <v/>
      </c>
      <c r="C824">
        <f>'1 datos preparados'!B817</f>
        <v/>
      </c>
      <c r="D824" s="7">
        <f>'1 datos preparados'!C817</f>
        <v/>
      </c>
      <c r="E824" s="7">
        <f>'1 datos preparados'!D817</f>
        <v/>
      </c>
      <c r="F824" s="7">
        <f>'1 datos preparados'!E817</f>
        <v/>
      </c>
      <c r="G824" s="7">
        <f>'1 datos preparados'!F817</f>
        <v/>
      </c>
      <c r="H824" s="7">
        <f>'1 datos preparados'!G817</f>
        <v/>
      </c>
      <c r="I824" s="7">
        <f>'1 datos preparados'!H817</f>
        <v/>
      </c>
      <c r="J824" s="7">
        <f>'1 datos preparados'!I817</f>
        <v/>
      </c>
      <c r="K824" s="7">
        <f>'1 datos preparados'!J817</f>
        <v/>
      </c>
      <c r="L824" s="7">
        <f>'1 datos preparados'!K817</f>
        <v/>
      </c>
      <c r="M824" s="7">
        <f>'1 datos preparados'!L817</f>
        <v/>
      </c>
      <c r="N824" s="7">
        <f>'1 datos preparados'!M817</f>
        <v/>
      </c>
      <c r="O824" s="7">
        <f>'1 datos preparados'!N817</f>
        <v/>
      </c>
      <c r="P824" s="7">
        <f>'1 datos preparados'!O817</f>
        <v/>
      </c>
      <c r="Q824" s="7">
        <f>'1 datos preparados'!P817</f>
        <v/>
      </c>
      <c r="R824" s="7">
        <f>'1 datos preparados'!Q817</f>
        <v/>
      </c>
      <c r="S824" s="7">
        <f>'1 datos preparados'!R817</f>
        <v/>
      </c>
      <c r="T824" s="7">
        <f>'1 datos preparados'!S817</f>
        <v/>
      </c>
      <c r="U824" s="7">
        <f>'1 datos preparados'!T817</f>
        <v/>
      </c>
      <c r="V824" s="8">
        <f>$AE$12+D824*$AE$13+E824*$AE$14+F824*$AE$15+G824*$AE$16+H824*$AE$17+I824*$AE$18+J824*$AE$19+K824*$AE$20+L824*$AE$21+M824*$AE$22+N824*$AE$23+O824*$AE$24+P824*$AE$25+Q824*$AE$26+R824*$AE$27+S824*$AE$28+T824*$AE$29+U824*$AE$30</f>
        <v/>
      </c>
      <c r="W824" s="8">
        <f>1/(1+EXP(-V824))</f>
        <v/>
      </c>
      <c r="X824" s="9">
        <f>-IF(C824=1,LN(W824),LN(1-W824))</f>
        <v/>
      </c>
      <c r="Y824" s="8">
        <f>1</f>
        <v/>
      </c>
      <c r="Z824" s="9">
        <f>Y824*X824</f>
        <v/>
      </c>
      <c r="AA824" s="10">
        <f>IF(W824&gt;$AE$32,1,0)</f>
        <v/>
      </c>
      <c r="AB824">
        <f>IF(AA824=C824,1,0)</f>
        <v/>
      </c>
    </row>
    <row r="825">
      <c r="A825">
        <f>'1 datos preparados'!A818</f>
        <v/>
      </c>
      <c r="B825" s="5">
        <f>'1 datos preparados'!U818</f>
        <v/>
      </c>
      <c r="C825">
        <f>'1 datos preparados'!B818</f>
        <v/>
      </c>
      <c r="D825" s="7">
        <f>'1 datos preparados'!C818</f>
        <v/>
      </c>
      <c r="E825" s="7">
        <f>'1 datos preparados'!D818</f>
        <v/>
      </c>
      <c r="F825" s="7">
        <f>'1 datos preparados'!E818</f>
        <v/>
      </c>
      <c r="G825" s="7">
        <f>'1 datos preparados'!F818</f>
        <v/>
      </c>
      <c r="H825" s="7">
        <f>'1 datos preparados'!G818</f>
        <v/>
      </c>
      <c r="I825" s="7">
        <f>'1 datos preparados'!H818</f>
        <v/>
      </c>
      <c r="J825" s="7">
        <f>'1 datos preparados'!I818</f>
        <v/>
      </c>
      <c r="K825" s="7">
        <f>'1 datos preparados'!J818</f>
        <v/>
      </c>
      <c r="L825" s="7">
        <f>'1 datos preparados'!K818</f>
        <v/>
      </c>
      <c r="M825" s="7">
        <f>'1 datos preparados'!L818</f>
        <v/>
      </c>
      <c r="N825" s="7">
        <f>'1 datos preparados'!M818</f>
        <v/>
      </c>
      <c r="O825" s="7">
        <f>'1 datos preparados'!N818</f>
        <v/>
      </c>
      <c r="P825" s="7">
        <f>'1 datos preparados'!O818</f>
        <v/>
      </c>
      <c r="Q825" s="7">
        <f>'1 datos preparados'!P818</f>
        <v/>
      </c>
      <c r="R825" s="7">
        <f>'1 datos preparados'!Q818</f>
        <v/>
      </c>
      <c r="S825" s="7">
        <f>'1 datos preparados'!R818</f>
        <v/>
      </c>
      <c r="T825" s="7">
        <f>'1 datos preparados'!S818</f>
        <v/>
      </c>
      <c r="U825" s="7">
        <f>'1 datos preparados'!T818</f>
        <v/>
      </c>
      <c r="V825" s="8">
        <f>$AE$12+D825*$AE$13+E825*$AE$14+F825*$AE$15+G825*$AE$16+H825*$AE$17+I825*$AE$18+J825*$AE$19+K825*$AE$20+L825*$AE$21+M825*$AE$22+N825*$AE$23+O825*$AE$24+P825*$AE$25+Q825*$AE$26+R825*$AE$27+S825*$AE$28+T825*$AE$29+U825*$AE$30</f>
        <v/>
      </c>
      <c r="W825" s="8">
        <f>1/(1+EXP(-V825))</f>
        <v/>
      </c>
      <c r="X825" s="9">
        <f>-IF(C825=1,LN(W825),LN(1-W825))</f>
        <v/>
      </c>
      <c r="Y825" s="8">
        <f>1</f>
        <v/>
      </c>
      <c r="Z825" s="9">
        <f>Y825*X825</f>
        <v/>
      </c>
      <c r="AA825" s="10">
        <f>IF(W825&gt;$AE$32,1,0)</f>
        <v/>
      </c>
      <c r="AB825">
        <f>IF(AA825=C825,1,0)</f>
        <v/>
      </c>
    </row>
    <row r="826">
      <c r="A826">
        <f>'1 datos preparados'!A819</f>
        <v/>
      </c>
      <c r="B826" s="5">
        <f>'1 datos preparados'!U819</f>
        <v/>
      </c>
      <c r="C826">
        <f>'1 datos preparados'!B819</f>
        <v/>
      </c>
      <c r="D826" s="7">
        <f>'1 datos preparados'!C819</f>
        <v/>
      </c>
      <c r="E826" s="7">
        <f>'1 datos preparados'!D819</f>
        <v/>
      </c>
      <c r="F826" s="7">
        <f>'1 datos preparados'!E819</f>
        <v/>
      </c>
      <c r="G826" s="7">
        <f>'1 datos preparados'!F819</f>
        <v/>
      </c>
      <c r="H826" s="7">
        <f>'1 datos preparados'!G819</f>
        <v/>
      </c>
      <c r="I826" s="7">
        <f>'1 datos preparados'!H819</f>
        <v/>
      </c>
      <c r="J826" s="7">
        <f>'1 datos preparados'!I819</f>
        <v/>
      </c>
      <c r="K826" s="7">
        <f>'1 datos preparados'!J819</f>
        <v/>
      </c>
      <c r="L826" s="7">
        <f>'1 datos preparados'!K819</f>
        <v/>
      </c>
      <c r="M826" s="7">
        <f>'1 datos preparados'!L819</f>
        <v/>
      </c>
      <c r="N826" s="7">
        <f>'1 datos preparados'!M819</f>
        <v/>
      </c>
      <c r="O826" s="7">
        <f>'1 datos preparados'!N819</f>
        <v/>
      </c>
      <c r="P826" s="7">
        <f>'1 datos preparados'!O819</f>
        <v/>
      </c>
      <c r="Q826" s="7">
        <f>'1 datos preparados'!P819</f>
        <v/>
      </c>
      <c r="R826" s="7">
        <f>'1 datos preparados'!Q819</f>
        <v/>
      </c>
      <c r="S826" s="7">
        <f>'1 datos preparados'!R819</f>
        <v/>
      </c>
      <c r="T826" s="7">
        <f>'1 datos preparados'!S819</f>
        <v/>
      </c>
      <c r="U826" s="7">
        <f>'1 datos preparados'!T819</f>
        <v/>
      </c>
      <c r="V826" s="8">
        <f>$AE$12+D826*$AE$13+E826*$AE$14+F826*$AE$15+G826*$AE$16+H826*$AE$17+I826*$AE$18+J826*$AE$19+K826*$AE$20+L826*$AE$21+M826*$AE$22+N826*$AE$23+O826*$AE$24+P826*$AE$25+Q826*$AE$26+R826*$AE$27+S826*$AE$28+T826*$AE$29+U826*$AE$30</f>
        <v/>
      </c>
      <c r="W826" s="8">
        <f>1/(1+EXP(-V826))</f>
        <v/>
      </c>
      <c r="X826" s="9">
        <f>-IF(C826=1,LN(W826),LN(1-W826))</f>
        <v/>
      </c>
      <c r="Y826" s="8">
        <f>1</f>
        <v/>
      </c>
      <c r="Z826" s="9">
        <f>Y826*X826</f>
        <v/>
      </c>
      <c r="AA826" s="10">
        <f>IF(W826&gt;$AE$32,1,0)</f>
        <v/>
      </c>
      <c r="AB826">
        <f>IF(AA826=C826,1,0)</f>
        <v/>
      </c>
    </row>
    <row r="827">
      <c r="A827">
        <f>'1 datos preparados'!A820</f>
        <v/>
      </c>
      <c r="B827" s="5">
        <f>'1 datos preparados'!U820</f>
        <v/>
      </c>
      <c r="C827">
        <f>'1 datos preparados'!B820</f>
        <v/>
      </c>
      <c r="D827" s="7">
        <f>'1 datos preparados'!C820</f>
        <v/>
      </c>
      <c r="E827" s="7">
        <f>'1 datos preparados'!D820</f>
        <v/>
      </c>
      <c r="F827" s="7">
        <f>'1 datos preparados'!E820</f>
        <v/>
      </c>
      <c r="G827" s="7">
        <f>'1 datos preparados'!F820</f>
        <v/>
      </c>
      <c r="H827" s="7">
        <f>'1 datos preparados'!G820</f>
        <v/>
      </c>
      <c r="I827" s="7">
        <f>'1 datos preparados'!H820</f>
        <v/>
      </c>
      <c r="J827" s="7">
        <f>'1 datos preparados'!I820</f>
        <v/>
      </c>
      <c r="K827" s="7">
        <f>'1 datos preparados'!J820</f>
        <v/>
      </c>
      <c r="L827" s="7">
        <f>'1 datos preparados'!K820</f>
        <v/>
      </c>
      <c r="M827" s="7">
        <f>'1 datos preparados'!L820</f>
        <v/>
      </c>
      <c r="N827" s="7">
        <f>'1 datos preparados'!M820</f>
        <v/>
      </c>
      <c r="O827" s="7">
        <f>'1 datos preparados'!N820</f>
        <v/>
      </c>
      <c r="P827" s="7">
        <f>'1 datos preparados'!O820</f>
        <v/>
      </c>
      <c r="Q827" s="7">
        <f>'1 datos preparados'!P820</f>
        <v/>
      </c>
      <c r="R827" s="7">
        <f>'1 datos preparados'!Q820</f>
        <v/>
      </c>
      <c r="S827" s="7">
        <f>'1 datos preparados'!R820</f>
        <v/>
      </c>
      <c r="T827" s="7">
        <f>'1 datos preparados'!S820</f>
        <v/>
      </c>
      <c r="U827" s="7">
        <f>'1 datos preparados'!T820</f>
        <v/>
      </c>
      <c r="V827" s="8">
        <f>$AE$12+D827*$AE$13+E827*$AE$14+F827*$AE$15+G827*$AE$16+H827*$AE$17+I827*$AE$18+J827*$AE$19+K827*$AE$20+L827*$AE$21+M827*$AE$22+N827*$AE$23+O827*$AE$24+P827*$AE$25+Q827*$AE$26+R827*$AE$27+S827*$AE$28+T827*$AE$29+U827*$AE$30</f>
        <v/>
      </c>
      <c r="W827" s="8">
        <f>1/(1+EXP(-V827))</f>
        <v/>
      </c>
      <c r="X827" s="9">
        <f>-IF(C827=1,LN(W827),LN(1-W827))</f>
        <v/>
      </c>
      <c r="Y827" s="8">
        <f>1</f>
        <v/>
      </c>
      <c r="Z827" s="9">
        <f>Y827*X827</f>
        <v/>
      </c>
      <c r="AA827" s="10">
        <f>IF(W827&gt;$AE$32,1,0)</f>
        <v/>
      </c>
      <c r="AB827">
        <f>IF(AA827=C827,1,0)</f>
        <v/>
      </c>
    </row>
    <row r="828">
      <c r="A828">
        <f>'1 datos preparados'!A821</f>
        <v/>
      </c>
      <c r="B828" s="5">
        <f>'1 datos preparados'!U821</f>
        <v/>
      </c>
      <c r="C828">
        <f>'1 datos preparados'!B821</f>
        <v/>
      </c>
      <c r="D828" s="7">
        <f>'1 datos preparados'!C821</f>
        <v/>
      </c>
      <c r="E828" s="7">
        <f>'1 datos preparados'!D821</f>
        <v/>
      </c>
      <c r="F828" s="7">
        <f>'1 datos preparados'!E821</f>
        <v/>
      </c>
      <c r="G828" s="7">
        <f>'1 datos preparados'!F821</f>
        <v/>
      </c>
      <c r="H828" s="7">
        <f>'1 datos preparados'!G821</f>
        <v/>
      </c>
      <c r="I828" s="7">
        <f>'1 datos preparados'!H821</f>
        <v/>
      </c>
      <c r="J828" s="7">
        <f>'1 datos preparados'!I821</f>
        <v/>
      </c>
      <c r="K828" s="7">
        <f>'1 datos preparados'!J821</f>
        <v/>
      </c>
      <c r="L828" s="7">
        <f>'1 datos preparados'!K821</f>
        <v/>
      </c>
      <c r="M828" s="7">
        <f>'1 datos preparados'!L821</f>
        <v/>
      </c>
      <c r="N828" s="7">
        <f>'1 datos preparados'!M821</f>
        <v/>
      </c>
      <c r="O828" s="7">
        <f>'1 datos preparados'!N821</f>
        <v/>
      </c>
      <c r="P828" s="7">
        <f>'1 datos preparados'!O821</f>
        <v/>
      </c>
      <c r="Q828" s="7">
        <f>'1 datos preparados'!P821</f>
        <v/>
      </c>
      <c r="R828" s="7">
        <f>'1 datos preparados'!Q821</f>
        <v/>
      </c>
      <c r="S828" s="7">
        <f>'1 datos preparados'!R821</f>
        <v/>
      </c>
      <c r="T828" s="7">
        <f>'1 datos preparados'!S821</f>
        <v/>
      </c>
      <c r="U828" s="7">
        <f>'1 datos preparados'!T821</f>
        <v/>
      </c>
      <c r="V828" s="8">
        <f>$AE$12+D828*$AE$13+E828*$AE$14+F828*$AE$15+G828*$AE$16+H828*$AE$17+I828*$AE$18+J828*$AE$19+K828*$AE$20+L828*$AE$21+M828*$AE$22+N828*$AE$23+O828*$AE$24+P828*$AE$25+Q828*$AE$26+R828*$AE$27+S828*$AE$28+T828*$AE$29+U828*$AE$30</f>
        <v/>
      </c>
      <c r="W828" s="8">
        <f>1/(1+EXP(-V828))</f>
        <v/>
      </c>
      <c r="X828" s="9">
        <f>-IF(C828=1,LN(W828),LN(1-W828))</f>
        <v/>
      </c>
      <c r="Y828" s="8">
        <f>1</f>
        <v/>
      </c>
      <c r="Z828" s="9">
        <f>Y828*X828</f>
        <v/>
      </c>
      <c r="AA828" s="10">
        <f>IF(W828&gt;$AE$32,1,0)</f>
        <v/>
      </c>
      <c r="AB828">
        <f>IF(AA828=C828,1,0)</f>
        <v/>
      </c>
    </row>
    <row r="829">
      <c r="A829">
        <f>'1 datos preparados'!A822</f>
        <v/>
      </c>
      <c r="B829" s="5">
        <f>'1 datos preparados'!U822</f>
        <v/>
      </c>
      <c r="C829">
        <f>'1 datos preparados'!B822</f>
        <v/>
      </c>
      <c r="D829" s="7">
        <f>'1 datos preparados'!C822</f>
        <v/>
      </c>
      <c r="E829" s="7">
        <f>'1 datos preparados'!D822</f>
        <v/>
      </c>
      <c r="F829" s="7">
        <f>'1 datos preparados'!E822</f>
        <v/>
      </c>
      <c r="G829" s="7">
        <f>'1 datos preparados'!F822</f>
        <v/>
      </c>
      <c r="H829" s="7">
        <f>'1 datos preparados'!G822</f>
        <v/>
      </c>
      <c r="I829" s="7">
        <f>'1 datos preparados'!H822</f>
        <v/>
      </c>
      <c r="J829" s="7">
        <f>'1 datos preparados'!I822</f>
        <v/>
      </c>
      <c r="K829" s="7">
        <f>'1 datos preparados'!J822</f>
        <v/>
      </c>
      <c r="L829" s="7">
        <f>'1 datos preparados'!K822</f>
        <v/>
      </c>
      <c r="M829" s="7">
        <f>'1 datos preparados'!L822</f>
        <v/>
      </c>
      <c r="N829" s="7">
        <f>'1 datos preparados'!M822</f>
        <v/>
      </c>
      <c r="O829" s="7">
        <f>'1 datos preparados'!N822</f>
        <v/>
      </c>
      <c r="P829" s="7">
        <f>'1 datos preparados'!O822</f>
        <v/>
      </c>
      <c r="Q829" s="7">
        <f>'1 datos preparados'!P822</f>
        <v/>
      </c>
      <c r="R829" s="7">
        <f>'1 datos preparados'!Q822</f>
        <v/>
      </c>
      <c r="S829" s="7">
        <f>'1 datos preparados'!R822</f>
        <v/>
      </c>
      <c r="T829" s="7">
        <f>'1 datos preparados'!S822</f>
        <v/>
      </c>
      <c r="U829" s="7">
        <f>'1 datos preparados'!T822</f>
        <v/>
      </c>
      <c r="V829" s="8">
        <f>$AE$12+D829*$AE$13+E829*$AE$14+F829*$AE$15+G829*$AE$16+H829*$AE$17+I829*$AE$18+J829*$AE$19+K829*$AE$20+L829*$AE$21+M829*$AE$22+N829*$AE$23+O829*$AE$24+P829*$AE$25+Q829*$AE$26+R829*$AE$27+S829*$AE$28+T829*$AE$29+U829*$AE$30</f>
        <v/>
      </c>
      <c r="W829" s="8">
        <f>1/(1+EXP(-V829))</f>
        <v/>
      </c>
      <c r="X829" s="9">
        <f>-IF(C829=1,LN(W829),LN(1-W829))</f>
        <v/>
      </c>
      <c r="Y829" s="8">
        <f>1</f>
        <v/>
      </c>
      <c r="Z829" s="9">
        <f>Y829*X829</f>
        <v/>
      </c>
      <c r="AA829" s="10">
        <f>IF(W829&gt;$AE$32,1,0)</f>
        <v/>
      </c>
      <c r="AB829">
        <f>IF(AA829=C829,1,0)</f>
        <v/>
      </c>
    </row>
    <row r="830">
      <c r="A830">
        <f>'1 datos preparados'!A823</f>
        <v/>
      </c>
      <c r="B830" s="5">
        <f>'1 datos preparados'!U823</f>
        <v/>
      </c>
      <c r="C830">
        <f>'1 datos preparados'!B823</f>
        <v/>
      </c>
      <c r="D830" s="7">
        <f>'1 datos preparados'!C823</f>
        <v/>
      </c>
      <c r="E830" s="7">
        <f>'1 datos preparados'!D823</f>
        <v/>
      </c>
      <c r="F830" s="7">
        <f>'1 datos preparados'!E823</f>
        <v/>
      </c>
      <c r="G830" s="7">
        <f>'1 datos preparados'!F823</f>
        <v/>
      </c>
      <c r="H830" s="7">
        <f>'1 datos preparados'!G823</f>
        <v/>
      </c>
      <c r="I830" s="7">
        <f>'1 datos preparados'!H823</f>
        <v/>
      </c>
      <c r="J830" s="7">
        <f>'1 datos preparados'!I823</f>
        <v/>
      </c>
      <c r="K830" s="7">
        <f>'1 datos preparados'!J823</f>
        <v/>
      </c>
      <c r="L830" s="7">
        <f>'1 datos preparados'!K823</f>
        <v/>
      </c>
      <c r="M830" s="7">
        <f>'1 datos preparados'!L823</f>
        <v/>
      </c>
      <c r="N830" s="7">
        <f>'1 datos preparados'!M823</f>
        <v/>
      </c>
      <c r="O830" s="7">
        <f>'1 datos preparados'!N823</f>
        <v/>
      </c>
      <c r="P830" s="7">
        <f>'1 datos preparados'!O823</f>
        <v/>
      </c>
      <c r="Q830" s="7">
        <f>'1 datos preparados'!P823</f>
        <v/>
      </c>
      <c r="R830" s="7">
        <f>'1 datos preparados'!Q823</f>
        <v/>
      </c>
      <c r="S830" s="7">
        <f>'1 datos preparados'!R823</f>
        <v/>
      </c>
      <c r="T830" s="7">
        <f>'1 datos preparados'!S823</f>
        <v/>
      </c>
      <c r="U830" s="7">
        <f>'1 datos preparados'!T823</f>
        <v/>
      </c>
      <c r="V830" s="8">
        <f>$AE$12+D830*$AE$13+E830*$AE$14+F830*$AE$15+G830*$AE$16+H830*$AE$17+I830*$AE$18+J830*$AE$19+K830*$AE$20+L830*$AE$21+M830*$AE$22+N830*$AE$23+O830*$AE$24+P830*$AE$25+Q830*$AE$26+R830*$AE$27+S830*$AE$28+T830*$AE$29+U830*$AE$30</f>
        <v/>
      </c>
      <c r="W830" s="8">
        <f>1/(1+EXP(-V830))</f>
        <v/>
      </c>
      <c r="X830" s="9">
        <f>-IF(C830=1,LN(W830),LN(1-W830))</f>
        <v/>
      </c>
      <c r="Y830" s="8">
        <f>1</f>
        <v/>
      </c>
      <c r="Z830" s="9">
        <f>Y830*X830</f>
        <v/>
      </c>
      <c r="AA830" s="10">
        <f>IF(W830&gt;$AE$32,1,0)</f>
        <v/>
      </c>
      <c r="AB830">
        <f>IF(AA830=C830,1,0)</f>
        <v/>
      </c>
    </row>
    <row r="831">
      <c r="A831">
        <f>'1 datos preparados'!A824</f>
        <v/>
      </c>
      <c r="B831" s="5">
        <f>'1 datos preparados'!U824</f>
        <v/>
      </c>
      <c r="C831">
        <f>'1 datos preparados'!B824</f>
        <v/>
      </c>
      <c r="D831" s="7">
        <f>'1 datos preparados'!C824</f>
        <v/>
      </c>
      <c r="E831" s="7">
        <f>'1 datos preparados'!D824</f>
        <v/>
      </c>
      <c r="F831" s="7">
        <f>'1 datos preparados'!E824</f>
        <v/>
      </c>
      <c r="G831" s="7">
        <f>'1 datos preparados'!F824</f>
        <v/>
      </c>
      <c r="H831" s="7">
        <f>'1 datos preparados'!G824</f>
        <v/>
      </c>
      <c r="I831" s="7">
        <f>'1 datos preparados'!H824</f>
        <v/>
      </c>
      <c r="J831" s="7">
        <f>'1 datos preparados'!I824</f>
        <v/>
      </c>
      <c r="K831" s="7">
        <f>'1 datos preparados'!J824</f>
        <v/>
      </c>
      <c r="L831" s="7">
        <f>'1 datos preparados'!K824</f>
        <v/>
      </c>
      <c r="M831" s="7">
        <f>'1 datos preparados'!L824</f>
        <v/>
      </c>
      <c r="N831" s="7">
        <f>'1 datos preparados'!M824</f>
        <v/>
      </c>
      <c r="O831" s="7">
        <f>'1 datos preparados'!N824</f>
        <v/>
      </c>
      <c r="P831" s="7">
        <f>'1 datos preparados'!O824</f>
        <v/>
      </c>
      <c r="Q831" s="7">
        <f>'1 datos preparados'!P824</f>
        <v/>
      </c>
      <c r="R831" s="7">
        <f>'1 datos preparados'!Q824</f>
        <v/>
      </c>
      <c r="S831" s="7">
        <f>'1 datos preparados'!R824</f>
        <v/>
      </c>
      <c r="T831" s="7">
        <f>'1 datos preparados'!S824</f>
        <v/>
      </c>
      <c r="U831" s="7">
        <f>'1 datos preparados'!T824</f>
        <v/>
      </c>
      <c r="V831" s="8">
        <f>$AE$12+D831*$AE$13+E831*$AE$14+F831*$AE$15+G831*$AE$16+H831*$AE$17+I831*$AE$18+J831*$AE$19+K831*$AE$20+L831*$AE$21+M831*$AE$22+N831*$AE$23+O831*$AE$24+P831*$AE$25+Q831*$AE$26+R831*$AE$27+S831*$AE$28+T831*$AE$29+U831*$AE$30</f>
        <v/>
      </c>
      <c r="W831" s="8">
        <f>1/(1+EXP(-V831))</f>
        <v/>
      </c>
      <c r="X831" s="9">
        <f>-IF(C831=1,LN(W831),LN(1-W831))</f>
        <v/>
      </c>
      <c r="Y831" s="8">
        <f>1</f>
        <v/>
      </c>
      <c r="Z831" s="9">
        <f>Y831*X831</f>
        <v/>
      </c>
      <c r="AA831" s="10">
        <f>IF(W831&gt;$AE$32,1,0)</f>
        <v/>
      </c>
      <c r="AB831">
        <f>IF(AA831=C831,1,0)</f>
        <v/>
      </c>
    </row>
    <row r="832">
      <c r="A832">
        <f>'1 datos preparados'!A825</f>
        <v/>
      </c>
      <c r="B832" s="5">
        <f>'1 datos preparados'!U825</f>
        <v/>
      </c>
      <c r="C832">
        <f>'1 datos preparados'!B825</f>
        <v/>
      </c>
      <c r="D832" s="7">
        <f>'1 datos preparados'!C825</f>
        <v/>
      </c>
      <c r="E832" s="7">
        <f>'1 datos preparados'!D825</f>
        <v/>
      </c>
      <c r="F832" s="7">
        <f>'1 datos preparados'!E825</f>
        <v/>
      </c>
      <c r="G832" s="7">
        <f>'1 datos preparados'!F825</f>
        <v/>
      </c>
      <c r="H832" s="7">
        <f>'1 datos preparados'!G825</f>
        <v/>
      </c>
      <c r="I832" s="7">
        <f>'1 datos preparados'!H825</f>
        <v/>
      </c>
      <c r="J832" s="7">
        <f>'1 datos preparados'!I825</f>
        <v/>
      </c>
      <c r="K832" s="7">
        <f>'1 datos preparados'!J825</f>
        <v/>
      </c>
      <c r="L832" s="7">
        <f>'1 datos preparados'!K825</f>
        <v/>
      </c>
      <c r="M832" s="7">
        <f>'1 datos preparados'!L825</f>
        <v/>
      </c>
      <c r="N832" s="7">
        <f>'1 datos preparados'!M825</f>
        <v/>
      </c>
      <c r="O832" s="7">
        <f>'1 datos preparados'!N825</f>
        <v/>
      </c>
      <c r="P832" s="7">
        <f>'1 datos preparados'!O825</f>
        <v/>
      </c>
      <c r="Q832" s="7">
        <f>'1 datos preparados'!P825</f>
        <v/>
      </c>
      <c r="R832" s="7">
        <f>'1 datos preparados'!Q825</f>
        <v/>
      </c>
      <c r="S832" s="7">
        <f>'1 datos preparados'!R825</f>
        <v/>
      </c>
      <c r="T832" s="7">
        <f>'1 datos preparados'!S825</f>
        <v/>
      </c>
      <c r="U832" s="7">
        <f>'1 datos preparados'!T825</f>
        <v/>
      </c>
      <c r="V832" s="8">
        <f>$AE$12+D832*$AE$13+E832*$AE$14+F832*$AE$15+G832*$AE$16+H832*$AE$17+I832*$AE$18+J832*$AE$19+K832*$AE$20+L832*$AE$21+M832*$AE$22+N832*$AE$23+O832*$AE$24+P832*$AE$25+Q832*$AE$26+R832*$AE$27+S832*$AE$28+T832*$AE$29+U832*$AE$30</f>
        <v/>
      </c>
      <c r="W832" s="8">
        <f>1/(1+EXP(-V832))</f>
        <v/>
      </c>
      <c r="X832" s="9">
        <f>-IF(C832=1,LN(W832),LN(1-W832))</f>
        <v/>
      </c>
      <c r="Y832" s="8">
        <f>1</f>
        <v/>
      </c>
      <c r="Z832" s="9">
        <f>Y832*X832</f>
        <v/>
      </c>
      <c r="AA832" s="10">
        <f>IF(W832&gt;$AE$32,1,0)</f>
        <v/>
      </c>
      <c r="AB832">
        <f>IF(AA832=C832,1,0)</f>
        <v/>
      </c>
    </row>
    <row r="833">
      <c r="A833">
        <f>'1 datos preparados'!A826</f>
        <v/>
      </c>
      <c r="B833" s="5">
        <f>'1 datos preparados'!U826</f>
        <v/>
      </c>
      <c r="C833">
        <f>'1 datos preparados'!B826</f>
        <v/>
      </c>
      <c r="D833" s="7">
        <f>'1 datos preparados'!C826</f>
        <v/>
      </c>
      <c r="E833" s="7">
        <f>'1 datos preparados'!D826</f>
        <v/>
      </c>
      <c r="F833" s="7">
        <f>'1 datos preparados'!E826</f>
        <v/>
      </c>
      <c r="G833" s="7">
        <f>'1 datos preparados'!F826</f>
        <v/>
      </c>
      <c r="H833" s="7">
        <f>'1 datos preparados'!G826</f>
        <v/>
      </c>
      <c r="I833" s="7">
        <f>'1 datos preparados'!H826</f>
        <v/>
      </c>
      <c r="J833" s="7">
        <f>'1 datos preparados'!I826</f>
        <v/>
      </c>
      <c r="K833" s="7">
        <f>'1 datos preparados'!J826</f>
        <v/>
      </c>
      <c r="L833" s="7">
        <f>'1 datos preparados'!K826</f>
        <v/>
      </c>
      <c r="M833" s="7">
        <f>'1 datos preparados'!L826</f>
        <v/>
      </c>
      <c r="N833" s="7">
        <f>'1 datos preparados'!M826</f>
        <v/>
      </c>
      <c r="O833" s="7">
        <f>'1 datos preparados'!N826</f>
        <v/>
      </c>
      <c r="P833" s="7">
        <f>'1 datos preparados'!O826</f>
        <v/>
      </c>
      <c r="Q833" s="7">
        <f>'1 datos preparados'!P826</f>
        <v/>
      </c>
      <c r="R833" s="7">
        <f>'1 datos preparados'!Q826</f>
        <v/>
      </c>
      <c r="S833" s="7">
        <f>'1 datos preparados'!R826</f>
        <v/>
      </c>
      <c r="T833" s="7">
        <f>'1 datos preparados'!S826</f>
        <v/>
      </c>
      <c r="U833" s="7">
        <f>'1 datos preparados'!T826</f>
        <v/>
      </c>
      <c r="V833" s="8">
        <f>$AE$12+D833*$AE$13+E833*$AE$14+F833*$AE$15+G833*$AE$16+H833*$AE$17+I833*$AE$18+J833*$AE$19+K833*$AE$20+L833*$AE$21+M833*$AE$22+N833*$AE$23+O833*$AE$24+P833*$AE$25+Q833*$AE$26+R833*$AE$27+S833*$AE$28+T833*$AE$29+U833*$AE$30</f>
        <v/>
      </c>
      <c r="W833" s="8">
        <f>1/(1+EXP(-V833))</f>
        <v/>
      </c>
      <c r="X833" s="9">
        <f>-IF(C833=1,LN(W833),LN(1-W833))</f>
        <v/>
      </c>
      <c r="Y833" s="8">
        <f>1</f>
        <v/>
      </c>
      <c r="Z833" s="9">
        <f>Y833*X833</f>
        <v/>
      </c>
      <c r="AA833" s="10">
        <f>IF(W833&gt;$AE$32,1,0)</f>
        <v/>
      </c>
      <c r="AB833">
        <f>IF(AA833=C833,1,0)</f>
        <v/>
      </c>
    </row>
    <row r="834">
      <c r="A834">
        <f>'1 datos preparados'!A827</f>
        <v/>
      </c>
      <c r="B834" s="5">
        <f>'1 datos preparados'!U827</f>
        <v/>
      </c>
      <c r="C834">
        <f>'1 datos preparados'!B827</f>
        <v/>
      </c>
      <c r="D834" s="7">
        <f>'1 datos preparados'!C827</f>
        <v/>
      </c>
      <c r="E834" s="7">
        <f>'1 datos preparados'!D827</f>
        <v/>
      </c>
      <c r="F834" s="7">
        <f>'1 datos preparados'!E827</f>
        <v/>
      </c>
      <c r="G834" s="7">
        <f>'1 datos preparados'!F827</f>
        <v/>
      </c>
      <c r="H834" s="7">
        <f>'1 datos preparados'!G827</f>
        <v/>
      </c>
      <c r="I834" s="7">
        <f>'1 datos preparados'!H827</f>
        <v/>
      </c>
      <c r="J834" s="7">
        <f>'1 datos preparados'!I827</f>
        <v/>
      </c>
      <c r="K834" s="7">
        <f>'1 datos preparados'!J827</f>
        <v/>
      </c>
      <c r="L834" s="7">
        <f>'1 datos preparados'!K827</f>
        <v/>
      </c>
      <c r="M834" s="7">
        <f>'1 datos preparados'!L827</f>
        <v/>
      </c>
      <c r="N834" s="7">
        <f>'1 datos preparados'!M827</f>
        <v/>
      </c>
      <c r="O834" s="7">
        <f>'1 datos preparados'!N827</f>
        <v/>
      </c>
      <c r="P834" s="7">
        <f>'1 datos preparados'!O827</f>
        <v/>
      </c>
      <c r="Q834" s="7">
        <f>'1 datos preparados'!P827</f>
        <v/>
      </c>
      <c r="R834" s="7">
        <f>'1 datos preparados'!Q827</f>
        <v/>
      </c>
      <c r="S834" s="7">
        <f>'1 datos preparados'!R827</f>
        <v/>
      </c>
      <c r="T834" s="7">
        <f>'1 datos preparados'!S827</f>
        <v/>
      </c>
      <c r="U834" s="7">
        <f>'1 datos preparados'!T827</f>
        <v/>
      </c>
      <c r="V834" s="8">
        <f>$AE$12+D834*$AE$13+E834*$AE$14+F834*$AE$15+G834*$AE$16+H834*$AE$17+I834*$AE$18+J834*$AE$19+K834*$AE$20+L834*$AE$21+M834*$AE$22+N834*$AE$23+O834*$AE$24+P834*$AE$25+Q834*$AE$26+R834*$AE$27+S834*$AE$28+T834*$AE$29+U834*$AE$30</f>
        <v/>
      </c>
      <c r="W834" s="8">
        <f>1/(1+EXP(-V834))</f>
        <v/>
      </c>
      <c r="X834" s="9">
        <f>-IF(C834=1,LN(W834),LN(1-W834))</f>
        <v/>
      </c>
      <c r="Y834" s="8">
        <f>1</f>
        <v/>
      </c>
      <c r="Z834" s="9">
        <f>Y834*X834</f>
        <v/>
      </c>
      <c r="AA834" s="10">
        <f>IF(W834&gt;$AE$32,1,0)</f>
        <v/>
      </c>
      <c r="AB834">
        <f>IF(AA834=C834,1,0)</f>
        <v/>
      </c>
    </row>
    <row r="835">
      <c r="A835">
        <f>'1 datos preparados'!A828</f>
        <v/>
      </c>
      <c r="B835" s="5">
        <f>'1 datos preparados'!U828</f>
        <v/>
      </c>
      <c r="C835">
        <f>'1 datos preparados'!B828</f>
        <v/>
      </c>
      <c r="D835" s="7">
        <f>'1 datos preparados'!C828</f>
        <v/>
      </c>
      <c r="E835" s="7">
        <f>'1 datos preparados'!D828</f>
        <v/>
      </c>
      <c r="F835" s="7">
        <f>'1 datos preparados'!E828</f>
        <v/>
      </c>
      <c r="G835" s="7">
        <f>'1 datos preparados'!F828</f>
        <v/>
      </c>
      <c r="H835" s="7">
        <f>'1 datos preparados'!G828</f>
        <v/>
      </c>
      <c r="I835" s="7">
        <f>'1 datos preparados'!H828</f>
        <v/>
      </c>
      <c r="J835" s="7">
        <f>'1 datos preparados'!I828</f>
        <v/>
      </c>
      <c r="K835" s="7">
        <f>'1 datos preparados'!J828</f>
        <v/>
      </c>
      <c r="L835" s="7">
        <f>'1 datos preparados'!K828</f>
        <v/>
      </c>
      <c r="M835" s="7">
        <f>'1 datos preparados'!L828</f>
        <v/>
      </c>
      <c r="N835" s="7">
        <f>'1 datos preparados'!M828</f>
        <v/>
      </c>
      <c r="O835" s="7">
        <f>'1 datos preparados'!N828</f>
        <v/>
      </c>
      <c r="P835" s="7">
        <f>'1 datos preparados'!O828</f>
        <v/>
      </c>
      <c r="Q835" s="7">
        <f>'1 datos preparados'!P828</f>
        <v/>
      </c>
      <c r="R835" s="7">
        <f>'1 datos preparados'!Q828</f>
        <v/>
      </c>
      <c r="S835" s="7">
        <f>'1 datos preparados'!R828</f>
        <v/>
      </c>
      <c r="T835" s="7">
        <f>'1 datos preparados'!S828</f>
        <v/>
      </c>
      <c r="U835" s="7">
        <f>'1 datos preparados'!T828</f>
        <v/>
      </c>
      <c r="V835" s="8">
        <f>$AE$12+D835*$AE$13+E835*$AE$14+F835*$AE$15+G835*$AE$16+H835*$AE$17+I835*$AE$18+J835*$AE$19+K835*$AE$20+L835*$AE$21+M835*$AE$22+N835*$AE$23+O835*$AE$24+P835*$AE$25+Q835*$AE$26+R835*$AE$27+S835*$AE$28+T835*$AE$29+U835*$AE$30</f>
        <v/>
      </c>
      <c r="W835" s="8">
        <f>1/(1+EXP(-V835))</f>
        <v/>
      </c>
      <c r="X835" s="9">
        <f>-IF(C835=1,LN(W835),LN(1-W835))</f>
        <v/>
      </c>
      <c r="Y835" s="8">
        <f>1</f>
        <v/>
      </c>
      <c r="Z835" s="9">
        <f>Y835*X835</f>
        <v/>
      </c>
      <c r="AA835" s="10">
        <f>IF(W835&gt;$AE$32,1,0)</f>
        <v/>
      </c>
      <c r="AB835">
        <f>IF(AA835=C835,1,0)</f>
        <v/>
      </c>
    </row>
    <row r="836">
      <c r="A836">
        <f>'1 datos preparados'!A829</f>
        <v/>
      </c>
      <c r="B836" s="5">
        <f>'1 datos preparados'!U829</f>
        <v/>
      </c>
      <c r="C836">
        <f>'1 datos preparados'!B829</f>
        <v/>
      </c>
      <c r="D836" s="7">
        <f>'1 datos preparados'!C829</f>
        <v/>
      </c>
      <c r="E836" s="7">
        <f>'1 datos preparados'!D829</f>
        <v/>
      </c>
      <c r="F836" s="7">
        <f>'1 datos preparados'!E829</f>
        <v/>
      </c>
      <c r="G836" s="7">
        <f>'1 datos preparados'!F829</f>
        <v/>
      </c>
      <c r="H836" s="7">
        <f>'1 datos preparados'!G829</f>
        <v/>
      </c>
      <c r="I836" s="7">
        <f>'1 datos preparados'!H829</f>
        <v/>
      </c>
      <c r="J836" s="7">
        <f>'1 datos preparados'!I829</f>
        <v/>
      </c>
      <c r="K836" s="7">
        <f>'1 datos preparados'!J829</f>
        <v/>
      </c>
      <c r="L836" s="7">
        <f>'1 datos preparados'!K829</f>
        <v/>
      </c>
      <c r="M836" s="7">
        <f>'1 datos preparados'!L829</f>
        <v/>
      </c>
      <c r="N836" s="7">
        <f>'1 datos preparados'!M829</f>
        <v/>
      </c>
      <c r="O836" s="7">
        <f>'1 datos preparados'!N829</f>
        <v/>
      </c>
      <c r="P836" s="7">
        <f>'1 datos preparados'!O829</f>
        <v/>
      </c>
      <c r="Q836" s="7">
        <f>'1 datos preparados'!P829</f>
        <v/>
      </c>
      <c r="R836" s="7">
        <f>'1 datos preparados'!Q829</f>
        <v/>
      </c>
      <c r="S836" s="7">
        <f>'1 datos preparados'!R829</f>
        <v/>
      </c>
      <c r="T836" s="7">
        <f>'1 datos preparados'!S829</f>
        <v/>
      </c>
      <c r="U836" s="7">
        <f>'1 datos preparados'!T829</f>
        <v/>
      </c>
      <c r="V836" s="8">
        <f>$AE$12+D836*$AE$13+E836*$AE$14+F836*$AE$15+G836*$AE$16+H836*$AE$17+I836*$AE$18+J836*$AE$19+K836*$AE$20+L836*$AE$21+M836*$AE$22+N836*$AE$23+O836*$AE$24+P836*$AE$25+Q836*$AE$26+R836*$AE$27+S836*$AE$28+T836*$AE$29+U836*$AE$30</f>
        <v/>
      </c>
      <c r="W836" s="8">
        <f>1/(1+EXP(-V836))</f>
        <v/>
      </c>
      <c r="X836" s="9">
        <f>-IF(C836=1,LN(W836),LN(1-W836))</f>
        <v/>
      </c>
      <c r="Y836" s="8">
        <f>1</f>
        <v/>
      </c>
      <c r="Z836" s="9">
        <f>Y836*X836</f>
        <v/>
      </c>
      <c r="AA836" s="10">
        <f>IF(W836&gt;$AE$32,1,0)</f>
        <v/>
      </c>
      <c r="AB836">
        <f>IF(AA836=C836,1,0)</f>
        <v/>
      </c>
    </row>
    <row r="837">
      <c r="A837">
        <f>'1 datos preparados'!A830</f>
        <v/>
      </c>
      <c r="B837" s="5">
        <f>'1 datos preparados'!U830</f>
        <v/>
      </c>
      <c r="C837">
        <f>'1 datos preparados'!B830</f>
        <v/>
      </c>
      <c r="D837" s="7">
        <f>'1 datos preparados'!C830</f>
        <v/>
      </c>
      <c r="E837" s="7">
        <f>'1 datos preparados'!D830</f>
        <v/>
      </c>
      <c r="F837" s="7">
        <f>'1 datos preparados'!E830</f>
        <v/>
      </c>
      <c r="G837" s="7">
        <f>'1 datos preparados'!F830</f>
        <v/>
      </c>
      <c r="H837" s="7">
        <f>'1 datos preparados'!G830</f>
        <v/>
      </c>
      <c r="I837" s="7">
        <f>'1 datos preparados'!H830</f>
        <v/>
      </c>
      <c r="J837" s="7">
        <f>'1 datos preparados'!I830</f>
        <v/>
      </c>
      <c r="K837" s="7">
        <f>'1 datos preparados'!J830</f>
        <v/>
      </c>
      <c r="L837" s="7">
        <f>'1 datos preparados'!K830</f>
        <v/>
      </c>
      <c r="M837" s="7">
        <f>'1 datos preparados'!L830</f>
        <v/>
      </c>
      <c r="N837" s="7">
        <f>'1 datos preparados'!M830</f>
        <v/>
      </c>
      <c r="O837" s="7">
        <f>'1 datos preparados'!N830</f>
        <v/>
      </c>
      <c r="P837" s="7">
        <f>'1 datos preparados'!O830</f>
        <v/>
      </c>
      <c r="Q837" s="7">
        <f>'1 datos preparados'!P830</f>
        <v/>
      </c>
      <c r="R837" s="7">
        <f>'1 datos preparados'!Q830</f>
        <v/>
      </c>
      <c r="S837" s="7">
        <f>'1 datos preparados'!R830</f>
        <v/>
      </c>
      <c r="T837" s="7">
        <f>'1 datos preparados'!S830</f>
        <v/>
      </c>
      <c r="U837" s="7">
        <f>'1 datos preparados'!T830</f>
        <v/>
      </c>
      <c r="V837" s="8">
        <f>$AE$12+D837*$AE$13+E837*$AE$14+F837*$AE$15+G837*$AE$16+H837*$AE$17+I837*$AE$18+J837*$AE$19+K837*$AE$20+L837*$AE$21+M837*$AE$22+N837*$AE$23+O837*$AE$24+P837*$AE$25+Q837*$AE$26+R837*$AE$27+S837*$AE$28+T837*$AE$29+U837*$AE$30</f>
        <v/>
      </c>
      <c r="W837" s="8">
        <f>1/(1+EXP(-V837))</f>
        <v/>
      </c>
      <c r="X837" s="9">
        <f>-IF(C837=1,LN(W837),LN(1-W837))</f>
        <v/>
      </c>
      <c r="Y837" s="8">
        <f>1</f>
        <v/>
      </c>
      <c r="Z837" s="9">
        <f>Y837*X837</f>
        <v/>
      </c>
      <c r="AA837" s="10">
        <f>IF(W837&gt;$AE$32,1,0)</f>
        <v/>
      </c>
      <c r="AB837">
        <f>IF(AA837=C837,1,0)</f>
        <v/>
      </c>
    </row>
    <row r="838">
      <c r="A838">
        <f>'1 datos preparados'!A831</f>
        <v/>
      </c>
      <c r="B838" s="5">
        <f>'1 datos preparados'!U831</f>
        <v/>
      </c>
      <c r="C838">
        <f>'1 datos preparados'!B831</f>
        <v/>
      </c>
      <c r="D838" s="7">
        <f>'1 datos preparados'!C831</f>
        <v/>
      </c>
      <c r="E838" s="7">
        <f>'1 datos preparados'!D831</f>
        <v/>
      </c>
      <c r="F838" s="7">
        <f>'1 datos preparados'!E831</f>
        <v/>
      </c>
      <c r="G838" s="7">
        <f>'1 datos preparados'!F831</f>
        <v/>
      </c>
      <c r="H838" s="7">
        <f>'1 datos preparados'!G831</f>
        <v/>
      </c>
      <c r="I838" s="7">
        <f>'1 datos preparados'!H831</f>
        <v/>
      </c>
      <c r="J838" s="7">
        <f>'1 datos preparados'!I831</f>
        <v/>
      </c>
      <c r="K838" s="7">
        <f>'1 datos preparados'!J831</f>
        <v/>
      </c>
      <c r="L838" s="7">
        <f>'1 datos preparados'!K831</f>
        <v/>
      </c>
      <c r="M838" s="7">
        <f>'1 datos preparados'!L831</f>
        <v/>
      </c>
      <c r="N838" s="7">
        <f>'1 datos preparados'!M831</f>
        <v/>
      </c>
      <c r="O838" s="7">
        <f>'1 datos preparados'!N831</f>
        <v/>
      </c>
      <c r="P838" s="7">
        <f>'1 datos preparados'!O831</f>
        <v/>
      </c>
      <c r="Q838" s="7">
        <f>'1 datos preparados'!P831</f>
        <v/>
      </c>
      <c r="R838" s="7">
        <f>'1 datos preparados'!Q831</f>
        <v/>
      </c>
      <c r="S838" s="7">
        <f>'1 datos preparados'!R831</f>
        <v/>
      </c>
      <c r="T838" s="7">
        <f>'1 datos preparados'!S831</f>
        <v/>
      </c>
      <c r="U838" s="7">
        <f>'1 datos preparados'!T831</f>
        <v/>
      </c>
      <c r="V838" s="8">
        <f>$AE$12+D838*$AE$13+E838*$AE$14+F838*$AE$15+G838*$AE$16+H838*$AE$17+I838*$AE$18+J838*$AE$19+K838*$AE$20+L838*$AE$21+M838*$AE$22+N838*$AE$23+O838*$AE$24+P838*$AE$25+Q838*$AE$26+R838*$AE$27+S838*$AE$28+T838*$AE$29+U838*$AE$30</f>
        <v/>
      </c>
      <c r="W838" s="8">
        <f>1/(1+EXP(-V838))</f>
        <v/>
      </c>
      <c r="X838" s="9">
        <f>-IF(C838=1,LN(W838),LN(1-W838))</f>
        <v/>
      </c>
      <c r="Y838" s="8">
        <f>1</f>
        <v/>
      </c>
      <c r="Z838" s="9">
        <f>Y838*X838</f>
        <v/>
      </c>
      <c r="AA838" s="10">
        <f>IF(W838&gt;$AE$32,1,0)</f>
        <v/>
      </c>
      <c r="AB838">
        <f>IF(AA838=C838,1,0)</f>
        <v/>
      </c>
    </row>
    <row r="839">
      <c r="A839">
        <f>'1 datos preparados'!A832</f>
        <v/>
      </c>
      <c r="B839" s="5">
        <f>'1 datos preparados'!U832</f>
        <v/>
      </c>
      <c r="C839">
        <f>'1 datos preparados'!B832</f>
        <v/>
      </c>
      <c r="D839" s="7">
        <f>'1 datos preparados'!C832</f>
        <v/>
      </c>
      <c r="E839" s="7">
        <f>'1 datos preparados'!D832</f>
        <v/>
      </c>
      <c r="F839" s="7">
        <f>'1 datos preparados'!E832</f>
        <v/>
      </c>
      <c r="G839" s="7">
        <f>'1 datos preparados'!F832</f>
        <v/>
      </c>
      <c r="H839" s="7">
        <f>'1 datos preparados'!G832</f>
        <v/>
      </c>
      <c r="I839" s="7">
        <f>'1 datos preparados'!H832</f>
        <v/>
      </c>
      <c r="J839" s="7">
        <f>'1 datos preparados'!I832</f>
        <v/>
      </c>
      <c r="K839" s="7">
        <f>'1 datos preparados'!J832</f>
        <v/>
      </c>
      <c r="L839" s="7">
        <f>'1 datos preparados'!K832</f>
        <v/>
      </c>
      <c r="M839" s="7">
        <f>'1 datos preparados'!L832</f>
        <v/>
      </c>
      <c r="N839" s="7">
        <f>'1 datos preparados'!M832</f>
        <v/>
      </c>
      <c r="O839" s="7">
        <f>'1 datos preparados'!N832</f>
        <v/>
      </c>
      <c r="P839" s="7">
        <f>'1 datos preparados'!O832</f>
        <v/>
      </c>
      <c r="Q839" s="7">
        <f>'1 datos preparados'!P832</f>
        <v/>
      </c>
      <c r="R839" s="7">
        <f>'1 datos preparados'!Q832</f>
        <v/>
      </c>
      <c r="S839" s="7">
        <f>'1 datos preparados'!R832</f>
        <v/>
      </c>
      <c r="T839" s="7">
        <f>'1 datos preparados'!S832</f>
        <v/>
      </c>
      <c r="U839" s="7">
        <f>'1 datos preparados'!T832</f>
        <v/>
      </c>
      <c r="V839" s="8">
        <f>$AE$12+D839*$AE$13+E839*$AE$14+F839*$AE$15+G839*$AE$16+H839*$AE$17+I839*$AE$18+J839*$AE$19+K839*$AE$20+L839*$AE$21+M839*$AE$22+N839*$AE$23+O839*$AE$24+P839*$AE$25+Q839*$AE$26+R839*$AE$27+S839*$AE$28+T839*$AE$29+U839*$AE$30</f>
        <v/>
      </c>
      <c r="W839" s="8">
        <f>1/(1+EXP(-V839))</f>
        <v/>
      </c>
      <c r="X839" s="9">
        <f>-IF(C839=1,LN(W839),LN(1-W839))</f>
        <v/>
      </c>
      <c r="Y839" s="8">
        <f>1</f>
        <v/>
      </c>
      <c r="Z839" s="9">
        <f>Y839*X839</f>
        <v/>
      </c>
      <c r="AA839" s="10">
        <f>IF(W839&gt;$AE$32,1,0)</f>
        <v/>
      </c>
      <c r="AB839">
        <f>IF(AA839=C839,1,0)</f>
        <v/>
      </c>
    </row>
    <row r="840">
      <c r="A840">
        <f>'1 datos preparados'!A833</f>
        <v/>
      </c>
      <c r="B840" s="5">
        <f>'1 datos preparados'!U833</f>
        <v/>
      </c>
      <c r="C840">
        <f>'1 datos preparados'!B833</f>
        <v/>
      </c>
      <c r="D840" s="7">
        <f>'1 datos preparados'!C833</f>
        <v/>
      </c>
      <c r="E840" s="7">
        <f>'1 datos preparados'!D833</f>
        <v/>
      </c>
      <c r="F840" s="7">
        <f>'1 datos preparados'!E833</f>
        <v/>
      </c>
      <c r="G840" s="7">
        <f>'1 datos preparados'!F833</f>
        <v/>
      </c>
      <c r="H840" s="7">
        <f>'1 datos preparados'!G833</f>
        <v/>
      </c>
      <c r="I840" s="7">
        <f>'1 datos preparados'!H833</f>
        <v/>
      </c>
      <c r="J840" s="7">
        <f>'1 datos preparados'!I833</f>
        <v/>
      </c>
      <c r="K840" s="7">
        <f>'1 datos preparados'!J833</f>
        <v/>
      </c>
      <c r="L840" s="7">
        <f>'1 datos preparados'!K833</f>
        <v/>
      </c>
      <c r="M840" s="7">
        <f>'1 datos preparados'!L833</f>
        <v/>
      </c>
      <c r="N840" s="7">
        <f>'1 datos preparados'!M833</f>
        <v/>
      </c>
      <c r="O840" s="7">
        <f>'1 datos preparados'!N833</f>
        <v/>
      </c>
      <c r="P840" s="7">
        <f>'1 datos preparados'!O833</f>
        <v/>
      </c>
      <c r="Q840" s="7">
        <f>'1 datos preparados'!P833</f>
        <v/>
      </c>
      <c r="R840" s="7">
        <f>'1 datos preparados'!Q833</f>
        <v/>
      </c>
      <c r="S840" s="7">
        <f>'1 datos preparados'!R833</f>
        <v/>
      </c>
      <c r="T840" s="7">
        <f>'1 datos preparados'!S833</f>
        <v/>
      </c>
      <c r="U840" s="7">
        <f>'1 datos preparados'!T833</f>
        <v/>
      </c>
      <c r="V840" s="8">
        <f>$AE$12+D840*$AE$13+E840*$AE$14+F840*$AE$15+G840*$AE$16+H840*$AE$17+I840*$AE$18+J840*$AE$19+K840*$AE$20+L840*$AE$21+M840*$AE$22+N840*$AE$23+O840*$AE$24+P840*$AE$25+Q840*$AE$26+R840*$AE$27+S840*$AE$28+T840*$AE$29+U840*$AE$30</f>
        <v/>
      </c>
      <c r="W840" s="8">
        <f>1/(1+EXP(-V840))</f>
        <v/>
      </c>
      <c r="X840" s="9">
        <f>-IF(C840=1,LN(W840),LN(1-W840))</f>
        <v/>
      </c>
      <c r="Y840" s="8">
        <f>1</f>
        <v/>
      </c>
      <c r="Z840" s="9">
        <f>Y840*X840</f>
        <v/>
      </c>
      <c r="AA840" s="10">
        <f>IF(W840&gt;$AE$32,1,0)</f>
        <v/>
      </c>
      <c r="AB840">
        <f>IF(AA840=C840,1,0)</f>
        <v/>
      </c>
    </row>
    <row r="841">
      <c r="A841">
        <f>'1 datos preparados'!A834</f>
        <v/>
      </c>
      <c r="B841" s="5">
        <f>'1 datos preparados'!U834</f>
        <v/>
      </c>
      <c r="C841">
        <f>'1 datos preparados'!B834</f>
        <v/>
      </c>
      <c r="D841" s="7">
        <f>'1 datos preparados'!C834</f>
        <v/>
      </c>
      <c r="E841" s="7">
        <f>'1 datos preparados'!D834</f>
        <v/>
      </c>
      <c r="F841" s="7">
        <f>'1 datos preparados'!E834</f>
        <v/>
      </c>
      <c r="G841" s="7">
        <f>'1 datos preparados'!F834</f>
        <v/>
      </c>
      <c r="H841" s="7">
        <f>'1 datos preparados'!G834</f>
        <v/>
      </c>
      <c r="I841" s="7">
        <f>'1 datos preparados'!H834</f>
        <v/>
      </c>
      <c r="J841" s="7">
        <f>'1 datos preparados'!I834</f>
        <v/>
      </c>
      <c r="K841" s="7">
        <f>'1 datos preparados'!J834</f>
        <v/>
      </c>
      <c r="L841" s="7">
        <f>'1 datos preparados'!K834</f>
        <v/>
      </c>
      <c r="M841" s="7">
        <f>'1 datos preparados'!L834</f>
        <v/>
      </c>
      <c r="N841" s="7">
        <f>'1 datos preparados'!M834</f>
        <v/>
      </c>
      <c r="O841" s="7">
        <f>'1 datos preparados'!N834</f>
        <v/>
      </c>
      <c r="P841" s="7">
        <f>'1 datos preparados'!O834</f>
        <v/>
      </c>
      <c r="Q841" s="7">
        <f>'1 datos preparados'!P834</f>
        <v/>
      </c>
      <c r="R841" s="7">
        <f>'1 datos preparados'!Q834</f>
        <v/>
      </c>
      <c r="S841" s="7">
        <f>'1 datos preparados'!R834</f>
        <v/>
      </c>
      <c r="T841" s="7">
        <f>'1 datos preparados'!S834</f>
        <v/>
      </c>
      <c r="U841" s="7">
        <f>'1 datos preparados'!T834</f>
        <v/>
      </c>
      <c r="V841" s="8">
        <f>$AE$12+D841*$AE$13+E841*$AE$14+F841*$AE$15+G841*$AE$16+H841*$AE$17+I841*$AE$18+J841*$AE$19+K841*$AE$20+L841*$AE$21+M841*$AE$22+N841*$AE$23+O841*$AE$24+P841*$AE$25+Q841*$AE$26+R841*$AE$27+S841*$AE$28+T841*$AE$29+U841*$AE$30</f>
        <v/>
      </c>
      <c r="W841" s="8">
        <f>1/(1+EXP(-V841))</f>
        <v/>
      </c>
      <c r="X841" s="9">
        <f>-IF(C841=1,LN(W841),LN(1-W841))</f>
        <v/>
      </c>
      <c r="Y841" s="8">
        <f>1</f>
        <v/>
      </c>
      <c r="Z841" s="9">
        <f>Y841*X841</f>
        <v/>
      </c>
      <c r="AA841" s="10">
        <f>IF(W841&gt;$AE$32,1,0)</f>
        <v/>
      </c>
      <c r="AB841">
        <f>IF(AA841=C841,1,0)</f>
        <v/>
      </c>
    </row>
    <row r="842">
      <c r="A842">
        <f>'1 datos preparados'!A835</f>
        <v/>
      </c>
      <c r="B842" s="5">
        <f>'1 datos preparados'!U835</f>
        <v/>
      </c>
      <c r="C842">
        <f>'1 datos preparados'!B835</f>
        <v/>
      </c>
      <c r="D842" s="7">
        <f>'1 datos preparados'!C835</f>
        <v/>
      </c>
      <c r="E842" s="7">
        <f>'1 datos preparados'!D835</f>
        <v/>
      </c>
      <c r="F842" s="7">
        <f>'1 datos preparados'!E835</f>
        <v/>
      </c>
      <c r="G842" s="7">
        <f>'1 datos preparados'!F835</f>
        <v/>
      </c>
      <c r="H842" s="7">
        <f>'1 datos preparados'!G835</f>
        <v/>
      </c>
      <c r="I842" s="7">
        <f>'1 datos preparados'!H835</f>
        <v/>
      </c>
      <c r="J842" s="7">
        <f>'1 datos preparados'!I835</f>
        <v/>
      </c>
      <c r="K842" s="7">
        <f>'1 datos preparados'!J835</f>
        <v/>
      </c>
      <c r="L842" s="7">
        <f>'1 datos preparados'!K835</f>
        <v/>
      </c>
      <c r="M842" s="7">
        <f>'1 datos preparados'!L835</f>
        <v/>
      </c>
      <c r="N842" s="7">
        <f>'1 datos preparados'!M835</f>
        <v/>
      </c>
      <c r="O842" s="7">
        <f>'1 datos preparados'!N835</f>
        <v/>
      </c>
      <c r="P842" s="7">
        <f>'1 datos preparados'!O835</f>
        <v/>
      </c>
      <c r="Q842" s="7">
        <f>'1 datos preparados'!P835</f>
        <v/>
      </c>
      <c r="R842" s="7">
        <f>'1 datos preparados'!Q835</f>
        <v/>
      </c>
      <c r="S842" s="7">
        <f>'1 datos preparados'!R835</f>
        <v/>
      </c>
      <c r="T842" s="7">
        <f>'1 datos preparados'!S835</f>
        <v/>
      </c>
      <c r="U842" s="7">
        <f>'1 datos preparados'!T835</f>
        <v/>
      </c>
      <c r="V842" s="8">
        <f>$AE$12+D842*$AE$13+E842*$AE$14+F842*$AE$15+G842*$AE$16+H842*$AE$17+I842*$AE$18+J842*$AE$19+K842*$AE$20+L842*$AE$21+M842*$AE$22+N842*$AE$23+O842*$AE$24+P842*$AE$25+Q842*$AE$26+R842*$AE$27+S842*$AE$28+T842*$AE$29+U842*$AE$30</f>
        <v/>
      </c>
      <c r="W842" s="8">
        <f>1/(1+EXP(-V842))</f>
        <v/>
      </c>
      <c r="X842" s="9">
        <f>-IF(C842=1,LN(W842),LN(1-W842))</f>
        <v/>
      </c>
      <c r="Y842" s="8">
        <f>1</f>
        <v/>
      </c>
      <c r="Z842" s="9">
        <f>Y842*X842</f>
        <v/>
      </c>
      <c r="AA842" s="10">
        <f>IF(W842&gt;$AE$32,1,0)</f>
        <v/>
      </c>
      <c r="AB842">
        <f>IF(AA842=C842,1,0)</f>
        <v/>
      </c>
    </row>
    <row r="843">
      <c r="A843">
        <f>'1 datos preparados'!A836</f>
        <v/>
      </c>
      <c r="B843" s="5">
        <f>'1 datos preparados'!U836</f>
        <v/>
      </c>
      <c r="C843">
        <f>'1 datos preparados'!B836</f>
        <v/>
      </c>
      <c r="D843" s="7">
        <f>'1 datos preparados'!C836</f>
        <v/>
      </c>
      <c r="E843" s="7">
        <f>'1 datos preparados'!D836</f>
        <v/>
      </c>
      <c r="F843" s="7">
        <f>'1 datos preparados'!E836</f>
        <v/>
      </c>
      <c r="G843" s="7">
        <f>'1 datos preparados'!F836</f>
        <v/>
      </c>
      <c r="H843" s="7">
        <f>'1 datos preparados'!G836</f>
        <v/>
      </c>
      <c r="I843" s="7">
        <f>'1 datos preparados'!H836</f>
        <v/>
      </c>
      <c r="J843" s="7">
        <f>'1 datos preparados'!I836</f>
        <v/>
      </c>
      <c r="K843" s="7">
        <f>'1 datos preparados'!J836</f>
        <v/>
      </c>
      <c r="L843" s="7">
        <f>'1 datos preparados'!K836</f>
        <v/>
      </c>
      <c r="M843" s="7">
        <f>'1 datos preparados'!L836</f>
        <v/>
      </c>
      <c r="N843" s="7">
        <f>'1 datos preparados'!M836</f>
        <v/>
      </c>
      <c r="O843" s="7">
        <f>'1 datos preparados'!N836</f>
        <v/>
      </c>
      <c r="P843" s="7">
        <f>'1 datos preparados'!O836</f>
        <v/>
      </c>
      <c r="Q843" s="7">
        <f>'1 datos preparados'!P836</f>
        <v/>
      </c>
      <c r="R843" s="7">
        <f>'1 datos preparados'!Q836</f>
        <v/>
      </c>
      <c r="S843" s="7">
        <f>'1 datos preparados'!R836</f>
        <v/>
      </c>
      <c r="T843" s="7">
        <f>'1 datos preparados'!S836</f>
        <v/>
      </c>
      <c r="U843" s="7">
        <f>'1 datos preparados'!T836</f>
        <v/>
      </c>
      <c r="V843" s="8">
        <f>$AE$12+D843*$AE$13+E843*$AE$14+F843*$AE$15+G843*$AE$16+H843*$AE$17+I843*$AE$18+J843*$AE$19+K843*$AE$20+L843*$AE$21+M843*$AE$22+N843*$AE$23+O843*$AE$24+P843*$AE$25+Q843*$AE$26+R843*$AE$27+S843*$AE$28+T843*$AE$29+U843*$AE$30</f>
        <v/>
      </c>
      <c r="W843" s="8">
        <f>1/(1+EXP(-V843))</f>
        <v/>
      </c>
      <c r="X843" s="9">
        <f>-IF(C843=1,LN(W843),LN(1-W843))</f>
        <v/>
      </c>
      <c r="Y843" s="8">
        <f>1</f>
        <v/>
      </c>
      <c r="Z843" s="9">
        <f>Y843*X843</f>
        <v/>
      </c>
      <c r="AA843" s="10">
        <f>IF(W843&gt;$AE$32,1,0)</f>
        <v/>
      </c>
      <c r="AB843">
        <f>IF(AA843=C843,1,0)</f>
        <v/>
      </c>
    </row>
    <row r="844">
      <c r="A844">
        <f>'1 datos preparados'!A837</f>
        <v/>
      </c>
      <c r="B844" s="5">
        <f>'1 datos preparados'!U837</f>
        <v/>
      </c>
      <c r="C844">
        <f>'1 datos preparados'!B837</f>
        <v/>
      </c>
      <c r="D844" s="7">
        <f>'1 datos preparados'!C837</f>
        <v/>
      </c>
      <c r="E844" s="7">
        <f>'1 datos preparados'!D837</f>
        <v/>
      </c>
      <c r="F844" s="7">
        <f>'1 datos preparados'!E837</f>
        <v/>
      </c>
      <c r="G844" s="7">
        <f>'1 datos preparados'!F837</f>
        <v/>
      </c>
      <c r="H844" s="7">
        <f>'1 datos preparados'!G837</f>
        <v/>
      </c>
      <c r="I844" s="7">
        <f>'1 datos preparados'!H837</f>
        <v/>
      </c>
      <c r="J844" s="7">
        <f>'1 datos preparados'!I837</f>
        <v/>
      </c>
      <c r="K844" s="7">
        <f>'1 datos preparados'!J837</f>
        <v/>
      </c>
      <c r="L844" s="7">
        <f>'1 datos preparados'!K837</f>
        <v/>
      </c>
      <c r="M844" s="7">
        <f>'1 datos preparados'!L837</f>
        <v/>
      </c>
      <c r="N844" s="7">
        <f>'1 datos preparados'!M837</f>
        <v/>
      </c>
      <c r="O844" s="7">
        <f>'1 datos preparados'!N837</f>
        <v/>
      </c>
      <c r="P844" s="7">
        <f>'1 datos preparados'!O837</f>
        <v/>
      </c>
      <c r="Q844" s="7">
        <f>'1 datos preparados'!P837</f>
        <v/>
      </c>
      <c r="R844" s="7">
        <f>'1 datos preparados'!Q837</f>
        <v/>
      </c>
      <c r="S844" s="7">
        <f>'1 datos preparados'!R837</f>
        <v/>
      </c>
      <c r="T844" s="7">
        <f>'1 datos preparados'!S837</f>
        <v/>
      </c>
      <c r="U844" s="7">
        <f>'1 datos preparados'!T837</f>
        <v/>
      </c>
      <c r="V844" s="8">
        <f>$AE$12+D844*$AE$13+E844*$AE$14+F844*$AE$15+G844*$AE$16+H844*$AE$17+I844*$AE$18+J844*$AE$19+K844*$AE$20+L844*$AE$21+M844*$AE$22+N844*$AE$23+O844*$AE$24+P844*$AE$25+Q844*$AE$26+R844*$AE$27+S844*$AE$28+T844*$AE$29+U844*$AE$30</f>
        <v/>
      </c>
      <c r="W844" s="8">
        <f>1/(1+EXP(-V844))</f>
        <v/>
      </c>
      <c r="X844" s="9">
        <f>-IF(C844=1,LN(W844),LN(1-W844))</f>
        <v/>
      </c>
      <c r="Y844" s="8">
        <f>1</f>
        <v/>
      </c>
      <c r="Z844" s="9">
        <f>Y844*X844</f>
        <v/>
      </c>
      <c r="AA844" s="10">
        <f>IF(W844&gt;$AE$32,1,0)</f>
        <v/>
      </c>
      <c r="AB844">
        <f>IF(AA844=C844,1,0)</f>
        <v/>
      </c>
    </row>
    <row r="845">
      <c r="A845">
        <f>'1 datos preparados'!A838</f>
        <v/>
      </c>
      <c r="B845" s="5">
        <f>'1 datos preparados'!U838</f>
        <v/>
      </c>
      <c r="C845">
        <f>'1 datos preparados'!B838</f>
        <v/>
      </c>
      <c r="D845" s="7">
        <f>'1 datos preparados'!C838</f>
        <v/>
      </c>
      <c r="E845" s="7">
        <f>'1 datos preparados'!D838</f>
        <v/>
      </c>
      <c r="F845" s="7">
        <f>'1 datos preparados'!E838</f>
        <v/>
      </c>
      <c r="G845" s="7">
        <f>'1 datos preparados'!F838</f>
        <v/>
      </c>
      <c r="H845" s="7">
        <f>'1 datos preparados'!G838</f>
        <v/>
      </c>
      <c r="I845" s="7">
        <f>'1 datos preparados'!H838</f>
        <v/>
      </c>
      <c r="J845" s="7">
        <f>'1 datos preparados'!I838</f>
        <v/>
      </c>
      <c r="K845" s="7">
        <f>'1 datos preparados'!J838</f>
        <v/>
      </c>
      <c r="L845" s="7">
        <f>'1 datos preparados'!K838</f>
        <v/>
      </c>
      <c r="M845" s="7">
        <f>'1 datos preparados'!L838</f>
        <v/>
      </c>
      <c r="N845" s="7">
        <f>'1 datos preparados'!M838</f>
        <v/>
      </c>
      <c r="O845" s="7">
        <f>'1 datos preparados'!N838</f>
        <v/>
      </c>
      <c r="P845" s="7">
        <f>'1 datos preparados'!O838</f>
        <v/>
      </c>
      <c r="Q845" s="7">
        <f>'1 datos preparados'!P838</f>
        <v/>
      </c>
      <c r="R845" s="7">
        <f>'1 datos preparados'!Q838</f>
        <v/>
      </c>
      <c r="S845" s="7">
        <f>'1 datos preparados'!R838</f>
        <v/>
      </c>
      <c r="T845" s="7">
        <f>'1 datos preparados'!S838</f>
        <v/>
      </c>
      <c r="U845" s="7">
        <f>'1 datos preparados'!T838</f>
        <v/>
      </c>
      <c r="V845" s="8">
        <f>$AE$12+D845*$AE$13+E845*$AE$14+F845*$AE$15+G845*$AE$16+H845*$AE$17+I845*$AE$18+J845*$AE$19+K845*$AE$20+L845*$AE$21+M845*$AE$22+N845*$AE$23+O845*$AE$24+P845*$AE$25+Q845*$AE$26+R845*$AE$27+S845*$AE$28+T845*$AE$29+U845*$AE$30</f>
        <v/>
      </c>
      <c r="W845" s="8">
        <f>1/(1+EXP(-V845))</f>
        <v/>
      </c>
      <c r="X845" s="9">
        <f>-IF(C845=1,LN(W845),LN(1-W845))</f>
        <v/>
      </c>
      <c r="Y845" s="8">
        <f>1</f>
        <v/>
      </c>
      <c r="Z845" s="9">
        <f>Y845*X845</f>
        <v/>
      </c>
      <c r="AA845" s="10">
        <f>IF(W845&gt;$AE$32,1,0)</f>
        <v/>
      </c>
      <c r="AB845">
        <f>IF(AA845=C845,1,0)</f>
        <v/>
      </c>
    </row>
    <row r="846">
      <c r="A846">
        <f>'1 datos preparados'!A839</f>
        <v/>
      </c>
      <c r="B846" s="5">
        <f>'1 datos preparados'!U839</f>
        <v/>
      </c>
      <c r="C846">
        <f>'1 datos preparados'!B839</f>
        <v/>
      </c>
      <c r="D846" s="7">
        <f>'1 datos preparados'!C839</f>
        <v/>
      </c>
      <c r="E846" s="7">
        <f>'1 datos preparados'!D839</f>
        <v/>
      </c>
      <c r="F846" s="7">
        <f>'1 datos preparados'!E839</f>
        <v/>
      </c>
      <c r="G846" s="7">
        <f>'1 datos preparados'!F839</f>
        <v/>
      </c>
      <c r="H846" s="7">
        <f>'1 datos preparados'!G839</f>
        <v/>
      </c>
      <c r="I846" s="7">
        <f>'1 datos preparados'!H839</f>
        <v/>
      </c>
      <c r="J846" s="7">
        <f>'1 datos preparados'!I839</f>
        <v/>
      </c>
      <c r="K846" s="7">
        <f>'1 datos preparados'!J839</f>
        <v/>
      </c>
      <c r="L846" s="7">
        <f>'1 datos preparados'!K839</f>
        <v/>
      </c>
      <c r="M846" s="7">
        <f>'1 datos preparados'!L839</f>
        <v/>
      </c>
      <c r="N846" s="7">
        <f>'1 datos preparados'!M839</f>
        <v/>
      </c>
      <c r="O846" s="7">
        <f>'1 datos preparados'!N839</f>
        <v/>
      </c>
      <c r="P846" s="7">
        <f>'1 datos preparados'!O839</f>
        <v/>
      </c>
      <c r="Q846" s="7">
        <f>'1 datos preparados'!P839</f>
        <v/>
      </c>
      <c r="R846" s="7">
        <f>'1 datos preparados'!Q839</f>
        <v/>
      </c>
      <c r="S846" s="7">
        <f>'1 datos preparados'!R839</f>
        <v/>
      </c>
      <c r="T846" s="7">
        <f>'1 datos preparados'!S839</f>
        <v/>
      </c>
      <c r="U846" s="7">
        <f>'1 datos preparados'!T839</f>
        <v/>
      </c>
      <c r="V846" s="8">
        <f>$AE$12+D846*$AE$13+E846*$AE$14+F846*$AE$15+G846*$AE$16+H846*$AE$17+I846*$AE$18+J846*$AE$19+K846*$AE$20+L846*$AE$21+M846*$AE$22+N846*$AE$23+O846*$AE$24+P846*$AE$25+Q846*$AE$26+R846*$AE$27+S846*$AE$28+T846*$AE$29+U846*$AE$30</f>
        <v/>
      </c>
      <c r="W846" s="8">
        <f>1/(1+EXP(-V846))</f>
        <v/>
      </c>
      <c r="X846" s="9">
        <f>-IF(C846=1,LN(W846),LN(1-W846))</f>
        <v/>
      </c>
      <c r="Y846" s="8">
        <f>1</f>
        <v/>
      </c>
      <c r="Z846" s="9">
        <f>Y846*X846</f>
        <v/>
      </c>
      <c r="AA846" s="10">
        <f>IF(W846&gt;$AE$32,1,0)</f>
        <v/>
      </c>
      <c r="AB846">
        <f>IF(AA846=C846,1,0)</f>
        <v/>
      </c>
    </row>
    <row r="847">
      <c r="A847">
        <f>'1 datos preparados'!A840</f>
        <v/>
      </c>
      <c r="B847" s="5">
        <f>'1 datos preparados'!U840</f>
        <v/>
      </c>
      <c r="C847">
        <f>'1 datos preparados'!B840</f>
        <v/>
      </c>
      <c r="D847" s="7">
        <f>'1 datos preparados'!C840</f>
        <v/>
      </c>
      <c r="E847" s="7">
        <f>'1 datos preparados'!D840</f>
        <v/>
      </c>
      <c r="F847" s="7">
        <f>'1 datos preparados'!E840</f>
        <v/>
      </c>
      <c r="G847" s="7">
        <f>'1 datos preparados'!F840</f>
        <v/>
      </c>
      <c r="H847" s="7">
        <f>'1 datos preparados'!G840</f>
        <v/>
      </c>
      <c r="I847" s="7">
        <f>'1 datos preparados'!H840</f>
        <v/>
      </c>
      <c r="J847" s="7">
        <f>'1 datos preparados'!I840</f>
        <v/>
      </c>
      <c r="K847" s="7">
        <f>'1 datos preparados'!J840</f>
        <v/>
      </c>
      <c r="L847" s="7">
        <f>'1 datos preparados'!K840</f>
        <v/>
      </c>
      <c r="M847" s="7">
        <f>'1 datos preparados'!L840</f>
        <v/>
      </c>
      <c r="N847" s="7">
        <f>'1 datos preparados'!M840</f>
        <v/>
      </c>
      <c r="O847" s="7">
        <f>'1 datos preparados'!N840</f>
        <v/>
      </c>
      <c r="P847" s="7">
        <f>'1 datos preparados'!O840</f>
        <v/>
      </c>
      <c r="Q847" s="7">
        <f>'1 datos preparados'!P840</f>
        <v/>
      </c>
      <c r="R847" s="7">
        <f>'1 datos preparados'!Q840</f>
        <v/>
      </c>
      <c r="S847" s="7">
        <f>'1 datos preparados'!R840</f>
        <v/>
      </c>
      <c r="T847" s="7">
        <f>'1 datos preparados'!S840</f>
        <v/>
      </c>
      <c r="U847" s="7">
        <f>'1 datos preparados'!T840</f>
        <v/>
      </c>
      <c r="V847" s="8">
        <f>$AE$12+D847*$AE$13+E847*$AE$14+F847*$AE$15+G847*$AE$16+H847*$AE$17+I847*$AE$18+J847*$AE$19+K847*$AE$20+L847*$AE$21+M847*$AE$22+N847*$AE$23+O847*$AE$24+P847*$AE$25+Q847*$AE$26+R847*$AE$27+S847*$AE$28+T847*$AE$29+U847*$AE$30</f>
        <v/>
      </c>
      <c r="W847" s="8">
        <f>1/(1+EXP(-V847))</f>
        <v/>
      </c>
      <c r="X847" s="9">
        <f>-IF(C847=1,LN(W847),LN(1-W847))</f>
        <v/>
      </c>
      <c r="Y847" s="8">
        <f>1</f>
        <v/>
      </c>
      <c r="Z847" s="9">
        <f>Y847*X847</f>
        <v/>
      </c>
      <c r="AA847" s="10">
        <f>IF(W847&gt;$AE$32,1,0)</f>
        <v/>
      </c>
      <c r="AB847">
        <f>IF(AA847=C847,1,0)</f>
        <v/>
      </c>
    </row>
    <row r="848">
      <c r="A848">
        <f>'1 datos preparados'!A841</f>
        <v/>
      </c>
      <c r="B848" s="5">
        <f>'1 datos preparados'!U841</f>
        <v/>
      </c>
      <c r="C848">
        <f>'1 datos preparados'!B841</f>
        <v/>
      </c>
      <c r="D848" s="7">
        <f>'1 datos preparados'!C841</f>
        <v/>
      </c>
      <c r="E848" s="7">
        <f>'1 datos preparados'!D841</f>
        <v/>
      </c>
      <c r="F848" s="7">
        <f>'1 datos preparados'!E841</f>
        <v/>
      </c>
      <c r="G848" s="7">
        <f>'1 datos preparados'!F841</f>
        <v/>
      </c>
      <c r="H848" s="7">
        <f>'1 datos preparados'!G841</f>
        <v/>
      </c>
      <c r="I848" s="7">
        <f>'1 datos preparados'!H841</f>
        <v/>
      </c>
      <c r="J848" s="7">
        <f>'1 datos preparados'!I841</f>
        <v/>
      </c>
      <c r="K848" s="7">
        <f>'1 datos preparados'!J841</f>
        <v/>
      </c>
      <c r="L848" s="7">
        <f>'1 datos preparados'!K841</f>
        <v/>
      </c>
      <c r="M848" s="7">
        <f>'1 datos preparados'!L841</f>
        <v/>
      </c>
      <c r="N848" s="7">
        <f>'1 datos preparados'!M841</f>
        <v/>
      </c>
      <c r="O848" s="7">
        <f>'1 datos preparados'!N841</f>
        <v/>
      </c>
      <c r="P848" s="7">
        <f>'1 datos preparados'!O841</f>
        <v/>
      </c>
      <c r="Q848" s="7">
        <f>'1 datos preparados'!P841</f>
        <v/>
      </c>
      <c r="R848" s="7">
        <f>'1 datos preparados'!Q841</f>
        <v/>
      </c>
      <c r="S848" s="7">
        <f>'1 datos preparados'!R841</f>
        <v/>
      </c>
      <c r="T848" s="7">
        <f>'1 datos preparados'!S841</f>
        <v/>
      </c>
      <c r="U848" s="7">
        <f>'1 datos preparados'!T841</f>
        <v/>
      </c>
      <c r="V848" s="8">
        <f>$AE$12+D848*$AE$13+E848*$AE$14+F848*$AE$15+G848*$AE$16+H848*$AE$17+I848*$AE$18+J848*$AE$19+K848*$AE$20+L848*$AE$21+M848*$AE$22+N848*$AE$23+O848*$AE$24+P848*$AE$25+Q848*$AE$26+R848*$AE$27+S848*$AE$28+T848*$AE$29+U848*$AE$30</f>
        <v/>
      </c>
      <c r="W848" s="8">
        <f>1/(1+EXP(-V848))</f>
        <v/>
      </c>
      <c r="X848" s="9">
        <f>-IF(C848=1,LN(W848),LN(1-W848))</f>
        <v/>
      </c>
      <c r="Y848" s="8">
        <f>1</f>
        <v/>
      </c>
      <c r="Z848" s="9">
        <f>Y848*X848</f>
        <v/>
      </c>
      <c r="AA848" s="10">
        <f>IF(W848&gt;$AE$32,1,0)</f>
        <v/>
      </c>
      <c r="AB848">
        <f>IF(AA848=C848,1,0)</f>
        <v/>
      </c>
    </row>
    <row r="849">
      <c r="A849">
        <f>'1 datos preparados'!A842</f>
        <v/>
      </c>
      <c r="B849" s="5">
        <f>'1 datos preparados'!U842</f>
        <v/>
      </c>
      <c r="C849">
        <f>'1 datos preparados'!B842</f>
        <v/>
      </c>
      <c r="D849" s="7">
        <f>'1 datos preparados'!C842</f>
        <v/>
      </c>
      <c r="E849" s="7">
        <f>'1 datos preparados'!D842</f>
        <v/>
      </c>
      <c r="F849" s="7">
        <f>'1 datos preparados'!E842</f>
        <v/>
      </c>
      <c r="G849" s="7">
        <f>'1 datos preparados'!F842</f>
        <v/>
      </c>
      <c r="H849" s="7">
        <f>'1 datos preparados'!G842</f>
        <v/>
      </c>
      <c r="I849" s="7">
        <f>'1 datos preparados'!H842</f>
        <v/>
      </c>
      <c r="J849" s="7">
        <f>'1 datos preparados'!I842</f>
        <v/>
      </c>
      <c r="K849" s="7">
        <f>'1 datos preparados'!J842</f>
        <v/>
      </c>
      <c r="L849" s="7">
        <f>'1 datos preparados'!K842</f>
        <v/>
      </c>
      <c r="M849" s="7">
        <f>'1 datos preparados'!L842</f>
        <v/>
      </c>
      <c r="N849" s="7">
        <f>'1 datos preparados'!M842</f>
        <v/>
      </c>
      <c r="O849" s="7">
        <f>'1 datos preparados'!N842</f>
        <v/>
      </c>
      <c r="P849" s="7">
        <f>'1 datos preparados'!O842</f>
        <v/>
      </c>
      <c r="Q849" s="7">
        <f>'1 datos preparados'!P842</f>
        <v/>
      </c>
      <c r="R849" s="7">
        <f>'1 datos preparados'!Q842</f>
        <v/>
      </c>
      <c r="S849" s="7">
        <f>'1 datos preparados'!R842</f>
        <v/>
      </c>
      <c r="T849" s="7">
        <f>'1 datos preparados'!S842</f>
        <v/>
      </c>
      <c r="U849" s="7">
        <f>'1 datos preparados'!T842</f>
        <v/>
      </c>
      <c r="V849" s="8">
        <f>$AE$12+D849*$AE$13+E849*$AE$14+F849*$AE$15+G849*$AE$16+H849*$AE$17+I849*$AE$18+J849*$AE$19+K849*$AE$20+L849*$AE$21+M849*$AE$22+N849*$AE$23+O849*$AE$24+P849*$AE$25+Q849*$AE$26+R849*$AE$27+S849*$AE$28+T849*$AE$29+U849*$AE$30</f>
        <v/>
      </c>
      <c r="W849" s="8">
        <f>1/(1+EXP(-V849))</f>
        <v/>
      </c>
      <c r="X849" s="9">
        <f>-IF(C849=1,LN(W849),LN(1-W849))</f>
        <v/>
      </c>
      <c r="Y849" s="8">
        <f>1</f>
        <v/>
      </c>
      <c r="Z849" s="9">
        <f>Y849*X849</f>
        <v/>
      </c>
      <c r="AA849" s="10">
        <f>IF(W849&gt;$AE$32,1,0)</f>
        <v/>
      </c>
      <c r="AB849">
        <f>IF(AA849=C849,1,0)</f>
        <v/>
      </c>
    </row>
    <row r="850">
      <c r="A850">
        <f>'1 datos preparados'!A843</f>
        <v/>
      </c>
      <c r="B850" s="5">
        <f>'1 datos preparados'!U843</f>
        <v/>
      </c>
      <c r="C850">
        <f>'1 datos preparados'!B843</f>
        <v/>
      </c>
      <c r="D850" s="7">
        <f>'1 datos preparados'!C843</f>
        <v/>
      </c>
      <c r="E850" s="7">
        <f>'1 datos preparados'!D843</f>
        <v/>
      </c>
      <c r="F850" s="7">
        <f>'1 datos preparados'!E843</f>
        <v/>
      </c>
      <c r="G850" s="7">
        <f>'1 datos preparados'!F843</f>
        <v/>
      </c>
      <c r="H850" s="7">
        <f>'1 datos preparados'!G843</f>
        <v/>
      </c>
      <c r="I850" s="7">
        <f>'1 datos preparados'!H843</f>
        <v/>
      </c>
      <c r="J850" s="7">
        <f>'1 datos preparados'!I843</f>
        <v/>
      </c>
      <c r="K850" s="7">
        <f>'1 datos preparados'!J843</f>
        <v/>
      </c>
      <c r="L850" s="7">
        <f>'1 datos preparados'!K843</f>
        <v/>
      </c>
      <c r="M850" s="7">
        <f>'1 datos preparados'!L843</f>
        <v/>
      </c>
      <c r="N850" s="7">
        <f>'1 datos preparados'!M843</f>
        <v/>
      </c>
      <c r="O850" s="7">
        <f>'1 datos preparados'!N843</f>
        <v/>
      </c>
      <c r="P850" s="7">
        <f>'1 datos preparados'!O843</f>
        <v/>
      </c>
      <c r="Q850" s="7">
        <f>'1 datos preparados'!P843</f>
        <v/>
      </c>
      <c r="R850" s="7">
        <f>'1 datos preparados'!Q843</f>
        <v/>
      </c>
      <c r="S850" s="7">
        <f>'1 datos preparados'!R843</f>
        <v/>
      </c>
      <c r="T850" s="7">
        <f>'1 datos preparados'!S843</f>
        <v/>
      </c>
      <c r="U850" s="7">
        <f>'1 datos preparados'!T843</f>
        <v/>
      </c>
      <c r="V850" s="8">
        <f>$AE$12+D850*$AE$13+E850*$AE$14+F850*$AE$15+G850*$AE$16+H850*$AE$17+I850*$AE$18+J850*$AE$19+K850*$AE$20+L850*$AE$21+M850*$AE$22+N850*$AE$23+O850*$AE$24+P850*$AE$25+Q850*$AE$26+R850*$AE$27+S850*$AE$28+T850*$AE$29+U850*$AE$30</f>
        <v/>
      </c>
      <c r="W850" s="8">
        <f>1/(1+EXP(-V850))</f>
        <v/>
      </c>
      <c r="X850" s="9">
        <f>-IF(C850=1,LN(W850),LN(1-W850))</f>
        <v/>
      </c>
      <c r="Y850" s="8">
        <f>1</f>
        <v/>
      </c>
      <c r="Z850" s="9">
        <f>Y850*X850</f>
        <v/>
      </c>
      <c r="AA850" s="10">
        <f>IF(W850&gt;$AE$32,1,0)</f>
        <v/>
      </c>
      <c r="AB850">
        <f>IF(AA850=C850,1,0)</f>
        <v/>
      </c>
    </row>
    <row r="851">
      <c r="A851">
        <f>'1 datos preparados'!A844</f>
        <v/>
      </c>
      <c r="B851" s="5">
        <f>'1 datos preparados'!U844</f>
        <v/>
      </c>
      <c r="C851">
        <f>'1 datos preparados'!B844</f>
        <v/>
      </c>
      <c r="D851" s="7">
        <f>'1 datos preparados'!C844</f>
        <v/>
      </c>
      <c r="E851" s="7">
        <f>'1 datos preparados'!D844</f>
        <v/>
      </c>
      <c r="F851" s="7">
        <f>'1 datos preparados'!E844</f>
        <v/>
      </c>
      <c r="G851" s="7">
        <f>'1 datos preparados'!F844</f>
        <v/>
      </c>
      <c r="H851" s="7">
        <f>'1 datos preparados'!G844</f>
        <v/>
      </c>
      <c r="I851" s="7">
        <f>'1 datos preparados'!H844</f>
        <v/>
      </c>
      <c r="J851" s="7">
        <f>'1 datos preparados'!I844</f>
        <v/>
      </c>
      <c r="K851" s="7">
        <f>'1 datos preparados'!J844</f>
        <v/>
      </c>
      <c r="L851" s="7">
        <f>'1 datos preparados'!K844</f>
        <v/>
      </c>
      <c r="M851" s="7">
        <f>'1 datos preparados'!L844</f>
        <v/>
      </c>
      <c r="N851" s="7">
        <f>'1 datos preparados'!M844</f>
        <v/>
      </c>
      <c r="O851" s="7">
        <f>'1 datos preparados'!N844</f>
        <v/>
      </c>
      <c r="P851" s="7">
        <f>'1 datos preparados'!O844</f>
        <v/>
      </c>
      <c r="Q851" s="7">
        <f>'1 datos preparados'!P844</f>
        <v/>
      </c>
      <c r="R851" s="7">
        <f>'1 datos preparados'!Q844</f>
        <v/>
      </c>
      <c r="S851" s="7">
        <f>'1 datos preparados'!R844</f>
        <v/>
      </c>
      <c r="T851" s="7">
        <f>'1 datos preparados'!S844</f>
        <v/>
      </c>
      <c r="U851" s="7">
        <f>'1 datos preparados'!T844</f>
        <v/>
      </c>
      <c r="V851" s="8">
        <f>$AE$12+D851*$AE$13+E851*$AE$14+F851*$AE$15+G851*$AE$16+H851*$AE$17+I851*$AE$18+J851*$AE$19+K851*$AE$20+L851*$AE$21+M851*$AE$22+N851*$AE$23+O851*$AE$24+P851*$AE$25+Q851*$AE$26+R851*$AE$27+S851*$AE$28+T851*$AE$29+U851*$AE$30</f>
        <v/>
      </c>
      <c r="W851" s="8">
        <f>1/(1+EXP(-V851))</f>
        <v/>
      </c>
      <c r="X851" s="9">
        <f>-IF(C851=1,LN(W851),LN(1-W851))</f>
        <v/>
      </c>
      <c r="Y851" s="8">
        <f>1</f>
        <v/>
      </c>
      <c r="Z851" s="9">
        <f>Y851*X851</f>
        <v/>
      </c>
      <c r="AA851" s="10">
        <f>IF(W851&gt;$AE$32,1,0)</f>
        <v/>
      </c>
      <c r="AB851">
        <f>IF(AA851=C851,1,0)</f>
        <v/>
      </c>
    </row>
    <row r="852">
      <c r="A852">
        <f>'1 datos preparados'!A845</f>
        <v/>
      </c>
      <c r="B852" s="5">
        <f>'1 datos preparados'!U845</f>
        <v/>
      </c>
      <c r="C852">
        <f>'1 datos preparados'!B845</f>
        <v/>
      </c>
      <c r="D852" s="7">
        <f>'1 datos preparados'!C845</f>
        <v/>
      </c>
      <c r="E852" s="7">
        <f>'1 datos preparados'!D845</f>
        <v/>
      </c>
      <c r="F852" s="7">
        <f>'1 datos preparados'!E845</f>
        <v/>
      </c>
      <c r="G852" s="7">
        <f>'1 datos preparados'!F845</f>
        <v/>
      </c>
      <c r="H852" s="7">
        <f>'1 datos preparados'!G845</f>
        <v/>
      </c>
      <c r="I852" s="7">
        <f>'1 datos preparados'!H845</f>
        <v/>
      </c>
      <c r="J852" s="7">
        <f>'1 datos preparados'!I845</f>
        <v/>
      </c>
      <c r="K852" s="7">
        <f>'1 datos preparados'!J845</f>
        <v/>
      </c>
      <c r="L852" s="7">
        <f>'1 datos preparados'!K845</f>
        <v/>
      </c>
      <c r="M852" s="7">
        <f>'1 datos preparados'!L845</f>
        <v/>
      </c>
      <c r="N852" s="7">
        <f>'1 datos preparados'!M845</f>
        <v/>
      </c>
      <c r="O852" s="7">
        <f>'1 datos preparados'!N845</f>
        <v/>
      </c>
      <c r="P852" s="7">
        <f>'1 datos preparados'!O845</f>
        <v/>
      </c>
      <c r="Q852" s="7">
        <f>'1 datos preparados'!P845</f>
        <v/>
      </c>
      <c r="R852" s="7">
        <f>'1 datos preparados'!Q845</f>
        <v/>
      </c>
      <c r="S852" s="7">
        <f>'1 datos preparados'!R845</f>
        <v/>
      </c>
      <c r="T852" s="7">
        <f>'1 datos preparados'!S845</f>
        <v/>
      </c>
      <c r="U852" s="7">
        <f>'1 datos preparados'!T845</f>
        <v/>
      </c>
      <c r="V852" s="8">
        <f>$AE$12+D852*$AE$13+E852*$AE$14+F852*$AE$15+G852*$AE$16+H852*$AE$17+I852*$AE$18+J852*$AE$19+K852*$AE$20+L852*$AE$21+M852*$AE$22+N852*$AE$23+O852*$AE$24+P852*$AE$25+Q852*$AE$26+R852*$AE$27+S852*$AE$28+T852*$AE$29+U852*$AE$30</f>
        <v/>
      </c>
      <c r="W852" s="8">
        <f>1/(1+EXP(-V852))</f>
        <v/>
      </c>
      <c r="X852" s="9">
        <f>-IF(C852=1,LN(W852),LN(1-W852))</f>
        <v/>
      </c>
      <c r="Y852" s="8">
        <f>1</f>
        <v/>
      </c>
      <c r="Z852" s="9">
        <f>Y852*X852</f>
        <v/>
      </c>
      <c r="AA852" s="10">
        <f>IF(W852&gt;$AE$32,1,0)</f>
        <v/>
      </c>
      <c r="AB852">
        <f>IF(AA852=C852,1,0)</f>
        <v/>
      </c>
    </row>
    <row r="853">
      <c r="A853">
        <f>'1 datos preparados'!A846</f>
        <v/>
      </c>
      <c r="B853" s="5">
        <f>'1 datos preparados'!U846</f>
        <v/>
      </c>
      <c r="C853">
        <f>'1 datos preparados'!B846</f>
        <v/>
      </c>
      <c r="D853" s="7">
        <f>'1 datos preparados'!C846</f>
        <v/>
      </c>
      <c r="E853" s="7">
        <f>'1 datos preparados'!D846</f>
        <v/>
      </c>
      <c r="F853" s="7">
        <f>'1 datos preparados'!E846</f>
        <v/>
      </c>
      <c r="G853" s="7">
        <f>'1 datos preparados'!F846</f>
        <v/>
      </c>
      <c r="H853" s="7">
        <f>'1 datos preparados'!G846</f>
        <v/>
      </c>
      <c r="I853" s="7">
        <f>'1 datos preparados'!H846</f>
        <v/>
      </c>
      <c r="J853" s="7">
        <f>'1 datos preparados'!I846</f>
        <v/>
      </c>
      <c r="K853" s="7">
        <f>'1 datos preparados'!J846</f>
        <v/>
      </c>
      <c r="L853" s="7">
        <f>'1 datos preparados'!K846</f>
        <v/>
      </c>
      <c r="M853" s="7">
        <f>'1 datos preparados'!L846</f>
        <v/>
      </c>
      <c r="N853" s="7">
        <f>'1 datos preparados'!M846</f>
        <v/>
      </c>
      <c r="O853" s="7">
        <f>'1 datos preparados'!N846</f>
        <v/>
      </c>
      <c r="P853" s="7">
        <f>'1 datos preparados'!O846</f>
        <v/>
      </c>
      <c r="Q853" s="7">
        <f>'1 datos preparados'!P846</f>
        <v/>
      </c>
      <c r="R853" s="7">
        <f>'1 datos preparados'!Q846</f>
        <v/>
      </c>
      <c r="S853" s="7">
        <f>'1 datos preparados'!R846</f>
        <v/>
      </c>
      <c r="T853" s="7">
        <f>'1 datos preparados'!S846</f>
        <v/>
      </c>
      <c r="U853" s="7">
        <f>'1 datos preparados'!T846</f>
        <v/>
      </c>
      <c r="V853" s="8">
        <f>$AE$12+D853*$AE$13+E853*$AE$14+F853*$AE$15+G853*$AE$16+H853*$AE$17+I853*$AE$18+J853*$AE$19+K853*$AE$20+L853*$AE$21+M853*$AE$22+N853*$AE$23+O853*$AE$24+P853*$AE$25+Q853*$AE$26+R853*$AE$27+S853*$AE$28+T853*$AE$29+U853*$AE$30</f>
        <v/>
      </c>
      <c r="W853" s="8">
        <f>1/(1+EXP(-V853))</f>
        <v/>
      </c>
      <c r="X853" s="9">
        <f>-IF(C853=1,LN(W853),LN(1-W853))</f>
        <v/>
      </c>
      <c r="Y853" s="8">
        <f>1</f>
        <v/>
      </c>
      <c r="Z853" s="9">
        <f>Y853*X853</f>
        <v/>
      </c>
      <c r="AA853" s="10">
        <f>IF(W853&gt;$AE$32,1,0)</f>
        <v/>
      </c>
      <c r="AB853">
        <f>IF(AA853=C853,1,0)</f>
        <v/>
      </c>
    </row>
    <row r="854">
      <c r="A854">
        <f>'1 datos preparados'!A847</f>
        <v/>
      </c>
      <c r="B854" s="5">
        <f>'1 datos preparados'!U847</f>
        <v/>
      </c>
      <c r="C854">
        <f>'1 datos preparados'!B847</f>
        <v/>
      </c>
      <c r="D854" s="7">
        <f>'1 datos preparados'!C847</f>
        <v/>
      </c>
      <c r="E854" s="7">
        <f>'1 datos preparados'!D847</f>
        <v/>
      </c>
      <c r="F854" s="7">
        <f>'1 datos preparados'!E847</f>
        <v/>
      </c>
      <c r="G854" s="7">
        <f>'1 datos preparados'!F847</f>
        <v/>
      </c>
      <c r="H854" s="7">
        <f>'1 datos preparados'!G847</f>
        <v/>
      </c>
      <c r="I854" s="7">
        <f>'1 datos preparados'!H847</f>
        <v/>
      </c>
      <c r="J854" s="7">
        <f>'1 datos preparados'!I847</f>
        <v/>
      </c>
      <c r="K854" s="7">
        <f>'1 datos preparados'!J847</f>
        <v/>
      </c>
      <c r="L854" s="7">
        <f>'1 datos preparados'!K847</f>
        <v/>
      </c>
      <c r="M854" s="7">
        <f>'1 datos preparados'!L847</f>
        <v/>
      </c>
      <c r="N854" s="7">
        <f>'1 datos preparados'!M847</f>
        <v/>
      </c>
      <c r="O854" s="7">
        <f>'1 datos preparados'!N847</f>
        <v/>
      </c>
      <c r="P854" s="7">
        <f>'1 datos preparados'!O847</f>
        <v/>
      </c>
      <c r="Q854" s="7">
        <f>'1 datos preparados'!P847</f>
        <v/>
      </c>
      <c r="R854" s="7">
        <f>'1 datos preparados'!Q847</f>
        <v/>
      </c>
      <c r="S854" s="7">
        <f>'1 datos preparados'!R847</f>
        <v/>
      </c>
      <c r="T854" s="7">
        <f>'1 datos preparados'!S847</f>
        <v/>
      </c>
      <c r="U854" s="7">
        <f>'1 datos preparados'!T847</f>
        <v/>
      </c>
      <c r="V854" s="8">
        <f>$AE$12+D854*$AE$13+E854*$AE$14+F854*$AE$15+G854*$AE$16+H854*$AE$17+I854*$AE$18+J854*$AE$19+K854*$AE$20+L854*$AE$21+M854*$AE$22+N854*$AE$23+O854*$AE$24+P854*$AE$25+Q854*$AE$26+R854*$AE$27+S854*$AE$28+T854*$AE$29+U854*$AE$30</f>
        <v/>
      </c>
      <c r="W854" s="8">
        <f>1/(1+EXP(-V854))</f>
        <v/>
      </c>
      <c r="X854" s="9">
        <f>-IF(C854=1,LN(W854),LN(1-W854))</f>
        <v/>
      </c>
      <c r="Y854" s="8">
        <f>1</f>
        <v/>
      </c>
      <c r="Z854" s="9">
        <f>Y854*X854</f>
        <v/>
      </c>
      <c r="AA854" s="10">
        <f>IF(W854&gt;$AE$32,1,0)</f>
        <v/>
      </c>
      <c r="AB854">
        <f>IF(AA854=C854,1,0)</f>
        <v/>
      </c>
    </row>
    <row r="855">
      <c r="A855">
        <f>'1 datos preparados'!A848</f>
        <v/>
      </c>
      <c r="B855" s="5">
        <f>'1 datos preparados'!U848</f>
        <v/>
      </c>
      <c r="C855">
        <f>'1 datos preparados'!B848</f>
        <v/>
      </c>
      <c r="D855" s="7">
        <f>'1 datos preparados'!C848</f>
        <v/>
      </c>
      <c r="E855" s="7">
        <f>'1 datos preparados'!D848</f>
        <v/>
      </c>
      <c r="F855" s="7">
        <f>'1 datos preparados'!E848</f>
        <v/>
      </c>
      <c r="G855" s="7">
        <f>'1 datos preparados'!F848</f>
        <v/>
      </c>
      <c r="H855" s="7">
        <f>'1 datos preparados'!G848</f>
        <v/>
      </c>
      <c r="I855" s="7">
        <f>'1 datos preparados'!H848</f>
        <v/>
      </c>
      <c r="J855" s="7">
        <f>'1 datos preparados'!I848</f>
        <v/>
      </c>
      <c r="K855" s="7">
        <f>'1 datos preparados'!J848</f>
        <v/>
      </c>
      <c r="L855" s="7">
        <f>'1 datos preparados'!K848</f>
        <v/>
      </c>
      <c r="M855" s="7">
        <f>'1 datos preparados'!L848</f>
        <v/>
      </c>
      <c r="N855" s="7">
        <f>'1 datos preparados'!M848</f>
        <v/>
      </c>
      <c r="O855" s="7">
        <f>'1 datos preparados'!N848</f>
        <v/>
      </c>
      <c r="P855" s="7">
        <f>'1 datos preparados'!O848</f>
        <v/>
      </c>
      <c r="Q855" s="7">
        <f>'1 datos preparados'!P848</f>
        <v/>
      </c>
      <c r="R855" s="7">
        <f>'1 datos preparados'!Q848</f>
        <v/>
      </c>
      <c r="S855" s="7">
        <f>'1 datos preparados'!R848</f>
        <v/>
      </c>
      <c r="T855" s="7">
        <f>'1 datos preparados'!S848</f>
        <v/>
      </c>
      <c r="U855" s="7">
        <f>'1 datos preparados'!T848</f>
        <v/>
      </c>
      <c r="V855" s="8">
        <f>$AE$12+D855*$AE$13+E855*$AE$14+F855*$AE$15+G855*$AE$16+H855*$AE$17+I855*$AE$18+J855*$AE$19+K855*$AE$20+L855*$AE$21+M855*$AE$22+N855*$AE$23+O855*$AE$24+P855*$AE$25+Q855*$AE$26+R855*$AE$27+S855*$AE$28+T855*$AE$29+U855*$AE$30</f>
        <v/>
      </c>
      <c r="W855" s="8">
        <f>1/(1+EXP(-V855))</f>
        <v/>
      </c>
      <c r="X855" s="9">
        <f>-IF(C855=1,LN(W855),LN(1-W855))</f>
        <v/>
      </c>
      <c r="Y855" s="8">
        <f>1</f>
        <v/>
      </c>
      <c r="Z855" s="9">
        <f>Y855*X855</f>
        <v/>
      </c>
      <c r="AA855" s="10">
        <f>IF(W855&gt;$AE$32,1,0)</f>
        <v/>
      </c>
      <c r="AB855">
        <f>IF(AA855=C855,1,0)</f>
        <v/>
      </c>
    </row>
    <row r="856">
      <c r="A856">
        <f>'1 datos preparados'!A849</f>
        <v/>
      </c>
      <c r="B856" s="5">
        <f>'1 datos preparados'!U849</f>
        <v/>
      </c>
      <c r="C856">
        <f>'1 datos preparados'!B849</f>
        <v/>
      </c>
      <c r="D856" s="7">
        <f>'1 datos preparados'!C849</f>
        <v/>
      </c>
      <c r="E856" s="7">
        <f>'1 datos preparados'!D849</f>
        <v/>
      </c>
      <c r="F856" s="7">
        <f>'1 datos preparados'!E849</f>
        <v/>
      </c>
      <c r="G856" s="7">
        <f>'1 datos preparados'!F849</f>
        <v/>
      </c>
      <c r="H856" s="7">
        <f>'1 datos preparados'!G849</f>
        <v/>
      </c>
      <c r="I856" s="7">
        <f>'1 datos preparados'!H849</f>
        <v/>
      </c>
      <c r="J856" s="7">
        <f>'1 datos preparados'!I849</f>
        <v/>
      </c>
      <c r="K856" s="7">
        <f>'1 datos preparados'!J849</f>
        <v/>
      </c>
      <c r="L856" s="7">
        <f>'1 datos preparados'!K849</f>
        <v/>
      </c>
      <c r="M856" s="7">
        <f>'1 datos preparados'!L849</f>
        <v/>
      </c>
      <c r="N856" s="7">
        <f>'1 datos preparados'!M849</f>
        <v/>
      </c>
      <c r="O856" s="7">
        <f>'1 datos preparados'!N849</f>
        <v/>
      </c>
      <c r="P856" s="7">
        <f>'1 datos preparados'!O849</f>
        <v/>
      </c>
      <c r="Q856" s="7">
        <f>'1 datos preparados'!P849</f>
        <v/>
      </c>
      <c r="R856" s="7">
        <f>'1 datos preparados'!Q849</f>
        <v/>
      </c>
      <c r="S856" s="7">
        <f>'1 datos preparados'!R849</f>
        <v/>
      </c>
      <c r="T856" s="7">
        <f>'1 datos preparados'!S849</f>
        <v/>
      </c>
      <c r="U856" s="7">
        <f>'1 datos preparados'!T849</f>
        <v/>
      </c>
      <c r="V856" s="8">
        <f>$AE$12+D856*$AE$13+E856*$AE$14+F856*$AE$15+G856*$AE$16+H856*$AE$17+I856*$AE$18+J856*$AE$19+K856*$AE$20+L856*$AE$21+M856*$AE$22+N856*$AE$23+O856*$AE$24+P856*$AE$25+Q856*$AE$26+R856*$AE$27+S856*$AE$28+T856*$AE$29+U856*$AE$30</f>
        <v/>
      </c>
      <c r="W856" s="8">
        <f>1/(1+EXP(-V856))</f>
        <v/>
      </c>
      <c r="X856" s="9">
        <f>-IF(C856=1,LN(W856),LN(1-W856))</f>
        <v/>
      </c>
      <c r="Y856" s="8">
        <f>1</f>
        <v/>
      </c>
      <c r="Z856" s="9">
        <f>Y856*X856</f>
        <v/>
      </c>
      <c r="AA856" s="10">
        <f>IF(W856&gt;$AE$32,1,0)</f>
        <v/>
      </c>
      <c r="AB856">
        <f>IF(AA856=C856,1,0)</f>
        <v/>
      </c>
    </row>
    <row r="857">
      <c r="A857">
        <f>'1 datos preparados'!A850</f>
        <v/>
      </c>
      <c r="B857" s="5">
        <f>'1 datos preparados'!U850</f>
        <v/>
      </c>
      <c r="C857">
        <f>'1 datos preparados'!B850</f>
        <v/>
      </c>
      <c r="D857" s="7">
        <f>'1 datos preparados'!C850</f>
        <v/>
      </c>
      <c r="E857" s="7">
        <f>'1 datos preparados'!D850</f>
        <v/>
      </c>
      <c r="F857" s="7">
        <f>'1 datos preparados'!E850</f>
        <v/>
      </c>
      <c r="G857" s="7">
        <f>'1 datos preparados'!F850</f>
        <v/>
      </c>
      <c r="H857" s="7">
        <f>'1 datos preparados'!G850</f>
        <v/>
      </c>
      <c r="I857" s="7">
        <f>'1 datos preparados'!H850</f>
        <v/>
      </c>
      <c r="J857" s="7">
        <f>'1 datos preparados'!I850</f>
        <v/>
      </c>
      <c r="K857" s="7">
        <f>'1 datos preparados'!J850</f>
        <v/>
      </c>
      <c r="L857" s="7">
        <f>'1 datos preparados'!K850</f>
        <v/>
      </c>
      <c r="M857" s="7">
        <f>'1 datos preparados'!L850</f>
        <v/>
      </c>
      <c r="N857" s="7">
        <f>'1 datos preparados'!M850</f>
        <v/>
      </c>
      <c r="O857" s="7">
        <f>'1 datos preparados'!N850</f>
        <v/>
      </c>
      <c r="P857" s="7">
        <f>'1 datos preparados'!O850</f>
        <v/>
      </c>
      <c r="Q857" s="7">
        <f>'1 datos preparados'!P850</f>
        <v/>
      </c>
      <c r="R857" s="7">
        <f>'1 datos preparados'!Q850</f>
        <v/>
      </c>
      <c r="S857" s="7">
        <f>'1 datos preparados'!R850</f>
        <v/>
      </c>
      <c r="T857" s="7">
        <f>'1 datos preparados'!S850</f>
        <v/>
      </c>
      <c r="U857" s="7">
        <f>'1 datos preparados'!T850</f>
        <v/>
      </c>
      <c r="V857" s="8">
        <f>$AE$12+D857*$AE$13+E857*$AE$14+F857*$AE$15+G857*$AE$16+H857*$AE$17+I857*$AE$18+J857*$AE$19+K857*$AE$20+L857*$AE$21+M857*$AE$22+N857*$AE$23+O857*$AE$24+P857*$AE$25+Q857*$AE$26+R857*$AE$27+S857*$AE$28+T857*$AE$29+U857*$AE$30</f>
        <v/>
      </c>
      <c r="W857" s="8">
        <f>1/(1+EXP(-V857))</f>
        <v/>
      </c>
      <c r="X857" s="9">
        <f>-IF(C857=1,LN(W857),LN(1-W857))</f>
        <v/>
      </c>
      <c r="Y857" s="8">
        <f>1</f>
        <v/>
      </c>
      <c r="Z857" s="9">
        <f>Y857*X857</f>
        <v/>
      </c>
      <c r="AA857" s="10">
        <f>IF(W857&gt;$AE$32,1,0)</f>
        <v/>
      </c>
      <c r="AB857">
        <f>IF(AA857=C857,1,0)</f>
        <v/>
      </c>
    </row>
    <row r="858">
      <c r="A858">
        <f>'1 datos preparados'!A851</f>
        <v/>
      </c>
      <c r="B858" s="5">
        <f>'1 datos preparados'!U851</f>
        <v/>
      </c>
      <c r="C858">
        <f>'1 datos preparados'!B851</f>
        <v/>
      </c>
      <c r="D858" s="7">
        <f>'1 datos preparados'!C851</f>
        <v/>
      </c>
      <c r="E858" s="7">
        <f>'1 datos preparados'!D851</f>
        <v/>
      </c>
      <c r="F858" s="7">
        <f>'1 datos preparados'!E851</f>
        <v/>
      </c>
      <c r="G858" s="7">
        <f>'1 datos preparados'!F851</f>
        <v/>
      </c>
      <c r="H858" s="7">
        <f>'1 datos preparados'!G851</f>
        <v/>
      </c>
      <c r="I858" s="7">
        <f>'1 datos preparados'!H851</f>
        <v/>
      </c>
      <c r="J858" s="7">
        <f>'1 datos preparados'!I851</f>
        <v/>
      </c>
      <c r="K858" s="7">
        <f>'1 datos preparados'!J851</f>
        <v/>
      </c>
      <c r="L858" s="7">
        <f>'1 datos preparados'!K851</f>
        <v/>
      </c>
      <c r="M858" s="7">
        <f>'1 datos preparados'!L851</f>
        <v/>
      </c>
      <c r="N858" s="7">
        <f>'1 datos preparados'!M851</f>
        <v/>
      </c>
      <c r="O858" s="7">
        <f>'1 datos preparados'!N851</f>
        <v/>
      </c>
      <c r="P858" s="7">
        <f>'1 datos preparados'!O851</f>
        <v/>
      </c>
      <c r="Q858" s="7">
        <f>'1 datos preparados'!P851</f>
        <v/>
      </c>
      <c r="R858" s="7">
        <f>'1 datos preparados'!Q851</f>
        <v/>
      </c>
      <c r="S858" s="7">
        <f>'1 datos preparados'!R851</f>
        <v/>
      </c>
      <c r="T858" s="7">
        <f>'1 datos preparados'!S851</f>
        <v/>
      </c>
      <c r="U858" s="7">
        <f>'1 datos preparados'!T851</f>
        <v/>
      </c>
      <c r="V858" s="8">
        <f>$AE$12+D858*$AE$13+E858*$AE$14+F858*$AE$15+G858*$AE$16+H858*$AE$17+I858*$AE$18+J858*$AE$19+K858*$AE$20+L858*$AE$21+M858*$AE$22+N858*$AE$23+O858*$AE$24+P858*$AE$25+Q858*$AE$26+R858*$AE$27+S858*$AE$28+T858*$AE$29+U858*$AE$30</f>
        <v/>
      </c>
      <c r="W858" s="8">
        <f>1/(1+EXP(-V858))</f>
        <v/>
      </c>
      <c r="X858" s="9">
        <f>-IF(C858=1,LN(W858),LN(1-W858))</f>
        <v/>
      </c>
      <c r="Y858" s="8">
        <f>1</f>
        <v/>
      </c>
      <c r="Z858" s="9">
        <f>Y858*X858</f>
        <v/>
      </c>
      <c r="AA858" s="10">
        <f>IF(W858&gt;$AE$32,1,0)</f>
        <v/>
      </c>
      <c r="AB858">
        <f>IF(AA858=C858,1,0)</f>
        <v/>
      </c>
    </row>
    <row r="859">
      <c r="A859">
        <f>'1 datos preparados'!A852</f>
        <v/>
      </c>
      <c r="B859" s="5">
        <f>'1 datos preparados'!U852</f>
        <v/>
      </c>
      <c r="C859">
        <f>'1 datos preparados'!B852</f>
        <v/>
      </c>
      <c r="D859" s="7">
        <f>'1 datos preparados'!C852</f>
        <v/>
      </c>
      <c r="E859" s="7">
        <f>'1 datos preparados'!D852</f>
        <v/>
      </c>
      <c r="F859" s="7">
        <f>'1 datos preparados'!E852</f>
        <v/>
      </c>
      <c r="G859" s="7">
        <f>'1 datos preparados'!F852</f>
        <v/>
      </c>
      <c r="H859" s="7">
        <f>'1 datos preparados'!G852</f>
        <v/>
      </c>
      <c r="I859" s="7">
        <f>'1 datos preparados'!H852</f>
        <v/>
      </c>
      <c r="J859" s="7">
        <f>'1 datos preparados'!I852</f>
        <v/>
      </c>
      <c r="K859" s="7">
        <f>'1 datos preparados'!J852</f>
        <v/>
      </c>
      <c r="L859" s="7">
        <f>'1 datos preparados'!K852</f>
        <v/>
      </c>
      <c r="M859" s="7">
        <f>'1 datos preparados'!L852</f>
        <v/>
      </c>
      <c r="N859" s="7">
        <f>'1 datos preparados'!M852</f>
        <v/>
      </c>
      <c r="O859" s="7">
        <f>'1 datos preparados'!N852</f>
        <v/>
      </c>
      <c r="P859" s="7">
        <f>'1 datos preparados'!O852</f>
        <v/>
      </c>
      <c r="Q859" s="7">
        <f>'1 datos preparados'!P852</f>
        <v/>
      </c>
      <c r="R859" s="7">
        <f>'1 datos preparados'!Q852</f>
        <v/>
      </c>
      <c r="S859" s="7">
        <f>'1 datos preparados'!R852</f>
        <v/>
      </c>
      <c r="T859" s="7">
        <f>'1 datos preparados'!S852</f>
        <v/>
      </c>
      <c r="U859" s="7">
        <f>'1 datos preparados'!T852</f>
        <v/>
      </c>
      <c r="V859" s="8">
        <f>$AE$12+D859*$AE$13+E859*$AE$14+F859*$AE$15+G859*$AE$16+H859*$AE$17+I859*$AE$18+J859*$AE$19+K859*$AE$20+L859*$AE$21+M859*$AE$22+N859*$AE$23+O859*$AE$24+P859*$AE$25+Q859*$AE$26+R859*$AE$27+S859*$AE$28+T859*$AE$29+U859*$AE$30</f>
        <v/>
      </c>
      <c r="W859" s="8">
        <f>1/(1+EXP(-V859))</f>
        <v/>
      </c>
      <c r="X859" s="9">
        <f>-IF(C859=1,LN(W859),LN(1-W859))</f>
        <v/>
      </c>
      <c r="Y859" s="8">
        <f>1</f>
        <v/>
      </c>
      <c r="Z859" s="9">
        <f>Y859*X859</f>
        <v/>
      </c>
      <c r="AA859" s="10">
        <f>IF(W859&gt;$AE$32,1,0)</f>
        <v/>
      </c>
      <c r="AB859">
        <f>IF(AA859=C859,1,0)</f>
        <v/>
      </c>
    </row>
    <row r="860">
      <c r="A860">
        <f>'1 datos preparados'!A853</f>
        <v/>
      </c>
      <c r="B860" s="5">
        <f>'1 datos preparados'!U853</f>
        <v/>
      </c>
      <c r="C860">
        <f>'1 datos preparados'!B853</f>
        <v/>
      </c>
      <c r="D860" s="7">
        <f>'1 datos preparados'!C853</f>
        <v/>
      </c>
      <c r="E860" s="7">
        <f>'1 datos preparados'!D853</f>
        <v/>
      </c>
      <c r="F860" s="7">
        <f>'1 datos preparados'!E853</f>
        <v/>
      </c>
      <c r="G860" s="7">
        <f>'1 datos preparados'!F853</f>
        <v/>
      </c>
      <c r="H860" s="7">
        <f>'1 datos preparados'!G853</f>
        <v/>
      </c>
      <c r="I860" s="7">
        <f>'1 datos preparados'!H853</f>
        <v/>
      </c>
      <c r="J860" s="7">
        <f>'1 datos preparados'!I853</f>
        <v/>
      </c>
      <c r="K860" s="7">
        <f>'1 datos preparados'!J853</f>
        <v/>
      </c>
      <c r="L860" s="7">
        <f>'1 datos preparados'!K853</f>
        <v/>
      </c>
      <c r="M860" s="7">
        <f>'1 datos preparados'!L853</f>
        <v/>
      </c>
      <c r="N860" s="7">
        <f>'1 datos preparados'!M853</f>
        <v/>
      </c>
      <c r="O860" s="7">
        <f>'1 datos preparados'!N853</f>
        <v/>
      </c>
      <c r="P860" s="7">
        <f>'1 datos preparados'!O853</f>
        <v/>
      </c>
      <c r="Q860" s="7">
        <f>'1 datos preparados'!P853</f>
        <v/>
      </c>
      <c r="R860" s="7">
        <f>'1 datos preparados'!Q853</f>
        <v/>
      </c>
      <c r="S860" s="7">
        <f>'1 datos preparados'!R853</f>
        <v/>
      </c>
      <c r="T860" s="7">
        <f>'1 datos preparados'!S853</f>
        <v/>
      </c>
      <c r="U860" s="7">
        <f>'1 datos preparados'!T853</f>
        <v/>
      </c>
      <c r="V860" s="8">
        <f>$AE$12+D860*$AE$13+E860*$AE$14+F860*$AE$15+G860*$AE$16+H860*$AE$17+I860*$AE$18+J860*$AE$19+K860*$AE$20+L860*$AE$21+M860*$AE$22+N860*$AE$23+O860*$AE$24+P860*$AE$25+Q860*$AE$26+R860*$AE$27+S860*$AE$28+T860*$AE$29+U860*$AE$30</f>
        <v/>
      </c>
      <c r="W860" s="8">
        <f>1/(1+EXP(-V860))</f>
        <v/>
      </c>
      <c r="X860" s="9">
        <f>-IF(C860=1,LN(W860),LN(1-W860))</f>
        <v/>
      </c>
      <c r="Y860" s="8">
        <f>1</f>
        <v/>
      </c>
      <c r="Z860" s="9">
        <f>Y860*X860</f>
        <v/>
      </c>
      <c r="AA860" s="10">
        <f>IF(W860&gt;$AE$32,1,0)</f>
        <v/>
      </c>
      <c r="AB860">
        <f>IF(AA860=C860,1,0)</f>
        <v/>
      </c>
    </row>
    <row r="861">
      <c r="A861">
        <f>'1 datos preparados'!A854</f>
        <v/>
      </c>
      <c r="B861" s="5">
        <f>'1 datos preparados'!U854</f>
        <v/>
      </c>
      <c r="C861">
        <f>'1 datos preparados'!B854</f>
        <v/>
      </c>
      <c r="D861" s="7">
        <f>'1 datos preparados'!C854</f>
        <v/>
      </c>
      <c r="E861" s="7">
        <f>'1 datos preparados'!D854</f>
        <v/>
      </c>
      <c r="F861" s="7">
        <f>'1 datos preparados'!E854</f>
        <v/>
      </c>
      <c r="G861" s="7">
        <f>'1 datos preparados'!F854</f>
        <v/>
      </c>
      <c r="H861" s="7">
        <f>'1 datos preparados'!G854</f>
        <v/>
      </c>
      <c r="I861" s="7">
        <f>'1 datos preparados'!H854</f>
        <v/>
      </c>
      <c r="J861" s="7">
        <f>'1 datos preparados'!I854</f>
        <v/>
      </c>
      <c r="K861" s="7">
        <f>'1 datos preparados'!J854</f>
        <v/>
      </c>
      <c r="L861" s="7">
        <f>'1 datos preparados'!K854</f>
        <v/>
      </c>
      <c r="M861" s="7">
        <f>'1 datos preparados'!L854</f>
        <v/>
      </c>
      <c r="N861" s="7">
        <f>'1 datos preparados'!M854</f>
        <v/>
      </c>
      <c r="O861" s="7">
        <f>'1 datos preparados'!N854</f>
        <v/>
      </c>
      <c r="P861" s="7">
        <f>'1 datos preparados'!O854</f>
        <v/>
      </c>
      <c r="Q861" s="7">
        <f>'1 datos preparados'!P854</f>
        <v/>
      </c>
      <c r="R861" s="7">
        <f>'1 datos preparados'!Q854</f>
        <v/>
      </c>
      <c r="S861" s="7">
        <f>'1 datos preparados'!R854</f>
        <v/>
      </c>
      <c r="T861" s="7">
        <f>'1 datos preparados'!S854</f>
        <v/>
      </c>
      <c r="U861" s="7">
        <f>'1 datos preparados'!T854</f>
        <v/>
      </c>
      <c r="V861" s="8">
        <f>$AE$12+D861*$AE$13+E861*$AE$14+F861*$AE$15+G861*$AE$16+H861*$AE$17+I861*$AE$18+J861*$AE$19+K861*$AE$20+L861*$AE$21+M861*$AE$22+N861*$AE$23+O861*$AE$24+P861*$AE$25+Q861*$AE$26+R861*$AE$27+S861*$AE$28+T861*$AE$29+U861*$AE$30</f>
        <v/>
      </c>
      <c r="W861" s="8">
        <f>1/(1+EXP(-V861))</f>
        <v/>
      </c>
      <c r="X861" s="9">
        <f>-IF(C861=1,LN(W861),LN(1-W861))</f>
        <v/>
      </c>
      <c r="Y861" s="8">
        <f>1</f>
        <v/>
      </c>
      <c r="Z861" s="9">
        <f>Y861*X861</f>
        <v/>
      </c>
      <c r="AA861" s="10">
        <f>IF(W861&gt;$AE$32,1,0)</f>
        <v/>
      </c>
      <c r="AB861">
        <f>IF(AA861=C861,1,0)</f>
        <v/>
      </c>
    </row>
    <row r="862">
      <c r="A862">
        <f>'1 datos preparados'!A855</f>
        <v/>
      </c>
      <c r="B862" s="5">
        <f>'1 datos preparados'!U855</f>
        <v/>
      </c>
      <c r="C862">
        <f>'1 datos preparados'!B855</f>
        <v/>
      </c>
      <c r="D862" s="7">
        <f>'1 datos preparados'!C855</f>
        <v/>
      </c>
      <c r="E862" s="7">
        <f>'1 datos preparados'!D855</f>
        <v/>
      </c>
      <c r="F862" s="7">
        <f>'1 datos preparados'!E855</f>
        <v/>
      </c>
      <c r="G862" s="7">
        <f>'1 datos preparados'!F855</f>
        <v/>
      </c>
      <c r="H862" s="7">
        <f>'1 datos preparados'!G855</f>
        <v/>
      </c>
      <c r="I862" s="7">
        <f>'1 datos preparados'!H855</f>
        <v/>
      </c>
      <c r="J862" s="7">
        <f>'1 datos preparados'!I855</f>
        <v/>
      </c>
      <c r="K862" s="7">
        <f>'1 datos preparados'!J855</f>
        <v/>
      </c>
      <c r="L862" s="7">
        <f>'1 datos preparados'!K855</f>
        <v/>
      </c>
      <c r="M862" s="7">
        <f>'1 datos preparados'!L855</f>
        <v/>
      </c>
      <c r="N862" s="7">
        <f>'1 datos preparados'!M855</f>
        <v/>
      </c>
      <c r="O862" s="7">
        <f>'1 datos preparados'!N855</f>
        <v/>
      </c>
      <c r="P862" s="7">
        <f>'1 datos preparados'!O855</f>
        <v/>
      </c>
      <c r="Q862" s="7">
        <f>'1 datos preparados'!P855</f>
        <v/>
      </c>
      <c r="R862" s="7">
        <f>'1 datos preparados'!Q855</f>
        <v/>
      </c>
      <c r="S862" s="7">
        <f>'1 datos preparados'!R855</f>
        <v/>
      </c>
      <c r="T862" s="7">
        <f>'1 datos preparados'!S855</f>
        <v/>
      </c>
      <c r="U862" s="7">
        <f>'1 datos preparados'!T855</f>
        <v/>
      </c>
      <c r="V862" s="8">
        <f>$AE$12+D862*$AE$13+E862*$AE$14+F862*$AE$15+G862*$AE$16+H862*$AE$17+I862*$AE$18+J862*$AE$19+K862*$AE$20+L862*$AE$21+M862*$AE$22+N862*$AE$23+O862*$AE$24+P862*$AE$25+Q862*$AE$26+R862*$AE$27+S862*$AE$28+T862*$AE$29+U862*$AE$30</f>
        <v/>
      </c>
      <c r="W862" s="8">
        <f>1/(1+EXP(-V862))</f>
        <v/>
      </c>
      <c r="X862" s="9">
        <f>-IF(C862=1,LN(W862),LN(1-W862))</f>
        <v/>
      </c>
      <c r="Y862" s="8">
        <f>1</f>
        <v/>
      </c>
      <c r="Z862" s="9">
        <f>Y862*X862</f>
        <v/>
      </c>
      <c r="AA862" s="10">
        <f>IF(W862&gt;$AE$32,1,0)</f>
        <v/>
      </c>
      <c r="AB862">
        <f>IF(AA862=C862,1,0)</f>
        <v/>
      </c>
    </row>
    <row r="863">
      <c r="A863">
        <f>'1 datos preparados'!A856</f>
        <v/>
      </c>
      <c r="B863" s="5">
        <f>'1 datos preparados'!U856</f>
        <v/>
      </c>
      <c r="C863">
        <f>'1 datos preparados'!B856</f>
        <v/>
      </c>
      <c r="D863" s="7">
        <f>'1 datos preparados'!C856</f>
        <v/>
      </c>
      <c r="E863" s="7">
        <f>'1 datos preparados'!D856</f>
        <v/>
      </c>
      <c r="F863" s="7">
        <f>'1 datos preparados'!E856</f>
        <v/>
      </c>
      <c r="G863" s="7">
        <f>'1 datos preparados'!F856</f>
        <v/>
      </c>
      <c r="H863" s="7">
        <f>'1 datos preparados'!G856</f>
        <v/>
      </c>
      <c r="I863" s="7">
        <f>'1 datos preparados'!H856</f>
        <v/>
      </c>
      <c r="J863" s="7">
        <f>'1 datos preparados'!I856</f>
        <v/>
      </c>
      <c r="K863" s="7">
        <f>'1 datos preparados'!J856</f>
        <v/>
      </c>
      <c r="L863" s="7">
        <f>'1 datos preparados'!K856</f>
        <v/>
      </c>
      <c r="M863" s="7">
        <f>'1 datos preparados'!L856</f>
        <v/>
      </c>
      <c r="N863" s="7">
        <f>'1 datos preparados'!M856</f>
        <v/>
      </c>
      <c r="O863" s="7">
        <f>'1 datos preparados'!N856</f>
        <v/>
      </c>
      <c r="P863" s="7">
        <f>'1 datos preparados'!O856</f>
        <v/>
      </c>
      <c r="Q863" s="7">
        <f>'1 datos preparados'!P856</f>
        <v/>
      </c>
      <c r="R863" s="7">
        <f>'1 datos preparados'!Q856</f>
        <v/>
      </c>
      <c r="S863" s="7">
        <f>'1 datos preparados'!R856</f>
        <v/>
      </c>
      <c r="T863" s="7">
        <f>'1 datos preparados'!S856</f>
        <v/>
      </c>
      <c r="U863" s="7">
        <f>'1 datos preparados'!T856</f>
        <v/>
      </c>
      <c r="V863" s="8">
        <f>$AE$12+D863*$AE$13+E863*$AE$14+F863*$AE$15+G863*$AE$16+H863*$AE$17+I863*$AE$18+J863*$AE$19+K863*$AE$20+L863*$AE$21+M863*$AE$22+N863*$AE$23+O863*$AE$24+P863*$AE$25+Q863*$AE$26+R863*$AE$27+S863*$AE$28+T863*$AE$29+U863*$AE$30</f>
        <v/>
      </c>
      <c r="W863" s="8">
        <f>1/(1+EXP(-V863))</f>
        <v/>
      </c>
      <c r="X863" s="9">
        <f>-IF(C863=1,LN(W863),LN(1-W863))</f>
        <v/>
      </c>
      <c r="Y863" s="8">
        <f>1</f>
        <v/>
      </c>
      <c r="Z863" s="9">
        <f>Y863*X863</f>
        <v/>
      </c>
      <c r="AA863" s="10">
        <f>IF(W863&gt;$AE$32,1,0)</f>
        <v/>
      </c>
      <c r="AB863">
        <f>IF(AA863=C863,1,0)</f>
        <v/>
      </c>
    </row>
    <row r="864">
      <c r="A864">
        <f>'1 datos preparados'!A857</f>
        <v/>
      </c>
      <c r="B864" s="5">
        <f>'1 datos preparados'!U857</f>
        <v/>
      </c>
      <c r="C864">
        <f>'1 datos preparados'!B857</f>
        <v/>
      </c>
      <c r="D864" s="7">
        <f>'1 datos preparados'!C857</f>
        <v/>
      </c>
      <c r="E864" s="7">
        <f>'1 datos preparados'!D857</f>
        <v/>
      </c>
      <c r="F864" s="7">
        <f>'1 datos preparados'!E857</f>
        <v/>
      </c>
      <c r="G864" s="7">
        <f>'1 datos preparados'!F857</f>
        <v/>
      </c>
      <c r="H864" s="7">
        <f>'1 datos preparados'!G857</f>
        <v/>
      </c>
      <c r="I864" s="7">
        <f>'1 datos preparados'!H857</f>
        <v/>
      </c>
      <c r="J864" s="7">
        <f>'1 datos preparados'!I857</f>
        <v/>
      </c>
      <c r="K864" s="7">
        <f>'1 datos preparados'!J857</f>
        <v/>
      </c>
      <c r="L864" s="7">
        <f>'1 datos preparados'!K857</f>
        <v/>
      </c>
      <c r="M864" s="7">
        <f>'1 datos preparados'!L857</f>
        <v/>
      </c>
      <c r="N864" s="7">
        <f>'1 datos preparados'!M857</f>
        <v/>
      </c>
      <c r="O864" s="7">
        <f>'1 datos preparados'!N857</f>
        <v/>
      </c>
      <c r="P864" s="7">
        <f>'1 datos preparados'!O857</f>
        <v/>
      </c>
      <c r="Q864" s="7">
        <f>'1 datos preparados'!P857</f>
        <v/>
      </c>
      <c r="R864" s="7">
        <f>'1 datos preparados'!Q857</f>
        <v/>
      </c>
      <c r="S864" s="7">
        <f>'1 datos preparados'!R857</f>
        <v/>
      </c>
      <c r="T864" s="7">
        <f>'1 datos preparados'!S857</f>
        <v/>
      </c>
      <c r="U864" s="7">
        <f>'1 datos preparados'!T857</f>
        <v/>
      </c>
      <c r="V864" s="8">
        <f>$AE$12+D864*$AE$13+E864*$AE$14+F864*$AE$15+G864*$AE$16+H864*$AE$17+I864*$AE$18+J864*$AE$19+K864*$AE$20+L864*$AE$21+M864*$AE$22+N864*$AE$23+O864*$AE$24+P864*$AE$25+Q864*$AE$26+R864*$AE$27+S864*$AE$28+T864*$AE$29+U864*$AE$30</f>
        <v/>
      </c>
      <c r="W864" s="8">
        <f>1/(1+EXP(-V864))</f>
        <v/>
      </c>
      <c r="X864" s="9">
        <f>-IF(C864=1,LN(W864),LN(1-W864))</f>
        <v/>
      </c>
      <c r="Y864" s="8">
        <f>1</f>
        <v/>
      </c>
      <c r="Z864" s="9">
        <f>Y864*X864</f>
        <v/>
      </c>
      <c r="AA864" s="10">
        <f>IF(W864&gt;$AE$32,1,0)</f>
        <v/>
      </c>
      <c r="AB864">
        <f>IF(AA864=C864,1,0)</f>
        <v/>
      </c>
    </row>
    <row r="865">
      <c r="A865">
        <f>'1 datos preparados'!A858</f>
        <v/>
      </c>
      <c r="B865" s="5">
        <f>'1 datos preparados'!U858</f>
        <v/>
      </c>
      <c r="C865">
        <f>'1 datos preparados'!B858</f>
        <v/>
      </c>
      <c r="D865" s="7">
        <f>'1 datos preparados'!C858</f>
        <v/>
      </c>
      <c r="E865" s="7">
        <f>'1 datos preparados'!D858</f>
        <v/>
      </c>
      <c r="F865" s="7">
        <f>'1 datos preparados'!E858</f>
        <v/>
      </c>
      <c r="G865" s="7">
        <f>'1 datos preparados'!F858</f>
        <v/>
      </c>
      <c r="H865" s="7">
        <f>'1 datos preparados'!G858</f>
        <v/>
      </c>
      <c r="I865" s="7">
        <f>'1 datos preparados'!H858</f>
        <v/>
      </c>
      <c r="J865" s="7">
        <f>'1 datos preparados'!I858</f>
        <v/>
      </c>
      <c r="K865" s="7">
        <f>'1 datos preparados'!J858</f>
        <v/>
      </c>
      <c r="L865" s="7">
        <f>'1 datos preparados'!K858</f>
        <v/>
      </c>
      <c r="M865" s="7">
        <f>'1 datos preparados'!L858</f>
        <v/>
      </c>
      <c r="N865" s="7">
        <f>'1 datos preparados'!M858</f>
        <v/>
      </c>
      <c r="O865" s="7">
        <f>'1 datos preparados'!N858</f>
        <v/>
      </c>
      <c r="P865" s="7">
        <f>'1 datos preparados'!O858</f>
        <v/>
      </c>
      <c r="Q865" s="7">
        <f>'1 datos preparados'!P858</f>
        <v/>
      </c>
      <c r="R865" s="7">
        <f>'1 datos preparados'!Q858</f>
        <v/>
      </c>
      <c r="S865" s="7">
        <f>'1 datos preparados'!R858</f>
        <v/>
      </c>
      <c r="T865" s="7">
        <f>'1 datos preparados'!S858</f>
        <v/>
      </c>
      <c r="U865" s="7">
        <f>'1 datos preparados'!T858</f>
        <v/>
      </c>
      <c r="V865" s="8">
        <f>$AE$12+D865*$AE$13+E865*$AE$14+F865*$AE$15+G865*$AE$16+H865*$AE$17+I865*$AE$18+J865*$AE$19+K865*$AE$20+L865*$AE$21+M865*$AE$22+N865*$AE$23+O865*$AE$24+P865*$AE$25+Q865*$AE$26+R865*$AE$27+S865*$AE$28+T865*$AE$29+U865*$AE$30</f>
        <v/>
      </c>
      <c r="W865" s="8">
        <f>1/(1+EXP(-V865))</f>
        <v/>
      </c>
      <c r="X865" s="9">
        <f>-IF(C865=1,LN(W865),LN(1-W865))</f>
        <v/>
      </c>
      <c r="Y865" s="8">
        <f>1</f>
        <v/>
      </c>
      <c r="Z865" s="9">
        <f>Y865*X865</f>
        <v/>
      </c>
      <c r="AA865" s="10">
        <f>IF(W865&gt;$AE$32,1,0)</f>
        <v/>
      </c>
      <c r="AB865">
        <f>IF(AA865=C865,1,0)</f>
        <v/>
      </c>
    </row>
    <row r="866">
      <c r="A866">
        <f>'1 datos preparados'!A859</f>
        <v/>
      </c>
      <c r="B866" s="5">
        <f>'1 datos preparados'!U859</f>
        <v/>
      </c>
      <c r="C866">
        <f>'1 datos preparados'!B859</f>
        <v/>
      </c>
      <c r="D866" s="7">
        <f>'1 datos preparados'!C859</f>
        <v/>
      </c>
      <c r="E866" s="7">
        <f>'1 datos preparados'!D859</f>
        <v/>
      </c>
      <c r="F866" s="7">
        <f>'1 datos preparados'!E859</f>
        <v/>
      </c>
      <c r="G866" s="7">
        <f>'1 datos preparados'!F859</f>
        <v/>
      </c>
      <c r="H866" s="7">
        <f>'1 datos preparados'!G859</f>
        <v/>
      </c>
      <c r="I866" s="7">
        <f>'1 datos preparados'!H859</f>
        <v/>
      </c>
      <c r="J866" s="7">
        <f>'1 datos preparados'!I859</f>
        <v/>
      </c>
      <c r="K866" s="7">
        <f>'1 datos preparados'!J859</f>
        <v/>
      </c>
      <c r="L866" s="7">
        <f>'1 datos preparados'!K859</f>
        <v/>
      </c>
      <c r="M866" s="7">
        <f>'1 datos preparados'!L859</f>
        <v/>
      </c>
      <c r="N866" s="7">
        <f>'1 datos preparados'!M859</f>
        <v/>
      </c>
      <c r="O866" s="7">
        <f>'1 datos preparados'!N859</f>
        <v/>
      </c>
      <c r="P866" s="7">
        <f>'1 datos preparados'!O859</f>
        <v/>
      </c>
      <c r="Q866" s="7">
        <f>'1 datos preparados'!P859</f>
        <v/>
      </c>
      <c r="R866" s="7">
        <f>'1 datos preparados'!Q859</f>
        <v/>
      </c>
      <c r="S866" s="7">
        <f>'1 datos preparados'!R859</f>
        <v/>
      </c>
      <c r="T866" s="7">
        <f>'1 datos preparados'!S859</f>
        <v/>
      </c>
      <c r="U866" s="7">
        <f>'1 datos preparados'!T859</f>
        <v/>
      </c>
      <c r="V866" s="8">
        <f>$AE$12+D866*$AE$13+E866*$AE$14+F866*$AE$15+G866*$AE$16+H866*$AE$17+I866*$AE$18+J866*$AE$19+K866*$AE$20+L866*$AE$21+M866*$AE$22+N866*$AE$23+O866*$AE$24+P866*$AE$25+Q866*$AE$26+R866*$AE$27+S866*$AE$28+T866*$AE$29+U866*$AE$30</f>
        <v/>
      </c>
      <c r="W866" s="8">
        <f>1/(1+EXP(-V866))</f>
        <v/>
      </c>
      <c r="X866" s="9">
        <f>-IF(C866=1,LN(W866),LN(1-W866))</f>
        <v/>
      </c>
      <c r="Y866" s="8">
        <f>1</f>
        <v/>
      </c>
      <c r="Z866" s="9">
        <f>Y866*X866</f>
        <v/>
      </c>
      <c r="AA866" s="10">
        <f>IF(W866&gt;$AE$32,1,0)</f>
        <v/>
      </c>
      <c r="AB866">
        <f>IF(AA866=C866,1,0)</f>
        <v/>
      </c>
    </row>
    <row r="867">
      <c r="A867">
        <f>'1 datos preparados'!A860</f>
        <v/>
      </c>
      <c r="B867" s="5">
        <f>'1 datos preparados'!U860</f>
        <v/>
      </c>
      <c r="C867">
        <f>'1 datos preparados'!B860</f>
        <v/>
      </c>
      <c r="D867" s="7">
        <f>'1 datos preparados'!C860</f>
        <v/>
      </c>
      <c r="E867" s="7">
        <f>'1 datos preparados'!D860</f>
        <v/>
      </c>
      <c r="F867" s="7">
        <f>'1 datos preparados'!E860</f>
        <v/>
      </c>
      <c r="G867" s="7">
        <f>'1 datos preparados'!F860</f>
        <v/>
      </c>
      <c r="H867" s="7">
        <f>'1 datos preparados'!G860</f>
        <v/>
      </c>
      <c r="I867" s="7">
        <f>'1 datos preparados'!H860</f>
        <v/>
      </c>
      <c r="J867" s="7">
        <f>'1 datos preparados'!I860</f>
        <v/>
      </c>
      <c r="K867" s="7">
        <f>'1 datos preparados'!J860</f>
        <v/>
      </c>
      <c r="L867" s="7">
        <f>'1 datos preparados'!K860</f>
        <v/>
      </c>
      <c r="M867" s="7">
        <f>'1 datos preparados'!L860</f>
        <v/>
      </c>
      <c r="N867" s="7">
        <f>'1 datos preparados'!M860</f>
        <v/>
      </c>
      <c r="O867" s="7">
        <f>'1 datos preparados'!N860</f>
        <v/>
      </c>
      <c r="P867" s="7">
        <f>'1 datos preparados'!O860</f>
        <v/>
      </c>
      <c r="Q867" s="7">
        <f>'1 datos preparados'!P860</f>
        <v/>
      </c>
      <c r="R867" s="7">
        <f>'1 datos preparados'!Q860</f>
        <v/>
      </c>
      <c r="S867" s="7">
        <f>'1 datos preparados'!R860</f>
        <v/>
      </c>
      <c r="T867" s="7">
        <f>'1 datos preparados'!S860</f>
        <v/>
      </c>
      <c r="U867" s="7">
        <f>'1 datos preparados'!T860</f>
        <v/>
      </c>
      <c r="V867" s="8">
        <f>$AE$12+D867*$AE$13+E867*$AE$14+F867*$AE$15+G867*$AE$16+H867*$AE$17+I867*$AE$18+J867*$AE$19+K867*$AE$20+L867*$AE$21+M867*$AE$22+N867*$AE$23+O867*$AE$24+P867*$AE$25+Q867*$AE$26+R867*$AE$27+S867*$AE$28+T867*$AE$29+U867*$AE$30</f>
        <v/>
      </c>
      <c r="W867" s="8">
        <f>1/(1+EXP(-V867))</f>
        <v/>
      </c>
      <c r="X867" s="9">
        <f>-IF(C867=1,LN(W867),LN(1-W867))</f>
        <v/>
      </c>
      <c r="Y867" s="8">
        <f>1</f>
        <v/>
      </c>
      <c r="Z867" s="9">
        <f>Y867*X867</f>
        <v/>
      </c>
      <c r="AA867" s="10">
        <f>IF(W867&gt;$AE$32,1,0)</f>
        <v/>
      </c>
      <c r="AB867">
        <f>IF(AA867=C867,1,0)</f>
        <v/>
      </c>
    </row>
    <row r="868">
      <c r="A868">
        <f>'1 datos preparados'!A861</f>
        <v/>
      </c>
      <c r="B868" s="5">
        <f>'1 datos preparados'!U861</f>
        <v/>
      </c>
      <c r="C868">
        <f>'1 datos preparados'!B861</f>
        <v/>
      </c>
      <c r="D868" s="7">
        <f>'1 datos preparados'!C861</f>
        <v/>
      </c>
      <c r="E868" s="7">
        <f>'1 datos preparados'!D861</f>
        <v/>
      </c>
      <c r="F868" s="7">
        <f>'1 datos preparados'!E861</f>
        <v/>
      </c>
      <c r="G868" s="7">
        <f>'1 datos preparados'!F861</f>
        <v/>
      </c>
      <c r="H868" s="7">
        <f>'1 datos preparados'!G861</f>
        <v/>
      </c>
      <c r="I868" s="7">
        <f>'1 datos preparados'!H861</f>
        <v/>
      </c>
      <c r="J868" s="7">
        <f>'1 datos preparados'!I861</f>
        <v/>
      </c>
      <c r="K868" s="7">
        <f>'1 datos preparados'!J861</f>
        <v/>
      </c>
      <c r="L868" s="7">
        <f>'1 datos preparados'!K861</f>
        <v/>
      </c>
      <c r="M868" s="7">
        <f>'1 datos preparados'!L861</f>
        <v/>
      </c>
      <c r="N868" s="7">
        <f>'1 datos preparados'!M861</f>
        <v/>
      </c>
      <c r="O868" s="7">
        <f>'1 datos preparados'!N861</f>
        <v/>
      </c>
      <c r="P868" s="7">
        <f>'1 datos preparados'!O861</f>
        <v/>
      </c>
      <c r="Q868" s="7">
        <f>'1 datos preparados'!P861</f>
        <v/>
      </c>
      <c r="R868" s="7">
        <f>'1 datos preparados'!Q861</f>
        <v/>
      </c>
      <c r="S868" s="7">
        <f>'1 datos preparados'!R861</f>
        <v/>
      </c>
      <c r="T868" s="7">
        <f>'1 datos preparados'!S861</f>
        <v/>
      </c>
      <c r="U868" s="7">
        <f>'1 datos preparados'!T861</f>
        <v/>
      </c>
      <c r="V868" s="8">
        <f>$AE$12+D868*$AE$13+E868*$AE$14+F868*$AE$15+G868*$AE$16+H868*$AE$17+I868*$AE$18+J868*$AE$19+K868*$AE$20+L868*$AE$21+M868*$AE$22+N868*$AE$23+O868*$AE$24+P868*$AE$25+Q868*$AE$26+R868*$AE$27+S868*$AE$28+T868*$AE$29+U868*$AE$30</f>
        <v/>
      </c>
      <c r="W868" s="8">
        <f>1/(1+EXP(-V868))</f>
        <v/>
      </c>
      <c r="X868" s="9">
        <f>-IF(C868=1,LN(W868),LN(1-W868))</f>
        <v/>
      </c>
      <c r="Y868" s="8">
        <f>1</f>
        <v/>
      </c>
      <c r="Z868" s="9">
        <f>Y868*X868</f>
        <v/>
      </c>
      <c r="AA868" s="10">
        <f>IF(W868&gt;$AE$32,1,0)</f>
        <v/>
      </c>
      <c r="AB868">
        <f>IF(AA868=C868,1,0)</f>
        <v/>
      </c>
    </row>
    <row r="869">
      <c r="A869">
        <f>'1 datos preparados'!A862</f>
        <v/>
      </c>
      <c r="B869" s="5">
        <f>'1 datos preparados'!U862</f>
        <v/>
      </c>
      <c r="C869">
        <f>'1 datos preparados'!B862</f>
        <v/>
      </c>
      <c r="D869" s="7">
        <f>'1 datos preparados'!C862</f>
        <v/>
      </c>
      <c r="E869" s="7">
        <f>'1 datos preparados'!D862</f>
        <v/>
      </c>
      <c r="F869" s="7">
        <f>'1 datos preparados'!E862</f>
        <v/>
      </c>
      <c r="G869" s="7">
        <f>'1 datos preparados'!F862</f>
        <v/>
      </c>
      <c r="H869" s="7">
        <f>'1 datos preparados'!G862</f>
        <v/>
      </c>
      <c r="I869" s="7">
        <f>'1 datos preparados'!H862</f>
        <v/>
      </c>
      <c r="J869" s="7">
        <f>'1 datos preparados'!I862</f>
        <v/>
      </c>
      <c r="K869" s="7">
        <f>'1 datos preparados'!J862</f>
        <v/>
      </c>
      <c r="L869" s="7">
        <f>'1 datos preparados'!K862</f>
        <v/>
      </c>
      <c r="M869" s="7">
        <f>'1 datos preparados'!L862</f>
        <v/>
      </c>
      <c r="N869" s="7">
        <f>'1 datos preparados'!M862</f>
        <v/>
      </c>
      <c r="O869" s="7">
        <f>'1 datos preparados'!N862</f>
        <v/>
      </c>
      <c r="P869" s="7">
        <f>'1 datos preparados'!O862</f>
        <v/>
      </c>
      <c r="Q869" s="7">
        <f>'1 datos preparados'!P862</f>
        <v/>
      </c>
      <c r="R869" s="7">
        <f>'1 datos preparados'!Q862</f>
        <v/>
      </c>
      <c r="S869" s="7">
        <f>'1 datos preparados'!R862</f>
        <v/>
      </c>
      <c r="T869" s="7">
        <f>'1 datos preparados'!S862</f>
        <v/>
      </c>
      <c r="U869" s="7">
        <f>'1 datos preparados'!T862</f>
        <v/>
      </c>
      <c r="V869" s="8">
        <f>$AE$12+D869*$AE$13+E869*$AE$14+F869*$AE$15+G869*$AE$16+H869*$AE$17+I869*$AE$18+J869*$AE$19+K869*$AE$20+L869*$AE$21+M869*$AE$22+N869*$AE$23+O869*$AE$24+P869*$AE$25+Q869*$AE$26+R869*$AE$27+S869*$AE$28+T869*$AE$29+U869*$AE$30</f>
        <v/>
      </c>
      <c r="W869" s="8">
        <f>1/(1+EXP(-V869))</f>
        <v/>
      </c>
      <c r="X869" s="9">
        <f>-IF(C869=1,LN(W869),LN(1-W869))</f>
        <v/>
      </c>
      <c r="Y869" s="8">
        <f>1</f>
        <v/>
      </c>
      <c r="Z869" s="9">
        <f>Y869*X869</f>
        <v/>
      </c>
      <c r="AA869" s="10">
        <f>IF(W869&gt;$AE$32,1,0)</f>
        <v/>
      </c>
      <c r="AB869">
        <f>IF(AA869=C869,1,0)</f>
        <v/>
      </c>
    </row>
    <row r="870">
      <c r="A870">
        <f>'1 datos preparados'!A863</f>
        <v/>
      </c>
      <c r="B870" s="5">
        <f>'1 datos preparados'!U863</f>
        <v/>
      </c>
      <c r="C870">
        <f>'1 datos preparados'!B863</f>
        <v/>
      </c>
      <c r="D870" s="7">
        <f>'1 datos preparados'!C863</f>
        <v/>
      </c>
      <c r="E870" s="7">
        <f>'1 datos preparados'!D863</f>
        <v/>
      </c>
      <c r="F870" s="7">
        <f>'1 datos preparados'!E863</f>
        <v/>
      </c>
      <c r="G870" s="7">
        <f>'1 datos preparados'!F863</f>
        <v/>
      </c>
      <c r="H870" s="7">
        <f>'1 datos preparados'!G863</f>
        <v/>
      </c>
      <c r="I870" s="7">
        <f>'1 datos preparados'!H863</f>
        <v/>
      </c>
      <c r="J870" s="7">
        <f>'1 datos preparados'!I863</f>
        <v/>
      </c>
      <c r="K870" s="7">
        <f>'1 datos preparados'!J863</f>
        <v/>
      </c>
      <c r="L870" s="7">
        <f>'1 datos preparados'!K863</f>
        <v/>
      </c>
      <c r="M870" s="7">
        <f>'1 datos preparados'!L863</f>
        <v/>
      </c>
      <c r="N870" s="7">
        <f>'1 datos preparados'!M863</f>
        <v/>
      </c>
      <c r="O870" s="7">
        <f>'1 datos preparados'!N863</f>
        <v/>
      </c>
      <c r="P870" s="7">
        <f>'1 datos preparados'!O863</f>
        <v/>
      </c>
      <c r="Q870" s="7">
        <f>'1 datos preparados'!P863</f>
        <v/>
      </c>
      <c r="R870" s="7">
        <f>'1 datos preparados'!Q863</f>
        <v/>
      </c>
      <c r="S870" s="7">
        <f>'1 datos preparados'!R863</f>
        <v/>
      </c>
      <c r="T870" s="7">
        <f>'1 datos preparados'!S863</f>
        <v/>
      </c>
      <c r="U870" s="7">
        <f>'1 datos preparados'!T863</f>
        <v/>
      </c>
      <c r="V870" s="8">
        <f>$AE$12+D870*$AE$13+E870*$AE$14+F870*$AE$15+G870*$AE$16+H870*$AE$17+I870*$AE$18+J870*$AE$19+K870*$AE$20+L870*$AE$21+M870*$AE$22+N870*$AE$23+O870*$AE$24+P870*$AE$25+Q870*$AE$26+R870*$AE$27+S870*$AE$28+T870*$AE$29+U870*$AE$30</f>
        <v/>
      </c>
      <c r="W870" s="8">
        <f>1/(1+EXP(-V870))</f>
        <v/>
      </c>
      <c r="X870" s="9">
        <f>-IF(C870=1,LN(W870),LN(1-W870))</f>
        <v/>
      </c>
      <c r="Y870" s="8">
        <f>1</f>
        <v/>
      </c>
      <c r="Z870" s="9">
        <f>Y870*X870</f>
        <v/>
      </c>
      <c r="AA870" s="10">
        <f>IF(W870&gt;$AE$32,1,0)</f>
        <v/>
      </c>
      <c r="AB870">
        <f>IF(AA870=C870,1,0)</f>
        <v/>
      </c>
    </row>
    <row r="871">
      <c r="A871">
        <f>'1 datos preparados'!A864</f>
        <v/>
      </c>
      <c r="B871" s="5">
        <f>'1 datos preparados'!U864</f>
        <v/>
      </c>
      <c r="C871">
        <f>'1 datos preparados'!B864</f>
        <v/>
      </c>
      <c r="D871" s="7">
        <f>'1 datos preparados'!C864</f>
        <v/>
      </c>
      <c r="E871" s="7">
        <f>'1 datos preparados'!D864</f>
        <v/>
      </c>
      <c r="F871" s="7">
        <f>'1 datos preparados'!E864</f>
        <v/>
      </c>
      <c r="G871" s="7">
        <f>'1 datos preparados'!F864</f>
        <v/>
      </c>
      <c r="H871" s="7">
        <f>'1 datos preparados'!G864</f>
        <v/>
      </c>
      <c r="I871" s="7">
        <f>'1 datos preparados'!H864</f>
        <v/>
      </c>
      <c r="J871" s="7">
        <f>'1 datos preparados'!I864</f>
        <v/>
      </c>
      <c r="K871" s="7">
        <f>'1 datos preparados'!J864</f>
        <v/>
      </c>
      <c r="L871" s="7">
        <f>'1 datos preparados'!K864</f>
        <v/>
      </c>
      <c r="M871" s="7">
        <f>'1 datos preparados'!L864</f>
        <v/>
      </c>
      <c r="N871" s="7">
        <f>'1 datos preparados'!M864</f>
        <v/>
      </c>
      <c r="O871" s="7">
        <f>'1 datos preparados'!N864</f>
        <v/>
      </c>
      <c r="P871" s="7">
        <f>'1 datos preparados'!O864</f>
        <v/>
      </c>
      <c r="Q871" s="7">
        <f>'1 datos preparados'!P864</f>
        <v/>
      </c>
      <c r="R871" s="7">
        <f>'1 datos preparados'!Q864</f>
        <v/>
      </c>
      <c r="S871" s="7">
        <f>'1 datos preparados'!R864</f>
        <v/>
      </c>
      <c r="T871" s="7">
        <f>'1 datos preparados'!S864</f>
        <v/>
      </c>
      <c r="U871" s="7">
        <f>'1 datos preparados'!T864</f>
        <v/>
      </c>
      <c r="V871" s="8">
        <f>$AE$12+D871*$AE$13+E871*$AE$14+F871*$AE$15+G871*$AE$16+H871*$AE$17+I871*$AE$18+J871*$AE$19+K871*$AE$20+L871*$AE$21+M871*$AE$22+N871*$AE$23+O871*$AE$24+P871*$AE$25+Q871*$AE$26+R871*$AE$27+S871*$AE$28+T871*$AE$29+U871*$AE$30</f>
        <v/>
      </c>
      <c r="W871" s="8">
        <f>1/(1+EXP(-V871))</f>
        <v/>
      </c>
      <c r="X871" s="9">
        <f>-IF(C871=1,LN(W871),LN(1-W871))</f>
        <v/>
      </c>
      <c r="Y871" s="8">
        <f>1</f>
        <v/>
      </c>
      <c r="Z871" s="9">
        <f>Y871*X871</f>
        <v/>
      </c>
      <c r="AA871" s="10">
        <f>IF(W871&gt;$AE$32,1,0)</f>
        <v/>
      </c>
      <c r="AB871">
        <f>IF(AA871=C871,1,0)</f>
        <v/>
      </c>
    </row>
    <row r="872">
      <c r="A872">
        <f>'1 datos preparados'!A865</f>
        <v/>
      </c>
      <c r="B872" s="5">
        <f>'1 datos preparados'!U865</f>
        <v/>
      </c>
      <c r="C872">
        <f>'1 datos preparados'!B865</f>
        <v/>
      </c>
      <c r="D872" s="7">
        <f>'1 datos preparados'!C865</f>
        <v/>
      </c>
      <c r="E872" s="7">
        <f>'1 datos preparados'!D865</f>
        <v/>
      </c>
      <c r="F872" s="7">
        <f>'1 datos preparados'!E865</f>
        <v/>
      </c>
      <c r="G872" s="7">
        <f>'1 datos preparados'!F865</f>
        <v/>
      </c>
      <c r="H872" s="7">
        <f>'1 datos preparados'!G865</f>
        <v/>
      </c>
      <c r="I872" s="7">
        <f>'1 datos preparados'!H865</f>
        <v/>
      </c>
      <c r="J872" s="7">
        <f>'1 datos preparados'!I865</f>
        <v/>
      </c>
      <c r="K872" s="7">
        <f>'1 datos preparados'!J865</f>
        <v/>
      </c>
      <c r="L872" s="7">
        <f>'1 datos preparados'!K865</f>
        <v/>
      </c>
      <c r="M872" s="7">
        <f>'1 datos preparados'!L865</f>
        <v/>
      </c>
      <c r="N872" s="7">
        <f>'1 datos preparados'!M865</f>
        <v/>
      </c>
      <c r="O872" s="7">
        <f>'1 datos preparados'!N865</f>
        <v/>
      </c>
      <c r="P872" s="7">
        <f>'1 datos preparados'!O865</f>
        <v/>
      </c>
      <c r="Q872" s="7">
        <f>'1 datos preparados'!P865</f>
        <v/>
      </c>
      <c r="R872" s="7">
        <f>'1 datos preparados'!Q865</f>
        <v/>
      </c>
      <c r="S872" s="7">
        <f>'1 datos preparados'!R865</f>
        <v/>
      </c>
      <c r="T872" s="7">
        <f>'1 datos preparados'!S865</f>
        <v/>
      </c>
      <c r="U872" s="7">
        <f>'1 datos preparados'!T865</f>
        <v/>
      </c>
      <c r="V872" s="8">
        <f>$AE$12+D872*$AE$13+E872*$AE$14+F872*$AE$15+G872*$AE$16+H872*$AE$17+I872*$AE$18+J872*$AE$19+K872*$AE$20+L872*$AE$21+M872*$AE$22+N872*$AE$23+O872*$AE$24+P872*$AE$25+Q872*$AE$26+R872*$AE$27+S872*$AE$28+T872*$AE$29+U872*$AE$30</f>
        <v/>
      </c>
      <c r="W872" s="8">
        <f>1/(1+EXP(-V872))</f>
        <v/>
      </c>
      <c r="X872" s="9">
        <f>-IF(C872=1,LN(W872),LN(1-W872))</f>
        <v/>
      </c>
      <c r="Y872" s="8">
        <f>1</f>
        <v/>
      </c>
      <c r="Z872" s="9">
        <f>Y872*X872</f>
        <v/>
      </c>
      <c r="AA872" s="10">
        <f>IF(W872&gt;$AE$32,1,0)</f>
        <v/>
      </c>
      <c r="AB872">
        <f>IF(AA872=C872,1,0)</f>
        <v/>
      </c>
    </row>
    <row r="873">
      <c r="A873">
        <f>'1 datos preparados'!A866</f>
        <v/>
      </c>
      <c r="B873" s="5">
        <f>'1 datos preparados'!U866</f>
        <v/>
      </c>
      <c r="C873">
        <f>'1 datos preparados'!B866</f>
        <v/>
      </c>
      <c r="D873" s="7">
        <f>'1 datos preparados'!C866</f>
        <v/>
      </c>
      <c r="E873" s="7">
        <f>'1 datos preparados'!D866</f>
        <v/>
      </c>
      <c r="F873" s="7">
        <f>'1 datos preparados'!E866</f>
        <v/>
      </c>
      <c r="G873" s="7">
        <f>'1 datos preparados'!F866</f>
        <v/>
      </c>
      <c r="H873" s="7">
        <f>'1 datos preparados'!G866</f>
        <v/>
      </c>
      <c r="I873" s="7">
        <f>'1 datos preparados'!H866</f>
        <v/>
      </c>
      <c r="J873" s="7">
        <f>'1 datos preparados'!I866</f>
        <v/>
      </c>
      <c r="K873" s="7">
        <f>'1 datos preparados'!J866</f>
        <v/>
      </c>
      <c r="L873" s="7">
        <f>'1 datos preparados'!K866</f>
        <v/>
      </c>
      <c r="M873" s="7">
        <f>'1 datos preparados'!L866</f>
        <v/>
      </c>
      <c r="N873" s="7">
        <f>'1 datos preparados'!M866</f>
        <v/>
      </c>
      <c r="O873" s="7">
        <f>'1 datos preparados'!N866</f>
        <v/>
      </c>
      <c r="P873" s="7">
        <f>'1 datos preparados'!O866</f>
        <v/>
      </c>
      <c r="Q873" s="7">
        <f>'1 datos preparados'!P866</f>
        <v/>
      </c>
      <c r="R873" s="7">
        <f>'1 datos preparados'!Q866</f>
        <v/>
      </c>
      <c r="S873" s="7">
        <f>'1 datos preparados'!R866</f>
        <v/>
      </c>
      <c r="T873" s="7">
        <f>'1 datos preparados'!S866</f>
        <v/>
      </c>
      <c r="U873" s="7">
        <f>'1 datos preparados'!T866</f>
        <v/>
      </c>
      <c r="V873" s="8">
        <f>$AE$12+D873*$AE$13+E873*$AE$14+F873*$AE$15+G873*$AE$16+H873*$AE$17+I873*$AE$18+J873*$AE$19+K873*$AE$20+L873*$AE$21+M873*$AE$22+N873*$AE$23+O873*$AE$24+P873*$AE$25+Q873*$AE$26+R873*$AE$27+S873*$AE$28+T873*$AE$29+U873*$AE$30</f>
        <v/>
      </c>
      <c r="W873" s="8">
        <f>1/(1+EXP(-V873))</f>
        <v/>
      </c>
      <c r="X873" s="9">
        <f>-IF(C873=1,LN(W873),LN(1-W873))</f>
        <v/>
      </c>
      <c r="Y873" s="8">
        <f>1</f>
        <v/>
      </c>
      <c r="Z873" s="9">
        <f>Y873*X873</f>
        <v/>
      </c>
      <c r="AA873" s="10">
        <f>IF(W873&gt;$AE$32,1,0)</f>
        <v/>
      </c>
      <c r="AB873">
        <f>IF(AA873=C873,1,0)</f>
        <v/>
      </c>
    </row>
    <row r="874">
      <c r="A874">
        <f>'1 datos preparados'!A867</f>
        <v/>
      </c>
      <c r="B874" s="5">
        <f>'1 datos preparados'!U867</f>
        <v/>
      </c>
      <c r="C874">
        <f>'1 datos preparados'!B867</f>
        <v/>
      </c>
      <c r="D874" s="7">
        <f>'1 datos preparados'!C867</f>
        <v/>
      </c>
      <c r="E874" s="7">
        <f>'1 datos preparados'!D867</f>
        <v/>
      </c>
      <c r="F874" s="7">
        <f>'1 datos preparados'!E867</f>
        <v/>
      </c>
      <c r="G874" s="7">
        <f>'1 datos preparados'!F867</f>
        <v/>
      </c>
      <c r="H874" s="7">
        <f>'1 datos preparados'!G867</f>
        <v/>
      </c>
      <c r="I874" s="7">
        <f>'1 datos preparados'!H867</f>
        <v/>
      </c>
      <c r="J874" s="7">
        <f>'1 datos preparados'!I867</f>
        <v/>
      </c>
      <c r="K874" s="7">
        <f>'1 datos preparados'!J867</f>
        <v/>
      </c>
      <c r="L874" s="7">
        <f>'1 datos preparados'!K867</f>
        <v/>
      </c>
      <c r="M874" s="7">
        <f>'1 datos preparados'!L867</f>
        <v/>
      </c>
      <c r="N874" s="7">
        <f>'1 datos preparados'!M867</f>
        <v/>
      </c>
      <c r="O874" s="7">
        <f>'1 datos preparados'!N867</f>
        <v/>
      </c>
      <c r="P874" s="7">
        <f>'1 datos preparados'!O867</f>
        <v/>
      </c>
      <c r="Q874" s="7">
        <f>'1 datos preparados'!P867</f>
        <v/>
      </c>
      <c r="R874" s="7">
        <f>'1 datos preparados'!Q867</f>
        <v/>
      </c>
      <c r="S874" s="7">
        <f>'1 datos preparados'!R867</f>
        <v/>
      </c>
      <c r="T874" s="7">
        <f>'1 datos preparados'!S867</f>
        <v/>
      </c>
      <c r="U874" s="7">
        <f>'1 datos preparados'!T867</f>
        <v/>
      </c>
      <c r="V874" s="8">
        <f>$AE$12+D874*$AE$13+E874*$AE$14+F874*$AE$15+G874*$AE$16+H874*$AE$17+I874*$AE$18+J874*$AE$19+K874*$AE$20+L874*$AE$21+M874*$AE$22+N874*$AE$23+O874*$AE$24+P874*$AE$25+Q874*$AE$26+R874*$AE$27+S874*$AE$28+T874*$AE$29+U874*$AE$30</f>
        <v/>
      </c>
      <c r="W874" s="8">
        <f>1/(1+EXP(-V874))</f>
        <v/>
      </c>
      <c r="X874" s="9">
        <f>-IF(C874=1,LN(W874),LN(1-W874))</f>
        <v/>
      </c>
      <c r="Y874" s="8">
        <f>1</f>
        <v/>
      </c>
      <c r="Z874" s="9">
        <f>Y874*X874</f>
        <v/>
      </c>
      <c r="AA874" s="10">
        <f>IF(W874&gt;$AE$32,1,0)</f>
        <v/>
      </c>
      <c r="AB874">
        <f>IF(AA874=C874,1,0)</f>
        <v/>
      </c>
    </row>
    <row r="875">
      <c r="A875">
        <f>'1 datos preparados'!A868</f>
        <v/>
      </c>
      <c r="B875" s="5">
        <f>'1 datos preparados'!U868</f>
        <v/>
      </c>
      <c r="C875">
        <f>'1 datos preparados'!B868</f>
        <v/>
      </c>
      <c r="D875" s="7">
        <f>'1 datos preparados'!C868</f>
        <v/>
      </c>
      <c r="E875" s="7">
        <f>'1 datos preparados'!D868</f>
        <v/>
      </c>
      <c r="F875" s="7">
        <f>'1 datos preparados'!E868</f>
        <v/>
      </c>
      <c r="G875" s="7">
        <f>'1 datos preparados'!F868</f>
        <v/>
      </c>
      <c r="H875" s="7">
        <f>'1 datos preparados'!G868</f>
        <v/>
      </c>
      <c r="I875" s="7">
        <f>'1 datos preparados'!H868</f>
        <v/>
      </c>
      <c r="J875" s="7">
        <f>'1 datos preparados'!I868</f>
        <v/>
      </c>
      <c r="K875" s="7">
        <f>'1 datos preparados'!J868</f>
        <v/>
      </c>
      <c r="L875" s="7">
        <f>'1 datos preparados'!K868</f>
        <v/>
      </c>
      <c r="M875" s="7">
        <f>'1 datos preparados'!L868</f>
        <v/>
      </c>
      <c r="N875" s="7">
        <f>'1 datos preparados'!M868</f>
        <v/>
      </c>
      <c r="O875" s="7">
        <f>'1 datos preparados'!N868</f>
        <v/>
      </c>
      <c r="P875" s="7">
        <f>'1 datos preparados'!O868</f>
        <v/>
      </c>
      <c r="Q875" s="7">
        <f>'1 datos preparados'!P868</f>
        <v/>
      </c>
      <c r="R875" s="7">
        <f>'1 datos preparados'!Q868</f>
        <v/>
      </c>
      <c r="S875" s="7">
        <f>'1 datos preparados'!R868</f>
        <v/>
      </c>
      <c r="T875" s="7">
        <f>'1 datos preparados'!S868</f>
        <v/>
      </c>
      <c r="U875" s="7">
        <f>'1 datos preparados'!T868</f>
        <v/>
      </c>
      <c r="V875" s="8">
        <f>$AE$12+D875*$AE$13+E875*$AE$14+F875*$AE$15+G875*$AE$16+H875*$AE$17+I875*$AE$18+J875*$AE$19+K875*$AE$20+L875*$AE$21+M875*$AE$22+N875*$AE$23+O875*$AE$24+P875*$AE$25+Q875*$AE$26+R875*$AE$27+S875*$AE$28+T875*$AE$29+U875*$AE$30</f>
        <v/>
      </c>
      <c r="W875" s="8">
        <f>1/(1+EXP(-V875))</f>
        <v/>
      </c>
      <c r="X875" s="9">
        <f>-IF(C875=1,LN(W875),LN(1-W875))</f>
        <v/>
      </c>
      <c r="Y875" s="8">
        <f>1</f>
        <v/>
      </c>
      <c r="Z875" s="9">
        <f>Y875*X875</f>
        <v/>
      </c>
      <c r="AA875" s="10">
        <f>IF(W875&gt;$AE$32,1,0)</f>
        <v/>
      </c>
      <c r="AB875">
        <f>IF(AA875=C875,1,0)</f>
        <v/>
      </c>
    </row>
    <row r="876">
      <c r="A876">
        <f>'1 datos preparados'!A869</f>
        <v/>
      </c>
      <c r="B876" s="5">
        <f>'1 datos preparados'!U869</f>
        <v/>
      </c>
      <c r="C876">
        <f>'1 datos preparados'!B869</f>
        <v/>
      </c>
      <c r="D876" s="7">
        <f>'1 datos preparados'!C869</f>
        <v/>
      </c>
      <c r="E876" s="7">
        <f>'1 datos preparados'!D869</f>
        <v/>
      </c>
      <c r="F876" s="7">
        <f>'1 datos preparados'!E869</f>
        <v/>
      </c>
      <c r="G876" s="7">
        <f>'1 datos preparados'!F869</f>
        <v/>
      </c>
      <c r="H876" s="7">
        <f>'1 datos preparados'!G869</f>
        <v/>
      </c>
      <c r="I876" s="7">
        <f>'1 datos preparados'!H869</f>
        <v/>
      </c>
      <c r="J876" s="7">
        <f>'1 datos preparados'!I869</f>
        <v/>
      </c>
      <c r="K876" s="7">
        <f>'1 datos preparados'!J869</f>
        <v/>
      </c>
      <c r="L876" s="7">
        <f>'1 datos preparados'!K869</f>
        <v/>
      </c>
      <c r="M876" s="7">
        <f>'1 datos preparados'!L869</f>
        <v/>
      </c>
      <c r="N876" s="7">
        <f>'1 datos preparados'!M869</f>
        <v/>
      </c>
      <c r="O876" s="7">
        <f>'1 datos preparados'!N869</f>
        <v/>
      </c>
      <c r="P876" s="7">
        <f>'1 datos preparados'!O869</f>
        <v/>
      </c>
      <c r="Q876" s="7">
        <f>'1 datos preparados'!P869</f>
        <v/>
      </c>
      <c r="R876" s="7">
        <f>'1 datos preparados'!Q869</f>
        <v/>
      </c>
      <c r="S876" s="7">
        <f>'1 datos preparados'!R869</f>
        <v/>
      </c>
      <c r="T876" s="7">
        <f>'1 datos preparados'!S869</f>
        <v/>
      </c>
      <c r="U876" s="7">
        <f>'1 datos preparados'!T869</f>
        <v/>
      </c>
      <c r="V876" s="8">
        <f>$AE$12+D876*$AE$13+E876*$AE$14+F876*$AE$15+G876*$AE$16+H876*$AE$17+I876*$AE$18+J876*$AE$19+K876*$AE$20+L876*$AE$21+M876*$AE$22+N876*$AE$23+O876*$AE$24+P876*$AE$25+Q876*$AE$26+R876*$AE$27+S876*$AE$28+T876*$AE$29+U876*$AE$30</f>
        <v/>
      </c>
      <c r="W876" s="8">
        <f>1/(1+EXP(-V876))</f>
        <v/>
      </c>
      <c r="X876" s="9">
        <f>-IF(C876=1,LN(W876),LN(1-W876))</f>
        <v/>
      </c>
      <c r="Y876" s="8">
        <f>1</f>
        <v/>
      </c>
      <c r="Z876" s="9">
        <f>Y876*X876</f>
        <v/>
      </c>
      <c r="AA876" s="10">
        <f>IF(W876&gt;$AE$32,1,0)</f>
        <v/>
      </c>
      <c r="AB876">
        <f>IF(AA876=C876,1,0)</f>
        <v/>
      </c>
    </row>
    <row r="877">
      <c r="A877">
        <f>'1 datos preparados'!A870</f>
        <v/>
      </c>
      <c r="B877" s="5">
        <f>'1 datos preparados'!U870</f>
        <v/>
      </c>
      <c r="C877">
        <f>'1 datos preparados'!B870</f>
        <v/>
      </c>
      <c r="D877" s="7">
        <f>'1 datos preparados'!C870</f>
        <v/>
      </c>
      <c r="E877" s="7">
        <f>'1 datos preparados'!D870</f>
        <v/>
      </c>
      <c r="F877" s="7">
        <f>'1 datos preparados'!E870</f>
        <v/>
      </c>
      <c r="G877" s="7">
        <f>'1 datos preparados'!F870</f>
        <v/>
      </c>
      <c r="H877" s="7">
        <f>'1 datos preparados'!G870</f>
        <v/>
      </c>
      <c r="I877" s="7">
        <f>'1 datos preparados'!H870</f>
        <v/>
      </c>
      <c r="J877" s="7">
        <f>'1 datos preparados'!I870</f>
        <v/>
      </c>
      <c r="K877" s="7">
        <f>'1 datos preparados'!J870</f>
        <v/>
      </c>
      <c r="L877" s="7">
        <f>'1 datos preparados'!K870</f>
        <v/>
      </c>
      <c r="M877" s="7">
        <f>'1 datos preparados'!L870</f>
        <v/>
      </c>
      <c r="N877" s="7">
        <f>'1 datos preparados'!M870</f>
        <v/>
      </c>
      <c r="O877" s="7">
        <f>'1 datos preparados'!N870</f>
        <v/>
      </c>
      <c r="P877" s="7">
        <f>'1 datos preparados'!O870</f>
        <v/>
      </c>
      <c r="Q877" s="7">
        <f>'1 datos preparados'!P870</f>
        <v/>
      </c>
      <c r="R877" s="7">
        <f>'1 datos preparados'!Q870</f>
        <v/>
      </c>
      <c r="S877" s="7">
        <f>'1 datos preparados'!R870</f>
        <v/>
      </c>
      <c r="T877" s="7">
        <f>'1 datos preparados'!S870</f>
        <v/>
      </c>
      <c r="U877" s="7">
        <f>'1 datos preparados'!T870</f>
        <v/>
      </c>
      <c r="V877" s="8">
        <f>$AE$12+D877*$AE$13+E877*$AE$14+F877*$AE$15+G877*$AE$16+H877*$AE$17+I877*$AE$18+J877*$AE$19+K877*$AE$20+L877*$AE$21+M877*$AE$22+N877*$AE$23+O877*$AE$24+P877*$AE$25+Q877*$AE$26+R877*$AE$27+S877*$AE$28+T877*$AE$29+U877*$AE$30</f>
        <v/>
      </c>
      <c r="W877" s="8">
        <f>1/(1+EXP(-V877))</f>
        <v/>
      </c>
      <c r="X877" s="9">
        <f>-IF(C877=1,LN(W877),LN(1-W877))</f>
        <v/>
      </c>
      <c r="Y877" s="8">
        <f>1</f>
        <v/>
      </c>
      <c r="Z877" s="9">
        <f>Y877*X877</f>
        <v/>
      </c>
      <c r="AA877" s="10">
        <f>IF(W877&gt;$AE$32,1,0)</f>
        <v/>
      </c>
      <c r="AB877">
        <f>IF(AA877=C877,1,0)</f>
        <v/>
      </c>
    </row>
    <row r="878">
      <c r="A878">
        <f>'1 datos preparados'!A871</f>
        <v/>
      </c>
      <c r="B878" s="5">
        <f>'1 datos preparados'!U871</f>
        <v/>
      </c>
      <c r="C878">
        <f>'1 datos preparados'!B871</f>
        <v/>
      </c>
      <c r="D878" s="7">
        <f>'1 datos preparados'!C871</f>
        <v/>
      </c>
      <c r="E878" s="7">
        <f>'1 datos preparados'!D871</f>
        <v/>
      </c>
      <c r="F878" s="7">
        <f>'1 datos preparados'!E871</f>
        <v/>
      </c>
      <c r="G878" s="7">
        <f>'1 datos preparados'!F871</f>
        <v/>
      </c>
      <c r="H878" s="7">
        <f>'1 datos preparados'!G871</f>
        <v/>
      </c>
      <c r="I878" s="7">
        <f>'1 datos preparados'!H871</f>
        <v/>
      </c>
      <c r="J878" s="7">
        <f>'1 datos preparados'!I871</f>
        <v/>
      </c>
      <c r="K878" s="7">
        <f>'1 datos preparados'!J871</f>
        <v/>
      </c>
      <c r="L878" s="7">
        <f>'1 datos preparados'!K871</f>
        <v/>
      </c>
      <c r="M878" s="7">
        <f>'1 datos preparados'!L871</f>
        <v/>
      </c>
      <c r="N878" s="7">
        <f>'1 datos preparados'!M871</f>
        <v/>
      </c>
      <c r="O878" s="7">
        <f>'1 datos preparados'!N871</f>
        <v/>
      </c>
      <c r="P878" s="7">
        <f>'1 datos preparados'!O871</f>
        <v/>
      </c>
      <c r="Q878" s="7">
        <f>'1 datos preparados'!P871</f>
        <v/>
      </c>
      <c r="R878" s="7">
        <f>'1 datos preparados'!Q871</f>
        <v/>
      </c>
      <c r="S878" s="7">
        <f>'1 datos preparados'!R871</f>
        <v/>
      </c>
      <c r="T878" s="7">
        <f>'1 datos preparados'!S871</f>
        <v/>
      </c>
      <c r="U878" s="7">
        <f>'1 datos preparados'!T871</f>
        <v/>
      </c>
      <c r="V878" s="8">
        <f>$AE$12+D878*$AE$13+E878*$AE$14+F878*$AE$15+G878*$AE$16+H878*$AE$17+I878*$AE$18+J878*$AE$19+K878*$AE$20+L878*$AE$21+M878*$AE$22+N878*$AE$23+O878*$AE$24+P878*$AE$25+Q878*$AE$26+R878*$AE$27+S878*$AE$28+T878*$AE$29+U878*$AE$30</f>
        <v/>
      </c>
      <c r="W878" s="8">
        <f>1/(1+EXP(-V878))</f>
        <v/>
      </c>
      <c r="X878" s="9">
        <f>-IF(C878=1,LN(W878),LN(1-W878))</f>
        <v/>
      </c>
      <c r="Y878" s="8">
        <f>1</f>
        <v/>
      </c>
      <c r="Z878" s="9">
        <f>Y878*X878</f>
        <v/>
      </c>
      <c r="AA878" s="10">
        <f>IF(W878&gt;$AE$32,1,0)</f>
        <v/>
      </c>
      <c r="AB878">
        <f>IF(AA878=C878,1,0)</f>
        <v/>
      </c>
    </row>
    <row r="879">
      <c r="A879">
        <f>'1 datos preparados'!A872</f>
        <v/>
      </c>
      <c r="B879" s="5">
        <f>'1 datos preparados'!U872</f>
        <v/>
      </c>
      <c r="C879">
        <f>'1 datos preparados'!B872</f>
        <v/>
      </c>
      <c r="D879" s="7">
        <f>'1 datos preparados'!C872</f>
        <v/>
      </c>
      <c r="E879" s="7">
        <f>'1 datos preparados'!D872</f>
        <v/>
      </c>
      <c r="F879" s="7">
        <f>'1 datos preparados'!E872</f>
        <v/>
      </c>
      <c r="G879" s="7">
        <f>'1 datos preparados'!F872</f>
        <v/>
      </c>
      <c r="H879" s="7">
        <f>'1 datos preparados'!G872</f>
        <v/>
      </c>
      <c r="I879" s="7">
        <f>'1 datos preparados'!H872</f>
        <v/>
      </c>
      <c r="J879" s="7">
        <f>'1 datos preparados'!I872</f>
        <v/>
      </c>
      <c r="K879" s="7">
        <f>'1 datos preparados'!J872</f>
        <v/>
      </c>
      <c r="L879" s="7">
        <f>'1 datos preparados'!K872</f>
        <v/>
      </c>
      <c r="M879" s="7">
        <f>'1 datos preparados'!L872</f>
        <v/>
      </c>
      <c r="N879" s="7">
        <f>'1 datos preparados'!M872</f>
        <v/>
      </c>
      <c r="O879" s="7">
        <f>'1 datos preparados'!N872</f>
        <v/>
      </c>
      <c r="P879" s="7">
        <f>'1 datos preparados'!O872</f>
        <v/>
      </c>
      <c r="Q879" s="7">
        <f>'1 datos preparados'!P872</f>
        <v/>
      </c>
      <c r="R879" s="7">
        <f>'1 datos preparados'!Q872</f>
        <v/>
      </c>
      <c r="S879" s="7">
        <f>'1 datos preparados'!R872</f>
        <v/>
      </c>
      <c r="T879" s="7">
        <f>'1 datos preparados'!S872</f>
        <v/>
      </c>
      <c r="U879" s="7">
        <f>'1 datos preparados'!T872</f>
        <v/>
      </c>
      <c r="V879" s="8">
        <f>$AE$12+D879*$AE$13+E879*$AE$14+F879*$AE$15+G879*$AE$16+H879*$AE$17+I879*$AE$18+J879*$AE$19+K879*$AE$20+L879*$AE$21+M879*$AE$22+N879*$AE$23+O879*$AE$24+P879*$AE$25+Q879*$AE$26+R879*$AE$27+S879*$AE$28+T879*$AE$29+U879*$AE$30</f>
        <v/>
      </c>
      <c r="W879" s="8">
        <f>1/(1+EXP(-V879))</f>
        <v/>
      </c>
      <c r="X879" s="9">
        <f>-IF(C879=1,LN(W879),LN(1-W879))</f>
        <v/>
      </c>
      <c r="Y879" s="8">
        <f>1</f>
        <v/>
      </c>
      <c r="Z879" s="9">
        <f>Y879*X879</f>
        <v/>
      </c>
      <c r="AA879" s="10">
        <f>IF(W879&gt;$AE$32,1,0)</f>
        <v/>
      </c>
      <c r="AB879">
        <f>IF(AA879=C879,1,0)</f>
        <v/>
      </c>
    </row>
    <row r="880">
      <c r="A880">
        <f>'1 datos preparados'!A873</f>
        <v/>
      </c>
      <c r="B880" s="5">
        <f>'1 datos preparados'!U873</f>
        <v/>
      </c>
      <c r="C880">
        <f>'1 datos preparados'!B873</f>
        <v/>
      </c>
      <c r="D880" s="7">
        <f>'1 datos preparados'!C873</f>
        <v/>
      </c>
      <c r="E880" s="7">
        <f>'1 datos preparados'!D873</f>
        <v/>
      </c>
      <c r="F880" s="7">
        <f>'1 datos preparados'!E873</f>
        <v/>
      </c>
      <c r="G880" s="7">
        <f>'1 datos preparados'!F873</f>
        <v/>
      </c>
      <c r="H880" s="7">
        <f>'1 datos preparados'!G873</f>
        <v/>
      </c>
      <c r="I880" s="7">
        <f>'1 datos preparados'!H873</f>
        <v/>
      </c>
      <c r="J880" s="7">
        <f>'1 datos preparados'!I873</f>
        <v/>
      </c>
      <c r="K880" s="7">
        <f>'1 datos preparados'!J873</f>
        <v/>
      </c>
      <c r="L880" s="7">
        <f>'1 datos preparados'!K873</f>
        <v/>
      </c>
      <c r="M880" s="7">
        <f>'1 datos preparados'!L873</f>
        <v/>
      </c>
      <c r="N880" s="7">
        <f>'1 datos preparados'!M873</f>
        <v/>
      </c>
      <c r="O880" s="7">
        <f>'1 datos preparados'!N873</f>
        <v/>
      </c>
      <c r="P880" s="7">
        <f>'1 datos preparados'!O873</f>
        <v/>
      </c>
      <c r="Q880" s="7">
        <f>'1 datos preparados'!P873</f>
        <v/>
      </c>
      <c r="R880" s="7">
        <f>'1 datos preparados'!Q873</f>
        <v/>
      </c>
      <c r="S880" s="7">
        <f>'1 datos preparados'!R873</f>
        <v/>
      </c>
      <c r="T880" s="7">
        <f>'1 datos preparados'!S873</f>
        <v/>
      </c>
      <c r="U880" s="7">
        <f>'1 datos preparados'!T873</f>
        <v/>
      </c>
      <c r="V880" s="8">
        <f>$AE$12+D880*$AE$13+E880*$AE$14+F880*$AE$15+G880*$AE$16+H880*$AE$17+I880*$AE$18+J880*$AE$19+K880*$AE$20+L880*$AE$21+M880*$AE$22+N880*$AE$23+O880*$AE$24+P880*$AE$25+Q880*$AE$26+R880*$AE$27+S880*$AE$28+T880*$AE$29+U880*$AE$30</f>
        <v/>
      </c>
      <c r="W880" s="8">
        <f>1/(1+EXP(-V880))</f>
        <v/>
      </c>
      <c r="X880" s="9">
        <f>-IF(C880=1,LN(W880),LN(1-W880))</f>
        <v/>
      </c>
      <c r="Y880" s="8">
        <f>1</f>
        <v/>
      </c>
      <c r="Z880" s="9">
        <f>Y880*X880</f>
        <v/>
      </c>
      <c r="AA880" s="10">
        <f>IF(W880&gt;$AE$32,1,0)</f>
        <v/>
      </c>
      <c r="AB880">
        <f>IF(AA880=C880,1,0)</f>
        <v/>
      </c>
    </row>
    <row r="881">
      <c r="A881">
        <f>'1 datos preparados'!A874</f>
        <v/>
      </c>
      <c r="B881" s="5">
        <f>'1 datos preparados'!U874</f>
        <v/>
      </c>
      <c r="C881">
        <f>'1 datos preparados'!B874</f>
        <v/>
      </c>
      <c r="D881" s="7">
        <f>'1 datos preparados'!C874</f>
        <v/>
      </c>
      <c r="E881" s="7">
        <f>'1 datos preparados'!D874</f>
        <v/>
      </c>
      <c r="F881" s="7">
        <f>'1 datos preparados'!E874</f>
        <v/>
      </c>
      <c r="G881" s="7">
        <f>'1 datos preparados'!F874</f>
        <v/>
      </c>
      <c r="H881" s="7">
        <f>'1 datos preparados'!G874</f>
        <v/>
      </c>
      <c r="I881" s="7">
        <f>'1 datos preparados'!H874</f>
        <v/>
      </c>
      <c r="J881" s="7">
        <f>'1 datos preparados'!I874</f>
        <v/>
      </c>
      <c r="K881" s="7">
        <f>'1 datos preparados'!J874</f>
        <v/>
      </c>
      <c r="L881" s="7">
        <f>'1 datos preparados'!K874</f>
        <v/>
      </c>
      <c r="M881" s="7">
        <f>'1 datos preparados'!L874</f>
        <v/>
      </c>
      <c r="N881" s="7">
        <f>'1 datos preparados'!M874</f>
        <v/>
      </c>
      <c r="O881" s="7">
        <f>'1 datos preparados'!N874</f>
        <v/>
      </c>
      <c r="P881" s="7">
        <f>'1 datos preparados'!O874</f>
        <v/>
      </c>
      <c r="Q881" s="7">
        <f>'1 datos preparados'!P874</f>
        <v/>
      </c>
      <c r="R881" s="7">
        <f>'1 datos preparados'!Q874</f>
        <v/>
      </c>
      <c r="S881" s="7">
        <f>'1 datos preparados'!R874</f>
        <v/>
      </c>
      <c r="T881" s="7">
        <f>'1 datos preparados'!S874</f>
        <v/>
      </c>
      <c r="U881" s="7">
        <f>'1 datos preparados'!T874</f>
        <v/>
      </c>
      <c r="V881" s="8">
        <f>$AE$12+D881*$AE$13+E881*$AE$14+F881*$AE$15+G881*$AE$16+H881*$AE$17+I881*$AE$18+J881*$AE$19+K881*$AE$20+L881*$AE$21+M881*$AE$22+N881*$AE$23+O881*$AE$24+P881*$AE$25+Q881*$AE$26+R881*$AE$27+S881*$AE$28+T881*$AE$29+U881*$AE$30</f>
        <v/>
      </c>
      <c r="W881" s="8">
        <f>1/(1+EXP(-V881))</f>
        <v/>
      </c>
      <c r="X881" s="9">
        <f>-IF(C881=1,LN(W881),LN(1-W881))</f>
        <v/>
      </c>
      <c r="Y881" s="8">
        <f>1</f>
        <v/>
      </c>
      <c r="Z881" s="9">
        <f>Y881*X881</f>
        <v/>
      </c>
      <c r="AA881" s="10">
        <f>IF(W881&gt;$AE$32,1,0)</f>
        <v/>
      </c>
      <c r="AB881">
        <f>IF(AA881=C881,1,0)</f>
        <v/>
      </c>
    </row>
    <row r="882">
      <c r="A882">
        <f>'1 datos preparados'!A875</f>
        <v/>
      </c>
      <c r="B882" s="5">
        <f>'1 datos preparados'!U875</f>
        <v/>
      </c>
      <c r="C882">
        <f>'1 datos preparados'!B875</f>
        <v/>
      </c>
      <c r="D882" s="7">
        <f>'1 datos preparados'!C875</f>
        <v/>
      </c>
      <c r="E882" s="7">
        <f>'1 datos preparados'!D875</f>
        <v/>
      </c>
      <c r="F882" s="7">
        <f>'1 datos preparados'!E875</f>
        <v/>
      </c>
      <c r="G882" s="7">
        <f>'1 datos preparados'!F875</f>
        <v/>
      </c>
      <c r="H882" s="7">
        <f>'1 datos preparados'!G875</f>
        <v/>
      </c>
      <c r="I882" s="7">
        <f>'1 datos preparados'!H875</f>
        <v/>
      </c>
      <c r="J882" s="7">
        <f>'1 datos preparados'!I875</f>
        <v/>
      </c>
      <c r="K882" s="7">
        <f>'1 datos preparados'!J875</f>
        <v/>
      </c>
      <c r="L882" s="7">
        <f>'1 datos preparados'!K875</f>
        <v/>
      </c>
      <c r="M882" s="7">
        <f>'1 datos preparados'!L875</f>
        <v/>
      </c>
      <c r="N882" s="7">
        <f>'1 datos preparados'!M875</f>
        <v/>
      </c>
      <c r="O882" s="7">
        <f>'1 datos preparados'!N875</f>
        <v/>
      </c>
      <c r="P882" s="7">
        <f>'1 datos preparados'!O875</f>
        <v/>
      </c>
      <c r="Q882" s="7">
        <f>'1 datos preparados'!P875</f>
        <v/>
      </c>
      <c r="R882" s="7">
        <f>'1 datos preparados'!Q875</f>
        <v/>
      </c>
      <c r="S882" s="7">
        <f>'1 datos preparados'!R875</f>
        <v/>
      </c>
      <c r="T882" s="7">
        <f>'1 datos preparados'!S875</f>
        <v/>
      </c>
      <c r="U882" s="7">
        <f>'1 datos preparados'!T875</f>
        <v/>
      </c>
      <c r="V882" s="8">
        <f>$AE$12+D882*$AE$13+E882*$AE$14+F882*$AE$15+G882*$AE$16+H882*$AE$17+I882*$AE$18+J882*$AE$19+K882*$AE$20+L882*$AE$21+M882*$AE$22+N882*$AE$23+O882*$AE$24+P882*$AE$25+Q882*$AE$26+R882*$AE$27+S882*$AE$28+T882*$AE$29+U882*$AE$30</f>
        <v/>
      </c>
      <c r="W882" s="8">
        <f>1/(1+EXP(-V882))</f>
        <v/>
      </c>
      <c r="X882" s="9">
        <f>-IF(C882=1,LN(W882),LN(1-W882))</f>
        <v/>
      </c>
      <c r="Y882" s="8">
        <f>1</f>
        <v/>
      </c>
      <c r="Z882" s="9">
        <f>Y882*X882</f>
        <v/>
      </c>
      <c r="AA882" s="10">
        <f>IF(W882&gt;$AE$32,1,0)</f>
        <v/>
      </c>
      <c r="AB882">
        <f>IF(AA882=C882,1,0)</f>
        <v/>
      </c>
    </row>
    <row r="883">
      <c r="A883">
        <f>'1 datos preparados'!A876</f>
        <v/>
      </c>
      <c r="B883" s="5">
        <f>'1 datos preparados'!U876</f>
        <v/>
      </c>
      <c r="C883">
        <f>'1 datos preparados'!B876</f>
        <v/>
      </c>
      <c r="D883" s="7">
        <f>'1 datos preparados'!C876</f>
        <v/>
      </c>
      <c r="E883" s="7">
        <f>'1 datos preparados'!D876</f>
        <v/>
      </c>
      <c r="F883" s="7">
        <f>'1 datos preparados'!E876</f>
        <v/>
      </c>
      <c r="G883" s="7">
        <f>'1 datos preparados'!F876</f>
        <v/>
      </c>
      <c r="H883" s="7">
        <f>'1 datos preparados'!G876</f>
        <v/>
      </c>
      <c r="I883" s="7">
        <f>'1 datos preparados'!H876</f>
        <v/>
      </c>
      <c r="J883" s="7">
        <f>'1 datos preparados'!I876</f>
        <v/>
      </c>
      <c r="K883" s="7">
        <f>'1 datos preparados'!J876</f>
        <v/>
      </c>
      <c r="L883" s="7">
        <f>'1 datos preparados'!K876</f>
        <v/>
      </c>
      <c r="M883" s="7">
        <f>'1 datos preparados'!L876</f>
        <v/>
      </c>
      <c r="N883" s="7">
        <f>'1 datos preparados'!M876</f>
        <v/>
      </c>
      <c r="O883" s="7">
        <f>'1 datos preparados'!N876</f>
        <v/>
      </c>
      <c r="P883" s="7">
        <f>'1 datos preparados'!O876</f>
        <v/>
      </c>
      <c r="Q883" s="7">
        <f>'1 datos preparados'!P876</f>
        <v/>
      </c>
      <c r="R883" s="7">
        <f>'1 datos preparados'!Q876</f>
        <v/>
      </c>
      <c r="S883" s="7">
        <f>'1 datos preparados'!R876</f>
        <v/>
      </c>
      <c r="T883" s="7">
        <f>'1 datos preparados'!S876</f>
        <v/>
      </c>
      <c r="U883" s="7">
        <f>'1 datos preparados'!T876</f>
        <v/>
      </c>
      <c r="V883" s="8">
        <f>$AE$12+D883*$AE$13+E883*$AE$14+F883*$AE$15+G883*$AE$16+H883*$AE$17+I883*$AE$18+J883*$AE$19+K883*$AE$20+L883*$AE$21+M883*$AE$22+N883*$AE$23+O883*$AE$24+P883*$AE$25+Q883*$AE$26+R883*$AE$27+S883*$AE$28+T883*$AE$29+U883*$AE$30</f>
        <v/>
      </c>
      <c r="W883" s="8">
        <f>1/(1+EXP(-V883))</f>
        <v/>
      </c>
      <c r="X883" s="9">
        <f>-IF(C883=1,LN(W883),LN(1-W883))</f>
        <v/>
      </c>
      <c r="Y883" s="8">
        <f>1</f>
        <v/>
      </c>
      <c r="Z883" s="9">
        <f>Y883*X883</f>
        <v/>
      </c>
      <c r="AA883" s="10">
        <f>IF(W883&gt;$AE$32,1,0)</f>
        <v/>
      </c>
      <c r="AB883">
        <f>IF(AA883=C883,1,0)</f>
        <v/>
      </c>
    </row>
    <row r="884">
      <c r="A884">
        <f>'1 datos preparados'!A877</f>
        <v/>
      </c>
      <c r="B884" s="5">
        <f>'1 datos preparados'!U877</f>
        <v/>
      </c>
      <c r="C884">
        <f>'1 datos preparados'!B877</f>
        <v/>
      </c>
      <c r="D884" s="7">
        <f>'1 datos preparados'!C877</f>
        <v/>
      </c>
      <c r="E884" s="7">
        <f>'1 datos preparados'!D877</f>
        <v/>
      </c>
      <c r="F884" s="7">
        <f>'1 datos preparados'!E877</f>
        <v/>
      </c>
      <c r="G884" s="7">
        <f>'1 datos preparados'!F877</f>
        <v/>
      </c>
      <c r="H884" s="7">
        <f>'1 datos preparados'!G877</f>
        <v/>
      </c>
      <c r="I884" s="7">
        <f>'1 datos preparados'!H877</f>
        <v/>
      </c>
      <c r="J884" s="7">
        <f>'1 datos preparados'!I877</f>
        <v/>
      </c>
      <c r="K884" s="7">
        <f>'1 datos preparados'!J877</f>
        <v/>
      </c>
      <c r="L884" s="7">
        <f>'1 datos preparados'!K877</f>
        <v/>
      </c>
      <c r="M884" s="7">
        <f>'1 datos preparados'!L877</f>
        <v/>
      </c>
      <c r="N884" s="7">
        <f>'1 datos preparados'!M877</f>
        <v/>
      </c>
      <c r="O884" s="7">
        <f>'1 datos preparados'!N877</f>
        <v/>
      </c>
      <c r="P884" s="7">
        <f>'1 datos preparados'!O877</f>
        <v/>
      </c>
      <c r="Q884" s="7">
        <f>'1 datos preparados'!P877</f>
        <v/>
      </c>
      <c r="R884" s="7">
        <f>'1 datos preparados'!Q877</f>
        <v/>
      </c>
      <c r="S884" s="7">
        <f>'1 datos preparados'!R877</f>
        <v/>
      </c>
      <c r="T884" s="7">
        <f>'1 datos preparados'!S877</f>
        <v/>
      </c>
      <c r="U884" s="7">
        <f>'1 datos preparados'!T877</f>
        <v/>
      </c>
      <c r="V884" s="8">
        <f>$AE$12+D884*$AE$13+E884*$AE$14+F884*$AE$15+G884*$AE$16+H884*$AE$17+I884*$AE$18+J884*$AE$19+K884*$AE$20+L884*$AE$21+M884*$AE$22+N884*$AE$23+O884*$AE$24+P884*$AE$25+Q884*$AE$26+R884*$AE$27+S884*$AE$28+T884*$AE$29+U884*$AE$30</f>
        <v/>
      </c>
      <c r="W884" s="8">
        <f>1/(1+EXP(-V884))</f>
        <v/>
      </c>
      <c r="X884" s="9">
        <f>-IF(C884=1,LN(W884),LN(1-W884))</f>
        <v/>
      </c>
      <c r="Y884" s="8">
        <f>1</f>
        <v/>
      </c>
      <c r="Z884" s="9">
        <f>Y884*X884</f>
        <v/>
      </c>
      <c r="AA884" s="10">
        <f>IF(W884&gt;$AE$32,1,0)</f>
        <v/>
      </c>
      <c r="AB884">
        <f>IF(AA884=C884,1,0)</f>
        <v/>
      </c>
    </row>
    <row r="885">
      <c r="A885">
        <f>'1 datos preparados'!A878</f>
        <v/>
      </c>
      <c r="B885" s="5">
        <f>'1 datos preparados'!U878</f>
        <v/>
      </c>
      <c r="C885">
        <f>'1 datos preparados'!B878</f>
        <v/>
      </c>
      <c r="D885" s="7">
        <f>'1 datos preparados'!C878</f>
        <v/>
      </c>
      <c r="E885" s="7">
        <f>'1 datos preparados'!D878</f>
        <v/>
      </c>
      <c r="F885" s="7">
        <f>'1 datos preparados'!E878</f>
        <v/>
      </c>
      <c r="G885" s="7">
        <f>'1 datos preparados'!F878</f>
        <v/>
      </c>
      <c r="H885" s="7">
        <f>'1 datos preparados'!G878</f>
        <v/>
      </c>
      <c r="I885" s="7">
        <f>'1 datos preparados'!H878</f>
        <v/>
      </c>
      <c r="J885" s="7">
        <f>'1 datos preparados'!I878</f>
        <v/>
      </c>
      <c r="K885" s="7">
        <f>'1 datos preparados'!J878</f>
        <v/>
      </c>
      <c r="L885" s="7">
        <f>'1 datos preparados'!K878</f>
        <v/>
      </c>
      <c r="M885" s="7">
        <f>'1 datos preparados'!L878</f>
        <v/>
      </c>
      <c r="N885" s="7">
        <f>'1 datos preparados'!M878</f>
        <v/>
      </c>
      <c r="O885" s="7">
        <f>'1 datos preparados'!N878</f>
        <v/>
      </c>
      <c r="P885" s="7">
        <f>'1 datos preparados'!O878</f>
        <v/>
      </c>
      <c r="Q885" s="7">
        <f>'1 datos preparados'!P878</f>
        <v/>
      </c>
      <c r="R885" s="7">
        <f>'1 datos preparados'!Q878</f>
        <v/>
      </c>
      <c r="S885" s="7">
        <f>'1 datos preparados'!R878</f>
        <v/>
      </c>
      <c r="T885" s="7">
        <f>'1 datos preparados'!S878</f>
        <v/>
      </c>
      <c r="U885" s="7">
        <f>'1 datos preparados'!T878</f>
        <v/>
      </c>
      <c r="V885" s="8">
        <f>$AE$12+D885*$AE$13+E885*$AE$14+F885*$AE$15+G885*$AE$16+H885*$AE$17+I885*$AE$18+J885*$AE$19+K885*$AE$20+L885*$AE$21+M885*$AE$22+N885*$AE$23+O885*$AE$24+P885*$AE$25+Q885*$AE$26+R885*$AE$27+S885*$AE$28+T885*$AE$29+U885*$AE$30</f>
        <v/>
      </c>
      <c r="W885" s="8">
        <f>1/(1+EXP(-V885))</f>
        <v/>
      </c>
      <c r="X885" s="9">
        <f>-IF(C885=1,LN(W885),LN(1-W885))</f>
        <v/>
      </c>
      <c r="Y885" s="8">
        <f>1</f>
        <v/>
      </c>
      <c r="Z885" s="9">
        <f>Y885*X885</f>
        <v/>
      </c>
      <c r="AA885" s="10">
        <f>IF(W885&gt;$AE$32,1,0)</f>
        <v/>
      </c>
      <c r="AB885">
        <f>IF(AA885=C885,1,0)</f>
        <v/>
      </c>
    </row>
    <row r="886">
      <c r="A886">
        <f>'1 datos preparados'!A879</f>
        <v/>
      </c>
      <c r="B886" s="5">
        <f>'1 datos preparados'!U879</f>
        <v/>
      </c>
      <c r="C886">
        <f>'1 datos preparados'!B879</f>
        <v/>
      </c>
      <c r="D886" s="7">
        <f>'1 datos preparados'!C879</f>
        <v/>
      </c>
      <c r="E886" s="7">
        <f>'1 datos preparados'!D879</f>
        <v/>
      </c>
      <c r="F886" s="7">
        <f>'1 datos preparados'!E879</f>
        <v/>
      </c>
      <c r="G886" s="7">
        <f>'1 datos preparados'!F879</f>
        <v/>
      </c>
      <c r="H886" s="7">
        <f>'1 datos preparados'!G879</f>
        <v/>
      </c>
      <c r="I886" s="7">
        <f>'1 datos preparados'!H879</f>
        <v/>
      </c>
      <c r="J886" s="7">
        <f>'1 datos preparados'!I879</f>
        <v/>
      </c>
      <c r="K886" s="7">
        <f>'1 datos preparados'!J879</f>
        <v/>
      </c>
      <c r="L886" s="7">
        <f>'1 datos preparados'!K879</f>
        <v/>
      </c>
      <c r="M886" s="7">
        <f>'1 datos preparados'!L879</f>
        <v/>
      </c>
      <c r="N886" s="7">
        <f>'1 datos preparados'!M879</f>
        <v/>
      </c>
      <c r="O886" s="7">
        <f>'1 datos preparados'!N879</f>
        <v/>
      </c>
      <c r="P886" s="7">
        <f>'1 datos preparados'!O879</f>
        <v/>
      </c>
      <c r="Q886" s="7">
        <f>'1 datos preparados'!P879</f>
        <v/>
      </c>
      <c r="R886" s="7">
        <f>'1 datos preparados'!Q879</f>
        <v/>
      </c>
      <c r="S886" s="7">
        <f>'1 datos preparados'!R879</f>
        <v/>
      </c>
      <c r="T886" s="7">
        <f>'1 datos preparados'!S879</f>
        <v/>
      </c>
      <c r="U886" s="7">
        <f>'1 datos preparados'!T879</f>
        <v/>
      </c>
      <c r="V886" s="8">
        <f>$AE$12+D886*$AE$13+E886*$AE$14+F886*$AE$15+G886*$AE$16+H886*$AE$17+I886*$AE$18+J886*$AE$19+K886*$AE$20+L886*$AE$21+M886*$AE$22+N886*$AE$23+O886*$AE$24+P886*$AE$25+Q886*$AE$26+R886*$AE$27+S886*$AE$28+T886*$AE$29+U886*$AE$30</f>
        <v/>
      </c>
      <c r="W886" s="8">
        <f>1/(1+EXP(-V886))</f>
        <v/>
      </c>
      <c r="X886" s="9">
        <f>-IF(C886=1,LN(W886),LN(1-W886))</f>
        <v/>
      </c>
      <c r="Y886" s="8">
        <f>1</f>
        <v/>
      </c>
      <c r="Z886" s="9">
        <f>Y886*X886</f>
        <v/>
      </c>
      <c r="AA886" s="10">
        <f>IF(W886&gt;$AE$32,1,0)</f>
        <v/>
      </c>
      <c r="AB886">
        <f>IF(AA886=C886,1,0)</f>
        <v/>
      </c>
    </row>
    <row r="887">
      <c r="A887">
        <f>'1 datos preparados'!A880</f>
        <v/>
      </c>
      <c r="B887" s="5">
        <f>'1 datos preparados'!U880</f>
        <v/>
      </c>
      <c r="C887">
        <f>'1 datos preparados'!B880</f>
        <v/>
      </c>
      <c r="D887" s="7">
        <f>'1 datos preparados'!C880</f>
        <v/>
      </c>
      <c r="E887" s="7">
        <f>'1 datos preparados'!D880</f>
        <v/>
      </c>
      <c r="F887" s="7">
        <f>'1 datos preparados'!E880</f>
        <v/>
      </c>
      <c r="G887" s="7">
        <f>'1 datos preparados'!F880</f>
        <v/>
      </c>
      <c r="H887" s="7">
        <f>'1 datos preparados'!G880</f>
        <v/>
      </c>
      <c r="I887" s="7">
        <f>'1 datos preparados'!H880</f>
        <v/>
      </c>
      <c r="J887" s="7">
        <f>'1 datos preparados'!I880</f>
        <v/>
      </c>
      <c r="K887" s="7">
        <f>'1 datos preparados'!J880</f>
        <v/>
      </c>
      <c r="L887" s="7">
        <f>'1 datos preparados'!K880</f>
        <v/>
      </c>
      <c r="M887" s="7">
        <f>'1 datos preparados'!L880</f>
        <v/>
      </c>
      <c r="N887" s="7">
        <f>'1 datos preparados'!M880</f>
        <v/>
      </c>
      <c r="O887" s="7">
        <f>'1 datos preparados'!N880</f>
        <v/>
      </c>
      <c r="P887" s="7">
        <f>'1 datos preparados'!O880</f>
        <v/>
      </c>
      <c r="Q887" s="7">
        <f>'1 datos preparados'!P880</f>
        <v/>
      </c>
      <c r="R887" s="7">
        <f>'1 datos preparados'!Q880</f>
        <v/>
      </c>
      <c r="S887" s="7">
        <f>'1 datos preparados'!R880</f>
        <v/>
      </c>
      <c r="T887" s="7">
        <f>'1 datos preparados'!S880</f>
        <v/>
      </c>
      <c r="U887" s="7">
        <f>'1 datos preparados'!T880</f>
        <v/>
      </c>
      <c r="V887" s="8">
        <f>$AE$12+D887*$AE$13+E887*$AE$14+F887*$AE$15+G887*$AE$16+H887*$AE$17+I887*$AE$18+J887*$AE$19+K887*$AE$20+L887*$AE$21+M887*$AE$22+N887*$AE$23+O887*$AE$24+P887*$AE$25+Q887*$AE$26+R887*$AE$27+S887*$AE$28+T887*$AE$29+U887*$AE$30</f>
        <v/>
      </c>
      <c r="W887" s="8">
        <f>1/(1+EXP(-V887))</f>
        <v/>
      </c>
      <c r="X887" s="9">
        <f>-IF(C887=1,LN(W887),LN(1-W887))</f>
        <v/>
      </c>
      <c r="Y887" s="8">
        <f>1</f>
        <v/>
      </c>
      <c r="Z887" s="9">
        <f>Y887*X887</f>
        <v/>
      </c>
      <c r="AA887" s="10">
        <f>IF(W887&gt;$AE$32,1,0)</f>
        <v/>
      </c>
      <c r="AB887">
        <f>IF(AA887=C887,1,0)</f>
        <v/>
      </c>
    </row>
    <row r="888">
      <c r="A888">
        <f>'1 datos preparados'!A881</f>
        <v/>
      </c>
      <c r="B888" s="5">
        <f>'1 datos preparados'!U881</f>
        <v/>
      </c>
      <c r="C888">
        <f>'1 datos preparados'!B881</f>
        <v/>
      </c>
      <c r="D888" s="7">
        <f>'1 datos preparados'!C881</f>
        <v/>
      </c>
      <c r="E888" s="7">
        <f>'1 datos preparados'!D881</f>
        <v/>
      </c>
      <c r="F888" s="7">
        <f>'1 datos preparados'!E881</f>
        <v/>
      </c>
      <c r="G888" s="7">
        <f>'1 datos preparados'!F881</f>
        <v/>
      </c>
      <c r="H888" s="7">
        <f>'1 datos preparados'!G881</f>
        <v/>
      </c>
      <c r="I888" s="7">
        <f>'1 datos preparados'!H881</f>
        <v/>
      </c>
      <c r="J888" s="7">
        <f>'1 datos preparados'!I881</f>
        <v/>
      </c>
      <c r="K888" s="7">
        <f>'1 datos preparados'!J881</f>
        <v/>
      </c>
      <c r="L888" s="7">
        <f>'1 datos preparados'!K881</f>
        <v/>
      </c>
      <c r="M888" s="7">
        <f>'1 datos preparados'!L881</f>
        <v/>
      </c>
      <c r="N888" s="7">
        <f>'1 datos preparados'!M881</f>
        <v/>
      </c>
      <c r="O888" s="7">
        <f>'1 datos preparados'!N881</f>
        <v/>
      </c>
      <c r="P888" s="7">
        <f>'1 datos preparados'!O881</f>
        <v/>
      </c>
      <c r="Q888" s="7">
        <f>'1 datos preparados'!P881</f>
        <v/>
      </c>
      <c r="R888" s="7">
        <f>'1 datos preparados'!Q881</f>
        <v/>
      </c>
      <c r="S888" s="7">
        <f>'1 datos preparados'!R881</f>
        <v/>
      </c>
      <c r="T888" s="7">
        <f>'1 datos preparados'!S881</f>
        <v/>
      </c>
      <c r="U888" s="7">
        <f>'1 datos preparados'!T881</f>
        <v/>
      </c>
      <c r="V888" s="8">
        <f>$AE$12+D888*$AE$13+E888*$AE$14+F888*$AE$15+G888*$AE$16+H888*$AE$17+I888*$AE$18+J888*$AE$19+K888*$AE$20+L888*$AE$21+M888*$AE$22+N888*$AE$23+O888*$AE$24+P888*$AE$25+Q888*$AE$26+R888*$AE$27+S888*$AE$28+T888*$AE$29+U888*$AE$30</f>
        <v/>
      </c>
      <c r="W888" s="8">
        <f>1/(1+EXP(-V888))</f>
        <v/>
      </c>
      <c r="X888" s="9">
        <f>-IF(C888=1,LN(W888),LN(1-W888))</f>
        <v/>
      </c>
      <c r="Y888" s="8">
        <f>1</f>
        <v/>
      </c>
      <c r="Z888" s="9">
        <f>Y888*X888</f>
        <v/>
      </c>
      <c r="AA888" s="10">
        <f>IF(W888&gt;$AE$32,1,0)</f>
        <v/>
      </c>
      <c r="AB888">
        <f>IF(AA888=C888,1,0)</f>
        <v/>
      </c>
    </row>
    <row r="889">
      <c r="A889">
        <f>'1 datos preparados'!A882</f>
        <v/>
      </c>
      <c r="B889" s="5">
        <f>'1 datos preparados'!U882</f>
        <v/>
      </c>
      <c r="C889">
        <f>'1 datos preparados'!B882</f>
        <v/>
      </c>
      <c r="D889" s="7">
        <f>'1 datos preparados'!C882</f>
        <v/>
      </c>
      <c r="E889" s="7">
        <f>'1 datos preparados'!D882</f>
        <v/>
      </c>
      <c r="F889" s="7">
        <f>'1 datos preparados'!E882</f>
        <v/>
      </c>
      <c r="G889" s="7">
        <f>'1 datos preparados'!F882</f>
        <v/>
      </c>
      <c r="H889" s="7">
        <f>'1 datos preparados'!G882</f>
        <v/>
      </c>
      <c r="I889" s="7">
        <f>'1 datos preparados'!H882</f>
        <v/>
      </c>
      <c r="J889" s="7">
        <f>'1 datos preparados'!I882</f>
        <v/>
      </c>
      <c r="K889" s="7">
        <f>'1 datos preparados'!J882</f>
        <v/>
      </c>
      <c r="L889" s="7">
        <f>'1 datos preparados'!K882</f>
        <v/>
      </c>
      <c r="M889" s="7">
        <f>'1 datos preparados'!L882</f>
        <v/>
      </c>
      <c r="N889" s="7">
        <f>'1 datos preparados'!M882</f>
        <v/>
      </c>
      <c r="O889" s="7">
        <f>'1 datos preparados'!N882</f>
        <v/>
      </c>
      <c r="P889" s="7">
        <f>'1 datos preparados'!O882</f>
        <v/>
      </c>
      <c r="Q889" s="7">
        <f>'1 datos preparados'!P882</f>
        <v/>
      </c>
      <c r="R889" s="7">
        <f>'1 datos preparados'!Q882</f>
        <v/>
      </c>
      <c r="S889" s="7">
        <f>'1 datos preparados'!R882</f>
        <v/>
      </c>
      <c r="T889" s="7">
        <f>'1 datos preparados'!S882</f>
        <v/>
      </c>
      <c r="U889" s="7">
        <f>'1 datos preparados'!T882</f>
        <v/>
      </c>
      <c r="V889" s="8">
        <f>$AE$12+D889*$AE$13+E889*$AE$14+F889*$AE$15+G889*$AE$16+H889*$AE$17+I889*$AE$18+J889*$AE$19+K889*$AE$20+L889*$AE$21+M889*$AE$22+N889*$AE$23+O889*$AE$24+P889*$AE$25+Q889*$AE$26+R889*$AE$27+S889*$AE$28+T889*$AE$29+U889*$AE$30</f>
        <v/>
      </c>
      <c r="W889" s="8">
        <f>1/(1+EXP(-V889))</f>
        <v/>
      </c>
      <c r="X889" s="9">
        <f>-IF(C889=1,LN(W889),LN(1-W889))</f>
        <v/>
      </c>
      <c r="Y889" s="8">
        <f>1</f>
        <v/>
      </c>
      <c r="Z889" s="9">
        <f>Y889*X889</f>
        <v/>
      </c>
      <c r="AA889" s="10">
        <f>IF(W889&gt;$AE$32,1,0)</f>
        <v/>
      </c>
      <c r="AB889">
        <f>IF(AA889=C889,1,0)</f>
        <v/>
      </c>
    </row>
    <row r="890">
      <c r="A890">
        <f>'1 datos preparados'!A883</f>
        <v/>
      </c>
      <c r="B890" s="5">
        <f>'1 datos preparados'!U883</f>
        <v/>
      </c>
      <c r="C890">
        <f>'1 datos preparados'!B883</f>
        <v/>
      </c>
      <c r="D890" s="7">
        <f>'1 datos preparados'!C883</f>
        <v/>
      </c>
      <c r="E890" s="7">
        <f>'1 datos preparados'!D883</f>
        <v/>
      </c>
      <c r="F890" s="7">
        <f>'1 datos preparados'!E883</f>
        <v/>
      </c>
      <c r="G890" s="7">
        <f>'1 datos preparados'!F883</f>
        <v/>
      </c>
      <c r="H890" s="7">
        <f>'1 datos preparados'!G883</f>
        <v/>
      </c>
      <c r="I890" s="7">
        <f>'1 datos preparados'!H883</f>
        <v/>
      </c>
      <c r="J890" s="7">
        <f>'1 datos preparados'!I883</f>
        <v/>
      </c>
      <c r="K890" s="7">
        <f>'1 datos preparados'!J883</f>
        <v/>
      </c>
      <c r="L890" s="7">
        <f>'1 datos preparados'!K883</f>
        <v/>
      </c>
      <c r="M890" s="7">
        <f>'1 datos preparados'!L883</f>
        <v/>
      </c>
      <c r="N890" s="7">
        <f>'1 datos preparados'!M883</f>
        <v/>
      </c>
      <c r="O890" s="7">
        <f>'1 datos preparados'!N883</f>
        <v/>
      </c>
      <c r="P890" s="7">
        <f>'1 datos preparados'!O883</f>
        <v/>
      </c>
      <c r="Q890" s="7">
        <f>'1 datos preparados'!P883</f>
        <v/>
      </c>
      <c r="R890" s="7">
        <f>'1 datos preparados'!Q883</f>
        <v/>
      </c>
      <c r="S890" s="7">
        <f>'1 datos preparados'!R883</f>
        <v/>
      </c>
      <c r="T890" s="7">
        <f>'1 datos preparados'!S883</f>
        <v/>
      </c>
      <c r="U890" s="7">
        <f>'1 datos preparados'!T883</f>
        <v/>
      </c>
      <c r="V890" s="8">
        <f>$AE$12+D890*$AE$13+E890*$AE$14+F890*$AE$15+G890*$AE$16+H890*$AE$17+I890*$AE$18+J890*$AE$19+K890*$AE$20+L890*$AE$21+M890*$AE$22+N890*$AE$23+O890*$AE$24+P890*$AE$25+Q890*$AE$26+R890*$AE$27+S890*$AE$28+T890*$AE$29+U890*$AE$30</f>
        <v/>
      </c>
      <c r="W890" s="8">
        <f>1/(1+EXP(-V890))</f>
        <v/>
      </c>
      <c r="X890" s="9">
        <f>-IF(C890=1,LN(W890),LN(1-W890))</f>
        <v/>
      </c>
      <c r="Y890" s="8">
        <f>1</f>
        <v/>
      </c>
      <c r="Z890" s="9">
        <f>Y890*X890</f>
        <v/>
      </c>
      <c r="AA890" s="10">
        <f>IF(W890&gt;$AE$32,1,0)</f>
        <v/>
      </c>
      <c r="AB890">
        <f>IF(AA890=C890,1,0)</f>
        <v/>
      </c>
    </row>
    <row r="891">
      <c r="A891">
        <f>'1 datos preparados'!A884</f>
        <v/>
      </c>
      <c r="B891" s="5">
        <f>'1 datos preparados'!U884</f>
        <v/>
      </c>
      <c r="C891">
        <f>'1 datos preparados'!B884</f>
        <v/>
      </c>
      <c r="D891" s="7">
        <f>'1 datos preparados'!C884</f>
        <v/>
      </c>
      <c r="E891" s="7">
        <f>'1 datos preparados'!D884</f>
        <v/>
      </c>
      <c r="F891" s="7">
        <f>'1 datos preparados'!E884</f>
        <v/>
      </c>
      <c r="G891" s="7">
        <f>'1 datos preparados'!F884</f>
        <v/>
      </c>
      <c r="H891" s="7">
        <f>'1 datos preparados'!G884</f>
        <v/>
      </c>
      <c r="I891" s="7">
        <f>'1 datos preparados'!H884</f>
        <v/>
      </c>
      <c r="J891" s="7">
        <f>'1 datos preparados'!I884</f>
        <v/>
      </c>
      <c r="K891" s="7">
        <f>'1 datos preparados'!J884</f>
        <v/>
      </c>
      <c r="L891" s="7">
        <f>'1 datos preparados'!K884</f>
        <v/>
      </c>
      <c r="M891" s="7">
        <f>'1 datos preparados'!L884</f>
        <v/>
      </c>
      <c r="N891" s="7">
        <f>'1 datos preparados'!M884</f>
        <v/>
      </c>
      <c r="O891" s="7">
        <f>'1 datos preparados'!N884</f>
        <v/>
      </c>
      <c r="P891" s="7">
        <f>'1 datos preparados'!O884</f>
        <v/>
      </c>
      <c r="Q891" s="7">
        <f>'1 datos preparados'!P884</f>
        <v/>
      </c>
      <c r="R891" s="7">
        <f>'1 datos preparados'!Q884</f>
        <v/>
      </c>
      <c r="S891" s="7">
        <f>'1 datos preparados'!R884</f>
        <v/>
      </c>
      <c r="T891" s="7">
        <f>'1 datos preparados'!S884</f>
        <v/>
      </c>
      <c r="U891" s="7">
        <f>'1 datos preparados'!T884</f>
        <v/>
      </c>
      <c r="V891" s="8">
        <f>$AE$12+D891*$AE$13+E891*$AE$14+F891*$AE$15+G891*$AE$16+H891*$AE$17+I891*$AE$18+J891*$AE$19+K891*$AE$20+L891*$AE$21+M891*$AE$22+N891*$AE$23+O891*$AE$24+P891*$AE$25+Q891*$AE$26+R891*$AE$27+S891*$AE$28+T891*$AE$29+U891*$AE$30</f>
        <v/>
      </c>
      <c r="W891" s="8">
        <f>1/(1+EXP(-V891))</f>
        <v/>
      </c>
      <c r="X891" s="9">
        <f>-IF(C891=1,LN(W891),LN(1-W891))</f>
        <v/>
      </c>
      <c r="Y891" s="8">
        <f>1</f>
        <v/>
      </c>
      <c r="Z891" s="9">
        <f>Y891*X891</f>
        <v/>
      </c>
      <c r="AA891" s="10">
        <f>IF(W891&gt;$AE$32,1,0)</f>
        <v/>
      </c>
      <c r="AB891">
        <f>IF(AA891=C891,1,0)</f>
        <v/>
      </c>
    </row>
    <row r="892">
      <c r="A892">
        <f>'1 datos preparados'!A885</f>
        <v/>
      </c>
      <c r="B892" s="5">
        <f>'1 datos preparados'!U885</f>
        <v/>
      </c>
      <c r="C892">
        <f>'1 datos preparados'!B885</f>
        <v/>
      </c>
      <c r="D892" s="7">
        <f>'1 datos preparados'!C885</f>
        <v/>
      </c>
      <c r="E892" s="7">
        <f>'1 datos preparados'!D885</f>
        <v/>
      </c>
      <c r="F892" s="7">
        <f>'1 datos preparados'!E885</f>
        <v/>
      </c>
      <c r="G892" s="7">
        <f>'1 datos preparados'!F885</f>
        <v/>
      </c>
      <c r="H892" s="7">
        <f>'1 datos preparados'!G885</f>
        <v/>
      </c>
      <c r="I892" s="7">
        <f>'1 datos preparados'!H885</f>
        <v/>
      </c>
      <c r="J892" s="7">
        <f>'1 datos preparados'!I885</f>
        <v/>
      </c>
      <c r="K892" s="7">
        <f>'1 datos preparados'!J885</f>
        <v/>
      </c>
      <c r="L892" s="7">
        <f>'1 datos preparados'!K885</f>
        <v/>
      </c>
      <c r="M892" s="7">
        <f>'1 datos preparados'!L885</f>
        <v/>
      </c>
      <c r="N892" s="7">
        <f>'1 datos preparados'!M885</f>
        <v/>
      </c>
      <c r="O892" s="7">
        <f>'1 datos preparados'!N885</f>
        <v/>
      </c>
      <c r="P892" s="7">
        <f>'1 datos preparados'!O885</f>
        <v/>
      </c>
      <c r="Q892" s="7">
        <f>'1 datos preparados'!P885</f>
        <v/>
      </c>
      <c r="R892" s="7">
        <f>'1 datos preparados'!Q885</f>
        <v/>
      </c>
      <c r="S892" s="7">
        <f>'1 datos preparados'!R885</f>
        <v/>
      </c>
      <c r="T892" s="7">
        <f>'1 datos preparados'!S885</f>
        <v/>
      </c>
      <c r="U892" s="7">
        <f>'1 datos preparados'!T885</f>
        <v/>
      </c>
      <c r="V892" s="8">
        <f>$AE$12+D892*$AE$13+E892*$AE$14+F892*$AE$15+G892*$AE$16+H892*$AE$17+I892*$AE$18+J892*$AE$19+K892*$AE$20+L892*$AE$21+M892*$AE$22+N892*$AE$23+O892*$AE$24+P892*$AE$25+Q892*$AE$26+R892*$AE$27+S892*$AE$28+T892*$AE$29+U892*$AE$30</f>
        <v/>
      </c>
      <c r="W892" s="8">
        <f>1/(1+EXP(-V892))</f>
        <v/>
      </c>
      <c r="X892" s="9">
        <f>-IF(C892=1,LN(W892),LN(1-W892))</f>
        <v/>
      </c>
      <c r="Y892" s="8">
        <f>1</f>
        <v/>
      </c>
      <c r="Z892" s="9">
        <f>Y892*X892</f>
        <v/>
      </c>
      <c r="AA892" s="10">
        <f>IF(W892&gt;$AE$32,1,0)</f>
        <v/>
      </c>
      <c r="AB892">
        <f>IF(AA892=C892,1,0)</f>
        <v/>
      </c>
    </row>
    <row r="893">
      <c r="A893">
        <f>'1 datos preparados'!A886</f>
        <v/>
      </c>
      <c r="B893" s="5">
        <f>'1 datos preparados'!U886</f>
        <v/>
      </c>
      <c r="C893">
        <f>'1 datos preparados'!B886</f>
        <v/>
      </c>
      <c r="D893" s="7">
        <f>'1 datos preparados'!C886</f>
        <v/>
      </c>
      <c r="E893" s="7">
        <f>'1 datos preparados'!D886</f>
        <v/>
      </c>
      <c r="F893" s="7">
        <f>'1 datos preparados'!E886</f>
        <v/>
      </c>
      <c r="G893" s="7">
        <f>'1 datos preparados'!F886</f>
        <v/>
      </c>
      <c r="H893" s="7">
        <f>'1 datos preparados'!G886</f>
        <v/>
      </c>
      <c r="I893" s="7">
        <f>'1 datos preparados'!H886</f>
        <v/>
      </c>
      <c r="J893" s="7">
        <f>'1 datos preparados'!I886</f>
        <v/>
      </c>
      <c r="K893" s="7">
        <f>'1 datos preparados'!J886</f>
        <v/>
      </c>
      <c r="L893" s="7">
        <f>'1 datos preparados'!K886</f>
        <v/>
      </c>
      <c r="M893" s="7">
        <f>'1 datos preparados'!L886</f>
        <v/>
      </c>
      <c r="N893" s="7">
        <f>'1 datos preparados'!M886</f>
        <v/>
      </c>
      <c r="O893" s="7">
        <f>'1 datos preparados'!N886</f>
        <v/>
      </c>
      <c r="P893" s="7">
        <f>'1 datos preparados'!O886</f>
        <v/>
      </c>
      <c r="Q893" s="7">
        <f>'1 datos preparados'!P886</f>
        <v/>
      </c>
      <c r="R893" s="7">
        <f>'1 datos preparados'!Q886</f>
        <v/>
      </c>
      <c r="S893" s="7">
        <f>'1 datos preparados'!R886</f>
        <v/>
      </c>
      <c r="T893" s="7">
        <f>'1 datos preparados'!S886</f>
        <v/>
      </c>
      <c r="U893" s="7">
        <f>'1 datos preparados'!T886</f>
        <v/>
      </c>
      <c r="V893" s="8">
        <f>$AE$12+D893*$AE$13+E893*$AE$14+F893*$AE$15+G893*$AE$16+H893*$AE$17+I893*$AE$18+J893*$AE$19+K893*$AE$20+L893*$AE$21+M893*$AE$22+N893*$AE$23+O893*$AE$24+P893*$AE$25+Q893*$AE$26+R893*$AE$27+S893*$AE$28+T893*$AE$29+U893*$AE$30</f>
        <v/>
      </c>
      <c r="W893" s="8">
        <f>1/(1+EXP(-V893))</f>
        <v/>
      </c>
      <c r="X893" s="9">
        <f>-IF(C893=1,LN(W893),LN(1-W893))</f>
        <v/>
      </c>
      <c r="Y893" s="8">
        <f>1</f>
        <v/>
      </c>
      <c r="Z893" s="9">
        <f>Y893*X893</f>
        <v/>
      </c>
      <c r="AA893" s="10">
        <f>IF(W893&gt;$AE$32,1,0)</f>
        <v/>
      </c>
      <c r="AB893">
        <f>IF(AA893=C893,1,0)</f>
        <v/>
      </c>
    </row>
    <row r="894">
      <c r="A894">
        <f>'1 datos preparados'!A887</f>
        <v/>
      </c>
      <c r="B894" s="5">
        <f>'1 datos preparados'!U887</f>
        <v/>
      </c>
      <c r="C894">
        <f>'1 datos preparados'!B887</f>
        <v/>
      </c>
      <c r="D894" s="7">
        <f>'1 datos preparados'!C887</f>
        <v/>
      </c>
      <c r="E894" s="7">
        <f>'1 datos preparados'!D887</f>
        <v/>
      </c>
      <c r="F894" s="7">
        <f>'1 datos preparados'!E887</f>
        <v/>
      </c>
      <c r="G894" s="7">
        <f>'1 datos preparados'!F887</f>
        <v/>
      </c>
      <c r="H894" s="7">
        <f>'1 datos preparados'!G887</f>
        <v/>
      </c>
      <c r="I894" s="7">
        <f>'1 datos preparados'!H887</f>
        <v/>
      </c>
      <c r="J894" s="7">
        <f>'1 datos preparados'!I887</f>
        <v/>
      </c>
      <c r="K894" s="7">
        <f>'1 datos preparados'!J887</f>
        <v/>
      </c>
      <c r="L894" s="7">
        <f>'1 datos preparados'!K887</f>
        <v/>
      </c>
      <c r="M894" s="7">
        <f>'1 datos preparados'!L887</f>
        <v/>
      </c>
      <c r="N894" s="7">
        <f>'1 datos preparados'!M887</f>
        <v/>
      </c>
      <c r="O894" s="7">
        <f>'1 datos preparados'!N887</f>
        <v/>
      </c>
      <c r="P894" s="7">
        <f>'1 datos preparados'!O887</f>
        <v/>
      </c>
      <c r="Q894" s="7">
        <f>'1 datos preparados'!P887</f>
        <v/>
      </c>
      <c r="R894" s="7">
        <f>'1 datos preparados'!Q887</f>
        <v/>
      </c>
      <c r="S894" s="7">
        <f>'1 datos preparados'!R887</f>
        <v/>
      </c>
      <c r="T894" s="7">
        <f>'1 datos preparados'!S887</f>
        <v/>
      </c>
      <c r="U894" s="7">
        <f>'1 datos preparados'!T887</f>
        <v/>
      </c>
      <c r="V894" s="8">
        <f>$AE$12+D894*$AE$13+E894*$AE$14+F894*$AE$15+G894*$AE$16+H894*$AE$17+I894*$AE$18+J894*$AE$19+K894*$AE$20+L894*$AE$21+M894*$AE$22+N894*$AE$23+O894*$AE$24+P894*$AE$25+Q894*$AE$26+R894*$AE$27+S894*$AE$28+T894*$AE$29+U894*$AE$30</f>
        <v/>
      </c>
      <c r="W894" s="8">
        <f>1/(1+EXP(-V894))</f>
        <v/>
      </c>
      <c r="X894" s="9">
        <f>-IF(C894=1,LN(W894),LN(1-W894))</f>
        <v/>
      </c>
      <c r="Y894" s="8">
        <f>1</f>
        <v/>
      </c>
      <c r="Z894" s="9">
        <f>Y894*X894</f>
        <v/>
      </c>
      <c r="AA894" s="10">
        <f>IF(W894&gt;$AE$32,1,0)</f>
        <v/>
      </c>
      <c r="AB894">
        <f>IF(AA894=C894,1,0)</f>
        <v/>
      </c>
    </row>
    <row r="895">
      <c r="A895">
        <f>'1 datos preparados'!A888</f>
        <v/>
      </c>
      <c r="B895" s="5">
        <f>'1 datos preparados'!U888</f>
        <v/>
      </c>
      <c r="C895">
        <f>'1 datos preparados'!B888</f>
        <v/>
      </c>
      <c r="D895" s="7">
        <f>'1 datos preparados'!C888</f>
        <v/>
      </c>
      <c r="E895" s="7">
        <f>'1 datos preparados'!D888</f>
        <v/>
      </c>
      <c r="F895" s="7">
        <f>'1 datos preparados'!E888</f>
        <v/>
      </c>
      <c r="G895" s="7">
        <f>'1 datos preparados'!F888</f>
        <v/>
      </c>
      <c r="H895" s="7">
        <f>'1 datos preparados'!G888</f>
        <v/>
      </c>
      <c r="I895" s="7">
        <f>'1 datos preparados'!H888</f>
        <v/>
      </c>
      <c r="J895" s="7">
        <f>'1 datos preparados'!I888</f>
        <v/>
      </c>
      <c r="K895" s="7">
        <f>'1 datos preparados'!J888</f>
        <v/>
      </c>
      <c r="L895" s="7">
        <f>'1 datos preparados'!K888</f>
        <v/>
      </c>
      <c r="M895" s="7">
        <f>'1 datos preparados'!L888</f>
        <v/>
      </c>
      <c r="N895" s="7">
        <f>'1 datos preparados'!M888</f>
        <v/>
      </c>
      <c r="O895" s="7">
        <f>'1 datos preparados'!N888</f>
        <v/>
      </c>
      <c r="P895" s="7">
        <f>'1 datos preparados'!O888</f>
        <v/>
      </c>
      <c r="Q895" s="7">
        <f>'1 datos preparados'!P888</f>
        <v/>
      </c>
      <c r="R895" s="7">
        <f>'1 datos preparados'!Q888</f>
        <v/>
      </c>
      <c r="S895" s="7">
        <f>'1 datos preparados'!R888</f>
        <v/>
      </c>
      <c r="T895" s="7">
        <f>'1 datos preparados'!S888</f>
        <v/>
      </c>
      <c r="U895" s="7">
        <f>'1 datos preparados'!T888</f>
        <v/>
      </c>
      <c r="V895" s="8">
        <f>$AE$12+D895*$AE$13+E895*$AE$14+F895*$AE$15+G895*$AE$16+H895*$AE$17+I895*$AE$18+J895*$AE$19+K895*$AE$20+L895*$AE$21+M895*$AE$22+N895*$AE$23+O895*$AE$24+P895*$AE$25+Q895*$AE$26+R895*$AE$27+S895*$AE$28+T895*$AE$29+U895*$AE$30</f>
        <v/>
      </c>
      <c r="W895" s="8">
        <f>1/(1+EXP(-V895))</f>
        <v/>
      </c>
      <c r="X895" s="9">
        <f>-IF(C895=1,LN(W895),LN(1-W895))</f>
        <v/>
      </c>
      <c r="Y895" s="8">
        <f>1</f>
        <v/>
      </c>
      <c r="Z895" s="9">
        <f>Y895*X895</f>
        <v/>
      </c>
      <c r="AA895" s="10">
        <f>IF(W895&gt;$AE$32,1,0)</f>
        <v/>
      </c>
      <c r="AB895">
        <f>IF(AA895=C895,1,0)</f>
        <v/>
      </c>
    </row>
    <row r="896">
      <c r="A896">
        <f>'1 datos preparados'!A889</f>
        <v/>
      </c>
      <c r="B896" s="5">
        <f>'1 datos preparados'!U889</f>
        <v/>
      </c>
      <c r="C896">
        <f>'1 datos preparados'!B889</f>
        <v/>
      </c>
      <c r="D896" s="7">
        <f>'1 datos preparados'!C889</f>
        <v/>
      </c>
      <c r="E896" s="7">
        <f>'1 datos preparados'!D889</f>
        <v/>
      </c>
      <c r="F896" s="7">
        <f>'1 datos preparados'!E889</f>
        <v/>
      </c>
      <c r="G896" s="7">
        <f>'1 datos preparados'!F889</f>
        <v/>
      </c>
      <c r="H896" s="7">
        <f>'1 datos preparados'!G889</f>
        <v/>
      </c>
      <c r="I896" s="7">
        <f>'1 datos preparados'!H889</f>
        <v/>
      </c>
      <c r="J896" s="7">
        <f>'1 datos preparados'!I889</f>
        <v/>
      </c>
      <c r="K896" s="7">
        <f>'1 datos preparados'!J889</f>
        <v/>
      </c>
      <c r="L896" s="7">
        <f>'1 datos preparados'!K889</f>
        <v/>
      </c>
      <c r="M896" s="7">
        <f>'1 datos preparados'!L889</f>
        <v/>
      </c>
      <c r="N896" s="7">
        <f>'1 datos preparados'!M889</f>
        <v/>
      </c>
      <c r="O896" s="7">
        <f>'1 datos preparados'!N889</f>
        <v/>
      </c>
      <c r="P896" s="7">
        <f>'1 datos preparados'!O889</f>
        <v/>
      </c>
      <c r="Q896" s="7">
        <f>'1 datos preparados'!P889</f>
        <v/>
      </c>
      <c r="R896" s="7">
        <f>'1 datos preparados'!Q889</f>
        <v/>
      </c>
      <c r="S896" s="7">
        <f>'1 datos preparados'!R889</f>
        <v/>
      </c>
      <c r="T896" s="7">
        <f>'1 datos preparados'!S889</f>
        <v/>
      </c>
      <c r="U896" s="7">
        <f>'1 datos preparados'!T889</f>
        <v/>
      </c>
      <c r="V896" s="8">
        <f>$AE$12+D896*$AE$13+E896*$AE$14+F896*$AE$15+G896*$AE$16+H896*$AE$17+I896*$AE$18+J896*$AE$19+K896*$AE$20+L896*$AE$21+M896*$AE$22+N896*$AE$23+O896*$AE$24+P896*$AE$25+Q896*$AE$26+R896*$AE$27+S896*$AE$28+T896*$AE$29+U896*$AE$30</f>
        <v/>
      </c>
      <c r="W896" s="8">
        <f>1/(1+EXP(-V896))</f>
        <v/>
      </c>
      <c r="X896" s="9">
        <f>-IF(C896=1,LN(W896),LN(1-W896))</f>
        <v/>
      </c>
      <c r="Y896" s="8">
        <f>1</f>
        <v/>
      </c>
      <c r="Z896" s="9">
        <f>Y896*X896</f>
        <v/>
      </c>
      <c r="AA896" s="10">
        <f>IF(W896&gt;$AE$32,1,0)</f>
        <v/>
      </c>
      <c r="AB896">
        <f>IF(AA896=C896,1,0)</f>
        <v/>
      </c>
    </row>
    <row r="897">
      <c r="A897">
        <f>'1 datos preparados'!A890</f>
        <v/>
      </c>
      <c r="B897" s="5">
        <f>'1 datos preparados'!U890</f>
        <v/>
      </c>
      <c r="C897">
        <f>'1 datos preparados'!B890</f>
        <v/>
      </c>
      <c r="D897" s="7">
        <f>'1 datos preparados'!C890</f>
        <v/>
      </c>
      <c r="E897" s="7">
        <f>'1 datos preparados'!D890</f>
        <v/>
      </c>
      <c r="F897" s="7">
        <f>'1 datos preparados'!E890</f>
        <v/>
      </c>
      <c r="G897" s="7">
        <f>'1 datos preparados'!F890</f>
        <v/>
      </c>
      <c r="H897" s="7">
        <f>'1 datos preparados'!G890</f>
        <v/>
      </c>
      <c r="I897" s="7">
        <f>'1 datos preparados'!H890</f>
        <v/>
      </c>
      <c r="J897" s="7">
        <f>'1 datos preparados'!I890</f>
        <v/>
      </c>
      <c r="K897" s="7">
        <f>'1 datos preparados'!J890</f>
        <v/>
      </c>
      <c r="L897" s="7">
        <f>'1 datos preparados'!K890</f>
        <v/>
      </c>
      <c r="M897" s="7">
        <f>'1 datos preparados'!L890</f>
        <v/>
      </c>
      <c r="N897" s="7">
        <f>'1 datos preparados'!M890</f>
        <v/>
      </c>
      <c r="O897" s="7">
        <f>'1 datos preparados'!N890</f>
        <v/>
      </c>
      <c r="P897" s="7">
        <f>'1 datos preparados'!O890</f>
        <v/>
      </c>
      <c r="Q897" s="7">
        <f>'1 datos preparados'!P890</f>
        <v/>
      </c>
      <c r="R897" s="7">
        <f>'1 datos preparados'!Q890</f>
        <v/>
      </c>
      <c r="S897" s="7">
        <f>'1 datos preparados'!R890</f>
        <v/>
      </c>
      <c r="T897" s="7">
        <f>'1 datos preparados'!S890</f>
        <v/>
      </c>
      <c r="U897" s="7">
        <f>'1 datos preparados'!T890</f>
        <v/>
      </c>
      <c r="V897" s="8">
        <f>$AE$12+D897*$AE$13+E897*$AE$14+F897*$AE$15+G897*$AE$16+H897*$AE$17+I897*$AE$18+J897*$AE$19+K897*$AE$20+L897*$AE$21+M897*$AE$22+N897*$AE$23+O897*$AE$24+P897*$AE$25+Q897*$AE$26+R897*$AE$27+S897*$AE$28+T897*$AE$29+U897*$AE$30</f>
        <v/>
      </c>
      <c r="W897" s="8">
        <f>1/(1+EXP(-V897))</f>
        <v/>
      </c>
      <c r="X897" s="9">
        <f>-IF(C897=1,LN(W897),LN(1-W897))</f>
        <v/>
      </c>
      <c r="Y897" s="8">
        <f>1</f>
        <v/>
      </c>
      <c r="Z897" s="9">
        <f>Y897*X897</f>
        <v/>
      </c>
      <c r="AA897" s="10">
        <f>IF(W897&gt;$AE$32,1,0)</f>
        <v/>
      </c>
      <c r="AB897">
        <f>IF(AA897=C897,1,0)</f>
        <v/>
      </c>
    </row>
    <row r="898">
      <c r="A898">
        <f>'1 datos preparados'!A891</f>
        <v/>
      </c>
      <c r="B898" s="5">
        <f>'1 datos preparados'!U891</f>
        <v/>
      </c>
      <c r="C898">
        <f>'1 datos preparados'!B891</f>
        <v/>
      </c>
      <c r="D898" s="7">
        <f>'1 datos preparados'!C891</f>
        <v/>
      </c>
      <c r="E898" s="7">
        <f>'1 datos preparados'!D891</f>
        <v/>
      </c>
      <c r="F898" s="7">
        <f>'1 datos preparados'!E891</f>
        <v/>
      </c>
      <c r="G898" s="7">
        <f>'1 datos preparados'!F891</f>
        <v/>
      </c>
      <c r="H898" s="7">
        <f>'1 datos preparados'!G891</f>
        <v/>
      </c>
      <c r="I898" s="7">
        <f>'1 datos preparados'!H891</f>
        <v/>
      </c>
      <c r="J898" s="7">
        <f>'1 datos preparados'!I891</f>
        <v/>
      </c>
      <c r="K898" s="7">
        <f>'1 datos preparados'!J891</f>
        <v/>
      </c>
      <c r="L898" s="7">
        <f>'1 datos preparados'!K891</f>
        <v/>
      </c>
      <c r="M898" s="7">
        <f>'1 datos preparados'!L891</f>
        <v/>
      </c>
      <c r="N898" s="7">
        <f>'1 datos preparados'!M891</f>
        <v/>
      </c>
      <c r="O898" s="7">
        <f>'1 datos preparados'!N891</f>
        <v/>
      </c>
      <c r="P898" s="7">
        <f>'1 datos preparados'!O891</f>
        <v/>
      </c>
      <c r="Q898" s="7">
        <f>'1 datos preparados'!P891</f>
        <v/>
      </c>
      <c r="R898" s="7">
        <f>'1 datos preparados'!Q891</f>
        <v/>
      </c>
      <c r="S898" s="7">
        <f>'1 datos preparados'!R891</f>
        <v/>
      </c>
      <c r="T898" s="7">
        <f>'1 datos preparados'!S891</f>
        <v/>
      </c>
      <c r="U898" s="7">
        <f>'1 datos preparados'!T891</f>
        <v/>
      </c>
      <c r="V898" s="8">
        <f>$AE$12+D898*$AE$13+E898*$AE$14+F898*$AE$15+G898*$AE$16+H898*$AE$17+I898*$AE$18+J898*$AE$19+K898*$AE$20+L898*$AE$21+M898*$AE$22+N898*$AE$23+O898*$AE$24+P898*$AE$25+Q898*$AE$26+R898*$AE$27+S898*$AE$28+T898*$AE$29+U898*$AE$30</f>
        <v/>
      </c>
      <c r="W898" s="8">
        <f>1/(1+EXP(-V898))</f>
        <v/>
      </c>
      <c r="X898" s="9">
        <f>-IF(C898=1,LN(W898),LN(1-W898))</f>
        <v/>
      </c>
      <c r="Y898" s="8">
        <f>1</f>
        <v/>
      </c>
      <c r="Z898" s="9">
        <f>Y898*X898</f>
        <v/>
      </c>
      <c r="AA898" s="10">
        <f>IF(W898&gt;$AE$32,1,0)</f>
        <v/>
      </c>
      <c r="AB898">
        <f>IF(AA898=C898,1,0)</f>
        <v/>
      </c>
    </row>
    <row r="899">
      <c r="A899">
        <f>'1 datos preparados'!A892</f>
        <v/>
      </c>
      <c r="B899" s="5">
        <f>'1 datos preparados'!U892</f>
        <v/>
      </c>
      <c r="C899">
        <f>'1 datos preparados'!B892</f>
        <v/>
      </c>
      <c r="D899" s="7">
        <f>'1 datos preparados'!C892</f>
        <v/>
      </c>
      <c r="E899" s="7">
        <f>'1 datos preparados'!D892</f>
        <v/>
      </c>
      <c r="F899" s="7">
        <f>'1 datos preparados'!E892</f>
        <v/>
      </c>
      <c r="G899" s="7">
        <f>'1 datos preparados'!F892</f>
        <v/>
      </c>
      <c r="H899" s="7">
        <f>'1 datos preparados'!G892</f>
        <v/>
      </c>
      <c r="I899" s="7">
        <f>'1 datos preparados'!H892</f>
        <v/>
      </c>
      <c r="J899" s="7">
        <f>'1 datos preparados'!I892</f>
        <v/>
      </c>
      <c r="K899" s="7">
        <f>'1 datos preparados'!J892</f>
        <v/>
      </c>
      <c r="L899" s="7">
        <f>'1 datos preparados'!K892</f>
        <v/>
      </c>
      <c r="M899" s="7">
        <f>'1 datos preparados'!L892</f>
        <v/>
      </c>
      <c r="N899" s="7">
        <f>'1 datos preparados'!M892</f>
        <v/>
      </c>
      <c r="O899" s="7">
        <f>'1 datos preparados'!N892</f>
        <v/>
      </c>
      <c r="P899" s="7">
        <f>'1 datos preparados'!O892</f>
        <v/>
      </c>
      <c r="Q899" s="7">
        <f>'1 datos preparados'!P892</f>
        <v/>
      </c>
      <c r="R899" s="7">
        <f>'1 datos preparados'!Q892</f>
        <v/>
      </c>
      <c r="S899" s="7">
        <f>'1 datos preparados'!R892</f>
        <v/>
      </c>
      <c r="T899" s="7">
        <f>'1 datos preparados'!S892</f>
        <v/>
      </c>
      <c r="U899" s="7">
        <f>'1 datos preparados'!T892</f>
        <v/>
      </c>
      <c r="V899" s="8">
        <f>$AE$12+D899*$AE$13+E899*$AE$14+F899*$AE$15+G899*$AE$16+H899*$AE$17+I899*$AE$18+J899*$AE$19+K899*$AE$20+L899*$AE$21+M899*$AE$22+N899*$AE$23+O899*$AE$24+P899*$AE$25+Q899*$AE$26+R899*$AE$27+S899*$AE$28+T899*$AE$29+U899*$AE$30</f>
        <v/>
      </c>
      <c r="W899" s="8">
        <f>1/(1+EXP(-V899))</f>
        <v/>
      </c>
      <c r="X899" s="9">
        <f>-IF(C899=1,LN(W899),LN(1-W899))</f>
        <v/>
      </c>
      <c r="Y899" s="8">
        <f>1</f>
        <v/>
      </c>
      <c r="Z899" s="9">
        <f>Y899*X899</f>
        <v/>
      </c>
      <c r="AA899" s="10">
        <f>IF(W899&gt;$AE$32,1,0)</f>
        <v/>
      </c>
      <c r="AB899">
        <f>IF(AA899=C899,1,0)</f>
        <v/>
      </c>
    </row>
    <row r="900">
      <c r="A900">
        <f>'1 datos preparados'!A893</f>
        <v/>
      </c>
      <c r="B900" s="5">
        <f>'1 datos preparados'!U893</f>
        <v/>
      </c>
      <c r="C900">
        <f>'1 datos preparados'!B893</f>
        <v/>
      </c>
      <c r="D900" s="7">
        <f>'1 datos preparados'!C893</f>
        <v/>
      </c>
      <c r="E900" s="7">
        <f>'1 datos preparados'!D893</f>
        <v/>
      </c>
      <c r="F900" s="7">
        <f>'1 datos preparados'!E893</f>
        <v/>
      </c>
      <c r="G900" s="7">
        <f>'1 datos preparados'!F893</f>
        <v/>
      </c>
      <c r="H900" s="7">
        <f>'1 datos preparados'!G893</f>
        <v/>
      </c>
      <c r="I900" s="7">
        <f>'1 datos preparados'!H893</f>
        <v/>
      </c>
      <c r="J900" s="7">
        <f>'1 datos preparados'!I893</f>
        <v/>
      </c>
      <c r="K900" s="7">
        <f>'1 datos preparados'!J893</f>
        <v/>
      </c>
      <c r="L900" s="7">
        <f>'1 datos preparados'!K893</f>
        <v/>
      </c>
      <c r="M900" s="7">
        <f>'1 datos preparados'!L893</f>
        <v/>
      </c>
      <c r="N900" s="7">
        <f>'1 datos preparados'!M893</f>
        <v/>
      </c>
      <c r="O900" s="7">
        <f>'1 datos preparados'!N893</f>
        <v/>
      </c>
      <c r="P900" s="7">
        <f>'1 datos preparados'!O893</f>
        <v/>
      </c>
      <c r="Q900" s="7">
        <f>'1 datos preparados'!P893</f>
        <v/>
      </c>
      <c r="R900" s="7">
        <f>'1 datos preparados'!Q893</f>
        <v/>
      </c>
      <c r="S900" s="7">
        <f>'1 datos preparados'!R893</f>
        <v/>
      </c>
      <c r="T900" s="7">
        <f>'1 datos preparados'!S893</f>
        <v/>
      </c>
      <c r="U900" s="7">
        <f>'1 datos preparados'!T893</f>
        <v/>
      </c>
      <c r="V900" s="8">
        <f>$AE$12+D900*$AE$13+E900*$AE$14+F900*$AE$15+G900*$AE$16+H900*$AE$17+I900*$AE$18+J900*$AE$19+K900*$AE$20+L900*$AE$21+M900*$AE$22+N900*$AE$23+O900*$AE$24+P900*$AE$25+Q900*$AE$26+R900*$AE$27+S900*$AE$28+T900*$AE$29+U900*$AE$30</f>
        <v/>
      </c>
      <c r="W900" s="8">
        <f>1/(1+EXP(-V900))</f>
        <v/>
      </c>
      <c r="X900" s="9">
        <f>-IF(C900=1,LN(W900),LN(1-W900))</f>
        <v/>
      </c>
      <c r="Y900" s="8">
        <f>1</f>
        <v/>
      </c>
      <c r="Z900" s="9">
        <f>Y900*X900</f>
        <v/>
      </c>
      <c r="AA900" s="10">
        <f>IF(W900&gt;$AE$32,1,0)</f>
        <v/>
      </c>
      <c r="AB900">
        <f>IF(AA900=C900,1,0)</f>
        <v/>
      </c>
    </row>
    <row r="901">
      <c r="A901">
        <f>'1 datos preparados'!A894</f>
        <v/>
      </c>
      <c r="B901" s="5">
        <f>'1 datos preparados'!U894</f>
        <v/>
      </c>
      <c r="C901">
        <f>'1 datos preparados'!B894</f>
        <v/>
      </c>
      <c r="D901" s="7">
        <f>'1 datos preparados'!C894</f>
        <v/>
      </c>
      <c r="E901" s="7">
        <f>'1 datos preparados'!D894</f>
        <v/>
      </c>
      <c r="F901" s="7">
        <f>'1 datos preparados'!E894</f>
        <v/>
      </c>
      <c r="G901" s="7">
        <f>'1 datos preparados'!F894</f>
        <v/>
      </c>
      <c r="H901" s="7">
        <f>'1 datos preparados'!G894</f>
        <v/>
      </c>
      <c r="I901" s="7">
        <f>'1 datos preparados'!H894</f>
        <v/>
      </c>
      <c r="J901" s="7">
        <f>'1 datos preparados'!I894</f>
        <v/>
      </c>
      <c r="K901" s="7">
        <f>'1 datos preparados'!J894</f>
        <v/>
      </c>
      <c r="L901" s="7">
        <f>'1 datos preparados'!K894</f>
        <v/>
      </c>
      <c r="M901" s="7">
        <f>'1 datos preparados'!L894</f>
        <v/>
      </c>
      <c r="N901" s="7">
        <f>'1 datos preparados'!M894</f>
        <v/>
      </c>
      <c r="O901" s="7">
        <f>'1 datos preparados'!N894</f>
        <v/>
      </c>
      <c r="P901" s="7">
        <f>'1 datos preparados'!O894</f>
        <v/>
      </c>
      <c r="Q901" s="7">
        <f>'1 datos preparados'!P894</f>
        <v/>
      </c>
      <c r="R901" s="7">
        <f>'1 datos preparados'!Q894</f>
        <v/>
      </c>
      <c r="S901" s="7">
        <f>'1 datos preparados'!R894</f>
        <v/>
      </c>
      <c r="T901" s="7">
        <f>'1 datos preparados'!S894</f>
        <v/>
      </c>
      <c r="U901" s="7">
        <f>'1 datos preparados'!T894</f>
        <v/>
      </c>
      <c r="V901" s="8">
        <f>$AE$12+D901*$AE$13+E901*$AE$14+F901*$AE$15+G901*$AE$16+H901*$AE$17+I901*$AE$18+J901*$AE$19+K901*$AE$20+L901*$AE$21+M901*$AE$22+N901*$AE$23+O901*$AE$24+P901*$AE$25+Q901*$AE$26+R901*$AE$27+S901*$AE$28+T901*$AE$29+U901*$AE$30</f>
        <v/>
      </c>
      <c r="W901" s="8">
        <f>1/(1+EXP(-V901))</f>
        <v/>
      </c>
      <c r="X901" s="9">
        <f>-IF(C901=1,LN(W901),LN(1-W901))</f>
        <v/>
      </c>
      <c r="Y901" s="8">
        <f>1</f>
        <v/>
      </c>
      <c r="Z901" s="9">
        <f>Y901*X901</f>
        <v/>
      </c>
      <c r="AA901" s="10">
        <f>IF(W901&gt;$AE$32,1,0)</f>
        <v/>
      </c>
      <c r="AB901">
        <f>IF(AA901=C901,1,0)</f>
        <v/>
      </c>
    </row>
    <row r="902">
      <c r="A902">
        <f>'1 datos preparados'!A895</f>
        <v/>
      </c>
      <c r="B902" s="5">
        <f>'1 datos preparados'!U895</f>
        <v/>
      </c>
      <c r="C902">
        <f>'1 datos preparados'!B895</f>
        <v/>
      </c>
      <c r="D902" s="7">
        <f>'1 datos preparados'!C895</f>
        <v/>
      </c>
      <c r="E902" s="7">
        <f>'1 datos preparados'!D895</f>
        <v/>
      </c>
      <c r="F902" s="7">
        <f>'1 datos preparados'!E895</f>
        <v/>
      </c>
      <c r="G902" s="7">
        <f>'1 datos preparados'!F895</f>
        <v/>
      </c>
      <c r="H902" s="7">
        <f>'1 datos preparados'!G895</f>
        <v/>
      </c>
      <c r="I902" s="7">
        <f>'1 datos preparados'!H895</f>
        <v/>
      </c>
      <c r="J902" s="7">
        <f>'1 datos preparados'!I895</f>
        <v/>
      </c>
      <c r="K902" s="7">
        <f>'1 datos preparados'!J895</f>
        <v/>
      </c>
      <c r="L902" s="7">
        <f>'1 datos preparados'!K895</f>
        <v/>
      </c>
      <c r="M902" s="7">
        <f>'1 datos preparados'!L895</f>
        <v/>
      </c>
      <c r="N902" s="7">
        <f>'1 datos preparados'!M895</f>
        <v/>
      </c>
      <c r="O902" s="7">
        <f>'1 datos preparados'!N895</f>
        <v/>
      </c>
      <c r="P902" s="7">
        <f>'1 datos preparados'!O895</f>
        <v/>
      </c>
      <c r="Q902" s="7">
        <f>'1 datos preparados'!P895</f>
        <v/>
      </c>
      <c r="R902" s="7">
        <f>'1 datos preparados'!Q895</f>
        <v/>
      </c>
      <c r="S902" s="7">
        <f>'1 datos preparados'!R895</f>
        <v/>
      </c>
      <c r="T902" s="7">
        <f>'1 datos preparados'!S895</f>
        <v/>
      </c>
      <c r="U902" s="7">
        <f>'1 datos preparados'!T895</f>
        <v/>
      </c>
      <c r="V902" s="8">
        <f>$AE$12+D902*$AE$13+E902*$AE$14+F902*$AE$15+G902*$AE$16+H902*$AE$17+I902*$AE$18+J902*$AE$19+K902*$AE$20+L902*$AE$21+M902*$AE$22+N902*$AE$23+O902*$AE$24+P902*$AE$25+Q902*$AE$26+R902*$AE$27+S902*$AE$28+T902*$AE$29+U902*$AE$30</f>
        <v/>
      </c>
      <c r="W902" s="8">
        <f>1/(1+EXP(-V902))</f>
        <v/>
      </c>
      <c r="X902" s="9">
        <f>-IF(C902=1,LN(W902),LN(1-W902))</f>
        <v/>
      </c>
      <c r="Y902" s="8">
        <f>1</f>
        <v/>
      </c>
      <c r="Z902" s="9">
        <f>Y902*X902</f>
        <v/>
      </c>
      <c r="AA902" s="10">
        <f>IF(W902&gt;$AE$32,1,0)</f>
        <v/>
      </c>
      <c r="AB902">
        <f>IF(AA902=C902,1,0)</f>
        <v/>
      </c>
    </row>
    <row r="903">
      <c r="A903">
        <f>'1 datos preparados'!A896</f>
        <v/>
      </c>
      <c r="B903" s="5">
        <f>'1 datos preparados'!U896</f>
        <v/>
      </c>
      <c r="C903">
        <f>'1 datos preparados'!B896</f>
        <v/>
      </c>
      <c r="D903" s="7">
        <f>'1 datos preparados'!C896</f>
        <v/>
      </c>
      <c r="E903" s="7">
        <f>'1 datos preparados'!D896</f>
        <v/>
      </c>
      <c r="F903" s="7">
        <f>'1 datos preparados'!E896</f>
        <v/>
      </c>
      <c r="G903" s="7">
        <f>'1 datos preparados'!F896</f>
        <v/>
      </c>
      <c r="H903" s="7">
        <f>'1 datos preparados'!G896</f>
        <v/>
      </c>
      <c r="I903" s="7">
        <f>'1 datos preparados'!H896</f>
        <v/>
      </c>
      <c r="J903" s="7">
        <f>'1 datos preparados'!I896</f>
        <v/>
      </c>
      <c r="K903" s="7">
        <f>'1 datos preparados'!J896</f>
        <v/>
      </c>
      <c r="L903" s="7">
        <f>'1 datos preparados'!K896</f>
        <v/>
      </c>
      <c r="M903" s="7">
        <f>'1 datos preparados'!L896</f>
        <v/>
      </c>
      <c r="N903" s="7">
        <f>'1 datos preparados'!M896</f>
        <v/>
      </c>
      <c r="O903" s="7">
        <f>'1 datos preparados'!N896</f>
        <v/>
      </c>
      <c r="P903" s="7">
        <f>'1 datos preparados'!O896</f>
        <v/>
      </c>
      <c r="Q903" s="7">
        <f>'1 datos preparados'!P896</f>
        <v/>
      </c>
      <c r="R903" s="7">
        <f>'1 datos preparados'!Q896</f>
        <v/>
      </c>
      <c r="S903" s="7">
        <f>'1 datos preparados'!R896</f>
        <v/>
      </c>
      <c r="T903" s="7">
        <f>'1 datos preparados'!S896</f>
        <v/>
      </c>
      <c r="U903" s="7">
        <f>'1 datos preparados'!T896</f>
        <v/>
      </c>
      <c r="V903" s="8">
        <f>$AE$12+D903*$AE$13+E903*$AE$14+F903*$AE$15+G903*$AE$16+H903*$AE$17+I903*$AE$18+J903*$AE$19+K903*$AE$20+L903*$AE$21+M903*$AE$22+N903*$AE$23+O903*$AE$24+P903*$AE$25+Q903*$AE$26+R903*$AE$27+S903*$AE$28+T903*$AE$29+U903*$AE$30</f>
        <v/>
      </c>
      <c r="W903" s="8">
        <f>1/(1+EXP(-V903))</f>
        <v/>
      </c>
      <c r="X903" s="9">
        <f>-IF(C903=1,LN(W903),LN(1-W903))</f>
        <v/>
      </c>
      <c r="Y903" s="8">
        <f>1</f>
        <v/>
      </c>
      <c r="Z903" s="9">
        <f>Y903*X903</f>
        <v/>
      </c>
      <c r="AA903" s="10">
        <f>IF(W903&gt;$AE$32,1,0)</f>
        <v/>
      </c>
      <c r="AB903">
        <f>IF(AA903=C903,1,0)</f>
        <v/>
      </c>
    </row>
    <row r="904">
      <c r="A904">
        <f>'1 datos preparados'!A897</f>
        <v/>
      </c>
      <c r="B904" s="5">
        <f>'1 datos preparados'!U897</f>
        <v/>
      </c>
      <c r="C904">
        <f>'1 datos preparados'!B897</f>
        <v/>
      </c>
      <c r="D904" s="7">
        <f>'1 datos preparados'!C897</f>
        <v/>
      </c>
      <c r="E904" s="7">
        <f>'1 datos preparados'!D897</f>
        <v/>
      </c>
      <c r="F904" s="7">
        <f>'1 datos preparados'!E897</f>
        <v/>
      </c>
      <c r="G904" s="7">
        <f>'1 datos preparados'!F897</f>
        <v/>
      </c>
      <c r="H904" s="7">
        <f>'1 datos preparados'!G897</f>
        <v/>
      </c>
      <c r="I904" s="7">
        <f>'1 datos preparados'!H897</f>
        <v/>
      </c>
      <c r="J904" s="7">
        <f>'1 datos preparados'!I897</f>
        <v/>
      </c>
      <c r="K904" s="7">
        <f>'1 datos preparados'!J897</f>
        <v/>
      </c>
      <c r="L904" s="7">
        <f>'1 datos preparados'!K897</f>
        <v/>
      </c>
      <c r="M904" s="7">
        <f>'1 datos preparados'!L897</f>
        <v/>
      </c>
      <c r="N904" s="7">
        <f>'1 datos preparados'!M897</f>
        <v/>
      </c>
      <c r="O904" s="7">
        <f>'1 datos preparados'!N897</f>
        <v/>
      </c>
      <c r="P904" s="7">
        <f>'1 datos preparados'!O897</f>
        <v/>
      </c>
      <c r="Q904" s="7">
        <f>'1 datos preparados'!P897</f>
        <v/>
      </c>
      <c r="R904" s="7">
        <f>'1 datos preparados'!Q897</f>
        <v/>
      </c>
      <c r="S904" s="7">
        <f>'1 datos preparados'!R897</f>
        <v/>
      </c>
      <c r="T904" s="7">
        <f>'1 datos preparados'!S897</f>
        <v/>
      </c>
      <c r="U904" s="7">
        <f>'1 datos preparados'!T897</f>
        <v/>
      </c>
      <c r="V904" s="8">
        <f>$AE$12+D904*$AE$13+E904*$AE$14+F904*$AE$15+G904*$AE$16+H904*$AE$17+I904*$AE$18+J904*$AE$19+K904*$AE$20+L904*$AE$21+M904*$AE$22+N904*$AE$23+O904*$AE$24+P904*$AE$25+Q904*$AE$26+R904*$AE$27+S904*$AE$28+T904*$AE$29+U904*$AE$30</f>
        <v/>
      </c>
      <c r="W904" s="8">
        <f>1/(1+EXP(-V904))</f>
        <v/>
      </c>
      <c r="X904" s="9">
        <f>-IF(C904=1,LN(W904),LN(1-W904))</f>
        <v/>
      </c>
      <c r="Y904" s="8">
        <f>1</f>
        <v/>
      </c>
      <c r="Z904" s="9">
        <f>Y904*X904</f>
        <v/>
      </c>
      <c r="AA904" s="10">
        <f>IF(W904&gt;$AE$32,1,0)</f>
        <v/>
      </c>
      <c r="AB904">
        <f>IF(AA904=C904,1,0)</f>
        <v/>
      </c>
    </row>
    <row r="905">
      <c r="A905">
        <f>'1 datos preparados'!A898</f>
        <v/>
      </c>
      <c r="B905" s="5">
        <f>'1 datos preparados'!U898</f>
        <v/>
      </c>
      <c r="C905">
        <f>'1 datos preparados'!B898</f>
        <v/>
      </c>
      <c r="D905" s="7">
        <f>'1 datos preparados'!C898</f>
        <v/>
      </c>
      <c r="E905" s="7">
        <f>'1 datos preparados'!D898</f>
        <v/>
      </c>
      <c r="F905" s="7">
        <f>'1 datos preparados'!E898</f>
        <v/>
      </c>
      <c r="G905" s="7">
        <f>'1 datos preparados'!F898</f>
        <v/>
      </c>
      <c r="H905" s="7">
        <f>'1 datos preparados'!G898</f>
        <v/>
      </c>
      <c r="I905" s="7">
        <f>'1 datos preparados'!H898</f>
        <v/>
      </c>
      <c r="J905" s="7">
        <f>'1 datos preparados'!I898</f>
        <v/>
      </c>
      <c r="K905" s="7">
        <f>'1 datos preparados'!J898</f>
        <v/>
      </c>
      <c r="L905" s="7">
        <f>'1 datos preparados'!K898</f>
        <v/>
      </c>
      <c r="M905" s="7">
        <f>'1 datos preparados'!L898</f>
        <v/>
      </c>
      <c r="N905" s="7">
        <f>'1 datos preparados'!M898</f>
        <v/>
      </c>
      <c r="O905" s="7">
        <f>'1 datos preparados'!N898</f>
        <v/>
      </c>
      <c r="P905" s="7">
        <f>'1 datos preparados'!O898</f>
        <v/>
      </c>
      <c r="Q905" s="7">
        <f>'1 datos preparados'!P898</f>
        <v/>
      </c>
      <c r="R905" s="7">
        <f>'1 datos preparados'!Q898</f>
        <v/>
      </c>
      <c r="S905" s="7">
        <f>'1 datos preparados'!R898</f>
        <v/>
      </c>
      <c r="T905" s="7">
        <f>'1 datos preparados'!S898</f>
        <v/>
      </c>
      <c r="U905" s="7">
        <f>'1 datos preparados'!T898</f>
        <v/>
      </c>
      <c r="V905" s="8">
        <f>$AE$12+D905*$AE$13+E905*$AE$14+F905*$AE$15+G905*$AE$16+H905*$AE$17+I905*$AE$18+J905*$AE$19+K905*$AE$20+L905*$AE$21+M905*$AE$22+N905*$AE$23+O905*$AE$24+P905*$AE$25+Q905*$AE$26+R905*$AE$27+S905*$AE$28+T905*$AE$29+U905*$AE$30</f>
        <v/>
      </c>
      <c r="W905" s="8">
        <f>1/(1+EXP(-V905))</f>
        <v/>
      </c>
      <c r="X905" s="9">
        <f>-IF(C905=1,LN(W905),LN(1-W905))</f>
        <v/>
      </c>
      <c r="Y905" s="8">
        <f>1</f>
        <v/>
      </c>
      <c r="Z905" s="9">
        <f>Y905*X905</f>
        <v/>
      </c>
      <c r="AA905" s="10">
        <f>IF(W905&gt;$AE$32,1,0)</f>
        <v/>
      </c>
      <c r="AB905">
        <f>IF(AA905=C905,1,0)</f>
        <v/>
      </c>
    </row>
    <row r="906">
      <c r="A906">
        <f>'1 datos preparados'!A899</f>
        <v/>
      </c>
      <c r="B906" s="5">
        <f>'1 datos preparados'!U899</f>
        <v/>
      </c>
      <c r="C906">
        <f>'1 datos preparados'!B899</f>
        <v/>
      </c>
      <c r="D906" s="7">
        <f>'1 datos preparados'!C899</f>
        <v/>
      </c>
      <c r="E906" s="7">
        <f>'1 datos preparados'!D899</f>
        <v/>
      </c>
      <c r="F906" s="7">
        <f>'1 datos preparados'!E899</f>
        <v/>
      </c>
      <c r="G906" s="7">
        <f>'1 datos preparados'!F899</f>
        <v/>
      </c>
      <c r="H906" s="7">
        <f>'1 datos preparados'!G899</f>
        <v/>
      </c>
      <c r="I906" s="7">
        <f>'1 datos preparados'!H899</f>
        <v/>
      </c>
      <c r="J906" s="7">
        <f>'1 datos preparados'!I899</f>
        <v/>
      </c>
      <c r="K906" s="7">
        <f>'1 datos preparados'!J899</f>
        <v/>
      </c>
      <c r="L906" s="7">
        <f>'1 datos preparados'!K899</f>
        <v/>
      </c>
      <c r="M906" s="7">
        <f>'1 datos preparados'!L899</f>
        <v/>
      </c>
      <c r="N906" s="7">
        <f>'1 datos preparados'!M899</f>
        <v/>
      </c>
      <c r="O906" s="7">
        <f>'1 datos preparados'!N899</f>
        <v/>
      </c>
      <c r="P906" s="7">
        <f>'1 datos preparados'!O899</f>
        <v/>
      </c>
      <c r="Q906" s="7">
        <f>'1 datos preparados'!P899</f>
        <v/>
      </c>
      <c r="R906" s="7">
        <f>'1 datos preparados'!Q899</f>
        <v/>
      </c>
      <c r="S906" s="7">
        <f>'1 datos preparados'!R899</f>
        <v/>
      </c>
      <c r="T906" s="7">
        <f>'1 datos preparados'!S899</f>
        <v/>
      </c>
      <c r="U906" s="7">
        <f>'1 datos preparados'!T899</f>
        <v/>
      </c>
      <c r="V906" s="8">
        <f>$AE$12+D906*$AE$13+E906*$AE$14+F906*$AE$15+G906*$AE$16+H906*$AE$17+I906*$AE$18+J906*$AE$19+K906*$AE$20+L906*$AE$21+M906*$AE$22+N906*$AE$23+O906*$AE$24+P906*$AE$25+Q906*$AE$26+R906*$AE$27+S906*$AE$28+T906*$AE$29+U906*$AE$30</f>
        <v/>
      </c>
      <c r="W906" s="8">
        <f>1/(1+EXP(-V906))</f>
        <v/>
      </c>
      <c r="X906" s="9">
        <f>-IF(C906=1,LN(W906),LN(1-W906))</f>
        <v/>
      </c>
      <c r="Y906" s="8">
        <f>1</f>
        <v/>
      </c>
      <c r="Z906" s="9">
        <f>Y906*X906</f>
        <v/>
      </c>
      <c r="AA906" s="10">
        <f>IF(W906&gt;$AE$32,1,0)</f>
        <v/>
      </c>
      <c r="AB906">
        <f>IF(AA906=C906,1,0)</f>
        <v/>
      </c>
    </row>
    <row r="907">
      <c r="A907">
        <f>'1 datos preparados'!A900</f>
        <v/>
      </c>
      <c r="B907" s="5">
        <f>'1 datos preparados'!U900</f>
        <v/>
      </c>
      <c r="C907">
        <f>'1 datos preparados'!B900</f>
        <v/>
      </c>
      <c r="D907" s="7">
        <f>'1 datos preparados'!C900</f>
        <v/>
      </c>
      <c r="E907" s="7">
        <f>'1 datos preparados'!D900</f>
        <v/>
      </c>
      <c r="F907" s="7">
        <f>'1 datos preparados'!E900</f>
        <v/>
      </c>
      <c r="G907" s="7">
        <f>'1 datos preparados'!F900</f>
        <v/>
      </c>
      <c r="H907" s="7">
        <f>'1 datos preparados'!G900</f>
        <v/>
      </c>
      <c r="I907" s="7">
        <f>'1 datos preparados'!H900</f>
        <v/>
      </c>
      <c r="J907" s="7">
        <f>'1 datos preparados'!I900</f>
        <v/>
      </c>
      <c r="K907" s="7">
        <f>'1 datos preparados'!J900</f>
        <v/>
      </c>
      <c r="L907" s="7">
        <f>'1 datos preparados'!K900</f>
        <v/>
      </c>
      <c r="M907" s="7">
        <f>'1 datos preparados'!L900</f>
        <v/>
      </c>
      <c r="N907" s="7">
        <f>'1 datos preparados'!M900</f>
        <v/>
      </c>
      <c r="O907" s="7">
        <f>'1 datos preparados'!N900</f>
        <v/>
      </c>
      <c r="P907" s="7">
        <f>'1 datos preparados'!O900</f>
        <v/>
      </c>
      <c r="Q907" s="7">
        <f>'1 datos preparados'!P900</f>
        <v/>
      </c>
      <c r="R907" s="7">
        <f>'1 datos preparados'!Q900</f>
        <v/>
      </c>
      <c r="S907" s="7">
        <f>'1 datos preparados'!R900</f>
        <v/>
      </c>
      <c r="T907" s="7">
        <f>'1 datos preparados'!S900</f>
        <v/>
      </c>
      <c r="U907" s="7">
        <f>'1 datos preparados'!T900</f>
        <v/>
      </c>
      <c r="V907" s="8">
        <f>$AE$12+D907*$AE$13+E907*$AE$14+F907*$AE$15+G907*$AE$16+H907*$AE$17+I907*$AE$18+J907*$AE$19+K907*$AE$20+L907*$AE$21+M907*$AE$22+N907*$AE$23+O907*$AE$24+P907*$AE$25+Q907*$AE$26+R907*$AE$27+S907*$AE$28+T907*$AE$29+U907*$AE$30</f>
        <v/>
      </c>
      <c r="W907" s="8">
        <f>1/(1+EXP(-V907))</f>
        <v/>
      </c>
      <c r="X907" s="9">
        <f>-IF(C907=1,LN(W907),LN(1-W907))</f>
        <v/>
      </c>
      <c r="Y907" s="8">
        <f>1</f>
        <v/>
      </c>
      <c r="Z907" s="9">
        <f>Y907*X907</f>
        <v/>
      </c>
      <c r="AA907" s="10">
        <f>IF(W907&gt;$AE$32,1,0)</f>
        <v/>
      </c>
      <c r="AB907">
        <f>IF(AA907=C907,1,0)</f>
        <v/>
      </c>
    </row>
    <row r="908">
      <c r="A908">
        <f>'1 datos preparados'!A901</f>
        <v/>
      </c>
      <c r="B908" s="5">
        <f>'1 datos preparados'!U901</f>
        <v/>
      </c>
      <c r="C908">
        <f>'1 datos preparados'!B901</f>
        <v/>
      </c>
      <c r="D908" s="7">
        <f>'1 datos preparados'!C901</f>
        <v/>
      </c>
      <c r="E908" s="7">
        <f>'1 datos preparados'!D901</f>
        <v/>
      </c>
      <c r="F908" s="7">
        <f>'1 datos preparados'!E901</f>
        <v/>
      </c>
      <c r="G908" s="7">
        <f>'1 datos preparados'!F901</f>
        <v/>
      </c>
      <c r="H908" s="7">
        <f>'1 datos preparados'!G901</f>
        <v/>
      </c>
      <c r="I908" s="7">
        <f>'1 datos preparados'!H901</f>
        <v/>
      </c>
      <c r="J908" s="7">
        <f>'1 datos preparados'!I901</f>
        <v/>
      </c>
      <c r="K908" s="7">
        <f>'1 datos preparados'!J901</f>
        <v/>
      </c>
      <c r="L908" s="7">
        <f>'1 datos preparados'!K901</f>
        <v/>
      </c>
      <c r="M908" s="7">
        <f>'1 datos preparados'!L901</f>
        <v/>
      </c>
      <c r="N908" s="7">
        <f>'1 datos preparados'!M901</f>
        <v/>
      </c>
      <c r="O908" s="7">
        <f>'1 datos preparados'!N901</f>
        <v/>
      </c>
      <c r="P908" s="7">
        <f>'1 datos preparados'!O901</f>
        <v/>
      </c>
      <c r="Q908" s="7">
        <f>'1 datos preparados'!P901</f>
        <v/>
      </c>
      <c r="R908" s="7">
        <f>'1 datos preparados'!Q901</f>
        <v/>
      </c>
      <c r="S908" s="7">
        <f>'1 datos preparados'!R901</f>
        <v/>
      </c>
      <c r="T908" s="7">
        <f>'1 datos preparados'!S901</f>
        <v/>
      </c>
      <c r="U908" s="7">
        <f>'1 datos preparados'!T901</f>
        <v/>
      </c>
      <c r="V908" s="8">
        <f>$AE$12+D908*$AE$13+E908*$AE$14+F908*$AE$15+G908*$AE$16+H908*$AE$17+I908*$AE$18+J908*$AE$19+K908*$AE$20+L908*$AE$21+M908*$AE$22+N908*$AE$23+O908*$AE$24+P908*$AE$25+Q908*$AE$26+R908*$AE$27+S908*$AE$28+T908*$AE$29+U908*$AE$30</f>
        <v/>
      </c>
      <c r="W908" s="8">
        <f>1/(1+EXP(-V908))</f>
        <v/>
      </c>
      <c r="X908" s="9">
        <f>-IF(C908=1,LN(W908),LN(1-W908))</f>
        <v/>
      </c>
      <c r="Y908" s="8">
        <f>1</f>
        <v/>
      </c>
      <c r="Z908" s="9">
        <f>Y908*X908</f>
        <v/>
      </c>
      <c r="AA908" s="10">
        <f>IF(W908&gt;$AE$32,1,0)</f>
        <v/>
      </c>
      <c r="AB908">
        <f>IF(AA908=C908,1,0)</f>
        <v/>
      </c>
    </row>
    <row r="909">
      <c r="A909">
        <f>'1 datos preparados'!A902</f>
        <v/>
      </c>
      <c r="B909" s="5">
        <f>'1 datos preparados'!U902</f>
        <v/>
      </c>
      <c r="C909">
        <f>'1 datos preparados'!B902</f>
        <v/>
      </c>
      <c r="D909" s="7">
        <f>'1 datos preparados'!C902</f>
        <v/>
      </c>
      <c r="E909" s="7">
        <f>'1 datos preparados'!D902</f>
        <v/>
      </c>
      <c r="F909" s="7">
        <f>'1 datos preparados'!E902</f>
        <v/>
      </c>
      <c r="G909" s="7">
        <f>'1 datos preparados'!F902</f>
        <v/>
      </c>
      <c r="H909" s="7">
        <f>'1 datos preparados'!G902</f>
        <v/>
      </c>
      <c r="I909" s="7">
        <f>'1 datos preparados'!H902</f>
        <v/>
      </c>
      <c r="J909" s="7">
        <f>'1 datos preparados'!I902</f>
        <v/>
      </c>
      <c r="K909" s="7">
        <f>'1 datos preparados'!J902</f>
        <v/>
      </c>
      <c r="L909" s="7">
        <f>'1 datos preparados'!K902</f>
        <v/>
      </c>
      <c r="M909" s="7">
        <f>'1 datos preparados'!L902</f>
        <v/>
      </c>
      <c r="N909" s="7">
        <f>'1 datos preparados'!M902</f>
        <v/>
      </c>
      <c r="O909" s="7">
        <f>'1 datos preparados'!N902</f>
        <v/>
      </c>
      <c r="P909" s="7">
        <f>'1 datos preparados'!O902</f>
        <v/>
      </c>
      <c r="Q909" s="7">
        <f>'1 datos preparados'!P902</f>
        <v/>
      </c>
      <c r="R909" s="7">
        <f>'1 datos preparados'!Q902</f>
        <v/>
      </c>
      <c r="S909" s="7">
        <f>'1 datos preparados'!R902</f>
        <v/>
      </c>
      <c r="T909" s="7">
        <f>'1 datos preparados'!S902</f>
        <v/>
      </c>
      <c r="U909" s="7">
        <f>'1 datos preparados'!T902</f>
        <v/>
      </c>
      <c r="V909" s="8">
        <f>$AE$12+D909*$AE$13+E909*$AE$14+F909*$AE$15+G909*$AE$16+H909*$AE$17+I909*$AE$18+J909*$AE$19+K909*$AE$20+L909*$AE$21+M909*$AE$22+N909*$AE$23+O909*$AE$24+P909*$AE$25+Q909*$AE$26+R909*$AE$27+S909*$AE$28+T909*$AE$29+U909*$AE$30</f>
        <v/>
      </c>
      <c r="W909" s="8">
        <f>1/(1+EXP(-V909))</f>
        <v/>
      </c>
      <c r="X909" s="9">
        <f>-IF(C909=1,LN(W909),LN(1-W909))</f>
        <v/>
      </c>
      <c r="Y909" s="8">
        <f>1</f>
        <v/>
      </c>
      <c r="Z909" s="9">
        <f>Y909*X909</f>
        <v/>
      </c>
      <c r="AA909" s="10">
        <f>IF(W909&gt;$AE$32,1,0)</f>
        <v/>
      </c>
      <c r="AB909">
        <f>IF(AA909=C909,1,0)</f>
        <v/>
      </c>
    </row>
    <row r="910">
      <c r="A910">
        <f>'1 datos preparados'!A903</f>
        <v/>
      </c>
      <c r="B910" s="5">
        <f>'1 datos preparados'!U903</f>
        <v/>
      </c>
      <c r="C910">
        <f>'1 datos preparados'!B903</f>
        <v/>
      </c>
      <c r="D910" s="7">
        <f>'1 datos preparados'!C903</f>
        <v/>
      </c>
      <c r="E910" s="7">
        <f>'1 datos preparados'!D903</f>
        <v/>
      </c>
      <c r="F910" s="7">
        <f>'1 datos preparados'!E903</f>
        <v/>
      </c>
      <c r="G910" s="7">
        <f>'1 datos preparados'!F903</f>
        <v/>
      </c>
      <c r="H910" s="7">
        <f>'1 datos preparados'!G903</f>
        <v/>
      </c>
      <c r="I910" s="7">
        <f>'1 datos preparados'!H903</f>
        <v/>
      </c>
      <c r="J910" s="7">
        <f>'1 datos preparados'!I903</f>
        <v/>
      </c>
      <c r="K910" s="7">
        <f>'1 datos preparados'!J903</f>
        <v/>
      </c>
      <c r="L910" s="7">
        <f>'1 datos preparados'!K903</f>
        <v/>
      </c>
      <c r="M910" s="7">
        <f>'1 datos preparados'!L903</f>
        <v/>
      </c>
      <c r="N910" s="7">
        <f>'1 datos preparados'!M903</f>
        <v/>
      </c>
      <c r="O910" s="7">
        <f>'1 datos preparados'!N903</f>
        <v/>
      </c>
      <c r="P910" s="7">
        <f>'1 datos preparados'!O903</f>
        <v/>
      </c>
      <c r="Q910" s="7">
        <f>'1 datos preparados'!P903</f>
        <v/>
      </c>
      <c r="R910" s="7">
        <f>'1 datos preparados'!Q903</f>
        <v/>
      </c>
      <c r="S910" s="7">
        <f>'1 datos preparados'!R903</f>
        <v/>
      </c>
      <c r="T910" s="7">
        <f>'1 datos preparados'!S903</f>
        <v/>
      </c>
      <c r="U910" s="7">
        <f>'1 datos preparados'!T903</f>
        <v/>
      </c>
      <c r="V910" s="8">
        <f>$AE$12+D910*$AE$13+E910*$AE$14+F910*$AE$15+G910*$AE$16+H910*$AE$17+I910*$AE$18+J910*$AE$19+K910*$AE$20+L910*$AE$21+M910*$AE$22+N910*$AE$23+O910*$AE$24+P910*$AE$25+Q910*$AE$26+R910*$AE$27+S910*$AE$28+T910*$AE$29+U910*$AE$30</f>
        <v/>
      </c>
      <c r="W910" s="8">
        <f>1/(1+EXP(-V910))</f>
        <v/>
      </c>
      <c r="X910" s="9">
        <f>-IF(C910=1,LN(W910),LN(1-W910))</f>
        <v/>
      </c>
      <c r="Y910" s="8">
        <f>1</f>
        <v/>
      </c>
      <c r="Z910" s="9">
        <f>Y910*X910</f>
        <v/>
      </c>
      <c r="AA910" s="10">
        <f>IF(W910&gt;$AE$32,1,0)</f>
        <v/>
      </c>
      <c r="AB910">
        <f>IF(AA910=C910,1,0)</f>
        <v/>
      </c>
    </row>
    <row r="911">
      <c r="A911">
        <f>'1 datos preparados'!A904</f>
        <v/>
      </c>
      <c r="B911" s="5">
        <f>'1 datos preparados'!U904</f>
        <v/>
      </c>
      <c r="C911">
        <f>'1 datos preparados'!B904</f>
        <v/>
      </c>
      <c r="D911" s="7">
        <f>'1 datos preparados'!C904</f>
        <v/>
      </c>
      <c r="E911" s="7">
        <f>'1 datos preparados'!D904</f>
        <v/>
      </c>
      <c r="F911" s="7">
        <f>'1 datos preparados'!E904</f>
        <v/>
      </c>
      <c r="G911" s="7">
        <f>'1 datos preparados'!F904</f>
        <v/>
      </c>
      <c r="H911" s="7">
        <f>'1 datos preparados'!G904</f>
        <v/>
      </c>
      <c r="I911" s="7">
        <f>'1 datos preparados'!H904</f>
        <v/>
      </c>
      <c r="J911" s="7">
        <f>'1 datos preparados'!I904</f>
        <v/>
      </c>
      <c r="K911" s="7">
        <f>'1 datos preparados'!J904</f>
        <v/>
      </c>
      <c r="L911" s="7">
        <f>'1 datos preparados'!K904</f>
        <v/>
      </c>
      <c r="M911" s="7">
        <f>'1 datos preparados'!L904</f>
        <v/>
      </c>
      <c r="N911" s="7">
        <f>'1 datos preparados'!M904</f>
        <v/>
      </c>
      <c r="O911" s="7">
        <f>'1 datos preparados'!N904</f>
        <v/>
      </c>
      <c r="P911" s="7">
        <f>'1 datos preparados'!O904</f>
        <v/>
      </c>
      <c r="Q911" s="7">
        <f>'1 datos preparados'!P904</f>
        <v/>
      </c>
      <c r="R911" s="7">
        <f>'1 datos preparados'!Q904</f>
        <v/>
      </c>
      <c r="S911" s="7">
        <f>'1 datos preparados'!R904</f>
        <v/>
      </c>
      <c r="T911" s="7">
        <f>'1 datos preparados'!S904</f>
        <v/>
      </c>
      <c r="U911" s="7">
        <f>'1 datos preparados'!T904</f>
        <v/>
      </c>
      <c r="V911" s="8">
        <f>$AE$12+D911*$AE$13+E911*$AE$14+F911*$AE$15+G911*$AE$16+H911*$AE$17+I911*$AE$18+J911*$AE$19+K911*$AE$20+L911*$AE$21+M911*$AE$22+N911*$AE$23+O911*$AE$24+P911*$AE$25+Q911*$AE$26+R911*$AE$27+S911*$AE$28+T911*$AE$29+U911*$AE$30</f>
        <v/>
      </c>
      <c r="W911" s="8">
        <f>1/(1+EXP(-V911))</f>
        <v/>
      </c>
      <c r="X911" s="9">
        <f>-IF(C911=1,LN(W911),LN(1-W911))</f>
        <v/>
      </c>
      <c r="Y911" s="8">
        <f>1</f>
        <v/>
      </c>
      <c r="Z911" s="9">
        <f>Y911*X911</f>
        <v/>
      </c>
      <c r="AA911" s="10">
        <f>IF(W911&gt;$AE$32,1,0)</f>
        <v/>
      </c>
      <c r="AB911">
        <f>IF(AA911=C911,1,0)</f>
        <v/>
      </c>
    </row>
    <row r="912">
      <c r="A912">
        <f>'1 datos preparados'!A905</f>
        <v/>
      </c>
      <c r="B912" s="5">
        <f>'1 datos preparados'!U905</f>
        <v/>
      </c>
      <c r="C912">
        <f>'1 datos preparados'!B905</f>
        <v/>
      </c>
      <c r="D912" s="7">
        <f>'1 datos preparados'!C905</f>
        <v/>
      </c>
      <c r="E912" s="7">
        <f>'1 datos preparados'!D905</f>
        <v/>
      </c>
      <c r="F912" s="7">
        <f>'1 datos preparados'!E905</f>
        <v/>
      </c>
      <c r="G912" s="7">
        <f>'1 datos preparados'!F905</f>
        <v/>
      </c>
      <c r="H912" s="7">
        <f>'1 datos preparados'!G905</f>
        <v/>
      </c>
      <c r="I912" s="7">
        <f>'1 datos preparados'!H905</f>
        <v/>
      </c>
      <c r="J912" s="7">
        <f>'1 datos preparados'!I905</f>
        <v/>
      </c>
      <c r="K912" s="7">
        <f>'1 datos preparados'!J905</f>
        <v/>
      </c>
      <c r="L912" s="7">
        <f>'1 datos preparados'!K905</f>
        <v/>
      </c>
      <c r="M912" s="7">
        <f>'1 datos preparados'!L905</f>
        <v/>
      </c>
      <c r="N912" s="7">
        <f>'1 datos preparados'!M905</f>
        <v/>
      </c>
      <c r="O912" s="7">
        <f>'1 datos preparados'!N905</f>
        <v/>
      </c>
      <c r="P912" s="7">
        <f>'1 datos preparados'!O905</f>
        <v/>
      </c>
      <c r="Q912" s="7">
        <f>'1 datos preparados'!P905</f>
        <v/>
      </c>
      <c r="R912" s="7">
        <f>'1 datos preparados'!Q905</f>
        <v/>
      </c>
      <c r="S912" s="7">
        <f>'1 datos preparados'!R905</f>
        <v/>
      </c>
      <c r="T912" s="7">
        <f>'1 datos preparados'!S905</f>
        <v/>
      </c>
      <c r="U912" s="7">
        <f>'1 datos preparados'!T905</f>
        <v/>
      </c>
      <c r="V912" s="8">
        <f>$AE$12+D912*$AE$13+E912*$AE$14+F912*$AE$15+G912*$AE$16+H912*$AE$17+I912*$AE$18+J912*$AE$19+K912*$AE$20+L912*$AE$21+M912*$AE$22+N912*$AE$23+O912*$AE$24+P912*$AE$25+Q912*$AE$26+R912*$AE$27+S912*$AE$28+T912*$AE$29+U912*$AE$30</f>
        <v/>
      </c>
      <c r="W912" s="8">
        <f>1/(1+EXP(-V912))</f>
        <v/>
      </c>
      <c r="X912" s="9">
        <f>-IF(C912=1,LN(W912),LN(1-W912))</f>
        <v/>
      </c>
      <c r="Y912" s="8">
        <f>1</f>
        <v/>
      </c>
      <c r="Z912" s="9">
        <f>Y912*X912</f>
        <v/>
      </c>
      <c r="AA912" s="10">
        <f>IF(W912&gt;$AE$32,1,0)</f>
        <v/>
      </c>
      <c r="AB912">
        <f>IF(AA912=C912,1,0)</f>
        <v/>
      </c>
    </row>
    <row r="913">
      <c r="A913">
        <f>'1 datos preparados'!A906</f>
        <v/>
      </c>
      <c r="B913" s="5">
        <f>'1 datos preparados'!U906</f>
        <v/>
      </c>
      <c r="C913">
        <f>'1 datos preparados'!B906</f>
        <v/>
      </c>
      <c r="D913" s="7">
        <f>'1 datos preparados'!C906</f>
        <v/>
      </c>
      <c r="E913" s="7">
        <f>'1 datos preparados'!D906</f>
        <v/>
      </c>
      <c r="F913" s="7">
        <f>'1 datos preparados'!E906</f>
        <v/>
      </c>
      <c r="G913" s="7">
        <f>'1 datos preparados'!F906</f>
        <v/>
      </c>
      <c r="H913" s="7">
        <f>'1 datos preparados'!G906</f>
        <v/>
      </c>
      <c r="I913" s="7">
        <f>'1 datos preparados'!H906</f>
        <v/>
      </c>
      <c r="J913" s="7">
        <f>'1 datos preparados'!I906</f>
        <v/>
      </c>
      <c r="K913" s="7">
        <f>'1 datos preparados'!J906</f>
        <v/>
      </c>
      <c r="L913" s="7">
        <f>'1 datos preparados'!K906</f>
        <v/>
      </c>
      <c r="M913" s="7">
        <f>'1 datos preparados'!L906</f>
        <v/>
      </c>
      <c r="N913" s="7">
        <f>'1 datos preparados'!M906</f>
        <v/>
      </c>
      <c r="O913" s="7">
        <f>'1 datos preparados'!N906</f>
        <v/>
      </c>
      <c r="P913" s="7">
        <f>'1 datos preparados'!O906</f>
        <v/>
      </c>
      <c r="Q913" s="7">
        <f>'1 datos preparados'!P906</f>
        <v/>
      </c>
      <c r="R913" s="7">
        <f>'1 datos preparados'!Q906</f>
        <v/>
      </c>
      <c r="S913" s="7">
        <f>'1 datos preparados'!R906</f>
        <v/>
      </c>
      <c r="T913" s="7">
        <f>'1 datos preparados'!S906</f>
        <v/>
      </c>
      <c r="U913" s="7">
        <f>'1 datos preparados'!T906</f>
        <v/>
      </c>
      <c r="V913" s="8">
        <f>$AE$12+D913*$AE$13+E913*$AE$14+F913*$AE$15+G913*$AE$16+H913*$AE$17+I913*$AE$18+J913*$AE$19+K913*$AE$20+L913*$AE$21+M913*$AE$22+N913*$AE$23+O913*$AE$24+P913*$AE$25+Q913*$AE$26+R913*$AE$27+S913*$AE$28+T913*$AE$29+U913*$AE$30</f>
        <v/>
      </c>
      <c r="W913" s="8">
        <f>1/(1+EXP(-V913))</f>
        <v/>
      </c>
      <c r="X913" s="9">
        <f>-IF(C913=1,LN(W913),LN(1-W913))</f>
        <v/>
      </c>
      <c r="Y913" s="8">
        <f>1</f>
        <v/>
      </c>
      <c r="Z913" s="9">
        <f>Y913*X913</f>
        <v/>
      </c>
      <c r="AA913" s="10">
        <f>IF(W913&gt;$AE$32,1,0)</f>
        <v/>
      </c>
      <c r="AB913">
        <f>IF(AA913=C913,1,0)</f>
        <v/>
      </c>
    </row>
    <row r="914">
      <c r="A914">
        <f>'1 datos preparados'!A907</f>
        <v/>
      </c>
      <c r="B914" s="5">
        <f>'1 datos preparados'!U907</f>
        <v/>
      </c>
      <c r="C914">
        <f>'1 datos preparados'!B907</f>
        <v/>
      </c>
      <c r="D914" s="7">
        <f>'1 datos preparados'!C907</f>
        <v/>
      </c>
      <c r="E914" s="7">
        <f>'1 datos preparados'!D907</f>
        <v/>
      </c>
      <c r="F914" s="7">
        <f>'1 datos preparados'!E907</f>
        <v/>
      </c>
      <c r="G914" s="7">
        <f>'1 datos preparados'!F907</f>
        <v/>
      </c>
      <c r="H914" s="7">
        <f>'1 datos preparados'!G907</f>
        <v/>
      </c>
      <c r="I914" s="7">
        <f>'1 datos preparados'!H907</f>
        <v/>
      </c>
      <c r="J914" s="7">
        <f>'1 datos preparados'!I907</f>
        <v/>
      </c>
      <c r="K914" s="7">
        <f>'1 datos preparados'!J907</f>
        <v/>
      </c>
      <c r="L914" s="7">
        <f>'1 datos preparados'!K907</f>
        <v/>
      </c>
      <c r="M914" s="7">
        <f>'1 datos preparados'!L907</f>
        <v/>
      </c>
      <c r="N914" s="7">
        <f>'1 datos preparados'!M907</f>
        <v/>
      </c>
      <c r="O914" s="7">
        <f>'1 datos preparados'!N907</f>
        <v/>
      </c>
      <c r="P914" s="7">
        <f>'1 datos preparados'!O907</f>
        <v/>
      </c>
      <c r="Q914" s="7">
        <f>'1 datos preparados'!P907</f>
        <v/>
      </c>
      <c r="R914" s="7">
        <f>'1 datos preparados'!Q907</f>
        <v/>
      </c>
      <c r="S914" s="7">
        <f>'1 datos preparados'!R907</f>
        <v/>
      </c>
      <c r="T914" s="7">
        <f>'1 datos preparados'!S907</f>
        <v/>
      </c>
      <c r="U914" s="7">
        <f>'1 datos preparados'!T907</f>
        <v/>
      </c>
      <c r="V914" s="8">
        <f>$AE$12+D914*$AE$13+E914*$AE$14+F914*$AE$15+G914*$AE$16+H914*$AE$17+I914*$AE$18+J914*$AE$19+K914*$AE$20+L914*$AE$21+M914*$AE$22+N914*$AE$23+O914*$AE$24+P914*$AE$25+Q914*$AE$26+R914*$AE$27+S914*$AE$28+T914*$AE$29+U914*$AE$30</f>
        <v/>
      </c>
      <c r="W914" s="8">
        <f>1/(1+EXP(-V914))</f>
        <v/>
      </c>
      <c r="X914" s="9">
        <f>-IF(C914=1,LN(W914),LN(1-W914))</f>
        <v/>
      </c>
      <c r="Y914" s="8">
        <f>1</f>
        <v/>
      </c>
      <c r="Z914" s="9">
        <f>Y914*X914</f>
        <v/>
      </c>
      <c r="AA914" s="10">
        <f>IF(W914&gt;$AE$32,1,0)</f>
        <v/>
      </c>
      <c r="AB914">
        <f>IF(AA914=C914,1,0)</f>
        <v/>
      </c>
    </row>
    <row r="915">
      <c r="A915">
        <f>'1 datos preparados'!A908</f>
        <v/>
      </c>
      <c r="B915" s="5">
        <f>'1 datos preparados'!U908</f>
        <v/>
      </c>
      <c r="C915">
        <f>'1 datos preparados'!B908</f>
        <v/>
      </c>
      <c r="D915" s="7">
        <f>'1 datos preparados'!C908</f>
        <v/>
      </c>
      <c r="E915" s="7">
        <f>'1 datos preparados'!D908</f>
        <v/>
      </c>
      <c r="F915" s="7">
        <f>'1 datos preparados'!E908</f>
        <v/>
      </c>
      <c r="G915" s="7">
        <f>'1 datos preparados'!F908</f>
        <v/>
      </c>
      <c r="H915" s="7">
        <f>'1 datos preparados'!G908</f>
        <v/>
      </c>
      <c r="I915" s="7">
        <f>'1 datos preparados'!H908</f>
        <v/>
      </c>
      <c r="J915" s="7">
        <f>'1 datos preparados'!I908</f>
        <v/>
      </c>
      <c r="K915" s="7">
        <f>'1 datos preparados'!J908</f>
        <v/>
      </c>
      <c r="L915" s="7">
        <f>'1 datos preparados'!K908</f>
        <v/>
      </c>
      <c r="M915" s="7">
        <f>'1 datos preparados'!L908</f>
        <v/>
      </c>
      <c r="N915" s="7">
        <f>'1 datos preparados'!M908</f>
        <v/>
      </c>
      <c r="O915" s="7">
        <f>'1 datos preparados'!N908</f>
        <v/>
      </c>
      <c r="P915" s="7">
        <f>'1 datos preparados'!O908</f>
        <v/>
      </c>
      <c r="Q915" s="7">
        <f>'1 datos preparados'!P908</f>
        <v/>
      </c>
      <c r="R915" s="7">
        <f>'1 datos preparados'!Q908</f>
        <v/>
      </c>
      <c r="S915" s="7">
        <f>'1 datos preparados'!R908</f>
        <v/>
      </c>
      <c r="T915" s="7">
        <f>'1 datos preparados'!S908</f>
        <v/>
      </c>
      <c r="U915" s="7">
        <f>'1 datos preparados'!T908</f>
        <v/>
      </c>
      <c r="V915" s="8">
        <f>$AE$12+D915*$AE$13+E915*$AE$14+F915*$AE$15+G915*$AE$16+H915*$AE$17+I915*$AE$18+J915*$AE$19+K915*$AE$20+L915*$AE$21+M915*$AE$22+N915*$AE$23+O915*$AE$24+P915*$AE$25+Q915*$AE$26+R915*$AE$27+S915*$AE$28+T915*$AE$29+U915*$AE$30</f>
        <v/>
      </c>
      <c r="W915" s="8">
        <f>1/(1+EXP(-V915))</f>
        <v/>
      </c>
      <c r="X915" s="9">
        <f>-IF(C915=1,LN(W915),LN(1-W915))</f>
        <v/>
      </c>
      <c r="Y915" s="8">
        <f>1</f>
        <v/>
      </c>
      <c r="Z915" s="9">
        <f>Y915*X915</f>
        <v/>
      </c>
      <c r="AA915" s="10">
        <f>IF(W915&gt;$AE$32,1,0)</f>
        <v/>
      </c>
      <c r="AB915">
        <f>IF(AA915=C915,1,0)</f>
        <v/>
      </c>
    </row>
    <row r="916">
      <c r="A916">
        <f>'1 datos preparados'!A909</f>
        <v/>
      </c>
      <c r="B916" s="5">
        <f>'1 datos preparados'!U909</f>
        <v/>
      </c>
      <c r="C916">
        <f>'1 datos preparados'!B909</f>
        <v/>
      </c>
      <c r="D916" s="7">
        <f>'1 datos preparados'!C909</f>
        <v/>
      </c>
      <c r="E916" s="7">
        <f>'1 datos preparados'!D909</f>
        <v/>
      </c>
      <c r="F916" s="7">
        <f>'1 datos preparados'!E909</f>
        <v/>
      </c>
      <c r="G916" s="7">
        <f>'1 datos preparados'!F909</f>
        <v/>
      </c>
      <c r="H916" s="7">
        <f>'1 datos preparados'!G909</f>
        <v/>
      </c>
      <c r="I916" s="7">
        <f>'1 datos preparados'!H909</f>
        <v/>
      </c>
      <c r="J916" s="7">
        <f>'1 datos preparados'!I909</f>
        <v/>
      </c>
      <c r="K916" s="7">
        <f>'1 datos preparados'!J909</f>
        <v/>
      </c>
      <c r="L916" s="7">
        <f>'1 datos preparados'!K909</f>
        <v/>
      </c>
      <c r="M916" s="7">
        <f>'1 datos preparados'!L909</f>
        <v/>
      </c>
      <c r="N916" s="7">
        <f>'1 datos preparados'!M909</f>
        <v/>
      </c>
      <c r="O916" s="7">
        <f>'1 datos preparados'!N909</f>
        <v/>
      </c>
      <c r="P916" s="7">
        <f>'1 datos preparados'!O909</f>
        <v/>
      </c>
      <c r="Q916" s="7">
        <f>'1 datos preparados'!P909</f>
        <v/>
      </c>
      <c r="R916" s="7">
        <f>'1 datos preparados'!Q909</f>
        <v/>
      </c>
      <c r="S916" s="7">
        <f>'1 datos preparados'!R909</f>
        <v/>
      </c>
      <c r="T916" s="7">
        <f>'1 datos preparados'!S909</f>
        <v/>
      </c>
      <c r="U916" s="7">
        <f>'1 datos preparados'!T909</f>
        <v/>
      </c>
      <c r="V916" s="8">
        <f>$AE$12+D916*$AE$13+E916*$AE$14+F916*$AE$15+G916*$AE$16+H916*$AE$17+I916*$AE$18+J916*$AE$19+K916*$AE$20+L916*$AE$21+M916*$AE$22+N916*$AE$23+O916*$AE$24+P916*$AE$25+Q916*$AE$26+R916*$AE$27+S916*$AE$28+T916*$AE$29+U916*$AE$30</f>
        <v/>
      </c>
      <c r="W916" s="8">
        <f>1/(1+EXP(-V916))</f>
        <v/>
      </c>
      <c r="X916" s="9">
        <f>-IF(C916=1,LN(W916),LN(1-W916))</f>
        <v/>
      </c>
      <c r="Y916" s="8">
        <f>1</f>
        <v/>
      </c>
      <c r="Z916" s="9">
        <f>Y916*X916</f>
        <v/>
      </c>
      <c r="AA916" s="10">
        <f>IF(W916&gt;$AE$32,1,0)</f>
        <v/>
      </c>
      <c r="AB916">
        <f>IF(AA916=C916,1,0)</f>
        <v/>
      </c>
    </row>
    <row r="917">
      <c r="A917">
        <f>'1 datos preparados'!A910</f>
        <v/>
      </c>
      <c r="B917" s="5">
        <f>'1 datos preparados'!U910</f>
        <v/>
      </c>
      <c r="C917">
        <f>'1 datos preparados'!B910</f>
        <v/>
      </c>
      <c r="D917" s="7">
        <f>'1 datos preparados'!C910</f>
        <v/>
      </c>
      <c r="E917" s="7">
        <f>'1 datos preparados'!D910</f>
        <v/>
      </c>
      <c r="F917" s="7">
        <f>'1 datos preparados'!E910</f>
        <v/>
      </c>
      <c r="G917" s="7">
        <f>'1 datos preparados'!F910</f>
        <v/>
      </c>
      <c r="H917" s="7">
        <f>'1 datos preparados'!G910</f>
        <v/>
      </c>
      <c r="I917" s="7">
        <f>'1 datos preparados'!H910</f>
        <v/>
      </c>
      <c r="J917" s="7">
        <f>'1 datos preparados'!I910</f>
        <v/>
      </c>
      <c r="K917" s="7">
        <f>'1 datos preparados'!J910</f>
        <v/>
      </c>
      <c r="L917" s="7">
        <f>'1 datos preparados'!K910</f>
        <v/>
      </c>
      <c r="M917" s="7">
        <f>'1 datos preparados'!L910</f>
        <v/>
      </c>
      <c r="N917" s="7">
        <f>'1 datos preparados'!M910</f>
        <v/>
      </c>
      <c r="O917" s="7">
        <f>'1 datos preparados'!N910</f>
        <v/>
      </c>
      <c r="P917" s="7">
        <f>'1 datos preparados'!O910</f>
        <v/>
      </c>
      <c r="Q917" s="7">
        <f>'1 datos preparados'!P910</f>
        <v/>
      </c>
      <c r="R917" s="7">
        <f>'1 datos preparados'!Q910</f>
        <v/>
      </c>
      <c r="S917" s="7">
        <f>'1 datos preparados'!R910</f>
        <v/>
      </c>
      <c r="T917" s="7">
        <f>'1 datos preparados'!S910</f>
        <v/>
      </c>
      <c r="U917" s="7">
        <f>'1 datos preparados'!T910</f>
        <v/>
      </c>
      <c r="V917" s="8">
        <f>$AE$12+D917*$AE$13+E917*$AE$14+F917*$AE$15+G917*$AE$16+H917*$AE$17+I917*$AE$18+J917*$AE$19+K917*$AE$20+L917*$AE$21+M917*$AE$22+N917*$AE$23+O917*$AE$24+P917*$AE$25+Q917*$AE$26+R917*$AE$27+S917*$AE$28+T917*$AE$29+U917*$AE$30</f>
        <v/>
      </c>
      <c r="W917" s="8">
        <f>1/(1+EXP(-V917))</f>
        <v/>
      </c>
      <c r="X917" s="9">
        <f>-IF(C917=1,LN(W917),LN(1-W917))</f>
        <v/>
      </c>
      <c r="Y917" s="8">
        <f>1</f>
        <v/>
      </c>
      <c r="Z917" s="9">
        <f>Y917*X917</f>
        <v/>
      </c>
      <c r="AA917" s="10">
        <f>IF(W917&gt;$AE$32,1,0)</f>
        <v/>
      </c>
      <c r="AB917">
        <f>IF(AA917=C917,1,0)</f>
        <v/>
      </c>
    </row>
    <row r="918">
      <c r="A918">
        <f>'1 datos preparados'!A911</f>
        <v/>
      </c>
      <c r="B918" s="5">
        <f>'1 datos preparados'!U911</f>
        <v/>
      </c>
      <c r="C918">
        <f>'1 datos preparados'!B911</f>
        <v/>
      </c>
      <c r="D918" s="7">
        <f>'1 datos preparados'!C911</f>
        <v/>
      </c>
      <c r="E918" s="7">
        <f>'1 datos preparados'!D911</f>
        <v/>
      </c>
      <c r="F918" s="7">
        <f>'1 datos preparados'!E911</f>
        <v/>
      </c>
      <c r="G918" s="7">
        <f>'1 datos preparados'!F911</f>
        <v/>
      </c>
      <c r="H918" s="7">
        <f>'1 datos preparados'!G911</f>
        <v/>
      </c>
      <c r="I918" s="7">
        <f>'1 datos preparados'!H911</f>
        <v/>
      </c>
      <c r="J918" s="7">
        <f>'1 datos preparados'!I911</f>
        <v/>
      </c>
      <c r="K918" s="7">
        <f>'1 datos preparados'!J911</f>
        <v/>
      </c>
      <c r="L918" s="7">
        <f>'1 datos preparados'!K911</f>
        <v/>
      </c>
      <c r="M918" s="7">
        <f>'1 datos preparados'!L911</f>
        <v/>
      </c>
      <c r="N918" s="7">
        <f>'1 datos preparados'!M911</f>
        <v/>
      </c>
      <c r="O918" s="7">
        <f>'1 datos preparados'!N911</f>
        <v/>
      </c>
      <c r="P918" s="7">
        <f>'1 datos preparados'!O911</f>
        <v/>
      </c>
      <c r="Q918" s="7">
        <f>'1 datos preparados'!P911</f>
        <v/>
      </c>
      <c r="R918" s="7">
        <f>'1 datos preparados'!Q911</f>
        <v/>
      </c>
      <c r="S918" s="7">
        <f>'1 datos preparados'!R911</f>
        <v/>
      </c>
      <c r="T918" s="7">
        <f>'1 datos preparados'!S911</f>
        <v/>
      </c>
      <c r="U918" s="7">
        <f>'1 datos preparados'!T911</f>
        <v/>
      </c>
      <c r="V918" s="8">
        <f>$AE$12+D918*$AE$13+E918*$AE$14+F918*$AE$15+G918*$AE$16+H918*$AE$17+I918*$AE$18+J918*$AE$19+K918*$AE$20+L918*$AE$21+M918*$AE$22+N918*$AE$23+O918*$AE$24+P918*$AE$25+Q918*$AE$26+R918*$AE$27+S918*$AE$28+T918*$AE$29+U918*$AE$30</f>
        <v/>
      </c>
      <c r="W918" s="8">
        <f>1/(1+EXP(-V918))</f>
        <v/>
      </c>
      <c r="X918" s="9">
        <f>-IF(C918=1,LN(W918),LN(1-W918))</f>
        <v/>
      </c>
      <c r="Y918" s="8">
        <f>1</f>
        <v/>
      </c>
      <c r="Z918" s="9">
        <f>Y918*X918</f>
        <v/>
      </c>
      <c r="AA918" s="10">
        <f>IF(W918&gt;$AE$32,1,0)</f>
        <v/>
      </c>
      <c r="AB918">
        <f>IF(AA918=C918,1,0)</f>
        <v/>
      </c>
    </row>
    <row r="919">
      <c r="A919">
        <f>'1 datos preparados'!A912</f>
        <v/>
      </c>
      <c r="B919" s="5">
        <f>'1 datos preparados'!U912</f>
        <v/>
      </c>
      <c r="C919">
        <f>'1 datos preparados'!B912</f>
        <v/>
      </c>
      <c r="D919" s="7">
        <f>'1 datos preparados'!C912</f>
        <v/>
      </c>
      <c r="E919" s="7">
        <f>'1 datos preparados'!D912</f>
        <v/>
      </c>
      <c r="F919" s="7">
        <f>'1 datos preparados'!E912</f>
        <v/>
      </c>
      <c r="G919" s="7">
        <f>'1 datos preparados'!F912</f>
        <v/>
      </c>
      <c r="H919" s="7">
        <f>'1 datos preparados'!G912</f>
        <v/>
      </c>
      <c r="I919" s="7">
        <f>'1 datos preparados'!H912</f>
        <v/>
      </c>
      <c r="J919" s="7">
        <f>'1 datos preparados'!I912</f>
        <v/>
      </c>
      <c r="K919" s="7">
        <f>'1 datos preparados'!J912</f>
        <v/>
      </c>
      <c r="L919" s="7">
        <f>'1 datos preparados'!K912</f>
        <v/>
      </c>
      <c r="M919" s="7">
        <f>'1 datos preparados'!L912</f>
        <v/>
      </c>
      <c r="N919" s="7">
        <f>'1 datos preparados'!M912</f>
        <v/>
      </c>
      <c r="O919" s="7">
        <f>'1 datos preparados'!N912</f>
        <v/>
      </c>
      <c r="P919" s="7">
        <f>'1 datos preparados'!O912</f>
        <v/>
      </c>
      <c r="Q919" s="7">
        <f>'1 datos preparados'!P912</f>
        <v/>
      </c>
      <c r="R919" s="7">
        <f>'1 datos preparados'!Q912</f>
        <v/>
      </c>
      <c r="S919" s="7">
        <f>'1 datos preparados'!R912</f>
        <v/>
      </c>
      <c r="T919" s="7">
        <f>'1 datos preparados'!S912</f>
        <v/>
      </c>
      <c r="U919" s="7">
        <f>'1 datos preparados'!T912</f>
        <v/>
      </c>
      <c r="V919" s="8">
        <f>$AE$12+D919*$AE$13+E919*$AE$14+F919*$AE$15+G919*$AE$16+H919*$AE$17+I919*$AE$18+J919*$AE$19+K919*$AE$20+L919*$AE$21+M919*$AE$22+N919*$AE$23+O919*$AE$24+P919*$AE$25+Q919*$AE$26+R919*$AE$27+S919*$AE$28+T919*$AE$29+U919*$AE$30</f>
        <v/>
      </c>
      <c r="W919" s="8">
        <f>1/(1+EXP(-V919))</f>
        <v/>
      </c>
      <c r="X919" s="9">
        <f>-IF(C919=1,LN(W919),LN(1-W919))</f>
        <v/>
      </c>
      <c r="Y919" s="8">
        <f>1</f>
        <v/>
      </c>
      <c r="Z919" s="9">
        <f>Y919*X919</f>
        <v/>
      </c>
      <c r="AA919" s="10">
        <f>IF(W919&gt;$AE$32,1,0)</f>
        <v/>
      </c>
      <c r="AB919">
        <f>IF(AA919=C919,1,0)</f>
        <v/>
      </c>
    </row>
    <row r="920">
      <c r="A920">
        <f>'1 datos preparados'!A913</f>
        <v/>
      </c>
      <c r="B920" s="5">
        <f>'1 datos preparados'!U913</f>
        <v/>
      </c>
      <c r="C920">
        <f>'1 datos preparados'!B913</f>
        <v/>
      </c>
      <c r="D920" s="7">
        <f>'1 datos preparados'!C913</f>
        <v/>
      </c>
      <c r="E920" s="7">
        <f>'1 datos preparados'!D913</f>
        <v/>
      </c>
      <c r="F920" s="7">
        <f>'1 datos preparados'!E913</f>
        <v/>
      </c>
      <c r="G920" s="7">
        <f>'1 datos preparados'!F913</f>
        <v/>
      </c>
      <c r="H920" s="7">
        <f>'1 datos preparados'!G913</f>
        <v/>
      </c>
      <c r="I920" s="7">
        <f>'1 datos preparados'!H913</f>
        <v/>
      </c>
      <c r="J920" s="7">
        <f>'1 datos preparados'!I913</f>
        <v/>
      </c>
      <c r="K920" s="7">
        <f>'1 datos preparados'!J913</f>
        <v/>
      </c>
      <c r="L920" s="7">
        <f>'1 datos preparados'!K913</f>
        <v/>
      </c>
      <c r="M920" s="7">
        <f>'1 datos preparados'!L913</f>
        <v/>
      </c>
      <c r="N920" s="7">
        <f>'1 datos preparados'!M913</f>
        <v/>
      </c>
      <c r="O920" s="7">
        <f>'1 datos preparados'!N913</f>
        <v/>
      </c>
      <c r="P920" s="7">
        <f>'1 datos preparados'!O913</f>
        <v/>
      </c>
      <c r="Q920" s="7">
        <f>'1 datos preparados'!P913</f>
        <v/>
      </c>
      <c r="R920" s="7">
        <f>'1 datos preparados'!Q913</f>
        <v/>
      </c>
      <c r="S920" s="7">
        <f>'1 datos preparados'!R913</f>
        <v/>
      </c>
      <c r="T920" s="7">
        <f>'1 datos preparados'!S913</f>
        <v/>
      </c>
      <c r="U920" s="7">
        <f>'1 datos preparados'!T913</f>
        <v/>
      </c>
      <c r="V920" s="8">
        <f>$AE$12+D920*$AE$13+E920*$AE$14+F920*$AE$15+G920*$AE$16+H920*$AE$17+I920*$AE$18+J920*$AE$19+K920*$AE$20+L920*$AE$21+M920*$AE$22+N920*$AE$23+O920*$AE$24+P920*$AE$25+Q920*$AE$26+R920*$AE$27+S920*$AE$28+T920*$AE$29+U920*$AE$30</f>
        <v/>
      </c>
      <c r="W920" s="8">
        <f>1/(1+EXP(-V920))</f>
        <v/>
      </c>
      <c r="X920" s="9">
        <f>-IF(C920=1,LN(W920),LN(1-W920))</f>
        <v/>
      </c>
      <c r="Y920" s="8">
        <f>1</f>
        <v/>
      </c>
      <c r="Z920" s="9">
        <f>Y920*X920</f>
        <v/>
      </c>
      <c r="AA920" s="10">
        <f>IF(W920&gt;$AE$32,1,0)</f>
        <v/>
      </c>
      <c r="AB920">
        <f>IF(AA920=C920,1,0)</f>
        <v/>
      </c>
    </row>
    <row r="921">
      <c r="A921">
        <f>'1 datos preparados'!A914</f>
        <v/>
      </c>
      <c r="B921" s="5">
        <f>'1 datos preparados'!U914</f>
        <v/>
      </c>
      <c r="C921">
        <f>'1 datos preparados'!B914</f>
        <v/>
      </c>
      <c r="D921" s="7">
        <f>'1 datos preparados'!C914</f>
        <v/>
      </c>
      <c r="E921" s="7">
        <f>'1 datos preparados'!D914</f>
        <v/>
      </c>
      <c r="F921" s="7">
        <f>'1 datos preparados'!E914</f>
        <v/>
      </c>
      <c r="G921" s="7">
        <f>'1 datos preparados'!F914</f>
        <v/>
      </c>
      <c r="H921" s="7">
        <f>'1 datos preparados'!G914</f>
        <v/>
      </c>
      <c r="I921" s="7">
        <f>'1 datos preparados'!H914</f>
        <v/>
      </c>
      <c r="J921" s="7">
        <f>'1 datos preparados'!I914</f>
        <v/>
      </c>
      <c r="K921" s="7">
        <f>'1 datos preparados'!J914</f>
        <v/>
      </c>
      <c r="L921" s="7">
        <f>'1 datos preparados'!K914</f>
        <v/>
      </c>
      <c r="M921" s="7">
        <f>'1 datos preparados'!L914</f>
        <v/>
      </c>
      <c r="N921" s="7">
        <f>'1 datos preparados'!M914</f>
        <v/>
      </c>
      <c r="O921" s="7">
        <f>'1 datos preparados'!N914</f>
        <v/>
      </c>
      <c r="P921" s="7">
        <f>'1 datos preparados'!O914</f>
        <v/>
      </c>
      <c r="Q921" s="7">
        <f>'1 datos preparados'!P914</f>
        <v/>
      </c>
      <c r="R921" s="7">
        <f>'1 datos preparados'!Q914</f>
        <v/>
      </c>
      <c r="S921" s="7">
        <f>'1 datos preparados'!R914</f>
        <v/>
      </c>
      <c r="T921" s="7">
        <f>'1 datos preparados'!S914</f>
        <v/>
      </c>
      <c r="U921" s="7">
        <f>'1 datos preparados'!T914</f>
        <v/>
      </c>
      <c r="V921" s="8">
        <f>$AE$12+D921*$AE$13+E921*$AE$14+F921*$AE$15+G921*$AE$16+H921*$AE$17+I921*$AE$18+J921*$AE$19+K921*$AE$20+L921*$AE$21+M921*$AE$22+N921*$AE$23+O921*$AE$24+P921*$AE$25+Q921*$AE$26+R921*$AE$27+S921*$AE$28+T921*$AE$29+U921*$AE$30</f>
        <v/>
      </c>
      <c r="W921" s="8">
        <f>1/(1+EXP(-V921))</f>
        <v/>
      </c>
      <c r="X921" s="9">
        <f>-IF(C921=1,LN(W921),LN(1-W921))</f>
        <v/>
      </c>
      <c r="Y921" s="8">
        <f>1</f>
        <v/>
      </c>
      <c r="Z921" s="9">
        <f>Y921*X921</f>
        <v/>
      </c>
      <c r="AA921" s="10">
        <f>IF(W921&gt;$AE$32,1,0)</f>
        <v/>
      </c>
      <c r="AB921">
        <f>IF(AA921=C921,1,0)</f>
        <v/>
      </c>
    </row>
    <row r="922">
      <c r="A922">
        <f>'1 datos preparados'!A915</f>
        <v/>
      </c>
      <c r="B922" s="5">
        <f>'1 datos preparados'!U915</f>
        <v/>
      </c>
      <c r="C922">
        <f>'1 datos preparados'!B915</f>
        <v/>
      </c>
      <c r="D922" s="7">
        <f>'1 datos preparados'!C915</f>
        <v/>
      </c>
      <c r="E922" s="7">
        <f>'1 datos preparados'!D915</f>
        <v/>
      </c>
      <c r="F922" s="7">
        <f>'1 datos preparados'!E915</f>
        <v/>
      </c>
      <c r="G922" s="7">
        <f>'1 datos preparados'!F915</f>
        <v/>
      </c>
      <c r="H922" s="7">
        <f>'1 datos preparados'!G915</f>
        <v/>
      </c>
      <c r="I922" s="7">
        <f>'1 datos preparados'!H915</f>
        <v/>
      </c>
      <c r="J922" s="7">
        <f>'1 datos preparados'!I915</f>
        <v/>
      </c>
      <c r="K922" s="7">
        <f>'1 datos preparados'!J915</f>
        <v/>
      </c>
      <c r="L922" s="7">
        <f>'1 datos preparados'!K915</f>
        <v/>
      </c>
      <c r="M922" s="7">
        <f>'1 datos preparados'!L915</f>
        <v/>
      </c>
      <c r="N922" s="7">
        <f>'1 datos preparados'!M915</f>
        <v/>
      </c>
      <c r="O922" s="7">
        <f>'1 datos preparados'!N915</f>
        <v/>
      </c>
      <c r="P922" s="7">
        <f>'1 datos preparados'!O915</f>
        <v/>
      </c>
      <c r="Q922" s="7">
        <f>'1 datos preparados'!P915</f>
        <v/>
      </c>
      <c r="R922" s="7">
        <f>'1 datos preparados'!Q915</f>
        <v/>
      </c>
      <c r="S922" s="7">
        <f>'1 datos preparados'!R915</f>
        <v/>
      </c>
      <c r="T922" s="7">
        <f>'1 datos preparados'!S915</f>
        <v/>
      </c>
      <c r="U922" s="7">
        <f>'1 datos preparados'!T915</f>
        <v/>
      </c>
      <c r="V922" s="8">
        <f>$AE$12+D922*$AE$13+E922*$AE$14+F922*$AE$15+G922*$AE$16+H922*$AE$17+I922*$AE$18+J922*$AE$19+K922*$AE$20+L922*$AE$21+M922*$AE$22+N922*$AE$23+O922*$AE$24+P922*$AE$25+Q922*$AE$26+R922*$AE$27+S922*$AE$28+T922*$AE$29+U922*$AE$30</f>
        <v/>
      </c>
      <c r="W922" s="8">
        <f>1/(1+EXP(-V922))</f>
        <v/>
      </c>
      <c r="X922" s="9">
        <f>-IF(C922=1,LN(W922),LN(1-W922))</f>
        <v/>
      </c>
      <c r="Y922" s="8">
        <f>1</f>
        <v/>
      </c>
      <c r="Z922" s="9">
        <f>Y922*X922</f>
        <v/>
      </c>
      <c r="AA922" s="10">
        <f>IF(W922&gt;$AE$32,1,0)</f>
        <v/>
      </c>
      <c r="AB922">
        <f>IF(AA922=C922,1,0)</f>
        <v/>
      </c>
    </row>
    <row r="923">
      <c r="A923">
        <f>'1 datos preparados'!A916</f>
        <v/>
      </c>
      <c r="B923" s="5">
        <f>'1 datos preparados'!U916</f>
        <v/>
      </c>
      <c r="C923">
        <f>'1 datos preparados'!B916</f>
        <v/>
      </c>
      <c r="D923" s="7">
        <f>'1 datos preparados'!C916</f>
        <v/>
      </c>
      <c r="E923" s="7">
        <f>'1 datos preparados'!D916</f>
        <v/>
      </c>
      <c r="F923" s="7">
        <f>'1 datos preparados'!E916</f>
        <v/>
      </c>
      <c r="G923" s="7">
        <f>'1 datos preparados'!F916</f>
        <v/>
      </c>
      <c r="H923" s="7">
        <f>'1 datos preparados'!G916</f>
        <v/>
      </c>
      <c r="I923" s="7">
        <f>'1 datos preparados'!H916</f>
        <v/>
      </c>
      <c r="J923" s="7">
        <f>'1 datos preparados'!I916</f>
        <v/>
      </c>
      <c r="K923" s="7">
        <f>'1 datos preparados'!J916</f>
        <v/>
      </c>
      <c r="L923" s="7">
        <f>'1 datos preparados'!K916</f>
        <v/>
      </c>
      <c r="M923" s="7">
        <f>'1 datos preparados'!L916</f>
        <v/>
      </c>
      <c r="N923" s="7">
        <f>'1 datos preparados'!M916</f>
        <v/>
      </c>
      <c r="O923" s="7">
        <f>'1 datos preparados'!N916</f>
        <v/>
      </c>
      <c r="P923" s="7">
        <f>'1 datos preparados'!O916</f>
        <v/>
      </c>
      <c r="Q923" s="7">
        <f>'1 datos preparados'!P916</f>
        <v/>
      </c>
      <c r="R923" s="7">
        <f>'1 datos preparados'!Q916</f>
        <v/>
      </c>
      <c r="S923" s="7">
        <f>'1 datos preparados'!R916</f>
        <v/>
      </c>
      <c r="T923" s="7">
        <f>'1 datos preparados'!S916</f>
        <v/>
      </c>
      <c r="U923" s="7">
        <f>'1 datos preparados'!T916</f>
        <v/>
      </c>
      <c r="V923" s="8">
        <f>$AE$12+D923*$AE$13+E923*$AE$14+F923*$AE$15+G923*$AE$16+H923*$AE$17+I923*$AE$18+J923*$AE$19+K923*$AE$20+L923*$AE$21+M923*$AE$22+N923*$AE$23+O923*$AE$24+P923*$AE$25+Q923*$AE$26+R923*$AE$27+S923*$AE$28+T923*$AE$29+U923*$AE$30</f>
        <v/>
      </c>
      <c r="W923" s="8">
        <f>1/(1+EXP(-V923))</f>
        <v/>
      </c>
      <c r="X923" s="9">
        <f>-IF(C923=1,LN(W923),LN(1-W923))</f>
        <v/>
      </c>
      <c r="Y923" s="8">
        <f>1</f>
        <v/>
      </c>
      <c r="Z923" s="9">
        <f>Y923*X923</f>
        <v/>
      </c>
      <c r="AA923" s="10">
        <f>IF(W923&gt;$AE$32,1,0)</f>
        <v/>
      </c>
      <c r="AB923">
        <f>IF(AA923=C923,1,0)</f>
        <v/>
      </c>
    </row>
    <row r="924">
      <c r="A924">
        <f>'1 datos preparados'!A917</f>
        <v/>
      </c>
      <c r="B924" s="5">
        <f>'1 datos preparados'!U917</f>
        <v/>
      </c>
      <c r="C924">
        <f>'1 datos preparados'!B917</f>
        <v/>
      </c>
      <c r="D924" s="7">
        <f>'1 datos preparados'!C917</f>
        <v/>
      </c>
      <c r="E924" s="7">
        <f>'1 datos preparados'!D917</f>
        <v/>
      </c>
      <c r="F924" s="7">
        <f>'1 datos preparados'!E917</f>
        <v/>
      </c>
      <c r="G924" s="7">
        <f>'1 datos preparados'!F917</f>
        <v/>
      </c>
      <c r="H924" s="7">
        <f>'1 datos preparados'!G917</f>
        <v/>
      </c>
      <c r="I924" s="7">
        <f>'1 datos preparados'!H917</f>
        <v/>
      </c>
      <c r="J924" s="7">
        <f>'1 datos preparados'!I917</f>
        <v/>
      </c>
      <c r="K924" s="7">
        <f>'1 datos preparados'!J917</f>
        <v/>
      </c>
      <c r="L924" s="7">
        <f>'1 datos preparados'!K917</f>
        <v/>
      </c>
      <c r="M924" s="7">
        <f>'1 datos preparados'!L917</f>
        <v/>
      </c>
      <c r="N924" s="7">
        <f>'1 datos preparados'!M917</f>
        <v/>
      </c>
      <c r="O924" s="7">
        <f>'1 datos preparados'!N917</f>
        <v/>
      </c>
      <c r="P924" s="7">
        <f>'1 datos preparados'!O917</f>
        <v/>
      </c>
      <c r="Q924" s="7">
        <f>'1 datos preparados'!P917</f>
        <v/>
      </c>
      <c r="R924" s="7">
        <f>'1 datos preparados'!Q917</f>
        <v/>
      </c>
      <c r="S924" s="7">
        <f>'1 datos preparados'!R917</f>
        <v/>
      </c>
      <c r="T924" s="7">
        <f>'1 datos preparados'!S917</f>
        <v/>
      </c>
      <c r="U924" s="7">
        <f>'1 datos preparados'!T917</f>
        <v/>
      </c>
      <c r="V924" s="8">
        <f>$AE$12+D924*$AE$13+E924*$AE$14+F924*$AE$15+G924*$AE$16+H924*$AE$17+I924*$AE$18+J924*$AE$19+K924*$AE$20+L924*$AE$21+M924*$AE$22+N924*$AE$23+O924*$AE$24+P924*$AE$25+Q924*$AE$26+R924*$AE$27+S924*$AE$28+T924*$AE$29+U924*$AE$30</f>
        <v/>
      </c>
      <c r="W924" s="8">
        <f>1/(1+EXP(-V924))</f>
        <v/>
      </c>
      <c r="X924" s="9">
        <f>-IF(C924=1,LN(W924),LN(1-W924))</f>
        <v/>
      </c>
      <c r="Y924" s="8">
        <f>1</f>
        <v/>
      </c>
      <c r="Z924" s="9">
        <f>Y924*X924</f>
        <v/>
      </c>
      <c r="AA924" s="10">
        <f>IF(W924&gt;$AE$32,1,0)</f>
        <v/>
      </c>
      <c r="AB924">
        <f>IF(AA924=C924,1,0)</f>
        <v/>
      </c>
    </row>
    <row r="925">
      <c r="A925">
        <f>'1 datos preparados'!A918</f>
        <v/>
      </c>
      <c r="B925" s="5">
        <f>'1 datos preparados'!U918</f>
        <v/>
      </c>
      <c r="C925">
        <f>'1 datos preparados'!B918</f>
        <v/>
      </c>
      <c r="D925" s="7">
        <f>'1 datos preparados'!C918</f>
        <v/>
      </c>
      <c r="E925" s="7">
        <f>'1 datos preparados'!D918</f>
        <v/>
      </c>
      <c r="F925" s="7">
        <f>'1 datos preparados'!E918</f>
        <v/>
      </c>
      <c r="G925" s="7">
        <f>'1 datos preparados'!F918</f>
        <v/>
      </c>
      <c r="H925" s="7">
        <f>'1 datos preparados'!G918</f>
        <v/>
      </c>
      <c r="I925" s="7">
        <f>'1 datos preparados'!H918</f>
        <v/>
      </c>
      <c r="J925" s="7">
        <f>'1 datos preparados'!I918</f>
        <v/>
      </c>
      <c r="K925" s="7">
        <f>'1 datos preparados'!J918</f>
        <v/>
      </c>
      <c r="L925" s="7">
        <f>'1 datos preparados'!K918</f>
        <v/>
      </c>
      <c r="M925" s="7">
        <f>'1 datos preparados'!L918</f>
        <v/>
      </c>
      <c r="N925" s="7">
        <f>'1 datos preparados'!M918</f>
        <v/>
      </c>
      <c r="O925" s="7">
        <f>'1 datos preparados'!N918</f>
        <v/>
      </c>
      <c r="P925" s="7">
        <f>'1 datos preparados'!O918</f>
        <v/>
      </c>
      <c r="Q925" s="7">
        <f>'1 datos preparados'!P918</f>
        <v/>
      </c>
      <c r="R925" s="7">
        <f>'1 datos preparados'!Q918</f>
        <v/>
      </c>
      <c r="S925" s="7">
        <f>'1 datos preparados'!R918</f>
        <v/>
      </c>
      <c r="T925" s="7">
        <f>'1 datos preparados'!S918</f>
        <v/>
      </c>
      <c r="U925" s="7">
        <f>'1 datos preparados'!T918</f>
        <v/>
      </c>
      <c r="V925" s="8">
        <f>$AE$12+D925*$AE$13+E925*$AE$14+F925*$AE$15+G925*$AE$16+H925*$AE$17+I925*$AE$18+J925*$AE$19+K925*$AE$20+L925*$AE$21+M925*$AE$22+N925*$AE$23+O925*$AE$24+P925*$AE$25+Q925*$AE$26+R925*$AE$27+S925*$AE$28+T925*$AE$29+U925*$AE$30</f>
        <v/>
      </c>
      <c r="W925" s="8">
        <f>1/(1+EXP(-V925))</f>
        <v/>
      </c>
      <c r="X925" s="9">
        <f>-IF(C925=1,LN(W925),LN(1-W925))</f>
        <v/>
      </c>
      <c r="Y925" s="8">
        <f>1</f>
        <v/>
      </c>
      <c r="Z925" s="9">
        <f>Y925*X925</f>
        <v/>
      </c>
      <c r="AA925" s="10">
        <f>IF(W925&gt;$AE$32,1,0)</f>
        <v/>
      </c>
      <c r="AB925">
        <f>IF(AA925=C925,1,0)</f>
        <v/>
      </c>
    </row>
    <row r="926">
      <c r="A926">
        <f>'1 datos preparados'!A919</f>
        <v/>
      </c>
      <c r="B926" s="5">
        <f>'1 datos preparados'!U919</f>
        <v/>
      </c>
      <c r="C926">
        <f>'1 datos preparados'!B919</f>
        <v/>
      </c>
      <c r="D926" s="7">
        <f>'1 datos preparados'!C919</f>
        <v/>
      </c>
      <c r="E926" s="7">
        <f>'1 datos preparados'!D919</f>
        <v/>
      </c>
      <c r="F926" s="7">
        <f>'1 datos preparados'!E919</f>
        <v/>
      </c>
      <c r="G926" s="7">
        <f>'1 datos preparados'!F919</f>
        <v/>
      </c>
      <c r="H926" s="7">
        <f>'1 datos preparados'!G919</f>
        <v/>
      </c>
      <c r="I926" s="7">
        <f>'1 datos preparados'!H919</f>
        <v/>
      </c>
      <c r="J926" s="7">
        <f>'1 datos preparados'!I919</f>
        <v/>
      </c>
      <c r="K926" s="7">
        <f>'1 datos preparados'!J919</f>
        <v/>
      </c>
      <c r="L926" s="7">
        <f>'1 datos preparados'!K919</f>
        <v/>
      </c>
      <c r="M926" s="7">
        <f>'1 datos preparados'!L919</f>
        <v/>
      </c>
      <c r="N926" s="7">
        <f>'1 datos preparados'!M919</f>
        <v/>
      </c>
      <c r="O926" s="7">
        <f>'1 datos preparados'!N919</f>
        <v/>
      </c>
      <c r="P926" s="7">
        <f>'1 datos preparados'!O919</f>
        <v/>
      </c>
      <c r="Q926" s="7">
        <f>'1 datos preparados'!P919</f>
        <v/>
      </c>
      <c r="R926" s="7">
        <f>'1 datos preparados'!Q919</f>
        <v/>
      </c>
      <c r="S926" s="7">
        <f>'1 datos preparados'!R919</f>
        <v/>
      </c>
      <c r="T926" s="7">
        <f>'1 datos preparados'!S919</f>
        <v/>
      </c>
      <c r="U926" s="7">
        <f>'1 datos preparados'!T919</f>
        <v/>
      </c>
      <c r="V926" s="8">
        <f>$AE$12+D926*$AE$13+E926*$AE$14+F926*$AE$15+G926*$AE$16+H926*$AE$17+I926*$AE$18+J926*$AE$19+K926*$AE$20+L926*$AE$21+M926*$AE$22+N926*$AE$23+O926*$AE$24+P926*$AE$25+Q926*$AE$26+R926*$AE$27+S926*$AE$28+T926*$AE$29+U926*$AE$30</f>
        <v/>
      </c>
      <c r="W926" s="8">
        <f>1/(1+EXP(-V926))</f>
        <v/>
      </c>
      <c r="X926" s="9">
        <f>-IF(C926=1,LN(W926),LN(1-W926))</f>
        <v/>
      </c>
      <c r="Y926" s="8">
        <f>1</f>
        <v/>
      </c>
      <c r="Z926" s="9">
        <f>Y926*X926</f>
        <v/>
      </c>
      <c r="AA926" s="10">
        <f>IF(W926&gt;$AE$32,1,0)</f>
        <v/>
      </c>
      <c r="AB926">
        <f>IF(AA926=C926,1,0)</f>
        <v/>
      </c>
    </row>
    <row r="927">
      <c r="A927">
        <f>'1 datos preparados'!A920</f>
        <v/>
      </c>
      <c r="B927" s="5">
        <f>'1 datos preparados'!U920</f>
        <v/>
      </c>
      <c r="C927">
        <f>'1 datos preparados'!B920</f>
        <v/>
      </c>
      <c r="D927" s="7">
        <f>'1 datos preparados'!C920</f>
        <v/>
      </c>
      <c r="E927" s="7">
        <f>'1 datos preparados'!D920</f>
        <v/>
      </c>
      <c r="F927" s="7">
        <f>'1 datos preparados'!E920</f>
        <v/>
      </c>
      <c r="G927" s="7">
        <f>'1 datos preparados'!F920</f>
        <v/>
      </c>
      <c r="H927" s="7">
        <f>'1 datos preparados'!G920</f>
        <v/>
      </c>
      <c r="I927" s="7">
        <f>'1 datos preparados'!H920</f>
        <v/>
      </c>
      <c r="J927" s="7">
        <f>'1 datos preparados'!I920</f>
        <v/>
      </c>
      <c r="K927" s="7">
        <f>'1 datos preparados'!J920</f>
        <v/>
      </c>
      <c r="L927" s="7">
        <f>'1 datos preparados'!K920</f>
        <v/>
      </c>
      <c r="M927" s="7">
        <f>'1 datos preparados'!L920</f>
        <v/>
      </c>
      <c r="N927" s="7">
        <f>'1 datos preparados'!M920</f>
        <v/>
      </c>
      <c r="O927" s="7">
        <f>'1 datos preparados'!N920</f>
        <v/>
      </c>
      <c r="P927" s="7">
        <f>'1 datos preparados'!O920</f>
        <v/>
      </c>
      <c r="Q927" s="7">
        <f>'1 datos preparados'!P920</f>
        <v/>
      </c>
      <c r="R927" s="7">
        <f>'1 datos preparados'!Q920</f>
        <v/>
      </c>
      <c r="S927" s="7">
        <f>'1 datos preparados'!R920</f>
        <v/>
      </c>
      <c r="T927" s="7">
        <f>'1 datos preparados'!S920</f>
        <v/>
      </c>
      <c r="U927" s="7">
        <f>'1 datos preparados'!T920</f>
        <v/>
      </c>
      <c r="V927" s="8">
        <f>$AE$12+D927*$AE$13+E927*$AE$14+F927*$AE$15+G927*$AE$16+H927*$AE$17+I927*$AE$18+J927*$AE$19+K927*$AE$20+L927*$AE$21+M927*$AE$22+N927*$AE$23+O927*$AE$24+P927*$AE$25+Q927*$AE$26+R927*$AE$27+S927*$AE$28+T927*$AE$29+U927*$AE$30</f>
        <v/>
      </c>
      <c r="W927" s="8">
        <f>1/(1+EXP(-V927))</f>
        <v/>
      </c>
      <c r="X927" s="9">
        <f>-IF(C927=1,LN(W927),LN(1-W927))</f>
        <v/>
      </c>
      <c r="Y927" s="8">
        <f>1</f>
        <v/>
      </c>
      <c r="Z927" s="9">
        <f>Y927*X927</f>
        <v/>
      </c>
      <c r="AA927" s="10">
        <f>IF(W927&gt;$AE$32,1,0)</f>
        <v/>
      </c>
      <c r="AB927">
        <f>IF(AA927=C927,1,0)</f>
        <v/>
      </c>
    </row>
    <row r="928">
      <c r="A928">
        <f>'1 datos preparados'!A921</f>
        <v/>
      </c>
      <c r="B928" s="5">
        <f>'1 datos preparados'!U921</f>
        <v/>
      </c>
      <c r="C928">
        <f>'1 datos preparados'!B921</f>
        <v/>
      </c>
      <c r="D928" s="7">
        <f>'1 datos preparados'!C921</f>
        <v/>
      </c>
      <c r="E928" s="7">
        <f>'1 datos preparados'!D921</f>
        <v/>
      </c>
      <c r="F928" s="7">
        <f>'1 datos preparados'!E921</f>
        <v/>
      </c>
      <c r="G928" s="7">
        <f>'1 datos preparados'!F921</f>
        <v/>
      </c>
      <c r="H928" s="7">
        <f>'1 datos preparados'!G921</f>
        <v/>
      </c>
      <c r="I928" s="7">
        <f>'1 datos preparados'!H921</f>
        <v/>
      </c>
      <c r="J928" s="7">
        <f>'1 datos preparados'!I921</f>
        <v/>
      </c>
      <c r="K928" s="7">
        <f>'1 datos preparados'!J921</f>
        <v/>
      </c>
      <c r="L928" s="7">
        <f>'1 datos preparados'!K921</f>
        <v/>
      </c>
      <c r="M928" s="7">
        <f>'1 datos preparados'!L921</f>
        <v/>
      </c>
      <c r="N928" s="7">
        <f>'1 datos preparados'!M921</f>
        <v/>
      </c>
      <c r="O928" s="7">
        <f>'1 datos preparados'!N921</f>
        <v/>
      </c>
      <c r="P928" s="7">
        <f>'1 datos preparados'!O921</f>
        <v/>
      </c>
      <c r="Q928" s="7">
        <f>'1 datos preparados'!P921</f>
        <v/>
      </c>
      <c r="R928" s="7">
        <f>'1 datos preparados'!Q921</f>
        <v/>
      </c>
      <c r="S928" s="7">
        <f>'1 datos preparados'!R921</f>
        <v/>
      </c>
      <c r="T928" s="7">
        <f>'1 datos preparados'!S921</f>
        <v/>
      </c>
      <c r="U928" s="7">
        <f>'1 datos preparados'!T921</f>
        <v/>
      </c>
      <c r="V928" s="8">
        <f>$AE$12+D928*$AE$13+E928*$AE$14+F928*$AE$15+G928*$AE$16+H928*$AE$17+I928*$AE$18+J928*$AE$19+K928*$AE$20+L928*$AE$21+M928*$AE$22+N928*$AE$23+O928*$AE$24+P928*$AE$25+Q928*$AE$26+R928*$AE$27+S928*$AE$28+T928*$AE$29+U928*$AE$30</f>
        <v/>
      </c>
      <c r="W928" s="8">
        <f>1/(1+EXP(-V928))</f>
        <v/>
      </c>
      <c r="X928" s="9">
        <f>-IF(C928=1,LN(W928),LN(1-W928))</f>
        <v/>
      </c>
      <c r="Y928" s="8">
        <f>1</f>
        <v/>
      </c>
      <c r="Z928" s="9">
        <f>Y928*X928</f>
        <v/>
      </c>
      <c r="AA928" s="10">
        <f>IF(W928&gt;$AE$32,1,0)</f>
        <v/>
      </c>
      <c r="AB928">
        <f>IF(AA928=C928,1,0)</f>
        <v/>
      </c>
    </row>
    <row r="929">
      <c r="A929">
        <f>'1 datos preparados'!A922</f>
        <v/>
      </c>
      <c r="B929" s="5">
        <f>'1 datos preparados'!U922</f>
        <v/>
      </c>
      <c r="C929">
        <f>'1 datos preparados'!B922</f>
        <v/>
      </c>
      <c r="D929" s="7">
        <f>'1 datos preparados'!C922</f>
        <v/>
      </c>
      <c r="E929" s="7">
        <f>'1 datos preparados'!D922</f>
        <v/>
      </c>
      <c r="F929" s="7">
        <f>'1 datos preparados'!E922</f>
        <v/>
      </c>
      <c r="G929" s="7">
        <f>'1 datos preparados'!F922</f>
        <v/>
      </c>
      <c r="H929" s="7">
        <f>'1 datos preparados'!G922</f>
        <v/>
      </c>
      <c r="I929" s="7">
        <f>'1 datos preparados'!H922</f>
        <v/>
      </c>
      <c r="J929" s="7">
        <f>'1 datos preparados'!I922</f>
        <v/>
      </c>
      <c r="K929" s="7">
        <f>'1 datos preparados'!J922</f>
        <v/>
      </c>
      <c r="L929" s="7">
        <f>'1 datos preparados'!K922</f>
        <v/>
      </c>
      <c r="M929" s="7">
        <f>'1 datos preparados'!L922</f>
        <v/>
      </c>
      <c r="N929" s="7">
        <f>'1 datos preparados'!M922</f>
        <v/>
      </c>
      <c r="O929" s="7">
        <f>'1 datos preparados'!N922</f>
        <v/>
      </c>
      <c r="P929" s="7">
        <f>'1 datos preparados'!O922</f>
        <v/>
      </c>
      <c r="Q929" s="7">
        <f>'1 datos preparados'!P922</f>
        <v/>
      </c>
      <c r="R929" s="7">
        <f>'1 datos preparados'!Q922</f>
        <v/>
      </c>
      <c r="S929" s="7">
        <f>'1 datos preparados'!R922</f>
        <v/>
      </c>
      <c r="T929" s="7">
        <f>'1 datos preparados'!S922</f>
        <v/>
      </c>
      <c r="U929" s="7">
        <f>'1 datos preparados'!T922</f>
        <v/>
      </c>
      <c r="V929" s="8">
        <f>$AE$12+D929*$AE$13+E929*$AE$14+F929*$AE$15+G929*$AE$16+H929*$AE$17+I929*$AE$18+J929*$AE$19+K929*$AE$20+L929*$AE$21+M929*$AE$22+N929*$AE$23+O929*$AE$24+P929*$AE$25+Q929*$AE$26+R929*$AE$27+S929*$AE$28+T929*$AE$29+U929*$AE$30</f>
        <v/>
      </c>
      <c r="W929" s="8">
        <f>1/(1+EXP(-V929))</f>
        <v/>
      </c>
      <c r="X929" s="9">
        <f>-IF(C929=1,LN(W929),LN(1-W929))</f>
        <v/>
      </c>
      <c r="Y929" s="8">
        <f>1</f>
        <v/>
      </c>
      <c r="Z929" s="9">
        <f>Y929*X929</f>
        <v/>
      </c>
      <c r="AA929" s="10">
        <f>IF(W929&gt;$AE$32,1,0)</f>
        <v/>
      </c>
      <c r="AB929">
        <f>IF(AA929=C929,1,0)</f>
        <v/>
      </c>
    </row>
    <row r="930">
      <c r="A930">
        <f>'1 datos preparados'!A923</f>
        <v/>
      </c>
      <c r="B930" s="5">
        <f>'1 datos preparados'!U923</f>
        <v/>
      </c>
      <c r="C930">
        <f>'1 datos preparados'!B923</f>
        <v/>
      </c>
      <c r="D930" s="7">
        <f>'1 datos preparados'!C923</f>
        <v/>
      </c>
      <c r="E930" s="7">
        <f>'1 datos preparados'!D923</f>
        <v/>
      </c>
      <c r="F930" s="7">
        <f>'1 datos preparados'!E923</f>
        <v/>
      </c>
      <c r="G930" s="7">
        <f>'1 datos preparados'!F923</f>
        <v/>
      </c>
      <c r="H930" s="7">
        <f>'1 datos preparados'!G923</f>
        <v/>
      </c>
      <c r="I930" s="7">
        <f>'1 datos preparados'!H923</f>
        <v/>
      </c>
      <c r="J930" s="7">
        <f>'1 datos preparados'!I923</f>
        <v/>
      </c>
      <c r="K930" s="7">
        <f>'1 datos preparados'!J923</f>
        <v/>
      </c>
      <c r="L930" s="7">
        <f>'1 datos preparados'!K923</f>
        <v/>
      </c>
      <c r="M930" s="7">
        <f>'1 datos preparados'!L923</f>
        <v/>
      </c>
      <c r="N930" s="7">
        <f>'1 datos preparados'!M923</f>
        <v/>
      </c>
      <c r="O930" s="7">
        <f>'1 datos preparados'!N923</f>
        <v/>
      </c>
      <c r="P930" s="7">
        <f>'1 datos preparados'!O923</f>
        <v/>
      </c>
      <c r="Q930" s="7">
        <f>'1 datos preparados'!P923</f>
        <v/>
      </c>
      <c r="R930" s="7">
        <f>'1 datos preparados'!Q923</f>
        <v/>
      </c>
      <c r="S930" s="7">
        <f>'1 datos preparados'!R923</f>
        <v/>
      </c>
      <c r="T930" s="7">
        <f>'1 datos preparados'!S923</f>
        <v/>
      </c>
      <c r="U930" s="7">
        <f>'1 datos preparados'!T923</f>
        <v/>
      </c>
      <c r="V930" s="8">
        <f>$AE$12+D930*$AE$13+E930*$AE$14+F930*$AE$15+G930*$AE$16+H930*$AE$17+I930*$AE$18+J930*$AE$19+K930*$AE$20+L930*$AE$21+M930*$AE$22+N930*$AE$23+O930*$AE$24+P930*$AE$25+Q930*$AE$26+R930*$AE$27+S930*$AE$28+T930*$AE$29+U930*$AE$30</f>
        <v/>
      </c>
      <c r="W930" s="8">
        <f>1/(1+EXP(-V930))</f>
        <v/>
      </c>
      <c r="X930" s="9">
        <f>-IF(C930=1,LN(W930),LN(1-W930))</f>
        <v/>
      </c>
      <c r="Y930" s="8">
        <f>1</f>
        <v/>
      </c>
      <c r="Z930" s="9">
        <f>Y930*X930</f>
        <v/>
      </c>
      <c r="AA930" s="10">
        <f>IF(W930&gt;$AE$32,1,0)</f>
        <v/>
      </c>
      <c r="AB930">
        <f>IF(AA930=C930,1,0)</f>
        <v/>
      </c>
    </row>
    <row r="931">
      <c r="A931">
        <f>'1 datos preparados'!A924</f>
        <v/>
      </c>
      <c r="B931" s="5">
        <f>'1 datos preparados'!U924</f>
        <v/>
      </c>
      <c r="C931">
        <f>'1 datos preparados'!B924</f>
        <v/>
      </c>
      <c r="D931" s="7">
        <f>'1 datos preparados'!C924</f>
        <v/>
      </c>
      <c r="E931" s="7">
        <f>'1 datos preparados'!D924</f>
        <v/>
      </c>
      <c r="F931" s="7">
        <f>'1 datos preparados'!E924</f>
        <v/>
      </c>
      <c r="G931" s="7">
        <f>'1 datos preparados'!F924</f>
        <v/>
      </c>
      <c r="H931" s="7">
        <f>'1 datos preparados'!G924</f>
        <v/>
      </c>
      <c r="I931" s="7">
        <f>'1 datos preparados'!H924</f>
        <v/>
      </c>
      <c r="J931" s="7">
        <f>'1 datos preparados'!I924</f>
        <v/>
      </c>
      <c r="K931" s="7">
        <f>'1 datos preparados'!J924</f>
        <v/>
      </c>
      <c r="L931" s="7">
        <f>'1 datos preparados'!K924</f>
        <v/>
      </c>
      <c r="M931" s="7">
        <f>'1 datos preparados'!L924</f>
        <v/>
      </c>
      <c r="N931" s="7">
        <f>'1 datos preparados'!M924</f>
        <v/>
      </c>
      <c r="O931" s="7">
        <f>'1 datos preparados'!N924</f>
        <v/>
      </c>
      <c r="P931" s="7">
        <f>'1 datos preparados'!O924</f>
        <v/>
      </c>
      <c r="Q931" s="7">
        <f>'1 datos preparados'!P924</f>
        <v/>
      </c>
      <c r="R931" s="7">
        <f>'1 datos preparados'!Q924</f>
        <v/>
      </c>
      <c r="S931" s="7">
        <f>'1 datos preparados'!R924</f>
        <v/>
      </c>
      <c r="T931" s="7">
        <f>'1 datos preparados'!S924</f>
        <v/>
      </c>
      <c r="U931" s="7">
        <f>'1 datos preparados'!T924</f>
        <v/>
      </c>
      <c r="V931" s="8">
        <f>$AE$12+D931*$AE$13+E931*$AE$14+F931*$AE$15+G931*$AE$16+H931*$AE$17+I931*$AE$18+J931*$AE$19+K931*$AE$20+L931*$AE$21+M931*$AE$22+N931*$AE$23+O931*$AE$24+P931*$AE$25+Q931*$AE$26+R931*$AE$27+S931*$AE$28+T931*$AE$29+U931*$AE$30</f>
        <v/>
      </c>
      <c r="W931" s="8">
        <f>1/(1+EXP(-V931))</f>
        <v/>
      </c>
      <c r="X931" s="9">
        <f>-IF(C931=1,LN(W931),LN(1-W931))</f>
        <v/>
      </c>
      <c r="Y931" s="8">
        <f>1</f>
        <v/>
      </c>
      <c r="Z931" s="9">
        <f>Y931*X931</f>
        <v/>
      </c>
      <c r="AA931" s="10">
        <f>IF(W931&gt;$AE$32,1,0)</f>
        <v/>
      </c>
      <c r="AB931">
        <f>IF(AA931=C931,1,0)</f>
        <v/>
      </c>
    </row>
    <row r="932">
      <c r="A932">
        <f>'1 datos preparados'!A925</f>
        <v/>
      </c>
      <c r="B932" s="5">
        <f>'1 datos preparados'!U925</f>
        <v/>
      </c>
      <c r="C932">
        <f>'1 datos preparados'!B925</f>
        <v/>
      </c>
      <c r="D932" s="7">
        <f>'1 datos preparados'!C925</f>
        <v/>
      </c>
      <c r="E932" s="7">
        <f>'1 datos preparados'!D925</f>
        <v/>
      </c>
      <c r="F932" s="7">
        <f>'1 datos preparados'!E925</f>
        <v/>
      </c>
      <c r="G932" s="7">
        <f>'1 datos preparados'!F925</f>
        <v/>
      </c>
      <c r="H932" s="7">
        <f>'1 datos preparados'!G925</f>
        <v/>
      </c>
      <c r="I932" s="7">
        <f>'1 datos preparados'!H925</f>
        <v/>
      </c>
      <c r="J932" s="7">
        <f>'1 datos preparados'!I925</f>
        <v/>
      </c>
      <c r="K932" s="7">
        <f>'1 datos preparados'!J925</f>
        <v/>
      </c>
      <c r="L932" s="7">
        <f>'1 datos preparados'!K925</f>
        <v/>
      </c>
      <c r="M932" s="7">
        <f>'1 datos preparados'!L925</f>
        <v/>
      </c>
      <c r="N932" s="7">
        <f>'1 datos preparados'!M925</f>
        <v/>
      </c>
      <c r="O932" s="7">
        <f>'1 datos preparados'!N925</f>
        <v/>
      </c>
      <c r="P932" s="7">
        <f>'1 datos preparados'!O925</f>
        <v/>
      </c>
      <c r="Q932" s="7">
        <f>'1 datos preparados'!P925</f>
        <v/>
      </c>
      <c r="R932" s="7">
        <f>'1 datos preparados'!Q925</f>
        <v/>
      </c>
      <c r="S932" s="7">
        <f>'1 datos preparados'!R925</f>
        <v/>
      </c>
      <c r="T932" s="7">
        <f>'1 datos preparados'!S925</f>
        <v/>
      </c>
      <c r="U932" s="7">
        <f>'1 datos preparados'!T925</f>
        <v/>
      </c>
      <c r="V932" s="8">
        <f>$AE$12+D932*$AE$13+E932*$AE$14+F932*$AE$15+G932*$AE$16+H932*$AE$17+I932*$AE$18+J932*$AE$19+K932*$AE$20+L932*$AE$21+M932*$AE$22+N932*$AE$23+O932*$AE$24+P932*$AE$25+Q932*$AE$26+R932*$AE$27+S932*$AE$28+T932*$AE$29+U932*$AE$30</f>
        <v/>
      </c>
      <c r="W932" s="8">
        <f>1/(1+EXP(-V932))</f>
        <v/>
      </c>
      <c r="X932" s="9">
        <f>-IF(C932=1,LN(W932),LN(1-W932))</f>
        <v/>
      </c>
      <c r="Y932" s="8">
        <f>1</f>
        <v/>
      </c>
      <c r="Z932" s="9">
        <f>Y932*X932</f>
        <v/>
      </c>
      <c r="AA932" s="10">
        <f>IF(W932&gt;$AE$32,1,0)</f>
        <v/>
      </c>
      <c r="AB932">
        <f>IF(AA932=C932,1,0)</f>
        <v/>
      </c>
    </row>
    <row r="933">
      <c r="A933">
        <f>'1 datos preparados'!A926</f>
        <v/>
      </c>
      <c r="B933" s="5">
        <f>'1 datos preparados'!U926</f>
        <v/>
      </c>
      <c r="C933">
        <f>'1 datos preparados'!B926</f>
        <v/>
      </c>
      <c r="D933" s="7">
        <f>'1 datos preparados'!C926</f>
        <v/>
      </c>
      <c r="E933" s="7">
        <f>'1 datos preparados'!D926</f>
        <v/>
      </c>
      <c r="F933" s="7">
        <f>'1 datos preparados'!E926</f>
        <v/>
      </c>
      <c r="G933" s="7">
        <f>'1 datos preparados'!F926</f>
        <v/>
      </c>
      <c r="H933" s="7">
        <f>'1 datos preparados'!G926</f>
        <v/>
      </c>
      <c r="I933" s="7">
        <f>'1 datos preparados'!H926</f>
        <v/>
      </c>
      <c r="J933" s="7">
        <f>'1 datos preparados'!I926</f>
        <v/>
      </c>
      <c r="K933" s="7">
        <f>'1 datos preparados'!J926</f>
        <v/>
      </c>
      <c r="L933" s="7">
        <f>'1 datos preparados'!K926</f>
        <v/>
      </c>
      <c r="M933" s="7">
        <f>'1 datos preparados'!L926</f>
        <v/>
      </c>
      <c r="N933" s="7">
        <f>'1 datos preparados'!M926</f>
        <v/>
      </c>
      <c r="O933" s="7">
        <f>'1 datos preparados'!N926</f>
        <v/>
      </c>
      <c r="P933" s="7">
        <f>'1 datos preparados'!O926</f>
        <v/>
      </c>
      <c r="Q933" s="7">
        <f>'1 datos preparados'!P926</f>
        <v/>
      </c>
      <c r="R933" s="7">
        <f>'1 datos preparados'!Q926</f>
        <v/>
      </c>
      <c r="S933" s="7">
        <f>'1 datos preparados'!R926</f>
        <v/>
      </c>
      <c r="T933" s="7">
        <f>'1 datos preparados'!S926</f>
        <v/>
      </c>
      <c r="U933" s="7">
        <f>'1 datos preparados'!T926</f>
        <v/>
      </c>
      <c r="V933" s="8">
        <f>$AE$12+D933*$AE$13+E933*$AE$14+F933*$AE$15+G933*$AE$16+H933*$AE$17+I933*$AE$18+J933*$AE$19+K933*$AE$20+L933*$AE$21+M933*$AE$22+N933*$AE$23+O933*$AE$24+P933*$AE$25+Q933*$AE$26+R933*$AE$27+S933*$AE$28+T933*$AE$29+U933*$AE$30</f>
        <v/>
      </c>
      <c r="W933" s="8">
        <f>1/(1+EXP(-V933))</f>
        <v/>
      </c>
      <c r="X933" s="9">
        <f>-IF(C933=1,LN(W933),LN(1-W933))</f>
        <v/>
      </c>
      <c r="Y933" s="8">
        <f>1</f>
        <v/>
      </c>
      <c r="Z933" s="9">
        <f>Y933*X933</f>
        <v/>
      </c>
      <c r="AA933" s="10">
        <f>IF(W933&gt;$AE$32,1,0)</f>
        <v/>
      </c>
      <c r="AB933">
        <f>IF(AA933=C933,1,0)</f>
        <v/>
      </c>
    </row>
    <row r="934">
      <c r="A934">
        <f>'1 datos preparados'!A927</f>
        <v/>
      </c>
      <c r="B934" s="5">
        <f>'1 datos preparados'!U927</f>
        <v/>
      </c>
      <c r="C934">
        <f>'1 datos preparados'!B927</f>
        <v/>
      </c>
      <c r="D934" s="7">
        <f>'1 datos preparados'!C927</f>
        <v/>
      </c>
      <c r="E934" s="7">
        <f>'1 datos preparados'!D927</f>
        <v/>
      </c>
      <c r="F934" s="7">
        <f>'1 datos preparados'!E927</f>
        <v/>
      </c>
      <c r="G934" s="7">
        <f>'1 datos preparados'!F927</f>
        <v/>
      </c>
      <c r="H934" s="7">
        <f>'1 datos preparados'!G927</f>
        <v/>
      </c>
      <c r="I934" s="7">
        <f>'1 datos preparados'!H927</f>
        <v/>
      </c>
      <c r="J934" s="7">
        <f>'1 datos preparados'!I927</f>
        <v/>
      </c>
      <c r="K934" s="7">
        <f>'1 datos preparados'!J927</f>
        <v/>
      </c>
      <c r="L934" s="7">
        <f>'1 datos preparados'!K927</f>
        <v/>
      </c>
      <c r="M934" s="7">
        <f>'1 datos preparados'!L927</f>
        <v/>
      </c>
      <c r="N934" s="7">
        <f>'1 datos preparados'!M927</f>
        <v/>
      </c>
      <c r="O934" s="7">
        <f>'1 datos preparados'!N927</f>
        <v/>
      </c>
      <c r="P934" s="7">
        <f>'1 datos preparados'!O927</f>
        <v/>
      </c>
      <c r="Q934" s="7">
        <f>'1 datos preparados'!P927</f>
        <v/>
      </c>
      <c r="R934" s="7">
        <f>'1 datos preparados'!Q927</f>
        <v/>
      </c>
      <c r="S934" s="7">
        <f>'1 datos preparados'!R927</f>
        <v/>
      </c>
      <c r="T934" s="7">
        <f>'1 datos preparados'!S927</f>
        <v/>
      </c>
      <c r="U934" s="7">
        <f>'1 datos preparados'!T927</f>
        <v/>
      </c>
      <c r="V934" s="8">
        <f>$AE$12+D934*$AE$13+E934*$AE$14+F934*$AE$15+G934*$AE$16+H934*$AE$17+I934*$AE$18+J934*$AE$19+K934*$AE$20+L934*$AE$21+M934*$AE$22+N934*$AE$23+O934*$AE$24+P934*$AE$25+Q934*$AE$26+R934*$AE$27+S934*$AE$28+T934*$AE$29+U934*$AE$30</f>
        <v/>
      </c>
      <c r="W934" s="8">
        <f>1/(1+EXP(-V934))</f>
        <v/>
      </c>
      <c r="X934" s="9">
        <f>-IF(C934=1,LN(W934),LN(1-W934))</f>
        <v/>
      </c>
      <c r="Y934" s="8">
        <f>1</f>
        <v/>
      </c>
      <c r="Z934" s="9">
        <f>Y934*X934</f>
        <v/>
      </c>
      <c r="AA934" s="10">
        <f>IF(W934&gt;$AE$32,1,0)</f>
        <v/>
      </c>
      <c r="AB934">
        <f>IF(AA934=C934,1,0)</f>
        <v/>
      </c>
    </row>
    <row r="935">
      <c r="A935">
        <f>'1 datos preparados'!A928</f>
        <v/>
      </c>
      <c r="B935" s="5">
        <f>'1 datos preparados'!U928</f>
        <v/>
      </c>
      <c r="C935">
        <f>'1 datos preparados'!B928</f>
        <v/>
      </c>
      <c r="D935" s="7">
        <f>'1 datos preparados'!C928</f>
        <v/>
      </c>
      <c r="E935" s="7">
        <f>'1 datos preparados'!D928</f>
        <v/>
      </c>
      <c r="F935" s="7">
        <f>'1 datos preparados'!E928</f>
        <v/>
      </c>
      <c r="G935" s="7">
        <f>'1 datos preparados'!F928</f>
        <v/>
      </c>
      <c r="H935" s="7">
        <f>'1 datos preparados'!G928</f>
        <v/>
      </c>
      <c r="I935" s="7">
        <f>'1 datos preparados'!H928</f>
        <v/>
      </c>
      <c r="J935" s="7">
        <f>'1 datos preparados'!I928</f>
        <v/>
      </c>
      <c r="K935" s="7">
        <f>'1 datos preparados'!J928</f>
        <v/>
      </c>
      <c r="L935" s="7">
        <f>'1 datos preparados'!K928</f>
        <v/>
      </c>
      <c r="M935" s="7">
        <f>'1 datos preparados'!L928</f>
        <v/>
      </c>
      <c r="N935" s="7">
        <f>'1 datos preparados'!M928</f>
        <v/>
      </c>
      <c r="O935" s="7">
        <f>'1 datos preparados'!N928</f>
        <v/>
      </c>
      <c r="P935" s="7">
        <f>'1 datos preparados'!O928</f>
        <v/>
      </c>
      <c r="Q935" s="7">
        <f>'1 datos preparados'!P928</f>
        <v/>
      </c>
      <c r="R935" s="7">
        <f>'1 datos preparados'!Q928</f>
        <v/>
      </c>
      <c r="S935" s="7">
        <f>'1 datos preparados'!R928</f>
        <v/>
      </c>
      <c r="T935" s="7">
        <f>'1 datos preparados'!S928</f>
        <v/>
      </c>
      <c r="U935" s="7">
        <f>'1 datos preparados'!T928</f>
        <v/>
      </c>
      <c r="V935" s="8">
        <f>$AE$12+D935*$AE$13+E935*$AE$14+F935*$AE$15+G935*$AE$16+H935*$AE$17+I935*$AE$18+J935*$AE$19+K935*$AE$20+L935*$AE$21+M935*$AE$22+N935*$AE$23+O935*$AE$24+P935*$AE$25+Q935*$AE$26+R935*$AE$27+S935*$AE$28+T935*$AE$29+U935*$AE$30</f>
        <v/>
      </c>
      <c r="W935" s="8">
        <f>1/(1+EXP(-V935))</f>
        <v/>
      </c>
      <c r="X935" s="9">
        <f>-IF(C935=1,LN(W935),LN(1-W935))</f>
        <v/>
      </c>
      <c r="Y935" s="8">
        <f>1</f>
        <v/>
      </c>
      <c r="Z935" s="9">
        <f>Y935*X935</f>
        <v/>
      </c>
      <c r="AA935" s="10">
        <f>IF(W935&gt;$AE$32,1,0)</f>
        <v/>
      </c>
      <c r="AB935">
        <f>IF(AA935=C935,1,0)</f>
        <v/>
      </c>
    </row>
    <row r="936">
      <c r="A936">
        <f>'1 datos preparados'!A929</f>
        <v/>
      </c>
      <c r="B936" s="5">
        <f>'1 datos preparados'!U929</f>
        <v/>
      </c>
      <c r="C936">
        <f>'1 datos preparados'!B929</f>
        <v/>
      </c>
      <c r="D936" s="7">
        <f>'1 datos preparados'!C929</f>
        <v/>
      </c>
      <c r="E936" s="7">
        <f>'1 datos preparados'!D929</f>
        <v/>
      </c>
      <c r="F936" s="7">
        <f>'1 datos preparados'!E929</f>
        <v/>
      </c>
      <c r="G936" s="7">
        <f>'1 datos preparados'!F929</f>
        <v/>
      </c>
      <c r="H936" s="7">
        <f>'1 datos preparados'!G929</f>
        <v/>
      </c>
      <c r="I936" s="7">
        <f>'1 datos preparados'!H929</f>
        <v/>
      </c>
      <c r="J936" s="7">
        <f>'1 datos preparados'!I929</f>
        <v/>
      </c>
      <c r="K936" s="7">
        <f>'1 datos preparados'!J929</f>
        <v/>
      </c>
      <c r="L936" s="7">
        <f>'1 datos preparados'!K929</f>
        <v/>
      </c>
      <c r="M936" s="7">
        <f>'1 datos preparados'!L929</f>
        <v/>
      </c>
      <c r="N936" s="7">
        <f>'1 datos preparados'!M929</f>
        <v/>
      </c>
      <c r="O936" s="7">
        <f>'1 datos preparados'!N929</f>
        <v/>
      </c>
      <c r="P936" s="7">
        <f>'1 datos preparados'!O929</f>
        <v/>
      </c>
      <c r="Q936" s="7">
        <f>'1 datos preparados'!P929</f>
        <v/>
      </c>
      <c r="R936" s="7">
        <f>'1 datos preparados'!Q929</f>
        <v/>
      </c>
      <c r="S936" s="7">
        <f>'1 datos preparados'!R929</f>
        <v/>
      </c>
      <c r="T936" s="7">
        <f>'1 datos preparados'!S929</f>
        <v/>
      </c>
      <c r="U936" s="7">
        <f>'1 datos preparados'!T929</f>
        <v/>
      </c>
      <c r="V936" s="8">
        <f>$AE$12+D936*$AE$13+E936*$AE$14+F936*$AE$15+G936*$AE$16+H936*$AE$17+I936*$AE$18+J936*$AE$19+K936*$AE$20+L936*$AE$21+M936*$AE$22+N936*$AE$23+O936*$AE$24+P936*$AE$25+Q936*$AE$26+R936*$AE$27+S936*$AE$28+T936*$AE$29+U936*$AE$30</f>
        <v/>
      </c>
      <c r="W936" s="8">
        <f>1/(1+EXP(-V936))</f>
        <v/>
      </c>
      <c r="X936" s="9">
        <f>-IF(C936=1,LN(W936),LN(1-W936))</f>
        <v/>
      </c>
      <c r="Y936" s="8">
        <f>1</f>
        <v/>
      </c>
      <c r="Z936" s="9">
        <f>Y936*X936</f>
        <v/>
      </c>
      <c r="AA936" s="10">
        <f>IF(W936&gt;$AE$32,1,0)</f>
        <v/>
      </c>
      <c r="AB936">
        <f>IF(AA936=C936,1,0)</f>
        <v/>
      </c>
    </row>
    <row r="937">
      <c r="A937">
        <f>'1 datos preparados'!A930</f>
        <v/>
      </c>
      <c r="B937" s="5">
        <f>'1 datos preparados'!U930</f>
        <v/>
      </c>
      <c r="C937">
        <f>'1 datos preparados'!B930</f>
        <v/>
      </c>
      <c r="D937" s="7">
        <f>'1 datos preparados'!C930</f>
        <v/>
      </c>
      <c r="E937" s="7">
        <f>'1 datos preparados'!D930</f>
        <v/>
      </c>
      <c r="F937" s="7">
        <f>'1 datos preparados'!E930</f>
        <v/>
      </c>
      <c r="G937" s="7">
        <f>'1 datos preparados'!F930</f>
        <v/>
      </c>
      <c r="H937" s="7">
        <f>'1 datos preparados'!G930</f>
        <v/>
      </c>
      <c r="I937" s="7">
        <f>'1 datos preparados'!H930</f>
        <v/>
      </c>
      <c r="J937" s="7">
        <f>'1 datos preparados'!I930</f>
        <v/>
      </c>
      <c r="K937" s="7">
        <f>'1 datos preparados'!J930</f>
        <v/>
      </c>
      <c r="L937" s="7">
        <f>'1 datos preparados'!K930</f>
        <v/>
      </c>
      <c r="M937" s="7">
        <f>'1 datos preparados'!L930</f>
        <v/>
      </c>
      <c r="N937" s="7">
        <f>'1 datos preparados'!M930</f>
        <v/>
      </c>
      <c r="O937" s="7">
        <f>'1 datos preparados'!N930</f>
        <v/>
      </c>
      <c r="P937" s="7">
        <f>'1 datos preparados'!O930</f>
        <v/>
      </c>
      <c r="Q937" s="7">
        <f>'1 datos preparados'!P930</f>
        <v/>
      </c>
      <c r="R937" s="7">
        <f>'1 datos preparados'!Q930</f>
        <v/>
      </c>
      <c r="S937" s="7">
        <f>'1 datos preparados'!R930</f>
        <v/>
      </c>
      <c r="T937" s="7">
        <f>'1 datos preparados'!S930</f>
        <v/>
      </c>
      <c r="U937" s="7">
        <f>'1 datos preparados'!T930</f>
        <v/>
      </c>
      <c r="V937" s="8">
        <f>$AE$12+D937*$AE$13+E937*$AE$14+F937*$AE$15+G937*$AE$16+H937*$AE$17+I937*$AE$18+J937*$AE$19+K937*$AE$20+L937*$AE$21+M937*$AE$22+N937*$AE$23+O937*$AE$24+P937*$AE$25+Q937*$AE$26+R937*$AE$27+S937*$AE$28+T937*$AE$29+U937*$AE$30</f>
        <v/>
      </c>
      <c r="W937" s="8">
        <f>1/(1+EXP(-V937))</f>
        <v/>
      </c>
      <c r="X937" s="9">
        <f>-IF(C937=1,LN(W937),LN(1-W937))</f>
        <v/>
      </c>
      <c r="Y937" s="8">
        <f>1</f>
        <v/>
      </c>
      <c r="Z937" s="9">
        <f>Y937*X937</f>
        <v/>
      </c>
      <c r="AA937" s="10">
        <f>IF(W937&gt;$AE$32,1,0)</f>
        <v/>
      </c>
      <c r="AB937">
        <f>IF(AA937=C937,1,0)</f>
        <v/>
      </c>
    </row>
    <row r="938">
      <c r="A938">
        <f>'1 datos preparados'!A931</f>
        <v/>
      </c>
      <c r="B938" s="5">
        <f>'1 datos preparados'!U931</f>
        <v/>
      </c>
      <c r="C938">
        <f>'1 datos preparados'!B931</f>
        <v/>
      </c>
      <c r="D938" s="7">
        <f>'1 datos preparados'!C931</f>
        <v/>
      </c>
      <c r="E938" s="7">
        <f>'1 datos preparados'!D931</f>
        <v/>
      </c>
      <c r="F938" s="7">
        <f>'1 datos preparados'!E931</f>
        <v/>
      </c>
      <c r="G938" s="7">
        <f>'1 datos preparados'!F931</f>
        <v/>
      </c>
      <c r="H938" s="7">
        <f>'1 datos preparados'!G931</f>
        <v/>
      </c>
      <c r="I938" s="7">
        <f>'1 datos preparados'!H931</f>
        <v/>
      </c>
      <c r="J938" s="7">
        <f>'1 datos preparados'!I931</f>
        <v/>
      </c>
      <c r="K938" s="7">
        <f>'1 datos preparados'!J931</f>
        <v/>
      </c>
      <c r="L938" s="7">
        <f>'1 datos preparados'!K931</f>
        <v/>
      </c>
      <c r="M938" s="7">
        <f>'1 datos preparados'!L931</f>
        <v/>
      </c>
      <c r="N938" s="7">
        <f>'1 datos preparados'!M931</f>
        <v/>
      </c>
      <c r="O938" s="7">
        <f>'1 datos preparados'!N931</f>
        <v/>
      </c>
      <c r="P938" s="7">
        <f>'1 datos preparados'!O931</f>
        <v/>
      </c>
      <c r="Q938" s="7">
        <f>'1 datos preparados'!P931</f>
        <v/>
      </c>
      <c r="R938" s="7">
        <f>'1 datos preparados'!Q931</f>
        <v/>
      </c>
      <c r="S938" s="7">
        <f>'1 datos preparados'!R931</f>
        <v/>
      </c>
      <c r="T938" s="7">
        <f>'1 datos preparados'!S931</f>
        <v/>
      </c>
      <c r="U938" s="7">
        <f>'1 datos preparados'!T931</f>
        <v/>
      </c>
      <c r="V938" s="8">
        <f>$AE$12+D938*$AE$13+E938*$AE$14+F938*$AE$15+G938*$AE$16+H938*$AE$17+I938*$AE$18+J938*$AE$19+K938*$AE$20+L938*$AE$21+M938*$AE$22+N938*$AE$23+O938*$AE$24+P938*$AE$25+Q938*$AE$26+R938*$AE$27+S938*$AE$28+T938*$AE$29+U938*$AE$30</f>
        <v/>
      </c>
      <c r="W938" s="8">
        <f>1/(1+EXP(-V938))</f>
        <v/>
      </c>
      <c r="X938" s="9">
        <f>-IF(C938=1,LN(W938),LN(1-W938))</f>
        <v/>
      </c>
      <c r="Y938" s="8">
        <f>1</f>
        <v/>
      </c>
      <c r="Z938" s="9">
        <f>Y938*X938</f>
        <v/>
      </c>
      <c r="AA938" s="10">
        <f>IF(W938&gt;$AE$32,1,0)</f>
        <v/>
      </c>
      <c r="AB938">
        <f>IF(AA938=C938,1,0)</f>
        <v/>
      </c>
    </row>
    <row r="939">
      <c r="A939">
        <f>'1 datos preparados'!A932</f>
        <v/>
      </c>
      <c r="B939" s="5">
        <f>'1 datos preparados'!U932</f>
        <v/>
      </c>
      <c r="C939">
        <f>'1 datos preparados'!B932</f>
        <v/>
      </c>
      <c r="D939" s="7">
        <f>'1 datos preparados'!C932</f>
        <v/>
      </c>
      <c r="E939" s="7">
        <f>'1 datos preparados'!D932</f>
        <v/>
      </c>
      <c r="F939" s="7">
        <f>'1 datos preparados'!E932</f>
        <v/>
      </c>
      <c r="G939" s="7">
        <f>'1 datos preparados'!F932</f>
        <v/>
      </c>
      <c r="H939" s="7">
        <f>'1 datos preparados'!G932</f>
        <v/>
      </c>
      <c r="I939" s="7">
        <f>'1 datos preparados'!H932</f>
        <v/>
      </c>
      <c r="J939" s="7">
        <f>'1 datos preparados'!I932</f>
        <v/>
      </c>
      <c r="K939" s="7">
        <f>'1 datos preparados'!J932</f>
        <v/>
      </c>
      <c r="L939" s="7">
        <f>'1 datos preparados'!K932</f>
        <v/>
      </c>
      <c r="M939" s="7">
        <f>'1 datos preparados'!L932</f>
        <v/>
      </c>
      <c r="N939" s="7">
        <f>'1 datos preparados'!M932</f>
        <v/>
      </c>
      <c r="O939" s="7">
        <f>'1 datos preparados'!N932</f>
        <v/>
      </c>
      <c r="P939" s="7">
        <f>'1 datos preparados'!O932</f>
        <v/>
      </c>
      <c r="Q939" s="7">
        <f>'1 datos preparados'!P932</f>
        <v/>
      </c>
      <c r="R939" s="7">
        <f>'1 datos preparados'!Q932</f>
        <v/>
      </c>
      <c r="S939" s="7">
        <f>'1 datos preparados'!R932</f>
        <v/>
      </c>
      <c r="T939" s="7">
        <f>'1 datos preparados'!S932</f>
        <v/>
      </c>
      <c r="U939" s="7">
        <f>'1 datos preparados'!T932</f>
        <v/>
      </c>
      <c r="V939" s="8">
        <f>$AE$12+D939*$AE$13+E939*$AE$14+F939*$AE$15+G939*$AE$16+H939*$AE$17+I939*$AE$18+J939*$AE$19+K939*$AE$20+L939*$AE$21+M939*$AE$22+N939*$AE$23+O939*$AE$24+P939*$AE$25+Q939*$AE$26+R939*$AE$27+S939*$AE$28+T939*$AE$29+U939*$AE$30</f>
        <v/>
      </c>
      <c r="W939" s="8">
        <f>1/(1+EXP(-V939))</f>
        <v/>
      </c>
      <c r="X939" s="9">
        <f>-IF(C939=1,LN(W939),LN(1-W939))</f>
        <v/>
      </c>
      <c r="Y939" s="8">
        <f>1</f>
        <v/>
      </c>
      <c r="Z939" s="9">
        <f>Y939*X939</f>
        <v/>
      </c>
      <c r="AA939" s="10">
        <f>IF(W939&gt;$AE$32,1,0)</f>
        <v/>
      </c>
      <c r="AB939">
        <f>IF(AA939=C939,1,0)</f>
        <v/>
      </c>
    </row>
    <row r="940">
      <c r="A940">
        <f>'1 datos preparados'!A933</f>
        <v/>
      </c>
      <c r="B940" s="5">
        <f>'1 datos preparados'!U933</f>
        <v/>
      </c>
      <c r="C940">
        <f>'1 datos preparados'!B933</f>
        <v/>
      </c>
      <c r="D940" s="7">
        <f>'1 datos preparados'!C933</f>
        <v/>
      </c>
      <c r="E940" s="7">
        <f>'1 datos preparados'!D933</f>
        <v/>
      </c>
      <c r="F940" s="7">
        <f>'1 datos preparados'!E933</f>
        <v/>
      </c>
      <c r="G940" s="7">
        <f>'1 datos preparados'!F933</f>
        <v/>
      </c>
      <c r="H940" s="7">
        <f>'1 datos preparados'!G933</f>
        <v/>
      </c>
      <c r="I940" s="7">
        <f>'1 datos preparados'!H933</f>
        <v/>
      </c>
      <c r="J940" s="7">
        <f>'1 datos preparados'!I933</f>
        <v/>
      </c>
      <c r="K940" s="7">
        <f>'1 datos preparados'!J933</f>
        <v/>
      </c>
      <c r="L940" s="7">
        <f>'1 datos preparados'!K933</f>
        <v/>
      </c>
      <c r="M940" s="7">
        <f>'1 datos preparados'!L933</f>
        <v/>
      </c>
      <c r="N940" s="7">
        <f>'1 datos preparados'!M933</f>
        <v/>
      </c>
      <c r="O940" s="7">
        <f>'1 datos preparados'!N933</f>
        <v/>
      </c>
      <c r="P940" s="7">
        <f>'1 datos preparados'!O933</f>
        <v/>
      </c>
      <c r="Q940" s="7">
        <f>'1 datos preparados'!P933</f>
        <v/>
      </c>
      <c r="R940" s="7">
        <f>'1 datos preparados'!Q933</f>
        <v/>
      </c>
      <c r="S940" s="7">
        <f>'1 datos preparados'!R933</f>
        <v/>
      </c>
      <c r="T940" s="7">
        <f>'1 datos preparados'!S933</f>
        <v/>
      </c>
      <c r="U940" s="7">
        <f>'1 datos preparados'!T933</f>
        <v/>
      </c>
      <c r="V940" s="8">
        <f>$AE$12+D940*$AE$13+E940*$AE$14+F940*$AE$15+G940*$AE$16+H940*$AE$17+I940*$AE$18+J940*$AE$19+K940*$AE$20+L940*$AE$21+M940*$AE$22+N940*$AE$23+O940*$AE$24+P940*$AE$25+Q940*$AE$26+R940*$AE$27+S940*$AE$28+T940*$AE$29+U940*$AE$30</f>
        <v/>
      </c>
      <c r="W940" s="8">
        <f>1/(1+EXP(-V940))</f>
        <v/>
      </c>
      <c r="X940" s="9">
        <f>-IF(C940=1,LN(W940),LN(1-W940))</f>
        <v/>
      </c>
      <c r="Y940" s="8">
        <f>1</f>
        <v/>
      </c>
      <c r="Z940" s="9">
        <f>Y940*X940</f>
        <v/>
      </c>
      <c r="AA940" s="10">
        <f>IF(W940&gt;$AE$32,1,0)</f>
        <v/>
      </c>
      <c r="AB940">
        <f>IF(AA940=C940,1,0)</f>
        <v/>
      </c>
    </row>
    <row r="941">
      <c r="A941">
        <f>'1 datos preparados'!A934</f>
        <v/>
      </c>
      <c r="B941" s="5">
        <f>'1 datos preparados'!U934</f>
        <v/>
      </c>
      <c r="C941">
        <f>'1 datos preparados'!B934</f>
        <v/>
      </c>
      <c r="D941" s="7">
        <f>'1 datos preparados'!C934</f>
        <v/>
      </c>
      <c r="E941" s="7">
        <f>'1 datos preparados'!D934</f>
        <v/>
      </c>
      <c r="F941" s="7">
        <f>'1 datos preparados'!E934</f>
        <v/>
      </c>
      <c r="G941" s="7">
        <f>'1 datos preparados'!F934</f>
        <v/>
      </c>
      <c r="H941" s="7">
        <f>'1 datos preparados'!G934</f>
        <v/>
      </c>
      <c r="I941" s="7">
        <f>'1 datos preparados'!H934</f>
        <v/>
      </c>
      <c r="J941" s="7">
        <f>'1 datos preparados'!I934</f>
        <v/>
      </c>
      <c r="K941" s="7">
        <f>'1 datos preparados'!J934</f>
        <v/>
      </c>
      <c r="L941" s="7">
        <f>'1 datos preparados'!K934</f>
        <v/>
      </c>
      <c r="M941" s="7">
        <f>'1 datos preparados'!L934</f>
        <v/>
      </c>
      <c r="N941" s="7">
        <f>'1 datos preparados'!M934</f>
        <v/>
      </c>
      <c r="O941" s="7">
        <f>'1 datos preparados'!N934</f>
        <v/>
      </c>
      <c r="P941" s="7">
        <f>'1 datos preparados'!O934</f>
        <v/>
      </c>
      <c r="Q941" s="7">
        <f>'1 datos preparados'!P934</f>
        <v/>
      </c>
      <c r="R941" s="7">
        <f>'1 datos preparados'!Q934</f>
        <v/>
      </c>
      <c r="S941" s="7">
        <f>'1 datos preparados'!R934</f>
        <v/>
      </c>
      <c r="T941" s="7">
        <f>'1 datos preparados'!S934</f>
        <v/>
      </c>
      <c r="U941" s="7">
        <f>'1 datos preparados'!T934</f>
        <v/>
      </c>
      <c r="V941" s="8">
        <f>$AE$12+D941*$AE$13+E941*$AE$14+F941*$AE$15+G941*$AE$16+H941*$AE$17+I941*$AE$18+J941*$AE$19+K941*$AE$20+L941*$AE$21+M941*$AE$22+N941*$AE$23+O941*$AE$24+P941*$AE$25+Q941*$AE$26+R941*$AE$27+S941*$AE$28+T941*$AE$29+U941*$AE$30</f>
        <v/>
      </c>
      <c r="W941" s="8">
        <f>1/(1+EXP(-V941))</f>
        <v/>
      </c>
      <c r="X941" s="9">
        <f>-IF(C941=1,LN(W941),LN(1-W941))</f>
        <v/>
      </c>
      <c r="Y941" s="8">
        <f>1</f>
        <v/>
      </c>
      <c r="Z941" s="9">
        <f>Y941*X941</f>
        <v/>
      </c>
      <c r="AA941" s="10">
        <f>IF(W941&gt;$AE$32,1,0)</f>
        <v/>
      </c>
      <c r="AB941">
        <f>IF(AA941=C941,1,0)</f>
        <v/>
      </c>
    </row>
    <row r="942">
      <c r="A942">
        <f>'1 datos preparados'!A935</f>
        <v/>
      </c>
      <c r="B942" s="5">
        <f>'1 datos preparados'!U935</f>
        <v/>
      </c>
      <c r="C942">
        <f>'1 datos preparados'!B935</f>
        <v/>
      </c>
      <c r="D942" s="7">
        <f>'1 datos preparados'!C935</f>
        <v/>
      </c>
      <c r="E942" s="7">
        <f>'1 datos preparados'!D935</f>
        <v/>
      </c>
      <c r="F942" s="7">
        <f>'1 datos preparados'!E935</f>
        <v/>
      </c>
      <c r="G942" s="7">
        <f>'1 datos preparados'!F935</f>
        <v/>
      </c>
      <c r="H942" s="7">
        <f>'1 datos preparados'!G935</f>
        <v/>
      </c>
      <c r="I942" s="7">
        <f>'1 datos preparados'!H935</f>
        <v/>
      </c>
      <c r="J942" s="7">
        <f>'1 datos preparados'!I935</f>
        <v/>
      </c>
      <c r="K942" s="7">
        <f>'1 datos preparados'!J935</f>
        <v/>
      </c>
      <c r="L942" s="7">
        <f>'1 datos preparados'!K935</f>
        <v/>
      </c>
      <c r="M942" s="7">
        <f>'1 datos preparados'!L935</f>
        <v/>
      </c>
      <c r="N942" s="7">
        <f>'1 datos preparados'!M935</f>
        <v/>
      </c>
      <c r="O942" s="7">
        <f>'1 datos preparados'!N935</f>
        <v/>
      </c>
      <c r="P942" s="7">
        <f>'1 datos preparados'!O935</f>
        <v/>
      </c>
      <c r="Q942" s="7">
        <f>'1 datos preparados'!P935</f>
        <v/>
      </c>
      <c r="R942" s="7">
        <f>'1 datos preparados'!Q935</f>
        <v/>
      </c>
      <c r="S942" s="7">
        <f>'1 datos preparados'!R935</f>
        <v/>
      </c>
      <c r="T942" s="7">
        <f>'1 datos preparados'!S935</f>
        <v/>
      </c>
      <c r="U942" s="7">
        <f>'1 datos preparados'!T935</f>
        <v/>
      </c>
      <c r="V942" s="8">
        <f>$AE$12+D942*$AE$13+E942*$AE$14+F942*$AE$15+G942*$AE$16+H942*$AE$17+I942*$AE$18+J942*$AE$19+K942*$AE$20+L942*$AE$21+M942*$AE$22+N942*$AE$23+O942*$AE$24+P942*$AE$25+Q942*$AE$26+R942*$AE$27+S942*$AE$28+T942*$AE$29+U942*$AE$30</f>
        <v/>
      </c>
      <c r="W942" s="8">
        <f>1/(1+EXP(-V942))</f>
        <v/>
      </c>
      <c r="X942" s="9">
        <f>-IF(C942=1,LN(W942),LN(1-W942))</f>
        <v/>
      </c>
      <c r="Y942" s="8">
        <f>1</f>
        <v/>
      </c>
      <c r="Z942" s="9">
        <f>Y942*X942</f>
        <v/>
      </c>
      <c r="AA942" s="10">
        <f>IF(W942&gt;$AE$32,1,0)</f>
        <v/>
      </c>
      <c r="AB942">
        <f>IF(AA942=C942,1,0)</f>
        <v/>
      </c>
    </row>
    <row r="943">
      <c r="A943">
        <f>'1 datos preparados'!A936</f>
        <v/>
      </c>
      <c r="B943" s="5">
        <f>'1 datos preparados'!U936</f>
        <v/>
      </c>
      <c r="C943">
        <f>'1 datos preparados'!B936</f>
        <v/>
      </c>
      <c r="D943" s="7">
        <f>'1 datos preparados'!C936</f>
        <v/>
      </c>
      <c r="E943" s="7">
        <f>'1 datos preparados'!D936</f>
        <v/>
      </c>
      <c r="F943" s="7">
        <f>'1 datos preparados'!E936</f>
        <v/>
      </c>
      <c r="G943" s="7">
        <f>'1 datos preparados'!F936</f>
        <v/>
      </c>
      <c r="H943" s="7">
        <f>'1 datos preparados'!G936</f>
        <v/>
      </c>
      <c r="I943" s="7">
        <f>'1 datos preparados'!H936</f>
        <v/>
      </c>
      <c r="J943" s="7">
        <f>'1 datos preparados'!I936</f>
        <v/>
      </c>
      <c r="K943" s="7">
        <f>'1 datos preparados'!J936</f>
        <v/>
      </c>
      <c r="L943" s="7">
        <f>'1 datos preparados'!K936</f>
        <v/>
      </c>
      <c r="M943" s="7">
        <f>'1 datos preparados'!L936</f>
        <v/>
      </c>
      <c r="N943" s="7">
        <f>'1 datos preparados'!M936</f>
        <v/>
      </c>
      <c r="O943" s="7">
        <f>'1 datos preparados'!N936</f>
        <v/>
      </c>
      <c r="P943" s="7">
        <f>'1 datos preparados'!O936</f>
        <v/>
      </c>
      <c r="Q943" s="7">
        <f>'1 datos preparados'!P936</f>
        <v/>
      </c>
      <c r="R943" s="7">
        <f>'1 datos preparados'!Q936</f>
        <v/>
      </c>
      <c r="S943" s="7">
        <f>'1 datos preparados'!R936</f>
        <v/>
      </c>
      <c r="T943" s="7">
        <f>'1 datos preparados'!S936</f>
        <v/>
      </c>
      <c r="U943" s="7">
        <f>'1 datos preparados'!T936</f>
        <v/>
      </c>
      <c r="V943" s="8">
        <f>$AE$12+D943*$AE$13+E943*$AE$14+F943*$AE$15+G943*$AE$16+H943*$AE$17+I943*$AE$18+J943*$AE$19+K943*$AE$20+L943*$AE$21+M943*$AE$22+N943*$AE$23+O943*$AE$24+P943*$AE$25+Q943*$AE$26+R943*$AE$27+S943*$AE$28+T943*$AE$29+U943*$AE$30</f>
        <v/>
      </c>
      <c r="W943" s="8">
        <f>1/(1+EXP(-V943))</f>
        <v/>
      </c>
      <c r="X943" s="9">
        <f>-IF(C943=1,LN(W943),LN(1-W943))</f>
        <v/>
      </c>
      <c r="Y943" s="8">
        <f>1</f>
        <v/>
      </c>
      <c r="Z943" s="9">
        <f>Y943*X943</f>
        <v/>
      </c>
      <c r="AA943" s="10">
        <f>IF(W943&gt;$AE$32,1,0)</f>
        <v/>
      </c>
      <c r="AB943">
        <f>IF(AA943=C943,1,0)</f>
        <v/>
      </c>
    </row>
    <row r="944">
      <c r="A944">
        <f>'1 datos preparados'!A937</f>
        <v/>
      </c>
      <c r="B944" s="5">
        <f>'1 datos preparados'!U937</f>
        <v/>
      </c>
      <c r="C944">
        <f>'1 datos preparados'!B937</f>
        <v/>
      </c>
      <c r="D944" s="7">
        <f>'1 datos preparados'!C937</f>
        <v/>
      </c>
      <c r="E944" s="7">
        <f>'1 datos preparados'!D937</f>
        <v/>
      </c>
      <c r="F944" s="7">
        <f>'1 datos preparados'!E937</f>
        <v/>
      </c>
      <c r="G944" s="7">
        <f>'1 datos preparados'!F937</f>
        <v/>
      </c>
      <c r="H944" s="7">
        <f>'1 datos preparados'!G937</f>
        <v/>
      </c>
      <c r="I944" s="7">
        <f>'1 datos preparados'!H937</f>
        <v/>
      </c>
      <c r="J944" s="7">
        <f>'1 datos preparados'!I937</f>
        <v/>
      </c>
      <c r="K944" s="7">
        <f>'1 datos preparados'!J937</f>
        <v/>
      </c>
      <c r="L944" s="7">
        <f>'1 datos preparados'!K937</f>
        <v/>
      </c>
      <c r="M944" s="7">
        <f>'1 datos preparados'!L937</f>
        <v/>
      </c>
      <c r="N944" s="7">
        <f>'1 datos preparados'!M937</f>
        <v/>
      </c>
      <c r="O944" s="7">
        <f>'1 datos preparados'!N937</f>
        <v/>
      </c>
      <c r="P944" s="7">
        <f>'1 datos preparados'!O937</f>
        <v/>
      </c>
      <c r="Q944" s="7">
        <f>'1 datos preparados'!P937</f>
        <v/>
      </c>
      <c r="R944" s="7">
        <f>'1 datos preparados'!Q937</f>
        <v/>
      </c>
      <c r="S944" s="7">
        <f>'1 datos preparados'!R937</f>
        <v/>
      </c>
      <c r="T944" s="7">
        <f>'1 datos preparados'!S937</f>
        <v/>
      </c>
      <c r="U944" s="7">
        <f>'1 datos preparados'!T937</f>
        <v/>
      </c>
      <c r="V944" s="8">
        <f>$AE$12+D944*$AE$13+E944*$AE$14+F944*$AE$15+G944*$AE$16+H944*$AE$17+I944*$AE$18+J944*$AE$19+K944*$AE$20+L944*$AE$21+M944*$AE$22+N944*$AE$23+O944*$AE$24+P944*$AE$25+Q944*$AE$26+R944*$AE$27+S944*$AE$28+T944*$AE$29+U944*$AE$30</f>
        <v/>
      </c>
      <c r="W944" s="8">
        <f>1/(1+EXP(-V944))</f>
        <v/>
      </c>
      <c r="X944" s="9">
        <f>-IF(C944=1,LN(W944),LN(1-W944))</f>
        <v/>
      </c>
      <c r="Y944" s="8">
        <f>1</f>
        <v/>
      </c>
      <c r="Z944" s="9">
        <f>Y944*X944</f>
        <v/>
      </c>
      <c r="AA944" s="10">
        <f>IF(W944&gt;$AE$32,1,0)</f>
        <v/>
      </c>
      <c r="AB944">
        <f>IF(AA944=C944,1,0)</f>
        <v/>
      </c>
    </row>
    <row r="945">
      <c r="A945">
        <f>'1 datos preparados'!A938</f>
        <v/>
      </c>
      <c r="B945" s="5">
        <f>'1 datos preparados'!U938</f>
        <v/>
      </c>
      <c r="C945">
        <f>'1 datos preparados'!B938</f>
        <v/>
      </c>
      <c r="D945" s="7">
        <f>'1 datos preparados'!C938</f>
        <v/>
      </c>
      <c r="E945" s="7">
        <f>'1 datos preparados'!D938</f>
        <v/>
      </c>
      <c r="F945" s="7">
        <f>'1 datos preparados'!E938</f>
        <v/>
      </c>
      <c r="G945" s="7">
        <f>'1 datos preparados'!F938</f>
        <v/>
      </c>
      <c r="H945" s="7">
        <f>'1 datos preparados'!G938</f>
        <v/>
      </c>
      <c r="I945" s="7">
        <f>'1 datos preparados'!H938</f>
        <v/>
      </c>
      <c r="J945" s="7">
        <f>'1 datos preparados'!I938</f>
        <v/>
      </c>
      <c r="K945" s="7">
        <f>'1 datos preparados'!J938</f>
        <v/>
      </c>
      <c r="L945" s="7">
        <f>'1 datos preparados'!K938</f>
        <v/>
      </c>
      <c r="M945" s="7">
        <f>'1 datos preparados'!L938</f>
        <v/>
      </c>
      <c r="N945" s="7">
        <f>'1 datos preparados'!M938</f>
        <v/>
      </c>
      <c r="O945" s="7">
        <f>'1 datos preparados'!N938</f>
        <v/>
      </c>
      <c r="P945" s="7">
        <f>'1 datos preparados'!O938</f>
        <v/>
      </c>
      <c r="Q945" s="7">
        <f>'1 datos preparados'!P938</f>
        <v/>
      </c>
      <c r="R945" s="7">
        <f>'1 datos preparados'!Q938</f>
        <v/>
      </c>
      <c r="S945" s="7">
        <f>'1 datos preparados'!R938</f>
        <v/>
      </c>
      <c r="T945" s="7">
        <f>'1 datos preparados'!S938</f>
        <v/>
      </c>
      <c r="U945" s="7">
        <f>'1 datos preparados'!T938</f>
        <v/>
      </c>
      <c r="V945" s="8">
        <f>$AE$12+D945*$AE$13+E945*$AE$14+F945*$AE$15+G945*$AE$16+H945*$AE$17+I945*$AE$18+J945*$AE$19+K945*$AE$20+L945*$AE$21+M945*$AE$22+N945*$AE$23+O945*$AE$24+P945*$AE$25+Q945*$AE$26+R945*$AE$27+S945*$AE$28+T945*$AE$29+U945*$AE$30</f>
        <v/>
      </c>
      <c r="W945" s="8">
        <f>1/(1+EXP(-V945))</f>
        <v/>
      </c>
      <c r="X945" s="9">
        <f>-IF(C945=1,LN(W945),LN(1-W945))</f>
        <v/>
      </c>
      <c r="Y945" s="8">
        <f>1</f>
        <v/>
      </c>
      <c r="Z945" s="9">
        <f>Y945*X945</f>
        <v/>
      </c>
      <c r="AA945" s="10">
        <f>IF(W945&gt;$AE$32,1,0)</f>
        <v/>
      </c>
      <c r="AB945">
        <f>IF(AA945=C945,1,0)</f>
        <v/>
      </c>
    </row>
    <row r="946">
      <c r="A946">
        <f>'1 datos preparados'!A939</f>
        <v/>
      </c>
      <c r="B946" s="5">
        <f>'1 datos preparados'!U939</f>
        <v/>
      </c>
      <c r="C946">
        <f>'1 datos preparados'!B939</f>
        <v/>
      </c>
      <c r="D946" s="7">
        <f>'1 datos preparados'!C939</f>
        <v/>
      </c>
      <c r="E946" s="7">
        <f>'1 datos preparados'!D939</f>
        <v/>
      </c>
      <c r="F946" s="7">
        <f>'1 datos preparados'!E939</f>
        <v/>
      </c>
      <c r="G946" s="7">
        <f>'1 datos preparados'!F939</f>
        <v/>
      </c>
      <c r="H946" s="7">
        <f>'1 datos preparados'!G939</f>
        <v/>
      </c>
      <c r="I946" s="7">
        <f>'1 datos preparados'!H939</f>
        <v/>
      </c>
      <c r="J946" s="7">
        <f>'1 datos preparados'!I939</f>
        <v/>
      </c>
      <c r="K946" s="7">
        <f>'1 datos preparados'!J939</f>
        <v/>
      </c>
      <c r="L946" s="7">
        <f>'1 datos preparados'!K939</f>
        <v/>
      </c>
      <c r="M946" s="7">
        <f>'1 datos preparados'!L939</f>
        <v/>
      </c>
      <c r="N946" s="7">
        <f>'1 datos preparados'!M939</f>
        <v/>
      </c>
      <c r="O946" s="7">
        <f>'1 datos preparados'!N939</f>
        <v/>
      </c>
      <c r="P946" s="7">
        <f>'1 datos preparados'!O939</f>
        <v/>
      </c>
      <c r="Q946" s="7">
        <f>'1 datos preparados'!P939</f>
        <v/>
      </c>
      <c r="R946" s="7">
        <f>'1 datos preparados'!Q939</f>
        <v/>
      </c>
      <c r="S946" s="7">
        <f>'1 datos preparados'!R939</f>
        <v/>
      </c>
      <c r="T946" s="7">
        <f>'1 datos preparados'!S939</f>
        <v/>
      </c>
      <c r="U946" s="7">
        <f>'1 datos preparados'!T939</f>
        <v/>
      </c>
      <c r="V946" s="8">
        <f>$AE$12+D946*$AE$13+E946*$AE$14+F946*$AE$15+G946*$AE$16+H946*$AE$17+I946*$AE$18+J946*$AE$19+K946*$AE$20+L946*$AE$21+M946*$AE$22+N946*$AE$23+O946*$AE$24+P946*$AE$25+Q946*$AE$26+R946*$AE$27+S946*$AE$28+T946*$AE$29+U946*$AE$30</f>
        <v/>
      </c>
      <c r="W946" s="8">
        <f>1/(1+EXP(-V946))</f>
        <v/>
      </c>
      <c r="X946" s="9">
        <f>-IF(C946=1,LN(W946),LN(1-W946))</f>
        <v/>
      </c>
      <c r="Y946" s="8">
        <f>1</f>
        <v/>
      </c>
      <c r="Z946" s="9">
        <f>Y946*X946</f>
        <v/>
      </c>
      <c r="AA946" s="10">
        <f>IF(W946&gt;$AE$32,1,0)</f>
        <v/>
      </c>
      <c r="AB946">
        <f>IF(AA946=C946,1,0)</f>
        <v/>
      </c>
    </row>
    <row r="947">
      <c r="A947">
        <f>'1 datos preparados'!A940</f>
        <v/>
      </c>
      <c r="B947" s="5">
        <f>'1 datos preparados'!U940</f>
        <v/>
      </c>
      <c r="C947">
        <f>'1 datos preparados'!B940</f>
        <v/>
      </c>
      <c r="D947" s="7">
        <f>'1 datos preparados'!C940</f>
        <v/>
      </c>
      <c r="E947" s="7">
        <f>'1 datos preparados'!D940</f>
        <v/>
      </c>
      <c r="F947" s="7">
        <f>'1 datos preparados'!E940</f>
        <v/>
      </c>
      <c r="G947" s="7">
        <f>'1 datos preparados'!F940</f>
        <v/>
      </c>
      <c r="H947" s="7">
        <f>'1 datos preparados'!G940</f>
        <v/>
      </c>
      <c r="I947" s="7">
        <f>'1 datos preparados'!H940</f>
        <v/>
      </c>
      <c r="J947" s="7">
        <f>'1 datos preparados'!I940</f>
        <v/>
      </c>
      <c r="K947" s="7">
        <f>'1 datos preparados'!J940</f>
        <v/>
      </c>
      <c r="L947" s="7">
        <f>'1 datos preparados'!K940</f>
        <v/>
      </c>
      <c r="M947" s="7">
        <f>'1 datos preparados'!L940</f>
        <v/>
      </c>
      <c r="N947" s="7">
        <f>'1 datos preparados'!M940</f>
        <v/>
      </c>
      <c r="O947" s="7">
        <f>'1 datos preparados'!N940</f>
        <v/>
      </c>
      <c r="P947" s="7">
        <f>'1 datos preparados'!O940</f>
        <v/>
      </c>
      <c r="Q947" s="7">
        <f>'1 datos preparados'!P940</f>
        <v/>
      </c>
      <c r="R947" s="7">
        <f>'1 datos preparados'!Q940</f>
        <v/>
      </c>
      <c r="S947" s="7">
        <f>'1 datos preparados'!R940</f>
        <v/>
      </c>
      <c r="T947" s="7">
        <f>'1 datos preparados'!S940</f>
        <v/>
      </c>
      <c r="U947" s="7">
        <f>'1 datos preparados'!T940</f>
        <v/>
      </c>
      <c r="V947" s="8">
        <f>$AE$12+D947*$AE$13+E947*$AE$14+F947*$AE$15+G947*$AE$16+H947*$AE$17+I947*$AE$18+J947*$AE$19+K947*$AE$20+L947*$AE$21+M947*$AE$22+N947*$AE$23+O947*$AE$24+P947*$AE$25+Q947*$AE$26+R947*$AE$27+S947*$AE$28+T947*$AE$29+U947*$AE$30</f>
        <v/>
      </c>
      <c r="W947" s="8">
        <f>1/(1+EXP(-V947))</f>
        <v/>
      </c>
      <c r="X947" s="9">
        <f>-IF(C947=1,LN(W947),LN(1-W947))</f>
        <v/>
      </c>
      <c r="Y947" s="8">
        <f>1</f>
        <v/>
      </c>
      <c r="Z947" s="9">
        <f>Y947*X947</f>
        <v/>
      </c>
      <c r="AA947" s="10">
        <f>IF(W947&gt;$AE$32,1,0)</f>
        <v/>
      </c>
      <c r="AB947">
        <f>IF(AA947=C947,1,0)</f>
        <v/>
      </c>
    </row>
    <row r="948">
      <c r="A948">
        <f>'1 datos preparados'!A941</f>
        <v/>
      </c>
      <c r="B948" s="5">
        <f>'1 datos preparados'!U941</f>
        <v/>
      </c>
      <c r="C948">
        <f>'1 datos preparados'!B941</f>
        <v/>
      </c>
      <c r="D948" s="7">
        <f>'1 datos preparados'!C941</f>
        <v/>
      </c>
      <c r="E948" s="7">
        <f>'1 datos preparados'!D941</f>
        <v/>
      </c>
      <c r="F948" s="7">
        <f>'1 datos preparados'!E941</f>
        <v/>
      </c>
      <c r="G948" s="7">
        <f>'1 datos preparados'!F941</f>
        <v/>
      </c>
      <c r="H948" s="7">
        <f>'1 datos preparados'!G941</f>
        <v/>
      </c>
      <c r="I948" s="7">
        <f>'1 datos preparados'!H941</f>
        <v/>
      </c>
      <c r="J948" s="7">
        <f>'1 datos preparados'!I941</f>
        <v/>
      </c>
      <c r="K948" s="7">
        <f>'1 datos preparados'!J941</f>
        <v/>
      </c>
      <c r="L948" s="7">
        <f>'1 datos preparados'!K941</f>
        <v/>
      </c>
      <c r="M948" s="7">
        <f>'1 datos preparados'!L941</f>
        <v/>
      </c>
      <c r="N948" s="7">
        <f>'1 datos preparados'!M941</f>
        <v/>
      </c>
      <c r="O948" s="7">
        <f>'1 datos preparados'!N941</f>
        <v/>
      </c>
      <c r="P948" s="7">
        <f>'1 datos preparados'!O941</f>
        <v/>
      </c>
      <c r="Q948" s="7">
        <f>'1 datos preparados'!P941</f>
        <v/>
      </c>
      <c r="R948" s="7">
        <f>'1 datos preparados'!Q941</f>
        <v/>
      </c>
      <c r="S948" s="7">
        <f>'1 datos preparados'!R941</f>
        <v/>
      </c>
      <c r="T948" s="7">
        <f>'1 datos preparados'!S941</f>
        <v/>
      </c>
      <c r="U948" s="7">
        <f>'1 datos preparados'!T941</f>
        <v/>
      </c>
      <c r="V948" s="8">
        <f>$AE$12+D948*$AE$13+E948*$AE$14+F948*$AE$15+G948*$AE$16+H948*$AE$17+I948*$AE$18+J948*$AE$19+K948*$AE$20+L948*$AE$21+M948*$AE$22+N948*$AE$23+O948*$AE$24+P948*$AE$25+Q948*$AE$26+R948*$AE$27+S948*$AE$28+T948*$AE$29+U948*$AE$30</f>
        <v/>
      </c>
      <c r="W948" s="8">
        <f>1/(1+EXP(-V948))</f>
        <v/>
      </c>
      <c r="X948" s="9">
        <f>-IF(C948=1,LN(W948),LN(1-W948))</f>
        <v/>
      </c>
      <c r="Y948" s="8">
        <f>1</f>
        <v/>
      </c>
      <c r="Z948" s="9">
        <f>Y948*X948</f>
        <v/>
      </c>
      <c r="AA948" s="10">
        <f>IF(W948&gt;$AE$32,1,0)</f>
        <v/>
      </c>
      <c r="AB948">
        <f>IF(AA948=C948,1,0)</f>
        <v/>
      </c>
    </row>
    <row r="949">
      <c r="A949">
        <f>'1 datos preparados'!A942</f>
        <v/>
      </c>
      <c r="B949" s="5">
        <f>'1 datos preparados'!U942</f>
        <v/>
      </c>
      <c r="C949">
        <f>'1 datos preparados'!B942</f>
        <v/>
      </c>
      <c r="D949" s="7">
        <f>'1 datos preparados'!C942</f>
        <v/>
      </c>
      <c r="E949" s="7">
        <f>'1 datos preparados'!D942</f>
        <v/>
      </c>
      <c r="F949" s="7">
        <f>'1 datos preparados'!E942</f>
        <v/>
      </c>
      <c r="G949" s="7">
        <f>'1 datos preparados'!F942</f>
        <v/>
      </c>
      <c r="H949" s="7">
        <f>'1 datos preparados'!G942</f>
        <v/>
      </c>
      <c r="I949" s="7">
        <f>'1 datos preparados'!H942</f>
        <v/>
      </c>
      <c r="J949" s="7">
        <f>'1 datos preparados'!I942</f>
        <v/>
      </c>
      <c r="K949" s="7">
        <f>'1 datos preparados'!J942</f>
        <v/>
      </c>
      <c r="L949" s="7">
        <f>'1 datos preparados'!K942</f>
        <v/>
      </c>
      <c r="M949" s="7">
        <f>'1 datos preparados'!L942</f>
        <v/>
      </c>
      <c r="N949" s="7">
        <f>'1 datos preparados'!M942</f>
        <v/>
      </c>
      <c r="O949" s="7">
        <f>'1 datos preparados'!N942</f>
        <v/>
      </c>
      <c r="P949" s="7">
        <f>'1 datos preparados'!O942</f>
        <v/>
      </c>
      <c r="Q949" s="7">
        <f>'1 datos preparados'!P942</f>
        <v/>
      </c>
      <c r="R949" s="7">
        <f>'1 datos preparados'!Q942</f>
        <v/>
      </c>
      <c r="S949" s="7">
        <f>'1 datos preparados'!R942</f>
        <v/>
      </c>
      <c r="T949" s="7">
        <f>'1 datos preparados'!S942</f>
        <v/>
      </c>
      <c r="U949" s="7">
        <f>'1 datos preparados'!T942</f>
        <v/>
      </c>
      <c r="V949" s="8">
        <f>$AE$12+D949*$AE$13+E949*$AE$14+F949*$AE$15+G949*$AE$16+H949*$AE$17+I949*$AE$18+J949*$AE$19+K949*$AE$20+L949*$AE$21+M949*$AE$22+N949*$AE$23+O949*$AE$24+P949*$AE$25+Q949*$AE$26+R949*$AE$27+S949*$AE$28+T949*$AE$29+U949*$AE$30</f>
        <v/>
      </c>
      <c r="W949" s="8">
        <f>1/(1+EXP(-V949))</f>
        <v/>
      </c>
      <c r="X949" s="9">
        <f>-IF(C949=1,LN(W949),LN(1-W949))</f>
        <v/>
      </c>
      <c r="Y949" s="8">
        <f>1</f>
        <v/>
      </c>
      <c r="Z949" s="9">
        <f>Y949*X949</f>
        <v/>
      </c>
      <c r="AA949" s="10">
        <f>IF(W949&gt;$AE$32,1,0)</f>
        <v/>
      </c>
      <c r="AB949">
        <f>IF(AA949=C949,1,0)</f>
        <v/>
      </c>
    </row>
    <row r="950">
      <c r="A950">
        <f>'1 datos preparados'!A943</f>
        <v/>
      </c>
      <c r="B950" s="5">
        <f>'1 datos preparados'!U943</f>
        <v/>
      </c>
      <c r="C950">
        <f>'1 datos preparados'!B943</f>
        <v/>
      </c>
      <c r="D950" s="7">
        <f>'1 datos preparados'!C943</f>
        <v/>
      </c>
      <c r="E950" s="7">
        <f>'1 datos preparados'!D943</f>
        <v/>
      </c>
      <c r="F950" s="7">
        <f>'1 datos preparados'!E943</f>
        <v/>
      </c>
      <c r="G950" s="7">
        <f>'1 datos preparados'!F943</f>
        <v/>
      </c>
      <c r="H950" s="7">
        <f>'1 datos preparados'!G943</f>
        <v/>
      </c>
      <c r="I950" s="7">
        <f>'1 datos preparados'!H943</f>
        <v/>
      </c>
      <c r="J950" s="7">
        <f>'1 datos preparados'!I943</f>
        <v/>
      </c>
      <c r="K950" s="7">
        <f>'1 datos preparados'!J943</f>
        <v/>
      </c>
      <c r="L950" s="7">
        <f>'1 datos preparados'!K943</f>
        <v/>
      </c>
      <c r="M950" s="7">
        <f>'1 datos preparados'!L943</f>
        <v/>
      </c>
      <c r="N950" s="7">
        <f>'1 datos preparados'!M943</f>
        <v/>
      </c>
      <c r="O950" s="7">
        <f>'1 datos preparados'!N943</f>
        <v/>
      </c>
      <c r="P950" s="7">
        <f>'1 datos preparados'!O943</f>
        <v/>
      </c>
      <c r="Q950" s="7">
        <f>'1 datos preparados'!P943</f>
        <v/>
      </c>
      <c r="R950" s="7">
        <f>'1 datos preparados'!Q943</f>
        <v/>
      </c>
      <c r="S950" s="7">
        <f>'1 datos preparados'!R943</f>
        <v/>
      </c>
      <c r="T950" s="7">
        <f>'1 datos preparados'!S943</f>
        <v/>
      </c>
      <c r="U950" s="7">
        <f>'1 datos preparados'!T943</f>
        <v/>
      </c>
      <c r="V950" s="8">
        <f>$AE$12+D950*$AE$13+E950*$AE$14+F950*$AE$15+G950*$AE$16+H950*$AE$17+I950*$AE$18+J950*$AE$19+K950*$AE$20+L950*$AE$21+M950*$AE$22+N950*$AE$23+O950*$AE$24+P950*$AE$25+Q950*$AE$26+R950*$AE$27+S950*$AE$28+T950*$AE$29+U950*$AE$30</f>
        <v/>
      </c>
      <c r="W950" s="8">
        <f>1/(1+EXP(-V950))</f>
        <v/>
      </c>
      <c r="X950" s="9">
        <f>-IF(C950=1,LN(W950),LN(1-W950))</f>
        <v/>
      </c>
      <c r="Y950" s="8">
        <f>1</f>
        <v/>
      </c>
      <c r="Z950" s="9">
        <f>Y950*X950</f>
        <v/>
      </c>
      <c r="AA950" s="10">
        <f>IF(W950&gt;$AE$32,1,0)</f>
        <v/>
      </c>
      <c r="AB950">
        <f>IF(AA950=C950,1,0)</f>
        <v/>
      </c>
    </row>
    <row r="951">
      <c r="A951">
        <f>'1 datos preparados'!A944</f>
        <v/>
      </c>
      <c r="B951" s="5">
        <f>'1 datos preparados'!U944</f>
        <v/>
      </c>
      <c r="C951">
        <f>'1 datos preparados'!B944</f>
        <v/>
      </c>
      <c r="D951" s="7">
        <f>'1 datos preparados'!C944</f>
        <v/>
      </c>
      <c r="E951" s="7">
        <f>'1 datos preparados'!D944</f>
        <v/>
      </c>
      <c r="F951" s="7">
        <f>'1 datos preparados'!E944</f>
        <v/>
      </c>
      <c r="G951" s="7">
        <f>'1 datos preparados'!F944</f>
        <v/>
      </c>
      <c r="H951" s="7">
        <f>'1 datos preparados'!G944</f>
        <v/>
      </c>
      <c r="I951" s="7">
        <f>'1 datos preparados'!H944</f>
        <v/>
      </c>
      <c r="J951" s="7">
        <f>'1 datos preparados'!I944</f>
        <v/>
      </c>
      <c r="K951" s="7">
        <f>'1 datos preparados'!J944</f>
        <v/>
      </c>
      <c r="L951" s="7">
        <f>'1 datos preparados'!K944</f>
        <v/>
      </c>
      <c r="M951" s="7">
        <f>'1 datos preparados'!L944</f>
        <v/>
      </c>
      <c r="N951" s="7">
        <f>'1 datos preparados'!M944</f>
        <v/>
      </c>
      <c r="O951" s="7">
        <f>'1 datos preparados'!N944</f>
        <v/>
      </c>
      <c r="P951" s="7">
        <f>'1 datos preparados'!O944</f>
        <v/>
      </c>
      <c r="Q951" s="7">
        <f>'1 datos preparados'!P944</f>
        <v/>
      </c>
      <c r="R951" s="7">
        <f>'1 datos preparados'!Q944</f>
        <v/>
      </c>
      <c r="S951" s="7">
        <f>'1 datos preparados'!R944</f>
        <v/>
      </c>
      <c r="T951" s="7">
        <f>'1 datos preparados'!S944</f>
        <v/>
      </c>
      <c r="U951" s="7">
        <f>'1 datos preparados'!T944</f>
        <v/>
      </c>
      <c r="V951" s="8">
        <f>$AE$12+D951*$AE$13+E951*$AE$14+F951*$AE$15+G951*$AE$16+H951*$AE$17+I951*$AE$18+J951*$AE$19+K951*$AE$20+L951*$AE$21+M951*$AE$22+N951*$AE$23+O951*$AE$24+P951*$AE$25+Q951*$AE$26+R951*$AE$27+S951*$AE$28+T951*$AE$29+U951*$AE$30</f>
        <v/>
      </c>
      <c r="W951" s="8">
        <f>1/(1+EXP(-V951))</f>
        <v/>
      </c>
      <c r="X951" s="9">
        <f>-IF(C951=1,LN(W951),LN(1-W951))</f>
        <v/>
      </c>
      <c r="Y951" s="8">
        <f>1</f>
        <v/>
      </c>
      <c r="Z951" s="9">
        <f>Y951*X951</f>
        <v/>
      </c>
      <c r="AA951" s="10">
        <f>IF(W951&gt;$AE$32,1,0)</f>
        <v/>
      </c>
      <c r="AB951">
        <f>IF(AA951=C951,1,0)</f>
        <v/>
      </c>
    </row>
    <row r="952">
      <c r="A952">
        <f>'1 datos preparados'!A945</f>
        <v/>
      </c>
      <c r="B952" s="5">
        <f>'1 datos preparados'!U945</f>
        <v/>
      </c>
      <c r="C952">
        <f>'1 datos preparados'!B945</f>
        <v/>
      </c>
      <c r="D952" s="7">
        <f>'1 datos preparados'!C945</f>
        <v/>
      </c>
      <c r="E952" s="7">
        <f>'1 datos preparados'!D945</f>
        <v/>
      </c>
      <c r="F952" s="7">
        <f>'1 datos preparados'!E945</f>
        <v/>
      </c>
      <c r="G952" s="7">
        <f>'1 datos preparados'!F945</f>
        <v/>
      </c>
      <c r="H952" s="7">
        <f>'1 datos preparados'!G945</f>
        <v/>
      </c>
      <c r="I952" s="7">
        <f>'1 datos preparados'!H945</f>
        <v/>
      </c>
      <c r="J952" s="7">
        <f>'1 datos preparados'!I945</f>
        <v/>
      </c>
      <c r="K952" s="7">
        <f>'1 datos preparados'!J945</f>
        <v/>
      </c>
      <c r="L952" s="7">
        <f>'1 datos preparados'!K945</f>
        <v/>
      </c>
      <c r="M952" s="7">
        <f>'1 datos preparados'!L945</f>
        <v/>
      </c>
      <c r="N952" s="7">
        <f>'1 datos preparados'!M945</f>
        <v/>
      </c>
      <c r="O952" s="7">
        <f>'1 datos preparados'!N945</f>
        <v/>
      </c>
      <c r="P952" s="7">
        <f>'1 datos preparados'!O945</f>
        <v/>
      </c>
      <c r="Q952" s="7">
        <f>'1 datos preparados'!P945</f>
        <v/>
      </c>
      <c r="R952" s="7">
        <f>'1 datos preparados'!Q945</f>
        <v/>
      </c>
      <c r="S952" s="7">
        <f>'1 datos preparados'!R945</f>
        <v/>
      </c>
      <c r="T952" s="7">
        <f>'1 datos preparados'!S945</f>
        <v/>
      </c>
      <c r="U952" s="7">
        <f>'1 datos preparados'!T945</f>
        <v/>
      </c>
      <c r="V952" s="8">
        <f>$AE$12+D952*$AE$13+E952*$AE$14+F952*$AE$15+G952*$AE$16+H952*$AE$17+I952*$AE$18+J952*$AE$19+K952*$AE$20+L952*$AE$21+M952*$AE$22+N952*$AE$23+O952*$AE$24+P952*$AE$25+Q952*$AE$26+R952*$AE$27+S952*$AE$28+T952*$AE$29+U952*$AE$30</f>
        <v/>
      </c>
      <c r="W952" s="8">
        <f>1/(1+EXP(-V952))</f>
        <v/>
      </c>
      <c r="X952" s="9">
        <f>-IF(C952=1,LN(W952),LN(1-W952))</f>
        <v/>
      </c>
      <c r="Y952" s="8">
        <f>1</f>
        <v/>
      </c>
      <c r="Z952" s="9">
        <f>Y952*X952</f>
        <v/>
      </c>
      <c r="AA952" s="10">
        <f>IF(W952&gt;$AE$32,1,0)</f>
        <v/>
      </c>
      <c r="AB952">
        <f>IF(AA952=C952,1,0)</f>
        <v/>
      </c>
    </row>
    <row r="953">
      <c r="A953">
        <f>'1 datos preparados'!A946</f>
        <v/>
      </c>
      <c r="B953" s="5">
        <f>'1 datos preparados'!U946</f>
        <v/>
      </c>
      <c r="C953">
        <f>'1 datos preparados'!B946</f>
        <v/>
      </c>
      <c r="D953" s="7">
        <f>'1 datos preparados'!C946</f>
        <v/>
      </c>
      <c r="E953" s="7">
        <f>'1 datos preparados'!D946</f>
        <v/>
      </c>
      <c r="F953" s="7">
        <f>'1 datos preparados'!E946</f>
        <v/>
      </c>
      <c r="G953" s="7">
        <f>'1 datos preparados'!F946</f>
        <v/>
      </c>
      <c r="H953" s="7">
        <f>'1 datos preparados'!G946</f>
        <v/>
      </c>
      <c r="I953" s="7">
        <f>'1 datos preparados'!H946</f>
        <v/>
      </c>
      <c r="J953" s="7">
        <f>'1 datos preparados'!I946</f>
        <v/>
      </c>
      <c r="K953" s="7">
        <f>'1 datos preparados'!J946</f>
        <v/>
      </c>
      <c r="L953" s="7">
        <f>'1 datos preparados'!K946</f>
        <v/>
      </c>
      <c r="M953" s="7">
        <f>'1 datos preparados'!L946</f>
        <v/>
      </c>
      <c r="N953" s="7">
        <f>'1 datos preparados'!M946</f>
        <v/>
      </c>
      <c r="O953" s="7">
        <f>'1 datos preparados'!N946</f>
        <v/>
      </c>
      <c r="P953" s="7">
        <f>'1 datos preparados'!O946</f>
        <v/>
      </c>
      <c r="Q953" s="7">
        <f>'1 datos preparados'!P946</f>
        <v/>
      </c>
      <c r="R953" s="7">
        <f>'1 datos preparados'!Q946</f>
        <v/>
      </c>
      <c r="S953" s="7">
        <f>'1 datos preparados'!R946</f>
        <v/>
      </c>
      <c r="T953" s="7">
        <f>'1 datos preparados'!S946</f>
        <v/>
      </c>
      <c r="U953" s="7">
        <f>'1 datos preparados'!T946</f>
        <v/>
      </c>
      <c r="V953" s="8">
        <f>$AE$12+D953*$AE$13+E953*$AE$14+F953*$AE$15+G953*$AE$16+H953*$AE$17+I953*$AE$18+J953*$AE$19+K953*$AE$20+L953*$AE$21+M953*$AE$22+N953*$AE$23+O953*$AE$24+P953*$AE$25+Q953*$AE$26+R953*$AE$27+S953*$AE$28+T953*$AE$29+U953*$AE$30</f>
        <v/>
      </c>
      <c r="W953" s="8">
        <f>1/(1+EXP(-V953))</f>
        <v/>
      </c>
      <c r="X953" s="9">
        <f>-IF(C953=1,LN(W953),LN(1-W953))</f>
        <v/>
      </c>
      <c r="Y953" s="8">
        <f>1</f>
        <v/>
      </c>
      <c r="Z953" s="9">
        <f>Y953*X953</f>
        <v/>
      </c>
      <c r="AA953" s="10">
        <f>IF(W953&gt;$AE$32,1,0)</f>
        <v/>
      </c>
      <c r="AB953">
        <f>IF(AA953=C953,1,0)</f>
        <v/>
      </c>
    </row>
    <row r="954">
      <c r="A954">
        <f>'1 datos preparados'!A947</f>
        <v/>
      </c>
      <c r="B954" s="5">
        <f>'1 datos preparados'!U947</f>
        <v/>
      </c>
      <c r="C954">
        <f>'1 datos preparados'!B947</f>
        <v/>
      </c>
      <c r="D954" s="7">
        <f>'1 datos preparados'!C947</f>
        <v/>
      </c>
      <c r="E954" s="7">
        <f>'1 datos preparados'!D947</f>
        <v/>
      </c>
      <c r="F954" s="7">
        <f>'1 datos preparados'!E947</f>
        <v/>
      </c>
      <c r="G954" s="7">
        <f>'1 datos preparados'!F947</f>
        <v/>
      </c>
      <c r="H954" s="7">
        <f>'1 datos preparados'!G947</f>
        <v/>
      </c>
      <c r="I954" s="7">
        <f>'1 datos preparados'!H947</f>
        <v/>
      </c>
      <c r="J954" s="7">
        <f>'1 datos preparados'!I947</f>
        <v/>
      </c>
      <c r="K954" s="7">
        <f>'1 datos preparados'!J947</f>
        <v/>
      </c>
      <c r="L954" s="7">
        <f>'1 datos preparados'!K947</f>
        <v/>
      </c>
      <c r="M954" s="7">
        <f>'1 datos preparados'!L947</f>
        <v/>
      </c>
      <c r="N954" s="7">
        <f>'1 datos preparados'!M947</f>
        <v/>
      </c>
      <c r="O954" s="7">
        <f>'1 datos preparados'!N947</f>
        <v/>
      </c>
      <c r="P954" s="7">
        <f>'1 datos preparados'!O947</f>
        <v/>
      </c>
      <c r="Q954" s="7">
        <f>'1 datos preparados'!P947</f>
        <v/>
      </c>
      <c r="R954" s="7">
        <f>'1 datos preparados'!Q947</f>
        <v/>
      </c>
      <c r="S954" s="7">
        <f>'1 datos preparados'!R947</f>
        <v/>
      </c>
      <c r="T954" s="7">
        <f>'1 datos preparados'!S947</f>
        <v/>
      </c>
      <c r="U954" s="7">
        <f>'1 datos preparados'!T947</f>
        <v/>
      </c>
      <c r="V954" s="8">
        <f>$AE$12+D954*$AE$13+E954*$AE$14+F954*$AE$15+G954*$AE$16+H954*$AE$17+I954*$AE$18+J954*$AE$19+K954*$AE$20+L954*$AE$21+M954*$AE$22+N954*$AE$23+O954*$AE$24+P954*$AE$25+Q954*$AE$26+R954*$AE$27+S954*$AE$28+T954*$AE$29+U954*$AE$30</f>
        <v/>
      </c>
      <c r="W954" s="8">
        <f>1/(1+EXP(-V954))</f>
        <v/>
      </c>
      <c r="X954" s="9">
        <f>-IF(C954=1,LN(W954),LN(1-W954))</f>
        <v/>
      </c>
      <c r="Y954" s="8">
        <f>1</f>
        <v/>
      </c>
      <c r="Z954" s="9">
        <f>Y954*X954</f>
        <v/>
      </c>
      <c r="AA954" s="10">
        <f>IF(W954&gt;$AE$32,1,0)</f>
        <v/>
      </c>
      <c r="AB954">
        <f>IF(AA954=C954,1,0)</f>
        <v/>
      </c>
    </row>
    <row r="955">
      <c r="A955">
        <f>'1 datos preparados'!A948</f>
        <v/>
      </c>
      <c r="B955" s="5">
        <f>'1 datos preparados'!U948</f>
        <v/>
      </c>
      <c r="C955">
        <f>'1 datos preparados'!B948</f>
        <v/>
      </c>
      <c r="D955" s="7">
        <f>'1 datos preparados'!C948</f>
        <v/>
      </c>
      <c r="E955" s="7">
        <f>'1 datos preparados'!D948</f>
        <v/>
      </c>
      <c r="F955" s="7">
        <f>'1 datos preparados'!E948</f>
        <v/>
      </c>
      <c r="G955" s="7">
        <f>'1 datos preparados'!F948</f>
        <v/>
      </c>
      <c r="H955" s="7">
        <f>'1 datos preparados'!G948</f>
        <v/>
      </c>
      <c r="I955" s="7">
        <f>'1 datos preparados'!H948</f>
        <v/>
      </c>
      <c r="J955" s="7">
        <f>'1 datos preparados'!I948</f>
        <v/>
      </c>
      <c r="K955" s="7">
        <f>'1 datos preparados'!J948</f>
        <v/>
      </c>
      <c r="L955" s="7">
        <f>'1 datos preparados'!K948</f>
        <v/>
      </c>
      <c r="M955" s="7">
        <f>'1 datos preparados'!L948</f>
        <v/>
      </c>
      <c r="N955" s="7">
        <f>'1 datos preparados'!M948</f>
        <v/>
      </c>
      <c r="O955" s="7">
        <f>'1 datos preparados'!N948</f>
        <v/>
      </c>
      <c r="P955" s="7">
        <f>'1 datos preparados'!O948</f>
        <v/>
      </c>
      <c r="Q955" s="7">
        <f>'1 datos preparados'!P948</f>
        <v/>
      </c>
      <c r="R955" s="7">
        <f>'1 datos preparados'!Q948</f>
        <v/>
      </c>
      <c r="S955" s="7">
        <f>'1 datos preparados'!R948</f>
        <v/>
      </c>
      <c r="T955" s="7">
        <f>'1 datos preparados'!S948</f>
        <v/>
      </c>
      <c r="U955" s="7">
        <f>'1 datos preparados'!T948</f>
        <v/>
      </c>
      <c r="V955" s="8">
        <f>$AE$12+D955*$AE$13+E955*$AE$14+F955*$AE$15+G955*$AE$16+H955*$AE$17+I955*$AE$18+J955*$AE$19+K955*$AE$20+L955*$AE$21+M955*$AE$22+N955*$AE$23+O955*$AE$24+P955*$AE$25+Q955*$AE$26+R955*$AE$27+S955*$AE$28+T955*$AE$29+U955*$AE$30</f>
        <v/>
      </c>
      <c r="W955" s="8">
        <f>1/(1+EXP(-V955))</f>
        <v/>
      </c>
      <c r="X955" s="9">
        <f>-IF(C955=1,LN(W955),LN(1-W955))</f>
        <v/>
      </c>
      <c r="Y955" s="8">
        <f>1</f>
        <v/>
      </c>
      <c r="Z955" s="9">
        <f>Y955*X955</f>
        <v/>
      </c>
      <c r="AA955" s="10">
        <f>IF(W955&gt;$AE$32,1,0)</f>
        <v/>
      </c>
      <c r="AB955">
        <f>IF(AA955=C955,1,0)</f>
        <v/>
      </c>
    </row>
    <row r="956">
      <c r="A956">
        <f>'1 datos preparados'!A949</f>
        <v/>
      </c>
      <c r="B956" s="5">
        <f>'1 datos preparados'!U949</f>
        <v/>
      </c>
      <c r="C956">
        <f>'1 datos preparados'!B949</f>
        <v/>
      </c>
      <c r="D956" s="7">
        <f>'1 datos preparados'!C949</f>
        <v/>
      </c>
      <c r="E956" s="7">
        <f>'1 datos preparados'!D949</f>
        <v/>
      </c>
      <c r="F956" s="7">
        <f>'1 datos preparados'!E949</f>
        <v/>
      </c>
      <c r="G956" s="7">
        <f>'1 datos preparados'!F949</f>
        <v/>
      </c>
      <c r="H956" s="7">
        <f>'1 datos preparados'!G949</f>
        <v/>
      </c>
      <c r="I956" s="7">
        <f>'1 datos preparados'!H949</f>
        <v/>
      </c>
      <c r="J956" s="7">
        <f>'1 datos preparados'!I949</f>
        <v/>
      </c>
      <c r="K956" s="7">
        <f>'1 datos preparados'!J949</f>
        <v/>
      </c>
      <c r="L956" s="7">
        <f>'1 datos preparados'!K949</f>
        <v/>
      </c>
      <c r="M956" s="7">
        <f>'1 datos preparados'!L949</f>
        <v/>
      </c>
      <c r="N956" s="7">
        <f>'1 datos preparados'!M949</f>
        <v/>
      </c>
      <c r="O956" s="7">
        <f>'1 datos preparados'!N949</f>
        <v/>
      </c>
      <c r="P956" s="7">
        <f>'1 datos preparados'!O949</f>
        <v/>
      </c>
      <c r="Q956" s="7">
        <f>'1 datos preparados'!P949</f>
        <v/>
      </c>
      <c r="R956" s="7">
        <f>'1 datos preparados'!Q949</f>
        <v/>
      </c>
      <c r="S956" s="7">
        <f>'1 datos preparados'!R949</f>
        <v/>
      </c>
      <c r="T956" s="7">
        <f>'1 datos preparados'!S949</f>
        <v/>
      </c>
      <c r="U956" s="7">
        <f>'1 datos preparados'!T949</f>
        <v/>
      </c>
      <c r="V956" s="8">
        <f>$AE$12+D956*$AE$13+E956*$AE$14+F956*$AE$15+G956*$AE$16+H956*$AE$17+I956*$AE$18+J956*$AE$19+K956*$AE$20+L956*$AE$21+M956*$AE$22+N956*$AE$23+O956*$AE$24+P956*$AE$25+Q956*$AE$26+R956*$AE$27+S956*$AE$28+T956*$AE$29+U956*$AE$30</f>
        <v/>
      </c>
      <c r="W956" s="8">
        <f>1/(1+EXP(-V956))</f>
        <v/>
      </c>
      <c r="X956" s="9">
        <f>-IF(C956=1,LN(W956),LN(1-W956))</f>
        <v/>
      </c>
      <c r="Y956" s="8">
        <f>1</f>
        <v/>
      </c>
      <c r="Z956" s="9">
        <f>Y956*X956</f>
        <v/>
      </c>
      <c r="AA956" s="10">
        <f>IF(W956&gt;$AE$32,1,0)</f>
        <v/>
      </c>
      <c r="AB956">
        <f>IF(AA956=C956,1,0)</f>
        <v/>
      </c>
    </row>
    <row r="957">
      <c r="A957">
        <f>'1 datos preparados'!A950</f>
        <v/>
      </c>
      <c r="B957" s="5">
        <f>'1 datos preparados'!U950</f>
        <v/>
      </c>
      <c r="C957">
        <f>'1 datos preparados'!B950</f>
        <v/>
      </c>
      <c r="D957" s="7">
        <f>'1 datos preparados'!C950</f>
        <v/>
      </c>
      <c r="E957" s="7">
        <f>'1 datos preparados'!D950</f>
        <v/>
      </c>
      <c r="F957" s="7">
        <f>'1 datos preparados'!E950</f>
        <v/>
      </c>
      <c r="G957" s="7">
        <f>'1 datos preparados'!F950</f>
        <v/>
      </c>
      <c r="H957" s="7">
        <f>'1 datos preparados'!G950</f>
        <v/>
      </c>
      <c r="I957" s="7">
        <f>'1 datos preparados'!H950</f>
        <v/>
      </c>
      <c r="J957" s="7">
        <f>'1 datos preparados'!I950</f>
        <v/>
      </c>
      <c r="K957" s="7">
        <f>'1 datos preparados'!J950</f>
        <v/>
      </c>
      <c r="L957" s="7">
        <f>'1 datos preparados'!K950</f>
        <v/>
      </c>
      <c r="M957" s="7">
        <f>'1 datos preparados'!L950</f>
        <v/>
      </c>
      <c r="N957" s="7">
        <f>'1 datos preparados'!M950</f>
        <v/>
      </c>
      <c r="O957" s="7">
        <f>'1 datos preparados'!N950</f>
        <v/>
      </c>
      <c r="P957" s="7">
        <f>'1 datos preparados'!O950</f>
        <v/>
      </c>
      <c r="Q957" s="7">
        <f>'1 datos preparados'!P950</f>
        <v/>
      </c>
      <c r="R957" s="7">
        <f>'1 datos preparados'!Q950</f>
        <v/>
      </c>
      <c r="S957" s="7">
        <f>'1 datos preparados'!R950</f>
        <v/>
      </c>
      <c r="T957" s="7">
        <f>'1 datos preparados'!S950</f>
        <v/>
      </c>
      <c r="U957" s="7">
        <f>'1 datos preparados'!T950</f>
        <v/>
      </c>
      <c r="V957" s="8">
        <f>$AE$12+D957*$AE$13+E957*$AE$14+F957*$AE$15+G957*$AE$16+H957*$AE$17+I957*$AE$18+J957*$AE$19+K957*$AE$20+L957*$AE$21+M957*$AE$22+N957*$AE$23+O957*$AE$24+P957*$AE$25+Q957*$AE$26+R957*$AE$27+S957*$AE$28+T957*$AE$29+U957*$AE$30</f>
        <v/>
      </c>
      <c r="W957" s="8">
        <f>1/(1+EXP(-V957))</f>
        <v/>
      </c>
      <c r="X957" s="9">
        <f>-IF(C957=1,LN(W957),LN(1-W957))</f>
        <v/>
      </c>
      <c r="Y957" s="8">
        <f>1</f>
        <v/>
      </c>
      <c r="Z957" s="9">
        <f>Y957*X957</f>
        <v/>
      </c>
      <c r="AA957" s="10">
        <f>IF(W957&gt;$AE$32,1,0)</f>
        <v/>
      </c>
      <c r="AB957">
        <f>IF(AA957=C957,1,0)</f>
        <v/>
      </c>
    </row>
    <row r="958">
      <c r="A958">
        <f>'1 datos preparados'!A951</f>
        <v/>
      </c>
      <c r="B958" s="5">
        <f>'1 datos preparados'!U951</f>
        <v/>
      </c>
      <c r="C958">
        <f>'1 datos preparados'!B951</f>
        <v/>
      </c>
      <c r="D958" s="7">
        <f>'1 datos preparados'!C951</f>
        <v/>
      </c>
      <c r="E958" s="7">
        <f>'1 datos preparados'!D951</f>
        <v/>
      </c>
      <c r="F958" s="7">
        <f>'1 datos preparados'!E951</f>
        <v/>
      </c>
      <c r="G958" s="7">
        <f>'1 datos preparados'!F951</f>
        <v/>
      </c>
      <c r="H958" s="7">
        <f>'1 datos preparados'!G951</f>
        <v/>
      </c>
      <c r="I958" s="7">
        <f>'1 datos preparados'!H951</f>
        <v/>
      </c>
      <c r="J958" s="7">
        <f>'1 datos preparados'!I951</f>
        <v/>
      </c>
      <c r="K958" s="7">
        <f>'1 datos preparados'!J951</f>
        <v/>
      </c>
      <c r="L958" s="7">
        <f>'1 datos preparados'!K951</f>
        <v/>
      </c>
      <c r="M958" s="7">
        <f>'1 datos preparados'!L951</f>
        <v/>
      </c>
      <c r="N958" s="7">
        <f>'1 datos preparados'!M951</f>
        <v/>
      </c>
      <c r="O958" s="7">
        <f>'1 datos preparados'!N951</f>
        <v/>
      </c>
      <c r="P958" s="7">
        <f>'1 datos preparados'!O951</f>
        <v/>
      </c>
      <c r="Q958" s="7">
        <f>'1 datos preparados'!P951</f>
        <v/>
      </c>
      <c r="R958" s="7">
        <f>'1 datos preparados'!Q951</f>
        <v/>
      </c>
      <c r="S958" s="7">
        <f>'1 datos preparados'!R951</f>
        <v/>
      </c>
      <c r="T958" s="7">
        <f>'1 datos preparados'!S951</f>
        <v/>
      </c>
      <c r="U958" s="7">
        <f>'1 datos preparados'!T951</f>
        <v/>
      </c>
      <c r="V958" s="8">
        <f>$AE$12+D958*$AE$13+E958*$AE$14+F958*$AE$15+G958*$AE$16+H958*$AE$17+I958*$AE$18+J958*$AE$19+K958*$AE$20+L958*$AE$21+M958*$AE$22+N958*$AE$23+O958*$AE$24+P958*$AE$25+Q958*$AE$26+R958*$AE$27+S958*$AE$28+T958*$AE$29+U958*$AE$30</f>
        <v/>
      </c>
      <c r="W958" s="8">
        <f>1/(1+EXP(-V958))</f>
        <v/>
      </c>
      <c r="X958" s="9">
        <f>-IF(C958=1,LN(W958),LN(1-W958))</f>
        <v/>
      </c>
      <c r="Y958" s="8">
        <f>1</f>
        <v/>
      </c>
      <c r="Z958" s="9">
        <f>Y958*X958</f>
        <v/>
      </c>
      <c r="AA958" s="10">
        <f>IF(W958&gt;$AE$32,1,0)</f>
        <v/>
      </c>
      <c r="AB958">
        <f>IF(AA958=C958,1,0)</f>
        <v/>
      </c>
    </row>
    <row r="959">
      <c r="A959">
        <f>'1 datos preparados'!A952</f>
        <v/>
      </c>
      <c r="B959" s="5">
        <f>'1 datos preparados'!U952</f>
        <v/>
      </c>
      <c r="C959">
        <f>'1 datos preparados'!B952</f>
        <v/>
      </c>
      <c r="D959" s="7">
        <f>'1 datos preparados'!C952</f>
        <v/>
      </c>
      <c r="E959" s="7">
        <f>'1 datos preparados'!D952</f>
        <v/>
      </c>
      <c r="F959" s="7">
        <f>'1 datos preparados'!E952</f>
        <v/>
      </c>
      <c r="G959" s="7">
        <f>'1 datos preparados'!F952</f>
        <v/>
      </c>
      <c r="H959" s="7">
        <f>'1 datos preparados'!G952</f>
        <v/>
      </c>
      <c r="I959" s="7">
        <f>'1 datos preparados'!H952</f>
        <v/>
      </c>
      <c r="J959" s="7">
        <f>'1 datos preparados'!I952</f>
        <v/>
      </c>
      <c r="K959" s="7">
        <f>'1 datos preparados'!J952</f>
        <v/>
      </c>
      <c r="L959" s="7">
        <f>'1 datos preparados'!K952</f>
        <v/>
      </c>
      <c r="M959" s="7">
        <f>'1 datos preparados'!L952</f>
        <v/>
      </c>
      <c r="N959" s="7">
        <f>'1 datos preparados'!M952</f>
        <v/>
      </c>
      <c r="O959" s="7">
        <f>'1 datos preparados'!N952</f>
        <v/>
      </c>
      <c r="P959" s="7">
        <f>'1 datos preparados'!O952</f>
        <v/>
      </c>
      <c r="Q959" s="7">
        <f>'1 datos preparados'!P952</f>
        <v/>
      </c>
      <c r="R959" s="7">
        <f>'1 datos preparados'!Q952</f>
        <v/>
      </c>
      <c r="S959" s="7">
        <f>'1 datos preparados'!R952</f>
        <v/>
      </c>
      <c r="T959" s="7">
        <f>'1 datos preparados'!S952</f>
        <v/>
      </c>
      <c r="U959" s="7">
        <f>'1 datos preparados'!T952</f>
        <v/>
      </c>
      <c r="V959" s="8">
        <f>$AE$12+D959*$AE$13+E959*$AE$14+F959*$AE$15+G959*$AE$16+H959*$AE$17+I959*$AE$18+J959*$AE$19+K959*$AE$20+L959*$AE$21+M959*$AE$22+N959*$AE$23+O959*$AE$24+P959*$AE$25+Q959*$AE$26+R959*$AE$27+S959*$AE$28+T959*$AE$29+U959*$AE$30</f>
        <v/>
      </c>
      <c r="W959" s="8">
        <f>1/(1+EXP(-V959))</f>
        <v/>
      </c>
      <c r="X959" s="9">
        <f>-IF(C959=1,LN(W959),LN(1-W959))</f>
        <v/>
      </c>
      <c r="Y959" s="8">
        <f>1</f>
        <v/>
      </c>
      <c r="Z959" s="9">
        <f>Y959*X959</f>
        <v/>
      </c>
      <c r="AA959" s="10">
        <f>IF(W959&gt;$AE$32,1,0)</f>
        <v/>
      </c>
      <c r="AB959">
        <f>IF(AA959=C959,1,0)</f>
        <v/>
      </c>
    </row>
    <row r="960">
      <c r="A960">
        <f>'1 datos preparados'!A953</f>
        <v/>
      </c>
      <c r="B960" s="5">
        <f>'1 datos preparados'!U953</f>
        <v/>
      </c>
      <c r="C960">
        <f>'1 datos preparados'!B953</f>
        <v/>
      </c>
      <c r="D960" s="7">
        <f>'1 datos preparados'!C953</f>
        <v/>
      </c>
      <c r="E960" s="7">
        <f>'1 datos preparados'!D953</f>
        <v/>
      </c>
      <c r="F960" s="7">
        <f>'1 datos preparados'!E953</f>
        <v/>
      </c>
      <c r="G960" s="7">
        <f>'1 datos preparados'!F953</f>
        <v/>
      </c>
      <c r="H960" s="7">
        <f>'1 datos preparados'!G953</f>
        <v/>
      </c>
      <c r="I960" s="7">
        <f>'1 datos preparados'!H953</f>
        <v/>
      </c>
      <c r="J960" s="7">
        <f>'1 datos preparados'!I953</f>
        <v/>
      </c>
      <c r="K960" s="7">
        <f>'1 datos preparados'!J953</f>
        <v/>
      </c>
      <c r="L960" s="7">
        <f>'1 datos preparados'!K953</f>
        <v/>
      </c>
      <c r="M960" s="7">
        <f>'1 datos preparados'!L953</f>
        <v/>
      </c>
      <c r="N960" s="7">
        <f>'1 datos preparados'!M953</f>
        <v/>
      </c>
      <c r="O960" s="7">
        <f>'1 datos preparados'!N953</f>
        <v/>
      </c>
      <c r="P960" s="7">
        <f>'1 datos preparados'!O953</f>
        <v/>
      </c>
      <c r="Q960" s="7">
        <f>'1 datos preparados'!P953</f>
        <v/>
      </c>
      <c r="R960" s="7">
        <f>'1 datos preparados'!Q953</f>
        <v/>
      </c>
      <c r="S960" s="7">
        <f>'1 datos preparados'!R953</f>
        <v/>
      </c>
      <c r="T960" s="7">
        <f>'1 datos preparados'!S953</f>
        <v/>
      </c>
      <c r="U960" s="7">
        <f>'1 datos preparados'!T953</f>
        <v/>
      </c>
      <c r="V960" s="8">
        <f>$AE$12+D960*$AE$13+E960*$AE$14+F960*$AE$15+G960*$AE$16+H960*$AE$17+I960*$AE$18+J960*$AE$19+K960*$AE$20+L960*$AE$21+M960*$AE$22+N960*$AE$23+O960*$AE$24+P960*$AE$25+Q960*$AE$26+R960*$AE$27+S960*$AE$28+T960*$AE$29+U960*$AE$30</f>
        <v/>
      </c>
      <c r="W960" s="8">
        <f>1/(1+EXP(-V960))</f>
        <v/>
      </c>
      <c r="X960" s="9">
        <f>-IF(C960=1,LN(W960),LN(1-W960))</f>
        <v/>
      </c>
      <c r="Y960" s="8">
        <f>1</f>
        <v/>
      </c>
      <c r="Z960" s="9">
        <f>Y960*X960</f>
        <v/>
      </c>
      <c r="AA960" s="10">
        <f>IF(W960&gt;$AE$32,1,0)</f>
        <v/>
      </c>
      <c r="AB960">
        <f>IF(AA960=C960,1,0)</f>
        <v/>
      </c>
    </row>
    <row r="961">
      <c r="A961">
        <f>'1 datos preparados'!A954</f>
        <v/>
      </c>
      <c r="B961" s="5">
        <f>'1 datos preparados'!U954</f>
        <v/>
      </c>
      <c r="C961">
        <f>'1 datos preparados'!B954</f>
        <v/>
      </c>
      <c r="D961" s="7">
        <f>'1 datos preparados'!C954</f>
        <v/>
      </c>
      <c r="E961" s="7">
        <f>'1 datos preparados'!D954</f>
        <v/>
      </c>
      <c r="F961" s="7">
        <f>'1 datos preparados'!E954</f>
        <v/>
      </c>
      <c r="G961" s="7">
        <f>'1 datos preparados'!F954</f>
        <v/>
      </c>
      <c r="H961" s="7">
        <f>'1 datos preparados'!G954</f>
        <v/>
      </c>
      <c r="I961" s="7">
        <f>'1 datos preparados'!H954</f>
        <v/>
      </c>
      <c r="J961" s="7">
        <f>'1 datos preparados'!I954</f>
        <v/>
      </c>
      <c r="K961" s="7">
        <f>'1 datos preparados'!J954</f>
        <v/>
      </c>
      <c r="L961" s="7">
        <f>'1 datos preparados'!K954</f>
        <v/>
      </c>
      <c r="M961" s="7">
        <f>'1 datos preparados'!L954</f>
        <v/>
      </c>
      <c r="N961" s="7">
        <f>'1 datos preparados'!M954</f>
        <v/>
      </c>
      <c r="O961" s="7">
        <f>'1 datos preparados'!N954</f>
        <v/>
      </c>
      <c r="P961" s="7">
        <f>'1 datos preparados'!O954</f>
        <v/>
      </c>
      <c r="Q961" s="7">
        <f>'1 datos preparados'!P954</f>
        <v/>
      </c>
      <c r="R961" s="7">
        <f>'1 datos preparados'!Q954</f>
        <v/>
      </c>
      <c r="S961" s="7">
        <f>'1 datos preparados'!R954</f>
        <v/>
      </c>
      <c r="T961" s="7">
        <f>'1 datos preparados'!S954</f>
        <v/>
      </c>
      <c r="U961" s="7">
        <f>'1 datos preparados'!T954</f>
        <v/>
      </c>
      <c r="V961" s="8">
        <f>$AE$12+D961*$AE$13+E961*$AE$14+F961*$AE$15+G961*$AE$16+H961*$AE$17+I961*$AE$18+J961*$AE$19+K961*$AE$20+L961*$AE$21+M961*$AE$22+N961*$AE$23+O961*$AE$24+P961*$AE$25+Q961*$AE$26+R961*$AE$27+S961*$AE$28+T961*$AE$29+U961*$AE$30</f>
        <v/>
      </c>
      <c r="W961" s="8">
        <f>1/(1+EXP(-V961))</f>
        <v/>
      </c>
      <c r="X961" s="9">
        <f>-IF(C961=1,LN(W961),LN(1-W961))</f>
        <v/>
      </c>
      <c r="Y961" s="8">
        <f>1</f>
        <v/>
      </c>
      <c r="Z961" s="9">
        <f>Y961*X961</f>
        <v/>
      </c>
      <c r="AA961" s="10">
        <f>IF(W961&gt;$AE$32,1,0)</f>
        <v/>
      </c>
      <c r="AB961">
        <f>IF(AA961=C961,1,0)</f>
        <v/>
      </c>
    </row>
    <row r="962">
      <c r="A962">
        <f>'1 datos preparados'!A955</f>
        <v/>
      </c>
      <c r="B962" s="5">
        <f>'1 datos preparados'!U955</f>
        <v/>
      </c>
      <c r="C962">
        <f>'1 datos preparados'!B955</f>
        <v/>
      </c>
      <c r="D962" s="7">
        <f>'1 datos preparados'!C955</f>
        <v/>
      </c>
      <c r="E962" s="7">
        <f>'1 datos preparados'!D955</f>
        <v/>
      </c>
      <c r="F962" s="7">
        <f>'1 datos preparados'!E955</f>
        <v/>
      </c>
      <c r="G962" s="7">
        <f>'1 datos preparados'!F955</f>
        <v/>
      </c>
      <c r="H962" s="7">
        <f>'1 datos preparados'!G955</f>
        <v/>
      </c>
      <c r="I962" s="7">
        <f>'1 datos preparados'!H955</f>
        <v/>
      </c>
      <c r="J962" s="7">
        <f>'1 datos preparados'!I955</f>
        <v/>
      </c>
      <c r="K962" s="7">
        <f>'1 datos preparados'!J955</f>
        <v/>
      </c>
      <c r="L962" s="7">
        <f>'1 datos preparados'!K955</f>
        <v/>
      </c>
      <c r="M962" s="7">
        <f>'1 datos preparados'!L955</f>
        <v/>
      </c>
      <c r="N962" s="7">
        <f>'1 datos preparados'!M955</f>
        <v/>
      </c>
      <c r="O962" s="7">
        <f>'1 datos preparados'!N955</f>
        <v/>
      </c>
      <c r="P962" s="7">
        <f>'1 datos preparados'!O955</f>
        <v/>
      </c>
      <c r="Q962" s="7">
        <f>'1 datos preparados'!P955</f>
        <v/>
      </c>
      <c r="R962" s="7">
        <f>'1 datos preparados'!Q955</f>
        <v/>
      </c>
      <c r="S962" s="7">
        <f>'1 datos preparados'!R955</f>
        <v/>
      </c>
      <c r="T962" s="7">
        <f>'1 datos preparados'!S955</f>
        <v/>
      </c>
      <c r="U962" s="7">
        <f>'1 datos preparados'!T955</f>
        <v/>
      </c>
      <c r="V962" s="8">
        <f>$AE$12+D962*$AE$13+E962*$AE$14+F962*$AE$15+G962*$AE$16+H962*$AE$17+I962*$AE$18+J962*$AE$19+K962*$AE$20+L962*$AE$21+M962*$AE$22+N962*$AE$23+O962*$AE$24+P962*$AE$25+Q962*$AE$26+R962*$AE$27+S962*$AE$28+T962*$AE$29+U962*$AE$30</f>
        <v/>
      </c>
      <c r="W962" s="8">
        <f>1/(1+EXP(-V962))</f>
        <v/>
      </c>
      <c r="X962" s="9">
        <f>-IF(C962=1,LN(W962),LN(1-W962))</f>
        <v/>
      </c>
      <c r="Y962" s="8">
        <f>1</f>
        <v/>
      </c>
      <c r="Z962" s="9">
        <f>Y962*X962</f>
        <v/>
      </c>
      <c r="AA962" s="10">
        <f>IF(W962&gt;$AE$32,1,0)</f>
        <v/>
      </c>
      <c r="AB962">
        <f>IF(AA962=C962,1,0)</f>
        <v/>
      </c>
    </row>
    <row r="963">
      <c r="A963">
        <f>'1 datos preparados'!A956</f>
        <v/>
      </c>
      <c r="B963" s="5">
        <f>'1 datos preparados'!U956</f>
        <v/>
      </c>
      <c r="C963">
        <f>'1 datos preparados'!B956</f>
        <v/>
      </c>
      <c r="D963" s="7">
        <f>'1 datos preparados'!C956</f>
        <v/>
      </c>
      <c r="E963" s="7">
        <f>'1 datos preparados'!D956</f>
        <v/>
      </c>
      <c r="F963" s="7">
        <f>'1 datos preparados'!E956</f>
        <v/>
      </c>
      <c r="G963" s="7">
        <f>'1 datos preparados'!F956</f>
        <v/>
      </c>
      <c r="H963" s="7">
        <f>'1 datos preparados'!G956</f>
        <v/>
      </c>
      <c r="I963" s="7">
        <f>'1 datos preparados'!H956</f>
        <v/>
      </c>
      <c r="J963" s="7">
        <f>'1 datos preparados'!I956</f>
        <v/>
      </c>
      <c r="K963" s="7">
        <f>'1 datos preparados'!J956</f>
        <v/>
      </c>
      <c r="L963" s="7">
        <f>'1 datos preparados'!K956</f>
        <v/>
      </c>
      <c r="M963" s="7">
        <f>'1 datos preparados'!L956</f>
        <v/>
      </c>
      <c r="N963" s="7">
        <f>'1 datos preparados'!M956</f>
        <v/>
      </c>
      <c r="O963" s="7">
        <f>'1 datos preparados'!N956</f>
        <v/>
      </c>
      <c r="P963" s="7">
        <f>'1 datos preparados'!O956</f>
        <v/>
      </c>
      <c r="Q963" s="7">
        <f>'1 datos preparados'!P956</f>
        <v/>
      </c>
      <c r="R963" s="7">
        <f>'1 datos preparados'!Q956</f>
        <v/>
      </c>
      <c r="S963" s="7">
        <f>'1 datos preparados'!R956</f>
        <v/>
      </c>
      <c r="T963" s="7">
        <f>'1 datos preparados'!S956</f>
        <v/>
      </c>
      <c r="U963" s="7">
        <f>'1 datos preparados'!T956</f>
        <v/>
      </c>
      <c r="V963" s="8">
        <f>$AE$12+D963*$AE$13+E963*$AE$14+F963*$AE$15+G963*$AE$16+H963*$AE$17+I963*$AE$18+J963*$AE$19+K963*$AE$20+L963*$AE$21+M963*$AE$22+N963*$AE$23+O963*$AE$24+P963*$AE$25+Q963*$AE$26+R963*$AE$27+S963*$AE$28+T963*$AE$29+U963*$AE$30</f>
        <v/>
      </c>
      <c r="W963" s="8">
        <f>1/(1+EXP(-V963))</f>
        <v/>
      </c>
      <c r="X963" s="9">
        <f>-IF(C963=1,LN(W963),LN(1-W963))</f>
        <v/>
      </c>
      <c r="Y963" s="8">
        <f>1</f>
        <v/>
      </c>
      <c r="Z963" s="9">
        <f>Y963*X963</f>
        <v/>
      </c>
      <c r="AA963" s="10">
        <f>IF(W963&gt;$AE$32,1,0)</f>
        <v/>
      </c>
      <c r="AB963">
        <f>IF(AA963=C963,1,0)</f>
        <v/>
      </c>
    </row>
    <row r="964">
      <c r="A964">
        <f>'1 datos preparados'!A957</f>
        <v/>
      </c>
      <c r="B964" s="5">
        <f>'1 datos preparados'!U957</f>
        <v/>
      </c>
      <c r="C964">
        <f>'1 datos preparados'!B957</f>
        <v/>
      </c>
      <c r="D964" s="7">
        <f>'1 datos preparados'!C957</f>
        <v/>
      </c>
      <c r="E964" s="7">
        <f>'1 datos preparados'!D957</f>
        <v/>
      </c>
      <c r="F964" s="7">
        <f>'1 datos preparados'!E957</f>
        <v/>
      </c>
      <c r="G964" s="7">
        <f>'1 datos preparados'!F957</f>
        <v/>
      </c>
      <c r="H964" s="7">
        <f>'1 datos preparados'!G957</f>
        <v/>
      </c>
      <c r="I964" s="7">
        <f>'1 datos preparados'!H957</f>
        <v/>
      </c>
      <c r="J964" s="7">
        <f>'1 datos preparados'!I957</f>
        <v/>
      </c>
      <c r="K964" s="7">
        <f>'1 datos preparados'!J957</f>
        <v/>
      </c>
      <c r="L964" s="7">
        <f>'1 datos preparados'!K957</f>
        <v/>
      </c>
      <c r="M964" s="7">
        <f>'1 datos preparados'!L957</f>
        <v/>
      </c>
      <c r="N964" s="7">
        <f>'1 datos preparados'!M957</f>
        <v/>
      </c>
      <c r="O964" s="7">
        <f>'1 datos preparados'!N957</f>
        <v/>
      </c>
      <c r="P964" s="7">
        <f>'1 datos preparados'!O957</f>
        <v/>
      </c>
      <c r="Q964" s="7">
        <f>'1 datos preparados'!P957</f>
        <v/>
      </c>
      <c r="R964" s="7">
        <f>'1 datos preparados'!Q957</f>
        <v/>
      </c>
      <c r="S964" s="7">
        <f>'1 datos preparados'!R957</f>
        <v/>
      </c>
      <c r="T964" s="7">
        <f>'1 datos preparados'!S957</f>
        <v/>
      </c>
      <c r="U964" s="7">
        <f>'1 datos preparados'!T957</f>
        <v/>
      </c>
      <c r="V964" s="8">
        <f>$AE$12+D964*$AE$13+E964*$AE$14+F964*$AE$15+G964*$AE$16+H964*$AE$17+I964*$AE$18+J964*$AE$19+K964*$AE$20+L964*$AE$21+M964*$AE$22+N964*$AE$23+O964*$AE$24+P964*$AE$25+Q964*$AE$26+R964*$AE$27+S964*$AE$28+T964*$AE$29+U964*$AE$30</f>
        <v/>
      </c>
      <c r="W964" s="8">
        <f>1/(1+EXP(-V964))</f>
        <v/>
      </c>
      <c r="X964" s="9">
        <f>-IF(C964=1,LN(W964),LN(1-W964))</f>
        <v/>
      </c>
      <c r="Y964" s="8">
        <f>1</f>
        <v/>
      </c>
      <c r="Z964" s="9">
        <f>Y964*X964</f>
        <v/>
      </c>
      <c r="AA964" s="10">
        <f>IF(W964&gt;$AE$32,1,0)</f>
        <v/>
      </c>
      <c r="AB964">
        <f>IF(AA964=C964,1,0)</f>
        <v/>
      </c>
    </row>
    <row r="965">
      <c r="A965">
        <f>'1 datos preparados'!A958</f>
        <v/>
      </c>
      <c r="B965" s="5">
        <f>'1 datos preparados'!U958</f>
        <v/>
      </c>
      <c r="C965">
        <f>'1 datos preparados'!B958</f>
        <v/>
      </c>
      <c r="D965" s="7">
        <f>'1 datos preparados'!C958</f>
        <v/>
      </c>
      <c r="E965" s="7">
        <f>'1 datos preparados'!D958</f>
        <v/>
      </c>
      <c r="F965" s="7">
        <f>'1 datos preparados'!E958</f>
        <v/>
      </c>
      <c r="G965" s="7">
        <f>'1 datos preparados'!F958</f>
        <v/>
      </c>
      <c r="H965" s="7">
        <f>'1 datos preparados'!G958</f>
        <v/>
      </c>
      <c r="I965" s="7">
        <f>'1 datos preparados'!H958</f>
        <v/>
      </c>
      <c r="J965" s="7">
        <f>'1 datos preparados'!I958</f>
        <v/>
      </c>
      <c r="K965" s="7">
        <f>'1 datos preparados'!J958</f>
        <v/>
      </c>
      <c r="L965" s="7">
        <f>'1 datos preparados'!K958</f>
        <v/>
      </c>
      <c r="M965" s="7">
        <f>'1 datos preparados'!L958</f>
        <v/>
      </c>
      <c r="N965" s="7">
        <f>'1 datos preparados'!M958</f>
        <v/>
      </c>
      <c r="O965" s="7">
        <f>'1 datos preparados'!N958</f>
        <v/>
      </c>
      <c r="P965" s="7">
        <f>'1 datos preparados'!O958</f>
        <v/>
      </c>
      <c r="Q965" s="7">
        <f>'1 datos preparados'!P958</f>
        <v/>
      </c>
      <c r="R965" s="7">
        <f>'1 datos preparados'!Q958</f>
        <v/>
      </c>
      <c r="S965" s="7">
        <f>'1 datos preparados'!R958</f>
        <v/>
      </c>
      <c r="T965" s="7">
        <f>'1 datos preparados'!S958</f>
        <v/>
      </c>
      <c r="U965" s="7">
        <f>'1 datos preparados'!T958</f>
        <v/>
      </c>
      <c r="V965" s="8">
        <f>$AE$12+D965*$AE$13+E965*$AE$14+F965*$AE$15+G965*$AE$16+H965*$AE$17+I965*$AE$18+J965*$AE$19+K965*$AE$20+L965*$AE$21+M965*$AE$22+N965*$AE$23+O965*$AE$24+P965*$AE$25+Q965*$AE$26+R965*$AE$27+S965*$AE$28+T965*$AE$29+U965*$AE$30</f>
        <v/>
      </c>
      <c r="W965" s="8">
        <f>1/(1+EXP(-V965))</f>
        <v/>
      </c>
      <c r="X965" s="9">
        <f>-IF(C965=1,LN(W965),LN(1-W965))</f>
        <v/>
      </c>
      <c r="Y965" s="8">
        <f>1</f>
        <v/>
      </c>
      <c r="Z965" s="9">
        <f>Y965*X965</f>
        <v/>
      </c>
      <c r="AA965" s="10">
        <f>IF(W965&gt;$AE$32,1,0)</f>
        <v/>
      </c>
      <c r="AB965">
        <f>IF(AA965=C965,1,0)</f>
        <v/>
      </c>
    </row>
    <row r="966">
      <c r="A966">
        <f>'1 datos preparados'!A959</f>
        <v/>
      </c>
      <c r="B966" s="5">
        <f>'1 datos preparados'!U959</f>
        <v/>
      </c>
      <c r="C966">
        <f>'1 datos preparados'!B959</f>
        <v/>
      </c>
      <c r="D966" s="7">
        <f>'1 datos preparados'!C959</f>
        <v/>
      </c>
      <c r="E966" s="7">
        <f>'1 datos preparados'!D959</f>
        <v/>
      </c>
      <c r="F966" s="7">
        <f>'1 datos preparados'!E959</f>
        <v/>
      </c>
      <c r="G966" s="7">
        <f>'1 datos preparados'!F959</f>
        <v/>
      </c>
      <c r="H966" s="7">
        <f>'1 datos preparados'!G959</f>
        <v/>
      </c>
      <c r="I966" s="7">
        <f>'1 datos preparados'!H959</f>
        <v/>
      </c>
      <c r="J966" s="7">
        <f>'1 datos preparados'!I959</f>
        <v/>
      </c>
      <c r="K966" s="7">
        <f>'1 datos preparados'!J959</f>
        <v/>
      </c>
      <c r="L966" s="7">
        <f>'1 datos preparados'!K959</f>
        <v/>
      </c>
      <c r="M966" s="7">
        <f>'1 datos preparados'!L959</f>
        <v/>
      </c>
      <c r="N966" s="7">
        <f>'1 datos preparados'!M959</f>
        <v/>
      </c>
      <c r="O966" s="7">
        <f>'1 datos preparados'!N959</f>
        <v/>
      </c>
      <c r="P966" s="7">
        <f>'1 datos preparados'!O959</f>
        <v/>
      </c>
      <c r="Q966" s="7">
        <f>'1 datos preparados'!P959</f>
        <v/>
      </c>
      <c r="R966" s="7">
        <f>'1 datos preparados'!Q959</f>
        <v/>
      </c>
      <c r="S966" s="7">
        <f>'1 datos preparados'!R959</f>
        <v/>
      </c>
      <c r="T966" s="7">
        <f>'1 datos preparados'!S959</f>
        <v/>
      </c>
      <c r="U966" s="7">
        <f>'1 datos preparados'!T959</f>
        <v/>
      </c>
      <c r="V966" s="8">
        <f>$AE$12+D966*$AE$13+E966*$AE$14+F966*$AE$15+G966*$AE$16+H966*$AE$17+I966*$AE$18+J966*$AE$19+K966*$AE$20+L966*$AE$21+M966*$AE$22+N966*$AE$23+O966*$AE$24+P966*$AE$25+Q966*$AE$26+R966*$AE$27+S966*$AE$28+T966*$AE$29+U966*$AE$30</f>
        <v/>
      </c>
      <c r="W966" s="8">
        <f>1/(1+EXP(-V966))</f>
        <v/>
      </c>
      <c r="X966" s="9">
        <f>-IF(C966=1,LN(W966),LN(1-W966))</f>
        <v/>
      </c>
      <c r="Y966" s="8">
        <f>1</f>
        <v/>
      </c>
      <c r="Z966" s="9">
        <f>Y966*X966</f>
        <v/>
      </c>
      <c r="AA966" s="10">
        <f>IF(W966&gt;$AE$32,1,0)</f>
        <v/>
      </c>
      <c r="AB966">
        <f>IF(AA966=C966,1,0)</f>
        <v/>
      </c>
    </row>
    <row r="967">
      <c r="A967">
        <f>'1 datos preparados'!A960</f>
        <v/>
      </c>
      <c r="B967" s="5">
        <f>'1 datos preparados'!U960</f>
        <v/>
      </c>
      <c r="C967">
        <f>'1 datos preparados'!B960</f>
        <v/>
      </c>
      <c r="D967" s="7">
        <f>'1 datos preparados'!C960</f>
        <v/>
      </c>
      <c r="E967" s="7">
        <f>'1 datos preparados'!D960</f>
        <v/>
      </c>
      <c r="F967" s="7">
        <f>'1 datos preparados'!E960</f>
        <v/>
      </c>
      <c r="G967" s="7">
        <f>'1 datos preparados'!F960</f>
        <v/>
      </c>
      <c r="H967" s="7">
        <f>'1 datos preparados'!G960</f>
        <v/>
      </c>
      <c r="I967" s="7">
        <f>'1 datos preparados'!H960</f>
        <v/>
      </c>
      <c r="J967" s="7">
        <f>'1 datos preparados'!I960</f>
        <v/>
      </c>
      <c r="K967" s="7">
        <f>'1 datos preparados'!J960</f>
        <v/>
      </c>
      <c r="L967" s="7">
        <f>'1 datos preparados'!K960</f>
        <v/>
      </c>
      <c r="M967" s="7">
        <f>'1 datos preparados'!L960</f>
        <v/>
      </c>
      <c r="N967" s="7">
        <f>'1 datos preparados'!M960</f>
        <v/>
      </c>
      <c r="O967" s="7">
        <f>'1 datos preparados'!N960</f>
        <v/>
      </c>
      <c r="P967" s="7">
        <f>'1 datos preparados'!O960</f>
        <v/>
      </c>
      <c r="Q967" s="7">
        <f>'1 datos preparados'!P960</f>
        <v/>
      </c>
      <c r="R967" s="7">
        <f>'1 datos preparados'!Q960</f>
        <v/>
      </c>
      <c r="S967" s="7">
        <f>'1 datos preparados'!R960</f>
        <v/>
      </c>
      <c r="T967" s="7">
        <f>'1 datos preparados'!S960</f>
        <v/>
      </c>
      <c r="U967" s="7">
        <f>'1 datos preparados'!T960</f>
        <v/>
      </c>
      <c r="V967" s="8">
        <f>$AE$12+D967*$AE$13+E967*$AE$14+F967*$AE$15+G967*$AE$16+H967*$AE$17+I967*$AE$18+J967*$AE$19+K967*$AE$20+L967*$AE$21+M967*$AE$22+N967*$AE$23+O967*$AE$24+P967*$AE$25+Q967*$AE$26+R967*$AE$27+S967*$AE$28+T967*$AE$29+U967*$AE$30</f>
        <v/>
      </c>
      <c r="W967" s="8">
        <f>1/(1+EXP(-V967))</f>
        <v/>
      </c>
      <c r="X967" s="9">
        <f>-IF(C967=1,LN(W967),LN(1-W967))</f>
        <v/>
      </c>
      <c r="Y967" s="8">
        <f>1</f>
        <v/>
      </c>
      <c r="Z967" s="9">
        <f>Y967*X967</f>
        <v/>
      </c>
      <c r="AA967" s="10">
        <f>IF(W967&gt;$AE$32,1,0)</f>
        <v/>
      </c>
      <c r="AB967">
        <f>IF(AA967=C967,1,0)</f>
        <v/>
      </c>
    </row>
    <row r="968">
      <c r="A968">
        <f>'1 datos preparados'!A961</f>
        <v/>
      </c>
      <c r="B968" s="5">
        <f>'1 datos preparados'!U961</f>
        <v/>
      </c>
      <c r="C968">
        <f>'1 datos preparados'!B961</f>
        <v/>
      </c>
      <c r="D968" s="7">
        <f>'1 datos preparados'!C961</f>
        <v/>
      </c>
      <c r="E968" s="7">
        <f>'1 datos preparados'!D961</f>
        <v/>
      </c>
      <c r="F968" s="7">
        <f>'1 datos preparados'!E961</f>
        <v/>
      </c>
      <c r="G968" s="7">
        <f>'1 datos preparados'!F961</f>
        <v/>
      </c>
      <c r="H968" s="7">
        <f>'1 datos preparados'!G961</f>
        <v/>
      </c>
      <c r="I968" s="7">
        <f>'1 datos preparados'!H961</f>
        <v/>
      </c>
      <c r="J968" s="7">
        <f>'1 datos preparados'!I961</f>
        <v/>
      </c>
      <c r="K968" s="7">
        <f>'1 datos preparados'!J961</f>
        <v/>
      </c>
      <c r="L968" s="7">
        <f>'1 datos preparados'!K961</f>
        <v/>
      </c>
      <c r="M968" s="7">
        <f>'1 datos preparados'!L961</f>
        <v/>
      </c>
      <c r="N968" s="7">
        <f>'1 datos preparados'!M961</f>
        <v/>
      </c>
      <c r="O968" s="7">
        <f>'1 datos preparados'!N961</f>
        <v/>
      </c>
      <c r="P968" s="7">
        <f>'1 datos preparados'!O961</f>
        <v/>
      </c>
      <c r="Q968" s="7">
        <f>'1 datos preparados'!P961</f>
        <v/>
      </c>
      <c r="R968" s="7">
        <f>'1 datos preparados'!Q961</f>
        <v/>
      </c>
      <c r="S968" s="7">
        <f>'1 datos preparados'!R961</f>
        <v/>
      </c>
      <c r="T968" s="7">
        <f>'1 datos preparados'!S961</f>
        <v/>
      </c>
      <c r="U968" s="7">
        <f>'1 datos preparados'!T961</f>
        <v/>
      </c>
      <c r="V968" s="8">
        <f>$AE$12+D968*$AE$13+E968*$AE$14+F968*$AE$15+G968*$AE$16+H968*$AE$17+I968*$AE$18+J968*$AE$19+K968*$AE$20+L968*$AE$21+M968*$AE$22+N968*$AE$23+O968*$AE$24+P968*$AE$25+Q968*$AE$26+R968*$AE$27+S968*$AE$28+T968*$AE$29+U968*$AE$30</f>
        <v/>
      </c>
      <c r="W968" s="8">
        <f>1/(1+EXP(-V968))</f>
        <v/>
      </c>
      <c r="X968" s="9">
        <f>-IF(C968=1,LN(W968),LN(1-W968))</f>
        <v/>
      </c>
      <c r="Y968" s="8">
        <f>1</f>
        <v/>
      </c>
      <c r="Z968" s="9">
        <f>Y968*X968</f>
        <v/>
      </c>
      <c r="AA968" s="10">
        <f>IF(W968&gt;$AE$32,1,0)</f>
        <v/>
      </c>
      <c r="AB968">
        <f>IF(AA968=C968,1,0)</f>
        <v/>
      </c>
    </row>
    <row r="969">
      <c r="A969">
        <f>'1 datos preparados'!A962</f>
        <v/>
      </c>
      <c r="B969" s="5">
        <f>'1 datos preparados'!U962</f>
        <v/>
      </c>
      <c r="C969">
        <f>'1 datos preparados'!B962</f>
        <v/>
      </c>
      <c r="D969" s="7">
        <f>'1 datos preparados'!C962</f>
        <v/>
      </c>
      <c r="E969" s="7">
        <f>'1 datos preparados'!D962</f>
        <v/>
      </c>
      <c r="F969" s="7">
        <f>'1 datos preparados'!E962</f>
        <v/>
      </c>
      <c r="G969" s="7">
        <f>'1 datos preparados'!F962</f>
        <v/>
      </c>
      <c r="H969" s="7">
        <f>'1 datos preparados'!G962</f>
        <v/>
      </c>
      <c r="I969" s="7">
        <f>'1 datos preparados'!H962</f>
        <v/>
      </c>
      <c r="J969" s="7">
        <f>'1 datos preparados'!I962</f>
        <v/>
      </c>
      <c r="K969" s="7">
        <f>'1 datos preparados'!J962</f>
        <v/>
      </c>
      <c r="L969" s="7">
        <f>'1 datos preparados'!K962</f>
        <v/>
      </c>
      <c r="M969" s="7">
        <f>'1 datos preparados'!L962</f>
        <v/>
      </c>
      <c r="N969" s="7">
        <f>'1 datos preparados'!M962</f>
        <v/>
      </c>
      <c r="O969" s="7">
        <f>'1 datos preparados'!N962</f>
        <v/>
      </c>
      <c r="P969" s="7">
        <f>'1 datos preparados'!O962</f>
        <v/>
      </c>
      <c r="Q969" s="7">
        <f>'1 datos preparados'!P962</f>
        <v/>
      </c>
      <c r="R969" s="7">
        <f>'1 datos preparados'!Q962</f>
        <v/>
      </c>
      <c r="S969" s="7">
        <f>'1 datos preparados'!R962</f>
        <v/>
      </c>
      <c r="T969" s="7">
        <f>'1 datos preparados'!S962</f>
        <v/>
      </c>
      <c r="U969" s="7">
        <f>'1 datos preparados'!T962</f>
        <v/>
      </c>
      <c r="V969" s="8">
        <f>$AE$12+D969*$AE$13+E969*$AE$14+F969*$AE$15+G969*$AE$16+H969*$AE$17+I969*$AE$18+J969*$AE$19+K969*$AE$20+L969*$AE$21+M969*$AE$22+N969*$AE$23+O969*$AE$24+P969*$AE$25+Q969*$AE$26+R969*$AE$27+S969*$AE$28+T969*$AE$29+U969*$AE$30</f>
        <v/>
      </c>
      <c r="W969" s="8">
        <f>1/(1+EXP(-V969))</f>
        <v/>
      </c>
      <c r="X969" s="9">
        <f>-IF(C969=1,LN(W969),LN(1-W969))</f>
        <v/>
      </c>
      <c r="Y969" s="8">
        <f>1</f>
        <v/>
      </c>
      <c r="Z969" s="9">
        <f>Y969*X969</f>
        <v/>
      </c>
      <c r="AA969" s="10">
        <f>IF(W969&gt;$AE$32,1,0)</f>
        <v/>
      </c>
      <c r="AB969">
        <f>IF(AA969=C969,1,0)</f>
        <v/>
      </c>
    </row>
    <row r="970">
      <c r="A970">
        <f>'1 datos preparados'!A963</f>
        <v/>
      </c>
      <c r="B970" s="5">
        <f>'1 datos preparados'!U963</f>
        <v/>
      </c>
      <c r="C970">
        <f>'1 datos preparados'!B963</f>
        <v/>
      </c>
      <c r="D970" s="7">
        <f>'1 datos preparados'!C963</f>
        <v/>
      </c>
      <c r="E970" s="7">
        <f>'1 datos preparados'!D963</f>
        <v/>
      </c>
      <c r="F970" s="7">
        <f>'1 datos preparados'!E963</f>
        <v/>
      </c>
      <c r="G970" s="7">
        <f>'1 datos preparados'!F963</f>
        <v/>
      </c>
      <c r="H970" s="7">
        <f>'1 datos preparados'!G963</f>
        <v/>
      </c>
      <c r="I970" s="7">
        <f>'1 datos preparados'!H963</f>
        <v/>
      </c>
      <c r="J970" s="7">
        <f>'1 datos preparados'!I963</f>
        <v/>
      </c>
      <c r="K970" s="7">
        <f>'1 datos preparados'!J963</f>
        <v/>
      </c>
      <c r="L970" s="7">
        <f>'1 datos preparados'!K963</f>
        <v/>
      </c>
      <c r="M970" s="7">
        <f>'1 datos preparados'!L963</f>
        <v/>
      </c>
      <c r="N970" s="7">
        <f>'1 datos preparados'!M963</f>
        <v/>
      </c>
      <c r="O970" s="7">
        <f>'1 datos preparados'!N963</f>
        <v/>
      </c>
      <c r="P970" s="7">
        <f>'1 datos preparados'!O963</f>
        <v/>
      </c>
      <c r="Q970" s="7">
        <f>'1 datos preparados'!P963</f>
        <v/>
      </c>
      <c r="R970" s="7">
        <f>'1 datos preparados'!Q963</f>
        <v/>
      </c>
      <c r="S970" s="7">
        <f>'1 datos preparados'!R963</f>
        <v/>
      </c>
      <c r="T970" s="7">
        <f>'1 datos preparados'!S963</f>
        <v/>
      </c>
      <c r="U970" s="7">
        <f>'1 datos preparados'!T963</f>
        <v/>
      </c>
      <c r="V970" s="8">
        <f>$AE$12+D970*$AE$13+E970*$AE$14+F970*$AE$15+G970*$AE$16+H970*$AE$17+I970*$AE$18+J970*$AE$19+K970*$AE$20+L970*$AE$21+M970*$AE$22+N970*$AE$23+O970*$AE$24+P970*$AE$25+Q970*$AE$26+R970*$AE$27+S970*$AE$28+T970*$AE$29+U970*$AE$30</f>
        <v/>
      </c>
      <c r="W970" s="8">
        <f>1/(1+EXP(-V970))</f>
        <v/>
      </c>
      <c r="X970" s="9">
        <f>-IF(C970=1,LN(W970),LN(1-W970))</f>
        <v/>
      </c>
      <c r="Y970" s="8">
        <f>1</f>
        <v/>
      </c>
      <c r="Z970" s="9">
        <f>Y970*X970</f>
        <v/>
      </c>
      <c r="AA970" s="10">
        <f>IF(W970&gt;$AE$32,1,0)</f>
        <v/>
      </c>
      <c r="AB970">
        <f>IF(AA970=C970,1,0)</f>
        <v/>
      </c>
    </row>
    <row r="971">
      <c r="A971">
        <f>'1 datos preparados'!A964</f>
        <v/>
      </c>
      <c r="B971" s="5">
        <f>'1 datos preparados'!U964</f>
        <v/>
      </c>
      <c r="C971">
        <f>'1 datos preparados'!B964</f>
        <v/>
      </c>
      <c r="D971" s="7">
        <f>'1 datos preparados'!C964</f>
        <v/>
      </c>
      <c r="E971" s="7">
        <f>'1 datos preparados'!D964</f>
        <v/>
      </c>
      <c r="F971" s="7">
        <f>'1 datos preparados'!E964</f>
        <v/>
      </c>
      <c r="G971" s="7">
        <f>'1 datos preparados'!F964</f>
        <v/>
      </c>
      <c r="H971" s="7">
        <f>'1 datos preparados'!G964</f>
        <v/>
      </c>
      <c r="I971" s="7">
        <f>'1 datos preparados'!H964</f>
        <v/>
      </c>
      <c r="J971" s="7">
        <f>'1 datos preparados'!I964</f>
        <v/>
      </c>
      <c r="K971" s="7">
        <f>'1 datos preparados'!J964</f>
        <v/>
      </c>
      <c r="L971" s="7">
        <f>'1 datos preparados'!K964</f>
        <v/>
      </c>
      <c r="M971" s="7">
        <f>'1 datos preparados'!L964</f>
        <v/>
      </c>
      <c r="N971" s="7">
        <f>'1 datos preparados'!M964</f>
        <v/>
      </c>
      <c r="O971" s="7">
        <f>'1 datos preparados'!N964</f>
        <v/>
      </c>
      <c r="P971" s="7">
        <f>'1 datos preparados'!O964</f>
        <v/>
      </c>
      <c r="Q971" s="7">
        <f>'1 datos preparados'!P964</f>
        <v/>
      </c>
      <c r="R971" s="7">
        <f>'1 datos preparados'!Q964</f>
        <v/>
      </c>
      <c r="S971" s="7">
        <f>'1 datos preparados'!R964</f>
        <v/>
      </c>
      <c r="T971" s="7">
        <f>'1 datos preparados'!S964</f>
        <v/>
      </c>
      <c r="U971" s="7">
        <f>'1 datos preparados'!T964</f>
        <v/>
      </c>
      <c r="V971" s="8">
        <f>$AE$12+D971*$AE$13+E971*$AE$14+F971*$AE$15+G971*$AE$16+H971*$AE$17+I971*$AE$18+J971*$AE$19+K971*$AE$20+L971*$AE$21+M971*$AE$22+N971*$AE$23+O971*$AE$24+P971*$AE$25+Q971*$AE$26+R971*$AE$27+S971*$AE$28+T971*$AE$29+U971*$AE$30</f>
        <v/>
      </c>
      <c r="W971" s="8">
        <f>1/(1+EXP(-V971))</f>
        <v/>
      </c>
      <c r="X971" s="9">
        <f>-IF(C971=1,LN(W971),LN(1-W971))</f>
        <v/>
      </c>
      <c r="Y971" s="8">
        <f>1</f>
        <v/>
      </c>
      <c r="Z971" s="9">
        <f>Y971*X971</f>
        <v/>
      </c>
      <c r="AA971" s="10">
        <f>IF(W971&gt;$AE$32,1,0)</f>
        <v/>
      </c>
      <c r="AB971">
        <f>IF(AA971=C971,1,0)</f>
        <v/>
      </c>
    </row>
    <row r="972">
      <c r="A972">
        <f>'1 datos preparados'!A965</f>
        <v/>
      </c>
      <c r="B972" s="5">
        <f>'1 datos preparados'!U965</f>
        <v/>
      </c>
      <c r="C972">
        <f>'1 datos preparados'!B965</f>
        <v/>
      </c>
      <c r="D972" s="7">
        <f>'1 datos preparados'!C965</f>
        <v/>
      </c>
      <c r="E972" s="7">
        <f>'1 datos preparados'!D965</f>
        <v/>
      </c>
      <c r="F972" s="7">
        <f>'1 datos preparados'!E965</f>
        <v/>
      </c>
      <c r="G972" s="7">
        <f>'1 datos preparados'!F965</f>
        <v/>
      </c>
      <c r="H972" s="7">
        <f>'1 datos preparados'!G965</f>
        <v/>
      </c>
      <c r="I972" s="7">
        <f>'1 datos preparados'!H965</f>
        <v/>
      </c>
      <c r="J972" s="7">
        <f>'1 datos preparados'!I965</f>
        <v/>
      </c>
      <c r="K972" s="7">
        <f>'1 datos preparados'!J965</f>
        <v/>
      </c>
      <c r="L972" s="7">
        <f>'1 datos preparados'!K965</f>
        <v/>
      </c>
      <c r="M972" s="7">
        <f>'1 datos preparados'!L965</f>
        <v/>
      </c>
      <c r="N972" s="7">
        <f>'1 datos preparados'!M965</f>
        <v/>
      </c>
      <c r="O972" s="7">
        <f>'1 datos preparados'!N965</f>
        <v/>
      </c>
      <c r="P972" s="7">
        <f>'1 datos preparados'!O965</f>
        <v/>
      </c>
      <c r="Q972" s="7">
        <f>'1 datos preparados'!P965</f>
        <v/>
      </c>
      <c r="R972" s="7">
        <f>'1 datos preparados'!Q965</f>
        <v/>
      </c>
      <c r="S972" s="7">
        <f>'1 datos preparados'!R965</f>
        <v/>
      </c>
      <c r="T972" s="7">
        <f>'1 datos preparados'!S965</f>
        <v/>
      </c>
      <c r="U972" s="7">
        <f>'1 datos preparados'!T965</f>
        <v/>
      </c>
      <c r="V972" s="8">
        <f>$AE$12+D972*$AE$13+E972*$AE$14+F972*$AE$15+G972*$AE$16+H972*$AE$17+I972*$AE$18+J972*$AE$19+K972*$AE$20+L972*$AE$21+M972*$AE$22+N972*$AE$23+O972*$AE$24+P972*$AE$25+Q972*$AE$26+R972*$AE$27+S972*$AE$28+T972*$AE$29+U972*$AE$30</f>
        <v/>
      </c>
      <c r="W972" s="8">
        <f>1/(1+EXP(-V972))</f>
        <v/>
      </c>
      <c r="X972" s="9">
        <f>-IF(C972=1,LN(W972),LN(1-W972))</f>
        <v/>
      </c>
      <c r="Y972" s="8">
        <f>1</f>
        <v/>
      </c>
      <c r="Z972" s="9">
        <f>Y972*X972</f>
        <v/>
      </c>
      <c r="AA972" s="10">
        <f>IF(W972&gt;$AE$32,1,0)</f>
        <v/>
      </c>
      <c r="AB972">
        <f>IF(AA972=C972,1,0)</f>
        <v/>
      </c>
    </row>
    <row r="973">
      <c r="A973">
        <f>'1 datos preparados'!A966</f>
        <v/>
      </c>
      <c r="B973" s="5">
        <f>'1 datos preparados'!U966</f>
        <v/>
      </c>
      <c r="C973">
        <f>'1 datos preparados'!B966</f>
        <v/>
      </c>
      <c r="D973" s="7">
        <f>'1 datos preparados'!C966</f>
        <v/>
      </c>
      <c r="E973" s="7">
        <f>'1 datos preparados'!D966</f>
        <v/>
      </c>
      <c r="F973" s="7">
        <f>'1 datos preparados'!E966</f>
        <v/>
      </c>
      <c r="G973" s="7">
        <f>'1 datos preparados'!F966</f>
        <v/>
      </c>
      <c r="H973" s="7">
        <f>'1 datos preparados'!G966</f>
        <v/>
      </c>
      <c r="I973" s="7">
        <f>'1 datos preparados'!H966</f>
        <v/>
      </c>
      <c r="J973" s="7">
        <f>'1 datos preparados'!I966</f>
        <v/>
      </c>
      <c r="K973" s="7">
        <f>'1 datos preparados'!J966</f>
        <v/>
      </c>
      <c r="L973" s="7">
        <f>'1 datos preparados'!K966</f>
        <v/>
      </c>
      <c r="M973" s="7">
        <f>'1 datos preparados'!L966</f>
        <v/>
      </c>
      <c r="N973" s="7">
        <f>'1 datos preparados'!M966</f>
        <v/>
      </c>
      <c r="O973" s="7">
        <f>'1 datos preparados'!N966</f>
        <v/>
      </c>
      <c r="P973" s="7">
        <f>'1 datos preparados'!O966</f>
        <v/>
      </c>
      <c r="Q973" s="7">
        <f>'1 datos preparados'!P966</f>
        <v/>
      </c>
      <c r="R973" s="7">
        <f>'1 datos preparados'!Q966</f>
        <v/>
      </c>
      <c r="S973" s="7">
        <f>'1 datos preparados'!R966</f>
        <v/>
      </c>
      <c r="T973" s="7">
        <f>'1 datos preparados'!S966</f>
        <v/>
      </c>
      <c r="U973" s="7">
        <f>'1 datos preparados'!T966</f>
        <v/>
      </c>
      <c r="V973" s="8">
        <f>$AE$12+D973*$AE$13+E973*$AE$14+F973*$AE$15+G973*$AE$16+H973*$AE$17+I973*$AE$18+J973*$AE$19+K973*$AE$20+L973*$AE$21+M973*$AE$22+N973*$AE$23+O973*$AE$24+P973*$AE$25+Q973*$AE$26+R973*$AE$27+S973*$AE$28+T973*$AE$29+U973*$AE$30</f>
        <v/>
      </c>
      <c r="W973" s="8">
        <f>1/(1+EXP(-V973))</f>
        <v/>
      </c>
      <c r="X973" s="9">
        <f>-IF(C973=1,LN(W973),LN(1-W973))</f>
        <v/>
      </c>
      <c r="Y973" s="8">
        <f>1</f>
        <v/>
      </c>
      <c r="Z973" s="9">
        <f>Y973*X973</f>
        <v/>
      </c>
      <c r="AA973" s="10">
        <f>IF(W973&gt;$AE$32,1,0)</f>
        <v/>
      </c>
      <c r="AB973">
        <f>IF(AA973=C973,1,0)</f>
        <v/>
      </c>
    </row>
    <row r="974">
      <c r="A974">
        <f>'1 datos preparados'!A967</f>
        <v/>
      </c>
      <c r="B974" s="5">
        <f>'1 datos preparados'!U967</f>
        <v/>
      </c>
      <c r="C974">
        <f>'1 datos preparados'!B967</f>
        <v/>
      </c>
      <c r="D974" s="7">
        <f>'1 datos preparados'!C967</f>
        <v/>
      </c>
      <c r="E974" s="7">
        <f>'1 datos preparados'!D967</f>
        <v/>
      </c>
      <c r="F974" s="7">
        <f>'1 datos preparados'!E967</f>
        <v/>
      </c>
      <c r="G974" s="7">
        <f>'1 datos preparados'!F967</f>
        <v/>
      </c>
      <c r="H974" s="7">
        <f>'1 datos preparados'!G967</f>
        <v/>
      </c>
      <c r="I974" s="7">
        <f>'1 datos preparados'!H967</f>
        <v/>
      </c>
      <c r="J974" s="7">
        <f>'1 datos preparados'!I967</f>
        <v/>
      </c>
      <c r="K974" s="7">
        <f>'1 datos preparados'!J967</f>
        <v/>
      </c>
      <c r="L974" s="7">
        <f>'1 datos preparados'!K967</f>
        <v/>
      </c>
      <c r="M974" s="7">
        <f>'1 datos preparados'!L967</f>
        <v/>
      </c>
      <c r="N974" s="7">
        <f>'1 datos preparados'!M967</f>
        <v/>
      </c>
      <c r="O974" s="7">
        <f>'1 datos preparados'!N967</f>
        <v/>
      </c>
      <c r="P974" s="7">
        <f>'1 datos preparados'!O967</f>
        <v/>
      </c>
      <c r="Q974" s="7">
        <f>'1 datos preparados'!P967</f>
        <v/>
      </c>
      <c r="R974" s="7">
        <f>'1 datos preparados'!Q967</f>
        <v/>
      </c>
      <c r="S974" s="7">
        <f>'1 datos preparados'!R967</f>
        <v/>
      </c>
      <c r="T974" s="7">
        <f>'1 datos preparados'!S967</f>
        <v/>
      </c>
      <c r="U974" s="7">
        <f>'1 datos preparados'!T967</f>
        <v/>
      </c>
      <c r="V974" s="8">
        <f>$AE$12+D974*$AE$13+E974*$AE$14+F974*$AE$15+G974*$AE$16+H974*$AE$17+I974*$AE$18+J974*$AE$19+K974*$AE$20+L974*$AE$21+M974*$AE$22+N974*$AE$23+O974*$AE$24+P974*$AE$25+Q974*$AE$26+R974*$AE$27+S974*$AE$28+T974*$AE$29+U974*$AE$30</f>
        <v/>
      </c>
      <c r="W974" s="8">
        <f>1/(1+EXP(-V974))</f>
        <v/>
      </c>
      <c r="X974" s="9">
        <f>-IF(C974=1,LN(W974),LN(1-W974))</f>
        <v/>
      </c>
      <c r="Y974" s="8">
        <f>1</f>
        <v/>
      </c>
      <c r="Z974" s="9">
        <f>Y974*X974</f>
        <v/>
      </c>
      <c r="AA974" s="10">
        <f>IF(W974&gt;$AE$32,1,0)</f>
        <v/>
      </c>
      <c r="AB974">
        <f>IF(AA974=C974,1,0)</f>
        <v/>
      </c>
    </row>
    <row r="975">
      <c r="A975">
        <f>'1 datos preparados'!A968</f>
        <v/>
      </c>
      <c r="B975" s="5">
        <f>'1 datos preparados'!U968</f>
        <v/>
      </c>
      <c r="C975">
        <f>'1 datos preparados'!B968</f>
        <v/>
      </c>
      <c r="D975" s="7">
        <f>'1 datos preparados'!C968</f>
        <v/>
      </c>
      <c r="E975" s="7">
        <f>'1 datos preparados'!D968</f>
        <v/>
      </c>
      <c r="F975" s="7">
        <f>'1 datos preparados'!E968</f>
        <v/>
      </c>
      <c r="G975" s="7">
        <f>'1 datos preparados'!F968</f>
        <v/>
      </c>
      <c r="H975" s="7">
        <f>'1 datos preparados'!G968</f>
        <v/>
      </c>
      <c r="I975" s="7">
        <f>'1 datos preparados'!H968</f>
        <v/>
      </c>
      <c r="J975" s="7">
        <f>'1 datos preparados'!I968</f>
        <v/>
      </c>
      <c r="K975" s="7">
        <f>'1 datos preparados'!J968</f>
        <v/>
      </c>
      <c r="L975" s="7">
        <f>'1 datos preparados'!K968</f>
        <v/>
      </c>
      <c r="M975" s="7">
        <f>'1 datos preparados'!L968</f>
        <v/>
      </c>
      <c r="N975" s="7">
        <f>'1 datos preparados'!M968</f>
        <v/>
      </c>
      <c r="O975" s="7">
        <f>'1 datos preparados'!N968</f>
        <v/>
      </c>
      <c r="P975" s="7">
        <f>'1 datos preparados'!O968</f>
        <v/>
      </c>
      <c r="Q975" s="7">
        <f>'1 datos preparados'!P968</f>
        <v/>
      </c>
      <c r="R975" s="7">
        <f>'1 datos preparados'!Q968</f>
        <v/>
      </c>
      <c r="S975" s="7">
        <f>'1 datos preparados'!R968</f>
        <v/>
      </c>
      <c r="T975" s="7">
        <f>'1 datos preparados'!S968</f>
        <v/>
      </c>
      <c r="U975" s="7">
        <f>'1 datos preparados'!T968</f>
        <v/>
      </c>
      <c r="V975" s="8">
        <f>$AE$12+D975*$AE$13+E975*$AE$14+F975*$AE$15+G975*$AE$16+H975*$AE$17+I975*$AE$18+J975*$AE$19+K975*$AE$20+L975*$AE$21+M975*$AE$22+N975*$AE$23+O975*$AE$24+P975*$AE$25+Q975*$AE$26+R975*$AE$27+S975*$AE$28+T975*$AE$29+U975*$AE$30</f>
        <v/>
      </c>
      <c r="W975" s="8">
        <f>1/(1+EXP(-V975))</f>
        <v/>
      </c>
      <c r="X975" s="9">
        <f>-IF(C975=1,LN(W975),LN(1-W975))</f>
        <v/>
      </c>
      <c r="Y975" s="8">
        <f>1</f>
        <v/>
      </c>
      <c r="Z975" s="9">
        <f>Y975*X975</f>
        <v/>
      </c>
      <c r="AA975" s="10">
        <f>IF(W975&gt;$AE$32,1,0)</f>
        <v/>
      </c>
      <c r="AB975">
        <f>IF(AA975=C975,1,0)</f>
        <v/>
      </c>
    </row>
    <row r="976">
      <c r="A976">
        <f>'1 datos preparados'!A969</f>
        <v/>
      </c>
      <c r="B976" s="5">
        <f>'1 datos preparados'!U969</f>
        <v/>
      </c>
      <c r="C976">
        <f>'1 datos preparados'!B969</f>
        <v/>
      </c>
      <c r="D976" s="7">
        <f>'1 datos preparados'!C969</f>
        <v/>
      </c>
      <c r="E976" s="7">
        <f>'1 datos preparados'!D969</f>
        <v/>
      </c>
      <c r="F976" s="7">
        <f>'1 datos preparados'!E969</f>
        <v/>
      </c>
      <c r="G976" s="7">
        <f>'1 datos preparados'!F969</f>
        <v/>
      </c>
      <c r="H976" s="7">
        <f>'1 datos preparados'!G969</f>
        <v/>
      </c>
      <c r="I976" s="7">
        <f>'1 datos preparados'!H969</f>
        <v/>
      </c>
      <c r="J976" s="7">
        <f>'1 datos preparados'!I969</f>
        <v/>
      </c>
      <c r="K976" s="7">
        <f>'1 datos preparados'!J969</f>
        <v/>
      </c>
      <c r="L976" s="7">
        <f>'1 datos preparados'!K969</f>
        <v/>
      </c>
      <c r="M976" s="7">
        <f>'1 datos preparados'!L969</f>
        <v/>
      </c>
      <c r="N976" s="7">
        <f>'1 datos preparados'!M969</f>
        <v/>
      </c>
      <c r="O976" s="7">
        <f>'1 datos preparados'!N969</f>
        <v/>
      </c>
      <c r="P976" s="7">
        <f>'1 datos preparados'!O969</f>
        <v/>
      </c>
      <c r="Q976" s="7">
        <f>'1 datos preparados'!P969</f>
        <v/>
      </c>
      <c r="R976" s="7">
        <f>'1 datos preparados'!Q969</f>
        <v/>
      </c>
      <c r="S976" s="7">
        <f>'1 datos preparados'!R969</f>
        <v/>
      </c>
      <c r="T976" s="7">
        <f>'1 datos preparados'!S969</f>
        <v/>
      </c>
      <c r="U976" s="7">
        <f>'1 datos preparados'!T969</f>
        <v/>
      </c>
      <c r="V976" s="8">
        <f>$AE$12+D976*$AE$13+E976*$AE$14+F976*$AE$15+G976*$AE$16+H976*$AE$17+I976*$AE$18+J976*$AE$19+K976*$AE$20+L976*$AE$21+M976*$AE$22+N976*$AE$23+O976*$AE$24+P976*$AE$25+Q976*$AE$26+R976*$AE$27+S976*$AE$28+T976*$AE$29+U976*$AE$30</f>
        <v/>
      </c>
      <c r="W976" s="8">
        <f>1/(1+EXP(-V976))</f>
        <v/>
      </c>
      <c r="X976" s="9">
        <f>-IF(C976=1,LN(W976),LN(1-W976))</f>
        <v/>
      </c>
      <c r="Y976" s="8">
        <f>1</f>
        <v/>
      </c>
      <c r="Z976" s="9">
        <f>Y976*X976</f>
        <v/>
      </c>
      <c r="AA976" s="10">
        <f>IF(W976&gt;$AE$32,1,0)</f>
        <v/>
      </c>
      <c r="AB976">
        <f>IF(AA976=C976,1,0)</f>
        <v/>
      </c>
    </row>
    <row r="977">
      <c r="A977">
        <f>'1 datos preparados'!A970</f>
        <v/>
      </c>
      <c r="B977" s="5">
        <f>'1 datos preparados'!U970</f>
        <v/>
      </c>
      <c r="C977">
        <f>'1 datos preparados'!B970</f>
        <v/>
      </c>
      <c r="D977" s="7">
        <f>'1 datos preparados'!C970</f>
        <v/>
      </c>
      <c r="E977" s="7">
        <f>'1 datos preparados'!D970</f>
        <v/>
      </c>
      <c r="F977" s="7">
        <f>'1 datos preparados'!E970</f>
        <v/>
      </c>
      <c r="G977" s="7">
        <f>'1 datos preparados'!F970</f>
        <v/>
      </c>
      <c r="H977" s="7">
        <f>'1 datos preparados'!G970</f>
        <v/>
      </c>
      <c r="I977" s="7">
        <f>'1 datos preparados'!H970</f>
        <v/>
      </c>
      <c r="J977" s="7">
        <f>'1 datos preparados'!I970</f>
        <v/>
      </c>
      <c r="K977" s="7">
        <f>'1 datos preparados'!J970</f>
        <v/>
      </c>
      <c r="L977" s="7">
        <f>'1 datos preparados'!K970</f>
        <v/>
      </c>
      <c r="M977" s="7">
        <f>'1 datos preparados'!L970</f>
        <v/>
      </c>
      <c r="N977" s="7">
        <f>'1 datos preparados'!M970</f>
        <v/>
      </c>
      <c r="O977" s="7">
        <f>'1 datos preparados'!N970</f>
        <v/>
      </c>
      <c r="P977" s="7">
        <f>'1 datos preparados'!O970</f>
        <v/>
      </c>
      <c r="Q977" s="7">
        <f>'1 datos preparados'!P970</f>
        <v/>
      </c>
      <c r="R977" s="7">
        <f>'1 datos preparados'!Q970</f>
        <v/>
      </c>
      <c r="S977" s="7">
        <f>'1 datos preparados'!R970</f>
        <v/>
      </c>
      <c r="T977" s="7">
        <f>'1 datos preparados'!S970</f>
        <v/>
      </c>
      <c r="U977" s="7">
        <f>'1 datos preparados'!T970</f>
        <v/>
      </c>
      <c r="V977" s="8">
        <f>$AE$12+D977*$AE$13+E977*$AE$14+F977*$AE$15+G977*$AE$16+H977*$AE$17+I977*$AE$18+J977*$AE$19+K977*$AE$20+L977*$AE$21+M977*$AE$22+N977*$AE$23+O977*$AE$24+P977*$AE$25+Q977*$AE$26+R977*$AE$27+S977*$AE$28+T977*$AE$29+U977*$AE$30</f>
        <v/>
      </c>
      <c r="W977" s="8">
        <f>1/(1+EXP(-V977))</f>
        <v/>
      </c>
      <c r="X977" s="9">
        <f>-IF(C977=1,LN(W977),LN(1-W977))</f>
        <v/>
      </c>
      <c r="Y977" s="8">
        <f>1</f>
        <v/>
      </c>
      <c r="Z977" s="9">
        <f>Y977*X977</f>
        <v/>
      </c>
      <c r="AA977" s="10">
        <f>IF(W977&gt;$AE$32,1,0)</f>
        <v/>
      </c>
      <c r="AB977">
        <f>IF(AA977=C977,1,0)</f>
        <v/>
      </c>
    </row>
    <row r="978">
      <c r="A978">
        <f>'1 datos preparados'!A971</f>
        <v/>
      </c>
      <c r="B978" s="5">
        <f>'1 datos preparados'!U971</f>
        <v/>
      </c>
      <c r="C978">
        <f>'1 datos preparados'!B971</f>
        <v/>
      </c>
      <c r="D978" s="7">
        <f>'1 datos preparados'!C971</f>
        <v/>
      </c>
      <c r="E978" s="7">
        <f>'1 datos preparados'!D971</f>
        <v/>
      </c>
      <c r="F978" s="7">
        <f>'1 datos preparados'!E971</f>
        <v/>
      </c>
      <c r="G978" s="7">
        <f>'1 datos preparados'!F971</f>
        <v/>
      </c>
      <c r="H978" s="7">
        <f>'1 datos preparados'!G971</f>
        <v/>
      </c>
      <c r="I978" s="7">
        <f>'1 datos preparados'!H971</f>
        <v/>
      </c>
      <c r="J978" s="7">
        <f>'1 datos preparados'!I971</f>
        <v/>
      </c>
      <c r="K978" s="7">
        <f>'1 datos preparados'!J971</f>
        <v/>
      </c>
      <c r="L978" s="7">
        <f>'1 datos preparados'!K971</f>
        <v/>
      </c>
      <c r="M978" s="7">
        <f>'1 datos preparados'!L971</f>
        <v/>
      </c>
      <c r="N978" s="7">
        <f>'1 datos preparados'!M971</f>
        <v/>
      </c>
      <c r="O978" s="7">
        <f>'1 datos preparados'!N971</f>
        <v/>
      </c>
      <c r="P978" s="7">
        <f>'1 datos preparados'!O971</f>
        <v/>
      </c>
      <c r="Q978" s="7">
        <f>'1 datos preparados'!P971</f>
        <v/>
      </c>
      <c r="R978" s="7">
        <f>'1 datos preparados'!Q971</f>
        <v/>
      </c>
      <c r="S978" s="7">
        <f>'1 datos preparados'!R971</f>
        <v/>
      </c>
      <c r="T978" s="7">
        <f>'1 datos preparados'!S971</f>
        <v/>
      </c>
      <c r="U978" s="7">
        <f>'1 datos preparados'!T971</f>
        <v/>
      </c>
      <c r="V978" s="8">
        <f>$AE$12+D978*$AE$13+E978*$AE$14+F978*$AE$15+G978*$AE$16+H978*$AE$17+I978*$AE$18+J978*$AE$19+K978*$AE$20+L978*$AE$21+M978*$AE$22+N978*$AE$23+O978*$AE$24+P978*$AE$25+Q978*$AE$26+R978*$AE$27+S978*$AE$28+T978*$AE$29+U978*$AE$30</f>
        <v/>
      </c>
      <c r="W978" s="8">
        <f>1/(1+EXP(-V978))</f>
        <v/>
      </c>
      <c r="X978" s="9">
        <f>-IF(C978=1,LN(W978),LN(1-W978))</f>
        <v/>
      </c>
      <c r="Y978" s="8">
        <f>1</f>
        <v/>
      </c>
      <c r="Z978" s="9">
        <f>Y978*X978</f>
        <v/>
      </c>
      <c r="AA978" s="10">
        <f>IF(W978&gt;$AE$32,1,0)</f>
        <v/>
      </c>
      <c r="AB978">
        <f>IF(AA978=C978,1,0)</f>
        <v/>
      </c>
    </row>
    <row r="979">
      <c r="A979">
        <f>'1 datos preparados'!A972</f>
        <v/>
      </c>
      <c r="B979" s="5">
        <f>'1 datos preparados'!U972</f>
        <v/>
      </c>
      <c r="C979">
        <f>'1 datos preparados'!B972</f>
        <v/>
      </c>
      <c r="D979" s="7">
        <f>'1 datos preparados'!C972</f>
        <v/>
      </c>
      <c r="E979" s="7">
        <f>'1 datos preparados'!D972</f>
        <v/>
      </c>
      <c r="F979" s="7">
        <f>'1 datos preparados'!E972</f>
        <v/>
      </c>
      <c r="G979" s="7">
        <f>'1 datos preparados'!F972</f>
        <v/>
      </c>
      <c r="H979" s="7">
        <f>'1 datos preparados'!G972</f>
        <v/>
      </c>
      <c r="I979" s="7">
        <f>'1 datos preparados'!H972</f>
        <v/>
      </c>
      <c r="J979" s="7">
        <f>'1 datos preparados'!I972</f>
        <v/>
      </c>
      <c r="K979" s="7">
        <f>'1 datos preparados'!J972</f>
        <v/>
      </c>
      <c r="L979" s="7">
        <f>'1 datos preparados'!K972</f>
        <v/>
      </c>
      <c r="M979" s="7">
        <f>'1 datos preparados'!L972</f>
        <v/>
      </c>
      <c r="N979" s="7">
        <f>'1 datos preparados'!M972</f>
        <v/>
      </c>
      <c r="O979" s="7">
        <f>'1 datos preparados'!N972</f>
        <v/>
      </c>
      <c r="P979" s="7">
        <f>'1 datos preparados'!O972</f>
        <v/>
      </c>
      <c r="Q979" s="7">
        <f>'1 datos preparados'!P972</f>
        <v/>
      </c>
      <c r="R979" s="7">
        <f>'1 datos preparados'!Q972</f>
        <v/>
      </c>
      <c r="S979" s="7">
        <f>'1 datos preparados'!R972</f>
        <v/>
      </c>
      <c r="T979" s="7">
        <f>'1 datos preparados'!S972</f>
        <v/>
      </c>
      <c r="U979" s="7">
        <f>'1 datos preparados'!T972</f>
        <v/>
      </c>
      <c r="V979" s="8">
        <f>$AE$12+D979*$AE$13+E979*$AE$14+F979*$AE$15+G979*$AE$16+H979*$AE$17+I979*$AE$18+J979*$AE$19+K979*$AE$20+L979*$AE$21+M979*$AE$22+N979*$AE$23+O979*$AE$24+P979*$AE$25+Q979*$AE$26+R979*$AE$27+S979*$AE$28+T979*$AE$29+U979*$AE$30</f>
        <v/>
      </c>
      <c r="W979" s="8">
        <f>1/(1+EXP(-V979))</f>
        <v/>
      </c>
      <c r="X979" s="9">
        <f>-IF(C979=1,LN(W979),LN(1-W979))</f>
        <v/>
      </c>
      <c r="Y979" s="8">
        <f>1</f>
        <v/>
      </c>
      <c r="Z979" s="9">
        <f>Y979*X979</f>
        <v/>
      </c>
      <c r="AA979" s="10">
        <f>IF(W979&gt;$AE$32,1,0)</f>
        <v/>
      </c>
      <c r="AB979">
        <f>IF(AA979=C979,1,0)</f>
        <v/>
      </c>
    </row>
    <row r="980">
      <c r="A980">
        <f>'1 datos preparados'!A973</f>
        <v/>
      </c>
      <c r="B980" s="5">
        <f>'1 datos preparados'!U973</f>
        <v/>
      </c>
      <c r="C980">
        <f>'1 datos preparados'!B973</f>
        <v/>
      </c>
      <c r="D980" s="7">
        <f>'1 datos preparados'!C973</f>
        <v/>
      </c>
      <c r="E980" s="7">
        <f>'1 datos preparados'!D973</f>
        <v/>
      </c>
      <c r="F980" s="7">
        <f>'1 datos preparados'!E973</f>
        <v/>
      </c>
      <c r="G980" s="7">
        <f>'1 datos preparados'!F973</f>
        <v/>
      </c>
      <c r="H980" s="7">
        <f>'1 datos preparados'!G973</f>
        <v/>
      </c>
      <c r="I980" s="7">
        <f>'1 datos preparados'!H973</f>
        <v/>
      </c>
      <c r="J980" s="7">
        <f>'1 datos preparados'!I973</f>
        <v/>
      </c>
      <c r="K980" s="7">
        <f>'1 datos preparados'!J973</f>
        <v/>
      </c>
      <c r="L980" s="7">
        <f>'1 datos preparados'!K973</f>
        <v/>
      </c>
      <c r="M980" s="7">
        <f>'1 datos preparados'!L973</f>
        <v/>
      </c>
      <c r="N980" s="7">
        <f>'1 datos preparados'!M973</f>
        <v/>
      </c>
      <c r="O980" s="7">
        <f>'1 datos preparados'!N973</f>
        <v/>
      </c>
      <c r="P980" s="7">
        <f>'1 datos preparados'!O973</f>
        <v/>
      </c>
      <c r="Q980" s="7">
        <f>'1 datos preparados'!P973</f>
        <v/>
      </c>
      <c r="R980" s="7">
        <f>'1 datos preparados'!Q973</f>
        <v/>
      </c>
      <c r="S980" s="7">
        <f>'1 datos preparados'!R973</f>
        <v/>
      </c>
      <c r="T980" s="7">
        <f>'1 datos preparados'!S973</f>
        <v/>
      </c>
      <c r="U980" s="7">
        <f>'1 datos preparados'!T973</f>
        <v/>
      </c>
      <c r="V980" s="8">
        <f>$AE$12+D980*$AE$13+E980*$AE$14+F980*$AE$15+G980*$AE$16+H980*$AE$17+I980*$AE$18+J980*$AE$19+K980*$AE$20+L980*$AE$21+M980*$AE$22+N980*$AE$23+O980*$AE$24+P980*$AE$25+Q980*$AE$26+R980*$AE$27+S980*$AE$28+T980*$AE$29+U980*$AE$30</f>
        <v/>
      </c>
      <c r="W980" s="8">
        <f>1/(1+EXP(-V980))</f>
        <v/>
      </c>
      <c r="X980" s="9">
        <f>-IF(C980=1,LN(W980),LN(1-W980))</f>
        <v/>
      </c>
      <c r="Y980" s="8">
        <f>1</f>
        <v/>
      </c>
      <c r="Z980" s="9">
        <f>Y980*X980</f>
        <v/>
      </c>
      <c r="AA980" s="10">
        <f>IF(W980&gt;$AE$32,1,0)</f>
        <v/>
      </c>
      <c r="AB980">
        <f>IF(AA980=C980,1,0)</f>
        <v/>
      </c>
    </row>
    <row r="981">
      <c r="A981">
        <f>'1 datos preparados'!A974</f>
        <v/>
      </c>
      <c r="B981" s="5">
        <f>'1 datos preparados'!U974</f>
        <v/>
      </c>
      <c r="C981">
        <f>'1 datos preparados'!B974</f>
        <v/>
      </c>
      <c r="D981" s="7">
        <f>'1 datos preparados'!C974</f>
        <v/>
      </c>
      <c r="E981" s="7">
        <f>'1 datos preparados'!D974</f>
        <v/>
      </c>
      <c r="F981" s="7">
        <f>'1 datos preparados'!E974</f>
        <v/>
      </c>
      <c r="G981" s="7">
        <f>'1 datos preparados'!F974</f>
        <v/>
      </c>
      <c r="H981" s="7">
        <f>'1 datos preparados'!G974</f>
        <v/>
      </c>
      <c r="I981" s="7">
        <f>'1 datos preparados'!H974</f>
        <v/>
      </c>
      <c r="J981" s="7">
        <f>'1 datos preparados'!I974</f>
        <v/>
      </c>
      <c r="K981" s="7">
        <f>'1 datos preparados'!J974</f>
        <v/>
      </c>
      <c r="L981" s="7">
        <f>'1 datos preparados'!K974</f>
        <v/>
      </c>
      <c r="M981" s="7">
        <f>'1 datos preparados'!L974</f>
        <v/>
      </c>
      <c r="N981" s="7">
        <f>'1 datos preparados'!M974</f>
        <v/>
      </c>
      <c r="O981" s="7">
        <f>'1 datos preparados'!N974</f>
        <v/>
      </c>
      <c r="P981" s="7">
        <f>'1 datos preparados'!O974</f>
        <v/>
      </c>
      <c r="Q981" s="7">
        <f>'1 datos preparados'!P974</f>
        <v/>
      </c>
      <c r="R981" s="7">
        <f>'1 datos preparados'!Q974</f>
        <v/>
      </c>
      <c r="S981" s="7">
        <f>'1 datos preparados'!R974</f>
        <v/>
      </c>
      <c r="T981" s="7">
        <f>'1 datos preparados'!S974</f>
        <v/>
      </c>
      <c r="U981" s="7">
        <f>'1 datos preparados'!T974</f>
        <v/>
      </c>
      <c r="V981" s="8">
        <f>$AE$12+D981*$AE$13+E981*$AE$14+F981*$AE$15+G981*$AE$16+H981*$AE$17+I981*$AE$18+J981*$AE$19+K981*$AE$20+L981*$AE$21+M981*$AE$22+N981*$AE$23+O981*$AE$24+P981*$AE$25+Q981*$AE$26+R981*$AE$27+S981*$AE$28+T981*$AE$29+U981*$AE$30</f>
        <v/>
      </c>
      <c r="W981" s="8">
        <f>1/(1+EXP(-V981))</f>
        <v/>
      </c>
      <c r="X981" s="9">
        <f>-IF(C981=1,LN(W981),LN(1-W981))</f>
        <v/>
      </c>
      <c r="Y981" s="8">
        <f>1</f>
        <v/>
      </c>
      <c r="Z981" s="9">
        <f>Y981*X981</f>
        <v/>
      </c>
      <c r="AA981" s="10">
        <f>IF(W981&gt;$AE$32,1,0)</f>
        <v/>
      </c>
      <c r="AB981">
        <f>IF(AA981=C981,1,0)</f>
        <v/>
      </c>
    </row>
    <row r="982">
      <c r="A982">
        <f>'1 datos preparados'!A975</f>
        <v/>
      </c>
      <c r="B982" s="5">
        <f>'1 datos preparados'!U975</f>
        <v/>
      </c>
      <c r="C982">
        <f>'1 datos preparados'!B975</f>
        <v/>
      </c>
      <c r="D982" s="7">
        <f>'1 datos preparados'!C975</f>
        <v/>
      </c>
      <c r="E982" s="7">
        <f>'1 datos preparados'!D975</f>
        <v/>
      </c>
      <c r="F982" s="7">
        <f>'1 datos preparados'!E975</f>
        <v/>
      </c>
      <c r="G982" s="7">
        <f>'1 datos preparados'!F975</f>
        <v/>
      </c>
      <c r="H982" s="7">
        <f>'1 datos preparados'!G975</f>
        <v/>
      </c>
      <c r="I982" s="7">
        <f>'1 datos preparados'!H975</f>
        <v/>
      </c>
      <c r="J982" s="7">
        <f>'1 datos preparados'!I975</f>
        <v/>
      </c>
      <c r="K982" s="7">
        <f>'1 datos preparados'!J975</f>
        <v/>
      </c>
      <c r="L982" s="7">
        <f>'1 datos preparados'!K975</f>
        <v/>
      </c>
      <c r="M982" s="7">
        <f>'1 datos preparados'!L975</f>
        <v/>
      </c>
      <c r="N982" s="7">
        <f>'1 datos preparados'!M975</f>
        <v/>
      </c>
      <c r="O982" s="7">
        <f>'1 datos preparados'!N975</f>
        <v/>
      </c>
      <c r="P982" s="7">
        <f>'1 datos preparados'!O975</f>
        <v/>
      </c>
      <c r="Q982" s="7">
        <f>'1 datos preparados'!P975</f>
        <v/>
      </c>
      <c r="R982" s="7">
        <f>'1 datos preparados'!Q975</f>
        <v/>
      </c>
      <c r="S982" s="7">
        <f>'1 datos preparados'!R975</f>
        <v/>
      </c>
      <c r="T982" s="7">
        <f>'1 datos preparados'!S975</f>
        <v/>
      </c>
      <c r="U982" s="7">
        <f>'1 datos preparados'!T975</f>
        <v/>
      </c>
      <c r="V982" s="8">
        <f>$AE$12+D982*$AE$13+E982*$AE$14+F982*$AE$15+G982*$AE$16+H982*$AE$17+I982*$AE$18+J982*$AE$19+K982*$AE$20+L982*$AE$21+M982*$AE$22+N982*$AE$23+O982*$AE$24+P982*$AE$25+Q982*$AE$26+R982*$AE$27+S982*$AE$28+T982*$AE$29+U982*$AE$30</f>
        <v/>
      </c>
      <c r="W982" s="8">
        <f>1/(1+EXP(-V982))</f>
        <v/>
      </c>
      <c r="X982" s="9">
        <f>-IF(C982=1,LN(W982),LN(1-W982))</f>
        <v/>
      </c>
      <c r="Y982" s="8">
        <f>1</f>
        <v/>
      </c>
      <c r="Z982" s="9">
        <f>Y982*X982</f>
        <v/>
      </c>
      <c r="AA982" s="10">
        <f>IF(W982&gt;$AE$32,1,0)</f>
        <v/>
      </c>
      <c r="AB982">
        <f>IF(AA982=C982,1,0)</f>
        <v/>
      </c>
    </row>
    <row r="983">
      <c r="A983">
        <f>'1 datos preparados'!A976</f>
        <v/>
      </c>
      <c r="B983" s="5">
        <f>'1 datos preparados'!U976</f>
        <v/>
      </c>
      <c r="C983">
        <f>'1 datos preparados'!B976</f>
        <v/>
      </c>
      <c r="D983" s="7">
        <f>'1 datos preparados'!C976</f>
        <v/>
      </c>
      <c r="E983" s="7">
        <f>'1 datos preparados'!D976</f>
        <v/>
      </c>
      <c r="F983" s="7">
        <f>'1 datos preparados'!E976</f>
        <v/>
      </c>
      <c r="G983" s="7">
        <f>'1 datos preparados'!F976</f>
        <v/>
      </c>
      <c r="H983" s="7">
        <f>'1 datos preparados'!G976</f>
        <v/>
      </c>
      <c r="I983" s="7">
        <f>'1 datos preparados'!H976</f>
        <v/>
      </c>
      <c r="J983" s="7">
        <f>'1 datos preparados'!I976</f>
        <v/>
      </c>
      <c r="K983" s="7">
        <f>'1 datos preparados'!J976</f>
        <v/>
      </c>
      <c r="L983" s="7">
        <f>'1 datos preparados'!K976</f>
        <v/>
      </c>
      <c r="M983" s="7">
        <f>'1 datos preparados'!L976</f>
        <v/>
      </c>
      <c r="N983" s="7">
        <f>'1 datos preparados'!M976</f>
        <v/>
      </c>
      <c r="O983" s="7">
        <f>'1 datos preparados'!N976</f>
        <v/>
      </c>
      <c r="P983" s="7">
        <f>'1 datos preparados'!O976</f>
        <v/>
      </c>
      <c r="Q983" s="7">
        <f>'1 datos preparados'!P976</f>
        <v/>
      </c>
      <c r="R983" s="7">
        <f>'1 datos preparados'!Q976</f>
        <v/>
      </c>
      <c r="S983" s="7">
        <f>'1 datos preparados'!R976</f>
        <v/>
      </c>
      <c r="T983" s="7">
        <f>'1 datos preparados'!S976</f>
        <v/>
      </c>
      <c r="U983" s="7">
        <f>'1 datos preparados'!T976</f>
        <v/>
      </c>
      <c r="V983" s="8">
        <f>$AE$12+D983*$AE$13+E983*$AE$14+F983*$AE$15+G983*$AE$16+H983*$AE$17+I983*$AE$18+J983*$AE$19+K983*$AE$20+L983*$AE$21+M983*$AE$22+N983*$AE$23+O983*$AE$24+P983*$AE$25+Q983*$AE$26+R983*$AE$27+S983*$AE$28+T983*$AE$29+U983*$AE$30</f>
        <v/>
      </c>
      <c r="W983" s="8">
        <f>1/(1+EXP(-V983))</f>
        <v/>
      </c>
      <c r="X983" s="9">
        <f>-IF(C983=1,LN(W983),LN(1-W983))</f>
        <v/>
      </c>
      <c r="Y983" s="8">
        <f>1</f>
        <v/>
      </c>
      <c r="Z983" s="9">
        <f>Y983*X983</f>
        <v/>
      </c>
      <c r="AA983" s="10">
        <f>IF(W983&gt;$AE$32,1,0)</f>
        <v/>
      </c>
      <c r="AB983">
        <f>IF(AA983=C983,1,0)</f>
        <v/>
      </c>
    </row>
    <row r="984">
      <c r="A984">
        <f>'1 datos preparados'!A977</f>
        <v/>
      </c>
      <c r="B984" s="5">
        <f>'1 datos preparados'!U977</f>
        <v/>
      </c>
      <c r="C984">
        <f>'1 datos preparados'!B977</f>
        <v/>
      </c>
      <c r="D984" s="7">
        <f>'1 datos preparados'!C977</f>
        <v/>
      </c>
      <c r="E984" s="7">
        <f>'1 datos preparados'!D977</f>
        <v/>
      </c>
      <c r="F984" s="7">
        <f>'1 datos preparados'!E977</f>
        <v/>
      </c>
      <c r="G984" s="7">
        <f>'1 datos preparados'!F977</f>
        <v/>
      </c>
      <c r="H984" s="7">
        <f>'1 datos preparados'!G977</f>
        <v/>
      </c>
      <c r="I984" s="7">
        <f>'1 datos preparados'!H977</f>
        <v/>
      </c>
      <c r="J984" s="7">
        <f>'1 datos preparados'!I977</f>
        <v/>
      </c>
      <c r="K984" s="7">
        <f>'1 datos preparados'!J977</f>
        <v/>
      </c>
      <c r="L984" s="7">
        <f>'1 datos preparados'!K977</f>
        <v/>
      </c>
      <c r="M984" s="7">
        <f>'1 datos preparados'!L977</f>
        <v/>
      </c>
      <c r="N984" s="7">
        <f>'1 datos preparados'!M977</f>
        <v/>
      </c>
      <c r="O984" s="7">
        <f>'1 datos preparados'!N977</f>
        <v/>
      </c>
      <c r="P984" s="7">
        <f>'1 datos preparados'!O977</f>
        <v/>
      </c>
      <c r="Q984" s="7">
        <f>'1 datos preparados'!P977</f>
        <v/>
      </c>
      <c r="R984" s="7">
        <f>'1 datos preparados'!Q977</f>
        <v/>
      </c>
      <c r="S984" s="7">
        <f>'1 datos preparados'!R977</f>
        <v/>
      </c>
      <c r="T984" s="7">
        <f>'1 datos preparados'!S977</f>
        <v/>
      </c>
      <c r="U984" s="7">
        <f>'1 datos preparados'!T977</f>
        <v/>
      </c>
      <c r="V984" s="8">
        <f>$AE$12+D984*$AE$13+E984*$AE$14+F984*$AE$15+G984*$AE$16+H984*$AE$17+I984*$AE$18+J984*$AE$19+K984*$AE$20+L984*$AE$21+M984*$AE$22+N984*$AE$23+O984*$AE$24+P984*$AE$25+Q984*$AE$26+R984*$AE$27+S984*$AE$28+T984*$AE$29+U984*$AE$30</f>
        <v/>
      </c>
      <c r="W984" s="8">
        <f>1/(1+EXP(-V984))</f>
        <v/>
      </c>
      <c r="X984" s="9">
        <f>-IF(C984=1,LN(W984),LN(1-W984))</f>
        <v/>
      </c>
      <c r="Y984" s="8">
        <f>1</f>
        <v/>
      </c>
      <c r="Z984" s="9">
        <f>Y984*X984</f>
        <v/>
      </c>
      <c r="AA984" s="10">
        <f>IF(W984&gt;$AE$32,1,0)</f>
        <v/>
      </c>
      <c r="AB984">
        <f>IF(AA984=C984,1,0)</f>
        <v/>
      </c>
    </row>
    <row r="985">
      <c r="A985">
        <f>'1 datos preparados'!A978</f>
        <v/>
      </c>
      <c r="B985" s="5">
        <f>'1 datos preparados'!U978</f>
        <v/>
      </c>
      <c r="C985">
        <f>'1 datos preparados'!B978</f>
        <v/>
      </c>
      <c r="D985" s="7">
        <f>'1 datos preparados'!C978</f>
        <v/>
      </c>
      <c r="E985" s="7">
        <f>'1 datos preparados'!D978</f>
        <v/>
      </c>
      <c r="F985" s="7">
        <f>'1 datos preparados'!E978</f>
        <v/>
      </c>
      <c r="G985" s="7">
        <f>'1 datos preparados'!F978</f>
        <v/>
      </c>
      <c r="H985" s="7">
        <f>'1 datos preparados'!G978</f>
        <v/>
      </c>
      <c r="I985" s="7">
        <f>'1 datos preparados'!H978</f>
        <v/>
      </c>
      <c r="J985" s="7">
        <f>'1 datos preparados'!I978</f>
        <v/>
      </c>
      <c r="K985" s="7">
        <f>'1 datos preparados'!J978</f>
        <v/>
      </c>
      <c r="L985" s="7">
        <f>'1 datos preparados'!K978</f>
        <v/>
      </c>
      <c r="M985" s="7">
        <f>'1 datos preparados'!L978</f>
        <v/>
      </c>
      <c r="N985" s="7">
        <f>'1 datos preparados'!M978</f>
        <v/>
      </c>
      <c r="O985" s="7">
        <f>'1 datos preparados'!N978</f>
        <v/>
      </c>
      <c r="P985" s="7">
        <f>'1 datos preparados'!O978</f>
        <v/>
      </c>
      <c r="Q985" s="7">
        <f>'1 datos preparados'!P978</f>
        <v/>
      </c>
      <c r="R985" s="7">
        <f>'1 datos preparados'!Q978</f>
        <v/>
      </c>
      <c r="S985" s="7">
        <f>'1 datos preparados'!R978</f>
        <v/>
      </c>
      <c r="T985" s="7">
        <f>'1 datos preparados'!S978</f>
        <v/>
      </c>
      <c r="U985" s="7">
        <f>'1 datos preparados'!T978</f>
        <v/>
      </c>
      <c r="V985" s="8">
        <f>$AE$12+D985*$AE$13+E985*$AE$14+F985*$AE$15+G985*$AE$16+H985*$AE$17+I985*$AE$18+J985*$AE$19+K985*$AE$20+L985*$AE$21+M985*$AE$22+N985*$AE$23+O985*$AE$24+P985*$AE$25+Q985*$AE$26+R985*$AE$27+S985*$AE$28+T985*$AE$29+U985*$AE$30</f>
        <v/>
      </c>
      <c r="W985" s="8">
        <f>1/(1+EXP(-V985))</f>
        <v/>
      </c>
      <c r="X985" s="9">
        <f>-IF(C985=1,LN(W985),LN(1-W985))</f>
        <v/>
      </c>
      <c r="Y985" s="8">
        <f>1</f>
        <v/>
      </c>
      <c r="Z985" s="9">
        <f>Y985*X985</f>
        <v/>
      </c>
      <c r="AA985" s="10">
        <f>IF(W985&gt;$AE$32,1,0)</f>
        <v/>
      </c>
      <c r="AB985">
        <f>IF(AA985=C985,1,0)</f>
        <v/>
      </c>
    </row>
    <row r="986">
      <c r="A986">
        <f>'1 datos preparados'!A979</f>
        <v/>
      </c>
      <c r="B986" s="5">
        <f>'1 datos preparados'!U979</f>
        <v/>
      </c>
      <c r="C986">
        <f>'1 datos preparados'!B979</f>
        <v/>
      </c>
      <c r="D986" s="7">
        <f>'1 datos preparados'!C979</f>
        <v/>
      </c>
      <c r="E986" s="7">
        <f>'1 datos preparados'!D979</f>
        <v/>
      </c>
      <c r="F986" s="7">
        <f>'1 datos preparados'!E979</f>
        <v/>
      </c>
      <c r="G986" s="7">
        <f>'1 datos preparados'!F979</f>
        <v/>
      </c>
      <c r="H986" s="7">
        <f>'1 datos preparados'!G979</f>
        <v/>
      </c>
      <c r="I986" s="7">
        <f>'1 datos preparados'!H979</f>
        <v/>
      </c>
      <c r="J986" s="7">
        <f>'1 datos preparados'!I979</f>
        <v/>
      </c>
      <c r="K986" s="7">
        <f>'1 datos preparados'!J979</f>
        <v/>
      </c>
      <c r="L986" s="7">
        <f>'1 datos preparados'!K979</f>
        <v/>
      </c>
      <c r="M986" s="7">
        <f>'1 datos preparados'!L979</f>
        <v/>
      </c>
      <c r="N986" s="7">
        <f>'1 datos preparados'!M979</f>
        <v/>
      </c>
      <c r="O986" s="7">
        <f>'1 datos preparados'!N979</f>
        <v/>
      </c>
      <c r="P986" s="7">
        <f>'1 datos preparados'!O979</f>
        <v/>
      </c>
      <c r="Q986" s="7">
        <f>'1 datos preparados'!P979</f>
        <v/>
      </c>
      <c r="R986" s="7">
        <f>'1 datos preparados'!Q979</f>
        <v/>
      </c>
      <c r="S986" s="7">
        <f>'1 datos preparados'!R979</f>
        <v/>
      </c>
      <c r="T986" s="7">
        <f>'1 datos preparados'!S979</f>
        <v/>
      </c>
      <c r="U986" s="7">
        <f>'1 datos preparados'!T979</f>
        <v/>
      </c>
      <c r="V986" s="8">
        <f>$AE$12+D986*$AE$13+E986*$AE$14+F986*$AE$15+G986*$AE$16+H986*$AE$17+I986*$AE$18+J986*$AE$19+K986*$AE$20+L986*$AE$21+M986*$AE$22+N986*$AE$23+O986*$AE$24+P986*$AE$25+Q986*$AE$26+R986*$AE$27+S986*$AE$28+T986*$AE$29+U986*$AE$30</f>
        <v/>
      </c>
      <c r="W986" s="8">
        <f>1/(1+EXP(-V986))</f>
        <v/>
      </c>
      <c r="X986" s="9">
        <f>-IF(C986=1,LN(W986),LN(1-W986))</f>
        <v/>
      </c>
      <c r="Y986" s="8">
        <f>1</f>
        <v/>
      </c>
      <c r="Z986" s="9">
        <f>Y986*X986</f>
        <v/>
      </c>
      <c r="AA986" s="10">
        <f>IF(W986&gt;$AE$32,1,0)</f>
        <v/>
      </c>
      <c r="AB986">
        <f>IF(AA986=C986,1,0)</f>
        <v/>
      </c>
    </row>
    <row r="987">
      <c r="A987">
        <f>'1 datos preparados'!A980</f>
        <v/>
      </c>
      <c r="B987" s="5">
        <f>'1 datos preparados'!U980</f>
        <v/>
      </c>
      <c r="C987">
        <f>'1 datos preparados'!B980</f>
        <v/>
      </c>
      <c r="D987" s="7">
        <f>'1 datos preparados'!C980</f>
        <v/>
      </c>
      <c r="E987" s="7">
        <f>'1 datos preparados'!D980</f>
        <v/>
      </c>
      <c r="F987" s="7">
        <f>'1 datos preparados'!E980</f>
        <v/>
      </c>
      <c r="G987" s="7">
        <f>'1 datos preparados'!F980</f>
        <v/>
      </c>
      <c r="H987" s="7">
        <f>'1 datos preparados'!G980</f>
        <v/>
      </c>
      <c r="I987" s="7">
        <f>'1 datos preparados'!H980</f>
        <v/>
      </c>
      <c r="J987" s="7">
        <f>'1 datos preparados'!I980</f>
        <v/>
      </c>
      <c r="K987" s="7">
        <f>'1 datos preparados'!J980</f>
        <v/>
      </c>
      <c r="L987" s="7">
        <f>'1 datos preparados'!K980</f>
        <v/>
      </c>
      <c r="M987" s="7">
        <f>'1 datos preparados'!L980</f>
        <v/>
      </c>
      <c r="N987" s="7">
        <f>'1 datos preparados'!M980</f>
        <v/>
      </c>
      <c r="O987" s="7">
        <f>'1 datos preparados'!N980</f>
        <v/>
      </c>
      <c r="P987" s="7">
        <f>'1 datos preparados'!O980</f>
        <v/>
      </c>
      <c r="Q987" s="7">
        <f>'1 datos preparados'!P980</f>
        <v/>
      </c>
      <c r="R987" s="7">
        <f>'1 datos preparados'!Q980</f>
        <v/>
      </c>
      <c r="S987" s="7">
        <f>'1 datos preparados'!R980</f>
        <v/>
      </c>
      <c r="T987" s="7">
        <f>'1 datos preparados'!S980</f>
        <v/>
      </c>
      <c r="U987" s="7">
        <f>'1 datos preparados'!T980</f>
        <v/>
      </c>
      <c r="V987" s="8">
        <f>$AE$12+D987*$AE$13+E987*$AE$14+F987*$AE$15+G987*$AE$16+H987*$AE$17+I987*$AE$18+J987*$AE$19+K987*$AE$20+L987*$AE$21+M987*$AE$22+N987*$AE$23+O987*$AE$24+P987*$AE$25+Q987*$AE$26+R987*$AE$27+S987*$AE$28+T987*$AE$29+U987*$AE$30</f>
        <v/>
      </c>
      <c r="W987" s="8">
        <f>1/(1+EXP(-V987))</f>
        <v/>
      </c>
      <c r="X987" s="9">
        <f>-IF(C987=1,LN(W987),LN(1-W987))</f>
        <v/>
      </c>
      <c r="Y987" s="8">
        <f>1</f>
        <v/>
      </c>
      <c r="Z987" s="9">
        <f>Y987*X987</f>
        <v/>
      </c>
      <c r="AA987" s="10">
        <f>IF(W987&gt;$AE$32,1,0)</f>
        <v/>
      </c>
      <c r="AB987">
        <f>IF(AA987=C987,1,0)</f>
        <v/>
      </c>
    </row>
    <row r="988">
      <c r="A988">
        <f>'1 datos preparados'!A981</f>
        <v/>
      </c>
      <c r="B988" s="5">
        <f>'1 datos preparados'!U981</f>
        <v/>
      </c>
      <c r="C988">
        <f>'1 datos preparados'!B981</f>
        <v/>
      </c>
      <c r="D988" s="7">
        <f>'1 datos preparados'!C981</f>
        <v/>
      </c>
      <c r="E988" s="7">
        <f>'1 datos preparados'!D981</f>
        <v/>
      </c>
      <c r="F988" s="7">
        <f>'1 datos preparados'!E981</f>
        <v/>
      </c>
      <c r="G988" s="7">
        <f>'1 datos preparados'!F981</f>
        <v/>
      </c>
      <c r="H988" s="7">
        <f>'1 datos preparados'!G981</f>
        <v/>
      </c>
      <c r="I988" s="7">
        <f>'1 datos preparados'!H981</f>
        <v/>
      </c>
      <c r="J988" s="7">
        <f>'1 datos preparados'!I981</f>
        <v/>
      </c>
      <c r="K988" s="7">
        <f>'1 datos preparados'!J981</f>
        <v/>
      </c>
      <c r="L988" s="7">
        <f>'1 datos preparados'!K981</f>
        <v/>
      </c>
      <c r="M988" s="7">
        <f>'1 datos preparados'!L981</f>
        <v/>
      </c>
      <c r="N988" s="7">
        <f>'1 datos preparados'!M981</f>
        <v/>
      </c>
      <c r="O988" s="7">
        <f>'1 datos preparados'!N981</f>
        <v/>
      </c>
      <c r="P988" s="7">
        <f>'1 datos preparados'!O981</f>
        <v/>
      </c>
      <c r="Q988" s="7">
        <f>'1 datos preparados'!P981</f>
        <v/>
      </c>
      <c r="R988" s="7">
        <f>'1 datos preparados'!Q981</f>
        <v/>
      </c>
      <c r="S988" s="7">
        <f>'1 datos preparados'!R981</f>
        <v/>
      </c>
      <c r="T988" s="7">
        <f>'1 datos preparados'!S981</f>
        <v/>
      </c>
      <c r="U988" s="7">
        <f>'1 datos preparados'!T981</f>
        <v/>
      </c>
      <c r="V988" s="8">
        <f>$AE$12+D988*$AE$13+E988*$AE$14+F988*$AE$15+G988*$AE$16+H988*$AE$17+I988*$AE$18+J988*$AE$19+K988*$AE$20+L988*$AE$21+M988*$AE$22+N988*$AE$23+O988*$AE$24+P988*$AE$25+Q988*$AE$26+R988*$AE$27+S988*$AE$28+T988*$AE$29+U988*$AE$30</f>
        <v/>
      </c>
      <c r="W988" s="8">
        <f>1/(1+EXP(-V988))</f>
        <v/>
      </c>
      <c r="X988" s="9">
        <f>-IF(C988=1,LN(W988),LN(1-W988))</f>
        <v/>
      </c>
      <c r="Y988" s="8">
        <f>1</f>
        <v/>
      </c>
      <c r="Z988" s="9">
        <f>Y988*X988</f>
        <v/>
      </c>
      <c r="AA988" s="10">
        <f>IF(W988&gt;$AE$32,1,0)</f>
        <v/>
      </c>
      <c r="AB988">
        <f>IF(AA988=C988,1,0)</f>
        <v/>
      </c>
    </row>
    <row r="989">
      <c r="A989">
        <f>'1 datos preparados'!A982</f>
        <v/>
      </c>
      <c r="B989" s="5">
        <f>'1 datos preparados'!U982</f>
        <v/>
      </c>
      <c r="C989">
        <f>'1 datos preparados'!B982</f>
        <v/>
      </c>
      <c r="D989" s="7">
        <f>'1 datos preparados'!C982</f>
        <v/>
      </c>
      <c r="E989" s="7">
        <f>'1 datos preparados'!D982</f>
        <v/>
      </c>
      <c r="F989" s="7">
        <f>'1 datos preparados'!E982</f>
        <v/>
      </c>
      <c r="G989" s="7">
        <f>'1 datos preparados'!F982</f>
        <v/>
      </c>
      <c r="H989" s="7">
        <f>'1 datos preparados'!G982</f>
        <v/>
      </c>
      <c r="I989" s="7">
        <f>'1 datos preparados'!H982</f>
        <v/>
      </c>
      <c r="J989" s="7">
        <f>'1 datos preparados'!I982</f>
        <v/>
      </c>
      <c r="K989" s="7">
        <f>'1 datos preparados'!J982</f>
        <v/>
      </c>
      <c r="L989" s="7">
        <f>'1 datos preparados'!K982</f>
        <v/>
      </c>
      <c r="M989" s="7">
        <f>'1 datos preparados'!L982</f>
        <v/>
      </c>
      <c r="N989" s="7">
        <f>'1 datos preparados'!M982</f>
        <v/>
      </c>
      <c r="O989" s="7">
        <f>'1 datos preparados'!N982</f>
        <v/>
      </c>
      <c r="P989" s="7">
        <f>'1 datos preparados'!O982</f>
        <v/>
      </c>
      <c r="Q989" s="7">
        <f>'1 datos preparados'!P982</f>
        <v/>
      </c>
      <c r="R989" s="7">
        <f>'1 datos preparados'!Q982</f>
        <v/>
      </c>
      <c r="S989" s="7">
        <f>'1 datos preparados'!R982</f>
        <v/>
      </c>
      <c r="T989" s="7">
        <f>'1 datos preparados'!S982</f>
        <v/>
      </c>
      <c r="U989" s="7">
        <f>'1 datos preparados'!T982</f>
        <v/>
      </c>
      <c r="V989" s="8">
        <f>$AE$12+D989*$AE$13+E989*$AE$14+F989*$AE$15+G989*$AE$16+H989*$AE$17+I989*$AE$18+J989*$AE$19+K989*$AE$20+L989*$AE$21+M989*$AE$22+N989*$AE$23+O989*$AE$24+P989*$AE$25+Q989*$AE$26+R989*$AE$27+S989*$AE$28+T989*$AE$29+U989*$AE$30</f>
        <v/>
      </c>
      <c r="W989" s="8">
        <f>1/(1+EXP(-V989))</f>
        <v/>
      </c>
      <c r="X989" s="9">
        <f>-IF(C989=1,LN(W989),LN(1-W989))</f>
        <v/>
      </c>
      <c r="Y989" s="8">
        <f>1</f>
        <v/>
      </c>
      <c r="Z989" s="9">
        <f>Y989*X989</f>
        <v/>
      </c>
      <c r="AA989" s="10">
        <f>IF(W989&gt;$AE$32,1,0)</f>
        <v/>
      </c>
      <c r="AB989">
        <f>IF(AA989=C989,1,0)</f>
        <v/>
      </c>
    </row>
    <row r="990">
      <c r="A990">
        <f>'1 datos preparados'!A983</f>
        <v/>
      </c>
      <c r="B990" s="5">
        <f>'1 datos preparados'!U983</f>
        <v/>
      </c>
      <c r="C990">
        <f>'1 datos preparados'!B983</f>
        <v/>
      </c>
      <c r="D990" s="7">
        <f>'1 datos preparados'!C983</f>
        <v/>
      </c>
      <c r="E990" s="7">
        <f>'1 datos preparados'!D983</f>
        <v/>
      </c>
      <c r="F990" s="7">
        <f>'1 datos preparados'!E983</f>
        <v/>
      </c>
      <c r="G990" s="7">
        <f>'1 datos preparados'!F983</f>
        <v/>
      </c>
      <c r="H990" s="7">
        <f>'1 datos preparados'!G983</f>
        <v/>
      </c>
      <c r="I990" s="7">
        <f>'1 datos preparados'!H983</f>
        <v/>
      </c>
      <c r="J990" s="7">
        <f>'1 datos preparados'!I983</f>
        <v/>
      </c>
      <c r="K990" s="7">
        <f>'1 datos preparados'!J983</f>
        <v/>
      </c>
      <c r="L990" s="7">
        <f>'1 datos preparados'!K983</f>
        <v/>
      </c>
      <c r="M990" s="7">
        <f>'1 datos preparados'!L983</f>
        <v/>
      </c>
      <c r="N990" s="7">
        <f>'1 datos preparados'!M983</f>
        <v/>
      </c>
      <c r="O990" s="7">
        <f>'1 datos preparados'!N983</f>
        <v/>
      </c>
      <c r="P990" s="7">
        <f>'1 datos preparados'!O983</f>
        <v/>
      </c>
      <c r="Q990" s="7">
        <f>'1 datos preparados'!P983</f>
        <v/>
      </c>
      <c r="R990" s="7">
        <f>'1 datos preparados'!Q983</f>
        <v/>
      </c>
      <c r="S990" s="7">
        <f>'1 datos preparados'!R983</f>
        <v/>
      </c>
      <c r="T990" s="7">
        <f>'1 datos preparados'!S983</f>
        <v/>
      </c>
      <c r="U990" s="7">
        <f>'1 datos preparados'!T983</f>
        <v/>
      </c>
      <c r="V990" s="8">
        <f>$AE$12+D990*$AE$13+E990*$AE$14+F990*$AE$15+G990*$AE$16+H990*$AE$17+I990*$AE$18+J990*$AE$19+K990*$AE$20+L990*$AE$21+M990*$AE$22+N990*$AE$23+O990*$AE$24+P990*$AE$25+Q990*$AE$26+R990*$AE$27+S990*$AE$28+T990*$AE$29+U990*$AE$30</f>
        <v/>
      </c>
      <c r="W990" s="8">
        <f>1/(1+EXP(-V990))</f>
        <v/>
      </c>
      <c r="X990" s="9">
        <f>-IF(C990=1,LN(W990),LN(1-W990))</f>
        <v/>
      </c>
      <c r="Y990" s="8">
        <f>1</f>
        <v/>
      </c>
      <c r="Z990" s="9">
        <f>Y990*X990</f>
        <v/>
      </c>
      <c r="AA990" s="10">
        <f>IF(W990&gt;$AE$32,1,0)</f>
        <v/>
      </c>
      <c r="AB990">
        <f>IF(AA990=C990,1,0)</f>
        <v/>
      </c>
    </row>
    <row r="991">
      <c r="A991">
        <f>'1 datos preparados'!A984</f>
        <v/>
      </c>
      <c r="B991" s="5">
        <f>'1 datos preparados'!U984</f>
        <v/>
      </c>
      <c r="C991">
        <f>'1 datos preparados'!B984</f>
        <v/>
      </c>
      <c r="D991" s="7">
        <f>'1 datos preparados'!C984</f>
        <v/>
      </c>
      <c r="E991" s="7">
        <f>'1 datos preparados'!D984</f>
        <v/>
      </c>
      <c r="F991" s="7">
        <f>'1 datos preparados'!E984</f>
        <v/>
      </c>
      <c r="G991" s="7">
        <f>'1 datos preparados'!F984</f>
        <v/>
      </c>
      <c r="H991" s="7">
        <f>'1 datos preparados'!G984</f>
        <v/>
      </c>
      <c r="I991" s="7">
        <f>'1 datos preparados'!H984</f>
        <v/>
      </c>
      <c r="J991" s="7">
        <f>'1 datos preparados'!I984</f>
        <v/>
      </c>
      <c r="K991" s="7">
        <f>'1 datos preparados'!J984</f>
        <v/>
      </c>
      <c r="L991" s="7">
        <f>'1 datos preparados'!K984</f>
        <v/>
      </c>
      <c r="M991" s="7">
        <f>'1 datos preparados'!L984</f>
        <v/>
      </c>
      <c r="N991" s="7">
        <f>'1 datos preparados'!M984</f>
        <v/>
      </c>
      <c r="O991" s="7">
        <f>'1 datos preparados'!N984</f>
        <v/>
      </c>
      <c r="P991" s="7">
        <f>'1 datos preparados'!O984</f>
        <v/>
      </c>
      <c r="Q991" s="7">
        <f>'1 datos preparados'!P984</f>
        <v/>
      </c>
      <c r="R991" s="7">
        <f>'1 datos preparados'!Q984</f>
        <v/>
      </c>
      <c r="S991" s="7">
        <f>'1 datos preparados'!R984</f>
        <v/>
      </c>
      <c r="T991" s="7">
        <f>'1 datos preparados'!S984</f>
        <v/>
      </c>
      <c r="U991" s="7">
        <f>'1 datos preparados'!T984</f>
        <v/>
      </c>
      <c r="V991" s="8">
        <f>$AE$12+D991*$AE$13+E991*$AE$14+F991*$AE$15+G991*$AE$16+H991*$AE$17+I991*$AE$18+J991*$AE$19+K991*$AE$20+L991*$AE$21+M991*$AE$22+N991*$AE$23+O991*$AE$24+P991*$AE$25+Q991*$AE$26+R991*$AE$27+S991*$AE$28+T991*$AE$29+U991*$AE$30</f>
        <v/>
      </c>
      <c r="W991" s="8">
        <f>1/(1+EXP(-V991))</f>
        <v/>
      </c>
      <c r="X991" s="9">
        <f>-IF(C991=1,LN(W991),LN(1-W991))</f>
        <v/>
      </c>
      <c r="Y991" s="8">
        <f>1</f>
        <v/>
      </c>
      <c r="Z991" s="9">
        <f>Y991*X991</f>
        <v/>
      </c>
      <c r="AA991" s="10">
        <f>IF(W991&gt;$AE$32,1,0)</f>
        <v/>
      </c>
      <c r="AB991">
        <f>IF(AA991=C991,1,0)</f>
        <v/>
      </c>
    </row>
    <row r="992">
      <c r="A992">
        <f>'1 datos preparados'!A985</f>
        <v/>
      </c>
      <c r="B992" s="5">
        <f>'1 datos preparados'!U985</f>
        <v/>
      </c>
      <c r="C992">
        <f>'1 datos preparados'!B985</f>
        <v/>
      </c>
      <c r="D992" s="7">
        <f>'1 datos preparados'!C985</f>
        <v/>
      </c>
      <c r="E992" s="7">
        <f>'1 datos preparados'!D985</f>
        <v/>
      </c>
      <c r="F992" s="7">
        <f>'1 datos preparados'!E985</f>
        <v/>
      </c>
      <c r="G992" s="7">
        <f>'1 datos preparados'!F985</f>
        <v/>
      </c>
      <c r="H992" s="7">
        <f>'1 datos preparados'!G985</f>
        <v/>
      </c>
      <c r="I992" s="7">
        <f>'1 datos preparados'!H985</f>
        <v/>
      </c>
      <c r="J992" s="7">
        <f>'1 datos preparados'!I985</f>
        <v/>
      </c>
      <c r="K992" s="7">
        <f>'1 datos preparados'!J985</f>
        <v/>
      </c>
      <c r="L992" s="7">
        <f>'1 datos preparados'!K985</f>
        <v/>
      </c>
      <c r="M992" s="7">
        <f>'1 datos preparados'!L985</f>
        <v/>
      </c>
      <c r="N992" s="7">
        <f>'1 datos preparados'!M985</f>
        <v/>
      </c>
      <c r="O992" s="7">
        <f>'1 datos preparados'!N985</f>
        <v/>
      </c>
      <c r="P992" s="7">
        <f>'1 datos preparados'!O985</f>
        <v/>
      </c>
      <c r="Q992" s="7">
        <f>'1 datos preparados'!P985</f>
        <v/>
      </c>
      <c r="R992" s="7">
        <f>'1 datos preparados'!Q985</f>
        <v/>
      </c>
      <c r="S992" s="7">
        <f>'1 datos preparados'!R985</f>
        <v/>
      </c>
      <c r="T992" s="7">
        <f>'1 datos preparados'!S985</f>
        <v/>
      </c>
      <c r="U992" s="7">
        <f>'1 datos preparados'!T985</f>
        <v/>
      </c>
      <c r="V992" s="8">
        <f>$AE$12+D992*$AE$13+E992*$AE$14+F992*$AE$15+G992*$AE$16+H992*$AE$17+I992*$AE$18+J992*$AE$19+K992*$AE$20+L992*$AE$21+M992*$AE$22+N992*$AE$23+O992*$AE$24+P992*$AE$25+Q992*$AE$26+R992*$AE$27+S992*$AE$28+T992*$AE$29+U992*$AE$30</f>
        <v/>
      </c>
      <c r="W992" s="8">
        <f>1/(1+EXP(-V992))</f>
        <v/>
      </c>
      <c r="X992" s="9">
        <f>-IF(C992=1,LN(W992),LN(1-W992))</f>
        <v/>
      </c>
      <c r="Y992" s="8">
        <f>1</f>
        <v/>
      </c>
      <c r="Z992" s="9">
        <f>Y992*X992</f>
        <v/>
      </c>
      <c r="AA992" s="10">
        <f>IF(W992&gt;$AE$32,1,0)</f>
        <v/>
      </c>
      <c r="AB992">
        <f>IF(AA992=C992,1,0)</f>
        <v/>
      </c>
    </row>
    <row r="993">
      <c r="A993">
        <f>'1 datos preparados'!A986</f>
        <v/>
      </c>
      <c r="B993" s="5">
        <f>'1 datos preparados'!U986</f>
        <v/>
      </c>
      <c r="C993">
        <f>'1 datos preparados'!B986</f>
        <v/>
      </c>
      <c r="D993" s="7">
        <f>'1 datos preparados'!C986</f>
        <v/>
      </c>
      <c r="E993" s="7">
        <f>'1 datos preparados'!D986</f>
        <v/>
      </c>
      <c r="F993" s="7">
        <f>'1 datos preparados'!E986</f>
        <v/>
      </c>
      <c r="G993" s="7">
        <f>'1 datos preparados'!F986</f>
        <v/>
      </c>
      <c r="H993" s="7">
        <f>'1 datos preparados'!G986</f>
        <v/>
      </c>
      <c r="I993" s="7">
        <f>'1 datos preparados'!H986</f>
        <v/>
      </c>
      <c r="J993" s="7">
        <f>'1 datos preparados'!I986</f>
        <v/>
      </c>
      <c r="K993" s="7">
        <f>'1 datos preparados'!J986</f>
        <v/>
      </c>
      <c r="L993" s="7">
        <f>'1 datos preparados'!K986</f>
        <v/>
      </c>
      <c r="M993" s="7">
        <f>'1 datos preparados'!L986</f>
        <v/>
      </c>
      <c r="N993" s="7">
        <f>'1 datos preparados'!M986</f>
        <v/>
      </c>
      <c r="O993" s="7">
        <f>'1 datos preparados'!N986</f>
        <v/>
      </c>
      <c r="P993" s="7">
        <f>'1 datos preparados'!O986</f>
        <v/>
      </c>
      <c r="Q993" s="7">
        <f>'1 datos preparados'!P986</f>
        <v/>
      </c>
      <c r="R993" s="7">
        <f>'1 datos preparados'!Q986</f>
        <v/>
      </c>
      <c r="S993" s="7">
        <f>'1 datos preparados'!R986</f>
        <v/>
      </c>
      <c r="T993" s="7">
        <f>'1 datos preparados'!S986</f>
        <v/>
      </c>
      <c r="U993" s="7">
        <f>'1 datos preparados'!T986</f>
        <v/>
      </c>
      <c r="V993" s="8">
        <f>$AE$12+D993*$AE$13+E993*$AE$14+F993*$AE$15+G993*$AE$16+H993*$AE$17+I993*$AE$18+J993*$AE$19+K993*$AE$20+L993*$AE$21+M993*$AE$22+N993*$AE$23+O993*$AE$24+P993*$AE$25+Q993*$AE$26+R993*$AE$27+S993*$AE$28+T993*$AE$29+U993*$AE$30</f>
        <v/>
      </c>
      <c r="W993" s="8">
        <f>1/(1+EXP(-V993))</f>
        <v/>
      </c>
      <c r="X993" s="9">
        <f>-IF(C993=1,LN(W993),LN(1-W993))</f>
        <v/>
      </c>
      <c r="Y993" s="8">
        <f>1</f>
        <v/>
      </c>
      <c r="Z993" s="9">
        <f>Y993*X993</f>
        <v/>
      </c>
      <c r="AA993" s="10">
        <f>IF(W993&gt;$AE$32,1,0)</f>
        <v/>
      </c>
      <c r="AB993">
        <f>IF(AA993=C993,1,0)</f>
        <v/>
      </c>
    </row>
    <row r="994">
      <c r="A994">
        <f>'1 datos preparados'!A987</f>
        <v/>
      </c>
      <c r="B994" s="5">
        <f>'1 datos preparados'!U987</f>
        <v/>
      </c>
      <c r="C994">
        <f>'1 datos preparados'!B987</f>
        <v/>
      </c>
      <c r="D994" s="7">
        <f>'1 datos preparados'!C987</f>
        <v/>
      </c>
      <c r="E994" s="7">
        <f>'1 datos preparados'!D987</f>
        <v/>
      </c>
      <c r="F994" s="7">
        <f>'1 datos preparados'!E987</f>
        <v/>
      </c>
      <c r="G994" s="7">
        <f>'1 datos preparados'!F987</f>
        <v/>
      </c>
      <c r="H994" s="7">
        <f>'1 datos preparados'!G987</f>
        <v/>
      </c>
      <c r="I994" s="7">
        <f>'1 datos preparados'!H987</f>
        <v/>
      </c>
      <c r="J994" s="7">
        <f>'1 datos preparados'!I987</f>
        <v/>
      </c>
      <c r="K994" s="7">
        <f>'1 datos preparados'!J987</f>
        <v/>
      </c>
      <c r="L994" s="7">
        <f>'1 datos preparados'!K987</f>
        <v/>
      </c>
      <c r="M994" s="7">
        <f>'1 datos preparados'!L987</f>
        <v/>
      </c>
      <c r="N994" s="7">
        <f>'1 datos preparados'!M987</f>
        <v/>
      </c>
      <c r="O994" s="7">
        <f>'1 datos preparados'!N987</f>
        <v/>
      </c>
      <c r="P994" s="7">
        <f>'1 datos preparados'!O987</f>
        <v/>
      </c>
      <c r="Q994" s="7">
        <f>'1 datos preparados'!P987</f>
        <v/>
      </c>
      <c r="R994" s="7">
        <f>'1 datos preparados'!Q987</f>
        <v/>
      </c>
      <c r="S994" s="7">
        <f>'1 datos preparados'!R987</f>
        <v/>
      </c>
      <c r="T994" s="7">
        <f>'1 datos preparados'!S987</f>
        <v/>
      </c>
      <c r="U994" s="7">
        <f>'1 datos preparados'!T987</f>
        <v/>
      </c>
      <c r="V994" s="8">
        <f>$AE$12+D994*$AE$13+E994*$AE$14+F994*$AE$15+G994*$AE$16+H994*$AE$17+I994*$AE$18+J994*$AE$19+K994*$AE$20+L994*$AE$21+M994*$AE$22+N994*$AE$23+O994*$AE$24+P994*$AE$25+Q994*$AE$26+R994*$AE$27+S994*$AE$28+T994*$AE$29+U994*$AE$30</f>
        <v/>
      </c>
      <c r="W994" s="8">
        <f>1/(1+EXP(-V994))</f>
        <v/>
      </c>
      <c r="X994" s="9">
        <f>-IF(C994=1,LN(W994),LN(1-W994))</f>
        <v/>
      </c>
      <c r="Y994" s="8">
        <f>1</f>
        <v/>
      </c>
      <c r="Z994" s="9">
        <f>Y994*X994</f>
        <v/>
      </c>
      <c r="AA994" s="10">
        <f>IF(W994&gt;$AE$32,1,0)</f>
        <v/>
      </c>
      <c r="AB994">
        <f>IF(AA994=C994,1,0)</f>
        <v/>
      </c>
    </row>
    <row r="995">
      <c r="A995">
        <f>'1 datos preparados'!A988</f>
        <v/>
      </c>
      <c r="B995" s="5">
        <f>'1 datos preparados'!U988</f>
        <v/>
      </c>
      <c r="C995">
        <f>'1 datos preparados'!B988</f>
        <v/>
      </c>
      <c r="D995" s="7">
        <f>'1 datos preparados'!C988</f>
        <v/>
      </c>
      <c r="E995" s="7">
        <f>'1 datos preparados'!D988</f>
        <v/>
      </c>
      <c r="F995" s="7">
        <f>'1 datos preparados'!E988</f>
        <v/>
      </c>
      <c r="G995" s="7">
        <f>'1 datos preparados'!F988</f>
        <v/>
      </c>
      <c r="H995" s="7">
        <f>'1 datos preparados'!G988</f>
        <v/>
      </c>
      <c r="I995" s="7">
        <f>'1 datos preparados'!H988</f>
        <v/>
      </c>
      <c r="J995" s="7">
        <f>'1 datos preparados'!I988</f>
        <v/>
      </c>
      <c r="K995" s="7">
        <f>'1 datos preparados'!J988</f>
        <v/>
      </c>
      <c r="L995" s="7">
        <f>'1 datos preparados'!K988</f>
        <v/>
      </c>
      <c r="M995" s="7">
        <f>'1 datos preparados'!L988</f>
        <v/>
      </c>
      <c r="N995" s="7">
        <f>'1 datos preparados'!M988</f>
        <v/>
      </c>
      <c r="O995" s="7">
        <f>'1 datos preparados'!N988</f>
        <v/>
      </c>
      <c r="P995" s="7">
        <f>'1 datos preparados'!O988</f>
        <v/>
      </c>
      <c r="Q995" s="7">
        <f>'1 datos preparados'!P988</f>
        <v/>
      </c>
      <c r="R995" s="7">
        <f>'1 datos preparados'!Q988</f>
        <v/>
      </c>
      <c r="S995" s="7">
        <f>'1 datos preparados'!R988</f>
        <v/>
      </c>
      <c r="T995" s="7">
        <f>'1 datos preparados'!S988</f>
        <v/>
      </c>
      <c r="U995" s="7">
        <f>'1 datos preparados'!T988</f>
        <v/>
      </c>
      <c r="V995" s="8">
        <f>$AE$12+D995*$AE$13+E995*$AE$14+F995*$AE$15+G995*$AE$16+H995*$AE$17+I995*$AE$18+J995*$AE$19+K995*$AE$20+L995*$AE$21+M995*$AE$22+N995*$AE$23+O995*$AE$24+P995*$AE$25+Q995*$AE$26+R995*$AE$27+S995*$AE$28+T995*$AE$29+U995*$AE$30</f>
        <v/>
      </c>
      <c r="W995" s="8">
        <f>1/(1+EXP(-V995))</f>
        <v/>
      </c>
      <c r="X995" s="9">
        <f>-IF(C995=1,LN(W995),LN(1-W995))</f>
        <v/>
      </c>
      <c r="Y995" s="8">
        <f>1</f>
        <v/>
      </c>
      <c r="Z995" s="9">
        <f>Y995*X995</f>
        <v/>
      </c>
      <c r="AA995" s="10">
        <f>IF(W995&gt;$AE$32,1,0)</f>
        <v/>
      </c>
      <c r="AB995">
        <f>IF(AA995=C995,1,0)</f>
        <v/>
      </c>
    </row>
    <row r="996">
      <c r="A996">
        <f>'1 datos preparados'!A989</f>
        <v/>
      </c>
      <c r="B996" s="5">
        <f>'1 datos preparados'!U989</f>
        <v/>
      </c>
      <c r="C996">
        <f>'1 datos preparados'!B989</f>
        <v/>
      </c>
      <c r="D996" s="7">
        <f>'1 datos preparados'!C989</f>
        <v/>
      </c>
      <c r="E996" s="7">
        <f>'1 datos preparados'!D989</f>
        <v/>
      </c>
      <c r="F996" s="7">
        <f>'1 datos preparados'!E989</f>
        <v/>
      </c>
      <c r="G996" s="7">
        <f>'1 datos preparados'!F989</f>
        <v/>
      </c>
      <c r="H996" s="7">
        <f>'1 datos preparados'!G989</f>
        <v/>
      </c>
      <c r="I996" s="7">
        <f>'1 datos preparados'!H989</f>
        <v/>
      </c>
      <c r="J996" s="7">
        <f>'1 datos preparados'!I989</f>
        <v/>
      </c>
      <c r="K996" s="7">
        <f>'1 datos preparados'!J989</f>
        <v/>
      </c>
      <c r="L996" s="7">
        <f>'1 datos preparados'!K989</f>
        <v/>
      </c>
      <c r="M996" s="7">
        <f>'1 datos preparados'!L989</f>
        <v/>
      </c>
      <c r="N996" s="7">
        <f>'1 datos preparados'!M989</f>
        <v/>
      </c>
      <c r="O996" s="7">
        <f>'1 datos preparados'!N989</f>
        <v/>
      </c>
      <c r="P996" s="7">
        <f>'1 datos preparados'!O989</f>
        <v/>
      </c>
      <c r="Q996" s="7">
        <f>'1 datos preparados'!P989</f>
        <v/>
      </c>
      <c r="R996" s="7">
        <f>'1 datos preparados'!Q989</f>
        <v/>
      </c>
      <c r="S996" s="7">
        <f>'1 datos preparados'!R989</f>
        <v/>
      </c>
      <c r="T996" s="7">
        <f>'1 datos preparados'!S989</f>
        <v/>
      </c>
      <c r="U996" s="7">
        <f>'1 datos preparados'!T989</f>
        <v/>
      </c>
      <c r="V996" s="8">
        <f>$AE$12+D996*$AE$13+E996*$AE$14+F996*$AE$15+G996*$AE$16+H996*$AE$17+I996*$AE$18+J996*$AE$19+K996*$AE$20+L996*$AE$21+M996*$AE$22+N996*$AE$23+O996*$AE$24+P996*$AE$25+Q996*$AE$26+R996*$AE$27+S996*$AE$28+T996*$AE$29+U996*$AE$30</f>
        <v/>
      </c>
      <c r="W996" s="8">
        <f>1/(1+EXP(-V996))</f>
        <v/>
      </c>
      <c r="X996" s="9">
        <f>-IF(C996=1,LN(W996),LN(1-W996))</f>
        <v/>
      </c>
      <c r="Y996" s="8">
        <f>1</f>
        <v/>
      </c>
      <c r="Z996" s="9">
        <f>Y996*X996</f>
        <v/>
      </c>
      <c r="AA996" s="10">
        <f>IF(W996&gt;$AE$32,1,0)</f>
        <v/>
      </c>
      <c r="AB996">
        <f>IF(AA996=C996,1,0)</f>
        <v/>
      </c>
    </row>
    <row r="997">
      <c r="A997">
        <f>'1 datos preparados'!A990</f>
        <v/>
      </c>
      <c r="B997" s="5">
        <f>'1 datos preparados'!U990</f>
        <v/>
      </c>
      <c r="C997">
        <f>'1 datos preparados'!B990</f>
        <v/>
      </c>
      <c r="D997" s="7">
        <f>'1 datos preparados'!C990</f>
        <v/>
      </c>
      <c r="E997" s="7">
        <f>'1 datos preparados'!D990</f>
        <v/>
      </c>
      <c r="F997" s="7">
        <f>'1 datos preparados'!E990</f>
        <v/>
      </c>
      <c r="G997" s="7">
        <f>'1 datos preparados'!F990</f>
        <v/>
      </c>
      <c r="H997" s="7">
        <f>'1 datos preparados'!G990</f>
        <v/>
      </c>
      <c r="I997" s="7">
        <f>'1 datos preparados'!H990</f>
        <v/>
      </c>
      <c r="J997" s="7">
        <f>'1 datos preparados'!I990</f>
        <v/>
      </c>
      <c r="K997" s="7">
        <f>'1 datos preparados'!J990</f>
        <v/>
      </c>
      <c r="L997" s="7">
        <f>'1 datos preparados'!K990</f>
        <v/>
      </c>
      <c r="M997" s="7">
        <f>'1 datos preparados'!L990</f>
        <v/>
      </c>
      <c r="N997" s="7">
        <f>'1 datos preparados'!M990</f>
        <v/>
      </c>
      <c r="O997" s="7">
        <f>'1 datos preparados'!N990</f>
        <v/>
      </c>
      <c r="P997" s="7">
        <f>'1 datos preparados'!O990</f>
        <v/>
      </c>
      <c r="Q997" s="7">
        <f>'1 datos preparados'!P990</f>
        <v/>
      </c>
      <c r="R997" s="7">
        <f>'1 datos preparados'!Q990</f>
        <v/>
      </c>
      <c r="S997" s="7">
        <f>'1 datos preparados'!R990</f>
        <v/>
      </c>
      <c r="T997" s="7">
        <f>'1 datos preparados'!S990</f>
        <v/>
      </c>
      <c r="U997" s="7">
        <f>'1 datos preparados'!T990</f>
        <v/>
      </c>
      <c r="V997" s="8">
        <f>$AE$12+D997*$AE$13+E997*$AE$14+F997*$AE$15+G997*$AE$16+H997*$AE$17+I997*$AE$18+J997*$AE$19+K997*$AE$20+L997*$AE$21+M997*$AE$22+N997*$AE$23+O997*$AE$24+P997*$AE$25+Q997*$AE$26+R997*$AE$27+S997*$AE$28+T997*$AE$29+U997*$AE$30</f>
        <v/>
      </c>
      <c r="W997" s="8">
        <f>1/(1+EXP(-V997))</f>
        <v/>
      </c>
      <c r="X997" s="9">
        <f>-IF(C997=1,LN(W997),LN(1-W997))</f>
        <v/>
      </c>
      <c r="Y997" s="8">
        <f>1</f>
        <v/>
      </c>
      <c r="Z997" s="9">
        <f>Y997*X997</f>
        <v/>
      </c>
      <c r="AA997" s="10">
        <f>IF(W997&gt;$AE$32,1,0)</f>
        <v/>
      </c>
      <c r="AB997">
        <f>IF(AA997=C997,1,0)</f>
        <v/>
      </c>
    </row>
    <row r="998">
      <c r="A998">
        <f>'1 datos preparados'!A991</f>
        <v/>
      </c>
      <c r="B998" s="5">
        <f>'1 datos preparados'!U991</f>
        <v/>
      </c>
      <c r="C998">
        <f>'1 datos preparados'!B991</f>
        <v/>
      </c>
      <c r="D998" s="7">
        <f>'1 datos preparados'!C991</f>
        <v/>
      </c>
      <c r="E998" s="7">
        <f>'1 datos preparados'!D991</f>
        <v/>
      </c>
      <c r="F998" s="7">
        <f>'1 datos preparados'!E991</f>
        <v/>
      </c>
      <c r="G998" s="7">
        <f>'1 datos preparados'!F991</f>
        <v/>
      </c>
      <c r="H998" s="7">
        <f>'1 datos preparados'!G991</f>
        <v/>
      </c>
      <c r="I998" s="7">
        <f>'1 datos preparados'!H991</f>
        <v/>
      </c>
      <c r="J998" s="7">
        <f>'1 datos preparados'!I991</f>
        <v/>
      </c>
      <c r="K998" s="7">
        <f>'1 datos preparados'!J991</f>
        <v/>
      </c>
      <c r="L998" s="7">
        <f>'1 datos preparados'!K991</f>
        <v/>
      </c>
      <c r="M998" s="7">
        <f>'1 datos preparados'!L991</f>
        <v/>
      </c>
      <c r="N998" s="7">
        <f>'1 datos preparados'!M991</f>
        <v/>
      </c>
      <c r="O998" s="7">
        <f>'1 datos preparados'!N991</f>
        <v/>
      </c>
      <c r="P998" s="7">
        <f>'1 datos preparados'!O991</f>
        <v/>
      </c>
      <c r="Q998" s="7">
        <f>'1 datos preparados'!P991</f>
        <v/>
      </c>
      <c r="R998" s="7">
        <f>'1 datos preparados'!Q991</f>
        <v/>
      </c>
      <c r="S998" s="7">
        <f>'1 datos preparados'!R991</f>
        <v/>
      </c>
      <c r="T998" s="7">
        <f>'1 datos preparados'!S991</f>
        <v/>
      </c>
      <c r="U998" s="7">
        <f>'1 datos preparados'!T991</f>
        <v/>
      </c>
      <c r="V998" s="8">
        <f>$AE$12+D998*$AE$13+E998*$AE$14+F998*$AE$15+G998*$AE$16+H998*$AE$17+I998*$AE$18+J998*$AE$19+K998*$AE$20+L998*$AE$21+M998*$AE$22+N998*$AE$23+O998*$AE$24+P998*$AE$25+Q998*$AE$26+R998*$AE$27+S998*$AE$28+T998*$AE$29+U998*$AE$30</f>
        <v/>
      </c>
      <c r="W998" s="8">
        <f>1/(1+EXP(-V998))</f>
        <v/>
      </c>
      <c r="X998" s="9">
        <f>-IF(C998=1,LN(W998),LN(1-W998))</f>
        <v/>
      </c>
      <c r="Y998" s="8">
        <f>1</f>
        <v/>
      </c>
      <c r="Z998" s="9">
        <f>Y998*X998</f>
        <v/>
      </c>
      <c r="AA998" s="10">
        <f>IF(W998&gt;$AE$32,1,0)</f>
        <v/>
      </c>
      <c r="AB998">
        <f>IF(AA998=C998,1,0)</f>
        <v/>
      </c>
    </row>
    <row r="999">
      <c r="A999">
        <f>'1 datos preparados'!A992</f>
        <v/>
      </c>
      <c r="B999" s="5">
        <f>'1 datos preparados'!U992</f>
        <v/>
      </c>
      <c r="C999">
        <f>'1 datos preparados'!B992</f>
        <v/>
      </c>
      <c r="D999" s="7">
        <f>'1 datos preparados'!C992</f>
        <v/>
      </c>
      <c r="E999" s="7">
        <f>'1 datos preparados'!D992</f>
        <v/>
      </c>
      <c r="F999" s="7">
        <f>'1 datos preparados'!E992</f>
        <v/>
      </c>
      <c r="G999" s="7">
        <f>'1 datos preparados'!F992</f>
        <v/>
      </c>
      <c r="H999" s="7">
        <f>'1 datos preparados'!G992</f>
        <v/>
      </c>
      <c r="I999" s="7">
        <f>'1 datos preparados'!H992</f>
        <v/>
      </c>
      <c r="J999" s="7">
        <f>'1 datos preparados'!I992</f>
        <v/>
      </c>
      <c r="K999" s="7">
        <f>'1 datos preparados'!J992</f>
        <v/>
      </c>
      <c r="L999" s="7">
        <f>'1 datos preparados'!K992</f>
        <v/>
      </c>
      <c r="M999" s="7">
        <f>'1 datos preparados'!L992</f>
        <v/>
      </c>
      <c r="N999" s="7">
        <f>'1 datos preparados'!M992</f>
        <v/>
      </c>
      <c r="O999" s="7">
        <f>'1 datos preparados'!N992</f>
        <v/>
      </c>
      <c r="P999" s="7">
        <f>'1 datos preparados'!O992</f>
        <v/>
      </c>
      <c r="Q999" s="7">
        <f>'1 datos preparados'!P992</f>
        <v/>
      </c>
      <c r="R999" s="7">
        <f>'1 datos preparados'!Q992</f>
        <v/>
      </c>
      <c r="S999" s="7">
        <f>'1 datos preparados'!R992</f>
        <v/>
      </c>
      <c r="T999" s="7">
        <f>'1 datos preparados'!S992</f>
        <v/>
      </c>
      <c r="U999" s="7">
        <f>'1 datos preparados'!T992</f>
        <v/>
      </c>
      <c r="V999" s="8">
        <f>$AE$12+D999*$AE$13+E999*$AE$14+F999*$AE$15+G999*$AE$16+H999*$AE$17+I999*$AE$18+J999*$AE$19+K999*$AE$20+L999*$AE$21+M999*$AE$22+N999*$AE$23+O999*$AE$24+P999*$AE$25+Q999*$AE$26+R999*$AE$27+S999*$AE$28+T999*$AE$29+U999*$AE$30</f>
        <v/>
      </c>
      <c r="W999" s="8">
        <f>1/(1+EXP(-V999))</f>
        <v/>
      </c>
      <c r="X999" s="9">
        <f>-IF(C999=1,LN(W999),LN(1-W999))</f>
        <v/>
      </c>
      <c r="Y999" s="8">
        <f>1</f>
        <v/>
      </c>
      <c r="Z999" s="9">
        <f>Y999*X999</f>
        <v/>
      </c>
      <c r="AA999" s="10">
        <f>IF(W999&gt;$AE$32,1,0)</f>
        <v/>
      </c>
      <c r="AB999">
        <f>IF(AA999=C999,1,0)</f>
        <v/>
      </c>
    </row>
    <row r="1000">
      <c r="A1000">
        <f>'1 datos preparados'!A993</f>
        <v/>
      </c>
      <c r="B1000" s="5">
        <f>'1 datos preparados'!U993</f>
        <v/>
      </c>
      <c r="C1000">
        <f>'1 datos preparados'!B993</f>
        <v/>
      </c>
      <c r="D1000" s="7">
        <f>'1 datos preparados'!C993</f>
        <v/>
      </c>
      <c r="E1000" s="7">
        <f>'1 datos preparados'!D993</f>
        <v/>
      </c>
      <c r="F1000" s="7">
        <f>'1 datos preparados'!E993</f>
        <v/>
      </c>
      <c r="G1000" s="7">
        <f>'1 datos preparados'!F993</f>
        <v/>
      </c>
      <c r="H1000" s="7">
        <f>'1 datos preparados'!G993</f>
        <v/>
      </c>
      <c r="I1000" s="7">
        <f>'1 datos preparados'!H993</f>
        <v/>
      </c>
      <c r="J1000" s="7">
        <f>'1 datos preparados'!I993</f>
        <v/>
      </c>
      <c r="K1000" s="7">
        <f>'1 datos preparados'!J993</f>
        <v/>
      </c>
      <c r="L1000" s="7">
        <f>'1 datos preparados'!K993</f>
        <v/>
      </c>
      <c r="M1000" s="7">
        <f>'1 datos preparados'!L993</f>
        <v/>
      </c>
      <c r="N1000" s="7">
        <f>'1 datos preparados'!M993</f>
        <v/>
      </c>
      <c r="O1000" s="7">
        <f>'1 datos preparados'!N993</f>
        <v/>
      </c>
      <c r="P1000" s="7">
        <f>'1 datos preparados'!O993</f>
        <v/>
      </c>
      <c r="Q1000" s="7">
        <f>'1 datos preparados'!P993</f>
        <v/>
      </c>
      <c r="R1000" s="7">
        <f>'1 datos preparados'!Q993</f>
        <v/>
      </c>
      <c r="S1000" s="7">
        <f>'1 datos preparados'!R993</f>
        <v/>
      </c>
      <c r="T1000" s="7">
        <f>'1 datos preparados'!S993</f>
        <v/>
      </c>
      <c r="U1000" s="7">
        <f>'1 datos preparados'!T993</f>
        <v/>
      </c>
      <c r="V1000" s="8">
        <f>$AE$12+D1000*$AE$13+E1000*$AE$14+F1000*$AE$15+G1000*$AE$16+H1000*$AE$17+I1000*$AE$18+J1000*$AE$19+K1000*$AE$20+L1000*$AE$21+M1000*$AE$22+N1000*$AE$23+O1000*$AE$24+P1000*$AE$25+Q1000*$AE$26+R1000*$AE$27+S1000*$AE$28+T1000*$AE$29+U1000*$AE$30</f>
        <v/>
      </c>
      <c r="W1000" s="8">
        <f>1/(1+EXP(-V1000))</f>
        <v/>
      </c>
      <c r="X1000" s="9">
        <f>-IF(C1000=1,LN(W1000),LN(1-W1000))</f>
        <v/>
      </c>
      <c r="Y1000" s="8">
        <f>1</f>
        <v/>
      </c>
      <c r="Z1000" s="9">
        <f>Y1000*X1000</f>
        <v/>
      </c>
      <c r="AA1000" s="10">
        <f>IF(W1000&gt;$AE$32,1,0)</f>
        <v/>
      </c>
      <c r="AB1000">
        <f>IF(AA1000=C1000,1,0)</f>
        <v/>
      </c>
    </row>
    <row r="1001">
      <c r="A1001">
        <f>'1 datos preparados'!A994</f>
        <v/>
      </c>
      <c r="B1001" s="5">
        <f>'1 datos preparados'!U994</f>
        <v/>
      </c>
      <c r="C1001">
        <f>'1 datos preparados'!B994</f>
        <v/>
      </c>
      <c r="D1001" s="7">
        <f>'1 datos preparados'!C994</f>
        <v/>
      </c>
      <c r="E1001" s="7">
        <f>'1 datos preparados'!D994</f>
        <v/>
      </c>
      <c r="F1001" s="7">
        <f>'1 datos preparados'!E994</f>
        <v/>
      </c>
      <c r="G1001" s="7">
        <f>'1 datos preparados'!F994</f>
        <v/>
      </c>
      <c r="H1001" s="7">
        <f>'1 datos preparados'!G994</f>
        <v/>
      </c>
      <c r="I1001" s="7">
        <f>'1 datos preparados'!H994</f>
        <v/>
      </c>
      <c r="J1001" s="7">
        <f>'1 datos preparados'!I994</f>
        <v/>
      </c>
      <c r="K1001" s="7">
        <f>'1 datos preparados'!J994</f>
        <v/>
      </c>
      <c r="L1001" s="7">
        <f>'1 datos preparados'!K994</f>
        <v/>
      </c>
      <c r="M1001" s="7">
        <f>'1 datos preparados'!L994</f>
        <v/>
      </c>
      <c r="N1001" s="7">
        <f>'1 datos preparados'!M994</f>
        <v/>
      </c>
      <c r="O1001" s="7">
        <f>'1 datos preparados'!N994</f>
        <v/>
      </c>
      <c r="P1001" s="7">
        <f>'1 datos preparados'!O994</f>
        <v/>
      </c>
      <c r="Q1001" s="7">
        <f>'1 datos preparados'!P994</f>
        <v/>
      </c>
      <c r="R1001" s="7">
        <f>'1 datos preparados'!Q994</f>
        <v/>
      </c>
      <c r="S1001" s="7">
        <f>'1 datos preparados'!R994</f>
        <v/>
      </c>
      <c r="T1001" s="7">
        <f>'1 datos preparados'!S994</f>
        <v/>
      </c>
      <c r="U1001" s="7">
        <f>'1 datos preparados'!T994</f>
        <v/>
      </c>
      <c r="V1001" s="8">
        <f>$AE$12+D1001*$AE$13+E1001*$AE$14+F1001*$AE$15+G1001*$AE$16+H1001*$AE$17+I1001*$AE$18+J1001*$AE$19+K1001*$AE$20+L1001*$AE$21+M1001*$AE$22+N1001*$AE$23+O1001*$AE$24+P1001*$AE$25+Q1001*$AE$26+R1001*$AE$27+S1001*$AE$28+T1001*$AE$29+U1001*$AE$30</f>
        <v/>
      </c>
      <c r="W1001" s="8">
        <f>1/(1+EXP(-V1001))</f>
        <v/>
      </c>
      <c r="X1001" s="9">
        <f>-IF(C1001=1,LN(W1001),LN(1-W1001))</f>
        <v/>
      </c>
      <c r="Y1001" s="8">
        <f>1</f>
        <v/>
      </c>
      <c r="Z1001" s="9">
        <f>Y1001*X1001</f>
        <v/>
      </c>
      <c r="AA1001" s="10">
        <f>IF(W1001&gt;$AE$32,1,0)</f>
        <v/>
      </c>
      <c r="AB1001">
        <f>IF(AA1001=C1001,1,0)</f>
        <v/>
      </c>
    </row>
    <row r="1002">
      <c r="A1002">
        <f>'1 datos preparados'!A995</f>
        <v/>
      </c>
      <c r="B1002" s="5">
        <f>'1 datos preparados'!U995</f>
        <v/>
      </c>
      <c r="C1002">
        <f>'1 datos preparados'!B995</f>
        <v/>
      </c>
      <c r="D1002" s="7">
        <f>'1 datos preparados'!C995</f>
        <v/>
      </c>
      <c r="E1002" s="7">
        <f>'1 datos preparados'!D995</f>
        <v/>
      </c>
      <c r="F1002" s="7">
        <f>'1 datos preparados'!E995</f>
        <v/>
      </c>
      <c r="G1002" s="7">
        <f>'1 datos preparados'!F995</f>
        <v/>
      </c>
      <c r="H1002" s="7">
        <f>'1 datos preparados'!G995</f>
        <v/>
      </c>
      <c r="I1002" s="7">
        <f>'1 datos preparados'!H995</f>
        <v/>
      </c>
      <c r="J1002" s="7">
        <f>'1 datos preparados'!I995</f>
        <v/>
      </c>
      <c r="K1002" s="7">
        <f>'1 datos preparados'!J995</f>
        <v/>
      </c>
      <c r="L1002" s="7">
        <f>'1 datos preparados'!K995</f>
        <v/>
      </c>
      <c r="M1002" s="7">
        <f>'1 datos preparados'!L995</f>
        <v/>
      </c>
      <c r="N1002" s="7">
        <f>'1 datos preparados'!M995</f>
        <v/>
      </c>
      <c r="O1002" s="7">
        <f>'1 datos preparados'!N995</f>
        <v/>
      </c>
      <c r="P1002" s="7">
        <f>'1 datos preparados'!O995</f>
        <v/>
      </c>
      <c r="Q1002" s="7">
        <f>'1 datos preparados'!P995</f>
        <v/>
      </c>
      <c r="R1002" s="7">
        <f>'1 datos preparados'!Q995</f>
        <v/>
      </c>
      <c r="S1002" s="7">
        <f>'1 datos preparados'!R995</f>
        <v/>
      </c>
      <c r="T1002" s="7">
        <f>'1 datos preparados'!S995</f>
        <v/>
      </c>
      <c r="U1002" s="7">
        <f>'1 datos preparados'!T995</f>
        <v/>
      </c>
      <c r="V1002" s="8">
        <f>$AE$12+D1002*$AE$13+E1002*$AE$14+F1002*$AE$15+G1002*$AE$16+H1002*$AE$17+I1002*$AE$18+J1002*$AE$19+K1002*$AE$20+L1002*$AE$21+M1002*$AE$22+N1002*$AE$23+O1002*$AE$24+P1002*$AE$25+Q1002*$AE$26+R1002*$AE$27+S1002*$AE$28+T1002*$AE$29+U1002*$AE$30</f>
        <v/>
      </c>
      <c r="W1002" s="8">
        <f>1/(1+EXP(-V1002))</f>
        <v/>
      </c>
      <c r="X1002" s="9">
        <f>-IF(C1002=1,LN(W1002),LN(1-W1002))</f>
        <v/>
      </c>
      <c r="Y1002" s="8">
        <f>1</f>
        <v/>
      </c>
      <c r="Z1002" s="9">
        <f>Y1002*X1002</f>
        <v/>
      </c>
      <c r="AA1002" s="10">
        <f>IF(W1002&gt;$AE$32,1,0)</f>
        <v/>
      </c>
      <c r="AB1002">
        <f>IF(AA1002=C1002,1,0)</f>
        <v/>
      </c>
    </row>
    <row r="1003">
      <c r="A1003">
        <f>'1 datos preparados'!A996</f>
        <v/>
      </c>
      <c r="B1003" s="5">
        <f>'1 datos preparados'!U996</f>
        <v/>
      </c>
      <c r="C1003">
        <f>'1 datos preparados'!B996</f>
        <v/>
      </c>
      <c r="D1003" s="7">
        <f>'1 datos preparados'!C996</f>
        <v/>
      </c>
      <c r="E1003" s="7">
        <f>'1 datos preparados'!D996</f>
        <v/>
      </c>
      <c r="F1003" s="7">
        <f>'1 datos preparados'!E996</f>
        <v/>
      </c>
      <c r="G1003" s="7">
        <f>'1 datos preparados'!F996</f>
        <v/>
      </c>
      <c r="H1003" s="7">
        <f>'1 datos preparados'!G996</f>
        <v/>
      </c>
      <c r="I1003" s="7">
        <f>'1 datos preparados'!H996</f>
        <v/>
      </c>
      <c r="J1003" s="7">
        <f>'1 datos preparados'!I996</f>
        <v/>
      </c>
      <c r="K1003" s="7">
        <f>'1 datos preparados'!J996</f>
        <v/>
      </c>
      <c r="L1003" s="7">
        <f>'1 datos preparados'!K996</f>
        <v/>
      </c>
      <c r="M1003" s="7">
        <f>'1 datos preparados'!L996</f>
        <v/>
      </c>
      <c r="N1003" s="7">
        <f>'1 datos preparados'!M996</f>
        <v/>
      </c>
      <c r="O1003" s="7">
        <f>'1 datos preparados'!N996</f>
        <v/>
      </c>
      <c r="P1003" s="7">
        <f>'1 datos preparados'!O996</f>
        <v/>
      </c>
      <c r="Q1003" s="7">
        <f>'1 datos preparados'!P996</f>
        <v/>
      </c>
      <c r="R1003" s="7">
        <f>'1 datos preparados'!Q996</f>
        <v/>
      </c>
      <c r="S1003" s="7">
        <f>'1 datos preparados'!R996</f>
        <v/>
      </c>
      <c r="T1003" s="7">
        <f>'1 datos preparados'!S996</f>
        <v/>
      </c>
      <c r="U1003" s="7">
        <f>'1 datos preparados'!T996</f>
        <v/>
      </c>
      <c r="V1003" s="8">
        <f>$AE$12+D1003*$AE$13+E1003*$AE$14+F1003*$AE$15+G1003*$AE$16+H1003*$AE$17+I1003*$AE$18+J1003*$AE$19+K1003*$AE$20+L1003*$AE$21+M1003*$AE$22+N1003*$AE$23+O1003*$AE$24+P1003*$AE$25+Q1003*$AE$26+R1003*$AE$27+S1003*$AE$28+T1003*$AE$29+U1003*$AE$30</f>
        <v/>
      </c>
      <c r="W1003" s="8">
        <f>1/(1+EXP(-V1003))</f>
        <v/>
      </c>
      <c r="X1003" s="9">
        <f>-IF(C1003=1,LN(W1003),LN(1-W1003))</f>
        <v/>
      </c>
      <c r="Y1003" s="8">
        <f>1</f>
        <v/>
      </c>
      <c r="Z1003" s="9">
        <f>Y1003*X1003</f>
        <v/>
      </c>
      <c r="AA1003" s="10">
        <f>IF(W1003&gt;$AE$32,1,0)</f>
        <v/>
      </c>
      <c r="AB1003">
        <f>IF(AA1003=C1003,1,0)</f>
        <v/>
      </c>
    </row>
    <row r="1004">
      <c r="A1004">
        <f>'1 datos preparados'!A997</f>
        <v/>
      </c>
      <c r="B1004" s="5">
        <f>'1 datos preparados'!U997</f>
        <v/>
      </c>
      <c r="C1004">
        <f>'1 datos preparados'!B997</f>
        <v/>
      </c>
      <c r="D1004" s="7">
        <f>'1 datos preparados'!C997</f>
        <v/>
      </c>
      <c r="E1004" s="7">
        <f>'1 datos preparados'!D997</f>
        <v/>
      </c>
      <c r="F1004" s="7">
        <f>'1 datos preparados'!E997</f>
        <v/>
      </c>
      <c r="G1004" s="7">
        <f>'1 datos preparados'!F997</f>
        <v/>
      </c>
      <c r="H1004" s="7">
        <f>'1 datos preparados'!G997</f>
        <v/>
      </c>
      <c r="I1004" s="7">
        <f>'1 datos preparados'!H997</f>
        <v/>
      </c>
      <c r="J1004" s="7">
        <f>'1 datos preparados'!I997</f>
        <v/>
      </c>
      <c r="K1004" s="7">
        <f>'1 datos preparados'!J997</f>
        <v/>
      </c>
      <c r="L1004" s="7">
        <f>'1 datos preparados'!K997</f>
        <v/>
      </c>
      <c r="M1004" s="7">
        <f>'1 datos preparados'!L997</f>
        <v/>
      </c>
      <c r="N1004" s="7">
        <f>'1 datos preparados'!M997</f>
        <v/>
      </c>
      <c r="O1004" s="7">
        <f>'1 datos preparados'!N997</f>
        <v/>
      </c>
      <c r="P1004" s="7">
        <f>'1 datos preparados'!O997</f>
        <v/>
      </c>
      <c r="Q1004" s="7">
        <f>'1 datos preparados'!P997</f>
        <v/>
      </c>
      <c r="R1004" s="7">
        <f>'1 datos preparados'!Q997</f>
        <v/>
      </c>
      <c r="S1004" s="7">
        <f>'1 datos preparados'!R997</f>
        <v/>
      </c>
      <c r="T1004" s="7">
        <f>'1 datos preparados'!S997</f>
        <v/>
      </c>
      <c r="U1004" s="7">
        <f>'1 datos preparados'!T997</f>
        <v/>
      </c>
      <c r="V1004" s="8">
        <f>$AE$12+D1004*$AE$13+E1004*$AE$14+F1004*$AE$15+G1004*$AE$16+H1004*$AE$17+I1004*$AE$18+J1004*$AE$19+K1004*$AE$20+L1004*$AE$21+M1004*$AE$22+N1004*$AE$23+O1004*$AE$24+P1004*$AE$25+Q1004*$AE$26+R1004*$AE$27+S1004*$AE$28+T1004*$AE$29+U1004*$AE$30</f>
        <v/>
      </c>
      <c r="W1004" s="8">
        <f>1/(1+EXP(-V1004))</f>
        <v/>
      </c>
      <c r="X1004" s="9">
        <f>-IF(C1004=1,LN(W1004),LN(1-W1004))</f>
        <v/>
      </c>
      <c r="Y1004" s="8">
        <f>1</f>
        <v/>
      </c>
      <c r="Z1004" s="9">
        <f>Y1004*X1004</f>
        <v/>
      </c>
      <c r="AA1004" s="10">
        <f>IF(W1004&gt;$AE$32,1,0)</f>
        <v/>
      </c>
      <c r="AB1004">
        <f>IF(AA1004=C1004,1,0)</f>
        <v/>
      </c>
    </row>
    <row r="1005">
      <c r="A1005">
        <f>'1 datos preparados'!A998</f>
        <v/>
      </c>
      <c r="B1005" s="5">
        <f>'1 datos preparados'!U998</f>
        <v/>
      </c>
      <c r="C1005">
        <f>'1 datos preparados'!B998</f>
        <v/>
      </c>
      <c r="D1005" s="7">
        <f>'1 datos preparados'!C998</f>
        <v/>
      </c>
      <c r="E1005" s="7">
        <f>'1 datos preparados'!D998</f>
        <v/>
      </c>
      <c r="F1005" s="7">
        <f>'1 datos preparados'!E998</f>
        <v/>
      </c>
      <c r="G1005" s="7">
        <f>'1 datos preparados'!F998</f>
        <v/>
      </c>
      <c r="H1005" s="7">
        <f>'1 datos preparados'!G998</f>
        <v/>
      </c>
      <c r="I1005" s="7">
        <f>'1 datos preparados'!H998</f>
        <v/>
      </c>
      <c r="J1005" s="7">
        <f>'1 datos preparados'!I998</f>
        <v/>
      </c>
      <c r="K1005" s="7">
        <f>'1 datos preparados'!J998</f>
        <v/>
      </c>
      <c r="L1005" s="7">
        <f>'1 datos preparados'!K998</f>
        <v/>
      </c>
      <c r="M1005" s="7">
        <f>'1 datos preparados'!L998</f>
        <v/>
      </c>
      <c r="N1005" s="7">
        <f>'1 datos preparados'!M998</f>
        <v/>
      </c>
      <c r="O1005" s="7">
        <f>'1 datos preparados'!N998</f>
        <v/>
      </c>
      <c r="P1005" s="7">
        <f>'1 datos preparados'!O998</f>
        <v/>
      </c>
      <c r="Q1005" s="7">
        <f>'1 datos preparados'!P998</f>
        <v/>
      </c>
      <c r="R1005" s="7">
        <f>'1 datos preparados'!Q998</f>
        <v/>
      </c>
      <c r="S1005" s="7">
        <f>'1 datos preparados'!R998</f>
        <v/>
      </c>
      <c r="T1005" s="7">
        <f>'1 datos preparados'!S998</f>
        <v/>
      </c>
      <c r="U1005" s="7">
        <f>'1 datos preparados'!T998</f>
        <v/>
      </c>
      <c r="V1005" s="8">
        <f>$AE$12+D1005*$AE$13+E1005*$AE$14+F1005*$AE$15+G1005*$AE$16+H1005*$AE$17+I1005*$AE$18+J1005*$AE$19+K1005*$AE$20+L1005*$AE$21+M1005*$AE$22+N1005*$AE$23+O1005*$AE$24+P1005*$AE$25+Q1005*$AE$26+R1005*$AE$27+S1005*$AE$28+T1005*$AE$29+U1005*$AE$30</f>
        <v/>
      </c>
      <c r="W1005" s="8">
        <f>1/(1+EXP(-V1005))</f>
        <v/>
      </c>
      <c r="X1005" s="9">
        <f>-IF(C1005=1,LN(W1005),LN(1-W1005))</f>
        <v/>
      </c>
      <c r="Y1005" s="8">
        <f>1</f>
        <v/>
      </c>
      <c r="Z1005" s="9">
        <f>Y1005*X1005</f>
        <v/>
      </c>
      <c r="AA1005" s="10">
        <f>IF(W1005&gt;$AE$32,1,0)</f>
        <v/>
      </c>
      <c r="AB1005">
        <f>IF(AA1005=C1005,1,0)</f>
        <v/>
      </c>
    </row>
    <row r="1006">
      <c r="A1006">
        <f>'1 datos preparados'!A999</f>
        <v/>
      </c>
      <c r="B1006" s="5">
        <f>'1 datos preparados'!U999</f>
        <v/>
      </c>
      <c r="C1006">
        <f>'1 datos preparados'!B999</f>
        <v/>
      </c>
      <c r="D1006" s="7">
        <f>'1 datos preparados'!C999</f>
        <v/>
      </c>
      <c r="E1006" s="7">
        <f>'1 datos preparados'!D999</f>
        <v/>
      </c>
      <c r="F1006" s="7">
        <f>'1 datos preparados'!E999</f>
        <v/>
      </c>
      <c r="G1006" s="7">
        <f>'1 datos preparados'!F999</f>
        <v/>
      </c>
      <c r="H1006" s="7">
        <f>'1 datos preparados'!G999</f>
        <v/>
      </c>
      <c r="I1006" s="7">
        <f>'1 datos preparados'!H999</f>
        <v/>
      </c>
      <c r="J1006" s="7">
        <f>'1 datos preparados'!I999</f>
        <v/>
      </c>
      <c r="K1006" s="7">
        <f>'1 datos preparados'!J999</f>
        <v/>
      </c>
      <c r="L1006" s="7">
        <f>'1 datos preparados'!K999</f>
        <v/>
      </c>
      <c r="M1006" s="7">
        <f>'1 datos preparados'!L999</f>
        <v/>
      </c>
      <c r="N1006" s="7">
        <f>'1 datos preparados'!M999</f>
        <v/>
      </c>
      <c r="O1006" s="7">
        <f>'1 datos preparados'!N999</f>
        <v/>
      </c>
      <c r="P1006" s="7">
        <f>'1 datos preparados'!O999</f>
        <v/>
      </c>
      <c r="Q1006" s="7">
        <f>'1 datos preparados'!P999</f>
        <v/>
      </c>
      <c r="R1006" s="7">
        <f>'1 datos preparados'!Q999</f>
        <v/>
      </c>
      <c r="S1006" s="7">
        <f>'1 datos preparados'!R999</f>
        <v/>
      </c>
      <c r="T1006" s="7">
        <f>'1 datos preparados'!S999</f>
        <v/>
      </c>
      <c r="U1006" s="7">
        <f>'1 datos preparados'!T999</f>
        <v/>
      </c>
      <c r="V1006" s="8">
        <f>$AE$12+D1006*$AE$13+E1006*$AE$14+F1006*$AE$15+G1006*$AE$16+H1006*$AE$17+I1006*$AE$18+J1006*$AE$19+K1006*$AE$20+L1006*$AE$21+M1006*$AE$22+N1006*$AE$23+O1006*$AE$24+P1006*$AE$25+Q1006*$AE$26+R1006*$AE$27+S1006*$AE$28+T1006*$AE$29+U1006*$AE$30</f>
        <v/>
      </c>
      <c r="W1006" s="8">
        <f>1/(1+EXP(-V1006))</f>
        <v/>
      </c>
      <c r="X1006" s="9">
        <f>-IF(C1006=1,LN(W1006),LN(1-W1006))</f>
        <v/>
      </c>
      <c r="Y1006" s="8">
        <f>1</f>
        <v/>
      </c>
      <c r="Z1006" s="9">
        <f>Y1006*X1006</f>
        <v/>
      </c>
      <c r="AA1006" s="10">
        <f>IF(W1006&gt;$AE$32,1,0)</f>
        <v/>
      </c>
      <c r="AB1006">
        <f>IF(AA1006=C1006,1,0)</f>
        <v/>
      </c>
    </row>
    <row r="1007">
      <c r="A1007">
        <f>'1 datos preparados'!A1000</f>
        <v/>
      </c>
      <c r="B1007" s="5">
        <f>'1 datos preparados'!U1000</f>
        <v/>
      </c>
      <c r="C1007">
        <f>'1 datos preparados'!B1000</f>
        <v/>
      </c>
      <c r="D1007" s="7">
        <f>'1 datos preparados'!C1000</f>
        <v/>
      </c>
      <c r="E1007" s="7">
        <f>'1 datos preparados'!D1000</f>
        <v/>
      </c>
      <c r="F1007" s="7">
        <f>'1 datos preparados'!E1000</f>
        <v/>
      </c>
      <c r="G1007" s="7">
        <f>'1 datos preparados'!F1000</f>
        <v/>
      </c>
      <c r="H1007" s="7">
        <f>'1 datos preparados'!G1000</f>
        <v/>
      </c>
      <c r="I1007" s="7">
        <f>'1 datos preparados'!H1000</f>
        <v/>
      </c>
      <c r="J1007" s="7">
        <f>'1 datos preparados'!I1000</f>
        <v/>
      </c>
      <c r="K1007" s="7">
        <f>'1 datos preparados'!J1000</f>
        <v/>
      </c>
      <c r="L1007" s="7">
        <f>'1 datos preparados'!K1000</f>
        <v/>
      </c>
      <c r="M1007" s="7">
        <f>'1 datos preparados'!L1000</f>
        <v/>
      </c>
      <c r="N1007" s="7">
        <f>'1 datos preparados'!M1000</f>
        <v/>
      </c>
      <c r="O1007" s="7">
        <f>'1 datos preparados'!N1000</f>
        <v/>
      </c>
      <c r="P1007" s="7">
        <f>'1 datos preparados'!O1000</f>
        <v/>
      </c>
      <c r="Q1007" s="7">
        <f>'1 datos preparados'!P1000</f>
        <v/>
      </c>
      <c r="R1007" s="7">
        <f>'1 datos preparados'!Q1000</f>
        <v/>
      </c>
      <c r="S1007" s="7">
        <f>'1 datos preparados'!R1000</f>
        <v/>
      </c>
      <c r="T1007" s="7">
        <f>'1 datos preparados'!S1000</f>
        <v/>
      </c>
      <c r="U1007" s="7">
        <f>'1 datos preparados'!T1000</f>
        <v/>
      </c>
      <c r="V1007" s="8">
        <f>$AE$12+D1007*$AE$13+E1007*$AE$14+F1007*$AE$15+G1007*$AE$16+H1007*$AE$17+I1007*$AE$18+J1007*$AE$19+K1007*$AE$20+L1007*$AE$21+M1007*$AE$22+N1007*$AE$23+O1007*$AE$24+P1007*$AE$25+Q1007*$AE$26+R1007*$AE$27+S1007*$AE$28+T1007*$AE$29+U1007*$AE$30</f>
        <v/>
      </c>
      <c r="W1007" s="8">
        <f>1/(1+EXP(-V1007))</f>
        <v/>
      </c>
      <c r="X1007" s="9">
        <f>-IF(C1007=1,LN(W1007),LN(1-W1007))</f>
        <v/>
      </c>
      <c r="Y1007" s="8">
        <f>1</f>
        <v/>
      </c>
      <c r="Z1007" s="9">
        <f>Y1007*X1007</f>
        <v/>
      </c>
      <c r="AA1007" s="10">
        <f>IF(W1007&gt;$AE$32,1,0)</f>
        <v/>
      </c>
      <c r="AB1007">
        <f>IF(AA1007=C1007,1,0)</f>
        <v/>
      </c>
    </row>
    <row r="1008">
      <c r="A1008">
        <f>'1 datos preparados'!A1001</f>
        <v/>
      </c>
      <c r="B1008" s="5">
        <f>'1 datos preparados'!U1001</f>
        <v/>
      </c>
      <c r="C1008">
        <f>'1 datos preparados'!B1001</f>
        <v/>
      </c>
      <c r="D1008" s="7">
        <f>'1 datos preparados'!C1001</f>
        <v/>
      </c>
      <c r="E1008" s="7">
        <f>'1 datos preparados'!D1001</f>
        <v/>
      </c>
      <c r="F1008" s="7">
        <f>'1 datos preparados'!E1001</f>
        <v/>
      </c>
      <c r="G1008" s="7">
        <f>'1 datos preparados'!F1001</f>
        <v/>
      </c>
      <c r="H1008" s="7">
        <f>'1 datos preparados'!G1001</f>
        <v/>
      </c>
      <c r="I1008" s="7">
        <f>'1 datos preparados'!H1001</f>
        <v/>
      </c>
      <c r="J1008" s="7">
        <f>'1 datos preparados'!I1001</f>
        <v/>
      </c>
      <c r="K1008" s="7">
        <f>'1 datos preparados'!J1001</f>
        <v/>
      </c>
      <c r="L1008" s="7">
        <f>'1 datos preparados'!K1001</f>
        <v/>
      </c>
      <c r="M1008" s="7">
        <f>'1 datos preparados'!L1001</f>
        <v/>
      </c>
      <c r="N1008" s="7">
        <f>'1 datos preparados'!M1001</f>
        <v/>
      </c>
      <c r="O1008" s="7">
        <f>'1 datos preparados'!N1001</f>
        <v/>
      </c>
      <c r="P1008" s="7">
        <f>'1 datos preparados'!O1001</f>
        <v/>
      </c>
      <c r="Q1008" s="7">
        <f>'1 datos preparados'!P1001</f>
        <v/>
      </c>
      <c r="R1008" s="7">
        <f>'1 datos preparados'!Q1001</f>
        <v/>
      </c>
      <c r="S1008" s="7">
        <f>'1 datos preparados'!R1001</f>
        <v/>
      </c>
      <c r="T1008" s="7">
        <f>'1 datos preparados'!S1001</f>
        <v/>
      </c>
      <c r="U1008" s="7">
        <f>'1 datos preparados'!T1001</f>
        <v/>
      </c>
      <c r="V1008" s="8">
        <f>$AE$12+D1008*$AE$13+E1008*$AE$14+F1008*$AE$15+G1008*$AE$16+H1008*$AE$17+I1008*$AE$18+J1008*$AE$19+K1008*$AE$20+L1008*$AE$21+M1008*$AE$22+N1008*$AE$23+O1008*$AE$24+P1008*$AE$25+Q1008*$AE$26+R1008*$AE$27+S1008*$AE$28+T1008*$AE$29+U1008*$AE$30</f>
        <v/>
      </c>
      <c r="W1008" s="8">
        <f>1/(1+EXP(-V1008))</f>
        <v/>
      </c>
      <c r="X1008" s="9">
        <f>-IF(C1008=1,LN(W1008),LN(1-W1008))</f>
        <v/>
      </c>
      <c r="Y1008" s="8">
        <f>1</f>
        <v/>
      </c>
      <c r="Z1008" s="9">
        <f>Y1008*X1008</f>
        <v/>
      </c>
      <c r="AA1008" s="10">
        <f>IF(W1008&gt;$AE$32,1,0)</f>
        <v/>
      </c>
      <c r="AB1008">
        <f>IF(AA1008=C1008,1,0)</f>
        <v/>
      </c>
    </row>
    <row r="1009">
      <c r="A1009">
        <f>'1 datos preparados'!A1002</f>
        <v/>
      </c>
      <c r="B1009" s="5">
        <f>'1 datos preparados'!U1002</f>
        <v/>
      </c>
      <c r="C1009">
        <f>'1 datos preparados'!B1002</f>
        <v/>
      </c>
      <c r="D1009" s="7">
        <f>'1 datos preparados'!C1002</f>
        <v/>
      </c>
      <c r="E1009" s="7">
        <f>'1 datos preparados'!D1002</f>
        <v/>
      </c>
      <c r="F1009" s="7">
        <f>'1 datos preparados'!E1002</f>
        <v/>
      </c>
      <c r="G1009" s="7">
        <f>'1 datos preparados'!F1002</f>
        <v/>
      </c>
      <c r="H1009" s="7">
        <f>'1 datos preparados'!G1002</f>
        <v/>
      </c>
      <c r="I1009" s="7">
        <f>'1 datos preparados'!H1002</f>
        <v/>
      </c>
      <c r="J1009" s="7">
        <f>'1 datos preparados'!I1002</f>
        <v/>
      </c>
      <c r="K1009" s="7">
        <f>'1 datos preparados'!J1002</f>
        <v/>
      </c>
      <c r="L1009" s="7">
        <f>'1 datos preparados'!K1002</f>
        <v/>
      </c>
      <c r="M1009" s="7">
        <f>'1 datos preparados'!L1002</f>
        <v/>
      </c>
      <c r="N1009" s="7">
        <f>'1 datos preparados'!M1002</f>
        <v/>
      </c>
      <c r="O1009" s="7">
        <f>'1 datos preparados'!N1002</f>
        <v/>
      </c>
      <c r="P1009" s="7">
        <f>'1 datos preparados'!O1002</f>
        <v/>
      </c>
      <c r="Q1009" s="7">
        <f>'1 datos preparados'!P1002</f>
        <v/>
      </c>
      <c r="R1009" s="7">
        <f>'1 datos preparados'!Q1002</f>
        <v/>
      </c>
      <c r="S1009" s="7">
        <f>'1 datos preparados'!R1002</f>
        <v/>
      </c>
      <c r="T1009" s="7">
        <f>'1 datos preparados'!S1002</f>
        <v/>
      </c>
      <c r="U1009" s="7">
        <f>'1 datos preparados'!T1002</f>
        <v/>
      </c>
      <c r="V1009" s="8">
        <f>$AE$12+D1009*$AE$13+E1009*$AE$14+F1009*$AE$15+G1009*$AE$16+H1009*$AE$17+I1009*$AE$18+J1009*$AE$19+K1009*$AE$20+L1009*$AE$21+M1009*$AE$22+N1009*$AE$23+O1009*$AE$24+P1009*$AE$25+Q1009*$AE$26+R1009*$AE$27+S1009*$AE$28+T1009*$AE$29+U1009*$AE$30</f>
        <v/>
      </c>
      <c r="W1009" s="8">
        <f>1/(1+EXP(-V1009))</f>
        <v/>
      </c>
      <c r="X1009" s="9">
        <f>-IF(C1009=1,LN(W1009),LN(1-W1009))</f>
        <v/>
      </c>
      <c r="Y1009" s="8">
        <f>1</f>
        <v/>
      </c>
      <c r="Z1009" s="9">
        <f>Y1009*X1009</f>
        <v/>
      </c>
      <c r="AA1009" s="10">
        <f>IF(W1009&gt;$AE$32,1,0)</f>
        <v/>
      </c>
      <c r="AB1009">
        <f>IF(AA1009=C1009,1,0)</f>
        <v/>
      </c>
    </row>
    <row r="1010">
      <c r="A1010">
        <f>'1 datos preparados'!A1003</f>
        <v/>
      </c>
      <c r="B1010" s="5">
        <f>'1 datos preparados'!U1003</f>
        <v/>
      </c>
      <c r="C1010">
        <f>'1 datos preparados'!B1003</f>
        <v/>
      </c>
      <c r="D1010" s="7">
        <f>'1 datos preparados'!C1003</f>
        <v/>
      </c>
      <c r="E1010" s="7">
        <f>'1 datos preparados'!D1003</f>
        <v/>
      </c>
      <c r="F1010" s="7">
        <f>'1 datos preparados'!E1003</f>
        <v/>
      </c>
      <c r="G1010" s="7">
        <f>'1 datos preparados'!F1003</f>
        <v/>
      </c>
      <c r="H1010" s="7">
        <f>'1 datos preparados'!G1003</f>
        <v/>
      </c>
      <c r="I1010" s="7">
        <f>'1 datos preparados'!H1003</f>
        <v/>
      </c>
      <c r="J1010" s="7">
        <f>'1 datos preparados'!I1003</f>
        <v/>
      </c>
      <c r="K1010" s="7">
        <f>'1 datos preparados'!J1003</f>
        <v/>
      </c>
      <c r="L1010" s="7">
        <f>'1 datos preparados'!K1003</f>
        <v/>
      </c>
      <c r="M1010" s="7">
        <f>'1 datos preparados'!L1003</f>
        <v/>
      </c>
      <c r="N1010" s="7">
        <f>'1 datos preparados'!M1003</f>
        <v/>
      </c>
      <c r="O1010" s="7">
        <f>'1 datos preparados'!N1003</f>
        <v/>
      </c>
      <c r="P1010" s="7">
        <f>'1 datos preparados'!O1003</f>
        <v/>
      </c>
      <c r="Q1010" s="7">
        <f>'1 datos preparados'!P1003</f>
        <v/>
      </c>
      <c r="R1010" s="7">
        <f>'1 datos preparados'!Q1003</f>
        <v/>
      </c>
      <c r="S1010" s="7">
        <f>'1 datos preparados'!R1003</f>
        <v/>
      </c>
      <c r="T1010" s="7">
        <f>'1 datos preparados'!S1003</f>
        <v/>
      </c>
      <c r="U1010" s="7">
        <f>'1 datos preparados'!T1003</f>
        <v/>
      </c>
      <c r="V1010" s="8">
        <f>$AE$12+D1010*$AE$13+E1010*$AE$14+F1010*$AE$15+G1010*$AE$16+H1010*$AE$17+I1010*$AE$18+J1010*$AE$19+K1010*$AE$20+L1010*$AE$21+M1010*$AE$22+N1010*$AE$23+O1010*$AE$24+P1010*$AE$25+Q1010*$AE$26+R1010*$AE$27+S1010*$AE$28+T1010*$AE$29+U1010*$AE$30</f>
        <v/>
      </c>
      <c r="W1010" s="8">
        <f>1/(1+EXP(-V1010))</f>
        <v/>
      </c>
      <c r="X1010" s="9">
        <f>-IF(C1010=1,LN(W1010),LN(1-W1010))</f>
        <v/>
      </c>
      <c r="Y1010" s="8">
        <f>1</f>
        <v/>
      </c>
      <c r="Z1010" s="9">
        <f>Y1010*X1010</f>
        <v/>
      </c>
      <c r="AA1010" s="10">
        <f>IF(W1010&gt;$AE$32,1,0)</f>
        <v/>
      </c>
      <c r="AB1010">
        <f>IF(AA1010=C1010,1,0)</f>
        <v/>
      </c>
    </row>
    <row r="1011">
      <c r="A1011">
        <f>'1 datos preparados'!A1004</f>
        <v/>
      </c>
      <c r="B1011" s="5">
        <f>'1 datos preparados'!U1004</f>
        <v/>
      </c>
      <c r="C1011">
        <f>'1 datos preparados'!B1004</f>
        <v/>
      </c>
      <c r="D1011" s="7">
        <f>'1 datos preparados'!C1004</f>
        <v/>
      </c>
      <c r="E1011" s="7">
        <f>'1 datos preparados'!D1004</f>
        <v/>
      </c>
      <c r="F1011" s="7">
        <f>'1 datos preparados'!E1004</f>
        <v/>
      </c>
      <c r="G1011" s="7">
        <f>'1 datos preparados'!F1004</f>
        <v/>
      </c>
      <c r="H1011" s="7">
        <f>'1 datos preparados'!G1004</f>
        <v/>
      </c>
      <c r="I1011" s="7">
        <f>'1 datos preparados'!H1004</f>
        <v/>
      </c>
      <c r="J1011" s="7">
        <f>'1 datos preparados'!I1004</f>
        <v/>
      </c>
      <c r="K1011" s="7">
        <f>'1 datos preparados'!J1004</f>
        <v/>
      </c>
      <c r="L1011" s="7">
        <f>'1 datos preparados'!K1004</f>
        <v/>
      </c>
      <c r="M1011" s="7">
        <f>'1 datos preparados'!L1004</f>
        <v/>
      </c>
      <c r="N1011" s="7">
        <f>'1 datos preparados'!M1004</f>
        <v/>
      </c>
      <c r="O1011" s="7">
        <f>'1 datos preparados'!N1004</f>
        <v/>
      </c>
      <c r="P1011" s="7">
        <f>'1 datos preparados'!O1004</f>
        <v/>
      </c>
      <c r="Q1011" s="7">
        <f>'1 datos preparados'!P1004</f>
        <v/>
      </c>
      <c r="R1011" s="7">
        <f>'1 datos preparados'!Q1004</f>
        <v/>
      </c>
      <c r="S1011" s="7">
        <f>'1 datos preparados'!R1004</f>
        <v/>
      </c>
      <c r="T1011" s="7">
        <f>'1 datos preparados'!S1004</f>
        <v/>
      </c>
      <c r="U1011" s="7">
        <f>'1 datos preparados'!T1004</f>
        <v/>
      </c>
      <c r="V1011" s="8">
        <f>$AE$12+D1011*$AE$13+E1011*$AE$14+F1011*$AE$15+G1011*$AE$16+H1011*$AE$17+I1011*$AE$18+J1011*$AE$19+K1011*$AE$20+L1011*$AE$21+M1011*$AE$22+N1011*$AE$23+O1011*$AE$24+P1011*$AE$25+Q1011*$AE$26+R1011*$AE$27+S1011*$AE$28+T1011*$AE$29+U1011*$AE$30</f>
        <v/>
      </c>
      <c r="W1011" s="8">
        <f>1/(1+EXP(-V1011))</f>
        <v/>
      </c>
      <c r="X1011" s="9">
        <f>-IF(C1011=1,LN(W1011),LN(1-W1011))</f>
        <v/>
      </c>
      <c r="Y1011" s="8">
        <f>1</f>
        <v/>
      </c>
      <c r="Z1011" s="9">
        <f>Y1011*X1011</f>
        <v/>
      </c>
      <c r="AA1011" s="10">
        <f>IF(W1011&gt;$AE$32,1,0)</f>
        <v/>
      </c>
      <c r="AB1011">
        <f>IF(AA1011=C1011,1,0)</f>
        <v/>
      </c>
    </row>
  </sheetData>
  <mergeCells count="3">
    <mergeCell ref="A3:R3"/>
    <mergeCell ref="A2:R2"/>
    <mergeCell ref="AD46:AF46"/>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M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18" customWidth="1" min="7" max="7"/>
    <col width="13" customWidth="1" min="8" max="8"/>
    <col width="10" customWidth="1" min="9" max="9"/>
    <col width="14" customWidth="1" min="10" max="10"/>
    <col width="13" customWidth="1" min="11" max="11"/>
    <col width="13" customWidth="1" min="12" max="12"/>
    <col width="18" customWidth="1" min="13" max="13"/>
    <col width="16" customWidth="1" min="14" max="14"/>
    <col width="18" customWidth="1" min="15" max="15"/>
    <col width="19" customWidth="1" min="16" max="16"/>
    <col width="18" customWidth="1" min="17" max="17"/>
    <col width="16" customWidth="1" min="18" max="18"/>
    <col width="15" customWidth="1" min="19" max="19"/>
    <col width="19" customWidth="1" min="20" max="20"/>
    <col width="18" customWidth="1" min="21" max="21"/>
    <col width="10" customWidth="1" min="22" max="22"/>
    <col width="14" customWidth="1" min="23" max="23"/>
    <col width="10" customWidth="1" min="24" max="24"/>
    <col width="13" customWidth="1" min="25" max="25"/>
    <col width="18" customWidth="1" min="26" max="26"/>
    <col width="11" customWidth="1" min="27" max="27"/>
    <col width="10" customWidth="1" min="28" max="28"/>
    <col width="56" customWidth="1" min="30" max="30"/>
    <col width="21" customWidth="1" min="31" max="31"/>
    <col width="27" customWidth="1" min="32" max="32"/>
    <col width="24" customWidth="1" min="35" max="35"/>
    <col width="10" customWidth="1" min="36" max="36"/>
    <col width="11" customWidth="1" min="37" max="37"/>
    <col width="11" customWidth="1" min="38" max="38"/>
    <col width="10" customWidth="1" min="39" max="39"/>
  </cols>
  <sheetData>
    <row r="1">
      <c r="A1" s="3" t="inlineStr">
        <is>
          <t>Class weights: cada cliente pesa según su clase, y las dos clases suman lo mismo</t>
        </is>
      </c>
    </row>
    <row r="2" ht="49.5" customHeight="1">
      <c r="A2" s="2" t="inlineStr">
        <is>
          <t>La corrección más directa: en vez de sumar la pérdida de cada fila, se suma la pérdida multiplicada por un peso que depende de la clase. Con w1 = n / (2 · n1) = 1,667 para los malos y w0 = n / (2 · n0) = 0,714 para los buenos, cada clase aporta exactamente 350 al total, como si hubiera 350 y 350. El modelo ya no puede ignorar a la clase minoritaria. En scikit-learn es class_weight='balanced'; en cualquier otra librería es sample_weight.</t>
        </is>
      </c>
    </row>
    <row r="3" ht="65" customHeight="1">
      <c r="A3" s="2" t="inlineStr">
        <is>
          <t>Corre Solver y mira el reporte: el recall de la clase 1 sube de 0,57 a 0,86, y la precision baja de 0,65 a 0,53: atrapa más malos pagadores a costa de marcar más buenos. Es el mismo trade-off de siempre. Y mira la p promedio en testing: sube a 0,48 cuando la tasa real es 0,30. El modelo ponderado ya no entrega probabilidades calibradas; entrega scores más altos para todos. Compara con la hoja 7: el modelo sin balancear, con umbral 0,30, llega casi al mismo recall y precision.</t>
        </is>
      </c>
    </row>
    <row r="4"/>
    <row r="5"/>
    <row r="6"/>
    <row r="7"/>
    <row r="8"/>
    <row r="9"/>
    <row r="10">
      <c r="AD10" s="3" t="inlineStr">
        <is>
          <t>Pesos del modelo (theta): parten de la solución sin balancear</t>
        </is>
      </c>
      <c r="AI10" s="3" t="inlineStr">
        <is>
          <t>EVALUACIÓN EN TESTING (con el umbral celeste)</t>
        </is>
      </c>
    </row>
    <row r="11">
      <c r="A11" s="4" t="inlineStr">
        <is>
          <t>id</t>
        </is>
      </c>
      <c r="B11" s="4" t="inlineStr">
        <is>
          <t>conjunto</t>
        </is>
      </c>
      <c r="C11" s="4" t="inlineStr">
        <is>
          <t>y</t>
        </is>
      </c>
      <c r="D11" s="4" t="inlineStr">
        <is>
          <t>duracion</t>
        </is>
      </c>
      <c r="E11" s="4" t="inlineStr">
        <is>
          <t>monto</t>
        </is>
      </c>
      <c r="F11" s="4" t="inlineStr">
        <is>
          <t>edad</t>
        </is>
      </c>
      <c r="G11" s="4" t="inlineStr">
        <is>
          <t>cuota_pct_ingreso</t>
        </is>
      </c>
      <c r="H11" s="4" t="inlineStr">
        <is>
          <t>cta_negativa</t>
        </is>
      </c>
      <c r="I11" s="4" t="inlineStr">
        <is>
          <t>cta_0_200</t>
        </is>
      </c>
      <c r="J11" s="4" t="inlineStr">
        <is>
          <t>cta_sobre_200</t>
        </is>
      </c>
      <c r="K11" s="4" t="inlineStr">
        <is>
          <t>hist_critico</t>
        </is>
      </c>
      <c r="L11" s="4" t="inlineStr">
        <is>
          <t>hist_atrasos</t>
        </is>
      </c>
      <c r="M11" s="4" t="inlineStr">
        <is>
          <t>hist_sin_creditos</t>
        </is>
      </c>
      <c r="N11" s="4" t="inlineStr">
        <is>
          <t>ahorro_100_1000</t>
        </is>
      </c>
      <c r="O11" s="4" t="inlineStr">
        <is>
          <t>ahorro_sobre_1000</t>
        </is>
      </c>
      <c r="P11" s="4" t="inlineStr">
        <is>
          <t>ahorro_desconocido</t>
        </is>
      </c>
      <c r="Q11" s="4" t="inlineStr">
        <is>
          <t>vivienda_arriendo</t>
        </is>
      </c>
      <c r="R11" s="4" t="inlineStr">
        <is>
          <t>vivienda_gratis</t>
        </is>
      </c>
      <c r="S11" s="4" t="inlineStr">
        <is>
          <t>proposito_auto</t>
        </is>
      </c>
      <c r="T11" s="4" t="inlineStr">
        <is>
          <t>proposito_radio_tv</t>
        </is>
      </c>
      <c r="U11" s="4" t="inlineStr">
        <is>
          <t>proposito_muebles</t>
        </is>
      </c>
      <c r="V11" s="4" t="inlineStr">
        <is>
          <t>Z (recta)</t>
        </is>
      </c>
      <c r="W11" s="4" t="inlineStr">
        <is>
          <t>p (logística)</t>
        </is>
      </c>
      <c r="X11" s="4" t="inlineStr">
        <is>
          <t>pérdida</t>
        </is>
      </c>
      <c r="Y11" s="4" t="inlineStr">
        <is>
          <t>peso de fila</t>
        </is>
      </c>
      <c r="Z11" s="4" t="inlineStr">
        <is>
          <t>pérdida ponderada</t>
        </is>
      </c>
      <c r="AA11" s="4" t="inlineStr">
        <is>
          <t>predicción</t>
        </is>
      </c>
      <c r="AB11" s="4" t="inlineStr">
        <is>
          <t>acierto</t>
        </is>
      </c>
      <c r="AD11" s="4" t="inlineStr">
        <is>
          <t>variable</t>
        </is>
      </c>
      <c r="AE11" s="4" t="inlineStr">
        <is>
          <t>theta (celeste)</t>
        </is>
      </c>
      <c r="AF11" s="4" t="inlineStr">
        <is>
          <t>referencia scikit-learn para esta variante</t>
        </is>
      </c>
    </row>
    <row r="12">
      <c r="A12">
        <f>'1 datos preparados'!A5</f>
        <v/>
      </c>
      <c r="B12" s="5">
        <f>'1 datos preparados'!U5</f>
        <v/>
      </c>
      <c r="C12">
        <f>'1 datos preparados'!B5</f>
        <v/>
      </c>
      <c r="D12" s="7">
        <f>'1 datos preparados'!C5</f>
        <v/>
      </c>
      <c r="E12" s="7">
        <f>'1 datos preparados'!D5</f>
        <v/>
      </c>
      <c r="F12" s="7">
        <f>'1 datos preparados'!E5</f>
        <v/>
      </c>
      <c r="G12" s="7">
        <f>'1 datos preparados'!F5</f>
        <v/>
      </c>
      <c r="H12" s="7">
        <f>'1 datos preparados'!G5</f>
        <v/>
      </c>
      <c r="I12" s="7">
        <f>'1 datos preparados'!H5</f>
        <v/>
      </c>
      <c r="J12" s="7">
        <f>'1 datos preparados'!I5</f>
        <v/>
      </c>
      <c r="K12" s="7">
        <f>'1 datos preparados'!J5</f>
        <v/>
      </c>
      <c r="L12" s="7">
        <f>'1 datos preparados'!K5</f>
        <v/>
      </c>
      <c r="M12" s="7">
        <f>'1 datos preparados'!L5</f>
        <v/>
      </c>
      <c r="N12" s="7">
        <f>'1 datos preparados'!M5</f>
        <v/>
      </c>
      <c r="O12" s="7">
        <f>'1 datos preparados'!N5</f>
        <v/>
      </c>
      <c r="P12" s="7">
        <f>'1 datos preparados'!O5</f>
        <v/>
      </c>
      <c r="Q12" s="7">
        <f>'1 datos preparados'!P5</f>
        <v/>
      </c>
      <c r="R12" s="7">
        <f>'1 datos preparados'!Q5</f>
        <v/>
      </c>
      <c r="S12" s="7">
        <f>'1 datos preparados'!R5</f>
        <v/>
      </c>
      <c r="T12" s="7">
        <f>'1 datos preparados'!S5</f>
        <v/>
      </c>
      <c r="U12" s="7">
        <f>'1 datos preparados'!T5</f>
        <v/>
      </c>
      <c r="V12" s="8">
        <f>$AE$12+D12*$AE$13+E12*$AE$14+F12*$AE$15+G12*$AE$16+H12*$AE$17+I12*$AE$18+J12*$AE$19+K12*$AE$20+L12*$AE$21+M12*$AE$22+N12*$AE$23+O12*$AE$24+P12*$AE$25+Q12*$AE$26+R12*$AE$27+S12*$AE$28+T12*$AE$29+U12*$AE$30</f>
        <v/>
      </c>
      <c r="W12" s="8">
        <f>1/(1+EXP(-V12))</f>
        <v/>
      </c>
      <c r="X12" s="9">
        <f>-IF(C12=1,LN(W12),LN(1-W12))</f>
        <v/>
      </c>
      <c r="Y12" s="8">
        <f>IF(C12=1,$AE$32,$AE$33)</f>
        <v/>
      </c>
      <c r="Z12" s="9">
        <f>Y12*X12</f>
        <v/>
      </c>
      <c r="AA12" s="10">
        <f>IF(W12&gt;$AE$34,1,0)</f>
        <v/>
      </c>
      <c r="AB12">
        <f>IF(AA12=C12,1,0)</f>
        <v/>
      </c>
      <c r="AD12" t="inlineStr">
        <is>
          <t>intercepto</t>
        </is>
      </c>
      <c r="AE12" s="11" t="n">
        <v>-1.341270962110326</v>
      </c>
      <c r="AF12" s="12" t="n">
        <v>-0.4879637887718593</v>
      </c>
    </row>
    <row r="13">
      <c r="A13">
        <f>'1 datos preparados'!A6</f>
        <v/>
      </c>
      <c r="B13" s="5">
        <f>'1 datos preparados'!U6</f>
        <v/>
      </c>
      <c r="C13">
        <f>'1 datos preparados'!B6</f>
        <v/>
      </c>
      <c r="D13" s="7">
        <f>'1 datos preparados'!C6</f>
        <v/>
      </c>
      <c r="E13" s="7">
        <f>'1 datos preparados'!D6</f>
        <v/>
      </c>
      <c r="F13" s="7">
        <f>'1 datos preparados'!E6</f>
        <v/>
      </c>
      <c r="G13" s="7">
        <f>'1 datos preparados'!F6</f>
        <v/>
      </c>
      <c r="H13" s="7">
        <f>'1 datos preparados'!G6</f>
        <v/>
      </c>
      <c r="I13" s="7">
        <f>'1 datos preparados'!H6</f>
        <v/>
      </c>
      <c r="J13" s="7">
        <f>'1 datos preparados'!I6</f>
        <v/>
      </c>
      <c r="K13" s="7">
        <f>'1 datos preparados'!J6</f>
        <v/>
      </c>
      <c r="L13" s="7">
        <f>'1 datos preparados'!K6</f>
        <v/>
      </c>
      <c r="M13" s="7">
        <f>'1 datos preparados'!L6</f>
        <v/>
      </c>
      <c r="N13" s="7">
        <f>'1 datos preparados'!M6</f>
        <v/>
      </c>
      <c r="O13" s="7">
        <f>'1 datos preparados'!N6</f>
        <v/>
      </c>
      <c r="P13" s="7">
        <f>'1 datos preparados'!O6</f>
        <v/>
      </c>
      <c r="Q13" s="7">
        <f>'1 datos preparados'!P6</f>
        <v/>
      </c>
      <c r="R13" s="7">
        <f>'1 datos preparados'!Q6</f>
        <v/>
      </c>
      <c r="S13" s="7">
        <f>'1 datos preparados'!R6</f>
        <v/>
      </c>
      <c r="T13" s="7">
        <f>'1 datos preparados'!S6</f>
        <v/>
      </c>
      <c r="U13" s="7">
        <f>'1 datos preparados'!T6</f>
        <v/>
      </c>
      <c r="V13" s="8">
        <f>$AE$12+D13*$AE$13+E13*$AE$14+F13*$AE$15+G13*$AE$16+H13*$AE$17+I13*$AE$18+J13*$AE$19+K13*$AE$20+L13*$AE$21+M13*$AE$22+N13*$AE$23+O13*$AE$24+P13*$AE$25+Q13*$AE$26+R13*$AE$27+S13*$AE$28+T13*$AE$29+U13*$AE$30</f>
        <v/>
      </c>
      <c r="W13" s="8">
        <f>1/(1+EXP(-V13))</f>
        <v/>
      </c>
      <c r="X13" s="9">
        <f>-IF(C13=1,LN(W13),LN(1-W13))</f>
        <v/>
      </c>
      <c r="Y13" s="8">
        <f>IF(C13=1,$AE$32,$AE$33)</f>
        <v/>
      </c>
      <c r="Z13" s="9">
        <f>Y13*X13</f>
        <v/>
      </c>
      <c r="AA13" s="10">
        <f>IF(W13&gt;$AE$34,1,0)</f>
        <v/>
      </c>
      <c r="AB13">
        <f>IF(AA13=C13,1,0)</f>
        <v/>
      </c>
      <c r="AD13" t="inlineStr">
        <is>
          <t>duracion</t>
        </is>
      </c>
      <c r="AE13" s="11" t="n">
        <v>0.3247012549391071</v>
      </c>
      <c r="AF13" s="12" t="n">
        <v>0.2913039041015141</v>
      </c>
      <c r="AK13" s="3" t="inlineStr">
        <is>
          <t>predicho 0</t>
        </is>
      </c>
      <c r="AL13" s="3" t="inlineStr">
        <is>
          <t>predicho 1</t>
        </is>
      </c>
      <c r="AM13" s="3" t="inlineStr">
        <is>
          <t>total</t>
        </is>
      </c>
    </row>
    <row r="14">
      <c r="A14">
        <f>'1 datos preparados'!A7</f>
        <v/>
      </c>
      <c r="B14" s="5">
        <f>'1 datos preparados'!U7</f>
        <v/>
      </c>
      <c r="C14">
        <f>'1 datos preparados'!B7</f>
        <v/>
      </c>
      <c r="D14" s="7">
        <f>'1 datos preparados'!C7</f>
        <v/>
      </c>
      <c r="E14" s="7">
        <f>'1 datos preparados'!D7</f>
        <v/>
      </c>
      <c r="F14" s="7">
        <f>'1 datos preparados'!E7</f>
        <v/>
      </c>
      <c r="G14" s="7">
        <f>'1 datos preparados'!F7</f>
        <v/>
      </c>
      <c r="H14" s="7">
        <f>'1 datos preparados'!G7</f>
        <v/>
      </c>
      <c r="I14" s="7">
        <f>'1 datos preparados'!H7</f>
        <v/>
      </c>
      <c r="J14" s="7">
        <f>'1 datos preparados'!I7</f>
        <v/>
      </c>
      <c r="K14" s="7">
        <f>'1 datos preparados'!J7</f>
        <v/>
      </c>
      <c r="L14" s="7">
        <f>'1 datos preparados'!K7</f>
        <v/>
      </c>
      <c r="M14" s="7">
        <f>'1 datos preparados'!L7</f>
        <v/>
      </c>
      <c r="N14" s="7">
        <f>'1 datos preparados'!M7</f>
        <v/>
      </c>
      <c r="O14" s="7">
        <f>'1 datos preparados'!N7</f>
        <v/>
      </c>
      <c r="P14" s="7">
        <f>'1 datos preparados'!O7</f>
        <v/>
      </c>
      <c r="Q14" s="7">
        <f>'1 datos preparados'!P7</f>
        <v/>
      </c>
      <c r="R14" s="7">
        <f>'1 datos preparados'!Q7</f>
        <v/>
      </c>
      <c r="S14" s="7">
        <f>'1 datos preparados'!R7</f>
        <v/>
      </c>
      <c r="T14" s="7">
        <f>'1 datos preparados'!S7</f>
        <v/>
      </c>
      <c r="U14" s="7">
        <f>'1 datos preparados'!T7</f>
        <v/>
      </c>
      <c r="V14" s="8">
        <f>$AE$12+D14*$AE$13+E14*$AE$14+F14*$AE$15+G14*$AE$16+H14*$AE$17+I14*$AE$18+J14*$AE$19+K14*$AE$20+L14*$AE$21+M14*$AE$22+N14*$AE$23+O14*$AE$24+P14*$AE$25+Q14*$AE$26+R14*$AE$27+S14*$AE$28+T14*$AE$29+U14*$AE$30</f>
        <v/>
      </c>
      <c r="W14" s="8">
        <f>1/(1+EXP(-V14))</f>
        <v/>
      </c>
      <c r="X14" s="9">
        <f>-IF(C14=1,LN(W14),LN(1-W14))</f>
        <v/>
      </c>
      <c r="Y14" s="8">
        <f>IF(C14=1,$AE$32,$AE$33)</f>
        <v/>
      </c>
      <c r="Z14" s="9">
        <f>Y14*X14</f>
        <v/>
      </c>
      <c r="AA14" s="10">
        <f>IF(W14&gt;$AE$34,1,0)</f>
        <v/>
      </c>
      <c r="AB14">
        <f>IF(AA14=C14,1,0)</f>
        <v/>
      </c>
      <c r="AD14" t="inlineStr">
        <is>
          <t>monto</t>
        </is>
      </c>
      <c r="AE14" s="11" t="n">
        <v>0.1163535941884676</v>
      </c>
      <c r="AF14" s="12" t="n">
        <v>0.1606903822254382</v>
      </c>
      <c r="AI14" s="3" t="inlineStr">
        <is>
          <t>real 0 (buen pagador)</t>
        </is>
      </c>
      <c r="AJ14" t="inlineStr">
        <is>
          <t>TN | FP</t>
        </is>
      </c>
      <c r="AK14" s="13">
        <f>COUNTIFS($B$12:$B$1011,"testing",$C$12:$C$1011,0,$AA$12:$AA$1011,0)</f>
        <v/>
      </c>
      <c r="AL14" s="13">
        <f>COUNTIFS($B$12:$B$1011,"testing",$C$12:$C$1011,0,$AA$12:$AA$1011,1)</f>
        <v/>
      </c>
      <c r="AM14">
        <f>AK14+AL14</f>
        <v/>
      </c>
    </row>
    <row r="15">
      <c r="A15">
        <f>'1 datos preparados'!A8</f>
        <v/>
      </c>
      <c r="B15" s="5">
        <f>'1 datos preparados'!U8</f>
        <v/>
      </c>
      <c r="C15">
        <f>'1 datos preparados'!B8</f>
        <v/>
      </c>
      <c r="D15" s="7">
        <f>'1 datos preparados'!C8</f>
        <v/>
      </c>
      <c r="E15" s="7">
        <f>'1 datos preparados'!D8</f>
        <v/>
      </c>
      <c r="F15" s="7">
        <f>'1 datos preparados'!E8</f>
        <v/>
      </c>
      <c r="G15" s="7">
        <f>'1 datos preparados'!F8</f>
        <v/>
      </c>
      <c r="H15" s="7">
        <f>'1 datos preparados'!G8</f>
        <v/>
      </c>
      <c r="I15" s="7">
        <f>'1 datos preparados'!H8</f>
        <v/>
      </c>
      <c r="J15" s="7">
        <f>'1 datos preparados'!I8</f>
        <v/>
      </c>
      <c r="K15" s="7">
        <f>'1 datos preparados'!J8</f>
        <v/>
      </c>
      <c r="L15" s="7">
        <f>'1 datos preparados'!K8</f>
        <v/>
      </c>
      <c r="M15" s="7">
        <f>'1 datos preparados'!L8</f>
        <v/>
      </c>
      <c r="N15" s="7">
        <f>'1 datos preparados'!M8</f>
        <v/>
      </c>
      <c r="O15" s="7">
        <f>'1 datos preparados'!N8</f>
        <v/>
      </c>
      <c r="P15" s="7">
        <f>'1 datos preparados'!O8</f>
        <v/>
      </c>
      <c r="Q15" s="7">
        <f>'1 datos preparados'!P8</f>
        <v/>
      </c>
      <c r="R15" s="7">
        <f>'1 datos preparados'!Q8</f>
        <v/>
      </c>
      <c r="S15" s="7">
        <f>'1 datos preparados'!R8</f>
        <v/>
      </c>
      <c r="T15" s="7">
        <f>'1 datos preparados'!S8</f>
        <v/>
      </c>
      <c r="U15" s="7">
        <f>'1 datos preparados'!T8</f>
        <v/>
      </c>
      <c r="V15" s="8">
        <f>$AE$12+D15*$AE$13+E15*$AE$14+F15*$AE$15+G15*$AE$16+H15*$AE$17+I15*$AE$18+J15*$AE$19+K15*$AE$20+L15*$AE$21+M15*$AE$22+N15*$AE$23+O15*$AE$24+P15*$AE$25+Q15*$AE$26+R15*$AE$27+S15*$AE$28+T15*$AE$29+U15*$AE$30</f>
        <v/>
      </c>
      <c r="W15" s="8">
        <f>1/(1+EXP(-V15))</f>
        <v/>
      </c>
      <c r="X15" s="9">
        <f>-IF(C15=1,LN(W15),LN(1-W15))</f>
        <v/>
      </c>
      <c r="Y15" s="8">
        <f>IF(C15=1,$AE$32,$AE$33)</f>
        <v/>
      </c>
      <c r="Z15" s="9">
        <f>Y15*X15</f>
        <v/>
      </c>
      <c r="AA15" s="10">
        <f>IF(W15&gt;$AE$34,1,0)</f>
        <v/>
      </c>
      <c r="AB15">
        <f>IF(AA15=C15,1,0)</f>
        <v/>
      </c>
      <c r="AD15" t="inlineStr">
        <is>
          <t>edad</t>
        </is>
      </c>
      <c r="AE15" s="11" t="n">
        <v>-0.09914522482627074</v>
      </c>
      <c r="AF15" s="12" t="n">
        <v>-0.1278057950881102</v>
      </c>
      <c r="AI15" s="3" t="inlineStr">
        <is>
          <t>real 1 (mal pagador)</t>
        </is>
      </c>
      <c r="AJ15" t="inlineStr">
        <is>
          <t>FN | TP</t>
        </is>
      </c>
      <c r="AK15" s="13">
        <f>COUNTIFS($B$12:$B$1011,"testing",$C$12:$C$1011,1,$AA$12:$AA$1011,0)</f>
        <v/>
      </c>
      <c r="AL15" s="13">
        <f>COUNTIFS($B$12:$B$1011,"testing",$C$12:$C$1011,1,$AA$12:$AA$1011,1)</f>
        <v/>
      </c>
      <c r="AM15">
        <f>AK15+AL15</f>
        <v/>
      </c>
    </row>
    <row r="16">
      <c r="A16">
        <f>'1 datos preparados'!A9</f>
        <v/>
      </c>
      <c r="B16" s="5">
        <f>'1 datos preparados'!U9</f>
        <v/>
      </c>
      <c r="C16">
        <f>'1 datos preparados'!B9</f>
        <v/>
      </c>
      <c r="D16" s="7">
        <f>'1 datos preparados'!C9</f>
        <v/>
      </c>
      <c r="E16" s="7">
        <f>'1 datos preparados'!D9</f>
        <v/>
      </c>
      <c r="F16" s="7">
        <f>'1 datos preparados'!E9</f>
        <v/>
      </c>
      <c r="G16" s="7">
        <f>'1 datos preparados'!F9</f>
        <v/>
      </c>
      <c r="H16" s="7">
        <f>'1 datos preparados'!G9</f>
        <v/>
      </c>
      <c r="I16" s="7">
        <f>'1 datos preparados'!H9</f>
        <v/>
      </c>
      <c r="J16" s="7">
        <f>'1 datos preparados'!I9</f>
        <v/>
      </c>
      <c r="K16" s="7">
        <f>'1 datos preparados'!J9</f>
        <v/>
      </c>
      <c r="L16" s="7">
        <f>'1 datos preparados'!K9</f>
        <v/>
      </c>
      <c r="M16" s="7">
        <f>'1 datos preparados'!L9</f>
        <v/>
      </c>
      <c r="N16" s="7">
        <f>'1 datos preparados'!M9</f>
        <v/>
      </c>
      <c r="O16" s="7">
        <f>'1 datos preparados'!N9</f>
        <v/>
      </c>
      <c r="P16" s="7">
        <f>'1 datos preparados'!O9</f>
        <v/>
      </c>
      <c r="Q16" s="7">
        <f>'1 datos preparados'!P9</f>
        <v/>
      </c>
      <c r="R16" s="7">
        <f>'1 datos preparados'!Q9</f>
        <v/>
      </c>
      <c r="S16" s="7">
        <f>'1 datos preparados'!R9</f>
        <v/>
      </c>
      <c r="T16" s="7">
        <f>'1 datos preparados'!S9</f>
        <v/>
      </c>
      <c r="U16" s="7">
        <f>'1 datos preparados'!T9</f>
        <v/>
      </c>
      <c r="V16" s="8">
        <f>$AE$12+D16*$AE$13+E16*$AE$14+F16*$AE$15+G16*$AE$16+H16*$AE$17+I16*$AE$18+J16*$AE$19+K16*$AE$20+L16*$AE$21+M16*$AE$22+N16*$AE$23+O16*$AE$24+P16*$AE$25+Q16*$AE$26+R16*$AE$27+S16*$AE$28+T16*$AE$29+U16*$AE$30</f>
        <v/>
      </c>
      <c r="W16" s="8">
        <f>1/(1+EXP(-V16))</f>
        <v/>
      </c>
      <c r="X16" s="9">
        <f>-IF(C16=1,LN(W16),LN(1-W16))</f>
        <v/>
      </c>
      <c r="Y16" s="8">
        <f>IF(C16=1,$AE$32,$AE$33)</f>
        <v/>
      </c>
      <c r="Z16" s="9">
        <f>Y16*X16</f>
        <v/>
      </c>
      <c r="AA16" s="10">
        <f>IF(W16&gt;$AE$34,1,0)</f>
        <v/>
      </c>
      <c r="AB16">
        <f>IF(AA16=C16,1,0)</f>
        <v/>
      </c>
      <c r="AD16" t="inlineStr">
        <is>
          <t>cuota_pct_ingreso</t>
        </is>
      </c>
      <c r="AE16" s="11" t="n">
        <v>0.2872157655933926</v>
      </c>
      <c r="AF16" s="12" t="n">
        <v>0.2861488708278809</v>
      </c>
      <c r="AI16" s="3" t="inlineStr">
        <is>
          <t>total</t>
        </is>
      </c>
      <c r="AK16">
        <f>AK14+AK15</f>
        <v/>
      </c>
      <c r="AL16">
        <f>AL14+AL15</f>
        <v/>
      </c>
      <c r="AM16">
        <f>AM14+AM15</f>
        <v/>
      </c>
    </row>
    <row r="17">
      <c r="A17">
        <f>'1 datos preparados'!A10</f>
        <v/>
      </c>
      <c r="B17" s="5">
        <f>'1 datos preparados'!U10</f>
        <v/>
      </c>
      <c r="C17">
        <f>'1 datos preparados'!B10</f>
        <v/>
      </c>
      <c r="D17" s="7">
        <f>'1 datos preparados'!C10</f>
        <v/>
      </c>
      <c r="E17" s="7">
        <f>'1 datos preparados'!D10</f>
        <v/>
      </c>
      <c r="F17" s="7">
        <f>'1 datos preparados'!E10</f>
        <v/>
      </c>
      <c r="G17" s="7">
        <f>'1 datos preparados'!F10</f>
        <v/>
      </c>
      <c r="H17" s="7">
        <f>'1 datos preparados'!G10</f>
        <v/>
      </c>
      <c r="I17" s="7">
        <f>'1 datos preparados'!H10</f>
        <v/>
      </c>
      <c r="J17" s="7">
        <f>'1 datos preparados'!I10</f>
        <v/>
      </c>
      <c r="K17" s="7">
        <f>'1 datos preparados'!J10</f>
        <v/>
      </c>
      <c r="L17" s="7">
        <f>'1 datos preparados'!K10</f>
        <v/>
      </c>
      <c r="M17" s="7">
        <f>'1 datos preparados'!L10</f>
        <v/>
      </c>
      <c r="N17" s="7">
        <f>'1 datos preparados'!M10</f>
        <v/>
      </c>
      <c r="O17" s="7">
        <f>'1 datos preparados'!N10</f>
        <v/>
      </c>
      <c r="P17" s="7">
        <f>'1 datos preparados'!O10</f>
        <v/>
      </c>
      <c r="Q17" s="7">
        <f>'1 datos preparados'!P10</f>
        <v/>
      </c>
      <c r="R17" s="7">
        <f>'1 datos preparados'!Q10</f>
        <v/>
      </c>
      <c r="S17" s="7">
        <f>'1 datos preparados'!R10</f>
        <v/>
      </c>
      <c r="T17" s="7">
        <f>'1 datos preparados'!S10</f>
        <v/>
      </c>
      <c r="U17" s="7">
        <f>'1 datos preparados'!T10</f>
        <v/>
      </c>
      <c r="V17" s="8">
        <f>$AE$12+D17*$AE$13+E17*$AE$14+F17*$AE$15+G17*$AE$16+H17*$AE$17+I17*$AE$18+J17*$AE$19+K17*$AE$20+L17*$AE$21+M17*$AE$22+N17*$AE$23+O17*$AE$24+P17*$AE$25+Q17*$AE$26+R17*$AE$27+S17*$AE$28+T17*$AE$29+U17*$AE$30</f>
        <v/>
      </c>
      <c r="W17" s="8">
        <f>1/(1+EXP(-V17))</f>
        <v/>
      </c>
      <c r="X17" s="9">
        <f>-IF(C17=1,LN(W17),LN(1-W17))</f>
        <v/>
      </c>
      <c r="Y17" s="8">
        <f>IF(C17=1,$AE$32,$AE$33)</f>
        <v/>
      </c>
      <c r="Z17" s="9">
        <f>Y17*X17</f>
        <v/>
      </c>
      <c r="AA17" s="10">
        <f>IF(W17&gt;$AE$34,1,0)</f>
        <v/>
      </c>
      <c r="AB17">
        <f>IF(AA17=C17,1,0)</f>
        <v/>
      </c>
      <c r="AD17" t="inlineStr">
        <is>
          <t>cta_negativa</t>
        </is>
      </c>
      <c r="AE17" s="11" t="n">
        <v>1.546402670396991</v>
      </c>
      <c r="AF17" s="12" t="n">
        <v>1.573426085512225</v>
      </c>
    </row>
    <row r="18">
      <c r="A18">
        <f>'1 datos preparados'!A11</f>
        <v/>
      </c>
      <c r="B18" s="5">
        <f>'1 datos preparados'!U11</f>
        <v/>
      </c>
      <c r="C18">
        <f>'1 datos preparados'!B11</f>
        <v/>
      </c>
      <c r="D18" s="7">
        <f>'1 datos preparados'!C11</f>
        <v/>
      </c>
      <c r="E18" s="7">
        <f>'1 datos preparados'!D11</f>
        <v/>
      </c>
      <c r="F18" s="7">
        <f>'1 datos preparados'!E11</f>
        <v/>
      </c>
      <c r="G18" s="7">
        <f>'1 datos preparados'!F11</f>
        <v/>
      </c>
      <c r="H18" s="7">
        <f>'1 datos preparados'!G11</f>
        <v/>
      </c>
      <c r="I18" s="7">
        <f>'1 datos preparados'!H11</f>
        <v/>
      </c>
      <c r="J18" s="7">
        <f>'1 datos preparados'!I11</f>
        <v/>
      </c>
      <c r="K18" s="7">
        <f>'1 datos preparados'!J11</f>
        <v/>
      </c>
      <c r="L18" s="7">
        <f>'1 datos preparados'!K11</f>
        <v/>
      </c>
      <c r="M18" s="7">
        <f>'1 datos preparados'!L11</f>
        <v/>
      </c>
      <c r="N18" s="7">
        <f>'1 datos preparados'!M11</f>
        <v/>
      </c>
      <c r="O18" s="7">
        <f>'1 datos preparados'!N11</f>
        <v/>
      </c>
      <c r="P18" s="7">
        <f>'1 datos preparados'!O11</f>
        <v/>
      </c>
      <c r="Q18" s="7">
        <f>'1 datos preparados'!P11</f>
        <v/>
      </c>
      <c r="R18" s="7">
        <f>'1 datos preparados'!Q11</f>
        <v/>
      </c>
      <c r="S18" s="7">
        <f>'1 datos preparados'!R11</f>
        <v/>
      </c>
      <c r="T18" s="7">
        <f>'1 datos preparados'!S11</f>
        <v/>
      </c>
      <c r="U18" s="7">
        <f>'1 datos preparados'!T11</f>
        <v/>
      </c>
      <c r="V18" s="8">
        <f>$AE$12+D18*$AE$13+E18*$AE$14+F18*$AE$15+G18*$AE$16+H18*$AE$17+I18*$AE$18+J18*$AE$19+K18*$AE$20+L18*$AE$21+M18*$AE$22+N18*$AE$23+O18*$AE$24+P18*$AE$25+Q18*$AE$26+R18*$AE$27+S18*$AE$28+T18*$AE$29+U18*$AE$30</f>
        <v/>
      </c>
      <c r="W18" s="8">
        <f>1/(1+EXP(-V18))</f>
        <v/>
      </c>
      <c r="X18" s="9">
        <f>-IF(C18=1,LN(W18),LN(1-W18))</f>
        <v/>
      </c>
      <c r="Y18" s="8">
        <f>IF(C18=1,$AE$32,$AE$33)</f>
        <v/>
      </c>
      <c r="Z18" s="9">
        <f>Y18*X18</f>
        <v/>
      </c>
      <c r="AA18" s="10">
        <f>IF(W18&gt;$AE$34,1,0)</f>
        <v/>
      </c>
      <c r="AB18">
        <f>IF(AA18=C18,1,0)</f>
        <v/>
      </c>
      <c r="AD18" t="inlineStr">
        <is>
          <t>cta_0_200</t>
        </is>
      </c>
      <c r="AE18" s="11" t="n">
        <v>1.294997779791349</v>
      </c>
      <c r="AF18" s="12" t="n">
        <v>1.339004953122463</v>
      </c>
      <c r="AI18" s="4" t="inlineStr"/>
      <c r="AJ18" s="4" t="inlineStr">
        <is>
          <t>precision</t>
        </is>
      </c>
      <c r="AK18" s="4" t="inlineStr">
        <is>
          <t>recall</t>
        </is>
      </c>
      <c r="AL18" s="4" t="inlineStr">
        <is>
          <t>f1-score</t>
        </is>
      </c>
      <c r="AM18" s="4" t="inlineStr">
        <is>
          <t>support</t>
        </is>
      </c>
    </row>
    <row r="19">
      <c r="A19">
        <f>'1 datos preparados'!A12</f>
        <v/>
      </c>
      <c r="B19" s="5">
        <f>'1 datos preparados'!U12</f>
        <v/>
      </c>
      <c r="C19">
        <f>'1 datos preparados'!B12</f>
        <v/>
      </c>
      <c r="D19" s="7">
        <f>'1 datos preparados'!C12</f>
        <v/>
      </c>
      <c r="E19" s="7">
        <f>'1 datos preparados'!D12</f>
        <v/>
      </c>
      <c r="F19" s="7">
        <f>'1 datos preparados'!E12</f>
        <v/>
      </c>
      <c r="G19" s="7">
        <f>'1 datos preparados'!F12</f>
        <v/>
      </c>
      <c r="H19" s="7">
        <f>'1 datos preparados'!G12</f>
        <v/>
      </c>
      <c r="I19" s="7">
        <f>'1 datos preparados'!H12</f>
        <v/>
      </c>
      <c r="J19" s="7">
        <f>'1 datos preparados'!I12</f>
        <v/>
      </c>
      <c r="K19" s="7">
        <f>'1 datos preparados'!J12</f>
        <v/>
      </c>
      <c r="L19" s="7">
        <f>'1 datos preparados'!K12</f>
        <v/>
      </c>
      <c r="M19" s="7">
        <f>'1 datos preparados'!L12</f>
        <v/>
      </c>
      <c r="N19" s="7">
        <f>'1 datos preparados'!M12</f>
        <v/>
      </c>
      <c r="O19" s="7">
        <f>'1 datos preparados'!N12</f>
        <v/>
      </c>
      <c r="P19" s="7">
        <f>'1 datos preparados'!O12</f>
        <v/>
      </c>
      <c r="Q19" s="7">
        <f>'1 datos preparados'!P12</f>
        <v/>
      </c>
      <c r="R19" s="7">
        <f>'1 datos preparados'!Q12</f>
        <v/>
      </c>
      <c r="S19" s="7">
        <f>'1 datos preparados'!R12</f>
        <v/>
      </c>
      <c r="T19" s="7">
        <f>'1 datos preparados'!S12</f>
        <v/>
      </c>
      <c r="U19" s="7">
        <f>'1 datos preparados'!T12</f>
        <v/>
      </c>
      <c r="V19" s="8">
        <f>$AE$12+D19*$AE$13+E19*$AE$14+F19*$AE$15+G19*$AE$16+H19*$AE$17+I19*$AE$18+J19*$AE$19+K19*$AE$20+L19*$AE$21+M19*$AE$22+N19*$AE$23+O19*$AE$24+P19*$AE$25+Q19*$AE$26+R19*$AE$27+S19*$AE$28+T19*$AE$29+U19*$AE$30</f>
        <v/>
      </c>
      <c r="W19" s="8">
        <f>1/(1+EXP(-V19))</f>
        <v/>
      </c>
      <c r="X19" s="9">
        <f>-IF(C19=1,LN(W19),LN(1-W19))</f>
        <v/>
      </c>
      <c r="Y19" s="8">
        <f>IF(C19=1,$AE$32,$AE$33)</f>
        <v/>
      </c>
      <c r="Z19" s="9">
        <f>Y19*X19</f>
        <v/>
      </c>
      <c r="AA19" s="10">
        <f>IF(W19&gt;$AE$34,1,0)</f>
        <v/>
      </c>
      <c r="AB19">
        <f>IF(AA19=C19,1,0)</f>
        <v/>
      </c>
      <c r="AD19" t="inlineStr">
        <is>
          <t>cta_sobre_200</t>
        </is>
      </c>
      <c r="AE19" s="11" t="n">
        <v>0.6683615861023957</v>
      </c>
      <c r="AF19" s="12" t="n">
        <v>0.7481003879848515</v>
      </c>
      <c r="AI19" s="3" t="inlineStr">
        <is>
          <t>clase 0 (paga)</t>
        </is>
      </c>
      <c r="AJ19" s="14">
        <f>IF(AK14+AK15=0,0,AK14/(AK14+AK15))</f>
        <v/>
      </c>
      <c r="AK19" s="14">
        <f>IF(AK14+AL14=0,0,AK14/(AK14+AL14))</f>
        <v/>
      </c>
      <c r="AL19" s="14">
        <f>IF(AJ19+AK19=0,0,2*AJ19*AK19/(AJ19+AK19))</f>
        <v/>
      </c>
      <c r="AM19">
        <f>AM14</f>
        <v/>
      </c>
    </row>
    <row r="20">
      <c r="A20">
        <f>'1 datos preparados'!A13</f>
        <v/>
      </c>
      <c r="B20" s="5">
        <f>'1 datos preparados'!U13</f>
        <v/>
      </c>
      <c r="C20">
        <f>'1 datos preparados'!B13</f>
        <v/>
      </c>
      <c r="D20" s="7">
        <f>'1 datos preparados'!C13</f>
        <v/>
      </c>
      <c r="E20" s="7">
        <f>'1 datos preparados'!D13</f>
        <v/>
      </c>
      <c r="F20" s="7">
        <f>'1 datos preparados'!E13</f>
        <v/>
      </c>
      <c r="G20" s="7">
        <f>'1 datos preparados'!F13</f>
        <v/>
      </c>
      <c r="H20" s="7">
        <f>'1 datos preparados'!G13</f>
        <v/>
      </c>
      <c r="I20" s="7">
        <f>'1 datos preparados'!H13</f>
        <v/>
      </c>
      <c r="J20" s="7">
        <f>'1 datos preparados'!I13</f>
        <v/>
      </c>
      <c r="K20" s="7">
        <f>'1 datos preparados'!J13</f>
        <v/>
      </c>
      <c r="L20" s="7">
        <f>'1 datos preparados'!K13</f>
        <v/>
      </c>
      <c r="M20" s="7">
        <f>'1 datos preparados'!L13</f>
        <v/>
      </c>
      <c r="N20" s="7">
        <f>'1 datos preparados'!M13</f>
        <v/>
      </c>
      <c r="O20" s="7">
        <f>'1 datos preparados'!N13</f>
        <v/>
      </c>
      <c r="P20" s="7">
        <f>'1 datos preparados'!O13</f>
        <v/>
      </c>
      <c r="Q20" s="7">
        <f>'1 datos preparados'!P13</f>
        <v/>
      </c>
      <c r="R20" s="7">
        <f>'1 datos preparados'!Q13</f>
        <v/>
      </c>
      <c r="S20" s="7">
        <f>'1 datos preparados'!R13</f>
        <v/>
      </c>
      <c r="T20" s="7">
        <f>'1 datos preparados'!S13</f>
        <v/>
      </c>
      <c r="U20" s="7">
        <f>'1 datos preparados'!T13</f>
        <v/>
      </c>
      <c r="V20" s="8">
        <f>$AE$12+D20*$AE$13+E20*$AE$14+F20*$AE$15+G20*$AE$16+H20*$AE$17+I20*$AE$18+J20*$AE$19+K20*$AE$20+L20*$AE$21+M20*$AE$22+N20*$AE$23+O20*$AE$24+P20*$AE$25+Q20*$AE$26+R20*$AE$27+S20*$AE$28+T20*$AE$29+U20*$AE$30</f>
        <v/>
      </c>
      <c r="W20" s="8">
        <f>1/(1+EXP(-V20))</f>
        <v/>
      </c>
      <c r="X20" s="9">
        <f>-IF(C20=1,LN(W20),LN(1-W20))</f>
        <v/>
      </c>
      <c r="Y20" s="8">
        <f>IF(C20=1,$AE$32,$AE$33)</f>
        <v/>
      </c>
      <c r="Z20" s="9">
        <f>Y20*X20</f>
        <v/>
      </c>
      <c r="AA20" s="10">
        <f>IF(W20&gt;$AE$34,1,0)</f>
        <v/>
      </c>
      <c r="AB20">
        <f>IF(AA20=C20,1,0)</f>
        <v/>
      </c>
      <c r="AD20" t="inlineStr">
        <is>
          <t>hist_critico</t>
        </is>
      </c>
      <c r="AE20" s="11" t="n">
        <v>-0.6573449373610837</v>
      </c>
      <c r="AF20" s="12" t="n">
        <v>-0.6574662901843602</v>
      </c>
      <c r="AI20" s="3" t="inlineStr">
        <is>
          <t>clase 1 (no paga)</t>
        </is>
      </c>
      <c r="AJ20" s="14">
        <f>IF(AL15+AL14=0,0,AL15/(AL15+AL14))</f>
        <v/>
      </c>
      <c r="AK20" s="14">
        <f>IF(AL15+AK15=0,0,AL15/(AL15+AK15))</f>
        <v/>
      </c>
      <c r="AL20" s="14">
        <f>IF(AJ20+AK20=0,0,2*AJ20*AK20/(AJ20+AK20))</f>
        <v/>
      </c>
      <c r="AM20">
        <f>AM15</f>
        <v/>
      </c>
    </row>
    <row r="21">
      <c r="A21">
        <f>'1 datos preparados'!A14</f>
        <v/>
      </c>
      <c r="B21" s="5">
        <f>'1 datos preparados'!U14</f>
        <v/>
      </c>
      <c r="C21">
        <f>'1 datos preparados'!B14</f>
        <v/>
      </c>
      <c r="D21" s="7">
        <f>'1 datos preparados'!C14</f>
        <v/>
      </c>
      <c r="E21" s="7">
        <f>'1 datos preparados'!D14</f>
        <v/>
      </c>
      <c r="F21" s="7">
        <f>'1 datos preparados'!E14</f>
        <v/>
      </c>
      <c r="G21" s="7">
        <f>'1 datos preparados'!F14</f>
        <v/>
      </c>
      <c r="H21" s="7">
        <f>'1 datos preparados'!G14</f>
        <v/>
      </c>
      <c r="I21" s="7">
        <f>'1 datos preparados'!H14</f>
        <v/>
      </c>
      <c r="J21" s="7">
        <f>'1 datos preparados'!I14</f>
        <v/>
      </c>
      <c r="K21" s="7">
        <f>'1 datos preparados'!J14</f>
        <v/>
      </c>
      <c r="L21" s="7">
        <f>'1 datos preparados'!K14</f>
        <v/>
      </c>
      <c r="M21" s="7">
        <f>'1 datos preparados'!L14</f>
        <v/>
      </c>
      <c r="N21" s="7">
        <f>'1 datos preparados'!M14</f>
        <v/>
      </c>
      <c r="O21" s="7">
        <f>'1 datos preparados'!N14</f>
        <v/>
      </c>
      <c r="P21" s="7">
        <f>'1 datos preparados'!O14</f>
        <v/>
      </c>
      <c r="Q21" s="7">
        <f>'1 datos preparados'!P14</f>
        <v/>
      </c>
      <c r="R21" s="7">
        <f>'1 datos preparados'!Q14</f>
        <v/>
      </c>
      <c r="S21" s="7">
        <f>'1 datos preparados'!R14</f>
        <v/>
      </c>
      <c r="T21" s="7">
        <f>'1 datos preparados'!S14</f>
        <v/>
      </c>
      <c r="U21" s="7">
        <f>'1 datos preparados'!T14</f>
        <v/>
      </c>
      <c r="V21" s="8">
        <f>$AE$12+D21*$AE$13+E21*$AE$14+F21*$AE$15+G21*$AE$16+H21*$AE$17+I21*$AE$18+J21*$AE$19+K21*$AE$20+L21*$AE$21+M21*$AE$22+N21*$AE$23+O21*$AE$24+P21*$AE$25+Q21*$AE$26+R21*$AE$27+S21*$AE$28+T21*$AE$29+U21*$AE$30</f>
        <v/>
      </c>
      <c r="W21" s="8">
        <f>1/(1+EXP(-V21))</f>
        <v/>
      </c>
      <c r="X21" s="9">
        <f>-IF(C21=1,LN(W21),LN(1-W21))</f>
        <v/>
      </c>
      <c r="Y21" s="8">
        <f>IF(C21=1,$AE$32,$AE$33)</f>
        <v/>
      </c>
      <c r="Z21" s="9">
        <f>Y21*X21</f>
        <v/>
      </c>
      <c r="AA21" s="10">
        <f>IF(W21&gt;$AE$34,1,0)</f>
        <v/>
      </c>
      <c r="AB21">
        <f>IF(AA21=C21,1,0)</f>
        <v/>
      </c>
      <c r="AD21" t="inlineStr">
        <is>
          <t>hist_atrasos</t>
        </is>
      </c>
      <c r="AE21" s="11" t="n">
        <v>-0.04019551911120235</v>
      </c>
      <c r="AF21" s="12" t="n">
        <v>-0.01456405654317391</v>
      </c>
      <c r="AI21" s="3" t="inlineStr">
        <is>
          <t>accuracy</t>
        </is>
      </c>
      <c r="AL21" s="14">
        <f>(AL15+AK14)/AM16</f>
        <v/>
      </c>
    </row>
    <row r="22">
      <c r="A22">
        <f>'1 datos preparados'!A15</f>
        <v/>
      </c>
      <c r="B22" s="5">
        <f>'1 datos preparados'!U15</f>
        <v/>
      </c>
      <c r="C22">
        <f>'1 datos preparados'!B15</f>
        <v/>
      </c>
      <c r="D22" s="7">
        <f>'1 datos preparados'!C15</f>
        <v/>
      </c>
      <c r="E22" s="7">
        <f>'1 datos preparados'!D15</f>
        <v/>
      </c>
      <c r="F22" s="7">
        <f>'1 datos preparados'!E15</f>
        <v/>
      </c>
      <c r="G22" s="7">
        <f>'1 datos preparados'!F15</f>
        <v/>
      </c>
      <c r="H22" s="7">
        <f>'1 datos preparados'!G15</f>
        <v/>
      </c>
      <c r="I22" s="7">
        <f>'1 datos preparados'!H15</f>
        <v/>
      </c>
      <c r="J22" s="7">
        <f>'1 datos preparados'!I15</f>
        <v/>
      </c>
      <c r="K22" s="7">
        <f>'1 datos preparados'!J15</f>
        <v/>
      </c>
      <c r="L22" s="7">
        <f>'1 datos preparados'!K15</f>
        <v/>
      </c>
      <c r="M22" s="7">
        <f>'1 datos preparados'!L15</f>
        <v/>
      </c>
      <c r="N22" s="7">
        <f>'1 datos preparados'!M15</f>
        <v/>
      </c>
      <c r="O22" s="7">
        <f>'1 datos preparados'!N15</f>
        <v/>
      </c>
      <c r="P22" s="7">
        <f>'1 datos preparados'!O15</f>
        <v/>
      </c>
      <c r="Q22" s="7">
        <f>'1 datos preparados'!P15</f>
        <v/>
      </c>
      <c r="R22" s="7">
        <f>'1 datos preparados'!Q15</f>
        <v/>
      </c>
      <c r="S22" s="7">
        <f>'1 datos preparados'!R15</f>
        <v/>
      </c>
      <c r="T22" s="7">
        <f>'1 datos preparados'!S15</f>
        <v/>
      </c>
      <c r="U22" s="7">
        <f>'1 datos preparados'!T15</f>
        <v/>
      </c>
      <c r="V22" s="8">
        <f>$AE$12+D22*$AE$13+E22*$AE$14+F22*$AE$15+G22*$AE$16+H22*$AE$17+I22*$AE$18+J22*$AE$19+K22*$AE$20+L22*$AE$21+M22*$AE$22+N22*$AE$23+O22*$AE$24+P22*$AE$25+Q22*$AE$26+R22*$AE$27+S22*$AE$28+T22*$AE$29+U22*$AE$30</f>
        <v/>
      </c>
      <c r="W22" s="8">
        <f>1/(1+EXP(-V22))</f>
        <v/>
      </c>
      <c r="X22" s="9">
        <f>-IF(C22=1,LN(W22),LN(1-W22))</f>
        <v/>
      </c>
      <c r="Y22" s="8">
        <f>IF(C22=1,$AE$32,$AE$33)</f>
        <v/>
      </c>
      <c r="Z22" s="9">
        <f>Y22*X22</f>
        <v/>
      </c>
      <c r="AA22" s="10">
        <f>IF(W22&gt;$AE$34,1,0)</f>
        <v/>
      </c>
      <c r="AB22">
        <f>IF(AA22=C22,1,0)</f>
        <v/>
      </c>
      <c r="AD22" t="inlineStr">
        <is>
          <t>hist_sin_creditos</t>
        </is>
      </c>
      <c r="AE22" s="11" t="n">
        <v>0.6690656278784681</v>
      </c>
      <c r="AF22" s="12" t="n">
        <v>0.6157666755208269</v>
      </c>
    </row>
    <row r="23">
      <c r="A23">
        <f>'1 datos preparados'!A16</f>
        <v/>
      </c>
      <c r="B23" s="5">
        <f>'1 datos preparados'!U16</f>
        <v/>
      </c>
      <c r="C23">
        <f>'1 datos preparados'!B16</f>
        <v/>
      </c>
      <c r="D23" s="7">
        <f>'1 datos preparados'!C16</f>
        <v/>
      </c>
      <c r="E23" s="7">
        <f>'1 datos preparados'!D16</f>
        <v/>
      </c>
      <c r="F23" s="7">
        <f>'1 datos preparados'!E16</f>
        <v/>
      </c>
      <c r="G23" s="7">
        <f>'1 datos preparados'!F16</f>
        <v/>
      </c>
      <c r="H23" s="7">
        <f>'1 datos preparados'!G16</f>
        <v/>
      </c>
      <c r="I23" s="7">
        <f>'1 datos preparados'!H16</f>
        <v/>
      </c>
      <c r="J23" s="7">
        <f>'1 datos preparados'!I16</f>
        <v/>
      </c>
      <c r="K23" s="7">
        <f>'1 datos preparados'!J16</f>
        <v/>
      </c>
      <c r="L23" s="7">
        <f>'1 datos preparados'!K16</f>
        <v/>
      </c>
      <c r="M23" s="7">
        <f>'1 datos preparados'!L16</f>
        <v/>
      </c>
      <c r="N23" s="7">
        <f>'1 datos preparados'!M16</f>
        <v/>
      </c>
      <c r="O23" s="7">
        <f>'1 datos preparados'!N16</f>
        <v/>
      </c>
      <c r="P23" s="7">
        <f>'1 datos preparados'!O16</f>
        <v/>
      </c>
      <c r="Q23" s="7">
        <f>'1 datos preparados'!P16</f>
        <v/>
      </c>
      <c r="R23" s="7">
        <f>'1 datos preparados'!Q16</f>
        <v/>
      </c>
      <c r="S23" s="7">
        <f>'1 datos preparados'!R16</f>
        <v/>
      </c>
      <c r="T23" s="7">
        <f>'1 datos preparados'!S16</f>
        <v/>
      </c>
      <c r="U23" s="7">
        <f>'1 datos preparados'!T16</f>
        <v/>
      </c>
      <c r="V23" s="8">
        <f>$AE$12+D23*$AE$13+E23*$AE$14+F23*$AE$15+G23*$AE$16+H23*$AE$17+I23*$AE$18+J23*$AE$19+K23*$AE$20+L23*$AE$21+M23*$AE$22+N23*$AE$23+O23*$AE$24+P23*$AE$25+Q23*$AE$26+R23*$AE$27+S23*$AE$28+T23*$AE$29+U23*$AE$30</f>
        <v/>
      </c>
      <c r="W23" s="8">
        <f>1/(1+EXP(-V23))</f>
        <v/>
      </c>
      <c r="X23" s="9">
        <f>-IF(C23=1,LN(W23),LN(1-W23))</f>
        <v/>
      </c>
      <c r="Y23" s="8">
        <f>IF(C23=1,$AE$32,$AE$33)</f>
        <v/>
      </c>
      <c r="Z23" s="9">
        <f>Y23*X23</f>
        <v/>
      </c>
      <c r="AA23" s="10">
        <f>IF(W23&gt;$AE$34,1,0)</f>
        <v/>
      </c>
      <c r="AB23">
        <f>IF(AA23=C23,1,0)</f>
        <v/>
      </c>
      <c r="AD23" t="inlineStr">
        <is>
          <t>ahorro_100_1000</t>
        </is>
      </c>
      <c r="AE23" s="11" t="n">
        <v>-0.3895834298458181</v>
      </c>
      <c r="AF23" s="12" t="n">
        <v>-0.3320673348037096</v>
      </c>
    </row>
    <row r="24">
      <c r="A24">
        <f>'1 datos preparados'!A17</f>
        <v/>
      </c>
      <c r="B24" s="5">
        <f>'1 datos preparados'!U17</f>
        <v/>
      </c>
      <c r="C24">
        <f>'1 datos preparados'!B17</f>
        <v/>
      </c>
      <c r="D24" s="7">
        <f>'1 datos preparados'!C17</f>
        <v/>
      </c>
      <c r="E24" s="7">
        <f>'1 datos preparados'!D17</f>
        <v/>
      </c>
      <c r="F24" s="7">
        <f>'1 datos preparados'!E17</f>
        <v/>
      </c>
      <c r="G24" s="7">
        <f>'1 datos preparados'!F17</f>
        <v/>
      </c>
      <c r="H24" s="7">
        <f>'1 datos preparados'!G17</f>
        <v/>
      </c>
      <c r="I24" s="7">
        <f>'1 datos preparados'!H17</f>
        <v/>
      </c>
      <c r="J24" s="7">
        <f>'1 datos preparados'!I17</f>
        <v/>
      </c>
      <c r="K24" s="7">
        <f>'1 datos preparados'!J17</f>
        <v/>
      </c>
      <c r="L24" s="7">
        <f>'1 datos preparados'!K17</f>
        <v/>
      </c>
      <c r="M24" s="7">
        <f>'1 datos preparados'!L17</f>
        <v/>
      </c>
      <c r="N24" s="7">
        <f>'1 datos preparados'!M17</f>
        <v/>
      </c>
      <c r="O24" s="7">
        <f>'1 datos preparados'!N17</f>
        <v/>
      </c>
      <c r="P24" s="7">
        <f>'1 datos preparados'!O17</f>
        <v/>
      </c>
      <c r="Q24" s="7">
        <f>'1 datos preparados'!P17</f>
        <v/>
      </c>
      <c r="R24" s="7">
        <f>'1 datos preparados'!Q17</f>
        <v/>
      </c>
      <c r="S24" s="7">
        <f>'1 datos preparados'!R17</f>
        <v/>
      </c>
      <c r="T24" s="7">
        <f>'1 datos preparados'!S17</f>
        <v/>
      </c>
      <c r="U24" s="7">
        <f>'1 datos preparados'!T17</f>
        <v/>
      </c>
      <c r="V24" s="8">
        <f>$AE$12+D24*$AE$13+E24*$AE$14+F24*$AE$15+G24*$AE$16+H24*$AE$17+I24*$AE$18+J24*$AE$19+K24*$AE$20+L24*$AE$21+M24*$AE$22+N24*$AE$23+O24*$AE$24+P24*$AE$25+Q24*$AE$26+R24*$AE$27+S24*$AE$28+T24*$AE$29+U24*$AE$30</f>
        <v/>
      </c>
      <c r="W24" s="8">
        <f>1/(1+EXP(-V24))</f>
        <v/>
      </c>
      <c r="X24" s="9">
        <f>-IF(C24=1,LN(W24),LN(1-W24))</f>
        <v/>
      </c>
      <c r="Y24" s="8">
        <f>IF(C24=1,$AE$32,$AE$33)</f>
        <v/>
      </c>
      <c r="Z24" s="9">
        <f>Y24*X24</f>
        <v/>
      </c>
      <c r="AA24" s="10">
        <f>IF(W24&gt;$AE$34,1,0)</f>
        <v/>
      </c>
      <c r="AB24">
        <f>IF(AA24=C24,1,0)</f>
        <v/>
      </c>
      <c r="AD24" t="inlineStr">
        <is>
          <t>ahorro_sobre_1000</t>
        </is>
      </c>
      <c r="AE24" s="11" t="n">
        <v>-0.8892238593761824</v>
      </c>
      <c r="AF24" s="12" t="n">
        <v>-0.7786412049884486</v>
      </c>
    </row>
    <row r="25">
      <c r="A25">
        <f>'1 datos preparados'!A18</f>
        <v/>
      </c>
      <c r="B25" s="5">
        <f>'1 datos preparados'!U18</f>
        <v/>
      </c>
      <c r="C25">
        <f>'1 datos preparados'!B18</f>
        <v/>
      </c>
      <c r="D25" s="7">
        <f>'1 datos preparados'!C18</f>
        <v/>
      </c>
      <c r="E25" s="7">
        <f>'1 datos preparados'!D18</f>
        <v/>
      </c>
      <c r="F25" s="7">
        <f>'1 datos preparados'!E18</f>
        <v/>
      </c>
      <c r="G25" s="7">
        <f>'1 datos preparados'!F18</f>
        <v/>
      </c>
      <c r="H25" s="7">
        <f>'1 datos preparados'!G18</f>
        <v/>
      </c>
      <c r="I25" s="7">
        <f>'1 datos preparados'!H18</f>
        <v/>
      </c>
      <c r="J25" s="7">
        <f>'1 datos preparados'!I18</f>
        <v/>
      </c>
      <c r="K25" s="7">
        <f>'1 datos preparados'!J18</f>
        <v/>
      </c>
      <c r="L25" s="7">
        <f>'1 datos preparados'!K18</f>
        <v/>
      </c>
      <c r="M25" s="7">
        <f>'1 datos preparados'!L18</f>
        <v/>
      </c>
      <c r="N25" s="7">
        <f>'1 datos preparados'!M18</f>
        <v/>
      </c>
      <c r="O25" s="7">
        <f>'1 datos preparados'!N18</f>
        <v/>
      </c>
      <c r="P25" s="7">
        <f>'1 datos preparados'!O18</f>
        <v/>
      </c>
      <c r="Q25" s="7">
        <f>'1 datos preparados'!P18</f>
        <v/>
      </c>
      <c r="R25" s="7">
        <f>'1 datos preparados'!Q18</f>
        <v/>
      </c>
      <c r="S25" s="7">
        <f>'1 datos preparados'!R18</f>
        <v/>
      </c>
      <c r="T25" s="7">
        <f>'1 datos preparados'!S18</f>
        <v/>
      </c>
      <c r="U25" s="7">
        <f>'1 datos preparados'!T18</f>
        <v/>
      </c>
      <c r="V25" s="8">
        <f>$AE$12+D25*$AE$13+E25*$AE$14+F25*$AE$15+G25*$AE$16+H25*$AE$17+I25*$AE$18+J25*$AE$19+K25*$AE$20+L25*$AE$21+M25*$AE$22+N25*$AE$23+O25*$AE$24+P25*$AE$25+Q25*$AE$26+R25*$AE$27+S25*$AE$28+T25*$AE$29+U25*$AE$30</f>
        <v/>
      </c>
      <c r="W25" s="8">
        <f>1/(1+EXP(-V25))</f>
        <v/>
      </c>
      <c r="X25" s="9">
        <f>-IF(C25=1,LN(W25),LN(1-W25))</f>
        <v/>
      </c>
      <c r="Y25" s="8">
        <f>IF(C25=1,$AE$32,$AE$33)</f>
        <v/>
      </c>
      <c r="Z25" s="9">
        <f>Y25*X25</f>
        <v/>
      </c>
      <c r="AA25" s="10">
        <f>IF(W25&gt;$AE$34,1,0)</f>
        <v/>
      </c>
      <c r="AB25">
        <f>IF(AA25=C25,1,0)</f>
        <v/>
      </c>
      <c r="AD25" t="inlineStr">
        <is>
          <t>ahorro_desconocido</t>
        </is>
      </c>
      <c r="AE25" s="11" t="n">
        <v>-1.076092926242446</v>
      </c>
      <c r="AF25" s="12" t="n">
        <v>-0.9745563244895521</v>
      </c>
    </row>
    <row r="26">
      <c r="A26">
        <f>'1 datos preparados'!A19</f>
        <v/>
      </c>
      <c r="B26" s="5">
        <f>'1 datos preparados'!U19</f>
        <v/>
      </c>
      <c r="C26">
        <f>'1 datos preparados'!B19</f>
        <v/>
      </c>
      <c r="D26" s="7">
        <f>'1 datos preparados'!C19</f>
        <v/>
      </c>
      <c r="E26" s="7">
        <f>'1 datos preparados'!D19</f>
        <v/>
      </c>
      <c r="F26" s="7">
        <f>'1 datos preparados'!E19</f>
        <v/>
      </c>
      <c r="G26" s="7">
        <f>'1 datos preparados'!F19</f>
        <v/>
      </c>
      <c r="H26" s="7">
        <f>'1 datos preparados'!G19</f>
        <v/>
      </c>
      <c r="I26" s="7">
        <f>'1 datos preparados'!H19</f>
        <v/>
      </c>
      <c r="J26" s="7">
        <f>'1 datos preparados'!I19</f>
        <v/>
      </c>
      <c r="K26" s="7">
        <f>'1 datos preparados'!J19</f>
        <v/>
      </c>
      <c r="L26" s="7">
        <f>'1 datos preparados'!K19</f>
        <v/>
      </c>
      <c r="M26" s="7">
        <f>'1 datos preparados'!L19</f>
        <v/>
      </c>
      <c r="N26" s="7">
        <f>'1 datos preparados'!M19</f>
        <v/>
      </c>
      <c r="O26" s="7">
        <f>'1 datos preparados'!N19</f>
        <v/>
      </c>
      <c r="P26" s="7">
        <f>'1 datos preparados'!O19</f>
        <v/>
      </c>
      <c r="Q26" s="7">
        <f>'1 datos preparados'!P19</f>
        <v/>
      </c>
      <c r="R26" s="7">
        <f>'1 datos preparados'!Q19</f>
        <v/>
      </c>
      <c r="S26" s="7">
        <f>'1 datos preparados'!R19</f>
        <v/>
      </c>
      <c r="T26" s="7">
        <f>'1 datos preparados'!S19</f>
        <v/>
      </c>
      <c r="U26" s="7">
        <f>'1 datos preparados'!T19</f>
        <v/>
      </c>
      <c r="V26" s="8">
        <f>$AE$12+D26*$AE$13+E26*$AE$14+F26*$AE$15+G26*$AE$16+H26*$AE$17+I26*$AE$18+J26*$AE$19+K26*$AE$20+L26*$AE$21+M26*$AE$22+N26*$AE$23+O26*$AE$24+P26*$AE$25+Q26*$AE$26+R26*$AE$27+S26*$AE$28+T26*$AE$29+U26*$AE$30</f>
        <v/>
      </c>
      <c r="W26" s="8">
        <f>1/(1+EXP(-V26))</f>
        <v/>
      </c>
      <c r="X26" s="9">
        <f>-IF(C26=1,LN(W26),LN(1-W26))</f>
        <v/>
      </c>
      <c r="Y26" s="8">
        <f>IF(C26=1,$AE$32,$AE$33)</f>
        <v/>
      </c>
      <c r="Z26" s="9">
        <f>Y26*X26</f>
        <v/>
      </c>
      <c r="AA26" s="10">
        <f>IF(W26&gt;$AE$34,1,0)</f>
        <v/>
      </c>
      <c r="AB26">
        <f>IF(AA26=C26,1,0)</f>
        <v/>
      </c>
      <c r="AD26" t="inlineStr">
        <is>
          <t>vivienda_arriendo</t>
        </is>
      </c>
      <c r="AE26" s="11" t="n">
        <v>0.6538371780658356</v>
      </c>
      <c r="AF26" s="12" t="n">
        <v>0.6187353351834901</v>
      </c>
    </row>
    <row r="27">
      <c r="A27">
        <f>'1 datos preparados'!A20</f>
        <v/>
      </c>
      <c r="B27" s="5">
        <f>'1 datos preparados'!U20</f>
        <v/>
      </c>
      <c r="C27">
        <f>'1 datos preparados'!B20</f>
        <v/>
      </c>
      <c r="D27" s="7">
        <f>'1 datos preparados'!C20</f>
        <v/>
      </c>
      <c r="E27" s="7">
        <f>'1 datos preparados'!D20</f>
        <v/>
      </c>
      <c r="F27" s="7">
        <f>'1 datos preparados'!E20</f>
        <v/>
      </c>
      <c r="G27" s="7">
        <f>'1 datos preparados'!F20</f>
        <v/>
      </c>
      <c r="H27" s="7">
        <f>'1 datos preparados'!G20</f>
        <v/>
      </c>
      <c r="I27" s="7">
        <f>'1 datos preparados'!H20</f>
        <v/>
      </c>
      <c r="J27" s="7">
        <f>'1 datos preparados'!I20</f>
        <v/>
      </c>
      <c r="K27" s="7">
        <f>'1 datos preparados'!J20</f>
        <v/>
      </c>
      <c r="L27" s="7">
        <f>'1 datos preparados'!K20</f>
        <v/>
      </c>
      <c r="M27" s="7">
        <f>'1 datos preparados'!L20</f>
        <v/>
      </c>
      <c r="N27" s="7">
        <f>'1 datos preparados'!M20</f>
        <v/>
      </c>
      <c r="O27" s="7">
        <f>'1 datos preparados'!N20</f>
        <v/>
      </c>
      <c r="P27" s="7">
        <f>'1 datos preparados'!O20</f>
        <v/>
      </c>
      <c r="Q27" s="7">
        <f>'1 datos preparados'!P20</f>
        <v/>
      </c>
      <c r="R27" s="7">
        <f>'1 datos preparados'!Q20</f>
        <v/>
      </c>
      <c r="S27" s="7">
        <f>'1 datos preparados'!R20</f>
        <v/>
      </c>
      <c r="T27" s="7">
        <f>'1 datos preparados'!S20</f>
        <v/>
      </c>
      <c r="U27" s="7">
        <f>'1 datos preparados'!T20</f>
        <v/>
      </c>
      <c r="V27" s="8">
        <f>$AE$12+D27*$AE$13+E27*$AE$14+F27*$AE$15+G27*$AE$16+H27*$AE$17+I27*$AE$18+J27*$AE$19+K27*$AE$20+L27*$AE$21+M27*$AE$22+N27*$AE$23+O27*$AE$24+P27*$AE$25+Q27*$AE$26+R27*$AE$27+S27*$AE$28+T27*$AE$29+U27*$AE$30</f>
        <v/>
      </c>
      <c r="W27" s="8">
        <f>1/(1+EXP(-V27))</f>
        <v/>
      </c>
      <c r="X27" s="9">
        <f>-IF(C27=1,LN(W27),LN(1-W27))</f>
        <v/>
      </c>
      <c r="Y27" s="8">
        <f>IF(C27=1,$AE$32,$AE$33)</f>
        <v/>
      </c>
      <c r="Z27" s="9">
        <f>Y27*X27</f>
        <v/>
      </c>
      <c r="AA27" s="10">
        <f>IF(W27&gt;$AE$34,1,0)</f>
        <v/>
      </c>
      <c r="AB27">
        <f>IF(AA27=C27,1,0)</f>
        <v/>
      </c>
      <c r="AD27" t="inlineStr">
        <is>
          <t>vivienda_gratis</t>
        </is>
      </c>
      <c r="AE27" s="11" t="n">
        <v>0.1953653579159878</v>
      </c>
      <c r="AF27" s="12" t="n">
        <v>0.231051958767676</v>
      </c>
    </row>
    <row r="28">
      <c r="A28">
        <f>'1 datos preparados'!A21</f>
        <v/>
      </c>
      <c r="B28" s="5">
        <f>'1 datos preparados'!U21</f>
        <v/>
      </c>
      <c r="C28">
        <f>'1 datos preparados'!B21</f>
        <v/>
      </c>
      <c r="D28" s="7">
        <f>'1 datos preparados'!C21</f>
        <v/>
      </c>
      <c r="E28" s="7">
        <f>'1 datos preparados'!D21</f>
        <v/>
      </c>
      <c r="F28" s="7">
        <f>'1 datos preparados'!E21</f>
        <v/>
      </c>
      <c r="G28" s="7">
        <f>'1 datos preparados'!F21</f>
        <v/>
      </c>
      <c r="H28" s="7">
        <f>'1 datos preparados'!G21</f>
        <v/>
      </c>
      <c r="I28" s="7">
        <f>'1 datos preparados'!H21</f>
        <v/>
      </c>
      <c r="J28" s="7">
        <f>'1 datos preparados'!I21</f>
        <v/>
      </c>
      <c r="K28" s="7">
        <f>'1 datos preparados'!J21</f>
        <v/>
      </c>
      <c r="L28" s="7">
        <f>'1 datos preparados'!K21</f>
        <v/>
      </c>
      <c r="M28" s="7">
        <f>'1 datos preparados'!L21</f>
        <v/>
      </c>
      <c r="N28" s="7">
        <f>'1 datos preparados'!M21</f>
        <v/>
      </c>
      <c r="O28" s="7">
        <f>'1 datos preparados'!N21</f>
        <v/>
      </c>
      <c r="P28" s="7">
        <f>'1 datos preparados'!O21</f>
        <v/>
      </c>
      <c r="Q28" s="7">
        <f>'1 datos preparados'!P21</f>
        <v/>
      </c>
      <c r="R28" s="7">
        <f>'1 datos preparados'!Q21</f>
        <v/>
      </c>
      <c r="S28" s="7">
        <f>'1 datos preparados'!R21</f>
        <v/>
      </c>
      <c r="T28" s="7">
        <f>'1 datos preparados'!S21</f>
        <v/>
      </c>
      <c r="U28" s="7">
        <f>'1 datos preparados'!T21</f>
        <v/>
      </c>
      <c r="V28" s="8">
        <f>$AE$12+D28*$AE$13+E28*$AE$14+F28*$AE$15+G28*$AE$16+H28*$AE$17+I28*$AE$18+J28*$AE$19+K28*$AE$20+L28*$AE$21+M28*$AE$22+N28*$AE$23+O28*$AE$24+P28*$AE$25+Q28*$AE$26+R28*$AE$27+S28*$AE$28+T28*$AE$29+U28*$AE$30</f>
        <v/>
      </c>
      <c r="W28" s="8">
        <f>1/(1+EXP(-V28))</f>
        <v/>
      </c>
      <c r="X28" s="9">
        <f>-IF(C28=1,LN(W28),LN(1-W28))</f>
        <v/>
      </c>
      <c r="Y28" s="8">
        <f>IF(C28=1,$AE$32,$AE$33)</f>
        <v/>
      </c>
      <c r="Z28" s="9">
        <f>Y28*X28</f>
        <v/>
      </c>
      <c r="AA28" s="10">
        <f>IF(W28&gt;$AE$34,1,0)</f>
        <v/>
      </c>
      <c r="AB28">
        <f>IF(AA28=C28,1,0)</f>
        <v/>
      </c>
      <c r="AD28" t="inlineStr">
        <is>
          <t>proposito_auto</t>
        </is>
      </c>
      <c r="AE28" s="11" t="n">
        <v>-0.08016547581790479</v>
      </c>
      <c r="AF28" s="12" t="n">
        <v>-0.1659678833127712</v>
      </c>
    </row>
    <row r="29">
      <c r="A29">
        <f>'1 datos preparados'!A22</f>
        <v/>
      </c>
      <c r="B29" s="5">
        <f>'1 datos preparados'!U22</f>
        <v/>
      </c>
      <c r="C29">
        <f>'1 datos preparados'!B22</f>
        <v/>
      </c>
      <c r="D29" s="7">
        <f>'1 datos preparados'!C22</f>
        <v/>
      </c>
      <c r="E29" s="7">
        <f>'1 datos preparados'!D22</f>
        <v/>
      </c>
      <c r="F29" s="7">
        <f>'1 datos preparados'!E22</f>
        <v/>
      </c>
      <c r="G29" s="7">
        <f>'1 datos preparados'!F22</f>
        <v/>
      </c>
      <c r="H29" s="7">
        <f>'1 datos preparados'!G22</f>
        <v/>
      </c>
      <c r="I29" s="7">
        <f>'1 datos preparados'!H22</f>
        <v/>
      </c>
      <c r="J29" s="7">
        <f>'1 datos preparados'!I22</f>
        <v/>
      </c>
      <c r="K29" s="7">
        <f>'1 datos preparados'!J22</f>
        <v/>
      </c>
      <c r="L29" s="7">
        <f>'1 datos preparados'!K22</f>
        <v/>
      </c>
      <c r="M29" s="7">
        <f>'1 datos preparados'!L22</f>
        <v/>
      </c>
      <c r="N29" s="7">
        <f>'1 datos preparados'!M22</f>
        <v/>
      </c>
      <c r="O29" s="7">
        <f>'1 datos preparados'!N22</f>
        <v/>
      </c>
      <c r="P29" s="7">
        <f>'1 datos preparados'!O22</f>
        <v/>
      </c>
      <c r="Q29" s="7">
        <f>'1 datos preparados'!P22</f>
        <v/>
      </c>
      <c r="R29" s="7">
        <f>'1 datos preparados'!Q22</f>
        <v/>
      </c>
      <c r="S29" s="7">
        <f>'1 datos preparados'!R22</f>
        <v/>
      </c>
      <c r="T29" s="7">
        <f>'1 datos preparados'!S22</f>
        <v/>
      </c>
      <c r="U29" s="7">
        <f>'1 datos preparados'!T22</f>
        <v/>
      </c>
      <c r="V29" s="8">
        <f>$AE$12+D29*$AE$13+E29*$AE$14+F29*$AE$15+G29*$AE$16+H29*$AE$17+I29*$AE$18+J29*$AE$19+K29*$AE$20+L29*$AE$21+M29*$AE$22+N29*$AE$23+O29*$AE$24+P29*$AE$25+Q29*$AE$26+R29*$AE$27+S29*$AE$28+T29*$AE$29+U29*$AE$30</f>
        <v/>
      </c>
      <c r="W29" s="8">
        <f>1/(1+EXP(-V29))</f>
        <v/>
      </c>
      <c r="X29" s="9">
        <f>-IF(C29=1,LN(W29),LN(1-W29))</f>
        <v/>
      </c>
      <c r="Y29" s="8">
        <f>IF(C29=1,$AE$32,$AE$33)</f>
        <v/>
      </c>
      <c r="Z29" s="9">
        <f>Y29*X29</f>
        <v/>
      </c>
      <c r="AA29" s="10">
        <f>IF(W29&gt;$AE$34,1,0)</f>
        <v/>
      </c>
      <c r="AB29">
        <f>IF(AA29=C29,1,0)</f>
        <v/>
      </c>
      <c r="AD29" t="inlineStr">
        <is>
          <t>proposito_radio_tv</t>
        </is>
      </c>
      <c r="AE29" s="11" t="n">
        <v>-0.5202106472417524</v>
      </c>
      <c r="AF29" s="12" t="n">
        <v>-0.5989357633078456</v>
      </c>
    </row>
    <row r="30">
      <c r="A30">
        <f>'1 datos preparados'!A23</f>
        <v/>
      </c>
      <c r="B30" s="5">
        <f>'1 datos preparados'!U23</f>
        <v/>
      </c>
      <c r="C30">
        <f>'1 datos preparados'!B23</f>
        <v/>
      </c>
      <c r="D30" s="7">
        <f>'1 datos preparados'!C23</f>
        <v/>
      </c>
      <c r="E30" s="7">
        <f>'1 datos preparados'!D23</f>
        <v/>
      </c>
      <c r="F30" s="7">
        <f>'1 datos preparados'!E23</f>
        <v/>
      </c>
      <c r="G30" s="7">
        <f>'1 datos preparados'!F23</f>
        <v/>
      </c>
      <c r="H30" s="7">
        <f>'1 datos preparados'!G23</f>
        <v/>
      </c>
      <c r="I30" s="7">
        <f>'1 datos preparados'!H23</f>
        <v/>
      </c>
      <c r="J30" s="7">
        <f>'1 datos preparados'!I23</f>
        <v/>
      </c>
      <c r="K30" s="7">
        <f>'1 datos preparados'!J23</f>
        <v/>
      </c>
      <c r="L30" s="7">
        <f>'1 datos preparados'!K23</f>
        <v/>
      </c>
      <c r="M30" s="7">
        <f>'1 datos preparados'!L23</f>
        <v/>
      </c>
      <c r="N30" s="7">
        <f>'1 datos preparados'!M23</f>
        <v/>
      </c>
      <c r="O30" s="7">
        <f>'1 datos preparados'!N23</f>
        <v/>
      </c>
      <c r="P30" s="7">
        <f>'1 datos preparados'!O23</f>
        <v/>
      </c>
      <c r="Q30" s="7">
        <f>'1 datos preparados'!P23</f>
        <v/>
      </c>
      <c r="R30" s="7">
        <f>'1 datos preparados'!Q23</f>
        <v/>
      </c>
      <c r="S30" s="7">
        <f>'1 datos preparados'!R23</f>
        <v/>
      </c>
      <c r="T30" s="7">
        <f>'1 datos preparados'!S23</f>
        <v/>
      </c>
      <c r="U30" s="7">
        <f>'1 datos preparados'!T23</f>
        <v/>
      </c>
      <c r="V30" s="8">
        <f>$AE$12+D30*$AE$13+E30*$AE$14+F30*$AE$15+G30*$AE$16+H30*$AE$17+I30*$AE$18+J30*$AE$19+K30*$AE$20+L30*$AE$21+M30*$AE$22+N30*$AE$23+O30*$AE$24+P30*$AE$25+Q30*$AE$26+R30*$AE$27+S30*$AE$28+T30*$AE$29+U30*$AE$30</f>
        <v/>
      </c>
      <c r="W30" s="8">
        <f>1/(1+EXP(-V30))</f>
        <v/>
      </c>
      <c r="X30" s="9">
        <f>-IF(C30=1,LN(W30),LN(1-W30))</f>
        <v/>
      </c>
      <c r="Y30" s="8">
        <f>IF(C30=1,$AE$32,$AE$33)</f>
        <v/>
      </c>
      <c r="Z30" s="9">
        <f>Y30*X30</f>
        <v/>
      </c>
      <c r="AA30" s="10">
        <f>IF(W30&gt;$AE$34,1,0)</f>
        <v/>
      </c>
      <c r="AB30">
        <f>IF(AA30=C30,1,0)</f>
        <v/>
      </c>
      <c r="AD30" t="inlineStr">
        <is>
          <t>proposito_muebles</t>
        </is>
      </c>
      <c r="AE30" s="11" t="n">
        <v>-0.2818027438096851</v>
      </c>
      <c r="AF30" s="12" t="n">
        <v>-0.3109583028483651</v>
      </c>
    </row>
    <row r="31">
      <c r="A31">
        <f>'1 datos preparados'!A24</f>
        <v/>
      </c>
      <c r="B31" s="5">
        <f>'1 datos preparados'!U24</f>
        <v/>
      </c>
      <c r="C31">
        <f>'1 datos preparados'!B24</f>
        <v/>
      </c>
      <c r="D31" s="7">
        <f>'1 datos preparados'!C24</f>
        <v/>
      </c>
      <c r="E31" s="7">
        <f>'1 datos preparados'!D24</f>
        <v/>
      </c>
      <c r="F31" s="7">
        <f>'1 datos preparados'!E24</f>
        <v/>
      </c>
      <c r="G31" s="7">
        <f>'1 datos preparados'!F24</f>
        <v/>
      </c>
      <c r="H31" s="7">
        <f>'1 datos preparados'!G24</f>
        <v/>
      </c>
      <c r="I31" s="7">
        <f>'1 datos preparados'!H24</f>
        <v/>
      </c>
      <c r="J31" s="7">
        <f>'1 datos preparados'!I24</f>
        <v/>
      </c>
      <c r="K31" s="7">
        <f>'1 datos preparados'!J24</f>
        <v/>
      </c>
      <c r="L31" s="7">
        <f>'1 datos preparados'!K24</f>
        <v/>
      </c>
      <c r="M31" s="7">
        <f>'1 datos preparados'!L24</f>
        <v/>
      </c>
      <c r="N31" s="7">
        <f>'1 datos preparados'!M24</f>
        <v/>
      </c>
      <c r="O31" s="7">
        <f>'1 datos preparados'!N24</f>
        <v/>
      </c>
      <c r="P31" s="7">
        <f>'1 datos preparados'!O24</f>
        <v/>
      </c>
      <c r="Q31" s="7">
        <f>'1 datos preparados'!P24</f>
        <v/>
      </c>
      <c r="R31" s="7">
        <f>'1 datos preparados'!Q24</f>
        <v/>
      </c>
      <c r="S31" s="7">
        <f>'1 datos preparados'!R24</f>
        <v/>
      </c>
      <c r="T31" s="7">
        <f>'1 datos preparados'!S24</f>
        <v/>
      </c>
      <c r="U31" s="7">
        <f>'1 datos preparados'!T24</f>
        <v/>
      </c>
      <c r="V31" s="8">
        <f>$AE$12+D31*$AE$13+E31*$AE$14+F31*$AE$15+G31*$AE$16+H31*$AE$17+I31*$AE$18+J31*$AE$19+K31*$AE$20+L31*$AE$21+M31*$AE$22+N31*$AE$23+O31*$AE$24+P31*$AE$25+Q31*$AE$26+R31*$AE$27+S31*$AE$28+T31*$AE$29+U31*$AE$30</f>
        <v/>
      </c>
      <c r="W31" s="8">
        <f>1/(1+EXP(-V31))</f>
        <v/>
      </c>
      <c r="X31" s="9">
        <f>-IF(C31=1,LN(W31),LN(1-W31))</f>
        <v/>
      </c>
      <c r="Y31" s="8">
        <f>IF(C31=1,$AE$32,$AE$33)</f>
        <v/>
      </c>
      <c r="Z31" s="9">
        <f>Y31*X31</f>
        <v/>
      </c>
      <c r="AA31" s="10">
        <f>IF(W31&gt;$AE$34,1,0)</f>
        <v/>
      </c>
      <c r="AB31">
        <f>IF(AA31=C31,1,0)</f>
        <v/>
      </c>
    </row>
    <row r="32">
      <c r="A32">
        <f>'1 datos preparados'!A25</f>
        <v/>
      </c>
      <c r="B32" s="5">
        <f>'1 datos preparados'!U25</f>
        <v/>
      </c>
      <c r="C32">
        <f>'1 datos preparados'!B25</f>
        <v/>
      </c>
      <c r="D32" s="7">
        <f>'1 datos preparados'!C25</f>
        <v/>
      </c>
      <c r="E32" s="7">
        <f>'1 datos preparados'!D25</f>
        <v/>
      </c>
      <c r="F32" s="7">
        <f>'1 datos preparados'!E25</f>
        <v/>
      </c>
      <c r="G32" s="7">
        <f>'1 datos preparados'!F25</f>
        <v/>
      </c>
      <c r="H32" s="7">
        <f>'1 datos preparados'!G25</f>
        <v/>
      </c>
      <c r="I32" s="7">
        <f>'1 datos preparados'!H25</f>
        <v/>
      </c>
      <c r="J32" s="7">
        <f>'1 datos preparados'!I25</f>
        <v/>
      </c>
      <c r="K32" s="7">
        <f>'1 datos preparados'!J25</f>
        <v/>
      </c>
      <c r="L32" s="7">
        <f>'1 datos preparados'!K25</f>
        <v/>
      </c>
      <c r="M32" s="7">
        <f>'1 datos preparados'!L25</f>
        <v/>
      </c>
      <c r="N32" s="7">
        <f>'1 datos preparados'!M25</f>
        <v/>
      </c>
      <c r="O32" s="7">
        <f>'1 datos preparados'!N25</f>
        <v/>
      </c>
      <c r="P32" s="7">
        <f>'1 datos preparados'!O25</f>
        <v/>
      </c>
      <c r="Q32" s="7">
        <f>'1 datos preparados'!P25</f>
        <v/>
      </c>
      <c r="R32" s="7">
        <f>'1 datos preparados'!Q25</f>
        <v/>
      </c>
      <c r="S32" s="7">
        <f>'1 datos preparados'!R25</f>
        <v/>
      </c>
      <c r="T32" s="7">
        <f>'1 datos preparados'!S25</f>
        <v/>
      </c>
      <c r="U32" s="7">
        <f>'1 datos preparados'!T25</f>
        <v/>
      </c>
      <c r="V32" s="8">
        <f>$AE$12+D32*$AE$13+E32*$AE$14+F32*$AE$15+G32*$AE$16+H32*$AE$17+I32*$AE$18+J32*$AE$19+K32*$AE$20+L32*$AE$21+M32*$AE$22+N32*$AE$23+O32*$AE$24+P32*$AE$25+Q32*$AE$26+R32*$AE$27+S32*$AE$28+T32*$AE$29+U32*$AE$30</f>
        <v/>
      </c>
      <c r="W32" s="8">
        <f>1/(1+EXP(-V32))</f>
        <v/>
      </c>
      <c r="X32" s="9">
        <f>-IF(C32=1,LN(W32),LN(1-W32))</f>
        <v/>
      </c>
      <c r="Y32" s="8">
        <f>IF(C32=1,$AE$32,$AE$33)</f>
        <v/>
      </c>
      <c r="Z32" s="9">
        <f>Y32*X32</f>
        <v/>
      </c>
      <c r="AA32" s="10">
        <f>IF(W32&gt;$AE$34,1,0)</f>
        <v/>
      </c>
      <c r="AB32">
        <f>IF(AA32=C32,1,0)</f>
        <v/>
      </c>
      <c r="AD32" s="3" t="inlineStr">
        <is>
          <t>peso de la clase 1 (mal pagador), w1</t>
        </is>
      </c>
      <c r="AE32" s="20">
        <f>700/(2*210)</f>
        <v/>
      </c>
    </row>
    <row r="33">
      <c r="A33">
        <f>'1 datos preparados'!A26</f>
        <v/>
      </c>
      <c r="B33" s="5">
        <f>'1 datos preparados'!U26</f>
        <v/>
      </c>
      <c r="C33">
        <f>'1 datos preparados'!B26</f>
        <v/>
      </c>
      <c r="D33" s="7">
        <f>'1 datos preparados'!C26</f>
        <v/>
      </c>
      <c r="E33" s="7">
        <f>'1 datos preparados'!D26</f>
        <v/>
      </c>
      <c r="F33" s="7">
        <f>'1 datos preparados'!E26</f>
        <v/>
      </c>
      <c r="G33" s="7">
        <f>'1 datos preparados'!F26</f>
        <v/>
      </c>
      <c r="H33" s="7">
        <f>'1 datos preparados'!G26</f>
        <v/>
      </c>
      <c r="I33" s="7">
        <f>'1 datos preparados'!H26</f>
        <v/>
      </c>
      <c r="J33" s="7">
        <f>'1 datos preparados'!I26</f>
        <v/>
      </c>
      <c r="K33" s="7">
        <f>'1 datos preparados'!J26</f>
        <v/>
      </c>
      <c r="L33" s="7">
        <f>'1 datos preparados'!K26</f>
        <v/>
      </c>
      <c r="M33" s="7">
        <f>'1 datos preparados'!L26</f>
        <v/>
      </c>
      <c r="N33" s="7">
        <f>'1 datos preparados'!M26</f>
        <v/>
      </c>
      <c r="O33" s="7">
        <f>'1 datos preparados'!N26</f>
        <v/>
      </c>
      <c r="P33" s="7">
        <f>'1 datos preparados'!O26</f>
        <v/>
      </c>
      <c r="Q33" s="7">
        <f>'1 datos preparados'!P26</f>
        <v/>
      </c>
      <c r="R33" s="7">
        <f>'1 datos preparados'!Q26</f>
        <v/>
      </c>
      <c r="S33" s="7">
        <f>'1 datos preparados'!R26</f>
        <v/>
      </c>
      <c r="T33" s="7">
        <f>'1 datos preparados'!S26</f>
        <v/>
      </c>
      <c r="U33" s="7">
        <f>'1 datos preparados'!T26</f>
        <v/>
      </c>
      <c r="V33" s="8">
        <f>$AE$12+D33*$AE$13+E33*$AE$14+F33*$AE$15+G33*$AE$16+H33*$AE$17+I33*$AE$18+J33*$AE$19+K33*$AE$20+L33*$AE$21+M33*$AE$22+N33*$AE$23+O33*$AE$24+P33*$AE$25+Q33*$AE$26+R33*$AE$27+S33*$AE$28+T33*$AE$29+U33*$AE$30</f>
        <v/>
      </c>
      <c r="W33" s="8">
        <f>1/(1+EXP(-V33))</f>
        <v/>
      </c>
      <c r="X33" s="9">
        <f>-IF(C33=1,LN(W33),LN(1-W33))</f>
        <v/>
      </c>
      <c r="Y33" s="8">
        <f>IF(C33=1,$AE$32,$AE$33)</f>
        <v/>
      </c>
      <c r="Z33" s="9">
        <f>Y33*X33</f>
        <v/>
      </c>
      <c r="AA33" s="10">
        <f>IF(W33&gt;$AE$34,1,0)</f>
        <v/>
      </c>
      <c r="AB33">
        <f>IF(AA33=C33,1,0)</f>
        <v/>
      </c>
      <c r="AD33" s="3" t="inlineStr">
        <is>
          <t>peso de la clase 0 (buen pagador), w0</t>
        </is>
      </c>
      <c r="AE33" s="20">
        <f>700/(2*490)</f>
        <v/>
      </c>
    </row>
    <row r="34">
      <c r="A34">
        <f>'1 datos preparados'!A27</f>
        <v/>
      </c>
      <c r="B34" s="5">
        <f>'1 datos preparados'!U27</f>
        <v/>
      </c>
      <c r="C34">
        <f>'1 datos preparados'!B27</f>
        <v/>
      </c>
      <c r="D34" s="7">
        <f>'1 datos preparados'!C27</f>
        <v/>
      </c>
      <c r="E34" s="7">
        <f>'1 datos preparados'!D27</f>
        <v/>
      </c>
      <c r="F34" s="7">
        <f>'1 datos preparados'!E27</f>
        <v/>
      </c>
      <c r="G34" s="7">
        <f>'1 datos preparados'!F27</f>
        <v/>
      </c>
      <c r="H34" s="7">
        <f>'1 datos preparados'!G27</f>
        <v/>
      </c>
      <c r="I34" s="7">
        <f>'1 datos preparados'!H27</f>
        <v/>
      </c>
      <c r="J34" s="7">
        <f>'1 datos preparados'!I27</f>
        <v/>
      </c>
      <c r="K34" s="7">
        <f>'1 datos preparados'!J27</f>
        <v/>
      </c>
      <c r="L34" s="7">
        <f>'1 datos preparados'!K27</f>
        <v/>
      </c>
      <c r="M34" s="7">
        <f>'1 datos preparados'!L27</f>
        <v/>
      </c>
      <c r="N34" s="7">
        <f>'1 datos preparados'!M27</f>
        <v/>
      </c>
      <c r="O34" s="7">
        <f>'1 datos preparados'!N27</f>
        <v/>
      </c>
      <c r="P34" s="7">
        <f>'1 datos preparados'!O27</f>
        <v/>
      </c>
      <c r="Q34" s="7">
        <f>'1 datos preparados'!P27</f>
        <v/>
      </c>
      <c r="R34" s="7">
        <f>'1 datos preparados'!Q27</f>
        <v/>
      </c>
      <c r="S34" s="7">
        <f>'1 datos preparados'!R27</f>
        <v/>
      </c>
      <c r="T34" s="7">
        <f>'1 datos preparados'!S27</f>
        <v/>
      </c>
      <c r="U34" s="7">
        <f>'1 datos preparados'!T27</f>
        <v/>
      </c>
      <c r="V34" s="8">
        <f>$AE$12+D34*$AE$13+E34*$AE$14+F34*$AE$15+G34*$AE$16+H34*$AE$17+I34*$AE$18+J34*$AE$19+K34*$AE$20+L34*$AE$21+M34*$AE$22+N34*$AE$23+O34*$AE$24+P34*$AE$25+Q34*$AE$26+R34*$AE$27+S34*$AE$28+T34*$AE$29+U34*$AE$30</f>
        <v/>
      </c>
      <c r="W34" s="8">
        <f>1/(1+EXP(-V34))</f>
        <v/>
      </c>
      <c r="X34" s="9">
        <f>-IF(C34=1,LN(W34),LN(1-W34))</f>
        <v/>
      </c>
      <c r="Y34" s="8">
        <f>IF(C34=1,$AE$32,$AE$33)</f>
        <v/>
      </c>
      <c r="Z34" s="9">
        <f>Y34*X34</f>
        <v/>
      </c>
      <c r="AA34" s="10">
        <f>IF(W34&gt;$AE$34,1,0)</f>
        <v/>
      </c>
      <c r="AB34">
        <f>IF(AA34=C34,1,0)</f>
        <v/>
      </c>
      <c r="AD34" s="3" t="inlineStr">
        <is>
          <t>umbral</t>
        </is>
      </c>
      <c r="AE34" s="15" t="n">
        <v>0.5</v>
      </c>
    </row>
    <row r="35">
      <c r="A35">
        <f>'1 datos preparados'!A28</f>
        <v/>
      </c>
      <c r="B35" s="5">
        <f>'1 datos preparados'!U28</f>
        <v/>
      </c>
      <c r="C35">
        <f>'1 datos preparados'!B28</f>
        <v/>
      </c>
      <c r="D35" s="7">
        <f>'1 datos preparados'!C28</f>
        <v/>
      </c>
      <c r="E35" s="7">
        <f>'1 datos preparados'!D28</f>
        <v/>
      </c>
      <c r="F35" s="7">
        <f>'1 datos preparados'!E28</f>
        <v/>
      </c>
      <c r="G35" s="7">
        <f>'1 datos preparados'!F28</f>
        <v/>
      </c>
      <c r="H35" s="7">
        <f>'1 datos preparados'!G28</f>
        <v/>
      </c>
      <c r="I35" s="7">
        <f>'1 datos preparados'!H28</f>
        <v/>
      </c>
      <c r="J35" s="7">
        <f>'1 datos preparados'!I28</f>
        <v/>
      </c>
      <c r="K35" s="7">
        <f>'1 datos preparados'!J28</f>
        <v/>
      </c>
      <c r="L35" s="7">
        <f>'1 datos preparados'!K28</f>
        <v/>
      </c>
      <c r="M35" s="7">
        <f>'1 datos preparados'!L28</f>
        <v/>
      </c>
      <c r="N35" s="7">
        <f>'1 datos preparados'!M28</f>
        <v/>
      </c>
      <c r="O35" s="7">
        <f>'1 datos preparados'!N28</f>
        <v/>
      </c>
      <c r="P35" s="7">
        <f>'1 datos preparados'!O28</f>
        <v/>
      </c>
      <c r="Q35" s="7">
        <f>'1 datos preparados'!P28</f>
        <v/>
      </c>
      <c r="R35" s="7">
        <f>'1 datos preparados'!Q28</f>
        <v/>
      </c>
      <c r="S35" s="7">
        <f>'1 datos preparados'!R28</f>
        <v/>
      </c>
      <c r="T35" s="7">
        <f>'1 datos preparados'!S28</f>
        <v/>
      </c>
      <c r="U35" s="7">
        <f>'1 datos preparados'!T28</f>
        <v/>
      </c>
      <c r="V35" s="8">
        <f>$AE$12+D35*$AE$13+E35*$AE$14+F35*$AE$15+G35*$AE$16+H35*$AE$17+I35*$AE$18+J35*$AE$19+K35*$AE$20+L35*$AE$21+M35*$AE$22+N35*$AE$23+O35*$AE$24+P35*$AE$25+Q35*$AE$26+R35*$AE$27+S35*$AE$28+T35*$AE$29+U35*$AE$30</f>
        <v/>
      </c>
      <c r="W35" s="8">
        <f>1/(1+EXP(-V35))</f>
        <v/>
      </c>
      <c r="X35" s="9">
        <f>-IF(C35=1,LN(W35),LN(1-W35))</f>
        <v/>
      </c>
      <c r="Y35" s="8">
        <f>IF(C35=1,$AE$32,$AE$33)</f>
        <v/>
      </c>
      <c r="Z35" s="9">
        <f>Y35*X35</f>
        <v/>
      </c>
      <c r="AA35" s="10">
        <f>IF(W35&gt;$AE$34,1,0)</f>
        <v/>
      </c>
      <c r="AB35">
        <f>IF(AA35=C35,1,0)</f>
        <v/>
      </c>
    </row>
    <row r="36">
      <c r="A36">
        <f>'1 datos preparados'!A29</f>
        <v/>
      </c>
      <c r="B36" s="5">
        <f>'1 datos preparados'!U29</f>
        <v/>
      </c>
      <c r="C36">
        <f>'1 datos preparados'!B29</f>
        <v/>
      </c>
      <c r="D36" s="7">
        <f>'1 datos preparados'!C29</f>
        <v/>
      </c>
      <c r="E36" s="7">
        <f>'1 datos preparados'!D29</f>
        <v/>
      </c>
      <c r="F36" s="7">
        <f>'1 datos preparados'!E29</f>
        <v/>
      </c>
      <c r="G36" s="7">
        <f>'1 datos preparados'!F29</f>
        <v/>
      </c>
      <c r="H36" s="7">
        <f>'1 datos preparados'!G29</f>
        <v/>
      </c>
      <c r="I36" s="7">
        <f>'1 datos preparados'!H29</f>
        <v/>
      </c>
      <c r="J36" s="7">
        <f>'1 datos preparados'!I29</f>
        <v/>
      </c>
      <c r="K36" s="7">
        <f>'1 datos preparados'!J29</f>
        <v/>
      </c>
      <c r="L36" s="7">
        <f>'1 datos preparados'!K29</f>
        <v/>
      </c>
      <c r="M36" s="7">
        <f>'1 datos preparados'!L29</f>
        <v/>
      </c>
      <c r="N36" s="7">
        <f>'1 datos preparados'!M29</f>
        <v/>
      </c>
      <c r="O36" s="7">
        <f>'1 datos preparados'!N29</f>
        <v/>
      </c>
      <c r="P36" s="7">
        <f>'1 datos preparados'!O29</f>
        <v/>
      </c>
      <c r="Q36" s="7">
        <f>'1 datos preparados'!P29</f>
        <v/>
      </c>
      <c r="R36" s="7">
        <f>'1 datos preparados'!Q29</f>
        <v/>
      </c>
      <c r="S36" s="7">
        <f>'1 datos preparados'!R29</f>
        <v/>
      </c>
      <c r="T36" s="7">
        <f>'1 datos preparados'!S29</f>
        <v/>
      </c>
      <c r="U36" s="7">
        <f>'1 datos preparados'!T29</f>
        <v/>
      </c>
      <c r="V36" s="8">
        <f>$AE$12+D36*$AE$13+E36*$AE$14+F36*$AE$15+G36*$AE$16+H36*$AE$17+I36*$AE$18+J36*$AE$19+K36*$AE$20+L36*$AE$21+M36*$AE$22+N36*$AE$23+O36*$AE$24+P36*$AE$25+Q36*$AE$26+R36*$AE$27+S36*$AE$28+T36*$AE$29+U36*$AE$30</f>
        <v/>
      </c>
      <c r="W36" s="8">
        <f>1/(1+EXP(-V36))</f>
        <v/>
      </c>
      <c r="X36" s="9">
        <f>-IF(C36=1,LN(W36),LN(1-W36))</f>
        <v/>
      </c>
      <c r="Y36" s="8">
        <f>IF(C36=1,$AE$32,$AE$33)</f>
        <v/>
      </c>
      <c r="Z36" s="9">
        <f>Y36*X36</f>
        <v/>
      </c>
      <c r="AA36" s="10">
        <f>IF(W36&gt;$AE$34,1,0)</f>
        <v/>
      </c>
      <c r="AB36">
        <f>IF(AA36=C36,1,0)</f>
        <v/>
      </c>
      <c r="AD36" s="3" t="inlineStr">
        <is>
          <t>RESULTADOS</t>
        </is>
      </c>
    </row>
    <row r="37">
      <c r="A37">
        <f>'1 datos preparados'!A30</f>
        <v/>
      </c>
      <c r="B37" s="5">
        <f>'1 datos preparados'!U30</f>
        <v/>
      </c>
      <c r="C37">
        <f>'1 datos preparados'!B30</f>
        <v/>
      </c>
      <c r="D37" s="7">
        <f>'1 datos preparados'!C30</f>
        <v/>
      </c>
      <c r="E37" s="7">
        <f>'1 datos preparados'!D30</f>
        <v/>
      </c>
      <c r="F37" s="7">
        <f>'1 datos preparados'!E30</f>
        <v/>
      </c>
      <c r="G37" s="7">
        <f>'1 datos preparados'!F30</f>
        <v/>
      </c>
      <c r="H37" s="7">
        <f>'1 datos preparados'!G30</f>
        <v/>
      </c>
      <c r="I37" s="7">
        <f>'1 datos preparados'!H30</f>
        <v/>
      </c>
      <c r="J37" s="7">
        <f>'1 datos preparados'!I30</f>
        <v/>
      </c>
      <c r="K37" s="7">
        <f>'1 datos preparados'!J30</f>
        <v/>
      </c>
      <c r="L37" s="7">
        <f>'1 datos preparados'!K30</f>
        <v/>
      </c>
      <c r="M37" s="7">
        <f>'1 datos preparados'!L30</f>
        <v/>
      </c>
      <c r="N37" s="7">
        <f>'1 datos preparados'!M30</f>
        <v/>
      </c>
      <c r="O37" s="7">
        <f>'1 datos preparados'!N30</f>
        <v/>
      </c>
      <c r="P37" s="7">
        <f>'1 datos preparados'!O30</f>
        <v/>
      </c>
      <c r="Q37" s="7">
        <f>'1 datos preparados'!P30</f>
        <v/>
      </c>
      <c r="R37" s="7">
        <f>'1 datos preparados'!Q30</f>
        <v/>
      </c>
      <c r="S37" s="7">
        <f>'1 datos preparados'!R30</f>
        <v/>
      </c>
      <c r="T37" s="7">
        <f>'1 datos preparados'!S30</f>
        <v/>
      </c>
      <c r="U37" s="7">
        <f>'1 datos preparados'!T30</f>
        <v/>
      </c>
      <c r="V37" s="8">
        <f>$AE$12+D37*$AE$13+E37*$AE$14+F37*$AE$15+G37*$AE$16+H37*$AE$17+I37*$AE$18+J37*$AE$19+K37*$AE$20+L37*$AE$21+M37*$AE$22+N37*$AE$23+O37*$AE$24+P37*$AE$25+Q37*$AE$26+R37*$AE$27+S37*$AE$28+T37*$AE$29+U37*$AE$30</f>
        <v/>
      </c>
      <c r="W37" s="8">
        <f>1/(1+EXP(-V37))</f>
        <v/>
      </c>
      <c r="X37" s="9">
        <f>-IF(C37=1,LN(W37),LN(1-W37))</f>
        <v/>
      </c>
      <c r="Y37" s="8">
        <f>IF(C37=1,$AE$32,$AE$33)</f>
        <v/>
      </c>
      <c r="Z37" s="9">
        <f>Y37*X37</f>
        <v/>
      </c>
      <c r="AA37" s="10">
        <f>IF(W37&gt;$AE$34,1,0)</f>
        <v/>
      </c>
      <c r="AB37">
        <f>IF(AA37=C37,1,0)</f>
        <v/>
      </c>
      <c r="AD37" t="inlineStr">
        <is>
          <t>J = suma de pérdidas ponderadas en training (OBJETIVO DE SOLVER)</t>
        </is>
      </c>
      <c r="AE37" s="16">
        <f>SUMPRODUCT(($B$12:$B$1011="training")*$Z$12:$Z$1011)</f>
        <v/>
      </c>
    </row>
    <row r="38">
      <c r="A38">
        <f>'1 datos preparados'!A31</f>
        <v/>
      </c>
      <c r="B38" s="5">
        <f>'1 datos preparados'!U31</f>
        <v/>
      </c>
      <c r="C38">
        <f>'1 datos preparados'!B31</f>
        <v/>
      </c>
      <c r="D38" s="7">
        <f>'1 datos preparados'!C31</f>
        <v/>
      </c>
      <c r="E38" s="7">
        <f>'1 datos preparados'!D31</f>
        <v/>
      </c>
      <c r="F38" s="7">
        <f>'1 datos preparados'!E31</f>
        <v/>
      </c>
      <c r="G38" s="7">
        <f>'1 datos preparados'!F31</f>
        <v/>
      </c>
      <c r="H38" s="7">
        <f>'1 datos preparados'!G31</f>
        <v/>
      </c>
      <c r="I38" s="7">
        <f>'1 datos preparados'!H31</f>
        <v/>
      </c>
      <c r="J38" s="7">
        <f>'1 datos preparados'!I31</f>
        <v/>
      </c>
      <c r="K38" s="7">
        <f>'1 datos preparados'!J31</f>
        <v/>
      </c>
      <c r="L38" s="7">
        <f>'1 datos preparados'!K31</f>
        <v/>
      </c>
      <c r="M38" s="7">
        <f>'1 datos preparados'!L31</f>
        <v/>
      </c>
      <c r="N38" s="7">
        <f>'1 datos preparados'!M31</f>
        <v/>
      </c>
      <c r="O38" s="7">
        <f>'1 datos preparados'!N31</f>
        <v/>
      </c>
      <c r="P38" s="7">
        <f>'1 datos preparados'!O31</f>
        <v/>
      </c>
      <c r="Q38" s="7">
        <f>'1 datos preparados'!P31</f>
        <v/>
      </c>
      <c r="R38" s="7">
        <f>'1 datos preparados'!Q31</f>
        <v/>
      </c>
      <c r="S38" s="7">
        <f>'1 datos preparados'!R31</f>
        <v/>
      </c>
      <c r="T38" s="7">
        <f>'1 datos preparados'!S31</f>
        <v/>
      </c>
      <c r="U38" s="7">
        <f>'1 datos preparados'!T31</f>
        <v/>
      </c>
      <c r="V38" s="8">
        <f>$AE$12+D38*$AE$13+E38*$AE$14+F38*$AE$15+G38*$AE$16+H38*$AE$17+I38*$AE$18+J38*$AE$19+K38*$AE$20+L38*$AE$21+M38*$AE$22+N38*$AE$23+O38*$AE$24+P38*$AE$25+Q38*$AE$26+R38*$AE$27+S38*$AE$28+T38*$AE$29+U38*$AE$30</f>
        <v/>
      </c>
      <c r="W38" s="8">
        <f>1/(1+EXP(-V38))</f>
        <v/>
      </c>
      <c r="X38" s="9">
        <f>-IF(C38=1,LN(W38),LN(1-W38))</f>
        <v/>
      </c>
      <c r="Y38" s="8">
        <f>IF(C38=1,$AE$32,$AE$33)</f>
        <v/>
      </c>
      <c r="Z38" s="9">
        <f>Y38*X38</f>
        <v/>
      </c>
      <c r="AA38" s="10">
        <f>IF(W38&gt;$AE$34,1,0)</f>
        <v/>
      </c>
      <c r="AB38">
        <f>IF(AA38=C38,1,0)</f>
        <v/>
      </c>
      <c r="AD38" t="inlineStr">
        <is>
          <t>suma de pesos de fila en training</t>
        </is>
      </c>
      <c r="AE38" s="17">
        <f>SUMPRODUCT(($B$12:$B$1011="training")*$Y$12:$Y$1011)</f>
        <v/>
      </c>
    </row>
    <row r="39">
      <c r="A39">
        <f>'1 datos preparados'!A32</f>
        <v/>
      </c>
      <c r="B39" s="5">
        <f>'1 datos preparados'!U32</f>
        <v/>
      </c>
      <c r="C39">
        <f>'1 datos preparados'!B32</f>
        <v/>
      </c>
      <c r="D39" s="7">
        <f>'1 datos preparados'!C32</f>
        <v/>
      </c>
      <c r="E39" s="7">
        <f>'1 datos preparados'!D32</f>
        <v/>
      </c>
      <c r="F39" s="7">
        <f>'1 datos preparados'!E32</f>
        <v/>
      </c>
      <c r="G39" s="7">
        <f>'1 datos preparados'!F32</f>
        <v/>
      </c>
      <c r="H39" s="7">
        <f>'1 datos preparados'!G32</f>
        <v/>
      </c>
      <c r="I39" s="7">
        <f>'1 datos preparados'!H32</f>
        <v/>
      </c>
      <c r="J39" s="7">
        <f>'1 datos preparados'!I32</f>
        <v/>
      </c>
      <c r="K39" s="7">
        <f>'1 datos preparados'!J32</f>
        <v/>
      </c>
      <c r="L39" s="7">
        <f>'1 datos preparados'!K32</f>
        <v/>
      </c>
      <c r="M39" s="7">
        <f>'1 datos preparados'!L32</f>
        <v/>
      </c>
      <c r="N39" s="7">
        <f>'1 datos preparados'!M32</f>
        <v/>
      </c>
      <c r="O39" s="7">
        <f>'1 datos preparados'!N32</f>
        <v/>
      </c>
      <c r="P39" s="7">
        <f>'1 datos preparados'!O32</f>
        <v/>
      </c>
      <c r="Q39" s="7">
        <f>'1 datos preparados'!P32</f>
        <v/>
      </c>
      <c r="R39" s="7">
        <f>'1 datos preparados'!Q32</f>
        <v/>
      </c>
      <c r="S39" s="7">
        <f>'1 datos preparados'!R32</f>
        <v/>
      </c>
      <c r="T39" s="7">
        <f>'1 datos preparados'!S32</f>
        <v/>
      </c>
      <c r="U39" s="7">
        <f>'1 datos preparados'!T32</f>
        <v/>
      </c>
      <c r="V39" s="8">
        <f>$AE$12+D39*$AE$13+E39*$AE$14+F39*$AE$15+G39*$AE$16+H39*$AE$17+I39*$AE$18+J39*$AE$19+K39*$AE$20+L39*$AE$21+M39*$AE$22+N39*$AE$23+O39*$AE$24+P39*$AE$25+Q39*$AE$26+R39*$AE$27+S39*$AE$28+T39*$AE$29+U39*$AE$30</f>
        <v/>
      </c>
      <c r="W39" s="8">
        <f>1/(1+EXP(-V39))</f>
        <v/>
      </c>
      <c r="X39" s="9">
        <f>-IF(C39=1,LN(W39),LN(1-W39))</f>
        <v/>
      </c>
      <c r="Y39" s="8">
        <f>IF(C39=1,$AE$32,$AE$33)</f>
        <v/>
      </c>
      <c r="Z39" s="9">
        <f>Y39*X39</f>
        <v/>
      </c>
      <c r="AA39" s="10">
        <f>IF(W39&gt;$AE$34,1,0)</f>
        <v/>
      </c>
      <c r="AB39">
        <f>IF(AA39=C39,1,0)</f>
        <v/>
      </c>
      <c r="AD39" t="inlineStr">
        <is>
          <t>de la cual, clase 1</t>
        </is>
      </c>
      <c r="AE39" s="17">
        <f>SUMPRODUCT(($B$12:$B$1011="training")*($C$12:$C$1011=1)*$Y$12:$Y$1011)</f>
        <v/>
      </c>
    </row>
    <row r="40">
      <c r="A40">
        <f>'1 datos preparados'!A33</f>
        <v/>
      </c>
      <c r="B40" s="5">
        <f>'1 datos preparados'!U33</f>
        <v/>
      </c>
      <c r="C40">
        <f>'1 datos preparados'!B33</f>
        <v/>
      </c>
      <c r="D40" s="7">
        <f>'1 datos preparados'!C33</f>
        <v/>
      </c>
      <c r="E40" s="7">
        <f>'1 datos preparados'!D33</f>
        <v/>
      </c>
      <c r="F40" s="7">
        <f>'1 datos preparados'!E33</f>
        <v/>
      </c>
      <c r="G40" s="7">
        <f>'1 datos preparados'!F33</f>
        <v/>
      </c>
      <c r="H40" s="7">
        <f>'1 datos preparados'!G33</f>
        <v/>
      </c>
      <c r="I40" s="7">
        <f>'1 datos preparados'!H33</f>
        <v/>
      </c>
      <c r="J40" s="7">
        <f>'1 datos preparados'!I33</f>
        <v/>
      </c>
      <c r="K40" s="7">
        <f>'1 datos preparados'!J33</f>
        <v/>
      </c>
      <c r="L40" s="7">
        <f>'1 datos preparados'!K33</f>
        <v/>
      </c>
      <c r="M40" s="7">
        <f>'1 datos preparados'!L33</f>
        <v/>
      </c>
      <c r="N40" s="7">
        <f>'1 datos preparados'!M33</f>
        <v/>
      </c>
      <c r="O40" s="7">
        <f>'1 datos preparados'!N33</f>
        <v/>
      </c>
      <c r="P40" s="7">
        <f>'1 datos preparados'!O33</f>
        <v/>
      </c>
      <c r="Q40" s="7">
        <f>'1 datos preparados'!P33</f>
        <v/>
      </c>
      <c r="R40" s="7">
        <f>'1 datos preparados'!Q33</f>
        <v/>
      </c>
      <c r="S40" s="7">
        <f>'1 datos preparados'!R33</f>
        <v/>
      </c>
      <c r="T40" s="7">
        <f>'1 datos preparados'!S33</f>
        <v/>
      </c>
      <c r="U40" s="7">
        <f>'1 datos preparados'!T33</f>
        <v/>
      </c>
      <c r="V40" s="8">
        <f>$AE$12+D40*$AE$13+E40*$AE$14+F40*$AE$15+G40*$AE$16+H40*$AE$17+I40*$AE$18+J40*$AE$19+K40*$AE$20+L40*$AE$21+M40*$AE$22+N40*$AE$23+O40*$AE$24+P40*$AE$25+Q40*$AE$26+R40*$AE$27+S40*$AE$28+T40*$AE$29+U40*$AE$30</f>
        <v/>
      </c>
      <c r="W40" s="8">
        <f>1/(1+EXP(-V40))</f>
        <v/>
      </c>
      <c r="X40" s="9">
        <f>-IF(C40=1,LN(W40),LN(1-W40))</f>
        <v/>
      </c>
      <c r="Y40" s="8">
        <f>IF(C40=1,$AE$32,$AE$33)</f>
        <v/>
      </c>
      <c r="Z40" s="9">
        <f>Y40*X40</f>
        <v/>
      </c>
      <c r="AA40" s="10">
        <f>IF(W40&gt;$AE$34,1,0)</f>
        <v/>
      </c>
      <c r="AB40">
        <f>IF(AA40=C40,1,0)</f>
        <v/>
      </c>
      <c r="AD40" t="inlineStr">
        <is>
          <t>de la cual, clase 0</t>
        </is>
      </c>
      <c r="AE40" s="17">
        <f>SUMPRODUCT(($B$12:$B$1011="training")*($C$12:$C$1011=0)*$Y$12:$Y$1011)</f>
        <v/>
      </c>
    </row>
    <row r="41">
      <c r="A41">
        <f>'1 datos preparados'!A34</f>
        <v/>
      </c>
      <c r="B41" s="5">
        <f>'1 datos preparados'!U34</f>
        <v/>
      </c>
      <c r="C41">
        <f>'1 datos preparados'!B34</f>
        <v/>
      </c>
      <c r="D41" s="7">
        <f>'1 datos preparados'!C34</f>
        <v/>
      </c>
      <c r="E41" s="7">
        <f>'1 datos preparados'!D34</f>
        <v/>
      </c>
      <c r="F41" s="7">
        <f>'1 datos preparados'!E34</f>
        <v/>
      </c>
      <c r="G41" s="7">
        <f>'1 datos preparados'!F34</f>
        <v/>
      </c>
      <c r="H41" s="7">
        <f>'1 datos preparados'!G34</f>
        <v/>
      </c>
      <c r="I41" s="7">
        <f>'1 datos preparados'!H34</f>
        <v/>
      </c>
      <c r="J41" s="7">
        <f>'1 datos preparados'!I34</f>
        <v/>
      </c>
      <c r="K41" s="7">
        <f>'1 datos preparados'!J34</f>
        <v/>
      </c>
      <c r="L41" s="7">
        <f>'1 datos preparados'!K34</f>
        <v/>
      </c>
      <c r="M41" s="7">
        <f>'1 datos preparados'!L34</f>
        <v/>
      </c>
      <c r="N41" s="7">
        <f>'1 datos preparados'!M34</f>
        <v/>
      </c>
      <c r="O41" s="7">
        <f>'1 datos preparados'!N34</f>
        <v/>
      </c>
      <c r="P41" s="7">
        <f>'1 datos preparados'!O34</f>
        <v/>
      </c>
      <c r="Q41" s="7">
        <f>'1 datos preparados'!P34</f>
        <v/>
      </c>
      <c r="R41" s="7">
        <f>'1 datos preparados'!Q34</f>
        <v/>
      </c>
      <c r="S41" s="7">
        <f>'1 datos preparados'!R34</f>
        <v/>
      </c>
      <c r="T41" s="7">
        <f>'1 datos preparados'!S34</f>
        <v/>
      </c>
      <c r="U41" s="7">
        <f>'1 datos preparados'!T34</f>
        <v/>
      </c>
      <c r="V41" s="8">
        <f>$AE$12+D41*$AE$13+E41*$AE$14+F41*$AE$15+G41*$AE$16+H41*$AE$17+I41*$AE$18+J41*$AE$19+K41*$AE$20+L41*$AE$21+M41*$AE$22+N41*$AE$23+O41*$AE$24+P41*$AE$25+Q41*$AE$26+R41*$AE$27+S41*$AE$28+T41*$AE$29+U41*$AE$30</f>
        <v/>
      </c>
      <c r="W41" s="8">
        <f>1/(1+EXP(-V41))</f>
        <v/>
      </c>
      <c r="X41" s="9">
        <f>-IF(C41=1,LN(W41),LN(1-W41))</f>
        <v/>
      </c>
      <c r="Y41" s="8">
        <f>IF(C41=1,$AE$32,$AE$33)</f>
        <v/>
      </c>
      <c r="Z41" s="9">
        <f>Y41*X41</f>
        <v/>
      </c>
      <c r="AA41" s="10">
        <f>IF(W41&gt;$AE$34,1,0)</f>
        <v/>
      </c>
      <c r="AB41">
        <f>IF(AA41=C41,1,0)</f>
        <v/>
      </c>
      <c r="AD41" t="inlineStr">
        <is>
          <t>pérdida promedio testing (sin ponderar)</t>
        </is>
      </c>
      <c r="AE41" s="18">
        <f>SUMPRODUCT(($B$12:$B$1011="testing")*$X$12:$X$1011)/COUNTIF($B$12:$B$1011,"testing")</f>
        <v/>
      </c>
    </row>
    <row r="42">
      <c r="A42">
        <f>'1 datos preparados'!A35</f>
        <v/>
      </c>
      <c r="B42" s="5">
        <f>'1 datos preparados'!U35</f>
        <v/>
      </c>
      <c r="C42">
        <f>'1 datos preparados'!B35</f>
        <v/>
      </c>
      <c r="D42" s="7">
        <f>'1 datos preparados'!C35</f>
        <v/>
      </c>
      <c r="E42" s="7">
        <f>'1 datos preparados'!D35</f>
        <v/>
      </c>
      <c r="F42" s="7">
        <f>'1 datos preparados'!E35</f>
        <v/>
      </c>
      <c r="G42" s="7">
        <f>'1 datos preparados'!F35</f>
        <v/>
      </c>
      <c r="H42" s="7">
        <f>'1 datos preparados'!G35</f>
        <v/>
      </c>
      <c r="I42" s="7">
        <f>'1 datos preparados'!H35</f>
        <v/>
      </c>
      <c r="J42" s="7">
        <f>'1 datos preparados'!I35</f>
        <v/>
      </c>
      <c r="K42" s="7">
        <f>'1 datos preparados'!J35</f>
        <v/>
      </c>
      <c r="L42" s="7">
        <f>'1 datos preparados'!K35</f>
        <v/>
      </c>
      <c r="M42" s="7">
        <f>'1 datos preparados'!L35</f>
        <v/>
      </c>
      <c r="N42" s="7">
        <f>'1 datos preparados'!M35</f>
        <v/>
      </c>
      <c r="O42" s="7">
        <f>'1 datos preparados'!N35</f>
        <v/>
      </c>
      <c r="P42" s="7">
        <f>'1 datos preparados'!O35</f>
        <v/>
      </c>
      <c r="Q42" s="7">
        <f>'1 datos preparados'!P35</f>
        <v/>
      </c>
      <c r="R42" s="7">
        <f>'1 datos preparados'!Q35</f>
        <v/>
      </c>
      <c r="S42" s="7">
        <f>'1 datos preparados'!R35</f>
        <v/>
      </c>
      <c r="T42" s="7">
        <f>'1 datos preparados'!S35</f>
        <v/>
      </c>
      <c r="U42" s="7">
        <f>'1 datos preparados'!T35</f>
        <v/>
      </c>
      <c r="V42" s="8">
        <f>$AE$12+D42*$AE$13+E42*$AE$14+F42*$AE$15+G42*$AE$16+H42*$AE$17+I42*$AE$18+J42*$AE$19+K42*$AE$20+L42*$AE$21+M42*$AE$22+N42*$AE$23+O42*$AE$24+P42*$AE$25+Q42*$AE$26+R42*$AE$27+S42*$AE$28+T42*$AE$29+U42*$AE$30</f>
        <v/>
      </c>
      <c r="W42" s="8">
        <f>1/(1+EXP(-V42))</f>
        <v/>
      </c>
      <c r="X42" s="9">
        <f>-IF(C42=1,LN(W42),LN(1-W42))</f>
        <v/>
      </c>
      <c r="Y42" s="8">
        <f>IF(C42=1,$AE$32,$AE$33)</f>
        <v/>
      </c>
      <c r="Z42" s="9">
        <f>Y42*X42</f>
        <v/>
      </c>
      <c r="AA42" s="10">
        <f>IF(W42&gt;$AE$34,1,0)</f>
        <v/>
      </c>
      <c r="AB42">
        <f>IF(AA42=C42,1,0)</f>
        <v/>
      </c>
      <c r="AD42" t="inlineStr">
        <is>
          <t>p promedio en testing (la tasa real es 0,300)</t>
        </is>
      </c>
      <c r="AE42" s="14">
        <f>SUMPRODUCT(($B$12:$B$1011="testing")*$W$12:$W$1011)/COUNTIF($B$12:$B$1011,"testing")</f>
        <v/>
      </c>
    </row>
    <row r="43">
      <c r="A43">
        <f>'1 datos preparados'!A36</f>
        <v/>
      </c>
      <c r="B43" s="5">
        <f>'1 datos preparados'!U36</f>
        <v/>
      </c>
      <c r="C43">
        <f>'1 datos preparados'!B36</f>
        <v/>
      </c>
      <c r="D43" s="7">
        <f>'1 datos preparados'!C36</f>
        <v/>
      </c>
      <c r="E43" s="7">
        <f>'1 datos preparados'!D36</f>
        <v/>
      </c>
      <c r="F43" s="7">
        <f>'1 datos preparados'!E36</f>
        <v/>
      </c>
      <c r="G43" s="7">
        <f>'1 datos preparados'!F36</f>
        <v/>
      </c>
      <c r="H43" s="7">
        <f>'1 datos preparados'!G36</f>
        <v/>
      </c>
      <c r="I43" s="7">
        <f>'1 datos preparados'!H36</f>
        <v/>
      </c>
      <c r="J43" s="7">
        <f>'1 datos preparados'!I36</f>
        <v/>
      </c>
      <c r="K43" s="7">
        <f>'1 datos preparados'!J36</f>
        <v/>
      </c>
      <c r="L43" s="7">
        <f>'1 datos preparados'!K36</f>
        <v/>
      </c>
      <c r="M43" s="7">
        <f>'1 datos preparados'!L36</f>
        <v/>
      </c>
      <c r="N43" s="7">
        <f>'1 datos preparados'!M36</f>
        <v/>
      </c>
      <c r="O43" s="7">
        <f>'1 datos preparados'!N36</f>
        <v/>
      </c>
      <c r="P43" s="7">
        <f>'1 datos preparados'!O36</f>
        <v/>
      </c>
      <c r="Q43" s="7">
        <f>'1 datos preparados'!P36</f>
        <v/>
      </c>
      <c r="R43" s="7">
        <f>'1 datos preparados'!Q36</f>
        <v/>
      </c>
      <c r="S43" s="7">
        <f>'1 datos preparados'!R36</f>
        <v/>
      </c>
      <c r="T43" s="7">
        <f>'1 datos preparados'!S36</f>
        <v/>
      </c>
      <c r="U43" s="7">
        <f>'1 datos preparados'!T36</f>
        <v/>
      </c>
      <c r="V43" s="8">
        <f>$AE$12+D43*$AE$13+E43*$AE$14+F43*$AE$15+G43*$AE$16+H43*$AE$17+I43*$AE$18+J43*$AE$19+K43*$AE$20+L43*$AE$21+M43*$AE$22+N43*$AE$23+O43*$AE$24+P43*$AE$25+Q43*$AE$26+R43*$AE$27+S43*$AE$28+T43*$AE$29+U43*$AE$30</f>
        <v/>
      </c>
      <c r="W43" s="8">
        <f>1/(1+EXP(-V43))</f>
        <v/>
      </c>
      <c r="X43" s="9">
        <f>-IF(C43=1,LN(W43),LN(1-W43))</f>
        <v/>
      </c>
      <c r="Y43" s="8">
        <f>IF(C43=1,$AE$32,$AE$33)</f>
        <v/>
      </c>
      <c r="Z43" s="9">
        <f>Y43*X43</f>
        <v/>
      </c>
      <c r="AA43" s="10">
        <f>IF(W43&gt;$AE$34,1,0)</f>
        <v/>
      </c>
      <c r="AB43">
        <f>IF(AA43=C43,1,0)</f>
        <v/>
      </c>
      <c r="AD43" t="inlineStr">
        <is>
          <t>acierto testing</t>
        </is>
      </c>
      <c r="AE43" s="19">
        <f>SUMPRODUCT(($B$12:$B$1011="testing")*$AB$12:$AB$1011)/COUNTIF($B$12:$B$1011,"testing")</f>
        <v/>
      </c>
    </row>
    <row r="44">
      <c r="A44">
        <f>'1 datos preparados'!A37</f>
        <v/>
      </c>
      <c r="B44" s="5">
        <f>'1 datos preparados'!U37</f>
        <v/>
      </c>
      <c r="C44">
        <f>'1 datos preparados'!B37</f>
        <v/>
      </c>
      <c r="D44" s="7">
        <f>'1 datos preparados'!C37</f>
        <v/>
      </c>
      <c r="E44" s="7">
        <f>'1 datos preparados'!D37</f>
        <v/>
      </c>
      <c r="F44" s="7">
        <f>'1 datos preparados'!E37</f>
        <v/>
      </c>
      <c r="G44" s="7">
        <f>'1 datos preparados'!F37</f>
        <v/>
      </c>
      <c r="H44" s="7">
        <f>'1 datos preparados'!G37</f>
        <v/>
      </c>
      <c r="I44" s="7">
        <f>'1 datos preparados'!H37</f>
        <v/>
      </c>
      <c r="J44" s="7">
        <f>'1 datos preparados'!I37</f>
        <v/>
      </c>
      <c r="K44" s="7">
        <f>'1 datos preparados'!J37</f>
        <v/>
      </c>
      <c r="L44" s="7">
        <f>'1 datos preparados'!K37</f>
        <v/>
      </c>
      <c r="M44" s="7">
        <f>'1 datos preparados'!L37</f>
        <v/>
      </c>
      <c r="N44" s="7">
        <f>'1 datos preparados'!M37</f>
        <v/>
      </c>
      <c r="O44" s="7">
        <f>'1 datos preparados'!N37</f>
        <v/>
      </c>
      <c r="P44" s="7">
        <f>'1 datos preparados'!O37</f>
        <v/>
      </c>
      <c r="Q44" s="7">
        <f>'1 datos preparados'!P37</f>
        <v/>
      </c>
      <c r="R44" s="7">
        <f>'1 datos preparados'!Q37</f>
        <v/>
      </c>
      <c r="S44" s="7">
        <f>'1 datos preparados'!R37</f>
        <v/>
      </c>
      <c r="T44" s="7">
        <f>'1 datos preparados'!S37</f>
        <v/>
      </c>
      <c r="U44" s="7">
        <f>'1 datos preparados'!T37</f>
        <v/>
      </c>
      <c r="V44" s="8">
        <f>$AE$12+D44*$AE$13+E44*$AE$14+F44*$AE$15+G44*$AE$16+H44*$AE$17+I44*$AE$18+J44*$AE$19+K44*$AE$20+L44*$AE$21+M44*$AE$22+N44*$AE$23+O44*$AE$24+P44*$AE$25+Q44*$AE$26+R44*$AE$27+S44*$AE$28+T44*$AE$29+U44*$AE$30</f>
        <v/>
      </c>
      <c r="W44" s="8">
        <f>1/(1+EXP(-V44))</f>
        <v/>
      </c>
      <c r="X44" s="9">
        <f>-IF(C44=1,LN(W44),LN(1-W44))</f>
        <v/>
      </c>
      <c r="Y44" s="8">
        <f>IF(C44=1,$AE$32,$AE$33)</f>
        <v/>
      </c>
      <c r="Z44" s="9">
        <f>Y44*X44</f>
        <v/>
      </c>
      <c r="AA44" s="10">
        <f>IF(W44&gt;$AE$34,1,0)</f>
        <v/>
      </c>
      <c r="AB44">
        <f>IF(AA44=C44,1,0)</f>
        <v/>
      </c>
      <c r="AD44" t="inlineStr">
        <is>
          <t>referencia scikit-learn: recall clase 1 en testing (umbral 0,5)</t>
        </is>
      </c>
      <c r="AE44" s="6" t="n">
        <v>0.8555555555555555</v>
      </c>
    </row>
    <row r="45">
      <c r="A45">
        <f>'1 datos preparados'!A38</f>
        <v/>
      </c>
      <c r="B45" s="5">
        <f>'1 datos preparados'!U38</f>
        <v/>
      </c>
      <c r="C45">
        <f>'1 datos preparados'!B38</f>
        <v/>
      </c>
      <c r="D45" s="7">
        <f>'1 datos preparados'!C38</f>
        <v/>
      </c>
      <c r="E45" s="7">
        <f>'1 datos preparados'!D38</f>
        <v/>
      </c>
      <c r="F45" s="7">
        <f>'1 datos preparados'!E38</f>
        <v/>
      </c>
      <c r="G45" s="7">
        <f>'1 datos preparados'!F38</f>
        <v/>
      </c>
      <c r="H45" s="7">
        <f>'1 datos preparados'!G38</f>
        <v/>
      </c>
      <c r="I45" s="7">
        <f>'1 datos preparados'!H38</f>
        <v/>
      </c>
      <c r="J45" s="7">
        <f>'1 datos preparados'!I38</f>
        <v/>
      </c>
      <c r="K45" s="7">
        <f>'1 datos preparados'!J38</f>
        <v/>
      </c>
      <c r="L45" s="7">
        <f>'1 datos preparados'!K38</f>
        <v/>
      </c>
      <c r="M45" s="7">
        <f>'1 datos preparados'!L38</f>
        <v/>
      </c>
      <c r="N45" s="7">
        <f>'1 datos preparados'!M38</f>
        <v/>
      </c>
      <c r="O45" s="7">
        <f>'1 datos preparados'!N38</f>
        <v/>
      </c>
      <c r="P45" s="7">
        <f>'1 datos preparados'!O38</f>
        <v/>
      </c>
      <c r="Q45" s="7">
        <f>'1 datos preparados'!P38</f>
        <v/>
      </c>
      <c r="R45" s="7">
        <f>'1 datos preparados'!Q38</f>
        <v/>
      </c>
      <c r="S45" s="7">
        <f>'1 datos preparados'!R38</f>
        <v/>
      </c>
      <c r="T45" s="7">
        <f>'1 datos preparados'!S38</f>
        <v/>
      </c>
      <c r="U45" s="7">
        <f>'1 datos preparados'!T38</f>
        <v/>
      </c>
      <c r="V45" s="8">
        <f>$AE$12+D45*$AE$13+E45*$AE$14+F45*$AE$15+G45*$AE$16+H45*$AE$17+I45*$AE$18+J45*$AE$19+K45*$AE$20+L45*$AE$21+M45*$AE$22+N45*$AE$23+O45*$AE$24+P45*$AE$25+Q45*$AE$26+R45*$AE$27+S45*$AE$28+T45*$AE$29+U45*$AE$30</f>
        <v/>
      </c>
      <c r="W45" s="8">
        <f>1/(1+EXP(-V45))</f>
        <v/>
      </c>
      <c r="X45" s="9">
        <f>-IF(C45=1,LN(W45),LN(1-W45))</f>
        <v/>
      </c>
      <c r="Y45" s="8">
        <f>IF(C45=1,$AE$32,$AE$33)</f>
        <v/>
      </c>
      <c r="Z45" s="9">
        <f>Y45*X45</f>
        <v/>
      </c>
      <c r="AA45" s="10">
        <f>IF(W45&gt;$AE$34,1,0)</f>
        <v/>
      </c>
      <c r="AB45">
        <f>IF(AA45=C45,1,0)</f>
        <v/>
      </c>
      <c r="AD45" t="inlineStr">
        <is>
          <t>referencia scikit-learn: precision clase 1 en testing</t>
        </is>
      </c>
      <c r="AE45" s="6" t="n">
        <v>0.5273972602739726</v>
      </c>
    </row>
    <row r="46">
      <c r="A46">
        <f>'1 datos preparados'!A39</f>
        <v/>
      </c>
      <c r="B46" s="5">
        <f>'1 datos preparados'!U39</f>
        <v/>
      </c>
      <c r="C46">
        <f>'1 datos preparados'!B39</f>
        <v/>
      </c>
      <c r="D46" s="7">
        <f>'1 datos preparados'!C39</f>
        <v/>
      </c>
      <c r="E46" s="7">
        <f>'1 datos preparados'!D39</f>
        <v/>
      </c>
      <c r="F46" s="7">
        <f>'1 datos preparados'!E39</f>
        <v/>
      </c>
      <c r="G46" s="7">
        <f>'1 datos preparados'!F39</f>
        <v/>
      </c>
      <c r="H46" s="7">
        <f>'1 datos preparados'!G39</f>
        <v/>
      </c>
      <c r="I46" s="7">
        <f>'1 datos preparados'!H39</f>
        <v/>
      </c>
      <c r="J46" s="7">
        <f>'1 datos preparados'!I39</f>
        <v/>
      </c>
      <c r="K46" s="7">
        <f>'1 datos preparados'!J39</f>
        <v/>
      </c>
      <c r="L46" s="7">
        <f>'1 datos preparados'!K39</f>
        <v/>
      </c>
      <c r="M46" s="7">
        <f>'1 datos preparados'!L39</f>
        <v/>
      </c>
      <c r="N46" s="7">
        <f>'1 datos preparados'!M39</f>
        <v/>
      </c>
      <c r="O46" s="7">
        <f>'1 datos preparados'!N39</f>
        <v/>
      </c>
      <c r="P46" s="7">
        <f>'1 datos preparados'!O39</f>
        <v/>
      </c>
      <c r="Q46" s="7">
        <f>'1 datos preparados'!P39</f>
        <v/>
      </c>
      <c r="R46" s="7">
        <f>'1 datos preparados'!Q39</f>
        <v/>
      </c>
      <c r="S46" s="7">
        <f>'1 datos preparados'!R39</f>
        <v/>
      </c>
      <c r="T46" s="7">
        <f>'1 datos preparados'!S39</f>
        <v/>
      </c>
      <c r="U46" s="7">
        <f>'1 datos preparados'!T39</f>
        <v/>
      </c>
      <c r="V46" s="8">
        <f>$AE$12+D46*$AE$13+E46*$AE$14+F46*$AE$15+G46*$AE$16+H46*$AE$17+I46*$AE$18+J46*$AE$19+K46*$AE$20+L46*$AE$21+M46*$AE$22+N46*$AE$23+O46*$AE$24+P46*$AE$25+Q46*$AE$26+R46*$AE$27+S46*$AE$28+T46*$AE$29+U46*$AE$30</f>
        <v/>
      </c>
      <c r="W46" s="8">
        <f>1/(1+EXP(-V46))</f>
        <v/>
      </c>
      <c r="X46" s="9">
        <f>-IF(C46=1,LN(W46),LN(1-W46))</f>
        <v/>
      </c>
      <c r="Y46" s="8">
        <f>IF(C46=1,$AE$32,$AE$33)</f>
        <v/>
      </c>
      <c r="Z46" s="9">
        <f>Y46*X46</f>
        <v/>
      </c>
      <c r="AA46" s="10">
        <f>IF(W46&gt;$AE$34,1,0)</f>
        <v/>
      </c>
      <c r="AB46">
        <f>IF(AA46=C46,1,0)</f>
        <v/>
      </c>
      <c r="AD46" t="inlineStr">
        <is>
          <t>referencia scikit-learn: AUC testing</t>
        </is>
      </c>
      <c r="AE46" s="6" t="n">
        <v>0.8239153439153439</v>
      </c>
    </row>
    <row r="47">
      <c r="A47">
        <f>'1 datos preparados'!A40</f>
        <v/>
      </c>
      <c r="B47" s="5">
        <f>'1 datos preparados'!U40</f>
        <v/>
      </c>
      <c r="C47">
        <f>'1 datos preparados'!B40</f>
        <v/>
      </c>
      <c r="D47" s="7">
        <f>'1 datos preparados'!C40</f>
        <v/>
      </c>
      <c r="E47" s="7">
        <f>'1 datos preparados'!D40</f>
        <v/>
      </c>
      <c r="F47" s="7">
        <f>'1 datos preparados'!E40</f>
        <v/>
      </c>
      <c r="G47" s="7">
        <f>'1 datos preparados'!F40</f>
        <v/>
      </c>
      <c r="H47" s="7">
        <f>'1 datos preparados'!G40</f>
        <v/>
      </c>
      <c r="I47" s="7">
        <f>'1 datos preparados'!H40</f>
        <v/>
      </c>
      <c r="J47" s="7">
        <f>'1 datos preparados'!I40</f>
        <v/>
      </c>
      <c r="K47" s="7">
        <f>'1 datos preparados'!J40</f>
        <v/>
      </c>
      <c r="L47" s="7">
        <f>'1 datos preparados'!K40</f>
        <v/>
      </c>
      <c r="M47" s="7">
        <f>'1 datos preparados'!L40</f>
        <v/>
      </c>
      <c r="N47" s="7">
        <f>'1 datos preparados'!M40</f>
        <v/>
      </c>
      <c r="O47" s="7">
        <f>'1 datos preparados'!N40</f>
        <v/>
      </c>
      <c r="P47" s="7">
        <f>'1 datos preparados'!O40</f>
        <v/>
      </c>
      <c r="Q47" s="7">
        <f>'1 datos preparados'!P40</f>
        <v/>
      </c>
      <c r="R47" s="7">
        <f>'1 datos preparados'!Q40</f>
        <v/>
      </c>
      <c r="S47" s="7">
        <f>'1 datos preparados'!R40</f>
        <v/>
      </c>
      <c r="T47" s="7">
        <f>'1 datos preparados'!S40</f>
        <v/>
      </c>
      <c r="U47" s="7">
        <f>'1 datos preparados'!T40</f>
        <v/>
      </c>
      <c r="V47" s="8">
        <f>$AE$12+D47*$AE$13+E47*$AE$14+F47*$AE$15+G47*$AE$16+H47*$AE$17+I47*$AE$18+J47*$AE$19+K47*$AE$20+L47*$AE$21+M47*$AE$22+N47*$AE$23+O47*$AE$24+P47*$AE$25+Q47*$AE$26+R47*$AE$27+S47*$AE$28+T47*$AE$29+U47*$AE$30</f>
        <v/>
      </c>
      <c r="W47" s="8">
        <f>1/(1+EXP(-V47))</f>
        <v/>
      </c>
      <c r="X47" s="9">
        <f>-IF(C47=1,LN(W47),LN(1-W47))</f>
        <v/>
      </c>
      <c r="Y47" s="8">
        <f>IF(C47=1,$AE$32,$AE$33)</f>
        <v/>
      </c>
      <c r="Z47" s="9">
        <f>Y47*X47</f>
        <v/>
      </c>
      <c r="AA47" s="10">
        <f>IF(W47&gt;$AE$34,1,0)</f>
        <v/>
      </c>
      <c r="AB47">
        <f>IF(AA47=C47,1,0)</f>
        <v/>
      </c>
    </row>
    <row r="48" ht="62" customHeight="1">
      <c r="A48">
        <f>'1 datos preparados'!A41</f>
        <v/>
      </c>
      <c r="B48" s="5">
        <f>'1 datos preparados'!U41</f>
        <v/>
      </c>
      <c r="C48">
        <f>'1 datos preparados'!B41</f>
        <v/>
      </c>
      <c r="D48" s="7">
        <f>'1 datos preparados'!C41</f>
        <v/>
      </c>
      <c r="E48" s="7">
        <f>'1 datos preparados'!D41</f>
        <v/>
      </c>
      <c r="F48" s="7">
        <f>'1 datos preparados'!E41</f>
        <v/>
      </c>
      <c r="G48" s="7">
        <f>'1 datos preparados'!F41</f>
        <v/>
      </c>
      <c r="H48" s="7">
        <f>'1 datos preparados'!G41</f>
        <v/>
      </c>
      <c r="I48" s="7">
        <f>'1 datos preparados'!H41</f>
        <v/>
      </c>
      <c r="J48" s="7">
        <f>'1 datos preparados'!I41</f>
        <v/>
      </c>
      <c r="K48" s="7">
        <f>'1 datos preparados'!J41</f>
        <v/>
      </c>
      <c r="L48" s="7">
        <f>'1 datos preparados'!K41</f>
        <v/>
      </c>
      <c r="M48" s="7">
        <f>'1 datos preparados'!L41</f>
        <v/>
      </c>
      <c r="N48" s="7">
        <f>'1 datos preparados'!M41</f>
        <v/>
      </c>
      <c r="O48" s="7">
        <f>'1 datos preparados'!N41</f>
        <v/>
      </c>
      <c r="P48" s="7">
        <f>'1 datos preparados'!O41</f>
        <v/>
      </c>
      <c r="Q48" s="7">
        <f>'1 datos preparados'!P41</f>
        <v/>
      </c>
      <c r="R48" s="7">
        <f>'1 datos preparados'!Q41</f>
        <v/>
      </c>
      <c r="S48" s="7">
        <f>'1 datos preparados'!R41</f>
        <v/>
      </c>
      <c r="T48" s="7">
        <f>'1 datos preparados'!S41</f>
        <v/>
      </c>
      <c r="U48" s="7">
        <f>'1 datos preparados'!T41</f>
        <v/>
      </c>
      <c r="V48" s="8">
        <f>$AE$12+D48*$AE$13+E48*$AE$14+F48*$AE$15+G48*$AE$16+H48*$AE$17+I48*$AE$18+J48*$AE$19+K48*$AE$20+L48*$AE$21+M48*$AE$22+N48*$AE$23+O48*$AE$24+P48*$AE$25+Q48*$AE$26+R48*$AE$27+S48*$AE$28+T48*$AE$29+U48*$AE$30</f>
        <v/>
      </c>
      <c r="W48" s="8">
        <f>1/(1+EXP(-V48))</f>
        <v/>
      </c>
      <c r="X48" s="9">
        <f>-IF(C48=1,LN(W48),LN(1-W48))</f>
        <v/>
      </c>
      <c r="Y48" s="8">
        <f>IF(C48=1,$AE$32,$AE$33)</f>
        <v/>
      </c>
      <c r="Z48" s="9">
        <f>Y48*X48</f>
        <v/>
      </c>
      <c r="AA48" s="10">
        <f>IF(W48&gt;$AE$34,1,0)</f>
        <v/>
      </c>
      <c r="AB48">
        <f>IF(AA48=C48,1,0)</f>
        <v/>
      </c>
      <c r="AD48" s="2" t="inlineStr">
        <is>
          <t>Solver: minimizar J cambiando las celdas celestes de los pesos del modelo (no las de clase), GRG no lineal, derivadas centrales, convergencia 0,000001, sin restricciones y con 'Convertir variables sin restricciones en no negativas' DESMARCADA. Correr dos veces si se detiene antes.</t>
        </is>
      </c>
    </row>
    <row r="49">
      <c r="A49">
        <f>'1 datos preparados'!A42</f>
        <v/>
      </c>
      <c r="B49" s="5">
        <f>'1 datos preparados'!U42</f>
        <v/>
      </c>
      <c r="C49">
        <f>'1 datos preparados'!B42</f>
        <v/>
      </c>
      <c r="D49" s="7">
        <f>'1 datos preparados'!C42</f>
        <v/>
      </c>
      <c r="E49" s="7">
        <f>'1 datos preparados'!D42</f>
        <v/>
      </c>
      <c r="F49" s="7">
        <f>'1 datos preparados'!E42</f>
        <v/>
      </c>
      <c r="G49" s="7">
        <f>'1 datos preparados'!F42</f>
        <v/>
      </c>
      <c r="H49" s="7">
        <f>'1 datos preparados'!G42</f>
        <v/>
      </c>
      <c r="I49" s="7">
        <f>'1 datos preparados'!H42</f>
        <v/>
      </c>
      <c r="J49" s="7">
        <f>'1 datos preparados'!I42</f>
        <v/>
      </c>
      <c r="K49" s="7">
        <f>'1 datos preparados'!J42</f>
        <v/>
      </c>
      <c r="L49" s="7">
        <f>'1 datos preparados'!K42</f>
        <v/>
      </c>
      <c r="M49" s="7">
        <f>'1 datos preparados'!L42</f>
        <v/>
      </c>
      <c r="N49" s="7">
        <f>'1 datos preparados'!M42</f>
        <v/>
      </c>
      <c r="O49" s="7">
        <f>'1 datos preparados'!N42</f>
        <v/>
      </c>
      <c r="P49" s="7">
        <f>'1 datos preparados'!O42</f>
        <v/>
      </c>
      <c r="Q49" s="7">
        <f>'1 datos preparados'!P42</f>
        <v/>
      </c>
      <c r="R49" s="7">
        <f>'1 datos preparados'!Q42</f>
        <v/>
      </c>
      <c r="S49" s="7">
        <f>'1 datos preparados'!R42</f>
        <v/>
      </c>
      <c r="T49" s="7">
        <f>'1 datos preparados'!S42</f>
        <v/>
      </c>
      <c r="U49" s="7">
        <f>'1 datos preparados'!T42</f>
        <v/>
      </c>
      <c r="V49" s="8">
        <f>$AE$12+D49*$AE$13+E49*$AE$14+F49*$AE$15+G49*$AE$16+H49*$AE$17+I49*$AE$18+J49*$AE$19+K49*$AE$20+L49*$AE$21+M49*$AE$22+N49*$AE$23+O49*$AE$24+P49*$AE$25+Q49*$AE$26+R49*$AE$27+S49*$AE$28+T49*$AE$29+U49*$AE$30</f>
        <v/>
      </c>
      <c r="W49" s="8">
        <f>1/(1+EXP(-V49))</f>
        <v/>
      </c>
      <c r="X49" s="9">
        <f>-IF(C49=1,LN(W49),LN(1-W49))</f>
        <v/>
      </c>
      <c r="Y49" s="8">
        <f>IF(C49=1,$AE$32,$AE$33)</f>
        <v/>
      </c>
      <c r="Z49" s="9">
        <f>Y49*X49</f>
        <v/>
      </c>
      <c r="AA49" s="10">
        <f>IF(W49&gt;$AE$34,1,0)</f>
        <v/>
      </c>
      <c r="AB49">
        <f>IF(AA49=C49,1,0)</f>
        <v/>
      </c>
    </row>
    <row r="50">
      <c r="A50">
        <f>'1 datos preparados'!A43</f>
        <v/>
      </c>
      <c r="B50" s="5">
        <f>'1 datos preparados'!U43</f>
        <v/>
      </c>
      <c r="C50">
        <f>'1 datos preparados'!B43</f>
        <v/>
      </c>
      <c r="D50" s="7">
        <f>'1 datos preparados'!C43</f>
        <v/>
      </c>
      <c r="E50" s="7">
        <f>'1 datos preparados'!D43</f>
        <v/>
      </c>
      <c r="F50" s="7">
        <f>'1 datos preparados'!E43</f>
        <v/>
      </c>
      <c r="G50" s="7">
        <f>'1 datos preparados'!F43</f>
        <v/>
      </c>
      <c r="H50" s="7">
        <f>'1 datos preparados'!G43</f>
        <v/>
      </c>
      <c r="I50" s="7">
        <f>'1 datos preparados'!H43</f>
        <v/>
      </c>
      <c r="J50" s="7">
        <f>'1 datos preparados'!I43</f>
        <v/>
      </c>
      <c r="K50" s="7">
        <f>'1 datos preparados'!J43</f>
        <v/>
      </c>
      <c r="L50" s="7">
        <f>'1 datos preparados'!K43</f>
        <v/>
      </c>
      <c r="M50" s="7">
        <f>'1 datos preparados'!L43</f>
        <v/>
      </c>
      <c r="N50" s="7">
        <f>'1 datos preparados'!M43</f>
        <v/>
      </c>
      <c r="O50" s="7">
        <f>'1 datos preparados'!N43</f>
        <v/>
      </c>
      <c r="P50" s="7">
        <f>'1 datos preparados'!O43</f>
        <v/>
      </c>
      <c r="Q50" s="7">
        <f>'1 datos preparados'!P43</f>
        <v/>
      </c>
      <c r="R50" s="7">
        <f>'1 datos preparados'!Q43</f>
        <v/>
      </c>
      <c r="S50" s="7">
        <f>'1 datos preparados'!R43</f>
        <v/>
      </c>
      <c r="T50" s="7">
        <f>'1 datos preparados'!S43</f>
        <v/>
      </c>
      <c r="U50" s="7">
        <f>'1 datos preparados'!T43</f>
        <v/>
      </c>
      <c r="V50" s="8">
        <f>$AE$12+D50*$AE$13+E50*$AE$14+F50*$AE$15+G50*$AE$16+H50*$AE$17+I50*$AE$18+J50*$AE$19+K50*$AE$20+L50*$AE$21+M50*$AE$22+N50*$AE$23+O50*$AE$24+P50*$AE$25+Q50*$AE$26+R50*$AE$27+S50*$AE$28+T50*$AE$29+U50*$AE$30</f>
        <v/>
      </c>
      <c r="W50" s="8">
        <f>1/(1+EXP(-V50))</f>
        <v/>
      </c>
      <c r="X50" s="9">
        <f>-IF(C50=1,LN(W50),LN(1-W50))</f>
        <v/>
      </c>
      <c r="Y50" s="8">
        <f>IF(C50=1,$AE$32,$AE$33)</f>
        <v/>
      </c>
      <c r="Z50" s="9">
        <f>Y50*X50</f>
        <v/>
      </c>
      <c r="AA50" s="10">
        <f>IF(W50&gt;$AE$34,1,0)</f>
        <v/>
      </c>
      <c r="AB50">
        <f>IF(AA50=C50,1,0)</f>
        <v/>
      </c>
    </row>
    <row r="51">
      <c r="A51">
        <f>'1 datos preparados'!A44</f>
        <v/>
      </c>
      <c r="B51" s="5">
        <f>'1 datos preparados'!U44</f>
        <v/>
      </c>
      <c r="C51">
        <f>'1 datos preparados'!B44</f>
        <v/>
      </c>
      <c r="D51" s="7">
        <f>'1 datos preparados'!C44</f>
        <v/>
      </c>
      <c r="E51" s="7">
        <f>'1 datos preparados'!D44</f>
        <v/>
      </c>
      <c r="F51" s="7">
        <f>'1 datos preparados'!E44</f>
        <v/>
      </c>
      <c r="G51" s="7">
        <f>'1 datos preparados'!F44</f>
        <v/>
      </c>
      <c r="H51" s="7">
        <f>'1 datos preparados'!G44</f>
        <v/>
      </c>
      <c r="I51" s="7">
        <f>'1 datos preparados'!H44</f>
        <v/>
      </c>
      <c r="J51" s="7">
        <f>'1 datos preparados'!I44</f>
        <v/>
      </c>
      <c r="K51" s="7">
        <f>'1 datos preparados'!J44</f>
        <v/>
      </c>
      <c r="L51" s="7">
        <f>'1 datos preparados'!K44</f>
        <v/>
      </c>
      <c r="M51" s="7">
        <f>'1 datos preparados'!L44</f>
        <v/>
      </c>
      <c r="N51" s="7">
        <f>'1 datos preparados'!M44</f>
        <v/>
      </c>
      <c r="O51" s="7">
        <f>'1 datos preparados'!N44</f>
        <v/>
      </c>
      <c r="P51" s="7">
        <f>'1 datos preparados'!O44</f>
        <v/>
      </c>
      <c r="Q51" s="7">
        <f>'1 datos preparados'!P44</f>
        <v/>
      </c>
      <c r="R51" s="7">
        <f>'1 datos preparados'!Q44</f>
        <v/>
      </c>
      <c r="S51" s="7">
        <f>'1 datos preparados'!R44</f>
        <v/>
      </c>
      <c r="T51" s="7">
        <f>'1 datos preparados'!S44</f>
        <v/>
      </c>
      <c r="U51" s="7">
        <f>'1 datos preparados'!T44</f>
        <v/>
      </c>
      <c r="V51" s="8">
        <f>$AE$12+D51*$AE$13+E51*$AE$14+F51*$AE$15+G51*$AE$16+H51*$AE$17+I51*$AE$18+J51*$AE$19+K51*$AE$20+L51*$AE$21+M51*$AE$22+N51*$AE$23+O51*$AE$24+P51*$AE$25+Q51*$AE$26+R51*$AE$27+S51*$AE$28+T51*$AE$29+U51*$AE$30</f>
        <v/>
      </c>
      <c r="W51" s="8">
        <f>1/(1+EXP(-V51))</f>
        <v/>
      </c>
      <c r="X51" s="9">
        <f>-IF(C51=1,LN(W51),LN(1-W51))</f>
        <v/>
      </c>
      <c r="Y51" s="8">
        <f>IF(C51=1,$AE$32,$AE$33)</f>
        <v/>
      </c>
      <c r="Z51" s="9">
        <f>Y51*X51</f>
        <v/>
      </c>
      <c r="AA51" s="10">
        <f>IF(W51&gt;$AE$34,1,0)</f>
        <v/>
      </c>
      <c r="AB51">
        <f>IF(AA51=C51,1,0)</f>
        <v/>
      </c>
    </row>
    <row r="52">
      <c r="A52">
        <f>'1 datos preparados'!A45</f>
        <v/>
      </c>
      <c r="B52" s="5">
        <f>'1 datos preparados'!U45</f>
        <v/>
      </c>
      <c r="C52">
        <f>'1 datos preparados'!B45</f>
        <v/>
      </c>
      <c r="D52" s="7">
        <f>'1 datos preparados'!C45</f>
        <v/>
      </c>
      <c r="E52" s="7">
        <f>'1 datos preparados'!D45</f>
        <v/>
      </c>
      <c r="F52" s="7">
        <f>'1 datos preparados'!E45</f>
        <v/>
      </c>
      <c r="G52" s="7">
        <f>'1 datos preparados'!F45</f>
        <v/>
      </c>
      <c r="H52" s="7">
        <f>'1 datos preparados'!G45</f>
        <v/>
      </c>
      <c r="I52" s="7">
        <f>'1 datos preparados'!H45</f>
        <v/>
      </c>
      <c r="J52" s="7">
        <f>'1 datos preparados'!I45</f>
        <v/>
      </c>
      <c r="K52" s="7">
        <f>'1 datos preparados'!J45</f>
        <v/>
      </c>
      <c r="L52" s="7">
        <f>'1 datos preparados'!K45</f>
        <v/>
      </c>
      <c r="M52" s="7">
        <f>'1 datos preparados'!L45</f>
        <v/>
      </c>
      <c r="N52" s="7">
        <f>'1 datos preparados'!M45</f>
        <v/>
      </c>
      <c r="O52" s="7">
        <f>'1 datos preparados'!N45</f>
        <v/>
      </c>
      <c r="P52" s="7">
        <f>'1 datos preparados'!O45</f>
        <v/>
      </c>
      <c r="Q52" s="7">
        <f>'1 datos preparados'!P45</f>
        <v/>
      </c>
      <c r="R52" s="7">
        <f>'1 datos preparados'!Q45</f>
        <v/>
      </c>
      <c r="S52" s="7">
        <f>'1 datos preparados'!R45</f>
        <v/>
      </c>
      <c r="T52" s="7">
        <f>'1 datos preparados'!S45</f>
        <v/>
      </c>
      <c r="U52" s="7">
        <f>'1 datos preparados'!T45</f>
        <v/>
      </c>
      <c r="V52" s="8">
        <f>$AE$12+D52*$AE$13+E52*$AE$14+F52*$AE$15+G52*$AE$16+H52*$AE$17+I52*$AE$18+J52*$AE$19+K52*$AE$20+L52*$AE$21+M52*$AE$22+N52*$AE$23+O52*$AE$24+P52*$AE$25+Q52*$AE$26+R52*$AE$27+S52*$AE$28+T52*$AE$29+U52*$AE$30</f>
        <v/>
      </c>
      <c r="W52" s="8">
        <f>1/(1+EXP(-V52))</f>
        <v/>
      </c>
      <c r="X52" s="9">
        <f>-IF(C52=1,LN(W52),LN(1-W52))</f>
        <v/>
      </c>
      <c r="Y52" s="8">
        <f>IF(C52=1,$AE$32,$AE$33)</f>
        <v/>
      </c>
      <c r="Z52" s="9">
        <f>Y52*X52</f>
        <v/>
      </c>
      <c r="AA52" s="10">
        <f>IF(W52&gt;$AE$34,1,0)</f>
        <v/>
      </c>
      <c r="AB52">
        <f>IF(AA52=C52,1,0)</f>
        <v/>
      </c>
    </row>
    <row r="53">
      <c r="A53">
        <f>'1 datos preparados'!A46</f>
        <v/>
      </c>
      <c r="B53" s="5">
        <f>'1 datos preparados'!U46</f>
        <v/>
      </c>
      <c r="C53">
        <f>'1 datos preparados'!B46</f>
        <v/>
      </c>
      <c r="D53" s="7">
        <f>'1 datos preparados'!C46</f>
        <v/>
      </c>
      <c r="E53" s="7">
        <f>'1 datos preparados'!D46</f>
        <v/>
      </c>
      <c r="F53" s="7">
        <f>'1 datos preparados'!E46</f>
        <v/>
      </c>
      <c r="G53" s="7">
        <f>'1 datos preparados'!F46</f>
        <v/>
      </c>
      <c r="H53" s="7">
        <f>'1 datos preparados'!G46</f>
        <v/>
      </c>
      <c r="I53" s="7">
        <f>'1 datos preparados'!H46</f>
        <v/>
      </c>
      <c r="J53" s="7">
        <f>'1 datos preparados'!I46</f>
        <v/>
      </c>
      <c r="K53" s="7">
        <f>'1 datos preparados'!J46</f>
        <v/>
      </c>
      <c r="L53" s="7">
        <f>'1 datos preparados'!K46</f>
        <v/>
      </c>
      <c r="M53" s="7">
        <f>'1 datos preparados'!L46</f>
        <v/>
      </c>
      <c r="N53" s="7">
        <f>'1 datos preparados'!M46</f>
        <v/>
      </c>
      <c r="O53" s="7">
        <f>'1 datos preparados'!N46</f>
        <v/>
      </c>
      <c r="P53" s="7">
        <f>'1 datos preparados'!O46</f>
        <v/>
      </c>
      <c r="Q53" s="7">
        <f>'1 datos preparados'!P46</f>
        <v/>
      </c>
      <c r="R53" s="7">
        <f>'1 datos preparados'!Q46</f>
        <v/>
      </c>
      <c r="S53" s="7">
        <f>'1 datos preparados'!R46</f>
        <v/>
      </c>
      <c r="T53" s="7">
        <f>'1 datos preparados'!S46</f>
        <v/>
      </c>
      <c r="U53" s="7">
        <f>'1 datos preparados'!T46</f>
        <v/>
      </c>
      <c r="V53" s="8">
        <f>$AE$12+D53*$AE$13+E53*$AE$14+F53*$AE$15+G53*$AE$16+H53*$AE$17+I53*$AE$18+J53*$AE$19+K53*$AE$20+L53*$AE$21+M53*$AE$22+N53*$AE$23+O53*$AE$24+P53*$AE$25+Q53*$AE$26+R53*$AE$27+S53*$AE$28+T53*$AE$29+U53*$AE$30</f>
        <v/>
      </c>
      <c r="W53" s="8">
        <f>1/(1+EXP(-V53))</f>
        <v/>
      </c>
      <c r="X53" s="9">
        <f>-IF(C53=1,LN(W53),LN(1-W53))</f>
        <v/>
      </c>
      <c r="Y53" s="8">
        <f>IF(C53=1,$AE$32,$AE$33)</f>
        <v/>
      </c>
      <c r="Z53" s="9">
        <f>Y53*X53</f>
        <v/>
      </c>
      <c r="AA53" s="10">
        <f>IF(W53&gt;$AE$34,1,0)</f>
        <v/>
      </c>
      <c r="AB53">
        <f>IF(AA53=C53,1,0)</f>
        <v/>
      </c>
    </row>
    <row r="54">
      <c r="A54">
        <f>'1 datos preparados'!A47</f>
        <v/>
      </c>
      <c r="B54" s="5">
        <f>'1 datos preparados'!U47</f>
        <v/>
      </c>
      <c r="C54">
        <f>'1 datos preparados'!B47</f>
        <v/>
      </c>
      <c r="D54" s="7">
        <f>'1 datos preparados'!C47</f>
        <v/>
      </c>
      <c r="E54" s="7">
        <f>'1 datos preparados'!D47</f>
        <v/>
      </c>
      <c r="F54" s="7">
        <f>'1 datos preparados'!E47</f>
        <v/>
      </c>
      <c r="G54" s="7">
        <f>'1 datos preparados'!F47</f>
        <v/>
      </c>
      <c r="H54" s="7">
        <f>'1 datos preparados'!G47</f>
        <v/>
      </c>
      <c r="I54" s="7">
        <f>'1 datos preparados'!H47</f>
        <v/>
      </c>
      <c r="J54" s="7">
        <f>'1 datos preparados'!I47</f>
        <v/>
      </c>
      <c r="K54" s="7">
        <f>'1 datos preparados'!J47</f>
        <v/>
      </c>
      <c r="L54" s="7">
        <f>'1 datos preparados'!K47</f>
        <v/>
      </c>
      <c r="M54" s="7">
        <f>'1 datos preparados'!L47</f>
        <v/>
      </c>
      <c r="N54" s="7">
        <f>'1 datos preparados'!M47</f>
        <v/>
      </c>
      <c r="O54" s="7">
        <f>'1 datos preparados'!N47</f>
        <v/>
      </c>
      <c r="P54" s="7">
        <f>'1 datos preparados'!O47</f>
        <v/>
      </c>
      <c r="Q54" s="7">
        <f>'1 datos preparados'!P47</f>
        <v/>
      </c>
      <c r="R54" s="7">
        <f>'1 datos preparados'!Q47</f>
        <v/>
      </c>
      <c r="S54" s="7">
        <f>'1 datos preparados'!R47</f>
        <v/>
      </c>
      <c r="T54" s="7">
        <f>'1 datos preparados'!S47</f>
        <v/>
      </c>
      <c r="U54" s="7">
        <f>'1 datos preparados'!T47</f>
        <v/>
      </c>
      <c r="V54" s="8">
        <f>$AE$12+D54*$AE$13+E54*$AE$14+F54*$AE$15+G54*$AE$16+H54*$AE$17+I54*$AE$18+J54*$AE$19+K54*$AE$20+L54*$AE$21+M54*$AE$22+N54*$AE$23+O54*$AE$24+P54*$AE$25+Q54*$AE$26+R54*$AE$27+S54*$AE$28+T54*$AE$29+U54*$AE$30</f>
        <v/>
      </c>
      <c r="W54" s="8">
        <f>1/(1+EXP(-V54))</f>
        <v/>
      </c>
      <c r="X54" s="9">
        <f>-IF(C54=1,LN(W54),LN(1-W54))</f>
        <v/>
      </c>
      <c r="Y54" s="8">
        <f>IF(C54=1,$AE$32,$AE$33)</f>
        <v/>
      </c>
      <c r="Z54" s="9">
        <f>Y54*X54</f>
        <v/>
      </c>
      <c r="AA54" s="10">
        <f>IF(W54&gt;$AE$34,1,0)</f>
        <v/>
      </c>
      <c r="AB54">
        <f>IF(AA54=C54,1,0)</f>
        <v/>
      </c>
    </row>
    <row r="55">
      <c r="A55">
        <f>'1 datos preparados'!A48</f>
        <v/>
      </c>
      <c r="B55" s="5">
        <f>'1 datos preparados'!U48</f>
        <v/>
      </c>
      <c r="C55">
        <f>'1 datos preparados'!B48</f>
        <v/>
      </c>
      <c r="D55" s="7">
        <f>'1 datos preparados'!C48</f>
        <v/>
      </c>
      <c r="E55" s="7">
        <f>'1 datos preparados'!D48</f>
        <v/>
      </c>
      <c r="F55" s="7">
        <f>'1 datos preparados'!E48</f>
        <v/>
      </c>
      <c r="G55" s="7">
        <f>'1 datos preparados'!F48</f>
        <v/>
      </c>
      <c r="H55" s="7">
        <f>'1 datos preparados'!G48</f>
        <v/>
      </c>
      <c r="I55" s="7">
        <f>'1 datos preparados'!H48</f>
        <v/>
      </c>
      <c r="J55" s="7">
        <f>'1 datos preparados'!I48</f>
        <v/>
      </c>
      <c r="K55" s="7">
        <f>'1 datos preparados'!J48</f>
        <v/>
      </c>
      <c r="L55" s="7">
        <f>'1 datos preparados'!K48</f>
        <v/>
      </c>
      <c r="M55" s="7">
        <f>'1 datos preparados'!L48</f>
        <v/>
      </c>
      <c r="N55" s="7">
        <f>'1 datos preparados'!M48</f>
        <v/>
      </c>
      <c r="O55" s="7">
        <f>'1 datos preparados'!N48</f>
        <v/>
      </c>
      <c r="P55" s="7">
        <f>'1 datos preparados'!O48</f>
        <v/>
      </c>
      <c r="Q55" s="7">
        <f>'1 datos preparados'!P48</f>
        <v/>
      </c>
      <c r="R55" s="7">
        <f>'1 datos preparados'!Q48</f>
        <v/>
      </c>
      <c r="S55" s="7">
        <f>'1 datos preparados'!R48</f>
        <v/>
      </c>
      <c r="T55" s="7">
        <f>'1 datos preparados'!S48</f>
        <v/>
      </c>
      <c r="U55" s="7">
        <f>'1 datos preparados'!T48</f>
        <v/>
      </c>
      <c r="V55" s="8">
        <f>$AE$12+D55*$AE$13+E55*$AE$14+F55*$AE$15+G55*$AE$16+H55*$AE$17+I55*$AE$18+J55*$AE$19+K55*$AE$20+L55*$AE$21+M55*$AE$22+N55*$AE$23+O55*$AE$24+P55*$AE$25+Q55*$AE$26+R55*$AE$27+S55*$AE$28+T55*$AE$29+U55*$AE$30</f>
        <v/>
      </c>
      <c r="W55" s="8">
        <f>1/(1+EXP(-V55))</f>
        <v/>
      </c>
      <c r="X55" s="9">
        <f>-IF(C55=1,LN(W55),LN(1-W55))</f>
        <v/>
      </c>
      <c r="Y55" s="8">
        <f>IF(C55=1,$AE$32,$AE$33)</f>
        <v/>
      </c>
      <c r="Z55" s="9">
        <f>Y55*X55</f>
        <v/>
      </c>
      <c r="AA55" s="10">
        <f>IF(W55&gt;$AE$34,1,0)</f>
        <v/>
      </c>
      <c r="AB55">
        <f>IF(AA55=C55,1,0)</f>
        <v/>
      </c>
    </row>
    <row r="56">
      <c r="A56">
        <f>'1 datos preparados'!A49</f>
        <v/>
      </c>
      <c r="B56" s="5">
        <f>'1 datos preparados'!U49</f>
        <v/>
      </c>
      <c r="C56">
        <f>'1 datos preparados'!B49</f>
        <v/>
      </c>
      <c r="D56" s="7">
        <f>'1 datos preparados'!C49</f>
        <v/>
      </c>
      <c r="E56" s="7">
        <f>'1 datos preparados'!D49</f>
        <v/>
      </c>
      <c r="F56" s="7">
        <f>'1 datos preparados'!E49</f>
        <v/>
      </c>
      <c r="G56" s="7">
        <f>'1 datos preparados'!F49</f>
        <v/>
      </c>
      <c r="H56" s="7">
        <f>'1 datos preparados'!G49</f>
        <v/>
      </c>
      <c r="I56" s="7">
        <f>'1 datos preparados'!H49</f>
        <v/>
      </c>
      <c r="J56" s="7">
        <f>'1 datos preparados'!I49</f>
        <v/>
      </c>
      <c r="K56" s="7">
        <f>'1 datos preparados'!J49</f>
        <v/>
      </c>
      <c r="L56" s="7">
        <f>'1 datos preparados'!K49</f>
        <v/>
      </c>
      <c r="M56" s="7">
        <f>'1 datos preparados'!L49</f>
        <v/>
      </c>
      <c r="N56" s="7">
        <f>'1 datos preparados'!M49</f>
        <v/>
      </c>
      <c r="O56" s="7">
        <f>'1 datos preparados'!N49</f>
        <v/>
      </c>
      <c r="P56" s="7">
        <f>'1 datos preparados'!O49</f>
        <v/>
      </c>
      <c r="Q56" s="7">
        <f>'1 datos preparados'!P49</f>
        <v/>
      </c>
      <c r="R56" s="7">
        <f>'1 datos preparados'!Q49</f>
        <v/>
      </c>
      <c r="S56" s="7">
        <f>'1 datos preparados'!R49</f>
        <v/>
      </c>
      <c r="T56" s="7">
        <f>'1 datos preparados'!S49</f>
        <v/>
      </c>
      <c r="U56" s="7">
        <f>'1 datos preparados'!T49</f>
        <v/>
      </c>
      <c r="V56" s="8">
        <f>$AE$12+D56*$AE$13+E56*$AE$14+F56*$AE$15+G56*$AE$16+H56*$AE$17+I56*$AE$18+J56*$AE$19+K56*$AE$20+L56*$AE$21+M56*$AE$22+N56*$AE$23+O56*$AE$24+P56*$AE$25+Q56*$AE$26+R56*$AE$27+S56*$AE$28+T56*$AE$29+U56*$AE$30</f>
        <v/>
      </c>
      <c r="W56" s="8">
        <f>1/(1+EXP(-V56))</f>
        <v/>
      </c>
      <c r="X56" s="9">
        <f>-IF(C56=1,LN(W56),LN(1-W56))</f>
        <v/>
      </c>
      <c r="Y56" s="8">
        <f>IF(C56=1,$AE$32,$AE$33)</f>
        <v/>
      </c>
      <c r="Z56" s="9">
        <f>Y56*X56</f>
        <v/>
      </c>
      <c r="AA56" s="10">
        <f>IF(W56&gt;$AE$34,1,0)</f>
        <v/>
      </c>
      <c r="AB56">
        <f>IF(AA56=C56,1,0)</f>
        <v/>
      </c>
    </row>
    <row r="57">
      <c r="A57">
        <f>'1 datos preparados'!A50</f>
        <v/>
      </c>
      <c r="B57" s="5">
        <f>'1 datos preparados'!U50</f>
        <v/>
      </c>
      <c r="C57">
        <f>'1 datos preparados'!B50</f>
        <v/>
      </c>
      <c r="D57" s="7">
        <f>'1 datos preparados'!C50</f>
        <v/>
      </c>
      <c r="E57" s="7">
        <f>'1 datos preparados'!D50</f>
        <v/>
      </c>
      <c r="F57" s="7">
        <f>'1 datos preparados'!E50</f>
        <v/>
      </c>
      <c r="G57" s="7">
        <f>'1 datos preparados'!F50</f>
        <v/>
      </c>
      <c r="H57" s="7">
        <f>'1 datos preparados'!G50</f>
        <v/>
      </c>
      <c r="I57" s="7">
        <f>'1 datos preparados'!H50</f>
        <v/>
      </c>
      <c r="J57" s="7">
        <f>'1 datos preparados'!I50</f>
        <v/>
      </c>
      <c r="K57" s="7">
        <f>'1 datos preparados'!J50</f>
        <v/>
      </c>
      <c r="L57" s="7">
        <f>'1 datos preparados'!K50</f>
        <v/>
      </c>
      <c r="M57" s="7">
        <f>'1 datos preparados'!L50</f>
        <v/>
      </c>
      <c r="N57" s="7">
        <f>'1 datos preparados'!M50</f>
        <v/>
      </c>
      <c r="O57" s="7">
        <f>'1 datos preparados'!N50</f>
        <v/>
      </c>
      <c r="P57" s="7">
        <f>'1 datos preparados'!O50</f>
        <v/>
      </c>
      <c r="Q57" s="7">
        <f>'1 datos preparados'!P50</f>
        <v/>
      </c>
      <c r="R57" s="7">
        <f>'1 datos preparados'!Q50</f>
        <v/>
      </c>
      <c r="S57" s="7">
        <f>'1 datos preparados'!R50</f>
        <v/>
      </c>
      <c r="T57" s="7">
        <f>'1 datos preparados'!S50</f>
        <v/>
      </c>
      <c r="U57" s="7">
        <f>'1 datos preparados'!T50</f>
        <v/>
      </c>
      <c r="V57" s="8">
        <f>$AE$12+D57*$AE$13+E57*$AE$14+F57*$AE$15+G57*$AE$16+H57*$AE$17+I57*$AE$18+J57*$AE$19+K57*$AE$20+L57*$AE$21+M57*$AE$22+N57*$AE$23+O57*$AE$24+P57*$AE$25+Q57*$AE$26+R57*$AE$27+S57*$AE$28+T57*$AE$29+U57*$AE$30</f>
        <v/>
      </c>
      <c r="W57" s="8">
        <f>1/(1+EXP(-V57))</f>
        <v/>
      </c>
      <c r="X57" s="9">
        <f>-IF(C57=1,LN(W57),LN(1-W57))</f>
        <v/>
      </c>
      <c r="Y57" s="8">
        <f>IF(C57=1,$AE$32,$AE$33)</f>
        <v/>
      </c>
      <c r="Z57" s="9">
        <f>Y57*X57</f>
        <v/>
      </c>
      <c r="AA57" s="10">
        <f>IF(W57&gt;$AE$34,1,0)</f>
        <v/>
      </c>
      <c r="AB57">
        <f>IF(AA57=C57,1,0)</f>
        <v/>
      </c>
    </row>
    <row r="58">
      <c r="A58">
        <f>'1 datos preparados'!A51</f>
        <v/>
      </c>
      <c r="B58" s="5">
        <f>'1 datos preparados'!U51</f>
        <v/>
      </c>
      <c r="C58">
        <f>'1 datos preparados'!B51</f>
        <v/>
      </c>
      <c r="D58" s="7">
        <f>'1 datos preparados'!C51</f>
        <v/>
      </c>
      <c r="E58" s="7">
        <f>'1 datos preparados'!D51</f>
        <v/>
      </c>
      <c r="F58" s="7">
        <f>'1 datos preparados'!E51</f>
        <v/>
      </c>
      <c r="G58" s="7">
        <f>'1 datos preparados'!F51</f>
        <v/>
      </c>
      <c r="H58" s="7">
        <f>'1 datos preparados'!G51</f>
        <v/>
      </c>
      <c r="I58" s="7">
        <f>'1 datos preparados'!H51</f>
        <v/>
      </c>
      <c r="J58" s="7">
        <f>'1 datos preparados'!I51</f>
        <v/>
      </c>
      <c r="K58" s="7">
        <f>'1 datos preparados'!J51</f>
        <v/>
      </c>
      <c r="L58" s="7">
        <f>'1 datos preparados'!K51</f>
        <v/>
      </c>
      <c r="M58" s="7">
        <f>'1 datos preparados'!L51</f>
        <v/>
      </c>
      <c r="N58" s="7">
        <f>'1 datos preparados'!M51</f>
        <v/>
      </c>
      <c r="O58" s="7">
        <f>'1 datos preparados'!N51</f>
        <v/>
      </c>
      <c r="P58" s="7">
        <f>'1 datos preparados'!O51</f>
        <v/>
      </c>
      <c r="Q58" s="7">
        <f>'1 datos preparados'!P51</f>
        <v/>
      </c>
      <c r="R58" s="7">
        <f>'1 datos preparados'!Q51</f>
        <v/>
      </c>
      <c r="S58" s="7">
        <f>'1 datos preparados'!R51</f>
        <v/>
      </c>
      <c r="T58" s="7">
        <f>'1 datos preparados'!S51</f>
        <v/>
      </c>
      <c r="U58" s="7">
        <f>'1 datos preparados'!T51</f>
        <v/>
      </c>
      <c r="V58" s="8">
        <f>$AE$12+D58*$AE$13+E58*$AE$14+F58*$AE$15+G58*$AE$16+H58*$AE$17+I58*$AE$18+J58*$AE$19+K58*$AE$20+L58*$AE$21+M58*$AE$22+N58*$AE$23+O58*$AE$24+P58*$AE$25+Q58*$AE$26+R58*$AE$27+S58*$AE$28+T58*$AE$29+U58*$AE$30</f>
        <v/>
      </c>
      <c r="W58" s="8">
        <f>1/(1+EXP(-V58))</f>
        <v/>
      </c>
      <c r="X58" s="9">
        <f>-IF(C58=1,LN(W58),LN(1-W58))</f>
        <v/>
      </c>
      <c r="Y58" s="8">
        <f>IF(C58=1,$AE$32,$AE$33)</f>
        <v/>
      </c>
      <c r="Z58" s="9">
        <f>Y58*X58</f>
        <v/>
      </c>
      <c r="AA58" s="10">
        <f>IF(W58&gt;$AE$34,1,0)</f>
        <v/>
      </c>
      <c r="AB58">
        <f>IF(AA58=C58,1,0)</f>
        <v/>
      </c>
    </row>
    <row r="59">
      <c r="A59">
        <f>'1 datos preparados'!A52</f>
        <v/>
      </c>
      <c r="B59" s="5">
        <f>'1 datos preparados'!U52</f>
        <v/>
      </c>
      <c r="C59">
        <f>'1 datos preparados'!B52</f>
        <v/>
      </c>
      <c r="D59" s="7">
        <f>'1 datos preparados'!C52</f>
        <v/>
      </c>
      <c r="E59" s="7">
        <f>'1 datos preparados'!D52</f>
        <v/>
      </c>
      <c r="F59" s="7">
        <f>'1 datos preparados'!E52</f>
        <v/>
      </c>
      <c r="G59" s="7">
        <f>'1 datos preparados'!F52</f>
        <v/>
      </c>
      <c r="H59" s="7">
        <f>'1 datos preparados'!G52</f>
        <v/>
      </c>
      <c r="I59" s="7">
        <f>'1 datos preparados'!H52</f>
        <v/>
      </c>
      <c r="J59" s="7">
        <f>'1 datos preparados'!I52</f>
        <v/>
      </c>
      <c r="K59" s="7">
        <f>'1 datos preparados'!J52</f>
        <v/>
      </c>
      <c r="L59" s="7">
        <f>'1 datos preparados'!K52</f>
        <v/>
      </c>
      <c r="M59" s="7">
        <f>'1 datos preparados'!L52</f>
        <v/>
      </c>
      <c r="N59" s="7">
        <f>'1 datos preparados'!M52</f>
        <v/>
      </c>
      <c r="O59" s="7">
        <f>'1 datos preparados'!N52</f>
        <v/>
      </c>
      <c r="P59" s="7">
        <f>'1 datos preparados'!O52</f>
        <v/>
      </c>
      <c r="Q59" s="7">
        <f>'1 datos preparados'!P52</f>
        <v/>
      </c>
      <c r="R59" s="7">
        <f>'1 datos preparados'!Q52</f>
        <v/>
      </c>
      <c r="S59" s="7">
        <f>'1 datos preparados'!R52</f>
        <v/>
      </c>
      <c r="T59" s="7">
        <f>'1 datos preparados'!S52</f>
        <v/>
      </c>
      <c r="U59" s="7">
        <f>'1 datos preparados'!T52</f>
        <v/>
      </c>
      <c r="V59" s="8">
        <f>$AE$12+D59*$AE$13+E59*$AE$14+F59*$AE$15+G59*$AE$16+H59*$AE$17+I59*$AE$18+J59*$AE$19+K59*$AE$20+L59*$AE$21+M59*$AE$22+N59*$AE$23+O59*$AE$24+P59*$AE$25+Q59*$AE$26+R59*$AE$27+S59*$AE$28+T59*$AE$29+U59*$AE$30</f>
        <v/>
      </c>
      <c r="W59" s="8">
        <f>1/(1+EXP(-V59))</f>
        <v/>
      </c>
      <c r="X59" s="9">
        <f>-IF(C59=1,LN(W59),LN(1-W59))</f>
        <v/>
      </c>
      <c r="Y59" s="8">
        <f>IF(C59=1,$AE$32,$AE$33)</f>
        <v/>
      </c>
      <c r="Z59" s="9">
        <f>Y59*X59</f>
        <v/>
      </c>
      <c r="AA59" s="10">
        <f>IF(W59&gt;$AE$34,1,0)</f>
        <v/>
      </c>
      <c r="AB59">
        <f>IF(AA59=C59,1,0)</f>
        <v/>
      </c>
    </row>
    <row r="60">
      <c r="A60">
        <f>'1 datos preparados'!A53</f>
        <v/>
      </c>
      <c r="B60" s="5">
        <f>'1 datos preparados'!U53</f>
        <v/>
      </c>
      <c r="C60">
        <f>'1 datos preparados'!B53</f>
        <v/>
      </c>
      <c r="D60" s="7">
        <f>'1 datos preparados'!C53</f>
        <v/>
      </c>
      <c r="E60" s="7">
        <f>'1 datos preparados'!D53</f>
        <v/>
      </c>
      <c r="F60" s="7">
        <f>'1 datos preparados'!E53</f>
        <v/>
      </c>
      <c r="G60" s="7">
        <f>'1 datos preparados'!F53</f>
        <v/>
      </c>
      <c r="H60" s="7">
        <f>'1 datos preparados'!G53</f>
        <v/>
      </c>
      <c r="I60" s="7">
        <f>'1 datos preparados'!H53</f>
        <v/>
      </c>
      <c r="J60" s="7">
        <f>'1 datos preparados'!I53</f>
        <v/>
      </c>
      <c r="K60" s="7">
        <f>'1 datos preparados'!J53</f>
        <v/>
      </c>
      <c r="L60" s="7">
        <f>'1 datos preparados'!K53</f>
        <v/>
      </c>
      <c r="M60" s="7">
        <f>'1 datos preparados'!L53</f>
        <v/>
      </c>
      <c r="N60" s="7">
        <f>'1 datos preparados'!M53</f>
        <v/>
      </c>
      <c r="O60" s="7">
        <f>'1 datos preparados'!N53</f>
        <v/>
      </c>
      <c r="P60" s="7">
        <f>'1 datos preparados'!O53</f>
        <v/>
      </c>
      <c r="Q60" s="7">
        <f>'1 datos preparados'!P53</f>
        <v/>
      </c>
      <c r="R60" s="7">
        <f>'1 datos preparados'!Q53</f>
        <v/>
      </c>
      <c r="S60" s="7">
        <f>'1 datos preparados'!R53</f>
        <v/>
      </c>
      <c r="T60" s="7">
        <f>'1 datos preparados'!S53</f>
        <v/>
      </c>
      <c r="U60" s="7">
        <f>'1 datos preparados'!T53</f>
        <v/>
      </c>
      <c r="V60" s="8">
        <f>$AE$12+D60*$AE$13+E60*$AE$14+F60*$AE$15+G60*$AE$16+H60*$AE$17+I60*$AE$18+J60*$AE$19+K60*$AE$20+L60*$AE$21+M60*$AE$22+N60*$AE$23+O60*$AE$24+P60*$AE$25+Q60*$AE$26+R60*$AE$27+S60*$AE$28+T60*$AE$29+U60*$AE$30</f>
        <v/>
      </c>
      <c r="W60" s="8">
        <f>1/(1+EXP(-V60))</f>
        <v/>
      </c>
      <c r="X60" s="9">
        <f>-IF(C60=1,LN(W60),LN(1-W60))</f>
        <v/>
      </c>
      <c r="Y60" s="8">
        <f>IF(C60=1,$AE$32,$AE$33)</f>
        <v/>
      </c>
      <c r="Z60" s="9">
        <f>Y60*X60</f>
        <v/>
      </c>
      <c r="AA60" s="10">
        <f>IF(W60&gt;$AE$34,1,0)</f>
        <v/>
      </c>
      <c r="AB60">
        <f>IF(AA60=C60,1,0)</f>
        <v/>
      </c>
    </row>
    <row r="61">
      <c r="A61">
        <f>'1 datos preparados'!A54</f>
        <v/>
      </c>
      <c r="B61" s="5">
        <f>'1 datos preparados'!U54</f>
        <v/>
      </c>
      <c r="C61">
        <f>'1 datos preparados'!B54</f>
        <v/>
      </c>
      <c r="D61" s="7">
        <f>'1 datos preparados'!C54</f>
        <v/>
      </c>
      <c r="E61" s="7">
        <f>'1 datos preparados'!D54</f>
        <v/>
      </c>
      <c r="F61" s="7">
        <f>'1 datos preparados'!E54</f>
        <v/>
      </c>
      <c r="G61" s="7">
        <f>'1 datos preparados'!F54</f>
        <v/>
      </c>
      <c r="H61" s="7">
        <f>'1 datos preparados'!G54</f>
        <v/>
      </c>
      <c r="I61" s="7">
        <f>'1 datos preparados'!H54</f>
        <v/>
      </c>
      <c r="J61" s="7">
        <f>'1 datos preparados'!I54</f>
        <v/>
      </c>
      <c r="K61" s="7">
        <f>'1 datos preparados'!J54</f>
        <v/>
      </c>
      <c r="L61" s="7">
        <f>'1 datos preparados'!K54</f>
        <v/>
      </c>
      <c r="M61" s="7">
        <f>'1 datos preparados'!L54</f>
        <v/>
      </c>
      <c r="N61" s="7">
        <f>'1 datos preparados'!M54</f>
        <v/>
      </c>
      <c r="O61" s="7">
        <f>'1 datos preparados'!N54</f>
        <v/>
      </c>
      <c r="P61" s="7">
        <f>'1 datos preparados'!O54</f>
        <v/>
      </c>
      <c r="Q61" s="7">
        <f>'1 datos preparados'!P54</f>
        <v/>
      </c>
      <c r="R61" s="7">
        <f>'1 datos preparados'!Q54</f>
        <v/>
      </c>
      <c r="S61" s="7">
        <f>'1 datos preparados'!R54</f>
        <v/>
      </c>
      <c r="T61" s="7">
        <f>'1 datos preparados'!S54</f>
        <v/>
      </c>
      <c r="U61" s="7">
        <f>'1 datos preparados'!T54</f>
        <v/>
      </c>
      <c r="V61" s="8">
        <f>$AE$12+D61*$AE$13+E61*$AE$14+F61*$AE$15+G61*$AE$16+H61*$AE$17+I61*$AE$18+J61*$AE$19+K61*$AE$20+L61*$AE$21+M61*$AE$22+N61*$AE$23+O61*$AE$24+P61*$AE$25+Q61*$AE$26+R61*$AE$27+S61*$AE$28+T61*$AE$29+U61*$AE$30</f>
        <v/>
      </c>
      <c r="W61" s="8">
        <f>1/(1+EXP(-V61))</f>
        <v/>
      </c>
      <c r="X61" s="9">
        <f>-IF(C61=1,LN(W61),LN(1-W61))</f>
        <v/>
      </c>
      <c r="Y61" s="8">
        <f>IF(C61=1,$AE$32,$AE$33)</f>
        <v/>
      </c>
      <c r="Z61" s="9">
        <f>Y61*X61</f>
        <v/>
      </c>
      <c r="AA61" s="10">
        <f>IF(W61&gt;$AE$34,1,0)</f>
        <v/>
      </c>
      <c r="AB61">
        <f>IF(AA61=C61,1,0)</f>
        <v/>
      </c>
    </row>
    <row r="62">
      <c r="A62">
        <f>'1 datos preparados'!A55</f>
        <v/>
      </c>
      <c r="B62" s="5">
        <f>'1 datos preparados'!U55</f>
        <v/>
      </c>
      <c r="C62">
        <f>'1 datos preparados'!B55</f>
        <v/>
      </c>
      <c r="D62" s="7">
        <f>'1 datos preparados'!C55</f>
        <v/>
      </c>
      <c r="E62" s="7">
        <f>'1 datos preparados'!D55</f>
        <v/>
      </c>
      <c r="F62" s="7">
        <f>'1 datos preparados'!E55</f>
        <v/>
      </c>
      <c r="G62" s="7">
        <f>'1 datos preparados'!F55</f>
        <v/>
      </c>
      <c r="H62" s="7">
        <f>'1 datos preparados'!G55</f>
        <v/>
      </c>
      <c r="I62" s="7">
        <f>'1 datos preparados'!H55</f>
        <v/>
      </c>
      <c r="J62" s="7">
        <f>'1 datos preparados'!I55</f>
        <v/>
      </c>
      <c r="K62" s="7">
        <f>'1 datos preparados'!J55</f>
        <v/>
      </c>
      <c r="L62" s="7">
        <f>'1 datos preparados'!K55</f>
        <v/>
      </c>
      <c r="M62" s="7">
        <f>'1 datos preparados'!L55</f>
        <v/>
      </c>
      <c r="N62" s="7">
        <f>'1 datos preparados'!M55</f>
        <v/>
      </c>
      <c r="O62" s="7">
        <f>'1 datos preparados'!N55</f>
        <v/>
      </c>
      <c r="P62" s="7">
        <f>'1 datos preparados'!O55</f>
        <v/>
      </c>
      <c r="Q62" s="7">
        <f>'1 datos preparados'!P55</f>
        <v/>
      </c>
      <c r="R62" s="7">
        <f>'1 datos preparados'!Q55</f>
        <v/>
      </c>
      <c r="S62" s="7">
        <f>'1 datos preparados'!R55</f>
        <v/>
      </c>
      <c r="T62" s="7">
        <f>'1 datos preparados'!S55</f>
        <v/>
      </c>
      <c r="U62" s="7">
        <f>'1 datos preparados'!T55</f>
        <v/>
      </c>
      <c r="V62" s="8">
        <f>$AE$12+D62*$AE$13+E62*$AE$14+F62*$AE$15+G62*$AE$16+H62*$AE$17+I62*$AE$18+J62*$AE$19+K62*$AE$20+L62*$AE$21+M62*$AE$22+N62*$AE$23+O62*$AE$24+P62*$AE$25+Q62*$AE$26+R62*$AE$27+S62*$AE$28+T62*$AE$29+U62*$AE$30</f>
        <v/>
      </c>
      <c r="W62" s="8">
        <f>1/(1+EXP(-V62))</f>
        <v/>
      </c>
      <c r="X62" s="9">
        <f>-IF(C62=1,LN(W62),LN(1-W62))</f>
        <v/>
      </c>
      <c r="Y62" s="8">
        <f>IF(C62=1,$AE$32,$AE$33)</f>
        <v/>
      </c>
      <c r="Z62" s="9">
        <f>Y62*X62</f>
        <v/>
      </c>
      <c r="AA62" s="10">
        <f>IF(W62&gt;$AE$34,1,0)</f>
        <v/>
      </c>
      <c r="AB62">
        <f>IF(AA62=C62,1,0)</f>
        <v/>
      </c>
    </row>
    <row r="63">
      <c r="A63">
        <f>'1 datos preparados'!A56</f>
        <v/>
      </c>
      <c r="B63" s="5">
        <f>'1 datos preparados'!U56</f>
        <v/>
      </c>
      <c r="C63">
        <f>'1 datos preparados'!B56</f>
        <v/>
      </c>
      <c r="D63" s="7">
        <f>'1 datos preparados'!C56</f>
        <v/>
      </c>
      <c r="E63" s="7">
        <f>'1 datos preparados'!D56</f>
        <v/>
      </c>
      <c r="F63" s="7">
        <f>'1 datos preparados'!E56</f>
        <v/>
      </c>
      <c r="G63" s="7">
        <f>'1 datos preparados'!F56</f>
        <v/>
      </c>
      <c r="H63" s="7">
        <f>'1 datos preparados'!G56</f>
        <v/>
      </c>
      <c r="I63" s="7">
        <f>'1 datos preparados'!H56</f>
        <v/>
      </c>
      <c r="J63" s="7">
        <f>'1 datos preparados'!I56</f>
        <v/>
      </c>
      <c r="K63" s="7">
        <f>'1 datos preparados'!J56</f>
        <v/>
      </c>
      <c r="L63" s="7">
        <f>'1 datos preparados'!K56</f>
        <v/>
      </c>
      <c r="M63" s="7">
        <f>'1 datos preparados'!L56</f>
        <v/>
      </c>
      <c r="N63" s="7">
        <f>'1 datos preparados'!M56</f>
        <v/>
      </c>
      <c r="O63" s="7">
        <f>'1 datos preparados'!N56</f>
        <v/>
      </c>
      <c r="P63" s="7">
        <f>'1 datos preparados'!O56</f>
        <v/>
      </c>
      <c r="Q63" s="7">
        <f>'1 datos preparados'!P56</f>
        <v/>
      </c>
      <c r="R63" s="7">
        <f>'1 datos preparados'!Q56</f>
        <v/>
      </c>
      <c r="S63" s="7">
        <f>'1 datos preparados'!R56</f>
        <v/>
      </c>
      <c r="T63" s="7">
        <f>'1 datos preparados'!S56</f>
        <v/>
      </c>
      <c r="U63" s="7">
        <f>'1 datos preparados'!T56</f>
        <v/>
      </c>
      <c r="V63" s="8">
        <f>$AE$12+D63*$AE$13+E63*$AE$14+F63*$AE$15+G63*$AE$16+H63*$AE$17+I63*$AE$18+J63*$AE$19+K63*$AE$20+L63*$AE$21+M63*$AE$22+N63*$AE$23+O63*$AE$24+P63*$AE$25+Q63*$AE$26+R63*$AE$27+S63*$AE$28+T63*$AE$29+U63*$AE$30</f>
        <v/>
      </c>
      <c r="W63" s="8">
        <f>1/(1+EXP(-V63))</f>
        <v/>
      </c>
      <c r="X63" s="9">
        <f>-IF(C63=1,LN(W63),LN(1-W63))</f>
        <v/>
      </c>
      <c r="Y63" s="8">
        <f>IF(C63=1,$AE$32,$AE$33)</f>
        <v/>
      </c>
      <c r="Z63" s="9">
        <f>Y63*X63</f>
        <v/>
      </c>
      <c r="AA63" s="10">
        <f>IF(W63&gt;$AE$34,1,0)</f>
        <v/>
      </c>
      <c r="AB63">
        <f>IF(AA63=C63,1,0)</f>
        <v/>
      </c>
    </row>
    <row r="64">
      <c r="A64">
        <f>'1 datos preparados'!A57</f>
        <v/>
      </c>
      <c r="B64" s="5">
        <f>'1 datos preparados'!U57</f>
        <v/>
      </c>
      <c r="C64">
        <f>'1 datos preparados'!B57</f>
        <v/>
      </c>
      <c r="D64" s="7">
        <f>'1 datos preparados'!C57</f>
        <v/>
      </c>
      <c r="E64" s="7">
        <f>'1 datos preparados'!D57</f>
        <v/>
      </c>
      <c r="F64" s="7">
        <f>'1 datos preparados'!E57</f>
        <v/>
      </c>
      <c r="G64" s="7">
        <f>'1 datos preparados'!F57</f>
        <v/>
      </c>
      <c r="H64" s="7">
        <f>'1 datos preparados'!G57</f>
        <v/>
      </c>
      <c r="I64" s="7">
        <f>'1 datos preparados'!H57</f>
        <v/>
      </c>
      <c r="J64" s="7">
        <f>'1 datos preparados'!I57</f>
        <v/>
      </c>
      <c r="K64" s="7">
        <f>'1 datos preparados'!J57</f>
        <v/>
      </c>
      <c r="L64" s="7">
        <f>'1 datos preparados'!K57</f>
        <v/>
      </c>
      <c r="M64" s="7">
        <f>'1 datos preparados'!L57</f>
        <v/>
      </c>
      <c r="N64" s="7">
        <f>'1 datos preparados'!M57</f>
        <v/>
      </c>
      <c r="O64" s="7">
        <f>'1 datos preparados'!N57</f>
        <v/>
      </c>
      <c r="P64" s="7">
        <f>'1 datos preparados'!O57</f>
        <v/>
      </c>
      <c r="Q64" s="7">
        <f>'1 datos preparados'!P57</f>
        <v/>
      </c>
      <c r="R64" s="7">
        <f>'1 datos preparados'!Q57</f>
        <v/>
      </c>
      <c r="S64" s="7">
        <f>'1 datos preparados'!R57</f>
        <v/>
      </c>
      <c r="T64" s="7">
        <f>'1 datos preparados'!S57</f>
        <v/>
      </c>
      <c r="U64" s="7">
        <f>'1 datos preparados'!T57</f>
        <v/>
      </c>
      <c r="V64" s="8">
        <f>$AE$12+D64*$AE$13+E64*$AE$14+F64*$AE$15+G64*$AE$16+H64*$AE$17+I64*$AE$18+J64*$AE$19+K64*$AE$20+L64*$AE$21+M64*$AE$22+N64*$AE$23+O64*$AE$24+P64*$AE$25+Q64*$AE$26+R64*$AE$27+S64*$AE$28+T64*$AE$29+U64*$AE$30</f>
        <v/>
      </c>
      <c r="W64" s="8">
        <f>1/(1+EXP(-V64))</f>
        <v/>
      </c>
      <c r="X64" s="9">
        <f>-IF(C64=1,LN(W64),LN(1-W64))</f>
        <v/>
      </c>
      <c r="Y64" s="8">
        <f>IF(C64=1,$AE$32,$AE$33)</f>
        <v/>
      </c>
      <c r="Z64" s="9">
        <f>Y64*X64</f>
        <v/>
      </c>
      <c r="AA64" s="10">
        <f>IF(W64&gt;$AE$34,1,0)</f>
        <v/>
      </c>
      <c r="AB64">
        <f>IF(AA64=C64,1,0)</f>
        <v/>
      </c>
    </row>
    <row r="65">
      <c r="A65">
        <f>'1 datos preparados'!A58</f>
        <v/>
      </c>
      <c r="B65" s="5">
        <f>'1 datos preparados'!U58</f>
        <v/>
      </c>
      <c r="C65">
        <f>'1 datos preparados'!B58</f>
        <v/>
      </c>
      <c r="D65" s="7">
        <f>'1 datos preparados'!C58</f>
        <v/>
      </c>
      <c r="E65" s="7">
        <f>'1 datos preparados'!D58</f>
        <v/>
      </c>
      <c r="F65" s="7">
        <f>'1 datos preparados'!E58</f>
        <v/>
      </c>
      <c r="G65" s="7">
        <f>'1 datos preparados'!F58</f>
        <v/>
      </c>
      <c r="H65" s="7">
        <f>'1 datos preparados'!G58</f>
        <v/>
      </c>
      <c r="I65" s="7">
        <f>'1 datos preparados'!H58</f>
        <v/>
      </c>
      <c r="J65" s="7">
        <f>'1 datos preparados'!I58</f>
        <v/>
      </c>
      <c r="K65" s="7">
        <f>'1 datos preparados'!J58</f>
        <v/>
      </c>
      <c r="L65" s="7">
        <f>'1 datos preparados'!K58</f>
        <v/>
      </c>
      <c r="M65" s="7">
        <f>'1 datos preparados'!L58</f>
        <v/>
      </c>
      <c r="N65" s="7">
        <f>'1 datos preparados'!M58</f>
        <v/>
      </c>
      <c r="O65" s="7">
        <f>'1 datos preparados'!N58</f>
        <v/>
      </c>
      <c r="P65" s="7">
        <f>'1 datos preparados'!O58</f>
        <v/>
      </c>
      <c r="Q65" s="7">
        <f>'1 datos preparados'!P58</f>
        <v/>
      </c>
      <c r="R65" s="7">
        <f>'1 datos preparados'!Q58</f>
        <v/>
      </c>
      <c r="S65" s="7">
        <f>'1 datos preparados'!R58</f>
        <v/>
      </c>
      <c r="T65" s="7">
        <f>'1 datos preparados'!S58</f>
        <v/>
      </c>
      <c r="U65" s="7">
        <f>'1 datos preparados'!T58</f>
        <v/>
      </c>
      <c r="V65" s="8">
        <f>$AE$12+D65*$AE$13+E65*$AE$14+F65*$AE$15+G65*$AE$16+H65*$AE$17+I65*$AE$18+J65*$AE$19+K65*$AE$20+L65*$AE$21+M65*$AE$22+N65*$AE$23+O65*$AE$24+P65*$AE$25+Q65*$AE$26+R65*$AE$27+S65*$AE$28+T65*$AE$29+U65*$AE$30</f>
        <v/>
      </c>
      <c r="W65" s="8">
        <f>1/(1+EXP(-V65))</f>
        <v/>
      </c>
      <c r="X65" s="9">
        <f>-IF(C65=1,LN(W65),LN(1-W65))</f>
        <v/>
      </c>
      <c r="Y65" s="8">
        <f>IF(C65=1,$AE$32,$AE$33)</f>
        <v/>
      </c>
      <c r="Z65" s="9">
        <f>Y65*X65</f>
        <v/>
      </c>
      <c r="AA65" s="10">
        <f>IF(W65&gt;$AE$34,1,0)</f>
        <v/>
      </c>
      <c r="AB65">
        <f>IF(AA65=C65,1,0)</f>
        <v/>
      </c>
    </row>
    <row r="66">
      <c r="A66">
        <f>'1 datos preparados'!A59</f>
        <v/>
      </c>
      <c r="B66" s="5">
        <f>'1 datos preparados'!U59</f>
        <v/>
      </c>
      <c r="C66">
        <f>'1 datos preparados'!B59</f>
        <v/>
      </c>
      <c r="D66" s="7">
        <f>'1 datos preparados'!C59</f>
        <v/>
      </c>
      <c r="E66" s="7">
        <f>'1 datos preparados'!D59</f>
        <v/>
      </c>
      <c r="F66" s="7">
        <f>'1 datos preparados'!E59</f>
        <v/>
      </c>
      <c r="G66" s="7">
        <f>'1 datos preparados'!F59</f>
        <v/>
      </c>
      <c r="H66" s="7">
        <f>'1 datos preparados'!G59</f>
        <v/>
      </c>
      <c r="I66" s="7">
        <f>'1 datos preparados'!H59</f>
        <v/>
      </c>
      <c r="J66" s="7">
        <f>'1 datos preparados'!I59</f>
        <v/>
      </c>
      <c r="K66" s="7">
        <f>'1 datos preparados'!J59</f>
        <v/>
      </c>
      <c r="L66" s="7">
        <f>'1 datos preparados'!K59</f>
        <v/>
      </c>
      <c r="M66" s="7">
        <f>'1 datos preparados'!L59</f>
        <v/>
      </c>
      <c r="N66" s="7">
        <f>'1 datos preparados'!M59</f>
        <v/>
      </c>
      <c r="O66" s="7">
        <f>'1 datos preparados'!N59</f>
        <v/>
      </c>
      <c r="P66" s="7">
        <f>'1 datos preparados'!O59</f>
        <v/>
      </c>
      <c r="Q66" s="7">
        <f>'1 datos preparados'!P59</f>
        <v/>
      </c>
      <c r="R66" s="7">
        <f>'1 datos preparados'!Q59</f>
        <v/>
      </c>
      <c r="S66" s="7">
        <f>'1 datos preparados'!R59</f>
        <v/>
      </c>
      <c r="T66" s="7">
        <f>'1 datos preparados'!S59</f>
        <v/>
      </c>
      <c r="U66" s="7">
        <f>'1 datos preparados'!T59</f>
        <v/>
      </c>
      <c r="V66" s="8">
        <f>$AE$12+D66*$AE$13+E66*$AE$14+F66*$AE$15+G66*$AE$16+H66*$AE$17+I66*$AE$18+J66*$AE$19+K66*$AE$20+L66*$AE$21+M66*$AE$22+N66*$AE$23+O66*$AE$24+P66*$AE$25+Q66*$AE$26+R66*$AE$27+S66*$AE$28+T66*$AE$29+U66*$AE$30</f>
        <v/>
      </c>
      <c r="W66" s="8">
        <f>1/(1+EXP(-V66))</f>
        <v/>
      </c>
      <c r="X66" s="9">
        <f>-IF(C66=1,LN(W66),LN(1-W66))</f>
        <v/>
      </c>
      <c r="Y66" s="8">
        <f>IF(C66=1,$AE$32,$AE$33)</f>
        <v/>
      </c>
      <c r="Z66" s="9">
        <f>Y66*X66</f>
        <v/>
      </c>
      <c r="AA66" s="10">
        <f>IF(W66&gt;$AE$34,1,0)</f>
        <v/>
      </c>
      <c r="AB66">
        <f>IF(AA66=C66,1,0)</f>
        <v/>
      </c>
    </row>
    <row r="67">
      <c r="A67">
        <f>'1 datos preparados'!A60</f>
        <v/>
      </c>
      <c r="B67" s="5">
        <f>'1 datos preparados'!U60</f>
        <v/>
      </c>
      <c r="C67">
        <f>'1 datos preparados'!B60</f>
        <v/>
      </c>
      <c r="D67" s="7">
        <f>'1 datos preparados'!C60</f>
        <v/>
      </c>
      <c r="E67" s="7">
        <f>'1 datos preparados'!D60</f>
        <v/>
      </c>
      <c r="F67" s="7">
        <f>'1 datos preparados'!E60</f>
        <v/>
      </c>
      <c r="G67" s="7">
        <f>'1 datos preparados'!F60</f>
        <v/>
      </c>
      <c r="H67" s="7">
        <f>'1 datos preparados'!G60</f>
        <v/>
      </c>
      <c r="I67" s="7">
        <f>'1 datos preparados'!H60</f>
        <v/>
      </c>
      <c r="J67" s="7">
        <f>'1 datos preparados'!I60</f>
        <v/>
      </c>
      <c r="K67" s="7">
        <f>'1 datos preparados'!J60</f>
        <v/>
      </c>
      <c r="L67" s="7">
        <f>'1 datos preparados'!K60</f>
        <v/>
      </c>
      <c r="M67" s="7">
        <f>'1 datos preparados'!L60</f>
        <v/>
      </c>
      <c r="N67" s="7">
        <f>'1 datos preparados'!M60</f>
        <v/>
      </c>
      <c r="O67" s="7">
        <f>'1 datos preparados'!N60</f>
        <v/>
      </c>
      <c r="P67" s="7">
        <f>'1 datos preparados'!O60</f>
        <v/>
      </c>
      <c r="Q67" s="7">
        <f>'1 datos preparados'!P60</f>
        <v/>
      </c>
      <c r="R67" s="7">
        <f>'1 datos preparados'!Q60</f>
        <v/>
      </c>
      <c r="S67" s="7">
        <f>'1 datos preparados'!R60</f>
        <v/>
      </c>
      <c r="T67" s="7">
        <f>'1 datos preparados'!S60</f>
        <v/>
      </c>
      <c r="U67" s="7">
        <f>'1 datos preparados'!T60</f>
        <v/>
      </c>
      <c r="V67" s="8">
        <f>$AE$12+D67*$AE$13+E67*$AE$14+F67*$AE$15+G67*$AE$16+H67*$AE$17+I67*$AE$18+J67*$AE$19+K67*$AE$20+L67*$AE$21+M67*$AE$22+N67*$AE$23+O67*$AE$24+P67*$AE$25+Q67*$AE$26+R67*$AE$27+S67*$AE$28+T67*$AE$29+U67*$AE$30</f>
        <v/>
      </c>
      <c r="W67" s="8">
        <f>1/(1+EXP(-V67))</f>
        <v/>
      </c>
      <c r="X67" s="9">
        <f>-IF(C67=1,LN(W67),LN(1-W67))</f>
        <v/>
      </c>
      <c r="Y67" s="8">
        <f>IF(C67=1,$AE$32,$AE$33)</f>
        <v/>
      </c>
      <c r="Z67" s="9">
        <f>Y67*X67</f>
        <v/>
      </c>
      <c r="AA67" s="10">
        <f>IF(W67&gt;$AE$34,1,0)</f>
        <v/>
      </c>
      <c r="AB67">
        <f>IF(AA67=C67,1,0)</f>
        <v/>
      </c>
    </row>
    <row r="68">
      <c r="A68">
        <f>'1 datos preparados'!A61</f>
        <v/>
      </c>
      <c r="B68" s="5">
        <f>'1 datos preparados'!U61</f>
        <v/>
      </c>
      <c r="C68">
        <f>'1 datos preparados'!B61</f>
        <v/>
      </c>
      <c r="D68" s="7">
        <f>'1 datos preparados'!C61</f>
        <v/>
      </c>
      <c r="E68" s="7">
        <f>'1 datos preparados'!D61</f>
        <v/>
      </c>
      <c r="F68" s="7">
        <f>'1 datos preparados'!E61</f>
        <v/>
      </c>
      <c r="G68" s="7">
        <f>'1 datos preparados'!F61</f>
        <v/>
      </c>
      <c r="H68" s="7">
        <f>'1 datos preparados'!G61</f>
        <v/>
      </c>
      <c r="I68" s="7">
        <f>'1 datos preparados'!H61</f>
        <v/>
      </c>
      <c r="J68" s="7">
        <f>'1 datos preparados'!I61</f>
        <v/>
      </c>
      <c r="K68" s="7">
        <f>'1 datos preparados'!J61</f>
        <v/>
      </c>
      <c r="L68" s="7">
        <f>'1 datos preparados'!K61</f>
        <v/>
      </c>
      <c r="M68" s="7">
        <f>'1 datos preparados'!L61</f>
        <v/>
      </c>
      <c r="N68" s="7">
        <f>'1 datos preparados'!M61</f>
        <v/>
      </c>
      <c r="O68" s="7">
        <f>'1 datos preparados'!N61</f>
        <v/>
      </c>
      <c r="P68" s="7">
        <f>'1 datos preparados'!O61</f>
        <v/>
      </c>
      <c r="Q68" s="7">
        <f>'1 datos preparados'!P61</f>
        <v/>
      </c>
      <c r="R68" s="7">
        <f>'1 datos preparados'!Q61</f>
        <v/>
      </c>
      <c r="S68" s="7">
        <f>'1 datos preparados'!R61</f>
        <v/>
      </c>
      <c r="T68" s="7">
        <f>'1 datos preparados'!S61</f>
        <v/>
      </c>
      <c r="U68" s="7">
        <f>'1 datos preparados'!T61</f>
        <v/>
      </c>
      <c r="V68" s="8">
        <f>$AE$12+D68*$AE$13+E68*$AE$14+F68*$AE$15+G68*$AE$16+H68*$AE$17+I68*$AE$18+J68*$AE$19+K68*$AE$20+L68*$AE$21+M68*$AE$22+N68*$AE$23+O68*$AE$24+P68*$AE$25+Q68*$AE$26+R68*$AE$27+S68*$AE$28+T68*$AE$29+U68*$AE$30</f>
        <v/>
      </c>
      <c r="W68" s="8">
        <f>1/(1+EXP(-V68))</f>
        <v/>
      </c>
      <c r="X68" s="9">
        <f>-IF(C68=1,LN(W68),LN(1-W68))</f>
        <v/>
      </c>
      <c r="Y68" s="8">
        <f>IF(C68=1,$AE$32,$AE$33)</f>
        <v/>
      </c>
      <c r="Z68" s="9">
        <f>Y68*X68</f>
        <v/>
      </c>
      <c r="AA68" s="10">
        <f>IF(W68&gt;$AE$34,1,0)</f>
        <v/>
      </c>
      <c r="AB68">
        <f>IF(AA68=C68,1,0)</f>
        <v/>
      </c>
    </row>
    <row r="69">
      <c r="A69">
        <f>'1 datos preparados'!A62</f>
        <v/>
      </c>
      <c r="B69" s="5">
        <f>'1 datos preparados'!U62</f>
        <v/>
      </c>
      <c r="C69">
        <f>'1 datos preparados'!B62</f>
        <v/>
      </c>
      <c r="D69" s="7">
        <f>'1 datos preparados'!C62</f>
        <v/>
      </c>
      <c r="E69" s="7">
        <f>'1 datos preparados'!D62</f>
        <v/>
      </c>
      <c r="F69" s="7">
        <f>'1 datos preparados'!E62</f>
        <v/>
      </c>
      <c r="G69" s="7">
        <f>'1 datos preparados'!F62</f>
        <v/>
      </c>
      <c r="H69" s="7">
        <f>'1 datos preparados'!G62</f>
        <v/>
      </c>
      <c r="I69" s="7">
        <f>'1 datos preparados'!H62</f>
        <v/>
      </c>
      <c r="J69" s="7">
        <f>'1 datos preparados'!I62</f>
        <v/>
      </c>
      <c r="K69" s="7">
        <f>'1 datos preparados'!J62</f>
        <v/>
      </c>
      <c r="L69" s="7">
        <f>'1 datos preparados'!K62</f>
        <v/>
      </c>
      <c r="M69" s="7">
        <f>'1 datos preparados'!L62</f>
        <v/>
      </c>
      <c r="N69" s="7">
        <f>'1 datos preparados'!M62</f>
        <v/>
      </c>
      <c r="O69" s="7">
        <f>'1 datos preparados'!N62</f>
        <v/>
      </c>
      <c r="P69" s="7">
        <f>'1 datos preparados'!O62</f>
        <v/>
      </c>
      <c r="Q69" s="7">
        <f>'1 datos preparados'!P62</f>
        <v/>
      </c>
      <c r="R69" s="7">
        <f>'1 datos preparados'!Q62</f>
        <v/>
      </c>
      <c r="S69" s="7">
        <f>'1 datos preparados'!R62</f>
        <v/>
      </c>
      <c r="T69" s="7">
        <f>'1 datos preparados'!S62</f>
        <v/>
      </c>
      <c r="U69" s="7">
        <f>'1 datos preparados'!T62</f>
        <v/>
      </c>
      <c r="V69" s="8">
        <f>$AE$12+D69*$AE$13+E69*$AE$14+F69*$AE$15+G69*$AE$16+H69*$AE$17+I69*$AE$18+J69*$AE$19+K69*$AE$20+L69*$AE$21+M69*$AE$22+N69*$AE$23+O69*$AE$24+P69*$AE$25+Q69*$AE$26+R69*$AE$27+S69*$AE$28+T69*$AE$29+U69*$AE$30</f>
        <v/>
      </c>
      <c r="W69" s="8">
        <f>1/(1+EXP(-V69))</f>
        <v/>
      </c>
      <c r="X69" s="9">
        <f>-IF(C69=1,LN(W69),LN(1-W69))</f>
        <v/>
      </c>
      <c r="Y69" s="8">
        <f>IF(C69=1,$AE$32,$AE$33)</f>
        <v/>
      </c>
      <c r="Z69" s="9">
        <f>Y69*X69</f>
        <v/>
      </c>
      <c r="AA69" s="10">
        <f>IF(W69&gt;$AE$34,1,0)</f>
        <v/>
      </c>
      <c r="AB69">
        <f>IF(AA69=C69,1,0)</f>
        <v/>
      </c>
    </row>
    <row r="70">
      <c r="A70">
        <f>'1 datos preparados'!A63</f>
        <v/>
      </c>
      <c r="B70" s="5">
        <f>'1 datos preparados'!U63</f>
        <v/>
      </c>
      <c r="C70">
        <f>'1 datos preparados'!B63</f>
        <v/>
      </c>
      <c r="D70" s="7">
        <f>'1 datos preparados'!C63</f>
        <v/>
      </c>
      <c r="E70" s="7">
        <f>'1 datos preparados'!D63</f>
        <v/>
      </c>
      <c r="F70" s="7">
        <f>'1 datos preparados'!E63</f>
        <v/>
      </c>
      <c r="G70" s="7">
        <f>'1 datos preparados'!F63</f>
        <v/>
      </c>
      <c r="H70" s="7">
        <f>'1 datos preparados'!G63</f>
        <v/>
      </c>
      <c r="I70" s="7">
        <f>'1 datos preparados'!H63</f>
        <v/>
      </c>
      <c r="J70" s="7">
        <f>'1 datos preparados'!I63</f>
        <v/>
      </c>
      <c r="K70" s="7">
        <f>'1 datos preparados'!J63</f>
        <v/>
      </c>
      <c r="L70" s="7">
        <f>'1 datos preparados'!K63</f>
        <v/>
      </c>
      <c r="M70" s="7">
        <f>'1 datos preparados'!L63</f>
        <v/>
      </c>
      <c r="N70" s="7">
        <f>'1 datos preparados'!M63</f>
        <v/>
      </c>
      <c r="O70" s="7">
        <f>'1 datos preparados'!N63</f>
        <v/>
      </c>
      <c r="P70" s="7">
        <f>'1 datos preparados'!O63</f>
        <v/>
      </c>
      <c r="Q70" s="7">
        <f>'1 datos preparados'!P63</f>
        <v/>
      </c>
      <c r="R70" s="7">
        <f>'1 datos preparados'!Q63</f>
        <v/>
      </c>
      <c r="S70" s="7">
        <f>'1 datos preparados'!R63</f>
        <v/>
      </c>
      <c r="T70" s="7">
        <f>'1 datos preparados'!S63</f>
        <v/>
      </c>
      <c r="U70" s="7">
        <f>'1 datos preparados'!T63</f>
        <v/>
      </c>
      <c r="V70" s="8">
        <f>$AE$12+D70*$AE$13+E70*$AE$14+F70*$AE$15+G70*$AE$16+H70*$AE$17+I70*$AE$18+J70*$AE$19+K70*$AE$20+L70*$AE$21+M70*$AE$22+N70*$AE$23+O70*$AE$24+P70*$AE$25+Q70*$AE$26+R70*$AE$27+S70*$AE$28+T70*$AE$29+U70*$AE$30</f>
        <v/>
      </c>
      <c r="W70" s="8">
        <f>1/(1+EXP(-V70))</f>
        <v/>
      </c>
      <c r="X70" s="9">
        <f>-IF(C70=1,LN(W70),LN(1-W70))</f>
        <v/>
      </c>
      <c r="Y70" s="8">
        <f>IF(C70=1,$AE$32,$AE$33)</f>
        <v/>
      </c>
      <c r="Z70" s="9">
        <f>Y70*X70</f>
        <v/>
      </c>
      <c r="AA70" s="10">
        <f>IF(W70&gt;$AE$34,1,0)</f>
        <v/>
      </c>
      <c r="AB70">
        <f>IF(AA70=C70,1,0)</f>
        <v/>
      </c>
    </row>
    <row r="71">
      <c r="A71">
        <f>'1 datos preparados'!A64</f>
        <v/>
      </c>
      <c r="B71" s="5">
        <f>'1 datos preparados'!U64</f>
        <v/>
      </c>
      <c r="C71">
        <f>'1 datos preparados'!B64</f>
        <v/>
      </c>
      <c r="D71" s="7">
        <f>'1 datos preparados'!C64</f>
        <v/>
      </c>
      <c r="E71" s="7">
        <f>'1 datos preparados'!D64</f>
        <v/>
      </c>
      <c r="F71" s="7">
        <f>'1 datos preparados'!E64</f>
        <v/>
      </c>
      <c r="G71" s="7">
        <f>'1 datos preparados'!F64</f>
        <v/>
      </c>
      <c r="H71" s="7">
        <f>'1 datos preparados'!G64</f>
        <v/>
      </c>
      <c r="I71" s="7">
        <f>'1 datos preparados'!H64</f>
        <v/>
      </c>
      <c r="J71" s="7">
        <f>'1 datos preparados'!I64</f>
        <v/>
      </c>
      <c r="K71" s="7">
        <f>'1 datos preparados'!J64</f>
        <v/>
      </c>
      <c r="L71" s="7">
        <f>'1 datos preparados'!K64</f>
        <v/>
      </c>
      <c r="M71" s="7">
        <f>'1 datos preparados'!L64</f>
        <v/>
      </c>
      <c r="N71" s="7">
        <f>'1 datos preparados'!M64</f>
        <v/>
      </c>
      <c r="O71" s="7">
        <f>'1 datos preparados'!N64</f>
        <v/>
      </c>
      <c r="P71" s="7">
        <f>'1 datos preparados'!O64</f>
        <v/>
      </c>
      <c r="Q71" s="7">
        <f>'1 datos preparados'!P64</f>
        <v/>
      </c>
      <c r="R71" s="7">
        <f>'1 datos preparados'!Q64</f>
        <v/>
      </c>
      <c r="S71" s="7">
        <f>'1 datos preparados'!R64</f>
        <v/>
      </c>
      <c r="T71" s="7">
        <f>'1 datos preparados'!S64</f>
        <v/>
      </c>
      <c r="U71" s="7">
        <f>'1 datos preparados'!T64</f>
        <v/>
      </c>
      <c r="V71" s="8">
        <f>$AE$12+D71*$AE$13+E71*$AE$14+F71*$AE$15+G71*$AE$16+H71*$AE$17+I71*$AE$18+J71*$AE$19+K71*$AE$20+L71*$AE$21+M71*$AE$22+N71*$AE$23+O71*$AE$24+P71*$AE$25+Q71*$AE$26+R71*$AE$27+S71*$AE$28+T71*$AE$29+U71*$AE$30</f>
        <v/>
      </c>
      <c r="W71" s="8">
        <f>1/(1+EXP(-V71))</f>
        <v/>
      </c>
      <c r="X71" s="9">
        <f>-IF(C71=1,LN(W71),LN(1-W71))</f>
        <v/>
      </c>
      <c r="Y71" s="8">
        <f>IF(C71=1,$AE$32,$AE$33)</f>
        <v/>
      </c>
      <c r="Z71" s="9">
        <f>Y71*X71</f>
        <v/>
      </c>
      <c r="AA71" s="10">
        <f>IF(W71&gt;$AE$34,1,0)</f>
        <v/>
      </c>
      <c r="AB71">
        <f>IF(AA71=C71,1,0)</f>
        <v/>
      </c>
    </row>
    <row r="72">
      <c r="A72">
        <f>'1 datos preparados'!A65</f>
        <v/>
      </c>
      <c r="B72" s="5">
        <f>'1 datos preparados'!U65</f>
        <v/>
      </c>
      <c r="C72">
        <f>'1 datos preparados'!B65</f>
        <v/>
      </c>
      <c r="D72" s="7">
        <f>'1 datos preparados'!C65</f>
        <v/>
      </c>
      <c r="E72" s="7">
        <f>'1 datos preparados'!D65</f>
        <v/>
      </c>
      <c r="F72" s="7">
        <f>'1 datos preparados'!E65</f>
        <v/>
      </c>
      <c r="G72" s="7">
        <f>'1 datos preparados'!F65</f>
        <v/>
      </c>
      <c r="H72" s="7">
        <f>'1 datos preparados'!G65</f>
        <v/>
      </c>
      <c r="I72" s="7">
        <f>'1 datos preparados'!H65</f>
        <v/>
      </c>
      <c r="J72" s="7">
        <f>'1 datos preparados'!I65</f>
        <v/>
      </c>
      <c r="K72" s="7">
        <f>'1 datos preparados'!J65</f>
        <v/>
      </c>
      <c r="L72" s="7">
        <f>'1 datos preparados'!K65</f>
        <v/>
      </c>
      <c r="M72" s="7">
        <f>'1 datos preparados'!L65</f>
        <v/>
      </c>
      <c r="N72" s="7">
        <f>'1 datos preparados'!M65</f>
        <v/>
      </c>
      <c r="O72" s="7">
        <f>'1 datos preparados'!N65</f>
        <v/>
      </c>
      <c r="P72" s="7">
        <f>'1 datos preparados'!O65</f>
        <v/>
      </c>
      <c r="Q72" s="7">
        <f>'1 datos preparados'!P65</f>
        <v/>
      </c>
      <c r="R72" s="7">
        <f>'1 datos preparados'!Q65</f>
        <v/>
      </c>
      <c r="S72" s="7">
        <f>'1 datos preparados'!R65</f>
        <v/>
      </c>
      <c r="T72" s="7">
        <f>'1 datos preparados'!S65</f>
        <v/>
      </c>
      <c r="U72" s="7">
        <f>'1 datos preparados'!T65</f>
        <v/>
      </c>
      <c r="V72" s="8">
        <f>$AE$12+D72*$AE$13+E72*$AE$14+F72*$AE$15+G72*$AE$16+H72*$AE$17+I72*$AE$18+J72*$AE$19+K72*$AE$20+L72*$AE$21+M72*$AE$22+N72*$AE$23+O72*$AE$24+P72*$AE$25+Q72*$AE$26+R72*$AE$27+S72*$AE$28+T72*$AE$29+U72*$AE$30</f>
        <v/>
      </c>
      <c r="W72" s="8">
        <f>1/(1+EXP(-V72))</f>
        <v/>
      </c>
      <c r="X72" s="9">
        <f>-IF(C72=1,LN(W72),LN(1-W72))</f>
        <v/>
      </c>
      <c r="Y72" s="8">
        <f>IF(C72=1,$AE$32,$AE$33)</f>
        <v/>
      </c>
      <c r="Z72" s="9">
        <f>Y72*X72</f>
        <v/>
      </c>
      <c r="AA72" s="10">
        <f>IF(W72&gt;$AE$34,1,0)</f>
        <v/>
      </c>
      <c r="AB72">
        <f>IF(AA72=C72,1,0)</f>
        <v/>
      </c>
    </row>
    <row r="73">
      <c r="A73">
        <f>'1 datos preparados'!A66</f>
        <v/>
      </c>
      <c r="B73" s="5">
        <f>'1 datos preparados'!U66</f>
        <v/>
      </c>
      <c r="C73">
        <f>'1 datos preparados'!B66</f>
        <v/>
      </c>
      <c r="D73" s="7">
        <f>'1 datos preparados'!C66</f>
        <v/>
      </c>
      <c r="E73" s="7">
        <f>'1 datos preparados'!D66</f>
        <v/>
      </c>
      <c r="F73" s="7">
        <f>'1 datos preparados'!E66</f>
        <v/>
      </c>
      <c r="G73" s="7">
        <f>'1 datos preparados'!F66</f>
        <v/>
      </c>
      <c r="H73" s="7">
        <f>'1 datos preparados'!G66</f>
        <v/>
      </c>
      <c r="I73" s="7">
        <f>'1 datos preparados'!H66</f>
        <v/>
      </c>
      <c r="J73" s="7">
        <f>'1 datos preparados'!I66</f>
        <v/>
      </c>
      <c r="K73" s="7">
        <f>'1 datos preparados'!J66</f>
        <v/>
      </c>
      <c r="L73" s="7">
        <f>'1 datos preparados'!K66</f>
        <v/>
      </c>
      <c r="M73" s="7">
        <f>'1 datos preparados'!L66</f>
        <v/>
      </c>
      <c r="N73" s="7">
        <f>'1 datos preparados'!M66</f>
        <v/>
      </c>
      <c r="O73" s="7">
        <f>'1 datos preparados'!N66</f>
        <v/>
      </c>
      <c r="P73" s="7">
        <f>'1 datos preparados'!O66</f>
        <v/>
      </c>
      <c r="Q73" s="7">
        <f>'1 datos preparados'!P66</f>
        <v/>
      </c>
      <c r="R73" s="7">
        <f>'1 datos preparados'!Q66</f>
        <v/>
      </c>
      <c r="S73" s="7">
        <f>'1 datos preparados'!R66</f>
        <v/>
      </c>
      <c r="T73" s="7">
        <f>'1 datos preparados'!S66</f>
        <v/>
      </c>
      <c r="U73" s="7">
        <f>'1 datos preparados'!T66</f>
        <v/>
      </c>
      <c r="V73" s="8">
        <f>$AE$12+D73*$AE$13+E73*$AE$14+F73*$AE$15+G73*$AE$16+H73*$AE$17+I73*$AE$18+J73*$AE$19+K73*$AE$20+L73*$AE$21+M73*$AE$22+N73*$AE$23+O73*$AE$24+P73*$AE$25+Q73*$AE$26+R73*$AE$27+S73*$AE$28+T73*$AE$29+U73*$AE$30</f>
        <v/>
      </c>
      <c r="W73" s="8">
        <f>1/(1+EXP(-V73))</f>
        <v/>
      </c>
      <c r="X73" s="9">
        <f>-IF(C73=1,LN(W73),LN(1-W73))</f>
        <v/>
      </c>
      <c r="Y73" s="8">
        <f>IF(C73=1,$AE$32,$AE$33)</f>
        <v/>
      </c>
      <c r="Z73" s="9">
        <f>Y73*X73</f>
        <v/>
      </c>
      <c r="AA73" s="10">
        <f>IF(W73&gt;$AE$34,1,0)</f>
        <v/>
      </c>
      <c r="AB73">
        <f>IF(AA73=C73,1,0)</f>
        <v/>
      </c>
    </row>
    <row r="74">
      <c r="A74">
        <f>'1 datos preparados'!A67</f>
        <v/>
      </c>
      <c r="B74" s="5">
        <f>'1 datos preparados'!U67</f>
        <v/>
      </c>
      <c r="C74">
        <f>'1 datos preparados'!B67</f>
        <v/>
      </c>
      <c r="D74" s="7">
        <f>'1 datos preparados'!C67</f>
        <v/>
      </c>
      <c r="E74" s="7">
        <f>'1 datos preparados'!D67</f>
        <v/>
      </c>
      <c r="F74" s="7">
        <f>'1 datos preparados'!E67</f>
        <v/>
      </c>
      <c r="G74" s="7">
        <f>'1 datos preparados'!F67</f>
        <v/>
      </c>
      <c r="H74" s="7">
        <f>'1 datos preparados'!G67</f>
        <v/>
      </c>
      <c r="I74" s="7">
        <f>'1 datos preparados'!H67</f>
        <v/>
      </c>
      <c r="J74" s="7">
        <f>'1 datos preparados'!I67</f>
        <v/>
      </c>
      <c r="K74" s="7">
        <f>'1 datos preparados'!J67</f>
        <v/>
      </c>
      <c r="L74" s="7">
        <f>'1 datos preparados'!K67</f>
        <v/>
      </c>
      <c r="M74" s="7">
        <f>'1 datos preparados'!L67</f>
        <v/>
      </c>
      <c r="N74" s="7">
        <f>'1 datos preparados'!M67</f>
        <v/>
      </c>
      <c r="O74" s="7">
        <f>'1 datos preparados'!N67</f>
        <v/>
      </c>
      <c r="P74" s="7">
        <f>'1 datos preparados'!O67</f>
        <v/>
      </c>
      <c r="Q74" s="7">
        <f>'1 datos preparados'!P67</f>
        <v/>
      </c>
      <c r="R74" s="7">
        <f>'1 datos preparados'!Q67</f>
        <v/>
      </c>
      <c r="S74" s="7">
        <f>'1 datos preparados'!R67</f>
        <v/>
      </c>
      <c r="T74" s="7">
        <f>'1 datos preparados'!S67</f>
        <v/>
      </c>
      <c r="U74" s="7">
        <f>'1 datos preparados'!T67</f>
        <v/>
      </c>
      <c r="V74" s="8">
        <f>$AE$12+D74*$AE$13+E74*$AE$14+F74*$AE$15+G74*$AE$16+H74*$AE$17+I74*$AE$18+J74*$AE$19+K74*$AE$20+L74*$AE$21+M74*$AE$22+N74*$AE$23+O74*$AE$24+P74*$AE$25+Q74*$AE$26+R74*$AE$27+S74*$AE$28+T74*$AE$29+U74*$AE$30</f>
        <v/>
      </c>
      <c r="W74" s="8">
        <f>1/(1+EXP(-V74))</f>
        <v/>
      </c>
      <c r="X74" s="9">
        <f>-IF(C74=1,LN(W74),LN(1-W74))</f>
        <v/>
      </c>
      <c r="Y74" s="8">
        <f>IF(C74=1,$AE$32,$AE$33)</f>
        <v/>
      </c>
      <c r="Z74" s="9">
        <f>Y74*X74</f>
        <v/>
      </c>
      <c r="AA74" s="10">
        <f>IF(W74&gt;$AE$34,1,0)</f>
        <v/>
      </c>
      <c r="AB74">
        <f>IF(AA74=C74,1,0)</f>
        <v/>
      </c>
    </row>
    <row r="75">
      <c r="A75">
        <f>'1 datos preparados'!A68</f>
        <v/>
      </c>
      <c r="B75" s="5">
        <f>'1 datos preparados'!U68</f>
        <v/>
      </c>
      <c r="C75">
        <f>'1 datos preparados'!B68</f>
        <v/>
      </c>
      <c r="D75" s="7">
        <f>'1 datos preparados'!C68</f>
        <v/>
      </c>
      <c r="E75" s="7">
        <f>'1 datos preparados'!D68</f>
        <v/>
      </c>
      <c r="F75" s="7">
        <f>'1 datos preparados'!E68</f>
        <v/>
      </c>
      <c r="G75" s="7">
        <f>'1 datos preparados'!F68</f>
        <v/>
      </c>
      <c r="H75" s="7">
        <f>'1 datos preparados'!G68</f>
        <v/>
      </c>
      <c r="I75" s="7">
        <f>'1 datos preparados'!H68</f>
        <v/>
      </c>
      <c r="J75" s="7">
        <f>'1 datos preparados'!I68</f>
        <v/>
      </c>
      <c r="K75" s="7">
        <f>'1 datos preparados'!J68</f>
        <v/>
      </c>
      <c r="L75" s="7">
        <f>'1 datos preparados'!K68</f>
        <v/>
      </c>
      <c r="M75" s="7">
        <f>'1 datos preparados'!L68</f>
        <v/>
      </c>
      <c r="N75" s="7">
        <f>'1 datos preparados'!M68</f>
        <v/>
      </c>
      <c r="O75" s="7">
        <f>'1 datos preparados'!N68</f>
        <v/>
      </c>
      <c r="P75" s="7">
        <f>'1 datos preparados'!O68</f>
        <v/>
      </c>
      <c r="Q75" s="7">
        <f>'1 datos preparados'!P68</f>
        <v/>
      </c>
      <c r="R75" s="7">
        <f>'1 datos preparados'!Q68</f>
        <v/>
      </c>
      <c r="S75" s="7">
        <f>'1 datos preparados'!R68</f>
        <v/>
      </c>
      <c r="T75" s="7">
        <f>'1 datos preparados'!S68</f>
        <v/>
      </c>
      <c r="U75" s="7">
        <f>'1 datos preparados'!T68</f>
        <v/>
      </c>
      <c r="V75" s="8">
        <f>$AE$12+D75*$AE$13+E75*$AE$14+F75*$AE$15+G75*$AE$16+H75*$AE$17+I75*$AE$18+J75*$AE$19+K75*$AE$20+L75*$AE$21+M75*$AE$22+N75*$AE$23+O75*$AE$24+P75*$AE$25+Q75*$AE$26+R75*$AE$27+S75*$AE$28+T75*$AE$29+U75*$AE$30</f>
        <v/>
      </c>
      <c r="W75" s="8">
        <f>1/(1+EXP(-V75))</f>
        <v/>
      </c>
      <c r="X75" s="9">
        <f>-IF(C75=1,LN(W75),LN(1-W75))</f>
        <v/>
      </c>
      <c r="Y75" s="8">
        <f>IF(C75=1,$AE$32,$AE$33)</f>
        <v/>
      </c>
      <c r="Z75" s="9">
        <f>Y75*X75</f>
        <v/>
      </c>
      <c r="AA75" s="10">
        <f>IF(W75&gt;$AE$34,1,0)</f>
        <v/>
      </c>
      <c r="AB75">
        <f>IF(AA75=C75,1,0)</f>
        <v/>
      </c>
    </row>
    <row r="76">
      <c r="A76">
        <f>'1 datos preparados'!A69</f>
        <v/>
      </c>
      <c r="B76" s="5">
        <f>'1 datos preparados'!U69</f>
        <v/>
      </c>
      <c r="C76">
        <f>'1 datos preparados'!B69</f>
        <v/>
      </c>
      <c r="D76" s="7">
        <f>'1 datos preparados'!C69</f>
        <v/>
      </c>
      <c r="E76" s="7">
        <f>'1 datos preparados'!D69</f>
        <v/>
      </c>
      <c r="F76" s="7">
        <f>'1 datos preparados'!E69</f>
        <v/>
      </c>
      <c r="G76" s="7">
        <f>'1 datos preparados'!F69</f>
        <v/>
      </c>
      <c r="H76" s="7">
        <f>'1 datos preparados'!G69</f>
        <v/>
      </c>
      <c r="I76" s="7">
        <f>'1 datos preparados'!H69</f>
        <v/>
      </c>
      <c r="J76" s="7">
        <f>'1 datos preparados'!I69</f>
        <v/>
      </c>
      <c r="K76" s="7">
        <f>'1 datos preparados'!J69</f>
        <v/>
      </c>
      <c r="L76" s="7">
        <f>'1 datos preparados'!K69</f>
        <v/>
      </c>
      <c r="M76" s="7">
        <f>'1 datos preparados'!L69</f>
        <v/>
      </c>
      <c r="N76" s="7">
        <f>'1 datos preparados'!M69</f>
        <v/>
      </c>
      <c r="O76" s="7">
        <f>'1 datos preparados'!N69</f>
        <v/>
      </c>
      <c r="P76" s="7">
        <f>'1 datos preparados'!O69</f>
        <v/>
      </c>
      <c r="Q76" s="7">
        <f>'1 datos preparados'!P69</f>
        <v/>
      </c>
      <c r="R76" s="7">
        <f>'1 datos preparados'!Q69</f>
        <v/>
      </c>
      <c r="S76" s="7">
        <f>'1 datos preparados'!R69</f>
        <v/>
      </c>
      <c r="T76" s="7">
        <f>'1 datos preparados'!S69</f>
        <v/>
      </c>
      <c r="U76" s="7">
        <f>'1 datos preparados'!T69</f>
        <v/>
      </c>
      <c r="V76" s="8">
        <f>$AE$12+D76*$AE$13+E76*$AE$14+F76*$AE$15+G76*$AE$16+H76*$AE$17+I76*$AE$18+J76*$AE$19+K76*$AE$20+L76*$AE$21+M76*$AE$22+N76*$AE$23+O76*$AE$24+P76*$AE$25+Q76*$AE$26+R76*$AE$27+S76*$AE$28+T76*$AE$29+U76*$AE$30</f>
        <v/>
      </c>
      <c r="W76" s="8">
        <f>1/(1+EXP(-V76))</f>
        <v/>
      </c>
      <c r="X76" s="9">
        <f>-IF(C76=1,LN(W76),LN(1-W76))</f>
        <v/>
      </c>
      <c r="Y76" s="8">
        <f>IF(C76=1,$AE$32,$AE$33)</f>
        <v/>
      </c>
      <c r="Z76" s="9">
        <f>Y76*X76</f>
        <v/>
      </c>
      <c r="AA76" s="10">
        <f>IF(W76&gt;$AE$34,1,0)</f>
        <v/>
      </c>
      <c r="AB76">
        <f>IF(AA76=C76,1,0)</f>
        <v/>
      </c>
    </row>
    <row r="77">
      <c r="A77">
        <f>'1 datos preparados'!A70</f>
        <v/>
      </c>
      <c r="B77" s="5">
        <f>'1 datos preparados'!U70</f>
        <v/>
      </c>
      <c r="C77">
        <f>'1 datos preparados'!B70</f>
        <v/>
      </c>
      <c r="D77" s="7">
        <f>'1 datos preparados'!C70</f>
        <v/>
      </c>
      <c r="E77" s="7">
        <f>'1 datos preparados'!D70</f>
        <v/>
      </c>
      <c r="F77" s="7">
        <f>'1 datos preparados'!E70</f>
        <v/>
      </c>
      <c r="G77" s="7">
        <f>'1 datos preparados'!F70</f>
        <v/>
      </c>
      <c r="H77" s="7">
        <f>'1 datos preparados'!G70</f>
        <v/>
      </c>
      <c r="I77" s="7">
        <f>'1 datos preparados'!H70</f>
        <v/>
      </c>
      <c r="J77" s="7">
        <f>'1 datos preparados'!I70</f>
        <v/>
      </c>
      <c r="K77" s="7">
        <f>'1 datos preparados'!J70</f>
        <v/>
      </c>
      <c r="L77" s="7">
        <f>'1 datos preparados'!K70</f>
        <v/>
      </c>
      <c r="M77" s="7">
        <f>'1 datos preparados'!L70</f>
        <v/>
      </c>
      <c r="N77" s="7">
        <f>'1 datos preparados'!M70</f>
        <v/>
      </c>
      <c r="O77" s="7">
        <f>'1 datos preparados'!N70</f>
        <v/>
      </c>
      <c r="P77" s="7">
        <f>'1 datos preparados'!O70</f>
        <v/>
      </c>
      <c r="Q77" s="7">
        <f>'1 datos preparados'!P70</f>
        <v/>
      </c>
      <c r="R77" s="7">
        <f>'1 datos preparados'!Q70</f>
        <v/>
      </c>
      <c r="S77" s="7">
        <f>'1 datos preparados'!R70</f>
        <v/>
      </c>
      <c r="T77" s="7">
        <f>'1 datos preparados'!S70</f>
        <v/>
      </c>
      <c r="U77" s="7">
        <f>'1 datos preparados'!T70</f>
        <v/>
      </c>
      <c r="V77" s="8">
        <f>$AE$12+D77*$AE$13+E77*$AE$14+F77*$AE$15+G77*$AE$16+H77*$AE$17+I77*$AE$18+J77*$AE$19+K77*$AE$20+L77*$AE$21+M77*$AE$22+N77*$AE$23+O77*$AE$24+P77*$AE$25+Q77*$AE$26+R77*$AE$27+S77*$AE$28+T77*$AE$29+U77*$AE$30</f>
        <v/>
      </c>
      <c r="W77" s="8">
        <f>1/(1+EXP(-V77))</f>
        <v/>
      </c>
      <c r="X77" s="9">
        <f>-IF(C77=1,LN(W77),LN(1-W77))</f>
        <v/>
      </c>
      <c r="Y77" s="8">
        <f>IF(C77=1,$AE$32,$AE$33)</f>
        <v/>
      </c>
      <c r="Z77" s="9">
        <f>Y77*X77</f>
        <v/>
      </c>
      <c r="AA77" s="10">
        <f>IF(W77&gt;$AE$34,1,0)</f>
        <v/>
      </c>
      <c r="AB77">
        <f>IF(AA77=C77,1,0)</f>
        <v/>
      </c>
    </row>
    <row r="78">
      <c r="A78">
        <f>'1 datos preparados'!A71</f>
        <v/>
      </c>
      <c r="B78" s="5">
        <f>'1 datos preparados'!U71</f>
        <v/>
      </c>
      <c r="C78">
        <f>'1 datos preparados'!B71</f>
        <v/>
      </c>
      <c r="D78" s="7">
        <f>'1 datos preparados'!C71</f>
        <v/>
      </c>
      <c r="E78" s="7">
        <f>'1 datos preparados'!D71</f>
        <v/>
      </c>
      <c r="F78" s="7">
        <f>'1 datos preparados'!E71</f>
        <v/>
      </c>
      <c r="G78" s="7">
        <f>'1 datos preparados'!F71</f>
        <v/>
      </c>
      <c r="H78" s="7">
        <f>'1 datos preparados'!G71</f>
        <v/>
      </c>
      <c r="I78" s="7">
        <f>'1 datos preparados'!H71</f>
        <v/>
      </c>
      <c r="J78" s="7">
        <f>'1 datos preparados'!I71</f>
        <v/>
      </c>
      <c r="K78" s="7">
        <f>'1 datos preparados'!J71</f>
        <v/>
      </c>
      <c r="L78" s="7">
        <f>'1 datos preparados'!K71</f>
        <v/>
      </c>
      <c r="M78" s="7">
        <f>'1 datos preparados'!L71</f>
        <v/>
      </c>
      <c r="N78" s="7">
        <f>'1 datos preparados'!M71</f>
        <v/>
      </c>
      <c r="O78" s="7">
        <f>'1 datos preparados'!N71</f>
        <v/>
      </c>
      <c r="P78" s="7">
        <f>'1 datos preparados'!O71</f>
        <v/>
      </c>
      <c r="Q78" s="7">
        <f>'1 datos preparados'!P71</f>
        <v/>
      </c>
      <c r="R78" s="7">
        <f>'1 datos preparados'!Q71</f>
        <v/>
      </c>
      <c r="S78" s="7">
        <f>'1 datos preparados'!R71</f>
        <v/>
      </c>
      <c r="T78" s="7">
        <f>'1 datos preparados'!S71</f>
        <v/>
      </c>
      <c r="U78" s="7">
        <f>'1 datos preparados'!T71</f>
        <v/>
      </c>
      <c r="V78" s="8">
        <f>$AE$12+D78*$AE$13+E78*$AE$14+F78*$AE$15+G78*$AE$16+H78*$AE$17+I78*$AE$18+J78*$AE$19+K78*$AE$20+L78*$AE$21+M78*$AE$22+N78*$AE$23+O78*$AE$24+P78*$AE$25+Q78*$AE$26+R78*$AE$27+S78*$AE$28+T78*$AE$29+U78*$AE$30</f>
        <v/>
      </c>
      <c r="W78" s="8">
        <f>1/(1+EXP(-V78))</f>
        <v/>
      </c>
      <c r="X78" s="9">
        <f>-IF(C78=1,LN(W78),LN(1-W78))</f>
        <v/>
      </c>
      <c r="Y78" s="8">
        <f>IF(C78=1,$AE$32,$AE$33)</f>
        <v/>
      </c>
      <c r="Z78" s="9">
        <f>Y78*X78</f>
        <v/>
      </c>
      <c r="AA78" s="10">
        <f>IF(W78&gt;$AE$34,1,0)</f>
        <v/>
      </c>
      <c r="AB78">
        <f>IF(AA78=C78,1,0)</f>
        <v/>
      </c>
    </row>
    <row r="79">
      <c r="A79">
        <f>'1 datos preparados'!A72</f>
        <v/>
      </c>
      <c r="B79" s="5">
        <f>'1 datos preparados'!U72</f>
        <v/>
      </c>
      <c r="C79">
        <f>'1 datos preparados'!B72</f>
        <v/>
      </c>
      <c r="D79" s="7">
        <f>'1 datos preparados'!C72</f>
        <v/>
      </c>
      <c r="E79" s="7">
        <f>'1 datos preparados'!D72</f>
        <v/>
      </c>
      <c r="F79" s="7">
        <f>'1 datos preparados'!E72</f>
        <v/>
      </c>
      <c r="G79" s="7">
        <f>'1 datos preparados'!F72</f>
        <v/>
      </c>
      <c r="H79" s="7">
        <f>'1 datos preparados'!G72</f>
        <v/>
      </c>
      <c r="I79" s="7">
        <f>'1 datos preparados'!H72</f>
        <v/>
      </c>
      <c r="J79" s="7">
        <f>'1 datos preparados'!I72</f>
        <v/>
      </c>
      <c r="K79" s="7">
        <f>'1 datos preparados'!J72</f>
        <v/>
      </c>
      <c r="L79" s="7">
        <f>'1 datos preparados'!K72</f>
        <v/>
      </c>
      <c r="M79" s="7">
        <f>'1 datos preparados'!L72</f>
        <v/>
      </c>
      <c r="N79" s="7">
        <f>'1 datos preparados'!M72</f>
        <v/>
      </c>
      <c r="O79" s="7">
        <f>'1 datos preparados'!N72</f>
        <v/>
      </c>
      <c r="P79" s="7">
        <f>'1 datos preparados'!O72</f>
        <v/>
      </c>
      <c r="Q79" s="7">
        <f>'1 datos preparados'!P72</f>
        <v/>
      </c>
      <c r="R79" s="7">
        <f>'1 datos preparados'!Q72</f>
        <v/>
      </c>
      <c r="S79" s="7">
        <f>'1 datos preparados'!R72</f>
        <v/>
      </c>
      <c r="T79" s="7">
        <f>'1 datos preparados'!S72</f>
        <v/>
      </c>
      <c r="U79" s="7">
        <f>'1 datos preparados'!T72</f>
        <v/>
      </c>
      <c r="V79" s="8">
        <f>$AE$12+D79*$AE$13+E79*$AE$14+F79*$AE$15+G79*$AE$16+H79*$AE$17+I79*$AE$18+J79*$AE$19+K79*$AE$20+L79*$AE$21+M79*$AE$22+N79*$AE$23+O79*$AE$24+P79*$AE$25+Q79*$AE$26+R79*$AE$27+S79*$AE$28+T79*$AE$29+U79*$AE$30</f>
        <v/>
      </c>
      <c r="W79" s="8">
        <f>1/(1+EXP(-V79))</f>
        <v/>
      </c>
      <c r="X79" s="9">
        <f>-IF(C79=1,LN(W79),LN(1-W79))</f>
        <v/>
      </c>
      <c r="Y79" s="8">
        <f>IF(C79=1,$AE$32,$AE$33)</f>
        <v/>
      </c>
      <c r="Z79" s="9">
        <f>Y79*X79</f>
        <v/>
      </c>
      <c r="AA79" s="10">
        <f>IF(W79&gt;$AE$34,1,0)</f>
        <v/>
      </c>
      <c r="AB79">
        <f>IF(AA79=C79,1,0)</f>
        <v/>
      </c>
    </row>
    <row r="80">
      <c r="A80">
        <f>'1 datos preparados'!A73</f>
        <v/>
      </c>
      <c r="B80" s="5">
        <f>'1 datos preparados'!U73</f>
        <v/>
      </c>
      <c r="C80">
        <f>'1 datos preparados'!B73</f>
        <v/>
      </c>
      <c r="D80" s="7">
        <f>'1 datos preparados'!C73</f>
        <v/>
      </c>
      <c r="E80" s="7">
        <f>'1 datos preparados'!D73</f>
        <v/>
      </c>
      <c r="F80" s="7">
        <f>'1 datos preparados'!E73</f>
        <v/>
      </c>
      <c r="G80" s="7">
        <f>'1 datos preparados'!F73</f>
        <v/>
      </c>
      <c r="H80" s="7">
        <f>'1 datos preparados'!G73</f>
        <v/>
      </c>
      <c r="I80" s="7">
        <f>'1 datos preparados'!H73</f>
        <v/>
      </c>
      <c r="J80" s="7">
        <f>'1 datos preparados'!I73</f>
        <v/>
      </c>
      <c r="K80" s="7">
        <f>'1 datos preparados'!J73</f>
        <v/>
      </c>
      <c r="L80" s="7">
        <f>'1 datos preparados'!K73</f>
        <v/>
      </c>
      <c r="M80" s="7">
        <f>'1 datos preparados'!L73</f>
        <v/>
      </c>
      <c r="N80" s="7">
        <f>'1 datos preparados'!M73</f>
        <v/>
      </c>
      <c r="O80" s="7">
        <f>'1 datos preparados'!N73</f>
        <v/>
      </c>
      <c r="P80" s="7">
        <f>'1 datos preparados'!O73</f>
        <v/>
      </c>
      <c r="Q80" s="7">
        <f>'1 datos preparados'!P73</f>
        <v/>
      </c>
      <c r="R80" s="7">
        <f>'1 datos preparados'!Q73</f>
        <v/>
      </c>
      <c r="S80" s="7">
        <f>'1 datos preparados'!R73</f>
        <v/>
      </c>
      <c r="T80" s="7">
        <f>'1 datos preparados'!S73</f>
        <v/>
      </c>
      <c r="U80" s="7">
        <f>'1 datos preparados'!T73</f>
        <v/>
      </c>
      <c r="V80" s="8">
        <f>$AE$12+D80*$AE$13+E80*$AE$14+F80*$AE$15+G80*$AE$16+H80*$AE$17+I80*$AE$18+J80*$AE$19+K80*$AE$20+L80*$AE$21+M80*$AE$22+N80*$AE$23+O80*$AE$24+P80*$AE$25+Q80*$AE$26+R80*$AE$27+S80*$AE$28+T80*$AE$29+U80*$AE$30</f>
        <v/>
      </c>
      <c r="W80" s="8">
        <f>1/(1+EXP(-V80))</f>
        <v/>
      </c>
      <c r="X80" s="9">
        <f>-IF(C80=1,LN(W80),LN(1-W80))</f>
        <v/>
      </c>
      <c r="Y80" s="8">
        <f>IF(C80=1,$AE$32,$AE$33)</f>
        <v/>
      </c>
      <c r="Z80" s="9">
        <f>Y80*X80</f>
        <v/>
      </c>
      <c r="AA80" s="10">
        <f>IF(W80&gt;$AE$34,1,0)</f>
        <v/>
      </c>
      <c r="AB80">
        <f>IF(AA80=C80,1,0)</f>
        <v/>
      </c>
    </row>
    <row r="81">
      <c r="A81">
        <f>'1 datos preparados'!A74</f>
        <v/>
      </c>
      <c r="B81" s="5">
        <f>'1 datos preparados'!U74</f>
        <v/>
      </c>
      <c r="C81">
        <f>'1 datos preparados'!B74</f>
        <v/>
      </c>
      <c r="D81" s="7">
        <f>'1 datos preparados'!C74</f>
        <v/>
      </c>
      <c r="E81" s="7">
        <f>'1 datos preparados'!D74</f>
        <v/>
      </c>
      <c r="F81" s="7">
        <f>'1 datos preparados'!E74</f>
        <v/>
      </c>
      <c r="G81" s="7">
        <f>'1 datos preparados'!F74</f>
        <v/>
      </c>
      <c r="H81" s="7">
        <f>'1 datos preparados'!G74</f>
        <v/>
      </c>
      <c r="I81" s="7">
        <f>'1 datos preparados'!H74</f>
        <v/>
      </c>
      <c r="J81" s="7">
        <f>'1 datos preparados'!I74</f>
        <v/>
      </c>
      <c r="K81" s="7">
        <f>'1 datos preparados'!J74</f>
        <v/>
      </c>
      <c r="L81" s="7">
        <f>'1 datos preparados'!K74</f>
        <v/>
      </c>
      <c r="M81" s="7">
        <f>'1 datos preparados'!L74</f>
        <v/>
      </c>
      <c r="N81" s="7">
        <f>'1 datos preparados'!M74</f>
        <v/>
      </c>
      <c r="O81" s="7">
        <f>'1 datos preparados'!N74</f>
        <v/>
      </c>
      <c r="P81" s="7">
        <f>'1 datos preparados'!O74</f>
        <v/>
      </c>
      <c r="Q81" s="7">
        <f>'1 datos preparados'!P74</f>
        <v/>
      </c>
      <c r="R81" s="7">
        <f>'1 datos preparados'!Q74</f>
        <v/>
      </c>
      <c r="S81" s="7">
        <f>'1 datos preparados'!R74</f>
        <v/>
      </c>
      <c r="T81" s="7">
        <f>'1 datos preparados'!S74</f>
        <v/>
      </c>
      <c r="U81" s="7">
        <f>'1 datos preparados'!T74</f>
        <v/>
      </c>
      <c r="V81" s="8">
        <f>$AE$12+D81*$AE$13+E81*$AE$14+F81*$AE$15+G81*$AE$16+H81*$AE$17+I81*$AE$18+J81*$AE$19+K81*$AE$20+L81*$AE$21+M81*$AE$22+N81*$AE$23+O81*$AE$24+P81*$AE$25+Q81*$AE$26+R81*$AE$27+S81*$AE$28+T81*$AE$29+U81*$AE$30</f>
        <v/>
      </c>
      <c r="W81" s="8">
        <f>1/(1+EXP(-V81))</f>
        <v/>
      </c>
      <c r="X81" s="9">
        <f>-IF(C81=1,LN(W81),LN(1-W81))</f>
        <v/>
      </c>
      <c r="Y81" s="8">
        <f>IF(C81=1,$AE$32,$AE$33)</f>
        <v/>
      </c>
      <c r="Z81" s="9">
        <f>Y81*X81</f>
        <v/>
      </c>
      <c r="AA81" s="10">
        <f>IF(W81&gt;$AE$34,1,0)</f>
        <v/>
      </c>
      <c r="AB81">
        <f>IF(AA81=C81,1,0)</f>
        <v/>
      </c>
    </row>
    <row r="82">
      <c r="A82">
        <f>'1 datos preparados'!A75</f>
        <v/>
      </c>
      <c r="B82" s="5">
        <f>'1 datos preparados'!U75</f>
        <v/>
      </c>
      <c r="C82">
        <f>'1 datos preparados'!B75</f>
        <v/>
      </c>
      <c r="D82" s="7">
        <f>'1 datos preparados'!C75</f>
        <v/>
      </c>
      <c r="E82" s="7">
        <f>'1 datos preparados'!D75</f>
        <v/>
      </c>
      <c r="F82" s="7">
        <f>'1 datos preparados'!E75</f>
        <v/>
      </c>
      <c r="G82" s="7">
        <f>'1 datos preparados'!F75</f>
        <v/>
      </c>
      <c r="H82" s="7">
        <f>'1 datos preparados'!G75</f>
        <v/>
      </c>
      <c r="I82" s="7">
        <f>'1 datos preparados'!H75</f>
        <v/>
      </c>
      <c r="J82" s="7">
        <f>'1 datos preparados'!I75</f>
        <v/>
      </c>
      <c r="K82" s="7">
        <f>'1 datos preparados'!J75</f>
        <v/>
      </c>
      <c r="L82" s="7">
        <f>'1 datos preparados'!K75</f>
        <v/>
      </c>
      <c r="M82" s="7">
        <f>'1 datos preparados'!L75</f>
        <v/>
      </c>
      <c r="N82" s="7">
        <f>'1 datos preparados'!M75</f>
        <v/>
      </c>
      <c r="O82" s="7">
        <f>'1 datos preparados'!N75</f>
        <v/>
      </c>
      <c r="P82" s="7">
        <f>'1 datos preparados'!O75</f>
        <v/>
      </c>
      <c r="Q82" s="7">
        <f>'1 datos preparados'!P75</f>
        <v/>
      </c>
      <c r="R82" s="7">
        <f>'1 datos preparados'!Q75</f>
        <v/>
      </c>
      <c r="S82" s="7">
        <f>'1 datos preparados'!R75</f>
        <v/>
      </c>
      <c r="T82" s="7">
        <f>'1 datos preparados'!S75</f>
        <v/>
      </c>
      <c r="U82" s="7">
        <f>'1 datos preparados'!T75</f>
        <v/>
      </c>
      <c r="V82" s="8">
        <f>$AE$12+D82*$AE$13+E82*$AE$14+F82*$AE$15+G82*$AE$16+H82*$AE$17+I82*$AE$18+J82*$AE$19+K82*$AE$20+L82*$AE$21+M82*$AE$22+N82*$AE$23+O82*$AE$24+P82*$AE$25+Q82*$AE$26+R82*$AE$27+S82*$AE$28+T82*$AE$29+U82*$AE$30</f>
        <v/>
      </c>
      <c r="W82" s="8">
        <f>1/(1+EXP(-V82))</f>
        <v/>
      </c>
      <c r="X82" s="9">
        <f>-IF(C82=1,LN(W82),LN(1-W82))</f>
        <v/>
      </c>
      <c r="Y82" s="8">
        <f>IF(C82=1,$AE$32,$AE$33)</f>
        <v/>
      </c>
      <c r="Z82" s="9">
        <f>Y82*X82</f>
        <v/>
      </c>
      <c r="AA82" s="10">
        <f>IF(W82&gt;$AE$34,1,0)</f>
        <v/>
      </c>
      <c r="AB82">
        <f>IF(AA82=C82,1,0)</f>
        <v/>
      </c>
    </row>
    <row r="83">
      <c r="A83">
        <f>'1 datos preparados'!A76</f>
        <v/>
      </c>
      <c r="B83" s="5">
        <f>'1 datos preparados'!U76</f>
        <v/>
      </c>
      <c r="C83">
        <f>'1 datos preparados'!B76</f>
        <v/>
      </c>
      <c r="D83" s="7">
        <f>'1 datos preparados'!C76</f>
        <v/>
      </c>
      <c r="E83" s="7">
        <f>'1 datos preparados'!D76</f>
        <v/>
      </c>
      <c r="F83" s="7">
        <f>'1 datos preparados'!E76</f>
        <v/>
      </c>
      <c r="G83" s="7">
        <f>'1 datos preparados'!F76</f>
        <v/>
      </c>
      <c r="H83" s="7">
        <f>'1 datos preparados'!G76</f>
        <v/>
      </c>
      <c r="I83" s="7">
        <f>'1 datos preparados'!H76</f>
        <v/>
      </c>
      <c r="J83" s="7">
        <f>'1 datos preparados'!I76</f>
        <v/>
      </c>
      <c r="K83" s="7">
        <f>'1 datos preparados'!J76</f>
        <v/>
      </c>
      <c r="L83" s="7">
        <f>'1 datos preparados'!K76</f>
        <v/>
      </c>
      <c r="M83" s="7">
        <f>'1 datos preparados'!L76</f>
        <v/>
      </c>
      <c r="N83" s="7">
        <f>'1 datos preparados'!M76</f>
        <v/>
      </c>
      <c r="O83" s="7">
        <f>'1 datos preparados'!N76</f>
        <v/>
      </c>
      <c r="P83" s="7">
        <f>'1 datos preparados'!O76</f>
        <v/>
      </c>
      <c r="Q83" s="7">
        <f>'1 datos preparados'!P76</f>
        <v/>
      </c>
      <c r="R83" s="7">
        <f>'1 datos preparados'!Q76</f>
        <v/>
      </c>
      <c r="S83" s="7">
        <f>'1 datos preparados'!R76</f>
        <v/>
      </c>
      <c r="T83" s="7">
        <f>'1 datos preparados'!S76</f>
        <v/>
      </c>
      <c r="U83" s="7">
        <f>'1 datos preparados'!T76</f>
        <v/>
      </c>
      <c r="V83" s="8">
        <f>$AE$12+D83*$AE$13+E83*$AE$14+F83*$AE$15+G83*$AE$16+H83*$AE$17+I83*$AE$18+J83*$AE$19+K83*$AE$20+L83*$AE$21+M83*$AE$22+N83*$AE$23+O83*$AE$24+P83*$AE$25+Q83*$AE$26+R83*$AE$27+S83*$AE$28+T83*$AE$29+U83*$AE$30</f>
        <v/>
      </c>
      <c r="W83" s="8">
        <f>1/(1+EXP(-V83))</f>
        <v/>
      </c>
      <c r="X83" s="9">
        <f>-IF(C83=1,LN(W83),LN(1-W83))</f>
        <v/>
      </c>
      <c r="Y83" s="8">
        <f>IF(C83=1,$AE$32,$AE$33)</f>
        <v/>
      </c>
      <c r="Z83" s="9">
        <f>Y83*X83</f>
        <v/>
      </c>
      <c r="AA83" s="10">
        <f>IF(W83&gt;$AE$34,1,0)</f>
        <v/>
      </c>
      <c r="AB83">
        <f>IF(AA83=C83,1,0)</f>
        <v/>
      </c>
    </row>
    <row r="84">
      <c r="A84">
        <f>'1 datos preparados'!A77</f>
        <v/>
      </c>
      <c r="B84" s="5">
        <f>'1 datos preparados'!U77</f>
        <v/>
      </c>
      <c r="C84">
        <f>'1 datos preparados'!B77</f>
        <v/>
      </c>
      <c r="D84" s="7">
        <f>'1 datos preparados'!C77</f>
        <v/>
      </c>
      <c r="E84" s="7">
        <f>'1 datos preparados'!D77</f>
        <v/>
      </c>
      <c r="F84" s="7">
        <f>'1 datos preparados'!E77</f>
        <v/>
      </c>
      <c r="G84" s="7">
        <f>'1 datos preparados'!F77</f>
        <v/>
      </c>
      <c r="H84" s="7">
        <f>'1 datos preparados'!G77</f>
        <v/>
      </c>
      <c r="I84" s="7">
        <f>'1 datos preparados'!H77</f>
        <v/>
      </c>
      <c r="J84" s="7">
        <f>'1 datos preparados'!I77</f>
        <v/>
      </c>
      <c r="K84" s="7">
        <f>'1 datos preparados'!J77</f>
        <v/>
      </c>
      <c r="L84" s="7">
        <f>'1 datos preparados'!K77</f>
        <v/>
      </c>
      <c r="M84" s="7">
        <f>'1 datos preparados'!L77</f>
        <v/>
      </c>
      <c r="N84" s="7">
        <f>'1 datos preparados'!M77</f>
        <v/>
      </c>
      <c r="O84" s="7">
        <f>'1 datos preparados'!N77</f>
        <v/>
      </c>
      <c r="P84" s="7">
        <f>'1 datos preparados'!O77</f>
        <v/>
      </c>
      <c r="Q84" s="7">
        <f>'1 datos preparados'!P77</f>
        <v/>
      </c>
      <c r="R84" s="7">
        <f>'1 datos preparados'!Q77</f>
        <v/>
      </c>
      <c r="S84" s="7">
        <f>'1 datos preparados'!R77</f>
        <v/>
      </c>
      <c r="T84" s="7">
        <f>'1 datos preparados'!S77</f>
        <v/>
      </c>
      <c r="U84" s="7">
        <f>'1 datos preparados'!T77</f>
        <v/>
      </c>
      <c r="V84" s="8">
        <f>$AE$12+D84*$AE$13+E84*$AE$14+F84*$AE$15+G84*$AE$16+H84*$AE$17+I84*$AE$18+J84*$AE$19+K84*$AE$20+L84*$AE$21+M84*$AE$22+N84*$AE$23+O84*$AE$24+P84*$AE$25+Q84*$AE$26+R84*$AE$27+S84*$AE$28+T84*$AE$29+U84*$AE$30</f>
        <v/>
      </c>
      <c r="W84" s="8">
        <f>1/(1+EXP(-V84))</f>
        <v/>
      </c>
      <c r="X84" s="9">
        <f>-IF(C84=1,LN(W84),LN(1-W84))</f>
        <v/>
      </c>
      <c r="Y84" s="8">
        <f>IF(C84=1,$AE$32,$AE$33)</f>
        <v/>
      </c>
      <c r="Z84" s="9">
        <f>Y84*X84</f>
        <v/>
      </c>
      <c r="AA84" s="10">
        <f>IF(W84&gt;$AE$34,1,0)</f>
        <v/>
      </c>
      <c r="AB84">
        <f>IF(AA84=C84,1,0)</f>
        <v/>
      </c>
    </row>
    <row r="85">
      <c r="A85">
        <f>'1 datos preparados'!A78</f>
        <v/>
      </c>
      <c r="B85" s="5">
        <f>'1 datos preparados'!U78</f>
        <v/>
      </c>
      <c r="C85">
        <f>'1 datos preparados'!B78</f>
        <v/>
      </c>
      <c r="D85" s="7">
        <f>'1 datos preparados'!C78</f>
        <v/>
      </c>
      <c r="E85" s="7">
        <f>'1 datos preparados'!D78</f>
        <v/>
      </c>
      <c r="F85" s="7">
        <f>'1 datos preparados'!E78</f>
        <v/>
      </c>
      <c r="G85" s="7">
        <f>'1 datos preparados'!F78</f>
        <v/>
      </c>
      <c r="H85" s="7">
        <f>'1 datos preparados'!G78</f>
        <v/>
      </c>
      <c r="I85" s="7">
        <f>'1 datos preparados'!H78</f>
        <v/>
      </c>
      <c r="J85" s="7">
        <f>'1 datos preparados'!I78</f>
        <v/>
      </c>
      <c r="K85" s="7">
        <f>'1 datos preparados'!J78</f>
        <v/>
      </c>
      <c r="L85" s="7">
        <f>'1 datos preparados'!K78</f>
        <v/>
      </c>
      <c r="M85" s="7">
        <f>'1 datos preparados'!L78</f>
        <v/>
      </c>
      <c r="N85" s="7">
        <f>'1 datos preparados'!M78</f>
        <v/>
      </c>
      <c r="O85" s="7">
        <f>'1 datos preparados'!N78</f>
        <v/>
      </c>
      <c r="P85" s="7">
        <f>'1 datos preparados'!O78</f>
        <v/>
      </c>
      <c r="Q85" s="7">
        <f>'1 datos preparados'!P78</f>
        <v/>
      </c>
      <c r="R85" s="7">
        <f>'1 datos preparados'!Q78</f>
        <v/>
      </c>
      <c r="S85" s="7">
        <f>'1 datos preparados'!R78</f>
        <v/>
      </c>
      <c r="T85" s="7">
        <f>'1 datos preparados'!S78</f>
        <v/>
      </c>
      <c r="U85" s="7">
        <f>'1 datos preparados'!T78</f>
        <v/>
      </c>
      <c r="V85" s="8">
        <f>$AE$12+D85*$AE$13+E85*$AE$14+F85*$AE$15+G85*$AE$16+H85*$AE$17+I85*$AE$18+J85*$AE$19+K85*$AE$20+L85*$AE$21+M85*$AE$22+N85*$AE$23+O85*$AE$24+P85*$AE$25+Q85*$AE$26+R85*$AE$27+S85*$AE$28+T85*$AE$29+U85*$AE$30</f>
        <v/>
      </c>
      <c r="W85" s="8">
        <f>1/(1+EXP(-V85))</f>
        <v/>
      </c>
      <c r="X85" s="9">
        <f>-IF(C85=1,LN(W85),LN(1-W85))</f>
        <v/>
      </c>
      <c r="Y85" s="8">
        <f>IF(C85=1,$AE$32,$AE$33)</f>
        <v/>
      </c>
      <c r="Z85" s="9">
        <f>Y85*X85</f>
        <v/>
      </c>
      <c r="AA85" s="10">
        <f>IF(W85&gt;$AE$34,1,0)</f>
        <v/>
      </c>
      <c r="AB85">
        <f>IF(AA85=C85,1,0)</f>
        <v/>
      </c>
    </row>
    <row r="86">
      <c r="A86">
        <f>'1 datos preparados'!A79</f>
        <v/>
      </c>
      <c r="B86" s="5">
        <f>'1 datos preparados'!U79</f>
        <v/>
      </c>
      <c r="C86">
        <f>'1 datos preparados'!B79</f>
        <v/>
      </c>
      <c r="D86" s="7">
        <f>'1 datos preparados'!C79</f>
        <v/>
      </c>
      <c r="E86" s="7">
        <f>'1 datos preparados'!D79</f>
        <v/>
      </c>
      <c r="F86" s="7">
        <f>'1 datos preparados'!E79</f>
        <v/>
      </c>
      <c r="G86" s="7">
        <f>'1 datos preparados'!F79</f>
        <v/>
      </c>
      <c r="H86" s="7">
        <f>'1 datos preparados'!G79</f>
        <v/>
      </c>
      <c r="I86" s="7">
        <f>'1 datos preparados'!H79</f>
        <v/>
      </c>
      <c r="J86" s="7">
        <f>'1 datos preparados'!I79</f>
        <v/>
      </c>
      <c r="K86" s="7">
        <f>'1 datos preparados'!J79</f>
        <v/>
      </c>
      <c r="L86" s="7">
        <f>'1 datos preparados'!K79</f>
        <v/>
      </c>
      <c r="M86" s="7">
        <f>'1 datos preparados'!L79</f>
        <v/>
      </c>
      <c r="N86" s="7">
        <f>'1 datos preparados'!M79</f>
        <v/>
      </c>
      <c r="O86" s="7">
        <f>'1 datos preparados'!N79</f>
        <v/>
      </c>
      <c r="P86" s="7">
        <f>'1 datos preparados'!O79</f>
        <v/>
      </c>
      <c r="Q86" s="7">
        <f>'1 datos preparados'!P79</f>
        <v/>
      </c>
      <c r="R86" s="7">
        <f>'1 datos preparados'!Q79</f>
        <v/>
      </c>
      <c r="S86" s="7">
        <f>'1 datos preparados'!R79</f>
        <v/>
      </c>
      <c r="T86" s="7">
        <f>'1 datos preparados'!S79</f>
        <v/>
      </c>
      <c r="U86" s="7">
        <f>'1 datos preparados'!T79</f>
        <v/>
      </c>
      <c r="V86" s="8">
        <f>$AE$12+D86*$AE$13+E86*$AE$14+F86*$AE$15+G86*$AE$16+H86*$AE$17+I86*$AE$18+J86*$AE$19+K86*$AE$20+L86*$AE$21+M86*$AE$22+N86*$AE$23+O86*$AE$24+P86*$AE$25+Q86*$AE$26+R86*$AE$27+S86*$AE$28+T86*$AE$29+U86*$AE$30</f>
        <v/>
      </c>
      <c r="W86" s="8">
        <f>1/(1+EXP(-V86))</f>
        <v/>
      </c>
      <c r="X86" s="9">
        <f>-IF(C86=1,LN(W86),LN(1-W86))</f>
        <v/>
      </c>
      <c r="Y86" s="8">
        <f>IF(C86=1,$AE$32,$AE$33)</f>
        <v/>
      </c>
      <c r="Z86" s="9">
        <f>Y86*X86</f>
        <v/>
      </c>
      <c r="AA86" s="10">
        <f>IF(W86&gt;$AE$34,1,0)</f>
        <v/>
      </c>
      <c r="AB86">
        <f>IF(AA86=C86,1,0)</f>
        <v/>
      </c>
    </row>
    <row r="87">
      <c r="A87">
        <f>'1 datos preparados'!A80</f>
        <v/>
      </c>
      <c r="B87" s="5">
        <f>'1 datos preparados'!U80</f>
        <v/>
      </c>
      <c r="C87">
        <f>'1 datos preparados'!B80</f>
        <v/>
      </c>
      <c r="D87" s="7">
        <f>'1 datos preparados'!C80</f>
        <v/>
      </c>
      <c r="E87" s="7">
        <f>'1 datos preparados'!D80</f>
        <v/>
      </c>
      <c r="F87" s="7">
        <f>'1 datos preparados'!E80</f>
        <v/>
      </c>
      <c r="G87" s="7">
        <f>'1 datos preparados'!F80</f>
        <v/>
      </c>
      <c r="H87" s="7">
        <f>'1 datos preparados'!G80</f>
        <v/>
      </c>
      <c r="I87" s="7">
        <f>'1 datos preparados'!H80</f>
        <v/>
      </c>
      <c r="J87" s="7">
        <f>'1 datos preparados'!I80</f>
        <v/>
      </c>
      <c r="K87" s="7">
        <f>'1 datos preparados'!J80</f>
        <v/>
      </c>
      <c r="L87" s="7">
        <f>'1 datos preparados'!K80</f>
        <v/>
      </c>
      <c r="M87" s="7">
        <f>'1 datos preparados'!L80</f>
        <v/>
      </c>
      <c r="N87" s="7">
        <f>'1 datos preparados'!M80</f>
        <v/>
      </c>
      <c r="O87" s="7">
        <f>'1 datos preparados'!N80</f>
        <v/>
      </c>
      <c r="P87" s="7">
        <f>'1 datos preparados'!O80</f>
        <v/>
      </c>
      <c r="Q87" s="7">
        <f>'1 datos preparados'!P80</f>
        <v/>
      </c>
      <c r="R87" s="7">
        <f>'1 datos preparados'!Q80</f>
        <v/>
      </c>
      <c r="S87" s="7">
        <f>'1 datos preparados'!R80</f>
        <v/>
      </c>
      <c r="T87" s="7">
        <f>'1 datos preparados'!S80</f>
        <v/>
      </c>
      <c r="U87" s="7">
        <f>'1 datos preparados'!T80</f>
        <v/>
      </c>
      <c r="V87" s="8">
        <f>$AE$12+D87*$AE$13+E87*$AE$14+F87*$AE$15+G87*$AE$16+H87*$AE$17+I87*$AE$18+J87*$AE$19+K87*$AE$20+L87*$AE$21+M87*$AE$22+N87*$AE$23+O87*$AE$24+P87*$AE$25+Q87*$AE$26+R87*$AE$27+S87*$AE$28+T87*$AE$29+U87*$AE$30</f>
        <v/>
      </c>
      <c r="W87" s="8">
        <f>1/(1+EXP(-V87))</f>
        <v/>
      </c>
      <c r="X87" s="9">
        <f>-IF(C87=1,LN(W87),LN(1-W87))</f>
        <v/>
      </c>
      <c r="Y87" s="8">
        <f>IF(C87=1,$AE$32,$AE$33)</f>
        <v/>
      </c>
      <c r="Z87" s="9">
        <f>Y87*X87</f>
        <v/>
      </c>
      <c r="AA87" s="10">
        <f>IF(W87&gt;$AE$34,1,0)</f>
        <v/>
      </c>
      <c r="AB87">
        <f>IF(AA87=C87,1,0)</f>
        <v/>
      </c>
    </row>
    <row r="88">
      <c r="A88">
        <f>'1 datos preparados'!A81</f>
        <v/>
      </c>
      <c r="B88" s="5">
        <f>'1 datos preparados'!U81</f>
        <v/>
      </c>
      <c r="C88">
        <f>'1 datos preparados'!B81</f>
        <v/>
      </c>
      <c r="D88" s="7">
        <f>'1 datos preparados'!C81</f>
        <v/>
      </c>
      <c r="E88" s="7">
        <f>'1 datos preparados'!D81</f>
        <v/>
      </c>
      <c r="F88" s="7">
        <f>'1 datos preparados'!E81</f>
        <v/>
      </c>
      <c r="G88" s="7">
        <f>'1 datos preparados'!F81</f>
        <v/>
      </c>
      <c r="H88" s="7">
        <f>'1 datos preparados'!G81</f>
        <v/>
      </c>
      <c r="I88" s="7">
        <f>'1 datos preparados'!H81</f>
        <v/>
      </c>
      <c r="J88" s="7">
        <f>'1 datos preparados'!I81</f>
        <v/>
      </c>
      <c r="K88" s="7">
        <f>'1 datos preparados'!J81</f>
        <v/>
      </c>
      <c r="L88" s="7">
        <f>'1 datos preparados'!K81</f>
        <v/>
      </c>
      <c r="M88" s="7">
        <f>'1 datos preparados'!L81</f>
        <v/>
      </c>
      <c r="N88" s="7">
        <f>'1 datos preparados'!M81</f>
        <v/>
      </c>
      <c r="O88" s="7">
        <f>'1 datos preparados'!N81</f>
        <v/>
      </c>
      <c r="P88" s="7">
        <f>'1 datos preparados'!O81</f>
        <v/>
      </c>
      <c r="Q88" s="7">
        <f>'1 datos preparados'!P81</f>
        <v/>
      </c>
      <c r="R88" s="7">
        <f>'1 datos preparados'!Q81</f>
        <v/>
      </c>
      <c r="S88" s="7">
        <f>'1 datos preparados'!R81</f>
        <v/>
      </c>
      <c r="T88" s="7">
        <f>'1 datos preparados'!S81</f>
        <v/>
      </c>
      <c r="U88" s="7">
        <f>'1 datos preparados'!T81</f>
        <v/>
      </c>
      <c r="V88" s="8">
        <f>$AE$12+D88*$AE$13+E88*$AE$14+F88*$AE$15+G88*$AE$16+H88*$AE$17+I88*$AE$18+J88*$AE$19+K88*$AE$20+L88*$AE$21+M88*$AE$22+N88*$AE$23+O88*$AE$24+P88*$AE$25+Q88*$AE$26+R88*$AE$27+S88*$AE$28+T88*$AE$29+U88*$AE$30</f>
        <v/>
      </c>
      <c r="W88" s="8">
        <f>1/(1+EXP(-V88))</f>
        <v/>
      </c>
      <c r="X88" s="9">
        <f>-IF(C88=1,LN(W88),LN(1-W88))</f>
        <v/>
      </c>
      <c r="Y88" s="8">
        <f>IF(C88=1,$AE$32,$AE$33)</f>
        <v/>
      </c>
      <c r="Z88" s="9">
        <f>Y88*X88</f>
        <v/>
      </c>
      <c r="AA88" s="10">
        <f>IF(W88&gt;$AE$34,1,0)</f>
        <v/>
      </c>
      <c r="AB88">
        <f>IF(AA88=C88,1,0)</f>
        <v/>
      </c>
    </row>
    <row r="89">
      <c r="A89">
        <f>'1 datos preparados'!A82</f>
        <v/>
      </c>
      <c r="B89" s="5">
        <f>'1 datos preparados'!U82</f>
        <v/>
      </c>
      <c r="C89">
        <f>'1 datos preparados'!B82</f>
        <v/>
      </c>
      <c r="D89" s="7">
        <f>'1 datos preparados'!C82</f>
        <v/>
      </c>
      <c r="E89" s="7">
        <f>'1 datos preparados'!D82</f>
        <v/>
      </c>
      <c r="F89" s="7">
        <f>'1 datos preparados'!E82</f>
        <v/>
      </c>
      <c r="G89" s="7">
        <f>'1 datos preparados'!F82</f>
        <v/>
      </c>
      <c r="H89" s="7">
        <f>'1 datos preparados'!G82</f>
        <v/>
      </c>
      <c r="I89" s="7">
        <f>'1 datos preparados'!H82</f>
        <v/>
      </c>
      <c r="J89" s="7">
        <f>'1 datos preparados'!I82</f>
        <v/>
      </c>
      <c r="K89" s="7">
        <f>'1 datos preparados'!J82</f>
        <v/>
      </c>
      <c r="L89" s="7">
        <f>'1 datos preparados'!K82</f>
        <v/>
      </c>
      <c r="M89" s="7">
        <f>'1 datos preparados'!L82</f>
        <v/>
      </c>
      <c r="N89" s="7">
        <f>'1 datos preparados'!M82</f>
        <v/>
      </c>
      <c r="O89" s="7">
        <f>'1 datos preparados'!N82</f>
        <v/>
      </c>
      <c r="P89" s="7">
        <f>'1 datos preparados'!O82</f>
        <v/>
      </c>
      <c r="Q89" s="7">
        <f>'1 datos preparados'!P82</f>
        <v/>
      </c>
      <c r="R89" s="7">
        <f>'1 datos preparados'!Q82</f>
        <v/>
      </c>
      <c r="S89" s="7">
        <f>'1 datos preparados'!R82</f>
        <v/>
      </c>
      <c r="T89" s="7">
        <f>'1 datos preparados'!S82</f>
        <v/>
      </c>
      <c r="U89" s="7">
        <f>'1 datos preparados'!T82</f>
        <v/>
      </c>
      <c r="V89" s="8">
        <f>$AE$12+D89*$AE$13+E89*$AE$14+F89*$AE$15+G89*$AE$16+H89*$AE$17+I89*$AE$18+J89*$AE$19+K89*$AE$20+L89*$AE$21+M89*$AE$22+N89*$AE$23+O89*$AE$24+P89*$AE$25+Q89*$AE$26+R89*$AE$27+S89*$AE$28+T89*$AE$29+U89*$AE$30</f>
        <v/>
      </c>
      <c r="W89" s="8">
        <f>1/(1+EXP(-V89))</f>
        <v/>
      </c>
      <c r="X89" s="9">
        <f>-IF(C89=1,LN(W89),LN(1-W89))</f>
        <v/>
      </c>
      <c r="Y89" s="8">
        <f>IF(C89=1,$AE$32,$AE$33)</f>
        <v/>
      </c>
      <c r="Z89" s="9">
        <f>Y89*X89</f>
        <v/>
      </c>
      <c r="AA89" s="10">
        <f>IF(W89&gt;$AE$34,1,0)</f>
        <v/>
      </c>
      <c r="AB89">
        <f>IF(AA89=C89,1,0)</f>
        <v/>
      </c>
    </row>
    <row r="90">
      <c r="A90">
        <f>'1 datos preparados'!A83</f>
        <v/>
      </c>
      <c r="B90" s="5">
        <f>'1 datos preparados'!U83</f>
        <v/>
      </c>
      <c r="C90">
        <f>'1 datos preparados'!B83</f>
        <v/>
      </c>
      <c r="D90" s="7">
        <f>'1 datos preparados'!C83</f>
        <v/>
      </c>
      <c r="E90" s="7">
        <f>'1 datos preparados'!D83</f>
        <v/>
      </c>
      <c r="F90" s="7">
        <f>'1 datos preparados'!E83</f>
        <v/>
      </c>
      <c r="G90" s="7">
        <f>'1 datos preparados'!F83</f>
        <v/>
      </c>
      <c r="H90" s="7">
        <f>'1 datos preparados'!G83</f>
        <v/>
      </c>
      <c r="I90" s="7">
        <f>'1 datos preparados'!H83</f>
        <v/>
      </c>
      <c r="J90" s="7">
        <f>'1 datos preparados'!I83</f>
        <v/>
      </c>
      <c r="K90" s="7">
        <f>'1 datos preparados'!J83</f>
        <v/>
      </c>
      <c r="L90" s="7">
        <f>'1 datos preparados'!K83</f>
        <v/>
      </c>
      <c r="M90" s="7">
        <f>'1 datos preparados'!L83</f>
        <v/>
      </c>
      <c r="N90" s="7">
        <f>'1 datos preparados'!M83</f>
        <v/>
      </c>
      <c r="O90" s="7">
        <f>'1 datos preparados'!N83</f>
        <v/>
      </c>
      <c r="P90" s="7">
        <f>'1 datos preparados'!O83</f>
        <v/>
      </c>
      <c r="Q90" s="7">
        <f>'1 datos preparados'!P83</f>
        <v/>
      </c>
      <c r="R90" s="7">
        <f>'1 datos preparados'!Q83</f>
        <v/>
      </c>
      <c r="S90" s="7">
        <f>'1 datos preparados'!R83</f>
        <v/>
      </c>
      <c r="T90" s="7">
        <f>'1 datos preparados'!S83</f>
        <v/>
      </c>
      <c r="U90" s="7">
        <f>'1 datos preparados'!T83</f>
        <v/>
      </c>
      <c r="V90" s="8">
        <f>$AE$12+D90*$AE$13+E90*$AE$14+F90*$AE$15+G90*$AE$16+H90*$AE$17+I90*$AE$18+J90*$AE$19+K90*$AE$20+L90*$AE$21+M90*$AE$22+N90*$AE$23+O90*$AE$24+P90*$AE$25+Q90*$AE$26+R90*$AE$27+S90*$AE$28+T90*$AE$29+U90*$AE$30</f>
        <v/>
      </c>
      <c r="W90" s="8">
        <f>1/(1+EXP(-V90))</f>
        <v/>
      </c>
      <c r="X90" s="9">
        <f>-IF(C90=1,LN(W90),LN(1-W90))</f>
        <v/>
      </c>
      <c r="Y90" s="8">
        <f>IF(C90=1,$AE$32,$AE$33)</f>
        <v/>
      </c>
      <c r="Z90" s="9">
        <f>Y90*X90</f>
        <v/>
      </c>
      <c r="AA90" s="10">
        <f>IF(W90&gt;$AE$34,1,0)</f>
        <v/>
      </c>
      <c r="AB90">
        <f>IF(AA90=C90,1,0)</f>
        <v/>
      </c>
    </row>
    <row r="91">
      <c r="A91">
        <f>'1 datos preparados'!A84</f>
        <v/>
      </c>
      <c r="B91" s="5">
        <f>'1 datos preparados'!U84</f>
        <v/>
      </c>
      <c r="C91">
        <f>'1 datos preparados'!B84</f>
        <v/>
      </c>
      <c r="D91" s="7">
        <f>'1 datos preparados'!C84</f>
        <v/>
      </c>
      <c r="E91" s="7">
        <f>'1 datos preparados'!D84</f>
        <v/>
      </c>
      <c r="F91" s="7">
        <f>'1 datos preparados'!E84</f>
        <v/>
      </c>
      <c r="G91" s="7">
        <f>'1 datos preparados'!F84</f>
        <v/>
      </c>
      <c r="H91" s="7">
        <f>'1 datos preparados'!G84</f>
        <v/>
      </c>
      <c r="I91" s="7">
        <f>'1 datos preparados'!H84</f>
        <v/>
      </c>
      <c r="J91" s="7">
        <f>'1 datos preparados'!I84</f>
        <v/>
      </c>
      <c r="K91" s="7">
        <f>'1 datos preparados'!J84</f>
        <v/>
      </c>
      <c r="L91" s="7">
        <f>'1 datos preparados'!K84</f>
        <v/>
      </c>
      <c r="M91" s="7">
        <f>'1 datos preparados'!L84</f>
        <v/>
      </c>
      <c r="N91" s="7">
        <f>'1 datos preparados'!M84</f>
        <v/>
      </c>
      <c r="O91" s="7">
        <f>'1 datos preparados'!N84</f>
        <v/>
      </c>
      <c r="P91" s="7">
        <f>'1 datos preparados'!O84</f>
        <v/>
      </c>
      <c r="Q91" s="7">
        <f>'1 datos preparados'!P84</f>
        <v/>
      </c>
      <c r="R91" s="7">
        <f>'1 datos preparados'!Q84</f>
        <v/>
      </c>
      <c r="S91" s="7">
        <f>'1 datos preparados'!R84</f>
        <v/>
      </c>
      <c r="T91" s="7">
        <f>'1 datos preparados'!S84</f>
        <v/>
      </c>
      <c r="U91" s="7">
        <f>'1 datos preparados'!T84</f>
        <v/>
      </c>
      <c r="V91" s="8">
        <f>$AE$12+D91*$AE$13+E91*$AE$14+F91*$AE$15+G91*$AE$16+H91*$AE$17+I91*$AE$18+J91*$AE$19+K91*$AE$20+L91*$AE$21+M91*$AE$22+N91*$AE$23+O91*$AE$24+P91*$AE$25+Q91*$AE$26+R91*$AE$27+S91*$AE$28+T91*$AE$29+U91*$AE$30</f>
        <v/>
      </c>
      <c r="W91" s="8">
        <f>1/(1+EXP(-V91))</f>
        <v/>
      </c>
      <c r="X91" s="9">
        <f>-IF(C91=1,LN(W91),LN(1-W91))</f>
        <v/>
      </c>
      <c r="Y91" s="8">
        <f>IF(C91=1,$AE$32,$AE$33)</f>
        <v/>
      </c>
      <c r="Z91" s="9">
        <f>Y91*X91</f>
        <v/>
      </c>
      <c r="AA91" s="10">
        <f>IF(W91&gt;$AE$34,1,0)</f>
        <v/>
      </c>
      <c r="AB91">
        <f>IF(AA91=C91,1,0)</f>
        <v/>
      </c>
    </row>
    <row r="92">
      <c r="A92">
        <f>'1 datos preparados'!A85</f>
        <v/>
      </c>
      <c r="B92" s="5">
        <f>'1 datos preparados'!U85</f>
        <v/>
      </c>
      <c r="C92">
        <f>'1 datos preparados'!B85</f>
        <v/>
      </c>
      <c r="D92" s="7">
        <f>'1 datos preparados'!C85</f>
        <v/>
      </c>
      <c r="E92" s="7">
        <f>'1 datos preparados'!D85</f>
        <v/>
      </c>
      <c r="F92" s="7">
        <f>'1 datos preparados'!E85</f>
        <v/>
      </c>
      <c r="G92" s="7">
        <f>'1 datos preparados'!F85</f>
        <v/>
      </c>
      <c r="H92" s="7">
        <f>'1 datos preparados'!G85</f>
        <v/>
      </c>
      <c r="I92" s="7">
        <f>'1 datos preparados'!H85</f>
        <v/>
      </c>
      <c r="J92" s="7">
        <f>'1 datos preparados'!I85</f>
        <v/>
      </c>
      <c r="K92" s="7">
        <f>'1 datos preparados'!J85</f>
        <v/>
      </c>
      <c r="L92" s="7">
        <f>'1 datos preparados'!K85</f>
        <v/>
      </c>
      <c r="M92" s="7">
        <f>'1 datos preparados'!L85</f>
        <v/>
      </c>
      <c r="N92" s="7">
        <f>'1 datos preparados'!M85</f>
        <v/>
      </c>
      <c r="O92" s="7">
        <f>'1 datos preparados'!N85</f>
        <v/>
      </c>
      <c r="P92" s="7">
        <f>'1 datos preparados'!O85</f>
        <v/>
      </c>
      <c r="Q92" s="7">
        <f>'1 datos preparados'!P85</f>
        <v/>
      </c>
      <c r="R92" s="7">
        <f>'1 datos preparados'!Q85</f>
        <v/>
      </c>
      <c r="S92" s="7">
        <f>'1 datos preparados'!R85</f>
        <v/>
      </c>
      <c r="T92" s="7">
        <f>'1 datos preparados'!S85</f>
        <v/>
      </c>
      <c r="U92" s="7">
        <f>'1 datos preparados'!T85</f>
        <v/>
      </c>
      <c r="V92" s="8">
        <f>$AE$12+D92*$AE$13+E92*$AE$14+F92*$AE$15+G92*$AE$16+H92*$AE$17+I92*$AE$18+J92*$AE$19+K92*$AE$20+L92*$AE$21+M92*$AE$22+N92*$AE$23+O92*$AE$24+P92*$AE$25+Q92*$AE$26+R92*$AE$27+S92*$AE$28+T92*$AE$29+U92*$AE$30</f>
        <v/>
      </c>
      <c r="W92" s="8">
        <f>1/(1+EXP(-V92))</f>
        <v/>
      </c>
      <c r="X92" s="9">
        <f>-IF(C92=1,LN(W92),LN(1-W92))</f>
        <v/>
      </c>
      <c r="Y92" s="8">
        <f>IF(C92=1,$AE$32,$AE$33)</f>
        <v/>
      </c>
      <c r="Z92" s="9">
        <f>Y92*X92</f>
        <v/>
      </c>
      <c r="AA92" s="10">
        <f>IF(W92&gt;$AE$34,1,0)</f>
        <v/>
      </c>
      <c r="AB92">
        <f>IF(AA92=C92,1,0)</f>
        <v/>
      </c>
    </row>
    <row r="93">
      <c r="A93">
        <f>'1 datos preparados'!A86</f>
        <v/>
      </c>
      <c r="B93" s="5">
        <f>'1 datos preparados'!U86</f>
        <v/>
      </c>
      <c r="C93">
        <f>'1 datos preparados'!B86</f>
        <v/>
      </c>
      <c r="D93" s="7">
        <f>'1 datos preparados'!C86</f>
        <v/>
      </c>
      <c r="E93" s="7">
        <f>'1 datos preparados'!D86</f>
        <v/>
      </c>
      <c r="F93" s="7">
        <f>'1 datos preparados'!E86</f>
        <v/>
      </c>
      <c r="G93" s="7">
        <f>'1 datos preparados'!F86</f>
        <v/>
      </c>
      <c r="H93" s="7">
        <f>'1 datos preparados'!G86</f>
        <v/>
      </c>
      <c r="I93" s="7">
        <f>'1 datos preparados'!H86</f>
        <v/>
      </c>
      <c r="J93" s="7">
        <f>'1 datos preparados'!I86</f>
        <v/>
      </c>
      <c r="K93" s="7">
        <f>'1 datos preparados'!J86</f>
        <v/>
      </c>
      <c r="L93" s="7">
        <f>'1 datos preparados'!K86</f>
        <v/>
      </c>
      <c r="M93" s="7">
        <f>'1 datos preparados'!L86</f>
        <v/>
      </c>
      <c r="N93" s="7">
        <f>'1 datos preparados'!M86</f>
        <v/>
      </c>
      <c r="O93" s="7">
        <f>'1 datos preparados'!N86</f>
        <v/>
      </c>
      <c r="P93" s="7">
        <f>'1 datos preparados'!O86</f>
        <v/>
      </c>
      <c r="Q93" s="7">
        <f>'1 datos preparados'!P86</f>
        <v/>
      </c>
      <c r="R93" s="7">
        <f>'1 datos preparados'!Q86</f>
        <v/>
      </c>
      <c r="S93" s="7">
        <f>'1 datos preparados'!R86</f>
        <v/>
      </c>
      <c r="T93" s="7">
        <f>'1 datos preparados'!S86</f>
        <v/>
      </c>
      <c r="U93" s="7">
        <f>'1 datos preparados'!T86</f>
        <v/>
      </c>
      <c r="V93" s="8">
        <f>$AE$12+D93*$AE$13+E93*$AE$14+F93*$AE$15+G93*$AE$16+H93*$AE$17+I93*$AE$18+J93*$AE$19+K93*$AE$20+L93*$AE$21+M93*$AE$22+N93*$AE$23+O93*$AE$24+P93*$AE$25+Q93*$AE$26+R93*$AE$27+S93*$AE$28+T93*$AE$29+U93*$AE$30</f>
        <v/>
      </c>
      <c r="W93" s="8">
        <f>1/(1+EXP(-V93))</f>
        <v/>
      </c>
      <c r="X93" s="9">
        <f>-IF(C93=1,LN(W93),LN(1-W93))</f>
        <v/>
      </c>
      <c r="Y93" s="8">
        <f>IF(C93=1,$AE$32,$AE$33)</f>
        <v/>
      </c>
      <c r="Z93" s="9">
        <f>Y93*X93</f>
        <v/>
      </c>
      <c r="AA93" s="10">
        <f>IF(W93&gt;$AE$34,1,0)</f>
        <v/>
      </c>
      <c r="AB93">
        <f>IF(AA93=C93,1,0)</f>
        <v/>
      </c>
    </row>
    <row r="94">
      <c r="A94">
        <f>'1 datos preparados'!A87</f>
        <v/>
      </c>
      <c r="B94" s="5">
        <f>'1 datos preparados'!U87</f>
        <v/>
      </c>
      <c r="C94">
        <f>'1 datos preparados'!B87</f>
        <v/>
      </c>
      <c r="D94" s="7">
        <f>'1 datos preparados'!C87</f>
        <v/>
      </c>
      <c r="E94" s="7">
        <f>'1 datos preparados'!D87</f>
        <v/>
      </c>
      <c r="F94" s="7">
        <f>'1 datos preparados'!E87</f>
        <v/>
      </c>
      <c r="G94" s="7">
        <f>'1 datos preparados'!F87</f>
        <v/>
      </c>
      <c r="H94" s="7">
        <f>'1 datos preparados'!G87</f>
        <v/>
      </c>
      <c r="I94" s="7">
        <f>'1 datos preparados'!H87</f>
        <v/>
      </c>
      <c r="J94" s="7">
        <f>'1 datos preparados'!I87</f>
        <v/>
      </c>
      <c r="K94" s="7">
        <f>'1 datos preparados'!J87</f>
        <v/>
      </c>
      <c r="L94" s="7">
        <f>'1 datos preparados'!K87</f>
        <v/>
      </c>
      <c r="M94" s="7">
        <f>'1 datos preparados'!L87</f>
        <v/>
      </c>
      <c r="N94" s="7">
        <f>'1 datos preparados'!M87</f>
        <v/>
      </c>
      <c r="O94" s="7">
        <f>'1 datos preparados'!N87</f>
        <v/>
      </c>
      <c r="P94" s="7">
        <f>'1 datos preparados'!O87</f>
        <v/>
      </c>
      <c r="Q94" s="7">
        <f>'1 datos preparados'!P87</f>
        <v/>
      </c>
      <c r="R94" s="7">
        <f>'1 datos preparados'!Q87</f>
        <v/>
      </c>
      <c r="S94" s="7">
        <f>'1 datos preparados'!R87</f>
        <v/>
      </c>
      <c r="T94" s="7">
        <f>'1 datos preparados'!S87</f>
        <v/>
      </c>
      <c r="U94" s="7">
        <f>'1 datos preparados'!T87</f>
        <v/>
      </c>
      <c r="V94" s="8">
        <f>$AE$12+D94*$AE$13+E94*$AE$14+F94*$AE$15+G94*$AE$16+H94*$AE$17+I94*$AE$18+J94*$AE$19+K94*$AE$20+L94*$AE$21+M94*$AE$22+N94*$AE$23+O94*$AE$24+P94*$AE$25+Q94*$AE$26+R94*$AE$27+S94*$AE$28+T94*$AE$29+U94*$AE$30</f>
        <v/>
      </c>
      <c r="W94" s="8">
        <f>1/(1+EXP(-V94))</f>
        <v/>
      </c>
      <c r="X94" s="9">
        <f>-IF(C94=1,LN(W94),LN(1-W94))</f>
        <v/>
      </c>
      <c r="Y94" s="8">
        <f>IF(C94=1,$AE$32,$AE$33)</f>
        <v/>
      </c>
      <c r="Z94" s="9">
        <f>Y94*X94</f>
        <v/>
      </c>
      <c r="AA94" s="10">
        <f>IF(W94&gt;$AE$34,1,0)</f>
        <v/>
      </c>
      <c r="AB94">
        <f>IF(AA94=C94,1,0)</f>
        <v/>
      </c>
    </row>
    <row r="95">
      <c r="A95">
        <f>'1 datos preparados'!A88</f>
        <v/>
      </c>
      <c r="B95" s="5">
        <f>'1 datos preparados'!U88</f>
        <v/>
      </c>
      <c r="C95">
        <f>'1 datos preparados'!B88</f>
        <v/>
      </c>
      <c r="D95" s="7">
        <f>'1 datos preparados'!C88</f>
        <v/>
      </c>
      <c r="E95" s="7">
        <f>'1 datos preparados'!D88</f>
        <v/>
      </c>
      <c r="F95" s="7">
        <f>'1 datos preparados'!E88</f>
        <v/>
      </c>
      <c r="G95" s="7">
        <f>'1 datos preparados'!F88</f>
        <v/>
      </c>
      <c r="H95" s="7">
        <f>'1 datos preparados'!G88</f>
        <v/>
      </c>
      <c r="I95" s="7">
        <f>'1 datos preparados'!H88</f>
        <v/>
      </c>
      <c r="J95" s="7">
        <f>'1 datos preparados'!I88</f>
        <v/>
      </c>
      <c r="K95" s="7">
        <f>'1 datos preparados'!J88</f>
        <v/>
      </c>
      <c r="L95" s="7">
        <f>'1 datos preparados'!K88</f>
        <v/>
      </c>
      <c r="M95" s="7">
        <f>'1 datos preparados'!L88</f>
        <v/>
      </c>
      <c r="N95" s="7">
        <f>'1 datos preparados'!M88</f>
        <v/>
      </c>
      <c r="O95" s="7">
        <f>'1 datos preparados'!N88</f>
        <v/>
      </c>
      <c r="P95" s="7">
        <f>'1 datos preparados'!O88</f>
        <v/>
      </c>
      <c r="Q95" s="7">
        <f>'1 datos preparados'!P88</f>
        <v/>
      </c>
      <c r="R95" s="7">
        <f>'1 datos preparados'!Q88</f>
        <v/>
      </c>
      <c r="S95" s="7">
        <f>'1 datos preparados'!R88</f>
        <v/>
      </c>
      <c r="T95" s="7">
        <f>'1 datos preparados'!S88</f>
        <v/>
      </c>
      <c r="U95" s="7">
        <f>'1 datos preparados'!T88</f>
        <v/>
      </c>
      <c r="V95" s="8">
        <f>$AE$12+D95*$AE$13+E95*$AE$14+F95*$AE$15+G95*$AE$16+H95*$AE$17+I95*$AE$18+J95*$AE$19+K95*$AE$20+L95*$AE$21+M95*$AE$22+N95*$AE$23+O95*$AE$24+P95*$AE$25+Q95*$AE$26+R95*$AE$27+S95*$AE$28+T95*$AE$29+U95*$AE$30</f>
        <v/>
      </c>
      <c r="W95" s="8">
        <f>1/(1+EXP(-V95))</f>
        <v/>
      </c>
      <c r="X95" s="9">
        <f>-IF(C95=1,LN(W95),LN(1-W95))</f>
        <v/>
      </c>
      <c r="Y95" s="8">
        <f>IF(C95=1,$AE$32,$AE$33)</f>
        <v/>
      </c>
      <c r="Z95" s="9">
        <f>Y95*X95</f>
        <v/>
      </c>
      <c r="AA95" s="10">
        <f>IF(W95&gt;$AE$34,1,0)</f>
        <v/>
      </c>
      <c r="AB95">
        <f>IF(AA95=C95,1,0)</f>
        <v/>
      </c>
    </row>
    <row r="96">
      <c r="A96">
        <f>'1 datos preparados'!A89</f>
        <v/>
      </c>
      <c r="B96" s="5">
        <f>'1 datos preparados'!U89</f>
        <v/>
      </c>
      <c r="C96">
        <f>'1 datos preparados'!B89</f>
        <v/>
      </c>
      <c r="D96" s="7">
        <f>'1 datos preparados'!C89</f>
        <v/>
      </c>
      <c r="E96" s="7">
        <f>'1 datos preparados'!D89</f>
        <v/>
      </c>
      <c r="F96" s="7">
        <f>'1 datos preparados'!E89</f>
        <v/>
      </c>
      <c r="G96" s="7">
        <f>'1 datos preparados'!F89</f>
        <v/>
      </c>
      <c r="H96" s="7">
        <f>'1 datos preparados'!G89</f>
        <v/>
      </c>
      <c r="I96" s="7">
        <f>'1 datos preparados'!H89</f>
        <v/>
      </c>
      <c r="J96" s="7">
        <f>'1 datos preparados'!I89</f>
        <v/>
      </c>
      <c r="K96" s="7">
        <f>'1 datos preparados'!J89</f>
        <v/>
      </c>
      <c r="L96" s="7">
        <f>'1 datos preparados'!K89</f>
        <v/>
      </c>
      <c r="M96" s="7">
        <f>'1 datos preparados'!L89</f>
        <v/>
      </c>
      <c r="N96" s="7">
        <f>'1 datos preparados'!M89</f>
        <v/>
      </c>
      <c r="O96" s="7">
        <f>'1 datos preparados'!N89</f>
        <v/>
      </c>
      <c r="P96" s="7">
        <f>'1 datos preparados'!O89</f>
        <v/>
      </c>
      <c r="Q96" s="7">
        <f>'1 datos preparados'!P89</f>
        <v/>
      </c>
      <c r="R96" s="7">
        <f>'1 datos preparados'!Q89</f>
        <v/>
      </c>
      <c r="S96" s="7">
        <f>'1 datos preparados'!R89</f>
        <v/>
      </c>
      <c r="T96" s="7">
        <f>'1 datos preparados'!S89</f>
        <v/>
      </c>
      <c r="U96" s="7">
        <f>'1 datos preparados'!T89</f>
        <v/>
      </c>
      <c r="V96" s="8">
        <f>$AE$12+D96*$AE$13+E96*$AE$14+F96*$AE$15+G96*$AE$16+H96*$AE$17+I96*$AE$18+J96*$AE$19+K96*$AE$20+L96*$AE$21+M96*$AE$22+N96*$AE$23+O96*$AE$24+P96*$AE$25+Q96*$AE$26+R96*$AE$27+S96*$AE$28+T96*$AE$29+U96*$AE$30</f>
        <v/>
      </c>
      <c r="W96" s="8">
        <f>1/(1+EXP(-V96))</f>
        <v/>
      </c>
      <c r="X96" s="9">
        <f>-IF(C96=1,LN(W96),LN(1-W96))</f>
        <v/>
      </c>
      <c r="Y96" s="8">
        <f>IF(C96=1,$AE$32,$AE$33)</f>
        <v/>
      </c>
      <c r="Z96" s="9">
        <f>Y96*X96</f>
        <v/>
      </c>
      <c r="AA96" s="10">
        <f>IF(W96&gt;$AE$34,1,0)</f>
        <v/>
      </c>
      <c r="AB96">
        <f>IF(AA96=C96,1,0)</f>
        <v/>
      </c>
    </row>
    <row r="97">
      <c r="A97">
        <f>'1 datos preparados'!A90</f>
        <v/>
      </c>
      <c r="B97" s="5">
        <f>'1 datos preparados'!U90</f>
        <v/>
      </c>
      <c r="C97">
        <f>'1 datos preparados'!B90</f>
        <v/>
      </c>
      <c r="D97" s="7">
        <f>'1 datos preparados'!C90</f>
        <v/>
      </c>
      <c r="E97" s="7">
        <f>'1 datos preparados'!D90</f>
        <v/>
      </c>
      <c r="F97" s="7">
        <f>'1 datos preparados'!E90</f>
        <v/>
      </c>
      <c r="G97" s="7">
        <f>'1 datos preparados'!F90</f>
        <v/>
      </c>
      <c r="H97" s="7">
        <f>'1 datos preparados'!G90</f>
        <v/>
      </c>
      <c r="I97" s="7">
        <f>'1 datos preparados'!H90</f>
        <v/>
      </c>
      <c r="J97" s="7">
        <f>'1 datos preparados'!I90</f>
        <v/>
      </c>
      <c r="K97" s="7">
        <f>'1 datos preparados'!J90</f>
        <v/>
      </c>
      <c r="L97" s="7">
        <f>'1 datos preparados'!K90</f>
        <v/>
      </c>
      <c r="M97" s="7">
        <f>'1 datos preparados'!L90</f>
        <v/>
      </c>
      <c r="N97" s="7">
        <f>'1 datos preparados'!M90</f>
        <v/>
      </c>
      <c r="O97" s="7">
        <f>'1 datos preparados'!N90</f>
        <v/>
      </c>
      <c r="P97" s="7">
        <f>'1 datos preparados'!O90</f>
        <v/>
      </c>
      <c r="Q97" s="7">
        <f>'1 datos preparados'!P90</f>
        <v/>
      </c>
      <c r="R97" s="7">
        <f>'1 datos preparados'!Q90</f>
        <v/>
      </c>
      <c r="S97" s="7">
        <f>'1 datos preparados'!R90</f>
        <v/>
      </c>
      <c r="T97" s="7">
        <f>'1 datos preparados'!S90</f>
        <v/>
      </c>
      <c r="U97" s="7">
        <f>'1 datos preparados'!T90</f>
        <v/>
      </c>
      <c r="V97" s="8">
        <f>$AE$12+D97*$AE$13+E97*$AE$14+F97*$AE$15+G97*$AE$16+H97*$AE$17+I97*$AE$18+J97*$AE$19+K97*$AE$20+L97*$AE$21+M97*$AE$22+N97*$AE$23+O97*$AE$24+P97*$AE$25+Q97*$AE$26+R97*$AE$27+S97*$AE$28+T97*$AE$29+U97*$AE$30</f>
        <v/>
      </c>
      <c r="W97" s="8">
        <f>1/(1+EXP(-V97))</f>
        <v/>
      </c>
      <c r="X97" s="9">
        <f>-IF(C97=1,LN(W97),LN(1-W97))</f>
        <v/>
      </c>
      <c r="Y97" s="8">
        <f>IF(C97=1,$AE$32,$AE$33)</f>
        <v/>
      </c>
      <c r="Z97" s="9">
        <f>Y97*X97</f>
        <v/>
      </c>
      <c r="AA97" s="10">
        <f>IF(W97&gt;$AE$34,1,0)</f>
        <v/>
      </c>
      <c r="AB97">
        <f>IF(AA97=C97,1,0)</f>
        <v/>
      </c>
    </row>
    <row r="98">
      <c r="A98">
        <f>'1 datos preparados'!A91</f>
        <v/>
      </c>
      <c r="B98" s="5">
        <f>'1 datos preparados'!U91</f>
        <v/>
      </c>
      <c r="C98">
        <f>'1 datos preparados'!B91</f>
        <v/>
      </c>
      <c r="D98" s="7">
        <f>'1 datos preparados'!C91</f>
        <v/>
      </c>
      <c r="E98" s="7">
        <f>'1 datos preparados'!D91</f>
        <v/>
      </c>
      <c r="F98" s="7">
        <f>'1 datos preparados'!E91</f>
        <v/>
      </c>
      <c r="G98" s="7">
        <f>'1 datos preparados'!F91</f>
        <v/>
      </c>
      <c r="H98" s="7">
        <f>'1 datos preparados'!G91</f>
        <v/>
      </c>
      <c r="I98" s="7">
        <f>'1 datos preparados'!H91</f>
        <v/>
      </c>
      <c r="J98" s="7">
        <f>'1 datos preparados'!I91</f>
        <v/>
      </c>
      <c r="K98" s="7">
        <f>'1 datos preparados'!J91</f>
        <v/>
      </c>
      <c r="L98" s="7">
        <f>'1 datos preparados'!K91</f>
        <v/>
      </c>
      <c r="M98" s="7">
        <f>'1 datos preparados'!L91</f>
        <v/>
      </c>
      <c r="N98" s="7">
        <f>'1 datos preparados'!M91</f>
        <v/>
      </c>
      <c r="O98" s="7">
        <f>'1 datos preparados'!N91</f>
        <v/>
      </c>
      <c r="P98" s="7">
        <f>'1 datos preparados'!O91</f>
        <v/>
      </c>
      <c r="Q98" s="7">
        <f>'1 datos preparados'!P91</f>
        <v/>
      </c>
      <c r="R98" s="7">
        <f>'1 datos preparados'!Q91</f>
        <v/>
      </c>
      <c r="S98" s="7">
        <f>'1 datos preparados'!R91</f>
        <v/>
      </c>
      <c r="T98" s="7">
        <f>'1 datos preparados'!S91</f>
        <v/>
      </c>
      <c r="U98" s="7">
        <f>'1 datos preparados'!T91</f>
        <v/>
      </c>
      <c r="V98" s="8">
        <f>$AE$12+D98*$AE$13+E98*$AE$14+F98*$AE$15+G98*$AE$16+H98*$AE$17+I98*$AE$18+J98*$AE$19+K98*$AE$20+L98*$AE$21+M98*$AE$22+N98*$AE$23+O98*$AE$24+P98*$AE$25+Q98*$AE$26+R98*$AE$27+S98*$AE$28+T98*$AE$29+U98*$AE$30</f>
        <v/>
      </c>
      <c r="W98" s="8">
        <f>1/(1+EXP(-V98))</f>
        <v/>
      </c>
      <c r="X98" s="9">
        <f>-IF(C98=1,LN(W98),LN(1-W98))</f>
        <v/>
      </c>
      <c r="Y98" s="8">
        <f>IF(C98=1,$AE$32,$AE$33)</f>
        <v/>
      </c>
      <c r="Z98" s="9">
        <f>Y98*X98</f>
        <v/>
      </c>
      <c r="AA98" s="10">
        <f>IF(W98&gt;$AE$34,1,0)</f>
        <v/>
      </c>
      <c r="AB98">
        <f>IF(AA98=C98,1,0)</f>
        <v/>
      </c>
    </row>
    <row r="99">
      <c r="A99">
        <f>'1 datos preparados'!A92</f>
        <v/>
      </c>
      <c r="B99" s="5">
        <f>'1 datos preparados'!U92</f>
        <v/>
      </c>
      <c r="C99">
        <f>'1 datos preparados'!B92</f>
        <v/>
      </c>
      <c r="D99" s="7">
        <f>'1 datos preparados'!C92</f>
        <v/>
      </c>
      <c r="E99" s="7">
        <f>'1 datos preparados'!D92</f>
        <v/>
      </c>
      <c r="F99" s="7">
        <f>'1 datos preparados'!E92</f>
        <v/>
      </c>
      <c r="G99" s="7">
        <f>'1 datos preparados'!F92</f>
        <v/>
      </c>
      <c r="H99" s="7">
        <f>'1 datos preparados'!G92</f>
        <v/>
      </c>
      <c r="I99" s="7">
        <f>'1 datos preparados'!H92</f>
        <v/>
      </c>
      <c r="J99" s="7">
        <f>'1 datos preparados'!I92</f>
        <v/>
      </c>
      <c r="K99" s="7">
        <f>'1 datos preparados'!J92</f>
        <v/>
      </c>
      <c r="L99" s="7">
        <f>'1 datos preparados'!K92</f>
        <v/>
      </c>
      <c r="M99" s="7">
        <f>'1 datos preparados'!L92</f>
        <v/>
      </c>
      <c r="N99" s="7">
        <f>'1 datos preparados'!M92</f>
        <v/>
      </c>
      <c r="O99" s="7">
        <f>'1 datos preparados'!N92</f>
        <v/>
      </c>
      <c r="P99" s="7">
        <f>'1 datos preparados'!O92</f>
        <v/>
      </c>
      <c r="Q99" s="7">
        <f>'1 datos preparados'!P92</f>
        <v/>
      </c>
      <c r="R99" s="7">
        <f>'1 datos preparados'!Q92</f>
        <v/>
      </c>
      <c r="S99" s="7">
        <f>'1 datos preparados'!R92</f>
        <v/>
      </c>
      <c r="T99" s="7">
        <f>'1 datos preparados'!S92</f>
        <v/>
      </c>
      <c r="U99" s="7">
        <f>'1 datos preparados'!T92</f>
        <v/>
      </c>
      <c r="V99" s="8">
        <f>$AE$12+D99*$AE$13+E99*$AE$14+F99*$AE$15+G99*$AE$16+H99*$AE$17+I99*$AE$18+J99*$AE$19+K99*$AE$20+L99*$AE$21+M99*$AE$22+N99*$AE$23+O99*$AE$24+P99*$AE$25+Q99*$AE$26+R99*$AE$27+S99*$AE$28+T99*$AE$29+U99*$AE$30</f>
        <v/>
      </c>
      <c r="W99" s="8">
        <f>1/(1+EXP(-V99))</f>
        <v/>
      </c>
      <c r="X99" s="9">
        <f>-IF(C99=1,LN(W99),LN(1-W99))</f>
        <v/>
      </c>
      <c r="Y99" s="8">
        <f>IF(C99=1,$AE$32,$AE$33)</f>
        <v/>
      </c>
      <c r="Z99" s="9">
        <f>Y99*X99</f>
        <v/>
      </c>
      <c r="AA99" s="10">
        <f>IF(W99&gt;$AE$34,1,0)</f>
        <v/>
      </c>
      <c r="AB99">
        <f>IF(AA99=C99,1,0)</f>
        <v/>
      </c>
    </row>
    <row r="100">
      <c r="A100">
        <f>'1 datos preparados'!A93</f>
        <v/>
      </c>
      <c r="B100" s="5">
        <f>'1 datos preparados'!U93</f>
        <v/>
      </c>
      <c r="C100">
        <f>'1 datos preparados'!B93</f>
        <v/>
      </c>
      <c r="D100" s="7">
        <f>'1 datos preparados'!C93</f>
        <v/>
      </c>
      <c r="E100" s="7">
        <f>'1 datos preparados'!D93</f>
        <v/>
      </c>
      <c r="F100" s="7">
        <f>'1 datos preparados'!E93</f>
        <v/>
      </c>
      <c r="G100" s="7">
        <f>'1 datos preparados'!F93</f>
        <v/>
      </c>
      <c r="H100" s="7">
        <f>'1 datos preparados'!G93</f>
        <v/>
      </c>
      <c r="I100" s="7">
        <f>'1 datos preparados'!H93</f>
        <v/>
      </c>
      <c r="J100" s="7">
        <f>'1 datos preparados'!I93</f>
        <v/>
      </c>
      <c r="K100" s="7">
        <f>'1 datos preparados'!J93</f>
        <v/>
      </c>
      <c r="L100" s="7">
        <f>'1 datos preparados'!K93</f>
        <v/>
      </c>
      <c r="M100" s="7">
        <f>'1 datos preparados'!L93</f>
        <v/>
      </c>
      <c r="N100" s="7">
        <f>'1 datos preparados'!M93</f>
        <v/>
      </c>
      <c r="O100" s="7">
        <f>'1 datos preparados'!N93</f>
        <v/>
      </c>
      <c r="P100" s="7">
        <f>'1 datos preparados'!O93</f>
        <v/>
      </c>
      <c r="Q100" s="7">
        <f>'1 datos preparados'!P93</f>
        <v/>
      </c>
      <c r="R100" s="7">
        <f>'1 datos preparados'!Q93</f>
        <v/>
      </c>
      <c r="S100" s="7">
        <f>'1 datos preparados'!R93</f>
        <v/>
      </c>
      <c r="T100" s="7">
        <f>'1 datos preparados'!S93</f>
        <v/>
      </c>
      <c r="U100" s="7">
        <f>'1 datos preparados'!T93</f>
        <v/>
      </c>
      <c r="V100" s="8">
        <f>$AE$12+D100*$AE$13+E100*$AE$14+F100*$AE$15+G100*$AE$16+H100*$AE$17+I100*$AE$18+J100*$AE$19+K100*$AE$20+L100*$AE$21+M100*$AE$22+N100*$AE$23+O100*$AE$24+P100*$AE$25+Q100*$AE$26+R100*$AE$27+S100*$AE$28+T100*$AE$29+U100*$AE$30</f>
        <v/>
      </c>
      <c r="W100" s="8">
        <f>1/(1+EXP(-V100))</f>
        <v/>
      </c>
      <c r="X100" s="9">
        <f>-IF(C100=1,LN(W100),LN(1-W100))</f>
        <v/>
      </c>
      <c r="Y100" s="8">
        <f>IF(C100=1,$AE$32,$AE$33)</f>
        <v/>
      </c>
      <c r="Z100" s="9">
        <f>Y100*X100</f>
        <v/>
      </c>
      <c r="AA100" s="10">
        <f>IF(W100&gt;$AE$34,1,0)</f>
        <v/>
      </c>
      <c r="AB100">
        <f>IF(AA100=C100,1,0)</f>
        <v/>
      </c>
    </row>
    <row r="101">
      <c r="A101">
        <f>'1 datos preparados'!A94</f>
        <v/>
      </c>
      <c r="B101" s="5">
        <f>'1 datos preparados'!U94</f>
        <v/>
      </c>
      <c r="C101">
        <f>'1 datos preparados'!B94</f>
        <v/>
      </c>
      <c r="D101" s="7">
        <f>'1 datos preparados'!C94</f>
        <v/>
      </c>
      <c r="E101" s="7">
        <f>'1 datos preparados'!D94</f>
        <v/>
      </c>
      <c r="F101" s="7">
        <f>'1 datos preparados'!E94</f>
        <v/>
      </c>
      <c r="G101" s="7">
        <f>'1 datos preparados'!F94</f>
        <v/>
      </c>
      <c r="H101" s="7">
        <f>'1 datos preparados'!G94</f>
        <v/>
      </c>
      <c r="I101" s="7">
        <f>'1 datos preparados'!H94</f>
        <v/>
      </c>
      <c r="J101" s="7">
        <f>'1 datos preparados'!I94</f>
        <v/>
      </c>
      <c r="K101" s="7">
        <f>'1 datos preparados'!J94</f>
        <v/>
      </c>
      <c r="L101" s="7">
        <f>'1 datos preparados'!K94</f>
        <v/>
      </c>
      <c r="M101" s="7">
        <f>'1 datos preparados'!L94</f>
        <v/>
      </c>
      <c r="N101" s="7">
        <f>'1 datos preparados'!M94</f>
        <v/>
      </c>
      <c r="O101" s="7">
        <f>'1 datos preparados'!N94</f>
        <v/>
      </c>
      <c r="P101" s="7">
        <f>'1 datos preparados'!O94</f>
        <v/>
      </c>
      <c r="Q101" s="7">
        <f>'1 datos preparados'!P94</f>
        <v/>
      </c>
      <c r="R101" s="7">
        <f>'1 datos preparados'!Q94</f>
        <v/>
      </c>
      <c r="S101" s="7">
        <f>'1 datos preparados'!R94</f>
        <v/>
      </c>
      <c r="T101" s="7">
        <f>'1 datos preparados'!S94</f>
        <v/>
      </c>
      <c r="U101" s="7">
        <f>'1 datos preparados'!T94</f>
        <v/>
      </c>
      <c r="V101" s="8">
        <f>$AE$12+D101*$AE$13+E101*$AE$14+F101*$AE$15+G101*$AE$16+H101*$AE$17+I101*$AE$18+J101*$AE$19+K101*$AE$20+L101*$AE$21+M101*$AE$22+N101*$AE$23+O101*$AE$24+P101*$AE$25+Q101*$AE$26+R101*$AE$27+S101*$AE$28+T101*$AE$29+U101*$AE$30</f>
        <v/>
      </c>
      <c r="W101" s="8">
        <f>1/(1+EXP(-V101))</f>
        <v/>
      </c>
      <c r="X101" s="9">
        <f>-IF(C101=1,LN(W101),LN(1-W101))</f>
        <v/>
      </c>
      <c r="Y101" s="8">
        <f>IF(C101=1,$AE$32,$AE$33)</f>
        <v/>
      </c>
      <c r="Z101" s="9">
        <f>Y101*X101</f>
        <v/>
      </c>
      <c r="AA101" s="10">
        <f>IF(W101&gt;$AE$34,1,0)</f>
        <v/>
      </c>
      <c r="AB101">
        <f>IF(AA101=C101,1,0)</f>
        <v/>
      </c>
    </row>
    <row r="102">
      <c r="A102">
        <f>'1 datos preparados'!A95</f>
        <v/>
      </c>
      <c r="B102" s="5">
        <f>'1 datos preparados'!U95</f>
        <v/>
      </c>
      <c r="C102">
        <f>'1 datos preparados'!B95</f>
        <v/>
      </c>
      <c r="D102" s="7">
        <f>'1 datos preparados'!C95</f>
        <v/>
      </c>
      <c r="E102" s="7">
        <f>'1 datos preparados'!D95</f>
        <v/>
      </c>
      <c r="F102" s="7">
        <f>'1 datos preparados'!E95</f>
        <v/>
      </c>
      <c r="G102" s="7">
        <f>'1 datos preparados'!F95</f>
        <v/>
      </c>
      <c r="H102" s="7">
        <f>'1 datos preparados'!G95</f>
        <v/>
      </c>
      <c r="I102" s="7">
        <f>'1 datos preparados'!H95</f>
        <v/>
      </c>
      <c r="J102" s="7">
        <f>'1 datos preparados'!I95</f>
        <v/>
      </c>
      <c r="K102" s="7">
        <f>'1 datos preparados'!J95</f>
        <v/>
      </c>
      <c r="L102" s="7">
        <f>'1 datos preparados'!K95</f>
        <v/>
      </c>
      <c r="M102" s="7">
        <f>'1 datos preparados'!L95</f>
        <v/>
      </c>
      <c r="N102" s="7">
        <f>'1 datos preparados'!M95</f>
        <v/>
      </c>
      <c r="O102" s="7">
        <f>'1 datos preparados'!N95</f>
        <v/>
      </c>
      <c r="P102" s="7">
        <f>'1 datos preparados'!O95</f>
        <v/>
      </c>
      <c r="Q102" s="7">
        <f>'1 datos preparados'!P95</f>
        <v/>
      </c>
      <c r="R102" s="7">
        <f>'1 datos preparados'!Q95</f>
        <v/>
      </c>
      <c r="S102" s="7">
        <f>'1 datos preparados'!R95</f>
        <v/>
      </c>
      <c r="T102" s="7">
        <f>'1 datos preparados'!S95</f>
        <v/>
      </c>
      <c r="U102" s="7">
        <f>'1 datos preparados'!T95</f>
        <v/>
      </c>
      <c r="V102" s="8">
        <f>$AE$12+D102*$AE$13+E102*$AE$14+F102*$AE$15+G102*$AE$16+H102*$AE$17+I102*$AE$18+J102*$AE$19+K102*$AE$20+L102*$AE$21+M102*$AE$22+N102*$AE$23+O102*$AE$24+P102*$AE$25+Q102*$AE$26+R102*$AE$27+S102*$AE$28+T102*$AE$29+U102*$AE$30</f>
        <v/>
      </c>
      <c r="W102" s="8">
        <f>1/(1+EXP(-V102))</f>
        <v/>
      </c>
      <c r="X102" s="9">
        <f>-IF(C102=1,LN(W102),LN(1-W102))</f>
        <v/>
      </c>
      <c r="Y102" s="8">
        <f>IF(C102=1,$AE$32,$AE$33)</f>
        <v/>
      </c>
      <c r="Z102" s="9">
        <f>Y102*X102</f>
        <v/>
      </c>
      <c r="AA102" s="10">
        <f>IF(W102&gt;$AE$34,1,0)</f>
        <v/>
      </c>
      <c r="AB102">
        <f>IF(AA102=C102,1,0)</f>
        <v/>
      </c>
    </row>
    <row r="103">
      <c r="A103">
        <f>'1 datos preparados'!A96</f>
        <v/>
      </c>
      <c r="B103" s="5">
        <f>'1 datos preparados'!U96</f>
        <v/>
      </c>
      <c r="C103">
        <f>'1 datos preparados'!B96</f>
        <v/>
      </c>
      <c r="D103" s="7">
        <f>'1 datos preparados'!C96</f>
        <v/>
      </c>
      <c r="E103" s="7">
        <f>'1 datos preparados'!D96</f>
        <v/>
      </c>
      <c r="F103" s="7">
        <f>'1 datos preparados'!E96</f>
        <v/>
      </c>
      <c r="G103" s="7">
        <f>'1 datos preparados'!F96</f>
        <v/>
      </c>
      <c r="H103" s="7">
        <f>'1 datos preparados'!G96</f>
        <v/>
      </c>
      <c r="I103" s="7">
        <f>'1 datos preparados'!H96</f>
        <v/>
      </c>
      <c r="J103" s="7">
        <f>'1 datos preparados'!I96</f>
        <v/>
      </c>
      <c r="K103" s="7">
        <f>'1 datos preparados'!J96</f>
        <v/>
      </c>
      <c r="L103" s="7">
        <f>'1 datos preparados'!K96</f>
        <v/>
      </c>
      <c r="M103" s="7">
        <f>'1 datos preparados'!L96</f>
        <v/>
      </c>
      <c r="N103" s="7">
        <f>'1 datos preparados'!M96</f>
        <v/>
      </c>
      <c r="O103" s="7">
        <f>'1 datos preparados'!N96</f>
        <v/>
      </c>
      <c r="P103" s="7">
        <f>'1 datos preparados'!O96</f>
        <v/>
      </c>
      <c r="Q103" s="7">
        <f>'1 datos preparados'!P96</f>
        <v/>
      </c>
      <c r="R103" s="7">
        <f>'1 datos preparados'!Q96</f>
        <v/>
      </c>
      <c r="S103" s="7">
        <f>'1 datos preparados'!R96</f>
        <v/>
      </c>
      <c r="T103" s="7">
        <f>'1 datos preparados'!S96</f>
        <v/>
      </c>
      <c r="U103" s="7">
        <f>'1 datos preparados'!T96</f>
        <v/>
      </c>
      <c r="V103" s="8">
        <f>$AE$12+D103*$AE$13+E103*$AE$14+F103*$AE$15+G103*$AE$16+H103*$AE$17+I103*$AE$18+J103*$AE$19+K103*$AE$20+L103*$AE$21+M103*$AE$22+N103*$AE$23+O103*$AE$24+P103*$AE$25+Q103*$AE$26+R103*$AE$27+S103*$AE$28+T103*$AE$29+U103*$AE$30</f>
        <v/>
      </c>
      <c r="W103" s="8">
        <f>1/(1+EXP(-V103))</f>
        <v/>
      </c>
      <c r="X103" s="9">
        <f>-IF(C103=1,LN(W103),LN(1-W103))</f>
        <v/>
      </c>
      <c r="Y103" s="8">
        <f>IF(C103=1,$AE$32,$AE$33)</f>
        <v/>
      </c>
      <c r="Z103" s="9">
        <f>Y103*X103</f>
        <v/>
      </c>
      <c r="AA103" s="10">
        <f>IF(W103&gt;$AE$34,1,0)</f>
        <v/>
      </c>
      <c r="AB103">
        <f>IF(AA103=C103,1,0)</f>
        <v/>
      </c>
    </row>
    <row r="104">
      <c r="A104">
        <f>'1 datos preparados'!A97</f>
        <v/>
      </c>
      <c r="B104" s="5">
        <f>'1 datos preparados'!U97</f>
        <v/>
      </c>
      <c r="C104">
        <f>'1 datos preparados'!B97</f>
        <v/>
      </c>
      <c r="D104" s="7">
        <f>'1 datos preparados'!C97</f>
        <v/>
      </c>
      <c r="E104" s="7">
        <f>'1 datos preparados'!D97</f>
        <v/>
      </c>
      <c r="F104" s="7">
        <f>'1 datos preparados'!E97</f>
        <v/>
      </c>
      <c r="G104" s="7">
        <f>'1 datos preparados'!F97</f>
        <v/>
      </c>
      <c r="H104" s="7">
        <f>'1 datos preparados'!G97</f>
        <v/>
      </c>
      <c r="I104" s="7">
        <f>'1 datos preparados'!H97</f>
        <v/>
      </c>
      <c r="J104" s="7">
        <f>'1 datos preparados'!I97</f>
        <v/>
      </c>
      <c r="K104" s="7">
        <f>'1 datos preparados'!J97</f>
        <v/>
      </c>
      <c r="L104" s="7">
        <f>'1 datos preparados'!K97</f>
        <v/>
      </c>
      <c r="M104" s="7">
        <f>'1 datos preparados'!L97</f>
        <v/>
      </c>
      <c r="N104" s="7">
        <f>'1 datos preparados'!M97</f>
        <v/>
      </c>
      <c r="O104" s="7">
        <f>'1 datos preparados'!N97</f>
        <v/>
      </c>
      <c r="P104" s="7">
        <f>'1 datos preparados'!O97</f>
        <v/>
      </c>
      <c r="Q104" s="7">
        <f>'1 datos preparados'!P97</f>
        <v/>
      </c>
      <c r="R104" s="7">
        <f>'1 datos preparados'!Q97</f>
        <v/>
      </c>
      <c r="S104" s="7">
        <f>'1 datos preparados'!R97</f>
        <v/>
      </c>
      <c r="T104" s="7">
        <f>'1 datos preparados'!S97</f>
        <v/>
      </c>
      <c r="U104" s="7">
        <f>'1 datos preparados'!T97</f>
        <v/>
      </c>
      <c r="V104" s="8">
        <f>$AE$12+D104*$AE$13+E104*$AE$14+F104*$AE$15+G104*$AE$16+H104*$AE$17+I104*$AE$18+J104*$AE$19+K104*$AE$20+L104*$AE$21+M104*$AE$22+N104*$AE$23+O104*$AE$24+P104*$AE$25+Q104*$AE$26+R104*$AE$27+S104*$AE$28+T104*$AE$29+U104*$AE$30</f>
        <v/>
      </c>
      <c r="W104" s="8">
        <f>1/(1+EXP(-V104))</f>
        <v/>
      </c>
      <c r="X104" s="9">
        <f>-IF(C104=1,LN(W104),LN(1-W104))</f>
        <v/>
      </c>
      <c r="Y104" s="8">
        <f>IF(C104=1,$AE$32,$AE$33)</f>
        <v/>
      </c>
      <c r="Z104" s="9">
        <f>Y104*X104</f>
        <v/>
      </c>
      <c r="AA104" s="10">
        <f>IF(W104&gt;$AE$34,1,0)</f>
        <v/>
      </c>
      <c r="AB104">
        <f>IF(AA104=C104,1,0)</f>
        <v/>
      </c>
    </row>
    <row r="105">
      <c r="A105">
        <f>'1 datos preparados'!A98</f>
        <v/>
      </c>
      <c r="B105" s="5">
        <f>'1 datos preparados'!U98</f>
        <v/>
      </c>
      <c r="C105">
        <f>'1 datos preparados'!B98</f>
        <v/>
      </c>
      <c r="D105" s="7">
        <f>'1 datos preparados'!C98</f>
        <v/>
      </c>
      <c r="E105" s="7">
        <f>'1 datos preparados'!D98</f>
        <v/>
      </c>
      <c r="F105" s="7">
        <f>'1 datos preparados'!E98</f>
        <v/>
      </c>
      <c r="G105" s="7">
        <f>'1 datos preparados'!F98</f>
        <v/>
      </c>
      <c r="H105" s="7">
        <f>'1 datos preparados'!G98</f>
        <v/>
      </c>
      <c r="I105" s="7">
        <f>'1 datos preparados'!H98</f>
        <v/>
      </c>
      <c r="J105" s="7">
        <f>'1 datos preparados'!I98</f>
        <v/>
      </c>
      <c r="K105" s="7">
        <f>'1 datos preparados'!J98</f>
        <v/>
      </c>
      <c r="L105" s="7">
        <f>'1 datos preparados'!K98</f>
        <v/>
      </c>
      <c r="M105" s="7">
        <f>'1 datos preparados'!L98</f>
        <v/>
      </c>
      <c r="N105" s="7">
        <f>'1 datos preparados'!M98</f>
        <v/>
      </c>
      <c r="O105" s="7">
        <f>'1 datos preparados'!N98</f>
        <v/>
      </c>
      <c r="P105" s="7">
        <f>'1 datos preparados'!O98</f>
        <v/>
      </c>
      <c r="Q105" s="7">
        <f>'1 datos preparados'!P98</f>
        <v/>
      </c>
      <c r="R105" s="7">
        <f>'1 datos preparados'!Q98</f>
        <v/>
      </c>
      <c r="S105" s="7">
        <f>'1 datos preparados'!R98</f>
        <v/>
      </c>
      <c r="T105" s="7">
        <f>'1 datos preparados'!S98</f>
        <v/>
      </c>
      <c r="U105" s="7">
        <f>'1 datos preparados'!T98</f>
        <v/>
      </c>
      <c r="V105" s="8">
        <f>$AE$12+D105*$AE$13+E105*$AE$14+F105*$AE$15+G105*$AE$16+H105*$AE$17+I105*$AE$18+J105*$AE$19+K105*$AE$20+L105*$AE$21+M105*$AE$22+N105*$AE$23+O105*$AE$24+P105*$AE$25+Q105*$AE$26+R105*$AE$27+S105*$AE$28+T105*$AE$29+U105*$AE$30</f>
        <v/>
      </c>
      <c r="W105" s="8">
        <f>1/(1+EXP(-V105))</f>
        <v/>
      </c>
      <c r="X105" s="9">
        <f>-IF(C105=1,LN(W105),LN(1-W105))</f>
        <v/>
      </c>
      <c r="Y105" s="8">
        <f>IF(C105=1,$AE$32,$AE$33)</f>
        <v/>
      </c>
      <c r="Z105" s="9">
        <f>Y105*X105</f>
        <v/>
      </c>
      <c r="AA105" s="10">
        <f>IF(W105&gt;$AE$34,1,0)</f>
        <v/>
      </c>
      <c r="AB105">
        <f>IF(AA105=C105,1,0)</f>
        <v/>
      </c>
    </row>
    <row r="106">
      <c r="A106">
        <f>'1 datos preparados'!A99</f>
        <v/>
      </c>
      <c r="B106" s="5">
        <f>'1 datos preparados'!U99</f>
        <v/>
      </c>
      <c r="C106">
        <f>'1 datos preparados'!B99</f>
        <v/>
      </c>
      <c r="D106" s="7">
        <f>'1 datos preparados'!C99</f>
        <v/>
      </c>
      <c r="E106" s="7">
        <f>'1 datos preparados'!D99</f>
        <v/>
      </c>
      <c r="F106" s="7">
        <f>'1 datos preparados'!E99</f>
        <v/>
      </c>
      <c r="G106" s="7">
        <f>'1 datos preparados'!F99</f>
        <v/>
      </c>
      <c r="H106" s="7">
        <f>'1 datos preparados'!G99</f>
        <v/>
      </c>
      <c r="I106" s="7">
        <f>'1 datos preparados'!H99</f>
        <v/>
      </c>
      <c r="J106" s="7">
        <f>'1 datos preparados'!I99</f>
        <v/>
      </c>
      <c r="K106" s="7">
        <f>'1 datos preparados'!J99</f>
        <v/>
      </c>
      <c r="L106" s="7">
        <f>'1 datos preparados'!K99</f>
        <v/>
      </c>
      <c r="M106" s="7">
        <f>'1 datos preparados'!L99</f>
        <v/>
      </c>
      <c r="N106" s="7">
        <f>'1 datos preparados'!M99</f>
        <v/>
      </c>
      <c r="O106" s="7">
        <f>'1 datos preparados'!N99</f>
        <v/>
      </c>
      <c r="P106" s="7">
        <f>'1 datos preparados'!O99</f>
        <v/>
      </c>
      <c r="Q106" s="7">
        <f>'1 datos preparados'!P99</f>
        <v/>
      </c>
      <c r="R106" s="7">
        <f>'1 datos preparados'!Q99</f>
        <v/>
      </c>
      <c r="S106" s="7">
        <f>'1 datos preparados'!R99</f>
        <v/>
      </c>
      <c r="T106" s="7">
        <f>'1 datos preparados'!S99</f>
        <v/>
      </c>
      <c r="U106" s="7">
        <f>'1 datos preparados'!T99</f>
        <v/>
      </c>
      <c r="V106" s="8">
        <f>$AE$12+D106*$AE$13+E106*$AE$14+F106*$AE$15+G106*$AE$16+H106*$AE$17+I106*$AE$18+J106*$AE$19+K106*$AE$20+L106*$AE$21+M106*$AE$22+N106*$AE$23+O106*$AE$24+P106*$AE$25+Q106*$AE$26+R106*$AE$27+S106*$AE$28+T106*$AE$29+U106*$AE$30</f>
        <v/>
      </c>
      <c r="W106" s="8">
        <f>1/(1+EXP(-V106))</f>
        <v/>
      </c>
      <c r="X106" s="9">
        <f>-IF(C106=1,LN(W106),LN(1-W106))</f>
        <v/>
      </c>
      <c r="Y106" s="8">
        <f>IF(C106=1,$AE$32,$AE$33)</f>
        <v/>
      </c>
      <c r="Z106" s="9">
        <f>Y106*X106</f>
        <v/>
      </c>
      <c r="AA106" s="10">
        <f>IF(W106&gt;$AE$34,1,0)</f>
        <v/>
      </c>
      <c r="AB106">
        <f>IF(AA106=C106,1,0)</f>
        <v/>
      </c>
    </row>
    <row r="107">
      <c r="A107">
        <f>'1 datos preparados'!A100</f>
        <v/>
      </c>
      <c r="B107" s="5">
        <f>'1 datos preparados'!U100</f>
        <v/>
      </c>
      <c r="C107">
        <f>'1 datos preparados'!B100</f>
        <v/>
      </c>
      <c r="D107" s="7">
        <f>'1 datos preparados'!C100</f>
        <v/>
      </c>
      <c r="E107" s="7">
        <f>'1 datos preparados'!D100</f>
        <v/>
      </c>
      <c r="F107" s="7">
        <f>'1 datos preparados'!E100</f>
        <v/>
      </c>
      <c r="G107" s="7">
        <f>'1 datos preparados'!F100</f>
        <v/>
      </c>
      <c r="H107" s="7">
        <f>'1 datos preparados'!G100</f>
        <v/>
      </c>
      <c r="I107" s="7">
        <f>'1 datos preparados'!H100</f>
        <v/>
      </c>
      <c r="J107" s="7">
        <f>'1 datos preparados'!I100</f>
        <v/>
      </c>
      <c r="K107" s="7">
        <f>'1 datos preparados'!J100</f>
        <v/>
      </c>
      <c r="L107" s="7">
        <f>'1 datos preparados'!K100</f>
        <v/>
      </c>
      <c r="M107" s="7">
        <f>'1 datos preparados'!L100</f>
        <v/>
      </c>
      <c r="N107" s="7">
        <f>'1 datos preparados'!M100</f>
        <v/>
      </c>
      <c r="O107" s="7">
        <f>'1 datos preparados'!N100</f>
        <v/>
      </c>
      <c r="P107" s="7">
        <f>'1 datos preparados'!O100</f>
        <v/>
      </c>
      <c r="Q107" s="7">
        <f>'1 datos preparados'!P100</f>
        <v/>
      </c>
      <c r="R107" s="7">
        <f>'1 datos preparados'!Q100</f>
        <v/>
      </c>
      <c r="S107" s="7">
        <f>'1 datos preparados'!R100</f>
        <v/>
      </c>
      <c r="T107" s="7">
        <f>'1 datos preparados'!S100</f>
        <v/>
      </c>
      <c r="U107" s="7">
        <f>'1 datos preparados'!T100</f>
        <v/>
      </c>
      <c r="V107" s="8">
        <f>$AE$12+D107*$AE$13+E107*$AE$14+F107*$AE$15+G107*$AE$16+H107*$AE$17+I107*$AE$18+J107*$AE$19+K107*$AE$20+L107*$AE$21+M107*$AE$22+N107*$AE$23+O107*$AE$24+P107*$AE$25+Q107*$AE$26+R107*$AE$27+S107*$AE$28+T107*$AE$29+U107*$AE$30</f>
        <v/>
      </c>
      <c r="W107" s="8">
        <f>1/(1+EXP(-V107))</f>
        <v/>
      </c>
      <c r="X107" s="9">
        <f>-IF(C107=1,LN(W107),LN(1-W107))</f>
        <v/>
      </c>
      <c r="Y107" s="8">
        <f>IF(C107=1,$AE$32,$AE$33)</f>
        <v/>
      </c>
      <c r="Z107" s="9">
        <f>Y107*X107</f>
        <v/>
      </c>
      <c r="AA107" s="10">
        <f>IF(W107&gt;$AE$34,1,0)</f>
        <v/>
      </c>
      <c r="AB107">
        <f>IF(AA107=C107,1,0)</f>
        <v/>
      </c>
    </row>
    <row r="108">
      <c r="A108">
        <f>'1 datos preparados'!A101</f>
        <v/>
      </c>
      <c r="B108" s="5">
        <f>'1 datos preparados'!U101</f>
        <v/>
      </c>
      <c r="C108">
        <f>'1 datos preparados'!B101</f>
        <v/>
      </c>
      <c r="D108" s="7">
        <f>'1 datos preparados'!C101</f>
        <v/>
      </c>
      <c r="E108" s="7">
        <f>'1 datos preparados'!D101</f>
        <v/>
      </c>
      <c r="F108" s="7">
        <f>'1 datos preparados'!E101</f>
        <v/>
      </c>
      <c r="G108" s="7">
        <f>'1 datos preparados'!F101</f>
        <v/>
      </c>
      <c r="H108" s="7">
        <f>'1 datos preparados'!G101</f>
        <v/>
      </c>
      <c r="I108" s="7">
        <f>'1 datos preparados'!H101</f>
        <v/>
      </c>
      <c r="J108" s="7">
        <f>'1 datos preparados'!I101</f>
        <v/>
      </c>
      <c r="K108" s="7">
        <f>'1 datos preparados'!J101</f>
        <v/>
      </c>
      <c r="L108" s="7">
        <f>'1 datos preparados'!K101</f>
        <v/>
      </c>
      <c r="M108" s="7">
        <f>'1 datos preparados'!L101</f>
        <v/>
      </c>
      <c r="N108" s="7">
        <f>'1 datos preparados'!M101</f>
        <v/>
      </c>
      <c r="O108" s="7">
        <f>'1 datos preparados'!N101</f>
        <v/>
      </c>
      <c r="P108" s="7">
        <f>'1 datos preparados'!O101</f>
        <v/>
      </c>
      <c r="Q108" s="7">
        <f>'1 datos preparados'!P101</f>
        <v/>
      </c>
      <c r="R108" s="7">
        <f>'1 datos preparados'!Q101</f>
        <v/>
      </c>
      <c r="S108" s="7">
        <f>'1 datos preparados'!R101</f>
        <v/>
      </c>
      <c r="T108" s="7">
        <f>'1 datos preparados'!S101</f>
        <v/>
      </c>
      <c r="U108" s="7">
        <f>'1 datos preparados'!T101</f>
        <v/>
      </c>
      <c r="V108" s="8">
        <f>$AE$12+D108*$AE$13+E108*$AE$14+F108*$AE$15+G108*$AE$16+H108*$AE$17+I108*$AE$18+J108*$AE$19+K108*$AE$20+L108*$AE$21+M108*$AE$22+N108*$AE$23+O108*$AE$24+P108*$AE$25+Q108*$AE$26+R108*$AE$27+S108*$AE$28+T108*$AE$29+U108*$AE$30</f>
        <v/>
      </c>
      <c r="W108" s="8">
        <f>1/(1+EXP(-V108))</f>
        <v/>
      </c>
      <c r="X108" s="9">
        <f>-IF(C108=1,LN(W108),LN(1-W108))</f>
        <v/>
      </c>
      <c r="Y108" s="8">
        <f>IF(C108=1,$AE$32,$AE$33)</f>
        <v/>
      </c>
      <c r="Z108" s="9">
        <f>Y108*X108</f>
        <v/>
      </c>
      <c r="AA108" s="10">
        <f>IF(W108&gt;$AE$34,1,0)</f>
        <v/>
      </c>
      <c r="AB108">
        <f>IF(AA108=C108,1,0)</f>
        <v/>
      </c>
    </row>
    <row r="109">
      <c r="A109">
        <f>'1 datos preparados'!A102</f>
        <v/>
      </c>
      <c r="B109" s="5">
        <f>'1 datos preparados'!U102</f>
        <v/>
      </c>
      <c r="C109">
        <f>'1 datos preparados'!B102</f>
        <v/>
      </c>
      <c r="D109" s="7">
        <f>'1 datos preparados'!C102</f>
        <v/>
      </c>
      <c r="E109" s="7">
        <f>'1 datos preparados'!D102</f>
        <v/>
      </c>
      <c r="F109" s="7">
        <f>'1 datos preparados'!E102</f>
        <v/>
      </c>
      <c r="G109" s="7">
        <f>'1 datos preparados'!F102</f>
        <v/>
      </c>
      <c r="H109" s="7">
        <f>'1 datos preparados'!G102</f>
        <v/>
      </c>
      <c r="I109" s="7">
        <f>'1 datos preparados'!H102</f>
        <v/>
      </c>
      <c r="J109" s="7">
        <f>'1 datos preparados'!I102</f>
        <v/>
      </c>
      <c r="K109" s="7">
        <f>'1 datos preparados'!J102</f>
        <v/>
      </c>
      <c r="L109" s="7">
        <f>'1 datos preparados'!K102</f>
        <v/>
      </c>
      <c r="M109" s="7">
        <f>'1 datos preparados'!L102</f>
        <v/>
      </c>
      <c r="N109" s="7">
        <f>'1 datos preparados'!M102</f>
        <v/>
      </c>
      <c r="O109" s="7">
        <f>'1 datos preparados'!N102</f>
        <v/>
      </c>
      <c r="P109" s="7">
        <f>'1 datos preparados'!O102</f>
        <v/>
      </c>
      <c r="Q109" s="7">
        <f>'1 datos preparados'!P102</f>
        <v/>
      </c>
      <c r="R109" s="7">
        <f>'1 datos preparados'!Q102</f>
        <v/>
      </c>
      <c r="S109" s="7">
        <f>'1 datos preparados'!R102</f>
        <v/>
      </c>
      <c r="T109" s="7">
        <f>'1 datos preparados'!S102</f>
        <v/>
      </c>
      <c r="U109" s="7">
        <f>'1 datos preparados'!T102</f>
        <v/>
      </c>
      <c r="V109" s="8">
        <f>$AE$12+D109*$AE$13+E109*$AE$14+F109*$AE$15+G109*$AE$16+H109*$AE$17+I109*$AE$18+J109*$AE$19+K109*$AE$20+L109*$AE$21+M109*$AE$22+N109*$AE$23+O109*$AE$24+P109*$AE$25+Q109*$AE$26+R109*$AE$27+S109*$AE$28+T109*$AE$29+U109*$AE$30</f>
        <v/>
      </c>
      <c r="W109" s="8">
        <f>1/(1+EXP(-V109))</f>
        <v/>
      </c>
      <c r="X109" s="9">
        <f>-IF(C109=1,LN(W109),LN(1-W109))</f>
        <v/>
      </c>
      <c r="Y109" s="8">
        <f>IF(C109=1,$AE$32,$AE$33)</f>
        <v/>
      </c>
      <c r="Z109" s="9">
        <f>Y109*X109</f>
        <v/>
      </c>
      <c r="AA109" s="10">
        <f>IF(W109&gt;$AE$34,1,0)</f>
        <v/>
      </c>
      <c r="AB109">
        <f>IF(AA109=C109,1,0)</f>
        <v/>
      </c>
    </row>
    <row r="110">
      <c r="A110">
        <f>'1 datos preparados'!A103</f>
        <v/>
      </c>
      <c r="B110" s="5">
        <f>'1 datos preparados'!U103</f>
        <v/>
      </c>
      <c r="C110">
        <f>'1 datos preparados'!B103</f>
        <v/>
      </c>
      <c r="D110" s="7">
        <f>'1 datos preparados'!C103</f>
        <v/>
      </c>
      <c r="E110" s="7">
        <f>'1 datos preparados'!D103</f>
        <v/>
      </c>
      <c r="F110" s="7">
        <f>'1 datos preparados'!E103</f>
        <v/>
      </c>
      <c r="G110" s="7">
        <f>'1 datos preparados'!F103</f>
        <v/>
      </c>
      <c r="H110" s="7">
        <f>'1 datos preparados'!G103</f>
        <v/>
      </c>
      <c r="I110" s="7">
        <f>'1 datos preparados'!H103</f>
        <v/>
      </c>
      <c r="J110" s="7">
        <f>'1 datos preparados'!I103</f>
        <v/>
      </c>
      <c r="K110" s="7">
        <f>'1 datos preparados'!J103</f>
        <v/>
      </c>
      <c r="L110" s="7">
        <f>'1 datos preparados'!K103</f>
        <v/>
      </c>
      <c r="M110" s="7">
        <f>'1 datos preparados'!L103</f>
        <v/>
      </c>
      <c r="N110" s="7">
        <f>'1 datos preparados'!M103</f>
        <v/>
      </c>
      <c r="O110" s="7">
        <f>'1 datos preparados'!N103</f>
        <v/>
      </c>
      <c r="P110" s="7">
        <f>'1 datos preparados'!O103</f>
        <v/>
      </c>
      <c r="Q110" s="7">
        <f>'1 datos preparados'!P103</f>
        <v/>
      </c>
      <c r="R110" s="7">
        <f>'1 datos preparados'!Q103</f>
        <v/>
      </c>
      <c r="S110" s="7">
        <f>'1 datos preparados'!R103</f>
        <v/>
      </c>
      <c r="T110" s="7">
        <f>'1 datos preparados'!S103</f>
        <v/>
      </c>
      <c r="U110" s="7">
        <f>'1 datos preparados'!T103</f>
        <v/>
      </c>
      <c r="V110" s="8">
        <f>$AE$12+D110*$AE$13+E110*$AE$14+F110*$AE$15+G110*$AE$16+H110*$AE$17+I110*$AE$18+J110*$AE$19+K110*$AE$20+L110*$AE$21+M110*$AE$22+N110*$AE$23+O110*$AE$24+P110*$AE$25+Q110*$AE$26+R110*$AE$27+S110*$AE$28+T110*$AE$29+U110*$AE$30</f>
        <v/>
      </c>
      <c r="W110" s="8">
        <f>1/(1+EXP(-V110))</f>
        <v/>
      </c>
      <c r="X110" s="9">
        <f>-IF(C110=1,LN(W110),LN(1-W110))</f>
        <v/>
      </c>
      <c r="Y110" s="8">
        <f>IF(C110=1,$AE$32,$AE$33)</f>
        <v/>
      </c>
      <c r="Z110" s="9">
        <f>Y110*X110</f>
        <v/>
      </c>
      <c r="AA110" s="10">
        <f>IF(W110&gt;$AE$34,1,0)</f>
        <v/>
      </c>
      <c r="AB110">
        <f>IF(AA110=C110,1,0)</f>
        <v/>
      </c>
    </row>
    <row r="111">
      <c r="A111">
        <f>'1 datos preparados'!A104</f>
        <v/>
      </c>
      <c r="B111" s="5">
        <f>'1 datos preparados'!U104</f>
        <v/>
      </c>
      <c r="C111">
        <f>'1 datos preparados'!B104</f>
        <v/>
      </c>
      <c r="D111" s="7">
        <f>'1 datos preparados'!C104</f>
        <v/>
      </c>
      <c r="E111" s="7">
        <f>'1 datos preparados'!D104</f>
        <v/>
      </c>
      <c r="F111" s="7">
        <f>'1 datos preparados'!E104</f>
        <v/>
      </c>
      <c r="G111" s="7">
        <f>'1 datos preparados'!F104</f>
        <v/>
      </c>
      <c r="H111" s="7">
        <f>'1 datos preparados'!G104</f>
        <v/>
      </c>
      <c r="I111" s="7">
        <f>'1 datos preparados'!H104</f>
        <v/>
      </c>
      <c r="J111" s="7">
        <f>'1 datos preparados'!I104</f>
        <v/>
      </c>
      <c r="K111" s="7">
        <f>'1 datos preparados'!J104</f>
        <v/>
      </c>
      <c r="L111" s="7">
        <f>'1 datos preparados'!K104</f>
        <v/>
      </c>
      <c r="M111" s="7">
        <f>'1 datos preparados'!L104</f>
        <v/>
      </c>
      <c r="N111" s="7">
        <f>'1 datos preparados'!M104</f>
        <v/>
      </c>
      <c r="O111" s="7">
        <f>'1 datos preparados'!N104</f>
        <v/>
      </c>
      <c r="P111" s="7">
        <f>'1 datos preparados'!O104</f>
        <v/>
      </c>
      <c r="Q111" s="7">
        <f>'1 datos preparados'!P104</f>
        <v/>
      </c>
      <c r="R111" s="7">
        <f>'1 datos preparados'!Q104</f>
        <v/>
      </c>
      <c r="S111" s="7">
        <f>'1 datos preparados'!R104</f>
        <v/>
      </c>
      <c r="T111" s="7">
        <f>'1 datos preparados'!S104</f>
        <v/>
      </c>
      <c r="U111" s="7">
        <f>'1 datos preparados'!T104</f>
        <v/>
      </c>
      <c r="V111" s="8">
        <f>$AE$12+D111*$AE$13+E111*$AE$14+F111*$AE$15+G111*$AE$16+H111*$AE$17+I111*$AE$18+J111*$AE$19+K111*$AE$20+L111*$AE$21+M111*$AE$22+N111*$AE$23+O111*$AE$24+P111*$AE$25+Q111*$AE$26+R111*$AE$27+S111*$AE$28+T111*$AE$29+U111*$AE$30</f>
        <v/>
      </c>
      <c r="W111" s="8">
        <f>1/(1+EXP(-V111))</f>
        <v/>
      </c>
      <c r="X111" s="9">
        <f>-IF(C111=1,LN(W111),LN(1-W111))</f>
        <v/>
      </c>
      <c r="Y111" s="8">
        <f>IF(C111=1,$AE$32,$AE$33)</f>
        <v/>
      </c>
      <c r="Z111" s="9">
        <f>Y111*X111</f>
        <v/>
      </c>
      <c r="AA111" s="10">
        <f>IF(W111&gt;$AE$34,1,0)</f>
        <v/>
      </c>
      <c r="AB111">
        <f>IF(AA111=C111,1,0)</f>
        <v/>
      </c>
    </row>
    <row r="112">
      <c r="A112">
        <f>'1 datos preparados'!A105</f>
        <v/>
      </c>
      <c r="B112" s="5">
        <f>'1 datos preparados'!U105</f>
        <v/>
      </c>
      <c r="C112">
        <f>'1 datos preparados'!B105</f>
        <v/>
      </c>
      <c r="D112" s="7">
        <f>'1 datos preparados'!C105</f>
        <v/>
      </c>
      <c r="E112" s="7">
        <f>'1 datos preparados'!D105</f>
        <v/>
      </c>
      <c r="F112" s="7">
        <f>'1 datos preparados'!E105</f>
        <v/>
      </c>
      <c r="G112" s="7">
        <f>'1 datos preparados'!F105</f>
        <v/>
      </c>
      <c r="H112" s="7">
        <f>'1 datos preparados'!G105</f>
        <v/>
      </c>
      <c r="I112" s="7">
        <f>'1 datos preparados'!H105</f>
        <v/>
      </c>
      <c r="J112" s="7">
        <f>'1 datos preparados'!I105</f>
        <v/>
      </c>
      <c r="K112" s="7">
        <f>'1 datos preparados'!J105</f>
        <v/>
      </c>
      <c r="L112" s="7">
        <f>'1 datos preparados'!K105</f>
        <v/>
      </c>
      <c r="M112" s="7">
        <f>'1 datos preparados'!L105</f>
        <v/>
      </c>
      <c r="N112" s="7">
        <f>'1 datos preparados'!M105</f>
        <v/>
      </c>
      <c r="O112" s="7">
        <f>'1 datos preparados'!N105</f>
        <v/>
      </c>
      <c r="P112" s="7">
        <f>'1 datos preparados'!O105</f>
        <v/>
      </c>
      <c r="Q112" s="7">
        <f>'1 datos preparados'!P105</f>
        <v/>
      </c>
      <c r="R112" s="7">
        <f>'1 datos preparados'!Q105</f>
        <v/>
      </c>
      <c r="S112" s="7">
        <f>'1 datos preparados'!R105</f>
        <v/>
      </c>
      <c r="T112" s="7">
        <f>'1 datos preparados'!S105</f>
        <v/>
      </c>
      <c r="U112" s="7">
        <f>'1 datos preparados'!T105</f>
        <v/>
      </c>
      <c r="V112" s="8">
        <f>$AE$12+D112*$AE$13+E112*$AE$14+F112*$AE$15+G112*$AE$16+H112*$AE$17+I112*$AE$18+J112*$AE$19+K112*$AE$20+L112*$AE$21+M112*$AE$22+N112*$AE$23+O112*$AE$24+P112*$AE$25+Q112*$AE$26+R112*$AE$27+S112*$AE$28+T112*$AE$29+U112*$AE$30</f>
        <v/>
      </c>
      <c r="W112" s="8">
        <f>1/(1+EXP(-V112))</f>
        <v/>
      </c>
      <c r="X112" s="9">
        <f>-IF(C112=1,LN(W112),LN(1-W112))</f>
        <v/>
      </c>
      <c r="Y112" s="8">
        <f>IF(C112=1,$AE$32,$AE$33)</f>
        <v/>
      </c>
      <c r="Z112" s="9">
        <f>Y112*X112</f>
        <v/>
      </c>
      <c r="AA112" s="10">
        <f>IF(W112&gt;$AE$34,1,0)</f>
        <v/>
      </c>
      <c r="AB112">
        <f>IF(AA112=C112,1,0)</f>
        <v/>
      </c>
    </row>
    <row r="113">
      <c r="A113">
        <f>'1 datos preparados'!A106</f>
        <v/>
      </c>
      <c r="B113" s="5">
        <f>'1 datos preparados'!U106</f>
        <v/>
      </c>
      <c r="C113">
        <f>'1 datos preparados'!B106</f>
        <v/>
      </c>
      <c r="D113" s="7">
        <f>'1 datos preparados'!C106</f>
        <v/>
      </c>
      <c r="E113" s="7">
        <f>'1 datos preparados'!D106</f>
        <v/>
      </c>
      <c r="F113" s="7">
        <f>'1 datos preparados'!E106</f>
        <v/>
      </c>
      <c r="G113" s="7">
        <f>'1 datos preparados'!F106</f>
        <v/>
      </c>
      <c r="H113" s="7">
        <f>'1 datos preparados'!G106</f>
        <v/>
      </c>
      <c r="I113" s="7">
        <f>'1 datos preparados'!H106</f>
        <v/>
      </c>
      <c r="J113" s="7">
        <f>'1 datos preparados'!I106</f>
        <v/>
      </c>
      <c r="K113" s="7">
        <f>'1 datos preparados'!J106</f>
        <v/>
      </c>
      <c r="L113" s="7">
        <f>'1 datos preparados'!K106</f>
        <v/>
      </c>
      <c r="M113" s="7">
        <f>'1 datos preparados'!L106</f>
        <v/>
      </c>
      <c r="N113" s="7">
        <f>'1 datos preparados'!M106</f>
        <v/>
      </c>
      <c r="O113" s="7">
        <f>'1 datos preparados'!N106</f>
        <v/>
      </c>
      <c r="P113" s="7">
        <f>'1 datos preparados'!O106</f>
        <v/>
      </c>
      <c r="Q113" s="7">
        <f>'1 datos preparados'!P106</f>
        <v/>
      </c>
      <c r="R113" s="7">
        <f>'1 datos preparados'!Q106</f>
        <v/>
      </c>
      <c r="S113" s="7">
        <f>'1 datos preparados'!R106</f>
        <v/>
      </c>
      <c r="T113" s="7">
        <f>'1 datos preparados'!S106</f>
        <v/>
      </c>
      <c r="U113" s="7">
        <f>'1 datos preparados'!T106</f>
        <v/>
      </c>
      <c r="V113" s="8">
        <f>$AE$12+D113*$AE$13+E113*$AE$14+F113*$AE$15+G113*$AE$16+H113*$AE$17+I113*$AE$18+J113*$AE$19+K113*$AE$20+L113*$AE$21+M113*$AE$22+N113*$AE$23+O113*$AE$24+P113*$AE$25+Q113*$AE$26+R113*$AE$27+S113*$AE$28+T113*$AE$29+U113*$AE$30</f>
        <v/>
      </c>
      <c r="W113" s="8">
        <f>1/(1+EXP(-V113))</f>
        <v/>
      </c>
      <c r="X113" s="9">
        <f>-IF(C113=1,LN(W113),LN(1-W113))</f>
        <v/>
      </c>
      <c r="Y113" s="8">
        <f>IF(C113=1,$AE$32,$AE$33)</f>
        <v/>
      </c>
      <c r="Z113" s="9">
        <f>Y113*X113</f>
        <v/>
      </c>
      <c r="AA113" s="10">
        <f>IF(W113&gt;$AE$34,1,0)</f>
        <v/>
      </c>
      <c r="AB113">
        <f>IF(AA113=C113,1,0)</f>
        <v/>
      </c>
    </row>
    <row r="114">
      <c r="A114">
        <f>'1 datos preparados'!A107</f>
        <v/>
      </c>
      <c r="B114" s="5">
        <f>'1 datos preparados'!U107</f>
        <v/>
      </c>
      <c r="C114">
        <f>'1 datos preparados'!B107</f>
        <v/>
      </c>
      <c r="D114" s="7">
        <f>'1 datos preparados'!C107</f>
        <v/>
      </c>
      <c r="E114" s="7">
        <f>'1 datos preparados'!D107</f>
        <v/>
      </c>
      <c r="F114" s="7">
        <f>'1 datos preparados'!E107</f>
        <v/>
      </c>
      <c r="G114" s="7">
        <f>'1 datos preparados'!F107</f>
        <v/>
      </c>
      <c r="H114" s="7">
        <f>'1 datos preparados'!G107</f>
        <v/>
      </c>
      <c r="I114" s="7">
        <f>'1 datos preparados'!H107</f>
        <v/>
      </c>
      <c r="J114" s="7">
        <f>'1 datos preparados'!I107</f>
        <v/>
      </c>
      <c r="K114" s="7">
        <f>'1 datos preparados'!J107</f>
        <v/>
      </c>
      <c r="L114" s="7">
        <f>'1 datos preparados'!K107</f>
        <v/>
      </c>
      <c r="M114" s="7">
        <f>'1 datos preparados'!L107</f>
        <v/>
      </c>
      <c r="N114" s="7">
        <f>'1 datos preparados'!M107</f>
        <v/>
      </c>
      <c r="O114" s="7">
        <f>'1 datos preparados'!N107</f>
        <v/>
      </c>
      <c r="P114" s="7">
        <f>'1 datos preparados'!O107</f>
        <v/>
      </c>
      <c r="Q114" s="7">
        <f>'1 datos preparados'!P107</f>
        <v/>
      </c>
      <c r="R114" s="7">
        <f>'1 datos preparados'!Q107</f>
        <v/>
      </c>
      <c r="S114" s="7">
        <f>'1 datos preparados'!R107</f>
        <v/>
      </c>
      <c r="T114" s="7">
        <f>'1 datos preparados'!S107</f>
        <v/>
      </c>
      <c r="U114" s="7">
        <f>'1 datos preparados'!T107</f>
        <v/>
      </c>
      <c r="V114" s="8">
        <f>$AE$12+D114*$AE$13+E114*$AE$14+F114*$AE$15+G114*$AE$16+H114*$AE$17+I114*$AE$18+J114*$AE$19+K114*$AE$20+L114*$AE$21+M114*$AE$22+N114*$AE$23+O114*$AE$24+P114*$AE$25+Q114*$AE$26+R114*$AE$27+S114*$AE$28+T114*$AE$29+U114*$AE$30</f>
        <v/>
      </c>
      <c r="W114" s="8">
        <f>1/(1+EXP(-V114))</f>
        <v/>
      </c>
      <c r="X114" s="9">
        <f>-IF(C114=1,LN(W114),LN(1-W114))</f>
        <v/>
      </c>
      <c r="Y114" s="8">
        <f>IF(C114=1,$AE$32,$AE$33)</f>
        <v/>
      </c>
      <c r="Z114" s="9">
        <f>Y114*X114</f>
        <v/>
      </c>
      <c r="AA114" s="10">
        <f>IF(W114&gt;$AE$34,1,0)</f>
        <v/>
      </c>
      <c r="AB114">
        <f>IF(AA114=C114,1,0)</f>
        <v/>
      </c>
    </row>
    <row r="115">
      <c r="A115">
        <f>'1 datos preparados'!A108</f>
        <v/>
      </c>
      <c r="B115" s="5">
        <f>'1 datos preparados'!U108</f>
        <v/>
      </c>
      <c r="C115">
        <f>'1 datos preparados'!B108</f>
        <v/>
      </c>
      <c r="D115" s="7">
        <f>'1 datos preparados'!C108</f>
        <v/>
      </c>
      <c r="E115" s="7">
        <f>'1 datos preparados'!D108</f>
        <v/>
      </c>
      <c r="F115" s="7">
        <f>'1 datos preparados'!E108</f>
        <v/>
      </c>
      <c r="G115" s="7">
        <f>'1 datos preparados'!F108</f>
        <v/>
      </c>
      <c r="H115" s="7">
        <f>'1 datos preparados'!G108</f>
        <v/>
      </c>
      <c r="I115" s="7">
        <f>'1 datos preparados'!H108</f>
        <v/>
      </c>
      <c r="J115" s="7">
        <f>'1 datos preparados'!I108</f>
        <v/>
      </c>
      <c r="K115" s="7">
        <f>'1 datos preparados'!J108</f>
        <v/>
      </c>
      <c r="L115" s="7">
        <f>'1 datos preparados'!K108</f>
        <v/>
      </c>
      <c r="M115" s="7">
        <f>'1 datos preparados'!L108</f>
        <v/>
      </c>
      <c r="N115" s="7">
        <f>'1 datos preparados'!M108</f>
        <v/>
      </c>
      <c r="O115" s="7">
        <f>'1 datos preparados'!N108</f>
        <v/>
      </c>
      <c r="P115" s="7">
        <f>'1 datos preparados'!O108</f>
        <v/>
      </c>
      <c r="Q115" s="7">
        <f>'1 datos preparados'!P108</f>
        <v/>
      </c>
      <c r="R115" s="7">
        <f>'1 datos preparados'!Q108</f>
        <v/>
      </c>
      <c r="S115" s="7">
        <f>'1 datos preparados'!R108</f>
        <v/>
      </c>
      <c r="T115" s="7">
        <f>'1 datos preparados'!S108</f>
        <v/>
      </c>
      <c r="U115" s="7">
        <f>'1 datos preparados'!T108</f>
        <v/>
      </c>
      <c r="V115" s="8">
        <f>$AE$12+D115*$AE$13+E115*$AE$14+F115*$AE$15+G115*$AE$16+H115*$AE$17+I115*$AE$18+J115*$AE$19+K115*$AE$20+L115*$AE$21+M115*$AE$22+N115*$AE$23+O115*$AE$24+P115*$AE$25+Q115*$AE$26+R115*$AE$27+S115*$AE$28+T115*$AE$29+U115*$AE$30</f>
        <v/>
      </c>
      <c r="W115" s="8">
        <f>1/(1+EXP(-V115))</f>
        <v/>
      </c>
      <c r="X115" s="9">
        <f>-IF(C115=1,LN(W115),LN(1-W115))</f>
        <v/>
      </c>
      <c r="Y115" s="8">
        <f>IF(C115=1,$AE$32,$AE$33)</f>
        <v/>
      </c>
      <c r="Z115" s="9">
        <f>Y115*X115</f>
        <v/>
      </c>
      <c r="AA115" s="10">
        <f>IF(W115&gt;$AE$34,1,0)</f>
        <v/>
      </c>
      <c r="AB115">
        <f>IF(AA115=C115,1,0)</f>
        <v/>
      </c>
    </row>
    <row r="116">
      <c r="A116">
        <f>'1 datos preparados'!A109</f>
        <v/>
      </c>
      <c r="B116" s="5">
        <f>'1 datos preparados'!U109</f>
        <v/>
      </c>
      <c r="C116">
        <f>'1 datos preparados'!B109</f>
        <v/>
      </c>
      <c r="D116" s="7">
        <f>'1 datos preparados'!C109</f>
        <v/>
      </c>
      <c r="E116" s="7">
        <f>'1 datos preparados'!D109</f>
        <v/>
      </c>
      <c r="F116" s="7">
        <f>'1 datos preparados'!E109</f>
        <v/>
      </c>
      <c r="G116" s="7">
        <f>'1 datos preparados'!F109</f>
        <v/>
      </c>
      <c r="H116" s="7">
        <f>'1 datos preparados'!G109</f>
        <v/>
      </c>
      <c r="I116" s="7">
        <f>'1 datos preparados'!H109</f>
        <v/>
      </c>
      <c r="J116" s="7">
        <f>'1 datos preparados'!I109</f>
        <v/>
      </c>
      <c r="K116" s="7">
        <f>'1 datos preparados'!J109</f>
        <v/>
      </c>
      <c r="L116" s="7">
        <f>'1 datos preparados'!K109</f>
        <v/>
      </c>
      <c r="M116" s="7">
        <f>'1 datos preparados'!L109</f>
        <v/>
      </c>
      <c r="N116" s="7">
        <f>'1 datos preparados'!M109</f>
        <v/>
      </c>
      <c r="O116" s="7">
        <f>'1 datos preparados'!N109</f>
        <v/>
      </c>
      <c r="P116" s="7">
        <f>'1 datos preparados'!O109</f>
        <v/>
      </c>
      <c r="Q116" s="7">
        <f>'1 datos preparados'!P109</f>
        <v/>
      </c>
      <c r="R116" s="7">
        <f>'1 datos preparados'!Q109</f>
        <v/>
      </c>
      <c r="S116" s="7">
        <f>'1 datos preparados'!R109</f>
        <v/>
      </c>
      <c r="T116" s="7">
        <f>'1 datos preparados'!S109</f>
        <v/>
      </c>
      <c r="U116" s="7">
        <f>'1 datos preparados'!T109</f>
        <v/>
      </c>
      <c r="V116" s="8">
        <f>$AE$12+D116*$AE$13+E116*$AE$14+F116*$AE$15+G116*$AE$16+H116*$AE$17+I116*$AE$18+J116*$AE$19+K116*$AE$20+L116*$AE$21+M116*$AE$22+N116*$AE$23+O116*$AE$24+P116*$AE$25+Q116*$AE$26+R116*$AE$27+S116*$AE$28+T116*$AE$29+U116*$AE$30</f>
        <v/>
      </c>
      <c r="W116" s="8">
        <f>1/(1+EXP(-V116))</f>
        <v/>
      </c>
      <c r="X116" s="9">
        <f>-IF(C116=1,LN(W116),LN(1-W116))</f>
        <v/>
      </c>
      <c r="Y116" s="8">
        <f>IF(C116=1,$AE$32,$AE$33)</f>
        <v/>
      </c>
      <c r="Z116" s="9">
        <f>Y116*X116</f>
        <v/>
      </c>
      <c r="AA116" s="10">
        <f>IF(W116&gt;$AE$34,1,0)</f>
        <v/>
      </c>
      <c r="AB116">
        <f>IF(AA116=C116,1,0)</f>
        <v/>
      </c>
    </row>
    <row r="117">
      <c r="A117">
        <f>'1 datos preparados'!A110</f>
        <v/>
      </c>
      <c r="B117" s="5">
        <f>'1 datos preparados'!U110</f>
        <v/>
      </c>
      <c r="C117">
        <f>'1 datos preparados'!B110</f>
        <v/>
      </c>
      <c r="D117" s="7">
        <f>'1 datos preparados'!C110</f>
        <v/>
      </c>
      <c r="E117" s="7">
        <f>'1 datos preparados'!D110</f>
        <v/>
      </c>
      <c r="F117" s="7">
        <f>'1 datos preparados'!E110</f>
        <v/>
      </c>
      <c r="G117" s="7">
        <f>'1 datos preparados'!F110</f>
        <v/>
      </c>
      <c r="H117" s="7">
        <f>'1 datos preparados'!G110</f>
        <v/>
      </c>
      <c r="I117" s="7">
        <f>'1 datos preparados'!H110</f>
        <v/>
      </c>
      <c r="J117" s="7">
        <f>'1 datos preparados'!I110</f>
        <v/>
      </c>
      <c r="K117" s="7">
        <f>'1 datos preparados'!J110</f>
        <v/>
      </c>
      <c r="L117" s="7">
        <f>'1 datos preparados'!K110</f>
        <v/>
      </c>
      <c r="M117" s="7">
        <f>'1 datos preparados'!L110</f>
        <v/>
      </c>
      <c r="N117" s="7">
        <f>'1 datos preparados'!M110</f>
        <v/>
      </c>
      <c r="O117" s="7">
        <f>'1 datos preparados'!N110</f>
        <v/>
      </c>
      <c r="P117" s="7">
        <f>'1 datos preparados'!O110</f>
        <v/>
      </c>
      <c r="Q117" s="7">
        <f>'1 datos preparados'!P110</f>
        <v/>
      </c>
      <c r="R117" s="7">
        <f>'1 datos preparados'!Q110</f>
        <v/>
      </c>
      <c r="S117" s="7">
        <f>'1 datos preparados'!R110</f>
        <v/>
      </c>
      <c r="T117" s="7">
        <f>'1 datos preparados'!S110</f>
        <v/>
      </c>
      <c r="U117" s="7">
        <f>'1 datos preparados'!T110</f>
        <v/>
      </c>
      <c r="V117" s="8">
        <f>$AE$12+D117*$AE$13+E117*$AE$14+F117*$AE$15+G117*$AE$16+H117*$AE$17+I117*$AE$18+J117*$AE$19+K117*$AE$20+L117*$AE$21+M117*$AE$22+N117*$AE$23+O117*$AE$24+P117*$AE$25+Q117*$AE$26+R117*$AE$27+S117*$AE$28+T117*$AE$29+U117*$AE$30</f>
        <v/>
      </c>
      <c r="W117" s="8">
        <f>1/(1+EXP(-V117))</f>
        <v/>
      </c>
      <c r="X117" s="9">
        <f>-IF(C117=1,LN(W117),LN(1-W117))</f>
        <v/>
      </c>
      <c r="Y117" s="8">
        <f>IF(C117=1,$AE$32,$AE$33)</f>
        <v/>
      </c>
      <c r="Z117" s="9">
        <f>Y117*X117</f>
        <v/>
      </c>
      <c r="AA117" s="10">
        <f>IF(W117&gt;$AE$34,1,0)</f>
        <v/>
      </c>
      <c r="AB117">
        <f>IF(AA117=C117,1,0)</f>
        <v/>
      </c>
    </row>
    <row r="118">
      <c r="A118">
        <f>'1 datos preparados'!A111</f>
        <v/>
      </c>
      <c r="B118" s="5">
        <f>'1 datos preparados'!U111</f>
        <v/>
      </c>
      <c r="C118">
        <f>'1 datos preparados'!B111</f>
        <v/>
      </c>
      <c r="D118" s="7">
        <f>'1 datos preparados'!C111</f>
        <v/>
      </c>
      <c r="E118" s="7">
        <f>'1 datos preparados'!D111</f>
        <v/>
      </c>
      <c r="F118" s="7">
        <f>'1 datos preparados'!E111</f>
        <v/>
      </c>
      <c r="G118" s="7">
        <f>'1 datos preparados'!F111</f>
        <v/>
      </c>
      <c r="H118" s="7">
        <f>'1 datos preparados'!G111</f>
        <v/>
      </c>
      <c r="I118" s="7">
        <f>'1 datos preparados'!H111</f>
        <v/>
      </c>
      <c r="J118" s="7">
        <f>'1 datos preparados'!I111</f>
        <v/>
      </c>
      <c r="K118" s="7">
        <f>'1 datos preparados'!J111</f>
        <v/>
      </c>
      <c r="L118" s="7">
        <f>'1 datos preparados'!K111</f>
        <v/>
      </c>
      <c r="M118" s="7">
        <f>'1 datos preparados'!L111</f>
        <v/>
      </c>
      <c r="N118" s="7">
        <f>'1 datos preparados'!M111</f>
        <v/>
      </c>
      <c r="O118" s="7">
        <f>'1 datos preparados'!N111</f>
        <v/>
      </c>
      <c r="P118" s="7">
        <f>'1 datos preparados'!O111</f>
        <v/>
      </c>
      <c r="Q118" s="7">
        <f>'1 datos preparados'!P111</f>
        <v/>
      </c>
      <c r="R118" s="7">
        <f>'1 datos preparados'!Q111</f>
        <v/>
      </c>
      <c r="S118" s="7">
        <f>'1 datos preparados'!R111</f>
        <v/>
      </c>
      <c r="T118" s="7">
        <f>'1 datos preparados'!S111</f>
        <v/>
      </c>
      <c r="U118" s="7">
        <f>'1 datos preparados'!T111</f>
        <v/>
      </c>
      <c r="V118" s="8">
        <f>$AE$12+D118*$AE$13+E118*$AE$14+F118*$AE$15+G118*$AE$16+H118*$AE$17+I118*$AE$18+J118*$AE$19+K118*$AE$20+L118*$AE$21+M118*$AE$22+N118*$AE$23+O118*$AE$24+P118*$AE$25+Q118*$AE$26+R118*$AE$27+S118*$AE$28+T118*$AE$29+U118*$AE$30</f>
        <v/>
      </c>
      <c r="W118" s="8">
        <f>1/(1+EXP(-V118))</f>
        <v/>
      </c>
      <c r="X118" s="9">
        <f>-IF(C118=1,LN(W118),LN(1-W118))</f>
        <v/>
      </c>
      <c r="Y118" s="8">
        <f>IF(C118=1,$AE$32,$AE$33)</f>
        <v/>
      </c>
      <c r="Z118" s="9">
        <f>Y118*X118</f>
        <v/>
      </c>
      <c r="AA118" s="10">
        <f>IF(W118&gt;$AE$34,1,0)</f>
        <v/>
      </c>
      <c r="AB118">
        <f>IF(AA118=C118,1,0)</f>
        <v/>
      </c>
    </row>
    <row r="119">
      <c r="A119">
        <f>'1 datos preparados'!A112</f>
        <v/>
      </c>
      <c r="B119" s="5">
        <f>'1 datos preparados'!U112</f>
        <v/>
      </c>
      <c r="C119">
        <f>'1 datos preparados'!B112</f>
        <v/>
      </c>
      <c r="D119" s="7">
        <f>'1 datos preparados'!C112</f>
        <v/>
      </c>
      <c r="E119" s="7">
        <f>'1 datos preparados'!D112</f>
        <v/>
      </c>
      <c r="F119" s="7">
        <f>'1 datos preparados'!E112</f>
        <v/>
      </c>
      <c r="G119" s="7">
        <f>'1 datos preparados'!F112</f>
        <v/>
      </c>
      <c r="H119" s="7">
        <f>'1 datos preparados'!G112</f>
        <v/>
      </c>
      <c r="I119" s="7">
        <f>'1 datos preparados'!H112</f>
        <v/>
      </c>
      <c r="J119" s="7">
        <f>'1 datos preparados'!I112</f>
        <v/>
      </c>
      <c r="K119" s="7">
        <f>'1 datos preparados'!J112</f>
        <v/>
      </c>
      <c r="L119" s="7">
        <f>'1 datos preparados'!K112</f>
        <v/>
      </c>
      <c r="M119" s="7">
        <f>'1 datos preparados'!L112</f>
        <v/>
      </c>
      <c r="N119" s="7">
        <f>'1 datos preparados'!M112</f>
        <v/>
      </c>
      <c r="O119" s="7">
        <f>'1 datos preparados'!N112</f>
        <v/>
      </c>
      <c r="P119" s="7">
        <f>'1 datos preparados'!O112</f>
        <v/>
      </c>
      <c r="Q119" s="7">
        <f>'1 datos preparados'!P112</f>
        <v/>
      </c>
      <c r="R119" s="7">
        <f>'1 datos preparados'!Q112</f>
        <v/>
      </c>
      <c r="S119" s="7">
        <f>'1 datos preparados'!R112</f>
        <v/>
      </c>
      <c r="T119" s="7">
        <f>'1 datos preparados'!S112</f>
        <v/>
      </c>
      <c r="U119" s="7">
        <f>'1 datos preparados'!T112</f>
        <v/>
      </c>
      <c r="V119" s="8">
        <f>$AE$12+D119*$AE$13+E119*$AE$14+F119*$AE$15+G119*$AE$16+H119*$AE$17+I119*$AE$18+J119*$AE$19+K119*$AE$20+L119*$AE$21+M119*$AE$22+N119*$AE$23+O119*$AE$24+P119*$AE$25+Q119*$AE$26+R119*$AE$27+S119*$AE$28+T119*$AE$29+U119*$AE$30</f>
        <v/>
      </c>
      <c r="W119" s="8">
        <f>1/(1+EXP(-V119))</f>
        <v/>
      </c>
      <c r="X119" s="9">
        <f>-IF(C119=1,LN(W119),LN(1-W119))</f>
        <v/>
      </c>
      <c r="Y119" s="8">
        <f>IF(C119=1,$AE$32,$AE$33)</f>
        <v/>
      </c>
      <c r="Z119" s="9">
        <f>Y119*X119</f>
        <v/>
      </c>
      <c r="AA119" s="10">
        <f>IF(W119&gt;$AE$34,1,0)</f>
        <v/>
      </c>
      <c r="AB119">
        <f>IF(AA119=C119,1,0)</f>
        <v/>
      </c>
    </row>
    <row r="120">
      <c r="A120">
        <f>'1 datos preparados'!A113</f>
        <v/>
      </c>
      <c r="B120" s="5">
        <f>'1 datos preparados'!U113</f>
        <v/>
      </c>
      <c r="C120">
        <f>'1 datos preparados'!B113</f>
        <v/>
      </c>
      <c r="D120" s="7">
        <f>'1 datos preparados'!C113</f>
        <v/>
      </c>
      <c r="E120" s="7">
        <f>'1 datos preparados'!D113</f>
        <v/>
      </c>
      <c r="F120" s="7">
        <f>'1 datos preparados'!E113</f>
        <v/>
      </c>
      <c r="G120" s="7">
        <f>'1 datos preparados'!F113</f>
        <v/>
      </c>
      <c r="H120" s="7">
        <f>'1 datos preparados'!G113</f>
        <v/>
      </c>
      <c r="I120" s="7">
        <f>'1 datos preparados'!H113</f>
        <v/>
      </c>
      <c r="J120" s="7">
        <f>'1 datos preparados'!I113</f>
        <v/>
      </c>
      <c r="K120" s="7">
        <f>'1 datos preparados'!J113</f>
        <v/>
      </c>
      <c r="L120" s="7">
        <f>'1 datos preparados'!K113</f>
        <v/>
      </c>
      <c r="M120" s="7">
        <f>'1 datos preparados'!L113</f>
        <v/>
      </c>
      <c r="N120" s="7">
        <f>'1 datos preparados'!M113</f>
        <v/>
      </c>
      <c r="O120" s="7">
        <f>'1 datos preparados'!N113</f>
        <v/>
      </c>
      <c r="P120" s="7">
        <f>'1 datos preparados'!O113</f>
        <v/>
      </c>
      <c r="Q120" s="7">
        <f>'1 datos preparados'!P113</f>
        <v/>
      </c>
      <c r="R120" s="7">
        <f>'1 datos preparados'!Q113</f>
        <v/>
      </c>
      <c r="S120" s="7">
        <f>'1 datos preparados'!R113</f>
        <v/>
      </c>
      <c r="T120" s="7">
        <f>'1 datos preparados'!S113</f>
        <v/>
      </c>
      <c r="U120" s="7">
        <f>'1 datos preparados'!T113</f>
        <v/>
      </c>
      <c r="V120" s="8">
        <f>$AE$12+D120*$AE$13+E120*$AE$14+F120*$AE$15+G120*$AE$16+H120*$AE$17+I120*$AE$18+J120*$AE$19+K120*$AE$20+L120*$AE$21+M120*$AE$22+N120*$AE$23+O120*$AE$24+P120*$AE$25+Q120*$AE$26+R120*$AE$27+S120*$AE$28+T120*$AE$29+U120*$AE$30</f>
        <v/>
      </c>
      <c r="W120" s="8">
        <f>1/(1+EXP(-V120))</f>
        <v/>
      </c>
      <c r="X120" s="9">
        <f>-IF(C120=1,LN(W120),LN(1-W120))</f>
        <v/>
      </c>
      <c r="Y120" s="8">
        <f>IF(C120=1,$AE$32,$AE$33)</f>
        <v/>
      </c>
      <c r="Z120" s="9">
        <f>Y120*X120</f>
        <v/>
      </c>
      <c r="AA120" s="10">
        <f>IF(W120&gt;$AE$34,1,0)</f>
        <v/>
      </c>
      <c r="AB120">
        <f>IF(AA120=C120,1,0)</f>
        <v/>
      </c>
    </row>
    <row r="121">
      <c r="A121">
        <f>'1 datos preparados'!A114</f>
        <v/>
      </c>
      <c r="B121" s="5">
        <f>'1 datos preparados'!U114</f>
        <v/>
      </c>
      <c r="C121">
        <f>'1 datos preparados'!B114</f>
        <v/>
      </c>
      <c r="D121" s="7">
        <f>'1 datos preparados'!C114</f>
        <v/>
      </c>
      <c r="E121" s="7">
        <f>'1 datos preparados'!D114</f>
        <v/>
      </c>
      <c r="F121" s="7">
        <f>'1 datos preparados'!E114</f>
        <v/>
      </c>
      <c r="G121" s="7">
        <f>'1 datos preparados'!F114</f>
        <v/>
      </c>
      <c r="H121" s="7">
        <f>'1 datos preparados'!G114</f>
        <v/>
      </c>
      <c r="I121" s="7">
        <f>'1 datos preparados'!H114</f>
        <v/>
      </c>
      <c r="J121" s="7">
        <f>'1 datos preparados'!I114</f>
        <v/>
      </c>
      <c r="K121" s="7">
        <f>'1 datos preparados'!J114</f>
        <v/>
      </c>
      <c r="L121" s="7">
        <f>'1 datos preparados'!K114</f>
        <v/>
      </c>
      <c r="M121" s="7">
        <f>'1 datos preparados'!L114</f>
        <v/>
      </c>
      <c r="N121" s="7">
        <f>'1 datos preparados'!M114</f>
        <v/>
      </c>
      <c r="O121" s="7">
        <f>'1 datos preparados'!N114</f>
        <v/>
      </c>
      <c r="P121" s="7">
        <f>'1 datos preparados'!O114</f>
        <v/>
      </c>
      <c r="Q121" s="7">
        <f>'1 datos preparados'!P114</f>
        <v/>
      </c>
      <c r="R121" s="7">
        <f>'1 datos preparados'!Q114</f>
        <v/>
      </c>
      <c r="S121" s="7">
        <f>'1 datos preparados'!R114</f>
        <v/>
      </c>
      <c r="T121" s="7">
        <f>'1 datos preparados'!S114</f>
        <v/>
      </c>
      <c r="U121" s="7">
        <f>'1 datos preparados'!T114</f>
        <v/>
      </c>
      <c r="V121" s="8">
        <f>$AE$12+D121*$AE$13+E121*$AE$14+F121*$AE$15+G121*$AE$16+H121*$AE$17+I121*$AE$18+J121*$AE$19+K121*$AE$20+L121*$AE$21+M121*$AE$22+N121*$AE$23+O121*$AE$24+P121*$AE$25+Q121*$AE$26+R121*$AE$27+S121*$AE$28+T121*$AE$29+U121*$AE$30</f>
        <v/>
      </c>
      <c r="W121" s="8">
        <f>1/(1+EXP(-V121))</f>
        <v/>
      </c>
      <c r="X121" s="9">
        <f>-IF(C121=1,LN(W121),LN(1-W121))</f>
        <v/>
      </c>
      <c r="Y121" s="8">
        <f>IF(C121=1,$AE$32,$AE$33)</f>
        <v/>
      </c>
      <c r="Z121" s="9">
        <f>Y121*X121</f>
        <v/>
      </c>
      <c r="AA121" s="10">
        <f>IF(W121&gt;$AE$34,1,0)</f>
        <v/>
      </c>
      <c r="AB121">
        <f>IF(AA121=C121,1,0)</f>
        <v/>
      </c>
    </row>
    <row r="122">
      <c r="A122">
        <f>'1 datos preparados'!A115</f>
        <v/>
      </c>
      <c r="B122" s="5">
        <f>'1 datos preparados'!U115</f>
        <v/>
      </c>
      <c r="C122">
        <f>'1 datos preparados'!B115</f>
        <v/>
      </c>
      <c r="D122" s="7">
        <f>'1 datos preparados'!C115</f>
        <v/>
      </c>
      <c r="E122" s="7">
        <f>'1 datos preparados'!D115</f>
        <v/>
      </c>
      <c r="F122" s="7">
        <f>'1 datos preparados'!E115</f>
        <v/>
      </c>
      <c r="G122" s="7">
        <f>'1 datos preparados'!F115</f>
        <v/>
      </c>
      <c r="H122" s="7">
        <f>'1 datos preparados'!G115</f>
        <v/>
      </c>
      <c r="I122" s="7">
        <f>'1 datos preparados'!H115</f>
        <v/>
      </c>
      <c r="J122" s="7">
        <f>'1 datos preparados'!I115</f>
        <v/>
      </c>
      <c r="K122" s="7">
        <f>'1 datos preparados'!J115</f>
        <v/>
      </c>
      <c r="L122" s="7">
        <f>'1 datos preparados'!K115</f>
        <v/>
      </c>
      <c r="M122" s="7">
        <f>'1 datos preparados'!L115</f>
        <v/>
      </c>
      <c r="N122" s="7">
        <f>'1 datos preparados'!M115</f>
        <v/>
      </c>
      <c r="O122" s="7">
        <f>'1 datos preparados'!N115</f>
        <v/>
      </c>
      <c r="P122" s="7">
        <f>'1 datos preparados'!O115</f>
        <v/>
      </c>
      <c r="Q122" s="7">
        <f>'1 datos preparados'!P115</f>
        <v/>
      </c>
      <c r="R122" s="7">
        <f>'1 datos preparados'!Q115</f>
        <v/>
      </c>
      <c r="S122" s="7">
        <f>'1 datos preparados'!R115</f>
        <v/>
      </c>
      <c r="T122" s="7">
        <f>'1 datos preparados'!S115</f>
        <v/>
      </c>
      <c r="U122" s="7">
        <f>'1 datos preparados'!T115</f>
        <v/>
      </c>
      <c r="V122" s="8">
        <f>$AE$12+D122*$AE$13+E122*$AE$14+F122*$AE$15+G122*$AE$16+H122*$AE$17+I122*$AE$18+J122*$AE$19+K122*$AE$20+L122*$AE$21+M122*$AE$22+N122*$AE$23+O122*$AE$24+P122*$AE$25+Q122*$AE$26+R122*$AE$27+S122*$AE$28+T122*$AE$29+U122*$AE$30</f>
        <v/>
      </c>
      <c r="W122" s="8">
        <f>1/(1+EXP(-V122))</f>
        <v/>
      </c>
      <c r="X122" s="9">
        <f>-IF(C122=1,LN(W122),LN(1-W122))</f>
        <v/>
      </c>
      <c r="Y122" s="8">
        <f>IF(C122=1,$AE$32,$AE$33)</f>
        <v/>
      </c>
      <c r="Z122" s="9">
        <f>Y122*X122</f>
        <v/>
      </c>
      <c r="AA122" s="10">
        <f>IF(W122&gt;$AE$34,1,0)</f>
        <v/>
      </c>
      <c r="AB122">
        <f>IF(AA122=C122,1,0)</f>
        <v/>
      </c>
    </row>
    <row r="123">
      <c r="A123">
        <f>'1 datos preparados'!A116</f>
        <v/>
      </c>
      <c r="B123" s="5">
        <f>'1 datos preparados'!U116</f>
        <v/>
      </c>
      <c r="C123">
        <f>'1 datos preparados'!B116</f>
        <v/>
      </c>
      <c r="D123" s="7">
        <f>'1 datos preparados'!C116</f>
        <v/>
      </c>
      <c r="E123" s="7">
        <f>'1 datos preparados'!D116</f>
        <v/>
      </c>
      <c r="F123" s="7">
        <f>'1 datos preparados'!E116</f>
        <v/>
      </c>
      <c r="G123" s="7">
        <f>'1 datos preparados'!F116</f>
        <v/>
      </c>
      <c r="H123" s="7">
        <f>'1 datos preparados'!G116</f>
        <v/>
      </c>
      <c r="I123" s="7">
        <f>'1 datos preparados'!H116</f>
        <v/>
      </c>
      <c r="J123" s="7">
        <f>'1 datos preparados'!I116</f>
        <v/>
      </c>
      <c r="K123" s="7">
        <f>'1 datos preparados'!J116</f>
        <v/>
      </c>
      <c r="L123" s="7">
        <f>'1 datos preparados'!K116</f>
        <v/>
      </c>
      <c r="M123" s="7">
        <f>'1 datos preparados'!L116</f>
        <v/>
      </c>
      <c r="N123" s="7">
        <f>'1 datos preparados'!M116</f>
        <v/>
      </c>
      <c r="O123" s="7">
        <f>'1 datos preparados'!N116</f>
        <v/>
      </c>
      <c r="P123" s="7">
        <f>'1 datos preparados'!O116</f>
        <v/>
      </c>
      <c r="Q123" s="7">
        <f>'1 datos preparados'!P116</f>
        <v/>
      </c>
      <c r="R123" s="7">
        <f>'1 datos preparados'!Q116</f>
        <v/>
      </c>
      <c r="S123" s="7">
        <f>'1 datos preparados'!R116</f>
        <v/>
      </c>
      <c r="T123" s="7">
        <f>'1 datos preparados'!S116</f>
        <v/>
      </c>
      <c r="U123" s="7">
        <f>'1 datos preparados'!T116</f>
        <v/>
      </c>
      <c r="V123" s="8">
        <f>$AE$12+D123*$AE$13+E123*$AE$14+F123*$AE$15+G123*$AE$16+H123*$AE$17+I123*$AE$18+J123*$AE$19+K123*$AE$20+L123*$AE$21+M123*$AE$22+N123*$AE$23+O123*$AE$24+P123*$AE$25+Q123*$AE$26+R123*$AE$27+S123*$AE$28+T123*$AE$29+U123*$AE$30</f>
        <v/>
      </c>
      <c r="W123" s="8">
        <f>1/(1+EXP(-V123))</f>
        <v/>
      </c>
      <c r="X123" s="9">
        <f>-IF(C123=1,LN(W123),LN(1-W123))</f>
        <v/>
      </c>
      <c r="Y123" s="8">
        <f>IF(C123=1,$AE$32,$AE$33)</f>
        <v/>
      </c>
      <c r="Z123" s="9">
        <f>Y123*X123</f>
        <v/>
      </c>
      <c r="AA123" s="10">
        <f>IF(W123&gt;$AE$34,1,0)</f>
        <v/>
      </c>
      <c r="AB123">
        <f>IF(AA123=C123,1,0)</f>
        <v/>
      </c>
    </row>
    <row r="124">
      <c r="A124">
        <f>'1 datos preparados'!A117</f>
        <v/>
      </c>
      <c r="B124" s="5">
        <f>'1 datos preparados'!U117</f>
        <v/>
      </c>
      <c r="C124">
        <f>'1 datos preparados'!B117</f>
        <v/>
      </c>
      <c r="D124" s="7">
        <f>'1 datos preparados'!C117</f>
        <v/>
      </c>
      <c r="E124" s="7">
        <f>'1 datos preparados'!D117</f>
        <v/>
      </c>
      <c r="F124" s="7">
        <f>'1 datos preparados'!E117</f>
        <v/>
      </c>
      <c r="G124" s="7">
        <f>'1 datos preparados'!F117</f>
        <v/>
      </c>
      <c r="H124" s="7">
        <f>'1 datos preparados'!G117</f>
        <v/>
      </c>
      <c r="I124" s="7">
        <f>'1 datos preparados'!H117</f>
        <v/>
      </c>
      <c r="J124" s="7">
        <f>'1 datos preparados'!I117</f>
        <v/>
      </c>
      <c r="K124" s="7">
        <f>'1 datos preparados'!J117</f>
        <v/>
      </c>
      <c r="L124" s="7">
        <f>'1 datos preparados'!K117</f>
        <v/>
      </c>
      <c r="M124" s="7">
        <f>'1 datos preparados'!L117</f>
        <v/>
      </c>
      <c r="N124" s="7">
        <f>'1 datos preparados'!M117</f>
        <v/>
      </c>
      <c r="O124" s="7">
        <f>'1 datos preparados'!N117</f>
        <v/>
      </c>
      <c r="P124" s="7">
        <f>'1 datos preparados'!O117</f>
        <v/>
      </c>
      <c r="Q124" s="7">
        <f>'1 datos preparados'!P117</f>
        <v/>
      </c>
      <c r="R124" s="7">
        <f>'1 datos preparados'!Q117</f>
        <v/>
      </c>
      <c r="S124" s="7">
        <f>'1 datos preparados'!R117</f>
        <v/>
      </c>
      <c r="T124" s="7">
        <f>'1 datos preparados'!S117</f>
        <v/>
      </c>
      <c r="U124" s="7">
        <f>'1 datos preparados'!T117</f>
        <v/>
      </c>
      <c r="V124" s="8">
        <f>$AE$12+D124*$AE$13+E124*$AE$14+F124*$AE$15+G124*$AE$16+H124*$AE$17+I124*$AE$18+J124*$AE$19+K124*$AE$20+L124*$AE$21+M124*$AE$22+N124*$AE$23+O124*$AE$24+P124*$AE$25+Q124*$AE$26+R124*$AE$27+S124*$AE$28+T124*$AE$29+U124*$AE$30</f>
        <v/>
      </c>
      <c r="W124" s="8">
        <f>1/(1+EXP(-V124))</f>
        <v/>
      </c>
      <c r="X124" s="9">
        <f>-IF(C124=1,LN(W124),LN(1-W124))</f>
        <v/>
      </c>
      <c r="Y124" s="8">
        <f>IF(C124=1,$AE$32,$AE$33)</f>
        <v/>
      </c>
      <c r="Z124" s="9">
        <f>Y124*X124</f>
        <v/>
      </c>
      <c r="AA124" s="10">
        <f>IF(W124&gt;$AE$34,1,0)</f>
        <v/>
      </c>
      <c r="AB124">
        <f>IF(AA124=C124,1,0)</f>
        <v/>
      </c>
    </row>
    <row r="125">
      <c r="A125">
        <f>'1 datos preparados'!A118</f>
        <v/>
      </c>
      <c r="B125" s="5">
        <f>'1 datos preparados'!U118</f>
        <v/>
      </c>
      <c r="C125">
        <f>'1 datos preparados'!B118</f>
        <v/>
      </c>
      <c r="D125" s="7">
        <f>'1 datos preparados'!C118</f>
        <v/>
      </c>
      <c r="E125" s="7">
        <f>'1 datos preparados'!D118</f>
        <v/>
      </c>
      <c r="F125" s="7">
        <f>'1 datos preparados'!E118</f>
        <v/>
      </c>
      <c r="G125" s="7">
        <f>'1 datos preparados'!F118</f>
        <v/>
      </c>
      <c r="H125" s="7">
        <f>'1 datos preparados'!G118</f>
        <v/>
      </c>
      <c r="I125" s="7">
        <f>'1 datos preparados'!H118</f>
        <v/>
      </c>
      <c r="J125" s="7">
        <f>'1 datos preparados'!I118</f>
        <v/>
      </c>
      <c r="K125" s="7">
        <f>'1 datos preparados'!J118</f>
        <v/>
      </c>
      <c r="L125" s="7">
        <f>'1 datos preparados'!K118</f>
        <v/>
      </c>
      <c r="M125" s="7">
        <f>'1 datos preparados'!L118</f>
        <v/>
      </c>
      <c r="N125" s="7">
        <f>'1 datos preparados'!M118</f>
        <v/>
      </c>
      <c r="O125" s="7">
        <f>'1 datos preparados'!N118</f>
        <v/>
      </c>
      <c r="P125" s="7">
        <f>'1 datos preparados'!O118</f>
        <v/>
      </c>
      <c r="Q125" s="7">
        <f>'1 datos preparados'!P118</f>
        <v/>
      </c>
      <c r="R125" s="7">
        <f>'1 datos preparados'!Q118</f>
        <v/>
      </c>
      <c r="S125" s="7">
        <f>'1 datos preparados'!R118</f>
        <v/>
      </c>
      <c r="T125" s="7">
        <f>'1 datos preparados'!S118</f>
        <v/>
      </c>
      <c r="U125" s="7">
        <f>'1 datos preparados'!T118</f>
        <v/>
      </c>
      <c r="V125" s="8">
        <f>$AE$12+D125*$AE$13+E125*$AE$14+F125*$AE$15+G125*$AE$16+H125*$AE$17+I125*$AE$18+J125*$AE$19+K125*$AE$20+L125*$AE$21+M125*$AE$22+N125*$AE$23+O125*$AE$24+P125*$AE$25+Q125*$AE$26+R125*$AE$27+S125*$AE$28+T125*$AE$29+U125*$AE$30</f>
        <v/>
      </c>
      <c r="W125" s="8">
        <f>1/(1+EXP(-V125))</f>
        <v/>
      </c>
      <c r="X125" s="9">
        <f>-IF(C125=1,LN(W125),LN(1-W125))</f>
        <v/>
      </c>
      <c r="Y125" s="8">
        <f>IF(C125=1,$AE$32,$AE$33)</f>
        <v/>
      </c>
      <c r="Z125" s="9">
        <f>Y125*X125</f>
        <v/>
      </c>
      <c r="AA125" s="10">
        <f>IF(W125&gt;$AE$34,1,0)</f>
        <v/>
      </c>
      <c r="AB125">
        <f>IF(AA125=C125,1,0)</f>
        <v/>
      </c>
    </row>
    <row r="126">
      <c r="A126">
        <f>'1 datos preparados'!A119</f>
        <v/>
      </c>
      <c r="B126" s="5">
        <f>'1 datos preparados'!U119</f>
        <v/>
      </c>
      <c r="C126">
        <f>'1 datos preparados'!B119</f>
        <v/>
      </c>
      <c r="D126" s="7">
        <f>'1 datos preparados'!C119</f>
        <v/>
      </c>
      <c r="E126" s="7">
        <f>'1 datos preparados'!D119</f>
        <v/>
      </c>
      <c r="F126" s="7">
        <f>'1 datos preparados'!E119</f>
        <v/>
      </c>
      <c r="G126" s="7">
        <f>'1 datos preparados'!F119</f>
        <v/>
      </c>
      <c r="H126" s="7">
        <f>'1 datos preparados'!G119</f>
        <v/>
      </c>
      <c r="I126" s="7">
        <f>'1 datos preparados'!H119</f>
        <v/>
      </c>
      <c r="J126" s="7">
        <f>'1 datos preparados'!I119</f>
        <v/>
      </c>
      <c r="K126" s="7">
        <f>'1 datos preparados'!J119</f>
        <v/>
      </c>
      <c r="L126" s="7">
        <f>'1 datos preparados'!K119</f>
        <v/>
      </c>
      <c r="M126" s="7">
        <f>'1 datos preparados'!L119</f>
        <v/>
      </c>
      <c r="N126" s="7">
        <f>'1 datos preparados'!M119</f>
        <v/>
      </c>
      <c r="O126" s="7">
        <f>'1 datos preparados'!N119</f>
        <v/>
      </c>
      <c r="P126" s="7">
        <f>'1 datos preparados'!O119</f>
        <v/>
      </c>
      <c r="Q126" s="7">
        <f>'1 datos preparados'!P119</f>
        <v/>
      </c>
      <c r="R126" s="7">
        <f>'1 datos preparados'!Q119</f>
        <v/>
      </c>
      <c r="S126" s="7">
        <f>'1 datos preparados'!R119</f>
        <v/>
      </c>
      <c r="T126" s="7">
        <f>'1 datos preparados'!S119</f>
        <v/>
      </c>
      <c r="U126" s="7">
        <f>'1 datos preparados'!T119</f>
        <v/>
      </c>
      <c r="V126" s="8">
        <f>$AE$12+D126*$AE$13+E126*$AE$14+F126*$AE$15+G126*$AE$16+H126*$AE$17+I126*$AE$18+J126*$AE$19+K126*$AE$20+L126*$AE$21+M126*$AE$22+N126*$AE$23+O126*$AE$24+P126*$AE$25+Q126*$AE$26+R126*$AE$27+S126*$AE$28+T126*$AE$29+U126*$AE$30</f>
        <v/>
      </c>
      <c r="W126" s="8">
        <f>1/(1+EXP(-V126))</f>
        <v/>
      </c>
      <c r="X126" s="9">
        <f>-IF(C126=1,LN(W126),LN(1-W126))</f>
        <v/>
      </c>
      <c r="Y126" s="8">
        <f>IF(C126=1,$AE$32,$AE$33)</f>
        <v/>
      </c>
      <c r="Z126" s="9">
        <f>Y126*X126</f>
        <v/>
      </c>
      <c r="AA126" s="10">
        <f>IF(W126&gt;$AE$34,1,0)</f>
        <v/>
      </c>
      <c r="AB126">
        <f>IF(AA126=C126,1,0)</f>
        <v/>
      </c>
    </row>
    <row r="127">
      <c r="A127">
        <f>'1 datos preparados'!A120</f>
        <v/>
      </c>
      <c r="B127" s="5">
        <f>'1 datos preparados'!U120</f>
        <v/>
      </c>
      <c r="C127">
        <f>'1 datos preparados'!B120</f>
        <v/>
      </c>
      <c r="D127" s="7">
        <f>'1 datos preparados'!C120</f>
        <v/>
      </c>
      <c r="E127" s="7">
        <f>'1 datos preparados'!D120</f>
        <v/>
      </c>
      <c r="F127" s="7">
        <f>'1 datos preparados'!E120</f>
        <v/>
      </c>
      <c r="G127" s="7">
        <f>'1 datos preparados'!F120</f>
        <v/>
      </c>
      <c r="H127" s="7">
        <f>'1 datos preparados'!G120</f>
        <v/>
      </c>
      <c r="I127" s="7">
        <f>'1 datos preparados'!H120</f>
        <v/>
      </c>
      <c r="J127" s="7">
        <f>'1 datos preparados'!I120</f>
        <v/>
      </c>
      <c r="K127" s="7">
        <f>'1 datos preparados'!J120</f>
        <v/>
      </c>
      <c r="L127" s="7">
        <f>'1 datos preparados'!K120</f>
        <v/>
      </c>
      <c r="M127" s="7">
        <f>'1 datos preparados'!L120</f>
        <v/>
      </c>
      <c r="N127" s="7">
        <f>'1 datos preparados'!M120</f>
        <v/>
      </c>
      <c r="O127" s="7">
        <f>'1 datos preparados'!N120</f>
        <v/>
      </c>
      <c r="P127" s="7">
        <f>'1 datos preparados'!O120</f>
        <v/>
      </c>
      <c r="Q127" s="7">
        <f>'1 datos preparados'!P120</f>
        <v/>
      </c>
      <c r="R127" s="7">
        <f>'1 datos preparados'!Q120</f>
        <v/>
      </c>
      <c r="S127" s="7">
        <f>'1 datos preparados'!R120</f>
        <v/>
      </c>
      <c r="T127" s="7">
        <f>'1 datos preparados'!S120</f>
        <v/>
      </c>
      <c r="U127" s="7">
        <f>'1 datos preparados'!T120</f>
        <v/>
      </c>
      <c r="V127" s="8">
        <f>$AE$12+D127*$AE$13+E127*$AE$14+F127*$AE$15+G127*$AE$16+H127*$AE$17+I127*$AE$18+J127*$AE$19+K127*$AE$20+L127*$AE$21+M127*$AE$22+N127*$AE$23+O127*$AE$24+P127*$AE$25+Q127*$AE$26+R127*$AE$27+S127*$AE$28+T127*$AE$29+U127*$AE$30</f>
        <v/>
      </c>
      <c r="W127" s="8">
        <f>1/(1+EXP(-V127))</f>
        <v/>
      </c>
      <c r="X127" s="9">
        <f>-IF(C127=1,LN(W127),LN(1-W127))</f>
        <v/>
      </c>
      <c r="Y127" s="8">
        <f>IF(C127=1,$AE$32,$AE$33)</f>
        <v/>
      </c>
      <c r="Z127" s="9">
        <f>Y127*X127</f>
        <v/>
      </c>
      <c r="AA127" s="10">
        <f>IF(W127&gt;$AE$34,1,0)</f>
        <v/>
      </c>
      <c r="AB127">
        <f>IF(AA127=C127,1,0)</f>
        <v/>
      </c>
    </row>
    <row r="128">
      <c r="A128">
        <f>'1 datos preparados'!A121</f>
        <v/>
      </c>
      <c r="B128" s="5">
        <f>'1 datos preparados'!U121</f>
        <v/>
      </c>
      <c r="C128">
        <f>'1 datos preparados'!B121</f>
        <v/>
      </c>
      <c r="D128" s="7">
        <f>'1 datos preparados'!C121</f>
        <v/>
      </c>
      <c r="E128" s="7">
        <f>'1 datos preparados'!D121</f>
        <v/>
      </c>
      <c r="F128" s="7">
        <f>'1 datos preparados'!E121</f>
        <v/>
      </c>
      <c r="G128" s="7">
        <f>'1 datos preparados'!F121</f>
        <v/>
      </c>
      <c r="H128" s="7">
        <f>'1 datos preparados'!G121</f>
        <v/>
      </c>
      <c r="I128" s="7">
        <f>'1 datos preparados'!H121</f>
        <v/>
      </c>
      <c r="J128" s="7">
        <f>'1 datos preparados'!I121</f>
        <v/>
      </c>
      <c r="K128" s="7">
        <f>'1 datos preparados'!J121</f>
        <v/>
      </c>
      <c r="L128" s="7">
        <f>'1 datos preparados'!K121</f>
        <v/>
      </c>
      <c r="M128" s="7">
        <f>'1 datos preparados'!L121</f>
        <v/>
      </c>
      <c r="N128" s="7">
        <f>'1 datos preparados'!M121</f>
        <v/>
      </c>
      <c r="O128" s="7">
        <f>'1 datos preparados'!N121</f>
        <v/>
      </c>
      <c r="P128" s="7">
        <f>'1 datos preparados'!O121</f>
        <v/>
      </c>
      <c r="Q128" s="7">
        <f>'1 datos preparados'!P121</f>
        <v/>
      </c>
      <c r="R128" s="7">
        <f>'1 datos preparados'!Q121</f>
        <v/>
      </c>
      <c r="S128" s="7">
        <f>'1 datos preparados'!R121</f>
        <v/>
      </c>
      <c r="T128" s="7">
        <f>'1 datos preparados'!S121</f>
        <v/>
      </c>
      <c r="U128" s="7">
        <f>'1 datos preparados'!T121</f>
        <v/>
      </c>
      <c r="V128" s="8">
        <f>$AE$12+D128*$AE$13+E128*$AE$14+F128*$AE$15+G128*$AE$16+H128*$AE$17+I128*$AE$18+J128*$AE$19+K128*$AE$20+L128*$AE$21+M128*$AE$22+N128*$AE$23+O128*$AE$24+P128*$AE$25+Q128*$AE$26+R128*$AE$27+S128*$AE$28+T128*$AE$29+U128*$AE$30</f>
        <v/>
      </c>
      <c r="W128" s="8">
        <f>1/(1+EXP(-V128))</f>
        <v/>
      </c>
      <c r="X128" s="9">
        <f>-IF(C128=1,LN(W128),LN(1-W128))</f>
        <v/>
      </c>
      <c r="Y128" s="8">
        <f>IF(C128=1,$AE$32,$AE$33)</f>
        <v/>
      </c>
      <c r="Z128" s="9">
        <f>Y128*X128</f>
        <v/>
      </c>
      <c r="AA128" s="10">
        <f>IF(W128&gt;$AE$34,1,0)</f>
        <v/>
      </c>
      <c r="AB128">
        <f>IF(AA128=C128,1,0)</f>
        <v/>
      </c>
    </row>
    <row r="129">
      <c r="A129">
        <f>'1 datos preparados'!A122</f>
        <v/>
      </c>
      <c r="B129" s="5">
        <f>'1 datos preparados'!U122</f>
        <v/>
      </c>
      <c r="C129">
        <f>'1 datos preparados'!B122</f>
        <v/>
      </c>
      <c r="D129" s="7">
        <f>'1 datos preparados'!C122</f>
        <v/>
      </c>
      <c r="E129" s="7">
        <f>'1 datos preparados'!D122</f>
        <v/>
      </c>
      <c r="F129" s="7">
        <f>'1 datos preparados'!E122</f>
        <v/>
      </c>
      <c r="G129" s="7">
        <f>'1 datos preparados'!F122</f>
        <v/>
      </c>
      <c r="H129" s="7">
        <f>'1 datos preparados'!G122</f>
        <v/>
      </c>
      <c r="I129" s="7">
        <f>'1 datos preparados'!H122</f>
        <v/>
      </c>
      <c r="J129" s="7">
        <f>'1 datos preparados'!I122</f>
        <v/>
      </c>
      <c r="K129" s="7">
        <f>'1 datos preparados'!J122</f>
        <v/>
      </c>
      <c r="L129" s="7">
        <f>'1 datos preparados'!K122</f>
        <v/>
      </c>
      <c r="M129" s="7">
        <f>'1 datos preparados'!L122</f>
        <v/>
      </c>
      <c r="N129" s="7">
        <f>'1 datos preparados'!M122</f>
        <v/>
      </c>
      <c r="O129" s="7">
        <f>'1 datos preparados'!N122</f>
        <v/>
      </c>
      <c r="P129" s="7">
        <f>'1 datos preparados'!O122</f>
        <v/>
      </c>
      <c r="Q129" s="7">
        <f>'1 datos preparados'!P122</f>
        <v/>
      </c>
      <c r="R129" s="7">
        <f>'1 datos preparados'!Q122</f>
        <v/>
      </c>
      <c r="S129" s="7">
        <f>'1 datos preparados'!R122</f>
        <v/>
      </c>
      <c r="T129" s="7">
        <f>'1 datos preparados'!S122</f>
        <v/>
      </c>
      <c r="U129" s="7">
        <f>'1 datos preparados'!T122</f>
        <v/>
      </c>
      <c r="V129" s="8">
        <f>$AE$12+D129*$AE$13+E129*$AE$14+F129*$AE$15+G129*$AE$16+H129*$AE$17+I129*$AE$18+J129*$AE$19+K129*$AE$20+L129*$AE$21+M129*$AE$22+N129*$AE$23+O129*$AE$24+P129*$AE$25+Q129*$AE$26+R129*$AE$27+S129*$AE$28+T129*$AE$29+U129*$AE$30</f>
        <v/>
      </c>
      <c r="W129" s="8">
        <f>1/(1+EXP(-V129))</f>
        <v/>
      </c>
      <c r="X129" s="9">
        <f>-IF(C129=1,LN(W129),LN(1-W129))</f>
        <v/>
      </c>
      <c r="Y129" s="8">
        <f>IF(C129=1,$AE$32,$AE$33)</f>
        <v/>
      </c>
      <c r="Z129" s="9">
        <f>Y129*X129</f>
        <v/>
      </c>
      <c r="AA129" s="10">
        <f>IF(W129&gt;$AE$34,1,0)</f>
        <v/>
      </c>
      <c r="AB129">
        <f>IF(AA129=C129,1,0)</f>
        <v/>
      </c>
    </row>
    <row r="130">
      <c r="A130">
        <f>'1 datos preparados'!A123</f>
        <v/>
      </c>
      <c r="B130" s="5">
        <f>'1 datos preparados'!U123</f>
        <v/>
      </c>
      <c r="C130">
        <f>'1 datos preparados'!B123</f>
        <v/>
      </c>
      <c r="D130" s="7">
        <f>'1 datos preparados'!C123</f>
        <v/>
      </c>
      <c r="E130" s="7">
        <f>'1 datos preparados'!D123</f>
        <v/>
      </c>
      <c r="F130" s="7">
        <f>'1 datos preparados'!E123</f>
        <v/>
      </c>
      <c r="G130" s="7">
        <f>'1 datos preparados'!F123</f>
        <v/>
      </c>
      <c r="H130" s="7">
        <f>'1 datos preparados'!G123</f>
        <v/>
      </c>
      <c r="I130" s="7">
        <f>'1 datos preparados'!H123</f>
        <v/>
      </c>
      <c r="J130" s="7">
        <f>'1 datos preparados'!I123</f>
        <v/>
      </c>
      <c r="K130" s="7">
        <f>'1 datos preparados'!J123</f>
        <v/>
      </c>
      <c r="L130" s="7">
        <f>'1 datos preparados'!K123</f>
        <v/>
      </c>
      <c r="M130" s="7">
        <f>'1 datos preparados'!L123</f>
        <v/>
      </c>
      <c r="N130" s="7">
        <f>'1 datos preparados'!M123</f>
        <v/>
      </c>
      <c r="O130" s="7">
        <f>'1 datos preparados'!N123</f>
        <v/>
      </c>
      <c r="P130" s="7">
        <f>'1 datos preparados'!O123</f>
        <v/>
      </c>
      <c r="Q130" s="7">
        <f>'1 datos preparados'!P123</f>
        <v/>
      </c>
      <c r="R130" s="7">
        <f>'1 datos preparados'!Q123</f>
        <v/>
      </c>
      <c r="S130" s="7">
        <f>'1 datos preparados'!R123</f>
        <v/>
      </c>
      <c r="T130" s="7">
        <f>'1 datos preparados'!S123</f>
        <v/>
      </c>
      <c r="U130" s="7">
        <f>'1 datos preparados'!T123</f>
        <v/>
      </c>
      <c r="V130" s="8">
        <f>$AE$12+D130*$AE$13+E130*$AE$14+F130*$AE$15+G130*$AE$16+H130*$AE$17+I130*$AE$18+J130*$AE$19+K130*$AE$20+L130*$AE$21+M130*$AE$22+N130*$AE$23+O130*$AE$24+P130*$AE$25+Q130*$AE$26+R130*$AE$27+S130*$AE$28+T130*$AE$29+U130*$AE$30</f>
        <v/>
      </c>
      <c r="W130" s="8">
        <f>1/(1+EXP(-V130))</f>
        <v/>
      </c>
      <c r="X130" s="9">
        <f>-IF(C130=1,LN(W130),LN(1-W130))</f>
        <v/>
      </c>
      <c r="Y130" s="8">
        <f>IF(C130=1,$AE$32,$AE$33)</f>
        <v/>
      </c>
      <c r="Z130" s="9">
        <f>Y130*X130</f>
        <v/>
      </c>
      <c r="AA130" s="10">
        <f>IF(W130&gt;$AE$34,1,0)</f>
        <v/>
      </c>
      <c r="AB130">
        <f>IF(AA130=C130,1,0)</f>
        <v/>
      </c>
    </row>
    <row r="131">
      <c r="A131">
        <f>'1 datos preparados'!A124</f>
        <v/>
      </c>
      <c r="B131" s="5">
        <f>'1 datos preparados'!U124</f>
        <v/>
      </c>
      <c r="C131">
        <f>'1 datos preparados'!B124</f>
        <v/>
      </c>
      <c r="D131" s="7">
        <f>'1 datos preparados'!C124</f>
        <v/>
      </c>
      <c r="E131" s="7">
        <f>'1 datos preparados'!D124</f>
        <v/>
      </c>
      <c r="F131" s="7">
        <f>'1 datos preparados'!E124</f>
        <v/>
      </c>
      <c r="G131" s="7">
        <f>'1 datos preparados'!F124</f>
        <v/>
      </c>
      <c r="H131" s="7">
        <f>'1 datos preparados'!G124</f>
        <v/>
      </c>
      <c r="I131" s="7">
        <f>'1 datos preparados'!H124</f>
        <v/>
      </c>
      <c r="J131" s="7">
        <f>'1 datos preparados'!I124</f>
        <v/>
      </c>
      <c r="K131" s="7">
        <f>'1 datos preparados'!J124</f>
        <v/>
      </c>
      <c r="L131" s="7">
        <f>'1 datos preparados'!K124</f>
        <v/>
      </c>
      <c r="M131" s="7">
        <f>'1 datos preparados'!L124</f>
        <v/>
      </c>
      <c r="N131" s="7">
        <f>'1 datos preparados'!M124</f>
        <v/>
      </c>
      <c r="O131" s="7">
        <f>'1 datos preparados'!N124</f>
        <v/>
      </c>
      <c r="P131" s="7">
        <f>'1 datos preparados'!O124</f>
        <v/>
      </c>
      <c r="Q131" s="7">
        <f>'1 datos preparados'!P124</f>
        <v/>
      </c>
      <c r="R131" s="7">
        <f>'1 datos preparados'!Q124</f>
        <v/>
      </c>
      <c r="S131" s="7">
        <f>'1 datos preparados'!R124</f>
        <v/>
      </c>
      <c r="T131" s="7">
        <f>'1 datos preparados'!S124</f>
        <v/>
      </c>
      <c r="U131" s="7">
        <f>'1 datos preparados'!T124</f>
        <v/>
      </c>
      <c r="V131" s="8">
        <f>$AE$12+D131*$AE$13+E131*$AE$14+F131*$AE$15+G131*$AE$16+H131*$AE$17+I131*$AE$18+J131*$AE$19+K131*$AE$20+L131*$AE$21+M131*$AE$22+N131*$AE$23+O131*$AE$24+P131*$AE$25+Q131*$AE$26+R131*$AE$27+S131*$AE$28+T131*$AE$29+U131*$AE$30</f>
        <v/>
      </c>
      <c r="W131" s="8">
        <f>1/(1+EXP(-V131))</f>
        <v/>
      </c>
      <c r="X131" s="9">
        <f>-IF(C131=1,LN(W131),LN(1-W131))</f>
        <v/>
      </c>
      <c r="Y131" s="8">
        <f>IF(C131=1,$AE$32,$AE$33)</f>
        <v/>
      </c>
      <c r="Z131" s="9">
        <f>Y131*X131</f>
        <v/>
      </c>
      <c r="AA131" s="10">
        <f>IF(W131&gt;$AE$34,1,0)</f>
        <v/>
      </c>
      <c r="AB131">
        <f>IF(AA131=C131,1,0)</f>
        <v/>
      </c>
    </row>
    <row r="132">
      <c r="A132">
        <f>'1 datos preparados'!A125</f>
        <v/>
      </c>
      <c r="B132" s="5">
        <f>'1 datos preparados'!U125</f>
        <v/>
      </c>
      <c r="C132">
        <f>'1 datos preparados'!B125</f>
        <v/>
      </c>
      <c r="D132" s="7">
        <f>'1 datos preparados'!C125</f>
        <v/>
      </c>
      <c r="E132" s="7">
        <f>'1 datos preparados'!D125</f>
        <v/>
      </c>
      <c r="F132" s="7">
        <f>'1 datos preparados'!E125</f>
        <v/>
      </c>
      <c r="G132" s="7">
        <f>'1 datos preparados'!F125</f>
        <v/>
      </c>
      <c r="H132" s="7">
        <f>'1 datos preparados'!G125</f>
        <v/>
      </c>
      <c r="I132" s="7">
        <f>'1 datos preparados'!H125</f>
        <v/>
      </c>
      <c r="J132" s="7">
        <f>'1 datos preparados'!I125</f>
        <v/>
      </c>
      <c r="K132" s="7">
        <f>'1 datos preparados'!J125</f>
        <v/>
      </c>
      <c r="L132" s="7">
        <f>'1 datos preparados'!K125</f>
        <v/>
      </c>
      <c r="M132" s="7">
        <f>'1 datos preparados'!L125</f>
        <v/>
      </c>
      <c r="N132" s="7">
        <f>'1 datos preparados'!M125</f>
        <v/>
      </c>
      <c r="O132" s="7">
        <f>'1 datos preparados'!N125</f>
        <v/>
      </c>
      <c r="P132" s="7">
        <f>'1 datos preparados'!O125</f>
        <v/>
      </c>
      <c r="Q132" s="7">
        <f>'1 datos preparados'!P125</f>
        <v/>
      </c>
      <c r="R132" s="7">
        <f>'1 datos preparados'!Q125</f>
        <v/>
      </c>
      <c r="S132" s="7">
        <f>'1 datos preparados'!R125</f>
        <v/>
      </c>
      <c r="T132" s="7">
        <f>'1 datos preparados'!S125</f>
        <v/>
      </c>
      <c r="U132" s="7">
        <f>'1 datos preparados'!T125</f>
        <v/>
      </c>
      <c r="V132" s="8">
        <f>$AE$12+D132*$AE$13+E132*$AE$14+F132*$AE$15+G132*$AE$16+H132*$AE$17+I132*$AE$18+J132*$AE$19+K132*$AE$20+L132*$AE$21+M132*$AE$22+N132*$AE$23+O132*$AE$24+P132*$AE$25+Q132*$AE$26+R132*$AE$27+S132*$AE$28+T132*$AE$29+U132*$AE$30</f>
        <v/>
      </c>
      <c r="W132" s="8">
        <f>1/(1+EXP(-V132))</f>
        <v/>
      </c>
      <c r="X132" s="9">
        <f>-IF(C132=1,LN(W132),LN(1-W132))</f>
        <v/>
      </c>
      <c r="Y132" s="8">
        <f>IF(C132=1,$AE$32,$AE$33)</f>
        <v/>
      </c>
      <c r="Z132" s="9">
        <f>Y132*X132</f>
        <v/>
      </c>
      <c r="AA132" s="10">
        <f>IF(W132&gt;$AE$34,1,0)</f>
        <v/>
      </c>
      <c r="AB132">
        <f>IF(AA132=C132,1,0)</f>
        <v/>
      </c>
    </row>
    <row r="133">
      <c r="A133">
        <f>'1 datos preparados'!A126</f>
        <v/>
      </c>
      <c r="B133" s="5">
        <f>'1 datos preparados'!U126</f>
        <v/>
      </c>
      <c r="C133">
        <f>'1 datos preparados'!B126</f>
        <v/>
      </c>
      <c r="D133" s="7">
        <f>'1 datos preparados'!C126</f>
        <v/>
      </c>
      <c r="E133" s="7">
        <f>'1 datos preparados'!D126</f>
        <v/>
      </c>
      <c r="F133" s="7">
        <f>'1 datos preparados'!E126</f>
        <v/>
      </c>
      <c r="G133" s="7">
        <f>'1 datos preparados'!F126</f>
        <v/>
      </c>
      <c r="H133" s="7">
        <f>'1 datos preparados'!G126</f>
        <v/>
      </c>
      <c r="I133" s="7">
        <f>'1 datos preparados'!H126</f>
        <v/>
      </c>
      <c r="J133" s="7">
        <f>'1 datos preparados'!I126</f>
        <v/>
      </c>
      <c r="K133" s="7">
        <f>'1 datos preparados'!J126</f>
        <v/>
      </c>
      <c r="L133" s="7">
        <f>'1 datos preparados'!K126</f>
        <v/>
      </c>
      <c r="M133" s="7">
        <f>'1 datos preparados'!L126</f>
        <v/>
      </c>
      <c r="N133" s="7">
        <f>'1 datos preparados'!M126</f>
        <v/>
      </c>
      <c r="O133" s="7">
        <f>'1 datos preparados'!N126</f>
        <v/>
      </c>
      <c r="P133" s="7">
        <f>'1 datos preparados'!O126</f>
        <v/>
      </c>
      <c r="Q133" s="7">
        <f>'1 datos preparados'!P126</f>
        <v/>
      </c>
      <c r="R133" s="7">
        <f>'1 datos preparados'!Q126</f>
        <v/>
      </c>
      <c r="S133" s="7">
        <f>'1 datos preparados'!R126</f>
        <v/>
      </c>
      <c r="T133" s="7">
        <f>'1 datos preparados'!S126</f>
        <v/>
      </c>
      <c r="U133" s="7">
        <f>'1 datos preparados'!T126</f>
        <v/>
      </c>
      <c r="V133" s="8">
        <f>$AE$12+D133*$AE$13+E133*$AE$14+F133*$AE$15+G133*$AE$16+H133*$AE$17+I133*$AE$18+J133*$AE$19+K133*$AE$20+L133*$AE$21+M133*$AE$22+N133*$AE$23+O133*$AE$24+P133*$AE$25+Q133*$AE$26+R133*$AE$27+S133*$AE$28+T133*$AE$29+U133*$AE$30</f>
        <v/>
      </c>
      <c r="W133" s="8">
        <f>1/(1+EXP(-V133))</f>
        <v/>
      </c>
      <c r="X133" s="9">
        <f>-IF(C133=1,LN(W133),LN(1-W133))</f>
        <v/>
      </c>
      <c r="Y133" s="8">
        <f>IF(C133=1,$AE$32,$AE$33)</f>
        <v/>
      </c>
      <c r="Z133" s="9">
        <f>Y133*X133</f>
        <v/>
      </c>
      <c r="AA133" s="10">
        <f>IF(W133&gt;$AE$34,1,0)</f>
        <v/>
      </c>
      <c r="AB133">
        <f>IF(AA133=C133,1,0)</f>
        <v/>
      </c>
    </row>
    <row r="134">
      <c r="A134">
        <f>'1 datos preparados'!A127</f>
        <v/>
      </c>
      <c r="B134" s="5">
        <f>'1 datos preparados'!U127</f>
        <v/>
      </c>
      <c r="C134">
        <f>'1 datos preparados'!B127</f>
        <v/>
      </c>
      <c r="D134" s="7">
        <f>'1 datos preparados'!C127</f>
        <v/>
      </c>
      <c r="E134" s="7">
        <f>'1 datos preparados'!D127</f>
        <v/>
      </c>
      <c r="F134" s="7">
        <f>'1 datos preparados'!E127</f>
        <v/>
      </c>
      <c r="G134" s="7">
        <f>'1 datos preparados'!F127</f>
        <v/>
      </c>
      <c r="H134" s="7">
        <f>'1 datos preparados'!G127</f>
        <v/>
      </c>
      <c r="I134" s="7">
        <f>'1 datos preparados'!H127</f>
        <v/>
      </c>
      <c r="J134" s="7">
        <f>'1 datos preparados'!I127</f>
        <v/>
      </c>
      <c r="K134" s="7">
        <f>'1 datos preparados'!J127</f>
        <v/>
      </c>
      <c r="L134" s="7">
        <f>'1 datos preparados'!K127</f>
        <v/>
      </c>
      <c r="M134" s="7">
        <f>'1 datos preparados'!L127</f>
        <v/>
      </c>
      <c r="N134" s="7">
        <f>'1 datos preparados'!M127</f>
        <v/>
      </c>
      <c r="O134" s="7">
        <f>'1 datos preparados'!N127</f>
        <v/>
      </c>
      <c r="P134" s="7">
        <f>'1 datos preparados'!O127</f>
        <v/>
      </c>
      <c r="Q134" s="7">
        <f>'1 datos preparados'!P127</f>
        <v/>
      </c>
      <c r="R134" s="7">
        <f>'1 datos preparados'!Q127</f>
        <v/>
      </c>
      <c r="S134" s="7">
        <f>'1 datos preparados'!R127</f>
        <v/>
      </c>
      <c r="T134" s="7">
        <f>'1 datos preparados'!S127</f>
        <v/>
      </c>
      <c r="U134" s="7">
        <f>'1 datos preparados'!T127</f>
        <v/>
      </c>
      <c r="V134" s="8">
        <f>$AE$12+D134*$AE$13+E134*$AE$14+F134*$AE$15+G134*$AE$16+H134*$AE$17+I134*$AE$18+J134*$AE$19+K134*$AE$20+L134*$AE$21+M134*$AE$22+N134*$AE$23+O134*$AE$24+P134*$AE$25+Q134*$AE$26+R134*$AE$27+S134*$AE$28+T134*$AE$29+U134*$AE$30</f>
        <v/>
      </c>
      <c r="W134" s="8">
        <f>1/(1+EXP(-V134))</f>
        <v/>
      </c>
      <c r="X134" s="9">
        <f>-IF(C134=1,LN(W134),LN(1-W134))</f>
        <v/>
      </c>
      <c r="Y134" s="8">
        <f>IF(C134=1,$AE$32,$AE$33)</f>
        <v/>
      </c>
      <c r="Z134" s="9">
        <f>Y134*X134</f>
        <v/>
      </c>
      <c r="AA134" s="10">
        <f>IF(W134&gt;$AE$34,1,0)</f>
        <v/>
      </c>
      <c r="AB134">
        <f>IF(AA134=C134,1,0)</f>
        <v/>
      </c>
    </row>
    <row r="135">
      <c r="A135">
        <f>'1 datos preparados'!A128</f>
        <v/>
      </c>
      <c r="B135" s="5">
        <f>'1 datos preparados'!U128</f>
        <v/>
      </c>
      <c r="C135">
        <f>'1 datos preparados'!B128</f>
        <v/>
      </c>
      <c r="D135" s="7">
        <f>'1 datos preparados'!C128</f>
        <v/>
      </c>
      <c r="E135" s="7">
        <f>'1 datos preparados'!D128</f>
        <v/>
      </c>
      <c r="F135" s="7">
        <f>'1 datos preparados'!E128</f>
        <v/>
      </c>
      <c r="G135" s="7">
        <f>'1 datos preparados'!F128</f>
        <v/>
      </c>
      <c r="H135" s="7">
        <f>'1 datos preparados'!G128</f>
        <v/>
      </c>
      <c r="I135" s="7">
        <f>'1 datos preparados'!H128</f>
        <v/>
      </c>
      <c r="J135" s="7">
        <f>'1 datos preparados'!I128</f>
        <v/>
      </c>
      <c r="K135" s="7">
        <f>'1 datos preparados'!J128</f>
        <v/>
      </c>
      <c r="L135" s="7">
        <f>'1 datos preparados'!K128</f>
        <v/>
      </c>
      <c r="M135" s="7">
        <f>'1 datos preparados'!L128</f>
        <v/>
      </c>
      <c r="N135" s="7">
        <f>'1 datos preparados'!M128</f>
        <v/>
      </c>
      <c r="O135" s="7">
        <f>'1 datos preparados'!N128</f>
        <v/>
      </c>
      <c r="P135" s="7">
        <f>'1 datos preparados'!O128</f>
        <v/>
      </c>
      <c r="Q135" s="7">
        <f>'1 datos preparados'!P128</f>
        <v/>
      </c>
      <c r="R135" s="7">
        <f>'1 datos preparados'!Q128</f>
        <v/>
      </c>
      <c r="S135" s="7">
        <f>'1 datos preparados'!R128</f>
        <v/>
      </c>
      <c r="T135" s="7">
        <f>'1 datos preparados'!S128</f>
        <v/>
      </c>
      <c r="U135" s="7">
        <f>'1 datos preparados'!T128</f>
        <v/>
      </c>
      <c r="V135" s="8">
        <f>$AE$12+D135*$AE$13+E135*$AE$14+F135*$AE$15+G135*$AE$16+H135*$AE$17+I135*$AE$18+J135*$AE$19+K135*$AE$20+L135*$AE$21+M135*$AE$22+N135*$AE$23+O135*$AE$24+P135*$AE$25+Q135*$AE$26+R135*$AE$27+S135*$AE$28+T135*$AE$29+U135*$AE$30</f>
        <v/>
      </c>
      <c r="W135" s="8">
        <f>1/(1+EXP(-V135))</f>
        <v/>
      </c>
      <c r="X135" s="9">
        <f>-IF(C135=1,LN(W135),LN(1-W135))</f>
        <v/>
      </c>
      <c r="Y135" s="8">
        <f>IF(C135=1,$AE$32,$AE$33)</f>
        <v/>
      </c>
      <c r="Z135" s="9">
        <f>Y135*X135</f>
        <v/>
      </c>
      <c r="AA135" s="10">
        <f>IF(W135&gt;$AE$34,1,0)</f>
        <v/>
      </c>
      <c r="AB135">
        <f>IF(AA135=C135,1,0)</f>
        <v/>
      </c>
    </row>
    <row r="136">
      <c r="A136">
        <f>'1 datos preparados'!A129</f>
        <v/>
      </c>
      <c r="B136" s="5">
        <f>'1 datos preparados'!U129</f>
        <v/>
      </c>
      <c r="C136">
        <f>'1 datos preparados'!B129</f>
        <v/>
      </c>
      <c r="D136" s="7">
        <f>'1 datos preparados'!C129</f>
        <v/>
      </c>
      <c r="E136" s="7">
        <f>'1 datos preparados'!D129</f>
        <v/>
      </c>
      <c r="F136" s="7">
        <f>'1 datos preparados'!E129</f>
        <v/>
      </c>
      <c r="G136" s="7">
        <f>'1 datos preparados'!F129</f>
        <v/>
      </c>
      <c r="H136" s="7">
        <f>'1 datos preparados'!G129</f>
        <v/>
      </c>
      <c r="I136" s="7">
        <f>'1 datos preparados'!H129</f>
        <v/>
      </c>
      <c r="J136" s="7">
        <f>'1 datos preparados'!I129</f>
        <v/>
      </c>
      <c r="K136" s="7">
        <f>'1 datos preparados'!J129</f>
        <v/>
      </c>
      <c r="L136" s="7">
        <f>'1 datos preparados'!K129</f>
        <v/>
      </c>
      <c r="M136" s="7">
        <f>'1 datos preparados'!L129</f>
        <v/>
      </c>
      <c r="N136" s="7">
        <f>'1 datos preparados'!M129</f>
        <v/>
      </c>
      <c r="O136" s="7">
        <f>'1 datos preparados'!N129</f>
        <v/>
      </c>
      <c r="P136" s="7">
        <f>'1 datos preparados'!O129</f>
        <v/>
      </c>
      <c r="Q136" s="7">
        <f>'1 datos preparados'!P129</f>
        <v/>
      </c>
      <c r="R136" s="7">
        <f>'1 datos preparados'!Q129</f>
        <v/>
      </c>
      <c r="S136" s="7">
        <f>'1 datos preparados'!R129</f>
        <v/>
      </c>
      <c r="T136" s="7">
        <f>'1 datos preparados'!S129</f>
        <v/>
      </c>
      <c r="U136" s="7">
        <f>'1 datos preparados'!T129</f>
        <v/>
      </c>
      <c r="V136" s="8">
        <f>$AE$12+D136*$AE$13+E136*$AE$14+F136*$AE$15+G136*$AE$16+H136*$AE$17+I136*$AE$18+J136*$AE$19+K136*$AE$20+L136*$AE$21+M136*$AE$22+N136*$AE$23+O136*$AE$24+P136*$AE$25+Q136*$AE$26+R136*$AE$27+S136*$AE$28+T136*$AE$29+U136*$AE$30</f>
        <v/>
      </c>
      <c r="W136" s="8">
        <f>1/(1+EXP(-V136))</f>
        <v/>
      </c>
      <c r="X136" s="9">
        <f>-IF(C136=1,LN(W136),LN(1-W136))</f>
        <v/>
      </c>
      <c r="Y136" s="8">
        <f>IF(C136=1,$AE$32,$AE$33)</f>
        <v/>
      </c>
      <c r="Z136" s="9">
        <f>Y136*X136</f>
        <v/>
      </c>
      <c r="AA136" s="10">
        <f>IF(W136&gt;$AE$34,1,0)</f>
        <v/>
      </c>
      <c r="AB136">
        <f>IF(AA136=C136,1,0)</f>
        <v/>
      </c>
    </row>
    <row r="137">
      <c r="A137">
        <f>'1 datos preparados'!A130</f>
        <v/>
      </c>
      <c r="B137" s="5">
        <f>'1 datos preparados'!U130</f>
        <v/>
      </c>
      <c r="C137">
        <f>'1 datos preparados'!B130</f>
        <v/>
      </c>
      <c r="D137" s="7">
        <f>'1 datos preparados'!C130</f>
        <v/>
      </c>
      <c r="E137" s="7">
        <f>'1 datos preparados'!D130</f>
        <v/>
      </c>
      <c r="F137" s="7">
        <f>'1 datos preparados'!E130</f>
        <v/>
      </c>
      <c r="G137" s="7">
        <f>'1 datos preparados'!F130</f>
        <v/>
      </c>
      <c r="H137" s="7">
        <f>'1 datos preparados'!G130</f>
        <v/>
      </c>
      <c r="I137" s="7">
        <f>'1 datos preparados'!H130</f>
        <v/>
      </c>
      <c r="J137" s="7">
        <f>'1 datos preparados'!I130</f>
        <v/>
      </c>
      <c r="K137" s="7">
        <f>'1 datos preparados'!J130</f>
        <v/>
      </c>
      <c r="L137" s="7">
        <f>'1 datos preparados'!K130</f>
        <v/>
      </c>
      <c r="M137" s="7">
        <f>'1 datos preparados'!L130</f>
        <v/>
      </c>
      <c r="N137" s="7">
        <f>'1 datos preparados'!M130</f>
        <v/>
      </c>
      <c r="O137" s="7">
        <f>'1 datos preparados'!N130</f>
        <v/>
      </c>
      <c r="P137" s="7">
        <f>'1 datos preparados'!O130</f>
        <v/>
      </c>
      <c r="Q137" s="7">
        <f>'1 datos preparados'!P130</f>
        <v/>
      </c>
      <c r="R137" s="7">
        <f>'1 datos preparados'!Q130</f>
        <v/>
      </c>
      <c r="S137" s="7">
        <f>'1 datos preparados'!R130</f>
        <v/>
      </c>
      <c r="T137" s="7">
        <f>'1 datos preparados'!S130</f>
        <v/>
      </c>
      <c r="U137" s="7">
        <f>'1 datos preparados'!T130</f>
        <v/>
      </c>
      <c r="V137" s="8">
        <f>$AE$12+D137*$AE$13+E137*$AE$14+F137*$AE$15+G137*$AE$16+H137*$AE$17+I137*$AE$18+J137*$AE$19+K137*$AE$20+L137*$AE$21+M137*$AE$22+N137*$AE$23+O137*$AE$24+P137*$AE$25+Q137*$AE$26+R137*$AE$27+S137*$AE$28+T137*$AE$29+U137*$AE$30</f>
        <v/>
      </c>
      <c r="W137" s="8">
        <f>1/(1+EXP(-V137))</f>
        <v/>
      </c>
      <c r="X137" s="9">
        <f>-IF(C137=1,LN(W137),LN(1-W137))</f>
        <v/>
      </c>
      <c r="Y137" s="8">
        <f>IF(C137=1,$AE$32,$AE$33)</f>
        <v/>
      </c>
      <c r="Z137" s="9">
        <f>Y137*X137</f>
        <v/>
      </c>
      <c r="AA137" s="10">
        <f>IF(W137&gt;$AE$34,1,0)</f>
        <v/>
      </c>
      <c r="AB137">
        <f>IF(AA137=C137,1,0)</f>
        <v/>
      </c>
    </row>
    <row r="138">
      <c r="A138">
        <f>'1 datos preparados'!A131</f>
        <v/>
      </c>
      <c r="B138" s="5">
        <f>'1 datos preparados'!U131</f>
        <v/>
      </c>
      <c r="C138">
        <f>'1 datos preparados'!B131</f>
        <v/>
      </c>
      <c r="D138" s="7">
        <f>'1 datos preparados'!C131</f>
        <v/>
      </c>
      <c r="E138" s="7">
        <f>'1 datos preparados'!D131</f>
        <v/>
      </c>
      <c r="F138" s="7">
        <f>'1 datos preparados'!E131</f>
        <v/>
      </c>
      <c r="G138" s="7">
        <f>'1 datos preparados'!F131</f>
        <v/>
      </c>
      <c r="H138" s="7">
        <f>'1 datos preparados'!G131</f>
        <v/>
      </c>
      <c r="I138" s="7">
        <f>'1 datos preparados'!H131</f>
        <v/>
      </c>
      <c r="J138" s="7">
        <f>'1 datos preparados'!I131</f>
        <v/>
      </c>
      <c r="K138" s="7">
        <f>'1 datos preparados'!J131</f>
        <v/>
      </c>
      <c r="L138" s="7">
        <f>'1 datos preparados'!K131</f>
        <v/>
      </c>
      <c r="M138" s="7">
        <f>'1 datos preparados'!L131</f>
        <v/>
      </c>
      <c r="N138" s="7">
        <f>'1 datos preparados'!M131</f>
        <v/>
      </c>
      <c r="O138" s="7">
        <f>'1 datos preparados'!N131</f>
        <v/>
      </c>
      <c r="P138" s="7">
        <f>'1 datos preparados'!O131</f>
        <v/>
      </c>
      <c r="Q138" s="7">
        <f>'1 datos preparados'!P131</f>
        <v/>
      </c>
      <c r="R138" s="7">
        <f>'1 datos preparados'!Q131</f>
        <v/>
      </c>
      <c r="S138" s="7">
        <f>'1 datos preparados'!R131</f>
        <v/>
      </c>
      <c r="T138" s="7">
        <f>'1 datos preparados'!S131</f>
        <v/>
      </c>
      <c r="U138" s="7">
        <f>'1 datos preparados'!T131</f>
        <v/>
      </c>
      <c r="V138" s="8">
        <f>$AE$12+D138*$AE$13+E138*$AE$14+F138*$AE$15+G138*$AE$16+H138*$AE$17+I138*$AE$18+J138*$AE$19+K138*$AE$20+L138*$AE$21+M138*$AE$22+N138*$AE$23+O138*$AE$24+P138*$AE$25+Q138*$AE$26+R138*$AE$27+S138*$AE$28+T138*$AE$29+U138*$AE$30</f>
        <v/>
      </c>
      <c r="W138" s="8">
        <f>1/(1+EXP(-V138))</f>
        <v/>
      </c>
      <c r="X138" s="9">
        <f>-IF(C138=1,LN(W138),LN(1-W138))</f>
        <v/>
      </c>
      <c r="Y138" s="8">
        <f>IF(C138=1,$AE$32,$AE$33)</f>
        <v/>
      </c>
      <c r="Z138" s="9">
        <f>Y138*X138</f>
        <v/>
      </c>
      <c r="AA138" s="10">
        <f>IF(W138&gt;$AE$34,1,0)</f>
        <v/>
      </c>
      <c r="AB138">
        <f>IF(AA138=C138,1,0)</f>
        <v/>
      </c>
    </row>
    <row r="139">
      <c r="A139">
        <f>'1 datos preparados'!A132</f>
        <v/>
      </c>
      <c r="B139" s="5">
        <f>'1 datos preparados'!U132</f>
        <v/>
      </c>
      <c r="C139">
        <f>'1 datos preparados'!B132</f>
        <v/>
      </c>
      <c r="D139" s="7">
        <f>'1 datos preparados'!C132</f>
        <v/>
      </c>
      <c r="E139" s="7">
        <f>'1 datos preparados'!D132</f>
        <v/>
      </c>
      <c r="F139" s="7">
        <f>'1 datos preparados'!E132</f>
        <v/>
      </c>
      <c r="G139" s="7">
        <f>'1 datos preparados'!F132</f>
        <v/>
      </c>
      <c r="H139" s="7">
        <f>'1 datos preparados'!G132</f>
        <v/>
      </c>
      <c r="I139" s="7">
        <f>'1 datos preparados'!H132</f>
        <v/>
      </c>
      <c r="J139" s="7">
        <f>'1 datos preparados'!I132</f>
        <v/>
      </c>
      <c r="K139" s="7">
        <f>'1 datos preparados'!J132</f>
        <v/>
      </c>
      <c r="L139" s="7">
        <f>'1 datos preparados'!K132</f>
        <v/>
      </c>
      <c r="M139" s="7">
        <f>'1 datos preparados'!L132</f>
        <v/>
      </c>
      <c r="N139" s="7">
        <f>'1 datos preparados'!M132</f>
        <v/>
      </c>
      <c r="O139" s="7">
        <f>'1 datos preparados'!N132</f>
        <v/>
      </c>
      <c r="P139" s="7">
        <f>'1 datos preparados'!O132</f>
        <v/>
      </c>
      <c r="Q139" s="7">
        <f>'1 datos preparados'!P132</f>
        <v/>
      </c>
      <c r="R139" s="7">
        <f>'1 datos preparados'!Q132</f>
        <v/>
      </c>
      <c r="S139" s="7">
        <f>'1 datos preparados'!R132</f>
        <v/>
      </c>
      <c r="T139" s="7">
        <f>'1 datos preparados'!S132</f>
        <v/>
      </c>
      <c r="U139" s="7">
        <f>'1 datos preparados'!T132</f>
        <v/>
      </c>
      <c r="V139" s="8">
        <f>$AE$12+D139*$AE$13+E139*$AE$14+F139*$AE$15+G139*$AE$16+H139*$AE$17+I139*$AE$18+J139*$AE$19+K139*$AE$20+L139*$AE$21+M139*$AE$22+N139*$AE$23+O139*$AE$24+P139*$AE$25+Q139*$AE$26+R139*$AE$27+S139*$AE$28+T139*$AE$29+U139*$AE$30</f>
        <v/>
      </c>
      <c r="W139" s="8">
        <f>1/(1+EXP(-V139))</f>
        <v/>
      </c>
      <c r="X139" s="9">
        <f>-IF(C139=1,LN(W139),LN(1-W139))</f>
        <v/>
      </c>
      <c r="Y139" s="8">
        <f>IF(C139=1,$AE$32,$AE$33)</f>
        <v/>
      </c>
      <c r="Z139" s="9">
        <f>Y139*X139</f>
        <v/>
      </c>
      <c r="AA139" s="10">
        <f>IF(W139&gt;$AE$34,1,0)</f>
        <v/>
      </c>
      <c r="AB139">
        <f>IF(AA139=C139,1,0)</f>
        <v/>
      </c>
    </row>
    <row r="140">
      <c r="A140">
        <f>'1 datos preparados'!A133</f>
        <v/>
      </c>
      <c r="B140" s="5">
        <f>'1 datos preparados'!U133</f>
        <v/>
      </c>
      <c r="C140">
        <f>'1 datos preparados'!B133</f>
        <v/>
      </c>
      <c r="D140" s="7">
        <f>'1 datos preparados'!C133</f>
        <v/>
      </c>
      <c r="E140" s="7">
        <f>'1 datos preparados'!D133</f>
        <v/>
      </c>
      <c r="F140" s="7">
        <f>'1 datos preparados'!E133</f>
        <v/>
      </c>
      <c r="G140" s="7">
        <f>'1 datos preparados'!F133</f>
        <v/>
      </c>
      <c r="H140" s="7">
        <f>'1 datos preparados'!G133</f>
        <v/>
      </c>
      <c r="I140" s="7">
        <f>'1 datos preparados'!H133</f>
        <v/>
      </c>
      <c r="J140" s="7">
        <f>'1 datos preparados'!I133</f>
        <v/>
      </c>
      <c r="K140" s="7">
        <f>'1 datos preparados'!J133</f>
        <v/>
      </c>
      <c r="L140" s="7">
        <f>'1 datos preparados'!K133</f>
        <v/>
      </c>
      <c r="M140" s="7">
        <f>'1 datos preparados'!L133</f>
        <v/>
      </c>
      <c r="N140" s="7">
        <f>'1 datos preparados'!M133</f>
        <v/>
      </c>
      <c r="O140" s="7">
        <f>'1 datos preparados'!N133</f>
        <v/>
      </c>
      <c r="P140" s="7">
        <f>'1 datos preparados'!O133</f>
        <v/>
      </c>
      <c r="Q140" s="7">
        <f>'1 datos preparados'!P133</f>
        <v/>
      </c>
      <c r="R140" s="7">
        <f>'1 datos preparados'!Q133</f>
        <v/>
      </c>
      <c r="S140" s="7">
        <f>'1 datos preparados'!R133</f>
        <v/>
      </c>
      <c r="T140" s="7">
        <f>'1 datos preparados'!S133</f>
        <v/>
      </c>
      <c r="U140" s="7">
        <f>'1 datos preparados'!T133</f>
        <v/>
      </c>
      <c r="V140" s="8">
        <f>$AE$12+D140*$AE$13+E140*$AE$14+F140*$AE$15+G140*$AE$16+H140*$AE$17+I140*$AE$18+J140*$AE$19+K140*$AE$20+L140*$AE$21+M140*$AE$22+N140*$AE$23+O140*$AE$24+P140*$AE$25+Q140*$AE$26+R140*$AE$27+S140*$AE$28+T140*$AE$29+U140*$AE$30</f>
        <v/>
      </c>
      <c r="W140" s="8">
        <f>1/(1+EXP(-V140))</f>
        <v/>
      </c>
      <c r="X140" s="9">
        <f>-IF(C140=1,LN(W140),LN(1-W140))</f>
        <v/>
      </c>
      <c r="Y140" s="8">
        <f>IF(C140=1,$AE$32,$AE$33)</f>
        <v/>
      </c>
      <c r="Z140" s="9">
        <f>Y140*X140</f>
        <v/>
      </c>
      <c r="AA140" s="10">
        <f>IF(W140&gt;$AE$34,1,0)</f>
        <v/>
      </c>
      <c r="AB140">
        <f>IF(AA140=C140,1,0)</f>
        <v/>
      </c>
    </row>
    <row r="141">
      <c r="A141">
        <f>'1 datos preparados'!A134</f>
        <v/>
      </c>
      <c r="B141" s="5">
        <f>'1 datos preparados'!U134</f>
        <v/>
      </c>
      <c r="C141">
        <f>'1 datos preparados'!B134</f>
        <v/>
      </c>
      <c r="D141" s="7">
        <f>'1 datos preparados'!C134</f>
        <v/>
      </c>
      <c r="E141" s="7">
        <f>'1 datos preparados'!D134</f>
        <v/>
      </c>
      <c r="F141" s="7">
        <f>'1 datos preparados'!E134</f>
        <v/>
      </c>
      <c r="G141" s="7">
        <f>'1 datos preparados'!F134</f>
        <v/>
      </c>
      <c r="H141" s="7">
        <f>'1 datos preparados'!G134</f>
        <v/>
      </c>
      <c r="I141" s="7">
        <f>'1 datos preparados'!H134</f>
        <v/>
      </c>
      <c r="J141" s="7">
        <f>'1 datos preparados'!I134</f>
        <v/>
      </c>
      <c r="K141" s="7">
        <f>'1 datos preparados'!J134</f>
        <v/>
      </c>
      <c r="L141" s="7">
        <f>'1 datos preparados'!K134</f>
        <v/>
      </c>
      <c r="M141" s="7">
        <f>'1 datos preparados'!L134</f>
        <v/>
      </c>
      <c r="N141" s="7">
        <f>'1 datos preparados'!M134</f>
        <v/>
      </c>
      <c r="O141" s="7">
        <f>'1 datos preparados'!N134</f>
        <v/>
      </c>
      <c r="P141" s="7">
        <f>'1 datos preparados'!O134</f>
        <v/>
      </c>
      <c r="Q141" s="7">
        <f>'1 datos preparados'!P134</f>
        <v/>
      </c>
      <c r="R141" s="7">
        <f>'1 datos preparados'!Q134</f>
        <v/>
      </c>
      <c r="S141" s="7">
        <f>'1 datos preparados'!R134</f>
        <v/>
      </c>
      <c r="T141" s="7">
        <f>'1 datos preparados'!S134</f>
        <v/>
      </c>
      <c r="U141" s="7">
        <f>'1 datos preparados'!T134</f>
        <v/>
      </c>
      <c r="V141" s="8">
        <f>$AE$12+D141*$AE$13+E141*$AE$14+F141*$AE$15+G141*$AE$16+H141*$AE$17+I141*$AE$18+J141*$AE$19+K141*$AE$20+L141*$AE$21+M141*$AE$22+N141*$AE$23+O141*$AE$24+P141*$AE$25+Q141*$AE$26+R141*$AE$27+S141*$AE$28+T141*$AE$29+U141*$AE$30</f>
        <v/>
      </c>
      <c r="W141" s="8">
        <f>1/(1+EXP(-V141))</f>
        <v/>
      </c>
      <c r="X141" s="9">
        <f>-IF(C141=1,LN(W141),LN(1-W141))</f>
        <v/>
      </c>
      <c r="Y141" s="8">
        <f>IF(C141=1,$AE$32,$AE$33)</f>
        <v/>
      </c>
      <c r="Z141" s="9">
        <f>Y141*X141</f>
        <v/>
      </c>
      <c r="AA141" s="10">
        <f>IF(W141&gt;$AE$34,1,0)</f>
        <v/>
      </c>
      <c r="AB141">
        <f>IF(AA141=C141,1,0)</f>
        <v/>
      </c>
    </row>
    <row r="142">
      <c r="A142">
        <f>'1 datos preparados'!A135</f>
        <v/>
      </c>
      <c r="B142" s="5">
        <f>'1 datos preparados'!U135</f>
        <v/>
      </c>
      <c r="C142">
        <f>'1 datos preparados'!B135</f>
        <v/>
      </c>
      <c r="D142" s="7">
        <f>'1 datos preparados'!C135</f>
        <v/>
      </c>
      <c r="E142" s="7">
        <f>'1 datos preparados'!D135</f>
        <v/>
      </c>
      <c r="F142" s="7">
        <f>'1 datos preparados'!E135</f>
        <v/>
      </c>
      <c r="G142" s="7">
        <f>'1 datos preparados'!F135</f>
        <v/>
      </c>
      <c r="H142" s="7">
        <f>'1 datos preparados'!G135</f>
        <v/>
      </c>
      <c r="I142" s="7">
        <f>'1 datos preparados'!H135</f>
        <v/>
      </c>
      <c r="J142" s="7">
        <f>'1 datos preparados'!I135</f>
        <v/>
      </c>
      <c r="K142" s="7">
        <f>'1 datos preparados'!J135</f>
        <v/>
      </c>
      <c r="L142" s="7">
        <f>'1 datos preparados'!K135</f>
        <v/>
      </c>
      <c r="M142" s="7">
        <f>'1 datos preparados'!L135</f>
        <v/>
      </c>
      <c r="N142" s="7">
        <f>'1 datos preparados'!M135</f>
        <v/>
      </c>
      <c r="O142" s="7">
        <f>'1 datos preparados'!N135</f>
        <v/>
      </c>
      <c r="P142" s="7">
        <f>'1 datos preparados'!O135</f>
        <v/>
      </c>
      <c r="Q142" s="7">
        <f>'1 datos preparados'!P135</f>
        <v/>
      </c>
      <c r="R142" s="7">
        <f>'1 datos preparados'!Q135</f>
        <v/>
      </c>
      <c r="S142" s="7">
        <f>'1 datos preparados'!R135</f>
        <v/>
      </c>
      <c r="T142" s="7">
        <f>'1 datos preparados'!S135</f>
        <v/>
      </c>
      <c r="U142" s="7">
        <f>'1 datos preparados'!T135</f>
        <v/>
      </c>
      <c r="V142" s="8">
        <f>$AE$12+D142*$AE$13+E142*$AE$14+F142*$AE$15+G142*$AE$16+H142*$AE$17+I142*$AE$18+J142*$AE$19+K142*$AE$20+L142*$AE$21+M142*$AE$22+N142*$AE$23+O142*$AE$24+P142*$AE$25+Q142*$AE$26+R142*$AE$27+S142*$AE$28+T142*$AE$29+U142*$AE$30</f>
        <v/>
      </c>
      <c r="W142" s="8">
        <f>1/(1+EXP(-V142))</f>
        <v/>
      </c>
      <c r="X142" s="9">
        <f>-IF(C142=1,LN(W142),LN(1-W142))</f>
        <v/>
      </c>
      <c r="Y142" s="8">
        <f>IF(C142=1,$AE$32,$AE$33)</f>
        <v/>
      </c>
      <c r="Z142" s="9">
        <f>Y142*X142</f>
        <v/>
      </c>
      <c r="AA142" s="10">
        <f>IF(W142&gt;$AE$34,1,0)</f>
        <v/>
      </c>
      <c r="AB142">
        <f>IF(AA142=C142,1,0)</f>
        <v/>
      </c>
    </row>
    <row r="143">
      <c r="A143">
        <f>'1 datos preparados'!A136</f>
        <v/>
      </c>
      <c r="B143" s="5">
        <f>'1 datos preparados'!U136</f>
        <v/>
      </c>
      <c r="C143">
        <f>'1 datos preparados'!B136</f>
        <v/>
      </c>
      <c r="D143" s="7">
        <f>'1 datos preparados'!C136</f>
        <v/>
      </c>
      <c r="E143" s="7">
        <f>'1 datos preparados'!D136</f>
        <v/>
      </c>
      <c r="F143" s="7">
        <f>'1 datos preparados'!E136</f>
        <v/>
      </c>
      <c r="G143" s="7">
        <f>'1 datos preparados'!F136</f>
        <v/>
      </c>
      <c r="H143" s="7">
        <f>'1 datos preparados'!G136</f>
        <v/>
      </c>
      <c r="I143" s="7">
        <f>'1 datos preparados'!H136</f>
        <v/>
      </c>
      <c r="J143" s="7">
        <f>'1 datos preparados'!I136</f>
        <v/>
      </c>
      <c r="K143" s="7">
        <f>'1 datos preparados'!J136</f>
        <v/>
      </c>
      <c r="L143" s="7">
        <f>'1 datos preparados'!K136</f>
        <v/>
      </c>
      <c r="M143" s="7">
        <f>'1 datos preparados'!L136</f>
        <v/>
      </c>
      <c r="N143" s="7">
        <f>'1 datos preparados'!M136</f>
        <v/>
      </c>
      <c r="O143" s="7">
        <f>'1 datos preparados'!N136</f>
        <v/>
      </c>
      <c r="P143" s="7">
        <f>'1 datos preparados'!O136</f>
        <v/>
      </c>
      <c r="Q143" s="7">
        <f>'1 datos preparados'!P136</f>
        <v/>
      </c>
      <c r="R143" s="7">
        <f>'1 datos preparados'!Q136</f>
        <v/>
      </c>
      <c r="S143" s="7">
        <f>'1 datos preparados'!R136</f>
        <v/>
      </c>
      <c r="T143" s="7">
        <f>'1 datos preparados'!S136</f>
        <v/>
      </c>
      <c r="U143" s="7">
        <f>'1 datos preparados'!T136</f>
        <v/>
      </c>
      <c r="V143" s="8">
        <f>$AE$12+D143*$AE$13+E143*$AE$14+F143*$AE$15+G143*$AE$16+H143*$AE$17+I143*$AE$18+J143*$AE$19+K143*$AE$20+L143*$AE$21+M143*$AE$22+N143*$AE$23+O143*$AE$24+P143*$AE$25+Q143*$AE$26+R143*$AE$27+S143*$AE$28+T143*$AE$29+U143*$AE$30</f>
        <v/>
      </c>
      <c r="W143" s="8">
        <f>1/(1+EXP(-V143))</f>
        <v/>
      </c>
      <c r="X143" s="9">
        <f>-IF(C143=1,LN(W143),LN(1-W143))</f>
        <v/>
      </c>
      <c r="Y143" s="8">
        <f>IF(C143=1,$AE$32,$AE$33)</f>
        <v/>
      </c>
      <c r="Z143" s="9">
        <f>Y143*X143</f>
        <v/>
      </c>
      <c r="AA143" s="10">
        <f>IF(W143&gt;$AE$34,1,0)</f>
        <v/>
      </c>
      <c r="AB143">
        <f>IF(AA143=C143,1,0)</f>
        <v/>
      </c>
    </row>
    <row r="144">
      <c r="A144">
        <f>'1 datos preparados'!A137</f>
        <v/>
      </c>
      <c r="B144" s="5">
        <f>'1 datos preparados'!U137</f>
        <v/>
      </c>
      <c r="C144">
        <f>'1 datos preparados'!B137</f>
        <v/>
      </c>
      <c r="D144" s="7">
        <f>'1 datos preparados'!C137</f>
        <v/>
      </c>
      <c r="E144" s="7">
        <f>'1 datos preparados'!D137</f>
        <v/>
      </c>
      <c r="F144" s="7">
        <f>'1 datos preparados'!E137</f>
        <v/>
      </c>
      <c r="G144" s="7">
        <f>'1 datos preparados'!F137</f>
        <v/>
      </c>
      <c r="H144" s="7">
        <f>'1 datos preparados'!G137</f>
        <v/>
      </c>
      <c r="I144" s="7">
        <f>'1 datos preparados'!H137</f>
        <v/>
      </c>
      <c r="J144" s="7">
        <f>'1 datos preparados'!I137</f>
        <v/>
      </c>
      <c r="K144" s="7">
        <f>'1 datos preparados'!J137</f>
        <v/>
      </c>
      <c r="L144" s="7">
        <f>'1 datos preparados'!K137</f>
        <v/>
      </c>
      <c r="M144" s="7">
        <f>'1 datos preparados'!L137</f>
        <v/>
      </c>
      <c r="N144" s="7">
        <f>'1 datos preparados'!M137</f>
        <v/>
      </c>
      <c r="O144" s="7">
        <f>'1 datos preparados'!N137</f>
        <v/>
      </c>
      <c r="P144" s="7">
        <f>'1 datos preparados'!O137</f>
        <v/>
      </c>
      <c r="Q144" s="7">
        <f>'1 datos preparados'!P137</f>
        <v/>
      </c>
      <c r="R144" s="7">
        <f>'1 datos preparados'!Q137</f>
        <v/>
      </c>
      <c r="S144" s="7">
        <f>'1 datos preparados'!R137</f>
        <v/>
      </c>
      <c r="T144" s="7">
        <f>'1 datos preparados'!S137</f>
        <v/>
      </c>
      <c r="U144" s="7">
        <f>'1 datos preparados'!T137</f>
        <v/>
      </c>
      <c r="V144" s="8">
        <f>$AE$12+D144*$AE$13+E144*$AE$14+F144*$AE$15+G144*$AE$16+H144*$AE$17+I144*$AE$18+J144*$AE$19+K144*$AE$20+L144*$AE$21+M144*$AE$22+N144*$AE$23+O144*$AE$24+P144*$AE$25+Q144*$AE$26+R144*$AE$27+S144*$AE$28+T144*$AE$29+U144*$AE$30</f>
        <v/>
      </c>
      <c r="W144" s="8">
        <f>1/(1+EXP(-V144))</f>
        <v/>
      </c>
      <c r="X144" s="9">
        <f>-IF(C144=1,LN(W144),LN(1-W144))</f>
        <v/>
      </c>
      <c r="Y144" s="8">
        <f>IF(C144=1,$AE$32,$AE$33)</f>
        <v/>
      </c>
      <c r="Z144" s="9">
        <f>Y144*X144</f>
        <v/>
      </c>
      <c r="AA144" s="10">
        <f>IF(W144&gt;$AE$34,1,0)</f>
        <v/>
      </c>
      <c r="AB144">
        <f>IF(AA144=C144,1,0)</f>
        <v/>
      </c>
    </row>
    <row r="145">
      <c r="A145">
        <f>'1 datos preparados'!A138</f>
        <v/>
      </c>
      <c r="B145" s="5">
        <f>'1 datos preparados'!U138</f>
        <v/>
      </c>
      <c r="C145">
        <f>'1 datos preparados'!B138</f>
        <v/>
      </c>
      <c r="D145" s="7">
        <f>'1 datos preparados'!C138</f>
        <v/>
      </c>
      <c r="E145" s="7">
        <f>'1 datos preparados'!D138</f>
        <v/>
      </c>
      <c r="F145" s="7">
        <f>'1 datos preparados'!E138</f>
        <v/>
      </c>
      <c r="G145" s="7">
        <f>'1 datos preparados'!F138</f>
        <v/>
      </c>
      <c r="H145" s="7">
        <f>'1 datos preparados'!G138</f>
        <v/>
      </c>
      <c r="I145" s="7">
        <f>'1 datos preparados'!H138</f>
        <v/>
      </c>
      <c r="J145" s="7">
        <f>'1 datos preparados'!I138</f>
        <v/>
      </c>
      <c r="K145" s="7">
        <f>'1 datos preparados'!J138</f>
        <v/>
      </c>
      <c r="L145" s="7">
        <f>'1 datos preparados'!K138</f>
        <v/>
      </c>
      <c r="M145" s="7">
        <f>'1 datos preparados'!L138</f>
        <v/>
      </c>
      <c r="N145" s="7">
        <f>'1 datos preparados'!M138</f>
        <v/>
      </c>
      <c r="O145" s="7">
        <f>'1 datos preparados'!N138</f>
        <v/>
      </c>
      <c r="P145" s="7">
        <f>'1 datos preparados'!O138</f>
        <v/>
      </c>
      <c r="Q145" s="7">
        <f>'1 datos preparados'!P138</f>
        <v/>
      </c>
      <c r="R145" s="7">
        <f>'1 datos preparados'!Q138</f>
        <v/>
      </c>
      <c r="S145" s="7">
        <f>'1 datos preparados'!R138</f>
        <v/>
      </c>
      <c r="T145" s="7">
        <f>'1 datos preparados'!S138</f>
        <v/>
      </c>
      <c r="U145" s="7">
        <f>'1 datos preparados'!T138</f>
        <v/>
      </c>
      <c r="V145" s="8">
        <f>$AE$12+D145*$AE$13+E145*$AE$14+F145*$AE$15+G145*$AE$16+H145*$AE$17+I145*$AE$18+J145*$AE$19+K145*$AE$20+L145*$AE$21+M145*$AE$22+N145*$AE$23+O145*$AE$24+P145*$AE$25+Q145*$AE$26+R145*$AE$27+S145*$AE$28+T145*$AE$29+U145*$AE$30</f>
        <v/>
      </c>
      <c r="W145" s="8">
        <f>1/(1+EXP(-V145))</f>
        <v/>
      </c>
      <c r="X145" s="9">
        <f>-IF(C145=1,LN(W145),LN(1-W145))</f>
        <v/>
      </c>
      <c r="Y145" s="8">
        <f>IF(C145=1,$AE$32,$AE$33)</f>
        <v/>
      </c>
      <c r="Z145" s="9">
        <f>Y145*X145</f>
        <v/>
      </c>
      <c r="AA145" s="10">
        <f>IF(W145&gt;$AE$34,1,0)</f>
        <v/>
      </c>
      <c r="AB145">
        <f>IF(AA145=C145,1,0)</f>
        <v/>
      </c>
    </row>
    <row r="146">
      <c r="A146">
        <f>'1 datos preparados'!A139</f>
        <v/>
      </c>
      <c r="B146" s="5">
        <f>'1 datos preparados'!U139</f>
        <v/>
      </c>
      <c r="C146">
        <f>'1 datos preparados'!B139</f>
        <v/>
      </c>
      <c r="D146" s="7">
        <f>'1 datos preparados'!C139</f>
        <v/>
      </c>
      <c r="E146" s="7">
        <f>'1 datos preparados'!D139</f>
        <v/>
      </c>
      <c r="F146" s="7">
        <f>'1 datos preparados'!E139</f>
        <v/>
      </c>
      <c r="G146" s="7">
        <f>'1 datos preparados'!F139</f>
        <v/>
      </c>
      <c r="H146" s="7">
        <f>'1 datos preparados'!G139</f>
        <v/>
      </c>
      <c r="I146" s="7">
        <f>'1 datos preparados'!H139</f>
        <v/>
      </c>
      <c r="J146" s="7">
        <f>'1 datos preparados'!I139</f>
        <v/>
      </c>
      <c r="K146" s="7">
        <f>'1 datos preparados'!J139</f>
        <v/>
      </c>
      <c r="L146" s="7">
        <f>'1 datos preparados'!K139</f>
        <v/>
      </c>
      <c r="M146" s="7">
        <f>'1 datos preparados'!L139</f>
        <v/>
      </c>
      <c r="N146" s="7">
        <f>'1 datos preparados'!M139</f>
        <v/>
      </c>
      <c r="O146" s="7">
        <f>'1 datos preparados'!N139</f>
        <v/>
      </c>
      <c r="P146" s="7">
        <f>'1 datos preparados'!O139</f>
        <v/>
      </c>
      <c r="Q146" s="7">
        <f>'1 datos preparados'!P139</f>
        <v/>
      </c>
      <c r="R146" s="7">
        <f>'1 datos preparados'!Q139</f>
        <v/>
      </c>
      <c r="S146" s="7">
        <f>'1 datos preparados'!R139</f>
        <v/>
      </c>
      <c r="T146" s="7">
        <f>'1 datos preparados'!S139</f>
        <v/>
      </c>
      <c r="U146" s="7">
        <f>'1 datos preparados'!T139</f>
        <v/>
      </c>
      <c r="V146" s="8">
        <f>$AE$12+D146*$AE$13+E146*$AE$14+F146*$AE$15+G146*$AE$16+H146*$AE$17+I146*$AE$18+J146*$AE$19+K146*$AE$20+L146*$AE$21+M146*$AE$22+N146*$AE$23+O146*$AE$24+P146*$AE$25+Q146*$AE$26+R146*$AE$27+S146*$AE$28+T146*$AE$29+U146*$AE$30</f>
        <v/>
      </c>
      <c r="W146" s="8">
        <f>1/(1+EXP(-V146))</f>
        <v/>
      </c>
      <c r="X146" s="9">
        <f>-IF(C146=1,LN(W146),LN(1-W146))</f>
        <v/>
      </c>
      <c r="Y146" s="8">
        <f>IF(C146=1,$AE$32,$AE$33)</f>
        <v/>
      </c>
      <c r="Z146" s="9">
        <f>Y146*X146</f>
        <v/>
      </c>
      <c r="AA146" s="10">
        <f>IF(W146&gt;$AE$34,1,0)</f>
        <v/>
      </c>
      <c r="AB146">
        <f>IF(AA146=C146,1,0)</f>
        <v/>
      </c>
    </row>
    <row r="147">
      <c r="A147">
        <f>'1 datos preparados'!A140</f>
        <v/>
      </c>
      <c r="B147" s="5">
        <f>'1 datos preparados'!U140</f>
        <v/>
      </c>
      <c r="C147">
        <f>'1 datos preparados'!B140</f>
        <v/>
      </c>
      <c r="D147" s="7">
        <f>'1 datos preparados'!C140</f>
        <v/>
      </c>
      <c r="E147" s="7">
        <f>'1 datos preparados'!D140</f>
        <v/>
      </c>
      <c r="F147" s="7">
        <f>'1 datos preparados'!E140</f>
        <v/>
      </c>
      <c r="G147" s="7">
        <f>'1 datos preparados'!F140</f>
        <v/>
      </c>
      <c r="H147" s="7">
        <f>'1 datos preparados'!G140</f>
        <v/>
      </c>
      <c r="I147" s="7">
        <f>'1 datos preparados'!H140</f>
        <v/>
      </c>
      <c r="J147" s="7">
        <f>'1 datos preparados'!I140</f>
        <v/>
      </c>
      <c r="K147" s="7">
        <f>'1 datos preparados'!J140</f>
        <v/>
      </c>
      <c r="L147" s="7">
        <f>'1 datos preparados'!K140</f>
        <v/>
      </c>
      <c r="M147" s="7">
        <f>'1 datos preparados'!L140</f>
        <v/>
      </c>
      <c r="N147" s="7">
        <f>'1 datos preparados'!M140</f>
        <v/>
      </c>
      <c r="O147" s="7">
        <f>'1 datos preparados'!N140</f>
        <v/>
      </c>
      <c r="P147" s="7">
        <f>'1 datos preparados'!O140</f>
        <v/>
      </c>
      <c r="Q147" s="7">
        <f>'1 datos preparados'!P140</f>
        <v/>
      </c>
      <c r="R147" s="7">
        <f>'1 datos preparados'!Q140</f>
        <v/>
      </c>
      <c r="S147" s="7">
        <f>'1 datos preparados'!R140</f>
        <v/>
      </c>
      <c r="T147" s="7">
        <f>'1 datos preparados'!S140</f>
        <v/>
      </c>
      <c r="U147" s="7">
        <f>'1 datos preparados'!T140</f>
        <v/>
      </c>
      <c r="V147" s="8">
        <f>$AE$12+D147*$AE$13+E147*$AE$14+F147*$AE$15+G147*$AE$16+H147*$AE$17+I147*$AE$18+J147*$AE$19+K147*$AE$20+L147*$AE$21+M147*$AE$22+N147*$AE$23+O147*$AE$24+P147*$AE$25+Q147*$AE$26+R147*$AE$27+S147*$AE$28+T147*$AE$29+U147*$AE$30</f>
        <v/>
      </c>
      <c r="W147" s="8">
        <f>1/(1+EXP(-V147))</f>
        <v/>
      </c>
      <c r="X147" s="9">
        <f>-IF(C147=1,LN(W147),LN(1-W147))</f>
        <v/>
      </c>
      <c r="Y147" s="8">
        <f>IF(C147=1,$AE$32,$AE$33)</f>
        <v/>
      </c>
      <c r="Z147" s="9">
        <f>Y147*X147</f>
        <v/>
      </c>
      <c r="AA147" s="10">
        <f>IF(W147&gt;$AE$34,1,0)</f>
        <v/>
      </c>
      <c r="AB147">
        <f>IF(AA147=C147,1,0)</f>
        <v/>
      </c>
    </row>
    <row r="148">
      <c r="A148">
        <f>'1 datos preparados'!A141</f>
        <v/>
      </c>
      <c r="B148" s="5">
        <f>'1 datos preparados'!U141</f>
        <v/>
      </c>
      <c r="C148">
        <f>'1 datos preparados'!B141</f>
        <v/>
      </c>
      <c r="D148" s="7">
        <f>'1 datos preparados'!C141</f>
        <v/>
      </c>
      <c r="E148" s="7">
        <f>'1 datos preparados'!D141</f>
        <v/>
      </c>
      <c r="F148" s="7">
        <f>'1 datos preparados'!E141</f>
        <v/>
      </c>
      <c r="G148" s="7">
        <f>'1 datos preparados'!F141</f>
        <v/>
      </c>
      <c r="H148" s="7">
        <f>'1 datos preparados'!G141</f>
        <v/>
      </c>
      <c r="I148" s="7">
        <f>'1 datos preparados'!H141</f>
        <v/>
      </c>
      <c r="J148" s="7">
        <f>'1 datos preparados'!I141</f>
        <v/>
      </c>
      <c r="K148" s="7">
        <f>'1 datos preparados'!J141</f>
        <v/>
      </c>
      <c r="L148" s="7">
        <f>'1 datos preparados'!K141</f>
        <v/>
      </c>
      <c r="M148" s="7">
        <f>'1 datos preparados'!L141</f>
        <v/>
      </c>
      <c r="N148" s="7">
        <f>'1 datos preparados'!M141</f>
        <v/>
      </c>
      <c r="O148" s="7">
        <f>'1 datos preparados'!N141</f>
        <v/>
      </c>
      <c r="P148" s="7">
        <f>'1 datos preparados'!O141</f>
        <v/>
      </c>
      <c r="Q148" s="7">
        <f>'1 datos preparados'!P141</f>
        <v/>
      </c>
      <c r="R148" s="7">
        <f>'1 datos preparados'!Q141</f>
        <v/>
      </c>
      <c r="S148" s="7">
        <f>'1 datos preparados'!R141</f>
        <v/>
      </c>
      <c r="T148" s="7">
        <f>'1 datos preparados'!S141</f>
        <v/>
      </c>
      <c r="U148" s="7">
        <f>'1 datos preparados'!T141</f>
        <v/>
      </c>
      <c r="V148" s="8">
        <f>$AE$12+D148*$AE$13+E148*$AE$14+F148*$AE$15+G148*$AE$16+H148*$AE$17+I148*$AE$18+J148*$AE$19+K148*$AE$20+L148*$AE$21+M148*$AE$22+N148*$AE$23+O148*$AE$24+P148*$AE$25+Q148*$AE$26+R148*$AE$27+S148*$AE$28+T148*$AE$29+U148*$AE$30</f>
        <v/>
      </c>
      <c r="W148" s="8">
        <f>1/(1+EXP(-V148))</f>
        <v/>
      </c>
      <c r="X148" s="9">
        <f>-IF(C148=1,LN(W148),LN(1-W148))</f>
        <v/>
      </c>
      <c r="Y148" s="8">
        <f>IF(C148=1,$AE$32,$AE$33)</f>
        <v/>
      </c>
      <c r="Z148" s="9">
        <f>Y148*X148</f>
        <v/>
      </c>
      <c r="AA148" s="10">
        <f>IF(W148&gt;$AE$34,1,0)</f>
        <v/>
      </c>
      <c r="AB148">
        <f>IF(AA148=C148,1,0)</f>
        <v/>
      </c>
    </row>
    <row r="149">
      <c r="A149">
        <f>'1 datos preparados'!A142</f>
        <v/>
      </c>
      <c r="B149" s="5">
        <f>'1 datos preparados'!U142</f>
        <v/>
      </c>
      <c r="C149">
        <f>'1 datos preparados'!B142</f>
        <v/>
      </c>
      <c r="D149" s="7">
        <f>'1 datos preparados'!C142</f>
        <v/>
      </c>
      <c r="E149" s="7">
        <f>'1 datos preparados'!D142</f>
        <v/>
      </c>
      <c r="F149" s="7">
        <f>'1 datos preparados'!E142</f>
        <v/>
      </c>
      <c r="G149" s="7">
        <f>'1 datos preparados'!F142</f>
        <v/>
      </c>
      <c r="H149" s="7">
        <f>'1 datos preparados'!G142</f>
        <v/>
      </c>
      <c r="I149" s="7">
        <f>'1 datos preparados'!H142</f>
        <v/>
      </c>
      <c r="J149" s="7">
        <f>'1 datos preparados'!I142</f>
        <v/>
      </c>
      <c r="K149" s="7">
        <f>'1 datos preparados'!J142</f>
        <v/>
      </c>
      <c r="L149" s="7">
        <f>'1 datos preparados'!K142</f>
        <v/>
      </c>
      <c r="M149" s="7">
        <f>'1 datos preparados'!L142</f>
        <v/>
      </c>
      <c r="N149" s="7">
        <f>'1 datos preparados'!M142</f>
        <v/>
      </c>
      <c r="O149" s="7">
        <f>'1 datos preparados'!N142</f>
        <v/>
      </c>
      <c r="P149" s="7">
        <f>'1 datos preparados'!O142</f>
        <v/>
      </c>
      <c r="Q149" s="7">
        <f>'1 datos preparados'!P142</f>
        <v/>
      </c>
      <c r="R149" s="7">
        <f>'1 datos preparados'!Q142</f>
        <v/>
      </c>
      <c r="S149" s="7">
        <f>'1 datos preparados'!R142</f>
        <v/>
      </c>
      <c r="T149" s="7">
        <f>'1 datos preparados'!S142</f>
        <v/>
      </c>
      <c r="U149" s="7">
        <f>'1 datos preparados'!T142</f>
        <v/>
      </c>
      <c r="V149" s="8">
        <f>$AE$12+D149*$AE$13+E149*$AE$14+F149*$AE$15+G149*$AE$16+H149*$AE$17+I149*$AE$18+J149*$AE$19+K149*$AE$20+L149*$AE$21+M149*$AE$22+N149*$AE$23+O149*$AE$24+P149*$AE$25+Q149*$AE$26+R149*$AE$27+S149*$AE$28+T149*$AE$29+U149*$AE$30</f>
        <v/>
      </c>
      <c r="W149" s="8">
        <f>1/(1+EXP(-V149))</f>
        <v/>
      </c>
      <c r="X149" s="9">
        <f>-IF(C149=1,LN(W149),LN(1-W149))</f>
        <v/>
      </c>
      <c r="Y149" s="8">
        <f>IF(C149=1,$AE$32,$AE$33)</f>
        <v/>
      </c>
      <c r="Z149" s="9">
        <f>Y149*X149</f>
        <v/>
      </c>
      <c r="AA149" s="10">
        <f>IF(W149&gt;$AE$34,1,0)</f>
        <v/>
      </c>
      <c r="AB149">
        <f>IF(AA149=C149,1,0)</f>
        <v/>
      </c>
    </row>
    <row r="150">
      <c r="A150">
        <f>'1 datos preparados'!A143</f>
        <v/>
      </c>
      <c r="B150" s="5">
        <f>'1 datos preparados'!U143</f>
        <v/>
      </c>
      <c r="C150">
        <f>'1 datos preparados'!B143</f>
        <v/>
      </c>
      <c r="D150" s="7">
        <f>'1 datos preparados'!C143</f>
        <v/>
      </c>
      <c r="E150" s="7">
        <f>'1 datos preparados'!D143</f>
        <v/>
      </c>
      <c r="F150" s="7">
        <f>'1 datos preparados'!E143</f>
        <v/>
      </c>
      <c r="G150" s="7">
        <f>'1 datos preparados'!F143</f>
        <v/>
      </c>
      <c r="H150" s="7">
        <f>'1 datos preparados'!G143</f>
        <v/>
      </c>
      <c r="I150" s="7">
        <f>'1 datos preparados'!H143</f>
        <v/>
      </c>
      <c r="J150" s="7">
        <f>'1 datos preparados'!I143</f>
        <v/>
      </c>
      <c r="K150" s="7">
        <f>'1 datos preparados'!J143</f>
        <v/>
      </c>
      <c r="L150" s="7">
        <f>'1 datos preparados'!K143</f>
        <v/>
      </c>
      <c r="M150" s="7">
        <f>'1 datos preparados'!L143</f>
        <v/>
      </c>
      <c r="N150" s="7">
        <f>'1 datos preparados'!M143</f>
        <v/>
      </c>
      <c r="O150" s="7">
        <f>'1 datos preparados'!N143</f>
        <v/>
      </c>
      <c r="P150" s="7">
        <f>'1 datos preparados'!O143</f>
        <v/>
      </c>
      <c r="Q150" s="7">
        <f>'1 datos preparados'!P143</f>
        <v/>
      </c>
      <c r="R150" s="7">
        <f>'1 datos preparados'!Q143</f>
        <v/>
      </c>
      <c r="S150" s="7">
        <f>'1 datos preparados'!R143</f>
        <v/>
      </c>
      <c r="T150" s="7">
        <f>'1 datos preparados'!S143</f>
        <v/>
      </c>
      <c r="U150" s="7">
        <f>'1 datos preparados'!T143</f>
        <v/>
      </c>
      <c r="V150" s="8">
        <f>$AE$12+D150*$AE$13+E150*$AE$14+F150*$AE$15+G150*$AE$16+H150*$AE$17+I150*$AE$18+J150*$AE$19+K150*$AE$20+L150*$AE$21+M150*$AE$22+N150*$AE$23+O150*$AE$24+P150*$AE$25+Q150*$AE$26+R150*$AE$27+S150*$AE$28+T150*$AE$29+U150*$AE$30</f>
        <v/>
      </c>
      <c r="W150" s="8">
        <f>1/(1+EXP(-V150))</f>
        <v/>
      </c>
      <c r="X150" s="9">
        <f>-IF(C150=1,LN(W150),LN(1-W150))</f>
        <v/>
      </c>
      <c r="Y150" s="8">
        <f>IF(C150=1,$AE$32,$AE$33)</f>
        <v/>
      </c>
      <c r="Z150" s="9">
        <f>Y150*X150</f>
        <v/>
      </c>
      <c r="AA150" s="10">
        <f>IF(W150&gt;$AE$34,1,0)</f>
        <v/>
      </c>
      <c r="AB150">
        <f>IF(AA150=C150,1,0)</f>
        <v/>
      </c>
    </row>
    <row r="151">
      <c r="A151">
        <f>'1 datos preparados'!A144</f>
        <v/>
      </c>
      <c r="B151" s="5">
        <f>'1 datos preparados'!U144</f>
        <v/>
      </c>
      <c r="C151">
        <f>'1 datos preparados'!B144</f>
        <v/>
      </c>
      <c r="D151" s="7">
        <f>'1 datos preparados'!C144</f>
        <v/>
      </c>
      <c r="E151" s="7">
        <f>'1 datos preparados'!D144</f>
        <v/>
      </c>
      <c r="F151" s="7">
        <f>'1 datos preparados'!E144</f>
        <v/>
      </c>
      <c r="G151" s="7">
        <f>'1 datos preparados'!F144</f>
        <v/>
      </c>
      <c r="H151" s="7">
        <f>'1 datos preparados'!G144</f>
        <v/>
      </c>
      <c r="I151" s="7">
        <f>'1 datos preparados'!H144</f>
        <v/>
      </c>
      <c r="J151" s="7">
        <f>'1 datos preparados'!I144</f>
        <v/>
      </c>
      <c r="K151" s="7">
        <f>'1 datos preparados'!J144</f>
        <v/>
      </c>
      <c r="L151" s="7">
        <f>'1 datos preparados'!K144</f>
        <v/>
      </c>
      <c r="M151" s="7">
        <f>'1 datos preparados'!L144</f>
        <v/>
      </c>
      <c r="N151" s="7">
        <f>'1 datos preparados'!M144</f>
        <v/>
      </c>
      <c r="O151" s="7">
        <f>'1 datos preparados'!N144</f>
        <v/>
      </c>
      <c r="P151" s="7">
        <f>'1 datos preparados'!O144</f>
        <v/>
      </c>
      <c r="Q151" s="7">
        <f>'1 datos preparados'!P144</f>
        <v/>
      </c>
      <c r="R151" s="7">
        <f>'1 datos preparados'!Q144</f>
        <v/>
      </c>
      <c r="S151" s="7">
        <f>'1 datos preparados'!R144</f>
        <v/>
      </c>
      <c r="T151" s="7">
        <f>'1 datos preparados'!S144</f>
        <v/>
      </c>
      <c r="U151" s="7">
        <f>'1 datos preparados'!T144</f>
        <v/>
      </c>
      <c r="V151" s="8">
        <f>$AE$12+D151*$AE$13+E151*$AE$14+F151*$AE$15+G151*$AE$16+H151*$AE$17+I151*$AE$18+J151*$AE$19+K151*$AE$20+L151*$AE$21+M151*$AE$22+N151*$AE$23+O151*$AE$24+P151*$AE$25+Q151*$AE$26+R151*$AE$27+S151*$AE$28+T151*$AE$29+U151*$AE$30</f>
        <v/>
      </c>
      <c r="W151" s="8">
        <f>1/(1+EXP(-V151))</f>
        <v/>
      </c>
      <c r="X151" s="9">
        <f>-IF(C151=1,LN(W151),LN(1-W151))</f>
        <v/>
      </c>
      <c r="Y151" s="8">
        <f>IF(C151=1,$AE$32,$AE$33)</f>
        <v/>
      </c>
      <c r="Z151" s="9">
        <f>Y151*X151</f>
        <v/>
      </c>
      <c r="AA151" s="10">
        <f>IF(W151&gt;$AE$34,1,0)</f>
        <v/>
      </c>
      <c r="AB151">
        <f>IF(AA151=C151,1,0)</f>
        <v/>
      </c>
    </row>
    <row r="152">
      <c r="A152">
        <f>'1 datos preparados'!A145</f>
        <v/>
      </c>
      <c r="B152" s="5">
        <f>'1 datos preparados'!U145</f>
        <v/>
      </c>
      <c r="C152">
        <f>'1 datos preparados'!B145</f>
        <v/>
      </c>
      <c r="D152" s="7">
        <f>'1 datos preparados'!C145</f>
        <v/>
      </c>
      <c r="E152" s="7">
        <f>'1 datos preparados'!D145</f>
        <v/>
      </c>
      <c r="F152" s="7">
        <f>'1 datos preparados'!E145</f>
        <v/>
      </c>
      <c r="G152" s="7">
        <f>'1 datos preparados'!F145</f>
        <v/>
      </c>
      <c r="H152" s="7">
        <f>'1 datos preparados'!G145</f>
        <v/>
      </c>
      <c r="I152" s="7">
        <f>'1 datos preparados'!H145</f>
        <v/>
      </c>
      <c r="J152" s="7">
        <f>'1 datos preparados'!I145</f>
        <v/>
      </c>
      <c r="K152" s="7">
        <f>'1 datos preparados'!J145</f>
        <v/>
      </c>
      <c r="L152" s="7">
        <f>'1 datos preparados'!K145</f>
        <v/>
      </c>
      <c r="M152" s="7">
        <f>'1 datos preparados'!L145</f>
        <v/>
      </c>
      <c r="N152" s="7">
        <f>'1 datos preparados'!M145</f>
        <v/>
      </c>
      <c r="O152" s="7">
        <f>'1 datos preparados'!N145</f>
        <v/>
      </c>
      <c r="P152" s="7">
        <f>'1 datos preparados'!O145</f>
        <v/>
      </c>
      <c r="Q152" s="7">
        <f>'1 datos preparados'!P145</f>
        <v/>
      </c>
      <c r="R152" s="7">
        <f>'1 datos preparados'!Q145</f>
        <v/>
      </c>
      <c r="S152" s="7">
        <f>'1 datos preparados'!R145</f>
        <v/>
      </c>
      <c r="T152" s="7">
        <f>'1 datos preparados'!S145</f>
        <v/>
      </c>
      <c r="U152" s="7">
        <f>'1 datos preparados'!T145</f>
        <v/>
      </c>
      <c r="V152" s="8">
        <f>$AE$12+D152*$AE$13+E152*$AE$14+F152*$AE$15+G152*$AE$16+H152*$AE$17+I152*$AE$18+J152*$AE$19+K152*$AE$20+L152*$AE$21+M152*$AE$22+N152*$AE$23+O152*$AE$24+P152*$AE$25+Q152*$AE$26+R152*$AE$27+S152*$AE$28+T152*$AE$29+U152*$AE$30</f>
        <v/>
      </c>
      <c r="W152" s="8">
        <f>1/(1+EXP(-V152))</f>
        <v/>
      </c>
      <c r="X152" s="9">
        <f>-IF(C152=1,LN(W152),LN(1-W152))</f>
        <v/>
      </c>
      <c r="Y152" s="8">
        <f>IF(C152=1,$AE$32,$AE$33)</f>
        <v/>
      </c>
      <c r="Z152" s="9">
        <f>Y152*X152</f>
        <v/>
      </c>
      <c r="AA152" s="10">
        <f>IF(W152&gt;$AE$34,1,0)</f>
        <v/>
      </c>
      <c r="AB152">
        <f>IF(AA152=C152,1,0)</f>
        <v/>
      </c>
    </row>
    <row r="153">
      <c r="A153">
        <f>'1 datos preparados'!A146</f>
        <v/>
      </c>
      <c r="B153" s="5">
        <f>'1 datos preparados'!U146</f>
        <v/>
      </c>
      <c r="C153">
        <f>'1 datos preparados'!B146</f>
        <v/>
      </c>
      <c r="D153" s="7">
        <f>'1 datos preparados'!C146</f>
        <v/>
      </c>
      <c r="E153" s="7">
        <f>'1 datos preparados'!D146</f>
        <v/>
      </c>
      <c r="F153" s="7">
        <f>'1 datos preparados'!E146</f>
        <v/>
      </c>
      <c r="G153" s="7">
        <f>'1 datos preparados'!F146</f>
        <v/>
      </c>
      <c r="H153" s="7">
        <f>'1 datos preparados'!G146</f>
        <v/>
      </c>
      <c r="I153" s="7">
        <f>'1 datos preparados'!H146</f>
        <v/>
      </c>
      <c r="J153" s="7">
        <f>'1 datos preparados'!I146</f>
        <v/>
      </c>
      <c r="K153" s="7">
        <f>'1 datos preparados'!J146</f>
        <v/>
      </c>
      <c r="L153" s="7">
        <f>'1 datos preparados'!K146</f>
        <v/>
      </c>
      <c r="M153" s="7">
        <f>'1 datos preparados'!L146</f>
        <v/>
      </c>
      <c r="N153" s="7">
        <f>'1 datos preparados'!M146</f>
        <v/>
      </c>
      <c r="O153" s="7">
        <f>'1 datos preparados'!N146</f>
        <v/>
      </c>
      <c r="P153" s="7">
        <f>'1 datos preparados'!O146</f>
        <v/>
      </c>
      <c r="Q153" s="7">
        <f>'1 datos preparados'!P146</f>
        <v/>
      </c>
      <c r="R153" s="7">
        <f>'1 datos preparados'!Q146</f>
        <v/>
      </c>
      <c r="S153" s="7">
        <f>'1 datos preparados'!R146</f>
        <v/>
      </c>
      <c r="T153" s="7">
        <f>'1 datos preparados'!S146</f>
        <v/>
      </c>
      <c r="U153" s="7">
        <f>'1 datos preparados'!T146</f>
        <v/>
      </c>
      <c r="V153" s="8">
        <f>$AE$12+D153*$AE$13+E153*$AE$14+F153*$AE$15+G153*$AE$16+H153*$AE$17+I153*$AE$18+J153*$AE$19+K153*$AE$20+L153*$AE$21+M153*$AE$22+N153*$AE$23+O153*$AE$24+P153*$AE$25+Q153*$AE$26+R153*$AE$27+S153*$AE$28+T153*$AE$29+U153*$AE$30</f>
        <v/>
      </c>
      <c r="W153" s="8">
        <f>1/(1+EXP(-V153))</f>
        <v/>
      </c>
      <c r="X153" s="9">
        <f>-IF(C153=1,LN(W153),LN(1-W153))</f>
        <v/>
      </c>
      <c r="Y153" s="8">
        <f>IF(C153=1,$AE$32,$AE$33)</f>
        <v/>
      </c>
      <c r="Z153" s="9">
        <f>Y153*X153</f>
        <v/>
      </c>
      <c r="AA153" s="10">
        <f>IF(W153&gt;$AE$34,1,0)</f>
        <v/>
      </c>
      <c r="AB153">
        <f>IF(AA153=C153,1,0)</f>
        <v/>
      </c>
    </row>
    <row r="154">
      <c r="A154">
        <f>'1 datos preparados'!A147</f>
        <v/>
      </c>
      <c r="B154" s="5">
        <f>'1 datos preparados'!U147</f>
        <v/>
      </c>
      <c r="C154">
        <f>'1 datos preparados'!B147</f>
        <v/>
      </c>
      <c r="D154" s="7">
        <f>'1 datos preparados'!C147</f>
        <v/>
      </c>
      <c r="E154" s="7">
        <f>'1 datos preparados'!D147</f>
        <v/>
      </c>
      <c r="F154" s="7">
        <f>'1 datos preparados'!E147</f>
        <v/>
      </c>
      <c r="G154" s="7">
        <f>'1 datos preparados'!F147</f>
        <v/>
      </c>
      <c r="H154" s="7">
        <f>'1 datos preparados'!G147</f>
        <v/>
      </c>
      <c r="I154" s="7">
        <f>'1 datos preparados'!H147</f>
        <v/>
      </c>
      <c r="J154" s="7">
        <f>'1 datos preparados'!I147</f>
        <v/>
      </c>
      <c r="K154" s="7">
        <f>'1 datos preparados'!J147</f>
        <v/>
      </c>
      <c r="L154" s="7">
        <f>'1 datos preparados'!K147</f>
        <v/>
      </c>
      <c r="M154" s="7">
        <f>'1 datos preparados'!L147</f>
        <v/>
      </c>
      <c r="N154" s="7">
        <f>'1 datos preparados'!M147</f>
        <v/>
      </c>
      <c r="O154" s="7">
        <f>'1 datos preparados'!N147</f>
        <v/>
      </c>
      <c r="P154" s="7">
        <f>'1 datos preparados'!O147</f>
        <v/>
      </c>
      <c r="Q154" s="7">
        <f>'1 datos preparados'!P147</f>
        <v/>
      </c>
      <c r="R154" s="7">
        <f>'1 datos preparados'!Q147</f>
        <v/>
      </c>
      <c r="S154" s="7">
        <f>'1 datos preparados'!R147</f>
        <v/>
      </c>
      <c r="T154" s="7">
        <f>'1 datos preparados'!S147</f>
        <v/>
      </c>
      <c r="U154" s="7">
        <f>'1 datos preparados'!T147</f>
        <v/>
      </c>
      <c r="V154" s="8">
        <f>$AE$12+D154*$AE$13+E154*$AE$14+F154*$AE$15+G154*$AE$16+H154*$AE$17+I154*$AE$18+J154*$AE$19+K154*$AE$20+L154*$AE$21+M154*$AE$22+N154*$AE$23+O154*$AE$24+P154*$AE$25+Q154*$AE$26+R154*$AE$27+S154*$AE$28+T154*$AE$29+U154*$AE$30</f>
        <v/>
      </c>
      <c r="W154" s="8">
        <f>1/(1+EXP(-V154))</f>
        <v/>
      </c>
      <c r="X154" s="9">
        <f>-IF(C154=1,LN(W154),LN(1-W154))</f>
        <v/>
      </c>
      <c r="Y154" s="8">
        <f>IF(C154=1,$AE$32,$AE$33)</f>
        <v/>
      </c>
      <c r="Z154" s="9">
        <f>Y154*X154</f>
        <v/>
      </c>
      <c r="AA154" s="10">
        <f>IF(W154&gt;$AE$34,1,0)</f>
        <v/>
      </c>
      <c r="AB154">
        <f>IF(AA154=C154,1,0)</f>
        <v/>
      </c>
    </row>
    <row r="155">
      <c r="A155">
        <f>'1 datos preparados'!A148</f>
        <v/>
      </c>
      <c r="B155" s="5">
        <f>'1 datos preparados'!U148</f>
        <v/>
      </c>
      <c r="C155">
        <f>'1 datos preparados'!B148</f>
        <v/>
      </c>
      <c r="D155" s="7">
        <f>'1 datos preparados'!C148</f>
        <v/>
      </c>
      <c r="E155" s="7">
        <f>'1 datos preparados'!D148</f>
        <v/>
      </c>
      <c r="F155" s="7">
        <f>'1 datos preparados'!E148</f>
        <v/>
      </c>
      <c r="G155" s="7">
        <f>'1 datos preparados'!F148</f>
        <v/>
      </c>
      <c r="H155" s="7">
        <f>'1 datos preparados'!G148</f>
        <v/>
      </c>
      <c r="I155" s="7">
        <f>'1 datos preparados'!H148</f>
        <v/>
      </c>
      <c r="J155" s="7">
        <f>'1 datos preparados'!I148</f>
        <v/>
      </c>
      <c r="K155" s="7">
        <f>'1 datos preparados'!J148</f>
        <v/>
      </c>
      <c r="L155" s="7">
        <f>'1 datos preparados'!K148</f>
        <v/>
      </c>
      <c r="M155" s="7">
        <f>'1 datos preparados'!L148</f>
        <v/>
      </c>
      <c r="N155" s="7">
        <f>'1 datos preparados'!M148</f>
        <v/>
      </c>
      <c r="O155" s="7">
        <f>'1 datos preparados'!N148</f>
        <v/>
      </c>
      <c r="P155" s="7">
        <f>'1 datos preparados'!O148</f>
        <v/>
      </c>
      <c r="Q155" s="7">
        <f>'1 datos preparados'!P148</f>
        <v/>
      </c>
      <c r="R155" s="7">
        <f>'1 datos preparados'!Q148</f>
        <v/>
      </c>
      <c r="S155" s="7">
        <f>'1 datos preparados'!R148</f>
        <v/>
      </c>
      <c r="T155" s="7">
        <f>'1 datos preparados'!S148</f>
        <v/>
      </c>
      <c r="U155" s="7">
        <f>'1 datos preparados'!T148</f>
        <v/>
      </c>
      <c r="V155" s="8">
        <f>$AE$12+D155*$AE$13+E155*$AE$14+F155*$AE$15+G155*$AE$16+H155*$AE$17+I155*$AE$18+J155*$AE$19+K155*$AE$20+L155*$AE$21+M155*$AE$22+N155*$AE$23+O155*$AE$24+P155*$AE$25+Q155*$AE$26+R155*$AE$27+S155*$AE$28+T155*$AE$29+U155*$AE$30</f>
        <v/>
      </c>
      <c r="W155" s="8">
        <f>1/(1+EXP(-V155))</f>
        <v/>
      </c>
      <c r="X155" s="9">
        <f>-IF(C155=1,LN(W155),LN(1-W155))</f>
        <v/>
      </c>
      <c r="Y155" s="8">
        <f>IF(C155=1,$AE$32,$AE$33)</f>
        <v/>
      </c>
      <c r="Z155" s="9">
        <f>Y155*X155</f>
        <v/>
      </c>
      <c r="AA155" s="10">
        <f>IF(W155&gt;$AE$34,1,0)</f>
        <v/>
      </c>
      <c r="AB155">
        <f>IF(AA155=C155,1,0)</f>
        <v/>
      </c>
    </row>
    <row r="156">
      <c r="A156">
        <f>'1 datos preparados'!A149</f>
        <v/>
      </c>
      <c r="B156" s="5">
        <f>'1 datos preparados'!U149</f>
        <v/>
      </c>
      <c r="C156">
        <f>'1 datos preparados'!B149</f>
        <v/>
      </c>
      <c r="D156" s="7">
        <f>'1 datos preparados'!C149</f>
        <v/>
      </c>
      <c r="E156" s="7">
        <f>'1 datos preparados'!D149</f>
        <v/>
      </c>
      <c r="F156" s="7">
        <f>'1 datos preparados'!E149</f>
        <v/>
      </c>
      <c r="G156" s="7">
        <f>'1 datos preparados'!F149</f>
        <v/>
      </c>
      <c r="H156" s="7">
        <f>'1 datos preparados'!G149</f>
        <v/>
      </c>
      <c r="I156" s="7">
        <f>'1 datos preparados'!H149</f>
        <v/>
      </c>
      <c r="J156" s="7">
        <f>'1 datos preparados'!I149</f>
        <v/>
      </c>
      <c r="K156" s="7">
        <f>'1 datos preparados'!J149</f>
        <v/>
      </c>
      <c r="L156" s="7">
        <f>'1 datos preparados'!K149</f>
        <v/>
      </c>
      <c r="M156" s="7">
        <f>'1 datos preparados'!L149</f>
        <v/>
      </c>
      <c r="N156" s="7">
        <f>'1 datos preparados'!M149</f>
        <v/>
      </c>
      <c r="O156" s="7">
        <f>'1 datos preparados'!N149</f>
        <v/>
      </c>
      <c r="P156" s="7">
        <f>'1 datos preparados'!O149</f>
        <v/>
      </c>
      <c r="Q156" s="7">
        <f>'1 datos preparados'!P149</f>
        <v/>
      </c>
      <c r="R156" s="7">
        <f>'1 datos preparados'!Q149</f>
        <v/>
      </c>
      <c r="S156" s="7">
        <f>'1 datos preparados'!R149</f>
        <v/>
      </c>
      <c r="T156" s="7">
        <f>'1 datos preparados'!S149</f>
        <v/>
      </c>
      <c r="U156" s="7">
        <f>'1 datos preparados'!T149</f>
        <v/>
      </c>
      <c r="V156" s="8">
        <f>$AE$12+D156*$AE$13+E156*$AE$14+F156*$AE$15+G156*$AE$16+H156*$AE$17+I156*$AE$18+J156*$AE$19+K156*$AE$20+L156*$AE$21+M156*$AE$22+N156*$AE$23+O156*$AE$24+P156*$AE$25+Q156*$AE$26+R156*$AE$27+S156*$AE$28+T156*$AE$29+U156*$AE$30</f>
        <v/>
      </c>
      <c r="W156" s="8">
        <f>1/(1+EXP(-V156))</f>
        <v/>
      </c>
      <c r="X156" s="9">
        <f>-IF(C156=1,LN(W156),LN(1-W156))</f>
        <v/>
      </c>
      <c r="Y156" s="8">
        <f>IF(C156=1,$AE$32,$AE$33)</f>
        <v/>
      </c>
      <c r="Z156" s="9">
        <f>Y156*X156</f>
        <v/>
      </c>
      <c r="AA156" s="10">
        <f>IF(W156&gt;$AE$34,1,0)</f>
        <v/>
      </c>
      <c r="AB156">
        <f>IF(AA156=C156,1,0)</f>
        <v/>
      </c>
    </row>
    <row r="157">
      <c r="A157">
        <f>'1 datos preparados'!A150</f>
        <v/>
      </c>
      <c r="B157" s="5">
        <f>'1 datos preparados'!U150</f>
        <v/>
      </c>
      <c r="C157">
        <f>'1 datos preparados'!B150</f>
        <v/>
      </c>
      <c r="D157" s="7">
        <f>'1 datos preparados'!C150</f>
        <v/>
      </c>
      <c r="E157" s="7">
        <f>'1 datos preparados'!D150</f>
        <v/>
      </c>
      <c r="F157" s="7">
        <f>'1 datos preparados'!E150</f>
        <v/>
      </c>
      <c r="G157" s="7">
        <f>'1 datos preparados'!F150</f>
        <v/>
      </c>
      <c r="H157" s="7">
        <f>'1 datos preparados'!G150</f>
        <v/>
      </c>
      <c r="I157" s="7">
        <f>'1 datos preparados'!H150</f>
        <v/>
      </c>
      <c r="J157" s="7">
        <f>'1 datos preparados'!I150</f>
        <v/>
      </c>
      <c r="K157" s="7">
        <f>'1 datos preparados'!J150</f>
        <v/>
      </c>
      <c r="L157" s="7">
        <f>'1 datos preparados'!K150</f>
        <v/>
      </c>
      <c r="M157" s="7">
        <f>'1 datos preparados'!L150</f>
        <v/>
      </c>
      <c r="N157" s="7">
        <f>'1 datos preparados'!M150</f>
        <v/>
      </c>
      <c r="O157" s="7">
        <f>'1 datos preparados'!N150</f>
        <v/>
      </c>
      <c r="P157" s="7">
        <f>'1 datos preparados'!O150</f>
        <v/>
      </c>
      <c r="Q157" s="7">
        <f>'1 datos preparados'!P150</f>
        <v/>
      </c>
      <c r="R157" s="7">
        <f>'1 datos preparados'!Q150</f>
        <v/>
      </c>
      <c r="S157" s="7">
        <f>'1 datos preparados'!R150</f>
        <v/>
      </c>
      <c r="T157" s="7">
        <f>'1 datos preparados'!S150</f>
        <v/>
      </c>
      <c r="U157" s="7">
        <f>'1 datos preparados'!T150</f>
        <v/>
      </c>
      <c r="V157" s="8">
        <f>$AE$12+D157*$AE$13+E157*$AE$14+F157*$AE$15+G157*$AE$16+H157*$AE$17+I157*$AE$18+J157*$AE$19+K157*$AE$20+L157*$AE$21+M157*$AE$22+N157*$AE$23+O157*$AE$24+P157*$AE$25+Q157*$AE$26+R157*$AE$27+S157*$AE$28+T157*$AE$29+U157*$AE$30</f>
        <v/>
      </c>
      <c r="W157" s="8">
        <f>1/(1+EXP(-V157))</f>
        <v/>
      </c>
      <c r="X157" s="9">
        <f>-IF(C157=1,LN(W157),LN(1-W157))</f>
        <v/>
      </c>
      <c r="Y157" s="8">
        <f>IF(C157=1,$AE$32,$AE$33)</f>
        <v/>
      </c>
      <c r="Z157" s="9">
        <f>Y157*X157</f>
        <v/>
      </c>
      <c r="AA157" s="10">
        <f>IF(W157&gt;$AE$34,1,0)</f>
        <v/>
      </c>
      <c r="AB157">
        <f>IF(AA157=C157,1,0)</f>
        <v/>
      </c>
    </row>
    <row r="158">
      <c r="A158">
        <f>'1 datos preparados'!A151</f>
        <v/>
      </c>
      <c r="B158" s="5">
        <f>'1 datos preparados'!U151</f>
        <v/>
      </c>
      <c r="C158">
        <f>'1 datos preparados'!B151</f>
        <v/>
      </c>
      <c r="D158" s="7">
        <f>'1 datos preparados'!C151</f>
        <v/>
      </c>
      <c r="E158" s="7">
        <f>'1 datos preparados'!D151</f>
        <v/>
      </c>
      <c r="F158" s="7">
        <f>'1 datos preparados'!E151</f>
        <v/>
      </c>
      <c r="G158" s="7">
        <f>'1 datos preparados'!F151</f>
        <v/>
      </c>
      <c r="H158" s="7">
        <f>'1 datos preparados'!G151</f>
        <v/>
      </c>
      <c r="I158" s="7">
        <f>'1 datos preparados'!H151</f>
        <v/>
      </c>
      <c r="J158" s="7">
        <f>'1 datos preparados'!I151</f>
        <v/>
      </c>
      <c r="K158" s="7">
        <f>'1 datos preparados'!J151</f>
        <v/>
      </c>
      <c r="L158" s="7">
        <f>'1 datos preparados'!K151</f>
        <v/>
      </c>
      <c r="M158" s="7">
        <f>'1 datos preparados'!L151</f>
        <v/>
      </c>
      <c r="N158" s="7">
        <f>'1 datos preparados'!M151</f>
        <v/>
      </c>
      <c r="O158" s="7">
        <f>'1 datos preparados'!N151</f>
        <v/>
      </c>
      <c r="P158" s="7">
        <f>'1 datos preparados'!O151</f>
        <v/>
      </c>
      <c r="Q158" s="7">
        <f>'1 datos preparados'!P151</f>
        <v/>
      </c>
      <c r="R158" s="7">
        <f>'1 datos preparados'!Q151</f>
        <v/>
      </c>
      <c r="S158" s="7">
        <f>'1 datos preparados'!R151</f>
        <v/>
      </c>
      <c r="T158" s="7">
        <f>'1 datos preparados'!S151</f>
        <v/>
      </c>
      <c r="U158" s="7">
        <f>'1 datos preparados'!T151</f>
        <v/>
      </c>
      <c r="V158" s="8">
        <f>$AE$12+D158*$AE$13+E158*$AE$14+F158*$AE$15+G158*$AE$16+H158*$AE$17+I158*$AE$18+J158*$AE$19+K158*$AE$20+L158*$AE$21+M158*$AE$22+N158*$AE$23+O158*$AE$24+P158*$AE$25+Q158*$AE$26+R158*$AE$27+S158*$AE$28+T158*$AE$29+U158*$AE$30</f>
        <v/>
      </c>
      <c r="W158" s="8">
        <f>1/(1+EXP(-V158))</f>
        <v/>
      </c>
      <c r="X158" s="9">
        <f>-IF(C158=1,LN(W158),LN(1-W158))</f>
        <v/>
      </c>
      <c r="Y158" s="8">
        <f>IF(C158=1,$AE$32,$AE$33)</f>
        <v/>
      </c>
      <c r="Z158" s="9">
        <f>Y158*X158</f>
        <v/>
      </c>
      <c r="AA158" s="10">
        <f>IF(W158&gt;$AE$34,1,0)</f>
        <v/>
      </c>
      <c r="AB158">
        <f>IF(AA158=C158,1,0)</f>
        <v/>
      </c>
    </row>
    <row r="159">
      <c r="A159">
        <f>'1 datos preparados'!A152</f>
        <v/>
      </c>
      <c r="B159" s="5">
        <f>'1 datos preparados'!U152</f>
        <v/>
      </c>
      <c r="C159">
        <f>'1 datos preparados'!B152</f>
        <v/>
      </c>
      <c r="D159" s="7">
        <f>'1 datos preparados'!C152</f>
        <v/>
      </c>
      <c r="E159" s="7">
        <f>'1 datos preparados'!D152</f>
        <v/>
      </c>
      <c r="F159" s="7">
        <f>'1 datos preparados'!E152</f>
        <v/>
      </c>
      <c r="G159" s="7">
        <f>'1 datos preparados'!F152</f>
        <v/>
      </c>
      <c r="H159" s="7">
        <f>'1 datos preparados'!G152</f>
        <v/>
      </c>
      <c r="I159" s="7">
        <f>'1 datos preparados'!H152</f>
        <v/>
      </c>
      <c r="J159" s="7">
        <f>'1 datos preparados'!I152</f>
        <v/>
      </c>
      <c r="K159" s="7">
        <f>'1 datos preparados'!J152</f>
        <v/>
      </c>
      <c r="L159" s="7">
        <f>'1 datos preparados'!K152</f>
        <v/>
      </c>
      <c r="M159" s="7">
        <f>'1 datos preparados'!L152</f>
        <v/>
      </c>
      <c r="N159" s="7">
        <f>'1 datos preparados'!M152</f>
        <v/>
      </c>
      <c r="O159" s="7">
        <f>'1 datos preparados'!N152</f>
        <v/>
      </c>
      <c r="P159" s="7">
        <f>'1 datos preparados'!O152</f>
        <v/>
      </c>
      <c r="Q159" s="7">
        <f>'1 datos preparados'!P152</f>
        <v/>
      </c>
      <c r="R159" s="7">
        <f>'1 datos preparados'!Q152</f>
        <v/>
      </c>
      <c r="S159" s="7">
        <f>'1 datos preparados'!R152</f>
        <v/>
      </c>
      <c r="T159" s="7">
        <f>'1 datos preparados'!S152</f>
        <v/>
      </c>
      <c r="U159" s="7">
        <f>'1 datos preparados'!T152</f>
        <v/>
      </c>
      <c r="V159" s="8">
        <f>$AE$12+D159*$AE$13+E159*$AE$14+F159*$AE$15+G159*$AE$16+H159*$AE$17+I159*$AE$18+J159*$AE$19+K159*$AE$20+L159*$AE$21+M159*$AE$22+N159*$AE$23+O159*$AE$24+P159*$AE$25+Q159*$AE$26+R159*$AE$27+S159*$AE$28+T159*$AE$29+U159*$AE$30</f>
        <v/>
      </c>
      <c r="W159" s="8">
        <f>1/(1+EXP(-V159))</f>
        <v/>
      </c>
      <c r="X159" s="9">
        <f>-IF(C159=1,LN(W159),LN(1-W159))</f>
        <v/>
      </c>
      <c r="Y159" s="8">
        <f>IF(C159=1,$AE$32,$AE$33)</f>
        <v/>
      </c>
      <c r="Z159" s="9">
        <f>Y159*X159</f>
        <v/>
      </c>
      <c r="AA159" s="10">
        <f>IF(W159&gt;$AE$34,1,0)</f>
        <v/>
      </c>
      <c r="AB159">
        <f>IF(AA159=C159,1,0)</f>
        <v/>
      </c>
    </row>
    <row r="160">
      <c r="A160">
        <f>'1 datos preparados'!A153</f>
        <v/>
      </c>
      <c r="B160" s="5">
        <f>'1 datos preparados'!U153</f>
        <v/>
      </c>
      <c r="C160">
        <f>'1 datos preparados'!B153</f>
        <v/>
      </c>
      <c r="D160" s="7">
        <f>'1 datos preparados'!C153</f>
        <v/>
      </c>
      <c r="E160" s="7">
        <f>'1 datos preparados'!D153</f>
        <v/>
      </c>
      <c r="F160" s="7">
        <f>'1 datos preparados'!E153</f>
        <v/>
      </c>
      <c r="G160" s="7">
        <f>'1 datos preparados'!F153</f>
        <v/>
      </c>
      <c r="H160" s="7">
        <f>'1 datos preparados'!G153</f>
        <v/>
      </c>
      <c r="I160" s="7">
        <f>'1 datos preparados'!H153</f>
        <v/>
      </c>
      <c r="J160" s="7">
        <f>'1 datos preparados'!I153</f>
        <v/>
      </c>
      <c r="K160" s="7">
        <f>'1 datos preparados'!J153</f>
        <v/>
      </c>
      <c r="L160" s="7">
        <f>'1 datos preparados'!K153</f>
        <v/>
      </c>
      <c r="M160" s="7">
        <f>'1 datos preparados'!L153</f>
        <v/>
      </c>
      <c r="N160" s="7">
        <f>'1 datos preparados'!M153</f>
        <v/>
      </c>
      <c r="O160" s="7">
        <f>'1 datos preparados'!N153</f>
        <v/>
      </c>
      <c r="P160" s="7">
        <f>'1 datos preparados'!O153</f>
        <v/>
      </c>
      <c r="Q160" s="7">
        <f>'1 datos preparados'!P153</f>
        <v/>
      </c>
      <c r="R160" s="7">
        <f>'1 datos preparados'!Q153</f>
        <v/>
      </c>
      <c r="S160" s="7">
        <f>'1 datos preparados'!R153</f>
        <v/>
      </c>
      <c r="T160" s="7">
        <f>'1 datos preparados'!S153</f>
        <v/>
      </c>
      <c r="U160" s="7">
        <f>'1 datos preparados'!T153</f>
        <v/>
      </c>
      <c r="V160" s="8">
        <f>$AE$12+D160*$AE$13+E160*$AE$14+F160*$AE$15+G160*$AE$16+H160*$AE$17+I160*$AE$18+J160*$AE$19+K160*$AE$20+L160*$AE$21+M160*$AE$22+N160*$AE$23+O160*$AE$24+P160*$AE$25+Q160*$AE$26+R160*$AE$27+S160*$AE$28+T160*$AE$29+U160*$AE$30</f>
        <v/>
      </c>
      <c r="W160" s="8">
        <f>1/(1+EXP(-V160))</f>
        <v/>
      </c>
      <c r="X160" s="9">
        <f>-IF(C160=1,LN(W160),LN(1-W160))</f>
        <v/>
      </c>
      <c r="Y160" s="8">
        <f>IF(C160=1,$AE$32,$AE$33)</f>
        <v/>
      </c>
      <c r="Z160" s="9">
        <f>Y160*X160</f>
        <v/>
      </c>
      <c r="AA160" s="10">
        <f>IF(W160&gt;$AE$34,1,0)</f>
        <v/>
      </c>
      <c r="AB160">
        <f>IF(AA160=C160,1,0)</f>
        <v/>
      </c>
    </row>
    <row r="161">
      <c r="A161">
        <f>'1 datos preparados'!A154</f>
        <v/>
      </c>
      <c r="B161" s="5">
        <f>'1 datos preparados'!U154</f>
        <v/>
      </c>
      <c r="C161">
        <f>'1 datos preparados'!B154</f>
        <v/>
      </c>
      <c r="D161" s="7">
        <f>'1 datos preparados'!C154</f>
        <v/>
      </c>
      <c r="E161" s="7">
        <f>'1 datos preparados'!D154</f>
        <v/>
      </c>
      <c r="F161" s="7">
        <f>'1 datos preparados'!E154</f>
        <v/>
      </c>
      <c r="G161" s="7">
        <f>'1 datos preparados'!F154</f>
        <v/>
      </c>
      <c r="H161" s="7">
        <f>'1 datos preparados'!G154</f>
        <v/>
      </c>
      <c r="I161" s="7">
        <f>'1 datos preparados'!H154</f>
        <v/>
      </c>
      <c r="J161" s="7">
        <f>'1 datos preparados'!I154</f>
        <v/>
      </c>
      <c r="K161" s="7">
        <f>'1 datos preparados'!J154</f>
        <v/>
      </c>
      <c r="L161" s="7">
        <f>'1 datos preparados'!K154</f>
        <v/>
      </c>
      <c r="M161" s="7">
        <f>'1 datos preparados'!L154</f>
        <v/>
      </c>
      <c r="N161" s="7">
        <f>'1 datos preparados'!M154</f>
        <v/>
      </c>
      <c r="O161" s="7">
        <f>'1 datos preparados'!N154</f>
        <v/>
      </c>
      <c r="P161" s="7">
        <f>'1 datos preparados'!O154</f>
        <v/>
      </c>
      <c r="Q161" s="7">
        <f>'1 datos preparados'!P154</f>
        <v/>
      </c>
      <c r="R161" s="7">
        <f>'1 datos preparados'!Q154</f>
        <v/>
      </c>
      <c r="S161" s="7">
        <f>'1 datos preparados'!R154</f>
        <v/>
      </c>
      <c r="T161" s="7">
        <f>'1 datos preparados'!S154</f>
        <v/>
      </c>
      <c r="U161" s="7">
        <f>'1 datos preparados'!T154</f>
        <v/>
      </c>
      <c r="V161" s="8">
        <f>$AE$12+D161*$AE$13+E161*$AE$14+F161*$AE$15+G161*$AE$16+H161*$AE$17+I161*$AE$18+J161*$AE$19+K161*$AE$20+L161*$AE$21+M161*$AE$22+N161*$AE$23+O161*$AE$24+P161*$AE$25+Q161*$AE$26+R161*$AE$27+S161*$AE$28+T161*$AE$29+U161*$AE$30</f>
        <v/>
      </c>
      <c r="W161" s="8">
        <f>1/(1+EXP(-V161))</f>
        <v/>
      </c>
      <c r="X161" s="9">
        <f>-IF(C161=1,LN(W161),LN(1-W161))</f>
        <v/>
      </c>
      <c r="Y161" s="8">
        <f>IF(C161=1,$AE$32,$AE$33)</f>
        <v/>
      </c>
      <c r="Z161" s="9">
        <f>Y161*X161</f>
        <v/>
      </c>
      <c r="AA161" s="10">
        <f>IF(W161&gt;$AE$34,1,0)</f>
        <v/>
      </c>
      <c r="AB161">
        <f>IF(AA161=C161,1,0)</f>
        <v/>
      </c>
    </row>
    <row r="162">
      <c r="A162">
        <f>'1 datos preparados'!A155</f>
        <v/>
      </c>
      <c r="B162" s="5">
        <f>'1 datos preparados'!U155</f>
        <v/>
      </c>
      <c r="C162">
        <f>'1 datos preparados'!B155</f>
        <v/>
      </c>
      <c r="D162" s="7">
        <f>'1 datos preparados'!C155</f>
        <v/>
      </c>
      <c r="E162" s="7">
        <f>'1 datos preparados'!D155</f>
        <v/>
      </c>
      <c r="F162" s="7">
        <f>'1 datos preparados'!E155</f>
        <v/>
      </c>
      <c r="G162" s="7">
        <f>'1 datos preparados'!F155</f>
        <v/>
      </c>
      <c r="H162" s="7">
        <f>'1 datos preparados'!G155</f>
        <v/>
      </c>
      <c r="I162" s="7">
        <f>'1 datos preparados'!H155</f>
        <v/>
      </c>
      <c r="J162" s="7">
        <f>'1 datos preparados'!I155</f>
        <v/>
      </c>
      <c r="K162" s="7">
        <f>'1 datos preparados'!J155</f>
        <v/>
      </c>
      <c r="L162" s="7">
        <f>'1 datos preparados'!K155</f>
        <v/>
      </c>
      <c r="M162" s="7">
        <f>'1 datos preparados'!L155</f>
        <v/>
      </c>
      <c r="N162" s="7">
        <f>'1 datos preparados'!M155</f>
        <v/>
      </c>
      <c r="O162" s="7">
        <f>'1 datos preparados'!N155</f>
        <v/>
      </c>
      <c r="P162" s="7">
        <f>'1 datos preparados'!O155</f>
        <v/>
      </c>
      <c r="Q162" s="7">
        <f>'1 datos preparados'!P155</f>
        <v/>
      </c>
      <c r="R162" s="7">
        <f>'1 datos preparados'!Q155</f>
        <v/>
      </c>
      <c r="S162" s="7">
        <f>'1 datos preparados'!R155</f>
        <v/>
      </c>
      <c r="T162" s="7">
        <f>'1 datos preparados'!S155</f>
        <v/>
      </c>
      <c r="U162" s="7">
        <f>'1 datos preparados'!T155</f>
        <v/>
      </c>
      <c r="V162" s="8">
        <f>$AE$12+D162*$AE$13+E162*$AE$14+F162*$AE$15+G162*$AE$16+H162*$AE$17+I162*$AE$18+J162*$AE$19+K162*$AE$20+L162*$AE$21+M162*$AE$22+N162*$AE$23+O162*$AE$24+P162*$AE$25+Q162*$AE$26+R162*$AE$27+S162*$AE$28+T162*$AE$29+U162*$AE$30</f>
        <v/>
      </c>
      <c r="W162" s="8">
        <f>1/(1+EXP(-V162))</f>
        <v/>
      </c>
      <c r="X162" s="9">
        <f>-IF(C162=1,LN(W162),LN(1-W162))</f>
        <v/>
      </c>
      <c r="Y162" s="8">
        <f>IF(C162=1,$AE$32,$AE$33)</f>
        <v/>
      </c>
      <c r="Z162" s="9">
        <f>Y162*X162</f>
        <v/>
      </c>
      <c r="AA162" s="10">
        <f>IF(W162&gt;$AE$34,1,0)</f>
        <v/>
      </c>
      <c r="AB162">
        <f>IF(AA162=C162,1,0)</f>
        <v/>
      </c>
    </row>
    <row r="163">
      <c r="A163">
        <f>'1 datos preparados'!A156</f>
        <v/>
      </c>
      <c r="B163" s="5">
        <f>'1 datos preparados'!U156</f>
        <v/>
      </c>
      <c r="C163">
        <f>'1 datos preparados'!B156</f>
        <v/>
      </c>
      <c r="D163" s="7">
        <f>'1 datos preparados'!C156</f>
        <v/>
      </c>
      <c r="E163" s="7">
        <f>'1 datos preparados'!D156</f>
        <v/>
      </c>
      <c r="F163" s="7">
        <f>'1 datos preparados'!E156</f>
        <v/>
      </c>
      <c r="G163" s="7">
        <f>'1 datos preparados'!F156</f>
        <v/>
      </c>
      <c r="H163" s="7">
        <f>'1 datos preparados'!G156</f>
        <v/>
      </c>
      <c r="I163" s="7">
        <f>'1 datos preparados'!H156</f>
        <v/>
      </c>
      <c r="J163" s="7">
        <f>'1 datos preparados'!I156</f>
        <v/>
      </c>
      <c r="K163" s="7">
        <f>'1 datos preparados'!J156</f>
        <v/>
      </c>
      <c r="L163" s="7">
        <f>'1 datos preparados'!K156</f>
        <v/>
      </c>
      <c r="M163" s="7">
        <f>'1 datos preparados'!L156</f>
        <v/>
      </c>
      <c r="N163" s="7">
        <f>'1 datos preparados'!M156</f>
        <v/>
      </c>
      <c r="O163" s="7">
        <f>'1 datos preparados'!N156</f>
        <v/>
      </c>
      <c r="P163" s="7">
        <f>'1 datos preparados'!O156</f>
        <v/>
      </c>
      <c r="Q163" s="7">
        <f>'1 datos preparados'!P156</f>
        <v/>
      </c>
      <c r="R163" s="7">
        <f>'1 datos preparados'!Q156</f>
        <v/>
      </c>
      <c r="S163" s="7">
        <f>'1 datos preparados'!R156</f>
        <v/>
      </c>
      <c r="T163" s="7">
        <f>'1 datos preparados'!S156</f>
        <v/>
      </c>
      <c r="U163" s="7">
        <f>'1 datos preparados'!T156</f>
        <v/>
      </c>
      <c r="V163" s="8">
        <f>$AE$12+D163*$AE$13+E163*$AE$14+F163*$AE$15+G163*$AE$16+H163*$AE$17+I163*$AE$18+J163*$AE$19+K163*$AE$20+L163*$AE$21+M163*$AE$22+N163*$AE$23+O163*$AE$24+P163*$AE$25+Q163*$AE$26+R163*$AE$27+S163*$AE$28+T163*$AE$29+U163*$AE$30</f>
        <v/>
      </c>
      <c r="W163" s="8">
        <f>1/(1+EXP(-V163))</f>
        <v/>
      </c>
      <c r="X163" s="9">
        <f>-IF(C163=1,LN(W163),LN(1-W163))</f>
        <v/>
      </c>
      <c r="Y163" s="8">
        <f>IF(C163=1,$AE$32,$AE$33)</f>
        <v/>
      </c>
      <c r="Z163" s="9">
        <f>Y163*X163</f>
        <v/>
      </c>
      <c r="AA163" s="10">
        <f>IF(W163&gt;$AE$34,1,0)</f>
        <v/>
      </c>
      <c r="AB163">
        <f>IF(AA163=C163,1,0)</f>
        <v/>
      </c>
    </row>
    <row r="164">
      <c r="A164">
        <f>'1 datos preparados'!A157</f>
        <v/>
      </c>
      <c r="B164" s="5">
        <f>'1 datos preparados'!U157</f>
        <v/>
      </c>
      <c r="C164">
        <f>'1 datos preparados'!B157</f>
        <v/>
      </c>
      <c r="D164" s="7">
        <f>'1 datos preparados'!C157</f>
        <v/>
      </c>
      <c r="E164" s="7">
        <f>'1 datos preparados'!D157</f>
        <v/>
      </c>
      <c r="F164" s="7">
        <f>'1 datos preparados'!E157</f>
        <v/>
      </c>
      <c r="G164" s="7">
        <f>'1 datos preparados'!F157</f>
        <v/>
      </c>
      <c r="H164" s="7">
        <f>'1 datos preparados'!G157</f>
        <v/>
      </c>
      <c r="I164" s="7">
        <f>'1 datos preparados'!H157</f>
        <v/>
      </c>
      <c r="J164" s="7">
        <f>'1 datos preparados'!I157</f>
        <v/>
      </c>
      <c r="K164" s="7">
        <f>'1 datos preparados'!J157</f>
        <v/>
      </c>
      <c r="L164" s="7">
        <f>'1 datos preparados'!K157</f>
        <v/>
      </c>
      <c r="M164" s="7">
        <f>'1 datos preparados'!L157</f>
        <v/>
      </c>
      <c r="N164" s="7">
        <f>'1 datos preparados'!M157</f>
        <v/>
      </c>
      <c r="O164" s="7">
        <f>'1 datos preparados'!N157</f>
        <v/>
      </c>
      <c r="P164" s="7">
        <f>'1 datos preparados'!O157</f>
        <v/>
      </c>
      <c r="Q164" s="7">
        <f>'1 datos preparados'!P157</f>
        <v/>
      </c>
      <c r="R164" s="7">
        <f>'1 datos preparados'!Q157</f>
        <v/>
      </c>
      <c r="S164" s="7">
        <f>'1 datos preparados'!R157</f>
        <v/>
      </c>
      <c r="T164" s="7">
        <f>'1 datos preparados'!S157</f>
        <v/>
      </c>
      <c r="U164" s="7">
        <f>'1 datos preparados'!T157</f>
        <v/>
      </c>
      <c r="V164" s="8">
        <f>$AE$12+D164*$AE$13+E164*$AE$14+F164*$AE$15+G164*$AE$16+H164*$AE$17+I164*$AE$18+J164*$AE$19+K164*$AE$20+L164*$AE$21+M164*$AE$22+N164*$AE$23+O164*$AE$24+P164*$AE$25+Q164*$AE$26+R164*$AE$27+S164*$AE$28+T164*$AE$29+U164*$AE$30</f>
        <v/>
      </c>
      <c r="W164" s="8">
        <f>1/(1+EXP(-V164))</f>
        <v/>
      </c>
      <c r="X164" s="9">
        <f>-IF(C164=1,LN(W164),LN(1-W164))</f>
        <v/>
      </c>
      <c r="Y164" s="8">
        <f>IF(C164=1,$AE$32,$AE$33)</f>
        <v/>
      </c>
      <c r="Z164" s="9">
        <f>Y164*X164</f>
        <v/>
      </c>
      <c r="AA164" s="10">
        <f>IF(W164&gt;$AE$34,1,0)</f>
        <v/>
      </c>
      <c r="AB164">
        <f>IF(AA164=C164,1,0)</f>
        <v/>
      </c>
    </row>
    <row r="165">
      <c r="A165">
        <f>'1 datos preparados'!A158</f>
        <v/>
      </c>
      <c r="B165" s="5">
        <f>'1 datos preparados'!U158</f>
        <v/>
      </c>
      <c r="C165">
        <f>'1 datos preparados'!B158</f>
        <v/>
      </c>
      <c r="D165" s="7">
        <f>'1 datos preparados'!C158</f>
        <v/>
      </c>
      <c r="E165" s="7">
        <f>'1 datos preparados'!D158</f>
        <v/>
      </c>
      <c r="F165" s="7">
        <f>'1 datos preparados'!E158</f>
        <v/>
      </c>
      <c r="G165" s="7">
        <f>'1 datos preparados'!F158</f>
        <v/>
      </c>
      <c r="H165" s="7">
        <f>'1 datos preparados'!G158</f>
        <v/>
      </c>
      <c r="I165" s="7">
        <f>'1 datos preparados'!H158</f>
        <v/>
      </c>
      <c r="J165" s="7">
        <f>'1 datos preparados'!I158</f>
        <v/>
      </c>
      <c r="K165" s="7">
        <f>'1 datos preparados'!J158</f>
        <v/>
      </c>
      <c r="L165" s="7">
        <f>'1 datos preparados'!K158</f>
        <v/>
      </c>
      <c r="M165" s="7">
        <f>'1 datos preparados'!L158</f>
        <v/>
      </c>
      <c r="N165" s="7">
        <f>'1 datos preparados'!M158</f>
        <v/>
      </c>
      <c r="O165" s="7">
        <f>'1 datos preparados'!N158</f>
        <v/>
      </c>
      <c r="P165" s="7">
        <f>'1 datos preparados'!O158</f>
        <v/>
      </c>
      <c r="Q165" s="7">
        <f>'1 datos preparados'!P158</f>
        <v/>
      </c>
      <c r="R165" s="7">
        <f>'1 datos preparados'!Q158</f>
        <v/>
      </c>
      <c r="S165" s="7">
        <f>'1 datos preparados'!R158</f>
        <v/>
      </c>
      <c r="T165" s="7">
        <f>'1 datos preparados'!S158</f>
        <v/>
      </c>
      <c r="U165" s="7">
        <f>'1 datos preparados'!T158</f>
        <v/>
      </c>
      <c r="V165" s="8">
        <f>$AE$12+D165*$AE$13+E165*$AE$14+F165*$AE$15+G165*$AE$16+H165*$AE$17+I165*$AE$18+J165*$AE$19+K165*$AE$20+L165*$AE$21+M165*$AE$22+N165*$AE$23+O165*$AE$24+P165*$AE$25+Q165*$AE$26+R165*$AE$27+S165*$AE$28+T165*$AE$29+U165*$AE$30</f>
        <v/>
      </c>
      <c r="W165" s="8">
        <f>1/(1+EXP(-V165))</f>
        <v/>
      </c>
      <c r="X165" s="9">
        <f>-IF(C165=1,LN(W165),LN(1-W165))</f>
        <v/>
      </c>
      <c r="Y165" s="8">
        <f>IF(C165=1,$AE$32,$AE$33)</f>
        <v/>
      </c>
      <c r="Z165" s="9">
        <f>Y165*X165</f>
        <v/>
      </c>
      <c r="AA165" s="10">
        <f>IF(W165&gt;$AE$34,1,0)</f>
        <v/>
      </c>
      <c r="AB165">
        <f>IF(AA165=C165,1,0)</f>
        <v/>
      </c>
    </row>
    <row r="166">
      <c r="A166">
        <f>'1 datos preparados'!A159</f>
        <v/>
      </c>
      <c r="B166" s="5">
        <f>'1 datos preparados'!U159</f>
        <v/>
      </c>
      <c r="C166">
        <f>'1 datos preparados'!B159</f>
        <v/>
      </c>
      <c r="D166" s="7">
        <f>'1 datos preparados'!C159</f>
        <v/>
      </c>
      <c r="E166" s="7">
        <f>'1 datos preparados'!D159</f>
        <v/>
      </c>
      <c r="F166" s="7">
        <f>'1 datos preparados'!E159</f>
        <v/>
      </c>
      <c r="G166" s="7">
        <f>'1 datos preparados'!F159</f>
        <v/>
      </c>
      <c r="H166" s="7">
        <f>'1 datos preparados'!G159</f>
        <v/>
      </c>
      <c r="I166" s="7">
        <f>'1 datos preparados'!H159</f>
        <v/>
      </c>
      <c r="J166" s="7">
        <f>'1 datos preparados'!I159</f>
        <v/>
      </c>
      <c r="K166" s="7">
        <f>'1 datos preparados'!J159</f>
        <v/>
      </c>
      <c r="L166" s="7">
        <f>'1 datos preparados'!K159</f>
        <v/>
      </c>
      <c r="M166" s="7">
        <f>'1 datos preparados'!L159</f>
        <v/>
      </c>
      <c r="N166" s="7">
        <f>'1 datos preparados'!M159</f>
        <v/>
      </c>
      <c r="O166" s="7">
        <f>'1 datos preparados'!N159</f>
        <v/>
      </c>
      <c r="P166" s="7">
        <f>'1 datos preparados'!O159</f>
        <v/>
      </c>
      <c r="Q166" s="7">
        <f>'1 datos preparados'!P159</f>
        <v/>
      </c>
      <c r="R166" s="7">
        <f>'1 datos preparados'!Q159</f>
        <v/>
      </c>
      <c r="S166" s="7">
        <f>'1 datos preparados'!R159</f>
        <v/>
      </c>
      <c r="T166" s="7">
        <f>'1 datos preparados'!S159</f>
        <v/>
      </c>
      <c r="U166" s="7">
        <f>'1 datos preparados'!T159</f>
        <v/>
      </c>
      <c r="V166" s="8">
        <f>$AE$12+D166*$AE$13+E166*$AE$14+F166*$AE$15+G166*$AE$16+H166*$AE$17+I166*$AE$18+J166*$AE$19+K166*$AE$20+L166*$AE$21+M166*$AE$22+N166*$AE$23+O166*$AE$24+P166*$AE$25+Q166*$AE$26+R166*$AE$27+S166*$AE$28+T166*$AE$29+U166*$AE$30</f>
        <v/>
      </c>
      <c r="W166" s="8">
        <f>1/(1+EXP(-V166))</f>
        <v/>
      </c>
      <c r="X166" s="9">
        <f>-IF(C166=1,LN(W166),LN(1-W166))</f>
        <v/>
      </c>
      <c r="Y166" s="8">
        <f>IF(C166=1,$AE$32,$AE$33)</f>
        <v/>
      </c>
      <c r="Z166" s="9">
        <f>Y166*X166</f>
        <v/>
      </c>
      <c r="AA166" s="10">
        <f>IF(W166&gt;$AE$34,1,0)</f>
        <v/>
      </c>
      <c r="AB166">
        <f>IF(AA166=C166,1,0)</f>
        <v/>
      </c>
    </row>
    <row r="167">
      <c r="A167">
        <f>'1 datos preparados'!A160</f>
        <v/>
      </c>
      <c r="B167" s="5">
        <f>'1 datos preparados'!U160</f>
        <v/>
      </c>
      <c r="C167">
        <f>'1 datos preparados'!B160</f>
        <v/>
      </c>
      <c r="D167" s="7">
        <f>'1 datos preparados'!C160</f>
        <v/>
      </c>
      <c r="E167" s="7">
        <f>'1 datos preparados'!D160</f>
        <v/>
      </c>
      <c r="F167" s="7">
        <f>'1 datos preparados'!E160</f>
        <v/>
      </c>
      <c r="G167" s="7">
        <f>'1 datos preparados'!F160</f>
        <v/>
      </c>
      <c r="H167" s="7">
        <f>'1 datos preparados'!G160</f>
        <v/>
      </c>
      <c r="I167" s="7">
        <f>'1 datos preparados'!H160</f>
        <v/>
      </c>
      <c r="J167" s="7">
        <f>'1 datos preparados'!I160</f>
        <v/>
      </c>
      <c r="K167" s="7">
        <f>'1 datos preparados'!J160</f>
        <v/>
      </c>
      <c r="L167" s="7">
        <f>'1 datos preparados'!K160</f>
        <v/>
      </c>
      <c r="M167" s="7">
        <f>'1 datos preparados'!L160</f>
        <v/>
      </c>
      <c r="N167" s="7">
        <f>'1 datos preparados'!M160</f>
        <v/>
      </c>
      <c r="O167" s="7">
        <f>'1 datos preparados'!N160</f>
        <v/>
      </c>
      <c r="P167" s="7">
        <f>'1 datos preparados'!O160</f>
        <v/>
      </c>
      <c r="Q167" s="7">
        <f>'1 datos preparados'!P160</f>
        <v/>
      </c>
      <c r="R167" s="7">
        <f>'1 datos preparados'!Q160</f>
        <v/>
      </c>
      <c r="S167" s="7">
        <f>'1 datos preparados'!R160</f>
        <v/>
      </c>
      <c r="T167" s="7">
        <f>'1 datos preparados'!S160</f>
        <v/>
      </c>
      <c r="U167" s="7">
        <f>'1 datos preparados'!T160</f>
        <v/>
      </c>
      <c r="V167" s="8">
        <f>$AE$12+D167*$AE$13+E167*$AE$14+F167*$AE$15+G167*$AE$16+H167*$AE$17+I167*$AE$18+J167*$AE$19+K167*$AE$20+L167*$AE$21+M167*$AE$22+N167*$AE$23+O167*$AE$24+P167*$AE$25+Q167*$AE$26+R167*$AE$27+S167*$AE$28+T167*$AE$29+U167*$AE$30</f>
        <v/>
      </c>
      <c r="W167" s="8">
        <f>1/(1+EXP(-V167))</f>
        <v/>
      </c>
      <c r="X167" s="9">
        <f>-IF(C167=1,LN(W167),LN(1-W167))</f>
        <v/>
      </c>
      <c r="Y167" s="8">
        <f>IF(C167=1,$AE$32,$AE$33)</f>
        <v/>
      </c>
      <c r="Z167" s="9">
        <f>Y167*X167</f>
        <v/>
      </c>
      <c r="AA167" s="10">
        <f>IF(W167&gt;$AE$34,1,0)</f>
        <v/>
      </c>
      <c r="AB167">
        <f>IF(AA167=C167,1,0)</f>
        <v/>
      </c>
    </row>
    <row r="168">
      <c r="A168">
        <f>'1 datos preparados'!A161</f>
        <v/>
      </c>
      <c r="B168" s="5">
        <f>'1 datos preparados'!U161</f>
        <v/>
      </c>
      <c r="C168">
        <f>'1 datos preparados'!B161</f>
        <v/>
      </c>
      <c r="D168" s="7">
        <f>'1 datos preparados'!C161</f>
        <v/>
      </c>
      <c r="E168" s="7">
        <f>'1 datos preparados'!D161</f>
        <v/>
      </c>
      <c r="F168" s="7">
        <f>'1 datos preparados'!E161</f>
        <v/>
      </c>
      <c r="G168" s="7">
        <f>'1 datos preparados'!F161</f>
        <v/>
      </c>
      <c r="H168" s="7">
        <f>'1 datos preparados'!G161</f>
        <v/>
      </c>
      <c r="I168" s="7">
        <f>'1 datos preparados'!H161</f>
        <v/>
      </c>
      <c r="J168" s="7">
        <f>'1 datos preparados'!I161</f>
        <v/>
      </c>
      <c r="K168" s="7">
        <f>'1 datos preparados'!J161</f>
        <v/>
      </c>
      <c r="L168" s="7">
        <f>'1 datos preparados'!K161</f>
        <v/>
      </c>
      <c r="M168" s="7">
        <f>'1 datos preparados'!L161</f>
        <v/>
      </c>
      <c r="N168" s="7">
        <f>'1 datos preparados'!M161</f>
        <v/>
      </c>
      <c r="O168" s="7">
        <f>'1 datos preparados'!N161</f>
        <v/>
      </c>
      <c r="P168" s="7">
        <f>'1 datos preparados'!O161</f>
        <v/>
      </c>
      <c r="Q168" s="7">
        <f>'1 datos preparados'!P161</f>
        <v/>
      </c>
      <c r="R168" s="7">
        <f>'1 datos preparados'!Q161</f>
        <v/>
      </c>
      <c r="S168" s="7">
        <f>'1 datos preparados'!R161</f>
        <v/>
      </c>
      <c r="T168" s="7">
        <f>'1 datos preparados'!S161</f>
        <v/>
      </c>
      <c r="U168" s="7">
        <f>'1 datos preparados'!T161</f>
        <v/>
      </c>
      <c r="V168" s="8">
        <f>$AE$12+D168*$AE$13+E168*$AE$14+F168*$AE$15+G168*$AE$16+H168*$AE$17+I168*$AE$18+J168*$AE$19+K168*$AE$20+L168*$AE$21+M168*$AE$22+N168*$AE$23+O168*$AE$24+P168*$AE$25+Q168*$AE$26+R168*$AE$27+S168*$AE$28+T168*$AE$29+U168*$AE$30</f>
        <v/>
      </c>
      <c r="W168" s="8">
        <f>1/(1+EXP(-V168))</f>
        <v/>
      </c>
      <c r="X168" s="9">
        <f>-IF(C168=1,LN(W168),LN(1-W168))</f>
        <v/>
      </c>
      <c r="Y168" s="8">
        <f>IF(C168=1,$AE$32,$AE$33)</f>
        <v/>
      </c>
      <c r="Z168" s="9">
        <f>Y168*X168</f>
        <v/>
      </c>
      <c r="AA168" s="10">
        <f>IF(W168&gt;$AE$34,1,0)</f>
        <v/>
      </c>
      <c r="AB168">
        <f>IF(AA168=C168,1,0)</f>
        <v/>
      </c>
    </row>
    <row r="169">
      <c r="A169">
        <f>'1 datos preparados'!A162</f>
        <v/>
      </c>
      <c r="B169" s="5">
        <f>'1 datos preparados'!U162</f>
        <v/>
      </c>
      <c r="C169">
        <f>'1 datos preparados'!B162</f>
        <v/>
      </c>
      <c r="D169" s="7">
        <f>'1 datos preparados'!C162</f>
        <v/>
      </c>
      <c r="E169" s="7">
        <f>'1 datos preparados'!D162</f>
        <v/>
      </c>
      <c r="F169" s="7">
        <f>'1 datos preparados'!E162</f>
        <v/>
      </c>
      <c r="G169" s="7">
        <f>'1 datos preparados'!F162</f>
        <v/>
      </c>
      <c r="H169" s="7">
        <f>'1 datos preparados'!G162</f>
        <v/>
      </c>
      <c r="I169" s="7">
        <f>'1 datos preparados'!H162</f>
        <v/>
      </c>
      <c r="J169" s="7">
        <f>'1 datos preparados'!I162</f>
        <v/>
      </c>
      <c r="K169" s="7">
        <f>'1 datos preparados'!J162</f>
        <v/>
      </c>
      <c r="L169" s="7">
        <f>'1 datos preparados'!K162</f>
        <v/>
      </c>
      <c r="M169" s="7">
        <f>'1 datos preparados'!L162</f>
        <v/>
      </c>
      <c r="N169" s="7">
        <f>'1 datos preparados'!M162</f>
        <v/>
      </c>
      <c r="O169" s="7">
        <f>'1 datos preparados'!N162</f>
        <v/>
      </c>
      <c r="P169" s="7">
        <f>'1 datos preparados'!O162</f>
        <v/>
      </c>
      <c r="Q169" s="7">
        <f>'1 datos preparados'!P162</f>
        <v/>
      </c>
      <c r="R169" s="7">
        <f>'1 datos preparados'!Q162</f>
        <v/>
      </c>
      <c r="S169" s="7">
        <f>'1 datos preparados'!R162</f>
        <v/>
      </c>
      <c r="T169" s="7">
        <f>'1 datos preparados'!S162</f>
        <v/>
      </c>
      <c r="U169" s="7">
        <f>'1 datos preparados'!T162</f>
        <v/>
      </c>
      <c r="V169" s="8">
        <f>$AE$12+D169*$AE$13+E169*$AE$14+F169*$AE$15+G169*$AE$16+H169*$AE$17+I169*$AE$18+J169*$AE$19+K169*$AE$20+L169*$AE$21+M169*$AE$22+N169*$AE$23+O169*$AE$24+P169*$AE$25+Q169*$AE$26+R169*$AE$27+S169*$AE$28+T169*$AE$29+U169*$AE$30</f>
        <v/>
      </c>
      <c r="W169" s="8">
        <f>1/(1+EXP(-V169))</f>
        <v/>
      </c>
      <c r="X169" s="9">
        <f>-IF(C169=1,LN(W169),LN(1-W169))</f>
        <v/>
      </c>
      <c r="Y169" s="8">
        <f>IF(C169=1,$AE$32,$AE$33)</f>
        <v/>
      </c>
      <c r="Z169" s="9">
        <f>Y169*X169</f>
        <v/>
      </c>
      <c r="AA169" s="10">
        <f>IF(W169&gt;$AE$34,1,0)</f>
        <v/>
      </c>
      <c r="AB169">
        <f>IF(AA169=C169,1,0)</f>
        <v/>
      </c>
    </row>
    <row r="170">
      <c r="A170">
        <f>'1 datos preparados'!A163</f>
        <v/>
      </c>
      <c r="B170" s="5">
        <f>'1 datos preparados'!U163</f>
        <v/>
      </c>
      <c r="C170">
        <f>'1 datos preparados'!B163</f>
        <v/>
      </c>
      <c r="D170" s="7">
        <f>'1 datos preparados'!C163</f>
        <v/>
      </c>
      <c r="E170" s="7">
        <f>'1 datos preparados'!D163</f>
        <v/>
      </c>
      <c r="F170" s="7">
        <f>'1 datos preparados'!E163</f>
        <v/>
      </c>
      <c r="G170" s="7">
        <f>'1 datos preparados'!F163</f>
        <v/>
      </c>
      <c r="H170" s="7">
        <f>'1 datos preparados'!G163</f>
        <v/>
      </c>
      <c r="I170" s="7">
        <f>'1 datos preparados'!H163</f>
        <v/>
      </c>
      <c r="J170" s="7">
        <f>'1 datos preparados'!I163</f>
        <v/>
      </c>
      <c r="K170" s="7">
        <f>'1 datos preparados'!J163</f>
        <v/>
      </c>
      <c r="L170" s="7">
        <f>'1 datos preparados'!K163</f>
        <v/>
      </c>
      <c r="M170" s="7">
        <f>'1 datos preparados'!L163</f>
        <v/>
      </c>
      <c r="N170" s="7">
        <f>'1 datos preparados'!M163</f>
        <v/>
      </c>
      <c r="O170" s="7">
        <f>'1 datos preparados'!N163</f>
        <v/>
      </c>
      <c r="P170" s="7">
        <f>'1 datos preparados'!O163</f>
        <v/>
      </c>
      <c r="Q170" s="7">
        <f>'1 datos preparados'!P163</f>
        <v/>
      </c>
      <c r="R170" s="7">
        <f>'1 datos preparados'!Q163</f>
        <v/>
      </c>
      <c r="S170" s="7">
        <f>'1 datos preparados'!R163</f>
        <v/>
      </c>
      <c r="T170" s="7">
        <f>'1 datos preparados'!S163</f>
        <v/>
      </c>
      <c r="U170" s="7">
        <f>'1 datos preparados'!T163</f>
        <v/>
      </c>
      <c r="V170" s="8">
        <f>$AE$12+D170*$AE$13+E170*$AE$14+F170*$AE$15+G170*$AE$16+H170*$AE$17+I170*$AE$18+J170*$AE$19+K170*$AE$20+L170*$AE$21+M170*$AE$22+N170*$AE$23+O170*$AE$24+P170*$AE$25+Q170*$AE$26+R170*$AE$27+S170*$AE$28+T170*$AE$29+U170*$AE$30</f>
        <v/>
      </c>
      <c r="W170" s="8">
        <f>1/(1+EXP(-V170))</f>
        <v/>
      </c>
      <c r="X170" s="9">
        <f>-IF(C170=1,LN(W170),LN(1-W170))</f>
        <v/>
      </c>
      <c r="Y170" s="8">
        <f>IF(C170=1,$AE$32,$AE$33)</f>
        <v/>
      </c>
      <c r="Z170" s="9">
        <f>Y170*X170</f>
        <v/>
      </c>
      <c r="AA170" s="10">
        <f>IF(W170&gt;$AE$34,1,0)</f>
        <v/>
      </c>
      <c r="AB170">
        <f>IF(AA170=C170,1,0)</f>
        <v/>
      </c>
    </row>
    <row r="171">
      <c r="A171">
        <f>'1 datos preparados'!A164</f>
        <v/>
      </c>
      <c r="B171" s="5">
        <f>'1 datos preparados'!U164</f>
        <v/>
      </c>
      <c r="C171">
        <f>'1 datos preparados'!B164</f>
        <v/>
      </c>
      <c r="D171" s="7">
        <f>'1 datos preparados'!C164</f>
        <v/>
      </c>
      <c r="E171" s="7">
        <f>'1 datos preparados'!D164</f>
        <v/>
      </c>
      <c r="F171" s="7">
        <f>'1 datos preparados'!E164</f>
        <v/>
      </c>
      <c r="G171" s="7">
        <f>'1 datos preparados'!F164</f>
        <v/>
      </c>
      <c r="H171" s="7">
        <f>'1 datos preparados'!G164</f>
        <v/>
      </c>
      <c r="I171" s="7">
        <f>'1 datos preparados'!H164</f>
        <v/>
      </c>
      <c r="J171" s="7">
        <f>'1 datos preparados'!I164</f>
        <v/>
      </c>
      <c r="K171" s="7">
        <f>'1 datos preparados'!J164</f>
        <v/>
      </c>
      <c r="L171" s="7">
        <f>'1 datos preparados'!K164</f>
        <v/>
      </c>
      <c r="M171" s="7">
        <f>'1 datos preparados'!L164</f>
        <v/>
      </c>
      <c r="N171" s="7">
        <f>'1 datos preparados'!M164</f>
        <v/>
      </c>
      <c r="O171" s="7">
        <f>'1 datos preparados'!N164</f>
        <v/>
      </c>
      <c r="P171" s="7">
        <f>'1 datos preparados'!O164</f>
        <v/>
      </c>
      <c r="Q171" s="7">
        <f>'1 datos preparados'!P164</f>
        <v/>
      </c>
      <c r="R171" s="7">
        <f>'1 datos preparados'!Q164</f>
        <v/>
      </c>
      <c r="S171" s="7">
        <f>'1 datos preparados'!R164</f>
        <v/>
      </c>
      <c r="T171" s="7">
        <f>'1 datos preparados'!S164</f>
        <v/>
      </c>
      <c r="U171" s="7">
        <f>'1 datos preparados'!T164</f>
        <v/>
      </c>
      <c r="V171" s="8">
        <f>$AE$12+D171*$AE$13+E171*$AE$14+F171*$AE$15+G171*$AE$16+H171*$AE$17+I171*$AE$18+J171*$AE$19+K171*$AE$20+L171*$AE$21+M171*$AE$22+N171*$AE$23+O171*$AE$24+P171*$AE$25+Q171*$AE$26+R171*$AE$27+S171*$AE$28+T171*$AE$29+U171*$AE$30</f>
        <v/>
      </c>
      <c r="W171" s="8">
        <f>1/(1+EXP(-V171))</f>
        <v/>
      </c>
      <c r="X171" s="9">
        <f>-IF(C171=1,LN(W171),LN(1-W171))</f>
        <v/>
      </c>
      <c r="Y171" s="8">
        <f>IF(C171=1,$AE$32,$AE$33)</f>
        <v/>
      </c>
      <c r="Z171" s="9">
        <f>Y171*X171</f>
        <v/>
      </c>
      <c r="AA171" s="10">
        <f>IF(W171&gt;$AE$34,1,0)</f>
        <v/>
      </c>
      <c r="AB171">
        <f>IF(AA171=C171,1,0)</f>
        <v/>
      </c>
    </row>
    <row r="172">
      <c r="A172">
        <f>'1 datos preparados'!A165</f>
        <v/>
      </c>
      <c r="B172" s="5">
        <f>'1 datos preparados'!U165</f>
        <v/>
      </c>
      <c r="C172">
        <f>'1 datos preparados'!B165</f>
        <v/>
      </c>
      <c r="D172" s="7">
        <f>'1 datos preparados'!C165</f>
        <v/>
      </c>
      <c r="E172" s="7">
        <f>'1 datos preparados'!D165</f>
        <v/>
      </c>
      <c r="F172" s="7">
        <f>'1 datos preparados'!E165</f>
        <v/>
      </c>
      <c r="G172" s="7">
        <f>'1 datos preparados'!F165</f>
        <v/>
      </c>
      <c r="H172" s="7">
        <f>'1 datos preparados'!G165</f>
        <v/>
      </c>
      <c r="I172" s="7">
        <f>'1 datos preparados'!H165</f>
        <v/>
      </c>
      <c r="J172" s="7">
        <f>'1 datos preparados'!I165</f>
        <v/>
      </c>
      <c r="K172" s="7">
        <f>'1 datos preparados'!J165</f>
        <v/>
      </c>
      <c r="L172" s="7">
        <f>'1 datos preparados'!K165</f>
        <v/>
      </c>
      <c r="M172" s="7">
        <f>'1 datos preparados'!L165</f>
        <v/>
      </c>
      <c r="N172" s="7">
        <f>'1 datos preparados'!M165</f>
        <v/>
      </c>
      <c r="O172" s="7">
        <f>'1 datos preparados'!N165</f>
        <v/>
      </c>
      <c r="P172" s="7">
        <f>'1 datos preparados'!O165</f>
        <v/>
      </c>
      <c r="Q172" s="7">
        <f>'1 datos preparados'!P165</f>
        <v/>
      </c>
      <c r="R172" s="7">
        <f>'1 datos preparados'!Q165</f>
        <v/>
      </c>
      <c r="S172" s="7">
        <f>'1 datos preparados'!R165</f>
        <v/>
      </c>
      <c r="T172" s="7">
        <f>'1 datos preparados'!S165</f>
        <v/>
      </c>
      <c r="U172" s="7">
        <f>'1 datos preparados'!T165</f>
        <v/>
      </c>
      <c r="V172" s="8">
        <f>$AE$12+D172*$AE$13+E172*$AE$14+F172*$AE$15+G172*$AE$16+H172*$AE$17+I172*$AE$18+J172*$AE$19+K172*$AE$20+L172*$AE$21+M172*$AE$22+N172*$AE$23+O172*$AE$24+P172*$AE$25+Q172*$AE$26+R172*$AE$27+S172*$AE$28+T172*$AE$29+U172*$AE$30</f>
        <v/>
      </c>
      <c r="W172" s="8">
        <f>1/(1+EXP(-V172))</f>
        <v/>
      </c>
      <c r="X172" s="9">
        <f>-IF(C172=1,LN(W172),LN(1-W172))</f>
        <v/>
      </c>
      <c r="Y172" s="8">
        <f>IF(C172=1,$AE$32,$AE$33)</f>
        <v/>
      </c>
      <c r="Z172" s="9">
        <f>Y172*X172</f>
        <v/>
      </c>
      <c r="AA172" s="10">
        <f>IF(W172&gt;$AE$34,1,0)</f>
        <v/>
      </c>
      <c r="AB172">
        <f>IF(AA172=C172,1,0)</f>
        <v/>
      </c>
    </row>
    <row r="173">
      <c r="A173">
        <f>'1 datos preparados'!A166</f>
        <v/>
      </c>
      <c r="B173" s="5">
        <f>'1 datos preparados'!U166</f>
        <v/>
      </c>
      <c r="C173">
        <f>'1 datos preparados'!B166</f>
        <v/>
      </c>
      <c r="D173" s="7">
        <f>'1 datos preparados'!C166</f>
        <v/>
      </c>
      <c r="E173" s="7">
        <f>'1 datos preparados'!D166</f>
        <v/>
      </c>
      <c r="F173" s="7">
        <f>'1 datos preparados'!E166</f>
        <v/>
      </c>
      <c r="G173" s="7">
        <f>'1 datos preparados'!F166</f>
        <v/>
      </c>
      <c r="H173" s="7">
        <f>'1 datos preparados'!G166</f>
        <v/>
      </c>
      <c r="I173" s="7">
        <f>'1 datos preparados'!H166</f>
        <v/>
      </c>
      <c r="J173" s="7">
        <f>'1 datos preparados'!I166</f>
        <v/>
      </c>
      <c r="K173" s="7">
        <f>'1 datos preparados'!J166</f>
        <v/>
      </c>
      <c r="L173" s="7">
        <f>'1 datos preparados'!K166</f>
        <v/>
      </c>
      <c r="M173" s="7">
        <f>'1 datos preparados'!L166</f>
        <v/>
      </c>
      <c r="N173" s="7">
        <f>'1 datos preparados'!M166</f>
        <v/>
      </c>
      <c r="O173" s="7">
        <f>'1 datos preparados'!N166</f>
        <v/>
      </c>
      <c r="P173" s="7">
        <f>'1 datos preparados'!O166</f>
        <v/>
      </c>
      <c r="Q173" s="7">
        <f>'1 datos preparados'!P166</f>
        <v/>
      </c>
      <c r="R173" s="7">
        <f>'1 datos preparados'!Q166</f>
        <v/>
      </c>
      <c r="S173" s="7">
        <f>'1 datos preparados'!R166</f>
        <v/>
      </c>
      <c r="T173" s="7">
        <f>'1 datos preparados'!S166</f>
        <v/>
      </c>
      <c r="U173" s="7">
        <f>'1 datos preparados'!T166</f>
        <v/>
      </c>
      <c r="V173" s="8">
        <f>$AE$12+D173*$AE$13+E173*$AE$14+F173*$AE$15+G173*$AE$16+H173*$AE$17+I173*$AE$18+J173*$AE$19+K173*$AE$20+L173*$AE$21+M173*$AE$22+N173*$AE$23+O173*$AE$24+P173*$AE$25+Q173*$AE$26+R173*$AE$27+S173*$AE$28+T173*$AE$29+U173*$AE$30</f>
        <v/>
      </c>
      <c r="W173" s="8">
        <f>1/(1+EXP(-V173))</f>
        <v/>
      </c>
      <c r="X173" s="9">
        <f>-IF(C173=1,LN(W173),LN(1-W173))</f>
        <v/>
      </c>
      <c r="Y173" s="8">
        <f>IF(C173=1,$AE$32,$AE$33)</f>
        <v/>
      </c>
      <c r="Z173" s="9">
        <f>Y173*X173</f>
        <v/>
      </c>
      <c r="AA173" s="10">
        <f>IF(W173&gt;$AE$34,1,0)</f>
        <v/>
      </c>
      <c r="AB173">
        <f>IF(AA173=C173,1,0)</f>
        <v/>
      </c>
    </row>
    <row r="174">
      <c r="A174">
        <f>'1 datos preparados'!A167</f>
        <v/>
      </c>
      <c r="B174" s="5">
        <f>'1 datos preparados'!U167</f>
        <v/>
      </c>
      <c r="C174">
        <f>'1 datos preparados'!B167</f>
        <v/>
      </c>
      <c r="D174" s="7">
        <f>'1 datos preparados'!C167</f>
        <v/>
      </c>
      <c r="E174" s="7">
        <f>'1 datos preparados'!D167</f>
        <v/>
      </c>
      <c r="F174" s="7">
        <f>'1 datos preparados'!E167</f>
        <v/>
      </c>
      <c r="G174" s="7">
        <f>'1 datos preparados'!F167</f>
        <v/>
      </c>
      <c r="H174" s="7">
        <f>'1 datos preparados'!G167</f>
        <v/>
      </c>
      <c r="I174" s="7">
        <f>'1 datos preparados'!H167</f>
        <v/>
      </c>
      <c r="J174" s="7">
        <f>'1 datos preparados'!I167</f>
        <v/>
      </c>
      <c r="K174" s="7">
        <f>'1 datos preparados'!J167</f>
        <v/>
      </c>
      <c r="L174" s="7">
        <f>'1 datos preparados'!K167</f>
        <v/>
      </c>
      <c r="M174" s="7">
        <f>'1 datos preparados'!L167</f>
        <v/>
      </c>
      <c r="N174" s="7">
        <f>'1 datos preparados'!M167</f>
        <v/>
      </c>
      <c r="O174" s="7">
        <f>'1 datos preparados'!N167</f>
        <v/>
      </c>
      <c r="P174" s="7">
        <f>'1 datos preparados'!O167</f>
        <v/>
      </c>
      <c r="Q174" s="7">
        <f>'1 datos preparados'!P167</f>
        <v/>
      </c>
      <c r="R174" s="7">
        <f>'1 datos preparados'!Q167</f>
        <v/>
      </c>
      <c r="S174" s="7">
        <f>'1 datos preparados'!R167</f>
        <v/>
      </c>
      <c r="T174" s="7">
        <f>'1 datos preparados'!S167</f>
        <v/>
      </c>
      <c r="U174" s="7">
        <f>'1 datos preparados'!T167</f>
        <v/>
      </c>
      <c r="V174" s="8">
        <f>$AE$12+D174*$AE$13+E174*$AE$14+F174*$AE$15+G174*$AE$16+H174*$AE$17+I174*$AE$18+J174*$AE$19+K174*$AE$20+L174*$AE$21+M174*$AE$22+N174*$AE$23+O174*$AE$24+P174*$AE$25+Q174*$AE$26+R174*$AE$27+S174*$AE$28+T174*$AE$29+U174*$AE$30</f>
        <v/>
      </c>
      <c r="W174" s="8">
        <f>1/(1+EXP(-V174))</f>
        <v/>
      </c>
      <c r="X174" s="9">
        <f>-IF(C174=1,LN(W174),LN(1-W174))</f>
        <v/>
      </c>
      <c r="Y174" s="8">
        <f>IF(C174=1,$AE$32,$AE$33)</f>
        <v/>
      </c>
      <c r="Z174" s="9">
        <f>Y174*X174</f>
        <v/>
      </c>
      <c r="AA174" s="10">
        <f>IF(W174&gt;$AE$34,1,0)</f>
        <v/>
      </c>
      <c r="AB174">
        <f>IF(AA174=C174,1,0)</f>
        <v/>
      </c>
    </row>
    <row r="175">
      <c r="A175">
        <f>'1 datos preparados'!A168</f>
        <v/>
      </c>
      <c r="B175" s="5">
        <f>'1 datos preparados'!U168</f>
        <v/>
      </c>
      <c r="C175">
        <f>'1 datos preparados'!B168</f>
        <v/>
      </c>
      <c r="D175" s="7">
        <f>'1 datos preparados'!C168</f>
        <v/>
      </c>
      <c r="E175" s="7">
        <f>'1 datos preparados'!D168</f>
        <v/>
      </c>
      <c r="F175" s="7">
        <f>'1 datos preparados'!E168</f>
        <v/>
      </c>
      <c r="G175" s="7">
        <f>'1 datos preparados'!F168</f>
        <v/>
      </c>
      <c r="H175" s="7">
        <f>'1 datos preparados'!G168</f>
        <v/>
      </c>
      <c r="I175" s="7">
        <f>'1 datos preparados'!H168</f>
        <v/>
      </c>
      <c r="J175" s="7">
        <f>'1 datos preparados'!I168</f>
        <v/>
      </c>
      <c r="K175" s="7">
        <f>'1 datos preparados'!J168</f>
        <v/>
      </c>
      <c r="L175" s="7">
        <f>'1 datos preparados'!K168</f>
        <v/>
      </c>
      <c r="M175" s="7">
        <f>'1 datos preparados'!L168</f>
        <v/>
      </c>
      <c r="N175" s="7">
        <f>'1 datos preparados'!M168</f>
        <v/>
      </c>
      <c r="O175" s="7">
        <f>'1 datos preparados'!N168</f>
        <v/>
      </c>
      <c r="P175" s="7">
        <f>'1 datos preparados'!O168</f>
        <v/>
      </c>
      <c r="Q175" s="7">
        <f>'1 datos preparados'!P168</f>
        <v/>
      </c>
      <c r="R175" s="7">
        <f>'1 datos preparados'!Q168</f>
        <v/>
      </c>
      <c r="S175" s="7">
        <f>'1 datos preparados'!R168</f>
        <v/>
      </c>
      <c r="T175" s="7">
        <f>'1 datos preparados'!S168</f>
        <v/>
      </c>
      <c r="U175" s="7">
        <f>'1 datos preparados'!T168</f>
        <v/>
      </c>
      <c r="V175" s="8">
        <f>$AE$12+D175*$AE$13+E175*$AE$14+F175*$AE$15+G175*$AE$16+H175*$AE$17+I175*$AE$18+J175*$AE$19+K175*$AE$20+L175*$AE$21+M175*$AE$22+N175*$AE$23+O175*$AE$24+P175*$AE$25+Q175*$AE$26+R175*$AE$27+S175*$AE$28+T175*$AE$29+U175*$AE$30</f>
        <v/>
      </c>
      <c r="W175" s="8">
        <f>1/(1+EXP(-V175))</f>
        <v/>
      </c>
      <c r="X175" s="9">
        <f>-IF(C175=1,LN(W175),LN(1-W175))</f>
        <v/>
      </c>
      <c r="Y175" s="8">
        <f>IF(C175=1,$AE$32,$AE$33)</f>
        <v/>
      </c>
      <c r="Z175" s="9">
        <f>Y175*X175</f>
        <v/>
      </c>
      <c r="AA175" s="10">
        <f>IF(W175&gt;$AE$34,1,0)</f>
        <v/>
      </c>
      <c r="AB175">
        <f>IF(AA175=C175,1,0)</f>
        <v/>
      </c>
    </row>
    <row r="176">
      <c r="A176">
        <f>'1 datos preparados'!A169</f>
        <v/>
      </c>
      <c r="B176" s="5">
        <f>'1 datos preparados'!U169</f>
        <v/>
      </c>
      <c r="C176">
        <f>'1 datos preparados'!B169</f>
        <v/>
      </c>
      <c r="D176" s="7">
        <f>'1 datos preparados'!C169</f>
        <v/>
      </c>
      <c r="E176" s="7">
        <f>'1 datos preparados'!D169</f>
        <v/>
      </c>
      <c r="F176" s="7">
        <f>'1 datos preparados'!E169</f>
        <v/>
      </c>
      <c r="G176" s="7">
        <f>'1 datos preparados'!F169</f>
        <v/>
      </c>
      <c r="H176" s="7">
        <f>'1 datos preparados'!G169</f>
        <v/>
      </c>
      <c r="I176" s="7">
        <f>'1 datos preparados'!H169</f>
        <v/>
      </c>
      <c r="J176" s="7">
        <f>'1 datos preparados'!I169</f>
        <v/>
      </c>
      <c r="K176" s="7">
        <f>'1 datos preparados'!J169</f>
        <v/>
      </c>
      <c r="L176" s="7">
        <f>'1 datos preparados'!K169</f>
        <v/>
      </c>
      <c r="M176" s="7">
        <f>'1 datos preparados'!L169</f>
        <v/>
      </c>
      <c r="N176" s="7">
        <f>'1 datos preparados'!M169</f>
        <v/>
      </c>
      <c r="O176" s="7">
        <f>'1 datos preparados'!N169</f>
        <v/>
      </c>
      <c r="P176" s="7">
        <f>'1 datos preparados'!O169</f>
        <v/>
      </c>
      <c r="Q176" s="7">
        <f>'1 datos preparados'!P169</f>
        <v/>
      </c>
      <c r="R176" s="7">
        <f>'1 datos preparados'!Q169</f>
        <v/>
      </c>
      <c r="S176" s="7">
        <f>'1 datos preparados'!R169</f>
        <v/>
      </c>
      <c r="T176" s="7">
        <f>'1 datos preparados'!S169</f>
        <v/>
      </c>
      <c r="U176" s="7">
        <f>'1 datos preparados'!T169</f>
        <v/>
      </c>
      <c r="V176" s="8">
        <f>$AE$12+D176*$AE$13+E176*$AE$14+F176*$AE$15+G176*$AE$16+H176*$AE$17+I176*$AE$18+J176*$AE$19+K176*$AE$20+L176*$AE$21+M176*$AE$22+N176*$AE$23+O176*$AE$24+P176*$AE$25+Q176*$AE$26+R176*$AE$27+S176*$AE$28+T176*$AE$29+U176*$AE$30</f>
        <v/>
      </c>
      <c r="W176" s="8">
        <f>1/(1+EXP(-V176))</f>
        <v/>
      </c>
      <c r="X176" s="9">
        <f>-IF(C176=1,LN(W176),LN(1-W176))</f>
        <v/>
      </c>
      <c r="Y176" s="8">
        <f>IF(C176=1,$AE$32,$AE$33)</f>
        <v/>
      </c>
      <c r="Z176" s="9">
        <f>Y176*X176</f>
        <v/>
      </c>
      <c r="AA176" s="10">
        <f>IF(W176&gt;$AE$34,1,0)</f>
        <v/>
      </c>
      <c r="AB176">
        <f>IF(AA176=C176,1,0)</f>
        <v/>
      </c>
    </row>
    <row r="177">
      <c r="A177">
        <f>'1 datos preparados'!A170</f>
        <v/>
      </c>
      <c r="B177" s="5">
        <f>'1 datos preparados'!U170</f>
        <v/>
      </c>
      <c r="C177">
        <f>'1 datos preparados'!B170</f>
        <v/>
      </c>
      <c r="D177" s="7">
        <f>'1 datos preparados'!C170</f>
        <v/>
      </c>
      <c r="E177" s="7">
        <f>'1 datos preparados'!D170</f>
        <v/>
      </c>
      <c r="F177" s="7">
        <f>'1 datos preparados'!E170</f>
        <v/>
      </c>
      <c r="G177" s="7">
        <f>'1 datos preparados'!F170</f>
        <v/>
      </c>
      <c r="H177" s="7">
        <f>'1 datos preparados'!G170</f>
        <v/>
      </c>
      <c r="I177" s="7">
        <f>'1 datos preparados'!H170</f>
        <v/>
      </c>
      <c r="J177" s="7">
        <f>'1 datos preparados'!I170</f>
        <v/>
      </c>
      <c r="K177" s="7">
        <f>'1 datos preparados'!J170</f>
        <v/>
      </c>
      <c r="L177" s="7">
        <f>'1 datos preparados'!K170</f>
        <v/>
      </c>
      <c r="M177" s="7">
        <f>'1 datos preparados'!L170</f>
        <v/>
      </c>
      <c r="N177" s="7">
        <f>'1 datos preparados'!M170</f>
        <v/>
      </c>
      <c r="O177" s="7">
        <f>'1 datos preparados'!N170</f>
        <v/>
      </c>
      <c r="P177" s="7">
        <f>'1 datos preparados'!O170</f>
        <v/>
      </c>
      <c r="Q177" s="7">
        <f>'1 datos preparados'!P170</f>
        <v/>
      </c>
      <c r="R177" s="7">
        <f>'1 datos preparados'!Q170</f>
        <v/>
      </c>
      <c r="S177" s="7">
        <f>'1 datos preparados'!R170</f>
        <v/>
      </c>
      <c r="T177" s="7">
        <f>'1 datos preparados'!S170</f>
        <v/>
      </c>
      <c r="U177" s="7">
        <f>'1 datos preparados'!T170</f>
        <v/>
      </c>
      <c r="V177" s="8">
        <f>$AE$12+D177*$AE$13+E177*$AE$14+F177*$AE$15+G177*$AE$16+H177*$AE$17+I177*$AE$18+J177*$AE$19+K177*$AE$20+L177*$AE$21+M177*$AE$22+N177*$AE$23+O177*$AE$24+P177*$AE$25+Q177*$AE$26+R177*$AE$27+S177*$AE$28+T177*$AE$29+U177*$AE$30</f>
        <v/>
      </c>
      <c r="W177" s="8">
        <f>1/(1+EXP(-V177))</f>
        <v/>
      </c>
      <c r="X177" s="9">
        <f>-IF(C177=1,LN(W177),LN(1-W177))</f>
        <v/>
      </c>
      <c r="Y177" s="8">
        <f>IF(C177=1,$AE$32,$AE$33)</f>
        <v/>
      </c>
      <c r="Z177" s="9">
        <f>Y177*X177</f>
        <v/>
      </c>
      <c r="AA177" s="10">
        <f>IF(W177&gt;$AE$34,1,0)</f>
        <v/>
      </c>
      <c r="AB177">
        <f>IF(AA177=C177,1,0)</f>
        <v/>
      </c>
    </row>
    <row r="178">
      <c r="A178">
        <f>'1 datos preparados'!A171</f>
        <v/>
      </c>
      <c r="B178" s="5">
        <f>'1 datos preparados'!U171</f>
        <v/>
      </c>
      <c r="C178">
        <f>'1 datos preparados'!B171</f>
        <v/>
      </c>
      <c r="D178" s="7">
        <f>'1 datos preparados'!C171</f>
        <v/>
      </c>
      <c r="E178" s="7">
        <f>'1 datos preparados'!D171</f>
        <v/>
      </c>
      <c r="F178" s="7">
        <f>'1 datos preparados'!E171</f>
        <v/>
      </c>
      <c r="G178" s="7">
        <f>'1 datos preparados'!F171</f>
        <v/>
      </c>
      <c r="H178" s="7">
        <f>'1 datos preparados'!G171</f>
        <v/>
      </c>
      <c r="I178" s="7">
        <f>'1 datos preparados'!H171</f>
        <v/>
      </c>
      <c r="J178" s="7">
        <f>'1 datos preparados'!I171</f>
        <v/>
      </c>
      <c r="K178" s="7">
        <f>'1 datos preparados'!J171</f>
        <v/>
      </c>
      <c r="L178" s="7">
        <f>'1 datos preparados'!K171</f>
        <v/>
      </c>
      <c r="M178" s="7">
        <f>'1 datos preparados'!L171</f>
        <v/>
      </c>
      <c r="N178" s="7">
        <f>'1 datos preparados'!M171</f>
        <v/>
      </c>
      <c r="O178" s="7">
        <f>'1 datos preparados'!N171</f>
        <v/>
      </c>
      <c r="P178" s="7">
        <f>'1 datos preparados'!O171</f>
        <v/>
      </c>
      <c r="Q178" s="7">
        <f>'1 datos preparados'!P171</f>
        <v/>
      </c>
      <c r="R178" s="7">
        <f>'1 datos preparados'!Q171</f>
        <v/>
      </c>
      <c r="S178" s="7">
        <f>'1 datos preparados'!R171</f>
        <v/>
      </c>
      <c r="T178" s="7">
        <f>'1 datos preparados'!S171</f>
        <v/>
      </c>
      <c r="U178" s="7">
        <f>'1 datos preparados'!T171</f>
        <v/>
      </c>
      <c r="V178" s="8">
        <f>$AE$12+D178*$AE$13+E178*$AE$14+F178*$AE$15+G178*$AE$16+H178*$AE$17+I178*$AE$18+J178*$AE$19+K178*$AE$20+L178*$AE$21+M178*$AE$22+N178*$AE$23+O178*$AE$24+P178*$AE$25+Q178*$AE$26+R178*$AE$27+S178*$AE$28+T178*$AE$29+U178*$AE$30</f>
        <v/>
      </c>
      <c r="W178" s="8">
        <f>1/(1+EXP(-V178))</f>
        <v/>
      </c>
      <c r="X178" s="9">
        <f>-IF(C178=1,LN(W178),LN(1-W178))</f>
        <v/>
      </c>
      <c r="Y178" s="8">
        <f>IF(C178=1,$AE$32,$AE$33)</f>
        <v/>
      </c>
      <c r="Z178" s="9">
        <f>Y178*X178</f>
        <v/>
      </c>
      <c r="AA178" s="10">
        <f>IF(W178&gt;$AE$34,1,0)</f>
        <v/>
      </c>
      <c r="AB178">
        <f>IF(AA178=C178,1,0)</f>
        <v/>
      </c>
    </row>
    <row r="179">
      <c r="A179">
        <f>'1 datos preparados'!A172</f>
        <v/>
      </c>
      <c r="B179" s="5">
        <f>'1 datos preparados'!U172</f>
        <v/>
      </c>
      <c r="C179">
        <f>'1 datos preparados'!B172</f>
        <v/>
      </c>
      <c r="D179" s="7">
        <f>'1 datos preparados'!C172</f>
        <v/>
      </c>
      <c r="E179" s="7">
        <f>'1 datos preparados'!D172</f>
        <v/>
      </c>
      <c r="F179" s="7">
        <f>'1 datos preparados'!E172</f>
        <v/>
      </c>
      <c r="G179" s="7">
        <f>'1 datos preparados'!F172</f>
        <v/>
      </c>
      <c r="H179" s="7">
        <f>'1 datos preparados'!G172</f>
        <v/>
      </c>
      <c r="I179" s="7">
        <f>'1 datos preparados'!H172</f>
        <v/>
      </c>
      <c r="J179" s="7">
        <f>'1 datos preparados'!I172</f>
        <v/>
      </c>
      <c r="K179" s="7">
        <f>'1 datos preparados'!J172</f>
        <v/>
      </c>
      <c r="L179" s="7">
        <f>'1 datos preparados'!K172</f>
        <v/>
      </c>
      <c r="M179" s="7">
        <f>'1 datos preparados'!L172</f>
        <v/>
      </c>
      <c r="N179" s="7">
        <f>'1 datos preparados'!M172</f>
        <v/>
      </c>
      <c r="O179" s="7">
        <f>'1 datos preparados'!N172</f>
        <v/>
      </c>
      <c r="P179" s="7">
        <f>'1 datos preparados'!O172</f>
        <v/>
      </c>
      <c r="Q179" s="7">
        <f>'1 datos preparados'!P172</f>
        <v/>
      </c>
      <c r="R179" s="7">
        <f>'1 datos preparados'!Q172</f>
        <v/>
      </c>
      <c r="S179" s="7">
        <f>'1 datos preparados'!R172</f>
        <v/>
      </c>
      <c r="T179" s="7">
        <f>'1 datos preparados'!S172</f>
        <v/>
      </c>
      <c r="U179" s="7">
        <f>'1 datos preparados'!T172</f>
        <v/>
      </c>
      <c r="V179" s="8">
        <f>$AE$12+D179*$AE$13+E179*$AE$14+F179*$AE$15+G179*$AE$16+H179*$AE$17+I179*$AE$18+J179*$AE$19+K179*$AE$20+L179*$AE$21+M179*$AE$22+N179*$AE$23+O179*$AE$24+P179*$AE$25+Q179*$AE$26+R179*$AE$27+S179*$AE$28+T179*$AE$29+U179*$AE$30</f>
        <v/>
      </c>
      <c r="W179" s="8">
        <f>1/(1+EXP(-V179))</f>
        <v/>
      </c>
      <c r="X179" s="9">
        <f>-IF(C179=1,LN(W179),LN(1-W179))</f>
        <v/>
      </c>
      <c r="Y179" s="8">
        <f>IF(C179=1,$AE$32,$AE$33)</f>
        <v/>
      </c>
      <c r="Z179" s="9">
        <f>Y179*X179</f>
        <v/>
      </c>
      <c r="AA179" s="10">
        <f>IF(W179&gt;$AE$34,1,0)</f>
        <v/>
      </c>
      <c r="AB179">
        <f>IF(AA179=C179,1,0)</f>
        <v/>
      </c>
    </row>
    <row r="180">
      <c r="A180">
        <f>'1 datos preparados'!A173</f>
        <v/>
      </c>
      <c r="B180" s="5">
        <f>'1 datos preparados'!U173</f>
        <v/>
      </c>
      <c r="C180">
        <f>'1 datos preparados'!B173</f>
        <v/>
      </c>
      <c r="D180" s="7">
        <f>'1 datos preparados'!C173</f>
        <v/>
      </c>
      <c r="E180" s="7">
        <f>'1 datos preparados'!D173</f>
        <v/>
      </c>
      <c r="F180" s="7">
        <f>'1 datos preparados'!E173</f>
        <v/>
      </c>
      <c r="G180" s="7">
        <f>'1 datos preparados'!F173</f>
        <v/>
      </c>
      <c r="H180" s="7">
        <f>'1 datos preparados'!G173</f>
        <v/>
      </c>
      <c r="I180" s="7">
        <f>'1 datos preparados'!H173</f>
        <v/>
      </c>
      <c r="J180" s="7">
        <f>'1 datos preparados'!I173</f>
        <v/>
      </c>
      <c r="K180" s="7">
        <f>'1 datos preparados'!J173</f>
        <v/>
      </c>
      <c r="L180" s="7">
        <f>'1 datos preparados'!K173</f>
        <v/>
      </c>
      <c r="M180" s="7">
        <f>'1 datos preparados'!L173</f>
        <v/>
      </c>
      <c r="N180" s="7">
        <f>'1 datos preparados'!M173</f>
        <v/>
      </c>
      <c r="O180" s="7">
        <f>'1 datos preparados'!N173</f>
        <v/>
      </c>
      <c r="P180" s="7">
        <f>'1 datos preparados'!O173</f>
        <v/>
      </c>
      <c r="Q180" s="7">
        <f>'1 datos preparados'!P173</f>
        <v/>
      </c>
      <c r="R180" s="7">
        <f>'1 datos preparados'!Q173</f>
        <v/>
      </c>
      <c r="S180" s="7">
        <f>'1 datos preparados'!R173</f>
        <v/>
      </c>
      <c r="T180" s="7">
        <f>'1 datos preparados'!S173</f>
        <v/>
      </c>
      <c r="U180" s="7">
        <f>'1 datos preparados'!T173</f>
        <v/>
      </c>
      <c r="V180" s="8">
        <f>$AE$12+D180*$AE$13+E180*$AE$14+F180*$AE$15+G180*$AE$16+H180*$AE$17+I180*$AE$18+J180*$AE$19+K180*$AE$20+L180*$AE$21+M180*$AE$22+N180*$AE$23+O180*$AE$24+P180*$AE$25+Q180*$AE$26+R180*$AE$27+S180*$AE$28+T180*$AE$29+U180*$AE$30</f>
        <v/>
      </c>
      <c r="W180" s="8">
        <f>1/(1+EXP(-V180))</f>
        <v/>
      </c>
      <c r="X180" s="9">
        <f>-IF(C180=1,LN(W180),LN(1-W180))</f>
        <v/>
      </c>
      <c r="Y180" s="8">
        <f>IF(C180=1,$AE$32,$AE$33)</f>
        <v/>
      </c>
      <c r="Z180" s="9">
        <f>Y180*X180</f>
        <v/>
      </c>
      <c r="AA180" s="10">
        <f>IF(W180&gt;$AE$34,1,0)</f>
        <v/>
      </c>
      <c r="AB180">
        <f>IF(AA180=C180,1,0)</f>
        <v/>
      </c>
    </row>
    <row r="181">
      <c r="A181">
        <f>'1 datos preparados'!A174</f>
        <v/>
      </c>
      <c r="B181" s="5">
        <f>'1 datos preparados'!U174</f>
        <v/>
      </c>
      <c r="C181">
        <f>'1 datos preparados'!B174</f>
        <v/>
      </c>
      <c r="D181" s="7">
        <f>'1 datos preparados'!C174</f>
        <v/>
      </c>
      <c r="E181" s="7">
        <f>'1 datos preparados'!D174</f>
        <v/>
      </c>
      <c r="F181" s="7">
        <f>'1 datos preparados'!E174</f>
        <v/>
      </c>
      <c r="G181" s="7">
        <f>'1 datos preparados'!F174</f>
        <v/>
      </c>
      <c r="H181" s="7">
        <f>'1 datos preparados'!G174</f>
        <v/>
      </c>
      <c r="I181" s="7">
        <f>'1 datos preparados'!H174</f>
        <v/>
      </c>
      <c r="J181" s="7">
        <f>'1 datos preparados'!I174</f>
        <v/>
      </c>
      <c r="K181" s="7">
        <f>'1 datos preparados'!J174</f>
        <v/>
      </c>
      <c r="L181" s="7">
        <f>'1 datos preparados'!K174</f>
        <v/>
      </c>
      <c r="M181" s="7">
        <f>'1 datos preparados'!L174</f>
        <v/>
      </c>
      <c r="N181" s="7">
        <f>'1 datos preparados'!M174</f>
        <v/>
      </c>
      <c r="O181" s="7">
        <f>'1 datos preparados'!N174</f>
        <v/>
      </c>
      <c r="P181" s="7">
        <f>'1 datos preparados'!O174</f>
        <v/>
      </c>
      <c r="Q181" s="7">
        <f>'1 datos preparados'!P174</f>
        <v/>
      </c>
      <c r="R181" s="7">
        <f>'1 datos preparados'!Q174</f>
        <v/>
      </c>
      <c r="S181" s="7">
        <f>'1 datos preparados'!R174</f>
        <v/>
      </c>
      <c r="T181" s="7">
        <f>'1 datos preparados'!S174</f>
        <v/>
      </c>
      <c r="U181" s="7">
        <f>'1 datos preparados'!T174</f>
        <v/>
      </c>
      <c r="V181" s="8">
        <f>$AE$12+D181*$AE$13+E181*$AE$14+F181*$AE$15+G181*$AE$16+H181*$AE$17+I181*$AE$18+J181*$AE$19+K181*$AE$20+L181*$AE$21+M181*$AE$22+N181*$AE$23+O181*$AE$24+P181*$AE$25+Q181*$AE$26+R181*$AE$27+S181*$AE$28+T181*$AE$29+U181*$AE$30</f>
        <v/>
      </c>
      <c r="W181" s="8">
        <f>1/(1+EXP(-V181))</f>
        <v/>
      </c>
      <c r="X181" s="9">
        <f>-IF(C181=1,LN(W181),LN(1-W181))</f>
        <v/>
      </c>
      <c r="Y181" s="8">
        <f>IF(C181=1,$AE$32,$AE$33)</f>
        <v/>
      </c>
      <c r="Z181" s="9">
        <f>Y181*X181</f>
        <v/>
      </c>
      <c r="AA181" s="10">
        <f>IF(W181&gt;$AE$34,1,0)</f>
        <v/>
      </c>
      <c r="AB181">
        <f>IF(AA181=C181,1,0)</f>
        <v/>
      </c>
    </row>
    <row r="182">
      <c r="A182">
        <f>'1 datos preparados'!A175</f>
        <v/>
      </c>
      <c r="B182" s="5">
        <f>'1 datos preparados'!U175</f>
        <v/>
      </c>
      <c r="C182">
        <f>'1 datos preparados'!B175</f>
        <v/>
      </c>
      <c r="D182" s="7">
        <f>'1 datos preparados'!C175</f>
        <v/>
      </c>
      <c r="E182" s="7">
        <f>'1 datos preparados'!D175</f>
        <v/>
      </c>
      <c r="F182" s="7">
        <f>'1 datos preparados'!E175</f>
        <v/>
      </c>
      <c r="G182" s="7">
        <f>'1 datos preparados'!F175</f>
        <v/>
      </c>
      <c r="H182" s="7">
        <f>'1 datos preparados'!G175</f>
        <v/>
      </c>
      <c r="I182" s="7">
        <f>'1 datos preparados'!H175</f>
        <v/>
      </c>
      <c r="J182" s="7">
        <f>'1 datos preparados'!I175</f>
        <v/>
      </c>
      <c r="K182" s="7">
        <f>'1 datos preparados'!J175</f>
        <v/>
      </c>
      <c r="L182" s="7">
        <f>'1 datos preparados'!K175</f>
        <v/>
      </c>
      <c r="M182" s="7">
        <f>'1 datos preparados'!L175</f>
        <v/>
      </c>
      <c r="N182" s="7">
        <f>'1 datos preparados'!M175</f>
        <v/>
      </c>
      <c r="O182" s="7">
        <f>'1 datos preparados'!N175</f>
        <v/>
      </c>
      <c r="P182" s="7">
        <f>'1 datos preparados'!O175</f>
        <v/>
      </c>
      <c r="Q182" s="7">
        <f>'1 datos preparados'!P175</f>
        <v/>
      </c>
      <c r="R182" s="7">
        <f>'1 datos preparados'!Q175</f>
        <v/>
      </c>
      <c r="S182" s="7">
        <f>'1 datos preparados'!R175</f>
        <v/>
      </c>
      <c r="T182" s="7">
        <f>'1 datos preparados'!S175</f>
        <v/>
      </c>
      <c r="U182" s="7">
        <f>'1 datos preparados'!T175</f>
        <v/>
      </c>
      <c r="V182" s="8">
        <f>$AE$12+D182*$AE$13+E182*$AE$14+F182*$AE$15+G182*$AE$16+H182*$AE$17+I182*$AE$18+J182*$AE$19+K182*$AE$20+L182*$AE$21+M182*$AE$22+N182*$AE$23+O182*$AE$24+P182*$AE$25+Q182*$AE$26+R182*$AE$27+S182*$AE$28+T182*$AE$29+U182*$AE$30</f>
        <v/>
      </c>
      <c r="W182" s="8">
        <f>1/(1+EXP(-V182))</f>
        <v/>
      </c>
      <c r="X182" s="9">
        <f>-IF(C182=1,LN(W182),LN(1-W182))</f>
        <v/>
      </c>
      <c r="Y182" s="8">
        <f>IF(C182=1,$AE$32,$AE$33)</f>
        <v/>
      </c>
      <c r="Z182" s="9">
        <f>Y182*X182</f>
        <v/>
      </c>
      <c r="AA182" s="10">
        <f>IF(W182&gt;$AE$34,1,0)</f>
        <v/>
      </c>
      <c r="AB182">
        <f>IF(AA182=C182,1,0)</f>
        <v/>
      </c>
    </row>
    <row r="183">
      <c r="A183">
        <f>'1 datos preparados'!A176</f>
        <v/>
      </c>
      <c r="B183" s="5">
        <f>'1 datos preparados'!U176</f>
        <v/>
      </c>
      <c r="C183">
        <f>'1 datos preparados'!B176</f>
        <v/>
      </c>
      <c r="D183" s="7">
        <f>'1 datos preparados'!C176</f>
        <v/>
      </c>
      <c r="E183" s="7">
        <f>'1 datos preparados'!D176</f>
        <v/>
      </c>
      <c r="F183" s="7">
        <f>'1 datos preparados'!E176</f>
        <v/>
      </c>
      <c r="G183" s="7">
        <f>'1 datos preparados'!F176</f>
        <v/>
      </c>
      <c r="H183" s="7">
        <f>'1 datos preparados'!G176</f>
        <v/>
      </c>
      <c r="I183" s="7">
        <f>'1 datos preparados'!H176</f>
        <v/>
      </c>
      <c r="J183" s="7">
        <f>'1 datos preparados'!I176</f>
        <v/>
      </c>
      <c r="K183" s="7">
        <f>'1 datos preparados'!J176</f>
        <v/>
      </c>
      <c r="L183" s="7">
        <f>'1 datos preparados'!K176</f>
        <v/>
      </c>
      <c r="M183" s="7">
        <f>'1 datos preparados'!L176</f>
        <v/>
      </c>
      <c r="N183" s="7">
        <f>'1 datos preparados'!M176</f>
        <v/>
      </c>
      <c r="O183" s="7">
        <f>'1 datos preparados'!N176</f>
        <v/>
      </c>
      <c r="P183" s="7">
        <f>'1 datos preparados'!O176</f>
        <v/>
      </c>
      <c r="Q183" s="7">
        <f>'1 datos preparados'!P176</f>
        <v/>
      </c>
      <c r="R183" s="7">
        <f>'1 datos preparados'!Q176</f>
        <v/>
      </c>
      <c r="S183" s="7">
        <f>'1 datos preparados'!R176</f>
        <v/>
      </c>
      <c r="T183" s="7">
        <f>'1 datos preparados'!S176</f>
        <v/>
      </c>
      <c r="U183" s="7">
        <f>'1 datos preparados'!T176</f>
        <v/>
      </c>
      <c r="V183" s="8">
        <f>$AE$12+D183*$AE$13+E183*$AE$14+F183*$AE$15+G183*$AE$16+H183*$AE$17+I183*$AE$18+J183*$AE$19+K183*$AE$20+L183*$AE$21+M183*$AE$22+N183*$AE$23+O183*$AE$24+P183*$AE$25+Q183*$AE$26+R183*$AE$27+S183*$AE$28+T183*$AE$29+U183*$AE$30</f>
        <v/>
      </c>
      <c r="W183" s="8">
        <f>1/(1+EXP(-V183))</f>
        <v/>
      </c>
      <c r="X183" s="9">
        <f>-IF(C183=1,LN(W183),LN(1-W183))</f>
        <v/>
      </c>
      <c r="Y183" s="8">
        <f>IF(C183=1,$AE$32,$AE$33)</f>
        <v/>
      </c>
      <c r="Z183" s="9">
        <f>Y183*X183</f>
        <v/>
      </c>
      <c r="AA183" s="10">
        <f>IF(W183&gt;$AE$34,1,0)</f>
        <v/>
      </c>
      <c r="AB183">
        <f>IF(AA183=C183,1,0)</f>
        <v/>
      </c>
    </row>
    <row r="184">
      <c r="A184">
        <f>'1 datos preparados'!A177</f>
        <v/>
      </c>
      <c r="B184" s="5">
        <f>'1 datos preparados'!U177</f>
        <v/>
      </c>
      <c r="C184">
        <f>'1 datos preparados'!B177</f>
        <v/>
      </c>
      <c r="D184" s="7">
        <f>'1 datos preparados'!C177</f>
        <v/>
      </c>
      <c r="E184" s="7">
        <f>'1 datos preparados'!D177</f>
        <v/>
      </c>
      <c r="F184" s="7">
        <f>'1 datos preparados'!E177</f>
        <v/>
      </c>
      <c r="G184" s="7">
        <f>'1 datos preparados'!F177</f>
        <v/>
      </c>
      <c r="H184" s="7">
        <f>'1 datos preparados'!G177</f>
        <v/>
      </c>
      <c r="I184" s="7">
        <f>'1 datos preparados'!H177</f>
        <v/>
      </c>
      <c r="J184" s="7">
        <f>'1 datos preparados'!I177</f>
        <v/>
      </c>
      <c r="K184" s="7">
        <f>'1 datos preparados'!J177</f>
        <v/>
      </c>
      <c r="L184" s="7">
        <f>'1 datos preparados'!K177</f>
        <v/>
      </c>
      <c r="M184" s="7">
        <f>'1 datos preparados'!L177</f>
        <v/>
      </c>
      <c r="N184" s="7">
        <f>'1 datos preparados'!M177</f>
        <v/>
      </c>
      <c r="O184" s="7">
        <f>'1 datos preparados'!N177</f>
        <v/>
      </c>
      <c r="P184" s="7">
        <f>'1 datos preparados'!O177</f>
        <v/>
      </c>
      <c r="Q184" s="7">
        <f>'1 datos preparados'!P177</f>
        <v/>
      </c>
      <c r="R184" s="7">
        <f>'1 datos preparados'!Q177</f>
        <v/>
      </c>
      <c r="S184" s="7">
        <f>'1 datos preparados'!R177</f>
        <v/>
      </c>
      <c r="T184" s="7">
        <f>'1 datos preparados'!S177</f>
        <v/>
      </c>
      <c r="U184" s="7">
        <f>'1 datos preparados'!T177</f>
        <v/>
      </c>
      <c r="V184" s="8">
        <f>$AE$12+D184*$AE$13+E184*$AE$14+F184*$AE$15+G184*$AE$16+H184*$AE$17+I184*$AE$18+J184*$AE$19+K184*$AE$20+L184*$AE$21+M184*$AE$22+N184*$AE$23+O184*$AE$24+P184*$AE$25+Q184*$AE$26+R184*$AE$27+S184*$AE$28+T184*$AE$29+U184*$AE$30</f>
        <v/>
      </c>
      <c r="W184" s="8">
        <f>1/(1+EXP(-V184))</f>
        <v/>
      </c>
      <c r="X184" s="9">
        <f>-IF(C184=1,LN(W184),LN(1-W184))</f>
        <v/>
      </c>
      <c r="Y184" s="8">
        <f>IF(C184=1,$AE$32,$AE$33)</f>
        <v/>
      </c>
      <c r="Z184" s="9">
        <f>Y184*X184</f>
        <v/>
      </c>
      <c r="AA184" s="10">
        <f>IF(W184&gt;$AE$34,1,0)</f>
        <v/>
      </c>
      <c r="AB184">
        <f>IF(AA184=C184,1,0)</f>
        <v/>
      </c>
    </row>
    <row r="185">
      <c r="A185">
        <f>'1 datos preparados'!A178</f>
        <v/>
      </c>
      <c r="B185" s="5">
        <f>'1 datos preparados'!U178</f>
        <v/>
      </c>
      <c r="C185">
        <f>'1 datos preparados'!B178</f>
        <v/>
      </c>
      <c r="D185" s="7">
        <f>'1 datos preparados'!C178</f>
        <v/>
      </c>
      <c r="E185" s="7">
        <f>'1 datos preparados'!D178</f>
        <v/>
      </c>
      <c r="F185" s="7">
        <f>'1 datos preparados'!E178</f>
        <v/>
      </c>
      <c r="G185" s="7">
        <f>'1 datos preparados'!F178</f>
        <v/>
      </c>
      <c r="H185" s="7">
        <f>'1 datos preparados'!G178</f>
        <v/>
      </c>
      <c r="I185" s="7">
        <f>'1 datos preparados'!H178</f>
        <v/>
      </c>
      <c r="J185" s="7">
        <f>'1 datos preparados'!I178</f>
        <v/>
      </c>
      <c r="K185" s="7">
        <f>'1 datos preparados'!J178</f>
        <v/>
      </c>
      <c r="L185" s="7">
        <f>'1 datos preparados'!K178</f>
        <v/>
      </c>
      <c r="M185" s="7">
        <f>'1 datos preparados'!L178</f>
        <v/>
      </c>
      <c r="N185" s="7">
        <f>'1 datos preparados'!M178</f>
        <v/>
      </c>
      <c r="O185" s="7">
        <f>'1 datos preparados'!N178</f>
        <v/>
      </c>
      <c r="P185" s="7">
        <f>'1 datos preparados'!O178</f>
        <v/>
      </c>
      <c r="Q185" s="7">
        <f>'1 datos preparados'!P178</f>
        <v/>
      </c>
      <c r="R185" s="7">
        <f>'1 datos preparados'!Q178</f>
        <v/>
      </c>
      <c r="S185" s="7">
        <f>'1 datos preparados'!R178</f>
        <v/>
      </c>
      <c r="T185" s="7">
        <f>'1 datos preparados'!S178</f>
        <v/>
      </c>
      <c r="U185" s="7">
        <f>'1 datos preparados'!T178</f>
        <v/>
      </c>
      <c r="V185" s="8">
        <f>$AE$12+D185*$AE$13+E185*$AE$14+F185*$AE$15+G185*$AE$16+H185*$AE$17+I185*$AE$18+J185*$AE$19+K185*$AE$20+L185*$AE$21+M185*$AE$22+N185*$AE$23+O185*$AE$24+P185*$AE$25+Q185*$AE$26+R185*$AE$27+S185*$AE$28+T185*$AE$29+U185*$AE$30</f>
        <v/>
      </c>
      <c r="W185" s="8">
        <f>1/(1+EXP(-V185))</f>
        <v/>
      </c>
      <c r="X185" s="9">
        <f>-IF(C185=1,LN(W185),LN(1-W185))</f>
        <v/>
      </c>
      <c r="Y185" s="8">
        <f>IF(C185=1,$AE$32,$AE$33)</f>
        <v/>
      </c>
      <c r="Z185" s="9">
        <f>Y185*X185</f>
        <v/>
      </c>
      <c r="AA185" s="10">
        <f>IF(W185&gt;$AE$34,1,0)</f>
        <v/>
      </c>
      <c r="AB185">
        <f>IF(AA185=C185,1,0)</f>
        <v/>
      </c>
    </row>
    <row r="186">
      <c r="A186">
        <f>'1 datos preparados'!A179</f>
        <v/>
      </c>
      <c r="B186" s="5">
        <f>'1 datos preparados'!U179</f>
        <v/>
      </c>
      <c r="C186">
        <f>'1 datos preparados'!B179</f>
        <v/>
      </c>
      <c r="D186" s="7">
        <f>'1 datos preparados'!C179</f>
        <v/>
      </c>
      <c r="E186" s="7">
        <f>'1 datos preparados'!D179</f>
        <v/>
      </c>
      <c r="F186" s="7">
        <f>'1 datos preparados'!E179</f>
        <v/>
      </c>
      <c r="G186" s="7">
        <f>'1 datos preparados'!F179</f>
        <v/>
      </c>
      <c r="H186" s="7">
        <f>'1 datos preparados'!G179</f>
        <v/>
      </c>
      <c r="I186" s="7">
        <f>'1 datos preparados'!H179</f>
        <v/>
      </c>
      <c r="J186" s="7">
        <f>'1 datos preparados'!I179</f>
        <v/>
      </c>
      <c r="K186" s="7">
        <f>'1 datos preparados'!J179</f>
        <v/>
      </c>
      <c r="L186" s="7">
        <f>'1 datos preparados'!K179</f>
        <v/>
      </c>
      <c r="M186" s="7">
        <f>'1 datos preparados'!L179</f>
        <v/>
      </c>
      <c r="N186" s="7">
        <f>'1 datos preparados'!M179</f>
        <v/>
      </c>
      <c r="O186" s="7">
        <f>'1 datos preparados'!N179</f>
        <v/>
      </c>
      <c r="P186" s="7">
        <f>'1 datos preparados'!O179</f>
        <v/>
      </c>
      <c r="Q186" s="7">
        <f>'1 datos preparados'!P179</f>
        <v/>
      </c>
      <c r="R186" s="7">
        <f>'1 datos preparados'!Q179</f>
        <v/>
      </c>
      <c r="S186" s="7">
        <f>'1 datos preparados'!R179</f>
        <v/>
      </c>
      <c r="T186" s="7">
        <f>'1 datos preparados'!S179</f>
        <v/>
      </c>
      <c r="U186" s="7">
        <f>'1 datos preparados'!T179</f>
        <v/>
      </c>
      <c r="V186" s="8">
        <f>$AE$12+D186*$AE$13+E186*$AE$14+F186*$AE$15+G186*$AE$16+H186*$AE$17+I186*$AE$18+J186*$AE$19+K186*$AE$20+L186*$AE$21+M186*$AE$22+N186*$AE$23+O186*$AE$24+P186*$AE$25+Q186*$AE$26+R186*$AE$27+S186*$AE$28+T186*$AE$29+U186*$AE$30</f>
        <v/>
      </c>
      <c r="W186" s="8">
        <f>1/(1+EXP(-V186))</f>
        <v/>
      </c>
      <c r="X186" s="9">
        <f>-IF(C186=1,LN(W186),LN(1-W186))</f>
        <v/>
      </c>
      <c r="Y186" s="8">
        <f>IF(C186=1,$AE$32,$AE$33)</f>
        <v/>
      </c>
      <c r="Z186" s="9">
        <f>Y186*X186</f>
        <v/>
      </c>
      <c r="AA186" s="10">
        <f>IF(W186&gt;$AE$34,1,0)</f>
        <v/>
      </c>
      <c r="AB186">
        <f>IF(AA186=C186,1,0)</f>
        <v/>
      </c>
    </row>
    <row r="187">
      <c r="A187">
        <f>'1 datos preparados'!A180</f>
        <v/>
      </c>
      <c r="B187" s="5">
        <f>'1 datos preparados'!U180</f>
        <v/>
      </c>
      <c r="C187">
        <f>'1 datos preparados'!B180</f>
        <v/>
      </c>
      <c r="D187" s="7">
        <f>'1 datos preparados'!C180</f>
        <v/>
      </c>
      <c r="E187" s="7">
        <f>'1 datos preparados'!D180</f>
        <v/>
      </c>
      <c r="F187" s="7">
        <f>'1 datos preparados'!E180</f>
        <v/>
      </c>
      <c r="G187" s="7">
        <f>'1 datos preparados'!F180</f>
        <v/>
      </c>
      <c r="H187" s="7">
        <f>'1 datos preparados'!G180</f>
        <v/>
      </c>
      <c r="I187" s="7">
        <f>'1 datos preparados'!H180</f>
        <v/>
      </c>
      <c r="J187" s="7">
        <f>'1 datos preparados'!I180</f>
        <v/>
      </c>
      <c r="K187" s="7">
        <f>'1 datos preparados'!J180</f>
        <v/>
      </c>
      <c r="L187" s="7">
        <f>'1 datos preparados'!K180</f>
        <v/>
      </c>
      <c r="M187" s="7">
        <f>'1 datos preparados'!L180</f>
        <v/>
      </c>
      <c r="N187" s="7">
        <f>'1 datos preparados'!M180</f>
        <v/>
      </c>
      <c r="O187" s="7">
        <f>'1 datos preparados'!N180</f>
        <v/>
      </c>
      <c r="P187" s="7">
        <f>'1 datos preparados'!O180</f>
        <v/>
      </c>
      <c r="Q187" s="7">
        <f>'1 datos preparados'!P180</f>
        <v/>
      </c>
      <c r="R187" s="7">
        <f>'1 datos preparados'!Q180</f>
        <v/>
      </c>
      <c r="S187" s="7">
        <f>'1 datos preparados'!R180</f>
        <v/>
      </c>
      <c r="T187" s="7">
        <f>'1 datos preparados'!S180</f>
        <v/>
      </c>
      <c r="U187" s="7">
        <f>'1 datos preparados'!T180</f>
        <v/>
      </c>
      <c r="V187" s="8">
        <f>$AE$12+D187*$AE$13+E187*$AE$14+F187*$AE$15+G187*$AE$16+H187*$AE$17+I187*$AE$18+J187*$AE$19+K187*$AE$20+L187*$AE$21+M187*$AE$22+N187*$AE$23+O187*$AE$24+P187*$AE$25+Q187*$AE$26+R187*$AE$27+S187*$AE$28+T187*$AE$29+U187*$AE$30</f>
        <v/>
      </c>
      <c r="W187" s="8">
        <f>1/(1+EXP(-V187))</f>
        <v/>
      </c>
      <c r="X187" s="9">
        <f>-IF(C187=1,LN(W187),LN(1-W187))</f>
        <v/>
      </c>
      <c r="Y187" s="8">
        <f>IF(C187=1,$AE$32,$AE$33)</f>
        <v/>
      </c>
      <c r="Z187" s="9">
        <f>Y187*X187</f>
        <v/>
      </c>
      <c r="AA187" s="10">
        <f>IF(W187&gt;$AE$34,1,0)</f>
        <v/>
      </c>
      <c r="AB187">
        <f>IF(AA187=C187,1,0)</f>
        <v/>
      </c>
    </row>
    <row r="188">
      <c r="A188">
        <f>'1 datos preparados'!A181</f>
        <v/>
      </c>
      <c r="B188" s="5">
        <f>'1 datos preparados'!U181</f>
        <v/>
      </c>
      <c r="C188">
        <f>'1 datos preparados'!B181</f>
        <v/>
      </c>
      <c r="D188" s="7">
        <f>'1 datos preparados'!C181</f>
        <v/>
      </c>
      <c r="E188" s="7">
        <f>'1 datos preparados'!D181</f>
        <v/>
      </c>
      <c r="F188" s="7">
        <f>'1 datos preparados'!E181</f>
        <v/>
      </c>
      <c r="G188" s="7">
        <f>'1 datos preparados'!F181</f>
        <v/>
      </c>
      <c r="H188" s="7">
        <f>'1 datos preparados'!G181</f>
        <v/>
      </c>
      <c r="I188" s="7">
        <f>'1 datos preparados'!H181</f>
        <v/>
      </c>
      <c r="J188" s="7">
        <f>'1 datos preparados'!I181</f>
        <v/>
      </c>
      <c r="K188" s="7">
        <f>'1 datos preparados'!J181</f>
        <v/>
      </c>
      <c r="L188" s="7">
        <f>'1 datos preparados'!K181</f>
        <v/>
      </c>
      <c r="M188" s="7">
        <f>'1 datos preparados'!L181</f>
        <v/>
      </c>
      <c r="N188" s="7">
        <f>'1 datos preparados'!M181</f>
        <v/>
      </c>
      <c r="O188" s="7">
        <f>'1 datos preparados'!N181</f>
        <v/>
      </c>
      <c r="P188" s="7">
        <f>'1 datos preparados'!O181</f>
        <v/>
      </c>
      <c r="Q188" s="7">
        <f>'1 datos preparados'!P181</f>
        <v/>
      </c>
      <c r="R188" s="7">
        <f>'1 datos preparados'!Q181</f>
        <v/>
      </c>
      <c r="S188" s="7">
        <f>'1 datos preparados'!R181</f>
        <v/>
      </c>
      <c r="T188" s="7">
        <f>'1 datos preparados'!S181</f>
        <v/>
      </c>
      <c r="U188" s="7">
        <f>'1 datos preparados'!T181</f>
        <v/>
      </c>
      <c r="V188" s="8">
        <f>$AE$12+D188*$AE$13+E188*$AE$14+F188*$AE$15+G188*$AE$16+H188*$AE$17+I188*$AE$18+J188*$AE$19+K188*$AE$20+L188*$AE$21+M188*$AE$22+N188*$AE$23+O188*$AE$24+P188*$AE$25+Q188*$AE$26+R188*$AE$27+S188*$AE$28+T188*$AE$29+U188*$AE$30</f>
        <v/>
      </c>
      <c r="W188" s="8">
        <f>1/(1+EXP(-V188))</f>
        <v/>
      </c>
      <c r="X188" s="9">
        <f>-IF(C188=1,LN(W188),LN(1-W188))</f>
        <v/>
      </c>
      <c r="Y188" s="8">
        <f>IF(C188=1,$AE$32,$AE$33)</f>
        <v/>
      </c>
      <c r="Z188" s="9">
        <f>Y188*X188</f>
        <v/>
      </c>
      <c r="AA188" s="10">
        <f>IF(W188&gt;$AE$34,1,0)</f>
        <v/>
      </c>
      <c r="AB188">
        <f>IF(AA188=C188,1,0)</f>
        <v/>
      </c>
    </row>
    <row r="189">
      <c r="A189">
        <f>'1 datos preparados'!A182</f>
        <v/>
      </c>
      <c r="B189" s="5">
        <f>'1 datos preparados'!U182</f>
        <v/>
      </c>
      <c r="C189">
        <f>'1 datos preparados'!B182</f>
        <v/>
      </c>
      <c r="D189" s="7">
        <f>'1 datos preparados'!C182</f>
        <v/>
      </c>
      <c r="E189" s="7">
        <f>'1 datos preparados'!D182</f>
        <v/>
      </c>
      <c r="F189" s="7">
        <f>'1 datos preparados'!E182</f>
        <v/>
      </c>
      <c r="G189" s="7">
        <f>'1 datos preparados'!F182</f>
        <v/>
      </c>
      <c r="H189" s="7">
        <f>'1 datos preparados'!G182</f>
        <v/>
      </c>
      <c r="I189" s="7">
        <f>'1 datos preparados'!H182</f>
        <v/>
      </c>
      <c r="J189" s="7">
        <f>'1 datos preparados'!I182</f>
        <v/>
      </c>
      <c r="K189" s="7">
        <f>'1 datos preparados'!J182</f>
        <v/>
      </c>
      <c r="L189" s="7">
        <f>'1 datos preparados'!K182</f>
        <v/>
      </c>
      <c r="M189" s="7">
        <f>'1 datos preparados'!L182</f>
        <v/>
      </c>
      <c r="N189" s="7">
        <f>'1 datos preparados'!M182</f>
        <v/>
      </c>
      <c r="O189" s="7">
        <f>'1 datos preparados'!N182</f>
        <v/>
      </c>
      <c r="P189" s="7">
        <f>'1 datos preparados'!O182</f>
        <v/>
      </c>
      <c r="Q189" s="7">
        <f>'1 datos preparados'!P182</f>
        <v/>
      </c>
      <c r="R189" s="7">
        <f>'1 datos preparados'!Q182</f>
        <v/>
      </c>
      <c r="S189" s="7">
        <f>'1 datos preparados'!R182</f>
        <v/>
      </c>
      <c r="T189" s="7">
        <f>'1 datos preparados'!S182</f>
        <v/>
      </c>
      <c r="U189" s="7">
        <f>'1 datos preparados'!T182</f>
        <v/>
      </c>
      <c r="V189" s="8">
        <f>$AE$12+D189*$AE$13+E189*$AE$14+F189*$AE$15+G189*$AE$16+H189*$AE$17+I189*$AE$18+J189*$AE$19+K189*$AE$20+L189*$AE$21+M189*$AE$22+N189*$AE$23+O189*$AE$24+P189*$AE$25+Q189*$AE$26+R189*$AE$27+S189*$AE$28+T189*$AE$29+U189*$AE$30</f>
        <v/>
      </c>
      <c r="W189" s="8">
        <f>1/(1+EXP(-V189))</f>
        <v/>
      </c>
      <c r="X189" s="9">
        <f>-IF(C189=1,LN(W189),LN(1-W189))</f>
        <v/>
      </c>
      <c r="Y189" s="8">
        <f>IF(C189=1,$AE$32,$AE$33)</f>
        <v/>
      </c>
      <c r="Z189" s="9">
        <f>Y189*X189</f>
        <v/>
      </c>
      <c r="AA189" s="10">
        <f>IF(W189&gt;$AE$34,1,0)</f>
        <v/>
      </c>
      <c r="AB189">
        <f>IF(AA189=C189,1,0)</f>
        <v/>
      </c>
    </row>
    <row r="190">
      <c r="A190">
        <f>'1 datos preparados'!A183</f>
        <v/>
      </c>
      <c r="B190" s="5">
        <f>'1 datos preparados'!U183</f>
        <v/>
      </c>
      <c r="C190">
        <f>'1 datos preparados'!B183</f>
        <v/>
      </c>
      <c r="D190" s="7">
        <f>'1 datos preparados'!C183</f>
        <v/>
      </c>
      <c r="E190" s="7">
        <f>'1 datos preparados'!D183</f>
        <v/>
      </c>
      <c r="F190" s="7">
        <f>'1 datos preparados'!E183</f>
        <v/>
      </c>
      <c r="G190" s="7">
        <f>'1 datos preparados'!F183</f>
        <v/>
      </c>
      <c r="H190" s="7">
        <f>'1 datos preparados'!G183</f>
        <v/>
      </c>
      <c r="I190" s="7">
        <f>'1 datos preparados'!H183</f>
        <v/>
      </c>
      <c r="J190" s="7">
        <f>'1 datos preparados'!I183</f>
        <v/>
      </c>
      <c r="K190" s="7">
        <f>'1 datos preparados'!J183</f>
        <v/>
      </c>
      <c r="L190" s="7">
        <f>'1 datos preparados'!K183</f>
        <v/>
      </c>
      <c r="M190" s="7">
        <f>'1 datos preparados'!L183</f>
        <v/>
      </c>
      <c r="N190" s="7">
        <f>'1 datos preparados'!M183</f>
        <v/>
      </c>
      <c r="O190" s="7">
        <f>'1 datos preparados'!N183</f>
        <v/>
      </c>
      <c r="P190" s="7">
        <f>'1 datos preparados'!O183</f>
        <v/>
      </c>
      <c r="Q190" s="7">
        <f>'1 datos preparados'!P183</f>
        <v/>
      </c>
      <c r="R190" s="7">
        <f>'1 datos preparados'!Q183</f>
        <v/>
      </c>
      <c r="S190" s="7">
        <f>'1 datos preparados'!R183</f>
        <v/>
      </c>
      <c r="T190" s="7">
        <f>'1 datos preparados'!S183</f>
        <v/>
      </c>
      <c r="U190" s="7">
        <f>'1 datos preparados'!T183</f>
        <v/>
      </c>
      <c r="V190" s="8">
        <f>$AE$12+D190*$AE$13+E190*$AE$14+F190*$AE$15+G190*$AE$16+H190*$AE$17+I190*$AE$18+J190*$AE$19+K190*$AE$20+L190*$AE$21+M190*$AE$22+N190*$AE$23+O190*$AE$24+P190*$AE$25+Q190*$AE$26+R190*$AE$27+S190*$AE$28+T190*$AE$29+U190*$AE$30</f>
        <v/>
      </c>
      <c r="W190" s="8">
        <f>1/(1+EXP(-V190))</f>
        <v/>
      </c>
      <c r="X190" s="9">
        <f>-IF(C190=1,LN(W190),LN(1-W190))</f>
        <v/>
      </c>
      <c r="Y190" s="8">
        <f>IF(C190=1,$AE$32,$AE$33)</f>
        <v/>
      </c>
      <c r="Z190" s="9">
        <f>Y190*X190</f>
        <v/>
      </c>
      <c r="AA190" s="10">
        <f>IF(W190&gt;$AE$34,1,0)</f>
        <v/>
      </c>
      <c r="AB190">
        <f>IF(AA190=C190,1,0)</f>
        <v/>
      </c>
    </row>
    <row r="191">
      <c r="A191">
        <f>'1 datos preparados'!A184</f>
        <v/>
      </c>
      <c r="B191" s="5">
        <f>'1 datos preparados'!U184</f>
        <v/>
      </c>
      <c r="C191">
        <f>'1 datos preparados'!B184</f>
        <v/>
      </c>
      <c r="D191" s="7">
        <f>'1 datos preparados'!C184</f>
        <v/>
      </c>
      <c r="E191" s="7">
        <f>'1 datos preparados'!D184</f>
        <v/>
      </c>
      <c r="F191" s="7">
        <f>'1 datos preparados'!E184</f>
        <v/>
      </c>
      <c r="G191" s="7">
        <f>'1 datos preparados'!F184</f>
        <v/>
      </c>
      <c r="H191" s="7">
        <f>'1 datos preparados'!G184</f>
        <v/>
      </c>
      <c r="I191" s="7">
        <f>'1 datos preparados'!H184</f>
        <v/>
      </c>
      <c r="J191" s="7">
        <f>'1 datos preparados'!I184</f>
        <v/>
      </c>
      <c r="K191" s="7">
        <f>'1 datos preparados'!J184</f>
        <v/>
      </c>
      <c r="L191" s="7">
        <f>'1 datos preparados'!K184</f>
        <v/>
      </c>
      <c r="M191" s="7">
        <f>'1 datos preparados'!L184</f>
        <v/>
      </c>
      <c r="N191" s="7">
        <f>'1 datos preparados'!M184</f>
        <v/>
      </c>
      <c r="O191" s="7">
        <f>'1 datos preparados'!N184</f>
        <v/>
      </c>
      <c r="P191" s="7">
        <f>'1 datos preparados'!O184</f>
        <v/>
      </c>
      <c r="Q191" s="7">
        <f>'1 datos preparados'!P184</f>
        <v/>
      </c>
      <c r="R191" s="7">
        <f>'1 datos preparados'!Q184</f>
        <v/>
      </c>
      <c r="S191" s="7">
        <f>'1 datos preparados'!R184</f>
        <v/>
      </c>
      <c r="T191" s="7">
        <f>'1 datos preparados'!S184</f>
        <v/>
      </c>
      <c r="U191" s="7">
        <f>'1 datos preparados'!T184</f>
        <v/>
      </c>
      <c r="V191" s="8">
        <f>$AE$12+D191*$AE$13+E191*$AE$14+F191*$AE$15+G191*$AE$16+H191*$AE$17+I191*$AE$18+J191*$AE$19+K191*$AE$20+L191*$AE$21+M191*$AE$22+N191*$AE$23+O191*$AE$24+P191*$AE$25+Q191*$AE$26+R191*$AE$27+S191*$AE$28+T191*$AE$29+U191*$AE$30</f>
        <v/>
      </c>
      <c r="W191" s="8">
        <f>1/(1+EXP(-V191))</f>
        <v/>
      </c>
      <c r="X191" s="9">
        <f>-IF(C191=1,LN(W191),LN(1-W191))</f>
        <v/>
      </c>
      <c r="Y191" s="8">
        <f>IF(C191=1,$AE$32,$AE$33)</f>
        <v/>
      </c>
      <c r="Z191" s="9">
        <f>Y191*X191</f>
        <v/>
      </c>
      <c r="AA191" s="10">
        <f>IF(W191&gt;$AE$34,1,0)</f>
        <v/>
      </c>
      <c r="AB191">
        <f>IF(AA191=C191,1,0)</f>
        <v/>
      </c>
    </row>
    <row r="192">
      <c r="A192">
        <f>'1 datos preparados'!A185</f>
        <v/>
      </c>
      <c r="B192" s="5">
        <f>'1 datos preparados'!U185</f>
        <v/>
      </c>
      <c r="C192">
        <f>'1 datos preparados'!B185</f>
        <v/>
      </c>
      <c r="D192" s="7">
        <f>'1 datos preparados'!C185</f>
        <v/>
      </c>
      <c r="E192" s="7">
        <f>'1 datos preparados'!D185</f>
        <v/>
      </c>
      <c r="F192" s="7">
        <f>'1 datos preparados'!E185</f>
        <v/>
      </c>
      <c r="G192" s="7">
        <f>'1 datos preparados'!F185</f>
        <v/>
      </c>
      <c r="H192" s="7">
        <f>'1 datos preparados'!G185</f>
        <v/>
      </c>
      <c r="I192" s="7">
        <f>'1 datos preparados'!H185</f>
        <v/>
      </c>
      <c r="J192" s="7">
        <f>'1 datos preparados'!I185</f>
        <v/>
      </c>
      <c r="K192" s="7">
        <f>'1 datos preparados'!J185</f>
        <v/>
      </c>
      <c r="L192" s="7">
        <f>'1 datos preparados'!K185</f>
        <v/>
      </c>
      <c r="M192" s="7">
        <f>'1 datos preparados'!L185</f>
        <v/>
      </c>
      <c r="N192" s="7">
        <f>'1 datos preparados'!M185</f>
        <v/>
      </c>
      <c r="O192" s="7">
        <f>'1 datos preparados'!N185</f>
        <v/>
      </c>
      <c r="P192" s="7">
        <f>'1 datos preparados'!O185</f>
        <v/>
      </c>
      <c r="Q192" s="7">
        <f>'1 datos preparados'!P185</f>
        <v/>
      </c>
      <c r="R192" s="7">
        <f>'1 datos preparados'!Q185</f>
        <v/>
      </c>
      <c r="S192" s="7">
        <f>'1 datos preparados'!R185</f>
        <v/>
      </c>
      <c r="T192" s="7">
        <f>'1 datos preparados'!S185</f>
        <v/>
      </c>
      <c r="U192" s="7">
        <f>'1 datos preparados'!T185</f>
        <v/>
      </c>
      <c r="V192" s="8">
        <f>$AE$12+D192*$AE$13+E192*$AE$14+F192*$AE$15+G192*$AE$16+H192*$AE$17+I192*$AE$18+J192*$AE$19+K192*$AE$20+L192*$AE$21+M192*$AE$22+N192*$AE$23+O192*$AE$24+P192*$AE$25+Q192*$AE$26+R192*$AE$27+S192*$AE$28+T192*$AE$29+U192*$AE$30</f>
        <v/>
      </c>
      <c r="W192" s="8">
        <f>1/(1+EXP(-V192))</f>
        <v/>
      </c>
      <c r="X192" s="9">
        <f>-IF(C192=1,LN(W192),LN(1-W192))</f>
        <v/>
      </c>
      <c r="Y192" s="8">
        <f>IF(C192=1,$AE$32,$AE$33)</f>
        <v/>
      </c>
      <c r="Z192" s="9">
        <f>Y192*X192</f>
        <v/>
      </c>
      <c r="AA192" s="10">
        <f>IF(W192&gt;$AE$34,1,0)</f>
        <v/>
      </c>
      <c r="AB192">
        <f>IF(AA192=C192,1,0)</f>
        <v/>
      </c>
    </row>
    <row r="193">
      <c r="A193">
        <f>'1 datos preparados'!A186</f>
        <v/>
      </c>
      <c r="B193" s="5">
        <f>'1 datos preparados'!U186</f>
        <v/>
      </c>
      <c r="C193">
        <f>'1 datos preparados'!B186</f>
        <v/>
      </c>
      <c r="D193" s="7">
        <f>'1 datos preparados'!C186</f>
        <v/>
      </c>
      <c r="E193" s="7">
        <f>'1 datos preparados'!D186</f>
        <v/>
      </c>
      <c r="F193" s="7">
        <f>'1 datos preparados'!E186</f>
        <v/>
      </c>
      <c r="G193" s="7">
        <f>'1 datos preparados'!F186</f>
        <v/>
      </c>
      <c r="H193" s="7">
        <f>'1 datos preparados'!G186</f>
        <v/>
      </c>
      <c r="I193" s="7">
        <f>'1 datos preparados'!H186</f>
        <v/>
      </c>
      <c r="J193" s="7">
        <f>'1 datos preparados'!I186</f>
        <v/>
      </c>
      <c r="K193" s="7">
        <f>'1 datos preparados'!J186</f>
        <v/>
      </c>
      <c r="L193" s="7">
        <f>'1 datos preparados'!K186</f>
        <v/>
      </c>
      <c r="M193" s="7">
        <f>'1 datos preparados'!L186</f>
        <v/>
      </c>
      <c r="N193" s="7">
        <f>'1 datos preparados'!M186</f>
        <v/>
      </c>
      <c r="O193" s="7">
        <f>'1 datos preparados'!N186</f>
        <v/>
      </c>
      <c r="P193" s="7">
        <f>'1 datos preparados'!O186</f>
        <v/>
      </c>
      <c r="Q193" s="7">
        <f>'1 datos preparados'!P186</f>
        <v/>
      </c>
      <c r="R193" s="7">
        <f>'1 datos preparados'!Q186</f>
        <v/>
      </c>
      <c r="S193" s="7">
        <f>'1 datos preparados'!R186</f>
        <v/>
      </c>
      <c r="T193" s="7">
        <f>'1 datos preparados'!S186</f>
        <v/>
      </c>
      <c r="U193" s="7">
        <f>'1 datos preparados'!T186</f>
        <v/>
      </c>
      <c r="V193" s="8">
        <f>$AE$12+D193*$AE$13+E193*$AE$14+F193*$AE$15+G193*$AE$16+H193*$AE$17+I193*$AE$18+J193*$AE$19+K193*$AE$20+L193*$AE$21+M193*$AE$22+N193*$AE$23+O193*$AE$24+P193*$AE$25+Q193*$AE$26+R193*$AE$27+S193*$AE$28+T193*$AE$29+U193*$AE$30</f>
        <v/>
      </c>
      <c r="W193" s="8">
        <f>1/(1+EXP(-V193))</f>
        <v/>
      </c>
      <c r="X193" s="9">
        <f>-IF(C193=1,LN(W193),LN(1-W193))</f>
        <v/>
      </c>
      <c r="Y193" s="8">
        <f>IF(C193=1,$AE$32,$AE$33)</f>
        <v/>
      </c>
      <c r="Z193" s="9">
        <f>Y193*X193</f>
        <v/>
      </c>
      <c r="AA193" s="10">
        <f>IF(W193&gt;$AE$34,1,0)</f>
        <v/>
      </c>
      <c r="AB193">
        <f>IF(AA193=C193,1,0)</f>
        <v/>
      </c>
    </row>
    <row r="194">
      <c r="A194">
        <f>'1 datos preparados'!A187</f>
        <v/>
      </c>
      <c r="B194" s="5">
        <f>'1 datos preparados'!U187</f>
        <v/>
      </c>
      <c r="C194">
        <f>'1 datos preparados'!B187</f>
        <v/>
      </c>
      <c r="D194" s="7">
        <f>'1 datos preparados'!C187</f>
        <v/>
      </c>
      <c r="E194" s="7">
        <f>'1 datos preparados'!D187</f>
        <v/>
      </c>
      <c r="F194" s="7">
        <f>'1 datos preparados'!E187</f>
        <v/>
      </c>
      <c r="G194" s="7">
        <f>'1 datos preparados'!F187</f>
        <v/>
      </c>
      <c r="H194" s="7">
        <f>'1 datos preparados'!G187</f>
        <v/>
      </c>
      <c r="I194" s="7">
        <f>'1 datos preparados'!H187</f>
        <v/>
      </c>
      <c r="J194" s="7">
        <f>'1 datos preparados'!I187</f>
        <v/>
      </c>
      <c r="K194" s="7">
        <f>'1 datos preparados'!J187</f>
        <v/>
      </c>
      <c r="L194" s="7">
        <f>'1 datos preparados'!K187</f>
        <v/>
      </c>
      <c r="M194" s="7">
        <f>'1 datos preparados'!L187</f>
        <v/>
      </c>
      <c r="N194" s="7">
        <f>'1 datos preparados'!M187</f>
        <v/>
      </c>
      <c r="O194" s="7">
        <f>'1 datos preparados'!N187</f>
        <v/>
      </c>
      <c r="P194" s="7">
        <f>'1 datos preparados'!O187</f>
        <v/>
      </c>
      <c r="Q194" s="7">
        <f>'1 datos preparados'!P187</f>
        <v/>
      </c>
      <c r="R194" s="7">
        <f>'1 datos preparados'!Q187</f>
        <v/>
      </c>
      <c r="S194" s="7">
        <f>'1 datos preparados'!R187</f>
        <v/>
      </c>
      <c r="T194" s="7">
        <f>'1 datos preparados'!S187</f>
        <v/>
      </c>
      <c r="U194" s="7">
        <f>'1 datos preparados'!T187</f>
        <v/>
      </c>
      <c r="V194" s="8">
        <f>$AE$12+D194*$AE$13+E194*$AE$14+F194*$AE$15+G194*$AE$16+H194*$AE$17+I194*$AE$18+J194*$AE$19+K194*$AE$20+L194*$AE$21+M194*$AE$22+N194*$AE$23+O194*$AE$24+P194*$AE$25+Q194*$AE$26+R194*$AE$27+S194*$AE$28+T194*$AE$29+U194*$AE$30</f>
        <v/>
      </c>
      <c r="W194" s="8">
        <f>1/(1+EXP(-V194))</f>
        <v/>
      </c>
      <c r="X194" s="9">
        <f>-IF(C194=1,LN(W194),LN(1-W194))</f>
        <v/>
      </c>
      <c r="Y194" s="8">
        <f>IF(C194=1,$AE$32,$AE$33)</f>
        <v/>
      </c>
      <c r="Z194" s="9">
        <f>Y194*X194</f>
        <v/>
      </c>
      <c r="AA194" s="10">
        <f>IF(W194&gt;$AE$34,1,0)</f>
        <v/>
      </c>
      <c r="AB194">
        <f>IF(AA194=C194,1,0)</f>
        <v/>
      </c>
    </row>
    <row r="195">
      <c r="A195">
        <f>'1 datos preparados'!A188</f>
        <v/>
      </c>
      <c r="B195" s="5">
        <f>'1 datos preparados'!U188</f>
        <v/>
      </c>
      <c r="C195">
        <f>'1 datos preparados'!B188</f>
        <v/>
      </c>
      <c r="D195" s="7">
        <f>'1 datos preparados'!C188</f>
        <v/>
      </c>
      <c r="E195" s="7">
        <f>'1 datos preparados'!D188</f>
        <v/>
      </c>
      <c r="F195" s="7">
        <f>'1 datos preparados'!E188</f>
        <v/>
      </c>
      <c r="G195" s="7">
        <f>'1 datos preparados'!F188</f>
        <v/>
      </c>
      <c r="H195" s="7">
        <f>'1 datos preparados'!G188</f>
        <v/>
      </c>
      <c r="I195" s="7">
        <f>'1 datos preparados'!H188</f>
        <v/>
      </c>
      <c r="J195" s="7">
        <f>'1 datos preparados'!I188</f>
        <v/>
      </c>
      <c r="K195" s="7">
        <f>'1 datos preparados'!J188</f>
        <v/>
      </c>
      <c r="L195" s="7">
        <f>'1 datos preparados'!K188</f>
        <v/>
      </c>
      <c r="M195" s="7">
        <f>'1 datos preparados'!L188</f>
        <v/>
      </c>
      <c r="N195" s="7">
        <f>'1 datos preparados'!M188</f>
        <v/>
      </c>
      <c r="O195" s="7">
        <f>'1 datos preparados'!N188</f>
        <v/>
      </c>
      <c r="P195" s="7">
        <f>'1 datos preparados'!O188</f>
        <v/>
      </c>
      <c r="Q195" s="7">
        <f>'1 datos preparados'!P188</f>
        <v/>
      </c>
      <c r="R195" s="7">
        <f>'1 datos preparados'!Q188</f>
        <v/>
      </c>
      <c r="S195" s="7">
        <f>'1 datos preparados'!R188</f>
        <v/>
      </c>
      <c r="T195" s="7">
        <f>'1 datos preparados'!S188</f>
        <v/>
      </c>
      <c r="U195" s="7">
        <f>'1 datos preparados'!T188</f>
        <v/>
      </c>
      <c r="V195" s="8">
        <f>$AE$12+D195*$AE$13+E195*$AE$14+F195*$AE$15+G195*$AE$16+H195*$AE$17+I195*$AE$18+J195*$AE$19+K195*$AE$20+L195*$AE$21+M195*$AE$22+N195*$AE$23+O195*$AE$24+P195*$AE$25+Q195*$AE$26+R195*$AE$27+S195*$AE$28+T195*$AE$29+U195*$AE$30</f>
        <v/>
      </c>
      <c r="W195" s="8">
        <f>1/(1+EXP(-V195))</f>
        <v/>
      </c>
      <c r="X195" s="9">
        <f>-IF(C195=1,LN(W195),LN(1-W195))</f>
        <v/>
      </c>
      <c r="Y195" s="8">
        <f>IF(C195=1,$AE$32,$AE$33)</f>
        <v/>
      </c>
      <c r="Z195" s="9">
        <f>Y195*X195</f>
        <v/>
      </c>
      <c r="AA195" s="10">
        <f>IF(W195&gt;$AE$34,1,0)</f>
        <v/>
      </c>
      <c r="AB195">
        <f>IF(AA195=C195,1,0)</f>
        <v/>
      </c>
    </row>
    <row r="196">
      <c r="A196">
        <f>'1 datos preparados'!A189</f>
        <v/>
      </c>
      <c r="B196" s="5">
        <f>'1 datos preparados'!U189</f>
        <v/>
      </c>
      <c r="C196">
        <f>'1 datos preparados'!B189</f>
        <v/>
      </c>
      <c r="D196" s="7">
        <f>'1 datos preparados'!C189</f>
        <v/>
      </c>
      <c r="E196" s="7">
        <f>'1 datos preparados'!D189</f>
        <v/>
      </c>
      <c r="F196" s="7">
        <f>'1 datos preparados'!E189</f>
        <v/>
      </c>
      <c r="G196" s="7">
        <f>'1 datos preparados'!F189</f>
        <v/>
      </c>
      <c r="H196" s="7">
        <f>'1 datos preparados'!G189</f>
        <v/>
      </c>
      <c r="I196" s="7">
        <f>'1 datos preparados'!H189</f>
        <v/>
      </c>
      <c r="J196" s="7">
        <f>'1 datos preparados'!I189</f>
        <v/>
      </c>
      <c r="K196" s="7">
        <f>'1 datos preparados'!J189</f>
        <v/>
      </c>
      <c r="L196" s="7">
        <f>'1 datos preparados'!K189</f>
        <v/>
      </c>
      <c r="M196" s="7">
        <f>'1 datos preparados'!L189</f>
        <v/>
      </c>
      <c r="N196" s="7">
        <f>'1 datos preparados'!M189</f>
        <v/>
      </c>
      <c r="O196" s="7">
        <f>'1 datos preparados'!N189</f>
        <v/>
      </c>
      <c r="P196" s="7">
        <f>'1 datos preparados'!O189</f>
        <v/>
      </c>
      <c r="Q196" s="7">
        <f>'1 datos preparados'!P189</f>
        <v/>
      </c>
      <c r="R196" s="7">
        <f>'1 datos preparados'!Q189</f>
        <v/>
      </c>
      <c r="S196" s="7">
        <f>'1 datos preparados'!R189</f>
        <v/>
      </c>
      <c r="T196" s="7">
        <f>'1 datos preparados'!S189</f>
        <v/>
      </c>
      <c r="U196" s="7">
        <f>'1 datos preparados'!T189</f>
        <v/>
      </c>
      <c r="V196" s="8">
        <f>$AE$12+D196*$AE$13+E196*$AE$14+F196*$AE$15+G196*$AE$16+H196*$AE$17+I196*$AE$18+J196*$AE$19+K196*$AE$20+L196*$AE$21+M196*$AE$22+N196*$AE$23+O196*$AE$24+P196*$AE$25+Q196*$AE$26+R196*$AE$27+S196*$AE$28+T196*$AE$29+U196*$AE$30</f>
        <v/>
      </c>
      <c r="W196" s="8">
        <f>1/(1+EXP(-V196))</f>
        <v/>
      </c>
      <c r="X196" s="9">
        <f>-IF(C196=1,LN(W196),LN(1-W196))</f>
        <v/>
      </c>
      <c r="Y196" s="8">
        <f>IF(C196=1,$AE$32,$AE$33)</f>
        <v/>
      </c>
      <c r="Z196" s="9">
        <f>Y196*X196</f>
        <v/>
      </c>
      <c r="AA196" s="10">
        <f>IF(W196&gt;$AE$34,1,0)</f>
        <v/>
      </c>
      <c r="AB196">
        <f>IF(AA196=C196,1,0)</f>
        <v/>
      </c>
    </row>
    <row r="197">
      <c r="A197">
        <f>'1 datos preparados'!A190</f>
        <v/>
      </c>
      <c r="B197" s="5">
        <f>'1 datos preparados'!U190</f>
        <v/>
      </c>
      <c r="C197">
        <f>'1 datos preparados'!B190</f>
        <v/>
      </c>
      <c r="D197" s="7">
        <f>'1 datos preparados'!C190</f>
        <v/>
      </c>
      <c r="E197" s="7">
        <f>'1 datos preparados'!D190</f>
        <v/>
      </c>
      <c r="F197" s="7">
        <f>'1 datos preparados'!E190</f>
        <v/>
      </c>
      <c r="G197" s="7">
        <f>'1 datos preparados'!F190</f>
        <v/>
      </c>
      <c r="H197" s="7">
        <f>'1 datos preparados'!G190</f>
        <v/>
      </c>
      <c r="I197" s="7">
        <f>'1 datos preparados'!H190</f>
        <v/>
      </c>
      <c r="J197" s="7">
        <f>'1 datos preparados'!I190</f>
        <v/>
      </c>
      <c r="K197" s="7">
        <f>'1 datos preparados'!J190</f>
        <v/>
      </c>
      <c r="L197" s="7">
        <f>'1 datos preparados'!K190</f>
        <v/>
      </c>
      <c r="M197" s="7">
        <f>'1 datos preparados'!L190</f>
        <v/>
      </c>
      <c r="N197" s="7">
        <f>'1 datos preparados'!M190</f>
        <v/>
      </c>
      <c r="O197" s="7">
        <f>'1 datos preparados'!N190</f>
        <v/>
      </c>
      <c r="P197" s="7">
        <f>'1 datos preparados'!O190</f>
        <v/>
      </c>
      <c r="Q197" s="7">
        <f>'1 datos preparados'!P190</f>
        <v/>
      </c>
      <c r="R197" s="7">
        <f>'1 datos preparados'!Q190</f>
        <v/>
      </c>
      <c r="S197" s="7">
        <f>'1 datos preparados'!R190</f>
        <v/>
      </c>
      <c r="T197" s="7">
        <f>'1 datos preparados'!S190</f>
        <v/>
      </c>
      <c r="U197" s="7">
        <f>'1 datos preparados'!T190</f>
        <v/>
      </c>
      <c r="V197" s="8">
        <f>$AE$12+D197*$AE$13+E197*$AE$14+F197*$AE$15+G197*$AE$16+H197*$AE$17+I197*$AE$18+J197*$AE$19+K197*$AE$20+L197*$AE$21+M197*$AE$22+N197*$AE$23+O197*$AE$24+P197*$AE$25+Q197*$AE$26+R197*$AE$27+S197*$AE$28+T197*$AE$29+U197*$AE$30</f>
        <v/>
      </c>
      <c r="W197" s="8">
        <f>1/(1+EXP(-V197))</f>
        <v/>
      </c>
      <c r="X197" s="9">
        <f>-IF(C197=1,LN(W197),LN(1-W197))</f>
        <v/>
      </c>
      <c r="Y197" s="8">
        <f>IF(C197=1,$AE$32,$AE$33)</f>
        <v/>
      </c>
      <c r="Z197" s="9">
        <f>Y197*X197</f>
        <v/>
      </c>
      <c r="AA197" s="10">
        <f>IF(W197&gt;$AE$34,1,0)</f>
        <v/>
      </c>
      <c r="AB197">
        <f>IF(AA197=C197,1,0)</f>
        <v/>
      </c>
    </row>
    <row r="198">
      <c r="A198">
        <f>'1 datos preparados'!A191</f>
        <v/>
      </c>
      <c r="B198" s="5">
        <f>'1 datos preparados'!U191</f>
        <v/>
      </c>
      <c r="C198">
        <f>'1 datos preparados'!B191</f>
        <v/>
      </c>
      <c r="D198" s="7">
        <f>'1 datos preparados'!C191</f>
        <v/>
      </c>
      <c r="E198" s="7">
        <f>'1 datos preparados'!D191</f>
        <v/>
      </c>
      <c r="F198" s="7">
        <f>'1 datos preparados'!E191</f>
        <v/>
      </c>
      <c r="G198" s="7">
        <f>'1 datos preparados'!F191</f>
        <v/>
      </c>
      <c r="H198" s="7">
        <f>'1 datos preparados'!G191</f>
        <v/>
      </c>
      <c r="I198" s="7">
        <f>'1 datos preparados'!H191</f>
        <v/>
      </c>
      <c r="J198" s="7">
        <f>'1 datos preparados'!I191</f>
        <v/>
      </c>
      <c r="K198" s="7">
        <f>'1 datos preparados'!J191</f>
        <v/>
      </c>
      <c r="L198" s="7">
        <f>'1 datos preparados'!K191</f>
        <v/>
      </c>
      <c r="M198" s="7">
        <f>'1 datos preparados'!L191</f>
        <v/>
      </c>
      <c r="N198" s="7">
        <f>'1 datos preparados'!M191</f>
        <v/>
      </c>
      <c r="O198" s="7">
        <f>'1 datos preparados'!N191</f>
        <v/>
      </c>
      <c r="P198" s="7">
        <f>'1 datos preparados'!O191</f>
        <v/>
      </c>
      <c r="Q198" s="7">
        <f>'1 datos preparados'!P191</f>
        <v/>
      </c>
      <c r="R198" s="7">
        <f>'1 datos preparados'!Q191</f>
        <v/>
      </c>
      <c r="S198" s="7">
        <f>'1 datos preparados'!R191</f>
        <v/>
      </c>
      <c r="T198" s="7">
        <f>'1 datos preparados'!S191</f>
        <v/>
      </c>
      <c r="U198" s="7">
        <f>'1 datos preparados'!T191</f>
        <v/>
      </c>
      <c r="V198" s="8">
        <f>$AE$12+D198*$AE$13+E198*$AE$14+F198*$AE$15+G198*$AE$16+H198*$AE$17+I198*$AE$18+J198*$AE$19+K198*$AE$20+L198*$AE$21+M198*$AE$22+N198*$AE$23+O198*$AE$24+P198*$AE$25+Q198*$AE$26+R198*$AE$27+S198*$AE$28+T198*$AE$29+U198*$AE$30</f>
        <v/>
      </c>
      <c r="W198" s="8">
        <f>1/(1+EXP(-V198))</f>
        <v/>
      </c>
      <c r="X198" s="9">
        <f>-IF(C198=1,LN(W198),LN(1-W198))</f>
        <v/>
      </c>
      <c r="Y198" s="8">
        <f>IF(C198=1,$AE$32,$AE$33)</f>
        <v/>
      </c>
      <c r="Z198" s="9">
        <f>Y198*X198</f>
        <v/>
      </c>
      <c r="AA198" s="10">
        <f>IF(W198&gt;$AE$34,1,0)</f>
        <v/>
      </c>
      <c r="AB198">
        <f>IF(AA198=C198,1,0)</f>
        <v/>
      </c>
    </row>
    <row r="199">
      <c r="A199">
        <f>'1 datos preparados'!A192</f>
        <v/>
      </c>
      <c r="B199" s="5">
        <f>'1 datos preparados'!U192</f>
        <v/>
      </c>
      <c r="C199">
        <f>'1 datos preparados'!B192</f>
        <v/>
      </c>
      <c r="D199" s="7">
        <f>'1 datos preparados'!C192</f>
        <v/>
      </c>
      <c r="E199" s="7">
        <f>'1 datos preparados'!D192</f>
        <v/>
      </c>
      <c r="F199" s="7">
        <f>'1 datos preparados'!E192</f>
        <v/>
      </c>
      <c r="G199" s="7">
        <f>'1 datos preparados'!F192</f>
        <v/>
      </c>
      <c r="H199" s="7">
        <f>'1 datos preparados'!G192</f>
        <v/>
      </c>
      <c r="I199" s="7">
        <f>'1 datos preparados'!H192</f>
        <v/>
      </c>
      <c r="J199" s="7">
        <f>'1 datos preparados'!I192</f>
        <v/>
      </c>
      <c r="K199" s="7">
        <f>'1 datos preparados'!J192</f>
        <v/>
      </c>
      <c r="L199" s="7">
        <f>'1 datos preparados'!K192</f>
        <v/>
      </c>
      <c r="M199" s="7">
        <f>'1 datos preparados'!L192</f>
        <v/>
      </c>
      <c r="N199" s="7">
        <f>'1 datos preparados'!M192</f>
        <v/>
      </c>
      <c r="O199" s="7">
        <f>'1 datos preparados'!N192</f>
        <v/>
      </c>
      <c r="P199" s="7">
        <f>'1 datos preparados'!O192</f>
        <v/>
      </c>
      <c r="Q199" s="7">
        <f>'1 datos preparados'!P192</f>
        <v/>
      </c>
      <c r="R199" s="7">
        <f>'1 datos preparados'!Q192</f>
        <v/>
      </c>
      <c r="S199" s="7">
        <f>'1 datos preparados'!R192</f>
        <v/>
      </c>
      <c r="T199" s="7">
        <f>'1 datos preparados'!S192</f>
        <v/>
      </c>
      <c r="U199" s="7">
        <f>'1 datos preparados'!T192</f>
        <v/>
      </c>
      <c r="V199" s="8">
        <f>$AE$12+D199*$AE$13+E199*$AE$14+F199*$AE$15+G199*$AE$16+H199*$AE$17+I199*$AE$18+J199*$AE$19+K199*$AE$20+L199*$AE$21+M199*$AE$22+N199*$AE$23+O199*$AE$24+P199*$AE$25+Q199*$AE$26+R199*$AE$27+S199*$AE$28+T199*$AE$29+U199*$AE$30</f>
        <v/>
      </c>
      <c r="W199" s="8">
        <f>1/(1+EXP(-V199))</f>
        <v/>
      </c>
      <c r="X199" s="9">
        <f>-IF(C199=1,LN(W199),LN(1-W199))</f>
        <v/>
      </c>
      <c r="Y199" s="8">
        <f>IF(C199=1,$AE$32,$AE$33)</f>
        <v/>
      </c>
      <c r="Z199" s="9">
        <f>Y199*X199</f>
        <v/>
      </c>
      <c r="AA199" s="10">
        <f>IF(W199&gt;$AE$34,1,0)</f>
        <v/>
      </c>
      <c r="AB199">
        <f>IF(AA199=C199,1,0)</f>
        <v/>
      </c>
    </row>
    <row r="200">
      <c r="A200">
        <f>'1 datos preparados'!A193</f>
        <v/>
      </c>
      <c r="B200" s="5">
        <f>'1 datos preparados'!U193</f>
        <v/>
      </c>
      <c r="C200">
        <f>'1 datos preparados'!B193</f>
        <v/>
      </c>
      <c r="D200" s="7">
        <f>'1 datos preparados'!C193</f>
        <v/>
      </c>
      <c r="E200" s="7">
        <f>'1 datos preparados'!D193</f>
        <v/>
      </c>
      <c r="F200" s="7">
        <f>'1 datos preparados'!E193</f>
        <v/>
      </c>
      <c r="G200" s="7">
        <f>'1 datos preparados'!F193</f>
        <v/>
      </c>
      <c r="H200" s="7">
        <f>'1 datos preparados'!G193</f>
        <v/>
      </c>
      <c r="I200" s="7">
        <f>'1 datos preparados'!H193</f>
        <v/>
      </c>
      <c r="J200" s="7">
        <f>'1 datos preparados'!I193</f>
        <v/>
      </c>
      <c r="K200" s="7">
        <f>'1 datos preparados'!J193</f>
        <v/>
      </c>
      <c r="L200" s="7">
        <f>'1 datos preparados'!K193</f>
        <v/>
      </c>
      <c r="M200" s="7">
        <f>'1 datos preparados'!L193</f>
        <v/>
      </c>
      <c r="N200" s="7">
        <f>'1 datos preparados'!M193</f>
        <v/>
      </c>
      <c r="O200" s="7">
        <f>'1 datos preparados'!N193</f>
        <v/>
      </c>
      <c r="P200" s="7">
        <f>'1 datos preparados'!O193</f>
        <v/>
      </c>
      <c r="Q200" s="7">
        <f>'1 datos preparados'!P193</f>
        <v/>
      </c>
      <c r="R200" s="7">
        <f>'1 datos preparados'!Q193</f>
        <v/>
      </c>
      <c r="S200" s="7">
        <f>'1 datos preparados'!R193</f>
        <v/>
      </c>
      <c r="T200" s="7">
        <f>'1 datos preparados'!S193</f>
        <v/>
      </c>
      <c r="U200" s="7">
        <f>'1 datos preparados'!T193</f>
        <v/>
      </c>
      <c r="V200" s="8">
        <f>$AE$12+D200*$AE$13+E200*$AE$14+F200*$AE$15+G200*$AE$16+H200*$AE$17+I200*$AE$18+J200*$AE$19+K200*$AE$20+L200*$AE$21+M200*$AE$22+N200*$AE$23+O200*$AE$24+P200*$AE$25+Q200*$AE$26+R200*$AE$27+S200*$AE$28+T200*$AE$29+U200*$AE$30</f>
        <v/>
      </c>
      <c r="W200" s="8">
        <f>1/(1+EXP(-V200))</f>
        <v/>
      </c>
      <c r="X200" s="9">
        <f>-IF(C200=1,LN(W200),LN(1-W200))</f>
        <v/>
      </c>
      <c r="Y200" s="8">
        <f>IF(C200=1,$AE$32,$AE$33)</f>
        <v/>
      </c>
      <c r="Z200" s="9">
        <f>Y200*X200</f>
        <v/>
      </c>
      <c r="AA200" s="10">
        <f>IF(W200&gt;$AE$34,1,0)</f>
        <v/>
      </c>
      <c r="AB200">
        <f>IF(AA200=C200,1,0)</f>
        <v/>
      </c>
    </row>
    <row r="201">
      <c r="A201">
        <f>'1 datos preparados'!A194</f>
        <v/>
      </c>
      <c r="B201" s="5">
        <f>'1 datos preparados'!U194</f>
        <v/>
      </c>
      <c r="C201">
        <f>'1 datos preparados'!B194</f>
        <v/>
      </c>
      <c r="D201" s="7">
        <f>'1 datos preparados'!C194</f>
        <v/>
      </c>
      <c r="E201" s="7">
        <f>'1 datos preparados'!D194</f>
        <v/>
      </c>
      <c r="F201" s="7">
        <f>'1 datos preparados'!E194</f>
        <v/>
      </c>
      <c r="G201" s="7">
        <f>'1 datos preparados'!F194</f>
        <v/>
      </c>
      <c r="H201" s="7">
        <f>'1 datos preparados'!G194</f>
        <v/>
      </c>
      <c r="I201" s="7">
        <f>'1 datos preparados'!H194</f>
        <v/>
      </c>
      <c r="J201" s="7">
        <f>'1 datos preparados'!I194</f>
        <v/>
      </c>
      <c r="K201" s="7">
        <f>'1 datos preparados'!J194</f>
        <v/>
      </c>
      <c r="L201" s="7">
        <f>'1 datos preparados'!K194</f>
        <v/>
      </c>
      <c r="M201" s="7">
        <f>'1 datos preparados'!L194</f>
        <v/>
      </c>
      <c r="N201" s="7">
        <f>'1 datos preparados'!M194</f>
        <v/>
      </c>
      <c r="O201" s="7">
        <f>'1 datos preparados'!N194</f>
        <v/>
      </c>
      <c r="P201" s="7">
        <f>'1 datos preparados'!O194</f>
        <v/>
      </c>
      <c r="Q201" s="7">
        <f>'1 datos preparados'!P194</f>
        <v/>
      </c>
      <c r="R201" s="7">
        <f>'1 datos preparados'!Q194</f>
        <v/>
      </c>
      <c r="S201" s="7">
        <f>'1 datos preparados'!R194</f>
        <v/>
      </c>
      <c r="T201" s="7">
        <f>'1 datos preparados'!S194</f>
        <v/>
      </c>
      <c r="U201" s="7">
        <f>'1 datos preparados'!T194</f>
        <v/>
      </c>
      <c r="V201" s="8">
        <f>$AE$12+D201*$AE$13+E201*$AE$14+F201*$AE$15+G201*$AE$16+H201*$AE$17+I201*$AE$18+J201*$AE$19+K201*$AE$20+L201*$AE$21+M201*$AE$22+N201*$AE$23+O201*$AE$24+P201*$AE$25+Q201*$AE$26+R201*$AE$27+S201*$AE$28+T201*$AE$29+U201*$AE$30</f>
        <v/>
      </c>
      <c r="W201" s="8">
        <f>1/(1+EXP(-V201))</f>
        <v/>
      </c>
      <c r="X201" s="9">
        <f>-IF(C201=1,LN(W201),LN(1-W201))</f>
        <v/>
      </c>
      <c r="Y201" s="8">
        <f>IF(C201=1,$AE$32,$AE$33)</f>
        <v/>
      </c>
      <c r="Z201" s="9">
        <f>Y201*X201</f>
        <v/>
      </c>
      <c r="AA201" s="10">
        <f>IF(W201&gt;$AE$34,1,0)</f>
        <v/>
      </c>
      <c r="AB201">
        <f>IF(AA201=C201,1,0)</f>
        <v/>
      </c>
    </row>
    <row r="202">
      <c r="A202">
        <f>'1 datos preparados'!A195</f>
        <v/>
      </c>
      <c r="B202" s="5">
        <f>'1 datos preparados'!U195</f>
        <v/>
      </c>
      <c r="C202">
        <f>'1 datos preparados'!B195</f>
        <v/>
      </c>
      <c r="D202" s="7">
        <f>'1 datos preparados'!C195</f>
        <v/>
      </c>
      <c r="E202" s="7">
        <f>'1 datos preparados'!D195</f>
        <v/>
      </c>
      <c r="F202" s="7">
        <f>'1 datos preparados'!E195</f>
        <v/>
      </c>
      <c r="G202" s="7">
        <f>'1 datos preparados'!F195</f>
        <v/>
      </c>
      <c r="H202" s="7">
        <f>'1 datos preparados'!G195</f>
        <v/>
      </c>
      <c r="I202" s="7">
        <f>'1 datos preparados'!H195</f>
        <v/>
      </c>
      <c r="J202" s="7">
        <f>'1 datos preparados'!I195</f>
        <v/>
      </c>
      <c r="K202" s="7">
        <f>'1 datos preparados'!J195</f>
        <v/>
      </c>
      <c r="L202" s="7">
        <f>'1 datos preparados'!K195</f>
        <v/>
      </c>
      <c r="M202" s="7">
        <f>'1 datos preparados'!L195</f>
        <v/>
      </c>
      <c r="N202" s="7">
        <f>'1 datos preparados'!M195</f>
        <v/>
      </c>
      <c r="O202" s="7">
        <f>'1 datos preparados'!N195</f>
        <v/>
      </c>
      <c r="P202" s="7">
        <f>'1 datos preparados'!O195</f>
        <v/>
      </c>
      <c r="Q202" s="7">
        <f>'1 datos preparados'!P195</f>
        <v/>
      </c>
      <c r="R202" s="7">
        <f>'1 datos preparados'!Q195</f>
        <v/>
      </c>
      <c r="S202" s="7">
        <f>'1 datos preparados'!R195</f>
        <v/>
      </c>
      <c r="T202" s="7">
        <f>'1 datos preparados'!S195</f>
        <v/>
      </c>
      <c r="U202" s="7">
        <f>'1 datos preparados'!T195</f>
        <v/>
      </c>
      <c r="V202" s="8">
        <f>$AE$12+D202*$AE$13+E202*$AE$14+F202*$AE$15+G202*$AE$16+H202*$AE$17+I202*$AE$18+J202*$AE$19+K202*$AE$20+L202*$AE$21+M202*$AE$22+N202*$AE$23+O202*$AE$24+P202*$AE$25+Q202*$AE$26+R202*$AE$27+S202*$AE$28+T202*$AE$29+U202*$AE$30</f>
        <v/>
      </c>
      <c r="W202" s="8">
        <f>1/(1+EXP(-V202))</f>
        <v/>
      </c>
      <c r="X202" s="9">
        <f>-IF(C202=1,LN(W202),LN(1-W202))</f>
        <v/>
      </c>
      <c r="Y202" s="8">
        <f>IF(C202=1,$AE$32,$AE$33)</f>
        <v/>
      </c>
      <c r="Z202" s="9">
        <f>Y202*X202</f>
        <v/>
      </c>
      <c r="AA202" s="10">
        <f>IF(W202&gt;$AE$34,1,0)</f>
        <v/>
      </c>
      <c r="AB202">
        <f>IF(AA202=C202,1,0)</f>
        <v/>
      </c>
    </row>
    <row r="203">
      <c r="A203">
        <f>'1 datos preparados'!A196</f>
        <v/>
      </c>
      <c r="B203" s="5">
        <f>'1 datos preparados'!U196</f>
        <v/>
      </c>
      <c r="C203">
        <f>'1 datos preparados'!B196</f>
        <v/>
      </c>
      <c r="D203" s="7">
        <f>'1 datos preparados'!C196</f>
        <v/>
      </c>
      <c r="E203" s="7">
        <f>'1 datos preparados'!D196</f>
        <v/>
      </c>
      <c r="F203" s="7">
        <f>'1 datos preparados'!E196</f>
        <v/>
      </c>
      <c r="G203" s="7">
        <f>'1 datos preparados'!F196</f>
        <v/>
      </c>
      <c r="H203" s="7">
        <f>'1 datos preparados'!G196</f>
        <v/>
      </c>
      <c r="I203" s="7">
        <f>'1 datos preparados'!H196</f>
        <v/>
      </c>
      <c r="J203" s="7">
        <f>'1 datos preparados'!I196</f>
        <v/>
      </c>
      <c r="K203" s="7">
        <f>'1 datos preparados'!J196</f>
        <v/>
      </c>
      <c r="L203" s="7">
        <f>'1 datos preparados'!K196</f>
        <v/>
      </c>
      <c r="M203" s="7">
        <f>'1 datos preparados'!L196</f>
        <v/>
      </c>
      <c r="N203" s="7">
        <f>'1 datos preparados'!M196</f>
        <v/>
      </c>
      <c r="O203" s="7">
        <f>'1 datos preparados'!N196</f>
        <v/>
      </c>
      <c r="P203" s="7">
        <f>'1 datos preparados'!O196</f>
        <v/>
      </c>
      <c r="Q203" s="7">
        <f>'1 datos preparados'!P196</f>
        <v/>
      </c>
      <c r="R203" s="7">
        <f>'1 datos preparados'!Q196</f>
        <v/>
      </c>
      <c r="S203" s="7">
        <f>'1 datos preparados'!R196</f>
        <v/>
      </c>
      <c r="T203" s="7">
        <f>'1 datos preparados'!S196</f>
        <v/>
      </c>
      <c r="U203" s="7">
        <f>'1 datos preparados'!T196</f>
        <v/>
      </c>
      <c r="V203" s="8">
        <f>$AE$12+D203*$AE$13+E203*$AE$14+F203*$AE$15+G203*$AE$16+H203*$AE$17+I203*$AE$18+J203*$AE$19+K203*$AE$20+L203*$AE$21+M203*$AE$22+N203*$AE$23+O203*$AE$24+P203*$AE$25+Q203*$AE$26+R203*$AE$27+S203*$AE$28+T203*$AE$29+U203*$AE$30</f>
        <v/>
      </c>
      <c r="W203" s="8">
        <f>1/(1+EXP(-V203))</f>
        <v/>
      </c>
      <c r="X203" s="9">
        <f>-IF(C203=1,LN(W203),LN(1-W203))</f>
        <v/>
      </c>
      <c r="Y203" s="8">
        <f>IF(C203=1,$AE$32,$AE$33)</f>
        <v/>
      </c>
      <c r="Z203" s="9">
        <f>Y203*X203</f>
        <v/>
      </c>
      <c r="AA203" s="10">
        <f>IF(W203&gt;$AE$34,1,0)</f>
        <v/>
      </c>
      <c r="AB203">
        <f>IF(AA203=C203,1,0)</f>
        <v/>
      </c>
    </row>
    <row r="204">
      <c r="A204">
        <f>'1 datos preparados'!A197</f>
        <v/>
      </c>
      <c r="B204" s="5">
        <f>'1 datos preparados'!U197</f>
        <v/>
      </c>
      <c r="C204">
        <f>'1 datos preparados'!B197</f>
        <v/>
      </c>
      <c r="D204" s="7">
        <f>'1 datos preparados'!C197</f>
        <v/>
      </c>
      <c r="E204" s="7">
        <f>'1 datos preparados'!D197</f>
        <v/>
      </c>
      <c r="F204" s="7">
        <f>'1 datos preparados'!E197</f>
        <v/>
      </c>
      <c r="G204" s="7">
        <f>'1 datos preparados'!F197</f>
        <v/>
      </c>
      <c r="H204" s="7">
        <f>'1 datos preparados'!G197</f>
        <v/>
      </c>
      <c r="I204" s="7">
        <f>'1 datos preparados'!H197</f>
        <v/>
      </c>
      <c r="J204" s="7">
        <f>'1 datos preparados'!I197</f>
        <v/>
      </c>
      <c r="K204" s="7">
        <f>'1 datos preparados'!J197</f>
        <v/>
      </c>
      <c r="L204" s="7">
        <f>'1 datos preparados'!K197</f>
        <v/>
      </c>
      <c r="M204" s="7">
        <f>'1 datos preparados'!L197</f>
        <v/>
      </c>
      <c r="N204" s="7">
        <f>'1 datos preparados'!M197</f>
        <v/>
      </c>
      <c r="O204" s="7">
        <f>'1 datos preparados'!N197</f>
        <v/>
      </c>
      <c r="P204" s="7">
        <f>'1 datos preparados'!O197</f>
        <v/>
      </c>
      <c r="Q204" s="7">
        <f>'1 datos preparados'!P197</f>
        <v/>
      </c>
      <c r="R204" s="7">
        <f>'1 datos preparados'!Q197</f>
        <v/>
      </c>
      <c r="S204" s="7">
        <f>'1 datos preparados'!R197</f>
        <v/>
      </c>
      <c r="T204" s="7">
        <f>'1 datos preparados'!S197</f>
        <v/>
      </c>
      <c r="U204" s="7">
        <f>'1 datos preparados'!T197</f>
        <v/>
      </c>
      <c r="V204" s="8">
        <f>$AE$12+D204*$AE$13+E204*$AE$14+F204*$AE$15+G204*$AE$16+H204*$AE$17+I204*$AE$18+J204*$AE$19+K204*$AE$20+L204*$AE$21+M204*$AE$22+N204*$AE$23+O204*$AE$24+P204*$AE$25+Q204*$AE$26+R204*$AE$27+S204*$AE$28+T204*$AE$29+U204*$AE$30</f>
        <v/>
      </c>
      <c r="W204" s="8">
        <f>1/(1+EXP(-V204))</f>
        <v/>
      </c>
      <c r="X204" s="9">
        <f>-IF(C204=1,LN(W204),LN(1-W204))</f>
        <v/>
      </c>
      <c r="Y204" s="8">
        <f>IF(C204=1,$AE$32,$AE$33)</f>
        <v/>
      </c>
      <c r="Z204" s="9">
        <f>Y204*X204</f>
        <v/>
      </c>
      <c r="AA204" s="10">
        <f>IF(W204&gt;$AE$34,1,0)</f>
        <v/>
      </c>
      <c r="AB204">
        <f>IF(AA204=C204,1,0)</f>
        <v/>
      </c>
    </row>
    <row r="205">
      <c r="A205">
        <f>'1 datos preparados'!A198</f>
        <v/>
      </c>
      <c r="B205" s="5">
        <f>'1 datos preparados'!U198</f>
        <v/>
      </c>
      <c r="C205">
        <f>'1 datos preparados'!B198</f>
        <v/>
      </c>
      <c r="D205" s="7">
        <f>'1 datos preparados'!C198</f>
        <v/>
      </c>
      <c r="E205" s="7">
        <f>'1 datos preparados'!D198</f>
        <v/>
      </c>
      <c r="F205" s="7">
        <f>'1 datos preparados'!E198</f>
        <v/>
      </c>
      <c r="G205" s="7">
        <f>'1 datos preparados'!F198</f>
        <v/>
      </c>
      <c r="H205" s="7">
        <f>'1 datos preparados'!G198</f>
        <v/>
      </c>
      <c r="I205" s="7">
        <f>'1 datos preparados'!H198</f>
        <v/>
      </c>
      <c r="J205" s="7">
        <f>'1 datos preparados'!I198</f>
        <v/>
      </c>
      <c r="K205" s="7">
        <f>'1 datos preparados'!J198</f>
        <v/>
      </c>
      <c r="L205" s="7">
        <f>'1 datos preparados'!K198</f>
        <v/>
      </c>
      <c r="M205" s="7">
        <f>'1 datos preparados'!L198</f>
        <v/>
      </c>
      <c r="N205" s="7">
        <f>'1 datos preparados'!M198</f>
        <v/>
      </c>
      <c r="O205" s="7">
        <f>'1 datos preparados'!N198</f>
        <v/>
      </c>
      <c r="P205" s="7">
        <f>'1 datos preparados'!O198</f>
        <v/>
      </c>
      <c r="Q205" s="7">
        <f>'1 datos preparados'!P198</f>
        <v/>
      </c>
      <c r="R205" s="7">
        <f>'1 datos preparados'!Q198</f>
        <v/>
      </c>
      <c r="S205" s="7">
        <f>'1 datos preparados'!R198</f>
        <v/>
      </c>
      <c r="T205" s="7">
        <f>'1 datos preparados'!S198</f>
        <v/>
      </c>
      <c r="U205" s="7">
        <f>'1 datos preparados'!T198</f>
        <v/>
      </c>
      <c r="V205" s="8">
        <f>$AE$12+D205*$AE$13+E205*$AE$14+F205*$AE$15+G205*$AE$16+H205*$AE$17+I205*$AE$18+J205*$AE$19+K205*$AE$20+L205*$AE$21+M205*$AE$22+N205*$AE$23+O205*$AE$24+P205*$AE$25+Q205*$AE$26+R205*$AE$27+S205*$AE$28+T205*$AE$29+U205*$AE$30</f>
        <v/>
      </c>
      <c r="W205" s="8">
        <f>1/(1+EXP(-V205))</f>
        <v/>
      </c>
      <c r="X205" s="9">
        <f>-IF(C205=1,LN(W205),LN(1-W205))</f>
        <v/>
      </c>
      <c r="Y205" s="8">
        <f>IF(C205=1,$AE$32,$AE$33)</f>
        <v/>
      </c>
      <c r="Z205" s="9">
        <f>Y205*X205</f>
        <v/>
      </c>
      <c r="AA205" s="10">
        <f>IF(W205&gt;$AE$34,1,0)</f>
        <v/>
      </c>
      <c r="AB205">
        <f>IF(AA205=C205,1,0)</f>
        <v/>
      </c>
    </row>
    <row r="206">
      <c r="A206">
        <f>'1 datos preparados'!A199</f>
        <v/>
      </c>
      <c r="B206" s="5">
        <f>'1 datos preparados'!U199</f>
        <v/>
      </c>
      <c r="C206">
        <f>'1 datos preparados'!B199</f>
        <v/>
      </c>
      <c r="D206" s="7">
        <f>'1 datos preparados'!C199</f>
        <v/>
      </c>
      <c r="E206" s="7">
        <f>'1 datos preparados'!D199</f>
        <v/>
      </c>
      <c r="F206" s="7">
        <f>'1 datos preparados'!E199</f>
        <v/>
      </c>
      <c r="G206" s="7">
        <f>'1 datos preparados'!F199</f>
        <v/>
      </c>
      <c r="H206" s="7">
        <f>'1 datos preparados'!G199</f>
        <v/>
      </c>
      <c r="I206" s="7">
        <f>'1 datos preparados'!H199</f>
        <v/>
      </c>
      <c r="J206" s="7">
        <f>'1 datos preparados'!I199</f>
        <v/>
      </c>
      <c r="K206" s="7">
        <f>'1 datos preparados'!J199</f>
        <v/>
      </c>
      <c r="L206" s="7">
        <f>'1 datos preparados'!K199</f>
        <v/>
      </c>
      <c r="M206" s="7">
        <f>'1 datos preparados'!L199</f>
        <v/>
      </c>
      <c r="N206" s="7">
        <f>'1 datos preparados'!M199</f>
        <v/>
      </c>
      <c r="O206" s="7">
        <f>'1 datos preparados'!N199</f>
        <v/>
      </c>
      <c r="P206" s="7">
        <f>'1 datos preparados'!O199</f>
        <v/>
      </c>
      <c r="Q206" s="7">
        <f>'1 datos preparados'!P199</f>
        <v/>
      </c>
      <c r="R206" s="7">
        <f>'1 datos preparados'!Q199</f>
        <v/>
      </c>
      <c r="S206" s="7">
        <f>'1 datos preparados'!R199</f>
        <v/>
      </c>
      <c r="T206" s="7">
        <f>'1 datos preparados'!S199</f>
        <v/>
      </c>
      <c r="U206" s="7">
        <f>'1 datos preparados'!T199</f>
        <v/>
      </c>
      <c r="V206" s="8">
        <f>$AE$12+D206*$AE$13+E206*$AE$14+F206*$AE$15+G206*$AE$16+H206*$AE$17+I206*$AE$18+J206*$AE$19+K206*$AE$20+L206*$AE$21+M206*$AE$22+N206*$AE$23+O206*$AE$24+P206*$AE$25+Q206*$AE$26+R206*$AE$27+S206*$AE$28+T206*$AE$29+U206*$AE$30</f>
        <v/>
      </c>
      <c r="W206" s="8">
        <f>1/(1+EXP(-V206))</f>
        <v/>
      </c>
      <c r="X206" s="9">
        <f>-IF(C206=1,LN(W206),LN(1-W206))</f>
        <v/>
      </c>
      <c r="Y206" s="8">
        <f>IF(C206=1,$AE$32,$AE$33)</f>
        <v/>
      </c>
      <c r="Z206" s="9">
        <f>Y206*X206</f>
        <v/>
      </c>
      <c r="AA206" s="10">
        <f>IF(W206&gt;$AE$34,1,0)</f>
        <v/>
      </c>
      <c r="AB206">
        <f>IF(AA206=C206,1,0)</f>
        <v/>
      </c>
    </row>
    <row r="207">
      <c r="A207">
        <f>'1 datos preparados'!A200</f>
        <v/>
      </c>
      <c r="B207" s="5">
        <f>'1 datos preparados'!U200</f>
        <v/>
      </c>
      <c r="C207">
        <f>'1 datos preparados'!B200</f>
        <v/>
      </c>
      <c r="D207" s="7">
        <f>'1 datos preparados'!C200</f>
        <v/>
      </c>
      <c r="E207" s="7">
        <f>'1 datos preparados'!D200</f>
        <v/>
      </c>
      <c r="F207" s="7">
        <f>'1 datos preparados'!E200</f>
        <v/>
      </c>
      <c r="G207" s="7">
        <f>'1 datos preparados'!F200</f>
        <v/>
      </c>
      <c r="H207" s="7">
        <f>'1 datos preparados'!G200</f>
        <v/>
      </c>
      <c r="I207" s="7">
        <f>'1 datos preparados'!H200</f>
        <v/>
      </c>
      <c r="J207" s="7">
        <f>'1 datos preparados'!I200</f>
        <v/>
      </c>
      <c r="K207" s="7">
        <f>'1 datos preparados'!J200</f>
        <v/>
      </c>
      <c r="L207" s="7">
        <f>'1 datos preparados'!K200</f>
        <v/>
      </c>
      <c r="M207" s="7">
        <f>'1 datos preparados'!L200</f>
        <v/>
      </c>
      <c r="N207" s="7">
        <f>'1 datos preparados'!M200</f>
        <v/>
      </c>
      <c r="O207" s="7">
        <f>'1 datos preparados'!N200</f>
        <v/>
      </c>
      <c r="P207" s="7">
        <f>'1 datos preparados'!O200</f>
        <v/>
      </c>
      <c r="Q207" s="7">
        <f>'1 datos preparados'!P200</f>
        <v/>
      </c>
      <c r="R207" s="7">
        <f>'1 datos preparados'!Q200</f>
        <v/>
      </c>
      <c r="S207" s="7">
        <f>'1 datos preparados'!R200</f>
        <v/>
      </c>
      <c r="T207" s="7">
        <f>'1 datos preparados'!S200</f>
        <v/>
      </c>
      <c r="U207" s="7">
        <f>'1 datos preparados'!T200</f>
        <v/>
      </c>
      <c r="V207" s="8">
        <f>$AE$12+D207*$AE$13+E207*$AE$14+F207*$AE$15+G207*$AE$16+H207*$AE$17+I207*$AE$18+J207*$AE$19+K207*$AE$20+L207*$AE$21+M207*$AE$22+N207*$AE$23+O207*$AE$24+P207*$AE$25+Q207*$AE$26+R207*$AE$27+S207*$AE$28+T207*$AE$29+U207*$AE$30</f>
        <v/>
      </c>
      <c r="W207" s="8">
        <f>1/(1+EXP(-V207))</f>
        <v/>
      </c>
      <c r="X207" s="9">
        <f>-IF(C207=1,LN(W207),LN(1-W207))</f>
        <v/>
      </c>
      <c r="Y207" s="8">
        <f>IF(C207=1,$AE$32,$AE$33)</f>
        <v/>
      </c>
      <c r="Z207" s="9">
        <f>Y207*X207</f>
        <v/>
      </c>
      <c r="AA207" s="10">
        <f>IF(W207&gt;$AE$34,1,0)</f>
        <v/>
      </c>
      <c r="AB207">
        <f>IF(AA207=C207,1,0)</f>
        <v/>
      </c>
    </row>
    <row r="208">
      <c r="A208">
        <f>'1 datos preparados'!A201</f>
        <v/>
      </c>
      <c r="B208" s="5">
        <f>'1 datos preparados'!U201</f>
        <v/>
      </c>
      <c r="C208">
        <f>'1 datos preparados'!B201</f>
        <v/>
      </c>
      <c r="D208" s="7">
        <f>'1 datos preparados'!C201</f>
        <v/>
      </c>
      <c r="E208" s="7">
        <f>'1 datos preparados'!D201</f>
        <v/>
      </c>
      <c r="F208" s="7">
        <f>'1 datos preparados'!E201</f>
        <v/>
      </c>
      <c r="G208" s="7">
        <f>'1 datos preparados'!F201</f>
        <v/>
      </c>
      <c r="H208" s="7">
        <f>'1 datos preparados'!G201</f>
        <v/>
      </c>
      <c r="I208" s="7">
        <f>'1 datos preparados'!H201</f>
        <v/>
      </c>
      <c r="J208" s="7">
        <f>'1 datos preparados'!I201</f>
        <v/>
      </c>
      <c r="K208" s="7">
        <f>'1 datos preparados'!J201</f>
        <v/>
      </c>
      <c r="L208" s="7">
        <f>'1 datos preparados'!K201</f>
        <v/>
      </c>
      <c r="M208" s="7">
        <f>'1 datos preparados'!L201</f>
        <v/>
      </c>
      <c r="N208" s="7">
        <f>'1 datos preparados'!M201</f>
        <v/>
      </c>
      <c r="O208" s="7">
        <f>'1 datos preparados'!N201</f>
        <v/>
      </c>
      <c r="P208" s="7">
        <f>'1 datos preparados'!O201</f>
        <v/>
      </c>
      <c r="Q208" s="7">
        <f>'1 datos preparados'!P201</f>
        <v/>
      </c>
      <c r="R208" s="7">
        <f>'1 datos preparados'!Q201</f>
        <v/>
      </c>
      <c r="S208" s="7">
        <f>'1 datos preparados'!R201</f>
        <v/>
      </c>
      <c r="T208" s="7">
        <f>'1 datos preparados'!S201</f>
        <v/>
      </c>
      <c r="U208" s="7">
        <f>'1 datos preparados'!T201</f>
        <v/>
      </c>
      <c r="V208" s="8">
        <f>$AE$12+D208*$AE$13+E208*$AE$14+F208*$AE$15+G208*$AE$16+H208*$AE$17+I208*$AE$18+J208*$AE$19+K208*$AE$20+L208*$AE$21+M208*$AE$22+N208*$AE$23+O208*$AE$24+P208*$AE$25+Q208*$AE$26+R208*$AE$27+S208*$AE$28+T208*$AE$29+U208*$AE$30</f>
        <v/>
      </c>
      <c r="W208" s="8">
        <f>1/(1+EXP(-V208))</f>
        <v/>
      </c>
      <c r="X208" s="9">
        <f>-IF(C208=1,LN(W208),LN(1-W208))</f>
        <v/>
      </c>
      <c r="Y208" s="8">
        <f>IF(C208=1,$AE$32,$AE$33)</f>
        <v/>
      </c>
      <c r="Z208" s="9">
        <f>Y208*X208</f>
        <v/>
      </c>
      <c r="AA208" s="10">
        <f>IF(W208&gt;$AE$34,1,0)</f>
        <v/>
      </c>
      <c r="AB208">
        <f>IF(AA208=C208,1,0)</f>
        <v/>
      </c>
    </row>
    <row r="209">
      <c r="A209">
        <f>'1 datos preparados'!A202</f>
        <v/>
      </c>
      <c r="B209" s="5">
        <f>'1 datos preparados'!U202</f>
        <v/>
      </c>
      <c r="C209">
        <f>'1 datos preparados'!B202</f>
        <v/>
      </c>
      <c r="D209" s="7">
        <f>'1 datos preparados'!C202</f>
        <v/>
      </c>
      <c r="E209" s="7">
        <f>'1 datos preparados'!D202</f>
        <v/>
      </c>
      <c r="F209" s="7">
        <f>'1 datos preparados'!E202</f>
        <v/>
      </c>
      <c r="G209" s="7">
        <f>'1 datos preparados'!F202</f>
        <v/>
      </c>
      <c r="H209" s="7">
        <f>'1 datos preparados'!G202</f>
        <v/>
      </c>
      <c r="I209" s="7">
        <f>'1 datos preparados'!H202</f>
        <v/>
      </c>
      <c r="J209" s="7">
        <f>'1 datos preparados'!I202</f>
        <v/>
      </c>
      <c r="K209" s="7">
        <f>'1 datos preparados'!J202</f>
        <v/>
      </c>
      <c r="L209" s="7">
        <f>'1 datos preparados'!K202</f>
        <v/>
      </c>
      <c r="M209" s="7">
        <f>'1 datos preparados'!L202</f>
        <v/>
      </c>
      <c r="N209" s="7">
        <f>'1 datos preparados'!M202</f>
        <v/>
      </c>
      <c r="O209" s="7">
        <f>'1 datos preparados'!N202</f>
        <v/>
      </c>
      <c r="P209" s="7">
        <f>'1 datos preparados'!O202</f>
        <v/>
      </c>
      <c r="Q209" s="7">
        <f>'1 datos preparados'!P202</f>
        <v/>
      </c>
      <c r="R209" s="7">
        <f>'1 datos preparados'!Q202</f>
        <v/>
      </c>
      <c r="S209" s="7">
        <f>'1 datos preparados'!R202</f>
        <v/>
      </c>
      <c r="T209" s="7">
        <f>'1 datos preparados'!S202</f>
        <v/>
      </c>
      <c r="U209" s="7">
        <f>'1 datos preparados'!T202</f>
        <v/>
      </c>
      <c r="V209" s="8">
        <f>$AE$12+D209*$AE$13+E209*$AE$14+F209*$AE$15+G209*$AE$16+H209*$AE$17+I209*$AE$18+J209*$AE$19+K209*$AE$20+L209*$AE$21+M209*$AE$22+N209*$AE$23+O209*$AE$24+P209*$AE$25+Q209*$AE$26+R209*$AE$27+S209*$AE$28+T209*$AE$29+U209*$AE$30</f>
        <v/>
      </c>
      <c r="W209" s="8">
        <f>1/(1+EXP(-V209))</f>
        <v/>
      </c>
      <c r="X209" s="9">
        <f>-IF(C209=1,LN(W209),LN(1-W209))</f>
        <v/>
      </c>
      <c r="Y209" s="8">
        <f>IF(C209=1,$AE$32,$AE$33)</f>
        <v/>
      </c>
      <c r="Z209" s="9">
        <f>Y209*X209</f>
        <v/>
      </c>
      <c r="AA209" s="10">
        <f>IF(W209&gt;$AE$34,1,0)</f>
        <v/>
      </c>
      <c r="AB209">
        <f>IF(AA209=C209,1,0)</f>
        <v/>
      </c>
    </row>
    <row r="210">
      <c r="A210">
        <f>'1 datos preparados'!A203</f>
        <v/>
      </c>
      <c r="B210" s="5">
        <f>'1 datos preparados'!U203</f>
        <v/>
      </c>
      <c r="C210">
        <f>'1 datos preparados'!B203</f>
        <v/>
      </c>
      <c r="D210" s="7">
        <f>'1 datos preparados'!C203</f>
        <v/>
      </c>
      <c r="E210" s="7">
        <f>'1 datos preparados'!D203</f>
        <v/>
      </c>
      <c r="F210" s="7">
        <f>'1 datos preparados'!E203</f>
        <v/>
      </c>
      <c r="G210" s="7">
        <f>'1 datos preparados'!F203</f>
        <v/>
      </c>
      <c r="H210" s="7">
        <f>'1 datos preparados'!G203</f>
        <v/>
      </c>
      <c r="I210" s="7">
        <f>'1 datos preparados'!H203</f>
        <v/>
      </c>
      <c r="J210" s="7">
        <f>'1 datos preparados'!I203</f>
        <v/>
      </c>
      <c r="K210" s="7">
        <f>'1 datos preparados'!J203</f>
        <v/>
      </c>
      <c r="L210" s="7">
        <f>'1 datos preparados'!K203</f>
        <v/>
      </c>
      <c r="M210" s="7">
        <f>'1 datos preparados'!L203</f>
        <v/>
      </c>
      <c r="N210" s="7">
        <f>'1 datos preparados'!M203</f>
        <v/>
      </c>
      <c r="O210" s="7">
        <f>'1 datos preparados'!N203</f>
        <v/>
      </c>
      <c r="P210" s="7">
        <f>'1 datos preparados'!O203</f>
        <v/>
      </c>
      <c r="Q210" s="7">
        <f>'1 datos preparados'!P203</f>
        <v/>
      </c>
      <c r="R210" s="7">
        <f>'1 datos preparados'!Q203</f>
        <v/>
      </c>
      <c r="S210" s="7">
        <f>'1 datos preparados'!R203</f>
        <v/>
      </c>
      <c r="T210" s="7">
        <f>'1 datos preparados'!S203</f>
        <v/>
      </c>
      <c r="U210" s="7">
        <f>'1 datos preparados'!T203</f>
        <v/>
      </c>
      <c r="V210" s="8">
        <f>$AE$12+D210*$AE$13+E210*$AE$14+F210*$AE$15+G210*$AE$16+H210*$AE$17+I210*$AE$18+J210*$AE$19+K210*$AE$20+L210*$AE$21+M210*$AE$22+N210*$AE$23+O210*$AE$24+P210*$AE$25+Q210*$AE$26+R210*$AE$27+S210*$AE$28+T210*$AE$29+U210*$AE$30</f>
        <v/>
      </c>
      <c r="W210" s="8">
        <f>1/(1+EXP(-V210))</f>
        <v/>
      </c>
      <c r="X210" s="9">
        <f>-IF(C210=1,LN(W210),LN(1-W210))</f>
        <v/>
      </c>
      <c r="Y210" s="8">
        <f>IF(C210=1,$AE$32,$AE$33)</f>
        <v/>
      </c>
      <c r="Z210" s="9">
        <f>Y210*X210</f>
        <v/>
      </c>
      <c r="AA210" s="10">
        <f>IF(W210&gt;$AE$34,1,0)</f>
        <v/>
      </c>
      <c r="AB210">
        <f>IF(AA210=C210,1,0)</f>
        <v/>
      </c>
    </row>
    <row r="211">
      <c r="A211">
        <f>'1 datos preparados'!A204</f>
        <v/>
      </c>
      <c r="B211" s="5">
        <f>'1 datos preparados'!U204</f>
        <v/>
      </c>
      <c r="C211">
        <f>'1 datos preparados'!B204</f>
        <v/>
      </c>
      <c r="D211" s="7">
        <f>'1 datos preparados'!C204</f>
        <v/>
      </c>
      <c r="E211" s="7">
        <f>'1 datos preparados'!D204</f>
        <v/>
      </c>
      <c r="F211" s="7">
        <f>'1 datos preparados'!E204</f>
        <v/>
      </c>
      <c r="G211" s="7">
        <f>'1 datos preparados'!F204</f>
        <v/>
      </c>
      <c r="H211" s="7">
        <f>'1 datos preparados'!G204</f>
        <v/>
      </c>
      <c r="I211" s="7">
        <f>'1 datos preparados'!H204</f>
        <v/>
      </c>
      <c r="J211" s="7">
        <f>'1 datos preparados'!I204</f>
        <v/>
      </c>
      <c r="K211" s="7">
        <f>'1 datos preparados'!J204</f>
        <v/>
      </c>
      <c r="L211" s="7">
        <f>'1 datos preparados'!K204</f>
        <v/>
      </c>
      <c r="M211" s="7">
        <f>'1 datos preparados'!L204</f>
        <v/>
      </c>
      <c r="N211" s="7">
        <f>'1 datos preparados'!M204</f>
        <v/>
      </c>
      <c r="O211" s="7">
        <f>'1 datos preparados'!N204</f>
        <v/>
      </c>
      <c r="P211" s="7">
        <f>'1 datos preparados'!O204</f>
        <v/>
      </c>
      <c r="Q211" s="7">
        <f>'1 datos preparados'!P204</f>
        <v/>
      </c>
      <c r="R211" s="7">
        <f>'1 datos preparados'!Q204</f>
        <v/>
      </c>
      <c r="S211" s="7">
        <f>'1 datos preparados'!R204</f>
        <v/>
      </c>
      <c r="T211" s="7">
        <f>'1 datos preparados'!S204</f>
        <v/>
      </c>
      <c r="U211" s="7">
        <f>'1 datos preparados'!T204</f>
        <v/>
      </c>
      <c r="V211" s="8">
        <f>$AE$12+D211*$AE$13+E211*$AE$14+F211*$AE$15+G211*$AE$16+H211*$AE$17+I211*$AE$18+J211*$AE$19+K211*$AE$20+L211*$AE$21+M211*$AE$22+N211*$AE$23+O211*$AE$24+P211*$AE$25+Q211*$AE$26+R211*$AE$27+S211*$AE$28+T211*$AE$29+U211*$AE$30</f>
        <v/>
      </c>
      <c r="W211" s="8">
        <f>1/(1+EXP(-V211))</f>
        <v/>
      </c>
      <c r="X211" s="9">
        <f>-IF(C211=1,LN(W211),LN(1-W211))</f>
        <v/>
      </c>
      <c r="Y211" s="8">
        <f>IF(C211=1,$AE$32,$AE$33)</f>
        <v/>
      </c>
      <c r="Z211" s="9">
        <f>Y211*X211</f>
        <v/>
      </c>
      <c r="AA211" s="10">
        <f>IF(W211&gt;$AE$34,1,0)</f>
        <v/>
      </c>
      <c r="AB211">
        <f>IF(AA211=C211,1,0)</f>
        <v/>
      </c>
    </row>
    <row r="212">
      <c r="A212">
        <f>'1 datos preparados'!A205</f>
        <v/>
      </c>
      <c r="B212" s="5">
        <f>'1 datos preparados'!U205</f>
        <v/>
      </c>
      <c r="C212">
        <f>'1 datos preparados'!B205</f>
        <v/>
      </c>
      <c r="D212" s="7">
        <f>'1 datos preparados'!C205</f>
        <v/>
      </c>
      <c r="E212" s="7">
        <f>'1 datos preparados'!D205</f>
        <v/>
      </c>
      <c r="F212" s="7">
        <f>'1 datos preparados'!E205</f>
        <v/>
      </c>
      <c r="G212" s="7">
        <f>'1 datos preparados'!F205</f>
        <v/>
      </c>
      <c r="H212" s="7">
        <f>'1 datos preparados'!G205</f>
        <v/>
      </c>
      <c r="I212" s="7">
        <f>'1 datos preparados'!H205</f>
        <v/>
      </c>
      <c r="J212" s="7">
        <f>'1 datos preparados'!I205</f>
        <v/>
      </c>
      <c r="K212" s="7">
        <f>'1 datos preparados'!J205</f>
        <v/>
      </c>
      <c r="L212" s="7">
        <f>'1 datos preparados'!K205</f>
        <v/>
      </c>
      <c r="M212" s="7">
        <f>'1 datos preparados'!L205</f>
        <v/>
      </c>
      <c r="N212" s="7">
        <f>'1 datos preparados'!M205</f>
        <v/>
      </c>
      <c r="O212" s="7">
        <f>'1 datos preparados'!N205</f>
        <v/>
      </c>
      <c r="P212" s="7">
        <f>'1 datos preparados'!O205</f>
        <v/>
      </c>
      <c r="Q212" s="7">
        <f>'1 datos preparados'!P205</f>
        <v/>
      </c>
      <c r="R212" s="7">
        <f>'1 datos preparados'!Q205</f>
        <v/>
      </c>
      <c r="S212" s="7">
        <f>'1 datos preparados'!R205</f>
        <v/>
      </c>
      <c r="T212" s="7">
        <f>'1 datos preparados'!S205</f>
        <v/>
      </c>
      <c r="U212" s="7">
        <f>'1 datos preparados'!T205</f>
        <v/>
      </c>
      <c r="V212" s="8">
        <f>$AE$12+D212*$AE$13+E212*$AE$14+F212*$AE$15+G212*$AE$16+H212*$AE$17+I212*$AE$18+J212*$AE$19+K212*$AE$20+L212*$AE$21+M212*$AE$22+N212*$AE$23+O212*$AE$24+P212*$AE$25+Q212*$AE$26+R212*$AE$27+S212*$AE$28+T212*$AE$29+U212*$AE$30</f>
        <v/>
      </c>
      <c r="W212" s="8">
        <f>1/(1+EXP(-V212))</f>
        <v/>
      </c>
      <c r="X212" s="9">
        <f>-IF(C212=1,LN(W212),LN(1-W212))</f>
        <v/>
      </c>
      <c r="Y212" s="8">
        <f>IF(C212=1,$AE$32,$AE$33)</f>
        <v/>
      </c>
      <c r="Z212" s="9">
        <f>Y212*X212</f>
        <v/>
      </c>
      <c r="AA212" s="10">
        <f>IF(W212&gt;$AE$34,1,0)</f>
        <v/>
      </c>
      <c r="AB212">
        <f>IF(AA212=C212,1,0)</f>
        <v/>
      </c>
    </row>
    <row r="213">
      <c r="A213">
        <f>'1 datos preparados'!A206</f>
        <v/>
      </c>
      <c r="B213" s="5">
        <f>'1 datos preparados'!U206</f>
        <v/>
      </c>
      <c r="C213">
        <f>'1 datos preparados'!B206</f>
        <v/>
      </c>
      <c r="D213" s="7">
        <f>'1 datos preparados'!C206</f>
        <v/>
      </c>
      <c r="E213" s="7">
        <f>'1 datos preparados'!D206</f>
        <v/>
      </c>
      <c r="F213" s="7">
        <f>'1 datos preparados'!E206</f>
        <v/>
      </c>
      <c r="G213" s="7">
        <f>'1 datos preparados'!F206</f>
        <v/>
      </c>
      <c r="H213" s="7">
        <f>'1 datos preparados'!G206</f>
        <v/>
      </c>
      <c r="I213" s="7">
        <f>'1 datos preparados'!H206</f>
        <v/>
      </c>
      <c r="J213" s="7">
        <f>'1 datos preparados'!I206</f>
        <v/>
      </c>
      <c r="K213" s="7">
        <f>'1 datos preparados'!J206</f>
        <v/>
      </c>
      <c r="L213" s="7">
        <f>'1 datos preparados'!K206</f>
        <v/>
      </c>
      <c r="M213" s="7">
        <f>'1 datos preparados'!L206</f>
        <v/>
      </c>
      <c r="N213" s="7">
        <f>'1 datos preparados'!M206</f>
        <v/>
      </c>
      <c r="O213" s="7">
        <f>'1 datos preparados'!N206</f>
        <v/>
      </c>
      <c r="P213" s="7">
        <f>'1 datos preparados'!O206</f>
        <v/>
      </c>
      <c r="Q213" s="7">
        <f>'1 datos preparados'!P206</f>
        <v/>
      </c>
      <c r="R213" s="7">
        <f>'1 datos preparados'!Q206</f>
        <v/>
      </c>
      <c r="S213" s="7">
        <f>'1 datos preparados'!R206</f>
        <v/>
      </c>
      <c r="T213" s="7">
        <f>'1 datos preparados'!S206</f>
        <v/>
      </c>
      <c r="U213" s="7">
        <f>'1 datos preparados'!T206</f>
        <v/>
      </c>
      <c r="V213" s="8">
        <f>$AE$12+D213*$AE$13+E213*$AE$14+F213*$AE$15+G213*$AE$16+H213*$AE$17+I213*$AE$18+J213*$AE$19+K213*$AE$20+L213*$AE$21+M213*$AE$22+N213*$AE$23+O213*$AE$24+P213*$AE$25+Q213*$AE$26+R213*$AE$27+S213*$AE$28+T213*$AE$29+U213*$AE$30</f>
        <v/>
      </c>
      <c r="W213" s="8">
        <f>1/(1+EXP(-V213))</f>
        <v/>
      </c>
      <c r="X213" s="9">
        <f>-IF(C213=1,LN(W213),LN(1-W213))</f>
        <v/>
      </c>
      <c r="Y213" s="8">
        <f>IF(C213=1,$AE$32,$AE$33)</f>
        <v/>
      </c>
      <c r="Z213" s="9">
        <f>Y213*X213</f>
        <v/>
      </c>
      <c r="AA213" s="10">
        <f>IF(W213&gt;$AE$34,1,0)</f>
        <v/>
      </c>
      <c r="AB213">
        <f>IF(AA213=C213,1,0)</f>
        <v/>
      </c>
    </row>
    <row r="214">
      <c r="A214">
        <f>'1 datos preparados'!A207</f>
        <v/>
      </c>
      <c r="B214" s="5">
        <f>'1 datos preparados'!U207</f>
        <v/>
      </c>
      <c r="C214">
        <f>'1 datos preparados'!B207</f>
        <v/>
      </c>
      <c r="D214" s="7">
        <f>'1 datos preparados'!C207</f>
        <v/>
      </c>
      <c r="E214" s="7">
        <f>'1 datos preparados'!D207</f>
        <v/>
      </c>
      <c r="F214" s="7">
        <f>'1 datos preparados'!E207</f>
        <v/>
      </c>
      <c r="G214" s="7">
        <f>'1 datos preparados'!F207</f>
        <v/>
      </c>
      <c r="H214" s="7">
        <f>'1 datos preparados'!G207</f>
        <v/>
      </c>
      <c r="I214" s="7">
        <f>'1 datos preparados'!H207</f>
        <v/>
      </c>
      <c r="J214" s="7">
        <f>'1 datos preparados'!I207</f>
        <v/>
      </c>
      <c r="K214" s="7">
        <f>'1 datos preparados'!J207</f>
        <v/>
      </c>
      <c r="L214" s="7">
        <f>'1 datos preparados'!K207</f>
        <v/>
      </c>
      <c r="M214" s="7">
        <f>'1 datos preparados'!L207</f>
        <v/>
      </c>
      <c r="N214" s="7">
        <f>'1 datos preparados'!M207</f>
        <v/>
      </c>
      <c r="O214" s="7">
        <f>'1 datos preparados'!N207</f>
        <v/>
      </c>
      <c r="P214" s="7">
        <f>'1 datos preparados'!O207</f>
        <v/>
      </c>
      <c r="Q214" s="7">
        <f>'1 datos preparados'!P207</f>
        <v/>
      </c>
      <c r="R214" s="7">
        <f>'1 datos preparados'!Q207</f>
        <v/>
      </c>
      <c r="S214" s="7">
        <f>'1 datos preparados'!R207</f>
        <v/>
      </c>
      <c r="T214" s="7">
        <f>'1 datos preparados'!S207</f>
        <v/>
      </c>
      <c r="U214" s="7">
        <f>'1 datos preparados'!T207</f>
        <v/>
      </c>
      <c r="V214" s="8">
        <f>$AE$12+D214*$AE$13+E214*$AE$14+F214*$AE$15+G214*$AE$16+H214*$AE$17+I214*$AE$18+J214*$AE$19+K214*$AE$20+L214*$AE$21+M214*$AE$22+N214*$AE$23+O214*$AE$24+P214*$AE$25+Q214*$AE$26+R214*$AE$27+S214*$AE$28+T214*$AE$29+U214*$AE$30</f>
        <v/>
      </c>
      <c r="W214" s="8">
        <f>1/(1+EXP(-V214))</f>
        <v/>
      </c>
      <c r="X214" s="9">
        <f>-IF(C214=1,LN(W214),LN(1-W214))</f>
        <v/>
      </c>
      <c r="Y214" s="8">
        <f>IF(C214=1,$AE$32,$AE$33)</f>
        <v/>
      </c>
      <c r="Z214" s="9">
        <f>Y214*X214</f>
        <v/>
      </c>
      <c r="AA214" s="10">
        <f>IF(W214&gt;$AE$34,1,0)</f>
        <v/>
      </c>
      <c r="AB214">
        <f>IF(AA214=C214,1,0)</f>
        <v/>
      </c>
    </row>
    <row r="215">
      <c r="A215">
        <f>'1 datos preparados'!A208</f>
        <v/>
      </c>
      <c r="B215" s="5">
        <f>'1 datos preparados'!U208</f>
        <v/>
      </c>
      <c r="C215">
        <f>'1 datos preparados'!B208</f>
        <v/>
      </c>
      <c r="D215" s="7">
        <f>'1 datos preparados'!C208</f>
        <v/>
      </c>
      <c r="E215" s="7">
        <f>'1 datos preparados'!D208</f>
        <v/>
      </c>
      <c r="F215" s="7">
        <f>'1 datos preparados'!E208</f>
        <v/>
      </c>
      <c r="G215" s="7">
        <f>'1 datos preparados'!F208</f>
        <v/>
      </c>
      <c r="H215" s="7">
        <f>'1 datos preparados'!G208</f>
        <v/>
      </c>
      <c r="I215" s="7">
        <f>'1 datos preparados'!H208</f>
        <v/>
      </c>
      <c r="J215" s="7">
        <f>'1 datos preparados'!I208</f>
        <v/>
      </c>
      <c r="K215" s="7">
        <f>'1 datos preparados'!J208</f>
        <v/>
      </c>
      <c r="L215" s="7">
        <f>'1 datos preparados'!K208</f>
        <v/>
      </c>
      <c r="M215" s="7">
        <f>'1 datos preparados'!L208</f>
        <v/>
      </c>
      <c r="N215" s="7">
        <f>'1 datos preparados'!M208</f>
        <v/>
      </c>
      <c r="O215" s="7">
        <f>'1 datos preparados'!N208</f>
        <v/>
      </c>
      <c r="P215" s="7">
        <f>'1 datos preparados'!O208</f>
        <v/>
      </c>
      <c r="Q215" s="7">
        <f>'1 datos preparados'!P208</f>
        <v/>
      </c>
      <c r="R215" s="7">
        <f>'1 datos preparados'!Q208</f>
        <v/>
      </c>
      <c r="S215" s="7">
        <f>'1 datos preparados'!R208</f>
        <v/>
      </c>
      <c r="T215" s="7">
        <f>'1 datos preparados'!S208</f>
        <v/>
      </c>
      <c r="U215" s="7">
        <f>'1 datos preparados'!T208</f>
        <v/>
      </c>
      <c r="V215" s="8">
        <f>$AE$12+D215*$AE$13+E215*$AE$14+F215*$AE$15+G215*$AE$16+H215*$AE$17+I215*$AE$18+J215*$AE$19+K215*$AE$20+L215*$AE$21+M215*$AE$22+N215*$AE$23+O215*$AE$24+P215*$AE$25+Q215*$AE$26+R215*$AE$27+S215*$AE$28+T215*$AE$29+U215*$AE$30</f>
        <v/>
      </c>
      <c r="W215" s="8">
        <f>1/(1+EXP(-V215))</f>
        <v/>
      </c>
      <c r="X215" s="9">
        <f>-IF(C215=1,LN(W215),LN(1-W215))</f>
        <v/>
      </c>
      <c r="Y215" s="8">
        <f>IF(C215=1,$AE$32,$AE$33)</f>
        <v/>
      </c>
      <c r="Z215" s="9">
        <f>Y215*X215</f>
        <v/>
      </c>
      <c r="AA215" s="10">
        <f>IF(W215&gt;$AE$34,1,0)</f>
        <v/>
      </c>
      <c r="AB215">
        <f>IF(AA215=C215,1,0)</f>
        <v/>
      </c>
    </row>
    <row r="216">
      <c r="A216">
        <f>'1 datos preparados'!A209</f>
        <v/>
      </c>
      <c r="B216" s="5">
        <f>'1 datos preparados'!U209</f>
        <v/>
      </c>
      <c r="C216">
        <f>'1 datos preparados'!B209</f>
        <v/>
      </c>
      <c r="D216" s="7">
        <f>'1 datos preparados'!C209</f>
        <v/>
      </c>
      <c r="E216" s="7">
        <f>'1 datos preparados'!D209</f>
        <v/>
      </c>
      <c r="F216" s="7">
        <f>'1 datos preparados'!E209</f>
        <v/>
      </c>
      <c r="G216" s="7">
        <f>'1 datos preparados'!F209</f>
        <v/>
      </c>
      <c r="H216" s="7">
        <f>'1 datos preparados'!G209</f>
        <v/>
      </c>
      <c r="I216" s="7">
        <f>'1 datos preparados'!H209</f>
        <v/>
      </c>
      <c r="J216" s="7">
        <f>'1 datos preparados'!I209</f>
        <v/>
      </c>
      <c r="K216" s="7">
        <f>'1 datos preparados'!J209</f>
        <v/>
      </c>
      <c r="L216" s="7">
        <f>'1 datos preparados'!K209</f>
        <v/>
      </c>
      <c r="M216" s="7">
        <f>'1 datos preparados'!L209</f>
        <v/>
      </c>
      <c r="N216" s="7">
        <f>'1 datos preparados'!M209</f>
        <v/>
      </c>
      <c r="O216" s="7">
        <f>'1 datos preparados'!N209</f>
        <v/>
      </c>
      <c r="P216" s="7">
        <f>'1 datos preparados'!O209</f>
        <v/>
      </c>
      <c r="Q216" s="7">
        <f>'1 datos preparados'!P209</f>
        <v/>
      </c>
      <c r="R216" s="7">
        <f>'1 datos preparados'!Q209</f>
        <v/>
      </c>
      <c r="S216" s="7">
        <f>'1 datos preparados'!R209</f>
        <v/>
      </c>
      <c r="T216" s="7">
        <f>'1 datos preparados'!S209</f>
        <v/>
      </c>
      <c r="U216" s="7">
        <f>'1 datos preparados'!T209</f>
        <v/>
      </c>
      <c r="V216" s="8">
        <f>$AE$12+D216*$AE$13+E216*$AE$14+F216*$AE$15+G216*$AE$16+H216*$AE$17+I216*$AE$18+J216*$AE$19+K216*$AE$20+L216*$AE$21+M216*$AE$22+N216*$AE$23+O216*$AE$24+P216*$AE$25+Q216*$AE$26+R216*$AE$27+S216*$AE$28+T216*$AE$29+U216*$AE$30</f>
        <v/>
      </c>
      <c r="W216" s="8">
        <f>1/(1+EXP(-V216))</f>
        <v/>
      </c>
      <c r="X216" s="9">
        <f>-IF(C216=1,LN(W216),LN(1-W216))</f>
        <v/>
      </c>
      <c r="Y216" s="8">
        <f>IF(C216=1,$AE$32,$AE$33)</f>
        <v/>
      </c>
      <c r="Z216" s="9">
        <f>Y216*X216</f>
        <v/>
      </c>
      <c r="AA216" s="10">
        <f>IF(W216&gt;$AE$34,1,0)</f>
        <v/>
      </c>
      <c r="AB216">
        <f>IF(AA216=C216,1,0)</f>
        <v/>
      </c>
    </row>
    <row r="217">
      <c r="A217">
        <f>'1 datos preparados'!A210</f>
        <v/>
      </c>
      <c r="B217" s="5">
        <f>'1 datos preparados'!U210</f>
        <v/>
      </c>
      <c r="C217">
        <f>'1 datos preparados'!B210</f>
        <v/>
      </c>
      <c r="D217" s="7">
        <f>'1 datos preparados'!C210</f>
        <v/>
      </c>
      <c r="E217" s="7">
        <f>'1 datos preparados'!D210</f>
        <v/>
      </c>
      <c r="F217" s="7">
        <f>'1 datos preparados'!E210</f>
        <v/>
      </c>
      <c r="G217" s="7">
        <f>'1 datos preparados'!F210</f>
        <v/>
      </c>
      <c r="H217" s="7">
        <f>'1 datos preparados'!G210</f>
        <v/>
      </c>
      <c r="I217" s="7">
        <f>'1 datos preparados'!H210</f>
        <v/>
      </c>
      <c r="J217" s="7">
        <f>'1 datos preparados'!I210</f>
        <v/>
      </c>
      <c r="K217" s="7">
        <f>'1 datos preparados'!J210</f>
        <v/>
      </c>
      <c r="L217" s="7">
        <f>'1 datos preparados'!K210</f>
        <v/>
      </c>
      <c r="M217" s="7">
        <f>'1 datos preparados'!L210</f>
        <v/>
      </c>
      <c r="N217" s="7">
        <f>'1 datos preparados'!M210</f>
        <v/>
      </c>
      <c r="O217" s="7">
        <f>'1 datos preparados'!N210</f>
        <v/>
      </c>
      <c r="P217" s="7">
        <f>'1 datos preparados'!O210</f>
        <v/>
      </c>
      <c r="Q217" s="7">
        <f>'1 datos preparados'!P210</f>
        <v/>
      </c>
      <c r="R217" s="7">
        <f>'1 datos preparados'!Q210</f>
        <v/>
      </c>
      <c r="S217" s="7">
        <f>'1 datos preparados'!R210</f>
        <v/>
      </c>
      <c r="T217" s="7">
        <f>'1 datos preparados'!S210</f>
        <v/>
      </c>
      <c r="U217" s="7">
        <f>'1 datos preparados'!T210</f>
        <v/>
      </c>
      <c r="V217" s="8">
        <f>$AE$12+D217*$AE$13+E217*$AE$14+F217*$AE$15+G217*$AE$16+H217*$AE$17+I217*$AE$18+J217*$AE$19+K217*$AE$20+L217*$AE$21+M217*$AE$22+N217*$AE$23+O217*$AE$24+P217*$AE$25+Q217*$AE$26+R217*$AE$27+S217*$AE$28+T217*$AE$29+U217*$AE$30</f>
        <v/>
      </c>
      <c r="W217" s="8">
        <f>1/(1+EXP(-V217))</f>
        <v/>
      </c>
      <c r="X217" s="9">
        <f>-IF(C217=1,LN(W217),LN(1-W217))</f>
        <v/>
      </c>
      <c r="Y217" s="8">
        <f>IF(C217=1,$AE$32,$AE$33)</f>
        <v/>
      </c>
      <c r="Z217" s="9">
        <f>Y217*X217</f>
        <v/>
      </c>
      <c r="AA217" s="10">
        <f>IF(W217&gt;$AE$34,1,0)</f>
        <v/>
      </c>
      <c r="AB217">
        <f>IF(AA217=C217,1,0)</f>
        <v/>
      </c>
    </row>
    <row r="218">
      <c r="A218">
        <f>'1 datos preparados'!A211</f>
        <v/>
      </c>
      <c r="B218" s="5">
        <f>'1 datos preparados'!U211</f>
        <v/>
      </c>
      <c r="C218">
        <f>'1 datos preparados'!B211</f>
        <v/>
      </c>
      <c r="D218" s="7">
        <f>'1 datos preparados'!C211</f>
        <v/>
      </c>
      <c r="E218" s="7">
        <f>'1 datos preparados'!D211</f>
        <v/>
      </c>
      <c r="F218" s="7">
        <f>'1 datos preparados'!E211</f>
        <v/>
      </c>
      <c r="G218" s="7">
        <f>'1 datos preparados'!F211</f>
        <v/>
      </c>
      <c r="H218" s="7">
        <f>'1 datos preparados'!G211</f>
        <v/>
      </c>
      <c r="I218" s="7">
        <f>'1 datos preparados'!H211</f>
        <v/>
      </c>
      <c r="J218" s="7">
        <f>'1 datos preparados'!I211</f>
        <v/>
      </c>
      <c r="K218" s="7">
        <f>'1 datos preparados'!J211</f>
        <v/>
      </c>
      <c r="L218" s="7">
        <f>'1 datos preparados'!K211</f>
        <v/>
      </c>
      <c r="M218" s="7">
        <f>'1 datos preparados'!L211</f>
        <v/>
      </c>
      <c r="N218" s="7">
        <f>'1 datos preparados'!M211</f>
        <v/>
      </c>
      <c r="O218" s="7">
        <f>'1 datos preparados'!N211</f>
        <v/>
      </c>
      <c r="P218" s="7">
        <f>'1 datos preparados'!O211</f>
        <v/>
      </c>
      <c r="Q218" s="7">
        <f>'1 datos preparados'!P211</f>
        <v/>
      </c>
      <c r="R218" s="7">
        <f>'1 datos preparados'!Q211</f>
        <v/>
      </c>
      <c r="S218" s="7">
        <f>'1 datos preparados'!R211</f>
        <v/>
      </c>
      <c r="T218" s="7">
        <f>'1 datos preparados'!S211</f>
        <v/>
      </c>
      <c r="U218" s="7">
        <f>'1 datos preparados'!T211</f>
        <v/>
      </c>
      <c r="V218" s="8">
        <f>$AE$12+D218*$AE$13+E218*$AE$14+F218*$AE$15+G218*$AE$16+H218*$AE$17+I218*$AE$18+J218*$AE$19+K218*$AE$20+L218*$AE$21+M218*$AE$22+N218*$AE$23+O218*$AE$24+P218*$AE$25+Q218*$AE$26+R218*$AE$27+S218*$AE$28+T218*$AE$29+U218*$AE$30</f>
        <v/>
      </c>
      <c r="W218" s="8">
        <f>1/(1+EXP(-V218))</f>
        <v/>
      </c>
      <c r="X218" s="9">
        <f>-IF(C218=1,LN(W218),LN(1-W218))</f>
        <v/>
      </c>
      <c r="Y218" s="8">
        <f>IF(C218=1,$AE$32,$AE$33)</f>
        <v/>
      </c>
      <c r="Z218" s="9">
        <f>Y218*X218</f>
        <v/>
      </c>
      <c r="AA218" s="10">
        <f>IF(W218&gt;$AE$34,1,0)</f>
        <v/>
      </c>
      <c r="AB218">
        <f>IF(AA218=C218,1,0)</f>
        <v/>
      </c>
    </row>
    <row r="219">
      <c r="A219">
        <f>'1 datos preparados'!A212</f>
        <v/>
      </c>
      <c r="B219" s="5">
        <f>'1 datos preparados'!U212</f>
        <v/>
      </c>
      <c r="C219">
        <f>'1 datos preparados'!B212</f>
        <v/>
      </c>
      <c r="D219" s="7">
        <f>'1 datos preparados'!C212</f>
        <v/>
      </c>
      <c r="E219" s="7">
        <f>'1 datos preparados'!D212</f>
        <v/>
      </c>
      <c r="F219" s="7">
        <f>'1 datos preparados'!E212</f>
        <v/>
      </c>
      <c r="G219" s="7">
        <f>'1 datos preparados'!F212</f>
        <v/>
      </c>
      <c r="H219" s="7">
        <f>'1 datos preparados'!G212</f>
        <v/>
      </c>
      <c r="I219" s="7">
        <f>'1 datos preparados'!H212</f>
        <v/>
      </c>
      <c r="J219" s="7">
        <f>'1 datos preparados'!I212</f>
        <v/>
      </c>
      <c r="K219" s="7">
        <f>'1 datos preparados'!J212</f>
        <v/>
      </c>
      <c r="L219" s="7">
        <f>'1 datos preparados'!K212</f>
        <v/>
      </c>
      <c r="M219" s="7">
        <f>'1 datos preparados'!L212</f>
        <v/>
      </c>
      <c r="N219" s="7">
        <f>'1 datos preparados'!M212</f>
        <v/>
      </c>
      <c r="O219" s="7">
        <f>'1 datos preparados'!N212</f>
        <v/>
      </c>
      <c r="P219" s="7">
        <f>'1 datos preparados'!O212</f>
        <v/>
      </c>
      <c r="Q219" s="7">
        <f>'1 datos preparados'!P212</f>
        <v/>
      </c>
      <c r="R219" s="7">
        <f>'1 datos preparados'!Q212</f>
        <v/>
      </c>
      <c r="S219" s="7">
        <f>'1 datos preparados'!R212</f>
        <v/>
      </c>
      <c r="T219" s="7">
        <f>'1 datos preparados'!S212</f>
        <v/>
      </c>
      <c r="U219" s="7">
        <f>'1 datos preparados'!T212</f>
        <v/>
      </c>
      <c r="V219" s="8">
        <f>$AE$12+D219*$AE$13+E219*$AE$14+F219*$AE$15+G219*$AE$16+H219*$AE$17+I219*$AE$18+J219*$AE$19+K219*$AE$20+L219*$AE$21+M219*$AE$22+N219*$AE$23+O219*$AE$24+P219*$AE$25+Q219*$AE$26+R219*$AE$27+S219*$AE$28+T219*$AE$29+U219*$AE$30</f>
        <v/>
      </c>
      <c r="W219" s="8">
        <f>1/(1+EXP(-V219))</f>
        <v/>
      </c>
      <c r="X219" s="9">
        <f>-IF(C219=1,LN(W219),LN(1-W219))</f>
        <v/>
      </c>
      <c r="Y219" s="8">
        <f>IF(C219=1,$AE$32,$AE$33)</f>
        <v/>
      </c>
      <c r="Z219" s="9">
        <f>Y219*X219</f>
        <v/>
      </c>
      <c r="AA219" s="10">
        <f>IF(W219&gt;$AE$34,1,0)</f>
        <v/>
      </c>
      <c r="AB219">
        <f>IF(AA219=C219,1,0)</f>
        <v/>
      </c>
    </row>
    <row r="220">
      <c r="A220">
        <f>'1 datos preparados'!A213</f>
        <v/>
      </c>
      <c r="B220" s="5">
        <f>'1 datos preparados'!U213</f>
        <v/>
      </c>
      <c r="C220">
        <f>'1 datos preparados'!B213</f>
        <v/>
      </c>
      <c r="D220" s="7">
        <f>'1 datos preparados'!C213</f>
        <v/>
      </c>
      <c r="E220" s="7">
        <f>'1 datos preparados'!D213</f>
        <v/>
      </c>
      <c r="F220" s="7">
        <f>'1 datos preparados'!E213</f>
        <v/>
      </c>
      <c r="G220" s="7">
        <f>'1 datos preparados'!F213</f>
        <v/>
      </c>
      <c r="H220" s="7">
        <f>'1 datos preparados'!G213</f>
        <v/>
      </c>
      <c r="I220" s="7">
        <f>'1 datos preparados'!H213</f>
        <v/>
      </c>
      <c r="J220" s="7">
        <f>'1 datos preparados'!I213</f>
        <v/>
      </c>
      <c r="K220" s="7">
        <f>'1 datos preparados'!J213</f>
        <v/>
      </c>
      <c r="L220" s="7">
        <f>'1 datos preparados'!K213</f>
        <v/>
      </c>
      <c r="M220" s="7">
        <f>'1 datos preparados'!L213</f>
        <v/>
      </c>
      <c r="N220" s="7">
        <f>'1 datos preparados'!M213</f>
        <v/>
      </c>
      <c r="O220" s="7">
        <f>'1 datos preparados'!N213</f>
        <v/>
      </c>
      <c r="P220" s="7">
        <f>'1 datos preparados'!O213</f>
        <v/>
      </c>
      <c r="Q220" s="7">
        <f>'1 datos preparados'!P213</f>
        <v/>
      </c>
      <c r="R220" s="7">
        <f>'1 datos preparados'!Q213</f>
        <v/>
      </c>
      <c r="S220" s="7">
        <f>'1 datos preparados'!R213</f>
        <v/>
      </c>
      <c r="T220" s="7">
        <f>'1 datos preparados'!S213</f>
        <v/>
      </c>
      <c r="U220" s="7">
        <f>'1 datos preparados'!T213</f>
        <v/>
      </c>
      <c r="V220" s="8">
        <f>$AE$12+D220*$AE$13+E220*$AE$14+F220*$AE$15+G220*$AE$16+H220*$AE$17+I220*$AE$18+J220*$AE$19+K220*$AE$20+L220*$AE$21+M220*$AE$22+N220*$AE$23+O220*$AE$24+P220*$AE$25+Q220*$AE$26+R220*$AE$27+S220*$AE$28+T220*$AE$29+U220*$AE$30</f>
        <v/>
      </c>
      <c r="W220" s="8">
        <f>1/(1+EXP(-V220))</f>
        <v/>
      </c>
      <c r="X220" s="9">
        <f>-IF(C220=1,LN(W220),LN(1-W220))</f>
        <v/>
      </c>
      <c r="Y220" s="8">
        <f>IF(C220=1,$AE$32,$AE$33)</f>
        <v/>
      </c>
      <c r="Z220" s="9">
        <f>Y220*X220</f>
        <v/>
      </c>
      <c r="AA220" s="10">
        <f>IF(W220&gt;$AE$34,1,0)</f>
        <v/>
      </c>
      <c r="AB220">
        <f>IF(AA220=C220,1,0)</f>
        <v/>
      </c>
    </row>
    <row r="221">
      <c r="A221">
        <f>'1 datos preparados'!A214</f>
        <v/>
      </c>
      <c r="B221" s="5">
        <f>'1 datos preparados'!U214</f>
        <v/>
      </c>
      <c r="C221">
        <f>'1 datos preparados'!B214</f>
        <v/>
      </c>
      <c r="D221" s="7">
        <f>'1 datos preparados'!C214</f>
        <v/>
      </c>
      <c r="E221" s="7">
        <f>'1 datos preparados'!D214</f>
        <v/>
      </c>
      <c r="F221" s="7">
        <f>'1 datos preparados'!E214</f>
        <v/>
      </c>
      <c r="G221" s="7">
        <f>'1 datos preparados'!F214</f>
        <v/>
      </c>
      <c r="H221" s="7">
        <f>'1 datos preparados'!G214</f>
        <v/>
      </c>
      <c r="I221" s="7">
        <f>'1 datos preparados'!H214</f>
        <v/>
      </c>
      <c r="J221" s="7">
        <f>'1 datos preparados'!I214</f>
        <v/>
      </c>
      <c r="K221" s="7">
        <f>'1 datos preparados'!J214</f>
        <v/>
      </c>
      <c r="L221" s="7">
        <f>'1 datos preparados'!K214</f>
        <v/>
      </c>
      <c r="M221" s="7">
        <f>'1 datos preparados'!L214</f>
        <v/>
      </c>
      <c r="N221" s="7">
        <f>'1 datos preparados'!M214</f>
        <v/>
      </c>
      <c r="O221" s="7">
        <f>'1 datos preparados'!N214</f>
        <v/>
      </c>
      <c r="P221" s="7">
        <f>'1 datos preparados'!O214</f>
        <v/>
      </c>
      <c r="Q221" s="7">
        <f>'1 datos preparados'!P214</f>
        <v/>
      </c>
      <c r="R221" s="7">
        <f>'1 datos preparados'!Q214</f>
        <v/>
      </c>
      <c r="S221" s="7">
        <f>'1 datos preparados'!R214</f>
        <v/>
      </c>
      <c r="T221" s="7">
        <f>'1 datos preparados'!S214</f>
        <v/>
      </c>
      <c r="U221" s="7">
        <f>'1 datos preparados'!T214</f>
        <v/>
      </c>
      <c r="V221" s="8">
        <f>$AE$12+D221*$AE$13+E221*$AE$14+F221*$AE$15+G221*$AE$16+H221*$AE$17+I221*$AE$18+J221*$AE$19+K221*$AE$20+L221*$AE$21+M221*$AE$22+N221*$AE$23+O221*$AE$24+P221*$AE$25+Q221*$AE$26+R221*$AE$27+S221*$AE$28+T221*$AE$29+U221*$AE$30</f>
        <v/>
      </c>
      <c r="W221" s="8">
        <f>1/(1+EXP(-V221))</f>
        <v/>
      </c>
      <c r="X221" s="9">
        <f>-IF(C221=1,LN(W221),LN(1-W221))</f>
        <v/>
      </c>
      <c r="Y221" s="8">
        <f>IF(C221=1,$AE$32,$AE$33)</f>
        <v/>
      </c>
      <c r="Z221" s="9">
        <f>Y221*X221</f>
        <v/>
      </c>
      <c r="AA221" s="10">
        <f>IF(W221&gt;$AE$34,1,0)</f>
        <v/>
      </c>
      <c r="AB221">
        <f>IF(AA221=C221,1,0)</f>
        <v/>
      </c>
    </row>
    <row r="222">
      <c r="A222">
        <f>'1 datos preparados'!A215</f>
        <v/>
      </c>
      <c r="B222" s="5">
        <f>'1 datos preparados'!U215</f>
        <v/>
      </c>
      <c r="C222">
        <f>'1 datos preparados'!B215</f>
        <v/>
      </c>
      <c r="D222" s="7">
        <f>'1 datos preparados'!C215</f>
        <v/>
      </c>
      <c r="E222" s="7">
        <f>'1 datos preparados'!D215</f>
        <v/>
      </c>
      <c r="F222" s="7">
        <f>'1 datos preparados'!E215</f>
        <v/>
      </c>
      <c r="G222" s="7">
        <f>'1 datos preparados'!F215</f>
        <v/>
      </c>
      <c r="H222" s="7">
        <f>'1 datos preparados'!G215</f>
        <v/>
      </c>
      <c r="I222" s="7">
        <f>'1 datos preparados'!H215</f>
        <v/>
      </c>
      <c r="J222" s="7">
        <f>'1 datos preparados'!I215</f>
        <v/>
      </c>
      <c r="K222" s="7">
        <f>'1 datos preparados'!J215</f>
        <v/>
      </c>
      <c r="L222" s="7">
        <f>'1 datos preparados'!K215</f>
        <v/>
      </c>
      <c r="M222" s="7">
        <f>'1 datos preparados'!L215</f>
        <v/>
      </c>
      <c r="N222" s="7">
        <f>'1 datos preparados'!M215</f>
        <v/>
      </c>
      <c r="O222" s="7">
        <f>'1 datos preparados'!N215</f>
        <v/>
      </c>
      <c r="P222" s="7">
        <f>'1 datos preparados'!O215</f>
        <v/>
      </c>
      <c r="Q222" s="7">
        <f>'1 datos preparados'!P215</f>
        <v/>
      </c>
      <c r="R222" s="7">
        <f>'1 datos preparados'!Q215</f>
        <v/>
      </c>
      <c r="S222" s="7">
        <f>'1 datos preparados'!R215</f>
        <v/>
      </c>
      <c r="T222" s="7">
        <f>'1 datos preparados'!S215</f>
        <v/>
      </c>
      <c r="U222" s="7">
        <f>'1 datos preparados'!T215</f>
        <v/>
      </c>
      <c r="V222" s="8">
        <f>$AE$12+D222*$AE$13+E222*$AE$14+F222*$AE$15+G222*$AE$16+H222*$AE$17+I222*$AE$18+J222*$AE$19+K222*$AE$20+L222*$AE$21+M222*$AE$22+N222*$AE$23+O222*$AE$24+P222*$AE$25+Q222*$AE$26+R222*$AE$27+S222*$AE$28+T222*$AE$29+U222*$AE$30</f>
        <v/>
      </c>
      <c r="W222" s="8">
        <f>1/(1+EXP(-V222))</f>
        <v/>
      </c>
      <c r="X222" s="9">
        <f>-IF(C222=1,LN(W222),LN(1-W222))</f>
        <v/>
      </c>
      <c r="Y222" s="8">
        <f>IF(C222=1,$AE$32,$AE$33)</f>
        <v/>
      </c>
      <c r="Z222" s="9">
        <f>Y222*X222</f>
        <v/>
      </c>
      <c r="AA222" s="10">
        <f>IF(W222&gt;$AE$34,1,0)</f>
        <v/>
      </c>
      <c r="AB222">
        <f>IF(AA222=C222,1,0)</f>
        <v/>
      </c>
    </row>
    <row r="223">
      <c r="A223">
        <f>'1 datos preparados'!A216</f>
        <v/>
      </c>
      <c r="B223" s="5">
        <f>'1 datos preparados'!U216</f>
        <v/>
      </c>
      <c r="C223">
        <f>'1 datos preparados'!B216</f>
        <v/>
      </c>
      <c r="D223" s="7">
        <f>'1 datos preparados'!C216</f>
        <v/>
      </c>
      <c r="E223" s="7">
        <f>'1 datos preparados'!D216</f>
        <v/>
      </c>
      <c r="F223" s="7">
        <f>'1 datos preparados'!E216</f>
        <v/>
      </c>
      <c r="G223" s="7">
        <f>'1 datos preparados'!F216</f>
        <v/>
      </c>
      <c r="H223" s="7">
        <f>'1 datos preparados'!G216</f>
        <v/>
      </c>
      <c r="I223" s="7">
        <f>'1 datos preparados'!H216</f>
        <v/>
      </c>
      <c r="J223" s="7">
        <f>'1 datos preparados'!I216</f>
        <v/>
      </c>
      <c r="K223" s="7">
        <f>'1 datos preparados'!J216</f>
        <v/>
      </c>
      <c r="L223" s="7">
        <f>'1 datos preparados'!K216</f>
        <v/>
      </c>
      <c r="M223" s="7">
        <f>'1 datos preparados'!L216</f>
        <v/>
      </c>
      <c r="N223" s="7">
        <f>'1 datos preparados'!M216</f>
        <v/>
      </c>
      <c r="O223" s="7">
        <f>'1 datos preparados'!N216</f>
        <v/>
      </c>
      <c r="P223" s="7">
        <f>'1 datos preparados'!O216</f>
        <v/>
      </c>
      <c r="Q223" s="7">
        <f>'1 datos preparados'!P216</f>
        <v/>
      </c>
      <c r="R223" s="7">
        <f>'1 datos preparados'!Q216</f>
        <v/>
      </c>
      <c r="S223" s="7">
        <f>'1 datos preparados'!R216</f>
        <v/>
      </c>
      <c r="T223" s="7">
        <f>'1 datos preparados'!S216</f>
        <v/>
      </c>
      <c r="U223" s="7">
        <f>'1 datos preparados'!T216</f>
        <v/>
      </c>
      <c r="V223" s="8">
        <f>$AE$12+D223*$AE$13+E223*$AE$14+F223*$AE$15+G223*$AE$16+H223*$AE$17+I223*$AE$18+J223*$AE$19+K223*$AE$20+L223*$AE$21+M223*$AE$22+N223*$AE$23+O223*$AE$24+P223*$AE$25+Q223*$AE$26+R223*$AE$27+S223*$AE$28+T223*$AE$29+U223*$AE$30</f>
        <v/>
      </c>
      <c r="W223" s="8">
        <f>1/(1+EXP(-V223))</f>
        <v/>
      </c>
      <c r="X223" s="9">
        <f>-IF(C223=1,LN(W223),LN(1-W223))</f>
        <v/>
      </c>
      <c r="Y223" s="8">
        <f>IF(C223=1,$AE$32,$AE$33)</f>
        <v/>
      </c>
      <c r="Z223" s="9">
        <f>Y223*X223</f>
        <v/>
      </c>
      <c r="AA223" s="10">
        <f>IF(W223&gt;$AE$34,1,0)</f>
        <v/>
      </c>
      <c r="AB223">
        <f>IF(AA223=C223,1,0)</f>
        <v/>
      </c>
    </row>
    <row r="224">
      <c r="A224">
        <f>'1 datos preparados'!A217</f>
        <v/>
      </c>
      <c r="B224" s="5">
        <f>'1 datos preparados'!U217</f>
        <v/>
      </c>
      <c r="C224">
        <f>'1 datos preparados'!B217</f>
        <v/>
      </c>
      <c r="D224" s="7">
        <f>'1 datos preparados'!C217</f>
        <v/>
      </c>
      <c r="E224" s="7">
        <f>'1 datos preparados'!D217</f>
        <v/>
      </c>
      <c r="F224" s="7">
        <f>'1 datos preparados'!E217</f>
        <v/>
      </c>
      <c r="G224" s="7">
        <f>'1 datos preparados'!F217</f>
        <v/>
      </c>
      <c r="H224" s="7">
        <f>'1 datos preparados'!G217</f>
        <v/>
      </c>
      <c r="I224" s="7">
        <f>'1 datos preparados'!H217</f>
        <v/>
      </c>
      <c r="J224" s="7">
        <f>'1 datos preparados'!I217</f>
        <v/>
      </c>
      <c r="K224" s="7">
        <f>'1 datos preparados'!J217</f>
        <v/>
      </c>
      <c r="L224" s="7">
        <f>'1 datos preparados'!K217</f>
        <v/>
      </c>
      <c r="M224" s="7">
        <f>'1 datos preparados'!L217</f>
        <v/>
      </c>
      <c r="N224" s="7">
        <f>'1 datos preparados'!M217</f>
        <v/>
      </c>
      <c r="O224" s="7">
        <f>'1 datos preparados'!N217</f>
        <v/>
      </c>
      <c r="P224" s="7">
        <f>'1 datos preparados'!O217</f>
        <v/>
      </c>
      <c r="Q224" s="7">
        <f>'1 datos preparados'!P217</f>
        <v/>
      </c>
      <c r="R224" s="7">
        <f>'1 datos preparados'!Q217</f>
        <v/>
      </c>
      <c r="S224" s="7">
        <f>'1 datos preparados'!R217</f>
        <v/>
      </c>
      <c r="T224" s="7">
        <f>'1 datos preparados'!S217</f>
        <v/>
      </c>
      <c r="U224" s="7">
        <f>'1 datos preparados'!T217</f>
        <v/>
      </c>
      <c r="V224" s="8">
        <f>$AE$12+D224*$AE$13+E224*$AE$14+F224*$AE$15+G224*$AE$16+H224*$AE$17+I224*$AE$18+J224*$AE$19+K224*$AE$20+L224*$AE$21+M224*$AE$22+N224*$AE$23+O224*$AE$24+P224*$AE$25+Q224*$AE$26+R224*$AE$27+S224*$AE$28+T224*$AE$29+U224*$AE$30</f>
        <v/>
      </c>
      <c r="W224" s="8">
        <f>1/(1+EXP(-V224))</f>
        <v/>
      </c>
      <c r="X224" s="9">
        <f>-IF(C224=1,LN(W224),LN(1-W224))</f>
        <v/>
      </c>
      <c r="Y224" s="8">
        <f>IF(C224=1,$AE$32,$AE$33)</f>
        <v/>
      </c>
      <c r="Z224" s="9">
        <f>Y224*X224</f>
        <v/>
      </c>
      <c r="AA224" s="10">
        <f>IF(W224&gt;$AE$34,1,0)</f>
        <v/>
      </c>
      <c r="AB224">
        <f>IF(AA224=C224,1,0)</f>
        <v/>
      </c>
    </row>
    <row r="225">
      <c r="A225">
        <f>'1 datos preparados'!A218</f>
        <v/>
      </c>
      <c r="B225" s="5">
        <f>'1 datos preparados'!U218</f>
        <v/>
      </c>
      <c r="C225">
        <f>'1 datos preparados'!B218</f>
        <v/>
      </c>
      <c r="D225" s="7">
        <f>'1 datos preparados'!C218</f>
        <v/>
      </c>
      <c r="E225" s="7">
        <f>'1 datos preparados'!D218</f>
        <v/>
      </c>
      <c r="F225" s="7">
        <f>'1 datos preparados'!E218</f>
        <v/>
      </c>
      <c r="G225" s="7">
        <f>'1 datos preparados'!F218</f>
        <v/>
      </c>
      <c r="H225" s="7">
        <f>'1 datos preparados'!G218</f>
        <v/>
      </c>
      <c r="I225" s="7">
        <f>'1 datos preparados'!H218</f>
        <v/>
      </c>
      <c r="J225" s="7">
        <f>'1 datos preparados'!I218</f>
        <v/>
      </c>
      <c r="K225" s="7">
        <f>'1 datos preparados'!J218</f>
        <v/>
      </c>
      <c r="L225" s="7">
        <f>'1 datos preparados'!K218</f>
        <v/>
      </c>
      <c r="M225" s="7">
        <f>'1 datos preparados'!L218</f>
        <v/>
      </c>
      <c r="N225" s="7">
        <f>'1 datos preparados'!M218</f>
        <v/>
      </c>
      <c r="O225" s="7">
        <f>'1 datos preparados'!N218</f>
        <v/>
      </c>
      <c r="P225" s="7">
        <f>'1 datos preparados'!O218</f>
        <v/>
      </c>
      <c r="Q225" s="7">
        <f>'1 datos preparados'!P218</f>
        <v/>
      </c>
      <c r="R225" s="7">
        <f>'1 datos preparados'!Q218</f>
        <v/>
      </c>
      <c r="S225" s="7">
        <f>'1 datos preparados'!R218</f>
        <v/>
      </c>
      <c r="T225" s="7">
        <f>'1 datos preparados'!S218</f>
        <v/>
      </c>
      <c r="U225" s="7">
        <f>'1 datos preparados'!T218</f>
        <v/>
      </c>
      <c r="V225" s="8">
        <f>$AE$12+D225*$AE$13+E225*$AE$14+F225*$AE$15+G225*$AE$16+H225*$AE$17+I225*$AE$18+J225*$AE$19+K225*$AE$20+L225*$AE$21+M225*$AE$22+N225*$AE$23+O225*$AE$24+P225*$AE$25+Q225*$AE$26+R225*$AE$27+S225*$AE$28+T225*$AE$29+U225*$AE$30</f>
        <v/>
      </c>
      <c r="W225" s="8">
        <f>1/(1+EXP(-V225))</f>
        <v/>
      </c>
      <c r="X225" s="9">
        <f>-IF(C225=1,LN(W225),LN(1-W225))</f>
        <v/>
      </c>
      <c r="Y225" s="8">
        <f>IF(C225=1,$AE$32,$AE$33)</f>
        <v/>
      </c>
      <c r="Z225" s="9">
        <f>Y225*X225</f>
        <v/>
      </c>
      <c r="AA225" s="10">
        <f>IF(W225&gt;$AE$34,1,0)</f>
        <v/>
      </c>
      <c r="AB225">
        <f>IF(AA225=C225,1,0)</f>
        <v/>
      </c>
    </row>
    <row r="226">
      <c r="A226">
        <f>'1 datos preparados'!A219</f>
        <v/>
      </c>
      <c r="B226" s="5">
        <f>'1 datos preparados'!U219</f>
        <v/>
      </c>
      <c r="C226">
        <f>'1 datos preparados'!B219</f>
        <v/>
      </c>
      <c r="D226" s="7">
        <f>'1 datos preparados'!C219</f>
        <v/>
      </c>
      <c r="E226" s="7">
        <f>'1 datos preparados'!D219</f>
        <v/>
      </c>
      <c r="F226" s="7">
        <f>'1 datos preparados'!E219</f>
        <v/>
      </c>
      <c r="G226" s="7">
        <f>'1 datos preparados'!F219</f>
        <v/>
      </c>
      <c r="H226" s="7">
        <f>'1 datos preparados'!G219</f>
        <v/>
      </c>
      <c r="I226" s="7">
        <f>'1 datos preparados'!H219</f>
        <v/>
      </c>
      <c r="J226" s="7">
        <f>'1 datos preparados'!I219</f>
        <v/>
      </c>
      <c r="K226" s="7">
        <f>'1 datos preparados'!J219</f>
        <v/>
      </c>
      <c r="L226" s="7">
        <f>'1 datos preparados'!K219</f>
        <v/>
      </c>
      <c r="M226" s="7">
        <f>'1 datos preparados'!L219</f>
        <v/>
      </c>
      <c r="N226" s="7">
        <f>'1 datos preparados'!M219</f>
        <v/>
      </c>
      <c r="O226" s="7">
        <f>'1 datos preparados'!N219</f>
        <v/>
      </c>
      <c r="P226" s="7">
        <f>'1 datos preparados'!O219</f>
        <v/>
      </c>
      <c r="Q226" s="7">
        <f>'1 datos preparados'!P219</f>
        <v/>
      </c>
      <c r="R226" s="7">
        <f>'1 datos preparados'!Q219</f>
        <v/>
      </c>
      <c r="S226" s="7">
        <f>'1 datos preparados'!R219</f>
        <v/>
      </c>
      <c r="T226" s="7">
        <f>'1 datos preparados'!S219</f>
        <v/>
      </c>
      <c r="U226" s="7">
        <f>'1 datos preparados'!T219</f>
        <v/>
      </c>
      <c r="V226" s="8">
        <f>$AE$12+D226*$AE$13+E226*$AE$14+F226*$AE$15+G226*$AE$16+H226*$AE$17+I226*$AE$18+J226*$AE$19+K226*$AE$20+L226*$AE$21+M226*$AE$22+N226*$AE$23+O226*$AE$24+P226*$AE$25+Q226*$AE$26+R226*$AE$27+S226*$AE$28+T226*$AE$29+U226*$AE$30</f>
        <v/>
      </c>
      <c r="W226" s="8">
        <f>1/(1+EXP(-V226))</f>
        <v/>
      </c>
      <c r="X226" s="9">
        <f>-IF(C226=1,LN(W226),LN(1-W226))</f>
        <v/>
      </c>
      <c r="Y226" s="8">
        <f>IF(C226=1,$AE$32,$AE$33)</f>
        <v/>
      </c>
      <c r="Z226" s="9">
        <f>Y226*X226</f>
        <v/>
      </c>
      <c r="AA226" s="10">
        <f>IF(W226&gt;$AE$34,1,0)</f>
        <v/>
      </c>
      <c r="AB226">
        <f>IF(AA226=C226,1,0)</f>
        <v/>
      </c>
    </row>
    <row r="227">
      <c r="A227">
        <f>'1 datos preparados'!A220</f>
        <v/>
      </c>
      <c r="B227" s="5">
        <f>'1 datos preparados'!U220</f>
        <v/>
      </c>
      <c r="C227">
        <f>'1 datos preparados'!B220</f>
        <v/>
      </c>
      <c r="D227" s="7">
        <f>'1 datos preparados'!C220</f>
        <v/>
      </c>
      <c r="E227" s="7">
        <f>'1 datos preparados'!D220</f>
        <v/>
      </c>
      <c r="F227" s="7">
        <f>'1 datos preparados'!E220</f>
        <v/>
      </c>
      <c r="G227" s="7">
        <f>'1 datos preparados'!F220</f>
        <v/>
      </c>
      <c r="H227" s="7">
        <f>'1 datos preparados'!G220</f>
        <v/>
      </c>
      <c r="I227" s="7">
        <f>'1 datos preparados'!H220</f>
        <v/>
      </c>
      <c r="J227" s="7">
        <f>'1 datos preparados'!I220</f>
        <v/>
      </c>
      <c r="K227" s="7">
        <f>'1 datos preparados'!J220</f>
        <v/>
      </c>
      <c r="L227" s="7">
        <f>'1 datos preparados'!K220</f>
        <v/>
      </c>
      <c r="M227" s="7">
        <f>'1 datos preparados'!L220</f>
        <v/>
      </c>
      <c r="N227" s="7">
        <f>'1 datos preparados'!M220</f>
        <v/>
      </c>
      <c r="O227" s="7">
        <f>'1 datos preparados'!N220</f>
        <v/>
      </c>
      <c r="P227" s="7">
        <f>'1 datos preparados'!O220</f>
        <v/>
      </c>
      <c r="Q227" s="7">
        <f>'1 datos preparados'!P220</f>
        <v/>
      </c>
      <c r="R227" s="7">
        <f>'1 datos preparados'!Q220</f>
        <v/>
      </c>
      <c r="S227" s="7">
        <f>'1 datos preparados'!R220</f>
        <v/>
      </c>
      <c r="T227" s="7">
        <f>'1 datos preparados'!S220</f>
        <v/>
      </c>
      <c r="U227" s="7">
        <f>'1 datos preparados'!T220</f>
        <v/>
      </c>
      <c r="V227" s="8">
        <f>$AE$12+D227*$AE$13+E227*$AE$14+F227*$AE$15+G227*$AE$16+H227*$AE$17+I227*$AE$18+J227*$AE$19+K227*$AE$20+L227*$AE$21+M227*$AE$22+N227*$AE$23+O227*$AE$24+P227*$AE$25+Q227*$AE$26+R227*$AE$27+S227*$AE$28+T227*$AE$29+U227*$AE$30</f>
        <v/>
      </c>
      <c r="W227" s="8">
        <f>1/(1+EXP(-V227))</f>
        <v/>
      </c>
      <c r="X227" s="9">
        <f>-IF(C227=1,LN(W227),LN(1-W227))</f>
        <v/>
      </c>
      <c r="Y227" s="8">
        <f>IF(C227=1,$AE$32,$AE$33)</f>
        <v/>
      </c>
      <c r="Z227" s="9">
        <f>Y227*X227</f>
        <v/>
      </c>
      <c r="AA227" s="10">
        <f>IF(W227&gt;$AE$34,1,0)</f>
        <v/>
      </c>
      <c r="AB227">
        <f>IF(AA227=C227,1,0)</f>
        <v/>
      </c>
    </row>
    <row r="228">
      <c r="A228">
        <f>'1 datos preparados'!A221</f>
        <v/>
      </c>
      <c r="B228" s="5">
        <f>'1 datos preparados'!U221</f>
        <v/>
      </c>
      <c r="C228">
        <f>'1 datos preparados'!B221</f>
        <v/>
      </c>
      <c r="D228" s="7">
        <f>'1 datos preparados'!C221</f>
        <v/>
      </c>
      <c r="E228" s="7">
        <f>'1 datos preparados'!D221</f>
        <v/>
      </c>
      <c r="F228" s="7">
        <f>'1 datos preparados'!E221</f>
        <v/>
      </c>
      <c r="G228" s="7">
        <f>'1 datos preparados'!F221</f>
        <v/>
      </c>
      <c r="H228" s="7">
        <f>'1 datos preparados'!G221</f>
        <v/>
      </c>
      <c r="I228" s="7">
        <f>'1 datos preparados'!H221</f>
        <v/>
      </c>
      <c r="J228" s="7">
        <f>'1 datos preparados'!I221</f>
        <v/>
      </c>
      <c r="K228" s="7">
        <f>'1 datos preparados'!J221</f>
        <v/>
      </c>
      <c r="L228" s="7">
        <f>'1 datos preparados'!K221</f>
        <v/>
      </c>
      <c r="M228" s="7">
        <f>'1 datos preparados'!L221</f>
        <v/>
      </c>
      <c r="N228" s="7">
        <f>'1 datos preparados'!M221</f>
        <v/>
      </c>
      <c r="O228" s="7">
        <f>'1 datos preparados'!N221</f>
        <v/>
      </c>
      <c r="P228" s="7">
        <f>'1 datos preparados'!O221</f>
        <v/>
      </c>
      <c r="Q228" s="7">
        <f>'1 datos preparados'!P221</f>
        <v/>
      </c>
      <c r="R228" s="7">
        <f>'1 datos preparados'!Q221</f>
        <v/>
      </c>
      <c r="S228" s="7">
        <f>'1 datos preparados'!R221</f>
        <v/>
      </c>
      <c r="T228" s="7">
        <f>'1 datos preparados'!S221</f>
        <v/>
      </c>
      <c r="U228" s="7">
        <f>'1 datos preparados'!T221</f>
        <v/>
      </c>
      <c r="V228" s="8">
        <f>$AE$12+D228*$AE$13+E228*$AE$14+F228*$AE$15+G228*$AE$16+H228*$AE$17+I228*$AE$18+J228*$AE$19+K228*$AE$20+L228*$AE$21+M228*$AE$22+N228*$AE$23+O228*$AE$24+P228*$AE$25+Q228*$AE$26+R228*$AE$27+S228*$AE$28+T228*$AE$29+U228*$AE$30</f>
        <v/>
      </c>
      <c r="W228" s="8">
        <f>1/(1+EXP(-V228))</f>
        <v/>
      </c>
      <c r="X228" s="9">
        <f>-IF(C228=1,LN(W228),LN(1-W228))</f>
        <v/>
      </c>
      <c r="Y228" s="8">
        <f>IF(C228=1,$AE$32,$AE$33)</f>
        <v/>
      </c>
      <c r="Z228" s="9">
        <f>Y228*X228</f>
        <v/>
      </c>
      <c r="AA228" s="10">
        <f>IF(W228&gt;$AE$34,1,0)</f>
        <v/>
      </c>
      <c r="AB228">
        <f>IF(AA228=C228,1,0)</f>
        <v/>
      </c>
    </row>
    <row r="229">
      <c r="A229">
        <f>'1 datos preparados'!A222</f>
        <v/>
      </c>
      <c r="B229" s="5">
        <f>'1 datos preparados'!U222</f>
        <v/>
      </c>
      <c r="C229">
        <f>'1 datos preparados'!B222</f>
        <v/>
      </c>
      <c r="D229" s="7">
        <f>'1 datos preparados'!C222</f>
        <v/>
      </c>
      <c r="E229" s="7">
        <f>'1 datos preparados'!D222</f>
        <v/>
      </c>
      <c r="F229" s="7">
        <f>'1 datos preparados'!E222</f>
        <v/>
      </c>
      <c r="G229" s="7">
        <f>'1 datos preparados'!F222</f>
        <v/>
      </c>
      <c r="H229" s="7">
        <f>'1 datos preparados'!G222</f>
        <v/>
      </c>
      <c r="I229" s="7">
        <f>'1 datos preparados'!H222</f>
        <v/>
      </c>
      <c r="J229" s="7">
        <f>'1 datos preparados'!I222</f>
        <v/>
      </c>
      <c r="K229" s="7">
        <f>'1 datos preparados'!J222</f>
        <v/>
      </c>
      <c r="L229" s="7">
        <f>'1 datos preparados'!K222</f>
        <v/>
      </c>
      <c r="M229" s="7">
        <f>'1 datos preparados'!L222</f>
        <v/>
      </c>
      <c r="N229" s="7">
        <f>'1 datos preparados'!M222</f>
        <v/>
      </c>
      <c r="O229" s="7">
        <f>'1 datos preparados'!N222</f>
        <v/>
      </c>
      <c r="P229" s="7">
        <f>'1 datos preparados'!O222</f>
        <v/>
      </c>
      <c r="Q229" s="7">
        <f>'1 datos preparados'!P222</f>
        <v/>
      </c>
      <c r="R229" s="7">
        <f>'1 datos preparados'!Q222</f>
        <v/>
      </c>
      <c r="S229" s="7">
        <f>'1 datos preparados'!R222</f>
        <v/>
      </c>
      <c r="T229" s="7">
        <f>'1 datos preparados'!S222</f>
        <v/>
      </c>
      <c r="U229" s="7">
        <f>'1 datos preparados'!T222</f>
        <v/>
      </c>
      <c r="V229" s="8">
        <f>$AE$12+D229*$AE$13+E229*$AE$14+F229*$AE$15+G229*$AE$16+H229*$AE$17+I229*$AE$18+J229*$AE$19+K229*$AE$20+L229*$AE$21+M229*$AE$22+N229*$AE$23+O229*$AE$24+P229*$AE$25+Q229*$AE$26+R229*$AE$27+S229*$AE$28+T229*$AE$29+U229*$AE$30</f>
        <v/>
      </c>
      <c r="W229" s="8">
        <f>1/(1+EXP(-V229))</f>
        <v/>
      </c>
      <c r="X229" s="9">
        <f>-IF(C229=1,LN(W229),LN(1-W229))</f>
        <v/>
      </c>
      <c r="Y229" s="8">
        <f>IF(C229=1,$AE$32,$AE$33)</f>
        <v/>
      </c>
      <c r="Z229" s="9">
        <f>Y229*X229</f>
        <v/>
      </c>
      <c r="AA229" s="10">
        <f>IF(W229&gt;$AE$34,1,0)</f>
        <v/>
      </c>
      <c r="AB229">
        <f>IF(AA229=C229,1,0)</f>
        <v/>
      </c>
    </row>
    <row r="230">
      <c r="A230">
        <f>'1 datos preparados'!A223</f>
        <v/>
      </c>
      <c r="B230" s="5">
        <f>'1 datos preparados'!U223</f>
        <v/>
      </c>
      <c r="C230">
        <f>'1 datos preparados'!B223</f>
        <v/>
      </c>
      <c r="D230" s="7">
        <f>'1 datos preparados'!C223</f>
        <v/>
      </c>
      <c r="E230" s="7">
        <f>'1 datos preparados'!D223</f>
        <v/>
      </c>
      <c r="F230" s="7">
        <f>'1 datos preparados'!E223</f>
        <v/>
      </c>
      <c r="G230" s="7">
        <f>'1 datos preparados'!F223</f>
        <v/>
      </c>
      <c r="H230" s="7">
        <f>'1 datos preparados'!G223</f>
        <v/>
      </c>
      <c r="I230" s="7">
        <f>'1 datos preparados'!H223</f>
        <v/>
      </c>
      <c r="J230" s="7">
        <f>'1 datos preparados'!I223</f>
        <v/>
      </c>
      <c r="K230" s="7">
        <f>'1 datos preparados'!J223</f>
        <v/>
      </c>
      <c r="L230" s="7">
        <f>'1 datos preparados'!K223</f>
        <v/>
      </c>
      <c r="M230" s="7">
        <f>'1 datos preparados'!L223</f>
        <v/>
      </c>
      <c r="N230" s="7">
        <f>'1 datos preparados'!M223</f>
        <v/>
      </c>
      <c r="O230" s="7">
        <f>'1 datos preparados'!N223</f>
        <v/>
      </c>
      <c r="P230" s="7">
        <f>'1 datos preparados'!O223</f>
        <v/>
      </c>
      <c r="Q230" s="7">
        <f>'1 datos preparados'!P223</f>
        <v/>
      </c>
      <c r="R230" s="7">
        <f>'1 datos preparados'!Q223</f>
        <v/>
      </c>
      <c r="S230" s="7">
        <f>'1 datos preparados'!R223</f>
        <v/>
      </c>
      <c r="T230" s="7">
        <f>'1 datos preparados'!S223</f>
        <v/>
      </c>
      <c r="U230" s="7">
        <f>'1 datos preparados'!T223</f>
        <v/>
      </c>
      <c r="V230" s="8">
        <f>$AE$12+D230*$AE$13+E230*$AE$14+F230*$AE$15+G230*$AE$16+H230*$AE$17+I230*$AE$18+J230*$AE$19+K230*$AE$20+L230*$AE$21+M230*$AE$22+N230*$AE$23+O230*$AE$24+P230*$AE$25+Q230*$AE$26+R230*$AE$27+S230*$AE$28+T230*$AE$29+U230*$AE$30</f>
        <v/>
      </c>
      <c r="W230" s="8">
        <f>1/(1+EXP(-V230))</f>
        <v/>
      </c>
      <c r="X230" s="9">
        <f>-IF(C230=1,LN(W230),LN(1-W230))</f>
        <v/>
      </c>
      <c r="Y230" s="8">
        <f>IF(C230=1,$AE$32,$AE$33)</f>
        <v/>
      </c>
      <c r="Z230" s="9">
        <f>Y230*X230</f>
        <v/>
      </c>
      <c r="AA230" s="10">
        <f>IF(W230&gt;$AE$34,1,0)</f>
        <v/>
      </c>
      <c r="AB230">
        <f>IF(AA230=C230,1,0)</f>
        <v/>
      </c>
    </row>
    <row r="231">
      <c r="A231">
        <f>'1 datos preparados'!A224</f>
        <v/>
      </c>
      <c r="B231" s="5">
        <f>'1 datos preparados'!U224</f>
        <v/>
      </c>
      <c r="C231">
        <f>'1 datos preparados'!B224</f>
        <v/>
      </c>
      <c r="D231" s="7">
        <f>'1 datos preparados'!C224</f>
        <v/>
      </c>
      <c r="E231" s="7">
        <f>'1 datos preparados'!D224</f>
        <v/>
      </c>
      <c r="F231" s="7">
        <f>'1 datos preparados'!E224</f>
        <v/>
      </c>
      <c r="G231" s="7">
        <f>'1 datos preparados'!F224</f>
        <v/>
      </c>
      <c r="H231" s="7">
        <f>'1 datos preparados'!G224</f>
        <v/>
      </c>
      <c r="I231" s="7">
        <f>'1 datos preparados'!H224</f>
        <v/>
      </c>
      <c r="J231" s="7">
        <f>'1 datos preparados'!I224</f>
        <v/>
      </c>
      <c r="K231" s="7">
        <f>'1 datos preparados'!J224</f>
        <v/>
      </c>
      <c r="L231" s="7">
        <f>'1 datos preparados'!K224</f>
        <v/>
      </c>
      <c r="M231" s="7">
        <f>'1 datos preparados'!L224</f>
        <v/>
      </c>
      <c r="N231" s="7">
        <f>'1 datos preparados'!M224</f>
        <v/>
      </c>
      <c r="O231" s="7">
        <f>'1 datos preparados'!N224</f>
        <v/>
      </c>
      <c r="P231" s="7">
        <f>'1 datos preparados'!O224</f>
        <v/>
      </c>
      <c r="Q231" s="7">
        <f>'1 datos preparados'!P224</f>
        <v/>
      </c>
      <c r="R231" s="7">
        <f>'1 datos preparados'!Q224</f>
        <v/>
      </c>
      <c r="S231" s="7">
        <f>'1 datos preparados'!R224</f>
        <v/>
      </c>
      <c r="T231" s="7">
        <f>'1 datos preparados'!S224</f>
        <v/>
      </c>
      <c r="U231" s="7">
        <f>'1 datos preparados'!T224</f>
        <v/>
      </c>
      <c r="V231" s="8">
        <f>$AE$12+D231*$AE$13+E231*$AE$14+F231*$AE$15+G231*$AE$16+H231*$AE$17+I231*$AE$18+J231*$AE$19+K231*$AE$20+L231*$AE$21+M231*$AE$22+N231*$AE$23+O231*$AE$24+P231*$AE$25+Q231*$AE$26+R231*$AE$27+S231*$AE$28+T231*$AE$29+U231*$AE$30</f>
        <v/>
      </c>
      <c r="W231" s="8">
        <f>1/(1+EXP(-V231))</f>
        <v/>
      </c>
      <c r="X231" s="9">
        <f>-IF(C231=1,LN(W231),LN(1-W231))</f>
        <v/>
      </c>
      <c r="Y231" s="8">
        <f>IF(C231=1,$AE$32,$AE$33)</f>
        <v/>
      </c>
      <c r="Z231" s="9">
        <f>Y231*X231</f>
        <v/>
      </c>
      <c r="AA231" s="10">
        <f>IF(W231&gt;$AE$34,1,0)</f>
        <v/>
      </c>
      <c r="AB231">
        <f>IF(AA231=C231,1,0)</f>
        <v/>
      </c>
    </row>
    <row r="232">
      <c r="A232">
        <f>'1 datos preparados'!A225</f>
        <v/>
      </c>
      <c r="B232" s="5">
        <f>'1 datos preparados'!U225</f>
        <v/>
      </c>
      <c r="C232">
        <f>'1 datos preparados'!B225</f>
        <v/>
      </c>
      <c r="D232" s="7">
        <f>'1 datos preparados'!C225</f>
        <v/>
      </c>
      <c r="E232" s="7">
        <f>'1 datos preparados'!D225</f>
        <v/>
      </c>
      <c r="F232" s="7">
        <f>'1 datos preparados'!E225</f>
        <v/>
      </c>
      <c r="G232" s="7">
        <f>'1 datos preparados'!F225</f>
        <v/>
      </c>
      <c r="H232" s="7">
        <f>'1 datos preparados'!G225</f>
        <v/>
      </c>
      <c r="I232" s="7">
        <f>'1 datos preparados'!H225</f>
        <v/>
      </c>
      <c r="J232" s="7">
        <f>'1 datos preparados'!I225</f>
        <v/>
      </c>
      <c r="K232" s="7">
        <f>'1 datos preparados'!J225</f>
        <v/>
      </c>
      <c r="L232" s="7">
        <f>'1 datos preparados'!K225</f>
        <v/>
      </c>
      <c r="M232" s="7">
        <f>'1 datos preparados'!L225</f>
        <v/>
      </c>
      <c r="N232" s="7">
        <f>'1 datos preparados'!M225</f>
        <v/>
      </c>
      <c r="O232" s="7">
        <f>'1 datos preparados'!N225</f>
        <v/>
      </c>
      <c r="P232" s="7">
        <f>'1 datos preparados'!O225</f>
        <v/>
      </c>
      <c r="Q232" s="7">
        <f>'1 datos preparados'!P225</f>
        <v/>
      </c>
      <c r="R232" s="7">
        <f>'1 datos preparados'!Q225</f>
        <v/>
      </c>
      <c r="S232" s="7">
        <f>'1 datos preparados'!R225</f>
        <v/>
      </c>
      <c r="T232" s="7">
        <f>'1 datos preparados'!S225</f>
        <v/>
      </c>
      <c r="U232" s="7">
        <f>'1 datos preparados'!T225</f>
        <v/>
      </c>
      <c r="V232" s="8">
        <f>$AE$12+D232*$AE$13+E232*$AE$14+F232*$AE$15+G232*$AE$16+H232*$AE$17+I232*$AE$18+J232*$AE$19+K232*$AE$20+L232*$AE$21+M232*$AE$22+N232*$AE$23+O232*$AE$24+P232*$AE$25+Q232*$AE$26+R232*$AE$27+S232*$AE$28+T232*$AE$29+U232*$AE$30</f>
        <v/>
      </c>
      <c r="W232" s="8">
        <f>1/(1+EXP(-V232))</f>
        <v/>
      </c>
      <c r="X232" s="9">
        <f>-IF(C232=1,LN(W232),LN(1-W232))</f>
        <v/>
      </c>
      <c r="Y232" s="8">
        <f>IF(C232=1,$AE$32,$AE$33)</f>
        <v/>
      </c>
      <c r="Z232" s="9">
        <f>Y232*X232</f>
        <v/>
      </c>
      <c r="AA232" s="10">
        <f>IF(W232&gt;$AE$34,1,0)</f>
        <v/>
      </c>
      <c r="AB232">
        <f>IF(AA232=C232,1,0)</f>
        <v/>
      </c>
    </row>
    <row r="233">
      <c r="A233">
        <f>'1 datos preparados'!A226</f>
        <v/>
      </c>
      <c r="B233" s="5">
        <f>'1 datos preparados'!U226</f>
        <v/>
      </c>
      <c r="C233">
        <f>'1 datos preparados'!B226</f>
        <v/>
      </c>
      <c r="D233" s="7">
        <f>'1 datos preparados'!C226</f>
        <v/>
      </c>
      <c r="E233" s="7">
        <f>'1 datos preparados'!D226</f>
        <v/>
      </c>
      <c r="F233" s="7">
        <f>'1 datos preparados'!E226</f>
        <v/>
      </c>
      <c r="G233" s="7">
        <f>'1 datos preparados'!F226</f>
        <v/>
      </c>
      <c r="H233" s="7">
        <f>'1 datos preparados'!G226</f>
        <v/>
      </c>
      <c r="I233" s="7">
        <f>'1 datos preparados'!H226</f>
        <v/>
      </c>
      <c r="J233" s="7">
        <f>'1 datos preparados'!I226</f>
        <v/>
      </c>
      <c r="K233" s="7">
        <f>'1 datos preparados'!J226</f>
        <v/>
      </c>
      <c r="L233" s="7">
        <f>'1 datos preparados'!K226</f>
        <v/>
      </c>
      <c r="M233" s="7">
        <f>'1 datos preparados'!L226</f>
        <v/>
      </c>
      <c r="N233" s="7">
        <f>'1 datos preparados'!M226</f>
        <v/>
      </c>
      <c r="O233" s="7">
        <f>'1 datos preparados'!N226</f>
        <v/>
      </c>
      <c r="P233" s="7">
        <f>'1 datos preparados'!O226</f>
        <v/>
      </c>
      <c r="Q233" s="7">
        <f>'1 datos preparados'!P226</f>
        <v/>
      </c>
      <c r="R233" s="7">
        <f>'1 datos preparados'!Q226</f>
        <v/>
      </c>
      <c r="S233" s="7">
        <f>'1 datos preparados'!R226</f>
        <v/>
      </c>
      <c r="T233" s="7">
        <f>'1 datos preparados'!S226</f>
        <v/>
      </c>
      <c r="U233" s="7">
        <f>'1 datos preparados'!T226</f>
        <v/>
      </c>
      <c r="V233" s="8">
        <f>$AE$12+D233*$AE$13+E233*$AE$14+F233*$AE$15+G233*$AE$16+H233*$AE$17+I233*$AE$18+J233*$AE$19+K233*$AE$20+L233*$AE$21+M233*$AE$22+N233*$AE$23+O233*$AE$24+P233*$AE$25+Q233*$AE$26+R233*$AE$27+S233*$AE$28+T233*$AE$29+U233*$AE$30</f>
        <v/>
      </c>
      <c r="W233" s="8">
        <f>1/(1+EXP(-V233))</f>
        <v/>
      </c>
      <c r="X233" s="9">
        <f>-IF(C233=1,LN(W233),LN(1-W233))</f>
        <v/>
      </c>
      <c r="Y233" s="8">
        <f>IF(C233=1,$AE$32,$AE$33)</f>
        <v/>
      </c>
      <c r="Z233" s="9">
        <f>Y233*X233</f>
        <v/>
      </c>
      <c r="AA233" s="10">
        <f>IF(W233&gt;$AE$34,1,0)</f>
        <v/>
      </c>
      <c r="AB233">
        <f>IF(AA233=C233,1,0)</f>
        <v/>
      </c>
    </row>
    <row r="234">
      <c r="A234">
        <f>'1 datos preparados'!A227</f>
        <v/>
      </c>
      <c r="B234" s="5">
        <f>'1 datos preparados'!U227</f>
        <v/>
      </c>
      <c r="C234">
        <f>'1 datos preparados'!B227</f>
        <v/>
      </c>
      <c r="D234" s="7">
        <f>'1 datos preparados'!C227</f>
        <v/>
      </c>
      <c r="E234" s="7">
        <f>'1 datos preparados'!D227</f>
        <v/>
      </c>
      <c r="F234" s="7">
        <f>'1 datos preparados'!E227</f>
        <v/>
      </c>
      <c r="G234" s="7">
        <f>'1 datos preparados'!F227</f>
        <v/>
      </c>
      <c r="H234" s="7">
        <f>'1 datos preparados'!G227</f>
        <v/>
      </c>
      <c r="I234" s="7">
        <f>'1 datos preparados'!H227</f>
        <v/>
      </c>
      <c r="J234" s="7">
        <f>'1 datos preparados'!I227</f>
        <v/>
      </c>
      <c r="K234" s="7">
        <f>'1 datos preparados'!J227</f>
        <v/>
      </c>
      <c r="L234" s="7">
        <f>'1 datos preparados'!K227</f>
        <v/>
      </c>
      <c r="M234" s="7">
        <f>'1 datos preparados'!L227</f>
        <v/>
      </c>
      <c r="N234" s="7">
        <f>'1 datos preparados'!M227</f>
        <v/>
      </c>
      <c r="O234" s="7">
        <f>'1 datos preparados'!N227</f>
        <v/>
      </c>
      <c r="P234" s="7">
        <f>'1 datos preparados'!O227</f>
        <v/>
      </c>
      <c r="Q234" s="7">
        <f>'1 datos preparados'!P227</f>
        <v/>
      </c>
      <c r="R234" s="7">
        <f>'1 datos preparados'!Q227</f>
        <v/>
      </c>
      <c r="S234" s="7">
        <f>'1 datos preparados'!R227</f>
        <v/>
      </c>
      <c r="T234" s="7">
        <f>'1 datos preparados'!S227</f>
        <v/>
      </c>
      <c r="U234" s="7">
        <f>'1 datos preparados'!T227</f>
        <v/>
      </c>
      <c r="V234" s="8">
        <f>$AE$12+D234*$AE$13+E234*$AE$14+F234*$AE$15+G234*$AE$16+H234*$AE$17+I234*$AE$18+J234*$AE$19+K234*$AE$20+L234*$AE$21+M234*$AE$22+N234*$AE$23+O234*$AE$24+P234*$AE$25+Q234*$AE$26+R234*$AE$27+S234*$AE$28+T234*$AE$29+U234*$AE$30</f>
        <v/>
      </c>
      <c r="W234" s="8">
        <f>1/(1+EXP(-V234))</f>
        <v/>
      </c>
      <c r="X234" s="9">
        <f>-IF(C234=1,LN(W234),LN(1-W234))</f>
        <v/>
      </c>
      <c r="Y234" s="8">
        <f>IF(C234=1,$AE$32,$AE$33)</f>
        <v/>
      </c>
      <c r="Z234" s="9">
        <f>Y234*X234</f>
        <v/>
      </c>
      <c r="AA234" s="10">
        <f>IF(W234&gt;$AE$34,1,0)</f>
        <v/>
      </c>
      <c r="AB234">
        <f>IF(AA234=C234,1,0)</f>
        <v/>
      </c>
    </row>
    <row r="235">
      <c r="A235">
        <f>'1 datos preparados'!A228</f>
        <v/>
      </c>
      <c r="B235" s="5">
        <f>'1 datos preparados'!U228</f>
        <v/>
      </c>
      <c r="C235">
        <f>'1 datos preparados'!B228</f>
        <v/>
      </c>
      <c r="D235" s="7">
        <f>'1 datos preparados'!C228</f>
        <v/>
      </c>
      <c r="E235" s="7">
        <f>'1 datos preparados'!D228</f>
        <v/>
      </c>
      <c r="F235" s="7">
        <f>'1 datos preparados'!E228</f>
        <v/>
      </c>
      <c r="G235" s="7">
        <f>'1 datos preparados'!F228</f>
        <v/>
      </c>
      <c r="H235" s="7">
        <f>'1 datos preparados'!G228</f>
        <v/>
      </c>
      <c r="I235" s="7">
        <f>'1 datos preparados'!H228</f>
        <v/>
      </c>
      <c r="J235" s="7">
        <f>'1 datos preparados'!I228</f>
        <v/>
      </c>
      <c r="K235" s="7">
        <f>'1 datos preparados'!J228</f>
        <v/>
      </c>
      <c r="L235" s="7">
        <f>'1 datos preparados'!K228</f>
        <v/>
      </c>
      <c r="M235" s="7">
        <f>'1 datos preparados'!L228</f>
        <v/>
      </c>
      <c r="N235" s="7">
        <f>'1 datos preparados'!M228</f>
        <v/>
      </c>
      <c r="O235" s="7">
        <f>'1 datos preparados'!N228</f>
        <v/>
      </c>
      <c r="P235" s="7">
        <f>'1 datos preparados'!O228</f>
        <v/>
      </c>
      <c r="Q235" s="7">
        <f>'1 datos preparados'!P228</f>
        <v/>
      </c>
      <c r="R235" s="7">
        <f>'1 datos preparados'!Q228</f>
        <v/>
      </c>
      <c r="S235" s="7">
        <f>'1 datos preparados'!R228</f>
        <v/>
      </c>
      <c r="T235" s="7">
        <f>'1 datos preparados'!S228</f>
        <v/>
      </c>
      <c r="U235" s="7">
        <f>'1 datos preparados'!T228</f>
        <v/>
      </c>
      <c r="V235" s="8">
        <f>$AE$12+D235*$AE$13+E235*$AE$14+F235*$AE$15+G235*$AE$16+H235*$AE$17+I235*$AE$18+J235*$AE$19+K235*$AE$20+L235*$AE$21+M235*$AE$22+N235*$AE$23+O235*$AE$24+P235*$AE$25+Q235*$AE$26+R235*$AE$27+S235*$AE$28+T235*$AE$29+U235*$AE$30</f>
        <v/>
      </c>
      <c r="W235" s="8">
        <f>1/(1+EXP(-V235))</f>
        <v/>
      </c>
      <c r="X235" s="9">
        <f>-IF(C235=1,LN(W235),LN(1-W235))</f>
        <v/>
      </c>
      <c r="Y235" s="8">
        <f>IF(C235=1,$AE$32,$AE$33)</f>
        <v/>
      </c>
      <c r="Z235" s="9">
        <f>Y235*X235</f>
        <v/>
      </c>
      <c r="AA235" s="10">
        <f>IF(W235&gt;$AE$34,1,0)</f>
        <v/>
      </c>
      <c r="AB235">
        <f>IF(AA235=C235,1,0)</f>
        <v/>
      </c>
    </row>
    <row r="236">
      <c r="A236">
        <f>'1 datos preparados'!A229</f>
        <v/>
      </c>
      <c r="B236" s="5">
        <f>'1 datos preparados'!U229</f>
        <v/>
      </c>
      <c r="C236">
        <f>'1 datos preparados'!B229</f>
        <v/>
      </c>
      <c r="D236" s="7">
        <f>'1 datos preparados'!C229</f>
        <v/>
      </c>
      <c r="E236" s="7">
        <f>'1 datos preparados'!D229</f>
        <v/>
      </c>
      <c r="F236" s="7">
        <f>'1 datos preparados'!E229</f>
        <v/>
      </c>
      <c r="G236" s="7">
        <f>'1 datos preparados'!F229</f>
        <v/>
      </c>
      <c r="H236" s="7">
        <f>'1 datos preparados'!G229</f>
        <v/>
      </c>
      <c r="I236" s="7">
        <f>'1 datos preparados'!H229</f>
        <v/>
      </c>
      <c r="J236" s="7">
        <f>'1 datos preparados'!I229</f>
        <v/>
      </c>
      <c r="K236" s="7">
        <f>'1 datos preparados'!J229</f>
        <v/>
      </c>
      <c r="L236" s="7">
        <f>'1 datos preparados'!K229</f>
        <v/>
      </c>
      <c r="M236" s="7">
        <f>'1 datos preparados'!L229</f>
        <v/>
      </c>
      <c r="N236" s="7">
        <f>'1 datos preparados'!M229</f>
        <v/>
      </c>
      <c r="O236" s="7">
        <f>'1 datos preparados'!N229</f>
        <v/>
      </c>
      <c r="P236" s="7">
        <f>'1 datos preparados'!O229</f>
        <v/>
      </c>
      <c r="Q236" s="7">
        <f>'1 datos preparados'!P229</f>
        <v/>
      </c>
      <c r="R236" s="7">
        <f>'1 datos preparados'!Q229</f>
        <v/>
      </c>
      <c r="S236" s="7">
        <f>'1 datos preparados'!R229</f>
        <v/>
      </c>
      <c r="T236" s="7">
        <f>'1 datos preparados'!S229</f>
        <v/>
      </c>
      <c r="U236" s="7">
        <f>'1 datos preparados'!T229</f>
        <v/>
      </c>
      <c r="V236" s="8">
        <f>$AE$12+D236*$AE$13+E236*$AE$14+F236*$AE$15+G236*$AE$16+H236*$AE$17+I236*$AE$18+J236*$AE$19+K236*$AE$20+L236*$AE$21+M236*$AE$22+N236*$AE$23+O236*$AE$24+P236*$AE$25+Q236*$AE$26+R236*$AE$27+S236*$AE$28+T236*$AE$29+U236*$AE$30</f>
        <v/>
      </c>
      <c r="W236" s="8">
        <f>1/(1+EXP(-V236))</f>
        <v/>
      </c>
      <c r="X236" s="9">
        <f>-IF(C236=1,LN(W236),LN(1-W236))</f>
        <v/>
      </c>
      <c r="Y236" s="8">
        <f>IF(C236=1,$AE$32,$AE$33)</f>
        <v/>
      </c>
      <c r="Z236" s="9">
        <f>Y236*X236</f>
        <v/>
      </c>
      <c r="AA236" s="10">
        <f>IF(W236&gt;$AE$34,1,0)</f>
        <v/>
      </c>
      <c r="AB236">
        <f>IF(AA236=C236,1,0)</f>
        <v/>
      </c>
    </row>
    <row r="237">
      <c r="A237">
        <f>'1 datos preparados'!A230</f>
        <v/>
      </c>
      <c r="B237" s="5">
        <f>'1 datos preparados'!U230</f>
        <v/>
      </c>
      <c r="C237">
        <f>'1 datos preparados'!B230</f>
        <v/>
      </c>
      <c r="D237" s="7">
        <f>'1 datos preparados'!C230</f>
        <v/>
      </c>
      <c r="E237" s="7">
        <f>'1 datos preparados'!D230</f>
        <v/>
      </c>
      <c r="F237" s="7">
        <f>'1 datos preparados'!E230</f>
        <v/>
      </c>
      <c r="G237" s="7">
        <f>'1 datos preparados'!F230</f>
        <v/>
      </c>
      <c r="H237" s="7">
        <f>'1 datos preparados'!G230</f>
        <v/>
      </c>
      <c r="I237" s="7">
        <f>'1 datos preparados'!H230</f>
        <v/>
      </c>
      <c r="J237" s="7">
        <f>'1 datos preparados'!I230</f>
        <v/>
      </c>
      <c r="K237" s="7">
        <f>'1 datos preparados'!J230</f>
        <v/>
      </c>
      <c r="L237" s="7">
        <f>'1 datos preparados'!K230</f>
        <v/>
      </c>
      <c r="M237" s="7">
        <f>'1 datos preparados'!L230</f>
        <v/>
      </c>
      <c r="N237" s="7">
        <f>'1 datos preparados'!M230</f>
        <v/>
      </c>
      <c r="O237" s="7">
        <f>'1 datos preparados'!N230</f>
        <v/>
      </c>
      <c r="P237" s="7">
        <f>'1 datos preparados'!O230</f>
        <v/>
      </c>
      <c r="Q237" s="7">
        <f>'1 datos preparados'!P230</f>
        <v/>
      </c>
      <c r="R237" s="7">
        <f>'1 datos preparados'!Q230</f>
        <v/>
      </c>
      <c r="S237" s="7">
        <f>'1 datos preparados'!R230</f>
        <v/>
      </c>
      <c r="T237" s="7">
        <f>'1 datos preparados'!S230</f>
        <v/>
      </c>
      <c r="U237" s="7">
        <f>'1 datos preparados'!T230</f>
        <v/>
      </c>
      <c r="V237" s="8">
        <f>$AE$12+D237*$AE$13+E237*$AE$14+F237*$AE$15+G237*$AE$16+H237*$AE$17+I237*$AE$18+J237*$AE$19+K237*$AE$20+L237*$AE$21+M237*$AE$22+N237*$AE$23+O237*$AE$24+P237*$AE$25+Q237*$AE$26+R237*$AE$27+S237*$AE$28+T237*$AE$29+U237*$AE$30</f>
        <v/>
      </c>
      <c r="W237" s="8">
        <f>1/(1+EXP(-V237))</f>
        <v/>
      </c>
      <c r="X237" s="9">
        <f>-IF(C237=1,LN(W237),LN(1-W237))</f>
        <v/>
      </c>
      <c r="Y237" s="8">
        <f>IF(C237=1,$AE$32,$AE$33)</f>
        <v/>
      </c>
      <c r="Z237" s="9">
        <f>Y237*X237</f>
        <v/>
      </c>
      <c r="AA237" s="10">
        <f>IF(W237&gt;$AE$34,1,0)</f>
        <v/>
      </c>
      <c r="AB237">
        <f>IF(AA237=C237,1,0)</f>
        <v/>
      </c>
    </row>
    <row r="238">
      <c r="A238">
        <f>'1 datos preparados'!A231</f>
        <v/>
      </c>
      <c r="B238" s="5">
        <f>'1 datos preparados'!U231</f>
        <v/>
      </c>
      <c r="C238">
        <f>'1 datos preparados'!B231</f>
        <v/>
      </c>
      <c r="D238" s="7">
        <f>'1 datos preparados'!C231</f>
        <v/>
      </c>
      <c r="E238" s="7">
        <f>'1 datos preparados'!D231</f>
        <v/>
      </c>
      <c r="F238" s="7">
        <f>'1 datos preparados'!E231</f>
        <v/>
      </c>
      <c r="G238" s="7">
        <f>'1 datos preparados'!F231</f>
        <v/>
      </c>
      <c r="H238" s="7">
        <f>'1 datos preparados'!G231</f>
        <v/>
      </c>
      <c r="I238" s="7">
        <f>'1 datos preparados'!H231</f>
        <v/>
      </c>
      <c r="J238" s="7">
        <f>'1 datos preparados'!I231</f>
        <v/>
      </c>
      <c r="K238" s="7">
        <f>'1 datos preparados'!J231</f>
        <v/>
      </c>
      <c r="L238" s="7">
        <f>'1 datos preparados'!K231</f>
        <v/>
      </c>
      <c r="M238" s="7">
        <f>'1 datos preparados'!L231</f>
        <v/>
      </c>
      <c r="N238" s="7">
        <f>'1 datos preparados'!M231</f>
        <v/>
      </c>
      <c r="O238" s="7">
        <f>'1 datos preparados'!N231</f>
        <v/>
      </c>
      <c r="P238" s="7">
        <f>'1 datos preparados'!O231</f>
        <v/>
      </c>
      <c r="Q238" s="7">
        <f>'1 datos preparados'!P231</f>
        <v/>
      </c>
      <c r="R238" s="7">
        <f>'1 datos preparados'!Q231</f>
        <v/>
      </c>
      <c r="S238" s="7">
        <f>'1 datos preparados'!R231</f>
        <v/>
      </c>
      <c r="T238" s="7">
        <f>'1 datos preparados'!S231</f>
        <v/>
      </c>
      <c r="U238" s="7">
        <f>'1 datos preparados'!T231</f>
        <v/>
      </c>
      <c r="V238" s="8">
        <f>$AE$12+D238*$AE$13+E238*$AE$14+F238*$AE$15+G238*$AE$16+H238*$AE$17+I238*$AE$18+J238*$AE$19+K238*$AE$20+L238*$AE$21+M238*$AE$22+N238*$AE$23+O238*$AE$24+P238*$AE$25+Q238*$AE$26+R238*$AE$27+S238*$AE$28+T238*$AE$29+U238*$AE$30</f>
        <v/>
      </c>
      <c r="W238" s="8">
        <f>1/(1+EXP(-V238))</f>
        <v/>
      </c>
      <c r="X238" s="9">
        <f>-IF(C238=1,LN(W238),LN(1-W238))</f>
        <v/>
      </c>
      <c r="Y238" s="8">
        <f>IF(C238=1,$AE$32,$AE$33)</f>
        <v/>
      </c>
      <c r="Z238" s="9">
        <f>Y238*X238</f>
        <v/>
      </c>
      <c r="AA238" s="10">
        <f>IF(W238&gt;$AE$34,1,0)</f>
        <v/>
      </c>
      <c r="AB238">
        <f>IF(AA238=C238,1,0)</f>
        <v/>
      </c>
    </row>
    <row r="239">
      <c r="A239">
        <f>'1 datos preparados'!A232</f>
        <v/>
      </c>
      <c r="B239" s="5">
        <f>'1 datos preparados'!U232</f>
        <v/>
      </c>
      <c r="C239">
        <f>'1 datos preparados'!B232</f>
        <v/>
      </c>
      <c r="D239" s="7">
        <f>'1 datos preparados'!C232</f>
        <v/>
      </c>
      <c r="E239" s="7">
        <f>'1 datos preparados'!D232</f>
        <v/>
      </c>
      <c r="F239" s="7">
        <f>'1 datos preparados'!E232</f>
        <v/>
      </c>
      <c r="G239" s="7">
        <f>'1 datos preparados'!F232</f>
        <v/>
      </c>
      <c r="H239" s="7">
        <f>'1 datos preparados'!G232</f>
        <v/>
      </c>
      <c r="I239" s="7">
        <f>'1 datos preparados'!H232</f>
        <v/>
      </c>
      <c r="J239" s="7">
        <f>'1 datos preparados'!I232</f>
        <v/>
      </c>
      <c r="K239" s="7">
        <f>'1 datos preparados'!J232</f>
        <v/>
      </c>
      <c r="L239" s="7">
        <f>'1 datos preparados'!K232</f>
        <v/>
      </c>
      <c r="M239" s="7">
        <f>'1 datos preparados'!L232</f>
        <v/>
      </c>
      <c r="N239" s="7">
        <f>'1 datos preparados'!M232</f>
        <v/>
      </c>
      <c r="O239" s="7">
        <f>'1 datos preparados'!N232</f>
        <v/>
      </c>
      <c r="P239" s="7">
        <f>'1 datos preparados'!O232</f>
        <v/>
      </c>
      <c r="Q239" s="7">
        <f>'1 datos preparados'!P232</f>
        <v/>
      </c>
      <c r="R239" s="7">
        <f>'1 datos preparados'!Q232</f>
        <v/>
      </c>
      <c r="S239" s="7">
        <f>'1 datos preparados'!R232</f>
        <v/>
      </c>
      <c r="T239" s="7">
        <f>'1 datos preparados'!S232</f>
        <v/>
      </c>
      <c r="U239" s="7">
        <f>'1 datos preparados'!T232</f>
        <v/>
      </c>
      <c r="V239" s="8">
        <f>$AE$12+D239*$AE$13+E239*$AE$14+F239*$AE$15+G239*$AE$16+H239*$AE$17+I239*$AE$18+J239*$AE$19+K239*$AE$20+L239*$AE$21+M239*$AE$22+N239*$AE$23+O239*$AE$24+P239*$AE$25+Q239*$AE$26+R239*$AE$27+S239*$AE$28+T239*$AE$29+U239*$AE$30</f>
        <v/>
      </c>
      <c r="W239" s="8">
        <f>1/(1+EXP(-V239))</f>
        <v/>
      </c>
      <c r="X239" s="9">
        <f>-IF(C239=1,LN(W239),LN(1-W239))</f>
        <v/>
      </c>
      <c r="Y239" s="8">
        <f>IF(C239=1,$AE$32,$AE$33)</f>
        <v/>
      </c>
      <c r="Z239" s="9">
        <f>Y239*X239</f>
        <v/>
      </c>
      <c r="AA239" s="10">
        <f>IF(W239&gt;$AE$34,1,0)</f>
        <v/>
      </c>
      <c r="AB239">
        <f>IF(AA239=C239,1,0)</f>
        <v/>
      </c>
    </row>
    <row r="240">
      <c r="A240">
        <f>'1 datos preparados'!A233</f>
        <v/>
      </c>
      <c r="B240" s="5">
        <f>'1 datos preparados'!U233</f>
        <v/>
      </c>
      <c r="C240">
        <f>'1 datos preparados'!B233</f>
        <v/>
      </c>
      <c r="D240" s="7">
        <f>'1 datos preparados'!C233</f>
        <v/>
      </c>
      <c r="E240" s="7">
        <f>'1 datos preparados'!D233</f>
        <v/>
      </c>
      <c r="F240" s="7">
        <f>'1 datos preparados'!E233</f>
        <v/>
      </c>
      <c r="G240" s="7">
        <f>'1 datos preparados'!F233</f>
        <v/>
      </c>
      <c r="H240" s="7">
        <f>'1 datos preparados'!G233</f>
        <v/>
      </c>
      <c r="I240" s="7">
        <f>'1 datos preparados'!H233</f>
        <v/>
      </c>
      <c r="J240" s="7">
        <f>'1 datos preparados'!I233</f>
        <v/>
      </c>
      <c r="K240" s="7">
        <f>'1 datos preparados'!J233</f>
        <v/>
      </c>
      <c r="L240" s="7">
        <f>'1 datos preparados'!K233</f>
        <v/>
      </c>
      <c r="M240" s="7">
        <f>'1 datos preparados'!L233</f>
        <v/>
      </c>
      <c r="N240" s="7">
        <f>'1 datos preparados'!M233</f>
        <v/>
      </c>
      <c r="O240" s="7">
        <f>'1 datos preparados'!N233</f>
        <v/>
      </c>
      <c r="P240" s="7">
        <f>'1 datos preparados'!O233</f>
        <v/>
      </c>
      <c r="Q240" s="7">
        <f>'1 datos preparados'!P233</f>
        <v/>
      </c>
      <c r="R240" s="7">
        <f>'1 datos preparados'!Q233</f>
        <v/>
      </c>
      <c r="S240" s="7">
        <f>'1 datos preparados'!R233</f>
        <v/>
      </c>
      <c r="T240" s="7">
        <f>'1 datos preparados'!S233</f>
        <v/>
      </c>
      <c r="U240" s="7">
        <f>'1 datos preparados'!T233</f>
        <v/>
      </c>
      <c r="V240" s="8">
        <f>$AE$12+D240*$AE$13+E240*$AE$14+F240*$AE$15+G240*$AE$16+H240*$AE$17+I240*$AE$18+J240*$AE$19+K240*$AE$20+L240*$AE$21+M240*$AE$22+N240*$AE$23+O240*$AE$24+P240*$AE$25+Q240*$AE$26+R240*$AE$27+S240*$AE$28+T240*$AE$29+U240*$AE$30</f>
        <v/>
      </c>
      <c r="W240" s="8">
        <f>1/(1+EXP(-V240))</f>
        <v/>
      </c>
      <c r="X240" s="9">
        <f>-IF(C240=1,LN(W240),LN(1-W240))</f>
        <v/>
      </c>
      <c r="Y240" s="8">
        <f>IF(C240=1,$AE$32,$AE$33)</f>
        <v/>
      </c>
      <c r="Z240" s="9">
        <f>Y240*X240</f>
        <v/>
      </c>
      <c r="AA240" s="10">
        <f>IF(W240&gt;$AE$34,1,0)</f>
        <v/>
      </c>
      <c r="AB240">
        <f>IF(AA240=C240,1,0)</f>
        <v/>
      </c>
    </row>
    <row r="241">
      <c r="A241">
        <f>'1 datos preparados'!A234</f>
        <v/>
      </c>
      <c r="B241" s="5">
        <f>'1 datos preparados'!U234</f>
        <v/>
      </c>
      <c r="C241">
        <f>'1 datos preparados'!B234</f>
        <v/>
      </c>
      <c r="D241" s="7">
        <f>'1 datos preparados'!C234</f>
        <v/>
      </c>
      <c r="E241" s="7">
        <f>'1 datos preparados'!D234</f>
        <v/>
      </c>
      <c r="F241" s="7">
        <f>'1 datos preparados'!E234</f>
        <v/>
      </c>
      <c r="G241" s="7">
        <f>'1 datos preparados'!F234</f>
        <v/>
      </c>
      <c r="H241" s="7">
        <f>'1 datos preparados'!G234</f>
        <v/>
      </c>
      <c r="I241" s="7">
        <f>'1 datos preparados'!H234</f>
        <v/>
      </c>
      <c r="J241" s="7">
        <f>'1 datos preparados'!I234</f>
        <v/>
      </c>
      <c r="K241" s="7">
        <f>'1 datos preparados'!J234</f>
        <v/>
      </c>
      <c r="L241" s="7">
        <f>'1 datos preparados'!K234</f>
        <v/>
      </c>
      <c r="M241" s="7">
        <f>'1 datos preparados'!L234</f>
        <v/>
      </c>
      <c r="N241" s="7">
        <f>'1 datos preparados'!M234</f>
        <v/>
      </c>
      <c r="O241" s="7">
        <f>'1 datos preparados'!N234</f>
        <v/>
      </c>
      <c r="P241" s="7">
        <f>'1 datos preparados'!O234</f>
        <v/>
      </c>
      <c r="Q241" s="7">
        <f>'1 datos preparados'!P234</f>
        <v/>
      </c>
      <c r="R241" s="7">
        <f>'1 datos preparados'!Q234</f>
        <v/>
      </c>
      <c r="S241" s="7">
        <f>'1 datos preparados'!R234</f>
        <v/>
      </c>
      <c r="T241" s="7">
        <f>'1 datos preparados'!S234</f>
        <v/>
      </c>
      <c r="U241" s="7">
        <f>'1 datos preparados'!T234</f>
        <v/>
      </c>
      <c r="V241" s="8">
        <f>$AE$12+D241*$AE$13+E241*$AE$14+F241*$AE$15+G241*$AE$16+H241*$AE$17+I241*$AE$18+J241*$AE$19+K241*$AE$20+L241*$AE$21+M241*$AE$22+N241*$AE$23+O241*$AE$24+P241*$AE$25+Q241*$AE$26+R241*$AE$27+S241*$AE$28+T241*$AE$29+U241*$AE$30</f>
        <v/>
      </c>
      <c r="W241" s="8">
        <f>1/(1+EXP(-V241))</f>
        <v/>
      </c>
      <c r="X241" s="9">
        <f>-IF(C241=1,LN(W241),LN(1-W241))</f>
        <v/>
      </c>
      <c r="Y241" s="8">
        <f>IF(C241=1,$AE$32,$AE$33)</f>
        <v/>
      </c>
      <c r="Z241" s="9">
        <f>Y241*X241</f>
        <v/>
      </c>
      <c r="AA241" s="10">
        <f>IF(W241&gt;$AE$34,1,0)</f>
        <v/>
      </c>
      <c r="AB241">
        <f>IF(AA241=C241,1,0)</f>
        <v/>
      </c>
    </row>
    <row r="242">
      <c r="A242">
        <f>'1 datos preparados'!A235</f>
        <v/>
      </c>
      <c r="B242" s="5">
        <f>'1 datos preparados'!U235</f>
        <v/>
      </c>
      <c r="C242">
        <f>'1 datos preparados'!B235</f>
        <v/>
      </c>
      <c r="D242" s="7">
        <f>'1 datos preparados'!C235</f>
        <v/>
      </c>
      <c r="E242" s="7">
        <f>'1 datos preparados'!D235</f>
        <v/>
      </c>
      <c r="F242" s="7">
        <f>'1 datos preparados'!E235</f>
        <v/>
      </c>
      <c r="G242" s="7">
        <f>'1 datos preparados'!F235</f>
        <v/>
      </c>
      <c r="H242" s="7">
        <f>'1 datos preparados'!G235</f>
        <v/>
      </c>
      <c r="I242" s="7">
        <f>'1 datos preparados'!H235</f>
        <v/>
      </c>
      <c r="J242" s="7">
        <f>'1 datos preparados'!I235</f>
        <v/>
      </c>
      <c r="K242" s="7">
        <f>'1 datos preparados'!J235</f>
        <v/>
      </c>
      <c r="L242" s="7">
        <f>'1 datos preparados'!K235</f>
        <v/>
      </c>
      <c r="M242" s="7">
        <f>'1 datos preparados'!L235</f>
        <v/>
      </c>
      <c r="N242" s="7">
        <f>'1 datos preparados'!M235</f>
        <v/>
      </c>
      <c r="O242" s="7">
        <f>'1 datos preparados'!N235</f>
        <v/>
      </c>
      <c r="P242" s="7">
        <f>'1 datos preparados'!O235</f>
        <v/>
      </c>
      <c r="Q242" s="7">
        <f>'1 datos preparados'!P235</f>
        <v/>
      </c>
      <c r="R242" s="7">
        <f>'1 datos preparados'!Q235</f>
        <v/>
      </c>
      <c r="S242" s="7">
        <f>'1 datos preparados'!R235</f>
        <v/>
      </c>
      <c r="T242" s="7">
        <f>'1 datos preparados'!S235</f>
        <v/>
      </c>
      <c r="U242" s="7">
        <f>'1 datos preparados'!T235</f>
        <v/>
      </c>
      <c r="V242" s="8">
        <f>$AE$12+D242*$AE$13+E242*$AE$14+F242*$AE$15+G242*$AE$16+H242*$AE$17+I242*$AE$18+J242*$AE$19+K242*$AE$20+L242*$AE$21+M242*$AE$22+N242*$AE$23+O242*$AE$24+P242*$AE$25+Q242*$AE$26+R242*$AE$27+S242*$AE$28+T242*$AE$29+U242*$AE$30</f>
        <v/>
      </c>
      <c r="W242" s="8">
        <f>1/(1+EXP(-V242))</f>
        <v/>
      </c>
      <c r="X242" s="9">
        <f>-IF(C242=1,LN(W242),LN(1-W242))</f>
        <v/>
      </c>
      <c r="Y242" s="8">
        <f>IF(C242=1,$AE$32,$AE$33)</f>
        <v/>
      </c>
      <c r="Z242" s="9">
        <f>Y242*X242</f>
        <v/>
      </c>
      <c r="AA242" s="10">
        <f>IF(W242&gt;$AE$34,1,0)</f>
        <v/>
      </c>
      <c r="AB242">
        <f>IF(AA242=C242,1,0)</f>
        <v/>
      </c>
    </row>
    <row r="243">
      <c r="A243">
        <f>'1 datos preparados'!A236</f>
        <v/>
      </c>
      <c r="B243" s="5">
        <f>'1 datos preparados'!U236</f>
        <v/>
      </c>
      <c r="C243">
        <f>'1 datos preparados'!B236</f>
        <v/>
      </c>
      <c r="D243" s="7">
        <f>'1 datos preparados'!C236</f>
        <v/>
      </c>
      <c r="E243" s="7">
        <f>'1 datos preparados'!D236</f>
        <v/>
      </c>
      <c r="F243" s="7">
        <f>'1 datos preparados'!E236</f>
        <v/>
      </c>
      <c r="G243" s="7">
        <f>'1 datos preparados'!F236</f>
        <v/>
      </c>
      <c r="H243" s="7">
        <f>'1 datos preparados'!G236</f>
        <v/>
      </c>
      <c r="I243" s="7">
        <f>'1 datos preparados'!H236</f>
        <v/>
      </c>
      <c r="J243" s="7">
        <f>'1 datos preparados'!I236</f>
        <v/>
      </c>
      <c r="K243" s="7">
        <f>'1 datos preparados'!J236</f>
        <v/>
      </c>
      <c r="L243" s="7">
        <f>'1 datos preparados'!K236</f>
        <v/>
      </c>
      <c r="M243" s="7">
        <f>'1 datos preparados'!L236</f>
        <v/>
      </c>
      <c r="N243" s="7">
        <f>'1 datos preparados'!M236</f>
        <v/>
      </c>
      <c r="O243" s="7">
        <f>'1 datos preparados'!N236</f>
        <v/>
      </c>
      <c r="P243" s="7">
        <f>'1 datos preparados'!O236</f>
        <v/>
      </c>
      <c r="Q243" s="7">
        <f>'1 datos preparados'!P236</f>
        <v/>
      </c>
      <c r="R243" s="7">
        <f>'1 datos preparados'!Q236</f>
        <v/>
      </c>
      <c r="S243" s="7">
        <f>'1 datos preparados'!R236</f>
        <v/>
      </c>
      <c r="T243" s="7">
        <f>'1 datos preparados'!S236</f>
        <v/>
      </c>
      <c r="U243" s="7">
        <f>'1 datos preparados'!T236</f>
        <v/>
      </c>
      <c r="V243" s="8">
        <f>$AE$12+D243*$AE$13+E243*$AE$14+F243*$AE$15+G243*$AE$16+H243*$AE$17+I243*$AE$18+J243*$AE$19+K243*$AE$20+L243*$AE$21+M243*$AE$22+N243*$AE$23+O243*$AE$24+P243*$AE$25+Q243*$AE$26+R243*$AE$27+S243*$AE$28+T243*$AE$29+U243*$AE$30</f>
        <v/>
      </c>
      <c r="W243" s="8">
        <f>1/(1+EXP(-V243))</f>
        <v/>
      </c>
      <c r="X243" s="9">
        <f>-IF(C243=1,LN(W243),LN(1-W243))</f>
        <v/>
      </c>
      <c r="Y243" s="8">
        <f>IF(C243=1,$AE$32,$AE$33)</f>
        <v/>
      </c>
      <c r="Z243" s="9">
        <f>Y243*X243</f>
        <v/>
      </c>
      <c r="AA243" s="10">
        <f>IF(W243&gt;$AE$34,1,0)</f>
        <v/>
      </c>
      <c r="AB243">
        <f>IF(AA243=C243,1,0)</f>
        <v/>
      </c>
    </row>
    <row r="244">
      <c r="A244">
        <f>'1 datos preparados'!A237</f>
        <v/>
      </c>
      <c r="B244" s="5">
        <f>'1 datos preparados'!U237</f>
        <v/>
      </c>
      <c r="C244">
        <f>'1 datos preparados'!B237</f>
        <v/>
      </c>
      <c r="D244" s="7">
        <f>'1 datos preparados'!C237</f>
        <v/>
      </c>
      <c r="E244" s="7">
        <f>'1 datos preparados'!D237</f>
        <v/>
      </c>
      <c r="F244" s="7">
        <f>'1 datos preparados'!E237</f>
        <v/>
      </c>
      <c r="G244" s="7">
        <f>'1 datos preparados'!F237</f>
        <v/>
      </c>
      <c r="H244" s="7">
        <f>'1 datos preparados'!G237</f>
        <v/>
      </c>
      <c r="I244" s="7">
        <f>'1 datos preparados'!H237</f>
        <v/>
      </c>
      <c r="J244" s="7">
        <f>'1 datos preparados'!I237</f>
        <v/>
      </c>
      <c r="K244" s="7">
        <f>'1 datos preparados'!J237</f>
        <v/>
      </c>
      <c r="L244" s="7">
        <f>'1 datos preparados'!K237</f>
        <v/>
      </c>
      <c r="M244" s="7">
        <f>'1 datos preparados'!L237</f>
        <v/>
      </c>
      <c r="N244" s="7">
        <f>'1 datos preparados'!M237</f>
        <v/>
      </c>
      <c r="O244" s="7">
        <f>'1 datos preparados'!N237</f>
        <v/>
      </c>
      <c r="P244" s="7">
        <f>'1 datos preparados'!O237</f>
        <v/>
      </c>
      <c r="Q244" s="7">
        <f>'1 datos preparados'!P237</f>
        <v/>
      </c>
      <c r="R244" s="7">
        <f>'1 datos preparados'!Q237</f>
        <v/>
      </c>
      <c r="S244" s="7">
        <f>'1 datos preparados'!R237</f>
        <v/>
      </c>
      <c r="T244" s="7">
        <f>'1 datos preparados'!S237</f>
        <v/>
      </c>
      <c r="U244" s="7">
        <f>'1 datos preparados'!T237</f>
        <v/>
      </c>
      <c r="V244" s="8">
        <f>$AE$12+D244*$AE$13+E244*$AE$14+F244*$AE$15+G244*$AE$16+H244*$AE$17+I244*$AE$18+J244*$AE$19+K244*$AE$20+L244*$AE$21+M244*$AE$22+N244*$AE$23+O244*$AE$24+P244*$AE$25+Q244*$AE$26+R244*$AE$27+S244*$AE$28+T244*$AE$29+U244*$AE$30</f>
        <v/>
      </c>
      <c r="W244" s="8">
        <f>1/(1+EXP(-V244))</f>
        <v/>
      </c>
      <c r="X244" s="9">
        <f>-IF(C244=1,LN(W244),LN(1-W244))</f>
        <v/>
      </c>
      <c r="Y244" s="8">
        <f>IF(C244=1,$AE$32,$AE$33)</f>
        <v/>
      </c>
      <c r="Z244" s="9">
        <f>Y244*X244</f>
        <v/>
      </c>
      <c r="AA244" s="10">
        <f>IF(W244&gt;$AE$34,1,0)</f>
        <v/>
      </c>
      <c r="AB244">
        <f>IF(AA244=C244,1,0)</f>
        <v/>
      </c>
    </row>
    <row r="245">
      <c r="A245">
        <f>'1 datos preparados'!A238</f>
        <v/>
      </c>
      <c r="B245" s="5">
        <f>'1 datos preparados'!U238</f>
        <v/>
      </c>
      <c r="C245">
        <f>'1 datos preparados'!B238</f>
        <v/>
      </c>
      <c r="D245" s="7">
        <f>'1 datos preparados'!C238</f>
        <v/>
      </c>
      <c r="E245" s="7">
        <f>'1 datos preparados'!D238</f>
        <v/>
      </c>
      <c r="F245" s="7">
        <f>'1 datos preparados'!E238</f>
        <v/>
      </c>
      <c r="G245" s="7">
        <f>'1 datos preparados'!F238</f>
        <v/>
      </c>
      <c r="H245" s="7">
        <f>'1 datos preparados'!G238</f>
        <v/>
      </c>
      <c r="I245" s="7">
        <f>'1 datos preparados'!H238</f>
        <v/>
      </c>
      <c r="J245" s="7">
        <f>'1 datos preparados'!I238</f>
        <v/>
      </c>
      <c r="K245" s="7">
        <f>'1 datos preparados'!J238</f>
        <v/>
      </c>
      <c r="L245" s="7">
        <f>'1 datos preparados'!K238</f>
        <v/>
      </c>
      <c r="M245" s="7">
        <f>'1 datos preparados'!L238</f>
        <v/>
      </c>
      <c r="N245" s="7">
        <f>'1 datos preparados'!M238</f>
        <v/>
      </c>
      <c r="O245" s="7">
        <f>'1 datos preparados'!N238</f>
        <v/>
      </c>
      <c r="P245" s="7">
        <f>'1 datos preparados'!O238</f>
        <v/>
      </c>
      <c r="Q245" s="7">
        <f>'1 datos preparados'!P238</f>
        <v/>
      </c>
      <c r="R245" s="7">
        <f>'1 datos preparados'!Q238</f>
        <v/>
      </c>
      <c r="S245" s="7">
        <f>'1 datos preparados'!R238</f>
        <v/>
      </c>
      <c r="T245" s="7">
        <f>'1 datos preparados'!S238</f>
        <v/>
      </c>
      <c r="U245" s="7">
        <f>'1 datos preparados'!T238</f>
        <v/>
      </c>
      <c r="V245" s="8">
        <f>$AE$12+D245*$AE$13+E245*$AE$14+F245*$AE$15+G245*$AE$16+H245*$AE$17+I245*$AE$18+J245*$AE$19+K245*$AE$20+L245*$AE$21+M245*$AE$22+N245*$AE$23+O245*$AE$24+P245*$AE$25+Q245*$AE$26+R245*$AE$27+S245*$AE$28+T245*$AE$29+U245*$AE$30</f>
        <v/>
      </c>
      <c r="W245" s="8">
        <f>1/(1+EXP(-V245))</f>
        <v/>
      </c>
      <c r="X245" s="9">
        <f>-IF(C245=1,LN(W245),LN(1-W245))</f>
        <v/>
      </c>
      <c r="Y245" s="8">
        <f>IF(C245=1,$AE$32,$AE$33)</f>
        <v/>
      </c>
      <c r="Z245" s="9">
        <f>Y245*X245</f>
        <v/>
      </c>
      <c r="AA245" s="10">
        <f>IF(W245&gt;$AE$34,1,0)</f>
        <v/>
      </c>
      <c r="AB245">
        <f>IF(AA245=C245,1,0)</f>
        <v/>
      </c>
    </row>
    <row r="246">
      <c r="A246">
        <f>'1 datos preparados'!A239</f>
        <v/>
      </c>
      <c r="B246" s="5">
        <f>'1 datos preparados'!U239</f>
        <v/>
      </c>
      <c r="C246">
        <f>'1 datos preparados'!B239</f>
        <v/>
      </c>
      <c r="D246" s="7">
        <f>'1 datos preparados'!C239</f>
        <v/>
      </c>
      <c r="E246" s="7">
        <f>'1 datos preparados'!D239</f>
        <v/>
      </c>
      <c r="F246" s="7">
        <f>'1 datos preparados'!E239</f>
        <v/>
      </c>
      <c r="G246" s="7">
        <f>'1 datos preparados'!F239</f>
        <v/>
      </c>
      <c r="H246" s="7">
        <f>'1 datos preparados'!G239</f>
        <v/>
      </c>
      <c r="I246" s="7">
        <f>'1 datos preparados'!H239</f>
        <v/>
      </c>
      <c r="J246" s="7">
        <f>'1 datos preparados'!I239</f>
        <v/>
      </c>
      <c r="K246" s="7">
        <f>'1 datos preparados'!J239</f>
        <v/>
      </c>
      <c r="L246" s="7">
        <f>'1 datos preparados'!K239</f>
        <v/>
      </c>
      <c r="M246" s="7">
        <f>'1 datos preparados'!L239</f>
        <v/>
      </c>
      <c r="N246" s="7">
        <f>'1 datos preparados'!M239</f>
        <v/>
      </c>
      <c r="O246" s="7">
        <f>'1 datos preparados'!N239</f>
        <v/>
      </c>
      <c r="P246" s="7">
        <f>'1 datos preparados'!O239</f>
        <v/>
      </c>
      <c r="Q246" s="7">
        <f>'1 datos preparados'!P239</f>
        <v/>
      </c>
      <c r="R246" s="7">
        <f>'1 datos preparados'!Q239</f>
        <v/>
      </c>
      <c r="S246" s="7">
        <f>'1 datos preparados'!R239</f>
        <v/>
      </c>
      <c r="T246" s="7">
        <f>'1 datos preparados'!S239</f>
        <v/>
      </c>
      <c r="U246" s="7">
        <f>'1 datos preparados'!T239</f>
        <v/>
      </c>
      <c r="V246" s="8">
        <f>$AE$12+D246*$AE$13+E246*$AE$14+F246*$AE$15+G246*$AE$16+H246*$AE$17+I246*$AE$18+J246*$AE$19+K246*$AE$20+L246*$AE$21+M246*$AE$22+N246*$AE$23+O246*$AE$24+P246*$AE$25+Q246*$AE$26+R246*$AE$27+S246*$AE$28+T246*$AE$29+U246*$AE$30</f>
        <v/>
      </c>
      <c r="W246" s="8">
        <f>1/(1+EXP(-V246))</f>
        <v/>
      </c>
      <c r="X246" s="9">
        <f>-IF(C246=1,LN(W246),LN(1-W246))</f>
        <v/>
      </c>
      <c r="Y246" s="8">
        <f>IF(C246=1,$AE$32,$AE$33)</f>
        <v/>
      </c>
      <c r="Z246" s="9">
        <f>Y246*X246</f>
        <v/>
      </c>
      <c r="AA246" s="10">
        <f>IF(W246&gt;$AE$34,1,0)</f>
        <v/>
      </c>
      <c r="AB246">
        <f>IF(AA246=C246,1,0)</f>
        <v/>
      </c>
    </row>
    <row r="247">
      <c r="A247">
        <f>'1 datos preparados'!A240</f>
        <v/>
      </c>
      <c r="B247" s="5">
        <f>'1 datos preparados'!U240</f>
        <v/>
      </c>
      <c r="C247">
        <f>'1 datos preparados'!B240</f>
        <v/>
      </c>
      <c r="D247" s="7">
        <f>'1 datos preparados'!C240</f>
        <v/>
      </c>
      <c r="E247" s="7">
        <f>'1 datos preparados'!D240</f>
        <v/>
      </c>
      <c r="F247" s="7">
        <f>'1 datos preparados'!E240</f>
        <v/>
      </c>
      <c r="G247" s="7">
        <f>'1 datos preparados'!F240</f>
        <v/>
      </c>
      <c r="H247" s="7">
        <f>'1 datos preparados'!G240</f>
        <v/>
      </c>
      <c r="I247" s="7">
        <f>'1 datos preparados'!H240</f>
        <v/>
      </c>
      <c r="J247" s="7">
        <f>'1 datos preparados'!I240</f>
        <v/>
      </c>
      <c r="K247" s="7">
        <f>'1 datos preparados'!J240</f>
        <v/>
      </c>
      <c r="L247" s="7">
        <f>'1 datos preparados'!K240</f>
        <v/>
      </c>
      <c r="M247" s="7">
        <f>'1 datos preparados'!L240</f>
        <v/>
      </c>
      <c r="N247" s="7">
        <f>'1 datos preparados'!M240</f>
        <v/>
      </c>
      <c r="O247" s="7">
        <f>'1 datos preparados'!N240</f>
        <v/>
      </c>
      <c r="P247" s="7">
        <f>'1 datos preparados'!O240</f>
        <v/>
      </c>
      <c r="Q247" s="7">
        <f>'1 datos preparados'!P240</f>
        <v/>
      </c>
      <c r="R247" s="7">
        <f>'1 datos preparados'!Q240</f>
        <v/>
      </c>
      <c r="S247" s="7">
        <f>'1 datos preparados'!R240</f>
        <v/>
      </c>
      <c r="T247" s="7">
        <f>'1 datos preparados'!S240</f>
        <v/>
      </c>
      <c r="U247" s="7">
        <f>'1 datos preparados'!T240</f>
        <v/>
      </c>
      <c r="V247" s="8">
        <f>$AE$12+D247*$AE$13+E247*$AE$14+F247*$AE$15+G247*$AE$16+H247*$AE$17+I247*$AE$18+J247*$AE$19+K247*$AE$20+L247*$AE$21+M247*$AE$22+N247*$AE$23+O247*$AE$24+P247*$AE$25+Q247*$AE$26+R247*$AE$27+S247*$AE$28+T247*$AE$29+U247*$AE$30</f>
        <v/>
      </c>
      <c r="W247" s="8">
        <f>1/(1+EXP(-V247))</f>
        <v/>
      </c>
      <c r="X247" s="9">
        <f>-IF(C247=1,LN(W247),LN(1-W247))</f>
        <v/>
      </c>
      <c r="Y247" s="8">
        <f>IF(C247=1,$AE$32,$AE$33)</f>
        <v/>
      </c>
      <c r="Z247" s="9">
        <f>Y247*X247</f>
        <v/>
      </c>
      <c r="AA247" s="10">
        <f>IF(W247&gt;$AE$34,1,0)</f>
        <v/>
      </c>
      <c r="AB247">
        <f>IF(AA247=C247,1,0)</f>
        <v/>
      </c>
    </row>
    <row r="248">
      <c r="A248">
        <f>'1 datos preparados'!A241</f>
        <v/>
      </c>
      <c r="B248" s="5">
        <f>'1 datos preparados'!U241</f>
        <v/>
      </c>
      <c r="C248">
        <f>'1 datos preparados'!B241</f>
        <v/>
      </c>
      <c r="D248" s="7">
        <f>'1 datos preparados'!C241</f>
        <v/>
      </c>
      <c r="E248" s="7">
        <f>'1 datos preparados'!D241</f>
        <v/>
      </c>
      <c r="F248" s="7">
        <f>'1 datos preparados'!E241</f>
        <v/>
      </c>
      <c r="G248" s="7">
        <f>'1 datos preparados'!F241</f>
        <v/>
      </c>
      <c r="H248" s="7">
        <f>'1 datos preparados'!G241</f>
        <v/>
      </c>
      <c r="I248" s="7">
        <f>'1 datos preparados'!H241</f>
        <v/>
      </c>
      <c r="J248" s="7">
        <f>'1 datos preparados'!I241</f>
        <v/>
      </c>
      <c r="K248" s="7">
        <f>'1 datos preparados'!J241</f>
        <v/>
      </c>
      <c r="L248" s="7">
        <f>'1 datos preparados'!K241</f>
        <v/>
      </c>
      <c r="M248" s="7">
        <f>'1 datos preparados'!L241</f>
        <v/>
      </c>
      <c r="N248" s="7">
        <f>'1 datos preparados'!M241</f>
        <v/>
      </c>
      <c r="O248" s="7">
        <f>'1 datos preparados'!N241</f>
        <v/>
      </c>
      <c r="P248" s="7">
        <f>'1 datos preparados'!O241</f>
        <v/>
      </c>
      <c r="Q248" s="7">
        <f>'1 datos preparados'!P241</f>
        <v/>
      </c>
      <c r="R248" s="7">
        <f>'1 datos preparados'!Q241</f>
        <v/>
      </c>
      <c r="S248" s="7">
        <f>'1 datos preparados'!R241</f>
        <v/>
      </c>
      <c r="T248" s="7">
        <f>'1 datos preparados'!S241</f>
        <v/>
      </c>
      <c r="U248" s="7">
        <f>'1 datos preparados'!T241</f>
        <v/>
      </c>
      <c r="V248" s="8">
        <f>$AE$12+D248*$AE$13+E248*$AE$14+F248*$AE$15+G248*$AE$16+H248*$AE$17+I248*$AE$18+J248*$AE$19+K248*$AE$20+L248*$AE$21+M248*$AE$22+N248*$AE$23+O248*$AE$24+P248*$AE$25+Q248*$AE$26+R248*$AE$27+S248*$AE$28+T248*$AE$29+U248*$AE$30</f>
        <v/>
      </c>
      <c r="W248" s="8">
        <f>1/(1+EXP(-V248))</f>
        <v/>
      </c>
      <c r="X248" s="9">
        <f>-IF(C248=1,LN(W248),LN(1-W248))</f>
        <v/>
      </c>
      <c r="Y248" s="8">
        <f>IF(C248=1,$AE$32,$AE$33)</f>
        <v/>
      </c>
      <c r="Z248" s="9">
        <f>Y248*X248</f>
        <v/>
      </c>
      <c r="AA248" s="10">
        <f>IF(W248&gt;$AE$34,1,0)</f>
        <v/>
      </c>
      <c r="AB248">
        <f>IF(AA248=C248,1,0)</f>
        <v/>
      </c>
    </row>
    <row r="249">
      <c r="A249">
        <f>'1 datos preparados'!A242</f>
        <v/>
      </c>
      <c r="B249" s="5">
        <f>'1 datos preparados'!U242</f>
        <v/>
      </c>
      <c r="C249">
        <f>'1 datos preparados'!B242</f>
        <v/>
      </c>
      <c r="D249" s="7">
        <f>'1 datos preparados'!C242</f>
        <v/>
      </c>
      <c r="E249" s="7">
        <f>'1 datos preparados'!D242</f>
        <v/>
      </c>
      <c r="F249" s="7">
        <f>'1 datos preparados'!E242</f>
        <v/>
      </c>
      <c r="G249" s="7">
        <f>'1 datos preparados'!F242</f>
        <v/>
      </c>
      <c r="H249" s="7">
        <f>'1 datos preparados'!G242</f>
        <v/>
      </c>
      <c r="I249" s="7">
        <f>'1 datos preparados'!H242</f>
        <v/>
      </c>
      <c r="J249" s="7">
        <f>'1 datos preparados'!I242</f>
        <v/>
      </c>
      <c r="K249" s="7">
        <f>'1 datos preparados'!J242</f>
        <v/>
      </c>
      <c r="L249" s="7">
        <f>'1 datos preparados'!K242</f>
        <v/>
      </c>
      <c r="M249" s="7">
        <f>'1 datos preparados'!L242</f>
        <v/>
      </c>
      <c r="N249" s="7">
        <f>'1 datos preparados'!M242</f>
        <v/>
      </c>
      <c r="O249" s="7">
        <f>'1 datos preparados'!N242</f>
        <v/>
      </c>
      <c r="P249" s="7">
        <f>'1 datos preparados'!O242</f>
        <v/>
      </c>
      <c r="Q249" s="7">
        <f>'1 datos preparados'!P242</f>
        <v/>
      </c>
      <c r="R249" s="7">
        <f>'1 datos preparados'!Q242</f>
        <v/>
      </c>
      <c r="S249" s="7">
        <f>'1 datos preparados'!R242</f>
        <v/>
      </c>
      <c r="T249" s="7">
        <f>'1 datos preparados'!S242</f>
        <v/>
      </c>
      <c r="U249" s="7">
        <f>'1 datos preparados'!T242</f>
        <v/>
      </c>
      <c r="V249" s="8">
        <f>$AE$12+D249*$AE$13+E249*$AE$14+F249*$AE$15+G249*$AE$16+H249*$AE$17+I249*$AE$18+J249*$AE$19+K249*$AE$20+L249*$AE$21+M249*$AE$22+N249*$AE$23+O249*$AE$24+P249*$AE$25+Q249*$AE$26+R249*$AE$27+S249*$AE$28+T249*$AE$29+U249*$AE$30</f>
        <v/>
      </c>
      <c r="W249" s="8">
        <f>1/(1+EXP(-V249))</f>
        <v/>
      </c>
      <c r="X249" s="9">
        <f>-IF(C249=1,LN(W249),LN(1-W249))</f>
        <v/>
      </c>
      <c r="Y249" s="8">
        <f>IF(C249=1,$AE$32,$AE$33)</f>
        <v/>
      </c>
      <c r="Z249" s="9">
        <f>Y249*X249</f>
        <v/>
      </c>
      <c r="AA249" s="10">
        <f>IF(W249&gt;$AE$34,1,0)</f>
        <v/>
      </c>
      <c r="AB249">
        <f>IF(AA249=C249,1,0)</f>
        <v/>
      </c>
    </row>
    <row r="250">
      <c r="A250">
        <f>'1 datos preparados'!A243</f>
        <v/>
      </c>
      <c r="B250" s="5">
        <f>'1 datos preparados'!U243</f>
        <v/>
      </c>
      <c r="C250">
        <f>'1 datos preparados'!B243</f>
        <v/>
      </c>
      <c r="D250" s="7">
        <f>'1 datos preparados'!C243</f>
        <v/>
      </c>
      <c r="E250" s="7">
        <f>'1 datos preparados'!D243</f>
        <v/>
      </c>
      <c r="F250" s="7">
        <f>'1 datos preparados'!E243</f>
        <v/>
      </c>
      <c r="G250" s="7">
        <f>'1 datos preparados'!F243</f>
        <v/>
      </c>
      <c r="H250" s="7">
        <f>'1 datos preparados'!G243</f>
        <v/>
      </c>
      <c r="I250" s="7">
        <f>'1 datos preparados'!H243</f>
        <v/>
      </c>
      <c r="J250" s="7">
        <f>'1 datos preparados'!I243</f>
        <v/>
      </c>
      <c r="K250" s="7">
        <f>'1 datos preparados'!J243</f>
        <v/>
      </c>
      <c r="L250" s="7">
        <f>'1 datos preparados'!K243</f>
        <v/>
      </c>
      <c r="M250" s="7">
        <f>'1 datos preparados'!L243</f>
        <v/>
      </c>
      <c r="N250" s="7">
        <f>'1 datos preparados'!M243</f>
        <v/>
      </c>
      <c r="O250" s="7">
        <f>'1 datos preparados'!N243</f>
        <v/>
      </c>
      <c r="P250" s="7">
        <f>'1 datos preparados'!O243</f>
        <v/>
      </c>
      <c r="Q250" s="7">
        <f>'1 datos preparados'!P243</f>
        <v/>
      </c>
      <c r="R250" s="7">
        <f>'1 datos preparados'!Q243</f>
        <v/>
      </c>
      <c r="S250" s="7">
        <f>'1 datos preparados'!R243</f>
        <v/>
      </c>
      <c r="T250" s="7">
        <f>'1 datos preparados'!S243</f>
        <v/>
      </c>
      <c r="U250" s="7">
        <f>'1 datos preparados'!T243</f>
        <v/>
      </c>
      <c r="V250" s="8">
        <f>$AE$12+D250*$AE$13+E250*$AE$14+F250*$AE$15+G250*$AE$16+H250*$AE$17+I250*$AE$18+J250*$AE$19+K250*$AE$20+L250*$AE$21+M250*$AE$22+N250*$AE$23+O250*$AE$24+P250*$AE$25+Q250*$AE$26+R250*$AE$27+S250*$AE$28+T250*$AE$29+U250*$AE$30</f>
        <v/>
      </c>
      <c r="W250" s="8">
        <f>1/(1+EXP(-V250))</f>
        <v/>
      </c>
      <c r="X250" s="9">
        <f>-IF(C250=1,LN(W250),LN(1-W250))</f>
        <v/>
      </c>
      <c r="Y250" s="8">
        <f>IF(C250=1,$AE$32,$AE$33)</f>
        <v/>
      </c>
      <c r="Z250" s="9">
        <f>Y250*X250</f>
        <v/>
      </c>
      <c r="AA250" s="10">
        <f>IF(W250&gt;$AE$34,1,0)</f>
        <v/>
      </c>
      <c r="AB250">
        <f>IF(AA250=C250,1,0)</f>
        <v/>
      </c>
    </row>
    <row r="251">
      <c r="A251">
        <f>'1 datos preparados'!A244</f>
        <v/>
      </c>
      <c r="B251" s="5">
        <f>'1 datos preparados'!U244</f>
        <v/>
      </c>
      <c r="C251">
        <f>'1 datos preparados'!B244</f>
        <v/>
      </c>
      <c r="D251" s="7">
        <f>'1 datos preparados'!C244</f>
        <v/>
      </c>
      <c r="E251" s="7">
        <f>'1 datos preparados'!D244</f>
        <v/>
      </c>
      <c r="F251" s="7">
        <f>'1 datos preparados'!E244</f>
        <v/>
      </c>
      <c r="G251" s="7">
        <f>'1 datos preparados'!F244</f>
        <v/>
      </c>
      <c r="H251" s="7">
        <f>'1 datos preparados'!G244</f>
        <v/>
      </c>
      <c r="I251" s="7">
        <f>'1 datos preparados'!H244</f>
        <v/>
      </c>
      <c r="J251" s="7">
        <f>'1 datos preparados'!I244</f>
        <v/>
      </c>
      <c r="K251" s="7">
        <f>'1 datos preparados'!J244</f>
        <v/>
      </c>
      <c r="L251" s="7">
        <f>'1 datos preparados'!K244</f>
        <v/>
      </c>
      <c r="M251" s="7">
        <f>'1 datos preparados'!L244</f>
        <v/>
      </c>
      <c r="N251" s="7">
        <f>'1 datos preparados'!M244</f>
        <v/>
      </c>
      <c r="O251" s="7">
        <f>'1 datos preparados'!N244</f>
        <v/>
      </c>
      <c r="P251" s="7">
        <f>'1 datos preparados'!O244</f>
        <v/>
      </c>
      <c r="Q251" s="7">
        <f>'1 datos preparados'!P244</f>
        <v/>
      </c>
      <c r="R251" s="7">
        <f>'1 datos preparados'!Q244</f>
        <v/>
      </c>
      <c r="S251" s="7">
        <f>'1 datos preparados'!R244</f>
        <v/>
      </c>
      <c r="T251" s="7">
        <f>'1 datos preparados'!S244</f>
        <v/>
      </c>
      <c r="U251" s="7">
        <f>'1 datos preparados'!T244</f>
        <v/>
      </c>
      <c r="V251" s="8">
        <f>$AE$12+D251*$AE$13+E251*$AE$14+F251*$AE$15+G251*$AE$16+H251*$AE$17+I251*$AE$18+J251*$AE$19+K251*$AE$20+L251*$AE$21+M251*$AE$22+N251*$AE$23+O251*$AE$24+P251*$AE$25+Q251*$AE$26+R251*$AE$27+S251*$AE$28+T251*$AE$29+U251*$AE$30</f>
        <v/>
      </c>
      <c r="W251" s="8">
        <f>1/(1+EXP(-V251))</f>
        <v/>
      </c>
      <c r="X251" s="9">
        <f>-IF(C251=1,LN(W251),LN(1-W251))</f>
        <v/>
      </c>
      <c r="Y251" s="8">
        <f>IF(C251=1,$AE$32,$AE$33)</f>
        <v/>
      </c>
      <c r="Z251" s="9">
        <f>Y251*X251</f>
        <v/>
      </c>
      <c r="AA251" s="10">
        <f>IF(W251&gt;$AE$34,1,0)</f>
        <v/>
      </c>
      <c r="AB251">
        <f>IF(AA251=C251,1,0)</f>
        <v/>
      </c>
    </row>
    <row r="252">
      <c r="A252">
        <f>'1 datos preparados'!A245</f>
        <v/>
      </c>
      <c r="B252" s="5">
        <f>'1 datos preparados'!U245</f>
        <v/>
      </c>
      <c r="C252">
        <f>'1 datos preparados'!B245</f>
        <v/>
      </c>
      <c r="D252" s="7">
        <f>'1 datos preparados'!C245</f>
        <v/>
      </c>
      <c r="E252" s="7">
        <f>'1 datos preparados'!D245</f>
        <v/>
      </c>
      <c r="F252" s="7">
        <f>'1 datos preparados'!E245</f>
        <v/>
      </c>
      <c r="G252" s="7">
        <f>'1 datos preparados'!F245</f>
        <v/>
      </c>
      <c r="H252" s="7">
        <f>'1 datos preparados'!G245</f>
        <v/>
      </c>
      <c r="I252" s="7">
        <f>'1 datos preparados'!H245</f>
        <v/>
      </c>
      <c r="J252" s="7">
        <f>'1 datos preparados'!I245</f>
        <v/>
      </c>
      <c r="K252" s="7">
        <f>'1 datos preparados'!J245</f>
        <v/>
      </c>
      <c r="L252" s="7">
        <f>'1 datos preparados'!K245</f>
        <v/>
      </c>
      <c r="M252" s="7">
        <f>'1 datos preparados'!L245</f>
        <v/>
      </c>
      <c r="N252" s="7">
        <f>'1 datos preparados'!M245</f>
        <v/>
      </c>
      <c r="O252" s="7">
        <f>'1 datos preparados'!N245</f>
        <v/>
      </c>
      <c r="P252" s="7">
        <f>'1 datos preparados'!O245</f>
        <v/>
      </c>
      <c r="Q252" s="7">
        <f>'1 datos preparados'!P245</f>
        <v/>
      </c>
      <c r="R252" s="7">
        <f>'1 datos preparados'!Q245</f>
        <v/>
      </c>
      <c r="S252" s="7">
        <f>'1 datos preparados'!R245</f>
        <v/>
      </c>
      <c r="T252" s="7">
        <f>'1 datos preparados'!S245</f>
        <v/>
      </c>
      <c r="U252" s="7">
        <f>'1 datos preparados'!T245</f>
        <v/>
      </c>
      <c r="V252" s="8">
        <f>$AE$12+D252*$AE$13+E252*$AE$14+F252*$AE$15+G252*$AE$16+H252*$AE$17+I252*$AE$18+J252*$AE$19+K252*$AE$20+L252*$AE$21+M252*$AE$22+N252*$AE$23+O252*$AE$24+P252*$AE$25+Q252*$AE$26+R252*$AE$27+S252*$AE$28+T252*$AE$29+U252*$AE$30</f>
        <v/>
      </c>
      <c r="W252" s="8">
        <f>1/(1+EXP(-V252))</f>
        <v/>
      </c>
      <c r="X252" s="9">
        <f>-IF(C252=1,LN(W252),LN(1-W252))</f>
        <v/>
      </c>
      <c r="Y252" s="8">
        <f>IF(C252=1,$AE$32,$AE$33)</f>
        <v/>
      </c>
      <c r="Z252" s="9">
        <f>Y252*X252</f>
        <v/>
      </c>
      <c r="AA252" s="10">
        <f>IF(W252&gt;$AE$34,1,0)</f>
        <v/>
      </c>
      <c r="AB252">
        <f>IF(AA252=C252,1,0)</f>
        <v/>
      </c>
    </row>
    <row r="253">
      <c r="A253">
        <f>'1 datos preparados'!A246</f>
        <v/>
      </c>
      <c r="B253" s="5">
        <f>'1 datos preparados'!U246</f>
        <v/>
      </c>
      <c r="C253">
        <f>'1 datos preparados'!B246</f>
        <v/>
      </c>
      <c r="D253" s="7">
        <f>'1 datos preparados'!C246</f>
        <v/>
      </c>
      <c r="E253" s="7">
        <f>'1 datos preparados'!D246</f>
        <v/>
      </c>
      <c r="F253" s="7">
        <f>'1 datos preparados'!E246</f>
        <v/>
      </c>
      <c r="G253" s="7">
        <f>'1 datos preparados'!F246</f>
        <v/>
      </c>
      <c r="H253" s="7">
        <f>'1 datos preparados'!G246</f>
        <v/>
      </c>
      <c r="I253" s="7">
        <f>'1 datos preparados'!H246</f>
        <v/>
      </c>
      <c r="J253" s="7">
        <f>'1 datos preparados'!I246</f>
        <v/>
      </c>
      <c r="K253" s="7">
        <f>'1 datos preparados'!J246</f>
        <v/>
      </c>
      <c r="L253" s="7">
        <f>'1 datos preparados'!K246</f>
        <v/>
      </c>
      <c r="M253" s="7">
        <f>'1 datos preparados'!L246</f>
        <v/>
      </c>
      <c r="N253" s="7">
        <f>'1 datos preparados'!M246</f>
        <v/>
      </c>
      <c r="O253" s="7">
        <f>'1 datos preparados'!N246</f>
        <v/>
      </c>
      <c r="P253" s="7">
        <f>'1 datos preparados'!O246</f>
        <v/>
      </c>
      <c r="Q253" s="7">
        <f>'1 datos preparados'!P246</f>
        <v/>
      </c>
      <c r="R253" s="7">
        <f>'1 datos preparados'!Q246</f>
        <v/>
      </c>
      <c r="S253" s="7">
        <f>'1 datos preparados'!R246</f>
        <v/>
      </c>
      <c r="T253" s="7">
        <f>'1 datos preparados'!S246</f>
        <v/>
      </c>
      <c r="U253" s="7">
        <f>'1 datos preparados'!T246</f>
        <v/>
      </c>
      <c r="V253" s="8">
        <f>$AE$12+D253*$AE$13+E253*$AE$14+F253*$AE$15+G253*$AE$16+H253*$AE$17+I253*$AE$18+J253*$AE$19+K253*$AE$20+L253*$AE$21+M253*$AE$22+N253*$AE$23+O253*$AE$24+P253*$AE$25+Q253*$AE$26+R253*$AE$27+S253*$AE$28+T253*$AE$29+U253*$AE$30</f>
        <v/>
      </c>
      <c r="W253" s="8">
        <f>1/(1+EXP(-V253))</f>
        <v/>
      </c>
      <c r="X253" s="9">
        <f>-IF(C253=1,LN(W253),LN(1-W253))</f>
        <v/>
      </c>
      <c r="Y253" s="8">
        <f>IF(C253=1,$AE$32,$AE$33)</f>
        <v/>
      </c>
      <c r="Z253" s="9">
        <f>Y253*X253</f>
        <v/>
      </c>
      <c r="AA253" s="10">
        <f>IF(W253&gt;$AE$34,1,0)</f>
        <v/>
      </c>
      <c r="AB253">
        <f>IF(AA253=C253,1,0)</f>
        <v/>
      </c>
    </row>
    <row r="254">
      <c r="A254">
        <f>'1 datos preparados'!A247</f>
        <v/>
      </c>
      <c r="B254" s="5">
        <f>'1 datos preparados'!U247</f>
        <v/>
      </c>
      <c r="C254">
        <f>'1 datos preparados'!B247</f>
        <v/>
      </c>
      <c r="D254" s="7">
        <f>'1 datos preparados'!C247</f>
        <v/>
      </c>
      <c r="E254" s="7">
        <f>'1 datos preparados'!D247</f>
        <v/>
      </c>
      <c r="F254" s="7">
        <f>'1 datos preparados'!E247</f>
        <v/>
      </c>
      <c r="G254" s="7">
        <f>'1 datos preparados'!F247</f>
        <v/>
      </c>
      <c r="H254" s="7">
        <f>'1 datos preparados'!G247</f>
        <v/>
      </c>
      <c r="I254" s="7">
        <f>'1 datos preparados'!H247</f>
        <v/>
      </c>
      <c r="J254" s="7">
        <f>'1 datos preparados'!I247</f>
        <v/>
      </c>
      <c r="K254" s="7">
        <f>'1 datos preparados'!J247</f>
        <v/>
      </c>
      <c r="L254" s="7">
        <f>'1 datos preparados'!K247</f>
        <v/>
      </c>
      <c r="M254" s="7">
        <f>'1 datos preparados'!L247</f>
        <v/>
      </c>
      <c r="N254" s="7">
        <f>'1 datos preparados'!M247</f>
        <v/>
      </c>
      <c r="O254" s="7">
        <f>'1 datos preparados'!N247</f>
        <v/>
      </c>
      <c r="P254" s="7">
        <f>'1 datos preparados'!O247</f>
        <v/>
      </c>
      <c r="Q254" s="7">
        <f>'1 datos preparados'!P247</f>
        <v/>
      </c>
      <c r="R254" s="7">
        <f>'1 datos preparados'!Q247</f>
        <v/>
      </c>
      <c r="S254" s="7">
        <f>'1 datos preparados'!R247</f>
        <v/>
      </c>
      <c r="T254" s="7">
        <f>'1 datos preparados'!S247</f>
        <v/>
      </c>
      <c r="U254" s="7">
        <f>'1 datos preparados'!T247</f>
        <v/>
      </c>
      <c r="V254" s="8">
        <f>$AE$12+D254*$AE$13+E254*$AE$14+F254*$AE$15+G254*$AE$16+H254*$AE$17+I254*$AE$18+J254*$AE$19+K254*$AE$20+L254*$AE$21+M254*$AE$22+N254*$AE$23+O254*$AE$24+P254*$AE$25+Q254*$AE$26+R254*$AE$27+S254*$AE$28+T254*$AE$29+U254*$AE$30</f>
        <v/>
      </c>
      <c r="W254" s="8">
        <f>1/(1+EXP(-V254))</f>
        <v/>
      </c>
      <c r="X254" s="9">
        <f>-IF(C254=1,LN(W254),LN(1-W254))</f>
        <v/>
      </c>
      <c r="Y254" s="8">
        <f>IF(C254=1,$AE$32,$AE$33)</f>
        <v/>
      </c>
      <c r="Z254" s="9">
        <f>Y254*X254</f>
        <v/>
      </c>
      <c r="AA254" s="10">
        <f>IF(W254&gt;$AE$34,1,0)</f>
        <v/>
      </c>
      <c r="AB254">
        <f>IF(AA254=C254,1,0)</f>
        <v/>
      </c>
    </row>
    <row r="255">
      <c r="A255">
        <f>'1 datos preparados'!A248</f>
        <v/>
      </c>
      <c r="B255" s="5">
        <f>'1 datos preparados'!U248</f>
        <v/>
      </c>
      <c r="C255">
        <f>'1 datos preparados'!B248</f>
        <v/>
      </c>
      <c r="D255" s="7">
        <f>'1 datos preparados'!C248</f>
        <v/>
      </c>
      <c r="E255" s="7">
        <f>'1 datos preparados'!D248</f>
        <v/>
      </c>
      <c r="F255" s="7">
        <f>'1 datos preparados'!E248</f>
        <v/>
      </c>
      <c r="G255" s="7">
        <f>'1 datos preparados'!F248</f>
        <v/>
      </c>
      <c r="H255" s="7">
        <f>'1 datos preparados'!G248</f>
        <v/>
      </c>
      <c r="I255" s="7">
        <f>'1 datos preparados'!H248</f>
        <v/>
      </c>
      <c r="J255" s="7">
        <f>'1 datos preparados'!I248</f>
        <v/>
      </c>
      <c r="K255" s="7">
        <f>'1 datos preparados'!J248</f>
        <v/>
      </c>
      <c r="L255" s="7">
        <f>'1 datos preparados'!K248</f>
        <v/>
      </c>
      <c r="M255" s="7">
        <f>'1 datos preparados'!L248</f>
        <v/>
      </c>
      <c r="N255" s="7">
        <f>'1 datos preparados'!M248</f>
        <v/>
      </c>
      <c r="O255" s="7">
        <f>'1 datos preparados'!N248</f>
        <v/>
      </c>
      <c r="P255" s="7">
        <f>'1 datos preparados'!O248</f>
        <v/>
      </c>
      <c r="Q255" s="7">
        <f>'1 datos preparados'!P248</f>
        <v/>
      </c>
      <c r="R255" s="7">
        <f>'1 datos preparados'!Q248</f>
        <v/>
      </c>
      <c r="S255" s="7">
        <f>'1 datos preparados'!R248</f>
        <v/>
      </c>
      <c r="T255" s="7">
        <f>'1 datos preparados'!S248</f>
        <v/>
      </c>
      <c r="U255" s="7">
        <f>'1 datos preparados'!T248</f>
        <v/>
      </c>
      <c r="V255" s="8">
        <f>$AE$12+D255*$AE$13+E255*$AE$14+F255*$AE$15+G255*$AE$16+H255*$AE$17+I255*$AE$18+J255*$AE$19+K255*$AE$20+L255*$AE$21+M255*$AE$22+N255*$AE$23+O255*$AE$24+P255*$AE$25+Q255*$AE$26+R255*$AE$27+S255*$AE$28+T255*$AE$29+U255*$AE$30</f>
        <v/>
      </c>
      <c r="W255" s="8">
        <f>1/(1+EXP(-V255))</f>
        <v/>
      </c>
      <c r="X255" s="9">
        <f>-IF(C255=1,LN(W255),LN(1-W255))</f>
        <v/>
      </c>
      <c r="Y255" s="8">
        <f>IF(C255=1,$AE$32,$AE$33)</f>
        <v/>
      </c>
      <c r="Z255" s="9">
        <f>Y255*X255</f>
        <v/>
      </c>
      <c r="AA255" s="10">
        <f>IF(W255&gt;$AE$34,1,0)</f>
        <v/>
      </c>
      <c r="AB255">
        <f>IF(AA255=C255,1,0)</f>
        <v/>
      </c>
    </row>
    <row r="256">
      <c r="A256">
        <f>'1 datos preparados'!A249</f>
        <v/>
      </c>
      <c r="B256" s="5">
        <f>'1 datos preparados'!U249</f>
        <v/>
      </c>
      <c r="C256">
        <f>'1 datos preparados'!B249</f>
        <v/>
      </c>
      <c r="D256" s="7">
        <f>'1 datos preparados'!C249</f>
        <v/>
      </c>
      <c r="E256" s="7">
        <f>'1 datos preparados'!D249</f>
        <v/>
      </c>
      <c r="F256" s="7">
        <f>'1 datos preparados'!E249</f>
        <v/>
      </c>
      <c r="G256" s="7">
        <f>'1 datos preparados'!F249</f>
        <v/>
      </c>
      <c r="H256" s="7">
        <f>'1 datos preparados'!G249</f>
        <v/>
      </c>
      <c r="I256" s="7">
        <f>'1 datos preparados'!H249</f>
        <v/>
      </c>
      <c r="J256" s="7">
        <f>'1 datos preparados'!I249</f>
        <v/>
      </c>
      <c r="K256" s="7">
        <f>'1 datos preparados'!J249</f>
        <v/>
      </c>
      <c r="L256" s="7">
        <f>'1 datos preparados'!K249</f>
        <v/>
      </c>
      <c r="M256" s="7">
        <f>'1 datos preparados'!L249</f>
        <v/>
      </c>
      <c r="N256" s="7">
        <f>'1 datos preparados'!M249</f>
        <v/>
      </c>
      <c r="O256" s="7">
        <f>'1 datos preparados'!N249</f>
        <v/>
      </c>
      <c r="P256" s="7">
        <f>'1 datos preparados'!O249</f>
        <v/>
      </c>
      <c r="Q256" s="7">
        <f>'1 datos preparados'!P249</f>
        <v/>
      </c>
      <c r="R256" s="7">
        <f>'1 datos preparados'!Q249</f>
        <v/>
      </c>
      <c r="S256" s="7">
        <f>'1 datos preparados'!R249</f>
        <v/>
      </c>
      <c r="T256" s="7">
        <f>'1 datos preparados'!S249</f>
        <v/>
      </c>
      <c r="U256" s="7">
        <f>'1 datos preparados'!T249</f>
        <v/>
      </c>
      <c r="V256" s="8">
        <f>$AE$12+D256*$AE$13+E256*$AE$14+F256*$AE$15+G256*$AE$16+H256*$AE$17+I256*$AE$18+J256*$AE$19+K256*$AE$20+L256*$AE$21+M256*$AE$22+N256*$AE$23+O256*$AE$24+P256*$AE$25+Q256*$AE$26+R256*$AE$27+S256*$AE$28+T256*$AE$29+U256*$AE$30</f>
        <v/>
      </c>
      <c r="W256" s="8">
        <f>1/(1+EXP(-V256))</f>
        <v/>
      </c>
      <c r="X256" s="9">
        <f>-IF(C256=1,LN(W256),LN(1-W256))</f>
        <v/>
      </c>
      <c r="Y256" s="8">
        <f>IF(C256=1,$AE$32,$AE$33)</f>
        <v/>
      </c>
      <c r="Z256" s="9">
        <f>Y256*X256</f>
        <v/>
      </c>
      <c r="AA256" s="10">
        <f>IF(W256&gt;$AE$34,1,0)</f>
        <v/>
      </c>
      <c r="AB256">
        <f>IF(AA256=C256,1,0)</f>
        <v/>
      </c>
    </row>
    <row r="257">
      <c r="A257">
        <f>'1 datos preparados'!A250</f>
        <v/>
      </c>
      <c r="B257" s="5">
        <f>'1 datos preparados'!U250</f>
        <v/>
      </c>
      <c r="C257">
        <f>'1 datos preparados'!B250</f>
        <v/>
      </c>
      <c r="D257" s="7">
        <f>'1 datos preparados'!C250</f>
        <v/>
      </c>
      <c r="E257" s="7">
        <f>'1 datos preparados'!D250</f>
        <v/>
      </c>
      <c r="F257" s="7">
        <f>'1 datos preparados'!E250</f>
        <v/>
      </c>
      <c r="G257" s="7">
        <f>'1 datos preparados'!F250</f>
        <v/>
      </c>
      <c r="H257" s="7">
        <f>'1 datos preparados'!G250</f>
        <v/>
      </c>
      <c r="I257" s="7">
        <f>'1 datos preparados'!H250</f>
        <v/>
      </c>
      <c r="J257" s="7">
        <f>'1 datos preparados'!I250</f>
        <v/>
      </c>
      <c r="K257" s="7">
        <f>'1 datos preparados'!J250</f>
        <v/>
      </c>
      <c r="L257" s="7">
        <f>'1 datos preparados'!K250</f>
        <v/>
      </c>
      <c r="M257" s="7">
        <f>'1 datos preparados'!L250</f>
        <v/>
      </c>
      <c r="N257" s="7">
        <f>'1 datos preparados'!M250</f>
        <v/>
      </c>
      <c r="O257" s="7">
        <f>'1 datos preparados'!N250</f>
        <v/>
      </c>
      <c r="P257" s="7">
        <f>'1 datos preparados'!O250</f>
        <v/>
      </c>
      <c r="Q257" s="7">
        <f>'1 datos preparados'!P250</f>
        <v/>
      </c>
      <c r="R257" s="7">
        <f>'1 datos preparados'!Q250</f>
        <v/>
      </c>
      <c r="S257" s="7">
        <f>'1 datos preparados'!R250</f>
        <v/>
      </c>
      <c r="T257" s="7">
        <f>'1 datos preparados'!S250</f>
        <v/>
      </c>
      <c r="U257" s="7">
        <f>'1 datos preparados'!T250</f>
        <v/>
      </c>
      <c r="V257" s="8">
        <f>$AE$12+D257*$AE$13+E257*$AE$14+F257*$AE$15+G257*$AE$16+H257*$AE$17+I257*$AE$18+J257*$AE$19+K257*$AE$20+L257*$AE$21+M257*$AE$22+N257*$AE$23+O257*$AE$24+P257*$AE$25+Q257*$AE$26+R257*$AE$27+S257*$AE$28+T257*$AE$29+U257*$AE$30</f>
        <v/>
      </c>
      <c r="W257" s="8">
        <f>1/(1+EXP(-V257))</f>
        <v/>
      </c>
      <c r="X257" s="9">
        <f>-IF(C257=1,LN(W257),LN(1-W257))</f>
        <v/>
      </c>
      <c r="Y257" s="8">
        <f>IF(C257=1,$AE$32,$AE$33)</f>
        <v/>
      </c>
      <c r="Z257" s="9">
        <f>Y257*X257</f>
        <v/>
      </c>
      <c r="AA257" s="10">
        <f>IF(W257&gt;$AE$34,1,0)</f>
        <v/>
      </c>
      <c r="AB257">
        <f>IF(AA257=C257,1,0)</f>
        <v/>
      </c>
    </row>
    <row r="258">
      <c r="A258">
        <f>'1 datos preparados'!A251</f>
        <v/>
      </c>
      <c r="B258" s="5">
        <f>'1 datos preparados'!U251</f>
        <v/>
      </c>
      <c r="C258">
        <f>'1 datos preparados'!B251</f>
        <v/>
      </c>
      <c r="D258" s="7">
        <f>'1 datos preparados'!C251</f>
        <v/>
      </c>
      <c r="E258" s="7">
        <f>'1 datos preparados'!D251</f>
        <v/>
      </c>
      <c r="F258" s="7">
        <f>'1 datos preparados'!E251</f>
        <v/>
      </c>
      <c r="G258" s="7">
        <f>'1 datos preparados'!F251</f>
        <v/>
      </c>
      <c r="H258" s="7">
        <f>'1 datos preparados'!G251</f>
        <v/>
      </c>
      <c r="I258" s="7">
        <f>'1 datos preparados'!H251</f>
        <v/>
      </c>
      <c r="J258" s="7">
        <f>'1 datos preparados'!I251</f>
        <v/>
      </c>
      <c r="K258" s="7">
        <f>'1 datos preparados'!J251</f>
        <v/>
      </c>
      <c r="L258" s="7">
        <f>'1 datos preparados'!K251</f>
        <v/>
      </c>
      <c r="M258" s="7">
        <f>'1 datos preparados'!L251</f>
        <v/>
      </c>
      <c r="N258" s="7">
        <f>'1 datos preparados'!M251</f>
        <v/>
      </c>
      <c r="O258" s="7">
        <f>'1 datos preparados'!N251</f>
        <v/>
      </c>
      <c r="P258" s="7">
        <f>'1 datos preparados'!O251</f>
        <v/>
      </c>
      <c r="Q258" s="7">
        <f>'1 datos preparados'!P251</f>
        <v/>
      </c>
      <c r="R258" s="7">
        <f>'1 datos preparados'!Q251</f>
        <v/>
      </c>
      <c r="S258" s="7">
        <f>'1 datos preparados'!R251</f>
        <v/>
      </c>
      <c r="T258" s="7">
        <f>'1 datos preparados'!S251</f>
        <v/>
      </c>
      <c r="U258" s="7">
        <f>'1 datos preparados'!T251</f>
        <v/>
      </c>
      <c r="V258" s="8">
        <f>$AE$12+D258*$AE$13+E258*$AE$14+F258*$AE$15+G258*$AE$16+H258*$AE$17+I258*$AE$18+J258*$AE$19+K258*$AE$20+L258*$AE$21+M258*$AE$22+N258*$AE$23+O258*$AE$24+P258*$AE$25+Q258*$AE$26+R258*$AE$27+S258*$AE$28+T258*$AE$29+U258*$AE$30</f>
        <v/>
      </c>
      <c r="W258" s="8">
        <f>1/(1+EXP(-V258))</f>
        <v/>
      </c>
      <c r="X258" s="9">
        <f>-IF(C258=1,LN(W258),LN(1-W258))</f>
        <v/>
      </c>
      <c r="Y258" s="8">
        <f>IF(C258=1,$AE$32,$AE$33)</f>
        <v/>
      </c>
      <c r="Z258" s="9">
        <f>Y258*X258</f>
        <v/>
      </c>
      <c r="AA258" s="10">
        <f>IF(W258&gt;$AE$34,1,0)</f>
        <v/>
      </c>
      <c r="AB258">
        <f>IF(AA258=C258,1,0)</f>
        <v/>
      </c>
    </row>
    <row r="259">
      <c r="A259">
        <f>'1 datos preparados'!A252</f>
        <v/>
      </c>
      <c r="B259" s="5">
        <f>'1 datos preparados'!U252</f>
        <v/>
      </c>
      <c r="C259">
        <f>'1 datos preparados'!B252</f>
        <v/>
      </c>
      <c r="D259" s="7">
        <f>'1 datos preparados'!C252</f>
        <v/>
      </c>
      <c r="E259" s="7">
        <f>'1 datos preparados'!D252</f>
        <v/>
      </c>
      <c r="F259" s="7">
        <f>'1 datos preparados'!E252</f>
        <v/>
      </c>
      <c r="G259" s="7">
        <f>'1 datos preparados'!F252</f>
        <v/>
      </c>
      <c r="H259" s="7">
        <f>'1 datos preparados'!G252</f>
        <v/>
      </c>
      <c r="I259" s="7">
        <f>'1 datos preparados'!H252</f>
        <v/>
      </c>
      <c r="J259" s="7">
        <f>'1 datos preparados'!I252</f>
        <v/>
      </c>
      <c r="K259" s="7">
        <f>'1 datos preparados'!J252</f>
        <v/>
      </c>
      <c r="L259" s="7">
        <f>'1 datos preparados'!K252</f>
        <v/>
      </c>
      <c r="M259" s="7">
        <f>'1 datos preparados'!L252</f>
        <v/>
      </c>
      <c r="N259" s="7">
        <f>'1 datos preparados'!M252</f>
        <v/>
      </c>
      <c r="O259" s="7">
        <f>'1 datos preparados'!N252</f>
        <v/>
      </c>
      <c r="P259" s="7">
        <f>'1 datos preparados'!O252</f>
        <v/>
      </c>
      <c r="Q259" s="7">
        <f>'1 datos preparados'!P252</f>
        <v/>
      </c>
      <c r="R259" s="7">
        <f>'1 datos preparados'!Q252</f>
        <v/>
      </c>
      <c r="S259" s="7">
        <f>'1 datos preparados'!R252</f>
        <v/>
      </c>
      <c r="T259" s="7">
        <f>'1 datos preparados'!S252</f>
        <v/>
      </c>
      <c r="U259" s="7">
        <f>'1 datos preparados'!T252</f>
        <v/>
      </c>
      <c r="V259" s="8">
        <f>$AE$12+D259*$AE$13+E259*$AE$14+F259*$AE$15+G259*$AE$16+H259*$AE$17+I259*$AE$18+J259*$AE$19+K259*$AE$20+L259*$AE$21+M259*$AE$22+N259*$AE$23+O259*$AE$24+P259*$AE$25+Q259*$AE$26+R259*$AE$27+S259*$AE$28+T259*$AE$29+U259*$AE$30</f>
        <v/>
      </c>
      <c r="W259" s="8">
        <f>1/(1+EXP(-V259))</f>
        <v/>
      </c>
      <c r="X259" s="9">
        <f>-IF(C259=1,LN(W259),LN(1-W259))</f>
        <v/>
      </c>
      <c r="Y259" s="8">
        <f>IF(C259=1,$AE$32,$AE$33)</f>
        <v/>
      </c>
      <c r="Z259" s="9">
        <f>Y259*X259</f>
        <v/>
      </c>
      <c r="AA259" s="10">
        <f>IF(W259&gt;$AE$34,1,0)</f>
        <v/>
      </c>
      <c r="AB259">
        <f>IF(AA259=C259,1,0)</f>
        <v/>
      </c>
    </row>
    <row r="260">
      <c r="A260">
        <f>'1 datos preparados'!A253</f>
        <v/>
      </c>
      <c r="B260" s="5">
        <f>'1 datos preparados'!U253</f>
        <v/>
      </c>
      <c r="C260">
        <f>'1 datos preparados'!B253</f>
        <v/>
      </c>
      <c r="D260" s="7">
        <f>'1 datos preparados'!C253</f>
        <v/>
      </c>
      <c r="E260" s="7">
        <f>'1 datos preparados'!D253</f>
        <v/>
      </c>
      <c r="F260" s="7">
        <f>'1 datos preparados'!E253</f>
        <v/>
      </c>
      <c r="G260" s="7">
        <f>'1 datos preparados'!F253</f>
        <v/>
      </c>
      <c r="H260" s="7">
        <f>'1 datos preparados'!G253</f>
        <v/>
      </c>
      <c r="I260" s="7">
        <f>'1 datos preparados'!H253</f>
        <v/>
      </c>
      <c r="J260" s="7">
        <f>'1 datos preparados'!I253</f>
        <v/>
      </c>
      <c r="K260" s="7">
        <f>'1 datos preparados'!J253</f>
        <v/>
      </c>
      <c r="L260" s="7">
        <f>'1 datos preparados'!K253</f>
        <v/>
      </c>
      <c r="M260" s="7">
        <f>'1 datos preparados'!L253</f>
        <v/>
      </c>
      <c r="N260" s="7">
        <f>'1 datos preparados'!M253</f>
        <v/>
      </c>
      <c r="O260" s="7">
        <f>'1 datos preparados'!N253</f>
        <v/>
      </c>
      <c r="P260" s="7">
        <f>'1 datos preparados'!O253</f>
        <v/>
      </c>
      <c r="Q260" s="7">
        <f>'1 datos preparados'!P253</f>
        <v/>
      </c>
      <c r="R260" s="7">
        <f>'1 datos preparados'!Q253</f>
        <v/>
      </c>
      <c r="S260" s="7">
        <f>'1 datos preparados'!R253</f>
        <v/>
      </c>
      <c r="T260" s="7">
        <f>'1 datos preparados'!S253</f>
        <v/>
      </c>
      <c r="U260" s="7">
        <f>'1 datos preparados'!T253</f>
        <v/>
      </c>
      <c r="V260" s="8">
        <f>$AE$12+D260*$AE$13+E260*$AE$14+F260*$AE$15+G260*$AE$16+H260*$AE$17+I260*$AE$18+J260*$AE$19+K260*$AE$20+L260*$AE$21+M260*$AE$22+N260*$AE$23+O260*$AE$24+P260*$AE$25+Q260*$AE$26+R260*$AE$27+S260*$AE$28+T260*$AE$29+U260*$AE$30</f>
        <v/>
      </c>
      <c r="W260" s="8">
        <f>1/(1+EXP(-V260))</f>
        <v/>
      </c>
      <c r="X260" s="9">
        <f>-IF(C260=1,LN(W260),LN(1-W260))</f>
        <v/>
      </c>
      <c r="Y260" s="8">
        <f>IF(C260=1,$AE$32,$AE$33)</f>
        <v/>
      </c>
      <c r="Z260" s="9">
        <f>Y260*X260</f>
        <v/>
      </c>
      <c r="AA260" s="10">
        <f>IF(W260&gt;$AE$34,1,0)</f>
        <v/>
      </c>
      <c r="AB260">
        <f>IF(AA260=C260,1,0)</f>
        <v/>
      </c>
    </row>
    <row r="261">
      <c r="A261">
        <f>'1 datos preparados'!A254</f>
        <v/>
      </c>
      <c r="B261" s="5">
        <f>'1 datos preparados'!U254</f>
        <v/>
      </c>
      <c r="C261">
        <f>'1 datos preparados'!B254</f>
        <v/>
      </c>
      <c r="D261" s="7">
        <f>'1 datos preparados'!C254</f>
        <v/>
      </c>
      <c r="E261" s="7">
        <f>'1 datos preparados'!D254</f>
        <v/>
      </c>
      <c r="F261" s="7">
        <f>'1 datos preparados'!E254</f>
        <v/>
      </c>
      <c r="G261" s="7">
        <f>'1 datos preparados'!F254</f>
        <v/>
      </c>
      <c r="H261" s="7">
        <f>'1 datos preparados'!G254</f>
        <v/>
      </c>
      <c r="I261" s="7">
        <f>'1 datos preparados'!H254</f>
        <v/>
      </c>
      <c r="J261" s="7">
        <f>'1 datos preparados'!I254</f>
        <v/>
      </c>
      <c r="K261" s="7">
        <f>'1 datos preparados'!J254</f>
        <v/>
      </c>
      <c r="L261" s="7">
        <f>'1 datos preparados'!K254</f>
        <v/>
      </c>
      <c r="M261" s="7">
        <f>'1 datos preparados'!L254</f>
        <v/>
      </c>
      <c r="N261" s="7">
        <f>'1 datos preparados'!M254</f>
        <v/>
      </c>
      <c r="O261" s="7">
        <f>'1 datos preparados'!N254</f>
        <v/>
      </c>
      <c r="P261" s="7">
        <f>'1 datos preparados'!O254</f>
        <v/>
      </c>
      <c r="Q261" s="7">
        <f>'1 datos preparados'!P254</f>
        <v/>
      </c>
      <c r="R261" s="7">
        <f>'1 datos preparados'!Q254</f>
        <v/>
      </c>
      <c r="S261" s="7">
        <f>'1 datos preparados'!R254</f>
        <v/>
      </c>
      <c r="T261" s="7">
        <f>'1 datos preparados'!S254</f>
        <v/>
      </c>
      <c r="U261" s="7">
        <f>'1 datos preparados'!T254</f>
        <v/>
      </c>
      <c r="V261" s="8">
        <f>$AE$12+D261*$AE$13+E261*$AE$14+F261*$AE$15+G261*$AE$16+H261*$AE$17+I261*$AE$18+J261*$AE$19+K261*$AE$20+L261*$AE$21+M261*$AE$22+N261*$AE$23+O261*$AE$24+P261*$AE$25+Q261*$AE$26+R261*$AE$27+S261*$AE$28+T261*$AE$29+U261*$AE$30</f>
        <v/>
      </c>
      <c r="W261" s="8">
        <f>1/(1+EXP(-V261))</f>
        <v/>
      </c>
      <c r="X261" s="9">
        <f>-IF(C261=1,LN(W261),LN(1-W261))</f>
        <v/>
      </c>
      <c r="Y261" s="8">
        <f>IF(C261=1,$AE$32,$AE$33)</f>
        <v/>
      </c>
      <c r="Z261" s="9">
        <f>Y261*X261</f>
        <v/>
      </c>
      <c r="AA261" s="10">
        <f>IF(W261&gt;$AE$34,1,0)</f>
        <v/>
      </c>
      <c r="AB261">
        <f>IF(AA261=C261,1,0)</f>
        <v/>
      </c>
    </row>
    <row r="262">
      <c r="A262">
        <f>'1 datos preparados'!A255</f>
        <v/>
      </c>
      <c r="B262" s="5">
        <f>'1 datos preparados'!U255</f>
        <v/>
      </c>
      <c r="C262">
        <f>'1 datos preparados'!B255</f>
        <v/>
      </c>
      <c r="D262" s="7">
        <f>'1 datos preparados'!C255</f>
        <v/>
      </c>
      <c r="E262" s="7">
        <f>'1 datos preparados'!D255</f>
        <v/>
      </c>
      <c r="F262" s="7">
        <f>'1 datos preparados'!E255</f>
        <v/>
      </c>
      <c r="G262" s="7">
        <f>'1 datos preparados'!F255</f>
        <v/>
      </c>
      <c r="H262" s="7">
        <f>'1 datos preparados'!G255</f>
        <v/>
      </c>
      <c r="I262" s="7">
        <f>'1 datos preparados'!H255</f>
        <v/>
      </c>
      <c r="J262" s="7">
        <f>'1 datos preparados'!I255</f>
        <v/>
      </c>
      <c r="K262" s="7">
        <f>'1 datos preparados'!J255</f>
        <v/>
      </c>
      <c r="L262" s="7">
        <f>'1 datos preparados'!K255</f>
        <v/>
      </c>
      <c r="M262" s="7">
        <f>'1 datos preparados'!L255</f>
        <v/>
      </c>
      <c r="N262" s="7">
        <f>'1 datos preparados'!M255</f>
        <v/>
      </c>
      <c r="O262" s="7">
        <f>'1 datos preparados'!N255</f>
        <v/>
      </c>
      <c r="P262" s="7">
        <f>'1 datos preparados'!O255</f>
        <v/>
      </c>
      <c r="Q262" s="7">
        <f>'1 datos preparados'!P255</f>
        <v/>
      </c>
      <c r="R262" s="7">
        <f>'1 datos preparados'!Q255</f>
        <v/>
      </c>
      <c r="S262" s="7">
        <f>'1 datos preparados'!R255</f>
        <v/>
      </c>
      <c r="T262" s="7">
        <f>'1 datos preparados'!S255</f>
        <v/>
      </c>
      <c r="U262" s="7">
        <f>'1 datos preparados'!T255</f>
        <v/>
      </c>
      <c r="V262" s="8">
        <f>$AE$12+D262*$AE$13+E262*$AE$14+F262*$AE$15+G262*$AE$16+H262*$AE$17+I262*$AE$18+J262*$AE$19+K262*$AE$20+L262*$AE$21+M262*$AE$22+N262*$AE$23+O262*$AE$24+P262*$AE$25+Q262*$AE$26+R262*$AE$27+S262*$AE$28+T262*$AE$29+U262*$AE$30</f>
        <v/>
      </c>
      <c r="W262" s="8">
        <f>1/(1+EXP(-V262))</f>
        <v/>
      </c>
      <c r="X262" s="9">
        <f>-IF(C262=1,LN(W262),LN(1-W262))</f>
        <v/>
      </c>
      <c r="Y262" s="8">
        <f>IF(C262=1,$AE$32,$AE$33)</f>
        <v/>
      </c>
      <c r="Z262" s="9">
        <f>Y262*X262</f>
        <v/>
      </c>
      <c r="AA262" s="10">
        <f>IF(W262&gt;$AE$34,1,0)</f>
        <v/>
      </c>
      <c r="AB262">
        <f>IF(AA262=C262,1,0)</f>
        <v/>
      </c>
    </row>
    <row r="263">
      <c r="A263">
        <f>'1 datos preparados'!A256</f>
        <v/>
      </c>
      <c r="B263" s="5">
        <f>'1 datos preparados'!U256</f>
        <v/>
      </c>
      <c r="C263">
        <f>'1 datos preparados'!B256</f>
        <v/>
      </c>
      <c r="D263" s="7">
        <f>'1 datos preparados'!C256</f>
        <v/>
      </c>
      <c r="E263" s="7">
        <f>'1 datos preparados'!D256</f>
        <v/>
      </c>
      <c r="F263" s="7">
        <f>'1 datos preparados'!E256</f>
        <v/>
      </c>
      <c r="G263" s="7">
        <f>'1 datos preparados'!F256</f>
        <v/>
      </c>
      <c r="H263" s="7">
        <f>'1 datos preparados'!G256</f>
        <v/>
      </c>
      <c r="I263" s="7">
        <f>'1 datos preparados'!H256</f>
        <v/>
      </c>
      <c r="J263" s="7">
        <f>'1 datos preparados'!I256</f>
        <v/>
      </c>
      <c r="K263" s="7">
        <f>'1 datos preparados'!J256</f>
        <v/>
      </c>
      <c r="L263" s="7">
        <f>'1 datos preparados'!K256</f>
        <v/>
      </c>
      <c r="M263" s="7">
        <f>'1 datos preparados'!L256</f>
        <v/>
      </c>
      <c r="N263" s="7">
        <f>'1 datos preparados'!M256</f>
        <v/>
      </c>
      <c r="O263" s="7">
        <f>'1 datos preparados'!N256</f>
        <v/>
      </c>
      <c r="P263" s="7">
        <f>'1 datos preparados'!O256</f>
        <v/>
      </c>
      <c r="Q263" s="7">
        <f>'1 datos preparados'!P256</f>
        <v/>
      </c>
      <c r="R263" s="7">
        <f>'1 datos preparados'!Q256</f>
        <v/>
      </c>
      <c r="S263" s="7">
        <f>'1 datos preparados'!R256</f>
        <v/>
      </c>
      <c r="T263" s="7">
        <f>'1 datos preparados'!S256</f>
        <v/>
      </c>
      <c r="U263" s="7">
        <f>'1 datos preparados'!T256</f>
        <v/>
      </c>
      <c r="V263" s="8">
        <f>$AE$12+D263*$AE$13+E263*$AE$14+F263*$AE$15+G263*$AE$16+H263*$AE$17+I263*$AE$18+J263*$AE$19+K263*$AE$20+L263*$AE$21+M263*$AE$22+N263*$AE$23+O263*$AE$24+P263*$AE$25+Q263*$AE$26+R263*$AE$27+S263*$AE$28+T263*$AE$29+U263*$AE$30</f>
        <v/>
      </c>
      <c r="W263" s="8">
        <f>1/(1+EXP(-V263))</f>
        <v/>
      </c>
      <c r="X263" s="9">
        <f>-IF(C263=1,LN(W263),LN(1-W263))</f>
        <v/>
      </c>
      <c r="Y263" s="8">
        <f>IF(C263=1,$AE$32,$AE$33)</f>
        <v/>
      </c>
      <c r="Z263" s="9">
        <f>Y263*X263</f>
        <v/>
      </c>
      <c r="AA263" s="10">
        <f>IF(W263&gt;$AE$34,1,0)</f>
        <v/>
      </c>
      <c r="AB263">
        <f>IF(AA263=C263,1,0)</f>
        <v/>
      </c>
    </row>
    <row r="264">
      <c r="A264">
        <f>'1 datos preparados'!A257</f>
        <v/>
      </c>
      <c r="B264" s="5">
        <f>'1 datos preparados'!U257</f>
        <v/>
      </c>
      <c r="C264">
        <f>'1 datos preparados'!B257</f>
        <v/>
      </c>
      <c r="D264" s="7">
        <f>'1 datos preparados'!C257</f>
        <v/>
      </c>
      <c r="E264" s="7">
        <f>'1 datos preparados'!D257</f>
        <v/>
      </c>
      <c r="F264" s="7">
        <f>'1 datos preparados'!E257</f>
        <v/>
      </c>
      <c r="G264" s="7">
        <f>'1 datos preparados'!F257</f>
        <v/>
      </c>
      <c r="H264" s="7">
        <f>'1 datos preparados'!G257</f>
        <v/>
      </c>
      <c r="I264" s="7">
        <f>'1 datos preparados'!H257</f>
        <v/>
      </c>
      <c r="J264" s="7">
        <f>'1 datos preparados'!I257</f>
        <v/>
      </c>
      <c r="K264" s="7">
        <f>'1 datos preparados'!J257</f>
        <v/>
      </c>
      <c r="L264" s="7">
        <f>'1 datos preparados'!K257</f>
        <v/>
      </c>
      <c r="M264" s="7">
        <f>'1 datos preparados'!L257</f>
        <v/>
      </c>
      <c r="N264" s="7">
        <f>'1 datos preparados'!M257</f>
        <v/>
      </c>
      <c r="O264" s="7">
        <f>'1 datos preparados'!N257</f>
        <v/>
      </c>
      <c r="P264" s="7">
        <f>'1 datos preparados'!O257</f>
        <v/>
      </c>
      <c r="Q264" s="7">
        <f>'1 datos preparados'!P257</f>
        <v/>
      </c>
      <c r="R264" s="7">
        <f>'1 datos preparados'!Q257</f>
        <v/>
      </c>
      <c r="S264" s="7">
        <f>'1 datos preparados'!R257</f>
        <v/>
      </c>
      <c r="T264" s="7">
        <f>'1 datos preparados'!S257</f>
        <v/>
      </c>
      <c r="U264" s="7">
        <f>'1 datos preparados'!T257</f>
        <v/>
      </c>
      <c r="V264" s="8">
        <f>$AE$12+D264*$AE$13+E264*$AE$14+F264*$AE$15+G264*$AE$16+H264*$AE$17+I264*$AE$18+J264*$AE$19+K264*$AE$20+L264*$AE$21+M264*$AE$22+N264*$AE$23+O264*$AE$24+P264*$AE$25+Q264*$AE$26+R264*$AE$27+S264*$AE$28+T264*$AE$29+U264*$AE$30</f>
        <v/>
      </c>
      <c r="W264" s="8">
        <f>1/(1+EXP(-V264))</f>
        <v/>
      </c>
      <c r="X264" s="9">
        <f>-IF(C264=1,LN(W264),LN(1-W264))</f>
        <v/>
      </c>
      <c r="Y264" s="8">
        <f>IF(C264=1,$AE$32,$AE$33)</f>
        <v/>
      </c>
      <c r="Z264" s="9">
        <f>Y264*X264</f>
        <v/>
      </c>
      <c r="AA264" s="10">
        <f>IF(W264&gt;$AE$34,1,0)</f>
        <v/>
      </c>
      <c r="AB264">
        <f>IF(AA264=C264,1,0)</f>
        <v/>
      </c>
    </row>
    <row r="265">
      <c r="A265">
        <f>'1 datos preparados'!A258</f>
        <v/>
      </c>
      <c r="B265" s="5">
        <f>'1 datos preparados'!U258</f>
        <v/>
      </c>
      <c r="C265">
        <f>'1 datos preparados'!B258</f>
        <v/>
      </c>
      <c r="D265" s="7">
        <f>'1 datos preparados'!C258</f>
        <v/>
      </c>
      <c r="E265" s="7">
        <f>'1 datos preparados'!D258</f>
        <v/>
      </c>
      <c r="F265" s="7">
        <f>'1 datos preparados'!E258</f>
        <v/>
      </c>
      <c r="G265" s="7">
        <f>'1 datos preparados'!F258</f>
        <v/>
      </c>
      <c r="H265" s="7">
        <f>'1 datos preparados'!G258</f>
        <v/>
      </c>
      <c r="I265" s="7">
        <f>'1 datos preparados'!H258</f>
        <v/>
      </c>
      <c r="J265" s="7">
        <f>'1 datos preparados'!I258</f>
        <v/>
      </c>
      <c r="K265" s="7">
        <f>'1 datos preparados'!J258</f>
        <v/>
      </c>
      <c r="L265" s="7">
        <f>'1 datos preparados'!K258</f>
        <v/>
      </c>
      <c r="M265" s="7">
        <f>'1 datos preparados'!L258</f>
        <v/>
      </c>
      <c r="N265" s="7">
        <f>'1 datos preparados'!M258</f>
        <v/>
      </c>
      <c r="O265" s="7">
        <f>'1 datos preparados'!N258</f>
        <v/>
      </c>
      <c r="P265" s="7">
        <f>'1 datos preparados'!O258</f>
        <v/>
      </c>
      <c r="Q265" s="7">
        <f>'1 datos preparados'!P258</f>
        <v/>
      </c>
      <c r="R265" s="7">
        <f>'1 datos preparados'!Q258</f>
        <v/>
      </c>
      <c r="S265" s="7">
        <f>'1 datos preparados'!R258</f>
        <v/>
      </c>
      <c r="T265" s="7">
        <f>'1 datos preparados'!S258</f>
        <v/>
      </c>
      <c r="U265" s="7">
        <f>'1 datos preparados'!T258</f>
        <v/>
      </c>
      <c r="V265" s="8">
        <f>$AE$12+D265*$AE$13+E265*$AE$14+F265*$AE$15+G265*$AE$16+H265*$AE$17+I265*$AE$18+J265*$AE$19+K265*$AE$20+L265*$AE$21+M265*$AE$22+N265*$AE$23+O265*$AE$24+P265*$AE$25+Q265*$AE$26+R265*$AE$27+S265*$AE$28+T265*$AE$29+U265*$AE$30</f>
        <v/>
      </c>
      <c r="W265" s="8">
        <f>1/(1+EXP(-V265))</f>
        <v/>
      </c>
      <c r="X265" s="9">
        <f>-IF(C265=1,LN(W265),LN(1-W265))</f>
        <v/>
      </c>
      <c r="Y265" s="8">
        <f>IF(C265=1,$AE$32,$AE$33)</f>
        <v/>
      </c>
      <c r="Z265" s="9">
        <f>Y265*X265</f>
        <v/>
      </c>
      <c r="AA265" s="10">
        <f>IF(W265&gt;$AE$34,1,0)</f>
        <v/>
      </c>
      <c r="AB265">
        <f>IF(AA265=C265,1,0)</f>
        <v/>
      </c>
    </row>
    <row r="266">
      <c r="A266">
        <f>'1 datos preparados'!A259</f>
        <v/>
      </c>
      <c r="B266" s="5">
        <f>'1 datos preparados'!U259</f>
        <v/>
      </c>
      <c r="C266">
        <f>'1 datos preparados'!B259</f>
        <v/>
      </c>
      <c r="D266" s="7">
        <f>'1 datos preparados'!C259</f>
        <v/>
      </c>
      <c r="E266" s="7">
        <f>'1 datos preparados'!D259</f>
        <v/>
      </c>
      <c r="F266" s="7">
        <f>'1 datos preparados'!E259</f>
        <v/>
      </c>
      <c r="G266" s="7">
        <f>'1 datos preparados'!F259</f>
        <v/>
      </c>
      <c r="H266" s="7">
        <f>'1 datos preparados'!G259</f>
        <v/>
      </c>
      <c r="I266" s="7">
        <f>'1 datos preparados'!H259</f>
        <v/>
      </c>
      <c r="J266" s="7">
        <f>'1 datos preparados'!I259</f>
        <v/>
      </c>
      <c r="K266" s="7">
        <f>'1 datos preparados'!J259</f>
        <v/>
      </c>
      <c r="L266" s="7">
        <f>'1 datos preparados'!K259</f>
        <v/>
      </c>
      <c r="M266" s="7">
        <f>'1 datos preparados'!L259</f>
        <v/>
      </c>
      <c r="N266" s="7">
        <f>'1 datos preparados'!M259</f>
        <v/>
      </c>
      <c r="O266" s="7">
        <f>'1 datos preparados'!N259</f>
        <v/>
      </c>
      <c r="P266" s="7">
        <f>'1 datos preparados'!O259</f>
        <v/>
      </c>
      <c r="Q266" s="7">
        <f>'1 datos preparados'!P259</f>
        <v/>
      </c>
      <c r="R266" s="7">
        <f>'1 datos preparados'!Q259</f>
        <v/>
      </c>
      <c r="S266" s="7">
        <f>'1 datos preparados'!R259</f>
        <v/>
      </c>
      <c r="T266" s="7">
        <f>'1 datos preparados'!S259</f>
        <v/>
      </c>
      <c r="U266" s="7">
        <f>'1 datos preparados'!T259</f>
        <v/>
      </c>
      <c r="V266" s="8">
        <f>$AE$12+D266*$AE$13+E266*$AE$14+F266*$AE$15+G266*$AE$16+H266*$AE$17+I266*$AE$18+J266*$AE$19+K266*$AE$20+L266*$AE$21+M266*$AE$22+N266*$AE$23+O266*$AE$24+P266*$AE$25+Q266*$AE$26+R266*$AE$27+S266*$AE$28+T266*$AE$29+U266*$AE$30</f>
        <v/>
      </c>
      <c r="W266" s="8">
        <f>1/(1+EXP(-V266))</f>
        <v/>
      </c>
      <c r="X266" s="9">
        <f>-IF(C266=1,LN(W266),LN(1-W266))</f>
        <v/>
      </c>
      <c r="Y266" s="8">
        <f>IF(C266=1,$AE$32,$AE$33)</f>
        <v/>
      </c>
      <c r="Z266" s="9">
        <f>Y266*X266</f>
        <v/>
      </c>
      <c r="AA266" s="10">
        <f>IF(W266&gt;$AE$34,1,0)</f>
        <v/>
      </c>
      <c r="AB266">
        <f>IF(AA266=C266,1,0)</f>
        <v/>
      </c>
    </row>
    <row r="267">
      <c r="A267">
        <f>'1 datos preparados'!A260</f>
        <v/>
      </c>
      <c r="B267" s="5">
        <f>'1 datos preparados'!U260</f>
        <v/>
      </c>
      <c r="C267">
        <f>'1 datos preparados'!B260</f>
        <v/>
      </c>
      <c r="D267" s="7">
        <f>'1 datos preparados'!C260</f>
        <v/>
      </c>
      <c r="E267" s="7">
        <f>'1 datos preparados'!D260</f>
        <v/>
      </c>
      <c r="F267" s="7">
        <f>'1 datos preparados'!E260</f>
        <v/>
      </c>
      <c r="G267" s="7">
        <f>'1 datos preparados'!F260</f>
        <v/>
      </c>
      <c r="H267" s="7">
        <f>'1 datos preparados'!G260</f>
        <v/>
      </c>
      <c r="I267" s="7">
        <f>'1 datos preparados'!H260</f>
        <v/>
      </c>
      <c r="J267" s="7">
        <f>'1 datos preparados'!I260</f>
        <v/>
      </c>
      <c r="K267" s="7">
        <f>'1 datos preparados'!J260</f>
        <v/>
      </c>
      <c r="L267" s="7">
        <f>'1 datos preparados'!K260</f>
        <v/>
      </c>
      <c r="M267" s="7">
        <f>'1 datos preparados'!L260</f>
        <v/>
      </c>
      <c r="N267" s="7">
        <f>'1 datos preparados'!M260</f>
        <v/>
      </c>
      <c r="O267" s="7">
        <f>'1 datos preparados'!N260</f>
        <v/>
      </c>
      <c r="P267" s="7">
        <f>'1 datos preparados'!O260</f>
        <v/>
      </c>
      <c r="Q267" s="7">
        <f>'1 datos preparados'!P260</f>
        <v/>
      </c>
      <c r="R267" s="7">
        <f>'1 datos preparados'!Q260</f>
        <v/>
      </c>
      <c r="S267" s="7">
        <f>'1 datos preparados'!R260</f>
        <v/>
      </c>
      <c r="T267" s="7">
        <f>'1 datos preparados'!S260</f>
        <v/>
      </c>
      <c r="U267" s="7">
        <f>'1 datos preparados'!T260</f>
        <v/>
      </c>
      <c r="V267" s="8">
        <f>$AE$12+D267*$AE$13+E267*$AE$14+F267*$AE$15+G267*$AE$16+H267*$AE$17+I267*$AE$18+J267*$AE$19+K267*$AE$20+L267*$AE$21+M267*$AE$22+N267*$AE$23+O267*$AE$24+P267*$AE$25+Q267*$AE$26+R267*$AE$27+S267*$AE$28+T267*$AE$29+U267*$AE$30</f>
        <v/>
      </c>
      <c r="W267" s="8">
        <f>1/(1+EXP(-V267))</f>
        <v/>
      </c>
      <c r="X267" s="9">
        <f>-IF(C267=1,LN(W267),LN(1-W267))</f>
        <v/>
      </c>
      <c r="Y267" s="8">
        <f>IF(C267=1,$AE$32,$AE$33)</f>
        <v/>
      </c>
      <c r="Z267" s="9">
        <f>Y267*X267</f>
        <v/>
      </c>
      <c r="AA267" s="10">
        <f>IF(W267&gt;$AE$34,1,0)</f>
        <v/>
      </c>
      <c r="AB267">
        <f>IF(AA267=C267,1,0)</f>
        <v/>
      </c>
    </row>
    <row r="268">
      <c r="A268">
        <f>'1 datos preparados'!A261</f>
        <v/>
      </c>
      <c r="B268" s="5">
        <f>'1 datos preparados'!U261</f>
        <v/>
      </c>
      <c r="C268">
        <f>'1 datos preparados'!B261</f>
        <v/>
      </c>
      <c r="D268" s="7">
        <f>'1 datos preparados'!C261</f>
        <v/>
      </c>
      <c r="E268" s="7">
        <f>'1 datos preparados'!D261</f>
        <v/>
      </c>
      <c r="F268" s="7">
        <f>'1 datos preparados'!E261</f>
        <v/>
      </c>
      <c r="G268" s="7">
        <f>'1 datos preparados'!F261</f>
        <v/>
      </c>
      <c r="H268" s="7">
        <f>'1 datos preparados'!G261</f>
        <v/>
      </c>
      <c r="I268" s="7">
        <f>'1 datos preparados'!H261</f>
        <v/>
      </c>
      <c r="J268" s="7">
        <f>'1 datos preparados'!I261</f>
        <v/>
      </c>
      <c r="K268" s="7">
        <f>'1 datos preparados'!J261</f>
        <v/>
      </c>
      <c r="L268" s="7">
        <f>'1 datos preparados'!K261</f>
        <v/>
      </c>
      <c r="M268" s="7">
        <f>'1 datos preparados'!L261</f>
        <v/>
      </c>
      <c r="N268" s="7">
        <f>'1 datos preparados'!M261</f>
        <v/>
      </c>
      <c r="O268" s="7">
        <f>'1 datos preparados'!N261</f>
        <v/>
      </c>
      <c r="P268" s="7">
        <f>'1 datos preparados'!O261</f>
        <v/>
      </c>
      <c r="Q268" s="7">
        <f>'1 datos preparados'!P261</f>
        <v/>
      </c>
      <c r="R268" s="7">
        <f>'1 datos preparados'!Q261</f>
        <v/>
      </c>
      <c r="S268" s="7">
        <f>'1 datos preparados'!R261</f>
        <v/>
      </c>
      <c r="T268" s="7">
        <f>'1 datos preparados'!S261</f>
        <v/>
      </c>
      <c r="U268" s="7">
        <f>'1 datos preparados'!T261</f>
        <v/>
      </c>
      <c r="V268" s="8">
        <f>$AE$12+D268*$AE$13+E268*$AE$14+F268*$AE$15+G268*$AE$16+H268*$AE$17+I268*$AE$18+J268*$AE$19+K268*$AE$20+L268*$AE$21+M268*$AE$22+N268*$AE$23+O268*$AE$24+P268*$AE$25+Q268*$AE$26+R268*$AE$27+S268*$AE$28+T268*$AE$29+U268*$AE$30</f>
        <v/>
      </c>
      <c r="W268" s="8">
        <f>1/(1+EXP(-V268))</f>
        <v/>
      </c>
      <c r="X268" s="9">
        <f>-IF(C268=1,LN(W268),LN(1-W268))</f>
        <v/>
      </c>
      <c r="Y268" s="8">
        <f>IF(C268=1,$AE$32,$AE$33)</f>
        <v/>
      </c>
      <c r="Z268" s="9">
        <f>Y268*X268</f>
        <v/>
      </c>
      <c r="AA268" s="10">
        <f>IF(W268&gt;$AE$34,1,0)</f>
        <v/>
      </c>
      <c r="AB268">
        <f>IF(AA268=C268,1,0)</f>
        <v/>
      </c>
    </row>
    <row r="269">
      <c r="A269">
        <f>'1 datos preparados'!A262</f>
        <v/>
      </c>
      <c r="B269" s="5">
        <f>'1 datos preparados'!U262</f>
        <v/>
      </c>
      <c r="C269">
        <f>'1 datos preparados'!B262</f>
        <v/>
      </c>
      <c r="D269" s="7">
        <f>'1 datos preparados'!C262</f>
        <v/>
      </c>
      <c r="E269" s="7">
        <f>'1 datos preparados'!D262</f>
        <v/>
      </c>
      <c r="F269" s="7">
        <f>'1 datos preparados'!E262</f>
        <v/>
      </c>
      <c r="G269" s="7">
        <f>'1 datos preparados'!F262</f>
        <v/>
      </c>
      <c r="H269" s="7">
        <f>'1 datos preparados'!G262</f>
        <v/>
      </c>
      <c r="I269" s="7">
        <f>'1 datos preparados'!H262</f>
        <v/>
      </c>
      <c r="J269" s="7">
        <f>'1 datos preparados'!I262</f>
        <v/>
      </c>
      <c r="K269" s="7">
        <f>'1 datos preparados'!J262</f>
        <v/>
      </c>
      <c r="L269" s="7">
        <f>'1 datos preparados'!K262</f>
        <v/>
      </c>
      <c r="M269" s="7">
        <f>'1 datos preparados'!L262</f>
        <v/>
      </c>
      <c r="N269" s="7">
        <f>'1 datos preparados'!M262</f>
        <v/>
      </c>
      <c r="O269" s="7">
        <f>'1 datos preparados'!N262</f>
        <v/>
      </c>
      <c r="P269" s="7">
        <f>'1 datos preparados'!O262</f>
        <v/>
      </c>
      <c r="Q269" s="7">
        <f>'1 datos preparados'!P262</f>
        <v/>
      </c>
      <c r="R269" s="7">
        <f>'1 datos preparados'!Q262</f>
        <v/>
      </c>
      <c r="S269" s="7">
        <f>'1 datos preparados'!R262</f>
        <v/>
      </c>
      <c r="T269" s="7">
        <f>'1 datos preparados'!S262</f>
        <v/>
      </c>
      <c r="U269" s="7">
        <f>'1 datos preparados'!T262</f>
        <v/>
      </c>
      <c r="V269" s="8">
        <f>$AE$12+D269*$AE$13+E269*$AE$14+F269*$AE$15+G269*$AE$16+H269*$AE$17+I269*$AE$18+J269*$AE$19+K269*$AE$20+L269*$AE$21+M269*$AE$22+N269*$AE$23+O269*$AE$24+P269*$AE$25+Q269*$AE$26+R269*$AE$27+S269*$AE$28+T269*$AE$29+U269*$AE$30</f>
        <v/>
      </c>
      <c r="W269" s="8">
        <f>1/(1+EXP(-V269))</f>
        <v/>
      </c>
      <c r="X269" s="9">
        <f>-IF(C269=1,LN(W269),LN(1-W269))</f>
        <v/>
      </c>
      <c r="Y269" s="8">
        <f>IF(C269=1,$AE$32,$AE$33)</f>
        <v/>
      </c>
      <c r="Z269" s="9">
        <f>Y269*X269</f>
        <v/>
      </c>
      <c r="AA269" s="10">
        <f>IF(W269&gt;$AE$34,1,0)</f>
        <v/>
      </c>
      <c r="AB269">
        <f>IF(AA269=C269,1,0)</f>
        <v/>
      </c>
    </row>
    <row r="270">
      <c r="A270">
        <f>'1 datos preparados'!A263</f>
        <v/>
      </c>
      <c r="B270" s="5">
        <f>'1 datos preparados'!U263</f>
        <v/>
      </c>
      <c r="C270">
        <f>'1 datos preparados'!B263</f>
        <v/>
      </c>
      <c r="D270" s="7">
        <f>'1 datos preparados'!C263</f>
        <v/>
      </c>
      <c r="E270" s="7">
        <f>'1 datos preparados'!D263</f>
        <v/>
      </c>
      <c r="F270" s="7">
        <f>'1 datos preparados'!E263</f>
        <v/>
      </c>
      <c r="G270" s="7">
        <f>'1 datos preparados'!F263</f>
        <v/>
      </c>
      <c r="H270" s="7">
        <f>'1 datos preparados'!G263</f>
        <v/>
      </c>
      <c r="I270" s="7">
        <f>'1 datos preparados'!H263</f>
        <v/>
      </c>
      <c r="J270" s="7">
        <f>'1 datos preparados'!I263</f>
        <v/>
      </c>
      <c r="K270" s="7">
        <f>'1 datos preparados'!J263</f>
        <v/>
      </c>
      <c r="L270" s="7">
        <f>'1 datos preparados'!K263</f>
        <v/>
      </c>
      <c r="M270" s="7">
        <f>'1 datos preparados'!L263</f>
        <v/>
      </c>
      <c r="N270" s="7">
        <f>'1 datos preparados'!M263</f>
        <v/>
      </c>
      <c r="O270" s="7">
        <f>'1 datos preparados'!N263</f>
        <v/>
      </c>
      <c r="P270" s="7">
        <f>'1 datos preparados'!O263</f>
        <v/>
      </c>
      <c r="Q270" s="7">
        <f>'1 datos preparados'!P263</f>
        <v/>
      </c>
      <c r="R270" s="7">
        <f>'1 datos preparados'!Q263</f>
        <v/>
      </c>
      <c r="S270" s="7">
        <f>'1 datos preparados'!R263</f>
        <v/>
      </c>
      <c r="T270" s="7">
        <f>'1 datos preparados'!S263</f>
        <v/>
      </c>
      <c r="U270" s="7">
        <f>'1 datos preparados'!T263</f>
        <v/>
      </c>
      <c r="V270" s="8">
        <f>$AE$12+D270*$AE$13+E270*$AE$14+F270*$AE$15+G270*$AE$16+H270*$AE$17+I270*$AE$18+J270*$AE$19+K270*$AE$20+L270*$AE$21+M270*$AE$22+N270*$AE$23+O270*$AE$24+P270*$AE$25+Q270*$AE$26+R270*$AE$27+S270*$AE$28+T270*$AE$29+U270*$AE$30</f>
        <v/>
      </c>
      <c r="W270" s="8">
        <f>1/(1+EXP(-V270))</f>
        <v/>
      </c>
      <c r="X270" s="9">
        <f>-IF(C270=1,LN(W270),LN(1-W270))</f>
        <v/>
      </c>
      <c r="Y270" s="8">
        <f>IF(C270=1,$AE$32,$AE$33)</f>
        <v/>
      </c>
      <c r="Z270" s="9">
        <f>Y270*X270</f>
        <v/>
      </c>
      <c r="AA270" s="10">
        <f>IF(W270&gt;$AE$34,1,0)</f>
        <v/>
      </c>
      <c r="AB270">
        <f>IF(AA270=C270,1,0)</f>
        <v/>
      </c>
    </row>
    <row r="271">
      <c r="A271">
        <f>'1 datos preparados'!A264</f>
        <v/>
      </c>
      <c r="B271" s="5">
        <f>'1 datos preparados'!U264</f>
        <v/>
      </c>
      <c r="C271">
        <f>'1 datos preparados'!B264</f>
        <v/>
      </c>
      <c r="D271" s="7">
        <f>'1 datos preparados'!C264</f>
        <v/>
      </c>
      <c r="E271" s="7">
        <f>'1 datos preparados'!D264</f>
        <v/>
      </c>
      <c r="F271" s="7">
        <f>'1 datos preparados'!E264</f>
        <v/>
      </c>
      <c r="G271" s="7">
        <f>'1 datos preparados'!F264</f>
        <v/>
      </c>
      <c r="H271" s="7">
        <f>'1 datos preparados'!G264</f>
        <v/>
      </c>
      <c r="I271" s="7">
        <f>'1 datos preparados'!H264</f>
        <v/>
      </c>
      <c r="J271" s="7">
        <f>'1 datos preparados'!I264</f>
        <v/>
      </c>
      <c r="K271" s="7">
        <f>'1 datos preparados'!J264</f>
        <v/>
      </c>
      <c r="L271" s="7">
        <f>'1 datos preparados'!K264</f>
        <v/>
      </c>
      <c r="M271" s="7">
        <f>'1 datos preparados'!L264</f>
        <v/>
      </c>
      <c r="N271" s="7">
        <f>'1 datos preparados'!M264</f>
        <v/>
      </c>
      <c r="O271" s="7">
        <f>'1 datos preparados'!N264</f>
        <v/>
      </c>
      <c r="P271" s="7">
        <f>'1 datos preparados'!O264</f>
        <v/>
      </c>
      <c r="Q271" s="7">
        <f>'1 datos preparados'!P264</f>
        <v/>
      </c>
      <c r="R271" s="7">
        <f>'1 datos preparados'!Q264</f>
        <v/>
      </c>
      <c r="S271" s="7">
        <f>'1 datos preparados'!R264</f>
        <v/>
      </c>
      <c r="T271" s="7">
        <f>'1 datos preparados'!S264</f>
        <v/>
      </c>
      <c r="U271" s="7">
        <f>'1 datos preparados'!T264</f>
        <v/>
      </c>
      <c r="V271" s="8">
        <f>$AE$12+D271*$AE$13+E271*$AE$14+F271*$AE$15+G271*$AE$16+H271*$AE$17+I271*$AE$18+J271*$AE$19+K271*$AE$20+L271*$AE$21+M271*$AE$22+N271*$AE$23+O271*$AE$24+P271*$AE$25+Q271*$AE$26+R271*$AE$27+S271*$AE$28+T271*$AE$29+U271*$AE$30</f>
        <v/>
      </c>
      <c r="W271" s="8">
        <f>1/(1+EXP(-V271))</f>
        <v/>
      </c>
      <c r="X271" s="9">
        <f>-IF(C271=1,LN(W271),LN(1-W271))</f>
        <v/>
      </c>
      <c r="Y271" s="8">
        <f>IF(C271=1,$AE$32,$AE$33)</f>
        <v/>
      </c>
      <c r="Z271" s="9">
        <f>Y271*X271</f>
        <v/>
      </c>
      <c r="AA271" s="10">
        <f>IF(W271&gt;$AE$34,1,0)</f>
        <v/>
      </c>
      <c r="AB271">
        <f>IF(AA271=C271,1,0)</f>
        <v/>
      </c>
    </row>
    <row r="272">
      <c r="A272">
        <f>'1 datos preparados'!A265</f>
        <v/>
      </c>
      <c r="B272" s="5">
        <f>'1 datos preparados'!U265</f>
        <v/>
      </c>
      <c r="C272">
        <f>'1 datos preparados'!B265</f>
        <v/>
      </c>
      <c r="D272" s="7">
        <f>'1 datos preparados'!C265</f>
        <v/>
      </c>
      <c r="E272" s="7">
        <f>'1 datos preparados'!D265</f>
        <v/>
      </c>
      <c r="F272" s="7">
        <f>'1 datos preparados'!E265</f>
        <v/>
      </c>
      <c r="G272" s="7">
        <f>'1 datos preparados'!F265</f>
        <v/>
      </c>
      <c r="H272" s="7">
        <f>'1 datos preparados'!G265</f>
        <v/>
      </c>
      <c r="I272" s="7">
        <f>'1 datos preparados'!H265</f>
        <v/>
      </c>
      <c r="J272" s="7">
        <f>'1 datos preparados'!I265</f>
        <v/>
      </c>
      <c r="K272" s="7">
        <f>'1 datos preparados'!J265</f>
        <v/>
      </c>
      <c r="L272" s="7">
        <f>'1 datos preparados'!K265</f>
        <v/>
      </c>
      <c r="M272" s="7">
        <f>'1 datos preparados'!L265</f>
        <v/>
      </c>
      <c r="N272" s="7">
        <f>'1 datos preparados'!M265</f>
        <v/>
      </c>
      <c r="O272" s="7">
        <f>'1 datos preparados'!N265</f>
        <v/>
      </c>
      <c r="P272" s="7">
        <f>'1 datos preparados'!O265</f>
        <v/>
      </c>
      <c r="Q272" s="7">
        <f>'1 datos preparados'!P265</f>
        <v/>
      </c>
      <c r="R272" s="7">
        <f>'1 datos preparados'!Q265</f>
        <v/>
      </c>
      <c r="S272" s="7">
        <f>'1 datos preparados'!R265</f>
        <v/>
      </c>
      <c r="T272" s="7">
        <f>'1 datos preparados'!S265</f>
        <v/>
      </c>
      <c r="U272" s="7">
        <f>'1 datos preparados'!T265</f>
        <v/>
      </c>
      <c r="V272" s="8">
        <f>$AE$12+D272*$AE$13+E272*$AE$14+F272*$AE$15+G272*$AE$16+H272*$AE$17+I272*$AE$18+J272*$AE$19+K272*$AE$20+L272*$AE$21+M272*$AE$22+N272*$AE$23+O272*$AE$24+P272*$AE$25+Q272*$AE$26+R272*$AE$27+S272*$AE$28+T272*$AE$29+U272*$AE$30</f>
        <v/>
      </c>
      <c r="W272" s="8">
        <f>1/(1+EXP(-V272))</f>
        <v/>
      </c>
      <c r="X272" s="9">
        <f>-IF(C272=1,LN(W272),LN(1-W272))</f>
        <v/>
      </c>
      <c r="Y272" s="8">
        <f>IF(C272=1,$AE$32,$AE$33)</f>
        <v/>
      </c>
      <c r="Z272" s="9">
        <f>Y272*X272</f>
        <v/>
      </c>
      <c r="AA272" s="10">
        <f>IF(W272&gt;$AE$34,1,0)</f>
        <v/>
      </c>
      <c r="AB272">
        <f>IF(AA272=C272,1,0)</f>
        <v/>
      </c>
    </row>
    <row r="273">
      <c r="A273">
        <f>'1 datos preparados'!A266</f>
        <v/>
      </c>
      <c r="B273" s="5">
        <f>'1 datos preparados'!U266</f>
        <v/>
      </c>
      <c r="C273">
        <f>'1 datos preparados'!B266</f>
        <v/>
      </c>
      <c r="D273" s="7">
        <f>'1 datos preparados'!C266</f>
        <v/>
      </c>
      <c r="E273" s="7">
        <f>'1 datos preparados'!D266</f>
        <v/>
      </c>
      <c r="F273" s="7">
        <f>'1 datos preparados'!E266</f>
        <v/>
      </c>
      <c r="G273" s="7">
        <f>'1 datos preparados'!F266</f>
        <v/>
      </c>
      <c r="H273" s="7">
        <f>'1 datos preparados'!G266</f>
        <v/>
      </c>
      <c r="I273" s="7">
        <f>'1 datos preparados'!H266</f>
        <v/>
      </c>
      <c r="J273" s="7">
        <f>'1 datos preparados'!I266</f>
        <v/>
      </c>
      <c r="K273" s="7">
        <f>'1 datos preparados'!J266</f>
        <v/>
      </c>
      <c r="L273" s="7">
        <f>'1 datos preparados'!K266</f>
        <v/>
      </c>
      <c r="M273" s="7">
        <f>'1 datos preparados'!L266</f>
        <v/>
      </c>
      <c r="N273" s="7">
        <f>'1 datos preparados'!M266</f>
        <v/>
      </c>
      <c r="O273" s="7">
        <f>'1 datos preparados'!N266</f>
        <v/>
      </c>
      <c r="P273" s="7">
        <f>'1 datos preparados'!O266</f>
        <v/>
      </c>
      <c r="Q273" s="7">
        <f>'1 datos preparados'!P266</f>
        <v/>
      </c>
      <c r="R273" s="7">
        <f>'1 datos preparados'!Q266</f>
        <v/>
      </c>
      <c r="S273" s="7">
        <f>'1 datos preparados'!R266</f>
        <v/>
      </c>
      <c r="T273" s="7">
        <f>'1 datos preparados'!S266</f>
        <v/>
      </c>
      <c r="U273" s="7">
        <f>'1 datos preparados'!T266</f>
        <v/>
      </c>
      <c r="V273" s="8">
        <f>$AE$12+D273*$AE$13+E273*$AE$14+F273*$AE$15+G273*$AE$16+H273*$AE$17+I273*$AE$18+J273*$AE$19+K273*$AE$20+L273*$AE$21+M273*$AE$22+N273*$AE$23+O273*$AE$24+P273*$AE$25+Q273*$AE$26+R273*$AE$27+S273*$AE$28+T273*$AE$29+U273*$AE$30</f>
        <v/>
      </c>
      <c r="W273" s="8">
        <f>1/(1+EXP(-V273))</f>
        <v/>
      </c>
      <c r="X273" s="9">
        <f>-IF(C273=1,LN(W273),LN(1-W273))</f>
        <v/>
      </c>
      <c r="Y273" s="8">
        <f>IF(C273=1,$AE$32,$AE$33)</f>
        <v/>
      </c>
      <c r="Z273" s="9">
        <f>Y273*X273</f>
        <v/>
      </c>
      <c r="AA273" s="10">
        <f>IF(W273&gt;$AE$34,1,0)</f>
        <v/>
      </c>
      <c r="AB273">
        <f>IF(AA273=C273,1,0)</f>
        <v/>
      </c>
    </row>
    <row r="274">
      <c r="A274">
        <f>'1 datos preparados'!A267</f>
        <v/>
      </c>
      <c r="B274" s="5">
        <f>'1 datos preparados'!U267</f>
        <v/>
      </c>
      <c r="C274">
        <f>'1 datos preparados'!B267</f>
        <v/>
      </c>
      <c r="D274" s="7">
        <f>'1 datos preparados'!C267</f>
        <v/>
      </c>
      <c r="E274" s="7">
        <f>'1 datos preparados'!D267</f>
        <v/>
      </c>
      <c r="F274" s="7">
        <f>'1 datos preparados'!E267</f>
        <v/>
      </c>
      <c r="G274" s="7">
        <f>'1 datos preparados'!F267</f>
        <v/>
      </c>
      <c r="H274" s="7">
        <f>'1 datos preparados'!G267</f>
        <v/>
      </c>
      <c r="I274" s="7">
        <f>'1 datos preparados'!H267</f>
        <v/>
      </c>
      <c r="J274" s="7">
        <f>'1 datos preparados'!I267</f>
        <v/>
      </c>
      <c r="K274" s="7">
        <f>'1 datos preparados'!J267</f>
        <v/>
      </c>
      <c r="L274" s="7">
        <f>'1 datos preparados'!K267</f>
        <v/>
      </c>
      <c r="M274" s="7">
        <f>'1 datos preparados'!L267</f>
        <v/>
      </c>
      <c r="N274" s="7">
        <f>'1 datos preparados'!M267</f>
        <v/>
      </c>
      <c r="O274" s="7">
        <f>'1 datos preparados'!N267</f>
        <v/>
      </c>
      <c r="P274" s="7">
        <f>'1 datos preparados'!O267</f>
        <v/>
      </c>
      <c r="Q274" s="7">
        <f>'1 datos preparados'!P267</f>
        <v/>
      </c>
      <c r="R274" s="7">
        <f>'1 datos preparados'!Q267</f>
        <v/>
      </c>
      <c r="S274" s="7">
        <f>'1 datos preparados'!R267</f>
        <v/>
      </c>
      <c r="T274" s="7">
        <f>'1 datos preparados'!S267</f>
        <v/>
      </c>
      <c r="U274" s="7">
        <f>'1 datos preparados'!T267</f>
        <v/>
      </c>
      <c r="V274" s="8">
        <f>$AE$12+D274*$AE$13+E274*$AE$14+F274*$AE$15+G274*$AE$16+H274*$AE$17+I274*$AE$18+J274*$AE$19+K274*$AE$20+L274*$AE$21+M274*$AE$22+N274*$AE$23+O274*$AE$24+P274*$AE$25+Q274*$AE$26+R274*$AE$27+S274*$AE$28+T274*$AE$29+U274*$AE$30</f>
        <v/>
      </c>
      <c r="W274" s="8">
        <f>1/(1+EXP(-V274))</f>
        <v/>
      </c>
      <c r="X274" s="9">
        <f>-IF(C274=1,LN(W274),LN(1-W274))</f>
        <v/>
      </c>
      <c r="Y274" s="8">
        <f>IF(C274=1,$AE$32,$AE$33)</f>
        <v/>
      </c>
      <c r="Z274" s="9">
        <f>Y274*X274</f>
        <v/>
      </c>
      <c r="AA274" s="10">
        <f>IF(W274&gt;$AE$34,1,0)</f>
        <v/>
      </c>
      <c r="AB274">
        <f>IF(AA274=C274,1,0)</f>
        <v/>
      </c>
    </row>
    <row r="275">
      <c r="A275">
        <f>'1 datos preparados'!A268</f>
        <v/>
      </c>
      <c r="B275" s="5">
        <f>'1 datos preparados'!U268</f>
        <v/>
      </c>
      <c r="C275">
        <f>'1 datos preparados'!B268</f>
        <v/>
      </c>
      <c r="D275" s="7">
        <f>'1 datos preparados'!C268</f>
        <v/>
      </c>
      <c r="E275" s="7">
        <f>'1 datos preparados'!D268</f>
        <v/>
      </c>
      <c r="F275" s="7">
        <f>'1 datos preparados'!E268</f>
        <v/>
      </c>
      <c r="G275" s="7">
        <f>'1 datos preparados'!F268</f>
        <v/>
      </c>
      <c r="H275" s="7">
        <f>'1 datos preparados'!G268</f>
        <v/>
      </c>
      <c r="I275" s="7">
        <f>'1 datos preparados'!H268</f>
        <v/>
      </c>
      <c r="J275" s="7">
        <f>'1 datos preparados'!I268</f>
        <v/>
      </c>
      <c r="K275" s="7">
        <f>'1 datos preparados'!J268</f>
        <v/>
      </c>
      <c r="L275" s="7">
        <f>'1 datos preparados'!K268</f>
        <v/>
      </c>
      <c r="M275" s="7">
        <f>'1 datos preparados'!L268</f>
        <v/>
      </c>
      <c r="N275" s="7">
        <f>'1 datos preparados'!M268</f>
        <v/>
      </c>
      <c r="O275" s="7">
        <f>'1 datos preparados'!N268</f>
        <v/>
      </c>
      <c r="P275" s="7">
        <f>'1 datos preparados'!O268</f>
        <v/>
      </c>
      <c r="Q275" s="7">
        <f>'1 datos preparados'!P268</f>
        <v/>
      </c>
      <c r="R275" s="7">
        <f>'1 datos preparados'!Q268</f>
        <v/>
      </c>
      <c r="S275" s="7">
        <f>'1 datos preparados'!R268</f>
        <v/>
      </c>
      <c r="T275" s="7">
        <f>'1 datos preparados'!S268</f>
        <v/>
      </c>
      <c r="U275" s="7">
        <f>'1 datos preparados'!T268</f>
        <v/>
      </c>
      <c r="V275" s="8">
        <f>$AE$12+D275*$AE$13+E275*$AE$14+F275*$AE$15+G275*$AE$16+H275*$AE$17+I275*$AE$18+J275*$AE$19+K275*$AE$20+L275*$AE$21+M275*$AE$22+N275*$AE$23+O275*$AE$24+P275*$AE$25+Q275*$AE$26+R275*$AE$27+S275*$AE$28+T275*$AE$29+U275*$AE$30</f>
        <v/>
      </c>
      <c r="W275" s="8">
        <f>1/(1+EXP(-V275))</f>
        <v/>
      </c>
      <c r="X275" s="9">
        <f>-IF(C275=1,LN(W275),LN(1-W275))</f>
        <v/>
      </c>
      <c r="Y275" s="8">
        <f>IF(C275=1,$AE$32,$AE$33)</f>
        <v/>
      </c>
      <c r="Z275" s="9">
        <f>Y275*X275</f>
        <v/>
      </c>
      <c r="AA275" s="10">
        <f>IF(W275&gt;$AE$34,1,0)</f>
        <v/>
      </c>
      <c r="AB275">
        <f>IF(AA275=C275,1,0)</f>
        <v/>
      </c>
    </row>
    <row r="276">
      <c r="A276">
        <f>'1 datos preparados'!A269</f>
        <v/>
      </c>
      <c r="B276" s="5">
        <f>'1 datos preparados'!U269</f>
        <v/>
      </c>
      <c r="C276">
        <f>'1 datos preparados'!B269</f>
        <v/>
      </c>
      <c r="D276" s="7">
        <f>'1 datos preparados'!C269</f>
        <v/>
      </c>
      <c r="E276" s="7">
        <f>'1 datos preparados'!D269</f>
        <v/>
      </c>
      <c r="F276" s="7">
        <f>'1 datos preparados'!E269</f>
        <v/>
      </c>
      <c r="G276" s="7">
        <f>'1 datos preparados'!F269</f>
        <v/>
      </c>
      <c r="H276" s="7">
        <f>'1 datos preparados'!G269</f>
        <v/>
      </c>
      <c r="I276" s="7">
        <f>'1 datos preparados'!H269</f>
        <v/>
      </c>
      <c r="J276" s="7">
        <f>'1 datos preparados'!I269</f>
        <v/>
      </c>
      <c r="K276" s="7">
        <f>'1 datos preparados'!J269</f>
        <v/>
      </c>
      <c r="L276" s="7">
        <f>'1 datos preparados'!K269</f>
        <v/>
      </c>
      <c r="M276" s="7">
        <f>'1 datos preparados'!L269</f>
        <v/>
      </c>
      <c r="N276" s="7">
        <f>'1 datos preparados'!M269</f>
        <v/>
      </c>
      <c r="O276" s="7">
        <f>'1 datos preparados'!N269</f>
        <v/>
      </c>
      <c r="P276" s="7">
        <f>'1 datos preparados'!O269</f>
        <v/>
      </c>
      <c r="Q276" s="7">
        <f>'1 datos preparados'!P269</f>
        <v/>
      </c>
      <c r="R276" s="7">
        <f>'1 datos preparados'!Q269</f>
        <v/>
      </c>
      <c r="S276" s="7">
        <f>'1 datos preparados'!R269</f>
        <v/>
      </c>
      <c r="T276" s="7">
        <f>'1 datos preparados'!S269</f>
        <v/>
      </c>
      <c r="U276" s="7">
        <f>'1 datos preparados'!T269</f>
        <v/>
      </c>
      <c r="V276" s="8">
        <f>$AE$12+D276*$AE$13+E276*$AE$14+F276*$AE$15+G276*$AE$16+H276*$AE$17+I276*$AE$18+J276*$AE$19+K276*$AE$20+L276*$AE$21+M276*$AE$22+N276*$AE$23+O276*$AE$24+P276*$AE$25+Q276*$AE$26+R276*$AE$27+S276*$AE$28+T276*$AE$29+U276*$AE$30</f>
        <v/>
      </c>
      <c r="W276" s="8">
        <f>1/(1+EXP(-V276))</f>
        <v/>
      </c>
      <c r="X276" s="9">
        <f>-IF(C276=1,LN(W276),LN(1-W276))</f>
        <v/>
      </c>
      <c r="Y276" s="8">
        <f>IF(C276=1,$AE$32,$AE$33)</f>
        <v/>
      </c>
      <c r="Z276" s="9">
        <f>Y276*X276</f>
        <v/>
      </c>
      <c r="AA276" s="10">
        <f>IF(W276&gt;$AE$34,1,0)</f>
        <v/>
      </c>
      <c r="AB276">
        <f>IF(AA276=C276,1,0)</f>
        <v/>
      </c>
    </row>
    <row r="277">
      <c r="A277">
        <f>'1 datos preparados'!A270</f>
        <v/>
      </c>
      <c r="B277" s="5">
        <f>'1 datos preparados'!U270</f>
        <v/>
      </c>
      <c r="C277">
        <f>'1 datos preparados'!B270</f>
        <v/>
      </c>
      <c r="D277" s="7">
        <f>'1 datos preparados'!C270</f>
        <v/>
      </c>
      <c r="E277" s="7">
        <f>'1 datos preparados'!D270</f>
        <v/>
      </c>
      <c r="F277" s="7">
        <f>'1 datos preparados'!E270</f>
        <v/>
      </c>
      <c r="G277" s="7">
        <f>'1 datos preparados'!F270</f>
        <v/>
      </c>
      <c r="H277" s="7">
        <f>'1 datos preparados'!G270</f>
        <v/>
      </c>
      <c r="I277" s="7">
        <f>'1 datos preparados'!H270</f>
        <v/>
      </c>
      <c r="J277" s="7">
        <f>'1 datos preparados'!I270</f>
        <v/>
      </c>
      <c r="K277" s="7">
        <f>'1 datos preparados'!J270</f>
        <v/>
      </c>
      <c r="L277" s="7">
        <f>'1 datos preparados'!K270</f>
        <v/>
      </c>
      <c r="M277" s="7">
        <f>'1 datos preparados'!L270</f>
        <v/>
      </c>
      <c r="N277" s="7">
        <f>'1 datos preparados'!M270</f>
        <v/>
      </c>
      <c r="O277" s="7">
        <f>'1 datos preparados'!N270</f>
        <v/>
      </c>
      <c r="P277" s="7">
        <f>'1 datos preparados'!O270</f>
        <v/>
      </c>
      <c r="Q277" s="7">
        <f>'1 datos preparados'!P270</f>
        <v/>
      </c>
      <c r="R277" s="7">
        <f>'1 datos preparados'!Q270</f>
        <v/>
      </c>
      <c r="S277" s="7">
        <f>'1 datos preparados'!R270</f>
        <v/>
      </c>
      <c r="T277" s="7">
        <f>'1 datos preparados'!S270</f>
        <v/>
      </c>
      <c r="U277" s="7">
        <f>'1 datos preparados'!T270</f>
        <v/>
      </c>
      <c r="V277" s="8">
        <f>$AE$12+D277*$AE$13+E277*$AE$14+F277*$AE$15+G277*$AE$16+H277*$AE$17+I277*$AE$18+J277*$AE$19+K277*$AE$20+L277*$AE$21+M277*$AE$22+N277*$AE$23+O277*$AE$24+P277*$AE$25+Q277*$AE$26+R277*$AE$27+S277*$AE$28+T277*$AE$29+U277*$AE$30</f>
        <v/>
      </c>
      <c r="W277" s="8">
        <f>1/(1+EXP(-V277))</f>
        <v/>
      </c>
      <c r="X277" s="9">
        <f>-IF(C277=1,LN(W277),LN(1-W277))</f>
        <v/>
      </c>
      <c r="Y277" s="8">
        <f>IF(C277=1,$AE$32,$AE$33)</f>
        <v/>
      </c>
      <c r="Z277" s="9">
        <f>Y277*X277</f>
        <v/>
      </c>
      <c r="AA277" s="10">
        <f>IF(W277&gt;$AE$34,1,0)</f>
        <v/>
      </c>
      <c r="AB277">
        <f>IF(AA277=C277,1,0)</f>
        <v/>
      </c>
    </row>
    <row r="278">
      <c r="A278">
        <f>'1 datos preparados'!A271</f>
        <v/>
      </c>
      <c r="B278" s="5">
        <f>'1 datos preparados'!U271</f>
        <v/>
      </c>
      <c r="C278">
        <f>'1 datos preparados'!B271</f>
        <v/>
      </c>
      <c r="D278" s="7">
        <f>'1 datos preparados'!C271</f>
        <v/>
      </c>
      <c r="E278" s="7">
        <f>'1 datos preparados'!D271</f>
        <v/>
      </c>
      <c r="F278" s="7">
        <f>'1 datos preparados'!E271</f>
        <v/>
      </c>
      <c r="G278" s="7">
        <f>'1 datos preparados'!F271</f>
        <v/>
      </c>
      <c r="H278" s="7">
        <f>'1 datos preparados'!G271</f>
        <v/>
      </c>
      <c r="I278" s="7">
        <f>'1 datos preparados'!H271</f>
        <v/>
      </c>
      <c r="J278" s="7">
        <f>'1 datos preparados'!I271</f>
        <v/>
      </c>
      <c r="K278" s="7">
        <f>'1 datos preparados'!J271</f>
        <v/>
      </c>
      <c r="L278" s="7">
        <f>'1 datos preparados'!K271</f>
        <v/>
      </c>
      <c r="M278" s="7">
        <f>'1 datos preparados'!L271</f>
        <v/>
      </c>
      <c r="N278" s="7">
        <f>'1 datos preparados'!M271</f>
        <v/>
      </c>
      <c r="O278" s="7">
        <f>'1 datos preparados'!N271</f>
        <v/>
      </c>
      <c r="P278" s="7">
        <f>'1 datos preparados'!O271</f>
        <v/>
      </c>
      <c r="Q278" s="7">
        <f>'1 datos preparados'!P271</f>
        <v/>
      </c>
      <c r="R278" s="7">
        <f>'1 datos preparados'!Q271</f>
        <v/>
      </c>
      <c r="S278" s="7">
        <f>'1 datos preparados'!R271</f>
        <v/>
      </c>
      <c r="T278" s="7">
        <f>'1 datos preparados'!S271</f>
        <v/>
      </c>
      <c r="U278" s="7">
        <f>'1 datos preparados'!T271</f>
        <v/>
      </c>
      <c r="V278" s="8">
        <f>$AE$12+D278*$AE$13+E278*$AE$14+F278*$AE$15+G278*$AE$16+H278*$AE$17+I278*$AE$18+J278*$AE$19+K278*$AE$20+L278*$AE$21+M278*$AE$22+N278*$AE$23+O278*$AE$24+P278*$AE$25+Q278*$AE$26+R278*$AE$27+S278*$AE$28+T278*$AE$29+U278*$AE$30</f>
        <v/>
      </c>
      <c r="W278" s="8">
        <f>1/(1+EXP(-V278))</f>
        <v/>
      </c>
      <c r="X278" s="9">
        <f>-IF(C278=1,LN(W278),LN(1-W278))</f>
        <v/>
      </c>
      <c r="Y278" s="8">
        <f>IF(C278=1,$AE$32,$AE$33)</f>
        <v/>
      </c>
      <c r="Z278" s="9">
        <f>Y278*X278</f>
        <v/>
      </c>
      <c r="AA278" s="10">
        <f>IF(W278&gt;$AE$34,1,0)</f>
        <v/>
      </c>
      <c r="AB278">
        <f>IF(AA278=C278,1,0)</f>
        <v/>
      </c>
    </row>
    <row r="279">
      <c r="A279">
        <f>'1 datos preparados'!A272</f>
        <v/>
      </c>
      <c r="B279" s="5">
        <f>'1 datos preparados'!U272</f>
        <v/>
      </c>
      <c r="C279">
        <f>'1 datos preparados'!B272</f>
        <v/>
      </c>
      <c r="D279" s="7">
        <f>'1 datos preparados'!C272</f>
        <v/>
      </c>
      <c r="E279" s="7">
        <f>'1 datos preparados'!D272</f>
        <v/>
      </c>
      <c r="F279" s="7">
        <f>'1 datos preparados'!E272</f>
        <v/>
      </c>
      <c r="G279" s="7">
        <f>'1 datos preparados'!F272</f>
        <v/>
      </c>
      <c r="H279" s="7">
        <f>'1 datos preparados'!G272</f>
        <v/>
      </c>
      <c r="I279" s="7">
        <f>'1 datos preparados'!H272</f>
        <v/>
      </c>
      <c r="J279" s="7">
        <f>'1 datos preparados'!I272</f>
        <v/>
      </c>
      <c r="K279" s="7">
        <f>'1 datos preparados'!J272</f>
        <v/>
      </c>
      <c r="L279" s="7">
        <f>'1 datos preparados'!K272</f>
        <v/>
      </c>
      <c r="M279" s="7">
        <f>'1 datos preparados'!L272</f>
        <v/>
      </c>
      <c r="N279" s="7">
        <f>'1 datos preparados'!M272</f>
        <v/>
      </c>
      <c r="O279" s="7">
        <f>'1 datos preparados'!N272</f>
        <v/>
      </c>
      <c r="P279" s="7">
        <f>'1 datos preparados'!O272</f>
        <v/>
      </c>
      <c r="Q279" s="7">
        <f>'1 datos preparados'!P272</f>
        <v/>
      </c>
      <c r="R279" s="7">
        <f>'1 datos preparados'!Q272</f>
        <v/>
      </c>
      <c r="S279" s="7">
        <f>'1 datos preparados'!R272</f>
        <v/>
      </c>
      <c r="T279" s="7">
        <f>'1 datos preparados'!S272</f>
        <v/>
      </c>
      <c r="U279" s="7">
        <f>'1 datos preparados'!T272</f>
        <v/>
      </c>
      <c r="V279" s="8">
        <f>$AE$12+D279*$AE$13+E279*$AE$14+F279*$AE$15+G279*$AE$16+H279*$AE$17+I279*$AE$18+J279*$AE$19+K279*$AE$20+L279*$AE$21+M279*$AE$22+N279*$AE$23+O279*$AE$24+P279*$AE$25+Q279*$AE$26+R279*$AE$27+S279*$AE$28+T279*$AE$29+U279*$AE$30</f>
        <v/>
      </c>
      <c r="W279" s="8">
        <f>1/(1+EXP(-V279))</f>
        <v/>
      </c>
      <c r="X279" s="9">
        <f>-IF(C279=1,LN(W279),LN(1-W279))</f>
        <v/>
      </c>
      <c r="Y279" s="8">
        <f>IF(C279=1,$AE$32,$AE$33)</f>
        <v/>
      </c>
      <c r="Z279" s="9">
        <f>Y279*X279</f>
        <v/>
      </c>
      <c r="AA279" s="10">
        <f>IF(W279&gt;$AE$34,1,0)</f>
        <v/>
      </c>
      <c r="AB279">
        <f>IF(AA279=C279,1,0)</f>
        <v/>
      </c>
    </row>
    <row r="280">
      <c r="A280">
        <f>'1 datos preparados'!A273</f>
        <v/>
      </c>
      <c r="B280" s="5">
        <f>'1 datos preparados'!U273</f>
        <v/>
      </c>
      <c r="C280">
        <f>'1 datos preparados'!B273</f>
        <v/>
      </c>
      <c r="D280" s="7">
        <f>'1 datos preparados'!C273</f>
        <v/>
      </c>
      <c r="E280" s="7">
        <f>'1 datos preparados'!D273</f>
        <v/>
      </c>
      <c r="F280" s="7">
        <f>'1 datos preparados'!E273</f>
        <v/>
      </c>
      <c r="G280" s="7">
        <f>'1 datos preparados'!F273</f>
        <v/>
      </c>
      <c r="H280" s="7">
        <f>'1 datos preparados'!G273</f>
        <v/>
      </c>
      <c r="I280" s="7">
        <f>'1 datos preparados'!H273</f>
        <v/>
      </c>
      <c r="J280" s="7">
        <f>'1 datos preparados'!I273</f>
        <v/>
      </c>
      <c r="K280" s="7">
        <f>'1 datos preparados'!J273</f>
        <v/>
      </c>
      <c r="L280" s="7">
        <f>'1 datos preparados'!K273</f>
        <v/>
      </c>
      <c r="M280" s="7">
        <f>'1 datos preparados'!L273</f>
        <v/>
      </c>
      <c r="N280" s="7">
        <f>'1 datos preparados'!M273</f>
        <v/>
      </c>
      <c r="O280" s="7">
        <f>'1 datos preparados'!N273</f>
        <v/>
      </c>
      <c r="P280" s="7">
        <f>'1 datos preparados'!O273</f>
        <v/>
      </c>
      <c r="Q280" s="7">
        <f>'1 datos preparados'!P273</f>
        <v/>
      </c>
      <c r="R280" s="7">
        <f>'1 datos preparados'!Q273</f>
        <v/>
      </c>
      <c r="S280" s="7">
        <f>'1 datos preparados'!R273</f>
        <v/>
      </c>
      <c r="T280" s="7">
        <f>'1 datos preparados'!S273</f>
        <v/>
      </c>
      <c r="U280" s="7">
        <f>'1 datos preparados'!T273</f>
        <v/>
      </c>
      <c r="V280" s="8">
        <f>$AE$12+D280*$AE$13+E280*$AE$14+F280*$AE$15+G280*$AE$16+H280*$AE$17+I280*$AE$18+J280*$AE$19+K280*$AE$20+L280*$AE$21+M280*$AE$22+N280*$AE$23+O280*$AE$24+P280*$AE$25+Q280*$AE$26+R280*$AE$27+S280*$AE$28+T280*$AE$29+U280*$AE$30</f>
        <v/>
      </c>
      <c r="W280" s="8">
        <f>1/(1+EXP(-V280))</f>
        <v/>
      </c>
      <c r="X280" s="9">
        <f>-IF(C280=1,LN(W280),LN(1-W280))</f>
        <v/>
      </c>
      <c r="Y280" s="8">
        <f>IF(C280=1,$AE$32,$AE$33)</f>
        <v/>
      </c>
      <c r="Z280" s="9">
        <f>Y280*X280</f>
        <v/>
      </c>
      <c r="AA280" s="10">
        <f>IF(W280&gt;$AE$34,1,0)</f>
        <v/>
      </c>
      <c r="AB280">
        <f>IF(AA280=C280,1,0)</f>
        <v/>
      </c>
    </row>
    <row r="281">
      <c r="A281">
        <f>'1 datos preparados'!A274</f>
        <v/>
      </c>
      <c r="B281" s="5">
        <f>'1 datos preparados'!U274</f>
        <v/>
      </c>
      <c r="C281">
        <f>'1 datos preparados'!B274</f>
        <v/>
      </c>
      <c r="D281" s="7">
        <f>'1 datos preparados'!C274</f>
        <v/>
      </c>
      <c r="E281" s="7">
        <f>'1 datos preparados'!D274</f>
        <v/>
      </c>
      <c r="F281" s="7">
        <f>'1 datos preparados'!E274</f>
        <v/>
      </c>
      <c r="G281" s="7">
        <f>'1 datos preparados'!F274</f>
        <v/>
      </c>
      <c r="H281" s="7">
        <f>'1 datos preparados'!G274</f>
        <v/>
      </c>
      <c r="I281" s="7">
        <f>'1 datos preparados'!H274</f>
        <v/>
      </c>
      <c r="J281" s="7">
        <f>'1 datos preparados'!I274</f>
        <v/>
      </c>
      <c r="K281" s="7">
        <f>'1 datos preparados'!J274</f>
        <v/>
      </c>
      <c r="L281" s="7">
        <f>'1 datos preparados'!K274</f>
        <v/>
      </c>
      <c r="M281" s="7">
        <f>'1 datos preparados'!L274</f>
        <v/>
      </c>
      <c r="N281" s="7">
        <f>'1 datos preparados'!M274</f>
        <v/>
      </c>
      <c r="O281" s="7">
        <f>'1 datos preparados'!N274</f>
        <v/>
      </c>
      <c r="P281" s="7">
        <f>'1 datos preparados'!O274</f>
        <v/>
      </c>
      <c r="Q281" s="7">
        <f>'1 datos preparados'!P274</f>
        <v/>
      </c>
      <c r="R281" s="7">
        <f>'1 datos preparados'!Q274</f>
        <v/>
      </c>
      <c r="S281" s="7">
        <f>'1 datos preparados'!R274</f>
        <v/>
      </c>
      <c r="T281" s="7">
        <f>'1 datos preparados'!S274</f>
        <v/>
      </c>
      <c r="U281" s="7">
        <f>'1 datos preparados'!T274</f>
        <v/>
      </c>
      <c r="V281" s="8">
        <f>$AE$12+D281*$AE$13+E281*$AE$14+F281*$AE$15+G281*$AE$16+H281*$AE$17+I281*$AE$18+J281*$AE$19+K281*$AE$20+L281*$AE$21+M281*$AE$22+N281*$AE$23+O281*$AE$24+P281*$AE$25+Q281*$AE$26+R281*$AE$27+S281*$AE$28+T281*$AE$29+U281*$AE$30</f>
        <v/>
      </c>
      <c r="W281" s="8">
        <f>1/(1+EXP(-V281))</f>
        <v/>
      </c>
      <c r="X281" s="9">
        <f>-IF(C281=1,LN(W281),LN(1-W281))</f>
        <v/>
      </c>
      <c r="Y281" s="8">
        <f>IF(C281=1,$AE$32,$AE$33)</f>
        <v/>
      </c>
      <c r="Z281" s="9">
        <f>Y281*X281</f>
        <v/>
      </c>
      <c r="AA281" s="10">
        <f>IF(W281&gt;$AE$34,1,0)</f>
        <v/>
      </c>
      <c r="AB281">
        <f>IF(AA281=C281,1,0)</f>
        <v/>
      </c>
    </row>
    <row r="282">
      <c r="A282">
        <f>'1 datos preparados'!A275</f>
        <v/>
      </c>
      <c r="B282" s="5">
        <f>'1 datos preparados'!U275</f>
        <v/>
      </c>
      <c r="C282">
        <f>'1 datos preparados'!B275</f>
        <v/>
      </c>
      <c r="D282" s="7">
        <f>'1 datos preparados'!C275</f>
        <v/>
      </c>
      <c r="E282" s="7">
        <f>'1 datos preparados'!D275</f>
        <v/>
      </c>
      <c r="F282" s="7">
        <f>'1 datos preparados'!E275</f>
        <v/>
      </c>
      <c r="G282" s="7">
        <f>'1 datos preparados'!F275</f>
        <v/>
      </c>
      <c r="H282" s="7">
        <f>'1 datos preparados'!G275</f>
        <v/>
      </c>
      <c r="I282" s="7">
        <f>'1 datos preparados'!H275</f>
        <v/>
      </c>
      <c r="J282" s="7">
        <f>'1 datos preparados'!I275</f>
        <v/>
      </c>
      <c r="K282" s="7">
        <f>'1 datos preparados'!J275</f>
        <v/>
      </c>
      <c r="L282" s="7">
        <f>'1 datos preparados'!K275</f>
        <v/>
      </c>
      <c r="M282" s="7">
        <f>'1 datos preparados'!L275</f>
        <v/>
      </c>
      <c r="N282" s="7">
        <f>'1 datos preparados'!M275</f>
        <v/>
      </c>
      <c r="O282" s="7">
        <f>'1 datos preparados'!N275</f>
        <v/>
      </c>
      <c r="P282" s="7">
        <f>'1 datos preparados'!O275</f>
        <v/>
      </c>
      <c r="Q282" s="7">
        <f>'1 datos preparados'!P275</f>
        <v/>
      </c>
      <c r="R282" s="7">
        <f>'1 datos preparados'!Q275</f>
        <v/>
      </c>
      <c r="S282" s="7">
        <f>'1 datos preparados'!R275</f>
        <v/>
      </c>
      <c r="T282" s="7">
        <f>'1 datos preparados'!S275</f>
        <v/>
      </c>
      <c r="U282" s="7">
        <f>'1 datos preparados'!T275</f>
        <v/>
      </c>
      <c r="V282" s="8">
        <f>$AE$12+D282*$AE$13+E282*$AE$14+F282*$AE$15+G282*$AE$16+H282*$AE$17+I282*$AE$18+J282*$AE$19+K282*$AE$20+L282*$AE$21+M282*$AE$22+N282*$AE$23+O282*$AE$24+P282*$AE$25+Q282*$AE$26+R282*$AE$27+S282*$AE$28+T282*$AE$29+U282*$AE$30</f>
        <v/>
      </c>
      <c r="W282" s="8">
        <f>1/(1+EXP(-V282))</f>
        <v/>
      </c>
      <c r="X282" s="9">
        <f>-IF(C282=1,LN(W282),LN(1-W282))</f>
        <v/>
      </c>
      <c r="Y282" s="8">
        <f>IF(C282=1,$AE$32,$AE$33)</f>
        <v/>
      </c>
      <c r="Z282" s="9">
        <f>Y282*X282</f>
        <v/>
      </c>
      <c r="AA282" s="10">
        <f>IF(W282&gt;$AE$34,1,0)</f>
        <v/>
      </c>
      <c r="AB282">
        <f>IF(AA282=C282,1,0)</f>
        <v/>
      </c>
    </row>
    <row r="283">
      <c r="A283">
        <f>'1 datos preparados'!A276</f>
        <v/>
      </c>
      <c r="B283" s="5">
        <f>'1 datos preparados'!U276</f>
        <v/>
      </c>
      <c r="C283">
        <f>'1 datos preparados'!B276</f>
        <v/>
      </c>
      <c r="D283" s="7">
        <f>'1 datos preparados'!C276</f>
        <v/>
      </c>
      <c r="E283" s="7">
        <f>'1 datos preparados'!D276</f>
        <v/>
      </c>
      <c r="F283" s="7">
        <f>'1 datos preparados'!E276</f>
        <v/>
      </c>
      <c r="G283" s="7">
        <f>'1 datos preparados'!F276</f>
        <v/>
      </c>
      <c r="H283" s="7">
        <f>'1 datos preparados'!G276</f>
        <v/>
      </c>
      <c r="I283" s="7">
        <f>'1 datos preparados'!H276</f>
        <v/>
      </c>
      <c r="J283" s="7">
        <f>'1 datos preparados'!I276</f>
        <v/>
      </c>
      <c r="K283" s="7">
        <f>'1 datos preparados'!J276</f>
        <v/>
      </c>
      <c r="L283" s="7">
        <f>'1 datos preparados'!K276</f>
        <v/>
      </c>
      <c r="M283" s="7">
        <f>'1 datos preparados'!L276</f>
        <v/>
      </c>
      <c r="N283" s="7">
        <f>'1 datos preparados'!M276</f>
        <v/>
      </c>
      <c r="O283" s="7">
        <f>'1 datos preparados'!N276</f>
        <v/>
      </c>
      <c r="P283" s="7">
        <f>'1 datos preparados'!O276</f>
        <v/>
      </c>
      <c r="Q283" s="7">
        <f>'1 datos preparados'!P276</f>
        <v/>
      </c>
      <c r="R283" s="7">
        <f>'1 datos preparados'!Q276</f>
        <v/>
      </c>
      <c r="S283" s="7">
        <f>'1 datos preparados'!R276</f>
        <v/>
      </c>
      <c r="T283" s="7">
        <f>'1 datos preparados'!S276</f>
        <v/>
      </c>
      <c r="U283" s="7">
        <f>'1 datos preparados'!T276</f>
        <v/>
      </c>
      <c r="V283" s="8">
        <f>$AE$12+D283*$AE$13+E283*$AE$14+F283*$AE$15+G283*$AE$16+H283*$AE$17+I283*$AE$18+J283*$AE$19+K283*$AE$20+L283*$AE$21+M283*$AE$22+N283*$AE$23+O283*$AE$24+P283*$AE$25+Q283*$AE$26+R283*$AE$27+S283*$AE$28+T283*$AE$29+U283*$AE$30</f>
        <v/>
      </c>
      <c r="W283" s="8">
        <f>1/(1+EXP(-V283))</f>
        <v/>
      </c>
      <c r="X283" s="9">
        <f>-IF(C283=1,LN(W283),LN(1-W283))</f>
        <v/>
      </c>
      <c r="Y283" s="8">
        <f>IF(C283=1,$AE$32,$AE$33)</f>
        <v/>
      </c>
      <c r="Z283" s="9">
        <f>Y283*X283</f>
        <v/>
      </c>
      <c r="AA283" s="10">
        <f>IF(W283&gt;$AE$34,1,0)</f>
        <v/>
      </c>
      <c r="AB283">
        <f>IF(AA283=C283,1,0)</f>
        <v/>
      </c>
    </row>
    <row r="284">
      <c r="A284">
        <f>'1 datos preparados'!A277</f>
        <v/>
      </c>
      <c r="B284" s="5">
        <f>'1 datos preparados'!U277</f>
        <v/>
      </c>
      <c r="C284">
        <f>'1 datos preparados'!B277</f>
        <v/>
      </c>
      <c r="D284" s="7">
        <f>'1 datos preparados'!C277</f>
        <v/>
      </c>
      <c r="E284" s="7">
        <f>'1 datos preparados'!D277</f>
        <v/>
      </c>
      <c r="F284" s="7">
        <f>'1 datos preparados'!E277</f>
        <v/>
      </c>
      <c r="G284" s="7">
        <f>'1 datos preparados'!F277</f>
        <v/>
      </c>
      <c r="H284" s="7">
        <f>'1 datos preparados'!G277</f>
        <v/>
      </c>
      <c r="I284" s="7">
        <f>'1 datos preparados'!H277</f>
        <v/>
      </c>
      <c r="J284" s="7">
        <f>'1 datos preparados'!I277</f>
        <v/>
      </c>
      <c r="K284" s="7">
        <f>'1 datos preparados'!J277</f>
        <v/>
      </c>
      <c r="L284" s="7">
        <f>'1 datos preparados'!K277</f>
        <v/>
      </c>
      <c r="M284" s="7">
        <f>'1 datos preparados'!L277</f>
        <v/>
      </c>
      <c r="N284" s="7">
        <f>'1 datos preparados'!M277</f>
        <v/>
      </c>
      <c r="O284" s="7">
        <f>'1 datos preparados'!N277</f>
        <v/>
      </c>
      <c r="P284" s="7">
        <f>'1 datos preparados'!O277</f>
        <v/>
      </c>
      <c r="Q284" s="7">
        <f>'1 datos preparados'!P277</f>
        <v/>
      </c>
      <c r="R284" s="7">
        <f>'1 datos preparados'!Q277</f>
        <v/>
      </c>
      <c r="S284" s="7">
        <f>'1 datos preparados'!R277</f>
        <v/>
      </c>
      <c r="T284" s="7">
        <f>'1 datos preparados'!S277</f>
        <v/>
      </c>
      <c r="U284" s="7">
        <f>'1 datos preparados'!T277</f>
        <v/>
      </c>
      <c r="V284" s="8">
        <f>$AE$12+D284*$AE$13+E284*$AE$14+F284*$AE$15+G284*$AE$16+H284*$AE$17+I284*$AE$18+J284*$AE$19+K284*$AE$20+L284*$AE$21+M284*$AE$22+N284*$AE$23+O284*$AE$24+P284*$AE$25+Q284*$AE$26+R284*$AE$27+S284*$AE$28+T284*$AE$29+U284*$AE$30</f>
        <v/>
      </c>
      <c r="W284" s="8">
        <f>1/(1+EXP(-V284))</f>
        <v/>
      </c>
      <c r="X284" s="9">
        <f>-IF(C284=1,LN(W284),LN(1-W284))</f>
        <v/>
      </c>
      <c r="Y284" s="8">
        <f>IF(C284=1,$AE$32,$AE$33)</f>
        <v/>
      </c>
      <c r="Z284" s="9">
        <f>Y284*X284</f>
        <v/>
      </c>
      <c r="AA284" s="10">
        <f>IF(W284&gt;$AE$34,1,0)</f>
        <v/>
      </c>
      <c r="AB284">
        <f>IF(AA284=C284,1,0)</f>
        <v/>
      </c>
    </row>
    <row r="285">
      <c r="A285">
        <f>'1 datos preparados'!A278</f>
        <v/>
      </c>
      <c r="B285" s="5">
        <f>'1 datos preparados'!U278</f>
        <v/>
      </c>
      <c r="C285">
        <f>'1 datos preparados'!B278</f>
        <v/>
      </c>
      <c r="D285" s="7">
        <f>'1 datos preparados'!C278</f>
        <v/>
      </c>
      <c r="E285" s="7">
        <f>'1 datos preparados'!D278</f>
        <v/>
      </c>
      <c r="F285" s="7">
        <f>'1 datos preparados'!E278</f>
        <v/>
      </c>
      <c r="G285" s="7">
        <f>'1 datos preparados'!F278</f>
        <v/>
      </c>
      <c r="H285" s="7">
        <f>'1 datos preparados'!G278</f>
        <v/>
      </c>
      <c r="I285" s="7">
        <f>'1 datos preparados'!H278</f>
        <v/>
      </c>
      <c r="J285" s="7">
        <f>'1 datos preparados'!I278</f>
        <v/>
      </c>
      <c r="K285" s="7">
        <f>'1 datos preparados'!J278</f>
        <v/>
      </c>
      <c r="L285" s="7">
        <f>'1 datos preparados'!K278</f>
        <v/>
      </c>
      <c r="M285" s="7">
        <f>'1 datos preparados'!L278</f>
        <v/>
      </c>
      <c r="N285" s="7">
        <f>'1 datos preparados'!M278</f>
        <v/>
      </c>
      <c r="O285" s="7">
        <f>'1 datos preparados'!N278</f>
        <v/>
      </c>
      <c r="P285" s="7">
        <f>'1 datos preparados'!O278</f>
        <v/>
      </c>
      <c r="Q285" s="7">
        <f>'1 datos preparados'!P278</f>
        <v/>
      </c>
      <c r="R285" s="7">
        <f>'1 datos preparados'!Q278</f>
        <v/>
      </c>
      <c r="S285" s="7">
        <f>'1 datos preparados'!R278</f>
        <v/>
      </c>
      <c r="T285" s="7">
        <f>'1 datos preparados'!S278</f>
        <v/>
      </c>
      <c r="U285" s="7">
        <f>'1 datos preparados'!T278</f>
        <v/>
      </c>
      <c r="V285" s="8">
        <f>$AE$12+D285*$AE$13+E285*$AE$14+F285*$AE$15+G285*$AE$16+H285*$AE$17+I285*$AE$18+J285*$AE$19+K285*$AE$20+L285*$AE$21+M285*$AE$22+N285*$AE$23+O285*$AE$24+P285*$AE$25+Q285*$AE$26+R285*$AE$27+S285*$AE$28+T285*$AE$29+U285*$AE$30</f>
        <v/>
      </c>
      <c r="W285" s="8">
        <f>1/(1+EXP(-V285))</f>
        <v/>
      </c>
      <c r="X285" s="9">
        <f>-IF(C285=1,LN(W285),LN(1-W285))</f>
        <v/>
      </c>
      <c r="Y285" s="8">
        <f>IF(C285=1,$AE$32,$AE$33)</f>
        <v/>
      </c>
      <c r="Z285" s="9">
        <f>Y285*X285</f>
        <v/>
      </c>
      <c r="AA285" s="10">
        <f>IF(W285&gt;$AE$34,1,0)</f>
        <v/>
      </c>
      <c r="AB285">
        <f>IF(AA285=C285,1,0)</f>
        <v/>
      </c>
    </row>
    <row r="286">
      <c r="A286">
        <f>'1 datos preparados'!A279</f>
        <v/>
      </c>
      <c r="B286" s="5">
        <f>'1 datos preparados'!U279</f>
        <v/>
      </c>
      <c r="C286">
        <f>'1 datos preparados'!B279</f>
        <v/>
      </c>
      <c r="D286" s="7">
        <f>'1 datos preparados'!C279</f>
        <v/>
      </c>
      <c r="E286" s="7">
        <f>'1 datos preparados'!D279</f>
        <v/>
      </c>
      <c r="F286" s="7">
        <f>'1 datos preparados'!E279</f>
        <v/>
      </c>
      <c r="G286" s="7">
        <f>'1 datos preparados'!F279</f>
        <v/>
      </c>
      <c r="H286" s="7">
        <f>'1 datos preparados'!G279</f>
        <v/>
      </c>
      <c r="I286" s="7">
        <f>'1 datos preparados'!H279</f>
        <v/>
      </c>
      <c r="J286" s="7">
        <f>'1 datos preparados'!I279</f>
        <v/>
      </c>
      <c r="K286" s="7">
        <f>'1 datos preparados'!J279</f>
        <v/>
      </c>
      <c r="L286" s="7">
        <f>'1 datos preparados'!K279</f>
        <v/>
      </c>
      <c r="M286" s="7">
        <f>'1 datos preparados'!L279</f>
        <v/>
      </c>
      <c r="N286" s="7">
        <f>'1 datos preparados'!M279</f>
        <v/>
      </c>
      <c r="O286" s="7">
        <f>'1 datos preparados'!N279</f>
        <v/>
      </c>
      <c r="P286" s="7">
        <f>'1 datos preparados'!O279</f>
        <v/>
      </c>
      <c r="Q286" s="7">
        <f>'1 datos preparados'!P279</f>
        <v/>
      </c>
      <c r="R286" s="7">
        <f>'1 datos preparados'!Q279</f>
        <v/>
      </c>
      <c r="S286" s="7">
        <f>'1 datos preparados'!R279</f>
        <v/>
      </c>
      <c r="T286" s="7">
        <f>'1 datos preparados'!S279</f>
        <v/>
      </c>
      <c r="U286" s="7">
        <f>'1 datos preparados'!T279</f>
        <v/>
      </c>
      <c r="V286" s="8">
        <f>$AE$12+D286*$AE$13+E286*$AE$14+F286*$AE$15+G286*$AE$16+H286*$AE$17+I286*$AE$18+J286*$AE$19+K286*$AE$20+L286*$AE$21+M286*$AE$22+N286*$AE$23+O286*$AE$24+P286*$AE$25+Q286*$AE$26+R286*$AE$27+S286*$AE$28+T286*$AE$29+U286*$AE$30</f>
        <v/>
      </c>
      <c r="W286" s="8">
        <f>1/(1+EXP(-V286))</f>
        <v/>
      </c>
      <c r="X286" s="9">
        <f>-IF(C286=1,LN(W286),LN(1-W286))</f>
        <v/>
      </c>
      <c r="Y286" s="8">
        <f>IF(C286=1,$AE$32,$AE$33)</f>
        <v/>
      </c>
      <c r="Z286" s="9">
        <f>Y286*X286</f>
        <v/>
      </c>
      <c r="AA286" s="10">
        <f>IF(W286&gt;$AE$34,1,0)</f>
        <v/>
      </c>
      <c r="AB286">
        <f>IF(AA286=C286,1,0)</f>
        <v/>
      </c>
    </row>
    <row r="287">
      <c r="A287">
        <f>'1 datos preparados'!A280</f>
        <v/>
      </c>
      <c r="B287" s="5">
        <f>'1 datos preparados'!U280</f>
        <v/>
      </c>
      <c r="C287">
        <f>'1 datos preparados'!B280</f>
        <v/>
      </c>
      <c r="D287" s="7">
        <f>'1 datos preparados'!C280</f>
        <v/>
      </c>
      <c r="E287" s="7">
        <f>'1 datos preparados'!D280</f>
        <v/>
      </c>
      <c r="F287" s="7">
        <f>'1 datos preparados'!E280</f>
        <v/>
      </c>
      <c r="G287" s="7">
        <f>'1 datos preparados'!F280</f>
        <v/>
      </c>
      <c r="H287" s="7">
        <f>'1 datos preparados'!G280</f>
        <v/>
      </c>
      <c r="I287" s="7">
        <f>'1 datos preparados'!H280</f>
        <v/>
      </c>
      <c r="J287" s="7">
        <f>'1 datos preparados'!I280</f>
        <v/>
      </c>
      <c r="K287" s="7">
        <f>'1 datos preparados'!J280</f>
        <v/>
      </c>
      <c r="L287" s="7">
        <f>'1 datos preparados'!K280</f>
        <v/>
      </c>
      <c r="M287" s="7">
        <f>'1 datos preparados'!L280</f>
        <v/>
      </c>
      <c r="N287" s="7">
        <f>'1 datos preparados'!M280</f>
        <v/>
      </c>
      <c r="O287" s="7">
        <f>'1 datos preparados'!N280</f>
        <v/>
      </c>
      <c r="P287" s="7">
        <f>'1 datos preparados'!O280</f>
        <v/>
      </c>
      <c r="Q287" s="7">
        <f>'1 datos preparados'!P280</f>
        <v/>
      </c>
      <c r="R287" s="7">
        <f>'1 datos preparados'!Q280</f>
        <v/>
      </c>
      <c r="S287" s="7">
        <f>'1 datos preparados'!R280</f>
        <v/>
      </c>
      <c r="T287" s="7">
        <f>'1 datos preparados'!S280</f>
        <v/>
      </c>
      <c r="U287" s="7">
        <f>'1 datos preparados'!T280</f>
        <v/>
      </c>
      <c r="V287" s="8">
        <f>$AE$12+D287*$AE$13+E287*$AE$14+F287*$AE$15+G287*$AE$16+H287*$AE$17+I287*$AE$18+J287*$AE$19+K287*$AE$20+L287*$AE$21+M287*$AE$22+N287*$AE$23+O287*$AE$24+P287*$AE$25+Q287*$AE$26+R287*$AE$27+S287*$AE$28+T287*$AE$29+U287*$AE$30</f>
        <v/>
      </c>
      <c r="W287" s="8">
        <f>1/(1+EXP(-V287))</f>
        <v/>
      </c>
      <c r="X287" s="9">
        <f>-IF(C287=1,LN(W287),LN(1-W287))</f>
        <v/>
      </c>
      <c r="Y287" s="8">
        <f>IF(C287=1,$AE$32,$AE$33)</f>
        <v/>
      </c>
      <c r="Z287" s="9">
        <f>Y287*X287</f>
        <v/>
      </c>
      <c r="AA287" s="10">
        <f>IF(W287&gt;$AE$34,1,0)</f>
        <v/>
      </c>
      <c r="AB287">
        <f>IF(AA287=C287,1,0)</f>
        <v/>
      </c>
    </row>
    <row r="288">
      <c r="A288">
        <f>'1 datos preparados'!A281</f>
        <v/>
      </c>
      <c r="B288" s="5">
        <f>'1 datos preparados'!U281</f>
        <v/>
      </c>
      <c r="C288">
        <f>'1 datos preparados'!B281</f>
        <v/>
      </c>
      <c r="D288" s="7">
        <f>'1 datos preparados'!C281</f>
        <v/>
      </c>
      <c r="E288" s="7">
        <f>'1 datos preparados'!D281</f>
        <v/>
      </c>
      <c r="F288" s="7">
        <f>'1 datos preparados'!E281</f>
        <v/>
      </c>
      <c r="G288" s="7">
        <f>'1 datos preparados'!F281</f>
        <v/>
      </c>
      <c r="H288" s="7">
        <f>'1 datos preparados'!G281</f>
        <v/>
      </c>
      <c r="I288" s="7">
        <f>'1 datos preparados'!H281</f>
        <v/>
      </c>
      <c r="J288" s="7">
        <f>'1 datos preparados'!I281</f>
        <v/>
      </c>
      <c r="K288" s="7">
        <f>'1 datos preparados'!J281</f>
        <v/>
      </c>
      <c r="L288" s="7">
        <f>'1 datos preparados'!K281</f>
        <v/>
      </c>
      <c r="M288" s="7">
        <f>'1 datos preparados'!L281</f>
        <v/>
      </c>
      <c r="N288" s="7">
        <f>'1 datos preparados'!M281</f>
        <v/>
      </c>
      <c r="O288" s="7">
        <f>'1 datos preparados'!N281</f>
        <v/>
      </c>
      <c r="P288" s="7">
        <f>'1 datos preparados'!O281</f>
        <v/>
      </c>
      <c r="Q288" s="7">
        <f>'1 datos preparados'!P281</f>
        <v/>
      </c>
      <c r="R288" s="7">
        <f>'1 datos preparados'!Q281</f>
        <v/>
      </c>
      <c r="S288" s="7">
        <f>'1 datos preparados'!R281</f>
        <v/>
      </c>
      <c r="T288" s="7">
        <f>'1 datos preparados'!S281</f>
        <v/>
      </c>
      <c r="U288" s="7">
        <f>'1 datos preparados'!T281</f>
        <v/>
      </c>
      <c r="V288" s="8">
        <f>$AE$12+D288*$AE$13+E288*$AE$14+F288*$AE$15+G288*$AE$16+H288*$AE$17+I288*$AE$18+J288*$AE$19+K288*$AE$20+L288*$AE$21+M288*$AE$22+N288*$AE$23+O288*$AE$24+P288*$AE$25+Q288*$AE$26+R288*$AE$27+S288*$AE$28+T288*$AE$29+U288*$AE$30</f>
        <v/>
      </c>
      <c r="W288" s="8">
        <f>1/(1+EXP(-V288))</f>
        <v/>
      </c>
      <c r="X288" s="9">
        <f>-IF(C288=1,LN(W288),LN(1-W288))</f>
        <v/>
      </c>
      <c r="Y288" s="8">
        <f>IF(C288=1,$AE$32,$AE$33)</f>
        <v/>
      </c>
      <c r="Z288" s="9">
        <f>Y288*X288</f>
        <v/>
      </c>
      <c r="AA288" s="10">
        <f>IF(W288&gt;$AE$34,1,0)</f>
        <v/>
      </c>
      <c r="AB288">
        <f>IF(AA288=C288,1,0)</f>
        <v/>
      </c>
    </row>
    <row r="289">
      <c r="A289">
        <f>'1 datos preparados'!A282</f>
        <v/>
      </c>
      <c r="B289" s="5">
        <f>'1 datos preparados'!U282</f>
        <v/>
      </c>
      <c r="C289">
        <f>'1 datos preparados'!B282</f>
        <v/>
      </c>
      <c r="D289" s="7">
        <f>'1 datos preparados'!C282</f>
        <v/>
      </c>
      <c r="E289" s="7">
        <f>'1 datos preparados'!D282</f>
        <v/>
      </c>
      <c r="F289" s="7">
        <f>'1 datos preparados'!E282</f>
        <v/>
      </c>
      <c r="G289" s="7">
        <f>'1 datos preparados'!F282</f>
        <v/>
      </c>
      <c r="H289" s="7">
        <f>'1 datos preparados'!G282</f>
        <v/>
      </c>
      <c r="I289" s="7">
        <f>'1 datos preparados'!H282</f>
        <v/>
      </c>
      <c r="J289" s="7">
        <f>'1 datos preparados'!I282</f>
        <v/>
      </c>
      <c r="K289" s="7">
        <f>'1 datos preparados'!J282</f>
        <v/>
      </c>
      <c r="L289" s="7">
        <f>'1 datos preparados'!K282</f>
        <v/>
      </c>
      <c r="M289" s="7">
        <f>'1 datos preparados'!L282</f>
        <v/>
      </c>
      <c r="N289" s="7">
        <f>'1 datos preparados'!M282</f>
        <v/>
      </c>
      <c r="O289" s="7">
        <f>'1 datos preparados'!N282</f>
        <v/>
      </c>
      <c r="P289" s="7">
        <f>'1 datos preparados'!O282</f>
        <v/>
      </c>
      <c r="Q289" s="7">
        <f>'1 datos preparados'!P282</f>
        <v/>
      </c>
      <c r="R289" s="7">
        <f>'1 datos preparados'!Q282</f>
        <v/>
      </c>
      <c r="S289" s="7">
        <f>'1 datos preparados'!R282</f>
        <v/>
      </c>
      <c r="T289" s="7">
        <f>'1 datos preparados'!S282</f>
        <v/>
      </c>
      <c r="U289" s="7">
        <f>'1 datos preparados'!T282</f>
        <v/>
      </c>
      <c r="V289" s="8">
        <f>$AE$12+D289*$AE$13+E289*$AE$14+F289*$AE$15+G289*$AE$16+H289*$AE$17+I289*$AE$18+J289*$AE$19+K289*$AE$20+L289*$AE$21+M289*$AE$22+N289*$AE$23+O289*$AE$24+P289*$AE$25+Q289*$AE$26+R289*$AE$27+S289*$AE$28+T289*$AE$29+U289*$AE$30</f>
        <v/>
      </c>
      <c r="W289" s="8">
        <f>1/(1+EXP(-V289))</f>
        <v/>
      </c>
      <c r="X289" s="9">
        <f>-IF(C289=1,LN(W289),LN(1-W289))</f>
        <v/>
      </c>
      <c r="Y289" s="8">
        <f>IF(C289=1,$AE$32,$AE$33)</f>
        <v/>
      </c>
      <c r="Z289" s="9">
        <f>Y289*X289</f>
        <v/>
      </c>
      <c r="AA289" s="10">
        <f>IF(W289&gt;$AE$34,1,0)</f>
        <v/>
      </c>
      <c r="AB289">
        <f>IF(AA289=C289,1,0)</f>
        <v/>
      </c>
    </row>
    <row r="290">
      <c r="A290">
        <f>'1 datos preparados'!A283</f>
        <v/>
      </c>
      <c r="B290" s="5">
        <f>'1 datos preparados'!U283</f>
        <v/>
      </c>
      <c r="C290">
        <f>'1 datos preparados'!B283</f>
        <v/>
      </c>
      <c r="D290" s="7">
        <f>'1 datos preparados'!C283</f>
        <v/>
      </c>
      <c r="E290" s="7">
        <f>'1 datos preparados'!D283</f>
        <v/>
      </c>
      <c r="F290" s="7">
        <f>'1 datos preparados'!E283</f>
        <v/>
      </c>
      <c r="G290" s="7">
        <f>'1 datos preparados'!F283</f>
        <v/>
      </c>
      <c r="H290" s="7">
        <f>'1 datos preparados'!G283</f>
        <v/>
      </c>
      <c r="I290" s="7">
        <f>'1 datos preparados'!H283</f>
        <v/>
      </c>
      <c r="J290" s="7">
        <f>'1 datos preparados'!I283</f>
        <v/>
      </c>
      <c r="K290" s="7">
        <f>'1 datos preparados'!J283</f>
        <v/>
      </c>
      <c r="L290" s="7">
        <f>'1 datos preparados'!K283</f>
        <v/>
      </c>
      <c r="M290" s="7">
        <f>'1 datos preparados'!L283</f>
        <v/>
      </c>
      <c r="N290" s="7">
        <f>'1 datos preparados'!M283</f>
        <v/>
      </c>
      <c r="O290" s="7">
        <f>'1 datos preparados'!N283</f>
        <v/>
      </c>
      <c r="P290" s="7">
        <f>'1 datos preparados'!O283</f>
        <v/>
      </c>
      <c r="Q290" s="7">
        <f>'1 datos preparados'!P283</f>
        <v/>
      </c>
      <c r="R290" s="7">
        <f>'1 datos preparados'!Q283</f>
        <v/>
      </c>
      <c r="S290" s="7">
        <f>'1 datos preparados'!R283</f>
        <v/>
      </c>
      <c r="T290" s="7">
        <f>'1 datos preparados'!S283</f>
        <v/>
      </c>
      <c r="U290" s="7">
        <f>'1 datos preparados'!T283</f>
        <v/>
      </c>
      <c r="V290" s="8">
        <f>$AE$12+D290*$AE$13+E290*$AE$14+F290*$AE$15+G290*$AE$16+H290*$AE$17+I290*$AE$18+J290*$AE$19+K290*$AE$20+L290*$AE$21+M290*$AE$22+N290*$AE$23+O290*$AE$24+P290*$AE$25+Q290*$AE$26+R290*$AE$27+S290*$AE$28+T290*$AE$29+U290*$AE$30</f>
        <v/>
      </c>
      <c r="W290" s="8">
        <f>1/(1+EXP(-V290))</f>
        <v/>
      </c>
      <c r="X290" s="9">
        <f>-IF(C290=1,LN(W290),LN(1-W290))</f>
        <v/>
      </c>
      <c r="Y290" s="8">
        <f>IF(C290=1,$AE$32,$AE$33)</f>
        <v/>
      </c>
      <c r="Z290" s="9">
        <f>Y290*X290</f>
        <v/>
      </c>
      <c r="AA290" s="10">
        <f>IF(W290&gt;$AE$34,1,0)</f>
        <v/>
      </c>
      <c r="AB290">
        <f>IF(AA290=C290,1,0)</f>
        <v/>
      </c>
    </row>
    <row r="291">
      <c r="A291">
        <f>'1 datos preparados'!A284</f>
        <v/>
      </c>
      <c r="B291" s="5">
        <f>'1 datos preparados'!U284</f>
        <v/>
      </c>
      <c r="C291">
        <f>'1 datos preparados'!B284</f>
        <v/>
      </c>
      <c r="D291" s="7">
        <f>'1 datos preparados'!C284</f>
        <v/>
      </c>
      <c r="E291" s="7">
        <f>'1 datos preparados'!D284</f>
        <v/>
      </c>
      <c r="F291" s="7">
        <f>'1 datos preparados'!E284</f>
        <v/>
      </c>
      <c r="G291" s="7">
        <f>'1 datos preparados'!F284</f>
        <v/>
      </c>
      <c r="H291" s="7">
        <f>'1 datos preparados'!G284</f>
        <v/>
      </c>
      <c r="I291" s="7">
        <f>'1 datos preparados'!H284</f>
        <v/>
      </c>
      <c r="J291" s="7">
        <f>'1 datos preparados'!I284</f>
        <v/>
      </c>
      <c r="K291" s="7">
        <f>'1 datos preparados'!J284</f>
        <v/>
      </c>
      <c r="L291" s="7">
        <f>'1 datos preparados'!K284</f>
        <v/>
      </c>
      <c r="M291" s="7">
        <f>'1 datos preparados'!L284</f>
        <v/>
      </c>
      <c r="N291" s="7">
        <f>'1 datos preparados'!M284</f>
        <v/>
      </c>
      <c r="O291" s="7">
        <f>'1 datos preparados'!N284</f>
        <v/>
      </c>
      <c r="P291" s="7">
        <f>'1 datos preparados'!O284</f>
        <v/>
      </c>
      <c r="Q291" s="7">
        <f>'1 datos preparados'!P284</f>
        <v/>
      </c>
      <c r="R291" s="7">
        <f>'1 datos preparados'!Q284</f>
        <v/>
      </c>
      <c r="S291" s="7">
        <f>'1 datos preparados'!R284</f>
        <v/>
      </c>
      <c r="T291" s="7">
        <f>'1 datos preparados'!S284</f>
        <v/>
      </c>
      <c r="U291" s="7">
        <f>'1 datos preparados'!T284</f>
        <v/>
      </c>
      <c r="V291" s="8">
        <f>$AE$12+D291*$AE$13+E291*$AE$14+F291*$AE$15+G291*$AE$16+H291*$AE$17+I291*$AE$18+J291*$AE$19+K291*$AE$20+L291*$AE$21+M291*$AE$22+N291*$AE$23+O291*$AE$24+P291*$AE$25+Q291*$AE$26+R291*$AE$27+S291*$AE$28+T291*$AE$29+U291*$AE$30</f>
        <v/>
      </c>
      <c r="W291" s="8">
        <f>1/(1+EXP(-V291))</f>
        <v/>
      </c>
      <c r="X291" s="9">
        <f>-IF(C291=1,LN(W291),LN(1-W291))</f>
        <v/>
      </c>
      <c r="Y291" s="8">
        <f>IF(C291=1,$AE$32,$AE$33)</f>
        <v/>
      </c>
      <c r="Z291" s="9">
        <f>Y291*X291</f>
        <v/>
      </c>
      <c r="AA291" s="10">
        <f>IF(W291&gt;$AE$34,1,0)</f>
        <v/>
      </c>
      <c r="AB291">
        <f>IF(AA291=C291,1,0)</f>
        <v/>
      </c>
    </row>
    <row r="292">
      <c r="A292">
        <f>'1 datos preparados'!A285</f>
        <v/>
      </c>
      <c r="B292" s="5">
        <f>'1 datos preparados'!U285</f>
        <v/>
      </c>
      <c r="C292">
        <f>'1 datos preparados'!B285</f>
        <v/>
      </c>
      <c r="D292" s="7">
        <f>'1 datos preparados'!C285</f>
        <v/>
      </c>
      <c r="E292" s="7">
        <f>'1 datos preparados'!D285</f>
        <v/>
      </c>
      <c r="F292" s="7">
        <f>'1 datos preparados'!E285</f>
        <v/>
      </c>
      <c r="G292" s="7">
        <f>'1 datos preparados'!F285</f>
        <v/>
      </c>
      <c r="H292" s="7">
        <f>'1 datos preparados'!G285</f>
        <v/>
      </c>
      <c r="I292" s="7">
        <f>'1 datos preparados'!H285</f>
        <v/>
      </c>
      <c r="J292" s="7">
        <f>'1 datos preparados'!I285</f>
        <v/>
      </c>
      <c r="K292" s="7">
        <f>'1 datos preparados'!J285</f>
        <v/>
      </c>
      <c r="L292" s="7">
        <f>'1 datos preparados'!K285</f>
        <v/>
      </c>
      <c r="M292" s="7">
        <f>'1 datos preparados'!L285</f>
        <v/>
      </c>
      <c r="N292" s="7">
        <f>'1 datos preparados'!M285</f>
        <v/>
      </c>
      <c r="O292" s="7">
        <f>'1 datos preparados'!N285</f>
        <v/>
      </c>
      <c r="P292" s="7">
        <f>'1 datos preparados'!O285</f>
        <v/>
      </c>
      <c r="Q292" s="7">
        <f>'1 datos preparados'!P285</f>
        <v/>
      </c>
      <c r="R292" s="7">
        <f>'1 datos preparados'!Q285</f>
        <v/>
      </c>
      <c r="S292" s="7">
        <f>'1 datos preparados'!R285</f>
        <v/>
      </c>
      <c r="T292" s="7">
        <f>'1 datos preparados'!S285</f>
        <v/>
      </c>
      <c r="U292" s="7">
        <f>'1 datos preparados'!T285</f>
        <v/>
      </c>
      <c r="V292" s="8">
        <f>$AE$12+D292*$AE$13+E292*$AE$14+F292*$AE$15+G292*$AE$16+H292*$AE$17+I292*$AE$18+J292*$AE$19+K292*$AE$20+L292*$AE$21+M292*$AE$22+N292*$AE$23+O292*$AE$24+P292*$AE$25+Q292*$AE$26+R292*$AE$27+S292*$AE$28+T292*$AE$29+U292*$AE$30</f>
        <v/>
      </c>
      <c r="W292" s="8">
        <f>1/(1+EXP(-V292))</f>
        <v/>
      </c>
      <c r="X292" s="9">
        <f>-IF(C292=1,LN(W292),LN(1-W292))</f>
        <v/>
      </c>
      <c r="Y292" s="8">
        <f>IF(C292=1,$AE$32,$AE$33)</f>
        <v/>
      </c>
      <c r="Z292" s="9">
        <f>Y292*X292</f>
        <v/>
      </c>
      <c r="AA292" s="10">
        <f>IF(W292&gt;$AE$34,1,0)</f>
        <v/>
      </c>
      <c r="AB292">
        <f>IF(AA292=C292,1,0)</f>
        <v/>
      </c>
    </row>
    <row r="293">
      <c r="A293">
        <f>'1 datos preparados'!A286</f>
        <v/>
      </c>
      <c r="B293" s="5">
        <f>'1 datos preparados'!U286</f>
        <v/>
      </c>
      <c r="C293">
        <f>'1 datos preparados'!B286</f>
        <v/>
      </c>
      <c r="D293" s="7">
        <f>'1 datos preparados'!C286</f>
        <v/>
      </c>
      <c r="E293" s="7">
        <f>'1 datos preparados'!D286</f>
        <v/>
      </c>
      <c r="F293" s="7">
        <f>'1 datos preparados'!E286</f>
        <v/>
      </c>
      <c r="G293" s="7">
        <f>'1 datos preparados'!F286</f>
        <v/>
      </c>
      <c r="H293" s="7">
        <f>'1 datos preparados'!G286</f>
        <v/>
      </c>
      <c r="I293" s="7">
        <f>'1 datos preparados'!H286</f>
        <v/>
      </c>
      <c r="J293" s="7">
        <f>'1 datos preparados'!I286</f>
        <v/>
      </c>
      <c r="K293" s="7">
        <f>'1 datos preparados'!J286</f>
        <v/>
      </c>
      <c r="L293" s="7">
        <f>'1 datos preparados'!K286</f>
        <v/>
      </c>
      <c r="M293" s="7">
        <f>'1 datos preparados'!L286</f>
        <v/>
      </c>
      <c r="N293" s="7">
        <f>'1 datos preparados'!M286</f>
        <v/>
      </c>
      <c r="O293" s="7">
        <f>'1 datos preparados'!N286</f>
        <v/>
      </c>
      <c r="P293" s="7">
        <f>'1 datos preparados'!O286</f>
        <v/>
      </c>
      <c r="Q293" s="7">
        <f>'1 datos preparados'!P286</f>
        <v/>
      </c>
      <c r="R293" s="7">
        <f>'1 datos preparados'!Q286</f>
        <v/>
      </c>
      <c r="S293" s="7">
        <f>'1 datos preparados'!R286</f>
        <v/>
      </c>
      <c r="T293" s="7">
        <f>'1 datos preparados'!S286</f>
        <v/>
      </c>
      <c r="U293" s="7">
        <f>'1 datos preparados'!T286</f>
        <v/>
      </c>
      <c r="V293" s="8">
        <f>$AE$12+D293*$AE$13+E293*$AE$14+F293*$AE$15+G293*$AE$16+H293*$AE$17+I293*$AE$18+J293*$AE$19+K293*$AE$20+L293*$AE$21+M293*$AE$22+N293*$AE$23+O293*$AE$24+P293*$AE$25+Q293*$AE$26+R293*$AE$27+S293*$AE$28+T293*$AE$29+U293*$AE$30</f>
        <v/>
      </c>
      <c r="W293" s="8">
        <f>1/(1+EXP(-V293))</f>
        <v/>
      </c>
      <c r="X293" s="9">
        <f>-IF(C293=1,LN(W293),LN(1-W293))</f>
        <v/>
      </c>
      <c r="Y293" s="8">
        <f>IF(C293=1,$AE$32,$AE$33)</f>
        <v/>
      </c>
      <c r="Z293" s="9">
        <f>Y293*X293</f>
        <v/>
      </c>
      <c r="AA293" s="10">
        <f>IF(W293&gt;$AE$34,1,0)</f>
        <v/>
      </c>
      <c r="AB293">
        <f>IF(AA293=C293,1,0)</f>
        <v/>
      </c>
    </row>
    <row r="294">
      <c r="A294">
        <f>'1 datos preparados'!A287</f>
        <v/>
      </c>
      <c r="B294" s="5">
        <f>'1 datos preparados'!U287</f>
        <v/>
      </c>
      <c r="C294">
        <f>'1 datos preparados'!B287</f>
        <v/>
      </c>
      <c r="D294" s="7">
        <f>'1 datos preparados'!C287</f>
        <v/>
      </c>
      <c r="E294" s="7">
        <f>'1 datos preparados'!D287</f>
        <v/>
      </c>
      <c r="F294" s="7">
        <f>'1 datos preparados'!E287</f>
        <v/>
      </c>
      <c r="G294" s="7">
        <f>'1 datos preparados'!F287</f>
        <v/>
      </c>
      <c r="H294" s="7">
        <f>'1 datos preparados'!G287</f>
        <v/>
      </c>
      <c r="I294" s="7">
        <f>'1 datos preparados'!H287</f>
        <v/>
      </c>
      <c r="J294" s="7">
        <f>'1 datos preparados'!I287</f>
        <v/>
      </c>
      <c r="K294" s="7">
        <f>'1 datos preparados'!J287</f>
        <v/>
      </c>
      <c r="L294" s="7">
        <f>'1 datos preparados'!K287</f>
        <v/>
      </c>
      <c r="M294" s="7">
        <f>'1 datos preparados'!L287</f>
        <v/>
      </c>
      <c r="N294" s="7">
        <f>'1 datos preparados'!M287</f>
        <v/>
      </c>
      <c r="O294" s="7">
        <f>'1 datos preparados'!N287</f>
        <v/>
      </c>
      <c r="P294" s="7">
        <f>'1 datos preparados'!O287</f>
        <v/>
      </c>
      <c r="Q294" s="7">
        <f>'1 datos preparados'!P287</f>
        <v/>
      </c>
      <c r="R294" s="7">
        <f>'1 datos preparados'!Q287</f>
        <v/>
      </c>
      <c r="S294" s="7">
        <f>'1 datos preparados'!R287</f>
        <v/>
      </c>
      <c r="T294" s="7">
        <f>'1 datos preparados'!S287</f>
        <v/>
      </c>
      <c r="U294" s="7">
        <f>'1 datos preparados'!T287</f>
        <v/>
      </c>
      <c r="V294" s="8">
        <f>$AE$12+D294*$AE$13+E294*$AE$14+F294*$AE$15+G294*$AE$16+H294*$AE$17+I294*$AE$18+J294*$AE$19+K294*$AE$20+L294*$AE$21+M294*$AE$22+N294*$AE$23+O294*$AE$24+P294*$AE$25+Q294*$AE$26+R294*$AE$27+S294*$AE$28+T294*$AE$29+U294*$AE$30</f>
        <v/>
      </c>
      <c r="W294" s="8">
        <f>1/(1+EXP(-V294))</f>
        <v/>
      </c>
      <c r="X294" s="9">
        <f>-IF(C294=1,LN(W294),LN(1-W294))</f>
        <v/>
      </c>
      <c r="Y294" s="8">
        <f>IF(C294=1,$AE$32,$AE$33)</f>
        <v/>
      </c>
      <c r="Z294" s="9">
        <f>Y294*X294</f>
        <v/>
      </c>
      <c r="AA294" s="10">
        <f>IF(W294&gt;$AE$34,1,0)</f>
        <v/>
      </c>
      <c r="AB294">
        <f>IF(AA294=C294,1,0)</f>
        <v/>
      </c>
    </row>
    <row r="295">
      <c r="A295">
        <f>'1 datos preparados'!A288</f>
        <v/>
      </c>
      <c r="B295" s="5">
        <f>'1 datos preparados'!U288</f>
        <v/>
      </c>
      <c r="C295">
        <f>'1 datos preparados'!B288</f>
        <v/>
      </c>
      <c r="D295" s="7">
        <f>'1 datos preparados'!C288</f>
        <v/>
      </c>
      <c r="E295" s="7">
        <f>'1 datos preparados'!D288</f>
        <v/>
      </c>
      <c r="F295" s="7">
        <f>'1 datos preparados'!E288</f>
        <v/>
      </c>
      <c r="G295" s="7">
        <f>'1 datos preparados'!F288</f>
        <v/>
      </c>
      <c r="H295" s="7">
        <f>'1 datos preparados'!G288</f>
        <v/>
      </c>
      <c r="I295" s="7">
        <f>'1 datos preparados'!H288</f>
        <v/>
      </c>
      <c r="J295" s="7">
        <f>'1 datos preparados'!I288</f>
        <v/>
      </c>
      <c r="K295" s="7">
        <f>'1 datos preparados'!J288</f>
        <v/>
      </c>
      <c r="L295" s="7">
        <f>'1 datos preparados'!K288</f>
        <v/>
      </c>
      <c r="M295" s="7">
        <f>'1 datos preparados'!L288</f>
        <v/>
      </c>
      <c r="N295" s="7">
        <f>'1 datos preparados'!M288</f>
        <v/>
      </c>
      <c r="O295" s="7">
        <f>'1 datos preparados'!N288</f>
        <v/>
      </c>
      <c r="P295" s="7">
        <f>'1 datos preparados'!O288</f>
        <v/>
      </c>
      <c r="Q295" s="7">
        <f>'1 datos preparados'!P288</f>
        <v/>
      </c>
      <c r="R295" s="7">
        <f>'1 datos preparados'!Q288</f>
        <v/>
      </c>
      <c r="S295" s="7">
        <f>'1 datos preparados'!R288</f>
        <v/>
      </c>
      <c r="T295" s="7">
        <f>'1 datos preparados'!S288</f>
        <v/>
      </c>
      <c r="U295" s="7">
        <f>'1 datos preparados'!T288</f>
        <v/>
      </c>
      <c r="V295" s="8">
        <f>$AE$12+D295*$AE$13+E295*$AE$14+F295*$AE$15+G295*$AE$16+H295*$AE$17+I295*$AE$18+J295*$AE$19+K295*$AE$20+L295*$AE$21+M295*$AE$22+N295*$AE$23+O295*$AE$24+P295*$AE$25+Q295*$AE$26+R295*$AE$27+S295*$AE$28+T295*$AE$29+U295*$AE$30</f>
        <v/>
      </c>
      <c r="W295" s="8">
        <f>1/(1+EXP(-V295))</f>
        <v/>
      </c>
      <c r="X295" s="9">
        <f>-IF(C295=1,LN(W295),LN(1-W295))</f>
        <v/>
      </c>
      <c r="Y295" s="8">
        <f>IF(C295=1,$AE$32,$AE$33)</f>
        <v/>
      </c>
      <c r="Z295" s="9">
        <f>Y295*X295</f>
        <v/>
      </c>
      <c r="AA295" s="10">
        <f>IF(W295&gt;$AE$34,1,0)</f>
        <v/>
      </c>
      <c r="AB295">
        <f>IF(AA295=C295,1,0)</f>
        <v/>
      </c>
    </row>
    <row r="296">
      <c r="A296">
        <f>'1 datos preparados'!A289</f>
        <v/>
      </c>
      <c r="B296" s="5">
        <f>'1 datos preparados'!U289</f>
        <v/>
      </c>
      <c r="C296">
        <f>'1 datos preparados'!B289</f>
        <v/>
      </c>
      <c r="D296" s="7">
        <f>'1 datos preparados'!C289</f>
        <v/>
      </c>
      <c r="E296" s="7">
        <f>'1 datos preparados'!D289</f>
        <v/>
      </c>
      <c r="F296" s="7">
        <f>'1 datos preparados'!E289</f>
        <v/>
      </c>
      <c r="G296" s="7">
        <f>'1 datos preparados'!F289</f>
        <v/>
      </c>
      <c r="H296" s="7">
        <f>'1 datos preparados'!G289</f>
        <v/>
      </c>
      <c r="I296" s="7">
        <f>'1 datos preparados'!H289</f>
        <v/>
      </c>
      <c r="J296" s="7">
        <f>'1 datos preparados'!I289</f>
        <v/>
      </c>
      <c r="K296" s="7">
        <f>'1 datos preparados'!J289</f>
        <v/>
      </c>
      <c r="L296" s="7">
        <f>'1 datos preparados'!K289</f>
        <v/>
      </c>
      <c r="M296" s="7">
        <f>'1 datos preparados'!L289</f>
        <v/>
      </c>
      <c r="N296" s="7">
        <f>'1 datos preparados'!M289</f>
        <v/>
      </c>
      <c r="O296" s="7">
        <f>'1 datos preparados'!N289</f>
        <v/>
      </c>
      <c r="P296" s="7">
        <f>'1 datos preparados'!O289</f>
        <v/>
      </c>
      <c r="Q296" s="7">
        <f>'1 datos preparados'!P289</f>
        <v/>
      </c>
      <c r="R296" s="7">
        <f>'1 datos preparados'!Q289</f>
        <v/>
      </c>
      <c r="S296" s="7">
        <f>'1 datos preparados'!R289</f>
        <v/>
      </c>
      <c r="T296" s="7">
        <f>'1 datos preparados'!S289</f>
        <v/>
      </c>
      <c r="U296" s="7">
        <f>'1 datos preparados'!T289</f>
        <v/>
      </c>
      <c r="V296" s="8">
        <f>$AE$12+D296*$AE$13+E296*$AE$14+F296*$AE$15+G296*$AE$16+H296*$AE$17+I296*$AE$18+J296*$AE$19+K296*$AE$20+L296*$AE$21+M296*$AE$22+N296*$AE$23+O296*$AE$24+P296*$AE$25+Q296*$AE$26+R296*$AE$27+S296*$AE$28+T296*$AE$29+U296*$AE$30</f>
        <v/>
      </c>
      <c r="W296" s="8">
        <f>1/(1+EXP(-V296))</f>
        <v/>
      </c>
      <c r="X296" s="9">
        <f>-IF(C296=1,LN(W296),LN(1-W296))</f>
        <v/>
      </c>
      <c r="Y296" s="8">
        <f>IF(C296=1,$AE$32,$AE$33)</f>
        <v/>
      </c>
      <c r="Z296" s="9">
        <f>Y296*X296</f>
        <v/>
      </c>
      <c r="AA296" s="10">
        <f>IF(W296&gt;$AE$34,1,0)</f>
        <v/>
      </c>
      <c r="AB296">
        <f>IF(AA296=C296,1,0)</f>
        <v/>
      </c>
    </row>
    <row r="297">
      <c r="A297">
        <f>'1 datos preparados'!A290</f>
        <v/>
      </c>
      <c r="B297" s="5">
        <f>'1 datos preparados'!U290</f>
        <v/>
      </c>
      <c r="C297">
        <f>'1 datos preparados'!B290</f>
        <v/>
      </c>
      <c r="D297" s="7">
        <f>'1 datos preparados'!C290</f>
        <v/>
      </c>
      <c r="E297" s="7">
        <f>'1 datos preparados'!D290</f>
        <v/>
      </c>
      <c r="F297" s="7">
        <f>'1 datos preparados'!E290</f>
        <v/>
      </c>
      <c r="G297" s="7">
        <f>'1 datos preparados'!F290</f>
        <v/>
      </c>
      <c r="H297" s="7">
        <f>'1 datos preparados'!G290</f>
        <v/>
      </c>
      <c r="I297" s="7">
        <f>'1 datos preparados'!H290</f>
        <v/>
      </c>
      <c r="J297" s="7">
        <f>'1 datos preparados'!I290</f>
        <v/>
      </c>
      <c r="K297" s="7">
        <f>'1 datos preparados'!J290</f>
        <v/>
      </c>
      <c r="L297" s="7">
        <f>'1 datos preparados'!K290</f>
        <v/>
      </c>
      <c r="M297" s="7">
        <f>'1 datos preparados'!L290</f>
        <v/>
      </c>
      <c r="N297" s="7">
        <f>'1 datos preparados'!M290</f>
        <v/>
      </c>
      <c r="O297" s="7">
        <f>'1 datos preparados'!N290</f>
        <v/>
      </c>
      <c r="P297" s="7">
        <f>'1 datos preparados'!O290</f>
        <v/>
      </c>
      <c r="Q297" s="7">
        <f>'1 datos preparados'!P290</f>
        <v/>
      </c>
      <c r="R297" s="7">
        <f>'1 datos preparados'!Q290</f>
        <v/>
      </c>
      <c r="S297" s="7">
        <f>'1 datos preparados'!R290</f>
        <v/>
      </c>
      <c r="T297" s="7">
        <f>'1 datos preparados'!S290</f>
        <v/>
      </c>
      <c r="U297" s="7">
        <f>'1 datos preparados'!T290</f>
        <v/>
      </c>
      <c r="V297" s="8">
        <f>$AE$12+D297*$AE$13+E297*$AE$14+F297*$AE$15+G297*$AE$16+H297*$AE$17+I297*$AE$18+J297*$AE$19+K297*$AE$20+L297*$AE$21+M297*$AE$22+N297*$AE$23+O297*$AE$24+P297*$AE$25+Q297*$AE$26+R297*$AE$27+S297*$AE$28+T297*$AE$29+U297*$AE$30</f>
        <v/>
      </c>
      <c r="W297" s="8">
        <f>1/(1+EXP(-V297))</f>
        <v/>
      </c>
      <c r="X297" s="9">
        <f>-IF(C297=1,LN(W297),LN(1-W297))</f>
        <v/>
      </c>
      <c r="Y297" s="8">
        <f>IF(C297=1,$AE$32,$AE$33)</f>
        <v/>
      </c>
      <c r="Z297" s="9">
        <f>Y297*X297</f>
        <v/>
      </c>
      <c r="AA297" s="10">
        <f>IF(W297&gt;$AE$34,1,0)</f>
        <v/>
      </c>
      <c r="AB297">
        <f>IF(AA297=C297,1,0)</f>
        <v/>
      </c>
    </row>
    <row r="298">
      <c r="A298">
        <f>'1 datos preparados'!A291</f>
        <v/>
      </c>
      <c r="B298" s="5">
        <f>'1 datos preparados'!U291</f>
        <v/>
      </c>
      <c r="C298">
        <f>'1 datos preparados'!B291</f>
        <v/>
      </c>
      <c r="D298" s="7">
        <f>'1 datos preparados'!C291</f>
        <v/>
      </c>
      <c r="E298" s="7">
        <f>'1 datos preparados'!D291</f>
        <v/>
      </c>
      <c r="F298" s="7">
        <f>'1 datos preparados'!E291</f>
        <v/>
      </c>
      <c r="G298" s="7">
        <f>'1 datos preparados'!F291</f>
        <v/>
      </c>
      <c r="H298" s="7">
        <f>'1 datos preparados'!G291</f>
        <v/>
      </c>
      <c r="I298" s="7">
        <f>'1 datos preparados'!H291</f>
        <v/>
      </c>
      <c r="J298" s="7">
        <f>'1 datos preparados'!I291</f>
        <v/>
      </c>
      <c r="K298" s="7">
        <f>'1 datos preparados'!J291</f>
        <v/>
      </c>
      <c r="L298" s="7">
        <f>'1 datos preparados'!K291</f>
        <v/>
      </c>
      <c r="M298" s="7">
        <f>'1 datos preparados'!L291</f>
        <v/>
      </c>
      <c r="N298" s="7">
        <f>'1 datos preparados'!M291</f>
        <v/>
      </c>
      <c r="O298" s="7">
        <f>'1 datos preparados'!N291</f>
        <v/>
      </c>
      <c r="P298" s="7">
        <f>'1 datos preparados'!O291</f>
        <v/>
      </c>
      <c r="Q298" s="7">
        <f>'1 datos preparados'!P291</f>
        <v/>
      </c>
      <c r="R298" s="7">
        <f>'1 datos preparados'!Q291</f>
        <v/>
      </c>
      <c r="S298" s="7">
        <f>'1 datos preparados'!R291</f>
        <v/>
      </c>
      <c r="T298" s="7">
        <f>'1 datos preparados'!S291</f>
        <v/>
      </c>
      <c r="U298" s="7">
        <f>'1 datos preparados'!T291</f>
        <v/>
      </c>
      <c r="V298" s="8">
        <f>$AE$12+D298*$AE$13+E298*$AE$14+F298*$AE$15+G298*$AE$16+H298*$AE$17+I298*$AE$18+J298*$AE$19+K298*$AE$20+L298*$AE$21+M298*$AE$22+N298*$AE$23+O298*$AE$24+P298*$AE$25+Q298*$AE$26+R298*$AE$27+S298*$AE$28+T298*$AE$29+U298*$AE$30</f>
        <v/>
      </c>
      <c r="W298" s="8">
        <f>1/(1+EXP(-V298))</f>
        <v/>
      </c>
      <c r="X298" s="9">
        <f>-IF(C298=1,LN(W298),LN(1-W298))</f>
        <v/>
      </c>
      <c r="Y298" s="8">
        <f>IF(C298=1,$AE$32,$AE$33)</f>
        <v/>
      </c>
      <c r="Z298" s="9">
        <f>Y298*X298</f>
        <v/>
      </c>
      <c r="AA298" s="10">
        <f>IF(W298&gt;$AE$34,1,0)</f>
        <v/>
      </c>
      <c r="AB298">
        <f>IF(AA298=C298,1,0)</f>
        <v/>
      </c>
    </row>
    <row r="299">
      <c r="A299">
        <f>'1 datos preparados'!A292</f>
        <v/>
      </c>
      <c r="B299" s="5">
        <f>'1 datos preparados'!U292</f>
        <v/>
      </c>
      <c r="C299">
        <f>'1 datos preparados'!B292</f>
        <v/>
      </c>
      <c r="D299" s="7">
        <f>'1 datos preparados'!C292</f>
        <v/>
      </c>
      <c r="E299" s="7">
        <f>'1 datos preparados'!D292</f>
        <v/>
      </c>
      <c r="F299" s="7">
        <f>'1 datos preparados'!E292</f>
        <v/>
      </c>
      <c r="G299" s="7">
        <f>'1 datos preparados'!F292</f>
        <v/>
      </c>
      <c r="H299" s="7">
        <f>'1 datos preparados'!G292</f>
        <v/>
      </c>
      <c r="I299" s="7">
        <f>'1 datos preparados'!H292</f>
        <v/>
      </c>
      <c r="J299" s="7">
        <f>'1 datos preparados'!I292</f>
        <v/>
      </c>
      <c r="K299" s="7">
        <f>'1 datos preparados'!J292</f>
        <v/>
      </c>
      <c r="L299" s="7">
        <f>'1 datos preparados'!K292</f>
        <v/>
      </c>
      <c r="M299" s="7">
        <f>'1 datos preparados'!L292</f>
        <v/>
      </c>
      <c r="N299" s="7">
        <f>'1 datos preparados'!M292</f>
        <v/>
      </c>
      <c r="O299" s="7">
        <f>'1 datos preparados'!N292</f>
        <v/>
      </c>
      <c r="P299" s="7">
        <f>'1 datos preparados'!O292</f>
        <v/>
      </c>
      <c r="Q299" s="7">
        <f>'1 datos preparados'!P292</f>
        <v/>
      </c>
      <c r="R299" s="7">
        <f>'1 datos preparados'!Q292</f>
        <v/>
      </c>
      <c r="S299" s="7">
        <f>'1 datos preparados'!R292</f>
        <v/>
      </c>
      <c r="T299" s="7">
        <f>'1 datos preparados'!S292</f>
        <v/>
      </c>
      <c r="U299" s="7">
        <f>'1 datos preparados'!T292</f>
        <v/>
      </c>
      <c r="V299" s="8">
        <f>$AE$12+D299*$AE$13+E299*$AE$14+F299*$AE$15+G299*$AE$16+H299*$AE$17+I299*$AE$18+J299*$AE$19+K299*$AE$20+L299*$AE$21+M299*$AE$22+N299*$AE$23+O299*$AE$24+P299*$AE$25+Q299*$AE$26+R299*$AE$27+S299*$AE$28+T299*$AE$29+U299*$AE$30</f>
        <v/>
      </c>
      <c r="W299" s="8">
        <f>1/(1+EXP(-V299))</f>
        <v/>
      </c>
      <c r="X299" s="9">
        <f>-IF(C299=1,LN(W299),LN(1-W299))</f>
        <v/>
      </c>
      <c r="Y299" s="8">
        <f>IF(C299=1,$AE$32,$AE$33)</f>
        <v/>
      </c>
      <c r="Z299" s="9">
        <f>Y299*X299</f>
        <v/>
      </c>
      <c r="AA299" s="10">
        <f>IF(W299&gt;$AE$34,1,0)</f>
        <v/>
      </c>
      <c r="AB299">
        <f>IF(AA299=C299,1,0)</f>
        <v/>
      </c>
    </row>
    <row r="300">
      <c r="A300">
        <f>'1 datos preparados'!A293</f>
        <v/>
      </c>
      <c r="B300" s="5">
        <f>'1 datos preparados'!U293</f>
        <v/>
      </c>
      <c r="C300">
        <f>'1 datos preparados'!B293</f>
        <v/>
      </c>
      <c r="D300" s="7">
        <f>'1 datos preparados'!C293</f>
        <v/>
      </c>
      <c r="E300" s="7">
        <f>'1 datos preparados'!D293</f>
        <v/>
      </c>
      <c r="F300" s="7">
        <f>'1 datos preparados'!E293</f>
        <v/>
      </c>
      <c r="G300" s="7">
        <f>'1 datos preparados'!F293</f>
        <v/>
      </c>
      <c r="H300" s="7">
        <f>'1 datos preparados'!G293</f>
        <v/>
      </c>
      <c r="I300" s="7">
        <f>'1 datos preparados'!H293</f>
        <v/>
      </c>
      <c r="J300" s="7">
        <f>'1 datos preparados'!I293</f>
        <v/>
      </c>
      <c r="K300" s="7">
        <f>'1 datos preparados'!J293</f>
        <v/>
      </c>
      <c r="L300" s="7">
        <f>'1 datos preparados'!K293</f>
        <v/>
      </c>
      <c r="M300" s="7">
        <f>'1 datos preparados'!L293</f>
        <v/>
      </c>
      <c r="N300" s="7">
        <f>'1 datos preparados'!M293</f>
        <v/>
      </c>
      <c r="O300" s="7">
        <f>'1 datos preparados'!N293</f>
        <v/>
      </c>
      <c r="P300" s="7">
        <f>'1 datos preparados'!O293</f>
        <v/>
      </c>
      <c r="Q300" s="7">
        <f>'1 datos preparados'!P293</f>
        <v/>
      </c>
      <c r="R300" s="7">
        <f>'1 datos preparados'!Q293</f>
        <v/>
      </c>
      <c r="S300" s="7">
        <f>'1 datos preparados'!R293</f>
        <v/>
      </c>
      <c r="T300" s="7">
        <f>'1 datos preparados'!S293</f>
        <v/>
      </c>
      <c r="U300" s="7">
        <f>'1 datos preparados'!T293</f>
        <v/>
      </c>
      <c r="V300" s="8">
        <f>$AE$12+D300*$AE$13+E300*$AE$14+F300*$AE$15+G300*$AE$16+H300*$AE$17+I300*$AE$18+J300*$AE$19+K300*$AE$20+L300*$AE$21+M300*$AE$22+N300*$AE$23+O300*$AE$24+P300*$AE$25+Q300*$AE$26+R300*$AE$27+S300*$AE$28+T300*$AE$29+U300*$AE$30</f>
        <v/>
      </c>
      <c r="W300" s="8">
        <f>1/(1+EXP(-V300))</f>
        <v/>
      </c>
      <c r="X300" s="9">
        <f>-IF(C300=1,LN(W300),LN(1-W300))</f>
        <v/>
      </c>
      <c r="Y300" s="8">
        <f>IF(C300=1,$AE$32,$AE$33)</f>
        <v/>
      </c>
      <c r="Z300" s="9">
        <f>Y300*X300</f>
        <v/>
      </c>
      <c r="AA300" s="10">
        <f>IF(W300&gt;$AE$34,1,0)</f>
        <v/>
      </c>
      <c r="AB300">
        <f>IF(AA300=C300,1,0)</f>
        <v/>
      </c>
    </row>
    <row r="301">
      <c r="A301">
        <f>'1 datos preparados'!A294</f>
        <v/>
      </c>
      <c r="B301" s="5">
        <f>'1 datos preparados'!U294</f>
        <v/>
      </c>
      <c r="C301">
        <f>'1 datos preparados'!B294</f>
        <v/>
      </c>
      <c r="D301" s="7">
        <f>'1 datos preparados'!C294</f>
        <v/>
      </c>
      <c r="E301" s="7">
        <f>'1 datos preparados'!D294</f>
        <v/>
      </c>
      <c r="F301" s="7">
        <f>'1 datos preparados'!E294</f>
        <v/>
      </c>
      <c r="G301" s="7">
        <f>'1 datos preparados'!F294</f>
        <v/>
      </c>
      <c r="H301" s="7">
        <f>'1 datos preparados'!G294</f>
        <v/>
      </c>
      <c r="I301" s="7">
        <f>'1 datos preparados'!H294</f>
        <v/>
      </c>
      <c r="J301" s="7">
        <f>'1 datos preparados'!I294</f>
        <v/>
      </c>
      <c r="K301" s="7">
        <f>'1 datos preparados'!J294</f>
        <v/>
      </c>
      <c r="L301" s="7">
        <f>'1 datos preparados'!K294</f>
        <v/>
      </c>
      <c r="M301" s="7">
        <f>'1 datos preparados'!L294</f>
        <v/>
      </c>
      <c r="N301" s="7">
        <f>'1 datos preparados'!M294</f>
        <v/>
      </c>
      <c r="O301" s="7">
        <f>'1 datos preparados'!N294</f>
        <v/>
      </c>
      <c r="P301" s="7">
        <f>'1 datos preparados'!O294</f>
        <v/>
      </c>
      <c r="Q301" s="7">
        <f>'1 datos preparados'!P294</f>
        <v/>
      </c>
      <c r="R301" s="7">
        <f>'1 datos preparados'!Q294</f>
        <v/>
      </c>
      <c r="S301" s="7">
        <f>'1 datos preparados'!R294</f>
        <v/>
      </c>
      <c r="T301" s="7">
        <f>'1 datos preparados'!S294</f>
        <v/>
      </c>
      <c r="U301" s="7">
        <f>'1 datos preparados'!T294</f>
        <v/>
      </c>
      <c r="V301" s="8">
        <f>$AE$12+D301*$AE$13+E301*$AE$14+F301*$AE$15+G301*$AE$16+H301*$AE$17+I301*$AE$18+J301*$AE$19+K301*$AE$20+L301*$AE$21+M301*$AE$22+N301*$AE$23+O301*$AE$24+P301*$AE$25+Q301*$AE$26+R301*$AE$27+S301*$AE$28+T301*$AE$29+U301*$AE$30</f>
        <v/>
      </c>
      <c r="W301" s="8">
        <f>1/(1+EXP(-V301))</f>
        <v/>
      </c>
      <c r="X301" s="9">
        <f>-IF(C301=1,LN(W301),LN(1-W301))</f>
        <v/>
      </c>
      <c r="Y301" s="8">
        <f>IF(C301=1,$AE$32,$AE$33)</f>
        <v/>
      </c>
      <c r="Z301" s="9">
        <f>Y301*X301</f>
        <v/>
      </c>
      <c r="AA301" s="10">
        <f>IF(W301&gt;$AE$34,1,0)</f>
        <v/>
      </c>
      <c r="AB301">
        <f>IF(AA301=C301,1,0)</f>
        <v/>
      </c>
    </row>
    <row r="302">
      <c r="A302">
        <f>'1 datos preparados'!A295</f>
        <v/>
      </c>
      <c r="B302" s="5">
        <f>'1 datos preparados'!U295</f>
        <v/>
      </c>
      <c r="C302">
        <f>'1 datos preparados'!B295</f>
        <v/>
      </c>
      <c r="D302" s="7">
        <f>'1 datos preparados'!C295</f>
        <v/>
      </c>
      <c r="E302" s="7">
        <f>'1 datos preparados'!D295</f>
        <v/>
      </c>
      <c r="F302" s="7">
        <f>'1 datos preparados'!E295</f>
        <v/>
      </c>
      <c r="G302" s="7">
        <f>'1 datos preparados'!F295</f>
        <v/>
      </c>
      <c r="H302" s="7">
        <f>'1 datos preparados'!G295</f>
        <v/>
      </c>
      <c r="I302" s="7">
        <f>'1 datos preparados'!H295</f>
        <v/>
      </c>
      <c r="J302" s="7">
        <f>'1 datos preparados'!I295</f>
        <v/>
      </c>
      <c r="K302" s="7">
        <f>'1 datos preparados'!J295</f>
        <v/>
      </c>
      <c r="L302" s="7">
        <f>'1 datos preparados'!K295</f>
        <v/>
      </c>
      <c r="M302" s="7">
        <f>'1 datos preparados'!L295</f>
        <v/>
      </c>
      <c r="N302" s="7">
        <f>'1 datos preparados'!M295</f>
        <v/>
      </c>
      <c r="O302" s="7">
        <f>'1 datos preparados'!N295</f>
        <v/>
      </c>
      <c r="P302" s="7">
        <f>'1 datos preparados'!O295</f>
        <v/>
      </c>
      <c r="Q302" s="7">
        <f>'1 datos preparados'!P295</f>
        <v/>
      </c>
      <c r="R302" s="7">
        <f>'1 datos preparados'!Q295</f>
        <v/>
      </c>
      <c r="S302" s="7">
        <f>'1 datos preparados'!R295</f>
        <v/>
      </c>
      <c r="T302" s="7">
        <f>'1 datos preparados'!S295</f>
        <v/>
      </c>
      <c r="U302" s="7">
        <f>'1 datos preparados'!T295</f>
        <v/>
      </c>
      <c r="V302" s="8">
        <f>$AE$12+D302*$AE$13+E302*$AE$14+F302*$AE$15+G302*$AE$16+H302*$AE$17+I302*$AE$18+J302*$AE$19+K302*$AE$20+L302*$AE$21+M302*$AE$22+N302*$AE$23+O302*$AE$24+P302*$AE$25+Q302*$AE$26+R302*$AE$27+S302*$AE$28+T302*$AE$29+U302*$AE$30</f>
        <v/>
      </c>
      <c r="W302" s="8">
        <f>1/(1+EXP(-V302))</f>
        <v/>
      </c>
      <c r="X302" s="9">
        <f>-IF(C302=1,LN(W302),LN(1-W302))</f>
        <v/>
      </c>
      <c r="Y302" s="8">
        <f>IF(C302=1,$AE$32,$AE$33)</f>
        <v/>
      </c>
      <c r="Z302" s="9">
        <f>Y302*X302</f>
        <v/>
      </c>
      <c r="AA302" s="10">
        <f>IF(W302&gt;$AE$34,1,0)</f>
        <v/>
      </c>
      <c r="AB302">
        <f>IF(AA302=C302,1,0)</f>
        <v/>
      </c>
    </row>
    <row r="303">
      <c r="A303">
        <f>'1 datos preparados'!A296</f>
        <v/>
      </c>
      <c r="B303" s="5">
        <f>'1 datos preparados'!U296</f>
        <v/>
      </c>
      <c r="C303">
        <f>'1 datos preparados'!B296</f>
        <v/>
      </c>
      <c r="D303" s="7">
        <f>'1 datos preparados'!C296</f>
        <v/>
      </c>
      <c r="E303" s="7">
        <f>'1 datos preparados'!D296</f>
        <v/>
      </c>
      <c r="F303" s="7">
        <f>'1 datos preparados'!E296</f>
        <v/>
      </c>
      <c r="G303" s="7">
        <f>'1 datos preparados'!F296</f>
        <v/>
      </c>
      <c r="H303" s="7">
        <f>'1 datos preparados'!G296</f>
        <v/>
      </c>
      <c r="I303" s="7">
        <f>'1 datos preparados'!H296</f>
        <v/>
      </c>
      <c r="J303" s="7">
        <f>'1 datos preparados'!I296</f>
        <v/>
      </c>
      <c r="K303" s="7">
        <f>'1 datos preparados'!J296</f>
        <v/>
      </c>
      <c r="L303" s="7">
        <f>'1 datos preparados'!K296</f>
        <v/>
      </c>
      <c r="M303" s="7">
        <f>'1 datos preparados'!L296</f>
        <v/>
      </c>
      <c r="N303" s="7">
        <f>'1 datos preparados'!M296</f>
        <v/>
      </c>
      <c r="O303" s="7">
        <f>'1 datos preparados'!N296</f>
        <v/>
      </c>
      <c r="P303" s="7">
        <f>'1 datos preparados'!O296</f>
        <v/>
      </c>
      <c r="Q303" s="7">
        <f>'1 datos preparados'!P296</f>
        <v/>
      </c>
      <c r="R303" s="7">
        <f>'1 datos preparados'!Q296</f>
        <v/>
      </c>
      <c r="S303" s="7">
        <f>'1 datos preparados'!R296</f>
        <v/>
      </c>
      <c r="T303" s="7">
        <f>'1 datos preparados'!S296</f>
        <v/>
      </c>
      <c r="U303" s="7">
        <f>'1 datos preparados'!T296</f>
        <v/>
      </c>
      <c r="V303" s="8">
        <f>$AE$12+D303*$AE$13+E303*$AE$14+F303*$AE$15+G303*$AE$16+H303*$AE$17+I303*$AE$18+J303*$AE$19+K303*$AE$20+L303*$AE$21+M303*$AE$22+N303*$AE$23+O303*$AE$24+P303*$AE$25+Q303*$AE$26+R303*$AE$27+S303*$AE$28+T303*$AE$29+U303*$AE$30</f>
        <v/>
      </c>
      <c r="W303" s="8">
        <f>1/(1+EXP(-V303))</f>
        <v/>
      </c>
      <c r="X303" s="9">
        <f>-IF(C303=1,LN(W303),LN(1-W303))</f>
        <v/>
      </c>
      <c r="Y303" s="8">
        <f>IF(C303=1,$AE$32,$AE$33)</f>
        <v/>
      </c>
      <c r="Z303" s="9">
        <f>Y303*X303</f>
        <v/>
      </c>
      <c r="AA303" s="10">
        <f>IF(W303&gt;$AE$34,1,0)</f>
        <v/>
      </c>
      <c r="AB303">
        <f>IF(AA303=C303,1,0)</f>
        <v/>
      </c>
    </row>
    <row r="304">
      <c r="A304">
        <f>'1 datos preparados'!A297</f>
        <v/>
      </c>
      <c r="B304" s="5">
        <f>'1 datos preparados'!U297</f>
        <v/>
      </c>
      <c r="C304">
        <f>'1 datos preparados'!B297</f>
        <v/>
      </c>
      <c r="D304" s="7">
        <f>'1 datos preparados'!C297</f>
        <v/>
      </c>
      <c r="E304" s="7">
        <f>'1 datos preparados'!D297</f>
        <v/>
      </c>
      <c r="F304" s="7">
        <f>'1 datos preparados'!E297</f>
        <v/>
      </c>
      <c r="G304" s="7">
        <f>'1 datos preparados'!F297</f>
        <v/>
      </c>
      <c r="H304" s="7">
        <f>'1 datos preparados'!G297</f>
        <v/>
      </c>
      <c r="I304" s="7">
        <f>'1 datos preparados'!H297</f>
        <v/>
      </c>
      <c r="J304" s="7">
        <f>'1 datos preparados'!I297</f>
        <v/>
      </c>
      <c r="K304" s="7">
        <f>'1 datos preparados'!J297</f>
        <v/>
      </c>
      <c r="L304" s="7">
        <f>'1 datos preparados'!K297</f>
        <v/>
      </c>
      <c r="M304" s="7">
        <f>'1 datos preparados'!L297</f>
        <v/>
      </c>
      <c r="N304" s="7">
        <f>'1 datos preparados'!M297</f>
        <v/>
      </c>
      <c r="O304" s="7">
        <f>'1 datos preparados'!N297</f>
        <v/>
      </c>
      <c r="P304" s="7">
        <f>'1 datos preparados'!O297</f>
        <v/>
      </c>
      <c r="Q304" s="7">
        <f>'1 datos preparados'!P297</f>
        <v/>
      </c>
      <c r="R304" s="7">
        <f>'1 datos preparados'!Q297</f>
        <v/>
      </c>
      <c r="S304" s="7">
        <f>'1 datos preparados'!R297</f>
        <v/>
      </c>
      <c r="T304" s="7">
        <f>'1 datos preparados'!S297</f>
        <v/>
      </c>
      <c r="U304" s="7">
        <f>'1 datos preparados'!T297</f>
        <v/>
      </c>
      <c r="V304" s="8">
        <f>$AE$12+D304*$AE$13+E304*$AE$14+F304*$AE$15+G304*$AE$16+H304*$AE$17+I304*$AE$18+J304*$AE$19+K304*$AE$20+L304*$AE$21+M304*$AE$22+N304*$AE$23+O304*$AE$24+P304*$AE$25+Q304*$AE$26+R304*$AE$27+S304*$AE$28+T304*$AE$29+U304*$AE$30</f>
        <v/>
      </c>
      <c r="W304" s="8">
        <f>1/(1+EXP(-V304))</f>
        <v/>
      </c>
      <c r="X304" s="9">
        <f>-IF(C304=1,LN(W304),LN(1-W304))</f>
        <v/>
      </c>
      <c r="Y304" s="8">
        <f>IF(C304=1,$AE$32,$AE$33)</f>
        <v/>
      </c>
      <c r="Z304" s="9">
        <f>Y304*X304</f>
        <v/>
      </c>
      <c r="AA304" s="10">
        <f>IF(W304&gt;$AE$34,1,0)</f>
        <v/>
      </c>
      <c r="AB304">
        <f>IF(AA304=C304,1,0)</f>
        <v/>
      </c>
    </row>
    <row r="305">
      <c r="A305">
        <f>'1 datos preparados'!A298</f>
        <v/>
      </c>
      <c r="B305" s="5">
        <f>'1 datos preparados'!U298</f>
        <v/>
      </c>
      <c r="C305">
        <f>'1 datos preparados'!B298</f>
        <v/>
      </c>
      <c r="D305" s="7">
        <f>'1 datos preparados'!C298</f>
        <v/>
      </c>
      <c r="E305" s="7">
        <f>'1 datos preparados'!D298</f>
        <v/>
      </c>
      <c r="F305" s="7">
        <f>'1 datos preparados'!E298</f>
        <v/>
      </c>
      <c r="G305" s="7">
        <f>'1 datos preparados'!F298</f>
        <v/>
      </c>
      <c r="H305" s="7">
        <f>'1 datos preparados'!G298</f>
        <v/>
      </c>
      <c r="I305" s="7">
        <f>'1 datos preparados'!H298</f>
        <v/>
      </c>
      <c r="J305" s="7">
        <f>'1 datos preparados'!I298</f>
        <v/>
      </c>
      <c r="K305" s="7">
        <f>'1 datos preparados'!J298</f>
        <v/>
      </c>
      <c r="L305" s="7">
        <f>'1 datos preparados'!K298</f>
        <v/>
      </c>
      <c r="M305" s="7">
        <f>'1 datos preparados'!L298</f>
        <v/>
      </c>
      <c r="N305" s="7">
        <f>'1 datos preparados'!M298</f>
        <v/>
      </c>
      <c r="O305" s="7">
        <f>'1 datos preparados'!N298</f>
        <v/>
      </c>
      <c r="P305" s="7">
        <f>'1 datos preparados'!O298</f>
        <v/>
      </c>
      <c r="Q305" s="7">
        <f>'1 datos preparados'!P298</f>
        <v/>
      </c>
      <c r="R305" s="7">
        <f>'1 datos preparados'!Q298</f>
        <v/>
      </c>
      <c r="S305" s="7">
        <f>'1 datos preparados'!R298</f>
        <v/>
      </c>
      <c r="T305" s="7">
        <f>'1 datos preparados'!S298</f>
        <v/>
      </c>
      <c r="U305" s="7">
        <f>'1 datos preparados'!T298</f>
        <v/>
      </c>
      <c r="V305" s="8">
        <f>$AE$12+D305*$AE$13+E305*$AE$14+F305*$AE$15+G305*$AE$16+H305*$AE$17+I305*$AE$18+J305*$AE$19+K305*$AE$20+L305*$AE$21+M305*$AE$22+N305*$AE$23+O305*$AE$24+P305*$AE$25+Q305*$AE$26+R305*$AE$27+S305*$AE$28+T305*$AE$29+U305*$AE$30</f>
        <v/>
      </c>
      <c r="W305" s="8">
        <f>1/(1+EXP(-V305))</f>
        <v/>
      </c>
      <c r="X305" s="9">
        <f>-IF(C305=1,LN(W305),LN(1-W305))</f>
        <v/>
      </c>
      <c r="Y305" s="8">
        <f>IF(C305=1,$AE$32,$AE$33)</f>
        <v/>
      </c>
      <c r="Z305" s="9">
        <f>Y305*X305</f>
        <v/>
      </c>
      <c r="AA305" s="10">
        <f>IF(W305&gt;$AE$34,1,0)</f>
        <v/>
      </c>
      <c r="AB305">
        <f>IF(AA305=C305,1,0)</f>
        <v/>
      </c>
    </row>
    <row r="306">
      <c r="A306">
        <f>'1 datos preparados'!A299</f>
        <v/>
      </c>
      <c r="B306" s="5">
        <f>'1 datos preparados'!U299</f>
        <v/>
      </c>
      <c r="C306">
        <f>'1 datos preparados'!B299</f>
        <v/>
      </c>
      <c r="D306" s="7">
        <f>'1 datos preparados'!C299</f>
        <v/>
      </c>
      <c r="E306" s="7">
        <f>'1 datos preparados'!D299</f>
        <v/>
      </c>
      <c r="F306" s="7">
        <f>'1 datos preparados'!E299</f>
        <v/>
      </c>
      <c r="G306" s="7">
        <f>'1 datos preparados'!F299</f>
        <v/>
      </c>
      <c r="H306" s="7">
        <f>'1 datos preparados'!G299</f>
        <v/>
      </c>
      <c r="I306" s="7">
        <f>'1 datos preparados'!H299</f>
        <v/>
      </c>
      <c r="J306" s="7">
        <f>'1 datos preparados'!I299</f>
        <v/>
      </c>
      <c r="K306" s="7">
        <f>'1 datos preparados'!J299</f>
        <v/>
      </c>
      <c r="L306" s="7">
        <f>'1 datos preparados'!K299</f>
        <v/>
      </c>
      <c r="M306" s="7">
        <f>'1 datos preparados'!L299</f>
        <v/>
      </c>
      <c r="N306" s="7">
        <f>'1 datos preparados'!M299</f>
        <v/>
      </c>
      <c r="O306" s="7">
        <f>'1 datos preparados'!N299</f>
        <v/>
      </c>
      <c r="P306" s="7">
        <f>'1 datos preparados'!O299</f>
        <v/>
      </c>
      <c r="Q306" s="7">
        <f>'1 datos preparados'!P299</f>
        <v/>
      </c>
      <c r="R306" s="7">
        <f>'1 datos preparados'!Q299</f>
        <v/>
      </c>
      <c r="S306" s="7">
        <f>'1 datos preparados'!R299</f>
        <v/>
      </c>
      <c r="T306" s="7">
        <f>'1 datos preparados'!S299</f>
        <v/>
      </c>
      <c r="U306" s="7">
        <f>'1 datos preparados'!T299</f>
        <v/>
      </c>
      <c r="V306" s="8">
        <f>$AE$12+D306*$AE$13+E306*$AE$14+F306*$AE$15+G306*$AE$16+H306*$AE$17+I306*$AE$18+J306*$AE$19+K306*$AE$20+L306*$AE$21+M306*$AE$22+N306*$AE$23+O306*$AE$24+P306*$AE$25+Q306*$AE$26+R306*$AE$27+S306*$AE$28+T306*$AE$29+U306*$AE$30</f>
        <v/>
      </c>
      <c r="W306" s="8">
        <f>1/(1+EXP(-V306))</f>
        <v/>
      </c>
      <c r="X306" s="9">
        <f>-IF(C306=1,LN(W306),LN(1-W306))</f>
        <v/>
      </c>
      <c r="Y306" s="8">
        <f>IF(C306=1,$AE$32,$AE$33)</f>
        <v/>
      </c>
      <c r="Z306" s="9">
        <f>Y306*X306</f>
        <v/>
      </c>
      <c r="AA306" s="10">
        <f>IF(W306&gt;$AE$34,1,0)</f>
        <v/>
      </c>
      <c r="AB306">
        <f>IF(AA306=C306,1,0)</f>
        <v/>
      </c>
    </row>
    <row r="307">
      <c r="A307">
        <f>'1 datos preparados'!A300</f>
        <v/>
      </c>
      <c r="B307" s="5">
        <f>'1 datos preparados'!U300</f>
        <v/>
      </c>
      <c r="C307">
        <f>'1 datos preparados'!B300</f>
        <v/>
      </c>
      <c r="D307" s="7">
        <f>'1 datos preparados'!C300</f>
        <v/>
      </c>
      <c r="E307" s="7">
        <f>'1 datos preparados'!D300</f>
        <v/>
      </c>
      <c r="F307" s="7">
        <f>'1 datos preparados'!E300</f>
        <v/>
      </c>
      <c r="G307" s="7">
        <f>'1 datos preparados'!F300</f>
        <v/>
      </c>
      <c r="H307" s="7">
        <f>'1 datos preparados'!G300</f>
        <v/>
      </c>
      <c r="I307" s="7">
        <f>'1 datos preparados'!H300</f>
        <v/>
      </c>
      <c r="J307" s="7">
        <f>'1 datos preparados'!I300</f>
        <v/>
      </c>
      <c r="K307" s="7">
        <f>'1 datos preparados'!J300</f>
        <v/>
      </c>
      <c r="L307" s="7">
        <f>'1 datos preparados'!K300</f>
        <v/>
      </c>
      <c r="M307" s="7">
        <f>'1 datos preparados'!L300</f>
        <v/>
      </c>
      <c r="N307" s="7">
        <f>'1 datos preparados'!M300</f>
        <v/>
      </c>
      <c r="O307" s="7">
        <f>'1 datos preparados'!N300</f>
        <v/>
      </c>
      <c r="P307" s="7">
        <f>'1 datos preparados'!O300</f>
        <v/>
      </c>
      <c r="Q307" s="7">
        <f>'1 datos preparados'!P300</f>
        <v/>
      </c>
      <c r="R307" s="7">
        <f>'1 datos preparados'!Q300</f>
        <v/>
      </c>
      <c r="S307" s="7">
        <f>'1 datos preparados'!R300</f>
        <v/>
      </c>
      <c r="T307" s="7">
        <f>'1 datos preparados'!S300</f>
        <v/>
      </c>
      <c r="U307" s="7">
        <f>'1 datos preparados'!T300</f>
        <v/>
      </c>
      <c r="V307" s="8">
        <f>$AE$12+D307*$AE$13+E307*$AE$14+F307*$AE$15+G307*$AE$16+H307*$AE$17+I307*$AE$18+J307*$AE$19+K307*$AE$20+L307*$AE$21+M307*$AE$22+N307*$AE$23+O307*$AE$24+P307*$AE$25+Q307*$AE$26+R307*$AE$27+S307*$AE$28+T307*$AE$29+U307*$AE$30</f>
        <v/>
      </c>
      <c r="W307" s="8">
        <f>1/(1+EXP(-V307))</f>
        <v/>
      </c>
      <c r="X307" s="9">
        <f>-IF(C307=1,LN(W307),LN(1-W307))</f>
        <v/>
      </c>
      <c r="Y307" s="8">
        <f>IF(C307=1,$AE$32,$AE$33)</f>
        <v/>
      </c>
      <c r="Z307" s="9">
        <f>Y307*X307</f>
        <v/>
      </c>
      <c r="AA307" s="10">
        <f>IF(W307&gt;$AE$34,1,0)</f>
        <v/>
      </c>
      <c r="AB307">
        <f>IF(AA307=C307,1,0)</f>
        <v/>
      </c>
    </row>
    <row r="308">
      <c r="A308">
        <f>'1 datos preparados'!A301</f>
        <v/>
      </c>
      <c r="B308" s="5">
        <f>'1 datos preparados'!U301</f>
        <v/>
      </c>
      <c r="C308">
        <f>'1 datos preparados'!B301</f>
        <v/>
      </c>
      <c r="D308" s="7">
        <f>'1 datos preparados'!C301</f>
        <v/>
      </c>
      <c r="E308" s="7">
        <f>'1 datos preparados'!D301</f>
        <v/>
      </c>
      <c r="F308" s="7">
        <f>'1 datos preparados'!E301</f>
        <v/>
      </c>
      <c r="G308" s="7">
        <f>'1 datos preparados'!F301</f>
        <v/>
      </c>
      <c r="H308" s="7">
        <f>'1 datos preparados'!G301</f>
        <v/>
      </c>
      <c r="I308" s="7">
        <f>'1 datos preparados'!H301</f>
        <v/>
      </c>
      <c r="J308" s="7">
        <f>'1 datos preparados'!I301</f>
        <v/>
      </c>
      <c r="K308" s="7">
        <f>'1 datos preparados'!J301</f>
        <v/>
      </c>
      <c r="L308" s="7">
        <f>'1 datos preparados'!K301</f>
        <v/>
      </c>
      <c r="M308" s="7">
        <f>'1 datos preparados'!L301</f>
        <v/>
      </c>
      <c r="N308" s="7">
        <f>'1 datos preparados'!M301</f>
        <v/>
      </c>
      <c r="O308" s="7">
        <f>'1 datos preparados'!N301</f>
        <v/>
      </c>
      <c r="P308" s="7">
        <f>'1 datos preparados'!O301</f>
        <v/>
      </c>
      <c r="Q308" s="7">
        <f>'1 datos preparados'!P301</f>
        <v/>
      </c>
      <c r="R308" s="7">
        <f>'1 datos preparados'!Q301</f>
        <v/>
      </c>
      <c r="S308" s="7">
        <f>'1 datos preparados'!R301</f>
        <v/>
      </c>
      <c r="T308" s="7">
        <f>'1 datos preparados'!S301</f>
        <v/>
      </c>
      <c r="U308" s="7">
        <f>'1 datos preparados'!T301</f>
        <v/>
      </c>
      <c r="V308" s="8">
        <f>$AE$12+D308*$AE$13+E308*$AE$14+F308*$AE$15+G308*$AE$16+H308*$AE$17+I308*$AE$18+J308*$AE$19+K308*$AE$20+L308*$AE$21+M308*$AE$22+N308*$AE$23+O308*$AE$24+P308*$AE$25+Q308*$AE$26+R308*$AE$27+S308*$AE$28+T308*$AE$29+U308*$AE$30</f>
        <v/>
      </c>
      <c r="W308" s="8">
        <f>1/(1+EXP(-V308))</f>
        <v/>
      </c>
      <c r="X308" s="9">
        <f>-IF(C308=1,LN(W308),LN(1-W308))</f>
        <v/>
      </c>
      <c r="Y308" s="8">
        <f>IF(C308=1,$AE$32,$AE$33)</f>
        <v/>
      </c>
      <c r="Z308" s="9">
        <f>Y308*X308</f>
        <v/>
      </c>
      <c r="AA308" s="10">
        <f>IF(W308&gt;$AE$34,1,0)</f>
        <v/>
      </c>
      <c r="AB308">
        <f>IF(AA308=C308,1,0)</f>
        <v/>
      </c>
    </row>
    <row r="309">
      <c r="A309">
        <f>'1 datos preparados'!A302</f>
        <v/>
      </c>
      <c r="B309" s="5">
        <f>'1 datos preparados'!U302</f>
        <v/>
      </c>
      <c r="C309">
        <f>'1 datos preparados'!B302</f>
        <v/>
      </c>
      <c r="D309" s="7">
        <f>'1 datos preparados'!C302</f>
        <v/>
      </c>
      <c r="E309" s="7">
        <f>'1 datos preparados'!D302</f>
        <v/>
      </c>
      <c r="F309" s="7">
        <f>'1 datos preparados'!E302</f>
        <v/>
      </c>
      <c r="G309" s="7">
        <f>'1 datos preparados'!F302</f>
        <v/>
      </c>
      <c r="H309" s="7">
        <f>'1 datos preparados'!G302</f>
        <v/>
      </c>
      <c r="I309" s="7">
        <f>'1 datos preparados'!H302</f>
        <v/>
      </c>
      <c r="J309" s="7">
        <f>'1 datos preparados'!I302</f>
        <v/>
      </c>
      <c r="K309" s="7">
        <f>'1 datos preparados'!J302</f>
        <v/>
      </c>
      <c r="L309" s="7">
        <f>'1 datos preparados'!K302</f>
        <v/>
      </c>
      <c r="M309" s="7">
        <f>'1 datos preparados'!L302</f>
        <v/>
      </c>
      <c r="N309" s="7">
        <f>'1 datos preparados'!M302</f>
        <v/>
      </c>
      <c r="O309" s="7">
        <f>'1 datos preparados'!N302</f>
        <v/>
      </c>
      <c r="P309" s="7">
        <f>'1 datos preparados'!O302</f>
        <v/>
      </c>
      <c r="Q309" s="7">
        <f>'1 datos preparados'!P302</f>
        <v/>
      </c>
      <c r="R309" s="7">
        <f>'1 datos preparados'!Q302</f>
        <v/>
      </c>
      <c r="S309" s="7">
        <f>'1 datos preparados'!R302</f>
        <v/>
      </c>
      <c r="T309" s="7">
        <f>'1 datos preparados'!S302</f>
        <v/>
      </c>
      <c r="U309" s="7">
        <f>'1 datos preparados'!T302</f>
        <v/>
      </c>
      <c r="V309" s="8">
        <f>$AE$12+D309*$AE$13+E309*$AE$14+F309*$AE$15+G309*$AE$16+H309*$AE$17+I309*$AE$18+J309*$AE$19+K309*$AE$20+L309*$AE$21+M309*$AE$22+N309*$AE$23+O309*$AE$24+P309*$AE$25+Q309*$AE$26+R309*$AE$27+S309*$AE$28+T309*$AE$29+U309*$AE$30</f>
        <v/>
      </c>
      <c r="W309" s="8">
        <f>1/(1+EXP(-V309))</f>
        <v/>
      </c>
      <c r="X309" s="9">
        <f>-IF(C309=1,LN(W309),LN(1-W309))</f>
        <v/>
      </c>
      <c r="Y309" s="8">
        <f>IF(C309=1,$AE$32,$AE$33)</f>
        <v/>
      </c>
      <c r="Z309" s="9">
        <f>Y309*X309</f>
        <v/>
      </c>
      <c r="AA309" s="10">
        <f>IF(W309&gt;$AE$34,1,0)</f>
        <v/>
      </c>
      <c r="AB309">
        <f>IF(AA309=C309,1,0)</f>
        <v/>
      </c>
    </row>
    <row r="310">
      <c r="A310">
        <f>'1 datos preparados'!A303</f>
        <v/>
      </c>
      <c r="B310" s="5">
        <f>'1 datos preparados'!U303</f>
        <v/>
      </c>
      <c r="C310">
        <f>'1 datos preparados'!B303</f>
        <v/>
      </c>
      <c r="D310" s="7">
        <f>'1 datos preparados'!C303</f>
        <v/>
      </c>
      <c r="E310" s="7">
        <f>'1 datos preparados'!D303</f>
        <v/>
      </c>
      <c r="F310" s="7">
        <f>'1 datos preparados'!E303</f>
        <v/>
      </c>
      <c r="G310" s="7">
        <f>'1 datos preparados'!F303</f>
        <v/>
      </c>
      <c r="H310" s="7">
        <f>'1 datos preparados'!G303</f>
        <v/>
      </c>
      <c r="I310" s="7">
        <f>'1 datos preparados'!H303</f>
        <v/>
      </c>
      <c r="J310" s="7">
        <f>'1 datos preparados'!I303</f>
        <v/>
      </c>
      <c r="K310" s="7">
        <f>'1 datos preparados'!J303</f>
        <v/>
      </c>
      <c r="L310" s="7">
        <f>'1 datos preparados'!K303</f>
        <v/>
      </c>
      <c r="M310" s="7">
        <f>'1 datos preparados'!L303</f>
        <v/>
      </c>
      <c r="N310" s="7">
        <f>'1 datos preparados'!M303</f>
        <v/>
      </c>
      <c r="O310" s="7">
        <f>'1 datos preparados'!N303</f>
        <v/>
      </c>
      <c r="P310" s="7">
        <f>'1 datos preparados'!O303</f>
        <v/>
      </c>
      <c r="Q310" s="7">
        <f>'1 datos preparados'!P303</f>
        <v/>
      </c>
      <c r="R310" s="7">
        <f>'1 datos preparados'!Q303</f>
        <v/>
      </c>
      <c r="S310" s="7">
        <f>'1 datos preparados'!R303</f>
        <v/>
      </c>
      <c r="T310" s="7">
        <f>'1 datos preparados'!S303</f>
        <v/>
      </c>
      <c r="U310" s="7">
        <f>'1 datos preparados'!T303</f>
        <v/>
      </c>
      <c r="V310" s="8">
        <f>$AE$12+D310*$AE$13+E310*$AE$14+F310*$AE$15+G310*$AE$16+H310*$AE$17+I310*$AE$18+J310*$AE$19+K310*$AE$20+L310*$AE$21+M310*$AE$22+N310*$AE$23+O310*$AE$24+P310*$AE$25+Q310*$AE$26+R310*$AE$27+S310*$AE$28+T310*$AE$29+U310*$AE$30</f>
        <v/>
      </c>
      <c r="W310" s="8">
        <f>1/(1+EXP(-V310))</f>
        <v/>
      </c>
      <c r="X310" s="9">
        <f>-IF(C310=1,LN(W310),LN(1-W310))</f>
        <v/>
      </c>
      <c r="Y310" s="8">
        <f>IF(C310=1,$AE$32,$AE$33)</f>
        <v/>
      </c>
      <c r="Z310" s="9">
        <f>Y310*X310</f>
        <v/>
      </c>
      <c r="AA310" s="10">
        <f>IF(W310&gt;$AE$34,1,0)</f>
        <v/>
      </c>
      <c r="AB310">
        <f>IF(AA310=C310,1,0)</f>
        <v/>
      </c>
    </row>
    <row r="311">
      <c r="A311">
        <f>'1 datos preparados'!A304</f>
        <v/>
      </c>
      <c r="B311" s="5">
        <f>'1 datos preparados'!U304</f>
        <v/>
      </c>
      <c r="C311">
        <f>'1 datos preparados'!B304</f>
        <v/>
      </c>
      <c r="D311" s="7">
        <f>'1 datos preparados'!C304</f>
        <v/>
      </c>
      <c r="E311" s="7">
        <f>'1 datos preparados'!D304</f>
        <v/>
      </c>
      <c r="F311" s="7">
        <f>'1 datos preparados'!E304</f>
        <v/>
      </c>
      <c r="G311" s="7">
        <f>'1 datos preparados'!F304</f>
        <v/>
      </c>
      <c r="H311" s="7">
        <f>'1 datos preparados'!G304</f>
        <v/>
      </c>
      <c r="I311" s="7">
        <f>'1 datos preparados'!H304</f>
        <v/>
      </c>
      <c r="J311" s="7">
        <f>'1 datos preparados'!I304</f>
        <v/>
      </c>
      <c r="K311" s="7">
        <f>'1 datos preparados'!J304</f>
        <v/>
      </c>
      <c r="L311" s="7">
        <f>'1 datos preparados'!K304</f>
        <v/>
      </c>
      <c r="M311" s="7">
        <f>'1 datos preparados'!L304</f>
        <v/>
      </c>
      <c r="N311" s="7">
        <f>'1 datos preparados'!M304</f>
        <v/>
      </c>
      <c r="O311" s="7">
        <f>'1 datos preparados'!N304</f>
        <v/>
      </c>
      <c r="P311" s="7">
        <f>'1 datos preparados'!O304</f>
        <v/>
      </c>
      <c r="Q311" s="7">
        <f>'1 datos preparados'!P304</f>
        <v/>
      </c>
      <c r="R311" s="7">
        <f>'1 datos preparados'!Q304</f>
        <v/>
      </c>
      <c r="S311" s="7">
        <f>'1 datos preparados'!R304</f>
        <v/>
      </c>
      <c r="T311" s="7">
        <f>'1 datos preparados'!S304</f>
        <v/>
      </c>
      <c r="U311" s="7">
        <f>'1 datos preparados'!T304</f>
        <v/>
      </c>
      <c r="V311" s="8">
        <f>$AE$12+D311*$AE$13+E311*$AE$14+F311*$AE$15+G311*$AE$16+H311*$AE$17+I311*$AE$18+J311*$AE$19+K311*$AE$20+L311*$AE$21+M311*$AE$22+N311*$AE$23+O311*$AE$24+P311*$AE$25+Q311*$AE$26+R311*$AE$27+S311*$AE$28+T311*$AE$29+U311*$AE$30</f>
        <v/>
      </c>
      <c r="W311" s="8">
        <f>1/(1+EXP(-V311))</f>
        <v/>
      </c>
      <c r="X311" s="9">
        <f>-IF(C311=1,LN(W311),LN(1-W311))</f>
        <v/>
      </c>
      <c r="Y311" s="8">
        <f>IF(C311=1,$AE$32,$AE$33)</f>
        <v/>
      </c>
      <c r="Z311" s="9">
        <f>Y311*X311</f>
        <v/>
      </c>
      <c r="AA311" s="10">
        <f>IF(W311&gt;$AE$34,1,0)</f>
        <v/>
      </c>
      <c r="AB311">
        <f>IF(AA311=C311,1,0)</f>
        <v/>
      </c>
    </row>
    <row r="312">
      <c r="A312">
        <f>'1 datos preparados'!A305</f>
        <v/>
      </c>
      <c r="B312" s="5">
        <f>'1 datos preparados'!U305</f>
        <v/>
      </c>
      <c r="C312">
        <f>'1 datos preparados'!B305</f>
        <v/>
      </c>
      <c r="D312" s="7">
        <f>'1 datos preparados'!C305</f>
        <v/>
      </c>
      <c r="E312" s="7">
        <f>'1 datos preparados'!D305</f>
        <v/>
      </c>
      <c r="F312" s="7">
        <f>'1 datos preparados'!E305</f>
        <v/>
      </c>
      <c r="G312" s="7">
        <f>'1 datos preparados'!F305</f>
        <v/>
      </c>
      <c r="H312" s="7">
        <f>'1 datos preparados'!G305</f>
        <v/>
      </c>
      <c r="I312" s="7">
        <f>'1 datos preparados'!H305</f>
        <v/>
      </c>
      <c r="J312" s="7">
        <f>'1 datos preparados'!I305</f>
        <v/>
      </c>
      <c r="K312" s="7">
        <f>'1 datos preparados'!J305</f>
        <v/>
      </c>
      <c r="L312" s="7">
        <f>'1 datos preparados'!K305</f>
        <v/>
      </c>
      <c r="M312" s="7">
        <f>'1 datos preparados'!L305</f>
        <v/>
      </c>
      <c r="N312" s="7">
        <f>'1 datos preparados'!M305</f>
        <v/>
      </c>
      <c r="O312" s="7">
        <f>'1 datos preparados'!N305</f>
        <v/>
      </c>
      <c r="P312" s="7">
        <f>'1 datos preparados'!O305</f>
        <v/>
      </c>
      <c r="Q312" s="7">
        <f>'1 datos preparados'!P305</f>
        <v/>
      </c>
      <c r="R312" s="7">
        <f>'1 datos preparados'!Q305</f>
        <v/>
      </c>
      <c r="S312" s="7">
        <f>'1 datos preparados'!R305</f>
        <v/>
      </c>
      <c r="T312" s="7">
        <f>'1 datos preparados'!S305</f>
        <v/>
      </c>
      <c r="U312" s="7">
        <f>'1 datos preparados'!T305</f>
        <v/>
      </c>
      <c r="V312" s="8">
        <f>$AE$12+D312*$AE$13+E312*$AE$14+F312*$AE$15+G312*$AE$16+H312*$AE$17+I312*$AE$18+J312*$AE$19+K312*$AE$20+L312*$AE$21+M312*$AE$22+N312*$AE$23+O312*$AE$24+P312*$AE$25+Q312*$AE$26+R312*$AE$27+S312*$AE$28+T312*$AE$29+U312*$AE$30</f>
        <v/>
      </c>
      <c r="W312" s="8">
        <f>1/(1+EXP(-V312))</f>
        <v/>
      </c>
      <c r="X312" s="9">
        <f>-IF(C312=1,LN(W312),LN(1-W312))</f>
        <v/>
      </c>
      <c r="Y312" s="8">
        <f>IF(C312=1,$AE$32,$AE$33)</f>
        <v/>
      </c>
      <c r="Z312" s="9">
        <f>Y312*X312</f>
        <v/>
      </c>
      <c r="AA312" s="10">
        <f>IF(W312&gt;$AE$34,1,0)</f>
        <v/>
      </c>
      <c r="AB312">
        <f>IF(AA312=C312,1,0)</f>
        <v/>
      </c>
    </row>
    <row r="313">
      <c r="A313">
        <f>'1 datos preparados'!A306</f>
        <v/>
      </c>
      <c r="B313" s="5">
        <f>'1 datos preparados'!U306</f>
        <v/>
      </c>
      <c r="C313">
        <f>'1 datos preparados'!B306</f>
        <v/>
      </c>
      <c r="D313" s="7">
        <f>'1 datos preparados'!C306</f>
        <v/>
      </c>
      <c r="E313" s="7">
        <f>'1 datos preparados'!D306</f>
        <v/>
      </c>
      <c r="F313" s="7">
        <f>'1 datos preparados'!E306</f>
        <v/>
      </c>
      <c r="G313" s="7">
        <f>'1 datos preparados'!F306</f>
        <v/>
      </c>
      <c r="H313" s="7">
        <f>'1 datos preparados'!G306</f>
        <v/>
      </c>
      <c r="I313" s="7">
        <f>'1 datos preparados'!H306</f>
        <v/>
      </c>
      <c r="J313" s="7">
        <f>'1 datos preparados'!I306</f>
        <v/>
      </c>
      <c r="K313" s="7">
        <f>'1 datos preparados'!J306</f>
        <v/>
      </c>
      <c r="L313" s="7">
        <f>'1 datos preparados'!K306</f>
        <v/>
      </c>
      <c r="M313" s="7">
        <f>'1 datos preparados'!L306</f>
        <v/>
      </c>
      <c r="N313" s="7">
        <f>'1 datos preparados'!M306</f>
        <v/>
      </c>
      <c r="O313" s="7">
        <f>'1 datos preparados'!N306</f>
        <v/>
      </c>
      <c r="P313" s="7">
        <f>'1 datos preparados'!O306</f>
        <v/>
      </c>
      <c r="Q313" s="7">
        <f>'1 datos preparados'!P306</f>
        <v/>
      </c>
      <c r="R313" s="7">
        <f>'1 datos preparados'!Q306</f>
        <v/>
      </c>
      <c r="S313" s="7">
        <f>'1 datos preparados'!R306</f>
        <v/>
      </c>
      <c r="T313" s="7">
        <f>'1 datos preparados'!S306</f>
        <v/>
      </c>
      <c r="U313" s="7">
        <f>'1 datos preparados'!T306</f>
        <v/>
      </c>
      <c r="V313" s="8">
        <f>$AE$12+D313*$AE$13+E313*$AE$14+F313*$AE$15+G313*$AE$16+H313*$AE$17+I313*$AE$18+J313*$AE$19+K313*$AE$20+L313*$AE$21+M313*$AE$22+N313*$AE$23+O313*$AE$24+P313*$AE$25+Q313*$AE$26+R313*$AE$27+S313*$AE$28+T313*$AE$29+U313*$AE$30</f>
        <v/>
      </c>
      <c r="W313" s="8">
        <f>1/(1+EXP(-V313))</f>
        <v/>
      </c>
      <c r="X313" s="9">
        <f>-IF(C313=1,LN(W313),LN(1-W313))</f>
        <v/>
      </c>
      <c r="Y313" s="8">
        <f>IF(C313=1,$AE$32,$AE$33)</f>
        <v/>
      </c>
      <c r="Z313" s="9">
        <f>Y313*X313</f>
        <v/>
      </c>
      <c r="AA313" s="10">
        <f>IF(W313&gt;$AE$34,1,0)</f>
        <v/>
      </c>
      <c r="AB313">
        <f>IF(AA313=C313,1,0)</f>
        <v/>
      </c>
    </row>
    <row r="314">
      <c r="A314">
        <f>'1 datos preparados'!A307</f>
        <v/>
      </c>
      <c r="B314" s="5">
        <f>'1 datos preparados'!U307</f>
        <v/>
      </c>
      <c r="C314">
        <f>'1 datos preparados'!B307</f>
        <v/>
      </c>
      <c r="D314" s="7">
        <f>'1 datos preparados'!C307</f>
        <v/>
      </c>
      <c r="E314" s="7">
        <f>'1 datos preparados'!D307</f>
        <v/>
      </c>
      <c r="F314" s="7">
        <f>'1 datos preparados'!E307</f>
        <v/>
      </c>
      <c r="G314" s="7">
        <f>'1 datos preparados'!F307</f>
        <v/>
      </c>
      <c r="H314" s="7">
        <f>'1 datos preparados'!G307</f>
        <v/>
      </c>
      <c r="I314" s="7">
        <f>'1 datos preparados'!H307</f>
        <v/>
      </c>
      <c r="J314" s="7">
        <f>'1 datos preparados'!I307</f>
        <v/>
      </c>
      <c r="K314" s="7">
        <f>'1 datos preparados'!J307</f>
        <v/>
      </c>
      <c r="L314" s="7">
        <f>'1 datos preparados'!K307</f>
        <v/>
      </c>
      <c r="M314" s="7">
        <f>'1 datos preparados'!L307</f>
        <v/>
      </c>
      <c r="N314" s="7">
        <f>'1 datos preparados'!M307</f>
        <v/>
      </c>
      <c r="O314" s="7">
        <f>'1 datos preparados'!N307</f>
        <v/>
      </c>
      <c r="P314" s="7">
        <f>'1 datos preparados'!O307</f>
        <v/>
      </c>
      <c r="Q314" s="7">
        <f>'1 datos preparados'!P307</f>
        <v/>
      </c>
      <c r="R314" s="7">
        <f>'1 datos preparados'!Q307</f>
        <v/>
      </c>
      <c r="S314" s="7">
        <f>'1 datos preparados'!R307</f>
        <v/>
      </c>
      <c r="T314" s="7">
        <f>'1 datos preparados'!S307</f>
        <v/>
      </c>
      <c r="U314" s="7">
        <f>'1 datos preparados'!T307</f>
        <v/>
      </c>
      <c r="V314" s="8">
        <f>$AE$12+D314*$AE$13+E314*$AE$14+F314*$AE$15+G314*$AE$16+H314*$AE$17+I314*$AE$18+J314*$AE$19+K314*$AE$20+L314*$AE$21+M314*$AE$22+N314*$AE$23+O314*$AE$24+P314*$AE$25+Q314*$AE$26+R314*$AE$27+S314*$AE$28+T314*$AE$29+U314*$AE$30</f>
        <v/>
      </c>
      <c r="W314" s="8">
        <f>1/(1+EXP(-V314))</f>
        <v/>
      </c>
      <c r="X314" s="9">
        <f>-IF(C314=1,LN(W314),LN(1-W314))</f>
        <v/>
      </c>
      <c r="Y314" s="8">
        <f>IF(C314=1,$AE$32,$AE$33)</f>
        <v/>
      </c>
      <c r="Z314" s="9">
        <f>Y314*X314</f>
        <v/>
      </c>
      <c r="AA314" s="10">
        <f>IF(W314&gt;$AE$34,1,0)</f>
        <v/>
      </c>
      <c r="AB314">
        <f>IF(AA314=C314,1,0)</f>
        <v/>
      </c>
    </row>
    <row r="315">
      <c r="A315">
        <f>'1 datos preparados'!A308</f>
        <v/>
      </c>
      <c r="B315" s="5">
        <f>'1 datos preparados'!U308</f>
        <v/>
      </c>
      <c r="C315">
        <f>'1 datos preparados'!B308</f>
        <v/>
      </c>
      <c r="D315" s="7">
        <f>'1 datos preparados'!C308</f>
        <v/>
      </c>
      <c r="E315" s="7">
        <f>'1 datos preparados'!D308</f>
        <v/>
      </c>
      <c r="F315" s="7">
        <f>'1 datos preparados'!E308</f>
        <v/>
      </c>
      <c r="G315" s="7">
        <f>'1 datos preparados'!F308</f>
        <v/>
      </c>
      <c r="H315" s="7">
        <f>'1 datos preparados'!G308</f>
        <v/>
      </c>
      <c r="I315" s="7">
        <f>'1 datos preparados'!H308</f>
        <v/>
      </c>
      <c r="J315" s="7">
        <f>'1 datos preparados'!I308</f>
        <v/>
      </c>
      <c r="K315" s="7">
        <f>'1 datos preparados'!J308</f>
        <v/>
      </c>
      <c r="L315" s="7">
        <f>'1 datos preparados'!K308</f>
        <v/>
      </c>
      <c r="M315" s="7">
        <f>'1 datos preparados'!L308</f>
        <v/>
      </c>
      <c r="N315" s="7">
        <f>'1 datos preparados'!M308</f>
        <v/>
      </c>
      <c r="O315" s="7">
        <f>'1 datos preparados'!N308</f>
        <v/>
      </c>
      <c r="P315" s="7">
        <f>'1 datos preparados'!O308</f>
        <v/>
      </c>
      <c r="Q315" s="7">
        <f>'1 datos preparados'!P308</f>
        <v/>
      </c>
      <c r="R315" s="7">
        <f>'1 datos preparados'!Q308</f>
        <v/>
      </c>
      <c r="S315" s="7">
        <f>'1 datos preparados'!R308</f>
        <v/>
      </c>
      <c r="T315" s="7">
        <f>'1 datos preparados'!S308</f>
        <v/>
      </c>
      <c r="U315" s="7">
        <f>'1 datos preparados'!T308</f>
        <v/>
      </c>
      <c r="V315" s="8">
        <f>$AE$12+D315*$AE$13+E315*$AE$14+F315*$AE$15+G315*$AE$16+H315*$AE$17+I315*$AE$18+J315*$AE$19+K315*$AE$20+L315*$AE$21+M315*$AE$22+N315*$AE$23+O315*$AE$24+P315*$AE$25+Q315*$AE$26+R315*$AE$27+S315*$AE$28+T315*$AE$29+U315*$AE$30</f>
        <v/>
      </c>
      <c r="W315" s="8">
        <f>1/(1+EXP(-V315))</f>
        <v/>
      </c>
      <c r="X315" s="9">
        <f>-IF(C315=1,LN(W315),LN(1-W315))</f>
        <v/>
      </c>
      <c r="Y315" s="8">
        <f>IF(C315=1,$AE$32,$AE$33)</f>
        <v/>
      </c>
      <c r="Z315" s="9">
        <f>Y315*X315</f>
        <v/>
      </c>
      <c r="AA315" s="10">
        <f>IF(W315&gt;$AE$34,1,0)</f>
        <v/>
      </c>
      <c r="AB315">
        <f>IF(AA315=C315,1,0)</f>
        <v/>
      </c>
    </row>
    <row r="316">
      <c r="A316">
        <f>'1 datos preparados'!A309</f>
        <v/>
      </c>
      <c r="B316" s="5">
        <f>'1 datos preparados'!U309</f>
        <v/>
      </c>
      <c r="C316">
        <f>'1 datos preparados'!B309</f>
        <v/>
      </c>
      <c r="D316" s="7">
        <f>'1 datos preparados'!C309</f>
        <v/>
      </c>
      <c r="E316" s="7">
        <f>'1 datos preparados'!D309</f>
        <v/>
      </c>
      <c r="F316" s="7">
        <f>'1 datos preparados'!E309</f>
        <v/>
      </c>
      <c r="G316" s="7">
        <f>'1 datos preparados'!F309</f>
        <v/>
      </c>
      <c r="H316" s="7">
        <f>'1 datos preparados'!G309</f>
        <v/>
      </c>
      <c r="I316" s="7">
        <f>'1 datos preparados'!H309</f>
        <v/>
      </c>
      <c r="J316" s="7">
        <f>'1 datos preparados'!I309</f>
        <v/>
      </c>
      <c r="K316" s="7">
        <f>'1 datos preparados'!J309</f>
        <v/>
      </c>
      <c r="L316" s="7">
        <f>'1 datos preparados'!K309</f>
        <v/>
      </c>
      <c r="M316" s="7">
        <f>'1 datos preparados'!L309</f>
        <v/>
      </c>
      <c r="N316" s="7">
        <f>'1 datos preparados'!M309</f>
        <v/>
      </c>
      <c r="O316" s="7">
        <f>'1 datos preparados'!N309</f>
        <v/>
      </c>
      <c r="P316" s="7">
        <f>'1 datos preparados'!O309</f>
        <v/>
      </c>
      <c r="Q316" s="7">
        <f>'1 datos preparados'!P309</f>
        <v/>
      </c>
      <c r="R316" s="7">
        <f>'1 datos preparados'!Q309</f>
        <v/>
      </c>
      <c r="S316" s="7">
        <f>'1 datos preparados'!R309</f>
        <v/>
      </c>
      <c r="T316" s="7">
        <f>'1 datos preparados'!S309</f>
        <v/>
      </c>
      <c r="U316" s="7">
        <f>'1 datos preparados'!T309</f>
        <v/>
      </c>
      <c r="V316" s="8">
        <f>$AE$12+D316*$AE$13+E316*$AE$14+F316*$AE$15+G316*$AE$16+H316*$AE$17+I316*$AE$18+J316*$AE$19+K316*$AE$20+L316*$AE$21+M316*$AE$22+N316*$AE$23+O316*$AE$24+P316*$AE$25+Q316*$AE$26+R316*$AE$27+S316*$AE$28+T316*$AE$29+U316*$AE$30</f>
        <v/>
      </c>
      <c r="W316" s="8">
        <f>1/(1+EXP(-V316))</f>
        <v/>
      </c>
      <c r="X316" s="9">
        <f>-IF(C316=1,LN(W316),LN(1-W316))</f>
        <v/>
      </c>
      <c r="Y316" s="8">
        <f>IF(C316=1,$AE$32,$AE$33)</f>
        <v/>
      </c>
      <c r="Z316" s="9">
        <f>Y316*X316</f>
        <v/>
      </c>
      <c r="AA316" s="10">
        <f>IF(W316&gt;$AE$34,1,0)</f>
        <v/>
      </c>
      <c r="AB316">
        <f>IF(AA316=C316,1,0)</f>
        <v/>
      </c>
    </row>
    <row r="317">
      <c r="A317">
        <f>'1 datos preparados'!A310</f>
        <v/>
      </c>
      <c r="B317" s="5">
        <f>'1 datos preparados'!U310</f>
        <v/>
      </c>
      <c r="C317">
        <f>'1 datos preparados'!B310</f>
        <v/>
      </c>
      <c r="D317" s="7">
        <f>'1 datos preparados'!C310</f>
        <v/>
      </c>
      <c r="E317" s="7">
        <f>'1 datos preparados'!D310</f>
        <v/>
      </c>
      <c r="F317" s="7">
        <f>'1 datos preparados'!E310</f>
        <v/>
      </c>
      <c r="G317" s="7">
        <f>'1 datos preparados'!F310</f>
        <v/>
      </c>
      <c r="H317" s="7">
        <f>'1 datos preparados'!G310</f>
        <v/>
      </c>
      <c r="I317" s="7">
        <f>'1 datos preparados'!H310</f>
        <v/>
      </c>
      <c r="J317" s="7">
        <f>'1 datos preparados'!I310</f>
        <v/>
      </c>
      <c r="K317" s="7">
        <f>'1 datos preparados'!J310</f>
        <v/>
      </c>
      <c r="L317" s="7">
        <f>'1 datos preparados'!K310</f>
        <v/>
      </c>
      <c r="M317" s="7">
        <f>'1 datos preparados'!L310</f>
        <v/>
      </c>
      <c r="N317" s="7">
        <f>'1 datos preparados'!M310</f>
        <v/>
      </c>
      <c r="O317" s="7">
        <f>'1 datos preparados'!N310</f>
        <v/>
      </c>
      <c r="P317" s="7">
        <f>'1 datos preparados'!O310</f>
        <v/>
      </c>
      <c r="Q317" s="7">
        <f>'1 datos preparados'!P310</f>
        <v/>
      </c>
      <c r="R317" s="7">
        <f>'1 datos preparados'!Q310</f>
        <v/>
      </c>
      <c r="S317" s="7">
        <f>'1 datos preparados'!R310</f>
        <v/>
      </c>
      <c r="T317" s="7">
        <f>'1 datos preparados'!S310</f>
        <v/>
      </c>
      <c r="U317" s="7">
        <f>'1 datos preparados'!T310</f>
        <v/>
      </c>
      <c r="V317" s="8">
        <f>$AE$12+D317*$AE$13+E317*$AE$14+F317*$AE$15+G317*$AE$16+H317*$AE$17+I317*$AE$18+J317*$AE$19+K317*$AE$20+L317*$AE$21+M317*$AE$22+N317*$AE$23+O317*$AE$24+P317*$AE$25+Q317*$AE$26+R317*$AE$27+S317*$AE$28+T317*$AE$29+U317*$AE$30</f>
        <v/>
      </c>
      <c r="W317" s="8">
        <f>1/(1+EXP(-V317))</f>
        <v/>
      </c>
      <c r="X317" s="9">
        <f>-IF(C317=1,LN(W317),LN(1-W317))</f>
        <v/>
      </c>
      <c r="Y317" s="8">
        <f>IF(C317=1,$AE$32,$AE$33)</f>
        <v/>
      </c>
      <c r="Z317" s="9">
        <f>Y317*X317</f>
        <v/>
      </c>
      <c r="AA317" s="10">
        <f>IF(W317&gt;$AE$34,1,0)</f>
        <v/>
      </c>
      <c r="AB317">
        <f>IF(AA317=C317,1,0)</f>
        <v/>
      </c>
    </row>
    <row r="318">
      <c r="A318">
        <f>'1 datos preparados'!A311</f>
        <v/>
      </c>
      <c r="B318" s="5">
        <f>'1 datos preparados'!U311</f>
        <v/>
      </c>
      <c r="C318">
        <f>'1 datos preparados'!B311</f>
        <v/>
      </c>
      <c r="D318" s="7">
        <f>'1 datos preparados'!C311</f>
        <v/>
      </c>
      <c r="E318" s="7">
        <f>'1 datos preparados'!D311</f>
        <v/>
      </c>
      <c r="F318" s="7">
        <f>'1 datos preparados'!E311</f>
        <v/>
      </c>
      <c r="G318" s="7">
        <f>'1 datos preparados'!F311</f>
        <v/>
      </c>
      <c r="H318" s="7">
        <f>'1 datos preparados'!G311</f>
        <v/>
      </c>
      <c r="I318" s="7">
        <f>'1 datos preparados'!H311</f>
        <v/>
      </c>
      <c r="J318" s="7">
        <f>'1 datos preparados'!I311</f>
        <v/>
      </c>
      <c r="K318" s="7">
        <f>'1 datos preparados'!J311</f>
        <v/>
      </c>
      <c r="L318" s="7">
        <f>'1 datos preparados'!K311</f>
        <v/>
      </c>
      <c r="M318" s="7">
        <f>'1 datos preparados'!L311</f>
        <v/>
      </c>
      <c r="N318" s="7">
        <f>'1 datos preparados'!M311</f>
        <v/>
      </c>
      <c r="O318" s="7">
        <f>'1 datos preparados'!N311</f>
        <v/>
      </c>
      <c r="P318" s="7">
        <f>'1 datos preparados'!O311</f>
        <v/>
      </c>
      <c r="Q318" s="7">
        <f>'1 datos preparados'!P311</f>
        <v/>
      </c>
      <c r="R318" s="7">
        <f>'1 datos preparados'!Q311</f>
        <v/>
      </c>
      <c r="S318" s="7">
        <f>'1 datos preparados'!R311</f>
        <v/>
      </c>
      <c r="T318" s="7">
        <f>'1 datos preparados'!S311</f>
        <v/>
      </c>
      <c r="U318" s="7">
        <f>'1 datos preparados'!T311</f>
        <v/>
      </c>
      <c r="V318" s="8">
        <f>$AE$12+D318*$AE$13+E318*$AE$14+F318*$AE$15+G318*$AE$16+H318*$AE$17+I318*$AE$18+J318*$AE$19+K318*$AE$20+L318*$AE$21+M318*$AE$22+N318*$AE$23+O318*$AE$24+P318*$AE$25+Q318*$AE$26+R318*$AE$27+S318*$AE$28+T318*$AE$29+U318*$AE$30</f>
        <v/>
      </c>
      <c r="W318" s="8">
        <f>1/(1+EXP(-V318))</f>
        <v/>
      </c>
      <c r="X318" s="9">
        <f>-IF(C318=1,LN(W318),LN(1-W318))</f>
        <v/>
      </c>
      <c r="Y318" s="8">
        <f>IF(C318=1,$AE$32,$AE$33)</f>
        <v/>
      </c>
      <c r="Z318" s="9">
        <f>Y318*X318</f>
        <v/>
      </c>
      <c r="AA318" s="10">
        <f>IF(W318&gt;$AE$34,1,0)</f>
        <v/>
      </c>
      <c r="AB318">
        <f>IF(AA318=C318,1,0)</f>
        <v/>
      </c>
    </row>
    <row r="319">
      <c r="A319">
        <f>'1 datos preparados'!A312</f>
        <v/>
      </c>
      <c r="B319" s="5">
        <f>'1 datos preparados'!U312</f>
        <v/>
      </c>
      <c r="C319">
        <f>'1 datos preparados'!B312</f>
        <v/>
      </c>
      <c r="D319" s="7">
        <f>'1 datos preparados'!C312</f>
        <v/>
      </c>
      <c r="E319" s="7">
        <f>'1 datos preparados'!D312</f>
        <v/>
      </c>
      <c r="F319" s="7">
        <f>'1 datos preparados'!E312</f>
        <v/>
      </c>
      <c r="G319" s="7">
        <f>'1 datos preparados'!F312</f>
        <v/>
      </c>
      <c r="H319" s="7">
        <f>'1 datos preparados'!G312</f>
        <v/>
      </c>
      <c r="I319" s="7">
        <f>'1 datos preparados'!H312</f>
        <v/>
      </c>
      <c r="J319" s="7">
        <f>'1 datos preparados'!I312</f>
        <v/>
      </c>
      <c r="K319" s="7">
        <f>'1 datos preparados'!J312</f>
        <v/>
      </c>
      <c r="L319" s="7">
        <f>'1 datos preparados'!K312</f>
        <v/>
      </c>
      <c r="M319" s="7">
        <f>'1 datos preparados'!L312</f>
        <v/>
      </c>
      <c r="N319" s="7">
        <f>'1 datos preparados'!M312</f>
        <v/>
      </c>
      <c r="O319" s="7">
        <f>'1 datos preparados'!N312</f>
        <v/>
      </c>
      <c r="P319" s="7">
        <f>'1 datos preparados'!O312</f>
        <v/>
      </c>
      <c r="Q319" s="7">
        <f>'1 datos preparados'!P312</f>
        <v/>
      </c>
      <c r="R319" s="7">
        <f>'1 datos preparados'!Q312</f>
        <v/>
      </c>
      <c r="S319" s="7">
        <f>'1 datos preparados'!R312</f>
        <v/>
      </c>
      <c r="T319" s="7">
        <f>'1 datos preparados'!S312</f>
        <v/>
      </c>
      <c r="U319" s="7">
        <f>'1 datos preparados'!T312</f>
        <v/>
      </c>
      <c r="V319" s="8">
        <f>$AE$12+D319*$AE$13+E319*$AE$14+F319*$AE$15+G319*$AE$16+H319*$AE$17+I319*$AE$18+J319*$AE$19+K319*$AE$20+L319*$AE$21+M319*$AE$22+N319*$AE$23+O319*$AE$24+P319*$AE$25+Q319*$AE$26+R319*$AE$27+S319*$AE$28+T319*$AE$29+U319*$AE$30</f>
        <v/>
      </c>
      <c r="W319" s="8">
        <f>1/(1+EXP(-V319))</f>
        <v/>
      </c>
      <c r="X319" s="9">
        <f>-IF(C319=1,LN(W319),LN(1-W319))</f>
        <v/>
      </c>
      <c r="Y319" s="8">
        <f>IF(C319=1,$AE$32,$AE$33)</f>
        <v/>
      </c>
      <c r="Z319" s="9">
        <f>Y319*X319</f>
        <v/>
      </c>
      <c r="AA319" s="10">
        <f>IF(W319&gt;$AE$34,1,0)</f>
        <v/>
      </c>
      <c r="AB319">
        <f>IF(AA319=C319,1,0)</f>
        <v/>
      </c>
    </row>
    <row r="320">
      <c r="A320">
        <f>'1 datos preparados'!A313</f>
        <v/>
      </c>
      <c r="B320" s="5">
        <f>'1 datos preparados'!U313</f>
        <v/>
      </c>
      <c r="C320">
        <f>'1 datos preparados'!B313</f>
        <v/>
      </c>
      <c r="D320" s="7">
        <f>'1 datos preparados'!C313</f>
        <v/>
      </c>
      <c r="E320" s="7">
        <f>'1 datos preparados'!D313</f>
        <v/>
      </c>
      <c r="F320" s="7">
        <f>'1 datos preparados'!E313</f>
        <v/>
      </c>
      <c r="G320" s="7">
        <f>'1 datos preparados'!F313</f>
        <v/>
      </c>
      <c r="H320" s="7">
        <f>'1 datos preparados'!G313</f>
        <v/>
      </c>
      <c r="I320" s="7">
        <f>'1 datos preparados'!H313</f>
        <v/>
      </c>
      <c r="J320" s="7">
        <f>'1 datos preparados'!I313</f>
        <v/>
      </c>
      <c r="K320" s="7">
        <f>'1 datos preparados'!J313</f>
        <v/>
      </c>
      <c r="L320" s="7">
        <f>'1 datos preparados'!K313</f>
        <v/>
      </c>
      <c r="M320" s="7">
        <f>'1 datos preparados'!L313</f>
        <v/>
      </c>
      <c r="N320" s="7">
        <f>'1 datos preparados'!M313</f>
        <v/>
      </c>
      <c r="O320" s="7">
        <f>'1 datos preparados'!N313</f>
        <v/>
      </c>
      <c r="P320" s="7">
        <f>'1 datos preparados'!O313</f>
        <v/>
      </c>
      <c r="Q320" s="7">
        <f>'1 datos preparados'!P313</f>
        <v/>
      </c>
      <c r="R320" s="7">
        <f>'1 datos preparados'!Q313</f>
        <v/>
      </c>
      <c r="S320" s="7">
        <f>'1 datos preparados'!R313</f>
        <v/>
      </c>
      <c r="T320" s="7">
        <f>'1 datos preparados'!S313</f>
        <v/>
      </c>
      <c r="U320" s="7">
        <f>'1 datos preparados'!T313</f>
        <v/>
      </c>
      <c r="V320" s="8">
        <f>$AE$12+D320*$AE$13+E320*$AE$14+F320*$AE$15+G320*$AE$16+H320*$AE$17+I320*$AE$18+J320*$AE$19+K320*$AE$20+L320*$AE$21+M320*$AE$22+N320*$AE$23+O320*$AE$24+P320*$AE$25+Q320*$AE$26+R320*$AE$27+S320*$AE$28+T320*$AE$29+U320*$AE$30</f>
        <v/>
      </c>
      <c r="W320" s="8">
        <f>1/(1+EXP(-V320))</f>
        <v/>
      </c>
      <c r="X320" s="9">
        <f>-IF(C320=1,LN(W320),LN(1-W320))</f>
        <v/>
      </c>
      <c r="Y320" s="8">
        <f>IF(C320=1,$AE$32,$AE$33)</f>
        <v/>
      </c>
      <c r="Z320" s="9">
        <f>Y320*X320</f>
        <v/>
      </c>
      <c r="AA320" s="10">
        <f>IF(W320&gt;$AE$34,1,0)</f>
        <v/>
      </c>
      <c r="AB320">
        <f>IF(AA320=C320,1,0)</f>
        <v/>
      </c>
    </row>
    <row r="321">
      <c r="A321">
        <f>'1 datos preparados'!A314</f>
        <v/>
      </c>
      <c r="B321" s="5">
        <f>'1 datos preparados'!U314</f>
        <v/>
      </c>
      <c r="C321">
        <f>'1 datos preparados'!B314</f>
        <v/>
      </c>
      <c r="D321" s="7">
        <f>'1 datos preparados'!C314</f>
        <v/>
      </c>
      <c r="E321" s="7">
        <f>'1 datos preparados'!D314</f>
        <v/>
      </c>
      <c r="F321" s="7">
        <f>'1 datos preparados'!E314</f>
        <v/>
      </c>
      <c r="G321" s="7">
        <f>'1 datos preparados'!F314</f>
        <v/>
      </c>
      <c r="H321" s="7">
        <f>'1 datos preparados'!G314</f>
        <v/>
      </c>
      <c r="I321" s="7">
        <f>'1 datos preparados'!H314</f>
        <v/>
      </c>
      <c r="J321" s="7">
        <f>'1 datos preparados'!I314</f>
        <v/>
      </c>
      <c r="K321" s="7">
        <f>'1 datos preparados'!J314</f>
        <v/>
      </c>
      <c r="L321" s="7">
        <f>'1 datos preparados'!K314</f>
        <v/>
      </c>
      <c r="M321" s="7">
        <f>'1 datos preparados'!L314</f>
        <v/>
      </c>
      <c r="N321" s="7">
        <f>'1 datos preparados'!M314</f>
        <v/>
      </c>
      <c r="O321" s="7">
        <f>'1 datos preparados'!N314</f>
        <v/>
      </c>
      <c r="P321" s="7">
        <f>'1 datos preparados'!O314</f>
        <v/>
      </c>
      <c r="Q321" s="7">
        <f>'1 datos preparados'!P314</f>
        <v/>
      </c>
      <c r="R321" s="7">
        <f>'1 datos preparados'!Q314</f>
        <v/>
      </c>
      <c r="S321" s="7">
        <f>'1 datos preparados'!R314</f>
        <v/>
      </c>
      <c r="T321" s="7">
        <f>'1 datos preparados'!S314</f>
        <v/>
      </c>
      <c r="U321" s="7">
        <f>'1 datos preparados'!T314</f>
        <v/>
      </c>
      <c r="V321" s="8">
        <f>$AE$12+D321*$AE$13+E321*$AE$14+F321*$AE$15+G321*$AE$16+H321*$AE$17+I321*$AE$18+J321*$AE$19+K321*$AE$20+L321*$AE$21+M321*$AE$22+N321*$AE$23+O321*$AE$24+P321*$AE$25+Q321*$AE$26+R321*$AE$27+S321*$AE$28+T321*$AE$29+U321*$AE$30</f>
        <v/>
      </c>
      <c r="W321" s="8">
        <f>1/(1+EXP(-V321))</f>
        <v/>
      </c>
      <c r="X321" s="9">
        <f>-IF(C321=1,LN(W321),LN(1-W321))</f>
        <v/>
      </c>
      <c r="Y321" s="8">
        <f>IF(C321=1,$AE$32,$AE$33)</f>
        <v/>
      </c>
      <c r="Z321" s="9">
        <f>Y321*X321</f>
        <v/>
      </c>
      <c r="AA321" s="10">
        <f>IF(W321&gt;$AE$34,1,0)</f>
        <v/>
      </c>
      <c r="AB321">
        <f>IF(AA321=C321,1,0)</f>
        <v/>
      </c>
    </row>
    <row r="322">
      <c r="A322">
        <f>'1 datos preparados'!A315</f>
        <v/>
      </c>
      <c r="B322" s="5">
        <f>'1 datos preparados'!U315</f>
        <v/>
      </c>
      <c r="C322">
        <f>'1 datos preparados'!B315</f>
        <v/>
      </c>
      <c r="D322" s="7">
        <f>'1 datos preparados'!C315</f>
        <v/>
      </c>
      <c r="E322" s="7">
        <f>'1 datos preparados'!D315</f>
        <v/>
      </c>
      <c r="F322" s="7">
        <f>'1 datos preparados'!E315</f>
        <v/>
      </c>
      <c r="G322" s="7">
        <f>'1 datos preparados'!F315</f>
        <v/>
      </c>
      <c r="H322" s="7">
        <f>'1 datos preparados'!G315</f>
        <v/>
      </c>
      <c r="I322" s="7">
        <f>'1 datos preparados'!H315</f>
        <v/>
      </c>
      <c r="J322" s="7">
        <f>'1 datos preparados'!I315</f>
        <v/>
      </c>
      <c r="K322" s="7">
        <f>'1 datos preparados'!J315</f>
        <v/>
      </c>
      <c r="L322" s="7">
        <f>'1 datos preparados'!K315</f>
        <v/>
      </c>
      <c r="M322" s="7">
        <f>'1 datos preparados'!L315</f>
        <v/>
      </c>
      <c r="N322" s="7">
        <f>'1 datos preparados'!M315</f>
        <v/>
      </c>
      <c r="O322" s="7">
        <f>'1 datos preparados'!N315</f>
        <v/>
      </c>
      <c r="P322" s="7">
        <f>'1 datos preparados'!O315</f>
        <v/>
      </c>
      <c r="Q322" s="7">
        <f>'1 datos preparados'!P315</f>
        <v/>
      </c>
      <c r="R322" s="7">
        <f>'1 datos preparados'!Q315</f>
        <v/>
      </c>
      <c r="S322" s="7">
        <f>'1 datos preparados'!R315</f>
        <v/>
      </c>
      <c r="T322" s="7">
        <f>'1 datos preparados'!S315</f>
        <v/>
      </c>
      <c r="U322" s="7">
        <f>'1 datos preparados'!T315</f>
        <v/>
      </c>
      <c r="V322" s="8">
        <f>$AE$12+D322*$AE$13+E322*$AE$14+F322*$AE$15+G322*$AE$16+H322*$AE$17+I322*$AE$18+J322*$AE$19+K322*$AE$20+L322*$AE$21+M322*$AE$22+N322*$AE$23+O322*$AE$24+P322*$AE$25+Q322*$AE$26+R322*$AE$27+S322*$AE$28+T322*$AE$29+U322*$AE$30</f>
        <v/>
      </c>
      <c r="W322" s="8">
        <f>1/(1+EXP(-V322))</f>
        <v/>
      </c>
      <c r="X322" s="9">
        <f>-IF(C322=1,LN(W322),LN(1-W322))</f>
        <v/>
      </c>
      <c r="Y322" s="8">
        <f>IF(C322=1,$AE$32,$AE$33)</f>
        <v/>
      </c>
      <c r="Z322" s="9">
        <f>Y322*X322</f>
        <v/>
      </c>
      <c r="AA322" s="10">
        <f>IF(W322&gt;$AE$34,1,0)</f>
        <v/>
      </c>
      <c r="AB322">
        <f>IF(AA322=C322,1,0)</f>
        <v/>
      </c>
    </row>
    <row r="323">
      <c r="A323">
        <f>'1 datos preparados'!A316</f>
        <v/>
      </c>
      <c r="B323" s="5">
        <f>'1 datos preparados'!U316</f>
        <v/>
      </c>
      <c r="C323">
        <f>'1 datos preparados'!B316</f>
        <v/>
      </c>
      <c r="D323" s="7">
        <f>'1 datos preparados'!C316</f>
        <v/>
      </c>
      <c r="E323" s="7">
        <f>'1 datos preparados'!D316</f>
        <v/>
      </c>
      <c r="F323" s="7">
        <f>'1 datos preparados'!E316</f>
        <v/>
      </c>
      <c r="G323" s="7">
        <f>'1 datos preparados'!F316</f>
        <v/>
      </c>
      <c r="H323" s="7">
        <f>'1 datos preparados'!G316</f>
        <v/>
      </c>
      <c r="I323" s="7">
        <f>'1 datos preparados'!H316</f>
        <v/>
      </c>
      <c r="J323" s="7">
        <f>'1 datos preparados'!I316</f>
        <v/>
      </c>
      <c r="K323" s="7">
        <f>'1 datos preparados'!J316</f>
        <v/>
      </c>
      <c r="L323" s="7">
        <f>'1 datos preparados'!K316</f>
        <v/>
      </c>
      <c r="M323" s="7">
        <f>'1 datos preparados'!L316</f>
        <v/>
      </c>
      <c r="N323" s="7">
        <f>'1 datos preparados'!M316</f>
        <v/>
      </c>
      <c r="O323" s="7">
        <f>'1 datos preparados'!N316</f>
        <v/>
      </c>
      <c r="P323" s="7">
        <f>'1 datos preparados'!O316</f>
        <v/>
      </c>
      <c r="Q323" s="7">
        <f>'1 datos preparados'!P316</f>
        <v/>
      </c>
      <c r="R323" s="7">
        <f>'1 datos preparados'!Q316</f>
        <v/>
      </c>
      <c r="S323" s="7">
        <f>'1 datos preparados'!R316</f>
        <v/>
      </c>
      <c r="T323" s="7">
        <f>'1 datos preparados'!S316</f>
        <v/>
      </c>
      <c r="U323" s="7">
        <f>'1 datos preparados'!T316</f>
        <v/>
      </c>
      <c r="V323" s="8">
        <f>$AE$12+D323*$AE$13+E323*$AE$14+F323*$AE$15+G323*$AE$16+H323*$AE$17+I323*$AE$18+J323*$AE$19+K323*$AE$20+L323*$AE$21+M323*$AE$22+N323*$AE$23+O323*$AE$24+P323*$AE$25+Q323*$AE$26+R323*$AE$27+S323*$AE$28+T323*$AE$29+U323*$AE$30</f>
        <v/>
      </c>
      <c r="W323" s="8">
        <f>1/(1+EXP(-V323))</f>
        <v/>
      </c>
      <c r="X323" s="9">
        <f>-IF(C323=1,LN(W323),LN(1-W323))</f>
        <v/>
      </c>
      <c r="Y323" s="8">
        <f>IF(C323=1,$AE$32,$AE$33)</f>
        <v/>
      </c>
      <c r="Z323" s="9">
        <f>Y323*X323</f>
        <v/>
      </c>
      <c r="AA323" s="10">
        <f>IF(W323&gt;$AE$34,1,0)</f>
        <v/>
      </c>
      <c r="AB323">
        <f>IF(AA323=C323,1,0)</f>
        <v/>
      </c>
    </row>
    <row r="324">
      <c r="A324">
        <f>'1 datos preparados'!A317</f>
        <v/>
      </c>
      <c r="B324" s="5">
        <f>'1 datos preparados'!U317</f>
        <v/>
      </c>
      <c r="C324">
        <f>'1 datos preparados'!B317</f>
        <v/>
      </c>
      <c r="D324" s="7">
        <f>'1 datos preparados'!C317</f>
        <v/>
      </c>
      <c r="E324" s="7">
        <f>'1 datos preparados'!D317</f>
        <v/>
      </c>
      <c r="F324" s="7">
        <f>'1 datos preparados'!E317</f>
        <v/>
      </c>
      <c r="G324" s="7">
        <f>'1 datos preparados'!F317</f>
        <v/>
      </c>
      <c r="H324" s="7">
        <f>'1 datos preparados'!G317</f>
        <v/>
      </c>
      <c r="I324" s="7">
        <f>'1 datos preparados'!H317</f>
        <v/>
      </c>
      <c r="J324" s="7">
        <f>'1 datos preparados'!I317</f>
        <v/>
      </c>
      <c r="K324" s="7">
        <f>'1 datos preparados'!J317</f>
        <v/>
      </c>
      <c r="L324" s="7">
        <f>'1 datos preparados'!K317</f>
        <v/>
      </c>
      <c r="M324" s="7">
        <f>'1 datos preparados'!L317</f>
        <v/>
      </c>
      <c r="N324" s="7">
        <f>'1 datos preparados'!M317</f>
        <v/>
      </c>
      <c r="O324" s="7">
        <f>'1 datos preparados'!N317</f>
        <v/>
      </c>
      <c r="P324" s="7">
        <f>'1 datos preparados'!O317</f>
        <v/>
      </c>
      <c r="Q324" s="7">
        <f>'1 datos preparados'!P317</f>
        <v/>
      </c>
      <c r="R324" s="7">
        <f>'1 datos preparados'!Q317</f>
        <v/>
      </c>
      <c r="S324" s="7">
        <f>'1 datos preparados'!R317</f>
        <v/>
      </c>
      <c r="T324" s="7">
        <f>'1 datos preparados'!S317</f>
        <v/>
      </c>
      <c r="U324" s="7">
        <f>'1 datos preparados'!T317</f>
        <v/>
      </c>
      <c r="V324" s="8">
        <f>$AE$12+D324*$AE$13+E324*$AE$14+F324*$AE$15+G324*$AE$16+H324*$AE$17+I324*$AE$18+J324*$AE$19+K324*$AE$20+L324*$AE$21+M324*$AE$22+N324*$AE$23+O324*$AE$24+P324*$AE$25+Q324*$AE$26+R324*$AE$27+S324*$AE$28+T324*$AE$29+U324*$AE$30</f>
        <v/>
      </c>
      <c r="W324" s="8">
        <f>1/(1+EXP(-V324))</f>
        <v/>
      </c>
      <c r="X324" s="9">
        <f>-IF(C324=1,LN(W324),LN(1-W324))</f>
        <v/>
      </c>
      <c r="Y324" s="8">
        <f>IF(C324=1,$AE$32,$AE$33)</f>
        <v/>
      </c>
      <c r="Z324" s="9">
        <f>Y324*X324</f>
        <v/>
      </c>
      <c r="AA324" s="10">
        <f>IF(W324&gt;$AE$34,1,0)</f>
        <v/>
      </c>
      <c r="AB324">
        <f>IF(AA324=C324,1,0)</f>
        <v/>
      </c>
    </row>
    <row r="325">
      <c r="A325">
        <f>'1 datos preparados'!A318</f>
        <v/>
      </c>
      <c r="B325" s="5">
        <f>'1 datos preparados'!U318</f>
        <v/>
      </c>
      <c r="C325">
        <f>'1 datos preparados'!B318</f>
        <v/>
      </c>
      <c r="D325" s="7">
        <f>'1 datos preparados'!C318</f>
        <v/>
      </c>
      <c r="E325" s="7">
        <f>'1 datos preparados'!D318</f>
        <v/>
      </c>
      <c r="F325" s="7">
        <f>'1 datos preparados'!E318</f>
        <v/>
      </c>
      <c r="G325" s="7">
        <f>'1 datos preparados'!F318</f>
        <v/>
      </c>
      <c r="H325" s="7">
        <f>'1 datos preparados'!G318</f>
        <v/>
      </c>
      <c r="I325" s="7">
        <f>'1 datos preparados'!H318</f>
        <v/>
      </c>
      <c r="J325" s="7">
        <f>'1 datos preparados'!I318</f>
        <v/>
      </c>
      <c r="K325" s="7">
        <f>'1 datos preparados'!J318</f>
        <v/>
      </c>
      <c r="L325" s="7">
        <f>'1 datos preparados'!K318</f>
        <v/>
      </c>
      <c r="M325" s="7">
        <f>'1 datos preparados'!L318</f>
        <v/>
      </c>
      <c r="N325" s="7">
        <f>'1 datos preparados'!M318</f>
        <v/>
      </c>
      <c r="O325" s="7">
        <f>'1 datos preparados'!N318</f>
        <v/>
      </c>
      <c r="P325" s="7">
        <f>'1 datos preparados'!O318</f>
        <v/>
      </c>
      <c r="Q325" s="7">
        <f>'1 datos preparados'!P318</f>
        <v/>
      </c>
      <c r="R325" s="7">
        <f>'1 datos preparados'!Q318</f>
        <v/>
      </c>
      <c r="S325" s="7">
        <f>'1 datos preparados'!R318</f>
        <v/>
      </c>
      <c r="T325" s="7">
        <f>'1 datos preparados'!S318</f>
        <v/>
      </c>
      <c r="U325" s="7">
        <f>'1 datos preparados'!T318</f>
        <v/>
      </c>
      <c r="V325" s="8">
        <f>$AE$12+D325*$AE$13+E325*$AE$14+F325*$AE$15+G325*$AE$16+H325*$AE$17+I325*$AE$18+J325*$AE$19+K325*$AE$20+L325*$AE$21+M325*$AE$22+N325*$AE$23+O325*$AE$24+P325*$AE$25+Q325*$AE$26+R325*$AE$27+S325*$AE$28+T325*$AE$29+U325*$AE$30</f>
        <v/>
      </c>
      <c r="W325" s="8">
        <f>1/(1+EXP(-V325))</f>
        <v/>
      </c>
      <c r="X325" s="9">
        <f>-IF(C325=1,LN(W325),LN(1-W325))</f>
        <v/>
      </c>
      <c r="Y325" s="8">
        <f>IF(C325=1,$AE$32,$AE$33)</f>
        <v/>
      </c>
      <c r="Z325" s="9">
        <f>Y325*X325</f>
        <v/>
      </c>
      <c r="AA325" s="10">
        <f>IF(W325&gt;$AE$34,1,0)</f>
        <v/>
      </c>
      <c r="AB325">
        <f>IF(AA325=C325,1,0)</f>
        <v/>
      </c>
    </row>
    <row r="326">
      <c r="A326">
        <f>'1 datos preparados'!A319</f>
        <v/>
      </c>
      <c r="B326" s="5">
        <f>'1 datos preparados'!U319</f>
        <v/>
      </c>
      <c r="C326">
        <f>'1 datos preparados'!B319</f>
        <v/>
      </c>
      <c r="D326" s="7">
        <f>'1 datos preparados'!C319</f>
        <v/>
      </c>
      <c r="E326" s="7">
        <f>'1 datos preparados'!D319</f>
        <v/>
      </c>
      <c r="F326" s="7">
        <f>'1 datos preparados'!E319</f>
        <v/>
      </c>
      <c r="G326" s="7">
        <f>'1 datos preparados'!F319</f>
        <v/>
      </c>
      <c r="H326" s="7">
        <f>'1 datos preparados'!G319</f>
        <v/>
      </c>
      <c r="I326" s="7">
        <f>'1 datos preparados'!H319</f>
        <v/>
      </c>
      <c r="J326" s="7">
        <f>'1 datos preparados'!I319</f>
        <v/>
      </c>
      <c r="K326" s="7">
        <f>'1 datos preparados'!J319</f>
        <v/>
      </c>
      <c r="L326" s="7">
        <f>'1 datos preparados'!K319</f>
        <v/>
      </c>
      <c r="M326" s="7">
        <f>'1 datos preparados'!L319</f>
        <v/>
      </c>
      <c r="N326" s="7">
        <f>'1 datos preparados'!M319</f>
        <v/>
      </c>
      <c r="O326" s="7">
        <f>'1 datos preparados'!N319</f>
        <v/>
      </c>
      <c r="P326" s="7">
        <f>'1 datos preparados'!O319</f>
        <v/>
      </c>
      <c r="Q326" s="7">
        <f>'1 datos preparados'!P319</f>
        <v/>
      </c>
      <c r="R326" s="7">
        <f>'1 datos preparados'!Q319</f>
        <v/>
      </c>
      <c r="S326" s="7">
        <f>'1 datos preparados'!R319</f>
        <v/>
      </c>
      <c r="T326" s="7">
        <f>'1 datos preparados'!S319</f>
        <v/>
      </c>
      <c r="U326" s="7">
        <f>'1 datos preparados'!T319</f>
        <v/>
      </c>
      <c r="V326" s="8">
        <f>$AE$12+D326*$AE$13+E326*$AE$14+F326*$AE$15+G326*$AE$16+H326*$AE$17+I326*$AE$18+J326*$AE$19+K326*$AE$20+L326*$AE$21+M326*$AE$22+N326*$AE$23+O326*$AE$24+P326*$AE$25+Q326*$AE$26+R326*$AE$27+S326*$AE$28+T326*$AE$29+U326*$AE$30</f>
        <v/>
      </c>
      <c r="W326" s="8">
        <f>1/(1+EXP(-V326))</f>
        <v/>
      </c>
      <c r="X326" s="9">
        <f>-IF(C326=1,LN(W326),LN(1-W326))</f>
        <v/>
      </c>
      <c r="Y326" s="8">
        <f>IF(C326=1,$AE$32,$AE$33)</f>
        <v/>
      </c>
      <c r="Z326" s="9">
        <f>Y326*X326</f>
        <v/>
      </c>
      <c r="AA326" s="10">
        <f>IF(W326&gt;$AE$34,1,0)</f>
        <v/>
      </c>
      <c r="AB326">
        <f>IF(AA326=C326,1,0)</f>
        <v/>
      </c>
    </row>
    <row r="327">
      <c r="A327">
        <f>'1 datos preparados'!A320</f>
        <v/>
      </c>
      <c r="B327" s="5">
        <f>'1 datos preparados'!U320</f>
        <v/>
      </c>
      <c r="C327">
        <f>'1 datos preparados'!B320</f>
        <v/>
      </c>
      <c r="D327" s="7">
        <f>'1 datos preparados'!C320</f>
        <v/>
      </c>
      <c r="E327" s="7">
        <f>'1 datos preparados'!D320</f>
        <v/>
      </c>
      <c r="F327" s="7">
        <f>'1 datos preparados'!E320</f>
        <v/>
      </c>
      <c r="G327" s="7">
        <f>'1 datos preparados'!F320</f>
        <v/>
      </c>
      <c r="H327" s="7">
        <f>'1 datos preparados'!G320</f>
        <v/>
      </c>
      <c r="I327" s="7">
        <f>'1 datos preparados'!H320</f>
        <v/>
      </c>
      <c r="J327" s="7">
        <f>'1 datos preparados'!I320</f>
        <v/>
      </c>
      <c r="K327" s="7">
        <f>'1 datos preparados'!J320</f>
        <v/>
      </c>
      <c r="L327" s="7">
        <f>'1 datos preparados'!K320</f>
        <v/>
      </c>
      <c r="M327" s="7">
        <f>'1 datos preparados'!L320</f>
        <v/>
      </c>
      <c r="N327" s="7">
        <f>'1 datos preparados'!M320</f>
        <v/>
      </c>
      <c r="O327" s="7">
        <f>'1 datos preparados'!N320</f>
        <v/>
      </c>
      <c r="P327" s="7">
        <f>'1 datos preparados'!O320</f>
        <v/>
      </c>
      <c r="Q327" s="7">
        <f>'1 datos preparados'!P320</f>
        <v/>
      </c>
      <c r="R327" s="7">
        <f>'1 datos preparados'!Q320</f>
        <v/>
      </c>
      <c r="S327" s="7">
        <f>'1 datos preparados'!R320</f>
        <v/>
      </c>
      <c r="T327" s="7">
        <f>'1 datos preparados'!S320</f>
        <v/>
      </c>
      <c r="U327" s="7">
        <f>'1 datos preparados'!T320</f>
        <v/>
      </c>
      <c r="V327" s="8">
        <f>$AE$12+D327*$AE$13+E327*$AE$14+F327*$AE$15+G327*$AE$16+H327*$AE$17+I327*$AE$18+J327*$AE$19+K327*$AE$20+L327*$AE$21+M327*$AE$22+N327*$AE$23+O327*$AE$24+P327*$AE$25+Q327*$AE$26+R327*$AE$27+S327*$AE$28+T327*$AE$29+U327*$AE$30</f>
        <v/>
      </c>
      <c r="W327" s="8">
        <f>1/(1+EXP(-V327))</f>
        <v/>
      </c>
      <c r="X327" s="9">
        <f>-IF(C327=1,LN(W327),LN(1-W327))</f>
        <v/>
      </c>
      <c r="Y327" s="8">
        <f>IF(C327=1,$AE$32,$AE$33)</f>
        <v/>
      </c>
      <c r="Z327" s="9">
        <f>Y327*X327</f>
        <v/>
      </c>
      <c r="AA327" s="10">
        <f>IF(W327&gt;$AE$34,1,0)</f>
        <v/>
      </c>
      <c r="AB327">
        <f>IF(AA327=C327,1,0)</f>
        <v/>
      </c>
    </row>
    <row r="328">
      <c r="A328">
        <f>'1 datos preparados'!A321</f>
        <v/>
      </c>
      <c r="B328" s="5">
        <f>'1 datos preparados'!U321</f>
        <v/>
      </c>
      <c r="C328">
        <f>'1 datos preparados'!B321</f>
        <v/>
      </c>
      <c r="D328" s="7">
        <f>'1 datos preparados'!C321</f>
        <v/>
      </c>
      <c r="E328" s="7">
        <f>'1 datos preparados'!D321</f>
        <v/>
      </c>
      <c r="F328" s="7">
        <f>'1 datos preparados'!E321</f>
        <v/>
      </c>
      <c r="G328" s="7">
        <f>'1 datos preparados'!F321</f>
        <v/>
      </c>
      <c r="H328" s="7">
        <f>'1 datos preparados'!G321</f>
        <v/>
      </c>
      <c r="I328" s="7">
        <f>'1 datos preparados'!H321</f>
        <v/>
      </c>
      <c r="J328" s="7">
        <f>'1 datos preparados'!I321</f>
        <v/>
      </c>
      <c r="K328" s="7">
        <f>'1 datos preparados'!J321</f>
        <v/>
      </c>
      <c r="L328" s="7">
        <f>'1 datos preparados'!K321</f>
        <v/>
      </c>
      <c r="M328" s="7">
        <f>'1 datos preparados'!L321</f>
        <v/>
      </c>
      <c r="N328" s="7">
        <f>'1 datos preparados'!M321</f>
        <v/>
      </c>
      <c r="O328" s="7">
        <f>'1 datos preparados'!N321</f>
        <v/>
      </c>
      <c r="P328" s="7">
        <f>'1 datos preparados'!O321</f>
        <v/>
      </c>
      <c r="Q328" s="7">
        <f>'1 datos preparados'!P321</f>
        <v/>
      </c>
      <c r="R328" s="7">
        <f>'1 datos preparados'!Q321</f>
        <v/>
      </c>
      <c r="S328" s="7">
        <f>'1 datos preparados'!R321</f>
        <v/>
      </c>
      <c r="T328" s="7">
        <f>'1 datos preparados'!S321</f>
        <v/>
      </c>
      <c r="U328" s="7">
        <f>'1 datos preparados'!T321</f>
        <v/>
      </c>
      <c r="V328" s="8">
        <f>$AE$12+D328*$AE$13+E328*$AE$14+F328*$AE$15+G328*$AE$16+H328*$AE$17+I328*$AE$18+J328*$AE$19+K328*$AE$20+L328*$AE$21+M328*$AE$22+N328*$AE$23+O328*$AE$24+P328*$AE$25+Q328*$AE$26+R328*$AE$27+S328*$AE$28+T328*$AE$29+U328*$AE$30</f>
        <v/>
      </c>
      <c r="W328" s="8">
        <f>1/(1+EXP(-V328))</f>
        <v/>
      </c>
      <c r="X328" s="9">
        <f>-IF(C328=1,LN(W328),LN(1-W328))</f>
        <v/>
      </c>
      <c r="Y328" s="8">
        <f>IF(C328=1,$AE$32,$AE$33)</f>
        <v/>
      </c>
      <c r="Z328" s="9">
        <f>Y328*X328</f>
        <v/>
      </c>
      <c r="AA328" s="10">
        <f>IF(W328&gt;$AE$34,1,0)</f>
        <v/>
      </c>
      <c r="AB328">
        <f>IF(AA328=C328,1,0)</f>
        <v/>
      </c>
    </row>
    <row r="329">
      <c r="A329">
        <f>'1 datos preparados'!A322</f>
        <v/>
      </c>
      <c r="B329" s="5">
        <f>'1 datos preparados'!U322</f>
        <v/>
      </c>
      <c r="C329">
        <f>'1 datos preparados'!B322</f>
        <v/>
      </c>
      <c r="D329" s="7">
        <f>'1 datos preparados'!C322</f>
        <v/>
      </c>
      <c r="E329" s="7">
        <f>'1 datos preparados'!D322</f>
        <v/>
      </c>
      <c r="F329" s="7">
        <f>'1 datos preparados'!E322</f>
        <v/>
      </c>
      <c r="G329" s="7">
        <f>'1 datos preparados'!F322</f>
        <v/>
      </c>
      <c r="H329" s="7">
        <f>'1 datos preparados'!G322</f>
        <v/>
      </c>
      <c r="I329" s="7">
        <f>'1 datos preparados'!H322</f>
        <v/>
      </c>
      <c r="J329" s="7">
        <f>'1 datos preparados'!I322</f>
        <v/>
      </c>
      <c r="K329" s="7">
        <f>'1 datos preparados'!J322</f>
        <v/>
      </c>
      <c r="L329" s="7">
        <f>'1 datos preparados'!K322</f>
        <v/>
      </c>
      <c r="M329" s="7">
        <f>'1 datos preparados'!L322</f>
        <v/>
      </c>
      <c r="N329" s="7">
        <f>'1 datos preparados'!M322</f>
        <v/>
      </c>
      <c r="O329" s="7">
        <f>'1 datos preparados'!N322</f>
        <v/>
      </c>
      <c r="P329" s="7">
        <f>'1 datos preparados'!O322</f>
        <v/>
      </c>
      <c r="Q329" s="7">
        <f>'1 datos preparados'!P322</f>
        <v/>
      </c>
      <c r="R329" s="7">
        <f>'1 datos preparados'!Q322</f>
        <v/>
      </c>
      <c r="S329" s="7">
        <f>'1 datos preparados'!R322</f>
        <v/>
      </c>
      <c r="T329" s="7">
        <f>'1 datos preparados'!S322</f>
        <v/>
      </c>
      <c r="U329" s="7">
        <f>'1 datos preparados'!T322</f>
        <v/>
      </c>
      <c r="V329" s="8">
        <f>$AE$12+D329*$AE$13+E329*$AE$14+F329*$AE$15+G329*$AE$16+H329*$AE$17+I329*$AE$18+J329*$AE$19+K329*$AE$20+L329*$AE$21+M329*$AE$22+N329*$AE$23+O329*$AE$24+P329*$AE$25+Q329*$AE$26+R329*$AE$27+S329*$AE$28+T329*$AE$29+U329*$AE$30</f>
        <v/>
      </c>
      <c r="W329" s="8">
        <f>1/(1+EXP(-V329))</f>
        <v/>
      </c>
      <c r="X329" s="9">
        <f>-IF(C329=1,LN(W329),LN(1-W329))</f>
        <v/>
      </c>
      <c r="Y329" s="8">
        <f>IF(C329=1,$AE$32,$AE$33)</f>
        <v/>
      </c>
      <c r="Z329" s="9">
        <f>Y329*X329</f>
        <v/>
      </c>
      <c r="AA329" s="10">
        <f>IF(W329&gt;$AE$34,1,0)</f>
        <v/>
      </c>
      <c r="AB329">
        <f>IF(AA329=C329,1,0)</f>
        <v/>
      </c>
    </row>
    <row r="330">
      <c r="A330">
        <f>'1 datos preparados'!A323</f>
        <v/>
      </c>
      <c r="B330" s="5">
        <f>'1 datos preparados'!U323</f>
        <v/>
      </c>
      <c r="C330">
        <f>'1 datos preparados'!B323</f>
        <v/>
      </c>
      <c r="D330" s="7">
        <f>'1 datos preparados'!C323</f>
        <v/>
      </c>
      <c r="E330" s="7">
        <f>'1 datos preparados'!D323</f>
        <v/>
      </c>
      <c r="F330" s="7">
        <f>'1 datos preparados'!E323</f>
        <v/>
      </c>
      <c r="G330" s="7">
        <f>'1 datos preparados'!F323</f>
        <v/>
      </c>
      <c r="H330" s="7">
        <f>'1 datos preparados'!G323</f>
        <v/>
      </c>
      <c r="I330" s="7">
        <f>'1 datos preparados'!H323</f>
        <v/>
      </c>
      <c r="J330" s="7">
        <f>'1 datos preparados'!I323</f>
        <v/>
      </c>
      <c r="K330" s="7">
        <f>'1 datos preparados'!J323</f>
        <v/>
      </c>
      <c r="L330" s="7">
        <f>'1 datos preparados'!K323</f>
        <v/>
      </c>
      <c r="M330" s="7">
        <f>'1 datos preparados'!L323</f>
        <v/>
      </c>
      <c r="N330" s="7">
        <f>'1 datos preparados'!M323</f>
        <v/>
      </c>
      <c r="O330" s="7">
        <f>'1 datos preparados'!N323</f>
        <v/>
      </c>
      <c r="P330" s="7">
        <f>'1 datos preparados'!O323</f>
        <v/>
      </c>
      <c r="Q330" s="7">
        <f>'1 datos preparados'!P323</f>
        <v/>
      </c>
      <c r="R330" s="7">
        <f>'1 datos preparados'!Q323</f>
        <v/>
      </c>
      <c r="S330" s="7">
        <f>'1 datos preparados'!R323</f>
        <v/>
      </c>
      <c r="T330" s="7">
        <f>'1 datos preparados'!S323</f>
        <v/>
      </c>
      <c r="U330" s="7">
        <f>'1 datos preparados'!T323</f>
        <v/>
      </c>
      <c r="V330" s="8">
        <f>$AE$12+D330*$AE$13+E330*$AE$14+F330*$AE$15+G330*$AE$16+H330*$AE$17+I330*$AE$18+J330*$AE$19+K330*$AE$20+L330*$AE$21+M330*$AE$22+N330*$AE$23+O330*$AE$24+P330*$AE$25+Q330*$AE$26+R330*$AE$27+S330*$AE$28+T330*$AE$29+U330*$AE$30</f>
        <v/>
      </c>
      <c r="W330" s="8">
        <f>1/(1+EXP(-V330))</f>
        <v/>
      </c>
      <c r="X330" s="9">
        <f>-IF(C330=1,LN(W330),LN(1-W330))</f>
        <v/>
      </c>
      <c r="Y330" s="8">
        <f>IF(C330=1,$AE$32,$AE$33)</f>
        <v/>
      </c>
      <c r="Z330" s="9">
        <f>Y330*X330</f>
        <v/>
      </c>
      <c r="AA330" s="10">
        <f>IF(W330&gt;$AE$34,1,0)</f>
        <v/>
      </c>
      <c r="AB330">
        <f>IF(AA330=C330,1,0)</f>
        <v/>
      </c>
    </row>
    <row r="331">
      <c r="A331">
        <f>'1 datos preparados'!A324</f>
        <v/>
      </c>
      <c r="B331" s="5">
        <f>'1 datos preparados'!U324</f>
        <v/>
      </c>
      <c r="C331">
        <f>'1 datos preparados'!B324</f>
        <v/>
      </c>
      <c r="D331" s="7">
        <f>'1 datos preparados'!C324</f>
        <v/>
      </c>
      <c r="E331" s="7">
        <f>'1 datos preparados'!D324</f>
        <v/>
      </c>
      <c r="F331" s="7">
        <f>'1 datos preparados'!E324</f>
        <v/>
      </c>
      <c r="G331" s="7">
        <f>'1 datos preparados'!F324</f>
        <v/>
      </c>
      <c r="H331" s="7">
        <f>'1 datos preparados'!G324</f>
        <v/>
      </c>
      <c r="I331" s="7">
        <f>'1 datos preparados'!H324</f>
        <v/>
      </c>
      <c r="J331" s="7">
        <f>'1 datos preparados'!I324</f>
        <v/>
      </c>
      <c r="K331" s="7">
        <f>'1 datos preparados'!J324</f>
        <v/>
      </c>
      <c r="L331" s="7">
        <f>'1 datos preparados'!K324</f>
        <v/>
      </c>
      <c r="M331" s="7">
        <f>'1 datos preparados'!L324</f>
        <v/>
      </c>
      <c r="N331" s="7">
        <f>'1 datos preparados'!M324</f>
        <v/>
      </c>
      <c r="O331" s="7">
        <f>'1 datos preparados'!N324</f>
        <v/>
      </c>
      <c r="P331" s="7">
        <f>'1 datos preparados'!O324</f>
        <v/>
      </c>
      <c r="Q331" s="7">
        <f>'1 datos preparados'!P324</f>
        <v/>
      </c>
      <c r="R331" s="7">
        <f>'1 datos preparados'!Q324</f>
        <v/>
      </c>
      <c r="S331" s="7">
        <f>'1 datos preparados'!R324</f>
        <v/>
      </c>
      <c r="T331" s="7">
        <f>'1 datos preparados'!S324</f>
        <v/>
      </c>
      <c r="U331" s="7">
        <f>'1 datos preparados'!T324</f>
        <v/>
      </c>
      <c r="V331" s="8">
        <f>$AE$12+D331*$AE$13+E331*$AE$14+F331*$AE$15+G331*$AE$16+H331*$AE$17+I331*$AE$18+J331*$AE$19+K331*$AE$20+L331*$AE$21+M331*$AE$22+N331*$AE$23+O331*$AE$24+P331*$AE$25+Q331*$AE$26+R331*$AE$27+S331*$AE$28+T331*$AE$29+U331*$AE$30</f>
        <v/>
      </c>
      <c r="W331" s="8">
        <f>1/(1+EXP(-V331))</f>
        <v/>
      </c>
      <c r="X331" s="9">
        <f>-IF(C331=1,LN(W331),LN(1-W331))</f>
        <v/>
      </c>
      <c r="Y331" s="8">
        <f>IF(C331=1,$AE$32,$AE$33)</f>
        <v/>
      </c>
      <c r="Z331" s="9">
        <f>Y331*X331</f>
        <v/>
      </c>
      <c r="AA331" s="10">
        <f>IF(W331&gt;$AE$34,1,0)</f>
        <v/>
      </c>
      <c r="AB331">
        <f>IF(AA331=C331,1,0)</f>
        <v/>
      </c>
    </row>
    <row r="332">
      <c r="A332">
        <f>'1 datos preparados'!A325</f>
        <v/>
      </c>
      <c r="B332" s="5">
        <f>'1 datos preparados'!U325</f>
        <v/>
      </c>
      <c r="C332">
        <f>'1 datos preparados'!B325</f>
        <v/>
      </c>
      <c r="D332" s="7">
        <f>'1 datos preparados'!C325</f>
        <v/>
      </c>
      <c r="E332" s="7">
        <f>'1 datos preparados'!D325</f>
        <v/>
      </c>
      <c r="F332" s="7">
        <f>'1 datos preparados'!E325</f>
        <v/>
      </c>
      <c r="G332" s="7">
        <f>'1 datos preparados'!F325</f>
        <v/>
      </c>
      <c r="H332" s="7">
        <f>'1 datos preparados'!G325</f>
        <v/>
      </c>
      <c r="I332" s="7">
        <f>'1 datos preparados'!H325</f>
        <v/>
      </c>
      <c r="J332" s="7">
        <f>'1 datos preparados'!I325</f>
        <v/>
      </c>
      <c r="K332" s="7">
        <f>'1 datos preparados'!J325</f>
        <v/>
      </c>
      <c r="L332" s="7">
        <f>'1 datos preparados'!K325</f>
        <v/>
      </c>
      <c r="M332" s="7">
        <f>'1 datos preparados'!L325</f>
        <v/>
      </c>
      <c r="N332" s="7">
        <f>'1 datos preparados'!M325</f>
        <v/>
      </c>
      <c r="O332" s="7">
        <f>'1 datos preparados'!N325</f>
        <v/>
      </c>
      <c r="P332" s="7">
        <f>'1 datos preparados'!O325</f>
        <v/>
      </c>
      <c r="Q332" s="7">
        <f>'1 datos preparados'!P325</f>
        <v/>
      </c>
      <c r="R332" s="7">
        <f>'1 datos preparados'!Q325</f>
        <v/>
      </c>
      <c r="S332" s="7">
        <f>'1 datos preparados'!R325</f>
        <v/>
      </c>
      <c r="T332" s="7">
        <f>'1 datos preparados'!S325</f>
        <v/>
      </c>
      <c r="U332" s="7">
        <f>'1 datos preparados'!T325</f>
        <v/>
      </c>
      <c r="V332" s="8">
        <f>$AE$12+D332*$AE$13+E332*$AE$14+F332*$AE$15+G332*$AE$16+H332*$AE$17+I332*$AE$18+J332*$AE$19+K332*$AE$20+L332*$AE$21+M332*$AE$22+N332*$AE$23+O332*$AE$24+P332*$AE$25+Q332*$AE$26+R332*$AE$27+S332*$AE$28+T332*$AE$29+U332*$AE$30</f>
        <v/>
      </c>
      <c r="W332" s="8">
        <f>1/(1+EXP(-V332))</f>
        <v/>
      </c>
      <c r="X332" s="9">
        <f>-IF(C332=1,LN(W332),LN(1-W332))</f>
        <v/>
      </c>
      <c r="Y332" s="8">
        <f>IF(C332=1,$AE$32,$AE$33)</f>
        <v/>
      </c>
      <c r="Z332" s="9">
        <f>Y332*X332</f>
        <v/>
      </c>
      <c r="AA332" s="10">
        <f>IF(W332&gt;$AE$34,1,0)</f>
        <v/>
      </c>
      <c r="AB332">
        <f>IF(AA332=C332,1,0)</f>
        <v/>
      </c>
    </row>
    <row r="333">
      <c r="A333">
        <f>'1 datos preparados'!A326</f>
        <v/>
      </c>
      <c r="B333" s="5">
        <f>'1 datos preparados'!U326</f>
        <v/>
      </c>
      <c r="C333">
        <f>'1 datos preparados'!B326</f>
        <v/>
      </c>
      <c r="D333" s="7">
        <f>'1 datos preparados'!C326</f>
        <v/>
      </c>
      <c r="E333" s="7">
        <f>'1 datos preparados'!D326</f>
        <v/>
      </c>
      <c r="F333" s="7">
        <f>'1 datos preparados'!E326</f>
        <v/>
      </c>
      <c r="G333" s="7">
        <f>'1 datos preparados'!F326</f>
        <v/>
      </c>
      <c r="H333" s="7">
        <f>'1 datos preparados'!G326</f>
        <v/>
      </c>
      <c r="I333" s="7">
        <f>'1 datos preparados'!H326</f>
        <v/>
      </c>
      <c r="J333" s="7">
        <f>'1 datos preparados'!I326</f>
        <v/>
      </c>
      <c r="K333" s="7">
        <f>'1 datos preparados'!J326</f>
        <v/>
      </c>
      <c r="L333" s="7">
        <f>'1 datos preparados'!K326</f>
        <v/>
      </c>
      <c r="M333" s="7">
        <f>'1 datos preparados'!L326</f>
        <v/>
      </c>
      <c r="N333" s="7">
        <f>'1 datos preparados'!M326</f>
        <v/>
      </c>
      <c r="O333" s="7">
        <f>'1 datos preparados'!N326</f>
        <v/>
      </c>
      <c r="P333" s="7">
        <f>'1 datos preparados'!O326</f>
        <v/>
      </c>
      <c r="Q333" s="7">
        <f>'1 datos preparados'!P326</f>
        <v/>
      </c>
      <c r="R333" s="7">
        <f>'1 datos preparados'!Q326</f>
        <v/>
      </c>
      <c r="S333" s="7">
        <f>'1 datos preparados'!R326</f>
        <v/>
      </c>
      <c r="T333" s="7">
        <f>'1 datos preparados'!S326</f>
        <v/>
      </c>
      <c r="U333" s="7">
        <f>'1 datos preparados'!T326</f>
        <v/>
      </c>
      <c r="V333" s="8">
        <f>$AE$12+D333*$AE$13+E333*$AE$14+F333*$AE$15+G333*$AE$16+H333*$AE$17+I333*$AE$18+J333*$AE$19+K333*$AE$20+L333*$AE$21+M333*$AE$22+N333*$AE$23+O333*$AE$24+P333*$AE$25+Q333*$AE$26+R333*$AE$27+S333*$AE$28+T333*$AE$29+U333*$AE$30</f>
        <v/>
      </c>
      <c r="W333" s="8">
        <f>1/(1+EXP(-V333))</f>
        <v/>
      </c>
      <c r="X333" s="9">
        <f>-IF(C333=1,LN(W333),LN(1-W333))</f>
        <v/>
      </c>
      <c r="Y333" s="8">
        <f>IF(C333=1,$AE$32,$AE$33)</f>
        <v/>
      </c>
      <c r="Z333" s="9">
        <f>Y333*X333</f>
        <v/>
      </c>
      <c r="AA333" s="10">
        <f>IF(W333&gt;$AE$34,1,0)</f>
        <v/>
      </c>
      <c r="AB333">
        <f>IF(AA333=C333,1,0)</f>
        <v/>
      </c>
    </row>
    <row r="334">
      <c r="A334">
        <f>'1 datos preparados'!A327</f>
        <v/>
      </c>
      <c r="B334" s="5">
        <f>'1 datos preparados'!U327</f>
        <v/>
      </c>
      <c r="C334">
        <f>'1 datos preparados'!B327</f>
        <v/>
      </c>
      <c r="D334" s="7">
        <f>'1 datos preparados'!C327</f>
        <v/>
      </c>
      <c r="E334" s="7">
        <f>'1 datos preparados'!D327</f>
        <v/>
      </c>
      <c r="F334" s="7">
        <f>'1 datos preparados'!E327</f>
        <v/>
      </c>
      <c r="G334" s="7">
        <f>'1 datos preparados'!F327</f>
        <v/>
      </c>
      <c r="H334" s="7">
        <f>'1 datos preparados'!G327</f>
        <v/>
      </c>
      <c r="I334" s="7">
        <f>'1 datos preparados'!H327</f>
        <v/>
      </c>
      <c r="J334" s="7">
        <f>'1 datos preparados'!I327</f>
        <v/>
      </c>
      <c r="K334" s="7">
        <f>'1 datos preparados'!J327</f>
        <v/>
      </c>
      <c r="L334" s="7">
        <f>'1 datos preparados'!K327</f>
        <v/>
      </c>
      <c r="M334" s="7">
        <f>'1 datos preparados'!L327</f>
        <v/>
      </c>
      <c r="N334" s="7">
        <f>'1 datos preparados'!M327</f>
        <v/>
      </c>
      <c r="O334" s="7">
        <f>'1 datos preparados'!N327</f>
        <v/>
      </c>
      <c r="P334" s="7">
        <f>'1 datos preparados'!O327</f>
        <v/>
      </c>
      <c r="Q334" s="7">
        <f>'1 datos preparados'!P327</f>
        <v/>
      </c>
      <c r="R334" s="7">
        <f>'1 datos preparados'!Q327</f>
        <v/>
      </c>
      <c r="S334" s="7">
        <f>'1 datos preparados'!R327</f>
        <v/>
      </c>
      <c r="T334" s="7">
        <f>'1 datos preparados'!S327</f>
        <v/>
      </c>
      <c r="U334" s="7">
        <f>'1 datos preparados'!T327</f>
        <v/>
      </c>
      <c r="V334" s="8">
        <f>$AE$12+D334*$AE$13+E334*$AE$14+F334*$AE$15+G334*$AE$16+H334*$AE$17+I334*$AE$18+J334*$AE$19+K334*$AE$20+L334*$AE$21+M334*$AE$22+N334*$AE$23+O334*$AE$24+P334*$AE$25+Q334*$AE$26+R334*$AE$27+S334*$AE$28+T334*$AE$29+U334*$AE$30</f>
        <v/>
      </c>
      <c r="W334" s="8">
        <f>1/(1+EXP(-V334))</f>
        <v/>
      </c>
      <c r="X334" s="9">
        <f>-IF(C334=1,LN(W334),LN(1-W334))</f>
        <v/>
      </c>
      <c r="Y334" s="8">
        <f>IF(C334=1,$AE$32,$AE$33)</f>
        <v/>
      </c>
      <c r="Z334" s="9">
        <f>Y334*X334</f>
        <v/>
      </c>
      <c r="AA334" s="10">
        <f>IF(W334&gt;$AE$34,1,0)</f>
        <v/>
      </c>
      <c r="AB334">
        <f>IF(AA334=C334,1,0)</f>
        <v/>
      </c>
    </row>
    <row r="335">
      <c r="A335">
        <f>'1 datos preparados'!A328</f>
        <v/>
      </c>
      <c r="B335" s="5">
        <f>'1 datos preparados'!U328</f>
        <v/>
      </c>
      <c r="C335">
        <f>'1 datos preparados'!B328</f>
        <v/>
      </c>
      <c r="D335" s="7">
        <f>'1 datos preparados'!C328</f>
        <v/>
      </c>
      <c r="E335" s="7">
        <f>'1 datos preparados'!D328</f>
        <v/>
      </c>
      <c r="F335" s="7">
        <f>'1 datos preparados'!E328</f>
        <v/>
      </c>
      <c r="G335" s="7">
        <f>'1 datos preparados'!F328</f>
        <v/>
      </c>
      <c r="H335" s="7">
        <f>'1 datos preparados'!G328</f>
        <v/>
      </c>
      <c r="I335" s="7">
        <f>'1 datos preparados'!H328</f>
        <v/>
      </c>
      <c r="J335" s="7">
        <f>'1 datos preparados'!I328</f>
        <v/>
      </c>
      <c r="K335" s="7">
        <f>'1 datos preparados'!J328</f>
        <v/>
      </c>
      <c r="L335" s="7">
        <f>'1 datos preparados'!K328</f>
        <v/>
      </c>
      <c r="M335" s="7">
        <f>'1 datos preparados'!L328</f>
        <v/>
      </c>
      <c r="N335" s="7">
        <f>'1 datos preparados'!M328</f>
        <v/>
      </c>
      <c r="O335" s="7">
        <f>'1 datos preparados'!N328</f>
        <v/>
      </c>
      <c r="P335" s="7">
        <f>'1 datos preparados'!O328</f>
        <v/>
      </c>
      <c r="Q335" s="7">
        <f>'1 datos preparados'!P328</f>
        <v/>
      </c>
      <c r="R335" s="7">
        <f>'1 datos preparados'!Q328</f>
        <v/>
      </c>
      <c r="S335" s="7">
        <f>'1 datos preparados'!R328</f>
        <v/>
      </c>
      <c r="T335" s="7">
        <f>'1 datos preparados'!S328</f>
        <v/>
      </c>
      <c r="U335" s="7">
        <f>'1 datos preparados'!T328</f>
        <v/>
      </c>
      <c r="V335" s="8">
        <f>$AE$12+D335*$AE$13+E335*$AE$14+F335*$AE$15+G335*$AE$16+H335*$AE$17+I335*$AE$18+J335*$AE$19+K335*$AE$20+L335*$AE$21+M335*$AE$22+N335*$AE$23+O335*$AE$24+P335*$AE$25+Q335*$AE$26+R335*$AE$27+S335*$AE$28+T335*$AE$29+U335*$AE$30</f>
        <v/>
      </c>
      <c r="W335" s="8">
        <f>1/(1+EXP(-V335))</f>
        <v/>
      </c>
      <c r="X335" s="9">
        <f>-IF(C335=1,LN(W335),LN(1-W335))</f>
        <v/>
      </c>
      <c r="Y335" s="8">
        <f>IF(C335=1,$AE$32,$AE$33)</f>
        <v/>
      </c>
      <c r="Z335" s="9">
        <f>Y335*X335</f>
        <v/>
      </c>
      <c r="AA335" s="10">
        <f>IF(W335&gt;$AE$34,1,0)</f>
        <v/>
      </c>
      <c r="AB335">
        <f>IF(AA335=C335,1,0)</f>
        <v/>
      </c>
    </row>
    <row r="336">
      <c r="A336">
        <f>'1 datos preparados'!A329</f>
        <v/>
      </c>
      <c r="B336" s="5">
        <f>'1 datos preparados'!U329</f>
        <v/>
      </c>
      <c r="C336">
        <f>'1 datos preparados'!B329</f>
        <v/>
      </c>
      <c r="D336" s="7">
        <f>'1 datos preparados'!C329</f>
        <v/>
      </c>
      <c r="E336" s="7">
        <f>'1 datos preparados'!D329</f>
        <v/>
      </c>
      <c r="F336" s="7">
        <f>'1 datos preparados'!E329</f>
        <v/>
      </c>
      <c r="G336" s="7">
        <f>'1 datos preparados'!F329</f>
        <v/>
      </c>
      <c r="H336" s="7">
        <f>'1 datos preparados'!G329</f>
        <v/>
      </c>
      <c r="I336" s="7">
        <f>'1 datos preparados'!H329</f>
        <v/>
      </c>
      <c r="J336" s="7">
        <f>'1 datos preparados'!I329</f>
        <v/>
      </c>
      <c r="K336" s="7">
        <f>'1 datos preparados'!J329</f>
        <v/>
      </c>
      <c r="L336" s="7">
        <f>'1 datos preparados'!K329</f>
        <v/>
      </c>
      <c r="M336" s="7">
        <f>'1 datos preparados'!L329</f>
        <v/>
      </c>
      <c r="N336" s="7">
        <f>'1 datos preparados'!M329</f>
        <v/>
      </c>
      <c r="O336" s="7">
        <f>'1 datos preparados'!N329</f>
        <v/>
      </c>
      <c r="P336" s="7">
        <f>'1 datos preparados'!O329</f>
        <v/>
      </c>
      <c r="Q336" s="7">
        <f>'1 datos preparados'!P329</f>
        <v/>
      </c>
      <c r="R336" s="7">
        <f>'1 datos preparados'!Q329</f>
        <v/>
      </c>
      <c r="S336" s="7">
        <f>'1 datos preparados'!R329</f>
        <v/>
      </c>
      <c r="T336" s="7">
        <f>'1 datos preparados'!S329</f>
        <v/>
      </c>
      <c r="U336" s="7">
        <f>'1 datos preparados'!T329</f>
        <v/>
      </c>
      <c r="V336" s="8">
        <f>$AE$12+D336*$AE$13+E336*$AE$14+F336*$AE$15+G336*$AE$16+H336*$AE$17+I336*$AE$18+J336*$AE$19+K336*$AE$20+L336*$AE$21+M336*$AE$22+N336*$AE$23+O336*$AE$24+P336*$AE$25+Q336*$AE$26+R336*$AE$27+S336*$AE$28+T336*$AE$29+U336*$AE$30</f>
        <v/>
      </c>
      <c r="W336" s="8">
        <f>1/(1+EXP(-V336))</f>
        <v/>
      </c>
      <c r="X336" s="9">
        <f>-IF(C336=1,LN(W336),LN(1-W336))</f>
        <v/>
      </c>
      <c r="Y336" s="8">
        <f>IF(C336=1,$AE$32,$AE$33)</f>
        <v/>
      </c>
      <c r="Z336" s="9">
        <f>Y336*X336</f>
        <v/>
      </c>
      <c r="AA336" s="10">
        <f>IF(W336&gt;$AE$34,1,0)</f>
        <v/>
      </c>
      <c r="AB336">
        <f>IF(AA336=C336,1,0)</f>
        <v/>
      </c>
    </row>
    <row r="337">
      <c r="A337">
        <f>'1 datos preparados'!A330</f>
        <v/>
      </c>
      <c r="B337" s="5">
        <f>'1 datos preparados'!U330</f>
        <v/>
      </c>
      <c r="C337">
        <f>'1 datos preparados'!B330</f>
        <v/>
      </c>
      <c r="D337" s="7">
        <f>'1 datos preparados'!C330</f>
        <v/>
      </c>
      <c r="E337" s="7">
        <f>'1 datos preparados'!D330</f>
        <v/>
      </c>
      <c r="F337" s="7">
        <f>'1 datos preparados'!E330</f>
        <v/>
      </c>
      <c r="G337" s="7">
        <f>'1 datos preparados'!F330</f>
        <v/>
      </c>
      <c r="H337" s="7">
        <f>'1 datos preparados'!G330</f>
        <v/>
      </c>
      <c r="I337" s="7">
        <f>'1 datos preparados'!H330</f>
        <v/>
      </c>
      <c r="J337" s="7">
        <f>'1 datos preparados'!I330</f>
        <v/>
      </c>
      <c r="K337" s="7">
        <f>'1 datos preparados'!J330</f>
        <v/>
      </c>
      <c r="L337" s="7">
        <f>'1 datos preparados'!K330</f>
        <v/>
      </c>
      <c r="M337" s="7">
        <f>'1 datos preparados'!L330</f>
        <v/>
      </c>
      <c r="N337" s="7">
        <f>'1 datos preparados'!M330</f>
        <v/>
      </c>
      <c r="O337" s="7">
        <f>'1 datos preparados'!N330</f>
        <v/>
      </c>
      <c r="P337" s="7">
        <f>'1 datos preparados'!O330</f>
        <v/>
      </c>
      <c r="Q337" s="7">
        <f>'1 datos preparados'!P330</f>
        <v/>
      </c>
      <c r="R337" s="7">
        <f>'1 datos preparados'!Q330</f>
        <v/>
      </c>
      <c r="S337" s="7">
        <f>'1 datos preparados'!R330</f>
        <v/>
      </c>
      <c r="T337" s="7">
        <f>'1 datos preparados'!S330</f>
        <v/>
      </c>
      <c r="U337" s="7">
        <f>'1 datos preparados'!T330</f>
        <v/>
      </c>
      <c r="V337" s="8">
        <f>$AE$12+D337*$AE$13+E337*$AE$14+F337*$AE$15+G337*$AE$16+H337*$AE$17+I337*$AE$18+J337*$AE$19+K337*$AE$20+L337*$AE$21+M337*$AE$22+N337*$AE$23+O337*$AE$24+P337*$AE$25+Q337*$AE$26+R337*$AE$27+S337*$AE$28+T337*$AE$29+U337*$AE$30</f>
        <v/>
      </c>
      <c r="W337" s="8">
        <f>1/(1+EXP(-V337))</f>
        <v/>
      </c>
      <c r="X337" s="9">
        <f>-IF(C337=1,LN(W337),LN(1-W337))</f>
        <v/>
      </c>
      <c r="Y337" s="8">
        <f>IF(C337=1,$AE$32,$AE$33)</f>
        <v/>
      </c>
      <c r="Z337" s="9">
        <f>Y337*X337</f>
        <v/>
      </c>
      <c r="AA337" s="10">
        <f>IF(W337&gt;$AE$34,1,0)</f>
        <v/>
      </c>
      <c r="AB337">
        <f>IF(AA337=C337,1,0)</f>
        <v/>
      </c>
    </row>
    <row r="338">
      <c r="A338">
        <f>'1 datos preparados'!A331</f>
        <v/>
      </c>
      <c r="B338" s="5">
        <f>'1 datos preparados'!U331</f>
        <v/>
      </c>
      <c r="C338">
        <f>'1 datos preparados'!B331</f>
        <v/>
      </c>
      <c r="D338" s="7">
        <f>'1 datos preparados'!C331</f>
        <v/>
      </c>
      <c r="E338" s="7">
        <f>'1 datos preparados'!D331</f>
        <v/>
      </c>
      <c r="F338" s="7">
        <f>'1 datos preparados'!E331</f>
        <v/>
      </c>
      <c r="G338" s="7">
        <f>'1 datos preparados'!F331</f>
        <v/>
      </c>
      <c r="H338" s="7">
        <f>'1 datos preparados'!G331</f>
        <v/>
      </c>
      <c r="I338" s="7">
        <f>'1 datos preparados'!H331</f>
        <v/>
      </c>
      <c r="J338" s="7">
        <f>'1 datos preparados'!I331</f>
        <v/>
      </c>
      <c r="K338" s="7">
        <f>'1 datos preparados'!J331</f>
        <v/>
      </c>
      <c r="L338" s="7">
        <f>'1 datos preparados'!K331</f>
        <v/>
      </c>
      <c r="M338" s="7">
        <f>'1 datos preparados'!L331</f>
        <v/>
      </c>
      <c r="N338" s="7">
        <f>'1 datos preparados'!M331</f>
        <v/>
      </c>
      <c r="O338" s="7">
        <f>'1 datos preparados'!N331</f>
        <v/>
      </c>
      <c r="P338" s="7">
        <f>'1 datos preparados'!O331</f>
        <v/>
      </c>
      <c r="Q338" s="7">
        <f>'1 datos preparados'!P331</f>
        <v/>
      </c>
      <c r="R338" s="7">
        <f>'1 datos preparados'!Q331</f>
        <v/>
      </c>
      <c r="S338" s="7">
        <f>'1 datos preparados'!R331</f>
        <v/>
      </c>
      <c r="T338" s="7">
        <f>'1 datos preparados'!S331</f>
        <v/>
      </c>
      <c r="U338" s="7">
        <f>'1 datos preparados'!T331</f>
        <v/>
      </c>
      <c r="V338" s="8">
        <f>$AE$12+D338*$AE$13+E338*$AE$14+F338*$AE$15+G338*$AE$16+H338*$AE$17+I338*$AE$18+J338*$AE$19+K338*$AE$20+L338*$AE$21+M338*$AE$22+N338*$AE$23+O338*$AE$24+P338*$AE$25+Q338*$AE$26+R338*$AE$27+S338*$AE$28+T338*$AE$29+U338*$AE$30</f>
        <v/>
      </c>
      <c r="W338" s="8">
        <f>1/(1+EXP(-V338))</f>
        <v/>
      </c>
      <c r="X338" s="9">
        <f>-IF(C338=1,LN(W338),LN(1-W338))</f>
        <v/>
      </c>
      <c r="Y338" s="8">
        <f>IF(C338=1,$AE$32,$AE$33)</f>
        <v/>
      </c>
      <c r="Z338" s="9">
        <f>Y338*X338</f>
        <v/>
      </c>
      <c r="AA338" s="10">
        <f>IF(W338&gt;$AE$34,1,0)</f>
        <v/>
      </c>
      <c r="AB338">
        <f>IF(AA338=C338,1,0)</f>
        <v/>
      </c>
    </row>
    <row r="339">
      <c r="A339">
        <f>'1 datos preparados'!A332</f>
        <v/>
      </c>
      <c r="B339" s="5">
        <f>'1 datos preparados'!U332</f>
        <v/>
      </c>
      <c r="C339">
        <f>'1 datos preparados'!B332</f>
        <v/>
      </c>
      <c r="D339" s="7">
        <f>'1 datos preparados'!C332</f>
        <v/>
      </c>
      <c r="E339" s="7">
        <f>'1 datos preparados'!D332</f>
        <v/>
      </c>
      <c r="F339" s="7">
        <f>'1 datos preparados'!E332</f>
        <v/>
      </c>
      <c r="G339" s="7">
        <f>'1 datos preparados'!F332</f>
        <v/>
      </c>
      <c r="H339" s="7">
        <f>'1 datos preparados'!G332</f>
        <v/>
      </c>
      <c r="I339" s="7">
        <f>'1 datos preparados'!H332</f>
        <v/>
      </c>
      <c r="J339" s="7">
        <f>'1 datos preparados'!I332</f>
        <v/>
      </c>
      <c r="K339" s="7">
        <f>'1 datos preparados'!J332</f>
        <v/>
      </c>
      <c r="L339" s="7">
        <f>'1 datos preparados'!K332</f>
        <v/>
      </c>
      <c r="M339" s="7">
        <f>'1 datos preparados'!L332</f>
        <v/>
      </c>
      <c r="N339" s="7">
        <f>'1 datos preparados'!M332</f>
        <v/>
      </c>
      <c r="O339" s="7">
        <f>'1 datos preparados'!N332</f>
        <v/>
      </c>
      <c r="P339" s="7">
        <f>'1 datos preparados'!O332</f>
        <v/>
      </c>
      <c r="Q339" s="7">
        <f>'1 datos preparados'!P332</f>
        <v/>
      </c>
      <c r="R339" s="7">
        <f>'1 datos preparados'!Q332</f>
        <v/>
      </c>
      <c r="S339" s="7">
        <f>'1 datos preparados'!R332</f>
        <v/>
      </c>
      <c r="T339" s="7">
        <f>'1 datos preparados'!S332</f>
        <v/>
      </c>
      <c r="U339" s="7">
        <f>'1 datos preparados'!T332</f>
        <v/>
      </c>
      <c r="V339" s="8">
        <f>$AE$12+D339*$AE$13+E339*$AE$14+F339*$AE$15+G339*$AE$16+H339*$AE$17+I339*$AE$18+J339*$AE$19+K339*$AE$20+L339*$AE$21+M339*$AE$22+N339*$AE$23+O339*$AE$24+P339*$AE$25+Q339*$AE$26+R339*$AE$27+S339*$AE$28+T339*$AE$29+U339*$AE$30</f>
        <v/>
      </c>
      <c r="W339" s="8">
        <f>1/(1+EXP(-V339))</f>
        <v/>
      </c>
      <c r="X339" s="9">
        <f>-IF(C339=1,LN(W339),LN(1-W339))</f>
        <v/>
      </c>
      <c r="Y339" s="8">
        <f>IF(C339=1,$AE$32,$AE$33)</f>
        <v/>
      </c>
      <c r="Z339" s="9">
        <f>Y339*X339</f>
        <v/>
      </c>
      <c r="AA339" s="10">
        <f>IF(W339&gt;$AE$34,1,0)</f>
        <v/>
      </c>
      <c r="AB339">
        <f>IF(AA339=C339,1,0)</f>
        <v/>
      </c>
    </row>
    <row r="340">
      <c r="A340">
        <f>'1 datos preparados'!A333</f>
        <v/>
      </c>
      <c r="B340" s="5">
        <f>'1 datos preparados'!U333</f>
        <v/>
      </c>
      <c r="C340">
        <f>'1 datos preparados'!B333</f>
        <v/>
      </c>
      <c r="D340" s="7">
        <f>'1 datos preparados'!C333</f>
        <v/>
      </c>
      <c r="E340" s="7">
        <f>'1 datos preparados'!D333</f>
        <v/>
      </c>
      <c r="F340" s="7">
        <f>'1 datos preparados'!E333</f>
        <v/>
      </c>
      <c r="G340" s="7">
        <f>'1 datos preparados'!F333</f>
        <v/>
      </c>
      <c r="H340" s="7">
        <f>'1 datos preparados'!G333</f>
        <v/>
      </c>
      <c r="I340" s="7">
        <f>'1 datos preparados'!H333</f>
        <v/>
      </c>
      <c r="J340" s="7">
        <f>'1 datos preparados'!I333</f>
        <v/>
      </c>
      <c r="K340" s="7">
        <f>'1 datos preparados'!J333</f>
        <v/>
      </c>
      <c r="L340" s="7">
        <f>'1 datos preparados'!K333</f>
        <v/>
      </c>
      <c r="M340" s="7">
        <f>'1 datos preparados'!L333</f>
        <v/>
      </c>
      <c r="N340" s="7">
        <f>'1 datos preparados'!M333</f>
        <v/>
      </c>
      <c r="O340" s="7">
        <f>'1 datos preparados'!N333</f>
        <v/>
      </c>
      <c r="P340" s="7">
        <f>'1 datos preparados'!O333</f>
        <v/>
      </c>
      <c r="Q340" s="7">
        <f>'1 datos preparados'!P333</f>
        <v/>
      </c>
      <c r="R340" s="7">
        <f>'1 datos preparados'!Q333</f>
        <v/>
      </c>
      <c r="S340" s="7">
        <f>'1 datos preparados'!R333</f>
        <v/>
      </c>
      <c r="T340" s="7">
        <f>'1 datos preparados'!S333</f>
        <v/>
      </c>
      <c r="U340" s="7">
        <f>'1 datos preparados'!T333</f>
        <v/>
      </c>
      <c r="V340" s="8">
        <f>$AE$12+D340*$AE$13+E340*$AE$14+F340*$AE$15+G340*$AE$16+H340*$AE$17+I340*$AE$18+J340*$AE$19+K340*$AE$20+L340*$AE$21+M340*$AE$22+N340*$AE$23+O340*$AE$24+P340*$AE$25+Q340*$AE$26+R340*$AE$27+S340*$AE$28+T340*$AE$29+U340*$AE$30</f>
        <v/>
      </c>
      <c r="W340" s="8">
        <f>1/(1+EXP(-V340))</f>
        <v/>
      </c>
      <c r="X340" s="9">
        <f>-IF(C340=1,LN(W340),LN(1-W340))</f>
        <v/>
      </c>
      <c r="Y340" s="8">
        <f>IF(C340=1,$AE$32,$AE$33)</f>
        <v/>
      </c>
      <c r="Z340" s="9">
        <f>Y340*X340</f>
        <v/>
      </c>
      <c r="AA340" s="10">
        <f>IF(W340&gt;$AE$34,1,0)</f>
        <v/>
      </c>
      <c r="AB340">
        <f>IF(AA340=C340,1,0)</f>
        <v/>
      </c>
    </row>
    <row r="341">
      <c r="A341">
        <f>'1 datos preparados'!A334</f>
        <v/>
      </c>
      <c r="B341" s="5">
        <f>'1 datos preparados'!U334</f>
        <v/>
      </c>
      <c r="C341">
        <f>'1 datos preparados'!B334</f>
        <v/>
      </c>
      <c r="D341" s="7">
        <f>'1 datos preparados'!C334</f>
        <v/>
      </c>
      <c r="E341" s="7">
        <f>'1 datos preparados'!D334</f>
        <v/>
      </c>
      <c r="F341" s="7">
        <f>'1 datos preparados'!E334</f>
        <v/>
      </c>
      <c r="G341" s="7">
        <f>'1 datos preparados'!F334</f>
        <v/>
      </c>
      <c r="H341" s="7">
        <f>'1 datos preparados'!G334</f>
        <v/>
      </c>
      <c r="I341" s="7">
        <f>'1 datos preparados'!H334</f>
        <v/>
      </c>
      <c r="J341" s="7">
        <f>'1 datos preparados'!I334</f>
        <v/>
      </c>
      <c r="K341" s="7">
        <f>'1 datos preparados'!J334</f>
        <v/>
      </c>
      <c r="L341" s="7">
        <f>'1 datos preparados'!K334</f>
        <v/>
      </c>
      <c r="M341" s="7">
        <f>'1 datos preparados'!L334</f>
        <v/>
      </c>
      <c r="N341" s="7">
        <f>'1 datos preparados'!M334</f>
        <v/>
      </c>
      <c r="O341" s="7">
        <f>'1 datos preparados'!N334</f>
        <v/>
      </c>
      <c r="P341" s="7">
        <f>'1 datos preparados'!O334</f>
        <v/>
      </c>
      <c r="Q341" s="7">
        <f>'1 datos preparados'!P334</f>
        <v/>
      </c>
      <c r="R341" s="7">
        <f>'1 datos preparados'!Q334</f>
        <v/>
      </c>
      <c r="S341" s="7">
        <f>'1 datos preparados'!R334</f>
        <v/>
      </c>
      <c r="T341" s="7">
        <f>'1 datos preparados'!S334</f>
        <v/>
      </c>
      <c r="U341" s="7">
        <f>'1 datos preparados'!T334</f>
        <v/>
      </c>
      <c r="V341" s="8">
        <f>$AE$12+D341*$AE$13+E341*$AE$14+F341*$AE$15+G341*$AE$16+H341*$AE$17+I341*$AE$18+J341*$AE$19+K341*$AE$20+L341*$AE$21+M341*$AE$22+N341*$AE$23+O341*$AE$24+P341*$AE$25+Q341*$AE$26+R341*$AE$27+S341*$AE$28+T341*$AE$29+U341*$AE$30</f>
        <v/>
      </c>
      <c r="W341" s="8">
        <f>1/(1+EXP(-V341))</f>
        <v/>
      </c>
      <c r="X341" s="9">
        <f>-IF(C341=1,LN(W341),LN(1-W341))</f>
        <v/>
      </c>
      <c r="Y341" s="8">
        <f>IF(C341=1,$AE$32,$AE$33)</f>
        <v/>
      </c>
      <c r="Z341" s="9">
        <f>Y341*X341</f>
        <v/>
      </c>
      <c r="AA341" s="10">
        <f>IF(W341&gt;$AE$34,1,0)</f>
        <v/>
      </c>
      <c r="AB341">
        <f>IF(AA341=C341,1,0)</f>
        <v/>
      </c>
    </row>
    <row r="342">
      <c r="A342">
        <f>'1 datos preparados'!A335</f>
        <v/>
      </c>
      <c r="B342" s="5">
        <f>'1 datos preparados'!U335</f>
        <v/>
      </c>
      <c r="C342">
        <f>'1 datos preparados'!B335</f>
        <v/>
      </c>
      <c r="D342" s="7">
        <f>'1 datos preparados'!C335</f>
        <v/>
      </c>
      <c r="E342" s="7">
        <f>'1 datos preparados'!D335</f>
        <v/>
      </c>
      <c r="F342" s="7">
        <f>'1 datos preparados'!E335</f>
        <v/>
      </c>
      <c r="G342" s="7">
        <f>'1 datos preparados'!F335</f>
        <v/>
      </c>
      <c r="H342" s="7">
        <f>'1 datos preparados'!G335</f>
        <v/>
      </c>
      <c r="I342" s="7">
        <f>'1 datos preparados'!H335</f>
        <v/>
      </c>
      <c r="J342" s="7">
        <f>'1 datos preparados'!I335</f>
        <v/>
      </c>
      <c r="K342" s="7">
        <f>'1 datos preparados'!J335</f>
        <v/>
      </c>
      <c r="L342" s="7">
        <f>'1 datos preparados'!K335</f>
        <v/>
      </c>
      <c r="M342" s="7">
        <f>'1 datos preparados'!L335</f>
        <v/>
      </c>
      <c r="N342" s="7">
        <f>'1 datos preparados'!M335</f>
        <v/>
      </c>
      <c r="O342" s="7">
        <f>'1 datos preparados'!N335</f>
        <v/>
      </c>
      <c r="P342" s="7">
        <f>'1 datos preparados'!O335</f>
        <v/>
      </c>
      <c r="Q342" s="7">
        <f>'1 datos preparados'!P335</f>
        <v/>
      </c>
      <c r="R342" s="7">
        <f>'1 datos preparados'!Q335</f>
        <v/>
      </c>
      <c r="S342" s="7">
        <f>'1 datos preparados'!R335</f>
        <v/>
      </c>
      <c r="T342" s="7">
        <f>'1 datos preparados'!S335</f>
        <v/>
      </c>
      <c r="U342" s="7">
        <f>'1 datos preparados'!T335</f>
        <v/>
      </c>
      <c r="V342" s="8">
        <f>$AE$12+D342*$AE$13+E342*$AE$14+F342*$AE$15+G342*$AE$16+H342*$AE$17+I342*$AE$18+J342*$AE$19+K342*$AE$20+L342*$AE$21+M342*$AE$22+N342*$AE$23+O342*$AE$24+P342*$AE$25+Q342*$AE$26+R342*$AE$27+S342*$AE$28+T342*$AE$29+U342*$AE$30</f>
        <v/>
      </c>
      <c r="W342" s="8">
        <f>1/(1+EXP(-V342))</f>
        <v/>
      </c>
      <c r="X342" s="9">
        <f>-IF(C342=1,LN(W342),LN(1-W342))</f>
        <v/>
      </c>
      <c r="Y342" s="8">
        <f>IF(C342=1,$AE$32,$AE$33)</f>
        <v/>
      </c>
      <c r="Z342" s="9">
        <f>Y342*X342</f>
        <v/>
      </c>
      <c r="AA342" s="10">
        <f>IF(W342&gt;$AE$34,1,0)</f>
        <v/>
      </c>
      <c r="AB342">
        <f>IF(AA342=C342,1,0)</f>
        <v/>
      </c>
    </row>
    <row r="343">
      <c r="A343">
        <f>'1 datos preparados'!A336</f>
        <v/>
      </c>
      <c r="B343" s="5">
        <f>'1 datos preparados'!U336</f>
        <v/>
      </c>
      <c r="C343">
        <f>'1 datos preparados'!B336</f>
        <v/>
      </c>
      <c r="D343" s="7">
        <f>'1 datos preparados'!C336</f>
        <v/>
      </c>
      <c r="E343" s="7">
        <f>'1 datos preparados'!D336</f>
        <v/>
      </c>
      <c r="F343" s="7">
        <f>'1 datos preparados'!E336</f>
        <v/>
      </c>
      <c r="G343" s="7">
        <f>'1 datos preparados'!F336</f>
        <v/>
      </c>
      <c r="H343" s="7">
        <f>'1 datos preparados'!G336</f>
        <v/>
      </c>
      <c r="I343" s="7">
        <f>'1 datos preparados'!H336</f>
        <v/>
      </c>
      <c r="J343" s="7">
        <f>'1 datos preparados'!I336</f>
        <v/>
      </c>
      <c r="K343" s="7">
        <f>'1 datos preparados'!J336</f>
        <v/>
      </c>
      <c r="L343" s="7">
        <f>'1 datos preparados'!K336</f>
        <v/>
      </c>
      <c r="M343" s="7">
        <f>'1 datos preparados'!L336</f>
        <v/>
      </c>
      <c r="N343" s="7">
        <f>'1 datos preparados'!M336</f>
        <v/>
      </c>
      <c r="O343" s="7">
        <f>'1 datos preparados'!N336</f>
        <v/>
      </c>
      <c r="P343" s="7">
        <f>'1 datos preparados'!O336</f>
        <v/>
      </c>
      <c r="Q343" s="7">
        <f>'1 datos preparados'!P336</f>
        <v/>
      </c>
      <c r="R343" s="7">
        <f>'1 datos preparados'!Q336</f>
        <v/>
      </c>
      <c r="S343" s="7">
        <f>'1 datos preparados'!R336</f>
        <v/>
      </c>
      <c r="T343" s="7">
        <f>'1 datos preparados'!S336</f>
        <v/>
      </c>
      <c r="U343" s="7">
        <f>'1 datos preparados'!T336</f>
        <v/>
      </c>
      <c r="V343" s="8">
        <f>$AE$12+D343*$AE$13+E343*$AE$14+F343*$AE$15+G343*$AE$16+H343*$AE$17+I343*$AE$18+J343*$AE$19+K343*$AE$20+L343*$AE$21+M343*$AE$22+N343*$AE$23+O343*$AE$24+P343*$AE$25+Q343*$AE$26+R343*$AE$27+S343*$AE$28+T343*$AE$29+U343*$AE$30</f>
        <v/>
      </c>
      <c r="W343" s="8">
        <f>1/(1+EXP(-V343))</f>
        <v/>
      </c>
      <c r="X343" s="9">
        <f>-IF(C343=1,LN(W343),LN(1-W343))</f>
        <v/>
      </c>
      <c r="Y343" s="8">
        <f>IF(C343=1,$AE$32,$AE$33)</f>
        <v/>
      </c>
      <c r="Z343" s="9">
        <f>Y343*X343</f>
        <v/>
      </c>
      <c r="AA343" s="10">
        <f>IF(W343&gt;$AE$34,1,0)</f>
        <v/>
      </c>
      <c r="AB343">
        <f>IF(AA343=C343,1,0)</f>
        <v/>
      </c>
    </row>
    <row r="344">
      <c r="A344">
        <f>'1 datos preparados'!A337</f>
        <v/>
      </c>
      <c r="B344" s="5">
        <f>'1 datos preparados'!U337</f>
        <v/>
      </c>
      <c r="C344">
        <f>'1 datos preparados'!B337</f>
        <v/>
      </c>
      <c r="D344" s="7">
        <f>'1 datos preparados'!C337</f>
        <v/>
      </c>
      <c r="E344" s="7">
        <f>'1 datos preparados'!D337</f>
        <v/>
      </c>
      <c r="F344" s="7">
        <f>'1 datos preparados'!E337</f>
        <v/>
      </c>
      <c r="G344" s="7">
        <f>'1 datos preparados'!F337</f>
        <v/>
      </c>
      <c r="H344" s="7">
        <f>'1 datos preparados'!G337</f>
        <v/>
      </c>
      <c r="I344" s="7">
        <f>'1 datos preparados'!H337</f>
        <v/>
      </c>
      <c r="J344" s="7">
        <f>'1 datos preparados'!I337</f>
        <v/>
      </c>
      <c r="K344" s="7">
        <f>'1 datos preparados'!J337</f>
        <v/>
      </c>
      <c r="L344" s="7">
        <f>'1 datos preparados'!K337</f>
        <v/>
      </c>
      <c r="M344" s="7">
        <f>'1 datos preparados'!L337</f>
        <v/>
      </c>
      <c r="N344" s="7">
        <f>'1 datos preparados'!M337</f>
        <v/>
      </c>
      <c r="O344" s="7">
        <f>'1 datos preparados'!N337</f>
        <v/>
      </c>
      <c r="P344" s="7">
        <f>'1 datos preparados'!O337</f>
        <v/>
      </c>
      <c r="Q344" s="7">
        <f>'1 datos preparados'!P337</f>
        <v/>
      </c>
      <c r="R344" s="7">
        <f>'1 datos preparados'!Q337</f>
        <v/>
      </c>
      <c r="S344" s="7">
        <f>'1 datos preparados'!R337</f>
        <v/>
      </c>
      <c r="T344" s="7">
        <f>'1 datos preparados'!S337</f>
        <v/>
      </c>
      <c r="U344" s="7">
        <f>'1 datos preparados'!T337</f>
        <v/>
      </c>
      <c r="V344" s="8">
        <f>$AE$12+D344*$AE$13+E344*$AE$14+F344*$AE$15+G344*$AE$16+H344*$AE$17+I344*$AE$18+J344*$AE$19+K344*$AE$20+L344*$AE$21+M344*$AE$22+N344*$AE$23+O344*$AE$24+P344*$AE$25+Q344*$AE$26+R344*$AE$27+S344*$AE$28+T344*$AE$29+U344*$AE$30</f>
        <v/>
      </c>
      <c r="W344" s="8">
        <f>1/(1+EXP(-V344))</f>
        <v/>
      </c>
      <c r="X344" s="9">
        <f>-IF(C344=1,LN(W344),LN(1-W344))</f>
        <v/>
      </c>
      <c r="Y344" s="8">
        <f>IF(C344=1,$AE$32,$AE$33)</f>
        <v/>
      </c>
      <c r="Z344" s="9">
        <f>Y344*X344</f>
        <v/>
      </c>
      <c r="AA344" s="10">
        <f>IF(W344&gt;$AE$34,1,0)</f>
        <v/>
      </c>
      <c r="AB344">
        <f>IF(AA344=C344,1,0)</f>
        <v/>
      </c>
    </row>
    <row r="345">
      <c r="A345">
        <f>'1 datos preparados'!A338</f>
        <v/>
      </c>
      <c r="B345" s="5">
        <f>'1 datos preparados'!U338</f>
        <v/>
      </c>
      <c r="C345">
        <f>'1 datos preparados'!B338</f>
        <v/>
      </c>
      <c r="D345" s="7">
        <f>'1 datos preparados'!C338</f>
        <v/>
      </c>
      <c r="E345" s="7">
        <f>'1 datos preparados'!D338</f>
        <v/>
      </c>
      <c r="F345" s="7">
        <f>'1 datos preparados'!E338</f>
        <v/>
      </c>
      <c r="G345" s="7">
        <f>'1 datos preparados'!F338</f>
        <v/>
      </c>
      <c r="H345" s="7">
        <f>'1 datos preparados'!G338</f>
        <v/>
      </c>
      <c r="I345" s="7">
        <f>'1 datos preparados'!H338</f>
        <v/>
      </c>
      <c r="J345" s="7">
        <f>'1 datos preparados'!I338</f>
        <v/>
      </c>
      <c r="K345" s="7">
        <f>'1 datos preparados'!J338</f>
        <v/>
      </c>
      <c r="L345" s="7">
        <f>'1 datos preparados'!K338</f>
        <v/>
      </c>
      <c r="M345" s="7">
        <f>'1 datos preparados'!L338</f>
        <v/>
      </c>
      <c r="N345" s="7">
        <f>'1 datos preparados'!M338</f>
        <v/>
      </c>
      <c r="O345" s="7">
        <f>'1 datos preparados'!N338</f>
        <v/>
      </c>
      <c r="P345" s="7">
        <f>'1 datos preparados'!O338</f>
        <v/>
      </c>
      <c r="Q345" s="7">
        <f>'1 datos preparados'!P338</f>
        <v/>
      </c>
      <c r="R345" s="7">
        <f>'1 datos preparados'!Q338</f>
        <v/>
      </c>
      <c r="S345" s="7">
        <f>'1 datos preparados'!R338</f>
        <v/>
      </c>
      <c r="T345" s="7">
        <f>'1 datos preparados'!S338</f>
        <v/>
      </c>
      <c r="U345" s="7">
        <f>'1 datos preparados'!T338</f>
        <v/>
      </c>
      <c r="V345" s="8">
        <f>$AE$12+D345*$AE$13+E345*$AE$14+F345*$AE$15+G345*$AE$16+H345*$AE$17+I345*$AE$18+J345*$AE$19+K345*$AE$20+L345*$AE$21+M345*$AE$22+N345*$AE$23+O345*$AE$24+P345*$AE$25+Q345*$AE$26+R345*$AE$27+S345*$AE$28+T345*$AE$29+U345*$AE$30</f>
        <v/>
      </c>
      <c r="W345" s="8">
        <f>1/(1+EXP(-V345))</f>
        <v/>
      </c>
      <c r="X345" s="9">
        <f>-IF(C345=1,LN(W345),LN(1-W345))</f>
        <v/>
      </c>
      <c r="Y345" s="8">
        <f>IF(C345=1,$AE$32,$AE$33)</f>
        <v/>
      </c>
      <c r="Z345" s="9">
        <f>Y345*X345</f>
        <v/>
      </c>
      <c r="AA345" s="10">
        <f>IF(W345&gt;$AE$34,1,0)</f>
        <v/>
      </c>
      <c r="AB345">
        <f>IF(AA345=C345,1,0)</f>
        <v/>
      </c>
    </row>
    <row r="346">
      <c r="A346">
        <f>'1 datos preparados'!A339</f>
        <v/>
      </c>
      <c r="B346" s="5">
        <f>'1 datos preparados'!U339</f>
        <v/>
      </c>
      <c r="C346">
        <f>'1 datos preparados'!B339</f>
        <v/>
      </c>
      <c r="D346" s="7">
        <f>'1 datos preparados'!C339</f>
        <v/>
      </c>
      <c r="E346" s="7">
        <f>'1 datos preparados'!D339</f>
        <v/>
      </c>
      <c r="F346" s="7">
        <f>'1 datos preparados'!E339</f>
        <v/>
      </c>
      <c r="G346" s="7">
        <f>'1 datos preparados'!F339</f>
        <v/>
      </c>
      <c r="H346" s="7">
        <f>'1 datos preparados'!G339</f>
        <v/>
      </c>
      <c r="I346" s="7">
        <f>'1 datos preparados'!H339</f>
        <v/>
      </c>
      <c r="J346" s="7">
        <f>'1 datos preparados'!I339</f>
        <v/>
      </c>
      <c r="K346" s="7">
        <f>'1 datos preparados'!J339</f>
        <v/>
      </c>
      <c r="L346" s="7">
        <f>'1 datos preparados'!K339</f>
        <v/>
      </c>
      <c r="M346" s="7">
        <f>'1 datos preparados'!L339</f>
        <v/>
      </c>
      <c r="N346" s="7">
        <f>'1 datos preparados'!M339</f>
        <v/>
      </c>
      <c r="O346" s="7">
        <f>'1 datos preparados'!N339</f>
        <v/>
      </c>
      <c r="P346" s="7">
        <f>'1 datos preparados'!O339</f>
        <v/>
      </c>
      <c r="Q346" s="7">
        <f>'1 datos preparados'!P339</f>
        <v/>
      </c>
      <c r="R346" s="7">
        <f>'1 datos preparados'!Q339</f>
        <v/>
      </c>
      <c r="S346" s="7">
        <f>'1 datos preparados'!R339</f>
        <v/>
      </c>
      <c r="T346" s="7">
        <f>'1 datos preparados'!S339</f>
        <v/>
      </c>
      <c r="U346" s="7">
        <f>'1 datos preparados'!T339</f>
        <v/>
      </c>
      <c r="V346" s="8">
        <f>$AE$12+D346*$AE$13+E346*$AE$14+F346*$AE$15+G346*$AE$16+H346*$AE$17+I346*$AE$18+J346*$AE$19+K346*$AE$20+L346*$AE$21+M346*$AE$22+N346*$AE$23+O346*$AE$24+P346*$AE$25+Q346*$AE$26+R346*$AE$27+S346*$AE$28+T346*$AE$29+U346*$AE$30</f>
        <v/>
      </c>
      <c r="W346" s="8">
        <f>1/(1+EXP(-V346))</f>
        <v/>
      </c>
      <c r="X346" s="9">
        <f>-IF(C346=1,LN(W346),LN(1-W346))</f>
        <v/>
      </c>
      <c r="Y346" s="8">
        <f>IF(C346=1,$AE$32,$AE$33)</f>
        <v/>
      </c>
      <c r="Z346" s="9">
        <f>Y346*X346</f>
        <v/>
      </c>
      <c r="AA346" s="10">
        <f>IF(W346&gt;$AE$34,1,0)</f>
        <v/>
      </c>
      <c r="AB346">
        <f>IF(AA346=C346,1,0)</f>
        <v/>
      </c>
    </row>
    <row r="347">
      <c r="A347">
        <f>'1 datos preparados'!A340</f>
        <v/>
      </c>
      <c r="B347" s="5">
        <f>'1 datos preparados'!U340</f>
        <v/>
      </c>
      <c r="C347">
        <f>'1 datos preparados'!B340</f>
        <v/>
      </c>
      <c r="D347" s="7">
        <f>'1 datos preparados'!C340</f>
        <v/>
      </c>
      <c r="E347" s="7">
        <f>'1 datos preparados'!D340</f>
        <v/>
      </c>
      <c r="F347" s="7">
        <f>'1 datos preparados'!E340</f>
        <v/>
      </c>
      <c r="G347" s="7">
        <f>'1 datos preparados'!F340</f>
        <v/>
      </c>
      <c r="H347" s="7">
        <f>'1 datos preparados'!G340</f>
        <v/>
      </c>
      <c r="I347" s="7">
        <f>'1 datos preparados'!H340</f>
        <v/>
      </c>
      <c r="J347" s="7">
        <f>'1 datos preparados'!I340</f>
        <v/>
      </c>
      <c r="K347" s="7">
        <f>'1 datos preparados'!J340</f>
        <v/>
      </c>
      <c r="L347" s="7">
        <f>'1 datos preparados'!K340</f>
        <v/>
      </c>
      <c r="M347" s="7">
        <f>'1 datos preparados'!L340</f>
        <v/>
      </c>
      <c r="N347" s="7">
        <f>'1 datos preparados'!M340</f>
        <v/>
      </c>
      <c r="O347" s="7">
        <f>'1 datos preparados'!N340</f>
        <v/>
      </c>
      <c r="P347" s="7">
        <f>'1 datos preparados'!O340</f>
        <v/>
      </c>
      <c r="Q347" s="7">
        <f>'1 datos preparados'!P340</f>
        <v/>
      </c>
      <c r="R347" s="7">
        <f>'1 datos preparados'!Q340</f>
        <v/>
      </c>
      <c r="S347" s="7">
        <f>'1 datos preparados'!R340</f>
        <v/>
      </c>
      <c r="T347" s="7">
        <f>'1 datos preparados'!S340</f>
        <v/>
      </c>
      <c r="U347" s="7">
        <f>'1 datos preparados'!T340</f>
        <v/>
      </c>
      <c r="V347" s="8">
        <f>$AE$12+D347*$AE$13+E347*$AE$14+F347*$AE$15+G347*$AE$16+H347*$AE$17+I347*$AE$18+J347*$AE$19+K347*$AE$20+L347*$AE$21+M347*$AE$22+N347*$AE$23+O347*$AE$24+P347*$AE$25+Q347*$AE$26+R347*$AE$27+S347*$AE$28+T347*$AE$29+U347*$AE$30</f>
        <v/>
      </c>
      <c r="W347" s="8">
        <f>1/(1+EXP(-V347))</f>
        <v/>
      </c>
      <c r="X347" s="9">
        <f>-IF(C347=1,LN(W347),LN(1-W347))</f>
        <v/>
      </c>
      <c r="Y347" s="8">
        <f>IF(C347=1,$AE$32,$AE$33)</f>
        <v/>
      </c>
      <c r="Z347" s="9">
        <f>Y347*X347</f>
        <v/>
      </c>
      <c r="AA347" s="10">
        <f>IF(W347&gt;$AE$34,1,0)</f>
        <v/>
      </c>
      <c r="AB347">
        <f>IF(AA347=C347,1,0)</f>
        <v/>
      </c>
    </row>
    <row r="348">
      <c r="A348">
        <f>'1 datos preparados'!A341</f>
        <v/>
      </c>
      <c r="B348" s="5">
        <f>'1 datos preparados'!U341</f>
        <v/>
      </c>
      <c r="C348">
        <f>'1 datos preparados'!B341</f>
        <v/>
      </c>
      <c r="D348" s="7">
        <f>'1 datos preparados'!C341</f>
        <v/>
      </c>
      <c r="E348" s="7">
        <f>'1 datos preparados'!D341</f>
        <v/>
      </c>
      <c r="F348" s="7">
        <f>'1 datos preparados'!E341</f>
        <v/>
      </c>
      <c r="G348" s="7">
        <f>'1 datos preparados'!F341</f>
        <v/>
      </c>
      <c r="H348" s="7">
        <f>'1 datos preparados'!G341</f>
        <v/>
      </c>
      <c r="I348" s="7">
        <f>'1 datos preparados'!H341</f>
        <v/>
      </c>
      <c r="J348" s="7">
        <f>'1 datos preparados'!I341</f>
        <v/>
      </c>
      <c r="K348" s="7">
        <f>'1 datos preparados'!J341</f>
        <v/>
      </c>
      <c r="L348" s="7">
        <f>'1 datos preparados'!K341</f>
        <v/>
      </c>
      <c r="M348" s="7">
        <f>'1 datos preparados'!L341</f>
        <v/>
      </c>
      <c r="N348" s="7">
        <f>'1 datos preparados'!M341</f>
        <v/>
      </c>
      <c r="O348" s="7">
        <f>'1 datos preparados'!N341</f>
        <v/>
      </c>
      <c r="P348" s="7">
        <f>'1 datos preparados'!O341</f>
        <v/>
      </c>
      <c r="Q348" s="7">
        <f>'1 datos preparados'!P341</f>
        <v/>
      </c>
      <c r="R348" s="7">
        <f>'1 datos preparados'!Q341</f>
        <v/>
      </c>
      <c r="S348" s="7">
        <f>'1 datos preparados'!R341</f>
        <v/>
      </c>
      <c r="T348" s="7">
        <f>'1 datos preparados'!S341</f>
        <v/>
      </c>
      <c r="U348" s="7">
        <f>'1 datos preparados'!T341</f>
        <v/>
      </c>
      <c r="V348" s="8">
        <f>$AE$12+D348*$AE$13+E348*$AE$14+F348*$AE$15+G348*$AE$16+H348*$AE$17+I348*$AE$18+J348*$AE$19+K348*$AE$20+L348*$AE$21+M348*$AE$22+N348*$AE$23+O348*$AE$24+P348*$AE$25+Q348*$AE$26+R348*$AE$27+S348*$AE$28+T348*$AE$29+U348*$AE$30</f>
        <v/>
      </c>
      <c r="W348" s="8">
        <f>1/(1+EXP(-V348))</f>
        <v/>
      </c>
      <c r="X348" s="9">
        <f>-IF(C348=1,LN(W348),LN(1-W348))</f>
        <v/>
      </c>
      <c r="Y348" s="8">
        <f>IF(C348=1,$AE$32,$AE$33)</f>
        <v/>
      </c>
      <c r="Z348" s="9">
        <f>Y348*X348</f>
        <v/>
      </c>
      <c r="AA348" s="10">
        <f>IF(W348&gt;$AE$34,1,0)</f>
        <v/>
      </c>
      <c r="AB348">
        <f>IF(AA348=C348,1,0)</f>
        <v/>
      </c>
    </row>
    <row r="349">
      <c r="A349">
        <f>'1 datos preparados'!A342</f>
        <v/>
      </c>
      <c r="B349" s="5">
        <f>'1 datos preparados'!U342</f>
        <v/>
      </c>
      <c r="C349">
        <f>'1 datos preparados'!B342</f>
        <v/>
      </c>
      <c r="D349" s="7">
        <f>'1 datos preparados'!C342</f>
        <v/>
      </c>
      <c r="E349" s="7">
        <f>'1 datos preparados'!D342</f>
        <v/>
      </c>
      <c r="F349" s="7">
        <f>'1 datos preparados'!E342</f>
        <v/>
      </c>
      <c r="G349" s="7">
        <f>'1 datos preparados'!F342</f>
        <v/>
      </c>
      <c r="H349" s="7">
        <f>'1 datos preparados'!G342</f>
        <v/>
      </c>
      <c r="I349" s="7">
        <f>'1 datos preparados'!H342</f>
        <v/>
      </c>
      <c r="J349" s="7">
        <f>'1 datos preparados'!I342</f>
        <v/>
      </c>
      <c r="K349" s="7">
        <f>'1 datos preparados'!J342</f>
        <v/>
      </c>
      <c r="L349" s="7">
        <f>'1 datos preparados'!K342</f>
        <v/>
      </c>
      <c r="M349" s="7">
        <f>'1 datos preparados'!L342</f>
        <v/>
      </c>
      <c r="N349" s="7">
        <f>'1 datos preparados'!M342</f>
        <v/>
      </c>
      <c r="O349" s="7">
        <f>'1 datos preparados'!N342</f>
        <v/>
      </c>
      <c r="P349" s="7">
        <f>'1 datos preparados'!O342</f>
        <v/>
      </c>
      <c r="Q349" s="7">
        <f>'1 datos preparados'!P342</f>
        <v/>
      </c>
      <c r="R349" s="7">
        <f>'1 datos preparados'!Q342</f>
        <v/>
      </c>
      <c r="S349" s="7">
        <f>'1 datos preparados'!R342</f>
        <v/>
      </c>
      <c r="T349" s="7">
        <f>'1 datos preparados'!S342</f>
        <v/>
      </c>
      <c r="U349" s="7">
        <f>'1 datos preparados'!T342</f>
        <v/>
      </c>
      <c r="V349" s="8">
        <f>$AE$12+D349*$AE$13+E349*$AE$14+F349*$AE$15+G349*$AE$16+H349*$AE$17+I349*$AE$18+J349*$AE$19+K349*$AE$20+L349*$AE$21+M349*$AE$22+N349*$AE$23+O349*$AE$24+P349*$AE$25+Q349*$AE$26+R349*$AE$27+S349*$AE$28+T349*$AE$29+U349*$AE$30</f>
        <v/>
      </c>
      <c r="W349" s="8">
        <f>1/(1+EXP(-V349))</f>
        <v/>
      </c>
      <c r="X349" s="9">
        <f>-IF(C349=1,LN(W349),LN(1-W349))</f>
        <v/>
      </c>
      <c r="Y349" s="8">
        <f>IF(C349=1,$AE$32,$AE$33)</f>
        <v/>
      </c>
      <c r="Z349" s="9">
        <f>Y349*X349</f>
        <v/>
      </c>
      <c r="AA349" s="10">
        <f>IF(W349&gt;$AE$34,1,0)</f>
        <v/>
      </c>
      <c r="AB349">
        <f>IF(AA349=C349,1,0)</f>
        <v/>
      </c>
    </row>
    <row r="350">
      <c r="A350">
        <f>'1 datos preparados'!A343</f>
        <v/>
      </c>
      <c r="B350" s="5">
        <f>'1 datos preparados'!U343</f>
        <v/>
      </c>
      <c r="C350">
        <f>'1 datos preparados'!B343</f>
        <v/>
      </c>
      <c r="D350" s="7">
        <f>'1 datos preparados'!C343</f>
        <v/>
      </c>
      <c r="E350" s="7">
        <f>'1 datos preparados'!D343</f>
        <v/>
      </c>
      <c r="F350" s="7">
        <f>'1 datos preparados'!E343</f>
        <v/>
      </c>
      <c r="G350" s="7">
        <f>'1 datos preparados'!F343</f>
        <v/>
      </c>
      <c r="H350" s="7">
        <f>'1 datos preparados'!G343</f>
        <v/>
      </c>
      <c r="I350" s="7">
        <f>'1 datos preparados'!H343</f>
        <v/>
      </c>
      <c r="J350" s="7">
        <f>'1 datos preparados'!I343</f>
        <v/>
      </c>
      <c r="K350" s="7">
        <f>'1 datos preparados'!J343</f>
        <v/>
      </c>
      <c r="L350" s="7">
        <f>'1 datos preparados'!K343</f>
        <v/>
      </c>
      <c r="M350" s="7">
        <f>'1 datos preparados'!L343</f>
        <v/>
      </c>
      <c r="N350" s="7">
        <f>'1 datos preparados'!M343</f>
        <v/>
      </c>
      <c r="O350" s="7">
        <f>'1 datos preparados'!N343</f>
        <v/>
      </c>
      <c r="P350" s="7">
        <f>'1 datos preparados'!O343</f>
        <v/>
      </c>
      <c r="Q350" s="7">
        <f>'1 datos preparados'!P343</f>
        <v/>
      </c>
      <c r="R350" s="7">
        <f>'1 datos preparados'!Q343</f>
        <v/>
      </c>
      <c r="S350" s="7">
        <f>'1 datos preparados'!R343</f>
        <v/>
      </c>
      <c r="T350" s="7">
        <f>'1 datos preparados'!S343</f>
        <v/>
      </c>
      <c r="U350" s="7">
        <f>'1 datos preparados'!T343</f>
        <v/>
      </c>
      <c r="V350" s="8">
        <f>$AE$12+D350*$AE$13+E350*$AE$14+F350*$AE$15+G350*$AE$16+H350*$AE$17+I350*$AE$18+J350*$AE$19+K350*$AE$20+L350*$AE$21+M350*$AE$22+N350*$AE$23+O350*$AE$24+P350*$AE$25+Q350*$AE$26+R350*$AE$27+S350*$AE$28+T350*$AE$29+U350*$AE$30</f>
        <v/>
      </c>
      <c r="W350" s="8">
        <f>1/(1+EXP(-V350))</f>
        <v/>
      </c>
      <c r="X350" s="9">
        <f>-IF(C350=1,LN(W350),LN(1-W350))</f>
        <v/>
      </c>
      <c r="Y350" s="8">
        <f>IF(C350=1,$AE$32,$AE$33)</f>
        <v/>
      </c>
      <c r="Z350" s="9">
        <f>Y350*X350</f>
        <v/>
      </c>
      <c r="AA350" s="10">
        <f>IF(W350&gt;$AE$34,1,0)</f>
        <v/>
      </c>
      <c r="AB350">
        <f>IF(AA350=C350,1,0)</f>
        <v/>
      </c>
    </row>
    <row r="351">
      <c r="A351">
        <f>'1 datos preparados'!A344</f>
        <v/>
      </c>
      <c r="B351" s="5">
        <f>'1 datos preparados'!U344</f>
        <v/>
      </c>
      <c r="C351">
        <f>'1 datos preparados'!B344</f>
        <v/>
      </c>
      <c r="D351" s="7">
        <f>'1 datos preparados'!C344</f>
        <v/>
      </c>
      <c r="E351" s="7">
        <f>'1 datos preparados'!D344</f>
        <v/>
      </c>
      <c r="F351" s="7">
        <f>'1 datos preparados'!E344</f>
        <v/>
      </c>
      <c r="G351" s="7">
        <f>'1 datos preparados'!F344</f>
        <v/>
      </c>
      <c r="H351" s="7">
        <f>'1 datos preparados'!G344</f>
        <v/>
      </c>
      <c r="I351" s="7">
        <f>'1 datos preparados'!H344</f>
        <v/>
      </c>
      <c r="J351" s="7">
        <f>'1 datos preparados'!I344</f>
        <v/>
      </c>
      <c r="K351" s="7">
        <f>'1 datos preparados'!J344</f>
        <v/>
      </c>
      <c r="L351" s="7">
        <f>'1 datos preparados'!K344</f>
        <v/>
      </c>
      <c r="M351" s="7">
        <f>'1 datos preparados'!L344</f>
        <v/>
      </c>
      <c r="N351" s="7">
        <f>'1 datos preparados'!M344</f>
        <v/>
      </c>
      <c r="O351" s="7">
        <f>'1 datos preparados'!N344</f>
        <v/>
      </c>
      <c r="P351" s="7">
        <f>'1 datos preparados'!O344</f>
        <v/>
      </c>
      <c r="Q351" s="7">
        <f>'1 datos preparados'!P344</f>
        <v/>
      </c>
      <c r="R351" s="7">
        <f>'1 datos preparados'!Q344</f>
        <v/>
      </c>
      <c r="S351" s="7">
        <f>'1 datos preparados'!R344</f>
        <v/>
      </c>
      <c r="T351" s="7">
        <f>'1 datos preparados'!S344</f>
        <v/>
      </c>
      <c r="U351" s="7">
        <f>'1 datos preparados'!T344</f>
        <v/>
      </c>
      <c r="V351" s="8">
        <f>$AE$12+D351*$AE$13+E351*$AE$14+F351*$AE$15+G351*$AE$16+H351*$AE$17+I351*$AE$18+J351*$AE$19+K351*$AE$20+L351*$AE$21+M351*$AE$22+N351*$AE$23+O351*$AE$24+P351*$AE$25+Q351*$AE$26+R351*$AE$27+S351*$AE$28+T351*$AE$29+U351*$AE$30</f>
        <v/>
      </c>
      <c r="W351" s="8">
        <f>1/(1+EXP(-V351))</f>
        <v/>
      </c>
      <c r="X351" s="9">
        <f>-IF(C351=1,LN(W351),LN(1-W351))</f>
        <v/>
      </c>
      <c r="Y351" s="8">
        <f>IF(C351=1,$AE$32,$AE$33)</f>
        <v/>
      </c>
      <c r="Z351" s="9">
        <f>Y351*X351</f>
        <v/>
      </c>
      <c r="AA351" s="10">
        <f>IF(W351&gt;$AE$34,1,0)</f>
        <v/>
      </c>
      <c r="AB351">
        <f>IF(AA351=C351,1,0)</f>
        <v/>
      </c>
    </row>
    <row r="352">
      <c r="A352">
        <f>'1 datos preparados'!A345</f>
        <v/>
      </c>
      <c r="B352" s="5">
        <f>'1 datos preparados'!U345</f>
        <v/>
      </c>
      <c r="C352">
        <f>'1 datos preparados'!B345</f>
        <v/>
      </c>
      <c r="D352" s="7">
        <f>'1 datos preparados'!C345</f>
        <v/>
      </c>
      <c r="E352" s="7">
        <f>'1 datos preparados'!D345</f>
        <v/>
      </c>
      <c r="F352" s="7">
        <f>'1 datos preparados'!E345</f>
        <v/>
      </c>
      <c r="G352" s="7">
        <f>'1 datos preparados'!F345</f>
        <v/>
      </c>
      <c r="H352" s="7">
        <f>'1 datos preparados'!G345</f>
        <v/>
      </c>
      <c r="I352" s="7">
        <f>'1 datos preparados'!H345</f>
        <v/>
      </c>
      <c r="J352" s="7">
        <f>'1 datos preparados'!I345</f>
        <v/>
      </c>
      <c r="K352" s="7">
        <f>'1 datos preparados'!J345</f>
        <v/>
      </c>
      <c r="L352" s="7">
        <f>'1 datos preparados'!K345</f>
        <v/>
      </c>
      <c r="M352" s="7">
        <f>'1 datos preparados'!L345</f>
        <v/>
      </c>
      <c r="N352" s="7">
        <f>'1 datos preparados'!M345</f>
        <v/>
      </c>
      <c r="O352" s="7">
        <f>'1 datos preparados'!N345</f>
        <v/>
      </c>
      <c r="P352" s="7">
        <f>'1 datos preparados'!O345</f>
        <v/>
      </c>
      <c r="Q352" s="7">
        <f>'1 datos preparados'!P345</f>
        <v/>
      </c>
      <c r="R352" s="7">
        <f>'1 datos preparados'!Q345</f>
        <v/>
      </c>
      <c r="S352" s="7">
        <f>'1 datos preparados'!R345</f>
        <v/>
      </c>
      <c r="T352" s="7">
        <f>'1 datos preparados'!S345</f>
        <v/>
      </c>
      <c r="U352" s="7">
        <f>'1 datos preparados'!T345</f>
        <v/>
      </c>
      <c r="V352" s="8">
        <f>$AE$12+D352*$AE$13+E352*$AE$14+F352*$AE$15+G352*$AE$16+H352*$AE$17+I352*$AE$18+J352*$AE$19+K352*$AE$20+L352*$AE$21+M352*$AE$22+N352*$AE$23+O352*$AE$24+P352*$AE$25+Q352*$AE$26+R352*$AE$27+S352*$AE$28+T352*$AE$29+U352*$AE$30</f>
        <v/>
      </c>
      <c r="W352" s="8">
        <f>1/(1+EXP(-V352))</f>
        <v/>
      </c>
      <c r="X352" s="9">
        <f>-IF(C352=1,LN(W352),LN(1-W352))</f>
        <v/>
      </c>
      <c r="Y352" s="8">
        <f>IF(C352=1,$AE$32,$AE$33)</f>
        <v/>
      </c>
      <c r="Z352" s="9">
        <f>Y352*X352</f>
        <v/>
      </c>
      <c r="AA352" s="10">
        <f>IF(W352&gt;$AE$34,1,0)</f>
        <v/>
      </c>
      <c r="AB352">
        <f>IF(AA352=C352,1,0)</f>
        <v/>
      </c>
    </row>
    <row r="353">
      <c r="A353">
        <f>'1 datos preparados'!A346</f>
        <v/>
      </c>
      <c r="B353" s="5">
        <f>'1 datos preparados'!U346</f>
        <v/>
      </c>
      <c r="C353">
        <f>'1 datos preparados'!B346</f>
        <v/>
      </c>
      <c r="D353" s="7">
        <f>'1 datos preparados'!C346</f>
        <v/>
      </c>
      <c r="E353" s="7">
        <f>'1 datos preparados'!D346</f>
        <v/>
      </c>
      <c r="F353" s="7">
        <f>'1 datos preparados'!E346</f>
        <v/>
      </c>
      <c r="G353" s="7">
        <f>'1 datos preparados'!F346</f>
        <v/>
      </c>
      <c r="H353" s="7">
        <f>'1 datos preparados'!G346</f>
        <v/>
      </c>
      <c r="I353" s="7">
        <f>'1 datos preparados'!H346</f>
        <v/>
      </c>
      <c r="J353" s="7">
        <f>'1 datos preparados'!I346</f>
        <v/>
      </c>
      <c r="K353" s="7">
        <f>'1 datos preparados'!J346</f>
        <v/>
      </c>
      <c r="L353" s="7">
        <f>'1 datos preparados'!K346</f>
        <v/>
      </c>
      <c r="M353" s="7">
        <f>'1 datos preparados'!L346</f>
        <v/>
      </c>
      <c r="N353" s="7">
        <f>'1 datos preparados'!M346</f>
        <v/>
      </c>
      <c r="O353" s="7">
        <f>'1 datos preparados'!N346</f>
        <v/>
      </c>
      <c r="P353" s="7">
        <f>'1 datos preparados'!O346</f>
        <v/>
      </c>
      <c r="Q353" s="7">
        <f>'1 datos preparados'!P346</f>
        <v/>
      </c>
      <c r="R353" s="7">
        <f>'1 datos preparados'!Q346</f>
        <v/>
      </c>
      <c r="S353" s="7">
        <f>'1 datos preparados'!R346</f>
        <v/>
      </c>
      <c r="T353" s="7">
        <f>'1 datos preparados'!S346</f>
        <v/>
      </c>
      <c r="U353" s="7">
        <f>'1 datos preparados'!T346</f>
        <v/>
      </c>
      <c r="V353" s="8">
        <f>$AE$12+D353*$AE$13+E353*$AE$14+F353*$AE$15+G353*$AE$16+H353*$AE$17+I353*$AE$18+J353*$AE$19+K353*$AE$20+L353*$AE$21+M353*$AE$22+N353*$AE$23+O353*$AE$24+P353*$AE$25+Q353*$AE$26+R353*$AE$27+S353*$AE$28+T353*$AE$29+U353*$AE$30</f>
        <v/>
      </c>
      <c r="W353" s="8">
        <f>1/(1+EXP(-V353))</f>
        <v/>
      </c>
      <c r="X353" s="9">
        <f>-IF(C353=1,LN(W353),LN(1-W353))</f>
        <v/>
      </c>
      <c r="Y353" s="8">
        <f>IF(C353=1,$AE$32,$AE$33)</f>
        <v/>
      </c>
      <c r="Z353" s="9">
        <f>Y353*X353</f>
        <v/>
      </c>
      <c r="AA353" s="10">
        <f>IF(W353&gt;$AE$34,1,0)</f>
        <v/>
      </c>
      <c r="AB353">
        <f>IF(AA353=C353,1,0)</f>
        <v/>
      </c>
    </row>
    <row r="354">
      <c r="A354">
        <f>'1 datos preparados'!A347</f>
        <v/>
      </c>
      <c r="B354" s="5">
        <f>'1 datos preparados'!U347</f>
        <v/>
      </c>
      <c r="C354">
        <f>'1 datos preparados'!B347</f>
        <v/>
      </c>
      <c r="D354" s="7">
        <f>'1 datos preparados'!C347</f>
        <v/>
      </c>
      <c r="E354" s="7">
        <f>'1 datos preparados'!D347</f>
        <v/>
      </c>
      <c r="F354" s="7">
        <f>'1 datos preparados'!E347</f>
        <v/>
      </c>
      <c r="G354" s="7">
        <f>'1 datos preparados'!F347</f>
        <v/>
      </c>
      <c r="H354" s="7">
        <f>'1 datos preparados'!G347</f>
        <v/>
      </c>
      <c r="I354" s="7">
        <f>'1 datos preparados'!H347</f>
        <v/>
      </c>
      <c r="J354" s="7">
        <f>'1 datos preparados'!I347</f>
        <v/>
      </c>
      <c r="K354" s="7">
        <f>'1 datos preparados'!J347</f>
        <v/>
      </c>
      <c r="L354" s="7">
        <f>'1 datos preparados'!K347</f>
        <v/>
      </c>
      <c r="M354" s="7">
        <f>'1 datos preparados'!L347</f>
        <v/>
      </c>
      <c r="N354" s="7">
        <f>'1 datos preparados'!M347</f>
        <v/>
      </c>
      <c r="O354" s="7">
        <f>'1 datos preparados'!N347</f>
        <v/>
      </c>
      <c r="P354" s="7">
        <f>'1 datos preparados'!O347</f>
        <v/>
      </c>
      <c r="Q354" s="7">
        <f>'1 datos preparados'!P347</f>
        <v/>
      </c>
      <c r="R354" s="7">
        <f>'1 datos preparados'!Q347</f>
        <v/>
      </c>
      <c r="S354" s="7">
        <f>'1 datos preparados'!R347</f>
        <v/>
      </c>
      <c r="T354" s="7">
        <f>'1 datos preparados'!S347</f>
        <v/>
      </c>
      <c r="U354" s="7">
        <f>'1 datos preparados'!T347</f>
        <v/>
      </c>
      <c r="V354" s="8">
        <f>$AE$12+D354*$AE$13+E354*$AE$14+F354*$AE$15+G354*$AE$16+H354*$AE$17+I354*$AE$18+J354*$AE$19+K354*$AE$20+L354*$AE$21+M354*$AE$22+N354*$AE$23+O354*$AE$24+P354*$AE$25+Q354*$AE$26+R354*$AE$27+S354*$AE$28+T354*$AE$29+U354*$AE$30</f>
        <v/>
      </c>
      <c r="W354" s="8">
        <f>1/(1+EXP(-V354))</f>
        <v/>
      </c>
      <c r="X354" s="9">
        <f>-IF(C354=1,LN(W354),LN(1-W354))</f>
        <v/>
      </c>
      <c r="Y354" s="8">
        <f>IF(C354=1,$AE$32,$AE$33)</f>
        <v/>
      </c>
      <c r="Z354" s="9">
        <f>Y354*X354</f>
        <v/>
      </c>
      <c r="AA354" s="10">
        <f>IF(W354&gt;$AE$34,1,0)</f>
        <v/>
      </c>
      <c r="AB354">
        <f>IF(AA354=C354,1,0)</f>
        <v/>
      </c>
    </row>
    <row r="355">
      <c r="A355">
        <f>'1 datos preparados'!A348</f>
        <v/>
      </c>
      <c r="B355" s="5">
        <f>'1 datos preparados'!U348</f>
        <v/>
      </c>
      <c r="C355">
        <f>'1 datos preparados'!B348</f>
        <v/>
      </c>
      <c r="D355" s="7">
        <f>'1 datos preparados'!C348</f>
        <v/>
      </c>
      <c r="E355" s="7">
        <f>'1 datos preparados'!D348</f>
        <v/>
      </c>
      <c r="F355" s="7">
        <f>'1 datos preparados'!E348</f>
        <v/>
      </c>
      <c r="G355" s="7">
        <f>'1 datos preparados'!F348</f>
        <v/>
      </c>
      <c r="H355" s="7">
        <f>'1 datos preparados'!G348</f>
        <v/>
      </c>
      <c r="I355" s="7">
        <f>'1 datos preparados'!H348</f>
        <v/>
      </c>
      <c r="J355" s="7">
        <f>'1 datos preparados'!I348</f>
        <v/>
      </c>
      <c r="K355" s="7">
        <f>'1 datos preparados'!J348</f>
        <v/>
      </c>
      <c r="L355" s="7">
        <f>'1 datos preparados'!K348</f>
        <v/>
      </c>
      <c r="M355" s="7">
        <f>'1 datos preparados'!L348</f>
        <v/>
      </c>
      <c r="N355" s="7">
        <f>'1 datos preparados'!M348</f>
        <v/>
      </c>
      <c r="O355" s="7">
        <f>'1 datos preparados'!N348</f>
        <v/>
      </c>
      <c r="P355" s="7">
        <f>'1 datos preparados'!O348</f>
        <v/>
      </c>
      <c r="Q355" s="7">
        <f>'1 datos preparados'!P348</f>
        <v/>
      </c>
      <c r="R355" s="7">
        <f>'1 datos preparados'!Q348</f>
        <v/>
      </c>
      <c r="S355" s="7">
        <f>'1 datos preparados'!R348</f>
        <v/>
      </c>
      <c r="T355" s="7">
        <f>'1 datos preparados'!S348</f>
        <v/>
      </c>
      <c r="U355" s="7">
        <f>'1 datos preparados'!T348</f>
        <v/>
      </c>
      <c r="V355" s="8">
        <f>$AE$12+D355*$AE$13+E355*$AE$14+F355*$AE$15+G355*$AE$16+H355*$AE$17+I355*$AE$18+J355*$AE$19+K355*$AE$20+L355*$AE$21+M355*$AE$22+N355*$AE$23+O355*$AE$24+P355*$AE$25+Q355*$AE$26+R355*$AE$27+S355*$AE$28+T355*$AE$29+U355*$AE$30</f>
        <v/>
      </c>
      <c r="W355" s="8">
        <f>1/(1+EXP(-V355))</f>
        <v/>
      </c>
      <c r="X355" s="9">
        <f>-IF(C355=1,LN(W355),LN(1-W355))</f>
        <v/>
      </c>
      <c r="Y355" s="8">
        <f>IF(C355=1,$AE$32,$AE$33)</f>
        <v/>
      </c>
      <c r="Z355" s="9">
        <f>Y355*X355</f>
        <v/>
      </c>
      <c r="AA355" s="10">
        <f>IF(W355&gt;$AE$34,1,0)</f>
        <v/>
      </c>
      <c r="AB355">
        <f>IF(AA355=C355,1,0)</f>
        <v/>
      </c>
    </row>
    <row r="356">
      <c r="A356">
        <f>'1 datos preparados'!A349</f>
        <v/>
      </c>
      <c r="B356" s="5">
        <f>'1 datos preparados'!U349</f>
        <v/>
      </c>
      <c r="C356">
        <f>'1 datos preparados'!B349</f>
        <v/>
      </c>
      <c r="D356" s="7">
        <f>'1 datos preparados'!C349</f>
        <v/>
      </c>
      <c r="E356" s="7">
        <f>'1 datos preparados'!D349</f>
        <v/>
      </c>
      <c r="F356" s="7">
        <f>'1 datos preparados'!E349</f>
        <v/>
      </c>
      <c r="G356" s="7">
        <f>'1 datos preparados'!F349</f>
        <v/>
      </c>
      <c r="H356" s="7">
        <f>'1 datos preparados'!G349</f>
        <v/>
      </c>
      <c r="I356" s="7">
        <f>'1 datos preparados'!H349</f>
        <v/>
      </c>
      <c r="J356" s="7">
        <f>'1 datos preparados'!I349</f>
        <v/>
      </c>
      <c r="K356" s="7">
        <f>'1 datos preparados'!J349</f>
        <v/>
      </c>
      <c r="L356" s="7">
        <f>'1 datos preparados'!K349</f>
        <v/>
      </c>
      <c r="M356" s="7">
        <f>'1 datos preparados'!L349</f>
        <v/>
      </c>
      <c r="N356" s="7">
        <f>'1 datos preparados'!M349</f>
        <v/>
      </c>
      <c r="O356" s="7">
        <f>'1 datos preparados'!N349</f>
        <v/>
      </c>
      <c r="P356" s="7">
        <f>'1 datos preparados'!O349</f>
        <v/>
      </c>
      <c r="Q356" s="7">
        <f>'1 datos preparados'!P349</f>
        <v/>
      </c>
      <c r="R356" s="7">
        <f>'1 datos preparados'!Q349</f>
        <v/>
      </c>
      <c r="S356" s="7">
        <f>'1 datos preparados'!R349</f>
        <v/>
      </c>
      <c r="T356" s="7">
        <f>'1 datos preparados'!S349</f>
        <v/>
      </c>
      <c r="U356" s="7">
        <f>'1 datos preparados'!T349</f>
        <v/>
      </c>
      <c r="V356" s="8">
        <f>$AE$12+D356*$AE$13+E356*$AE$14+F356*$AE$15+G356*$AE$16+H356*$AE$17+I356*$AE$18+J356*$AE$19+K356*$AE$20+L356*$AE$21+M356*$AE$22+N356*$AE$23+O356*$AE$24+P356*$AE$25+Q356*$AE$26+R356*$AE$27+S356*$AE$28+T356*$AE$29+U356*$AE$30</f>
        <v/>
      </c>
      <c r="W356" s="8">
        <f>1/(1+EXP(-V356))</f>
        <v/>
      </c>
      <c r="X356" s="9">
        <f>-IF(C356=1,LN(W356),LN(1-W356))</f>
        <v/>
      </c>
      <c r="Y356" s="8">
        <f>IF(C356=1,$AE$32,$AE$33)</f>
        <v/>
      </c>
      <c r="Z356" s="9">
        <f>Y356*X356</f>
        <v/>
      </c>
      <c r="AA356" s="10">
        <f>IF(W356&gt;$AE$34,1,0)</f>
        <v/>
      </c>
      <c r="AB356">
        <f>IF(AA356=C356,1,0)</f>
        <v/>
      </c>
    </row>
    <row r="357">
      <c r="A357">
        <f>'1 datos preparados'!A350</f>
        <v/>
      </c>
      <c r="B357" s="5">
        <f>'1 datos preparados'!U350</f>
        <v/>
      </c>
      <c r="C357">
        <f>'1 datos preparados'!B350</f>
        <v/>
      </c>
      <c r="D357" s="7">
        <f>'1 datos preparados'!C350</f>
        <v/>
      </c>
      <c r="E357" s="7">
        <f>'1 datos preparados'!D350</f>
        <v/>
      </c>
      <c r="F357" s="7">
        <f>'1 datos preparados'!E350</f>
        <v/>
      </c>
      <c r="G357" s="7">
        <f>'1 datos preparados'!F350</f>
        <v/>
      </c>
      <c r="H357" s="7">
        <f>'1 datos preparados'!G350</f>
        <v/>
      </c>
      <c r="I357" s="7">
        <f>'1 datos preparados'!H350</f>
        <v/>
      </c>
      <c r="J357" s="7">
        <f>'1 datos preparados'!I350</f>
        <v/>
      </c>
      <c r="K357" s="7">
        <f>'1 datos preparados'!J350</f>
        <v/>
      </c>
      <c r="L357" s="7">
        <f>'1 datos preparados'!K350</f>
        <v/>
      </c>
      <c r="M357" s="7">
        <f>'1 datos preparados'!L350</f>
        <v/>
      </c>
      <c r="N357" s="7">
        <f>'1 datos preparados'!M350</f>
        <v/>
      </c>
      <c r="O357" s="7">
        <f>'1 datos preparados'!N350</f>
        <v/>
      </c>
      <c r="P357" s="7">
        <f>'1 datos preparados'!O350</f>
        <v/>
      </c>
      <c r="Q357" s="7">
        <f>'1 datos preparados'!P350</f>
        <v/>
      </c>
      <c r="R357" s="7">
        <f>'1 datos preparados'!Q350</f>
        <v/>
      </c>
      <c r="S357" s="7">
        <f>'1 datos preparados'!R350</f>
        <v/>
      </c>
      <c r="T357" s="7">
        <f>'1 datos preparados'!S350</f>
        <v/>
      </c>
      <c r="U357" s="7">
        <f>'1 datos preparados'!T350</f>
        <v/>
      </c>
      <c r="V357" s="8">
        <f>$AE$12+D357*$AE$13+E357*$AE$14+F357*$AE$15+G357*$AE$16+H357*$AE$17+I357*$AE$18+J357*$AE$19+K357*$AE$20+L357*$AE$21+M357*$AE$22+N357*$AE$23+O357*$AE$24+P357*$AE$25+Q357*$AE$26+R357*$AE$27+S357*$AE$28+T357*$AE$29+U357*$AE$30</f>
        <v/>
      </c>
      <c r="W357" s="8">
        <f>1/(1+EXP(-V357))</f>
        <v/>
      </c>
      <c r="X357" s="9">
        <f>-IF(C357=1,LN(W357),LN(1-W357))</f>
        <v/>
      </c>
      <c r="Y357" s="8">
        <f>IF(C357=1,$AE$32,$AE$33)</f>
        <v/>
      </c>
      <c r="Z357" s="9">
        <f>Y357*X357</f>
        <v/>
      </c>
      <c r="AA357" s="10">
        <f>IF(W357&gt;$AE$34,1,0)</f>
        <v/>
      </c>
      <c r="AB357">
        <f>IF(AA357=C357,1,0)</f>
        <v/>
      </c>
    </row>
    <row r="358">
      <c r="A358">
        <f>'1 datos preparados'!A351</f>
        <v/>
      </c>
      <c r="B358" s="5">
        <f>'1 datos preparados'!U351</f>
        <v/>
      </c>
      <c r="C358">
        <f>'1 datos preparados'!B351</f>
        <v/>
      </c>
      <c r="D358" s="7">
        <f>'1 datos preparados'!C351</f>
        <v/>
      </c>
      <c r="E358" s="7">
        <f>'1 datos preparados'!D351</f>
        <v/>
      </c>
      <c r="F358" s="7">
        <f>'1 datos preparados'!E351</f>
        <v/>
      </c>
      <c r="G358" s="7">
        <f>'1 datos preparados'!F351</f>
        <v/>
      </c>
      <c r="H358" s="7">
        <f>'1 datos preparados'!G351</f>
        <v/>
      </c>
      <c r="I358" s="7">
        <f>'1 datos preparados'!H351</f>
        <v/>
      </c>
      <c r="J358" s="7">
        <f>'1 datos preparados'!I351</f>
        <v/>
      </c>
      <c r="K358" s="7">
        <f>'1 datos preparados'!J351</f>
        <v/>
      </c>
      <c r="L358" s="7">
        <f>'1 datos preparados'!K351</f>
        <v/>
      </c>
      <c r="M358" s="7">
        <f>'1 datos preparados'!L351</f>
        <v/>
      </c>
      <c r="N358" s="7">
        <f>'1 datos preparados'!M351</f>
        <v/>
      </c>
      <c r="O358" s="7">
        <f>'1 datos preparados'!N351</f>
        <v/>
      </c>
      <c r="P358" s="7">
        <f>'1 datos preparados'!O351</f>
        <v/>
      </c>
      <c r="Q358" s="7">
        <f>'1 datos preparados'!P351</f>
        <v/>
      </c>
      <c r="R358" s="7">
        <f>'1 datos preparados'!Q351</f>
        <v/>
      </c>
      <c r="S358" s="7">
        <f>'1 datos preparados'!R351</f>
        <v/>
      </c>
      <c r="T358" s="7">
        <f>'1 datos preparados'!S351</f>
        <v/>
      </c>
      <c r="U358" s="7">
        <f>'1 datos preparados'!T351</f>
        <v/>
      </c>
      <c r="V358" s="8">
        <f>$AE$12+D358*$AE$13+E358*$AE$14+F358*$AE$15+G358*$AE$16+H358*$AE$17+I358*$AE$18+J358*$AE$19+K358*$AE$20+L358*$AE$21+M358*$AE$22+N358*$AE$23+O358*$AE$24+P358*$AE$25+Q358*$AE$26+R358*$AE$27+S358*$AE$28+T358*$AE$29+U358*$AE$30</f>
        <v/>
      </c>
      <c r="W358" s="8">
        <f>1/(1+EXP(-V358))</f>
        <v/>
      </c>
      <c r="X358" s="9">
        <f>-IF(C358=1,LN(W358),LN(1-W358))</f>
        <v/>
      </c>
      <c r="Y358" s="8">
        <f>IF(C358=1,$AE$32,$AE$33)</f>
        <v/>
      </c>
      <c r="Z358" s="9">
        <f>Y358*X358</f>
        <v/>
      </c>
      <c r="AA358" s="10">
        <f>IF(W358&gt;$AE$34,1,0)</f>
        <v/>
      </c>
      <c r="AB358">
        <f>IF(AA358=C358,1,0)</f>
        <v/>
      </c>
    </row>
    <row r="359">
      <c r="A359">
        <f>'1 datos preparados'!A352</f>
        <v/>
      </c>
      <c r="B359" s="5">
        <f>'1 datos preparados'!U352</f>
        <v/>
      </c>
      <c r="C359">
        <f>'1 datos preparados'!B352</f>
        <v/>
      </c>
      <c r="D359" s="7">
        <f>'1 datos preparados'!C352</f>
        <v/>
      </c>
      <c r="E359" s="7">
        <f>'1 datos preparados'!D352</f>
        <v/>
      </c>
      <c r="F359" s="7">
        <f>'1 datos preparados'!E352</f>
        <v/>
      </c>
      <c r="G359" s="7">
        <f>'1 datos preparados'!F352</f>
        <v/>
      </c>
      <c r="H359" s="7">
        <f>'1 datos preparados'!G352</f>
        <v/>
      </c>
      <c r="I359" s="7">
        <f>'1 datos preparados'!H352</f>
        <v/>
      </c>
      <c r="J359" s="7">
        <f>'1 datos preparados'!I352</f>
        <v/>
      </c>
      <c r="K359" s="7">
        <f>'1 datos preparados'!J352</f>
        <v/>
      </c>
      <c r="L359" s="7">
        <f>'1 datos preparados'!K352</f>
        <v/>
      </c>
      <c r="M359" s="7">
        <f>'1 datos preparados'!L352</f>
        <v/>
      </c>
      <c r="N359" s="7">
        <f>'1 datos preparados'!M352</f>
        <v/>
      </c>
      <c r="O359" s="7">
        <f>'1 datos preparados'!N352</f>
        <v/>
      </c>
      <c r="P359" s="7">
        <f>'1 datos preparados'!O352</f>
        <v/>
      </c>
      <c r="Q359" s="7">
        <f>'1 datos preparados'!P352</f>
        <v/>
      </c>
      <c r="R359" s="7">
        <f>'1 datos preparados'!Q352</f>
        <v/>
      </c>
      <c r="S359" s="7">
        <f>'1 datos preparados'!R352</f>
        <v/>
      </c>
      <c r="T359" s="7">
        <f>'1 datos preparados'!S352</f>
        <v/>
      </c>
      <c r="U359" s="7">
        <f>'1 datos preparados'!T352</f>
        <v/>
      </c>
      <c r="V359" s="8">
        <f>$AE$12+D359*$AE$13+E359*$AE$14+F359*$AE$15+G359*$AE$16+H359*$AE$17+I359*$AE$18+J359*$AE$19+K359*$AE$20+L359*$AE$21+M359*$AE$22+N359*$AE$23+O359*$AE$24+P359*$AE$25+Q359*$AE$26+R359*$AE$27+S359*$AE$28+T359*$AE$29+U359*$AE$30</f>
        <v/>
      </c>
      <c r="W359" s="8">
        <f>1/(1+EXP(-V359))</f>
        <v/>
      </c>
      <c r="X359" s="9">
        <f>-IF(C359=1,LN(W359),LN(1-W359))</f>
        <v/>
      </c>
      <c r="Y359" s="8">
        <f>IF(C359=1,$AE$32,$AE$33)</f>
        <v/>
      </c>
      <c r="Z359" s="9">
        <f>Y359*X359</f>
        <v/>
      </c>
      <c r="AA359" s="10">
        <f>IF(W359&gt;$AE$34,1,0)</f>
        <v/>
      </c>
      <c r="AB359">
        <f>IF(AA359=C359,1,0)</f>
        <v/>
      </c>
    </row>
    <row r="360">
      <c r="A360">
        <f>'1 datos preparados'!A353</f>
        <v/>
      </c>
      <c r="B360" s="5">
        <f>'1 datos preparados'!U353</f>
        <v/>
      </c>
      <c r="C360">
        <f>'1 datos preparados'!B353</f>
        <v/>
      </c>
      <c r="D360" s="7">
        <f>'1 datos preparados'!C353</f>
        <v/>
      </c>
      <c r="E360" s="7">
        <f>'1 datos preparados'!D353</f>
        <v/>
      </c>
      <c r="F360" s="7">
        <f>'1 datos preparados'!E353</f>
        <v/>
      </c>
      <c r="G360" s="7">
        <f>'1 datos preparados'!F353</f>
        <v/>
      </c>
      <c r="H360" s="7">
        <f>'1 datos preparados'!G353</f>
        <v/>
      </c>
      <c r="I360" s="7">
        <f>'1 datos preparados'!H353</f>
        <v/>
      </c>
      <c r="J360" s="7">
        <f>'1 datos preparados'!I353</f>
        <v/>
      </c>
      <c r="K360" s="7">
        <f>'1 datos preparados'!J353</f>
        <v/>
      </c>
      <c r="L360" s="7">
        <f>'1 datos preparados'!K353</f>
        <v/>
      </c>
      <c r="M360" s="7">
        <f>'1 datos preparados'!L353</f>
        <v/>
      </c>
      <c r="N360" s="7">
        <f>'1 datos preparados'!M353</f>
        <v/>
      </c>
      <c r="O360" s="7">
        <f>'1 datos preparados'!N353</f>
        <v/>
      </c>
      <c r="P360" s="7">
        <f>'1 datos preparados'!O353</f>
        <v/>
      </c>
      <c r="Q360" s="7">
        <f>'1 datos preparados'!P353</f>
        <v/>
      </c>
      <c r="R360" s="7">
        <f>'1 datos preparados'!Q353</f>
        <v/>
      </c>
      <c r="S360" s="7">
        <f>'1 datos preparados'!R353</f>
        <v/>
      </c>
      <c r="T360" s="7">
        <f>'1 datos preparados'!S353</f>
        <v/>
      </c>
      <c r="U360" s="7">
        <f>'1 datos preparados'!T353</f>
        <v/>
      </c>
      <c r="V360" s="8">
        <f>$AE$12+D360*$AE$13+E360*$AE$14+F360*$AE$15+G360*$AE$16+H360*$AE$17+I360*$AE$18+J360*$AE$19+K360*$AE$20+L360*$AE$21+M360*$AE$22+N360*$AE$23+O360*$AE$24+P360*$AE$25+Q360*$AE$26+R360*$AE$27+S360*$AE$28+T360*$AE$29+U360*$AE$30</f>
        <v/>
      </c>
      <c r="W360" s="8">
        <f>1/(1+EXP(-V360))</f>
        <v/>
      </c>
      <c r="X360" s="9">
        <f>-IF(C360=1,LN(W360),LN(1-W360))</f>
        <v/>
      </c>
      <c r="Y360" s="8">
        <f>IF(C360=1,$AE$32,$AE$33)</f>
        <v/>
      </c>
      <c r="Z360" s="9">
        <f>Y360*X360</f>
        <v/>
      </c>
      <c r="AA360" s="10">
        <f>IF(W360&gt;$AE$34,1,0)</f>
        <v/>
      </c>
      <c r="AB360">
        <f>IF(AA360=C360,1,0)</f>
        <v/>
      </c>
    </row>
    <row r="361">
      <c r="A361">
        <f>'1 datos preparados'!A354</f>
        <v/>
      </c>
      <c r="B361" s="5">
        <f>'1 datos preparados'!U354</f>
        <v/>
      </c>
      <c r="C361">
        <f>'1 datos preparados'!B354</f>
        <v/>
      </c>
      <c r="D361" s="7">
        <f>'1 datos preparados'!C354</f>
        <v/>
      </c>
      <c r="E361" s="7">
        <f>'1 datos preparados'!D354</f>
        <v/>
      </c>
      <c r="F361" s="7">
        <f>'1 datos preparados'!E354</f>
        <v/>
      </c>
      <c r="G361" s="7">
        <f>'1 datos preparados'!F354</f>
        <v/>
      </c>
      <c r="H361" s="7">
        <f>'1 datos preparados'!G354</f>
        <v/>
      </c>
      <c r="I361" s="7">
        <f>'1 datos preparados'!H354</f>
        <v/>
      </c>
      <c r="J361" s="7">
        <f>'1 datos preparados'!I354</f>
        <v/>
      </c>
      <c r="K361" s="7">
        <f>'1 datos preparados'!J354</f>
        <v/>
      </c>
      <c r="L361" s="7">
        <f>'1 datos preparados'!K354</f>
        <v/>
      </c>
      <c r="M361" s="7">
        <f>'1 datos preparados'!L354</f>
        <v/>
      </c>
      <c r="N361" s="7">
        <f>'1 datos preparados'!M354</f>
        <v/>
      </c>
      <c r="O361" s="7">
        <f>'1 datos preparados'!N354</f>
        <v/>
      </c>
      <c r="P361" s="7">
        <f>'1 datos preparados'!O354</f>
        <v/>
      </c>
      <c r="Q361" s="7">
        <f>'1 datos preparados'!P354</f>
        <v/>
      </c>
      <c r="R361" s="7">
        <f>'1 datos preparados'!Q354</f>
        <v/>
      </c>
      <c r="S361" s="7">
        <f>'1 datos preparados'!R354</f>
        <v/>
      </c>
      <c r="T361" s="7">
        <f>'1 datos preparados'!S354</f>
        <v/>
      </c>
      <c r="U361" s="7">
        <f>'1 datos preparados'!T354</f>
        <v/>
      </c>
      <c r="V361" s="8">
        <f>$AE$12+D361*$AE$13+E361*$AE$14+F361*$AE$15+G361*$AE$16+H361*$AE$17+I361*$AE$18+J361*$AE$19+K361*$AE$20+L361*$AE$21+M361*$AE$22+N361*$AE$23+O361*$AE$24+P361*$AE$25+Q361*$AE$26+R361*$AE$27+S361*$AE$28+T361*$AE$29+U361*$AE$30</f>
        <v/>
      </c>
      <c r="W361" s="8">
        <f>1/(1+EXP(-V361))</f>
        <v/>
      </c>
      <c r="X361" s="9">
        <f>-IF(C361=1,LN(W361),LN(1-W361))</f>
        <v/>
      </c>
      <c r="Y361" s="8">
        <f>IF(C361=1,$AE$32,$AE$33)</f>
        <v/>
      </c>
      <c r="Z361" s="9">
        <f>Y361*X361</f>
        <v/>
      </c>
      <c r="AA361" s="10">
        <f>IF(W361&gt;$AE$34,1,0)</f>
        <v/>
      </c>
      <c r="AB361">
        <f>IF(AA361=C361,1,0)</f>
        <v/>
      </c>
    </row>
    <row r="362">
      <c r="A362">
        <f>'1 datos preparados'!A355</f>
        <v/>
      </c>
      <c r="B362" s="5">
        <f>'1 datos preparados'!U355</f>
        <v/>
      </c>
      <c r="C362">
        <f>'1 datos preparados'!B355</f>
        <v/>
      </c>
      <c r="D362" s="7">
        <f>'1 datos preparados'!C355</f>
        <v/>
      </c>
      <c r="E362" s="7">
        <f>'1 datos preparados'!D355</f>
        <v/>
      </c>
      <c r="F362" s="7">
        <f>'1 datos preparados'!E355</f>
        <v/>
      </c>
      <c r="G362" s="7">
        <f>'1 datos preparados'!F355</f>
        <v/>
      </c>
      <c r="H362" s="7">
        <f>'1 datos preparados'!G355</f>
        <v/>
      </c>
      <c r="I362" s="7">
        <f>'1 datos preparados'!H355</f>
        <v/>
      </c>
      <c r="J362" s="7">
        <f>'1 datos preparados'!I355</f>
        <v/>
      </c>
      <c r="K362" s="7">
        <f>'1 datos preparados'!J355</f>
        <v/>
      </c>
      <c r="L362" s="7">
        <f>'1 datos preparados'!K355</f>
        <v/>
      </c>
      <c r="M362" s="7">
        <f>'1 datos preparados'!L355</f>
        <v/>
      </c>
      <c r="N362" s="7">
        <f>'1 datos preparados'!M355</f>
        <v/>
      </c>
      <c r="O362" s="7">
        <f>'1 datos preparados'!N355</f>
        <v/>
      </c>
      <c r="P362" s="7">
        <f>'1 datos preparados'!O355</f>
        <v/>
      </c>
      <c r="Q362" s="7">
        <f>'1 datos preparados'!P355</f>
        <v/>
      </c>
      <c r="R362" s="7">
        <f>'1 datos preparados'!Q355</f>
        <v/>
      </c>
      <c r="S362" s="7">
        <f>'1 datos preparados'!R355</f>
        <v/>
      </c>
      <c r="T362" s="7">
        <f>'1 datos preparados'!S355</f>
        <v/>
      </c>
      <c r="U362" s="7">
        <f>'1 datos preparados'!T355</f>
        <v/>
      </c>
      <c r="V362" s="8">
        <f>$AE$12+D362*$AE$13+E362*$AE$14+F362*$AE$15+G362*$AE$16+H362*$AE$17+I362*$AE$18+J362*$AE$19+K362*$AE$20+L362*$AE$21+M362*$AE$22+N362*$AE$23+O362*$AE$24+P362*$AE$25+Q362*$AE$26+R362*$AE$27+S362*$AE$28+T362*$AE$29+U362*$AE$30</f>
        <v/>
      </c>
      <c r="W362" s="8">
        <f>1/(1+EXP(-V362))</f>
        <v/>
      </c>
      <c r="X362" s="9">
        <f>-IF(C362=1,LN(W362),LN(1-W362))</f>
        <v/>
      </c>
      <c r="Y362" s="8">
        <f>IF(C362=1,$AE$32,$AE$33)</f>
        <v/>
      </c>
      <c r="Z362" s="9">
        <f>Y362*X362</f>
        <v/>
      </c>
      <c r="AA362" s="10">
        <f>IF(W362&gt;$AE$34,1,0)</f>
        <v/>
      </c>
      <c r="AB362">
        <f>IF(AA362=C362,1,0)</f>
        <v/>
      </c>
    </row>
    <row r="363">
      <c r="A363">
        <f>'1 datos preparados'!A356</f>
        <v/>
      </c>
      <c r="B363" s="5">
        <f>'1 datos preparados'!U356</f>
        <v/>
      </c>
      <c r="C363">
        <f>'1 datos preparados'!B356</f>
        <v/>
      </c>
      <c r="D363" s="7">
        <f>'1 datos preparados'!C356</f>
        <v/>
      </c>
      <c r="E363" s="7">
        <f>'1 datos preparados'!D356</f>
        <v/>
      </c>
      <c r="F363" s="7">
        <f>'1 datos preparados'!E356</f>
        <v/>
      </c>
      <c r="G363" s="7">
        <f>'1 datos preparados'!F356</f>
        <v/>
      </c>
      <c r="H363" s="7">
        <f>'1 datos preparados'!G356</f>
        <v/>
      </c>
      <c r="I363" s="7">
        <f>'1 datos preparados'!H356</f>
        <v/>
      </c>
      <c r="J363" s="7">
        <f>'1 datos preparados'!I356</f>
        <v/>
      </c>
      <c r="K363" s="7">
        <f>'1 datos preparados'!J356</f>
        <v/>
      </c>
      <c r="L363" s="7">
        <f>'1 datos preparados'!K356</f>
        <v/>
      </c>
      <c r="M363" s="7">
        <f>'1 datos preparados'!L356</f>
        <v/>
      </c>
      <c r="N363" s="7">
        <f>'1 datos preparados'!M356</f>
        <v/>
      </c>
      <c r="O363" s="7">
        <f>'1 datos preparados'!N356</f>
        <v/>
      </c>
      <c r="P363" s="7">
        <f>'1 datos preparados'!O356</f>
        <v/>
      </c>
      <c r="Q363" s="7">
        <f>'1 datos preparados'!P356</f>
        <v/>
      </c>
      <c r="R363" s="7">
        <f>'1 datos preparados'!Q356</f>
        <v/>
      </c>
      <c r="S363" s="7">
        <f>'1 datos preparados'!R356</f>
        <v/>
      </c>
      <c r="T363" s="7">
        <f>'1 datos preparados'!S356</f>
        <v/>
      </c>
      <c r="U363" s="7">
        <f>'1 datos preparados'!T356</f>
        <v/>
      </c>
      <c r="V363" s="8">
        <f>$AE$12+D363*$AE$13+E363*$AE$14+F363*$AE$15+G363*$AE$16+H363*$AE$17+I363*$AE$18+J363*$AE$19+K363*$AE$20+L363*$AE$21+M363*$AE$22+N363*$AE$23+O363*$AE$24+P363*$AE$25+Q363*$AE$26+R363*$AE$27+S363*$AE$28+T363*$AE$29+U363*$AE$30</f>
        <v/>
      </c>
      <c r="W363" s="8">
        <f>1/(1+EXP(-V363))</f>
        <v/>
      </c>
      <c r="X363" s="9">
        <f>-IF(C363=1,LN(W363),LN(1-W363))</f>
        <v/>
      </c>
      <c r="Y363" s="8">
        <f>IF(C363=1,$AE$32,$AE$33)</f>
        <v/>
      </c>
      <c r="Z363" s="9">
        <f>Y363*X363</f>
        <v/>
      </c>
      <c r="AA363" s="10">
        <f>IF(W363&gt;$AE$34,1,0)</f>
        <v/>
      </c>
      <c r="AB363">
        <f>IF(AA363=C363,1,0)</f>
        <v/>
      </c>
    </row>
    <row r="364">
      <c r="A364">
        <f>'1 datos preparados'!A357</f>
        <v/>
      </c>
      <c r="B364" s="5">
        <f>'1 datos preparados'!U357</f>
        <v/>
      </c>
      <c r="C364">
        <f>'1 datos preparados'!B357</f>
        <v/>
      </c>
      <c r="D364" s="7">
        <f>'1 datos preparados'!C357</f>
        <v/>
      </c>
      <c r="E364" s="7">
        <f>'1 datos preparados'!D357</f>
        <v/>
      </c>
      <c r="F364" s="7">
        <f>'1 datos preparados'!E357</f>
        <v/>
      </c>
      <c r="G364" s="7">
        <f>'1 datos preparados'!F357</f>
        <v/>
      </c>
      <c r="H364" s="7">
        <f>'1 datos preparados'!G357</f>
        <v/>
      </c>
      <c r="I364" s="7">
        <f>'1 datos preparados'!H357</f>
        <v/>
      </c>
      <c r="J364" s="7">
        <f>'1 datos preparados'!I357</f>
        <v/>
      </c>
      <c r="K364" s="7">
        <f>'1 datos preparados'!J357</f>
        <v/>
      </c>
      <c r="L364" s="7">
        <f>'1 datos preparados'!K357</f>
        <v/>
      </c>
      <c r="M364" s="7">
        <f>'1 datos preparados'!L357</f>
        <v/>
      </c>
      <c r="N364" s="7">
        <f>'1 datos preparados'!M357</f>
        <v/>
      </c>
      <c r="O364" s="7">
        <f>'1 datos preparados'!N357</f>
        <v/>
      </c>
      <c r="P364" s="7">
        <f>'1 datos preparados'!O357</f>
        <v/>
      </c>
      <c r="Q364" s="7">
        <f>'1 datos preparados'!P357</f>
        <v/>
      </c>
      <c r="R364" s="7">
        <f>'1 datos preparados'!Q357</f>
        <v/>
      </c>
      <c r="S364" s="7">
        <f>'1 datos preparados'!R357</f>
        <v/>
      </c>
      <c r="T364" s="7">
        <f>'1 datos preparados'!S357</f>
        <v/>
      </c>
      <c r="U364" s="7">
        <f>'1 datos preparados'!T357</f>
        <v/>
      </c>
      <c r="V364" s="8">
        <f>$AE$12+D364*$AE$13+E364*$AE$14+F364*$AE$15+G364*$AE$16+H364*$AE$17+I364*$AE$18+J364*$AE$19+K364*$AE$20+L364*$AE$21+M364*$AE$22+N364*$AE$23+O364*$AE$24+P364*$AE$25+Q364*$AE$26+R364*$AE$27+S364*$AE$28+T364*$AE$29+U364*$AE$30</f>
        <v/>
      </c>
      <c r="W364" s="8">
        <f>1/(1+EXP(-V364))</f>
        <v/>
      </c>
      <c r="X364" s="9">
        <f>-IF(C364=1,LN(W364),LN(1-W364))</f>
        <v/>
      </c>
      <c r="Y364" s="8">
        <f>IF(C364=1,$AE$32,$AE$33)</f>
        <v/>
      </c>
      <c r="Z364" s="9">
        <f>Y364*X364</f>
        <v/>
      </c>
      <c r="AA364" s="10">
        <f>IF(W364&gt;$AE$34,1,0)</f>
        <v/>
      </c>
      <c r="AB364">
        <f>IF(AA364=C364,1,0)</f>
        <v/>
      </c>
    </row>
    <row r="365">
      <c r="A365">
        <f>'1 datos preparados'!A358</f>
        <v/>
      </c>
      <c r="B365" s="5">
        <f>'1 datos preparados'!U358</f>
        <v/>
      </c>
      <c r="C365">
        <f>'1 datos preparados'!B358</f>
        <v/>
      </c>
      <c r="D365" s="7">
        <f>'1 datos preparados'!C358</f>
        <v/>
      </c>
      <c r="E365" s="7">
        <f>'1 datos preparados'!D358</f>
        <v/>
      </c>
      <c r="F365" s="7">
        <f>'1 datos preparados'!E358</f>
        <v/>
      </c>
      <c r="G365" s="7">
        <f>'1 datos preparados'!F358</f>
        <v/>
      </c>
      <c r="H365" s="7">
        <f>'1 datos preparados'!G358</f>
        <v/>
      </c>
      <c r="I365" s="7">
        <f>'1 datos preparados'!H358</f>
        <v/>
      </c>
      <c r="J365" s="7">
        <f>'1 datos preparados'!I358</f>
        <v/>
      </c>
      <c r="K365" s="7">
        <f>'1 datos preparados'!J358</f>
        <v/>
      </c>
      <c r="L365" s="7">
        <f>'1 datos preparados'!K358</f>
        <v/>
      </c>
      <c r="M365" s="7">
        <f>'1 datos preparados'!L358</f>
        <v/>
      </c>
      <c r="N365" s="7">
        <f>'1 datos preparados'!M358</f>
        <v/>
      </c>
      <c r="O365" s="7">
        <f>'1 datos preparados'!N358</f>
        <v/>
      </c>
      <c r="P365" s="7">
        <f>'1 datos preparados'!O358</f>
        <v/>
      </c>
      <c r="Q365" s="7">
        <f>'1 datos preparados'!P358</f>
        <v/>
      </c>
      <c r="R365" s="7">
        <f>'1 datos preparados'!Q358</f>
        <v/>
      </c>
      <c r="S365" s="7">
        <f>'1 datos preparados'!R358</f>
        <v/>
      </c>
      <c r="T365" s="7">
        <f>'1 datos preparados'!S358</f>
        <v/>
      </c>
      <c r="U365" s="7">
        <f>'1 datos preparados'!T358</f>
        <v/>
      </c>
      <c r="V365" s="8">
        <f>$AE$12+D365*$AE$13+E365*$AE$14+F365*$AE$15+G365*$AE$16+H365*$AE$17+I365*$AE$18+J365*$AE$19+K365*$AE$20+L365*$AE$21+M365*$AE$22+N365*$AE$23+O365*$AE$24+P365*$AE$25+Q365*$AE$26+R365*$AE$27+S365*$AE$28+T365*$AE$29+U365*$AE$30</f>
        <v/>
      </c>
      <c r="W365" s="8">
        <f>1/(1+EXP(-V365))</f>
        <v/>
      </c>
      <c r="X365" s="9">
        <f>-IF(C365=1,LN(W365),LN(1-W365))</f>
        <v/>
      </c>
      <c r="Y365" s="8">
        <f>IF(C365=1,$AE$32,$AE$33)</f>
        <v/>
      </c>
      <c r="Z365" s="9">
        <f>Y365*X365</f>
        <v/>
      </c>
      <c r="AA365" s="10">
        <f>IF(W365&gt;$AE$34,1,0)</f>
        <v/>
      </c>
      <c r="AB365">
        <f>IF(AA365=C365,1,0)</f>
        <v/>
      </c>
    </row>
    <row r="366">
      <c r="A366">
        <f>'1 datos preparados'!A359</f>
        <v/>
      </c>
      <c r="B366" s="5">
        <f>'1 datos preparados'!U359</f>
        <v/>
      </c>
      <c r="C366">
        <f>'1 datos preparados'!B359</f>
        <v/>
      </c>
      <c r="D366" s="7">
        <f>'1 datos preparados'!C359</f>
        <v/>
      </c>
      <c r="E366" s="7">
        <f>'1 datos preparados'!D359</f>
        <v/>
      </c>
      <c r="F366" s="7">
        <f>'1 datos preparados'!E359</f>
        <v/>
      </c>
      <c r="G366" s="7">
        <f>'1 datos preparados'!F359</f>
        <v/>
      </c>
      <c r="H366" s="7">
        <f>'1 datos preparados'!G359</f>
        <v/>
      </c>
      <c r="I366" s="7">
        <f>'1 datos preparados'!H359</f>
        <v/>
      </c>
      <c r="J366" s="7">
        <f>'1 datos preparados'!I359</f>
        <v/>
      </c>
      <c r="K366" s="7">
        <f>'1 datos preparados'!J359</f>
        <v/>
      </c>
      <c r="L366" s="7">
        <f>'1 datos preparados'!K359</f>
        <v/>
      </c>
      <c r="M366" s="7">
        <f>'1 datos preparados'!L359</f>
        <v/>
      </c>
      <c r="N366" s="7">
        <f>'1 datos preparados'!M359</f>
        <v/>
      </c>
      <c r="O366" s="7">
        <f>'1 datos preparados'!N359</f>
        <v/>
      </c>
      <c r="P366" s="7">
        <f>'1 datos preparados'!O359</f>
        <v/>
      </c>
      <c r="Q366" s="7">
        <f>'1 datos preparados'!P359</f>
        <v/>
      </c>
      <c r="R366" s="7">
        <f>'1 datos preparados'!Q359</f>
        <v/>
      </c>
      <c r="S366" s="7">
        <f>'1 datos preparados'!R359</f>
        <v/>
      </c>
      <c r="T366" s="7">
        <f>'1 datos preparados'!S359</f>
        <v/>
      </c>
      <c r="U366" s="7">
        <f>'1 datos preparados'!T359</f>
        <v/>
      </c>
      <c r="V366" s="8">
        <f>$AE$12+D366*$AE$13+E366*$AE$14+F366*$AE$15+G366*$AE$16+H366*$AE$17+I366*$AE$18+J366*$AE$19+K366*$AE$20+L366*$AE$21+M366*$AE$22+N366*$AE$23+O366*$AE$24+P366*$AE$25+Q366*$AE$26+R366*$AE$27+S366*$AE$28+T366*$AE$29+U366*$AE$30</f>
        <v/>
      </c>
      <c r="W366" s="8">
        <f>1/(1+EXP(-V366))</f>
        <v/>
      </c>
      <c r="X366" s="9">
        <f>-IF(C366=1,LN(W366),LN(1-W366))</f>
        <v/>
      </c>
      <c r="Y366" s="8">
        <f>IF(C366=1,$AE$32,$AE$33)</f>
        <v/>
      </c>
      <c r="Z366" s="9">
        <f>Y366*X366</f>
        <v/>
      </c>
      <c r="AA366" s="10">
        <f>IF(W366&gt;$AE$34,1,0)</f>
        <v/>
      </c>
      <c r="AB366">
        <f>IF(AA366=C366,1,0)</f>
        <v/>
      </c>
    </row>
    <row r="367">
      <c r="A367">
        <f>'1 datos preparados'!A360</f>
        <v/>
      </c>
      <c r="B367" s="5">
        <f>'1 datos preparados'!U360</f>
        <v/>
      </c>
      <c r="C367">
        <f>'1 datos preparados'!B360</f>
        <v/>
      </c>
      <c r="D367" s="7">
        <f>'1 datos preparados'!C360</f>
        <v/>
      </c>
      <c r="E367" s="7">
        <f>'1 datos preparados'!D360</f>
        <v/>
      </c>
      <c r="F367" s="7">
        <f>'1 datos preparados'!E360</f>
        <v/>
      </c>
      <c r="G367" s="7">
        <f>'1 datos preparados'!F360</f>
        <v/>
      </c>
      <c r="H367" s="7">
        <f>'1 datos preparados'!G360</f>
        <v/>
      </c>
      <c r="I367" s="7">
        <f>'1 datos preparados'!H360</f>
        <v/>
      </c>
      <c r="J367" s="7">
        <f>'1 datos preparados'!I360</f>
        <v/>
      </c>
      <c r="K367" s="7">
        <f>'1 datos preparados'!J360</f>
        <v/>
      </c>
      <c r="L367" s="7">
        <f>'1 datos preparados'!K360</f>
        <v/>
      </c>
      <c r="M367" s="7">
        <f>'1 datos preparados'!L360</f>
        <v/>
      </c>
      <c r="N367" s="7">
        <f>'1 datos preparados'!M360</f>
        <v/>
      </c>
      <c r="O367" s="7">
        <f>'1 datos preparados'!N360</f>
        <v/>
      </c>
      <c r="P367" s="7">
        <f>'1 datos preparados'!O360</f>
        <v/>
      </c>
      <c r="Q367" s="7">
        <f>'1 datos preparados'!P360</f>
        <v/>
      </c>
      <c r="R367" s="7">
        <f>'1 datos preparados'!Q360</f>
        <v/>
      </c>
      <c r="S367" s="7">
        <f>'1 datos preparados'!R360</f>
        <v/>
      </c>
      <c r="T367" s="7">
        <f>'1 datos preparados'!S360</f>
        <v/>
      </c>
      <c r="U367" s="7">
        <f>'1 datos preparados'!T360</f>
        <v/>
      </c>
      <c r="V367" s="8">
        <f>$AE$12+D367*$AE$13+E367*$AE$14+F367*$AE$15+G367*$AE$16+H367*$AE$17+I367*$AE$18+J367*$AE$19+K367*$AE$20+L367*$AE$21+M367*$AE$22+N367*$AE$23+O367*$AE$24+P367*$AE$25+Q367*$AE$26+R367*$AE$27+S367*$AE$28+T367*$AE$29+U367*$AE$30</f>
        <v/>
      </c>
      <c r="W367" s="8">
        <f>1/(1+EXP(-V367))</f>
        <v/>
      </c>
      <c r="X367" s="9">
        <f>-IF(C367=1,LN(W367),LN(1-W367))</f>
        <v/>
      </c>
      <c r="Y367" s="8">
        <f>IF(C367=1,$AE$32,$AE$33)</f>
        <v/>
      </c>
      <c r="Z367" s="9">
        <f>Y367*X367</f>
        <v/>
      </c>
      <c r="AA367" s="10">
        <f>IF(W367&gt;$AE$34,1,0)</f>
        <v/>
      </c>
      <c r="AB367">
        <f>IF(AA367=C367,1,0)</f>
        <v/>
      </c>
    </row>
    <row r="368">
      <c r="A368">
        <f>'1 datos preparados'!A361</f>
        <v/>
      </c>
      <c r="B368" s="5">
        <f>'1 datos preparados'!U361</f>
        <v/>
      </c>
      <c r="C368">
        <f>'1 datos preparados'!B361</f>
        <v/>
      </c>
      <c r="D368" s="7">
        <f>'1 datos preparados'!C361</f>
        <v/>
      </c>
      <c r="E368" s="7">
        <f>'1 datos preparados'!D361</f>
        <v/>
      </c>
      <c r="F368" s="7">
        <f>'1 datos preparados'!E361</f>
        <v/>
      </c>
      <c r="G368" s="7">
        <f>'1 datos preparados'!F361</f>
        <v/>
      </c>
      <c r="H368" s="7">
        <f>'1 datos preparados'!G361</f>
        <v/>
      </c>
      <c r="I368" s="7">
        <f>'1 datos preparados'!H361</f>
        <v/>
      </c>
      <c r="J368" s="7">
        <f>'1 datos preparados'!I361</f>
        <v/>
      </c>
      <c r="K368" s="7">
        <f>'1 datos preparados'!J361</f>
        <v/>
      </c>
      <c r="L368" s="7">
        <f>'1 datos preparados'!K361</f>
        <v/>
      </c>
      <c r="M368" s="7">
        <f>'1 datos preparados'!L361</f>
        <v/>
      </c>
      <c r="N368" s="7">
        <f>'1 datos preparados'!M361</f>
        <v/>
      </c>
      <c r="O368" s="7">
        <f>'1 datos preparados'!N361</f>
        <v/>
      </c>
      <c r="P368" s="7">
        <f>'1 datos preparados'!O361</f>
        <v/>
      </c>
      <c r="Q368" s="7">
        <f>'1 datos preparados'!P361</f>
        <v/>
      </c>
      <c r="R368" s="7">
        <f>'1 datos preparados'!Q361</f>
        <v/>
      </c>
      <c r="S368" s="7">
        <f>'1 datos preparados'!R361</f>
        <v/>
      </c>
      <c r="T368" s="7">
        <f>'1 datos preparados'!S361</f>
        <v/>
      </c>
      <c r="U368" s="7">
        <f>'1 datos preparados'!T361</f>
        <v/>
      </c>
      <c r="V368" s="8">
        <f>$AE$12+D368*$AE$13+E368*$AE$14+F368*$AE$15+G368*$AE$16+H368*$AE$17+I368*$AE$18+J368*$AE$19+K368*$AE$20+L368*$AE$21+M368*$AE$22+N368*$AE$23+O368*$AE$24+P368*$AE$25+Q368*$AE$26+R368*$AE$27+S368*$AE$28+T368*$AE$29+U368*$AE$30</f>
        <v/>
      </c>
      <c r="W368" s="8">
        <f>1/(1+EXP(-V368))</f>
        <v/>
      </c>
      <c r="X368" s="9">
        <f>-IF(C368=1,LN(W368),LN(1-W368))</f>
        <v/>
      </c>
      <c r="Y368" s="8">
        <f>IF(C368=1,$AE$32,$AE$33)</f>
        <v/>
      </c>
      <c r="Z368" s="9">
        <f>Y368*X368</f>
        <v/>
      </c>
      <c r="AA368" s="10">
        <f>IF(W368&gt;$AE$34,1,0)</f>
        <v/>
      </c>
      <c r="AB368">
        <f>IF(AA368=C368,1,0)</f>
        <v/>
      </c>
    </row>
    <row r="369">
      <c r="A369">
        <f>'1 datos preparados'!A362</f>
        <v/>
      </c>
      <c r="B369" s="5">
        <f>'1 datos preparados'!U362</f>
        <v/>
      </c>
      <c r="C369">
        <f>'1 datos preparados'!B362</f>
        <v/>
      </c>
      <c r="D369" s="7">
        <f>'1 datos preparados'!C362</f>
        <v/>
      </c>
      <c r="E369" s="7">
        <f>'1 datos preparados'!D362</f>
        <v/>
      </c>
      <c r="F369" s="7">
        <f>'1 datos preparados'!E362</f>
        <v/>
      </c>
      <c r="G369" s="7">
        <f>'1 datos preparados'!F362</f>
        <v/>
      </c>
      <c r="H369" s="7">
        <f>'1 datos preparados'!G362</f>
        <v/>
      </c>
      <c r="I369" s="7">
        <f>'1 datos preparados'!H362</f>
        <v/>
      </c>
      <c r="J369" s="7">
        <f>'1 datos preparados'!I362</f>
        <v/>
      </c>
      <c r="K369" s="7">
        <f>'1 datos preparados'!J362</f>
        <v/>
      </c>
      <c r="L369" s="7">
        <f>'1 datos preparados'!K362</f>
        <v/>
      </c>
      <c r="M369" s="7">
        <f>'1 datos preparados'!L362</f>
        <v/>
      </c>
      <c r="N369" s="7">
        <f>'1 datos preparados'!M362</f>
        <v/>
      </c>
      <c r="O369" s="7">
        <f>'1 datos preparados'!N362</f>
        <v/>
      </c>
      <c r="P369" s="7">
        <f>'1 datos preparados'!O362</f>
        <v/>
      </c>
      <c r="Q369" s="7">
        <f>'1 datos preparados'!P362</f>
        <v/>
      </c>
      <c r="R369" s="7">
        <f>'1 datos preparados'!Q362</f>
        <v/>
      </c>
      <c r="S369" s="7">
        <f>'1 datos preparados'!R362</f>
        <v/>
      </c>
      <c r="T369" s="7">
        <f>'1 datos preparados'!S362</f>
        <v/>
      </c>
      <c r="U369" s="7">
        <f>'1 datos preparados'!T362</f>
        <v/>
      </c>
      <c r="V369" s="8">
        <f>$AE$12+D369*$AE$13+E369*$AE$14+F369*$AE$15+G369*$AE$16+H369*$AE$17+I369*$AE$18+J369*$AE$19+K369*$AE$20+L369*$AE$21+M369*$AE$22+N369*$AE$23+O369*$AE$24+P369*$AE$25+Q369*$AE$26+R369*$AE$27+S369*$AE$28+T369*$AE$29+U369*$AE$30</f>
        <v/>
      </c>
      <c r="W369" s="8">
        <f>1/(1+EXP(-V369))</f>
        <v/>
      </c>
      <c r="X369" s="9">
        <f>-IF(C369=1,LN(W369),LN(1-W369))</f>
        <v/>
      </c>
      <c r="Y369" s="8">
        <f>IF(C369=1,$AE$32,$AE$33)</f>
        <v/>
      </c>
      <c r="Z369" s="9">
        <f>Y369*X369</f>
        <v/>
      </c>
      <c r="AA369" s="10">
        <f>IF(W369&gt;$AE$34,1,0)</f>
        <v/>
      </c>
      <c r="AB369">
        <f>IF(AA369=C369,1,0)</f>
        <v/>
      </c>
    </row>
    <row r="370">
      <c r="A370">
        <f>'1 datos preparados'!A363</f>
        <v/>
      </c>
      <c r="B370" s="5">
        <f>'1 datos preparados'!U363</f>
        <v/>
      </c>
      <c r="C370">
        <f>'1 datos preparados'!B363</f>
        <v/>
      </c>
      <c r="D370" s="7">
        <f>'1 datos preparados'!C363</f>
        <v/>
      </c>
      <c r="E370" s="7">
        <f>'1 datos preparados'!D363</f>
        <v/>
      </c>
      <c r="F370" s="7">
        <f>'1 datos preparados'!E363</f>
        <v/>
      </c>
      <c r="G370" s="7">
        <f>'1 datos preparados'!F363</f>
        <v/>
      </c>
      <c r="H370" s="7">
        <f>'1 datos preparados'!G363</f>
        <v/>
      </c>
      <c r="I370" s="7">
        <f>'1 datos preparados'!H363</f>
        <v/>
      </c>
      <c r="J370" s="7">
        <f>'1 datos preparados'!I363</f>
        <v/>
      </c>
      <c r="K370" s="7">
        <f>'1 datos preparados'!J363</f>
        <v/>
      </c>
      <c r="L370" s="7">
        <f>'1 datos preparados'!K363</f>
        <v/>
      </c>
      <c r="M370" s="7">
        <f>'1 datos preparados'!L363</f>
        <v/>
      </c>
      <c r="N370" s="7">
        <f>'1 datos preparados'!M363</f>
        <v/>
      </c>
      <c r="O370" s="7">
        <f>'1 datos preparados'!N363</f>
        <v/>
      </c>
      <c r="P370" s="7">
        <f>'1 datos preparados'!O363</f>
        <v/>
      </c>
      <c r="Q370" s="7">
        <f>'1 datos preparados'!P363</f>
        <v/>
      </c>
      <c r="R370" s="7">
        <f>'1 datos preparados'!Q363</f>
        <v/>
      </c>
      <c r="S370" s="7">
        <f>'1 datos preparados'!R363</f>
        <v/>
      </c>
      <c r="T370" s="7">
        <f>'1 datos preparados'!S363</f>
        <v/>
      </c>
      <c r="U370" s="7">
        <f>'1 datos preparados'!T363</f>
        <v/>
      </c>
      <c r="V370" s="8">
        <f>$AE$12+D370*$AE$13+E370*$AE$14+F370*$AE$15+G370*$AE$16+H370*$AE$17+I370*$AE$18+J370*$AE$19+K370*$AE$20+L370*$AE$21+M370*$AE$22+N370*$AE$23+O370*$AE$24+P370*$AE$25+Q370*$AE$26+R370*$AE$27+S370*$AE$28+T370*$AE$29+U370*$AE$30</f>
        <v/>
      </c>
      <c r="W370" s="8">
        <f>1/(1+EXP(-V370))</f>
        <v/>
      </c>
      <c r="X370" s="9">
        <f>-IF(C370=1,LN(W370),LN(1-W370))</f>
        <v/>
      </c>
      <c r="Y370" s="8">
        <f>IF(C370=1,$AE$32,$AE$33)</f>
        <v/>
      </c>
      <c r="Z370" s="9">
        <f>Y370*X370</f>
        <v/>
      </c>
      <c r="AA370" s="10">
        <f>IF(W370&gt;$AE$34,1,0)</f>
        <v/>
      </c>
      <c r="AB370">
        <f>IF(AA370=C370,1,0)</f>
        <v/>
      </c>
    </row>
    <row r="371">
      <c r="A371">
        <f>'1 datos preparados'!A364</f>
        <v/>
      </c>
      <c r="B371" s="5">
        <f>'1 datos preparados'!U364</f>
        <v/>
      </c>
      <c r="C371">
        <f>'1 datos preparados'!B364</f>
        <v/>
      </c>
      <c r="D371" s="7">
        <f>'1 datos preparados'!C364</f>
        <v/>
      </c>
      <c r="E371" s="7">
        <f>'1 datos preparados'!D364</f>
        <v/>
      </c>
      <c r="F371" s="7">
        <f>'1 datos preparados'!E364</f>
        <v/>
      </c>
      <c r="G371" s="7">
        <f>'1 datos preparados'!F364</f>
        <v/>
      </c>
      <c r="H371" s="7">
        <f>'1 datos preparados'!G364</f>
        <v/>
      </c>
      <c r="I371" s="7">
        <f>'1 datos preparados'!H364</f>
        <v/>
      </c>
      <c r="J371" s="7">
        <f>'1 datos preparados'!I364</f>
        <v/>
      </c>
      <c r="K371" s="7">
        <f>'1 datos preparados'!J364</f>
        <v/>
      </c>
      <c r="L371" s="7">
        <f>'1 datos preparados'!K364</f>
        <v/>
      </c>
      <c r="M371" s="7">
        <f>'1 datos preparados'!L364</f>
        <v/>
      </c>
      <c r="N371" s="7">
        <f>'1 datos preparados'!M364</f>
        <v/>
      </c>
      <c r="O371" s="7">
        <f>'1 datos preparados'!N364</f>
        <v/>
      </c>
      <c r="P371" s="7">
        <f>'1 datos preparados'!O364</f>
        <v/>
      </c>
      <c r="Q371" s="7">
        <f>'1 datos preparados'!P364</f>
        <v/>
      </c>
      <c r="R371" s="7">
        <f>'1 datos preparados'!Q364</f>
        <v/>
      </c>
      <c r="S371" s="7">
        <f>'1 datos preparados'!R364</f>
        <v/>
      </c>
      <c r="T371" s="7">
        <f>'1 datos preparados'!S364</f>
        <v/>
      </c>
      <c r="U371" s="7">
        <f>'1 datos preparados'!T364</f>
        <v/>
      </c>
      <c r="V371" s="8">
        <f>$AE$12+D371*$AE$13+E371*$AE$14+F371*$AE$15+G371*$AE$16+H371*$AE$17+I371*$AE$18+J371*$AE$19+K371*$AE$20+L371*$AE$21+M371*$AE$22+N371*$AE$23+O371*$AE$24+P371*$AE$25+Q371*$AE$26+R371*$AE$27+S371*$AE$28+T371*$AE$29+U371*$AE$30</f>
        <v/>
      </c>
      <c r="W371" s="8">
        <f>1/(1+EXP(-V371))</f>
        <v/>
      </c>
      <c r="X371" s="9">
        <f>-IF(C371=1,LN(W371),LN(1-W371))</f>
        <v/>
      </c>
      <c r="Y371" s="8">
        <f>IF(C371=1,$AE$32,$AE$33)</f>
        <v/>
      </c>
      <c r="Z371" s="9">
        <f>Y371*X371</f>
        <v/>
      </c>
      <c r="AA371" s="10">
        <f>IF(W371&gt;$AE$34,1,0)</f>
        <v/>
      </c>
      <c r="AB371">
        <f>IF(AA371=C371,1,0)</f>
        <v/>
      </c>
    </row>
    <row r="372">
      <c r="A372">
        <f>'1 datos preparados'!A365</f>
        <v/>
      </c>
      <c r="B372" s="5">
        <f>'1 datos preparados'!U365</f>
        <v/>
      </c>
      <c r="C372">
        <f>'1 datos preparados'!B365</f>
        <v/>
      </c>
      <c r="D372" s="7">
        <f>'1 datos preparados'!C365</f>
        <v/>
      </c>
      <c r="E372" s="7">
        <f>'1 datos preparados'!D365</f>
        <v/>
      </c>
      <c r="F372" s="7">
        <f>'1 datos preparados'!E365</f>
        <v/>
      </c>
      <c r="G372" s="7">
        <f>'1 datos preparados'!F365</f>
        <v/>
      </c>
      <c r="H372" s="7">
        <f>'1 datos preparados'!G365</f>
        <v/>
      </c>
      <c r="I372" s="7">
        <f>'1 datos preparados'!H365</f>
        <v/>
      </c>
      <c r="J372" s="7">
        <f>'1 datos preparados'!I365</f>
        <v/>
      </c>
      <c r="K372" s="7">
        <f>'1 datos preparados'!J365</f>
        <v/>
      </c>
      <c r="L372" s="7">
        <f>'1 datos preparados'!K365</f>
        <v/>
      </c>
      <c r="M372" s="7">
        <f>'1 datos preparados'!L365</f>
        <v/>
      </c>
      <c r="N372" s="7">
        <f>'1 datos preparados'!M365</f>
        <v/>
      </c>
      <c r="O372" s="7">
        <f>'1 datos preparados'!N365</f>
        <v/>
      </c>
      <c r="P372" s="7">
        <f>'1 datos preparados'!O365</f>
        <v/>
      </c>
      <c r="Q372" s="7">
        <f>'1 datos preparados'!P365</f>
        <v/>
      </c>
      <c r="R372" s="7">
        <f>'1 datos preparados'!Q365</f>
        <v/>
      </c>
      <c r="S372" s="7">
        <f>'1 datos preparados'!R365</f>
        <v/>
      </c>
      <c r="T372" s="7">
        <f>'1 datos preparados'!S365</f>
        <v/>
      </c>
      <c r="U372" s="7">
        <f>'1 datos preparados'!T365</f>
        <v/>
      </c>
      <c r="V372" s="8">
        <f>$AE$12+D372*$AE$13+E372*$AE$14+F372*$AE$15+G372*$AE$16+H372*$AE$17+I372*$AE$18+J372*$AE$19+K372*$AE$20+L372*$AE$21+M372*$AE$22+N372*$AE$23+O372*$AE$24+P372*$AE$25+Q372*$AE$26+R372*$AE$27+S372*$AE$28+T372*$AE$29+U372*$AE$30</f>
        <v/>
      </c>
      <c r="W372" s="8">
        <f>1/(1+EXP(-V372))</f>
        <v/>
      </c>
      <c r="X372" s="9">
        <f>-IF(C372=1,LN(W372),LN(1-W372))</f>
        <v/>
      </c>
      <c r="Y372" s="8">
        <f>IF(C372=1,$AE$32,$AE$33)</f>
        <v/>
      </c>
      <c r="Z372" s="9">
        <f>Y372*X372</f>
        <v/>
      </c>
      <c r="AA372" s="10">
        <f>IF(W372&gt;$AE$34,1,0)</f>
        <v/>
      </c>
      <c r="AB372">
        <f>IF(AA372=C372,1,0)</f>
        <v/>
      </c>
    </row>
    <row r="373">
      <c r="A373">
        <f>'1 datos preparados'!A366</f>
        <v/>
      </c>
      <c r="B373" s="5">
        <f>'1 datos preparados'!U366</f>
        <v/>
      </c>
      <c r="C373">
        <f>'1 datos preparados'!B366</f>
        <v/>
      </c>
      <c r="D373" s="7">
        <f>'1 datos preparados'!C366</f>
        <v/>
      </c>
      <c r="E373" s="7">
        <f>'1 datos preparados'!D366</f>
        <v/>
      </c>
      <c r="F373" s="7">
        <f>'1 datos preparados'!E366</f>
        <v/>
      </c>
      <c r="G373" s="7">
        <f>'1 datos preparados'!F366</f>
        <v/>
      </c>
      <c r="H373" s="7">
        <f>'1 datos preparados'!G366</f>
        <v/>
      </c>
      <c r="I373" s="7">
        <f>'1 datos preparados'!H366</f>
        <v/>
      </c>
      <c r="J373" s="7">
        <f>'1 datos preparados'!I366</f>
        <v/>
      </c>
      <c r="K373" s="7">
        <f>'1 datos preparados'!J366</f>
        <v/>
      </c>
      <c r="L373" s="7">
        <f>'1 datos preparados'!K366</f>
        <v/>
      </c>
      <c r="M373" s="7">
        <f>'1 datos preparados'!L366</f>
        <v/>
      </c>
      <c r="N373" s="7">
        <f>'1 datos preparados'!M366</f>
        <v/>
      </c>
      <c r="O373" s="7">
        <f>'1 datos preparados'!N366</f>
        <v/>
      </c>
      <c r="P373" s="7">
        <f>'1 datos preparados'!O366</f>
        <v/>
      </c>
      <c r="Q373" s="7">
        <f>'1 datos preparados'!P366</f>
        <v/>
      </c>
      <c r="R373" s="7">
        <f>'1 datos preparados'!Q366</f>
        <v/>
      </c>
      <c r="S373" s="7">
        <f>'1 datos preparados'!R366</f>
        <v/>
      </c>
      <c r="T373" s="7">
        <f>'1 datos preparados'!S366</f>
        <v/>
      </c>
      <c r="U373" s="7">
        <f>'1 datos preparados'!T366</f>
        <v/>
      </c>
      <c r="V373" s="8">
        <f>$AE$12+D373*$AE$13+E373*$AE$14+F373*$AE$15+G373*$AE$16+H373*$AE$17+I373*$AE$18+J373*$AE$19+K373*$AE$20+L373*$AE$21+M373*$AE$22+N373*$AE$23+O373*$AE$24+P373*$AE$25+Q373*$AE$26+R373*$AE$27+S373*$AE$28+T373*$AE$29+U373*$AE$30</f>
        <v/>
      </c>
      <c r="W373" s="8">
        <f>1/(1+EXP(-V373))</f>
        <v/>
      </c>
      <c r="X373" s="9">
        <f>-IF(C373=1,LN(W373),LN(1-W373))</f>
        <v/>
      </c>
      <c r="Y373" s="8">
        <f>IF(C373=1,$AE$32,$AE$33)</f>
        <v/>
      </c>
      <c r="Z373" s="9">
        <f>Y373*X373</f>
        <v/>
      </c>
      <c r="AA373" s="10">
        <f>IF(W373&gt;$AE$34,1,0)</f>
        <v/>
      </c>
      <c r="AB373">
        <f>IF(AA373=C373,1,0)</f>
        <v/>
      </c>
    </row>
    <row r="374">
      <c r="A374">
        <f>'1 datos preparados'!A367</f>
        <v/>
      </c>
      <c r="B374" s="5">
        <f>'1 datos preparados'!U367</f>
        <v/>
      </c>
      <c r="C374">
        <f>'1 datos preparados'!B367</f>
        <v/>
      </c>
      <c r="D374" s="7">
        <f>'1 datos preparados'!C367</f>
        <v/>
      </c>
      <c r="E374" s="7">
        <f>'1 datos preparados'!D367</f>
        <v/>
      </c>
      <c r="F374" s="7">
        <f>'1 datos preparados'!E367</f>
        <v/>
      </c>
      <c r="G374" s="7">
        <f>'1 datos preparados'!F367</f>
        <v/>
      </c>
      <c r="H374" s="7">
        <f>'1 datos preparados'!G367</f>
        <v/>
      </c>
      <c r="I374" s="7">
        <f>'1 datos preparados'!H367</f>
        <v/>
      </c>
      <c r="J374" s="7">
        <f>'1 datos preparados'!I367</f>
        <v/>
      </c>
      <c r="K374" s="7">
        <f>'1 datos preparados'!J367</f>
        <v/>
      </c>
      <c r="L374" s="7">
        <f>'1 datos preparados'!K367</f>
        <v/>
      </c>
      <c r="M374" s="7">
        <f>'1 datos preparados'!L367</f>
        <v/>
      </c>
      <c r="N374" s="7">
        <f>'1 datos preparados'!M367</f>
        <v/>
      </c>
      <c r="O374" s="7">
        <f>'1 datos preparados'!N367</f>
        <v/>
      </c>
      <c r="P374" s="7">
        <f>'1 datos preparados'!O367</f>
        <v/>
      </c>
      <c r="Q374" s="7">
        <f>'1 datos preparados'!P367</f>
        <v/>
      </c>
      <c r="R374" s="7">
        <f>'1 datos preparados'!Q367</f>
        <v/>
      </c>
      <c r="S374" s="7">
        <f>'1 datos preparados'!R367</f>
        <v/>
      </c>
      <c r="T374" s="7">
        <f>'1 datos preparados'!S367</f>
        <v/>
      </c>
      <c r="U374" s="7">
        <f>'1 datos preparados'!T367</f>
        <v/>
      </c>
      <c r="V374" s="8">
        <f>$AE$12+D374*$AE$13+E374*$AE$14+F374*$AE$15+G374*$AE$16+H374*$AE$17+I374*$AE$18+J374*$AE$19+K374*$AE$20+L374*$AE$21+M374*$AE$22+N374*$AE$23+O374*$AE$24+P374*$AE$25+Q374*$AE$26+R374*$AE$27+S374*$AE$28+T374*$AE$29+U374*$AE$30</f>
        <v/>
      </c>
      <c r="W374" s="8">
        <f>1/(1+EXP(-V374))</f>
        <v/>
      </c>
      <c r="X374" s="9">
        <f>-IF(C374=1,LN(W374),LN(1-W374))</f>
        <v/>
      </c>
      <c r="Y374" s="8">
        <f>IF(C374=1,$AE$32,$AE$33)</f>
        <v/>
      </c>
      <c r="Z374" s="9">
        <f>Y374*X374</f>
        <v/>
      </c>
      <c r="AA374" s="10">
        <f>IF(W374&gt;$AE$34,1,0)</f>
        <v/>
      </c>
      <c r="AB374">
        <f>IF(AA374=C374,1,0)</f>
        <v/>
      </c>
    </row>
    <row r="375">
      <c r="A375">
        <f>'1 datos preparados'!A368</f>
        <v/>
      </c>
      <c r="B375" s="5">
        <f>'1 datos preparados'!U368</f>
        <v/>
      </c>
      <c r="C375">
        <f>'1 datos preparados'!B368</f>
        <v/>
      </c>
      <c r="D375" s="7">
        <f>'1 datos preparados'!C368</f>
        <v/>
      </c>
      <c r="E375" s="7">
        <f>'1 datos preparados'!D368</f>
        <v/>
      </c>
      <c r="F375" s="7">
        <f>'1 datos preparados'!E368</f>
        <v/>
      </c>
      <c r="G375" s="7">
        <f>'1 datos preparados'!F368</f>
        <v/>
      </c>
      <c r="H375" s="7">
        <f>'1 datos preparados'!G368</f>
        <v/>
      </c>
      <c r="I375" s="7">
        <f>'1 datos preparados'!H368</f>
        <v/>
      </c>
      <c r="J375" s="7">
        <f>'1 datos preparados'!I368</f>
        <v/>
      </c>
      <c r="K375" s="7">
        <f>'1 datos preparados'!J368</f>
        <v/>
      </c>
      <c r="L375" s="7">
        <f>'1 datos preparados'!K368</f>
        <v/>
      </c>
      <c r="M375" s="7">
        <f>'1 datos preparados'!L368</f>
        <v/>
      </c>
      <c r="N375" s="7">
        <f>'1 datos preparados'!M368</f>
        <v/>
      </c>
      <c r="O375" s="7">
        <f>'1 datos preparados'!N368</f>
        <v/>
      </c>
      <c r="P375" s="7">
        <f>'1 datos preparados'!O368</f>
        <v/>
      </c>
      <c r="Q375" s="7">
        <f>'1 datos preparados'!P368</f>
        <v/>
      </c>
      <c r="R375" s="7">
        <f>'1 datos preparados'!Q368</f>
        <v/>
      </c>
      <c r="S375" s="7">
        <f>'1 datos preparados'!R368</f>
        <v/>
      </c>
      <c r="T375" s="7">
        <f>'1 datos preparados'!S368</f>
        <v/>
      </c>
      <c r="U375" s="7">
        <f>'1 datos preparados'!T368</f>
        <v/>
      </c>
      <c r="V375" s="8">
        <f>$AE$12+D375*$AE$13+E375*$AE$14+F375*$AE$15+G375*$AE$16+H375*$AE$17+I375*$AE$18+J375*$AE$19+K375*$AE$20+L375*$AE$21+M375*$AE$22+N375*$AE$23+O375*$AE$24+P375*$AE$25+Q375*$AE$26+R375*$AE$27+S375*$AE$28+T375*$AE$29+U375*$AE$30</f>
        <v/>
      </c>
      <c r="W375" s="8">
        <f>1/(1+EXP(-V375))</f>
        <v/>
      </c>
      <c r="X375" s="9">
        <f>-IF(C375=1,LN(W375),LN(1-W375))</f>
        <v/>
      </c>
      <c r="Y375" s="8">
        <f>IF(C375=1,$AE$32,$AE$33)</f>
        <v/>
      </c>
      <c r="Z375" s="9">
        <f>Y375*X375</f>
        <v/>
      </c>
      <c r="AA375" s="10">
        <f>IF(W375&gt;$AE$34,1,0)</f>
        <v/>
      </c>
      <c r="AB375">
        <f>IF(AA375=C375,1,0)</f>
        <v/>
      </c>
    </row>
    <row r="376">
      <c r="A376">
        <f>'1 datos preparados'!A369</f>
        <v/>
      </c>
      <c r="B376" s="5">
        <f>'1 datos preparados'!U369</f>
        <v/>
      </c>
      <c r="C376">
        <f>'1 datos preparados'!B369</f>
        <v/>
      </c>
      <c r="D376" s="7">
        <f>'1 datos preparados'!C369</f>
        <v/>
      </c>
      <c r="E376" s="7">
        <f>'1 datos preparados'!D369</f>
        <v/>
      </c>
      <c r="F376" s="7">
        <f>'1 datos preparados'!E369</f>
        <v/>
      </c>
      <c r="G376" s="7">
        <f>'1 datos preparados'!F369</f>
        <v/>
      </c>
      <c r="H376" s="7">
        <f>'1 datos preparados'!G369</f>
        <v/>
      </c>
      <c r="I376" s="7">
        <f>'1 datos preparados'!H369</f>
        <v/>
      </c>
      <c r="J376" s="7">
        <f>'1 datos preparados'!I369</f>
        <v/>
      </c>
      <c r="K376" s="7">
        <f>'1 datos preparados'!J369</f>
        <v/>
      </c>
      <c r="L376" s="7">
        <f>'1 datos preparados'!K369</f>
        <v/>
      </c>
      <c r="M376" s="7">
        <f>'1 datos preparados'!L369</f>
        <v/>
      </c>
      <c r="N376" s="7">
        <f>'1 datos preparados'!M369</f>
        <v/>
      </c>
      <c r="O376" s="7">
        <f>'1 datos preparados'!N369</f>
        <v/>
      </c>
      <c r="P376" s="7">
        <f>'1 datos preparados'!O369</f>
        <v/>
      </c>
      <c r="Q376" s="7">
        <f>'1 datos preparados'!P369</f>
        <v/>
      </c>
      <c r="R376" s="7">
        <f>'1 datos preparados'!Q369</f>
        <v/>
      </c>
      <c r="S376" s="7">
        <f>'1 datos preparados'!R369</f>
        <v/>
      </c>
      <c r="T376" s="7">
        <f>'1 datos preparados'!S369</f>
        <v/>
      </c>
      <c r="U376" s="7">
        <f>'1 datos preparados'!T369</f>
        <v/>
      </c>
      <c r="V376" s="8">
        <f>$AE$12+D376*$AE$13+E376*$AE$14+F376*$AE$15+G376*$AE$16+H376*$AE$17+I376*$AE$18+J376*$AE$19+K376*$AE$20+L376*$AE$21+M376*$AE$22+N376*$AE$23+O376*$AE$24+P376*$AE$25+Q376*$AE$26+R376*$AE$27+S376*$AE$28+T376*$AE$29+U376*$AE$30</f>
        <v/>
      </c>
      <c r="W376" s="8">
        <f>1/(1+EXP(-V376))</f>
        <v/>
      </c>
      <c r="X376" s="9">
        <f>-IF(C376=1,LN(W376),LN(1-W376))</f>
        <v/>
      </c>
      <c r="Y376" s="8">
        <f>IF(C376=1,$AE$32,$AE$33)</f>
        <v/>
      </c>
      <c r="Z376" s="9">
        <f>Y376*X376</f>
        <v/>
      </c>
      <c r="AA376" s="10">
        <f>IF(W376&gt;$AE$34,1,0)</f>
        <v/>
      </c>
      <c r="AB376">
        <f>IF(AA376=C376,1,0)</f>
        <v/>
      </c>
    </row>
    <row r="377">
      <c r="A377">
        <f>'1 datos preparados'!A370</f>
        <v/>
      </c>
      <c r="B377" s="5">
        <f>'1 datos preparados'!U370</f>
        <v/>
      </c>
      <c r="C377">
        <f>'1 datos preparados'!B370</f>
        <v/>
      </c>
      <c r="D377" s="7">
        <f>'1 datos preparados'!C370</f>
        <v/>
      </c>
      <c r="E377" s="7">
        <f>'1 datos preparados'!D370</f>
        <v/>
      </c>
      <c r="F377" s="7">
        <f>'1 datos preparados'!E370</f>
        <v/>
      </c>
      <c r="G377" s="7">
        <f>'1 datos preparados'!F370</f>
        <v/>
      </c>
      <c r="H377" s="7">
        <f>'1 datos preparados'!G370</f>
        <v/>
      </c>
      <c r="I377" s="7">
        <f>'1 datos preparados'!H370</f>
        <v/>
      </c>
      <c r="J377" s="7">
        <f>'1 datos preparados'!I370</f>
        <v/>
      </c>
      <c r="K377" s="7">
        <f>'1 datos preparados'!J370</f>
        <v/>
      </c>
      <c r="L377" s="7">
        <f>'1 datos preparados'!K370</f>
        <v/>
      </c>
      <c r="M377" s="7">
        <f>'1 datos preparados'!L370</f>
        <v/>
      </c>
      <c r="N377" s="7">
        <f>'1 datos preparados'!M370</f>
        <v/>
      </c>
      <c r="O377" s="7">
        <f>'1 datos preparados'!N370</f>
        <v/>
      </c>
      <c r="P377" s="7">
        <f>'1 datos preparados'!O370</f>
        <v/>
      </c>
      <c r="Q377" s="7">
        <f>'1 datos preparados'!P370</f>
        <v/>
      </c>
      <c r="R377" s="7">
        <f>'1 datos preparados'!Q370</f>
        <v/>
      </c>
      <c r="S377" s="7">
        <f>'1 datos preparados'!R370</f>
        <v/>
      </c>
      <c r="T377" s="7">
        <f>'1 datos preparados'!S370</f>
        <v/>
      </c>
      <c r="U377" s="7">
        <f>'1 datos preparados'!T370</f>
        <v/>
      </c>
      <c r="V377" s="8">
        <f>$AE$12+D377*$AE$13+E377*$AE$14+F377*$AE$15+G377*$AE$16+H377*$AE$17+I377*$AE$18+J377*$AE$19+K377*$AE$20+L377*$AE$21+M377*$AE$22+N377*$AE$23+O377*$AE$24+P377*$AE$25+Q377*$AE$26+R377*$AE$27+S377*$AE$28+T377*$AE$29+U377*$AE$30</f>
        <v/>
      </c>
      <c r="W377" s="8">
        <f>1/(1+EXP(-V377))</f>
        <v/>
      </c>
      <c r="X377" s="9">
        <f>-IF(C377=1,LN(W377),LN(1-W377))</f>
        <v/>
      </c>
      <c r="Y377" s="8">
        <f>IF(C377=1,$AE$32,$AE$33)</f>
        <v/>
      </c>
      <c r="Z377" s="9">
        <f>Y377*X377</f>
        <v/>
      </c>
      <c r="AA377" s="10">
        <f>IF(W377&gt;$AE$34,1,0)</f>
        <v/>
      </c>
      <c r="AB377">
        <f>IF(AA377=C377,1,0)</f>
        <v/>
      </c>
    </row>
    <row r="378">
      <c r="A378">
        <f>'1 datos preparados'!A371</f>
        <v/>
      </c>
      <c r="B378" s="5">
        <f>'1 datos preparados'!U371</f>
        <v/>
      </c>
      <c r="C378">
        <f>'1 datos preparados'!B371</f>
        <v/>
      </c>
      <c r="D378" s="7">
        <f>'1 datos preparados'!C371</f>
        <v/>
      </c>
      <c r="E378" s="7">
        <f>'1 datos preparados'!D371</f>
        <v/>
      </c>
      <c r="F378" s="7">
        <f>'1 datos preparados'!E371</f>
        <v/>
      </c>
      <c r="G378" s="7">
        <f>'1 datos preparados'!F371</f>
        <v/>
      </c>
      <c r="H378" s="7">
        <f>'1 datos preparados'!G371</f>
        <v/>
      </c>
      <c r="I378" s="7">
        <f>'1 datos preparados'!H371</f>
        <v/>
      </c>
      <c r="J378" s="7">
        <f>'1 datos preparados'!I371</f>
        <v/>
      </c>
      <c r="K378" s="7">
        <f>'1 datos preparados'!J371</f>
        <v/>
      </c>
      <c r="L378" s="7">
        <f>'1 datos preparados'!K371</f>
        <v/>
      </c>
      <c r="M378" s="7">
        <f>'1 datos preparados'!L371</f>
        <v/>
      </c>
      <c r="N378" s="7">
        <f>'1 datos preparados'!M371</f>
        <v/>
      </c>
      <c r="O378" s="7">
        <f>'1 datos preparados'!N371</f>
        <v/>
      </c>
      <c r="P378" s="7">
        <f>'1 datos preparados'!O371</f>
        <v/>
      </c>
      <c r="Q378" s="7">
        <f>'1 datos preparados'!P371</f>
        <v/>
      </c>
      <c r="R378" s="7">
        <f>'1 datos preparados'!Q371</f>
        <v/>
      </c>
      <c r="S378" s="7">
        <f>'1 datos preparados'!R371</f>
        <v/>
      </c>
      <c r="T378" s="7">
        <f>'1 datos preparados'!S371</f>
        <v/>
      </c>
      <c r="U378" s="7">
        <f>'1 datos preparados'!T371</f>
        <v/>
      </c>
      <c r="V378" s="8">
        <f>$AE$12+D378*$AE$13+E378*$AE$14+F378*$AE$15+G378*$AE$16+H378*$AE$17+I378*$AE$18+J378*$AE$19+K378*$AE$20+L378*$AE$21+M378*$AE$22+N378*$AE$23+O378*$AE$24+P378*$AE$25+Q378*$AE$26+R378*$AE$27+S378*$AE$28+T378*$AE$29+U378*$AE$30</f>
        <v/>
      </c>
      <c r="W378" s="8">
        <f>1/(1+EXP(-V378))</f>
        <v/>
      </c>
      <c r="X378" s="9">
        <f>-IF(C378=1,LN(W378),LN(1-W378))</f>
        <v/>
      </c>
      <c r="Y378" s="8">
        <f>IF(C378=1,$AE$32,$AE$33)</f>
        <v/>
      </c>
      <c r="Z378" s="9">
        <f>Y378*X378</f>
        <v/>
      </c>
      <c r="AA378" s="10">
        <f>IF(W378&gt;$AE$34,1,0)</f>
        <v/>
      </c>
      <c r="AB378">
        <f>IF(AA378=C378,1,0)</f>
        <v/>
      </c>
    </row>
    <row r="379">
      <c r="A379">
        <f>'1 datos preparados'!A372</f>
        <v/>
      </c>
      <c r="B379" s="5">
        <f>'1 datos preparados'!U372</f>
        <v/>
      </c>
      <c r="C379">
        <f>'1 datos preparados'!B372</f>
        <v/>
      </c>
      <c r="D379" s="7">
        <f>'1 datos preparados'!C372</f>
        <v/>
      </c>
      <c r="E379" s="7">
        <f>'1 datos preparados'!D372</f>
        <v/>
      </c>
      <c r="F379" s="7">
        <f>'1 datos preparados'!E372</f>
        <v/>
      </c>
      <c r="G379" s="7">
        <f>'1 datos preparados'!F372</f>
        <v/>
      </c>
      <c r="H379" s="7">
        <f>'1 datos preparados'!G372</f>
        <v/>
      </c>
      <c r="I379" s="7">
        <f>'1 datos preparados'!H372</f>
        <v/>
      </c>
      <c r="J379" s="7">
        <f>'1 datos preparados'!I372</f>
        <v/>
      </c>
      <c r="K379" s="7">
        <f>'1 datos preparados'!J372</f>
        <v/>
      </c>
      <c r="L379" s="7">
        <f>'1 datos preparados'!K372</f>
        <v/>
      </c>
      <c r="M379" s="7">
        <f>'1 datos preparados'!L372</f>
        <v/>
      </c>
      <c r="N379" s="7">
        <f>'1 datos preparados'!M372</f>
        <v/>
      </c>
      <c r="O379" s="7">
        <f>'1 datos preparados'!N372</f>
        <v/>
      </c>
      <c r="P379" s="7">
        <f>'1 datos preparados'!O372</f>
        <v/>
      </c>
      <c r="Q379" s="7">
        <f>'1 datos preparados'!P372</f>
        <v/>
      </c>
      <c r="R379" s="7">
        <f>'1 datos preparados'!Q372</f>
        <v/>
      </c>
      <c r="S379" s="7">
        <f>'1 datos preparados'!R372</f>
        <v/>
      </c>
      <c r="T379" s="7">
        <f>'1 datos preparados'!S372</f>
        <v/>
      </c>
      <c r="U379" s="7">
        <f>'1 datos preparados'!T372</f>
        <v/>
      </c>
      <c r="V379" s="8">
        <f>$AE$12+D379*$AE$13+E379*$AE$14+F379*$AE$15+G379*$AE$16+H379*$AE$17+I379*$AE$18+J379*$AE$19+K379*$AE$20+L379*$AE$21+M379*$AE$22+N379*$AE$23+O379*$AE$24+P379*$AE$25+Q379*$AE$26+R379*$AE$27+S379*$AE$28+T379*$AE$29+U379*$AE$30</f>
        <v/>
      </c>
      <c r="W379" s="8">
        <f>1/(1+EXP(-V379))</f>
        <v/>
      </c>
      <c r="X379" s="9">
        <f>-IF(C379=1,LN(W379),LN(1-W379))</f>
        <v/>
      </c>
      <c r="Y379" s="8">
        <f>IF(C379=1,$AE$32,$AE$33)</f>
        <v/>
      </c>
      <c r="Z379" s="9">
        <f>Y379*X379</f>
        <v/>
      </c>
      <c r="AA379" s="10">
        <f>IF(W379&gt;$AE$34,1,0)</f>
        <v/>
      </c>
      <c r="AB379">
        <f>IF(AA379=C379,1,0)</f>
        <v/>
      </c>
    </row>
    <row r="380">
      <c r="A380">
        <f>'1 datos preparados'!A373</f>
        <v/>
      </c>
      <c r="B380" s="5">
        <f>'1 datos preparados'!U373</f>
        <v/>
      </c>
      <c r="C380">
        <f>'1 datos preparados'!B373</f>
        <v/>
      </c>
      <c r="D380" s="7">
        <f>'1 datos preparados'!C373</f>
        <v/>
      </c>
      <c r="E380" s="7">
        <f>'1 datos preparados'!D373</f>
        <v/>
      </c>
      <c r="F380" s="7">
        <f>'1 datos preparados'!E373</f>
        <v/>
      </c>
      <c r="G380" s="7">
        <f>'1 datos preparados'!F373</f>
        <v/>
      </c>
      <c r="H380" s="7">
        <f>'1 datos preparados'!G373</f>
        <v/>
      </c>
      <c r="I380" s="7">
        <f>'1 datos preparados'!H373</f>
        <v/>
      </c>
      <c r="J380" s="7">
        <f>'1 datos preparados'!I373</f>
        <v/>
      </c>
      <c r="K380" s="7">
        <f>'1 datos preparados'!J373</f>
        <v/>
      </c>
      <c r="L380" s="7">
        <f>'1 datos preparados'!K373</f>
        <v/>
      </c>
      <c r="M380" s="7">
        <f>'1 datos preparados'!L373</f>
        <v/>
      </c>
      <c r="N380" s="7">
        <f>'1 datos preparados'!M373</f>
        <v/>
      </c>
      <c r="O380" s="7">
        <f>'1 datos preparados'!N373</f>
        <v/>
      </c>
      <c r="P380" s="7">
        <f>'1 datos preparados'!O373</f>
        <v/>
      </c>
      <c r="Q380" s="7">
        <f>'1 datos preparados'!P373</f>
        <v/>
      </c>
      <c r="R380" s="7">
        <f>'1 datos preparados'!Q373</f>
        <v/>
      </c>
      <c r="S380" s="7">
        <f>'1 datos preparados'!R373</f>
        <v/>
      </c>
      <c r="T380" s="7">
        <f>'1 datos preparados'!S373</f>
        <v/>
      </c>
      <c r="U380" s="7">
        <f>'1 datos preparados'!T373</f>
        <v/>
      </c>
      <c r="V380" s="8">
        <f>$AE$12+D380*$AE$13+E380*$AE$14+F380*$AE$15+G380*$AE$16+H380*$AE$17+I380*$AE$18+J380*$AE$19+K380*$AE$20+L380*$AE$21+M380*$AE$22+N380*$AE$23+O380*$AE$24+P380*$AE$25+Q380*$AE$26+R380*$AE$27+S380*$AE$28+T380*$AE$29+U380*$AE$30</f>
        <v/>
      </c>
      <c r="W380" s="8">
        <f>1/(1+EXP(-V380))</f>
        <v/>
      </c>
      <c r="X380" s="9">
        <f>-IF(C380=1,LN(W380),LN(1-W380))</f>
        <v/>
      </c>
      <c r="Y380" s="8">
        <f>IF(C380=1,$AE$32,$AE$33)</f>
        <v/>
      </c>
      <c r="Z380" s="9">
        <f>Y380*X380</f>
        <v/>
      </c>
      <c r="AA380" s="10">
        <f>IF(W380&gt;$AE$34,1,0)</f>
        <v/>
      </c>
      <c r="AB380">
        <f>IF(AA380=C380,1,0)</f>
        <v/>
      </c>
    </row>
    <row r="381">
      <c r="A381">
        <f>'1 datos preparados'!A374</f>
        <v/>
      </c>
      <c r="B381" s="5">
        <f>'1 datos preparados'!U374</f>
        <v/>
      </c>
      <c r="C381">
        <f>'1 datos preparados'!B374</f>
        <v/>
      </c>
      <c r="D381" s="7">
        <f>'1 datos preparados'!C374</f>
        <v/>
      </c>
      <c r="E381" s="7">
        <f>'1 datos preparados'!D374</f>
        <v/>
      </c>
      <c r="F381" s="7">
        <f>'1 datos preparados'!E374</f>
        <v/>
      </c>
      <c r="G381" s="7">
        <f>'1 datos preparados'!F374</f>
        <v/>
      </c>
      <c r="H381" s="7">
        <f>'1 datos preparados'!G374</f>
        <v/>
      </c>
      <c r="I381" s="7">
        <f>'1 datos preparados'!H374</f>
        <v/>
      </c>
      <c r="J381" s="7">
        <f>'1 datos preparados'!I374</f>
        <v/>
      </c>
      <c r="K381" s="7">
        <f>'1 datos preparados'!J374</f>
        <v/>
      </c>
      <c r="L381" s="7">
        <f>'1 datos preparados'!K374</f>
        <v/>
      </c>
      <c r="M381" s="7">
        <f>'1 datos preparados'!L374</f>
        <v/>
      </c>
      <c r="N381" s="7">
        <f>'1 datos preparados'!M374</f>
        <v/>
      </c>
      <c r="O381" s="7">
        <f>'1 datos preparados'!N374</f>
        <v/>
      </c>
      <c r="P381" s="7">
        <f>'1 datos preparados'!O374</f>
        <v/>
      </c>
      <c r="Q381" s="7">
        <f>'1 datos preparados'!P374</f>
        <v/>
      </c>
      <c r="R381" s="7">
        <f>'1 datos preparados'!Q374</f>
        <v/>
      </c>
      <c r="S381" s="7">
        <f>'1 datos preparados'!R374</f>
        <v/>
      </c>
      <c r="T381" s="7">
        <f>'1 datos preparados'!S374</f>
        <v/>
      </c>
      <c r="U381" s="7">
        <f>'1 datos preparados'!T374</f>
        <v/>
      </c>
      <c r="V381" s="8">
        <f>$AE$12+D381*$AE$13+E381*$AE$14+F381*$AE$15+G381*$AE$16+H381*$AE$17+I381*$AE$18+J381*$AE$19+K381*$AE$20+L381*$AE$21+M381*$AE$22+N381*$AE$23+O381*$AE$24+P381*$AE$25+Q381*$AE$26+R381*$AE$27+S381*$AE$28+T381*$AE$29+U381*$AE$30</f>
        <v/>
      </c>
      <c r="W381" s="8">
        <f>1/(1+EXP(-V381))</f>
        <v/>
      </c>
      <c r="X381" s="9">
        <f>-IF(C381=1,LN(W381),LN(1-W381))</f>
        <v/>
      </c>
      <c r="Y381" s="8">
        <f>IF(C381=1,$AE$32,$AE$33)</f>
        <v/>
      </c>
      <c r="Z381" s="9">
        <f>Y381*X381</f>
        <v/>
      </c>
      <c r="AA381" s="10">
        <f>IF(W381&gt;$AE$34,1,0)</f>
        <v/>
      </c>
      <c r="AB381">
        <f>IF(AA381=C381,1,0)</f>
        <v/>
      </c>
    </row>
    <row r="382">
      <c r="A382">
        <f>'1 datos preparados'!A375</f>
        <v/>
      </c>
      <c r="B382" s="5">
        <f>'1 datos preparados'!U375</f>
        <v/>
      </c>
      <c r="C382">
        <f>'1 datos preparados'!B375</f>
        <v/>
      </c>
      <c r="D382" s="7">
        <f>'1 datos preparados'!C375</f>
        <v/>
      </c>
      <c r="E382" s="7">
        <f>'1 datos preparados'!D375</f>
        <v/>
      </c>
      <c r="F382" s="7">
        <f>'1 datos preparados'!E375</f>
        <v/>
      </c>
      <c r="G382" s="7">
        <f>'1 datos preparados'!F375</f>
        <v/>
      </c>
      <c r="H382" s="7">
        <f>'1 datos preparados'!G375</f>
        <v/>
      </c>
      <c r="I382" s="7">
        <f>'1 datos preparados'!H375</f>
        <v/>
      </c>
      <c r="J382" s="7">
        <f>'1 datos preparados'!I375</f>
        <v/>
      </c>
      <c r="K382" s="7">
        <f>'1 datos preparados'!J375</f>
        <v/>
      </c>
      <c r="L382" s="7">
        <f>'1 datos preparados'!K375</f>
        <v/>
      </c>
      <c r="M382" s="7">
        <f>'1 datos preparados'!L375</f>
        <v/>
      </c>
      <c r="N382" s="7">
        <f>'1 datos preparados'!M375</f>
        <v/>
      </c>
      <c r="O382" s="7">
        <f>'1 datos preparados'!N375</f>
        <v/>
      </c>
      <c r="P382" s="7">
        <f>'1 datos preparados'!O375</f>
        <v/>
      </c>
      <c r="Q382" s="7">
        <f>'1 datos preparados'!P375</f>
        <v/>
      </c>
      <c r="R382" s="7">
        <f>'1 datos preparados'!Q375</f>
        <v/>
      </c>
      <c r="S382" s="7">
        <f>'1 datos preparados'!R375</f>
        <v/>
      </c>
      <c r="T382" s="7">
        <f>'1 datos preparados'!S375</f>
        <v/>
      </c>
      <c r="U382" s="7">
        <f>'1 datos preparados'!T375</f>
        <v/>
      </c>
      <c r="V382" s="8">
        <f>$AE$12+D382*$AE$13+E382*$AE$14+F382*$AE$15+G382*$AE$16+H382*$AE$17+I382*$AE$18+J382*$AE$19+K382*$AE$20+L382*$AE$21+M382*$AE$22+N382*$AE$23+O382*$AE$24+P382*$AE$25+Q382*$AE$26+R382*$AE$27+S382*$AE$28+T382*$AE$29+U382*$AE$30</f>
        <v/>
      </c>
      <c r="W382" s="8">
        <f>1/(1+EXP(-V382))</f>
        <v/>
      </c>
      <c r="X382" s="9">
        <f>-IF(C382=1,LN(W382),LN(1-W382))</f>
        <v/>
      </c>
      <c r="Y382" s="8">
        <f>IF(C382=1,$AE$32,$AE$33)</f>
        <v/>
      </c>
      <c r="Z382" s="9">
        <f>Y382*X382</f>
        <v/>
      </c>
      <c r="AA382" s="10">
        <f>IF(W382&gt;$AE$34,1,0)</f>
        <v/>
      </c>
      <c r="AB382">
        <f>IF(AA382=C382,1,0)</f>
        <v/>
      </c>
    </row>
    <row r="383">
      <c r="A383">
        <f>'1 datos preparados'!A376</f>
        <v/>
      </c>
      <c r="B383" s="5">
        <f>'1 datos preparados'!U376</f>
        <v/>
      </c>
      <c r="C383">
        <f>'1 datos preparados'!B376</f>
        <v/>
      </c>
      <c r="D383" s="7">
        <f>'1 datos preparados'!C376</f>
        <v/>
      </c>
      <c r="E383" s="7">
        <f>'1 datos preparados'!D376</f>
        <v/>
      </c>
      <c r="F383" s="7">
        <f>'1 datos preparados'!E376</f>
        <v/>
      </c>
      <c r="G383" s="7">
        <f>'1 datos preparados'!F376</f>
        <v/>
      </c>
      <c r="H383" s="7">
        <f>'1 datos preparados'!G376</f>
        <v/>
      </c>
      <c r="I383" s="7">
        <f>'1 datos preparados'!H376</f>
        <v/>
      </c>
      <c r="J383" s="7">
        <f>'1 datos preparados'!I376</f>
        <v/>
      </c>
      <c r="K383" s="7">
        <f>'1 datos preparados'!J376</f>
        <v/>
      </c>
      <c r="L383" s="7">
        <f>'1 datos preparados'!K376</f>
        <v/>
      </c>
      <c r="M383" s="7">
        <f>'1 datos preparados'!L376</f>
        <v/>
      </c>
      <c r="N383" s="7">
        <f>'1 datos preparados'!M376</f>
        <v/>
      </c>
      <c r="O383" s="7">
        <f>'1 datos preparados'!N376</f>
        <v/>
      </c>
      <c r="P383" s="7">
        <f>'1 datos preparados'!O376</f>
        <v/>
      </c>
      <c r="Q383" s="7">
        <f>'1 datos preparados'!P376</f>
        <v/>
      </c>
      <c r="R383" s="7">
        <f>'1 datos preparados'!Q376</f>
        <v/>
      </c>
      <c r="S383" s="7">
        <f>'1 datos preparados'!R376</f>
        <v/>
      </c>
      <c r="T383" s="7">
        <f>'1 datos preparados'!S376</f>
        <v/>
      </c>
      <c r="U383" s="7">
        <f>'1 datos preparados'!T376</f>
        <v/>
      </c>
      <c r="V383" s="8">
        <f>$AE$12+D383*$AE$13+E383*$AE$14+F383*$AE$15+G383*$AE$16+H383*$AE$17+I383*$AE$18+J383*$AE$19+K383*$AE$20+L383*$AE$21+M383*$AE$22+N383*$AE$23+O383*$AE$24+P383*$AE$25+Q383*$AE$26+R383*$AE$27+S383*$AE$28+T383*$AE$29+U383*$AE$30</f>
        <v/>
      </c>
      <c r="W383" s="8">
        <f>1/(1+EXP(-V383))</f>
        <v/>
      </c>
      <c r="X383" s="9">
        <f>-IF(C383=1,LN(W383),LN(1-W383))</f>
        <v/>
      </c>
      <c r="Y383" s="8">
        <f>IF(C383=1,$AE$32,$AE$33)</f>
        <v/>
      </c>
      <c r="Z383" s="9">
        <f>Y383*X383</f>
        <v/>
      </c>
      <c r="AA383" s="10">
        <f>IF(W383&gt;$AE$34,1,0)</f>
        <v/>
      </c>
      <c r="AB383">
        <f>IF(AA383=C383,1,0)</f>
        <v/>
      </c>
    </row>
    <row r="384">
      <c r="A384">
        <f>'1 datos preparados'!A377</f>
        <v/>
      </c>
      <c r="B384" s="5">
        <f>'1 datos preparados'!U377</f>
        <v/>
      </c>
      <c r="C384">
        <f>'1 datos preparados'!B377</f>
        <v/>
      </c>
      <c r="D384" s="7">
        <f>'1 datos preparados'!C377</f>
        <v/>
      </c>
      <c r="E384" s="7">
        <f>'1 datos preparados'!D377</f>
        <v/>
      </c>
      <c r="F384" s="7">
        <f>'1 datos preparados'!E377</f>
        <v/>
      </c>
      <c r="G384" s="7">
        <f>'1 datos preparados'!F377</f>
        <v/>
      </c>
      <c r="H384" s="7">
        <f>'1 datos preparados'!G377</f>
        <v/>
      </c>
      <c r="I384" s="7">
        <f>'1 datos preparados'!H377</f>
        <v/>
      </c>
      <c r="J384" s="7">
        <f>'1 datos preparados'!I377</f>
        <v/>
      </c>
      <c r="K384" s="7">
        <f>'1 datos preparados'!J377</f>
        <v/>
      </c>
      <c r="L384" s="7">
        <f>'1 datos preparados'!K377</f>
        <v/>
      </c>
      <c r="M384" s="7">
        <f>'1 datos preparados'!L377</f>
        <v/>
      </c>
      <c r="N384" s="7">
        <f>'1 datos preparados'!M377</f>
        <v/>
      </c>
      <c r="O384" s="7">
        <f>'1 datos preparados'!N377</f>
        <v/>
      </c>
      <c r="P384" s="7">
        <f>'1 datos preparados'!O377</f>
        <v/>
      </c>
      <c r="Q384" s="7">
        <f>'1 datos preparados'!P377</f>
        <v/>
      </c>
      <c r="R384" s="7">
        <f>'1 datos preparados'!Q377</f>
        <v/>
      </c>
      <c r="S384" s="7">
        <f>'1 datos preparados'!R377</f>
        <v/>
      </c>
      <c r="T384" s="7">
        <f>'1 datos preparados'!S377</f>
        <v/>
      </c>
      <c r="U384" s="7">
        <f>'1 datos preparados'!T377</f>
        <v/>
      </c>
      <c r="V384" s="8">
        <f>$AE$12+D384*$AE$13+E384*$AE$14+F384*$AE$15+G384*$AE$16+H384*$AE$17+I384*$AE$18+J384*$AE$19+K384*$AE$20+L384*$AE$21+M384*$AE$22+N384*$AE$23+O384*$AE$24+P384*$AE$25+Q384*$AE$26+R384*$AE$27+S384*$AE$28+T384*$AE$29+U384*$AE$30</f>
        <v/>
      </c>
      <c r="W384" s="8">
        <f>1/(1+EXP(-V384))</f>
        <v/>
      </c>
      <c r="X384" s="9">
        <f>-IF(C384=1,LN(W384),LN(1-W384))</f>
        <v/>
      </c>
      <c r="Y384" s="8">
        <f>IF(C384=1,$AE$32,$AE$33)</f>
        <v/>
      </c>
      <c r="Z384" s="9">
        <f>Y384*X384</f>
        <v/>
      </c>
      <c r="AA384" s="10">
        <f>IF(W384&gt;$AE$34,1,0)</f>
        <v/>
      </c>
      <c r="AB384">
        <f>IF(AA384=C384,1,0)</f>
        <v/>
      </c>
    </row>
    <row r="385">
      <c r="A385">
        <f>'1 datos preparados'!A378</f>
        <v/>
      </c>
      <c r="B385" s="5">
        <f>'1 datos preparados'!U378</f>
        <v/>
      </c>
      <c r="C385">
        <f>'1 datos preparados'!B378</f>
        <v/>
      </c>
      <c r="D385" s="7">
        <f>'1 datos preparados'!C378</f>
        <v/>
      </c>
      <c r="E385" s="7">
        <f>'1 datos preparados'!D378</f>
        <v/>
      </c>
      <c r="F385" s="7">
        <f>'1 datos preparados'!E378</f>
        <v/>
      </c>
      <c r="G385" s="7">
        <f>'1 datos preparados'!F378</f>
        <v/>
      </c>
      <c r="H385" s="7">
        <f>'1 datos preparados'!G378</f>
        <v/>
      </c>
      <c r="I385" s="7">
        <f>'1 datos preparados'!H378</f>
        <v/>
      </c>
      <c r="J385" s="7">
        <f>'1 datos preparados'!I378</f>
        <v/>
      </c>
      <c r="K385" s="7">
        <f>'1 datos preparados'!J378</f>
        <v/>
      </c>
      <c r="L385" s="7">
        <f>'1 datos preparados'!K378</f>
        <v/>
      </c>
      <c r="M385" s="7">
        <f>'1 datos preparados'!L378</f>
        <v/>
      </c>
      <c r="N385" s="7">
        <f>'1 datos preparados'!M378</f>
        <v/>
      </c>
      <c r="O385" s="7">
        <f>'1 datos preparados'!N378</f>
        <v/>
      </c>
      <c r="P385" s="7">
        <f>'1 datos preparados'!O378</f>
        <v/>
      </c>
      <c r="Q385" s="7">
        <f>'1 datos preparados'!P378</f>
        <v/>
      </c>
      <c r="R385" s="7">
        <f>'1 datos preparados'!Q378</f>
        <v/>
      </c>
      <c r="S385" s="7">
        <f>'1 datos preparados'!R378</f>
        <v/>
      </c>
      <c r="T385" s="7">
        <f>'1 datos preparados'!S378</f>
        <v/>
      </c>
      <c r="U385" s="7">
        <f>'1 datos preparados'!T378</f>
        <v/>
      </c>
      <c r="V385" s="8">
        <f>$AE$12+D385*$AE$13+E385*$AE$14+F385*$AE$15+G385*$AE$16+H385*$AE$17+I385*$AE$18+J385*$AE$19+K385*$AE$20+L385*$AE$21+M385*$AE$22+N385*$AE$23+O385*$AE$24+P385*$AE$25+Q385*$AE$26+R385*$AE$27+S385*$AE$28+T385*$AE$29+U385*$AE$30</f>
        <v/>
      </c>
      <c r="W385" s="8">
        <f>1/(1+EXP(-V385))</f>
        <v/>
      </c>
      <c r="X385" s="9">
        <f>-IF(C385=1,LN(W385),LN(1-W385))</f>
        <v/>
      </c>
      <c r="Y385" s="8">
        <f>IF(C385=1,$AE$32,$AE$33)</f>
        <v/>
      </c>
      <c r="Z385" s="9">
        <f>Y385*X385</f>
        <v/>
      </c>
      <c r="AA385" s="10">
        <f>IF(W385&gt;$AE$34,1,0)</f>
        <v/>
      </c>
      <c r="AB385">
        <f>IF(AA385=C385,1,0)</f>
        <v/>
      </c>
    </row>
    <row r="386">
      <c r="A386">
        <f>'1 datos preparados'!A379</f>
        <v/>
      </c>
      <c r="B386" s="5">
        <f>'1 datos preparados'!U379</f>
        <v/>
      </c>
      <c r="C386">
        <f>'1 datos preparados'!B379</f>
        <v/>
      </c>
      <c r="D386" s="7">
        <f>'1 datos preparados'!C379</f>
        <v/>
      </c>
      <c r="E386" s="7">
        <f>'1 datos preparados'!D379</f>
        <v/>
      </c>
      <c r="F386" s="7">
        <f>'1 datos preparados'!E379</f>
        <v/>
      </c>
      <c r="G386" s="7">
        <f>'1 datos preparados'!F379</f>
        <v/>
      </c>
      <c r="H386" s="7">
        <f>'1 datos preparados'!G379</f>
        <v/>
      </c>
      <c r="I386" s="7">
        <f>'1 datos preparados'!H379</f>
        <v/>
      </c>
      <c r="J386" s="7">
        <f>'1 datos preparados'!I379</f>
        <v/>
      </c>
      <c r="K386" s="7">
        <f>'1 datos preparados'!J379</f>
        <v/>
      </c>
      <c r="L386" s="7">
        <f>'1 datos preparados'!K379</f>
        <v/>
      </c>
      <c r="M386" s="7">
        <f>'1 datos preparados'!L379</f>
        <v/>
      </c>
      <c r="N386" s="7">
        <f>'1 datos preparados'!M379</f>
        <v/>
      </c>
      <c r="O386" s="7">
        <f>'1 datos preparados'!N379</f>
        <v/>
      </c>
      <c r="P386" s="7">
        <f>'1 datos preparados'!O379</f>
        <v/>
      </c>
      <c r="Q386" s="7">
        <f>'1 datos preparados'!P379</f>
        <v/>
      </c>
      <c r="R386" s="7">
        <f>'1 datos preparados'!Q379</f>
        <v/>
      </c>
      <c r="S386" s="7">
        <f>'1 datos preparados'!R379</f>
        <v/>
      </c>
      <c r="T386" s="7">
        <f>'1 datos preparados'!S379</f>
        <v/>
      </c>
      <c r="U386" s="7">
        <f>'1 datos preparados'!T379</f>
        <v/>
      </c>
      <c r="V386" s="8">
        <f>$AE$12+D386*$AE$13+E386*$AE$14+F386*$AE$15+G386*$AE$16+H386*$AE$17+I386*$AE$18+J386*$AE$19+K386*$AE$20+L386*$AE$21+M386*$AE$22+N386*$AE$23+O386*$AE$24+P386*$AE$25+Q386*$AE$26+R386*$AE$27+S386*$AE$28+T386*$AE$29+U386*$AE$30</f>
        <v/>
      </c>
      <c r="W386" s="8">
        <f>1/(1+EXP(-V386))</f>
        <v/>
      </c>
      <c r="X386" s="9">
        <f>-IF(C386=1,LN(W386),LN(1-W386))</f>
        <v/>
      </c>
      <c r="Y386" s="8">
        <f>IF(C386=1,$AE$32,$AE$33)</f>
        <v/>
      </c>
      <c r="Z386" s="9">
        <f>Y386*X386</f>
        <v/>
      </c>
      <c r="AA386" s="10">
        <f>IF(W386&gt;$AE$34,1,0)</f>
        <v/>
      </c>
      <c r="AB386">
        <f>IF(AA386=C386,1,0)</f>
        <v/>
      </c>
    </row>
    <row r="387">
      <c r="A387">
        <f>'1 datos preparados'!A380</f>
        <v/>
      </c>
      <c r="B387" s="5">
        <f>'1 datos preparados'!U380</f>
        <v/>
      </c>
      <c r="C387">
        <f>'1 datos preparados'!B380</f>
        <v/>
      </c>
      <c r="D387" s="7">
        <f>'1 datos preparados'!C380</f>
        <v/>
      </c>
      <c r="E387" s="7">
        <f>'1 datos preparados'!D380</f>
        <v/>
      </c>
      <c r="F387" s="7">
        <f>'1 datos preparados'!E380</f>
        <v/>
      </c>
      <c r="G387" s="7">
        <f>'1 datos preparados'!F380</f>
        <v/>
      </c>
      <c r="H387" s="7">
        <f>'1 datos preparados'!G380</f>
        <v/>
      </c>
      <c r="I387" s="7">
        <f>'1 datos preparados'!H380</f>
        <v/>
      </c>
      <c r="J387" s="7">
        <f>'1 datos preparados'!I380</f>
        <v/>
      </c>
      <c r="K387" s="7">
        <f>'1 datos preparados'!J380</f>
        <v/>
      </c>
      <c r="L387" s="7">
        <f>'1 datos preparados'!K380</f>
        <v/>
      </c>
      <c r="M387" s="7">
        <f>'1 datos preparados'!L380</f>
        <v/>
      </c>
      <c r="N387" s="7">
        <f>'1 datos preparados'!M380</f>
        <v/>
      </c>
      <c r="O387" s="7">
        <f>'1 datos preparados'!N380</f>
        <v/>
      </c>
      <c r="P387" s="7">
        <f>'1 datos preparados'!O380</f>
        <v/>
      </c>
      <c r="Q387" s="7">
        <f>'1 datos preparados'!P380</f>
        <v/>
      </c>
      <c r="R387" s="7">
        <f>'1 datos preparados'!Q380</f>
        <v/>
      </c>
      <c r="S387" s="7">
        <f>'1 datos preparados'!R380</f>
        <v/>
      </c>
      <c r="T387" s="7">
        <f>'1 datos preparados'!S380</f>
        <v/>
      </c>
      <c r="U387" s="7">
        <f>'1 datos preparados'!T380</f>
        <v/>
      </c>
      <c r="V387" s="8">
        <f>$AE$12+D387*$AE$13+E387*$AE$14+F387*$AE$15+G387*$AE$16+H387*$AE$17+I387*$AE$18+J387*$AE$19+K387*$AE$20+L387*$AE$21+M387*$AE$22+N387*$AE$23+O387*$AE$24+P387*$AE$25+Q387*$AE$26+R387*$AE$27+S387*$AE$28+T387*$AE$29+U387*$AE$30</f>
        <v/>
      </c>
      <c r="W387" s="8">
        <f>1/(1+EXP(-V387))</f>
        <v/>
      </c>
      <c r="X387" s="9">
        <f>-IF(C387=1,LN(W387),LN(1-W387))</f>
        <v/>
      </c>
      <c r="Y387" s="8">
        <f>IF(C387=1,$AE$32,$AE$33)</f>
        <v/>
      </c>
      <c r="Z387" s="9">
        <f>Y387*X387</f>
        <v/>
      </c>
      <c r="AA387" s="10">
        <f>IF(W387&gt;$AE$34,1,0)</f>
        <v/>
      </c>
      <c r="AB387">
        <f>IF(AA387=C387,1,0)</f>
        <v/>
      </c>
    </row>
    <row r="388">
      <c r="A388">
        <f>'1 datos preparados'!A381</f>
        <v/>
      </c>
      <c r="B388" s="5">
        <f>'1 datos preparados'!U381</f>
        <v/>
      </c>
      <c r="C388">
        <f>'1 datos preparados'!B381</f>
        <v/>
      </c>
      <c r="D388" s="7">
        <f>'1 datos preparados'!C381</f>
        <v/>
      </c>
      <c r="E388" s="7">
        <f>'1 datos preparados'!D381</f>
        <v/>
      </c>
      <c r="F388" s="7">
        <f>'1 datos preparados'!E381</f>
        <v/>
      </c>
      <c r="G388" s="7">
        <f>'1 datos preparados'!F381</f>
        <v/>
      </c>
      <c r="H388" s="7">
        <f>'1 datos preparados'!G381</f>
        <v/>
      </c>
      <c r="I388" s="7">
        <f>'1 datos preparados'!H381</f>
        <v/>
      </c>
      <c r="J388" s="7">
        <f>'1 datos preparados'!I381</f>
        <v/>
      </c>
      <c r="K388" s="7">
        <f>'1 datos preparados'!J381</f>
        <v/>
      </c>
      <c r="L388" s="7">
        <f>'1 datos preparados'!K381</f>
        <v/>
      </c>
      <c r="M388" s="7">
        <f>'1 datos preparados'!L381</f>
        <v/>
      </c>
      <c r="N388" s="7">
        <f>'1 datos preparados'!M381</f>
        <v/>
      </c>
      <c r="O388" s="7">
        <f>'1 datos preparados'!N381</f>
        <v/>
      </c>
      <c r="P388" s="7">
        <f>'1 datos preparados'!O381</f>
        <v/>
      </c>
      <c r="Q388" s="7">
        <f>'1 datos preparados'!P381</f>
        <v/>
      </c>
      <c r="R388" s="7">
        <f>'1 datos preparados'!Q381</f>
        <v/>
      </c>
      <c r="S388" s="7">
        <f>'1 datos preparados'!R381</f>
        <v/>
      </c>
      <c r="T388" s="7">
        <f>'1 datos preparados'!S381</f>
        <v/>
      </c>
      <c r="U388" s="7">
        <f>'1 datos preparados'!T381</f>
        <v/>
      </c>
      <c r="V388" s="8">
        <f>$AE$12+D388*$AE$13+E388*$AE$14+F388*$AE$15+G388*$AE$16+H388*$AE$17+I388*$AE$18+J388*$AE$19+K388*$AE$20+L388*$AE$21+M388*$AE$22+N388*$AE$23+O388*$AE$24+P388*$AE$25+Q388*$AE$26+R388*$AE$27+S388*$AE$28+T388*$AE$29+U388*$AE$30</f>
        <v/>
      </c>
      <c r="W388" s="8">
        <f>1/(1+EXP(-V388))</f>
        <v/>
      </c>
      <c r="X388" s="9">
        <f>-IF(C388=1,LN(W388),LN(1-W388))</f>
        <v/>
      </c>
      <c r="Y388" s="8">
        <f>IF(C388=1,$AE$32,$AE$33)</f>
        <v/>
      </c>
      <c r="Z388" s="9">
        <f>Y388*X388</f>
        <v/>
      </c>
      <c r="AA388" s="10">
        <f>IF(W388&gt;$AE$34,1,0)</f>
        <v/>
      </c>
      <c r="AB388">
        <f>IF(AA388=C388,1,0)</f>
        <v/>
      </c>
    </row>
    <row r="389">
      <c r="A389">
        <f>'1 datos preparados'!A382</f>
        <v/>
      </c>
      <c r="B389" s="5">
        <f>'1 datos preparados'!U382</f>
        <v/>
      </c>
      <c r="C389">
        <f>'1 datos preparados'!B382</f>
        <v/>
      </c>
      <c r="D389" s="7">
        <f>'1 datos preparados'!C382</f>
        <v/>
      </c>
      <c r="E389" s="7">
        <f>'1 datos preparados'!D382</f>
        <v/>
      </c>
      <c r="F389" s="7">
        <f>'1 datos preparados'!E382</f>
        <v/>
      </c>
      <c r="G389" s="7">
        <f>'1 datos preparados'!F382</f>
        <v/>
      </c>
      <c r="H389" s="7">
        <f>'1 datos preparados'!G382</f>
        <v/>
      </c>
      <c r="I389" s="7">
        <f>'1 datos preparados'!H382</f>
        <v/>
      </c>
      <c r="J389" s="7">
        <f>'1 datos preparados'!I382</f>
        <v/>
      </c>
      <c r="K389" s="7">
        <f>'1 datos preparados'!J382</f>
        <v/>
      </c>
      <c r="L389" s="7">
        <f>'1 datos preparados'!K382</f>
        <v/>
      </c>
      <c r="M389" s="7">
        <f>'1 datos preparados'!L382</f>
        <v/>
      </c>
      <c r="N389" s="7">
        <f>'1 datos preparados'!M382</f>
        <v/>
      </c>
      <c r="O389" s="7">
        <f>'1 datos preparados'!N382</f>
        <v/>
      </c>
      <c r="P389" s="7">
        <f>'1 datos preparados'!O382</f>
        <v/>
      </c>
      <c r="Q389" s="7">
        <f>'1 datos preparados'!P382</f>
        <v/>
      </c>
      <c r="R389" s="7">
        <f>'1 datos preparados'!Q382</f>
        <v/>
      </c>
      <c r="S389" s="7">
        <f>'1 datos preparados'!R382</f>
        <v/>
      </c>
      <c r="T389" s="7">
        <f>'1 datos preparados'!S382</f>
        <v/>
      </c>
      <c r="U389" s="7">
        <f>'1 datos preparados'!T382</f>
        <v/>
      </c>
      <c r="V389" s="8">
        <f>$AE$12+D389*$AE$13+E389*$AE$14+F389*$AE$15+G389*$AE$16+H389*$AE$17+I389*$AE$18+J389*$AE$19+K389*$AE$20+L389*$AE$21+M389*$AE$22+N389*$AE$23+O389*$AE$24+P389*$AE$25+Q389*$AE$26+R389*$AE$27+S389*$AE$28+T389*$AE$29+U389*$AE$30</f>
        <v/>
      </c>
      <c r="W389" s="8">
        <f>1/(1+EXP(-V389))</f>
        <v/>
      </c>
      <c r="X389" s="9">
        <f>-IF(C389=1,LN(W389),LN(1-W389))</f>
        <v/>
      </c>
      <c r="Y389" s="8">
        <f>IF(C389=1,$AE$32,$AE$33)</f>
        <v/>
      </c>
      <c r="Z389" s="9">
        <f>Y389*X389</f>
        <v/>
      </c>
      <c r="AA389" s="10">
        <f>IF(W389&gt;$AE$34,1,0)</f>
        <v/>
      </c>
      <c r="AB389">
        <f>IF(AA389=C389,1,0)</f>
        <v/>
      </c>
    </row>
    <row r="390">
      <c r="A390">
        <f>'1 datos preparados'!A383</f>
        <v/>
      </c>
      <c r="B390" s="5">
        <f>'1 datos preparados'!U383</f>
        <v/>
      </c>
      <c r="C390">
        <f>'1 datos preparados'!B383</f>
        <v/>
      </c>
      <c r="D390" s="7">
        <f>'1 datos preparados'!C383</f>
        <v/>
      </c>
      <c r="E390" s="7">
        <f>'1 datos preparados'!D383</f>
        <v/>
      </c>
      <c r="F390" s="7">
        <f>'1 datos preparados'!E383</f>
        <v/>
      </c>
      <c r="G390" s="7">
        <f>'1 datos preparados'!F383</f>
        <v/>
      </c>
      <c r="H390" s="7">
        <f>'1 datos preparados'!G383</f>
        <v/>
      </c>
      <c r="I390" s="7">
        <f>'1 datos preparados'!H383</f>
        <v/>
      </c>
      <c r="J390" s="7">
        <f>'1 datos preparados'!I383</f>
        <v/>
      </c>
      <c r="K390" s="7">
        <f>'1 datos preparados'!J383</f>
        <v/>
      </c>
      <c r="L390" s="7">
        <f>'1 datos preparados'!K383</f>
        <v/>
      </c>
      <c r="M390" s="7">
        <f>'1 datos preparados'!L383</f>
        <v/>
      </c>
      <c r="N390" s="7">
        <f>'1 datos preparados'!M383</f>
        <v/>
      </c>
      <c r="O390" s="7">
        <f>'1 datos preparados'!N383</f>
        <v/>
      </c>
      <c r="P390" s="7">
        <f>'1 datos preparados'!O383</f>
        <v/>
      </c>
      <c r="Q390" s="7">
        <f>'1 datos preparados'!P383</f>
        <v/>
      </c>
      <c r="R390" s="7">
        <f>'1 datos preparados'!Q383</f>
        <v/>
      </c>
      <c r="S390" s="7">
        <f>'1 datos preparados'!R383</f>
        <v/>
      </c>
      <c r="T390" s="7">
        <f>'1 datos preparados'!S383</f>
        <v/>
      </c>
      <c r="U390" s="7">
        <f>'1 datos preparados'!T383</f>
        <v/>
      </c>
      <c r="V390" s="8">
        <f>$AE$12+D390*$AE$13+E390*$AE$14+F390*$AE$15+G390*$AE$16+H390*$AE$17+I390*$AE$18+J390*$AE$19+K390*$AE$20+L390*$AE$21+M390*$AE$22+N390*$AE$23+O390*$AE$24+P390*$AE$25+Q390*$AE$26+R390*$AE$27+S390*$AE$28+T390*$AE$29+U390*$AE$30</f>
        <v/>
      </c>
      <c r="W390" s="8">
        <f>1/(1+EXP(-V390))</f>
        <v/>
      </c>
      <c r="X390" s="9">
        <f>-IF(C390=1,LN(W390),LN(1-W390))</f>
        <v/>
      </c>
      <c r="Y390" s="8">
        <f>IF(C390=1,$AE$32,$AE$33)</f>
        <v/>
      </c>
      <c r="Z390" s="9">
        <f>Y390*X390</f>
        <v/>
      </c>
      <c r="AA390" s="10">
        <f>IF(W390&gt;$AE$34,1,0)</f>
        <v/>
      </c>
      <c r="AB390">
        <f>IF(AA390=C390,1,0)</f>
        <v/>
      </c>
    </row>
    <row r="391">
      <c r="A391">
        <f>'1 datos preparados'!A384</f>
        <v/>
      </c>
      <c r="B391" s="5">
        <f>'1 datos preparados'!U384</f>
        <v/>
      </c>
      <c r="C391">
        <f>'1 datos preparados'!B384</f>
        <v/>
      </c>
      <c r="D391" s="7">
        <f>'1 datos preparados'!C384</f>
        <v/>
      </c>
      <c r="E391" s="7">
        <f>'1 datos preparados'!D384</f>
        <v/>
      </c>
      <c r="F391" s="7">
        <f>'1 datos preparados'!E384</f>
        <v/>
      </c>
      <c r="G391" s="7">
        <f>'1 datos preparados'!F384</f>
        <v/>
      </c>
      <c r="H391" s="7">
        <f>'1 datos preparados'!G384</f>
        <v/>
      </c>
      <c r="I391" s="7">
        <f>'1 datos preparados'!H384</f>
        <v/>
      </c>
      <c r="J391" s="7">
        <f>'1 datos preparados'!I384</f>
        <v/>
      </c>
      <c r="K391" s="7">
        <f>'1 datos preparados'!J384</f>
        <v/>
      </c>
      <c r="L391" s="7">
        <f>'1 datos preparados'!K384</f>
        <v/>
      </c>
      <c r="M391" s="7">
        <f>'1 datos preparados'!L384</f>
        <v/>
      </c>
      <c r="N391" s="7">
        <f>'1 datos preparados'!M384</f>
        <v/>
      </c>
      <c r="O391" s="7">
        <f>'1 datos preparados'!N384</f>
        <v/>
      </c>
      <c r="P391" s="7">
        <f>'1 datos preparados'!O384</f>
        <v/>
      </c>
      <c r="Q391" s="7">
        <f>'1 datos preparados'!P384</f>
        <v/>
      </c>
      <c r="R391" s="7">
        <f>'1 datos preparados'!Q384</f>
        <v/>
      </c>
      <c r="S391" s="7">
        <f>'1 datos preparados'!R384</f>
        <v/>
      </c>
      <c r="T391" s="7">
        <f>'1 datos preparados'!S384</f>
        <v/>
      </c>
      <c r="U391" s="7">
        <f>'1 datos preparados'!T384</f>
        <v/>
      </c>
      <c r="V391" s="8">
        <f>$AE$12+D391*$AE$13+E391*$AE$14+F391*$AE$15+G391*$AE$16+H391*$AE$17+I391*$AE$18+J391*$AE$19+K391*$AE$20+L391*$AE$21+M391*$AE$22+N391*$AE$23+O391*$AE$24+P391*$AE$25+Q391*$AE$26+R391*$AE$27+S391*$AE$28+T391*$AE$29+U391*$AE$30</f>
        <v/>
      </c>
      <c r="W391" s="8">
        <f>1/(1+EXP(-V391))</f>
        <v/>
      </c>
      <c r="X391" s="9">
        <f>-IF(C391=1,LN(W391),LN(1-W391))</f>
        <v/>
      </c>
      <c r="Y391" s="8">
        <f>IF(C391=1,$AE$32,$AE$33)</f>
        <v/>
      </c>
      <c r="Z391" s="9">
        <f>Y391*X391</f>
        <v/>
      </c>
      <c r="AA391" s="10">
        <f>IF(W391&gt;$AE$34,1,0)</f>
        <v/>
      </c>
      <c r="AB391">
        <f>IF(AA391=C391,1,0)</f>
        <v/>
      </c>
    </row>
    <row r="392">
      <c r="A392">
        <f>'1 datos preparados'!A385</f>
        <v/>
      </c>
      <c r="B392" s="5">
        <f>'1 datos preparados'!U385</f>
        <v/>
      </c>
      <c r="C392">
        <f>'1 datos preparados'!B385</f>
        <v/>
      </c>
      <c r="D392" s="7">
        <f>'1 datos preparados'!C385</f>
        <v/>
      </c>
      <c r="E392" s="7">
        <f>'1 datos preparados'!D385</f>
        <v/>
      </c>
      <c r="F392" s="7">
        <f>'1 datos preparados'!E385</f>
        <v/>
      </c>
      <c r="G392" s="7">
        <f>'1 datos preparados'!F385</f>
        <v/>
      </c>
      <c r="H392" s="7">
        <f>'1 datos preparados'!G385</f>
        <v/>
      </c>
      <c r="I392" s="7">
        <f>'1 datos preparados'!H385</f>
        <v/>
      </c>
      <c r="J392" s="7">
        <f>'1 datos preparados'!I385</f>
        <v/>
      </c>
      <c r="K392" s="7">
        <f>'1 datos preparados'!J385</f>
        <v/>
      </c>
      <c r="L392" s="7">
        <f>'1 datos preparados'!K385</f>
        <v/>
      </c>
      <c r="M392" s="7">
        <f>'1 datos preparados'!L385</f>
        <v/>
      </c>
      <c r="N392" s="7">
        <f>'1 datos preparados'!M385</f>
        <v/>
      </c>
      <c r="O392" s="7">
        <f>'1 datos preparados'!N385</f>
        <v/>
      </c>
      <c r="P392" s="7">
        <f>'1 datos preparados'!O385</f>
        <v/>
      </c>
      <c r="Q392" s="7">
        <f>'1 datos preparados'!P385</f>
        <v/>
      </c>
      <c r="R392" s="7">
        <f>'1 datos preparados'!Q385</f>
        <v/>
      </c>
      <c r="S392" s="7">
        <f>'1 datos preparados'!R385</f>
        <v/>
      </c>
      <c r="T392" s="7">
        <f>'1 datos preparados'!S385</f>
        <v/>
      </c>
      <c r="U392" s="7">
        <f>'1 datos preparados'!T385</f>
        <v/>
      </c>
      <c r="V392" s="8">
        <f>$AE$12+D392*$AE$13+E392*$AE$14+F392*$AE$15+G392*$AE$16+H392*$AE$17+I392*$AE$18+J392*$AE$19+K392*$AE$20+L392*$AE$21+M392*$AE$22+N392*$AE$23+O392*$AE$24+P392*$AE$25+Q392*$AE$26+R392*$AE$27+S392*$AE$28+T392*$AE$29+U392*$AE$30</f>
        <v/>
      </c>
      <c r="W392" s="8">
        <f>1/(1+EXP(-V392))</f>
        <v/>
      </c>
      <c r="X392" s="9">
        <f>-IF(C392=1,LN(W392),LN(1-W392))</f>
        <v/>
      </c>
      <c r="Y392" s="8">
        <f>IF(C392=1,$AE$32,$AE$33)</f>
        <v/>
      </c>
      <c r="Z392" s="9">
        <f>Y392*X392</f>
        <v/>
      </c>
      <c r="AA392" s="10">
        <f>IF(W392&gt;$AE$34,1,0)</f>
        <v/>
      </c>
      <c r="AB392">
        <f>IF(AA392=C392,1,0)</f>
        <v/>
      </c>
    </row>
    <row r="393">
      <c r="A393">
        <f>'1 datos preparados'!A386</f>
        <v/>
      </c>
      <c r="B393" s="5">
        <f>'1 datos preparados'!U386</f>
        <v/>
      </c>
      <c r="C393">
        <f>'1 datos preparados'!B386</f>
        <v/>
      </c>
      <c r="D393" s="7">
        <f>'1 datos preparados'!C386</f>
        <v/>
      </c>
      <c r="E393" s="7">
        <f>'1 datos preparados'!D386</f>
        <v/>
      </c>
      <c r="F393" s="7">
        <f>'1 datos preparados'!E386</f>
        <v/>
      </c>
      <c r="G393" s="7">
        <f>'1 datos preparados'!F386</f>
        <v/>
      </c>
      <c r="H393" s="7">
        <f>'1 datos preparados'!G386</f>
        <v/>
      </c>
      <c r="I393" s="7">
        <f>'1 datos preparados'!H386</f>
        <v/>
      </c>
      <c r="J393" s="7">
        <f>'1 datos preparados'!I386</f>
        <v/>
      </c>
      <c r="K393" s="7">
        <f>'1 datos preparados'!J386</f>
        <v/>
      </c>
      <c r="L393" s="7">
        <f>'1 datos preparados'!K386</f>
        <v/>
      </c>
      <c r="M393" s="7">
        <f>'1 datos preparados'!L386</f>
        <v/>
      </c>
      <c r="N393" s="7">
        <f>'1 datos preparados'!M386</f>
        <v/>
      </c>
      <c r="O393" s="7">
        <f>'1 datos preparados'!N386</f>
        <v/>
      </c>
      <c r="P393" s="7">
        <f>'1 datos preparados'!O386</f>
        <v/>
      </c>
      <c r="Q393" s="7">
        <f>'1 datos preparados'!P386</f>
        <v/>
      </c>
      <c r="R393" s="7">
        <f>'1 datos preparados'!Q386</f>
        <v/>
      </c>
      <c r="S393" s="7">
        <f>'1 datos preparados'!R386</f>
        <v/>
      </c>
      <c r="T393" s="7">
        <f>'1 datos preparados'!S386</f>
        <v/>
      </c>
      <c r="U393" s="7">
        <f>'1 datos preparados'!T386</f>
        <v/>
      </c>
      <c r="V393" s="8">
        <f>$AE$12+D393*$AE$13+E393*$AE$14+F393*$AE$15+G393*$AE$16+H393*$AE$17+I393*$AE$18+J393*$AE$19+K393*$AE$20+L393*$AE$21+M393*$AE$22+N393*$AE$23+O393*$AE$24+P393*$AE$25+Q393*$AE$26+R393*$AE$27+S393*$AE$28+T393*$AE$29+U393*$AE$30</f>
        <v/>
      </c>
      <c r="W393" s="8">
        <f>1/(1+EXP(-V393))</f>
        <v/>
      </c>
      <c r="X393" s="9">
        <f>-IF(C393=1,LN(W393),LN(1-W393))</f>
        <v/>
      </c>
      <c r="Y393" s="8">
        <f>IF(C393=1,$AE$32,$AE$33)</f>
        <v/>
      </c>
      <c r="Z393" s="9">
        <f>Y393*X393</f>
        <v/>
      </c>
      <c r="AA393" s="10">
        <f>IF(W393&gt;$AE$34,1,0)</f>
        <v/>
      </c>
      <c r="AB393">
        <f>IF(AA393=C393,1,0)</f>
        <v/>
      </c>
    </row>
    <row r="394">
      <c r="A394">
        <f>'1 datos preparados'!A387</f>
        <v/>
      </c>
      <c r="B394" s="5">
        <f>'1 datos preparados'!U387</f>
        <v/>
      </c>
      <c r="C394">
        <f>'1 datos preparados'!B387</f>
        <v/>
      </c>
      <c r="D394" s="7">
        <f>'1 datos preparados'!C387</f>
        <v/>
      </c>
      <c r="E394" s="7">
        <f>'1 datos preparados'!D387</f>
        <v/>
      </c>
      <c r="F394" s="7">
        <f>'1 datos preparados'!E387</f>
        <v/>
      </c>
      <c r="G394" s="7">
        <f>'1 datos preparados'!F387</f>
        <v/>
      </c>
      <c r="H394" s="7">
        <f>'1 datos preparados'!G387</f>
        <v/>
      </c>
      <c r="I394" s="7">
        <f>'1 datos preparados'!H387</f>
        <v/>
      </c>
      <c r="J394" s="7">
        <f>'1 datos preparados'!I387</f>
        <v/>
      </c>
      <c r="K394" s="7">
        <f>'1 datos preparados'!J387</f>
        <v/>
      </c>
      <c r="L394" s="7">
        <f>'1 datos preparados'!K387</f>
        <v/>
      </c>
      <c r="M394" s="7">
        <f>'1 datos preparados'!L387</f>
        <v/>
      </c>
      <c r="N394" s="7">
        <f>'1 datos preparados'!M387</f>
        <v/>
      </c>
      <c r="O394" s="7">
        <f>'1 datos preparados'!N387</f>
        <v/>
      </c>
      <c r="P394" s="7">
        <f>'1 datos preparados'!O387</f>
        <v/>
      </c>
      <c r="Q394" s="7">
        <f>'1 datos preparados'!P387</f>
        <v/>
      </c>
      <c r="R394" s="7">
        <f>'1 datos preparados'!Q387</f>
        <v/>
      </c>
      <c r="S394" s="7">
        <f>'1 datos preparados'!R387</f>
        <v/>
      </c>
      <c r="T394" s="7">
        <f>'1 datos preparados'!S387</f>
        <v/>
      </c>
      <c r="U394" s="7">
        <f>'1 datos preparados'!T387</f>
        <v/>
      </c>
      <c r="V394" s="8">
        <f>$AE$12+D394*$AE$13+E394*$AE$14+F394*$AE$15+G394*$AE$16+H394*$AE$17+I394*$AE$18+J394*$AE$19+K394*$AE$20+L394*$AE$21+M394*$AE$22+N394*$AE$23+O394*$AE$24+P394*$AE$25+Q394*$AE$26+R394*$AE$27+S394*$AE$28+T394*$AE$29+U394*$AE$30</f>
        <v/>
      </c>
      <c r="W394" s="8">
        <f>1/(1+EXP(-V394))</f>
        <v/>
      </c>
      <c r="X394" s="9">
        <f>-IF(C394=1,LN(W394),LN(1-W394))</f>
        <v/>
      </c>
      <c r="Y394" s="8">
        <f>IF(C394=1,$AE$32,$AE$33)</f>
        <v/>
      </c>
      <c r="Z394" s="9">
        <f>Y394*X394</f>
        <v/>
      </c>
      <c r="AA394" s="10">
        <f>IF(W394&gt;$AE$34,1,0)</f>
        <v/>
      </c>
      <c r="AB394">
        <f>IF(AA394=C394,1,0)</f>
        <v/>
      </c>
    </row>
    <row r="395">
      <c r="A395">
        <f>'1 datos preparados'!A388</f>
        <v/>
      </c>
      <c r="B395" s="5">
        <f>'1 datos preparados'!U388</f>
        <v/>
      </c>
      <c r="C395">
        <f>'1 datos preparados'!B388</f>
        <v/>
      </c>
      <c r="D395" s="7">
        <f>'1 datos preparados'!C388</f>
        <v/>
      </c>
      <c r="E395" s="7">
        <f>'1 datos preparados'!D388</f>
        <v/>
      </c>
      <c r="F395" s="7">
        <f>'1 datos preparados'!E388</f>
        <v/>
      </c>
      <c r="G395" s="7">
        <f>'1 datos preparados'!F388</f>
        <v/>
      </c>
      <c r="H395" s="7">
        <f>'1 datos preparados'!G388</f>
        <v/>
      </c>
      <c r="I395" s="7">
        <f>'1 datos preparados'!H388</f>
        <v/>
      </c>
      <c r="J395" s="7">
        <f>'1 datos preparados'!I388</f>
        <v/>
      </c>
      <c r="K395" s="7">
        <f>'1 datos preparados'!J388</f>
        <v/>
      </c>
      <c r="L395" s="7">
        <f>'1 datos preparados'!K388</f>
        <v/>
      </c>
      <c r="M395" s="7">
        <f>'1 datos preparados'!L388</f>
        <v/>
      </c>
      <c r="N395" s="7">
        <f>'1 datos preparados'!M388</f>
        <v/>
      </c>
      <c r="O395" s="7">
        <f>'1 datos preparados'!N388</f>
        <v/>
      </c>
      <c r="P395" s="7">
        <f>'1 datos preparados'!O388</f>
        <v/>
      </c>
      <c r="Q395" s="7">
        <f>'1 datos preparados'!P388</f>
        <v/>
      </c>
      <c r="R395" s="7">
        <f>'1 datos preparados'!Q388</f>
        <v/>
      </c>
      <c r="S395" s="7">
        <f>'1 datos preparados'!R388</f>
        <v/>
      </c>
      <c r="T395" s="7">
        <f>'1 datos preparados'!S388</f>
        <v/>
      </c>
      <c r="U395" s="7">
        <f>'1 datos preparados'!T388</f>
        <v/>
      </c>
      <c r="V395" s="8">
        <f>$AE$12+D395*$AE$13+E395*$AE$14+F395*$AE$15+G395*$AE$16+H395*$AE$17+I395*$AE$18+J395*$AE$19+K395*$AE$20+L395*$AE$21+M395*$AE$22+N395*$AE$23+O395*$AE$24+P395*$AE$25+Q395*$AE$26+R395*$AE$27+S395*$AE$28+T395*$AE$29+U395*$AE$30</f>
        <v/>
      </c>
      <c r="W395" s="8">
        <f>1/(1+EXP(-V395))</f>
        <v/>
      </c>
      <c r="X395" s="9">
        <f>-IF(C395=1,LN(W395),LN(1-W395))</f>
        <v/>
      </c>
      <c r="Y395" s="8">
        <f>IF(C395=1,$AE$32,$AE$33)</f>
        <v/>
      </c>
      <c r="Z395" s="9">
        <f>Y395*X395</f>
        <v/>
      </c>
      <c r="AA395" s="10">
        <f>IF(W395&gt;$AE$34,1,0)</f>
        <v/>
      </c>
      <c r="AB395">
        <f>IF(AA395=C395,1,0)</f>
        <v/>
      </c>
    </row>
    <row r="396">
      <c r="A396">
        <f>'1 datos preparados'!A389</f>
        <v/>
      </c>
      <c r="B396" s="5">
        <f>'1 datos preparados'!U389</f>
        <v/>
      </c>
      <c r="C396">
        <f>'1 datos preparados'!B389</f>
        <v/>
      </c>
      <c r="D396" s="7">
        <f>'1 datos preparados'!C389</f>
        <v/>
      </c>
      <c r="E396" s="7">
        <f>'1 datos preparados'!D389</f>
        <v/>
      </c>
      <c r="F396" s="7">
        <f>'1 datos preparados'!E389</f>
        <v/>
      </c>
      <c r="G396" s="7">
        <f>'1 datos preparados'!F389</f>
        <v/>
      </c>
      <c r="H396" s="7">
        <f>'1 datos preparados'!G389</f>
        <v/>
      </c>
      <c r="I396" s="7">
        <f>'1 datos preparados'!H389</f>
        <v/>
      </c>
      <c r="J396" s="7">
        <f>'1 datos preparados'!I389</f>
        <v/>
      </c>
      <c r="K396" s="7">
        <f>'1 datos preparados'!J389</f>
        <v/>
      </c>
      <c r="L396" s="7">
        <f>'1 datos preparados'!K389</f>
        <v/>
      </c>
      <c r="M396" s="7">
        <f>'1 datos preparados'!L389</f>
        <v/>
      </c>
      <c r="N396" s="7">
        <f>'1 datos preparados'!M389</f>
        <v/>
      </c>
      <c r="O396" s="7">
        <f>'1 datos preparados'!N389</f>
        <v/>
      </c>
      <c r="P396" s="7">
        <f>'1 datos preparados'!O389</f>
        <v/>
      </c>
      <c r="Q396" s="7">
        <f>'1 datos preparados'!P389</f>
        <v/>
      </c>
      <c r="R396" s="7">
        <f>'1 datos preparados'!Q389</f>
        <v/>
      </c>
      <c r="S396" s="7">
        <f>'1 datos preparados'!R389</f>
        <v/>
      </c>
      <c r="T396" s="7">
        <f>'1 datos preparados'!S389</f>
        <v/>
      </c>
      <c r="U396" s="7">
        <f>'1 datos preparados'!T389</f>
        <v/>
      </c>
      <c r="V396" s="8">
        <f>$AE$12+D396*$AE$13+E396*$AE$14+F396*$AE$15+G396*$AE$16+H396*$AE$17+I396*$AE$18+J396*$AE$19+K396*$AE$20+L396*$AE$21+M396*$AE$22+N396*$AE$23+O396*$AE$24+P396*$AE$25+Q396*$AE$26+R396*$AE$27+S396*$AE$28+T396*$AE$29+U396*$AE$30</f>
        <v/>
      </c>
      <c r="W396" s="8">
        <f>1/(1+EXP(-V396))</f>
        <v/>
      </c>
      <c r="X396" s="9">
        <f>-IF(C396=1,LN(W396),LN(1-W396))</f>
        <v/>
      </c>
      <c r="Y396" s="8">
        <f>IF(C396=1,$AE$32,$AE$33)</f>
        <v/>
      </c>
      <c r="Z396" s="9">
        <f>Y396*X396</f>
        <v/>
      </c>
      <c r="AA396" s="10">
        <f>IF(W396&gt;$AE$34,1,0)</f>
        <v/>
      </c>
      <c r="AB396">
        <f>IF(AA396=C396,1,0)</f>
        <v/>
      </c>
    </row>
    <row r="397">
      <c r="A397">
        <f>'1 datos preparados'!A390</f>
        <v/>
      </c>
      <c r="B397" s="5">
        <f>'1 datos preparados'!U390</f>
        <v/>
      </c>
      <c r="C397">
        <f>'1 datos preparados'!B390</f>
        <v/>
      </c>
      <c r="D397" s="7">
        <f>'1 datos preparados'!C390</f>
        <v/>
      </c>
      <c r="E397" s="7">
        <f>'1 datos preparados'!D390</f>
        <v/>
      </c>
      <c r="F397" s="7">
        <f>'1 datos preparados'!E390</f>
        <v/>
      </c>
      <c r="G397" s="7">
        <f>'1 datos preparados'!F390</f>
        <v/>
      </c>
      <c r="H397" s="7">
        <f>'1 datos preparados'!G390</f>
        <v/>
      </c>
      <c r="I397" s="7">
        <f>'1 datos preparados'!H390</f>
        <v/>
      </c>
      <c r="J397" s="7">
        <f>'1 datos preparados'!I390</f>
        <v/>
      </c>
      <c r="K397" s="7">
        <f>'1 datos preparados'!J390</f>
        <v/>
      </c>
      <c r="L397" s="7">
        <f>'1 datos preparados'!K390</f>
        <v/>
      </c>
      <c r="M397" s="7">
        <f>'1 datos preparados'!L390</f>
        <v/>
      </c>
      <c r="N397" s="7">
        <f>'1 datos preparados'!M390</f>
        <v/>
      </c>
      <c r="O397" s="7">
        <f>'1 datos preparados'!N390</f>
        <v/>
      </c>
      <c r="P397" s="7">
        <f>'1 datos preparados'!O390</f>
        <v/>
      </c>
      <c r="Q397" s="7">
        <f>'1 datos preparados'!P390</f>
        <v/>
      </c>
      <c r="R397" s="7">
        <f>'1 datos preparados'!Q390</f>
        <v/>
      </c>
      <c r="S397" s="7">
        <f>'1 datos preparados'!R390</f>
        <v/>
      </c>
      <c r="T397" s="7">
        <f>'1 datos preparados'!S390</f>
        <v/>
      </c>
      <c r="U397" s="7">
        <f>'1 datos preparados'!T390</f>
        <v/>
      </c>
      <c r="V397" s="8">
        <f>$AE$12+D397*$AE$13+E397*$AE$14+F397*$AE$15+G397*$AE$16+H397*$AE$17+I397*$AE$18+J397*$AE$19+K397*$AE$20+L397*$AE$21+M397*$AE$22+N397*$AE$23+O397*$AE$24+P397*$AE$25+Q397*$AE$26+R397*$AE$27+S397*$AE$28+T397*$AE$29+U397*$AE$30</f>
        <v/>
      </c>
      <c r="W397" s="8">
        <f>1/(1+EXP(-V397))</f>
        <v/>
      </c>
      <c r="X397" s="9">
        <f>-IF(C397=1,LN(W397),LN(1-W397))</f>
        <v/>
      </c>
      <c r="Y397" s="8">
        <f>IF(C397=1,$AE$32,$AE$33)</f>
        <v/>
      </c>
      <c r="Z397" s="9">
        <f>Y397*X397</f>
        <v/>
      </c>
      <c r="AA397" s="10">
        <f>IF(W397&gt;$AE$34,1,0)</f>
        <v/>
      </c>
      <c r="AB397">
        <f>IF(AA397=C397,1,0)</f>
        <v/>
      </c>
    </row>
    <row r="398">
      <c r="A398">
        <f>'1 datos preparados'!A391</f>
        <v/>
      </c>
      <c r="B398" s="5">
        <f>'1 datos preparados'!U391</f>
        <v/>
      </c>
      <c r="C398">
        <f>'1 datos preparados'!B391</f>
        <v/>
      </c>
      <c r="D398" s="7">
        <f>'1 datos preparados'!C391</f>
        <v/>
      </c>
      <c r="E398" s="7">
        <f>'1 datos preparados'!D391</f>
        <v/>
      </c>
      <c r="F398" s="7">
        <f>'1 datos preparados'!E391</f>
        <v/>
      </c>
      <c r="G398" s="7">
        <f>'1 datos preparados'!F391</f>
        <v/>
      </c>
      <c r="H398" s="7">
        <f>'1 datos preparados'!G391</f>
        <v/>
      </c>
      <c r="I398" s="7">
        <f>'1 datos preparados'!H391</f>
        <v/>
      </c>
      <c r="J398" s="7">
        <f>'1 datos preparados'!I391</f>
        <v/>
      </c>
      <c r="K398" s="7">
        <f>'1 datos preparados'!J391</f>
        <v/>
      </c>
      <c r="L398" s="7">
        <f>'1 datos preparados'!K391</f>
        <v/>
      </c>
      <c r="M398" s="7">
        <f>'1 datos preparados'!L391</f>
        <v/>
      </c>
      <c r="N398" s="7">
        <f>'1 datos preparados'!M391</f>
        <v/>
      </c>
      <c r="O398" s="7">
        <f>'1 datos preparados'!N391</f>
        <v/>
      </c>
      <c r="P398" s="7">
        <f>'1 datos preparados'!O391</f>
        <v/>
      </c>
      <c r="Q398" s="7">
        <f>'1 datos preparados'!P391</f>
        <v/>
      </c>
      <c r="R398" s="7">
        <f>'1 datos preparados'!Q391</f>
        <v/>
      </c>
      <c r="S398" s="7">
        <f>'1 datos preparados'!R391</f>
        <v/>
      </c>
      <c r="T398" s="7">
        <f>'1 datos preparados'!S391</f>
        <v/>
      </c>
      <c r="U398" s="7">
        <f>'1 datos preparados'!T391</f>
        <v/>
      </c>
      <c r="V398" s="8">
        <f>$AE$12+D398*$AE$13+E398*$AE$14+F398*$AE$15+G398*$AE$16+H398*$AE$17+I398*$AE$18+J398*$AE$19+K398*$AE$20+L398*$AE$21+M398*$AE$22+N398*$AE$23+O398*$AE$24+P398*$AE$25+Q398*$AE$26+R398*$AE$27+S398*$AE$28+T398*$AE$29+U398*$AE$30</f>
        <v/>
      </c>
      <c r="W398" s="8">
        <f>1/(1+EXP(-V398))</f>
        <v/>
      </c>
      <c r="X398" s="9">
        <f>-IF(C398=1,LN(W398),LN(1-W398))</f>
        <v/>
      </c>
      <c r="Y398" s="8">
        <f>IF(C398=1,$AE$32,$AE$33)</f>
        <v/>
      </c>
      <c r="Z398" s="9">
        <f>Y398*X398</f>
        <v/>
      </c>
      <c r="AA398" s="10">
        <f>IF(W398&gt;$AE$34,1,0)</f>
        <v/>
      </c>
      <c r="AB398">
        <f>IF(AA398=C398,1,0)</f>
        <v/>
      </c>
    </row>
    <row r="399">
      <c r="A399">
        <f>'1 datos preparados'!A392</f>
        <v/>
      </c>
      <c r="B399" s="5">
        <f>'1 datos preparados'!U392</f>
        <v/>
      </c>
      <c r="C399">
        <f>'1 datos preparados'!B392</f>
        <v/>
      </c>
      <c r="D399" s="7">
        <f>'1 datos preparados'!C392</f>
        <v/>
      </c>
      <c r="E399" s="7">
        <f>'1 datos preparados'!D392</f>
        <v/>
      </c>
      <c r="F399" s="7">
        <f>'1 datos preparados'!E392</f>
        <v/>
      </c>
      <c r="G399" s="7">
        <f>'1 datos preparados'!F392</f>
        <v/>
      </c>
      <c r="H399" s="7">
        <f>'1 datos preparados'!G392</f>
        <v/>
      </c>
      <c r="I399" s="7">
        <f>'1 datos preparados'!H392</f>
        <v/>
      </c>
      <c r="J399" s="7">
        <f>'1 datos preparados'!I392</f>
        <v/>
      </c>
      <c r="K399" s="7">
        <f>'1 datos preparados'!J392</f>
        <v/>
      </c>
      <c r="L399" s="7">
        <f>'1 datos preparados'!K392</f>
        <v/>
      </c>
      <c r="M399" s="7">
        <f>'1 datos preparados'!L392</f>
        <v/>
      </c>
      <c r="N399" s="7">
        <f>'1 datos preparados'!M392</f>
        <v/>
      </c>
      <c r="O399" s="7">
        <f>'1 datos preparados'!N392</f>
        <v/>
      </c>
      <c r="P399" s="7">
        <f>'1 datos preparados'!O392</f>
        <v/>
      </c>
      <c r="Q399" s="7">
        <f>'1 datos preparados'!P392</f>
        <v/>
      </c>
      <c r="R399" s="7">
        <f>'1 datos preparados'!Q392</f>
        <v/>
      </c>
      <c r="S399" s="7">
        <f>'1 datos preparados'!R392</f>
        <v/>
      </c>
      <c r="T399" s="7">
        <f>'1 datos preparados'!S392</f>
        <v/>
      </c>
      <c r="U399" s="7">
        <f>'1 datos preparados'!T392</f>
        <v/>
      </c>
      <c r="V399" s="8">
        <f>$AE$12+D399*$AE$13+E399*$AE$14+F399*$AE$15+G399*$AE$16+H399*$AE$17+I399*$AE$18+J399*$AE$19+K399*$AE$20+L399*$AE$21+M399*$AE$22+N399*$AE$23+O399*$AE$24+P399*$AE$25+Q399*$AE$26+R399*$AE$27+S399*$AE$28+T399*$AE$29+U399*$AE$30</f>
        <v/>
      </c>
      <c r="W399" s="8">
        <f>1/(1+EXP(-V399))</f>
        <v/>
      </c>
      <c r="X399" s="9">
        <f>-IF(C399=1,LN(W399),LN(1-W399))</f>
        <v/>
      </c>
      <c r="Y399" s="8">
        <f>IF(C399=1,$AE$32,$AE$33)</f>
        <v/>
      </c>
      <c r="Z399" s="9">
        <f>Y399*X399</f>
        <v/>
      </c>
      <c r="AA399" s="10">
        <f>IF(W399&gt;$AE$34,1,0)</f>
        <v/>
      </c>
      <c r="AB399">
        <f>IF(AA399=C399,1,0)</f>
        <v/>
      </c>
    </row>
    <row r="400">
      <c r="A400">
        <f>'1 datos preparados'!A393</f>
        <v/>
      </c>
      <c r="B400" s="5">
        <f>'1 datos preparados'!U393</f>
        <v/>
      </c>
      <c r="C400">
        <f>'1 datos preparados'!B393</f>
        <v/>
      </c>
      <c r="D400" s="7">
        <f>'1 datos preparados'!C393</f>
        <v/>
      </c>
      <c r="E400" s="7">
        <f>'1 datos preparados'!D393</f>
        <v/>
      </c>
      <c r="F400" s="7">
        <f>'1 datos preparados'!E393</f>
        <v/>
      </c>
      <c r="G400" s="7">
        <f>'1 datos preparados'!F393</f>
        <v/>
      </c>
      <c r="H400" s="7">
        <f>'1 datos preparados'!G393</f>
        <v/>
      </c>
      <c r="I400" s="7">
        <f>'1 datos preparados'!H393</f>
        <v/>
      </c>
      <c r="J400" s="7">
        <f>'1 datos preparados'!I393</f>
        <v/>
      </c>
      <c r="K400" s="7">
        <f>'1 datos preparados'!J393</f>
        <v/>
      </c>
      <c r="L400" s="7">
        <f>'1 datos preparados'!K393</f>
        <v/>
      </c>
      <c r="M400" s="7">
        <f>'1 datos preparados'!L393</f>
        <v/>
      </c>
      <c r="N400" s="7">
        <f>'1 datos preparados'!M393</f>
        <v/>
      </c>
      <c r="O400" s="7">
        <f>'1 datos preparados'!N393</f>
        <v/>
      </c>
      <c r="P400" s="7">
        <f>'1 datos preparados'!O393</f>
        <v/>
      </c>
      <c r="Q400" s="7">
        <f>'1 datos preparados'!P393</f>
        <v/>
      </c>
      <c r="R400" s="7">
        <f>'1 datos preparados'!Q393</f>
        <v/>
      </c>
      <c r="S400" s="7">
        <f>'1 datos preparados'!R393</f>
        <v/>
      </c>
      <c r="T400" s="7">
        <f>'1 datos preparados'!S393</f>
        <v/>
      </c>
      <c r="U400" s="7">
        <f>'1 datos preparados'!T393</f>
        <v/>
      </c>
      <c r="V400" s="8">
        <f>$AE$12+D400*$AE$13+E400*$AE$14+F400*$AE$15+G400*$AE$16+H400*$AE$17+I400*$AE$18+J400*$AE$19+K400*$AE$20+L400*$AE$21+M400*$AE$22+N400*$AE$23+O400*$AE$24+P400*$AE$25+Q400*$AE$26+R400*$AE$27+S400*$AE$28+T400*$AE$29+U400*$AE$30</f>
        <v/>
      </c>
      <c r="W400" s="8">
        <f>1/(1+EXP(-V400))</f>
        <v/>
      </c>
      <c r="X400" s="9">
        <f>-IF(C400=1,LN(W400),LN(1-W400))</f>
        <v/>
      </c>
      <c r="Y400" s="8">
        <f>IF(C400=1,$AE$32,$AE$33)</f>
        <v/>
      </c>
      <c r="Z400" s="9">
        <f>Y400*X400</f>
        <v/>
      </c>
      <c r="AA400" s="10">
        <f>IF(W400&gt;$AE$34,1,0)</f>
        <v/>
      </c>
      <c r="AB400">
        <f>IF(AA400=C400,1,0)</f>
        <v/>
      </c>
    </row>
    <row r="401">
      <c r="A401">
        <f>'1 datos preparados'!A394</f>
        <v/>
      </c>
      <c r="B401" s="5">
        <f>'1 datos preparados'!U394</f>
        <v/>
      </c>
      <c r="C401">
        <f>'1 datos preparados'!B394</f>
        <v/>
      </c>
      <c r="D401" s="7">
        <f>'1 datos preparados'!C394</f>
        <v/>
      </c>
      <c r="E401" s="7">
        <f>'1 datos preparados'!D394</f>
        <v/>
      </c>
      <c r="F401" s="7">
        <f>'1 datos preparados'!E394</f>
        <v/>
      </c>
      <c r="G401" s="7">
        <f>'1 datos preparados'!F394</f>
        <v/>
      </c>
      <c r="H401" s="7">
        <f>'1 datos preparados'!G394</f>
        <v/>
      </c>
      <c r="I401" s="7">
        <f>'1 datos preparados'!H394</f>
        <v/>
      </c>
      <c r="J401" s="7">
        <f>'1 datos preparados'!I394</f>
        <v/>
      </c>
      <c r="K401" s="7">
        <f>'1 datos preparados'!J394</f>
        <v/>
      </c>
      <c r="L401" s="7">
        <f>'1 datos preparados'!K394</f>
        <v/>
      </c>
      <c r="M401" s="7">
        <f>'1 datos preparados'!L394</f>
        <v/>
      </c>
      <c r="N401" s="7">
        <f>'1 datos preparados'!M394</f>
        <v/>
      </c>
      <c r="O401" s="7">
        <f>'1 datos preparados'!N394</f>
        <v/>
      </c>
      <c r="P401" s="7">
        <f>'1 datos preparados'!O394</f>
        <v/>
      </c>
      <c r="Q401" s="7">
        <f>'1 datos preparados'!P394</f>
        <v/>
      </c>
      <c r="R401" s="7">
        <f>'1 datos preparados'!Q394</f>
        <v/>
      </c>
      <c r="S401" s="7">
        <f>'1 datos preparados'!R394</f>
        <v/>
      </c>
      <c r="T401" s="7">
        <f>'1 datos preparados'!S394</f>
        <v/>
      </c>
      <c r="U401" s="7">
        <f>'1 datos preparados'!T394</f>
        <v/>
      </c>
      <c r="V401" s="8">
        <f>$AE$12+D401*$AE$13+E401*$AE$14+F401*$AE$15+G401*$AE$16+H401*$AE$17+I401*$AE$18+J401*$AE$19+K401*$AE$20+L401*$AE$21+M401*$AE$22+N401*$AE$23+O401*$AE$24+P401*$AE$25+Q401*$AE$26+R401*$AE$27+S401*$AE$28+T401*$AE$29+U401*$AE$30</f>
        <v/>
      </c>
      <c r="W401" s="8">
        <f>1/(1+EXP(-V401))</f>
        <v/>
      </c>
      <c r="X401" s="9">
        <f>-IF(C401=1,LN(W401),LN(1-W401))</f>
        <v/>
      </c>
      <c r="Y401" s="8">
        <f>IF(C401=1,$AE$32,$AE$33)</f>
        <v/>
      </c>
      <c r="Z401" s="9">
        <f>Y401*X401</f>
        <v/>
      </c>
      <c r="AA401" s="10">
        <f>IF(W401&gt;$AE$34,1,0)</f>
        <v/>
      </c>
      <c r="AB401">
        <f>IF(AA401=C401,1,0)</f>
        <v/>
      </c>
    </row>
    <row r="402">
      <c r="A402">
        <f>'1 datos preparados'!A395</f>
        <v/>
      </c>
      <c r="B402" s="5">
        <f>'1 datos preparados'!U395</f>
        <v/>
      </c>
      <c r="C402">
        <f>'1 datos preparados'!B395</f>
        <v/>
      </c>
      <c r="D402" s="7">
        <f>'1 datos preparados'!C395</f>
        <v/>
      </c>
      <c r="E402" s="7">
        <f>'1 datos preparados'!D395</f>
        <v/>
      </c>
      <c r="F402" s="7">
        <f>'1 datos preparados'!E395</f>
        <v/>
      </c>
      <c r="G402" s="7">
        <f>'1 datos preparados'!F395</f>
        <v/>
      </c>
      <c r="H402" s="7">
        <f>'1 datos preparados'!G395</f>
        <v/>
      </c>
      <c r="I402" s="7">
        <f>'1 datos preparados'!H395</f>
        <v/>
      </c>
      <c r="J402" s="7">
        <f>'1 datos preparados'!I395</f>
        <v/>
      </c>
      <c r="K402" s="7">
        <f>'1 datos preparados'!J395</f>
        <v/>
      </c>
      <c r="L402" s="7">
        <f>'1 datos preparados'!K395</f>
        <v/>
      </c>
      <c r="M402" s="7">
        <f>'1 datos preparados'!L395</f>
        <v/>
      </c>
      <c r="N402" s="7">
        <f>'1 datos preparados'!M395</f>
        <v/>
      </c>
      <c r="O402" s="7">
        <f>'1 datos preparados'!N395</f>
        <v/>
      </c>
      <c r="P402" s="7">
        <f>'1 datos preparados'!O395</f>
        <v/>
      </c>
      <c r="Q402" s="7">
        <f>'1 datos preparados'!P395</f>
        <v/>
      </c>
      <c r="R402" s="7">
        <f>'1 datos preparados'!Q395</f>
        <v/>
      </c>
      <c r="S402" s="7">
        <f>'1 datos preparados'!R395</f>
        <v/>
      </c>
      <c r="T402" s="7">
        <f>'1 datos preparados'!S395</f>
        <v/>
      </c>
      <c r="U402" s="7">
        <f>'1 datos preparados'!T395</f>
        <v/>
      </c>
      <c r="V402" s="8">
        <f>$AE$12+D402*$AE$13+E402*$AE$14+F402*$AE$15+G402*$AE$16+H402*$AE$17+I402*$AE$18+J402*$AE$19+K402*$AE$20+L402*$AE$21+M402*$AE$22+N402*$AE$23+O402*$AE$24+P402*$AE$25+Q402*$AE$26+R402*$AE$27+S402*$AE$28+T402*$AE$29+U402*$AE$30</f>
        <v/>
      </c>
      <c r="W402" s="8">
        <f>1/(1+EXP(-V402))</f>
        <v/>
      </c>
      <c r="X402" s="9">
        <f>-IF(C402=1,LN(W402),LN(1-W402))</f>
        <v/>
      </c>
      <c r="Y402" s="8">
        <f>IF(C402=1,$AE$32,$AE$33)</f>
        <v/>
      </c>
      <c r="Z402" s="9">
        <f>Y402*X402</f>
        <v/>
      </c>
      <c r="AA402" s="10">
        <f>IF(W402&gt;$AE$34,1,0)</f>
        <v/>
      </c>
      <c r="AB402">
        <f>IF(AA402=C402,1,0)</f>
        <v/>
      </c>
    </row>
    <row r="403">
      <c r="A403">
        <f>'1 datos preparados'!A396</f>
        <v/>
      </c>
      <c r="B403" s="5">
        <f>'1 datos preparados'!U396</f>
        <v/>
      </c>
      <c r="C403">
        <f>'1 datos preparados'!B396</f>
        <v/>
      </c>
      <c r="D403" s="7">
        <f>'1 datos preparados'!C396</f>
        <v/>
      </c>
      <c r="E403" s="7">
        <f>'1 datos preparados'!D396</f>
        <v/>
      </c>
      <c r="F403" s="7">
        <f>'1 datos preparados'!E396</f>
        <v/>
      </c>
      <c r="G403" s="7">
        <f>'1 datos preparados'!F396</f>
        <v/>
      </c>
      <c r="H403" s="7">
        <f>'1 datos preparados'!G396</f>
        <v/>
      </c>
      <c r="I403" s="7">
        <f>'1 datos preparados'!H396</f>
        <v/>
      </c>
      <c r="J403" s="7">
        <f>'1 datos preparados'!I396</f>
        <v/>
      </c>
      <c r="K403" s="7">
        <f>'1 datos preparados'!J396</f>
        <v/>
      </c>
      <c r="L403" s="7">
        <f>'1 datos preparados'!K396</f>
        <v/>
      </c>
      <c r="M403" s="7">
        <f>'1 datos preparados'!L396</f>
        <v/>
      </c>
      <c r="N403" s="7">
        <f>'1 datos preparados'!M396</f>
        <v/>
      </c>
      <c r="O403" s="7">
        <f>'1 datos preparados'!N396</f>
        <v/>
      </c>
      <c r="P403" s="7">
        <f>'1 datos preparados'!O396</f>
        <v/>
      </c>
      <c r="Q403" s="7">
        <f>'1 datos preparados'!P396</f>
        <v/>
      </c>
      <c r="R403" s="7">
        <f>'1 datos preparados'!Q396</f>
        <v/>
      </c>
      <c r="S403" s="7">
        <f>'1 datos preparados'!R396</f>
        <v/>
      </c>
      <c r="T403" s="7">
        <f>'1 datos preparados'!S396</f>
        <v/>
      </c>
      <c r="U403" s="7">
        <f>'1 datos preparados'!T396</f>
        <v/>
      </c>
      <c r="V403" s="8">
        <f>$AE$12+D403*$AE$13+E403*$AE$14+F403*$AE$15+G403*$AE$16+H403*$AE$17+I403*$AE$18+J403*$AE$19+K403*$AE$20+L403*$AE$21+M403*$AE$22+N403*$AE$23+O403*$AE$24+P403*$AE$25+Q403*$AE$26+R403*$AE$27+S403*$AE$28+T403*$AE$29+U403*$AE$30</f>
        <v/>
      </c>
      <c r="W403" s="8">
        <f>1/(1+EXP(-V403))</f>
        <v/>
      </c>
      <c r="X403" s="9">
        <f>-IF(C403=1,LN(W403),LN(1-W403))</f>
        <v/>
      </c>
      <c r="Y403" s="8">
        <f>IF(C403=1,$AE$32,$AE$33)</f>
        <v/>
      </c>
      <c r="Z403" s="9">
        <f>Y403*X403</f>
        <v/>
      </c>
      <c r="AA403" s="10">
        <f>IF(W403&gt;$AE$34,1,0)</f>
        <v/>
      </c>
      <c r="AB403">
        <f>IF(AA403=C403,1,0)</f>
        <v/>
      </c>
    </row>
    <row r="404">
      <c r="A404">
        <f>'1 datos preparados'!A397</f>
        <v/>
      </c>
      <c r="B404" s="5">
        <f>'1 datos preparados'!U397</f>
        <v/>
      </c>
      <c r="C404">
        <f>'1 datos preparados'!B397</f>
        <v/>
      </c>
      <c r="D404" s="7">
        <f>'1 datos preparados'!C397</f>
        <v/>
      </c>
      <c r="E404" s="7">
        <f>'1 datos preparados'!D397</f>
        <v/>
      </c>
      <c r="F404" s="7">
        <f>'1 datos preparados'!E397</f>
        <v/>
      </c>
      <c r="G404" s="7">
        <f>'1 datos preparados'!F397</f>
        <v/>
      </c>
      <c r="H404" s="7">
        <f>'1 datos preparados'!G397</f>
        <v/>
      </c>
      <c r="I404" s="7">
        <f>'1 datos preparados'!H397</f>
        <v/>
      </c>
      <c r="J404" s="7">
        <f>'1 datos preparados'!I397</f>
        <v/>
      </c>
      <c r="K404" s="7">
        <f>'1 datos preparados'!J397</f>
        <v/>
      </c>
      <c r="L404" s="7">
        <f>'1 datos preparados'!K397</f>
        <v/>
      </c>
      <c r="M404" s="7">
        <f>'1 datos preparados'!L397</f>
        <v/>
      </c>
      <c r="N404" s="7">
        <f>'1 datos preparados'!M397</f>
        <v/>
      </c>
      <c r="O404" s="7">
        <f>'1 datos preparados'!N397</f>
        <v/>
      </c>
      <c r="P404" s="7">
        <f>'1 datos preparados'!O397</f>
        <v/>
      </c>
      <c r="Q404" s="7">
        <f>'1 datos preparados'!P397</f>
        <v/>
      </c>
      <c r="R404" s="7">
        <f>'1 datos preparados'!Q397</f>
        <v/>
      </c>
      <c r="S404" s="7">
        <f>'1 datos preparados'!R397</f>
        <v/>
      </c>
      <c r="T404" s="7">
        <f>'1 datos preparados'!S397</f>
        <v/>
      </c>
      <c r="U404" s="7">
        <f>'1 datos preparados'!T397</f>
        <v/>
      </c>
      <c r="V404" s="8">
        <f>$AE$12+D404*$AE$13+E404*$AE$14+F404*$AE$15+G404*$AE$16+H404*$AE$17+I404*$AE$18+J404*$AE$19+K404*$AE$20+L404*$AE$21+M404*$AE$22+N404*$AE$23+O404*$AE$24+P404*$AE$25+Q404*$AE$26+R404*$AE$27+S404*$AE$28+T404*$AE$29+U404*$AE$30</f>
        <v/>
      </c>
      <c r="W404" s="8">
        <f>1/(1+EXP(-V404))</f>
        <v/>
      </c>
      <c r="X404" s="9">
        <f>-IF(C404=1,LN(W404),LN(1-W404))</f>
        <v/>
      </c>
      <c r="Y404" s="8">
        <f>IF(C404=1,$AE$32,$AE$33)</f>
        <v/>
      </c>
      <c r="Z404" s="9">
        <f>Y404*X404</f>
        <v/>
      </c>
      <c r="AA404" s="10">
        <f>IF(W404&gt;$AE$34,1,0)</f>
        <v/>
      </c>
      <c r="AB404">
        <f>IF(AA404=C404,1,0)</f>
        <v/>
      </c>
    </row>
    <row r="405">
      <c r="A405">
        <f>'1 datos preparados'!A398</f>
        <v/>
      </c>
      <c r="B405" s="5">
        <f>'1 datos preparados'!U398</f>
        <v/>
      </c>
      <c r="C405">
        <f>'1 datos preparados'!B398</f>
        <v/>
      </c>
      <c r="D405" s="7">
        <f>'1 datos preparados'!C398</f>
        <v/>
      </c>
      <c r="E405" s="7">
        <f>'1 datos preparados'!D398</f>
        <v/>
      </c>
      <c r="F405" s="7">
        <f>'1 datos preparados'!E398</f>
        <v/>
      </c>
      <c r="G405" s="7">
        <f>'1 datos preparados'!F398</f>
        <v/>
      </c>
      <c r="H405" s="7">
        <f>'1 datos preparados'!G398</f>
        <v/>
      </c>
      <c r="I405" s="7">
        <f>'1 datos preparados'!H398</f>
        <v/>
      </c>
      <c r="J405" s="7">
        <f>'1 datos preparados'!I398</f>
        <v/>
      </c>
      <c r="K405" s="7">
        <f>'1 datos preparados'!J398</f>
        <v/>
      </c>
      <c r="L405" s="7">
        <f>'1 datos preparados'!K398</f>
        <v/>
      </c>
      <c r="M405" s="7">
        <f>'1 datos preparados'!L398</f>
        <v/>
      </c>
      <c r="N405" s="7">
        <f>'1 datos preparados'!M398</f>
        <v/>
      </c>
      <c r="O405" s="7">
        <f>'1 datos preparados'!N398</f>
        <v/>
      </c>
      <c r="P405" s="7">
        <f>'1 datos preparados'!O398</f>
        <v/>
      </c>
      <c r="Q405" s="7">
        <f>'1 datos preparados'!P398</f>
        <v/>
      </c>
      <c r="R405" s="7">
        <f>'1 datos preparados'!Q398</f>
        <v/>
      </c>
      <c r="S405" s="7">
        <f>'1 datos preparados'!R398</f>
        <v/>
      </c>
      <c r="T405" s="7">
        <f>'1 datos preparados'!S398</f>
        <v/>
      </c>
      <c r="U405" s="7">
        <f>'1 datos preparados'!T398</f>
        <v/>
      </c>
      <c r="V405" s="8">
        <f>$AE$12+D405*$AE$13+E405*$AE$14+F405*$AE$15+G405*$AE$16+H405*$AE$17+I405*$AE$18+J405*$AE$19+K405*$AE$20+L405*$AE$21+M405*$AE$22+N405*$AE$23+O405*$AE$24+P405*$AE$25+Q405*$AE$26+R405*$AE$27+S405*$AE$28+T405*$AE$29+U405*$AE$30</f>
        <v/>
      </c>
      <c r="W405" s="8">
        <f>1/(1+EXP(-V405))</f>
        <v/>
      </c>
      <c r="X405" s="9">
        <f>-IF(C405=1,LN(W405),LN(1-W405))</f>
        <v/>
      </c>
      <c r="Y405" s="8">
        <f>IF(C405=1,$AE$32,$AE$33)</f>
        <v/>
      </c>
      <c r="Z405" s="9">
        <f>Y405*X405</f>
        <v/>
      </c>
      <c r="AA405" s="10">
        <f>IF(W405&gt;$AE$34,1,0)</f>
        <v/>
      </c>
      <c r="AB405">
        <f>IF(AA405=C405,1,0)</f>
        <v/>
      </c>
    </row>
    <row r="406">
      <c r="A406">
        <f>'1 datos preparados'!A399</f>
        <v/>
      </c>
      <c r="B406" s="5">
        <f>'1 datos preparados'!U399</f>
        <v/>
      </c>
      <c r="C406">
        <f>'1 datos preparados'!B399</f>
        <v/>
      </c>
      <c r="D406" s="7">
        <f>'1 datos preparados'!C399</f>
        <v/>
      </c>
      <c r="E406" s="7">
        <f>'1 datos preparados'!D399</f>
        <v/>
      </c>
      <c r="F406" s="7">
        <f>'1 datos preparados'!E399</f>
        <v/>
      </c>
      <c r="G406" s="7">
        <f>'1 datos preparados'!F399</f>
        <v/>
      </c>
      <c r="H406" s="7">
        <f>'1 datos preparados'!G399</f>
        <v/>
      </c>
      <c r="I406" s="7">
        <f>'1 datos preparados'!H399</f>
        <v/>
      </c>
      <c r="J406" s="7">
        <f>'1 datos preparados'!I399</f>
        <v/>
      </c>
      <c r="K406" s="7">
        <f>'1 datos preparados'!J399</f>
        <v/>
      </c>
      <c r="L406" s="7">
        <f>'1 datos preparados'!K399</f>
        <v/>
      </c>
      <c r="M406" s="7">
        <f>'1 datos preparados'!L399</f>
        <v/>
      </c>
      <c r="N406" s="7">
        <f>'1 datos preparados'!M399</f>
        <v/>
      </c>
      <c r="O406" s="7">
        <f>'1 datos preparados'!N399</f>
        <v/>
      </c>
      <c r="P406" s="7">
        <f>'1 datos preparados'!O399</f>
        <v/>
      </c>
      <c r="Q406" s="7">
        <f>'1 datos preparados'!P399</f>
        <v/>
      </c>
      <c r="R406" s="7">
        <f>'1 datos preparados'!Q399</f>
        <v/>
      </c>
      <c r="S406" s="7">
        <f>'1 datos preparados'!R399</f>
        <v/>
      </c>
      <c r="T406" s="7">
        <f>'1 datos preparados'!S399</f>
        <v/>
      </c>
      <c r="U406" s="7">
        <f>'1 datos preparados'!T399</f>
        <v/>
      </c>
      <c r="V406" s="8">
        <f>$AE$12+D406*$AE$13+E406*$AE$14+F406*$AE$15+G406*$AE$16+H406*$AE$17+I406*$AE$18+J406*$AE$19+K406*$AE$20+L406*$AE$21+M406*$AE$22+N406*$AE$23+O406*$AE$24+P406*$AE$25+Q406*$AE$26+R406*$AE$27+S406*$AE$28+T406*$AE$29+U406*$AE$30</f>
        <v/>
      </c>
      <c r="W406" s="8">
        <f>1/(1+EXP(-V406))</f>
        <v/>
      </c>
      <c r="X406" s="9">
        <f>-IF(C406=1,LN(W406),LN(1-W406))</f>
        <v/>
      </c>
      <c r="Y406" s="8">
        <f>IF(C406=1,$AE$32,$AE$33)</f>
        <v/>
      </c>
      <c r="Z406" s="9">
        <f>Y406*X406</f>
        <v/>
      </c>
      <c r="AA406" s="10">
        <f>IF(W406&gt;$AE$34,1,0)</f>
        <v/>
      </c>
      <c r="AB406">
        <f>IF(AA406=C406,1,0)</f>
        <v/>
      </c>
    </row>
    <row r="407">
      <c r="A407">
        <f>'1 datos preparados'!A400</f>
        <v/>
      </c>
      <c r="B407" s="5">
        <f>'1 datos preparados'!U400</f>
        <v/>
      </c>
      <c r="C407">
        <f>'1 datos preparados'!B400</f>
        <v/>
      </c>
      <c r="D407" s="7">
        <f>'1 datos preparados'!C400</f>
        <v/>
      </c>
      <c r="E407" s="7">
        <f>'1 datos preparados'!D400</f>
        <v/>
      </c>
      <c r="F407" s="7">
        <f>'1 datos preparados'!E400</f>
        <v/>
      </c>
      <c r="G407" s="7">
        <f>'1 datos preparados'!F400</f>
        <v/>
      </c>
      <c r="H407" s="7">
        <f>'1 datos preparados'!G400</f>
        <v/>
      </c>
      <c r="I407" s="7">
        <f>'1 datos preparados'!H400</f>
        <v/>
      </c>
      <c r="J407" s="7">
        <f>'1 datos preparados'!I400</f>
        <v/>
      </c>
      <c r="K407" s="7">
        <f>'1 datos preparados'!J400</f>
        <v/>
      </c>
      <c r="L407" s="7">
        <f>'1 datos preparados'!K400</f>
        <v/>
      </c>
      <c r="M407" s="7">
        <f>'1 datos preparados'!L400</f>
        <v/>
      </c>
      <c r="N407" s="7">
        <f>'1 datos preparados'!M400</f>
        <v/>
      </c>
      <c r="O407" s="7">
        <f>'1 datos preparados'!N400</f>
        <v/>
      </c>
      <c r="P407" s="7">
        <f>'1 datos preparados'!O400</f>
        <v/>
      </c>
      <c r="Q407" s="7">
        <f>'1 datos preparados'!P400</f>
        <v/>
      </c>
      <c r="R407" s="7">
        <f>'1 datos preparados'!Q400</f>
        <v/>
      </c>
      <c r="S407" s="7">
        <f>'1 datos preparados'!R400</f>
        <v/>
      </c>
      <c r="T407" s="7">
        <f>'1 datos preparados'!S400</f>
        <v/>
      </c>
      <c r="U407" s="7">
        <f>'1 datos preparados'!T400</f>
        <v/>
      </c>
      <c r="V407" s="8">
        <f>$AE$12+D407*$AE$13+E407*$AE$14+F407*$AE$15+G407*$AE$16+H407*$AE$17+I407*$AE$18+J407*$AE$19+K407*$AE$20+L407*$AE$21+M407*$AE$22+N407*$AE$23+O407*$AE$24+P407*$AE$25+Q407*$AE$26+R407*$AE$27+S407*$AE$28+T407*$AE$29+U407*$AE$30</f>
        <v/>
      </c>
      <c r="W407" s="8">
        <f>1/(1+EXP(-V407))</f>
        <v/>
      </c>
      <c r="X407" s="9">
        <f>-IF(C407=1,LN(W407),LN(1-W407))</f>
        <v/>
      </c>
      <c r="Y407" s="8">
        <f>IF(C407=1,$AE$32,$AE$33)</f>
        <v/>
      </c>
      <c r="Z407" s="9">
        <f>Y407*X407</f>
        <v/>
      </c>
      <c r="AA407" s="10">
        <f>IF(W407&gt;$AE$34,1,0)</f>
        <v/>
      </c>
      <c r="AB407">
        <f>IF(AA407=C407,1,0)</f>
        <v/>
      </c>
    </row>
    <row r="408">
      <c r="A408">
        <f>'1 datos preparados'!A401</f>
        <v/>
      </c>
      <c r="B408" s="5">
        <f>'1 datos preparados'!U401</f>
        <v/>
      </c>
      <c r="C408">
        <f>'1 datos preparados'!B401</f>
        <v/>
      </c>
      <c r="D408" s="7">
        <f>'1 datos preparados'!C401</f>
        <v/>
      </c>
      <c r="E408" s="7">
        <f>'1 datos preparados'!D401</f>
        <v/>
      </c>
      <c r="F408" s="7">
        <f>'1 datos preparados'!E401</f>
        <v/>
      </c>
      <c r="G408" s="7">
        <f>'1 datos preparados'!F401</f>
        <v/>
      </c>
      <c r="H408" s="7">
        <f>'1 datos preparados'!G401</f>
        <v/>
      </c>
      <c r="I408" s="7">
        <f>'1 datos preparados'!H401</f>
        <v/>
      </c>
      <c r="J408" s="7">
        <f>'1 datos preparados'!I401</f>
        <v/>
      </c>
      <c r="K408" s="7">
        <f>'1 datos preparados'!J401</f>
        <v/>
      </c>
      <c r="L408" s="7">
        <f>'1 datos preparados'!K401</f>
        <v/>
      </c>
      <c r="M408" s="7">
        <f>'1 datos preparados'!L401</f>
        <v/>
      </c>
      <c r="N408" s="7">
        <f>'1 datos preparados'!M401</f>
        <v/>
      </c>
      <c r="O408" s="7">
        <f>'1 datos preparados'!N401</f>
        <v/>
      </c>
      <c r="P408" s="7">
        <f>'1 datos preparados'!O401</f>
        <v/>
      </c>
      <c r="Q408" s="7">
        <f>'1 datos preparados'!P401</f>
        <v/>
      </c>
      <c r="R408" s="7">
        <f>'1 datos preparados'!Q401</f>
        <v/>
      </c>
      <c r="S408" s="7">
        <f>'1 datos preparados'!R401</f>
        <v/>
      </c>
      <c r="T408" s="7">
        <f>'1 datos preparados'!S401</f>
        <v/>
      </c>
      <c r="U408" s="7">
        <f>'1 datos preparados'!T401</f>
        <v/>
      </c>
      <c r="V408" s="8">
        <f>$AE$12+D408*$AE$13+E408*$AE$14+F408*$AE$15+G408*$AE$16+H408*$AE$17+I408*$AE$18+J408*$AE$19+K408*$AE$20+L408*$AE$21+M408*$AE$22+N408*$AE$23+O408*$AE$24+P408*$AE$25+Q408*$AE$26+R408*$AE$27+S408*$AE$28+T408*$AE$29+U408*$AE$30</f>
        <v/>
      </c>
      <c r="W408" s="8">
        <f>1/(1+EXP(-V408))</f>
        <v/>
      </c>
      <c r="X408" s="9">
        <f>-IF(C408=1,LN(W408),LN(1-W408))</f>
        <v/>
      </c>
      <c r="Y408" s="8">
        <f>IF(C408=1,$AE$32,$AE$33)</f>
        <v/>
      </c>
      <c r="Z408" s="9">
        <f>Y408*X408</f>
        <v/>
      </c>
      <c r="AA408" s="10">
        <f>IF(W408&gt;$AE$34,1,0)</f>
        <v/>
      </c>
      <c r="AB408">
        <f>IF(AA408=C408,1,0)</f>
        <v/>
      </c>
    </row>
    <row r="409">
      <c r="A409">
        <f>'1 datos preparados'!A402</f>
        <v/>
      </c>
      <c r="B409" s="5">
        <f>'1 datos preparados'!U402</f>
        <v/>
      </c>
      <c r="C409">
        <f>'1 datos preparados'!B402</f>
        <v/>
      </c>
      <c r="D409" s="7">
        <f>'1 datos preparados'!C402</f>
        <v/>
      </c>
      <c r="E409" s="7">
        <f>'1 datos preparados'!D402</f>
        <v/>
      </c>
      <c r="F409" s="7">
        <f>'1 datos preparados'!E402</f>
        <v/>
      </c>
      <c r="G409" s="7">
        <f>'1 datos preparados'!F402</f>
        <v/>
      </c>
      <c r="H409" s="7">
        <f>'1 datos preparados'!G402</f>
        <v/>
      </c>
      <c r="I409" s="7">
        <f>'1 datos preparados'!H402</f>
        <v/>
      </c>
      <c r="J409" s="7">
        <f>'1 datos preparados'!I402</f>
        <v/>
      </c>
      <c r="K409" s="7">
        <f>'1 datos preparados'!J402</f>
        <v/>
      </c>
      <c r="L409" s="7">
        <f>'1 datos preparados'!K402</f>
        <v/>
      </c>
      <c r="M409" s="7">
        <f>'1 datos preparados'!L402</f>
        <v/>
      </c>
      <c r="N409" s="7">
        <f>'1 datos preparados'!M402</f>
        <v/>
      </c>
      <c r="O409" s="7">
        <f>'1 datos preparados'!N402</f>
        <v/>
      </c>
      <c r="P409" s="7">
        <f>'1 datos preparados'!O402</f>
        <v/>
      </c>
      <c r="Q409" s="7">
        <f>'1 datos preparados'!P402</f>
        <v/>
      </c>
      <c r="R409" s="7">
        <f>'1 datos preparados'!Q402</f>
        <v/>
      </c>
      <c r="S409" s="7">
        <f>'1 datos preparados'!R402</f>
        <v/>
      </c>
      <c r="T409" s="7">
        <f>'1 datos preparados'!S402</f>
        <v/>
      </c>
      <c r="U409" s="7">
        <f>'1 datos preparados'!T402</f>
        <v/>
      </c>
      <c r="V409" s="8">
        <f>$AE$12+D409*$AE$13+E409*$AE$14+F409*$AE$15+G409*$AE$16+H409*$AE$17+I409*$AE$18+J409*$AE$19+K409*$AE$20+L409*$AE$21+M409*$AE$22+N409*$AE$23+O409*$AE$24+P409*$AE$25+Q409*$AE$26+R409*$AE$27+S409*$AE$28+T409*$AE$29+U409*$AE$30</f>
        <v/>
      </c>
      <c r="W409" s="8">
        <f>1/(1+EXP(-V409))</f>
        <v/>
      </c>
      <c r="X409" s="9">
        <f>-IF(C409=1,LN(W409),LN(1-W409))</f>
        <v/>
      </c>
      <c r="Y409" s="8">
        <f>IF(C409=1,$AE$32,$AE$33)</f>
        <v/>
      </c>
      <c r="Z409" s="9">
        <f>Y409*X409</f>
        <v/>
      </c>
      <c r="AA409" s="10">
        <f>IF(W409&gt;$AE$34,1,0)</f>
        <v/>
      </c>
      <c r="AB409">
        <f>IF(AA409=C409,1,0)</f>
        <v/>
      </c>
    </row>
    <row r="410">
      <c r="A410">
        <f>'1 datos preparados'!A403</f>
        <v/>
      </c>
      <c r="B410" s="5">
        <f>'1 datos preparados'!U403</f>
        <v/>
      </c>
      <c r="C410">
        <f>'1 datos preparados'!B403</f>
        <v/>
      </c>
      <c r="D410" s="7">
        <f>'1 datos preparados'!C403</f>
        <v/>
      </c>
      <c r="E410" s="7">
        <f>'1 datos preparados'!D403</f>
        <v/>
      </c>
      <c r="F410" s="7">
        <f>'1 datos preparados'!E403</f>
        <v/>
      </c>
      <c r="G410" s="7">
        <f>'1 datos preparados'!F403</f>
        <v/>
      </c>
      <c r="H410" s="7">
        <f>'1 datos preparados'!G403</f>
        <v/>
      </c>
      <c r="I410" s="7">
        <f>'1 datos preparados'!H403</f>
        <v/>
      </c>
      <c r="J410" s="7">
        <f>'1 datos preparados'!I403</f>
        <v/>
      </c>
      <c r="K410" s="7">
        <f>'1 datos preparados'!J403</f>
        <v/>
      </c>
      <c r="L410" s="7">
        <f>'1 datos preparados'!K403</f>
        <v/>
      </c>
      <c r="M410" s="7">
        <f>'1 datos preparados'!L403</f>
        <v/>
      </c>
      <c r="N410" s="7">
        <f>'1 datos preparados'!M403</f>
        <v/>
      </c>
      <c r="O410" s="7">
        <f>'1 datos preparados'!N403</f>
        <v/>
      </c>
      <c r="P410" s="7">
        <f>'1 datos preparados'!O403</f>
        <v/>
      </c>
      <c r="Q410" s="7">
        <f>'1 datos preparados'!P403</f>
        <v/>
      </c>
      <c r="R410" s="7">
        <f>'1 datos preparados'!Q403</f>
        <v/>
      </c>
      <c r="S410" s="7">
        <f>'1 datos preparados'!R403</f>
        <v/>
      </c>
      <c r="T410" s="7">
        <f>'1 datos preparados'!S403</f>
        <v/>
      </c>
      <c r="U410" s="7">
        <f>'1 datos preparados'!T403</f>
        <v/>
      </c>
      <c r="V410" s="8">
        <f>$AE$12+D410*$AE$13+E410*$AE$14+F410*$AE$15+G410*$AE$16+H410*$AE$17+I410*$AE$18+J410*$AE$19+K410*$AE$20+L410*$AE$21+M410*$AE$22+N410*$AE$23+O410*$AE$24+P410*$AE$25+Q410*$AE$26+R410*$AE$27+S410*$AE$28+T410*$AE$29+U410*$AE$30</f>
        <v/>
      </c>
      <c r="W410" s="8">
        <f>1/(1+EXP(-V410))</f>
        <v/>
      </c>
      <c r="X410" s="9">
        <f>-IF(C410=1,LN(W410),LN(1-W410))</f>
        <v/>
      </c>
      <c r="Y410" s="8">
        <f>IF(C410=1,$AE$32,$AE$33)</f>
        <v/>
      </c>
      <c r="Z410" s="9">
        <f>Y410*X410</f>
        <v/>
      </c>
      <c r="AA410" s="10">
        <f>IF(W410&gt;$AE$34,1,0)</f>
        <v/>
      </c>
      <c r="AB410">
        <f>IF(AA410=C410,1,0)</f>
        <v/>
      </c>
    </row>
    <row r="411">
      <c r="A411">
        <f>'1 datos preparados'!A404</f>
        <v/>
      </c>
      <c r="B411" s="5">
        <f>'1 datos preparados'!U404</f>
        <v/>
      </c>
      <c r="C411">
        <f>'1 datos preparados'!B404</f>
        <v/>
      </c>
      <c r="D411" s="7">
        <f>'1 datos preparados'!C404</f>
        <v/>
      </c>
      <c r="E411" s="7">
        <f>'1 datos preparados'!D404</f>
        <v/>
      </c>
      <c r="F411" s="7">
        <f>'1 datos preparados'!E404</f>
        <v/>
      </c>
      <c r="G411" s="7">
        <f>'1 datos preparados'!F404</f>
        <v/>
      </c>
      <c r="H411" s="7">
        <f>'1 datos preparados'!G404</f>
        <v/>
      </c>
      <c r="I411" s="7">
        <f>'1 datos preparados'!H404</f>
        <v/>
      </c>
      <c r="J411" s="7">
        <f>'1 datos preparados'!I404</f>
        <v/>
      </c>
      <c r="K411" s="7">
        <f>'1 datos preparados'!J404</f>
        <v/>
      </c>
      <c r="L411" s="7">
        <f>'1 datos preparados'!K404</f>
        <v/>
      </c>
      <c r="M411" s="7">
        <f>'1 datos preparados'!L404</f>
        <v/>
      </c>
      <c r="N411" s="7">
        <f>'1 datos preparados'!M404</f>
        <v/>
      </c>
      <c r="O411" s="7">
        <f>'1 datos preparados'!N404</f>
        <v/>
      </c>
      <c r="P411" s="7">
        <f>'1 datos preparados'!O404</f>
        <v/>
      </c>
      <c r="Q411" s="7">
        <f>'1 datos preparados'!P404</f>
        <v/>
      </c>
      <c r="R411" s="7">
        <f>'1 datos preparados'!Q404</f>
        <v/>
      </c>
      <c r="S411" s="7">
        <f>'1 datos preparados'!R404</f>
        <v/>
      </c>
      <c r="T411" s="7">
        <f>'1 datos preparados'!S404</f>
        <v/>
      </c>
      <c r="U411" s="7">
        <f>'1 datos preparados'!T404</f>
        <v/>
      </c>
      <c r="V411" s="8">
        <f>$AE$12+D411*$AE$13+E411*$AE$14+F411*$AE$15+G411*$AE$16+H411*$AE$17+I411*$AE$18+J411*$AE$19+K411*$AE$20+L411*$AE$21+M411*$AE$22+N411*$AE$23+O411*$AE$24+P411*$AE$25+Q411*$AE$26+R411*$AE$27+S411*$AE$28+T411*$AE$29+U411*$AE$30</f>
        <v/>
      </c>
      <c r="W411" s="8">
        <f>1/(1+EXP(-V411))</f>
        <v/>
      </c>
      <c r="X411" s="9">
        <f>-IF(C411=1,LN(W411),LN(1-W411))</f>
        <v/>
      </c>
      <c r="Y411" s="8">
        <f>IF(C411=1,$AE$32,$AE$33)</f>
        <v/>
      </c>
      <c r="Z411" s="9">
        <f>Y411*X411</f>
        <v/>
      </c>
      <c r="AA411" s="10">
        <f>IF(W411&gt;$AE$34,1,0)</f>
        <v/>
      </c>
      <c r="AB411">
        <f>IF(AA411=C411,1,0)</f>
        <v/>
      </c>
    </row>
    <row r="412">
      <c r="A412">
        <f>'1 datos preparados'!A405</f>
        <v/>
      </c>
      <c r="B412" s="5">
        <f>'1 datos preparados'!U405</f>
        <v/>
      </c>
      <c r="C412">
        <f>'1 datos preparados'!B405</f>
        <v/>
      </c>
      <c r="D412" s="7">
        <f>'1 datos preparados'!C405</f>
        <v/>
      </c>
      <c r="E412" s="7">
        <f>'1 datos preparados'!D405</f>
        <v/>
      </c>
      <c r="F412" s="7">
        <f>'1 datos preparados'!E405</f>
        <v/>
      </c>
      <c r="G412" s="7">
        <f>'1 datos preparados'!F405</f>
        <v/>
      </c>
      <c r="H412" s="7">
        <f>'1 datos preparados'!G405</f>
        <v/>
      </c>
      <c r="I412" s="7">
        <f>'1 datos preparados'!H405</f>
        <v/>
      </c>
      <c r="J412" s="7">
        <f>'1 datos preparados'!I405</f>
        <v/>
      </c>
      <c r="K412" s="7">
        <f>'1 datos preparados'!J405</f>
        <v/>
      </c>
      <c r="L412" s="7">
        <f>'1 datos preparados'!K405</f>
        <v/>
      </c>
      <c r="M412" s="7">
        <f>'1 datos preparados'!L405</f>
        <v/>
      </c>
      <c r="N412" s="7">
        <f>'1 datos preparados'!M405</f>
        <v/>
      </c>
      <c r="O412" s="7">
        <f>'1 datos preparados'!N405</f>
        <v/>
      </c>
      <c r="P412" s="7">
        <f>'1 datos preparados'!O405</f>
        <v/>
      </c>
      <c r="Q412" s="7">
        <f>'1 datos preparados'!P405</f>
        <v/>
      </c>
      <c r="R412" s="7">
        <f>'1 datos preparados'!Q405</f>
        <v/>
      </c>
      <c r="S412" s="7">
        <f>'1 datos preparados'!R405</f>
        <v/>
      </c>
      <c r="T412" s="7">
        <f>'1 datos preparados'!S405</f>
        <v/>
      </c>
      <c r="U412" s="7">
        <f>'1 datos preparados'!T405</f>
        <v/>
      </c>
      <c r="V412" s="8">
        <f>$AE$12+D412*$AE$13+E412*$AE$14+F412*$AE$15+G412*$AE$16+H412*$AE$17+I412*$AE$18+J412*$AE$19+K412*$AE$20+L412*$AE$21+M412*$AE$22+N412*$AE$23+O412*$AE$24+P412*$AE$25+Q412*$AE$26+R412*$AE$27+S412*$AE$28+T412*$AE$29+U412*$AE$30</f>
        <v/>
      </c>
      <c r="W412" s="8">
        <f>1/(1+EXP(-V412))</f>
        <v/>
      </c>
      <c r="X412" s="9">
        <f>-IF(C412=1,LN(W412),LN(1-W412))</f>
        <v/>
      </c>
      <c r="Y412" s="8">
        <f>IF(C412=1,$AE$32,$AE$33)</f>
        <v/>
      </c>
      <c r="Z412" s="9">
        <f>Y412*X412</f>
        <v/>
      </c>
      <c r="AA412" s="10">
        <f>IF(W412&gt;$AE$34,1,0)</f>
        <v/>
      </c>
      <c r="AB412">
        <f>IF(AA412=C412,1,0)</f>
        <v/>
      </c>
    </row>
    <row r="413">
      <c r="A413">
        <f>'1 datos preparados'!A406</f>
        <v/>
      </c>
      <c r="B413" s="5">
        <f>'1 datos preparados'!U406</f>
        <v/>
      </c>
      <c r="C413">
        <f>'1 datos preparados'!B406</f>
        <v/>
      </c>
      <c r="D413" s="7">
        <f>'1 datos preparados'!C406</f>
        <v/>
      </c>
      <c r="E413" s="7">
        <f>'1 datos preparados'!D406</f>
        <v/>
      </c>
      <c r="F413" s="7">
        <f>'1 datos preparados'!E406</f>
        <v/>
      </c>
      <c r="G413" s="7">
        <f>'1 datos preparados'!F406</f>
        <v/>
      </c>
      <c r="H413" s="7">
        <f>'1 datos preparados'!G406</f>
        <v/>
      </c>
      <c r="I413" s="7">
        <f>'1 datos preparados'!H406</f>
        <v/>
      </c>
      <c r="J413" s="7">
        <f>'1 datos preparados'!I406</f>
        <v/>
      </c>
      <c r="K413" s="7">
        <f>'1 datos preparados'!J406</f>
        <v/>
      </c>
      <c r="L413" s="7">
        <f>'1 datos preparados'!K406</f>
        <v/>
      </c>
      <c r="M413" s="7">
        <f>'1 datos preparados'!L406</f>
        <v/>
      </c>
      <c r="N413" s="7">
        <f>'1 datos preparados'!M406</f>
        <v/>
      </c>
      <c r="O413" s="7">
        <f>'1 datos preparados'!N406</f>
        <v/>
      </c>
      <c r="P413" s="7">
        <f>'1 datos preparados'!O406</f>
        <v/>
      </c>
      <c r="Q413" s="7">
        <f>'1 datos preparados'!P406</f>
        <v/>
      </c>
      <c r="R413" s="7">
        <f>'1 datos preparados'!Q406</f>
        <v/>
      </c>
      <c r="S413" s="7">
        <f>'1 datos preparados'!R406</f>
        <v/>
      </c>
      <c r="T413" s="7">
        <f>'1 datos preparados'!S406</f>
        <v/>
      </c>
      <c r="U413" s="7">
        <f>'1 datos preparados'!T406</f>
        <v/>
      </c>
      <c r="V413" s="8">
        <f>$AE$12+D413*$AE$13+E413*$AE$14+F413*$AE$15+G413*$AE$16+H413*$AE$17+I413*$AE$18+J413*$AE$19+K413*$AE$20+L413*$AE$21+M413*$AE$22+N413*$AE$23+O413*$AE$24+P413*$AE$25+Q413*$AE$26+R413*$AE$27+S413*$AE$28+T413*$AE$29+U413*$AE$30</f>
        <v/>
      </c>
      <c r="W413" s="8">
        <f>1/(1+EXP(-V413))</f>
        <v/>
      </c>
      <c r="X413" s="9">
        <f>-IF(C413=1,LN(W413),LN(1-W413))</f>
        <v/>
      </c>
      <c r="Y413" s="8">
        <f>IF(C413=1,$AE$32,$AE$33)</f>
        <v/>
      </c>
      <c r="Z413" s="9">
        <f>Y413*X413</f>
        <v/>
      </c>
      <c r="AA413" s="10">
        <f>IF(W413&gt;$AE$34,1,0)</f>
        <v/>
      </c>
      <c r="AB413">
        <f>IF(AA413=C413,1,0)</f>
        <v/>
      </c>
    </row>
    <row r="414">
      <c r="A414">
        <f>'1 datos preparados'!A407</f>
        <v/>
      </c>
      <c r="B414" s="5">
        <f>'1 datos preparados'!U407</f>
        <v/>
      </c>
      <c r="C414">
        <f>'1 datos preparados'!B407</f>
        <v/>
      </c>
      <c r="D414" s="7">
        <f>'1 datos preparados'!C407</f>
        <v/>
      </c>
      <c r="E414" s="7">
        <f>'1 datos preparados'!D407</f>
        <v/>
      </c>
      <c r="F414" s="7">
        <f>'1 datos preparados'!E407</f>
        <v/>
      </c>
      <c r="G414" s="7">
        <f>'1 datos preparados'!F407</f>
        <v/>
      </c>
      <c r="H414" s="7">
        <f>'1 datos preparados'!G407</f>
        <v/>
      </c>
      <c r="I414" s="7">
        <f>'1 datos preparados'!H407</f>
        <v/>
      </c>
      <c r="J414" s="7">
        <f>'1 datos preparados'!I407</f>
        <v/>
      </c>
      <c r="K414" s="7">
        <f>'1 datos preparados'!J407</f>
        <v/>
      </c>
      <c r="L414" s="7">
        <f>'1 datos preparados'!K407</f>
        <v/>
      </c>
      <c r="M414" s="7">
        <f>'1 datos preparados'!L407</f>
        <v/>
      </c>
      <c r="N414" s="7">
        <f>'1 datos preparados'!M407</f>
        <v/>
      </c>
      <c r="O414" s="7">
        <f>'1 datos preparados'!N407</f>
        <v/>
      </c>
      <c r="P414" s="7">
        <f>'1 datos preparados'!O407</f>
        <v/>
      </c>
      <c r="Q414" s="7">
        <f>'1 datos preparados'!P407</f>
        <v/>
      </c>
      <c r="R414" s="7">
        <f>'1 datos preparados'!Q407</f>
        <v/>
      </c>
      <c r="S414" s="7">
        <f>'1 datos preparados'!R407</f>
        <v/>
      </c>
      <c r="T414" s="7">
        <f>'1 datos preparados'!S407</f>
        <v/>
      </c>
      <c r="U414" s="7">
        <f>'1 datos preparados'!T407</f>
        <v/>
      </c>
      <c r="V414" s="8">
        <f>$AE$12+D414*$AE$13+E414*$AE$14+F414*$AE$15+G414*$AE$16+H414*$AE$17+I414*$AE$18+J414*$AE$19+K414*$AE$20+L414*$AE$21+M414*$AE$22+N414*$AE$23+O414*$AE$24+P414*$AE$25+Q414*$AE$26+R414*$AE$27+S414*$AE$28+T414*$AE$29+U414*$AE$30</f>
        <v/>
      </c>
      <c r="W414" s="8">
        <f>1/(1+EXP(-V414))</f>
        <v/>
      </c>
      <c r="X414" s="9">
        <f>-IF(C414=1,LN(W414),LN(1-W414))</f>
        <v/>
      </c>
      <c r="Y414" s="8">
        <f>IF(C414=1,$AE$32,$AE$33)</f>
        <v/>
      </c>
      <c r="Z414" s="9">
        <f>Y414*X414</f>
        <v/>
      </c>
      <c r="AA414" s="10">
        <f>IF(W414&gt;$AE$34,1,0)</f>
        <v/>
      </c>
      <c r="AB414">
        <f>IF(AA414=C414,1,0)</f>
        <v/>
      </c>
    </row>
    <row r="415">
      <c r="A415">
        <f>'1 datos preparados'!A408</f>
        <v/>
      </c>
      <c r="B415" s="5">
        <f>'1 datos preparados'!U408</f>
        <v/>
      </c>
      <c r="C415">
        <f>'1 datos preparados'!B408</f>
        <v/>
      </c>
      <c r="D415" s="7">
        <f>'1 datos preparados'!C408</f>
        <v/>
      </c>
      <c r="E415" s="7">
        <f>'1 datos preparados'!D408</f>
        <v/>
      </c>
      <c r="F415" s="7">
        <f>'1 datos preparados'!E408</f>
        <v/>
      </c>
      <c r="G415" s="7">
        <f>'1 datos preparados'!F408</f>
        <v/>
      </c>
      <c r="H415" s="7">
        <f>'1 datos preparados'!G408</f>
        <v/>
      </c>
      <c r="I415" s="7">
        <f>'1 datos preparados'!H408</f>
        <v/>
      </c>
      <c r="J415" s="7">
        <f>'1 datos preparados'!I408</f>
        <v/>
      </c>
      <c r="K415" s="7">
        <f>'1 datos preparados'!J408</f>
        <v/>
      </c>
      <c r="L415" s="7">
        <f>'1 datos preparados'!K408</f>
        <v/>
      </c>
      <c r="M415" s="7">
        <f>'1 datos preparados'!L408</f>
        <v/>
      </c>
      <c r="N415" s="7">
        <f>'1 datos preparados'!M408</f>
        <v/>
      </c>
      <c r="O415" s="7">
        <f>'1 datos preparados'!N408</f>
        <v/>
      </c>
      <c r="P415" s="7">
        <f>'1 datos preparados'!O408</f>
        <v/>
      </c>
      <c r="Q415" s="7">
        <f>'1 datos preparados'!P408</f>
        <v/>
      </c>
      <c r="R415" s="7">
        <f>'1 datos preparados'!Q408</f>
        <v/>
      </c>
      <c r="S415" s="7">
        <f>'1 datos preparados'!R408</f>
        <v/>
      </c>
      <c r="T415" s="7">
        <f>'1 datos preparados'!S408</f>
        <v/>
      </c>
      <c r="U415" s="7">
        <f>'1 datos preparados'!T408</f>
        <v/>
      </c>
      <c r="V415" s="8">
        <f>$AE$12+D415*$AE$13+E415*$AE$14+F415*$AE$15+G415*$AE$16+H415*$AE$17+I415*$AE$18+J415*$AE$19+K415*$AE$20+L415*$AE$21+M415*$AE$22+N415*$AE$23+O415*$AE$24+P415*$AE$25+Q415*$AE$26+R415*$AE$27+S415*$AE$28+T415*$AE$29+U415*$AE$30</f>
        <v/>
      </c>
      <c r="W415" s="8">
        <f>1/(1+EXP(-V415))</f>
        <v/>
      </c>
      <c r="X415" s="9">
        <f>-IF(C415=1,LN(W415),LN(1-W415))</f>
        <v/>
      </c>
      <c r="Y415" s="8">
        <f>IF(C415=1,$AE$32,$AE$33)</f>
        <v/>
      </c>
      <c r="Z415" s="9">
        <f>Y415*X415</f>
        <v/>
      </c>
      <c r="AA415" s="10">
        <f>IF(W415&gt;$AE$34,1,0)</f>
        <v/>
      </c>
      <c r="AB415">
        <f>IF(AA415=C415,1,0)</f>
        <v/>
      </c>
    </row>
    <row r="416">
      <c r="A416">
        <f>'1 datos preparados'!A409</f>
        <v/>
      </c>
      <c r="B416" s="5">
        <f>'1 datos preparados'!U409</f>
        <v/>
      </c>
      <c r="C416">
        <f>'1 datos preparados'!B409</f>
        <v/>
      </c>
      <c r="D416" s="7">
        <f>'1 datos preparados'!C409</f>
        <v/>
      </c>
      <c r="E416" s="7">
        <f>'1 datos preparados'!D409</f>
        <v/>
      </c>
      <c r="F416" s="7">
        <f>'1 datos preparados'!E409</f>
        <v/>
      </c>
      <c r="G416" s="7">
        <f>'1 datos preparados'!F409</f>
        <v/>
      </c>
      <c r="H416" s="7">
        <f>'1 datos preparados'!G409</f>
        <v/>
      </c>
      <c r="I416" s="7">
        <f>'1 datos preparados'!H409</f>
        <v/>
      </c>
      <c r="J416" s="7">
        <f>'1 datos preparados'!I409</f>
        <v/>
      </c>
      <c r="K416" s="7">
        <f>'1 datos preparados'!J409</f>
        <v/>
      </c>
      <c r="L416" s="7">
        <f>'1 datos preparados'!K409</f>
        <v/>
      </c>
      <c r="M416" s="7">
        <f>'1 datos preparados'!L409</f>
        <v/>
      </c>
      <c r="N416" s="7">
        <f>'1 datos preparados'!M409</f>
        <v/>
      </c>
      <c r="O416" s="7">
        <f>'1 datos preparados'!N409</f>
        <v/>
      </c>
      <c r="P416" s="7">
        <f>'1 datos preparados'!O409</f>
        <v/>
      </c>
      <c r="Q416" s="7">
        <f>'1 datos preparados'!P409</f>
        <v/>
      </c>
      <c r="R416" s="7">
        <f>'1 datos preparados'!Q409</f>
        <v/>
      </c>
      <c r="S416" s="7">
        <f>'1 datos preparados'!R409</f>
        <v/>
      </c>
      <c r="T416" s="7">
        <f>'1 datos preparados'!S409</f>
        <v/>
      </c>
      <c r="U416" s="7">
        <f>'1 datos preparados'!T409</f>
        <v/>
      </c>
      <c r="V416" s="8">
        <f>$AE$12+D416*$AE$13+E416*$AE$14+F416*$AE$15+G416*$AE$16+H416*$AE$17+I416*$AE$18+J416*$AE$19+K416*$AE$20+L416*$AE$21+M416*$AE$22+N416*$AE$23+O416*$AE$24+P416*$AE$25+Q416*$AE$26+R416*$AE$27+S416*$AE$28+T416*$AE$29+U416*$AE$30</f>
        <v/>
      </c>
      <c r="W416" s="8">
        <f>1/(1+EXP(-V416))</f>
        <v/>
      </c>
      <c r="X416" s="9">
        <f>-IF(C416=1,LN(W416),LN(1-W416))</f>
        <v/>
      </c>
      <c r="Y416" s="8">
        <f>IF(C416=1,$AE$32,$AE$33)</f>
        <v/>
      </c>
      <c r="Z416" s="9">
        <f>Y416*X416</f>
        <v/>
      </c>
      <c r="AA416" s="10">
        <f>IF(W416&gt;$AE$34,1,0)</f>
        <v/>
      </c>
      <c r="AB416">
        <f>IF(AA416=C416,1,0)</f>
        <v/>
      </c>
    </row>
    <row r="417">
      <c r="A417">
        <f>'1 datos preparados'!A410</f>
        <v/>
      </c>
      <c r="B417" s="5">
        <f>'1 datos preparados'!U410</f>
        <v/>
      </c>
      <c r="C417">
        <f>'1 datos preparados'!B410</f>
        <v/>
      </c>
      <c r="D417" s="7">
        <f>'1 datos preparados'!C410</f>
        <v/>
      </c>
      <c r="E417" s="7">
        <f>'1 datos preparados'!D410</f>
        <v/>
      </c>
      <c r="F417" s="7">
        <f>'1 datos preparados'!E410</f>
        <v/>
      </c>
      <c r="G417" s="7">
        <f>'1 datos preparados'!F410</f>
        <v/>
      </c>
      <c r="H417" s="7">
        <f>'1 datos preparados'!G410</f>
        <v/>
      </c>
      <c r="I417" s="7">
        <f>'1 datos preparados'!H410</f>
        <v/>
      </c>
      <c r="J417" s="7">
        <f>'1 datos preparados'!I410</f>
        <v/>
      </c>
      <c r="K417" s="7">
        <f>'1 datos preparados'!J410</f>
        <v/>
      </c>
      <c r="L417" s="7">
        <f>'1 datos preparados'!K410</f>
        <v/>
      </c>
      <c r="M417" s="7">
        <f>'1 datos preparados'!L410</f>
        <v/>
      </c>
      <c r="N417" s="7">
        <f>'1 datos preparados'!M410</f>
        <v/>
      </c>
      <c r="O417" s="7">
        <f>'1 datos preparados'!N410</f>
        <v/>
      </c>
      <c r="P417" s="7">
        <f>'1 datos preparados'!O410</f>
        <v/>
      </c>
      <c r="Q417" s="7">
        <f>'1 datos preparados'!P410</f>
        <v/>
      </c>
      <c r="R417" s="7">
        <f>'1 datos preparados'!Q410</f>
        <v/>
      </c>
      <c r="S417" s="7">
        <f>'1 datos preparados'!R410</f>
        <v/>
      </c>
      <c r="T417" s="7">
        <f>'1 datos preparados'!S410</f>
        <v/>
      </c>
      <c r="U417" s="7">
        <f>'1 datos preparados'!T410</f>
        <v/>
      </c>
      <c r="V417" s="8">
        <f>$AE$12+D417*$AE$13+E417*$AE$14+F417*$AE$15+G417*$AE$16+H417*$AE$17+I417*$AE$18+J417*$AE$19+K417*$AE$20+L417*$AE$21+M417*$AE$22+N417*$AE$23+O417*$AE$24+P417*$AE$25+Q417*$AE$26+R417*$AE$27+S417*$AE$28+T417*$AE$29+U417*$AE$30</f>
        <v/>
      </c>
      <c r="W417" s="8">
        <f>1/(1+EXP(-V417))</f>
        <v/>
      </c>
      <c r="X417" s="9">
        <f>-IF(C417=1,LN(W417),LN(1-W417))</f>
        <v/>
      </c>
      <c r="Y417" s="8">
        <f>IF(C417=1,$AE$32,$AE$33)</f>
        <v/>
      </c>
      <c r="Z417" s="9">
        <f>Y417*X417</f>
        <v/>
      </c>
      <c r="AA417" s="10">
        <f>IF(W417&gt;$AE$34,1,0)</f>
        <v/>
      </c>
      <c r="AB417">
        <f>IF(AA417=C417,1,0)</f>
        <v/>
      </c>
    </row>
    <row r="418">
      <c r="A418">
        <f>'1 datos preparados'!A411</f>
        <v/>
      </c>
      <c r="B418" s="5">
        <f>'1 datos preparados'!U411</f>
        <v/>
      </c>
      <c r="C418">
        <f>'1 datos preparados'!B411</f>
        <v/>
      </c>
      <c r="D418" s="7">
        <f>'1 datos preparados'!C411</f>
        <v/>
      </c>
      <c r="E418" s="7">
        <f>'1 datos preparados'!D411</f>
        <v/>
      </c>
      <c r="F418" s="7">
        <f>'1 datos preparados'!E411</f>
        <v/>
      </c>
      <c r="G418" s="7">
        <f>'1 datos preparados'!F411</f>
        <v/>
      </c>
      <c r="H418" s="7">
        <f>'1 datos preparados'!G411</f>
        <v/>
      </c>
      <c r="I418" s="7">
        <f>'1 datos preparados'!H411</f>
        <v/>
      </c>
      <c r="J418" s="7">
        <f>'1 datos preparados'!I411</f>
        <v/>
      </c>
      <c r="K418" s="7">
        <f>'1 datos preparados'!J411</f>
        <v/>
      </c>
      <c r="L418" s="7">
        <f>'1 datos preparados'!K411</f>
        <v/>
      </c>
      <c r="M418" s="7">
        <f>'1 datos preparados'!L411</f>
        <v/>
      </c>
      <c r="N418" s="7">
        <f>'1 datos preparados'!M411</f>
        <v/>
      </c>
      <c r="O418" s="7">
        <f>'1 datos preparados'!N411</f>
        <v/>
      </c>
      <c r="P418" s="7">
        <f>'1 datos preparados'!O411</f>
        <v/>
      </c>
      <c r="Q418" s="7">
        <f>'1 datos preparados'!P411</f>
        <v/>
      </c>
      <c r="R418" s="7">
        <f>'1 datos preparados'!Q411</f>
        <v/>
      </c>
      <c r="S418" s="7">
        <f>'1 datos preparados'!R411</f>
        <v/>
      </c>
      <c r="T418" s="7">
        <f>'1 datos preparados'!S411</f>
        <v/>
      </c>
      <c r="U418" s="7">
        <f>'1 datos preparados'!T411</f>
        <v/>
      </c>
      <c r="V418" s="8">
        <f>$AE$12+D418*$AE$13+E418*$AE$14+F418*$AE$15+G418*$AE$16+H418*$AE$17+I418*$AE$18+J418*$AE$19+K418*$AE$20+L418*$AE$21+M418*$AE$22+N418*$AE$23+O418*$AE$24+P418*$AE$25+Q418*$AE$26+R418*$AE$27+S418*$AE$28+T418*$AE$29+U418*$AE$30</f>
        <v/>
      </c>
      <c r="W418" s="8">
        <f>1/(1+EXP(-V418))</f>
        <v/>
      </c>
      <c r="X418" s="9">
        <f>-IF(C418=1,LN(W418),LN(1-W418))</f>
        <v/>
      </c>
      <c r="Y418" s="8">
        <f>IF(C418=1,$AE$32,$AE$33)</f>
        <v/>
      </c>
      <c r="Z418" s="9">
        <f>Y418*X418</f>
        <v/>
      </c>
      <c r="AA418" s="10">
        <f>IF(W418&gt;$AE$34,1,0)</f>
        <v/>
      </c>
      <c r="AB418">
        <f>IF(AA418=C418,1,0)</f>
        <v/>
      </c>
    </row>
    <row r="419">
      <c r="A419">
        <f>'1 datos preparados'!A412</f>
        <v/>
      </c>
      <c r="B419" s="5">
        <f>'1 datos preparados'!U412</f>
        <v/>
      </c>
      <c r="C419">
        <f>'1 datos preparados'!B412</f>
        <v/>
      </c>
      <c r="D419" s="7">
        <f>'1 datos preparados'!C412</f>
        <v/>
      </c>
      <c r="E419" s="7">
        <f>'1 datos preparados'!D412</f>
        <v/>
      </c>
      <c r="F419" s="7">
        <f>'1 datos preparados'!E412</f>
        <v/>
      </c>
      <c r="G419" s="7">
        <f>'1 datos preparados'!F412</f>
        <v/>
      </c>
      <c r="H419" s="7">
        <f>'1 datos preparados'!G412</f>
        <v/>
      </c>
      <c r="I419" s="7">
        <f>'1 datos preparados'!H412</f>
        <v/>
      </c>
      <c r="J419" s="7">
        <f>'1 datos preparados'!I412</f>
        <v/>
      </c>
      <c r="K419" s="7">
        <f>'1 datos preparados'!J412</f>
        <v/>
      </c>
      <c r="L419" s="7">
        <f>'1 datos preparados'!K412</f>
        <v/>
      </c>
      <c r="M419" s="7">
        <f>'1 datos preparados'!L412</f>
        <v/>
      </c>
      <c r="N419" s="7">
        <f>'1 datos preparados'!M412</f>
        <v/>
      </c>
      <c r="O419" s="7">
        <f>'1 datos preparados'!N412</f>
        <v/>
      </c>
      <c r="P419" s="7">
        <f>'1 datos preparados'!O412</f>
        <v/>
      </c>
      <c r="Q419" s="7">
        <f>'1 datos preparados'!P412</f>
        <v/>
      </c>
      <c r="R419" s="7">
        <f>'1 datos preparados'!Q412</f>
        <v/>
      </c>
      <c r="S419" s="7">
        <f>'1 datos preparados'!R412</f>
        <v/>
      </c>
      <c r="T419" s="7">
        <f>'1 datos preparados'!S412</f>
        <v/>
      </c>
      <c r="U419" s="7">
        <f>'1 datos preparados'!T412</f>
        <v/>
      </c>
      <c r="V419" s="8">
        <f>$AE$12+D419*$AE$13+E419*$AE$14+F419*$AE$15+G419*$AE$16+H419*$AE$17+I419*$AE$18+J419*$AE$19+K419*$AE$20+L419*$AE$21+M419*$AE$22+N419*$AE$23+O419*$AE$24+P419*$AE$25+Q419*$AE$26+R419*$AE$27+S419*$AE$28+T419*$AE$29+U419*$AE$30</f>
        <v/>
      </c>
      <c r="W419" s="8">
        <f>1/(1+EXP(-V419))</f>
        <v/>
      </c>
      <c r="X419" s="9">
        <f>-IF(C419=1,LN(W419),LN(1-W419))</f>
        <v/>
      </c>
      <c r="Y419" s="8">
        <f>IF(C419=1,$AE$32,$AE$33)</f>
        <v/>
      </c>
      <c r="Z419" s="9">
        <f>Y419*X419</f>
        <v/>
      </c>
      <c r="AA419" s="10">
        <f>IF(W419&gt;$AE$34,1,0)</f>
        <v/>
      </c>
      <c r="AB419">
        <f>IF(AA419=C419,1,0)</f>
        <v/>
      </c>
    </row>
    <row r="420">
      <c r="A420">
        <f>'1 datos preparados'!A413</f>
        <v/>
      </c>
      <c r="B420" s="5">
        <f>'1 datos preparados'!U413</f>
        <v/>
      </c>
      <c r="C420">
        <f>'1 datos preparados'!B413</f>
        <v/>
      </c>
      <c r="D420" s="7">
        <f>'1 datos preparados'!C413</f>
        <v/>
      </c>
      <c r="E420" s="7">
        <f>'1 datos preparados'!D413</f>
        <v/>
      </c>
      <c r="F420" s="7">
        <f>'1 datos preparados'!E413</f>
        <v/>
      </c>
      <c r="G420" s="7">
        <f>'1 datos preparados'!F413</f>
        <v/>
      </c>
      <c r="H420" s="7">
        <f>'1 datos preparados'!G413</f>
        <v/>
      </c>
      <c r="I420" s="7">
        <f>'1 datos preparados'!H413</f>
        <v/>
      </c>
      <c r="J420" s="7">
        <f>'1 datos preparados'!I413</f>
        <v/>
      </c>
      <c r="K420" s="7">
        <f>'1 datos preparados'!J413</f>
        <v/>
      </c>
      <c r="L420" s="7">
        <f>'1 datos preparados'!K413</f>
        <v/>
      </c>
      <c r="M420" s="7">
        <f>'1 datos preparados'!L413</f>
        <v/>
      </c>
      <c r="N420" s="7">
        <f>'1 datos preparados'!M413</f>
        <v/>
      </c>
      <c r="O420" s="7">
        <f>'1 datos preparados'!N413</f>
        <v/>
      </c>
      <c r="P420" s="7">
        <f>'1 datos preparados'!O413</f>
        <v/>
      </c>
      <c r="Q420" s="7">
        <f>'1 datos preparados'!P413</f>
        <v/>
      </c>
      <c r="R420" s="7">
        <f>'1 datos preparados'!Q413</f>
        <v/>
      </c>
      <c r="S420" s="7">
        <f>'1 datos preparados'!R413</f>
        <v/>
      </c>
      <c r="T420" s="7">
        <f>'1 datos preparados'!S413</f>
        <v/>
      </c>
      <c r="U420" s="7">
        <f>'1 datos preparados'!T413</f>
        <v/>
      </c>
      <c r="V420" s="8">
        <f>$AE$12+D420*$AE$13+E420*$AE$14+F420*$AE$15+G420*$AE$16+H420*$AE$17+I420*$AE$18+J420*$AE$19+K420*$AE$20+L420*$AE$21+M420*$AE$22+N420*$AE$23+O420*$AE$24+P420*$AE$25+Q420*$AE$26+R420*$AE$27+S420*$AE$28+T420*$AE$29+U420*$AE$30</f>
        <v/>
      </c>
      <c r="W420" s="8">
        <f>1/(1+EXP(-V420))</f>
        <v/>
      </c>
      <c r="X420" s="9">
        <f>-IF(C420=1,LN(W420),LN(1-W420))</f>
        <v/>
      </c>
      <c r="Y420" s="8">
        <f>IF(C420=1,$AE$32,$AE$33)</f>
        <v/>
      </c>
      <c r="Z420" s="9">
        <f>Y420*X420</f>
        <v/>
      </c>
      <c r="AA420" s="10">
        <f>IF(W420&gt;$AE$34,1,0)</f>
        <v/>
      </c>
      <c r="AB420">
        <f>IF(AA420=C420,1,0)</f>
        <v/>
      </c>
    </row>
    <row r="421">
      <c r="A421">
        <f>'1 datos preparados'!A414</f>
        <v/>
      </c>
      <c r="B421" s="5">
        <f>'1 datos preparados'!U414</f>
        <v/>
      </c>
      <c r="C421">
        <f>'1 datos preparados'!B414</f>
        <v/>
      </c>
      <c r="D421" s="7">
        <f>'1 datos preparados'!C414</f>
        <v/>
      </c>
      <c r="E421" s="7">
        <f>'1 datos preparados'!D414</f>
        <v/>
      </c>
      <c r="F421" s="7">
        <f>'1 datos preparados'!E414</f>
        <v/>
      </c>
      <c r="G421" s="7">
        <f>'1 datos preparados'!F414</f>
        <v/>
      </c>
      <c r="H421" s="7">
        <f>'1 datos preparados'!G414</f>
        <v/>
      </c>
      <c r="I421" s="7">
        <f>'1 datos preparados'!H414</f>
        <v/>
      </c>
      <c r="J421" s="7">
        <f>'1 datos preparados'!I414</f>
        <v/>
      </c>
      <c r="K421" s="7">
        <f>'1 datos preparados'!J414</f>
        <v/>
      </c>
      <c r="L421" s="7">
        <f>'1 datos preparados'!K414</f>
        <v/>
      </c>
      <c r="M421" s="7">
        <f>'1 datos preparados'!L414</f>
        <v/>
      </c>
      <c r="N421" s="7">
        <f>'1 datos preparados'!M414</f>
        <v/>
      </c>
      <c r="O421" s="7">
        <f>'1 datos preparados'!N414</f>
        <v/>
      </c>
      <c r="P421" s="7">
        <f>'1 datos preparados'!O414</f>
        <v/>
      </c>
      <c r="Q421" s="7">
        <f>'1 datos preparados'!P414</f>
        <v/>
      </c>
      <c r="R421" s="7">
        <f>'1 datos preparados'!Q414</f>
        <v/>
      </c>
      <c r="S421" s="7">
        <f>'1 datos preparados'!R414</f>
        <v/>
      </c>
      <c r="T421" s="7">
        <f>'1 datos preparados'!S414</f>
        <v/>
      </c>
      <c r="U421" s="7">
        <f>'1 datos preparados'!T414</f>
        <v/>
      </c>
      <c r="V421" s="8">
        <f>$AE$12+D421*$AE$13+E421*$AE$14+F421*$AE$15+G421*$AE$16+H421*$AE$17+I421*$AE$18+J421*$AE$19+K421*$AE$20+L421*$AE$21+M421*$AE$22+N421*$AE$23+O421*$AE$24+P421*$AE$25+Q421*$AE$26+R421*$AE$27+S421*$AE$28+T421*$AE$29+U421*$AE$30</f>
        <v/>
      </c>
      <c r="W421" s="8">
        <f>1/(1+EXP(-V421))</f>
        <v/>
      </c>
      <c r="X421" s="9">
        <f>-IF(C421=1,LN(W421),LN(1-W421))</f>
        <v/>
      </c>
      <c r="Y421" s="8">
        <f>IF(C421=1,$AE$32,$AE$33)</f>
        <v/>
      </c>
      <c r="Z421" s="9">
        <f>Y421*X421</f>
        <v/>
      </c>
      <c r="AA421" s="10">
        <f>IF(W421&gt;$AE$34,1,0)</f>
        <v/>
      </c>
      <c r="AB421">
        <f>IF(AA421=C421,1,0)</f>
        <v/>
      </c>
    </row>
    <row r="422">
      <c r="A422">
        <f>'1 datos preparados'!A415</f>
        <v/>
      </c>
      <c r="B422" s="5">
        <f>'1 datos preparados'!U415</f>
        <v/>
      </c>
      <c r="C422">
        <f>'1 datos preparados'!B415</f>
        <v/>
      </c>
      <c r="D422" s="7">
        <f>'1 datos preparados'!C415</f>
        <v/>
      </c>
      <c r="E422" s="7">
        <f>'1 datos preparados'!D415</f>
        <v/>
      </c>
      <c r="F422" s="7">
        <f>'1 datos preparados'!E415</f>
        <v/>
      </c>
      <c r="G422" s="7">
        <f>'1 datos preparados'!F415</f>
        <v/>
      </c>
      <c r="H422" s="7">
        <f>'1 datos preparados'!G415</f>
        <v/>
      </c>
      <c r="I422" s="7">
        <f>'1 datos preparados'!H415</f>
        <v/>
      </c>
      <c r="J422" s="7">
        <f>'1 datos preparados'!I415</f>
        <v/>
      </c>
      <c r="K422" s="7">
        <f>'1 datos preparados'!J415</f>
        <v/>
      </c>
      <c r="L422" s="7">
        <f>'1 datos preparados'!K415</f>
        <v/>
      </c>
      <c r="M422" s="7">
        <f>'1 datos preparados'!L415</f>
        <v/>
      </c>
      <c r="N422" s="7">
        <f>'1 datos preparados'!M415</f>
        <v/>
      </c>
      <c r="O422" s="7">
        <f>'1 datos preparados'!N415</f>
        <v/>
      </c>
      <c r="P422" s="7">
        <f>'1 datos preparados'!O415</f>
        <v/>
      </c>
      <c r="Q422" s="7">
        <f>'1 datos preparados'!P415</f>
        <v/>
      </c>
      <c r="R422" s="7">
        <f>'1 datos preparados'!Q415</f>
        <v/>
      </c>
      <c r="S422" s="7">
        <f>'1 datos preparados'!R415</f>
        <v/>
      </c>
      <c r="T422" s="7">
        <f>'1 datos preparados'!S415</f>
        <v/>
      </c>
      <c r="U422" s="7">
        <f>'1 datos preparados'!T415</f>
        <v/>
      </c>
      <c r="V422" s="8">
        <f>$AE$12+D422*$AE$13+E422*$AE$14+F422*$AE$15+G422*$AE$16+H422*$AE$17+I422*$AE$18+J422*$AE$19+K422*$AE$20+L422*$AE$21+M422*$AE$22+N422*$AE$23+O422*$AE$24+P422*$AE$25+Q422*$AE$26+R422*$AE$27+S422*$AE$28+T422*$AE$29+U422*$AE$30</f>
        <v/>
      </c>
      <c r="W422" s="8">
        <f>1/(1+EXP(-V422))</f>
        <v/>
      </c>
      <c r="X422" s="9">
        <f>-IF(C422=1,LN(W422),LN(1-W422))</f>
        <v/>
      </c>
      <c r="Y422" s="8">
        <f>IF(C422=1,$AE$32,$AE$33)</f>
        <v/>
      </c>
      <c r="Z422" s="9">
        <f>Y422*X422</f>
        <v/>
      </c>
      <c r="AA422" s="10">
        <f>IF(W422&gt;$AE$34,1,0)</f>
        <v/>
      </c>
      <c r="AB422">
        <f>IF(AA422=C422,1,0)</f>
        <v/>
      </c>
    </row>
    <row r="423">
      <c r="A423">
        <f>'1 datos preparados'!A416</f>
        <v/>
      </c>
      <c r="B423" s="5">
        <f>'1 datos preparados'!U416</f>
        <v/>
      </c>
      <c r="C423">
        <f>'1 datos preparados'!B416</f>
        <v/>
      </c>
      <c r="D423" s="7">
        <f>'1 datos preparados'!C416</f>
        <v/>
      </c>
      <c r="E423" s="7">
        <f>'1 datos preparados'!D416</f>
        <v/>
      </c>
      <c r="F423" s="7">
        <f>'1 datos preparados'!E416</f>
        <v/>
      </c>
      <c r="G423" s="7">
        <f>'1 datos preparados'!F416</f>
        <v/>
      </c>
      <c r="H423" s="7">
        <f>'1 datos preparados'!G416</f>
        <v/>
      </c>
      <c r="I423" s="7">
        <f>'1 datos preparados'!H416</f>
        <v/>
      </c>
      <c r="J423" s="7">
        <f>'1 datos preparados'!I416</f>
        <v/>
      </c>
      <c r="K423" s="7">
        <f>'1 datos preparados'!J416</f>
        <v/>
      </c>
      <c r="L423" s="7">
        <f>'1 datos preparados'!K416</f>
        <v/>
      </c>
      <c r="M423" s="7">
        <f>'1 datos preparados'!L416</f>
        <v/>
      </c>
      <c r="N423" s="7">
        <f>'1 datos preparados'!M416</f>
        <v/>
      </c>
      <c r="O423" s="7">
        <f>'1 datos preparados'!N416</f>
        <v/>
      </c>
      <c r="P423" s="7">
        <f>'1 datos preparados'!O416</f>
        <v/>
      </c>
      <c r="Q423" s="7">
        <f>'1 datos preparados'!P416</f>
        <v/>
      </c>
      <c r="R423" s="7">
        <f>'1 datos preparados'!Q416</f>
        <v/>
      </c>
      <c r="S423" s="7">
        <f>'1 datos preparados'!R416</f>
        <v/>
      </c>
      <c r="T423" s="7">
        <f>'1 datos preparados'!S416</f>
        <v/>
      </c>
      <c r="U423" s="7">
        <f>'1 datos preparados'!T416</f>
        <v/>
      </c>
      <c r="V423" s="8">
        <f>$AE$12+D423*$AE$13+E423*$AE$14+F423*$AE$15+G423*$AE$16+H423*$AE$17+I423*$AE$18+J423*$AE$19+K423*$AE$20+L423*$AE$21+M423*$AE$22+N423*$AE$23+O423*$AE$24+P423*$AE$25+Q423*$AE$26+R423*$AE$27+S423*$AE$28+T423*$AE$29+U423*$AE$30</f>
        <v/>
      </c>
      <c r="W423" s="8">
        <f>1/(1+EXP(-V423))</f>
        <v/>
      </c>
      <c r="X423" s="9">
        <f>-IF(C423=1,LN(W423),LN(1-W423))</f>
        <v/>
      </c>
      <c r="Y423" s="8">
        <f>IF(C423=1,$AE$32,$AE$33)</f>
        <v/>
      </c>
      <c r="Z423" s="9">
        <f>Y423*X423</f>
        <v/>
      </c>
      <c r="AA423" s="10">
        <f>IF(W423&gt;$AE$34,1,0)</f>
        <v/>
      </c>
      <c r="AB423">
        <f>IF(AA423=C423,1,0)</f>
        <v/>
      </c>
    </row>
    <row r="424">
      <c r="A424">
        <f>'1 datos preparados'!A417</f>
        <v/>
      </c>
      <c r="B424" s="5">
        <f>'1 datos preparados'!U417</f>
        <v/>
      </c>
      <c r="C424">
        <f>'1 datos preparados'!B417</f>
        <v/>
      </c>
      <c r="D424" s="7">
        <f>'1 datos preparados'!C417</f>
        <v/>
      </c>
      <c r="E424" s="7">
        <f>'1 datos preparados'!D417</f>
        <v/>
      </c>
      <c r="F424" s="7">
        <f>'1 datos preparados'!E417</f>
        <v/>
      </c>
      <c r="G424" s="7">
        <f>'1 datos preparados'!F417</f>
        <v/>
      </c>
      <c r="H424" s="7">
        <f>'1 datos preparados'!G417</f>
        <v/>
      </c>
      <c r="I424" s="7">
        <f>'1 datos preparados'!H417</f>
        <v/>
      </c>
      <c r="J424" s="7">
        <f>'1 datos preparados'!I417</f>
        <v/>
      </c>
      <c r="K424" s="7">
        <f>'1 datos preparados'!J417</f>
        <v/>
      </c>
      <c r="L424" s="7">
        <f>'1 datos preparados'!K417</f>
        <v/>
      </c>
      <c r="M424" s="7">
        <f>'1 datos preparados'!L417</f>
        <v/>
      </c>
      <c r="N424" s="7">
        <f>'1 datos preparados'!M417</f>
        <v/>
      </c>
      <c r="O424" s="7">
        <f>'1 datos preparados'!N417</f>
        <v/>
      </c>
      <c r="P424" s="7">
        <f>'1 datos preparados'!O417</f>
        <v/>
      </c>
      <c r="Q424" s="7">
        <f>'1 datos preparados'!P417</f>
        <v/>
      </c>
      <c r="R424" s="7">
        <f>'1 datos preparados'!Q417</f>
        <v/>
      </c>
      <c r="S424" s="7">
        <f>'1 datos preparados'!R417</f>
        <v/>
      </c>
      <c r="T424" s="7">
        <f>'1 datos preparados'!S417</f>
        <v/>
      </c>
      <c r="U424" s="7">
        <f>'1 datos preparados'!T417</f>
        <v/>
      </c>
      <c r="V424" s="8">
        <f>$AE$12+D424*$AE$13+E424*$AE$14+F424*$AE$15+G424*$AE$16+H424*$AE$17+I424*$AE$18+J424*$AE$19+K424*$AE$20+L424*$AE$21+M424*$AE$22+N424*$AE$23+O424*$AE$24+P424*$AE$25+Q424*$AE$26+R424*$AE$27+S424*$AE$28+T424*$AE$29+U424*$AE$30</f>
        <v/>
      </c>
      <c r="W424" s="8">
        <f>1/(1+EXP(-V424))</f>
        <v/>
      </c>
      <c r="X424" s="9">
        <f>-IF(C424=1,LN(W424),LN(1-W424))</f>
        <v/>
      </c>
      <c r="Y424" s="8">
        <f>IF(C424=1,$AE$32,$AE$33)</f>
        <v/>
      </c>
      <c r="Z424" s="9">
        <f>Y424*X424</f>
        <v/>
      </c>
      <c r="AA424" s="10">
        <f>IF(W424&gt;$AE$34,1,0)</f>
        <v/>
      </c>
      <c r="AB424">
        <f>IF(AA424=C424,1,0)</f>
        <v/>
      </c>
    </row>
    <row r="425">
      <c r="A425">
        <f>'1 datos preparados'!A418</f>
        <v/>
      </c>
      <c r="B425" s="5">
        <f>'1 datos preparados'!U418</f>
        <v/>
      </c>
      <c r="C425">
        <f>'1 datos preparados'!B418</f>
        <v/>
      </c>
      <c r="D425" s="7">
        <f>'1 datos preparados'!C418</f>
        <v/>
      </c>
      <c r="E425" s="7">
        <f>'1 datos preparados'!D418</f>
        <v/>
      </c>
      <c r="F425" s="7">
        <f>'1 datos preparados'!E418</f>
        <v/>
      </c>
      <c r="G425" s="7">
        <f>'1 datos preparados'!F418</f>
        <v/>
      </c>
      <c r="H425" s="7">
        <f>'1 datos preparados'!G418</f>
        <v/>
      </c>
      <c r="I425" s="7">
        <f>'1 datos preparados'!H418</f>
        <v/>
      </c>
      <c r="J425" s="7">
        <f>'1 datos preparados'!I418</f>
        <v/>
      </c>
      <c r="K425" s="7">
        <f>'1 datos preparados'!J418</f>
        <v/>
      </c>
      <c r="L425" s="7">
        <f>'1 datos preparados'!K418</f>
        <v/>
      </c>
      <c r="M425" s="7">
        <f>'1 datos preparados'!L418</f>
        <v/>
      </c>
      <c r="N425" s="7">
        <f>'1 datos preparados'!M418</f>
        <v/>
      </c>
      <c r="O425" s="7">
        <f>'1 datos preparados'!N418</f>
        <v/>
      </c>
      <c r="P425" s="7">
        <f>'1 datos preparados'!O418</f>
        <v/>
      </c>
      <c r="Q425" s="7">
        <f>'1 datos preparados'!P418</f>
        <v/>
      </c>
      <c r="R425" s="7">
        <f>'1 datos preparados'!Q418</f>
        <v/>
      </c>
      <c r="S425" s="7">
        <f>'1 datos preparados'!R418</f>
        <v/>
      </c>
      <c r="T425" s="7">
        <f>'1 datos preparados'!S418</f>
        <v/>
      </c>
      <c r="U425" s="7">
        <f>'1 datos preparados'!T418</f>
        <v/>
      </c>
      <c r="V425" s="8">
        <f>$AE$12+D425*$AE$13+E425*$AE$14+F425*$AE$15+G425*$AE$16+H425*$AE$17+I425*$AE$18+J425*$AE$19+K425*$AE$20+L425*$AE$21+M425*$AE$22+N425*$AE$23+O425*$AE$24+P425*$AE$25+Q425*$AE$26+R425*$AE$27+S425*$AE$28+T425*$AE$29+U425*$AE$30</f>
        <v/>
      </c>
      <c r="W425" s="8">
        <f>1/(1+EXP(-V425))</f>
        <v/>
      </c>
      <c r="X425" s="9">
        <f>-IF(C425=1,LN(W425),LN(1-W425))</f>
        <v/>
      </c>
      <c r="Y425" s="8">
        <f>IF(C425=1,$AE$32,$AE$33)</f>
        <v/>
      </c>
      <c r="Z425" s="9">
        <f>Y425*X425</f>
        <v/>
      </c>
      <c r="AA425" s="10">
        <f>IF(W425&gt;$AE$34,1,0)</f>
        <v/>
      </c>
      <c r="AB425">
        <f>IF(AA425=C425,1,0)</f>
        <v/>
      </c>
    </row>
    <row r="426">
      <c r="A426">
        <f>'1 datos preparados'!A419</f>
        <v/>
      </c>
      <c r="B426" s="5">
        <f>'1 datos preparados'!U419</f>
        <v/>
      </c>
      <c r="C426">
        <f>'1 datos preparados'!B419</f>
        <v/>
      </c>
      <c r="D426" s="7">
        <f>'1 datos preparados'!C419</f>
        <v/>
      </c>
      <c r="E426" s="7">
        <f>'1 datos preparados'!D419</f>
        <v/>
      </c>
      <c r="F426" s="7">
        <f>'1 datos preparados'!E419</f>
        <v/>
      </c>
      <c r="G426" s="7">
        <f>'1 datos preparados'!F419</f>
        <v/>
      </c>
      <c r="H426" s="7">
        <f>'1 datos preparados'!G419</f>
        <v/>
      </c>
      <c r="I426" s="7">
        <f>'1 datos preparados'!H419</f>
        <v/>
      </c>
      <c r="J426" s="7">
        <f>'1 datos preparados'!I419</f>
        <v/>
      </c>
      <c r="K426" s="7">
        <f>'1 datos preparados'!J419</f>
        <v/>
      </c>
      <c r="L426" s="7">
        <f>'1 datos preparados'!K419</f>
        <v/>
      </c>
      <c r="M426" s="7">
        <f>'1 datos preparados'!L419</f>
        <v/>
      </c>
      <c r="N426" s="7">
        <f>'1 datos preparados'!M419</f>
        <v/>
      </c>
      <c r="O426" s="7">
        <f>'1 datos preparados'!N419</f>
        <v/>
      </c>
      <c r="P426" s="7">
        <f>'1 datos preparados'!O419</f>
        <v/>
      </c>
      <c r="Q426" s="7">
        <f>'1 datos preparados'!P419</f>
        <v/>
      </c>
      <c r="R426" s="7">
        <f>'1 datos preparados'!Q419</f>
        <v/>
      </c>
      <c r="S426" s="7">
        <f>'1 datos preparados'!R419</f>
        <v/>
      </c>
      <c r="T426" s="7">
        <f>'1 datos preparados'!S419</f>
        <v/>
      </c>
      <c r="U426" s="7">
        <f>'1 datos preparados'!T419</f>
        <v/>
      </c>
      <c r="V426" s="8">
        <f>$AE$12+D426*$AE$13+E426*$AE$14+F426*$AE$15+G426*$AE$16+H426*$AE$17+I426*$AE$18+J426*$AE$19+K426*$AE$20+L426*$AE$21+M426*$AE$22+N426*$AE$23+O426*$AE$24+P426*$AE$25+Q426*$AE$26+R426*$AE$27+S426*$AE$28+T426*$AE$29+U426*$AE$30</f>
        <v/>
      </c>
      <c r="W426" s="8">
        <f>1/(1+EXP(-V426))</f>
        <v/>
      </c>
      <c r="X426" s="9">
        <f>-IF(C426=1,LN(W426),LN(1-W426))</f>
        <v/>
      </c>
      <c r="Y426" s="8">
        <f>IF(C426=1,$AE$32,$AE$33)</f>
        <v/>
      </c>
      <c r="Z426" s="9">
        <f>Y426*X426</f>
        <v/>
      </c>
      <c r="AA426" s="10">
        <f>IF(W426&gt;$AE$34,1,0)</f>
        <v/>
      </c>
      <c r="AB426">
        <f>IF(AA426=C426,1,0)</f>
        <v/>
      </c>
    </row>
    <row r="427">
      <c r="A427">
        <f>'1 datos preparados'!A420</f>
        <v/>
      </c>
      <c r="B427" s="5">
        <f>'1 datos preparados'!U420</f>
        <v/>
      </c>
      <c r="C427">
        <f>'1 datos preparados'!B420</f>
        <v/>
      </c>
      <c r="D427" s="7">
        <f>'1 datos preparados'!C420</f>
        <v/>
      </c>
      <c r="E427" s="7">
        <f>'1 datos preparados'!D420</f>
        <v/>
      </c>
      <c r="F427" s="7">
        <f>'1 datos preparados'!E420</f>
        <v/>
      </c>
      <c r="G427" s="7">
        <f>'1 datos preparados'!F420</f>
        <v/>
      </c>
      <c r="H427" s="7">
        <f>'1 datos preparados'!G420</f>
        <v/>
      </c>
      <c r="I427" s="7">
        <f>'1 datos preparados'!H420</f>
        <v/>
      </c>
      <c r="J427" s="7">
        <f>'1 datos preparados'!I420</f>
        <v/>
      </c>
      <c r="K427" s="7">
        <f>'1 datos preparados'!J420</f>
        <v/>
      </c>
      <c r="L427" s="7">
        <f>'1 datos preparados'!K420</f>
        <v/>
      </c>
      <c r="M427" s="7">
        <f>'1 datos preparados'!L420</f>
        <v/>
      </c>
      <c r="N427" s="7">
        <f>'1 datos preparados'!M420</f>
        <v/>
      </c>
      <c r="O427" s="7">
        <f>'1 datos preparados'!N420</f>
        <v/>
      </c>
      <c r="P427" s="7">
        <f>'1 datos preparados'!O420</f>
        <v/>
      </c>
      <c r="Q427" s="7">
        <f>'1 datos preparados'!P420</f>
        <v/>
      </c>
      <c r="R427" s="7">
        <f>'1 datos preparados'!Q420</f>
        <v/>
      </c>
      <c r="S427" s="7">
        <f>'1 datos preparados'!R420</f>
        <v/>
      </c>
      <c r="T427" s="7">
        <f>'1 datos preparados'!S420</f>
        <v/>
      </c>
      <c r="U427" s="7">
        <f>'1 datos preparados'!T420</f>
        <v/>
      </c>
      <c r="V427" s="8">
        <f>$AE$12+D427*$AE$13+E427*$AE$14+F427*$AE$15+G427*$AE$16+H427*$AE$17+I427*$AE$18+J427*$AE$19+K427*$AE$20+L427*$AE$21+M427*$AE$22+N427*$AE$23+O427*$AE$24+P427*$AE$25+Q427*$AE$26+R427*$AE$27+S427*$AE$28+T427*$AE$29+U427*$AE$30</f>
        <v/>
      </c>
      <c r="W427" s="8">
        <f>1/(1+EXP(-V427))</f>
        <v/>
      </c>
      <c r="X427" s="9">
        <f>-IF(C427=1,LN(W427),LN(1-W427))</f>
        <v/>
      </c>
      <c r="Y427" s="8">
        <f>IF(C427=1,$AE$32,$AE$33)</f>
        <v/>
      </c>
      <c r="Z427" s="9">
        <f>Y427*X427</f>
        <v/>
      </c>
      <c r="AA427" s="10">
        <f>IF(W427&gt;$AE$34,1,0)</f>
        <v/>
      </c>
      <c r="AB427">
        <f>IF(AA427=C427,1,0)</f>
        <v/>
      </c>
    </row>
    <row r="428">
      <c r="A428">
        <f>'1 datos preparados'!A421</f>
        <v/>
      </c>
      <c r="B428" s="5">
        <f>'1 datos preparados'!U421</f>
        <v/>
      </c>
      <c r="C428">
        <f>'1 datos preparados'!B421</f>
        <v/>
      </c>
      <c r="D428" s="7">
        <f>'1 datos preparados'!C421</f>
        <v/>
      </c>
      <c r="E428" s="7">
        <f>'1 datos preparados'!D421</f>
        <v/>
      </c>
      <c r="F428" s="7">
        <f>'1 datos preparados'!E421</f>
        <v/>
      </c>
      <c r="G428" s="7">
        <f>'1 datos preparados'!F421</f>
        <v/>
      </c>
      <c r="H428" s="7">
        <f>'1 datos preparados'!G421</f>
        <v/>
      </c>
      <c r="I428" s="7">
        <f>'1 datos preparados'!H421</f>
        <v/>
      </c>
      <c r="J428" s="7">
        <f>'1 datos preparados'!I421</f>
        <v/>
      </c>
      <c r="K428" s="7">
        <f>'1 datos preparados'!J421</f>
        <v/>
      </c>
      <c r="L428" s="7">
        <f>'1 datos preparados'!K421</f>
        <v/>
      </c>
      <c r="M428" s="7">
        <f>'1 datos preparados'!L421</f>
        <v/>
      </c>
      <c r="N428" s="7">
        <f>'1 datos preparados'!M421</f>
        <v/>
      </c>
      <c r="O428" s="7">
        <f>'1 datos preparados'!N421</f>
        <v/>
      </c>
      <c r="P428" s="7">
        <f>'1 datos preparados'!O421</f>
        <v/>
      </c>
      <c r="Q428" s="7">
        <f>'1 datos preparados'!P421</f>
        <v/>
      </c>
      <c r="R428" s="7">
        <f>'1 datos preparados'!Q421</f>
        <v/>
      </c>
      <c r="S428" s="7">
        <f>'1 datos preparados'!R421</f>
        <v/>
      </c>
      <c r="T428" s="7">
        <f>'1 datos preparados'!S421</f>
        <v/>
      </c>
      <c r="U428" s="7">
        <f>'1 datos preparados'!T421</f>
        <v/>
      </c>
      <c r="V428" s="8">
        <f>$AE$12+D428*$AE$13+E428*$AE$14+F428*$AE$15+G428*$AE$16+H428*$AE$17+I428*$AE$18+J428*$AE$19+K428*$AE$20+L428*$AE$21+M428*$AE$22+N428*$AE$23+O428*$AE$24+P428*$AE$25+Q428*$AE$26+R428*$AE$27+S428*$AE$28+T428*$AE$29+U428*$AE$30</f>
        <v/>
      </c>
      <c r="W428" s="8">
        <f>1/(1+EXP(-V428))</f>
        <v/>
      </c>
      <c r="X428" s="9">
        <f>-IF(C428=1,LN(W428),LN(1-W428))</f>
        <v/>
      </c>
      <c r="Y428" s="8">
        <f>IF(C428=1,$AE$32,$AE$33)</f>
        <v/>
      </c>
      <c r="Z428" s="9">
        <f>Y428*X428</f>
        <v/>
      </c>
      <c r="AA428" s="10">
        <f>IF(W428&gt;$AE$34,1,0)</f>
        <v/>
      </c>
      <c r="AB428">
        <f>IF(AA428=C428,1,0)</f>
        <v/>
      </c>
    </row>
    <row r="429">
      <c r="A429">
        <f>'1 datos preparados'!A422</f>
        <v/>
      </c>
      <c r="B429" s="5">
        <f>'1 datos preparados'!U422</f>
        <v/>
      </c>
      <c r="C429">
        <f>'1 datos preparados'!B422</f>
        <v/>
      </c>
      <c r="D429" s="7">
        <f>'1 datos preparados'!C422</f>
        <v/>
      </c>
      <c r="E429" s="7">
        <f>'1 datos preparados'!D422</f>
        <v/>
      </c>
      <c r="F429" s="7">
        <f>'1 datos preparados'!E422</f>
        <v/>
      </c>
      <c r="G429" s="7">
        <f>'1 datos preparados'!F422</f>
        <v/>
      </c>
      <c r="H429" s="7">
        <f>'1 datos preparados'!G422</f>
        <v/>
      </c>
      <c r="I429" s="7">
        <f>'1 datos preparados'!H422</f>
        <v/>
      </c>
      <c r="J429" s="7">
        <f>'1 datos preparados'!I422</f>
        <v/>
      </c>
      <c r="K429" s="7">
        <f>'1 datos preparados'!J422</f>
        <v/>
      </c>
      <c r="L429" s="7">
        <f>'1 datos preparados'!K422</f>
        <v/>
      </c>
      <c r="M429" s="7">
        <f>'1 datos preparados'!L422</f>
        <v/>
      </c>
      <c r="N429" s="7">
        <f>'1 datos preparados'!M422</f>
        <v/>
      </c>
      <c r="O429" s="7">
        <f>'1 datos preparados'!N422</f>
        <v/>
      </c>
      <c r="P429" s="7">
        <f>'1 datos preparados'!O422</f>
        <v/>
      </c>
      <c r="Q429" s="7">
        <f>'1 datos preparados'!P422</f>
        <v/>
      </c>
      <c r="R429" s="7">
        <f>'1 datos preparados'!Q422</f>
        <v/>
      </c>
      <c r="S429" s="7">
        <f>'1 datos preparados'!R422</f>
        <v/>
      </c>
      <c r="T429" s="7">
        <f>'1 datos preparados'!S422</f>
        <v/>
      </c>
      <c r="U429" s="7">
        <f>'1 datos preparados'!T422</f>
        <v/>
      </c>
      <c r="V429" s="8">
        <f>$AE$12+D429*$AE$13+E429*$AE$14+F429*$AE$15+G429*$AE$16+H429*$AE$17+I429*$AE$18+J429*$AE$19+K429*$AE$20+L429*$AE$21+M429*$AE$22+N429*$AE$23+O429*$AE$24+P429*$AE$25+Q429*$AE$26+R429*$AE$27+S429*$AE$28+T429*$AE$29+U429*$AE$30</f>
        <v/>
      </c>
      <c r="W429" s="8">
        <f>1/(1+EXP(-V429))</f>
        <v/>
      </c>
      <c r="X429" s="9">
        <f>-IF(C429=1,LN(W429),LN(1-W429))</f>
        <v/>
      </c>
      <c r="Y429" s="8">
        <f>IF(C429=1,$AE$32,$AE$33)</f>
        <v/>
      </c>
      <c r="Z429" s="9">
        <f>Y429*X429</f>
        <v/>
      </c>
      <c r="AA429" s="10">
        <f>IF(W429&gt;$AE$34,1,0)</f>
        <v/>
      </c>
      <c r="AB429">
        <f>IF(AA429=C429,1,0)</f>
        <v/>
      </c>
    </row>
    <row r="430">
      <c r="A430">
        <f>'1 datos preparados'!A423</f>
        <v/>
      </c>
      <c r="B430" s="5">
        <f>'1 datos preparados'!U423</f>
        <v/>
      </c>
      <c r="C430">
        <f>'1 datos preparados'!B423</f>
        <v/>
      </c>
      <c r="D430" s="7">
        <f>'1 datos preparados'!C423</f>
        <v/>
      </c>
      <c r="E430" s="7">
        <f>'1 datos preparados'!D423</f>
        <v/>
      </c>
      <c r="F430" s="7">
        <f>'1 datos preparados'!E423</f>
        <v/>
      </c>
      <c r="G430" s="7">
        <f>'1 datos preparados'!F423</f>
        <v/>
      </c>
      <c r="H430" s="7">
        <f>'1 datos preparados'!G423</f>
        <v/>
      </c>
      <c r="I430" s="7">
        <f>'1 datos preparados'!H423</f>
        <v/>
      </c>
      <c r="J430" s="7">
        <f>'1 datos preparados'!I423</f>
        <v/>
      </c>
      <c r="K430" s="7">
        <f>'1 datos preparados'!J423</f>
        <v/>
      </c>
      <c r="L430" s="7">
        <f>'1 datos preparados'!K423</f>
        <v/>
      </c>
      <c r="M430" s="7">
        <f>'1 datos preparados'!L423</f>
        <v/>
      </c>
      <c r="N430" s="7">
        <f>'1 datos preparados'!M423</f>
        <v/>
      </c>
      <c r="O430" s="7">
        <f>'1 datos preparados'!N423</f>
        <v/>
      </c>
      <c r="P430" s="7">
        <f>'1 datos preparados'!O423</f>
        <v/>
      </c>
      <c r="Q430" s="7">
        <f>'1 datos preparados'!P423</f>
        <v/>
      </c>
      <c r="R430" s="7">
        <f>'1 datos preparados'!Q423</f>
        <v/>
      </c>
      <c r="S430" s="7">
        <f>'1 datos preparados'!R423</f>
        <v/>
      </c>
      <c r="T430" s="7">
        <f>'1 datos preparados'!S423</f>
        <v/>
      </c>
      <c r="U430" s="7">
        <f>'1 datos preparados'!T423</f>
        <v/>
      </c>
      <c r="V430" s="8">
        <f>$AE$12+D430*$AE$13+E430*$AE$14+F430*$AE$15+G430*$AE$16+H430*$AE$17+I430*$AE$18+J430*$AE$19+K430*$AE$20+L430*$AE$21+M430*$AE$22+N430*$AE$23+O430*$AE$24+P430*$AE$25+Q430*$AE$26+R430*$AE$27+S430*$AE$28+T430*$AE$29+U430*$AE$30</f>
        <v/>
      </c>
      <c r="W430" s="8">
        <f>1/(1+EXP(-V430))</f>
        <v/>
      </c>
      <c r="X430" s="9">
        <f>-IF(C430=1,LN(W430),LN(1-W430))</f>
        <v/>
      </c>
      <c r="Y430" s="8">
        <f>IF(C430=1,$AE$32,$AE$33)</f>
        <v/>
      </c>
      <c r="Z430" s="9">
        <f>Y430*X430</f>
        <v/>
      </c>
      <c r="AA430" s="10">
        <f>IF(W430&gt;$AE$34,1,0)</f>
        <v/>
      </c>
      <c r="AB430">
        <f>IF(AA430=C430,1,0)</f>
        <v/>
      </c>
    </row>
    <row r="431">
      <c r="A431">
        <f>'1 datos preparados'!A424</f>
        <v/>
      </c>
      <c r="B431" s="5">
        <f>'1 datos preparados'!U424</f>
        <v/>
      </c>
      <c r="C431">
        <f>'1 datos preparados'!B424</f>
        <v/>
      </c>
      <c r="D431" s="7">
        <f>'1 datos preparados'!C424</f>
        <v/>
      </c>
      <c r="E431" s="7">
        <f>'1 datos preparados'!D424</f>
        <v/>
      </c>
      <c r="F431" s="7">
        <f>'1 datos preparados'!E424</f>
        <v/>
      </c>
      <c r="G431" s="7">
        <f>'1 datos preparados'!F424</f>
        <v/>
      </c>
      <c r="H431" s="7">
        <f>'1 datos preparados'!G424</f>
        <v/>
      </c>
      <c r="I431" s="7">
        <f>'1 datos preparados'!H424</f>
        <v/>
      </c>
      <c r="J431" s="7">
        <f>'1 datos preparados'!I424</f>
        <v/>
      </c>
      <c r="K431" s="7">
        <f>'1 datos preparados'!J424</f>
        <v/>
      </c>
      <c r="L431" s="7">
        <f>'1 datos preparados'!K424</f>
        <v/>
      </c>
      <c r="M431" s="7">
        <f>'1 datos preparados'!L424</f>
        <v/>
      </c>
      <c r="N431" s="7">
        <f>'1 datos preparados'!M424</f>
        <v/>
      </c>
      <c r="O431" s="7">
        <f>'1 datos preparados'!N424</f>
        <v/>
      </c>
      <c r="P431" s="7">
        <f>'1 datos preparados'!O424</f>
        <v/>
      </c>
      <c r="Q431" s="7">
        <f>'1 datos preparados'!P424</f>
        <v/>
      </c>
      <c r="R431" s="7">
        <f>'1 datos preparados'!Q424</f>
        <v/>
      </c>
      <c r="S431" s="7">
        <f>'1 datos preparados'!R424</f>
        <v/>
      </c>
      <c r="T431" s="7">
        <f>'1 datos preparados'!S424</f>
        <v/>
      </c>
      <c r="U431" s="7">
        <f>'1 datos preparados'!T424</f>
        <v/>
      </c>
      <c r="V431" s="8">
        <f>$AE$12+D431*$AE$13+E431*$AE$14+F431*$AE$15+G431*$AE$16+H431*$AE$17+I431*$AE$18+J431*$AE$19+K431*$AE$20+L431*$AE$21+M431*$AE$22+N431*$AE$23+O431*$AE$24+P431*$AE$25+Q431*$AE$26+R431*$AE$27+S431*$AE$28+T431*$AE$29+U431*$AE$30</f>
        <v/>
      </c>
      <c r="W431" s="8">
        <f>1/(1+EXP(-V431))</f>
        <v/>
      </c>
      <c r="X431" s="9">
        <f>-IF(C431=1,LN(W431),LN(1-W431))</f>
        <v/>
      </c>
      <c r="Y431" s="8">
        <f>IF(C431=1,$AE$32,$AE$33)</f>
        <v/>
      </c>
      <c r="Z431" s="9">
        <f>Y431*X431</f>
        <v/>
      </c>
      <c r="AA431" s="10">
        <f>IF(W431&gt;$AE$34,1,0)</f>
        <v/>
      </c>
      <c r="AB431">
        <f>IF(AA431=C431,1,0)</f>
        <v/>
      </c>
    </row>
    <row r="432">
      <c r="A432">
        <f>'1 datos preparados'!A425</f>
        <v/>
      </c>
      <c r="B432" s="5">
        <f>'1 datos preparados'!U425</f>
        <v/>
      </c>
      <c r="C432">
        <f>'1 datos preparados'!B425</f>
        <v/>
      </c>
      <c r="D432" s="7">
        <f>'1 datos preparados'!C425</f>
        <v/>
      </c>
      <c r="E432" s="7">
        <f>'1 datos preparados'!D425</f>
        <v/>
      </c>
      <c r="F432" s="7">
        <f>'1 datos preparados'!E425</f>
        <v/>
      </c>
      <c r="G432" s="7">
        <f>'1 datos preparados'!F425</f>
        <v/>
      </c>
      <c r="H432" s="7">
        <f>'1 datos preparados'!G425</f>
        <v/>
      </c>
      <c r="I432" s="7">
        <f>'1 datos preparados'!H425</f>
        <v/>
      </c>
      <c r="J432" s="7">
        <f>'1 datos preparados'!I425</f>
        <v/>
      </c>
      <c r="K432" s="7">
        <f>'1 datos preparados'!J425</f>
        <v/>
      </c>
      <c r="L432" s="7">
        <f>'1 datos preparados'!K425</f>
        <v/>
      </c>
      <c r="M432" s="7">
        <f>'1 datos preparados'!L425</f>
        <v/>
      </c>
      <c r="N432" s="7">
        <f>'1 datos preparados'!M425</f>
        <v/>
      </c>
      <c r="O432" s="7">
        <f>'1 datos preparados'!N425</f>
        <v/>
      </c>
      <c r="P432" s="7">
        <f>'1 datos preparados'!O425</f>
        <v/>
      </c>
      <c r="Q432" s="7">
        <f>'1 datos preparados'!P425</f>
        <v/>
      </c>
      <c r="R432" s="7">
        <f>'1 datos preparados'!Q425</f>
        <v/>
      </c>
      <c r="S432" s="7">
        <f>'1 datos preparados'!R425</f>
        <v/>
      </c>
      <c r="T432" s="7">
        <f>'1 datos preparados'!S425</f>
        <v/>
      </c>
      <c r="U432" s="7">
        <f>'1 datos preparados'!T425</f>
        <v/>
      </c>
      <c r="V432" s="8">
        <f>$AE$12+D432*$AE$13+E432*$AE$14+F432*$AE$15+G432*$AE$16+H432*$AE$17+I432*$AE$18+J432*$AE$19+K432*$AE$20+L432*$AE$21+M432*$AE$22+N432*$AE$23+O432*$AE$24+P432*$AE$25+Q432*$AE$26+R432*$AE$27+S432*$AE$28+T432*$AE$29+U432*$AE$30</f>
        <v/>
      </c>
      <c r="W432" s="8">
        <f>1/(1+EXP(-V432))</f>
        <v/>
      </c>
      <c r="X432" s="9">
        <f>-IF(C432=1,LN(W432),LN(1-W432))</f>
        <v/>
      </c>
      <c r="Y432" s="8">
        <f>IF(C432=1,$AE$32,$AE$33)</f>
        <v/>
      </c>
      <c r="Z432" s="9">
        <f>Y432*X432</f>
        <v/>
      </c>
      <c r="AA432" s="10">
        <f>IF(W432&gt;$AE$34,1,0)</f>
        <v/>
      </c>
      <c r="AB432">
        <f>IF(AA432=C432,1,0)</f>
        <v/>
      </c>
    </row>
    <row r="433">
      <c r="A433">
        <f>'1 datos preparados'!A426</f>
        <v/>
      </c>
      <c r="B433" s="5">
        <f>'1 datos preparados'!U426</f>
        <v/>
      </c>
      <c r="C433">
        <f>'1 datos preparados'!B426</f>
        <v/>
      </c>
      <c r="D433" s="7">
        <f>'1 datos preparados'!C426</f>
        <v/>
      </c>
      <c r="E433" s="7">
        <f>'1 datos preparados'!D426</f>
        <v/>
      </c>
      <c r="F433" s="7">
        <f>'1 datos preparados'!E426</f>
        <v/>
      </c>
      <c r="G433" s="7">
        <f>'1 datos preparados'!F426</f>
        <v/>
      </c>
      <c r="H433" s="7">
        <f>'1 datos preparados'!G426</f>
        <v/>
      </c>
      <c r="I433" s="7">
        <f>'1 datos preparados'!H426</f>
        <v/>
      </c>
      <c r="J433" s="7">
        <f>'1 datos preparados'!I426</f>
        <v/>
      </c>
      <c r="K433" s="7">
        <f>'1 datos preparados'!J426</f>
        <v/>
      </c>
      <c r="L433" s="7">
        <f>'1 datos preparados'!K426</f>
        <v/>
      </c>
      <c r="M433" s="7">
        <f>'1 datos preparados'!L426</f>
        <v/>
      </c>
      <c r="N433" s="7">
        <f>'1 datos preparados'!M426</f>
        <v/>
      </c>
      <c r="O433" s="7">
        <f>'1 datos preparados'!N426</f>
        <v/>
      </c>
      <c r="P433" s="7">
        <f>'1 datos preparados'!O426</f>
        <v/>
      </c>
      <c r="Q433" s="7">
        <f>'1 datos preparados'!P426</f>
        <v/>
      </c>
      <c r="R433" s="7">
        <f>'1 datos preparados'!Q426</f>
        <v/>
      </c>
      <c r="S433" s="7">
        <f>'1 datos preparados'!R426</f>
        <v/>
      </c>
      <c r="T433" s="7">
        <f>'1 datos preparados'!S426</f>
        <v/>
      </c>
      <c r="U433" s="7">
        <f>'1 datos preparados'!T426</f>
        <v/>
      </c>
      <c r="V433" s="8">
        <f>$AE$12+D433*$AE$13+E433*$AE$14+F433*$AE$15+G433*$AE$16+H433*$AE$17+I433*$AE$18+J433*$AE$19+K433*$AE$20+L433*$AE$21+M433*$AE$22+N433*$AE$23+O433*$AE$24+P433*$AE$25+Q433*$AE$26+R433*$AE$27+S433*$AE$28+T433*$AE$29+U433*$AE$30</f>
        <v/>
      </c>
      <c r="W433" s="8">
        <f>1/(1+EXP(-V433))</f>
        <v/>
      </c>
      <c r="X433" s="9">
        <f>-IF(C433=1,LN(W433),LN(1-W433))</f>
        <v/>
      </c>
      <c r="Y433" s="8">
        <f>IF(C433=1,$AE$32,$AE$33)</f>
        <v/>
      </c>
      <c r="Z433" s="9">
        <f>Y433*X433</f>
        <v/>
      </c>
      <c r="AA433" s="10">
        <f>IF(W433&gt;$AE$34,1,0)</f>
        <v/>
      </c>
      <c r="AB433">
        <f>IF(AA433=C433,1,0)</f>
        <v/>
      </c>
    </row>
    <row r="434">
      <c r="A434">
        <f>'1 datos preparados'!A427</f>
        <v/>
      </c>
      <c r="B434" s="5">
        <f>'1 datos preparados'!U427</f>
        <v/>
      </c>
      <c r="C434">
        <f>'1 datos preparados'!B427</f>
        <v/>
      </c>
      <c r="D434" s="7">
        <f>'1 datos preparados'!C427</f>
        <v/>
      </c>
      <c r="E434" s="7">
        <f>'1 datos preparados'!D427</f>
        <v/>
      </c>
      <c r="F434" s="7">
        <f>'1 datos preparados'!E427</f>
        <v/>
      </c>
      <c r="G434" s="7">
        <f>'1 datos preparados'!F427</f>
        <v/>
      </c>
      <c r="H434" s="7">
        <f>'1 datos preparados'!G427</f>
        <v/>
      </c>
      <c r="I434" s="7">
        <f>'1 datos preparados'!H427</f>
        <v/>
      </c>
      <c r="J434" s="7">
        <f>'1 datos preparados'!I427</f>
        <v/>
      </c>
      <c r="K434" s="7">
        <f>'1 datos preparados'!J427</f>
        <v/>
      </c>
      <c r="L434" s="7">
        <f>'1 datos preparados'!K427</f>
        <v/>
      </c>
      <c r="M434" s="7">
        <f>'1 datos preparados'!L427</f>
        <v/>
      </c>
      <c r="N434" s="7">
        <f>'1 datos preparados'!M427</f>
        <v/>
      </c>
      <c r="O434" s="7">
        <f>'1 datos preparados'!N427</f>
        <v/>
      </c>
      <c r="P434" s="7">
        <f>'1 datos preparados'!O427</f>
        <v/>
      </c>
      <c r="Q434" s="7">
        <f>'1 datos preparados'!P427</f>
        <v/>
      </c>
      <c r="R434" s="7">
        <f>'1 datos preparados'!Q427</f>
        <v/>
      </c>
      <c r="S434" s="7">
        <f>'1 datos preparados'!R427</f>
        <v/>
      </c>
      <c r="T434" s="7">
        <f>'1 datos preparados'!S427</f>
        <v/>
      </c>
      <c r="U434" s="7">
        <f>'1 datos preparados'!T427</f>
        <v/>
      </c>
      <c r="V434" s="8">
        <f>$AE$12+D434*$AE$13+E434*$AE$14+F434*$AE$15+G434*$AE$16+H434*$AE$17+I434*$AE$18+J434*$AE$19+K434*$AE$20+L434*$AE$21+M434*$AE$22+N434*$AE$23+O434*$AE$24+P434*$AE$25+Q434*$AE$26+R434*$AE$27+S434*$AE$28+T434*$AE$29+U434*$AE$30</f>
        <v/>
      </c>
      <c r="W434" s="8">
        <f>1/(1+EXP(-V434))</f>
        <v/>
      </c>
      <c r="X434" s="9">
        <f>-IF(C434=1,LN(W434),LN(1-W434))</f>
        <v/>
      </c>
      <c r="Y434" s="8">
        <f>IF(C434=1,$AE$32,$AE$33)</f>
        <v/>
      </c>
      <c r="Z434" s="9">
        <f>Y434*X434</f>
        <v/>
      </c>
      <c r="AA434" s="10">
        <f>IF(W434&gt;$AE$34,1,0)</f>
        <v/>
      </c>
      <c r="AB434">
        <f>IF(AA434=C434,1,0)</f>
        <v/>
      </c>
    </row>
    <row r="435">
      <c r="A435">
        <f>'1 datos preparados'!A428</f>
        <v/>
      </c>
      <c r="B435" s="5">
        <f>'1 datos preparados'!U428</f>
        <v/>
      </c>
      <c r="C435">
        <f>'1 datos preparados'!B428</f>
        <v/>
      </c>
      <c r="D435" s="7">
        <f>'1 datos preparados'!C428</f>
        <v/>
      </c>
      <c r="E435" s="7">
        <f>'1 datos preparados'!D428</f>
        <v/>
      </c>
      <c r="F435" s="7">
        <f>'1 datos preparados'!E428</f>
        <v/>
      </c>
      <c r="G435" s="7">
        <f>'1 datos preparados'!F428</f>
        <v/>
      </c>
      <c r="H435" s="7">
        <f>'1 datos preparados'!G428</f>
        <v/>
      </c>
      <c r="I435" s="7">
        <f>'1 datos preparados'!H428</f>
        <v/>
      </c>
      <c r="J435" s="7">
        <f>'1 datos preparados'!I428</f>
        <v/>
      </c>
      <c r="K435" s="7">
        <f>'1 datos preparados'!J428</f>
        <v/>
      </c>
      <c r="L435" s="7">
        <f>'1 datos preparados'!K428</f>
        <v/>
      </c>
      <c r="M435" s="7">
        <f>'1 datos preparados'!L428</f>
        <v/>
      </c>
      <c r="N435" s="7">
        <f>'1 datos preparados'!M428</f>
        <v/>
      </c>
      <c r="O435" s="7">
        <f>'1 datos preparados'!N428</f>
        <v/>
      </c>
      <c r="P435" s="7">
        <f>'1 datos preparados'!O428</f>
        <v/>
      </c>
      <c r="Q435" s="7">
        <f>'1 datos preparados'!P428</f>
        <v/>
      </c>
      <c r="R435" s="7">
        <f>'1 datos preparados'!Q428</f>
        <v/>
      </c>
      <c r="S435" s="7">
        <f>'1 datos preparados'!R428</f>
        <v/>
      </c>
      <c r="T435" s="7">
        <f>'1 datos preparados'!S428</f>
        <v/>
      </c>
      <c r="U435" s="7">
        <f>'1 datos preparados'!T428</f>
        <v/>
      </c>
      <c r="V435" s="8">
        <f>$AE$12+D435*$AE$13+E435*$AE$14+F435*$AE$15+G435*$AE$16+H435*$AE$17+I435*$AE$18+J435*$AE$19+K435*$AE$20+L435*$AE$21+M435*$AE$22+N435*$AE$23+O435*$AE$24+P435*$AE$25+Q435*$AE$26+R435*$AE$27+S435*$AE$28+T435*$AE$29+U435*$AE$30</f>
        <v/>
      </c>
      <c r="W435" s="8">
        <f>1/(1+EXP(-V435))</f>
        <v/>
      </c>
      <c r="X435" s="9">
        <f>-IF(C435=1,LN(W435),LN(1-W435))</f>
        <v/>
      </c>
      <c r="Y435" s="8">
        <f>IF(C435=1,$AE$32,$AE$33)</f>
        <v/>
      </c>
      <c r="Z435" s="9">
        <f>Y435*X435</f>
        <v/>
      </c>
      <c r="AA435" s="10">
        <f>IF(W435&gt;$AE$34,1,0)</f>
        <v/>
      </c>
      <c r="AB435">
        <f>IF(AA435=C435,1,0)</f>
        <v/>
      </c>
    </row>
    <row r="436">
      <c r="A436">
        <f>'1 datos preparados'!A429</f>
        <v/>
      </c>
      <c r="B436" s="5">
        <f>'1 datos preparados'!U429</f>
        <v/>
      </c>
      <c r="C436">
        <f>'1 datos preparados'!B429</f>
        <v/>
      </c>
      <c r="D436" s="7">
        <f>'1 datos preparados'!C429</f>
        <v/>
      </c>
      <c r="E436" s="7">
        <f>'1 datos preparados'!D429</f>
        <v/>
      </c>
      <c r="F436" s="7">
        <f>'1 datos preparados'!E429</f>
        <v/>
      </c>
      <c r="G436" s="7">
        <f>'1 datos preparados'!F429</f>
        <v/>
      </c>
      <c r="H436" s="7">
        <f>'1 datos preparados'!G429</f>
        <v/>
      </c>
      <c r="I436" s="7">
        <f>'1 datos preparados'!H429</f>
        <v/>
      </c>
      <c r="J436" s="7">
        <f>'1 datos preparados'!I429</f>
        <v/>
      </c>
      <c r="K436" s="7">
        <f>'1 datos preparados'!J429</f>
        <v/>
      </c>
      <c r="L436" s="7">
        <f>'1 datos preparados'!K429</f>
        <v/>
      </c>
      <c r="M436" s="7">
        <f>'1 datos preparados'!L429</f>
        <v/>
      </c>
      <c r="N436" s="7">
        <f>'1 datos preparados'!M429</f>
        <v/>
      </c>
      <c r="O436" s="7">
        <f>'1 datos preparados'!N429</f>
        <v/>
      </c>
      <c r="P436" s="7">
        <f>'1 datos preparados'!O429</f>
        <v/>
      </c>
      <c r="Q436" s="7">
        <f>'1 datos preparados'!P429</f>
        <v/>
      </c>
      <c r="R436" s="7">
        <f>'1 datos preparados'!Q429</f>
        <v/>
      </c>
      <c r="S436" s="7">
        <f>'1 datos preparados'!R429</f>
        <v/>
      </c>
      <c r="T436" s="7">
        <f>'1 datos preparados'!S429</f>
        <v/>
      </c>
      <c r="U436" s="7">
        <f>'1 datos preparados'!T429</f>
        <v/>
      </c>
      <c r="V436" s="8">
        <f>$AE$12+D436*$AE$13+E436*$AE$14+F436*$AE$15+G436*$AE$16+H436*$AE$17+I436*$AE$18+J436*$AE$19+K436*$AE$20+L436*$AE$21+M436*$AE$22+N436*$AE$23+O436*$AE$24+P436*$AE$25+Q436*$AE$26+R436*$AE$27+S436*$AE$28+T436*$AE$29+U436*$AE$30</f>
        <v/>
      </c>
      <c r="W436" s="8">
        <f>1/(1+EXP(-V436))</f>
        <v/>
      </c>
      <c r="X436" s="9">
        <f>-IF(C436=1,LN(W436),LN(1-W436))</f>
        <v/>
      </c>
      <c r="Y436" s="8">
        <f>IF(C436=1,$AE$32,$AE$33)</f>
        <v/>
      </c>
      <c r="Z436" s="9">
        <f>Y436*X436</f>
        <v/>
      </c>
      <c r="AA436" s="10">
        <f>IF(W436&gt;$AE$34,1,0)</f>
        <v/>
      </c>
      <c r="AB436">
        <f>IF(AA436=C436,1,0)</f>
        <v/>
      </c>
    </row>
    <row r="437">
      <c r="A437">
        <f>'1 datos preparados'!A430</f>
        <v/>
      </c>
      <c r="B437" s="5">
        <f>'1 datos preparados'!U430</f>
        <v/>
      </c>
      <c r="C437">
        <f>'1 datos preparados'!B430</f>
        <v/>
      </c>
      <c r="D437" s="7">
        <f>'1 datos preparados'!C430</f>
        <v/>
      </c>
      <c r="E437" s="7">
        <f>'1 datos preparados'!D430</f>
        <v/>
      </c>
      <c r="F437" s="7">
        <f>'1 datos preparados'!E430</f>
        <v/>
      </c>
      <c r="G437" s="7">
        <f>'1 datos preparados'!F430</f>
        <v/>
      </c>
      <c r="H437" s="7">
        <f>'1 datos preparados'!G430</f>
        <v/>
      </c>
      <c r="I437" s="7">
        <f>'1 datos preparados'!H430</f>
        <v/>
      </c>
      <c r="J437" s="7">
        <f>'1 datos preparados'!I430</f>
        <v/>
      </c>
      <c r="K437" s="7">
        <f>'1 datos preparados'!J430</f>
        <v/>
      </c>
      <c r="L437" s="7">
        <f>'1 datos preparados'!K430</f>
        <v/>
      </c>
      <c r="M437" s="7">
        <f>'1 datos preparados'!L430</f>
        <v/>
      </c>
      <c r="N437" s="7">
        <f>'1 datos preparados'!M430</f>
        <v/>
      </c>
      <c r="O437" s="7">
        <f>'1 datos preparados'!N430</f>
        <v/>
      </c>
      <c r="P437" s="7">
        <f>'1 datos preparados'!O430</f>
        <v/>
      </c>
      <c r="Q437" s="7">
        <f>'1 datos preparados'!P430</f>
        <v/>
      </c>
      <c r="R437" s="7">
        <f>'1 datos preparados'!Q430</f>
        <v/>
      </c>
      <c r="S437" s="7">
        <f>'1 datos preparados'!R430</f>
        <v/>
      </c>
      <c r="T437" s="7">
        <f>'1 datos preparados'!S430</f>
        <v/>
      </c>
      <c r="U437" s="7">
        <f>'1 datos preparados'!T430</f>
        <v/>
      </c>
      <c r="V437" s="8">
        <f>$AE$12+D437*$AE$13+E437*$AE$14+F437*$AE$15+G437*$AE$16+H437*$AE$17+I437*$AE$18+J437*$AE$19+K437*$AE$20+L437*$AE$21+M437*$AE$22+N437*$AE$23+O437*$AE$24+P437*$AE$25+Q437*$AE$26+R437*$AE$27+S437*$AE$28+T437*$AE$29+U437*$AE$30</f>
        <v/>
      </c>
      <c r="W437" s="8">
        <f>1/(1+EXP(-V437))</f>
        <v/>
      </c>
      <c r="X437" s="9">
        <f>-IF(C437=1,LN(W437),LN(1-W437))</f>
        <v/>
      </c>
      <c r="Y437" s="8">
        <f>IF(C437=1,$AE$32,$AE$33)</f>
        <v/>
      </c>
      <c r="Z437" s="9">
        <f>Y437*X437</f>
        <v/>
      </c>
      <c r="AA437" s="10">
        <f>IF(W437&gt;$AE$34,1,0)</f>
        <v/>
      </c>
      <c r="AB437">
        <f>IF(AA437=C437,1,0)</f>
        <v/>
      </c>
    </row>
    <row r="438">
      <c r="A438">
        <f>'1 datos preparados'!A431</f>
        <v/>
      </c>
      <c r="B438" s="5">
        <f>'1 datos preparados'!U431</f>
        <v/>
      </c>
      <c r="C438">
        <f>'1 datos preparados'!B431</f>
        <v/>
      </c>
      <c r="D438" s="7">
        <f>'1 datos preparados'!C431</f>
        <v/>
      </c>
      <c r="E438" s="7">
        <f>'1 datos preparados'!D431</f>
        <v/>
      </c>
      <c r="F438" s="7">
        <f>'1 datos preparados'!E431</f>
        <v/>
      </c>
      <c r="G438" s="7">
        <f>'1 datos preparados'!F431</f>
        <v/>
      </c>
      <c r="H438" s="7">
        <f>'1 datos preparados'!G431</f>
        <v/>
      </c>
      <c r="I438" s="7">
        <f>'1 datos preparados'!H431</f>
        <v/>
      </c>
      <c r="J438" s="7">
        <f>'1 datos preparados'!I431</f>
        <v/>
      </c>
      <c r="K438" s="7">
        <f>'1 datos preparados'!J431</f>
        <v/>
      </c>
      <c r="L438" s="7">
        <f>'1 datos preparados'!K431</f>
        <v/>
      </c>
      <c r="M438" s="7">
        <f>'1 datos preparados'!L431</f>
        <v/>
      </c>
      <c r="N438" s="7">
        <f>'1 datos preparados'!M431</f>
        <v/>
      </c>
      <c r="O438" s="7">
        <f>'1 datos preparados'!N431</f>
        <v/>
      </c>
      <c r="P438" s="7">
        <f>'1 datos preparados'!O431</f>
        <v/>
      </c>
      <c r="Q438" s="7">
        <f>'1 datos preparados'!P431</f>
        <v/>
      </c>
      <c r="R438" s="7">
        <f>'1 datos preparados'!Q431</f>
        <v/>
      </c>
      <c r="S438" s="7">
        <f>'1 datos preparados'!R431</f>
        <v/>
      </c>
      <c r="T438" s="7">
        <f>'1 datos preparados'!S431</f>
        <v/>
      </c>
      <c r="U438" s="7">
        <f>'1 datos preparados'!T431</f>
        <v/>
      </c>
      <c r="V438" s="8">
        <f>$AE$12+D438*$AE$13+E438*$AE$14+F438*$AE$15+G438*$AE$16+H438*$AE$17+I438*$AE$18+J438*$AE$19+K438*$AE$20+L438*$AE$21+M438*$AE$22+N438*$AE$23+O438*$AE$24+P438*$AE$25+Q438*$AE$26+R438*$AE$27+S438*$AE$28+T438*$AE$29+U438*$AE$30</f>
        <v/>
      </c>
      <c r="W438" s="8">
        <f>1/(1+EXP(-V438))</f>
        <v/>
      </c>
      <c r="X438" s="9">
        <f>-IF(C438=1,LN(W438),LN(1-W438))</f>
        <v/>
      </c>
      <c r="Y438" s="8">
        <f>IF(C438=1,$AE$32,$AE$33)</f>
        <v/>
      </c>
      <c r="Z438" s="9">
        <f>Y438*X438</f>
        <v/>
      </c>
      <c r="AA438" s="10">
        <f>IF(W438&gt;$AE$34,1,0)</f>
        <v/>
      </c>
      <c r="AB438">
        <f>IF(AA438=C438,1,0)</f>
        <v/>
      </c>
    </row>
    <row r="439">
      <c r="A439">
        <f>'1 datos preparados'!A432</f>
        <v/>
      </c>
      <c r="B439" s="5">
        <f>'1 datos preparados'!U432</f>
        <v/>
      </c>
      <c r="C439">
        <f>'1 datos preparados'!B432</f>
        <v/>
      </c>
      <c r="D439" s="7">
        <f>'1 datos preparados'!C432</f>
        <v/>
      </c>
      <c r="E439" s="7">
        <f>'1 datos preparados'!D432</f>
        <v/>
      </c>
      <c r="F439" s="7">
        <f>'1 datos preparados'!E432</f>
        <v/>
      </c>
      <c r="G439" s="7">
        <f>'1 datos preparados'!F432</f>
        <v/>
      </c>
      <c r="H439" s="7">
        <f>'1 datos preparados'!G432</f>
        <v/>
      </c>
      <c r="I439" s="7">
        <f>'1 datos preparados'!H432</f>
        <v/>
      </c>
      <c r="J439" s="7">
        <f>'1 datos preparados'!I432</f>
        <v/>
      </c>
      <c r="K439" s="7">
        <f>'1 datos preparados'!J432</f>
        <v/>
      </c>
      <c r="L439" s="7">
        <f>'1 datos preparados'!K432</f>
        <v/>
      </c>
      <c r="M439" s="7">
        <f>'1 datos preparados'!L432</f>
        <v/>
      </c>
      <c r="N439" s="7">
        <f>'1 datos preparados'!M432</f>
        <v/>
      </c>
      <c r="O439" s="7">
        <f>'1 datos preparados'!N432</f>
        <v/>
      </c>
      <c r="P439" s="7">
        <f>'1 datos preparados'!O432</f>
        <v/>
      </c>
      <c r="Q439" s="7">
        <f>'1 datos preparados'!P432</f>
        <v/>
      </c>
      <c r="R439" s="7">
        <f>'1 datos preparados'!Q432</f>
        <v/>
      </c>
      <c r="S439" s="7">
        <f>'1 datos preparados'!R432</f>
        <v/>
      </c>
      <c r="T439" s="7">
        <f>'1 datos preparados'!S432</f>
        <v/>
      </c>
      <c r="U439" s="7">
        <f>'1 datos preparados'!T432</f>
        <v/>
      </c>
      <c r="V439" s="8">
        <f>$AE$12+D439*$AE$13+E439*$AE$14+F439*$AE$15+G439*$AE$16+H439*$AE$17+I439*$AE$18+J439*$AE$19+K439*$AE$20+L439*$AE$21+M439*$AE$22+N439*$AE$23+O439*$AE$24+P439*$AE$25+Q439*$AE$26+R439*$AE$27+S439*$AE$28+T439*$AE$29+U439*$AE$30</f>
        <v/>
      </c>
      <c r="W439" s="8">
        <f>1/(1+EXP(-V439))</f>
        <v/>
      </c>
      <c r="X439" s="9">
        <f>-IF(C439=1,LN(W439),LN(1-W439))</f>
        <v/>
      </c>
      <c r="Y439" s="8">
        <f>IF(C439=1,$AE$32,$AE$33)</f>
        <v/>
      </c>
      <c r="Z439" s="9">
        <f>Y439*X439</f>
        <v/>
      </c>
      <c r="AA439" s="10">
        <f>IF(W439&gt;$AE$34,1,0)</f>
        <v/>
      </c>
      <c r="AB439">
        <f>IF(AA439=C439,1,0)</f>
        <v/>
      </c>
    </row>
    <row r="440">
      <c r="A440">
        <f>'1 datos preparados'!A433</f>
        <v/>
      </c>
      <c r="B440" s="5">
        <f>'1 datos preparados'!U433</f>
        <v/>
      </c>
      <c r="C440">
        <f>'1 datos preparados'!B433</f>
        <v/>
      </c>
      <c r="D440" s="7">
        <f>'1 datos preparados'!C433</f>
        <v/>
      </c>
      <c r="E440" s="7">
        <f>'1 datos preparados'!D433</f>
        <v/>
      </c>
      <c r="F440" s="7">
        <f>'1 datos preparados'!E433</f>
        <v/>
      </c>
      <c r="G440" s="7">
        <f>'1 datos preparados'!F433</f>
        <v/>
      </c>
      <c r="H440" s="7">
        <f>'1 datos preparados'!G433</f>
        <v/>
      </c>
      <c r="I440" s="7">
        <f>'1 datos preparados'!H433</f>
        <v/>
      </c>
      <c r="J440" s="7">
        <f>'1 datos preparados'!I433</f>
        <v/>
      </c>
      <c r="K440" s="7">
        <f>'1 datos preparados'!J433</f>
        <v/>
      </c>
      <c r="L440" s="7">
        <f>'1 datos preparados'!K433</f>
        <v/>
      </c>
      <c r="M440" s="7">
        <f>'1 datos preparados'!L433</f>
        <v/>
      </c>
      <c r="N440" s="7">
        <f>'1 datos preparados'!M433</f>
        <v/>
      </c>
      <c r="O440" s="7">
        <f>'1 datos preparados'!N433</f>
        <v/>
      </c>
      <c r="P440" s="7">
        <f>'1 datos preparados'!O433</f>
        <v/>
      </c>
      <c r="Q440" s="7">
        <f>'1 datos preparados'!P433</f>
        <v/>
      </c>
      <c r="R440" s="7">
        <f>'1 datos preparados'!Q433</f>
        <v/>
      </c>
      <c r="S440" s="7">
        <f>'1 datos preparados'!R433</f>
        <v/>
      </c>
      <c r="T440" s="7">
        <f>'1 datos preparados'!S433</f>
        <v/>
      </c>
      <c r="U440" s="7">
        <f>'1 datos preparados'!T433</f>
        <v/>
      </c>
      <c r="V440" s="8">
        <f>$AE$12+D440*$AE$13+E440*$AE$14+F440*$AE$15+G440*$AE$16+H440*$AE$17+I440*$AE$18+J440*$AE$19+K440*$AE$20+L440*$AE$21+M440*$AE$22+N440*$AE$23+O440*$AE$24+P440*$AE$25+Q440*$AE$26+R440*$AE$27+S440*$AE$28+T440*$AE$29+U440*$AE$30</f>
        <v/>
      </c>
      <c r="W440" s="8">
        <f>1/(1+EXP(-V440))</f>
        <v/>
      </c>
      <c r="X440" s="9">
        <f>-IF(C440=1,LN(W440),LN(1-W440))</f>
        <v/>
      </c>
      <c r="Y440" s="8">
        <f>IF(C440=1,$AE$32,$AE$33)</f>
        <v/>
      </c>
      <c r="Z440" s="9">
        <f>Y440*X440</f>
        <v/>
      </c>
      <c r="AA440" s="10">
        <f>IF(W440&gt;$AE$34,1,0)</f>
        <v/>
      </c>
      <c r="AB440">
        <f>IF(AA440=C440,1,0)</f>
        <v/>
      </c>
    </row>
    <row r="441">
      <c r="A441">
        <f>'1 datos preparados'!A434</f>
        <v/>
      </c>
      <c r="B441" s="5">
        <f>'1 datos preparados'!U434</f>
        <v/>
      </c>
      <c r="C441">
        <f>'1 datos preparados'!B434</f>
        <v/>
      </c>
      <c r="D441" s="7">
        <f>'1 datos preparados'!C434</f>
        <v/>
      </c>
      <c r="E441" s="7">
        <f>'1 datos preparados'!D434</f>
        <v/>
      </c>
      <c r="F441" s="7">
        <f>'1 datos preparados'!E434</f>
        <v/>
      </c>
      <c r="G441" s="7">
        <f>'1 datos preparados'!F434</f>
        <v/>
      </c>
      <c r="H441" s="7">
        <f>'1 datos preparados'!G434</f>
        <v/>
      </c>
      <c r="I441" s="7">
        <f>'1 datos preparados'!H434</f>
        <v/>
      </c>
      <c r="J441" s="7">
        <f>'1 datos preparados'!I434</f>
        <v/>
      </c>
      <c r="K441" s="7">
        <f>'1 datos preparados'!J434</f>
        <v/>
      </c>
      <c r="L441" s="7">
        <f>'1 datos preparados'!K434</f>
        <v/>
      </c>
      <c r="M441" s="7">
        <f>'1 datos preparados'!L434</f>
        <v/>
      </c>
      <c r="N441" s="7">
        <f>'1 datos preparados'!M434</f>
        <v/>
      </c>
      <c r="O441" s="7">
        <f>'1 datos preparados'!N434</f>
        <v/>
      </c>
      <c r="P441" s="7">
        <f>'1 datos preparados'!O434</f>
        <v/>
      </c>
      <c r="Q441" s="7">
        <f>'1 datos preparados'!P434</f>
        <v/>
      </c>
      <c r="R441" s="7">
        <f>'1 datos preparados'!Q434</f>
        <v/>
      </c>
      <c r="S441" s="7">
        <f>'1 datos preparados'!R434</f>
        <v/>
      </c>
      <c r="T441" s="7">
        <f>'1 datos preparados'!S434</f>
        <v/>
      </c>
      <c r="U441" s="7">
        <f>'1 datos preparados'!T434</f>
        <v/>
      </c>
      <c r="V441" s="8">
        <f>$AE$12+D441*$AE$13+E441*$AE$14+F441*$AE$15+G441*$AE$16+H441*$AE$17+I441*$AE$18+J441*$AE$19+K441*$AE$20+L441*$AE$21+M441*$AE$22+N441*$AE$23+O441*$AE$24+P441*$AE$25+Q441*$AE$26+R441*$AE$27+S441*$AE$28+T441*$AE$29+U441*$AE$30</f>
        <v/>
      </c>
      <c r="W441" s="8">
        <f>1/(1+EXP(-V441))</f>
        <v/>
      </c>
      <c r="X441" s="9">
        <f>-IF(C441=1,LN(W441),LN(1-W441))</f>
        <v/>
      </c>
      <c r="Y441" s="8">
        <f>IF(C441=1,$AE$32,$AE$33)</f>
        <v/>
      </c>
      <c r="Z441" s="9">
        <f>Y441*X441</f>
        <v/>
      </c>
      <c r="AA441" s="10">
        <f>IF(W441&gt;$AE$34,1,0)</f>
        <v/>
      </c>
      <c r="AB441">
        <f>IF(AA441=C441,1,0)</f>
        <v/>
      </c>
    </row>
    <row r="442">
      <c r="A442">
        <f>'1 datos preparados'!A435</f>
        <v/>
      </c>
      <c r="B442" s="5">
        <f>'1 datos preparados'!U435</f>
        <v/>
      </c>
      <c r="C442">
        <f>'1 datos preparados'!B435</f>
        <v/>
      </c>
      <c r="D442" s="7">
        <f>'1 datos preparados'!C435</f>
        <v/>
      </c>
      <c r="E442" s="7">
        <f>'1 datos preparados'!D435</f>
        <v/>
      </c>
      <c r="F442" s="7">
        <f>'1 datos preparados'!E435</f>
        <v/>
      </c>
      <c r="G442" s="7">
        <f>'1 datos preparados'!F435</f>
        <v/>
      </c>
      <c r="H442" s="7">
        <f>'1 datos preparados'!G435</f>
        <v/>
      </c>
      <c r="I442" s="7">
        <f>'1 datos preparados'!H435</f>
        <v/>
      </c>
      <c r="J442" s="7">
        <f>'1 datos preparados'!I435</f>
        <v/>
      </c>
      <c r="K442" s="7">
        <f>'1 datos preparados'!J435</f>
        <v/>
      </c>
      <c r="L442" s="7">
        <f>'1 datos preparados'!K435</f>
        <v/>
      </c>
      <c r="M442" s="7">
        <f>'1 datos preparados'!L435</f>
        <v/>
      </c>
      <c r="N442" s="7">
        <f>'1 datos preparados'!M435</f>
        <v/>
      </c>
      <c r="O442" s="7">
        <f>'1 datos preparados'!N435</f>
        <v/>
      </c>
      <c r="P442" s="7">
        <f>'1 datos preparados'!O435</f>
        <v/>
      </c>
      <c r="Q442" s="7">
        <f>'1 datos preparados'!P435</f>
        <v/>
      </c>
      <c r="R442" s="7">
        <f>'1 datos preparados'!Q435</f>
        <v/>
      </c>
      <c r="S442" s="7">
        <f>'1 datos preparados'!R435</f>
        <v/>
      </c>
      <c r="T442" s="7">
        <f>'1 datos preparados'!S435</f>
        <v/>
      </c>
      <c r="U442" s="7">
        <f>'1 datos preparados'!T435</f>
        <v/>
      </c>
      <c r="V442" s="8">
        <f>$AE$12+D442*$AE$13+E442*$AE$14+F442*$AE$15+G442*$AE$16+H442*$AE$17+I442*$AE$18+J442*$AE$19+K442*$AE$20+L442*$AE$21+M442*$AE$22+N442*$AE$23+O442*$AE$24+P442*$AE$25+Q442*$AE$26+R442*$AE$27+S442*$AE$28+T442*$AE$29+U442*$AE$30</f>
        <v/>
      </c>
      <c r="W442" s="8">
        <f>1/(1+EXP(-V442))</f>
        <v/>
      </c>
      <c r="X442" s="9">
        <f>-IF(C442=1,LN(W442),LN(1-W442))</f>
        <v/>
      </c>
      <c r="Y442" s="8">
        <f>IF(C442=1,$AE$32,$AE$33)</f>
        <v/>
      </c>
      <c r="Z442" s="9">
        <f>Y442*X442</f>
        <v/>
      </c>
      <c r="AA442" s="10">
        <f>IF(W442&gt;$AE$34,1,0)</f>
        <v/>
      </c>
      <c r="AB442">
        <f>IF(AA442=C442,1,0)</f>
        <v/>
      </c>
    </row>
    <row r="443">
      <c r="A443">
        <f>'1 datos preparados'!A436</f>
        <v/>
      </c>
      <c r="B443" s="5">
        <f>'1 datos preparados'!U436</f>
        <v/>
      </c>
      <c r="C443">
        <f>'1 datos preparados'!B436</f>
        <v/>
      </c>
      <c r="D443" s="7">
        <f>'1 datos preparados'!C436</f>
        <v/>
      </c>
      <c r="E443" s="7">
        <f>'1 datos preparados'!D436</f>
        <v/>
      </c>
      <c r="F443" s="7">
        <f>'1 datos preparados'!E436</f>
        <v/>
      </c>
      <c r="G443" s="7">
        <f>'1 datos preparados'!F436</f>
        <v/>
      </c>
      <c r="H443" s="7">
        <f>'1 datos preparados'!G436</f>
        <v/>
      </c>
      <c r="I443" s="7">
        <f>'1 datos preparados'!H436</f>
        <v/>
      </c>
      <c r="J443" s="7">
        <f>'1 datos preparados'!I436</f>
        <v/>
      </c>
      <c r="K443" s="7">
        <f>'1 datos preparados'!J436</f>
        <v/>
      </c>
      <c r="L443" s="7">
        <f>'1 datos preparados'!K436</f>
        <v/>
      </c>
      <c r="M443" s="7">
        <f>'1 datos preparados'!L436</f>
        <v/>
      </c>
      <c r="N443" s="7">
        <f>'1 datos preparados'!M436</f>
        <v/>
      </c>
      <c r="O443" s="7">
        <f>'1 datos preparados'!N436</f>
        <v/>
      </c>
      <c r="P443" s="7">
        <f>'1 datos preparados'!O436</f>
        <v/>
      </c>
      <c r="Q443" s="7">
        <f>'1 datos preparados'!P436</f>
        <v/>
      </c>
      <c r="R443" s="7">
        <f>'1 datos preparados'!Q436</f>
        <v/>
      </c>
      <c r="S443" s="7">
        <f>'1 datos preparados'!R436</f>
        <v/>
      </c>
      <c r="T443" s="7">
        <f>'1 datos preparados'!S436</f>
        <v/>
      </c>
      <c r="U443" s="7">
        <f>'1 datos preparados'!T436</f>
        <v/>
      </c>
      <c r="V443" s="8">
        <f>$AE$12+D443*$AE$13+E443*$AE$14+F443*$AE$15+G443*$AE$16+H443*$AE$17+I443*$AE$18+J443*$AE$19+K443*$AE$20+L443*$AE$21+M443*$AE$22+N443*$AE$23+O443*$AE$24+P443*$AE$25+Q443*$AE$26+R443*$AE$27+S443*$AE$28+T443*$AE$29+U443*$AE$30</f>
        <v/>
      </c>
      <c r="W443" s="8">
        <f>1/(1+EXP(-V443))</f>
        <v/>
      </c>
      <c r="X443" s="9">
        <f>-IF(C443=1,LN(W443),LN(1-W443))</f>
        <v/>
      </c>
      <c r="Y443" s="8">
        <f>IF(C443=1,$AE$32,$AE$33)</f>
        <v/>
      </c>
      <c r="Z443" s="9">
        <f>Y443*X443</f>
        <v/>
      </c>
      <c r="AA443" s="10">
        <f>IF(W443&gt;$AE$34,1,0)</f>
        <v/>
      </c>
      <c r="AB443">
        <f>IF(AA443=C443,1,0)</f>
        <v/>
      </c>
    </row>
    <row r="444">
      <c r="A444">
        <f>'1 datos preparados'!A437</f>
        <v/>
      </c>
      <c r="B444" s="5">
        <f>'1 datos preparados'!U437</f>
        <v/>
      </c>
      <c r="C444">
        <f>'1 datos preparados'!B437</f>
        <v/>
      </c>
      <c r="D444" s="7">
        <f>'1 datos preparados'!C437</f>
        <v/>
      </c>
      <c r="E444" s="7">
        <f>'1 datos preparados'!D437</f>
        <v/>
      </c>
      <c r="F444" s="7">
        <f>'1 datos preparados'!E437</f>
        <v/>
      </c>
      <c r="G444" s="7">
        <f>'1 datos preparados'!F437</f>
        <v/>
      </c>
      <c r="H444" s="7">
        <f>'1 datos preparados'!G437</f>
        <v/>
      </c>
      <c r="I444" s="7">
        <f>'1 datos preparados'!H437</f>
        <v/>
      </c>
      <c r="J444" s="7">
        <f>'1 datos preparados'!I437</f>
        <v/>
      </c>
      <c r="K444" s="7">
        <f>'1 datos preparados'!J437</f>
        <v/>
      </c>
      <c r="L444" s="7">
        <f>'1 datos preparados'!K437</f>
        <v/>
      </c>
      <c r="M444" s="7">
        <f>'1 datos preparados'!L437</f>
        <v/>
      </c>
      <c r="N444" s="7">
        <f>'1 datos preparados'!M437</f>
        <v/>
      </c>
      <c r="O444" s="7">
        <f>'1 datos preparados'!N437</f>
        <v/>
      </c>
      <c r="P444" s="7">
        <f>'1 datos preparados'!O437</f>
        <v/>
      </c>
      <c r="Q444" s="7">
        <f>'1 datos preparados'!P437</f>
        <v/>
      </c>
      <c r="R444" s="7">
        <f>'1 datos preparados'!Q437</f>
        <v/>
      </c>
      <c r="S444" s="7">
        <f>'1 datos preparados'!R437</f>
        <v/>
      </c>
      <c r="T444" s="7">
        <f>'1 datos preparados'!S437</f>
        <v/>
      </c>
      <c r="U444" s="7">
        <f>'1 datos preparados'!T437</f>
        <v/>
      </c>
      <c r="V444" s="8">
        <f>$AE$12+D444*$AE$13+E444*$AE$14+F444*$AE$15+G444*$AE$16+H444*$AE$17+I444*$AE$18+J444*$AE$19+K444*$AE$20+L444*$AE$21+M444*$AE$22+N444*$AE$23+O444*$AE$24+P444*$AE$25+Q444*$AE$26+R444*$AE$27+S444*$AE$28+T444*$AE$29+U444*$AE$30</f>
        <v/>
      </c>
      <c r="W444" s="8">
        <f>1/(1+EXP(-V444))</f>
        <v/>
      </c>
      <c r="X444" s="9">
        <f>-IF(C444=1,LN(W444),LN(1-W444))</f>
        <v/>
      </c>
      <c r="Y444" s="8">
        <f>IF(C444=1,$AE$32,$AE$33)</f>
        <v/>
      </c>
      <c r="Z444" s="9">
        <f>Y444*X444</f>
        <v/>
      </c>
      <c r="AA444" s="10">
        <f>IF(W444&gt;$AE$34,1,0)</f>
        <v/>
      </c>
      <c r="AB444">
        <f>IF(AA444=C444,1,0)</f>
        <v/>
      </c>
    </row>
    <row r="445">
      <c r="A445">
        <f>'1 datos preparados'!A438</f>
        <v/>
      </c>
      <c r="B445" s="5">
        <f>'1 datos preparados'!U438</f>
        <v/>
      </c>
      <c r="C445">
        <f>'1 datos preparados'!B438</f>
        <v/>
      </c>
      <c r="D445" s="7">
        <f>'1 datos preparados'!C438</f>
        <v/>
      </c>
      <c r="E445" s="7">
        <f>'1 datos preparados'!D438</f>
        <v/>
      </c>
      <c r="F445" s="7">
        <f>'1 datos preparados'!E438</f>
        <v/>
      </c>
      <c r="G445" s="7">
        <f>'1 datos preparados'!F438</f>
        <v/>
      </c>
      <c r="H445" s="7">
        <f>'1 datos preparados'!G438</f>
        <v/>
      </c>
      <c r="I445" s="7">
        <f>'1 datos preparados'!H438</f>
        <v/>
      </c>
      <c r="J445" s="7">
        <f>'1 datos preparados'!I438</f>
        <v/>
      </c>
      <c r="K445" s="7">
        <f>'1 datos preparados'!J438</f>
        <v/>
      </c>
      <c r="L445" s="7">
        <f>'1 datos preparados'!K438</f>
        <v/>
      </c>
      <c r="M445" s="7">
        <f>'1 datos preparados'!L438</f>
        <v/>
      </c>
      <c r="N445" s="7">
        <f>'1 datos preparados'!M438</f>
        <v/>
      </c>
      <c r="O445" s="7">
        <f>'1 datos preparados'!N438</f>
        <v/>
      </c>
      <c r="P445" s="7">
        <f>'1 datos preparados'!O438</f>
        <v/>
      </c>
      <c r="Q445" s="7">
        <f>'1 datos preparados'!P438</f>
        <v/>
      </c>
      <c r="R445" s="7">
        <f>'1 datos preparados'!Q438</f>
        <v/>
      </c>
      <c r="S445" s="7">
        <f>'1 datos preparados'!R438</f>
        <v/>
      </c>
      <c r="T445" s="7">
        <f>'1 datos preparados'!S438</f>
        <v/>
      </c>
      <c r="U445" s="7">
        <f>'1 datos preparados'!T438</f>
        <v/>
      </c>
      <c r="V445" s="8">
        <f>$AE$12+D445*$AE$13+E445*$AE$14+F445*$AE$15+G445*$AE$16+H445*$AE$17+I445*$AE$18+J445*$AE$19+K445*$AE$20+L445*$AE$21+M445*$AE$22+N445*$AE$23+O445*$AE$24+P445*$AE$25+Q445*$AE$26+R445*$AE$27+S445*$AE$28+T445*$AE$29+U445*$AE$30</f>
        <v/>
      </c>
      <c r="W445" s="8">
        <f>1/(1+EXP(-V445))</f>
        <v/>
      </c>
      <c r="X445" s="9">
        <f>-IF(C445=1,LN(W445),LN(1-W445))</f>
        <v/>
      </c>
      <c r="Y445" s="8">
        <f>IF(C445=1,$AE$32,$AE$33)</f>
        <v/>
      </c>
      <c r="Z445" s="9">
        <f>Y445*X445</f>
        <v/>
      </c>
      <c r="AA445" s="10">
        <f>IF(W445&gt;$AE$34,1,0)</f>
        <v/>
      </c>
      <c r="AB445">
        <f>IF(AA445=C445,1,0)</f>
        <v/>
      </c>
    </row>
    <row r="446">
      <c r="A446">
        <f>'1 datos preparados'!A439</f>
        <v/>
      </c>
      <c r="B446" s="5">
        <f>'1 datos preparados'!U439</f>
        <v/>
      </c>
      <c r="C446">
        <f>'1 datos preparados'!B439</f>
        <v/>
      </c>
      <c r="D446" s="7">
        <f>'1 datos preparados'!C439</f>
        <v/>
      </c>
      <c r="E446" s="7">
        <f>'1 datos preparados'!D439</f>
        <v/>
      </c>
      <c r="F446" s="7">
        <f>'1 datos preparados'!E439</f>
        <v/>
      </c>
      <c r="G446" s="7">
        <f>'1 datos preparados'!F439</f>
        <v/>
      </c>
      <c r="H446" s="7">
        <f>'1 datos preparados'!G439</f>
        <v/>
      </c>
      <c r="I446" s="7">
        <f>'1 datos preparados'!H439</f>
        <v/>
      </c>
      <c r="J446" s="7">
        <f>'1 datos preparados'!I439</f>
        <v/>
      </c>
      <c r="K446" s="7">
        <f>'1 datos preparados'!J439</f>
        <v/>
      </c>
      <c r="L446" s="7">
        <f>'1 datos preparados'!K439</f>
        <v/>
      </c>
      <c r="M446" s="7">
        <f>'1 datos preparados'!L439</f>
        <v/>
      </c>
      <c r="N446" s="7">
        <f>'1 datos preparados'!M439</f>
        <v/>
      </c>
      <c r="O446" s="7">
        <f>'1 datos preparados'!N439</f>
        <v/>
      </c>
      <c r="P446" s="7">
        <f>'1 datos preparados'!O439</f>
        <v/>
      </c>
      <c r="Q446" s="7">
        <f>'1 datos preparados'!P439</f>
        <v/>
      </c>
      <c r="R446" s="7">
        <f>'1 datos preparados'!Q439</f>
        <v/>
      </c>
      <c r="S446" s="7">
        <f>'1 datos preparados'!R439</f>
        <v/>
      </c>
      <c r="T446" s="7">
        <f>'1 datos preparados'!S439</f>
        <v/>
      </c>
      <c r="U446" s="7">
        <f>'1 datos preparados'!T439</f>
        <v/>
      </c>
      <c r="V446" s="8">
        <f>$AE$12+D446*$AE$13+E446*$AE$14+F446*$AE$15+G446*$AE$16+H446*$AE$17+I446*$AE$18+J446*$AE$19+K446*$AE$20+L446*$AE$21+M446*$AE$22+N446*$AE$23+O446*$AE$24+P446*$AE$25+Q446*$AE$26+R446*$AE$27+S446*$AE$28+T446*$AE$29+U446*$AE$30</f>
        <v/>
      </c>
      <c r="W446" s="8">
        <f>1/(1+EXP(-V446))</f>
        <v/>
      </c>
      <c r="X446" s="9">
        <f>-IF(C446=1,LN(W446),LN(1-W446))</f>
        <v/>
      </c>
      <c r="Y446" s="8">
        <f>IF(C446=1,$AE$32,$AE$33)</f>
        <v/>
      </c>
      <c r="Z446" s="9">
        <f>Y446*X446</f>
        <v/>
      </c>
      <c r="AA446" s="10">
        <f>IF(W446&gt;$AE$34,1,0)</f>
        <v/>
      </c>
      <c r="AB446">
        <f>IF(AA446=C446,1,0)</f>
        <v/>
      </c>
    </row>
    <row r="447">
      <c r="A447">
        <f>'1 datos preparados'!A440</f>
        <v/>
      </c>
      <c r="B447" s="5">
        <f>'1 datos preparados'!U440</f>
        <v/>
      </c>
      <c r="C447">
        <f>'1 datos preparados'!B440</f>
        <v/>
      </c>
      <c r="D447" s="7">
        <f>'1 datos preparados'!C440</f>
        <v/>
      </c>
      <c r="E447" s="7">
        <f>'1 datos preparados'!D440</f>
        <v/>
      </c>
      <c r="F447" s="7">
        <f>'1 datos preparados'!E440</f>
        <v/>
      </c>
      <c r="G447" s="7">
        <f>'1 datos preparados'!F440</f>
        <v/>
      </c>
      <c r="H447" s="7">
        <f>'1 datos preparados'!G440</f>
        <v/>
      </c>
      <c r="I447" s="7">
        <f>'1 datos preparados'!H440</f>
        <v/>
      </c>
      <c r="J447" s="7">
        <f>'1 datos preparados'!I440</f>
        <v/>
      </c>
      <c r="K447" s="7">
        <f>'1 datos preparados'!J440</f>
        <v/>
      </c>
      <c r="L447" s="7">
        <f>'1 datos preparados'!K440</f>
        <v/>
      </c>
      <c r="M447" s="7">
        <f>'1 datos preparados'!L440</f>
        <v/>
      </c>
      <c r="N447" s="7">
        <f>'1 datos preparados'!M440</f>
        <v/>
      </c>
      <c r="O447" s="7">
        <f>'1 datos preparados'!N440</f>
        <v/>
      </c>
      <c r="P447" s="7">
        <f>'1 datos preparados'!O440</f>
        <v/>
      </c>
      <c r="Q447" s="7">
        <f>'1 datos preparados'!P440</f>
        <v/>
      </c>
      <c r="R447" s="7">
        <f>'1 datos preparados'!Q440</f>
        <v/>
      </c>
      <c r="S447" s="7">
        <f>'1 datos preparados'!R440</f>
        <v/>
      </c>
      <c r="T447" s="7">
        <f>'1 datos preparados'!S440</f>
        <v/>
      </c>
      <c r="U447" s="7">
        <f>'1 datos preparados'!T440</f>
        <v/>
      </c>
      <c r="V447" s="8">
        <f>$AE$12+D447*$AE$13+E447*$AE$14+F447*$AE$15+G447*$AE$16+H447*$AE$17+I447*$AE$18+J447*$AE$19+K447*$AE$20+L447*$AE$21+M447*$AE$22+N447*$AE$23+O447*$AE$24+P447*$AE$25+Q447*$AE$26+R447*$AE$27+S447*$AE$28+T447*$AE$29+U447*$AE$30</f>
        <v/>
      </c>
      <c r="W447" s="8">
        <f>1/(1+EXP(-V447))</f>
        <v/>
      </c>
      <c r="X447" s="9">
        <f>-IF(C447=1,LN(W447),LN(1-W447))</f>
        <v/>
      </c>
      <c r="Y447" s="8">
        <f>IF(C447=1,$AE$32,$AE$33)</f>
        <v/>
      </c>
      <c r="Z447" s="9">
        <f>Y447*X447</f>
        <v/>
      </c>
      <c r="AA447" s="10">
        <f>IF(W447&gt;$AE$34,1,0)</f>
        <v/>
      </c>
      <c r="AB447">
        <f>IF(AA447=C447,1,0)</f>
        <v/>
      </c>
    </row>
    <row r="448">
      <c r="A448">
        <f>'1 datos preparados'!A441</f>
        <v/>
      </c>
      <c r="B448" s="5">
        <f>'1 datos preparados'!U441</f>
        <v/>
      </c>
      <c r="C448">
        <f>'1 datos preparados'!B441</f>
        <v/>
      </c>
      <c r="D448" s="7">
        <f>'1 datos preparados'!C441</f>
        <v/>
      </c>
      <c r="E448" s="7">
        <f>'1 datos preparados'!D441</f>
        <v/>
      </c>
      <c r="F448" s="7">
        <f>'1 datos preparados'!E441</f>
        <v/>
      </c>
      <c r="G448" s="7">
        <f>'1 datos preparados'!F441</f>
        <v/>
      </c>
      <c r="H448" s="7">
        <f>'1 datos preparados'!G441</f>
        <v/>
      </c>
      <c r="I448" s="7">
        <f>'1 datos preparados'!H441</f>
        <v/>
      </c>
      <c r="J448" s="7">
        <f>'1 datos preparados'!I441</f>
        <v/>
      </c>
      <c r="K448" s="7">
        <f>'1 datos preparados'!J441</f>
        <v/>
      </c>
      <c r="L448" s="7">
        <f>'1 datos preparados'!K441</f>
        <v/>
      </c>
      <c r="M448" s="7">
        <f>'1 datos preparados'!L441</f>
        <v/>
      </c>
      <c r="N448" s="7">
        <f>'1 datos preparados'!M441</f>
        <v/>
      </c>
      <c r="O448" s="7">
        <f>'1 datos preparados'!N441</f>
        <v/>
      </c>
      <c r="P448" s="7">
        <f>'1 datos preparados'!O441</f>
        <v/>
      </c>
      <c r="Q448" s="7">
        <f>'1 datos preparados'!P441</f>
        <v/>
      </c>
      <c r="R448" s="7">
        <f>'1 datos preparados'!Q441</f>
        <v/>
      </c>
      <c r="S448" s="7">
        <f>'1 datos preparados'!R441</f>
        <v/>
      </c>
      <c r="T448" s="7">
        <f>'1 datos preparados'!S441</f>
        <v/>
      </c>
      <c r="U448" s="7">
        <f>'1 datos preparados'!T441</f>
        <v/>
      </c>
      <c r="V448" s="8">
        <f>$AE$12+D448*$AE$13+E448*$AE$14+F448*$AE$15+G448*$AE$16+H448*$AE$17+I448*$AE$18+J448*$AE$19+K448*$AE$20+L448*$AE$21+M448*$AE$22+N448*$AE$23+O448*$AE$24+P448*$AE$25+Q448*$AE$26+R448*$AE$27+S448*$AE$28+T448*$AE$29+U448*$AE$30</f>
        <v/>
      </c>
      <c r="W448" s="8">
        <f>1/(1+EXP(-V448))</f>
        <v/>
      </c>
      <c r="X448" s="9">
        <f>-IF(C448=1,LN(W448),LN(1-W448))</f>
        <v/>
      </c>
      <c r="Y448" s="8">
        <f>IF(C448=1,$AE$32,$AE$33)</f>
        <v/>
      </c>
      <c r="Z448" s="9">
        <f>Y448*X448</f>
        <v/>
      </c>
      <c r="AA448" s="10">
        <f>IF(W448&gt;$AE$34,1,0)</f>
        <v/>
      </c>
      <c r="AB448">
        <f>IF(AA448=C448,1,0)</f>
        <v/>
      </c>
    </row>
    <row r="449">
      <c r="A449">
        <f>'1 datos preparados'!A442</f>
        <v/>
      </c>
      <c r="B449" s="5">
        <f>'1 datos preparados'!U442</f>
        <v/>
      </c>
      <c r="C449">
        <f>'1 datos preparados'!B442</f>
        <v/>
      </c>
      <c r="D449" s="7">
        <f>'1 datos preparados'!C442</f>
        <v/>
      </c>
      <c r="E449" s="7">
        <f>'1 datos preparados'!D442</f>
        <v/>
      </c>
      <c r="F449" s="7">
        <f>'1 datos preparados'!E442</f>
        <v/>
      </c>
      <c r="G449" s="7">
        <f>'1 datos preparados'!F442</f>
        <v/>
      </c>
      <c r="H449" s="7">
        <f>'1 datos preparados'!G442</f>
        <v/>
      </c>
      <c r="I449" s="7">
        <f>'1 datos preparados'!H442</f>
        <v/>
      </c>
      <c r="J449" s="7">
        <f>'1 datos preparados'!I442</f>
        <v/>
      </c>
      <c r="K449" s="7">
        <f>'1 datos preparados'!J442</f>
        <v/>
      </c>
      <c r="L449" s="7">
        <f>'1 datos preparados'!K442</f>
        <v/>
      </c>
      <c r="M449" s="7">
        <f>'1 datos preparados'!L442</f>
        <v/>
      </c>
      <c r="N449" s="7">
        <f>'1 datos preparados'!M442</f>
        <v/>
      </c>
      <c r="O449" s="7">
        <f>'1 datos preparados'!N442</f>
        <v/>
      </c>
      <c r="P449" s="7">
        <f>'1 datos preparados'!O442</f>
        <v/>
      </c>
      <c r="Q449" s="7">
        <f>'1 datos preparados'!P442</f>
        <v/>
      </c>
      <c r="R449" s="7">
        <f>'1 datos preparados'!Q442</f>
        <v/>
      </c>
      <c r="S449" s="7">
        <f>'1 datos preparados'!R442</f>
        <v/>
      </c>
      <c r="T449" s="7">
        <f>'1 datos preparados'!S442</f>
        <v/>
      </c>
      <c r="U449" s="7">
        <f>'1 datos preparados'!T442</f>
        <v/>
      </c>
      <c r="V449" s="8">
        <f>$AE$12+D449*$AE$13+E449*$AE$14+F449*$AE$15+G449*$AE$16+H449*$AE$17+I449*$AE$18+J449*$AE$19+K449*$AE$20+L449*$AE$21+M449*$AE$22+N449*$AE$23+O449*$AE$24+P449*$AE$25+Q449*$AE$26+R449*$AE$27+S449*$AE$28+T449*$AE$29+U449*$AE$30</f>
        <v/>
      </c>
      <c r="W449" s="8">
        <f>1/(1+EXP(-V449))</f>
        <v/>
      </c>
      <c r="X449" s="9">
        <f>-IF(C449=1,LN(W449),LN(1-W449))</f>
        <v/>
      </c>
      <c r="Y449" s="8">
        <f>IF(C449=1,$AE$32,$AE$33)</f>
        <v/>
      </c>
      <c r="Z449" s="9">
        <f>Y449*X449</f>
        <v/>
      </c>
      <c r="AA449" s="10">
        <f>IF(W449&gt;$AE$34,1,0)</f>
        <v/>
      </c>
      <c r="AB449">
        <f>IF(AA449=C449,1,0)</f>
        <v/>
      </c>
    </row>
    <row r="450">
      <c r="A450">
        <f>'1 datos preparados'!A443</f>
        <v/>
      </c>
      <c r="B450" s="5">
        <f>'1 datos preparados'!U443</f>
        <v/>
      </c>
      <c r="C450">
        <f>'1 datos preparados'!B443</f>
        <v/>
      </c>
      <c r="D450" s="7">
        <f>'1 datos preparados'!C443</f>
        <v/>
      </c>
      <c r="E450" s="7">
        <f>'1 datos preparados'!D443</f>
        <v/>
      </c>
      <c r="F450" s="7">
        <f>'1 datos preparados'!E443</f>
        <v/>
      </c>
      <c r="G450" s="7">
        <f>'1 datos preparados'!F443</f>
        <v/>
      </c>
      <c r="H450" s="7">
        <f>'1 datos preparados'!G443</f>
        <v/>
      </c>
      <c r="I450" s="7">
        <f>'1 datos preparados'!H443</f>
        <v/>
      </c>
      <c r="J450" s="7">
        <f>'1 datos preparados'!I443</f>
        <v/>
      </c>
      <c r="K450" s="7">
        <f>'1 datos preparados'!J443</f>
        <v/>
      </c>
      <c r="L450" s="7">
        <f>'1 datos preparados'!K443</f>
        <v/>
      </c>
      <c r="M450" s="7">
        <f>'1 datos preparados'!L443</f>
        <v/>
      </c>
      <c r="N450" s="7">
        <f>'1 datos preparados'!M443</f>
        <v/>
      </c>
      <c r="O450" s="7">
        <f>'1 datos preparados'!N443</f>
        <v/>
      </c>
      <c r="P450" s="7">
        <f>'1 datos preparados'!O443</f>
        <v/>
      </c>
      <c r="Q450" s="7">
        <f>'1 datos preparados'!P443</f>
        <v/>
      </c>
      <c r="R450" s="7">
        <f>'1 datos preparados'!Q443</f>
        <v/>
      </c>
      <c r="S450" s="7">
        <f>'1 datos preparados'!R443</f>
        <v/>
      </c>
      <c r="T450" s="7">
        <f>'1 datos preparados'!S443</f>
        <v/>
      </c>
      <c r="U450" s="7">
        <f>'1 datos preparados'!T443</f>
        <v/>
      </c>
      <c r="V450" s="8">
        <f>$AE$12+D450*$AE$13+E450*$AE$14+F450*$AE$15+G450*$AE$16+H450*$AE$17+I450*$AE$18+J450*$AE$19+K450*$AE$20+L450*$AE$21+M450*$AE$22+N450*$AE$23+O450*$AE$24+P450*$AE$25+Q450*$AE$26+R450*$AE$27+S450*$AE$28+T450*$AE$29+U450*$AE$30</f>
        <v/>
      </c>
      <c r="W450" s="8">
        <f>1/(1+EXP(-V450))</f>
        <v/>
      </c>
      <c r="X450" s="9">
        <f>-IF(C450=1,LN(W450),LN(1-W450))</f>
        <v/>
      </c>
      <c r="Y450" s="8">
        <f>IF(C450=1,$AE$32,$AE$33)</f>
        <v/>
      </c>
      <c r="Z450" s="9">
        <f>Y450*X450</f>
        <v/>
      </c>
      <c r="AA450" s="10">
        <f>IF(W450&gt;$AE$34,1,0)</f>
        <v/>
      </c>
      <c r="AB450">
        <f>IF(AA450=C450,1,0)</f>
        <v/>
      </c>
    </row>
    <row r="451">
      <c r="A451">
        <f>'1 datos preparados'!A444</f>
        <v/>
      </c>
      <c r="B451" s="5">
        <f>'1 datos preparados'!U444</f>
        <v/>
      </c>
      <c r="C451">
        <f>'1 datos preparados'!B444</f>
        <v/>
      </c>
      <c r="D451" s="7">
        <f>'1 datos preparados'!C444</f>
        <v/>
      </c>
      <c r="E451" s="7">
        <f>'1 datos preparados'!D444</f>
        <v/>
      </c>
      <c r="F451" s="7">
        <f>'1 datos preparados'!E444</f>
        <v/>
      </c>
      <c r="G451" s="7">
        <f>'1 datos preparados'!F444</f>
        <v/>
      </c>
      <c r="H451" s="7">
        <f>'1 datos preparados'!G444</f>
        <v/>
      </c>
      <c r="I451" s="7">
        <f>'1 datos preparados'!H444</f>
        <v/>
      </c>
      <c r="J451" s="7">
        <f>'1 datos preparados'!I444</f>
        <v/>
      </c>
      <c r="K451" s="7">
        <f>'1 datos preparados'!J444</f>
        <v/>
      </c>
      <c r="L451" s="7">
        <f>'1 datos preparados'!K444</f>
        <v/>
      </c>
      <c r="M451" s="7">
        <f>'1 datos preparados'!L444</f>
        <v/>
      </c>
      <c r="N451" s="7">
        <f>'1 datos preparados'!M444</f>
        <v/>
      </c>
      <c r="O451" s="7">
        <f>'1 datos preparados'!N444</f>
        <v/>
      </c>
      <c r="P451" s="7">
        <f>'1 datos preparados'!O444</f>
        <v/>
      </c>
      <c r="Q451" s="7">
        <f>'1 datos preparados'!P444</f>
        <v/>
      </c>
      <c r="R451" s="7">
        <f>'1 datos preparados'!Q444</f>
        <v/>
      </c>
      <c r="S451" s="7">
        <f>'1 datos preparados'!R444</f>
        <v/>
      </c>
      <c r="T451" s="7">
        <f>'1 datos preparados'!S444</f>
        <v/>
      </c>
      <c r="U451" s="7">
        <f>'1 datos preparados'!T444</f>
        <v/>
      </c>
      <c r="V451" s="8">
        <f>$AE$12+D451*$AE$13+E451*$AE$14+F451*$AE$15+G451*$AE$16+H451*$AE$17+I451*$AE$18+J451*$AE$19+K451*$AE$20+L451*$AE$21+M451*$AE$22+N451*$AE$23+O451*$AE$24+P451*$AE$25+Q451*$AE$26+R451*$AE$27+S451*$AE$28+T451*$AE$29+U451*$AE$30</f>
        <v/>
      </c>
      <c r="W451" s="8">
        <f>1/(1+EXP(-V451))</f>
        <v/>
      </c>
      <c r="X451" s="9">
        <f>-IF(C451=1,LN(W451),LN(1-W451))</f>
        <v/>
      </c>
      <c r="Y451" s="8">
        <f>IF(C451=1,$AE$32,$AE$33)</f>
        <v/>
      </c>
      <c r="Z451" s="9">
        <f>Y451*X451</f>
        <v/>
      </c>
      <c r="AA451" s="10">
        <f>IF(W451&gt;$AE$34,1,0)</f>
        <v/>
      </c>
      <c r="AB451">
        <f>IF(AA451=C451,1,0)</f>
        <v/>
      </c>
    </row>
    <row r="452">
      <c r="A452">
        <f>'1 datos preparados'!A445</f>
        <v/>
      </c>
      <c r="B452" s="5">
        <f>'1 datos preparados'!U445</f>
        <v/>
      </c>
      <c r="C452">
        <f>'1 datos preparados'!B445</f>
        <v/>
      </c>
      <c r="D452" s="7">
        <f>'1 datos preparados'!C445</f>
        <v/>
      </c>
      <c r="E452" s="7">
        <f>'1 datos preparados'!D445</f>
        <v/>
      </c>
      <c r="F452" s="7">
        <f>'1 datos preparados'!E445</f>
        <v/>
      </c>
      <c r="G452" s="7">
        <f>'1 datos preparados'!F445</f>
        <v/>
      </c>
      <c r="H452" s="7">
        <f>'1 datos preparados'!G445</f>
        <v/>
      </c>
      <c r="I452" s="7">
        <f>'1 datos preparados'!H445</f>
        <v/>
      </c>
      <c r="J452" s="7">
        <f>'1 datos preparados'!I445</f>
        <v/>
      </c>
      <c r="K452" s="7">
        <f>'1 datos preparados'!J445</f>
        <v/>
      </c>
      <c r="L452" s="7">
        <f>'1 datos preparados'!K445</f>
        <v/>
      </c>
      <c r="M452" s="7">
        <f>'1 datos preparados'!L445</f>
        <v/>
      </c>
      <c r="N452" s="7">
        <f>'1 datos preparados'!M445</f>
        <v/>
      </c>
      <c r="O452" s="7">
        <f>'1 datos preparados'!N445</f>
        <v/>
      </c>
      <c r="P452" s="7">
        <f>'1 datos preparados'!O445</f>
        <v/>
      </c>
      <c r="Q452" s="7">
        <f>'1 datos preparados'!P445</f>
        <v/>
      </c>
      <c r="R452" s="7">
        <f>'1 datos preparados'!Q445</f>
        <v/>
      </c>
      <c r="S452" s="7">
        <f>'1 datos preparados'!R445</f>
        <v/>
      </c>
      <c r="T452" s="7">
        <f>'1 datos preparados'!S445</f>
        <v/>
      </c>
      <c r="U452" s="7">
        <f>'1 datos preparados'!T445</f>
        <v/>
      </c>
      <c r="V452" s="8">
        <f>$AE$12+D452*$AE$13+E452*$AE$14+F452*$AE$15+G452*$AE$16+H452*$AE$17+I452*$AE$18+J452*$AE$19+K452*$AE$20+L452*$AE$21+M452*$AE$22+N452*$AE$23+O452*$AE$24+P452*$AE$25+Q452*$AE$26+R452*$AE$27+S452*$AE$28+T452*$AE$29+U452*$AE$30</f>
        <v/>
      </c>
      <c r="W452" s="8">
        <f>1/(1+EXP(-V452))</f>
        <v/>
      </c>
      <c r="X452" s="9">
        <f>-IF(C452=1,LN(W452),LN(1-W452))</f>
        <v/>
      </c>
      <c r="Y452" s="8">
        <f>IF(C452=1,$AE$32,$AE$33)</f>
        <v/>
      </c>
      <c r="Z452" s="9">
        <f>Y452*X452</f>
        <v/>
      </c>
      <c r="AA452" s="10">
        <f>IF(W452&gt;$AE$34,1,0)</f>
        <v/>
      </c>
      <c r="AB452">
        <f>IF(AA452=C452,1,0)</f>
        <v/>
      </c>
    </row>
    <row r="453">
      <c r="A453">
        <f>'1 datos preparados'!A446</f>
        <v/>
      </c>
      <c r="B453" s="5">
        <f>'1 datos preparados'!U446</f>
        <v/>
      </c>
      <c r="C453">
        <f>'1 datos preparados'!B446</f>
        <v/>
      </c>
      <c r="D453" s="7">
        <f>'1 datos preparados'!C446</f>
        <v/>
      </c>
      <c r="E453" s="7">
        <f>'1 datos preparados'!D446</f>
        <v/>
      </c>
      <c r="F453" s="7">
        <f>'1 datos preparados'!E446</f>
        <v/>
      </c>
      <c r="G453" s="7">
        <f>'1 datos preparados'!F446</f>
        <v/>
      </c>
      <c r="H453" s="7">
        <f>'1 datos preparados'!G446</f>
        <v/>
      </c>
      <c r="I453" s="7">
        <f>'1 datos preparados'!H446</f>
        <v/>
      </c>
      <c r="J453" s="7">
        <f>'1 datos preparados'!I446</f>
        <v/>
      </c>
      <c r="K453" s="7">
        <f>'1 datos preparados'!J446</f>
        <v/>
      </c>
      <c r="L453" s="7">
        <f>'1 datos preparados'!K446</f>
        <v/>
      </c>
      <c r="M453" s="7">
        <f>'1 datos preparados'!L446</f>
        <v/>
      </c>
      <c r="N453" s="7">
        <f>'1 datos preparados'!M446</f>
        <v/>
      </c>
      <c r="O453" s="7">
        <f>'1 datos preparados'!N446</f>
        <v/>
      </c>
      <c r="P453" s="7">
        <f>'1 datos preparados'!O446</f>
        <v/>
      </c>
      <c r="Q453" s="7">
        <f>'1 datos preparados'!P446</f>
        <v/>
      </c>
      <c r="R453" s="7">
        <f>'1 datos preparados'!Q446</f>
        <v/>
      </c>
      <c r="S453" s="7">
        <f>'1 datos preparados'!R446</f>
        <v/>
      </c>
      <c r="T453" s="7">
        <f>'1 datos preparados'!S446</f>
        <v/>
      </c>
      <c r="U453" s="7">
        <f>'1 datos preparados'!T446</f>
        <v/>
      </c>
      <c r="V453" s="8">
        <f>$AE$12+D453*$AE$13+E453*$AE$14+F453*$AE$15+G453*$AE$16+H453*$AE$17+I453*$AE$18+J453*$AE$19+K453*$AE$20+L453*$AE$21+M453*$AE$22+N453*$AE$23+O453*$AE$24+P453*$AE$25+Q453*$AE$26+R453*$AE$27+S453*$AE$28+T453*$AE$29+U453*$AE$30</f>
        <v/>
      </c>
      <c r="W453" s="8">
        <f>1/(1+EXP(-V453))</f>
        <v/>
      </c>
      <c r="X453" s="9">
        <f>-IF(C453=1,LN(W453),LN(1-W453))</f>
        <v/>
      </c>
      <c r="Y453" s="8">
        <f>IF(C453=1,$AE$32,$AE$33)</f>
        <v/>
      </c>
      <c r="Z453" s="9">
        <f>Y453*X453</f>
        <v/>
      </c>
      <c r="AA453" s="10">
        <f>IF(W453&gt;$AE$34,1,0)</f>
        <v/>
      </c>
      <c r="AB453">
        <f>IF(AA453=C453,1,0)</f>
        <v/>
      </c>
    </row>
    <row r="454">
      <c r="A454">
        <f>'1 datos preparados'!A447</f>
        <v/>
      </c>
      <c r="B454" s="5">
        <f>'1 datos preparados'!U447</f>
        <v/>
      </c>
      <c r="C454">
        <f>'1 datos preparados'!B447</f>
        <v/>
      </c>
      <c r="D454" s="7">
        <f>'1 datos preparados'!C447</f>
        <v/>
      </c>
      <c r="E454" s="7">
        <f>'1 datos preparados'!D447</f>
        <v/>
      </c>
      <c r="F454" s="7">
        <f>'1 datos preparados'!E447</f>
        <v/>
      </c>
      <c r="G454" s="7">
        <f>'1 datos preparados'!F447</f>
        <v/>
      </c>
      <c r="H454" s="7">
        <f>'1 datos preparados'!G447</f>
        <v/>
      </c>
      <c r="I454" s="7">
        <f>'1 datos preparados'!H447</f>
        <v/>
      </c>
      <c r="J454" s="7">
        <f>'1 datos preparados'!I447</f>
        <v/>
      </c>
      <c r="K454" s="7">
        <f>'1 datos preparados'!J447</f>
        <v/>
      </c>
      <c r="L454" s="7">
        <f>'1 datos preparados'!K447</f>
        <v/>
      </c>
      <c r="M454" s="7">
        <f>'1 datos preparados'!L447</f>
        <v/>
      </c>
      <c r="N454" s="7">
        <f>'1 datos preparados'!M447</f>
        <v/>
      </c>
      <c r="O454" s="7">
        <f>'1 datos preparados'!N447</f>
        <v/>
      </c>
      <c r="P454" s="7">
        <f>'1 datos preparados'!O447</f>
        <v/>
      </c>
      <c r="Q454" s="7">
        <f>'1 datos preparados'!P447</f>
        <v/>
      </c>
      <c r="R454" s="7">
        <f>'1 datos preparados'!Q447</f>
        <v/>
      </c>
      <c r="S454" s="7">
        <f>'1 datos preparados'!R447</f>
        <v/>
      </c>
      <c r="T454" s="7">
        <f>'1 datos preparados'!S447</f>
        <v/>
      </c>
      <c r="U454" s="7">
        <f>'1 datos preparados'!T447</f>
        <v/>
      </c>
      <c r="V454" s="8">
        <f>$AE$12+D454*$AE$13+E454*$AE$14+F454*$AE$15+G454*$AE$16+H454*$AE$17+I454*$AE$18+J454*$AE$19+K454*$AE$20+L454*$AE$21+M454*$AE$22+N454*$AE$23+O454*$AE$24+P454*$AE$25+Q454*$AE$26+R454*$AE$27+S454*$AE$28+T454*$AE$29+U454*$AE$30</f>
        <v/>
      </c>
      <c r="W454" s="8">
        <f>1/(1+EXP(-V454))</f>
        <v/>
      </c>
      <c r="X454" s="9">
        <f>-IF(C454=1,LN(W454),LN(1-W454))</f>
        <v/>
      </c>
      <c r="Y454" s="8">
        <f>IF(C454=1,$AE$32,$AE$33)</f>
        <v/>
      </c>
      <c r="Z454" s="9">
        <f>Y454*X454</f>
        <v/>
      </c>
      <c r="AA454" s="10">
        <f>IF(W454&gt;$AE$34,1,0)</f>
        <v/>
      </c>
      <c r="AB454">
        <f>IF(AA454=C454,1,0)</f>
        <v/>
      </c>
    </row>
    <row r="455">
      <c r="A455">
        <f>'1 datos preparados'!A448</f>
        <v/>
      </c>
      <c r="B455" s="5">
        <f>'1 datos preparados'!U448</f>
        <v/>
      </c>
      <c r="C455">
        <f>'1 datos preparados'!B448</f>
        <v/>
      </c>
      <c r="D455" s="7">
        <f>'1 datos preparados'!C448</f>
        <v/>
      </c>
      <c r="E455" s="7">
        <f>'1 datos preparados'!D448</f>
        <v/>
      </c>
      <c r="F455" s="7">
        <f>'1 datos preparados'!E448</f>
        <v/>
      </c>
      <c r="G455" s="7">
        <f>'1 datos preparados'!F448</f>
        <v/>
      </c>
      <c r="H455" s="7">
        <f>'1 datos preparados'!G448</f>
        <v/>
      </c>
      <c r="I455" s="7">
        <f>'1 datos preparados'!H448</f>
        <v/>
      </c>
      <c r="J455" s="7">
        <f>'1 datos preparados'!I448</f>
        <v/>
      </c>
      <c r="K455" s="7">
        <f>'1 datos preparados'!J448</f>
        <v/>
      </c>
      <c r="L455" s="7">
        <f>'1 datos preparados'!K448</f>
        <v/>
      </c>
      <c r="M455" s="7">
        <f>'1 datos preparados'!L448</f>
        <v/>
      </c>
      <c r="N455" s="7">
        <f>'1 datos preparados'!M448</f>
        <v/>
      </c>
      <c r="O455" s="7">
        <f>'1 datos preparados'!N448</f>
        <v/>
      </c>
      <c r="P455" s="7">
        <f>'1 datos preparados'!O448</f>
        <v/>
      </c>
      <c r="Q455" s="7">
        <f>'1 datos preparados'!P448</f>
        <v/>
      </c>
      <c r="R455" s="7">
        <f>'1 datos preparados'!Q448</f>
        <v/>
      </c>
      <c r="S455" s="7">
        <f>'1 datos preparados'!R448</f>
        <v/>
      </c>
      <c r="T455" s="7">
        <f>'1 datos preparados'!S448</f>
        <v/>
      </c>
      <c r="U455" s="7">
        <f>'1 datos preparados'!T448</f>
        <v/>
      </c>
      <c r="V455" s="8">
        <f>$AE$12+D455*$AE$13+E455*$AE$14+F455*$AE$15+G455*$AE$16+H455*$AE$17+I455*$AE$18+J455*$AE$19+K455*$AE$20+L455*$AE$21+M455*$AE$22+N455*$AE$23+O455*$AE$24+P455*$AE$25+Q455*$AE$26+R455*$AE$27+S455*$AE$28+T455*$AE$29+U455*$AE$30</f>
        <v/>
      </c>
      <c r="W455" s="8">
        <f>1/(1+EXP(-V455))</f>
        <v/>
      </c>
      <c r="X455" s="9">
        <f>-IF(C455=1,LN(W455),LN(1-W455))</f>
        <v/>
      </c>
      <c r="Y455" s="8">
        <f>IF(C455=1,$AE$32,$AE$33)</f>
        <v/>
      </c>
      <c r="Z455" s="9">
        <f>Y455*X455</f>
        <v/>
      </c>
      <c r="AA455" s="10">
        <f>IF(W455&gt;$AE$34,1,0)</f>
        <v/>
      </c>
      <c r="AB455">
        <f>IF(AA455=C455,1,0)</f>
        <v/>
      </c>
    </row>
    <row r="456">
      <c r="A456">
        <f>'1 datos preparados'!A449</f>
        <v/>
      </c>
      <c r="B456" s="5">
        <f>'1 datos preparados'!U449</f>
        <v/>
      </c>
      <c r="C456">
        <f>'1 datos preparados'!B449</f>
        <v/>
      </c>
      <c r="D456" s="7">
        <f>'1 datos preparados'!C449</f>
        <v/>
      </c>
      <c r="E456" s="7">
        <f>'1 datos preparados'!D449</f>
        <v/>
      </c>
      <c r="F456" s="7">
        <f>'1 datos preparados'!E449</f>
        <v/>
      </c>
      <c r="G456" s="7">
        <f>'1 datos preparados'!F449</f>
        <v/>
      </c>
      <c r="H456" s="7">
        <f>'1 datos preparados'!G449</f>
        <v/>
      </c>
      <c r="I456" s="7">
        <f>'1 datos preparados'!H449</f>
        <v/>
      </c>
      <c r="J456" s="7">
        <f>'1 datos preparados'!I449</f>
        <v/>
      </c>
      <c r="K456" s="7">
        <f>'1 datos preparados'!J449</f>
        <v/>
      </c>
      <c r="L456" s="7">
        <f>'1 datos preparados'!K449</f>
        <v/>
      </c>
      <c r="M456" s="7">
        <f>'1 datos preparados'!L449</f>
        <v/>
      </c>
      <c r="N456" s="7">
        <f>'1 datos preparados'!M449</f>
        <v/>
      </c>
      <c r="O456" s="7">
        <f>'1 datos preparados'!N449</f>
        <v/>
      </c>
      <c r="P456" s="7">
        <f>'1 datos preparados'!O449</f>
        <v/>
      </c>
      <c r="Q456" s="7">
        <f>'1 datos preparados'!P449</f>
        <v/>
      </c>
      <c r="R456" s="7">
        <f>'1 datos preparados'!Q449</f>
        <v/>
      </c>
      <c r="S456" s="7">
        <f>'1 datos preparados'!R449</f>
        <v/>
      </c>
      <c r="T456" s="7">
        <f>'1 datos preparados'!S449</f>
        <v/>
      </c>
      <c r="U456" s="7">
        <f>'1 datos preparados'!T449</f>
        <v/>
      </c>
      <c r="V456" s="8">
        <f>$AE$12+D456*$AE$13+E456*$AE$14+F456*$AE$15+G456*$AE$16+H456*$AE$17+I456*$AE$18+J456*$AE$19+K456*$AE$20+L456*$AE$21+M456*$AE$22+N456*$AE$23+O456*$AE$24+P456*$AE$25+Q456*$AE$26+R456*$AE$27+S456*$AE$28+T456*$AE$29+U456*$AE$30</f>
        <v/>
      </c>
      <c r="W456" s="8">
        <f>1/(1+EXP(-V456))</f>
        <v/>
      </c>
      <c r="X456" s="9">
        <f>-IF(C456=1,LN(W456),LN(1-W456))</f>
        <v/>
      </c>
      <c r="Y456" s="8">
        <f>IF(C456=1,$AE$32,$AE$33)</f>
        <v/>
      </c>
      <c r="Z456" s="9">
        <f>Y456*X456</f>
        <v/>
      </c>
      <c r="AA456" s="10">
        <f>IF(W456&gt;$AE$34,1,0)</f>
        <v/>
      </c>
      <c r="AB456">
        <f>IF(AA456=C456,1,0)</f>
        <v/>
      </c>
    </row>
    <row r="457">
      <c r="A457">
        <f>'1 datos preparados'!A450</f>
        <v/>
      </c>
      <c r="B457" s="5">
        <f>'1 datos preparados'!U450</f>
        <v/>
      </c>
      <c r="C457">
        <f>'1 datos preparados'!B450</f>
        <v/>
      </c>
      <c r="D457" s="7">
        <f>'1 datos preparados'!C450</f>
        <v/>
      </c>
      <c r="E457" s="7">
        <f>'1 datos preparados'!D450</f>
        <v/>
      </c>
      <c r="F457" s="7">
        <f>'1 datos preparados'!E450</f>
        <v/>
      </c>
      <c r="G457" s="7">
        <f>'1 datos preparados'!F450</f>
        <v/>
      </c>
      <c r="H457" s="7">
        <f>'1 datos preparados'!G450</f>
        <v/>
      </c>
      <c r="I457" s="7">
        <f>'1 datos preparados'!H450</f>
        <v/>
      </c>
      <c r="J457" s="7">
        <f>'1 datos preparados'!I450</f>
        <v/>
      </c>
      <c r="K457" s="7">
        <f>'1 datos preparados'!J450</f>
        <v/>
      </c>
      <c r="L457" s="7">
        <f>'1 datos preparados'!K450</f>
        <v/>
      </c>
      <c r="M457" s="7">
        <f>'1 datos preparados'!L450</f>
        <v/>
      </c>
      <c r="N457" s="7">
        <f>'1 datos preparados'!M450</f>
        <v/>
      </c>
      <c r="O457" s="7">
        <f>'1 datos preparados'!N450</f>
        <v/>
      </c>
      <c r="P457" s="7">
        <f>'1 datos preparados'!O450</f>
        <v/>
      </c>
      <c r="Q457" s="7">
        <f>'1 datos preparados'!P450</f>
        <v/>
      </c>
      <c r="R457" s="7">
        <f>'1 datos preparados'!Q450</f>
        <v/>
      </c>
      <c r="S457" s="7">
        <f>'1 datos preparados'!R450</f>
        <v/>
      </c>
      <c r="T457" s="7">
        <f>'1 datos preparados'!S450</f>
        <v/>
      </c>
      <c r="U457" s="7">
        <f>'1 datos preparados'!T450</f>
        <v/>
      </c>
      <c r="V457" s="8">
        <f>$AE$12+D457*$AE$13+E457*$AE$14+F457*$AE$15+G457*$AE$16+H457*$AE$17+I457*$AE$18+J457*$AE$19+K457*$AE$20+L457*$AE$21+M457*$AE$22+N457*$AE$23+O457*$AE$24+P457*$AE$25+Q457*$AE$26+R457*$AE$27+S457*$AE$28+T457*$AE$29+U457*$AE$30</f>
        <v/>
      </c>
      <c r="W457" s="8">
        <f>1/(1+EXP(-V457))</f>
        <v/>
      </c>
      <c r="X457" s="9">
        <f>-IF(C457=1,LN(W457),LN(1-W457))</f>
        <v/>
      </c>
      <c r="Y457" s="8">
        <f>IF(C457=1,$AE$32,$AE$33)</f>
        <v/>
      </c>
      <c r="Z457" s="9">
        <f>Y457*X457</f>
        <v/>
      </c>
      <c r="AA457" s="10">
        <f>IF(W457&gt;$AE$34,1,0)</f>
        <v/>
      </c>
      <c r="AB457">
        <f>IF(AA457=C457,1,0)</f>
        <v/>
      </c>
    </row>
    <row r="458">
      <c r="A458">
        <f>'1 datos preparados'!A451</f>
        <v/>
      </c>
      <c r="B458" s="5">
        <f>'1 datos preparados'!U451</f>
        <v/>
      </c>
      <c r="C458">
        <f>'1 datos preparados'!B451</f>
        <v/>
      </c>
      <c r="D458" s="7">
        <f>'1 datos preparados'!C451</f>
        <v/>
      </c>
      <c r="E458" s="7">
        <f>'1 datos preparados'!D451</f>
        <v/>
      </c>
      <c r="F458" s="7">
        <f>'1 datos preparados'!E451</f>
        <v/>
      </c>
      <c r="G458" s="7">
        <f>'1 datos preparados'!F451</f>
        <v/>
      </c>
      <c r="H458" s="7">
        <f>'1 datos preparados'!G451</f>
        <v/>
      </c>
      <c r="I458" s="7">
        <f>'1 datos preparados'!H451</f>
        <v/>
      </c>
      <c r="J458" s="7">
        <f>'1 datos preparados'!I451</f>
        <v/>
      </c>
      <c r="K458" s="7">
        <f>'1 datos preparados'!J451</f>
        <v/>
      </c>
      <c r="L458" s="7">
        <f>'1 datos preparados'!K451</f>
        <v/>
      </c>
      <c r="M458" s="7">
        <f>'1 datos preparados'!L451</f>
        <v/>
      </c>
      <c r="N458" s="7">
        <f>'1 datos preparados'!M451</f>
        <v/>
      </c>
      <c r="O458" s="7">
        <f>'1 datos preparados'!N451</f>
        <v/>
      </c>
      <c r="P458" s="7">
        <f>'1 datos preparados'!O451</f>
        <v/>
      </c>
      <c r="Q458" s="7">
        <f>'1 datos preparados'!P451</f>
        <v/>
      </c>
      <c r="R458" s="7">
        <f>'1 datos preparados'!Q451</f>
        <v/>
      </c>
      <c r="S458" s="7">
        <f>'1 datos preparados'!R451</f>
        <v/>
      </c>
      <c r="T458" s="7">
        <f>'1 datos preparados'!S451</f>
        <v/>
      </c>
      <c r="U458" s="7">
        <f>'1 datos preparados'!T451</f>
        <v/>
      </c>
      <c r="V458" s="8">
        <f>$AE$12+D458*$AE$13+E458*$AE$14+F458*$AE$15+G458*$AE$16+H458*$AE$17+I458*$AE$18+J458*$AE$19+K458*$AE$20+L458*$AE$21+M458*$AE$22+N458*$AE$23+O458*$AE$24+P458*$AE$25+Q458*$AE$26+R458*$AE$27+S458*$AE$28+T458*$AE$29+U458*$AE$30</f>
        <v/>
      </c>
      <c r="W458" s="8">
        <f>1/(1+EXP(-V458))</f>
        <v/>
      </c>
      <c r="X458" s="9">
        <f>-IF(C458=1,LN(W458),LN(1-W458))</f>
        <v/>
      </c>
      <c r="Y458" s="8">
        <f>IF(C458=1,$AE$32,$AE$33)</f>
        <v/>
      </c>
      <c r="Z458" s="9">
        <f>Y458*X458</f>
        <v/>
      </c>
      <c r="AA458" s="10">
        <f>IF(W458&gt;$AE$34,1,0)</f>
        <v/>
      </c>
      <c r="AB458">
        <f>IF(AA458=C458,1,0)</f>
        <v/>
      </c>
    </row>
    <row r="459">
      <c r="A459">
        <f>'1 datos preparados'!A452</f>
        <v/>
      </c>
      <c r="B459" s="5">
        <f>'1 datos preparados'!U452</f>
        <v/>
      </c>
      <c r="C459">
        <f>'1 datos preparados'!B452</f>
        <v/>
      </c>
      <c r="D459" s="7">
        <f>'1 datos preparados'!C452</f>
        <v/>
      </c>
      <c r="E459" s="7">
        <f>'1 datos preparados'!D452</f>
        <v/>
      </c>
      <c r="F459" s="7">
        <f>'1 datos preparados'!E452</f>
        <v/>
      </c>
      <c r="G459" s="7">
        <f>'1 datos preparados'!F452</f>
        <v/>
      </c>
      <c r="H459" s="7">
        <f>'1 datos preparados'!G452</f>
        <v/>
      </c>
      <c r="I459" s="7">
        <f>'1 datos preparados'!H452</f>
        <v/>
      </c>
      <c r="J459" s="7">
        <f>'1 datos preparados'!I452</f>
        <v/>
      </c>
      <c r="K459" s="7">
        <f>'1 datos preparados'!J452</f>
        <v/>
      </c>
      <c r="L459" s="7">
        <f>'1 datos preparados'!K452</f>
        <v/>
      </c>
      <c r="M459" s="7">
        <f>'1 datos preparados'!L452</f>
        <v/>
      </c>
      <c r="N459" s="7">
        <f>'1 datos preparados'!M452</f>
        <v/>
      </c>
      <c r="O459" s="7">
        <f>'1 datos preparados'!N452</f>
        <v/>
      </c>
      <c r="P459" s="7">
        <f>'1 datos preparados'!O452</f>
        <v/>
      </c>
      <c r="Q459" s="7">
        <f>'1 datos preparados'!P452</f>
        <v/>
      </c>
      <c r="R459" s="7">
        <f>'1 datos preparados'!Q452</f>
        <v/>
      </c>
      <c r="S459" s="7">
        <f>'1 datos preparados'!R452</f>
        <v/>
      </c>
      <c r="T459" s="7">
        <f>'1 datos preparados'!S452</f>
        <v/>
      </c>
      <c r="U459" s="7">
        <f>'1 datos preparados'!T452</f>
        <v/>
      </c>
      <c r="V459" s="8">
        <f>$AE$12+D459*$AE$13+E459*$AE$14+F459*$AE$15+G459*$AE$16+H459*$AE$17+I459*$AE$18+J459*$AE$19+K459*$AE$20+L459*$AE$21+M459*$AE$22+N459*$AE$23+O459*$AE$24+P459*$AE$25+Q459*$AE$26+R459*$AE$27+S459*$AE$28+T459*$AE$29+U459*$AE$30</f>
        <v/>
      </c>
      <c r="W459" s="8">
        <f>1/(1+EXP(-V459))</f>
        <v/>
      </c>
      <c r="X459" s="9">
        <f>-IF(C459=1,LN(W459),LN(1-W459))</f>
        <v/>
      </c>
      <c r="Y459" s="8">
        <f>IF(C459=1,$AE$32,$AE$33)</f>
        <v/>
      </c>
      <c r="Z459" s="9">
        <f>Y459*X459</f>
        <v/>
      </c>
      <c r="AA459" s="10">
        <f>IF(W459&gt;$AE$34,1,0)</f>
        <v/>
      </c>
      <c r="AB459">
        <f>IF(AA459=C459,1,0)</f>
        <v/>
      </c>
    </row>
    <row r="460">
      <c r="A460">
        <f>'1 datos preparados'!A453</f>
        <v/>
      </c>
      <c r="B460" s="5">
        <f>'1 datos preparados'!U453</f>
        <v/>
      </c>
      <c r="C460">
        <f>'1 datos preparados'!B453</f>
        <v/>
      </c>
      <c r="D460" s="7">
        <f>'1 datos preparados'!C453</f>
        <v/>
      </c>
      <c r="E460" s="7">
        <f>'1 datos preparados'!D453</f>
        <v/>
      </c>
      <c r="F460" s="7">
        <f>'1 datos preparados'!E453</f>
        <v/>
      </c>
      <c r="G460" s="7">
        <f>'1 datos preparados'!F453</f>
        <v/>
      </c>
      <c r="H460" s="7">
        <f>'1 datos preparados'!G453</f>
        <v/>
      </c>
      <c r="I460" s="7">
        <f>'1 datos preparados'!H453</f>
        <v/>
      </c>
      <c r="J460" s="7">
        <f>'1 datos preparados'!I453</f>
        <v/>
      </c>
      <c r="K460" s="7">
        <f>'1 datos preparados'!J453</f>
        <v/>
      </c>
      <c r="L460" s="7">
        <f>'1 datos preparados'!K453</f>
        <v/>
      </c>
      <c r="M460" s="7">
        <f>'1 datos preparados'!L453</f>
        <v/>
      </c>
      <c r="N460" s="7">
        <f>'1 datos preparados'!M453</f>
        <v/>
      </c>
      <c r="O460" s="7">
        <f>'1 datos preparados'!N453</f>
        <v/>
      </c>
      <c r="P460" s="7">
        <f>'1 datos preparados'!O453</f>
        <v/>
      </c>
      <c r="Q460" s="7">
        <f>'1 datos preparados'!P453</f>
        <v/>
      </c>
      <c r="R460" s="7">
        <f>'1 datos preparados'!Q453</f>
        <v/>
      </c>
      <c r="S460" s="7">
        <f>'1 datos preparados'!R453</f>
        <v/>
      </c>
      <c r="T460" s="7">
        <f>'1 datos preparados'!S453</f>
        <v/>
      </c>
      <c r="U460" s="7">
        <f>'1 datos preparados'!T453</f>
        <v/>
      </c>
      <c r="V460" s="8">
        <f>$AE$12+D460*$AE$13+E460*$AE$14+F460*$AE$15+G460*$AE$16+H460*$AE$17+I460*$AE$18+J460*$AE$19+K460*$AE$20+L460*$AE$21+M460*$AE$22+N460*$AE$23+O460*$AE$24+P460*$AE$25+Q460*$AE$26+R460*$AE$27+S460*$AE$28+T460*$AE$29+U460*$AE$30</f>
        <v/>
      </c>
      <c r="W460" s="8">
        <f>1/(1+EXP(-V460))</f>
        <v/>
      </c>
      <c r="X460" s="9">
        <f>-IF(C460=1,LN(W460),LN(1-W460))</f>
        <v/>
      </c>
      <c r="Y460" s="8">
        <f>IF(C460=1,$AE$32,$AE$33)</f>
        <v/>
      </c>
      <c r="Z460" s="9">
        <f>Y460*X460</f>
        <v/>
      </c>
      <c r="AA460" s="10">
        <f>IF(W460&gt;$AE$34,1,0)</f>
        <v/>
      </c>
      <c r="AB460">
        <f>IF(AA460=C460,1,0)</f>
        <v/>
      </c>
    </row>
    <row r="461">
      <c r="A461">
        <f>'1 datos preparados'!A454</f>
        <v/>
      </c>
      <c r="B461" s="5">
        <f>'1 datos preparados'!U454</f>
        <v/>
      </c>
      <c r="C461">
        <f>'1 datos preparados'!B454</f>
        <v/>
      </c>
      <c r="D461" s="7">
        <f>'1 datos preparados'!C454</f>
        <v/>
      </c>
      <c r="E461" s="7">
        <f>'1 datos preparados'!D454</f>
        <v/>
      </c>
      <c r="F461" s="7">
        <f>'1 datos preparados'!E454</f>
        <v/>
      </c>
      <c r="G461" s="7">
        <f>'1 datos preparados'!F454</f>
        <v/>
      </c>
      <c r="H461" s="7">
        <f>'1 datos preparados'!G454</f>
        <v/>
      </c>
      <c r="I461" s="7">
        <f>'1 datos preparados'!H454</f>
        <v/>
      </c>
      <c r="J461" s="7">
        <f>'1 datos preparados'!I454</f>
        <v/>
      </c>
      <c r="K461" s="7">
        <f>'1 datos preparados'!J454</f>
        <v/>
      </c>
      <c r="L461" s="7">
        <f>'1 datos preparados'!K454</f>
        <v/>
      </c>
      <c r="M461" s="7">
        <f>'1 datos preparados'!L454</f>
        <v/>
      </c>
      <c r="N461" s="7">
        <f>'1 datos preparados'!M454</f>
        <v/>
      </c>
      <c r="O461" s="7">
        <f>'1 datos preparados'!N454</f>
        <v/>
      </c>
      <c r="P461" s="7">
        <f>'1 datos preparados'!O454</f>
        <v/>
      </c>
      <c r="Q461" s="7">
        <f>'1 datos preparados'!P454</f>
        <v/>
      </c>
      <c r="R461" s="7">
        <f>'1 datos preparados'!Q454</f>
        <v/>
      </c>
      <c r="S461" s="7">
        <f>'1 datos preparados'!R454</f>
        <v/>
      </c>
      <c r="T461" s="7">
        <f>'1 datos preparados'!S454</f>
        <v/>
      </c>
      <c r="U461" s="7">
        <f>'1 datos preparados'!T454</f>
        <v/>
      </c>
      <c r="V461" s="8">
        <f>$AE$12+D461*$AE$13+E461*$AE$14+F461*$AE$15+G461*$AE$16+H461*$AE$17+I461*$AE$18+J461*$AE$19+K461*$AE$20+L461*$AE$21+M461*$AE$22+N461*$AE$23+O461*$AE$24+P461*$AE$25+Q461*$AE$26+R461*$AE$27+S461*$AE$28+T461*$AE$29+U461*$AE$30</f>
        <v/>
      </c>
      <c r="W461" s="8">
        <f>1/(1+EXP(-V461))</f>
        <v/>
      </c>
      <c r="X461" s="9">
        <f>-IF(C461=1,LN(W461),LN(1-W461))</f>
        <v/>
      </c>
      <c r="Y461" s="8">
        <f>IF(C461=1,$AE$32,$AE$33)</f>
        <v/>
      </c>
      <c r="Z461" s="9">
        <f>Y461*X461</f>
        <v/>
      </c>
      <c r="AA461" s="10">
        <f>IF(W461&gt;$AE$34,1,0)</f>
        <v/>
      </c>
      <c r="AB461">
        <f>IF(AA461=C461,1,0)</f>
        <v/>
      </c>
    </row>
    <row r="462">
      <c r="A462">
        <f>'1 datos preparados'!A455</f>
        <v/>
      </c>
      <c r="B462" s="5">
        <f>'1 datos preparados'!U455</f>
        <v/>
      </c>
      <c r="C462">
        <f>'1 datos preparados'!B455</f>
        <v/>
      </c>
      <c r="D462" s="7">
        <f>'1 datos preparados'!C455</f>
        <v/>
      </c>
      <c r="E462" s="7">
        <f>'1 datos preparados'!D455</f>
        <v/>
      </c>
      <c r="F462" s="7">
        <f>'1 datos preparados'!E455</f>
        <v/>
      </c>
      <c r="G462" s="7">
        <f>'1 datos preparados'!F455</f>
        <v/>
      </c>
      <c r="H462" s="7">
        <f>'1 datos preparados'!G455</f>
        <v/>
      </c>
      <c r="I462" s="7">
        <f>'1 datos preparados'!H455</f>
        <v/>
      </c>
      <c r="J462" s="7">
        <f>'1 datos preparados'!I455</f>
        <v/>
      </c>
      <c r="K462" s="7">
        <f>'1 datos preparados'!J455</f>
        <v/>
      </c>
      <c r="L462" s="7">
        <f>'1 datos preparados'!K455</f>
        <v/>
      </c>
      <c r="M462" s="7">
        <f>'1 datos preparados'!L455</f>
        <v/>
      </c>
      <c r="N462" s="7">
        <f>'1 datos preparados'!M455</f>
        <v/>
      </c>
      <c r="O462" s="7">
        <f>'1 datos preparados'!N455</f>
        <v/>
      </c>
      <c r="P462" s="7">
        <f>'1 datos preparados'!O455</f>
        <v/>
      </c>
      <c r="Q462" s="7">
        <f>'1 datos preparados'!P455</f>
        <v/>
      </c>
      <c r="R462" s="7">
        <f>'1 datos preparados'!Q455</f>
        <v/>
      </c>
      <c r="S462" s="7">
        <f>'1 datos preparados'!R455</f>
        <v/>
      </c>
      <c r="T462" s="7">
        <f>'1 datos preparados'!S455</f>
        <v/>
      </c>
      <c r="U462" s="7">
        <f>'1 datos preparados'!T455</f>
        <v/>
      </c>
      <c r="V462" s="8">
        <f>$AE$12+D462*$AE$13+E462*$AE$14+F462*$AE$15+G462*$AE$16+H462*$AE$17+I462*$AE$18+J462*$AE$19+K462*$AE$20+L462*$AE$21+M462*$AE$22+N462*$AE$23+O462*$AE$24+P462*$AE$25+Q462*$AE$26+R462*$AE$27+S462*$AE$28+T462*$AE$29+U462*$AE$30</f>
        <v/>
      </c>
      <c r="W462" s="8">
        <f>1/(1+EXP(-V462))</f>
        <v/>
      </c>
      <c r="X462" s="9">
        <f>-IF(C462=1,LN(W462),LN(1-W462))</f>
        <v/>
      </c>
      <c r="Y462" s="8">
        <f>IF(C462=1,$AE$32,$AE$33)</f>
        <v/>
      </c>
      <c r="Z462" s="9">
        <f>Y462*X462</f>
        <v/>
      </c>
      <c r="AA462" s="10">
        <f>IF(W462&gt;$AE$34,1,0)</f>
        <v/>
      </c>
      <c r="AB462">
        <f>IF(AA462=C462,1,0)</f>
        <v/>
      </c>
    </row>
    <row r="463">
      <c r="A463">
        <f>'1 datos preparados'!A456</f>
        <v/>
      </c>
      <c r="B463" s="5">
        <f>'1 datos preparados'!U456</f>
        <v/>
      </c>
      <c r="C463">
        <f>'1 datos preparados'!B456</f>
        <v/>
      </c>
      <c r="D463" s="7">
        <f>'1 datos preparados'!C456</f>
        <v/>
      </c>
      <c r="E463" s="7">
        <f>'1 datos preparados'!D456</f>
        <v/>
      </c>
      <c r="F463" s="7">
        <f>'1 datos preparados'!E456</f>
        <v/>
      </c>
      <c r="G463" s="7">
        <f>'1 datos preparados'!F456</f>
        <v/>
      </c>
      <c r="H463" s="7">
        <f>'1 datos preparados'!G456</f>
        <v/>
      </c>
      <c r="I463" s="7">
        <f>'1 datos preparados'!H456</f>
        <v/>
      </c>
      <c r="J463" s="7">
        <f>'1 datos preparados'!I456</f>
        <v/>
      </c>
      <c r="K463" s="7">
        <f>'1 datos preparados'!J456</f>
        <v/>
      </c>
      <c r="L463" s="7">
        <f>'1 datos preparados'!K456</f>
        <v/>
      </c>
      <c r="M463" s="7">
        <f>'1 datos preparados'!L456</f>
        <v/>
      </c>
      <c r="N463" s="7">
        <f>'1 datos preparados'!M456</f>
        <v/>
      </c>
      <c r="O463" s="7">
        <f>'1 datos preparados'!N456</f>
        <v/>
      </c>
      <c r="P463" s="7">
        <f>'1 datos preparados'!O456</f>
        <v/>
      </c>
      <c r="Q463" s="7">
        <f>'1 datos preparados'!P456</f>
        <v/>
      </c>
      <c r="R463" s="7">
        <f>'1 datos preparados'!Q456</f>
        <v/>
      </c>
      <c r="S463" s="7">
        <f>'1 datos preparados'!R456</f>
        <v/>
      </c>
      <c r="T463" s="7">
        <f>'1 datos preparados'!S456</f>
        <v/>
      </c>
      <c r="U463" s="7">
        <f>'1 datos preparados'!T456</f>
        <v/>
      </c>
      <c r="V463" s="8">
        <f>$AE$12+D463*$AE$13+E463*$AE$14+F463*$AE$15+G463*$AE$16+H463*$AE$17+I463*$AE$18+J463*$AE$19+K463*$AE$20+L463*$AE$21+M463*$AE$22+N463*$AE$23+O463*$AE$24+P463*$AE$25+Q463*$AE$26+R463*$AE$27+S463*$AE$28+T463*$AE$29+U463*$AE$30</f>
        <v/>
      </c>
      <c r="W463" s="8">
        <f>1/(1+EXP(-V463))</f>
        <v/>
      </c>
      <c r="X463" s="9">
        <f>-IF(C463=1,LN(W463),LN(1-W463))</f>
        <v/>
      </c>
      <c r="Y463" s="8">
        <f>IF(C463=1,$AE$32,$AE$33)</f>
        <v/>
      </c>
      <c r="Z463" s="9">
        <f>Y463*X463</f>
        <v/>
      </c>
      <c r="AA463" s="10">
        <f>IF(W463&gt;$AE$34,1,0)</f>
        <v/>
      </c>
      <c r="AB463">
        <f>IF(AA463=C463,1,0)</f>
        <v/>
      </c>
    </row>
    <row r="464">
      <c r="A464">
        <f>'1 datos preparados'!A457</f>
        <v/>
      </c>
      <c r="B464" s="5">
        <f>'1 datos preparados'!U457</f>
        <v/>
      </c>
      <c r="C464">
        <f>'1 datos preparados'!B457</f>
        <v/>
      </c>
      <c r="D464" s="7">
        <f>'1 datos preparados'!C457</f>
        <v/>
      </c>
      <c r="E464" s="7">
        <f>'1 datos preparados'!D457</f>
        <v/>
      </c>
      <c r="F464" s="7">
        <f>'1 datos preparados'!E457</f>
        <v/>
      </c>
      <c r="G464" s="7">
        <f>'1 datos preparados'!F457</f>
        <v/>
      </c>
      <c r="H464" s="7">
        <f>'1 datos preparados'!G457</f>
        <v/>
      </c>
      <c r="I464" s="7">
        <f>'1 datos preparados'!H457</f>
        <v/>
      </c>
      <c r="J464" s="7">
        <f>'1 datos preparados'!I457</f>
        <v/>
      </c>
      <c r="K464" s="7">
        <f>'1 datos preparados'!J457</f>
        <v/>
      </c>
      <c r="L464" s="7">
        <f>'1 datos preparados'!K457</f>
        <v/>
      </c>
      <c r="M464" s="7">
        <f>'1 datos preparados'!L457</f>
        <v/>
      </c>
      <c r="N464" s="7">
        <f>'1 datos preparados'!M457</f>
        <v/>
      </c>
      <c r="O464" s="7">
        <f>'1 datos preparados'!N457</f>
        <v/>
      </c>
      <c r="P464" s="7">
        <f>'1 datos preparados'!O457</f>
        <v/>
      </c>
      <c r="Q464" s="7">
        <f>'1 datos preparados'!P457</f>
        <v/>
      </c>
      <c r="R464" s="7">
        <f>'1 datos preparados'!Q457</f>
        <v/>
      </c>
      <c r="S464" s="7">
        <f>'1 datos preparados'!R457</f>
        <v/>
      </c>
      <c r="T464" s="7">
        <f>'1 datos preparados'!S457</f>
        <v/>
      </c>
      <c r="U464" s="7">
        <f>'1 datos preparados'!T457</f>
        <v/>
      </c>
      <c r="V464" s="8">
        <f>$AE$12+D464*$AE$13+E464*$AE$14+F464*$AE$15+G464*$AE$16+H464*$AE$17+I464*$AE$18+J464*$AE$19+K464*$AE$20+L464*$AE$21+M464*$AE$22+N464*$AE$23+O464*$AE$24+P464*$AE$25+Q464*$AE$26+R464*$AE$27+S464*$AE$28+T464*$AE$29+U464*$AE$30</f>
        <v/>
      </c>
      <c r="W464" s="8">
        <f>1/(1+EXP(-V464))</f>
        <v/>
      </c>
      <c r="X464" s="9">
        <f>-IF(C464=1,LN(W464),LN(1-W464))</f>
        <v/>
      </c>
      <c r="Y464" s="8">
        <f>IF(C464=1,$AE$32,$AE$33)</f>
        <v/>
      </c>
      <c r="Z464" s="9">
        <f>Y464*X464</f>
        <v/>
      </c>
      <c r="AA464" s="10">
        <f>IF(W464&gt;$AE$34,1,0)</f>
        <v/>
      </c>
      <c r="AB464">
        <f>IF(AA464=C464,1,0)</f>
        <v/>
      </c>
    </row>
    <row r="465">
      <c r="A465">
        <f>'1 datos preparados'!A458</f>
        <v/>
      </c>
      <c r="B465" s="5">
        <f>'1 datos preparados'!U458</f>
        <v/>
      </c>
      <c r="C465">
        <f>'1 datos preparados'!B458</f>
        <v/>
      </c>
      <c r="D465" s="7">
        <f>'1 datos preparados'!C458</f>
        <v/>
      </c>
      <c r="E465" s="7">
        <f>'1 datos preparados'!D458</f>
        <v/>
      </c>
      <c r="F465" s="7">
        <f>'1 datos preparados'!E458</f>
        <v/>
      </c>
      <c r="G465" s="7">
        <f>'1 datos preparados'!F458</f>
        <v/>
      </c>
      <c r="H465" s="7">
        <f>'1 datos preparados'!G458</f>
        <v/>
      </c>
      <c r="I465" s="7">
        <f>'1 datos preparados'!H458</f>
        <v/>
      </c>
      <c r="J465" s="7">
        <f>'1 datos preparados'!I458</f>
        <v/>
      </c>
      <c r="K465" s="7">
        <f>'1 datos preparados'!J458</f>
        <v/>
      </c>
      <c r="L465" s="7">
        <f>'1 datos preparados'!K458</f>
        <v/>
      </c>
      <c r="M465" s="7">
        <f>'1 datos preparados'!L458</f>
        <v/>
      </c>
      <c r="N465" s="7">
        <f>'1 datos preparados'!M458</f>
        <v/>
      </c>
      <c r="O465" s="7">
        <f>'1 datos preparados'!N458</f>
        <v/>
      </c>
      <c r="P465" s="7">
        <f>'1 datos preparados'!O458</f>
        <v/>
      </c>
      <c r="Q465" s="7">
        <f>'1 datos preparados'!P458</f>
        <v/>
      </c>
      <c r="R465" s="7">
        <f>'1 datos preparados'!Q458</f>
        <v/>
      </c>
      <c r="S465" s="7">
        <f>'1 datos preparados'!R458</f>
        <v/>
      </c>
      <c r="T465" s="7">
        <f>'1 datos preparados'!S458</f>
        <v/>
      </c>
      <c r="U465" s="7">
        <f>'1 datos preparados'!T458</f>
        <v/>
      </c>
      <c r="V465" s="8">
        <f>$AE$12+D465*$AE$13+E465*$AE$14+F465*$AE$15+G465*$AE$16+H465*$AE$17+I465*$AE$18+J465*$AE$19+K465*$AE$20+L465*$AE$21+M465*$AE$22+N465*$AE$23+O465*$AE$24+P465*$AE$25+Q465*$AE$26+R465*$AE$27+S465*$AE$28+T465*$AE$29+U465*$AE$30</f>
        <v/>
      </c>
      <c r="W465" s="8">
        <f>1/(1+EXP(-V465))</f>
        <v/>
      </c>
      <c r="X465" s="9">
        <f>-IF(C465=1,LN(W465),LN(1-W465))</f>
        <v/>
      </c>
      <c r="Y465" s="8">
        <f>IF(C465=1,$AE$32,$AE$33)</f>
        <v/>
      </c>
      <c r="Z465" s="9">
        <f>Y465*X465</f>
        <v/>
      </c>
      <c r="AA465" s="10">
        <f>IF(W465&gt;$AE$34,1,0)</f>
        <v/>
      </c>
      <c r="AB465">
        <f>IF(AA465=C465,1,0)</f>
        <v/>
      </c>
    </row>
    <row r="466">
      <c r="A466">
        <f>'1 datos preparados'!A459</f>
        <v/>
      </c>
      <c r="B466" s="5">
        <f>'1 datos preparados'!U459</f>
        <v/>
      </c>
      <c r="C466">
        <f>'1 datos preparados'!B459</f>
        <v/>
      </c>
      <c r="D466" s="7">
        <f>'1 datos preparados'!C459</f>
        <v/>
      </c>
      <c r="E466" s="7">
        <f>'1 datos preparados'!D459</f>
        <v/>
      </c>
      <c r="F466" s="7">
        <f>'1 datos preparados'!E459</f>
        <v/>
      </c>
      <c r="G466" s="7">
        <f>'1 datos preparados'!F459</f>
        <v/>
      </c>
      <c r="H466" s="7">
        <f>'1 datos preparados'!G459</f>
        <v/>
      </c>
      <c r="I466" s="7">
        <f>'1 datos preparados'!H459</f>
        <v/>
      </c>
      <c r="J466" s="7">
        <f>'1 datos preparados'!I459</f>
        <v/>
      </c>
      <c r="K466" s="7">
        <f>'1 datos preparados'!J459</f>
        <v/>
      </c>
      <c r="L466" s="7">
        <f>'1 datos preparados'!K459</f>
        <v/>
      </c>
      <c r="M466" s="7">
        <f>'1 datos preparados'!L459</f>
        <v/>
      </c>
      <c r="N466" s="7">
        <f>'1 datos preparados'!M459</f>
        <v/>
      </c>
      <c r="O466" s="7">
        <f>'1 datos preparados'!N459</f>
        <v/>
      </c>
      <c r="P466" s="7">
        <f>'1 datos preparados'!O459</f>
        <v/>
      </c>
      <c r="Q466" s="7">
        <f>'1 datos preparados'!P459</f>
        <v/>
      </c>
      <c r="R466" s="7">
        <f>'1 datos preparados'!Q459</f>
        <v/>
      </c>
      <c r="S466" s="7">
        <f>'1 datos preparados'!R459</f>
        <v/>
      </c>
      <c r="T466" s="7">
        <f>'1 datos preparados'!S459</f>
        <v/>
      </c>
      <c r="U466" s="7">
        <f>'1 datos preparados'!T459</f>
        <v/>
      </c>
      <c r="V466" s="8">
        <f>$AE$12+D466*$AE$13+E466*$AE$14+F466*$AE$15+G466*$AE$16+H466*$AE$17+I466*$AE$18+J466*$AE$19+K466*$AE$20+L466*$AE$21+M466*$AE$22+N466*$AE$23+O466*$AE$24+P466*$AE$25+Q466*$AE$26+R466*$AE$27+S466*$AE$28+T466*$AE$29+U466*$AE$30</f>
        <v/>
      </c>
      <c r="W466" s="8">
        <f>1/(1+EXP(-V466))</f>
        <v/>
      </c>
      <c r="X466" s="9">
        <f>-IF(C466=1,LN(W466),LN(1-W466))</f>
        <v/>
      </c>
      <c r="Y466" s="8">
        <f>IF(C466=1,$AE$32,$AE$33)</f>
        <v/>
      </c>
      <c r="Z466" s="9">
        <f>Y466*X466</f>
        <v/>
      </c>
      <c r="AA466" s="10">
        <f>IF(W466&gt;$AE$34,1,0)</f>
        <v/>
      </c>
      <c r="AB466">
        <f>IF(AA466=C466,1,0)</f>
        <v/>
      </c>
    </row>
    <row r="467">
      <c r="A467">
        <f>'1 datos preparados'!A460</f>
        <v/>
      </c>
      <c r="B467" s="5">
        <f>'1 datos preparados'!U460</f>
        <v/>
      </c>
      <c r="C467">
        <f>'1 datos preparados'!B460</f>
        <v/>
      </c>
      <c r="D467" s="7">
        <f>'1 datos preparados'!C460</f>
        <v/>
      </c>
      <c r="E467" s="7">
        <f>'1 datos preparados'!D460</f>
        <v/>
      </c>
      <c r="F467" s="7">
        <f>'1 datos preparados'!E460</f>
        <v/>
      </c>
      <c r="G467" s="7">
        <f>'1 datos preparados'!F460</f>
        <v/>
      </c>
      <c r="H467" s="7">
        <f>'1 datos preparados'!G460</f>
        <v/>
      </c>
      <c r="I467" s="7">
        <f>'1 datos preparados'!H460</f>
        <v/>
      </c>
      <c r="J467" s="7">
        <f>'1 datos preparados'!I460</f>
        <v/>
      </c>
      <c r="K467" s="7">
        <f>'1 datos preparados'!J460</f>
        <v/>
      </c>
      <c r="L467" s="7">
        <f>'1 datos preparados'!K460</f>
        <v/>
      </c>
      <c r="M467" s="7">
        <f>'1 datos preparados'!L460</f>
        <v/>
      </c>
      <c r="N467" s="7">
        <f>'1 datos preparados'!M460</f>
        <v/>
      </c>
      <c r="O467" s="7">
        <f>'1 datos preparados'!N460</f>
        <v/>
      </c>
      <c r="P467" s="7">
        <f>'1 datos preparados'!O460</f>
        <v/>
      </c>
      <c r="Q467" s="7">
        <f>'1 datos preparados'!P460</f>
        <v/>
      </c>
      <c r="R467" s="7">
        <f>'1 datos preparados'!Q460</f>
        <v/>
      </c>
      <c r="S467" s="7">
        <f>'1 datos preparados'!R460</f>
        <v/>
      </c>
      <c r="T467" s="7">
        <f>'1 datos preparados'!S460</f>
        <v/>
      </c>
      <c r="U467" s="7">
        <f>'1 datos preparados'!T460</f>
        <v/>
      </c>
      <c r="V467" s="8">
        <f>$AE$12+D467*$AE$13+E467*$AE$14+F467*$AE$15+G467*$AE$16+H467*$AE$17+I467*$AE$18+J467*$AE$19+K467*$AE$20+L467*$AE$21+M467*$AE$22+N467*$AE$23+O467*$AE$24+P467*$AE$25+Q467*$AE$26+R467*$AE$27+S467*$AE$28+T467*$AE$29+U467*$AE$30</f>
        <v/>
      </c>
      <c r="W467" s="8">
        <f>1/(1+EXP(-V467))</f>
        <v/>
      </c>
      <c r="X467" s="9">
        <f>-IF(C467=1,LN(W467),LN(1-W467))</f>
        <v/>
      </c>
      <c r="Y467" s="8">
        <f>IF(C467=1,$AE$32,$AE$33)</f>
        <v/>
      </c>
      <c r="Z467" s="9">
        <f>Y467*X467</f>
        <v/>
      </c>
      <c r="AA467" s="10">
        <f>IF(W467&gt;$AE$34,1,0)</f>
        <v/>
      </c>
      <c r="AB467">
        <f>IF(AA467=C467,1,0)</f>
        <v/>
      </c>
    </row>
    <row r="468">
      <c r="A468">
        <f>'1 datos preparados'!A461</f>
        <v/>
      </c>
      <c r="B468" s="5">
        <f>'1 datos preparados'!U461</f>
        <v/>
      </c>
      <c r="C468">
        <f>'1 datos preparados'!B461</f>
        <v/>
      </c>
      <c r="D468" s="7">
        <f>'1 datos preparados'!C461</f>
        <v/>
      </c>
      <c r="E468" s="7">
        <f>'1 datos preparados'!D461</f>
        <v/>
      </c>
      <c r="F468" s="7">
        <f>'1 datos preparados'!E461</f>
        <v/>
      </c>
      <c r="G468" s="7">
        <f>'1 datos preparados'!F461</f>
        <v/>
      </c>
      <c r="H468" s="7">
        <f>'1 datos preparados'!G461</f>
        <v/>
      </c>
      <c r="I468" s="7">
        <f>'1 datos preparados'!H461</f>
        <v/>
      </c>
      <c r="J468" s="7">
        <f>'1 datos preparados'!I461</f>
        <v/>
      </c>
      <c r="K468" s="7">
        <f>'1 datos preparados'!J461</f>
        <v/>
      </c>
      <c r="L468" s="7">
        <f>'1 datos preparados'!K461</f>
        <v/>
      </c>
      <c r="M468" s="7">
        <f>'1 datos preparados'!L461</f>
        <v/>
      </c>
      <c r="N468" s="7">
        <f>'1 datos preparados'!M461</f>
        <v/>
      </c>
      <c r="O468" s="7">
        <f>'1 datos preparados'!N461</f>
        <v/>
      </c>
      <c r="P468" s="7">
        <f>'1 datos preparados'!O461</f>
        <v/>
      </c>
      <c r="Q468" s="7">
        <f>'1 datos preparados'!P461</f>
        <v/>
      </c>
      <c r="R468" s="7">
        <f>'1 datos preparados'!Q461</f>
        <v/>
      </c>
      <c r="S468" s="7">
        <f>'1 datos preparados'!R461</f>
        <v/>
      </c>
      <c r="T468" s="7">
        <f>'1 datos preparados'!S461</f>
        <v/>
      </c>
      <c r="U468" s="7">
        <f>'1 datos preparados'!T461</f>
        <v/>
      </c>
      <c r="V468" s="8">
        <f>$AE$12+D468*$AE$13+E468*$AE$14+F468*$AE$15+G468*$AE$16+H468*$AE$17+I468*$AE$18+J468*$AE$19+K468*$AE$20+L468*$AE$21+M468*$AE$22+N468*$AE$23+O468*$AE$24+P468*$AE$25+Q468*$AE$26+R468*$AE$27+S468*$AE$28+T468*$AE$29+U468*$AE$30</f>
        <v/>
      </c>
      <c r="W468" s="8">
        <f>1/(1+EXP(-V468))</f>
        <v/>
      </c>
      <c r="X468" s="9">
        <f>-IF(C468=1,LN(W468),LN(1-W468))</f>
        <v/>
      </c>
      <c r="Y468" s="8">
        <f>IF(C468=1,$AE$32,$AE$33)</f>
        <v/>
      </c>
      <c r="Z468" s="9">
        <f>Y468*X468</f>
        <v/>
      </c>
      <c r="AA468" s="10">
        <f>IF(W468&gt;$AE$34,1,0)</f>
        <v/>
      </c>
      <c r="AB468">
        <f>IF(AA468=C468,1,0)</f>
        <v/>
      </c>
    </row>
    <row r="469">
      <c r="A469">
        <f>'1 datos preparados'!A462</f>
        <v/>
      </c>
      <c r="B469" s="5">
        <f>'1 datos preparados'!U462</f>
        <v/>
      </c>
      <c r="C469">
        <f>'1 datos preparados'!B462</f>
        <v/>
      </c>
      <c r="D469" s="7">
        <f>'1 datos preparados'!C462</f>
        <v/>
      </c>
      <c r="E469" s="7">
        <f>'1 datos preparados'!D462</f>
        <v/>
      </c>
      <c r="F469" s="7">
        <f>'1 datos preparados'!E462</f>
        <v/>
      </c>
      <c r="G469" s="7">
        <f>'1 datos preparados'!F462</f>
        <v/>
      </c>
      <c r="H469" s="7">
        <f>'1 datos preparados'!G462</f>
        <v/>
      </c>
      <c r="I469" s="7">
        <f>'1 datos preparados'!H462</f>
        <v/>
      </c>
      <c r="J469" s="7">
        <f>'1 datos preparados'!I462</f>
        <v/>
      </c>
      <c r="K469" s="7">
        <f>'1 datos preparados'!J462</f>
        <v/>
      </c>
      <c r="L469" s="7">
        <f>'1 datos preparados'!K462</f>
        <v/>
      </c>
      <c r="M469" s="7">
        <f>'1 datos preparados'!L462</f>
        <v/>
      </c>
      <c r="N469" s="7">
        <f>'1 datos preparados'!M462</f>
        <v/>
      </c>
      <c r="O469" s="7">
        <f>'1 datos preparados'!N462</f>
        <v/>
      </c>
      <c r="P469" s="7">
        <f>'1 datos preparados'!O462</f>
        <v/>
      </c>
      <c r="Q469" s="7">
        <f>'1 datos preparados'!P462</f>
        <v/>
      </c>
      <c r="R469" s="7">
        <f>'1 datos preparados'!Q462</f>
        <v/>
      </c>
      <c r="S469" s="7">
        <f>'1 datos preparados'!R462</f>
        <v/>
      </c>
      <c r="T469" s="7">
        <f>'1 datos preparados'!S462</f>
        <v/>
      </c>
      <c r="U469" s="7">
        <f>'1 datos preparados'!T462</f>
        <v/>
      </c>
      <c r="V469" s="8">
        <f>$AE$12+D469*$AE$13+E469*$AE$14+F469*$AE$15+G469*$AE$16+H469*$AE$17+I469*$AE$18+J469*$AE$19+K469*$AE$20+L469*$AE$21+M469*$AE$22+N469*$AE$23+O469*$AE$24+P469*$AE$25+Q469*$AE$26+R469*$AE$27+S469*$AE$28+T469*$AE$29+U469*$AE$30</f>
        <v/>
      </c>
      <c r="W469" s="8">
        <f>1/(1+EXP(-V469))</f>
        <v/>
      </c>
      <c r="X469" s="9">
        <f>-IF(C469=1,LN(W469),LN(1-W469))</f>
        <v/>
      </c>
      <c r="Y469" s="8">
        <f>IF(C469=1,$AE$32,$AE$33)</f>
        <v/>
      </c>
      <c r="Z469" s="9">
        <f>Y469*X469</f>
        <v/>
      </c>
      <c r="AA469" s="10">
        <f>IF(W469&gt;$AE$34,1,0)</f>
        <v/>
      </c>
      <c r="AB469">
        <f>IF(AA469=C469,1,0)</f>
        <v/>
      </c>
    </row>
    <row r="470">
      <c r="A470">
        <f>'1 datos preparados'!A463</f>
        <v/>
      </c>
      <c r="B470" s="5">
        <f>'1 datos preparados'!U463</f>
        <v/>
      </c>
      <c r="C470">
        <f>'1 datos preparados'!B463</f>
        <v/>
      </c>
      <c r="D470" s="7">
        <f>'1 datos preparados'!C463</f>
        <v/>
      </c>
      <c r="E470" s="7">
        <f>'1 datos preparados'!D463</f>
        <v/>
      </c>
      <c r="F470" s="7">
        <f>'1 datos preparados'!E463</f>
        <v/>
      </c>
      <c r="G470" s="7">
        <f>'1 datos preparados'!F463</f>
        <v/>
      </c>
      <c r="H470" s="7">
        <f>'1 datos preparados'!G463</f>
        <v/>
      </c>
      <c r="I470" s="7">
        <f>'1 datos preparados'!H463</f>
        <v/>
      </c>
      <c r="J470" s="7">
        <f>'1 datos preparados'!I463</f>
        <v/>
      </c>
      <c r="K470" s="7">
        <f>'1 datos preparados'!J463</f>
        <v/>
      </c>
      <c r="L470" s="7">
        <f>'1 datos preparados'!K463</f>
        <v/>
      </c>
      <c r="M470" s="7">
        <f>'1 datos preparados'!L463</f>
        <v/>
      </c>
      <c r="N470" s="7">
        <f>'1 datos preparados'!M463</f>
        <v/>
      </c>
      <c r="O470" s="7">
        <f>'1 datos preparados'!N463</f>
        <v/>
      </c>
      <c r="P470" s="7">
        <f>'1 datos preparados'!O463</f>
        <v/>
      </c>
      <c r="Q470" s="7">
        <f>'1 datos preparados'!P463</f>
        <v/>
      </c>
      <c r="R470" s="7">
        <f>'1 datos preparados'!Q463</f>
        <v/>
      </c>
      <c r="S470" s="7">
        <f>'1 datos preparados'!R463</f>
        <v/>
      </c>
      <c r="T470" s="7">
        <f>'1 datos preparados'!S463</f>
        <v/>
      </c>
      <c r="U470" s="7">
        <f>'1 datos preparados'!T463</f>
        <v/>
      </c>
      <c r="V470" s="8">
        <f>$AE$12+D470*$AE$13+E470*$AE$14+F470*$AE$15+G470*$AE$16+H470*$AE$17+I470*$AE$18+J470*$AE$19+K470*$AE$20+L470*$AE$21+M470*$AE$22+N470*$AE$23+O470*$AE$24+P470*$AE$25+Q470*$AE$26+R470*$AE$27+S470*$AE$28+T470*$AE$29+U470*$AE$30</f>
        <v/>
      </c>
      <c r="W470" s="8">
        <f>1/(1+EXP(-V470))</f>
        <v/>
      </c>
      <c r="X470" s="9">
        <f>-IF(C470=1,LN(W470),LN(1-W470))</f>
        <v/>
      </c>
      <c r="Y470" s="8">
        <f>IF(C470=1,$AE$32,$AE$33)</f>
        <v/>
      </c>
      <c r="Z470" s="9">
        <f>Y470*X470</f>
        <v/>
      </c>
      <c r="AA470" s="10">
        <f>IF(W470&gt;$AE$34,1,0)</f>
        <v/>
      </c>
      <c r="AB470">
        <f>IF(AA470=C470,1,0)</f>
        <v/>
      </c>
    </row>
    <row r="471">
      <c r="A471">
        <f>'1 datos preparados'!A464</f>
        <v/>
      </c>
      <c r="B471" s="5">
        <f>'1 datos preparados'!U464</f>
        <v/>
      </c>
      <c r="C471">
        <f>'1 datos preparados'!B464</f>
        <v/>
      </c>
      <c r="D471" s="7">
        <f>'1 datos preparados'!C464</f>
        <v/>
      </c>
      <c r="E471" s="7">
        <f>'1 datos preparados'!D464</f>
        <v/>
      </c>
      <c r="F471" s="7">
        <f>'1 datos preparados'!E464</f>
        <v/>
      </c>
      <c r="G471" s="7">
        <f>'1 datos preparados'!F464</f>
        <v/>
      </c>
      <c r="H471" s="7">
        <f>'1 datos preparados'!G464</f>
        <v/>
      </c>
      <c r="I471" s="7">
        <f>'1 datos preparados'!H464</f>
        <v/>
      </c>
      <c r="J471" s="7">
        <f>'1 datos preparados'!I464</f>
        <v/>
      </c>
      <c r="K471" s="7">
        <f>'1 datos preparados'!J464</f>
        <v/>
      </c>
      <c r="L471" s="7">
        <f>'1 datos preparados'!K464</f>
        <v/>
      </c>
      <c r="M471" s="7">
        <f>'1 datos preparados'!L464</f>
        <v/>
      </c>
      <c r="N471" s="7">
        <f>'1 datos preparados'!M464</f>
        <v/>
      </c>
      <c r="O471" s="7">
        <f>'1 datos preparados'!N464</f>
        <v/>
      </c>
      <c r="P471" s="7">
        <f>'1 datos preparados'!O464</f>
        <v/>
      </c>
      <c r="Q471" s="7">
        <f>'1 datos preparados'!P464</f>
        <v/>
      </c>
      <c r="R471" s="7">
        <f>'1 datos preparados'!Q464</f>
        <v/>
      </c>
      <c r="S471" s="7">
        <f>'1 datos preparados'!R464</f>
        <v/>
      </c>
      <c r="T471" s="7">
        <f>'1 datos preparados'!S464</f>
        <v/>
      </c>
      <c r="U471" s="7">
        <f>'1 datos preparados'!T464</f>
        <v/>
      </c>
      <c r="V471" s="8">
        <f>$AE$12+D471*$AE$13+E471*$AE$14+F471*$AE$15+G471*$AE$16+H471*$AE$17+I471*$AE$18+J471*$AE$19+K471*$AE$20+L471*$AE$21+M471*$AE$22+N471*$AE$23+O471*$AE$24+P471*$AE$25+Q471*$AE$26+R471*$AE$27+S471*$AE$28+T471*$AE$29+U471*$AE$30</f>
        <v/>
      </c>
      <c r="W471" s="8">
        <f>1/(1+EXP(-V471))</f>
        <v/>
      </c>
      <c r="X471" s="9">
        <f>-IF(C471=1,LN(W471),LN(1-W471))</f>
        <v/>
      </c>
      <c r="Y471" s="8">
        <f>IF(C471=1,$AE$32,$AE$33)</f>
        <v/>
      </c>
      <c r="Z471" s="9">
        <f>Y471*X471</f>
        <v/>
      </c>
      <c r="AA471" s="10">
        <f>IF(W471&gt;$AE$34,1,0)</f>
        <v/>
      </c>
      <c r="AB471">
        <f>IF(AA471=C471,1,0)</f>
        <v/>
      </c>
    </row>
    <row r="472">
      <c r="A472">
        <f>'1 datos preparados'!A465</f>
        <v/>
      </c>
      <c r="B472" s="5">
        <f>'1 datos preparados'!U465</f>
        <v/>
      </c>
      <c r="C472">
        <f>'1 datos preparados'!B465</f>
        <v/>
      </c>
      <c r="D472" s="7">
        <f>'1 datos preparados'!C465</f>
        <v/>
      </c>
      <c r="E472" s="7">
        <f>'1 datos preparados'!D465</f>
        <v/>
      </c>
      <c r="F472" s="7">
        <f>'1 datos preparados'!E465</f>
        <v/>
      </c>
      <c r="G472" s="7">
        <f>'1 datos preparados'!F465</f>
        <v/>
      </c>
      <c r="H472" s="7">
        <f>'1 datos preparados'!G465</f>
        <v/>
      </c>
      <c r="I472" s="7">
        <f>'1 datos preparados'!H465</f>
        <v/>
      </c>
      <c r="J472" s="7">
        <f>'1 datos preparados'!I465</f>
        <v/>
      </c>
      <c r="K472" s="7">
        <f>'1 datos preparados'!J465</f>
        <v/>
      </c>
      <c r="L472" s="7">
        <f>'1 datos preparados'!K465</f>
        <v/>
      </c>
      <c r="M472" s="7">
        <f>'1 datos preparados'!L465</f>
        <v/>
      </c>
      <c r="N472" s="7">
        <f>'1 datos preparados'!M465</f>
        <v/>
      </c>
      <c r="O472" s="7">
        <f>'1 datos preparados'!N465</f>
        <v/>
      </c>
      <c r="P472" s="7">
        <f>'1 datos preparados'!O465</f>
        <v/>
      </c>
      <c r="Q472" s="7">
        <f>'1 datos preparados'!P465</f>
        <v/>
      </c>
      <c r="R472" s="7">
        <f>'1 datos preparados'!Q465</f>
        <v/>
      </c>
      <c r="S472" s="7">
        <f>'1 datos preparados'!R465</f>
        <v/>
      </c>
      <c r="T472" s="7">
        <f>'1 datos preparados'!S465</f>
        <v/>
      </c>
      <c r="U472" s="7">
        <f>'1 datos preparados'!T465</f>
        <v/>
      </c>
      <c r="V472" s="8">
        <f>$AE$12+D472*$AE$13+E472*$AE$14+F472*$AE$15+G472*$AE$16+H472*$AE$17+I472*$AE$18+J472*$AE$19+K472*$AE$20+L472*$AE$21+M472*$AE$22+N472*$AE$23+O472*$AE$24+P472*$AE$25+Q472*$AE$26+R472*$AE$27+S472*$AE$28+T472*$AE$29+U472*$AE$30</f>
        <v/>
      </c>
      <c r="W472" s="8">
        <f>1/(1+EXP(-V472))</f>
        <v/>
      </c>
      <c r="X472" s="9">
        <f>-IF(C472=1,LN(W472),LN(1-W472))</f>
        <v/>
      </c>
      <c r="Y472" s="8">
        <f>IF(C472=1,$AE$32,$AE$33)</f>
        <v/>
      </c>
      <c r="Z472" s="9">
        <f>Y472*X472</f>
        <v/>
      </c>
      <c r="AA472" s="10">
        <f>IF(W472&gt;$AE$34,1,0)</f>
        <v/>
      </c>
      <c r="AB472">
        <f>IF(AA472=C472,1,0)</f>
        <v/>
      </c>
    </row>
    <row r="473">
      <c r="A473">
        <f>'1 datos preparados'!A466</f>
        <v/>
      </c>
      <c r="B473" s="5">
        <f>'1 datos preparados'!U466</f>
        <v/>
      </c>
      <c r="C473">
        <f>'1 datos preparados'!B466</f>
        <v/>
      </c>
      <c r="D473" s="7">
        <f>'1 datos preparados'!C466</f>
        <v/>
      </c>
      <c r="E473" s="7">
        <f>'1 datos preparados'!D466</f>
        <v/>
      </c>
      <c r="F473" s="7">
        <f>'1 datos preparados'!E466</f>
        <v/>
      </c>
      <c r="G473" s="7">
        <f>'1 datos preparados'!F466</f>
        <v/>
      </c>
      <c r="H473" s="7">
        <f>'1 datos preparados'!G466</f>
        <v/>
      </c>
      <c r="I473" s="7">
        <f>'1 datos preparados'!H466</f>
        <v/>
      </c>
      <c r="J473" s="7">
        <f>'1 datos preparados'!I466</f>
        <v/>
      </c>
      <c r="K473" s="7">
        <f>'1 datos preparados'!J466</f>
        <v/>
      </c>
      <c r="L473" s="7">
        <f>'1 datos preparados'!K466</f>
        <v/>
      </c>
      <c r="M473" s="7">
        <f>'1 datos preparados'!L466</f>
        <v/>
      </c>
      <c r="N473" s="7">
        <f>'1 datos preparados'!M466</f>
        <v/>
      </c>
      <c r="O473" s="7">
        <f>'1 datos preparados'!N466</f>
        <v/>
      </c>
      <c r="P473" s="7">
        <f>'1 datos preparados'!O466</f>
        <v/>
      </c>
      <c r="Q473" s="7">
        <f>'1 datos preparados'!P466</f>
        <v/>
      </c>
      <c r="R473" s="7">
        <f>'1 datos preparados'!Q466</f>
        <v/>
      </c>
      <c r="S473" s="7">
        <f>'1 datos preparados'!R466</f>
        <v/>
      </c>
      <c r="T473" s="7">
        <f>'1 datos preparados'!S466</f>
        <v/>
      </c>
      <c r="U473" s="7">
        <f>'1 datos preparados'!T466</f>
        <v/>
      </c>
      <c r="V473" s="8">
        <f>$AE$12+D473*$AE$13+E473*$AE$14+F473*$AE$15+G473*$AE$16+H473*$AE$17+I473*$AE$18+J473*$AE$19+K473*$AE$20+L473*$AE$21+M473*$AE$22+N473*$AE$23+O473*$AE$24+P473*$AE$25+Q473*$AE$26+R473*$AE$27+S473*$AE$28+T473*$AE$29+U473*$AE$30</f>
        <v/>
      </c>
      <c r="W473" s="8">
        <f>1/(1+EXP(-V473))</f>
        <v/>
      </c>
      <c r="X473" s="9">
        <f>-IF(C473=1,LN(W473),LN(1-W473))</f>
        <v/>
      </c>
      <c r="Y473" s="8">
        <f>IF(C473=1,$AE$32,$AE$33)</f>
        <v/>
      </c>
      <c r="Z473" s="9">
        <f>Y473*X473</f>
        <v/>
      </c>
      <c r="AA473" s="10">
        <f>IF(W473&gt;$AE$34,1,0)</f>
        <v/>
      </c>
      <c r="AB473">
        <f>IF(AA473=C473,1,0)</f>
        <v/>
      </c>
    </row>
    <row r="474">
      <c r="A474">
        <f>'1 datos preparados'!A467</f>
        <v/>
      </c>
      <c r="B474" s="5">
        <f>'1 datos preparados'!U467</f>
        <v/>
      </c>
      <c r="C474">
        <f>'1 datos preparados'!B467</f>
        <v/>
      </c>
      <c r="D474" s="7">
        <f>'1 datos preparados'!C467</f>
        <v/>
      </c>
      <c r="E474" s="7">
        <f>'1 datos preparados'!D467</f>
        <v/>
      </c>
      <c r="F474" s="7">
        <f>'1 datos preparados'!E467</f>
        <v/>
      </c>
      <c r="G474" s="7">
        <f>'1 datos preparados'!F467</f>
        <v/>
      </c>
      <c r="H474" s="7">
        <f>'1 datos preparados'!G467</f>
        <v/>
      </c>
      <c r="I474" s="7">
        <f>'1 datos preparados'!H467</f>
        <v/>
      </c>
      <c r="J474" s="7">
        <f>'1 datos preparados'!I467</f>
        <v/>
      </c>
      <c r="K474" s="7">
        <f>'1 datos preparados'!J467</f>
        <v/>
      </c>
      <c r="L474" s="7">
        <f>'1 datos preparados'!K467</f>
        <v/>
      </c>
      <c r="M474" s="7">
        <f>'1 datos preparados'!L467</f>
        <v/>
      </c>
      <c r="N474" s="7">
        <f>'1 datos preparados'!M467</f>
        <v/>
      </c>
      <c r="O474" s="7">
        <f>'1 datos preparados'!N467</f>
        <v/>
      </c>
      <c r="P474" s="7">
        <f>'1 datos preparados'!O467</f>
        <v/>
      </c>
      <c r="Q474" s="7">
        <f>'1 datos preparados'!P467</f>
        <v/>
      </c>
      <c r="R474" s="7">
        <f>'1 datos preparados'!Q467</f>
        <v/>
      </c>
      <c r="S474" s="7">
        <f>'1 datos preparados'!R467</f>
        <v/>
      </c>
      <c r="T474" s="7">
        <f>'1 datos preparados'!S467</f>
        <v/>
      </c>
      <c r="U474" s="7">
        <f>'1 datos preparados'!T467</f>
        <v/>
      </c>
      <c r="V474" s="8">
        <f>$AE$12+D474*$AE$13+E474*$AE$14+F474*$AE$15+G474*$AE$16+H474*$AE$17+I474*$AE$18+J474*$AE$19+K474*$AE$20+L474*$AE$21+M474*$AE$22+N474*$AE$23+O474*$AE$24+P474*$AE$25+Q474*$AE$26+R474*$AE$27+S474*$AE$28+T474*$AE$29+U474*$AE$30</f>
        <v/>
      </c>
      <c r="W474" s="8">
        <f>1/(1+EXP(-V474))</f>
        <v/>
      </c>
      <c r="X474" s="9">
        <f>-IF(C474=1,LN(W474),LN(1-W474))</f>
        <v/>
      </c>
      <c r="Y474" s="8">
        <f>IF(C474=1,$AE$32,$AE$33)</f>
        <v/>
      </c>
      <c r="Z474" s="9">
        <f>Y474*X474</f>
        <v/>
      </c>
      <c r="AA474" s="10">
        <f>IF(W474&gt;$AE$34,1,0)</f>
        <v/>
      </c>
      <c r="AB474">
        <f>IF(AA474=C474,1,0)</f>
        <v/>
      </c>
    </row>
    <row r="475">
      <c r="A475">
        <f>'1 datos preparados'!A468</f>
        <v/>
      </c>
      <c r="B475" s="5">
        <f>'1 datos preparados'!U468</f>
        <v/>
      </c>
      <c r="C475">
        <f>'1 datos preparados'!B468</f>
        <v/>
      </c>
      <c r="D475" s="7">
        <f>'1 datos preparados'!C468</f>
        <v/>
      </c>
      <c r="E475" s="7">
        <f>'1 datos preparados'!D468</f>
        <v/>
      </c>
      <c r="F475" s="7">
        <f>'1 datos preparados'!E468</f>
        <v/>
      </c>
      <c r="G475" s="7">
        <f>'1 datos preparados'!F468</f>
        <v/>
      </c>
      <c r="H475" s="7">
        <f>'1 datos preparados'!G468</f>
        <v/>
      </c>
      <c r="I475" s="7">
        <f>'1 datos preparados'!H468</f>
        <v/>
      </c>
      <c r="J475" s="7">
        <f>'1 datos preparados'!I468</f>
        <v/>
      </c>
      <c r="K475" s="7">
        <f>'1 datos preparados'!J468</f>
        <v/>
      </c>
      <c r="L475" s="7">
        <f>'1 datos preparados'!K468</f>
        <v/>
      </c>
      <c r="M475" s="7">
        <f>'1 datos preparados'!L468</f>
        <v/>
      </c>
      <c r="N475" s="7">
        <f>'1 datos preparados'!M468</f>
        <v/>
      </c>
      <c r="O475" s="7">
        <f>'1 datos preparados'!N468</f>
        <v/>
      </c>
      <c r="P475" s="7">
        <f>'1 datos preparados'!O468</f>
        <v/>
      </c>
      <c r="Q475" s="7">
        <f>'1 datos preparados'!P468</f>
        <v/>
      </c>
      <c r="R475" s="7">
        <f>'1 datos preparados'!Q468</f>
        <v/>
      </c>
      <c r="S475" s="7">
        <f>'1 datos preparados'!R468</f>
        <v/>
      </c>
      <c r="T475" s="7">
        <f>'1 datos preparados'!S468</f>
        <v/>
      </c>
      <c r="U475" s="7">
        <f>'1 datos preparados'!T468</f>
        <v/>
      </c>
      <c r="V475" s="8">
        <f>$AE$12+D475*$AE$13+E475*$AE$14+F475*$AE$15+G475*$AE$16+H475*$AE$17+I475*$AE$18+J475*$AE$19+K475*$AE$20+L475*$AE$21+M475*$AE$22+N475*$AE$23+O475*$AE$24+P475*$AE$25+Q475*$AE$26+R475*$AE$27+S475*$AE$28+T475*$AE$29+U475*$AE$30</f>
        <v/>
      </c>
      <c r="W475" s="8">
        <f>1/(1+EXP(-V475))</f>
        <v/>
      </c>
      <c r="X475" s="9">
        <f>-IF(C475=1,LN(W475),LN(1-W475))</f>
        <v/>
      </c>
      <c r="Y475" s="8">
        <f>IF(C475=1,$AE$32,$AE$33)</f>
        <v/>
      </c>
      <c r="Z475" s="9">
        <f>Y475*X475</f>
        <v/>
      </c>
      <c r="AA475" s="10">
        <f>IF(W475&gt;$AE$34,1,0)</f>
        <v/>
      </c>
      <c r="AB475">
        <f>IF(AA475=C475,1,0)</f>
        <v/>
      </c>
    </row>
    <row r="476">
      <c r="A476">
        <f>'1 datos preparados'!A469</f>
        <v/>
      </c>
      <c r="B476" s="5">
        <f>'1 datos preparados'!U469</f>
        <v/>
      </c>
      <c r="C476">
        <f>'1 datos preparados'!B469</f>
        <v/>
      </c>
      <c r="D476" s="7">
        <f>'1 datos preparados'!C469</f>
        <v/>
      </c>
      <c r="E476" s="7">
        <f>'1 datos preparados'!D469</f>
        <v/>
      </c>
      <c r="F476" s="7">
        <f>'1 datos preparados'!E469</f>
        <v/>
      </c>
      <c r="G476" s="7">
        <f>'1 datos preparados'!F469</f>
        <v/>
      </c>
      <c r="H476" s="7">
        <f>'1 datos preparados'!G469</f>
        <v/>
      </c>
      <c r="I476" s="7">
        <f>'1 datos preparados'!H469</f>
        <v/>
      </c>
      <c r="J476" s="7">
        <f>'1 datos preparados'!I469</f>
        <v/>
      </c>
      <c r="K476" s="7">
        <f>'1 datos preparados'!J469</f>
        <v/>
      </c>
      <c r="L476" s="7">
        <f>'1 datos preparados'!K469</f>
        <v/>
      </c>
      <c r="M476" s="7">
        <f>'1 datos preparados'!L469</f>
        <v/>
      </c>
      <c r="N476" s="7">
        <f>'1 datos preparados'!M469</f>
        <v/>
      </c>
      <c r="O476" s="7">
        <f>'1 datos preparados'!N469</f>
        <v/>
      </c>
      <c r="P476" s="7">
        <f>'1 datos preparados'!O469</f>
        <v/>
      </c>
      <c r="Q476" s="7">
        <f>'1 datos preparados'!P469</f>
        <v/>
      </c>
      <c r="R476" s="7">
        <f>'1 datos preparados'!Q469</f>
        <v/>
      </c>
      <c r="S476" s="7">
        <f>'1 datos preparados'!R469</f>
        <v/>
      </c>
      <c r="T476" s="7">
        <f>'1 datos preparados'!S469</f>
        <v/>
      </c>
      <c r="U476" s="7">
        <f>'1 datos preparados'!T469</f>
        <v/>
      </c>
      <c r="V476" s="8">
        <f>$AE$12+D476*$AE$13+E476*$AE$14+F476*$AE$15+G476*$AE$16+H476*$AE$17+I476*$AE$18+J476*$AE$19+K476*$AE$20+L476*$AE$21+M476*$AE$22+N476*$AE$23+O476*$AE$24+P476*$AE$25+Q476*$AE$26+R476*$AE$27+S476*$AE$28+T476*$AE$29+U476*$AE$30</f>
        <v/>
      </c>
      <c r="W476" s="8">
        <f>1/(1+EXP(-V476))</f>
        <v/>
      </c>
      <c r="X476" s="9">
        <f>-IF(C476=1,LN(W476),LN(1-W476))</f>
        <v/>
      </c>
      <c r="Y476" s="8">
        <f>IF(C476=1,$AE$32,$AE$33)</f>
        <v/>
      </c>
      <c r="Z476" s="9">
        <f>Y476*X476</f>
        <v/>
      </c>
      <c r="AA476" s="10">
        <f>IF(W476&gt;$AE$34,1,0)</f>
        <v/>
      </c>
      <c r="AB476">
        <f>IF(AA476=C476,1,0)</f>
        <v/>
      </c>
    </row>
    <row r="477">
      <c r="A477">
        <f>'1 datos preparados'!A470</f>
        <v/>
      </c>
      <c r="B477" s="5">
        <f>'1 datos preparados'!U470</f>
        <v/>
      </c>
      <c r="C477">
        <f>'1 datos preparados'!B470</f>
        <v/>
      </c>
      <c r="D477" s="7">
        <f>'1 datos preparados'!C470</f>
        <v/>
      </c>
      <c r="E477" s="7">
        <f>'1 datos preparados'!D470</f>
        <v/>
      </c>
      <c r="F477" s="7">
        <f>'1 datos preparados'!E470</f>
        <v/>
      </c>
      <c r="G477" s="7">
        <f>'1 datos preparados'!F470</f>
        <v/>
      </c>
      <c r="H477" s="7">
        <f>'1 datos preparados'!G470</f>
        <v/>
      </c>
      <c r="I477" s="7">
        <f>'1 datos preparados'!H470</f>
        <v/>
      </c>
      <c r="J477" s="7">
        <f>'1 datos preparados'!I470</f>
        <v/>
      </c>
      <c r="K477" s="7">
        <f>'1 datos preparados'!J470</f>
        <v/>
      </c>
      <c r="L477" s="7">
        <f>'1 datos preparados'!K470</f>
        <v/>
      </c>
      <c r="M477" s="7">
        <f>'1 datos preparados'!L470</f>
        <v/>
      </c>
      <c r="N477" s="7">
        <f>'1 datos preparados'!M470</f>
        <v/>
      </c>
      <c r="O477" s="7">
        <f>'1 datos preparados'!N470</f>
        <v/>
      </c>
      <c r="P477" s="7">
        <f>'1 datos preparados'!O470</f>
        <v/>
      </c>
      <c r="Q477" s="7">
        <f>'1 datos preparados'!P470</f>
        <v/>
      </c>
      <c r="R477" s="7">
        <f>'1 datos preparados'!Q470</f>
        <v/>
      </c>
      <c r="S477" s="7">
        <f>'1 datos preparados'!R470</f>
        <v/>
      </c>
      <c r="T477" s="7">
        <f>'1 datos preparados'!S470</f>
        <v/>
      </c>
      <c r="U477" s="7">
        <f>'1 datos preparados'!T470</f>
        <v/>
      </c>
      <c r="V477" s="8">
        <f>$AE$12+D477*$AE$13+E477*$AE$14+F477*$AE$15+G477*$AE$16+H477*$AE$17+I477*$AE$18+J477*$AE$19+K477*$AE$20+L477*$AE$21+M477*$AE$22+N477*$AE$23+O477*$AE$24+P477*$AE$25+Q477*$AE$26+R477*$AE$27+S477*$AE$28+T477*$AE$29+U477*$AE$30</f>
        <v/>
      </c>
      <c r="W477" s="8">
        <f>1/(1+EXP(-V477))</f>
        <v/>
      </c>
      <c r="X477" s="9">
        <f>-IF(C477=1,LN(W477),LN(1-W477))</f>
        <v/>
      </c>
      <c r="Y477" s="8">
        <f>IF(C477=1,$AE$32,$AE$33)</f>
        <v/>
      </c>
      <c r="Z477" s="9">
        <f>Y477*X477</f>
        <v/>
      </c>
      <c r="AA477" s="10">
        <f>IF(W477&gt;$AE$34,1,0)</f>
        <v/>
      </c>
      <c r="AB477">
        <f>IF(AA477=C477,1,0)</f>
        <v/>
      </c>
    </row>
    <row r="478">
      <c r="A478">
        <f>'1 datos preparados'!A471</f>
        <v/>
      </c>
      <c r="B478" s="5">
        <f>'1 datos preparados'!U471</f>
        <v/>
      </c>
      <c r="C478">
        <f>'1 datos preparados'!B471</f>
        <v/>
      </c>
      <c r="D478" s="7">
        <f>'1 datos preparados'!C471</f>
        <v/>
      </c>
      <c r="E478" s="7">
        <f>'1 datos preparados'!D471</f>
        <v/>
      </c>
      <c r="F478" s="7">
        <f>'1 datos preparados'!E471</f>
        <v/>
      </c>
      <c r="G478" s="7">
        <f>'1 datos preparados'!F471</f>
        <v/>
      </c>
      <c r="H478" s="7">
        <f>'1 datos preparados'!G471</f>
        <v/>
      </c>
      <c r="I478" s="7">
        <f>'1 datos preparados'!H471</f>
        <v/>
      </c>
      <c r="J478" s="7">
        <f>'1 datos preparados'!I471</f>
        <v/>
      </c>
      <c r="K478" s="7">
        <f>'1 datos preparados'!J471</f>
        <v/>
      </c>
      <c r="L478" s="7">
        <f>'1 datos preparados'!K471</f>
        <v/>
      </c>
      <c r="M478" s="7">
        <f>'1 datos preparados'!L471</f>
        <v/>
      </c>
      <c r="N478" s="7">
        <f>'1 datos preparados'!M471</f>
        <v/>
      </c>
      <c r="O478" s="7">
        <f>'1 datos preparados'!N471</f>
        <v/>
      </c>
      <c r="P478" s="7">
        <f>'1 datos preparados'!O471</f>
        <v/>
      </c>
      <c r="Q478" s="7">
        <f>'1 datos preparados'!P471</f>
        <v/>
      </c>
      <c r="R478" s="7">
        <f>'1 datos preparados'!Q471</f>
        <v/>
      </c>
      <c r="S478" s="7">
        <f>'1 datos preparados'!R471</f>
        <v/>
      </c>
      <c r="T478" s="7">
        <f>'1 datos preparados'!S471</f>
        <v/>
      </c>
      <c r="U478" s="7">
        <f>'1 datos preparados'!T471</f>
        <v/>
      </c>
      <c r="V478" s="8">
        <f>$AE$12+D478*$AE$13+E478*$AE$14+F478*$AE$15+G478*$AE$16+H478*$AE$17+I478*$AE$18+J478*$AE$19+K478*$AE$20+L478*$AE$21+M478*$AE$22+N478*$AE$23+O478*$AE$24+P478*$AE$25+Q478*$AE$26+R478*$AE$27+S478*$AE$28+T478*$AE$29+U478*$AE$30</f>
        <v/>
      </c>
      <c r="W478" s="8">
        <f>1/(1+EXP(-V478))</f>
        <v/>
      </c>
      <c r="X478" s="9">
        <f>-IF(C478=1,LN(W478),LN(1-W478))</f>
        <v/>
      </c>
      <c r="Y478" s="8">
        <f>IF(C478=1,$AE$32,$AE$33)</f>
        <v/>
      </c>
      <c r="Z478" s="9">
        <f>Y478*X478</f>
        <v/>
      </c>
      <c r="AA478" s="10">
        <f>IF(W478&gt;$AE$34,1,0)</f>
        <v/>
      </c>
      <c r="AB478">
        <f>IF(AA478=C478,1,0)</f>
        <v/>
      </c>
    </row>
    <row r="479">
      <c r="A479">
        <f>'1 datos preparados'!A472</f>
        <v/>
      </c>
      <c r="B479" s="5">
        <f>'1 datos preparados'!U472</f>
        <v/>
      </c>
      <c r="C479">
        <f>'1 datos preparados'!B472</f>
        <v/>
      </c>
      <c r="D479" s="7">
        <f>'1 datos preparados'!C472</f>
        <v/>
      </c>
      <c r="E479" s="7">
        <f>'1 datos preparados'!D472</f>
        <v/>
      </c>
      <c r="F479" s="7">
        <f>'1 datos preparados'!E472</f>
        <v/>
      </c>
      <c r="G479" s="7">
        <f>'1 datos preparados'!F472</f>
        <v/>
      </c>
      <c r="H479" s="7">
        <f>'1 datos preparados'!G472</f>
        <v/>
      </c>
      <c r="I479" s="7">
        <f>'1 datos preparados'!H472</f>
        <v/>
      </c>
      <c r="J479" s="7">
        <f>'1 datos preparados'!I472</f>
        <v/>
      </c>
      <c r="K479" s="7">
        <f>'1 datos preparados'!J472</f>
        <v/>
      </c>
      <c r="L479" s="7">
        <f>'1 datos preparados'!K472</f>
        <v/>
      </c>
      <c r="M479" s="7">
        <f>'1 datos preparados'!L472</f>
        <v/>
      </c>
      <c r="N479" s="7">
        <f>'1 datos preparados'!M472</f>
        <v/>
      </c>
      <c r="O479" s="7">
        <f>'1 datos preparados'!N472</f>
        <v/>
      </c>
      <c r="P479" s="7">
        <f>'1 datos preparados'!O472</f>
        <v/>
      </c>
      <c r="Q479" s="7">
        <f>'1 datos preparados'!P472</f>
        <v/>
      </c>
      <c r="R479" s="7">
        <f>'1 datos preparados'!Q472</f>
        <v/>
      </c>
      <c r="S479" s="7">
        <f>'1 datos preparados'!R472</f>
        <v/>
      </c>
      <c r="T479" s="7">
        <f>'1 datos preparados'!S472</f>
        <v/>
      </c>
      <c r="U479" s="7">
        <f>'1 datos preparados'!T472</f>
        <v/>
      </c>
      <c r="V479" s="8">
        <f>$AE$12+D479*$AE$13+E479*$AE$14+F479*$AE$15+G479*$AE$16+H479*$AE$17+I479*$AE$18+J479*$AE$19+K479*$AE$20+L479*$AE$21+M479*$AE$22+N479*$AE$23+O479*$AE$24+P479*$AE$25+Q479*$AE$26+R479*$AE$27+S479*$AE$28+T479*$AE$29+U479*$AE$30</f>
        <v/>
      </c>
      <c r="W479" s="8">
        <f>1/(1+EXP(-V479))</f>
        <v/>
      </c>
      <c r="X479" s="9">
        <f>-IF(C479=1,LN(W479),LN(1-W479))</f>
        <v/>
      </c>
      <c r="Y479" s="8">
        <f>IF(C479=1,$AE$32,$AE$33)</f>
        <v/>
      </c>
      <c r="Z479" s="9">
        <f>Y479*X479</f>
        <v/>
      </c>
      <c r="AA479" s="10">
        <f>IF(W479&gt;$AE$34,1,0)</f>
        <v/>
      </c>
      <c r="AB479">
        <f>IF(AA479=C479,1,0)</f>
        <v/>
      </c>
    </row>
    <row r="480">
      <c r="A480">
        <f>'1 datos preparados'!A473</f>
        <v/>
      </c>
      <c r="B480" s="5">
        <f>'1 datos preparados'!U473</f>
        <v/>
      </c>
      <c r="C480">
        <f>'1 datos preparados'!B473</f>
        <v/>
      </c>
      <c r="D480" s="7">
        <f>'1 datos preparados'!C473</f>
        <v/>
      </c>
      <c r="E480" s="7">
        <f>'1 datos preparados'!D473</f>
        <v/>
      </c>
      <c r="F480" s="7">
        <f>'1 datos preparados'!E473</f>
        <v/>
      </c>
      <c r="G480" s="7">
        <f>'1 datos preparados'!F473</f>
        <v/>
      </c>
      <c r="H480" s="7">
        <f>'1 datos preparados'!G473</f>
        <v/>
      </c>
      <c r="I480" s="7">
        <f>'1 datos preparados'!H473</f>
        <v/>
      </c>
      <c r="J480" s="7">
        <f>'1 datos preparados'!I473</f>
        <v/>
      </c>
      <c r="K480" s="7">
        <f>'1 datos preparados'!J473</f>
        <v/>
      </c>
      <c r="L480" s="7">
        <f>'1 datos preparados'!K473</f>
        <v/>
      </c>
      <c r="M480" s="7">
        <f>'1 datos preparados'!L473</f>
        <v/>
      </c>
      <c r="N480" s="7">
        <f>'1 datos preparados'!M473</f>
        <v/>
      </c>
      <c r="O480" s="7">
        <f>'1 datos preparados'!N473</f>
        <v/>
      </c>
      <c r="P480" s="7">
        <f>'1 datos preparados'!O473</f>
        <v/>
      </c>
      <c r="Q480" s="7">
        <f>'1 datos preparados'!P473</f>
        <v/>
      </c>
      <c r="R480" s="7">
        <f>'1 datos preparados'!Q473</f>
        <v/>
      </c>
      <c r="S480" s="7">
        <f>'1 datos preparados'!R473</f>
        <v/>
      </c>
      <c r="T480" s="7">
        <f>'1 datos preparados'!S473</f>
        <v/>
      </c>
      <c r="U480" s="7">
        <f>'1 datos preparados'!T473</f>
        <v/>
      </c>
      <c r="V480" s="8">
        <f>$AE$12+D480*$AE$13+E480*$AE$14+F480*$AE$15+G480*$AE$16+H480*$AE$17+I480*$AE$18+J480*$AE$19+K480*$AE$20+L480*$AE$21+M480*$AE$22+N480*$AE$23+O480*$AE$24+P480*$AE$25+Q480*$AE$26+R480*$AE$27+S480*$AE$28+T480*$AE$29+U480*$AE$30</f>
        <v/>
      </c>
      <c r="W480" s="8">
        <f>1/(1+EXP(-V480))</f>
        <v/>
      </c>
      <c r="X480" s="9">
        <f>-IF(C480=1,LN(W480),LN(1-W480))</f>
        <v/>
      </c>
      <c r="Y480" s="8">
        <f>IF(C480=1,$AE$32,$AE$33)</f>
        <v/>
      </c>
      <c r="Z480" s="9">
        <f>Y480*X480</f>
        <v/>
      </c>
      <c r="AA480" s="10">
        <f>IF(W480&gt;$AE$34,1,0)</f>
        <v/>
      </c>
      <c r="AB480">
        <f>IF(AA480=C480,1,0)</f>
        <v/>
      </c>
    </row>
    <row r="481">
      <c r="A481">
        <f>'1 datos preparados'!A474</f>
        <v/>
      </c>
      <c r="B481" s="5">
        <f>'1 datos preparados'!U474</f>
        <v/>
      </c>
      <c r="C481">
        <f>'1 datos preparados'!B474</f>
        <v/>
      </c>
      <c r="D481" s="7">
        <f>'1 datos preparados'!C474</f>
        <v/>
      </c>
      <c r="E481" s="7">
        <f>'1 datos preparados'!D474</f>
        <v/>
      </c>
      <c r="F481" s="7">
        <f>'1 datos preparados'!E474</f>
        <v/>
      </c>
      <c r="G481" s="7">
        <f>'1 datos preparados'!F474</f>
        <v/>
      </c>
      <c r="H481" s="7">
        <f>'1 datos preparados'!G474</f>
        <v/>
      </c>
      <c r="I481" s="7">
        <f>'1 datos preparados'!H474</f>
        <v/>
      </c>
      <c r="J481" s="7">
        <f>'1 datos preparados'!I474</f>
        <v/>
      </c>
      <c r="K481" s="7">
        <f>'1 datos preparados'!J474</f>
        <v/>
      </c>
      <c r="L481" s="7">
        <f>'1 datos preparados'!K474</f>
        <v/>
      </c>
      <c r="M481" s="7">
        <f>'1 datos preparados'!L474</f>
        <v/>
      </c>
      <c r="N481" s="7">
        <f>'1 datos preparados'!M474</f>
        <v/>
      </c>
      <c r="O481" s="7">
        <f>'1 datos preparados'!N474</f>
        <v/>
      </c>
      <c r="P481" s="7">
        <f>'1 datos preparados'!O474</f>
        <v/>
      </c>
      <c r="Q481" s="7">
        <f>'1 datos preparados'!P474</f>
        <v/>
      </c>
      <c r="R481" s="7">
        <f>'1 datos preparados'!Q474</f>
        <v/>
      </c>
      <c r="S481" s="7">
        <f>'1 datos preparados'!R474</f>
        <v/>
      </c>
      <c r="T481" s="7">
        <f>'1 datos preparados'!S474</f>
        <v/>
      </c>
      <c r="U481" s="7">
        <f>'1 datos preparados'!T474</f>
        <v/>
      </c>
      <c r="V481" s="8">
        <f>$AE$12+D481*$AE$13+E481*$AE$14+F481*$AE$15+G481*$AE$16+H481*$AE$17+I481*$AE$18+J481*$AE$19+K481*$AE$20+L481*$AE$21+M481*$AE$22+N481*$AE$23+O481*$AE$24+P481*$AE$25+Q481*$AE$26+R481*$AE$27+S481*$AE$28+T481*$AE$29+U481*$AE$30</f>
        <v/>
      </c>
      <c r="W481" s="8">
        <f>1/(1+EXP(-V481))</f>
        <v/>
      </c>
      <c r="X481" s="9">
        <f>-IF(C481=1,LN(W481),LN(1-W481))</f>
        <v/>
      </c>
      <c r="Y481" s="8">
        <f>IF(C481=1,$AE$32,$AE$33)</f>
        <v/>
      </c>
      <c r="Z481" s="9">
        <f>Y481*X481</f>
        <v/>
      </c>
      <c r="AA481" s="10">
        <f>IF(W481&gt;$AE$34,1,0)</f>
        <v/>
      </c>
      <c r="AB481">
        <f>IF(AA481=C481,1,0)</f>
        <v/>
      </c>
    </row>
    <row r="482">
      <c r="A482">
        <f>'1 datos preparados'!A475</f>
        <v/>
      </c>
      <c r="B482" s="5">
        <f>'1 datos preparados'!U475</f>
        <v/>
      </c>
      <c r="C482">
        <f>'1 datos preparados'!B475</f>
        <v/>
      </c>
      <c r="D482" s="7">
        <f>'1 datos preparados'!C475</f>
        <v/>
      </c>
      <c r="E482" s="7">
        <f>'1 datos preparados'!D475</f>
        <v/>
      </c>
      <c r="F482" s="7">
        <f>'1 datos preparados'!E475</f>
        <v/>
      </c>
      <c r="G482" s="7">
        <f>'1 datos preparados'!F475</f>
        <v/>
      </c>
      <c r="H482" s="7">
        <f>'1 datos preparados'!G475</f>
        <v/>
      </c>
      <c r="I482" s="7">
        <f>'1 datos preparados'!H475</f>
        <v/>
      </c>
      <c r="J482" s="7">
        <f>'1 datos preparados'!I475</f>
        <v/>
      </c>
      <c r="K482" s="7">
        <f>'1 datos preparados'!J475</f>
        <v/>
      </c>
      <c r="L482" s="7">
        <f>'1 datos preparados'!K475</f>
        <v/>
      </c>
      <c r="M482" s="7">
        <f>'1 datos preparados'!L475</f>
        <v/>
      </c>
      <c r="N482" s="7">
        <f>'1 datos preparados'!M475</f>
        <v/>
      </c>
      <c r="O482" s="7">
        <f>'1 datos preparados'!N475</f>
        <v/>
      </c>
      <c r="P482" s="7">
        <f>'1 datos preparados'!O475</f>
        <v/>
      </c>
      <c r="Q482" s="7">
        <f>'1 datos preparados'!P475</f>
        <v/>
      </c>
      <c r="R482" s="7">
        <f>'1 datos preparados'!Q475</f>
        <v/>
      </c>
      <c r="S482" s="7">
        <f>'1 datos preparados'!R475</f>
        <v/>
      </c>
      <c r="T482" s="7">
        <f>'1 datos preparados'!S475</f>
        <v/>
      </c>
      <c r="U482" s="7">
        <f>'1 datos preparados'!T475</f>
        <v/>
      </c>
      <c r="V482" s="8">
        <f>$AE$12+D482*$AE$13+E482*$AE$14+F482*$AE$15+G482*$AE$16+H482*$AE$17+I482*$AE$18+J482*$AE$19+K482*$AE$20+L482*$AE$21+M482*$AE$22+N482*$AE$23+O482*$AE$24+P482*$AE$25+Q482*$AE$26+R482*$AE$27+S482*$AE$28+T482*$AE$29+U482*$AE$30</f>
        <v/>
      </c>
      <c r="W482" s="8">
        <f>1/(1+EXP(-V482))</f>
        <v/>
      </c>
      <c r="X482" s="9">
        <f>-IF(C482=1,LN(W482),LN(1-W482))</f>
        <v/>
      </c>
      <c r="Y482" s="8">
        <f>IF(C482=1,$AE$32,$AE$33)</f>
        <v/>
      </c>
      <c r="Z482" s="9">
        <f>Y482*X482</f>
        <v/>
      </c>
      <c r="AA482" s="10">
        <f>IF(W482&gt;$AE$34,1,0)</f>
        <v/>
      </c>
      <c r="AB482">
        <f>IF(AA482=C482,1,0)</f>
        <v/>
      </c>
    </row>
    <row r="483">
      <c r="A483">
        <f>'1 datos preparados'!A476</f>
        <v/>
      </c>
      <c r="B483" s="5">
        <f>'1 datos preparados'!U476</f>
        <v/>
      </c>
      <c r="C483">
        <f>'1 datos preparados'!B476</f>
        <v/>
      </c>
      <c r="D483" s="7">
        <f>'1 datos preparados'!C476</f>
        <v/>
      </c>
      <c r="E483" s="7">
        <f>'1 datos preparados'!D476</f>
        <v/>
      </c>
      <c r="F483" s="7">
        <f>'1 datos preparados'!E476</f>
        <v/>
      </c>
      <c r="G483" s="7">
        <f>'1 datos preparados'!F476</f>
        <v/>
      </c>
      <c r="H483" s="7">
        <f>'1 datos preparados'!G476</f>
        <v/>
      </c>
      <c r="I483" s="7">
        <f>'1 datos preparados'!H476</f>
        <v/>
      </c>
      <c r="J483" s="7">
        <f>'1 datos preparados'!I476</f>
        <v/>
      </c>
      <c r="K483" s="7">
        <f>'1 datos preparados'!J476</f>
        <v/>
      </c>
      <c r="L483" s="7">
        <f>'1 datos preparados'!K476</f>
        <v/>
      </c>
      <c r="M483" s="7">
        <f>'1 datos preparados'!L476</f>
        <v/>
      </c>
      <c r="N483" s="7">
        <f>'1 datos preparados'!M476</f>
        <v/>
      </c>
      <c r="O483" s="7">
        <f>'1 datos preparados'!N476</f>
        <v/>
      </c>
      <c r="P483" s="7">
        <f>'1 datos preparados'!O476</f>
        <v/>
      </c>
      <c r="Q483" s="7">
        <f>'1 datos preparados'!P476</f>
        <v/>
      </c>
      <c r="R483" s="7">
        <f>'1 datos preparados'!Q476</f>
        <v/>
      </c>
      <c r="S483" s="7">
        <f>'1 datos preparados'!R476</f>
        <v/>
      </c>
      <c r="T483" s="7">
        <f>'1 datos preparados'!S476</f>
        <v/>
      </c>
      <c r="U483" s="7">
        <f>'1 datos preparados'!T476</f>
        <v/>
      </c>
      <c r="V483" s="8">
        <f>$AE$12+D483*$AE$13+E483*$AE$14+F483*$AE$15+G483*$AE$16+H483*$AE$17+I483*$AE$18+J483*$AE$19+K483*$AE$20+L483*$AE$21+M483*$AE$22+N483*$AE$23+O483*$AE$24+P483*$AE$25+Q483*$AE$26+R483*$AE$27+S483*$AE$28+T483*$AE$29+U483*$AE$30</f>
        <v/>
      </c>
      <c r="W483" s="8">
        <f>1/(1+EXP(-V483))</f>
        <v/>
      </c>
      <c r="X483" s="9">
        <f>-IF(C483=1,LN(W483),LN(1-W483))</f>
        <v/>
      </c>
      <c r="Y483" s="8">
        <f>IF(C483=1,$AE$32,$AE$33)</f>
        <v/>
      </c>
      <c r="Z483" s="9">
        <f>Y483*X483</f>
        <v/>
      </c>
      <c r="AA483" s="10">
        <f>IF(W483&gt;$AE$34,1,0)</f>
        <v/>
      </c>
      <c r="AB483">
        <f>IF(AA483=C483,1,0)</f>
        <v/>
      </c>
    </row>
    <row r="484">
      <c r="A484">
        <f>'1 datos preparados'!A477</f>
        <v/>
      </c>
      <c r="B484" s="5">
        <f>'1 datos preparados'!U477</f>
        <v/>
      </c>
      <c r="C484">
        <f>'1 datos preparados'!B477</f>
        <v/>
      </c>
      <c r="D484" s="7">
        <f>'1 datos preparados'!C477</f>
        <v/>
      </c>
      <c r="E484" s="7">
        <f>'1 datos preparados'!D477</f>
        <v/>
      </c>
      <c r="F484" s="7">
        <f>'1 datos preparados'!E477</f>
        <v/>
      </c>
      <c r="G484" s="7">
        <f>'1 datos preparados'!F477</f>
        <v/>
      </c>
      <c r="H484" s="7">
        <f>'1 datos preparados'!G477</f>
        <v/>
      </c>
      <c r="I484" s="7">
        <f>'1 datos preparados'!H477</f>
        <v/>
      </c>
      <c r="J484" s="7">
        <f>'1 datos preparados'!I477</f>
        <v/>
      </c>
      <c r="K484" s="7">
        <f>'1 datos preparados'!J477</f>
        <v/>
      </c>
      <c r="L484" s="7">
        <f>'1 datos preparados'!K477</f>
        <v/>
      </c>
      <c r="M484" s="7">
        <f>'1 datos preparados'!L477</f>
        <v/>
      </c>
      <c r="N484" s="7">
        <f>'1 datos preparados'!M477</f>
        <v/>
      </c>
      <c r="O484" s="7">
        <f>'1 datos preparados'!N477</f>
        <v/>
      </c>
      <c r="P484" s="7">
        <f>'1 datos preparados'!O477</f>
        <v/>
      </c>
      <c r="Q484" s="7">
        <f>'1 datos preparados'!P477</f>
        <v/>
      </c>
      <c r="R484" s="7">
        <f>'1 datos preparados'!Q477</f>
        <v/>
      </c>
      <c r="S484" s="7">
        <f>'1 datos preparados'!R477</f>
        <v/>
      </c>
      <c r="T484" s="7">
        <f>'1 datos preparados'!S477</f>
        <v/>
      </c>
      <c r="U484" s="7">
        <f>'1 datos preparados'!T477</f>
        <v/>
      </c>
      <c r="V484" s="8">
        <f>$AE$12+D484*$AE$13+E484*$AE$14+F484*$AE$15+G484*$AE$16+H484*$AE$17+I484*$AE$18+J484*$AE$19+K484*$AE$20+L484*$AE$21+M484*$AE$22+N484*$AE$23+O484*$AE$24+P484*$AE$25+Q484*$AE$26+R484*$AE$27+S484*$AE$28+T484*$AE$29+U484*$AE$30</f>
        <v/>
      </c>
      <c r="W484" s="8">
        <f>1/(1+EXP(-V484))</f>
        <v/>
      </c>
      <c r="X484" s="9">
        <f>-IF(C484=1,LN(W484),LN(1-W484))</f>
        <v/>
      </c>
      <c r="Y484" s="8">
        <f>IF(C484=1,$AE$32,$AE$33)</f>
        <v/>
      </c>
      <c r="Z484" s="9">
        <f>Y484*X484</f>
        <v/>
      </c>
      <c r="AA484" s="10">
        <f>IF(W484&gt;$AE$34,1,0)</f>
        <v/>
      </c>
      <c r="AB484">
        <f>IF(AA484=C484,1,0)</f>
        <v/>
      </c>
    </row>
    <row r="485">
      <c r="A485">
        <f>'1 datos preparados'!A478</f>
        <v/>
      </c>
      <c r="B485" s="5">
        <f>'1 datos preparados'!U478</f>
        <v/>
      </c>
      <c r="C485">
        <f>'1 datos preparados'!B478</f>
        <v/>
      </c>
      <c r="D485" s="7">
        <f>'1 datos preparados'!C478</f>
        <v/>
      </c>
      <c r="E485" s="7">
        <f>'1 datos preparados'!D478</f>
        <v/>
      </c>
      <c r="F485" s="7">
        <f>'1 datos preparados'!E478</f>
        <v/>
      </c>
      <c r="G485" s="7">
        <f>'1 datos preparados'!F478</f>
        <v/>
      </c>
      <c r="H485" s="7">
        <f>'1 datos preparados'!G478</f>
        <v/>
      </c>
      <c r="I485" s="7">
        <f>'1 datos preparados'!H478</f>
        <v/>
      </c>
      <c r="J485" s="7">
        <f>'1 datos preparados'!I478</f>
        <v/>
      </c>
      <c r="K485" s="7">
        <f>'1 datos preparados'!J478</f>
        <v/>
      </c>
      <c r="L485" s="7">
        <f>'1 datos preparados'!K478</f>
        <v/>
      </c>
      <c r="M485" s="7">
        <f>'1 datos preparados'!L478</f>
        <v/>
      </c>
      <c r="N485" s="7">
        <f>'1 datos preparados'!M478</f>
        <v/>
      </c>
      <c r="O485" s="7">
        <f>'1 datos preparados'!N478</f>
        <v/>
      </c>
      <c r="P485" s="7">
        <f>'1 datos preparados'!O478</f>
        <v/>
      </c>
      <c r="Q485" s="7">
        <f>'1 datos preparados'!P478</f>
        <v/>
      </c>
      <c r="R485" s="7">
        <f>'1 datos preparados'!Q478</f>
        <v/>
      </c>
      <c r="S485" s="7">
        <f>'1 datos preparados'!R478</f>
        <v/>
      </c>
      <c r="T485" s="7">
        <f>'1 datos preparados'!S478</f>
        <v/>
      </c>
      <c r="U485" s="7">
        <f>'1 datos preparados'!T478</f>
        <v/>
      </c>
      <c r="V485" s="8">
        <f>$AE$12+D485*$AE$13+E485*$AE$14+F485*$AE$15+G485*$AE$16+H485*$AE$17+I485*$AE$18+J485*$AE$19+K485*$AE$20+L485*$AE$21+M485*$AE$22+N485*$AE$23+O485*$AE$24+P485*$AE$25+Q485*$AE$26+R485*$AE$27+S485*$AE$28+T485*$AE$29+U485*$AE$30</f>
        <v/>
      </c>
      <c r="W485" s="8">
        <f>1/(1+EXP(-V485))</f>
        <v/>
      </c>
      <c r="X485" s="9">
        <f>-IF(C485=1,LN(W485),LN(1-W485))</f>
        <v/>
      </c>
      <c r="Y485" s="8">
        <f>IF(C485=1,$AE$32,$AE$33)</f>
        <v/>
      </c>
      <c r="Z485" s="9">
        <f>Y485*X485</f>
        <v/>
      </c>
      <c r="AA485" s="10">
        <f>IF(W485&gt;$AE$34,1,0)</f>
        <v/>
      </c>
      <c r="AB485">
        <f>IF(AA485=C485,1,0)</f>
        <v/>
      </c>
    </row>
    <row r="486">
      <c r="A486">
        <f>'1 datos preparados'!A479</f>
        <v/>
      </c>
      <c r="B486" s="5">
        <f>'1 datos preparados'!U479</f>
        <v/>
      </c>
      <c r="C486">
        <f>'1 datos preparados'!B479</f>
        <v/>
      </c>
      <c r="D486" s="7">
        <f>'1 datos preparados'!C479</f>
        <v/>
      </c>
      <c r="E486" s="7">
        <f>'1 datos preparados'!D479</f>
        <v/>
      </c>
      <c r="F486" s="7">
        <f>'1 datos preparados'!E479</f>
        <v/>
      </c>
      <c r="G486" s="7">
        <f>'1 datos preparados'!F479</f>
        <v/>
      </c>
      <c r="H486" s="7">
        <f>'1 datos preparados'!G479</f>
        <v/>
      </c>
      <c r="I486" s="7">
        <f>'1 datos preparados'!H479</f>
        <v/>
      </c>
      <c r="J486" s="7">
        <f>'1 datos preparados'!I479</f>
        <v/>
      </c>
      <c r="K486" s="7">
        <f>'1 datos preparados'!J479</f>
        <v/>
      </c>
      <c r="L486" s="7">
        <f>'1 datos preparados'!K479</f>
        <v/>
      </c>
      <c r="M486" s="7">
        <f>'1 datos preparados'!L479</f>
        <v/>
      </c>
      <c r="N486" s="7">
        <f>'1 datos preparados'!M479</f>
        <v/>
      </c>
      <c r="O486" s="7">
        <f>'1 datos preparados'!N479</f>
        <v/>
      </c>
      <c r="P486" s="7">
        <f>'1 datos preparados'!O479</f>
        <v/>
      </c>
      <c r="Q486" s="7">
        <f>'1 datos preparados'!P479</f>
        <v/>
      </c>
      <c r="R486" s="7">
        <f>'1 datos preparados'!Q479</f>
        <v/>
      </c>
      <c r="S486" s="7">
        <f>'1 datos preparados'!R479</f>
        <v/>
      </c>
      <c r="T486" s="7">
        <f>'1 datos preparados'!S479</f>
        <v/>
      </c>
      <c r="U486" s="7">
        <f>'1 datos preparados'!T479</f>
        <v/>
      </c>
      <c r="V486" s="8">
        <f>$AE$12+D486*$AE$13+E486*$AE$14+F486*$AE$15+G486*$AE$16+H486*$AE$17+I486*$AE$18+J486*$AE$19+K486*$AE$20+L486*$AE$21+M486*$AE$22+N486*$AE$23+O486*$AE$24+P486*$AE$25+Q486*$AE$26+R486*$AE$27+S486*$AE$28+T486*$AE$29+U486*$AE$30</f>
        <v/>
      </c>
      <c r="W486" s="8">
        <f>1/(1+EXP(-V486))</f>
        <v/>
      </c>
      <c r="X486" s="9">
        <f>-IF(C486=1,LN(W486),LN(1-W486))</f>
        <v/>
      </c>
      <c r="Y486" s="8">
        <f>IF(C486=1,$AE$32,$AE$33)</f>
        <v/>
      </c>
      <c r="Z486" s="9">
        <f>Y486*X486</f>
        <v/>
      </c>
      <c r="AA486" s="10">
        <f>IF(W486&gt;$AE$34,1,0)</f>
        <v/>
      </c>
      <c r="AB486">
        <f>IF(AA486=C486,1,0)</f>
        <v/>
      </c>
    </row>
    <row r="487">
      <c r="A487">
        <f>'1 datos preparados'!A480</f>
        <v/>
      </c>
      <c r="B487" s="5">
        <f>'1 datos preparados'!U480</f>
        <v/>
      </c>
      <c r="C487">
        <f>'1 datos preparados'!B480</f>
        <v/>
      </c>
      <c r="D487" s="7">
        <f>'1 datos preparados'!C480</f>
        <v/>
      </c>
      <c r="E487" s="7">
        <f>'1 datos preparados'!D480</f>
        <v/>
      </c>
      <c r="F487" s="7">
        <f>'1 datos preparados'!E480</f>
        <v/>
      </c>
      <c r="G487" s="7">
        <f>'1 datos preparados'!F480</f>
        <v/>
      </c>
      <c r="H487" s="7">
        <f>'1 datos preparados'!G480</f>
        <v/>
      </c>
      <c r="I487" s="7">
        <f>'1 datos preparados'!H480</f>
        <v/>
      </c>
      <c r="J487" s="7">
        <f>'1 datos preparados'!I480</f>
        <v/>
      </c>
      <c r="K487" s="7">
        <f>'1 datos preparados'!J480</f>
        <v/>
      </c>
      <c r="L487" s="7">
        <f>'1 datos preparados'!K480</f>
        <v/>
      </c>
      <c r="M487" s="7">
        <f>'1 datos preparados'!L480</f>
        <v/>
      </c>
      <c r="N487" s="7">
        <f>'1 datos preparados'!M480</f>
        <v/>
      </c>
      <c r="O487" s="7">
        <f>'1 datos preparados'!N480</f>
        <v/>
      </c>
      <c r="P487" s="7">
        <f>'1 datos preparados'!O480</f>
        <v/>
      </c>
      <c r="Q487" s="7">
        <f>'1 datos preparados'!P480</f>
        <v/>
      </c>
      <c r="R487" s="7">
        <f>'1 datos preparados'!Q480</f>
        <v/>
      </c>
      <c r="S487" s="7">
        <f>'1 datos preparados'!R480</f>
        <v/>
      </c>
      <c r="T487" s="7">
        <f>'1 datos preparados'!S480</f>
        <v/>
      </c>
      <c r="U487" s="7">
        <f>'1 datos preparados'!T480</f>
        <v/>
      </c>
      <c r="V487" s="8">
        <f>$AE$12+D487*$AE$13+E487*$AE$14+F487*$AE$15+G487*$AE$16+H487*$AE$17+I487*$AE$18+J487*$AE$19+K487*$AE$20+L487*$AE$21+M487*$AE$22+N487*$AE$23+O487*$AE$24+P487*$AE$25+Q487*$AE$26+R487*$AE$27+S487*$AE$28+T487*$AE$29+U487*$AE$30</f>
        <v/>
      </c>
      <c r="W487" s="8">
        <f>1/(1+EXP(-V487))</f>
        <v/>
      </c>
      <c r="X487" s="9">
        <f>-IF(C487=1,LN(W487),LN(1-W487))</f>
        <v/>
      </c>
      <c r="Y487" s="8">
        <f>IF(C487=1,$AE$32,$AE$33)</f>
        <v/>
      </c>
      <c r="Z487" s="9">
        <f>Y487*X487</f>
        <v/>
      </c>
      <c r="AA487" s="10">
        <f>IF(W487&gt;$AE$34,1,0)</f>
        <v/>
      </c>
      <c r="AB487">
        <f>IF(AA487=C487,1,0)</f>
        <v/>
      </c>
    </row>
    <row r="488">
      <c r="A488">
        <f>'1 datos preparados'!A481</f>
        <v/>
      </c>
      <c r="B488" s="5">
        <f>'1 datos preparados'!U481</f>
        <v/>
      </c>
      <c r="C488">
        <f>'1 datos preparados'!B481</f>
        <v/>
      </c>
      <c r="D488" s="7">
        <f>'1 datos preparados'!C481</f>
        <v/>
      </c>
      <c r="E488" s="7">
        <f>'1 datos preparados'!D481</f>
        <v/>
      </c>
      <c r="F488" s="7">
        <f>'1 datos preparados'!E481</f>
        <v/>
      </c>
      <c r="G488" s="7">
        <f>'1 datos preparados'!F481</f>
        <v/>
      </c>
      <c r="H488" s="7">
        <f>'1 datos preparados'!G481</f>
        <v/>
      </c>
      <c r="I488" s="7">
        <f>'1 datos preparados'!H481</f>
        <v/>
      </c>
      <c r="J488" s="7">
        <f>'1 datos preparados'!I481</f>
        <v/>
      </c>
      <c r="K488" s="7">
        <f>'1 datos preparados'!J481</f>
        <v/>
      </c>
      <c r="L488" s="7">
        <f>'1 datos preparados'!K481</f>
        <v/>
      </c>
      <c r="M488" s="7">
        <f>'1 datos preparados'!L481</f>
        <v/>
      </c>
      <c r="N488" s="7">
        <f>'1 datos preparados'!M481</f>
        <v/>
      </c>
      <c r="O488" s="7">
        <f>'1 datos preparados'!N481</f>
        <v/>
      </c>
      <c r="P488" s="7">
        <f>'1 datos preparados'!O481</f>
        <v/>
      </c>
      <c r="Q488" s="7">
        <f>'1 datos preparados'!P481</f>
        <v/>
      </c>
      <c r="R488" s="7">
        <f>'1 datos preparados'!Q481</f>
        <v/>
      </c>
      <c r="S488" s="7">
        <f>'1 datos preparados'!R481</f>
        <v/>
      </c>
      <c r="T488" s="7">
        <f>'1 datos preparados'!S481</f>
        <v/>
      </c>
      <c r="U488" s="7">
        <f>'1 datos preparados'!T481</f>
        <v/>
      </c>
      <c r="V488" s="8">
        <f>$AE$12+D488*$AE$13+E488*$AE$14+F488*$AE$15+G488*$AE$16+H488*$AE$17+I488*$AE$18+J488*$AE$19+K488*$AE$20+L488*$AE$21+M488*$AE$22+N488*$AE$23+O488*$AE$24+P488*$AE$25+Q488*$AE$26+R488*$AE$27+S488*$AE$28+T488*$AE$29+U488*$AE$30</f>
        <v/>
      </c>
      <c r="W488" s="8">
        <f>1/(1+EXP(-V488))</f>
        <v/>
      </c>
      <c r="X488" s="9">
        <f>-IF(C488=1,LN(W488),LN(1-W488))</f>
        <v/>
      </c>
      <c r="Y488" s="8">
        <f>IF(C488=1,$AE$32,$AE$33)</f>
        <v/>
      </c>
      <c r="Z488" s="9">
        <f>Y488*X488</f>
        <v/>
      </c>
      <c r="AA488" s="10">
        <f>IF(W488&gt;$AE$34,1,0)</f>
        <v/>
      </c>
      <c r="AB488">
        <f>IF(AA488=C488,1,0)</f>
        <v/>
      </c>
    </row>
    <row r="489">
      <c r="A489">
        <f>'1 datos preparados'!A482</f>
        <v/>
      </c>
      <c r="B489" s="5">
        <f>'1 datos preparados'!U482</f>
        <v/>
      </c>
      <c r="C489">
        <f>'1 datos preparados'!B482</f>
        <v/>
      </c>
      <c r="D489" s="7">
        <f>'1 datos preparados'!C482</f>
        <v/>
      </c>
      <c r="E489" s="7">
        <f>'1 datos preparados'!D482</f>
        <v/>
      </c>
      <c r="F489" s="7">
        <f>'1 datos preparados'!E482</f>
        <v/>
      </c>
      <c r="G489" s="7">
        <f>'1 datos preparados'!F482</f>
        <v/>
      </c>
      <c r="H489" s="7">
        <f>'1 datos preparados'!G482</f>
        <v/>
      </c>
      <c r="I489" s="7">
        <f>'1 datos preparados'!H482</f>
        <v/>
      </c>
      <c r="J489" s="7">
        <f>'1 datos preparados'!I482</f>
        <v/>
      </c>
      <c r="K489" s="7">
        <f>'1 datos preparados'!J482</f>
        <v/>
      </c>
      <c r="L489" s="7">
        <f>'1 datos preparados'!K482</f>
        <v/>
      </c>
      <c r="M489" s="7">
        <f>'1 datos preparados'!L482</f>
        <v/>
      </c>
      <c r="N489" s="7">
        <f>'1 datos preparados'!M482</f>
        <v/>
      </c>
      <c r="O489" s="7">
        <f>'1 datos preparados'!N482</f>
        <v/>
      </c>
      <c r="P489" s="7">
        <f>'1 datos preparados'!O482</f>
        <v/>
      </c>
      <c r="Q489" s="7">
        <f>'1 datos preparados'!P482</f>
        <v/>
      </c>
      <c r="R489" s="7">
        <f>'1 datos preparados'!Q482</f>
        <v/>
      </c>
      <c r="S489" s="7">
        <f>'1 datos preparados'!R482</f>
        <v/>
      </c>
      <c r="T489" s="7">
        <f>'1 datos preparados'!S482</f>
        <v/>
      </c>
      <c r="U489" s="7">
        <f>'1 datos preparados'!T482</f>
        <v/>
      </c>
      <c r="V489" s="8">
        <f>$AE$12+D489*$AE$13+E489*$AE$14+F489*$AE$15+G489*$AE$16+H489*$AE$17+I489*$AE$18+J489*$AE$19+K489*$AE$20+L489*$AE$21+M489*$AE$22+N489*$AE$23+O489*$AE$24+P489*$AE$25+Q489*$AE$26+R489*$AE$27+S489*$AE$28+T489*$AE$29+U489*$AE$30</f>
        <v/>
      </c>
      <c r="W489" s="8">
        <f>1/(1+EXP(-V489))</f>
        <v/>
      </c>
      <c r="X489" s="9">
        <f>-IF(C489=1,LN(W489),LN(1-W489))</f>
        <v/>
      </c>
      <c r="Y489" s="8">
        <f>IF(C489=1,$AE$32,$AE$33)</f>
        <v/>
      </c>
      <c r="Z489" s="9">
        <f>Y489*X489</f>
        <v/>
      </c>
      <c r="AA489" s="10">
        <f>IF(W489&gt;$AE$34,1,0)</f>
        <v/>
      </c>
      <c r="AB489">
        <f>IF(AA489=C489,1,0)</f>
        <v/>
      </c>
    </row>
    <row r="490">
      <c r="A490">
        <f>'1 datos preparados'!A483</f>
        <v/>
      </c>
      <c r="B490" s="5">
        <f>'1 datos preparados'!U483</f>
        <v/>
      </c>
      <c r="C490">
        <f>'1 datos preparados'!B483</f>
        <v/>
      </c>
      <c r="D490" s="7">
        <f>'1 datos preparados'!C483</f>
        <v/>
      </c>
      <c r="E490" s="7">
        <f>'1 datos preparados'!D483</f>
        <v/>
      </c>
      <c r="F490" s="7">
        <f>'1 datos preparados'!E483</f>
        <v/>
      </c>
      <c r="G490" s="7">
        <f>'1 datos preparados'!F483</f>
        <v/>
      </c>
      <c r="H490" s="7">
        <f>'1 datos preparados'!G483</f>
        <v/>
      </c>
      <c r="I490" s="7">
        <f>'1 datos preparados'!H483</f>
        <v/>
      </c>
      <c r="J490" s="7">
        <f>'1 datos preparados'!I483</f>
        <v/>
      </c>
      <c r="K490" s="7">
        <f>'1 datos preparados'!J483</f>
        <v/>
      </c>
      <c r="L490" s="7">
        <f>'1 datos preparados'!K483</f>
        <v/>
      </c>
      <c r="M490" s="7">
        <f>'1 datos preparados'!L483</f>
        <v/>
      </c>
      <c r="N490" s="7">
        <f>'1 datos preparados'!M483</f>
        <v/>
      </c>
      <c r="O490" s="7">
        <f>'1 datos preparados'!N483</f>
        <v/>
      </c>
      <c r="P490" s="7">
        <f>'1 datos preparados'!O483</f>
        <v/>
      </c>
      <c r="Q490" s="7">
        <f>'1 datos preparados'!P483</f>
        <v/>
      </c>
      <c r="R490" s="7">
        <f>'1 datos preparados'!Q483</f>
        <v/>
      </c>
      <c r="S490" s="7">
        <f>'1 datos preparados'!R483</f>
        <v/>
      </c>
      <c r="T490" s="7">
        <f>'1 datos preparados'!S483</f>
        <v/>
      </c>
      <c r="U490" s="7">
        <f>'1 datos preparados'!T483</f>
        <v/>
      </c>
      <c r="V490" s="8">
        <f>$AE$12+D490*$AE$13+E490*$AE$14+F490*$AE$15+G490*$AE$16+H490*$AE$17+I490*$AE$18+J490*$AE$19+K490*$AE$20+L490*$AE$21+M490*$AE$22+N490*$AE$23+O490*$AE$24+P490*$AE$25+Q490*$AE$26+R490*$AE$27+S490*$AE$28+T490*$AE$29+U490*$AE$30</f>
        <v/>
      </c>
      <c r="W490" s="8">
        <f>1/(1+EXP(-V490))</f>
        <v/>
      </c>
      <c r="X490" s="9">
        <f>-IF(C490=1,LN(W490),LN(1-W490))</f>
        <v/>
      </c>
      <c r="Y490" s="8">
        <f>IF(C490=1,$AE$32,$AE$33)</f>
        <v/>
      </c>
      <c r="Z490" s="9">
        <f>Y490*X490</f>
        <v/>
      </c>
      <c r="AA490" s="10">
        <f>IF(W490&gt;$AE$34,1,0)</f>
        <v/>
      </c>
      <c r="AB490">
        <f>IF(AA490=C490,1,0)</f>
        <v/>
      </c>
    </row>
    <row r="491">
      <c r="A491">
        <f>'1 datos preparados'!A484</f>
        <v/>
      </c>
      <c r="B491" s="5">
        <f>'1 datos preparados'!U484</f>
        <v/>
      </c>
      <c r="C491">
        <f>'1 datos preparados'!B484</f>
        <v/>
      </c>
      <c r="D491" s="7">
        <f>'1 datos preparados'!C484</f>
        <v/>
      </c>
      <c r="E491" s="7">
        <f>'1 datos preparados'!D484</f>
        <v/>
      </c>
      <c r="F491" s="7">
        <f>'1 datos preparados'!E484</f>
        <v/>
      </c>
      <c r="G491" s="7">
        <f>'1 datos preparados'!F484</f>
        <v/>
      </c>
      <c r="H491" s="7">
        <f>'1 datos preparados'!G484</f>
        <v/>
      </c>
      <c r="I491" s="7">
        <f>'1 datos preparados'!H484</f>
        <v/>
      </c>
      <c r="J491" s="7">
        <f>'1 datos preparados'!I484</f>
        <v/>
      </c>
      <c r="K491" s="7">
        <f>'1 datos preparados'!J484</f>
        <v/>
      </c>
      <c r="L491" s="7">
        <f>'1 datos preparados'!K484</f>
        <v/>
      </c>
      <c r="M491" s="7">
        <f>'1 datos preparados'!L484</f>
        <v/>
      </c>
      <c r="N491" s="7">
        <f>'1 datos preparados'!M484</f>
        <v/>
      </c>
      <c r="O491" s="7">
        <f>'1 datos preparados'!N484</f>
        <v/>
      </c>
      <c r="P491" s="7">
        <f>'1 datos preparados'!O484</f>
        <v/>
      </c>
      <c r="Q491" s="7">
        <f>'1 datos preparados'!P484</f>
        <v/>
      </c>
      <c r="R491" s="7">
        <f>'1 datos preparados'!Q484</f>
        <v/>
      </c>
      <c r="S491" s="7">
        <f>'1 datos preparados'!R484</f>
        <v/>
      </c>
      <c r="T491" s="7">
        <f>'1 datos preparados'!S484</f>
        <v/>
      </c>
      <c r="U491" s="7">
        <f>'1 datos preparados'!T484</f>
        <v/>
      </c>
      <c r="V491" s="8">
        <f>$AE$12+D491*$AE$13+E491*$AE$14+F491*$AE$15+G491*$AE$16+H491*$AE$17+I491*$AE$18+J491*$AE$19+K491*$AE$20+L491*$AE$21+M491*$AE$22+N491*$AE$23+O491*$AE$24+P491*$AE$25+Q491*$AE$26+R491*$AE$27+S491*$AE$28+T491*$AE$29+U491*$AE$30</f>
        <v/>
      </c>
      <c r="W491" s="8">
        <f>1/(1+EXP(-V491))</f>
        <v/>
      </c>
      <c r="X491" s="9">
        <f>-IF(C491=1,LN(W491),LN(1-W491))</f>
        <v/>
      </c>
      <c r="Y491" s="8">
        <f>IF(C491=1,$AE$32,$AE$33)</f>
        <v/>
      </c>
      <c r="Z491" s="9">
        <f>Y491*X491</f>
        <v/>
      </c>
      <c r="AA491" s="10">
        <f>IF(W491&gt;$AE$34,1,0)</f>
        <v/>
      </c>
      <c r="AB491">
        <f>IF(AA491=C491,1,0)</f>
        <v/>
      </c>
    </row>
    <row r="492">
      <c r="A492">
        <f>'1 datos preparados'!A485</f>
        <v/>
      </c>
      <c r="B492" s="5">
        <f>'1 datos preparados'!U485</f>
        <v/>
      </c>
      <c r="C492">
        <f>'1 datos preparados'!B485</f>
        <v/>
      </c>
      <c r="D492" s="7">
        <f>'1 datos preparados'!C485</f>
        <v/>
      </c>
      <c r="E492" s="7">
        <f>'1 datos preparados'!D485</f>
        <v/>
      </c>
      <c r="F492" s="7">
        <f>'1 datos preparados'!E485</f>
        <v/>
      </c>
      <c r="G492" s="7">
        <f>'1 datos preparados'!F485</f>
        <v/>
      </c>
      <c r="H492" s="7">
        <f>'1 datos preparados'!G485</f>
        <v/>
      </c>
      <c r="I492" s="7">
        <f>'1 datos preparados'!H485</f>
        <v/>
      </c>
      <c r="J492" s="7">
        <f>'1 datos preparados'!I485</f>
        <v/>
      </c>
      <c r="K492" s="7">
        <f>'1 datos preparados'!J485</f>
        <v/>
      </c>
      <c r="L492" s="7">
        <f>'1 datos preparados'!K485</f>
        <v/>
      </c>
      <c r="M492" s="7">
        <f>'1 datos preparados'!L485</f>
        <v/>
      </c>
      <c r="N492" s="7">
        <f>'1 datos preparados'!M485</f>
        <v/>
      </c>
      <c r="O492" s="7">
        <f>'1 datos preparados'!N485</f>
        <v/>
      </c>
      <c r="P492" s="7">
        <f>'1 datos preparados'!O485</f>
        <v/>
      </c>
      <c r="Q492" s="7">
        <f>'1 datos preparados'!P485</f>
        <v/>
      </c>
      <c r="R492" s="7">
        <f>'1 datos preparados'!Q485</f>
        <v/>
      </c>
      <c r="S492" s="7">
        <f>'1 datos preparados'!R485</f>
        <v/>
      </c>
      <c r="T492" s="7">
        <f>'1 datos preparados'!S485</f>
        <v/>
      </c>
      <c r="U492" s="7">
        <f>'1 datos preparados'!T485</f>
        <v/>
      </c>
      <c r="V492" s="8">
        <f>$AE$12+D492*$AE$13+E492*$AE$14+F492*$AE$15+G492*$AE$16+H492*$AE$17+I492*$AE$18+J492*$AE$19+K492*$AE$20+L492*$AE$21+M492*$AE$22+N492*$AE$23+O492*$AE$24+P492*$AE$25+Q492*$AE$26+R492*$AE$27+S492*$AE$28+T492*$AE$29+U492*$AE$30</f>
        <v/>
      </c>
      <c r="W492" s="8">
        <f>1/(1+EXP(-V492))</f>
        <v/>
      </c>
      <c r="X492" s="9">
        <f>-IF(C492=1,LN(W492),LN(1-W492))</f>
        <v/>
      </c>
      <c r="Y492" s="8">
        <f>IF(C492=1,$AE$32,$AE$33)</f>
        <v/>
      </c>
      <c r="Z492" s="9">
        <f>Y492*X492</f>
        <v/>
      </c>
      <c r="AA492" s="10">
        <f>IF(W492&gt;$AE$34,1,0)</f>
        <v/>
      </c>
      <c r="AB492">
        <f>IF(AA492=C492,1,0)</f>
        <v/>
      </c>
    </row>
    <row r="493">
      <c r="A493">
        <f>'1 datos preparados'!A486</f>
        <v/>
      </c>
      <c r="B493" s="5">
        <f>'1 datos preparados'!U486</f>
        <v/>
      </c>
      <c r="C493">
        <f>'1 datos preparados'!B486</f>
        <v/>
      </c>
      <c r="D493" s="7">
        <f>'1 datos preparados'!C486</f>
        <v/>
      </c>
      <c r="E493" s="7">
        <f>'1 datos preparados'!D486</f>
        <v/>
      </c>
      <c r="F493" s="7">
        <f>'1 datos preparados'!E486</f>
        <v/>
      </c>
      <c r="G493" s="7">
        <f>'1 datos preparados'!F486</f>
        <v/>
      </c>
      <c r="H493" s="7">
        <f>'1 datos preparados'!G486</f>
        <v/>
      </c>
      <c r="I493" s="7">
        <f>'1 datos preparados'!H486</f>
        <v/>
      </c>
      <c r="J493" s="7">
        <f>'1 datos preparados'!I486</f>
        <v/>
      </c>
      <c r="K493" s="7">
        <f>'1 datos preparados'!J486</f>
        <v/>
      </c>
      <c r="L493" s="7">
        <f>'1 datos preparados'!K486</f>
        <v/>
      </c>
      <c r="M493" s="7">
        <f>'1 datos preparados'!L486</f>
        <v/>
      </c>
      <c r="N493" s="7">
        <f>'1 datos preparados'!M486</f>
        <v/>
      </c>
      <c r="O493" s="7">
        <f>'1 datos preparados'!N486</f>
        <v/>
      </c>
      <c r="P493" s="7">
        <f>'1 datos preparados'!O486</f>
        <v/>
      </c>
      <c r="Q493" s="7">
        <f>'1 datos preparados'!P486</f>
        <v/>
      </c>
      <c r="R493" s="7">
        <f>'1 datos preparados'!Q486</f>
        <v/>
      </c>
      <c r="S493" s="7">
        <f>'1 datos preparados'!R486</f>
        <v/>
      </c>
      <c r="T493" s="7">
        <f>'1 datos preparados'!S486</f>
        <v/>
      </c>
      <c r="U493" s="7">
        <f>'1 datos preparados'!T486</f>
        <v/>
      </c>
      <c r="V493" s="8">
        <f>$AE$12+D493*$AE$13+E493*$AE$14+F493*$AE$15+G493*$AE$16+H493*$AE$17+I493*$AE$18+J493*$AE$19+K493*$AE$20+L493*$AE$21+M493*$AE$22+N493*$AE$23+O493*$AE$24+P493*$AE$25+Q493*$AE$26+R493*$AE$27+S493*$AE$28+T493*$AE$29+U493*$AE$30</f>
        <v/>
      </c>
      <c r="W493" s="8">
        <f>1/(1+EXP(-V493))</f>
        <v/>
      </c>
      <c r="X493" s="9">
        <f>-IF(C493=1,LN(W493),LN(1-W493))</f>
        <v/>
      </c>
      <c r="Y493" s="8">
        <f>IF(C493=1,$AE$32,$AE$33)</f>
        <v/>
      </c>
      <c r="Z493" s="9">
        <f>Y493*X493</f>
        <v/>
      </c>
      <c r="AA493" s="10">
        <f>IF(W493&gt;$AE$34,1,0)</f>
        <v/>
      </c>
      <c r="AB493">
        <f>IF(AA493=C493,1,0)</f>
        <v/>
      </c>
    </row>
    <row r="494">
      <c r="A494">
        <f>'1 datos preparados'!A487</f>
        <v/>
      </c>
      <c r="B494" s="5">
        <f>'1 datos preparados'!U487</f>
        <v/>
      </c>
      <c r="C494">
        <f>'1 datos preparados'!B487</f>
        <v/>
      </c>
      <c r="D494" s="7">
        <f>'1 datos preparados'!C487</f>
        <v/>
      </c>
      <c r="E494" s="7">
        <f>'1 datos preparados'!D487</f>
        <v/>
      </c>
      <c r="F494" s="7">
        <f>'1 datos preparados'!E487</f>
        <v/>
      </c>
      <c r="G494" s="7">
        <f>'1 datos preparados'!F487</f>
        <v/>
      </c>
      <c r="H494" s="7">
        <f>'1 datos preparados'!G487</f>
        <v/>
      </c>
      <c r="I494" s="7">
        <f>'1 datos preparados'!H487</f>
        <v/>
      </c>
      <c r="J494" s="7">
        <f>'1 datos preparados'!I487</f>
        <v/>
      </c>
      <c r="K494" s="7">
        <f>'1 datos preparados'!J487</f>
        <v/>
      </c>
      <c r="L494" s="7">
        <f>'1 datos preparados'!K487</f>
        <v/>
      </c>
      <c r="M494" s="7">
        <f>'1 datos preparados'!L487</f>
        <v/>
      </c>
      <c r="N494" s="7">
        <f>'1 datos preparados'!M487</f>
        <v/>
      </c>
      <c r="O494" s="7">
        <f>'1 datos preparados'!N487</f>
        <v/>
      </c>
      <c r="P494" s="7">
        <f>'1 datos preparados'!O487</f>
        <v/>
      </c>
      <c r="Q494" s="7">
        <f>'1 datos preparados'!P487</f>
        <v/>
      </c>
      <c r="R494" s="7">
        <f>'1 datos preparados'!Q487</f>
        <v/>
      </c>
      <c r="S494" s="7">
        <f>'1 datos preparados'!R487</f>
        <v/>
      </c>
      <c r="T494" s="7">
        <f>'1 datos preparados'!S487</f>
        <v/>
      </c>
      <c r="U494" s="7">
        <f>'1 datos preparados'!T487</f>
        <v/>
      </c>
      <c r="V494" s="8">
        <f>$AE$12+D494*$AE$13+E494*$AE$14+F494*$AE$15+G494*$AE$16+H494*$AE$17+I494*$AE$18+J494*$AE$19+K494*$AE$20+L494*$AE$21+M494*$AE$22+N494*$AE$23+O494*$AE$24+P494*$AE$25+Q494*$AE$26+R494*$AE$27+S494*$AE$28+T494*$AE$29+U494*$AE$30</f>
        <v/>
      </c>
      <c r="W494" s="8">
        <f>1/(1+EXP(-V494))</f>
        <v/>
      </c>
      <c r="X494" s="9">
        <f>-IF(C494=1,LN(W494),LN(1-W494))</f>
        <v/>
      </c>
      <c r="Y494" s="8">
        <f>IF(C494=1,$AE$32,$AE$33)</f>
        <v/>
      </c>
      <c r="Z494" s="9">
        <f>Y494*X494</f>
        <v/>
      </c>
      <c r="AA494" s="10">
        <f>IF(W494&gt;$AE$34,1,0)</f>
        <v/>
      </c>
      <c r="AB494">
        <f>IF(AA494=C494,1,0)</f>
        <v/>
      </c>
    </row>
    <row r="495">
      <c r="A495">
        <f>'1 datos preparados'!A488</f>
        <v/>
      </c>
      <c r="B495" s="5">
        <f>'1 datos preparados'!U488</f>
        <v/>
      </c>
      <c r="C495">
        <f>'1 datos preparados'!B488</f>
        <v/>
      </c>
      <c r="D495" s="7">
        <f>'1 datos preparados'!C488</f>
        <v/>
      </c>
      <c r="E495" s="7">
        <f>'1 datos preparados'!D488</f>
        <v/>
      </c>
      <c r="F495" s="7">
        <f>'1 datos preparados'!E488</f>
        <v/>
      </c>
      <c r="G495" s="7">
        <f>'1 datos preparados'!F488</f>
        <v/>
      </c>
      <c r="H495" s="7">
        <f>'1 datos preparados'!G488</f>
        <v/>
      </c>
      <c r="I495" s="7">
        <f>'1 datos preparados'!H488</f>
        <v/>
      </c>
      <c r="J495" s="7">
        <f>'1 datos preparados'!I488</f>
        <v/>
      </c>
      <c r="K495" s="7">
        <f>'1 datos preparados'!J488</f>
        <v/>
      </c>
      <c r="L495" s="7">
        <f>'1 datos preparados'!K488</f>
        <v/>
      </c>
      <c r="M495" s="7">
        <f>'1 datos preparados'!L488</f>
        <v/>
      </c>
      <c r="N495" s="7">
        <f>'1 datos preparados'!M488</f>
        <v/>
      </c>
      <c r="O495" s="7">
        <f>'1 datos preparados'!N488</f>
        <v/>
      </c>
      <c r="P495" s="7">
        <f>'1 datos preparados'!O488</f>
        <v/>
      </c>
      <c r="Q495" s="7">
        <f>'1 datos preparados'!P488</f>
        <v/>
      </c>
      <c r="R495" s="7">
        <f>'1 datos preparados'!Q488</f>
        <v/>
      </c>
      <c r="S495" s="7">
        <f>'1 datos preparados'!R488</f>
        <v/>
      </c>
      <c r="T495" s="7">
        <f>'1 datos preparados'!S488</f>
        <v/>
      </c>
      <c r="U495" s="7">
        <f>'1 datos preparados'!T488</f>
        <v/>
      </c>
      <c r="V495" s="8">
        <f>$AE$12+D495*$AE$13+E495*$AE$14+F495*$AE$15+G495*$AE$16+H495*$AE$17+I495*$AE$18+J495*$AE$19+K495*$AE$20+L495*$AE$21+M495*$AE$22+N495*$AE$23+O495*$AE$24+P495*$AE$25+Q495*$AE$26+R495*$AE$27+S495*$AE$28+T495*$AE$29+U495*$AE$30</f>
        <v/>
      </c>
      <c r="W495" s="8">
        <f>1/(1+EXP(-V495))</f>
        <v/>
      </c>
      <c r="X495" s="9">
        <f>-IF(C495=1,LN(W495),LN(1-W495))</f>
        <v/>
      </c>
      <c r="Y495" s="8">
        <f>IF(C495=1,$AE$32,$AE$33)</f>
        <v/>
      </c>
      <c r="Z495" s="9">
        <f>Y495*X495</f>
        <v/>
      </c>
      <c r="AA495" s="10">
        <f>IF(W495&gt;$AE$34,1,0)</f>
        <v/>
      </c>
      <c r="AB495">
        <f>IF(AA495=C495,1,0)</f>
        <v/>
      </c>
    </row>
    <row r="496">
      <c r="A496">
        <f>'1 datos preparados'!A489</f>
        <v/>
      </c>
      <c r="B496" s="5">
        <f>'1 datos preparados'!U489</f>
        <v/>
      </c>
      <c r="C496">
        <f>'1 datos preparados'!B489</f>
        <v/>
      </c>
      <c r="D496" s="7">
        <f>'1 datos preparados'!C489</f>
        <v/>
      </c>
      <c r="E496" s="7">
        <f>'1 datos preparados'!D489</f>
        <v/>
      </c>
      <c r="F496" s="7">
        <f>'1 datos preparados'!E489</f>
        <v/>
      </c>
      <c r="G496" s="7">
        <f>'1 datos preparados'!F489</f>
        <v/>
      </c>
      <c r="H496" s="7">
        <f>'1 datos preparados'!G489</f>
        <v/>
      </c>
      <c r="I496" s="7">
        <f>'1 datos preparados'!H489</f>
        <v/>
      </c>
      <c r="J496" s="7">
        <f>'1 datos preparados'!I489</f>
        <v/>
      </c>
      <c r="K496" s="7">
        <f>'1 datos preparados'!J489</f>
        <v/>
      </c>
      <c r="L496" s="7">
        <f>'1 datos preparados'!K489</f>
        <v/>
      </c>
      <c r="M496" s="7">
        <f>'1 datos preparados'!L489</f>
        <v/>
      </c>
      <c r="N496" s="7">
        <f>'1 datos preparados'!M489</f>
        <v/>
      </c>
      <c r="O496" s="7">
        <f>'1 datos preparados'!N489</f>
        <v/>
      </c>
      <c r="P496" s="7">
        <f>'1 datos preparados'!O489</f>
        <v/>
      </c>
      <c r="Q496" s="7">
        <f>'1 datos preparados'!P489</f>
        <v/>
      </c>
      <c r="R496" s="7">
        <f>'1 datos preparados'!Q489</f>
        <v/>
      </c>
      <c r="S496" s="7">
        <f>'1 datos preparados'!R489</f>
        <v/>
      </c>
      <c r="T496" s="7">
        <f>'1 datos preparados'!S489</f>
        <v/>
      </c>
      <c r="U496" s="7">
        <f>'1 datos preparados'!T489</f>
        <v/>
      </c>
      <c r="V496" s="8">
        <f>$AE$12+D496*$AE$13+E496*$AE$14+F496*$AE$15+G496*$AE$16+H496*$AE$17+I496*$AE$18+J496*$AE$19+K496*$AE$20+L496*$AE$21+M496*$AE$22+N496*$AE$23+O496*$AE$24+P496*$AE$25+Q496*$AE$26+R496*$AE$27+S496*$AE$28+T496*$AE$29+U496*$AE$30</f>
        <v/>
      </c>
      <c r="W496" s="8">
        <f>1/(1+EXP(-V496))</f>
        <v/>
      </c>
      <c r="X496" s="9">
        <f>-IF(C496=1,LN(W496),LN(1-W496))</f>
        <v/>
      </c>
      <c r="Y496" s="8">
        <f>IF(C496=1,$AE$32,$AE$33)</f>
        <v/>
      </c>
      <c r="Z496" s="9">
        <f>Y496*X496</f>
        <v/>
      </c>
      <c r="AA496" s="10">
        <f>IF(W496&gt;$AE$34,1,0)</f>
        <v/>
      </c>
      <c r="AB496">
        <f>IF(AA496=C496,1,0)</f>
        <v/>
      </c>
    </row>
    <row r="497">
      <c r="A497">
        <f>'1 datos preparados'!A490</f>
        <v/>
      </c>
      <c r="B497" s="5">
        <f>'1 datos preparados'!U490</f>
        <v/>
      </c>
      <c r="C497">
        <f>'1 datos preparados'!B490</f>
        <v/>
      </c>
      <c r="D497" s="7">
        <f>'1 datos preparados'!C490</f>
        <v/>
      </c>
      <c r="E497" s="7">
        <f>'1 datos preparados'!D490</f>
        <v/>
      </c>
      <c r="F497" s="7">
        <f>'1 datos preparados'!E490</f>
        <v/>
      </c>
      <c r="G497" s="7">
        <f>'1 datos preparados'!F490</f>
        <v/>
      </c>
      <c r="H497" s="7">
        <f>'1 datos preparados'!G490</f>
        <v/>
      </c>
      <c r="I497" s="7">
        <f>'1 datos preparados'!H490</f>
        <v/>
      </c>
      <c r="J497" s="7">
        <f>'1 datos preparados'!I490</f>
        <v/>
      </c>
      <c r="K497" s="7">
        <f>'1 datos preparados'!J490</f>
        <v/>
      </c>
      <c r="L497" s="7">
        <f>'1 datos preparados'!K490</f>
        <v/>
      </c>
      <c r="M497" s="7">
        <f>'1 datos preparados'!L490</f>
        <v/>
      </c>
      <c r="N497" s="7">
        <f>'1 datos preparados'!M490</f>
        <v/>
      </c>
      <c r="O497" s="7">
        <f>'1 datos preparados'!N490</f>
        <v/>
      </c>
      <c r="P497" s="7">
        <f>'1 datos preparados'!O490</f>
        <v/>
      </c>
      <c r="Q497" s="7">
        <f>'1 datos preparados'!P490</f>
        <v/>
      </c>
      <c r="R497" s="7">
        <f>'1 datos preparados'!Q490</f>
        <v/>
      </c>
      <c r="S497" s="7">
        <f>'1 datos preparados'!R490</f>
        <v/>
      </c>
      <c r="T497" s="7">
        <f>'1 datos preparados'!S490</f>
        <v/>
      </c>
      <c r="U497" s="7">
        <f>'1 datos preparados'!T490</f>
        <v/>
      </c>
      <c r="V497" s="8">
        <f>$AE$12+D497*$AE$13+E497*$AE$14+F497*$AE$15+G497*$AE$16+H497*$AE$17+I497*$AE$18+J497*$AE$19+K497*$AE$20+L497*$AE$21+M497*$AE$22+N497*$AE$23+O497*$AE$24+P497*$AE$25+Q497*$AE$26+R497*$AE$27+S497*$AE$28+T497*$AE$29+U497*$AE$30</f>
        <v/>
      </c>
      <c r="W497" s="8">
        <f>1/(1+EXP(-V497))</f>
        <v/>
      </c>
      <c r="X497" s="9">
        <f>-IF(C497=1,LN(W497),LN(1-W497))</f>
        <v/>
      </c>
      <c r="Y497" s="8">
        <f>IF(C497=1,$AE$32,$AE$33)</f>
        <v/>
      </c>
      <c r="Z497" s="9">
        <f>Y497*X497</f>
        <v/>
      </c>
      <c r="AA497" s="10">
        <f>IF(W497&gt;$AE$34,1,0)</f>
        <v/>
      </c>
      <c r="AB497">
        <f>IF(AA497=C497,1,0)</f>
        <v/>
      </c>
    </row>
    <row r="498">
      <c r="A498">
        <f>'1 datos preparados'!A491</f>
        <v/>
      </c>
      <c r="B498" s="5">
        <f>'1 datos preparados'!U491</f>
        <v/>
      </c>
      <c r="C498">
        <f>'1 datos preparados'!B491</f>
        <v/>
      </c>
      <c r="D498" s="7">
        <f>'1 datos preparados'!C491</f>
        <v/>
      </c>
      <c r="E498" s="7">
        <f>'1 datos preparados'!D491</f>
        <v/>
      </c>
      <c r="F498" s="7">
        <f>'1 datos preparados'!E491</f>
        <v/>
      </c>
      <c r="G498" s="7">
        <f>'1 datos preparados'!F491</f>
        <v/>
      </c>
      <c r="H498" s="7">
        <f>'1 datos preparados'!G491</f>
        <v/>
      </c>
      <c r="I498" s="7">
        <f>'1 datos preparados'!H491</f>
        <v/>
      </c>
      <c r="J498" s="7">
        <f>'1 datos preparados'!I491</f>
        <v/>
      </c>
      <c r="K498" s="7">
        <f>'1 datos preparados'!J491</f>
        <v/>
      </c>
      <c r="L498" s="7">
        <f>'1 datos preparados'!K491</f>
        <v/>
      </c>
      <c r="M498" s="7">
        <f>'1 datos preparados'!L491</f>
        <v/>
      </c>
      <c r="N498" s="7">
        <f>'1 datos preparados'!M491</f>
        <v/>
      </c>
      <c r="O498" s="7">
        <f>'1 datos preparados'!N491</f>
        <v/>
      </c>
      <c r="P498" s="7">
        <f>'1 datos preparados'!O491</f>
        <v/>
      </c>
      <c r="Q498" s="7">
        <f>'1 datos preparados'!P491</f>
        <v/>
      </c>
      <c r="R498" s="7">
        <f>'1 datos preparados'!Q491</f>
        <v/>
      </c>
      <c r="S498" s="7">
        <f>'1 datos preparados'!R491</f>
        <v/>
      </c>
      <c r="T498" s="7">
        <f>'1 datos preparados'!S491</f>
        <v/>
      </c>
      <c r="U498" s="7">
        <f>'1 datos preparados'!T491</f>
        <v/>
      </c>
      <c r="V498" s="8">
        <f>$AE$12+D498*$AE$13+E498*$AE$14+F498*$AE$15+G498*$AE$16+H498*$AE$17+I498*$AE$18+J498*$AE$19+K498*$AE$20+L498*$AE$21+M498*$AE$22+N498*$AE$23+O498*$AE$24+P498*$AE$25+Q498*$AE$26+R498*$AE$27+S498*$AE$28+T498*$AE$29+U498*$AE$30</f>
        <v/>
      </c>
      <c r="W498" s="8">
        <f>1/(1+EXP(-V498))</f>
        <v/>
      </c>
      <c r="X498" s="9">
        <f>-IF(C498=1,LN(W498),LN(1-W498))</f>
        <v/>
      </c>
      <c r="Y498" s="8">
        <f>IF(C498=1,$AE$32,$AE$33)</f>
        <v/>
      </c>
      <c r="Z498" s="9">
        <f>Y498*X498</f>
        <v/>
      </c>
      <c r="AA498" s="10">
        <f>IF(W498&gt;$AE$34,1,0)</f>
        <v/>
      </c>
      <c r="AB498">
        <f>IF(AA498=C498,1,0)</f>
        <v/>
      </c>
    </row>
    <row r="499">
      <c r="A499">
        <f>'1 datos preparados'!A492</f>
        <v/>
      </c>
      <c r="B499" s="5">
        <f>'1 datos preparados'!U492</f>
        <v/>
      </c>
      <c r="C499">
        <f>'1 datos preparados'!B492</f>
        <v/>
      </c>
      <c r="D499" s="7">
        <f>'1 datos preparados'!C492</f>
        <v/>
      </c>
      <c r="E499" s="7">
        <f>'1 datos preparados'!D492</f>
        <v/>
      </c>
      <c r="F499" s="7">
        <f>'1 datos preparados'!E492</f>
        <v/>
      </c>
      <c r="G499" s="7">
        <f>'1 datos preparados'!F492</f>
        <v/>
      </c>
      <c r="H499" s="7">
        <f>'1 datos preparados'!G492</f>
        <v/>
      </c>
      <c r="I499" s="7">
        <f>'1 datos preparados'!H492</f>
        <v/>
      </c>
      <c r="J499" s="7">
        <f>'1 datos preparados'!I492</f>
        <v/>
      </c>
      <c r="K499" s="7">
        <f>'1 datos preparados'!J492</f>
        <v/>
      </c>
      <c r="L499" s="7">
        <f>'1 datos preparados'!K492</f>
        <v/>
      </c>
      <c r="M499" s="7">
        <f>'1 datos preparados'!L492</f>
        <v/>
      </c>
      <c r="N499" s="7">
        <f>'1 datos preparados'!M492</f>
        <v/>
      </c>
      <c r="O499" s="7">
        <f>'1 datos preparados'!N492</f>
        <v/>
      </c>
      <c r="P499" s="7">
        <f>'1 datos preparados'!O492</f>
        <v/>
      </c>
      <c r="Q499" s="7">
        <f>'1 datos preparados'!P492</f>
        <v/>
      </c>
      <c r="R499" s="7">
        <f>'1 datos preparados'!Q492</f>
        <v/>
      </c>
      <c r="S499" s="7">
        <f>'1 datos preparados'!R492</f>
        <v/>
      </c>
      <c r="T499" s="7">
        <f>'1 datos preparados'!S492</f>
        <v/>
      </c>
      <c r="U499" s="7">
        <f>'1 datos preparados'!T492</f>
        <v/>
      </c>
      <c r="V499" s="8">
        <f>$AE$12+D499*$AE$13+E499*$AE$14+F499*$AE$15+G499*$AE$16+H499*$AE$17+I499*$AE$18+J499*$AE$19+K499*$AE$20+L499*$AE$21+M499*$AE$22+N499*$AE$23+O499*$AE$24+P499*$AE$25+Q499*$AE$26+R499*$AE$27+S499*$AE$28+T499*$AE$29+U499*$AE$30</f>
        <v/>
      </c>
      <c r="W499" s="8">
        <f>1/(1+EXP(-V499))</f>
        <v/>
      </c>
      <c r="X499" s="9">
        <f>-IF(C499=1,LN(W499),LN(1-W499))</f>
        <v/>
      </c>
      <c r="Y499" s="8">
        <f>IF(C499=1,$AE$32,$AE$33)</f>
        <v/>
      </c>
      <c r="Z499" s="9">
        <f>Y499*X499</f>
        <v/>
      </c>
      <c r="AA499" s="10">
        <f>IF(W499&gt;$AE$34,1,0)</f>
        <v/>
      </c>
      <c r="AB499">
        <f>IF(AA499=C499,1,0)</f>
        <v/>
      </c>
    </row>
    <row r="500">
      <c r="A500">
        <f>'1 datos preparados'!A493</f>
        <v/>
      </c>
      <c r="B500" s="5">
        <f>'1 datos preparados'!U493</f>
        <v/>
      </c>
      <c r="C500">
        <f>'1 datos preparados'!B493</f>
        <v/>
      </c>
      <c r="D500" s="7">
        <f>'1 datos preparados'!C493</f>
        <v/>
      </c>
      <c r="E500" s="7">
        <f>'1 datos preparados'!D493</f>
        <v/>
      </c>
      <c r="F500" s="7">
        <f>'1 datos preparados'!E493</f>
        <v/>
      </c>
      <c r="G500" s="7">
        <f>'1 datos preparados'!F493</f>
        <v/>
      </c>
      <c r="H500" s="7">
        <f>'1 datos preparados'!G493</f>
        <v/>
      </c>
      <c r="I500" s="7">
        <f>'1 datos preparados'!H493</f>
        <v/>
      </c>
      <c r="J500" s="7">
        <f>'1 datos preparados'!I493</f>
        <v/>
      </c>
      <c r="K500" s="7">
        <f>'1 datos preparados'!J493</f>
        <v/>
      </c>
      <c r="L500" s="7">
        <f>'1 datos preparados'!K493</f>
        <v/>
      </c>
      <c r="M500" s="7">
        <f>'1 datos preparados'!L493</f>
        <v/>
      </c>
      <c r="N500" s="7">
        <f>'1 datos preparados'!M493</f>
        <v/>
      </c>
      <c r="O500" s="7">
        <f>'1 datos preparados'!N493</f>
        <v/>
      </c>
      <c r="P500" s="7">
        <f>'1 datos preparados'!O493</f>
        <v/>
      </c>
      <c r="Q500" s="7">
        <f>'1 datos preparados'!P493</f>
        <v/>
      </c>
      <c r="R500" s="7">
        <f>'1 datos preparados'!Q493</f>
        <v/>
      </c>
      <c r="S500" s="7">
        <f>'1 datos preparados'!R493</f>
        <v/>
      </c>
      <c r="T500" s="7">
        <f>'1 datos preparados'!S493</f>
        <v/>
      </c>
      <c r="U500" s="7">
        <f>'1 datos preparados'!T493</f>
        <v/>
      </c>
      <c r="V500" s="8">
        <f>$AE$12+D500*$AE$13+E500*$AE$14+F500*$AE$15+G500*$AE$16+H500*$AE$17+I500*$AE$18+J500*$AE$19+K500*$AE$20+L500*$AE$21+M500*$AE$22+N500*$AE$23+O500*$AE$24+P500*$AE$25+Q500*$AE$26+R500*$AE$27+S500*$AE$28+T500*$AE$29+U500*$AE$30</f>
        <v/>
      </c>
      <c r="W500" s="8">
        <f>1/(1+EXP(-V500))</f>
        <v/>
      </c>
      <c r="X500" s="9">
        <f>-IF(C500=1,LN(W500),LN(1-W500))</f>
        <v/>
      </c>
      <c r="Y500" s="8">
        <f>IF(C500=1,$AE$32,$AE$33)</f>
        <v/>
      </c>
      <c r="Z500" s="9">
        <f>Y500*X500</f>
        <v/>
      </c>
      <c r="AA500" s="10">
        <f>IF(W500&gt;$AE$34,1,0)</f>
        <v/>
      </c>
      <c r="AB500">
        <f>IF(AA500=C500,1,0)</f>
        <v/>
      </c>
    </row>
    <row r="501">
      <c r="A501">
        <f>'1 datos preparados'!A494</f>
        <v/>
      </c>
      <c r="B501" s="5">
        <f>'1 datos preparados'!U494</f>
        <v/>
      </c>
      <c r="C501">
        <f>'1 datos preparados'!B494</f>
        <v/>
      </c>
      <c r="D501" s="7">
        <f>'1 datos preparados'!C494</f>
        <v/>
      </c>
      <c r="E501" s="7">
        <f>'1 datos preparados'!D494</f>
        <v/>
      </c>
      <c r="F501" s="7">
        <f>'1 datos preparados'!E494</f>
        <v/>
      </c>
      <c r="G501" s="7">
        <f>'1 datos preparados'!F494</f>
        <v/>
      </c>
      <c r="H501" s="7">
        <f>'1 datos preparados'!G494</f>
        <v/>
      </c>
      <c r="I501" s="7">
        <f>'1 datos preparados'!H494</f>
        <v/>
      </c>
      <c r="J501" s="7">
        <f>'1 datos preparados'!I494</f>
        <v/>
      </c>
      <c r="K501" s="7">
        <f>'1 datos preparados'!J494</f>
        <v/>
      </c>
      <c r="L501" s="7">
        <f>'1 datos preparados'!K494</f>
        <v/>
      </c>
      <c r="M501" s="7">
        <f>'1 datos preparados'!L494</f>
        <v/>
      </c>
      <c r="N501" s="7">
        <f>'1 datos preparados'!M494</f>
        <v/>
      </c>
      <c r="O501" s="7">
        <f>'1 datos preparados'!N494</f>
        <v/>
      </c>
      <c r="P501" s="7">
        <f>'1 datos preparados'!O494</f>
        <v/>
      </c>
      <c r="Q501" s="7">
        <f>'1 datos preparados'!P494</f>
        <v/>
      </c>
      <c r="R501" s="7">
        <f>'1 datos preparados'!Q494</f>
        <v/>
      </c>
      <c r="S501" s="7">
        <f>'1 datos preparados'!R494</f>
        <v/>
      </c>
      <c r="T501" s="7">
        <f>'1 datos preparados'!S494</f>
        <v/>
      </c>
      <c r="U501" s="7">
        <f>'1 datos preparados'!T494</f>
        <v/>
      </c>
      <c r="V501" s="8">
        <f>$AE$12+D501*$AE$13+E501*$AE$14+F501*$AE$15+G501*$AE$16+H501*$AE$17+I501*$AE$18+J501*$AE$19+K501*$AE$20+L501*$AE$21+M501*$AE$22+N501*$AE$23+O501*$AE$24+P501*$AE$25+Q501*$AE$26+R501*$AE$27+S501*$AE$28+T501*$AE$29+U501*$AE$30</f>
        <v/>
      </c>
      <c r="W501" s="8">
        <f>1/(1+EXP(-V501))</f>
        <v/>
      </c>
      <c r="X501" s="9">
        <f>-IF(C501=1,LN(W501),LN(1-W501))</f>
        <v/>
      </c>
      <c r="Y501" s="8">
        <f>IF(C501=1,$AE$32,$AE$33)</f>
        <v/>
      </c>
      <c r="Z501" s="9">
        <f>Y501*X501</f>
        <v/>
      </c>
      <c r="AA501" s="10">
        <f>IF(W501&gt;$AE$34,1,0)</f>
        <v/>
      </c>
      <c r="AB501">
        <f>IF(AA501=C501,1,0)</f>
        <v/>
      </c>
    </row>
    <row r="502">
      <c r="A502">
        <f>'1 datos preparados'!A495</f>
        <v/>
      </c>
      <c r="B502" s="5">
        <f>'1 datos preparados'!U495</f>
        <v/>
      </c>
      <c r="C502">
        <f>'1 datos preparados'!B495</f>
        <v/>
      </c>
      <c r="D502" s="7">
        <f>'1 datos preparados'!C495</f>
        <v/>
      </c>
      <c r="E502" s="7">
        <f>'1 datos preparados'!D495</f>
        <v/>
      </c>
      <c r="F502" s="7">
        <f>'1 datos preparados'!E495</f>
        <v/>
      </c>
      <c r="G502" s="7">
        <f>'1 datos preparados'!F495</f>
        <v/>
      </c>
      <c r="H502" s="7">
        <f>'1 datos preparados'!G495</f>
        <v/>
      </c>
      <c r="I502" s="7">
        <f>'1 datos preparados'!H495</f>
        <v/>
      </c>
      <c r="J502" s="7">
        <f>'1 datos preparados'!I495</f>
        <v/>
      </c>
      <c r="K502" s="7">
        <f>'1 datos preparados'!J495</f>
        <v/>
      </c>
      <c r="L502" s="7">
        <f>'1 datos preparados'!K495</f>
        <v/>
      </c>
      <c r="M502" s="7">
        <f>'1 datos preparados'!L495</f>
        <v/>
      </c>
      <c r="N502" s="7">
        <f>'1 datos preparados'!M495</f>
        <v/>
      </c>
      <c r="O502" s="7">
        <f>'1 datos preparados'!N495</f>
        <v/>
      </c>
      <c r="P502" s="7">
        <f>'1 datos preparados'!O495</f>
        <v/>
      </c>
      <c r="Q502" s="7">
        <f>'1 datos preparados'!P495</f>
        <v/>
      </c>
      <c r="R502" s="7">
        <f>'1 datos preparados'!Q495</f>
        <v/>
      </c>
      <c r="S502" s="7">
        <f>'1 datos preparados'!R495</f>
        <v/>
      </c>
      <c r="T502" s="7">
        <f>'1 datos preparados'!S495</f>
        <v/>
      </c>
      <c r="U502" s="7">
        <f>'1 datos preparados'!T495</f>
        <v/>
      </c>
      <c r="V502" s="8">
        <f>$AE$12+D502*$AE$13+E502*$AE$14+F502*$AE$15+G502*$AE$16+H502*$AE$17+I502*$AE$18+J502*$AE$19+K502*$AE$20+L502*$AE$21+M502*$AE$22+N502*$AE$23+O502*$AE$24+P502*$AE$25+Q502*$AE$26+R502*$AE$27+S502*$AE$28+T502*$AE$29+U502*$AE$30</f>
        <v/>
      </c>
      <c r="W502" s="8">
        <f>1/(1+EXP(-V502))</f>
        <v/>
      </c>
      <c r="X502" s="9">
        <f>-IF(C502=1,LN(W502),LN(1-W502))</f>
        <v/>
      </c>
      <c r="Y502" s="8">
        <f>IF(C502=1,$AE$32,$AE$33)</f>
        <v/>
      </c>
      <c r="Z502" s="9">
        <f>Y502*X502</f>
        <v/>
      </c>
      <c r="AA502" s="10">
        <f>IF(W502&gt;$AE$34,1,0)</f>
        <v/>
      </c>
      <c r="AB502">
        <f>IF(AA502=C502,1,0)</f>
        <v/>
      </c>
    </row>
    <row r="503">
      <c r="A503">
        <f>'1 datos preparados'!A496</f>
        <v/>
      </c>
      <c r="B503" s="5">
        <f>'1 datos preparados'!U496</f>
        <v/>
      </c>
      <c r="C503">
        <f>'1 datos preparados'!B496</f>
        <v/>
      </c>
      <c r="D503" s="7">
        <f>'1 datos preparados'!C496</f>
        <v/>
      </c>
      <c r="E503" s="7">
        <f>'1 datos preparados'!D496</f>
        <v/>
      </c>
      <c r="F503" s="7">
        <f>'1 datos preparados'!E496</f>
        <v/>
      </c>
      <c r="G503" s="7">
        <f>'1 datos preparados'!F496</f>
        <v/>
      </c>
      <c r="H503" s="7">
        <f>'1 datos preparados'!G496</f>
        <v/>
      </c>
      <c r="I503" s="7">
        <f>'1 datos preparados'!H496</f>
        <v/>
      </c>
      <c r="J503" s="7">
        <f>'1 datos preparados'!I496</f>
        <v/>
      </c>
      <c r="K503" s="7">
        <f>'1 datos preparados'!J496</f>
        <v/>
      </c>
      <c r="L503" s="7">
        <f>'1 datos preparados'!K496</f>
        <v/>
      </c>
      <c r="M503" s="7">
        <f>'1 datos preparados'!L496</f>
        <v/>
      </c>
      <c r="N503" s="7">
        <f>'1 datos preparados'!M496</f>
        <v/>
      </c>
      <c r="O503" s="7">
        <f>'1 datos preparados'!N496</f>
        <v/>
      </c>
      <c r="P503" s="7">
        <f>'1 datos preparados'!O496</f>
        <v/>
      </c>
      <c r="Q503" s="7">
        <f>'1 datos preparados'!P496</f>
        <v/>
      </c>
      <c r="R503" s="7">
        <f>'1 datos preparados'!Q496</f>
        <v/>
      </c>
      <c r="S503" s="7">
        <f>'1 datos preparados'!R496</f>
        <v/>
      </c>
      <c r="T503" s="7">
        <f>'1 datos preparados'!S496</f>
        <v/>
      </c>
      <c r="U503" s="7">
        <f>'1 datos preparados'!T496</f>
        <v/>
      </c>
      <c r="V503" s="8">
        <f>$AE$12+D503*$AE$13+E503*$AE$14+F503*$AE$15+G503*$AE$16+H503*$AE$17+I503*$AE$18+J503*$AE$19+K503*$AE$20+L503*$AE$21+M503*$AE$22+N503*$AE$23+O503*$AE$24+P503*$AE$25+Q503*$AE$26+R503*$AE$27+S503*$AE$28+T503*$AE$29+U503*$AE$30</f>
        <v/>
      </c>
      <c r="W503" s="8">
        <f>1/(1+EXP(-V503))</f>
        <v/>
      </c>
      <c r="X503" s="9">
        <f>-IF(C503=1,LN(W503),LN(1-W503))</f>
        <v/>
      </c>
      <c r="Y503" s="8">
        <f>IF(C503=1,$AE$32,$AE$33)</f>
        <v/>
      </c>
      <c r="Z503" s="9">
        <f>Y503*X503</f>
        <v/>
      </c>
      <c r="AA503" s="10">
        <f>IF(W503&gt;$AE$34,1,0)</f>
        <v/>
      </c>
      <c r="AB503">
        <f>IF(AA503=C503,1,0)</f>
        <v/>
      </c>
    </row>
    <row r="504">
      <c r="A504">
        <f>'1 datos preparados'!A497</f>
        <v/>
      </c>
      <c r="B504" s="5">
        <f>'1 datos preparados'!U497</f>
        <v/>
      </c>
      <c r="C504">
        <f>'1 datos preparados'!B497</f>
        <v/>
      </c>
      <c r="D504" s="7">
        <f>'1 datos preparados'!C497</f>
        <v/>
      </c>
      <c r="E504" s="7">
        <f>'1 datos preparados'!D497</f>
        <v/>
      </c>
      <c r="F504" s="7">
        <f>'1 datos preparados'!E497</f>
        <v/>
      </c>
      <c r="G504" s="7">
        <f>'1 datos preparados'!F497</f>
        <v/>
      </c>
      <c r="H504" s="7">
        <f>'1 datos preparados'!G497</f>
        <v/>
      </c>
      <c r="I504" s="7">
        <f>'1 datos preparados'!H497</f>
        <v/>
      </c>
      <c r="J504" s="7">
        <f>'1 datos preparados'!I497</f>
        <v/>
      </c>
      <c r="K504" s="7">
        <f>'1 datos preparados'!J497</f>
        <v/>
      </c>
      <c r="L504" s="7">
        <f>'1 datos preparados'!K497</f>
        <v/>
      </c>
      <c r="M504" s="7">
        <f>'1 datos preparados'!L497</f>
        <v/>
      </c>
      <c r="N504" s="7">
        <f>'1 datos preparados'!M497</f>
        <v/>
      </c>
      <c r="O504" s="7">
        <f>'1 datos preparados'!N497</f>
        <v/>
      </c>
      <c r="P504" s="7">
        <f>'1 datos preparados'!O497</f>
        <v/>
      </c>
      <c r="Q504" s="7">
        <f>'1 datos preparados'!P497</f>
        <v/>
      </c>
      <c r="R504" s="7">
        <f>'1 datos preparados'!Q497</f>
        <v/>
      </c>
      <c r="S504" s="7">
        <f>'1 datos preparados'!R497</f>
        <v/>
      </c>
      <c r="T504" s="7">
        <f>'1 datos preparados'!S497</f>
        <v/>
      </c>
      <c r="U504" s="7">
        <f>'1 datos preparados'!T497</f>
        <v/>
      </c>
      <c r="V504" s="8">
        <f>$AE$12+D504*$AE$13+E504*$AE$14+F504*$AE$15+G504*$AE$16+H504*$AE$17+I504*$AE$18+J504*$AE$19+K504*$AE$20+L504*$AE$21+M504*$AE$22+N504*$AE$23+O504*$AE$24+P504*$AE$25+Q504*$AE$26+R504*$AE$27+S504*$AE$28+T504*$AE$29+U504*$AE$30</f>
        <v/>
      </c>
      <c r="W504" s="8">
        <f>1/(1+EXP(-V504))</f>
        <v/>
      </c>
      <c r="X504" s="9">
        <f>-IF(C504=1,LN(W504),LN(1-W504))</f>
        <v/>
      </c>
      <c r="Y504" s="8">
        <f>IF(C504=1,$AE$32,$AE$33)</f>
        <v/>
      </c>
      <c r="Z504" s="9">
        <f>Y504*X504</f>
        <v/>
      </c>
      <c r="AA504" s="10">
        <f>IF(W504&gt;$AE$34,1,0)</f>
        <v/>
      </c>
      <c r="AB504">
        <f>IF(AA504=C504,1,0)</f>
        <v/>
      </c>
    </row>
    <row r="505">
      <c r="A505">
        <f>'1 datos preparados'!A498</f>
        <v/>
      </c>
      <c r="B505" s="5">
        <f>'1 datos preparados'!U498</f>
        <v/>
      </c>
      <c r="C505">
        <f>'1 datos preparados'!B498</f>
        <v/>
      </c>
      <c r="D505" s="7">
        <f>'1 datos preparados'!C498</f>
        <v/>
      </c>
      <c r="E505" s="7">
        <f>'1 datos preparados'!D498</f>
        <v/>
      </c>
      <c r="F505" s="7">
        <f>'1 datos preparados'!E498</f>
        <v/>
      </c>
      <c r="G505" s="7">
        <f>'1 datos preparados'!F498</f>
        <v/>
      </c>
      <c r="H505" s="7">
        <f>'1 datos preparados'!G498</f>
        <v/>
      </c>
      <c r="I505" s="7">
        <f>'1 datos preparados'!H498</f>
        <v/>
      </c>
      <c r="J505" s="7">
        <f>'1 datos preparados'!I498</f>
        <v/>
      </c>
      <c r="K505" s="7">
        <f>'1 datos preparados'!J498</f>
        <v/>
      </c>
      <c r="L505" s="7">
        <f>'1 datos preparados'!K498</f>
        <v/>
      </c>
      <c r="M505" s="7">
        <f>'1 datos preparados'!L498</f>
        <v/>
      </c>
      <c r="N505" s="7">
        <f>'1 datos preparados'!M498</f>
        <v/>
      </c>
      <c r="O505" s="7">
        <f>'1 datos preparados'!N498</f>
        <v/>
      </c>
      <c r="P505" s="7">
        <f>'1 datos preparados'!O498</f>
        <v/>
      </c>
      <c r="Q505" s="7">
        <f>'1 datos preparados'!P498</f>
        <v/>
      </c>
      <c r="R505" s="7">
        <f>'1 datos preparados'!Q498</f>
        <v/>
      </c>
      <c r="S505" s="7">
        <f>'1 datos preparados'!R498</f>
        <v/>
      </c>
      <c r="T505" s="7">
        <f>'1 datos preparados'!S498</f>
        <v/>
      </c>
      <c r="U505" s="7">
        <f>'1 datos preparados'!T498</f>
        <v/>
      </c>
      <c r="V505" s="8">
        <f>$AE$12+D505*$AE$13+E505*$AE$14+F505*$AE$15+G505*$AE$16+H505*$AE$17+I505*$AE$18+J505*$AE$19+K505*$AE$20+L505*$AE$21+M505*$AE$22+N505*$AE$23+O505*$AE$24+P505*$AE$25+Q505*$AE$26+R505*$AE$27+S505*$AE$28+T505*$AE$29+U505*$AE$30</f>
        <v/>
      </c>
      <c r="W505" s="8">
        <f>1/(1+EXP(-V505))</f>
        <v/>
      </c>
      <c r="X505" s="9">
        <f>-IF(C505=1,LN(W505),LN(1-W505))</f>
        <v/>
      </c>
      <c r="Y505" s="8">
        <f>IF(C505=1,$AE$32,$AE$33)</f>
        <v/>
      </c>
      <c r="Z505" s="9">
        <f>Y505*X505</f>
        <v/>
      </c>
      <c r="AA505" s="10">
        <f>IF(W505&gt;$AE$34,1,0)</f>
        <v/>
      </c>
      <c r="AB505">
        <f>IF(AA505=C505,1,0)</f>
        <v/>
      </c>
    </row>
    <row r="506">
      <c r="A506">
        <f>'1 datos preparados'!A499</f>
        <v/>
      </c>
      <c r="B506" s="5">
        <f>'1 datos preparados'!U499</f>
        <v/>
      </c>
      <c r="C506">
        <f>'1 datos preparados'!B499</f>
        <v/>
      </c>
      <c r="D506" s="7">
        <f>'1 datos preparados'!C499</f>
        <v/>
      </c>
      <c r="E506" s="7">
        <f>'1 datos preparados'!D499</f>
        <v/>
      </c>
      <c r="F506" s="7">
        <f>'1 datos preparados'!E499</f>
        <v/>
      </c>
      <c r="G506" s="7">
        <f>'1 datos preparados'!F499</f>
        <v/>
      </c>
      <c r="H506" s="7">
        <f>'1 datos preparados'!G499</f>
        <v/>
      </c>
      <c r="I506" s="7">
        <f>'1 datos preparados'!H499</f>
        <v/>
      </c>
      <c r="J506" s="7">
        <f>'1 datos preparados'!I499</f>
        <v/>
      </c>
      <c r="K506" s="7">
        <f>'1 datos preparados'!J499</f>
        <v/>
      </c>
      <c r="L506" s="7">
        <f>'1 datos preparados'!K499</f>
        <v/>
      </c>
      <c r="M506" s="7">
        <f>'1 datos preparados'!L499</f>
        <v/>
      </c>
      <c r="N506" s="7">
        <f>'1 datos preparados'!M499</f>
        <v/>
      </c>
      <c r="O506" s="7">
        <f>'1 datos preparados'!N499</f>
        <v/>
      </c>
      <c r="P506" s="7">
        <f>'1 datos preparados'!O499</f>
        <v/>
      </c>
      <c r="Q506" s="7">
        <f>'1 datos preparados'!P499</f>
        <v/>
      </c>
      <c r="R506" s="7">
        <f>'1 datos preparados'!Q499</f>
        <v/>
      </c>
      <c r="S506" s="7">
        <f>'1 datos preparados'!R499</f>
        <v/>
      </c>
      <c r="T506" s="7">
        <f>'1 datos preparados'!S499</f>
        <v/>
      </c>
      <c r="U506" s="7">
        <f>'1 datos preparados'!T499</f>
        <v/>
      </c>
      <c r="V506" s="8">
        <f>$AE$12+D506*$AE$13+E506*$AE$14+F506*$AE$15+G506*$AE$16+H506*$AE$17+I506*$AE$18+J506*$AE$19+K506*$AE$20+L506*$AE$21+M506*$AE$22+N506*$AE$23+O506*$AE$24+P506*$AE$25+Q506*$AE$26+R506*$AE$27+S506*$AE$28+T506*$AE$29+U506*$AE$30</f>
        <v/>
      </c>
      <c r="W506" s="8">
        <f>1/(1+EXP(-V506))</f>
        <v/>
      </c>
      <c r="X506" s="9">
        <f>-IF(C506=1,LN(W506),LN(1-W506))</f>
        <v/>
      </c>
      <c r="Y506" s="8">
        <f>IF(C506=1,$AE$32,$AE$33)</f>
        <v/>
      </c>
      <c r="Z506" s="9">
        <f>Y506*X506</f>
        <v/>
      </c>
      <c r="AA506" s="10">
        <f>IF(W506&gt;$AE$34,1,0)</f>
        <v/>
      </c>
      <c r="AB506">
        <f>IF(AA506=C506,1,0)</f>
        <v/>
      </c>
    </row>
    <row r="507">
      <c r="A507">
        <f>'1 datos preparados'!A500</f>
        <v/>
      </c>
      <c r="B507" s="5">
        <f>'1 datos preparados'!U500</f>
        <v/>
      </c>
      <c r="C507">
        <f>'1 datos preparados'!B500</f>
        <v/>
      </c>
      <c r="D507" s="7">
        <f>'1 datos preparados'!C500</f>
        <v/>
      </c>
      <c r="E507" s="7">
        <f>'1 datos preparados'!D500</f>
        <v/>
      </c>
      <c r="F507" s="7">
        <f>'1 datos preparados'!E500</f>
        <v/>
      </c>
      <c r="G507" s="7">
        <f>'1 datos preparados'!F500</f>
        <v/>
      </c>
      <c r="H507" s="7">
        <f>'1 datos preparados'!G500</f>
        <v/>
      </c>
      <c r="I507" s="7">
        <f>'1 datos preparados'!H500</f>
        <v/>
      </c>
      <c r="J507" s="7">
        <f>'1 datos preparados'!I500</f>
        <v/>
      </c>
      <c r="K507" s="7">
        <f>'1 datos preparados'!J500</f>
        <v/>
      </c>
      <c r="L507" s="7">
        <f>'1 datos preparados'!K500</f>
        <v/>
      </c>
      <c r="M507" s="7">
        <f>'1 datos preparados'!L500</f>
        <v/>
      </c>
      <c r="N507" s="7">
        <f>'1 datos preparados'!M500</f>
        <v/>
      </c>
      <c r="O507" s="7">
        <f>'1 datos preparados'!N500</f>
        <v/>
      </c>
      <c r="P507" s="7">
        <f>'1 datos preparados'!O500</f>
        <v/>
      </c>
      <c r="Q507" s="7">
        <f>'1 datos preparados'!P500</f>
        <v/>
      </c>
      <c r="R507" s="7">
        <f>'1 datos preparados'!Q500</f>
        <v/>
      </c>
      <c r="S507" s="7">
        <f>'1 datos preparados'!R500</f>
        <v/>
      </c>
      <c r="T507" s="7">
        <f>'1 datos preparados'!S500</f>
        <v/>
      </c>
      <c r="U507" s="7">
        <f>'1 datos preparados'!T500</f>
        <v/>
      </c>
      <c r="V507" s="8">
        <f>$AE$12+D507*$AE$13+E507*$AE$14+F507*$AE$15+G507*$AE$16+H507*$AE$17+I507*$AE$18+J507*$AE$19+K507*$AE$20+L507*$AE$21+M507*$AE$22+N507*$AE$23+O507*$AE$24+P507*$AE$25+Q507*$AE$26+R507*$AE$27+S507*$AE$28+T507*$AE$29+U507*$AE$30</f>
        <v/>
      </c>
      <c r="W507" s="8">
        <f>1/(1+EXP(-V507))</f>
        <v/>
      </c>
      <c r="X507" s="9">
        <f>-IF(C507=1,LN(W507),LN(1-W507))</f>
        <v/>
      </c>
      <c r="Y507" s="8">
        <f>IF(C507=1,$AE$32,$AE$33)</f>
        <v/>
      </c>
      <c r="Z507" s="9">
        <f>Y507*X507</f>
        <v/>
      </c>
      <c r="AA507" s="10">
        <f>IF(W507&gt;$AE$34,1,0)</f>
        <v/>
      </c>
      <c r="AB507">
        <f>IF(AA507=C507,1,0)</f>
        <v/>
      </c>
    </row>
    <row r="508">
      <c r="A508">
        <f>'1 datos preparados'!A501</f>
        <v/>
      </c>
      <c r="B508" s="5">
        <f>'1 datos preparados'!U501</f>
        <v/>
      </c>
      <c r="C508">
        <f>'1 datos preparados'!B501</f>
        <v/>
      </c>
      <c r="D508" s="7">
        <f>'1 datos preparados'!C501</f>
        <v/>
      </c>
      <c r="E508" s="7">
        <f>'1 datos preparados'!D501</f>
        <v/>
      </c>
      <c r="F508" s="7">
        <f>'1 datos preparados'!E501</f>
        <v/>
      </c>
      <c r="G508" s="7">
        <f>'1 datos preparados'!F501</f>
        <v/>
      </c>
      <c r="H508" s="7">
        <f>'1 datos preparados'!G501</f>
        <v/>
      </c>
      <c r="I508" s="7">
        <f>'1 datos preparados'!H501</f>
        <v/>
      </c>
      <c r="J508" s="7">
        <f>'1 datos preparados'!I501</f>
        <v/>
      </c>
      <c r="K508" s="7">
        <f>'1 datos preparados'!J501</f>
        <v/>
      </c>
      <c r="L508" s="7">
        <f>'1 datos preparados'!K501</f>
        <v/>
      </c>
      <c r="M508" s="7">
        <f>'1 datos preparados'!L501</f>
        <v/>
      </c>
      <c r="N508" s="7">
        <f>'1 datos preparados'!M501</f>
        <v/>
      </c>
      <c r="O508" s="7">
        <f>'1 datos preparados'!N501</f>
        <v/>
      </c>
      <c r="P508" s="7">
        <f>'1 datos preparados'!O501</f>
        <v/>
      </c>
      <c r="Q508" s="7">
        <f>'1 datos preparados'!P501</f>
        <v/>
      </c>
      <c r="R508" s="7">
        <f>'1 datos preparados'!Q501</f>
        <v/>
      </c>
      <c r="S508" s="7">
        <f>'1 datos preparados'!R501</f>
        <v/>
      </c>
      <c r="T508" s="7">
        <f>'1 datos preparados'!S501</f>
        <v/>
      </c>
      <c r="U508" s="7">
        <f>'1 datos preparados'!T501</f>
        <v/>
      </c>
      <c r="V508" s="8">
        <f>$AE$12+D508*$AE$13+E508*$AE$14+F508*$AE$15+G508*$AE$16+H508*$AE$17+I508*$AE$18+J508*$AE$19+K508*$AE$20+L508*$AE$21+M508*$AE$22+N508*$AE$23+O508*$AE$24+P508*$AE$25+Q508*$AE$26+R508*$AE$27+S508*$AE$28+T508*$AE$29+U508*$AE$30</f>
        <v/>
      </c>
      <c r="W508" s="8">
        <f>1/(1+EXP(-V508))</f>
        <v/>
      </c>
      <c r="X508" s="9">
        <f>-IF(C508=1,LN(W508),LN(1-W508))</f>
        <v/>
      </c>
      <c r="Y508" s="8">
        <f>IF(C508=1,$AE$32,$AE$33)</f>
        <v/>
      </c>
      <c r="Z508" s="9">
        <f>Y508*X508</f>
        <v/>
      </c>
      <c r="AA508" s="10">
        <f>IF(W508&gt;$AE$34,1,0)</f>
        <v/>
      </c>
      <c r="AB508">
        <f>IF(AA508=C508,1,0)</f>
        <v/>
      </c>
    </row>
    <row r="509">
      <c r="A509">
        <f>'1 datos preparados'!A502</f>
        <v/>
      </c>
      <c r="B509" s="5">
        <f>'1 datos preparados'!U502</f>
        <v/>
      </c>
      <c r="C509">
        <f>'1 datos preparados'!B502</f>
        <v/>
      </c>
      <c r="D509" s="7">
        <f>'1 datos preparados'!C502</f>
        <v/>
      </c>
      <c r="E509" s="7">
        <f>'1 datos preparados'!D502</f>
        <v/>
      </c>
      <c r="F509" s="7">
        <f>'1 datos preparados'!E502</f>
        <v/>
      </c>
      <c r="G509" s="7">
        <f>'1 datos preparados'!F502</f>
        <v/>
      </c>
      <c r="H509" s="7">
        <f>'1 datos preparados'!G502</f>
        <v/>
      </c>
      <c r="I509" s="7">
        <f>'1 datos preparados'!H502</f>
        <v/>
      </c>
      <c r="J509" s="7">
        <f>'1 datos preparados'!I502</f>
        <v/>
      </c>
      <c r="K509" s="7">
        <f>'1 datos preparados'!J502</f>
        <v/>
      </c>
      <c r="L509" s="7">
        <f>'1 datos preparados'!K502</f>
        <v/>
      </c>
      <c r="M509" s="7">
        <f>'1 datos preparados'!L502</f>
        <v/>
      </c>
      <c r="N509" s="7">
        <f>'1 datos preparados'!M502</f>
        <v/>
      </c>
      <c r="O509" s="7">
        <f>'1 datos preparados'!N502</f>
        <v/>
      </c>
      <c r="P509" s="7">
        <f>'1 datos preparados'!O502</f>
        <v/>
      </c>
      <c r="Q509" s="7">
        <f>'1 datos preparados'!P502</f>
        <v/>
      </c>
      <c r="R509" s="7">
        <f>'1 datos preparados'!Q502</f>
        <v/>
      </c>
      <c r="S509" s="7">
        <f>'1 datos preparados'!R502</f>
        <v/>
      </c>
      <c r="T509" s="7">
        <f>'1 datos preparados'!S502</f>
        <v/>
      </c>
      <c r="U509" s="7">
        <f>'1 datos preparados'!T502</f>
        <v/>
      </c>
      <c r="V509" s="8">
        <f>$AE$12+D509*$AE$13+E509*$AE$14+F509*$AE$15+G509*$AE$16+H509*$AE$17+I509*$AE$18+J509*$AE$19+K509*$AE$20+L509*$AE$21+M509*$AE$22+N509*$AE$23+O509*$AE$24+P509*$AE$25+Q509*$AE$26+R509*$AE$27+S509*$AE$28+T509*$AE$29+U509*$AE$30</f>
        <v/>
      </c>
      <c r="W509" s="8">
        <f>1/(1+EXP(-V509))</f>
        <v/>
      </c>
      <c r="X509" s="9">
        <f>-IF(C509=1,LN(W509),LN(1-W509))</f>
        <v/>
      </c>
      <c r="Y509" s="8">
        <f>IF(C509=1,$AE$32,$AE$33)</f>
        <v/>
      </c>
      <c r="Z509" s="9">
        <f>Y509*X509</f>
        <v/>
      </c>
      <c r="AA509" s="10">
        <f>IF(W509&gt;$AE$34,1,0)</f>
        <v/>
      </c>
      <c r="AB509">
        <f>IF(AA509=C509,1,0)</f>
        <v/>
      </c>
    </row>
    <row r="510">
      <c r="A510">
        <f>'1 datos preparados'!A503</f>
        <v/>
      </c>
      <c r="B510" s="5">
        <f>'1 datos preparados'!U503</f>
        <v/>
      </c>
      <c r="C510">
        <f>'1 datos preparados'!B503</f>
        <v/>
      </c>
      <c r="D510" s="7">
        <f>'1 datos preparados'!C503</f>
        <v/>
      </c>
      <c r="E510" s="7">
        <f>'1 datos preparados'!D503</f>
        <v/>
      </c>
      <c r="F510" s="7">
        <f>'1 datos preparados'!E503</f>
        <v/>
      </c>
      <c r="G510" s="7">
        <f>'1 datos preparados'!F503</f>
        <v/>
      </c>
      <c r="H510" s="7">
        <f>'1 datos preparados'!G503</f>
        <v/>
      </c>
      <c r="I510" s="7">
        <f>'1 datos preparados'!H503</f>
        <v/>
      </c>
      <c r="J510" s="7">
        <f>'1 datos preparados'!I503</f>
        <v/>
      </c>
      <c r="K510" s="7">
        <f>'1 datos preparados'!J503</f>
        <v/>
      </c>
      <c r="L510" s="7">
        <f>'1 datos preparados'!K503</f>
        <v/>
      </c>
      <c r="M510" s="7">
        <f>'1 datos preparados'!L503</f>
        <v/>
      </c>
      <c r="N510" s="7">
        <f>'1 datos preparados'!M503</f>
        <v/>
      </c>
      <c r="O510" s="7">
        <f>'1 datos preparados'!N503</f>
        <v/>
      </c>
      <c r="P510" s="7">
        <f>'1 datos preparados'!O503</f>
        <v/>
      </c>
      <c r="Q510" s="7">
        <f>'1 datos preparados'!P503</f>
        <v/>
      </c>
      <c r="R510" s="7">
        <f>'1 datos preparados'!Q503</f>
        <v/>
      </c>
      <c r="S510" s="7">
        <f>'1 datos preparados'!R503</f>
        <v/>
      </c>
      <c r="T510" s="7">
        <f>'1 datos preparados'!S503</f>
        <v/>
      </c>
      <c r="U510" s="7">
        <f>'1 datos preparados'!T503</f>
        <v/>
      </c>
      <c r="V510" s="8">
        <f>$AE$12+D510*$AE$13+E510*$AE$14+F510*$AE$15+G510*$AE$16+H510*$AE$17+I510*$AE$18+J510*$AE$19+K510*$AE$20+L510*$AE$21+M510*$AE$22+N510*$AE$23+O510*$AE$24+P510*$AE$25+Q510*$AE$26+R510*$AE$27+S510*$AE$28+T510*$AE$29+U510*$AE$30</f>
        <v/>
      </c>
      <c r="W510" s="8">
        <f>1/(1+EXP(-V510))</f>
        <v/>
      </c>
      <c r="X510" s="9">
        <f>-IF(C510=1,LN(W510),LN(1-W510))</f>
        <v/>
      </c>
      <c r="Y510" s="8">
        <f>IF(C510=1,$AE$32,$AE$33)</f>
        <v/>
      </c>
      <c r="Z510" s="9">
        <f>Y510*X510</f>
        <v/>
      </c>
      <c r="AA510" s="10">
        <f>IF(W510&gt;$AE$34,1,0)</f>
        <v/>
      </c>
      <c r="AB510">
        <f>IF(AA510=C510,1,0)</f>
        <v/>
      </c>
    </row>
    <row r="511">
      <c r="A511">
        <f>'1 datos preparados'!A504</f>
        <v/>
      </c>
      <c r="B511" s="5">
        <f>'1 datos preparados'!U504</f>
        <v/>
      </c>
      <c r="C511">
        <f>'1 datos preparados'!B504</f>
        <v/>
      </c>
      <c r="D511" s="7">
        <f>'1 datos preparados'!C504</f>
        <v/>
      </c>
      <c r="E511" s="7">
        <f>'1 datos preparados'!D504</f>
        <v/>
      </c>
      <c r="F511" s="7">
        <f>'1 datos preparados'!E504</f>
        <v/>
      </c>
      <c r="G511" s="7">
        <f>'1 datos preparados'!F504</f>
        <v/>
      </c>
      <c r="H511" s="7">
        <f>'1 datos preparados'!G504</f>
        <v/>
      </c>
      <c r="I511" s="7">
        <f>'1 datos preparados'!H504</f>
        <v/>
      </c>
      <c r="J511" s="7">
        <f>'1 datos preparados'!I504</f>
        <v/>
      </c>
      <c r="K511" s="7">
        <f>'1 datos preparados'!J504</f>
        <v/>
      </c>
      <c r="L511" s="7">
        <f>'1 datos preparados'!K504</f>
        <v/>
      </c>
      <c r="M511" s="7">
        <f>'1 datos preparados'!L504</f>
        <v/>
      </c>
      <c r="N511" s="7">
        <f>'1 datos preparados'!M504</f>
        <v/>
      </c>
      <c r="O511" s="7">
        <f>'1 datos preparados'!N504</f>
        <v/>
      </c>
      <c r="P511" s="7">
        <f>'1 datos preparados'!O504</f>
        <v/>
      </c>
      <c r="Q511" s="7">
        <f>'1 datos preparados'!P504</f>
        <v/>
      </c>
      <c r="R511" s="7">
        <f>'1 datos preparados'!Q504</f>
        <v/>
      </c>
      <c r="S511" s="7">
        <f>'1 datos preparados'!R504</f>
        <v/>
      </c>
      <c r="T511" s="7">
        <f>'1 datos preparados'!S504</f>
        <v/>
      </c>
      <c r="U511" s="7">
        <f>'1 datos preparados'!T504</f>
        <v/>
      </c>
      <c r="V511" s="8">
        <f>$AE$12+D511*$AE$13+E511*$AE$14+F511*$AE$15+G511*$AE$16+H511*$AE$17+I511*$AE$18+J511*$AE$19+K511*$AE$20+L511*$AE$21+M511*$AE$22+N511*$AE$23+O511*$AE$24+P511*$AE$25+Q511*$AE$26+R511*$AE$27+S511*$AE$28+T511*$AE$29+U511*$AE$30</f>
        <v/>
      </c>
      <c r="W511" s="8">
        <f>1/(1+EXP(-V511))</f>
        <v/>
      </c>
      <c r="X511" s="9">
        <f>-IF(C511=1,LN(W511),LN(1-W511))</f>
        <v/>
      </c>
      <c r="Y511" s="8">
        <f>IF(C511=1,$AE$32,$AE$33)</f>
        <v/>
      </c>
      <c r="Z511" s="9">
        <f>Y511*X511</f>
        <v/>
      </c>
      <c r="AA511" s="10">
        <f>IF(W511&gt;$AE$34,1,0)</f>
        <v/>
      </c>
      <c r="AB511">
        <f>IF(AA511=C511,1,0)</f>
        <v/>
      </c>
    </row>
    <row r="512">
      <c r="A512">
        <f>'1 datos preparados'!A505</f>
        <v/>
      </c>
      <c r="B512" s="5">
        <f>'1 datos preparados'!U505</f>
        <v/>
      </c>
      <c r="C512">
        <f>'1 datos preparados'!B505</f>
        <v/>
      </c>
      <c r="D512" s="7">
        <f>'1 datos preparados'!C505</f>
        <v/>
      </c>
      <c r="E512" s="7">
        <f>'1 datos preparados'!D505</f>
        <v/>
      </c>
      <c r="F512" s="7">
        <f>'1 datos preparados'!E505</f>
        <v/>
      </c>
      <c r="G512" s="7">
        <f>'1 datos preparados'!F505</f>
        <v/>
      </c>
      <c r="H512" s="7">
        <f>'1 datos preparados'!G505</f>
        <v/>
      </c>
      <c r="I512" s="7">
        <f>'1 datos preparados'!H505</f>
        <v/>
      </c>
      <c r="J512" s="7">
        <f>'1 datos preparados'!I505</f>
        <v/>
      </c>
      <c r="K512" s="7">
        <f>'1 datos preparados'!J505</f>
        <v/>
      </c>
      <c r="L512" s="7">
        <f>'1 datos preparados'!K505</f>
        <v/>
      </c>
      <c r="M512" s="7">
        <f>'1 datos preparados'!L505</f>
        <v/>
      </c>
      <c r="N512" s="7">
        <f>'1 datos preparados'!M505</f>
        <v/>
      </c>
      <c r="O512" s="7">
        <f>'1 datos preparados'!N505</f>
        <v/>
      </c>
      <c r="P512" s="7">
        <f>'1 datos preparados'!O505</f>
        <v/>
      </c>
      <c r="Q512" s="7">
        <f>'1 datos preparados'!P505</f>
        <v/>
      </c>
      <c r="R512" s="7">
        <f>'1 datos preparados'!Q505</f>
        <v/>
      </c>
      <c r="S512" s="7">
        <f>'1 datos preparados'!R505</f>
        <v/>
      </c>
      <c r="T512" s="7">
        <f>'1 datos preparados'!S505</f>
        <v/>
      </c>
      <c r="U512" s="7">
        <f>'1 datos preparados'!T505</f>
        <v/>
      </c>
      <c r="V512" s="8">
        <f>$AE$12+D512*$AE$13+E512*$AE$14+F512*$AE$15+G512*$AE$16+H512*$AE$17+I512*$AE$18+J512*$AE$19+K512*$AE$20+L512*$AE$21+M512*$AE$22+N512*$AE$23+O512*$AE$24+P512*$AE$25+Q512*$AE$26+R512*$AE$27+S512*$AE$28+T512*$AE$29+U512*$AE$30</f>
        <v/>
      </c>
      <c r="W512" s="8">
        <f>1/(1+EXP(-V512))</f>
        <v/>
      </c>
      <c r="X512" s="9">
        <f>-IF(C512=1,LN(W512),LN(1-W512))</f>
        <v/>
      </c>
      <c r="Y512" s="8">
        <f>IF(C512=1,$AE$32,$AE$33)</f>
        <v/>
      </c>
      <c r="Z512" s="9">
        <f>Y512*X512</f>
        <v/>
      </c>
      <c r="AA512" s="10">
        <f>IF(W512&gt;$AE$34,1,0)</f>
        <v/>
      </c>
      <c r="AB512">
        <f>IF(AA512=C512,1,0)</f>
        <v/>
      </c>
    </row>
    <row r="513">
      <c r="A513">
        <f>'1 datos preparados'!A506</f>
        <v/>
      </c>
      <c r="B513" s="5">
        <f>'1 datos preparados'!U506</f>
        <v/>
      </c>
      <c r="C513">
        <f>'1 datos preparados'!B506</f>
        <v/>
      </c>
      <c r="D513" s="7">
        <f>'1 datos preparados'!C506</f>
        <v/>
      </c>
      <c r="E513" s="7">
        <f>'1 datos preparados'!D506</f>
        <v/>
      </c>
      <c r="F513" s="7">
        <f>'1 datos preparados'!E506</f>
        <v/>
      </c>
      <c r="G513" s="7">
        <f>'1 datos preparados'!F506</f>
        <v/>
      </c>
      <c r="H513" s="7">
        <f>'1 datos preparados'!G506</f>
        <v/>
      </c>
      <c r="I513" s="7">
        <f>'1 datos preparados'!H506</f>
        <v/>
      </c>
      <c r="J513" s="7">
        <f>'1 datos preparados'!I506</f>
        <v/>
      </c>
      <c r="K513" s="7">
        <f>'1 datos preparados'!J506</f>
        <v/>
      </c>
      <c r="L513" s="7">
        <f>'1 datos preparados'!K506</f>
        <v/>
      </c>
      <c r="M513" s="7">
        <f>'1 datos preparados'!L506</f>
        <v/>
      </c>
      <c r="N513" s="7">
        <f>'1 datos preparados'!M506</f>
        <v/>
      </c>
      <c r="O513" s="7">
        <f>'1 datos preparados'!N506</f>
        <v/>
      </c>
      <c r="P513" s="7">
        <f>'1 datos preparados'!O506</f>
        <v/>
      </c>
      <c r="Q513" s="7">
        <f>'1 datos preparados'!P506</f>
        <v/>
      </c>
      <c r="R513" s="7">
        <f>'1 datos preparados'!Q506</f>
        <v/>
      </c>
      <c r="S513" s="7">
        <f>'1 datos preparados'!R506</f>
        <v/>
      </c>
      <c r="T513" s="7">
        <f>'1 datos preparados'!S506</f>
        <v/>
      </c>
      <c r="U513" s="7">
        <f>'1 datos preparados'!T506</f>
        <v/>
      </c>
      <c r="V513" s="8">
        <f>$AE$12+D513*$AE$13+E513*$AE$14+F513*$AE$15+G513*$AE$16+H513*$AE$17+I513*$AE$18+J513*$AE$19+K513*$AE$20+L513*$AE$21+M513*$AE$22+N513*$AE$23+O513*$AE$24+P513*$AE$25+Q513*$AE$26+R513*$AE$27+S513*$AE$28+T513*$AE$29+U513*$AE$30</f>
        <v/>
      </c>
      <c r="W513" s="8">
        <f>1/(1+EXP(-V513))</f>
        <v/>
      </c>
      <c r="X513" s="9">
        <f>-IF(C513=1,LN(W513),LN(1-W513))</f>
        <v/>
      </c>
      <c r="Y513" s="8">
        <f>IF(C513=1,$AE$32,$AE$33)</f>
        <v/>
      </c>
      <c r="Z513" s="9">
        <f>Y513*X513</f>
        <v/>
      </c>
      <c r="AA513" s="10">
        <f>IF(W513&gt;$AE$34,1,0)</f>
        <v/>
      </c>
      <c r="AB513">
        <f>IF(AA513=C513,1,0)</f>
        <v/>
      </c>
    </row>
    <row r="514">
      <c r="A514">
        <f>'1 datos preparados'!A507</f>
        <v/>
      </c>
      <c r="B514" s="5">
        <f>'1 datos preparados'!U507</f>
        <v/>
      </c>
      <c r="C514">
        <f>'1 datos preparados'!B507</f>
        <v/>
      </c>
      <c r="D514" s="7">
        <f>'1 datos preparados'!C507</f>
        <v/>
      </c>
      <c r="E514" s="7">
        <f>'1 datos preparados'!D507</f>
        <v/>
      </c>
      <c r="F514" s="7">
        <f>'1 datos preparados'!E507</f>
        <v/>
      </c>
      <c r="G514" s="7">
        <f>'1 datos preparados'!F507</f>
        <v/>
      </c>
      <c r="H514" s="7">
        <f>'1 datos preparados'!G507</f>
        <v/>
      </c>
      <c r="I514" s="7">
        <f>'1 datos preparados'!H507</f>
        <v/>
      </c>
      <c r="J514" s="7">
        <f>'1 datos preparados'!I507</f>
        <v/>
      </c>
      <c r="K514" s="7">
        <f>'1 datos preparados'!J507</f>
        <v/>
      </c>
      <c r="L514" s="7">
        <f>'1 datos preparados'!K507</f>
        <v/>
      </c>
      <c r="M514" s="7">
        <f>'1 datos preparados'!L507</f>
        <v/>
      </c>
      <c r="N514" s="7">
        <f>'1 datos preparados'!M507</f>
        <v/>
      </c>
      <c r="O514" s="7">
        <f>'1 datos preparados'!N507</f>
        <v/>
      </c>
      <c r="P514" s="7">
        <f>'1 datos preparados'!O507</f>
        <v/>
      </c>
      <c r="Q514" s="7">
        <f>'1 datos preparados'!P507</f>
        <v/>
      </c>
      <c r="R514" s="7">
        <f>'1 datos preparados'!Q507</f>
        <v/>
      </c>
      <c r="S514" s="7">
        <f>'1 datos preparados'!R507</f>
        <v/>
      </c>
      <c r="T514" s="7">
        <f>'1 datos preparados'!S507</f>
        <v/>
      </c>
      <c r="U514" s="7">
        <f>'1 datos preparados'!T507</f>
        <v/>
      </c>
      <c r="V514" s="8">
        <f>$AE$12+D514*$AE$13+E514*$AE$14+F514*$AE$15+G514*$AE$16+H514*$AE$17+I514*$AE$18+J514*$AE$19+K514*$AE$20+L514*$AE$21+M514*$AE$22+N514*$AE$23+O514*$AE$24+P514*$AE$25+Q514*$AE$26+R514*$AE$27+S514*$AE$28+T514*$AE$29+U514*$AE$30</f>
        <v/>
      </c>
      <c r="W514" s="8">
        <f>1/(1+EXP(-V514))</f>
        <v/>
      </c>
      <c r="X514" s="9">
        <f>-IF(C514=1,LN(W514),LN(1-W514))</f>
        <v/>
      </c>
      <c r="Y514" s="8">
        <f>IF(C514=1,$AE$32,$AE$33)</f>
        <v/>
      </c>
      <c r="Z514" s="9">
        <f>Y514*X514</f>
        <v/>
      </c>
      <c r="AA514" s="10">
        <f>IF(W514&gt;$AE$34,1,0)</f>
        <v/>
      </c>
      <c r="AB514">
        <f>IF(AA514=C514,1,0)</f>
        <v/>
      </c>
    </row>
    <row r="515">
      <c r="A515">
        <f>'1 datos preparados'!A508</f>
        <v/>
      </c>
      <c r="B515" s="5">
        <f>'1 datos preparados'!U508</f>
        <v/>
      </c>
      <c r="C515">
        <f>'1 datos preparados'!B508</f>
        <v/>
      </c>
      <c r="D515" s="7">
        <f>'1 datos preparados'!C508</f>
        <v/>
      </c>
      <c r="E515" s="7">
        <f>'1 datos preparados'!D508</f>
        <v/>
      </c>
      <c r="F515" s="7">
        <f>'1 datos preparados'!E508</f>
        <v/>
      </c>
      <c r="G515" s="7">
        <f>'1 datos preparados'!F508</f>
        <v/>
      </c>
      <c r="H515" s="7">
        <f>'1 datos preparados'!G508</f>
        <v/>
      </c>
      <c r="I515" s="7">
        <f>'1 datos preparados'!H508</f>
        <v/>
      </c>
      <c r="J515" s="7">
        <f>'1 datos preparados'!I508</f>
        <v/>
      </c>
      <c r="K515" s="7">
        <f>'1 datos preparados'!J508</f>
        <v/>
      </c>
      <c r="L515" s="7">
        <f>'1 datos preparados'!K508</f>
        <v/>
      </c>
      <c r="M515" s="7">
        <f>'1 datos preparados'!L508</f>
        <v/>
      </c>
      <c r="N515" s="7">
        <f>'1 datos preparados'!M508</f>
        <v/>
      </c>
      <c r="O515" s="7">
        <f>'1 datos preparados'!N508</f>
        <v/>
      </c>
      <c r="P515" s="7">
        <f>'1 datos preparados'!O508</f>
        <v/>
      </c>
      <c r="Q515" s="7">
        <f>'1 datos preparados'!P508</f>
        <v/>
      </c>
      <c r="R515" s="7">
        <f>'1 datos preparados'!Q508</f>
        <v/>
      </c>
      <c r="S515" s="7">
        <f>'1 datos preparados'!R508</f>
        <v/>
      </c>
      <c r="T515" s="7">
        <f>'1 datos preparados'!S508</f>
        <v/>
      </c>
      <c r="U515" s="7">
        <f>'1 datos preparados'!T508</f>
        <v/>
      </c>
      <c r="V515" s="8">
        <f>$AE$12+D515*$AE$13+E515*$AE$14+F515*$AE$15+G515*$AE$16+H515*$AE$17+I515*$AE$18+J515*$AE$19+K515*$AE$20+L515*$AE$21+M515*$AE$22+N515*$AE$23+O515*$AE$24+P515*$AE$25+Q515*$AE$26+R515*$AE$27+S515*$AE$28+T515*$AE$29+U515*$AE$30</f>
        <v/>
      </c>
      <c r="W515" s="8">
        <f>1/(1+EXP(-V515))</f>
        <v/>
      </c>
      <c r="X515" s="9">
        <f>-IF(C515=1,LN(W515),LN(1-W515))</f>
        <v/>
      </c>
      <c r="Y515" s="8">
        <f>IF(C515=1,$AE$32,$AE$33)</f>
        <v/>
      </c>
      <c r="Z515" s="9">
        <f>Y515*X515</f>
        <v/>
      </c>
      <c r="AA515" s="10">
        <f>IF(W515&gt;$AE$34,1,0)</f>
        <v/>
      </c>
      <c r="AB515">
        <f>IF(AA515=C515,1,0)</f>
        <v/>
      </c>
    </row>
    <row r="516">
      <c r="A516">
        <f>'1 datos preparados'!A509</f>
        <v/>
      </c>
      <c r="B516" s="5">
        <f>'1 datos preparados'!U509</f>
        <v/>
      </c>
      <c r="C516">
        <f>'1 datos preparados'!B509</f>
        <v/>
      </c>
      <c r="D516" s="7">
        <f>'1 datos preparados'!C509</f>
        <v/>
      </c>
      <c r="E516" s="7">
        <f>'1 datos preparados'!D509</f>
        <v/>
      </c>
      <c r="F516" s="7">
        <f>'1 datos preparados'!E509</f>
        <v/>
      </c>
      <c r="G516" s="7">
        <f>'1 datos preparados'!F509</f>
        <v/>
      </c>
      <c r="H516" s="7">
        <f>'1 datos preparados'!G509</f>
        <v/>
      </c>
      <c r="I516" s="7">
        <f>'1 datos preparados'!H509</f>
        <v/>
      </c>
      <c r="J516" s="7">
        <f>'1 datos preparados'!I509</f>
        <v/>
      </c>
      <c r="K516" s="7">
        <f>'1 datos preparados'!J509</f>
        <v/>
      </c>
      <c r="L516" s="7">
        <f>'1 datos preparados'!K509</f>
        <v/>
      </c>
      <c r="M516" s="7">
        <f>'1 datos preparados'!L509</f>
        <v/>
      </c>
      <c r="N516" s="7">
        <f>'1 datos preparados'!M509</f>
        <v/>
      </c>
      <c r="O516" s="7">
        <f>'1 datos preparados'!N509</f>
        <v/>
      </c>
      <c r="P516" s="7">
        <f>'1 datos preparados'!O509</f>
        <v/>
      </c>
      <c r="Q516" s="7">
        <f>'1 datos preparados'!P509</f>
        <v/>
      </c>
      <c r="R516" s="7">
        <f>'1 datos preparados'!Q509</f>
        <v/>
      </c>
      <c r="S516" s="7">
        <f>'1 datos preparados'!R509</f>
        <v/>
      </c>
      <c r="T516" s="7">
        <f>'1 datos preparados'!S509</f>
        <v/>
      </c>
      <c r="U516" s="7">
        <f>'1 datos preparados'!T509</f>
        <v/>
      </c>
      <c r="V516" s="8">
        <f>$AE$12+D516*$AE$13+E516*$AE$14+F516*$AE$15+G516*$AE$16+H516*$AE$17+I516*$AE$18+J516*$AE$19+K516*$AE$20+L516*$AE$21+M516*$AE$22+N516*$AE$23+O516*$AE$24+P516*$AE$25+Q516*$AE$26+R516*$AE$27+S516*$AE$28+T516*$AE$29+U516*$AE$30</f>
        <v/>
      </c>
      <c r="W516" s="8">
        <f>1/(1+EXP(-V516))</f>
        <v/>
      </c>
      <c r="X516" s="9">
        <f>-IF(C516=1,LN(W516),LN(1-W516))</f>
        <v/>
      </c>
      <c r="Y516" s="8">
        <f>IF(C516=1,$AE$32,$AE$33)</f>
        <v/>
      </c>
      <c r="Z516" s="9">
        <f>Y516*X516</f>
        <v/>
      </c>
      <c r="AA516" s="10">
        <f>IF(W516&gt;$AE$34,1,0)</f>
        <v/>
      </c>
      <c r="AB516">
        <f>IF(AA516=C516,1,0)</f>
        <v/>
      </c>
    </row>
    <row r="517">
      <c r="A517">
        <f>'1 datos preparados'!A510</f>
        <v/>
      </c>
      <c r="B517" s="5">
        <f>'1 datos preparados'!U510</f>
        <v/>
      </c>
      <c r="C517">
        <f>'1 datos preparados'!B510</f>
        <v/>
      </c>
      <c r="D517" s="7">
        <f>'1 datos preparados'!C510</f>
        <v/>
      </c>
      <c r="E517" s="7">
        <f>'1 datos preparados'!D510</f>
        <v/>
      </c>
      <c r="F517" s="7">
        <f>'1 datos preparados'!E510</f>
        <v/>
      </c>
      <c r="G517" s="7">
        <f>'1 datos preparados'!F510</f>
        <v/>
      </c>
      <c r="H517" s="7">
        <f>'1 datos preparados'!G510</f>
        <v/>
      </c>
      <c r="I517" s="7">
        <f>'1 datos preparados'!H510</f>
        <v/>
      </c>
      <c r="J517" s="7">
        <f>'1 datos preparados'!I510</f>
        <v/>
      </c>
      <c r="K517" s="7">
        <f>'1 datos preparados'!J510</f>
        <v/>
      </c>
      <c r="L517" s="7">
        <f>'1 datos preparados'!K510</f>
        <v/>
      </c>
      <c r="M517" s="7">
        <f>'1 datos preparados'!L510</f>
        <v/>
      </c>
      <c r="N517" s="7">
        <f>'1 datos preparados'!M510</f>
        <v/>
      </c>
      <c r="O517" s="7">
        <f>'1 datos preparados'!N510</f>
        <v/>
      </c>
      <c r="P517" s="7">
        <f>'1 datos preparados'!O510</f>
        <v/>
      </c>
      <c r="Q517" s="7">
        <f>'1 datos preparados'!P510</f>
        <v/>
      </c>
      <c r="R517" s="7">
        <f>'1 datos preparados'!Q510</f>
        <v/>
      </c>
      <c r="S517" s="7">
        <f>'1 datos preparados'!R510</f>
        <v/>
      </c>
      <c r="T517" s="7">
        <f>'1 datos preparados'!S510</f>
        <v/>
      </c>
      <c r="U517" s="7">
        <f>'1 datos preparados'!T510</f>
        <v/>
      </c>
      <c r="V517" s="8">
        <f>$AE$12+D517*$AE$13+E517*$AE$14+F517*$AE$15+G517*$AE$16+H517*$AE$17+I517*$AE$18+J517*$AE$19+K517*$AE$20+L517*$AE$21+M517*$AE$22+N517*$AE$23+O517*$AE$24+P517*$AE$25+Q517*$AE$26+R517*$AE$27+S517*$AE$28+T517*$AE$29+U517*$AE$30</f>
        <v/>
      </c>
      <c r="W517" s="8">
        <f>1/(1+EXP(-V517))</f>
        <v/>
      </c>
      <c r="X517" s="9">
        <f>-IF(C517=1,LN(W517),LN(1-W517))</f>
        <v/>
      </c>
      <c r="Y517" s="8">
        <f>IF(C517=1,$AE$32,$AE$33)</f>
        <v/>
      </c>
      <c r="Z517" s="9">
        <f>Y517*X517</f>
        <v/>
      </c>
      <c r="AA517" s="10">
        <f>IF(W517&gt;$AE$34,1,0)</f>
        <v/>
      </c>
      <c r="AB517">
        <f>IF(AA517=C517,1,0)</f>
        <v/>
      </c>
    </row>
    <row r="518">
      <c r="A518">
        <f>'1 datos preparados'!A511</f>
        <v/>
      </c>
      <c r="B518" s="5">
        <f>'1 datos preparados'!U511</f>
        <v/>
      </c>
      <c r="C518">
        <f>'1 datos preparados'!B511</f>
        <v/>
      </c>
      <c r="D518" s="7">
        <f>'1 datos preparados'!C511</f>
        <v/>
      </c>
      <c r="E518" s="7">
        <f>'1 datos preparados'!D511</f>
        <v/>
      </c>
      <c r="F518" s="7">
        <f>'1 datos preparados'!E511</f>
        <v/>
      </c>
      <c r="G518" s="7">
        <f>'1 datos preparados'!F511</f>
        <v/>
      </c>
      <c r="H518" s="7">
        <f>'1 datos preparados'!G511</f>
        <v/>
      </c>
      <c r="I518" s="7">
        <f>'1 datos preparados'!H511</f>
        <v/>
      </c>
      <c r="J518" s="7">
        <f>'1 datos preparados'!I511</f>
        <v/>
      </c>
      <c r="K518" s="7">
        <f>'1 datos preparados'!J511</f>
        <v/>
      </c>
      <c r="L518" s="7">
        <f>'1 datos preparados'!K511</f>
        <v/>
      </c>
      <c r="M518" s="7">
        <f>'1 datos preparados'!L511</f>
        <v/>
      </c>
      <c r="N518" s="7">
        <f>'1 datos preparados'!M511</f>
        <v/>
      </c>
      <c r="O518" s="7">
        <f>'1 datos preparados'!N511</f>
        <v/>
      </c>
      <c r="P518" s="7">
        <f>'1 datos preparados'!O511</f>
        <v/>
      </c>
      <c r="Q518" s="7">
        <f>'1 datos preparados'!P511</f>
        <v/>
      </c>
      <c r="R518" s="7">
        <f>'1 datos preparados'!Q511</f>
        <v/>
      </c>
      <c r="S518" s="7">
        <f>'1 datos preparados'!R511</f>
        <v/>
      </c>
      <c r="T518" s="7">
        <f>'1 datos preparados'!S511</f>
        <v/>
      </c>
      <c r="U518" s="7">
        <f>'1 datos preparados'!T511</f>
        <v/>
      </c>
      <c r="V518" s="8">
        <f>$AE$12+D518*$AE$13+E518*$AE$14+F518*$AE$15+G518*$AE$16+H518*$AE$17+I518*$AE$18+J518*$AE$19+K518*$AE$20+L518*$AE$21+M518*$AE$22+N518*$AE$23+O518*$AE$24+P518*$AE$25+Q518*$AE$26+R518*$AE$27+S518*$AE$28+T518*$AE$29+U518*$AE$30</f>
        <v/>
      </c>
      <c r="W518" s="8">
        <f>1/(1+EXP(-V518))</f>
        <v/>
      </c>
      <c r="X518" s="9">
        <f>-IF(C518=1,LN(W518),LN(1-W518))</f>
        <v/>
      </c>
      <c r="Y518" s="8">
        <f>IF(C518=1,$AE$32,$AE$33)</f>
        <v/>
      </c>
      <c r="Z518" s="9">
        <f>Y518*X518</f>
        <v/>
      </c>
      <c r="AA518" s="10">
        <f>IF(W518&gt;$AE$34,1,0)</f>
        <v/>
      </c>
      <c r="AB518">
        <f>IF(AA518=C518,1,0)</f>
        <v/>
      </c>
    </row>
    <row r="519">
      <c r="A519">
        <f>'1 datos preparados'!A512</f>
        <v/>
      </c>
      <c r="B519" s="5">
        <f>'1 datos preparados'!U512</f>
        <v/>
      </c>
      <c r="C519">
        <f>'1 datos preparados'!B512</f>
        <v/>
      </c>
      <c r="D519" s="7">
        <f>'1 datos preparados'!C512</f>
        <v/>
      </c>
      <c r="E519" s="7">
        <f>'1 datos preparados'!D512</f>
        <v/>
      </c>
      <c r="F519" s="7">
        <f>'1 datos preparados'!E512</f>
        <v/>
      </c>
      <c r="G519" s="7">
        <f>'1 datos preparados'!F512</f>
        <v/>
      </c>
      <c r="H519" s="7">
        <f>'1 datos preparados'!G512</f>
        <v/>
      </c>
      <c r="I519" s="7">
        <f>'1 datos preparados'!H512</f>
        <v/>
      </c>
      <c r="J519" s="7">
        <f>'1 datos preparados'!I512</f>
        <v/>
      </c>
      <c r="K519" s="7">
        <f>'1 datos preparados'!J512</f>
        <v/>
      </c>
      <c r="L519" s="7">
        <f>'1 datos preparados'!K512</f>
        <v/>
      </c>
      <c r="M519" s="7">
        <f>'1 datos preparados'!L512</f>
        <v/>
      </c>
      <c r="N519" s="7">
        <f>'1 datos preparados'!M512</f>
        <v/>
      </c>
      <c r="O519" s="7">
        <f>'1 datos preparados'!N512</f>
        <v/>
      </c>
      <c r="P519" s="7">
        <f>'1 datos preparados'!O512</f>
        <v/>
      </c>
      <c r="Q519" s="7">
        <f>'1 datos preparados'!P512</f>
        <v/>
      </c>
      <c r="R519" s="7">
        <f>'1 datos preparados'!Q512</f>
        <v/>
      </c>
      <c r="S519" s="7">
        <f>'1 datos preparados'!R512</f>
        <v/>
      </c>
      <c r="T519" s="7">
        <f>'1 datos preparados'!S512</f>
        <v/>
      </c>
      <c r="U519" s="7">
        <f>'1 datos preparados'!T512</f>
        <v/>
      </c>
      <c r="V519" s="8">
        <f>$AE$12+D519*$AE$13+E519*$AE$14+F519*$AE$15+G519*$AE$16+H519*$AE$17+I519*$AE$18+J519*$AE$19+K519*$AE$20+L519*$AE$21+M519*$AE$22+N519*$AE$23+O519*$AE$24+P519*$AE$25+Q519*$AE$26+R519*$AE$27+S519*$AE$28+T519*$AE$29+U519*$AE$30</f>
        <v/>
      </c>
      <c r="W519" s="8">
        <f>1/(1+EXP(-V519))</f>
        <v/>
      </c>
      <c r="X519" s="9">
        <f>-IF(C519=1,LN(W519),LN(1-W519))</f>
        <v/>
      </c>
      <c r="Y519" s="8">
        <f>IF(C519=1,$AE$32,$AE$33)</f>
        <v/>
      </c>
      <c r="Z519" s="9">
        <f>Y519*X519</f>
        <v/>
      </c>
      <c r="AA519" s="10">
        <f>IF(W519&gt;$AE$34,1,0)</f>
        <v/>
      </c>
      <c r="AB519">
        <f>IF(AA519=C519,1,0)</f>
        <v/>
      </c>
    </row>
    <row r="520">
      <c r="A520">
        <f>'1 datos preparados'!A513</f>
        <v/>
      </c>
      <c r="B520" s="5">
        <f>'1 datos preparados'!U513</f>
        <v/>
      </c>
      <c r="C520">
        <f>'1 datos preparados'!B513</f>
        <v/>
      </c>
      <c r="D520" s="7">
        <f>'1 datos preparados'!C513</f>
        <v/>
      </c>
      <c r="E520" s="7">
        <f>'1 datos preparados'!D513</f>
        <v/>
      </c>
      <c r="F520" s="7">
        <f>'1 datos preparados'!E513</f>
        <v/>
      </c>
      <c r="G520" s="7">
        <f>'1 datos preparados'!F513</f>
        <v/>
      </c>
      <c r="H520" s="7">
        <f>'1 datos preparados'!G513</f>
        <v/>
      </c>
      <c r="I520" s="7">
        <f>'1 datos preparados'!H513</f>
        <v/>
      </c>
      <c r="J520" s="7">
        <f>'1 datos preparados'!I513</f>
        <v/>
      </c>
      <c r="K520" s="7">
        <f>'1 datos preparados'!J513</f>
        <v/>
      </c>
      <c r="L520" s="7">
        <f>'1 datos preparados'!K513</f>
        <v/>
      </c>
      <c r="M520" s="7">
        <f>'1 datos preparados'!L513</f>
        <v/>
      </c>
      <c r="N520" s="7">
        <f>'1 datos preparados'!M513</f>
        <v/>
      </c>
      <c r="O520" s="7">
        <f>'1 datos preparados'!N513</f>
        <v/>
      </c>
      <c r="P520" s="7">
        <f>'1 datos preparados'!O513</f>
        <v/>
      </c>
      <c r="Q520" s="7">
        <f>'1 datos preparados'!P513</f>
        <v/>
      </c>
      <c r="R520" s="7">
        <f>'1 datos preparados'!Q513</f>
        <v/>
      </c>
      <c r="S520" s="7">
        <f>'1 datos preparados'!R513</f>
        <v/>
      </c>
      <c r="T520" s="7">
        <f>'1 datos preparados'!S513</f>
        <v/>
      </c>
      <c r="U520" s="7">
        <f>'1 datos preparados'!T513</f>
        <v/>
      </c>
      <c r="V520" s="8">
        <f>$AE$12+D520*$AE$13+E520*$AE$14+F520*$AE$15+G520*$AE$16+H520*$AE$17+I520*$AE$18+J520*$AE$19+K520*$AE$20+L520*$AE$21+M520*$AE$22+N520*$AE$23+O520*$AE$24+P520*$AE$25+Q520*$AE$26+R520*$AE$27+S520*$AE$28+T520*$AE$29+U520*$AE$30</f>
        <v/>
      </c>
      <c r="W520" s="8">
        <f>1/(1+EXP(-V520))</f>
        <v/>
      </c>
      <c r="X520" s="9">
        <f>-IF(C520=1,LN(W520),LN(1-W520))</f>
        <v/>
      </c>
      <c r="Y520" s="8">
        <f>IF(C520=1,$AE$32,$AE$33)</f>
        <v/>
      </c>
      <c r="Z520" s="9">
        <f>Y520*X520</f>
        <v/>
      </c>
      <c r="AA520" s="10">
        <f>IF(W520&gt;$AE$34,1,0)</f>
        <v/>
      </c>
      <c r="AB520">
        <f>IF(AA520=C520,1,0)</f>
        <v/>
      </c>
    </row>
    <row r="521">
      <c r="A521">
        <f>'1 datos preparados'!A514</f>
        <v/>
      </c>
      <c r="B521" s="5">
        <f>'1 datos preparados'!U514</f>
        <v/>
      </c>
      <c r="C521">
        <f>'1 datos preparados'!B514</f>
        <v/>
      </c>
      <c r="D521" s="7">
        <f>'1 datos preparados'!C514</f>
        <v/>
      </c>
      <c r="E521" s="7">
        <f>'1 datos preparados'!D514</f>
        <v/>
      </c>
      <c r="F521" s="7">
        <f>'1 datos preparados'!E514</f>
        <v/>
      </c>
      <c r="G521" s="7">
        <f>'1 datos preparados'!F514</f>
        <v/>
      </c>
      <c r="H521" s="7">
        <f>'1 datos preparados'!G514</f>
        <v/>
      </c>
      <c r="I521" s="7">
        <f>'1 datos preparados'!H514</f>
        <v/>
      </c>
      <c r="J521" s="7">
        <f>'1 datos preparados'!I514</f>
        <v/>
      </c>
      <c r="K521" s="7">
        <f>'1 datos preparados'!J514</f>
        <v/>
      </c>
      <c r="L521" s="7">
        <f>'1 datos preparados'!K514</f>
        <v/>
      </c>
      <c r="M521" s="7">
        <f>'1 datos preparados'!L514</f>
        <v/>
      </c>
      <c r="N521" s="7">
        <f>'1 datos preparados'!M514</f>
        <v/>
      </c>
      <c r="O521" s="7">
        <f>'1 datos preparados'!N514</f>
        <v/>
      </c>
      <c r="P521" s="7">
        <f>'1 datos preparados'!O514</f>
        <v/>
      </c>
      <c r="Q521" s="7">
        <f>'1 datos preparados'!P514</f>
        <v/>
      </c>
      <c r="R521" s="7">
        <f>'1 datos preparados'!Q514</f>
        <v/>
      </c>
      <c r="S521" s="7">
        <f>'1 datos preparados'!R514</f>
        <v/>
      </c>
      <c r="T521" s="7">
        <f>'1 datos preparados'!S514</f>
        <v/>
      </c>
      <c r="U521" s="7">
        <f>'1 datos preparados'!T514</f>
        <v/>
      </c>
      <c r="V521" s="8">
        <f>$AE$12+D521*$AE$13+E521*$AE$14+F521*$AE$15+G521*$AE$16+H521*$AE$17+I521*$AE$18+J521*$AE$19+K521*$AE$20+L521*$AE$21+M521*$AE$22+N521*$AE$23+O521*$AE$24+P521*$AE$25+Q521*$AE$26+R521*$AE$27+S521*$AE$28+T521*$AE$29+U521*$AE$30</f>
        <v/>
      </c>
      <c r="W521" s="8">
        <f>1/(1+EXP(-V521))</f>
        <v/>
      </c>
      <c r="X521" s="9">
        <f>-IF(C521=1,LN(W521),LN(1-W521))</f>
        <v/>
      </c>
      <c r="Y521" s="8">
        <f>IF(C521=1,$AE$32,$AE$33)</f>
        <v/>
      </c>
      <c r="Z521" s="9">
        <f>Y521*X521</f>
        <v/>
      </c>
      <c r="AA521" s="10">
        <f>IF(W521&gt;$AE$34,1,0)</f>
        <v/>
      </c>
      <c r="AB521">
        <f>IF(AA521=C521,1,0)</f>
        <v/>
      </c>
    </row>
    <row r="522">
      <c r="A522">
        <f>'1 datos preparados'!A515</f>
        <v/>
      </c>
      <c r="B522" s="5">
        <f>'1 datos preparados'!U515</f>
        <v/>
      </c>
      <c r="C522">
        <f>'1 datos preparados'!B515</f>
        <v/>
      </c>
      <c r="D522" s="7">
        <f>'1 datos preparados'!C515</f>
        <v/>
      </c>
      <c r="E522" s="7">
        <f>'1 datos preparados'!D515</f>
        <v/>
      </c>
      <c r="F522" s="7">
        <f>'1 datos preparados'!E515</f>
        <v/>
      </c>
      <c r="G522" s="7">
        <f>'1 datos preparados'!F515</f>
        <v/>
      </c>
      <c r="H522" s="7">
        <f>'1 datos preparados'!G515</f>
        <v/>
      </c>
      <c r="I522" s="7">
        <f>'1 datos preparados'!H515</f>
        <v/>
      </c>
      <c r="J522" s="7">
        <f>'1 datos preparados'!I515</f>
        <v/>
      </c>
      <c r="K522" s="7">
        <f>'1 datos preparados'!J515</f>
        <v/>
      </c>
      <c r="L522" s="7">
        <f>'1 datos preparados'!K515</f>
        <v/>
      </c>
      <c r="M522" s="7">
        <f>'1 datos preparados'!L515</f>
        <v/>
      </c>
      <c r="N522" s="7">
        <f>'1 datos preparados'!M515</f>
        <v/>
      </c>
      <c r="O522" s="7">
        <f>'1 datos preparados'!N515</f>
        <v/>
      </c>
      <c r="P522" s="7">
        <f>'1 datos preparados'!O515</f>
        <v/>
      </c>
      <c r="Q522" s="7">
        <f>'1 datos preparados'!P515</f>
        <v/>
      </c>
      <c r="R522" s="7">
        <f>'1 datos preparados'!Q515</f>
        <v/>
      </c>
      <c r="S522" s="7">
        <f>'1 datos preparados'!R515</f>
        <v/>
      </c>
      <c r="T522" s="7">
        <f>'1 datos preparados'!S515</f>
        <v/>
      </c>
      <c r="U522" s="7">
        <f>'1 datos preparados'!T515</f>
        <v/>
      </c>
      <c r="V522" s="8">
        <f>$AE$12+D522*$AE$13+E522*$AE$14+F522*$AE$15+G522*$AE$16+H522*$AE$17+I522*$AE$18+J522*$AE$19+K522*$AE$20+L522*$AE$21+M522*$AE$22+N522*$AE$23+O522*$AE$24+P522*$AE$25+Q522*$AE$26+R522*$AE$27+S522*$AE$28+T522*$AE$29+U522*$AE$30</f>
        <v/>
      </c>
      <c r="W522" s="8">
        <f>1/(1+EXP(-V522))</f>
        <v/>
      </c>
      <c r="X522" s="9">
        <f>-IF(C522=1,LN(W522),LN(1-W522))</f>
        <v/>
      </c>
      <c r="Y522" s="8">
        <f>IF(C522=1,$AE$32,$AE$33)</f>
        <v/>
      </c>
      <c r="Z522" s="9">
        <f>Y522*X522</f>
        <v/>
      </c>
      <c r="AA522" s="10">
        <f>IF(W522&gt;$AE$34,1,0)</f>
        <v/>
      </c>
      <c r="AB522">
        <f>IF(AA522=C522,1,0)</f>
        <v/>
      </c>
    </row>
    <row r="523">
      <c r="A523">
        <f>'1 datos preparados'!A516</f>
        <v/>
      </c>
      <c r="B523" s="5">
        <f>'1 datos preparados'!U516</f>
        <v/>
      </c>
      <c r="C523">
        <f>'1 datos preparados'!B516</f>
        <v/>
      </c>
      <c r="D523" s="7">
        <f>'1 datos preparados'!C516</f>
        <v/>
      </c>
      <c r="E523" s="7">
        <f>'1 datos preparados'!D516</f>
        <v/>
      </c>
      <c r="F523" s="7">
        <f>'1 datos preparados'!E516</f>
        <v/>
      </c>
      <c r="G523" s="7">
        <f>'1 datos preparados'!F516</f>
        <v/>
      </c>
      <c r="H523" s="7">
        <f>'1 datos preparados'!G516</f>
        <v/>
      </c>
      <c r="I523" s="7">
        <f>'1 datos preparados'!H516</f>
        <v/>
      </c>
      <c r="J523" s="7">
        <f>'1 datos preparados'!I516</f>
        <v/>
      </c>
      <c r="K523" s="7">
        <f>'1 datos preparados'!J516</f>
        <v/>
      </c>
      <c r="L523" s="7">
        <f>'1 datos preparados'!K516</f>
        <v/>
      </c>
      <c r="M523" s="7">
        <f>'1 datos preparados'!L516</f>
        <v/>
      </c>
      <c r="N523" s="7">
        <f>'1 datos preparados'!M516</f>
        <v/>
      </c>
      <c r="O523" s="7">
        <f>'1 datos preparados'!N516</f>
        <v/>
      </c>
      <c r="P523" s="7">
        <f>'1 datos preparados'!O516</f>
        <v/>
      </c>
      <c r="Q523" s="7">
        <f>'1 datos preparados'!P516</f>
        <v/>
      </c>
      <c r="R523" s="7">
        <f>'1 datos preparados'!Q516</f>
        <v/>
      </c>
      <c r="S523" s="7">
        <f>'1 datos preparados'!R516</f>
        <v/>
      </c>
      <c r="T523" s="7">
        <f>'1 datos preparados'!S516</f>
        <v/>
      </c>
      <c r="U523" s="7">
        <f>'1 datos preparados'!T516</f>
        <v/>
      </c>
      <c r="V523" s="8">
        <f>$AE$12+D523*$AE$13+E523*$AE$14+F523*$AE$15+G523*$AE$16+H523*$AE$17+I523*$AE$18+J523*$AE$19+K523*$AE$20+L523*$AE$21+M523*$AE$22+N523*$AE$23+O523*$AE$24+P523*$AE$25+Q523*$AE$26+R523*$AE$27+S523*$AE$28+T523*$AE$29+U523*$AE$30</f>
        <v/>
      </c>
      <c r="W523" s="8">
        <f>1/(1+EXP(-V523))</f>
        <v/>
      </c>
      <c r="X523" s="9">
        <f>-IF(C523=1,LN(W523),LN(1-W523))</f>
        <v/>
      </c>
      <c r="Y523" s="8">
        <f>IF(C523=1,$AE$32,$AE$33)</f>
        <v/>
      </c>
      <c r="Z523" s="9">
        <f>Y523*X523</f>
        <v/>
      </c>
      <c r="AA523" s="10">
        <f>IF(W523&gt;$AE$34,1,0)</f>
        <v/>
      </c>
      <c r="AB523">
        <f>IF(AA523=C523,1,0)</f>
        <v/>
      </c>
    </row>
    <row r="524">
      <c r="A524">
        <f>'1 datos preparados'!A517</f>
        <v/>
      </c>
      <c r="B524" s="5">
        <f>'1 datos preparados'!U517</f>
        <v/>
      </c>
      <c r="C524">
        <f>'1 datos preparados'!B517</f>
        <v/>
      </c>
      <c r="D524" s="7">
        <f>'1 datos preparados'!C517</f>
        <v/>
      </c>
      <c r="E524" s="7">
        <f>'1 datos preparados'!D517</f>
        <v/>
      </c>
      <c r="F524" s="7">
        <f>'1 datos preparados'!E517</f>
        <v/>
      </c>
      <c r="G524" s="7">
        <f>'1 datos preparados'!F517</f>
        <v/>
      </c>
      <c r="H524" s="7">
        <f>'1 datos preparados'!G517</f>
        <v/>
      </c>
      <c r="I524" s="7">
        <f>'1 datos preparados'!H517</f>
        <v/>
      </c>
      <c r="J524" s="7">
        <f>'1 datos preparados'!I517</f>
        <v/>
      </c>
      <c r="K524" s="7">
        <f>'1 datos preparados'!J517</f>
        <v/>
      </c>
      <c r="L524" s="7">
        <f>'1 datos preparados'!K517</f>
        <v/>
      </c>
      <c r="M524" s="7">
        <f>'1 datos preparados'!L517</f>
        <v/>
      </c>
      <c r="N524" s="7">
        <f>'1 datos preparados'!M517</f>
        <v/>
      </c>
      <c r="O524" s="7">
        <f>'1 datos preparados'!N517</f>
        <v/>
      </c>
      <c r="P524" s="7">
        <f>'1 datos preparados'!O517</f>
        <v/>
      </c>
      <c r="Q524" s="7">
        <f>'1 datos preparados'!P517</f>
        <v/>
      </c>
      <c r="R524" s="7">
        <f>'1 datos preparados'!Q517</f>
        <v/>
      </c>
      <c r="S524" s="7">
        <f>'1 datos preparados'!R517</f>
        <v/>
      </c>
      <c r="T524" s="7">
        <f>'1 datos preparados'!S517</f>
        <v/>
      </c>
      <c r="U524" s="7">
        <f>'1 datos preparados'!T517</f>
        <v/>
      </c>
      <c r="V524" s="8">
        <f>$AE$12+D524*$AE$13+E524*$AE$14+F524*$AE$15+G524*$AE$16+H524*$AE$17+I524*$AE$18+J524*$AE$19+K524*$AE$20+L524*$AE$21+M524*$AE$22+N524*$AE$23+O524*$AE$24+P524*$AE$25+Q524*$AE$26+R524*$AE$27+S524*$AE$28+T524*$AE$29+U524*$AE$30</f>
        <v/>
      </c>
      <c r="W524" s="8">
        <f>1/(1+EXP(-V524))</f>
        <v/>
      </c>
      <c r="X524" s="9">
        <f>-IF(C524=1,LN(W524),LN(1-W524))</f>
        <v/>
      </c>
      <c r="Y524" s="8">
        <f>IF(C524=1,$AE$32,$AE$33)</f>
        <v/>
      </c>
      <c r="Z524" s="9">
        <f>Y524*X524</f>
        <v/>
      </c>
      <c r="AA524" s="10">
        <f>IF(W524&gt;$AE$34,1,0)</f>
        <v/>
      </c>
      <c r="AB524">
        <f>IF(AA524=C524,1,0)</f>
        <v/>
      </c>
    </row>
    <row r="525">
      <c r="A525">
        <f>'1 datos preparados'!A518</f>
        <v/>
      </c>
      <c r="B525" s="5">
        <f>'1 datos preparados'!U518</f>
        <v/>
      </c>
      <c r="C525">
        <f>'1 datos preparados'!B518</f>
        <v/>
      </c>
      <c r="D525" s="7">
        <f>'1 datos preparados'!C518</f>
        <v/>
      </c>
      <c r="E525" s="7">
        <f>'1 datos preparados'!D518</f>
        <v/>
      </c>
      <c r="F525" s="7">
        <f>'1 datos preparados'!E518</f>
        <v/>
      </c>
      <c r="G525" s="7">
        <f>'1 datos preparados'!F518</f>
        <v/>
      </c>
      <c r="H525" s="7">
        <f>'1 datos preparados'!G518</f>
        <v/>
      </c>
      <c r="I525" s="7">
        <f>'1 datos preparados'!H518</f>
        <v/>
      </c>
      <c r="J525" s="7">
        <f>'1 datos preparados'!I518</f>
        <v/>
      </c>
      <c r="K525" s="7">
        <f>'1 datos preparados'!J518</f>
        <v/>
      </c>
      <c r="L525" s="7">
        <f>'1 datos preparados'!K518</f>
        <v/>
      </c>
      <c r="M525" s="7">
        <f>'1 datos preparados'!L518</f>
        <v/>
      </c>
      <c r="N525" s="7">
        <f>'1 datos preparados'!M518</f>
        <v/>
      </c>
      <c r="O525" s="7">
        <f>'1 datos preparados'!N518</f>
        <v/>
      </c>
      <c r="P525" s="7">
        <f>'1 datos preparados'!O518</f>
        <v/>
      </c>
      <c r="Q525" s="7">
        <f>'1 datos preparados'!P518</f>
        <v/>
      </c>
      <c r="R525" s="7">
        <f>'1 datos preparados'!Q518</f>
        <v/>
      </c>
      <c r="S525" s="7">
        <f>'1 datos preparados'!R518</f>
        <v/>
      </c>
      <c r="T525" s="7">
        <f>'1 datos preparados'!S518</f>
        <v/>
      </c>
      <c r="U525" s="7">
        <f>'1 datos preparados'!T518</f>
        <v/>
      </c>
      <c r="V525" s="8">
        <f>$AE$12+D525*$AE$13+E525*$AE$14+F525*$AE$15+G525*$AE$16+H525*$AE$17+I525*$AE$18+J525*$AE$19+K525*$AE$20+L525*$AE$21+M525*$AE$22+N525*$AE$23+O525*$AE$24+P525*$AE$25+Q525*$AE$26+R525*$AE$27+S525*$AE$28+T525*$AE$29+U525*$AE$30</f>
        <v/>
      </c>
      <c r="W525" s="8">
        <f>1/(1+EXP(-V525))</f>
        <v/>
      </c>
      <c r="X525" s="9">
        <f>-IF(C525=1,LN(W525),LN(1-W525))</f>
        <v/>
      </c>
      <c r="Y525" s="8">
        <f>IF(C525=1,$AE$32,$AE$33)</f>
        <v/>
      </c>
      <c r="Z525" s="9">
        <f>Y525*X525</f>
        <v/>
      </c>
      <c r="AA525" s="10">
        <f>IF(W525&gt;$AE$34,1,0)</f>
        <v/>
      </c>
      <c r="AB525">
        <f>IF(AA525=C525,1,0)</f>
        <v/>
      </c>
    </row>
    <row r="526">
      <c r="A526">
        <f>'1 datos preparados'!A519</f>
        <v/>
      </c>
      <c r="B526" s="5">
        <f>'1 datos preparados'!U519</f>
        <v/>
      </c>
      <c r="C526">
        <f>'1 datos preparados'!B519</f>
        <v/>
      </c>
      <c r="D526" s="7">
        <f>'1 datos preparados'!C519</f>
        <v/>
      </c>
      <c r="E526" s="7">
        <f>'1 datos preparados'!D519</f>
        <v/>
      </c>
      <c r="F526" s="7">
        <f>'1 datos preparados'!E519</f>
        <v/>
      </c>
      <c r="G526" s="7">
        <f>'1 datos preparados'!F519</f>
        <v/>
      </c>
      <c r="H526" s="7">
        <f>'1 datos preparados'!G519</f>
        <v/>
      </c>
      <c r="I526" s="7">
        <f>'1 datos preparados'!H519</f>
        <v/>
      </c>
      <c r="J526" s="7">
        <f>'1 datos preparados'!I519</f>
        <v/>
      </c>
      <c r="K526" s="7">
        <f>'1 datos preparados'!J519</f>
        <v/>
      </c>
      <c r="L526" s="7">
        <f>'1 datos preparados'!K519</f>
        <v/>
      </c>
      <c r="M526" s="7">
        <f>'1 datos preparados'!L519</f>
        <v/>
      </c>
      <c r="N526" s="7">
        <f>'1 datos preparados'!M519</f>
        <v/>
      </c>
      <c r="O526" s="7">
        <f>'1 datos preparados'!N519</f>
        <v/>
      </c>
      <c r="P526" s="7">
        <f>'1 datos preparados'!O519</f>
        <v/>
      </c>
      <c r="Q526" s="7">
        <f>'1 datos preparados'!P519</f>
        <v/>
      </c>
      <c r="R526" s="7">
        <f>'1 datos preparados'!Q519</f>
        <v/>
      </c>
      <c r="S526" s="7">
        <f>'1 datos preparados'!R519</f>
        <v/>
      </c>
      <c r="T526" s="7">
        <f>'1 datos preparados'!S519</f>
        <v/>
      </c>
      <c r="U526" s="7">
        <f>'1 datos preparados'!T519</f>
        <v/>
      </c>
      <c r="V526" s="8">
        <f>$AE$12+D526*$AE$13+E526*$AE$14+F526*$AE$15+G526*$AE$16+H526*$AE$17+I526*$AE$18+J526*$AE$19+K526*$AE$20+L526*$AE$21+M526*$AE$22+N526*$AE$23+O526*$AE$24+P526*$AE$25+Q526*$AE$26+R526*$AE$27+S526*$AE$28+T526*$AE$29+U526*$AE$30</f>
        <v/>
      </c>
      <c r="W526" s="8">
        <f>1/(1+EXP(-V526))</f>
        <v/>
      </c>
      <c r="X526" s="9">
        <f>-IF(C526=1,LN(W526),LN(1-W526))</f>
        <v/>
      </c>
      <c r="Y526" s="8">
        <f>IF(C526=1,$AE$32,$AE$33)</f>
        <v/>
      </c>
      <c r="Z526" s="9">
        <f>Y526*X526</f>
        <v/>
      </c>
      <c r="AA526" s="10">
        <f>IF(W526&gt;$AE$34,1,0)</f>
        <v/>
      </c>
      <c r="AB526">
        <f>IF(AA526=C526,1,0)</f>
        <v/>
      </c>
    </row>
    <row r="527">
      <c r="A527">
        <f>'1 datos preparados'!A520</f>
        <v/>
      </c>
      <c r="B527" s="5">
        <f>'1 datos preparados'!U520</f>
        <v/>
      </c>
      <c r="C527">
        <f>'1 datos preparados'!B520</f>
        <v/>
      </c>
      <c r="D527" s="7">
        <f>'1 datos preparados'!C520</f>
        <v/>
      </c>
      <c r="E527" s="7">
        <f>'1 datos preparados'!D520</f>
        <v/>
      </c>
      <c r="F527" s="7">
        <f>'1 datos preparados'!E520</f>
        <v/>
      </c>
      <c r="G527" s="7">
        <f>'1 datos preparados'!F520</f>
        <v/>
      </c>
      <c r="H527" s="7">
        <f>'1 datos preparados'!G520</f>
        <v/>
      </c>
      <c r="I527" s="7">
        <f>'1 datos preparados'!H520</f>
        <v/>
      </c>
      <c r="J527" s="7">
        <f>'1 datos preparados'!I520</f>
        <v/>
      </c>
      <c r="K527" s="7">
        <f>'1 datos preparados'!J520</f>
        <v/>
      </c>
      <c r="L527" s="7">
        <f>'1 datos preparados'!K520</f>
        <v/>
      </c>
      <c r="M527" s="7">
        <f>'1 datos preparados'!L520</f>
        <v/>
      </c>
      <c r="N527" s="7">
        <f>'1 datos preparados'!M520</f>
        <v/>
      </c>
      <c r="O527" s="7">
        <f>'1 datos preparados'!N520</f>
        <v/>
      </c>
      <c r="P527" s="7">
        <f>'1 datos preparados'!O520</f>
        <v/>
      </c>
      <c r="Q527" s="7">
        <f>'1 datos preparados'!P520</f>
        <v/>
      </c>
      <c r="R527" s="7">
        <f>'1 datos preparados'!Q520</f>
        <v/>
      </c>
      <c r="S527" s="7">
        <f>'1 datos preparados'!R520</f>
        <v/>
      </c>
      <c r="T527" s="7">
        <f>'1 datos preparados'!S520</f>
        <v/>
      </c>
      <c r="U527" s="7">
        <f>'1 datos preparados'!T520</f>
        <v/>
      </c>
      <c r="V527" s="8">
        <f>$AE$12+D527*$AE$13+E527*$AE$14+F527*$AE$15+G527*$AE$16+H527*$AE$17+I527*$AE$18+J527*$AE$19+K527*$AE$20+L527*$AE$21+M527*$AE$22+N527*$AE$23+O527*$AE$24+P527*$AE$25+Q527*$AE$26+R527*$AE$27+S527*$AE$28+T527*$AE$29+U527*$AE$30</f>
        <v/>
      </c>
      <c r="W527" s="8">
        <f>1/(1+EXP(-V527))</f>
        <v/>
      </c>
      <c r="X527" s="9">
        <f>-IF(C527=1,LN(W527),LN(1-W527))</f>
        <v/>
      </c>
      <c r="Y527" s="8">
        <f>IF(C527=1,$AE$32,$AE$33)</f>
        <v/>
      </c>
      <c r="Z527" s="9">
        <f>Y527*X527</f>
        <v/>
      </c>
      <c r="AA527" s="10">
        <f>IF(W527&gt;$AE$34,1,0)</f>
        <v/>
      </c>
      <c r="AB527">
        <f>IF(AA527=C527,1,0)</f>
        <v/>
      </c>
    </row>
    <row r="528">
      <c r="A528">
        <f>'1 datos preparados'!A521</f>
        <v/>
      </c>
      <c r="B528" s="5">
        <f>'1 datos preparados'!U521</f>
        <v/>
      </c>
      <c r="C528">
        <f>'1 datos preparados'!B521</f>
        <v/>
      </c>
      <c r="D528" s="7">
        <f>'1 datos preparados'!C521</f>
        <v/>
      </c>
      <c r="E528" s="7">
        <f>'1 datos preparados'!D521</f>
        <v/>
      </c>
      <c r="F528" s="7">
        <f>'1 datos preparados'!E521</f>
        <v/>
      </c>
      <c r="G528" s="7">
        <f>'1 datos preparados'!F521</f>
        <v/>
      </c>
      <c r="H528" s="7">
        <f>'1 datos preparados'!G521</f>
        <v/>
      </c>
      <c r="I528" s="7">
        <f>'1 datos preparados'!H521</f>
        <v/>
      </c>
      <c r="J528" s="7">
        <f>'1 datos preparados'!I521</f>
        <v/>
      </c>
      <c r="K528" s="7">
        <f>'1 datos preparados'!J521</f>
        <v/>
      </c>
      <c r="L528" s="7">
        <f>'1 datos preparados'!K521</f>
        <v/>
      </c>
      <c r="M528" s="7">
        <f>'1 datos preparados'!L521</f>
        <v/>
      </c>
      <c r="N528" s="7">
        <f>'1 datos preparados'!M521</f>
        <v/>
      </c>
      <c r="O528" s="7">
        <f>'1 datos preparados'!N521</f>
        <v/>
      </c>
      <c r="P528" s="7">
        <f>'1 datos preparados'!O521</f>
        <v/>
      </c>
      <c r="Q528" s="7">
        <f>'1 datos preparados'!P521</f>
        <v/>
      </c>
      <c r="R528" s="7">
        <f>'1 datos preparados'!Q521</f>
        <v/>
      </c>
      <c r="S528" s="7">
        <f>'1 datos preparados'!R521</f>
        <v/>
      </c>
      <c r="T528" s="7">
        <f>'1 datos preparados'!S521</f>
        <v/>
      </c>
      <c r="U528" s="7">
        <f>'1 datos preparados'!T521</f>
        <v/>
      </c>
      <c r="V528" s="8">
        <f>$AE$12+D528*$AE$13+E528*$AE$14+F528*$AE$15+G528*$AE$16+H528*$AE$17+I528*$AE$18+J528*$AE$19+K528*$AE$20+L528*$AE$21+M528*$AE$22+N528*$AE$23+O528*$AE$24+P528*$AE$25+Q528*$AE$26+R528*$AE$27+S528*$AE$28+T528*$AE$29+U528*$AE$30</f>
        <v/>
      </c>
      <c r="W528" s="8">
        <f>1/(1+EXP(-V528))</f>
        <v/>
      </c>
      <c r="X528" s="9">
        <f>-IF(C528=1,LN(W528),LN(1-W528))</f>
        <v/>
      </c>
      <c r="Y528" s="8">
        <f>IF(C528=1,$AE$32,$AE$33)</f>
        <v/>
      </c>
      <c r="Z528" s="9">
        <f>Y528*X528</f>
        <v/>
      </c>
      <c r="AA528" s="10">
        <f>IF(W528&gt;$AE$34,1,0)</f>
        <v/>
      </c>
      <c r="AB528">
        <f>IF(AA528=C528,1,0)</f>
        <v/>
      </c>
    </row>
    <row r="529">
      <c r="A529">
        <f>'1 datos preparados'!A522</f>
        <v/>
      </c>
      <c r="B529" s="5">
        <f>'1 datos preparados'!U522</f>
        <v/>
      </c>
      <c r="C529">
        <f>'1 datos preparados'!B522</f>
        <v/>
      </c>
      <c r="D529" s="7">
        <f>'1 datos preparados'!C522</f>
        <v/>
      </c>
      <c r="E529" s="7">
        <f>'1 datos preparados'!D522</f>
        <v/>
      </c>
      <c r="F529" s="7">
        <f>'1 datos preparados'!E522</f>
        <v/>
      </c>
      <c r="G529" s="7">
        <f>'1 datos preparados'!F522</f>
        <v/>
      </c>
      <c r="H529" s="7">
        <f>'1 datos preparados'!G522</f>
        <v/>
      </c>
      <c r="I529" s="7">
        <f>'1 datos preparados'!H522</f>
        <v/>
      </c>
      <c r="J529" s="7">
        <f>'1 datos preparados'!I522</f>
        <v/>
      </c>
      <c r="K529" s="7">
        <f>'1 datos preparados'!J522</f>
        <v/>
      </c>
      <c r="L529" s="7">
        <f>'1 datos preparados'!K522</f>
        <v/>
      </c>
      <c r="M529" s="7">
        <f>'1 datos preparados'!L522</f>
        <v/>
      </c>
      <c r="N529" s="7">
        <f>'1 datos preparados'!M522</f>
        <v/>
      </c>
      <c r="O529" s="7">
        <f>'1 datos preparados'!N522</f>
        <v/>
      </c>
      <c r="P529" s="7">
        <f>'1 datos preparados'!O522</f>
        <v/>
      </c>
      <c r="Q529" s="7">
        <f>'1 datos preparados'!P522</f>
        <v/>
      </c>
      <c r="R529" s="7">
        <f>'1 datos preparados'!Q522</f>
        <v/>
      </c>
      <c r="S529" s="7">
        <f>'1 datos preparados'!R522</f>
        <v/>
      </c>
      <c r="T529" s="7">
        <f>'1 datos preparados'!S522</f>
        <v/>
      </c>
      <c r="U529" s="7">
        <f>'1 datos preparados'!T522</f>
        <v/>
      </c>
      <c r="V529" s="8">
        <f>$AE$12+D529*$AE$13+E529*$AE$14+F529*$AE$15+G529*$AE$16+H529*$AE$17+I529*$AE$18+J529*$AE$19+K529*$AE$20+L529*$AE$21+M529*$AE$22+N529*$AE$23+O529*$AE$24+P529*$AE$25+Q529*$AE$26+R529*$AE$27+S529*$AE$28+T529*$AE$29+U529*$AE$30</f>
        <v/>
      </c>
      <c r="W529" s="8">
        <f>1/(1+EXP(-V529))</f>
        <v/>
      </c>
      <c r="X529" s="9">
        <f>-IF(C529=1,LN(W529),LN(1-W529))</f>
        <v/>
      </c>
      <c r="Y529" s="8">
        <f>IF(C529=1,$AE$32,$AE$33)</f>
        <v/>
      </c>
      <c r="Z529" s="9">
        <f>Y529*X529</f>
        <v/>
      </c>
      <c r="AA529" s="10">
        <f>IF(W529&gt;$AE$34,1,0)</f>
        <v/>
      </c>
      <c r="AB529">
        <f>IF(AA529=C529,1,0)</f>
        <v/>
      </c>
    </row>
    <row r="530">
      <c r="A530">
        <f>'1 datos preparados'!A523</f>
        <v/>
      </c>
      <c r="B530" s="5">
        <f>'1 datos preparados'!U523</f>
        <v/>
      </c>
      <c r="C530">
        <f>'1 datos preparados'!B523</f>
        <v/>
      </c>
      <c r="D530" s="7">
        <f>'1 datos preparados'!C523</f>
        <v/>
      </c>
      <c r="E530" s="7">
        <f>'1 datos preparados'!D523</f>
        <v/>
      </c>
      <c r="F530" s="7">
        <f>'1 datos preparados'!E523</f>
        <v/>
      </c>
      <c r="G530" s="7">
        <f>'1 datos preparados'!F523</f>
        <v/>
      </c>
      <c r="H530" s="7">
        <f>'1 datos preparados'!G523</f>
        <v/>
      </c>
      <c r="I530" s="7">
        <f>'1 datos preparados'!H523</f>
        <v/>
      </c>
      <c r="J530" s="7">
        <f>'1 datos preparados'!I523</f>
        <v/>
      </c>
      <c r="K530" s="7">
        <f>'1 datos preparados'!J523</f>
        <v/>
      </c>
      <c r="L530" s="7">
        <f>'1 datos preparados'!K523</f>
        <v/>
      </c>
      <c r="M530" s="7">
        <f>'1 datos preparados'!L523</f>
        <v/>
      </c>
      <c r="N530" s="7">
        <f>'1 datos preparados'!M523</f>
        <v/>
      </c>
      <c r="O530" s="7">
        <f>'1 datos preparados'!N523</f>
        <v/>
      </c>
      <c r="P530" s="7">
        <f>'1 datos preparados'!O523</f>
        <v/>
      </c>
      <c r="Q530" s="7">
        <f>'1 datos preparados'!P523</f>
        <v/>
      </c>
      <c r="R530" s="7">
        <f>'1 datos preparados'!Q523</f>
        <v/>
      </c>
      <c r="S530" s="7">
        <f>'1 datos preparados'!R523</f>
        <v/>
      </c>
      <c r="T530" s="7">
        <f>'1 datos preparados'!S523</f>
        <v/>
      </c>
      <c r="U530" s="7">
        <f>'1 datos preparados'!T523</f>
        <v/>
      </c>
      <c r="V530" s="8">
        <f>$AE$12+D530*$AE$13+E530*$AE$14+F530*$AE$15+G530*$AE$16+H530*$AE$17+I530*$AE$18+J530*$AE$19+K530*$AE$20+L530*$AE$21+M530*$AE$22+N530*$AE$23+O530*$AE$24+P530*$AE$25+Q530*$AE$26+R530*$AE$27+S530*$AE$28+T530*$AE$29+U530*$AE$30</f>
        <v/>
      </c>
      <c r="W530" s="8">
        <f>1/(1+EXP(-V530))</f>
        <v/>
      </c>
      <c r="X530" s="9">
        <f>-IF(C530=1,LN(W530),LN(1-W530))</f>
        <v/>
      </c>
      <c r="Y530" s="8">
        <f>IF(C530=1,$AE$32,$AE$33)</f>
        <v/>
      </c>
      <c r="Z530" s="9">
        <f>Y530*X530</f>
        <v/>
      </c>
      <c r="AA530" s="10">
        <f>IF(W530&gt;$AE$34,1,0)</f>
        <v/>
      </c>
      <c r="AB530">
        <f>IF(AA530=C530,1,0)</f>
        <v/>
      </c>
    </row>
    <row r="531">
      <c r="A531">
        <f>'1 datos preparados'!A524</f>
        <v/>
      </c>
      <c r="B531" s="5">
        <f>'1 datos preparados'!U524</f>
        <v/>
      </c>
      <c r="C531">
        <f>'1 datos preparados'!B524</f>
        <v/>
      </c>
      <c r="D531" s="7">
        <f>'1 datos preparados'!C524</f>
        <v/>
      </c>
      <c r="E531" s="7">
        <f>'1 datos preparados'!D524</f>
        <v/>
      </c>
      <c r="F531" s="7">
        <f>'1 datos preparados'!E524</f>
        <v/>
      </c>
      <c r="G531" s="7">
        <f>'1 datos preparados'!F524</f>
        <v/>
      </c>
      <c r="H531" s="7">
        <f>'1 datos preparados'!G524</f>
        <v/>
      </c>
      <c r="I531" s="7">
        <f>'1 datos preparados'!H524</f>
        <v/>
      </c>
      <c r="J531" s="7">
        <f>'1 datos preparados'!I524</f>
        <v/>
      </c>
      <c r="K531" s="7">
        <f>'1 datos preparados'!J524</f>
        <v/>
      </c>
      <c r="L531" s="7">
        <f>'1 datos preparados'!K524</f>
        <v/>
      </c>
      <c r="M531" s="7">
        <f>'1 datos preparados'!L524</f>
        <v/>
      </c>
      <c r="N531" s="7">
        <f>'1 datos preparados'!M524</f>
        <v/>
      </c>
      <c r="O531" s="7">
        <f>'1 datos preparados'!N524</f>
        <v/>
      </c>
      <c r="P531" s="7">
        <f>'1 datos preparados'!O524</f>
        <v/>
      </c>
      <c r="Q531" s="7">
        <f>'1 datos preparados'!P524</f>
        <v/>
      </c>
      <c r="R531" s="7">
        <f>'1 datos preparados'!Q524</f>
        <v/>
      </c>
      <c r="S531" s="7">
        <f>'1 datos preparados'!R524</f>
        <v/>
      </c>
      <c r="T531" s="7">
        <f>'1 datos preparados'!S524</f>
        <v/>
      </c>
      <c r="U531" s="7">
        <f>'1 datos preparados'!T524</f>
        <v/>
      </c>
      <c r="V531" s="8">
        <f>$AE$12+D531*$AE$13+E531*$AE$14+F531*$AE$15+G531*$AE$16+H531*$AE$17+I531*$AE$18+J531*$AE$19+K531*$AE$20+L531*$AE$21+M531*$AE$22+N531*$AE$23+O531*$AE$24+P531*$AE$25+Q531*$AE$26+R531*$AE$27+S531*$AE$28+T531*$AE$29+U531*$AE$30</f>
        <v/>
      </c>
      <c r="W531" s="8">
        <f>1/(1+EXP(-V531))</f>
        <v/>
      </c>
      <c r="X531" s="9">
        <f>-IF(C531=1,LN(W531),LN(1-W531))</f>
        <v/>
      </c>
      <c r="Y531" s="8">
        <f>IF(C531=1,$AE$32,$AE$33)</f>
        <v/>
      </c>
      <c r="Z531" s="9">
        <f>Y531*X531</f>
        <v/>
      </c>
      <c r="AA531" s="10">
        <f>IF(W531&gt;$AE$34,1,0)</f>
        <v/>
      </c>
      <c r="AB531">
        <f>IF(AA531=C531,1,0)</f>
        <v/>
      </c>
    </row>
    <row r="532">
      <c r="A532">
        <f>'1 datos preparados'!A525</f>
        <v/>
      </c>
      <c r="B532" s="5">
        <f>'1 datos preparados'!U525</f>
        <v/>
      </c>
      <c r="C532">
        <f>'1 datos preparados'!B525</f>
        <v/>
      </c>
      <c r="D532" s="7">
        <f>'1 datos preparados'!C525</f>
        <v/>
      </c>
      <c r="E532" s="7">
        <f>'1 datos preparados'!D525</f>
        <v/>
      </c>
      <c r="F532" s="7">
        <f>'1 datos preparados'!E525</f>
        <v/>
      </c>
      <c r="G532" s="7">
        <f>'1 datos preparados'!F525</f>
        <v/>
      </c>
      <c r="H532" s="7">
        <f>'1 datos preparados'!G525</f>
        <v/>
      </c>
      <c r="I532" s="7">
        <f>'1 datos preparados'!H525</f>
        <v/>
      </c>
      <c r="J532" s="7">
        <f>'1 datos preparados'!I525</f>
        <v/>
      </c>
      <c r="K532" s="7">
        <f>'1 datos preparados'!J525</f>
        <v/>
      </c>
      <c r="L532" s="7">
        <f>'1 datos preparados'!K525</f>
        <v/>
      </c>
      <c r="M532" s="7">
        <f>'1 datos preparados'!L525</f>
        <v/>
      </c>
      <c r="N532" s="7">
        <f>'1 datos preparados'!M525</f>
        <v/>
      </c>
      <c r="O532" s="7">
        <f>'1 datos preparados'!N525</f>
        <v/>
      </c>
      <c r="P532" s="7">
        <f>'1 datos preparados'!O525</f>
        <v/>
      </c>
      <c r="Q532" s="7">
        <f>'1 datos preparados'!P525</f>
        <v/>
      </c>
      <c r="R532" s="7">
        <f>'1 datos preparados'!Q525</f>
        <v/>
      </c>
      <c r="S532" s="7">
        <f>'1 datos preparados'!R525</f>
        <v/>
      </c>
      <c r="T532" s="7">
        <f>'1 datos preparados'!S525</f>
        <v/>
      </c>
      <c r="U532" s="7">
        <f>'1 datos preparados'!T525</f>
        <v/>
      </c>
      <c r="V532" s="8">
        <f>$AE$12+D532*$AE$13+E532*$AE$14+F532*$AE$15+G532*$AE$16+H532*$AE$17+I532*$AE$18+J532*$AE$19+K532*$AE$20+L532*$AE$21+M532*$AE$22+N532*$AE$23+O532*$AE$24+P532*$AE$25+Q532*$AE$26+R532*$AE$27+S532*$AE$28+T532*$AE$29+U532*$AE$30</f>
        <v/>
      </c>
      <c r="W532" s="8">
        <f>1/(1+EXP(-V532))</f>
        <v/>
      </c>
      <c r="X532" s="9">
        <f>-IF(C532=1,LN(W532),LN(1-W532))</f>
        <v/>
      </c>
      <c r="Y532" s="8">
        <f>IF(C532=1,$AE$32,$AE$33)</f>
        <v/>
      </c>
      <c r="Z532" s="9">
        <f>Y532*X532</f>
        <v/>
      </c>
      <c r="AA532" s="10">
        <f>IF(W532&gt;$AE$34,1,0)</f>
        <v/>
      </c>
      <c r="AB532">
        <f>IF(AA532=C532,1,0)</f>
        <v/>
      </c>
    </row>
    <row r="533">
      <c r="A533">
        <f>'1 datos preparados'!A526</f>
        <v/>
      </c>
      <c r="B533" s="5">
        <f>'1 datos preparados'!U526</f>
        <v/>
      </c>
      <c r="C533">
        <f>'1 datos preparados'!B526</f>
        <v/>
      </c>
      <c r="D533" s="7">
        <f>'1 datos preparados'!C526</f>
        <v/>
      </c>
      <c r="E533" s="7">
        <f>'1 datos preparados'!D526</f>
        <v/>
      </c>
      <c r="F533" s="7">
        <f>'1 datos preparados'!E526</f>
        <v/>
      </c>
      <c r="G533" s="7">
        <f>'1 datos preparados'!F526</f>
        <v/>
      </c>
      <c r="H533" s="7">
        <f>'1 datos preparados'!G526</f>
        <v/>
      </c>
      <c r="I533" s="7">
        <f>'1 datos preparados'!H526</f>
        <v/>
      </c>
      <c r="J533" s="7">
        <f>'1 datos preparados'!I526</f>
        <v/>
      </c>
      <c r="K533" s="7">
        <f>'1 datos preparados'!J526</f>
        <v/>
      </c>
      <c r="L533" s="7">
        <f>'1 datos preparados'!K526</f>
        <v/>
      </c>
      <c r="M533" s="7">
        <f>'1 datos preparados'!L526</f>
        <v/>
      </c>
      <c r="N533" s="7">
        <f>'1 datos preparados'!M526</f>
        <v/>
      </c>
      <c r="O533" s="7">
        <f>'1 datos preparados'!N526</f>
        <v/>
      </c>
      <c r="P533" s="7">
        <f>'1 datos preparados'!O526</f>
        <v/>
      </c>
      <c r="Q533" s="7">
        <f>'1 datos preparados'!P526</f>
        <v/>
      </c>
      <c r="R533" s="7">
        <f>'1 datos preparados'!Q526</f>
        <v/>
      </c>
      <c r="S533" s="7">
        <f>'1 datos preparados'!R526</f>
        <v/>
      </c>
      <c r="T533" s="7">
        <f>'1 datos preparados'!S526</f>
        <v/>
      </c>
      <c r="U533" s="7">
        <f>'1 datos preparados'!T526</f>
        <v/>
      </c>
      <c r="V533" s="8">
        <f>$AE$12+D533*$AE$13+E533*$AE$14+F533*$AE$15+G533*$AE$16+H533*$AE$17+I533*$AE$18+J533*$AE$19+K533*$AE$20+L533*$AE$21+M533*$AE$22+N533*$AE$23+O533*$AE$24+P533*$AE$25+Q533*$AE$26+R533*$AE$27+S533*$AE$28+T533*$AE$29+U533*$AE$30</f>
        <v/>
      </c>
      <c r="W533" s="8">
        <f>1/(1+EXP(-V533))</f>
        <v/>
      </c>
      <c r="X533" s="9">
        <f>-IF(C533=1,LN(W533),LN(1-W533))</f>
        <v/>
      </c>
      <c r="Y533" s="8">
        <f>IF(C533=1,$AE$32,$AE$33)</f>
        <v/>
      </c>
      <c r="Z533" s="9">
        <f>Y533*X533</f>
        <v/>
      </c>
      <c r="AA533" s="10">
        <f>IF(W533&gt;$AE$34,1,0)</f>
        <v/>
      </c>
      <c r="AB533">
        <f>IF(AA533=C533,1,0)</f>
        <v/>
      </c>
    </row>
    <row r="534">
      <c r="A534">
        <f>'1 datos preparados'!A527</f>
        <v/>
      </c>
      <c r="B534" s="5">
        <f>'1 datos preparados'!U527</f>
        <v/>
      </c>
      <c r="C534">
        <f>'1 datos preparados'!B527</f>
        <v/>
      </c>
      <c r="D534" s="7">
        <f>'1 datos preparados'!C527</f>
        <v/>
      </c>
      <c r="E534" s="7">
        <f>'1 datos preparados'!D527</f>
        <v/>
      </c>
      <c r="F534" s="7">
        <f>'1 datos preparados'!E527</f>
        <v/>
      </c>
      <c r="G534" s="7">
        <f>'1 datos preparados'!F527</f>
        <v/>
      </c>
      <c r="H534" s="7">
        <f>'1 datos preparados'!G527</f>
        <v/>
      </c>
      <c r="I534" s="7">
        <f>'1 datos preparados'!H527</f>
        <v/>
      </c>
      <c r="J534" s="7">
        <f>'1 datos preparados'!I527</f>
        <v/>
      </c>
      <c r="K534" s="7">
        <f>'1 datos preparados'!J527</f>
        <v/>
      </c>
      <c r="L534" s="7">
        <f>'1 datos preparados'!K527</f>
        <v/>
      </c>
      <c r="M534" s="7">
        <f>'1 datos preparados'!L527</f>
        <v/>
      </c>
      <c r="N534" s="7">
        <f>'1 datos preparados'!M527</f>
        <v/>
      </c>
      <c r="O534" s="7">
        <f>'1 datos preparados'!N527</f>
        <v/>
      </c>
      <c r="P534" s="7">
        <f>'1 datos preparados'!O527</f>
        <v/>
      </c>
      <c r="Q534" s="7">
        <f>'1 datos preparados'!P527</f>
        <v/>
      </c>
      <c r="R534" s="7">
        <f>'1 datos preparados'!Q527</f>
        <v/>
      </c>
      <c r="S534" s="7">
        <f>'1 datos preparados'!R527</f>
        <v/>
      </c>
      <c r="T534" s="7">
        <f>'1 datos preparados'!S527</f>
        <v/>
      </c>
      <c r="U534" s="7">
        <f>'1 datos preparados'!T527</f>
        <v/>
      </c>
      <c r="V534" s="8">
        <f>$AE$12+D534*$AE$13+E534*$AE$14+F534*$AE$15+G534*$AE$16+H534*$AE$17+I534*$AE$18+J534*$AE$19+K534*$AE$20+L534*$AE$21+M534*$AE$22+N534*$AE$23+O534*$AE$24+P534*$AE$25+Q534*$AE$26+R534*$AE$27+S534*$AE$28+T534*$AE$29+U534*$AE$30</f>
        <v/>
      </c>
      <c r="W534" s="8">
        <f>1/(1+EXP(-V534))</f>
        <v/>
      </c>
      <c r="X534" s="9">
        <f>-IF(C534=1,LN(W534),LN(1-W534))</f>
        <v/>
      </c>
      <c r="Y534" s="8">
        <f>IF(C534=1,$AE$32,$AE$33)</f>
        <v/>
      </c>
      <c r="Z534" s="9">
        <f>Y534*X534</f>
        <v/>
      </c>
      <c r="AA534" s="10">
        <f>IF(W534&gt;$AE$34,1,0)</f>
        <v/>
      </c>
      <c r="AB534">
        <f>IF(AA534=C534,1,0)</f>
        <v/>
      </c>
    </row>
    <row r="535">
      <c r="A535">
        <f>'1 datos preparados'!A528</f>
        <v/>
      </c>
      <c r="B535" s="5">
        <f>'1 datos preparados'!U528</f>
        <v/>
      </c>
      <c r="C535">
        <f>'1 datos preparados'!B528</f>
        <v/>
      </c>
      <c r="D535" s="7">
        <f>'1 datos preparados'!C528</f>
        <v/>
      </c>
      <c r="E535" s="7">
        <f>'1 datos preparados'!D528</f>
        <v/>
      </c>
      <c r="F535" s="7">
        <f>'1 datos preparados'!E528</f>
        <v/>
      </c>
      <c r="G535" s="7">
        <f>'1 datos preparados'!F528</f>
        <v/>
      </c>
      <c r="H535" s="7">
        <f>'1 datos preparados'!G528</f>
        <v/>
      </c>
      <c r="I535" s="7">
        <f>'1 datos preparados'!H528</f>
        <v/>
      </c>
      <c r="J535" s="7">
        <f>'1 datos preparados'!I528</f>
        <v/>
      </c>
      <c r="K535" s="7">
        <f>'1 datos preparados'!J528</f>
        <v/>
      </c>
      <c r="L535" s="7">
        <f>'1 datos preparados'!K528</f>
        <v/>
      </c>
      <c r="M535" s="7">
        <f>'1 datos preparados'!L528</f>
        <v/>
      </c>
      <c r="N535" s="7">
        <f>'1 datos preparados'!M528</f>
        <v/>
      </c>
      <c r="O535" s="7">
        <f>'1 datos preparados'!N528</f>
        <v/>
      </c>
      <c r="P535" s="7">
        <f>'1 datos preparados'!O528</f>
        <v/>
      </c>
      <c r="Q535" s="7">
        <f>'1 datos preparados'!P528</f>
        <v/>
      </c>
      <c r="R535" s="7">
        <f>'1 datos preparados'!Q528</f>
        <v/>
      </c>
      <c r="S535" s="7">
        <f>'1 datos preparados'!R528</f>
        <v/>
      </c>
      <c r="T535" s="7">
        <f>'1 datos preparados'!S528</f>
        <v/>
      </c>
      <c r="U535" s="7">
        <f>'1 datos preparados'!T528</f>
        <v/>
      </c>
      <c r="V535" s="8">
        <f>$AE$12+D535*$AE$13+E535*$AE$14+F535*$AE$15+G535*$AE$16+H535*$AE$17+I535*$AE$18+J535*$AE$19+K535*$AE$20+L535*$AE$21+M535*$AE$22+N535*$AE$23+O535*$AE$24+P535*$AE$25+Q535*$AE$26+R535*$AE$27+S535*$AE$28+T535*$AE$29+U535*$AE$30</f>
        <v/>
      </c>
      <c r="W535" s="8">
        <f>1/(1+EXP(-V535))</f>
        <v/>
      </c>
      <c r="X535" s="9">
        <f>-IF(C535=1,LN(W535),LN(1-W535))</f>
        <v/>
      </c>
      <c r="Y535" s="8">
        <f>IF(C535=1,$AE$32,$AE$33)</f>
        <v/>
      </c>
      <c r="Z535" s="9">
        <f>Y535*X535</f>
        <v/>
      </c>
      <c r="AA535" s="10">
        <f>IF(W535&gt;$AE$34,1,0)</f>
        <v/>
      </c>
      <c r="AB535">
        <f>IF(AA535=C535,1,0)</f>
        <v/>
      </c>
    </row>
    <row r="536">
      <c r="A536">
        <f>'1 datos preparados'!A529</f>
        <v/>
      </c>
      <c r="B536" s="5">
        <f>'1 datos preparados'!U529</f>
        <v/>
      </c>
      <c r="C536">
        <f>'1 datos preparados'!B529</f>
        <v/>
      </c>
      <c r="D536" s="7">
        <f>'1 datos preparados'!C529</f>
        <v/>
      </c>
      <c r="E536" s="7">
        <f>'1 datos preparados'!D529</f>
        <v/>
      </c>
      <c r="F536" s="7">
        <f>'1 datos preparados'!E529</f>
        <v/>
      </c>
      <c r="G536" s="7">
        <f>'1 datos preparados'!F529</f>
        <v/>
      </c>
      <c r="H536" s="7">
        <f>'1 datos preparados'!G529</f>
        <v/>
      </c>
      <c r="I536" s="7">
        <f>'1 datos preparados'!H529</f>
        <v/>
      </c>
      <c r="J536" s="7">
        <f>'1 datos preparados'!I529</f>
        <v/>
      </c>
      <c r="K536" s="7">
        <f>'1 datos preparados'!J529</f>
        <v/>
      </c>
      <c r="L536" s="7">
        <f>'1 datos preparados'!K529</f>
        <v/>
      </c>
      <c r="M536" s="7">
        <f>'1 datos preparados'!L529</f>
        <v/>
      </c>
      <c r="N536" s="7">
        <f>'1 datos preparados'!M529</f>
        <v/>
      </c>
      <c r="O536" s="7">
        <f>'1 datos preparados'!N529</f>
        <v/>
      </c>
      <c r="P536" s="7">
        <f>'1 datos preparados'!O529</f>
        <v/>
      </c>
      <c r="Q536" s="7">
        <f>'1 datos preparados'!P529</f>
        <v/>
      </c>
      <c r="R536" s="7">
        <f>'1 datos preparados'!Q529</f>
        <v/>
      </c>
      <c r="S536" s="7">
        <f>'1 datos preparados'!R529</f>
        <v/>
      </c>
      <c r="T536" s="7">
        <f>'1 datos preparados'!S529</f>
        <v/>
      </c>
      <c r="U536" s="7">
        <f>'1 datos preparados'!T529</f>
        <v/>
      </c>
      <c r="V536" s="8">
        <f>$AE$12+D536*$AE$13+E536*$AE$14+F536*$AE$15+G536*$AE$16+H536*$AE$17+I536*$AE$18+J536*$AE$19+K536*$AE$20+L536*$AE$21+M536*$AE$22+N536*$AE$23+O536*$AE$24+P536*$AE$25+Q536*$AE$26+R536*$AE$27+S536*$AE$28+T536*$AE$29+U536*$AE$30</f>
        <v/>
      </c>
      <c r="W536" s="8">
        <f>1/(1+EXP(-V536))</f>
        <v/>
      </c>
      <c r="X536" s="9">
        <f>-IF(C536=1,LN(W536),LN(1-W536))</f>
        <v/>
      </c>
      <c r="Y536" s="8">
        <f>IF(C536=1,$AE$32,$AE$33)</f>
        <v/>
      </c>
      <c r="Z536" s="9">
        <f>Y536*X536</f>
        <v/>
      </c>
      <c r="AA536" s="10">
        <f>IF(W536&gt;$AE$34,1,0)</f>
        <v/>
      </c>
      <c r="AB536">
        <f>IF(AA536=C536,1,0)</f>
        <v/>
      </c>
    </row>
    <row r="537">
      <c r="A537">
        <f>'1 datos preparados'!A530</f>
        <v/>
      </c>
      <c r="B537" s="5">
        <f>'1 datos preparados'!U530</f>
        <v/>
      </c>
      <c r="C537">
        <f>'1 datos preparados'!B530</f>
        <v/>
      </c>
      <c r="D537" s="7">
        <f>'1 datos preparados'!C530</f>
        <v/>
      </c>
      <c r="E537" s="7">
        <f>'1 datos preparados'!D530</f>
        <v/>
      </c>
      <c r="F537" s="7">
        <f>'1 datos preparados'!E530</f>
        <v/>
      </c>
      <c r="G537" s="7">
        <f>'1 datos preparados'!F530</f>
        <v/>
      </c>
      <c r="H537" s="7">
        <f>'1 datos preparados'!G530</f>
        <v/>
      </c>
      <c r="I537" s="7">
        <f>'1 datos preparados'!H530</f>
        <v/>
      </c>
      <c r="J537" s="7">
        <f>'1 datos preparados'!I530</f>
        <v/>
      </c>
      <c r="K537" s="7">
        <f>'1 datos preparados'!J530</f>
        <v/>
      </c>
      <c r="L537" s="7">
        <f>'1 datos preparados'!K530</f>
        <v/>
      </c>
      <c r="M537" s="7">
        <f>'1 datos preparados'!L530</f>
        <v/>
      </c>
      <c r="N537" s="7">
        <f>'1 datos preparados'!M530</f>
        <v/>
      </c>
      <c r="O537" s="7">
        <f>'1 datos preparados'!N530</f>
        <v/>
      </c>
      <c r="P537" s="7">
        <f>'1 datos preparados'!O530</f>
        <v/>
      </c>
      <c r="Q537" s="7">
        <f>'1 datos preparados'!P530</f>
        <v/>
      </c>
      <c r="R537" s="7">
        <f>'1 datos preparados'!Q530</f>
        <v/>
      </c>
      <c r="S537" s="7">
        <f>'1 datos preparados'!R530</f>
        <v/>
      </c>
      <c r="T537" s="7">
        <f>'1 datos preparados'!S530</f>
        <v/>
      </c>
      <c r="U537" s="7">
        <f>'1 datos preparados'!T530</f>
        <v/>
      </c>
      <c r="V537" s="8">
        <f>$AE$12+D537*$AE$13+E537*$AE$14+F537*$AE$15+G537*$AE$16+H537*$AE$17+I537*$AE$18+J537*$AE$19+K537*$AE$20+L537*$AE$21+M537*$AE$22+N537*$AE$23+O537*$AE$24+P537*$AE$25+Q537*$AE$26+R537*$AE$27+S537*$AE$28+T537*$AE$29+U537*$AE$30</f>
        <v/>
      </c>
      <c r="W537" s="8">
        <f>1/(1+EXP(-V537))</f>
        <v/>
      </c>
      <c r="X537" s="9">
        <f>-IF(C537=1,LN(W537),LN(1-W537))</f>
        <v/>
      </c>
      <c r="Y537" s="8">
        <f>IF(C537=1,$AE$32,$AE$33)</f>
        <v/>
      </c>
      <c r="Z537" s="9">
        <f>Y537*X537</f>
        <v/>
      </c>
      <c r="AA537" s="10">
        <f>IF(W537&gt;$AE$34,1,0)</f>
        <v/>
      </c>
      <c r="AB537">
        <f>IF(AA537=C537,1,0)</f>
        <v/>
      </c>
    </row>
    <row r="538">
      <c r="A538">
        <f>'1 datos preparados'!A531</f>
        <v/>
      </c>
      <c r="B538" s="5">
        <f>'1 datos preparados'!U531</f>
        <v/>
      </c>
      <c r="C538">
        <f>'1 datos preparados'!B531</f>
        <v/>
      </c>
      <c r="D538" s="7">
        <f>'1 datos preparados'!C531</f>
        <v/>
      </c>
      <c r="E538" s="7">
        <f>'1 datos preparados'!D531</f>
        <v/>
      </c>
      <c r="F538" s="7">
        <f>'1 datos preparados'!E531</f>
        <v/>
      </c>
      <c r="G538" s="7">
        <f>'1 datos preparados'!F531</f>
        <v/>
      </c>
      <c r="H538" s="7">
        <f>'1 datos preparados'!G531</f>
        <v/>
      </c>
      <c r="I538" s="7">
        <f>'1 datos preparados'!H531</f>
        <v/>
      </c>
      <c r="J538" s="7">
        <f>'1 datos preparados'!I531</f>
        <v/>
      </c>
      <c r="K538" s="7">
        <f>'1 datos preparados'!J531</f>
        <v/>
      </c>
      <c r="L538" s="7">
        <f>'1 datos preparados'!K531</f>
        <v/>
      </c>
      <c r="M538" s="7">
        <f>'1 datos preparados'!L531</f>
        <v/>
      </c>
      <c r="N538" s="7">
        <f>'1 datos preparados'!M531</f>
        <v/>
      </c>
      <c r="O538" s="7">
        <f>'1 datos preparados'!N531</f>
        <v/>
      </c>
      <c r="P538" s="7">
        <f>'1 datos preparados'!O531</f>
        <v/>
      </c>
      <c r="Q538" s="7">
        <f>'1 datos preparados'!P531</f>
        <v/>
      </c>
      <c r="R538" s="7">
        <f>'1 datos preparados'!Q531</f>
        <v/>
      </c>
      <c r="S538" s="7">
        <f>'1 datos preparados'!R531</f>
        <v/>
      </c>
      <c r="T538" s="7">
        <f>'1 datos preparados'!S531</f>
        <v/>
      </c>
      <c r="U538" s="7">
        <f>'1 datos preparados'!T531</f>
        <v/>
      </c>
      <c r="V538" s="8">
        <f>$AE$12+D538*$AE$13+E538*$AE$14+F538*$AE$15+G538*$AE$16+H538*$AE$17+I538*$AE$18+J538*$AE$19+K538*$AE$20+L538*$AE$21+M538*$AE$22+N538*$AE$23+O538*$AE$24+P538*$AE$25+Q538*$AE$26+R538*$AE$27+S538*$AE$28+T538*$AE$29+U538*$AE$30</f>
        <v/>
      </c>
      <c r="W538" s="8">
        <f>1/(1+EXP(-V538))</f>
        <v/>
      </c>
      <c r="X538" s="9">
        <f>-IF(C538=1,LN(W538),LN(1-W538))</f>
        <v/>
      </c>
      <c r="Y538" s="8">
        <f>IF(C538=1,$AE$32,$AE$33)</f>
        <v/>
      </c>
      <c r="Z538" s="9">
        <f>Y538*X538</f>
        <v/>
      </c>
      <c r="AA538" s="10">
        <f>IF(W538&gt;$AE$34,1,0)</f>
        <v/>
      </c>
      <c r="AB538">
        <f>IF(AA538=C538,1,0)</f>
        <v/>
      </c>
    </row>
    <row r="539">
      <c r="A539">
        <f>'1 datos preparados'!A532</f>
        <v/>
      </c>
      <c r="B539" s="5">
        <f>'1 datos preparados'!U532</f>
        <v/>
      </c>
      <c r="C539">
        <f>'1 datos preparados'!B532</f>
        <v/>
      </c>
      <c r="D539" s="7">
        <f>'1 datos preparados'!C532</f>
        <v/>
      </c>
      <c r="E539" s="7">
        <f>'1 datos preparados'!D532</f>
        <v/>
      </c>
      <c r="F539" s="7">
        <f>'1 datos preparados'!E532</f>
        <v/>
      </c>
      <c r="G539" s="7">
        <f>'1 datos preparados'!F532</f>
        <v/>
      </c>
      <c r="H539" s="7">
        <f>'1 datos preparados'!G532</f>
        <v/>
      </c>
      <c r="I539" s="7">
        <f>'1 datos preparados'!H532</f>
        <v/>
      </c>
      <c r="J539" s="7">
        <f>'1 datos preparados'!I532</f>
        <v/>
      </c>
      <c r="K539" s="7">
        <f>'1 datos preparados'!J532</f>
        <v/>
      </c>
      <c r="L539" s="7">
        <f>'1 datos preparados'!K532</f>
        <v/>
      </c>
      <c r="M539" s="7">
        <f>'1 datos preparados'!L532</f>
        <v/>
      </c>
      <c r="N539" s="7">
        <f>'1 datos preparados'!M532</f>
        <v/>
      </c>
      <c r="O539" s="7">
        <f>'1 datos preparados'!N532</f>
        <v/>
      </c>
      <c r="P539" s="7">
        <f>'1 datos preparados'!O532</f>
        <v/>
      </c>
      <c r="Q539" s="7">
        <f>'1 datos preparados'!P532</f>
        <v/>
      </c>
      <c r="R539" s="7">
        <f>'1 datos preparados'!Q532</f>
        <v/>
      </c>
      <c r="S539" s="7">
        <f>'1 datos preparados'!R532</f>
        <v/>
      </c>
      <c r="T539" s="7">
        <f>'1 datos preparados'!S532</f>
        <v/>
      </c>
      <c r="U539" s="7">
        <f>'1 datos preparados'!T532</f>
        <v/>
      </c>
      <c r="V539" s="8">
        <f>$AE$12+D539*$AE$13+E539*$AE$14+F539*$AE$15+G539*$AE$16+H539*$AE$17+I539*$AE$18+J539*$AE$19+K539*$AE$20+L539*$AE$21+M539*$AE$22+N539*$AE$23+O539*$AE$24+P539*$AE$25+Q539*$AE$26+R539*$AE$27+S539*$AE$28+T539*$AE$29+U539*$AE$30</f>
        <v/>
      </c>
      <c r="W539" s="8">
        <f>1/(1+EXP(-V539))</f>
        <v/>
      </c>
      <c r="X539" s="9">
        <f>-IF(C539=1,LN(W539),LN(1-W539))</f>
        <v/>
      </c>
      <c r="Y539" s="8">
        <f>IF(C539=1,$AE$32,$AE$33)</f>
        <v/>
      </c>
      <c r="Z539" s="9">
        <f>Y539*X539</f>
        <v/>
      </c>
      <c r="AA539" s="10">
        <f>IF(W539&gt;$AE$34,1,0)</f>
        <v/>
      </c>
      <c r="AB539">
        <f>IF(AA539=C539,1,0)</f>
        <v/>
      </c>
    </row>
    <row r="540">
      <c r="A540">
        <f>'1 datos preparados'!A533</f>
        <v/>
      </c>
      <c r="B540" s="5">
        <f>'1 datos preparados'!U533</f>
        <v/>
      </c>
      <c r="C540">
        <f>'1 datos preparados'!B533</f>
        <v/>
      </c>
      <c r="D540" s="7">
        <f>'1 datos preparados'!C533</f>
        <v/>
      </c>
      <c r="E540" s="7">
        <f>'1 datos preparados'!D533</f>
        <v/>
      </c>
      <c r="F540" s="7">
        <f>'1 datos preparados'!E533</f>
        <v/>
      </c>
      <c r="G540" s="7">
        <f>'1 datos preparados'!F533</f>
        <v/>
      </c>
      <c r="H540" s="7">
        <f>'1 datos preparados'!G533</f>
        <v/>
      </c>
      <c r="I540" s="7">
        <f>'1 datos preparados'!H533</f>
        <v/>
      </c>
      <c r="J540" s="7">
        <f>'1 datos preparados'!I533</f>
        <v/>
      </c>
      <c r="K540" s="7">
        <f>'1 datos preparados'!J533</f>
        <v/>
      </c>
      <c r="L540" s="7">
        <f>'1 datos preparados'!K533</f>
        <v/>
      </c>
      <c r="M540" s="7">
        <f>'1 datos preparados'!L533</f>
        <v/>
      </c>
      <c r="N540" s="7">
        <f>'1 datos preparados'!M533</f>
        <v/>
      </c>
      <c r="O540" s="7">
        <f>'1 datos preparados'!N533</f>
        <v/>
      </c>
      <c r="P540" s="7">
        <f>'1 datos preparados'!O533</f>
        <v/>
      </c>
      <c r="Q540" s="7">
        <f>'1 datos preparados'!P533</f>
        <v/>
      </c>
      <c r="R540" s="7">
        <f>'1 datos preparados'!Q533</f>
        <v/>
      </c>
      <c r="S540" s="7">
        <f>'1 datos preparados'!R533</f>
        <v/>
      </c>
      <c r="T540" s="7">
        <f>'1 datos preparados'!S533</f>
        <v/>
      </c>
      <c r="U540" s="7">
        <f>'1 datos preparados'!T533</f>
        <v/>
      </c>
      <c r="V540" s="8">
        <f>$AE$12+D540*$AE$13+E540*$AE$14+F540*$AE$15+G540*$AE$16+H540*$AE$17+I540*$AE$18+J540*$AE$19+K540*$AE$20+L540*$AE$21+M540*$AE$22+N540*$AE$23+O540*$AE$24+P540*$AE$25+Q540*$AE$26+R540*$AE$27+S540*$AE$28+T540*$AE$29+U540*$AE$30</f>
        <v/>
      </c>
      <c r="W540" s="8">
        <f>1/(1+EXP(-V540))</f>
        <v/>
      </c>
      <c r="X540" s="9">
        <f>-IF(C540=1,LN(W540),LN(1-W540))</f>
        <v/>
      </c>
      <c r="Y540" s="8">
        <f>IF(C540=1,$AE$32,$AE$33)</f>
        <v/>
      </c>
      <c r="Z540" s="9">
        <f>Y540*X540</f>
        <v/>
      </c>
      <c r="AA540" s="10">
        <f>IF(W540&gt;$AE$34,1,0)</f>
        <v/>
      </c>
      <c r="AB540">
        <f>IF(AA540=C540,1,0)</f>
        <v/>
      </c>
    </row>
    <row r="541">
      <c r="A541">
        <f>'1 datos preparados'!A534</f>
        <v/>
      </c>
      <c r="B541" s="5">
        <f>'1 datos preparados'!U534</f>
        <v/>
      </c>
      <c r="C541">
        <f>'1 datos preparados'!B534</f>
        <v/>
      </c>
      <c r="D541" s="7">
        <f>'1 datos preparados'!C534</f>
        <v/>
      </c>
      <c r="E541" s="7">
        <f>'1 datos preparados'!D534</f>
        <v/>
      </c>
      <c r="F541" s="7">
        <f>'1 datos preparados'!E534</f>
        <v/>
      </c>
      <c r="G541" s="7">
        <f>'1 datos preparados'!F534</f>
        <v/>
      </c>
      <c r="H541" s="7">
        <f>'1 datos preparados'!G534</f>
        <v/>
      </c>
      <c r="I541" s="7">
        <f>'1 datos preparados'!H534</f>
        <v/>
      </c>
      <c r="J541" s="7">
        <f>'1 datos preparados'!I534</f>
        <v/>
      </c>
      <c r="K541" s="7">
        <f>'1 datos preparados'!J534</f>
        <v/>
      </c>
      <c r="L541" s="7">
        <f>'1 datos preparados'!K534</f>
        <v/>
      </c>
      <c r="M541" s="7">
        <f>'1 datos preparados'!L534</f>
        <v/>
      </c>
      <c r="N541" s="7">
        <f>'1 datos preparados'!M534</f>
        <v/>
      </c>
      <c r="O541" s="7">
        <f>'1 datos preparados'!N534</f>
        <v/>
      </c>
      <c r="P541" s="7">
        <f>'1 datos preparados'!O534</f>
        <v/>
      </c>
      <c r="Q541" s="7">
        <f>'1 datos preparados'!P534</f>
        <v/>
      </c>
      <c r="R541" s="7">
        <f>'1 datos preparados'!Q534</f>
        <v/>
      </c>
      <c r="S541" s="7">
        <f>'1 datos preparados'!R534</f>
        <v/>
      </c>
      <c r="T541" s="7">
        <f>'1 datos preparados'!S534</f>
        <v/>
      </c>
      <c r="U541" s="7">
        <f>'1 datos preparados'!T534</f>
        <v/>
      </c>
      <c r="V541" s="8">
        <f>$AE$12+D541*$AE$13+E541*$AE$14+F541*$AE$15+G541*$AE$16+H541*$AE$17+I541*$AE$18+J541*$AE$19+K541*$AE$20+L541*$AE$21+M541*$AE$22+N541*$AE$23+O541*$AE$24+P541*$AE$25+Q541*$AE$26+R541*$AE$27+S541*$AE$28+T541*$AE$29+U541*$AE$30</f>
        <v/>
      </c>
      <c r="W541" s="8">
        <f>1/(1+EXP(-V541))</f>
        <v/>
      </c>
      <c r="X541" s="9">
        <f>-IF(C541=1,LN(W541),LN(1-W541))</f>
        <v/>
      </c>
      <c r="Y541" s="8">
        <f>IF(C541=1,$AE$32,$AE$33)</f>
        <v/>
      </c>
      <c r="Z541" s="9">
        <f>Y541*X541</f>
        <v/>
      </c>
      <c r="AA541" s="10">
        <f>IF(W541&gt;$AE$34,1,0)</f>
        <v/>
      </c>
      <c r="AB541">
        <f>IF(AA541=C541,1,0)</f>
        <v/>
      </c>
    </row>
    <row r="542">
      <c r="A542">
        <f>'1 datos preparados'!A535</f>
        <v/>
      </c>
      <c r="B542" s="5">
        <f>'1 datos preparados'!U535</f>
        <v/>
      </c>
      <c r="C542">
        <f>'1 datos preparados'!B535</f>
        <v/>
      </c>
      <c r="D542" s="7">
        <f>'1 datos preparados'!C535</f>
        <v/>
      </c>
      <c r="E542" s="7">
        <f>'1 datos preparados'!D535</f>
        <v/>
      </c>
      <c r="F542" s="7">
        <f>'1 datos preparados'!E535</f>
        <v/>
      </c>
      <c r="G542" s="7">
        <f>'1 datos preparados'!F535</f>
        <v/>
      </c>
      <c r="H542" s="7">
        <f>'1 datos preparados'!G535</f>
        <v/>
      </c>
      <c r="I542" s="7">
        <f>'1 datos preparados'!H535</f>
        <v/>
      </c>
      <c r="J542" s="7">
        <f>'1 datos preparados'!I535</f>
        <v/>
      </c>
      <c r="K542" s="7">
        <f>'1 datos preparados'!J535</f>
        <v/>
      </c>
      <c r="L542" s="7">
        <f>'1 datos preparados'!K535</f>
        <v/>
      </c>
      <c r="M542" s="7">
        <f>'1 datos preparados'!L535</f>
        <v/>
      </c>
      <c r="N542" s="7">
        <f>'1 datos preparados'!M535</f>
        <v/>
      </c>
      <c r="O542" s="7">
        <f>'1 datos preparados'!N535</f>
        <v/>
      </c>
      <c r="P542" s="7">
        <f>'1 datos preparados'!O535</f>
        <v/>
      </c>
      <c r="Q542" s="7">
        <f>'1 datos preparados'!P535</f>
        <v/>
      </c>
      <c r="R542" s="7">
        <f>'1 datos preparados'!Q535</f>
        <v/>
      </c>
      <c r="S542" s="7">
        <f>'1 datos preparados'!R535</f>
        <v/>
      </c>
      <c r="T542" s="7">
        <f>'1 datos preparados'!S535</f>
        <v/>
      </c>
      <c r="U542" s="7">
        <f>'1 datos preparados'!T535</f>
        <v/>
      </c>
      <c r="V542" s="8">
        <f>$AE$12+D542*$AE$13+E542*$AE$14+F542*$AE$15+G542*$AE$16+H542*$AE$17+I542*$AE$18+J542*$AE$19+K542*$AE$20+L542*$AE$21+M542*$AE$22+N542*$AE$23+O542*$AE$24+P542*$AE$25+Q542*$AE$26+R542*$AE$27+S542*$AE$28+T542*$AE$29+U542*$AE$30</f>
        <v/>
      </c>
      <c r="W542" s="8">
        <f>1/(1+EXP(-V542))</f>
        <v/>
      </c>
      <c r="X542" s="9">
        <f>-IF(C542=1,LN(W542),LN(1-W542))</f>
        <v/>
      </c>
      <c r="Y542" s="8">
        <f>IF(C542=1,$AE$32,$AE$33)</f>
        <v/>
      </c>
      <c r="Z542" s="9">
        <f>Y542*X542</f>
        <v/>
      </c>
      <c r="AA542" s="10">
        <f>IF(W542&gt;$AE$34,1,0)</f>
        <v/>
      </c>
      <c r="AB542">
        <f>IF(AA542=C542,1,0)</f>
        <v/>
      </c>
    </row>
    <row r="543">
      <c r="A543">
        <f>'1 datos preparados'!A536</f>
        <v/>
      </c>
      <c r="B543" s="5">
        <f>'1 datos preparados'!U536</f>
        <v/>
      </c>
      <c r="C543">
        <f>'1 datos preparados'!B536</f>
        <v/>
      </c>
      <c r="D543" s="7">
        <f>'1 datos preparados'!C536</f>
        <v/>
      </c>
      <c r="E543" s="7">
        <f>'1 datos preparados'!D536</f>
        <v/>
      </c>
      <c r="F543" s="7">
        <f>'1 datos preparados'!E536</f>
        <v/>
      </c>
      <c r="G543" s="7">
        <f>'1 datos preparados'!F536</f>
        <v/>
      </c>
      <c r="H543" s="7">
        <f>'1 datos preparados'!G536</f>
        <v/>
      </c>
      <c r="I543" s="7">
        <f>'1 datos preparados'!H536</f>
        <v/>
      </c>
      <c r="J543" s="7">
        <f>'1 datos preparados'!I536</f>
        <v/>
      </c>
      <c r="K543" s="7">
        <f>'1 datos preparados'!J536</f>
        <v/>
      </c>
      <c r="L543" s="7">
        <f>'1 datos preparados'!K536</f>
        <v/>
      </c>
      <c r="M543" s="7">
        <f>'1 datos preparados'!L536</f>
        <v/>
      </c>
      <c r="N543" s="7">
        <f>'1 datos preparados'!M536</f>
        <v/>
      </c>
      <c r="O543" s="7">
        <f>'1 datos preparados'!N536</f>
        <v/>
      </c>
      <c r="P543" s="7">
        <f>'1 datos preparados'!O536</f>
        <v/>
      </c>
      <c r="Q543" s="7">
        <f>'1 datos preparados'!P536</f>
        <v/>
      </c>
      <c r="R543" s="7">
        <f>'1 datos preparados'!Q536</f>
        <v/>
      </c>
      <c r="S543" s="7">
        <f>'1 datos preparados'!R536</f>
        <v/>
      </c>
      <c r="T543" s="7">
        <f>'1 datos preparados'!S536</f>
        <v/>
      </c>
      <c r="U543" s="7">
        <f>'1 datos preparados'!T536</f>
        <v/>
      </c>
      <c r="V543" s="8">
        <f>$AE$12+D543*$AE$13+E543*$AE$14+F543*$AE$15+G543*$AE$16+H543*$AE$17+I543*$AE$18+J543*$AE$19+K543*$AE$20+L543*$AE$21+M543*$AE$22+N543*$AE$23+O543*$AE$24+P543*$AE$25+Q543*$AE$26+R543*$AE$27+S543*$AE$28+T543*$AE$29+U543*$AE$30</f>
        <v/>
      </c>
      <c r="W543" s="8">
        <f>1/(1+EXP(-V543))</f>
        <v/>
      </c>
      <c r="X543" s="9">
        <f>-IF(C543=1,LN(W543),LN(1-W543))</f>
        <v/>
      </c>
      <c r="Y543" s="8">
        <f>IF(C543=1,$AE$32,$AE$33)</f>
        <v/>
      </c>
      <c r="Z543" s="9">
        <f>Y543*X543</f>
        <v/>
      </c>
      <c r="AA543" s="10">
        <f>IF(W543&gt;$AE$34,1,0)</f>
        <v/>
      </c>
      <c r="AB543">
        <f>IF(AA543=C543,1,0)</f>
        <v/>
      </c>
    </row>
    <row r="544">
      <c r="A544">
        <f>'1 datos preparados'!A537</f>
        <v/>
      </c>
      <c r="B544" s="5">
        <f>'1 datos preparados'!U537</f>
        <v/>
      </c>
      <c r="C544">
        <f>'1 datos preparados'!B537</f>
        <v/>
      </c>
      <c r="D544" s="7">
        <f>'1 datos preparados'!C537</f>
        <v/>
      </c>
      <c r="E544" s="7">
        <f>'1 datos preparados'!D537</f>
        <v/>
      </c>
      <c r="F544" s="7">
        <f>'1 datos preparados'!E537</f>
        <v/>
      </c>
      <c r="G544" s="7">
        <f>'1 datos preparados'!F537</f>
        <v/>
      </c>
      <c r="H544" s="7">
        <f>'1 datos preparados'!G537</f>
        <v/>
      </c>
      <c r="I544" s="7">
        <f>'1 datos preparados'!H537</f>
        <v/>
      </c>
      <c r="J544" s="7">
        <f>'1 datos preparados'!I537</f>
        <v/>
      </c>
      <c r="K544" s="7">
        <f>'1 datos preparados'!J537</f>
        <v/>
      </c>
      <c r="L544" s="7">
        <f>'1 datos preparados'!K537</f>
        <v/>
      </c>
      <c r="M544" s="7">
        <f>'1 datos preparados'!L537</f>
        <v/>
      </c>
      <c r="N544" s="7">
        <f>'1 datos preparados'!M537</f>
        <v/>
      </c>
      <c r="O544" s="7">
        <f>'1 datos preparados'!N537</f>
        <v/>
      </c>
      <c r="P544" s="7">
        <f>'1 datos preparados'!O537</f>
        <v/>
      </c>
      <c r="Q544" s="7">
        <f>'1 datos preparados'!P537</f>
        <v/>
      </c>
      <c r="R544" s="7">
        <f>'1 datos preparados'!Q537</f>
        <v/>
      </c>
      <c r="S544" s="7">
        <f>'1 datos preparados'!R537</f>
        <v/>
      </c>
      <c r="T544" s="7">
        <f>'1 datos preparados'!S537</f>
        <v/>
      </c>
      <c r="U544" s="7">
        <f>'1 datos preparados'!T537</f>
        <v/>
      </c>
      <c r="V544" s="8">
        <f>$AE$12+D544*$AE$13+E544*$AE$14+F544*$AE$15+G544*$AE$16+H544*$AE$17+I544*$AE$18+J544*$AE$19+K544*$AE$20+L544*$AE$21+M544*$AE$22+N544*$AE$23+O544*$AE$24+P544*$AE$25+Q544*$AE$26+R544*$AE$27+S544*$AE$28+T544*$AE$29+U544*$AE$30</f>
        <v/>
      </c>
      <c r="W544" s="8">
        <f>1/(1+EXP(-V544))</f>
        <v/>
      </c>
      <c r="X544" s="9">
        <f>-IF(C544=1,LN(W544),LN(1-W544))</f>
        <v/>
      </c>
      <c r="Y544" s="8">
        <f>IF(C544=1,$AE$32,$AE$33)</f>
        <v/>
      </c>
      <c r="Z544" s="9">
        <f>Y544*X544</f>
        <v/>
      </c>
      <c r="AA544" s="10">
        <f>IF(W544&gt;$AE$34,1,0)</f>
        <v/>
      </c>
      <c r="AB544">
        <f>IF(AA544=C544,1,0)</f>
        <v/>
      </c>
    </row>
    <row r="545">
      <c r="A545">
        <f>'1 datos preparados'!A538</f>
        <v/>
      </c>
      <c r="B545" s="5">
        <f>'1 datos preparados'!U538</f>
        <v/>
      </c>
      <c r="C545">
        <f>'1 datos preparados'!B538</f>
        <v/>
      </c>
      <c r="D545" s="7">
        <f>'1 datos preparados'!C538</f>
        <v/>
      </c>
      <c r="E545" s="7">
        <f>'1 datos preparados'!D538</f>
        <v/>
      </c>
      <c r="F545" s="7">
        <f>'1 datos preparados'!E538</f>
        <v/>
      </c>
      <c r="G545" s="7">
        <f>'1 datos preparados'!F538</f>
        <v/>
      </c>
      <c r="H545" s="7">
        <f>'1 datos preparados'!G538</f>
        <v/>
      </c>
      <c r="I545" s="7">
        <f>'1 datos preparados'!H538</f>
        <v/>
      </c>
      <c r="J545" s="7">
        <f>'1 datos preparados'!I538</f>
        <v/>
      </c>
      <c r="K545" s="7">
        <f>'1 datos preparados'!J538</f>
        <v/>
      </c>
      <c r="L545" s="7">
        <f>'1 datos preparados'!K538</f>
        <v/>
      </c>
      <c r="M545" s="7">
        <f>'1 datos preparados'!L538</f>
        <v/>
      </c>
      <c r="N545" s="7">
        <f>'1 datos preparados'!M538</f>
        <v/>
      </c>
      <c r="O545" s="7">
        <f>'1 datos preparados'!N538</f>
        <v/>
      </c>
      <c r="P545" s="7">
        <f>'1 datos preparados'!O538</f>
        <v/>
      </c>
      <c r="Q545" s="7">
        <f>'1 datos preparados'!P538</f>
        <v/>
      </c>
      <c r="R545" s="7">
        <f>'1 datos preparados'!Q538</f>
        <v/>
      </c>
      <c r="S545" s="7">
        <f>'1 datos preparados'!R538</f>
        <v/>
      </c>
      <c r="T545" s="7">
        <f>'1 datos preparados'!S538</f>
        <v/>
      </c>
      <c r="U545" s="7">
        <f>'1 datos preparados'!T538</f>
        <v/>
      </c>
      <c r="V545" s="8">
        <f>$AE$12+D545*$AE$13+E545*$AE$14+F545*$AE$15+G545*$AE$16+H545*$AE$17+I545*$AE$18+J545*$AE$19+K545*$AE$20+L545*$AE$21+M545*$AE$22+N545*$AE$23+O545*$AE$24+P545*$AE$25+Q545*$AE$26+R545*$AE$27+S545*$AE$28+T545*$AE$29+U545*$AE$30</f>
        <v/>
      </c>
      <c r="W545" s="8">
        <f>1/(1+EXP(-V545))</f>
        <v/>
      </c>
      <c r="X545" s="9">
        <f>-IF(C545=1,LN(W545),LN(1-W545))</f>
        <v/>
      </c>
      <c r="Y545" s="8">
        <f>IF(C545=1,$AE$32,$AE$33)</f>
        <v/>
      </c>
      <c r="Z545" s="9">
        <f>Y545*X545</f>
        <v/>
      </c>
      <c r="AA545" s="10">
        <f>IF(W545&gt;$AE$34,1,0)</f>
        <v/>
      </c>
      <c r="AB545">
        <f>IF(AA545=C545,1,0)</f>
        <v/>
      </c>
    </row>
    <row r="546">
      <c r="A546">
        <f>'1 datos preparados'!A539</f>
        <v/>
      </c>
      <c r="B546" s="5">
        <f>'1 datos preparados'!U539</f>
        <v/>
      </c>
      <c r="C546">
        <f>'1 datos preparados'!B539</f>
        <v/>
      </c>
      <c r="D546" s="7">
        <f>'1 datos preparados'!C539</f>
        <v/>
      </c>
      <c r="E546" s="7">
        <f>'1 datos preparados'!D539</f>
        <v/>
      </c>
      <c r="F546" s="7">
        <f>'1 datos preparados'!E539</f>
        <v/>
      </c>
      <c r="G546" s="7">
        <f>'1 datos preparados'!F539</f>
        <v/>
      </c>
      <c r="H546" s="7">
        <f>'1 datos preparados'!G539</f>
        <v/>
      </c>
      <c r="I546" s="7">
        <f>'1 datos preparados'!H539</f>
        <v/>
      </c>
      <c r="J546" s="7">
        <f>'1 datos preparados'!I539</f>
        <v/>
      </c>
      <c r="K546" s="7">
        <f>'1 datos preparados'!J539</f>
        <v/>
      </c>
      <c r="L546" s="7">
        <f>'1 datos preparados'!K539</f>
        <v/>
      </c>
      <c r="M546" s="7">
        <f>'1 datos preparados'!L539</f>
        <v/>
      </c>
      <c r="N546" s="7">
        <f>'1 datos preparados'!M539</f>
        <v/>
      </c>
      <c r="O546" s="7">
        <f>'1 datos preparados'!N539</f>
        <v/>
      </c>
      <c r="P546" s="7">
        <f>'1 datos preparados'!O539</f>
        <v/>
      </c>
      <c r="Q546" s="7">
        <f>'1 datos preparados'!P539</f>
        <v/>
      </c>
      <c r="R546" s="7">
        <f>'1 datos preparados'!Q539</f>
        <v/>
      </c>
      <c r="S546" s="7">
        <f>'1 datos preparados'!R539</f>
        <v/>
      </c>
      <c r="T546" s="7">
        <f>'1 datos preparados'!S539</f>
        <v/>
      </c>
      <c r="U546" s="7">
        <f>'1 datos preparados'!T539</f>
        <v/>
      </c>
      <c r="V546" s="8">
        <f>$AE$12+D546*$AE$13+E546*$AE$14+F546*$AE$15+G546*$AE$16+H546*$AE$17+I546*$AE$18+J546*$AE$19+K546*$AE$20+L546*$AE$21+M546*$AE$22+N546*$AE$23+O546*$AE$24+P546*$AE$25+Q546*$AE$26+R546*$AE$27+S546*$AE$28+T546*$AE$29+U546*$AE$30</f>
        <v/>
      </c>
      <c r="W546" s="8">
        <f>1/(1+EXP(-V546))</f>
        <v/>
      </c>
      <c r="X546" s="9">
        <f>-IF(C546=1,LN(W546),LN(1-W546))</f>
        <v/>
      </c>
      <c r="Y546" s="8">
        <f>IF(C546=1,$AE$32,$AE$33)</f>
        <v/>
      </c>
      <c r="Z546" s="9">
        <f>Y546*X546</f>
        <v/>
      </c>
      <c r="AA546" s="10">
        <f>IF(W546&gt;$AE$34,1,0)</f>
        <v/>
      </c>
      <c r="AB546">
        <f>IF(AA546=C546,1,0)</f>
        <v/>
      </c>
    </row>
    <row r="547">
      <c r="A547">
        <f>'1 datos preparados'!A540</f>
        <v/>
      </c>
      <c r="B547" s="5">
        <f>'1 datos preparados'!U540</f>
        <v/>
      </c>
      <c r="C547">
        <f>'1 datos preparados'!B540</f>
        <v/>
      </c>
      <c r="D547" s="7">
        <f>'1 datos preparados'!C540</f>
        <v/>
      </c>
      <c r="E547" s="7">
        <f>'1 datos preparados'!D540</f>
        <v/>
      </c>
      <c r="F547" s="7">
        <f>'1 datos preparados'!E540</f>
        <v/>
      </c>
      <c r="G547" s="7">
        <f>'1 datos preparados'!F540</f>
        <v/>
      </c>
      <c r="H547" s="7">
        <f>'1 datos preparados'!G540</f>
        <v/>
      </c>
      <c r="I547" s="7">
        <f>'1 datos preparados'!H540</f>
        <v/>
      </c>
      <c r="J547" s="7">
        <f>'1 datos preparados'!I540</f>
        <v/>
      </c>
      <c r="K547" s="7">
        <f>'1 datos preparados'!J540</f>
        <v/>
      </c>
      <c r="L547" s="7">
        <f>'1 datos preparados'!K540</f>
        <v/>
      </c>
      <c r="M547" s="7">
        <f>'1 datos preparados'!L540</f>
        <v/>
      </c>
      <c r="N547" s="7">
        <f>'1 datos preparados'!M540</f>
        <v/>
      </c>
      <c r="O547" s="7">
        <f>'1 datos preparados'!N540</f>
        <v/>
      </c>
      <c r="P547" s="7">
        <f>'1 datos preparados'!O540</f>
        <v/>
      </c>
      <c r="Q547" s="7">
        <f>'1 datos preparados'!P540</f>
        <v/>
      </c>
      <c r="R547" s="7">
        <f>'1 datos preparados'!Q540</f>
        <v/>
      </c>
      <c r="S547" s="7">
        <f>'1 datos preparados'!R540</f>
        <v/>
      </c>
      <c r="T547" s="7">
        <f>'1 datos preparados'!S540</f>
        <v/>
      </c>
      <c r="U547" s="7">
        <f>'1 datos preparados'!T540</f>
        <v/>
      </c>
      <c r="V547" s="8">
        <f>$AE$12+D547*$AE$13+E547*$AE$14+F547*$AE$15+G547*$AE$16+H547*$AE$17+I547*$AE$18+J547*$AE$19+K547*$AE$20+L547*$AE$21+M547*$AE$22+N547*$AE$23+O547*$AE$24+P547*$AE$25+Q547*$AE$26+R547*$AE$27+S547*$AE$28+T547*$AE$29+U547*$AE$30</f>
        <v/>
      </c>
      <c r="W547" s="8">
        <f>1/(1+EXP(-V547))</f>
        <v/>
      </c>
      <c r="X547" s="9">
        <f>-IF(C547=1,LN(W547),LN(1-W547))</f>
        <v/>
      </c>
      <c r="Y547" s="8">
        <f>IF(C547=1,$AE$32,$AE$33)</f>
        <v/>
      </c>
      <c r="Z547" s="9">
        <f>Y547*X547</f>
        <v/>
      </c>
      <c r="AA547" s="10">
        <f>IF(W547&gt;$AE$34,1,0)</f>
        <v/>
      </c>
      <c r="AB547">
        <f>IF(AA547=C547,1,0)</f>
        <v/>
      </c>
    </row>
    <row r="548">
      <c r="A548">
        <f>'1 datos preparados'!A541</f>
        <v/>
      </c>
      <c r="B548" s="5">
        <f>'1 datos preparados'!U541</f>
        <v/>
      </c>
      <c r="C548">
        <f>'1 datos preparados'!B541</f>
        <v/>
      </c>
      <c r="D548" s="7">
        <f>'1 datos preparados'!C541</f>
        <v/>
      </c>
      <c r="E548" s="7">
        <f>'1 datos preparados'!D541</f>
        <v/>
      </c>
      <c r="F548" s="7">
        <f>'1 datos preparados'!E541</f>
        <v/>
      </c>
      <c r="G548" s="7">
        <f>'1 datos preparados'!F541</f>
        <v/>
      </c>
      <c r="H548" s="7">
        <f>'1 datos preparados'!G541</f>
        <v/>
      </c>
      <c r="I548" s="7">
        <f>'1 datos preparados'!H541</f>
        <v/>
      </c>
      <c r="J548" s="7">
        <f>'1 datos preparados'!I541</f>
        <v/>
      </c>
      <c r="K548" s="7">
        <f>'1 datos preparados'!J541</f>
        <v/>
      </c>
      <c r="L548" s="7">
        <f>'1 datos preparados'!K541</f>
        <v/>
      </c>
      <c r="M548" s="7">
        <f>'1 datos preparados'!L541</f>
        <v/>
      </c>
      <c r="N548" s="7">
        <f>'1 datos preparados'!M541</f>
        <v/>
      </c>
      <c r="O548" s="7">
        <f>'1 datos preparados'!N541</f>
        <v/>
      </c>
      <c r="P548" s="7">
        <f>'1 datos preparados'!O541</f>
        <v/>
      </c>
      <c r="Q548" s="7">
        <f>'1 datos preparados'!P541</f>
        <v/>
      </c>
      <c r="R548" s="7">
        <f>'1 datos preparados'!Q541</f>
        <v/>
      </c>
      <c r="S548" s="7">
        <f>'1 datos preparados'!R541</f>
        <v/>
      </c>
      <c r="T548" s="7">
        <f>'1 datos preparados'!S541</f>
        <v/>
      </c>
      <c r="U548" s="7">
        <f>'1 datos preparados'!T541</f>
        <v/>
      </c>
      <c r="V548" s="8">
        <f>$AE$12+D548*$AE$13+E548*$AE$14+F548*$AE$15+G548*$AE$16+H548*$AE$17+I548*$AE$18+J548*$AE$19+K548*$AE$20+L548*$AE$21+M548*$AE$22+N548*$AE$23+O548*$AE$24+P548*$AE$25+Q548*$AE$26+R548*$AE$27+S548*$AE$28+T548*$AE$29+U548*$AE$30</f>
        <v/>
      </c>
      <c r="W548" s="8">
        <f>1/(1+EXP(-V548))</f>
        <v/>
      </c>
      <c r="X548" s="9">
        <f>-IF(C548=1,LN(W548),LN(1-W548))</f>
        <v/>
      </c>
      <c r="Y548" s="8">
        <f>IF(C548=1,$AE$32,$AE$33)</f>
        <v/>
      </c>
      <c r="Z548" s="9">
        <f>Y548*X548</f>
        <v/>
      </c>
      <c r="AA548" s="10">
        <f>IF(W548&gt;$AE$34,1,0)</f>
        <v/>
      </c>
      <c r="AB548">
        <f>IF(AA548=C548,1,0)</f>
        <v/>
      </c>
    </row>
    <row r="549">
      <c r="A549">
        <f>'1 datos preparados'!A542</f>
        <v/>
      </c>
      <c r="B549" s="5">
        <f>'1 datos preparados'!U542</f>
        <v/>
      </c>
      <c r="C549">
        <f>'1 datos preparados'!B542</f>
        <v/>
      </c>
      <c r="D549" s="7">
        <f>'1 datos preparados'!C542</f>
        <v/>
      </c>
      <c r="E549" s="7">
        <f>'1 datos preparados'!D542</f>
        <v/>
      </c>
      <c r="F549" s="7">
        <f>'1 datos preparados'!E542</f>
        <v/>
      </c>
      <c r="G549" s="7">
        <f>'1 datos preparados'!F542</f>
        <v/>
      </c>
      <c r="H549" s="7">
        <f>'1 datos preparados'!G542</f>
        <v/>
      </c>
      <c r="I549" s="7">
        <f>'1 datos preparados'!H542</f>
        <v/>
      </c>
      <c r="J549" s="7">
        <f>'1 datos preparados'!I542</f>
        <v/>
      </c>
      <c r="K549" s="7">
        <f>'1 datos preparados'!J542</f>
        <v/>
      </c>
      <c r="L549" s="7">
        <f>'1 datos preparados'!K542</f>
        <v/>
      </c>
      <c r="M549" s="7">
        <f>'1 datos preparados'!L542</f>
        <v/>
      </c>
      <c r="N549" s="7">
        <f>'1 datos preparados'!M542</f>
        <v/>
      </c>
      <c r="O549" s="7">
        <f>'1 datos preparados'!N542</f>
        <v/>
      </c>
      <c r="P549" s="7">
        <f>'1 datos preparados'!O542</f>
        <v/>
      </c>
      <c r="Q549" s="7">
        <f>'1 datos preparados'!P542</f>
        <v/>
      </c>
      <c r="R549" s="7">
        <f>'1 datos preparados'!Q542</f>
        <v/>
      </c>
      <c r="S549" s="7">
        <f>'1 datos preparados'!R542</f>
        <v/>
      </c>
      <c r="T549" s="7">
        <f>'1 datos preparados'!S542</f>
        <v/>
      </c>
      <c r="U549" s="7">
        <f>'1 datos preparados'!T542</f>
        <v/>
      </c>
      <c r="V549" s="8">
        <f>$AE$12+D549*$AE$13+E549*$AE$14+F549*$AE$15+G549*$AE$16+H549*$AE$17+I549*$AE$18+J549*$AE$19+K549*$AE$20+L549*$AE$21+M549*$AE$22+N549*$AE$23+O549*$AE$24+P549*$AE$25+Q549*$AE$26+R549*$AE$27+S549*$AE$28+T549*$AE$29+U549*$AE$30</f>
        <v/>
      </c>
      <c r="W549" s="8">
        <f>1/(1+EXP(-V549))</f>
        <v/>
      </c>
      <c r="X549" s="9">
        <f>-IF(C549=1,LN(W549),LN(1-W549))</f>
        <v/>
      </c>
      <c r="Y549" s="8">
        <f>IF(C549=1,$AE$32,$AE$33)</f>
        <v/>
      </c>
      <c r="Z549" s="9">
        <f>Y549*X549</f>
        <v/>
      </c>
      <c r="AA549" s="10">
        <f>IF(W549&gt;$AE$34,1,0)</f>
        <v/>
      </c>
      <c r="AB549">
        <f>IF(AA549=C549,1,0)</f>
        <v/>
      </c>
    </row>
    <row r="550">
      <c r="A550">
        <f>'1 datos preparados'!A543</f>
        <v/>
      </c>
      <c r="B550" s="5">
        <f>'1 datos preparados'!U543</f>
        <v/>
      </c>
      <c r="C550">
        <f>'1 datos preparados'!B543</f>
        <v/>
      </c>
      <c r="D550" s="7">
        <f>'1 datos preparados'!C543</f>
        <v/>
      </c>
      <c r="E550" s="7">
        <f>'1 datos preparados'!D543</f>
        <v/>
      </c>
      <c r="F550" s="7">
        <f>'1 datos preparados'!E543</f>
        <v/>
      </c>
      <c r="G550" s="7">
        <f>'1 datos preparados'!F543</f>
        <v/>
      </c>
      <c r="H550" s="7">
        <f>'1 datos preparados'!G543</f>
        <v/>
      </c>
      <c r="I550" s="7">
        <f>'1 datos preparados'!H543</f>
        <v/>
      </c>
      <c r="J550" s="7">
        <f>'1 datos preparados'!I543</f>
        <v/>
      </c>
      <c r="K550" s="7">
        <f>'1 datos preparados'!J543</f>
        <v/>
      </c>
      <c r="L550" s="7">
        <f>'1 datos preparados'!K543</f>
        <v/>
      </c>
      <c r="M550" s="7">
        <f>'1 datos preparados'!L543</f>
        <v/>
      </c>
      <c r="N550" s="7">
        <f>'1 datos preparados'!M543</f>
        <v/>
      </c>
      <c r="O550" s="7">
        <f>'1 datos preparados'!N543</f>
        <v/>
      </c>
      <c r="P550" s="7">
        <f>'1 datos preparados'!O543</f>
        <v/>
      </c>
      <c r="Q550" s="7">
        <f>'1 datos preparados'!P543</f>
        <v/>
      </c>
      <c r="R550" s="7">
        <f>'1 datos preparados'!Q543</f>
        <v/>
      </c>
      <c r="S550" s="7">
        <f>'1 datos preparados'!R543</f>
        <v/>
      </c>
      <c r="T550" s="7">
        <f>'1 datos preparados'!S543</f>
        <v/>
      </c>
      <c r="U550" s="7">
        <f>'1 datos preparados'!T543</f>
        <v/>
      </c>
      <c r="V550" s="8">
        <f>$AE$12+D550*$AE$13+E550*$AE$14+F550*$AE$15+G550*$AE$16+H550*$AE$17+I550*$AE$18+J550*$AE$19+K550*$AE$20+L550*$AE$21+M550*$AE$22+N550*$AE$23+O550*$AE$24+P550*$AE$25+Q550*$AE$26+R550*$AE$27+S550*$AE$28+T550*$AE$29+U550*$AE$30</f>
        <v/>
      </c>
      <c r="W550" s="8">
        <f>1/(1+EXP(-V550))</f>
        <v/>
      </c>
      <c r="X550" s="9">
        <f>-IF(C550=1,LN(W550),LN(1-W550))</f>
        <v/>
      </c>
      <c r="Y550" s="8">
        <f>IF(C550=1,$AE$32,$AE$33)</f>
        <v/>
      </c>
      <c r="Z550" s="9">
        <f>Y550*X550</f>
        <v/>
      </c>
      <c r="AA550" s="10">
        <f>IF(W550&gt;$AE$34,1,0)</f>
        <v/>
      </c>
      <c r="AB550">
        <f>IF(AA550=C550,1,0)</f>
        <v/>
      </c>
    </row>
    <row r="551">
      <c r="A551">
        <f>'1 datos preparados'!A544</f>
        <v/>
      </c>
      <c r="B551" s="5">
        <f>'1 datos preparados'!U544</f>
        <v/>
      </c>
      <c r="C551">
        <f>'1 datos preparados'!B544</f>
        <v/>
      </c>
      <c r="D551" s="7">
        <f>'1 datos preparados'!C544</f>
        <v/>
      </c>
      <c r="E551" s="7">
        <f>'1 datos preparados'!D544</f>
        <v/>
      </c>
      <c r="F551" s="7">
        <f>'1 datos preparados'!E544</f>
        <v/>
      </c>
      <c r="G551" s="7">
        <f>'1 datos preparados'!F544</f>
        <v/>
      </c>
      <c r="H551" s="7">
        <f>'1 datos preparados'!G544</f>
        <v/>
      </c>
      <c r="I551" s="7">
        <f>'1 datos preparados'!H544</f>
        <v/>
      </c>
      <c r="J551" s="7">
        <f>'1 datos preparados'!I544</f>
        <v/>
      </c>
      <c r="K551" s="7">
        <f>'1 datos preparados'!J544</f>
        <v/>
      </c>
      <c r="L551" s="7">
        <f>'1 datos preparados'!K544</f>
        <v/>
      </c>
      <c r="M551" s="7">
        <f>'1 datos preparados'!L544</f>
        <v/>
      </c>
      <c r="N551" s="7">
        <f>'1 datos preparados'!M544</f>
        <v/>
      </c>
      <c r="O551" s="7">
        <f>'1 datos preparados'!N544</f>
        <v/>
      </c>
      <c r="P551" s="7">
        <f>'1 datos preparados'!O544</f>
        <v/>
      </c>
      <c r="Q551" s="7">
        <f>'1 datos preparados'!P544</f>
        <v/>
      </c>
      <c r="R551" s="7">
        <f>'1 datos preparados'!Q544</f>
        <v/>
      </c>
      <c r="S551" s="7">
        <f>'1 datos preparados'!R544</f>
        <v/>
      </c>
      <c r="T551" s="7">
        <f>'1 datos preparados'!S544</f>
        <v/>
      </c>
      <c r="U551" s="7">
        <f>'1 datos preparados'!T544</f>
        <v/>
      </c>
      <c r="V551" s="8">
        <f>$AE$12+D551*$AE$13+E551*$AE$14+F551*$AE$15+G551*$AE$16+H551*$AE$17+I551*$AE$18+J551*$AE$19+K551*$AE$20+L551*$AE$21+M551*$AE$22+N551*$AE$23+O551*$AE$24+P551*$AE$25+Q551*$AE$26+R551*$AE$27+S551*$AE$28+T551*$AE$29+U551*$AE$30</f>
        <v/>
      </c>
      <c r="W551" s="8">
        <f>1/(1+EXP(-V551))</f>
        <v/>
      </c>
      <c r="X551" s="9">
        <f>-IF(C551=1,LN(W551),LN(1-W551))</f>
        <v/>
      </c>
      <c r="Y551" s="8">
        <f>IF(C551=1,$AE$32,$AE$33)</f>
        <v/>
      </c>
      <c r="Z551" s="9">
        <f>Y551*X551</f>
        <v/>
      </c>
      <c r="AA551" s="10">
        <f>IF(W551&gt;$AE$34,1,0)</f>
        <v/>
      </c>
      <c r="AB551">
        <f>IF(AA551=C551,1,0)</f>
        <v/>
      </c>
    </row>
    <row r="552">
      <c r="A552">
        <f>'1 datos preparados'!A545</f>
        <v/>
      </c>
      <c r="B552" s="5">
        <f>'1 datos preparados'!U545</f>
        <v/>
      </c>
      <c r="C552">
        <f>'1 datos preparados'!B545</f>
        <v/>
      </c>
      <c r="D552" s="7">
        <f>'1 datos preparados'!C545</f>
        <v/>
      </c>
      <c r="E552" s="7">
        <f>'1 datos preparados'!D545</f>
        <v/>
      </c>
      <c r="F552" s="7">
        <f>'1 datos preparados'!E545</f>
        <v/>
      </c>
      <c r="G552" s="7">
        <f>'1 datos preparados'!F545</f>
        <v/>
      </c>
      <c r="H552" s="7">
        <f>'1 datos preparados'!G545</f>
        <v/>
      </c>
      <c r="I552" s="7">
        <f>'1 datos preparados'!H545</f>
        <v/>
      </c>
      <c r="J552" s="7">
        <f>'1 datos preparados'!I545</f>
        <v/>
      </c>
      <c r="K552" s="7">
        <f>'1 datos preparados'!J545</f>
        <v/>
      </c>
      <c r="L552" s="7">
        <f>'1 datos preparados'!K545</f>
        <v/>
      </c>
      <c r="M552" s="7">
        <f>'1 datos preparados'!L545</f>
        <v/>
      </c>
      <c r="N552" s="7">
        <f>'1 datos preparados'!M545</f>
        <v/>
      </c>
      <c r="O552" s="7">
        <f>'1 datos preparados'!N545</f>
        <v/>
      </c>
      <c r="P552" s="7">
        <f>'1 datos preparados'!O545</f>
        <v/>
      </c>
      <c r="Q552" s="7">
        <f>'1 datos preparados'!P545</f>
        <v/>
      </c>
      <c r="R552" s="7">
        <f>'1 datos preparados'!Q545</f>
        <v/>
      </c>
      <c r="S552" s="7">
        <f>'1 datos preparados'!R545</f>
        <v/>
      </c>
      <c r="T552" s="7">
        <f>'1 datos preparados'!S545</f>
        <v/>
      </c>
      <c r="U552" s="7">
        <f>'1 datos preparados'!T545</f>
        <v/>
      </c>
      <c r="V552" s="8">
        <f>$AE$12+D552*$AE$13+E552*$AE$14+F552*$AE$15+G552*$AE$16+H552*$AE$17+I552*$AE$18+J552*$AE$19+K552*$AE$20+L552*$AE$21+M552*$AE$22+N552*$AE$23+O552*$AE$24+P552*$AE$25+Q552*$AE$26+R552*$AE$27+S552*$AE$28+T552*$AE$29+U552*$AE$30</f>
        <v/>
      </c>
      <c r="W552" s="8">
        <f>1/(1+EXP(-V552))</f>
        <v/>
      </c>
      <c r="X552" s="9">
        <f>-IF(C552=1,LN(W552),LN(1-W552))</f>
        <v/>
      </c>
      <c r="Y552" s="8">
        <f>IF(C552=1,$AE$32,$AE$33)</f>
        <v/>
      </c>
      <c r="Z552" s="9">
        <f>Y552*X552</f>
        <v/>
      </c>
      <c r="AA552" s="10">
        <f>IF(W552&gt;$AE$34,1,0)</f>
        <v/>
      </c>
      <c r="AB552">
        <f>IF(AA552=C552,1,0)</f>
        <v/>
      </c>
    </row>
    <row r="553">
      <c r="A553">
        <f>'1 datos preparados'!A546</f>
        <v/>
      </c>
      <c r="B553" s="5">
        <f>'1 datos preparados'!U546</f>
        <v/>
      </c>
      <c r="C553">
        <f>'1 datos preparados'!B546</f>
        <v/>
      </c>
      <c r="D553" s="7">
        <f>'1 datos preparados'!C546</f>
        <v/>
      </c>
      <c r="E553" s="7">
        <f>'1 datos preparados'!D546</f>
        <v/>
      </c>
      <c r="F553" s="7">
        <f>'1 datos preparados'!E546</f>
        <v/>
      </c>
      <c r="G553" s="7">
        <f>'1 datos preparados'!F546</f>
        <v/>
      </c>
      <c r="H553" s="7">
        <f>'1 datos preparados'!G546</f>
        <v/>
      </c>
      <c r="I553" s="7">
        <f>'1 datos preparados'!H546</f>
        <v/>
      </c>
      <c r="J553" s="7">
        <f>'1 datos preparados'!I546</f>
        <v/>
      </c>
      <c r="K553" s="7">
        <f>'1 datos preparados'!J546</f>
        <v/>
      </c>
      <c r="L553" s="7">
        <f>'1 datos preparados'!K546</f>
        <v/>
      </c>
      <c r="M553" s="7">
        <f>'1 datos preparados'!L546</f>
        <v/>
      </c>
      <c r="N553" s="7">
        <f>'1 datos preparados'!M546</f>
        <v/>
      </c>
      <c r="O553" s="7">
        <f>'1 datos preparados'!N546</f>
        <v/>
      </c>
      <c r="P553" s="7">
        <f>'1 datos preparados'!O546</f>
        <v/>
      </c>
      <c r="Q553" s="7">
        <f>'1 datos preparados'!P546</f>
        <v/>
      </c>
      <c r="R553" s="7">
        <f>'1 datos preparados'!Q546</f>
        <v/>
      </c>
      <c r="S553" s="7">
        <f>'1 datos preparados'!R546</f>
        <v/>
      </c>
      <c r="T553" s="7">
        <f>'1 datos preparados'!S546</f>
        <v/>
      </c>
      <c r="U553" s="7">
        <f>'1 datos preparados'!T546</f>
        <v/>
      </c>
      <c r="V553" s="8">
        <f>$AE$12+D553*$AE$13+E553*$AE$14+F553*$AE$15+G553*$AE$16+H553*$AE$17+I553*$AE$18+J553*$AE$19+K553*$AE$20+L553*$AE$21+M553*$AE$22+N553*$AE$23+O553*$AE$24+P553*$AE$25+Q553*$AE$26+R553*$AE$27+S553*$AE$28+T553*$AE$29+U553*$AE$30</f>
        <v/>
      </c>
      <c r="W553" s="8">
        <f>1/(1+EXP(-V553))</f>
        <v/>
      </c>
      <c r="X553" s="9">
        <f>-IF(C553=1,LN(W553),LN(1-W553))</f>
        <v/>
      </c>
      <c r="Y553" s="8">
        <f>IF(C553=1,$AE$32,$AE$33)</f>
        <v/>
      </c>
      <c r="Z553" s="9">
        <f>Y553*X553</f>
        <v/>
      </c>
      <c r="AA553" s="10">
        <f>IF(W553&gt;$AE$34,1,0)</f>
        <v/>
      </c>
      <c r="AB553">
        <f>IF(AA553=C553,1,0)</f>
        <v/>
      </c>
    </row>
    <row r="554">
      <c r="A554">
        <f>'1 datos preparados'!A547</f>
        <v/>
      </c>
      <c r="B554" s="5">
        <f>'1 datos preparados'!U547</f>
        <v/>
      </c>
      <c r="C554">
        <f>'1 datos preparados'!B547</f>
        <v/>
      </c>
      <c r="D554" s="7">
        <f>'1 datos preparados'!C547</f>
        <v/>
      </c>
      <c r="E554" s="7">
        <f>'1 datos preparados'!D547</f>
        <v/>
      </c>
      <c r="F554" s="7">
        <f>'1 datos preparados'!E547</f>
        <v/>
      </c>
      <c r="G554" s="7">
        <f>'1 datos preparados'!F547</f>
        <v/>
      </c>
      <c r="H554" s="7">
        <f>'1 datos preparados'!G547</f>
        <v/>
      </c>
      <c r="I554" s="7">
        <f>'1 datos preparados'!H547</f>
        <v/>
      </c>
      <c r="J554" s="7">
        <f>'1 datos preparados'!I547</f>
        <v/>
      </c>
      <c r="K554" s="7">
        <f>'1 datos preparados'!J547</f>
        <v/>
      </c>
      <c r="L554" s="7">
        <f>'1 datos preparados'!K547</f>
        <v/>
      </c>
      <c r="M554" s="7">
        <f>'1 datos preparados'!L547</f>
        <v/>
      </c>
      <c r="N554" s="7">
        <f>'1 datos preparados'!M547</f>
        <v/>
      </c>
      <c r="O554" s="7">
        <f>'1 datos preparados'!N547</f>
        <v/>
      </c>
      <c r="P554" s="7">
        <f>'1 datos preparados'!O547</f>
        <v/>
      </c>
      <c r="Q554" s="7">
        <f>'1 datos preparados'!P547</f>
        <v/>
      </c>
      <c r="R554" s="7">
        <f>'1 datos preparados'!Q547</f>
        <v/>
      </c>
      <c r="S554" s="7">
        <f>'1 datos preparados'!R547</f>
        <v/>
      </c>
      <c r="T554" s="7">
        <f>'1 datos preparados'!S547</f>
        <v/>
      </c>
      <c r="U554" s="7">
        <f>'1 datos preparados'!T547</f>
        <v/>
      </c>
      <c r="V554" s="8">
        <f>$AE$12+D554*$AE$13+E554*$AE$14+F554*$AE$15+G554*$AE$16+H554*$AE$17+I554*$AE$18+J554*$AE$19+K554*$AE$20+L554*$AE$21+M554*$AE$22+N554*$AE$23+O554*$AE$24+P554*$AE$25+Q554*$AE$26+R554*$AE$27+S554*$AE$28+T554*$AE$29+U554*$AE$30</f>
        <v/>
      </c>
      <c r="W554" s="8">
        <f>1/(1+EXP(-V554))</f>
        <v/>
      </c>
      <c r="X554" s="9">
        <f>-IF(C554=1,LN(W554),LN(1-W554))</f>
        <v/>
      </c>
      <c r="Y554" s="8">
        <f>IF(C554=1,$AE$32,$AE$33)</f>
        <v/>
      </c>
      <c r="Z554" s="9">
        <f>Y554*X554</f>
        <v/>
      </c>
      <c r="AA554" s="10">
        <f>IF(W554&gt;$AE$34,1,0)</f>
        <v/>
      </c>
      <c r="AB554">
        <f>IF(AA554=C554,1,0)</f>
        <v/>
      </c>
    </row>
    <row r="555">
      <c r="A555">
        <f>'1 datos preparados'!A548</f>
        <v/>
      </c>
      <c r="B555" s="5">
        <f>'1 datos preparados'!U548</f>
        <v/>
      </c>
      <c r="C555">
        <f>'1 datos preparados'!B548</f>
        <v/>
      </c>
      <c r="D555" s="7">
        <f>'1 datos preparados'!C548</f>
        <v/>
      </c>
      <c r="E555" s="7">
        <f>'1 datos preparados'!D548</f>
        <v/>
      </c>
      <c r="F555" s="7">
        <f>'1 datos preparados'!E548</f>
        <v/>
      </c>
      <c r="G555" s="7">
        <f>'1 datos preparados'!F548</f>
        <v/>
      </c>
      <c r="H555" s="7">
        <f>'1 datos preparados'!G548</f>
        <v/>
      </c>
      <c r="I555" s="7">
        <f>'1 datos preparados'!H548</f>
        <v/>
      </c>
      <c r="J555" s="7">
        <f>'1 datos preparados'!I548</f>
        <v/>
      </c>
      <c r="K555" s="7">
        <f>'1 datos preparados'!J548</f>
        <v/>
      </c>
      <c r="L555" s="7">
        <f>'1 datos preparados'!K548</f>
        <v/>
      </c>
      <c r="M555" s="7">
        <f>'1 datos preparados'!L548</f>
        <v/>
      </c>
      <c r="N555" s="7">
        <f>'1 datos preparados'!M548</f>
        <v/>
      </c>
      <c r="O555" s="7">
        <f>'1 datos preparados'!N548</f>
        <v/>
      </c>
      <c r="P555" s="7">
        <f>'1 datos preparados'!O548</f>
        <v/>
      </c>
      <c r="Q555" s="7">
        <f>'1 datos preparados'!P548</f>
        <v/>
      </c>
      <c r="R555" s="7">
        <f>'1 datos preparados'!Q548</f>
        <v/>
      </c>
      <c r="S555" s="7">
        <f>'1 datos preparados'!R548</f>
        <v/>
      </c>
      <c r="T555" s="7">
        <f>'1 datos preparados'!S548</f>
        <v/>
      </c>
      <c r="U555" s="7">
        <f>'1 datos preparados'!T548</f>
        <v/>
      </c>
      <c r="V555" s="8">
        <f>$AE$12+D555*$AE$13+E555*$AE$14+F555*$AE$15+G555*$AE$16+H555*$AE$17+I555*$AE$18+J555*$AE$19+K555*$AE$20+L555*$AE$21+M555*$AE$22+N555*$AE$23+O555*$AE$24+P555*$AE$25+Q555*$AE$26+R555*$AE$27+S555*$AE$28+T555*$AE$29+U555*$AE$30</f>
        <v/>
      </c>
      <c r="W555" s="8">
        <f>1/(1+EXP(-V555))</f>
        <v/>
      </c>
      <c r="X555" s="9">
        <f>-IF(C555=1,LN(W555),LN(1-W555))</f>
        <v/>
      </c>
      <c r="Y555" s="8">
        <f>IF(C555=1,$AE$32,$AE$33)</f>
        <v/>
      </c>
      <c r="Z555" s="9">
        <f>Y555*X555</f>
        <v/>
      </c>
      <c r="AA555" s="10">
        <f>IF(W555&gt;$AE$34,1,0)</f>
        <v/>
      </c>
      <c r="AB555">
        <f>IF(AA555=C555,1,0)</f>
        <v/>
      </c>
    </row>
    <row r="556">
      <c r="A556">
        <f>'1 datos preparados'!A549</f>
        <v/>
      </c>
      <c r="B556" s="5">
        <f>'1 datos preparados'!U549</f>
        <v/>
      </c>
      <c r="C556">
        <f>'1 datos preparados'!B549</f>
        <v/>
      </c>
      <c r="D556" s="7">
        <f>'1 datos preparados'!C549</f>
        <v/>
      </c>
      <c r="E556" s="7">
        <f>'1 datos preparados'!D549</f>
        <v/>
      </c>
      <c r="F556" s="7">
        <f>'1 datos preparados'!E549</f>
        <v/>
      </c>
      <c r="G556" s="7">
        <f>'1 datos preparados'!F549</f>
        <v/>
      </c>
      <c r="H556" s="7">
        <f>'1 datos preparados'!G549</f>
        <v/>
      </c>
      <c r="I556" s="7">
        <f>'1 datos preparados'!H549</f>
        <v/>
      </c>
      <c r="J556" s="7">
        <f>'1 datos preparados'!I549</f>
        <v/>
      </c>
      <c r="K556" s="7">
        <f>'1 datos preparados'!J549</f>
        <v/>
      </c>
      <c r="L556" s="7">
        <f>'1 datos preparados'!K549</f>
        <v/>
      </c>
      <c r="M556" s="7">
        <f>'1 datos preparados'!L549</f>
        <v/>
      </c>
      <c r="N556" s="7">
        <f>'1 datos preparados'!M549</f>
        <v/>
      </c>
      <c r="O556" s="7">
        <f>'1 datos preparados'!N549</f>
        <v/>
      </c>
      <c r="P556" s="7">
        <f>'1 datos preparados'!O549</f>
        <v/>
      </c>
      <c r="Q556" s="7">
        <f>'1 datos preparados'!P549</f>
        <v/>
      </c>
      <c r="R556" s="7">
        <f>'1 datos preparados'!Q549</f>
        <v/>
      </c>
      <c r="S556" s="7">
        <f>'1 datos preparados'!R549</f>
        <v/>
      </c>
      <c r="T556" s="7">
        <f>'1 datos preparados'!S549</f>
        <v/>
      </c>
      <c r="U556" s="7">
        <f>'1 datos preparados'!T549</f>
        <v/>
      </c>
      <c r="V556" s="8">
        <f>$AE$12+D556*$AE$13+E556*$AE$14+F556*$AE$15+G556*$AE$16+H556*$AE$17+I556*$AE$18+J556*$AE$19+K556*$AE$20+L556*$AE$21+M556*$AE$22+N556*$AE$23+O556*$AE$24+P556*$AE$25+Q556*$AE$26+R556*$AE$27+S556*$AE$28+T556*$AE$29+U556*$AE$30</f>
        <v/>
      </c>
      <c r="W556" s="8">
        <f>1/(1+EXP(-V556))</f>
        <v/>
      </c>
      <c r="X556" s="9">
        <f>-IF(C556=1,LN(W556),LN(1-W556))</f>
        <v/>
      </c>
      <c r="Y556" s="8">
        <f>IF(C556=1,$AE$32,$AE$33)</f>
        <v/>
      </c>
      <c r="Z556" s="9">
        <f>Y556*X556</f>
        <v/>
      </c>
      <c r="AA556" s="10">
        <f>IF(W556&gt;$AE$34,1,0)</f>
        <v/>
      </c>
      <c r="AB556">
        <f>IF(AA556=C556,1,0)</f>
        <v/>
      </c>
    </row>
    <row r="557">
      <c r="A557">
        <f>'1 datos preparados'!A550</f>
        <v/>
      </c>
      <c r="B557" s="5">
        <f>'1 datos preparados'!U550</f>
        <v/>
      </c>
      <c r="C557">
        <f>'1 datos preparados'!B550</f>
        <v/>
      </c>
      <c r="D557" s="7">
        <f>'1 datos preparados'!C550</f>
        <v/>
      </c>
      <c r="E557" s="7">
        <f>'1 datos preparados'!D550</f>
        <v/>
      </c>
      <c r="F557" s="7">
        <f>'1 datos preparados'!E550</f>
        <v/>
      </c>
      <c r="G557" s="7">
        <f>'1 datos preparados'!F550</f>
        <v/>
      </c>
      <c r="H557" s="7">
        <f>'1 datos preparados'!G550</f>
        <v/>
      </c>
      <c r="I557" s="7">
        <f>'1 datos preparados'!H550</f>
        <v/>
      </c>
      <c r="J557" s="7">
        <f>'1 datos preparados'!I550</f>
        <v/>
      </c>
      <c r="K557" s="7">
        <f>'1 datos preparados'!J550</f>
        <v/>
      </c>
      <c r="L557" s="7">
        <f>'1 datos preparados'!K550</f>
        <v/>
      </c>
      <c r="M557" s="7">
        <f>'1 datos preparados'!L550</f>
        <v/>
      </c>
      <c r="N557" s="7">
        <f>'1 datos preparados'!M550</f>
        <v/>
      </c>
      <c r="O557" s="7">
        <f>'1 datos preparados'!N550</f>
        <v/>
      </c>
      <c r="P557" s="7">
        <f>'1 datos preparados'!O550</f>
        <v/>
      </c>
      <c r="Q557" s="7">
        <f>'1 datos preparados'!P550</f>
        <v/>
      </c>
      <c r="R557" s="7">
        <f>'1 datos preparados'!Q550</f>
        <v/>
      </c>
      <c r="S557" s="7">
        <f>'1 datos preparados'!R550</f>
        <v/>
      </c>
      <c r="T557" s="7">
        <f>'1 datos preparados'!S550</f>
        <v/>
      </c>
      <c r="U557" s="7">
        <f>'1 datos preparados'!T550</f>
        <v/>
      </c>
      <c r="V557" s="8">
        <f>$AE$12+D557*$AE$13+E557*$AE$14+F557*$AE$15+G557*$AE$16+H557*$AE$17+I557*$AE$18+J557*$AE$19+K557*$AE$20+L557*$AE$21+M557*$AE$22+N557*$AE$23+O557*$AE$24+P557*$AE$25+Q557*$AE$26+R557*$AE$27+S557*$AE$28+T557*$AE$29+U557*$AE$30</f>
        <v/>
      </c>
      <c r="W557" s="8">
        <f>1/(1+EXP(-V557))</f>
        <v/>
      </c>
      <c r="X557" s="9">
        <f>-IF(C557=1,LN(W557),LN(1-W557))</f>
        <v/>
      </c>
      <c r="Y557" s="8">
        <f>IF(C557=1,$AE$32,$AE$33)</f>
        <v/>
      </c>
      <c r="Z557" s="9">
        <f>Y557*X557</f>
        <v/>
      </c>
      <c r="AA557" s="10">
        <f>IF(W557&gt;$AE$34,1,0)</f>
        <v/>
      </c>
      <c r="AB557">
        <f>IF(AA557=C557,1,0)</f>
        <v/>
      </c>
    </row>
    <row r="558">
      <c r="A558">
        <f>'1 datos preparados'!A551</f>
        <v/>
      </c>
      <c r="B558" s="5">
        <f>'1 datos preparados'!U551</f>
        <v/>
      </c>
      <c r="C558">
        <f>'1 datos preparados'!B551</f>
        <v/>
      </c>
      <c r="D558" s="7">
        <f>'1 datos preparados'!C551</f>
        <v/>
      </c>
      <c r="E558" s="7">
        <f>'1 datos preparados'!D551</f>
        <v/>
      </c>
      <c r="F558" s="7">
        <f>'1 datos preparados'!E551</f>
        <v/>
      </c>
      <c r="G558" s="7">
        <f>'1 datos preparados'!F551</f>
        <v/>
      </c>
      <c r="H558" s="7">
        <f>'1 datos preparados'!G551</f>
        <v/>
      </c>
      <c r="I558" s="7">
        <f>'1 datos preparados'!H551</f>
        <v/>
      </c>
      <c r="J558" s="7">
        <f>'1 datos preparados'!I551</f>
        <v/>
      </c>
      <c r="K558" s="7">
        <f>'1 datos preparados'!J551</f>
        <v/>
      </c>
      <c r="L558" s="7">
        <f>'1 datos preparados'!K551</f>
        <v/>
      </c>
      <c r="M558" s="7">
        <f>'1 datos preparados'!L551</f>
        <v/>
      </c>
      <c r="N558" s="7">
        <f>'1 datos preparados'!M551</f>
        <v/>
      </c>
      <c r="O558" s="7">
        <f>'1 datos preparados'!N551</f>
        <v/>
      </c>
      <c r="P558" s="7">
        <f>'1 datos preparados'!O551</f>
        <v/>
      </c>
      <c r="Q558" s="7">
        <f>'1 datos preparados'!P551</f>
        <v/>
      </c>
      <c r="R558" s="7">
        <f>'1 datos preparados'!Q551</f>
        <v/>
      </c>
      <c r="S558" s="7">
        <f>'1 datos preparados'!R551</f>
        <v/>
      </c>
      <c r="T558" s="7">
        <f>'1 datos preparados'!S551</f>
        <v/>
      </c>
      <c r="U558" s="7">
        <f>'1 datos preparados'!T551</f>
        <v/>
      </c>
      <c r="V558" s="8">
        <f>$AE$12+D558*$AE$13+E558*$AE$14+F558*$AE$15+G558*$AE$16+H558*$AE$17+I558*$AE$18+J558*$AE$19+K558*$AE$20+L558*$AE$21+M558*$AE$22+N558*$AE$23+O558*$AE$24+P558*$AE$25+Q558*$AE$26+R558*$AE$27+S558*$AE$28+T558*$AE$29+U558*$AE$30</f>
        <v/>
      </c>
      <c r="W558" s="8">
        <f>1/(1+EXP(-V558))</f>
        <v/>
      </c>
      <c r="X558" s="9">
        <f>-IF(C558=1,LN(W558),LN(1-W558))</f>
        <v/>
      </c>
      <c r="Y558" s="8">
        <f>IF(C558=1,$AE$32,$AE$33)</f>
        <v/>
      </c>
      <c r="Z558" s="9">
        <f>Y558*X558</f>
        <v/>
      </c>
      <c r="AA558" s="10">
        <f>IF(W558&gt;$AE$34,1,0)</f>
        <v/>
      </c>
      <c r="AB558">
        <f>IF(AA558=C558,1,0)</f>
        <v/>
      </c>
    </row>
    <row r="559">
      <c r="A559">
        <f>'1 datos preparados'!A552</f>
        <v/>
      </c>
      <c r="B559" s="5">
        <f>'1 datos preparados'!U552</f>
        <v/>
      </c>
      <c r="C559">
        <f>'1 datos preparados'!B552</f>
        <v/>
      </c>
      <c r="D559" s="7">
        <f>'1 datos preparados'!C552</f>
        <v/>
      </c>
      <c r="E559" s="7">
        <f>'1 datos preparados'!D552</f>
        <v/>
      </c>
      <c r="F559" s="7">
        <f>'1 datos preparados'!E552</f>
        <v/>
      </c>
      <c r="G559" s="7">
        <f>'1 datos preparados'!F552</f>
        <v/>
      </c>
      <c r="H559" s="7">
        <f>'1 datos preparados'!G552</f>
        <v/>
      </c>
      <c r="I559" s="7">
        <f>'1 datos preparados'!H552</f>
        <v/>
      </c>
      <c r="J559" s="7">
        <f>'1 datos preparados'!I552</f>
        <v/>
      </c>
      <c r="K559" s="7">
        <f>'1 datos preparados'!J552</f>
        <v/>
      </c>
      <c r="L559" s="7">
        <f>'1 datos preparados'!K552</f>
        <v/>
      </c>
      <c r="M559" s="7">
        <f>'1 datos preparados'!L552</f>
        <v/>
      </c>
      <c r="N559" s="7">
        <f>'1 datos preparados'!M552</f>
        <v/>
      </c>
      <c r="O559" s="7">
        <f>'1 datos preparados'!N552</f>
        <v/>
      </c>
      <c r="P559" s="7">
        <f>'1 datos preparados'!O552</f>
        <v/>
      </c>
      <c r="Q559" s="7">
        <f>'1 datos preparados'!P552</f>
        <v/>
      </c>
      <c r="R559" s="7">
        <f>'1 datos preparados'!Q552</f>
        <v/>
      </c>
      <c r="S559" s="7">
        <f>'1 datos preparados'!R552</f>
        <v/>
      </c>
      <c r="T559" s="7">
        <f>'1 datos preparados'!S552</f>
        <v/>
      </c>
      <c r="U559" s="7">
        <f>'1 datos preparados'!T552</f>
        <v/>
      </c>
      <c r="V559" s="8">
        <f>$AE$12+D559*$AE$13+E559*$AE$14+F559*$AE$15+G559*$AE$16+H559*$AE$17+I559*$AE$18+J559*$AE$19+K559*$AE$20+L559*$AE$21+M559*$AE$22+N559*$AE$23+O559*$AE$24+P559*$AE$25+Q559*$AE$26+R559*$AE$27+S559*$AE$28+T559*$AE$29+U559*$AE$30</f>
        <v/>
      </c>
      <c r="W559" s="8">
        <f>1/(1+EXP(-V559))</f>
        <v/>
      </c>
      <c r="X559" s="9">
        <f>-IF(C559=1,LN(W559),LN(1-W559))</f>
        <v/>
      </c>
      <c r="Y559" s="8">
        <f>IF(C559=1,$AE$32,$AE$33)</f>
        <v/>
      </c>
      <c r="Z559" s="9">
        <f>Y559*X559</f>
        <v/>
      </c>
      <c r="AA559" s="10">
        <f>IF(W559&gt;$AE$34,1,0)</f>
        <v/>
      </c>
      <c r="AB559">
        <f>IF(AA559=C559,1,0)</f>
        <v/>
      </c>
    </row>
    <row r="560">
      <c r="A560">
        <f>'1 datos preparados'!A553</f>
        <v/>
      </c>
      <c r="B560" s="5">
        <f>'1 datos preparados'!U553</f>
        <v/>
      </c>
      <c r="C560">
        <f>'1 datos preparados'!B553</f>
        <v/>
      </c>
      <c r="D560" s="7">
        <f>'1 datos preparados'!C553</f>
        <v/>
      </c>
      <c r="E560" s="7">
        <f>'1 datos preparados'!D553</f>
        <v/>
      </c>
      <c r="F560" s="7">
        <f>'1 datos preparados'!E553</f>
        <v/>
      </c>
      <c r="G560" s="7">
        <f>'1 datos preparados'!F553</f>
        <v/>
      </c>
      <c r="H560" s="7">
        <f>'1 datos preparados'!G553</f>
        <v/>
      </c>
      <c r="I560" s="7">
        <f>'1 datos preparados'!H553</f>
        <v/>
      </c>
      <c r="J560" s="7">
        <f>'1 datos preparados'!I553</f>
        <v/>
      </c>
      <c r="K560" s="7">
        <f>'1 datos preparados'!J553</f>
        <v/>
      </c>
      <c r="L560" s="7">
        <f>'1 datos preparados'!K553</f>
        <v/>
      </c>
      <c r="M560" s="7">
        <f>'1 datos preparados'!L553</f>
        <v/>
      </c>
      <c r="N560" s="7">
        <f>'1 datos preparados'!M553</f>
        <v/>
      </c>
      <c r="O560" s="7">
        <f>'1 datos preparados'!N553</f>
        <v/>
      </c>
      <c r="P560" s="7">
        <f>'1 datos preparados'!O553</f>
        <v/>
      </c>
      <c r="Q560" s="7">
        <f>'1 datos preparados'!P553</f>
        <v/>
      </c>
      <c r="R560" s="7">
        <f>'1 datos preparados'!Q553</f>
        <v/>
      </c>
      <c r="S560" s="7">
        <f>'1 datos preparados'!R553</f>
        <v/>
      </c>
      <c r="T560" s="7">
        <f>'1 datos preparados'!S553</f>
        <v/>
      </c>
      <c r="U560" s="7">
        <f>'1 datos preparados'!T553</f>
        <v/>
      </c>
      <c r="V560" s="8">
        <f>$AE$12+D560*$AE$13+E560*$AE$14+F560*$AE$15+G560*$AE$16+H560*$AE$17+I560*$AE$18+J560*$AE$19+K560*$AE$20+L560*$AE$21+M560*$AE$22+N560*$AE$23+O560*$AE$24+P560*$AE$25+Q560*$AE$26+R560*$AE$27+S560*$AE$28+T560*$AE$29+U560*$AE$30</f>
        <v/>
      </c>
      <c r="W560" s="8">
        <f>1/(1+EXP(-V560))</f>
        <v/>
      </c>
      <c r="X560" s="9">
        <f>-IF(C560=1,LN(W560),LN(1-W560))</f>
        <v/>
      </c>
      <c r="Y560" s="8">
        <f>IF(C560=1,$AE$32,$AE$33)</f>
        <v/>
      </c>
      <c r="Z560" s="9">
        <f>Y560*X560</f>
        <v/>
      </c>
      <c r="AA560" s="10">
        <f>IF(W560&gt;$AE$34,1,0)</f>
        <v/>
      </c>
      <c r="AB560">
        <f>IF(AA560=C560,1,0)</f>
        <v/>
      </c>
    </row>
    <row r="561">
      <c r="A561">
        <f>'1 datos preparados'!A554</f>
        <v/>
      </c>
      <c r="B561" s="5">
        <f>'1 datos preparados'!U554</f>
        <v/>
      </c>
      <c r="C561">
        <f>'1 datos preparados'!B554</f>
        <v/>
      </c>
      <c r="D561" s="7">
        <f>'1 datos preparados'!C554</f>
        <v/>
      </c>
      <c r="E561" s="7">
        <f>'1 datos preparados'!D554</f>
        <v/>
      </c>
      <c r="F561" s="7">
        <f>'1 datos preparados'!E554</f>
        <v/>
      </c>
      <c r="G561" s="7">
        <f>'1 datos preparados'!F554</f>
        <v/>
      </c>
      <c r="H561" s="7">
        <f>'1 datos preparados'!G554</f>
        <v/>
      </c>
      <c r="I561" s="7">
        <f>'1 datos preparados'!H554</f>
        <v/>
      </c>
      <c r="J561" s="7">
        <f>'1 datos preparados'!I554</f>
        <v/>
      </c>
      <c r="K561" s="7">
        <f>'1 datos preparados'!J554</f>
        <v/>
      </c>
      <c r="L561" s="7">
        <f>'1 datos preparados'!K554</f>
        <v/>
      </c>
      <c r="M561" s="7">
        <f>'1 datos preparados'!L554</f>
        <v/>
      </c>
      <c r="N561" s="7">
        <f>'1 datos preparados'!M554</f>
        <v/>
      </c>
      <c r="O561" s="7">
        <f>'1 datos preparados'!N554</f>
        <v/>
      </c>
      <c r="P561" s="7">
        <f>'1 datos preparados'!O554</f>
        <v/>
      </c>
      <c r="Q561" s="7">
        <f>'1 datos preparados'!P554</f>
        <v/>
      </c>
      <c r="R561" s="7">
        <f>'1 datos preparados'!Q554</f>
        <v/>
      </c>
      <c r="S561" s="7">
        <f>'1 datos preparados'!R554</f>
        <v/>
      </c>
      <c r="T561" s="7">
        <f>'1 datos preparados'!S554</f>
        <v/>
      </c>
      <c r="U561" s="7">
        <f>'1 datos preparados'!T554</f>
        <v/>
      </c>
      <c r="V561" s="8">
        <f>$AE$12+D561*$AE$13+E561*$AE$14+F561*$AE$15+G561*$AE$16+H561*$AE$17+I561*$AE$18+J561*$AE$19+K561*$AE$20+L561*$AE$21+M561*$AE$22+N561*$AE$23+O561*$AE$24+P561*$AE$25+Q561*$AE$26+R561*$AE$27+S561*$AE$28+T561*$AE$29+U561*$AE$30</f>
        <v/>
      </c>
      <c r="W561" s="8">
        <f>1/(1+EXP(-V561))</f>
        <v/>
      </c>
      <c r="X561" s="9">
        <f>-IF(C561=1,LN(W561),LN(1-W561))</f>
        <v/>
      </c>
      <c r="Y561" s="8">
        <f>IF(C561=1,$AE$32,$AE$33)</f>
        <v/>
      </c>
      <c r="Z561" s="9">
        <f>Y561*X561</f>
        <v/>
      </c>
      <c r="AA561" s="10">
        <f>IF(W561&gt;$AE$34,1,0)</f>
        <v/>
      </c>
      <c r="AB561">
        <f>IF(AA561=C561,1,0)</f>
        <v/>
      </c>
    </row>
    <row r="562">
      <c r="A562">
        <f>'1 datos preparados'!A555</f>
        <v/>
      </c>
      <c r="B562" s="5">
        <f>'1 datos preparados'!U555</f>
        <v/>
      </c>
      <c r="C562">
        <f>'1 datos preparados'!B555</f>
        <v/>
      </c>
      <c r="D562" s="7">
        <f>'1 datos preparados'!C555</f>
        <v/>
      </c>
      <c r="E562" s="7">
        <f>'1 datos preparados'!D555</f>
        <v/>
      </c>
      <c r="F562" s="7">
        <f>'1 datos preparados'!E555</f>
        <v/>
      </c>
      <c r="G562" s="7">
        <f>'1 datos preparados'!F555</f>
        <v/>
      </c>
      <c r="H562" s="7">
        <f>'1 datos preparados'!G555</f>
        <v/>
      </c>
      <c r="I562" s="7">
        <f>'1 datos preparados'!H555</f>
        <v/>
      </c>
      <c r="J562" s="7">
        <f>'1 datos preparados'!I555</f>
        <v/>
      </c>
      <c r="K562" s="7">
        <f>'1 datos preparados'!J555</f>
        <v/>
      </c>
      <c r="L562" s="7">
        <f>'1 datos preparados'!K555</f>
        <v/>
      </c>
      <c r="M562" s="7">
        <f>'1 datos preparados'!L555</f>
        <v/>
      </c>
      <c r="N562" s="7">
        <f>'1 datos preparados'!M555</f>
        <v/>
      </c>
      <c r="O562" s="7">
        <f>'1 datos preparados'!N555</f>
        <v/>
      </c>
      <c r="P562" s="7">
        <f>'1 datos preparados'!O555</f>
        <v/>
      </c>
      <c r="Q562" s="7">
        <f>'1 datos preparados'!P555</f>
        <v/>
      </c>
      <c r="R562" s="7">
        <f>'1 datos preparados'!Q555</f>
        <v/>
      </c>
      <c r="S562" s="7">
        <f>'1 datos preparados'!R555</f>
        <v/>
      </c>
      <c r="T562" s="7">
        <f>'1 datos preparados'!S555</f>
        <v/>
      </c>
      <c r="U562" s="7">
        <f>'1 datos preparados'!T555</f>
        <v/>
      </c>
      <c r="V562" s="8">
        <f>$AE$12+D562*$AE$13+E562*$AE$14+F562*$AE$15+G562*$AE$16+H562*$AE$17+I562*$AE$18+J562*$AE$19+K562*$AE$20+L562*$AE$21+M562*$AE$22+N562*$AE$23+O562*$AE$24+P562*$AE$25+Q562*$AE$26+R562*$AE$27+S562*$AE$28+T562*$AE$29+U562*$AE$30</f>
        <v/>
      </c>
      <c r="W562" s="8">
        <f>1/(1+EXP(-V562))</f>
        <v/>
      </c>
      <c r="X562" s="9">
        <f>-IF(C562=1,LN(W562),LN(1-W562))</f>
        <v/>
      </c>
      <c r="Y562" s="8">
        <f>IF(C562=1,$AE$32,$AE$33)</f>
        <v/>
      </c>
      <c r="Z562" s="9">
        <f>Y562*X562</f>
        <v/>
      </c>
      <c r="AA562" s="10">
        <f>IF(W562&gt;$AE$34,1,0)</f>
        <v/>
      </c>
      <c r="AB562">
        <f>IF(AA562=C562,1,0)</f>
        <v/>
      </c>
    </row>
    <row r="563">
      <c r="A563">
        <f>'1 datos preparados'!A556</f>
        <v/>
      </c>
      <c r="B563" s="5">
        <f>'1 datos preparados'!U556</f>
        <v/>
      </c>
      <c r="C563">
        <f>'1 datos preparados'!B556</f>
        <v/>
      </c>
      <c r="D563" s="7">
        <f>'1 datos preparados'!C556</f>
        <v/>
      </c>
      <c r="E563" s="7">
        <f>'1 datos preparados'!D556</f>
        <v/>
      </c>
      <c r="F563" s="7">
        <f>'1 datos preparados'!E556</f>
        <v/>
      </c>
      <c r="G563" s="7">
        <f>'1 datos preparados'!F556</f>
        <v/>
      </c>
      <c r="H563" s="7">
        <f>'1 datos preparados'!G556</f>
        <v/>
      </c>
      <c r="I563" s="7">
        <f>'1 datos preparados'!H556</f>
        <v/>
      </c>
      <c r="J563" s="7">
        <f>'1 datos preparados'!I556</f>
        <v/>
      </c>
      <c r="K563" s="7">
        <f>'1 datos preparados'!J556</f>
        <v/>
      </c>
      <c r="L563" s="7">
        <f>'1 datos preparados'!K556</f>
        <v/>
      </c>
      <c r="M563" s="7">
        <f>'1 datos preparados'!L556</f>
        <v/>
      </c>
      <c r="N563" s="7">
        <f>'1 datos preparados'!M556</f>
        <v/>
      </c>
      <c r="O563" s="7">
        <f>'1 datos preparados'!N556</f>
        <v/>
      </c>
      <c r="P563" s="7">
        <f>'1 datos preparados'!O556</f>
        <v/>
      </c>
      <c r="Q563" s="7">
        <f>'1 datos preparados'!P556</f>
        <v/>
      </c>
      <c r="R563" s="7">
        <f>'1 datos preparados'!Q556</f>
        <v/>
      </c>
      <c r="S563" s="7">
        <f>'1 datos preparados'!R556</f>
        <v/>
      </c>
      <c r="T563" s="7">
        <f>'1 datos preparados'!S556</f>
        <v/>
      </c>
      <c r="U563" s="7">
        <f>'1 datos preparados'!T556</f>
        <v/>
      </c>
      <c r="V563" s="8">
        <f>$AE$12+D563*$AE$13+E563*$AE$14+F563*$AE$15+G563*$AE$16+H563*$AE$17+I563*$AE$18+J563*$AE$19+K563*$AE$20+L563*$AE$21+M563*$AE$22+N563*$AE$23+O563*$AE$24+P563*$AE$25+Q563*$AE$26+R563*$AE$27+S563*$AE$28+T563*$AE$29+U563*$AE$30</f>
        <v/>
      </c>
      <c r="W563" s="8">
        <f>1/(1+EXP(-V563))</f>
        <v/>
      </c>
      <c r="X563" s="9">
        <f>-IF(C563=1,LN(W563),LN(1-W563))</f>
        <v/>
      </c>
      <c r="Y563" s="8">
        <f>IF(C563=1,$AE$32,$AE$33)</f>
        <v/>
      </c>
      <c r="Z563" s="9">
        <f>Y563*X563</f>
        <v/>
      </c>
      <c r="AA563" s="10">
        <f>IF(W563&gt;$AE$34,1,0)</f>
        <v/>
      </c>
      <c r="AB563">
        <f>IF(AA563=C563,1,0)</f>
        <v/>
      </c>
    </row>
    <row r="564">
      <c r="A564">
        <f>'1 datos preparados'!A557</f>
        <v/>
      </c>
      <c r="B564" s="5">
        <f>'1 datos preparados'!U557</f>
        <v/>
      </c>
      <c r="C564">
        <f>'1 datos preparados'!B557</f>
        <v/>
      </c>
      <c r="D564" s="7">
        <f>'1 datos preparados'!C557</f>
        <v/>
      </c>
      <c r="E564" s="7">
        <f>'1 datos preparados'!D557</f>
        <v/>
      </c>
      <c r="F564" s="7">
        <f>'1 datos preparados'!E557</f>
        <v/>
      </c>
      <c r="G564" s="7">
        <f>'1 datos preparados'!F557</f>
        <v/>
      </c>
      <c r="H564" s="7">
        <f>'1 datos preparados'!G557</f>
        <v/>
      </c>
      <c r="I564" s="7">
        <f>'1 datos preparados'!H557</f>
        <v/>
      </c>
      <c r="J564" s="7">
        <f>'1 datos preparados'!I557</f>
        <v/>
      </c>
      <c r="K564" s="7">
        <f>'1 datos preparados'!J557</f>
        <v/>
      </c>
      <c r="L564" s="7">
        <f>'1 datos preparados'!K557</f>
        <v/>
      </c>
      <c r="M564" s="7">
        <f>'1 datos preparados'!L557</f>
        <v/>
      </c>
      <c r="N564" s="7">
        <f>'1 datos preparados'!M557</f>
        <v/>
      </c>
      <c r="O564" s="7">
        <f>'1 datos preparados'!N557</f>
        <v/>
      </c>
      <c r="P564" s="7">
        <f>'1 datos preparados'!O557</f>
        <v/>
      </c>
      <c r="Q564" s="7">
        <f>'1 datos preparados'!P557</f>
        <v/>
      </c>
      <c r="R564" s="7">
        <f>'1 datos preparados'!Q557</f>
        <v/>
      </c>
      <c r="S564" s="7">
        <f>'1 datos preparados'!R557</f>
        <v/>
      </c>
      <c r="T564" s="7">
        <f>'1 datos preparados'!S557</f>
        <v/>
      </c>
      <c r="U564" s="7">
        <f>'1 datos preparados'!T557</f>
        <v/>
      </c>
      <c r="V564" s="8">
        <f>$AE$12+D564*$AE$13+E564*$AE$14+F564*$AE$15+G564*$AE$16+H564*$AE$17+I564*$AE$18+J564*$AE$19+K564*$AE$20+L564*$AE$21+M564*$AE$22+N564*$AE$23+O564*$AE$24+P564*$AE$25+Q564*$AE$26+R564*$AE$27+S564*$AE$28+T564*$AE$29+U564*$AE$30</f>
        <v/>
      </c>
      <c r="W564" s="8">
        <f>1/(1+EXP(-V564))</f>
        <v/>
      </c>
      <c r="X564" s="9">
        <f>-IF(C564=1,LN(W564),LN(1-W564))</f>
        <v/>
      </c>
      <c r="Y564" s="8">
        <f>IF(C564=1,$AE$32,$AE$33)</f>
        <v/>
      </c>
      <c r="Z564" s="9">
        <f>Y564*X564</f>
        <v/>
      </c>
      <c r="AA564" s="10">
        <f>IF(W564&gt;$AE$34,1,0)</f>
        <v/>
      </c>
      <c r="AB564">
        <f>IF(AA564=C564,1,0)</f>
        <v/>
      </c>
    </row>
    <row r="565">
      <c r="A565">
        <f>'1 datos preparados'!A558</f>
        <v/>
      </c>
      <c r="B565" s="5">
        <f>'1 datos preparados'!U558</f>
        <v/>
      </c>
      <c r="C565">
        <f>'1 datos preparados'!B558</f>
        <v/>
      </c>
      <c r="D565" s="7">
        <f>'1 datos preparados'!C558</f>
        <v/>
      </c>
      <c r="E565" s="7">
        <f>'1 datos preparados'!D558</f>
        <v/>
      </c>
      <c r="F565" s="7">
        <f>'1 datos preparados'!E558</f>
        <v/>
      </c>
      <c r="G565" s="7">
        <f>'1 datos preparados'!F558</f>
        <v/>
      </c>
      <c r="H565" s="7">
        <f>'1 datos preparados'!G558</f>
        <v/>
      </c>
      <c r="I565" s="7">
        <f>'1 datos preparados'!H558</f>
        <v/>
      </c>
      <c r="J565" s="7">
        <f>'1 datos preparados'!I558</f>
        <v/>
      </c>
      <c r="K565" s="7">
        <f>'1 datos preparados'!J558</f>
        <v/>
      </c>
      <c r="L565" s="7">
        <f>'1 datos preparados'!K558</f>
        <v/>
      </c>
      <c r="M565" s="7">
        <f>'1 datos preparados'!L558</f>
        <v/>
      </c>
      <c r="N565" s="7">
        <f>'1 datos preparados'!M558</f>
        <v/>
      </c>
      <c r="O565" s="7">
        <f>'1 datos preparados'!N558</f>
        <v/>
      </c>
      <c r="P565" s="7">
        <f>'1 datos preparados'!O558</f>
        <v/>
      </c>
      <c r="Q565" s="7">
        <f>'1 datos preparados'!P558</f>
        <v/>
      </c>
      <c r="R565" s="7">
        <f>'1 datos preparados'!Q558</f>
        <v/>
      </c>
      <c r="S565" s="7">
        <f>'1 datos preparados'!R558</f>
        <v/>
      </c>
      <c r="T565" s="7">
        <f>'1 datos preparados'!S558</f>
        <v/>
      </c>
      <c r="U565" s="7">
        <f>'1 datos preparados'!T558</f>
        <v/>
      </c>
      <c r="V565" s="8">
        <f>$AE$12+D565*$AE$13+E565*$AE$14+F565*$AE$15+G565*$AE$16+H565*$AE$17+I565*$AE$18+J565*$AE$19+K565*$AE$20+L565*$AE$21+M565*$AE$22+N565*$AE$23+O565*$AE$24+P565*$AE$25+Q565*$AE$26+R565*$AE$27+S565*$AE$28+T565*$AE$29+U565*$AE$30</f>
        <v/>
      </c>
      <c r="W565" s="8">
        <f>1/(1+EXP(-V565))</f>
        <v/>
      </c>
      <c r="X565" s="9">
        <f>-IF(C565=1,LN(W565),LN(1-W565))</f>
        <v/>
      </c>
      <c r="Y565" s="8">
        <f>IF(C565=1,$AE$32,$AE$33)</f>
        <v/>
      </c>
      <c r="Z565" s="9">
        <f>Y565*X565</f>
        <v/>
      </c>
      <c r="AA565" s="10">
        <f>IF(W565&gt;$AE$34,1,0)</f>
        <v/>
      </c>
      <c r="AB565">
        <f>IF(AA565=C565,1,0)</f>
        <v/>
      </c>
    </row>
    <row r="566">
      <c r="A566">
        <f>'1 datos preparados'!A559</f>
        <v/>
      </c>
      <c r="B566" s="5">
        <f>'1 datos preparados'!U559</f>
        <v/>
      </c>
      <c r="C566">
        <f>'1 datos preparados'!B559</f>
        <v/>
      </c>
      <c r="D566" s="7">
        <f>'1 datos preparados'!C559</f>
        <v/>
      </c>
      <c r="E566" s="7">
        <f>'1 datos preparados'!D559</f>
        <v/>
      </c>
      <c r="F566" s="7">
        <f>'1 datos preparados'!E559</f>
        <v/>
      </c>
      <c r="G566" s="7">
        <f>'1 datos preparados'!F559</f>
        <v/>
      </c>
      <c r="H566" s="7">
        <f>'1 datos preparados'!G559</f>
        <v/>
      </c>
      <c r="I566" s="7">
        <f>'1 datos preparados'!H559</f>
        <v/>
      </c>
      <c r="J566" s="7">
        <f>'1 datos preparados'!I559</f>
        <v/>
      </c>
      <c r="K566" s="7">
        <f>'1 datos preparados'!J559</f>
        <v/>
      </c>
      <c r="L566" s="7">
        <f>'1 datos preparados'!K559</f>
        <v/>
      </c>
      <c r="M566" s="7">
        <f>'1 datos preparados'!L559</f>
        <v/>
      </c>
      <c r="N566" s="7">
        <f>'1 datos preparados'!M559</f>
        <v/>
      </c>
      <c r="O566" s="7">
        <f>'1 datos preparados'!N559</f>
        <v/>
      </c>
      <c r="P566" s="7">
        <f>'1 datos preparados'!O559</f>
        <v/>
      </c>
      <c r="Q566" s="7">
        <f>'1 datos preparados'!P559</f>
        <v/>
      </c>
      <c r="R566" s="7">
        <f>'1 datos preparados'!Q559</f>
        <v/>
      </c>
      <c r="S566" s="7">
        <f>'1 datos preparados'!R559</f>
        <v/>
      </c>
      <c r="T566" s="7">
        <f>'1 datos preparados'!S559</f>
        <v/>
      </c>
      <c r="U566" s="7">
        <f>'1 datos preparados'!T559</f>
        <v/>
      </c>
      <c r="V566" s="8">
        <f>$AE$12+D566*$AE$13+E566*$AE$14+F566*$AE$15+G566*$AE$16+H566*$AE$17+I566*$AE$18+J566*$AE$19+K566*$AE$20+L566*$AE$21+M566*$AE$22+N566*$AE$23+O566*$AE$24+P566*$AE$25+Q566*$AE$26+R566*$AE$27+S566*$AE$28+T566*$AE$29+U566*$AE$30</f>
        <v/>
      </c>
      <c r="W566" s="8">
        <f>1/(1+EXP(-V566))</f>
        <v/>
      </c>
      <c r="X566" s="9">
        <f>-IF(C566=1,LN(W566),LN(1-W566))</f>
        <v/>
      </c>
      <c r="Y566" s="8">
        <f>IF(C566=1,$AE$32,$AE$33)</f>
        <v/>
      </c>
      <c r="Z566" s="9">
        <f>Y566*X566</f>
        <v/>
      </c>
      <c r="AA566" s="10">
        <f>IF(W566&gt;$AE$34,1,0)</f>
        <v/>
      </c>
      <c r="AB566">
        <f>IF(AA566=C566,1,0)</f>
        <v/>
      </c>
    </row>
    <row r="567">
      <c r="A567">
        <f>'1 datos preparados'!A560</f>
        <v/>
      </c>
      <c r="B567" s="5">
        <f>'1 datos preparados'!U560</f>
        <v/>
      </c>
      <c r="C567">
        <f>'1 datos preparados'!B560</f>
        <v/>
      </c>
      <c r="D567" s="7">
        <f>'1 datos preparados'!C560</f>
        <v/>
      </c>
      <c r="E567" s="7">
        <f>'1 datos preparados'!D560</f>
        <v/>
      </c>
      <c r="F567" s="7">
        <f>'1 datos preparados'!E560</f>
        <v/>
      </c>
      <c r="G567" s="7">
        <f>'1 datos preparados'!F560</f>
        <v/>
      </c>
      <c r="H567" s="7">
        <f>'1 datos preparados'!G560</f>
        <v/>
      </c>
      <c r="I567" s="7">
        <f>'1 datos preparados'!H560</f>
        <v/>
      </c>
      <c r="J567" s="7">
        <f>'1 datos preparados'!I560</f>
        <v/>
      </c>
      <c r="K567" s="7">
        <f>'1 datos preparados'!J560</f>
        <v/>
      </c>
      <c r="L567" s="7">
        <f>'1 datos preparados'!K560</f>
        <v/>
      </c>
      <c r="M567" s="7">
        <f>'1 datos preparados'!L560</f>
        <v/>
      </c>
      <c r="N567" s="7">
        <f>'1 datos preparados'!M560</f>
        <v/>
      </c>
      <c r="O567" s="7">
        <f>'1 datos preparados'!N560</f>
        <v/>
      </c>
      <c r="P567" s="7">
        <f>'1 datos preparados'!O560</f>
        <v/>
      </c>
      <c r="Q567" s="7">
        <f>'1 datos preparados'!P560</f>
        <v/>
      </c>
      <c r="R567" s="7">
        <f>'1 datos preparados'!Q560</f>
        <v/>
      </c>
      <c r="S567" s="7">
        <f>'1 datos preparados'!R560</f>
        <v/>
      </c>
      <c r="T567" s="7">
        <f>'1 datos preparados'!S560</f>
        <v/>
      </c>
      <c r="U567" s="7">
        <f>'1 datos preparados'!T560</f>
        <v/>
      </c>
      <c r="V567" s="8">
        <f>$AE$12+D567*$AE$13+E567*$AE$14+F567*$AE$15+G567*$AE$16+H567*$AE$17+I567*$AE$18+J567*$AE$19+K567*$AE$20+L567*$AE$21+M567*$AE$22+N567*$AE$23+O567*$AE$24+P567*$AE$25+Q567*$AE$26+R567*$AE$27+S567*$AE$28+T567*$AE$29+U567*$AE$30</f>
        <v/>
      </c>
      <c r="W567" s="8">
        <f>1/(1+EXP(-V567))</f>
        <v/>
      </c>
      <c r="X567" s="9">
        <f>-IF(C567=1,LN(W567),LN(1-W567))</f>
        <v/>
      </c>
      <c r="Y567" s="8">
        <f>IF(C567=1,$AE$32,$AE$33)</f>
        <v/>
      </c>
      <c r="Z567" s="9">
        <f>Y567*X567</f>
        <v/>
      </c>
      <c r="AA567" s="10">
        <f>IF(W567&gt;$AE$34,1,0)</f>
        <v/>
      </c>
      <c r="AB567">
        <f>IF(AA567=C567,1,0)</f>
        <v/>
      </c>
    </row>
    <row r="568">
      <c r="A568">
        <f>'1 datos preparados'!A561</f>
        <v/>
      </c>
      <c r="B568" s="5">
        <f>'1 datos preparados'!U561</f>
        <v/>
      </c>
      <c r="C568">
        <f>'1 datos preparados'!B561</f>
        <v/>
      </c>
      <c r="D568" s="7">
        <f>'1 datos preparados'!C561</f>
        <v/>
      </c>
      <c r="E568" s="7">
        <f>'1 datos preparados'!D561</f>
        <v/>
      </c>
      <c r="F568" s="7">
        <f>'1 datos preparados'!E561</f>
        <v/>
      </c>
      <c r="G568" s="7">
        <f>'1 datos preparados'!F561</f>
        <v/>
      </c>
      <c r="H568" s="7">
        <f>'1 datos preparados'!G561</f>
        <v/>
      </c>
      <c r="I568" s="7">
        <f>'1 datos preparados'!H561</f>
        <v/>
      </c>
      <c r="J568" s="7">
        <f>'1 datos preparados'!I561</f>
        <v/>
      </c>
      <c r="K568" s="7">
        <f>'1 datos preparados'!J561</f>
        <v/>
      </c>
      <c r="L568" s="7">
        <f>'1 datos preparados'!K561</f>
        <v/>
      </c>
      <c r="M568" s="7">
        <f>'1 datos preparados'!L561</f>
        <v/>
      </c>
      <c r="N568" s="7">
        <f>'1 datos preparados'!M561</f>
        <v/>
      </c>
      <c r="O568" s="7">
        <f>'1 datos preparados'!N561</f>
        <v/>
      </c>
      <c r="P568" s="7">
        <f>'1 datos preparados'!O561</f>
        <v/>
      </c>
      <c r="Q568" s="7">
        <f>'1 datos preparados'!P561</f>
        <v/>
      </c>
      <c r="R568" s="7">
        <f>'1 datos preparados'!Q561</f>
        <v/>
      </c>
      <c r="S568" s="7">
        <f>'1 datos preparados'!R561</f>
        <v/>
      </c>
      <c r="T568" s="7">
        <f>'1 datos preparados'!S561</f>
        <v/>
      </c>
      <c r="U568" s="7">
        <f>'1 datos preparados'!T561</f>
        <v/>
      </c>
      <c r="V568" s="8">
        <f>$AE$12+D568*$AE$13+E568*$AE$14+F568*$AE$15+G568*$AE$16+H568*$AE$17+I568*$AE$18+J568*$AE$19+K568*$AE$20+L568*$AE$21+M568*$AE$22+N568*$AE$23+O568*$AE$24+P568*$AE$25+Q568*$AE$26+R568*$AE$27+S568*$AE$28+T568*$AE$29+U568*$AE$30</f>
        <v/>
      </c>
      <c r="W568" s="8">
        <f>1/(1+EXP(-V568))</f>
        <v/>
      </c>
      <c r="X568" s="9">
        <f>-IF(C568=1,LN(W568),LN(1-W568))</f>
        <v/>
      </c>
      <c r="Y568" s="8">
        <f>IF(C568=1,$AE$32,$AE$33)</f>
        <v/>
      </c>
      <c r="Z568" s="9">
        <f>Y568*X568</f>
        <v/>
      </c>
      <c r="AA568" s="10">
        <f>IF(W568&gt;$AE$34,1,0)</f>
        <v/>
      </c>
      <c r="AB568">
        <f>IF(AA568=C568,1,0)</f>
        <v/>
      </c>
    </row>
    <row r="569">
      <c r="A569">
        <f>'1 datos preparados'!A562</f>
        <v/>
      </c>
      <c r="B569" s="5">
        <f>'1 datos preparados'!U562</f>
        <v/>
      </c>
      <c r="C569">
        <f>'1 datos preparados'!B562</f>
        <v/>
      </c>
      <c r="D569" s="7">
        <f>'1 datos preparados'!C562</f>
        <v/>
      </c>
      <c r="E569" s="7">
        <f>'1 datos preparados'!D562</f>
        <v/>
      </c>
      <c r="F569" s="7">
        <f>'1 datos preparados'!E562</f>
        <v/>
      </c>
      <c r="G569" s="7">
        <f>'1 datos preparados'!F562</f>
        <v/>
      </c>
      <c r="H569" s="7">
        <f>'1 datos preparados'!G562</f>
        <v/>
      </c>
      <c r="I569" s="7">
        <f>'1 datos preparados'!H562</f>
        <v/>
      </c>
      <c r="J569" s="7">
        <f>'1 datos preparados'!I562</f>
        <v/>
      </c>
      <c r="K569" s="7">
        <f>'1 datos preparados'!J562</f>
        <v/>
      </c>
      <c r="L569" s="7">
        <f>'1 datos preparados'!K562</f>
        <v/>
      </c>
      <c r="M569" s="7">
        <f>'1 datos preparados'!L562</f>
        <v/>
      </c>
      <c r="N569" s="7">
        <f>'1 datos preparados'!M562</f>
        <v/>
      </c>
      <c r="O569" s="7">
        <f>'1 datos preparados'!N562</f>
        <v/>
      </c>
      <c r="P569" s="7">
        <f>'1 datos preparados'!O562</f>
        <v/>
      </c>
      <c r="Q569" s="7">
        <f>'1 datos preparados'!P562</f>
        <v/>
      </c>
      <c r="R569" s="7">
        <f>'1 datos preparados'!Q562</f>
        <v/>
      </c>
      <c r="S569" s="7">
        <f>'1 datos preparados'!R562</f>
        <v/>
      </c>
      <c r="T569" s="7">
        <f>'1 datos preparados'!S562</f>
        <v/>
      </c>
      <c r="U569" s="7">
        <f>'1 datos preparados'!T562</f>
        <v/>
      </c>
      <c r="V569" s="8">
        <f>$AE$12+D569*$AE$13+E569*$AE$14+F569*$AE$15+G569*$AE$16+H569*$AE$17+I569*$AE$18+J569*$AE$19+K569*$AE$20+L569*$AE$21+M569*$AE$22+N569*$AE$23+O569*$AE$24+P569*$AE$25+Q569*$AE$26+R569*$AE$27+S569*$AE$28+T569*$AE$29+U569*$AE$30</f>
        <v/>
      </c>
      <c r="W569" s="8">
        <f>1/(1+EXP(-V569))</f>
        <v/>
      </c>
      <c r="X569" s="9">
        <f>-IF(C569=1,LN(W569),LN(1-W569))</f>
        <v/>
      </c>
      <c r="Y569" s="8">
        <f>IF(C569=1,$AE$32,$AE$33)</f>
        <v/>
      </c>
      <c r="Z569" s="9">
        <f>Y569*X569</f>
        <v/>
      </c>
      <c r="AA569" s="10">
        <f>IF(W569&gt;$AE$34,1,0)</f>
        <v/>
      </c>
      <c r="AB569">
        <f>IF(AA569=C569,1,0)</f>
        <v/>
      </c>
    </row>
    <row r="570">
      <c r="A570">
        <f>'1 datos preparados'!A563</f>
        <v/>
      </c>
      <c r="B570" s="5">
        <f>'1 datos preparados'!U563</f>
        <v/>
      </c>
      <c r="C570">
        <f>'1 datos preparados'!B563</f>
        <v/>
      </c>
      <c r="D570" s="7">
        <f>'1 datos preparados'!C563</f>
        <v/>
      </c>
      <c r="E570" s="7">
        <f>'1 datos preparados'!D563</f>
        <v/>
      </c>
      <c r="F570" s="7">
        <f>'1 datos preparados'!E563</f>
        <v/>
      </c>
      <c r="G570" s="7">
        <f>'1 datos preparados'!F563</f>
        <v/>
      </c>
      <c r="H570" s="7">
        <f>'1 datos preparados'!G563</f>
        <v/>
      </c>
      <c r="I570" s="7">
        <f>'1 datos preparados'!H563</f>
        <v/>
      </c>
      <c r="J570" s="7">
        <f>'1 datos preparados'!I563</f>
        <v/>
      </c>
      <c r="K570" s="7">
        <f>'1 datos preparados'!J563</f>
        <v/>
      </c>
      <c r="L570" s="7">
        <f>'1 datos preparados'!K563</f>
        <v/>
      </c>
      <c r="M570" s="7">
        <f>'1 datos preparados'!L563</f>
        <v/>
      </c>
      <c r="N570" s="7">
        <f>'1 datos preparados'!M563</f>
        <v/>
      </c>
      <c r="O570" s="7">
        <f>'1 datos preparados'!N563</f>
        <v/>
      </c>
      <c r="P570" s="7">
        <f>'1 datos preparados'!O563</f>
        <v/>
      </c>
      <c r="Q570" s="7">
        <f>'1 datos preparados'!P563</f>
        <v/>
      </c>
      <c r="R570" s="7">
        <f>'1 datos preparados'!Q563</f>
        <v/>
      </c>
      <c r="S570" s="7">
        <f>'1 datos preparados'!R563</f>
        <v/>
      </c>
      <c r="T570" s="7">
        <f>'1 datos preparados'!S563</f>
        <v/>
      </c>
      <c r="U570" s="7">
        <f>'1 datos preparados'!T563</f>
        <v/>
      </c>
      <c r="V570" s="8">
        <f>$AE$12+D570*$AE$13+E570*$AE$14+F570*$AE$15+G570*$AE$16+H570*$AE$17+I570*$AE$18+J570*$AE$19+K570*$AE$20+L570*$AE$21+M570*$AE$22+N570*$AE$23+O570*$AE$24+P570*$AE$25+Q570*$AE$26+R570*$AE$27+S570*$AE$28+T570*$AE$29+U570*$AE$30</f>
        <v/>
      </c>
      <c r="W570" s="8">
        <f>1/(1+EXP(-V570))</f>
        <v/>
      </c>
      <c r="X570" s="9">
        <f>-IF(C570=1,LN(W570),LN(1-W570))</f>
        <v/>
      </c>
      <c r="Y570" s="8">
        <f>IF(C570=1,$AE$32,$AE$33)</f>
        <v/>
      </c>
      <c r="Z570" s="9">
        <f>Y570*X570</f>
        <v/>
      </c>
      <c r="AA570" s="10">
        <f>IF(W570&gt;$AE$34,1,0)</f>
        <v/>
      </c>
      <c r="AB570">
        <f>IF(AA570=C570,1,0)</f>
        <v/>
      </c>
    </row>
    <row r="571">
      <c r="A571">
        <f>'1 datos preparados'!A564</f>
        <v/>
      </c>
      <c r="B571" s="5">
        <f>'1 datos preparados'!U564</f>
        <v/>
      </c>
      <c r="C571">
        <f>'1 datos preparados'!B564</f>
        <v/>
      </c>
      <c r="D571" s="7">
        <f>'1 datos preparados'!C564</f>
        <v/>
      </c>
      <c r="E571" s="7">
        <f>'1 datos preparados'!D564</f>
        <v/>
      </c>
      <c r="F571" s="7">
        <f>'1 datos preparados'!E564</f>
        <v/>
      </c>
      <c r="G571" s="7">
        <f>'1 datos preparados'!F564</f>
        <v/>
      </c>
      <c r="H571" s="7">
        <f>'1 datos preparados'!G564</f>
        <v/>
      </c>
      <c r="I571" s="7">
        <f>'1 datos preparados'!H564</f>
        <v/>
      </c>
      <c r="J571" s="7">
        <f>'1 datos preparados'!I564</f>
        <v/>
      </c>
      <c r="K571" s="7">
        <f>'1 datos preparados'!J564</f>
        <v/>
      </c>
      <c r="L571" s="7">
        <f>'1 datos preparados'!K564</f>
        <v/>
      </c>
      <c r="M571" s="7">
        <f>'1 datos preparados'!L564</f>
        <v/>
      </c>
      <c r="N571" s="7">
        <f>'1 datos preparados'!M564</f>
        <v/>
      </c>
      <c r="O571" s="7">
        <f>'1 datos preparados'!N564</f>
        <v/>
      </c>
      <c r="P571" s="7">
        <f>'1 datos preparados'!O564</f>
        <v/>
      </c>
      <c r="Q571" s="7">
        <f>'1 datos preparados'!P564</f>
        <v/>
      </c>
      <c r="R571" s="7">
        <f>'1 datos preparados'!Q564</f>
        <v/>
      </c>
      <c r="S571" s="7">
        <f>'1 datos preparados'!R564</f>
        <v/>
      </c>
      <c r="T571" s="7">
        <f>'1 datos preparados'!S564</f>
        <v/>
      </c>
      <c r="U571" s="7">
        <f>'1 datos preparados'!T564</f>
        <v/>
      </c>
      <c r="V571" s="8">
        <f>$AE$12+D571*$AE$13+E571*$AE$14+F571*$AE$15+G571*$AE$16+H571*$AE$17+I571*$AE$18+J571*$AE$19+K571*$AE$20+L571*$AE$21+M571*$AE$22+N571*$AE$23+O571*$AE$24+P571*$AE$25+Q571*$AE$26+R571*$AE$27+S571*$AE$28+T571*$AE$29+U571*$AE$30</f>
        <v/>
      </c>
      <c r="W571" s="8">
        <f>1/(1+EXP(-V571))</f>
        <v/>
      </c>
      <c r="X571" s="9">
        <f>-IF(C571=1,LN(W571),LN(1-W571))</f>
        <v/>
      </c>
      <c r="Y571" s="8">
        <f>IF(C571=1,$AE$32,$AE$33)</f>
        <v/>
      </c>
      <c r="Z571" s="9">
        <f>Y571*X571</f>
        <v/>
      </c>
      <c r="AA571" s="10">
        <f>IF(W571&gt;$AE$34,1,0)</f>
        <v/>
      </c>
      <c r="AB571">
        <f>IF(AA571=C571,1,0)</f>
        <v/>
      </c>
    </row>
    <row r="572">
      <c r="A572">
        <f>'1 datos preparados'!A565</f>
        <v/>
      </c>
      <c r="B572" s="5">
        <f>'1 datos preparados'!U565</f>
        <v/>
      </c>
      <c r="C572">
        <f>'1 datos preparados'!B565</f>
        <v/>
      </c>
      <c r="D572" s="7">
        <f>'1 datos preparados'!C565</f>
        <v/>
      </c>
      <c r="E572" s="7">
        <f>'1 datos preparados'!D565</f>
        <v/>
      </c>
      <c r="F572" s="7">
        <f>'1 datos preparados'!E565</f>
        <v/>
      </c>
      <c r="G572" s="7">
        <f>'1 datos preparados'!F565</f>
        <v/>
      </c>
      <c r="H572" s="7">
        <f>'1 datos preparados'!G565</f>
        <v/>
      </c>
      <c r="I572" s="7">
        <f>'1 datos preparados'!H565</f>
        <v/>
      </c>
      <c r="J572" s="7">
        <f>'1 datos preparados'!I565</f>
        <v/>
      </c>
      <c r="K572" s="7">
        <f>'1 datos preparados'!J565</f>
        <v/>
      </c>
      <c r="L572" s="7">
        <f>'1 datos preparados'!K565</f>
        <v/>
      </c>
      <c r="M572" s="7">
        <f>'1 datos preparados'!L565</f>
        <v/>
      </c>
      <c r="N572" s="7">
        <f>'1 datos preparados'!M565</f>
        <v/>
      </c>
      <c r="O572" s="7">
        <f>'1 datos preparados'!N565</f>
        <v/>
      </c>
      <c r="P572" s="7">
        <f>'1 datos preparados'!O565</f>
        <v/>
      </c>
      <c r="Q572" s="7">
        <f>'1 datos preparados'!P565</f>
        <v/>
      </c>
      <c r="R572" s="7">
        <f>'1 datos preparados'!Q565</f>
        <v/>
      </c>
      <c r="S572" s="7">
        <f>'1 datos preparados'!R565</f>
        <v/>
      </c>
      <c r="T572" s="7">
        <f>'1 datos preparados'!S565</f>
        <v/>
      </c>
      <c r="U572" s="7">
        <f>'1 datos preparados'!T565</f>
        <v/>
      </c>
      <c r="V572" s="8">
        <f>$AE$12+D572*$AE$13+E572*$AE$14+F572*$AE$15+G572*$AE$16+H572*$AE$17+I572*$AE$18+J572*$AE$19+K572*$AE$20+L572*$AE$21+M572*$AE$22+N572*$AE$23+O572*$AE$24+P572*$AE$25+Q572*$AE$26+R572*$AE$27+S572*$AE$28+T572*$AE$29+U572*$AE$30</f>
        <v/>
      </c>
      <c r="W572" s="8">
        <f>1/(1+EXP(-V572))</f>
        <v/>
      </c>
      <c r="X572" s="9">
        <f>-IF(C572=1,LN(W572),LN(1-W572))</f>
        <v/>
      </c>
      <c r="Y572" s="8">
        <f>IF(C572=1,$AE$32,$AE$33)</f>
        <v/>
      </c>
      <c r="Z572" s="9">
        <f>Y572*X572</f>
        <v/>
      </c>
      <c r="AA572" s="10">
        <f>IF(W572&gt;$AE$34,1,0)</f>
        <v/>
      </c>
      <c r="AB572">
        <f>IF(AA572=C572,1,0)</f>
        <v/>
      </c>
    </row>
    <row r="573">
      <c r="A573">
        <f>'1 datos preparados'!A566</f>
        <v/>
      </c>
      <c r="B573" s="5">
        <f>'1 datos preparados'!U566</f>
        <v/>
      </c>
      <c r="C573">
        <f>'1 datos preparados'!B566</f>
        <v/>
      </c>
      <c r="D573" s="7">
        <f>'1 datos preparados'!C566</f>
        <v/>
      </c>
      <c r="E573" s="7">
        <f>'1 datos preparados'!D566</f>
        <v/>
      </c>
      <c r="F573" s="7">
        <f>'1 datos preparados'!E566</f>
        <v/>
      </c>
      <c r="G573" s="7">
        <f>'1 datos preparados'!F566</f>
        <v/>
      </c>
      <c r="H573" s="7">
        <f>'1 datos preparados'!G566</f>
        <v/>
      </c>
      <c r="I573" s="7">
        <f>'1 datos preparados'!H566</f>
        <v/>
      </c>
      <c r="J573" s="7">
        <f>'1 datos preparados'!I566</f>
        <v/>
      </c>
      <c r="K573" s="7">
        <f>'1 datos preparados'!J566</f>
        <v/>
      </c>
      <c r="L573" s="7">
        <f>'1 datos preparados'!K566</f>
        <v/>
      </c>
      <c r="M573" s="7">
        <f>'1 datos preparados'!L566</f>
        <v/>
      </c>
      <c r="N573" s="7">
        <f>'1 datos preparados'!M566</f>
        <v/>
      </c>
      <c r="O573" s="7">
        <f>'1 datos preparados'!N566</f>
        <v/>
      </c>
      <c r="P573" s="7">
        <f>'1 datos preparados'!O566</f>
        <v/>
      </c>
      <c r="Q573" s="7">
        <f>'1 datos preparados'!P566</f>
        <v/>
      </c>
      <c r="R573" s="7">
        <f>'1 datos preparados'!Q566</f>
        <v/>
      </c>
      <c r="S573" s="7">
        <f>'1 datos preparados'!R566</f>
        <v/>
      </c>
      <c r="T573" s="7">
        <f>'1 datos preparados'!S566</f>
        <v/>
      </c>
      <c r="U573" s="7">
        <f>'1 datos preparados'!T566</f>
        <v/>
      </c>
      <c r="V573" s="8">
        <f>$AE$12+D573*$AE$13+E573*$AE$14+F573*$AE$15+G573*$AE$16+H573*$AE$17+I573*$AE$18+J573*$AE$19+K573*$AE$20+L573*$AE$21+M573*$AE$22+N573*$AE$23+O573*$AE$24+P573*$AE$25+Q573*$AE$26+R573*$AE$27+S573*$AE$28+T573*$AE$29+U573*$AE$30</f>
        <v/>
      </c>
      <c r="W573" s="8">
        <f>1/(1+EXP(-V573))</f>
        <v/>
      </c>
      <c r="X573" s="9">
        <f>-IF(C573=1,LN(W573),LN(1-W573))</f>
        <v/>
      </c>
      <c r="Y573" s="8">
        <f>IF(C573=1,$AE$32,$AE$33)</f>
        <v/>
      </c>
      <c r="Z573" s="9">
        <f>Y573*X573</f>
        <v/>
      </c>
      <c r="AA573" s="10">
        <f>IF(W573&gt;$AE$34,1,0)</f>
        <v/>
      </c>
      <c r="AB573">
        <f>IF(AA573=C573,1,0)</f>
        <v/>
      </c>
    </row>
    <row r="574">
      <c r="A574">
        <f>'1 datos preparados'!A567</f>
        <v/>
      </c>
      <c r="B574" s="5">
        <f>'1 datos preparados'!U567</f>
        <v/>
      </c>
      <c r="C574">
        <f>'1 datos preparados'!B567</f>
        <v/>
      </c>
      <c r="D574" s="7">
        <f>'1 datos preparados'!C567</f>
        <v/>
      </c>
      <c r="E574" s="7">
        <f>'1 datos preparados'!D567</f>
        <v/>
      </c>
      <c r="F574" s="7">
        <f>'1 datos preparados'!E567</f>
        <v/>
      </c>
      <c r="G574" s="7">
        <f>'1 datos preparados'!F567</f>
        <v/>
      </c>
      <c r="H574" s="7">
        <f>'1 datos preparados'!G567</f>
        <v/>
      </c>
      <c r="I574" s="7">
        <f>'1 datos preparados'!H567</f>
        <v/>
      </c>
      <c r="J574" s="7">
        <f>'1 datos preparados'!I567</f>
        <v/>
      </c>
      <c r="K574" s="7">
        <f>'1 datos preparados'!J567</f>
        <v/>
      </c>
      <c r="L574" s="7">
        <f>'1 datos preparados'!K567</f>
        <v/>
      </c>
      <c r="M574" s="7">
        <f>'1 datos preparados'!L567</f>
        <v/>
      </c>
      <c r="N574" s="7">
        <f>'1 datos preparados'!M567</f>
        <v/>
      </c>
      <c r="O574" s="7">
        <f>'1 datos preparados'!N567</f>
        <v/>
      </c>
      <c r="P574" s="7">
        <f>'1 datos preparados'!O567</f>
        <v/>
      </c>
      <c r="Q574" s="7">
        <f>'1 datos preparados'!P567</f>
        <v/>
      </c>
      <c r="R574" s="7">
        <f>'1 datos preparados'!Q567</f>
        <v/>
      </c>
      <c r="S574" s="7">
        <f>'1 datos preparados'!R567</f>
        <v/>
      </c>
      <c r="T574" s="7">
        <f>'1 datos preparados'!S567</f>
        <v/>
      </c>
      <c r="U574" s="7">
        <f>'1 datos preparados'!T567</f>
        <v/>
      </c>
      <c r="V574" s="8">
        <f>$AE$12+D574*$AE$13+E574*$AE$14+F574*$AE$15+G574*$AE$16+H574*$AE$17+I574*$AE$18+J574*$AE$19+K574*$AE$20+L574*$AE$21+M574*$AE$22+N574*$AE$23+O574*$AE$24+P574*$AE$25+Q574*$AE$26+R574*$AE$27+S574*$AE$28+T574*$AE$29+U574*$AE$30</f>
        <v/>
      </c>
      <c r="W574" s="8">
        <f>1/(1+EXP(-V574))</f>
        <v/>
      </c>
      <c r="X574" s="9">
        <f>-IF(C574=1,LN(W574),LN(1-W574))</f>
        <v/>
      </c>
      <c r="Y574" s="8">
        <f>IF(C574=1,$AE$32,$AE$33)</f>
        <v/>
      </c>
      <c r="Z574" s="9">
        <f>Y574*X574</f>
        <v/>
      </c>
      <c r="AA574" s="10">
        <f>IF(W574&gt;$AE$34,1,0)</f>
        <v/>
      </c>
      <c r="AB574">
        <f>IF(AA574=C574,1,0)</f>
        <v/>
      </c>
    </row>
    <row r="575">
      <c r="A575">
        <f>'1 datos preparados'!A568</f>
        <v/>
      </c>
      <c r="B575" s="5">
        <f>'1 datos preparados'!U568</f>
        <v/>
      </c>
      <c r="C575">
        <f>'1 datos preparados'!B568</f>
        <v/>
      </c>
      <c r="D575" s="7">
        <f>'1 datos preparados'!C568</f>
        <v/>
      </c>
      <c r="E575" s="7">
        <f>'1 datos preparados'!D568</f>
        <v/>
      </c>
      <c r="F575" s="7">
        <f>'1 datos preparados'!E568</f>
        <v/>
      </c>
      <c r="G575" s="7">
        <f>'1 datos preparados'!F568</f>
        <v/>
      </c>
      <c r="H575" s="7">
        <f>'1 datos preparados'!G568</f>
        <v/>
      </c>
      <c r="I575" s="7">
        <f>'1 datos preparados'!H568</f>
        <v/>
      </c>
      <c r="J575" s="7">
        <f>'1 datos preparados'!I568</f>
        <v/>
      </c>
      <c r="K575" s="7">
        <f>'1 datos preparados'!J568</f>
        <v/>
      </c>
      <c r="L575" s="7">
        <f>'1 datos preparados'!K568</f>
        <v/>
      </c>
      <c r="M575" s="7">
        <f>'1 datos preparados'!L568</f>
        <v/>
      </c>
      <c r="N575" s="7">
        <f>'1 datos preparados'!M568</f>
        <v/>
      </c>
      <c r="O575" s="7">
        <f>'1 datos preparados'!N568</f>
        <v/>
      </c>
      <c r="P575" s="7">
        <f>'1 datos preparados'!O568</f>
        <v/>
      </c>
      <c r="Q575" s="7">
        <f>'1 datos preparados'!P568</f>
        <v/>
      </c>
      <c r="R575" s="7">
        <f>'1 datos preparados'!Q568</f>
        <v/>
      </c>
      <c r="S575" s="7">
        <f>'1 datos preparados'!R568</f>
        <v/>
      </c>
      <c r="T575" s="7">
        <f>'1 datos preparados'!S568</f>
        <v/>
      </c>
      <c r="U575" s="7">
        <f>'1 datos preparados'!T568</f>
        <v/>
      </c>
      <c r="V575" s="8">
        <f>$AE$12+D575*$AE$13+E575*$AE$14+F575*$AE$15+G575*$AE$16+H575*$AE$17+I575*$AE$18+J575*$AE$19+K575*$AE$20+L575*$AE$21+M575*$AE$22+N575*$AE$23+O575*$AE$24+P575*$AE$25+Q575*$AE$26+R575*$AE$27+S575*$AE$28+T575*$AE$29+U575*$AE$30</f>
        <v/>
      </c>
      <c r="W575" s="8">
        <f>1/(1+EXP(-V575))</f>
        <v/>
      </c>
      <c r="X575" s="9">
        <f>-IF(C575=1,LN(W575),LN(1-W575))</f>
        <v/>
      </c>
      <c r="Y575" s="8">
        <f>IF(C575=1,$AE$32,$AE$33)</f>
        <v/>
      </c>
      <c r="Z575" s="9">
        <f>Y575*X575</f>
        <v/>
      </c>
      <c r="AA575" s="10">
        <f>IF(W575&gt;$AE$34,1,0)</f>
        <v/>
      </c>
      <c r="AB575">
        <f>IF(AA575=C575,1,0)</f>
        <v/>
      </c>
    </row>
    <row r="576">
      <c r="A576">
        <f>'1 datos preparados'!A569</f>
        <v/>
      </c>
      <c r="B576" s="5">
        <f>'1 datos preparados'!U569</f>
        <v/>
      </c>
      <c r="C576">
        <f>'1 datos preparados'!B569</f>
        <v/>
      </c>
      <c r="D576" s="7">
        <f>'1 datos preparados'!C569</f>
        <v/>
      </c>
      <c r="E576" s="7">
        <f>'1 datos preparados'!D569</f>
        <v/>
      </c>
      <c r="F576" s="7">
        <f>'1 datos preparados'!E569</f>
        <v/>
      </c>
      <c r="G576" s="7">
        <f>'1 datos preparados'!F569</f>
        <v/>
      </c>
      <c r="H576" s="7">
        <f>'1 datos preparados'!G569</f>
        <v/>
      </c>
      <c r="I576" s="7">
        <f>'1 datos preparados'!H569</f>
        <v/>
      </c>
      <c r="J576" s="7">
        <f>'1 datos preparados'!I569</f>
        <v/>
      </c>
      <c r="K576" s="7">
        <f>'1 datos preparados'!J569</f>
        <v/>
      </c>
      <c r="L576" s="7">
        <f>'1 datos preparados'!K569</f>
        <v/>
      </c>
      <c r="M576" s="7">
        <f>'1 datos preparados'!L569</f>
        <v/>
      </c>
      <c r="N576" s="7">
        <f>'1 datos preparados'!M569</f>
        <v/>
      </c>
      <c r="O576" s="7">
        <f>'1 datos preparados'!N569</f>
        <v/>
      </c>
      <c r="P576" s="7">
        <f>'1 datos preparados'!O569</f>
        <v/>
      </c>
      <c r="Q576" s="7">
        <f>'1 datos preparados'!P569</f>
        <v/>
      </c>
      <c r="R576" s="7">
        <f>'1 datos preparados'!Q569</f>
        <v/>
      </c>
      <c r="S576" s="7">
        <f>'1 datos preparados'!R569</f>
        <v/>
      </c>
      <c r="T576" s="7">
        <f>'1 datos preparados'!S569</f>
        <v/>
      </c>
      <c r="U576" s="7">
        <f>'1 datos preparados'!T569</f>
        <v/>
      </c>
      <c r="V576" s="8">
        <f>$AE$12+D576*$AE$13+E576*$AE$14+F576*$AE$15+G576*$AE$16+H576*$AE$17+I576*$AE$18+J576*$AE$19+K576*$AE$20+L576*$AE$21+M576*$AE$22+N576*$AE$23+O576*$AE$24+P576*$AE$25+Q576*$AE$26+R576*$AE$27+S576*$AE$28+T576*$AE$29+U576*$AE$30</f>
        <v/>
      </c>
      <c r="W576" s="8">
        <f>1/(1+EXP(-V576))</f>
        <v/>
      </c>
      <c r="X576" s="9">
        <f>-IF(C576=1,LN(W576),LN(1-W576))</f>
        <v/>
      </c>
      <c r="Y576" s="8">
        <f>IF(C576=1,$AE$32,$AE$33)</f>
        <v/>
      </c>
      <c r="Z576" s="9">
        <f>Y576*X576</f>
        <v/>
      </c>
      <c r="AA576" s="10">
        <f>IF(W576&gt;$AE$34,1,0)</f>
        <v/>
      </c>
      <c r="AB576">
        <f>IF(AA576=C576,1,0)</f>
        <v/>
      </c>
    </row>
    <row r="577">
      <c r="A577">
        <f>'1 datos preparados'!A570</f>
        <v/>
      </c>
      <c r="B577" s="5">
        <f>'1 datos preparados'!U570</f>
        <v/>
      </c>
      <c r="C577">
        <f>'1 datos preparados'!B570</f>
        <v/>
      </c>
      <c r="D577" s="7">
        <f>'1 datos preparados'!C570</f>
        <v/>
      </c>
      <c r="E577" s="7">
        <f>'1 datos preparados'!D570</f>
        <v/>
      </c>
      <c r="F577" s="7">
        <f>'1 datos preparados'!E570</f>
        <v/>
      </c>
      <c r="G577" s="7">
        <f>'1 datos preparados'!F570</f>
        <v/>
      </c>
      <c r="H577" s="7">
        <f>'1 datos preparados'!G570</f>
        <v/>
      </c>
      <c r="I577" s="7">
        <f>'1 datos preparados'!H570</f>
        <v/>
      </c>
      <c r="J577" s="7">
        <f>'1 datos preparados'!I570</f>
        <v/>
      </c>
      <c r="K577" s="7">
        <f>'1 datos preparados'!J570</f>
        <v/>
      </c>
      <c r="L577" s="7">
        <f>'1 datos preparados'!K570</f>
        <v/>
      </c>
      <c r="M577" s="7">
        <f>'1 datos preparados'!L570</f>
        <v/>
      </c>
      <c r="N577" s="7">
        <f>'1 datos preparados'!M570</f>
        <v/>
      </c>
      <c r="O577" s="7">
        <f>'1 datos preparados'!N570</f>
        <v/>
      </c>
      <c r="P577" s="7">
        <f>'1 datos preparados'!O570</f>
        <v/>
      </c>
      <c r="Q577" s="7">
        <f>'1 datos preparados'!P570</f>
        <v/>
      </c>
      <c r="R577" s="7">
        <f>'1 datos preparados'!Q570</f>
        <v/>
      </c>
      <c r="S577" s="7">
        <f>'1 datos preparados'!R570</f>
        <v/>
      </c>
      <c r="T577" s="7">
        <f>'1 datos preparados'!S570</f>
        <v/>
      </c>
      <c r="U577" s="7">
        <f>'1 datos preparados'!T570</f>
        <v/>
      </c>
      <c r="V577" s="8">
        <f>$AE$12+D577*$AE$13+E577*$AE$14+F577*$AE$15+G577*$AE$16+H577*$AE$17+I577*$AE$18+J577*$AE$19+K577*$AE$20+L577*$AE$21+M577*$AE$22+N577*$AE$23+O577*$AE$24+P577*$AE$25+Q577*$AE$26+R577*$AE$27+S577*$AE$28+T577*$AE$29+U577*$AE$30</f>
        <v/>
      </c>
      <c r="W577" s="8">
        <f>1/(1+EXP(-V577))</f>
        <v/>
      </c>
      <c r="X577" s="9">
        <f>-IF(C577=1,LN(W577),LN(1-W577))</f>
        <v/>
      </c>
      <c r="Y577" s="8">
        <f>IF(C577=1,$AE$32,$AE$33)</f>
        <v/>
      </c>
      <c r="Z577" s="9">
        <f>Y577*X577</f>
        <v/>
      </c>
      <c r="AA577" s="10">
        <f>IF(W577&gt;$AE$34,1,0)</f>
        <v/>
      </c>
      <c r="AB577">
        <f>IF(AA577=C577,1,0)</f>
        <v/>
      </c>
    </row>
    <row r="578">
      <c r="A578">
        <f>'1 datos preparados'!A571</f>
        <v/>
      </c>
      <c r="B578" s="5">
        <f>'1 datos preparados'!U571</f>
        <v/>
      </c>
      <c r="C578">
        <f>'1 datos preparados'!B571</f>
        <v/>
      </c>
      <c r="D578" s="7">
        <f>'1 datos preparados'!C571</f>
        <v/>
      </c>
      <c r="E578" s="7">
        <f>'1 datos preparados'!D571</f>
        <v/>
      </c>
      <c r="F578" s="7">
        <f>'1 datos preparados'!E571</f>
        <v/>
      </c>
      <c r="G578" s="7">
        <f>'1 datos preparados'!F571</f>
        <v/>
      </c>
      <c r="H578" s="7">
        <f>'1 datos preparados'!G571</f>
        <v/>
      </c>
      <c r="I578" s="7">
        <f>'1 datos preparados'!H571</f>
        <v/>
      </c>
      <c r="J578" s="7">
        <f>'1 datos preparados'!I571</f>
        <v/>
      </c>
      <c r="K578" s="7">
        <f>'1 datos preparados'!J571</f>
        <v/>
      </c>
      <c r="L578" s="7">
        <f>'1 datos preparados'!K571</f>
        <v/>
      </c>
      <c r="M578" s="7">
        <f>'1 datos preparados'!L571</f>
        <v/>
      </c>
      <c r="N578" s="7">
        <f>'1 datos preparados'!M571</f>
        <v/>
      </c>
      <c r="O578" s="7">
        <f>'1 datos preparados'!N571</f>
        <v/>
      </c>
      <c r="P578" s="7">
        <f>'1 datos preparados'!O571</f>
        <v/>
      </c>
      <c r="Q578" s="7">
        <f>'1 datos preparados'!P571</f>
        <v/>
      </c>
      <c r="R578" s="7">
        <f>'1 datos preparados'!Q571</f>
        <v/>
      </c>
      <c r="S578" s="7">
        <f>'1 datos preparados'!R571</f>
        <v/>
      </c>
      <c r="T578" s="7">
        <f>'1 datos preparados'!S571</f>
        <v/>
      </c>
      <c r="U578" s="7">
        <f>'1 datos preparados'!T571</f>
        <v/>
      </c>
      <c r="V578" s="8">
        <f>$AE$12+D578*$AE$13+E578*$AE$14+F578*$AE$15+G578*$AE$16+H578*$AE$17+I578*$AE$18+J578*$AE$19+K578*$AE$20+L578*$AE$21+M578*$AE$22+N578*$AE$23+O578*$AE$24+P578*$AE$25+Q578*$AE$26+R578*$AE$27+S578*$AE$28+T578*$AE$29+U578*$AE$30</f>
        <v/>
      </c>
      <c r="W578" s="8">
        <f>1/(1+EXP(-V578))</f>
        <v/>
      </c>
      <c r="X578" s="9">
        <f>-IF(C578=1,LN(W578),LN(1-W578))</f>
        <v/>
      </c>
      <c r="Y578" s="8">
        <f>IF(C578=1,$AE$32,$AE$33)</f>
        <v/>
      </c>
      <c r="Z578" s="9">
        <f>Y578*X578</f>
        <v/>
      </c>
      <c r="AA578" s="10">
        <f>IF(W578&gt;$AE$34,1,0)</f>
        <v/>
      </c>
      <c r="AB578">
        <f>IF(AA578=C578,1,0)</f>
        <v/>
      </c>
    </row>
    <row r="579">
      <c r="A579">
        <f>'1 datos preparados'!A572</f>
        <v/>
      </c>
      <c r="B579" s="5">
        <f>'1 datos preparados'!U572</f>
        <v/>
      </c>
      <c r="C579">
        <f>'1 datos preparados'!B572</f>
        <v/>
      </c>
      <c r="D579" s="7">
        <f>'1 datos preparados'!C572</f>
        <v/>
      </c>
      <c r="E579" s="7">
        <f>'1 datos preparados'!D572</f>
        <v/>
      </c>
      <c r="F579" s="7">
        <f>'1 datos preparados'!E572</f>
        <v/>
      </c>
      <c r="G579" s="7">
        <f>'1 datos preparados'!F572</f>
        <v/>
      </c>
      <c r="H579" s="7">
        <f>'1 datos preparados'!G572</f>
        <v/>
      </c>
      <c r="I579" s="7">
        <f>'1 datos preparados'!H572</f>
        <v/>
      </c>
      <c r="J579" s="7">
        <f>'1 datos preparados'!I572</f>
        <v/>
      </c>
      <c r="K579" s="7">
        <f>'1 datos preparados'!J572</f>
        <v/>
      </c>
      <c r="L579" s="7">
        <f>'1 datos preparados'!K572</f>
        <v/>
      </c>
      <c r="M579" s="7">
        <f>'1 datos preparados'!L572</f>
        <v/>
      </c>
      <c r="N579" s="7">
        <f>'1 datos preparados'!M572</f>
        <v/>
      </c>
      <c r="O579" s="7">
        <f>'1 datos preparados'!N572</f>
        <v/>
      </c>
      <c r="P579" s="7">
        <f>'1 datos preparados'!O572</f>
        <v/>
      </c>
      <c r="Q579" s="7">
        <f>'1 datos preparados'!P572</f>
        <v/>
      </c>
      <c r="R579" s="7">
        <f>'1 datos preparados'!Q572</f>
        <v/>
      </c>
      <c r="S579" s="7">
        <f>'1 datos preparados'!R572</f>
        <v/>
      </c>
      <c r="T579" s="7">
        <f>'1 datos preparados'!S572</f>
        <v/>
      </c>
      <c r="U579" s="7">
        <f>'1 datos preparados'!T572</f>
        <v/>
      </c>
      <c r="V579" s="8">
        <f>$AE$12+D579*$AE$13+E579*$AE$14+F579*$AE$15+G579*$AE$16+H579*$AE$17+I579*$AE$18+J579*$AE$19+K579*$AE$20+L579*$AE$21+M579*$AE$22+N579*$AE$23+O579*$AE$24+P579*$AE$25+Q579*$AE$26+R579*$AE$27+S579*$AE$28+T579*$AE$29+U579*$AE$30</f>
        <v/>
      </c>
      <c r="W579" s="8">
        <f>1/(1+EXP(-V579))</f>
        <v/>
      </c>
      <c r="X579" s="9">
        <f>-IF(C579=1,LN(W579),LN(1-W579))</f>
        <v/>
      </c>
      <c r="Y579" s="8">
        <f>IF(C579=1,$AE$32,$AE$33)</f>
        <v/>
      </c>
      <c r="Z579" s="9">
        <f>Y579*X579</f>
        <v/>
      </c>
      <c r="AA579" s="10">
        <f>IF(W579&gt;$AE$34,1,0)</f>
        <v/>
      </c>
      <c r="AB579">
        <f>IF(AA579=C579,1,0)</f>
        <v/>
      </c>
    </row>
    <row r="580">
      <c r="A580">
        <f>'1 datos preparados'!A573</f>
        <v/>
      </c>
      <c r="B580" s="5">
        <f>'1 datos preparados'!U573</f>
        <v/>
      </c>
      <c r="C580">
        <f>'1 datos preparados'!B573</f>
        <v/>
      </c>
      <c r="D580" s="7">
        <f>'1 datos preparados'!C573</f>
        <v/>
      </c>
      <c r="E580" s="7">
        <f>'1 datos preparados'!D573</f>
        <v/>
      </c>
      <c r="F580" s="7">
        <f>'1 datos preparados'!E573</f>
        <v/>
      </c>
      <c r="G580" s="7">
        <f>'1 datos preparados'!F573</f>
        <v/>
      </c>
      <c r="H580" s="7">
        <f>'1 datos preparados'!G573</f>
        <v/>
      </c>
      <c r="I580" s="7">
        <f>'1 datos preparados'!H573</f>
        <v/>
      </c>
      <c r="J580" s="7">
        <f>'1 datos preparados'!I573</f>
        <v/>
      </c>
      <c r="K580" s="7">
        <f>'1 datos preparados'!J573</f>
        <v/>
      </c>
      <c r="L580" s="7">
        <f>'1 datos preparados'!K573</f>
        <v/>
      </c>
      <c r="M580" s="7">
        <f>'1 datos preparados'!L573</f>
        <v/>
      </c>
      <c r="N580" s="7">
        <f>'1 datos preparados'!M573</f>
        <v/>
      </c>
      <c r="O580" s="7">
        <f>'1 datos preparados'!N573</f>
        <v/>
      </c>
      <c r="P580" s="7">
        <f>'1 datos preparados'!O573</f>
        <v/>
      </c>
      <c r="Q580" s="7">
        <f>'1 datos preparados'!P573</f>
        <v/>
      </c>
      <c r="R580" s="7">
        <f>'1 datos preparados'!Q573</f>
        <v/>
      </c>
      <c r="S580" s="7">
        <f>'1 datos preparados'!R573</f>
        <v/>
      </c>
      <c r="T580" s="7">
        <f>'1 datos preparados'!S573</f>
        <v/>
      </c>
      <c r="U580" s="7">
        <f>'1 datos preparados'!T573</f>
        <v/>
      </c>
      <c r="V580" s="8">
        <f>$AE$12+D580*$AE$13+E580*$AE$14+F580*$AE$15+G580*$AE$16+H580*$AE$17+I580*$AE$18+J580*$AE$19+K580*$AE$20+L580*$AE$21+M580*$AE$22+N580*$AE$23+O580*$AE$24+P580*$AE$25+Q580*$AE$26+R580*$AE$27+S580*$AE$28+T580*$AE$29+U580*$AE$30</f>
        <v/>
      </c>
      <c r="W580" s="8">
        <f>1/(1+EXP(-V580))</f>
        <v/>
      </c>
      <c r="X580" s="9">
        <f>-IF(C580=1,LN(W580),LN(1-W580))</f>
        <v/>
      </c>
      <c r="Y580" s="8">
        <f>IF(C580=1,$AE$32,$AE$33)</f>
        <v/>
      </c>
      <c r="Z580" s="9">
        <f>Y580*X580</f>
        <v/>
      </c>
      <c r="AA580" s="10">
        <f>IF(W580&gt;$AE$34,1,0)</f>
        <v/>
      </c>
      <c r="AB580">
        <f>IF(AA580=C580,1,0)</f>
        <v/>
      </c>
    </row>
    <row r="581">
      <c r="A581">
        <f>'1 datos preparados'!A574</f>
        <v/>
      </c>
      <c r="B581" s="5">
        <f>'1 datos preparados'!U574</f>
        <v/>
      </c>
      <c r="C581">
        <f>'1 datos preparados'!B574</f>
        <v/>
      </c>
      <c r="D581" s="7">
        <f>'1 datos preparados'!C574</f>
        <v/>
      </c>
      <c r="E581" s="7">
        <f>'1 datos preparados'!D574</f>
        <v/>
      </c>
      <c r="F581" s="7">
        <f>'1 datos preparados'!E574</f>
        <v/>
      </c>
      <c r="G581" s="7">
        <f>'1 datos preparados'!F574</f>
        <v/>
      </c>
      <c r="H581" s="7">
        <f>'1 datos preparados'!G574</f>
        <v/>
      </c>
      <c r="I581" s="7">
        <f>'1 datos preparados'!H574</f>
        <v/>
      </c>
      <c r="J581" s="7">
        <f>'1 datos preparados'!I574</f>
        <v/>
      </c>
      <c r="K581" s="7">
        <f>'1 datos preparados'!J574</f>
        <v/>
      </c>
      <c r="L581" s="7">
        <f>'1 datos preparados'!K574</f>
        <v/>
      </c>
      <c r="M581" s="7">
        <f>'1 datos preparados'!L574</f>
        <v/>
      </c>
      <c r="N581" s="7">
        <f>'1 datos preparados'!M574</f>
        <v/>
      </c>
      <c r="O581" s="7">
        <f>'1 datos preparados'!N574</f>
        <v/>
      </c>
      <c r="P581" s="7">
        <f>'1 datos preparados'!O574</f>
        <v/>
      </c>
      <c r="Q581" s="7">
        <f>'1 datos preparados'!P574</f>
        <v/>
      </c>
      <c r="R581" s="7">
        <f>'1 datos preparados'!Q574</f>
        <v/>
      </c>
      <c r="S581" s="7">
        <f>'1 datos preparados'!R574</f>
        <v/>
      </c>
      <c r="T581" s="7">
        <f>'1 datos preparados'!S574</f>
        <v/>
      </c>
      <c r="U581" s="7">
        <f>'1 datos preparados'!T574</f>
        <v/>
      </c>
      <c r="V581" s="8">
        <f>$AE$12+D581*$AE$13+E581*$AE$14+F581*$AE$15+G581*$AE$16+H581*$AE$17+I581*$AE$18+J581*$AE$19+K581*$AE$20+L581*$AE$21+M581*$AE$22+N581*$AE$23+O581*$AE$24+P581*$AE$25+Q581*$AE$26+R581*$AE$27+S581*$AE$28+T581*$AE$29+U581*$AE$30</f>
        <v/>
      </c>
      <c r="W581" s="8">
        <f>1/(1+EXP(-V581))</f>
        <v/>
      </c>
      <c r="X581" s="9">
        <f>-IF(C581=1,LN(W581),LN(1-W581))</f>
        <v/>
      </c>
      <c r="Y581" s="8">
        <f>IF(C581=1,$AE$32,$AE$33)</f>
        <v/>
      </c>
      <c r="Z581" s="9">
        <f>Y581*X581</f>
        <v/>
      </c>
      <c r="AA581" s="10">
        <f>IF(W581&gt;$AE$34,1,0)</f>
        <v/>
      </c>
      <c r="AB581">
        <f>IF(AA581=C581,1,0)</f>
        <v/>
      </c>
    </row>
    <row r="582">
      <c r="A582">
        <f>'1 datos preparados'!A575</f>
        <v/>
      </c>
      <c r="B582" s="5">
        <f>'1 datos preparados'!U575</f>
        <v/>
      </c>
      <c r="C582">
        <f>'1 datos preparados'!B575</f>
        <v/>
      </c>
      <c r="D582" s="7">
        <f>'1 datos preparados'!C575</f>
        <v/>
      </c>
      <c r="E582" s="7">
        <f>'1 datos preparados'!D575</f>
        <v/>
      </c>
      <c r="F582" s="7">
        <f>'1 datos preparados'!E575</f>
        <v/>
      </c>
      <c r="G582" s="7">
        <f>'1 datos preparados'!F575</f>
        <v/>
      </c>
      <c r="H582" s="7">
        <f>'1 datos preparados'!G575</f>
        <v/>
      </c>
      <c r="I582" s="7">
        <f>'1 datos preparados'!H575</f>
        <v/>
      </c>
      <c r="J582" s="7">
        <f>'1 datos preparados'!I575</f>
        <v/>
      </c>
      <c r="K582" s="7">
        <f>'1 datos preparados'!J575</f>
        <v/>
      </c>
      <c r="L582" s="7">
        <f>'1 datos preparados'!K575</f>
        <v/>
      </c>
      <c r="M582" s="7">
        <f>'1 datos preparados'!L575</f>
        <v/>
      </c>
      <c r="N582" s="7">
        <f>'1 datos preparados'!M575</f>
        <v/>
      </c>
      <c r="O582" s="7">
        <f>'1 datos preparados'!N575</f>
        <v/>
      </c>
      <c r="P582" s="7">
        <f>'1 datos preparados'!O575</f>
        <v/>
      </c>
      <c r="Q582" s="7">
        <f>'1 datos preparados'!P575</f>
        <v/>
      </c>
      <c r="R582" s="7">
        <f>'1 datos preparados'!Q575</f>
        <v/>
      </c>
      <c r="S582" s="7">
        <f>'1 datos preparados'!R575</f>
        <v/>
      </c>
      <c r="T582" s="7">
        <f>'1 datos preparados'!S575</f>
        <v/>
      </c>
      <c r="U582" s="7">
        <f>'1 datos preparados'!T575</f>
        <v/>
      </c>
      <c r="V582" s="8">
        <f>$AE$12+D582*$AE$13+E582*$AE$14+F582*$AE$15+G582*$AE$16+H582*$AE$17+I582*$AE$18+J582*$AE$19+K582*$AE$20+L582*$AE$21+M582*$AE$22+N582*$AE$23+O582*$AE$24+P582*$AE$25+Q582*$AE$26+R582*$AE$27+S582*$AE$28+T582*$AE$29+U582*$AE$30</f>
        <v/>
      </c>
      <c r="W582" s="8">
        <f>1/(1+EXP(-V582))</f>
        <v/>
      </c>
      <c r="X582" s="9">
        <f>-IF(C582=1,LN(W582),LN(1-W582))</f>
        <v/>
      </c>
      <c r="Y582" s="8">
        <f>IF(C582=1,$AE$32,$AE$33)</f>
        <v/>
      </c>
      <c r="Z582" s="9">
        <f>Y582*X582</f>
        <v/>
      </c>
      <c r="AA582" s="10">
        <f>IF(W582&gt;$AE$34,1,0)</f>
        <v/>
      </c>
      <c r="AB582">
        <f>IF(AA582=C582,1,0)</f>
        <v/>
      </c>
    </row>
    <row r="583">
      <c r="A583">
        <f>'1 datos preparados'!A576</f>
        <v/>
      </c>
      <c r="B583" s="5">
        <f>'1 datos preparados'!U576</f>
        <v/>
      </c>
      <c r="C583">
        <f>'1 datos preparados'!B576</f>
        <v/>
      </c>
      <c r="D583" s="7">
        <f>'1 datos preparados'!C576</f>
        <v/>
      </c>
      <c r="E583" s="7">
        <f>'1 datos preparados'!D576</f>
        <v/>
      </c>
      <c r="F583" s="7">
        <f>'1 datos preparados'!E576</f>
        <v/>
      </c>
      <c r="G583" s="7">
        <f>'1 datos preparados'!F576</f>
        <v/>
      </c>
      <c r="H583" s="7">
        <f>'1 datos preparados'!G576</f>
        <v/>
      </c>
      <c r="I583" s="7">
        <f>'1 datos preparados'!H576</f>
        <v/>
      </c>
      <c r="J583" s="7">
        <f>'1 datos preparados'!I576</f>
        <v/>
      </c>
      <c r="K583" s="7">
        <f>'1 datos preparados'!J576</f>
        <v/>
      </c>
      <c r="L583" s="7">
        <f>'1 datos preparados'!K576</f>
        <v/>
      </c>
      <c r="M583" s="7">
        <f>'1 datos preparados'!L576</f>
        <v/>
      </c>
      <c r="N583" s="7">
        <f>'1 datos preparados'!M576</f>
        <v/>
      </c>
      <c r="O583" s="7">
        <f>'1 datos preparados'!N576</f>
        <v/>
      </c>
      <c r="P583" s="7">
        <f>'1 datos preparados'!O576</f>
        <v/>
      </c>
      <c r="Q583" s="7">
        <f>'1 datos preparados'!P576</f>
        <v/>
      </c>
      <c r="R583" s="7">
        <f>'1 datos preparados'!Q576</f>
        <v/>
      </c>
      <c r="S583" s="7">
        <f>'1 datos preparados'!R576</f>
        <v/>
      </c>
      <c r="T583" s="7">
        <f>'1 datos preparados'!S576</f>
        <v/>
      </c>
      <c r="U583" s="7">
        <f>'1 datos preparados'!T576</f>
        <v/>
      </c>
      <c r="V583" s="8">
        <f>$AE$12+D583*$AE$13+E583*$AE$14+F583*$AE$15+G583*$AE$16+H583*$AE$17+I583*$AE$18+J583*$AE$19+K583*$AE$20+L583*$AE$21+M583*$AE$22+N583*$AE$23+O583*$AE$24+P583*$AE$25+Q583*$AE$26+R583*$AE$27+S583*$AE$28+T583*$AE$29+U583*$AE$30</f>
        <v/>
      </c>
      <c r="W583" s="8">
        <f>1/(1+EXP(-V583))</f>
        <v/>
      </c>
      <c r="X583" s="9">
        <f>-IF(C583=1,LN(W583),LN(1-W583))</f>
        <v/>
      </c>
      <c r="Y583" s="8">
        <f>IF(C583=1,$AE$32,$AE$33)</f>
        <v/>
      </c>
      <c r="Z583" s="9">
        <f>Y583*X583</f>
        <v/>
      </c>
      <c r="AA583" s="10">
        <f>IF(W583&gt;$AE$34,1,0)</f>
        <v/>
      </c>
      <c r="AB583">
        <f>IF(AA583=C583,1,0)</f>
        <v/>
      </c>
    </row>
    <row r="584">
      <c r="A584">
        <f>'1 datos preparados'!A577</f>
        <v/>
      </c>
      <c r="B584" s="5">
        <f>'1 datos preparados'!U577</f>
        <v/>
      </c>
      <c r="C584">
        <f>'1 datos preparados'!B577</f>
        <v/>
      </c>
      <c r="D584" s="7">
        <f>'1 datos preparados'!C577</f>
        <v/>
      </c>
      <c r="E584" s="7">
        <f>'1 datos preparados'!D577</f>
        <v/>
      </c>
      <c r="F584" s="7">
        <f>'1 datos preparados'!E577</f>
        <v/>
      </c>
      <c r="G584" s="7">
        <f>'1 datos preparados'!F577</f>
        <v/>
      </c>
      <c r="H584" s="7">
        <f>'1 datos preparados'!G577</f>
        <v/>
      </c>
      <c r="I584" s="7">
        <f>'1 datos preparados'!H577</f>
        <v/>
      </c>
      <c r="J584" s="7">
        <f>'1 datos preparados'!I577</f>
        <v/>
      </c>
      <c r="K584" s="7">
        <f>'1 datos preparados'!J577</f>
        <v/>
      </c>
      <c r="L584" s="7">
        <f>'1 datos preparados'!K577</f>
        <v/>
      </c>
      <c r="M584" s="7">
        <f>'1 datos preparados'!L577</f>
        <v/>
      </c>
      <c r="N584" s="7">
        <f>'1 datos preparados'!M577</f>
        <v/>
      </c>
      <c r="O584" s="7">
        <f>'1 datos preparados'!N577</f>
        <v/>
      </c>
      <c r="P584" s="7">
        <f>'1 datos preparados'!O577</f>
        <v/>
      </c>
      <c r="Q584" s="7">
        <f>'1 datos preparados'!P577</f>
        <v/>
      </c>
      <c r="R584" s="7">
        <f>'1 datos preparados'!Q577</f>
        <v/>
      </c>
      <c r="S584" s="7">
        <f>'1 datos preparados'!R577</f>
        <v/>
      </c>
      <c r="T584" s="7">
        <f>'1 datos preparados'!S577</f>
        <v/>
      </c>
      <c r="U584" s="7">
        <f>'1 datos preparados'!T577</f>
        <v/>
      </c>
      <c r="V584" s="8">
        <f>$AE$12+D584*$AE$13+E584*$AE$14+F584*$AE$15+G584*$AE$16+H584*$AE$17+I584*$AE$18+J584*$AE$19+K584*$AE$20+L584*$AE$21+M584*$AE$22+N584*$AE$23+O584*$AE$24+P584*$AE$25+Q584*$AE$26+R584*$AE$27+S584*$AE$28+T584*$AE$29+U584*$AE$30</f>
        <v/>
      </c>
      <c r="W584" s="8">
        <f>1/(1+EXP(-V584))</f>
        <v/>
      </c>
      <c r="X584" s="9">
        <f>-IF(C584=1,LN(W584),LN(1-W584))</f>
        <v/>
      </c>
      <c r="Y584" s="8">
        <f>IF(C584=1,$AE$32,$AE$33)</f>
        <v/>
      </c>
      <c r="Z584" s="9">
        <f>Y584*X584</f>
        <v/>
      </c>
      <c r="AA584" s="10">
        <f>IF(W584&gt;$AE$34,1,0)</f>
        <v/>
      </c>
      <c r="AB584">
        <f>IF(AA584=C584,1,0)</f>
        <v/>
      </c>
    </row>
    <row r="585">
      <c r="A585">
        <f>'1 datos preparados'!A578</f>
        <v/>
      </c>
      <c r="B585" s="5">
        <f>'1 datos preparados'!U578</f>
        <v/>
      </c>
      <c r="C585">
        <f>'1 datos preparados'!B578</f>
        <v/>
      </c>
      <c r="D585" s="7">
        <f>'1 datos preparados'!C578</f>
        <v/>
      </c>
      <c r="E585" s="7">
        <f>'1 datos preparados'!D578</f>
        <v/>
      </c>
      <c r="F585" s="7">
        <f>'1 datos preparados'!E578</f>
        <v/>
      </c>
      <c r="G585" s="7">
        <f>'1 datos preparados'!F578</f>
        <v/>
      </c>
      <c r="H585" s="7">
        <f>'1 datos preparados'!G578</f>
        <v/>
      </c>
      <c r="I585" s="7">
        <f>'1 datos preparados'!H578</f>
        <v/>
      </c>
      <c r="J585" s="7">
        <f>'1 datos preparados'!I578</f>
        <v/>
      </c>
      <c r="K585" s="7">
        <f>'1 datos preparados'!J578</f>
        <v/>
      </c>
      <c r="L585" s="7">
        <f>'1 datos preparados'!K578</f>
        <v/>
      </c>
      <c r="M585" s="7">
        <f>'1 datos preparados'!L578</f>
        <v/>
      </c>
      <c r="N585" s="7">
        <f>'1 datos preparados'!M578</f>
        <v/>
      </c>
      <c r="O585" s="7">
        <f>'1 datos preparados'!N578</f>
        <v/>
      </c>
      <c r="P585" s="7">
        <f>'1 datos preparados'!O578</f>
        <v/>
      </c>
      <c r="Q585" s="7">
        <f>'1 datos preparados'!P578</f>
        <v/>
      </c>
      <c r="R585" s="7">
        <f>'1 datos preparados'!Q578</f>
        <v/>
      </c>
      <c r="S585" s="7">
        <f>'1 datos preparados'!R578</f>
        <v/>
      </c>
      <c r="T585" s="7">
        <f>'1 datos preparados'!S578</f>
        <v/>
      </c>
      <c r="U585" s="7">
        <f>'1 datos preparados'!T578</f>
        <v/>
      </c>
      <c r="V585" s="8">
        <f>$AE$12+D585*$AE$13+E585*$AE$14+F585*$AE$15+G585*$AE$16+H585*$AE$17+I585*$AE$18+J585*$AE$19+K585*$AE$20+L585*$AE$21+M585*$AE$22+N585*$AE$23+O585*$AE$24+P585*$AE$25+Q585*$AE$26+R585*$AE$27+S585*$AE$28+T585*$AE$29+U585*$AE$30</f>
        <v/>
      </c>
      <c r="W585" s="8">
        <f>1/(1+EXP(-V585))</f>
        <v/>
      </c>
      <c r="X585" s="9">
        <f>-IF(C585=1,LN(W585),LN(1-W585))</f>
        <v/>
      </c>
      <c r="Y585" s="8">
        <f>IF(C585=1,$AE$32,$AE$33)</f>
        <v/>
      </c>
      <c r="Z585" s="9">
        <f>Y585*X585</f>
        <v/>
      </c>
      <c r="AA585" s="10">
        <f>IF(W585&gt;$AE$34,1,0)</f>
        <v/>
      </c>
      <c r="AB585">
        <f>IF(AA585=C585,1,0)</f>
        <v/>
      </c>
    </row>
    <row r="586">
      <c r="A586">
        <f>'1 datos preparados'!A579</f>
        <v/>
      </c>
      <c r="B586" s="5">
        <f>'1 datos preparados'!U579</f>
        <v/>
      </c>
      <c r="C586">
        <f>'1 datos preparados'!B579</f>
        <v/>
      </c>
      <c r="D586" s="7">
        <f>'1 datos preparados'!C579</f>
        <v/>
      </c>
      <c r="E586" s="7">
        <f>'1 datos preparados'!D579</f>
        <v/>
      </c>
      <c r="F586" s="7">
        <f>'1 datos preparados'!E579</f>
        <v/>
      </c>
      <c r="G586" s="7">
        <f>'1 datos preparados'!F579</f>
        <v/>
      </c>
      <c r="H586" s="7">
        <f>'1 datos preparados'!G579</f>
        <v/>
      </c>
      <c r="I586" s="7">
        <f>'1 datos preparados'!H579</f>
        <v/>
      </c>
      <c r="J586" s="7">
        <f>'1 datos preparados'!I579</f>
        <v/>
      </c>
      <c r="K586" s="7">
        <f>'1 datos preparados'!J579</f>
        <v/>
      </c>
      <c r="L586" s="7">
        <f>'1 datos preparados'!K579</f>
        <v/>
      </c>
      <c r="M586" s="7">
        <f>'1 datos preparados'!L579</f>
        <v/>
      </c>
      <c r="N586" s="7">
        <f>'1 datos preparados'!M579</f>
        <v/>
      </c>
      <c r="O586" s="7">
        <f>'1 datos preparados'!N579</f>
        <v/>
      </c>
      <c r="P586" s="7">
        <f>'1 datos preparados'!O579</f>
        <v/>
      </c>
      <c r="Q586" s="7">
        <f>'1 datos preparados'!P579</f>
        <v/>
      </c>
      <c r="R586" s="7">
        <f>'1 datos preparados'!Q579</f>
        <v/>
      </c>
      <c r="S586" s="7">
        <f>'1 datos preparados'!R579</f>
        <v/>
      </c>
      <c r="T586" s="7">
        <f>'1 datos preparados'!S579</f>
        <v/>
      </c>
      <c r="U586" s="7">
        <f>'1 datos preparados'!T579</f>
        <v/>
      </c>
      <c r="V586" s="8">
        <f>$AE$12+D586*$AE$13+E586*$AE$14+F586*$AE$15+G586*$AE$16+H586*$AE$17+I586*$AE$18+J586*$AE$19+K586*$AE$20+L586*$AE$21+M586*$AE$22+N586*$AE$23+O586*$AE$24+P586*$AE$25+Q586*$AE$26+R586*$AE$27+S586*$AE$28+T586*$AE$29+U586*$AE$30</f>
        <v/>
      </c>
      <c r="W586" s="8">
        <f>1/(1+EXP(-V586))</f>
        <v/>
      </c>
      <c r="X586" s="9">
        <f>-IF(C586=1,LN(W586),LN(1-W586))</f>
        <v/>
      </c>
      <c r="Y586" s="8">
        <f>IF(C586=1,$AE$32,$AE$33)</f>
        <v/>
      </c>
      <c r="Z586" s="9">
        <f>Y586*X586</f>
        <v/>
      </c>
      <c r="AA586" s="10">
        <f>IF(W586&gt;$AE$34,1,0)</f>
        <v/>
      </c>
      <c r="AB586">
        <f>IF(AA586=C586,1,0)</f>
        <v/>
      </c>
    </row>
    <row r="587">
      <c r="A587">
        <f>'1 datos preparados'!A580</f>
        <v/>
      </c>
      <c r="B587" s="5">
        <f>'1 datos preparados'!U580</f>
        <v/>
      </c>
      <c r="C587">
        <f>'1 datos preparados'!B580</f>
        <v/>
      </c>
      <c r="D587" s="7">
        <f>'1 datos preparados'!C580</f>
        <v/>
      </c>
      <c r="E587" s="7">
        <f>'1 datos preparados'!D580</f>
        <v/>
      </c>
      <c r="F587" s="7">
        <f>'1 datos preparados'!E580</f>
        <v/>
      </c>
      <c r="G587" s="7">
        <f>'1 datos preparados'!F580</f>
        <v/>
      </c>
      <c r="H587" s="7">
        <f>'1 datos preparados'!G580</f>
        <v/>
      </c>
      <c r="I587" s="7">
        <f>'1 datos preparados'!H580</f>
        <v/>
      </c>
      <c r="J587" s="7">
        <f>'1 datos preparados'!I580</f>
        <v/>
      </c>
      <c r="K587" s="7">
        <f>'1 datos preparados'!J580</f>
        <v/>
      </c>
      <c r="L587" s="7">
        <f>'1 datos preparados'!K580</f>
        <v/>
      </c>
      <c r="M587" s="7">
        <f>'1 datos preparados'!L580</f>
        <v/>
      </c>
      <c r="N587" s="7">
        <f>'1 datos preparados'!M580</f>
        <v/>
      </c>
      <c r="O587" s="7">
        <f>'1 datos preparados'!N580</f>
        <v/>
      </c>
      <c r="P587" s="7">
        <f>'1 datos preparados'!O580</f>
        <v/>
      </c>
      <c r="Q587" s="7">
        <f>'1 datos preparados'!P580</f>
        <v/>
      </c>
      <c r="R587" s="7">
        <f>'1 datos preparados'!Q580</f>
        <v/>
      </c>
      <c r="S587" s="7">
        <f>'1 datos preparados'!R580</f>
        <v/>
      </c>
      <c r="T587" s="7">
        <f>'1 datos preparados'!S580</f>
        <v/>
      </c>
      <c r="U587" s="7">
        <f>'1 datos preparados'!T580</f>
        <v/>
      </c>
      <c r="V587" s="8">
        <f>$AE$12+D587*$AE$13+E587*$AE$14+F587*$AE$15+G587*$AE$16+H587*$AE$17+I587*$AE$18+J587*$AE$19+K587*$AE$20+L587*$AE$21+M587*$AE$22+N587*$AE$23+O587*$AE$24+P587*$AE$25+Q587*$AE$26+R587*$AE$27+S587*$AE$28+T587*$AE$29+U587*$AE$30</f>
        <v/>
      </c>
      <c r="W587" s="8">
        <f>1/(1+EXP(-V587))</f>
        <v/>
      </c>
      <c r="X587" s="9">
        <f>-IF(C587=1,LN(W587),LN(1-W587))</f>
        <v/>
      </c>
      <c r="Y587" s="8">
        <f>IF(C587=1,$AE$32,$AE$33)</f>
        <v/>
      </c>
      <c r="Z587" s="9">
        <f>Y587*X587</f>
        <v/>
      </c>
      <c r="AA587" s="10">
        <f>IF(W587&gt;$AE$34,1,0)</f>
        <v/>
      </c>
      <c r="AB587">
        <f>IF(AA587=C587,1,0)</f>
        <v/>
      </c>
    </row>
    <row r="588">
      <c r="A588">
        <f>'1 datos preparados'!A581</f>
        <v/>
      </c>
      <c r="B588" s="5">
        <f>'1 datos preparados'!U581</f>
        <v/>
      </c>
      <c r="C588">
        <f>'1 datos preparados'!B581</f>
        <v/>
      </c>
      <c r="D588" s="7">
        <f>'1 datos preparados'!C581</f>
        <v/>
      </c>
      <c r="E588" s="7">
        <f>'1 datos preparados'!D581</f>
        <v/>
      </c>
      <c r="F588" s="7">
        <f>'1 datos preparados'!E581</f>
        <v/>
      </c>
      <c r="G588" s="7">
        <f>'1 datos preparados'!F581</f>
        <v/>
      </c>
      <c r="H588" s="7">
        <f>'1 datos preparados'!G581</f>
        <v/>
      </c>
      <c r="I588" s="7">
        <f>'1 datos preparados'!H581</f>
        <v/>
      </c>
      <c r="J588" s="7">
        <f>'1 datos preparados'!I581</f>
        <v/>
      </c>
      <c r="K588" s="7">
        <f>'1 datos preparados'!J581</f>
        <v/>
      </c>
      <c r="L588" s="7">
        <f>'1 datos preparados'!K581</f>
        <v/>
      </c>
      <c r="M588" s="7">
        <f>'1 datos preparados'!L581</f>
        <v/>
      </c>
      <c r="N588" s="7">
        <f>'1 datos preparados'!M581</f>
        <v/>
      </c>
      <c r="O588" s="7">
        <f>'1 datos preparados'!N581</f>
        <v/>
      </c>
      <c r="P588" s="7">
        <f>'1 datos preparados'!O581</f>
        <v/>
      </c>
      <c r="Q588" s="7">
        <f>'1 datos preparados'!P581</f>
        <v/>
      </c>
      <c r="R588" s="7">
        <f>'1 datos preparados'!Q581</f>
        <v/>
      </c>
      <c r="S588" s="7">
        <f>'1 datos preparados'!R581</f>
        <v/>
      </c>
      <c r="T588" s="7">
        <f>'1 datos preparados'!S581</f>
        <v/>
      </c>
      <c r="U588" s="7">
        <f>'1 datos preparados'!T581</f>
        <v/>
      </c>
      <c r="V588" s="8">
        <f>$AE$12+D588*$AE$13+E588*$AE$14+F588*$AE$15+G588*$AE$16+H588*$AE$17+I588*$AE$18+J588*$AE$19+K588*$AE$20+L588*$AE$21+M588*$AE$22+N588*$AE$23+O588*$AE$24+P588*$AE$25+Q588*$AE$26+R588*$AE$27+S588*$AE$28+T588*$AE$29+U588*$AE$30</f>
        <v/>
      </c>
      <c r="W588" s="8">
        <f>1/(1+EXP(-V588))</f>
        <v/>
      </c>
      <c r="X588" s="9">
        <f>-IF(C588=1,LN(W588),LN(1-W588))</f>
        <v/>
      </c>
      <c r="Y588" s="8">
        <f>IF(C588=1,$AE$32,$AE$33)</f>
        <v/>
      </c>
      <c r="Z588" s="9">
        <f>Y588*X588</f>
        <v/>
      </c>
      <c r="AA588" s="10">
        <f>IF(W588&gt;$AE$34,1,0)</f>
        <v/>
      </c>
      <c r="AB588">
        <f>IF(AA588=C588,1,0)</f>
        <v/>
      </c>
    </row>
    <row r="589">
      <c r="A589">
        <f>'1 datos preparados'!A582</f>
        <v/>
      </c>
      <c r="B589" s="5">
        <f>'1 datos preparados'!U582</f>
        <v/>
      </c>
      <c r="C589">
        <f>'1 datos preparados'!B582</f>
        <v/>
      </c>
      <c r="D589" s="7">
        <f>'1 datos preparados'!C582</f>
        <v/>
      </c>
      <c r="E589" s="7">
        <f>'1 datos preparados'!D582</f>
        <v/>
      </c>
      <c r="F589" s="7">
        <f>'1 datos preparados'!E582</f>
        <v/>
      </c>
      <c r="G589" s="7">
        <f>'1 datos preparados'!F582</f>
        <v/>
      </c>
      <c r="H589" s="7">
        <f>'1 datos preparados'!G582</f>
        <v/>
      </c>
      <c r="I589" s="7">
        <f>'1 datos preparados'!H582</f>
        <v/>
      </c>
      <c r="J589" s="7">
        <f>'1 datos preparados'!I582</f>
        <v/>
      </c>
      <c r="K589" s="7">
        <f>'1 datos preparados'!J582</f>
        <v/>
      </c>
      <c r="L589" s="7">
        <f>'1 datos preparados'!K582</f>
        <v/>
      </c>
      <c r="M589" s="7">
        <f>'1 datos preparados'!L582</f>
        <v/>
      </c>
      <c r="N589" s="7">
        <f>'1 datos preparados'!M582</f>
        <v/>
      </c>
      <c r="O589" s="7">
        <f>'1 datos preparados'!N582</f>
        <v/>
      </c>
      <c r="P589" s="7">
        <f>'1 datos preparados'!O582</f>
        <v/>
      </c>
      <c r="Q589" s="7">
        <f>'1 datos preparados'!P582</f>
        <v/>
      </c>
      <c r="R589" s="7">
        <f>'1 datos preparados'!Q582</f>
        <v/>
      </c>
      <c r="S589" s="7">
        <f>'1 datos preparados'!R582</f>
        <v/>
      </c>
      <c r="T589" s="7">
        <f>'1 datos preparados'!S582</f>
        <v/>
      </c>
      <c r="U589" s="7">
        <f>'1 datos preparados'!T582</f>
        <v/>
      </c>
      <c r="V589" s="8">
        <f>$AE$12+D589*$AE$13+E589*$AE$14+F589*$AE$15+G589*$AE$16+H589*$AE$17+I589*$AE$18+J589*$AE$19+K589*$AE$20+L589*$AE$21+M589*$AE$22+N589*$AE$23+O589*$AE$24+P589*$AE$25+Q589*$AE$26+R589*$AE$27+S589*$AE$28+T589*$AE$29+U589*$AE$30</f>
        <v/>
      </c>
      <c r="W589" s="8">
        <f>1/(1+EXP(-V589))</f>
        <v/>
      </c>
      <c r="X589" s="9">
        <f>-IF(C589=1,LN(W589),LN(1-W589))</f>
        <v/>
      </c>
      <c r="Y589" s="8">
        <f>IF(C589=1,$AE$32,$AE$33)</f>
        <v/>
      </c>
      <c r="Z589" s="9">
        <f>Y589*X589</f>
        <v/>
      </c>
      <c r="AA589" s="10">
        <f>IF(W589&gt;$AE$34,1,0)</f>
        <v/>
      </c>
      <c r="AB589">
        <f>IF(AA589=C589,1,0)</f>
        <v/>
      </c>
    </row>
    <row r="590">
      <c r="A590">
        <f>'1 datos preparados'!A583</f>
        <v/>
      </c>
      <c r="B590" s="5">
        <f>'1 datos preparados'!U583</f>
        <v/>
      </c>
      <c r="C590">
        <f>'1 datos preparados'!B583</f>
        <v/>
      </c>
      <c r="D590" s="7">
        <f>'1 datos preparados'!C583</f>
        <v/>
      </c>
      <c r="E590" s="7">
        <f>'1 datos preparados'!D583</f>
        <v/>
      </c>
      <c r="F590" s="7">
        <f>'1 datos preparados'!E583</f>
        <v/>
      </c>
      <c r="G590" s="7">
        <f>'1 datos preparados'!F583</f>
        <v/>
      </c>
      <c r="H590" s="7">
        <f>'1 datos preparados'!G583</f>
        <v/>
      </c>
      <c r="I590" s="7">
        <f>'1 datos preparados'!H583</f>
        <v/>
      </c>
      <c r="J590" s="7">
        <f>'1 datos preparados'!I583</f>
        <v/>
      </c>
      <c r="K590" s="7">
        <f>'1 datos preparados'!J583</f>
        <v/>
      </c>
      <c r="L590" s="7">
        <f>'1 datos preparados'!K583</f>
        <v/>
      </c>
      <c r="M590" s="7">
        <f>'1 datos preparados'!L583</f>
        <v/>
      </c>
      <c r="N590" s="7">
        <f>'1 datos preparados'!M583</f>
        <v/>
      </c>
      <c r="O590" s="7">
        <f>'1 datos preparados'!N583</f>
        <v/>
      </c>
      <c r="P590" s="7">
        <f>'1 datos preparados'!O583</f>
        <v/>
      </c>
      <c r="Q590" s="7">
        <f>'1 datos preparados'!P583</f>
        <v/>
      </c>
      <c r="R590" s="7">
        <f>'1 datos preparados'!Q583</f>
        <v/>
      </c>
      <c r="S590" s="7">
        <f>'1 datos preparados'!R583</f>
        <v/>
      </c>
      <c r="T590" s="7">
        <f>'1 datos preparados'!S583</f>
        <v/>
      </c>
      <c r="U590" s="7">
        <f>'1 datos preparados'!T583</f>
        <v/>
      </c>
      <c r="V590" s="8">
        <f>$AE$12+D590*$AE$13+E590*$AE$14+F590*$AE$15+G590*$AE$16+H590*$AE$17+I590*$AE$18+J590*$AE$19+K590*$AE$20+L590*$AE$21+M590*$AE$22+N590*$AE$23+O590*$AE$24+P590*$AE$25+Q590*$AE$26+R590*$AE$27+S590*$AE$28+T590*$AE$29+U590*$AE$30</f>
        <v/>
      </c>
      <c r="W590" s="8">
        <f>1/(1+EXP(-V590))</f>
        <v/>
      </c>
      <c r="X590" s="9">
        <f>-IF(C590=1,LN(W590),LN(1-W590))</f>
        <v/>
      </c>
      <c r="Y590" s="8">
        <f>IF(C590=1,$AE$32,$AE$33)</f>
        <v/>
      </c>
      <c r="Z590" s="9">
        <f>Y590*X590</f>
        <v/>
      </c>
      <c r="AA590" s="10">
        <f>IF(W590&gt;$AE$34,1,0)</f>
        <v/>
      </c>
      <c r="AB590">
        <f>IF(AA590=C590,1,0)</f>
        <v/>
      </c>
    </row>
    <row r="591">
      <c r="A591">
        <f>'1 datos preparados'!A584</f>
        <v/>
      </c>
      <c r="B591" s="5">
        <f>'1 datos preparados'!U584</f>
        <v/>
      </c>
      <c r="C591">
        <f>'1 datos preparados'!B584</f>
        <v/>
      </c>
      <c r="D591" s="7">
        <f>'1 datos preparados'!C584</f>
        <v/>
      </c>
      <c r="E591" s="7">
        <f>'1 datos preparados'!D584</f>
        <v/>
      </c>
      <c r="F591" s="7">
        <f>'1 datos preparados'!E584</f>
        <v/>
      </c>
      <c r="G591" s="7">
        <f>'1 datos preparados'!F584</f>
        <v/>
      </c>
      <c r="H591" s="7">
        <f>'1 datos preparados'!G584</f>
        <v/>
      </c>
      <c r="I591" s="7">
        <f>'1 datos preparados'!H584</f>
        <v/>
      </c>
      <c r="J591" s="7">
        <f>'1 datos preparados'!I584</f>
        <v/>
      </c>
      <c r="K591" s="7">
        <f>'1 datos preparados'!J584</f>
        <v/>
      </c>
      <c r="L591" s="7">
        <f>'1 datos preparados'!K584</f>
        <v/>
      </c>
      <c r="M591" s="7">
        <f>'1 datos preparados'!L584</f>
        <v/>
      </c>
      <c r="N591" s="7">
        <f>'1 datos preparados'!M584</f>
        <v/>
      </c>
      <c r="O591" s="7">
        <f>'1 datos preparados'!N584</f>
        <v/>
      </c>
      <c r="P591" s="7">
        <f>'1 datos preparados'!O584</f>
        <v/>
      </c>
      <c r="Q591" s="7">
        <f>'1 datos preparados'!P584</f>
        <v/>
      </c>
      <c r="R591" s="7">
        <f>'1 datos preparados'!Q584</f>
        <v/>
      </c>
      <c r="S591" s="7">
        <f>'1 datos preparados'!R584</f>
        <v/>
      </c>
      <c r="T591" s="7">
        <f>'1 datos preparados'!S584</f>
        <v/>
      </c>
      <c r="U591" s="7">
        <f>'1 datos preparados'!T584</f>
        <v/>
      </c>
      <c r="V591" s="8">
        <f>$AE$12+D591*$AE$13+E591*$AE$14+F591*$AE$15+G591*$AE$16+H591*$AE$17+I591*$AE$18+J591*$AE$19+K591*$AE$20+L591*$AE$21+M591*$AE$22+N591*$AE$23+O591*$AE$24+P591*$AE$25+Q591*$AE$26+R591*$AE$27+S591*$AE$28+T591*$AE$29+U591*$AE$30</f>
        <v/>
      </c>
      <c r="W591" s="8">
        <f>1/(1+EXP(-V591))</f>
        <v/>
      </c>
      <c r="X591" s="9">
        <f>-IF(C591=1,LN(W591),LN(1-W591))</f>
        <v/>
      </c>
      <c r="Y591" s="8">
        <f>IF(C591=1,$AE$32,$AE$33)</f>
        <v/>
      </c>
      <c r="Z591" s="9">
        <f>Y591*X591</f>
        <v/>
      </c>
      <c r="AA591" s="10">
        <f>IF(W591&gt;$AE$34,1,0)</f>
        <v/>
      </c>
      <c r="AB591">
        <f>IF(AA591=C591,1,0)</f>
        <v/>
      </c>
    </row>
    <row r="592">
      <c r="A592">
        <f>'1 datos preparados'!A585</f>
        <v/>
      </c>
      <c r="B592" s="5">
        <f>'1 datos preparados'!U585</f>
        <v/>
      </c>
      <c r="C592">
        <f>'1 datos preparados'!B585</f>
        <v/>
      </c>
      <c r="D592" s="7">
        <f>'1 datos preparados'!C585</f>
        <v/>
      </c>
      <c r="E592" s="7">
        <f>'1 datos preparados'!D585</f>
        <v/>
      </c>
      <c r="F592" s="7">
        <f>'1 datos preparados'!E585</f>
        <v/>
      </c>
      <c r="G592" s="7">
        <f>'1 datos preparados'!F585</f>
        <v/>
      </c>
      <c r="H592" s="7">
        <f>'1 datos preparados'!G585</f>
        <v/>
      </c>
      <c r="I592" s="7">
        <f>'1 datos preparados'!H585</f>
        <v/>
      </c>
      <c r="J592" s="7">
        <f>'1 datos preparados'!I585</f>
        <v/>
      </c>
      <c r="K592" s="7">
        <f>'1 datos preparados'!J585</f>
        <v/>
      </c>
      <c r="L592" s="7">
        <f>'1 datos preparados'!K585</f>
        <v/>
      </c>
      <c r="M592" s="7">
        <f>'1 datos preparados'!L585</f>
        <v/>
      </c>
      <c r="N592" s="7">
        <f>'1 datos preparados'!M585</f>
        <v/>
      </c>
      <c r="O592" s="7">
        <f>'1 datos preparados'!N585</f>
        <v/>
      </c>
      <c r="P592" s="7">
        <f>'1 datos preparados'!O585</f>
        <v/>
      </c>
      <c r="Q592" s="7">
        <f>'1 datos preparados'!P585</f>
        <v/>
      </c>
      <c r="R592" s="7">
        <f>'1 datos preparados'!Q585</f>
        <v/>
      </c>
      <c r="S592" s="7">
        <f>'1 datos preparados'!R585</f>
        <v/>
      </c>
      <c r="T592" s="7">
        <f>'1 datos preparados'!S585</f>
        <v/>
      </c>
      <c r="U592" s="7">
        <f>'1 datos preparados'!T585</f>
        <v/>
      </c>
      <c r="V592" s="8">
        <f>$AE$12+D592*$AE$13+E592*$AE$14+F592*$AE$15+G592*$AE$16+H592*$AE$17+I592*$AE$18+J592*$AE$19+K592*$AE$20+L592*$AE$21+M592*$AE$22+N592*$AE$23+O592*$AE$24+P592*$AE$25+Q592*$AE$26+R592*$AE$27+S592*$AE$28+T592*$AE$29+U592*$AE$30</f>
        <v/>
      </c>
      <c r="W592" s="8">
        <f>1/(1+EXP(-V592))</f>
        <v/>
      </c>
      <c r="X592" s="9">
        <f>-IF(C592=1,LN(W592),LN(1-W592))</f>
        <v/>
      </c>
      <c r="Y592" s="8">
        <f>IF(C592=1,$AE$32,$AE$33)</f>
        <v/>
      </c>
      <c r="Z592" s="9">
        <f>Y592*X592</f>
        <v/>
      </c>
      <c r="AA592" s="10">
        <f>IF(W592&gt;$AE$34,1,0)</f>
        <v/>
      </c>
      <c r="AB592">
        <f>IF(AA592=C592,1,0)</f>
        <v/>
      </c>
    </row>
    <row r="593">
      <c r="A593">
        <f>'1 datos preparados'!A586</f>
        <v/>
      </c>
      <c r="B593" s="5">
        <f>'1 datos preparados'!U586</f>
        <v/>
      </c>
      <c r="C593">
        <f>'1 datos preparados'!B586</f>
        <v/>
      </c>
      <c r="D593" s="7">
        <f>'1 datos preparados'!C586</f>
        <v/>
      </c>
      <c r="E593" s="7">
        <f>'1 datos preparados'!D586</f>
        <v/>
      </c>
      <c r="F593" s="7">
        <f>'1 datos preparados'!E586</f>
        <v/>
      </c>
      <c r="G593" s="7">
        <f>'1 datos preparados'!F586</f>
        <v/>
      </c>
      <c r="H593" s="7">
        <f>'1 datos preparados'!G586</f>
        <v/>
      </c>
      <c r="I593" s="7">
        <f>'1 datos preparados'!H586</f>
        <v/>
      </c>
      <c r="J593" s="7">
        <f>'1 datos preparados'!I586</f>
        <v/>
      </c>
      <c r="K593" s="7">
        <f>'1 datos preparados'!J586</f>
        <v/>
      </c>
      <c r="L593" s="7">
        <f>'1 datos preparados'!K586</f>
        <v/>
      </c>
      <c r="M593" s="7">
        <f>'1 datos preparados'!L586</f>
        <v/>
      </c>
      <c r="N593" s="7">
        <f>'1 datos preparados'!M586</f>
        <v/>
      </c>
      <c r="O593" s="7">
        <f>'1 datos preparados'!N586</f>
        <v/>
      </c>
      <c r="P593" s="7">
        <f>'1 datos preparados'!O586</f>
        <v/>
      </c>
      <c r="Q593" s="7">
        <f>'1 datos preparados'!P586</f>
        <v/>
      </c>
      <c r="R593" s="7">
        <f>'1 datos preparados'!Q586</f>
        <v/>
      </c>
      <c r="S593" s="7">
        <f>'1 datos preparados'!R586</f>
        <v/>
      </c>
      <c r="T593" s="7">
        <f>'1 datos preparados'!S586</f>
        <v/>
      </c>
      <c r="U593" s="7">
        <f>'1 datos preparados'!T586</f>
        <v/>
      </c>
      <c r="V593" s="8">
        <f>$AE$12+D593*$AE$13+E593*$AE$14+F593*$AE$15+G593*$AE$16+H593*$AE$17+I593*$AE$18+J593*$AE$19+K593*$AE$20+L593*$AE$21+M593*$AE$22+N593*$AE$23+O593*$AE$24+P593*$AE$25+Q593*$AE$26+R593*$AE$27+S593*$AE$28+T593*$AE$29+U593*$AE$30</f>
        <v/>
      </c>
      <c r="W593" s="8">
        <f>1/(1+EXP(-V593))</f>
        <v/>
      </c>
      <c r="X593" s="9">
        <f>-IF(C593=1,LN(W593),LN(1-W593))</f>
        <v/>
      </c>
      <c r="Y593" s="8">
        <f>IF(C593=1,$AE$32,$AE$33)</f>
        <v/>
      </c>
      <c r="Z593" s="9">
        <f>Y593*X593</f>
        <v/>
      </c>
      <c r="AA593" s="10">
        <f>IF(W593&gt;$AE$34,1,0)</f>
        <v/>
      </c>
      <c r="AB593">
        <f>IF(AA593=C593,1,0)</f>
        <v/>
      </c>
    </row>
    <row r="594">
      <c r="A594">
        <f>'1 datos preparados'!A587</f>
        <v/>
      </c>
      <c r="B594" s="5">
        <f>'1 datos preparados'!U587</f>
        <v/>
      </c>
      <c r="C594">
        <f>'1 datos preparados'!B587</f>
        <v/>
      </c>
      <c r="D594" s="7">
        <f>'1 datos preparados'!C587</f>
        <v/>
      </c>
      <c r="E594" s="7">
        <f>'1 datos preparados'!D587</f>
        <v/>
      </c>
      <c r="F594" s="7">
        <f>'1 datos preparados'!E587</f>
        <v/>
      </c>
      <c r="G594" s="7">
        <f>'1 datos preparados'!F587</f>
        <v/>
      </c>
      <c r="H594" s="7">
        <f>'1 datos preparados'!G587</f>
        <v/>
      </c>
      <c r="I594" s="7">
        <f>'1 datos preparados'!H587</f>
        <v/>
      </c>
      <c r="J594" s="7">
        <f>'1 datos preparados'!I587</f>
        <v/>
      </c>
      <c r="K594" s="7">
        <f>'1 datos preparados'!J587</f>
        <v/>
      </c>
      <c r="L594" s="7">
        <f>'1 datos preparados'!K587</f>
        <v/>
      </c>
      <c r="M594" s="7">
        <f>'1 datos preparados'!L587</f>
        <v/>
      </c>
      <c r="N594" s="7">
        <f>'1 datos preparados'!M587</f>
        <v/>
      </c>
      <c r="O594" s="7">
        <f>'1 datos preparados'!N587</f>
        <v/>
      </c>
      <c r="P594" s="7">
        <f>'1 datos preparados'!O587</f>
        <v/>
      </c>
      <c r="Q594" s="7">
        <f>'1 datos preparados'!P587</f>
        <v/>
      </c>
      <c r="R594" s="7">
        <f>'1 datos preparados'!Q587</f>
        <v/>
      </c>
      <c r="S594" s="7">
        <f>'1 datos preparados'!R587</f>
        <v/>
      </c>
      <c r="T594" s="7">
        <f>'1 datos preparados'!S587</f>
        <v/>
      </c>
      <c r="U594" s="7">
        <f>'1 datos preparados'!T587</f>
        <v/>
      </c>
      <c r="V594" s="8">
        <f>$AE$12+D594*$AE$13+E594*$AE$14+F594*$AE$15+G594*$AE$16+H594*$AE$17+I594*$AE$18+J594*$AE$19+K594*$AE$20+L594*$AE$21+M594*$AE$22+N594*$AE$23+O594*$AE$24+P594*$AE$25+Q594*$AE$26+R594*$AE$27+S594*$AE$28+T594*$AE$29+U594*$AE$30</f>
        <v/>
      </c>
      <c r="W594" s="8">
        <f>1/(1+EXP(-V594))</f>
        <v/>
      </c>
      <c r="X594" s="9">
        <f>-IF(C594=1,LN(W594),LN(1-W594))</f>
        <v/>
      </c>
      <c r="Y594" s="8">
        <f>IF(C594=1,$AE$32,$AE$33)</f>
        <v/>
      </c>
      <c r="Z594" s="9">
        <f>Y594*X594</f>
        <v/>
      </c>
      <c r="AA594" s="10">
        <f>IF(W594&gt;$AE$34,1,0)</f>
        <v/>
      </c>
      <c r="AB594">
        <f>IF(AA594=C594,1,0)</f>
        <v/>
      </c>
    </row>
    <row r="595">
      <c r="A595">
        <f>'1 datos preparados'!A588</f>
        <v/>
      </c>
      <c r="B595" s="5">
        <f>'1 datos preparados'!U588</f>
        <v/>
      </c>
      <c r="C595">
        <f>'1 datos preparados'!B588</f>
        <v/>
      </c>
      <c r="D595" s="7">
        <f>'1 datos preparados'!C588</f>
        <v/>
      </c>
      <c r="E595" s="7">
        <f>'1 datos preparados'!D588</f>
        <v/>
      </c>
      <c r="F595" s="7">
        <f>'1 datos preparados'!E588</f>
        <v/>
      </c>
      <c r="G595" s="7">
        <f>'1 datos preparados'!F588</f>
        <v/>
      </c>
      <c r="H595" s="7">
        <f>'1 datos preparados'!G588</f>
        <v/>
      </c>
      <c r="I595" s="7">
        <f>'1 datos preparados'!H588</f>
        <v/>
      </c>
      <c r="J595" s="7">
        <f>'1 datos preparados'!I588</f>
        <v/>
      </c>
      <c r="K595" s="7">
        <f>'1 datos preparados'!J588</f>
        <v/>
      </c>
      <c r="L595" s="7">
        <f>'1 datos preparados'!K588</f>
        <v/>
      </c>
      <c r="M595" s="7">
        <f>'1 datos preparados'!L588</f>
        <v/>
      </c>
      <c r="N595" s="7">
        <f>'1 datos preparados'!M588</f>
        <v/>
      </c>
      <c r="O595" s="7">
        <f>'1 datos preparados'!N588</f>
        <v/>
      </c>
      <c r="P595" s="7">
        <f>'1 datos preparados'!O588</f>
        <v/>
      </c>
      <c r="Q595" s="7">
        <f>'1 datos preparados'!P588</f>
        <v/>
      </c>
      <c r="R595" s="7">
        <f>'1 datos preparados'!Q588</f>
        <v/>
      </c>
      <c r="S595" s="7">
        <f>'1 datos preparados'!R588</f>
        <v/>
      </c>
      <c r="T595" s="7">
        <f>'1 datos preparados'!S588</f>
        <v/>
      </c>
      <c r="U595" s="7">
        <f>'1 datos preparados'!T588</f>
        <v/>
      </c>
      <c r="V595" s="8">
        <f>$AE$12+D595*$AE$13+E595*$AE$14+F595*$AE$15+G595*$AE$16+H595*$AE$17+I595*$AE$18+J595*$AE$19+K595*$AE$20+L595*$AE$21+M595*$AE$22+N595*$AE$23+O595*$AE$24+P595*$AE$25+Q595*$AE$26+R595*$AE$27+S595*$AE$28+T595*$AE$29+U595*$AE$30</f>
        <v/>
      </c>
      <c r="W595" s="8">
        <f>1/(1+EXP(-V595))</f>
        <v/>
      </c>
      <c r="X595" s="9">
        <f>-IF(C595=1,LN(W595),LN(1-W595))</f>
        <v/>
      </c>
      <c r="Y595" s="8">
        <f>IF(C595=1,$AE$32,$AE$33)</f>
        <v/>
      </c>
      <c r="Z595" s="9">
        <f>Y595*X595</f>
        <v/>
      </c>
      <c r="AA595" s="10">
        <f>IF(W595&gt;$AE$34,1,0)</f>
        <v/>
      </c>
      <c r="AB595">
        <f>IF(AA595=C595,1,0)</f>
        <v/>
      </c>
    </row>
    <row r="596">
      <c r="A596">
        <f>'1 datos preparados'!A589</f>
        <v/>
      </c>
      <c r="B596" s="5">
        <f>'1 datos preparados'!U589</f>
        <v/>
      </c>
      <c r="C596">
        <f>'1 datos preparados'!B589</f>
        <v/>
      </c>
      <c r="D596" s="7">
        <f>'1 datos preparados'!C589</f>
        <v/>
      </c>
      <c r="E596" s="7">
        <f>'1 datos preparados'!D589</f>
        <v/>
      </c>
      <c r="F596" s="7">
        <f>'1 datos preparados'!E589</f>
        <v/>
      </c>
      <c r="G596" s="7">
        <f>'1 datos preparados'!F589</f>
        <v/>
      </c>
      <c r="H596" s="7">
        <f>'1 datos preparados'!G589</f>
        <v/>
      </c>
      <c r="I596" s="7">
        <f>'1 datos preparados'!H589</f>
        <v/>
      </c>
      <c r="J596" s="7">
        <f>'1 datos preparados'!I589</f>
        <v/>
      </c>
      <c r="K596" s="7">
        <f>'1 datos preparados'!J589</f>
        <v/>
      </c>
      <c r="L596" s="7">
        <f>'1 datos preparados'!K589</f>
        <v/>
      </c>
      <c r="M596" s="7">
        <f>'1 datos preparados'!L589</f>
        <v/>
      </c>
      <c r="N596" s="7">
        <f>'1 datos preparados'!M589</f>
        <v/>
      </c>
      <c r="O596" s="7">
        <f>'1 datos preparados'!N589</f>
        <v/>
      </c>
      <c r="P596" s="7">
        <f>'1 datos preparados'!O589</f>
        <v/>
      </c>
      <c r="Q596" s="7">
        <f>'1 datos preparados'!P589</f>
        <v/>
      </c>
      <c r="R596" s="7">
        <f>'1 datos preparados'!Q589</f>
        <v/>
      </c>
      <c r="S596" s="7">
        <f>'1 datos preparados'!R589</f>
        <v/>
      </c>
      <c r="T596" s="7">
        <f>'1 datos preparados'!S589</f>
        <v/>
      </c>
      <c r="U596" s="7">
        <f>'1 datos preparados'!T589</f>
        <v/>
      </c>
      <c r="V596" s="8">
        <f>$AE$12+D596*$AE$13+E596*$AE$14+F596*$AE$15+G596*$AE$16+H596*$AE$17+I596*$AE$18+J596*$AE$19+K596*$AE$20+L596*$AE$21+M596*$AE$22+N596*$AE$23+O596*$AE$24+P596*$AE$25+Q596*$AE$26+R596*$AE$27+S596*$AE$28+T596*$AE$29+U596*$AE$30</f>
        <v/>
      </c>
      <c r="W596" s="8">
        <f>1/(1+EXP(-V596))</f>
        <v/>
      </c>
      <c r="X596" s="9">
        <f>-IF(C596=1,LN(W596),LN(1-W596))</f>
        <v/>
      </c>
      <c r="Y596" s="8">
        <f>IF(C596=1,$AE$32,$AE$33)</f>
        <v/>
      </c>
      <c r="Z596" s="9">
        <f>Y596*X596</f>
        <v/>
      </c>
      <c r="AA596" s="10">
        <f>IF(W596&gt;$AE$34,1,0)</f>
        <v/>
      </c>
      <c r="AB596">
        <f>IF(AA596=C596,1,0)</f>
        <v/>
      </c>
    </row>
    <row r="597">
      <c r="A597">
        <f>'1 datos preparados'!A590</f>
        <v/>
      </c>
      <c r="B597" s="5">
        <f>'1 datos preparados'!U590</f>
        <v/>
      </c>
      <c r="C597">
        <f>'1 datos preparados'!B590</f>
        <v/>
      </c>
      <c r="D597" s="7">
        <f>'1 datos preparados'!C590</f>
        <v/>
      </c>
      <c r="E597" s="7">
        <f>'1 datos preparados'!D590</f>
        <v/>
      </c>
      <c r="F597" s="7">
        <f>'1 datos preparados'!E590</f>
        <v/>
      </c>
      <c r="G597" s="7">
        <f>'1 datos preparados'!F590</f>
        <v/>
      </c>
      <c r="H597" s="7">
        <f>'1 datos preparados'!G590</f>
        <v/>
      </c>
      <c r="I597" s="7">
        <f>'1 datos preparados'!H590</f>
        <v/>
      </c>
      <c r="J597" s="7">
        <f>'1 datos preparados'!I590</f>
        <v/>
      </c>
      <c r="K597" s="7">
        <f>'1 datos preparados'!J590</f>
        <v/>
      </c>
      <c r="L597" s="7">
        <f>'1 datos preparados'!K590</f>
        <v/>
      </c>
      <c r="M597" s="7">
        <f>'1 datos preparados'!L590</f>
        <v/>
      </c>
      <c r="N597" s="7">
        <f>'1 datos preparados'!M590</f>
        <v/>
      </c>
      <c r="O597" s="7">
        <f>'1 datos preparados'!N590</f>
        <v/>
      </c>
      <c r="P597" s="7">
        <f>'1 datos preparados'!O590</f>
        <v/>
      </c>
      <c r="Q597" s="7">
        <f>'1 datos preparados'!P590</f>
        <v/>
      </c>
      <c r="R597" s="7">
        <f>'1 datos preparados'!Q590</f>
        <v/>
      </c>
      <c r="S597" s="7">
        <f>'1 datos preparados'!R590</f>
        <v/>
      </c>
      <c r="T597" s="7">
        <f>'1 datos preparados'!S590</f>
        <v/>
      </c>
      <c r="U597" s="7">
        <f>'1 datos preparados'!T590</f>
        <v/>
      </c>
      <c r="V597" s="8">
        <f>$AE$12+D597*$AE$13+E597*$AE$14+F597*$AE$15+G597*$AE$16+H597*$AE$17+I597*$AE$18+J597*$AE$19+K597*$AE$20+L597*$AE$21+M597*$AE$22+N597*$AE$23+O597*$AE$24+P597*$AE$25+Q597*$AE$26+R597*$AE$27+S597*$AE$28+T597*$AE$29+U597*$AE$30</f>
        <v/>
      </c>
      <c r="W597" s="8">
        <f>1/(1+EXP(-V597))</f>
        <v/>
      </c>
      <c r="X597" s="9">
        <f>-IF(C597=1,LN(W597),LN(1-W597))</f>
        <v/>
      </c>
      <c r="Y597" s="8">
        <f>IF(C597=1,$AE$32,$AE$33)</f>
        <v/>
      </c>
      <c r="Z597" s="9">
        <f>Y597*X597</f>
        <v/>
      </c>
      <c r="AA597" s="10">
        <f>IF(W597&gt;$AE$34,1,0)</f>
        <v/>
      </c>
      <c r="AB597">
        <f>IF(AA597=C597,1,0)</f>
        <v/>
      </c>
    </row>
    <row r="598">
      <c r="A598">
        <f>'1 datos preparados'!A591</f>
        <v/>
      </c>
      <c r="B598" s="5">
        <f>'1 datos preparados'!U591</f>
        <v/>
      </c>
      <c r="C598">
        <f>'1 datos preparados'!B591</f>
        <v/>
      </c>
      <c r="D598" s="7">
        <f>'1 datos preparados'!C591</f>
        <v/>
      </c>
      <c r="E598" s="7">
        <f>'1 datos preparados'!D591</f>
        <v/>
      </c>
      <c r="F598" s="7">
        <f>'1 datos preparados'!E591</f>
        <v/>
      </c>
      <c r="G598" s="7">
        <f>'1 datos preparados'!F591</f>
        <v/>
      </c>
      <c r="H598" s="7">
        <f>'1 datos preparados'!G591</f>
        <v/>
      </c>
      <c r="I598" s="7">
        <f>'1 datos preparados'!H591</f>
        <v/>
      </c>
      <c r="J598" s="7">
        <f>'1 datos preparados'!I591</f>
        <v/>
      </c>
      <c r="K598" s="7">
        <f>'1 datos preparados'!J591</f>
        <v/>
      </c>
      <c r="L598" s="7">
        <f>'1 datos preparados'!K591</f>
        <v/>
      </c>
      <c r="M598" s="7">
        <f>'1 datos preparados'!L591</f>
        <v/>
      </c>
      <c r="N598" s="7">
        <f>'1 datos preparados'!M591</f>
        <v/>
      </c>
      <c r="O598" s="7">
        <f>'1 datos preparados'!N591</f>
        <v/>
      </c>
      <c r="P598" s="7">
        <f>'1 datos preparados'!O591</f>
        <v/>
      </c>
      <c r="Q598" s="7">
        <f>'1 datos preparados'!P591</f>
        <v/>
      </c>
      <c r="R598" s="7">
        <f>'1 datos preparados'!Q591</f>
        <v/>
      </c>
      <c r="S598" s="7">
        <f>'1 datos preparados'!R591</f>
        <v/>
      </c>
      <c r="T598" s="7">
        <f>'1 datos preparados'!S591</f>
        <v/>
      </c>
      <c r="U598" s="7">
        <f>'1 datos preparados'!T591</f>
        <v/>
      </c>
      <c r="V598" s="8">
        <f>$AE$12+D598*$AE$13+E598*$AE$14+F598*$AE$15+G598*$AE$16+H598*$AE$17+I598*$AE$18+J598*$AE$19+K598*$AE$20+L598*$AE$21+M598*$AE$22+N598*$AE$23+O598*$AE$24+P598*$AE$25+Q598*$AE$26+R598*$AE$27+S598*$AE$28+T598*$AE$29+U598*$AE$30</f>
        <v/>
      </c>
      <c r="W598" s="8">
        <f>1/(1+EXP(-V598))</f>
        <v/>
      </c>
      <c r="X598" s="9">
        <f>-IF(C598=1,LN(W598),LN(1-W598))</f>
        <v/>
      </c>
      <c r="Y598" s="8">
        <f>IF(C598=1,$AE$32,$AE$33)</f>
        <v/>
      </c>
      <c r="Z598" s="9">
        <f>Y598*X598</f>
        <v/>
      </c>
      <c r="AA598" s="10">
        <f>IF(W598&gt;$AE$34,1,0)</f>
        <v/>
      </c>
      <c r="AB598">
        <f>IF(AA598=C598,1,0)</f>
        <v/>
      </c>
    </row>
    <row r="599">
      <c r="A599">
        <f>'1 datos preparados'!A592</f>
        <v/>
      </c>
      <c r="B599" s="5">
        <f>'1 datos preparados'!U592</f>
        <v/>
      </c>
      <c r="C599">
        <f>'1 datos preparados'!B592</f>
        <v/>
      </c>
      <c r="D599" s="7">
        <f>'1 datos preparados'!C592</f>
        <v/>
      </c>
      <c r="E599" s="7">
        <f>'1 datos preparados'!D592</f>
        <v/>
      </c>
      <c r="F599" s="7">
        <f>'1 datos preparados'!E592</f>
        <v/>
      </c>
      <c r="G599" s="7">
        <f>'1 datos preparados'!F592</f>
        <v/>
      </c>
      <c r="H599" s="7">
        <f>'1 datos preparados'!G592</f>
        <v/>
      </c>
      <c r="I599" s="7">
        <f>'1 datos preparados'!H592</f>
        <v/>
      </c>
      <c r="J599" s="7">
        <f>'1 datos preparados'!I592</f>
        <v/>
      </c>
      <c r="K599" s="7">
        <f>'1 datos preparados'!J592</f>
        <v/>
      </c>
      <c r="L599" s="7">
        <f>'1 datos preparados'!K592</f>
        <v/>
      </c>
      <c r="M599" s="7">
        <f>'1 datos preparados'!L592</f>
        <v/>
      </c>
      <c r="N599" s="7">
        <f>'1 datos preparados'!M592</f>
        <v/>
      </c>
      <c r="O599" s="7">
        <f>'1 datos preparados'!N592</f>
        <v/>
      </c>
      <c r="P599" s="7">
        <f>'1 datos preparados'!O592</f>
        <v/>
      </c>
      <c r="Q599" s="7">
        <f>'1 datos preparados'!P592</f>
        <v/>
      </c>
      <c r="R599" s="7">
        <f>'1 datos preparados'!Q592</f>
        <v/>
      </c>
      <c r="S599" s="7">
        <f>'1 datos preparados'!R592</f>
        <v/>
      </c>
      <c r="T599" s="7">
        <f>'1 datos preparados'!S592</f>
        <v/>
      </c>
      <c r="U599" s="7">
        <f>'1 datos preparados'!T592</f>
        <v/>
      </c>
      <c r="V599" s="8">
        <f>$AE$12+D599*$AE$13+E599*$AE$14+F599*$AE$15+G599*$AE$16+H599*$AE$17+I599*$AE$18+J599*$AE$19+K599*$AE$20+L599*$AE$21+M599*$AE$22+N599*$AE$23+O599*$AE$24+P599*$AE$25+Q599*$AE$26+R599*$AE$27+S599*$AE$28+T599*$AE$29+U599*$AE$30</f>
        <v/>
      </c>
      <c r="W599" s="8">
        <f>1/(1+EXP(-V599))</f>
        <v/>
      </c>
      <c r="X599" s="9">
        <f>-IF(C599=1,LN(W599),LN(1-W599))</f>
        <v/>
      </c>
      <c r="Y599" s="8">
        <f>IF(C599=1,$AE$32,$AE$33)</f>
        <v/>
      </c>
      <c r="Z599" s="9">
        <f>Y599*X599</f>
        <v/>
      </c>
      <c r="AA599" s="10">
        <f>IF(W599&gt;$AE$34,1,0)</f>
        <v/>
      </c>
      <c r="AB599">
        <f>IF(AA599=C599,1,0)</f>
        <v/>
      </c>
    </row>
    <row r="600">
      <c r="A600">
        <f>'1 datos preparados'!A593</f>
        <v/>
      </c>
      <c r="B600" s="5">
        <f>'1 datos preparados'!U593</f>
        <v/>
      </c>
      <c r="C600">
        <f>'1 datos preparados'!B593</f>
        <v/>
      </c>
      <c r="D600" s="7">
        <f>'1 datos preparados'!C593</f>
        <v/>
      </c>
      <c r="E600" s="7">
        <f>'1 datos preparados'!D593</f>
        <v/>
      </c>
      <c r="F600" s="7">
        <f>'1 datos preparados'!E593</f>
        <v/>
      </c>
      <c r="G600" s="7">
        <f>'1 datos preparados'!F593</f>
        <v/>
      </c>
      <c r="H600" s="7">
        <f>'1 datos preparados'!G593</f>
        <v/>
      </c>
      <c r="I600" s="7">
        <f>'1 datos preparados'!H593</f>
        <v/>
      </c>
      <c r="J600" s="7">
        <f>'1 datos preparados'!I593</f>
        <v/>
      </c>
      <c r="K600" s="7">
        <f>'1 datos preparados'!J593</f>
        <v/>
      </c>
      <c r="L600" s="7">
        <f>'1 datos preparados'!K593</f>
        <v/>
      </c>
      <c r="M600" s="7">
        <f>'1 datos preparados'!L593</f>
        <v/>
      </c>
      <c r="N600" s="7">
        <f>'1 datos preparados'!M593</f>
        <v/>
      </c>
      <c r="O600" s="7">
        <f>'1 datos preparados'!N593</f>
        <v/>
      </c>
      <c r="P600" s="7">
        <f>'1 datos preparados'!O593</f>
        <v/>
      </c>
      <c r="Q600" s="7">
        <f>'1 datos preparados'!P593</f>
        <v/>
      </c>
      <c r="R600" s="7">
        <f>'1 datos preparados'!Q593</f>
        <v/>
      </c>
      <c r="S600" s="7">
        <f>'1 datos preparados'!R593</f>
        <v/>
      </c>
      <c r="T600" s="7">
        <f>'1 datos preparados'!S593</f>
        <v/>
      </c>
      <c r="U600" s="7">
        <f>'1 datos preparados'!T593</f>
        <v/>
      </c>
      <c r="V600" s="8">
        <f>$AE$12+D600*$AE$13+E600*$AE$14+F600*$AE$15+G600*$AE$16+H600*$AE$17+I600*$AE$18+J600*$AE$19+K600*$AE$20+L600*$AE$21+M600*$AE$22+N600*$AE$23+O600*$AE$24+P600*$AE$25+Q600*$AE$26+R600*$AE$27+S600*$AE$28+T600*$AE$29+U600*$AE$30</f>
        <v/>
      </c>
      <c r="W600" s="8">
        <f>1/(1+EXP(-V600))</f>
        <v/>
      </c>
      <c r="X600" s="9">
        <f>-IF(C600=1,LN(W600),LN(1-W600))</f>
        <v/>
      </c>
      <c r="Y600" s="8">
        <f>IF(C600=1,$AE$32,$AE$33)</f>
        <v/>
      </c>
      <c r="Z600" s="9">
        <f>Y600*X600</f>
        <v/>
      </c>
      <c r="AA600" s="10">
        <f>IF(W600&gt;$AE$34,1,0)</f>
        <v/>
      </c>
      <c r="AB600">
        <f>IF(AA600=C600,1,0)</f>
        <v/>
      </c>
    </row>
    <row r="601">
      <c r="A601">
        <f>'1 datos preparados'!A594</f>
        <v/>
      </c>
      <c r="B601" s="5">
        <f>'1 datos preparados'!U594</f>
        <v/>
      </c>
      <c r="C601">
        <f>'1 datos preparados'!B594</f>
        <v/>
      </c>
      <c r="D601" s="7">
        <f>'1 datos preparados'!C594</f>
        <v/>
      </c>
      <c r="E601" s="7">
        <f>'1 datos preparados'!D594</f>
        <v/>
      </c>
      <c r="F601" s="7">
        <f>'1 datos preparados'!E594</f>
        <v/>
      </c>
      <c r="G601" s="7">
        <f>'1 datos preparados'!F594</f>
        <v/>
      </c>
      <c r="H601" s="7">
        <f>'1 datos preparados'!G594</f>
        <v/>
      </c>
      <c r="I601" s="7">
        <f>'1 datos preparados'!H594</f>
        <v/>
      </c>
      <c r="J601" s="7">
        <f>'1 datos preparados'!I594</f>
        <v/>
      </c>
      <c r="K601" s="7">
        <f>'1 datos preparados'!J594</f>
        <v/>
      </c>
      <c r="L601" s="7">
        <f>'1 datos preparados'!K594</f>
        <v/>
      </c>
      <c r="M601" s="7">
        <f>'1 datos preparados'!L594</f>
        <v/>
      </c>
      <c r="N601" s="7">
        <f>'1 datos preparados'!M594</f>
        <v/>
      </c>
      <c r="O601" s="7">
        <f>'1 datos preparados'!N594</f>
        <v/>
      </c>
      <c r="P601" s="7">
        <f>'1 datos preparados'!O594</f>
        <v/>
      </c>
      <c r="Q601" s="7">
        <f>'1 datos preparados'!P594</f>
        <v/>
      </c>
      <c r="R601" s="7">
        <f>'1 datos preparados'!Q594</f>
        <v/>
      </c>
      <c r="S601" s="7">
        <f>'1 datos preparados'!R594</f>
        <v/>
      </c>
      <c r="T601" s="7">
        <f>'1 datos preparados'!S594</f>
        <v/>
      </c>
      <c r="U601" s="7">
        <f>'1 datos preparados'!T594</f>
        <v/>
      </c>
      <c r="V601" s="8">
        <f>$AE$12+D601*$AE$13+E601*$AE$14+F601*$AE$15+G601*$AE$16+H601*$AE$17+I601*$AE$18+J601*$AE$19+K601*$AE$20+L601*$AE$21+M601*$AE$22+N601*$AE$23+O601*$AE$24+P601*$AE$25+Q601*$AE$26+R601*$AE$27+S601*$AE$28+T601*$AE$29+U601*$AE$30</f>
        <v/>
      </c>
      <c r="W601" s="8">
        <f>1/(1+EXP(-V601))</f>
        <v/>
      </c>
      <c r="X601" s="9">
        <f>-IF(C601=1,LN(W601),LN(1-W601))</f>
        <v/>
      </c>
      <c r="Y601" s="8">
        <f>IF(C601=1,$AE$32,$AE$33)</f>
        <v/>
      </c>
      <c r="Z601" s="9">
        <f>Y601*X601</f>
        <v/>
      </c>
      <c r="AA601" s="10">
        <f>IF(W601&gt;$AE$34,1,0)</f>
        <v/>
      </c>
      <c r="AB601">
        <f>IF(AA601=C601,1,0)</f>
        <v/>
      </c>
    </row>
    <row r="602">
      <c r="A602">
        <f>'1 datos preparados'!A595</f>
        <v/>
      </c>
      <c r="B602" s="5">
        <f>'1 datos preparados'!U595</f>
        <v/>
      </c>
      <c r="C602">
        <f>'1 datos preparados'!B595</f>
        <v/>
      </c>
      <c r="D602" s="7">
        <f>'1 datos preparados'!C595</f>
        <v/>
      </c>
      <c r="E602" s="7">
        <f>'1 datos preparados'!D595</f>
        <v/>
      </c>
      <c r="F602" s="7">
        <f>'1 datos preparados'!E595</f>
        <v/>
      </c>
      <c r="G602" s="7">
        <f>'1 datos preparados'!F595</f>
        <v/>
      </c>
      <c r="H602" s="7">
        <f>'1 datos preparados'!G595</f>
        <v/>
      </c>
      <c r="I602" s="7">
        <f>'1 datos preparados'!H595</f>
        <v/>
      </c>
      <c r="J602" s="7">
        <f>'1 datos preparados'!I595</f>
        <v/>
      </c>
      <c r="K602" s="7">
        <f>'1 datos preparados'!J595</f>
        <v/>
      </c>
      <c r="L602" s="7">
        <f>'1 datos preparados'!K595</f>
        <v/>
      </c>
      <c r="M602" s="7">
        <f>'1 datos preparados'!L595</f>
        <v/>
      </c>
      <c r="N602" s="7">
        <f>'1 datos preparados'!M595</f>
        <v/>
      </c>
      <c r="O602" s="7">
        <f>'1 datos preparados'!N595</f>
        <v/>
      </c>
      <c r="P602" s="7">
        <f>'1 datos preparados'!O595</f>
        <v/>
      </c>
      <c r="Q602" s="7">
        <f>'1 datos preparados'!P595</f>
        <v/>
      </c>
      <c r="R602" s="7">
        <f>'1 datos preparados'!Q595</f>
        <v/>
      </c>
      <c r="S602" s="7">
        <f>'1 datos preparados'!R595</f>
        <v/>
      </c>
      <c r="T602" s="7">
        <f>'1 datos preparados'!S595</f>
        <v/>
      </c>
      <c r="U602" s="7">
        <f>'1 datos preparados'!T595</f>
        <v/>
      </c>
      <c r="V602" s="8">
        <f>$AE$12+D602*$AE$13+E602*$AE$14+F602*$AE$15+G602*$AE$16+H602*$AE$17+I602*$AE$18+J602*$AE$19+K602*$AE$20+L602*$AE$21+M602*$AE$22+N602*$AE$23+O602*$AE$24+P602*$AE$25+Q602*$AE$26+R602*$AE$27+S602*$AE$28+T602*$AE$29+U602*$AE$30</f>
        <v/>
      </c>
      <c r="W602" s="8">
        <f>1/(1+EXP(-V602))</f>
        <v/>
      </c>
      <c r="X602" s="9">
        <f>-IF(C602=1,LN(W602),LN(1-W602))</f>
        <v/>
      </c>
      <c r="Y602" s="8">
        <f>IF(C602=1,$AE$32,$AE$33)</f>
        <v/>
      </c>
      <c r="Z602" s="9">
        <f>Y602*X602</f>
        <v/>
      </c>
      <c r="AA602" s="10">
        <f>IF(W602&gt;$AE$34,1,0)</f>
        <v/>
      </c>
      <c r="AB602">
        <f>IF(AA602=C602,1,0)</f>
        <v/>
      </c>
    </row>
    <row r="603">
      <c r="A603">
        <f>'1 datos preparados'!A596</f>
        <v/>
      </c>
      <c r="B603" s="5">
        <f>'1 datos preparados'!U596</f>
        <v/>
      </c>
      <c r="C603">
        <f>'1 datos preparados'!B596</f>
        <v/>
      </c>
      <c r="D603" s="7">
        <f>'1 datos preparados'!C596</f>
        <v/>
      </c>
      <c r="E603" s="7">
        <f>'1 datos preparados'!D596</f>
        <v/>
      </c>
      <c r="F603" s="7">
        <f>'1 datos preparados'!E596</f>
        <v/>
      </c>
      <c r="G603" s="7">
        <f>'1 datos preparados'!F596</f>
        <v/>
      </c>
      <c r="H603" s="7">
        <f>'1 datos preparados'!G596</f>
        <v/>
      </c>
      <c r="I603" s="7">
        <f>'1 datos preparados'!H596</f>
        <v/>
      </c>
      <c r="J603" s="7">
        <f>'1 datos preparados'!I596</f>
        <v/>
      </c>
      <c r="K603" s="7">
        <f>'1 datos preparados'!J596</f>
        <v/>
      </c>
      <c r="L603" s="7">
        <f>'1 datos preparados'!K596</f>
        <v/>
      </c>
      <c r="M603" s="7">
        <f>'1 datos preparados'!L596</f>
        <v/>
      </c>
      <c r="N603" s="7">
        <f>'1 datos preparados'!M596</f>
        <v/>
      </c>
      <c r="O603" s="7">
        <f>'1 datos preparados'!N596</f>
        <v/>
      </c>
      <c r="P603" s="7">
        <f>'1 datos preparados'!O596</f>
        <v/>
      </c>
      <c r="Q603" s="7">
        <f>'1 datos preparados'!P596</f>
        <v/>
      </c>
      <c r="R603" s="7">
        <f>'1 datos preparados'!Q596</f>
        <v/>
      </c>
      <c r="S603" s="7">
        <f>'1 datos preparados'!R596</f>
        <v/>
      </c>
      <c r="T603" s="7">
        <f>'1 datos preparados'!S596</f>
        <v/>
      </c>
      <c r="U603" s="7">
        <f>'1 datos preparados'!T596</f>
        <v/>
      </c>
      <c r="V603" s="8">
        <f>$AE$12+D603*$AE$13+E603*$AE$14+F603*$AE$15+G603*$AE$16+H603*$AE$17+I603*$AE$18+J603*$AE$19+K603*$AE$20+L603*$AE$21+M603*$AE$22+N603*$AE$23+O603*$AE$24+P603*$AE$25+Q603*$AE$26+R603*$AE$27+S603*$AE$28+T603*$AE$29+U603*$AE$30</f>
        <v/>
      </c>
      <c r="W603" s="8">
        <f>1/(1+EXP(-V603))</f>
        <v/>
      </c>
      <c r="X603" s="9">
        <f>-IF(C603=1,LN(W603),LN(1-W603))</f>
        <v/>
      </c>
      <c r="Y603" s="8">
        <f>IF(C603=1,$AE$32,$AE$33)</f>
        <v/>
      </c>
      <c r="Z603" s="9">
        <f>Y603*X603</f>
        <v/>
      </c>
      <c r="AA603" s="10">
        <f>IF(W603&gt;$AE$34,1,0)</f>
        <v/>
      </c>
      <c r="AB603">
        <f>IF(AA603=C603,1,0)</f>
        <v/>
      </c>
    </row>
    <row r="604">
      <c r="A604">
        <f>'1 datos preparados'!A597</f>
        <v/>
      </c>
      <c r="B604" s="5">
        <f>'1 datos preparados'!U597</f>
        <v/>
      </c>
      <c r="C604">
        <f>'1 datos preparados'!B597</f>
        <v/>
      </c>
      <c r="D604" s="7">
        <f>'1 datos preparados'!C597</f>
        <v/>
      </c>
      <c r="E604" s="7">
        <f>'1 datos preparados'!D597</f>
        <v/>
      </c>
      <c r="F604" s="7">
        <f>'1 datos preparados'!E597</f>
        <v/>
      </c>
      <c r="G604" s="7">
        <f>'1 datos preparados'!F597</f>
        <v/>
      </c>
      <c r="H604" s="7">
        <f>'1 datos preparados'!G597</f>
        <v/>
      </c>
      <c r="I604" s="7">
        <f>'1 datos preparados'!H597</f>
        <v/>
      </c>
      <c r="J604" s="7">
        <f>'1 datos preparados'!I597</f>
        <v/>
      </c>
      <c r="K604" s="7">
        <f>'1 datos preparados'!J597</f>
        <v/>
      </c>
      <c r="L604" s="7">
        <f>'1 datos preparados'!K597</f>
        <v/>
      </c>
      <c r="M604" s="7">
        <f>'1 datos preparados'!L597</f>
        <v/>
      </c>
      <c r="N604" s="7">
        <f>'1 datos preparados'!M597</f>
        <v/>
      </c>
      <c r="O604" s="7">
        <f>'1 datos preparados'!N597</f>
        <v/>
      </c>
      <c r="P604" s="7">
        <f>'1 datos preparados'!O597</f>
        <v/>
      </c>
      <c r="Q604" s="7">
        <f>'1 datos preparados'!P597</f>
        <v/>
      </c>
      <c r="R604" s="7">
        <f>'1 datos preparados'!Q597</f>
        <v/>
      </c>
      <c r="S604" s="7">
        <f>'1 datos preparados'!R597</f>
        <v/>
      </c>
      <c r="T604" s="7">
        <f>'1 datos preparados'!S597</f>
        <v/>
      </c>
      <c r="U604" s="7">
        <f>'1 datos preparados'!T597</f>
        <v/>
      </c>
      <c r="V604" s="8">
        <f>$AE$12+D604*$AE$13+E604*$AE$14+F604*$AE$15+G604*$AE$16+H604*$AE$17+I604*$AE$18+J604*$AE$19+K604*$AE$20+L604*$AE$21+M604*$AE$22+N604*$AE$23+O604*$AE$24+P604*$AE$25+Q604*$AE$26+R604*$AE$27+S604*$AE$28+T604*$AE$29+U604*$AE$30</f>
        <v/>
      </c>
      <c r="W604" s="8">
        <f>1/(1+EXP(-V604))</f>
        <v/>
      </c>
      <c r="X604" s="9">
        <f>-IF(C604=1,LN(W604),LN(1-W604))</f>
        <v/>
      </c>
      <c r="Y604" s="8">
        <f>IF(C604=1,$AE$32,$AE$33)</f>
        <v/>
      </c>
      <c r="Z604" s="9">
        <f>Y604*X604</f>
        <v/>
      </c>
      <c r="AA604" s="10">
        <f>IF(W604&gt;$AE$34,1,0)</f>
        <v/>
      </c>
      <c r="AB604">
        <f>IF(AA604=C604,1,0)</f>
        <v/>
      </c>
    </row>
    <row r="605">
      <c r="A605">
        <f>'1 datos preparados'!A598</f>
        <v/>
      </c>
      <c r="B605" s="5">
        <f>'1 datos preparados'!U598</f>
        <v/>
      </c>
      <c r="C605">
        <f>'1 datos preparados'!B598</f>
        <v/>
      </c>
      <c r="D605" s="7">
        <f>'1 datos preparados'!C598</f>
        <v/>
      </c>
      <c r="E605" s="7">
        <f>'1 datos preparados'!D598</f>
        <v/>
      </c>
      <c r="F605" s="7">
        <f>'1 datos preparados'!E598</f>
        <v/>
      </c>
      <c r="G605" s="7">
        <f>'1 datos preparados'!F598</f>
        <v/>
      </c>
      <c r="H605" s="7">
        <f>'1 datos preparados'!G598</f>
        <v/>
      </c>
      <c r="I605" s="7">
        <f>'1 datos preparados'!H598</f>
        <v/>
      </c>
      <c r="J605" s="7">
        <f>'1 datos preparados'!I598</f>
        <v/>
      </c>
      <c r="K605" s="7">
        <f>'1 datos preparados'!J598</f>
        <v/>
      </c>
      <c r="L605" s="7">
        <f>'1 datos preparados'!K598</f>
        <v/>
      </c>
      <c r="M605" s="7">
        <f>'1 datos preparados'!L598</f>
        <v/>
      </c>
      <c r="N605" s="7">
        <f>'1 datos preparados'!M598</f>
        <v/>
      </c>
      <c r="O605" s="7">
        <f>'1 datos preparados'!N598</f>
        <v/>
      </c>
      <c r="P605" s="7">
        <f>'1 datos preparados'!O598</f>
        <v/>
      </c>
      <c r="Q605" s="7">
        <f>'1 datos preparados'!P598</f>
        <v/>
      </c>
      <c r="R605" s="7">
        <f>'1 datos preparados'!Q598</f>
        <v/>
      </c>
      <c r="S605" s="7">
        <f>'1 datos preparados'!R598</f>
        <v/>
      </c>
      <c r="T605" s="7">
        <f>'1 datos preparados'!S598</f>
        <v/>
      </c>
      <c r="U605" s="7">
        <f>'1 datos preparados'!T598</f>
        <v/>
      </c>
      <c r="V605" s="8">
        <f>$AE$12+D605*$AE$13+E605*$AE$14+F605*$AE$15+G605*$AE$16+H605*$AE$17+I605*$AE$18+J605*$AE$19+K605*$AE$20+L605*$AE$21+M605*$AE$22+N605*$AE$23+O605*$AE$24+P605*$AE$25+Q605*$AE$26+R605*$AE$27+S605*$AE$28+T605*$AE$29+U605*$AE$30</f>
        <v/>
      </c>
      <c r="W605" s="8">
        <f>1/(1+EXP(-V605))</f>
        <v/>
      </c>
      <c r="X605" s="9">
        <f>-IF(C605=1,LN(W605),LN(1-W605))</f>
        <v/>
      </c>
      <c r="Y605" s="8">
        <f>IF(C605=1,$AE$32,$AE$33)</f>
        <v/>
      </c>
      <c r="Z605" s="9">
        <f>Y605*X605</f>
        <v/>
      </c>
      <c r="AA605" s="10">
        <f>IF(W605&gt;$AE$34,1,0)</f>
        <v/>
      </c>
      <c r="AB605">
        <f>IF(AA605=C605,1,0)</f>
        <v/>
      </c>
    </row>
    <row r="606">
      <c r="A606">
        <f>'1 datos preparados'!A599</f>
        <v/>
      </c>
      <c r="B606" s="5">
        <f>'1 datos preparados'!U599</f>
        <v/>
      </c>
      <c r="C606">
        <f>'1 datos preparados'!B599</f>
        <v/>
      </c>
      <c r="D606" s="7">
        <f>'1 datos preparados'!C599</f>
        <v/>
      </c>
      <c r="E606" s="7">
        <f>'1 datos preparados'!D599</f>
        <v/>
      </c>
      <c r="F606" s="7">
        <f>'1 datos preparados'!E599</f>
        <v/>
      </c>
      <c r="G606" s="7">
        <f>'1 datos preparados'!F599</f>
        <v/>
      </c>
      <c r="H606" s="7">
        <f>'1 datos preparados'!G599</f>
        <v/>
      </c>
      <c r="I606" s="7">
        <f>'1 datos preparados'!H599</f>
        <v/>
      </c>
      <c r="J606" s="7">
        <f>'1 datos preparados'!I599</f>
        <v/>
      </c>
      <c r="K606" s="7">
        <f>'1 datos preparados'!J599</f>
        <v/>
      </c>
      <c r="L606" s="7">
        <f>'1 datos preparados'!K599</f>
        <v/>
      </c>
      <c r="M606" s="7">
        <f>'1 datos preparados'!L599</f>
        <v/>
      </c>
      <c r="N606" s="7">
        <f>'1 datos preparados'!M599</f>
        <v/>
      </c>
      <c r="O606" s="7">
        <f>'1 datos preparados'!N599</f>
        <v/>
      </c>
      <c r="P606" s="7">
        <f>'1 datos preparados'!O599</f>
        <v/>
      </c>
      <c r="Q606" s="7">
        <f>'1 datos preparados'!P599</f>
        <v/>
      </c>
      <c r="R606" s="7">
        <f>'1 datos preparados'!Q599</f>
        <v/>
      </c>
      <c r="S606" s="7">
        <f>'1 datos preparados'!R599</f>
        <v/>
      </c>
      <c r="T606" s="7">
        <f>'1 datos preparados'!S599</f>
        <v/>
      </c>
      <c r="U606" s="7">
        <f>'1 datos preparados'!T599</f>
        <v/>
      </c>
      <c r="V606" s="8">
        <f>$AE$12+D606*$AE$13+E606*$AE$14+F606*$AE$15+G606*$AE$16+H606*$AE$17+I606*$AE$18+J606*$AE$19+K606*$AE$20+L606*$AE$21+M606*$AE$22+N606*$AE$23+O606*$AE$24+P606*$AE$25+Q606*$AE$26+R606*$AE$27+S606*$AE$28+T606*$AE$29+U606*$AE$30</f>
        <v/>
      </c>
      <c r="W606" s="8">
        <f>1/(1+EXP(-V606))</f>
        <v/>
      </c>
      <c r="X606" s="9">
        <f>-IF(C606=1,LN(W606),LN(1-W606))</f>
        <v/>
      </c>
      <c r="Y606" s="8">
        <f>IF(C606=1,$AE$32,$AE$33)</f>
        <v/>
      </c>
      <c r="Z606" s="9">
        <f>Y606*X606</f>
        <v/>
      </c>
      <c r="AA606" s="10">
        <f>IF(W606&gt;$AE$34,1,0)</f>
        <v/>
      </c>
      <c r="AB606">
        <f>IF(AA606=C606,1,0)</f>
        <v/>
      </c>
    </row>
    <row r="607">
      <c r="A607">
        <f>'1 datos preparados'!A600</f>
        <v/>
      </c>
      <c r="B607" s="5">
        <f>'1 datos preparados'!U600</f>
        <v/>
      </c>
      <c r="C607">
        <f>'1 datos preparados'!B600</f>
        <v/>
      </c>
      <c r="D607" s="7">
        <f>'1 datos preparados'!C600</f>
        <v/>
      </c>
      <c r="E607" s="7">
        <f>'1 datos preparados'!D600</f>
        <v/>
      </c>
      <c r="F607" s="7">
        <f>'1 datos preparados'!E600</f>
        <v/>
      </c>
      <c r="G607" s="7">
        <f>'1 datos preparados'!F600</f>
        <v/>
      </c>
      <c r="H607" s="7">
        <f>'1 datos preparados'!G600</f>
        <v/>
      </c>
      <c r="I607" s="7">
        <f>'1 datos preparados'!H600</f>
        <v/>
      </c>
      <c r="J607" s="7">
        <f>'1 datos preparados'!I600</f>
        <v/>
      </c>
      <c r="K607" s="7">
        <f>'1 datos preparados'!J600</f>
        <v/>
      </c>
      <c r="L607" s="7">
        <f>'1 datos preparados'!K600</f>
        <v/>
      </c>
      <c r="M607" s="7">
        <f>'1 datos preparados'!L600</f>
        <v/>
      </c>
      <c r="N607" s="7">
        <f>'1 datos preparados'!M600</f>
        <v/>
      </c>
      <c r="O607" s="7">
        <f>'1 datos preparados'!N600</f>
        <v/>
      </c>
      <c r="P607" s="7">
        <f>'1 datos preparados'!O600</f>
        <v/>
      </c>
      <c r="Q607" s="7">
        <f>'1 datos preparados'!P600</f>
        <v/>
      </c>
      <c r="R607" s="7">
        <f>'1 datos preparados'!Q600</f>
        <v/>
      </c>
      <c r="S607" s="7">
        <f>'1 datos preparados'!R600</f>
        <v/>
      </c>
      <c r="T607" s="7">
        <f>'1 datos preparados'!S600</f>
        <v/>
      </c>
      <c r="U607" s="7">
        <f>'1 datos preparados'!T600</f>
        <v/>
      </c>
      <c r="V607" s="8">
        <f>$AE$12+D607*$AE$13+E607*$AE$14+F607*$AE$15+G607*$AE$16+H607*$AE$17+I607*$AE$18+J607*$AE$19+K607*$AE$20+L607*$AE$21+M607*$AE$22+N607*$AE$23+O607*$AE$24+P607*$AE$25+Q607*$AE$26+R607*$AE$27+S607*$AE$28+T607*$AE$29+U607*$AE$30</f>
        <v/>
      </c>
      <c r="W607" s="8">
        <f>1/(1+EXP(-V607))</f>
        <v/>
      </c>
      <c r="X607" s="9">
        <f>-IF(C607=1,LN(W607),LN(1-W607))</f>
        <v/>
      </c>
      <c r="Y607" s="8">
        <f>IF(C607=1,$AE$32,$AE$33)</f>
        <v/>
      </c>
      <c r="Z607" s="9">
        <f>Y607*X607</f>
        <v/>
      </c>
      <c r="AA607" s="10">
        <f>IF(W607&gt;$AE$34,1,0)</f>
        <v/>
      </c>
      <c r="AB607">
        <f>IF(AA607=C607,1,0)</f>
        <v/>
      </c>
    </row>
    <row r="608">
      <c r="A608">
        <f>'1 datos preparados'!A601</f>
        <v/>
      </c>
      <c r="B608" s="5">
        <f>'1 datos preparados'!U601</f>
        <v/>
      </c>
      <c r="C608">
        <f>'1 datos preparados'!B601</f>
        <v/>
      </c>
      <c r="D608" s="7">
        <f>'1 datos preparados'!C601</f>
        <v/>
      </c>
      <c r="E608" s="7">
        <f>'1 datos preparados'!D601</f>
        <v/>
      </c>
      <c r="F608" s="7">
        <f>'1 datos preparados'!E601</f>
        <v/>
      </c>
      <c r="G608" s="7">
        <f>'1 datos preparados'!F601</f>
        <v/>
      </c>
      <c r="H608" s="7">
        <f>'1 datos preparados'!G601</f>
        <v/>
      </c>
      <c r="I608" s="7">
        <f>'1 datos preparados'!H601</f>
        <v/>
      </c>
      <c r="J608" s="7">
        <f>'1 datos preparados'!I601</f>
        <v/>
      </c>
      <c r="K608" s="7">
        <f>'1 datos preparados'!J601</f>
        <v/>
      </c>
      <c r="L608" s="7">
        <f>'1 datos preparados'!K601</f>
        <v/>
      </c>
      <c r="M608" s="7">
        <f>'1 datos preparados'!L601</f>
        <v/>
      </c>
      <c r="N608" s="7">
        <f>'1 datos preparados'!M601</f>
        <v/>
      </c>
      <c r="O608" s="7">
        <f>'1 datos preparados'!N601</f>
        <v/>
      </c>
      <c r="P608" s="7">
        <f>'1 datos preparados'!O601</f>
        <v/>
      </c>
      <c r="Q608" s="7">
        <f>'1 datos preparados'!P601</f>
        <v/>
      </c>
      <c r="R608" s="7">
        <f>'1 datos preparados'!Q601</f>
        <v/>
      </c>
      <c r="S608" s="7">
        <f>'1 datos preparados'!R601</f>
        <v/>
      </c>
      <c r="T608" s="7">
        <f>'1 datos preparados'!S601</f>
        <v/>
      </c>
      <c r="U608" s="7">
        <f>'1 datos preparados'!T601</f>
        <v/>
      </c>
      <c r="V608" s="8">
        <f>$AE$12+D608*$AE$13+E608*$AE$14+F608*$AE$15+G608*$AE$16+H608*$AE$17+I608*$AE$18+J608*$AE$19+K608*$AE$20+L608*$AE$21+M608*$AE$22+N608*$AE$23+O608*$AE$24+P608*$AE$25+Q608*$AE$26+R608*$AE$27+S608*$AE$28+T608*$AE$29+U608*$AE$30</f>
        <v/>
      </c>
      <c r="W608" s="8">
        <f>1/(1+EXP(-V608))</f>
        <v/>
      </c>
      <c r="X608" s="9">
        <f>-IF(C608=1,LN(W608),LN(1-W608))</f>
        <v/>
      </c>
      <c r="Y608" s="8">
        <f>IF(C608=1,$AE$32,$AE$33)</f>
        <v/>
      </c>
      <c r="Z608" s="9">
        <f>Y608*X608</f>
        <v/>
      </c>
      <c r="AA608" s="10">
        <f>IF(W608&gt;$AE$34,1,0)</f>
        <v/>
      </c>
      <c r="AB608">
        <f>IF(AA608=C608,1,0)</f>
        <v/>
      </c>
    </row>
    <row r="609">
      <c r="A609">
        <f>'1 datos preparados'!A602</f>
        <v/>
      </c>
      <c r="B609" s="5">
        <f>'1 datos preparados'!U602</f>
        <v/>
      </c>
      <c r="C609">
        <f>'1 datos preparados'!B602</f>
        <v/>
      </c>
      <c r="D609" s="7">
        <f>'1 datos preparados'!C602</f>
        <v/>
      </c>
      <c r="E609" s="7">
        <f>'1 datos preparados'!D602</f>
        <v/>
      </c>
      <c r="F609" s="7">
        <f>'1 datos preparados'!E602</f>
        <v/>
      </c>
      <c r="G609" s="7">
        <f>'1 datos preparados'!F602</f>
        <v/>
      </c>
      <c r="H609" s="7">
        <f>'1 datos preparados'!G602</f>
        <v/>
      </c>
      <c r="I609" s="7">
        <f>'1 datos preparados'!H602</f>
        <v/>
      </c>
      <c r="J609" s="7">
        <f>'1 datos preparados'!I602</f>
        <v/>
      </c>
      <c r="K609" s="7">
        <f>'1 datos preparados'!J602</f>
        <v/>
      </c>
      <c r="L609" s="7">
        <f>'1 datos preparados'!K602</f>
        <v/>
      </c>
      <c r="M609" s="7">
        <f>'1 datos preparados'!L602</f>
        <v/>
      </c>
      <c r="N609" s="7">
        <f>'1 datos preparados'!M602</f>
        <v/>
      </c>
      <c r="O609" s="7">
        <f>'1 datos preparados'!N602</f>
        <v/>
      </c>
      <c r="P609" s="7">
        <f>'1 datos preparados'!O602</f>
        <v/>
      </c>
      <c r="Q609" s="7">
        <f>'1 datos preparados'!P602</f>
        <v/>
      </c>
      <c r="R609" s="7">
        <f>'1 datos preparados'!Q602</f>
        <v/>
      </c>
      <c r="S609" s="7">
        <f>'1 datos preparados'!R602</f>
        <v/>
      </c>
      <c r="T609" s="7">
        <f>'1 datos preparados'!S602</f>
        <v/>
      </c>
      <c r="U609" s="7">
        <f>'1 datos preparados'!T602</f>
        <v/>
      </c>
      <c r="V609" s="8">
        <f>$AE$12+D609*$AE$13+E609*$AE$14+F609*$AE$15+G609*$AE$16+H609*$AE$17+I609*$AE$18+J609*$AE$19+K609*$AE$20+L609*$AE$21+M609*$AE$22+N609*$AE$23+O609*$AE$24+P609*$AE$25+Q609*$AE$26+R609*$AE$27+S609*$AE$28+T609*$AE$29+U609*$AE$30</f>
        <v/>
      </c>
      <c r="W609" s="8">
        <f>1/(1+EXP(-V609))</f>
        <v/>
      </c>
      <c r="X609" s="9">
        <f>-IF(C609=1,LN(W609),LN(1-W609))</f>
        <v/>
      </c>
      <c r="Y609" s="8">
        <f>IF(C609=1,$AE$32,$AE$33)</f>
        <v/>
      </c>
      <c r="Z609" s="9">
        <f>Y609*X609</f>
        <v/>
      </c>
      <c r="AA609" s="10">
        <f>IF(W609&gt;$AE$34,1,0)</f>
        <v/>
      </c>
      <c r="AB609">
        <f>IF(AA609=C609,1,0)</f>
        <v/>
      </c>
    </row>
    <row r="610">
      <c r="A610">
        <f>'1 datos preparados'!A603</f>
        <v/>
      </c>
      <c r="B610" s="5">
        <f>'1 datos preparados'!U603</f>
        <v/>
      </c>
      <c r="C610">
        <f>'1 datos preparados'!B603</f>
        <v/>
      </c>
      <c r="D610" s="7">
        <f>'1 datos preparados'!C603</f>
        <v/>
      </c>
      <c r="E610" s="7">
        <f>'1 datos preparados'!D603</f>
        <v/>
      </c>
      <c r="F610" s="7">
        <f>'1 datos preparados'!E603</f>
        <v/>
      </c>
      <c r="G610" s="7">
        <f>'1 datos preparados'!F603</f>
        <v/>
      </c>
      <c r="H610" s="7">
        <f>'1 datos preparados'!G603</f>
        <v/>
      </c>
      <c r="I610" s="7">
        <f>'1 datos preparados'!H603</f>
        <v/>
      </c>
      <c r="J610" s="7">
        <f>'1 datos preparados'!I603</f>
        <v/>
      </c>
      <c r="K610" s="7">
        <f>'1 datos preparados'!J603</f>
        <v/>
      </c>
      <c r="L610" s="7">
        <f>'1 datos preparados'!K603</f>
        <v/>
      </c>
      <c r="M610" s="7">
        <f>'1 datos preparados'!L603</f>
        <v/>
      </c>
      <c r="N610" s="7">
        <f>'1 datos preparados'!M603</f>
        <v/>
      </c>
      <c r="O610" s="7">
        <f>'1 datos preparados'!N603</f>
        <v/>
      </c>
      <c r="P610" s="7">
        <f>'1 datos preparados'!O603</f>
        <v/>
      </c>
      <c r="Q610" s="7">
        <f>'1 datos preparados'!P603</f>
        <v/>
      </c>
      <c r="R610" s="7">
        <f>'1 datos preparados'!Q603</f>
        <v/>
      </c>
      <c r="S610" s="7">
        <f>'1 datos preparados'!R603</f>
        <v/>
      </c>
      <c r="T610" s="7">
        <f>'1 datos preparados'!S603</f>
        <v/>
      </c>
      <c r="U610" s="7">
        <f>'1 datos preparados'!T603</f>
        <v/>
      </c>
      <c r="V610" s="8">
        <f>$AE$12+D610*$AE$13+E610*$AE$14+F610*$AE$15+G610*$AE$16+H610*$AE$17+I610*$AE$18+J610*$AE$19+K610*$AE$20+L610*$AE$21+M610*$AE$22+N610*$AE$23+O610*$AE$24+P610*$AE$25+Q610*$AE$26+R610*$AE$27+S610*$AE$28+T610*$AE$29+U610*$AE$30</f>
        <v/>
      </c>
      <c r="W610" s="8">
        <f>1/(1+EXP(-V610))</f>
        <v/>
      </c>
      <c r="X610" s="9">
        <f>-IF(C610=1,LN(W610),LN(1-W610))</f>
        <v/>
      </c>
      <c r="Y610" s="8">
        <f>IF(C610=1,$AE$32,$AE$33)</f>
        <v/>
      </c>
      <c r="Z610" s="9">
        <f>Y610*X610</f>
        <v/>
      </c>
      <c r="AA610" s="10">
        <f>IF(W610&gt;$AE$34,1,0)</f>
        <v/>
      </c>
      <c r="AB610">
        <f>IF(AA610=C610,1,0)</f>
        <v/>
      </c>
    </row>
    <row r="611">
      <c r="A611">
        <f>'1 datos preparados'!A604</f>
        <v/>
      </c>
      <c r="B611" s="5">
        <f>'1 datos preparados'!U604</f>
        <v/>
      </c>
      <c r="C611">
        <f>'1 datos preparados'!B604</f>
        <v/>
      </c>
      <c r="D611" s="7">
        <f>'1 datos preparados'!C604</f>
        <v/>
      </c>
      <c r="E611" s="7">
        <f>'1 datos preparados'!D604</f>
        <v/>
      </c>
      <c r="F611" s="7">
        <f>'1 datos preparados'!E604</f>
        <v/>
      </c>
      <c r="G611" s="7">
        <f>'1 datos preparados'!F604</f>
        <v/>
      </c>
      <c r="H611" s="7">
        <f>'1 datos preparados'!G604</f>
        <v/>
      </c>
      <c r="I611" s="7">
        <f>'1 datos preparados'!H604</f>
        <v/>
      </c>
      <c r="J611" s="7">
        <f>'1 datos preparados'!I604</f>
        <v/>
      </c>
      <c r="K611" s="7">
        <f>'1 datos preparados'!J604</f>
        <v/>
      </c>
      <c r="L611" s="7">
        <f>'1 datos preparados'!K604</f>
        <v/>
      </c>
      <c r="M611" s="7">
        <f>'1 datos preparados'!L604</f>
        <v/>
      </c>
      <c r="N611" s="7">
        <f>'1 datos preparados'!M604</f>
        <v/>
      </c>
      <c r="O611" s="7">
        <f>'1 datos preparados'!N604</f>
        <v/>
      </c>
      <c r="P611" s="7">
        <f>'1 datos preparados'!O604</f>
        <v/>
      </c>
      <c r="Q611" s="7">
        <f>'1 datos preparados'!P604</f>
        <v/>
      </c>
      <c r="R611" s="7">
        <f>'1 datos preparados'!Q604</f>
        <v/>
      </c>
      <c r="S611" s="7">
        <f>'1 datos preparados'!R604</f>
        <v/>
      </c>
      <c r="T611" s="7">
        <f>'1 datos preparados'!S604</f>
        <v/>
      </c>
      <c r="U611" s="7">
        <f>'1 datos preparados'!T604</f>
        <v/>
      </c>
      <c r="V611" s="8">
        <f>$AE$12+D611*$AE$13+E611*$AE$14+F611*$AE$15+G611*$AE$16+H611*$AE$17+I611*$AE$18+J611*$AE$19+K611*$AE$20+L611*$AE$21+M611*$AE$22+N611*$AE$23+O611*$AE$24+P611*$AE$25+Q611*$AE$26+R611*$AE$27+S611*$AE$28+T611*$AE$29+U611*$AE$30</f>
        <v/>
      </c>
      <c r="W611" s="8">
        <f>1/(1+EXP(-V611))</f>
        <v/>
      </c>
      <c r="X611" s="9">
        <f>-IF(C611=1,LN(W611),LN(1-W611))</f>
        <v/>
      </c>
      <c r="Y611" s="8">
        <f>IF(C611=1,$AE$32,$AE$33)</f>
        <v/>
      </c>
      <c r="Z611" s="9">
        <f>Y611*X611</f>
        <v/>
      </c>
      <c r="AA611" s="10">
        <f>IF(W611&gt;$AE$34,1,0)</f>
        <v/>
      </c>
      <c r="AB611">
        <f>IF(AA611=C611,1,0)</f>
        <v/>
      </c>
    </row>
    <row r="612">
      <c r="A612">
        <f>'1 datos preparados'!A605</f>
        <v/>
      </c>
      <c r="B612" s="5">
        <f>'1 datos preparados'!U605</f>
        <v/>
      </c>
      <c r="C612">
        <f>'1 datos preparados'!B605</f>
        <v/>
      </c>
      <c r="D612" s="7">
        <f>'1 datos preparados'!C605</f>
        <v/>
      </c>
      <c r="E612" s="7">
        <f>'1 datos preparados'!D605</f>
        <v/>
      </c>
      <c r="F612" s="7">
        <f>'1 datos preparados'!E605</f>
        <v/>
      </c>
      <c r="G612" s="7">
        <f>'1 datos preparados'!F605</f>
        <v/>
      </c>
      <c r="H612" s="7">
        <f>'1 datos preparados'!G605</f>
        <v/>
      </c>
      <c r="I612" s="7">
        <f>'1 datos preparados'!H605</f>
        <v/>
      </c>
      <c r="J612" s="7">
        <f>'1 datos preparados'!I605</f>
        <v/>
      </c>
      <c r="K612" s="7">
        <f>'1 datos preparados'!J605</f>
        <v/>
      </c>
      <c r="L612" s="7">
        <f>'1 datos preparados'!K605</f>
        <v/>
      </c>
      <c r="M612" s="7">
        <f>'1 datos preparados'!L605</f>
        <v/>
      </c>
      <c r="N612" s="7">
        <f>'1 datos preparados'!M605</f>
        <v/>
      </c>
      <c r="O612" s="7">
        <f>'1 datos preparados'!N605</f>
        <v/>
      </c>
      <c r="P612" s="7">
        <f>'1 datos preparados'!O605</f>
        <v/>
      </c>
      <c r="Q612" s="7">
        <f>'1 datos preparados'!P605</f>
        <v/>
      </c>
      <c r="R612" s="7">
        <f>'1 datos preparados'!Q605</f>
        <v/>
      </c>
      <c r="S612" s="7">
        <f>'1 datos preparados'!R605</f>
        <v/>
      </c>
      <c r="T612" s="7">
        <f>'1 datos preparados'!S605</f>
        <v/>
      </c>
      <c r="U612" s="7">
        <f>'1 datos preparados'!T605</f>
        <v/>
      </c>
      <c r="V612" s="8">
        <f>$AE$12+D612*$AE$13+E612*$AE$14+F612*$AE$15+G612*$AE$16+H612*$AE$17+I612*$AE$18+J612*$AE$19+K612*$AE$20+L612*$AE$21+M612*$AE$22+N612*$AE$23+O612*$AE$24+P612*$AE$25+Q612*$AE$26+R612*$AE$27+S612*$AE$28+T612*$AE$29+U612*$AE$30</f>
        <v/>
      </c>
      <c r="W612" s="8">
        <f>1/(1+EXP(-V612))</f>
        <v/>
      </c>
      <c r="X612" s="9">
        <f>-IF(C612=1,LN(W612),LN(1-W612))</f>
        <v/>
      </c>
      <c r="Y612" s="8">
        <f>IF(C612=1,$AE$32,$AE$33)</f>
        <v/>
      </c>
      <c r="Z612" s="9">
        <f>Y612*X612</f>
        <v/>
      </c>
      <c r="AA612" s="10">
        <f>IF(W612&gt;$AE$34,1,0)</f>
        <v/>
      </c>
      <c r="AB612">
        <f>IF(AA612=C612,1,0)</f>
        <v/>
      </c>
    </row>
    <row r="613">
      <c r="A613">
        <f>'1 datos preparados'!A606</f>
        <v/>
      </c>
      <c r="B613" s="5">
        <f>'1 datos preparados'!U606</f>
        <v/>
      </c>
      <c r="C613">
        <f>'1 datos preparados'!B606</f>
        <v/>
      </c>
      <c r="D613" s="7">
        <f>'1 datos preparados'!C606</f>
        <v/>
      </c>
      <c r="E613" s="7">
        <f>'1 datos preparados'!D606</f>
        <v/>
      </c>
      <c r="F613" s="7">
        <f>'1 datos preparados'!E606</f>
        <v/>
      </c>
      <c r="G613" s="7">
        <f>'1 datos preparados'!F606</f>
        <v/>
      </c>
      <c r="H613" s="7">
        <f>'1 datos preparados'!G606</f>
        <v/>
      </c>
      <c r="I613" s="7">
        <f>'1 datos preparados'!H606</f>
        <v/>
      </c>
      <c r="J613" s="7">
        <f>'1 datos preparados'!I606</f>
        <v/>
      </c>
      <c r="K613" s="7">
        <f>'1 datos preparados'!J606</f>
        <v/>
      </c>
      <c r="L613" s="7">
        <f>'1 datos preparados'!K606</f>
        <v/>
      </c>
      <c r="M613" s="7">
        <f>'1 datos preparados'!L606</f>
        <v/>
      </c>
      <c r="N613" s="7">
        <f>'1 datos preparados'!M606</f>
        <v/>
      </c>
      <c r="O613" s="7">
        <f>'1 datos preparados'!N606</f>
        <v/>
      </c>
      <c r="P613" s="7">
        <f>'1 datos preparados'!O606</f>
        <v/>
      </c>
      <c r="Q613" s="7">
        <f>'1 datos preparados'!P606</f>
        <v/>
      </c>
      <c r="R613" s="7">
        <f>'1 datos preparados'!Q606</f>
        <v/>
      </c>
      <c r="S613" s="7">
        <f>'1 datos preparados'!R606</f>
        <v/>
      </c>
      <c r="T613" s="7">
        <f>'1 datos preparados'!S606</f>
        <v/>
      </c>
      <c r="U613" s="7">
        <f>'1 datos preparados'!T606</f>
        <v/>
      </c>
      <c r="V613" s="8">
        <f>$AE$12+D613*$AE$13+E613*$AE$14+F613*$AE$15+G613*$AE$16+H613*$AE$17+I613*$AE$18+J613*$AE$19+K613*$AE$20+L613*$AE$21+M613*$AE$22+N613*$AE$23+O613*$AE$24+P613*$AE$25+Q613*$AE$26+R613*$AE$27+S613*$AE$28+T613*$AE$29+U613*$AE$30</f>
        <v/>
      </c>
      <c r="W613" s="8">
        <f>1/(1+EXP(-V613))</f>
        <v/>
      </c>
      <c r="X613" s="9">
        <f>-IF(C613=1,LN(W613),LN(1-W613))</f>
        <v/>
      </c>
      <c r="Y613" s="8">
        <f>IF(C613=1,$AE$32,$AE$33)</f>
        <v/>
      </c>
      <c r="Z613" s="9">
        <f>Y613*X613</f>
        <v/>
      </c>
      <c r="AA613" s="10">
        <f>IF(W613&gt;$AE$34,1,0)</f>
        <v/>
      </c>
      <c r="AB613">
        <f>IF(AA613=C613,1,0)</f>
        <v/>
      </c>
    </row>
    <row r="614">
      <c r="A614">
        <f>'1 datos preparados'!A607</f>
        <v/>
      </c>
      <c r="B614" s="5">
        <f>'1 datos preparados'!U607</f>
        <v/>
      </c>
      <c r="C614">
        <f>'1 datos preparados'!B607</f>
        <v/>
      </c>
      <c r="D614" s="7">
        <f>'1 datos preparados'!C607</f>
        <v/>
      </c>
      <c r="E614" s="7">
        <f>'1 datos preparados'!D607</f>
        <v/>
      </c>
      <c r="F614" s="7">
        <f>'1 datos preparados'!E607</f>
        <v/>
      </c>
      <c r="G614" s="7">
        <f>'1 datos preparados'!F607</f>
        <v/>
      </c>
      <c r="H614" s="7">
        <f>'1 datos preparados'!G607</f>
        <v/>
      </c>
      <c r="I614" s="7">
        <f>'1 datos preparados'!H607</f>
        <v/>
      </c>
      <c r="J614" s="7">
        <f>'1 datos preparados'!I607</f>
        <v/>
      </c>
      <c r="K614" s="7">
        <f>'1 datos preparados'!J607</f>
        <v/>
      </c>
      <c r="L614" s="7">
        <f>'1 datos preparados'!K607</f>
        <v/>
      </c>
      <c r="M614" s="7">
        <f>'1 datos preparados'!L607</f>
        <v/>
      </c>
      <c r="N614" s="7">
        <f>'1 datos preparados'!M607</f>
        <v/>
      </c>
      <c r="O614" s="7">
        <f>'1 datos preparados'!N607</f>
        <v/>
      </c>
      <c r="P614" s="7">
        <f>'1 datos preparados'!O607</f>
        <v/>
      </c>
      <c r="Q614" s="7">
        <f>'1 datos preparados'!P607</f>
        <v/>
      </c>
      <c r="R614" s="7">
        <f>'1 datos preparados'!Q607</f>
        <v/>
      </c>
      <c r="S614" s="7">
        <f>'1 datos preparados'!R607</f>
        <v/>
      </c>
      <c r="T614" s="7">
        <f>'1 datos preparados'!S607</f>
        <v/>
      </c>
      <c r="U614" s="7">
        <f>'1 datos preparados'!T607</f>
        <v/>
      </c>
      <c r="V614" s="8">
        <f>$AE$12+D614*$AE$13+E614*$AE$14+F614*$AE$15+G614*$AE$16+H614*$AE$17+I614*$AE$18+J614*$AE$19+K614*$AE$20+L614*$AE$21+M614*$AE$22+N614*$AE$23+O614*$AE$24+P614*$AE$25+Q614*$AE$26+R614*$AE$27+S614*$AE$28+T614*$AE$29+U614*$AE$30</f>
        <v/>
      </c>
      <c r="W614" s="8">
        <f>1/(1+EXP(-V614))</f>
        <v/>
      </c>
      <c r="X614" s="9">
        <f>-IF(C614=1,LN(W614),LN(1-W614))</f>
        <v/>
      </c>
      <c r="Y614" s="8">
        <f>IF(C614=1,$AE$32,$AE$33)</f>
        <v/>
      </c>
      <c r="Z614" s="9">
        <f>Y614*X614</f>
        <v/>
      </c>
      <c r="AA614" s="10">
        <f>IF(W614&gt;$AE$34,1,0)</f>
        <v/>
      </c>
      <c r="AB614">
        <f>IF(AA614=C614,1,0)</f>
        <v/>
      </c>
    </row>
    <row r="615">
      <c r="A615">
        <f>'1 datos preparados'!A608</f>
        <v/>
      </c>
      <c r="B615" s="5">
        <f>'1 datos preparados'!U608</f>
        <v/>
      </c>
      <c r="C615">
        <f>'1 datos preparados'!B608</f>
        <v/>
      </c>
      <c r="D615" s="7">
        <f>'1 datos preparados'!C608</f>
        <v/>
      </c>
      <c r="E615" s="7">
        <f>'1 datos preparados'!D608</f>
        <v/>
      </c>
      <c r="F615" s="7">
        <f>'1 datos preparados'!E608</f>
        <v/>
      </c>
      <c r="G615" s="7">
        <f>'1 datos preparados'!F608</f>
        <v/>
      </c>
      <c r="H615" s="7">
        <f>'1 datos preparados'!G608</f>
        <v/>
      </c>
      <c r="I615" s="7">
        <f>'1 datos preparados'!H608</f>
        <v/>
      </c>
      <c r="J615" s="7">
        <f>'1 datos preparados'!I608</f>
        <v/>
      </c>
      <c r="K615" s="7">
        <f>'1 datos preparados'!J608</f>
        <v/>
      </c>
      <c r="L615" s="7">
        <f>'1 datos preparados'!K608</f>
        <v/>
      </c>
      <c r="M615" s="7">
        <f>'1 datos preparados'!L608</f>
        <v/>
      </c>
      <c r="N615" s="7">
        <f>'1 datos preparados'!M608</f>
        <v/>
      </c>
      <c r="O615" s="7">
        <f>'1 datos preparados'!N608</f>
        <v/>
      </c>
      <c r="P615" s="7">
        <f>'1 datos preparados'!O608</f>
        <v/>
      </c>
      <c r="Q615" s="7">
        <f>'1 datos preparados'!P608</f>
        <v/>
      </c>
      <c r="R615" s="7">
        <f>'1 datos preparados'!Q608</f>
        <v/>
      </c>
      <c r="S615" s="7">
        <f>'1 datos preparados'!R608</f>
        <v/>
      </c>
      <c r="T615" s="7">
        <f>'1 datos preparados'!S608</f>
        <v/>
      </c>
      <c r="U615" s="7">
        <f>'1 datos preparados'!T608</f>
        <v/>
      </c>
      <c r="V615" s="8">
        <f>$AE$12+D615*$AE$13+E615*$AE$14+F615*$AE$15+G615*$AE$16+H615*$AE$17+I615*$AE$18+J615*$AE$19+K615*$AE$20+L615*$AE$21+M615*$AE$22+N615*$AE$23+O615*$AE$24+P615*$AE$25+Q615*$AE$26+R615*$AE$27+S615*$AE$28+T615*$AE$29+U615*$AE$30</f>
        <v/>
      </c>
      <c r="W615" s="8">
        <f>1/(1+EXP(-V615))</f>
        <v/>
      </c>
      <c r="X615" s="9">
        <f>-IF(C615=1,LN(W615),LN(1-W615))</f>
        <v/>
      </c>
      <c r="Y615" s="8">
        <f>IF(C615=1,$AE$32,$AE$33)</f>
        <v/>
      </c>
      <c r="Z615" s="9">
        <f>Y615*X615</f>
        <v/>
      </c>
      <c r="AA615" s="10">
        <f>IF(W615&gt;$AE$34,1,0)</f>
        <v/>
      </c>
      <c r="AB615">
        <f>IF(AA615=C615,1,0)</f>
        <v/>
      </c>
    </row>
    <row r="616">
      <c r="A616">
        <f>'1 datos preparados'!A609</f>
        <v/>
      </c>
      <c r="B616" s="5">
        <f>'1 datos preparados'!U609</f>
        <v/>
      </c>
      <c r="C616">
        <f>'1 datos preparados'!B609</f>
        <v/>
      </c>
      <c r="D616" s="7">
        <f>'1 datos preparados'!C609</f>
        <v/>
      </c>
      <c r="E616" s="7">
        <f>'1 datos preparados'!D609</f>
        <v/>
      </c>
      <c r="F616" s="7">
        <f>'1 datos preparados'!E609</f>
        <v/>
      </c>
      <c r="G616" s="7">
        <f>'1 datos preparados'!F609</f>
        <v/>
      </c>
      <c r="H616" s="7">
        <f>'1 datos preparados'!G609</f>
        <v/>
      </c>
      <c r="I616" s="7">
        <f>'1 datos preparados'!H609</f>
        <v/>
      </c>
      <c r="J616" s="7">
        <f>'1 datos preparados'!I609</f>
        <v/>
      </c>
      <c r="K616" s="7">
        <f>'1 datos preparados'!J609</f>
        <v/>
      </c>
      <c r="L616" s="7">
        <f>'1 datos preparados'!K609</f>
        <v/>
      </c>
      <c r="M616" s="7">
        <f>'1 datos preparados'!L609</f>
        <v/>
      </c>
      <c r="N616" s="7">
        <f>'1 datos preparados'!M609</f>
        <v/>
      </c>
      <c r="O616" s="7">
        <f>'1 datos preparados'!N609</f>
        <v/>
      </c>
      <c r="P616" s="7">
        <f>'1 datos preparados'!O609</f>
        <v/>
      </c>
      <c r="Q616" s="7">
        <f>'1 datos preparados'!P609</f>
        <v/>
      </c>
      <c r="R616" s="7">
        <f>'1 datos preparados'!Q609</f>
        <v/>
      </c>
      <c r="S616" s="7">
        <f>'1 datos preparados'!R609</f>
        <v/>
      </c>
      <c r="T616" s="7">
        <f>'1 datos preparados'!S609</f>
        <v/>
      </c>
      <c r="U616" s="7">
        <f>'1 datos preparados'!T609</f>
        <v/>
      </c>
      <c r="V616" s="8">
        <f>$AE$12+D616*$AE$13+E616*$AE$14+F616*$AE$15+G616*$AE$16+H616*$AE$17+I616*$AE$18+J616*$AE$19+K616*$AE$20+L616*$AE$21+M616*$AE$22+N616*$AE$23+O616*$AE$24+P616*$AE$25+Q616*$AE$26+R616*$AE$27+S616*$AE$28+T616*$AE$29+U616*$AE$30</f>
        <v/>
      </c>
      <c r="W616" s="8">
        <f>1/(1+EXP(-V616))</f>
        <v/>
      </c>
      <c r="X616" s="9">
        <f>-IF(C616=1,LN(W616),LN(1-W616))</f>
        <v/>
      </c>
      <c r="Y616" s="8">
        <f>IF(C616=1,$AE$32,$AE$33)</f>
        <v/>
      </c>
      <c r="Z616" s="9">
        <f>Y616*X616</f>
        <v/>
      </c>
      <c r="AA616" s="10">
        <f>IF(W616&gt;$AE$34,1,0)</f>
        <v/>
      </c>
      <c r="AB616">
        <f>IF(AA616=C616,1,0)</f>
        <v/>
      </c>
    </row>
    <row r="617">
      <c r="A617">
        <f>'1 datos preparados'!A610</f>
        <v/>
      </c>
      <c r="B617" s="5">
        <f>'1 datos preparados'!U610</f>
        <v/>
      </c>
      <c r="C617">
        <f>'1 datos preparados'!B610</f>
        <v/>
      </c>
      <c r="D617" s="7">
        <f>'1 datos preparados'!C610</f>
        <v/>
      </c>
      <c r="E617" s="7">
        <f>'1 datos preparados'!D610</f>
        <v/>
      </c>
      <c r="F617" s="7">
        <f>'1 datos preparados'!E610</f>
        <v/>
      </c>
      <c r="G617" s="7">
        <f>'1 datos preparados'!F610</f>
        <v/>
      </c>
      <c r="H617" s="7">
        <f>'1 datos preparados'!G610</f>
        <v/>
      </c>
      <c r="I617" s="7">
        <f>'1 datos preparados'!H610</f>
        <v/>
      </c>
      <c r="J617" s="7">
        <f>'1 datos preparados'!I610</f>
        <v/>
      </c>
      <c r="K617" s="7">
        <f>'1 datos preparados'!J610</f>
        <v/>
      </c>
      <c r="L617" s="7">
        <f>'1 datos preparados'!K610</f>
        <v/>
      </c>
      <c r="M617" s="7">
        <f>'1 datos preparados'!L610</f>
        <v/>
      </c>
      <c r="N617" s="7">
        <f>'1 datos preparados'!M610</f>
        <v/>
      </c>
      <c r="O617" s="7">
        <f>'1 datos preparados'!N610</f>
        <v/>
      </c>
      <c r="P617" s="7">
        <f>'1 datos preparados'!O610</f>
        <v/>
      </c>
      <c r="Q617" s="7">
        <f>'1 datos preparados'!P610</f>
        <v/>
      </c>
      <c r="R617" s="7">
        <f>'1 datos preparados'!Q610</f>
        <v/>
      </c>
      <c r="S617" s="7">
        <f>'1 datos preparados'!R610</f>
        <v/>
      </c>
      <c r="T617" s="7">
        <f>'1 datos preparados'!S610</f>
        <v/>
      </c>
      <c r="U617" s="7">
        <f>'1 datos preparados'!T610</f>
        <v/>
      </c>
      <c r="V617" s="8">
        <f>$AE$12+D617*$AE$13+E617*$AE$14+F617*$AE$15+G617*$AE$16+H617*$AE$17+I617*$AE$18+J617*$AE$19+K617*$AE$20+L617*$AE$21+M617*$AE$22+N617*$AE$23+O617*$AE$24+P617*$AE$25+Q617*$AE$26+R617*$AE$27+S617*$AE$28+T617*$AE$29+U617*$AE$30</f>
        <v/>
      </c>
      <c r="W617" s="8">
        <f>1/(1+EXP(-V617))</f>
        <v/>
      </c>
      <c r="X617" s="9">
        <f>-IF(C617=1,LN(W617),LN(1-W617))</f>
        <v/>
      </c>
      <c r="Y617" s="8">
        <f>IF(C617=1,$AE$32,$AE$33)</f>
        <v/>
      </c>
      <c r="Z617" s="9">
        <f>Y617*X617</f>
        <v/>
      </c>
      <c r="AA617" s="10">
        <f>IF(W617&gt;$AE$34,1,0)</f>
        <v/>
      </c>
      <c r="AB617">
        <f>IF(AA617=C617,1,0)</f>
        <v/>
      </c>
    </row>
    <row r="618">
      <c r="A618">
        <f>'1 datos preparados'!A611</f>
        <v/>
      </c>
      <c r="B618" s="5">
        <f>'1 datos preparados'!U611</f>
        <v/>
      </c>
      <c r="C618">
        <f>'1 datos preparados'!B611</f>
        <v/>
      </c>
      <c r="D618" s="7">
        <f>'1 datos preparados'!C611</f>
        <v/>
      </c>
      <c r="E618" s="7">
        <f>'1 datos preparados'!D611</f>
        <v/>
      </c>
      <c r="F618" s="7">
        <f>'1 datos preparados'!E611</f>
        <v/>
      </c>
      <c r="G618" s="7">
        <f>'1 datos preparados'!F611</f>
        <v/>
      </c>
      <c r="H618" s="7">
        <f>'1 datos preparados'!G611</f>
        <v/>
      </c>
      <c r="I618" s="7">
        <f>'1 datos preparados'!H611</f>
        <v/>
      </c>
      <c r="J618" s="7">
        <f>'1 datos preparados'!I611</f>
        <v/>
      </c>
      <c r="K618" s="7">
        <f>'1 datos preparados'!J611</f>
        <v/>
      </c>
      <c r="L618" s="7">
        <f>'1 datos preparados'!K611</f>
        <v/>
      </c>
      <c r="M618" s="7">
        <f>'1 datos preparados'!L611</f>
        <v/>
      </c>
      <c r="N618" s="7">
        <f>'1 datos preparados'!M611</f>
        <v/>
      </c>
      <c r="O618" s="7">
        <f>'1 datos preparados'!N611</f>
        <v/>
      </c>
      <c r="P618" s="7">
        <f>'1 datos preparados'!O611</f>
        <v/>
      </c>
      <c r="Q618" s="7">
        <f>'1 datos preparados'!P611</f>
        <v/>
      </c>
      <c r="R618" s="7">
        <f>'1 datos preparados'!Q611</f>
        <v/>
      </c>
      <c r="S618" s="7">
        <f>'1 datos preparados'!R611</f>
        <v/>
      </c>
      <c r="T618" s="7">
        <f>'1 datos preparados'!S611</f>
        <v/>
      </c>
      <c r="U618" s="7">
        <f>'1 datos preparados'!T611</f>
        <v/>
      </c>
      <c r="V618" s="8">
        <f>$AE$12+D618*$AE$13+E618*$AE$14+F618*$AE$15+G618*$AE$16+H618*$AE$17+I618*$AE$18+J618*$AE$19+K618*$AE$20+L618*$AE$21+M618*$AE$22+N618*$AE$23+O618*$AE$24+P618*$AE$25+Q618*$AE$26+R618*$AE$27+S618*$AE$28+T618*$AE$29+U618*$AE$30</f>
        <v/>
      </c>
      <c r="W618" s="8">
        <f>1/(1+EXP(-V618))</f>
        <v/>
      </c>
      <c r="X618" s="9">
        <f>-IF(C618=1,LN(W618),LN(1-W618))</f>
        <v/>
      </c>
      <c r="Y618" s="8">
        <f>IF(C618=1,$AE$32,$AE$33)</f>
        <v/>
      </c>
      <c r="Z618" s="9">
        <f>Y618*X618</f>
        <v/>
      </c>
      <c r="AA618" s="10">
        <f>IF(W618&gt;$AE$34,1,0)</f>
        <v/>
      </c>
      <c r="AB618">
        <f>IF(AA618=C618,1,0)</f>
        <v/>
      </c>
    </row>
    <row r="619">
      <c r="A619">
        <f>'1 datos preparados'!A612</f>
        <v/>
      </c>
      <c r="B619" s="5">
        <f>'1 datos preparados'!U612</f>
        <v/>
      </c>
      <c r="C619">
        <f>'1 datos preparados'!B612</f>
        <v/>
      </c>
      <c r="D619" s="7">
        <f>'1 datos preparados'!C612</f>
        <v/>
      </c>
      <c r="E619" s="7">
        <f>'1 datos preparados'!D612</f>
        <v/>
      </c>
      <c r="F619" s="7">
        <f>'1 datos preparados'!E612</f>
        <v/>
      </c>
      <c r="G619" s="7">
        <f>'1 datos preparados'!F612</f>
        <v/>
      </c>
      <c r="H619" s="7">
        <f>'1 datos preparados'!G612</f>
        <v/>
      </c>
      <c r="I619" s="7">
        <f>'1 datos preparados'!H612</f>
        <v/>
      </c>
      <c r="J619" s="7">
        <f>'1 datos preparados'!I612</f>
        <v/>
      </c>
      <c r="K619" s="7">
        <f>'1 datos preparados'!J612</f>
        <v/>
      </c>
      <c r="L619" s="7">
        <f>'1 datos preparados'!K612</f>
        <v/>
      </c>
      <c r="M619" s="7">
        <f>'1 datos preparados'!L612</f>
        <v/>
      </c>
      <c r="N619" s="7">
        <f>'1 datos preparados'!M612</f>
        <v/>
      </c>
      <c r="O619" s="7">
        <f>'1 datos preparados'!N612</f>
        <v/>
      </c>
      <c r="P619" s="7">
        <f>'1 datos preparados'!O612</f>
        <v/>
      </c>
      <c r="Q619" s="7">
        <f>'1 datos preparados'!P612</f>
        <v/>
      </c>
      <c r="R619" s="7">
        <f>'1 datos preparados'!Q612</f>
        <v/>
      </c>
      <c r="S619" s="7">
        <f>'1 datos preparados'!R612</f>
        <v/>
      </c>
      <c r="T619" s="7">
        <f>'1 datos preparados'!S612</f>
        <v/>
      </c>
      <c r="U619" s="7">
        <f>'1 datos preparados'!T612</f>
        <v/>
      </c>
      <c r="V619" s="8">
        <f>$AE$12+D619*$AE$13+E619*$AE$14+F619*$AE$15+G619*$AE$16+H619*$AE$17+I619*$AE$18+J619*$AE$19+K619*$AE$20+L619*$AE$21+M619*$AE$22+N619*$AE$23+O619*$AE$24+P619*$AE$25+Q619*$AE$26+R619*$AE$27+S619*$AE$28+T619*$AE$29+U619*$AE$30</f>
        <v/>
      </c>
      <c r="W619" s="8">
        <f>1/(1+EXP(-V619))</f>
        <v/>
      </c>
      <c r="X619" s="9">
        <f>-IF(C619=1,LN(W619),LN(1-W619))</f>
        <v/>
      </c>
      <c r="Y619" s="8">
        <f>IF(C619=1,$AE$32,$AE$33)</f>
        <v/>
      </c>
      <c r="Z619" s="9">
        <f>Y619*X619</f>
        <v/>
      </c>
      <c r="AA619" s="10">
        <f>IF(W619&gt;$AE$34,1,0)</f>
        <v/>
      </c>
      <c r="AB619">
        <f>IF(AA619=C619,1,0)</f>
        <v/>
      </c>
    </row>
    <row r="620">
      <c r="A620">
        <f>'1 datos preparados'!A613</f>
        <v/>
      </c>
      <c r="B620" s="5">
        <f>'1 datos preparados'!U613</f>
        <v/>
      </c>
      <c r="C620">
        <f>'1 datos preparados'!B613</f>
        <v/>
      </c>
      <c r="D620" s="7">
        <f>'1 datos preparados'!C613</f>
        <v/>
      </c>
      <c r="E620" s="7">
        <f>'1 datos preparados'!D613</f>
        <v/>
      </c>
      <c r="F620" s="7">
        <f>'1 datos preparados'!E613</f>
        <v/>
      </c>
      <c r="G620" s="7">
        <f>'1 datos preparados'!F613</f>
        <v/>
      </c>
      <c r="H620" s="7">
        <f>'1 datos preparados'!G613</f>
        <v/>
      </c>
      <c r="I620" s="7">
        <f>'1 datos preparados'!H613</f>
        <v/>
      </c>
      <c r="J620" s="7">
        <f>'1 datos preparados'!I613</f>
        <v/>
      </c>
      <c r="K620" s="7">
        <f>'1 datos preparados'!J613</f>
        <v/>
      </c>
      <c r="L620" s="7">
        <f>'1 datos preparados'!K613</f>
        <v/>
      </c>
      <c r="M620" s="7">
        <f>'1 datos preparados'!L613</f>
        <v/>
      </c>
      <c r="N620" s="7">
        <f>'1 datos preparados'!M613</f>
        <v/>
      </c>
      <c r="O620" s="7">
        <f>'1 datos preparados'!N613</f>
        <v/>
      </c>
      <c r="P620" s="7">
        <f>'1 datos preparados'!O613</f>
        <v/>
      </c>
      <c r="Q620" s="7">
        <f>'1 datos preparados'!P613</f>
        <v/>
      </c>
      <c r="R620" s="7">
        <f>'1 datos preparados'!Q613</f>
        <v/>
      </c>
      <c r="S620" s="7">
        <f>'1 datos preparados'!R613</f>
        <v/>
      </c>
      <c r="T620" s="7">
        <f>'1 datos preparados'!S613</f>
        <v/>
      </c>
      <c r="U620" s="7">
        <f>'1 datos preparados'!T613</f>
        <v/>
      </c>
      <c r="V620" s="8">
        <f>$AE$12+D620*$AE$13+E620*$AE$14+F620*$AE$15+G620*$AE$16+H620*$AE$17+I620*$AE$18+J620*$AE$19+K620*$AE$20+L620*$AE$21+M620*$AE$22+N620*$AE$23+O620*$AE$24+P620*$AE$25+Q620*$AE$26+R620*$AE$27+S620*$AE$28+T620*$AE$29+U620*$AE$30</f>
        <v/>
      </c>
      <c r="W620" s="8">
        <f>1/(1+EXP(-V620))</f>
        <v/>
      </c>
      <c r="X620" s="9">
        <f>-IF(C620=1,LN(W620),LN(1-W620))</f>
        <v/>
      </c>
      <c r="Y620" s="8">
        <f>IF(C620=1,$AE$32,$AE$33)</f>
        <v/>
      </c>
      <c r="Z620" s="9">
        <f>Y620*X620</f>
        <v/>
      </c>
      <c r="AA620" s="10">
        <f>IF(W620&gt;$AE$34,1,0)</f>
        <v/>
      </c>
      <c r="AB620">
        <f>IF(AA620=C620,1,0)</f>
        <v/>
      </c>
    </row>
    <row r="621">
      <c r="A621">
        <f>'1 datos preparados'!A614</f>
        <v/>
      </c>
      <c r="B621" s="5">
        <f>'1 datos preparados'!U614</f>
        <v/>
      </c>
      <c r="C621">
        <f>'1 datos preparados'!B614</f>
        <v/>
      </c>
      <c r="D621" s="7">
        <f>'1 datos preparados'!C614</f>
        <v/>
      </c>
      <c r="E621" s="7">
        <f>'1 datos preparados'!D614</f>
        <v/>
      </c>
      <c r="F621" s="7">
        <f>'1 datos preparados'!E614</f>
        <v/>
      </c>
      <c r="G621" s="7">
        <f>'1 datos preparados'!F614</f>
        <v/>
      </c>
      <c r="H621" s="7">
        <f>'1 datos preparados'!G614</f>
        <v/>
      </c>
      <c r="I621" s="7">
        <f>'1 datos preparados'!H614</f>
        <v/>
      </c>
      <c r="J621" s="7">
        <f>'1 datos preparados'!I614</f>
        <v/>
      </c>
      <c r="K621" s="7">
        <f>'1 datos preparados'!J614</f>
        <v/>
      </c>
      <c r="L621" s="7">
        <f>'1 datos preparados'!K614</f>
        <v/>
      </c>
      <c r="M621" s="7">
        <f>'1 datos preparados'!L614</f>
        <v/>
      </c>
      <c r="N621" s="7">
        <f>'1 datos preparados'!M614</f>
        <v/>
      </c>
      <c r="O621" s="7">
        <f>'1 datos preparados'!N614</f>
        <v/>
      </c>
      <c r="P621" s="7">
        <f>'1 datos preparados'!O614</f>
        <v/>
      </c>
      <c r="Q621" s="7">
        <f>'1 datos preparados'!P614</f>
        <v/>
      </c>
      <c r="R621" s="7">
        <f>'1 datos preparados'!Q614</f>
        <v/>
      </c>
      <c r="S621" s="7">
        <f>'1 datos preparados'!R614</f>
        <v/>
      </c>
      <c r="T621" s="7">
        <f>'1 datos preparados'!S614</f>
        <v/>
      </c>
      <c r="U621" s="7">
        <f>'1 datos preparados'!T614</f>
        <v/>
      </c>
      <c r="V621" s="8">
        <f>$AE$12+D621*$AE$13+E621*$AE$14+F621*$AE$15+G621*$AE$16+H621*$AE$17+I621*$AE$18+J621*$AE$19+K621*$AE$20+L621*$AE$21+M621*$AE$22+N621*$AE$23+O621*$AE$24+P621*$AE$25+Q621*$AE$26+R621*$AE$27+S621*$AE$28+T621*$AE$29+U621*$AE$30</f>
        <v/>
      </c>
      <c r="W621" s="8">
        <f>1/(1+EXP(-V621))</f>
        <v/>
      </c>
      <c r="X621" s="9">
        <f>-IF(C621=1,LN(W621),LN(1-W621))</f>
        <v/>
      </c>
      <c r="Y621" s="8">
        <f>IF(C621=1,$AE$32,$AE$33)</f>
        <v/>
      </c>
      <c r="Z621" s="9">
        <f>Y621*X621</f>
        <v/>
      </c>
      <c r="AA621" s="10">
        <f>IF(W621&gt;$AE$34,1,0)</f>
        <v/>
      </c>
      <c r="AB621">
        <f>IF(AA621=C621,1,0)</f>
        <v/>
      </c>
    </row>
    <row r="622">
      <c r="A622">
        <f>'1 datos preparados'!A615</f>
        <v/>
      </c>
      <c r="B622" s="5">
        <f>'1 datos preparados'!U615</f>
        <v/>
      </c>
      <c r="C622">
        <f>'1 datos preparados'!B615</f>
        <v/>
      </c>
      <c r="D622" s="7">
        <f>'1 datos preparados'!C615</f>
        <v/>
      </c>
      <c r="E622" s="7">
        <f>'1 datos preparados'!D615</f>
        <v/>
      </c>
      <c r="F622" s="7">
        <f>'1 datos preparados'!E615</f>
        <v/>
      </c>
      <c r="G622" s="7">
        <f>'1 datos preparados'!F615</f>
        <v/>
      </c>
      <c r="H622" s="7">
        <f>'1 datos preparados'!G615</f>
        <v/>
      </c>
      <c r="I622" s="7">
        <f>'1 datos preparados'!H615</f>
        <v/>
      </c>
      <c r="J622" s="7">
        <f>'1 datos preparados'!I615</f>
        <v/>
      </c>
      <c r="K622" s="7">
        <f>'1 datos preparados'!J615</f>
        <v/>
      </c>
      <c r="L622" s="7">
        <f>'1 datos preparados'!K615</f>
        <v/>
      </c>
      <c r="M622" s="7">
        <f>'1 datos preparados'!L615</f>
        <v/>
      </c>
      <c r="N622" s="7">
        <f>'1 datos preparados'!M615</f>
        <v/>
      </c>
      <c r="O622" s="7">
        <f>'1 datos preparados'!N615</f>
        <v/>
      </c>
      <c r="P622" s="7">
        <f>'1 datos preparados'!O615</f>
        <v/>
      </c>
      <c r="Q622" s="7">
        <f>'1 datos preparados'!P615</f>
        <v/>
      </c>
      <c r="R622" s="7">
        <f>'1 datos preparados'!Q615</f>
        <v/>
      </c>
      <c r="S622" s="7">
        <f>'1 datos preparados'!R615</f>
        <v/>
      </c>
      <c r="T622" s="7">
        <f>'1 datos preparados'!S615</f>
        <v/>
      </c>
      <c r="U622" s="7">
        <f>'1 datos preparados'!T615</f>
        <v/>
      </c>
      <c r="V622" s="8">
        <f>$AE$12+D622*$AE$13+E622*$AE$14+F622*$AE$15+G622*$AE$16+H622*$AE$17+I622*$AE$18+J622*$AE$19+K622*$AE$20+L622*$AE$21+M622*$AE$22+N622*$AE$23+O622*$AE$24+P622*$AE$25+Q622*$AE$26+R622*$AE$27+S622*$AE$28+T622*$AE$29+U622*$AE$30</f>
        <v/>
      </c>
      <c r="W622" s="8">
        <f>1/(1+EXP(-V622))</f>
        <v/>
      </c>
      <c r="X622" s="9">
        <f>-IF(C622=1,LN(W622),LN(1-W622))</f>
        <v/>
      </c>
      <c r="Y622" s="8">
        <f>IF(C622=1,$AE$32,$AE$33)</f>
        <v/>
      </c>
      <c r="Z622" s="9">
        <f>Y622*X622</f>
        <v/>
      </c>
      <c r="AA622" s="10">
        <f>IF(W622&gt;$AE$34,1,0)</f>
        <v/>
      </c>
      <c r="AB622">
        <f>IF(AA622=C622,1,0)</f>
        <v/>
      </c>
    </row>
    <row r="623">
      <c r="A623">
        <f>'1 datos preparados'!A616</f>
        <v/>
      </c>
      <c r="B623" s="5">
        <f>'1 datos preparados'!U616</f>
        <v/>
      </c>
      <c r="C623">
        <f>'1 datos preparados'!B616</f>
        <v/>
      </c>
      <c r="D623" s="7">
        <f>'1 datos preparados'!C616</f>
        <v/>
      </c>
      <c r="E623" s="7">
        <f>'1 datos preparados'!D616</f>
        <v/>
      </c>
      <c r="F623" s="7">
        <f>'1 datos preparados'!E616</f>
        <v/>
      </c>
      <c r="G623" s="7">
        <f>'1 datos preparados'!F616</f>
        <v/>
      </c>
      <c r="H623" s="7">
        <f>'1 datos preparados'!G616</f>
        <v/>
      </c>
      <c r="I623" s="7">
        <f>'1 datos preparados'!H616</f>
        <v/>
      </c>
      <c r="J623" s="7">
        <f>'1 datos preparados'!I616</f>
        <v/>
      </c>
      <c r="K623" s="7">
        <f>'1 datos preparados'!J616</f>
        <v/>
      </c>
      <c r="L623" s="7">
        <f>'1 datos preparados'!K616</f>
        <v/>
      </c>
      <c r="M623" s="7">
        <f>'1 datos preparados'!L616</f>
        <v/>
      </c>
      <c r="N623" s="7">
        <f>'1 datos preparados'!M616</f>
        <v/>
      </c>
      <c r="O623" s="7">
        <f>'1 datos preparados'!N616</f>
        <v/>
      </c>
      <c r="P623" s="7">
        <f>'1 datos preparados'!O616</f>
        <v/>
      </c>
      <c r="Q623" s="7">
        <f>'1 datos preparados'!P616</f>
        <v/>
      </c>
      <c r="R623" s="7">
        <f>'1 datos preparados'!Q616</f>
        <v/>
      </c>
      <c r="S623" s="7">
        <f>'1 datos preparados'!R616</f>
        <v/>
      </c>
      <c r="T623" s="7">
        <f>'1 datos preparados'!S616</f>
        <v/>
      </c>
      <c r="U623" s="7">
        <f>'1 datos preparados'!T616</f>
        <v/>
      </c>
      <c r="V623" s="8">
        <f>$AE$12+D623*$AE$13+E623*$AE$14+F623*$AE$15+G623*$AE$16+H623*$AE$17+I623*$AE$18+J623*$AE$19+K623*$AE$20+L623*$AE$21+M623*$AE$22+N623*$AE$23+O623*$AE$24+P623*$AE$25+Q623*$AE$26+R623*$AE$27+S623*$AE$28+T623*$AE$29+U623*$AE$30</f>
        <v/>
      </c>
      <c r="W623" s="8">
        <f>1/(1+EXP(-V623))</f>
        <v/>
      </c>
      <c r="X623" s="9">
        <f>-IF(C623=1,LN(W623),LN(1-W623))</f>
        <v/>
      </c>
      <c r="Y623" s="8">
        <f>IF(C623=1,$AE$32,$AE$33)</f>
        <v/>
      </c>
      <c r="Z623" s="9">
        <f>Y623*X623</f>
        <v/>
      </c>
      <c r="AA623" s="10">
        <f>IF(W623&gt;$AE$34,1,0)</f>
        <v/>
      </c>
      <c r="AB623">
        <f>IF(AA623=C623,1,0)</f>
        <v/>
      </c>
    </row>
    <row r="624">
      <c r="A624">
        <f>'1 datos preparados'!A617</f>
        <v/>
      </c>
      <c r="B624" s="5">
        <f>'1 datos preparados'!U617</f>
        <v/>
      </c>
      <c r="C624">
        <f>'1 datos preparados'!B617</f>
        <v/>
      </c>
      <c r="D624" s="7">
        <f>'1 datos preparados'!C617</f>
        <v/>
      </c>
      <c r="E624" s="7">
        <f>'1 datos preparados'!D617</f>
        <v/>
      </c>
      <c r="F624" s="7">
        <f>'1 datos preparados'!E617</f>
        <v/>
      </c>
      <c r="G624" s="7">
        <f>'1 datos preparados'!F617</f>
        <v/>
      </c>
      <c r="H624" s="7">
        <f>'1 datos preparados'!G617</f>
        <v/>
      </c>
      <c r="I624" s="7">
        <f>'1 datos preparados'!H617</f>
        <v/>
      </c>
      <c r="J624" s="7">
        <f>'1 datos preparados'!I617</f>
        <v/>
      </c>
      <c r="K624" s="7">
        <f>'1 datos preparados'!J617</f>
        <v/>
      </c>
      <c r="L624" s="7">
        <f>'1 datos preparados'!K617</f>
        <v/>
      </c>
      <c r="M624" s="7">
        <f>'1 datos preparados'!L617</f>
        <v/>
      </c>
      <c r="N624" s="7">
        <f>'1 datos preparados'!M617</f>
        <v/>
      </c>
      <c r="O624" s="7">
        <f>'1 datos preparados'!N617</f>
        <v/>
      </c>
      <c r="P624" s="7">
        <f>'1 datos preparados'!O617</f>
        <v/>
      </c>
      <c r="Q624" s="7">
        <f>'1 datos preparados'!P617</f>
        <v/>
      </c>
      <c r="R624" s="7">
        <f>'1 datos preparados'!Q617</f>
        <v/>
      </c>
      <c r="S624" s="7">
        <f>'1 datos preparados'!R617</f>
        <v/>
      </c>
      <c r="T624" s="7">
        <f>'1 datos preparados'!S617</f>
        <v/>
      </c>
      <c r="U624" s="7">
        <f>'1 datos preparados'!T617</f>
        <v/>
      </c>
      <c r="V624" s="8">
        <f>$AE$12+D624*$AE$13+E624*$AE$14+F624*$AE$15+G624*$AE$16+H624*$AE$17+I624*$AE$18+J624*$AE$19+K624*$AE$20+L624*$AE$21+M624*$AE$22+N624*$AE$23+O624*$AE$24+P624*$AE$25+Q624*$AE$26+R624*$AE$27+S624*$AE$28+T624*$AE$29+U624*$AE$30</f>
        <v/>
      </c>
      <c r="W624" s="8">
        <f>1/(1+EXP(-V624))</f>
        <v/>
      </c>
      <c r="X624" s="9">
        <f>-IF(C624=1,LN(W624),LN(1-W624))</f>
        <v/>
      </c>
      <c r="Y624" s="8">
        <f>IF(C624=1,$AE$32,$AE$33)</f>
        <v/>
      </c>
      <c r="Z624" s="9">
        <f>Y624*X624</f>
        <v/>
      </c>
      <c r="AA624" s="10">
        <f>IF(W624&gt;$AE$34,1,0)</f>
        <v/>
      </c>
      <c r="AB624">
        <f>IF(AA624=C624,1,0)</f>
        <v/>
      </c>
    </row>
    <row r="625">
      <c r="A625">
        <f>'1 datos preparados'!A618</f>
        <v/>
      </c>
      <c r="B625" s="5">
        <f>'1 datos preparados'!U618</f>
        <v/>
      </c>
      <c r="C625">
        <f>'1 datos preparados'!B618</f>
        <v/>
      </c>
      <c r="D625" s="7">
        <f>'1 datos preparados'!C618</f>
        <v/>
      </c>
      <c r="E625" s="7">
        <f>'1 datos preparados'!D618</f>
        <v/>
      </c>
      <c r="F625" s="7">
        <f>'1 datos preparados'!E618</f>
        <v/>
      </c>
      <c r="G625" s="7">
        <f>'1 datos preparados'!F618</f>
        <v/>
      </c>
      <c r="H625" s="7">
        <f>'1 datos preparados'!G618</f>
        <v/>
      </c>
      <c r="I625" s="7">
        <f>'1 datos preparados'!H618</f>
        <v/>
      </c>
      <c r="J625" s="7">
        <f>'1 datos preparados'!I618</f>
        <v/>
      </c>
      <c r="K625" s="7">
        <f>'1 datos preparados'!J618</f>
        <v/>
      </c>
      <c r="L625" s="7">
        <f>'1 datos preparados'!K618</f>
        <v/>
      </c>
      <c r="M625" s="7">
        <f>'1 datos preparados'!L618</f>
        <v/>
      </c>
      <c r="N625" s="7">
        <f>'1 datos preparados'!M618</f>
        <v/>
      </c>
      <c r="O625" s="7">
        <f>'1 datos preparados'!N618</f>
        <v/>
      </c>
      <c r="P625" s="7">
        <f>'1 datos preparados'!O618</f>
        <v/>
      </c>
      <c r="Q625" s="7">
        <f>'1 datos preparados'!P618</f>
        <v/>
      </c>
      <c r="R625" s="7">
        <f>'1 datos preparados'!Q618</f>
        <v/>
      </c>
      <c r="S625" s="7">
        <f>'1 datos preparados'!R618</f>
        <v/>
      </c>
      <c r="T625" s="7">
        <f>'1 datos preparados'!S618</f>
        <v/>
      </c>
      <c r="U625" s="7">
        <f>'1 datos preparados'!T618</f>
        <v/>
      </c>
      <c r="V625" s="8">
        <f>$AE$12+D625*$AE$13+E625*$AE$14+F625*$AE$15+G625*$AE$16+H625*$AE$17+I625*$AE$18+J625*$AE$19+K625*$AE$20+L625*$AE$21+M625*$AE$22+N625*$AE$23+O625*$AE$24+P625*$AE$25+Q625*$AE$26+R625*$AE$27+S625*$AE$28+T625*$AE$29+U625*$AE$30</f>
        <v/>
      </c>
      <c r="W625" s="8">
        <f>1/(1+EXP(-V625))</f>
        <v/>
      </c>
      <c r="X625" s="9">
        <f>-IF(C625=1,LN(W625),LN(1-W625))</f>
        <v/>
      </c>
      <c r="Y625" s="8">
        <f>IF(C625=1,$AE$32,$AE$33)</f>
        <v/>
      </c>
      <c r="Z625" s="9">
        <f>Y625*X625</f>
        <v/>
      </c>
      <c r="AA625" s="10">
        <f>IF(W625&gt;$AE$34,1,0)</f>
        <v/>
      </c>
      <c r="AB625">
        <f>IF(AA625=C625,1,0)</f>
        <v/>
      </c>
    </row>
    <row r="626">
      <c r="A626">
        <f>'1 datos preparados'!A619</f>
        <v/>
      </c>
      <c r="B626" s="5">
        <f>'1 datos preparados'!U619</f>
        <v/>
      </c>
      <c r="C626">
        <f>'1 datos preparados'!B619</f>
        <v/>
      </c>
      <c r="D626" s="7">
        <f>'1 datos preparados'!C619</f>
        <v/>
      </c>
      <c r="E626" s="7">
        <f>'1 datos preparados'!D619</f>
        <v/>
      </c>
      <c r="F626" s="7">
        <f>'1 datos preparados'!E619</f>
        <v/>
      </c>
      <c r="G626" s="7">
        <f>'1 datos preparados'!F619</f>
        <v/>
      </c>
      <c r="H626" s="7">
        <f>'1 datos preparados'!G619</f>
        <v/>
      </c>
      <c r="I626" s="7">
        <f>'1 datos preparados'!H619</f>
        <v/>
      </c>
      <c r="J626" s="7">
        <f>'1 datos preparados'!I619</f>
        <v/>
      </c>
      <c r="K626" s="7">
        <f>'1 datos preparados'!J619</f>
        <v/>
      </c>
      <c r="L626" s="7">
        <f>'1 datos preparados'!K619</f>
        <v/>
      </c>
      <c r="M626" s="7">
        <f>'1 datos preparados'!L619</f>
        <v/>
      </c>
      <c r="N626" s="7">
        <f>'1 datos preparados'!M619</f>
        <v/>
      </c>
      <c r="O626" s="7">
        <f>'1 datos preparados'!N619</f>
        <v/>
      </c>
      <c r="P626" s="7">
        <f>'1 datos preparados'!O619</f>
        <v/>
      </c>
      <c r="Q626" s="7">
        <f>'1 datos preparados'!P619</f>
        <v/>
      </c>
      <c r="R626" s="7">
        <f>'1 datos preparados'!Q619</f>
        <v/>
      </c>
      <c r="S626" s="7">
        <f>'1 datos preparados'!R619</f>
        <v/>
      </c>
      <c r="T626" s="7">
        <f>'1 datos preparados'!S619</f>
        <v/>
      </c>
      <c r="U626" s="7">
        <f>'1 datos preparados'!T619</f>
        <v/>
      </c>
      <c r="V626" s="8">
        <f>$AE$12+D626*$AE$13+E626*$AE$14+F626*$AE$15+G626*$AE$16+H626*$AE$17+I626*$AE$18+J626*$AE$19+K626*$AE$20+L626*$AE$21+M626*$AE$22+N626*$AE$23+O626*$AE$24+P626*$AE$25+Q626*$AE$26+R626*$AE$27+S626*$AE$28+T626*$AE$29+U626*$AE$30</f>
        <v/>
      </c>
      <c r="W626" s="8">
        <f>1/(1+EXP(-V626))</f>
        <v/>
      </c>
      <c r="X626" s="9">
        <f>-IF(C626=1,LN(W626),LN(1-W626))</f>
        <v/>
      </c>
      <c r="Y626" s="8">
        <f>IF(C626=1,$AE$32,$AE$33)</f>
        <v/>
      </c>
      <c r="Z626" s="9">
        <f>Y626*X626</f>
        <v/>
      </c>
      <c r="AA626" s="10">
        <f>IF(W626&gt;$AE$34,1,0)</f>
        <v/>
      </c>
      <c r="AB626">
        <f>IF(AA626=C626,1,0)</f>
        <v/>
      </c>
    </row>
    <row r="627">
      <c r="A627">
        <f>'1 datos preparados'!A620</f>
        <v/>
      </c>
      <c r="B627" s="5">
        <f>'1 datos preparados'!U620</f>
        <v/>
      </c>
      <c r="C627">
        <f>'1 datos preparados'!B620</f>
        <v/>
      </c>
      <c r="D627" s="7">
        <f>'1 datos preparados'!C620</f>
        <v/>
      </c>
      <c r="E627" s="7">
        <f>'1 datos preparados'!D620</f>
        <v/>
      </c>
      <c r="F627" s="7">
        <f>'1 datos preparados'!E620</f>
        <v/>
      </c>
      <c r="G627" s="7">
        <f>'1 datos preparados'!F620</f>
        <v/>
      </c>
      <c r="H627" s="7">
        <f>'1 datos preparados'!G620</f>
        <v/>
      </c>
      <c r="I627" s="7">
        <f>'1 datos preparados'!H620</f>
        <v/>
      </c>
      <c r="J627" s="7">
        <f>'1 datos preparados'!I620</f>
        <v/>
      </c>
      <c r="K627" s="7">
        <f>'1 datos preparados'!J620</f>
        <v/>
      </c>
      <c r="L627" s="7">
        <f>'1 datos preparados'!K620</f>
        <v/>
      </c>
      <c r="M627" s="7">
        <f>'1 datos preparados'!L620</f>
        <v/>
      </c>
      <c r="N627" s="7">
        <f>'1 datos preparados'!M620</f>
        <v/>
      </c>
      <c r="O627" s="7">
        <f>'1 datos preparados'!N620</f>
        <v/>
      </c>
      <c r="P627" s="7">
        <f>'1 datos preparados'!O620</f>
        <v/>
      </c>
      <c r="Q627" s="7">
        <f>'1 datos preparados'!P620</f>
        <v/>
      </c>
      <c r="R627" s="7">
        <f>'1 datos preparados'!Q620</f>
        <v/>
      </c>
      <c r="S627" s="7">
        <f>'1 datos preparados'!R620</f>
        <v/>
      </c>
      <c r="T627" s="7">
        <f>'1 datos preparados'!S620</f>
        <v/>
      </c>
      <c r="U627" s="7">
        <f>'1 datos preparados'!T620</f>
        <v/>
      </c>
      <c r="V627" s="8">
        <f>$AE$12+D627*$AE$13+E627*$AE$14+F627*$AE$15+G627*$AE$16+H627*$AE$17+I627*$AE$18+J627*$AE$19+K627*$AE$20+L627*$AE$21+M627*$AE$22+N627*$AE$23+O627*$AE$24+P627*$AE$25+Q627*$AE$26+R627*$AE$27+S627*$AE$28+T627*$AE$29+U627*$AE$30</f>
        <v/>
      </c>
      <c r="W627" s="8">
        <f>1/(1+EXP(-V627))</f>
        <v/>
      </c>
      <c r="X627" s="9">
        <f>-IF(C627=1,LN(W627),LN(1-W627))</f>
        <v/>
      </c>
      <c r="Y627" s="8">
        <f>IF(C627=1,$AE$32,$AE$33)</f>
        <v/>
      </c>
      <c r="Z627" s="9">
        <f>Y627*X627</f>
        <v/>
      </c>
      <c r="AA627" s="10">
        <f>IF(W627&gt;$AE$34,1,0)</f>
        <v/>
      </c>
      <c r="AB627">
        <f>IF(AA627=C627,1,0)</f>
        <v/>
      </c>
    </row>
    <row r="628">
      <c r="A628">
        <f>'1 datos preparados'!A621</f>
        <v/>
      </c>
      <c r="B628" s="5">
        <f>'1 datos preparados'!U621</f>
        <v/>
      </c>
      <c r="C628">
        <f>'1 datos preparados'!B621</f>
        <v/>
      </c>
      <c r="D628" s="7">
        <f>'1 datos preparados'!C621</f>
        <v/>
      </c>
      <c r="E628" s="7">
        <f>'1 datos preparados'!D621</f>
        <v/>
      </c>
      <c r="F628" s="7">
        <f>'1 datos preparados'!E621</f>
        <v/>
      </c>
      <c r="G628" s="7">
        <f>'1 datos preparados'!F621</f>
        <v/>
      </c>
      <c r="H628" s="7">
        <f>'1 datos preparados'!G621</f>
        <v/>
      </c>
      <c r="I628" s="7">
        <f>'1 datos preparados'!H621</f>
        <v/>
      </c>
      <c r="J628" s="7">
        <f>'1 datos preparados'!I621</f>
        <v/>
      </c>
      <c r="K628" s="7">
        <f>'1 datos preparados'!J621</f>
        <v/>
      </c>
      <c r="L628" s="7">
        <f>'1 datos preparados'!K621</f>
        <v/>
      </c>
      <c r="M628" s="7">
        <f>'1 datos preparados'!L621</f>
        <v/>
      </c>
      <c r="N628" s="7">
        <f>'1 datos preparados'!M621</f>
        <v/>
      </c>
      <c r="O628" s="7">
        <f>'1 datos preparados'!N621</f>
        <v/>
      </c>
      <c r="P628" s="7">
        <f>'1 datos preparados'!O621</f>
        <v/>
      </c>
      <c r="Q628" s="7">
        <f>'1 datos preparados'!P621</f>
        <v/>
      </c>
      <c r="R628" s="7">
        <f>'1 datos preparados'!Q621</f>
        <v/>
      </c>
      <c r="S628" s="7">
        <f>'1 datos preparados'!R621</f>
        <v/>
      </c>
      <c r="T628" s="7">
        <f>'1 datos preparados'!S621</f>
        <v/>
      </c>
      <c r="U628" s="7">
        <f>'1 datos preparados'!T621</f>
        <v/>
      </c>
      <c r="V628" s="8">
        <f>$AE$12+D628*$AE$13+E628*$AE$14+F628*$AE$15+G628*$AE$16+H628*$AE$17+I628*$AE$18+J628*$AE$19+K628*$AE$20+L628*$AE$21+M628*$AE$22+N628*$AE$23+O628*$AE$24+P628*$AE$25+Q628*$AE$26+R628*$AE$27+S628*$AE$28+T628*$AE$29+U628*$AE$30</f>
        <v/>
      </c>
      <c r="W628" s="8">
        <f>1/(1+EXP(-V628))</f>
        <v/>
      </c>
      <c r="X628" s="9">
        <f>-IF(C628=1,LN(W628),LN(1-W628))</f>
        <v/>
      </c>
      <c r="Y628" s="8">
        <f>IF(C628=1,$AE$32,$AE$33)</f>
        <v/>
      </c>
      <c r="Z628" s="9">
        <f>Y628*X628</f>
        <v/>
      </c>
      <c r="AA628" s="10">
        <f>IF(W628&gt;$AE$34,1,0)</f>
        <v/>
      </c>
      <c r="AB628">
        <f>IF(AA628=C628,1,0)</f>
        <v/>
      </c>
    </row>
    <row r="629">
      <c r="A629">
        <f>'1 datos preparados'!A622</f>
        <v/>
      </c>
      <c r="B629" s="5">
        <f>'1 datos preparados'!U622</f>
        <v/>
      </c>
      <c r="C629">
        <f>'1 datos preparados'!B622</f>
        <v/>
      </c>
      <c r="D629" s="7">
        <f>'1 datos preparados'!C622</f>
        <v/>
      </c>
      <c r="E629" s="7">
        <f>'1 datos preparados'!D622</f>
        <v/>
      </c>
      <c r="F629" s="7">
        <f>'1 datos preparados'!E622</f>
        <v/>
      </c>
      <c r="G629" s="7">
        <f>'1 datos preparados'!F622</f>
        <v/>
      </c>
      <c r="H629" s="7">
        <f>'1 datos preparados'!G622</f>
        <v/>
      </c>
      <c r="I629" s="7">
        <f>'1 datos preparados'!H622</f>
        <v/>
      </c>
      <c r="J629" s="7">
        <f>'1 datos preparados'!I622</f>
        <v/>
      </c>
      <c r="K629" s="7">
        <f>'1 datos preparados'!J622</f>
        <v/>
      </c>
      <c r="L629" s="7">
        <f>'1 datos preparados'!K622</f>
        <v/>
      </c>
      <c r="M629" s="7">
        <f>'1 datos preparados'!L622</f>
        <v/>
      </c>
      <c r="N629" s="7">
        <f>'1 datos preparados'!M622</f>
        <v/>
      </c>
      <c r="O629" s="7">
        <f>'1 datos preparados'!N622</f>
        <v/>
      </c>
      <c r="P629" s="7">
        <f>'1 datos preparados'!O622</f>
        <v/>
      </c>
      <c r="Q629" s="7">
        <f>'1 datos preparados'!P622</f>
        <v/>
      </c>
      <c r="R629" s="7">
        <f>'1 datos preparados'!Q622</f>
        <v/>
      </c>
      <c r="S629" s="7">
        <f>'1 datos preparados'!R622</f>
        <v/>
      </c>
      <c r="T629" s="7">
        <f>'1 datos preparados'!S622</f>
        <v/>
      </c>
      <c r="U629" s="7">
        <f>'1 datos preparados'!T622</f>
        <v/>
      </c>
      <c r="V629" s="8">
        <f>$AE$12+D629*$AE$13+E629*$AE$14+F629*$AE$15+G629*$AE$16+H629*$AE$17+I629*$AE$18+J629*$AE$19+K629*$AE$20+L629*$AE$21+M629*$AE$22+N629*$AE$23+O629*$AE$24+P629*$AE$25+Q629*$AE$26+R629*$AE$27+S629*$AE$28+T629*$AE$29+U629*$AE$30</f>
        <v/>
      </c>
      <c r="W629" s="8">
        <f>1/(1+EXP(-V629))</f>
        <v/>
      </c>
      <c r="X629" s="9">
        <f>-IF(C629=1,LN(W629),LN(1-W629))</f>
        <v/>
      </c>
      <c r="Y629" s="8">
        <f>IF(C629=1,$AE$32,$AE$33)</f>
        <v/>
      </c>
      <c r="Z629" s="9">
        <f>Y629*X629</f>
        <v/>
      </c>
      <c r="AA629" s="10">
        <f>IF(W629&gt;$AE$34,1,0)</f>
        <v/>
      </c>
      <c r="AB629">
        <f>IF(AA629=C629,1,0)</f>
        <v/>
      </c>
    </row>
    <row r="630">
      <c r="A630">
        <f>'1 datos preparados'!A623</f>
        <v/>
      </c>
      <c r="B630" s="5">
        <f>'1 datos preparados'!U623</f>
        <v/>
      </c>
      <c r="C630">
        <f>'1 datos preparados'!B623</f>
        <v/>
      </c>
      <c r="D630" s="7">
        <f>'1 datos preparados'!C623</f>
        <v/>
      </c>
      <c r="E630" s="7">
        <f>'1 datos preparados'!D623</f>
        <v/>
      </c>
      <c r="F630" s="7">
        <f>'1 datos preparados'!E623</f>
        <v/>
      </c>
      <c r="G630" s="7">
        <f>'1 datos preparados'!F623</f>
        <v/>
      </c>
      <c r="H630" s="7">
        <f>'1 datos preparados'!G623</f>
        <v/>
      </c>
      <c r="I630" s="7">
        <f>'1 datos preparados'!H623</f>
        <v/>
      </c>
      <c r="J630" s="7">
        <f>'1 datos preparados'!I623</f>
        <v/>
      </c>
      <c r="K630" s="7">
        <f>'1 datos preparados'!J623</f>
        <v/>
      </c>
      <c r="L630" s="7">
        <f>'1 datos preparados'!K623</f>
        <v/>
      </c>
      <c r="M630" s="7">
        <f>'1 datos preparados'!L623</f>
        <v/>
      </c>
      <c r="N630" s="7">
        <f>'1 datos preparados'!M623</f>
        <v/>
      </c>
      <c r="O630" s="7">
        <f>'1 datos preparados'!N623</f>
        <v/>
      </c>
      <c r="P630" s="7">
        <f>'1 datos preparados'!O623</f>
        <v/>
      </c>
      <c r="Q630" s="7">
        <f>'1 datos preparados'!P623</f>
        <v/>
      </c>
      <c r="R630" s="7">
        <f>'1 datos preparados'!Q623</f>
        <v/>
      </c>
      <c r="S630" s="7">
        <f>'1 datos preparados'!R623</f>
        <v/>
      </c>
      <c r="T630" s="7">
        <f>'1 datos preparados'!S623</f>
        <v/>
      </c>
      <c r="U630" s="7">
        <f>'1 datos preparados'!T623</f>
        <v/>
      </c>
      <c r="V630" s="8">
        <f>$AE$12+D630*$AE$13+E630*$AE$14+F630*$AE$15+G630*$AE$16+H630*$AE$17+I630*$AE$18+J630*$AE$19+K630*$AE$20+L630*$AE$21+M630*$AE$22+N630*$AE$23+O630*$AE$24+P630*$AE$25+Q630*$AE$26+R630*$AE$27+S630*$AE$28+T630*$AE$29+U630*$AE$30</f>
        <v/>
      </c>
      <c r="W630" s="8">
        <f>1/(1+EXP(-V630))</f>
        <v/>
      </c>
      <c r="X630" s="9">
        <f>-IF(C630=1,LN(W630),LN(1-W630))</f>
        <v/>
      </c>
      <c r="Y630" s="8">
        <f>IF(C630=1,$AE$32,$AE$33)</f>
        <v/>
      </c>
      <c r="Z630" s="9">
        <f>Y630*X630</f>
        <v/>
      </c>
      <c r="AA630" s="10">
        <f>IF(W630&gt;$AE$34,1,0)</f>
        <v/>
      </c>
      <c r="AB630">
        <f>IF(AA630=C630,1,0)</f>
        <v/>
      </c>
    </row>
    <row r="631">
      <c r="A631">
        <f>'1 datos preparados'!A624</f>
        <v/>
      </c>
      <c r="B631" s="5">
        <f>'1 datos preparados'!U624</f>
        <v/>
      </c>
      <c r="C631">
        <f>'1 datos preparados'!B624</f>
        <v/>
      </c>
      <c r="D631" s="7">
        <f>'1 datos preparados'!C624</f>
        <v/>
      </c>
      <c r="E631" s="7">
        <f>'1 datos preparados'!D624</f>
        <v/>
      </c>
      <c r="F631" s="7">
        <f>'1 datos preparados'!E624</f>
        <v/>
      </c>
      <c r="G631" s="7">
        <f>'1 datos preparados'!F624</f>
        <v/>
      </c>
      <c r="H631" s="7">
        <f>'1 datos preparados'!G624</f>
        <v/>
      </c>
      <c r="I631" s="7">
        <f>'1 datos preparados'!H624</f>
        <v/>
      </c>
      <c r="J631" s="7">
        <f>'1 datos preparados'!I624</f>
        <v/>
      </c>
      <c r="K631" s="7">
        <f>'1 datos preparados'!J624</f>
        <v/>
      </c>
      <c r="L631" s="7">
        <f>'1 datos preparados'!K624</f>
        <v/>
      </c>
      <c r="M631" s="7">
        <f>'1 datos preparados'!L624</f>
        <v/>
      </c>
      <c r="N631" s="7">
        <f>'1 datos preparados'!M624</f>
        <v/>
      </c>
      <c r="O631" s="7">
        <f>'1 datos preparados'!N624</f>
        <v/>
      </c>
      <c r="P631" s="7">
        <f>'1 datos preparados'!O624</f>
        <v/>
      </c>
      <c r="Q631" s="7">
        <f>'1 datos preparados'!P624</f>
        <v/>
      </c>
      <c r="R631" s="7">
        <f>'1 datos preparados'!Q624</f>
        <v/>
      </c>
      <c r="S631" s="7">
        <f>'1 datos preparados'!R624</f>
        <v/>
      </c>
      <c r="T631" s="7">
        <f>'1 datos preparados'!S624</f>
        <v/>
      </c>
      <c r="U631" s="7">
        <f>'1 datos preparados'!T624</f>
        <v/>
      </c>
      <c r="V631" s="8">
        <f>$AE$12+D631*$AE$13+E631*$AE$14+F631*$AE$15+G631*$AE$16+H631*$AE$17+I631*$AE$18+J631*$AE$19+K631*$AE$20+L631*$AE$21+M631*$AE$22+N631*$AE$23+O631*$AE$24+P631*$AE$25+Q631*$AE$26+R631*$AE$27+S631*$AE$28+T631*$AE$29+U631*$AE$30</f>
        <v/>
      </c>
      <c r="W631" s="8">
        <f>1/(1+EXP(-V631))</f>
        <v/>
      </c>
      <c r="X631" s="9">
        <f>-IF(C631=1,LN(W631),LN(1-W631))</f>
        <v/>
      </c>
      <c r="Y631" s="8">
        <f>IF(C631=1,$AE$32,$AE$33)</f>
        <v/>
      </c>
      <c r="Z631" s="9">
        <f>Y631*X631</f>
        <v/>
      </c>
      <c r="AA631" s="10">
        <f>IF(W631&gt;$AE$34,1,0)</f>
        <v/>
      </c>
      <c r="AB631">
        <f>IF(AA631=C631,1,0)</f>
        <v/>
      </c>
    </row>
    <row r="632">
      <c r="A632">
        <f>'1 datos preparados'!A625</f>
        <v/>
      </c>
      <c r="B632" s="5">
        <f>'1 datos preparados'!U625</f>
        <v/>
      </c>
      <c r="C632">
        <f>'1 datos preparados'!B625</f>
        <v/>
      </c>
      <c r="D632" s="7">
        <f>'1 datos preparados'!C625</f>
        <v/>
      </c>
      <c r="E632" s="7">
        <f>'1 datos preparados'!D625</f>
        <v/>
      </c>
      <c r="F632" s="7">
        <f>'1 datos preparados'!E625</f>
        <v/>
      </c>
      <c r="G632" s="7">
        <f>'1 datos preparados'!F625</f>
        <v/>
      </c>
      <c r="H632" s="7">
        <f>'1 datos preparados'!G625</f>
        <v/>
      </c>
      <c r="I632" s="7">
        <f>'1 datos preparados'!H625</f>
        <v/>
      </c>
      <c r="J632" s="7">
        <f>'1 datos preparados'!I625</f>
        <v/>
      </c>
      <c r="K632" s="7">
        <f>'1 datos preparados'!J625</f>
        <v/>
      </c>
      <c r="L632" s="7">
        <f>'1 datos preparados'!K625</f>
        <v/>
      </c>
      <c r="M632" s="7">
        <f>'1 datos preparados'!L625</f>
        <v/>
      </c>
      <c r="N632" s="7">
        <f>'1 datos preparados'!M625</f>
        <v/>
      </c>
      <c r="O632" s="7">
        <f>'1 datos preparados'!N625</f>
        <v/>
      </c>
      <c r="P632" s="7">
        <f>'1 datos preparados'!O625</f>
        <v/>
      </c>
      <c r="Q632" s="7">
        <f>'1 datos preparados'!P625</f>
        <v/>
      </c>
      <c r="R632" s="7">
        <f>'1 datos preparados'!Q625</f>
        <v/>
      </c>
      <c r="S632" s="7">
        <f>'1 datos preparados'!R625</f>
        <v/>
      </c>
      <c r="T632" s="7">
        <f>'1 datos preparados'!S625</f>
        <v/>
      </c>
      <c r="U632" s="7">
        <f>'1 datos preparados'!T625</f>
        <v/>
      </c>
      <c r="V632" s="8">
        <f>$AE$12+D632*$AE$13+E632*$AE$14+F632*$AE$15+G632*$AE$16+H632*$AE$17+I632*$AE$18+J632*$AE$19+K632*$AE$20+L632*$AE$21+M632*$AE$22+N632*$AE$23+O632*$AE$24+P632*$AE$25+Q632*$AE$26+R632*$AE$27+S632*$AE$28+T632*$AE$29+U632*$AE$30</f>
        <v/>
      </c>
      <c r="W632" s="8">
        <f>1/(1+EXP(-V632))</f>
        <v/>
      </c>
      <c r="X632" s="9">
        <f>-IF(C632=1,LN(W632),LN(1-W632))</f>
        <v/>
      </c>
      <c r="Y632" s="8">
        <f>IF(C632=1,$AE$32,$AE$33)</f>
        <v/>
      </c>
      <c r="Z632" s="9">
        <f>Y632*X632</f>
        <v/>
      </c>
      <c r="AA632" s="10">
        <f>IF(W632&gt;$AE$34,1,0)</f>
        <v/>
      </c>
      <c r="AB632">
        <f>IF(AA632=C632,1,0)</f>
        <v/>
      </c>
    </row>
    <row r="633">
      <c r="A633">
        <f>'1 datos preparados'!A626</f>
        <v/>
      </c>
      <c r="B633" s="5">
        <f>'1 datos preparados'!U626</f>
        <v/>
      </c>
      <c r="C633">
        <f>'1 datos preparados'!B626</f>
        <v/>
      </c>
      <c r="D633" s="7">
        <f>'1 datos preparados'!C626</f>
        <v/>
      </c>
      <c r="E633" s="7">
        <f>'1 datos preparados'!D626</f>
        <v/>
      </c>
      <c r="F633" s="7">
        <f>'1 datos preparados'!E626</f>
        <v/>
      </c>
      <c r="G633" s="7">
        <f>'1 datos preparados'!F626</f>
        <v/>
      </c>
      <c r="H633" s="7">
        <f>'1 datos preparados'!G626</f>
        <v/>
      </c>
      <c r="I633" s="7">
        <f>'1 datos preparados'!H626</f>
        <v/>
      </c>
      <c r="J633" s="7">
        <f>'1 datos preparados'!I626</f>
        <v/>
      </c>
      <c r="K633" s="7">
        <f>'1 datos preparados'!J626</f>
        <v/>
      </c>
      <c r="L633" s="7">
        <f>'1 datos preparados'!K626</f>
        <v/>
      </c>
      <c r="M633" s="7">
        <f>'1 datos preparados'!L626</f>
        <v/>
      </c>
      <c r="N633" s="7">
        <f>'1 datos preparados'!M626</f>
        <v/>
      </c>
      <c r="O633" s="7">
        <f>'1 datos preparados'!N626</f>
        <v/>
      </c>
      <c r="P633" s="7">
        <f>'1 datos preparados'!O626</f>
        <v/>
      </c>
      <c r="Q633" s="7">
        <f>'1 datos preparados'!P626</f>
        <v/>
      </c>
      <c r="R633" s="7">
        <f>'1 datos preparados'!Q626</f>
        <v/>
      </c>
      <c r="S633" s="7">
        <f>'1 datos preparados'!R626</f>
        <v/>
      </c>
      <c r="T633" s="7">
        <f>'1 datos preparados'!S626</f>
        <v/>
      </c>
      <c r="U633" s="7">
        <f>'1 datos preparados'!T626</f>
        <v/>
      </c>
      <c r="V633" s="8">
        <f>$AE$12+D633*$AE$13+E633*$AE$14+F633*$AE$15+G633*$AE$16+H633*$AE$17+I633*$AE$18+J633*$AE$19+K633*$AE$20+L633*$AE$21+M633*$AE$22+N633*$AE$23+O633*$AE$24+P633*$AE$25+Q633*$AE$26+R633*$AE$27+S633*$AE$28+T633*$AE$29+U633*$AE$30</f>
        <v/>
      </c>
      <c r="W633" s="8">
        <f>1/(1+EXP(-V633))</f>
        <v/>
      </c>
      <c r="X633" s="9">
        <f>-IF(C633=1,LN(W633),LN(1-W633))</f>
        <v/>
      </c>
      <c r="Y633" s="8">
        <f>IF(C633=1,$AE$32,$AE$33)</f>
        <v/>
      </c>
      <c r="Z633" s="9">
        <f>Y633*X633</f>
        <v/>
      </c>
      <c r="AA633" s="10">
        <f>IF(W633&gt;$AE$34,1,0)</f>
        <v/>
      </c>
      <c r="AB633">
        <f>IF(AA633=C633,1,0)</f>
        <v/>
      </c>
    </row>
    <row r="634">
      <c r="A634">
        <f>'1 datos preparados'!A627</f>
        <v/>
      </c>
      <c r="B634" s="5">
        <f>'1 datos preparados'!U627</f>
        <v/>
      </c>
      <c r="C634">
        <f>'1 datos preparados'!B627</f>
        <v/>
      </c>
      <c r="D634" s="7">
        <f>'1 datos preparados'!C627</f>
        <v/>
      </c>
      <c r="E634" s="7">
        <f>'1 datos preparados'!D627</f>
        <v/>
      </c>
      <c r="F634" s="7">
        <f>'1 datos preparados'!E627</f>
        <v/>
      </c>
      <c r="G634" s="7">
        <f>'1 datos preparados'!F627</f>
        <v/>
      </c>
      <c r="H634" s="7">
        <f>'1 datos preparados'!G627</f>
        <v/>
      </c>
      <c r="I634" s="7">
        <f>'1 datos preparados'!H627</f>
        <v/>
      </c>
      <c r="J634" s="7">
        <f>'1 datos preparados'!I627</f>
        <v/>
      </c>
      <c r="K634" s="7">
        <f>'1 datos preparados'!J627</f>
        <v/>
      </c>
      <c r="L634" s="7">
        <f>'1 datos preparados'!K627</f>
        <v/>
      </c>
      <c r="M634" s="7">
        <f>'1 datos preparados'!L627</f>
        <v/>
      </c>
      <c r="N634" s="7">
        <f>'1 datos preparados'!M627</f>
        <v/>
      </c>
      <c r="O634" s="7">
        <f>'1 datos preparados'!N627</f>
        <v/>
      </c>
      <c r="P634" s="7">
        <f>'1 datos preparados'!O627</f>
        <v/>
      </c>
      <c r="Q634" s="7">
        <f>'1 datos preparados'!P627</f>
        <v/>
      </c>
      <c r="R634" s="7">
        <f>'1 datos preparados'!Q627</f>
        <v/>
      </c>
      <c r="S634" s="7">
        <f>'1 datos preparados'!R627</f>
        <v/>
      </c>
      <c r="T634" s="7">
        <f>'1 datos preparados'!S627</f>
        <v/>
      </c>
      <c r="U634" s="7">
        <f>'1 datos preparados'!T627</f>
        <v/>
      </c>
      <c r="V634" s="8">
        <f>$AE$12+D634*$AE$13+E634*$AE$14+F634*$AE$15+G634*$AE$16+H634*$AE$17+I634*$AE$18+J634*$AE$19+K634*$AE$20+L634*$AE$21+M634*$AE$22+N634*$AE$23+O634*$AE$24+P634*$AE$25+Q634*$AE$26+R634*$AE$27+S634*$AE$28+T634*$AE$29+U634*$AE$30</f>
        <v/>
      </c>
      <c r="W634" s="8">
        <f>1/(1+EXP(-V634))</f>
        <v/>
      </c>
      <c r="X634" s="9">
        <f>-IF(C634=1,LN(W634),LN(1-W634))</f>
        <v/>
      </c>
      <c r="Y634" s="8">
        <f>IF(C634=1,$AE$32,$AE$33)</f>
        <v/>
      </c>
      <c r="Z634" s="9">
        <f>Y634*X634</f>
        <v/>
      </c>
      <c r="AA634" s="10">
        <f>IF(W634&gt;$AE$34,1,0)</f>
        <v/>
      </c>
      <c r="AB634">
        <f>IF(AA634=C634,1,0)</f>
        <v/>
      </c>
    </row>
    <row r="635">
      <c r="A635">
        <f>'1 datos preparados'!A628</f>
        <v/>
      </c>
      <c r="B635" s="5">
        <f>'1 datos preparados'!U628</f>
        <v/>
      </c>
      <c r="C635">
        <f>'1 datos preparados'!B628</f>
        <v/>
      </c>
      <c r="D635" s="7">
        <f>'1 datos preparados'!C628</f>
        <v/>
      </c>
      <c r="E635" s="7">
        <f>'1 datos preparados'!D628</f>
        <v/>
      </c>
      <c r="F635" s="7">
        <f>'1 datos preparados'!E628</f>
        <v/>
      </c>
      <c r="G635" s="7">
        <f>'1 datos preparados'!F628</f>
        <v/>
      </c>
      <c r="H635" s="7">
        <f>'1 datos preparados'!G628</f>
        <v/>
      </c>
      <c r="I635" s="7">
        <f>'1 datos preparados'!H628</f>
        <v/>
      </c>
      <c r="J635" s="7">
        <f>'1 datos preparados'!I628</f>
        <v/>
      </c>
      <c r="K635" s="7">
        <f>'1 datos preparados'!J628</f>
        <v/>
      </c>
      <c r="L635" s="7">
        <f>'1 datos preparados'!K628</f>
        <v/>
      </c>
      <c r="M635" s="7">
        <f>'1 datos preparados'!L628</f>
        <v/>
      </c>
      <c r="N635" s="7">
        <f>'1 datos preparados'!M628</f>
        <v/>
      </c>
      <c r="O635" s="7">
        <f>'1 datos preparados'!N628</f>
        <v/>
      </c>
      <c r="P635" s="7">
        <f>'1 datos preparados'!O628</f>
        <v/>
      </c>
      <c r="Q635" s="7">
        <f>'1 datos preparados'!P628</f>
        <v/>
      </c>
      <c r="R635" s="7">
        <f>'1 datos preparados'!Q628</f>
        <v/>
      </c>
      <c r="S635" s="7">
        <f>'1 datos preparados'!R628</f>
        <v/>
      </c>
      <c r="T635" s="7">
        <f>'1 datos preparados'!S628</f>
        <v/>
      </c>
      <c r="U635" s="7">
        <f>'1 datos preparados'!T628</f>
        <v/>
      </c>
      <c r="V635" s="8">
        <f>$AE$12+D635*$AE$13+E635*$AE$14+F635*$AE$15+G635*$AE$16+H635*$AE$17+I635*$AE$18+J635*$AE$19+K635*$AE$20+L635*$AE$21+M635*$AE$22+N635*$AE$23+O635*$AE$24+P635*$AE$25+Q635*$AE$26+R635*$AE$27+S635*$AE$28+T635*$AE$29+U635*$AE$30</f>
        <v/>
      </c>
      <c r="W635" s="8">
        <f>1/(1+EXP(-V635))</f>
        <v/>
      </c>
      <c r="X635" s="9">
        <f>-IF(C635=1,LN(W635),LN(1-W635))</f>
        <v/>
      </c>
      <c r="Y635" s="8">
        <f>IF(C635=1,$AE$32,$AE$33)</f>
        <v/>
      </c>
      <c r="Z635" s="9">
        <f>Y635*X635</f>
        <v/>
      </c>
      <c r="AA635" s="10">
        <f>IF(W635&gt;$AE$34,1,0)</f>
        <v/>
      </c>
      <c r="AB635">
        <f>IF(AA635=C635,1,0)</f>
        <v/>
      </c>
    </row>
    <row r="636">
      <c r="A636">
        <f>'1 datos preparados'!A629</f>
        <v/>
      </c>
      <c r="B636" s="5">
        <f>'1 datos preparados'!U629</f>
        <v/>
      </c>
      <c r="C636">
        <f>'1 datos preparados'!B629</f>
        <v/>
      </c>
      <c r="D636" s="7">
        <f>'1 datos preparados'!C629</f>
        <v/>
      </c>
      <c r="E636" s="7">
        <f>'1 datos preparados'!D629</f>
        <v/>
      </c>
      <c r="F636" s="7">
        <f>'1 datos preparados'!E629</f>
        <v/>
      </c>
      <c r="G636" s="7">
        <f>'1 datos preparados'!F629</f>
        <v/>
      </c>
      <c r="H636" s="7">
        <f>'1 datos preparados'!G629</f>
        <v/>
      </c>
      <c r="I636" s="7">
        <f>'1 datos preparados'!H629</f>
        <v/>
      </c>
      <c r="J636" s="7">
        <f>'1 datos preparados'!I629</f>
        <v/>
      </c>
      <c r="K636" s="7">
        <f>'1 datos preparados'!J629</f>
        <v/>
      </c>
      <c r="L636" s="7">
        <f>'1 datos preparados'!K629</f>
        <v/>
      </c>
      <c r="M636" s="7">
        <f>'1 datos preparados'!L629</f>
        <v/>
      </c>
      <c r="N636" s="7">
        <f>'1 datos preparados'!M629</f>
        <v/>
      </c>
      <c r="O636" s="7">
        <f>'1 datos preparados'!N629</f>
        <v/>
      </c>
      <c r="P636" s="7">
        <f>'1 datos preparados'!O629</f>
        <v/>
      </c>
      <c r="Q636" s="7">
        <f>'1 datos preparados'!P629</f>
        <v/>
      </c>
      <c r="R636" s="7">
        <f>'1 datos preparados'!Q629</f>
        <v/>
      </c>
      <c r="S636" s="7">
        <f>'1 datos preparados'!R629</f>
        <v/>
      </c>
      <c r="T636" s="7">
        <f>'1 datos preparados'!S629</f>
        <v/>
      </c>
      <c r="U636" s="7">
        <f>'1 datos preparados'!T629</f>
        <v/>
      </c>
      <c r="V636" s="8">
        <f>$AE$12+D636*$AE$13+E636*$AE$14+F636*$AE$15+G636*$AE$16+H636*$AE$17+I636*$AE$18+J636*$AE$19+K636*$AE$20+L636*$AE$21+M636*$AE$22+N636*$AE$23+O636*$AE$24+P636*$AE$25+Q636*$AE$26+R636*$AE$27+S636*$AE$28+T636*$AE$29+U636*$AE$30</f>
        <v/>
      </c>
      <c r="W636" s="8">
        <f>1/(1+EXP(-V636))</f>
        <v/>
      </c>
      <c r="X636" s="9">
        <f>-IF(C636=1,LN(W636),LN(1-W636))</f>
        <v/>
      </c>
      <c r="Y636" s="8">
        <f>IF(C636=1,$AE$32,$AE$33)</f>
        <v/>
      </c>
      <c r="Z636" s="9">
        <f>Y636*X636</f>
        <v/>
      </c>
      <c r="AA636" s="10">
        <f>IF(W636&gt;$AE$34,1,0)</f>
        <v/>
      </c>
      <c r="AB636">
        <f>IF(AA636=C636,1,0)</f>
        <v/>
      </c>
    </row>
    <row r="637">
      <c r="A637">
        <f>'1 datos preparados'!A630</f>
        <v/>
      </c>
      <c r="B637" s="5">
        <f>'1 datos preparados'!U630</f>
        <v/>
      </c>
      <c r="C637">
        <f>'1 datos preparados'!B630</f>
        <v/>
      </c>
      <c r="D637" s="7">
        <f>'1 datos preparados'!C630</f>
        <v/>
      </c>
      <c r="E637" s="7">
        <f>'1 datos preparados'!D630</f>
        <v/>
      </c>
      <c r="F637" s="7">
        <f>'1 datos preparados'!E630</f>
        <v/>
      </c>
      <c r="G637" s="7">
        <f>'1 datos preparados'!F630</f>
        <v/>
      </c>
      <c r="H637" s="7">
        <f>'1 datos preparados'!G630</f>
        <v/>
      </c>
      <c r="I637" s="7">
        <f>'1 datos preparados'!H630</f>
        <v/>
      </c>
      <c r="J637" s="7">
        <f>'1 datos preparados'!I630</f>
        <v/>
      </c>
      <c r="K637" s="7">
        <f>'1 datos preparados'!J630</f>
        <v/>
      </c>
      <c r="L637" s="7">
        <f>'1 datos preparados'!K630</f>
        <v/>
      </c>
      <c r="M637" s="7">
        <f>'1 datos preparados'!L630</f>
        <v/>
      </c>
      <c r="N637" s="7">
        <f>'1 datos preparados'!M630</f>
        <v/>
      </c>
      <c r="O637" s="7">
        <f>'1 datos preparados'!N630</f>
        <v/>
      </c>
      <c r="P637" s="7">
        <f>'1 datos preparados'!O630</f>
        <v/>
      </c>
      <c r="Q637" s="7">
        <f>'1 datos preparados'!P630</f>
        <v/>
      </c>
      <c r="R637" s="7">
        <f>'1 datos preparados'!Q630</f>
        <v/>
      </c>
      <c r="S637" s="7">
        <f>'1 datos preparados'!R630</f>
        <v/>
      </c>
      <c r="T637" s="7">
        <f>'1 datos preparados'!S630</f>
        <v/>
      </c>
      <c r="U637" s="7">
        <f>'1 datos preparados'!T630</f>
        <v/>
      </c>
      <c r="V637" s="8">
        <f>$AE$12+D637*$AE$13+E637*$AE$14+F637*$AE$15+G637*$AE$16+H637*$AE$17+I637*$AE$18+J637*$AE$19+K637*$AE$20+L637*$AE$21+M637*$AE$22+N637*$AE$23+O637*$AE$24+P637*$AE$25+Q637*$AE$26+R637*$AE$27+S637*$AE$28+T637*$AE$29+U637*$AE$30</f>
        <v/>
      </c>
      <c r="W637" s="8">
        <f>1/(1+EXP(-V637))</f>
        <v/>
      </c>
      <c r="X637" s="9">
        <f>-IF(C637=1,LN(W637),LN(1-W637))</f>
        <v/>
      </c>
      <c r="Y637" s="8">
        <f>IF(C637=1,$AE$32,$AE$33)</f>
        <v/>
      </c>
      <c r="Z637" s="9">
        <f>Y637*X637</f>
        <v/>
      </c>
      <c r="AA637" s="10">
        <f>IF(W637&gt;$AE$34,1,0)</f>
        <v/>
      </c>
      <c r="AB637">
        <f>IF(AA637=C637,1,0)</f>
        <v/>
      </c>
    </row>
    <row r="638">
      <c r="A638">
        <f>'1 datos preparados'!A631</f>
        <v/>
      </c>
      <c r="B638" s="5">
        <f>'1 datos preparados'!U631</f>
        <v/>
      </c>
      <c r="C638">
        <f>'1 datos preparados'!B631</f>
        <v/>
      </c>
      <c r="D638" s="7">
        <f>'1 datos preparados'!C631</f>
        <v/>
      </c>
      <c r="E638" s="7">
        <f>'1 datos preparados'!D631</f>
        <v/>
      </c>
      <c r="F638" s="7">
        <f>'1 datos preparados'!E631</f>
        <v/>
      </c>
      <c r="G638" s="7">
        <f>'1 datos preparados'!F631</f>
        <v/>
      </c>
      <c r="H638" s="7">
        <f>'1 datos preparados'!G631</f>
        <v/>
      </c>
      <c r="I638" s="7">
        <f>'1 datos preparados'!H631</f>
        <v/>
      </c>
      <c r="J638" s="7">
        <f>'1 datos preparados'!I631</f>
        <v/>
      </c>
      <c r="K638" s="7">
        <f>'1 datos preparados'!J631</f>
        <v/>
      </c>
      <c r="L638" s="7">
        <f>'1 datos preparados'!K631</f>
        <v/>
      </c>
      <c r="M638" s="7">
        <f>'1 datos preparados'!L631</f>
        <v/>
      </c>
      <c r="N638" s="7">
        <f>'1 datos preparados'!M631</f>
        <v/>
      </c>
      <c r="O638" s="7">
        <f>'1 datos preparados'!N631</f>
        <v/>
      </c>
      <c r="P638" s="7">
        <f>'1 datos preparados'!O631</f>
        <v/>
      </c>
      <c r="Q638" s="7">
        <f>'1 datos preparados'!P631</f>
        <v/>
      </c>
      <c r="R638" s="7">
        <f>'1 datos preparados'!Q631</f>
        <v/>
      </c>
      <c r="S638" s="7">
        <f>'1 datos preparados'!R631</f>
        <v/>
      </c>
      <c r="T638" s="7">
        <f>'1 datos preparados'!S631</f>
        <v/>
      </c>
      <c r="U638" s="7">
        <f>'1 datos preparados'!T631</f>
        <v/>
      </c>
      <c r="V638" s="8">
        <f>$AE$12+D638*$AE$13+E638*$AE$14+F638*$AE$15+G638*$AE$16+H638*$AE$17+I638*$AE$18+J638*$AE$19+K638*$AE$20+L638*$AE$21+M638*$AE$22+N638*$AE$23+O638*$AE$24+P638*$AE$25+Q638*$AE$26+R638*$AE$27+S638*$AE$28+T638*$AE$29+U638*$AE$30</f>
        <v/>
      </c>
      <c r="W638" s="8">
        <f>1/(1+EXP(-V638))</f>
        <v/>
      </c>
      <c r="X638" s="9">
        <f>-IF(C638=1,LN(W638),LN(1-W638))</f>
        <v/>
      </c>
      <c r="Y638" s="8">
        <f>IF(C638=1,$AE$32,$AE$33)</f>
        <v/>
      </c>
      <c r="Z638" s="9">
        <f>Y638*X638</f>
        <v/>
      </c>
      <c r="AA638" s="10">
        <f>IF(W638&gt;$AE$34,1,0)</f>
        <v/>
      </c>
      <c r="AB638">
        <f>IF(AA638=C638,1,0)</f>
        <v/>
      </c>
    </row>
    <row r="639">
      <c r="A639">
        <f>'1 datos preparados'!A632</f>
        <v/>
      </c>
      <c r="B639" s="5">
        <f>'1 datos preparados'!U632</f>
        <v/>
      </c>
      <c r="C639">
        <f>'1 datos preparados'!B632</f>
        <v/>
      </c>
      <c r="D639" s="7">
        <f>'1 datos preparados'!C632</f>
        <v/>
      </c>
      <c r="E639" s="7">
        <f>'1 datos preparados'!D632</f>
        <v/>
      </c>
      <c r="F639" s="7">
        <f>'1 datos preparados'!E632</f>
        <v/>
      </c>
      <c r="G639" s="7">
        <f>'1 datos preparados'!F632</f>
        <v/>
      </c>
      <c r="H639" s="7">
        <f>'1 datos preparados'!G632</f>
        <v/>
      </c>
      <c r="I639" s="7">
        <f>'1 datos preparados'!H632</f>
        <v/>
      </c>
      <c r="J639" s="7">
        <f>'1 datos preparados'!I632</f>
        <v/>
      </c>
      <c r="K639" s="7">
        <f>'1 datos preparados'!J632</f>
        <v/>
      </c>
      <c r="L639" s="7">
        <f>'1 datos preparados'!K632</f>
        <v/>
      </c>
      <c r="M639" s="7">
        <f>'1 datos preparados'!L632</f>
        <v/>
      </c>
      <c r="N639" s="7">
        <f>'1 datos preparados'!M632</f>
        <v/>
      </c>
      <c r="O639" s="7">
        <f>'1 datos preparados'!N632</f>
        <v/>
      </c>
      <c r="P639" s="7">
        <f>'1 datos preparados'!O632</f>
        <v/>
      </c>
      <c r="Q639" s="7">
        <f>'1 datos preparados'!P632</f>
        <v/>
      </c>
      <c r="R639" s="7">
        <f>'1 datos preparados'!Q632</f>
        <v/>
      </c>
      <c r="S639" s="7">
        <f>'1 datos preparados'!R632</f>
        <v/>
      </c>
      <c r="T639" s="7">
        <f>'1 datos preparados'!S632</f>
        <v/>
      </c>
      <c r="U639" s="7">
        <f>'1 datos preparados'!T632</f>
        <v/>
      </c>
      <c r="V639" s="8">
        <f>$AE$12+D639*$AE$13+E639*$AE$14+F639*$AE$15+G639*$AE$16+H639*$AE$17+I639*$AE$18+J639*$AE$19+K639*$AE$20+L639*$AE$21+M639*$AE$22+N639*$AE$23+O639*$AE$24+P639*$AE$25+Q639*$AE$26+R639*$AE$27+S639*$AE$28+T639*$AE$29+U639*$AE$30</f>
        <v/>
      </c>
      <c r="W639" s="8">
        <f>1/(1+EXP(-V639))</f>
        <v/>
      </c>
      <c r="X639" s="9">
        <f>-IF(C639=1,LN(W639),LN(1-W639))</f>
        <v/>
      </c>
      <c r="Y639" s="8">
        <f>IF(C639=1,$AE$32,$AE$33)</f>
        <v/>
      </c>
      <c r="Z639" s="9">
        <f>Y639*X639</f>
        <v/>
      </c>
      <c r="AA639" s="10">
        <f>IF(W639&gt;$AE$34,1,0)</f>
        <v/>
      </c>
      <c r="AB639">
        <f>IF(AA639=C639,1,0)</f>
        <v/>
      </c>
    </row>
    <row r="640">
      <c r="A640">
        <f>'1 datos preparados'!A633</f>
        <v/>
      </c>
      <c r="B640" s="5">
        <f>'1 datos preparados'!U633</f>
        <v/>
      </c>
      <c r="C640">
        <f>'1 datos preparados'!B633</f>
        <v/>
      </c>
      <c r="D640" s="7">
        <f>'1 datos preparados'!C633</f>
        <v/>
      </c>
      <c r="E640" s="7">
        <f>'1 datos preparados'!D633</f>
        <v/>
      </c>
      <c r="F640" s="7">
        <f>'1 datos preparados'!E633</f>
        <v/>
      </c>
      <c r="G640" s="7">
        <f>'1 datos preparados'!F633</f>
        <v/>
      </c>
      <c r="H640" s="7">
        <f>'1 datos preparados'!G633</f>
        <v/>
      </c>
      <c r="I640" s="7">
        <f>'1 datos preparados'!H633</f>
        <v/>
      </c>
      <c r="J640" s="7">
        <f>'1 datos preparados'!I633</f>
        <v/>
      </c>
      <c r="K640" s="7">
        <f>'1 datos preparados'!J633</f>
        <v/>
      </c>
      <c r="L640" s="7">
        <f>'1 datos preparados'!K633</f>
        <v/>
      </c>
      <c r="M640" s="7">
        <f>'1 datos preparados'!L633</f>
        <v/>
      </c>
      <c r="N640" s="7">
        <f>'1 datos preparados'!M633</f>
        <v/>
      </c>
      <c r="O640" s="7">
        <f>'1 datos preparados'!N633</f>
        <v/>
      </c>
      <c r="P640" s="7">
        <f>'1 datos preparados'!O633</f>
        <v/>
      </c>
      <c r="Q640" s="7">
        <f>'1 datos preparados'!P633</f>
        <v/>
      </c>
      <c r="R640" s="7">
        <f>'1 datos preparados'!Q633</f>
        <v/>
      </c>
      <c r="S640" s="7">
        <f>'1 datos preparados'!R633</f>
        <v/>
      </c>
      <c r="T640" s="7">
        <f>'1 datos preparados'!S633</f>
        <v/>
      </c>
      <c r="U640" s="7">
        <f>'1 datos preparados'!T633</f>
        <v/>
      </c>
      <c r="V640" s="8">
        <f>$AE$12+D640*$AE$13+E640*$AE$14+F640*$AE$15+G640*$AE$16+H640*$AE$17+I640*$AE$18+J640*$AE$19+K640*$AE$20+L640*$AE$21+M640*$AE$22+N640*$AE$23+O640*$AE$24+P640*$AE$25+Q640*$AE$26+R640*$AE$27+S640*$AE$28+T640*$AE$29+U640*$AE$30</f>
        <v/>
      </c>
      <c r="W640" s="8">
        <f>1/(1+EXP(-V640))</f>
        <v/>
      </c>
      <c r="X640" s="9">
        <f>-IF(C640=1,LN(W640),LN(1-W640))</f>
        <v/>
      </c>
      <c r="Y640" s="8">
        <f>IF(C640=1,$AE$32,$AE$33)</f>
        <v/>
      </c>
      <c r="Z640" s="9">
        <f>Y640*X640</f>
        <v/>
      </c>
      <c r="AA640" s="10">
        <f>IF(W640&gt;$AE$34,1,0)</f>
        <v/>
      </c>
      <c r="AB640">
        <f>IF(AA640=C640,1,0)</f>
        <v/>
      </c>
    </row>
    <row r="641">
      <c r="A641">
        <f>'1 datos preparados'!A634</f>
        <v/>
      </c>
      <c r="B641" s="5">
        <f>'1 datos preparados'!U634</f>
        <v/>
      </c>
      <c r="C641">
        <f>'1 datos preparados'!B634</f>
        <v/>
      </c>
      <c r="D641" s="7">
        <f>'1 datos preparados'!C634</f>
        <v/>
      </c>
      <c r="E641" s="7">
        <f>'1 datos preparados'!D634</f>
        <v/>
      </c>
      <c r="F641" s="7">
        <f>'1 datos preparados'!E634</f>
        <v/>
      </c>
      <c r="G641" s="7">
        <f>'1 datos preparados'!F634</f>
        <v/>
      </c>
      <c r="H641" s="7">
        <f>'1 datos preparados'!G634</f>
        <v/>
      </c>
      <c r="I641" s="7">
        <f>'1 datos preparados'!H634</f>
        <v/>
      </c>
      <c r="J641" s="7">
        <f>'1 datos preparados'!I634</f>
        <v/>
      </c>
      <c r="K641" s="7">
        <f>'1 datos preparados'!J634</f>
        <v/>
      </c>
      <c r="L641" s="7">
        <f>'1 datos preparados'!K634</f>
        <v/>
      </c>
      <c r="M641" s="7">
        <f>'1 datos preparados'!L634</f>
        <v/>
      </c>
      <c r="N641" s="7">
        <f>'1 datos preparados'!M634</f>
        <v/>
      </c>
      <c r="O641" s="7">
        <f>'1 datos preparados'!N634</f>
        <v/>
      </c>
      <c r="P641" s="7">
        <f>'1 datos preparados'!O634</f>
        <v/>
      </c>
      <c r="Q641" s="7">
        <f>'1 datos preparados'!P634</f>
        <v/>
      </c>
      <c r="R641" s="7">
        <f>'1 datos preparados'!Q634</f>
        <v/>
      </c>
      <c r="S641" s="7">
        <f>'1 datos preparados'!R634</f>
        <v/>
      </c>
      <c r="T641" s="7">
        <f>'1 datos preparados'!S634</f>
        <v/>
      </c>
      <c r="U641" s="7">
        <f>'1 datos preparados'!T634</f>
        <v/>
      </c>
      <c r="V641" s="8">
        <f>$AE$12+D641*$AE$13+E641*$AE$14+F641*$AE$15+G641*$AE$16+H641*$AE$17+I641*$AE$18+J641*$AE$19+K641*$AE$20+L641*$AE$21+M641*$AE$22+N641*$AE$23+O641*$AE$24+P641*$AE$25+Q641*$AE$26+R641*$AE$27+S641*$AE$28+T641*$AE$29+U641*$AE$30</f>
        <v/>
      </c>
      <c r="W641" s="8">
        <f>1/(1+EXP(-V641))</f>
        <v/>
      </c>
      <c r="X641" s="9">
        <f>-IF(C641=1,LN(W641),LN(1-W641))</f>
        <v/>
      </c>
      <c r="Y641" s="8">
        <f>IF(C641=1,$AE$32,$AE$33)</f>
        <v/>
      </c>
      <c r="Z641" s="9">
        <f>Y641*X641</f>
        <v/>
      </c>
      <c r="AA641" s="10">
        <f>IF(W641&gt;$AE$34,1,0)</f>
        <v/>
      </c>
      <c r="AB641">
        <f>IF(AA641=C641,1,0)</f>
        <v/>
      </c>
    </row>
    <row r="642">
      <c r="A642">
        <f>'1 datos preparados'!A635</f>
        <v/>
      </c>
      <c r="B642" s="5">
        <f>'1 datos preparados'!U635</f>
        <v/>
      </c>
      <c r="C642">
        <f>'1 datos preparados'!B635</f>
        <v/>
      </c>
      <c r="D642" s="7">
        <f>'1 datos preparados'!C635</f>
        <v/>
      </c>
      <c r="E642" s="7">
        <f>'1 datos preparados'!D635</f>
        <v/>
      </c>
      <c r="F642" s="7">
        <f>'1 datos preparados'!E635</f>
        <v/>
      </c>
      <c r="G642" s="7">
        <f>'1 datos preparados'!F635</f>
        <v/>
      </c>
      <c r="H642" s="7">
        <f>'1 datos preparados'!G635</f>
        <v/>
      </c>
      <c r="I642" s="7">
        <f>'1 datos preparados'!H635</f>
        <v/>
      </c>
      <c r="J642" s="7">
        <f>'1 datos preparados'!I635</f>
        <v/>
      </c>
      <c r="K642" s="7">
        <f>'1 datos preparados'!J635</f>
        <v/>
      </c>
      <c r="L642" s="7">
        <f>'1 datos preparados'!K635</f>
        <v/>
      </c>
      <c r="M642" s="7">
        <f>'1 datos preparados'!L635</f>
        <v/>
      </c>
      <c r="N642" s="7">
        <f>'1 datos preparados'!M635</f>
        <v/>
      </c>
      <c r="O642" s="7">
        <f>'1 datos preparados'!N635</f>
        <v/>
      </c>
      <c r="P642" s="7">
        <f>'1 datos preparados'!O635</f>
        <v/>
      </c>
      <c r="Q642" s="7">
        <f>'1 datos preparados'!P635</f>
        <v/>
      </c>
      <c r="R642" s="7">
        <f>'1 datos preparados'!Q635</f>
        <v/>
      </c>
      <c r="S642" s="7">
        <f>'1 datos preparados'!R635</f>
        <v/>
      </c>
      <c r="T642" s="7">
        <f>'1 datos preparados'!S635</f>
        <v/>
      </c>
      <c r="U642" s="7">
        <f>'1 datos preparados'!T635</f>
        <v/>
      </c>
      <c r="V642" s="8">
        <f>$AE$12+D642*$AE$13+E642*$AE$14+F642*$AE$15+G642*$AE$16+H642*$AE$17+I642*$AE$18+J642*$AE$19+K642*$AE$20+L642*$AE$21+M642*$AE$22+N642*$AE$23+O642*$AE$24+P642*$AE$25+Q642*$AE$26+R642*$AE$27+S642*$AE$28+T642*$AE$29+U642*$AE$30</f>
        <v/>
      </c>
      <c r="W642" s="8">
        <f>1/(1+EXP(-V642))</f>
        <v/>
      </c>
      <c r="X642" s="9">
        <f>-IF(C642=1,LN(W642),LN(1-W642))</f>
        <v/>
      </c>
      <c r="Y642" s="8">
        <f>IF(C642=1,$AE$32,$AE$33)</f>
        <v/>
      </c>
      <c r="Z642" s="9">
        <f>Y642*X642</f>
        <v/>
      </c>
      <c r="AA642" s="10">
        <f>IF(W642&gt;$AE$34,1,0)</f>
        <v/>
      </c>
      <c r="AB642">
        <f>IF(AA642=C642,1,0)</f>
        <v/>
      </c>
    </row>
    <row r="643">
      <c r="A643">
        <f>'1 datos preparados'!A636</f>
        <v/>
      </c>
      <c r="B643" s="5">
        <f>'1 datos preparados'!U636</f>
        <v/>
      </c>
      <c r="C643">
        <f>'1 datos preparados'!B636</f>
        <v/>
      </c>
      <c r="D643" s="7">
        <f>'1 datos preparados'!C636</f>
        <v/>
      </c>
      <c r="E643" s="7">
        <f>'1 datos preparados'!D636</f>
        <v/>
      </c>
      <c r="F643" s="7">
        <f>'1 datos preparados'!E636</f>
        <v/>
      </c>
      <c r="G643" s="7">
        <f>'1 datos preparados'!F636</f>
        <v/>
      </c>
      <c r="H643" s="7">
        <f>'1 datos preparados'!G636</f>
        <v/>
      </c>
      <c r="I643" s="7">
        <f>'1 datos preparados'!H636</f>
        <v/>
      </c>
      <c r="J643" s="7">
        <f>'1 datos preparados'!I636</f>
        <v/>
      </c>
      <c r="K643" s="7">
        <f>'1 datos preparados'!J636</f>
        <v/>
      </c>
      <c r="L643" s="7">
        <f>'1 datos preparados'!K636</f>
        <v/>
      </c>
      <c r="M643" s="7">
        <f>'1 datos preparados'!L636</f>
        <v/>
      </c>
      <c r="N643" s="7">
        <f>'1 datos preparados'!M636</f>
        <v/>
      </c>
      <c r="O643" s="7">
        <f>'1 datos preparados'!N636</f>
        <v/>
      </c>
      <c r="P643" s="7">
        <f>'1 datos preparados'!O636</f>
        <v/>
      </c>
      <c r="Q643" s="7">
        <f>'1 datos preparados'!P636</f>
        <v/>
      </c>
      <c r="R643" s="7">
        <f>'1 datos preparados'!Q636</f>
        <v/>
      </c>
      <c r="S643" s="7">
        <f>'1 datos preparados'!R636</f>
        <v/>
      </c>
      <c r="T643" s="7">
        <f>'1 datos preparados'!S636</f>
        <v/>
      </c>
      <c r="U643" s="7">
        <f>'1 datos preparados'!T636</f>
        <v/>
      </c>
      <c r="V643" s="8">
        <f>$AE$12+D643*$AE$13+E643*$AE$14+F643*$AE$15+G643*$AE$16+H643*$AE$17+I643*$AE$18+J643*$AE$19+K643*$AE$20+L643*$AE$21+M643*$AE$22+N643*$AE$23+O643*$AE$24+P643*$AE$25+Q643*$AE$26+R643*$AE$27+S643*$AE$28+T643*$AE$29+U643*$AE$30</f>
        <v/>
      </c>
      <c r="W643" s="8">
        <f>1/(1+EXP(-V643))</f>
        <v/>
      </c>
      <c r="X643" s="9">
        <f>-IF(C643=1,LN(W643),LN(1-W643))</f>
        <v/>
      </c>
      <c r="Y643" s="8">
        <f>IF(C643=1,$AE$32,$AE$33)</f>
        <v/>
      </c>
      <c r="Z643" s="9">
        <f>Y643*X643</f>
        <v/>
      </c>
      <c r="AA643" s="10">
        <f>IF(W643&gt;$AE$34,1,0)</f>
        <v/>
      </c>
      <c r="AB643">
        <f>IF(AA643=C643,1,0)</f>
        <v/>
      </c>
    </row>
    <row r="644">
      <c r="A644">
        <f>'1 datos preparados'!A637</f>
        <v/>
      </c>
      <c r="B644" s="5">
        <f>'1 datos preparados'!U637</f>
        <v/>
      </c>
      <c r="C644">
        <f>'1 datos preparados'!B637</f>
        <v/>
      </c>
      <c r="D644" s="7">
        <f>'1 datos preparados'!C637</f>
        <v/>
      </c>
      <c r="E644" s="7">
        <f>'1 datos preparados'!D637</f>
        <v/>
      </c>
      <c r="F644" s="7">
        <f>'1 datos preparados'!E637</f>
        <v/>
      </c>
      <c r="G644" s="7">
        <f>'1 datos preparados'!F637</f>
        <v/>
      </c>
      <c r="H644" s="7">
        <f>'1 datos preparados'!G637</f>
        <v/>
      </c>
      <c r="I644" s="7">
        <f>'1 datos preparados'!H637</f>
        <v/>
      </c>
      <c r="J644" s="7">
        <f>'1 datos preparados'!I637</f>
        <v/>
      </c>
      <c r="K644" s="7">
        <f>'1 datos preparados'!J637</f>
        <v/>
      </c>
      <c r="L644" s="7">
        <f>'1 datos preparados'!K637</f>
        <v/>
      </c>
      <c r="M644" s="7">
        <f>'1 datos preparados'!L637</f>
        <v/>
      </c>
      <c r="N644" s="7">
        <f>'1 datos preparados'!M637</f>
        <v/>
      </c>
      <c r="O644" s="7">
        <f>'1 datos preparados'!N637</f>
        <v/>
      </c>
      <c r="P644" s="7">
        <f>'1 datos preparados'!O637</f>
        <v/>
      </c>
      <c r="Q644" s="7">
        <f>'1 datos preparados'!P637</f>
        <v/>
      </c>
      <c r="R644" s="7">
        <f>'1 datos preparados'!Q637</f>
        <v/>
      </c>
      <c r="S644" s="7">
        <f>'1 datos preparados'!R637</f>
        <v/>
      </c>
      <c r="T644" s="7">
        <f>'1 datos preparados'!S637</f>
        <v/>
      </c>
      <c r="U644" s="7">
        <f>'1 datos preparados'!T637</f>
        <v/>
      </c>
      <c r="V644" s="8">
        <f>$AE$12+D644*$AE$13+E644*$AE$14+F644*$AE$15+G644*$AE$16+H644*$AE$17+I644*$AE$18+J644*$AE$19+K644*$AE$20+L644*$AE$21+M644*$AE$22+N644*$AE$23+O644*$AE$24+P644*$AE$25+Q644*$AE$26+R644*$AE$27+S644*$AE$28+T644*$AE$29+U644*$AE$30</f>
        <v/>
      </c>
      <c r="W644" s="8">
        <f>1/(1+EXP(-V644))</f>
        <v/>
      </c>
      <c r="X644" s="9">
        <f>-IF(C644=1,LN(W644),LN(1-W644))</f>
        <v/>
      </c>
      <c r="Y644" s="8">
        <f>IF(C644=1,$AE$32,$AE$33)</f>
        <v/>
      </c>
      <c r="Z644" s="9">
        <f>Y644*X644</f>
        <v/>
      </c>
      <c r="AA644" s="10">
        <f>IF(W644&gt;$AE$34,1,0)</f>
        <v/>
      </c>
      <c r="AB644">
        <f>IF(AA644=C644,1,0)</f>
        <v/>
      </c>
    </row>
    <row r="645">
      <c r="A645">
        <f>'1 datos preparados'!A638</f>
        <v/>
      </c>
      <c r="B645" s="5">
        <f>'1 datos preparados'!U638</f>
        <v/>
      </c>
      <c r="C645">
        <f>'1 datos preparados'!B638</f>
        <v/>
      </c>
      <c r="D645" s="7">
        <f>'1 datos preparados'!C638</f>
        <v/>
      </c>
      <c r="E645" s="7">
        <f>'1 datos preparados'!D638</f>
        <v/>
      </c>
      <c r="F645" s="7">
        <f>'1 datos preparados'!E638</f>
        <v/>
      </c>
      <c r="G645" s="7">
        <f>'1 datos preparados'!F638</f>
        <v/>
      </c>
      <c r="H645" s="7">
        <f>'1 datos preparados'!G638</f>
        <v/>
      </c>
      <c r="I645" s="7">
        <f>'1 datos preparados'!H638</f>
        <v/>
      </c>
      <c r="J645" s="7">
        <f>'1 datos preparados'!I638</f>
        <v/>
      </c>
      <c r="K645" s="7">
        <f>'1 datos preparados'!J638</f>
        <v/>
      </c>
      <c r="L645" s="7">
        <f>'1 datos preparados'!K638</f>
        <v/>
      </c>
      <c r="M645" s="7">
        <f>'1 datos preparados'!L638</f>
        <v/>
      </c>
      <c r="N645" s="7">
        <f>'1 datos preparados'!M638</f>
        <v/>
      </c>
      <c r="O645" s="7">
        <f>'1 datos preparados'!N638</f>
        <v/>
      </c>
      <c r="P645" s="7">
        <f>'1 datos preparados'!O638</f>
        <v/>
      </c>
      <c r="Q645" s="7">
        <f>'1 datos preparados'!P638</f>
        <v/>
      </c>
      <c r="R645" s="7">
        <f>'1 datos preparados'!Q638</f>
        <v/>
      </c>
      <c r="S645" s="7">
        <f>'1 datos preparados'!R638</f>
        <v/>
      </c>
      <c r="T645" s="7">
        <f>'1 datos preparados'!S638</f>
        <v/>
      </c>
      <c r="U645" s="7">
        <f>'1 datos preparados'!T638</f>
        <v/>
      </c>
      <c r="V645" s="8">
        <f>$AE$12+D645*$AE$13+E645*$AE$14+F645*$AE$15+G645*$AE$16+H645*$AE$17+I645*$AE$18+J645*$AE$19+K645*$AE$20+L645*$AE$21+M645*$AE$22+N645*$AE$23+O645*$AE$24+P645*$AE$25+Q645*$AE$26+R645*$AE$27+S645*$AE$28+T645*$AE$29+U645*$AE$30</f>
        <v/>
      </c>
      <c r="W645" s="8">
        <f>1/(1+EXP(-V645))</f>
        <v/>
      </c>
      <c r="X645" s="9">
        <f>-IF(C645=1,LN(W645),LN(1-W645))</f>
        <v/>
      </c>
      <c r="Y645" s="8">
        <f>IF(C645=1,$AE$32,$AE$33)</f>
        <v/>
      </c>
      <c r="Z645" s="9">
        <f>Y645*X645</f>
        <v/>
      </c>
      <c r="AA645" s="10">
        <f>IF(W645&gt;$AE$34,1,0)</f>
        <v/>
      </c>
      <c r="AB645">
        <f>IF(AA645=C645,1,0)</f>
        <v/>
      </c>
    </row>
    <row r="646">
      <c r="A646">
        <f>'1 datos preparados'!A639</f>
        <v/>
      </c>
      <c r="B646" s="5">
        <f>'1 datos preparados'!U639</f>
        <v/>
      </c>
      <c r="C646">
        <f>'1 datos preparados'!B639</f>
        <v/>
      </c>
      <c r="D646" s="7">
        <f>'1 datos preparados'!C639</f>
        <v/>
      </c>
      <c r="E646" s="7">
        <f>'1 datos preparados'!D639</f>
        <v/>
      </c>
      <c r="F646" s="7">
        <f>'1 datos preparados'!E639</f>
        <v/>
      </c>
      <c r="G646" s="7">
        <f>'1 datos preparados'!F639</f>
        <v/>
      </c>
      <c r="H646" s="7">
        <f>'1 datos preparados'!G639</f>
        <v/>
      </c>
      <c r="I646" s="7">
        <f>'1 datos preparados'!H639</f>
        <v/>
      </c>
      <c r="J646" s="7">
        <f>'1 datos preparados'!I639</f>
        <v/>
      </c>
      <c r="K646" s="7">
        <f>'1 datos preparados'!J639</f>
        <v/>
      </c>
      <c r="L646" s="7">
        <f>'1 datos preparados'!K639</f>
        <v/>
      </c>
      <c r="M646" s="7">
        <f>'1 datos preparados'!L639</f>
        <v/>
      </c>
      <c r="N646" s="7">
        <f>'1 datos preparados'!M639</f>
        <v/>
      </c>
      <c r="O646" s="7">
        <f>'1 datos preparados'!N639</f>
        <v/>
      </c>
      <c r="P646" s="7">
        <f>'1 datos preparados'!O639</f>
        <v/>
      </c>
      <c r="Q646" s="7">
        <f>'1 datos preparados'!P639</f>
        <v/>
      </c>
      <c r="R646" s="7">
        <f>'1 datos preparados'!Q639</f>
        <v/>
      </c>
      <c r="S646" s="7">
        <f>'1 datos preparados'!R639</f>
        <v/>
      </c>
      <c r="T646" s="7">
        <f>'1 datos preparados'!S639</f>
        <v/>
      </c>
      <c r="U646" s="7">
        <f>'1 datos preparados'!T639</f>
        <v/>
      </c>
      <c r="V646" s="8">
        <f>$AE$12+D646*$AE$13+E646*$AE$14+F646*$AE$15+G646*$AE$16+H646*$AE$17+I646*$AE$18+J646*$AE$19+K646*$AE$20+L646*$AE$21+M646*$AE$22+N646*$AE$23+O646*$AE$24+P646*$AE$25+Q646*$AE$26+R646*$AE$27+S646*$AE$28+T646*$AE$29+U646*$AE$30</f>
        <v/>
      </c>
      <c r="W646" s="8">
        <f>1/(1+EXP(-V646))</f>
        <v/>
      </c>
      <c r="X646" s="9">
        <f>-IF(C646=1,LN(W646),LN(1-W646))</f>
        <v/>
      </c>
      <c r="Y646" s="8">
        <f>IF(C646=1,$AE$32,$AE$33)</f>
        <v/>
      </c>
      <c r="Z646" s="9">
        <f>Y646*X646</f>
        <v/>
      </c>
      <c r="AA646" s="10">
        <f>IF(W646&gt;$AE$34,1,0)</f>
        <v/>
      </c>
      <c r="AB646">
        <f>IF(AA646=C646,1,0)</f>
        <v/>
      </c>
    </row>
    <row r="647">
      <c r="A647">
        <f>'1 datos preparados'!A640</f>
        <v/>
      </c>
      <c r="B647" s="5">
        <f>'1 datos preparados'!U640</f>
        <v/>
      </c>
      <c r="C647">
        <f>'1 datos preparados'!B640</f>
        <v/>
      </c>
      <c r="D647" s="7">
        <f>'1 datos preparados'!C640</f>
        <v/>
      </c>
      <c r="E647" s="7">
        <f>'1 datos preparados'!D640</f>
        <v/>
      </c>
      <c r="F647" s="7">
        <f>'1 datos preparados'!E640</f>
        <v/>
      </c>
      <c r="G647" s="7">
        <f>'1 datos preparados'!F640</f>
        <v/>
      </c>
      <c r="H647" s="7">
        <f>'1 datos preparados'!G640</f>
        <v/>
      </c>
      <c r="I647" s="7">
        <f>'1 datos preparados'!H640</f>
        <v/>
      </c>
      <c r="J647" s="7">
        <f>'1 datos preparados'!I640</f>
        <v/>
      </c>
      <c r="K647" s="7">
        <f>'1 datos preparados'!J640</f>
        <v/>
      </c>
      <c r="L647" s="7">
        <f>'1 datos preparados'!K640</f>
        <v/>
      </c>
      <c r="M647" s="7">
        <f>'1 datos preparados'!L640</f>
        <v/>
      </c>
      <c r="N647" s="7">
        <f>'1 datos preparados'!M640</f>
        <v/>
      </c>
      <c r="O647" s="7">
        <f>'1 datos preparados'!N640</f>
        <v/>
      </c>
      <c r="P647" s="7">
        <f>'1 datos preparados'!O640</f>
        <v/>
      </c>
      <c r="Q647" s="7">
        <f>'1 datos preparados'!P640</f>
        <v/>
      </c>
      <c r="R647" s="7">
        <f>'1 datos preparados'!Q640</f>
        <v/>
      </c>
      <c r="S647" s="7">
        <f>'1 datos preparados'!R640</f>
        <v/>
      </c>
      <c r="T647" s="7">
        <f>'1 datos preparados'!S640</f>
        <v/>
      </c>
      <c r="U647" s="7">
        <f>'1 datos preparados'!T640</f>
        <v/>
      </c>
      <c r="V647" s="8">
        <f>$AE$12+D647*$AE$13+E647*$AE$14+F647*$AE$15+G647*$AE$16+H647*$AE$17+I647*$AE$18+J647*$AE$19+K647*$AE$20+L647*$AE$21+M647*$AE$22+N647*$AE$23+O647*$AE$24+P647*$AE$25+Q647*$AE$26+R647*$AE$27+S647*$AE$28+T647*$AE$29+U647*$AE$30</f>
        <v/>
      </c>
      <c r="W647" s="8">
        <f>1/(1+EXP(-V647))</f>
        <v/>
      </c>
      <c r="X647" s="9">
        <f>-IF(C647=1,LN(W647),LN(1-W647))</f>
        <v/>
      </c>
      <c r="Y647" s="8">
        <f>IF(C647=1,$AE$32,$AE$33)</f>
        <v/>
      </c>
      <c r="Z647" s="9">
        <f>Y647*X647</f>
        <v/>
      </c>
      <c r="AA647" s="10">
        <f>IF(W647&gt;$AE$34,1,0)</f>
        <v/>
      </c>
      <c r="AB647">
        <f>IF(AA647=C647,1,0)</f>
        <v/>
      </c>
    </row>
    <row r="648">
      <c r="A648">
        <f>'1 datos preparados'!A641</f>
        <v/>
      </c>
      <c r="B648" s="5">
        <f>'1 datos preparados'!U641</f>
        <v/>
      </c>
      <c r="C648">
        <f>'1 datos preparados'!B641</f>
        <v/>
      </c>
      <c r="D648" s="7">
        <f>'1 datos preparados'!C641</f>
        <v/>
      </c>
      <c r="E648" s="7">
        <f>'1 datos preparados'!D641</f>
        <v/>
      </c>
      <c r="F648" s="7">
        <f>'1 datos preparados'!E641</f>
        <v/>
      </c>
      <c r="G648" s="7">
        <f>'1 datos preparados'!F641</f>
        <v/>
      </c>
      <c r="H648" s="7">
        <f>'1 datos preparados'!G641</f>
        <v/>
      </c>
      <c r="I648" s="7">
        <f>'1 datos preparados'!H641</f>
        <v/>
      </c>
      <c r="J648" s="7">
        <f>'1 datos preparados'!I641</f>
        <v/>
      </c>
      <c r="K648" s="7">
        <f>'1 datos preparados'!J641</f>
        <v/>
      </c>
      <c r="L648" s="7">
        <f>'1 datos preparados'!K641</f>
        <v/>
      </c>
      <c r="M648" s="7">
        <f>'1 datos preparados'!L641</f>
        <v/>
      </c>
      <c r="N648" s="7">
        <f>'1 datos preparados'!M641</f>
        <v/>
      </c>
      <c r="O648" s="7">
        <f>'1 datos preparados'!N641</f>
        <v/>
      </c>
      <c r="P648" s="7">
        <f>'1 datos preparados'!O641</f>
        <v/>
      </c>
      <c r="Q648" s="7">
        <f>'1 datos preparados'!P641</f>
        <v/>
      </c>
      <c r="R648" s="7">
        <f>'1 datos preparados'!Q641</f>
        <v/>
      </c>
      <c r="S648" s="7">
        <f>'1 datos preparados'!R641</f>
        <v/>
      </c>
      <c r="T648" s="7">
        <f>'1 datos preparados'!S641</f>
        <v/>
      </c>
      <c r="U648" s="7">
        <f>'1 datos preparados'!T641</f>
        <v/>
      </c>
      <c r="V648" s="8">
        <f>$AE$12+D648*$AE$13+E648*$AE$14+F648*$AE$15+G648*$AE$16+H648*$AE$17+I648*$AE$18+J648*$AE$19+K648*$AE$20+L648*$AE$21+M648*$AE$22+N648*$AE$23+O648*$AE$24+P648*$AE$25+Q648*$AE$26+R648*$AE$27+S648*$AE$28+T648*$AE$29+U648*$AE$30</f>
        <v/>
      </c>
      <c r="W648" s="8">
        <f>1/(1+EXP(-V648))</f>
        <v/>
      </c>
      <c r="X648" s="9">
        <f>-IF(C648=1,LN(W648),LN(1-W648))</f>
        <v/>
      </c>
      <c r="Y648" s="8">
        <f>IF(C648=1,$AE$32,$AE$33)</f>
        <v/>
      </c>
      <c r="Z648" s="9">
        <f>Y648*X648</f>
        <v/>
      </c>
      <c r="AA648" s="10">
        <f>IF(W648&gt;$AE$34,1,0)</f>
        <v/>
      </c>
      <c r="AB648">
        <f>IF(AA648=C648,1,0)</f>
        <v/>
      </c>
    </row>
    <row r="649">
      <c r="A649">
        <f>'1 datos preparados'!A642</f>
        <v/>
      </c>
      <c r="B649" s="5">
        <f>'1 datos preparados'!U642</f>
        <v/>
      </c>
      <c r="C649">
        <f>'1 datos preparados'!B642</f>
        <v/>
      </c>
      <c r="D649" s="7">
        <f>'1 datos preparados'!C642</f>
        <v/>
      </c>
      <c r="E649" s="7">
        <f>'1 datos preparados'!D642</f>
        <v/>
      </c>
      <c r="F649" s="7">
        <f>'1 datos preparados'!E642</f>
        <v/>
      </c>
      <c r="G649" s="7">
        <f>'1 datos preparados'!F642</f>
        <v/>
      </c>
      <c r="H649" s="7">
        <f>'1 datos preparados'!G642</f>
        <v/>
      </c>
      <c r="I649" s="7">
        <f>'1 datos preparados'!H642</f>
        <v/>
      </c>
      <c r="J649" s="7">
        <f>'1 datos preparados'!I642</f>
        <v/>
      </c>
      <c r="K649" s="7">
        <f>'1 datos preparados'!J642</f>
        <v/>
      </c>
      <c r="L649" s="7">
        <f>'1 datos preparados'!K642</f>
        <v/>
      </c>
      <c r="M649" s="7">
        <f>'1 datos preparados'!L642</f>
        <v/>
      </c>
      <c r="N649" s="7">
        <f>'1 datos preparados'!M642</f>
        <v/>
      </c>
      <c r="O649" s="7">
        <f>'1 datos preparados'!N642</f>
        <v/>
      </c>
      <c r="P649" s="7">
        <f>'1 datos preparados'!O642</f>
        <v/>
      </c>
      <c r="Q649" s="7">
        <f>'1 datos preparados'!P642</f>
        <v/>
      </c>
      <c r="R649" s="7">
        <f>'1 datos preparados'!Q642</f>
        <v/>
      </c>
      <c r="S649" s="7">
        <f>'1 datos preparados'!R642</f>
        <v/>
      </c>
      <c r="T649" s="7">
        <f>'1 datos preparados'!S642</f>
        <v/>
      </c>
      <c r="U649" s="7">
        <f>'1 datos preparados'!T642</f>
        <v/>
      </c>
      <c r="V649" s="8">
        <f>$AE$12+D649*$AE$13+E649*$AE$14+F649*$AE$15+G649*$AE$16+H649*$AE$17+I649*$AE$18+J649*$AE$19+K649*$AE$20+L649*$AE$21+M649*$AE$22+N649*$AE$23+O649*$AE$24+P649*$AE$25+Q649*$AE$26+R649*$AE$27+S649*$AE$28+T649*$AE$29+U649*$AE$30</f>
        <v/>
      </c>
      <c r="W649" s="8">
        <f>1/(1+EXP(-V649))</f>
        <v/>
      </c>
      <c r="X649" s="9">
        <f>-IF(C649=1,LN(W649),LN(1-W649))</f>
        <v/>
      </c>
      <c r="Y649" s="8">
        <f>IF(C649=1,$AE$32,$AE$33)</f>
        <v/>
      </c>
      <c r="Z649" s="9">
        <f>Y649*X649</f>
        <v/>
      </c>
      <c r="AA649" s="10">
        <f>IF(W649&gt;$AE$34,1,0)</f>
        <v/>
      </c>
      <c r="AB649">
        <f>IF(AA649=C649,1,0)</f>
        <v/>
      </c>
    </row>
    <row r="650">
      <c r="A650">
        <f>'1 datos preparados'!A643</f>
        <v/>
      </c>
      <c r="B650" s="5">
        <f>'1 datos preparados'!U643</f>
        <v/>
      </c>
      <c r="C650">
        <f>'1 datos preparados'!B643</f>
        <v/>
      </c>
      <c r="D650" s="7">
        <f>'1 datos preparados'!C643</f>
        <v/>
      </c>
      <c r="E650" s="7">
        <f>'1 datos preparados'!D643</f>
        <v/>
      </c>
      <c r="F650" s="7">
        <f>'1 datos preparados'!E643</f>
        <v/>
      </c>
      <c r="G650" s="7">
        <f>'1 datos preparados'!F643</f>
        <v/>
      </c>
      <c r="H650" s="7">
        <f>'1 datos preparados'!G643</f>
        <v/>
      </c>
      <c r="I650" s="7">
        <f>'1 datos preparados'!H643</f>
        <v/>
      </c>
      <c r="J650" s="7">
        <f>'1 datos preparados'!I643</f>
        <v/>
      </c>
      <c r="K650" s="7">
        <f>'1 datos preparados'!J643</f>
        <v/>
      </c>
      <c r="L650" s="7">
        <f>'1 datos preparados'!K643</f>
        <v/>
      </c>
      <c r="M650" s="7">
        <f>'1 datos preparados'!L643</f>
        <v/>
      </c>
      <c r="N650" s="7">
        <f>'1 datos preparados'!M643</f>
        <v/>
      </c>
      <c r="O650" s="7">
        <f>'1 datos preparados'!N643</f>
        <v/>
      </c>
      <c r="P650" s="7">
        <f>'1 datos preparados'!O643</f>
        <v/>
      </c>
      <c r="Q650" s="7">
        <f>'1 datos preparados'!P643</f>
        <v/>
      </c>
      <c r="R650" s="7">
        <f>'1 datos preparados'!Q643</f>
        <v/>
      </c>
      <c r="S650" s="7">
        <f>'1 datos preparados'!R643</f>
        <v/>
      </c>
      <c r="T650" s="7">
        <f>'1 datos preparados'!S643</f>
        <v/>
      </c>
      <c r="U650" s="7">
        <f>'1 datos preparados'!T643</f>
        <v/>
      </c>
      <c r="V650" s="8">
        <f>$AE$12+D650*$AE$13+E650*$AE$14+F650*$AE$15+G650*$AE$16+H650*$AE$17+I650*$AE$18+J650*$AE$19+K650*$AE$20+L650*$AE$21+M650*$AE$22+N650*$AE$23+O650*$AE$24+P650*$AE$25+Q650*$AE$26+R650*$AE$27+S650*$AE$28+T650*$AE$29+U650*$AE$30</f>
        <v/>
      </c>
      <c r="W650" s="8">
        <f>1/(1+EXP(-V650))</f>
        <v/>
      </c>
      <c r="X650" s="9">
        <f>-IF(C650=1,LN(W650),LN(1-W650))</f>
        <v/>
      </c>
      <c r="Y650" s="8">
        <f>IF(C650=1,$AE$32,$AE$33)</f>
        <v/>
      </c>
      <c r="Z650" s="9">
        <f>Y650*X650</f>
        <v/>
      </c>
      <c r="AA650" s="10">
        <f>IF(W650&gt;$AE$34,1,0)</f>
        <v/>
      </c>
      <c r="AB650">
        <f>IF(AA650=C650,1,0)</f>
        <v/>
      </c>
    </row>
    <row r="651">
      <c r="A651">
        <f>'1 datos preparados'!A644</f>
        <v/>
      </c>
      <c r="B651" s="5">
        <f>'1 datos preparados'!U644</f>
        <v/>
      </c>
      <c r="C651">
        <f>'1 datos preparados'!B644</f>
        <v/>
      </c>
      <c r="D651" s="7">
        <f>'1 datos preparados'!C644</f>
        <v/>
      </c>
      <c r="E651" s="7">
        <f>'1 datos preparados'!D644</f>
        <v/>
      </c>
      <c r="F651" s="7">
        <f>'1 datos preparados'!E644</f>
        <v/>
      </c>
      <c r="G651" s="7">
        <f>'1 datos preparados'!F644</f>
        <v/>
      </c>
      <c r="H651" s="7">
        <f>'1 datos preparados'!G644</f>
        <v/>
      </c>
      <c r="I651" s="7">
        <f>'1 datos preparados'!H644</f>
        <v/>
      </c>
      <c r="J651" s="7">
        <f>'1 datos preparados'!I644</f>
        <v/>
      </c>
      <c r="K651" s="7">
        <f>'1 datos preparados'!J644</f>
        <v/>
      </c>
      <c r="L651" s="7">
        <f>'1 datos preparados'!K644</f>
        <v/>
      </c>
      <c r="M651" s="7">
        <f>'1 datos preparados'!L644</f>
        <v/>
      </c>
      <c r="N651" s="7">
        <f>'1 datos preparados'!M644</f>
        <v/>
      </c>
      <c r="O651" s="7">
        <f>'1 datos preparados'!N644</f>
        <v/>
      </c>
      <c r="P651" s="7">
        <f>'1 datos preparados'!O644</f>
        <v/>
      </c>
      <c r="Q651" s="7">
        <f>'1 datos preparados'!P644</f>
        <v/>
      </c>
      <c r="R651" s="7">
        <f>'1 datos preparados'!Q644</f>
        <v/>
      </c>
      <c r="S651" s="7">
        <f>'1 datos preparados'!R644</f>
        <v/>
      </c>
      <c r="T651" s="7">
        <f>'1 datos preparados'!S644</f>
        <v/>
      </c>
      <c r="U651" s="7">
        <f>'1 datos preparados'!T644</f>
        <v/>
      </c>
      <c r="V651" s="8">
        <f>$AE$12+D651*$AE$13+E651*$AE$14+F651*$AE$15+G651*$AE$16+H651*$AE$17+I651*$AE$18+J651*$AE$19+K651*$AE$20+L651*$AE$21+M651*$AE$22+N651*$AE$23+O651*$AE$24+P651*$AE$25+Q651*$AE$26+R651*$AE$27+S651*$AE$28+T651*$AE$29+U651*$AE$30</f>
        <v/>
      </c>
      <c r="W651" s="8">
        <f>1/(1+EXP(-V651))</f>
        <v/>
      </c>
      <c r="X651" s="9">
        <f>-IF(C651=1,LN(W651),LN(1-W651))</f>
        <v/>
      </c>
      <c r="Y651" s="8">
        <f>IF(C651=1,$AE$32,$AE$33)</f>
        <v/>
      </c>
      <c r="Z651" s="9">
        <f>Y651*X651</f>
        <v/>
      </c>
      <c r="AA651" s="10">
        <f>IF(W651&gt;$AE$34,1,0)</f>
        <v/>
      </c>
      <c r="AB651">
        <f>IF(AA651=C651,1,0)</f>
        <v/>
      </c>
    </row>
    <row r="652">
      <c r="A652">
        <f>'1 datos preparados'!A645</f>
        <v/>
      </c>
      <c r="B652" s="5">
        <f>'1 datos preparados'!U645</f>
        <v/>
      </c>
      <c r="C652">
        <f>'1 datos preparados'!B645</f>
        <v/>
      </c>
      <c r="D652" s="7">
        <f>'1 datos preparados'!C645</f>
        <v/>
      </c>
      <c r="E652" s="7">
        <f>'1 datos preparados'!D645</f>
        <v/>
      </c>
      <c r="F652" s="7">
        <f>'1 datos preparados'!E645</f>
        <v/>
      </c>
      <c r="G652" s="7">
        <f>'1 datos preparados'!F645</f>
        <v/>
      </c>
      <c r="H652" s="7">
        <f>'1 datos preparados'!G645</f>
        <v/>
      </c>
      <c r="I652" s="7">
        <f>'1 datos preparados'!H645</f>
        <v/>
      </c>
      <c r="J652" s="7">
        <f>'1 datos preparados'!I645</f>
        <v/>
      </c>
      <c r="K652" s="7">
        <f>'1 datos preparados'!J645</f>
        <v/>
      </c>
      <c r="L652" s="7">
        <f>'1 datos preparados'!K645</f>
        <v/>
      </c>
      <c r="M652" s="7">
        <f>'1 datos preparados'!L645</f>
        <v/>
      </c>
      <c r="N652" s="7">
        <f>'1 datos preparados'!M645</f>
        <v/>
      </c>
      <c r="O652" s="7">
        <f>'1 datos preparados'!N645</f>
        <v/>
      </c>
      <c r="P652" s="7">
        <f>'1 datos preparados'!O645</f>
        <v/>
      </c>
      <c r="Q652" s="7">
        <f>'1 datos preparados'!P645</f>
        <v/>
      </c>
      <c r="R652" s="7">
        <f>'1 datos preparados'!Q645</f>
        <v/>
      </c>
      <c r="S652" s="7">
        <f>'1 datos preparados'!R645</f>
        <v/>
      </c>
      <c r="T652" s="7">
        <f>'1 datos preparados'!S645</f>
        <v/>
      </c>
      <c r="U652" s="7">
        <f>'1 datos preparados'!T645</f>
        <v/>
      </c>
      <c r="V652" s="8">
        <f>$AE$12+D652*$AE$13+E652*$AE$14+F652*$AE$15+G652*$AE$16+H652*$AE$17+I652*$AE$18+J652*$AE$19+K652*$AE$20+L652*$AE$21+M652*$AE$22+N652*$AE$23+O652*$AE$24+P652*$AE$25+Q652*$AE$26+R652*$AE$27+S652*$AE$28+T652*$AE$29+U652*$AE$30</f>
        <v/>
      </c>
      <c r="W652" s="8">
        <f>1/(1+EXP(-V652))</f>
        <v/>
      </c>
      <c r="X652" s="9">
        <f>-IF(C652=1,LN(W652),LN(1-W652))</f>
        <v/>
      </c>
      <c r="Y652" s="8">
        <f>IF(C652=1,$AE$32,$AE$33)</f>
        <v/>
      </c>
      <c r="Z652" s="9">
        <f>Y652*X652</f>
        <v/>
      </c>
      <c r="AA652" s="10">
        <f>IF(W652&gt;$AE$34,1,0)</f>
        <v/>
      </c>
      <c r="AB652">
        <f>IF(AA652=C652,1,0)</f>
        <v/>
      </c>
    </row>
    <row r="653">
      <c r="A653">
        <f>'1 datos preparados'!A646</f>
        <v/>
      </c>
      <c r="B653" s="5">
        <f>'1 datos preparados'!U646</f>
        <v/>
      </c>
      <c r="C653">
        <f>'1 datos preparados'!B646</f>
        <v/>
      </c>
      <c r="D653" s="7">
        <f>'1 datos preparados'!C646</f>
        <v/>
      </c>
      <c r="E653" s="7">
        <f>'1 datos preparados'!D646</f>
        <v/>
      </c>
      <c r="F653" s="7">
        <f>'1 datos preparados'!E646</f>
        <v/>
      </c>
      <c r="G653" s="7">
        <f>'1 datos preparados'!F646</f>
        <v/>
      </c>
      <c r="H653" s="7">
        <f>'1 datos preparados'!G646</f>
        <v/>
      </c>
      <c r="I653" s="7">
        <f>'1 datos preparados'!H646</f>
        <v/>
      </c>
      <c r="J653" s="7">
        <f>'1 datos preparados'!I646</f>
        <v/>
      </c>
      <c r="K653" s="7">
        <f>'1 datos preparados'!J646</f>
        <v/>
      </c>
      <c r="L653" s="7">
        <f>'1 datos preparados'!K646</f>
        <v/>
      </c>
      <c r="M653" s="7">
        <f>'1 datos preparados'!L646</f>
        <v/>
      </c>
      <c r="N653" s="7">
        <f>'1 datos preparados'!M646</f>
        <v/>
      </c>
      <c r="O653" s="7">
        <f>'1 datos preparados'!N646</f>
        <v/>
      </c>
      <c r="P653" s="7">
        <f>'1 datos preparados'!O646</f>
        <v/>
      </c>
      <c r="Q653" s="7">
        <f>'1 datos preparados'!P646</f>
        <v/>
      </c>
      <c r="R653" s="7">
        <f>'1 datos preparados'!Q646</f>
        <v/>
      </c>
      <c r="S653" s="7">
        <f>'1 datos preparados'!R646</f>
        <v/>
      </c>
      <c r="T653" s="7">
        <f>'1 datos preparados'!S646</f>
        <v/>
      </c>
      <c r="U653" s="7">
        <f>'1 datos preparados'!T646</f>
        <v/>
      </c>
      <c r="V653" s="8">
        <f>$AE$12+D653*$AE$13+E653*$AE$14+F653*$AE$15+G653*$AE$16+H653*$AE$17+I653*$AE$18+J653*$AE$19+K653*$AE$20+L653*$AE$21+M653*$AE$22+N653*$AE$23+O653*$AE$24+P653*$AE$25+Q653*$AE$26+R653*$AE$27+S653*$AE$28+T653*$AE$29+U653*$AE$30</f>
        <v/>
      </c>
      <c r="W653" s="8">
        <f>1/(1+EXP(-V653))</f>
        <v/>
      </c>
      <c r="X653" s="9">
        <f>-IF(C653=1,LN(W653),LN(1-W653))</f>
        <v/>
      </c>
      <c r="Y653" s="8">
        <f>IF(C653=1,$AE$32,$AE$33)</f>
        <v/>
      </c>
      <c r="Z653" s="9">
        <f>Y653*X653</f>
        <v/>
      </c>
      <c r="AA653" s="10">
        <f>IF(W653&gt;$AE$34,1,0)</f>
        <v/>
      </c>
      <c r="AB653">
        <f>IF(AA653=C653,1,0)</f>
        <v/>
      </c>
    </row>
    <row r="654">
      <c r="A654">
        <f>'1 datos preparados'!A647</f>
        <v/>
      </c>
      <c r="B654" s="5">
        <f>'1 datos preparados'!U647</f>
        <v/>
      </c>
      <c r="C654">
        <f>'1 datos preparados'!B647</f>
        <v/>
      </c>
      <c r="D654" s="7">
        <f>'1 datos preparados'!C647</f>
        <v/>
      </c>
      <c r="E654" s="7">
        <f>'1 datos preparados'!D647</f>
        <v/>
      </c>
      <c r="F654" s="7">
        <f>'1 datos preparados'!E647</f>
        <v/>
      </c>
      <c r="G654" s="7">
        <f>'1 datos preparados'!F647</f>
        <v/>
      </c>
      <c r="H654" s="7">
        <f>'1 datos preparados'!G647</f>
        <v/>
      </c>
      <c r="I654" s="7">
        <f>'1 datos preparados'!H647</f>
        <v/>
      </c>
      <c r="J654" s="7">
        <f>'1 datos preparados'!I647</f>
        <v/>
      </c>
      <c r="K654" s="7">
        <f>'1 datos preparados'!J647</f>
        <v/>
      </c>
      <c r="L654" s="7">
        <f>'1 datos preparados'!K647</f>
        <v/>
      </c>
      <c r="M654" s="7">
        <f>'1 datos preparados'!L647</f>
        <v/>
      </c>
      <c r="N654" s="7">
        <f>'1 datos preparados'!M647</f>
        <v/>
      </c>
      <c r="O654" s="7">
        <f>'1 datos preparados'!N647</f>
        <v/>
      </c>
      <c r="P654" s="7">
        <f>'1 datos preparados'!O647</f>
        <v/>
      </c>
      <c r="Q654" s="7">
        <f>'1 datos preparados'!P647</f>
        <v/>
      </c>
      <c r="R654" s="7">
        <f>'1 datos preparados'!Q647</f>
        <v/>
      </c>
      <c r="S654" s="7">
        <f>'1 datos preparados'!R647</f>
        <v/>
      </c>
      <c r="T654" s="7">
        <f>'1 datos preparados'!S647</f>
        <v/>
      </c>
      <c r="U654" s="7">
        <f>'1 datos preparados'!T647</f>
        <v/>
      </c>
      <c r="V654" s="8">
        <f>$AE$12+D654*$AE$13+E654*$AE$14+F654*$AE$15+G654*$AE$16+H654*$AE$17+I654*$AE$18+J654*$AE$19+K654*$AE$20+L654*$AE$21+M654*$AE$22+N654*$AE$23+O654*$AE$24+P654*$AE$25+Q654*$AE$26+R654*$AE$27+S654*$AE$28+T654*$AE$29+U654*$AE$30</f>
        <v/>
      </c>
      <c r="W654" s="8">
        <f>1/(1+EXP(-V654))</f>
        <v/>
      </c>
      <c r="X654" s="9">
        <f>-IF(C654=1,LN(W654),LN(1-W654))</f>
        <v/>
      </c>
      <c r="Y654" s="8">
        <f>IF(C654=1,$AE$32,$AE$33)</f>
        <v/>
      </c>
      <c r="Z654" s="9">
        <f>Y654*X654</f>
        <v/>
      </c>
      <c r="AA654" s="10">
        <f>IF(W654&gt;$AE$34,1,0)</f>
        <v/>
      </c>
      <c r="AB654">
        <f>IF(AA654=C654,1,0)</f>
        <v/>
      </c>
    </row>
    <row r="655">
      <c r="A655">
        <f>'1 datos preparados'!A648</f>
        <v/>
      </c>
      <c r="B655" s="5">
        <f>'1 datos preparados'!U648</f>
        <v/>
      </c>
      <c r="C655">
        <f>'1 datos preparados'!B648</f>
        <v/>
      </c>
      <c r="D655" s="7">
        <f>'1 datos preparados'!C648</f>
        <v/>
      </c>
      <c r="E655" s="7">
        <f>'1 datos preparados'!D648</f>
        <v/>
      </c>
      <c r="F655" s="7">
        <f>'1 datos preparados'!E648</f>
        <v/>
      </c>
      <c r="G655" s="7">
        <f>'1 datos preparados'!F648</f>
        <v/>
      </c>
      <c r="H655" s="7">
        <f>'1 datos preparados'!G648</f>
        <v/>
      </c>
      <c r="I655" s="7">
        <f>'1 datos preparados'!H648</f>
        <v/>
      </c>
      <c r="J655" s="7">
        <f>'1 datos preparados'!I648</f>
        <v/>
      </c>
      <c r="K655" s="7">
        <f>'1 datos preparados'!J648</f>
        <v/>
      </c>
      <c r="L655" s="7">
        <f>'1 datos preparados'!K648</f>
        <v/>
      </c>
      <c r="M655" s="7">
        <f>'1 datos preparados'!L648</f>
        <v/>
      </c>
      <c r="N655" s="7">
        <f>'1 datos preparados'!M648</f>
        <v/>
      </c>
      <c r="O655" s="7">
        <f>'1 datos preparados'!N648</f>
        <v/>
      </c>
      <c r="P655" s="7">
        <f>'1 datos preparados'!O648</f>
        <v/>
      </c>
      <c r="Q655" s="7">
        <f>'1 datos preparados'!P648</f>
        <v/>
      </c>
      <c r="R655" s="7">
        <f>'1 datos preparados'!Q648</f>
        <v/>
      </c>
      <c r="S655" s="7">
        <f>'1 datos preparados'!R648</f>
        <v/>
      </c>
      <c r="T655" s="7">
        <f>'1 datos preparados'!S648</f>
        <v/>
      </c>
      <c r="U655" s="7">
        <f>'1 datos preparados'!T648</f>
        <v/>
      </c>
      <c r="V655" s="8">
        <f>$AE$12+D655*$AE$13+E655*$AE$14+F655*$AE$15+G655*$AE$16+H655*$AE$17+I655*$AE$18+J655*$AE$19+K655*$AE$20+L655*$AE$21+M655*$AE$22+N655*$AE$23+O655*$AE$24+P655*$AE$25+Q655*$AE$26+R655*$AE$27+S655*$AE$28+T655*$AE$29+U655*$AE$30</f>
        <v/>
      </c>
      <c r="W655" s="8">
        <f>1/(1+EXP(-V655))</f>
        <v/>
      </c>
      <c r="X655" s="9">
        <f>-IF(C655=1,LN(W655),LN(1-W655))</f>
        <v/>
      </c>
      <c r="Y655" s="8">
        <f>IF(C655=1,$AE$32,$AE$33)</f>
        <v/>
      </c>
      <c r="Z655" s="9">
        <f>Y655*X655</f>
        <v/>
      </c>
      <c r="AA655" s="10">
        <f>IF(W655&gt;$AE$34,1,0)</f>
        <v/>
      </c>
      <c r="AB655">
        <f>IF(AA655=C655,1,0)</f>
        <v/>
      </c>
    </row>
    <row r="656">
      <c r="A656">
        <f>'1 datos preparados'!A649</f>
        <v/>
      </c>
      <c r="B656" s="5">
        <f>'1 datos preparados'!U649</f>
        <v/>
      </c>
      <c r="C656">
        <f>'1 datos preparados'!B649</f>
        <v/>
      </c>
      <c r="D656" s="7">
        <f>'1 datos preparados'!C649</f>
        <v/>
      </c>
      <c r="E656" s="7">
        <f>'1 datos preparados'!D649</f>
        <v/>
      </c>
      <c r="F656" s="7">
        <f>'1 datos preparados'!E649</f>
        <v/>
      </c>
      <c r="G656" s="7">
        <f>'1 datos preparados'!F649</f>
        <v/>
      </c>
      <c r="H656" s="7">
        <f>'1 datos preparados'!G649</f>
        <v/>
      </c>
      <c r="I656" s="7">
        <f>'1 datos preparados'!H649</f>
        <v/>
      </c>
      <c r="J656" s="7">
        <f>'1 datos preparados'!I649</f>
        <v/>
      </c>
      <c r="K656" s="7">
        <f>'1 datos preparados'!J649</f>
        <v/>
      </c>
      <c r="L656" s="7">
        <f>'1 datos preparados'!K649</f>
        <v/>
      </c>
      <c r="M656" s="7">
        <f>'1 datos preparados'!L649</f>
        <v/>
      </c>
      <c r="N656" s="7">
        <f>'1 datos preparados'!M649</f>
        <v/>
      </c>
      <c r="O656" s="7">
        <f>'1 datos preparados'!N649</f>
        <v/>
      </c>
      <c r="P656" s="7">
        <f>'1 datos preparados'!O649</f>
        <v/>
      </c>
      <c r="Q656" s="7">
        <f>'1 datos preparados'!P649</f>
        <v/>
      </c>
      <c r="R656" s="7">
        <f>'1 datos preparados'!Q649</f>
        <v/>
      </c>
      <c r="S656" s="7">
        <f>'1 datos preparados'!R649</f>
        <v/>
      </c>
      <c r="T656" s="7">
        <f>'1 datos preparados'!S649</f>
        <v/>
      </c>
      <c r="U656" s="7">
        <f>'1 datos preparados'!T649</f>
        <v/>
      </c>
      <c r="V656" s="8">
        <f>$AE$12+D656*$AE$13+E656*$AE$14+F656*$AE$15+G656*$AE$16+H656*$AE$17+I656*$AE$18+J656*$AE$19+K656*$AE$20+L656*$AE$21+M656*$AE$22+N656*$AE$23+O656*$AE$24+P656*$AE$25+Q656*$AE$26+R656*$AE$27+S656*$AE$28+T656*$AE$29+U656*$AE$30</f>
        <v/>
      </c>
      <c r="W656" s="8">
        <f>1/(1+EXP(-V656))</f>
        <v/>
      </c>
      <c r="X656" s="9">
        <f>-IF(C656=1,LN(W656),LN(1-W656))</f>
        <v/>
      </c>
      <c r="Y656" s="8">
        <f>IF(C656=1,$AE$32,$AE$33)</f>
        <v/>
      </c>
      <c r="Z656" s="9">
        <f>Y656*X656</f>
        <v/>
      </c>
      <c r="AA656" s="10">
        <f>IF(W656&gt;$AE$34,1,0)</f>
        <v/>
      </c>
      <c r="AB656">
        <f>IF(AA656=C656,1,0)</f>
        <v/>
      </c>
    </row>
    <row r="657">
      <c r="A657">
        <f>'1 datos preparados'!A650</f>
        <v/>
      </c>
      <c r="B657" s="5">
        <f>'1 datos preparados'!U650</f>
        <v/>
      </c>
      <c r="C657">
        <f>'1 datos preparados'!B650</f>
        <v/>
      </c>
      <c r="D657" s="7">
        <f>'1 datos preparados'!C650</f>
        <v/>
      </c>
      <c r="E657" s="7">
        <f>'1 datos preparados'!D650</f>
        <v/>
      </c>
      <c r="F657" s="7">
        <f>'1 datos preparados'!E650</f>
        <v/>
      </c>
      <c r="G657" s="7">
        <f>'1 datos preparados'!F650</f>
        <v/>
      </c>
      <c r="H657" s="7">
        <f>'1 datos preparados'!G650</f>
        <v/>
      </c>
      <c r="I657" s="7">
        <f>'1 datos preparados'!H650</f>
        <v/>
      </c>
      <c r="J657" s="7">
        <f>'1 datos preparados'!I650</f>
        <v/>
      </c>
      <c r="K657" s="7">
        <f>'1 datos preparados'!J650</f>
        <v/>
      </c>
      <c r="L657" s="7">
        <f>'1 datos preparados'!K650</f>
        <v/>
      </c>
      <c r="M657" s="7">
        <f>'1 datos preparados'!L650</f>
        <v/>
      </c>
      <c r="N657" s="7">
        <f>'1 datos preparados'!M650</f>
        <v/>
      </c>
      <c r="O657" s="7">
        <f>'1 datos preparados'!N650</f>
        <v/>
      </c>
      <c r="P657" s="7">
        <f>'1 datos preparados'!O650</f>
        <v/>
      </c>
      <c r="Q657" s="7">
        <f>'1 datos preparados'!P650</f>
        <v/>
      </c>
      <c r="R657" s="7">
        <f>'1 datos preparados'!Q650</f>
        <v/>
      </c>
      <c r="S657" s="7">
        <f>'1 datos preparados'!R650</f>
        <v/>
      </c>
      <c r="T657" s="7">
        <f>'1 datos preparados'!S650</f>
        <v/>
      </c>
      <c r="U657" s="7">
        <f>'1 datos preparados'!T650</f>
        <v/>
      </c>
      <c r="V657" s="8">
        <f>$AE$12+D657*$AE$13+E657*$AE$14+F657*$AE$15+G657*$AE$16+H657*$AE$17+I657*$AE$18+J657*$AE$19+K657*$AE$20+L657*$AE$21+M657*$AE$22+N657*$AE$23+O657*$AE$24+P657*$AE$25+Q657*$AE$26+R657*$AE$27+S657*$AE$28+T657*$AE$29+U657*$AE$30</f>
        <v/>
      </c>
      <c r="W657" s="8">
        <f>1/(1+EXP(-V657))</f>
        <v/>
      </c>
      <c r="X657" s="9">
        <f>-IF(C657=1,LN(W657),LN(1-W657))</f>
        <v/>
      </c>
      <c r="Y657" s="8">
        <f>IF(C657=1,$AE$32,$AE$33)</f>
        <v/>
      </c>
      <c r="Z657" s="9">
        <f>Y657*X657</f>
        <v/>
      </c>
      <c r="AA657" s="10">
        <f>IF(W657&gt;$AE$34,1,0)</f>
        <v/>
      </c>
      <c r="AB657">
        <f>IF(AA657=C657,1,0)</f>
        <v/>
      </c>
    </row>
    <row r="658">
      <c r="A658">
        <f>'1 datos preparados'!A651</f>
        <v/>
      </c>
      <c r="B658" s="5">
        <f>'1 datos preparados'!U651</f>
        <v/>
      </c>
      <c r="C658">
        <f>'1 datos preparados'!B651</f>
        <v/>
      </c>
      <c r="D658" s="7">
        <f>'1 datos preparados'!C651</f>
        <v/>
      </c>
      <c r="E658" s="7">
        <f>'1 datos preparados'!D651</f>
        <v/>
      </c>
      <c r="F658" s="7">
        <f>'1 datos preparados'!E651</f>
        <v/>
      </c>
      <c r="G658" s="7">
        <f>'1 datos preparados'!F651</f>
        <v/>
      </c>
      <c r="H658" s="7">
        <f>'1 datos preparados'!G651</f>
        <v/>
      </c>
      <c r="I658" s="7">
        <f>'1 datos preparados'!H651</f>
        <v/>
      </c>
      <c r="J658" s="7">
        <f>'1 datos preparados'!I651</f>
        <v/>
      </c>
      <c r="K658" s="7">
        <f>'1 datos preparados'!J651</f>
        <v/>
      </c>
      <c r="L658" s="7">
        <f>'1 datos preparados'!K651</f>
        <v/>
      </c>
      <c r="M658" s="7">
        <f>'1 datos preparados'!L651</f>
        <v/>
      </c>
      <c r="N658" s="7">
        <f>'1 datos preparados'!M651</f>
        <v/>
      </c>
      <c r="O658" s="7">
        <f>'1 datos preparados'!N651</f>
        <v/>
      </c>
      <c r="P658" s="7">
        <f>'1 datos preparados'!O651</f>
        <v/>
      </c>
      <c r="Q658" s="7">
        <f>'1 datos preparados'!P651</f>
        <v/>
      </c>
      <c r="R658" s="7">
        <f>'1 datos preparados'!Q651</f>
        <v/>
      </c>
      <c r="S658" s="7">
        <f>'1 datos preparados'!R651</f>
        <v/>
      </c>
      <c r="T658" s="7">
        <f>'1 datos preparados'!S651</f>
        <v/>
      </c>
      <c r="U658" s="7">
        <f>'1 datos preparados'!T651</f>
        <v/>
      </c>
      <c r="V658" s="8">
        <f>$AE$12+D658*$AE$13+E658*$AE$14+F658*$AE$15+G658*$AE$16+H658*$AE$17+I658*$AE$18+J658*$AE$19+K658*$AE$20+L658*$AE$21+M658*$AE$22+N658*$AE$23+O658*$AE$24+P658*$AE$25+Q658*$AE$26+R658*$AE$27+S658*$AE$28+T658*$AE$29+U658*$AE$30</f>
        <v/>
      </c>
      <c r="W658" s="8">
        <f>1/(1+EXP(-V658))</f>
        <v/>
      </c>
      <c r="X658" s="9">
        <f>-IF(C658=1,LN(W658),LN(1-W658))</f>
        <v/>
      </c>
      <c r="Y658" s="8">
        <f>IF(C658=1,$AE$32,$AE$33)</f>
        <v/>
      </c>
      <c r="Z658" s="9">
        <f>Y658*X658</f>
        <v/>
      </c>
      <c r="AA658" s="10">
        <f>IF(W658&gt;$AE$34,1,0)</f>
        <v/>
      </c>
      <c r="AB658">
        <f>IF(AA658=C658,1,0)</f>
        <v/>
      </c>
    </row>
    <row r="659">
      <c r="A659">
        <f>'1 datos preparados'!A652</f>
        <v/>
      </c>
      <c r="B659" s="5">
        <f>'1 datos preparados'!U652</f>
        <v/>
      </c>
      <c r="C659">
        <f>'1 datos preparados'!B652</f>
        <v/>
      </c>
      <c r="D659" s="7">
        <f>'1 datos preparados'!C652</f>
        <v/>
      </c>
      <c r="E659" s="7">
        <f>'1 datos preparados'!D652</f>
        <v/>
      </c>
      <c r="F659" s="7">
        <f>'1 datos preparados'!E652</f>
        <v/>
      </c>
      <c r="G659" s="7">
        <f>'1 datos preparados'!F652</f>
        <v/>
      </c>
      <c r="H659" s="7">
        <f>'1 datos preparados'!G652</f>
        <v/>
      </c>
      <c r="I659" s="7">
        <f>'1 datos preparados'!H652</f>
        <v/>
      </c>
      <c r="J659" s="7">
        <f>'1 datos preparados'!I652</f>
        <v/>
      </c>
      <c r="K659" s="7">
        <f>'1 datos preparados'!J652</f>
        <v/>
      </c>
      <c r="L659" s="7">
        <f>'1 datos preparados'!K652</f>
        <v/>
      </c>
      <c r="M659" s="7">
        <f>'1 datos preparados'!L652</f>
        <v/>
      </c>
      <c r="N659" s="7">
        <f>'1 datos preparados'!M652</f>
        <v/>
      </c>
      <c r="O659" s="7">
        <f>'1 datos preparados'!N652</f>
        <v/>
      </c>
      <c r="P659" s="7">
        <f>'1 datos preparados'!O652</f>
        <v/>
      </c>
      <c r="Q659" s="7">
        <f>'1 datos preparados'!P652</f>
        <v/>
      </c>
      <c r="R659" s="7">
        <f>'1 datos preparados'!Q652</f>
        <v/>
      </c>
      <c r="S659" s="7">
        <f>'1 datos preparados'!R652</f>
        <v/>
      </c>
      <c r="T659" s="7">
        <f>'1 datos preparados'!S652</f>
        <v/>
      </c>
      <c r="U659" s="7">
        <f>'1 datos preparados'!T652</f>
        <v/>
      </c>
      <c r="V659" s="8">
        <f>$AE$12+D659*$AE$13+E659*$AE$14+F659*$AE$15+G659*$AE$16+H659*$AE$17+I659*$AE$18+J659*$AE$19+K659*$AE$20+L659*$AE$21+M659*$AE$22+N659*$AE$23+O659*$AE$24+P659*$AE$25+Q659*$AE$26+R659*$AE$27+S659*$AE$28+T659*$AE$29+U659*$AE$30</f>
        <v/>
      </c>
      <c r="W659" s="8">
        <f>1/(1+EXP(-V659))</f>
        <v/>
      </c>
      <c r="X659" s="9">
        <f>-IF(C659=1,LN(W659),LN(1-W659))</f>
        <v/>
      </c>
      <c r="Y659" s="8">
        <f>IF(C659=1,$AE$32,$AE$33)</f>
        <v/>
      </c>
      <c r="Z659" s="9">
        <f>Y659*X659</f>
        <v/>
      </c>
      <c r="AA659" s="10">
        <f>IF(W659&gt;$AE$34,1,0)</f>
        <v/>
      </c>
      <c r="AB659">
        <f>IF(AA659=C659,1,0)</f>
        <v/>
      </c>
    </row>
    <row r="660">
      <c r="A660">
        <f>'1 datos preparados'!A653</f>
        <v/>
      </c>
      <c r="B660" s="5">
        <f>'1 datos preparados'!U653</f>
        <v/>
      </c>
      <c r="C660">
        <f>'1 datos preparados'!B653</f>
        <v/>
      </c>
      <c r="D660" s="7">
        <f>'1 datos preparados'!C653</f>
        <v/>
      </c>
      <c r="E660" s="7">
        <f>'1 datos preparados'!D653</f>
        <v/>
      </c>
      <c r="F660" s="7">
        <f>'1 datos preparados'!E653</f>
        <v/>
      </c>
      <c r="G660" s="7">
        <f>'1 datos preparados'!F653</f>
        <v/>
      </c>
      <c r="H660" s="7">
        <f>'1 datos preparados'!G653</f>
        <v/>
      </c>
      <c r="I660" s="7">
        <f>'1 datos preparados'!H653</f>
        <v/>
      </c>
      <c r="J660" s="7">
        <f>'1 datos preparados'!I653</f>
        <v/>
      </c>
      <c r="K660" s="7">
        <f>'1 datos preparados'!J653</f>
        <v/>
      </c>
      <c r="L660" s="7">
        <f>'1 datos preparados'!K653</f>
        <v/>
      </c>
      <c r="M660" s="7">
        <f>'1 datos preparados'!L653</f>
        <v/>
      </c>
      <c r="N660" s="7">
        <f>'1 datos preparados'!M653</f>
        <v/>
      </c>
      <c r="O660" s="7">
        <f>'1 datos preparados'!N653</f>
        <v/>
      </c>
      <c r="P660" s="7">
        <f>'1 datos preparados'!O653</f>
        <v/>
      </c>
      <c r="Q660" s="7">
        <f>'1 datos preparados'!P653</f>
        <v/>
      </c>
      <c r="R660" s="7">
        <f>'1 datos preparados'!Q653</f>
        <v/>
      </c>
      <c r="S660" s="7">
        <f>'1 datos preparados'!R653</f>
        <v/>
      </c>
      <c r="T660" s="7">
        <f>'1 datos preparados'!S653</f>
        <v/>
      </c>
      <c r="U660" s="7">
        <f>'1 datos preparados'!T653</f>
        <v/>
      </c>
      <c r="V660" s="8">
        <f>$AE$12+D660*$AE$13+E660*$AE$14+F660*$AE$15+G660*$AE$16+H660*$AE$17+I660*$AE$18+J660*$AE$19+K660*$AE$20+L660*$AE$21+M660*$AE$22+N660*$AE$23+O660*$AE$24+P660*$AE$25+Q660*$AE$26+R660*$AE$27+S660*$AE$28+T660*$AE$29+U660*$AE$30</f>
        <v/>
      </c>
      <c r="W660" s="8">
        <f>1/(1+EXP(-V660))</f>
        <v/>
      </c>
      <c r="X660" s="9">
        <f>-IF(C660=1,LN(W660),LN(1-W660))</f>
        <v/>
      </c>
      <c r="Y660" s="8">
        <f>IF(C660=1,$AE$32,$AE$33)</f>
        <v/>
      </c>
      <c r="Z660" s="9">
        <f>Y660*X660</f>
        <v/>
      </c>
      <c r="AA660" s="10">
        <f>IF(W660&gt;$AE$34,1,0)</f>
        <v/>
      </c>
      <c r="AB660">
        <f>IF(AA660=C660,1,0)</f>
        <v/>
      </c>
    </row>
    <row r="661">
      <c r="A661">
        <f>'1 datos preparados'!A654</f>
        <v/>
      </c>
      <c r="B661" s="5">
        <f>'1 datos preparados'!U654</f>
        <v/>
      </c>
      <c r="C661">
        <f>'1 datos preparados'!B654</f>
        <v/>
      </c>
      <c r="D661" s="7">
        <f>'1 datos preparados'!C654</f>
        <v/>
      </c>
      <c r="E661" s="7">
        <f>'1 datos preparados'!D654</f>
        <v/>
      </c>
      <c r="F661" s="7">
        <f>'1 datos preparados'!E654</f>
        <v/>
      </c>
      <c r="G661" s="7">
        <f>'1 datos preparados'!F654</f>
        <v/>
      </c>
      <c r="H661" s="7">
        <f>'1 datos preparados'!G654</f>
        <v/>
      </c>
      <c r="I661" s="7">
        <f>'1 datos preparados'!H654</f>
        <v/>
      </c>
      <c r="J661" s="7">
        <f>'1 datos preparados'!I654</f>
        <v/>
      </c>
      <c r="K661" s="7">
        <f>'1 datos preparados'!J654</f>
        <v/>
      </c>
      <c r="L661" s="7">
        <f>'1 datos preparados'!K654</f>
        <v/>
      </c>
      <c r="M661" s="7">
        <f>'1 datos preparados'!L654</f>
        <v/>
      </c>
      <c r="N661" s="7">
        <f>'1 datos preparados'!M654</f>
        <v/>
      </c>
      <c r="O661" s="7">
        <f>'1 datos preparados'!N654</f>
        <v/>
      </c>
      <c r="P661" s="7">
        <f>'1 datos preparados'!O654</f>
        <v/>
      </c>
      <c r="Q661" s="7">
        <f>'1 datos preparados'!P654</f>
        <v/>
      </c>
      <c r="R661" s="7">
        <f>'1 datos preparados'!Q654</f>
        <v/>
      </c>
      <c r="S661" s="7">
        <f>'1 datos preparados'!R654</f>
        <v/>
      </c>
      <c r="T661" s="7">
        <f>'1 datos preparados'!S654</f>
        <v/>
      </c>
      <c r="U661" s="7">
        <f>'1 datos preparados'!T654</f>
        <v/>
      </c>
      <c r="V661" s="8">
        <f>$AE$12+D661*$AE$13+E661*$AE$14+F661*$AE$15+G661*$AE$16+H661*$AE$17+I661*$AE$18+J661*$AE$19+K661*$AE$20+L661*$AE$21+M661*$AE$22+N661*$AE$23+O661*$AE$24+P661*$AE$25+Q661*$AE$26+R661*$AE$27+S661*$AE$28+T661*$AE$29+U661*$AE$30</f>
        <v/>
      </c>
      <c r="W661" s="8">
        <f>1/(1+EXP(-V661))</f>
        <v/>
      </c>
      <c r="X661" s="9">
        <f>-IF(C661=1,LN(W661),LN(1-W661))</f>
        <v/>
      </c>
      <c r="Y661" s="8">
        <f>IF(C661=1,$AE$32,$AE$33)</f>
        <v/>
      </c>
      <c r="Z661" s="9">
        <f>Y661*X661</f>
        <v/>
      </c>
      <c r="AA661" s="10">
        <f>IF(W661&gt;$AE$34,1,0)</f>
        <v/>
      </c>
      <c r="AB661">
        <f>IF(AA661=C661,1,0)</f>
        <v/>
      </c>
    </row>
    <row r="662">
      <c r="A662">
        <f>'1 datos preparados'!A655</f>
        <v/>
      </c>
      <c r="B662" s="5">
        <f>'1 datos preparados'!U655</f>
        <v/>
      </c>
      <c r="C662">
        <f>'1 datos preparados'!B655</f>
        <v/>
      </c>
      <c r="D662" s="7">
        <f>'1 datos preparados'!C655</f>
        <v/>
      </c>
      <c r="E662" s="7">
        <f>'1 datos preparados'!D655</f>
        <v/>
      </c>
      <c r="F662" s="7">
        <f>'1 datos preparados'!E655</f>
        <v/>
      </c>
      <c r="G662" s="7">
        <f>'1 datos preparados'!F655</f>
        <v/>
      </c>
      <c r="H662" s="7">
        <f>'1 datos preparados'!G655</f>
        <v/>
      </c>
      <c r="I662" s="7">
        <f>'1 datos preparados'!H655</f>
        <v/>
      </c>
      <c r="J662" s="7">
        <f>'1 datos preparados'!I655</f>
        <v/>
      </c>
      <c r="K662" s="7">
        <f>'1 datos preparados'!J655</f>
        <v/>
      </c>
      <c r="L662" s="7">
        <f>'1 datos preparados'!K655</f>
        <v/>
      </c>
      <c r="M662" s="7">
        <f>'1 datos preparados'!L655</f>
        <v/>
      </c>
      <c r="N662" s="7">
        <f>'1 datos preparados'!M655</f>
        <v/>
      </c>
      <c r="O662" s="7">
        <f>'1 datos preparados'!N655</f>
        <v/>
      </c>
      <c r="P662" s="7">
        <f>'1 datos preparados'!O655</f>
        <v/>
      </c>
      <c r="Q662" s="7">
        <f>'1 datos preparados'!P655</f>
        <v/>
      </c>
      <c r="R662" s="7">
        <f>'1 datos preparados'!Q655</f>
        <v/>
      </c>
      <c r="S662" s="7">
        <f>'1 datos preparados'!R655</f>
        <v/>
      </c>
      <c r="T662" s="7">
        <f>'1 datos preparados'!S655</f>
        <v/>
      </c>
      <c r="U662" s="7">
        <f>'1 datos preparados'!T655</f>
        <v/>
      </c>
      <c r="V662" s="8">
        <f>$AE$12+D662*$AE$13+E662*$AE$14+F662*$AE$15+G662*$AE$16+H662*$AE$17+I662*$AE$18+J662*$AE$19+K662*$AE$20+L662*$AE$21+M662*$AE$22+N662*$AE$23+O662*$AE$24+P662*$AE$25+Q662*$AE$26+R662*$AE$27+S662*$AE$28+T662*$AE$29+U662*$AE$30</f>
        <v/>
      </c>
      <c r="W662" s="8">
        <f>1/(1+EXP(-V662))</f>
        <v/>
      </c>
      <c r="X662" s="9">
        <f>-IF(C662=1,LN(W662),LN(1-W662))</f>
        <v/>
      </c>
      <c r="Y662" s="8">
        <f>IF(C662=1,$AE$32,$AE$33)</f>
        <v/>
      </c>
      <c r="Z662" s="9">
        <f>Y662*X662</f>
        <v/>
      </c>
      <c r="AA662" s="10">
        <f>IF(W662&gt;$AE$34,1,0)</f>
        <v/>
      </c>
      <c r="AB662">
        <f>IF(AA662=C662,1,0)</f>
        <v/>
      </c>
    </row>
    <row r="663">
      <c r="A663">
        <f>'1 datos preparados'!A656</f>
        <v/>
      </c>
      <c r="B663" s="5">
        <f>'1 datos preparados'!U656</f>
        <v/>
      </c>
      <c r="C663">
        <f>'1 datos preparados'!B656</f>
        <v/>
      </c>
      <c r="D663" s="7">
        <f>'1 datos preparados'!C656</f>
        <v/>
      </c>
      <c r="E663" s="7">
        <f>'1 datos preparados'!D656</f>
        <v/>
      </c>
      <c r="F663" s="7">
        <f>'1 datos preparados'!E656</f>
        <v/>
      </c>
      <c r="G663" s="7">
        <f>'1 datos preparados'!F656</f>
        <v/>
      </c>
      <c r="H663" s="7">
        <f>'1 datos preparados'!G656</f>
        <v/>
      </c>
      <c r="I663" s="7">
        <f>'1 datos preparados'!H656</f>
        <v/>
      </c>
      <c r="J663" s="7">
        <f>'1 datos preparados'!I656</f>
        <v/>
      </c>
      <c r="K663" s="7">
        <f>'1 datos preparados'!J656</f>
        <v/>
      </c>
      <c r="L663" s="7">
        <f>'1 datos preparados'!K656</f>
        <v/>
      </c>
      <c r="M663" s="7">
        <f>'1 datos preparados'!L656</f>
        <v/>
      </c>
      <c r="N663" s="7">
        <f>'1 datos preparados'!M656</f>
        <v/>
      </c>
      <c r="O663" s="7">
        <f>'1 datos preparados'!N656</f>
        <v/>
      </c>
      <c r="P663" s="7">
        <f>'1 datos preparados'!O656</f>
        <v/>
      </c>
      <c r="Q663" s="7">
        <f>'1 datos preparados'!P656</f>
        <v/>
      </c>
      <c r="R663" s="7">
        <f>'1 datos preparados'!Q656</f>
        <v/>
      </c>
      <c r="S663" s="7">
        <f>'1 datos preparados'!R656</f>
        <v/>
      </c>
      <c r="T663" s="7">
        <f>'1 datos preparados'!S656</f>
        <v/>
      </c>
      <c r="U663" s="7">
        <f>'1 datos preparados'!T656</f>
        <v/>
      </c>
      <c r="V663" s="8">
        <f>$AE$12+D663*$AE$13+E663*$AE$14+F663*$AE$15+G663*$AE$16+H663*$AE$17+I663*$AE$18+J663*$AE$19+K663*$AE$20+L663*$AE$21+M663*$AE$22+N663*$AE$23+O663*$AE$24+P663*$AE$25+Q663*$AE$26+R663*$AE$27+S663*$AE$28+T663*$AE$29+U663*$AE$30</f>
        <v/>
      </c>
      <c r="W663" s="8">
        <f>1/(1+EXP(-V663))</f>
        <v/>
      </c>
      <c r="X663" s="9">
        <f>-IF(C663=1,LN(W663),LN(1-W663))</f>
        <v/>
      </c>
      <c r="Y663" s="8">
        <f>IF(C663=1,$AE$32,$AE$33)</f>
        <v/>
      </c>
      <c r="Z663" s="9">
        <f>Y663*X663</f>
        <v/>
      </c>
      <c r="AA663" s="10">
        <f>IF(W663&gt;$AE$34,1,0)</f>
        <v/>
      </c>
      <c r="AB663">
        <f>IF(AA663=C663,1,0)</f>
        <v/>
      </c>
    </row>
    <row r="664">
      <c r="A664">
        <f>'1 datos preparados'!A657</f>
        <v/>
      </c>
      <c r="B664" s="5">
        <f>'1 datos preparados'!U657</f>
        <v/>
      </c>
      <c r="C664">
        <f>'1 datos preparados'!B657</f>
        <v/>
      </c>
      <c r="D664" s="7">
        <f>'1 datos preparados'!C657</f>
        <v/>
      </c>
      <c r="E664" s="7">
        <f>'1 datos preparados'!D657</f>
        <v/>
      </c>
      <c r="F664" s="7">
        <f>'1 datos preparados'!E657</f>
        <v/>
      </c>
      <c r="G664" s="7">
        <f>'1 datos preparados'!F657</f>
        <v/>
      </c>
      <c r="H664" s="7">
        <f>'1 datos preparados'!G657</f>
        <v/>
      </c>
      <c r="I664" s="7">
        <f>'1 datos preparados'!H657</f>
        <v/>
      </c>
      <c r="J664" s="7">
        <f>'1 datos preparados'!I657</f>
        <v/>
      </c>
      <c r="K664" s="7">
        <f>'1 datos preparados'!J657</f>
        <v/>
      </c>
      <c r="L664" s="7">
        <f>'1 datos preparados'!K657</f>
        <v/>
      </c>
      <c r="M664" s="7">
        <f>'1 datos preparados'!L657</f>
        <v/>
      </c>
      <c r="N664" s="7">
        <f>'1 datos preparados'!M657</f>
        <v/>
      </c>
      <c r="O664" s="7">
        <f>'1 datos preparados'!N657</f>
        <v/>
      </c>
      <c r="P664" s="7">
        <f>'1 datos preparados'!O657</f>
        <v/>
      </c>
      <c r="Q664" s="7">
        <f>'1 datos preparados'!P657</f>
        <v/>
      </c>
      <c r="R664" s="7">
        <f>'1 datos preparados'!Q657</f>
        <v/>
      </c>
      <c r="S664" s="7">
        <f>'1 datos preparados'!R657</f>
        <v/>
      </c>
      <c r="T664" s="7">
        <f>'1 datos preparados'!S657</f>
        <v/>
      </c>
      <c r="U664" s="7">
        <f>'1 datos preparados'!T657</f>
        <v/>
      </c>
      <c r="V664" s="8">
        <f>$AE$12+D664*$AE$13+E664*$AE$14+F664*$AE$15+G664*$AE$16+H664*$AE$17+I664*$AE$18+J664*$AE$19+K664*$AE$20+L664*$AE$21+M664*$AE$22+N664*$AE$23+O664*$AE$24+P664*$AE$25+Q664*$AE$26+R664*$AE$27+S664*$AE$28+T664*$AE$29+U664*$AE$30</f>
        <v/>
      </c>
      <c r="W664" s="8">
        <f>1/(1+EXP(-V664))</f>
        <v/>
      </c>
      <c r="X664" s="9">
        <f>-IF(C664=1,LN(W664),LN(1-W664))</f>
        <v/>
      </c>
      <c r="Y664" s="8">
        <f>IF(C664=1,$AE$32,$AE$33)</f>
        <v/>
      </c>
      <c r="Z664" s="9">
        <f>Y664*X664</f>
        <v/>
      </c>
      <c r="AA664" s="10">
        <f>IF(W664&gt;$AE$34,1,0)</f>
        <v/>
      </c>
      <c r="AB664">
        <f>IF(AA664=C664,1,0)</f>
        <v/>
      </c>
    </row>
    <row r="665">
      <c r="A665">
        <f>'1 datos preparados'!A658</f>
        <v/>
      </c>
      <c r="B665" s="5">
        <f>'1 datos preparados'!U658</f>
        <v/>
      </c>
      <c r="C665">
        <f>'1 datos preparados'!B658</f>
        <v/>
      </c>
      <c r="D665" s="7">
        <f>'1 datos preparados'!C658</f>
        <v/>
      </c>
      <c r="E665" s="7">
        <f>'1 datos preparados'!D658</f>
        <v/>
      </c>
      <c r="F665" s="7">
        <f>'1 datos preparados'!E658</f>
        <v/>
      </c>
      <c r="G665" s="7">
        <f>'1 datos preparados'!F658</f>
        <v/>
      </c>
      <c r="H665" s="7">
        <f>'1 datos preparados'!G658</f>
        <v/>
      </c>
      <c r="I665" s="7">
        <f>'1 datos preparados'!H658</f>
        <v/>
      </c>
      <c r="J665" s="7">
        <f>'1 datos preparados'!I658</f>
        <v/>
      </c>
      <c r="K665" s="7">
        <f>'1 datos preparados'!J658</f>
        <v/>
      </c>
      <c r="L665" s="7">
        <f>'1 datos preparados'!K658</f>
        <v/>
      </c>
      <c r="M665" s="7">
        <f>'1 datos preparados'!L658</f>
        <v/>
      </c>
      <c r="N665" s="7">
        <f>'1 datos preparados'!M658</f>
        <v/>
      </c>
      <c r="O665" s="7">
        <f>'1 datos preparados'!N658</f>
        <v/>
      </c>
      <c r="P665" s="7">
        <f>'1 datos preparados'!O658</f>
        <v/>
      </c>
      <c r="Q665" s="7">
        <f>'1 datos preparados'!P658</f>
        <v/>
      </c>
      <c r="R665" s="7">
        <f>'1 datos preparados'!Q658</f>
        <v/>
      </c>
      <c r="S665" s="7">
        <f>'1 datos preparados'!R658</f>
        <v/>
      </c>
      <c r="T665" s="7">
        <f>'1 datos preparados'!S658</f>
        <v/>
      </c>
      <c r="U665" s="7">
        <f>'1 datos preparados'!T658</f>
        <v/>
      </c>
      <c r="V665" s="8">
        <f>$AE$12+D665*$AE$13+E665*$AE$14+F665*$AE$15+G665*$AE$16+H665*$AE$17+I665*$AE$18+J665*$AE$19+K665*$AE$20+L665*$AE$21+M665*$AE$22+N665*$AE$23+O665*$AE$24+P665*$AE$25+Q665*$AE$26+R665*$AE$27+S665*$AE$28+T665*$AE$29+U665*$AE$30</f>
        <v/>
      </c>
      <c r="W665" s="8">
        <f>1/(1+EXP(-V665))</f>
        <v/>
      </c>
      <c r="X665" s="9">
        <f>-IF(C665=1,LN(W665),LN(1-W665))</f>
        <v/>
      </c>
      <c r="Y665" s="8">
        <f>IF(C665=1,$AE$32,$AE$33)</f>
        <v/>
      </c>
      <c r="Z665" s="9">
        <f>Y665*X665</f>
        <v/>
      </c>
      <c r="AA665" s="10">
        <f>IF(W665&gt;$AE$34,1,0)</f>
        <v/>
      </c>
      <c r="AB665">
        <f>IF(AA665=C665,1,0)</f>
        <v/>
      </c>
    </row>
    <row r="666">
      <c r="A666">
        <f>'1 datos preparados'!A659</f>
        <v/>
      </c>
      <c r="B666" s="5">
        <f>'1 datos preparados'!U659</f>
        <v/>
      </c>
      <c r="C666">
        <f>'1 datos preparados'!B659</f>
        <v/>
      </c>
      <c r="D666" s="7">
        <f>'1 datos preparados'!C659</f>
        <v/>
      </c>
      <c r="E666" s="7">
        <f>'1 datos preparados'!D659</f>
        <v/>
      </c>
      <c r="F666" s="7">
        <f>'1 datos preparados'!E659</f>
        <v/>
      </c>
      <c r="G666" s="7">
        <f>'1 datos preparados'!F659</f>
        <v/>
      </c>
      <c r="H666" s="7">
        <f>'1 datos preparados'!G659</f>
        <v/>
      </c>
      <c r="I666" s="7">
        <f>'1 datos preparados'!H659</f>
        <v/>
      </c>
      <c r="J666" s="7">
        <f>'1 datos preparados'!I659</f>
        <v/>
      </c>
      <c r="K666" s="7">
        <f>'1 datos preparados'!J659</f>
        <v/>
      </c>
      <c r="L666" s="7">
        <f>'1 datos preparados'!K659</f>
        <v/>
      </c>
      <c r="M666" s="7">
        <f>'1 datos preparados'!L659</f>
        <v/>
      </c>
      <c r="N666" s="7">
        <f>'1 datos preparados'!M659</f>
        <v/>
      </c>
      <c r="O666" s="7">
        <f>'1 datos preparados'!N659</f>
        <v/>
      </c>
      <c r="P666" s="7">
        <f>'1 datos preparados'!O659</f>
        <v/>
      </c>
      <c r="Q666" s="7">
        <f>'1 datos preparados'!P659</f>
        <v/>
      </c>
      <c r="R666" s="7">
        <f>'1 datos preparados'!Q659</f>
        <v/>
      </c>
      <c r="S666" s="7">
        <f>'1 datos preparados'!R659</f>
        <v/>
      </c>
      <c r="T666" s="7">
        <f>'1 datos preparados'!S659</f>
        <v/>
      </c>
      <c r="U666" s="7">
        <f>'1 datos preparados'!T659</f>
        <v/>
      </c>
      <c r="V666" s="8">
        <f>$AE$12+D666*$AE$13+E666*$AE$14+F666*$AE$15+G666*$AE$16+H666*$AE$17+I666*$AE$18+J666*$AE$19+K666*$AE$20+L666*$AE$21+M666*$AE$22+N666*$AE$23+O666*$AE$24+P666*$AE$25+Q666*$AE$26+R666*$AE$27+S666*$AE$28+T666*$AE$29+U666*$AE$30</f>
        <v/>
      </c>
      <c r="W666" s="8">
        <f>1/(1+EXP(-V666))</f>
        <v/>
      </c>
      <c r="X666" s="9">
        <f>-IF(C666=1,LN(W666),LN(1-W666))</f>
        <v/>
      </c>
      <c r="Y666" s="8">
        <f>IF(C666=1,$AE$32,$AE$33)</f>
        <v/>
      </c>
      <c r="Z666" s="9">
        <f>Y666*X666</f>
        <v/>
      </c>
      <c r="AA666" s="10">
        <f>IF(W666&gt;$AE$34,1,0)</f>
        <v/>
      </c>
      <c r="AB666">
        <f>IF(AA666=C666,1,0)</f>
        <v/>
      </c>
    </row>
    <row r="667">
      <c r="A667">
        <f>'1 datos preparados'!A660</f>
        <v/>
      </c>
      <c r="B667" s="5">
        <f>'1 datos preparados'!U660</f>
        <v/>
      </c>
      <c r="C667">
        <f>'1 datos preparados'!B660</f>
        <v/>
      </c>
      <c r="D667" s="7">
        <f>'1 datos preparados'!C660</f>
        <v/>
      </c>
      <c r="E667" s="7">
        <f>'1 datos preparados'!D660</f>
        <v/>
      </c>
      <c r="F667" s="7">
        <f>'1 datos preparados'!E660</f>
        <v/>
      </c>
      <c r="G667" s="7">
        <f>'1 datos preparados'!F660</f>
        <v/>
      </c>
      <c r="H667" s="7">
        <f>'1 datos preparados'!G660</f>
        <v/>
      </c>
      <c r="I667" s="7">
        <f>'1 datos preparados'!H660</f>
        <v/>
      </c>
      <c r="J667" s="7">
        <f>'1 datos preparados'!I660</f>
        <v/>
      </c>
      <c r="K667" s="7">
        <f>'1 datos preparados'!J660</f>
        <v/>
      </c>
      <c r="L667" s="7">
        <f>'1 datos preparados'!K660</f>
        <v/>
      </c>
      <c r="M667" s="7">
        <f>'1 datos preparados'!L660</f>
        <v/>
      </c>
      <c r="N667" s="7">
        <f>'1 datos preparados'!M660</f>
        <v/>
      </c>
      <c r="O667" s="7">
        <f>'1 datos preparados'!N660</f>
        <v/>
      </c>
      <c r="P667" s="7">
        <f>'1 datos preparados'!O660</f>
        <v/>
      </c>
      <c r="Q667" s="7">
        <f>'1 datos preparados'!P660</f>
        <v/>
      </c>
      <c r="R667" s="7">
        <f>'1 datos preparados'!Q660</f>
        <v/>
      </c>
      <c r="S667" s="7">
        <f>'1 datos preparados'!R660</f>
        <v/>
      </c>
      <c r="T667" s="7">
        <f>'1 datos preparados'!S660</f>
        <v/>
      </c>
      <c r="U667" s="7">
        <f>'1 datos preparados'!T660</f>
        <v/>
      </c>
      <c r="V667" s="8">
        <f>$AE$12+D667*$AE$13+E667*$AE$14+F667*$AE$15+G667*$AE$16+H667*$AE$17+I667*$AE$18+J667*$AE$19+K667*$AE$20+L667*$AE$21+M667*$AE$22+N667*$AE$23+O667*$AE$24+P667*$AE$25+Q667*$AE$26+R667*$AE$27+S667*$AE$28+T667*$AE$29+U667*$AE$30</f>
        <v/>
      </c>
      <c r="W667" s="8">
        <f>1/(1+EXP(-V667))</f>
        <v/>
      </c>
      <c r="X667" s="9">
        <f>-IF(C667=1,LN(W667),LN(1-W667))</f>
        <v/>
      </c>
      <c r="Y667" s="8">
        <f>IF(C667=1,$AE$32,$AE$33)</f>
        <v/>
      </c>
      <c r="Z667" s="9">
        <f>Y667*X667</f>
        <v/>
      </c>
      <c r="AA667" s="10">
        <f>IF(W667&gt;$AE$34,1,0)</f>
        <v/>
      </c>
      <c r="AB667">
        <f>IF(AA667=C667,1,0)</f>
        <v/>
      </c>
    </row>
    <row r="668">
      <c r="A668">
        <f>'1 datos preparados'!A661</f>
        <v/>
      </c>
      <c r="B668" s="5">
        <f>'1 datos preparados'!U661</f>
        <v/>
      </c>
      <c r="C668">
        <f>'1 datos preparados'!B661</f>
        <v/>
      </c>
      <c r="D668" s="7">
        <f>'1 datos preparados'!C661</f>
        <v/>
      </c>
      <c r="E668" s="7">
        <f>'1 datos preparados'!D661</f>
        <v/>
      </c>
      <c r="F668" s="7">
        <f>'1 datos preparados'!E661</f>
        <v/>
      </c>
      <c r="G668" s="7">
        <f>'1 datos preparados'!F661</f>
        <v/>
      </c>
      <c r="H668" s="7">
        <f>'1 datos preparados'!G661</f>
        <v/>
      </c>
      <c r="I668" s="7">
        <f>'1 datos preparados'!H661</f>
        <v/>
      </c>
      <c r="J668" s="7">
        <f>'1 datos preparados'!I661</f>
        <v/>
      </c>
      <c r="K668" s="7">
        <f>'1 datos preparados'!J661</f>
        <v/>
      </c>
      <c r="L668" s="7">
        <f>'1 datos preparados'!K661</f>
        <v/>
      </c>
      <c r="M668" s="7">
        <f>'1 datos preparados'!L661</f>
        <v/>
      </c>
      <c r="N668" s="7">
        <f>'1 datos preparados'!M661</f>
        <v/>
      </c>
      <c r="O668" s="7">
        <f>'1 datos preparados'!N661</f>
        <v/>
      </c>
      <c r="P668" s="7">
        <f>'1 datos preparados'!O661</f>
        <v/>
      </c>
      <c r="Q668" s="7">
        <f>'1 datos preparados'!P661</f>
        <v/>
      </c>
      <c r="R668" s="7">
        <f>'1 datos preparados'!Q661</f>
        <v/>
      </c>
      <c r="S668" s="7">
        <f>'1 datos preparados'!R661</f>
        <v/>
      </c>
      <c r="T668" s="7">
        <f>'1 datos preparados'!S661</f>
        <v/>
      </c>
      <c r="U668" s="7">
        <f>'1 datos preparados'!T661</f>
        <v/>
      </c>
      <c r="V668" s="8">
        <f>$AE$12+D668*$AE$13+E668*$AE$14+F668*$AE$15+G668*$AE$16+H668*$AE$17+I668*$AE$18+J668*$AE$19+K668*$AE$20+L668*$AE$21+M668*$AE$22+N668*$AE$23+O668*$AE$24+P668*$AE$25+Q668*$AE$26+R668*$AE$27+S668*$AE$28+T668*$AE$29+U668*$AE$30</f>
        <v/>
      </c>
      <c r="W668" s="8">
        <f>1/(1+EXP(-V668))</f>
        <v/>
      </c>
      <c r="X668" s="9">
        <f>-IF(C668=1,LN(W668),LN(1-W668))</f>
        <v/>
      </c>
      <c r="Y668" s="8">
        <f>IF(C668=1,$AE$32,$AE$33)</f>
        <v/>
      </c>
      <c r="Z668" s="9">
        <f>Y668*X668</f>
        <v/>
      </c>
      <c r="AA668" s="10">
        <f>IF(W668&gt;$AE$34,1,0)</f>
        <v/>
      </c>
      <c r="AB668">
        <f>IF(AA668=C668,1,0)</f>
        <v/>
      </c>
    </row>
    <row r="669">
      <c r="A669">
        <f>'1 datos preparados'!A662</f>
        <v/>
      </c>
      <c r="B669" s="5">
        <f>'1 datos preparados'!U662</f>
        <v/>
      </c>
      <c r="C669">
        <f>'1 datos preparados'!B662</f>
        <v/>
      </c>
      <c r="D669" s="7">
        <f>'1 datos preparados'!C662</f>
        <v/>
      </c>
      <c r="E669" s="7">
        <f>'1 datos preparados'!D662</f>
        <v/>
      </c>
      <c r="F669" s="7">
        <f>'1 datos preparados'!E662</f>
        <v/>
      </c>
      <c r="G669" s="7">
        <f>'1 datos preparados'!F662</f>
        <v/>
      </c>
      <c r="H669" s="7">
        <f>'1 datos preparados'!G662</f>
        <v/>
      </c>
      <c r="I669" s="7">
        <f>'1 datos preparados'!H662</f>
        <v/>
      </c>
      <c r="J669" s="7">
        <f>'1 datos preparados'!I662</f>
        <v/>
      </c>
      <c r="K669" s="7">
        <f>'1 datos preparados'!J662</f>
        <v/>
      </c>
      <c r="L669" s="7">
        <f>'1 datos preparados'!K662</f>
        <v/>
      </c>
      <c r="M669" s="7">
        <f>'1 datos preparados'!L662</f>
        <v/>
      </c>
      <c r="N669" s="7">
        <f>'1 datos preparados'!M662</f>
        <v/>
      </c>
      <c r="O669" s="7">
        <f>'1 datos preparados'!N662</f>
        <v/>
      </c>
      <c r="P669" s="7">
        <f>'1 datos preparados'!O662</f>
        <v/>
      </c>
      <c r="Q669" s="7">
        <f>'1 datos preparados'!P662</f>
        <v/>
      </c>
      <c r="R669" s="7">
        <f>'1 datos preparados'!Q662</f>
        <v/>
      </c>
      <c r="S669" s="7">
        <f>'1 datos preparados'!R662</f>
        <v/>
      </c>
      <c r="T669" s="7">
        <f>'1 datos preparados'!S662</f>
        <v/>
      </c>
      <c r="U669" s="7">
        <f>'1 datos preparados'!T662</f>
        <v/>
      </c>
      <c r="V669" s="8">
        <f>$AE$12+D669*$AE$13+E669*$AE$14+F669*$AE$15+G669*$AE$16+H669*$AE$17+I669*$AE$18+J669*$AE$19+K669*$AE$20+L669*$AE$21+M669*$AE$22+N669*$AE$23+O669*$AE$24+P669*$AE$25+Q669*$AE$26+R669*$AE$27+S669*$AE$28+T669*$AE$29+U669*$AE$30</f>
        <v/>
      </c>
      <c r="W669" s="8">
        <f>1/(1+EXP(-V669))</f>
        <v/>
      </c>
      <c r="X669" s="9">
        <f>-IF(C669=1,LN(W669),LN(1-W669))</f>
        <v/>
      </c>
      <c r="Y669" s="8">
        <f>IF(C669=1,$AE$32,$AE$33)</f>
        <v/>
      </c>
      <c r="Z669" s="9">
        <f>Y669*X669</f>
        <v/>
      </c>
      <c r="AA669" s="10">
        <f>IF(W669&gt;$AE$34,1,0)</f>
        <v/>
      </c>
      <c r="AB669">
        <f>IF(AA669=C669,1,0)</f>
        <v/>
      </c>
    </row>
    <row r="670">
      <c r="A670">
        <f>'1 datos preparados'!A663</f>
        <v/>
      </c>
      <c r="B670" s="5">
        <f>'1 datos preparados'!U663</f>
        <v/>
      </c>
      <c r="C670">
        <f>'1 datos preparados'!B663</f>
        <v/>
      </c>
      <c r="D670" s="7">
        <f>'1 datos preparados'!C663</f>
        <v/>
      </c>
      <c r="E670" s="7">
        <f>'1 datos preparados'!D663</f>
        <v/>
      </c>
      <c r="F670" s="7">
        <f>'1 datos preparados'!E663</f>
        <v/>
      </c>
      <c r="G670" s="7">
        <f>'1 datos preparados'!F663</f>
        <v/>
      </c>
      <c r="H670" s="7">
        <f>'1 datos preparados'!G663</f>
        <v/>
      </c>
      <c r="I670" s="7">
        <f>'1 datos preparados'!H663</f>
        <v/>
      </c>
      <c r="J670" s="7">
        <f>'1 datos preparados'!I663</f>
        <v/>
      </c>
      <c r="K670" s="7">
        <f>'1 datos preparados'!J663</f>
        <v/>
      </c>
      <c r="L670" s="7">
        <f>'1 datos preparados'!K663</f>
        <v/>
      </c>
      <c r="M670" s="7">
        <f>'1 datos preparados'!L663</f>
        <v/>
      </c>
      <c r="N670" s="7">
        <f>'1 datos preparados'!M663</f>
        <v/>
      </c>
      <c r="O670" s="7">
        <f>'1 datos preparados'!N663</f>
        <v/>
      </c>
      <c r="P670" s="7">
        <f>'1 datos preparados'!O663</f>
        <v/>
      </c>
      <c r="Q670" s="7">
        <f>'1 datos preparados'!P663</f>
        <v/>
      </c>
      <c r="R670" s="7">
        <f>'1 datos preparados'!Q663</f>
        <v/>
      </c>
      <c r="S670" s="7">
        <f>'1 datos preparados'!R663</f>
        <v/>
      </c>
      <c r="T670" s="7">
        <f>'1 datos preparados'!S663</f>
        <v/>
      </c>
      <c r="U670" s="7">
        <f>'1 datos preparados'!T663</f>
        <v/>
      </c>
      <c r="V670" s="8">
        <f>$AE$12+D670*$AE$13+E670*$AE$14+F670*$AE$15+G670*$AE$16+H670*$AE$17+I670*$AE$18+J670*$AE$19+K670*$AE$20+L670*$AE$21+M670*$AE$22+N670*$AE$23+O670*$AE$24+P670*$AE$25+Q670*$AE$26+R670*$AE$27+S670*$AE$28+T670*$AE$29+U670*$AE$30</f>
        <v/>
      </c>
      <c r="W670" s="8">
        <f>1/(1+EXP(-V670))</f>
        <v/>
      </c>
      <c r="X670" s="9">
        <f>-IF(C670=1,LN(W670),LN(1-W670))</f>
        <v/>
      </c>
      <c r="Y670" s="8">
        <f>IF(C670=1,$AE$32,$AE$33)</f>
        <v/>
      </c>
      <c r="Z670" s="9">
        <f>Y670*X670</f>
        <v/>
      </c>
      <c r="AA670" s="10">
        <f>IF(W670&gt;$AE$34,1,0)</f>
        <v/>
      </c>
      <c r="AB670">
        <f>IF(AA670=C670,1,0)</f>
        <v/>
      </c>
    </row>
    <row r="671">
      <c r="A671">
        <f>'1 datos preparados'!A664</f>
        <v/>
      </c>
      <c r="B671" s="5">
        <f>'1 datos preparados'!U664</f>
        <v/>
      </c>
      <c r="C671">
        <f>'1 datos preparados'!B664</f>
        <v/>
      </c>
      <c r="D671" s="7">
        <f>'1 datos preparados'!C664</f>
        <v/>
      </c>
      <c r="E671" s="7">
        <f>'1 datos preparados'!D664</f>
        <v/>
      </c>
      <c r="F671" s="7">
        <f>'1 datos preparados'!E664</f>
        <v/>
      </c>
      <c r="G671" s="7">
        <f>'1 datos preparados'!F664</f>
        <v/>
      </c>
      <c r="H671" s="7">
        <f>'1 datos preparados'!G664</f>
        <v/>
      </c>
      <c r="I671" s="7">
        <f>'1 datos preparados'!H664</f>
        <v/>
      </c>
      <c r="J671" s="7">
        <f>'1 datos preparados'!I664</f>
        <v/>
      </c>
      <c r="K671" s="7">
        <f>'1 datos preparados'!J664</f>
        <v/>
      </c>
      <c r="L671" s="7">
        <f>'1 datos preparados'!K664</f>
        <v/>
      </c>
      <c r="M671" s="7">
        <f>'1 datos preparados'!L664</f>
        <v/>
      </c>
      <c r="N671" s="7">
        <f>'1 datos preparados'!M664</f>
        <v/>
      </c>
      <c r="O671" s="7">
        <f>'1 datos preparados'!N664</f>
        <v/>
      </c>
      <c r="P671" s="7">
        <f>'1 datos preparados'!O664</f>
        <v/>
      </c>
      <c r="Q671" s="7">
        <f>'1 datos preparados'!P664</f>
        <v/>
      </c>
      <c r="R671" s="7">
        <f>'1 datos preparados'!Q664</f>
        <v/>
      </c>
      <c r="S671" s="7">
        <f>'1 datos preparados'!R664</f>
        <v/>
      </c>
      <c r="T671" s="7">
        <f>'1 datos preparados'!S664</f>
        <v/>
      </c>
      <c r="U671" s="7">
        <f>'1 datos preparados'!T664</f>
        <v/>
      </c>
      <c r="V671" s="8">
        <f>$AE$12+D671*$AE$13+E671*$AE$14+F671*$AE$15+G671*$AE$16+H671*$AE$17+I671*$AE$18+J671*$AE$19+K671*$AE$20+L671*$AE$21+M671*$AE$22+N671*$AE$23+O671*$AE$24+P671*$AE$25+Q671*$AE$26+R671*$AE$27+S671*$AE$28+T671*$AE$29+U671*$AE$30</f>
        <v/>
      </c>
      <c r="W671" s="8">
        <f>1/(1+EXP(-V671))</f>
        <v/>
      </c>
      <c r="X671" s="9">
        <f>-IF(C671=1,LN(W671),LN(1-W671))</f>
        <v/>
      </c>
      <c r="Y671" s="8">
        <f>IF(C671=1,$AE$32,$AE$33)</f>
        <v/>
      </c>
      <c r="Z671" s="9">
        <f>Y671*X671</f>
        <v/>
      </c>
      <c r="AA671" s="10">
        <f>IF(W671&gt;$AE$34,1,0)</f>
        <v/>
      </c>
      <c r="AB671">
        <f>IF(AA671=C671,1,0)</f>
        <v/>
      </c>
    </row>
    <row r="672">
      <c r="A672">
        <f>'1 datos preparados'!A665</f>
        <v/>
      </c>
      <c r="B672" s="5">
        <f>'1 datos preparados'!U665</f>
        <v/>
      </c>
      <c r="C672">
        <f>'1 datos preparados'!B665</f>
        <v/>
      </c>
      <c r="D672" s="7">
        <f>'1 datos preparados'!C665</f>
        <v/>
      </c>
      <c r="E672" s="7">
        <f>'1 datos preparados'!D665</f>
        <v/>
      </c>
      <c r="F672" s="7">
        <f>'1 datos preparados'!E665</f>
        <v/>
      </c>
      <c r="G672" s="7">
        <f>'1 datos preparados'!F665</f>
        <v/>
      </c>
      <c r="H672" s="7">
        <f>'1 datos preparados'!G665</f>
        <v/>
      </c>
      <c r="I672" s="7">
        <f>'1 datos preparados'!H665</f>
        <v/>
      </c>
      <c r="J672" s="7">
        <f>'1 datos preparados'!I665</f>
        <v/>
      </c>
      <c r="K672" s="7">
        <f>'1 datos preparados'!J665</f>
        <v/>
      </c>
      <c r="L672" s="7">
        <f>'1 datos preparados'!K665</f>
        <v/>
      </c>
      <c r="M672" s="7">
        <f>'1 datos preparados'!L665</f>
        <v/>
      </c>
      <c r="N672" s="7">
        <f>'1 datos preparados'!M665</f>
        <v/>
      </c>
      <c r="O672" s="7">
        <f>'1 datos preparados'!N665</f>
        <v/>
      </c>
      <c r="P672" s="7">
        <f>'1 datos preparados'!O665</f>
        <v/>
      </c>
      <c r="Q672" s="7">
        <f>'1 datos preparados'!P665</f>
        <v/>
      </c>
      <c r="R672" s="7">
        <f>'1 datos preparados'!Q665</f>
        <v/>
      </c>
      <c r="S672" s="7">
        <f>'1 datos preparados'!R665</f>
        <v/>
      </c>
      <c r="T672" s="7">
        <f>'1 datos preparados'!S665</f>
        <v/>
      </c>
      <c r="U672" s="7">
        <f>'1 datos preparados'!T665</f>
        <v/>
      </c>
      <c r="V672" s="8">
        <f>$AE$12+D672*$AE$13+E672*$AE$14+F672*$AE$15+G672*$AE$16+H672*$AE$17+I672*$AE$18+J672*$AE$19+K672*$AE$20+L672*$AE$21+M672*$AE$22+N672*$AE$23+O672*$AE$24+P672*$AE$25+Q672*$AE$26+R672*$AE$27+S672*$AE$28+T672*$AE$29+U672*$AE$30</f>
        <v/>
      </c>
      <c r="W672" s="8">
        <f>1/(1+EXP(-V672))</f>
        <v/>
      </c>
      <c r="X672" s="9">
        <f>-IF(C672=1,LN(W672),LN(1-W672))</f>
        <v/>
      </c>
      <c r="Y672" s="8">
        <f>IF(C672=1,$AE$32,$AE$33)</f>
        <v/>
      </c>
      <c r="Z672" s="9">
        <f>Y672*X672</f>
        <v/>
      </c>
      <c r="AA672" s="10">
        <f>IF(W672&gt;$AE$34,1,0)</f>
        <v/>
      </c>
      <c r="AB672">
        <f>IF(AA672=C672,1,0)</f>
        <v/>
      </c>
    </row>
    <row r="673">
      <c r="A673">
        <f>'1 datos preparados'!A666</f>
        <v/>
      </c>
      <c r="B673" s="5">
        <f>'1 datos preparados'!U666</f>
        <v/>
      </c>
      <c r="C673">
        <f>'1 datos preparados'!B666</f>
        <v/>
      </c>
      <c r="D673" s="7">
        <f>'1 datos preparados'!C666</f>
        <v/>
      </c>
      <c r="E673" s="7">
        <f>'1 datos preparados'!D666</f>
        <v/>
      </c>
      <c r="F673" s="7">
        <f>'1 datos preparados'!E666</f>
        <v/>
      </c>
      <c r="G673" s="7">
        <f>'1 datos preparados'!F666</f>
        <v/>
      </c>
      <c r="H673" s="7">
        <f>'1 datos preparados'!G666</f>
        <v/>
      </c>
      <c r="I673" s="7">
        <f>'1 datos preparados'!H666</f>
        <v/>
      </c>
      <c r="J673" s="7">
        <f>'1 datos preparados'!I666</f>
        <v/>
      </c>
      <c r="K673" s="7">
        <f>'1 datos preparados'!J666</f>
        <v/>
      </c>
      <c r="L673" s="7">
        <f>'1 datos preparados'!K666</f>
        <v/>
      </c>
      <c r="M673" s="7">
        <f>'1 datos preparados'!L666</f>
        <v/>
      </c>
      <c r="N673" s="7">
        <f>'1 datos preparados'!M666</f>
        <v/>
      </c>
      <c r="O673" s="7">
        <f>'1 datos preparados'!N666</f>
        <v/>
      </c>
      <c r="P673" s="7">
        <f>'1 datos preparados'!O666</f>
        <v/>
      </c>
      <c r="Q673" s="7">
        <f>'1 datos preparados'!P666</f>
        <v/>
      </c>
      <c r="R673" s="7">
        <f>'1 datos preparados'!Q666</f>
        <v/>
      </c>
      <c r="S673" s="7">
        <f>'1 datos preparados'!R666</f>
        <v/>
      </c>
      <c r="T673" s="7">
        <f>'1 datos preparados'!S666</f>
        <v/>
      </c>
      <c r="U673" s="7">
        <f>'1 datos preparados'!T666</f>
        <v/>
      </c>
      <c r="V673" s="8">
        <f>$AE$12+D673*$AE$13+E673*$AE$14+F673*$AE$15+G673*$AE$16+H673*$AE$17+I673*$AE$18+J673*$AE$19+K673*$AE$20+L673*$AE$21+M673*$AE$22+N673*$AE$23+O673*$AE$24+P673*$AE$25+Q673*$AE$26+R673*$AE$27+S673*$AE$28+T673*$AE$29+U673*$AE$30</f>
        <v/>
      </c>
      <c r="W673" s="8">
        <f>1/(1+EXP(-V673))</f>
        <v/>
      </c>
      <c r="X673" s="9">
        <f>-IF(C673=1,LN(W673),LN(1-W673))</f>
        <v/>
      </c>
      <c r="Y673" s="8">
        <f>IF(C673=1,$AE$32,$AE$33)</f>
        <v/>
      </c>
      <c r="Z673" s="9">
        <f>Y673*X673</f>
        <v/>
      </c>
      <c r="AA673" s="10">
        <f>IF(W673&gt;$AE$34,1,0)</f>
        <v/>
      </c>
      <c r="AB673">
        <f>IF(AA673=C673,1,0)</f>
        <v/>
      </c>
    </row>
    <row r="674">
      <c r="A674">
        <f>'1 datos preparados'!A667</f>
        <v/>
      </c>
      <c r="B674" s="5">
        <f>'1 datos preparados'!U667</f>
        <v/>
      </c>
      <c r="C674">
        <f>'1 datos preparados'!B667</f>
        <v/>
      </c>
      <c r="D674" s="7">
        <f>'1 datos preparados'!C667</f>
        <v/>
      </c>
      <c r="E674" s="7">
        <f>'1 datos preparados'!D667</f>
        <v/>
      </c>
      <c r="F674" s="7">
        <f>'1 datos preparados'!E667</f>
        <v/>
      </c>
      <c r="G674" s="7">
        <f>'1 datos preparados'!F667</f>
        <v/>
      </c>
      <c r="H674" s="7">
        <f>'1 datos preparados'!G667</f>
        <v/>
      </c>
      <c r="I674" s="7">
        <f>'1 datos preparados'!H667</f>
        <v/>
      </c>
      <c r="J674" s="7">
        <f>'1 datos preparados'!I667</f>
        <v/>
      </c>
      <c r="K674" s="7">
        <f>'1 datos preparados'!J667</f>
        <v/>
      </c>
      <c r="L674" s="7">
        <f>'1 datos preparados'!K667</f>
        <v/>
      </c>
      <c r="M674" s="7">
        <f>'1 datos preparados'!L667</f>
        <v/>
      </c>
      <c r="N674" s="7">
        <f>'1 datos preparados'!M667</f>
        <v/>
      </c>
      <c r="O674" s="7">
        <f>'1 datos preparados'!N667</f>
        <v/>
      </c>
      <c r="P674" s="7">
        <f>'1 datos preparados'!O667</f>
        <v/>
      </c>
      <c r="Q674" s="7">
        <f>'1 datos preparados'!P667</f>
        <v/>
      </c>
      <c r="R674" s="7">
        <f>'1 datos preparados'!Q667</f>
        <v/>
      </c>
      <c r="S674" s="7">
        <f>'1 datos preparados'!R667</f>
        <v/>
      </c>
      <c r="T674" s="7">
        <f>'1 datos preparados'!S667</f>
        <v/>
      </c>
      <c r="U674" s="7">
        <f>'1 datos preparados'!T667</f>
        <v/>
      </c>
      <c r="V674" s="8">
        <f>$AE$12+D674*$AE$13+E674*$AE$14+F674*$AE$15+G674*$AE$16+H674*$AE$17+I674*$AE$18+J674*$AE$19+K674*$AE$20+L674*$AE$21+M674*$AE$22+N674*$AE$23+O674*$AE$24+P674*$AE$25+Q674*$AE$26+R674*$AE$27+S674*$AE$28+T674*$AE$29+U674*$AE$30</f>
        <v/>
      </c>
      <c r="W674" s="8">
        <f>1/(1+EXP(-V674))</f>
        <v/>
      </c>
      <c r="X674" s="9">
        <f>-IF(C674=1,LN(W674),LN(1-W674))</f>
        <v/>
      </c>
      <c r="Y674" s="8">
        <f>IF(C674=1,$AE$32,$AE$33)</f>
        <v/>
      </c>
      <c r="Z674" s="9">
        <f>Y674*X674</f>
        <v/>
      </c>
      <c r="AA674" s="10">
        <f>IF(W674&gt;$AE$34,1,0)</f>
        <v/>
      </c>
      <c r="AB674">
        <f>IF(AA674=C674,1,0)</f>
        <v/>
      </c>
    </row>
    <row r="675">
      <c r="A675">
        <f>'1 datos preparados'!A668</f>
        <v/>
      </c>
      <c r="B675" s="5">
        <f>'1 datos preparados'!U668</f>
        <v/>
      </c>
      <c r="C675">
        <f>'1 datos preparados'!B668</f>
        <v/>
      </c>
      <c r="D675" s="7">
        <f>'1 datos preparados'!C668</f>
        <v/>
      </c>
      <c r="E675" s="7">
        <f>'1 datos preparados'!D668</f>
        <v/>
      </c>
      <c r="F675" s="7">
        <f>'1 datos preparados'!E668</f>
        <v/>
      </c>
      <c r="G675" s="7">
        <f>'1 datos preparados'!F668</f>
        <v/>
      </c>
      <c r="H675" s="7">
        <f>'1 datos preparados'!G668</f>
        <v/>
      </c>
      <c r="I675" s="7">
        <f>'1 datos preparados'!H668</f>
        <v/>
      </c>
      <c r="J675" s="7">
        <f>'1 datos preparados'!I668</f>
        <v/>
      </c>
      <c r="K675" s="7">
        <f>'1 datos preparados'!J668</f>
        <v/>
      </c>
      <c r="L675" s="7">
        <f>'1 datos preparados'!K668</f>
        <v/>
      </c>
      <c r="M675" s="7">
        <f>'1 datos preparados'!L668</f>
        <v/>
      </c>
      <c r="N675" s="7">
        <f>'1 datos preparados'!M668</f>
        <v/>
      </c>
      <c r="O675" s="7">
        <f>'1 datos preparados'!N668</f>
        <v/>
      </c>
      <c r="P675" s="7">
        <f>'1 datos preparados'!O668</f>
        <v/>
      </c>
      <c r="Q675" s="7">
        <f>'1 datos preparados'!P668</f>
        <v/>
      </c>
      <c r="R675" s="7">
        <f>'1 datos preparados'!Q668</f>
        <v/>
      </c>
      <c r="S675" s="7">
        <f>'1 datos preparados'!R668</f>
        <v/>
      </c>
      <c r="T675" s="7">
        <f>'1 datos preparados'!S668</f>
        <v/>
      </c>
      <c r="U675" s="7">
        <f>'1 datos preparados'!T668</f>
        <v/>
      </c>
      <c r="V675" s="8">
        <f>$AE$12+D675*$AE$13+E675*$AE$14+F675*$AE$15+G675*$AE$16+H675*$AE$17+I675*$AE$18+J675*$AE$19+K675*$AE$20+L675*$AE$21+M675*$AE$22+N675*$AE$23+O675*$AE$24+P675*$AE$25+Q675*$AE$26+R675*$AE$27+S675*$AE$28+T675*$AE$29+U675*$AE$30</f>
        <v/>
      </c>
      <c r="W675" s="8">
        <f>1/(1+EXP(-V675))</f>
        <v/>
      </c>
      <c r="X675" s="9">
        <f>-IF(C675=1,LN(W675),LN(1-W675))</f>
        <v/>
      </c>
      <c r="Y675" s="8">
        <f>IF(C675=1,$AE$32,$AE$33)</f>
        <v/>
      </c>
      <c r="Z675" s="9">
        <f>Y675*X675</f>
        <v/>
      </c>
      <c r="AA675" s="10">
        <f>IF(W675&gt;$AE$34,1,0)</f>
        <v/>
      </c>
      <c r="AB675">
        <f>IF(AA675=C675,1,0)</f>
        <v/>
      </c>
    </row>
    <row r="676">
      <c r="A676">
        <f>'1 datos preparados'!A669</f>
        <v/>
      </c>
      <c r="B676" s="5">
        <f>'1 datos preparados'!U669</f>
        <v/>
      </c>
      <c r="C676">
        <f>'1 datos preparados'!B669</f>
        <v/>
      </c>
      <c r="D676" s="7">
        <f>'1 datos preparados'!C669</f>
        <v/>
      </c>
      <c r="E676" s="7">
        <f>'1 datos preparados'!D669</f>
        <v/>
      </c>
      <c r="F676" s="7">
        <f>'1 datos preparados'!E669</f>
        <v/>
      </c>
      <c r="G676" s="7">
        <f>'1 datos preparados'!F669</f>
        <v/>
      </c>
      <c r="H676" s="7">
        <f>'1 datos preparados'!G669</f>
        <v/>
      </c>
      <c r="I676" s="7">
        <f>'1 datos preparados'!H669</f>
        <v/>
      </c>
      <c r="J676" s="7">
        <f>'1 datos preparados'!I669</f>
        <v/>
      </c>
      <c r="K676" s="7">
        <f>'1 datos preparados'!J669</f>
        <v/>
      </c>
      <c r="L676" s="7">
        <f>'1 datos preparados'!K669</f>
        <v/>
      </c>
      <c r="M676" s="7">
        <f>'1 datos preparados'!L669</f>
        <v/>
      </c>
      <c r="N676" s="7">
        <f>'1 datos preparados'!M669</f>
        <v/>
      </c>
      <c r="O676" s="7">
        <f>'1 datos preparados'!N669</f>
        <v/>
      </c>
      <c r="P676" s="7">
        <f>'1 datos preparados'!O669</f>
        <v/>
      </c>
      <c r="Q676" s="7">
        <f>'1 datos preparados'!P669</f>
        <v/>
      </c>
      <c r="R676" s="7">
        <f>'1 datos preparados'!Q669</f>
        <v/>
      </c>
      <c r="S676" s="7">
        <f>'1 datos preparados'!R669</f>
        <v/>
      </c>
      <c r="T676" s="7">
        <f>'1 datos preparados'!S669</f>
        <v/>
      </c>
      <c r="U676" s="7">
        <f>'1 datos preparados'!T669</f>
        <v/>
      </c>
      <c r="V676" s="8">
        <f>$AE$12+D676*$AE$13+E676*$AE$14+F676*$AE$15+G676*$AE$16+H676*$AE$17+I676*$AE$18+J676*$AE$19+K676*$AE$20+L676*$AE$21+M676*$AE$22+N676*$AE$23+O676*$AE$24+P676*$AE$25+Q676*$AE$26+R676*$AE$27+S676*$AE$28+T676*$AE$29+U676*$AE$30</f>
        <v/>
      </c>
      <c r="W676" s="8">
        <f>1/(1+EXP(-V676))</f>
        <v/>
      </c>
      <c r="X676" s="9">
        <f>-IF(C676=1,LN(W676),LN(1-W676))</f>
        <v/>
      </c>
      <c r="Y676" s="8">
        <f>IF(C676=1,$AE$32,$AE$33)</f>
        <v/>
      </c>
      <c r="Z676" s="9">
        <f>Y676*X676</f>
        <v/>
      </c>
      <c r="AA676" s="10">
        <f>IF(W676&gt;$AE$34,1,0)</f>
        <v/>
      </c>
      <c r="AB676">
        <f>IF(AA676=C676,1,0)</f>
        <v/>
      </c>
    </row>
    <row r="677">
      <c r="A677">
        <f>'1 datos preparados'!A670</f>
        <v/>
      </c>
      <c r="B677" s="5">
        <f>'1 datos preparados'!U670</f>
        <v/>
      </c>
      <c r="C677">
        <f>'1 datos preparados'!B670</f>
        <v/>
      </c>
      <c r="D677" s="7">
        <f>'1 datos preparados'!C670</f>
        <v/>
      </c>
      <c r="E677" s="7">
        <f>'1 datos preparados'!D670</f>
        <v/>
      </c>
      <c r="F677" s="7">
        <f>'1 datos preparados'!E670</f>
        <v/>
      </c>
      <c r="G677" s="7">
        <f>'1 datos preparados'!F670</f>
        <v/>
      </c>
      <c r="H677" s="7">
        <f>'1 datos preparados'!G670</f>
        <v/>
      </c>
      <c r="I677" s="7">
        <f>'1 datos preparados'!H670</f>
        <v/>
      </c>
      <c r="J677" s="7">
        <f>'1 datos preparados'!I670</f>
        <v/>
      </c>
      <c r="K677" s="7">
        <f>'1 datos preparados'!J670</f>
        <v/>
      </c>
      <c r="L677" s="7">
        <f>'1 datos preparados'!K670</f>
        <v/>
      </c>
      <c r="M677" s="7">
        <f>'1 datos preparados'!L670</f>
        <v/>
      </c>
      <c r="N677" s="7">
        <f>'1 datos preparados'!M670</f>
        <v/>
      </c>
      <c r="O677" s="7">
        <f>'1 datos preparados'!N670</f>
        <v/>
      </c>
      <c r="P677" s="7">
        <f>'1 datos preparados'!O670</f>
        <v/>
      </c>
      <c r="Q677" s="7">
        <f>'1 datos preparados'!P670</f>
        <v/>
      </c>
      <c r="R677" s="7">
        <f>'1 datos preparados'!Q670</f>
        <v/>
      </c>
      <c r="S677" s="7">
        <f>'1 datos preparados'!R670</f>
        <v/>
      </c>
      <c r="T677" s="7">
        <f>'1 datos preparados'!S670</f>
        <v/>
      </c>
      <c r="U677" s="7">
        <f>'1 datos preparados'!T670</f>
        <v/>
      </c>
      <c r="V677" s="8">
        <f>$AE$12+D677*$AE$13+E677*$AE$14+F677*$AE$15+G677*$AE$16+H677*$AE$17+I677*$AE$18+J677*$AE$19+K677*$AE$20+L677*$AE$21+M677*$AE$22+N677*$AE$23+O677*$AE$24+P677*$AE$25+Q677*$AE$26+R677*$AE$27+S677*$AE$28+T677*$AE$29+U677*$AE$30</f>
        <v/>
      </c>
      <c r="W677" s="8">
        <f>1/(1+EXP(-V677))</f>
        <v/>
      </c>
      <c r="X677" s="9">
        <f>-IF(C677=1,LN(W677),LN(1-W677))</f>
        <v/>
      </c>
      <c r="Y677" s="8">
        <f>IF(C677=1,$AE$32,$AE$33)</f>
        <v/>
      </c>
      <c r="Z677" s="9">
        <f>Y677*X677</f>
        <v/>
      </c>
      <c r="AA677" s="10">
        <f>IF(W677&gt;$AE$34,1,0)</f>
        <v/>
      </c>
      <c r="AB677">
        <f>IF(AA677=C677,1,0)</f>
        <v/>
      </c>
    </row>
    <row r="678">
      <c r="A678">
        <f>'1 datos preparados'!A671</f>
        <v/>
      </c>
      <c r="B678" s="5">
        <f>'1 datos preparados'!U671</f>
        <v/>
      </c>
      <c r="C678">
        <f>'1 datos preparados'!B671</f>
        <v/>
      </c>
      <c r="D678" s="7">
        <f>'1 datos preparados'!C671</f>
        <v/>
      </c>
      <c r="E678" s="7">
        <f>'1 datos preparados'!D671</f>
        <v/>
      </c>
      <c r="F678" s="7">
        <f>'1 datos preparados'!E671</f>
        <v/>
      </c>
      <c r="G678" s="7">
        <f>'1 datos preparados'!F671</f>
        <v/>
      </c>
      <c r="H678" s="7">
        <f>'1 datos preparados'!G671</f>
        <v/>
      </c>
      <c r="I678" s="7">
        <f>'1 datos preparados'!H671</f>
        <v/>
      </c>
      <c r="J678" s="7">
        <f>'1 datos preparados'!I671</f>
        <v/>
      </c>
      <c r="K678" s="7">
        <f>'1 datos preparados'!J671</f>
        <v/>
      </c>
      <c r="L678" s="7">
        <f>'1 datos preparados'!K671</f>
        <v/>
      </c>
      <c r="M678" s="7">
        <f>'1 datos preparados'!L671</f>
        <v/>
      </c>
      <c r="N678" s="7">
        <f>'1 datos preparados'!M671</f>
        <v/>
      </c>
      <c r="O678" s="7">
        <f>'1 datos preparados'!N671</f>
        <v/>
      </c>
      <c r="P678" s="7">
        <f>'1 datos preparados'!O671</f>
        <v/>
      </c>
      <c r="Q678" s="7">
        <f>'1 datos preparados'!P671</f>
        <v/>
      </c>
      <c r="R678" s="7">
        <f>'1 datos preparados'!Q671</f>
        <v/>
      </c>
      <c r="S678" s="7">
        <f>'1 datos preparados'!R671</f>
        <v/>
      </c>
      <c r="T678" s="7">
        <f>'1 datos preparados'!S671</f>
        <v/>
      </c>
      <c r="U678" s="7">
        <f>'1 datos preparados'!T671</f>
        <v/>
      </c>
      <c r="V678" s="8">
        <f>$AE$12+D678*$AE$13+E678*$AE$14+F678*$AE$15+G678*$AE$16+H678*$AE$17+I678*$AE$18+J678*$AE$19+K678*$AE$20+L678*$AE$21+M678*$AE$22+N678*$AE$23+O678*$AE$24+P678*$AE$25+Q678*$AE$26+R678*$AE$27+S678*$AE$28+T678*$AE$29+U678*$AE$30</f>
        <v/>
      </c>
      <c r="W678" s="8">
        <f>1/(1+EXP(-V678))</f>
        <v/>
      </c>
      <c r="X678" s="9">
        <f>-IF(C678=1,LN(W678),LN(1-W678))</f>
        <v/>
      </c>
      <c r="Y678" s="8">
        <f>IF(C678=1,$AE$32,$AE$33)</f>
        <v/>
      </c>
      <c r="Z678" s="9">
        <f>Y678*X678</f>
        <v/>
      </c>
      <c r="AA678" s="10">
        <f>IF(W678&gt;$AE$34,1,0)</f>
        <v/>
      </c>
      <c r="AB678">
        <f>IF(AA678=C678,1,0)</f>
        <v/>
      </c>
    </row>
    <row r="679">
      <c r="A679">
        <f>'1 datos preparados'!A672</f>
        <v/>
      </c>
      <c r="B679" s="5">
        <f>'1 datos preparados'!U672</f>
        <v/>
      </c>
      <c r="C679">
        <f>'1 datos preparados'!B672</f>
        <v/>
      </c>
      <c r="D679" s="7">
        <f>'1 datos preparados'!C672</f>
        <v/>
      </c>
      <c r="E679" s="7">
        <f>'1 datos preparados'!D672</f>
        <v/>
      </c>
      <c r="F679" s="7">
        <f>'1 datos preparados'!E672</f>
        <v/>
      </c>
      <c r="G679" s="7">
        <f>'1 datos preparados'!F672</f>
        <v/>
      </c>
      <c r="H679" s="7">
        <f>'1 datos preparados'!G672</f>
        <v/>
      </c>
      <c r="I679" s="7">
        <f>'1 datos preparados'!H672</f>
        <v/>
      </c>
      <c r="J679" s="7">
        <f>'1 datos preparados'!I672</f>
        <v/>
      </c>
      <c r="K679" s="7">
        <f>'1 datos preparados'!J672</f>
        <v/>
      </c>
      <c r="L679" s="7">
        <f>'1 datos preparados'!K672</f>
        <v/>
      </c>
      <c r="M679" s="7">
        <f>'1 datos preparados'!L672</f>
        <v/>
      </c>
      <c r="N679" s="7">
        <f>'1 datos preparados'!M672</f>
        <v/>
      </c>
      <c r="O679" s="7">
        <f>'1 datos preparados'!N672</f>
        <v/>
      </c>
      <c r="P679" s="7">
        <f>'1 datos preparados'!O672</f>
        <v/>
      </c>
      <c r="Q679" s="7">
        <f>'1 datos preparados'!P672</f>
        <v/>
      </c>
      <c r="R679" s="7">
        <f>'1 datos preparados'!Q672</f>
        <v/>
      </c>
      <c r="S679" s="7">
        <f>'1 datos preparados'!R672</f>
        <v/>
      </c>
      <c r="T679" s="7">
        <f>'1 datos preparados'!S672</f>
        <v/>
      </c>
      <c r="U679" s="7">
        <f>'1 datos preparados'!T672</f>
        <v/>
      </c>
      <c r="V679" s="8">
        <f>$AE$12+D679*$AE$13+E679*$AE$14+F679*$AE$15+G679*$AE$16+H679*$AE$17+I679*$AE$18+J679*$AE$19+K679*$AE$20+L679*$AE$21+M679*$AE$22+N679*$AE$23+O679*$AE$24+P679*$AE$25+Q679*$AE$26+R679*$AE$27+S679*$AE$28+T679*$AE$29+U679*$AE$30</f>
        <v/>
      </c>
      <c r="W679" s="8">
        <f>1/(1+EXP(-V679))</f>
        <v/>
      </c>
      <c r="X679" s="9">
        <f>-IF(C679=1,LN(W679),LN(1-W679))</f>
        <v/>
      </c>
      <c r="Y679" s="8">
        <f>IF(C679=1,$AE$32,$AE$33)</f>
        <v/>
      </c>
      <c r="Z679" s="9">
        <f>Y679*X679</f>
        <v/>
      </c>
      <c r="AA679" s="10">
        <f>IF(W679&gt;$AE$34,1,0)</f>
        <v/>
      </c>
      <c r="AB679">
        <f>IF(AA679=C679,1,0)</f>
        <v/>
      </c>
    </row>
    <row r="680">
      <c r="A680">
        <f>'1 datos preparados'!A673</f>
        <v/>
      </c>
      <c r="B680" s="5">
        <f>'1 datos preparados'!U673</f>
        <v/>
      </c>
      <c r="C680">
        <f>'1 datos preparados'!B673</f>
        <v/>
      </c>
      <c r="D680" s="7">
        <f>'1 datos preparados'!C673</f>
        <v/>
      </c>
      <c r="E680" s="7">
        <f>'1 datos preparados'!D673</f>
        <v/>
      </c>
      <c r="F680" s="7">
        <f>'1 datos preparados'!E673</f>
        <v/>
      </c>
      <c r="G680" s="7">
        <f>'1 datos preparados'!F673</f>
        <v/>
      </c>
      <c r="H680" s="7">
        <f>'1 datos preparados'!G673</f>
        <v/>
      </c>
      <c r="I680" s="7">
        <f>'1 datos preparados'!H673</f>
        <v/>
      </c>
      <c r="J680" s="7">
        <f>'1 datos preparados'!I673</f>
        <v/>
      </c>
      <c r="K680" s="7">
        <f>'1 datos preparados'!J673</f>
        <v/>
      </c>
      <c r="L680" s="7">
        <f>'1 datos preparados'!K673</f>
        <v/>
      </c>
      <c r="M680" s="7">
        <f>'1 datos preparados'!L673</f>
        <v/>
      </c>
      <c r="N680" s="7">
        <f>'1 datos preparados'!M673</f>
        <v/>
      </c>
      <c r="O680" s="7">
        <f>'1 datos preparados'!N673</f>
        <v/>
      </c>
      <c r="P680" s="7">
        <f>'1 datos preparados'!O673</f>
        <v/>
      </c>
      <c r="Q680" s="7">
        <f>'1 datos preparados'!P673</f>
        <v/>
      </c>
      <c r="R680" s="7">
        <f>'1 datos preparados'!Q673</f>
        <v/>
      </c>
      <c r="S680" s="7">
        <f>'1 datos preparados'!R673</f>
        <v/>
      </c>
      <c r="T680" s="7">
        <f>'1 datos preparados'!S673</f>
        <v/>
      </c>
      <c r="U680" s="7">
        <f>'1 datos preparados'!T673</f>
        <v/>
      </c>
      <c r="V680" s="8">
        <f>$AE$12+D680*$AE$13+E680*$AE$14+F680*$AE$15+G680*$AE$16+H680*$AE$17+I680*$AE$18+J680*$AE$19+K680*$AE$20+L680*$AE$21+M680*$AE$22+N680*$AE$23+O680*$AE$24+P680*$AE$25+Q680*$AE$26+R680*$AE$27+S680*$AE$28+T680*$AE$29+U680*$AE$30</f>
        <v/>
      </c>
      <c r="W680" s="8">
        <f>1/(1+EXP(-V680))</f>
        <v/>
      </c>
      <c r="X680" s="9">
        <f>-IF(C680=1,LN(W680),LN(1-W680))</f>
        <v/>
      </c>
      <c r="Y680" s="8">
        <f>IF(C680=1,$AE$32,$AE$33)</f>
        <v/>
      </c>
      <c r="Z680" s="9">
        <f>Y680*X680</f>
        <v/>
      </c>
      <c r="AA680" s="10">
        <f>IF(W680&gt;$AE$34,1,0)</f>
        <v/>
      </c>
      <c r="AB680">
        <f>IF(AA680=C680,1,0)</f>
        <v/>
      </c>
    </row>
    <row r="681">
      <c r="A681">
        <f>'1 datos preparados'!A674</f>
        <v/>
      </c>
      <c r="B681" s="5">
        <f>'1 datos preparados'!U674</f>
        <v/>
      </c>
      <c r="C681">
        <f>'1 datos preparados'!B674</f>
        <v/>
      </c>
      <c r="D681" s="7">
        <f>'1 datos preparados'!C674</f>
        <v/>
      </c>
      <c r="E681" s="7">
        <f>'1 datos preparados'!D674</f>
        <v/>
      </c>
      <c r="F681" s="7">
        <f>'1 datos preparados'!E674</f>
        <v/>
      </c>
      <c r="G681" s="7">
        <f>'1 datos preparados'!F674</f>
        <v/>
      </c>
      <c r="H681" s="7">
        <f>'1 datos preparados'!G674</f>
        <v/>
      </c>
      <c r="I681" s="7">
        <f>'1 datos preparados'!H674</f>
        <v/>
      </c>
      <c r="J681" s="7">
        <f>'1 datos preparados'!I674</f>
        <v/>
      </c>
      <c r="K681" s="7">
        <f>'1 datos preparados'!J674</f>
        <v/>
      </c>
      <c r="L681" s="7">
        <f>'1 datos preparados'!K674</f>
        <v/>
      </c>
      <c r="M681" s="7">
        <f>'1 datos preparados'!L674</f>
        <v/>
      </c>
      <c r="N681" s="7">
        <f>'1 datos preparados'!M674</f>
        <v/>
      </c>
      <c r="O681" s="7">
        <f>'1 datos preparados'!N674</f>
        <v/>
      </c>
      <c r="P681" s="7">
        <f>'1 datos preparados'!O674</f>
        <v/>
      </c>
      <c r="Q681" s="7">
        <f>'1 datos preparados'!P674</f>
        <v/>
      </c>
      <c r="R681" s="7">
        <f>'1 datos preparados'!Q674</f>
        <v/>
      </c>
      <c r="S681" s="7">
        <f>'1 datos preparados'!R674</f>
        <v/>
      </c>
      <c r="T681" s="7">
        <f>'1 datos preparados'!S674</f>
        <v/>
      </c>
      <c r="U681" s="7">
        <f>'1 datos preparados'!T674</f>
        <v/>
      </c>
      <c r="V681" s="8">
        <f>$AE$12+D681*$AE$13+E681*$AE$14+F681*$AE$15+G681*$AE$16+H681*$AE$17+I681*$AE$18+J681*$AE$19+K681*$AE$20+L681*$AE$21+M681*$AE$22+N681*$AE$23+O681*$AE$24+P681*$AE$25+Q681*$AE$26+R681*$AE$27+S681*$AE$28+T681*$AE$29+U681*$AE$30</f>
        <v/>
      </c>
      <c r="W681" s="8">
        <f>1/(1+EXP(-V681))</f>
        <v/>
      </c>
      <c r="X681" s="9">
        <f>-IF(C681=1,LN(W681),LN(1-W681))</f>
        <v/>
      </c>
      <c r="Y681" s="8">
        <f>IF(C681=1,$AE$32,$AE$33)</f>
        <v/>
      </c>
      <c r="Z681" s="9">
        <f>Y681*X681</f>
        <v/>
      </c>
      <c r="AA681" s="10">
        <f>IF(W681&gt;$AE$34,1,0)</f>
        <v/>
      </c>
      <c r="AB681">
        <f>IF(AA681=C681,1,0)</f>
        <v/>
      </c>
    </row>
    <row r="682">
      <c r="A682">
        <f>'1 datos preparados'!A675</f>
        <v/>
      </c>
      <c r="B682" s="5">
        <f>'1 datos preparados'!U675</f>
        <v/>
      </c>
      <c r="C682">
        <f>'1 datos preparados'!B675</f>
        <v/>
      </c>
      <c r="D682" s="7">
        <f>'1 datos preparados'!C675</f>
        <v/>
      </c>
      <c r="E682" s="7">
        <f>'1 datos preparados'!D675</f>
        <v/>
      </c>
      <c r="F682" s="7">
        <f>'1 datos preparados'!E675</f>
        <v/>
      </c>
      <c r="G682" s="7">
        <f>'1 datos preparados'!F675</f>
        <v/>
      </c>
      <c r="H682" s="7">
        <f>'1 datos preparados'!G675</f>
        <v/>
      </c>
      <c r="I682" s="7">
        <f>'1 datos preparados'!H675</f>
        <v/>
      </c>
      <c r="J682" s="7">
        <f>'1 datos preparados'!I675</f>
        <v/>
      </c>
      <c r="K682" s="7">
        <f>'1 datos preparados'!J675</f>
        <v/>
      </c>
      <c r="L682" s="7">
        <f>'1 datos preparados'!K675</f>
        <v/>
      </c>
      <c r="M682" s="7">
        <f>'1 datos preparados'!L675</f>
        <v/>
      </c>
      <c r="N682" s="7">
        <f>'1 datos preparados'!M675</f>
        <v/>
      </c>
      <c r="O682" s="7">
        <f>'1 datos preparados'!N675</f>
        <v/>
      </c>
      <c r="P682" s="7">
        <f>'1 datos preparados'!O675</f>
        <v/>
      </c>
      <c r="Q682" s="7">
        <f>'1 datos preparados'!P675</f>
        <v/>
      </c>
      <c r="R682" s="7">
        <f>'1 datos preparados'!Q675</f>
        <v/>
      </c>
      <c r="S682" s="7">
        <f>'1 datos preparados'!R675</f>
        <v/>
      </c>
      <c r="T682" s="7">
        <f>'1 datos preparados'!S675</f>
        <v/>
      </c>
      <c r="U682" s="7">
        <f>'1 datos preparados'!T675</f>
        <v/>
      </c>
      <c r="V682" s="8">
        <f>$AE$12+D682*$AE$13+E682*$AE$14+F682*$AE$15+G682*$AE$16+H682*$AE$17+I682*$AE$18+J682*$AE$19+K682*$AE$20+L682*$AE$21+M682*$AE$22+N682*$AE$23+O682*$AE$24+P682*$AE$25+Q682*$AE$26+R682*$AE$27+S682*$AE$28+T682*$AE$29+U682*$AE$30</f>
        <v/>
      </c>
      <c r="W682" s="8">
        <f>1/(1+EXP(-V682))</f>
        <v/>
      </c>
      <c r="X682" s="9">
        <f>-IF(C682=1,LN(W682),LN(1-W682))</f>
        <v/>
      </c>
      <c r="Y682" s="8">
        <f>IF(C682=1,$AE$32,$AE$33)</f>
        <v/>
      </c>
      <c r="Z682" s="9">
        <f>Y682*X682</f>
        <v/>
      </c>
      <c r="AA682" s="10">
        <f>IF(W682&gt;$AE$34,1,0)</f>
        <v/>
      </c>
      <c r="AB682">
        <f>IF(AA682=C682,1,0)</f>
        <v/>
      </c>
    </row>
    <row r="683">
      <c r="A683">
        <f>'1 datos preparados'!A676</f>
        <v/>
      </c>
      <c r="B683" s="5">
        <f>'1 datos preparados'!U676</f>
        <v/>
      </c>
      <c r="C683">
        <f>'1 datos preparados'!B676</f>
        <v/>
      </c>
      <c r="D683" s="7">
        <f>'1 datos preparados'!C676</f>
        <v/>
      </c>
      <c r="E683" s="7">
        <f>'1 datos preparados'!D676</f>
        <v/>
      </c>
      <c r="F683" s="7">
        <f>'1 datos preparados'!E676</f>
        <v/>
      </c>
      <c r="G683" s="7">
        <f>'1 datos preparados'!F676</f>
        <v/>
      </c>
      <c r="H683" s="7">
        <f>'1 datos preparados'!G676</f>
        <v/>
      </c>
      <c r="I683" s="7">
        <f>'1 datos preparados'!H676</f>
        <v/>
      </c>
      <c r="J683" s="7">
        <f>'1 datos preparados'!I676</f>
        <v/>
      </c>
      <c r="K683" s="7">
        <f>'1 datos preparados'!J676</f>
        <v/>
      </c>
      <c r="L683" s="7">
        <f>'1 datos preparados'!K676</f>
        <v/>
      </c>
      <c r="M683" s="7">
        <f>'1 datos preparados'!L676</f>
        <v/>
      </c>
      <c r="N683" s="7">
        <f>'1 datos preparados'!M676</f>
        <v/>
      </c>
      <c r="O683" s="7">
        <f>'1 datos preparados'!N676</f>
        <v/>
      </c>
      <c r="P683" s="7">
        <f>'1 datos preparados'!O676</f>
        <v/>
      </c>
      <c r="Q683" s="7">
        <f>'1 datos preparados'!P676</f>
        <v/>
      </c>
      <c r="R683" s="7">
        <f>'1 datos preparados'!Q676</f>
        <v/>
      </c>
      <c r="S683" s="7">
        <f>'1 datos preparados'!R676</f>
        <v/>
      </c>
      <c r="T683" s="7">
        <f>'1 datos preparados'!S676</f>
        <v/>
      </c>
      <c r="U683" s="7">
        <f>'1 datos preparados'!T676</f>
        <v/>
      </c>
      <c r="V683" s="8">
        <f>$AE$12+D683*$AE$13+E683*$AE$14+F683*$AE$15+G683*$AE$16+H683*$AE$17+I683*$AE$18+J683*$AE$19+K683*$AE$20+L683*$AE$21+M683*$AE$22+N683*$AE$23+O683*$AE$24+P683*$AE$25+Q683*$AE$26+R683*$AE$27+S683*$AE$28+T683*$AE$29+U683*$AE$30</f>
        <v/>
      </c>
      <c r="W683" s="8">
        <f>1/(1+EXP(-V683))</f>
        <v/>
      </c>
      <c r="X683" s="9">
        <f>-IF(C683=1,LN(W683),LN(1-W683))</f>
        <v/>
      </c>
      <c r="Y683" s="8">
        <f>IF(C683=1,$AE$32,$AE$33)</f>
        <v/>
      </c>
      <c r="Z683" s="9">
        <f>Y683*X683</f>
        <v/>
      </c>
      <c r="AA683" s="10">
        <f>IF(W683&gt;$AE$34,1,0)</f>
        <v/>
      </c>
      <c r="AB683">
        <f>IF(AA683=C683,1,0)</f>
        <v/>
      </c>
    </row>
    <row r="684">
      <c r="A684">
        <f>'1 datos preparados'!A677</f>
        <v/>
      </c>
      <c r="B684" s="5">
        <f>'1 datos preparados'!U677</f>
        <v/>
      </c>
      <c r="C684">
        <f>'1 datos preparados'!B677</f>
        <v/>
      </c>
      <c r="D684" s="7">
        <f>'1 datos preparados'!C677</f>
        <v/>
      </c>
      <c r="E684" s="7">
        <f>'1 datos preparados'!D677</f>
        <v/>
      </c>
      <c r="F684" s="7">
        <f>'1 datos preparados'!E677</f>
        <v/>
      </c>
      <c r="G684" s="7">
        <f>'1 datos preparados'!F677</f>
        <v/>
      </c>
      <c r="H684" s="7">
        <f>'1 datos preparados'!G677</f>
        <v/>
      </c>
      <c r="I684" s="7">
        <f>'1 datos preparados'!H677</f>
        <v/>
      </c>
      <c r="J684" s="7">
        <f>'1 datos preparados'!I677</f>
        <v/>
      </c>
      <c r="K684" s="7">
        <f>'1 datos preparados'!J677</f>
        <v/>
      </c>
      <c r="L684" s="7">
        <f>'1 datos preparados'!K677</f>
        <v/>
      </c>
      <c r="M684" s="7">
        <f>'1 datos preparados'!L677</f>
        <v/>
      </c>
      <c r="N684" s="7">
        <f>'1 datos preparados'!M677</f>
        <v/>
      </c>
      <c r="O684" s="7">
        <f>'1 datos preparados'!N677</f>
        <v/>
      </c>
      <c r="P684" s="7">
        <f>'1 datos preparados'!O677</f>
        <v/>
      </c>
      <c r="Q684" s="7">
        <f>'1 datos preparados'!P677</f>
        <v/>
      </c>
      <c r="R684" s="7">
        <f>'1 datos preparados'!Q677</f>
        <v/>
      </c>
      <c r="S684" s="7">
        <f>'1 datos preparados'!R677</f>
        <v/>
      </c>
      <c r="T684" s="7">
        <f>'1 datos preparados'!S677</f>
        <v/>
      </c>
      <c r="U684" s="7">
        <f>'1 datos preparados'!T677</f>
        <v/>
      </c>
      <c r="V684" s="8">
        <f>$AE$12+D684*$AE$13+E684*$AE$14+F684*$AE$15+G684*$AE$16+H684*$AE$17+I684*$AE$18+J684*$AE$19+K684*$AE$20+L684*$AE$21+M684*$AE$22+N684*$AE$23+O684*$AE$24+P684*$AE$25+Q684*$AE$26+R684*$AE$27+S684*$AE$28+T684*$AE$29+U684*$AE$30</f>
        <v/>
      </c>
      <c r="W684" s="8">
        <f>1/(1+EXP(-V684))</f>
        <v/>
      </c>
      <c r="X684" s="9">
        <f>-IF(C684=1,LN(W684),LN(1-W684))</f>
        <v/>
      </c>
      <c r="Y684" s="8">
        <f>IF(C684=1,$AE$32,$AE$33)</f>
        <v/>
      </c>
      <c r="Z684" s="9">
        <f>Y684*X684</f>
        <v/>
      </c>
      <c r="AA684" s="10">
        <f>IF(W684&gt;$AE$34,1,0)</f>
        <v/>
      </c>
      <c r="AB684">
        <f>IF(AA684=C684,1,0)</f>
        <v/>
      </c>
    </row>
    <row r="685">
      <c r="A685">
        <f>'1 datos preparados'!A678</f>
        <v/>
      </c>
      <c r="B685" s="5">
        <f>'1 datos preparados'!U678</f>
        <v/>
      </c>
      <c r="C685">
        <f>'1 datos preparados'!B678</f>
        <v/>
      </c>
      <c r="D685" s="7">
        <f>'1 datos preparados'!C678</f>
        <v/>
      </c>
      <c r="E685" s="7">
        <f>'1 datos preparados'!D678</f>
        <v/>
      </c>
      <c r="F685" s="7">
        <f>'1 datos preparados'!E678</f>
        <v/>
      </c>
      <c r="G685" s="7">
        <f>'1 datos preparados'!F678</f>
        <v/>
      </c>
      <c r="H685" s="7">
        <f>'1 datos preparados'!G678</f>
        <v/>
      </c>
      <c r="I685" s="7">
        <f>'1 datos preparados'!H678</f>
        <v/>
      </c>
      <c r="J685" s="7">
        <f>'1 datos preparados'!I678</f>
        <v/>
      </c>
      <c r="K685" s="7">
        <f>'1 datos preparados'!J678</f>
        <v/>
      </c>
      <c r="L685" s="7">
        <f>'1 datos preparados'!K678</f>
        <v/>
      </c>
      <c r="M685" s="7">
        <f>'1 datos preparados'!L678</f>
        <v/>
      </c>
      <c r="N685" s="7">
        <f>'1 datos preparados'!M678</f>
        <v/>
      </c>
      <c r="O685" s="7">
        <f>'1 datos preparados'!N678</f>
        <v/>
      </c>
      <c r="P685" s="7">
        <f>'1 datos preparados'!O678</f>
        <v/>
      </c>
      <c r="Q685" s="7">
        <f>'1 datos preparados'!P678</f>
        <v/>
      </c>
      <c r="R685" s="7">
        <f>'1 datos preparados'!Q678</f>
        <v/>
      </c>
      <c r="S685" s="7">
        <f>'1 datos preparados'!R678</f>
        <v/>
      </c>
      <c r="T685" s="7">
        <f>'1 datos preparados'!S678</f>
        <v/>
      </c>
      <c r="U685" s="7">
        <f>'1 datos preparados'!T678</f>
        <v/>
      </c>
      <c r="V685" s="8">
        <f>$AE$12+D685*$AE$13+E685*$AE$14+F685*$AE$15+G685*$AE$16+H685*$AE$17+I685*$AE$18+J685*$AE$19+K685*$AE$20+L685*$AE$21+M685*$AE$22+N685*$AE$23+O685*$AE$24+P685*$AE$25+Q685*$AE$26+R685*$AE$27+S685*$AE$28+T685*$AE$29+U685*$AE$30</f>
        <v/>
      </c>
      <c r="W685" s="8">
        <f>1/(1+EXP(-V685))</f>
        <v/>
      </c>
      <c r="X685" s="9">
        <f>-IF(C685=1,LN(W685),LN(1-W685))</f>
        <v/>
      </c>
      <c r="Y685" s="8">
        <f>IF(C685=1,$AE$32,$AE$33)</f>
        <v/>
      </c>
      <c r="Z685" s="9">
        <f>Y685*X685</f>
        <v/>
      </c>
      <c r="AA685" s="10">
        <f>IF(W685&gt;$AE$34,1,0)</f>
        <v/>
      </c>
      <c r="AB685">
        <f>IF(AA685=C685,1,0)</f>
        <v/>
      </c>
    </row>
    <row r="686">
      <c r="A686">
        <f>'1 datos preparados'!A679</f>
        <v/>
      </c>
      <c r="B686" s="5">
        <f>'1 datos preparados'!U679</f>
        <v/>
      </c>
      <c r="C686">
        <f>'1 datos preparados'!B679</f>
        <v/>
      </c>
      <c r="D686" s="7">
        <f>'1 datos preparados'!C679</f>
        <v/>
      </c>
      <c r="E686" s="7">
        <f>'1 datos preparados'!D679</f>
        <v/>
      </c>
      <c r="F686" s="7">
        <f>'1 datos preparados'!E679</f>
        <v/>
      </c>
      <c r="G686" s="7">
        <f>'1 datos preparados'!F679</f>
        <v/>
      </c>
      <c r="H686" s="7">
        <f>'1 datos preparados'!G679</f>
        <v/>
      </c>
      <c r="I686" s="7">
        <f>'1 datos preparados'!H679</f>
        <v/>
      </c>
      <c r="J686" s="7">
        <f>'1 datos preparados'!I679</f>
        <v/>
      </c>
      <c r="K686" s="7">
        <f>'1 datos preparados'!J679</f>
        <v/>
      </c>
      <c r="L686" s="7">
        <f>'1 datos preparados'!K679</f>
        <v/>
      </c>
      <c r="M686" s="7">
        <f>'1 datos preparados'!L679</f>
        <v/>
      </c>
      <c r="N686" s="7">
        <f>'1 datos preparados'!M679</f>
        <v/>
      </c>
      <c r="O686" s="7">
        <f>'1 datos preparados'!N679</f>
        <v/>
      </c>
      <c r="P686" s="7">
        <f>'1 datos preparados'!O679</f>
        <v/>
      </c>
      <c r="Q686" s="7">
        <f>'1 datos preparados'!P679</f>
        <v/>
      </c>
      <c r="R686" s="7">
        <f>'1 datos preparados'!Q679</f>
        <v/>
      </c>
      <c r="S686" s="7">
        <f>'1 datos preparados'!R679</f>
        <v/>
      </c>
      <c r="T686" s="7">
        <f>'1 datos preparados'!S679</f>
        <v/>
      </c>
      <c r="U686" s="7">
        <f>'1 datos preparados'!T679</f>
        <v/>
      </c>
      <c r="V686" s="8">
        <f>$AE$12+D686*$AE$13+E686*$AE$14+F686*$AE$15+G686*$AE$16+H686*$AE$17+I686*$AE$18+J686*$AE$19+K686*$AE$20+L686*$AE$21+M686*$AE$22+N686*$AE$23+O686*$AE$24+P686*$AE$25+Q686*$AE$26+R686*$AE$27+S686*$AE$28+T686*$AE$29+U686*$AE$30</f>
        <v/>
      </c>
      <c r="W686" s="8">
        <f>1/(1+EXP(-V686))</f>
        <v/>
      </c>
      <c r="X686" s="9">
        <f>-IF(C686=1,LN(W686),LN(1-W686))</f>
        <v/>
      </c>
      <c r="Y686" s="8">
        <f>IF(C686=1,$AE$32,$AE$33)</f>
        <v/>
      </c>
      <c r="Z686" s="9">
        <f>Y686*X686</f>
        <v/>
      </c>
      <c r="AA686" s="10">
        <f>IF(W686&gt;$AE$34,1,0)</f>
        <v/>
      </c>
      <c r="AB686">
        <f>IF(AA686=C686,1,0)</f>
        <v/>
      </c>
    </row>
    <row r="687">
      <c r="A687">
        <f>'1 datos preparados'!A680</f>
        <v/>
      </c>
      <c r="B687" s="5">
        <f>'1 datos preparados'!U680</f>
        <v/>
      </c>
      <c r="C687">
        <f>'1 datos preparados'!B680</f>
        <v/>
      </c>
      <c r="D687" s="7">
        <f>'1 datos preparados'!C680</f>
        <v/>
      </c>
      <c r="E687" s="7">
        <f>'1 datos preparados'!D680</f>
        <v/>
      </c>
      <c r="F687" s="7">
        <f>'1 datos preparados'!E680</f>
        <v/>
      </c>
      <c r="G687" s="7">
        <f>'1 datos preparados'!F680</f>
        <v/>
      </c>
      <c r="H687" s="7">
        <f>'1 datos preparados'!G680</f>
        <v/>
      </c>
      <c r="I687" s="7">
        <f>'1 datos preparados'!H680</f>
        <v/>
      </c>
      <c r="J687" s="7">
        <f>'1 datos preparados'!I680</f>
        <v/>
      </c>
      <c r="K687" s="7">
        <f>'1 datos preparados'!J680</f>
        <v/>
      </c>
      <c r="L687" s="7">
        <f>'1 datos preparados'!K680</f>
        <v/>
      </c>
      <c r="M687" s="7">
        <f>'1 datos preparados'!L680</f>
        <v/>
      </c>
      <c r="N687" s="7">
        <f>'1 datos preparados'!M680</f>
        <v/>
      </c>
      <c r="O687" s="7">
        <f>'1 datos preparados'!N680</f>
        <v/>
      </c>
      <c r="P687" s="7">
        <f>'1 datos preparados'!O680</f>
        <v/>
      </c>
      <c r="Q687" s="7">
        <f>'1 datos preparados'!P680</f>
        <v/>
      </c>
      <c r="R687" s="7">
        <f>'1 datos preparados'!Q680</f>
        <v/>
      </c>
      <c r="S687" s="7">
        <f>'1 datos preparados'!R680</f>
        <v/>
      </c>
      <c r="T687" s="7">
        <f>'1 datos preparados'!S680</f>
        <v/>
      </c>
      <c r="U687" s="7">
        <f>'1 datos preparados'!T680</f>
        <v/>
      </c>
      <c r="V687" s="8">
        <f>$AE$12+D687*$AE$13+E687*$AE$14+F687*$AE$15+G687*$AE$16+H687*$AE$17+I687*$AE$18+J687*$AE$19+K687*$AE$20+L687*$AE$21+M687*$AE$22+N687*$AE$23+O687*$AE$24+P687*$AE$25+Q687*$AE$26+R687*$AE$27+S687*$AE$28+T687*$AE$29+U687*$AE$30</f>
        <v/>
      </c>
      <c r="W687" s="8">
        <f>1/(1+EXP(-V687))</f>
        <v/>
      </c>
      <c r="X687" s="9">
        <f>-IF(C687=1,LN(W687),LN(1-W687))</f>
        <v/>
      </c>
      <c r="Y687" s="8">
        <f>IF(C687=1,$AE$32,$AE$33)</f>
        <v/>
      </c>
      <c r="Z687" s="9">
        <f>Y687*X687</f>
        <v/>
      </c>
      <c r="AA687" s="10">
        <f>IF(W687&gt;$AE$34,1,0)</f>
        <v/>
      </c>
      <c r="AB687">
        <f>IF(AA687=C687,1,0)</f>
        <v/>
      </c>
    </row>
    <row r="688">
      <c r="A688">
        <f>'1 datos preparados'!A681</f>
        <v/>
      </c>
      <c r="B688" s="5">
        <f>'1 datos preparados'!U681</f>
        <v/>
      </c>
      <c r="C688">
        <f>'1 datos preparados'!B681</f>
        <v/>
      </c>
      <c r="D688" s="7">
        <f>'1 datos preparados'!C681</f>
        <v/>
      </c>
      <c r="E688" s="7">
        <f>'1 datos preparados'!D681</f>
        <v/>
      </c>
      <c r="F688" s="7">
        <f>'1 datos preparados'!E681</f>
        <v/>
      </c>
      <c r="G688" s="7">
        <f>'1 datos preparados'!F681</f>
        <v/>
      </c>
      <c r="H688" s="7">
        <f>'1 datos preparados'!G681</f>
        <v/>
      </c>
      <c r="I688" s="7">
        <f>'1 datos preparados'!H681</f>
        <v/>
      </c>
      <c r="J688" s="7">
        <f>'1 datos preparados'!I681</f>
        <v/>
      </c>
      <c r="K688" s="7">
        <f>'1 datos preparados'!J681</f>
        <v/>
      </c>
      <c r="L688" s="7">
        <f>'1 datos preparados'!K681</f>
        <v/>
      </c>
      <c r="M688" s="7">
        <f>'1 datos preparados'!L681</f>
        <v/>
      </c>
      <c r="N688" s="7">
        <f>'1 datos preparados'!M681</f>
        <v/>
      </c>
      <c r="O688" s="7">
        <f>'1 datos preparados'!N681</f>
        <v/>
      </c>
      <c r="P688" s="7">
        <f>'1 datos preparados'!O681</f>
        <v/>
      </c>
      <c r="Q688" s="7">
        <f>'1 datos preparados'!P681</f>
        <v/>
      </c>
      <c r="R688" s="7">
        <f>'1 datos preparados'!Q681</f>
        <v/>
      </c>
      <c r="S688" s="7">
        <f>'1 datos preparados'!R681</f>
        <v/>
      </c>
      <c r="T688" s="7">
        <f>'1 datos preparados'!S681</f>
        <v/>
      </c>
      <c r="U688" s="7">
        <f>'1 datos preparados'!T681</f>
        <v/>
      </c>
      <c r="V688" s="8">
        <f>$AE$12+D688*$AE$13+E688*$AE$14+F688*$AE$15+G688*$AE$16+H688*$AE$17+I688*$AE$18+J688*$AE$19+K688*$AE$20+L688*$AE$21+M688*$AE$22+N688*$AE$23+O688*$AE$24+P688*$AE$25+Q688*$AE$26+R688*$AE$27+S688*$AE$28+T688*$AE$29+U688*$AE$30</f>
        <v/>
      </c>
      <c r="W688" s="8">
        <f>1/(1+EXP(-V688))</f>
        <v/>
      </c>
      <c r="X688" s="9">
        <f>-IF(C688=1,LN(W688),LN(1-W688))</f>
        <v/>
      </c>
      <c r="Y688" s="8">
        <f>IF(C688=1,$AE$32,$AE$33)</f>
        <v/>
      </c>
      <c r="Z688" s="9">
        <f>Y688*X688</f>
        <v/>
      </c>
      <c r="AA688" s="10">
        <f>IF(W688&gt;$AE$34,1,0)</f>
        <v/>
      </c>
      <c r="AB688">
        <f>IF(AA688=C688,1,0)</f>
        <v/>
      </c>
    </row>
    <row r="689">
      <c r="A689">
        <f>'1 datos preparados'!A682</f>
        <v/>
      </c>
      <c r="B689" s="5">
        <f>'1 datos preparados'!U682</f>
        <v/>
      </c>
      <c r="C689">
        <f>'1 datos preparados'!B682</f>
        <v/>
      </c>
      <c r="D689" s="7">
        <f>'1 datos preparados'!C682</f>
        <v/>
      </c>
      <c r="E689" s="7">
        <f>'1 datos preparados'!D682</f>
        <v/>
      </c>
      <c r="F689" s="7">
        <f>'1 datos preparados'!E682</f>
        <v/>
      </c>
      <c r="G689" s="7">
        <f>'1 datos preparados'!F682</f>
        <v/>
      </c>
      <c r="H689" s="7">
        <f>'1 datos preparados'!G682</f>
        <v/>
      </c>
      <c r="I689" s="7">
        <f>'1 datos preparados'!H682</f>
        <v/>
      </c>
      <c r="J689" s="7">
        <f>'1 datos preparados'!I682</f>
        <v/>
      </c>
      <c r="K689" s="7">
        <f>'1 datos preparados'!J682</f>
        <v/>
      </c>
      <c r="L689" s="7">
        <f>'1 datos preparados'!K682</f>
        <v/>
      </c>
      <c r="M689" s="7">
        <f>'1 datos preparados'!L682</f>
        <v/>
      </c>
      <c r="N689" s="7">
        <f>'1 datos preparados'!M682</f>
        <v/>
      </c>
      <c r="O689" s="7">
        <f>'1 datos preparados'!N682</f>
        <v/>
      </c>
      <c r="P689" s="7">
        <f>'1 datos preparados'!O682</f>
        <v/>
      </c>
      <c r="Q689" s="7">
        <f>'1 datos preparados'!P682</f>
        <v/>
      </c>
      <c r="R689" s="7">
        <f>'1 datos preparados'!Q682</f>
        <v/>
      </c>
      <c r="S689" s="7">
        <f>'1 datos preparados'!R682</f>
        <v/>
      </c>
      <c r="T689" s="7">
        <f>'1 datos preparados'!S682</f>
        <v/>
      </c>
      <c r="U689" s="7">
        <f>'1 datos preparados'!T682</f>
        <v/>
      </c>
      <c r="V689" s="8">
        <f>$AE$12+D689*$AE$13+E689*$AE$14+F689*$AE$15+G689*$AE$16+H689*$AE$17+I689*$AE$18+J689*$AE$19+K689*$AE$20+L689*$AE$21+M689*$AE$22+N689*$AE$23+O689*$AE$24+P689*$AE$25+Q689*$AE$26+R689*$AE$27+S689*$AE$28+T689*$AE$29+U689*$AE$30</f>
        <v/>
      </c>
      <c r="W689" s="8">
        <f>1/(1+EXP(-V689))</f>
        <v/>
      </c>
      <c r="X689" s="9">
        <f>-IF(C689=1,LN(W689),LN(1-W689))</f>
        <v/>
      </c>
      <c r="Y689" s="8">
        <f>IF(C689=1,$AE$32,$AE$33)</f>
        <v/>
      </c>
      <c r="Z689" s="9">
        <f>Y689*X689</f>
        <v/>
      </c>
      <c r="AA689" s="10">
        <f>IF(W689&gt;$AE$34,1,0)</f>
        <v/>
      </c>
      <c r="AB689">
        <f>IF(AA689=C689,1,0)</f>
        <v/>
      </c>
    </row>
    <row r="690">
      <c r="A690">
        <f>'1 datos preparados'!A683</f>
        <v/>
      </c>
      <c r="B690" s="5">
        <f>'1 datos preparados'!U683</f>
        <v/>
      </c>
      <c r="C690">
        <f>'1 datos preparados'!B683</f>
        <v/>
      </c>
      <c r="D690" s="7">
        <f>'1 datos preparados'!C683</f>
        <v/>
      </c>
      <c r="E690" s="7">
        <f>'1 datos preparados'!D683</f>
        <v/>
      </c>
      <c r="F690" s="7">
        <f>'1 datos preparados'!E683</f>
        <v/>
      </c>
      <c r="G690" s="7">
        <f>'1 datos preparados'!F683</f>
        <v/>
      </c>
      <c r="H690" s="7">
        <f>'1 datos preparados'!G683</f>
        <v/>
      </c>
      <c r="I690" s="7">
        <f>'1 datos preparados'!H683</f>
        <v/>
      </c>
      <c r="J690" s="7">
        <f>'1 datos preparados'!I683</f>
        <v/>
      </c>
      <c r="K690" s="7">
        <f>'1 datos preparados'!J683</f>
        <v/>
      </c>
      <c r="L690" s="7">
        <f>'1 datos preparados'!K683</f>
        <v/>
      </c>
      <c r="M690" s="7">
        <f>'1 datos preparados'!L683</f>
        <v/>
      </c>
      <c r="N690" s="7">
        <f>'1 datos preparados'!M683</f>
        <v/>
      </c>
      <c r="O690" s="7">
        <f>'1 datos preparados'!N683</f>
        <v/>
      </c>
      <c r="P690" s="7">
        <f>'1 datos preparados'!O683</f>
        <v/>
      </c>
      <c r="Q690" s="7">
        <f>'1 datos preparados'!P683</f>
        <v/>
      </c>
      <c r="R690" s="7">
        <f>'1 datos preparados'!Q683</f>
        <v/>
      </c>
      <c r="S690" s="7">
        <f>'1 datos preparados'!R683</f>
        <v/>
      </c>
      <c r="T690" s="7">
        <f>'1 datos preparados'!S683</f>
        <v/>
      </c>
      <c r="U690" s="7">
        <f>'1 datos preparados'!T683</f>
        <v/>
      </c>
      <c r="V690" s="8">
        <f>$AE$12+D690*$AE$13+E690*$AE$14+F690*$AE$15+G690*$AE$16+H690*$AE$17+I690*$AE$18+J690*$AE$19+K690*$AE$20+L690*$AE$21+M690*$AE$22+N690*$AE$23+O690*$AE$24+P690*$AE$25+Q690*$AE$26+R690*$AE$27+S690*$AE$28+T690*$AE$29+U690*$AE$30</f>
        <v/>
      </c>
      <c r="W690" s="8">
        <f>1/(1+EXP(-V690))</f>
        <v/>
      </c>
      <c r="X690" s="9">
        <f>-IF(C690=1,LN(W690),LN(1-W690))</f>
        <v/>
      </c>
      <c r="Y690" s="8">
        <f>IF(C690=1,$AE$32,$AE$33)</f>
        <v/>
      </c>
      <c r="Z690" s="9">
        <f>Y690*X690</f>
        <v/>
      </c>
      <c r="AA690" s="10">
        <f>IF(W690&gt;$AE$34,1,0)</f>
        <v/>
      </c>
      <c r="AB690">
        <f>IF(AA690=C690,1,0)</f>
        <v/>
      </c>
    </row>
    <row r="691">
      <c r="A691">
        <f>'1 datos preparados'!A684</f>
        <v/>
      </c>
      <c r="B691" s="5">
        <f>'1 datos preparados'!U684</f>
        <v/>
      </c>
      <c r="C691">
        <f>'1 datos preparados'!B684</f>
        <v/>
      </c>
      <c r="D691" s="7">
        <f>'1 datos preparados'!C684</f>
        <v/>
      </c>
      <c r="E691" s="7">
        <f>'1 datos preparados'!D684</f>
        <v/>
      </c>
      <c r="F691" s="7">
        <f>'1 datos preparados'!E684</f>
        <v/>
      </c>
      <c r="G691" s="7">
        <f>'1 datos preparados'!F684</f>
        <v/>
      </c>
      <c r="H691" s="7">
        <f>'1 datos preparados'!G684</f>
        <v/>
      </c>
      <c r="I691" s="7">
        <f>'1 datos preparados'!H684</f>
        <v/>
      </c>
      <c r="J691" s="7">
        <f>'1 datos preparados'!I684</f>
        <v/>
      </c>
      <c r="K691" s="7">
        <f>'1 datos preparados'!J684</f>
        <v/>
      </c>
      <c r="L691" s="7">
        <f>'1 datos preparados'!K684</f>
        <v/>
      </c>
      <c r="M691" s="7">
        <f>'1 datos preparados'!L684</f>
        <v/>
      </c>
      <c r="N691" s="7">
        <f>'1 datos preparados'!M684</f>
        <v/>
      </c>
      <c r="O691" s="7">
        <f>'1 datos preparados'!N684</f>
        <v/>
      </c>
      <c r="P691" s="7">
        <f>'1 datos preparados'!O684</f>
        <v/>
      </c>
      <c r="Q691" s="7">
        <f>'1 datos preparados'!P684</f>
        <v/>
      </c>
      <c r="R691" s="7">
        <f>'1 datos preparados'!Q684</f>
        <v/>
      </c>
      <c r="S691" s="7">
        <f>'1 datos preparados'!R684</f>
        <v/>
      </c>
      <c r="T691" s="7">
        <f>'1 datos preparados'!S684</f>
        <v/>
      </c>
      <c r="U691" s="7">
        <f>'1 datos preparados'!T684</f>
        <v/>
      </c>
      <c r="V691" s="8">
        <f>$AE$12+D691*$AE$13+E691*$AE$14+F691*$AE$15+G691*$AE$16+H691*$AE$17+I691*$AE$18+J691*$AE$19+K691*$AE$20+L691*$AE$21+M691*$AE$22+N691*$AE$23+O691*$AE$24+P691*$AE$25+Q691*$AE$26+R691*$AE$27+S691*$AE$28+T691*$AE$29+U691*$AE$30</f>
        <v/>
      </c>
      <c r="W691" s="8">
        <f>1/(1+EXP(-V691))</f>
        <v/>
      </c>
      <c r="X691" s="9">
        <f>-IF(C691=1,LN(W691),LN(1-W691))</f>
        <v/>
      </c>
      <c r="Y691" s="8">
        <f>IF(C691=1,$AE$32,$AE$33)</f>
        <v/>
      </c>
      <c r="Z691" s="9">
        <f>Y691*X691</f>
        <v/>
      </c>
      <c r="AA691" s="10">
        <f>IF(W691&gt;$AE$34,1,0)</f>
        <v/>
      </c>
      <c r="AB691">
        <f>IF(AA691=C691,1,0)</f>
        <v/>
      </c>
    </row>
    <row r="692">
      <c r="A692">
        <f>'1 datos preparados'!A685</f>
        <v/>
      </c>
      <c r="B692" s="5">
        <f>'1 datos preparados'!U685</f>
        <v/>
      </c>
      <c r="C692">
        <f>'1 datos preparados'!B685</f>
        <v/>
      </c>
      <c r="D692" s="7">
        <f>'1 datos preparados'!C685</f>
        <v/>
      </c>
      <c r="E692" s="7">
        <f>'1 datos preparados'!D685</f>
        <v/>
      </c>
      <c r="F692" s="7">
        <f>'1 datos preparados'!E685</f>
        <v/>
      </c>
      <c r="G692" s="7">
        <f>'1 datos preparados'!F685</f>
        <v/>
      </c>
      <c r="H692" s="7">
        <f>'1 datos preparados'!G685</f>
        <v/>
      </c>
      <c r="I692" s="7">
        <f>'1 datos preparados'!H685</f>
        <v/>
      </c>
      <c r="J692" s="7">
        <f>'1 datos preparados'!I685</f>
        <v/>
      </c>
      <c r="K692" s="7">
        <f>'1 datos preparados'!J685</f>
        <v/>
      </c>
      <c r="L692" s="7">
        <f>'1 datos preparados'!K685</f>
        <v/>
      </c>
      <c r="M692" s="7">
        <f>'1 datos preparados'!L685</f>
        <v/>
      </c>
      <c r="N692" s="7">
        <f>'1 datos preparados'!M685</f>
        <v/>
      </c>
      <c r="O692" s="7">
        <f>'1 datos preparados'!N685</f>
        <v/>
      </c>
      <c r="P692" s="7">
        <f>'1 datos preparados'!O685</f>
        <v/>
      </c>
      <c r="Q692" s="7">
        <f>'1 datos preparados'!P685</f>
        <v/>
      </c>
      <c r="R692" s="7">
        <f>'1 datos preparados'!Q685</f>
        <v/>
      </c>
      <c r="S692" s="7">
        <f>'1 datos preparados'!R685</f>
        <v/>
      </c>
      <c r="T692" s="7">
        <f>'1 datos preparados'!S685</f>
        <v/>
      </c>
      <c r="U692" s="7">
        <f>'1 datos preparados'!T685</f>
        <v/>
      </c>
      <c r="V692" s="8">
        <f>$AE$12+D692*$AE$13+E692*$AE$14+F692*$AE$15+G692*$AE$16+H692*$AE$17+I692*$AE$18+J692*$AE$19+K692*$AE$20+L692*$AE$21+M692*$AE$22+N692*$AE$23+O692*$AE$24+P692*$AE$25+Q692*$AE$26+R692*$AE$27+S692*$AE$28+T692*$AE$29+U692*$AE$30</f>
        <v/>
      </c>
      <c r="W692" s="8">
        <f>1/(1+EXP(-V692))</f>
        <v/>
      </c>
      <c r="X692" s="9">
        <f>-IF(C692=1,LN(W692),LN(1-W692))</f>
        <v/>
      </c>
      <c r="Y692" s="8">
        <f>IF(C692=1,$AE$32,$AE$33)</f>
        <v/>
      </c>
      <c r="Z692" s="9">
        <f>Y692*X692</f>
        <v/>
      </c>
      <c r="AA692" s="10">
        <f>IF(W692&gt;$AE$34,1,0)</f>
        <v/>
      </c>
      <c r="AB692">
        <f>IF(AA692=C692,1,0)</f>
        <v/>
      </c>
    </row>
    <row r="693">
      <c r="A693">
        <f>'1 datos preparados'!A686</f>
        <v/>
      </c>
      <c r="B693" s="5">
        <f>'1 datos preparados'!U686</f>
        <v/>
      </c>
      <c r="C693">
        <f>'1 datos preparados'!B686</f>
        <v/>
      </c>
      <c r="D693" s="7">
        <f>'1 datos preparados'!C686</f>
        <v/>
      </c>
      <c r="E693" s="7">
        <f>'1 datos preparados'!D686</f>
        <v/>
      </c>
      <c r="F693" s="7">
        <f>'1 datos preparados'!E686</f>
        <v/>
      </c>
      <c r="G693" s="7">
        <f>'1 datos preparados'!F686</f>
        <v/>
      </c>
      <c r="H693" s="7">
        <f>'1 datos preparados'!G686</f>
        <v/>
      </c>
      <c r="I693" s="7">
        <f>'1 datos preparados'!H686</f>
        <v/>
      </c>
      <c r="J693" s="7">
        <f>'1 datos preparados'!I686</f>
        <v/>
      </c>
      <c r="K693" s="7">
        <f>'1 datos preparados'!J686</f>
        <v/>
      </c>
      <c r="L693" s="7">
        <f>'1 datos preparados'!K686</f>
        <v/>
      </c>
      <c r="M693" s="7">
        <f>'1 datos preparados'!L686</f>
        <v/>
      </c>
      <c r="N693" s="7">
        <f>'1 datos preparados'!M686</f>
        <v/>
      </c>
      <c r="O693" s="7">
        <f>'1 datos preparados'!N686</f>
        <v/>
      </c>
      <c r="P693" s="7">
        <f>'1 datos preparados'!O686</f>
        <v/>
      </c>
      <c r="Q693" s="7">
        <f>'1 datos preparados'!P686</f>
        <v/>
      </c>
      <c r="R693" s="7">
        <f>'1 datos preparados'!Q686</f>
        <v/>
      </c>
      <c r="S693" s="7">
        <f>'1 datos preparados'!R686</f>
        <v/>
      </c>
      <c r="T693" s="7">
        <f>'1 datos preparados'!S686</f>
        <v/>
      </c>
      <c r="U693" s="7">
        <f>'1 datos preparados'!T686</f>
        <v/>
      </c>
      <c r="V693" s="8">
        <f>$AE$12+D693*$AE$13+E693*$AE$14+F693*$AE$15+G693*$AE$16+H693*$AE$17+I693*$AE$18+J693*$AE$19+K693*$AE$20+L693*$AE$21+M693*$AE$22+N693*$AE$23+O693*$AE$24+P693*$AE$25+Q693*$AE$26+R693*$AE$27+S693*$AE$28+T693*$AE$29+U693*$AE$30</f>
        <v/>
      </c>
      <c r="W693" s="8">
        <f>1/(1+EXP(-V693))</f>
        <v/>
      </c>
      <c r="X693" s="9">
        <f>-IF(C693=1,LN(W693),LN(1-W693))</f>
        <v/>
      </c>
      <c r="Y693" s="8">
        <f>IF(C693=1,$AE$32,$AE$33)</f>
        <v/>
      </c>
      <c r="Z693" s="9">
        <f>Y693*X693</f>
        <v/>
      </c>
      <c r="AA693" s="10">
        <f>IF(W693&gt;$AE$34,1,0)</f>
        <v/>
      </c>
      <c r="AB693">
        <f>IF(AA693=C693,1,0)</f>
        <v/>
      </c>
    </row>
    <row r="694">
      <c r="A694">
        <f>'1 datos preparados'!A687</f>
        <v/>
      </c>
      <c r="B694" s="5">
        <f>'1 datos preparados'!U687</f>
        <v/>
      </c>
      <c r="C694">
        <f>'1 datos preparados'!B687</f>
        <v/>
      </c>
      <c r="D694" s="7">
        <f>'1 datos preparados'!C687</f>
        <v/>
      </c>
      <c r="E694" s="7">
        <f>'1 datos preparados'!D687</f>
        <v/>
      </c>
      <c r="F694" s="7">
        <f>'1 datos preparados'!E687</f>
        <v/>
      </c>
      <c r="G694" s="7">
        <f>'1 datos preparados'!F687</f>
        <v/>
      </c>
      <c r="H694" s="7">
        <f>'1 datos preparados'!G687</f>
        <v/>
      </c>
      <c r="I694" s="7">
        <f>'1 datos preparados'!H687</f>
        <v/>
      </c>
      <c r="J694" s="7">
        <f>'1 datos preparados'!I687</f>
        <v/>
      </c>
      <c r="K694" s="7">
        <f>'1 datos preparados'!J687</f>
        <v/>
      </c>
      <c r="L694" s="7">
        <f>'1 datos preparados'!K687</f>
        <v/>
      </c>
      <c r="M694" s="7">
        <f>'1 datos preparados'!L687</f>
        <v/>
      </c>
      <c r="N694" s="7">
        <f>'1 datos preparados'!M687</f>
        <v/>
      </c>
      <c r="O694" s="7">
        <f>'1 datos preparados'!N687</f>
        <v/>
      </c>
      <c r="P694" s="7">
        <f>'1 datos preparados'!O687</f>
        <v/>
      </c>
      <c r="Q694" s="7">
        <f>'1 datos preparados'!P687</f>
        <v/>
      </c>
      <c r="R694" s="7">
        <f>'1 datos preparados'!Q687</f>
        <v/>
      </c>
      <c r="S694" s="7">
        <f>'1 datos preparados'!R687</f>
        <v/>
      </c>
      <c r="T694" s="7">
        <f>'1 datos preparados'!S687</f>
        <v/>
      </c>
      <c r="U694" s="7">
        <f>'1 datos preparados'!T687</f>
        <v/>
      </c>
      <c r="V694" s="8">
        <f>$AE$12+D694*$AE$13+E694*$AE$14+F694*$AE$15+G694*$AE$16+H694*$AE$17+I694*$AE$18+J694*$AE$19+K694*$AE$20+L694*$AE$21+M694*$AE$22+N694*$AE$23+O694*$AE$24+P694*$AE$25+Q694*$AE$26+R694*$AE$27+S694*$AE$28+T694*$AE$29+U694*$AE$30</f>
        <v/>
      </c>
      <c r="W694" s="8">
        <f>1/(1+EXP(-V694))</f>
        <v/>
      </c>
      <c r="X694" s="9">
        <f>-IF(C694=1,LN(W694),LN(1-W694))</f>
        <v/>
      </c>
      <c r="Y694" s="8">
        <f>IF(C694=1,$AE$32,$AE$33)</f>
        <v/>
      </c>
      <c r="Z694" s="9">
        <f>Y694*X694</f>
        <v/>
      </c>
      <c r="AA694" s="10">
        <f>IF(W694&gt;$AE$34,1,0)</f>
        <v/>
      </c>
      <c r="AB694">
        <f>IF(AA694=C694,1,0)</f>
        <v/>
      </c>
    </row>
    <row r="695">
      <c r="A695">
        <f>'1 datos preparados'!A688</f>
        <v/>
      </c>
      <c r="B695" s="5">
        <f>'1 datos preparados'!U688</f>
        <v/>
      </c>
      <c r="C695">
        <f>'1 datos preparados'!B688</f>
        <v/>
      </c>
      <c r="D695" s="7">
        <f>'1 datos preparados'!C688</f>
        <v/>
      </c>
      <c r="E695" s="7">
        <f>'1 datos preparados'!D688</f>
        <v/>
      </c>
      <c r="F695" s="7">
        <f>'1 datos preparados'!E688</f>
        <v/>
      </c>
      <c r="G695" s="7">
        <f>'1 datos preparados'!F688</f>
        <v/>
      </c>
      <c r="H695" s="7">
        <f>'1 datos preparados'!G688</f>
        <v/>
      </c>
      <c r="I695" s="7">
        <f>'1 datos preparados'!H688</f>
        <v/>
      </c>
      <c r="J695" s="7">
        <f>'1 datos preparados'!I688</f>
        <v/>
      </c>
      <c r="K695" s="7">
        <f>'1 datos preparados'!J688</f>
        <v/>
      </c>
      <c r="L695" s="7">
        <f>'1 datos preparados'!K688</f>
        <v/>
      </c>
      <c r="M695" s="7">
        <f>'1 datos preparados'!L688</f>
        <v/>
      </c>
      <c r="N695" s="7">
        <f>'1 datos preparados'!M688</f>
        <v/>
      </c>
      <c r="O695" s="7">
        <f>'1 datos preparados'!N688</f>
        <v/>
      </c>
      <c r="P695" s="7">
        <f>'1 datos preparados'!O688</f>
        <v/>
      </c>
      <c r="Q695" s="7">
        <f>'1 datos preparados'!P688</f>
        <v/>
      </c>
      <c r="R695" s="7">
        <f>'1 datos preparados'!Q688</f>
        <v/>
      </c>
      <c r="S695" s="7">
        <f>'1 datos preparados'!R688</f>
        <v/>
      </c>
      <c r="T695" s="7">
        <f>'1 datos preparados'!S688</f>
        <v/>
      </c>
      <c r="U695" s="7">
        <f>'1 datos preparados'!T688</f>
        <v/>
      </c>
      <c r="V695" s="8">
        <f>$AE$12+D695*$AE$13+E695*$AE$14+F695*$AE$15+G695*$AE$16+H695*$AE$17+I695*$AE$18+J695*$AE$19+K695*$AE$20+L695*$AE$21+M695*$AE$22+N695*$AE$23+O695*$AE$24+P695*$AE$25+Q695*$AE$26+R695*$AE$27+S695*$AE$28+T695*$AE$29+U695*$AE$30</f>
        <v/>
      </c>
      <c r="W695" s="8">
        <f>1/(1+EXP(-V695))</f>
        <v/>
      </c>
      <c r="X695" s="9">
        <f>-IF(C695=1,LN(W695),LN(1-W695))</f>
        <v/>
      </c>
      <c r="Y695" s="8">
        <f>IF(C695=1,$AE$32,$AE$33)</f>
        <v/>
      </c>
      <c r="Z695" s="9">
        <f>Y695*X695</f>
        <v/>
      </c>
      <c r="AA695" s="10">
        <f>IF(W695&gt;$AE$34,1,0)</f>
        <v/>
      </c>
      <c r="AB695">
        <f>IF(AA695=C695,1,0)</f>
        <v/>
      </c>
    </row>
    <row r="696">
      <c r="A696">
        <f>'1 datos preparados'!A689</f>
        <v/>
      </c>
      <c r="B696" s="5">
        <f>'1 datos preparados'!U689</f>
        <v/>
      </c>
      <c r="C696">
        <f>'1 datos preparados'!B689</f>
        <v/>
      </c>
      <c r="D696" s="7">
        <f>'1 datos preparados'!C689</f>
        <v/>
      </c>
      <c r="E696" s="7">
        <f>'1 datos preparados'!D689</f>
        <v/>
      </c>
      <c r="F696" s="7">
        <f>'1 datos preparados'!E689</f>
        <v/>
      </c>
      <c r="G696" s="7">
        <f>'1 datos preparados'!F689</f>
        <v/>
      </c>
      <c r="H696" s="7">
        <f>'1 datos preparados'!G689</f>
        <v/>
      </c>
      <c r="I696" s="7">
        <f>'1 datos preparados'!H689</f>
        <v/>
      </c>
      <c r="J696" s="7">
        <f>'1 datos preparados'!I689</f>
        <v/>
      </c>
      <c r="K696" s="7">
        <f>'1 datos preparados'!J689</f>
        <v/>
      </c>
      <c r="L696" s="7">
        <f>'1 datos preparados'!K689</f>
        <v/>
      </c>
      <c r="M696" s="7">
        <f>'1 datos preparados'!L689</f>
        <v/>
      </c>
      <c r="N696" s="7">
        <f>'1 datos preparados'!M689</f>
        <v/>
      </c>
      <c r="O696" s="7">
        <f>'1 datos preparados'!N689</f>
        <v/>
      </c>
      <c r="P696" s="7">
        <f>'1 datos preparados'!O689</f>
        <v/>
      </c>
      <c r="Q696" s="7">
        <f>'1 datos preparados'!P689</f>
        <v/>
      </c>
      <c r="R696" s="7">
        <f>'1 datos preparados'!Q689</f>
        <v/>
      </c>
      <c r="S696" s="7">
        <f>'1 datos preparados'!R689</f>
        <v/>
      </c>
      <c r="T696" s="7">
        <f>'1 datos preparados'!S689</f>
        <v/>
      </c>
      <c r="U696" s="7">
        <f>'1 datos preparados'!T689</f>
        <v/>
      </c>
      <c r="V696" s="8">
        <f>$AE$12+D696*$AE$13+E696*$AE$14+F696*$AE$15+G696*$AE$16+H696*$AE$17+I696*$AE$18+J696*$AE$19+K696*$AE$20+L696*$AE$21+M696*$AE$22+N696*$AE$23+O696*$AE$24+P696*$AE$25+Q696*$AE$26+R696*$AE$27+S696*$AE$28+T696*$AE$29+U696*$AE$30</f>
        <v/>
      </c>
      <c r="W696" s="8">
        <f>1/(1+EXP(-V696))</f>
        <v/>
      </c>
      <c r="X696" s="9">
        <f>-IF(C696=1,LN(W696),LN(1-W696))</f>
        <v/>
      </c>
      <c r="Y696" s="8">
        <f>IF(C696=1,$AE$32,$AE$33)</f>
        <v/>
      </c>
      <c r="Z696" s="9">
        <f>Y696*X696</f>
        <v/>
      </c>
      <c r="AA696" s="10">
        <f>IF(W696&gt;$AE$34,1,0)</f>
        <v/>
      </c>
      <c r="AB696">
        <f>IF(AA696=C696,1,0)</f>
        <v/>
      </c>
    </row>
    <row r="697">
      <c r="A697">
        <f>'1 datos preparados'!A690</f>
        <v/>
      </c>
      <c r="B697" s="5">
        <f>'1 datos preparados'!U690</f>
        <v/>
      </c>
      <c r="C697">
        <f>'1 datos preparados'!B690</f>
        <v/>
      </c>
      <c r="D697" s="7">
        <f>'1 datos preparados'!C690</f>
        <v/>
      </c>
      <c r="E697" s="7">
        <f>'1 datos preparados'!D690</f>
        <v/>
      </c>
      <c r="F697" s="7">
        <f>'1 datos preparados'!E690</f>
        <v/>
      </c>
      <c r="G697" s="7">
        <f>'1 datos preparados'!F690</f>
        <v/>
      </c>
      <c r="H697" s="7">
        <f>'1 datos preparados'!G690</f>
        <v/>
      </c>
      <c r="I697" s="7">
        <f>'1 datos preparados'!H690</f>
        <v/>
      </c>
      <c r="J697" s="7">
        <f>'1 datos preparados'!I690</f>
        <v/>
      </c>
      <c r="K697" s="7">
        <f>'1 datos preparados'!J690</f>
        <v/>
      </c>
      <c r="L697" s="7">
        <f>'1 datos preparados'!K690</f>
        <v/>
      </c>
      <c r="M697" s="7">
        <f>'1 datos preparados'!L690</f>
        <v/>
      </c>
      <c r="N697" s="7">
        <f>'1 datos preparados'!M690</f>
        <v/>
      </c>
      <c r="O697" s="7">
        <f>'1 datos preparados'!N690</f>
        <v/>
      </c>
      <c r="P697" s="7">
        <f>'1 datos preparados'!O690</f>
        <v/>
      </c>
      <c r="Q697" s="7">
        <f>'1 datos preparados'!P690</f>
        <v/>
      </c>
      <c r="R697" s="7">
        <f>'1 datos preparados'!Q690</f>
        <v/>
      </c>
      <c r="S697" s="7">
        <f>'1 datos preparados'!R690</f>
        <v/>
      </c>
      <c r="T697" s="7">
        <f>'1 datos preparados'!S690</f>
        <v/>
      </c>
      <c r="U697" s="7">
        <f>'1 datos preparados'!T690</f>
        <v/>
      </c>
      <c r="V697" s="8">
        <f>$AE$12+D697*$AE$13+E697*$AE$14+F697*$AE$15+G697*$AE$16+H697*$AE$17+I697*$AE$18+J697*$AE$19+K697*$AE$20+L697*$AE$21+M697*$AE$22+N697*$AE$23+O697*$AE$24+P697*$AE$25+Q697*$AE$26+R697*$AE$27+S697*$AE$28+T697*$AE$29+U697*$AE$30</f>
        <v/>
      </c>
      <c r="W697" s="8">
        <f>1/(1+EXP(-V697))</f>
        <v/>
      </c>
      <c r="X697" s="9">
        <f>-IF(C697=1,LN(W697),LN(1-W697))</f>
        <v/>
      </c>
      <c r="Y697" s="8">
        <f>IF(C697=1,$AE$32,$AE$33)</f>
        <v/>
      </c>
      <c r="Z697" s="9">
        <f>Y697*X697</f>
        <v/>
      </c>
      <c r="AA697" s="10">
        <f>IF(W697&gt;$AE$34,1,0)</f>
        <v/>
      </c>
      <c r="AB697">
        <f>IF(AA697=C697,1,0)</f>
        <v/>
      </c>
    </row>
    <row r="698">
      <c r="A698">
        <f>'1 datos preparados'!A691</f>
        <v/>
      </c>
      <c r="B698" s="5">
        <f>'1 datos preparados'!U691</f>
        <v/>
      </c>
      <c r="C698">
        <f>'1 datos preparados'!B691</f>
        <v/>
      </c>
      <c r="D698" s="7">
        <f>'1 datos preparados'!C691</f>
        <v/>
      </c>
      <c r="E698" s="7">
        <f>'1 datos preparados'!D691</f>
        <v/>
      </c>
      <c r="F698" s="7">
        <f>'1 datos preparados'!E691</f>
        <v/>
      </c>
      <c r="G698" s="7">
        <f>'1 datos preparados'!F691</f>
        <v/>
      </c>
      <c r="H698" s="7">
        <f>'1 datos preparados'!G691</f>
        <v/>
      </c>
      <c r="I698" s="7">
        <f>'1 datos preparados'!H691</f>
        <v/>
      </c>
      <c r="J698" s="7">
        <f>'1 datos preparados'!I691</f>
        <v/>
      </c>
      <c r="K698" s="7">
        <f>'1 datos preparados'!J691</f>
        <v/>
      </c>
      <c r="L698" s="7">
        <f>'1 datos preparados'!K691</f>
        <v/>
      </c>
      <c r="M698" s="7">
        <f>'1 datos preparados'!L691</f>
        <v/>
      </c>
      <c r="N698" s="7">
        <f>'1 datos preparados'!M691</f>
        <v/>
      </c>
      <c r="O698" s="7">
        <f>'1 datos preparados'!N691</f>
        <v/>
      </c>
      <c r="P698" s="7">
        <f>'1 datos preparados'!O691</f>
        <v/>
      </c>
      <c r="Q698" s="7">
        <f>'1 datos preparados'!P691</f>
        <v/>
      </c>
      <c r="R698" s="7">
        <f>'1 datos preparados'!Q691</f>
        <v/>
      </c>
      <c r="S698" s="7">
        <f>'1 datos preparados'!R691</f>
        <v/>
      </c>
      <c r="T698" s="7">
        <f>'1 datos preparados'!S691</f>
        <v/>
      </c>
      <c r="U698" s="7">
        <f>'1 datos preparados'!T691</f>
        <v/>
      </c>
      <c r="V698" s="8">
        <f>$AE$12+D698*$AE$13+E698*$AE$14+F698*$AE$15+G698*$AE$16+H698*$AE$17+I698*$AE$18+J698*$AE$19+K698*$AE$20+L698*$AE$21+M698*$AE$22+N698*$AE$23+O698*$AE$24+P698*$AE$25+Q698*$AE$26+R698*$AE$27+S698*$AE$28+T698*$AE$29+U698*$AE$30</f>
        <v/>
      </c>
      <c r="W698" s="8">
        <f>1/(1+EXP(-V698))</f>
        <v/>
      </c>
      <c r="X698" s="9">
        <f>-IF(C698=1,LN(W698),LN(1-W698))</f>
        <v/>
      </c>
      <c r="Y698" s="8">
        <f>IF(C698=1,$AE$32,$AE$33)</f>
        <v/>
      </c>
      <c r="Z698" s="9">
        <f>Y698*X698</f>
        <v/>
      </c>
      <c r="AA698" s="10">
        <f>IF(W698&gt;$AE$34,1,0)</f>
        <v/>
      </c>
      <c r="AB698">
        <f>IF(AA698=C698,1,0)</f>
        <v/>
      </c>
    </row>
    <row r="699">
      <c r="A699">
        <f>'1 datos preparados'!A692</f>
        <v/>
      </c>
      <c r="B699" s="5">
        <f>'1 datos preparados'!U692</f>
        <v/>
      </c>
      <c r="C699">
        <f>'1 datos preparados'!B692</f>
        <v/>
      </c>
      <c r="D699" s="7">
        <f>'1 datos preparados'!C692</f>
        <v/>
      </c>
      <c r="E699" s="7">
        <f>'1 datos preparados'!D692</f>
        <v/>
      </c>
      <c r="F699" s="7">
        <f>'1 datos preparados'!E692</f>
        <v/>
      </c>
      <c r="G699" s="7">
        <f>'1 datos preparados'!F692</f>
        <v/>
      </c>
      <c r="H699" s="7">
        <f>'1 datos preparados'!G692</f>
        <v/>
      </c>
      <c r="I699" s="7">
        <f>'1 datos preparados'!H692</f>
        <v/>
      </c>
      <c r="J699" s="7">
        <f>'1 datos preparados'!I692</f>
        <v/>
      </c>
      <c r="K699" s="7">
        <f>'1 datos preparados'!J692</f>
        <v/>
      </c>
      <c r="L699" s="7">
        <f>'1 datos preparados'!K692</f>
        <v/>
      </c>
      <c r="M699" s="7">
        <f>'1 datos preparados'!L692</f>
        <v/>
      </c>
      <c r="N699" s="7">
        <f>'1 datos preparados'!M692</f>
        <v/>
      </c>
      <c r="O699" s="7">
        <f>'1 datos preparados'!N692</f>
        <v/>
      </c>
      <c r="P699" s="7">
        <f>'1 datos preparados'!O692</f>
        <v/>
      </c>
      <c r="Q699" s="7">
        <f>'1 datos preparados'!P692</f>
        <v/>
      </c>
      <c r="R699" s="7">
        <f>'1 datos preparados'!Q692</f>
        <v/>
      </c>
      <c r="S699" s="7">
        <f>'1 datos preparados'!R692</f>
        <v/>
      </c>
      <c r="T699" s="7">
        <f>'1 datos preparados'!S692</f>
        <v/>
      </c>
      <c r="U699" s="7">
        <f>'1 datos preparados'!T692</f>
        <v/>
      </c>
      <c r="V699" s="8">
        <f>$AE$12+D699*$AE$13+E699*$AE$14+F699*$AE$15+G699*$AE$16+H699*$AE$17+I699*$AE$18+J699*$AE$19+K699*$AE$20+L699*$AE$21+M699*$AE$22+N699*$AE$23+O699*$AE$24+P699*$AE$25+Q699*$AE$26+R699*$AE$27+S699*$AE$28+T699*$AE$29+U699*$AE$30</f>
        <v/>
      </c>
      <c r="W699" s="8">
        <f>1/(1+EXP(-V699))</f>
        <v/>
      </c>
      <c r="X699" s="9">
        <f>-IF(C699=1,LN(W699),LN(1-W699))</f>
        <v/>
      </c>
      <c r="Y699" s="8">
        <f>IF(C699=1,$AE$32,$AE$33)</f>
        <v/>
      </c>
      <c r="Z699" s="9">
        <f>Y699*X699</f>
        <v/>
      </c>
      <c r="AA699" s="10">
        <f>IF(W699&gt;$AE$34,1,0)</f>
        <v/>
      </c>
      <c r="AB699">
        <f>IF(AA699=C699,1,0)</f>
        <v/>
      </c>
    </row>
    <row r="700">
      <c r="A700">
        <f>'1 datos preparados'!A693</f>
        <v/>
      </c>
      <c r="B700" s="5">
        <f>'1 datos preparados'!U693</f>
        <v/>
      </c>
      <c r="C700">
        <f>'1 datos preparados'!B693</f>
        <v/>
      </c>
      <c r="D700" s="7">
        <f>'1 datos preparados'!C693</f>
        <v/>
      </c>
      <c r="E700" s="7">
        <f>'1 datos preparados'!D693</f>
        <v/>
      </c>
      <c r="F700" s="7">
        <f>'1 datos preparados'!E693</f>
        <v/>
      </c>
      <c r="G700" s="7">
        <f>'1 datos preparados'!F693</f>
        <v/>
      </c>
      <c r="H700" s="7">
        <f>'1 datos preparados'!G693</f>
        <v/>
      </c>
      <c r="I700" s="7">
        <f>'1 datos preparados'!H693</f>
        <v/>
      </c>
      <c r="J700" s="7">
        <f>'1 datos preparados'!I693</f>
        <v/>
      </c>
      <c r="K700" s="7">
        <f>'1 datos preparados'!J693</f>
        <v/>
      </c>
      <c r="L700" s="7">
        <f>'1 datos preparados'!K693</f>
        <v/>
      </c>
      <c r="M700" s="7">
        <f>'1 datos preparados'!L693</f>
        <v/>
      </c>
      <c r="N700" s="7">
        <f>'1 datos preparados'!M693</f>
        <v/>
      </c>
      <c r="O700" s="7">
        <f>'1 datos preparados'!N693</f>
        <v/>
      </c>
      <c r="P700" s="7">
        <f>'1 datos preparados'!O693</f>
        <v/>
      </c>
      <c r="Q700" s="7">
        <f>'1 datos preparados'!P693</f>
        <v/>
      </c>
      <c r="R700" s="7">
        <f>'1 datos preparados'!Q693</f>
        <v/>
      </c>
      <c r="S700" s="7">
        <f>'1 datos preparados'!R693</f>
        <v/>
      </c>
      <c r="T700" s="7">
        <f>'1 datos preparados'!S693</f>
        <v/>
      </c>
      <c r="U700" s="7">
        <f>'1 datos preparados'!T693</f>
        <v/>
      </c>
      <c r="V700" s="8">
        <f>$AE$12+D700*$AE$13+E700*$AE$14+F700*$AE$15+G700*$AE$16+H700*$AE$17+I700*$AE$18+J700*$AE$19+K700*$AE$20+L700*$AE$21+M700*$AE$22+N700*$AE$23+O700*$AE$24+P700*$AE$25+Q700*$AE$26+R700*$AE$27+S700*$AE$28+T700*$AE$29+U700*$AE$30</f>
        <v/>
      </c>
      <c r="W700" s="8">
        <f>1/(1+EXP(-V700))</f>
        <v/>
      </c>
      <c r="X700" s="9">
        <f>-IF(C700=1,LN(W700),LN(1-W700))</f>
        <v/>
      </c>
      <c r="Y700" s="8">
        <f>IF(C700=1,$AE$32,$AE$33)</f>
        <v/>
      </c>
      <c r="Z700" s="9">
        <f>Y700*X700</f>
        <v/>
      </c>
      <c r="AA700" s="10">
        <f>IF(W700&gt;$AE$34,1,0)</f>
        <v/>
      </c>
      <c r="AB700">
        <f>IF(AA700=C700,1,0)</f>
        <v/>
      </c>
    </row>
    <row r="701">
      <c r="A701">
        <f>'1 datos preparados'!A694</f>
        <v/>
      </c>
      <c r="B701" s="5">
        <f>'1 datos preparados'!U694</f>
        <v/>
      </c>
      <c r="C701">
        <f>'1 datos preparados'!B694</f>
        <v/>
      </c>
      <c r="D701" s="7">
        <f>'1 datos preparados'!C694</f>
        <v/>
      </c>
      <c r="E701" s="7">
        <f>'1 datos preparados'!D694</f>
        <v/>
      </c>
      <c r="F701" s="7">
        <f>'1 datos preparados'!E694</f>
        <v/>
      </c>
      <c r="G701" s="7">
        <f>'1 datos preparados'!F694</f>
        <v/>
      </c>
      <c r="H701" s="7">
        <f>'1 datos preparados'!G694</f>
        <v/>
      </c>
      <c r="I701" s="7">
        <f>'1 datos preparados'!H694</f>
        <v/>
      </c>
      <c r="J701" s="7">
        <f>'1 datos preparados'!I694</f>
        <v/>
      </c>
      <c r="K701" s="7">
        <f>'1 datos preparados'!J694</f>
        <v/>
      </c>
      <c r="L701" s="7">
        <f>'1 datos preparados'!K694</f>
        <v/>
      </c>
      <c r="M701" s="7">
        <f>'1 datos preparados'!L694</f>
        <v/>
      </c>
      <c r="N701" s="7">
        <f>'1 datos preparados'!M694</f>
        <v/>
      </c>
      <c r="O701" s="7">
        <f>'1 datos preparados'!N694</f>
        <v/>
      </c>
      <c r="P701" s="7">
        <f>'1 datos preparados'!O694</f>
        <v/>
      </c>
      <c r="Q701" s="7">
        <f>'1 datos preparados'!P694</f>
        <v/>
      </c>
      <c r="R701" s="7">
        <f>'1 datos preparados'!Q694</f>
        <v/>
      </c>
      <c r="S701" s="7">
        <f>'1 datos preparados'!R694</f>
        <v/>
      </c>
      <c r="T701" s="7">
        <f>'1 datos preparados'!S694</f>
        <v/>
      </c>
      <c r="U701" s="7">
        <f>'1 datos preparados'!T694</f>
        <v/>
      </c>
      <c r="V701" s="8">
        <f>$AE$12+D701*$AE$13+E701*$AE$14+F701*$AE$15+G701*$AE$16+H701*$AE$17+I701*$AE$18+J701*$AE$19+K701*$AE$20+L701*$AE$21+M701*$AE$22+N701*$AE$23+O701*$AE$24+P701*$AE$25+Q701*$AE$26+R701*$AE$27+S701*$AE$28+T701*$AE$29+U701*$AE$30</f>
        <v/>
      </c>
      <c r="W701" s="8">
        <f>1/(1+EXP(-V701))</f>
        <v/>
      </c>
      <c r="X701" s="9">
        <f>-IF(C701=1,LN(W701),LN(1-W701))</f>
        <v/>
      </c>
      <c r="Y701" s="8">
        <f>IF(C701=1,$AE$32,$AE$33)</f>
        <v/>
      </c>
      <c r="Z701" s="9">
        <f>Y701*X701</f>
        <v/>
      </c>
      <c r="AA701" s="10">
        <f>IF(W701&gt;$AE$34,1,0)</f>
        <v/>
      </c>
      <c r="AB701">
        <f>IF(AA701=C701,1,0)</f>
        <v/>
      </c>
    </row>
    <row r="702">
      <c r="A702">
        <f>'1 datos preparados'!A695</f>
        <v/>
      </c>
      <c r="B702" s="5">
        <f>'1 datos preparados'!U695</f>
        <v/>
      </c>
      <c r="C702">
        <f>'1 datos preparados'!B695</f>
        <v/>
      </c>
      <c r="D702" s="7">
        <f>'1 datos preparados'!C695</f>
        <v/>
      </c>
      <c r="E702" s="7">
        <f>'1 datos preparados'!D695</f>
        <v/>
      </c>
      <c r="F702" s="7">
        <f>'1 datos preparados'!E695</f>
        <v/>
      </c>
      <c r="G702" s="7">
        <f>'1 datos preparados'!F695</f>
        <v/>
      </c>
      <c r="H702" s="7">
        <f>'1 datos preparados'!G695</f>
        <v/>
      </c>
      <c r="I702" s="7">
        <f>'1 datos preparados'!H695</f>
        <v/>
      </c>
      <c r="J702" s="7">
        <f>'1 datos preparados'!I695</f>
        <v/>
      </c>
      <c r="K702" s="7">
        <f>'1 datos preparados'!J695</f>
        <v/>
      </c>
      <c r="L702" s="7">
        <f>'1 datos preparados'!K695</f>
        <v/>
      </c>
      <c r="M702" s="7">
        <f>'1 datos preparados'!L695</f>
        <v/>
      </c>
      <c r="N702" s="7">
        <f>'1 datos preparados'!M695</f>
        <v/>
      </c>
      <c r="O702" s="7">
        <f>'1 datos preparados'!N695</f>
        <v/>
      </c>
      <c r="P702" s="7">
        <f>'1 datos preparados'!O695</f>
        <v/>
      </c>
      <c r="Q702" s="7">
        <f>'1 datos preparados'!P695</f>
        <v/>
      </c>
      <c r="R702" s="7">
        <f>'1 datos preparados'!Q695</f>
        <v/>
      </c>
      <c r="S702" s="7">
        <f>'1 datos preparados'!R695</f>
        <v/>
      </c>
      <c r="T702" s="7">
        <f>'1 datos preparados'!S695</f>
        <v/>
      </c>
      <c r="U702" s="7">
        <f>'1 datos preparados'!T695</f>
        <v/>
      </c>
      <c r="V702" s="8">
        <f>$AE$12+D702*$AE$13+E702*$AE$14+F702*$AE$15+G702*$AE$16+H702*$AE$17+I702*$AE$18+J702*$AE$19+K702*$AE$20+L702*$AE$21+M702*$AE$22+N702*$AE$23+O702*$AE$24+P702*$AE$25+Q702*$AE$26+R702*$AE$27+S702*$AE$28+T702*$AE$29+U702*$AE$30</f>
        <v/>
      </c>
      <c r="W702" s="8">
        <f>1/(1+EXP(-V702))</f>
        <v/>
      </c>
      <c r="X702" s="9">
        <f>-IF(C702=1,LN(W702),LN(1-W702))</f>
        <v/>
      </c>
      <c r="Y702" s="8">
        <f>IF(C702=1,$AE$32,$AE$33)</f>
        <v/>
      </c>
      <c r="Z702" s="9">
        <f>Y702*X702</f>
        <v/>
      </c>
      <c r="AA702" s="10">
        <f>IF(W702&gt;$AE$34,1,0)</f>
        <v/>
      </c>
      <c r="AB702">
        <f>IF(AA702=C702,1,0)</f>
        <v/>
      </c>
    </row>
    <row r="703">
      <c r="A703">
        <f>'1 datos preparados'!A696</f>
        <v/>
      </c>
      <c r="B703" s="5">
        <f>'1 datos preparados'!U696</f>
        <v/>
      </c>
      <c r="C703">
        <f>'1 datos preparados'!B696</f>
        <v/>
      </c>
      <c r="D703" s="7">
        <f>'1 datos preparados'!C696</f>
        <v/>
      </c>
      <c r="E703" s="7">
        <f>'1 datos preparados'!D696</f>
        <v/>
      </c>
      <c r="F703" s="7">
        <f>'1 datos preparados'!E696</f>
        <v/>
      </c>
      <c r="G703" s="7">
        <f>'1 datos preparados'!F696</f>
        <v/>
      </c>
      <c r="H703" s="7">
        <f>'1 datos preparados'!G696</f>
        <v/>
      </c>
      <c r="I703" s="7">
        <f>'1 datos preparados'!H696</f>
        <v/>
      </c>
      <c r="J703" s="7">
        <f>'1 datos preparados'!I696</f>
        <v/>
      </c>
      <c r="K703" s="7">
        <f>'1 datos preparados'!J696</f>
        <v/>
      </c>
      <c r="L703" s="7">
        <f>'1 datos preparados'!K696</f>
        <v/>
      </c>
      <c r="M703" s="7">
        <f>'1 datos preparados'!L696</f>
        <v/>
      </c>
      <c r="N703" s="7">
        <f>'1 datos preparados'!M696</f>
        <v/>
      </c>
      <c r="O703" s="7">
        <f>'1 datos preparados'!N696</f>
        <v/>
      </c>
      <c r="P703" s="7">
        <f>'1 datos preparados'!O696</f>
        <v/>
      </c>
      <c r="Q703" s="7">
        <f>'1 datos preparados'!P696</f>
        <v/>
      </c>
      <c r="R703" s="7">
        <f>'1 datos preparados'!Q696</f>
        <v/>
      </c>
      <c r="S703" s="7">
        <f>'1 datos preparados'!R696</f>
        <v/>
      </c>
      <c r="T703" s="7">
        <f>'1 datos preparados'!S696</f>
        <v/>
      </c>
      <c r="U703" s="7">
        <f>'1 datos preparados'!T696</f>
        <v/>
      </c>
      <c r="V703" s="8">
        <f>$AE$12+D703*$AE$13+E703*$AE$14+F703*$AE$15+G703*$AE$16+H703*$AE$17+I703*$AE$18+J703*$AE$19+K703*$AE$20+L703*$AE$21+M703*$AE$22+N703*$AE$23+O703*$AE$24+P703*$AE$25+Q703*$AE$26+R703*$AE$27+S703*$AE$28+T703*$AE$29+U703*$AE$30</f>
        <v/>
      </c>
      <c r="W703" s="8">
        <f>1/(1+EXP(-V703))</f>
        <v/>
      </c>
      <c r="X703" s="9">
        <f>-IF(C703=1,LN(W703),LN(1-W703))</f>
        <v/>
      </c>
      <c r="Y703" s="8">
        <f>IF(C703=1,$AE$32,$AE$33)</f>
        <v/>
      </c>
      <c r="Z703" s="9">
        <f>Y703*X703</f>
        <v/>
      </c>
      <c r="AA703" s="10">
        <f>IF(W703&gt;$AE$34,1,0)</f>
        <v/>
      </c>
      <c r="AB703">
        <f>IF(AA703=C703,1,0)</f>
        <v/>
      </c>
    </row>
    <row r="704">
      <c r="A704">
        <f>'1 datos preparados'!A697</f>
        <v/>
      </c>
      <c r="B704" s="5">
        <f>'1 datos preparados'!U697</f>
        <v/>
      </c>
      <c r="C704">
        <f>'1 datos preparados'!B697</f>
        <v/>
      </c>
      <c r="D704" s="7">
        <f>'1 datos preparados'!C697</f>
        <v/>
      </c>
      <c r="E704" s="7">
        <f>'1 datos preparados'!D697</f>
        <v/>
      </c>
      <c r="F704" s="7">
        <f>'1 datos preparados'!E697</f>
        <v/>
      </c>
      <c r="G704" s="7">
        <f>'1 datos preparados'!F697</f>
        <v/>
      </c>
      <c r="H704" s="7">
        <f>'1 datos preparados'!G697</f>
        <v/>
      </c>
      <c r="I704" s="7">
        <f>'1 datos preparados'!H697</f>
        <v/>
      </c>
      <c r="J704" s="7">
        <f>'1 datos preparados'!I697</f>
        <v/>
      </c>
      <c r="K704" s="7">
        <f>'1 datos preparados'!J697</f>
        <v/>
      </c>
      <c r="L704" s="7">
        <f>'1 datos preparados'!K697</f>
        <v/>
      </c>
      <c r="M704" s="7">
        <f>'1 datos preparados'!L697</f>
        <v/>
      </c>
      <c r="N704" s="7">
        <f>'1 datos preparados'!M697</f>
        <v/>
      </c>
      <c r="O704" s="7">
        <f>'1 datos preparados'!N697</f>
        <v/>
      </c>
      <c r="P704" s="7">
        <f>'1 datos preparados'!O697</f>
        <v/>
      </c>
      <c r="Q704" s="7">
        <f>'1 datos preparados'!P697</f>
        <v/>
      </c>
      <c r="R704" s="7">
        <f>'1 datos preparados'!Q697</f>
        <v/>
      </c>
      <c r="S704" s="7">
        <f>'1 datos preparados'!R697</f>
        <v/>
      </c>
      <c r="T704" s="7">
        <f>'1 datos preparados'!S697</f>
        <v/>
      </c>
      <c r="U704" s="7">
        <f>'1 datos preparados'!T697</f>
        <v/>
      </c>
      <c r="V704" s="8">
        <f>$AE$12+D704*$AE$13+E704*$AE$14+F704*$AE$15+G704*$AE$16+H704*$AE$17+I704*$AE$18+J704*$AE$19+K704*$AE$20+L704*$AE$21+M704*$AE$22+N704*$AE$23+O704*$AE$24+P704*$AE$25+Q704*$AE$26+R704*$AE$27+S704*$AE$28+T704*$AE$29+U704*$AE$30</f>
        <v/>
      </c>
      <c r="W704" s="8">
        <f>1/(1+EXP(-V704))</f>
        <v/>
      </c>
      <c r="X704" s="9">
        <f>-IF(C704=1,LN(W704),LN(1-W704))</f>
        <v/>
      </c>
      <c r="Y704" s="8">
        <f>IF(C704=1,$AE$32,$AE$33)</f>
        <v/>
      </c>
      <c r="Z704" s="9">
        <f>Y704*X704</f>
        <v/>
      </c>
      <c r="AA704" s="10">
        <f>IF(W704&gt;$AE$34,1,0)</f>
        <v/>
      </c>
      <c r="AB704">
        <f>IF(AA704=C704,1,0)</f>
        <v/>
      </c>
    </row>
    <row r="705">
      <c r="A705">
        <f>'1 datos preparados'!A698</f>
        <v/>
      </c>
      <c r="B705" s="5">
        <f>'1 datos preparados'!U698</f>
        <v/>
      </c>
      <c r="C705">
        <f>'1 datos preparados'!B698</f>
        <v/>
      </c>
      <c r="D705" s="7">
        <f>'1 datos preparados'!C698</f>
        <v/>
      </c>
      <c r="E705" s="7">
        <f>'1 datos preparados'!D698</f>
        <v/>
      </c>
      <c r="F705" s="7">
        <f>'1 datos preparados'!E698</f>
        <v/>
      </c>
      <c r="G705" s="7">
        <f>'1 datos preparados'!F698</f>
        <v/>
      </c>
      <c r="H705" s="7">
        <f>'1 datos preparados'!G698</f>
        <v/>
      </c>
      <c r="I705" s="7">
        <f>'1 datos preparados'!H698</f>
        <v/>
      </c>
      <c r="J705" s="7">
        <f>'1 datos preparados'!I698</f>
        <v/>
      </c>
      <c r="K705" s="7">
        <f>'1 datos preparados'!J698</f>
        <v/>
      </c>
      <c r="L705" s="7">
        <f>'1 datos preparados'!K698</f>
        <v/>
      </c>
      <c r="M705" s="7">
        <f>'1 datos preparados'!L698</f>
        <v/>
      </c>
      <c r="N705" s="7">
        <f>'1 datos preparados'!M698</f>
        <v/>
      </c>
      <c r="O705" s="7">
        <f>'1 datos preparados'!N698</f>
        <v/>
      </c>
      <c r="P705" s="7">
        <f>'1 datos preparados'!O698</f>
        <v/>
      </c>
      <c r="Q705" s="7">
        <f>'1 datos preparados'!P698</f>
        <v/>
      </c>
      <c r="R705" s="7">
        <f>'1 datos preparados'!Q698</f>
        <v/>
      </c>
      <c r="S705" s="7">
        <f>'1 datos preparados'!R698</f>
        <v/>
      </c>
      <c r="T705" s="7">
        <f>'1 datos preparados'!S698</f>
        <v/>
      </c>
      <c r="U705" s="7">
        <f>'1 datos preparados'!T698</f>
        <v/>
      </c>
      <c r="V705" s="8">
        <f>$AE$12+D705*$AE$13+E705*$AE$14+F705*$AE$15+G705*$AE$16+H705*$AE$17+I705*$AE$18+J705*$AE$19+K705*$AE$20+L705*$AE$21+M705*$AE$22+N705*$AE$23+O705*$AE$24+P705*$AE$25+Q705*$AE$26+R705*$AE$27+S705*$AE$28+T705*$AE$29+U705*$AE$30</f>
        <v/>
      </c>
      <c r="W705" s="8">
        <f>1/(1+EXP(-V705))</f>
        <v/>
      </c>
      <c r="X705" s="9">
        <f>-IF(C705=1,LN(W705),LN(1-W705))</f>
        <v/>
      </c>
      <c r="Y705" s="8">
        <f>IF(C705=1,$AE$32,$AE$33)</f>
        <v/>
      </c>
      <c r="Z705" s="9">
        <f>Y705*X705</f>
        <v/>
      </c>
      <c r="AA705" s="10">
        <f>IF(W705&gt;$AE$34,1,0)</f>
        <v/>
      </c>
      <c r="AB705">
        <f>IF(AA705=C705,1,0)</f>
        <v/>
      </c>
    </row>
    <row r="706">
      <c r="A706">
        <f>'1 datos preparados'!A699</f>
        <v/>
      </c>
      <c r="B706" s="5">
        <f>'1 datos preparados'!U699</f>
        <v/>
      </c>
      <c r="C706">
        <f>'1 datos preparados'!B699</f>
        <v/>
      </c>
      <c r="D706" s="7">
        <f>'1 datos preparados'!C699</f>
        <v/>
      </c>
      <c r="E706" s="7">
        <f>'1 datos preparados'!D699</f>
        <v/>
      </c>
      <c r="F706" s="7">
        <f>'1 datos preparados'!E699</f>
        <v/>
      </c>
      <c r="G706" s="7">
        <f>'1 datos preparados'!F699</f>
        <v/>
      </c>
      <c r="H706" s="7">
        <f>'1 datos preparados'!G699</f>
        <v/>
      </c>
      <c r="I706" s="7">
        <f>'1 datos preparados'!H699</f>
        <v/>
      </c>
      <c r="J706" s="7">
        <f>'1 datos preparados'!I699</f>
        <v/>
      </c>
      <c r="K706" s="7">
        <f>'1 datos preparados'!J699</f>
        <v/>
      </c>
      <c r="L706" s="7">
        <f>'1 datos preparados'!K699</f>
        <v/>
      </c>
      <c r="M706" s="7">
        <f>'1 datos preparados'!L699</f>
        <v/>
      </c>
      <c r="N706" s="7">
        <f>'1 datos preparados'!M699</f>
        <v/>
      </c>
      <c r="O706" s="7">
        <f>'1 datos preparados'!N699</f>
        <v/>
      </c>
      <c r="P706" s="7">
        <f>'1 datos preparados'!O699</f>
        <v/>
      </c>
      <c r="Q706" s="7">
        <f>'1 datos preparados'!P699</f>
        <v/>
      </c>
      <c r="R706" s="7">
        <f>'1 datos preparados'!Q699</f>
        <v/>
      </c>
      <c r="S706" s="7">
        <f>'1 datos preparados'!R699</f>
        <v/>
      </c>
      <c r="T706" s="7">
        <f>'1 datos preparados'!S699</f>
        <v/>
      </c>
      <c r="U706" s="7">
        <f>'1 datos preparados'!T699</f>
        <v/>
      </c>
      <c r="V706" s="8">
        <f>$AE$12+D706*$AE$13+E706*$AE$14+F706*$AE$15+G706*$AE$16+H706*$AE$17+I706*$AE$18+J706*$AE$19+K706*$AE$20+L706*$AE$21+M706*$AE$22+N706*$AE$23+O706*$AE$24+P706*$AE$25+Q706*$AE$26+R706*$AE$27+S706*$AE$28+T706*$AE$29+U706*$AE$30</f>
        <v/>
      </c>
      <c r="W706" s="8">
        <f>1/(1+EXP(-V706))</f>
        <v/>
      </c>
      <c r="X706" s="9">
        <f>-IF(C706=1,LN(W706),LN(1-W706))</f>
        <v/>
      </c>
      <c r="Y706" s="8">
        <f>IF(C706=1,$AE$32,$AE$33)</f>
        <v/>
      </c>
      <c r="Z706" s="9">
        <f>Y706*X706</f>
        <v/>
      </c>
      <c r="AA706" s="10">
        <f>IF(W706&gt;$AE$34,1,0)</f>
        <v/>
      </c>
      <c r="AB706">
        <f>IF(AA706=C706,1,0)</f>
        <v/>
      </c>
    </row>
    <row r="707">
      <c r="A707">
        <f>'1 datos preparados'!A700</f>
        <v/>
      </c>
      <c r="B707" s="5">
        <f>'1 datos preparados'!U700</f>
        <v/>
      </c>
      <c r="C707">
        <f>'1 datos preparados'!B700</f>
        <v/>
      </c>
      <c r="D707" s="7">
        <f>'1 datos preparados'!C700</f>
        <v/>
      </c>
      <c r="E707" s="7">
        <f>'1 datos preparados'!D700</f>
        <v/>
      </c>
      <c r="F707" s="7">
        <f>'1 datos preparados'!E700</f>
        <v/>
      </c>
      <c r="G707" s="7">
        <f>'1 datos preparados'!F700</f>
        <v/>
      </c>
      <c r="H707" s="7">
        <f>'1 datos preparados'!G700</f>
        <v/>
      </c>
      <c r="I707" s="7">
        <f>'1 datos preparados'!H700</f>
        <v/>
      </c>
      <c r="J707" s="7">
        <f>'1 datos preparados'!I700</f>
        <v/>
      </c>
      <c r="K707" s="7">
        <f>'1 datos preparados'!J700</f>
        <v/>
      </c>
      <c r="L707" s="7">
        <f>'1 datos preparados'!K700</f>
        <v/>
      </c>
      <c r="M707" s="7">
        <f>'1 datos preparados'!L700</f>
        <v/>
      </c>
      <c r="N707" s="7">
        <f>'1 datos preparados'!M700</f>
        <v/>
      </c>
      <c r="O707" s="7">
        <f>'1 datos preparados'!N700</f>
        <v/>
      </c>
      <c r="P707" s="7">
        <f>'1 datos preparados'!O700</f>
        <v/>
      </c>
      <c r="Q707" s="7">
        <f>'1 datos preparados'!P700</f>
        <v/>
      </c>
      <c r="R707" s="7">
        <f>'1 datos preparados'!Q700</f>
        <v/>
      </c>
      <c r="S707" s="7">
        <f>'1 datos preparados'!R700</f>
        <v/>
      </c>
      <c r="T707" s="7">
        <f>'1 datos preparados'!S700</f>
        <v/>
      </c>
      <c r="U707" s="7">
        <f>'1 datos preparados'!T700</f>
        <v/>
      </c>
      <c r="V707" s="8">
        <f>$AE$12+D707*$AE$13+E707*$AE$14+F707*$AE$15+G707*$AE$16+H707*$AE$17+I707*$AE$18+J707*$AE$19+K707*$AE$20+L707*$AE$21+M707*$AE$22+N707*$AE$23+O707*$AE$24+P707*$AE$25+Q707*$AE$26+R707*$AE$27+S707*$AE$28+T707*$AE$29+U707*$AE$30</f>
        <v/>
      </c>
      <c r="W707" s="8">
        <f>1/(1+EXP(-V707))</f>
        <v/>
      </c>
      <c r="X707" s="9">
        <f>-IF(C707=1,LN(W707),LN(1-W707))</f>
        <v/>
      </c>
      <c r="Y707" s="8">
        <f>IF(C707=1,$AE$32,$AE$33)</f>
        <v/>
      </c>
      <c r="Z707" s="9">
        <f>Y707*X707</f>
        <v/>
      </c>
      <c r="AA707" s="10">
        <f>IF(W707&gt;$AE$34,1,0)</f>
        <v/>
      </c>
      <c r="AB707">
        <f>IF(AA707=C707,1,0)</f>
        <v/>
      </c>
    </row>
    <row r="708">
      <c r="A708">
        <f>'1 datos preparados'!A701</f>
        <v/>
      </c>
      <c r="B708" s="5">
        <f>'1 datos preparados'!U701</f>
        <v/>
      </c>
      <c r="C708">
        <f>'1 datos preparados'!B701</f>
        <v/>
      </c>
      <c r="D708" s="7">
        <f>'1 datos preparados'!C701</f>
        <v/>
      </c>
      <c r="E708" s="7">
        <f>'1 datos preparados'!D701</f>
        <v/>
      </c>
      <c r="F708" s="7">
        <f>'1 datos preparados'!E701</f>
        <v/>
      </c>
      <c r="G708" s="7">
        <f>'1 datos preparados'!F701</f>
        <v/>
      </c>
      <c r="H708" s="7">
        <f>'1 datos preparados'!G701</f>
        <v/>
      </c>
      <c r="I708" s="7">
        <f>'1 datos preparados'!H701</f>
        <v/>
      </c>
      <c r="J708" s="7">
        <f>'1 datos preparados'!I701</f>
        <v/>
      </c>
      <c r="K708" s="7">
        <f>'1 datos preparados'!J701</f>
        <v/>
      </c>
      <c r="L708" s="7">
        <f>'1 datos preparados'!K701</f>
        <v/>
      </c>
      <c r="M708" s="7">
        <f>'1 datos preparados'!L701</f>
        <v/>
      </c>
      <c r="N708" s="7">
        <f>'1 datos preparados'!M701</f>
        <v/>
      </c>
      <c r="O708" s="7">
        <f>'1 datos preparados'!N701</f>
        <v/>
      </c>
      <c r="P708" s="7">
        <f>'1 datos preparados'!O701</f>
        <v/>
      </c>
      <c r="Q708" s="7">
        <f>'1 datos preparados'!P701</f>
        <v/>
      </c>
      <c r="R708" s="7">
        <f>'1 datos preparados'!Q701</f>
        <v/>
      </c>
      <c r="S708" s="7">
        <f>'1 datos preparados'!R701</f>
        <v/>
      </c>
      <c r="T708" s="7">
        <f>'1 datos preparados'!S701</f>
        <v/>
      </c>
      <c r="U708" s="7">
        <f>'1 datos preparados'!T701</f>
        <v/>
      </c>
      <c r="V708" s="8">
        <f>$AE$12+D708*$AE$13+E708*$AE$14+F708*$AE$15+G708*$AE$16+H708*$AE$17+I708*$AE$18+J708*$AE$19+K708*$AE$20+L708*$AE$21+M708*$AE$22+N708*$AE$23+O708*$AE$24+P708*$AE$25+Q708*$AE$26+R708*$AE$27+S708*$AE$28+T708*$AE$29+U708*$AE$30</f>
        <v/>
      </c>
      <c r="W708" s="8">
        <f>1/(1+EXP(-V708))</f>
        <v/>
      </c>
      <c r="X708" s="9">
        <f>-IF(C708=1,LN(W708),LN(1-W708))</f>
        <v/>
      </c>
      <c r="Y708" s="8">
        <f>IF(C708=1,$AE$32,$AE$33)</f>
        <v/>
      </c>
      <c r="Z708" s="9">
        <f>Y708*X708</f>
        <v/>
      </c>
      <c r="AA708" s="10">
        <f>IF(W708&gt;$AE$34,1,0)</f>
        <v/>
      </c>
      <c r="AB708">
        <f>IF(AA708=C708,1,0)</f>
        <v/>
      </c>
    </row>
    <row r="709">
      <c r="A709">
        <f>'1 datos preparados'!A702</f>
        <v/>
      </c>
      <c r="B709" s="5">
        <f>'1 datos preparados'!U702</f>
        <v/>
      </c>
      <c r="C709">
        <f>'1 datos preparados'!B702</f>
        <v/>
      </c>
      <c r="D709" s="7">
        <f>'1 datos preparados'!C702</f>
        <v/>
      </c>
      <c r="E709" s="7">
        <f>'1 datos preparados'!D702</f>
        <v/>
      </c>
      <c r="F709" s="7">
        <f>'1 datos preparados'!E702</f>
        <v/>
      </c>
      <c r="G709" s="7">
        <f>'1 datos preparados'!F702</f>
        <v/>
      </c>
      <c r="H709" s="7">
        <f>'1 datos preparados'!G702</f>
        <v/>
      </c>
      <c r="I709" s="7">
        <f>'1 datos preparados'!H702</f>
        <v/>
      </c>
      <c r="J709" s="7">
        <f>'1 datos preparados'!I702</f>
        <v/>
      </c>
      <c r="K709" s="7">
        <f>'1 datos preparados'!J702</f>
        <v/>
      </c>
      <c r="L709" s="7">
        <f>'1 datos preparados'!K702</f>
        <v/>
      </c>
      <c r="M709" s="7">
        <f>'1 datos preparados'!L702</f>
        <v/>
      </c>
      <c r="N709" s="7">
        <f>'1 datos preparados'!M702</f>
        <v/>
      </c>
      <c r="O709" s="7">
        <f>'1 datos preparados'!N702</f>
        <v/>
      </c>
      <c r="P709" s="7">
        <f>'1 datos preparados'!O702</f>
        <v/>
      </c>
      <c r="Q709" s="7">
        <f>'1 datos preparados'!P702</f>
        <v/>
      </c>
      <c r="R709" s="7">
        <f>'1 datos preparados'!Q702</f>
        <v/>
      </c>
      <c r="S709" s="7">
        <f>'1 datos preparados'!R702</f>
        <v/>
      </c>
      <c r="T709" s="7">
        <f>'1 datos preparados'!S702</f>
        <v/>
      </c>
      <c r="U709" s="7">
        <f>'1 datos preparados'!T702</f>
        <v/>
      </c>
      <c r="V709" s="8">
        <f>$AE$12+D709*$AE$13+E709*$AE$14+F709*$AE$15+G709*$AE$16+H709*$AE$17+I709*$AE$18+J709*$AE$19+K709*$AE$20+L709*$AE$21+M709*$AE$22+N709*$AE$23+O709*$AE$24+P709*$AE$25+Q709*$AE$26+R709*$AE$27+S709*$AE$28+T709*$AE$29+U709*$AE$30</f>
        <v/>
      </c>
      <c r="W709" s="8">
        <f>1/(1+EXP(-V709))</f>
        <v/>
      </c>
      <c r="X709" s="9">
        <f>-IF(C709=1,LN(W709),LN(1-W709))</f>
        <v/>
      </c>
      <c r="Y709" s="8">
        <f>IF(C709=1,$AE$32,$AE$33)</f>
        <v/>
      </c>
      <c r="Z709" s="9">
        <f>Y709*X709</f>
        <v/>
      </c>
      <c r="AA709" s="10">
        <f>IF(W709&gt;$AE$34,1,0)</f>
        <v/>
      </c>
      <c r="AB709">
        <f>IF(AA709=C709,1,0)</f>
        <v/>
      </c>
    </row>
    <row r="710">
      <c r="A710">
        <f>'1 datos preparados'!A703</f>
        <v/>
      </c>
      <c r="B710" s="5">
        <f>'1 datos preparados'!U703</f>
        <v/>
      </c>
      <c r="C710">
        <f>'1 datos preparados'!B703</f>
        <v/>
      </c>
      <c r="D710" s="7">
        <f>'1 datos preparados'!C703</f>
        <v/>
      </c>
      <c r="E710" s="7">
        <f>'1 datos preparados'!D703</f>
        <v/>
      </c>
      <c r="F710" s="7">
        <f>'1 datos preparados'!E703</f>
        <v/>
      </c>
      <c r="G710" s="7">
        <f>'1 datos preparados'!F703</f>
        <v/>
      </c>
      <c r="H710" s="7">
        <f>'1 datos preparados'!G703</f>
        <v/>
      </c>
      <c r="I710" s="7">
        <f>'1 datos preparados'!H703</f>
        <v/>
      </c>
      <c r="J710" s="7">
        <f>'1 datos preparados'!I703</f>
        <v/>
      </c>
      <c r="K710" s="7">
        <f>'1 datos preparados'!J703</f>
        <v/>
      </c>
      <c r="L710" s="7">
        <f>'1 datos preparados'!K703</f>
        <v/>
      </c>
      <c r="M710" s="7">
        <f>'1 datos preparados'!L703</f>
        <v/>
      </c>
      <c r="N710" s="7">
        <f>'1 datos preparados'!M703</f>
        <v/>
      </c>
      <c r="O710" s="7">
        <f>'1 datos preparados'!N703</f>
        <v/>
      </c>
      <c r="P710" s="7">
        <f>'1 datos preparados'!O703</f>
        <v/>
      </c>
      <c r="Q710" s="7">
        <f>'1 datos preparados'!P703</f>
        <v/>
      </c>
      <c r="R710" s="7">
        <f>'1 datos preparados'!Q703</f>
        <v/>
      </c>
      <c r="S710" s="7">
        <f>'1 datos preparados'!R703</f>
        <v/>
      </c>
      <c r="T710" s="7">
        <f>'1 datos preparados'!S703</f>
        <v/>
      </c>
      <c r="U710" s="7">
        <f>'1 datos preparados'!T703</f>
        <v/>
      </c>
      <c r="V710" s="8">
        <f>$AE$12+D710*$AE$13+E710*$AE$14+F710*$AE$15+G710*$AE$16+H710*$AE$17+I710*$AE$18+J710*$AE$19+K710*$AE$20+L710*$AE$21+M710*$AE$22+N710*$AE$23+O710*$AE$24+P710*$AE$25+Q710*$AE$26+R710*$AE$27+S710*$AE$28+T710*$AE$29+U710*$AE$30</f>
        <v/>
      </c>
      <c r="W710" s="8">
        <f>1/(1+EXP(-V710))</f>
        <v/>
      </c>
      <c r="X710" s="9">
        <f>-IF(C710=1,LN(W710),LN(1-W710))</f>
        <v/>
      </c>
      <c r="Y710" s="8">
        <f>IF(C710=1,$AE$32,$AE$33)</f>
        <v/>
      </c>
      <c r="Z710" s="9">
        <f>Y710*X710</f>
        <v/>
      </c>
      <c r="AA710" s="10">
        <f>IF(W710&gt;$AE$34,1,0)</f>
        <v/>
      </c>
      <c r="AB710">
        <f>IF(AA710=C710,1,0)</f>
        <v/>
      </c>
    </row>
    <row r="711">
      <c r="A711">
        <f>'1 datos preparados'!A704</f>
        <v/>
      </c>
      <c r="B711" s="5">
        <f>'1 datos preparados'!U704</f>
        <v/>
      </c>
      <c r="C711">
        <f>'1 datos preparados'!B704</f>
        <v/>
      </c>
      <c r="D711" s="7">
        <f>'1 datos preparados'!C704</f>
        <v/>
      </c>
      <c r="E711" s="7">
        <f>'1 datos preparados'!D704</f>
        <v/>
      </c>
      <c r="F711" s="7">
        <f>'1 datos preparados'!E704</f>
        <v/>
      </c>
      <c r="G711" s="7">
        <f>'1 datos preparados'!F704</f>
        <v/>
      </c>
      <c r="H711" s="7">
        <f>'1 datos preparados'!G704</f>
        <v/>
      </c>
      <c r="I711" s="7">
        <f>'1 datos preparados'!H704</f>
        <v/>
      </c>
      <c r="J711" s="7">
        <f>'1 datos preparados'!I704</f>
        <v/>
      </c>
      <c r="K711" s="7">
        <f>'1 datos preparados'!J704</f>
        <v/>
      </c>
      <c r="L711" s="7">
        <f>'1 datos preparados'!K704</f>
        <v/>
      </c>
      <c r="M711" s="7">
        <f>'1 datos preparados'!L704</f>
        <v/>
      </c>
      <c r="N711" s="7">
        <f>'1 datos preparados'!M704</f>
        <v/>
      </c>
      <c r="O711" s="7">
        <f>'1 datos preparados'!N704</f>
        <v/>
      </c>
      <c r="P711" s="7">
        <f>'1 datos preparados'!O704</f>
        <v/>
      </c>
      <c r="Q711" s="7">
        <f>'1 datos preparados'!P704</f>
        <v/>
      </c>
      <c r="R711" s="7">
        <f>'1 datos preparados'!Q704</f>
        <v/>
      </c>
      <c r="S711" s="7">
        <f>'1 datos preparados'!R704</f>
        <v/>
      </c>
      <c r="T711" s="7">
        <f>'1 datos preparados'!S704</f>
        <v/>
      </c>
      <c r="U711" s="7">
        <f>'1 datos preparados'!T704</f>
        <v/>
      </c>
      <c r="V711" s="8">
        <f>$AE$12+D711*$AE$13+E711*$AE$14+F711*$AE$15+G711*$AE$16+H711*$AE$17+I711*$AE$18+J711*$AE$19+K711*$AE$20+L711*$AE$21+M711*$AE$22+N711*$AE$23+O711*$AE$24+P711*$AE$25+Q711*$AE$26+R711*$AE$27+S711*$AE$28+T711*$AE$29+U711*$AE$30</f>
        <v/>
      </c>
      <c r="W711" s="8">
        <f>1/(1+EXP(-V711))</f>
        <v/>
      </c>
      <c r="X711" s="9">
        <f>-IF(C711=1,LN(W711),LN(1-W711))</f>
        <v/>
      </c>
      <c r="Y711" s="8">
        <f>IF(C711=1,$AE$32,$AE$33)</f>
        <v/>
      </c>
      <c r="Z711" s="9">
        <f>Y711*X711</f>
        <v/>
      </c>
      <c r="AA711" s="10">
        <f>IF(W711&gt;$AE$34,1,0)</f>
        <v/>
      </c>
      <c r="AB711">
        <f>IF(AA711=C711,1,0)</f>
        <v/>
      </c>
    </row>
    <row r="712">
      <c r="A712">
        <f>'1 datos preparados'!A705</f>
        <v/>
      </c>
      <c r="B712" s="5">
        <f>'1 datos preparados'!U705</f>
        <v/>
      </c>
      <c r="C712">
        <f>'1 datos preparados'!B705</f>
        <v/>
      </c>
      <c r="D712" s="7">
        <f>'1 datos preparados'!C705</f>
        <v/>
      </c>
      <c r="E712" s="7">
        <f>'1 datos preparados'!D705</f>
        <v/>
      </c>
      <c r="F712" s="7">
        <f>'1 datos preparados'!E705</f>
        <v/>
      </c>
      <c r="G712" s="7">
        <f>'1 datos preparados'!F705</f>
        <v/>
      </c>
      <c r="H712" s="7">
        <f>'1 datos preparados'!G705</f>
        <v/>
      </c>
      <c r="I712" s="7">
        <f>'1 datos preparados'!H705</f>
        <v/>
      </c>
      <c r="J712" s="7">
        <f>'1 datos preparados'!I705</f>
        <v/>
      </c>
      <c r="K712" s="7">
        <f>'1 datos preparados'!J705</f>
        <v/>
      </c>
      <c r="L712" s="7">
        <f>'1 datos preparados'!K705</f>
        <v/>
      </c>
      <c r="M712" s="7">
        <f>'1 datos preparados'!L705</f>
        <v/>
      </c>
      <c r="N712" s="7">
        <f>'1 datos preparados'!M705</f>
        <v/>
      </c>
      <c r="O712" s="7">
        <f>'1 datos preparados'!N705</f>
        <v/>
      </c>
      <c r="P712" s="7">
        <f>'1 datos preparados'!O705</f>
        <v/>
      </c>
      <c r="Q712" s="7">
        <f>'1 datos preparados'!P705</f>
        <v/>
      </c>
      <c r="R712" s="7">
        <f>'1 datos preparados'!Q705</f>
        <v/>
      </c>
      <c r="S712" s="7">
        <f>'1 datos preparados'!R705</f>
        <v/>
      </c>
      <c r="T712" s="7">
        <f>'1 datos preparados'!S705</f>
        <v/>
      </c>
      <c r="U712" s="7">
        <f>'1 datos preparados'!T705</f>
        <v/>
      </c>
      <c r="V712" s="8">
        <f>$AE$12+D712*$AE$13+E712*$AE$14+F712*$AE$15+G712*$AE$16+H712*$AE$17+I712*$AE$18+J712*$AE$19+K712*$AE$20+L712*$AE$21+M712*$AE$22+N712*$AE$23+O712*$AE$24+P712*$AE$25+Q712*$AE$26+R712*$AE$27+S712*$AE$28+T712*$AE$29+U712*$AE$30</f>
        <v/>
      </c>
      <c r="W712" s="8">
        <f>1/(1+EXP(-V712))</f>
        <v/>
      </c>
      <c r="X712" s="9">
        <f>-IF(C712=1,LN(W712),LN(1-W712))</f>
        <v/>
      </c>
      <c r="Y712" s="8">
        <f>IF(C712=1,$AE$32,$AE$33)</f>
        <v/>
      </c>
      <c r="Z712" s="9">
        <f>Y712*X712</f>
        <v/>
      </c>
      <c r="AA712" s="10">
        <f>IF(W712&gt;$AE$34,1,0)</f>
        <v/>
      </c>
      <c r="AB712">
        <f>IF(AA712=C712,1,0)</f>
        <v/>
      </c>
    </row>
    <row r="713">
      <c r="A713">
        <f>'1 datos preparados'!A706</f>
        <v/>
      </c>
      <c r="B713" s="5">
        <f>'1 datos preparados'!U706</f>
        <v/>
      </c>
      <c r="C713">
        <f>'1 datos preparados'!B706</f>
        <v/>
      </c>
      <c r="D713" s="7">
        <f>'1 datos preparados'!C706</f>
        <v/>
      </c>
      <c r="E713" s="7">
        <f>'1 datos preparados'!D706</f>
        <v/>
      </c>
      <c r="F713" s="7">
        <f>'1 datos preparados'!E706</f>
        <v/>
      </c>
      <c r="G713" s="7">
        <f>'1 datos preparados'!F706</f>
        <v/>
      </c>
      <c r="H713" s="7">
        <f>'1 datos preparados'!G706</f>
        <v/>
      </c>
      <c r="I713" s="7">
        <f>'1 datos preparados'!H706</f>
        <v/>
      </c>
      <c r="J713" s="7">
        <f>'1 datos preparados'!I706</f>
        <v/>
      </c>
      <c r="K713" s="7">
        <f>'1 datos preparados'!J706</f>
        <v/>
      </c>
      <c r="L713" s="7">
        <f>'1 datos preparados'!K706</f>
        <v/>
      </c>
      <c r="M713" s="7">
        <f>'1 datos preparados'!L706</f>
        <v/>
      </c>
      <c r="N713" s="7">
        <f>'1 datos preparados'!M706</f>
        <v/>
      </c>
      <c r="O713" s="7">
        <f>'1 datos preparados'!N706</f>
        <v/>
      </c>
      <c r="P713" s="7">
        <f>'1 datos preparados'!O706</f>
        <v/>
      </c>
      <c r="Q713" s="7">
        <f>'1 datos preparados'!P706</f>
        <v/>
      </c>
      <c r="R713" s="7">
        <f>'1 datos preparados'!Q706</f>
        <v/>
      </c>
      <c r="S713" s="7">
        <f>'1 datos preparados'!R706</f>
        <v/>
      </c>
      <c r="T713" s="7">
        <f>'1 datos preparados'!S706</f>
        <v/>
      </c>
      <c r="U713" s="7">
        <f>'1 datos preparados'!T706</f>
        <v/>
      </c>
      <c r="V713" s="8">
        <f>$AE$12+D713*$AE$13+E713*$AE$14+F713*$AE$15+G713*$AE$16+H713*$AE$17+I713*$AE$18+J713*$AE$19+K713*$AE$20+L713*$AE$21+M713*$AE$22+N713*$AE$23+O713*$AE$24+P713*$AE$25+Q713*$AE$26+R713*$AE$27+S713*$AE$28+T713*$AE$29+U713*$AE$30</f>
        <v/>
      </c>
      <c r="W713" s="8">
        <f>1/(1+EXP(-V713))</f>
        <v/>
      </c>
      <c r="X713" s="9">
        <f>-IF(C713=1,LN(W713),LN(1-W713))</f>
        <v/>
      </c>
      <c r="Y713" s="8">
        <f>IF(C713=1,$AE$32,$AE$33)</f>
        <v/>
      </c>
      <c r="Z713" s="9">
        <f>Y713*X713</f>
        <v/>
      </c>
      <c r="AA713" s="10">
        <f>IF(W713&gt;$AE$34,1,0)</f>
        <v/>
      </c>
      <c r="AB713">
        <f>IF(AA713=C713,1,0)</f>
        <v/>
      </c>
    </row>
    <row r="714">
      <c r="A714">
        <f>'1 datos preparados'!A707</f>
        <v/>
      </c>
      <c r="B714" s="5">
        <f>'1 datos preparados'!U707</f>
        <v/>
      </c>
      <c r="C714">
        <f>'1 datos preparados'!B707</f>
        <v/>
      </c>
      <c r="D714" s="7">
        <f>'1 datos preparados'!C707</f>
        <v/>
      </c>
      <c r="E714" s="7">
        <f>'1 datos preparados'!D707</f>
        <v/>
      </c>
      <c r="F714" s="7">
        <f>'1 datos preparados'!E707</f>
        <v/>
      </c>
      <c r="G714" s="7">
        <f>'1 datos preparados'!F707</f>
        <v/>
      </c>
      <c r="H714" s="7">
        <f>'1 datos preparados'!G707</f>
        <v/>
      </c>
      <c r="I714" s="7">
        <f>'1 datos preparados'!H707</f>
        <v/>
      </c>
      <c r="J714" s="7">
        <f>'1 datos preparados'!I707</f>
        <v/>
      </c>
      <c r="K714" s="7">
        <f>'1 datos preparados'!J707</f>
        <v/>
      </c>
      <c r="L714" s="7">
        <f>'1 datos preparados'!K707</f>
        <v/>
      </c>
      <c r="M714" s="7">
        <f>'1 datos preparados'!L707</f>
        <v/>
      </c>
      <c r="N714" s="7">
        <f>'1 datos preparados'!M707</f>
        <v/>
      </c>
      <c r="O714" s="7">
        <f>'1 datos preparados'!N707</f>
        <v/>
      </c>
      <c r="P714" s="7">
        <f>'1 datos preparados'!O707</f>
        <v/>
      </c>
      <c r="Q714" s="7">
        <f>'1 datos preparados'!P707</f>
        <v/>
      </c>
      <c r="R714" s="7">
        <f>'1 datos preparados'!Q707</f>
        <v/>
      </c>
      <c r="S714" s="7">
        <f>'1 datos preparados'!R707</f>
        <v/>
      </c>
      <c r="T714" s="7">
        <f>'1 datos preparados'!S707</f>
        <v/>
      </c>
      <c r="U714" s="7">
        <f>'1 datos preparados'!T707</f>
        <v/>
      </c>
      <c r="V714" s="8">
        <f>$AE$12+D714*$AE$13+E714*$AE$14+F714*$AE$15+G714*$AE$16+H714*$AE$17+I714*$AE$18+J714*$AE$19+K714*$AE$20+L714*$AE$21+M714*$AE$22+N714*$AE$23+O714*$AE$24+P714*$AE$25+Q714*$AE$26+R714*$AE$27+S714*$AE$28+T714*$AE$29+U714*$AE$30</f>
        <v/>
      </c>
      <c r="W714" s="8">
        <f>1/(1+EXP(-V714))</f>
        <v/>
      </c>
      <c r="X714" s="9">
        <f>-IF(C714=1,LN(W714),LN(1-W714))</f>
        <v/>
      </c>
      <c r="Y714" s="8">
        <f>IF(C714=1,$AE$32,$AE$33)</f>
        <v/>
      </c>
      <c r="Z714" s="9">
        <f>Y714*X714</f>
        <v/>
      </c>
      <c r="AA714" s="10">
        <f>IF(W714&gt;$AE$34,1,0)</f>
        <v/>
      </c>
      <c r="AB714">
        <f>IF(AA714=C714,1,0)</f>
        <v/>
      </c>
    </row>
    <row r="715">
      <c r="A715">
        <f>'1 datos preparados'!A708</f>
        <v/>
      </c>
      <c r="B715" s="5">
        <f>'1 datos preparados'!U708</f>
        <v/>
      </c>
      <c r="C715">
        <f>'1 datos preparados'!B708</f>
        <v/>
      </c>
      <c r="D715" s="7">
        <f>'1 datos preparados'!C708</f>
        <v/>
      </c>
      <c r="E715" s="7">
        <f>'1 datos preparados'!D708</f>
        <v/>
      </c>
      <c r="F715" s="7">
        <f>'1 datos preparados'!E708</f>
        <v/>
      </c>
      <c r="G715" s="7">
        <f>'1 datos preparados'!F708</f>
        <v/>
      </c>
      <c r="H715" s="7">
        <f>'1 datos preparados'!G708</f>
        <v/>
      </c>
      <c r="I715" s="7">
        <f>'1 datos preparados'!H708</f>
        <v/>
      </c>
      <c r="J715" s="7">
        <f>'1 datos preparados'!I708</f>
        <v/>
      </c>
      <c r="K715" s="7">
        <f>'1 datos preparados'!J708</f>
        <v/>
      </c>
      <c r="L715" s="7">
        <f>'1 datos preparados'!K708</f>
        <v/>
      </c>
      <c r="M715" s="7">
        <f>'1 datos preparados'!L708</f>
        <v/>
      </c>
      <c r="N715" s="7">
        <f>'1 datos preparados'!M708</f>
        <v/>
      </c>
      <c r="O715" s="7">
        <f>'1 datos preparados'!N708</f>
        <v/>
      </c>
      <c r="P715" s="7">
        <f>'1 datos preparados'!O708</f>
        <v/>
      </c>
      <c r="Q715" s="7">
        <f>'1 datos preparados'!P708</f>
        <v/>
      </c>
      <c r="R715" s="7">
        <f>'1 datos preparados'!Q708</f>
        <v/>
      </c>
      <c r="S715" s="7">
        <f>'1 datos preparados'!R708</f>
        <v/>
      </c>
      <c r="T715" s="7">
        <f>'1 datos preparados'!S708</f>
        <v/>
      </c>
      <c r="U715" s="7">
        <f>'1 datos preparados'!T708</f>
        <v/>
      </c>
      <c r="V715" s="8">
        <f>$AE$12+D715*$AE$13+E715*$AE$14+F715*$AE$15+G715*$AE$16+H715*$AE$17+I715*$AE$18+J715*$AE$19+K715*$AE$20+L715*$AE$21+M715*$AE$22+N715*$AE$23+O715*$AE$24+P715*$AE$25+Q715*$AE$26+R715*$AE$27+S715*$AE$28+T715*$AE$29+U715*$AE$30</f>
        <v/>
      </c>
      <c r="W715" s="8">
        <f>1/(1+EXP(-V715))</f>
        <v/>
      </c>
      <c r="X715" s="9">
        <f>-IF(C715=1,LN(W715),LN(1-W715))</f>
        <v/>
      </c>
      <c r="Y715" s="8">
        <f>IF(C715=1,$AE$32,$AE$33)</f>
        <v/>
      </c>
      <c r="Z715" s="9">
        <f>Y715*X715</f>
        <v/>
      </c>
      <c r="AA715" s="10">
        <f>IF(W715&gt;$AE$34,1,0)</f>
        <v/>
      </c>
      <c r="AB715">
        <f>IF(AA715=C715,1,0)</f>
        <v/>
      </c>
    </row>
    <row r="716">
      <c r="A716">
        <f>'1 datos preparados'!A709</f>
        <v/>
      </c>
      <c r="B716" s="5">
        <f>'1 datos preparados'!U709</f>
        <v/>
      </c>
      <c r="C716">
        <f>'1 datos preparados'!B709</f>
        <v/>
      </c>
      <c r="D716" s="7">
        <f>'1 datos preparados'!C709</f>
        <v/>
      </c>
      <c r="E716" s="7">
        <f>'1 datos preparados'!D709</f>
        <v/>
      </c>
      <c r="F716" s="7">
        <f>'1 datos preparados'!E709</f>
        <v/>
      </c>
      <c r="G716" s="7">
        <f>'1 datos preparados'!F709</f>
        <v/>
      </c>
      <c r="H716" s="7">
        <f>'1 datos preparados'!G709</f>
        <v/>
      </c>
      <c r="I716" s="7">
        <f>'1 datos preparados'!H709</f>
        <v/>
      </c>
      <c r="J716" s="7">
        <f>'1 datos preparados'!I709</f>
        <v/>
      </c>
      <c r="K716" s="7">
        <f>'1 datos preparados'!J709</f>
        <v/>
      </c>
      <c r="L716" s="7">
        <f>'1 datos preparados'!K709</f>
        <v/>
      </c>
      <c r="M716" s="7">
        <f>'1 datos preparados'!L709</f>
        <v/>
      </c>
      <c r="N716" s="7">
        <f>'1 datos preparados'!M709</f>
        <v/>
      </c>
      <c r="O716" s="7">
        <f>'1 datos preparados'!N709</f>
        <v/>
      </c>
      <c r="P716" s="7">
        <f>'1 datos preparados'!O709</f>
        <v/>
      </c>
      <c r="Q716" s="7">
        <f>'1 datos preparados'!P709</f>
        <v/>
      </c>
      <c r="R716" s="7">
        <f>'1 datos preparados'!Q709</f>
        <v/>
      </c>
      <c r="S716" s="7">
        <f>'1 datos preparados'!R709</f>
        <v/>
      </c>
      <c r="T716" s="7">
        <f>'1 datos preparados'!S709</f>
        <v/>
      </c>
      <c r="U716" s="7">
        <f>'1 datos preparados'!T709</f>
        <v/>
      </c>
      <c r="V716" s="8">
        <f>$AE$12+D716*$AE$13+E716*$AE$14+F716*$AE$15+G716*$AE$16+H716*$AE$17+I716*$AE$18+J716*$AE$19+K716*$AE$20+L716*$AE$21+M716*$AE$22+N716*$AE$23+O716*$AE$24+P716*$AE$25+Q716*$AE$26+R716*$AE$27+S716*$AE$28+T716*$AE$29+U716*$AE$30</f>
        <v/>
      </c>
      <c r="W716" s="8">
        <f>1/(1+EXP(-V716))</f>
        <v/>
      </c>
      <c r="X716" s="9">
        <f>-IF(C716=1,LN(W716),LN(1-W716))</f>
        <v/>
      </c>
      <c r="Y716" s="8">
        <f>IF(C716=1,$AE$32,$AE$33)</f>
        <v/>
      </c>
      <c r="Z716" s="9">
        <f>Y716*X716</f>
        <v/>
      </c>
      <c r="AA716" s="10">
        <f>IF(W716&gt;$AE$34,1,0)</f>
        <v/>
      </c>
      <c r="AB716">
        <f>IF(AA716=C716,1,0)</f>
        <v/>
      </c>
    </row>
    <row r="717">
      <c r="A717">
        <f>'1 datos preparados'!A710</f>
        <v/>
      </c>
      <c r="B717" s="5">
        <f>'1 datos preparados'!U710</f>
        <v/>
      </c>
      <c r="C717">
        <f>'1 datos preparados'!B710</f>
        <v/>
      </c>
      <c r="D717" s="7">
        <f>'1 datos preparados'!C710</f>
        <v/>
      </c>
      <c r="E717" s="7">
        <f>'1 datos preparados'!D710</f>
        <v/>
      </c>
      <c r="F717" s="7">
        <f>'1 datos preparados'!E710</f>
        <v/>
      </c>
      <c r="G717" s="7">
        <f>'1 datos preparados'!F710</f>
        <v/>
      </c>
      <c r="H717" s="7">
        <f>'1 datos preparados'!G710</f>
        <v/>
      </c>
      <c r="I717" s="7">
        <f>'1 datos preparados'!H710</f>
        <v/>
      </c>
      <c r="J717" s="7">
        <f>'1 datos preparados'!I710</f>
        <v/>
      </c>
      <c r="K717" s="7">
        <f>'1 datos preparados'!J710</f>
        <v/>
      </c>
      <c r="L717" s="7">
        <f>'1 datos preparados'!K710</f>
        <v/>
      </c>
      <c r="M717" s="7">
        <f>'1 datos preparados'!L710</f>
        <v/>
      </c>
      <c r="N717" s="7">
        <f>'1 datos preparados'!M710</f>
        <v/>
      </c>
      <c r="O717" s="7">
        <f>'1 datos preparados'!N710</f>
        <v/>
      </c>
      <c r="P717" s="7">
        <f>'1 datos preparados'!O710</f>
        <v/>
      </c>
      <c r="Q717" s="7">
        <f>'1 datos preparados'!P710</f>
        <v/>
      </c>
      <c r="R717" s="7">
        <f>'1 datos preparados'!Q710</f>
        <v/>
      </c>
      <c r="S717" s="7">
        <f>'1 datos preparados'!R710</f>
        <v/>
      </c>
      <c r="T717" s="7">
        <f>'1 datos preparados'!S710</f>
        <v/>
      </c>
      <c r="U717" s="7">
        <f>'1 datos preparados'!T710</f>
        <v/>
      </c>
      <c r="V717" s="8">
        <f>$AE$12+D717*$AE$13+E717*$AE$14+F717*$AE$15+G717*$AE$16+H717*$AE$17+I717*$AE$18+J717*$AE$19+K717*$AE$20+L717*$AE$21+M717*$AE$22+N717*$AE$23+O717*$AE$24+P717*$AE$25+Q717*$AE$26+R717*$AE$27+S717*$AE$28+T717*$AE$29+U717*$AE$30</f>
        <v/>
      </c>
      <c r="W717" s="8">
        <f>1/(1+EXP(-V717))</f>
        <v/>
      </c>
      <c r="X717" s="9">
        <f>-IF(C717=1,LN(W717),LN(1-W717))</f>
        <v/>
      </c>
      <c r="Y717" s="8">
        <f>IF(C717=1,$AE$32,$AE$33)</f>
        <v/>
      </c>
      <c r="Z717" s="9">
        <f>Y717*X717</f>
        <v/>
      </c>
      <c r="AA717" s="10">
        <f>IF(W717&gt;$AE$34,1,0)</f>
        <v/>
      </c>
      <c r="AB717">
        <f>IF(AA717=C717,1,0)</f>
        <v/>
      </c>
    </row>
    <row r="718">
      <c r="A718">
        <f>'1 datos preparados'!A711</f>
        <v/>
      </c>
      <c r="B718" s="5">
        <f>'1 datos preparados'!U711</f>
        <v/>
      </c>
      <c r="C718">
        <f>'1 datos preparados'!B711</f>
        <v/>
      </c>
      <c r="D718" s="7">
        <f>'1 datos preparados'!C711</f>
        <v/>
      </c>
      <c r="E718" s="7">
        <f>'1 datos preparados'!D711</f>
        <v/>
      </c>
      <c r="F718" s="7">
        <f>'1 datos preparados'!E711</f>
        <v/>
      </c>
      <c r="G718" s="7">
        <f>'1 datos preparados'!F711</f>
        <v/>
      </c>
      <c r="H718" s="7">
        <f>'1 datos preparados'!G711</f>
        <v/>
      </c>
      <c r="I718" s="7">
        <f>'1 datos preparados'!H711</f>
        <v/>
      </c>
      <c r="J718" s="7">
        <f>'1 datos preparados'!I711</f>
        <v/>
      </c>
      <c r="K718" s="7">
        <f>'1 datos preparados'!J711</f>
        <v/>
      </c>
      <c r="L718" s="7">
        <f>'1 datos preparados'!K711</f>
        <v/>
      </c>
      <c r="M718" s="7">
        <f>'1 datos preparados'!L711</f>
        <v/>
      </c>
      <c r="N718" s="7">
        <f>'1 datos preparados'!M711</f>
        <v/>
      </c>
      <c r="O718" s="7">
        <f>'1 datos preparados'!N711</f>
        <v/>
      </c>
      <c r="P718" s="7">
        <f>'1 datos preparados'!O711</f>
        <v/>
      </c>
      <c r="Q718" s="7">
        <f>'1 datos preparados'!P711</f>
        <v/>
      </c>
      <c r="R718" s="7">
        <f>'1 datos preparados'!Q711</f>
        <v/>
      </c>
      <c r="S718" s="7">
        <f>'1 datos preparados'!R711</f>
        <v/>
      </c>
      <c r="T718" s="7">
        <f>'1 datos preparados'!S711</f>
        <v/>
      </c>
      <c r="U718" s="7">
        <f>'1 datos preparados'!T711</f>
        <v/>
      </c>
      <c r="V718" s="8">
        <f>$AE$12+D718*$AE$13+E718*$AE$14+F718*$AE$15+G718*$AE$16+H718*$AE$17+I718*$AE$18+J718*$AE$19+K718*$AE$20+L718*$AE$21+M718*$AE$22+N718*$AE$23+O718*$AE$24+P718*$AE$25+Q718*$AE$26+R718*$AE$27+S718*$AE$28+T718*$AE$29+U718*$AE$30</f>
        <v/>
      </c>
      <c r="W718" s="8">
        <f>1/(1+EXP(-V718))</f>
        <v/>
      </c>
      <c r="X718" s="9">
        <f>-IF(C718=1,LN(W718),LN(1-W718))</f>
        <v/>
      </c>
      <c r="Y718" s="8">
        <f>IF(C718=1,$AE$32,$AE$33)</f>
        <v/>
      </c>
      <c r="Z718" s="9">
        <f>Y718*X718</f>
        <v/>
      </c>
      <c r="AA718" s="10">
        <f>IF(W718&gt;$AE$34,1,0)</f>
        <v/>
      </c>
      <c r="AB718">
        <f>IF(AA718=C718,1,0)</f>
        <v/>
      </c>
    </row>
    <row r="719">
      <c r="A719">
        <f>'1 datos preparados'!A712</f>
        <v/>
      </c>
      <c r="B719" s="5">
        <f>'1 datos preparados'!U712</f>
        <v/>
      </c>
      <c r="C719">
        <f>'1 datos preparados'!B712</f>
        <v/>
      </c>
      <c r="D719" s="7">
        <f>'1 datos preparados'!C712</f>
        <v/>
      </c>
      <c r="E719" s="7">
        <f>'1 datos preparados'!D712</f>
        <v/>
      </c>
      <c r="F719" s="7">
        <f>'1 datos preparados'!E712</f>
        <v/>
      </c>
      <c r="G719" s="7">
        <f>'1 datos preparados'!F712</f>
        <v/>
      </c>
      <c r="H719" s="7">
        <f>'1 datos preparados'!G712</f>
        <v/>
      </c>
      <c r="I719" s="7">
        <f>'1 datos preparados'!H712</f>
        <v/>
      </c>
      <c r="J719" s="7">
        <f>'1 datos preparados'!I712</f>
        <v/>
      </c>
      <c r="K719" s="7">
        <f>'1 datos preparados'!J712</f>
        <v/>
      </c>
      <c r="L719" s="7">
        <f>'1 datos preparados'!K712</f>
        <v/>
      </c>
      <c r="M719" s="7">
        <f>'1 datos preparados'!L712</f>
        <v/>
      </c>
      <c r="N719" s="7">
        <f>'1 datos preparados'!M712</f>
        <v/>
      </c>
      <c r="O719" s="7">
        <f>'1 datos preparados'!N712</f>
        <v/>
      </c>
      <c r="P719" s="7">
        <f>'1 datos preparados'!O712</f>
        <v/>
      </c>
      <c r="Q719" s="7">
        <f>'1 datos preparados'!P712</f>
        <v/>
      </c>
      <c r="R719" s="7">
        <f>'1 datos preparados'!Q712</f>
        <v/>
      </c>
      <c r="S719" s="7">
        <f>'1 datos preparados'!R712</f>
        <v/>
      </c>
      <c r="T719" s="7">
        <f>'1 datos preparados'!S712</f>
        <v/>
      </c>
      <c r="U719" s="7">
        <f>'1 datos preparados'!T712</f>
        <v/>
      </c>
      <c r="V719" s="8">
        <f>$AE$12+D719*$AE$13+E719*$AE$14+F719*$AE$15+G719*$AE$16+H719*$AE$17+I719*$AE$18+J719*$AE$19+K719*$AE$20+L719*$AE$21+M719*$AE$22+N719*$AE$23+O719*$AE$24+P719*$AE$25+Q719*$AE$26+R719*$AE$27+S719*$AE$28+T719*$AE$29+U719*$AE$30</f>
        <v/>
      </c>
      <c r="W719" s="8">
        <f>1/(1+EXP(-V719))</f>
        <v/>
      </c>
      <c r="X719" s="9">
        <f>-IF(C719=1,LN(W719),LN(1-W719))</f>
        <v/>
      </c>
      <c r="Y719" s="8">
        <f>IF(C719=1,$AE$32,$AE$33)</f>
        <v/>
      </c>
      <c r="Z719" s="9">
        <f>Y719*X719</f>
        <v/>
      </c>
      <c r="AA719" s="10">
        <f>IF(W719&gt;$AE$34,1,0)</f>
        <v/>
      </c>
      <c r="AB719">
        <f>IF(AA719=C719,1,0)</f>
        <v/>
      </c>
    </row>
    <row r="720">
      <c r="A720">
        <f>'1 datos preparados'!A713</f>
        <v/>
      </c>
      <c r="B720" s="5">
        <f>'1 datos preparados'!U713</f>
        <v/>
      </c>
      <c r="C720">
        <f>'1 datos preparados'!B713</f>
        <v/>
      </c>
      <c r="D720" s="7">
        <f>'1 datos preparados'!C713</f>
        <v/>
      </c>
      <c r="E720" s="7">
        <f>'1 datos preparados'!D713</f>
        <v/>
      </c>
      <c r="F720" s="7">
        <f>'1 datos preparados'!E713</f>
        <v/>
      </c>
      <c r="G720" s="7">
        <f>'1 datos preparados'!F713</f>
        <v/>
      </c>
      <c r="H720" s="7">
        <f>'1 datos preparados'!G713</f>
        <v/>
      </c>
      <c r="I720" s="7">
        <f>'1 datos preparados'!H713</f>
        <v/>
      </c>
      <c r="J720" s="7">
        <f>'1 datos preparados'!I713</f>
        <v/>
      </c>
      <c r="K720" s="7">
        <f>'1 datos preparados'!J713</f>
        <v/>
      </c>
      <c r="L720" s="7">
        <f>'1 datos preparados'!K713</f>
        <v/>
      </c>
      <c r="M720" s="7">
        <f>'1 datos preparados'!L713</f>
        <v/>
      </c>
      <c r="N720" s="7">
        <f>'1 datos preparados'!M713</f>
        <v/>
      </c>
      <c r="O720" s="7">
        <f>'1 datos preparados'!N713</f>
        <v/>
      </c>
      <c r="P720" s="7">
        <f>'1 datos preparados'!O713</f>
        <v/>
      </c>
      <c r="Q720" s="7">
        <f>'1 datos preparados'!P713</f>
        <v/>
      </c>
      <c r="R720" s="7">
        <f>'1 datos preparados'!Q713</f>
        <v/>
      </c>
      <c r="S720" s="7">
        <f>'1 datos preparados'!R713</f>
        <v/>
      </c>
      <c r="T720" s="7">
        <f>'1 datos preparados'!S713</f>
        <v/>
      </c>
      <c r="U720" s="7">
        <f>'1 datos preparados'!T713</f>
        <v/>
      </c>
      <c r="V720" s="8">
        <f>$AE$12+D720*$AE$13+E720*$AE$14+F720*$AE$15+G720*$AE$16+H720*$AE$17+I720*$AE$18+J720*$AE$19+K720*$AE$20+L720*$AE$21+M720*$AE$22+N720*$AE$23+O720*$AE$24+P720*$AE$25+Q720*$AE$26+R720*$AE$27+S720*$AE$28+T720*$AE$29+U720*$AE$30</f>
        <v/>
      </c>
      <c r="W720" s="8">
        <f>1/(1+EXP(-V720))</f>
        <v/>
      </c>
      <c r="X720" s="9">
        <f>-IF(C720=1,LN(W720),LN(1-W720))</f>
        <v/>
      </c>
      <c r="Y720" s="8">
        <f>IF(C720=1,$AE$32,$AE$33)</f>
        <v/>
      </c>
      <c r="Z720" s="9">
        <f>Y720*X720</f>
        <v/>
      </c>
      <c r="AA720" s="10">
        <f>IF(W720&gt;$AE$34,1,0)</f>
        <v/>
      </c>
      <c r="AB720">
        <f>IF(AA720=C720,1,0)</f>
        <v/>
      </c>
    </row>
    <row r="721">
      <c r="A721">
        <f>'1 datos preparados'!A714</f>
        <v/>
      </c>
      <c r="B721" s="5">
        <f>'1 datos preparados'!U714</f>
        <v/>
      </c>
      <c r="C721">
        <f>'1 datos preparados'!B714</f>
        <v/>
      </c>
      <c r="D721" s="7">
        <f>'1 datos preparados'!C714</f>
        <v/>
      </c>
      <c r="E721" s="7">
        <f>'1 datos preparados'!D714</f>
        <v/>
      </c>
      <c r="F721" s="7">
        <f>'1 datos preparados'!E714</f>
        <v/>
      </c>
      <c r="G721" s="7">
        <f>'1 datos preparados'!F714</f>
        <v/>
      </c>
      <c r="H721" s="7">
        <f>'1 datos preparados'!G714</f>
        <v/>
      </c>
      <c r="I721" s="7">
        <f>'1 datos preparados'!H714</f>
        <v/>
      </c>
      <c r="J721" s="7">
        <f>'1 datos preparados'!I714</f>
        <v/>
      </c>
      <c r="K721" s="7">
        <f>'1 datos preparados'!J714</f>
        <v/>
      </c>
      <c r="L721" s="7">
        <f>'1 datos preparados'!K714</f>
        <v/>
      </c>
      <c r="M721" s="7">
        <f>'1 datos preparados'!L714</f>
        <v/>
      </c>
      <c r="N721" s="7">
        <f>'1 datos preparados'!M714</f>
        <v/>
      </c>
      <c r="O721" s="7">
        <f>'1 datos preparados'!N714</f>
        <v/>
      </c>
      <c r="P721" s="7">
        <f>'1 datos preparados'!O714</f>
        <v/>
      </c>
      <c r="Q721" s="7">
        <f>'1 datos preparados'!P714</f>
        <v/>
      </c>
      <c r="R721" s="7">
        <f>'1 datos preparados'!Q714</f>
        <v/>
      </c>
      <c r="S721" s="7">
        <f>'1 datos preparados'!R714</f>
        <v/>
      </c>
      <c r="T721" s="7">
        <f>'1 datos preparados'!S714</f>
        <v/>
      </c>
      <c r="U721" s="7">
        <f>'1 datos preparados'!T714</f>
        <v/>
      </c>
      <c r="V721" s="8">
        <f>$AE$12+D721*$AE$13+E721*$AE$14+F721*$AE$15+G721*$AE$16+H721*$AE$17+I721*$AE$18+J721*$AE$19+K721*$AE$20+L721*$AE$21+M721*$AE$22+N721*$AE$23+O721*$AE$24+P721*$AE$25+Q721*$AE$26+R721*$AE$27+S721*$AE$28+T721*$AE$29+U721*$AE$30</f>
        <v/>
      </c>
      <c r="W721" s="8">
        <f>1/(1+EXP(-V721))</f>
        <v/>
      </c>
      <c r="X721" s="9">
        <f>-IF(C721=1,LN(W721),LN(1-W721))</f>
        <v/>
      </c>
      <c r="Y721" s="8">
        <f>IF(C721=1,$AE$32,$AE$33)</f>
        <v/>
      </c>
      <c r="Z721" s="9">
        <f>Y721*X721</f>
        <v/>
      </c>
      <c r="AA721" s="10">
        <f>IF(W721&gt;$AE$34,1,0)</f>
        <v/>
      </c>
      <c r="AB721">
        <f>IF(AA721=C721,1,0)</f>
        <v/>
      </c>
    </row>
    <row r="722">
      <c r="A722">
        <f>'1 datos preparados'!A715</f>
        <v/>
      </c>
      <c r="B722" s="5">
        <f>'1 datos preparados'!U715</f>
        <v/>
      </c>
      <c r="C722">
        <f>'1 datos preparados'!B715</f>
        <v/>
      </c>
      <c r="D722" s="7">
        <f>'1 datos preparados'!C715</f>
        <v/>
      </c>
      <c r="E722" s="7">
        <f>'1 datos preparados'!D715</f>
        <v/>
      </c>
      <c r="F722" s="7">
        <f>'1 datos preparados'!E715</f>
        <v/>
      </c>
      <c r="G722" s="7">
        <f>'1 datos preparados'!F715</f>
        <v/>
      </c>
      <c r="H722" s="7">
        <f>'1 datos preparados'!G715</f>
        <v/>
      </c>
      <c r="I722" s="7">
        <f>'1 datos preparados'!H715</f>
        <v/>
      </c>
      <c r="J722" s="7">
        <f>'1 datos preparados'!I715</f>
        <v/>
      </c>
      <c r="K722" s="7">
        <f>'1 datos preparados'!J715</f>
        <v/>
      </c>
      <c r="L722" s="7">
        <f>'1 datos preparados'!K715</f>
        <v/>
      </c>
      <c r="M722" s="7">
        <f>'1 datos preparados'!L715</f>
        <v/>
      </c>
      <c r="N722" s="7">
        <f>'1 datos preparados'!M715</f>
        <v/>
      </c>
      <c r="O722" s="7">
        <f>'1 datos preparados'!N715</f>
        <v/>
      </c>
      <c r="P722" s="7">
        <f>'1 datos preparados'!O715</f>
        <v/>
      </c>
      <c r="Q722" s="7">
        <f>'1 datos preparados'!P715</f>
        <v/>
      </c>
      <c r="R722" s="7">
        <f>'1 datos preparados'!Q715</f>
        <v/>
      </c>
      <c r="S722" s="7">
        <f>'1 datos preparados'!R715</f>
        <v/>
      </c>
      <c r="T722" s="7">
        <f>'1 datos preparados'!S715</f>
        <v/>
      </c>
      <c r="U722" s="7">
        <f>'1 datos preparados'!T715</f>
        <v/>
      </c>
      <c r="V722" s="8">
        <f>$AE$12+D722*$AE$13+E722*$AE$14+F722*$AE$15+G722*$AE$16+H722*$AE$17+I722*$AE$18+J722*$AE$19+K722*$AE$20+L722*$AE$21+M722*$AE$22+N722*$AE$23+O722*$AE$24+P722*$AE$25+Q722*$AE$26+R722*$AE$27+S722*$AE$28+T722*$AE$29+U722*$AE$30</f>
        <v/>
      </c>
      <c r="W722" s="8">
        <f>1/(1+EXP(-V722))</f>
        <v/>
      </c>
      <c r="X722" s="9">
        <f>-IF(C722=1,LN(W722),LN(1-W722))</f>
        <v/>
      </c>
      <c r="Y722" s="8">
        <f>IF(C722=1,$AE$32,$AE$33)</f>
        <v/>
      </c>
      <c r="Z722" s="9">
        <f>Y722*X722</f>
        <v/>
      </c>
      <c r="AA722" s="10">
        <f>IF(W722&gt;$AE$34,1,0)</f>
        <v/>
      </c>
      <c r="AB722">
        <f>IF(AA722=C722,1,0)</f>
        <v/>
      </c>
    </row>
    <row r="723">
      <c r="A723">
        <f>'1 datos preparados'!A716</f>
        <v/>
      </c>
      <c r="B723" s="5">
        <f>'1 datos preparados'!U716</f>
        <v/>
      </c>
      <c r="C723">
        <f>'1 datos preparados'!B716</f>
        <v/>
      </c>
      <c r="D723" s="7">
        <f>'1 datos preparados'!C716</f>
        <v/>
      </c>
      <c r="E723" s="7">
        <f>'1 datos preparados'!D716</f>
        <v/>
      </c>
      <c r="F723" s="7">
        <f>'1 datos preparados'!E716</f>
        <v/>
      </c>
      <c r="G723" s="7">
        <f>'1 datos preparados'!F716</f>
        <v/>
      </c>
      <c r="H723" s="7">
        <f>'1 datos preparados'!G716</f>
        <v/>
      </c>
      <c r="I723" s="7">
        <f>'1 datos preparados'!H716</f>
        <v/>
      </c>
      <c r="J723" s="7">
        <f>'1 datos preparados'!I716</f>
        <v/>
      </c>
      <c r="K723" s="7">
        <f>'1 datos preparados'!J716</f>
        <v/>
      </c>
      <c r="L723" s="7">
        <f>'1 datos preparados'!K716</f>
        <v/>
      </c>
      <c r="M723" s="7">
        <f>'1 datos preparados'!L716</f>
        <v/>
      </c>
      <c r="N723" s="7">
        <f>'1 datos preparados'!M716</f>
        <v/>
      </c>
      <c r="O723" s="7">
        <f>'1 datos preparados'!N716</f>
        <v/>
      </c>
      <c r="P723" s="7">
        <f>'1 datos preparados'!O716</f>
        <v/>
      </c>
      <c r="Q723" s="7">
        <f>'1 datos preparados'!P716</f>
        <v/>
      </c>
      <c r="R723" s="7">
        <f>'1 datos preparados'!Q716</f>
        <v/>
      </c>
      <c r="S723" s="7">
        <f>'1 datos preparados'!R716</f>
        <v/>
      </c>
      <c r="T723" s="7">
        <f>'1 datos preparados'!S716</f>
        <v/>
      </c>
      <c r="U723" s="7">
        <f>'1 datos preparados'!T716</f>
        <v/>
      </c>
      <c r="V723" s="8">
        <f>$AE$12+D723*$AE$13+E723*$AE$14+F723*$AE$15+G723*$AE$16+H723*$AE$17+I723*$AE$18+J723*$AE$19+K723*$AE$20+L723*$AE$21+M723*$AE$22+N723*$AE$23+O723*$AE$24+P723*$AE$25+Q723*$AE$26+R723*$AE$27+S723*$AE$28+T723*$AE$29+U723*$AE$30</f>
        <v/>
      </c>
      <c r="W723" s="8">
        <f>1/(1+EXP(-V723))</f>
        <v/>
      </c>
      <c r="X723" s="9">
        <f>-IF(C723=1,LN(W723),LN(1-W723))</f>
        <v/>
      </c>
      <c r="Y723" s="8">
        <f>IF(C723=1,$AE$32,$AE$33)</f>
        <v/>
      </c>
      <c r="Z723" s="9">
        <f>Y723*X723</f>
        <v/>
      </c>
      <c r="AA723" s="10">
        <f>IF(W723&gt;$AE$34,1,0)</f>
        <v/>
      </c>
      <c r="AB723">
        <f>IF(AA723=C723,1,0)</f>
        <v/>
      </c>
    </row>
    <row r="724">
      <c r="A724">
        <f>'1 datos preparados'!A717</f>
        <v/>
      </c>
      <c r="B724" s="5">
        <f>'1 datos preparados'!U717</f>
        <v/>
      </c>
      <c r="C724">
        <f>'1 datos preparados'!B717</f>
        <v/>
      </c>
      <c r="D724" s="7">
        <f>'1 datos preparados'!C717</f>
        <v/>
      </c>
      <c r="E724" s="7">
        <f>'1 datos preparados'!D717</f>
        <v/>
      </c>
      <c r="F724" s="7">
        <f>'1 datos preparados'!E717</f>
        <v/>
      </c>
      <c r="G724" s="7">
        <f>'1 datos preparados'!F717</f>
        <v/>
      </c>
      <c r="H724" s="7">
        <f>'1 datos preparados'!G717</f>
        <v/>
      </c>
      <c r="I724" s="7">
        <f>'1 datos preparados'!H717</f>
        <v/>
      </c>
      <c r="J724" s="7">
        <f>'1 datos preparados'!I717</f>
        <v/>
      </c>
      <c r="K724" s="7">
        <f>'1 datos preparados'!J717</f>
        <v/>
      </c>
      <c r="L724" s="7">
        <f>'1 datos preparados'!K717</f>
        <v/>
      </c>
      <c r="M724" s="7">
        <f>'1 datos preparados'!L717</f>
        <v/>
      </c>
      <c r="N724" s="7">
        <f>'1 datos preparados'!M717</f>
        <v/>
      </c>
      <c r="O724" s="7">
        <f>'1 datos preparados'!N717</f>
        <v/>
      </c>
      <c r="P724" s="7">
        <f>'1 datos preparados'!O717</f>
        <v/>
      </c>
      <c r="Q724" s="7">
        <f>'1 datos preparados'!P717</f>
        <v/>
      </c>
      <c r="R724" s="7">
        <f>'1 datos preparados'!Q717</f>
        <v/>
      </c>
      <c r="S724" s="7">
        <f>'1 datos preparados'!R717</f>
        <v/>
      </c>
      <c r="T724" s="7">
        <f>'1 datos preparados'!S717</f>
        <v/>
      </c>
      <c r="U724" s="7">
        <f>'1 datos preparados'!T717</f>
        <v/>
      </c>
      <c r="V724" s="8">
        <f>$AE$12+D724*$AE$13+E724*$AE$14+F724*$AE$15+G724*$AE$16+H724*$AE$17+I724*$AE$18+J724*$AE$19+K724*$AE$20+L724*$AE$21+M724*$AE$22+N724*$AE$23+O724*$AE$24+P724*$AE$25+Q724*$AE$26+R724*$AE$27+S724*$AE$28+T724*$AE$29+U724*$AE$30</f>
        <v/>
      </c>
      <c r="W724" s="8">
        <f>1/(1+EXP(-V724))</f>
        <v/>
      </c>
      <c r="X724" s="9">
        <f>-IF(C724=1,LN(W724),LN(1-W724))</f>
        <v/>
      </c>
      <c r="Y724" s="8">
        <f>IF(C724=1,$AE$32,$AE$33)</f>
        <v/>
      </c>
      <c r="Z724" s="9">
        <f>Y724*X724</f>
        <v/>
      </c>
      <c r="AA724" s="10">
        <f>IF(W724&gt;$AE$34,1,0)</f>
        <v/>
      </c>
      <c r="AB724">
        <f>IF(AA724=C724,1,0)</f>
        <v/>
      </c>
    </row>
    <row r="725">
      <c r="A725">
        <f>'1 datos preparados'!A718</f>
        <v/>
      </c>
      <c r="B725" s="5">
        <f>'1 datos preparados'!U718</f>
        <v/>
      </c>
      <c r="C725">
        <f>'1 datos preparados'!B718</f>
        <v/>
      </c>
      <c r="D725" s="7">
        <f>'1 datos preparados'!C718</f>
        <v/>
      </c>
      <c r="E725" s="7">
        <f>'1 datos preparados'!D718</f>
        <v/>
      </c>
      <c r="F725" s="7">
        <f>'1 datos preparados'!E718</f>
        <v/>
      </c>
      <c r="G725" s="7">
        <f>'1 datos preparados'!F718</f>
        <v/>
      </c>
      <c r="H725" s="7">
        <f>'1 datos preparados'!G718</f>
        <v/>
      </c>
      <c r="I725" s="7">
        <f>'1 datos preparados'!H718</f>
        <v/>
      </c>
      <c r="J725" s="7">
        <f>'1 datos preparados'!I718</f>
        <v/>
      </c>
      <c r="K725" s="7">
        <f>'1 datos preparados'!J718</f>
        <v/>
      </c>
      <c r="L725" s="7">
        <f>'1 datos preparados'!K718</f>
        <v/>
      </c>
      <c r="M725" s="7">
        <f>'1 datos preparados'!L718</f>
        <v/>
      </c>
      <c r="N725" s="7">
        <f>'1 datos preparados'!M718</f>
        <v/>
      </c>
      <c r="O725" s="7">
        <f>'1 datos preparados'!N718</f>
        <v/>
      </c>
      <c r="P725" s="7">
        <f>'1 datos preparados'!O718</f>
        <v/>
      </c>
      <c r="Q725" s="7">
        <f>'1 datos preparados'!P718</f>
        <v/>
      </c>
      <c r="R725" s="7">
        <f>'1 datos preparados'!Q718</f>
        <v/>
      </c>
      <c r="S725" s="7">
        <f>'1 datos preparados'!R718</f>
        <v/>
      </c>
      <c r="T725" s="7">
        <f>'1 datos preparados'!S718</f>
        <v/>
      </c>
      <c r="U725" s="7">
        <f>'1 datos preparados'!T718</f>
        <v/>
      </c>
      <c r="V725" s="8">
        <f>$AE$12+D725*$AE$13+E725*$AE$14+F725*$AE$15+G725*$AE$16+H725*$AE$17+I725*$AE$18+J725*$AE$19+K725*$AE$20+L725*$AE$21+M725*$AE$22+N725*$AE$23+O725*$AE$24+P725*$AE$25+Q725*$AE$26+R725*$AE$27+S725*$AE$28+T725*$AE$29+U725*$AE$30</f>
        <v/>
      </c>
      <c r="W725" s="8">
        <f>1/(1+EXP(-V725))</f>
        <v/>
      </c>
      <c r="X725" s="9">
        <f>-IF(C725=1,LN(W725),LN(1-W725))</f>
        <v/>
      </c>
      <c r="Y725" s="8">
        <f>IF(C725=1,$AE$32,$AE$33)</f>
        <v/>
      </c>
      <c r="Z725" s="9">
        <f>Y725*X725</f>
        <v/>
      </c>
      <c r="AA725" s="10">
        <f>IF(W725&gt;$AE$34,1,0)</f>
        <v/>
      </c>
      <c r="AB725">
        <f>IF(AA725=C725,1,0)</f>
        <v/>
      </c>
    </row>
    <row r="726">
      <c r="A726">
        <f>'1 datos preparados'!A719</f>
        <v/>
      </c>
      <c r="B726" s="5">
        <f>'1 datos preparados'!U719</f>
        <v/>
      </c>
      <c r="C726">
        <f>'1 datos preparados'!B719</f>
        <v/>
      </c>
      <c r="D726" s="7">
        <f>'1 datos preparados'!C719</f>
        <v/>
      </c>
      <c r="E726" s="7">
        <f>'1 datos preparados'!D719</f>
        <v/>
      </c>
      <c r="F726" s="7">
        <f>'1 datos preparados'!E719</f>
        <v/>
      </c>
      <c r="G726" s="7">
        <f>'1 datos preparados'!F719</f>
        <v/>
      </c>
      <c r="H726" s="7">
        <f>'1 datos preparados'!G719</f>
        <v/>
      </c>
      <c r="I726" s="7">
        <f>'1 datos preparados'!H719</f>
        <v/>
      </c>
      <c r="J726" s="7">
        <f>'1 datos preparados'!I719</f>
        <v/>
      </c>
      <c r="K726" s="7">
        <f>'1 datos preparados'!J719</f>
        <v/>
      </c>
      <c r="L726" s="7">
        <f>'1 datos preparados'!K719</f>
        <v/>
      </c>
      <c r="M726" s="7">
        <f>'1 datos preparados'!L719</f>
        <v/>
      </c>
      <c r="N726" s="7">
        <f>'1 datos preparados'!M719</f>
        <v/>
      </c>
      <c r="O726" s="7">
        <f>'1 datos preparados'!N719</f>
        <v/>
      </c>
      <c r="P726" s="7">
        <f>'1 datos preparados'!O719</f>
        <v/>
      </c>
      <c r="Q726" s="7">
        <f>'1 datos preparados'!P719</f>
        <v/>
      </c>
      <c r="R726" s="7">
        <f>'1 datos preparados'!Q719</f>
        <v/>
      </c>
      <c r="S726" s="7">
        <f>'1 datos preparados'!R719</f>
        <v/>
      </c>
      <c r="T726" s="7">
        <f>'1 datos preparados'!S719</f>
        <v/>
      </c>
      <c r="U726" s="7">
        <f>'1 datos preparados'!T719</f>
        <v/>
      </c>
      <c r="V726" s="8">
        <f>$AE$12+D726*$AE$13+E726*$AE$14+F726*$AE$15+G726*$AE$16+H726*$AE$17+I726*$AE$18+J726*$AE$19+K726*$AE$20+L726*$AE$21+M726*$AE$22+N726*$AE$23+O726*$AE$24+P726*$AE$25+Q726*$AE$26+R726*$AE$27+S726*$AE$28+T726*$AE$29+U726*$AE$30</f>
        <v/>
      </c>
      <c r="W726" s="8">
        <f>1/(1+EXP(-V726))</f>
        <v/>
      </c>
      <c r="X726" s="9">
        <f>-IF(C726=1,LN(W726),LN(1-W726))</f>
        <v/>
      </c>
      <c r="Y726" s="8">
        <f>IF(C726=1,$AE$32,$AE$33)</f>
        <v/>
      </c>
      <c r="Z726" s="9">
        <f>Y726*X726</f>
        <v/>
      </c>
      <c r="AA726" s="10">
        <f>IF(W726&gt;$AE$34,1,0)</f>
        <v/>
      </c>
      <c r="AB726">
        <f>IF(AA726=C726,1,0)</f>
        <v/>
      </c>
    </row>
    <row r="727">
      <c r="A727">
        <f>'1 datos preparados'!A720</f>
        <v/>
      </c>
      <c r="B727" s="5">
        <f>'1 datos preparados'!U720</f>
        <v/>
      </c>
      <c r="C727">
        <f>'1 datos preparados'!B720</f>
        <v/>
      </c>
      <c r="D727" s="7">
        <f>'1 datos preparados'!C720</f>
        <v/>
      </c>
      <c r="E727" s="7">
        <f>'1 datos preparados'!D720</f>
        <v/>
      </c>
      <c r="F727" s="7">
        <f>'1 datos preparados'!E720</f>
        <v/>
      </c>
      <c r="G727" s="7">
        <f>'1 datos preparados'!F720</f>
        <v/>
      </c>
      <c r="H727" s="7">
        <f>'1 datos preparados'!G720</f>
        <v/>
      </c>
      <c r="I727" s="7">
        <f>'1 datos preparados'!H720</f>
        <v/>
      </c>
      <c r="J727" s="7">
        <f>'1 datos preparados'!I720</f>
        <v/>
      </c>
      <c r="K727" s="7">
        <f>'1 datos preparados'!J720</f>
        <v/>
      </c>
      <c r="L727" s="7">
        <f>'1 datos preparados'!K720</f>
        <v/>
      </c>
      <c r="M727" s="7">
        <f>'1 datos preparados'!L720</f>
        <v/>
      </c>
      <c r="N727" s="7">
        <f>'1 datos preparados'!M720</f>
        <v/>
      </c>
      <c r="O727" s="7">
        <f>'1 datos preparados'!N720</f>
        <v/>
      </c>
      <c r="P727" s="7">
        <f>'1 datos preparados'!O720</f>
        <v/>
      </c>
      <c r="Q727" s="7">
        <f>'1 datos preparados'!P720</f>
        <v/>
      </c>
      <c r="R727" s="7">
        <f>'1 datos preparados'!Q720</f>
        <v/>
      </c>
      <c r="S727" s="7">
        <f>'1 datos preparados'!R720</f>
        <v/>
      </c>
      <c r="T727" s="7">
        <f>'1 datos preparados'!S720</f>
        <v/>
      </c>
      <c r="U727" s="7">
        <f>'1 datos preparados'!T720</f>
        <v/>
      </c>
      <c r="V727" s="8">
        <f>$AE$12+D727*$AE$13+E727*$AE$14+F727*$AE$15+G727*$AE$16+H727*$AE$17+I727*$AE$18+J727*$AE$19+K727*$AE$20+L727*$AE$21+M727*$AE$22+N727*$AE$23+O727*$AE$24+P727*$AE$25+Q727*$AE$26+R727*$AE$27+S727*$AE$28+T727*$AE$29+U727*$AE$30</f>
        <v/>
      </c>
      <c r="W727" s="8">
        <f>1/(1+EXP(-V727))</f>
        <v/>
      </c>
      <c r="X727" s="9">
        <f>-IF(C727=1,LN(W727),LN(1-W727))</f>
        <v/>
      </c>
      <c r="Y727" s="8">
        <f>IF(C727=1,$AE$32,$AE$33)</f>
        <v/>
      </c>
      <c r="Z727" s="9">
        <f>Y727*X727</f>
        <v/>
      </c>
      <c r="AA727" s="10">
        <f>IF(W727&gt;$AE$34,1,0)</f>
        <v/>
      </c>
      <c r="AB727">
        <f>IF(AA727=C727,1,0)</f>
        <v/>
      </c>
    </row>
    <row r="728">
      <c r="A728">
        <f>'1 datos preparados'!A721</f>
        <v/>
      </c>
      <c r="B728" s="5">
        <f>'1 datos preparados'!U721</f>
        <v/>
      </c>
      <c r="C728">
        <f>'1 datos preparados'!B721</f>
        <v/>
      </c>
      <c r="D728" s="7">
        <f>'1 datos preparados'!C721</f>
        <v/>
      </c>
      <c r="E728" s="7">
        <f>'1 datos preparados'!D721</f>
        <v/>
      </c>
      <c r="F728" s="7">
        <f>'1 datos preparados'!E721</f>
        <v/>
      </c>
      <c r="G728" s="7">
        <f>'1 datos preparados'!F721</f>
        <v/>
      </c>
      <c r="H728" s="7">
        <f>'1 datos preparados'!G721</f>
        <v/>
      </c>
      <c r="I728" s="7">
        <f>'1 datos preparados'!H721</f>
        <v/>
      </c>
      <c r="J728" s="7">
        <f>'1 datos preparados'!I721</f>
        <v/>
      </c>
      <c r="K728" s="7">
        <f>'1 datos preparados'!J721</f>
        <v/>
      </c>
      <c r="L728" s="7">
        <f>'1 datos preparados'!K721</f>
        <v/>
      </c>
      <c r="M728" s="7">
        <f>'1 datos preparados'!L721</f>
        <v/>
      </c>
      <c r="N728" s="7">
        <f>'1 datos preparados'!M721</f>
        <v/>
      </c>
      <c r="O728" s="7">
        <f>'1 datos preparados'!N721</f>
        <v/>
      </c>
      <c r="P728" s="7">
        <f>'1 datos preparados'!O721</f>
        <v/>
      </c>
      <c r="Q728" s="7">
        <f>'1 datos preparados'!P721</f>
        <v/>
      </c>
      <c r="R728" s="7">
        <f>'1 datos preparados'!Q721</f>
        <v/>
      </c>
      <c r="S728" s="7">
        <f>'1 datos preparados'!R721</f>
        <v/>
      </c>
      <c r="T728" s="7">
        <f>'1 datos preparados'!S721</f>
        <v/>
      </c>
      <c r="U728" s="7">
        <f>'1 datos preparados'!T721</f>
        <v/>
      </c>
      <c r="V728" s="8">
        <f>$AE$12+D728*$AE$13+E728*$AE$14+F728*$AE$15+G728*$AE$16+H728*$AE$17+I728*$AE$18+J728*$AE$19+K728*$AE$20+L728*$AE$21+M728*$AE$22+N728*$AE$23+O728*$AE$24+P728*$AE$25+Q728*$AE$26+R728*$AE$27+S728*$AE$28+T728*$AE$29+U728*$AE$30</f>
        <v/>
      </c>
      <c r="W728" s="8">
        <f>1/(1+EXP(-V728))</f>
        <v/>
      </c>
      <c r="X728" s="9">
        <f>-IF(C728=1,LN(W728),LN(1-W728))</f>
        <v/>
      </c>
      <c r="Y728" s="8">
        <f>IF(C728=1,$AE$32,$AE$33)</f>
        <v/>
      </c>
      <c r="Z728" s="9">
        <f>Y728*X728</f>
        <v/>
      </c>
      <c r="AA728" s="10">
        <f>IF(W728&gt;$AE$34,1,0)</f>
        <v/>
      </c>
      <c r="AB728">
        <f>IF(AA728=C728,1,0)</f>
        <v/>
      </c>
    </row>
    <row r="729">
      <c r="A729">
        <f>'1 datos preparados'!A722</f>
        <v/>
      </c>
      <c r="B729" s="5">
        <f>'1 datos preparados'!U722</f>
        <v/>
      </c>
      <c r="C729">
        <f>'1 datos preparados'!B722</f>
        <v/>
      </c>
      <c r="D729" s="7">
        <f>'1 datos preparados'!C722</f>
        <v/>
      </c>
      <c r="E729" s="7">
        <f>'1 datos preparados'!D722</f>
        <v/>
      </c>
      <c r="F729" s="7">
        <f>'1 datos preparados'!E722</f>
        <v/>
      </c>
      <c r="G729" s="7">
        <f>'1 datos preparados'!F722</f>
        <v/>
      </c>
      <c r="H729" s="7">
        <f>'1 datos preparados'!G722</f>
        <v/>
      </c>
      <c r="I729" s="7">
        <f>'1 datos preparados'!H722</f>
        <v/>
      </c>
      <c r="J729" s="7">
        <f>'1 datos preparados'!I722</f>
        <v/>
      </c>
      <c r="K729" s="7">
        <f>'1 datos preparados'!J722</f>
        <v/>
      </c>
      <c r="L729" s="7">
        <f>'1 datos preparados'!K722</f>
        <v/>
      </c>
      <c r="M729" s="7">
        <f>'1 datos preparados'!L722</f>
        <v/>
      </c>
      <c r="N729" s="7">
        <f>'1 datos preparados'!M722</f>
        <v/>
      </c>
      <c r="O729" s="7">
        <f>'1 datos preparados'!N722</f>
        <v/>
      </c>
      <c r="P729" s="7">
        <f>'1 datos preparados'!O722</f>
        <v/>
      </c>
      <c r="Q729" s="7">
        <f>'1 datos preparados'!P722</f>
        <v/>
      </c>
      <c r="R729" s="7">
        <f>'1 datos preparados'!Q722</f>
        <v/>
      </c>
      <c r="S729" s="7">
        <f>'1 datos preparados'!R722</f>
        <v/>
      </c>
      <c r="T729" s="7">
        <f>'1 datos preparados'!S722</f>
        <v/>
      </c>
      <c r="U729" s="7">
        <f>'1 datos preparados'!T722</f>
        <v/>
      </c>
      <c r="V729" s="8">
        <f>$AE$12+D729*$AE$13+E729*$AE$14+F729*$AE$15+G729*$AE$16+H729*$AE$17+I729*$AE$18+J729*$AE$19+K729*$AE$20+L729*$AE$21+M729*$AE$22+N729*$AE$23+O729*$AE$24+P729*$AE$25+Q729*$AE$26+R729*$AE$27+S729*$AE$28+T729*$AE$29+U729*$AE$30</f>
        <v/>
      </c>
      <c r="W729" s="8">
        <f>1/(1+EXP(-V729))</f>
        <v/>
      </c>
      <c r="X729" s="9">
        <f>-IF(C729=1,LN(W729),LN(1-W729))</f>
        <v/>
      </c>
      <c r="Y729" s="8">
        <f>IF(C729=1,$AE$32,$AE$33)</f>
        <v/>
      </c>
      <c r="Z729" s="9">
        <f>Y729*X729</f>
        <v/>
      </c>
      <c r="AA729" s="10">
        <f>IF(W729&gt;$AE$34,1,0)</f>
        <v/>
      </c>
      <c r="AB729">
        <f>IF(AA729=C729,1,0)</f>
        <v/>
      </c>
    </row>
    <row r="730">
      <c r="A730">
        <f>'1 datos preparados'!A723</f>
        <v/>
      </c>
      <c r="B730" s="5">
        <f>'1 datos preparados'!U723</f>
        <v/>
      </c>
      <c r="C730">
        <f>'1 datos preparados'!B723</f>
        <v/>
      </c>
      <c r="D730" s="7">
        <f>'1 datos preparados'!C723</f>
        <v/>
      </c>
      <c r="E730" s="7">
        <f>'1 datos preparados'!D723</f>
        <v/>
      </c>
      <c r="F730" s="7">
        <f>'1 datos preparados'!E723</f>
        <v/>
      </c>
      <c r="G730" s="7">
        <f>'1 datos preparados'!F723</f>
        <v/>
      </c>
      <c r="H730" s="7">
        <f>'1 datos preparados'!G723</f>
        <v/>
      </c>
      <c r="I730" s="7">
        <f>'1 datos preparados'!H723</f>
        <v/>
      </c>
      <c r="J730" s="7">
        <f>'1 datos preparados'!I723</f>
        <v/>
      </c>
      <c r="K730" s="7">
        <f>'1 datos preparados'!J723</f>
        <v/>
      </c>
      <c r="L730" s="7">
        <f>'1 datos preparados'!K723</f>
        <v/>
      </c>
      <c r="M730" s="7">
        <f>'1 datos preparados'!L723</f>
        <v/>
      </c>
      <c r="N730" s="7">
        <f>'1 datos preparados'!M723</f>
        <v/>
      </c>
      <c r="O730" s="7">
        <f>'1 datos preparados'!N723</f>
        <v/>
      </c>
      <c r="P730" s="7">
        <f>'1 datos preparados'!O723</f>
        <v/>
      </c>
      <c r="Q730" s="7">
        <f>'1 datos preparados'!P723</f>
        <v/>
      </c>
      <c r="R730" s="7">
        <f>'1 datos preparados'!Q723</f>
        <v/>
      </c>
      <c r="S730" s="7">
        <f>'1 datos preparados'!R723</f>
        <v/>
      </c>
      <c r="T730" s="7">
        <f>'1 datos preparados'!S723</f>
        <v/>
      </c>
      <c r="U730" s="7">
        <f>'1 datos preparados'!T723</f>
        <v/>
      </c>
      <c r="V730" s="8">
        <f>$AE$12+D730*$AE$13+E730*$AE$14+F730*$AE$15+G730*$AE$16+H730*$AE$17+I730*$AE$18+J730*$AE$19+K730*$AE$20+L730*$AE$21+M730*$AE$22+N730*$AE$23+O730*$AE$24+P730*$AE$25+Q730*$AE$26+R730*$AE$27+S730*$AE$28+T730*$AE$29+U730*$AE$30</f>
        <v/>
      </c>
      <c r="W730" s="8">
        <f>1/(1+EXP(-V730))</f>
        <v/>
      </c>
      <c r="X730" s="9">
        <f>-IF(C730=1,LN(W730),LN(1-W730))</f>
        <v/>
      </c>
      <c r="Y730" s="8">
        <f>IF(C730=1,$AE$32,$AE$33)</f>
        <v/>
      </c>
      <c r="Z730" s="9">
        <f>Y730*X730</f>
        <v/>
      </c>
      <c r="AA730" s="10">
        <f>IF(W730&gt;$AE$34,1,0)</f>
        <v/>
      </c>
      <c r="AB730">
        <f>IF(AA730=C730,1,0)</f>
        <v/>
      </c>
    </row>
    <row r="731">
      <c r="A731">
        <f>'1 datos preparados'!A724</f>
        <v/>
      </c>
      <c r="B731" s="5">
        <f>'1 datos preparados'!U724</f>
        <v/>
      </c>
      <c r="C731">
        <f>'1 datos preparados'!B724</f>
        <v/>
      </c>
      <c r="D731" s="7">
        <f>'1 datos preparados'!C724</f>
        <v/>
      </c>
      <c r="E731" s="7">
        <f>'1 datos preparados'!D724</f>
        <v/>
      </c>
      <c r="F731" s="7">
        <f>'1 datos preparados'!E724</f>
        <v/>
      </c>
      <c r="G731" s="7">
        <f>'1 datos preparados'!F724</f>
        <v/>
      </c>
      <c r="H731" s="7">
        <f>'1 datos preparados'!G724</f>
        <v/>
      </c>
      <c r="I731" s="7">
        <f>'1 datos preparados'!H724</f>
        <v/>
      </c>
      <c r="J731" s="7">
        <f>'1 datos preparados'!I724</f>
        <v/>
      </c>
      <c r="K731" s="7">
        <f>'1 datos preparados'!J724</f>
        <v/>
      </c>
      <c r="L731" s="7">
        <f>'1 datos preparados'!K724</f>
        <v/>
      </c>
      <c r="M731" s="7">
        <f>'1 datos preparados'!L724</f>
        <v/>
      </c>
      <c r="N731" s="7">
        <f>'1 datos preparados'!M724</f>
        <v/>
      </c>
      <c r="O731" s="7">
        <f>'1 datos preparados'!N724</f>
        <v/>
      </c>
      <c r="P731" s="7">
        <f>'1 datos preparados'!O724</f>
        <v/>
      </c>
      <c r="Q731" s="7">
        <f>'1 datos preparados'!P724</f>
        <v/>
      </c>
      <c r="R731" s="7">
        <f>'1 datos preparados'!Q724</f>
        <v/>
      </c>
      <c r="S731" s="7">
        <f>'1 datos preparados'!R724</f>
        <v/>
      </c>
      <c r="T731" s="7">
        <f>'1 datos preparados'!S724</f>
        <v/>
      </c>
      <c r="U731" s="7">
        <f>'1 datos preparados'!T724</f>
        <v/>
      </c>
      <c r="V731" s="8">
        <f>$AE$12+D731*$AE$13+E731*$AE$14+F731*$AE$15+G731*$AE$16+H731*$AE$17+I731*$AE$18+J731*$AE$19+K731*$AE$20+L731*$AE$21+M731*$AE$22+N731*$AE$23+O731*$AE$24+P731*$AE$25+Q731*$AE$26+R731*$AE$27+S731*$AE$28+T731*$AE$29+U731*$AE$30</f>
        <v/>
      </c>
      <c r="W731" s="8">
        <f>1/(1+EXP(-V731))</f>
        <v/>
      </c>
      <c r="X731" s="9">
        <f>-IF(C731=1,LN(W731),LN(1-W731))</f>
        <v/>
      </c>
      <c r="Y731" s="8">
        <f>IF(C731=1,$AE$32,$AE$33)</f>
        <v/>
      </c>
      <c r="Z731" s="9">
        <f>Y731*X731</f>
        <v/>
      </c>
      <c r="AA731" s="10">
        <f>IF(W731&gt;$AE$34,1,0)</f>
        <v/>
      </c>
      <c r="AB731">
        <f>IF(AA731=C731,1,0)</f>
        <v/>
      </c>
    </row>
    <row r="732">
      <c r="A732">
        <f>'1 datos preparados'!A725</f>
        <v/>
      </c>
      <c r="B732" s="5">
        <f>'1 datos preparados'!U725</f>
        <v/>
      </c>
      <c r="C732">
        <f>'1 datos preparados'!B725</f>
        <v/>
      </c>
      <c r="D732" s="7">
        <f>'1 datos preparados'!C725</f>
        <v/>
      </c>
      <c r="E732" s="7">
        <f>'1 datos preparados'!D725</f>
        <v/>
      </c>
      <c r="F732" s="7">
        <f>'1 datos preparados'!E725</f>
        <v/>
      </c>
      <c r="G732" s="7">
        <f>'1 datos preparados'!F725</f>
        <v/>
      </c>
      <c r="H732" s="7">
        <f>'1 datos preparados'!G725</f>
        <v/>
      </c>
      <c r="I732" s="7">
        <f>'1 datos preparados'!H725</f>
        <v/>
      </c>
      <c r="J732" s="7">
        <f>'1 datos preparados'!I725</f>
        <v/>
      </c>
      <c r="K732" s="7">
        <f>'1 datos preparados'!J725</f>
        <v/>
      </c>
      <c r="L732" s="7">
        <f>'1 datos preparados'!K725</f>
        <v/>
      </c>
      <c r="M732" s="7">
        <f>'1 datos preparados'!L725</f>
        <v/>
      </c>
      <c r="N732" s="7">
        <f>'1 datos preparados'!M725</f>
        <v/>
      </c>
      <c r="O732" s="7">
        <f>'1 datos preparados'!N725</f>
        <v/>
      </c>
      <c r="P732" s="7">
        <f>'1 datos preparados'!O725</f>
        <v/>
      </c>
      <c r="Q732" s="7">
        <f>'1 datos preparados'!P725</f>
        <v/>
      </c>
      <c r="R732" s="7">
        <f>'1 datos preparados'!Q725</f>
        <v/>
      </c>
      <c r="S732" s="7">
        <f>'1 datos preparados'!R725</f>
        <v/>
      </c>
      <c r="T732" s="7">
        <f>'1 datos preparados'!S725</f>
        <v/>
      </c>
      <c r="U732" s="7">
        <f>'1 datos preparados'!T725</f>
        <v/>
      </c>
      <c r="V732" s="8">
        <f>$AE$12+D732*$AE$13+E732*$AE$14+F732*$AE$15+G732*$AE$16+H732*$AE$17+I732*$AE$18+J732*$AE$19+K732*$AE$20+L732*$AE$21+M732*$AE$22+N732*$AE$23+O732*$AE$24+P732*$AE$25+Q732*$AE$26+R732*$AE$27+S732*$AE$28+T732*$AE$29+U732*$AE$30</f>
        <v/>
      </c>
      <c r="W732" s="8">
        <f>1/(1+EXP(-V732))</f>
        <v/>
      </c>
      <c r="X732" s="9">
        <f>-IF(C732=1,LN(W732),LN(1-W732))</f>
        <v/>
      </c>
      <c r="Y732" s="8">
        <f>IF(C732=1,$AE$32,$AE$33)</f>
        <v/>
      </c>
      <c r="Z732" s="9">
        <f>Y732*X732</f>
        <v/>
      </c>
      <c r="AA732" s="10">
        <f>IF(W732&gt;$AE$34,1,0)</f>
        <v/>
      </c>
      <c r="AB732">
        <f>IF(AA732=C732,1,0)</f>
        <v/>
      </c>
    </row>
    <row r="733">
      <c r="A733">
        <f>'1 datos preparados'!A726</f>
        <v/>
      </c>
      <c r="B733" s="5">
        <f>'1 datos preparados'!U726</f>
        <v/>
      </c>
      <c r="C733">
        <f>'1 datos preparados'!B726</f>
        <v/>
      </c>
      <c r="D733" s="7">
        <f>'1 datos preparados'!C726</f>
        <v/>
      </c>
      <c r="E733" s="7">
        <f>'1 datos preparados'!D726</f>
        <v/>
      </c>
      <c r="F733" s="7">
        <f>'1 datos preparados'!E726</f>
        <v/>
      </c>
      <c r="G733" s="7">
        <f>'1 datos preparados'!F726</f>
        <v/>
      </c>
      <c r="H733" s="7">
        <f>'1 datos preparados'!G726</f>
        <v/>
      </c>
      <c r="I733" s="7">
        <f>'1 datos preparados'!H726</f>
        <v/>
      </c>
      <c r="J733" s="7">
        <f>'1 datos preparados'!I726</f>
        <v/>
      </c>
      <c r="K733" s="7">
        <f>'1 datos preparados'!J726</f>
        <v/>
      </c>
      <c r="L733" s="7">
        <f>'1 datos preparados'!K726</f>
        <v/>
      </c>
      <c r="M733" s="7">
        <f>'1 datos preparados'!L726</f>
        <v/>
      </c>
      <c r="N733" s="7">
        <f>'1 datos preparados'!M726</f>
        <v/>
      </c>
      <c r="O733" s="7">
        <f>'1 datos preparados'!N726</f>
        <v/>
      </c>
      <c r="P733" s="7">
        <f>'1 datos preparados'!O726</f>
        <v/>
      </c>
      <c r="Q733" s="7">
        <f>'1 datos preparados'!P726</f>
        <v/>
      </c>
      <c r="R733" s="7">
        <f>'1 datos preparados'!Q726</f>
        <v/>
      </c>
      <c r="S733" s="7">
        <f>'1 datos preparados'!R726</f>
        <v/>
      </c>
      <c r="T733" s="7">
        <f>'1 datos preparados'!S726</f>
        <v/>
      </c>
      <c r="U733" s="7">
        <f>'1 datos preparados'!T726</f>
        <v/>
      </c>
      <c r="V733" s="8">
        <f>$AE$12+D733*$AE$13+E733*$AE$14+F733*$AE$15+G733*$AE$16+H733*$AE$17+I733*$AE$18+J733*$AE$19+K733*$AE$20+L733*$AE$21+M733*$AE$22+N733*$AE$23+O733*$AE$24+P733*$AE$25+Q733*$AE$26+R733*$AE$27+S733*$AE$28+T733*$AE$29+U733*$AE$30</f>
        <v/>
      </c>
      <c r="W733" s="8">
        <f>1/(1+EXP(-V733))</f>
        <v/>
      </c>
      <c r="X733" s="9">
        <f>-IF(C733=1,LN(W733),LN(1-W733))</f>
        <v/>
      </c>
      <c r="Y733" s="8">
        <f>IF(C733=1,$AE$32,$AE$33)</f>
        <v/>
      </c>
      <c r="Z733" s="9">
        <f>Y733*X733</f>
        <v/>
      </c>
      <c r="AA733" s="10">
        <f>IF(W733&gt;$AE$34,1,0)</f>
        <v/>
      </c>
      <c r="AB733">
        <f>IF(AA733=C733,1,0)</f>
        <v/>
      </c>
    </row>
    <row r="734">
      <c r="A734">
        <f>'1 datos preparados'!A727</f>
        <v/>
      </c>
      <c r="B734" s="5">
        <f>'1 datos preparados'!U727</f>
        <v/>
      </c>
      <c r="C734">
        <f>'1 datos preparados'!B727</f>
        <v/>
      </c>
      <c r="D734" s="7">
        <f>'1 datos preparados'!C727</f>
        <v/>
      </c>
      <c r="E734" s="7">
        <f>'1 datos preparados'!D727</f>
        <v/>
      </c>
      <c r="F734" s="7">
        <f>'1 datos preparados'!E727</f>
        <v/>
      </c>
      <c r="G734" s="7">
        <f>'1 datos preparados'!F727</f>
        <v/>
      </c>
      <c r="H734" s="7">
        <f>'1 datos preparados'!G727</f>
        <v/>
      </c>
      <c r="I734" s="7">
        <f>'1 datos preparados'!H727</f>
        <v/>
      </c>
      <c r="J734" s="7">
        <f>'1 datos preparados'!I727</f>
        <v/>
      </c>
      <c r="K734" s="7">
        <f>'1 datos preparados'!J727</f>
        <v/>
      </c>
      <c r="L734" s="7">
        <f>'1 datos preparados'!K727</f>
        <v/>
      </c>
      <c r="M734" s="7">
        <f>'1 datos preparados'!L727</f>
        <v/>
      </c>
      <c r="N734" s="7">
        <f>'1 datos preparados'!M727</f>
        <v/>
      </c>
      <c r="O734" s="7">
        <f>'1 datos preparados'!N727</f>
        <v/>
      </c>
      <c r="P734" s="7">
        <f>'1 datos preparados'!O727</f>
        <v/>
      </c>
      <c r="Q734" s="7">
        <f>'1 datos preparados'!P727</f>
        <v/>
      </c>
      <c r="R734" s="7">
        <f>'1 datos preparados'!Q727</f>
        <v/>
      </c>
      <c r="S734" s="7">
        <f>'1 datos preparados'!R727</f>
        <v/>
      </c>
      <c r="T734" s="7">
        <f>'1 datos preparados'!S727</f>
        <v/>
      </c>
      <c r="U734" s="7">
        <f>'1 datos preparados'!T727</f>
        <v/>
      </c>
      <c r="V734" s="8">
        <f>$AE$12+D734*$AE$13+E734*$AE$14+F734*$AE$15+G734*$AE$16+H734*$AE$17+I734*$AE$18+J734*$AE$19+K734*$AE$20+L734*$AE$21+M734*$AE$22+N734*$AE$23+O734*$AE$24+P734*$AE$25+Q734*$AE$26+R734*$AE$27+S734*$AE$28+T734*$AE$29+U734*$AE$30</f>
        <v/>
      </c>
      <c r="W734" s="8">
        <f>1/(1+EXP(-V734))</f>
        <v/>
      </c>
      <c r="X734" s="9">
        <f>-IF(C734=1,LN(W734),LN(1-W734))</f>
        <v/>
      </c>
      <c r="Y734" s="8">
        <f>IF(C734=1,$AE$32,$AE$33)</f>
        <v/>
      </c>
      <c r="Z734" s="9">
        <f>Y734*X734</f>
        <v/>
      </c>
      <c r="AA734" s="10">
        <f>IF(W734&gt;$AE$34,1,0)</f>
        <v/>
      </c>
      <c r="AB734">
        <f>IF(AA734=C734,1,0)</f>
        <v/>
      </c>
    </row>
    <row r="735">
      <c r="A735">
        <f>'1 datos preparados'!A728</f>
        <v/>
      </c>
      <c r="B735" s="5">
        <f>'1 datos preparados'!U728</f>
        <v/>
      </c>
      <c r="C735">
        <f>'1 datos preparados'!B728</f>
        <v/>
      </c>
      <c r="D735" s="7">
        <f>'1 datos preparados'!C728</f>
        <v/>
      </c>
      <c r="E735" s="7">
        <f>'1 datos preparados'!D728</f>
        <v/>
      </c>
      <c r="F735" s="7">
        <f>'1 datos preparados'!E728</f>
        <v/>
      </c>
      <c r="G735" s="7">
        <f>'1 datos preparados'!F728</f>
        <v/>
      </c>
      <c r="H735" s="7">
        <f>'1 datos preparados'!G728</f>
        <v/>
      </c>
      <c r="I735" s="7">
        <f>'1 datos preparados'!H728</f>
        <v/>
      </c>
      <c r="J735" s="7">
        <f>'1 datos preparados'!I728</f>
        <v/>
      </c>
      <c r="K735" s="7">
        <f>'1 datos preparados'!J728</f>
        <v/>
      </c>
      <c r="L735" s="7">
        <f>'1 datos preparados'!K728</f>
        <v/>
      </c>
      <c r="M735" s="7">
        <f>'1 datos preparados'!L728</f>
        <v/>
      </c>
      <c r="N735" s="7">
        <f>'1 datos preparados'!M728</f>
        <v/>
      </c>
      <c r="O735" s="7">
        <f>'1 datos preparados'!N728</f>
        <v/>
      </c>
      <c r="P735" s="7">
        <f>'1 datos preparados'!O728</f>
        <v/>
      </c>
      <c r="Q735" s="7">
        <f>'1 datos preparados'!P728</f>
        <v/>
      </c>
      <c r="R735" s="7">
        <f>'1 datos preparados'!Q728</f>
        <v/>
      </c>
      <c r="S735" s="7">
        <f>'1 datos preparados'!R728</f>
        <v/>
      </c>
      <c r="T735" s="7">
        <f>'1 datos preparados'!S728</f>
        <v/>
      </c>
      <c r="U735" s="7">
        <f>'1 datos preparados'!T728</f>
        <v/>
      </c>
      <c r="V735" s="8">
        <f>$AE$12+D735*$AE$13+E735*$AE$14+F735*$AE$15+G735*$AE$16+H735*$AE$17+I735*$AE$18+J735*$AE$19+K735*$AE$20+L735*$AE$21+M735*$AE$22+N735*$AE$23+O735*$AE$24+P735*$AE$25+Q735*$AE$26+R735*$AE$27+S735*$AE$28+T735*$AE$29+U735*$AE$30</f>
        <v/>
      </c>
      <c r="W735" s="8">
        <f>1/(1+EXP(-V735))</f>
        <v/>
      </c>
      <c r="X735" s="9">
        <f>-IF(C735=1,LN(W735),LN(1-W735))</f>
        <v/>
      </c>
      <c r="Y735" s="8">
        <f>IF(C735=1,$AE$32,$AE$33)</f>
        <v/>
      </c>
      <c r="Z735" s="9">
        <f>Y735*X735</f>
        <v/>
      </c>
      <c r="AA735" s="10">
        <f>IF(W735&gt;$AE$34,1,0)</f>
        <v/>
      </c>
      <c r="AB735">
        <f>IF(AA735=C735,1,0)</f>
        <v/>
      </c>
    </row>
    <row r="736">
      <c r="A736">
        <f>'1 datos preparados'!A729</f>
        <v/>
      </c>
      <c r="B736" s="5">
        <f>'1 datos preparados'!U729</f>
        <v/>
      </c>
      <c r="C736">
        <f>'1 datos preparados'!B729</f>
        <v/>
      </c>
      <c r="D736" s="7">
        <f>'1 datos preparados'!C729</f>
        <v/>
      </c>
      <c r="E736" s="7">
        <f>'1 datos preparados'!D729</f>
        <v/>
      </c>
      <c r="F736" s="7">
        <f>'1 datos preparados'!E729</f>
        <v/>
      </c>
      <c r="G736" s="7">
        <f>'1 datos preparados'!F729</f>
        <v/>
      </c>
      <c r="H736" s="7">
        <f>'1 datos preparados'!G729</f>
        <v/>
      </c>
      <c r="I736" s="7">
        <f>'1 datos preparados'!H729</f>
        <v/>
      </c>
      <c r="J736" s="7">
        <f>'1 datos preparados'!I729</f>
        <v/>
      </c>
      <c r="K736" s="7">
        <f>'1 datos preparados'!J729</f>
        <v/>
      </c>
      <c r="L736" s="7">
        <f>'1 datos preparados'!K729</f>
        <v/>
      </c>
      <c r="M736" s="7">
        <f>'1 datos preparados'!L729</f>
        <v/>
      </c>
      <c r="N736" s="7">
        <f>'1 datos preparados'!M729</f>
        <v/>
      </c>
      <c r="O736" s="7">
        <f>'1 datos preparados'!N729</f>
        <v/>
      </c>
      <c r="P736" s="7">
        <f>'1 datos preparados'!O729</f>
        <v/>
      </c>
      <c r="Q736" s="7">
        <f>'1 datos preparados'!P729</f>
        <v/>
      </c>
      <c r="R736" s="7">
        <f>'1 datos preparados'!Q729</f>
        <v/>
      </c>
      <c r="S736" s="7">
        <f>'1 datos preparados'!R729</f>
        <v/>
      </c>
      <c r="T736" s="7">
        <f>'1 datos preparados'!S729</f>
        <v/>
      </c>
      <c r="U736" s="7">
        <f>'1 datos preparados'!T729</f>
        <v/>
      </c>
      <c r="V736" s="8">
        <f>$AE$12+D736*$AE$13+E736*$AE$14+F736*$AE$15+G736*$AE$16+H736*$AE$17+I736*$AE$18+J736*$AE$19+K736*$AE$20+L736*$AE$21+M736*$AE$22+N736*$AE$23+O736*$AE$24+P736*$AE$25+Q736*$AE$26+R736*$AE$27+S736*$AE$28+T736*$AE$29+U736*$AE$30</f>
        <v/>
      </c>
      <c r="W736" s="8">
        <f>1/(1+EXP(-V736))</f>
        <v/>
      </c>
      <c r="X736" s="9">
        <f>-IF(C736=1,LN(W736),LN(1-W736))</f>
        <v/>
      </c>
      <c r="Y736" s="8">
        <f>IF(C736=1,$AE$32,$AE$33)</f>
        <v/>
      </c>
      <c r="Z736" s="9">
        <f>Y736*X736</f>
        <v/>
      </c>
      <c r="AA736" s="10">
        <f>IF(W736&gt;$AE$34,1,0)</f>
        <v/>
      </c>
      <c r="AB736">
        <f>IF(AA736=C736,1,0)</f>
        <v/>
      </c>
    </row>
    <row r="737">
      <c r="A737">
        <f>'1 datos preparados'!A730</f>
        <v/>
      </c>
      <c r="B737" s="5">
        <f>'1 datos preparados'!U730</f>
        <v/>
      </c>
      <c r="C737">
        <f>'1 datos preparados'!B730</f>
        <v/>
      </c>
      <c r="D737" s="7">
        <f>'1 datos preparados'!C730</f>
        <v/>
      </c>
      <c r="E737" s="7">
        <f>'1 datos preparados'!D730</f>
        <v/>
      </c>
      <c r="F737" s="7">
        <f>'1 datos preparados'!E730</f>
        <v/>
      </c>
      <c r="G737" s="7">
        <f>'1 datos preparados'!F730</f>
        <v/>
      </c>
      <c r="H737" s="7">
        <f>'1 datos preparados'!G730</f>
        <v/>
      </c>
      <c r="I737" s="7">
        <f>'1 datos preparados'!H730</f>
        <v/>
      </c>
      <c r="J737" s="7">
        <f>'1 datos preparados'!I730</f>
        <v/>
      </c>
      <c r="K737" s="7">
        <f>'1 datos preparados'!J730</f>
        <v/>
      </c>
      <c r="L737" s="7">
        <f>'1 datos preparados'!K730</f>
        <v/>
      </c>
      <c r="M737" s="7">
        <f>'1 datos preparados'!L730</f>
        <v/>
      </c>
      <c r="N737" s="7">
        <f>'1 datos preparados'!M730</f>
        <v/>
      </c>
      <c r="O737" s="7">
        <f>'1 datos preparados'!N730</f>
        <v/>
      </c>
      <c r="P737" s="7">
        <f>'1 datos preparados'!O730</f>
        <v/>
      </c>
      <c r="Q737" s="7">
        <f>'1 datos preparados'!P730</f>
        <v/>
      </c>
      <c r="R737" s="7">
        <f>'1 datos preparados'!Q730</f>
        <v/>
      </c>
      <c r="S737" s="7">
        <f>'1 datos preparados'!R730</f>
        <v/>
      </c>
      <c r="T737" s="7">
        <f>'1 datos preparados'!S730</f>
        <v/>
      </c>
      <c r="U737" s="7">
        <f>'1 datos preparados'!T730</f>
        <v/>
      </c>
      <c r="V737" s="8">
        <f>$AE$12+D737*$AE$13+E737*$AE$14+F737*$AE$15+G737*$AE$16+H737*$AE$17+I737*$AE$18+J737*$AE$19+K737*$AE$20+L737*$AE$21+M737*$AE$22+N737*$AE$23+O737*$AE$24+P737*$AE$25+Q737*$AE$26+R737*$AE$27+S737*$AE$28+T737*$AE$29+U737*$AE$30</f>
        <v/>
      </c>
      <c r="W737" s="8">
        <f>1/(1+EXP(-V737))</f>
        <v/>
      </c>
      <c r="X737" s="9">
        <f>-IF(C737=1,LN(W737),LN(1-W737))</f>
        <v/>
      </c>
      <c r="Y737" s="8">
        <f>IF(C737=1,$AE$32,$AE$33)</f>
        <v/>
      </c>
      <c r="Z737" s="9">
        <f>Y737*X737</f>
        <v/>
      </c>
      <c r="AA737" s="10">
        <f>IF(W737&gt;$AE$34,1,0)</f>
        <v/>
      </c>
      <c r="AB737">
        <f>IF(AA737=C737,1,0)</f>
        <v/>
      </c>
    </row>
    <row r="738">
      <c r="A738">
        <f>'1 datos preparados'!A731</f>
        <v/>
      </c>
      <c r="B738" s="5">
        <f>'1 datos preparados'!U731</f>
        <v/>
      </c>
      <c r="C738">
        <f>'1 datos preparados'!B731</f>
        <v/>
      </c>
      <c r="D738" s="7">
        <f>'1 datos preparados'!C731</f>
        <v/>
      </c>
      <c r="E738" s="7">
        <f>'1 datos preparados'!D731</f>
        <v/>
      </c>
      <c r="F738" s="7">
        <f>'1 datos preparados'!E731</f>
        <v/>
      </c>
      <c r="G738" s="7">
        <f>'1 datos preparados'!F731</f>
        <v/>
      </c>
      <c r="H738" s="7">
        <f>'1 datos preparados'!G731</f>
        <v/>
      </c>
      <c r="I738" s="7">
        <f>'1 datos preparados'!H731</f>
        <v/>
      </c>
      <c r="J738" s="7">
        <f>'1 datos preparados'!I731</f>
        <v/>
      </c>
      <c r="K738" s="7">
        <f>'1 datos preparados'!J731</f>
        <v/>
      </c>
      <c r="L738" s="7">
        <f>'1 datos preparados'!K731</f>
        <v/>
      </c>
      <c r="M738" s="7">
        <f>'1 datos preparados'!L731</f>
        <v/>
      </c>
      <c r="N738" s="7">
        <f>'1 datos preparados'!M731</f>
        <v/>
      </c>
      <c r="O738" s="7">
        <f>'1 datos preparados'!N731</f>
        <v/>
      </c>
      <c r="P738" s="7">
        <f>'1 datos preparados'!O731</f>
        <v/>
      </c>
      <c r="Q738" s="7">
        <f>'1 datos preparados'!P731</f>
        <v/>
      </c>
      <c r="R738" s="7">
        <f>'1 datos preparados'!Q731</f>
        <v/>
      </c>
      <c r="S738" s="7">
        <f>'1 datos preparados'!R731</f>
        <v/>
      </c>
      <c r="T738" s="7">
        <f>'1 datos preparados'!S731</f>
        <v/>
      </c>
      <c r="U738" s="7">
        <f>'1 datos preparados'!T731</f>
        <v/>
      </c>
      <c r="V738" s="8">
        <f>$AE$12+D738*$AE$13+E738*$AE$14+F738*$AE$15+G738*$AE$16+H738*$AE$17+I738*$AE$18+J738*$AE$19+K738*$AE$20+L738*$AE$21+M738*$AE$22+N738*$AE$23+O738*$AE$24+P738*$AE$25+Q738*$AE$26+R738*$AE$27+S738*$AE$28+T738*$AE$29+U738*$AE$30</f>
        <v/>
      </c>
      <c r="W738" s="8">
        <f>1/(1+EXP(-V738))</f>
        <v/>
      </c>
      <c r="X738" s="9">
        <f>-IF(C738=1,LN(W738),LN(1-W738))</f>
        <v/>
      </c>
      <c r="Y738" s="8">
        <f>IF(C738=1,$AE$32,$AE$33)</f>
        <v/>
      </c>
      <c r="Z738" s="9">
        <f>Y738*X738</f>
        <v/>
      </c>
      <c r="AA738" s="10">
        <f>IF(W738&gt;$AE$34,1,0)</f>
        <v/>
      </c>
      <c r="AB738">
        <f>IF(AA738=C738,1,0)</f>
        <v/>
      </c>
    </row>
    <row r="739">
      <c r="A739">
        <f>'1 datos preparados'!A732</f>
        <v/>
      </c>
      <c r="B739" s="5">
        <f>'1 datos preparados'!U732</f>
        <v/>
      </c>
      <c r="C739">
        <f>'1 datos preparados'!B732</f>
        <v/>
      </c>
      <c r="D739" s="7">
        <f>'1 datos preparados'!C732</f>
        <v/>
      </c>
      <c r="E739" s="7">
        <f>'1 datos preparados'!D732</f>
        <v/>
      </c>
      <c r="F739" s="7">
        <f>'1 datos preparados'!E732</f>
        <v/>
      </c>
      <c r="G739" s="7">
        <f>'1 datos preparados'!F732</f>
        <v/>
      </c>
      <c r="H739" s="7">
        <f>'1 datos preparados'!G732</f>
        <v/>
      </c>
      <c r="I739" s="7">
        <f>'1 datos preparados'!H732</f>
        <v/>
      </c>
      <c r="J739" s="7">
        <f>'1 datos preparados'!I732</f>
        <v/>
      </c>
      <c r="K739" s="7">
        <f>'1 datos preparados'!J732</f>
        <v/>
      </c>
      <c r="L739" s="7">
        <f>'1 datos preparados'!K732</f>
        <v/>
      </c>
      <c r="M739" s="7">
        <f>'1 datos preparados'!L732</f>
        <v/>
      </c>
      <c r="N739" s="7">
        <f>'1 datos preparados'!M732</f>
        <v/>
      </c>
      <c r="O739" s="7">
        <f>'1 datos preparados'!N732</f>
        <v/>
      </c>
      <c r="P739" s="7">
        <f>'1 datos preparados'!O732</f>
        <v/>
      </c>
      <c r="Q739" s="7">
        <f>'1 datos preparados'!P732</f>
        <v/>
      </c>
      <c r="R739" s="7">
        <f>'1 datos preparados'!Q732</f>
        <v/>
      </c>
      <c r="S739" s="7">
        <f>'1 datos preparados'!R732</f>
        <v/>
      </c>
      <c r="T739" s="7">
        <f>'1 datos preparados'!S732</f>
        <v/>
      </c>
      <c r="U739" s="7">
        <f>'1 datos preparados'!T732</f>
        <v/>
      </c>
      <c r="V739" s="8">
        <f>$AE$12+D739*$AE$13+E739*$AE$14+F739*$AE$15+G739*$AE$16+H739*$AE$17+I739*$AE$18+J739*$AE$19+K739*$AE$20+L739*$AE$21+M739*$AE$22+N739*$AE$23+O739*$AE$24+P739*$AE$25+Q739*$AE$26+R739*$AE$27+S739*$AE$28+T739*$AE$29+U739*$AE$30</f>
        <v/>
      </c>
      <c r="W739" s="8">
        <f>1/(1+EXP(-V739))</f>
        <v/>
      </c>
      <c r="X739" s="9">
        <f>-IF(C739=1,LN(W739),LN(1-W739))</f>
        <v/>
      </c>
      <c r="Y739" s="8">
        <f>IF(C739=1,$AE$32,$AE$33)</f>
        <v/>
      </c>
      <c r="Z739" s="9">
        <f>Y739*X739</f>
        <v/>
      </c>
      <c r="AA739" s="10">
        <f>IF(W739&gt;$AE$34,1,0)</f>
        <v/>
      </c>
      <c r="AB739">
        <f>IF(AA739=C739,1,0)</f>
        <v/>
      </c>
    </row>
    <row r="740">
      <c r="A740">
        <f>'1 datos preparados'!A733</f>
        <v/>
      </c>
      <c r="B740" s="5">
        <f>'1 datos preparados'!U733</f>
        <v/>
      </c>
      <c r="C740">
        <f>'1 datos preparados'!B733</f>
        <v/>
      </c>
      <c r="D740" s="7">
        <f>'1 datos preparados'!C733</f>
        <v/>
      </c>
      <c r="E740" s="7">
        <f>'1 datos preparados'!D733</f>
        <v/>
      </c>
      <c r="F740" s="7">
        <f>'1 datos preparados'!E733</f>
        <v/>
      </c>
      <c r="G740" s="7">
        <f>'1 datos preparados'!F733</f>
        <v/>
      </c>
      <c r="H740" s="7">
        <f>'1 datos preparados'!G733</f>
        <v/>
      </c>
      <c r="I740" s="7">
        <f>'1 datos preparados'!H733</f>
        <v/>
      </c>
      <c r="J740" s="7">
        <f>'1 datos preparados'!I733</f>
        <v/>
      </c>
      <c r="K740" s="7">
        <f>'1 datos preparados'!J733</f>
        <v/>
      </c>
      <c r="L740" s="7">
        <f>'1 datos preparados'!K733</f>
        <v/>
      </c>
      <c r="M740" s="7">
        <f>'1 datos preparados'!L733</f>
        <v/>
      </c>
      <c r="N740" s="7">
        <f>'1 datos preparados'!M733</f>
        <v/>
      </c>
      <c r="O740" s="7">
        <f>'1 datos preparados'!N733</f>
        <v/>
      </c>
      <c r="P740" s="7">
        <f>'1 datos preparados'!O733</f>
        <v/>
      </c>
      <c r="Q740" s="7">
        <f>'1 datos preparados'!P733</f>
        <v/>
      </c>
      <c r="R740" s="7">
        <f>'1 datos preparados'!Q733</f>
        <v/>
      </c>
      <c r="S740" s="7">
        <f>'1 datos preparados'!R733</f>
        <v/>
      </c>
      <c r="T740" s="7">
        <f>'1 datos preparados'!S733</f>
        <v/>
      </c>
      <c r="U740" s="7">
        <f>'1 datos preparados'!T733</f>
        <v/>
      </c>
      <c r="V740" s="8">
        <f>$AE$12+D740*$AE$13+E740*$AE$14+F740*$AE$15+G740*$AE$16+H740*$AE$17+I740*$AE$18+J740*$AE$19+K740*$AE$20+L740*$AE$21+M740*$AE$22+N740*$AE$23+O740*$AE$24+P740*$AE$25+Q740*$AE$26+R740*$AE$27+S740*$AE$28+T740*$AE$29+U740*$AE$30</f>
        <v/>
      </c>
      <c r="W740" s="8">
        <f>1/(1+EXP(-V740))</f>
        <v/>
      </c>
      <c r="X740" s="9">
        <f>-IF(C740=1,LN(W740),LN(1-W740))</f>
        <v/>
      </c>
      <c r="Y740" s="8">
        <f>IF(C740=1,$AE$32,$AE$33)</f>
        <v/>
      </c>
      <c r="Z740" s="9">
        <f>Y740*X740</f>
        <v/>
      </c>
      <c r="AA740" s="10">
        <f>IF(W740&gt;$AE$34,1,0)</f>
        <v/>
      </c>
      <c r="AB740">
        <f>IF(AA740=C740,1,0)</f>
        <v/>
      </c>
    </row>
    <row r="741">
      <c r="A741">
        <f>'1 datos preparados'!A734</f>
        <v/>
      </c>
      <c r="B741" s="5">
        <f>'1 datos preparados'!U734</f>
        <v/>
      </c>
      <c r="C741">
        <f>'1 datos preparados'!B734</f>
        <v/>
      </c>
      <c r="D741" s="7">
        <f>'1 datos preparados'!C734</f>
        <v/>
      </c>
      <c r="E741" s="7">
        <f>'1 datos preparados'!D734</f>
        <v/>
      </c>
      <c r="F741" s="7">
        <f>'1 datos preparados'!E734</f>
        <v/>
      </c>
      <c r="G741" s="7">
        <f>'1 datos preparados'!F734</f>
        <v/>
      </c>
      <c r="H741" s="7">
        <f>'1 datos preparados'!G734</f>
        <v/>
      </c>
      <c r="I741" s="7">
        <f>'1 datos preparados'!H734</f>
        <v/>
      </c>
      <c r="J741" s="7">
        <f>'1 datos preparados'!I734</f>
        <v/>
      </c>
      <c r="K741" s="7">
        <f>'1 datos preparados'!J734</f>
        <v/>
      </c>
      <c r="L741" s="7">
        <f>'1 datos preparados'!K734</f>
        <v/>
      </c>
      <c r="M741" s="7">
        <f>'1 datos preparados'!L734</f>
        <v/>
      </c>
      <c r="N741" s="7">
        <f>'1 datos preparados'!M734</f>
        <v/>
      </c>
      <c r="O741" s="7">
        <f>'1 datos preparados'!N734</f>
        <v/>
      </c>
      <c r="P741" s="7">
        <f>'1 datos preparados'!O734</f>
        <v/>
      </c>
      <c r="Q741" s="7">
        <f>'1 datos preparados'!P734</f>
        <v/>
      </c>
      <c r="R741" s="7">
        <f>'1 datos preparados'!Q734</f>
        <v/>
      </c>
      <c r="S741" s="7">
        <f>'1 datos preparados'!R734</f>
        <v/>
      </c>
      <c r="T741" s="7">
        <f>'1 datos preparados'!S734</f>
        <v/>
      </c>
      <c r="U741" s="7">
        <f>'1 datos preparados'!T734</f>
        <v/>
      </c>
      <c r="V741" s="8">
        <f>$AE$12+D741*$AE$13+E741*$AE$14+F741*$AE$15+G741*$AE$16+H741*$AE$17+I741*$AE$18+J741*$AE$19+K741*$AE$20+L741*$AE$21+M741*$AE$22+N741*$AE$23+O741*$AE$24+P741*$AE$25+Q741*$AE$26+R741*$AE$27+S741*$AE$28+T741*$AE$29+U741*$AE$30</f>
        <v/>
      </c>
      <c r="W741" s="8">
        <f>1/(1+EXP(-V741))</f>
        <v/>
      </c>
      <c r="X741" s="9">
        <f>-IF(C741=1,LN(W741),LN(1-W741))</f>
        <v/>
      </c>
      <c r="Y741" s="8">
        <f>IF(C741=1,$AE$32,$AE$33)</f>
        <v/>
      </c>
      <c r="Z741" s="9">
        <f>Y741*X741</f>
        <v/>
      </c>
      <c r="AA741" s="10">
        <f>IF(W741&gt;$AE$34,1,0)</f>
        <v/>
      </c>
      <c r="AB741">
        <f>IF(AA741=C741,1,0)</f>
        <v/>
      </c>
    </row>
    <row r="742">
      <c r="A742">
        <f>'1 datos preparados'!A735</f>
        <v/>
      </c>
      <c r="B742" s="5">
        <f>'1 datos preparados'!U735</f>
        <v/>
      </c>
      <c r="C742">
        <f>'1 datos preparados'!B735</f>
        <v/>
      </c>
      <c r="D742" s="7">
        <f>'1 datos preparados'!C735</f>
        <v/>
      </c>
      <c r="E742" s="7">
        <f>'1 datos preparados'!D735</f>
        <v/>
      </c>
      <c r="F742" s="7">
        <f>'1 datos preparados'!E735</f>
        <v/>
      </c>
      <c r="G742" s="7">
        <f>'1 datos preparados'!F735</f>
        <v/>
      </c>
      <c r="H742" s="7">
        <f>'1 datos preparados'!G735</f>
        <v/>
      </c>
      <c r="I742" s="7">
        <f>'1 datos preparados'!H735</f>
        <v/>
      </c>
      <c r="J742" s="7">
        <f>'1 datos preparados'!I735</f>
        <v/>
      </c>
      <c r="K742" s="7">
        <f>'1 datos preparados'!J735</f>
        <v/>
      </c>
      <c r="L742" s="7">
        <f>'1 datos preparados'!K735</f>
        <v/>
      </c>
      <c r="M742" s="7">
        <f>'1 datos preparados'!L735</f>
        <v/>
      </c>
      <c r="N742" s="7">
        <f>'1 datos preparados'!M735</f>
        <v/>
      </c>
      <c r="O742" s="7">
        <f>'1 datos preparados'!N735</f>
        <v/>
      </c>
      <c r="P742" s="7">
        <f>'1 datos preparados'!O735</f>
        <v/>
      </c>
      <c r="Q742" s="7">
        <f>'1 datos preparados'!P735</f>
        <v/>
      </c>
      <c r="R742" s="7">
        <f>'1 datos preparados'!Q735</f>
        <v/>
      </c>
      <c r="S742" s="7">
        <f>'1 datos preparados'!R735</f>
        <v/>
      </c>
      <c r="T742" s="7">
        <f>'1 datos preparados'!S735</f>
        <v/>
      </c>
      <c r="U742" s="7">
        <f>'1 datos preparados'!T735</f>
        <v/>
      </c>
      <c r="V742" s="8">
        <f>$AE$12+D742*$AE$13+E742*$AE$14+F742*$AE$15+G742*$AE$16+H742*$AE$17+I742*$AE$18+J742*$AE$19+K742*$AE$20+L742*$AE$21+M742*$AE$22+N742*$AE$23+O742*$AE$24+P742*$AE$25+Q742*$AE$26+R742*$AE$27+S742*$AE$28+T742*$AE$29+U742*$AE$30</f>
        <v/>
      </c>
      <c r="W742" s="8">
        <f>1/(1+EXP(-V742))</f>
        <v/>
      </c>
      <c r="X742" s="9">
        <f>-IF(C742=1,LN(W742),LN(1-W742))</f>
        <v/>
      </c>
      <c r="Y742" s="8">
        <f>IF(C742=1,$AE$32,$AE$33)</f>
        <v/>
      </c>
      <c r="Z742" s="9">
        <f>Y742*X742</f>
        <v/>
      </c>
      <c r="AA742" s="10">
        <f>IF(W742&gt;$AE$34,1,0)</f>
        <v/>
      </c>
      <c r="AB742">
        <f>IF(AA742=C742,1,0)</f>
        <v/>
      </c>
    </row>
    <row r="743">
      <c r="A743">
        <f>'1 datos preparados'!A736</f>
        <v/>
      </c>
      <c r="B743" s="5">
        <f>'1 datos preparados'!U736</f>
        <v/>
      </c>
      <c r="C743">
        <f>'1 datos preparados'!B736</f>
        <v/>
      </c>
      <c r="D743" s="7">
        <f>'1 datos preparados'!C736</f>
        <v/>
      </c>
      <c r="E743" s="7">
        <f>'1 datos preparados'!D736</f>
        <v/>
      </c>
      <c r="F743" s="7">
        <f>'1 datos preparados'!E736</f>
        <v/>
      </c>
      <c r="G743" s="7">
        <f>'1 datos preparados'!F736</f>
        <v/>
      </c>
      <c r="H743" s="7">
        <f>'1 datos preparados'!G736</f>
        <v/>
      </c>
      <c r="I743" s="7">
        <f>'1 datos preparados'!H736</f>
        <v/>
      </c>
      <c r="J743" s="7">
        <f>'1 datos preparados'!I736</f>
        <v/>
      </c>
      <c r="K743" s="7">
        <f>'1 datos preparados'!J736</f>
        <v/>
      </c>
      <c r="L743" s="7">
        <f>'1 datos preparados'!K736</f>
        <v/>
      </c>
      <c r="M743" s="7">
        <f>'1 datos preparados'!L736</f>
        <v/>
      </c>
      <c r="N743" s="7">
        <f>'1 datos preparados'!M736</f>
        <v/>
      </c>
      <c r="O743" s="7">
        <f>'1 datos preparados'!N736</f>
        <v/>
      </c>
      <c r="P743" s="7">
        <f>'1 datos preparados'!O736</f>
        <v/>
      </c>
      <c r="Q743" s="7">
        <f>'1 datos preparados'!P736</f>
        <v/>
      </c>
      <c r="R743" s="7">
        <f>'1 datos preparados'!Q736</f>
        <v/>
      </c>
      <c r="S743" s="7">
        <f>'1 datos preparados'!R736</f>
        <v/>
      </c>
      <c r="T743" s="7">
        <f>'1 datos preparados'!S736</f>
        <v/>
      </c>
      <c r="U743" s="7">
        <f>'1 datos preparados'!T736</f>
        <v/>
      </c>
      <c r="V743" s="8">
        <f>$AE$12+D743*$AE$13+E743*$AE$14+F743*$AE$15+G743*$AE$16+H743*$AE$17+I743*$AE$18+J743*$AE$19+K743*$AE$20+L743*$AE$21+M743*$AE$22+N743*$AE$23+O743*$AE$24+P743*$AE$25+Q743*$AE$26+R743*$AE$27+S743*$AE$28+T743*$AE$29+U743*$AE$30</f>
        <v/>
      </c>
      <c r="W743" s="8">
        <f>1/(1+EXP(-V743))</f>
        <v/>
      </c>
      <c r="X743" s="9">
        <f>-IF(C743=1,LN(W743),LN(1-W743))</f>
        <v/>
      </c>
      <c r="Y743" s="8">
        <f>IF(C743=1,$AE$32,$AE$33)</f>
        <v/>
      </c>
      <c r="Z743" s="9">
        <f>Y743*X743</f>
        <v/>
      </c>
      <c r="AA743" s="10">
        <f>IF(W743&gt;$AE$34,1,0)</f>
        <v/>
      </c>
      <c r="AB743">
        <f>IF(AA743=C743,1,0)</f>
        <v/>
      </c>
    </row>
    <row r="744">
      <c r="A744">
        <f>'1 datos preparados'!A737</f>
        <v/>
      </c>
      <c r="B744" s="5">
        <f>'1 datos preparados'!U737</f>
        <v/>
      </c>
      <c r="C744">
        <f>'1 datos preparados'!B737</f>
        <v/>
      </c>
      <c r="D744" s="7">
        <f>'1 datos preparados'!C737</f>
        <v/>
      </c>
      <c r="E744" s="7">
        <f>'1 datos preparados'!D737</f>
        <v/>
      </c>
      <c r="F744" s="7">
        <f>'1 datos preparados'!E737</f>
        <v/>
      </c>
      <c r="G744" s="7">
        <f>'1 datos preparados'!F737</f>
        <v/>
      </c>
      <c r="H744" s="7">
        <f>'1 datos preparados'!G737</f>
        <v/>
      </c>
      <c r="I744" s="7">
        <f>'1 datos preparados'!H737</f>
        <v/>
      </c>
      <c r="J744" s="7">
        <f>'1 datos preparados'!I737</f>
        <v/>
      </c>
      <c r="K744" s="7">
        <f>'1 datos preparados'!J737</f>
        <v/>
      </c>
      <c r="L744" s="7">
        <f>'1 datos preparados'!K737</f>
        <v/>
      </c>
      <c r="M744" s="7">
        <f>'1 datos preparados'!L737</f>
        <v/>
      </c>
      <c r="N744" s="7">
        <f>'1 datos preparados'!M737</f>
        <v/>
      </c>
      <c r="O744" s="7">
        <f>'1 datos preparados'!N737</f>
        <v/>
      </c>
      <c r="P744" s="7">
        <f>'1 datos preparados'!O737</f>
        <v/>
      </c>
      <c r="Q744" s="7">
        <f>'1 datos preparados'!P737</f>
        <v/>
      </c>
      <c r="R744" s="7">
        <f>'1 datos preparados'!Q737</f>
        <v/>
      </c>
      <c r="S744" s="7">
        <f>'1 datos preparados'!R737</f>
        <v/>
      </c>
      <c r="T744" s="7">
        <f>'1 datos preparados'!S737</f>
        <v/>
      </c>
      <c r="U744" s="7">
        <f>'1 datos preparados'!T737</f>
        <v/>
      </c>
      <c r="V744" s="8">
        <f>$AE$12+D744*$AE$13+E744*$AE$14+F744*$AE$15+G744*$AE$16+H744*$AE$17+I744*$AE$18+J744*$AE$19+K744*$AE$20+L744*$AE$21+M744*$AE$22+N744*$AE$23+O744*$AE$24+P744*$AE$25+Q744*$AE$26+R744*$AE$27+S744*$AE$28+T744*$AE$29+U744*$AE$30</f>
        <v/>
      </c>
      <c r="W744" s="8">
        <f>1/(1+EXP(-V744))</f>
        <v/>
      </c>
      <c r="X744" s="9">
        <f>-IF(C744=1,LN(W744),LN(1-W744))</f>
        <v/>
      </c>
      <c r="Y744" s="8">
        <f>IF(C744=1,$AE$32,$AE$33)</f>
        <v/>
      </c>
      <c r="Z744" s="9">
        <f>Y744*X744</f>
        <v/>
      </c>
      <c r="AA744" s="10">
        <f>IF(W744&gt;$AE$34,1,0)</f>
        <v/>
      </c>
      <c r="AB744">
        <f>IF(AA744=C744,1,0)</f>
        <v/>
      </c>
    </row>
    <row r="745">
      <c r="A745">
        <f>'1 datos preparados'!A738</f>
        <v/>
      </c>
      <c r="B745" s="5">
        <f>'1 datos preparados'!U738</f>
        <v/>
      </c>
      <c r="C745">
        <f>'1 datos preparados'!B738</f>
        <v/>
      </c>
      <c r="D745" s="7">
        <f>'1 datos preparados'!C738</f>
        <v/>
      </c>
      <c r="E745" s="7">
        <f>'1 datos preparados'!D738</f>
        <v/>
      </c>
      <c r="F745" s="7">
        <f>'1 datos preparados'!E738</f>
        <v/>
      </c>
      <c r="G745" s="7">
        <f>'1 datos preparados'!F738</f>
        <v/>
      </c>
      <c r="H745" s="7">
        <f>'1 datos preparados'!G738</f>
        <v/>
      </c>
      <c r="I745" s="7">
        <f>'1 datos preparados'!H738</f>
        <v/>
      </c>
      <c r="J745" s="7">
        <f>'1 datos preparados'!I738</f>
        <v/>
      </c>
      <c r="K745" s="7">
        <f>'1 datos preparados'!J738</f>
        <v/>
      </c>
      <c r="L745" s="7">
        <f>'1 datos preparados'!K738</f>
        <v/>
      </c>
      <c r="M745" s="7">
        <f>'1 datos preparados'!L738</f>
        <v/>
      </c>
      <c r="N745" s="7">
        <f>'1 datos preparados'!M738</f>
        <v/>
      </c>
      <c r="O745" s="7">
        <f>'1 datos preparados'!N738</f>
        <v/>
      </c>
      <c r="P745" s="7">
        <f>'1 datos preparados'!O738</f>
        <v/>
      </c>
      <c r="Q745" s="7">
        <f>'1 datos preparados'!P738</f>
        <v/>
      </c>
      <c r="R745" s="7">
        <f>'1 datos preparados'!Q738</f>
        <v/>
      </c>
      <c r="S745" s="7">
        <f>'1 datos preparados'!R738</f>
        <v/>
      </c>
      <c r="T745" s="7">
        <f>'1 datos preparados'!S738</f>
        <v/>
      </c>
      <c r="U745" s="7">
        <f>'1 datos preparados'!T738</f>
        <v/>
      </c>
      <c r="V745" s="8">
        <f>$AE$12+D745*$AE$13+E745*$AE$14+F745*$AE$15+G745*$AE$16+H745*$AE$17+I745*$AE$18+J745*$AE$19+K745*$AE$20+L745*$AE$21+M745*$AE$22+N745*$AE$23+O745*$AE$24+P745*$AE$25+Q745*$AE$26+R745*$AE$27+S745*$AE$28+T745*$AE$29+U745*$AE$30</f>
        <v/>
      </c>
      <c r="W745" s="8">
        <f>1/(1+EXP(-V745))</f>
        <v/>
      </c>
      <c r="X745" s="9">
        <f>-IF(C745=1,LN(W745),LN(1-W745))</f>
        <v/>
      </c>
      <c r="Y745" s="8">
        <f>IF(C745=1,$AE$32,$AE$33)</f>
        <v/>
      </c>
      <c r="Z745" s="9">
        <f>Y745*X745</f>
        <v/>
      </c>
      <c r="AA745" s="10">
        <f>IF(W745&gt;$AE$34,1,0)</f>
        <v/>
      </c>
      <c r="AB745">
        <f>IF(AA745=C745,1,0)</f>
        <v/>
      </c>
    </row>
    <row r="746">
      <c r="A746">
        <f>'1 datos preparados'!A739</f>
        <v/>
      </c>
      <c r="B746" s="5">
        <f>'1 datos preparados'!U739</f>
        <v/>
      </c>
      <c r="C746">
        <f>'1 datos preparados'!B739</f>
        <v/>
      </c>
      <c r="D746" s="7">
        <f>'1 datos preparados'!C739</f>
        <v/>
      </c>
      <c r="E746" s="7">
        <f>'1 datos preparados'!D739</f>
        <v/>
      </c>
      <c r="F746" s="7">
        <f>'1 datos preparados'!E739</f>
        <v/>
      </c>
      <c r="G746" s="7">
        <f>'1 datos preparados'!F739</f>
        <v/>
      </c>
      <c r="H746" s="7">
        <f>'1 datos preparados'!G739</f>
        <v/>
      </c>
      <c r="I746" s="7">
        <f>'1 datos preparados'!H739</f>
        <v/>
      </c>
      <c r="J746" s="7">
        <f>'1 datos preparados'!I739</f>
        <v/>
      </c>
      <c r="K746" s="7">
        <f>'1 datos preparados'!J739</f>
        <v/>
      </c>
      <c r="L746" s="7">
        <f>'1 datos preparados'!K739</f>
        <v/>
      </c>
      <c r="M746" s="7">
        <f>'1 datos preparados'!L739</f>
        <v/>
      </c>
      <c r="N746" s="7">
        <f>'1 datos preparados'!M739</f>
        <v/>
      </c>
      <c r="O746" s="7">
        <f>'1 datos preparados'!N739</f>
        <v/>
      </c>
      <c r="P746" s="7">
        <f>'1 datos preparados'!O739</f>
        <v/>
      </c>
      <c r="Q746" s="7">
        <f>'1 datos preparados'!P739</f>
        <v/>
      </c>
      <c r="R746" s="7">
        <f>'1 datos preparados'!Q739</f>
        <v/>
      </c>
      <c r="S746" s="7">
        <f>'1 datos preparados'!R739</f>
        <v/>
      </c>
      <c r="T746" s="7">
        <f>'1 datos preparados'!S739</f>
        <v/>
      </c>
      <c r="U746" s="7">
        <f>'1 datos preparados'!T739</f>
        <v/>
      </c>
      <c r="V746" s="8">
        <f>$AE$12+D746*$AE$13+E746*$AE$14+F746*$AE$15+G746*$AE$16+H746*$AE$17+I746*$AE$18+J746*$AE$19+K746*$AE$20+L746*$AE$21+M746*$AE$22+N746*$AE$23+O746*$AE$24+P746*$AE$25+Q746*$AE$26+R746*$AE$27+S746*$AE$28+T746*$AE$29+U746*$AE$30</f>
        <v/>
      </c>
      <c r="W746" s="8">
        <f>1/(1+EXP(-V746))</f>
        <v/>
      </c>
      <c r="X746" s="9">
        <f>-IF(C746=1,LN(W746),LN(1-W746))</f>
        <v/>
      </c>
      <c r="Y746" s="8">
        <f>IF(C746=1,$AE$32,$AE$33)</f>
        <v/>
      </c>
      <c r="Z746" s="9">
        <f>Y746*X746</f>
        <v/>
      </c>
      <c r="AA746" s="10">
        <f>IF(W746&gt;$AE$34,1,0)</f>
        <v/>
      </c>
      <c r="AB746">
        <f>IF(AA746=C746,1,0)</f>
        <v/>
      </c>
    </row>
    <row r="747">
      <c r="A747">
        <f>'1 datos preparados'!A740</f>
        <v/>
      </c>
      <c r="B747" s="5">
        <f>'1 datos preparados'!U740</f>
        <v/>
      </c>
      <c r="C747">
        <f>'1 datos preparados'!B740</f>
        <v/>
      </c>
      <c r="D747" s="7">
        <f>'1 datos preparados'!C740</f>
        <v/>
      </c>
      <c r="E747" s="7">
        <f>'1 datos preparados'!D740</f>
        <v/>
      </c>
      <c r="F747" s="7">
        <f>'1 datos preparados'!E740</f>
        <v/>
      </c>
      <c r="G747" s="7">
        <f>'1 datos preparados'!F740</f>
        <v/>
      </c>
      <c r="H747" s="7">
        <f>'1 datos preparados'!G740</f>
        <v/>
      </c>
      <c r="I747" s="7">
        <f>'1 datos preparados'!H740</f>
        <v/>
      </c>
      <c r="J747" s="7">
        <f>'1 datos preparados'!I740</f>
        <v/>
      </c>
      <c r="K747" s="7">
        <f>'1 datos preparados'!J740</f>
        <v/>
      </c>
      <c r="L747" s="7">
        <f>'1 datos preparados'!K740</f>
        <v/>
      </c>
      <c r="M747" s="7">
        <f>'1 datos preparados'!L740</f>
        <v/>
      </c>
      <c r="N747" s="7">
        <f>'1 datos preparados'!M740</f>
        <v/>
      </c>
      <c r="O747" s="7">
        <f>'1 datos preparados'!N740</f>
        <v/>
      </c>
      <c r="P747" s="7">
        <f>'1 datos preparados'!O740</f>
        <v/>
      </c>
      <c r="Q747" s="7">
        <f>'1 datos preparados'!P740</f>
        <v/>
      </c>
      <c r="R747" s="7">
        <f>'1 datos preparados'!Q740</f>
        <v/>
      </c>
      <c r="S747" s="7">
        <f>'1 datos preparados'!R740</f>
        <v/>
      </c>
      <c r="T747" s="7">
        <f>'1 datos preparados'!S740</f>
        <v/>
      </c>
      <c r="U747" s="7">
        <f>'1 datos preparados'!T740</f>
        <v/>
      </c>
      <c r="V747" s="8">
        <f>$AE$12+D747*$AE$13+E747*$AE$14+F747*$AE$15+G747*$AE$16+H747*$AE$17+I747*$AE$18+J747*$AE$19+K747*$AE$20+L747*$AE$21+M747*$AE$22+N747*$AE$23+O747*$AE$24+P747*$AE$25+Q747*$AE$26+R747*$AE$27+S747*$AE$28+T747*$AE$29+U747*$AE$30</f>
        <v/>
      </c>
      <c r="W747" s="8">
        <f>1/(1+EXP(-V747))</f>
        <v/>
      </c>
      <c r="X747" s="9">
        <f>-IF(C747=1,LN(W747),LN(1-W747))</f>
        <v/>
      </c>
      <c r="Y747" s="8">
        <f>IF(C747=1,$AE$32,$AE$33)</f>
        <v/>
      </c>
      <c r="Z747" s="9">
        <f>Y747*X747</f>
        <v/>
      </c>
      <c r="AA747" s="10">
        <f>IF(W747&gt;$AE$34,1,0)</f>
        <v/>
      </c>
      <c r="AB747">
        <f>IF(AA747=C747,1,0)</f>
        <v/>
      </c>
    </row>
    <row r="748">
      <c r="A748">
        <f>'1 datos preparados'!A741</f>
        <v/>
      </c>
      <c r="B748" s="5">
        <f>'1 datos preparados'!U741</f>
        <v/>
      </c>
      <c r="C748">
        <f>'1 datos preparados'!B741</f>
        <v/>
      </c>
      <c r="D748" s="7">
        <f>'1 datos preparados'!C741</f>
        <v/>
      </c>
      <c r="E748" s="7">
        <f>'1 datos preparados'!D741</f>
        <v/>
      </c>
      <c r="F748" s="7">
        <f>'1 datos preparados'!E741</f>
        <v/>
      </c>
      <c r="G748" s="7">
        <f>'1 datos preparados'!F741</f>
        <v/>
      </c>
      <c r="H748" s="7">
        <f>'1 datos preparados'!G741</f>
        <v/>
      </c>
      <c r="I748" s="7">
        <f>'1 datos preparados'!H741</f>
        <v/>
      </c>
      <c r="J748" s="7">
        <f>'1 datos preparados'!I741</f>
        <v/>
      </c>
      <c r="K748" s="7">
        <f>'1 datos preparados'!J741</f>
        <v/>
      </c>
      <c r="L748" s="7">
        <f>'1 datos preparados'!K741</f>
        <v/>
      </c>
      <c r="M748" s="7">
        <f>'1 datos preparados'!L741</f>
        <v/>
      </c>
      <c r="N748" s="7">
        <f>'1 datos preparados'!M741</f>
        <v/>
      </c>
      <c r="O748" s="7">
        <f>'1 datos preparados'!N741</f>
        <v/>
      </c>
      <c r="P748" s="7">
        <f>'1 datos preparados'!O741</f>
        <v/>
      </c>
      <c r="Q748" s="7">
        <f>'1 datos preparados'!P741</f>
        <v/>
      </c>
      <c r="R748" s="7">
        <f>'1 datos preparados'!Q741</f>
        <v/>
      </c>
      <c r="S748" s="7">
        <f>'1 datos preparados'!R741</f>
        <v/>
      </c>
      <c r="T748" s="7">
        <f>'1 datos preparados'!S741</f>
        <v/>
      </c>
      <c r="U748" s="7">
        <f>'1 datos preparados'!T741</f>
        <v/>
      </c>
      <c r="V748" s="8">
        <f>$AE$12+D748*$AE$13+E748*$AE$14+F748*$AE$15+G748*$AE$16+H748*$AE$17+I748*$AE$18+J748*$AE$19+K748*$AE$20+L748*$AE$21+M748*$AE$22+N748*$AE$23+O748*$AE$24+P748*$AE$25+Q748*$AE$26+R748*$AE$27+S748*$AE$28+T748*$AE$29+U748*$AE$30</f>
        <v/>
      </c>
      <c r="W748" s="8">
        <f>1/(1+EXP(-V748))</f>
        <v/>
      </c>
      <c r="X748" s="9">
        <f>-IF(C748=1,LN(W748),LN(1-W748))</f>
        <v/>
      </c>
      <c r="Y748" s="8">
        <f>IF(C748=1,$AE$32,$AE$33)</f>
        <v/>
      </c>
      <c r="Z748" s="9">
        <f>Y748*X748</f>
        <v/>
      </c>
      <c r="AA748" s="10">
        <f>IF(W748&gt;$AE$34,1,0)</f>
        <v/>
      </c>
      <c r="AB748">
        <f>IF(AA748=C748,1,0)</f>
        <v/>
      </c>
    </row>
    <row r="749">
      <c r="A749">
        <f>'1 datos preparados'!A742</f>
        <v/>
      </c>
      <c r="B749" s="5">
        <f>'1 datos preparados'!U742</f>
        <v/>
      </c>
      <c r="C749">
        <f>'1 datos preparados'!B742</f>
        <v/>
      </c>
      <c r="D749" s="7">
        <f>'1 datos preparados'!C742</f>
        <v/>
      </c>
      <c r="E749" s="7">
        <f>'1 datos preparados'!D742</f>
        <v/>
      </c>
      <c r="F749" s="7">
        <f>'1 datos preparados'!E742</f>
        <v/>
      </c>
      <c r="G749" s="7">
        <f>'1 datos preparados'!F742</f>
        <v/>
      </c>
      <c r="H749" s="7">
        <f>'1 datos preparados'!G742</f>
        <v/>
      </c>
      <c r="I749" s="7">
        <f>'1 datos preparados'!H742</f>
        <v/>
      </c>
      <c r="J749" s="7">
        <f>'1 datos preparados'!I742</f>
        <v/>
      </c>
      <c r="K749" s="7">
        <f>'1 datos preparados'!J742</f>
        <v/>
      </c>
      <c r="L749" s="7">
        <f>'1 datos preparados'!K742</f>
        <v/>
      </c>
      <c r="M749" s="7">
        <f>'1 datos preparados'!L742</f>
        <v/>
      </c>
      <c r="N749" s="7">
        <f>'1 datos preparados'!M742</f>
        <v/>
      </c>
      <c r="O749" s="7">
        <f>'1 datos preparados'!N742</f>
        <v/>
      </c>
      <c r="P749" s="7">
        <f>'1 datos preparados'!O742</f>
        <v/>
      </c>
      <c r="Q749" s="7">
        <f>'1 datos preparados'!P742</f>
        <v/>
      </c>
      <c r="R749" s="7">
        <f>'1 datos preparados'!Q742</f>
        <v/>
      </c>
      <c r="S749" s="7">
        <f>'1 datos preparados'!R742</f>
        <v/>
      </c>
      <c r="T749" s="7">
        <f>'1 datos preparados'!S742</f>
        <v/>
      </c>
      <c r="U749" s="7">
        <f>'1 datos preparados'!T742</f>
        <v/>
      </c>
      <c r="V749" s="8">
        <f>$AE$12+D749*$AE$13+E749*$AE$14+F749*$AE$15+G749*$AE$16+H749*$AE$17+I749*$AE$18+J749*$AE$19+K749*$AE$20+L749*$AE$21+M749*$AE$22+N749*$AE$23+O749*$AE$24+P749*$AE$25+Q749*$AE$26+R749*$AE$27+S749*$AE$28+T749*$AE$29+U749*$AE$30</f>
        <v/>
      </c>
      <c r="W749" s="8">
        <f>1/(1+EXP(-V749))</f>
        <v/>
      </c>
      <c r="X749" s="9">
        <f>-IF(C749=1,LN(W749),LN(1-W749))</f>
        <v/>
      </c>
      <c r="Y749" s="8">
        <f>IF(C749=1,$AE$32,$AE$33)</f>
        <v/>
      </c>
      <c r="Z749" s="9">
        <f>Y749*X749</f>
        <v/>
      </c>
      <c r="AA749" s="10">
        <f>IF(W749&gt;$AE$34,1,0)</f>
        <v/>
      </c>
      <c r="AB749">
        <f>IF(AA749=C749,1,0)</f>
        <v/>
      </c>
    </row>
    <row r="750">
      <c r="A750">
        <f>'1 datos preparados'!A743</f>
        <v/>
      </c>
      <c r="B750" s="5">
        <f>'1 datos preparados'!U743</f>
        <v/>
      </c>
      <c r="C750">
        <f>'1 datos preparados'!B743</f>
        <v/>
      </c>
      <c r="D750" s="7">
        <f>'1 datos preparados'!C743</f>
        <v/>
      </c>
      <c r="E750" s="7">
        <f>'1 datos preparados'!D743</f>
        <v/>
      </c>
      <c r="F750" s="7">
        <f>'1 datos preparados'!E743</f>
        <v/>
      </c>
      <c r="G750" s="7">
        <f>'1 datos preparados'!F743</f>
        <v/>
      </c>
      <c r="H750" s="7">
        <f>'1 datos preparados'!G743</f>
        <v/>
      </c>
      <c r="I750" s="7">
        <f>'1 datos preparados'!H743</f>
        <v/>
      </c>
      <c r="J750" s="7">
        <f>'1 datos preparados'!I743</f>
        <v/>
      </c>
      <c r="K750" s="7">
        <f>'1 datos preparados'!J743</f>
        <v/>
      </c>
      <c r="L750" s="7">
        <f>'1 datos preparados'!K743</f>
        <v/>
      </c>
      <c r="M750" s="7">
        <f>'1 datos preparados'!L743</f>
        <v/>
      </c>
      <c r="N750" s="7">
        <f>'1 datos preparados'!M743</f>
        <v/>
      </c>
      <c r="O750" s="7">
        <f>'1 datos preparados'!N743</f>
        <v/>
      </c>
      <c r="P750" s="7">
        <f>'1 datos preparados'!O743</f>
        <v/>
      </c>
      <c r="Q750" s="7">
        <f>'1 datos preparados'!P743</f>
        <v/>
      </c>
      <c r="R750" s="7">
        <f>'1 datos preparados'!Q743</f>
        <v/>
      </c>
      <c r="S750" s="7">
        <f>'1 datos preparados'!R743</f>
        <v/>
      </c>
      <c r="T750" s="7">
        <f>'1 datos preparados'!S743</f>
        <v/>
      </c>
      <c r="U750" s="7">
        <f>'1 datos preparados'!T743</f>
        <v/>
      </c>
      <c r="V750" s="8">
        <f>$AE$12+D750*$AE$13+E750*$AE$14+F750*$AE$15+G750*$AE$16+H750*$AE$17+I750*$AE$18+J750*$AE$19+K750*$AE$20+L750*$AE$21+M750*$AE$22+N750*$AE$23+O750*$AE$24+P750*$AE$25+Q750*$AE$26+R750*$AE$27+S750*$AE$28+T750*$AE$29+U750*$AE$30</f>
        <v/>
      </c>
      <c r="W750" s="8">
        <f>1/(1+EXP(-V750))</f>
        <v/>
      </c>
      <c r="X750" s="9">
        <f>-IF(C750=1,LN(W750),LN(1-W750))</f>
        <v/>
      </c>
      <c r="Y750" s="8">
        <f>IF(C750=1,$AE$32,$AE$33)</f>
        <v/>
      </c>
      <c r="Z750" s="9">
        <f>Y750*X750</f>
        <v/>
      </c>
      <c r="AA750" s="10">
        <f>IF(W750&gt;$AE$34,1,0)</f>
        <v/>
      </c>
      <c r="AB750">
        <f>IF(AA750=C750,1,0)</f>
        <v/>
      </c>
    </row>
    <row r="751">
      <c r="A751">
        <f>'1 datos preparados'!A744</f>
        <v/>
      </c>
      <c r="B751" s="5">
        <f>'1 datos preparados'!U744</f>
        <v/>
      </c>
      <c r="C751">
        <f>'1 datos preparados'!B744</f>
        <v/>
      </c>
      <c r="D751" s="7">
        <f>'1 datos preparados'!C744</f>
        <v/>
      </c>
      <c r="E751" s="7">
        <f>'1 datos preparados'!D744</f>
        <v/>
      </c>
      <c r="F751" s="7">
        <f>'1 datos preparados'!E744</f>
        <v/>
      </c>
      <c r="G751" s="7">
        <f>'1 datos preparados'!F744</f>
        <v/>
      </c>
      <c r="H751" s="7">
        <f>'1 datos preparados'!G744</f>
        <v/>
      </c>
      <c r="I751" s="7">
        <f>'1 datos preparados'!H744</f>
        <v/>
      </c>
      <c r="J751" s="7">
        <f>'1 datos preparados'!I744</f>
        <v/>
      </c>
      <c r="K751" s="7">
        <f>'1 datos preparados'!J744</f>
        <v/>
      </c>
      <c r="L751" s="7">
        <f>'1 datos preparados'!K744</f>
        <v/>
      </c>
      <c r="M751" s="7">
        <f>'1 datos preparados'!L744</f>
        <v/>
      </c>
      <c r="N751" s="7">
        <f>'1 datos preparados'!M744</f>
        <v/>
      </c>
      <c r="O751" s="7">
        <f>'1 datos preparados'!N744</f>
        <v/>
      </c>
      <c r="P751" s="7">
        <f>'1 datos preparados'!O744</f>
        <v/>
      </c>
      <c r="Q751" s="7">
        <f>'1 datos preparados'!P744</f>
        <v/>
      </c>
      <c r="R751" s="7">
        <f>'1 datos preparados'!Q744</f>
        <v/>
      </c>
      <c r="S751" s="7">
        <f>'1 datos preparados'!R744</f>
        <v/>
      </c>
      <c r="T751" s="7">
        <f>'1 datos preparados'!S744</f>
        <v/>
      </c>
      <c r="U751" s="7">
        <f>'1 datos preparados'!T744</f>
        <v/>
      </c>
      <c r="V751" s="8">
        <f>$AE$12+D751*$AE$13+E751*$AE$14+F751*$AE$15+G751*$AE$16+H751*$AE$17+I751*$AE$18+J751*$AE$19+K751*$AE$20+L751*$AE$21+M751*$AE$22+N751*$AE$23+O751*$AE$24+P751*$AE$25+Q751*$AE$26+R751*$AE$27+S751*$AE$28+T751*$AE$29+U751*$AE$30</f>
        <v/>
      </c>
      <c r="W751" s="8">
        <f>1/(1+EXP(-V751))</f>
        <v/>
      </c>
      <c r="X751" s="9">
        <f>-IF(C751=1,LN(W751),LN(1-W751))</f>
        <v/>
      </c>
      <c r="Y751" s="8">
        <f>IF(C751=1,$AE$32,$AE$33)</f>
        <v/>
      </c>
      <c r="Z751" s="9">
        <f>Y751*X751</f>
        <v/>
      </c>
      <c r="AA751" s="10">
        <f>IF(W751&gt;$AE$34,1,0)</f>
        <v/>
      </c>
      <c r="AB751">
        <f>IF(AA751=C751,1,0)</f>
        <v/>
      </c>
    </row>
    <row r="752">
      <c r="A752">
        <f>'1 datos preparados'!A745</f>
        <v/>
      </c>
      <c r="B752" s="5">
        <f>'1 datos preparados'!U745</f>
        <v/>
      </c>
      <c r="C752">
        <f>'1 datos preparados'!B745</f>
        <v/>
      </c>
      <c r="D752" s="7">
        <f>'1 datos preparados'!C745</f>
        <v/>
      </c>
      <c r="E752" s="7">
        <f>'1 datos preparados'!D745</f>
        <v/>
      </c>
      <c r="F752" s="7">
        <f>'1 datos preparados'!E745</f>
        <v/>
      </c>
      <c r="G752" s="7">
        <f>'1 datos preparados'!F745</f>
        <v/>
      </c>
      <c r="H752" s="7">
        <f>'1 datos preparados'!G745</f>
        <v/>
      </c>
      <c r="I752" s="7">
        <f>'1 datos preparados'!H745</f>
        <v/>
      </c>
      <c r="J752" s="7">
        <f>'1 datos preparados'!I745</f>
        <v/>
      </c>
      <c r="K752" s="7">
        <f>'1 datos preparados'!J745</f>
        <v/>
      </c>
      <c r="L752" s="7">
        <f>'1 datos preparados'!K745</f>
        <v/>
      </c>
      <c r="M752" s="7">
        <f>'1 datos preparados'!L745</f>
        <v/>
      </c>
      <c r="N752" s="7">
        <f>'1 datos preparados'!M745</f>
        <v/>
      </c>
      <c r="O752" s="7">
        <f>'1 datos preparados'!N745</f>
        <v/>
      </c>
      <c r="P752" s="7">
        <f>'1 datos preparados'!O745</f>
        <v/>
      </c>
      <c r="Q752" s="7">
        <f>'1 datos preparados'!P745</f>
        <v/>
      </c>
      <c r="R752" s="7">
        <f>'1 datos preparados'!Q745</f>
        <v/>
      </c>
      <c r="S752" s="7">
        <f>'1 datos preparados'!R745</f>
        <v/>
      </c>
      <c r="T752" s="7">
        <f>'1 datos preparados'!S745</f>
        <v/>
      </c>
      <c r="U752" s="7">
        <f>'1 datos preparados'!T745</f>
        <v/>
      </c>
      <c r="V752" s="8">
        <f>$AE$12+D752*$AE$13+E752*$AE$14+F752*$AE$15+G752*$AE$16+H752*$AE$17+I752*$AE$18+J752*$AE$19+K752*$AE$20+L752*$AE$21+M752*$AE$22+N752*$AE$23+O752*$AE$24+P752*$AE$25+Q752*$AE$26+R752*$AE$27+S752*$AE$28+T752*$AE$29+U752*$AE$30</f>
        <v/>
      </c>
      <c r="W752" s="8">
        <f>1/(1+EXP(-V752))</f>
        <v/>
      </c>
      <c r="X752" s="9">
        <f>-IF(C752=1,LN(W752),LN(1-W752))</f>
        <v/>
      </c>
      <c r="Y752" s="8">
        <f>IF(C752=1,$AE$32,$AE$33)</f>
        <v/>
      </c>
      <c r="Z752" s="9">
        <f>Y752*X752</f>
        <v/>
      </c>
      <c r="AA752" s="10">
        <f>IF(W752&gt;$AE$34,1,0)</f>
        <v/>
      </c>
      <c r="AB752">
        <f>IF(AA752=C752,1,0)</f>
        <v/>
      </c>
    </row>
    <row r="753">
      <c r="A753">
        <f>'1 datos preparados'!A746</f>
        <v/>
      </c>
      <c r="B753" s="5">
        <f>'1 datos preparados'!U746</f>
        <v/>
      </c>
      <c r="C753">
        <f>'1 datos preparados'!B746</f>
        <v/>
      </c>
      <c r="D753" s="7">
        <f>'1 datos preparados'!C746</f>
        <v/>
      </c>
      <c r="E753" s="7">
        <f>'1 datos preparados'!D746</f>
        <v/>
      </c>
      <c r="F753" s="7">
        <f>'1 datos preparados'!E746</f>
        <v/>
      </c>
      <c r="G753" s="7">
        <f>'1 datos preparados'!F746</f>
        <v/>
      </c>
      <c r="H753" s="7">
        <f>'1 datos preparados'!G746</f>
        <v/>
      </c>
      <c r="I753" s="7">
        <f>'1 datos preparados'!H746</f>
        <v/>
      </c>
      <c r="J753" s="7">
        <f>'1 datos preparados'!I746</f>
        <v/>
      </c>
      <c r="K753" s="7">
        <f>'1 datos preparados'!J746</f>
        <v/>
      </c>
      <c r="L753" s="7">
        <f>'1 datos preparados'!K746</f>
        <v/>
      </c>
      <c r="M753" s="7">
        <f>'1 datos preparados'!L746</f>
        <v/>
      </c>
      <c r="N753" s="7">
        <f>'1 datos preparados'!M746</f>
        <v/>
      </c>
      <c r="O753" s="7">
        <f>'1 datos preparados'!N746</f>
        <v/>
      </c>
      <c r="P753" s="7">
        <f>'1 datos preparados'!O746</f>
        <v/>
      </c>
      <c r="Q753" s="7">
        <f>'1 datos preparados'!P746</f>
        <v/>
      </c>
      <c r="R753" s="7">
        <f>'1 datos preparados'!Q746</f>
        <v/>
      </c>
      <c r="S753" s="7">
        <f>'1 datos preparados'!R746</f>
        <v/>
      </c>
      <c r="T753" s="7">
        <f>'1 datos preparados'!S746</f>
        <v/>
      </c>
      <c r="U753" s="7">
        <f>'1 datos preparados'!T746</f>
        <v/>
      </c>
      <c r="V753" s="8">
        <f>$AE$12+D753*$AE$13+E753*$AE$14+F753*$AE$15+G753*$AE$16+H753*$AE$17+I753*$AE$18+J753*$AE$19+K753*$AE$20+L753*$AE$21+M753*$AE$22+N753*$AE$23+O753*$AE$24+P753*$AE$25+Q753*$AE$26+R753*$AE$27+S753*$AE$28+T753*$AE$29+U753*$AE$30</f>
        <v/>
      </c>
      <c r="W753" s="8">
        <f>1/(1+EXP(-V753))</f>
        <v/>
      </c>
      <c r="X753" s="9">
        <f>-IF(C753=1,LN(W753),LN(1-W753))</f>
        <v/>
      </c>
      <c r="Y753" s="8">
        <f>IF(C753=1,$AE$32,$AE$33)</f>
        <v/>
      </c>
      <c r="Z753" s="9">
        <f>Y753*X753</f>
        <v/>
      </c>
      <c r="AA753" s="10">
        <f>IF(W753&gt;$AE$34,1,0)</f>
        <v/>
      </c>
      <c r="AB753">
        <f>IF(AA753=C753,1,0)</f>
        <v/>
      </c>
    </row>
    <row r="754">
      <c r="A754">
        <f>'1 datos preparados'!A747</f>
        <v/>
      </c>
      <c r="B754" s="5">
        <f>'1 datos preparados'!U747</f>
        <v/>
      </c>
      <c r="C754">
        <f>'1 datos preparados'!B747</f>
        <v/>
      </c>
      <c r="D754" s="7">
        <f>'1 datos preparados'!C747</f>
        <v/>
      </c>
      <c r="E754" s="7">
        <f>'1 datos preparados'!D747</f>
        <v/>
      </c>
      <c r="F754" s="7">
        <f>'1 datos preparados'!E747</f>
        <v/>
      </c>
      <c r="G754" s="7">
        <f>'1 datos preparados'!F747</f>
        <v/>
      </c>
      <c r="H754" s="7">
        <f>'1 datos preparados'!G747</f>
        <v/>
      </c>
      <c r="I754" s="7">
        <f>'1 datos preparados'!H747</f>
        <v/>
      </c>
      <c r="J754" s="7">
        <f>'1 datos preparados'!I747</f>
        <v/>
      </c>
      <c r="K754" s="7">
        <f>'1 datos preparados'!J747</f>
        <v/>
      </c>
      <c r="L754" s="7">
        <f>'1 datos preparados'!K747</f>
        <v/>
      </c>
      <c r="M754" s="7">
        <f>'1 datos preparados'!L747</f>
        <v/>
      </c>
      <c r="N754" s="7">
        <f>'1 datos preparados'!M747</f>
        <v/>
      </c>
      <c r="O754" s="7">
        <f>'1 datos preparados'!N747</f>
        <v/>
      </c>
      <c r="P754" s="7">
        <f>'1 datos preparados'!O747</f>
        <v/>
      </c>
      <c r="Q754" s="7">
        <f>'1 datos preparados'!P747</f>
        <v/>
      </c>
      <c r="R754" s="7">
        <f>'1 datos preparados'!Q747</f>
        <v/>
      </c>
      <c r="S754" s="7">
        <f>'1 datos preparados'!R747</f>
        <v/>
      </c>
      <c r="T754" s="7">
        <f>'1 datos preparados'!S747</f>
        <v/>
      </c>
      <c r="U754" s="7">
        <f>'1 datos preparados'!T747</f>
        <v/>
      </c>
      <c r="V754" s="8">
        <f>$AE$12+D754*$AE$13+E754*$AE$14+F754*$AE$15+G754*$AE$16+H754*$AE$17+I754*$AE$18+J754*$AE$19+K754*$AE$20+L754*$AE$21+M754*$AE$22+N754*$AE$23+O754*$AE$24+P754*$AE$25+Q754*$AE$26+R754*$AE$27+S754*$AE$28+T754*$AE$29+U754*$AE$30</f>
        <v/>
      </c>
      <c r="W754" s="8">
        <f>1/(1+EXP(-V754))</f>
        <v/>
      </c>
      <c r="X754" s="9">
        <f>-IF(C754=1,LN(W754),LN(1-W754))</f>
        <v/>
      </c>
      <c r="Y754" s="8">
        <f>IF(C754=1,$AE$32,$AE$33)</f>
        <v/>
      </c>
      <c r="Z754" s="9">
        <f>Y754*X754</f>
        <v/>
      </c>
      <c r="AA754" s="10">
        <f>IF(W754&gt;$AE$34,1,0)</f>
        <v/>
      </c>
      <c r="AB754">
        <f>IF(AA754=C754,1,0)</f>
        <v/>
      </c>
    </row>
    <row r="755">
      <c r="A755">
        <f>'1 datos preparados'!A748</f>
        <v/>
      </c>
      <c r="B755" s="5">
        <f>'1 datos preparados'!U748</f>
        <v/>
      </c>
      <c r="C755">
        <f>'1 datos preparados'!B748</f>
        <v/>
      </c>
      <c r="D755" s="7">
        <f>'1 datos preparados'!C748</f>
        <v/>
      </c>
      <c r="E755" s="7">
        <f>'1 datos preparados'!D748</f>
        <v/>
      </c>
      <c r="F755" s="7">
        <f>'1 datos preparados'!E748</f>
        <v/>
      </c>
      <c r="G755" s="7">
        <f>'1 datos preparados'!F748</f>
        <v/>
      </c>
      <c r="H755" s="7">
        <f>'1 datos preparados'!G748</f>
        <v/>
      </c>
      <c r="I755" s="7">
        <f>'1 datos preparados'!H748</f>
        <v/>
      </c>
      <c r="J755" s="7">
        <f>'1 datos preparados'!I748</f>
        <v/>
      </c>
      <c r="K755" s="7">
        <f>'1 datos preparados'!J748</f>
        <v/>
      </c>
      <c r="L755" s="7">
        <f>'1 datos preparados'!K748</f>
        <v/>
      </c>
      <c r="M755" s="7">
        <f>'1 datos preparados'!L748</f>
        <v/>
      </c>
      <c r="N755" s="7">
        <f>'1 datos preparados'!M748</f>
        <v/>
      </c>
      <c r="O755" s="7">
        <f>'1 datos preparados'!N748</f>
        <v/>
      </c>
      <c r="P755" s="7">
        <f>'1 datos preparados'!O748</f>
        <v/>
      </c>
      <c r="Q755" s="7">
        <f>'1 datos preparados'!P748</f>
        <v/>
      </c>
      <c r="R755" s="7">
        <f>'1 datos preparados'!Q748</f>
        <v/>
      </c>
      <c r="S755" s="7">
        <f>'1 datos preparados'!R748</f>
        <v/>
      </c>
      <c r="T755" s="7">
        <f>'1 datos preparados'!S748</f>
        <v/>
      </c>
      <c r="U755" s="7">
        <f>'1 datos preparados'!T748</f>
        <v/>
      </c>
      <c r="V755" s="8">
        <f>$AE$12+D755*$AE$13+E755*$AE$14+F755*$AE$15+G755*$AE$16+H755*$AE$17+I755*$AE$18+J755*$AE$19+K755*$AE$20+L755*$AE$21+M755*$AE$22+N755*$AE$23+O755*$AE$24+P755*$AE$25+Q755*$AE$26+R755*$AE$27+S755*$AE$28+T755*$AE$29+U755*$AE$30</f>
        <v/>
      </c>
      <c r="W755" s="8">
        <f>1/(1+EXP(-V755))</f>
        <v/>
      </c>
      <c r="X755" s="9">
        <f>-IF(C755=1,LN(W755),LN(1-W755))</f>
        <v/>
      </c>
      <c r="Y755" s="8">
        <f>IF(C755=1,$AE$32,$AE$33)</f>
        <v/>
      </c>
      <c r="Z755" s="9">
        <f>Y755*X755</f>
        <v/>
      </c>
      <c r="AA755" s="10">
        <f>IF(W755&gt;$AE$34,1,0)</f>
        <v/>
      </c>
      <c r="AB755">
        <f>IF(AA755=C755,1,0)</f>
        <v/>
      </c>
    </row>
    <row r="756">
      <c r="A756">
        <f>'1 datos preparados'!A749</f>
        <v/>
      </c>
      <c r="B756" s="5">
        <f>'1 datos preparados'!U749</f>
        <v/>
      </c>
      <c r="C756">
        <f>'1 datos preparados'!B749</f>
        <v/>
      </c>
      <c r="D756" s="7">
        <f>'1 datos preparados'!C749</f>
        <v/>
      </c>
      <c r="E756" s="7">
        <f>'1 datos preparados'!D749</f>
        <v/>
      </c>
      <c r="F756" s="7">
        <f>'1 datos preparados'!E749</f>
        <v/>
      </c>
      <c r="G756" s="7">
        <f>'1 datos preparados'!F749</f>
        <v/>
      </c>
      <c r="H756" s="7">
        <f>'1 datos preparados'!G749</f>
        <v/>
      </c>
      <c r="I756" s="7">
        <f>'1 datos preparados'!H749</f>
        <v/>
      </c>
      <c r="J756" s="7">
        <f>'1 datos preparados'!I749</f>
        <v/>
      </c>
      <c r="K756" s="7">
        <f>'1 datos preparados'!J749</f>
        <v/>
      </c>
      <c r="L756" s="7">
        <f>'1 datos preparados'!K749</f>
        <v/>
      </c>
      <c r="M756" s="7">
        <f>'1 datos preparados'!L749</f>
        <v/>
      </c>
      <c r="N756" s="7">
        <f>'1 datos preparados'!M749</f>
        <v/>
      </c>
      <c r="O756" s="7">
        <f>'1 datos preparados'!N749</f>
        <v/>
      </c>
      <c r="P756" s="7">
        <f>'1 datos preparados'!O749</f>
        <v/>
      </c>
      <c r="Q756" s="7">
        <f>'1 datos preparados'!P749</f>
        <v/>
      </c>
      <c r="R756" s="7">
        <f>'1 datos preparados'!Q749</f>
        <v/>
      </c>
      <c r="S756" s="7">
        <f>'1 datos preparados'!R749</f>
        <v/>
      </c>
      <c r="T756" s="7">
        <f>'1 datos preparados'!S749</f>
        <v/>
      </c>
      <c r="U756" s="7">
        <f>'1 datos preparados'!T749</f>
        <v/>
      </c>
      <c r="V756" s="8">
        <f>$AE$12+D756*$AE$13+E756*$AE$14+F756*$AE$15+G756*$AE$16+H756*$AE$17+I756*$AE$18+J756*$AE$19+K756*$AE$20+L756*$AE$21+M756*$AE$22+N756*$AE$23+O756*$AE$24+P756*$AE$25+Q756*$AE$26+R756*$AE$27+S756*$AE$28+T756*$AE$29+U756*$AE$30</f>
        <v/>
      </c>
      <c r="W756" s="8">
        <f>1/(1+EXP(-V756))</f>
        <v/>
      </c>
      <c r="X756" s="9">
        <f>-IF(C756=1,LN(W756),LN(1-W756))</f>
        <v/>
      </c>
      <c r="Y756" s="8">
        <f>IF(C756=1,$AE$32,$AE$33)</f>
        <v/>
      </c>
      <c r="Z756" s="9">
        <f>Y756*X756</f>
        <v/>
      </c>
      <c r="AA756" s="10">
        <f>IF(W756&gt;$AE$34,1,0)</f>
        <v/>
      </c>
      <c r="AB756">
        <f>IF(AA756=C756,1,0)</f>
        <v/>
      </c>
    </row>
    <row r="757">
      <c r="A757">
        <f>'1 datos preparados'!A750</f>
        <v/>
      </c>
      <c r="B757" s="5">
        <f>'1 datos preparados'!U750</f>
        <v/>
      </c>
      <c r="C757">
        <f>'1 datos preparados'!B750</f>
        <v/>
      </c>
      <c r="D757" s="7">
        <f>'1 datos preparados'!C750</f>
        <v/>
      </c>
      <c r="E757" s="7">
        <f>'1 datos preparados'!D750</f>
        <v/>
      </c>
      <c r="F757" s="7">
        <f>'1 datos preparados'!E750</f>
        <v/>
      </c>
      <c r="G757" s="7">
        <f>'1 datos preparados'!F750</f>
        <v/>
      </c>
      <c r="H757" s="7">
        <f>'1 datos preparados'!G750</f>
        <v/>
      </c>
      <c r="I757" s="7">
        <f>'1 datos preparados'!H750</f>
        <v/>
      </c>
      <c r="J757" s="7">
        <f>'1 datos preparados'!I750</f>
        <v/>
      </c>
      <c r="K757" s="7">
        <f>'1 datos preparados'!J750</f>
        <v/>
      </c>
      <c r="L757" s="7">
        <f>'1 datos preparados'!K750</f>
        <v/>
      </c>
      <c r="M757" s="7">
        <f>'1 datos preparados'!L750</f>
        <v/>
      </c>
      <c r="N757" s="7">
        <f>'1 datos preparados'!M750</f>
        <v/>
      </c>
      <c r="O757" s="7">
        <f>'1 datos preparados'!N750</f>
        <v/>
      </c>
      <c r="P757" s="7">
        <f>'1 datos preparados'!O750</f>
        <v/>
      </c>
      <c r="Q757" s="7">
        <f>'1 datos preparados'!P750</f>
        <v/>
      </c>
      <c r="R757" s="7">
        <f>'1 datos preparados'!Q750</f>
        <v/>
      </c>
      <c r="S757" s="7">
        <f>'1 datos preparados'!R750</f>
        <v/>
      </c>
      <c r="T757" s="7">
        <f>'1 datos preparados'!S750</f>
        <v/>
      </c>
      <c r="U757" s="7">
        <f>'1 datos preparados'!T750</f>
        <v/>
      </c>
      <c r="V757" s="8">
        <f>$AE$12+D757*$AE$13+E757*$AE$14+F757*$AE$15+G757*$AE$16+H757*$AE$17+I757*$AE$18+J757*$AE$19+K757*$AE$20+L757*$AE$21+M757*$AE$22+N757*$AE$23+O757*$AE$24+P757*$AE$25+Q757*$AE$26+R757*$AE$27+S757*$AE$28+T757*$AE$29+U757*$AE$30</f>
        <v/>
      </c>
      <c r="W757" s="8">
        <f>1/(1+EXP(-V757))</f>
        <v/>
      </c>
      <c r="X757" s="9">
        <f>-IF(C757=1,LN(W757),LN(1-W757))</f>
        <v/>
      </c>
      <c r="Y757" s="8">
        <f>IF(C757=1,$AE$32,$AE$33)</f>
        <v/>
      </c>
      <c r="Z757" s="9">
        <f>Y757*X757</f>
        <v/>
      </c>
      <c r="AA757" s="10">
        <f>IF(W757&gt;$AE$34,1,0)</f>
        <v/>
      </c>
      <c r="AB757">
        <f>IF(AA757=C757,1,0)</f>
        <v/>
      </c>
    </row>
    <row r="758">
      <c r="A758">
        <f>'1 datos preparados'!A751</f>
        <v/>
      </c>
      <c r="B758" s="5">
        <f>'1 datos preparados'!U751</f>
        <v/>
      </c>
      <c r="C758">
        <f>'1 datos preparados'!B751</f>
        <v/>
      </c>
      <c r="D758" s="7">
        <f>'1 datos preparados'!C751</f>
        <v/>
      </c>
      <c r="E758" s="7">
        <f>'1 datos preparados'!D751</f>
        <v/>
      </c>
      <c r="F758" s="7">
        <f>'1 datos preparados'!E751</f>
        <v/>
      </c>
      <c r="G758" s="7">
        <f>'1 datos preparados'!F751</f>
        <v/>
      </c>
      <c r="H758" s="7">
        <f>'1 datos preparados'!G751</f>
        <v/>
      </c>
      <c r="I758" s="7">
        <f>'1 datos preparados'!H751</f>
        <v/>
      </c>
      <c r="J758" s="7">
        <f>'1 datos preparados'!I751</f>
        <v/>
      </c>
      <c r="K758" s="7">
        <f>'1 datos preparados'!J751</f>
        <v/>
      </c>
      <c r="L758" s="7">
        <f>'1 datos preparados'!K751</f>
        <v/>
      </c>
      <c r="M758" s="7">
        <f>'1 datos preparados'!L751</f>
        <v/>
      </c>
      <c r="N758" s="7">
        <f>'1 datos preparados'!M751</f>
        <v/>
      </c>
      <c r="O758" s="7">
        <f>'1 datos preparados'!N751</f>
        <v/>
      </c>
      <c r="P758" s="7">
        <f>'1 datos preparados'!O751</f>
        <v/>
      </c>
      <c r="Q758" s="7">
        <f>'1 datos preparados'!P751</f>
        <v/>
      </c>
      <c r="R758" s="7">
        <f>'1 datos preparados'!Q751</f>
        <v/>
      </c>
      <c r="S758" s="7">
        <f>'1 datos preparados'!R751</f>
        <v/>
      </c>
      <c r="T758" s="7">
        <f>'1 datos preparados'!S751</f>
        <v/>
      </c>
      <c r="U758" s="7">
        <f>'1 datos preparados'!T751</f>
        <v/>
      </c>
      <c r="V758" s="8">
        <f>$AE$12+D758*$AE$13+E758*$AE$14+F758*$AE$15+G758*$AE$16+H758*$AE$17+I758*$AE$18+J758*$AE$19+K758*$AE$20+L758*$AE$21+M758*$AE$22+N758*$AE$23+O758*$AE$24+P758*$AE$25+Q758*$AE$26+R758*$AE$27+S758*$AE$28+T758*$AE$29+U758*$AE$30</f>
        <v/>
      </c>
      <c r="W758" s="8">
        <f>1/(1+EXP(-V758))</f>
        <v/>
      </c>
      <c r="X758" s="9">
        <f>-IF(C758=1,LN(W758),LN(1-W758))</f>
        <v/>
      </c>
      <c r="Y758" s="8">
        <f>IF(C758=1,$AE$32,$AE$33)</f>
        <v/>
      </c>
      <c r="Z758" s="9">
        <f>Y758*X758</f>
        <v/>
      </c>
      <c r="AA758" s="10">
        <f>IF(W758&gt;$AE$34,1,0)</f>
        <v/>
      </c>
      <c r="AB758">
        <f>IF(AA758=C758,1,0)</f>
        <v/>
      </c>
    </row>
    <row r="759">
      <c r="A759">
        <f>'1 datos preparados'!A752</f>
        <v/>
      </c>
      <c r="B759" s="5">
        <f>'1 datos preparados'!U752</f>
        <v/>
      </c>
      <c r="C759">
        <f>'1 datos preparados'!B752</f>
        <v/>
      </c>
      <c r="D759" s="7">
        <f>'1 datos preparados'!C752</f>
        <v/>
      </c>
      <c r="E759" s="7">
        <f>'1 datos preparados'!D752</f>
        <v/>
      </c>
      <c r="F759" s="7">
        <f>'1 datos preparados'!E752</f>
        <v/>
      </c>
      <c r="G759" s="7">
        <f>'1 datos preparados'!F752</f>
        <v/>
      </c>
      <c r="H759" s="7">
        <f>'1 datos preparados'!G752</f>
        <v/>
      </c>
      <c r="I759" s="7">
        <f>'1 datos preparados'!H752</f>
        <v/>
      </c>
      <c r="J759" s="7">
        <f>'1 datos preparados'!I752</f>
        <v/>
      </c>
      <c r="K759" s="7">
        <f>'1 datos preparados'!J752</f>
        <v/>
      </c>
      <c r="L759" s="7">
        <f>'1 datos preparados'!K752</f>
        <v/>
      </c>
      <c r="M759" s="7">
        <f>'1 datos preparados'!L752</f>
        <v/>
      </c>
      <c r="N759" s="7">
        <f>'1 datos preparados'!M752</f>
        <v/>
      </c>
      <c r="O759" s="7">
        <f>'1 datos preparados'!N752</f>
        <v/>
      </c>
      <c r="P759" s="7">
        <f>'1 datos preparados'!O752</f>
        <v/>
      </c>
      <c r="Q759" s="7">
        <f>'1 datos preparados'!P752</f>
        <v/>
      </c>
      <c r="R759" s="7">
        <f>'1 datos preparados'!Q752</f>
        <v/>
      </c>
      <c r="S759" s="7">
        <f>'1 datos preparados'!R752</f>
        <v/>
      </c>
      <c r="T759" s="7">
        <f>'1 datos preparados'!S752</f>
        <v/>
      </c>
      <c r="U759" s="7">
        <f>'1 datos preparados'!T752</f>
        <v/>
      </c>
      <c r="V759" s="8">
        <f>$AE$12+D759*$AE$13+E759*$AE$14+F759*$AE$15+G759*$AE$16+H759*$AE$17+I759*$AE$18+J759*$AE$19+K759*$AE$20+L759*$AE$21+M759*$AE$22+N759*$AE$23+O759*$AE$24+P759*$AE$25+Q759*$AE$26+R759*$AE$27+S759*$AE$28+T759*$AE$29+U759*$AE$30</f>
        <v/>
      </c>
      <c r="W759" s="8">
        <f>1/(1+EXP(-V759))</f>
        <v/>
      </c>
      <c r="X759" s="9">
        <f>-IF(C759=1,LN(W759),LN(1-W759))</f>
        <v/>
      </c>
      <c r="Y759" s="8">
        <f>IF(C759=1,$AE$32,$AE$33)</f>
        <v/>
      </c>
      <c r="Z759" s="9">
        <f>Y759*X759</f>
        <v/>
      </c>
      <c r="AA759" s="10">
        <f>IF(W759&gt;$AE$34,1,0)</f>
        <v/>
      </c>
      <c r="AB759">
        <f>IF(AA759=C759,1,0)</f>
        <v/>
      </c>
    </row>
    <row r="760">
      <c r="A760">
        <f>'1 datos preparados'!A753</f>
        <v/>
      </c>
      <c r="B760" s="5">
        <f>'1 datos preparados'!U753</f>
        <v/>
      </c>
      <c r="C760">
        <f>'1 datos preparados'!B753</f>
        <v/>
      </c>
      <c r="D760" s="7">
        <f>'1 datos preparados'!C753</f>
        <v/>
      </c>
      <c r="E760" s="7">
        <f>'1 datos preparados'!D753</f>
        <v/>
      </c>
      <c r="F760" s="7">
        <f>'1 datos preparados'!E753</f>
        <v/>
      </c>
      <c r="G760" s="7">
        <f>'1 datos preparados'!F753</f>
        <v/>
      </c>
      <c r="H760" s="7">
        <f>'1 datos preparados'!G753</f>
        <v/>
      </c>
      <c r="I760" s="7">
        <f>'1 datos preparados'!H753</f>
        <v/>
      </c>
      <c r="J760" s="7">
        <f>'1 datos preparados'!I753</f>
        <v/>
      </c>
      <c r="K760" s="7">
        <f>'1 datos preparados'!J753</f>
        <v/>
      </c>
      <c r="L760" s="7">
        <f>'1 datos preparados'!K753</f>
        <v/>
      </c>
      <c r="M760" s="7">
        <f>'1 datos preparados'!L753</f>
        <v/>
      </c>
      <c r="N760" s="7">
        <f>'1 datos preparados'!M753</f>
        <v/>
      </c>
      <c r="O760" s="7">
        <f>'1 datos preparados'!N753</f>
        <v/>
      </c>
      <c r="P760" s="7">
        <f>'1 datos preparados'!O753</f>
        <v/>
      </c>
      <c r="Q760" s="7">
        <f>'1 datos preparados'!P753</f>
        <v/>
      </c>
      <c r="R760" s="7">
        <f>'1 datos preparados'!Q753</f>
        <v/>
      </c>
      <c r="S760" s="7">
        <f>'1 datos preparados'!R753</f>
        <v/>
      </c>
      <c r="T760" s="7">
        <f>'1 datos preparados'!S753</f>
        <v/>
      </c>
      <c r="U760" s="7">
        <f>'1 datos preparados'!T753</f>
        <v/>
      </c>
      <c r="V760" s="8">
        <f>$AE$12+D760*$AE$13+E760*$AE$14+F760*$AE$15+G760*$AE$16+H760*$AE$17+I760*$AE$18+J760*$AE$19+K760*$AE$20+L760*$AE$21+M760*$AE$22+N760*$AE$23+O760*$AE$24+P760*$AE$25+Q760*$AE$26+R760*$AE$27+S760*$AE$28+T760*$AE$29+U760*$AE$30</f>
        <v/>
      </c>
      <c r="W760" s="8">
        <f>1/(1+EXP(-V760))</f>
        <v/>
      </c>
      <c r="X760" s="9">
        <f>-IF(C760=1,LN(W760),LN(1-W760))</f>
        <v/>
      </c>
      <c r="Y760" s="8">
        <f>IF(C760=1,$AE$32,$AE$33)</f>
        <v/>
      </c>
      <c r="Z760" s="9">
        <f>Y760*X760</f>
        <v/>
      </c>
      <c r="AA760" s="10">
        <f>IF(W760&gt;$AE$34,1,0)</f>
        <v/>
      </c>
      <c r="AB760">
        <f>IF(AA760=C760,1,0)</f>
        <v/>
      </c>
    </row>
    <row r="761">
      <c r="A761">
        <f>'1 datos preparados'!A754</f>
        <v/>
      </c>
      <c r="B761" s="5">
        <f>'1 datos preparados'!U754</f>
        <v/>
      </c>
      <c r="C761">
        <f>'1 datos preparados'!B754</f>
        <v/>
      </c>
      <c r="D761" s="7">
        <f>'1 datos preparados'!C754</f>
        <v/>
      </c>
      <c r="E761" s="7">
        <f>'1 datos preparados'!D754</f>
        <v/>
      </c>
      <c r="F761" s="7">
        <f>'1 datos preparados'!E754</f>
        <v/>
      </c>
      <c r="G761" s="7">
        <f>'1 datos preparados'!F754</f>
        <v/>
      </c>
      <c r="H761" s="7">
        <f>'1 datos preparados'!G754</f>
        <v/>
      </c>
      <c r="I761" s="7">
        <f>'1 datos preparados'!H754</f>
        <v/>
      </c>
      <c r="J761" s="7">
        <f>'1 datos preparados'!I754</f>
        <v/>
      </c>
      <c r="K761" s="7">
        <f>'1 datos preparados'!J754</f>
        <v/>
      </c>
      <c r="L761" s="7">
        <f>'1 datos preparados'!K754</f>
        <v/>
      </c>
      <c r="M761" s="7">
        <f>'1 datos preparados'!L754</f>
        <v/>
      </c>
      <c r="N761" s="7">
        <f>'1 datos preparados'!M754</f>
        <v/>
      </c>
      <c r="O761" s="7">
        <f>'1 datos preparados'!N754</f>
        <v/>
      </c>
      <c r="P761" s="7">
        <f>'1 datos preparados'!O754</f>
        <v/>
      </c>
      <c r="Q761" s="7">
        <f>'1 datos preparados'!P754</f>
        <v/>
      </c>
      <c r="R761" s="7">
        <f>'1 datos preparados'!Q754</f>
        <v/>
      </c>
      <c r="S761" s="7">
        <f>'1 datos preparados'!R754</f>
        <v/>
      </c>
      <c r="T761" s="7">
        <f>'1 datos preparados'!S754</f>
        <v/>
      </c>
      <c r="U761" s="7">
        <f>'1 datos preparados'!T754</f>
        <v/>
      </c>
      <c r="V761" s="8">
        <f>$AE$12+D761*$AE$13+E761*$AE$14+F761*$AE$15+G761*$AE$16+H761*$AE$17+I761*$AE$18+J761*$AE$19+K761*$AE$20+L761*$AE$21+M761*$AE$22+N761*$AE$23+O761*$AE$24+P761*$AE$25+Q761*$AE$26+R761*$AE$27+S761*$AE$28+T761*$AE$29+U761*$AE$30</f>
        <v/>
      </c>
      <c r="W761" s="8">
        <f>1/(1+EXP(-V761))</f>
        <v/>
      </c>
      <c r="X761" s="9">
        <f>-IF(C761=1,LN(W761),LN(1-W761))</f>
        <v/>
      </c>
      <c r="Y761" s="8">
        <f>IF(C761=1,$AE$32,$AE$33)</f>
        <v/>
      </c>
      <c r="Z761" s="9">
        <f>Y761*X761</f>
        <v/>
      </c>
      <c r="AA761" s="10">
        <f>IF(W761&gt;$AE$34,1,0)</f>
        <v/>
      </c>
      <c r="AB761">
        <f>IF(AA761=C761,1,0)</f>
        <v/>
      </c>
    </row>
    <row r="762">
      <c r="A762">
        <f>'1 datos preparados'!A755</f>
        <v/>
      </c>
      <c r="B762" s="5">
        <f>'1 datos preparados'!U755</f>
        <v/>
      </c>
      <c r="C762">
        <f>'1 datos preparados'!B755</f>
        <v/>
      </c>
      <c r="D762" s="7">
        <f>'1 datos preparados'!C755</f>
        <v/>
      </c>
      <c r="E762" s="7">
        <f>'1 datos preparados'!D755</f>
        <v/>
      </c>
      <c r="F762" s="7">
        <f>'1 datos preparados'!E755</f>
        <v/>
      </c>
      <c r="G762" s="7">
        <f>'1 datos preparados'!F755</f>
        <v/>
      </c>
      <c r="H762" s="7">
        <f>'1 datos preparados'!G755</f>
        <v/>
      </c>
      <c r="I762" s="7">
        <f>'1 datos preparados'!H755</f>
        <v/>
      </c>
      <c r="J762" s="7">
        <f>'1 datos preparados'!I755</f>
        <v/>
      </c>
      <c r="K762" s="7">
        <f>'1 datos preparados'!J755</f>
        <v/>
      </c>
      <c r="L762" s="7">
        <f>'1 datos preparados'!K755</f>
        <v/>
      </c>
      <c r="M762" s="7">
        <f>'1 datos preparados'!L755</f>
        <v/>
      </c>
      <c r="N762" s="7">
        <f>'1 datos preparados'!M755</f>
        <v/>
      </c>
      <c r="O762" s="7">
        <f>'1 datos preparados'!N755</f>
        <v/>
      </c>
      <c r="P762" s="7">
        <f>'1 datos preparados'!O755</f>
        <v/>
      </c>
      <c r="Q762" s="7">
        <f>'1 datos preparados'!P755</f>
        <v/>
      </c>
      <c r="R762" s="7">
        <f>'1 datos preparados'!Q755</f>
        <v/>
      </c>
      <c r="S762" s="7">
        <f>'1 datos preparados'!R755</f>
        <v/>
      </c>
      <c r="T762" s="7">
        <f>'1 datos preparados'!S755</f>
        <v/>
      </c>
      <c r="U762" s="7">
        <f>'1 datos preparados'!T755</f>
        <v/>
      </c>
      <c r="V762" s="8">
        <f>$AE$12+D762*$AE$13+E762*$AE$14+F762*$AE$15+G762*$AE$16+H762*$AE$17+I762*$AE$18+J762*$AE$19+K762*$AE$20+L762*$AE$21+M762*$AE$22+N762*$AE$23+O762*$AE$24+P762*$AE$25+Q762*$AE$26+R762*$AE$27+S762*$AE$28+T762*$AE$29+U762*$AE$30</f>
        <v/>
      </c>
      <c r="W762" s="8">
        <f>1/(1+EXP(-V762))</f>
        <v/>
      </c>
      <c r="X762" s="9">
        <f>-IF(C762=1,LN(W762),LN(1-W762))</f>
        <v/>
      </c>
      <c r="Y762" s="8">
        <f>IF(C762=1,$AE$32,$AE$33)</f>
        <v/>
      </c>
      <c r="Z762" s="9">
        <f>Y762*X762</f>
        <v/>
      </c>
      <c r="AA762" s="10">
        <f>IF(W762&gt;$AE$34,1,0)</f>
        <v/>
      </c>
      <c r="AB762">
        <f>IF(AA762=C762,1,0)</f>
        <v/>
      </c>
    </row>
    <row r="763">
      <c r="A763">
        <f>'1 datos preparados'!A756</f>
        <v/>
      </c>
      <c r="B763" s="5">
        <f>'1 datos preparados'!U756</f>
        <v/>
      </c>
      <c r="C763">
        <f>'1 datos preparados'!B756</f>
        <v/>
      </c>
      <c r="D763" s="7">
        <f>'1 datos preparados'!C756</f>
        <v/>
      </c>
      <c r="E763" s="7">
        <f>'1 datos preparados'!D756</f>
        <v/>
      </c>
      <c r="F763" s="7">
        <f>'1 datos preparados'!E756</f>
        <v/>
      </c>
      <c r="G763" s="7">
        <f>'1 datos preparados'!F756</f>
        <v/>
      </c>
      <c r="H763" s="7">
        <f>'1 datos preparados'!G756</f>
        <v/>
      </c>
      <c r="I763" s="7">
        <f>'1 datos preparados'!H756</f>
        <v/>
      </c>
      <c r="J763" s="7">
        <f>'1 datos preparados'!I756</f>
        <v/>
      </c>
      <c r="K763" s="7">
        <f>'1 datos preparados'!J756</f>
        <v/>
      </c>
      <c r="L763" s="7">
        <f>'1 datos preparados'!K756</f>
        <v/>
      </c>
      <c r="M763" s="7">
        <f>'1 datos preparados'!L756</f>
        <v/>
      </c>
      <c r="N763" s="7">
        <f>'1 datos preparados'!M756</f>
        <v/>
      </c>
      <c r="O763" s="7">
        <f>'1 datos preparados'!N756</f>
        <v/>
      </c>
      <c r="P763" s="7">
        <f>'1 datos preparados'!O756</f>
        <v/>
      </c>
      <c r="Q763" s="7">
        <f>'1 datos preparados'!P756</f>
        <v/>
      </c>
      <c r="R763" s="7">
        <f>'1 datos preparados'!Q756</f>
        <v/>
      </c>
      <c r="S763" s="7">
        <f>'1 datos preparados'!R756</f>
        <v/>
      </c>
      <c r="T763" s="7">
        <f>'1 datos preparados'!S756</f>
        <v/>
      </c>
      <c r="U763" s="7">
        <f>'1 datos preparados'!T756</f>
        <v/>
      </c>
      <c r="V763" s="8">
        <f>$AE$12+D763*$AE$13+E763*$AE$14+F763*$AE$15+G763*$AE$16+H763*$AE$17+I763*$AE$18+J763*$AE$19+K763*$AE$20+L763*$AE$21+M763*$AE$22+N763*$AE$23+O763*$AE$24+P763*$AE$25+Q763*$AE$26+R763*$AE$27+S763*$AE$28+T763*$AE$29+U763*$AE$30</f>
        <v/>
      </c>
      <c r="W763" s="8">
        <f>1/(1+EXP(-V763))</f>
        <v/>
      </c>
      <c r="X763" s="9">
        <f>-IF(C763=1,LN(W763),LN(1-W763))</f>
        <v/>
      </c>
      <c r="Y763" s="8">
        <f>IF(C763=1,$AE$32,$AE$33)</f>
        <v/>
      </c>
      <c r="Z763" s="9">
        <f>Y763*X763</f>
        <v/>
      </c>
      <c r="AA763" s="10">
        <f>IF(W763&gt;$AE$34,1,0)</f>
        <v/>
      </c>
      <c r="AB763">
        <f>IF(AA763=C763,1,0)</f>
        <v/>
      </c>
    </row>
    <row r="764">
      <c r="A764">
        <f>'1 datos preparados'!A757</f>
        <v/>
      </c>
      <c r="B764" s="5">
        <f>'1 datos preparados'!U757</f>
        <v/>
      </c>
      <c r="C764">
        <f>'1 datos preparados'!B757</f>
        <v/>
      </c>
      <c r="D764" s="7">
        <f>'1 datos preparados'!C757</f>
        <v/>
      </c>
      <c r="E764" s="7">
        <f>'1 datos preparados'!D757</f>
        <v/>
      </c>
      <c r="F764" s="7">
        <f>'1 datos preparados'!E757</f>
        <v/>
      </c>
      <c r="G764" s="7">
        <f>'1 datos preparados'!F757</f>
        <v/>
      </c>
      <c r="H764" s="7">
        <f>'1 datos preparados'!G757</f>
        <v/>
      </c>
      <c r="I764" s="7">
        <f>'1 datos preparados'!H757</f>
        <v/>
      </c>
      <c r="J764" s="7">
        <f>'1 datos preparados'!I757</f>
        <v/>
      </c>
      <c r="K764" s="7">
        <f>'1 datos preparados'!J757</f>
        <v/>
      </c>
      <c r="L764" s="7">
        <f>'1 datos preparados'!K757</f>
        <v/>
      </c>
      <c r="M764" s="7">
        <f>'1 datos preparados'!L757</f>
        <v/>
      </c>
      <c r="N764" s="7">
        <f>'1 datos preparados'!M757</f>
        <v/>
      </c>
      <c r="O764" s="7">
        <f>'1 datos preparados'!N757</f>
        <v/>
      </c>
      <c r="P764" s="7">
        <f>'1 datos preparados'!O757</f>
        <v/>
      </c>
      <c r="Q764" s="7">
        <f>'1 datos preparados'!P757</f>
        <v/>
      </c>
      <c r="R764" s="7">
        <f>'1 datos preparados'!Q757</f>
        <v/>
      </c>
      <c r="S764" s="7">
        <f>'1 datos preparados'!R757</f>
        <v/>
      </c>
      <c r="T764" s="7">
        <f>'1 datos preparados'!S757</f>
        <v/>
      </c>
      <c r="U764" s="7">
        <f>'1 datos preparados'!T757</f>
        <v/>
      </c>
      <c r="V764" s="8">
        <f>$AE$12+D764*$AE$13+E764*$AE$14+F764*$AE$15+G764*$AE$16+H764*$AE$17+I764*$AE$18+J764*$AE$19+K764*$AE$20+L764*$AE$21+M764*$AE$22+N764*$AE$23+O764*$AE$24+P764*$AE$25+Q764*$AE$26+R764*$AE$27+S764*$AE$28+T764*$AE$29+U764*$AE$30</f>
        <v/>
      </c>
      <c r="W764" s="8">
        <f>1/(1+EXP(-V764))</f>
        <v/>
      </c>
      <c r="X764" s="9">
        <f>-IF(C764=1,LN(W764),LN(1-W764))</f>
        <v/>
      </c>
      <c r="Y764" s="8">
        <f>IF(C764=1,$AE$32,$AE$33)</f>
        <v/>
      </c>
      <c r="Z764" s="9">
        <f>Y764*X764</f>
        <v/>
      </c>
      <c r="AA764" s="10">
        <f>IF(W764&gt;$AE$34,1,0)</f>
        <v/>
      </c>
      <c r="AB764">
        <f>IF(AA764=C764,1,0)</f>
        <v/>
      </c>
    </row>
    <row r="765">
      <c r="A765">
        <f>'1 datos preparados'!A758</f>
        <v/>
      </c>
      <c r="B765" s="5">
        <f>'1 datos preparados'!U758</f>
        <v/>
      </c>
      <c r="C765">
        <f>'1 datos preparados'!B758</f>
        <v/>
      </c>
      <c r="D765" s="7">
        <f>'1 datos preparados'!C758</f>
        <v/>
      </c>
      <c r="E765" s="7">
        <f>'1 datos preparados'!D758</f>
        <v/>
      </c>
      <c r="F765" s="7">
        <f>'1 datos preparados'!E758</f>
        <v/>
      </c>
      <c r="G765" s="7">
        <f>'1 datos preparados'!F758</f>
        <v/>
      </c>
      <c r="H765" s="7">
        <f>'1 datos preparados'!G758</f>
        <v/>
      </c>
      <c r="I765" s="7">
        <f>'1 datos preparados'!H758</f>
        <v/>
      </c>
      <c r="J765" s="7">
        <f>'1 datos preparados'!I758</f>
        <v/>
      </c>
      <c r="K765" s="7">
        <f>'1 datos preparados'!J758</f>
        <v/>
      </c>
      <c r="L765" s="7">
        <f>'1 datos preparados'!K758</f>
        <v/>
      </c>
      <c r="M765" s="7">
        <f>'1 datos preparados'!L758</f>
        <v/>
      </c>
      <c r="N765" s="7">
        <f>'1 datos preparados'!M758</f>
        <v/>
      </c>
      <c r="O765" s="7">
        <f>'1 datos preparados'!N758</f>
        <v/>
      </c>
      <c r="P765" s="7">
        <f>'1 datos preparados'!O758</f>
        <v/>
      </c>
      <c r="Q765" s="7">
        <f>'1 datos preparados'!P758</f>
        <v/>
      </c>
      <c r="R765" s="7">
        <f>'1 datos preparados'!Q758</f>
        <v/>
      </c>
      <c r="S765" s="7">
        <f>'1 datos preparados'!R758</f>
        <v/>
      </c>
      <c r="T765" s="7">
        <f>'1 datos preparados'!S758</f>
        <v/>
      </c>
      <c r="U765" s="7">
        <f>'1 datos preparados'!T758</f>
        <v/>
      </c>
      <c r="V765" s="8">
        <f>$AE$12+D765*$AE$13+E765*$AE$14+F765*$AE$15+G765*$AE$16+H765*$AE$17+I765*$AE$18+J765*$AE$19+K765*$AE$20+L765*$AE$21+M765*$AE$22+N765*$AE$23+O765*$AE$24+P765*$AE$25+Q765*$AE$26+R765*$AE$27+S765*$AE$28+T765*$AE$29+U765*$AE$30</f>
        <v/>
      </c>
      <c r="W765" s="8">
        <f>1/(1+EXP(-V765))</f>
        <v/>
      </c>
      <c r="X765" s="9">
        <f>-IF(C765=1,LN(W765),LN(1-W765))</f>
        <v/>
      </c>
      <c r="Y765" s="8">
        <f>IF(C765=1,$AE$32,$AE$33)</f>
        <v/>
      </c>
      <c r="Z765" s="9">
        <f>Y765*X765</f>
        <v/>
      </c>
      <c r="AA765" s="10">
        <f>IF(W765&gt;$AE$34,1,0)</f>
        <v/>
      </c>
      <c r="AB765">
        <f>IF(AA765=C765,1,0)</f>
        <v/>
      </c>
    </row>
    <row r="766">
      <c r="A766">
        <f>'1 datos preparados'!A759</f>
        <v/>
      </c>
      <c r="B766" s="5">
        <f>'1 datos preparados'!U759</f>
        <v/>
      </c>
      <c r="C766">
        <f>'1 datos preparados'!B759</f>
        <v/>
      </c>
      <c r="D766" s="7">
        <f>'1 datos preparados'!C759</f>
        <v/>
      </c>
      <c r="E766" s="7">
        <f>'1 datos preparados'!D759</f>
        <v/>
      </c>
      <c r="F766" s="7">
        <f>'1 datos preparados'!E759</f>
        <v/>
      </c>
      <c r="G766" s="7">
        <f>'1 datos preparados'!F759</f>
        <v/>
      </c>
      <c r="H766" s="7">
        <f>'1 datos preparados'!G759</f>
        <v/>
      </c>
      <c r="I766" s="7">
        <f>'1 datos preparados'!H759</f>
        <v/>
      </c>
      <c r="J766" s="7">
        <f>'1 datos preparados'!I759</f>
        <v/>
      </c>
      <c r="K766" s="7">
        <f>'1 datos preparados'!J759</f>
        <v/>
      </c>
      <c r="L766" s="7">
        <f>'1 datos preparados'!K759</f>
        <v/>
      </c>
      <c r="M766" s="7">
        <f>'1 datos preparados'!L759</f>
        <v/>
      </c>
      <c r="N766" s="7">
        <f>'1 datos preparados'!M759</f>
        <v/>
      </c>
      <c r="O766" s="7">
        <f>'1 datos preparados'!N759</f>
        <v/>
      </c>
      <c r="P766" s="7">
        <f>'1 datos preparados'!O759</f>
        <v/>
      </c>
      <c r="Q766" s="7">
        <f>'1 datos preparados'!P759</f>
        <v/>
      </c>
      <c r="R766" s="7">
        <f>'1 datos preparados'!Q759</f>
        <v/>
      </c>
      <c r="S766" s="7">
        <f>'1 datos preparados'!R759</f>
        <v/>
      </c>
      <c r="T766" s="7">
        <f>'1 datos preparados'!S759</f>
        <v/>
      </c>
      <c r="U766" s="7">
        <f>'1 datos preparados'!T759</f>
        <v/>
      </c>
      <c r="V766" s="8">
        <f>$AE$12+D766*$AE$13+E766*$AE$14+F766*$AE$15+G766*$AE$16+H766*$AE$17+I766*$AE$18+J766*$AE$19+K766*$AE$20+L766*$AE$21+M766*$AE$22+N766*$AE$23+O766*$AE$24+P766*$AE$25+Q766*$AE$26+R766*$AE$27+S766*$AE$28+T766*$AE$29+U766*$AE$30</f>
        <v/>
      </c>
      <c r="W766" s="8">
        <f>1/(1+EXP(-V766))</f>
        <v/>
      </c>
      <c r="X766" s="9">
        <f>-IF(C766=1,LN(W766),LN(1-W766))</f>
        <v/>
      </c>
      <c r="Y766" s="8">
        <f>IF(C766=1,$AE$32,$AE$33)</f>
        <v/>
      </c>
      <c r="Z766" s="9">
        <f>Y766*X766</f>
        <v/>
      </c>
      <c r="AA766" s="10">
        <f>IF(W766&gt;$AE$34,1,0)</f>
        <v/>
      </c>
      <c r="AB766">
        <f>IF(AA766=C766,1,0)</f>
        <v/>
      </c>
    </row>
    <row r="767">
      <c r="A767">
        <f>'1 datos preparados'!A760</f>
        <v/>
      </c>
      <c r="B767" s="5">
        <f>'1 datos preparados'!U760</f>
        <v/>
      </c>
      <c r="C767">
        <f>'1 datos preparados'!B760</f>
        <v/>
      </c>
      <c r="D767" s="7">
        <f>'1 datos preparados'!C760</f>
        <v/>
      </c>
      <c r="E767" s="7">
        <f>'1 datos preparados'!D760</f>
        <v/>
      </c>
      <c r="F767" s="7">
        <f>'1 datos preparados'!E760</f>
        <v/>
      </c>
      <c r="G767" s="7">
        <f>'1 datos preparados'!F760</f>
        <v/>
      </c>
      <c r="H767" s="7">
        <f>'1 datos preparados'!G760</f>
        <v/>
      </c>
      <c r="I767" s="7">
        <f>'1 datos preparados'!H760</f>
        <v/>
      </c>
      <c r="J767" s="7">
        <f>'1 datos preparados'!I760</f>
        <v/>
      </c>
      <c r="K767" s="7">
        <f>'1 datos preparados'!J760</f>
        <v/>
      </c>
      <c r="L767" s="7">
        <f>'1 datos preparados'!K760</f>
        <v/>
      </c>
      <c r="M767" s="7">
        <f>'1 datos preparados'!L760</f>
        <v/>
      </c>
      <c r="N767" s="7">
        <f>'1 datos preparados'!M760</f>
        <v/>
      </c>
      <c r="O767" s="7">
        <f>'1 datos preparados'!N760</f>
        <v/>
      </c>
      <c r="P767" s="7">
        <f>'1 datos preparados'!O760</f>
        <v/>
      </c>
      <c r="Q767" s="7">
        <f>'1 datos preparados'!P760</f>
        <v/>
      </c>
      <c r="R767" s="7">
        <f>'1 datos preparados'!Q760</f>
        <v/>
      </c>
      <c r="S767" s="7">
        <f>'1 datos preparados'!R760</f>
        <v/>
      </c>
      <c r="T767" s="7">
        <f>'1 datos preparados'!S760</f>
        <v/>
      </c>
      <c r="U767" s="7">
        <f>'1 datos preparados'!T760</f>
        <v/>
      </c>
      <c r="V767" s="8">
        <f>$AE$12+D767*$AE$13+E767*$AE$14+F767*$AE$15+G767*$AE$16+H767*$AE$17+I767*$AE$18+J767*$AE$19+K767*$AE$20+L767*$AE$21+M767*$AE$22+N767*$AE$23+O767*$AE$24+P767*$AE$25+Q767*$AE$26+R767*$AE$27+S767*$AE$28+T767*$AE$29+U767*$AE$30</f>
        <v/>
      </c>
      <c r="W767" s="8">
        <f>1/(1+EXP(-V767))</f>
        <v/>
      </c>
      <c r="X767" s="9">
        <f>-IF(C767=1,LN(W767),LN(1-W767))</f>
        <v/>
      </c>
      <c r="Y767" s="8">
        <f>IF(C767=1,$AE$32,$AE$33)</f>
        <v/>
      </c>
      <c r="Z767" s="9">
        <f>Y767*X767</f>
        <v/>
      </c>
      <c r="AA767" s="10">
        <f>IF(W767&gt;$AE$34,1,0)</f>
        <v/>
      </c>
      <c r="AB767">
        <f>IF(AA767=C767,1,0)</f>
        <v/>
      </c>
    </row>
    <row r="768">
      <c r="A768">
        <f>'1 datos preparados'!A761</f>
        <v/>
      </c>
      <c r="B768" s="5">
        <f>'1 datos preparados'!U761</f>
        <v/>
      </c>
      <c r="C768">
        <f>'1 datos preparados'!B761</f>
        <v/>
      </c>
      <c r="D768" s="7">
        <f>'1 datos preparados'!C761</f>
        <v/>
      </c>
      <c r="E768" s="7">
        <f>'1 datos preparados'!D761</f>
        <v/>
      </c>
      <c r="F768" s="7">
        <f>'1 datos preparados'!E761</f>
        <v/>
      </c>
      <c r="G768" s="7">
        <f>'1 datos preparados'!F761</f>
        <v/>
      </c>
      <c r="H768" s="7">
        <f>'1 datos preparados'!G761</f>
        <v/>
      </c>
      <c r="I768" s="7">
        <f>'1 datos preparados'!H761</f>
        <v/>
      </c>
      <c r="J768" s="7">
        <f>'1 datos preparados'!I761</f>
        <v/>
      </c>
      <c r="K768" s="7">
        <f>'1 datos preparados'!J761</f>
        <v/>
      </c>
      <c r="L768" s="7">
        <f>'1 datos preparados'!K761</f>
        <v/>
      </c>
      <c r="M768" s="7">
        <f>'1 datos preparados'!L761</f>
        <v/>
      </c>
      <c r="N768" s="7">
        <f>'1 datos preparados'!M761</f>
        <v/>
      </c>
      <c r="O768" s="7">
        <f>'1 datos preparados'!N761</f>
        <v/>
      </c>
      <c r="P768" s="7">
        <f>'1 datos preparados'!O761</f>
        <v/>
      </c>
      <c r="Q768" s="7">
        <f>'1 datos preparados'!P761</f>
        <v/>
      </c>
      <c r="R768" s="7">
        <f>'1 datos preparados'!Q761</f>
        <v/>
      </c>
      <c r="S768" s="7">
        <f>'1 datos preparados'!R761</f>
        <v/>
      </c>
      <c r="T768" s="7">
        <f>'1 datos preparados'!S761</f>
        <v/>
      </c>
      <c r="U768" s="7">
        <f>'1 datos preparados'!T761</f>
        <v/>
      </c>
      <c r="V768" s="8">
        <f>$AE$12+D768*$AE$13+E768*$AE$14+F768*$AE$15+G768*$AE$16+H768*$AE$17+I768*$AE$18+J768*$AE$19+K768*$AE$20+L768*$AE$21+M768*$AE$22+N768*$AE$23+O768*$AE$24+P768*$AE$25+Q768*$AE$26+R768*$AE$27+S768*$AE$28+T768*$AE$29+U768*$AE$30</f>
        <v/>
      </c>
      <c r="W768" s="8">
        <f>1/(1+EXP(-V768))</f>
        <v/>
      </c>
      <c r="X768" s="9">
        <f>-IF(C768=1,LN(W768),LN(1-W768))</f>
        <v/>
      </c>
      <c r="Y768" s="8">
        <f>IF(C768=1,$AE$32,$AE$33)</f>
        <v/>
      </c>
      <c r="Z768" s="9">
        <f>Y768*X768</f>
        <v/>
      </c>
      <c r="AA768" s="10">
        <f>IF(W768&gt;$AE$34,1,0)</f>
        <v/>
      </c>
      <c r="AB768">
        <f>IF(AA768=C768,1,0)</f>
        <v/>
      </c>
    </row>
    <row r="769">
      <c r="A769">
        <f>'1 datos preparados'!A762</f>
        <v/>
      </c>
      <c r="B769" s="5">
        <f>'1 datos preparados'!U762</f>
        <v/>
      </c>
      <c r="C769">
        <f>'1 datos preparados'!B762</f>
        <v/>
      </c>
      <c r="D769" s="7">
        <f>'1 datos preparados'!C762</f>
        <v/>
      </c>
      <c r="E769" s="7">
        <f>'1 datos preparados'!D762</f>
        <v/>
      </c>
      <c r="F769" s="7">
        <f>'1 datos preparados'!E762</f>
        <v/>
      </c>
      <c r="G769" s="7">
        <f>'1 datos preparados'!F762</f>
        <v/>
      </c>
      <c r="H769" s="7">
        <f>'1 datos preparados'!G762</f>
        <v/>
      </c>
      <c r="I769" s="7">
        <f>'1 datos preparados'!H762</f>
        <v/>
      </c>
      <c r="J769" s="7">
        <f>'1 datos preparados'!I762</f>
        <v/>
      </c>
      <c r="K769" s="7">
        <f>'1 datos preparados'!J762</f>
        <v/>
      </c>
      <c r="L769" s="7">
        <f>'1 datos preparados'!K762</f>
        <v/>
      </c>
      <c r="M769" s="7">
        <f>'1 datos preparados'!L762</f>
        <v/>
      </c>
      <c r="N769" s="7">
        <f>'1 datos preparados'!M762</f>
        <v/>
      </c>
      <c r="O769" s="7">
        <f>'1 datos preparados'!N762</f>
        <v/>
      </c>
      <c r="P769" s="7">
        <f>'1 datos preparados'!O762</f>
        <v/>
      </c>
      <c r="Q769" s="7">
        <f>'1 datos preparados'!P762</f>
        <v/>
      </c>
      <c r="R769" s="7">
        <f>'1 datos preparados'!Q762</f>
        <v/>
      </c>
      <c r="S769" s="7">
        <f>'1 datos preparados'!R762</f>
        <v/>
      </c>
      <c r="T769" s="7">
        <f>'1 datos preparados'!S762</f>
        <v/>
      </c>
      <c r="U769" s="7">
        <f>'1 datos preparados'!T762</f>
        <v/>
      </c>
      <c r="V769" s="8">
        <f>$AE$12+D769*$AE$13+E769*$AE$14+F769*$AE$15+G769*$AE$16+H769*$AE$17+I769*$AE$18+J769*$AE$19+K769*$AE$20+L769*$AE$21+M769*$AE$22+N769*$AE$23+O769*$AE$24+P769*$AE$25+Q769*$AE$26+R769*$AE$27+S769*$AE$28+T769*$AE$29+U769*$AE$30</f>
        <v/>
      </c>
      <c r="W769" s="8">
        <f>1/(1+EXP(-V769))</f>
        <v/>
      </c>
      <c r="X769" s="9">
        <f>-IF(C769=1,LN(W769),LN(1-W769))</f>
        <v/>
      </c>
      <c r="Y769" s="8">
        <f>IF(C769=1,$AE$32,$AE$33)</f>
        <v/>
      </c>
      <c r="Z769" s="9">
        <f>Y769*X769</f>
        <v/>
      </c>
      <c r="AA769" s="10">
        <f>IF(W769&gt;$AE$34,1,0)</f>
        <v/>
      </c>
      <c r="AB769">
        <f>IF(AA769=C769,1,0)</f>
        <v/>
      </c>
    </row>
    <row r="770">
      <c r="A770">
        <f>'1 datos preparados'!A763</f>
        <v/>
      </c>
      <c r="B770" s="5">
        <f>'1 datos preparados'!U763</f>
        <v/>
      </c>
      <c r="C770">
        <f>'1 datos preparados'!B763</f>
        <v/>
      </c>
      <c r="D770" s="7">
        <f>'1 datos preparados'!C763</f>
        <v/>
      </c>
      <c r="E770" s="7">
        <f>'1 datos preparados'!D763</f>
        <v/>
      </c>
      <c r="F770" s="7">
        <f>'1 datos preparados'!E763</f>
        <v/>
      </c>
      <c r="G770" s="7">
        <f>'1 datos preparados'!F763</f>
        <v/>
      </c>
      <c r="H770" s="7">
        <f>'1 datos preparados'!G763</f>
        <v/>
      </c>
      <c r="I770" s="7">
        <f>'1 datos preparados'!H763</f>
        <v/>
      </c>
      <c r="J770" s="7">
        <f>'1 datos preparados'!I763</f>
        <v/>
      </c>
      <c r="K770" s="7">
        <f>'1 datos preparados'!J763</f>
        <v/>
      </c>
      <c r="L770" s="7">
        <f>'1 datos preparados'!K763</f>
        <v/>
      </c>
      <c r="M770" s="7">
        <f>'1 datos preparados'!L763</f>
        <v/>
      </c>
      <c r="N770" s="7">
        <f>'1 datos preparados'!M763</f>
        <v/>
      </c>
      <c r="O770" s="7">
        <f>'1 datos preparados'!N763</f>
        <v/>
      </c>
      <c r="P770" s="7">
        <f>'1 datos preparados'!O763</f>
        <v/>
      </c>
      <c r="Q770" s="7">
        <f>'1 datos preparados'!P763</f>
        <v/>
      </c>
      <c r="R770" s="7">
        <f>'1 datos preparados'!Q763</f>
        <v/>
      </c>
      <c r="S770" s="7">
        <f>'1 datos preparados'!R763</f>
        <v/>
      </c>
      <c r="T770" s="7">
        <f>'1 datos preparados'!S763</f>
        <v/>
      </c>
      <c r="U770" s="7">
        <f>'1 datos preparados'!T763</f>
        <v/>
      </c>
      <c r="V770" s="8">
        <f>$AE$12+D770*$AE$13+E770*$AE$14+F770*$AE$15+G770*$AE$16+H770*$AE$17+I770*$AE$18+J770*$AE$19+K770*$AE$20+L770*$AE$21+M770*$AE$22+N770*$AE$23+O770*$AE$24+P770*$AE$25+Q770*$AE$26+R770*$AE$27+S770*$AE$28+T770*$AE$29+U770*$AE$30</f>
        <v/>
      </c>
      <c r="W770" s="8">
        <f>1/(1+EXP(-V770))</f>
        <v/>
      </c>
      <c r="X770" s="9">
        <f>-IF(C770=1,LN(W770),LN(1-W770))</f>
        <v/>
      </c>
      <c r="Y770" s="8">
        <f>IF(C770=1,$AE$32,$AE$33)</f>
        <v/>
      </c>
      <c r="Z770" s="9">
        <f>Y770*X770</f>
        <v/>
      </c>
      <c r="AA770" s="10">
        <f>IF(W770&gt;$AE$34,1,0)</f>
        <v/>
      </c>
      <c r="AB770">
        <f>IF(AA770=C770,1,0)</f>
        <v/>
      </c>
    </row>
    <row r="771">
      <c r="A771">
        <f>'1 datos preparados'!A764</f>
        <v/>
      </c>
      <c r="B771" s="5">
        <f>'1 datos preparados'!U764</f>
        <v/>
      </c>
      <c r="C771">
        <f>'1 datos preparados'!B764</f>
        <v/>
      </c>
      <c r="D771" s="7">
        <f>'1 datos preparados'!C764</f>
        <v/>
      </c>
      <c r="E771" s="7">
        <f>'1 datos preparados'!D764</f>
        <v/>
      </c>
      <c r="F771" s="7">
        <f>'1 datos preparados'!E764</f>
        <v/>
      </c>
      <c r="G771" s="7">
        <f>'1 datos preparados'!F764</f>
        <v/>
      </c>
      <c r="H771" s="7">
        <f>'1 datos preparados'!G764</f>
        <v/>
      </c>
      <c r="I771" s="7">
        <f>'1 datos preparados'!H764</f>
        <v/>
      </c>
      <c r="J771" s="7">
        <f>'1 datos preparados'!I764</f>
        <v/>
      </c>
      <c r="K771" s="7">
        <f>'1 datos preparados'!J764</f>
        <v/>
      </c>
      <c r="L771" s="7">
        <f>'1 datos preparados'!K764</f>
        <v/>
      </c>
      <c r="M771" s="7">
        <f>'1 datos preparados'!L764</f>
        <v/>
      </c>
      <c r="N771" s="7">
        <f>'1 datos preparados'!M764</f>
        <v/>
      </c>
      <c r="O771" s="7">
        <f>'1 datos preparados'!N764</f>
        <v/>
      </c>
      <c r="P771" s="7">
        <f>'1 datos preparados'!O764</f>
        <v/>
      </c>
      <c r="Q771" s="7">
        <f>'1 datos preparados'!P764</f>
        <v/>
      </c>
      <c r="R771" s="7">
        <f>'1 datos preparados'!Q764</f>
        <v/>
      </c>
      <c r="S771" s="7">
        <f>'1 datos preparados'!R764</f>
        <v/>
      </c>
      <c r="T771" s="7">
        <f>'1 datos preparados'!S764</f>
        <v/>
      </c>
      <c r="U771" s="7">
        <f>'1 datos preparados'!T764</f>
        <v/>
      </c>
      <c r="V771" s="8">
        <f>$AE$12+D771*$AE$13+E771*$AE$14+F771*$AE$15+G771*$AE$16+H771*$AE$17+I771*$AE$18+J771*$AE$19+K771*$AE$20+L771*$AE$21+M771*$AE$22+N771*$AE$23+O771*$AE$24+P771*$AE$25+Q771*$AE$26+R771*$AE$27+S771*$AE$28+T771*$AE$29+U771*$AE$30</f>
        <v/>
      </c>
      <c r="W771" s="8">
        <f>1/(1+EXP(-V771))</f>
        <v/>
      </c>
      <c r="X771" s="9">
        <f>-IF(C771=1,LN(W771),LN(1-W771))</f>
        <v/>
      </c>
      <c r="Y771" s="8">
        <f>IF(C771=1,$AE$32,$AE$33)</f>
        <v/>
      </c>
      <c r="Z771" s="9">
        <f>Y771*X771</f>
        <v/>
      </c>
      <c r="AA771" s="10">
        <f>IF(W771&gt;$AE$34,1,0)</f>
        <v/>
      </c>
      <c r="AB771">
        <f>IF(AA771=C771,1,0)</f>
        <v/>
      </c>
    </row>
    <row r="772">
      <c r="A772">
        <f>'1 datos preparados'!A765</f>
        <v/>
      </c>
      <c r="B772" s="5">
        <f>'1 datos preparados'!U765</f>
        <v/>
      </c>
      <c r="C772">
        <f>'1 datos preparados'!B765</f>
        <v/>
      </c>
      <c r="D772" s="7">
        <f>'1 datos preparados'!C765</f>
        <v/>
      </c>
      <c r="E772" s="7">
        <f>'1 datos preparados'!D765</f>
        <v/>
      </c>
      <c r="F772" s="7">
        <f>'1 datos preparados'!E765</f>
        <v/>
      </c>
      <c r="G772" s="7">
        <f>'1 datos preparados'!F765</f>
        <v/>
      </c>
      <c r="H772" s="7">
        <f>'1 datos preparados'!G765</f>
        <v/>
      </c>
      <c r="I772" s="7">
        <f>'1 datos preparados'!H765</f>
        <v/>
      </c>
      <c r="J772" s="7">
        <f>'1 datos preparados'!I765</f>
        <v/>
      </c>
      <c r="K772" s="7">
        <f>'1 datos preparados'!J765</f>
        <v/>
      </c>
      <c r="L772" s="7">
        <f>'1 datos preparados'!K765</f>
        <v/>
      </c>
      <c r="M772" s="7">
        <f>'1 datos preparados'!L765</f>
        <v/>
      </c>
      <c r="N772" s="7">
        <f>'1 datos preparados'!M765</f>
        <v/>
      </c>
      <c r="O772" s="7">
        <f>'1 datos preparados'!N765</f>
        <v/>
      </c>
      <c r="P772" s="7">
        <f>'1 datos preparados'!O765</f>
        <v/>
      </c>
      <c r="Q772" s="7">
        <f>'1 datos preparados'!P765</f>
        <v/>
      </c>
      <c r="R772" s="7">
        <f>'1 datos preparados'!Q765</f>
        <v/>
      </c>
      <c r="S772" s="7">
        <f>'1 datos preparados'!R765</f>
        <v/>
      </c>
      <c r="T772" s="7">
        <f>'1 datos preparados'!S765</f>
        <v/>
      </c>
      <c r="U772" s="7">
        <f>'1 datos preparados'!T765</f>
        <v/>
      </c>
      <c r="V772" s="8">
        <f>$AE$12+D772*$AE$13+E772*$AE$14+F772*$AE$15+G772*$AE$16+H772*$AE$17+I772*$AE$18+J772*$AE$19+K772*$AE$20+L772*$AE$21+M772*$AE$22+N772*$AE$23+O772*$AE$24+P772*$AE$25+Q772*$AE$26+R772*$AE$27+S772*$AE$28+T772*$AE$29+U772*$AE$30</f>
        <v/>
      </c>
      <c r="W772" s="8">
        <f>1/(1+EXP(-V772))</f>
        <v/>
      </c>
      <c r="X772" s="9">
        <f>-IF(C772=1,LN(W772),LN(1-W772))</f>
        <v/>
      </c>
      <c r="Y772" s="8">
        <f>IF(C772=1,$AE$32,$AE$33)</f>
        <v/>
      </c>
      <c r="Z772" s="9">
        <f>Y772*X772</f>
        <v/>
      </c>
      <c r="AA772" s="10">
        <f>IF(W772&gt;$AE$34,1,0)</f>
        <v/>
      </c>
      <c r="AB772">
        <f>IF(AA772=C772,1,0)</f>
        <v/>
      </c>
    </row>
    <row r="773">
      <c r="A773">
        <f>'1 datos preparados'!A766</f>
        <v/>
      </c>
      <c r="B773" s="5">
        <f>'1 datos preparados'!U766</f>
        <v/>
      </c>
      <c r="C773">
        <f>'1 datos preparados'!B766</f>
        <v/>
      </c>
      <c r="D773" s="7">
        <f>'1 datos preparados'!C766</f>
        <v/>
      </c>
      <c r="E773" s="7">
        <f>'1 datos preparados'!D766</f>
        <v/>
      </c>
      <c r="F773" s="7">
        <f>'1 datos preparados'!E766</f>
        <v/>
      </c>
      <c r="G773" s="7">
        <f>'1 datos preparados'!F766</f>
        <v/>
      </c>
      <c r="H773" s="7">
        <f>'1 datos preparados'!G766</f>
        <v/>
      </c>
      <c r="I773" s="7">
        <f>'1 datos preparados'!H766</f>
        <v/>
      </c>
      <c r="J773" s="7">
        <f>'1 datos preparados'!I766</f>
        <v/>
      </c>
      <c r="K773" s="7">
        <f>'1 datos preparados'!J766</f>
        <v/>
      </c>
      <c r="L773" s="7">
        <f>'1 datos preparados'!K766</f>
        <v/>
      </c>
      <c r="M773" s="7">
        <f>'1 datos preparados'!L766</f>
        <v/>
      </c>
      <c r="N773" s="7">
        <f>'1 datos preparados'!M766</f>
        <v/>
      </c>
      <c r="O773" s="7">
        <f>'1 datos preparados'!N766</f>
        <v/>
      </c>
      <c r="P773" s="7">
        <f>'1 datos preparados'!O766</f>
        <v/>
      </c>
      <c r="Q773" s="7">
        <f>'1 datos preparados'!P766</f>
        <v/>
      </c>
      <c r="R773" s="7">
        <f>'1 datos preparados'!Q766</f>
        <v/>
      </c>
      <c r="S773" s="7">
        <f>'1 datos preparados'!R766</f>
        <v/>
      </c>
      <c r="T773" s="7">
        <f>'1 datos preparados'!S766</f>
        <v/>
      </c>
      <c r="U773" s="7">
        <f>'1 datos preparados'!T766</f>
        <v/>
      </c>
      <c r="V773" s="8">
        <f>$AE$12+D773*$AE$13+E773*$AE$14+F773*$AE$15+G773*$AE$16+H773*$AE$17+I773*$AE$18+J773*$AE$19+K773*$AE$20+L773*$AE$21+M773*$AE$22+N773*$AE$23+O773*$AE$24+P773*$AE$25+Q773*$AE$26+R773*$AE$27+S773*$AE$28+T773*$AE$29+U773*$AE$30</f>
        <v/>
      </c>
      <c r="W773" s="8">
        <f>1/(1+EXP(-V773))</f>
        <v/>
      </c>
      <c r="X773" s="9">
        <f>-IF(C773=1,LN(W773),LN(1-W773))</f>
        <v/>
      </c>
      <c r="Y773" s="8">
        <f>IF(C773=1,$AE$32,$AE$33)</f>
        <v/>
      </c>
      <c r="Z773" s="9">
        <f>Y773*X773</f>
        <v/>
      </c>
      <c r="AA773" s="10">
        <f>IF(W773&gt;$AE$34,1,0)</f>
        <v/>
      </c>
      <c r="AB773">
        <f>IF(AA773=C773,1,0)</f>
        <v/>
      </c>
    </row>
    <row r="774">
      <c r="A774">
        <f>'1 datos preparados'!A767</f>
        <v/>
      </c>
      <c r="B774" s="5">
        <f>'1 datos preparados'!U767</f>
        <v/>
      </c>
      <c r="C774">
        <f>'1 datos preparados'!B767</f>
        <v/>
      </c>
      <c r="D774" s="7">
        <f>'1 datos preparados'!C767</f>
        <v/>
      </c>
      <c r="E774" s="7">
        <f>'1 datos preparados'!D767</f>
        <v/>
      </c>
      <c r="F774" s="7">
        <f>'1 datos preparados'!E767</f>
        <v/>
      </c>
      <c r="G774" s="7">
        <f>'1 datos preparados'!F767</f>
        <v/>
      </c>
      <c r="H774" s="7">
        <f>'1 datos preparados'!G767</f>
        <v/>
      </c>
      <c r="I774" s="7">
        <f>'1 datos preparados'!H767</f>
        <v/>
      </c>
      <c r="J774" s="7">
        <f>'1 datos preparados'!I767</f>
        <v/>
      </c>
      <c r="K774" s="7">
        <f>'1 datos preparados'!J767</f>
        <v/>
      </c>
      <c r="L774" s="7">
        <f>'1 datos preparados'!K767</f>
        <v/>
      </c>
      <c r="M774" s="7">
        <f>'1 datos preparados'!L767</f>
        <v/>
      </c>
      <c r="N774" s="7">
        <f>'1 datos preparados'!M767</f>
        <v/>
      </c>
      <c r="O774" s="7">
        <f>'1 datos preparados'!N767</f>
        <v/>
      </c>
      <c r="P774" s="7">
        <f>'1 datos preparados'!O767</f>
        <v/>
      </c>
      <c r="Q774" s="7">
        <f>'1 datos preparados'!P767</f>
        <v/>
      </c>
      <c r="R774" s="7">
        <f>'1 datos preparados'!Q767</f>
        <v/>
      </c>
      <c r="S774" s="7">
        <f>'1 datos preparados'!R767</f>
        <v/>
      </c>
      <c r="T774" s="7">
        <f>'1 datos preparados'!S767</f>
        <v/>
      </c>
      <c r="U774" s="7">
        <f>'1 datos preparados'!T767</f>
        <v/>
      </c>
      <c r="V774" s="8">
        <f>$AE$12+D774*$AE$13+E774*$AE$14+F774*$AE$15+G774*$AE$16+H774*$AE$17+I774*$AE$18+J774*$AE$19+K774*$AE$20+L774*$AE$21+M774*$AE$22+N774*$AE$23+O774*$AE$24+P774*$AE$25+Q774*$AE$26+R774*$AE$27+S774*$AE$28+T774*$AE$29+U774*$AE$30</f>
        <v/>
      </c>
      <c r="W774" s="8">
        <f>1/(1+EXP(-V774))</f>
        <v/>
      </c>
      <c r="X774" s="9">
        <f>-IF(C774=1,LN(W774),LN(1-W774))</f>
        <v/>
      </c>
      <c r="Y774" s="8">
        <f>IF(C774=1,$AE$32,$AE$33)</f>
        <v/>
      </c>
      <c r="Z774" s="9">
        <f>Y774*X774</f>
        <v/>
      </c>
      <c r="AA774" s="10">
        <f>IF(W774&gt;$AE$34,1,0)</f>
        <v/>
      </c>
      <c r="AB774">
        <f>IF(AA774=C774,1,0)</f>
        <v/>
      </c>
    </row>
    <row r="775">
      <c r="A775">
        <f>'1 datos preparados'!A768</f>
        <v/>
      </c>
      <c r="B775" s="5">
        <f>'1 datos preparados'!U768</f>
        <v/>
      </c>
      <c r="C775">
        <f>'1 datos preparados'!B768</f>
        <v/>
      </c>
      <c r="D775" s="7">
        <f>'1 datos preparados'!C768</f>
        <v/>
      </c>
      <c r="E775" s="7">
        <f>'1 datos preparados'!D768</f>
        <v/>
      </c>
      <c r="F775" s="7">
        <f>'1 datos preparados'!E768</f>
        <v/>
      </c>
      <c r="G775" s="7">
        <f>'1 datos preparados'!F768</f>
        <v/>
      </c>
      <c r="H775" s="7">
        <f>'1 datos preparados'!G768</f>
        <v/>
      </c>
      <c r="I775" s="7">
        <f>'1 datos preparados'!H768</f>
        <v/>
      </c>
      <c r="J775" s="7">
        <f>'1 datos preparados'!I768</f>
        <v/>
      </c>
      <c r="K775" s="7">
        <f>'1 datos preparados'!J768</f>
        <v/>
      </c>
      <c r="L775" s="7">
        <f>'1 datos preparados'!K768</f>
        <v/>
      </c>
      <c r="M775" s="7">
        <f>'1 datos preparados'!L768</f>
        <v/>
      </c>
      <c r="N775" s="7">
        <f>'1 datos preparados'!M768</f>
        <v/>
      </c>
      <c r="O775" s="7">
        <f>'1 datos preparados'!N768</f>
        <v/>
      </c>
      <c r="P775" s="7">
        <f>'1 datos preparados'!O768</f>
        <v/>
      </c>
      <c r="Q775" s="7">
        <f>'1 datos preparados'!P768</f>
        <v/>
      </c>
      <c r="R775" s="7">
        <f>'1 datos preparados'!Q768</f>
        <v/>
      </c>
      <c r="S775" s="7">
        <f>'1 datos preparados'!R768</f>
        <v/>
      </c>
      <c r="T775" s="7">
        <f>'1 datos preparados'!S768</f>
        <v/>
      </c>
      <c r="U775" s="7">
        <f>'1 datos preparados'!T768</f>
        <v/>
      </c>
      <c r="V775" s="8">
        <f>$AE$12+D775*$AE$13+E775*$AE$14+F775*$AE$15+G775*$AE$16+H775*$AE$17+I775*$AE$18+J775*$AE$19+K775*$AE$20+L775*$AE$21+M775*$AE$22+N775*$AE$23+O775*$AE$24+P775*$AE$25+Q775*$AE$26+R775*$AE$27+S775*$AE$28+T775*$AE$29+U775*$AE$30</f>
        <v/>
      </c>
      <c r="W775" s="8">
        <f>1/(1+EXP(-V775))</f>
        <v/>
      </c>
      <c r="X775" s="9">
        <f>-IF(C775=1,LN(W775),LN(1-W775))</f>
        <v/>
      </c>
      <c r="Y775" s="8">
        <f>IF(C775=1,$AE$32,$AE$33)</f>
        <v/>
      </c>
      <c r="Z775" s="9">
        <f>Y775*X775</f>
        <v/>
      </c>
      <c r="AA775" s="10">
        <f>IF(W775&gt;$AE$34,1,0)</f>
        <v/>
      </c>
      <c r="AB775">
        <f>IF(AA775=C775,1,0)</f>
        <v/>
      </c>
    </row>
    <row r="776">
      <c r="A776">
        <f>'1 datos preparados'!A769</f>
        <v/>
      </c>
      <c r="B776" s="5">
        <f>'1 datos preparados'!U769</f>
        <v/>
      </c>
      <c r="C776">
        <f>'1 datos preparados'!B769</f>
        <v/>
      </c>
      <c r="D776" s="7">
        <f>'1 datos preparados'!C769</f>
        <v/>
      </c>
      <c r="E776" s="7">
        <f>'1 datos preparados'!D769</f>
        <v/>
      </c>
      <c r="F776" s="7">
        <f>'1 datos preparados'!E769</f>
        <v/>
      </c>
      <c r="G776" s="7">
        <f>'1 datos preparados'!F769</f>
        <v/>
      </c>
      <c r="H776" s="7">
        <f>'1 datos preparados'!G769</f>
        <v/>
      </c>
      <c r="I776" s="7">
        <f>'1 datos preparados'!H769</f>
        <v/>
      </c>
      <c r="J776" s="7">
        <f>'1 datos preparados'!I769</f>
        <v/>
      </c>
      <c r="K776" s="7">
        <f>'1 datos preparados'!J769</f>
        <v/>
      </c>
      <c r="L776" s="7">
        <f>'1 datos preparados'!K769</f>
        <v/>
      </c>
      <c r="M776" s="7">
        <f>'1 datos preparados'!L769</f>
        <v/>
      </c>
      <c r="N776" s="7">
        <f>'1 datos preparados'!M769</f>
        <v/>
      </c>
      <c r="O776" s="7">
        <f>'1 datos preparados'!N769</f>
        <v/>
      </c>
      <c r="P776" s="7">
        <f>'1 datos preparados'!O769</f>
        <v/>
      </c>
      <c r="Q776" s="7">
        <f>'1 datos preparados'!P769</f>
        <v/>
      </c>
      <c r="R776" s="7">
        <f>'1 datos preparados'!Q769</f>
        <v/>
      </c>
      <c r="S776" s="7">
        <f>'1 datos preparados'!R769</f>
        <v/>
      </c>
      <c r="T776" s="7">
        <f>'1 datos preparados'!S769</f>
        <v/>
      </c>
      <c r="U776" s="7">
        <f>'1 datos preparados'!T769</f>
        <v/>
      </c>
      <c r="V776" s="8">
        <f>$AE$12+D776*$AE$13+E776*$AE$14+F776*$AE$15+G776*$AE$16+H776*$AE$17+I776*$AE$18+J776*$AE$19+K776*$AE$20+L776*$AE$21+M776*$AE$22+N776*$AE$23+O776*$AE$24+P776*$AE$25+Q776*$AE$26+R776*$AE$27+S776*$AE$28+T776*$AE$29+U776*$AE$30</f>
        <v/>
      </c>
      <c r="W776" s="8">
        <f>1/(1+EXP(-V776))</f>
        <v/>
      </c>
      <c r="X776" s="9">
        <f>-IF(C776=1,LN(W776),LN(1-W776))</f>
        <v/>
      </c>
      <c r="Y776" s="8">
        <f>IF(C776=1,$AE$32,$AE$33)</f>
        <v/>
      </c>
      <c r="Z776" s="9">
        <f>Y776*X776</f>
        <v/>
      </c>
      <c r="AA776" s="10">
        <f>IF(W776&gt;$AE$34,1,0)</f>
        <v/>
      </c>
      <c r="AB776">
        <f>IF(AA776=C776,1,0)</f>
        <v/>
      </c>
    </row>
    <row r="777">
      <c r="A777">
        <f>'1 datos preparados'!A770</f>
        <v/>
      </c>
      <c r="B777" s="5">
        <f>'1 datos preparados'!U770</f>
        <v/>
      </c>
      <c r="C777">
        <f>'1 datos preparados'!B770</f>
        <v/>
      </c>
      <c r="D777" s="7">
        <f>'1 datos preparados'!C770</f>
        <v/>
      </c>
      <c r="E777" s="7">
        <f>'1 datos preparados'!D770</f>
        <v/>
      </c>
      <c r="F777" s="7">
        <f>'1 datos preparados'!E770</f>
        <v/>
      </c>
      <c r="G777" s="7">
        <f>'1 datos preparados'!F770</f>
        <v/>
      </c>
      <c r="H777" s="7">
        <f>'1 datos preparados'!G770</f>
        <v/>
      </c>
      <c r="I777" s="7">
        <f>'1 datos preparados'!H770</f>
        <v/>
      </c>
      <c r="J777" s="7">
        <f>'1 datos preparados'!I770</f>
        <v/>
      </c>
      <c r="K777" s="7">
        <f>'1 datos preparados'!J770</f>
        <v/>
      </c>
      <c r="L777" s="7">
        <f>'1 datos preparados'!K770</f>
        <v/>
      </c>
      <c r="M777" s="7">
        <f>'1 datos preparados'!L770</f>
        <v/>
      </c>
      <c r="N777" s="7">
        <f>'1 datos preparados'!M770</f>
        <v/>
      </c>
      <c r="O777" s="7">
        <f>'1 datos preparados'!N770</f>
        <v/>
      </c>
      <c r="P777" s="7">
        <f>'1 datos preparados'!O770</f>
        <v/>
      </c>
      <c r="Q777" s="7">
        <f>'1 datos preparados'!P770</f>
        <v/>
      </c>
      <c r="R777" s="7">
        <f>'1 datos preparados'!Q770</f>
        <v/>
      </c>
      <c r="S777" s="7">
        <f>'1 datos preparados'!R770</f>
        <v/>
      </c>
      <c r="T777" s="7">
        <f>'1 datos preparados'!S770</f>
        <v/>
      </c>
      <c r="U777" s="7">
        <f>'1 datos preparados'!T770</f>
        <v/>
      </c>
      <c r="V777" s="8">
        <f>$AE$12+D777*$AE$13+E777*$AE$14+F777*$AE$15+G777*$AE$16+H777*$AE$17+I777*$AE$18+J777*$AE$19+K777*$AE$20+L777*$AE$21+M777*$AE$22+N777*$AE$23+O777*$AE$24+P777*$AE$25+Q777*$AE$26+R777*$AE$27+S777*$AE$28+T777*$AE$29+U777*$AE$30</f>
        <v/>
      </c>
      <c r="W777" s="8">
        <f>1/(1+EXP(-V777))</f>
        <v/>
      </c>
      <c r="X777" s="9">
        <f>-IF(C777=1,LN(W777),LN(1-W777))</f>
        <v/>
      </c>
      <c r="Y777" s="8">
        <f>IF(C777=1,$AE$32,$AE$33)</f>
        <v/>
      </c>
      <c r="Z777" s="9">
        <f>Y777*X777</f>
        <v/>
      </c>
      <c r="AA777" s="10">
        <f>IF(W777&gt;$AE$34,1,0)</f>
        <v/>
      </c>
      <c r="AB777">
        <f>IF(AA777=C777,1,0)</f>
        <v/>
      </c>
    </row>
    <row r="778">
      <c r="A778">
        <f>'1 datos preparados'!A771</f>
        <v/>
      </c>
      <c r="B778" s="5">
        <f>'1 datos preparados'!U771</f>
        <v/>
      </c>
      <c r="C778">
        <f>'1 datos preparados'!B771</f>
        <v/>
      </c>
      <c r="D778" s="7">
        <f>'1 datos preparados'!C771</f>
        <v/>
      </c>
      <c r="E778" s="7">
        <f>'1 datos preparados'!D771</f>
        <v/>
      </c>
      <c r="F778" s="7">
        <f>'1 datos preparados'!E771</f>
        <v/>
      </c>
      <c r="G778" s="7">
        <f>'1 datos preparados'!F771</f>
        <v/>
      </c>
      <c r="H778" s="7">
        <f>'1 datos preparados'!G771</f>
        <v/>
      </c>
      <c r="I778" s="7">
        <f>'1 datos preparados'!H771</f>
        <v/>
      </c>
      <c r="J778" s="7">
        <f>'1 datos preparados'!I771</f>
        <v/>
      </c>
      <c r="K778" s="7">
        <f>'1 datos preparados'!J771</f>
        <v/>
      </c>
      <c r="L778" s="7">
        <f>'1 datos preparados'!K771</f>
        <v/>
      </c>
      <c r="M778" s="7">
        <f>'1 datos preparados'!L771</f>
        <v/>
      </c>
      <c r="N778" s="7">
        <f>'1 datos preparados'!M771</f>
        <v/>
      </c>
      <c r="O778" s="7">
        <f>'1 datos preparados'!N771</f>
        <v/>
      </c>
      <c r="P778" s="7">
        <f>'1 datos preparados'!O771</f>
        <v/>
      </c>
      <c r="Q778" s="7">
        <f>'1 datos preparados'!P771</f>
        <v/>
      </c>
      <c r="R778" s="7">
        <f>'1 datos preparados'!Q771</f>
        <v/>
      </c>
      <c r="S778" s="7">
        <f>'1 datos preparados'!R771</f>
        <v/>
      </c>
      <c r="T778" s="7">
        <f>'1 datos preparados'!S771</f>
        <v/>
      </c>
      <c r="U778" s="7">
        <f>'1 datos preparados'!T771</f>
        <v/>
      </c>
      <c r="V778" s="8">
        <f>$AE$12+D778*$AE$13+E778*$AE$14+F778*$AE$15+G778*$AE$16+H778*$AE$17+I778*$AE$18+J778*$AE$19+K778*$AE$20+L778*$AE$21+M778*$AE$22+N778*$AE$23+O778*$AE$24+P778*$AE$25+Q778*$AE$26+R778*$AE$27+S778*$AE$28+T778*$AE$29+U778*$AE$30</f>
        <v/>
      </c>
      <c r="W778" s="8">
        <f>1/(1+EXP(-V778))</f>
        <v/>
      </c>
      <c r="X778" s="9">
        <f>-IF(C778=1,LN(W778),LN(1-W778))</f>
        <v/>
      </c>
      <c r="Y778" s="8">
        <f>IF(C778=1,$AE$32,$AE$33)</f>
        <v/>
      </c>
      <c r="Z778" s="9">
        <f>Y778*X778</f>
        <v/>
      </c>
      <c r="AA778" s="10">
        <f>IF(W778&gt;$AE$34,1,0)</f>
        <v/>
      </c>
      <c r="AB778">
        <f>IF(AA778=C778,1,0)</f>
        <v/>
      </c>
    </row>
    <row r="779">
      <c r="A779">
        <f>'1 datos preparados'!A772</f>
        <v/>
      </c>
      <c r="B779" s="5">
        <f>'1 datos preparados'!U772</f>
        <v/>
      </c>
      <c r="C779">
        <f>'1 datos preparados'!B772</f>
        <v/>
      </c>
      <c r="D779" s="7">
        <f>'1 datos preparados'!C772</f>
        <v/>
      </c>
      <c r="E779" s="7">
        <f>'1 datos preparados'!D772</f>
        <v/>
      </c>
      <c r="F779" s="7">
        <f>'1 datos preparados'!E772</f>
        <v/>
      </c>
      <c r="G779" s="7">
        <f>'1 datos preparados'!F772</f>
        <v/>
      </c>
      <c r="H779" s="7">
        <f>'1 datos preparados'!G772</f>
        <v/>
      </c>
      <c r="I779" s="7">
        <f>'1 datos preparados'!H772</f>
        <v/>
      </c>
      <c r="J779" s="7">
        <f>'1 datos preparados'!I772</f>
        <v/>
      </c>
      <c r="K779" s="7">
        <f>'1 datos preparados'!J772</f>
        <v/>
      </c>
      <c r="L779" s="7">
        <f>'1 datos preparados'!K772</f>
        <v/>
      </c>
      <c r="M779" s="7">
        <f>'1 datos preparados'!L772</f>
        <v/>
      </c>
      <c r="N779" s="7">
        <f>'1 datos preparados'!M772</f>
        <v/>
      </c>
      <c r="O779" s="7">
        <f>'1 datos preparados'!N772</f>
        <v/>
      </c>
      <c r="P779" s="7">
        <f>'1 datos preparados'!O772</f>
        <v/>
      </c>
      <c r="Q779" s="7">
        <f>'1 datos preparados'!P772</f>
        <v/>
      </c>
      <c r="R779" s="7">
        <f>'1 datos preparados'!Q772</f>
        <v/>
      </c>
      <c r="S779" s="7">
        <f>'1 datos preparados'!R772</f>
        <v/>
      </c>
      <c r="T779" s="7">
        <f>'1 datos preparados'!S772</f>
        <v/>
      </c>
      <c r="U779" s="7">
        <f>'1 datos preparados'!T772</f>
        <v/>
      </c>
      <c r="V779" s="8">
        <f>$AE$12+D779*$AE$13+E779*$AE$14+F779*$AE$15+G779*$AE$16+H779*$AE$17+I779*$AE$18+J779*$AE$19+K779*$AE$20+L779*$AE$21+M779*$AE$22+N779*$AE$23+O779*$AE$24+P779*$AE$25+Q779*$AE$26+R779*$AE$27+S779*$AE$28+T779*$AE$29+U779*$AE$30</f>
        <v/>
      </c>
      <c r="W779" s="8">
        <f>1/(1+EXP(-V779))</f>
        <v/>
      </c>
      <c r="X779" s="9">
        <f>-IF(C779=1,LN(W779),LN(1-W779))</f>
        <v/>
      </c>
      <c r="Y779" s="8">
        <f>IF(C779=1,$AE$32,$AE$33)</f>
        <v/>
      </c>
      <c r="Z779" s="9">
        <f>Y779*X779</f>
        <v/>
      </c>
      <c r="AA779" s="10">
        <f>IF(W779&gt;$AE$34,1,0)</f>
        <v/>
      </c>
      <c r="AB779">
        <f>IF(AA779=C779,1,0)</f>
        <v/>
      </c>
    </row>
    <row r="780">
      <c r="A780">
        <f>'1 datos preparados'!A773</f>
        <v/>
      </c>
      <c r="B780" s="5">
        <f>'1 datos preparados'!U773</f>
        <v/>
      </c>
      <c r="C780">
        <f>'1 datos preparados'!B773</f>
        <v/>
      </c>
      <c r="D780" s="7">
        <f>'1 datos preparados'!C773</f>
        <v/>
      </c>
      <c r="E780" s="7">
        <f>'1 datos preparados'!D773</f>
        <v/>
      </c>
      <c r="F780" s="7">
        <f>'1 datos preparados'!E773</f>
        <v/>
      </c>
      <c r="G780" s="7">
        <f>'1 datos preparados'!F773</f>
        <v/>
      </c>
      <c r="H780" s="7">
        <f>'1 datos preparados'!G773</f>
        <v/>
      </c>
      <c r="I780" s="7">
        <f>'1 datos preparados'!H773</f>
        <v/>
      </c>
      <c r="J780" s="7">
        <f>'1 datos preparados'!I773</f>
        <v/>
      </c>
      <c r="K780" s="7">
        <f>'1 datos preparados'!J773</f>
        <v/>
      </c>
      <c r="L780" s="7">
        <f>'1 datos preparados'!K773</f>
        <v/>
      </c>
      <c r="M780" s="7">
        <f>'1 datos preparados'!L773</f>
        <v/>
      </c>
      <c r="N780" s="7">
        <f>'1 datos preparados'!M773</f>
        <v/>
      </c>
      <c r="O780" s="7">
        <f>'1 datos preparados'!N773</f>
        <v/>
      </c>
      <c r="P780" s="7">
        <f>'1 datos preparados'!O773</f>
        <v/>
      </c>
      <c r="Q780" s="7">
        <f>'1 datos preparados'!P773</f>
        <v/>
      </c>
      <c r="R780" s="7">
        <f>'1 datos preparados'!Q773</f>
        <v/>
      </c>
      <c r="S780" s="7">
        <f>'1 datos preparados'!R773</f>
        <v/>
      </c>
      <c r="T780" s="7">
        <f>'1 datos preparados'!S773</f>
        <v/>
      </c>
      <c r="U780" s="7">
        <f>'1 datos preparados'!T773</f>
        <v/>
      </c>
      <c r="V780" s="8">
        <f>$AE$12+D780*$AE$13+E780*$AE$14+F780*$AE$15+G780*$AE$16+H780*$AE$17+I780*$AE$18+J780*$AE$19+K780*$AE$20+L780*$AE$21+M780*$AE$22+N780*$AE$23+O780*$AE$24+P780*$AE$25+Q780*$AE$26+R780*$AE$27+S780*$AE$28+T780*$AE$29+U780*$AE$30</f>
        <v/>
      </c>
      <c r="W780" s="8">
        <f>1/(1+EXP(-V780))</f>
        <v/>
      </c>
      <c r="X780" s="9">
        <f>-IF(C780=1,LN(W780),LN(1-W780))</f>
        <v/>
      </c>
      <c r="Y780" s="8">
        <f>IF(C780=1,$AE$32,$AE$33)</f>
        <v/>
      </c>
      <c r="Z780" s="9">
        <f>Y780*X780</f>
        <v/>
      </c>
      <c r="AA780" s="10">
        <f>IF(W780&gt;$AE$34,1,0)</f>
        <v/>
      </c>
      <c r="AB780">
        <f>IF(AA780=C780,1,0)</f>
        <v/>
      </c>
    </row>
    <row r="781">
      <c r="A781">
        <f>'1 datos preparados'!A774</f>
        <v/>
      </c>
      <c r="B781" s="5">
        <f>'1 datos preparados'!U774</f>
        <v/>
      </c>
      <c r="C781">
        <f>'1 datos preparados'!B774</f>
        <v/>
      </c>
      <c r="D781" s="7">
        <f>'1 datos preparados'!C774</f>
        <v/>
      </c>
      <c r="E781" s="7">
        <f>'1 datos preparados'!D774</f>
        <v/>
      </c>
      <c r="F781" s="7">
        <f>'1 datos preparados'!E774</f>
        <v/>
      </c>
      <c r="G781" s="7">
        <f>'1 datos preparados'!F774</f>
        <v/>
      </c>
      <c r="H781" s="7">
        <f>'1 datos preparados'!G774</f>
        <v/>
      </c>
      <c r="I781" s="7">
        <f>'1 datos preparados'!H774</f>
        <v/>
      </c>
      <c r="J781" s="7">
        <f>'1 datos preparados'!I774</f>
        <v/>
      </c>
      <c r="K781" s="7">
        <f>'1 datos preparados'!J774</f>
        <v/>
      </c>
      <c r="L781" s="7">
        <f>'1 datos preparados'!K774</f>
        <v/>
      </c>
      <c r="M781" s="7">
        <f>'1 datos preparados'!L774</f>
        <v/>
      </c>
      <c r="N781" s="7">
        <f>'1 datos preparados'!M774</f>
        <v/>
      </c>
      <c r="O781" s="7">
        <f>'1 datos preparados'!N774</f>
        <v/>
      </c>
      <c r="P781" s="7">
        <f>'1 datos preparados'!O774</f>
        <v/>
      </c>
      <c r="Q781" s="7">
        <f>'1 datos preparados'!P774</f>
        <v/>
      </c>
      <c r="R781" s="7">
        <f>'1 datos preparados'!Q774</f>
        <v/>
      </c>
      <c r="S781" s="7">
        <f>'1 datos preparados'!R774</f>
        <v/>
      </c>
      <c r="T781" s="7">
        <f>'1 datos preparados'!S774</f>
        <v/>
      </c>
      <c r="U781" s="7">
        <f>'1 datos preparados'!T774</f>
        <v/>
      </c>
      <c r="V781" s="8">
        <f>$AE$12+D781*$AE$13+E781*$AE$14+F781*$AE$15+G781*$AE$16+H781*$AE$17+I781*$AE$18+J781*$AE$19+K781*$AE$20+L781*$AE$21+M781*$AE$22+N781*$AE$23+O781*$AE$24+P781*$AE$25+Q781*$AE$26+R781*$AE$27+S781*$AE$28+T781*$AE$29+U781*$AE$30</f>
        <v/>
      </c>
      <c r="W781" s="8">
        <f>1/(1+EXP(-V781))</f>
        <v/>
      </c>
      <c r="X781" s="9">
        <f>-IF(C781=1,LN(W781),LN(1-W781))</f>
        <v/>
      </c>
      <c r="Y781" s="8">
        <f>IF(C781=1,$AE$32,$AE$33)</f>
        <v/>
      </c>
      <c r="Z781" s="9">
        <f>Y781*X781</f>
        <v/>
      </c>
      <c r="AA781" s="10">
        <f>IF(W781&gt;$AE$34,1,0)</f>
        <v/>
      </c>
      <c r="AB781">
        <f>IF(AA781=C781,1,0)</f>
        <v/>
      </c>
    </row>
    <row r="782">
      <c r="A782">
        <f>'1 datos preparados'!A775</f>
        <v/>
      </c>
      <c r="B782" s="5">
        <f>'1 datos preparados'!U775</f>
        <v/>
      </c>
      <c r="C782">
        <f>'1 datos preparados'!B775</f>
        <v/>
      </c>
      <c r="D782" s="7">
        <f>'1 datos preparados'!C775</f>
        <v/>
      </c>
      <c r="E782" s="7">
        <f>'1 datos preparados'!D775</f>
        <v/>
      </c>
      <c r="F782" s="7">
        <f>'1 datos preparados'!E775</f>
        <v/>
      </c>
      <c r="G782" s="7">
        <f>'1 datos preparados'!F775</f>
        <v/>
      </c>
      <c r="H782" s="7">
        <f>'1 datos preparados'!G775</f>
        <v/>
      </c>
      <c r="I782" s="7">
        <f>'1 datos preparados'!H775</f>
        <v/>
      </c>
      <c r="J782" s="7">
        <f>'1 datos preparados'!I775</f>
        <v/>
      </c>
      <c r="K782" s="7">
        <f>'1 datos preparados'!J775</f>
        <v/>
      </c>
      <c r="L782" s="7">
        <f>'1 datos preparados'!K775</f>
        <v/>
      </c>
      <c r="M782" s="7">
        <f>'1 datos preparados'!L775</f>
        <v/>
      </c>
      <c r="N782" s="7">
        <f>'1 datos preparados'!M775</f>
        <v/>
      </c>
      <c r="O782" s="7">
        <f>'1 datos preparados'!N775</f>
        <v/>
      </c>
      <c r="P782" s="7">
        <f>'1 datos preparados'!O775</f>
        <v/>
      </c>
      <c r="Q782" s="7">
        <f>'1 datos preparados'!P775</f>
        <v/>
      </c>
      <c r="R782" s="7">
        <f>'1 datos preparados'!Q775</f>
        <v/>
      </c>
      <c r="S782" s="7">
        <f>'1 datos preparados'!R775</f>
        <v/>
      </c>
      <c r="T782" s="7">
        <f>'1 datos preparados'!S775</f>
        <v/>
      </c>
      <c r="U782" s="7">
        <f>'1 datos preparados'!T775</f>
        <v/>
      </c>
      <c r="V782" s="8">
        <f>$AE$12+D782*$AE$13+E782*$AE$14+F782*$AE$15+G782*$AE$16+H782*$AE$17+I782*$AE$18+J782*$AE$19+K782*$AE$20+L782*$AE$21+M782*$AE$22+N782*$AE$23+O782*$AE$24+P782*$AE$25+Q782*$AE$26+R782*$AE$27+S782*$AE$28+T782*$AE$29+U782*$AE$30</f>
        <v/>
      </c>
      <c r="W782" s="8">
        <f>1/(1+EXP(-V782))</f>
        <v/>
      </c>
      <c r="X782" s="9">
        <f>-IF(C782=1,LN(W782),LN(1-W782))</f>
        <v/>
      </c>
      <c r="Y782" s="8">
        <f>IF(C782=1,$AE$32,$AE$33)</f>
        <v/>
      </c>
      <c r="Z782" s="9">
        <f>Y782*X782</f>
        <v/>
      </c>
      <c r="AA782" s="10">
        <f>IF(W782&gt;$AE$34,1,0)</f>
        <v/>
      </c>
      <c r="AB782">
        <f>IF(AA782=C782,1,0)</f>
        <v/>
      </c>
    </row>
    <row r="783">
      <c r="A783">
        <f>'1 datos preparados'!A776</f>
        <v/>
      </c>
      <c r="B783" s="5">
        <f>'1 datos preparados'!U776</f>
        <v/>
      </c>
      <c r="C783">
        <f>'1 datos preparados'!B776</f>
        <v/>
      </c>
      <c r="D783" s="7">
        <f>'1 datos preparados'!C776</f>
        <v/>
      </c>
      <c r="E783" s="7">
        <f>'1 datos preparados'!D776</f>
        <v/>
      </c>
      <c r="F783" s="7">
        <f>'1 datos preparados'!E776</f>
        <v/>
      </c>
      <c r="G783" s="7">
        <f>'1 datos preparados'!F776</f>
        <v/>
      </c>
      <c r="H783" s="7">
        <f>'1 datos preparados'!G776</f>
        <v/>
      </c>
      <c r="I783" s="7">
        <f>'1 datos preparados'!H776</f>
        <v/>
      </c>
      <c r="J783" s="7">
        <f>'1 datos preparados'!I776</f>
        <v/>
      </c>
      <c r="K783" s="7">
        <f>'1 datos preparados'!J776</f>
        <v/>
      </c>
      <c r="L783" s="7">
        <f>'1 datos preparados'!K776</f>
        <v/>
      </c>
      <c r="M783" s="7">
        <f>'1 datos preparados'!L776</f>
        <v/>
      </c>
      <c r="N783" s="7">
        <f>'1 datos preparados'!M776</f>
        <v/>
      </c>
      <c r="O783" s="7">
        <f>'1 datos preparados'!N776</f>
        <v/>
      </c>
      <c r="P783" s="7">
        <f>'1 datos preparados'!O776</f>
        <v/>
      </c>
      <c r="Q783" s="7">
        <f>'1 datos preparados'!P776</f>
        <v/>
      </c>
      <c r="R783" s="7">
        <f>'1 datos preparados'!Q776</f>
        <v/>
      </c>
      <c r="S783" s="7">
        <f>'1 datos preparados'!R776</f>
        <v/>
      </c>
      <c r="T783" s="7">
        <f>'1 datos preparados'!S776</f>
        <v/>
      </c>
      <c r="U783" s="7">
        <f>'1 datos preparados'!T776</f>
        <v/>
      </c>
      <c r="V783" s="8">
        <f>$AE$12+D783*$AE$13+E783*$AE$14+F783*$AE$15+G783*$AE$16+H783*$AE$17+I783*$AE$18+J783*$AE$19+K783*$AE$20+L783*$AE$21+M783*$AE$22+N783*$AE$23+O783*$AE$24+P783*$AE$25+Q783*$AE$26+R783*$AE$27+S783*$AE$28+T783*$AE$29+U783*$AE$30</f>
        <v/>
      </c>
      <c r="W783" s="8">
        <f>1/(1+EXP(-V783))</f>
        <v/>
      </c>
      <c r="X783" s="9">
        <f>-IF(C783=1,LN(W783),LN(1-W783))</f>
        <v/>
      </c>
      <c r="Y783" s="8">
        <f>IF(C783=1,$AE$32,$AE$33)</f>
        <v/>
      </c>
      <c r="Z783" s="9">
        <f>Y783*X783</f>
        <v/>
      </c>
      <c r="AA783" s="10">
        <f>IF(W783&gt;$AE$34,1,0)</f>
        <v/>
      </c>
      <c r="AB783">
        <f>IF(AA783=C783,1,0)</f>
        <v/>
      </c>
    </row>
    <row r="784">
      <c r="A784">
        <f>'1 datos preparados'!A777</f>
        <v/>
      </c>
      <c r="B784" s="5">
        <f>'1 datos preparados'!U777</f>
        <v/>
      </c>
      <c r="C784">
        <f>'1 datos preparados'!B777</f>
        <v/>
      </c>
      <c r="D784" s="7">
        <f>'1 datos preparados'!C777</f>
        <v/>
      </c>
      <c r="E784" s="7">
        <f>'1 datos preparados'!D777</f>
        <v/>
      </c>
      <c r="F784" s="7">
        <f>'1 datos preparados'!E777</f>
        <v/>
      </c>
      <c r="G784" s="7">
        <f>'1 datos preparados'!F777</f>
        <v/>
      </c>
      <c r="H784" s="7">
        <f>'1 datos preparados'!G777</f>
        <v/>
      </c>
      <c r="I784" s="7">
        <f>'1 datos preparados'!H777</f>
        <v/>
      </c>
      <c r="J784" s="7">
        <f>'1 datos preparados'!I777</f>
        <v/>
      </c>
      <c r="K784" s="7">
        <f>'1 datos preparados'!J777</f>
        <v/>
      </c>
      <c r="L784" s="7">
        <f>'1 datos preparados'!K777</f>
        <v/>
      </c>
      <c r="M784" s="7">
        <f>'1 datos preparados'!L777</f>
        <v/>
      </c>
      <c r="N784" s="7">
        <f>'1 datos preparados'!M777</f>
        <v/>
      </c>
      <c r="O784" s="7">
        <f>'1 datos preparados'!N777</f>
        <v/>
      </c>
      <c r="P784" s="7">
        <f>'1 datos preparados'!O777</f>
        <v/>
      </c>
      <c r="Q784" s="7">
        <f>'1 datos preparados'!P777</f>
        <v/>
      </c>
      <c r="R784" s="7">
        <f>'1 datos preparados'!Q777</f>
        <v/>
      </c>
      <c r="S784" s="7">
        <f>'1 datos preparados'!R777</f>
        <v/>
      </c>
      <c r="T784" s="7">
        <f>'1 datos preparados'!S777</f>
        <v/>
      </c>
      <c r="U784" s="7">
        <f>'1 datos preparados'!T777</f>
        <v/>
      </c>
      <c r="V784" s="8">
        <f>$AE$12+D784*$AE$13+E784*$AE$14+F784*$AE$15+G784*$AE$16+H784*$AE$17+I784*$AE$18+J784*$AE$19+K784*$AE$20+L784*$AE$21+M784*$AE$22+N784*$AE$23+O784*$AE$24+P784*$AE$25+Q784*$AE$26+R784*$AE$27+S784*$AE$28+T784*$AE$29+U784*$AE$30</f>
        <v/>
      </c>
      <c r="W784" s="8">
        <f>1/(1+EXP(-V784))</f>
        <v/>
      </c>
      <c r="X784" s="9">
        <f>-IF(C784=1,LN(W784),LN(1-W784))</f>
        <v/>
      </c>
      <c r="Y784" s="8">
        <f>IF(C784=1,$AE$32,$AE$33)</f>
        <v/>
      </c>
      <c r="Z784" s="9">
        <f>Y784*X784</f>
        <v/>
      </c>
      <c r="AA784" s="10">
        <f>IF(W784&gt;$AE$34,1,0)</f>
        <v/>
      </c>
      <c r="AB784">
        <f>IF(AA784=C784,1,0)</f>
        <v/>
      </c>
    </row>
    <row r="785">
      <c r="A785">
        <f>'1 datos preparados'!A778</f>
        <v/>
      </c>
      <c r="B785" s="5">
        <f>'1 datos preparados'!U778</f>
        <v/>
      </c>
      <c r="C785">
        <f>'1 datos preparados'!B778</f>
        <v/>
      </c>
      <c r="D785" s="7">
        <f>'1 datos preparados'!C778</f>
        <v/>
      </c>
      <c r="E785" s="7">
        <f>'1 datos preparados'!D778</f>
        <v/>
      </c>
      <c r="F785" s="7">
        <f>'1 datos preparados'!E778</f>
        <v/>
      </c>
      <c r="G785" s="7">
        <f>'1 datos preparados'!F778</f>
        <v/>
      </c>
      <c r="H785" s="7">
        <f>'1 datos preparados'!G778</f>
        <v/>
      </c>
      <c r="I785" s="7">
        <f>'1 datos preparados'!H778</f>
        <v/>
      </c>
      <c r="J785" s="7">
        <f>'1 datos preparados'!I778</f>
        <v/>
      </c>
      <c r="K785" s="7">
        <f>'1 datos preparados'!J778</f>
        <v/>
      </c>
      <c r="L785" s="7">
        <f>'1 datos preparados'!K778</f>
        <v/>
      </c>
      <c r="M785" s="7">
        <f>'1 datos preparados'!L778</f>
        <v/>
      </c>
      <c r="N785" s="7">
        <f>'1 datos preparados'!M778</f>
        <v/>
      </c>
      <c r="O785" s="7">
        <f>'1 datos preparados'!N778</f>
        <v/>
      </c>
      <c r="P785" s="7">
        <f>'1 datos preparados'!O778</f>
        <v/>
      </c>
      <c r="Q785" s="7">
        <f>'1 datos preparados'!P778</f>
        <v/>
      </c>
      <c r="R785" s="7">
        <f>'1 datos preparados'!Q778</f>
        <v/>
      </c>
      <c r="S785" s="7">
        <f>'1 datos preparados'!R778</f>
        <v/>
      </c>
      <c r="T785" s="7">
        <f>'1 datos preparados'!S778</f>
        <v/>
      </c>
      <c r="U785" s="7">
        <f>'1 datos preparados'!T778</f>
        <v/>
      </c>
      <c r="V785" s="8">
        <f>$AE$12+D785*$AE$13+E785*$AE$14+F785*$AE$15+G785*$AE$16+H785*$AE$17+I785*$AE$18+J785*$AE$19+K785*$AE$20+L785*$AE$21+M785*$AE$22+N785*$AE$23+O785*$AE$24+P785*$AE$25+Q785*$AE$26+R785*$AE$27+S785*$AE$28+T785*$AE$29+U785*$AE$30</f>
        <v/>
      </c>
      <c r="W785" s="8">
        <f>1/(1+EXP(-V785))</f>
        <v/>
      </c>
      <c r="X785" s="9">
        <f>-IF(C785=1,LN(W785),LN(1-W785))</f>
        <v/>
      </c>
      <c r="Y785" s="8">
        <f>IF(C785=1,$AE$32,$AE$33)</f>
        <v/>
      </c>
      <c r="Z785" s="9">
        <f>Y785*X785</f>
        <v/>
      </c>
      <c r="AA785" s="10">
        <f>IF(W785&gt;$AE$34,1,0)</f>
        <v/>
      </c>
      <c r="AB785">
        <f>IF(AA785=C785,1,0)</f>
        <v/>
      </c>
    </row>
    <row r="786">
      <c r="A786">
        <f>'1 datos preparados'!A779</f>
        <v/>
      </c>
      <c r="B786" s="5">
        <f>'1 datos preparados'!U779</f>
        <v/>
      </c>
      <c r="C786">
        <f>'1 datos preparados'!B779</f>
        <v/>
      </c>
      <c r="D786" s="7">
        <f>'1 datos preparados'!C779</f>
        <v/>
      </c>
      <c r="E786" s="7">
        <f>'1 datos preparados'!D779</f>
        <v/>
      </c>
      <c r="F786" s="7">
        <f>'1 datos preparados'!E779</f>
        <v/>
      </c>
      <c r="G786" s="7">
        <f>'1 datos preparados'!F779</f>
        <v/>
      </c>
      <c r="H786" s="7">
        <f>'1 datos preparados'!G779</f>
        <v/>
      </c>
      <c r="I786" s="7">
        <f>'1 datos preparados'!H779</f>
        <v/>
      </c>
      <c r="J786" s="7">
        <f>'1 datos preparados'!I779</f>
        <v/>
      </c>
      <c r="K786" s="7">
        <f>'1 datos preparados'!J779</f>
        <v/>
      </c>
      <c r="L786" s="7">
        <f>'1 datos preparados'!K779</f>
        <v/>
      </c>
      <c r="M786" s="7">
        <f>'1 datos preparados'!L779</f>
        <v/>
      </c>
      <c r="N786" s="7">
        <f>'1 datos preparados'!M779</f>
        <v/>
      </c>
      <c r="O786" s="7">
        <f>'1 datos preparados'!N779</f>
        <v/>
      </c>
      <c r="P786" s="7">
        <f>'1 datos preparados'!O779</f>
        <v/>
      </c>
      <c r="Q786" s="7">
        <f>'1 datos preparados'!P779</f>
        <v/>
      </c>
      <c r="R786" s="7">
        <f>'1 datos preparados'!Q779</f>
        <v/>
      </c>
      <c r="S786" s="7">
        <f>'1 datos preparados'!R779</f>
        <v/>
      </c>
      <c r="T786" s="7">
        <f>'1 datos preparados'!S779</f>
        <v/>
      </c>
      <c r="U786" s="7">
        <f>'1 datos preparados'!T779</f>
        <v/>
      </c>
      <c r="V786" s="8">
        <f>$AE$12+D786*$AE$13+E786*$AE$14+F786*$AE$15+G786*$AE$16+H786*$AE$17+I786*$AE$18+J786*$AE$19+K786*$AE$20+L786*$AE$21+M786*$AE$22+N786*$AE$23+O786*$AE$24+P786*$AE$25+Q786*$AE$26+R786*$AE$27+S786*$AE$28+T786*$AE$29+U786*$AE$30</f>
        <v/>
      </c>
      <c r="W786" s="8">
        <f>1/(1+EXP(-V786))</f>
        <v/>
      </c>
      <c r="X786" s="9">
        <f>-IF(C786=1,LN(W786),LN(1-W786))</f>
        <v/>
      </c>
      <c r="Y786" s="8">
        <f>IF(C786=1,$AE$32,$AE$33)</f>
        <v/>
      </c>
      <c r="Z786" s="9">
        <f>Y786*X786</f>
        <v/>
      </c>
      <c r="AA786" s="10">
        <f>IF(W786&gt;$AE$34,1,0)</f>
        <v/>
      </c>
      <c r="AB786">
        <f>IF(AA786=C786,1,0)</f>
        <v/>
      </c>
    </row>
    <row r="787">
      <c r="A787">
        <f>'1 datos preparados'!A780</f>
        <v/>
      </c>
      <c r="B787" s="5">
        <f>'1 datos preparados'!U780</f>
        <v/>
      </c>
      <c r="C787">
        <f>'1 datos preparados'!B780</f>
        <v/>
      </c>
      <c r="D787" s="7">
        <f>'1 datos preparados'!C780</f>
        <v/>
      </c>
      <c r="E787" s="7">
        <f>'1 datos preparados'!D780</f>
        <v/>
      </c>
      <c r="F787" s="7">
        <f>'1 datos preparados'!E780</f>
        <v/>
      </c>
      <c r="G787" s="7">
        <f>'1 datos preparados'!F780</f>
        <v/>
      </c>
      <c r="H787" s="7">
        <f>'1 datos preparados'!G780</f>
        <v/>
      </c>
      <c r="I787" s="7">
        <f>'1 datos preparados'!H780</f>
        <v/>
      </c>
      <c r="J787" s="7">
        <f>'1 datos preparados'!I780</f>
        <v/>
      </c>
      <c r="K787" s="7">
        <f>'1 datos preparados'!J780</f>
        <v/>
      </c>
      <c r="L787" s="7">
        <f>'1 datos preparados'!K780</f>
        <v/>
      </c>
      <c r="M787" s="7">
        <f>'1 datos preparados'!L780</f>
        <v/>
      </c>
      <c r="N787" s="7">
        <f>'1 datos preparados'!M780</f>
        <v/>
      </c>
      <c r="O787" s="7">
        <f>'1 datos preparados'!N780</f>
        <v/>
      </c>
      <c r="P787" s="7">
        <f>'1 datos preparados'!O780</f>
        <v/>
      </c>
      <c r="Q787" s="7">
        <f>'1 datos preparados'!P780</f>
        <v/>
      </c>
      <c r="R787" s="7">
        <f>'1 datos preparados'!Q780</f>
        <v/>
      </c>
      <c r="S787" s="7">
        <f>'1 datos preparados'!R780</f>
        <v/>
      </c>
      <c r="T787" s="7">
        <f>'1 datos preparados'!S780</f>
        <v/>
      </c>
      <c r="U787" s="7">
        <f>'1 datos preparados'!T780</f>
        <v/>
      </c>
      <c r="V787" s="8">
        <f>$AE$12+D787*$AE$13+E787*$AE$14+F787*$AE$15+G787*$AE$16+H787*$AE$17+I787*$AE$18+J787*$AE$19+K787*$AE$20+L787*$AE$21+M787*$AE$22+N787*$AE$23+O787*$AE$24+P787*$AE$25+Q787*$AE$26+R787*$AE$27+S787*$AE$28+T787*$AE$29+U787*$AE$30</f>
        <v/>
      </c>
      <c r="W787" s="8">
        <f>1/(1+EXP(-V787))</f>
        <v/>
      </c>
      <c r="X787" s="9">
        <f>-IF(C787=1,LN(W787),LN(1-W787))</f>
        <v/>
      </c>
      <c r="Y787" s="8">
        <f>IF(C787=1,$AE$32,$AE$33)</f>
        <v/>
      </c>
      <c r="Z787" s="9">
        <f>Y787*X787</f>
        <v/>
      </c>
      <c r="AA787" s="10">
        <f>IF(W787&gt;$AE$34,1,0)</f>
        <v/>
      </c>
      <c r="AB787">
        <f>IF(AA787=C787,1,0)</f>
        <v/>
      </c>
    </row>
    <row r="788">
      <c r="A788">
        <f>'1 datos preparados'!A781</f>
        <v/>
      </c>
      <c r="B788" s="5">
        <f>'1 datos preparados'!U781</f>
        <v/>
      </c>
      <c r="C788">
        <f>'1 datos preparados'!B781</f>
        <v/>
      </c>
      <c r="D788" s="7">
        <f>'1 datos preparados'!C781</f>
        <v/>
      </c>
      <c r="E788" s="7">
        <f>'1 datos preparados'!D781</f>
        <v/>
      </c>
      <c r="F788" s="7">
        <f>'1 datos preparados'!E781</f>
        <v/>
      </c>
      <c r="G788" s="7">
        <f>'1 datos preparados'!F781</f>
        <v/>
      </c>
      <c r="H788" s="7">
        <f>'1 datos preparados'!G781</f>
        <v/>
      </c>
      <c r="I788" s="7">
        <f>'1 datos preparados'!H781</f>
        <v/>
      </c>
      <c r="J788" s="7">
        <f>'1 datos preparados'!I781</f>
        <v/>
      </c>
      <c r="K788" s="7">
        <f>'1 datos preparados'!J781</f>
        <v/>
      </c>
      <c r="L788" s="7">
        <f>'1 datos preparados'!K781</f>
        <v/>
      </c>
      <c r="M788" s="7">
        <f>'1 datos preparados'!L781</f>
        <v/>
      </c>
      <c r="N788" s="7">
        <f>'1 datos preparados'!M781</f>
        <v/>
      </c>
      <c r="O788" s="7">
        <f>'1 datos preparados'!N781</f>
        <v/>
      </c>
      <c r="P788" s="7">
        <f>'1 datos preparados'!O781</f>
        <v/>
      </c>
      <c r="Q788" s="7">
        <f>'1 datos preparados'!P781</f>
        <v/>
      </c>
      <c r="R788" s="7">
        <f>'1 datos preparados'!Q781</f>
        <v/>
      </c>
      <c r="S788" s="7">
        <f>'1 datos preparados'!R781</f>
        <v/>
      </c>
      <c r="T788" s="7">
        <f>'1 datos preparados'!S781</f>
        <v/>
      </c>
      <c r="U788" s="7">
        <f>'1 datos preparados'!T781</f>
        <v/>
      </c>
      <c r="V788" s="8">
        <f>$AE$12+D788*$AE$13+E788*$AE$14+F788*$AE$15+G788*$AE$16+H788*$AE$17+I788*$AE$18+J788*$AE$19+K788*$AE$20+L788*$AE$21+M788*$AE$22+N788*$AE$23+O788*$AE$24+P788*$AE$25+Q788*$AE$26+R788*$AE$27+S788*$AE$28+T788*$AE$29+U788*$AE$30</f>
        <v/>
      </c>
      <c r="W788" s="8">
        <f>1/(1+EXP(-V788))</f>
        <v/>
      </c>
      <c r="X788" s="9">
        <f>-IF(C788=1,LN(W788),LN(1-W788))</f>
        <v/>
      </c>
      <c r="Y788" s="8">
        <f>IF(C788=1,$AE$32,$AE$33)</f>
        <v/>
      </c>
      <c r="Z788" s="9">
        <f>Y788*X788</f>
        <v/>
      </c>
      <c r="AA788" s="10">
        <f>IF(W788&gt;$AE$34,1,0)</f>
        <v/>
      </c>
      <c r="AB788">
        <f>IF(AA788=C788,1,0)</f>
        <v/>
      </c>
    </row>
    <row r="789">
      <c r="A789">
        <f>'1 datos preparados'!A782</f>
        <v/>
      </c>
      <c r="B789" s="5">
        <f>'1 datos preparados'!U782</f>
        <v/>
      </c>
      <c r="C789">
        <f>'1 datos preparados'!B782</f>
        <v/>
      </c>
      <c r="D789" s="7">
        <f>'1 datos preparados'!C782</f>
        <v/>
      </c>
      <c r="E789" s="7">
        <f>'1 datos preparados'!D782</f>
        <v/>
      </c>
      <c r="F789" s="7">
        <f>'1 datos preparados'!E782</f>
        <v/>
      </c>
      <c r="G789" s="7">
        <f>'1 datos preparados'!F782</f>
        <v/>
      </c>
      <c r="H789" s="7">
        <f>'1 datos preparados'!G782</f>
        <v/>
      </c>
      <c r="I789" s="7">
        <f>'1 datos preparados'!H782</f>
        <v/>
      </c>
      <c r="J789" s="7">
        <f>'1 datos preparados'!I782</f>
        <v/>
      </c>
      <c r="K789" s="7">
        <f>'1 datos preparados'!J782</f>
        <v/>
      </c>
      <c r="L789" s="7">
        <f>'1 datos preparados'!K782</f>
        <v/>
      </c>
      <c r="M789" s="7">
        <f>'1 datos preparados'!L782</f>
        <v/>
      </c>
      <c r="N789" s="7">
        <f>'1 datos preparados'!M782</f>
        <v/>
      </c>
      <c r="O789" s="7">
        <f>'1 datos preparados'!N782</f>
        <v/>
      </c>
      <c r="P789" s="7">
        <f>'1 datos preparados'!O782</f>
        <v/>
      </c>
      <c r="Q789" s="7">
        <f>'1 datos preparados'!P782</f>
        <v/>
      </c>
      <c r="R789" s="7">
        <f>'1 datos preparados'!Q782</f>
        <v/>
      </c>
      <c r="S789" s="7">
        <f>'1 datos preparados'!R782</f>
        <v/>
      </c>
      <c r="T789" s="7">
        <f>'1 datos preparados'!S782</f>
        <v/>
      </c>
      <c r="U789" s="7">
        <f>'1 datos preparados'!T782</f>
        <v/>
      </c>
      <c r="V789" s="8">
        <f>$AE$12+D789*$AE$13+E789*$AE$14+F789*$AE$15+G789*$AE$16+H789*$AE$17+I789*$AE$18+J789*$AE$19+K789*$AE$20+L789*$AE$21+M789*$AE$22+N789*$AE$23+O789*$AE$24+P789*$AE$25+Q789*$AE$26+R789*$AE$27+S789*$AE$28+T789*$AE$29+U789*$AE$30</f>
        <v/>
      </c>
      <c r="W789" s="8">
        <f>1/(1+EXP(-V789))</f>
        <v/>
      </c>
      <c r="X789" s="9">
        <f>-IF(C789=1,LN(W789),LN(1-W789))</f>
        <v/>
      </c>
      <c r="Y789" s="8">
        <f>IF(C789=1,$AE$32,$AE$33)</f>
        <v/>
      </c>
      <c r="Z789" s="9">
        <f>Y789*X789</f>
        <v/>
      </c>
      <c r="AA789" s="10">
        <f>IF(W789&gt;$AE$34,1,0)</f>
        <v/>
      </c>
      <c r="AB789">
        <f>IF(AA789=C789,1,0)</f>
        <v/>
      </c>
    </row>
    <row r="790">
      <c r="A790">
        <f>'1 datos preparados'!A783</f>
        <v/>
      </c>
      <c r="B790" s="5">
        <f>'1 datos preparados'!U783</f>
        <v/>
      </c>
      <c r="C790">
        <f>'1 datos preparados'!B783</f>
        <v/>
      </c>
      <c r="D790" s="7">
        <f>'1 datos preparados'!C783</f>
        <v/>
      </c>
      <c r="E790" s="7">
        <f>'1 datos preparados'!D783</f>
        <v/>
      </c>
      <c r="F790" s="7">
        <f>'1 datos preparados'!E783</f>
        <v/>
      </c>
      <c r="G790" s="7">
        <f>'1 datos preparados'!F783</f>
        <v/>
      </c>
      <c r="H790" s="7">
        <f>'1 datos preparados'!G783</f>
        <v/>
      </c>
      <c r="I790" s="7">
        <f>'1 datos preparados'!H783</f>
        <v/>
      </c>
      <c r="J790" s="7">
        <f>'1 datos preparados'!I783</f>
        <v/>
      </c>
      <c r="K790" s="7">
        <f>'1 datos preparados'!J783</f>
        <v/>
      </c>
      <c r="L790" s="7">
        <f>'1 datos preparados'!K783</f>
        <v/>
      </c>
      <c r="M790" s="7">
        <f>'1 datos preparados'!L783</f>
        <v/>
      </c>
      <c r="N790" s="7">
        <f>'1 datos preparados'!M783</f>
        <v/>
      </c>
      <c r="O790" s="7">
        <f>'1 datos preparados'!N783</f>
        <v/>
      </c>
      <c r="P790" s="7">
        <f>'1 datos preparados'!O783</f>
        <v/>
      </c>
      <c r="Q790" s="7">
        <f>'1 datos preparados'!P783</f>
        <v/>
      </c>
      <c r="R790" s="7">
        <f>'1 datos preparados'!Q783</f>
        <v/>
      </c>
      <c r="S790" s="7">
        <f>'1 datos preparados'!R783</f>
        <v/>
      </c>
      <c r="T790" s="7">
        <f>'1 datos preparados'!S783</f>
        <v/>
      </c>
      <c r="U790" s="7">
        <f>'1 datos preparados'!T783</f>
        <v/>
      </c>
      <c r="V790" s="8">
        <f>$AE$12+D790*$AE$13+E790*$AE$14+F790*$AE$15+G790*$AE$16+H790*$AE$17+I790*$AE$18+J790*$AE$19+K790*$AE$20+L790*$AE$21+M790*$AE$22+N790*$AE$23+O790*$AE$24+P790*$AE$25+Q790*$AE$26+R790*$AE$27+S790*$AE$28+T790*$AE$29+U790*$AE$30</f>
        <v/>
      </c>
      <c r="W790" s="8">
        <f>1/(1+EXP(-V790))</f>
        <v/>
      </c>
      <c r="X790" s="9">
        <f>-IF(C790=1,LN(W790),LN(1-W790))</f>
        <v/>
      </c>
      <c r="Y790" s="8">
        <f>IF(C790=1,$AE$32,$AE$33)</f>
        <v/>
      </c>
      <c r="Z790" s="9">
        <f>Y790*X790</f>
        <v/>
      </c>
      <c r="AA790" s="10">
        <f>IF(W790&gt;$AE$34,1,0)</f>
        <v/>
      </c>
      <c r="AB790">
        <f>IF(AA790=C790,1,0)</f>
        <v/>
      </c>
    </row>
    <row r="791">
      <c r="A791">
        <f>'1 datos preparados'!A784</f>
        <v/>
      </c>
      <c r="B791" s="5">
        <f>'1 datos preparados'!U784</f>
        <v/>
      </c>
      <c r="C791">
        <f>'1 datos preparados'!B784</f>
        <v/>
      </c>
      <c r="D791" s="7">
        <f>'1 datos preparados'!C784</f>
        <v/>
      </c>
      <c r="E791" s="7">
        <f>'1 datos preparados'!D784</f>
        <v/>
      </c>
      <c r="F791" s="7">
        <f>'1 datos preparados'!E784</f>
        <v/>
      </c>
      <c r="G791" s="7">
        <f>'1 datos preparados'!F784</f>
        <v/>
      </c>
      <c r="H791" s="7">
        <f>'1 datos preparados'!G784</f>
        <v/>
      </c>
      <c r="I791" s="7">
        <f>'1 datos preparados'!H784</f>
        <v/>
      </c>
      <c r="J791" s="7">
        <f>'1 datos preparados'!I784</f>
        <v/>
      </c>
      <c r="K791" s="7">
        <f>'1 datos preparados'!J784</f>
        <v/>
      </c>
      <c r="L791" s="7">
        <f>'1 datos preparados'!K784</f>
        <v/>
      </c>
      <c r="M791" s="7">
        <f>'1 datos preparados'!L784</f>
        <v/>
      </c>
      <c r="N791" s="7">
        <f>'1 datos preparados'!M784</f>
        <v/>
      </c>
      <c r="O791" s="7">
        <f>'1 datos preparados'!N784</f>
        <v/>
      </c>
      <c r="P791" s="7">
        <f>'1 datos preparados'!O784</f>
        <v/>
      </c>
      <c r="Q791" s="7">
        <f>'1 datos preparados'!P784</f>
        <v/>
      </c>
      <c r="R791" s="7">
        <f>'1 datos preparados'!Q784</f>
        <v/>
      </c>
      <c r="S791" s="7">
        <f>'1 datos preparados'!R784</f>
        <v/>
      </c>
      <c r="T791" s="7">
        <f>'1 datos preparados'!S784</f>
        <v/>
      </c>
      <c r="U791" s="7">
        <f>'1 datos preparados'!T784</f>
        <v/>
      </c>
      <c r="V791" s="8">
        <f>$AE$12+D791*$AE$13+E791*$AE$14+F791*$AE$15+G791*$AE$16+H791*$AE$17+I791*$AE$18+J791*$AE$19+K791*$AE$20+L791*$AE$21+M791*$AE$22+N791*$AE$23+O791*$AE$24+P791*$AE$25+Q791*$AE$26+R791*$AE$27+S791*$AE$28+T791*$AE$29+U791*$AE$30</f>
        <v/>
      </c>
      <c r="W791" s="8">
        <f>1/(1+EXP(-V791))</f>
        <v/>
      </c>
      <c r="X791" s="9">
        <f>-IF(C791=1,LN(W791),LN(1-W791))</f>
        <v/>
      </c>
      <c r="Y791" s="8">
        <f>IF(C791=1,$AE$32,$AE$33)</f>
        <v/>
      </c>
      <c r="Z791" s="9">
        <f>Y791*X791</f>
        <v/>
      </c>
      <c r="AA791" s="10">
        <f>IF(W791&gt;$AE$34,1,0)</f>
        <v/>
      </c>
      <c r="AB791">
        <f>IF(AA791=C791,1,0)</f>
        <v/>
      </c>
    </row>
    <row r="792">
      <c r="A792">
        <f>'1 datos preparados'!A785</f>
        <v/>
      </c>
      <c r="B792" s="5">
        <f>'1 datos preparados'!U785</f>
        <v/>
      </c>
      <c r="C792">
        <f>'1 datos preparados'!B785</f>
        <v/>
      </c>
      <c r="D792" s="7">
        <f>'1 datos preparados'!C785</f>
        <v/>
      </c>
      <c r="E792" s="7">
        <f>'1 datos preparados'!D785</f>
        <v/>
      </c>
      <c r="F792" s="7">
        <f>'1 datos preparados'!E785</f>
        <v/>
      </c>
      <c r="G792" s="7">
        <f>'1 datos preparados'!F785</f>
        <v/>
      </c>
      <c r="H792" s="7">
        <f>'1 datos preparados'!G785</f>
        <v/>
      </c>
      <c r="I792" s="7">
        <f>'1 datos preparados'!H785</f>
        <v/>
      </c>
      <c r="J792" s="7">
        <f>'1 datos preparados'!I785</f>
        <v/>
      </c>
      <c r="K792" s="7">
        <f>'1 datos preparados'!J785</f>
        <v/>
      </c>
      <c r="L792" s="7">
        <f>'1 datos preparados'!K785</f>
        <v/>
      </c>
      <c r="M792" s="7">
        <f>'1 datos preparados'!L785</f>
        <v/>
      </c>
      <c r="N792" s="7">
        <f>'1 datos preparados'!M785</f>
        <v/>
      </c>
      <c r="O792" s="7">
        <f>'1 datos preparados'!N785</f>
        <v/>
      </c>
      <c r="P792" s="7">
        <f>'1 datos preparados'!O785</f>
        <v/>
      </c>
      <c r="Q792" s="7">
        <f>'1 datos preparados'!P785</f>
        <v/>
      </c>
      <c r="R792" s="7">
        <f>'1 datos preparados'!Q785</f>
        <v/>
      </c>
      <c r="S792" s="7">
        <f>'1 datos preparados'!R785</f>
        <v/>
      </c>
      <c r="T792" s="7">
        <f>'1 datos preparados'!S785</f>
        <v/>
      </c>
      <c r="U792" s="7">
        <f>'1 datos preparados'!T785</f>
        <v/>
      </c>
      <c r="V792" s="8">
        <f>$AE$12+D792*$AE$13+E792*$AE$14+F792*$AE$15+G792*$AE$16+H792*$AE$17+I792*$AE$18+J792*$AE$19+K792*$AE$20+L792*$AE$21+M792*$AE$22+N792*$AE$23+O792*$AE$24+P792*$AE$25+Q792*$AE$26+R792*$AE$27+S792*$AE$28+T792*$AE$29+U792*$AE$30</f>
        <v/>
      </c>
      <c r="W792" s="8">
        <f>1/(1+EXP(-V792))</f>
        <v/>
      </c>
      <c r="X792" s="9">
        <f>-IF(C792=1,LN(W792),LN(1-W792))</f>
        <v/>
      </c>
      <c r="Y792" s="8">
        <f>IF(C792=1,$AE$32,$AE$33)</f>
        <v/>
      </c>
      <c r="Z792" s="9">
        <f>Y792*X792</f>
        <v/>
      </c>
      <c r="AA792" s="10">
        <f>IF(W792&gt;$AE$34,1,0)</f>
        <v/>
      </c>
      <c r="AB792">
        <f>IF(AA792=C792,1,0)</f>
        <v/>
      </c>
    </row>
    <row r="793">
      <c r="A793">
        <f>'1 datos preparados'!A786</f>
        <v/>
      </c>
      <c r="B793" s="5">
        <f>'1 datos preparados'!U786</f>
        <v/>
      </c>
      <c r="C793">
        <f>'1 datos preparados'!B786</f>
        <v/>
      </c>
      <c r="D793" s="7">
        <f>'1 datos preparados'!C786</f>
        <v/>
      </c>
      <c r="E793" s="7">
        <f>'1 datos preparados'!D786</f>
        <v/>
      </c>
      <c r="F793" s="7">
        <f>'1 datos preparados'!E786</f>
        <v/>
      </c>
      <c r="G793" s="7">
        <f>'1 datos preparados'!F786</f>
        <v/>
      </c>
      <c r="H793" s="7">
        <f>'1 datos preparados'!G786</f>
        <v/>
      </c>
      <c r="I793" s="7">
        <f>'1 datos preparados'!H786</f>
        <v/>
      </c>
      <c r="J793" s="7">
        <f>'1 datos preparados'!I786</f>
        <v/>
      </c>
      <c r="K793" s="7">
        <f>'1 datos preparados'!J786</f>
        <v/>
      </c>
      <c r="L793" s="7">
        <f>'1 datos preparados'!K786</f>
        <v/>
      </c>
      <c r="M793" s="7">
        <f>'1 datos preparados'!L786</f>
        <v/>
      </c>
      <c r="N793" s="7">
        <f>'1 datos preparados'!M786</f>
        <v/>
      </c>
      <c r="O793" s="7">
        <f>'1 datos preparados'!N786</f>
        <v/>
      </c>
      <c r="P793" s="7">
        <f>'1 datos preparados'!O786</f>
        <v/>
      </c>
      <c r="Q793" s="7">
        <f>'1 datos preparados'!P786</f>
        <v/>
      </c>
      <c r="R793" s="7">
        <f>'1 datos preparados'!Q786</f>
        <v/>
      </c>
      <c r="S793" s="7">
        <f>'1 datos preparados'!R786</f>
        <v/>
      </c>
      <c r="T793" s="7">
        <f>'1 datos preparados'!S786</f>
        <v/>
      </c>
      <c r="U793" s="7">
        <f>'1 datos preparados'!T786</f>
        <v/>
      </c>
      <c r="V793" s="8">
        <f>$AE$12+D793*$AE$13+E793*$AE$14+F793*$AE$15+G793*$AE$16+H793*$AE$17+I793*$AE$18+J793*$AE$19+K793*$AE$20+L793*$AE$21+M793*$AE$22+N793*$AE$23+O793*$AE$24+P793*$AE$25+Q793*$AE$26+R793*$AE$27+S793*$AE$28+T793*$AE$29+U793*$AE$30</f>
        <v/>
      </c>
      <c r="W793" s="8">
        <f>1/(1+EXP(-V793))</f>
        <v/>
      </c>
      <c r="X793" s="9">
        <f>-IF(C793=1,LN(W793),LN(1-W793))</f>
        <v/>
      </c>
      <c r="Y793" s="8">
        <f>IF(C793=1,$AE$32,$AE$33)</f>
        <v/>
      </c>
      <c r="Z793" s="9">
        <f>Y793*X793</f>
        <v/>
      </c>
      <c r="AA793" s="10">
        <f>IF(W793&gt;$AE$34,1,0)</f>
        <v/>
      </c>
      <c r="AB793">
        <f>IF(AA793=C793,1,0)</f>
        <v/>
      </c>
    </row>
    <row r="794">
      <c r="A794">
        <f>'1 datos preparados'!A787</f>
        <v/>
      </c>
      <c r="B794" s="5">
        <f>'1 datos preparados'!U787</f>
        <v/>
      </c>
      <c r="C794">
        <f>'1 datos preparados'!B787</f>
        <v/>
      </c>
      <c r="D794" s="7">
        <f>'1 datos preparados'!C787</f>
        <v/>
      </c>
      <c r="E794" s="7">
        <f>'1 datos preparados'!D787</f>
        <v/>
      </c>
      <c r="F794" s="7">
        <f>'1 datos preparados'!E787</f>
        <v/>
      </c>
      <c r="G794" s="7">
        <f>'1 datos preparados'!F787</f>
        <v/>
      </c>
      <c r="H794" s="7">
        <f>'1 datos preparados'!G787</f>
        <v/>
      </c>
      <c r="I794" s="7">
        <f>'1 datos preparados'!H787</f>
        <v/>
      </c>
      <c r="J794" s="7">
        <f>'1 datos preparados'!I787</f>
        <v/>
      </c>
      <c r="K794" s="7">
        <f>'1 datos preparados'!J787</f>
        <v/>
      </c>
      <c r="L794" s="7">
        <f>'1 datos preparados'!K787</f>
        <v/>
      </c>
      <c r="M794" s="7">
        <f>'1 datos preparados'!L787</f>
        <v/>
      </c>
      <c r="N794" s="7">
        <f>'1 datos preparados'!M787</f>
        <v/>
      </c>
      <c r="O794" s="7">
        <f>'1 datos preparados'!N787</f>
        <v/>
      </c>
      <c r="P794" s="7">
        <f>'1 datos preparados'!O787</f>
        <v/>
      </c>
      <c r="Q794" s="7">
        <f>'1 datos preparados'!P787</f>
        <v/>
      </c>
      <c r="R794" s="7">
        <f>'1 datos preparados'!Q787</f>
        <v/>
      </c>
      <c r="S794" s="7">
        <f>'1 datos preparados'!R787</f>
        <v/>
      </c>
      <c r="T794" s="7">
        <f>'1 datos preparados'!S787</f>
        <v/>
      </c>
      <c r="U794" s="7">
        <f>'1 datos preparados'!T787</f>
        <v/>
      </c>
      <c r="V794" s="8">
        <f>$AE$12+D794*$AE$13+E794*$AE$14+F794*$AE$15+G794*$AE$16+H794*$AE$17+I794*$AE$18+J794*$AE$19+K794*$AE$20+L794*$AE$21+M794*$AE$22+N794*$AE$23+O794*$AE$24+P794*$AE$25+Q794*$AE$26+R794*$AE$27+S794*$AE$28+T794*$AE$29+U794*$AE$30</f>
        <v/>
      </c>
      <c r="W794" s="8">
        <f>1/(1+EXP(-V794))</f>
        <v/>
      </c>
      <c r="X794" s="9">
        <f>-IF(C794=1,LN(W794),LN(1-W794))</f>
        <v/>
      </c>
      <c r="Y794" s="8">
        <f>IF(C794=1,$AE$32,$AE$33)</f>
        <v/>
      </c>
      <c r="Z794" s="9">
        <f>Y794*X794</f>
        <v/>
      </c>
      <c r="AA794" s="10">
        <f>IF(W794&gt;$AE$34,1,0)</f>
        <v/>
      </c>
      <c r="AB794">
        <f>IF(AA794=C794,1,0)</f>
        <v/>
      </c>
    </row>
    <row r="795">
      <c r="A795">
        <f>'1 datos preparados'!A788</f>
        <v/>
      </c>
      <c r="B795" s="5">
        <f>'1 datos preparados'!U788</f>
        <v/>
      </c>
      <c r="C795">
        <f>'1 datos preparados'!B788</f>
        <v/>
      </c>
      <c r="D795" s="7">
        <f>'1 datos preparados'!C788</f>
        <v/>
      </c>
      <c r="E795" s="7">
        <f>'1 datos preparados'!D788</f>
        <v/>
      </c>
      <c r="F795" s="7">
        <f>'1 datos preparados'!E788</f>
        <v/>
      </c>
      <c r="G795" s="7">
        <f>'1 datos preparados'!F788</f>
        <v/>
      </c>
      <c r="H795" s="7">
        <f>'1 datos preparados'!G788</f>
        <v/>
      </c>
      <c r="I795" s="7">
        <f>'1 datos preparados'!H788</f>
        <v/>
      </c>
      <c r="J795" s="7">
        <f>'1 datos preparados'!I788</f>
        <v/>
      </c>
      <c r="K795" s="7">
        <f>'1 datos preparados'!J788</f>
        <v/>
      </c>
      <c r="L795" s="7">
        <f>'1 datos preparados'!K788</f>
        <v/>
      </c>
      <c r="M795" s="7">
        <f>'1 datos preparados'!L788</f>
        <v/>
      </c>
      <c r="N795" s="7">
        <f>'1 datos preparados'!M788</f>
        <v/>
      </c>
      <c r="O795" s="7">
        <f>'1 datos preparados'!N788</f>
        <v/>
      </c>
      <c r="P795" s="7">
        <f>'1 datos preparados'!O788</f>
        <v/>
      </c>
      <c r="Q795" s="7">
        <f>'1 datos preparados'!P788</f>
        <v/>
      </c>
      <c r="R795" s="7">
        <f>'1 datos preparados'!Q788</f>
        <v/>
      </c>
      <c r="S795" s="7">
        <f>'1 datos preparados'!R788</f>
        <v/>
      </c>
      <c r="T795" s="7">
        <f>'1 datos preparados'!S788</f>
        <v/>
      </c>
      <c r="U795" s="7">
        <f>'1 datos preparados'!T788</f>
        <v/>
      </c>
      <c r="V795" s="8">
        <f>$AE$12+D795*$AE$13+E795*$AE$14+F795*$AE$15+G795*$AE$16+H795*$AE$17+I795*$AE$18+J795*$AE$19+K795*$AE$20+L795*$AE$21+M795*$AE$22+N795*$AE$23+O795*$AE$24+P795*$AE$25+Q795*$AE$26+R795*$AE$27+S795*$AE$28+T795*$AE$29+U795*$AE$30</f>
        <v/>
      </c>
      <c r="W795" s="8">
        <f>1/(1+EXP(-V795))</f>
        <v/>
      </c>
      <c r="X795" s="9">
        <f>-IF(C795=1,LN(W795),LN(1-W795))</f>
        <v/>
      </c>
      <c r="Y795" s="8">
        <f>IF(C795=1,$AE$32,$AE$33)</f>
        <v/>
      </c>
      <c r="Z795" s="9">
        <f>Y795*X795</f>
        <v/>
      </c>
      <c r="AA795" s="10">
        <f>IF(W795&gt;$AE$34,1,0)</f>
        <v/>
      </c>
      <c r="AB795">
        <f>IF(AA795=C795,1,0)</f>
        <v/>
      </c>
    </row>
    <row r="796">
      <c r="A796">
        <f>'1 datos preparados'!A789</f>
        <v/>
      </c>
      <c r="B796" s="5">
        <f>'1 datos preparados'!U789</f>
        <v/>
      </c>
      <c r="C796">
        <f>'1 datos preparados'!B789</f>
        <v/>
      </c>
      <c r="D796" s="7">
        <f>'1 datos preparados'!C789</f>
        <v/>
      </c>
      <c r="E796" s="7">
        <f>'1 datos preparados'!D789</f>
        <v/>
      </c>
      <c r="F796" s="7">
        <f>'1 datos preparados'!E789</f>
        <v/>
      </c>
      <c r="G796" s="7">
        <f>'1 datos preparados'!F789</f>
        <v/>
      </c>
      <c r="H796" s="7">
        <f>'1 datos preparados'!G789</f>
        <v/>
      </c>
      <c r="I796" s="7">
        <f>'1 datos preparados'!H789</f>
        <v/>
      </c>
      <c r="J796" s="7">
        <f>'1 datos preparados'!I789</f>
        <v/>
      </c>
      <c r="K796" s="7">
        <f>'1 datos preparados'!J789</f>
        <v/>
      </c>
      <c r="L796" s="7">
        <f>'1 datos preparados'!K789</f>
        <v/>
      </c>
      <c r="M796" s="7">
        <f>'1 datos preparados'!L789</f>
        <v/>
      </c>
      <c r="N796" s="7">
        <f>'1 datos preparados'!M789</f>
        <v/>
      </c>
      <c r="O796" s="7">
        <f>'1 datos preparados'!N789</f>
        <v/>
      </c>
      <c r="P796" s="7">
        <f>'1 datos preparados'!O789</f>
        <v/>
      </c>
      <c r="Q796" s="7">
        <f>'1 datos preparados'!P789</f>
        <v/>
      </c>
      <c r="R796" s="7">
        <f>'1 datos preparados'!Q789</f>
        <v/>
      </c>
      <c r="S796" s="7">
        <f>'1 datos preparados'!R789</f>
        <v/>
      </c>
      <c r="T796" s="7">
        <f>'1 datos preparados'!S789</f>
        <v/>
      </c>
      <c r="U796" s="7">
        <f>'1 datos preparados'!T789</f>
        <v/>
      </c>
      <c r="V796" s="8">
        <f>$AE$12+D796*$AE$13+E796*$AE$14+F796*$AE$15+G796*$AE$16+H796*$AE$17+I796*$AE$18+J796*$AE$19+K796*$AE$20+L796*$AE$21+M796*$AE$22+N796*$AE$23+O796*$AE$24+P796*$AE$25+Q796*$AE$26+R796*$AE$27+S796*$AE$28+T796*$AE$29+U796*$AE$30</f>
        <v/>
      </c>
      <c r="W796" s="8">
        <f>1/(1+EXP(-V796))</f>
        <v/>
      </c>
      <c r="X796" s="9">
        <f>-IF(C796=1,LN(W796),LN(1-W796))</f>
        <v/>
      </c>
      <c r="Y796" s="8">
        <f>IF(C796=1,$AE$32,$AE$33)</f>
        <v/>
      </c>
      <c r="Z796" s="9">
        <f>Y796*X796</f>
        <v/>
      </c>
      <c r="AA796" s="10">
        <f>IF(W796&gt;$AE$34,1,0)</f>
        <v/>
      </c>
      <c r="AB796">
        <f>IF(AA796=C796,1,0)</f>
        <v/>
      </c>
    </row>
    <row r="797">
      <c r="A797">
        <f>'1 datos preparados'!A790</f>
        <v/>
      </c>
      <c r="B797" s="5">
        <f>'1 datos preparados'!U790</f>
        <v/>
      </c>
      <c r="C797">
        <f>'1 datos preparados'!B790</f>
        <v/>
      </c>
      <c r="D797" s="7">
        <f>'1 datos preparados'!C790</f>
        <v/>
      </c>
      <c r="E797" s="7">
        <f>'1 datos preparados'!D790</f>
        <v/>
      </c>
      <c r="F797" s="7">
        <f>'1 datos preparados'!E790</f>
        <v/>
      </c>
      <c r="G797" s="7">
        <f>'1 datos preparados'!F790</f>
        <v/>
      </c>
      <c r="H797" s="7">
        <f>'1 datos preparados'!G790</f>
        <v/>
      </c>
      <c r="I797" s="7">
        <f>'1 datos preparados'!H790</f>
        <v/>
      </c>
      <c r="J797" s="7">
        <f>'1 datos preparados'!I790</f>
        <v/>
      </c>
      <c r="K797" s="7">
        <f>'1 datos preparados'!J790</f>
        <v/>
      </c>
      <c r="L797" s="7">
        <f>'1 datos preparados'!K790</f>
        <v/>
      </c>
      <c r="M797" s="7">
        <f>'1 datos preparados'!L790</f>
        <v/>
      </c>
      <c r="N797" s="7">
        <f>'1 datos preparados'!M790</f>
        <v/>
      </c>
      <c r="O797" s="7">
        <f>'1 datos preparados'!N790</f>
        <v/>
      </c>
      <c r="P797" s="7">
        <f>'1 datos preparados'!O790</f>
        <v/>
      </c>
      <c r="Q797" s="7">
        <f>'1 datos preparados'!P790</f>
        <v/>
      </c>
      <c r="R797" s="7">
        <f>'1 datos preparados'!Q790</f>
        <v/>
      </c>
      <c r="S797" s="7">
        <f>'1 datos preparados'!R790</f>
        <v/>
      </c>
      <c r="T797" s="7">
        <f>'1 datos preparados'!S790</f>
        <v/>
      </c>
      <c r="U797" s="7">
        <f>'1 datos preparados'!T790</f>
        <v/>
      </c>
      <c r="V797" s="8">
        <f>$AE$12+D797*$AE$13+E797*$AE$14+F797*$AE$15+G797*$AE$16+H797*$AE$17+I797*$AE$18+J797*$AE$19+K797*$AE$20+L797*$AE$21+M797*$AE$22+N797*$AE$23+O797*$AE$24+P797*$AE$25+Q797*$AE$26+R797*$AE$27+S797*$AE$28+T797*$AE$29+U797*$AE$30</f>
        <v/>
      </c>
      <c r="W797" s="8">
        <f>1/(1+EXP(-V797))</f>
        <v/>
      </c>
      <c r="X797" s="9">
        <f>-IF(C797=1,LN(W797),LN(1-W797))</f>
        <v/>
      </c>
      <c r="Y797" s="8">
        <f>IF(C797=1,$AE$32,$AE$33)</f>
        <v/>
      </c>
      <c r="Z797" s="9">
        <f>Y797*X797</f>
        <v/>
      </c>
      <c r="AA797" s="10">
        <f>IF(W797&gt;$AE$34,1,0)</f>
        <v/>
      </c>
      <c r="AB797">
        <f>IF(AA797=C797,1,0)</f>
        <v/>
      </c>
    </row>
    <row r="798">
      <c r="A798">
        <f>'1 datos preparados'!A791</f>
        <v/>
      </c>
      <c r="B798" s="5">
        <f>'1 datos preparados'!U791</f>
        <v/>
      </c>
      <c r="C798">
        <f>'1 datos preparados'!B791</f>
        <v/>
      </c>
      <c r="D798" s="7">
        <f>'1 datos preparados'!C791</f>
        <v/>
      </c>
      <c r="E798" s="7">
        <f>'1 datos preparados'!D791</f>
        <v/>
      </c>
      <c r="F798" s="7">
        <f>'1 datos preparados'!E791</f>
        <v/>
      </c>
      <c r="G798" s="7">
        <f>'1 datos preparados'!F791</f>
        <v/>
      </c>
      <c r="H798" s="7">
        <f>'1 datos preparados'!G791</f>
        <v/>
      </c>
      <c r="I798" s="7">
        <f>'1 datos preparados'!H791</f>
        <v/>
      </c>
      <c r="J798" s="7">
        <f>'1 datos preparados'!I791</f>
        <v/>
      </c>
      <c r="K798" s="7">
        <f>'1 datos preparados'!J791</f>
        <v/>
      </c>
      <c r="L798" s="7">
        <f>'1 datos preparados'!K791</f>
        <v/>
      </c>
      <c r="M798" s="7">
        <f>'1 datos preparados'!L791</f>
        <v/>
      </c>
      <c r="N798" s="7">
        <f>'1 datos preparados'!M791</f>
        <v/>
      </c>
      <c r="O798" s="7">
        <f>'1 datos preparados'!N791</f>
        <v/>
      </c>
      <c r="P798" s="7">
        <f>'1 datos preparados'!O791</f>
        <v/>
      </c>
      <c r="Q798" s="7">
        <f>'1 datos preparados'!P791</f>
        <v/>
      </c>
      <c r="R798" s="7">
        <f>'1 datos preparados'!Q791</f>
        <v/>
      </c>
      <c r="S798" s="7">
        <f>'1 datos preparados'!R791</f>
        <v/>
      </c>
      <c r="T798" s="7">
        <f>'1 datos preparados'!S791</f>
        <v/>
      </c>
      <c r="U798" s="7">
        <f>'1 datos preparados'!T791</f>
        <v/>
      </c>
      <c r="V798" s="8">
        <f>$AE$12+D798*$AE$13+E798*$AE$14+F798*$AE$15+G798*$AE$16+H798*$AE$17+I798*$AE$18+J798*$AE$19+K798*$AE$20+L798*$AE$21+M798*$AE$22+N798*$AE$23+O798*$AE$24+P798*$AE$25+Q798*$AE$26+R798*$AE$27+S798*$AE$28+T798*$AE$29+U798*$AE$30</f>
        <v/>
      </c>
      <c r="W798" s="8">
        <f>1/(1+EXP(-V798))</f>
        <v/>
      </c>
      <c r="X798" s="9">
        <f>-IF(C798=1,LN(W798),LN(1-W798))</f>
        <v/>
      </c>
      <c r="Y798" s="8">
        <f>IF(C798=1,$AE$32,$AE$33)</f>
        <v/>
      </c>
      <c r="Z798" s="9">
        <f>Y798*X798</f>
        <v/>
      </c>
      <c r="AA798" s="10">
        <f>IF(W798&gt;$AE$34,1,0)</f>
        <v/>
      </c>
      <c r="AB798">
        <f>IF(AA798=C798,1,0)</f>
        <v/>
      </c>
    </row>
    <row r="799">
      <c r="A799">
        <f>'1 datos preparados'!A792</f>
        <v/>
      </c>
      <c r="B799" s="5">
        <f>'1 datos preparados'!U792</f>
        <v/>
      </c>
      <c r="C799">
        <f>'1 datos preparados'!B792</f>
        <v/>
      </c>
      <c r="D799" s="7">
        <f>'1 datos preparados'!C792</f>
        <v/>
      </c>
      <c r="E799" s="7">
        <f>'1 datos preparados'!D792</f>
        <v/>
      </c>
      <c r="F799" s="7">
        <f>'1 datos preparados'!E792</f>
        <v/>
      </c>
      <c r="G799" s="7">
        <f>'1 datos preparados'!F792</f>
        <v/>
      </c>
      <c r="H799" s="7">
        <f>'1 datos preparados'!G792</f>
        <v/>
      </c>
      <c r="I799" s="7">
        <f>'1 datos preparados'!H792</f>
        <v/>
      </c>
      <c r="J799" s="7">
        <f>'1 datos preparados'!I792</f>
        <v/>
      </c>
      <c r="K799" s="7">
        <f>'1 datos preparados'!J792</f>
        <v/>
      </c>
      <c r="L799" s="7">
        <f>'1 datos preparados'!K792</f>
        <v/>
      </c>
      <c r="M799" s="7">
        <f>'1 datos preparados'!L792</f>
        <v/>
      </c>
      <c r="N799" s="7">
        <f>'1 datos preparados'!M792</f>
        <v/>
      </c>
      <c r="O799" s="7">
        <f>'1 datos preparados'!N792</f>
        <v/>
      </c>
      <c r="P799" s="7">
        <f>'1 datos preparados'!O792</f>
        <v/>
      </c>
      <c r="Q799" s="7">
        <f>'1 datos preparados'!P792</f>
        <v/>
      </c>
      <c r="R799" s="7">
        <f>'1 datos preparados'!Q792</f>
        <v/>
      </c>
      <c r="S799" s="7">
        <f>'1 datos preparados'!R792</f>
        <v/>
      </c>
      <c r="T799" s="7">
        <f>'1 datos preparados'!S792</f>
        <v/>
      </c>
      <c r="U799" s="7">
        <f>'1 datos preparados'!T792</f>
        <v/>
      </c>
      <c r="V799" s="8">
        <f>$AE$12+D799*$AE$13+E799*$AE$14+F799*$AE$15+G799*$AE$16+H799*$AE$17+I799*$AE$18+J799*$AE$19+K799*$AE$20+L799*$AE$21+M799*$AE$22+N799*$AE$23+O799*$AE$24+P799*$AE$25+Q799*$AE$26+R799*$AE$27+S799*$AE$28+T799*$AE$29+U799*$AE$30</f>
        <v/>
      </c>
      <c r="W799" s="8">
        <f>1/(1+EXP(-V799))</f>
        <v/>
      </c>
      <c r="X799" s="9">
        <f>-IF(C799=1,LN(W799),LN(1-W799))</f>
        <v/>
      </c>
      <c r="Y799" s="8">
        <f>IF(C799=1,$AE$32,$AE$33)</f>
        <v/>
      </c>
      <c r="Z799" s="9">
        <f>Y799*X799</f>
        <v/>
      </c>
      <c r="AA799" s="10">
        <f>IF(W799&gt;$AE$34,1,0)</f>
        <v/>
      </c>
      <c r="AB799">
        <f>IF(AA799=C799,1,0)</f>
        <v/>
      </c>
    </row>
    <row r="800">
      <c r="A800">
        <f>'1 datos preparados'!A793</f>
        <v/>
      </c>
      <c r="B800" s="5">
        <f>'1 datos preparados'!U793</f>
        <v/>
      </c>
      <c r="C800">
        <f>'1 datos preparados'!B793</f>
        <v/>
      </c>
      <c r="D800" s="7">
        <f>'1 datos preparados'!C793</f>
        <v/>
      </c>
      <c r="E800" s="7">
        <f>'1 datos preparados'!D793</f>
        <v/>
      </c>
      <c r="F800" s="7">
        <f>'1 datos preparados'!E793</f>
        <v/>
      </c>
      <c r="G800" s="7">
        <f>'1 datos preparados'!F793</f>
        <v/>
      </c>
      <c r="H800" s="7">
        <f>'1 datos preparados'!G793</f>
        <v/>
      </c>
      <c r="I800" s="7">
        <f>'1 datos preparados'!H793</f>
        <v/>
      </c>
      <c r="J800" s="7">
        <f>'1 datos preparados'!I793</f>
        <v/>
      </c>
      <c r="K800" s="7">
        <f>'1 datos preparados'!J793</f>
        <v/>
      </c>
      <c r="L800" s="7">
        <f>'1 datos preparados'!K793</f>
        <v/>
      </c>
      <c r="M800" s="7">
        <f>'1 datos preparados'!L793</f>
        <v/>
      </c>
      <c r="N800" s="7">
        <f>'1 datos preparados'!M793</f>
        <v/>
      </c>
      <c r="O800" s="7">
        <f>'1 datos preparados'!N793</f>
        <v/>
      </c>
      <c r="P800" s="7">
        <f>'1 datos preparados'!O793</f>
        <v/>
      </c>
      <c r="Q800" s="7">
        <f>'1 datos preparados'!P793</f>
        <v/>
      </c>
      <c r="R800" s="7">
        <f>'1 datos preparados'!Q793</f>
        <v/>
      </c>
      <c r="S800" s="7">
        <f>'1 datos preparados'!R793</f>
        <v/>
      </c>
      <c r="T800" s="7">
        <f>'1 datos preparados'!S793</f>
        <v/>
      </c>
      <c r="U800" s="7">
        <f>'1 datos preparados'!T793</f>
        <v/>
      </c>
      <c r="V800" s="8">
        <f>$AE$12+D800*$AE$13+E800*$AE$14+F800*$AE$15+G800*$AE$16+H800*$AE$17+I800*$AE$18+J800*$AE$19+K800*$AE$20+L800*$AE$21+M800*$AE$22+N800*$AE$23+O800*$AE$24+P800*$AE$25+Q800*$AE$26+R800*$AE$27+S800*$AE$28+T800*$AE$29+U800*$AE$30</f>
        <v/>
      </c>
      <c r="W800" s="8">
        <f>1/(1+EXP(-V800))</f>
        <v/>
      </c>
      <c r="X800" s="9">
        <f>-IF(C800=1,LN(W800),LN(1-W800))</f>
        <v/>
      </c>
      <c r="Y800" s="8">
        <f>IF(C800=1,$AE$32,$AE$33)</f>
        <v/>
      </c>
      <c r="Z800" s="9">
        <f>Y800*X800</f>
        <v/>
      </c>
      <c r="AA800" s="10">
        <f>IF(W800&gt;$AE$34,1,0)</f>
        <v/>
      </c>
      <c r="AB800">
        <f>IF(AA800=C800,1,0)</f>
        <v/>
      </c>
    </row>
    <row r="801">
      <c r="A801">
        <f>'1 datos preparados'!A794</f>
        <v/>
      </c>
      <c r="B801" s="5">
        <f>'1 datos preparados'!U794</f>
        <v/>
      </c>
      <c r="C801">
        <f>'1 datos preparados'!B794</f>
        <v/>
      </c>
      <c r="D801" s="7">
        <f>'1 datos preparados'!C794</f>
        <v/>
      </c>
      <c r="E801" s="7">
        <f>'1 datos preparados'!D794</f>
        <v/>
      </c>
      <c r="F801" s="7">
        <f>'1 datos preparados'!E794</f>
        <v/>
      </c>
      <c r="G801" s="7">
        <f>'1 datos preparados'!F794</f>
        <v/>
      </c>
      <c r="H801" s="7">
        <f>'1 datos preparados'!G794</f>
        <v/>
      </c>
      <c r="I801" s="7">
        <f>'1 datos preparados'!H794</f>
        <v/>
      </c>
      <c r="J801" s="7">
        <f>'1 datos preparados'!I794</f>
        <v/>
      </c>
      <c r="K801" s="7">
        <f>'1 datos preparados'!J794</f>
        <v/>
      </c>
      <c r="L801" s="7">
        <f>'1 datos preparados'!K794</f>
        <v/>
      </c>
      <c r="M801" s="7">
        <f>'1 datos preparados'!L794</f>
        <v/>
      </c>
      <c r="N801" s="7">
        <f>'1 datos preparados'!M794</f>
        <v/>
      </c>
      <c r="O801" s="7">
        <f>'1 datos preparados'!N794</f>
        <v/>
      </c>
      <c r="P801" s="7">
        <f>'1 datos preparados'!O794</f>
        <v/>
      </c>
      <c r="Q801" s="7">
        <f>'1 datos preparados'!P794</f>
        <v/>
      </c>
      <c r="R801" s="7">
        <f>'1 datos preparados'!Q794</f>
        <v/>
      </c>
      <c r="S801" s="7">
        <f>'1 datos preparados'!R794</f>
        <v/>
      </c>
      <c r="T801" s="7">
        <f>'1 datos preparados'!S794</f>
        <v/>
      </c>
      <c r="U801" s="7">
        <f>'1 datos preparados'!T794</f>
        <v/>
      </c>
      <c r="V801" s="8">
        <f>$AE$12+D801*$AE$13+E801*$AE$14+F801*$AE$15+G801*$AE$16+H801*$AE$17+I801*$AE$18+J801*$AE$19+K801*$AE$20+L801*$AE$21+M801*$AE$22+N801*$AE$23+O801*$AE$24+P801*$AE$25+Q801*$AE$26+R801*$AE$27+S801*$AE$28+T801*$AE$29+U801*$AE$30</f>
        <v/>
      </c>
      <c r="W801" s="8">
        <f>1/(1+EXP(-V801))</f>
        <v/>
      </c>
      <c r="X801" s="9">
        <f>-IF(C801=1,LN(W801),LN(1-W801))</f>
        <v/>
      </c>
      <c r="Y801" s="8">
        <f>IF(C801=1,$AE$32,$AE$33)</f>
        <v/>
      </c>
      <c r="Z801" s="9">
        <f>Y801*X801</f>
        <v/>
      </c>
      <c r="AA801" s="10">
        <f>IF(W801&gt;$AE$34,1,0)</f>
        <v/>
      </c>
      <c r="AB801">
        <f>IF(AA801=C801,1,0)</f>
        <v/>
      </c>
    </row>
    <row r="802">
      <c r="A802">
        <f>'1 datos preparados'!A795</f>
        <v/>
      </c>
      <c r="B802" s="5">
        <f>'1 datos preparados'!U795</f>
        <v/>
      </c>
      <c r="C802">
        <f>'1 datos preparados'!B795</f>
        <v/>
      </c>
      <c r="D802" s="7">
        <f>'1 datos preparados'!C795</f>
        <v/>
      </c>
      <c r="E802" s="7">
        <f>'1 datos preparados'!D795</f>
        <v/>
      </c>
      <c r="F802" s="7">
        <f>'1 datos preparados'!E795</f>
        <v/>
      </c>
      <c r="G802" s="7">
        <f>'1 datos preparados'!F795</f>
        <v/>
      </c>
      <c r="H802" s="7">
        <f>'1 datos preparados'!G795</f>
        <v/>
      </c>
      <c r="I802" s="7">
        <f>'1 datos preparados'!H795</f>
        <v/>
      </c>
      <c r="J802" s="7">
        <f>'1 datos preparados'!I795</f>
        <v/>
      </c>
      <c r="K802" s="7">
        <f>'1 datos preparados'!J795</f>
        <v/>
      </c>
      <c r="L802" s="7">
        <f>'1 datos preparados'!K795</f>
        <v/>
      </c>
      <c r="M802" s="7">
        <f>'1 datos preparados'!L795</f>
        <v/>
      </c>
      <c r="N802" s="7">
        <f>'1 datos preparados'!M795</f>
        <v/>
      </c>
      <c r="O802" s="7">
        <f>'1 datos preparados'!N795</f>
        <v/>
      </c>
      <c r="P802" s="7">
        <f>'1 datos preparados'!O795</f>
        <v/>
      </c>
      <c r="Q802" s="7">
        <f>'1 datos preparados'!P795</f>
        <v/>
      </c>
      <c r="R802" s="7">
        <f>'1 datos preparados'!Q795</f>
        <v/>
      </c>
      <c r="S802" s="7">
        <f>'1 datos preparados'!R795</f>
        <v/>
      </c>
      <c r="T802" s="7">
        <f>'1 datos preparados'!S795</f>
        <v/>
      </c>
      <c r="U802" s="7">
        <f>'1 datos preparados'!T795</f>
        <v/>
      </c>
      <c r="V802" s="8">
        <f>$AE$12+D802*$AE$13+E802*$AE$14+F802*$AE$15+G802*$AE$16+H802*$AE$17+I802*$AE$18+J802*$AE$19+K802*$AE$20+L802*$AE$21+M802*$AE$22+N802*$AE$23+O802*$AE$24+P802*$AE$25+Q802*$AE$26+R802*$AE$27+S802*$AE$28+T802*$AE$29+U802*$AE$30</f>
        <v/>
      </c>
      <c r="W802" s="8">
        <f>1/(1+EXP(-V802))</f>
        <v/>
      </c>
      <c r="X802" s="9">
        <f>-IF(C802=1,LN(W802),LN(1-W802))</f>
        <v/>
      </c>
      <c r="Y802" s="8">
        <f>IF(C802=1,$AE$32,$AE$33)</f>
        <v/>
      </c>
      <c r="Z802" s="9">
        <f>Y802*X802</f>
        <v/>
      </c>
      <c r="AA802" s="10">
        <f>IF(W802&gt;$AE$34,1,0)</f>
        <v/>
      </c>
      <c r="AB802">
        <f>IF(AA802=C802,1,0)</f>
        <v/>
      </c>
    </row>
    <row r="803">
      <c r="A803">
        <f>'1 datos preparados'!A796</f>
        <v/>
      </c>
      <c r="B803" s="5">
        <f>'1 datos preparados'!U796</f>
        <v/>
      </c>
      <c r="C803">
        <f>'1 datos preparados'!B796</f>
        <v/>
      </c>
      <c r="D803" s="7">
        <f>'1 datos preparados'!C796</f>
        <v/>
      </c>
      <c r="E803" s="7">
        <f>'1 datos preparados'!D796</f>
        <v/>
      </c>
      <c r="F803" s="7">
        <f>'1 datos preparados'!E796</f>
        <v/>
      </c>
      <c r="G803" s="7">
        <f>'1 datos preparados'!F796</f>
        <v/>
      </c>
      <c r="H803" s="7">
        <f>'1 datos preparados'!G796</f>
        <v/>
      </c>
      <c r="I803" s="7">
        <f>'1 datos preparados'!H796</f>
        <v/>
      </c>
      <c r="J803" s="7">
        <f>'1 datos preparados'!I796</f>
        <v/>
      </c>
      <c r="K803" s="7">
        <f>'1 datos preparados'!J796</f>
        <v/>
      </c>
      <c r="L803" s="7">
        <f>'1 datos preparados'!K796</f>
        <v/>
      </c>
      <c r="M803" s="7">
        <f>'1 datos preparados'!L796</f>
        <v/>
      </c>
      <c r="N803" s="7">
        <f>'1 datos preparados'!M796</f>
        <v/>
      </c>
      <c r="O803" s="7">
        <f>'1 datos preparados'!N796</f>
        <v/>
      </c>
      <c r="P803" s="7">
        <f>'1 datos preparados'!O796</f>
        <v/>
      </c>
      <c r="Q803" s="7">
        <f>'1 datos preparados'!P796</f>
        <v/>
      </c>
      <c r="R803" s="7">
        <f>'1 datos preparados'!Q796</f>
        <v/>
      </c>
      <c r="S803" s="7">
        <f>'1 datos preparados'!R796</f>
        <v/>
      </c>
      <c r="T803" s="7">
        <f>'1 datos preparados'!S796</f>
        <v/>
      </c>
      <c r="U803" s="7">
        <f>'1 datos preparados'!T796</f>
        <v/>
      </c>
      <c r="V803" s="8">
        <f>$AE$12+D803*$AE$13+E803*$AE$14+F803*$AE$15+G803*$AE$16+H803*$AE$17+I803*$AE$18+J803*$AE$19+K803*$AE$20+L803*$AE$21+M803*$AE$22+N803*$AE$23+O803*$AE$24+P803*$AE$25+Q803*$AE$26+R803*$AE$27+S803*$AE$28+T803*$AE$29+U803*$AE$30</f>
        <v/>
      </c>
      <c r="W803" s="8">
        <f>1/(1+EXP(-V803))</f>
        <v/>
      </c>
      <c r="X803" s="9">
        <f>-IF(C803=1,LN(W803),LN(1-W803))</f>
        <v/>
      </c>
      <c r="Y803" s="8">
        <f>IF(C803=1,$AE$32,$AE$33)</f>
        <v/>
      </c>
      <c r="Z803" s="9">
        <f>Y803*X803</f>
        <v/>
      </c>
      <c r="AA803" s="10">
        <f>IF(W803&gt;$AE$34,1,0)</f>
        <v/>
      </c>
      <c r="AB803">
        <f>IF(AA803=C803,1,0)</f>
        <v/>
      </c>
    </row>
    <row r="804">
      <c r="A804">
        <f>'1 datos preparados'!A797</f>
        <v/>
      </c>
      <c r="B804" s="5">
        <f>'1 datos preparados'!U797</f>
        <v/>
      </c>
      <c r="C804">
        <f>'1 datos preparados'!B797</f>
        <v/>
      </c>
      <c r="D804" s="7">
        <f>'1 datos preparados'!C797</f>
        <v/>
      </c>
      <c r="E804" s="7">
        <f>'1 datos preparados'!D797</f>
        <v/>
      </c>
      <c r="F804" s="7">
        <f>'1 datos preparados'!E797</f>
        <v/>
      </c>
      <c r="G804" s="7">
        <f>'1 datos preparados'!F797</f>
        <v/>
      </c>
      <c r="H804" s="7">
        <f>'1 datos preparados'!G797</f>
        <v/>
      </c>
      <c r="I804" s="7">
        <f>'1 datos preparados'!H797</f>
        <v/>
      </c>
      <c r="J804" s="7">
        <f>'1 datos preparados'!I797</f>
        <v/>
      </c>
      <c r="K804" s="7">
        <f>'1 datos preparados'!J797</f>
        <v/>
      </c>
      <c r="L804" s="7">
        <f>'1 datos preparados'!K797</f>
        <v/>
      </c>
      <c r="M804" s="7">
        <f>'1 datos preparados'!L797</f>
        <v/>
      </c>
      <c r="N804" s="7">
        <f>'1 datos preparados'!M797</f>
        <v/>
      </c>
      <c r="O804" s="7">
        <f>'1 datos preparados'!N797</f>
        <v/>
      </c>
      <c r="P804" s="7">
        <f>'1 datos preparados'!O797</f>
        <v/>
      </c>
      <c r="Q804" s="7">
        <f>'1 datos preparados'!P797</f>
        <v/>
      </c>
      <c r="R804" s="7">
        <f>'1 datos preparados'!Q797</f>
        <v/>
      </c>
      <c r="S804" s="7">
        <f>'1 datos preparados'!R797</f>
        <v/>
      </c>
      <c r="T804" s="7">
        <f>'1 datos preparados'!S797</f>
        <v/>
      </c>
      <c r="U804" s="7">
        <f>'1 datos preparados'!T797</f>
        <v/>
      </c>
      <c r="V804" s="8">
        <f>$AE$12+D804*$AE$13+E804*$AE$14+F804*$AE$15+G804*$AE$16+H804*$AE$17+I804*$AE$18+J804*$AE$19+K804*$AE$20+L804*$AE$21+M804*$AE$22+N804*$AE$23+O804*$AE$24+P804*$AE$25+Q804*$AE$26+R804*$AE$27+S804*$AE$28+T804*$AE$29+U804*$AE$30</f>
        <v/>
      </c>
      <c r="W804" s="8">
        <f>1/(1+EXP(-V804))</f>
        <v/>
      </c>
      <c r="X804" s="9">
        <f>-IF(C804=1,LN(W804),LN(1-W804))</f>
        <v/>
      </c>
      <c r="Y804" s="8">
        <f>IF(C804=1,$AE$32,$AE$33)</f>
        <v/>
      </c>
      <c r="Z804" s="9">
        <f>Y804*X804</f>
        <v/>
      </c>
      <c r="AA804" s="10">
        <f>IF(W804&gt;$AE$34,1,0)</f>
        <v/>
      </c>
      <c r="AB804">
        <f>IF(AA804=C804,1,0)</f>
        <v/>
      </c>
    </row>
    <row r="805">
      <c r="A805">
        <f>'1 datos preparados'!A798</f>
        <v/>
      </c>
      <c r="B805" s="5">
        <f>'1 datos preparados'!U798</f>
        <v/>
      </c>
      <c r="C805">
        <f>'1 datos preparados'!B798</f>
        <v/>
      </c>
      <c r="D805" s="7">
        <f>'1 datos preparados'!C798</f>
        <v/>
      </c>
      <c r="E805" s="7">
        <f>'1 datos preparados'!D798</f>
        <v/>
      </c>
      <c r="F805" s="7">
        <f>'1 datos preparados'!E798</f>
        <v/>
      </c>
      <c r="G805" s="7">
        <f>'1 datos preparados'!F798</f>
        <v/>
      </c>
      <c r="H805" s="7">
        <f>'1 datos preparados'!G798</f>
        <v/>
      </c>
      <c r="I805" s="7">
        <f>'1 datos preparados'!H798</f>
        <v/>
      </c>
      <c r="J805" s="7">
        <f>'1 datos preparados'!I798</f>
        <v/>
      </c>
      <c r="K805" s="7">
        <f>'1 datos preparados'!J798</f>
        <v/>
      </c>
      <c r="L805" s="7">
        <f>'1 datos preparados'!K798</f>
        <v/>
      </c>
      <c r="M805" s="7">
        <f>'1 datos preparados'!L798</f>
        <v/>
      </c>
      <c r="N805" s="7">
        <f>'1 datos preparados'!M798</f>
        <v/>
      </c>
      <c r="O805" s="7">
        <f>'1 datos preparados'!N798</f>
        <v/>
      </c>
      <c r="P805" s="7">
        <f>'1 datos preparados'!O798</f>
        <v/>
      </c>
      <c r="Q805" s="7">
        <f>'1 datos preparados'!P798</f>
        <v/>
      </c>
      <c r="R805" s="7">
        <f>'1 datos preparados'!Q798</f>
        <v/>
      </c>
      <c r="S805" s="7">
        <f>'1 datos preparados'!R798</f>
        <v/>
      </c>
      <c r="T805" s="7">
        <f>'1 datos preparados'!S798</f>
        <v/>
      </c>
      <c r="U805" s="7">
        <f>'1 datos preparados'!T798</f>
        <v/>
      </c>
      <c r="V805" s="8">
        <f>$AE$12+D805*$AE$13+E805*$AE$14+F805*$AE$15+G805*$AE$16+H805*$AE$17+I805*$AE$18+J805*$AE$19+K805*$AE$20+L805*$AE$21+M805*$AE$22+N805*$AE$23+O805*$AE$24+P805*$AE$25+Q805*$AE$26+R805*$AE$27+S805*$AE$28+T805*$AE$29+U805*$AE$30</f>
        <v/>
      </c>
      <c r="W805" s="8">
        <f>1/(1+EXP(-V805))</f>
        <v/>
      </c>
      <c r="X805" s="9">
        <f>-IF(C805=1,LN(W805),LN(1-W805))</f>
        <v/>
      </c>
      <c r="Y805" s="8">
        <f>IF(C805=1,$AE$32,$AE$33)</f>
        <v/>
      </c>
      <c r="Z805" s="9">
        <f>Y805*X805</f>
        <v/>
      </c>
      <c r="AA805" s="10">
        <f>IF(W805&gt;$AE$34,1,0)</f>
        <v/>
      </c>
      <c r="AB805">
        <f>IF(AA805=C805,1,0)</f>
        <v/>
      </c>
    </row>
    <row r="806">
      <c r="A806">
        <f>'1 datos preparados'!A799</f>
        <v/>
      </c>
      <c r="B806" s="5">
        <f>'1 datos preparados'!U799</f>
        <v/>
      </c>
      <c r="C806">
        <f>'1 datos preparados'!B799</f>
        <v/>
      </c>
      <c r="D806" s="7">
        <f>'1 datos preparados'!C799</f>
        <v/>
      </c>
      <c r="E806" s="7">
        <f>'1 datos preparados'!D799</f>
        <v/>
      </c>
      <c r="F806" s="7">
        <f>'1 datos preparados'!E799</f>
        <v/>
      </c>
      <c r="G806" s="7">
        <f>'1 datos preparados'!F799</f>
        <v/>
      </c>
      <c r="H806" s="7">
        <f>'1 datos preparados'!G799</f>
        <v/>
      </c>
      <c r="I806" s="7">
        <f>'1 datos preparados'!H799</f>
        <v/>
      </c>
      <c r="J806" s="7">
        <f>'1 datos preparados'!I799</f>
        <v/>
      </c>
      <c r="K806" s="7">
        <f>'1 datos preparados'!J799</f>
        <v/>
      </c>
      <c r="L806" s="7">
        <f>'1 datos preparados'!K799</f>
        <v/>
      </c>
      <c r="M806" s="7">
        <f>'1 datos preparados'!L799</f>
        <v/>
      </c>
      <c r="N806" s="7">
        <f>'1 datos preparados'!M799</f>
        <v/>
      </c>
      <c r="O806" s="7">
        <f>'1 datos preparados'!N799</f>
        <v/>
      </c>
      <c r="P806" s="7">
        <f>'1 datos preparados'!O799</f>
        <v/>
      </c>
      <c r="Q806" s="7">
        <f>'1 datos preparados'!P799</f>
        <v/>
      </c>
      <c r="R806" s="7">
        <f>'1 datos preparados'!Q799</f>
        <v/>
      </c>
      <c r="S806" s="7">
        <f>'1 datos preparados'!R799</f>
        <v/>
      </c>
      <c r="T806" s="7">
        <f>'1 datos preparados'!S799</f>
        <v/>
      </c>
      <c r="U806" s="7">
        <f>'1 datos preparados'!T799</f>
        <v/>
      </c>
      <c r="V806" s="8">
        <f>$AE$12+D806*$AE$13+E806*$AE$14+F806*$AE$15+G806*$AE$16+H806*$AE$17+I806*$AE$18+J806*$AE$19+K806*$AE$20+L806*$AE$21+M806*$AE$22+N806*$AE$23+O806*$AE$24+P806*$AE$25+Q806*$AE$26+R806*$AE$27+S806*$AE$28+T806*$AE$29+U806*$AE$30</f>
        <v/>
      </c>
      <c r="W806" s="8">
        <f>1/(1+EXP(-V806))</f>
        <v/>
      </c>
      <c r="X806" s="9">
        <f>-IF(C806=1,LN(W806),LN(1-W806))</f>
        <v/>
      </c>
      <c r="Y806" s="8">
        <f>IF(C806=1,$AE$32,$AE$33)</f>
        <v/>
      </c>
      <c r="Z806" s="9">
        <f>Y806*X806</f>
        <v/>
      </c>
      <c r="AA806" s="10">
        <f>IF(W806&gt;$AE$34,1,0)</f>
        <v/>
      </c>
      <c r="AB806">
        <f>IF(AA806=C806,1,0)</f>
        <v/>
      </c>
    </row>
    <row r="807">
      <c r="A807">
        <f>'1 datos preparados'!A800</f>
        <v/>
      </c>
      <c r="B807" s="5">
        <f>'1 datos preparados'!U800</f>
        <v/>
      </c>
      <c r="C807">
        <f>'1 datos preparados'!B800</f>
        <v/>
      </c>
      <c r="D807" s="7">
        <f>'1 datos preparados'!C800</f>
        <v/>
      </c>
      <c r="E807" s="7">
        <f>'1 datos preparados'!D800</f>
        <v/>
      </c>
      <c r="F807" s="7">
        <f>'1 datos preparados'!E800</f>
        <v/>
      </c>
      <c r="G807" s="7">
        <f>'1 datos preparados'!F800</f>
        <v/>
      </c>
      <c r="H807" s="7">
        <f>'1 datos preparados'!G800</f>
        <v/>
      </c>
      <c r="I807" s="7">
        <f>'1 datos preparados'!H800</f>
        <v/>
      </c>
      <c r="J807" s="7">
        <f>'1 datos preparados'!I800</f>
        <v/>
      </c>
      <c r="K807" s="7">
        <f>'1 datos preparados'!J800</f>
        <v/>
      </c>
      <c r="L807" s="7">
        <f>'1 datos preparados'!K800</f>
        <v/>
      </c>
      <c r="M807" s="7">
        <f>'1 datos preparados'!L800</f>
        <v/>
      </c>
      <c r="N807" s="7">
        <f>'1 datos preparados'!M800</f>
        <v/>
      </c>
      <c r="O807" s="7">
        <f>'1 datos preparados'!N800</f>
        <v/>
      </c>
      <c r="P807" s="7">
        <f>'1 datos preparados'!O800</f>
        <v/>
      </c>
      <c r="Q807" s="7">
        <f>'1 datos preparados'!P800</f>
        <v/>
      </c>
      <c r="R807" s="7">
        <f>'1 datos preparados'!Q800</f>
        <v/>
      </c>
      <c r="S807" s="7">
        <f>'1 datos preparados'!R800</f>
        <v/>
      </c>
      <c r="T807" s="7">
        <f>'1 datos preparados'!S800</f>
        <v/>
      </c>
      <c r="U807" s="7">
        <f>'1 datos preparados'!T800</f>
        <v/>
      </c>
      <c r="V807" s="8">
        <f>$AE$12+D807*$AE$13+E807*$AE$14+F807*$AE$15+G807*$AE$16+H807*$AE$17+I807*$AE$18+J807*$AE$19+K807*$AE$20+L807*$AE$21+M807*$AE$22+N807*$AE$23+O807*$AE$24+P807*$AE$25+Q807*$AE$26+R807*$AE$27+S807*$AE$28+T807*$AE$29+U807*$AE$30</f>
        <v/>
      </c>
      <c r="W807" s="8">
        <f>1/(1+EXP(-V807))</f>
        <v/>
      </c>
      <c r="X807" s="9">
        <f>-IF(C807=1,LN(W807),LN(1-W807))</f>
        <v/>
      </c>
      <c r="Y807" s="8">
        <f>IF(C807=1,$AE$32,$AE$33)</f>
        <v/>
      </c>
      <c r="Z807" s="9">
        <f>Y807*X807</f>
        <v/>
      </c>
      <c r="AA807" s="10">
        <f>IF(W807&gt;$AE$34,1,0)</f>
        <v/>
      </c>
      <c r="AB807">
        <f>IF(AA807=C807,1,0)</f>
        <v/>
      </c>
    </row>
    <row r="808">
      <c r="A808">
        <f>'1 datos preparados'!A801</f>
        <v/>
      </c>
      <c r="B808" s="5">
        <f>'1 datos preparados'!U801</f>
        <v/>
      </c>
      <c r="C808">
        <f>'1 datos preparados'!B801</f>
        <v/>
      </c>
      <c r="D808" s="7">
        <f>'1 datos preparados'!C801</f>
        <v/>
      </c>
      <c r="E808" s="7">
        <f>'1 datos preparados'!D801</f>
        <v/>
      </c>
      <c r="F808" s="7">
        <f>'1 datos preparados'!E801</f>
        <v/>
      </c>
      <c r="G808" s="7">
        <f>'1 datos preparados'!F801</f>
        <v/>
      </c>
      <c r="H808" s="7">
        <f>'1 datos preparados'!G801</f>
        <v/>
      </c>
      <c r="I808" s="7">
        <f>'1 datos preparados'!H801</f>
        <v/>
      </c>
      <c r="J808" s="7">
        <f>'1 datos preparados'!I801</f>
        <v/>
      </c>
      <c r="K808" s="7">
        <f>'1 datos preparados'!J801</f>
        <v/>
      </c>
      <c r="L808" s="7">
        <f>'1 datos preparados'!K801</f>
        <v/>
      </c>
      <c r="M808" s="7">
        <f>'1 datos preparados'!L801</f>
        <v/>
      </c>
      <c r="N808" s="7">
        <f>'1 datos preparados'!M801</f>
        <v/>
      </c>
      <c r="O808" s="7">
        <f>'1 datos preparados'!N801</f>
        <v/>
      </c>
      <c r="P808" s="7">
        <f>'1 datos preparados'!O801</f>
        <v/>
      </c>
      <c r="Q808" s="7">
        <f>'1 datos preparados'!P801</f>
        <v/>
      </c>
      <c r="R808" s="7">
        <f>'1 datos preparados'!Q801</f>
        <v/>
      </c>
      <c r="S808" s="7">
        <f>'1 datos preparados'!R801</f>
        <v/>
      </c>
      <c r="T808" s="7">
        <f>'1 datos preparados'!S801</f>
        <v/>
      </c>
      <c r="U808" s="7">
        <f>'1 datos preparados'!T801</f>
        <v/>
      </c>
      <c r="V808" s="8">
        <f>$AE$12+D808*$AE$13+E808*$AE$14+F808*$AE$15+G808*$AE$16+H808*$AE$17+I808*$AE$18+J808*$AE$19+K808*$AE$20+L808*$AE$21+M808*$AE$22+N808*$AE$23+O808*$AE$24+P808*$AE$25+Q808*$AE$26+R808*$AE$27+S808*$AE$28+T808*$AE$29+U808*$AE$30</f>
        <v/>
      </c>
      <c r="W808" s="8">
        <f>1/(1+EXP(-V808))</f>
        <v/>
      </c>
      <c r="X808" s="9">
        <f>-IF(C808=1,LN(W808),LN(1-W808))</f>
        <v/>
      </c>
      <c r="Y808" s="8">
        <f>IF(C808=1,$AE$32,$AE$33)</f>
        <v/>
      </c>
      <c r="Z808" s="9">
        <f>Y808*X808</f>
        <v/>
      </c>
      <c r="AA808" s="10">
        <f>IF(W808&gt;$AE$34,1,0)</f>
        <v/>
      </c>
      <c r="AB808">
        <f>IF(AA808=C808,1,0)</f>
        <v/>
      </c>
    </row>
    <row r="809">
      <c r="A809">
        <f>'1 datos preparados'!A802</f>
        <v/>
      </c>
      <c r="B809" s="5">
        <f>'1 datos preparados'!U802</f>
        <v/>
      </c>
      <c r="C809">
        <f>'1 datos preparados'!B802</f>
        <v/>
      </c>
      <c r="D809" s="7">
        <f>'1 datos preparados'!C802</f>
        <v/>
      </c>
      <c r="E809" s="7">
        <f>'1 datos preparados'!D802</f>
        <v/>
      </c>
      <c r="F809" s="7">
        <f>'1 datos preparados'!E802</f>
        <v/>
      </c>
      <c r="G809" s="7">
        <f>'1 datos preparados'!F802</f>
        <v/>
      </c>
      <c r="H809" s="7">
        <f>'1 datos preparados'!G802</f>
        <v/>
      </c>
      <c r="I809" s="7">
        <f>'1 datos preparados'!H802</f>
        <v/>
      </c>
      <c r="J809" s="7">
        <f>'1 datos preparados'!I802</f>
        <v/>
      </c>
      <c r="K809" s="7">
        <f>'1 datos preparados'!J802</f>
        <v/>
      </c>
      <c r="L809" s="7">
        <f>'1 datos preparados'!K802</f>
        <v/>
      </c>
      <c r="M809" s="7">
        <f>'1 datos preparados'!L802</f>
        <v/>
      </c>
      <c r="N809" s="7">
        <f>'1 datos preparados'!M802</f>
        <v/>
      </c>
      <c r="O809" s="7">
        <f>'1 datos preparados'!N802</f>
        <v/>
      </c>
      <c r="P809" s="7">
        <f>'1 datos preparados'!O802</f>
        <v/>
      </c>
      <c r="Q809" s="7">
        <f>'1 datos preparados'!P802</f>
        <v/>
      </c>
      <c r="R809" s="7">
        <f>'1 datos preparados'!Q802</f>
        <v/>
      </c>
      <c r="S809" s="7">
        <f>'1 datos preparados'!R802</f>
        <v/>
      </c>
      <c r="T809" s="7">
        <f>'1 datos preparados'!S802</f>
        <v/>
      </c>
      <c r="U809" s="7">
        <f>'1 datos preparados'!T802</f>
        <v/>
      </c>
      <c r="V809" s="8">
        <f>$AE$12+D809*$AE$13+E809*$AE$14+F809*$AE$15+G809*$AE$16+H809*$AE$17+I809*$AE$18+J809*$AE$19+K809*$AE$20+L809*$AE$21+M809*$AE$22+N809*$AE$23+O809*$AE$24+P809*$AE$25+Q809*$AE$26+R809*$AE$27+S809*$AE$28+T809*$AE$29+U809*$AE$30</f>
        <v/>
      </c>
      <c r="W809" s="8">
        <f>1/(1+EXP(-V809))</f>
        <v/>
      </c>
      <c r="X809" s="9">
        <f>-IF(C809=1,LN(W809),LN(1-W809))</f>
        <v/>
      </c>
      <c r="Y809" s="8">
        <f>IF(C809=1,$AE$32,$AE$33)</f>
        <v/>
      </c>
      <c r="Z809" s="9">
        <f>Y809*X809</f>
        <v/>
      </c>
      <c r="AA809" s="10">
        <f>IF(W809&gt;$AE$34,1,0)</f>
        <v/>
      </c>
      <c r="AB809">
        <f>IF(AA809=C809,1,0)</f>
        <v/>
      </c>
    </row>
    <row r="810">
      <c r="A810">
        <f>'1 datos preparados'!A803</f>
        <v/>
      </c>
      <c r="B810" s="5">
        <f>'1 datos preparados'!U803</f>
        <v/>
      </c>
      <c r="C810">
        <f>'1 datos preparados'!B803</f>
        <v/>
      </c>
      <c r="D810" s="7">
        <f>'1 datos preparados'!C803</f>
        <v/>
      </c>
      <c r="E810" s="7">
        <f>'1 datos preparados'!D803</f>
        <v/>
      </c>
      <c r="F810" s="7">
        <f>'1 datos preparados'!E803</f>
        <v/>
      </c>
      <c r="G810" s="7">
        <f>'1 datos preparados'!F803</f>
        <v/>
      </c>
      <c r="H810" s="7">
        <f>'1 datos preparados'!G803</f>
        <v/>
      </c>
      <c r="I810" s="7">
        <f>'1 datos preparados'!H803</f>
        <v/>
      </c>
      <c r="J810" s="7">
        <f>'1 datos preparados'!I803</f>
        <v/>
      </c>
      <c r="K810" s="7">
        <f>'1 datos preparados'!J803</f>
        <v/>
      </c>
      <c r="L810" s="7">
        <f>'1 datos preparados'!K803</f>
        <v/>
      </c>
      <c r="M810" s="7">
        <f>'1 datos preparados'!L803</f>
        <v/>
      </c>
      <c r="N810" s="7">
        <f>'1 datos preparados'!M803</f>
        <v/>
      </c>
      <c r="O810" s="7">
        <f>'1 datos preparados'!N803</f>
        <v/>
      </c>
      <c r="P810" s="7">
        <f>'1 datos preparados'!O803</f>
        <v/>
      </c>
      <c r="Q810" s="7">
        <f>'1 datos preparados'!P803</f>
        <v/>
      </c>
      <c r="R810" s="7">
        <f>'1 datos preparados'!Q803</f>
        <v/>
      </c>
      <c r="S810" s="7">
        <f>'1 datos preparados'!R803</f>
        <v/>
      </c>
      <c r="T810" s="7">
        <f>'1 datos preparados'!S803</f>
        <v/>
      </c>
      <c r="U810" s="7">
        <f>'1 datos preparados'!T803</f>
        <v/>
      </c>
      <c r="V810" s="8">
        <f>$AE$12+D810*$AE$13+E810*$AE$14+F810*$AE$15+G810*$AE$16+H810*$AE$17+I810*$AE$18+J810*$AE$19+K810*$AE$20+L810*$AE$21+M810*$AE$22+N810*$AE$23+O810*$AE$24+P810*$AE$25+Q810*$AE$26+R810*$AE$27+S810*$AE$28+T810*$AE$29+U810*$AE$30</f>
        <v/>
      </c>
      <c r="W810" s="8">
        <f>1/(1+EXP(-V810))</f>
        <v/>
      </c>
      <c r="X810" s="9">
        <f>-IF(C810=1,LN(W810),LN(1-W810))</f>
        <v/>
      </c>
      <c r="Y810" s="8">
        <f>IF(C810=1,$AE$32,$AE$33)</f>
        <v/>
      </c>
      <c r="Z810" s="9">
        <f>Y810*X810</f>
        <v/>
      </c>
      <c r="AA810" s="10">
        <f>IF(W810&gt;$AE$34,1,0)</f>
        <v/>
      </c>
      <c r="AB810">
        <f>IF(AA810=C810,1,0)</f>
        <v/>
      </c>
    </row>
    <row r="811">
      <c r="A811">
        <f>'1 datos preparados'!A804</f>
        <v/>
      </c>
      <c r="B811" s="5">
        <f>'1 datos preparados'!U804</f>
        <v/>
      </c>
      <c r="C811">
        <f>'1 datos preparados'!B804</f>
        <v/>
      </c>
      <c r="D811" s="7">
        <f>'1 datos preparados'!C804</f>
        <v/>
      </c>
      <c r="E811" s="7">
        <f>'1 datos preparados'!D804</f>
        <v/>
      </c>
      <c r="F811" s="7">
        <f>'1 datos preparados'!E804</f>
        <v/>
      </c>
      <c r="G811" s="7">
        <f>'1 datos preparados'!F804</f>
        <v/>
      </c>
      <c r="H811" s="7">
        <f>'1 datos preparados'!G804</f>
        <v/>
      </c>
      <c r="I811" s="7">
        <f>'1 datos preparados'!H804</f>
        <v/>
      </c>
      <c r="J811" s="7">
        <f>'1 datos preparados'!I804</f>
        <v/>
      </c>
      <c r="K811" s="7">
        <f>'1 datos preparados'!J804</f>
        <v/>
      </c>
      <c r="L811" s="7">
        <f>'1 datos preparados'!K804</f>
        <v/>
      </c>
      <c r="M811" s="7">
        <f>'1 datos preparados'!L804</f>
        <v/>
      </c>
      <c r="N811" s="7">
        <f>'1 datos preparados'!M804</f>
        <v/>
      </c>
      <c r="O811" s="7">
        <f>'1 datos preparados'!N804</f>
        <v/>
      </c>
      <c r="P811" s="7">
        <f>'1 datos preparados'!O804</f>
        <v/>
      </c>
      <c r="Q811" s="7">
        <f>'1 datos preparados'!P804</f>
        <v/>
      </c>
      <c r="R811" s="7">
        <f>'1 datos preparados'!Q804</f>
        <v/>
      </c>
      <c r="S811" s="7">
        <f>'1 datos preparados'!R804</f>
        <v/>
      </c>
      <c r="T811" s="7">
        <f>'1 datos preparados'!S804</f>
        <v/>
      </c>
      <c r="U811" s="7">
        <f>'1 datos preparados'!T804</f>
        <v/>
      </c>
      <c r="V811" s="8">
        <f>$AE$12+D811*$AE$13+E811*$AE$14+F811*$AE$15+G811*$AE$16+H811*$AE$17+I811*$AE$18+J811*$AE$19+K811*$AE$20+L811*$AE$21+M811*$AE$22+N811*$AE$23+O811*$AE$24+P811*$AE$25+Q811*$AE$26+R811*$AE$27+S811*$AE$28+T811*$AE$29+U811*$AE$30</f>
        <v/>
      </c>
      <c r="W811" s="8">
        <f>1/(1+EXP(-V811))</f>
        <v/>
      </c>
      <c r="X811" s="9">
        <f>-IF(C811=1,LN(W811),LN(1-W811))</f>
        <v/>
      </c>
      <c r="Y811" s="8">
        <f>IF(C811=1,$AE$32,$AE$33)</f>
        <v/>
      </c>
      <c r="Z811" s="9">
        <f>Y811*X811</f>
        <v/>
      </c>
      <c r="AA811" s="10">
        <f>IF(W811&gt;$AE$34,1,0)</f>
        <v/>
      </c>
      <c r="AB811">
        <f>IF(AA811=C811,1,0)</f>
        <v/>
      </c>
    </row>
    <row r="812">
      <c r="A812">
        <f>'1 datos preparados'!A805</f>
        <v/>
      </c>
      <c r="B812" s="5">
        <f>'1 datos preparados'!U805</f>
        <v/>
      </c>
      <c r="C812">
        <f>'1 datos preparados'!B805</f>
        <v/>
      </c>
      <c r="D812" s="7">
        <f>'1 datos preparados'!C805</f>
        <v/>
      </c>
      <c r="E812" s="7">
        <f>'1 datos preparados'!D805</f>
        <v/>
      </c>
      <c r="F812" s="7">
        <f>'1 datos preparados'!E805</f>
        <v/>
      </c>
      <c r="G812" s="7">
        <f>'1 datos preparados'!F805</f>
        <v/>
      </c>
      <c r="H812" s="7">
        <f>'1 datos preparados'!G805</f>
        <v/>
      </c>
      <c r="I812" s="7">
        <f>'1 datos preparados'!H805</f>
        <v/>
      </c>
      <c r="J812" s="7">
        <f>'1 datos preparados'!I805</f>
        <v/>
      </c>
      <c r="K812" s="7">
        <f>'1 datos preparados'!J805</f>
        <v/>
      </c>
      <c r="L812" s="7">
        <f>'1 datos preparados'!K805</f>
        <v/>
      </c>
      <c r="M812" s="7">
        <f>'1 datos preparados'!L805</f>
        <v/>
      </c>
      <c r="N812" s="7">
        <f>'1 datos preparados'!M805</f>
        <v/>
      </c>
      <c r="O812" s="7">
        <f>'1 datos preparados'!N805</f>
        <v/>
      </c>
      <c r="P812" s="7">
        <f>'1 datos preparados'!O805</f>
        <v/>
      </c>
      <c r="Q812" s="7">
        <f>'1 datos preparados'!P805</f>
        <v/>
      </c>
      <c r="R812" s="7">
        <f>'1 datos preparados'!Q805</f>
        <v/>
      </c>
      <c r="S812" s="7">
        <f>'1 datos preparados'!R805</f>
        <v/>
      </c>
      <c r="T812" s="7">
        <f>'1 datos preparados'!S805</f>
        <v/>
      </c>
      <c r="U812" s="7">
        <f>'1 datos preparados'!T805</f>
        <v/>
      </c>
      <c r="V812" s="8">
        <f>$AE$12+D812*$AE$13+E812*$AE$14+F812*$AE$15+G812*$AE$16+H812*$AE$17+I812*$AE$18+J812*$AE$19+K812*$AE$20+L812*$AE$21+M812*$AE$22+N812*$AE$23+O812*$AE$24+P812*$AE$25+Q812*$AE$26+R812*$AE$27+S812*$AE$28+T812*$AE$29+U812*$AE$30</f>
        <v/>
      </c>
      <c r="W812" s="8">
        <f>1/(1+EXP(-V812))</f>
        <v/>
      </c>
      <c r="X812" s="9">
        <f>-IF(C812=1,LN(W812),LN(1-W812))</f>
        <v/>
      </c>
      <c r="Y812" s="8">
        <f>IF(C812=1,$AE$32,$AE$33)</f>
        <v/>
      </c>
      <c r="Z812" s="9">
        <f>Y812*X812</f>
        <v/>
      </c>
      <c r="AA812" s="10">
        <f>IF(W812&gt;$AE$34,1,0)</f>
        <v/>
      </c>
      <c r="AB812">
        <f>IF(AA812=C812,1,0)</f>
        <v/>
      </c>
    </row>
    <row r="813">
      <c r="A813">
        <f>'1 datos preparados'!A806</f>
        <v/>
      </c>
      <c r="B813" s="5">
        <f>'1 datos preparados'!U806</f>
        <v/>
      </c>
      <c r="C813">
        <f>'1 datos preparados'!B806</f>
        <v/>
      </c>
      <c r="D813" s="7">
        <f>'1 datos preparados'!C806</f>
        <v/>
      </c>
      <c r="E813" s="7">
        <f>'1 datos preparados'!D806</f>
        <v/>
      </c>
      <c r="F813" s="7">
        <f>'1 datos preparados'!E806</f>
        <v/>
      </c>
      <c r="G813" s="7">
        <f>'1 datos preparados'!F806</f>
        <v/>
      </c>
      <c r="H813" s="7">
        <f>'1 datos preparados'!G806</f>
        <v/>
      </c>
      <c r="I813" s="7">
        <f>'1 datos preparados'!H806</f>
        <v/>
      </c>
      <c r="J813" s="7">
        <f>'1 datos preparados'!I806</f>
        <v/>
      </c>
      <c r="K813" s="7">
        <f>'1 datos preparados'!J806</f>
        <v/>
      </c>
      <c r="L813" s="7">
        <f>'1 datos preparados'!K806</f>
        <v/>
      </c>
      <c r="M813" s="7">
        <f>'1 datos preparados'!L806</f>
        <v/>
      </c>
      <c r="N813" s="7">
        <f>'1 datos preparados'!M806</f>
        <v/>
      </c>
      <c r="O813" s="7">
        <f>'1 datos preparados'!N806</f>
        <v/>
      </c>
      <c r="P813" s="7">
        <f>'1 datos preparados'!O806</f>
        <v/>
      </c>
      <c r="Q813" s="7">
        <f>'1 datos preparados'!P806</f>
        <v/>
      </c>
      <c r="R813" s="7">
        <f>'1 datos preparados'!Q806</f>
        <v/>
      </c>
      <c r="S813" s="7">
        <f>'1 datos preparados'!R806</f>
        <v/>
      </c>
      <c r="T813" s="7">
        <f>'1 datos preparados'!S806</f>
        <v/>
      </c>
      <c r="U813" s="7">
        <f>'1 datos preparados'!T806</f>
        <v/>
      </c>
      <c r="V813" s="8">
        <f>$AE$12+D813*$AE$13+E813*$AE$14+F813*$AE$15+G813*$AE$16+H813*$AE$17+I813*$AE$18+J813*$AE$19+K813*$AE$20+L813*$AE$21+M813*$AE$22+N813*$AE$23+O813*$AE$24+P813*$AE$25+Q813*$AE$26+R813*$AE$27+S813*$AE$28+T813*$AE$29+U813*$AE$30</f>
        <v/>
      </c>
      <c r="W813" s="8">
        <f>1/(1+EXP(-V813))</f>
        <v/>
      </c>
      <c r="X813" s="9">
        <f>-IF(C813=1,LN(W813),LN(1-W813))</f>
        <v/>
      </c>
      <c r="Y813" s="8">
        <f>IF(C813=1,$AE$32,$AE$33)</f>
        <v/>
      </c>
      <c r="Z813" s="9">
        <f>Y813*X813</f>
        <v/>
      </c>
      <c r="AA813" s="10">
        <f>IF(W813&gt;$AE$34,1,0)</f>
        <v/>
      </c>
      <c r="AB813">
        <f>IF(AA813=C813,1,0)</f>
        <v/>
      </c>
    </row>
    <row r="814">
      <c r="A814">
        <f>'1 datos preparados'!A807</f>
        <v/>
      </c>
      <c r="B814" s="5">
        <f>'1 datos preparados'!U807</f>
        <v/>
      </c>
      <c r="C814">
        <f>'1 datos preparados'!B807</f>
        <v/>
      </c>
      <c r="D814" s="7">
        <f>'1 datos preparados'!C807</f>
        <v/>
      </c>
      <c r="E814" s="7">
        <f>'1 datos preparados'!D807</f>
        <v/>
      </c>
      <c r="F814" s="7">
        <f>'1 datos preparados'!E807</f>
        <v/>
      </c>
      <c r="G814" s="7">
        <f>'1 datos preparados'!F807</f>
        <v/>
      </c>
      <c r="H814" s="7">
        <f>'1 datos preparados'!G807</f>
        <v/>
      </c>
      <c r="I814" s="7">
        <f>'1 datos preparados'!H807</f>
        <v/>
      </c>
      <c r="J814" s="7">
        <f>'1 datos preparados'!I807</f>
        <v/>
      </c>
      <c r="K814" s="7">
        <f>'1 datos preparados'!J807</f>
        <v/>
      </c>
      <c r="L814" s="7">
        <f>'1 datos preparados'!K807</f>
        <v/>
      </c>
      <c r="M814" s="7">
        <f>'1 datos preparados'!L807</f>
        <v/>
      </c>
      <c r="N814" s="7">
        <f>'1 datos preparados'!M807</f>
        <v/>
      </c>
      <c r="O814" s="7">
        <f>'1 datos preparados'!N807</f>
        <v/>
      </c>
      <c r="P814" s="7">
        <f>'1 datos preparados'!O807</f>
        <v/>
      </c>
      <c r="Q814" s="7">
        <f>'1 datos preparados'!P807</f>
        <v/>
      </c>
      <c r="R814" s="7">
        <f>'1 datos preparados'!Q807</f>
        <v/>
      </c>
      <c r="S814" s="7">
        <f>'1 datos preparados'!R807</f>
        <v/>
      </c>
      <c r="T814" s="7">
        <f>'1 datos preparados'!S807</f>
        <v/>
      </c>
      <c r="U814" s="7">
        <f>'1 datos preparados'!T807</f>
        <v/>
      </c>
      <c r="V814" s="8">
        <f>$AE$12+D814*$AE$13+E814*$AE$14+F814*$AE$15+G814*$AE$16+H814*$AE$17+I814*$AE$18+J814*$AE$19+K814*$AE$20+L814*$AE$21+M814*$AE$22+N814*$AE$23+O814*$AE$24+P814*$AE$25+Q814*$AE$26+R814*$AE$27+S814*$AE$28+T814*$AE$29+U814*$AE$30</f>
        <v/>
      </c>
      <c r="W814" s="8">
        <f>1/(1+EXP(-V814))</f>
        <v/>
      </c>
      <c r="X814" s="9">
        <f>-IF(C814=1,LN(W814),LN(1-W814))</f>
        <v/>
      </c>
      <c r="Y814" s="8">
        <f>IF(C814=1,$AE$32,$AE$33)</f>
        <v/>
      </c>
      <c r="Z814" s="9">
        <f>Y814*X814</f>
        <v/>
      </c>
      <c r="AA814" s="10">
        <f>IF(W814&gt;$AE$34,1,0)</f>
        <v/>
      </c>
      <c r="AB814">
        <f>IF(AA814=C814,1,0)</f>
        <v/>
      </c>
    </row>
    <row r="815">
      <c r="A815">
        <f>'1 datos preparados'!A808</f>
        <v/>
      </c>
      <c r="B815" s="5">
        <f>'1 datos preparados'!U808</f>
        <v/>
      </c>
      <c r="C815">
        <f>'1 datos preparados'!B808</f>
        <v/>
      </c>
      <c r="D815" s="7">
        <f>'1 datos preparados'!C808</f>
        <v/>
      </c>
      <c r="E815" s="7">
        <f>'1 datos preparados'!D808</f>
        <v/>
      </c>
      <c r="F815" s="7">
        <f>'1 datos preparados'!E808</f>
        <v/>
      </c>
      <c r="G815" s="7">
        <f>'1 datos preparados'!F808</f>
        <v/>
      </c>
      <c r="H815" s="7">
        <f>'1 datos preparados'!G808</f>
        <v/>
      </c>
      <c r="I815" s="7">
        <f>'1 datos preparados'!H808</f>
        <v/>
      </c>
      <c r="J815" s="7">
        <f>'1 datos preparados'!I808</f>
        <v/>
      </c>
      <c r="K815" s="7">
        <f>'1 datos preparados'!J808</f>
        <v/>
      </c>
      <c r="L815" s="7">
        <f>'1 datos preparados'!K808</f>
        <v/>
      </c>
      <c r="M815" s="7">
        <f>'1 datos preparados'!L808</f>
        <v/>
      </c>
      <c r="N815" s="7">
        <f>'1 datos preparados'!M808</f>
        <v/>
      </c>
      <c r="O815" s="7">
        <f>'1 datos preparados'!N808</f>
        <v/>
      </c>
      <c r="P815" s="7">
        <f>'1 datos preparados'!O808</f>
        <v/>
      </c>
      <c r="Q815" s="7">
        <f>'1 datos preparados'!P808</f>
        <v/>
      </c>
      <c r="R815" s="7">
        <f>'1 datos preparados'!Q808</f>
        <v/>
      </c>
      <c r="S815" s="7">
        <f>'1 datos preparados'!R808</f>
        <v/>
      </c>
      <c r="T815" s="7">
        <f>'1 datos preparados'!S808</f>
        <v/>
      </c>
      <c r="U815" s="7">
        <f>'1 datos preparados'!T808</f>
        <v/>
      </c>
      <c r="V815" s="8">
        <f>$AE$12+D815*$AE$13+E815*$AE$14+F815*$AE$15+G815*$AE$16+H815*$AE$17+I815*$AE$18+J815*$AE$19+K815*$AE$20+L815*$AE$21+M815*$AE$22+N815*$AE$23+O815*$AE$24+P815*$AE$25+Q815*$AE$26+R815*$AE$27+S815*$AE$28+T815*$AE$29+U815*$AE$30</f>
        <v/>
      </c>
      <c r="W815" s="8">
        <f>1/(1+EXP(-V815))</f>
        <v/>
      </c>
      <c r="X815" s="9">
        <f>-IF(C815=1,LN(W815),LN(1-W815))</f>
        <v/>
      </c>
      <c r="Y815" s="8">
        <f>IF(C815=1,$AE$32,$AE$33)</f>
        <v/>
      </c>
      <c r="Z815" s="9">
        <f>Y815*X815</f>
        <v/>
      </c>
      <c r="AA815" s="10">
        <f>IF(W815&gt;$AE$34,1,0)</f>
        <v/>
      </c>
      <c r="AB815">
        <f>IF(AA815=C815,1,0)</f>
        <v/>
      </c>
    </row>
    <row r="816">
      <c r="A816">
        <f>'1 datos preparados'!A809</f>
        <v/>
      </c>
      <c r="B816" s="5">
        <f>'1 datos preparados'!U809</f>
        <v/>
      </c>
      <c r="C816">
        <f>'1 datos preparados'!B809</f>
        <v/>
      </c>
      <c r="D816" s="7">
        <f>'1 datos preparados'!C809</f>
        <v/>
      </c>
      <c r="E816" s="7">
        <f>'1 datos preparados'!D809</f>
        <v/>
      </c>
      <c r="F816" s="7">
        <f>'1 datos preparados'!E809</f>
        <v/>
      </c>
      <c r="G816" s="7">
        <f>'1 datos preparados'!F809</f>
        <v/>
      </c>
      <c r="H816" s="7">
        <f>'1 datos preparados'!G809</f>
        <v/>
      </c>
      <c r="I816" s="7">
        <f>'1 datos preparados'!H809</f>
        <v/>
      </c>
      <c r="J816" s="7">
        <f>'1 datos preparados'!I809</f>
        <v/>
      </c>
      <c r="K816" s="7">
        <f>'1 datos preparados'!J809</f>
        <v/>
      </c>
      <c r="L816" s="7">
        <f>'1 datos preparados'!K809</f>
        <v/>
      </c>
      <c r="M816" s="7">
        <f>'1 datos preparados'!L809</f>
        <v/>
      </c>
      <c r="N816" s="7">
        <f>'1 datos preparados'!M809</f>
        <v/>
      </c>
      <c r="O816" s="7">
        <f>'1 datos preparados'!N809</f>
        <v/>
      </c>
      <c r="P816" s="7">
        <f>'1 datos preparados'!O809</f>
        <v/>
      </c>
      <c r="Q816" s="7">
        <f>'1 datos preparados'!P809</f>
        <v/>
      </c>
      <c r="R816" s="7">
        <f>'1 datos preparados'!Q809</f>
        <v/>
      </c>
      <c r="S816" s="7">
        <f>'1 datos preparados'!R809</f>
        <v/>
      </c>
      <c r="T816" s="7">
        <f>'1 datos preparados'!S809</f>
        <v/>
      </c>
      <c r="U816" s="7">
        <f>'1 datos preparados'!T809</f>
        <v/>
      </c>
      <c r="V816" s="8">
        <f>$AE$12+D816*$AE$13+E816*$AE$14+F816*$AE$15+G816*$AE$16+H816*$AE$17+I816*$AE$18+J816*$AE$19+K816*$AE$20+L816*$AE$21+M816*$AE$22+N816*$AE$23+O816*$AE$24+P816*$AE$25+Q816*$AE$26+R816*$AE$27+S816*$AE$28+T816*$AE$29+U816*$AE$30</f>
        <v/>
      </c>
      <c r="W816" s="8">
        <f>1/(1+EXP(-V816))</f>
        <v/>
      </c>
      <c r="X816" s="9">
        <f>-IF(C816=1,LN(W816),LN(1-W816))</f>
        <v/>
      </c>
      <c r="Y816" s="8">
        <f>IF(C816=1,$AE$32,$AE$33)</f>
        <v/>
      </c>
      <c r="Z816" s="9">
        <f>Y816*X816</f>
        <v/>
      </c>
      <c r="AA816" s="10">
        <f>IF(W816&gt;$AE$34,1,0)</f>
        <v/>
      </c>
      <c r="AB816">
        <f>IF(AA816=C816,1,0)</f>
        <v/>
      </c>
    </row>
    <row r="817">
      <c r="A817">
        <f>'1 datos preparados'!A810</f>
        <v/>
      </c>
      <c r="B817" s="5">
        <f>'1 datos preparados'!U810</f>
        <v/>
      </c>
      <c r="C817">
        <f>'1 datos preparados'!B810</f>
        <v/>
      </c>
      <c r="D817" s="7">
        <f>'1 datos preparados'!C810</f>
        <v/>
      </c>
      <c r="E817" s="7">
        <f>'1 datos preparados'!D810</f>
        <v/>
      </c>
      <c r="F817" s="7">
        <f>'1 datos preparados'!E810</f>
        <v/>
      </c>
      <c r="G817" s="7">
        <f>'1 datos preparados'!F810</f>
        <v/>
      </c>
      <c r="H817" s="7">
        <f>'1 datos preparados'!G810</f>
        <v/>
      </c>
      <c r="I817" s="7">
        <f>'1 datos preparados'!H810</f>
        <v/>
      </c>
      <c r="J817" s="7">
        <f>'1 datos preparados'!I810</f>
        <v/>
      </c>
      <c r="K817" s="7">
        <f>'1 datos preparados'!J810</f>
        <v/>
      </c>
      <c r="L817" s="7">
        <f>'1 datos preparados'!K810</f>
        <v/>
      </c>
      <c r="M817" s="7">
        <f>'1 datos preparados'!L810</f>
        <v/>
      </c>
      <c r="N817" s="7">
        <f>'1 datos preparados'!M810</f>
        <v/>
      </c>
      <c r="O817" s="7">
        <f>'1 datos preparados'!N810</f>
        <v/>
      </c>
      <c r="P817" s="7">
        <f>'1 datos preparados'!O810</f>
        <v/>
      </c>
      <c r="Q817" s="7">
        <f>'1 datos preparados'!P810</f>
        <v/>
      </c>
      <c r="R817" s="7">
        <f>'1 datos preparados'!Q810</f>
        <v/>
      </c>
      <c r="S817" s="7">
        <f>'1 datos preparados'!R810</f>
        <v/>
      </c>
      <c r="T817" s="7">
        <f>'1 datos preparados'!S810</f>
        <v/>
      </c>
      <c r="U817" s="7">
        <f>'1 datos preparados'!T810</f>
        <v/>
      </c>
      <c r="V817" s="8">
        <f>$AE$12+D817*$AE$13+E817*$AE$14+F817*$AE$15+G817*$AE$16+H817*$AE$17+I817*$AE$18+J817*$AE$19+K817*$AE$20+L817*$AE$21+M817*$AE$22+N817*$AE$23+O817*$AE$24+P817*$AE$25+Q817*$AE$26+R817*$AE$27+S817*$AE$28+T817*$AE$29+U817*$AE$30</f>
        <v/>
      </c>
      <c r="W817" s="8">
        <f>1/(1+EXP(-V817))</f>
        <v/>
      </c>
      <c r="X817" s="9">
        <f>-IF(C817=1,LN(W817),LN(1-W817))</f>
        <v/>
      </c>
      <c r="Y817" s="8">
        <f>IF(C817=1,$AE$32,$AE$33)</f>
        <v/>
      </c>
      <c r="Z817" s="9">
        <f>Y817*X817</f>
        <v/>
      </c>
      <c r="AA817" s="10">
        <f>IF(W817&gt;$AE$34,1,0)</f>
        <v/>
      </c>
      <c r="AB817">
        <f>IF(AA817=C817,1,0)</f>
        <v/>
      </c>
    </row>
    <row r="818">
      <c r="A818">
        <f>'1 datos preparados'!A811</f>
        <v/>
      </c>
      <c r="B818" s="5">
        <f>'1 datos preparados'!U811</f>
        <v/>
      </c>
      <c r="C818">
        <f>'1 datos preparados'!B811</f>
        <v/>
      </c>
      <c r="D818" s="7">
        <f>'1 datos preparados'!C811</f>
        <v/>
      </c>
      <c r="E818" s="7">
        <f>'1 datos preparados'!D811</f>
        <v/>
      </c>
      <c r="F818" s="7">
        <f>'1 datos preparados'!E811</f>
        <v/>
      </c>
      <c r="G818" s="7">
        <f>'1 datos preparados'!F811</f>
        <v/>
      </c>
      <c r="H818" s="7">
        <f>'1 datos preparados'!G811</f>
        <v/>
      </c>
      <c r="I818" s="7">
        <f>'1 datos preparados'!H811</f>
        <v/>
      </c>
      <c r="J818" s="7">
        <f>'1 datos preparados'!I811</f>
        <v/>
      </c>
      <c r="K818" s="7">
        <f>'1 datos preparados'!J811</f>
        <v/>
      </c>
      <c r="L818" s="7">
        <f>'1 datos preparados'!K811</f>
        <v/>
      </c>
      <c r="M818" s="7">
        <f>'1 datos preparados'!L811</f>
        <v/>
      </c>
      <c r="N818" s="7">
        <f>'1 datos preparados'!M811</f>
        <v/>
      </c>
      <c r="O818" s="7">
        <f>'1 datos preparados'!N811</f>
        <v/>
      </c>
      <c r="P818" s="7">
        <f>'1 datos preparados'!O811</f>
        <v/>
      </c>
      <c r="Q818" s="7">
        <f>'1 datos preparados'!P811</f>
        <v/>
      </c>
      <c r="R818" s="7">
        <f>'1 datos preparados'!Q811</f>
        <v/>
      </c>
      <c r="S818" s="7">
        <f>'1 datos preparados'!R811</f>
        <v/>
      </c>
      <c r="T818" s="7">
        <f>'1 datos preparados'!S811</f>
        <v/>
      </c>
      <c r="U818" s="7">
        <f>'1 datos preparados'!T811</f>
        <v/>
      </c>
      <c r="V818" s="8">
        <f>$AE$12+D818*$AE$13+E818*$AE$14+F818*$AE$15+G818*$AE$16+H818*$AE$17+I818*$AE$18+J818*$AE$19+K818*$AE$20+L818*$AE$21+M818*$AE$22+N818*$AE$23+O818*$AE$24+P818*$AE$25+Q818*$AE$26+R818*$AE$27+S818*$AE$28+T818*$AE$29+U818*$AE$30</f>
        <v/>
      </c>
      <c r="W818" s="8">
        <f>1/(1+EXP(-V818))</f>
        <v/>
      </c>
      <c r="X818" s="9">
        <f>-IF(C818=1,LN(W818),LN(1-W818))</f>
        <v/>
      </c>
      <c r="Y818" s="8">
        <f>IF(C818=1,$AE$32,$AE$33)</f>
        <v/>
      </c>
      <c r="Z818" s="9">
        <f>Y818*X818</f>
        <v/>
      </c>
      <c r="AA818" s="10">
        <f>IF(W818&gt;$AE$34,1,0)</f>
        <v/>
      </c>
      <c r="AB818">
        <f>IF(AA818=C818,1,0)</f>
        <v/>
      </c>
    </row>
    <row r="819">
      <c r="A819">
        <f>'1 datos preparados'!A812</f>
        <v/>
      </c>
      <c r="B819" s="5">
        <f>'1 datos preparados'!U812</f>
        <v/>
      </c>
      <c r="C819">
        <f>'1 datos preparados'!B812</f>
        <v/>
      </c>
      <c r="D819" s="7">
        <f>'1 datos preparados'!C812</f>
        <v/>
      </c>
      <c r="E819" s="7">
        <f>'1 datos preparados'!D812</f>
        <v/>
      </c>
      <c r="F819" s="7">
        <f>'1 datos preparados'!E812</f>
        <v/>
      </c>
      <c r="G819" s="7">
        <f>'1 datos preparados'!F812</f>
        <v/>
      </c>
      <c r="H819" s="7">
        <f>'1 datos preparados'!G812</f>
        <v/>
      </c>
      <c r="I819" s="7">
        <f>'1 datos preparados'!H812</f>
        <v/>
      </c>
      <c r="J819" s="7">
        <f>'1 datos preparados'!I812</f>
        <v/>
      </c>
      <c r="K819" s="7">
        <f>'1 datos preparados'!J812</f>
        <v/>
      </c>
      <c r="L819" s="7">
        <f>'1 datos preparados'!K812</f>
        <v/>
      </c>
      <c r="M819" s="7">
        <f>'1 datos preparados'!L812</f>
        <v/>
      </c>
      <c r="N819" s="7">
        <f>'1 datos preparados'!M812</f>
        <v/>
      </c>
      <c r="O819" s="7">
        <f>'1 datos preparados'!N812</f>
        <v/>
      </c>
      <c r="P819" s="7">
        <f>'1 datos preparados'!O812</f>
        <v/>
      </c>
      <c r="Q819" s="7">
        <f>'1 datos preparados'!P812</f>
        <v/>
      </c>
      <c r="R819" s="7">
        <f>'1 datos preparados'!Q812</f>
        <v/>
      </c>
      <c r="S819" s="7">
        <f>'1 datos preparados'!R812</f>
        <v/>
      </c>
      <c r="T819" s="7">
        <f>'1 datos preparados'!S812</f>
        <v/>
      </c>
      <c r="U819" s="7">
        <f>'1 datos preparados'!T812</f>
        <v/>
      </c>
      <c r="V819" s="8">
        <f>$AE$12+D819*$AE$13+E819*$AE$14+F819*$AE$15+G819*$AE$16+H819*$AE$17+I819*$AE$18+J819*$AE$19+K819*$AE$20+L819*$AE$21+M819*$AE$22+N819*$AE$23+O819*$AE$24+P819*$AE$25+Q819*$AE$26+R819*$AE$27+S819*$AE$28+T819*$AE$29+U819*$AE$30</f>
        <v/>
      </c>
      <c r="W819" s="8">
        <f>1/(1+EXP(-V819))</f>
        <v/>
      </c>
      <c r="X819" s="9">
        <f>-IF(C819=1,LN(W819),LN(1-W819))</f>
        <v/>
      </c>
      <c r="Y819" s="8">
        <f>IF(C819=1,$AE$32,$AE$33)</f>
        <v/>
      </c>
      <c r="Z819" s="9">
        <f>Y819*X819</f>
        <v/>
      </c>
      <c r="AA819" s="10">
        <f>IF(W819&gt;$AE$34,1,0)</f>
        <v/>
      </c>
      <c r="AB819">
        <f>IF(AA819=C819,1,0)</f>
        <v/>
      </c>
    </row>
    <row r="820">
      <c r="A820">
        <f>'1 datos preparados'!A813</f>
        <v/>
      </c>
      <c r="B820" s="5">
        <f>'1 datos preparados'!U813</f>
        <v/>
      </c>
      <c r="C820">
        <f>'1 datos preparados'!B813</f>
        <v/>
      </c>
      <c r="D820" s="7">
        <f>'1 datos preparados'!C813</f>
        <v/>
      </c>
      <c r="E820" s="7">
        <f>'1 datos preparados'!D813</f>
        <v/>
      </c>
      <c r="F820" s="7">
        <f>'1 datos preparados'!E813</f>
        <v/>
      </c>
      <c r="G820" s="7">
        <f>'1 datos preparados'!F813</f>
        <v/>
      </c>
      <c r="H820" s="7">
        <f>'1 datos preparados'!G813</f>
        <v/>
      </c>
      <c r="I820" s="7">
        <f>'1 datos preparados'!H813</f>
        <v/>
      </c>
      <c r="J820" s="7">
        <f>'1 datos preparados'!I813</f>
        <v/>
      </c>
      <c r="K820" s="7">
        <f>'1 datos preparados'!J813</f>
        <v/>
      </c>
      <c r="L820" s="7">
        <f>'1 datos preparados'!K813</f>
        <v/>
      </c>
      <c r="M820" s="7">
        <f>'1 datos preparados'!L813</f>
        <v/>
      </c>
      <c r="N820" s="7">
        <f>'1 datos preparados'!M813</f>
        <v/>
      </c>
      <c r="O820" s="7">
        <f>'1 datos preparados'!N813</f>
        <v/>
      </c>
      <c r="P820" s="7">
        <f>'1 datos preparados'!O813</f>
        <v/>
      </c>
      <c r="Q820" s="7">
        <f>'1 datos preparados'!P813</f>
        <v/>
      </c>
      <c r="R820" s="7">
        <f>'1 datos preparados'!Q813</f>
        <v/>
      </c>
      <c r="S820" s="7">
        <f>'1 datos preparados'!R813</f>
        <v/>
      </c>
      <c r="T820" s="7">
        <f>'1 datos preparados'!S813</f>
        <v/>
      </c>
      <c r="U820" s="7">
        <f>'1 datos preparados'!T813</f>
        <v/>
      </c>
      <c r="V820" s="8">
        <f>$AE$12+D820*$AE$13+E820*$AE$14+F820*$AE$15+G820*$AE$16+H820*$AE$17+I820*$AE$18+J820*$AE$19+K820*$AE$20+L820*$AE$21+M820*$AE$22+N820*$AE$23+O820*$AE$24+P820*$AE$25+Q820*$AE$26+R820*$AE$27+S820*$AE$28+T820*$AE$29+U820*$AE$30</f>
        <v/>
      </c>
      <c r="W820" s="8">
        <f>1/(1+EXP(-V820))</f>
        <v/>
      </c>
      <c r="X820" s="9">
        <f>-IF(C820=1,LN(W820),LN(1-W820))</f>
        <v/>
      </c>
      <c r="Y820" s="8">
        <f>IF(C820=1,$AE$32,$AE$33)</f>
        <v/>
      </c>
      <c r="Z820" s="9">
        <f>Y820*X820</f>
        <v/>
      </c>
      <c r="AA820" s="10">
        <f>IF(W820&gt;$AE$34,1,0)</f>
        <v/>
      </c>
      <c r="AB820">
        <f>IF(AA820=C820,1,0)</f>
        <v/>
      </c>
    </row>
    <row r="821">
      <c r="A821">
        <f>'1 datos preparados'!A814</f>
        <v/>
      </c>
      <c r="B821" s="5">
        <f>'1 datos preparados'!U814</f>
        <v/>
      </c>
      <c r="C821">
        <f>'1 datos preparados'!B814</f>
        <v/>
      </c>
      <c r="D821" s="7">
        <f>'1 datos preparados'!C814</f>
        <v/>
      </c>
      <c r="E821" s="7">
        <f>'1 datos preparados'!D814</f>
        <v/>
      </c>
      <c r="F821" s="7">
        <f>'1 datos preparados'!E814</f>
        <v/>
      </c>
      <c r="G821" s="7">
        <f>'1 datos preparados'!F814</f>
        <v/>
      </c>
      <c r="H821" s="7">
        <f>'1 datos preparados'!G814</f>
        <v/>
      </c>
      <c r="I821" s="7">
        <f>'1 datos preparados'!H814</f>
        <v/>
      </c>
      <c r="J821" s="7">
        <f>'1 datos preparados'!I814</f>
        <v/>
      </c>
      <c r="K821" s="7">
        <f>'1 datos preparados'!J814</f>
        <v/>
      </c>
      <c r="L821" s="7">
        <f>'1 datos preparados'!K814</f>
        <v/>
      </c>
      <c r="M821" s="7">
        <f>'1 datos preparados'!L814</f>
        <v/>
      </c>
      <c r="N821" s="7">
        <f>'1 datos preparados'!M814</f>
        <v/>
      </c>
      <c r="O821" s="7">
        <f>'1 datos preparados'!N814</f>
        <v/>
      </c>
      <c r="P821" s="7">
        <f>'1 datos preparados'!O814</f>
        <v/>
      </c>
      <c r="Q821" s="7">
        <f>'1 datos preparados'!P814</f>
        <v/>
      </c>
      <c r="R821" s="7">
        <f>'1 datos preparados'!Q814</f>
        <v/>
      </c>
      <c r="S821" s="7">
        <f>'1 datos preparados'!R814</f>
        <v/>
      </c>
      <c r="T821" s="7">
        <f>'1 datos preparados'!S814</f>
        <v/>
      </c>
      <c r="U821" s="7">
        <f>'1 datos preparados'!T814</f>
        <v/>
      </c>
      <c r="V821" s="8">
        <f>$AE$12+D821*$AE$13+E821*$AE$14+F821*$AE$15+G821*$AE$16+H821*$AE$17+I821*$AE$18+J821*$AE$19+K821*$AE$20+L821*$AE$21+M821*$AE$22+N821*$AE$23+O821*$AE$24+P821*$AE$25+Q821*$AE$26+R821*$AE$27+S821*$AE$28+T821*$AE$29+U821*$AE$30</f>
        <v/>
      </c>
      <c r="W821" s="8">
        <f>1/(1+EXP(-V821))</f>
        <v/>
      </c>
      <c r="X821" s="9">
        <f>-IF(C821=1,LN(W821),LN(1-W821))</f>
        <v/>
      </c>
      <c r="Y821" s="8">
        <f>IF(C821=1,$AE$32,$AE$33)</f>
        <v/>
      </c>
      <c r="Z821" s="9">
        <f>Y821*X821</f>
        <v/>
      </c>
      <c r="AA821" s="10">
        <f>IF(W821&gt;$AE$34,1,0)</f>
        <v/>
      </c>
      <c r="AB821">
        <f>IF(AA821=C821,1,0)</f>
        <v/>
      </c>
    </row>
    <row r="822">
      <c r="A822">
        <f>'1 datos preparados'!A815</f>
        <v/>
      </c>
      <c r="B822" s="5">
        <f>'1 datos preparados'!U815</f>
        <v/>
      </c>
      <c r="C822">
        <f>'1 datos preparados'!B815</f>
        <v/>
      </c>
      <c r="D822" s="7">
        <f>'1 datos preparados'!C815</f>
        <v/>
      </c>
      <c r="E822" s="7">
        <f>'1 datos preparados'!D815</f>
        <v/>
      </c>
      <c r="F822" s="7">
        <f>'1 datos preparados'!E815</f>
        <v/>
      </c>
      <c r="G822" s="7">
        <f>'1 datos preparados'!F815</f>
        <v/>
      </c>
      <c r="H822" s="7">
        <f>'1 datos preparados'!G815</f>
        <v/>
      </c>
      <c r="I822" s="7">
        <f>'1 datos preparados'!H815</f>
        <v/>
      </c>
      <c r="J822" s="7">
        <f>'1 datos preparados'!I815</f>
        <v/>
      </c>
      <c r="K822" s="7">
        <f>'1 datos preparados'!J815</f>
        <v/>
      </c>
      <c r="L822" s="7">
        <f>'1 datos preparados'!K815</f>
        <v/>
      </c>
      <c r="M822" s="7">
        <f>'1 datos preparados'!L815</f>
        <v/>
      </c>
      <c r="N822" s="7">
        <f>'1 datos preparados'!M815</f>
        <v/>
      </c>
      <c r="O822" s="7">
        <f>'1 datos preparados'!N815</f>
        <v/>
      </c>
      <c r="P822" s="7">
        <f>'1 datos preparados'!O815</f>
        <v/>
      </c>
      <c r="Q822" s="7">
        <f>'1 datos preparados'!P815</f>
        <v/>
      </c>
      <c r="R822" s="7">
        <f>'1 datos preparados'!Q815</f>
        <v/>
      </c>
      <c r="S822" s="7">
        <f>'1 datos preparados'!R815</f>
        <v/>
      </c>
      <c r="T822" s="7">
        <f>'1 datos preparados'!S815</f>
        <v/>
      </c>
      <c r="U822" s="7">
        <f>'1 datos preparados'!T815</f>
        <v/>
      </c>
      <c r="V822" s="8">
        <f>$AE$12+D822*$AE$13+E822*$AE$14+F822*$AE$15+G822*$AE$16+H822*$AE$17+I822*$AE$18+J822*$AE$19+K822*$AE$20+L822*$AE$21+M822*$AE$22+N822*$AE$23+O822*$AE$24+P822*$AE$25+Q822*$AE$26+R822*$AE$27+S822*$AE$28+T822*$AE$29+U822*$AE$30</f>
        <v/>
      </c>
      <c r="W822" s="8">
        <f>1/(1+EXP(-V822))</f>
        <v/>
      </c>
      <c r="X822" s="9">
        <f>-IF(C822=1,LN(W822),LN(1-W822))</f>
        <v/>
      </c>
      <c r="Y822" s="8">
        <f>IF(C822=1,$AE$32,$AE$33)</f>
        <v/>
      </c>
      <c r="Z822" s="9">
        <f>Y822*X822</f>
        <v/>
      </c>
      <c r="AA822" s="10">
        <f>IF(W822&gt;$AE$34,1,0)</f>
        <v/>
      </c>
      <c r="AB822">
        <f>IF(AA822=C822,1,0)</f>
        <v/>
      </c>
    </row>
    <row r="823">
      <c r="A823">
        <f>'1 datos preparados'!A816</f>
        <v/>
      </c>
      <c r="B823" s="5">
        <f>'1 datos preparados'!U816</f>
        <v/>
      </c>
      <c r="C823">
        <f>'1 datos preparados'!B816</f>
        <v/>
      </c>
      <c r="D823" s="7">
        <f>'1 datos preparados'!C816</f>
        <v/>
      </c>
      <c r="E823" s="7">
        <f>'1 datos preparados'!D816</f>
        <v/>
      </c>
      <c r="F823" s="7">
        <f>'1 datos preparados'!E816</f>
        <v/>
      </c>
      <c r="G823" s="7">
        <f>'1 datos preparados'!F816</f>
        <v/>
      </c>
      <c r="H823" s="7">
        <f>'1 datos preparados'!G816</f>
        <v/>
      </c>
      <c r="I823" s="7">
        <f>'1 datos preparados'!H816</f>
        <v/>
      </c>
      <c r="J823" s="7">
        <f>'1 datos preparados'!I816</f>
        <v/>
      </c>
      <c r="K823" s="7">
        <f>'1 datos preparados'!J816</f>
        <v/>
      </c>
      <c r="L823" s="7">
        <f>'1 datos preparados'!K816</f>
        <v/>
      </c>
      <c r="M823" s="7">
        <f>'1 datos preparados'!L816</f>
        <v/>
      </c>
      <c r="N823" s="7">
        <f>'1 datos preparados'!M816</f>
        <v/>
      </c>
      <c r="O823" s="7">
        <f>'1 datos preparados'!N816</f>
        <v/>
      </c>
      <c r="P823" s="7">
        <f>'1 datos preparados'!O816</f>
        <v/>
      </c>
      <c r="Q823" s="7">
        <f>'1 datos preparados'!P816</f>
        <v/>
      </c>
      <c r="R823" s="7">
        <f>'1 datos preparados'!Q816</f>
        <v/>
      </c>
      <c r="S823" s="7">
        <f>'1 datos preparados'!R816</f>
        <v/>
      </c>
      <c r="T823" s="7">
        <f>'1 datos preparados'!S816</f>
        <v/>
      </c>
      <c r="U823" s="7">
        <f>'1 datos preparados'!T816</f>
        <v/>
      </c>
      <c r="V823" s="8">
        <f>$AE$12+D823*$AE$13+E823*$AE$14+F823*$AE$15+G823*$AE$16+H823*$AE$17+I823*$AE$18+J823*$AE$19+K823*$AE$20+L823*$AE$21+M823*$AE$22+N823*$AE$23+O823*$AE$24+P823*$AE$25+Q823*$AE$26+R823*$AE$27+S823*$AE$28+T823*$AE$29+U823*$AE$30</f>
        <v/>
      </c>
      <c r="W823" s="8">
        <f>1/(1+EXP(-V823))</f>
        <v/>
      </c>
      <c r="X823" s="9">
        <f>-IF(C823=1,LN(W823),LN(1-W823))</f>
        <v/>
      </c>
      <c r="Y823" s="8">
        <f>IF(C823=1,$AE$32,$AE$33)</f>
        <v/>
      </c>
      <c r="Z823" s="9">
        <f>Y823*X823</f>
        <v/>
      </c>
      <c r="AA823" s="10">
        <f>IF(W823&gt;$AE$34,1,0)</f>
        <v/>
      </c>
      <c r="AB823">
        <f>IF(AA823=C823,1,0)</f>
        <v/>
      </c>
    </row>
    <row r="824">
      <c r="A824">
        <f>'1 datos preparados'!A817</f>
        <v/>
      </c>
      <c r="B824" s="5">
        <f>'1 datos preparados'!U817</f>
        <v/>
      </c>
      <c r="C824">
        <f>'1 datos preparados'!B817</f>
        <v/>
      </c>
      <c r="D824" s="7">
        <f>'1 datos preparados'!C817</f>
        <v/>
      </c>
      <c r="E824" s="7">
        <f>'1 datos preparados'!D817</f>
        <v/>
      </c>
      <c r="F824" s="7">
        <f>'1 datos preparados'!E817</f>
        <v/>
      </c>
      <c r="G824" s="7">
        <f>'1 datos preparados'!F817</f>
        <v/>
      </c>
      <c r="H824" s="7">
        <f>'1 datos preparados'!G817</f>
        <v/>
      </c>
      <c r="I824" s="7">
        <f>'1 datos preparados'!H817</f>
        <v/>
      </c>
      <c r="J824" s="7">
        <f>'1 datos preparados'!I817</f>
        <v/>
      </c>
      <c r="K824" s="7">
        <f>'1 datos preparados'!J817</f>
        <v/>
      </c>
      <c r="L824" s="7">
        <f>'1 datos preparados'!K817</f>
        <v/>
      </c>
      <c r="M824" s="7">
        <f>'1 datos preparados'!L817</f>
        <v/>
      </c>
      <c r="N824" s="7">
        <f>'1 datos preparados'!M817</f>
        <v/>
      </c>
      <c r="O824" s="7">
        <f>'1 datos preparados'!N817</f>
        <v/>
      </c>
      <c r="P824" s="7">
        <f>'1 datos preparados'!O817</f>
        <v/>
      </c>
      <c r="Q824" s="7">
        <f>'1 datos preparados'!P817</f>
        <v/>
      </c>
      <c r="R824" s="7">
        <f>'1 datos preparados'!Q817</f>
        <v/>
      </c>
      <c r="S824" s="7">
        <f>'1 datos preparados'!R817</f>
        <v/>
      </c>
      <c r="T824" s="7">
        <f>'1 datos preparados'!S817</f>
        <v/>
      </c>
      <c r="U824" s="7">
        <f>'1 datos preparados'!T817</f>
        <v/>
      </c>
      <c r="V824" s="8">
        <f>$AE$12+D824*$AE$13+E824*$AE$14+F824*$AE$15+G824*$AE$16+H824*$AE$17+I824*$AE$18+J824*$AE$19+K824*$AE$20+L824*$AE$21+M824*$AE$22+N824*$AE$23+O824*$AE$24+P824*$AE$25+Q824*$AE$26+R824*$AE$27+S824*$AE$28+T824*$AE$29+U824*$AE$30</f>
        <v/>
      </c>
      <c r="W824" s="8">
        <f>1/(1+EXP(-V824))</f>
        <v/>
      </c>
      <c r="X824" s="9">
        <f>-IF(C824=1,LN(W824),LN(1-W824))</f>
        <v/>
      </c>
      <c r="Y824" s="8">
        <f>IF(C824=1,$AE$32,$AE$33)</f>
        <v/>
      </c>
      <c r="Z824" s="9">
        <f>Y824*X824</f>
        <v/>
      </c>
      <c r="AA824" s="10">
        <f>IF(W824&gt;$AE$34,1,0)</f>
        <v/>
      </c>
      <c r="AB824">
        <f>IF(AA824=C824,1,0)</f>
        <v/>
      </c>
    </row>
    <row r="825">
      <c r="A825">
        <f>'1 datos preparados'!A818</f>
        <v/>
      </c>
      <c r="B825" s="5">
        <f>'1 datos preparados'!U818</f>
        <v/>
      </c>
      <c r="C825">
        <f>'1 datos preparados'!B818</f>
        <v/>
      </c>
      <c r="D825" s="7">
        <f>'1 datos preparados'!C818</f>
        <v/>
      </c>
      <c r="E825" s="7">
        <f>'1 datos preparados'!D818</f>
        <v/>
      </c>
      <c r="F825" s="7">
        <f>'1 datos preparados'!E818</f>
        <v/>
      </c>
      <c r="G825" s="7">
        <f>'1 datos preparados'!F818</f>
        <v/>
      </c>
      <c r="H825" s="7">
        <f>'1 datos preparados'!G818</f>
        <v/>
      </c>
      <c r="I825" s="7">
        <f>'1 datos preparados'!H818</f>
        <v/>
      </c>
      <c r="J825" s="7">
        <f>'1 datos preparados'!I818</f>
        <v/>
      </c>
      <c r="K825" s="7">
        <f>'1 datos preparados'!J818</f>
        <v/>
      </c>
      <c r="L825" s="7">
        <f>'1 datos preparados'!K818</f>
        <v/>
      </c>
      <c r="M825" s="7">
        <f>'1 datos preparados'!L818</f>
        <v/>
      </c>
      <c r="N825" s="7">
        <f>'1 datos preparados'!M818</f>
        <v/>
      </c>
      <c r="O825" s="7">
        <f>'1 datos preparados'!N818</f>
        <v/>
      </c>
      <c r="P825" s="7">
        <f>'1 datos preparados'!O818</f>
        <v/>
      </c>
      <c r="Q825" s="7">
        <f>'1 datos preparados'!P818</f>
        <v/>
      </c>
      <c r="R825" s="7">
        <f>'1 datos preparados'!Q818</f>
        <v/>
      </c>
      <c r="S825" s="7">
        <f>'1 datos preparados'!R818</f>
        <v/>
      </c>
      <c r="T825" s="7">
        <f>'1 datos preparados'!S818</f>
        <v/>
      </c>
      <c r="U825" s="7">
        <f>'1 datos preparados'!T818</f>
        <v/>
      </c>
      <c r="V825" s="8">
        <f>$AE$12+D825*$AE$13+E825*$AE$14+F825*$AE$15+G825*$AE$16+H825*$AE$17+I825*$AE$18+J825*$AE$19+K825*$AE$20+L825*$AE$21+M825*$AE$22+N825*$AE$23+O825*$AE$24+P825*$AE$25+Q825*$AE$26+R825*$AE$27+S825*$AE$28+T825*$AE$29+U825*$AE$30</f>
        <v/>
      </c>
      <c r="W825" s="8">
        <f>1/(1+EXP(-V825))</f>
        <v/>
      </c>
      <c r="X825" s="9">
        <f>-IF(C825=1,LN(W825),LN(1-W825))</f>
        <v/>
      </c>
      <c r="Y825" s="8">
        <f>IF(C825=1,$AE$32,$AE$33)</f>
        <v/>
      </c>
      <c r="Z825" s="9">
        <f>Y825*X825</f>
        <v/>
      </c>
      <c r="AA825" s="10">
        <f>IF(W825&gt;$AE$34,1,0)</f>
        <v/>
      </c>
      <c r="AB825">
        <f>IF(AA825=C825,1,0)</f>
        <v/>
      </c>
    </row>
    <row r="826">
      <c r="A826">
        <f>'1 datos preparados'!A819</f>
        <v/>
      </c>
      <c r="B826" s="5">
        <f>'1 datos preparados'!U819</f>
        <v/>
      </c>
      <c r="C826">
        <f>'1 datos preparados'!B819</f>
        <v/>
      </c>
      <c r="D826" s="7">
        <f>'1 datos preparados'!C819</f>
        <v/>
      </c>
      <c r="E826" s="7">
        <f>'1 datos preparados'!D819</f>
        <v/>
      </c>
      <c r="F826" s="7">
        <f>'1 datos preparados'!E819</f>
        <v/>
      </c>
      <c r="G826" s="7">
        <f>'1 datos preparados'!F819</f>
        <v/>
      </c>
      <c r="H826" s="7">
        <f>'1 datos preparados'!G819</f>
        <v/>
      </c>
      <c r="I826" s="7">
        <f>'1 datos preparados'!H819</f>
        <v/>
      </c>
      <c r="J826" s="7">
        <f>'1 datos preparados'!I819</f>
        <v/>
      </c>
      <c r="K826" s="7">
        <f>'1 datos preparados'!J819</f>
        <v/>
      </c>
      <c r="L826" s="7">
        <f>'1 datos preparados'!K819</f>
        <v/>
      </c>
      <c r="M826" s="7">
        <f>'1 datos preparados'!L819</f>
        <v/>
      </c>
      <c r="N826" s="7">
        <f>'1 datos preparados'!M819</f>
        <v/>
      </c>
      <c r="O826" s="7">
        <f>'1 datos preparados'!N819</f>
        <v/>
      </c>
      <c r="P826" s="7">
        <f>'1 datos preparados'!O819</f>
        <v/>
      </c>
      <c r="Q826" s="7">
        <f>'1 datos preparados'!P819</f>
        <v/>
      </c>
      <c r="R826" s="7">
        <f>'1 datos preparados'!Q819</f>
        <v/>
      </c>
      <c r="S826" s="7">
        <f>'1 datos preparados'!R819</f>
        <v/>
      </c>
      <c r="T826" s="7">
        <f>'1 datos preparados'!S819</f>
        <v/>
      </c>
      <c r="U826" s="7">
        <f>'1 datos preparados'!T819</f>
        <v/>
      </c>
      <c r="V826" s="8">
        <f>$AE$12+D826*$AE$13+E826*$AE$14+F826*$AE$15+G826*$AE$16+H826*$AE$17+I826*$AE$18+J826*$AE$19+K826*$AE$20+L826*$AE$21+M826*$AE$22+N826*$AE$23+O826*$AE$24+P826*$AE$25+Q826*$AE$26+R826*$AE$27+S826*$AE$28+T826*$AE$29+U826*$AE$30</f>
        <v/>
      </c>
      <c r="W826" s="8">
        <f>1/(1+EXP(-V826))</f>
        <v/>
      </c>
      <c r="X826" s="9">
        <f>-IF(C826=1,LN(W826),LN(1-W826))</f>
        <v/>
      </c>
      <c r="Y826" s="8">
        <f>IF(C826=1,$AE$32,$AE$33)</f>
        <v/>
      </c>
      <c r="Z826" s="9">
        <f>Y826*X826</f>
        <v/>
      </c>
      <c r="AA826" s="10">
        <f>IF(W826&gt;$AE$34,1,0)</f>
        <v/>
      </c>
      <c r="AB826">
        <f>IF(AA826=C826,1,0)</f>
        <v/>
      </c>
    </row>
    <row r="827">
      <c r="A827">
        <f>'1 datos preparados'!A820</f>
        <v/>
      </c>
      <c r="B827" s="5">
        <f>'1 datos preparados'!U820</f>
        <v/>
      </c>
      <c r="C827">
        <f>'1 datos preparados'!B820</f>
        <v/>
      </c>
      <c r="D827" s="7">
        <f>'1 datos preparados'!C820</f>
        <v/>
      </c>
      <c r="E827" s="7">
        <f>'1 datos preparados'!D820</f>
        <v/>
      </c>
      <c r="F827" s="7">
        <f>'1 datos preparados'!E820</f>
        <v/>
      </c>
      <c r="G827" s="7">
        <f>'1 datos preparados'!F820</f>
        <v/>
      </c>
      <c r="H827" s="7">
        <f>'1 datos preparados'!G820</f>
        <v/>
      </c>
      <c r="I827" s="7">
        <f>'1 datos preparados'!H820</f>
        <v/>
      </c>
      <c r="J827" s="7">
        <f>'1 datos preparados'!I820</f>
        <v/>
      </c>
      <c r="K827" s="7">
        <f>'1 datos preparados'!J820</f>
        <v/>
      </c>
      <c r="L827" s="7">
        <f>'1 datos preparados'!K820</f>
        <v/>
      </c>
      <c r="M827" s="7">
        <f>'1 datos preparados'!L820</f>
        <v/>
      </c>
      <c r="N827" s="7">
        <f>'1 datos preparados'!M820</f>
        <v/>
      </c>
      <c r="O827" s="7">
        <f>'1 datos preparados'!N820</f>
        <v/>
      </c>
      <c r="P827" s="7">
        <f>'1 datos preparados'!O820</f>
        <v/>
      </c>
      <c r="Q827" s="7">
        <f>'1 datos preparados'!P820</f>
        <v/>
      </c>
      <c r="R827" s="7">
        <f>'1 datos preparados'!Q820</f>
        <v/>
      </c>
      <c r="S827" s="7">
        <f>'1 datos preparados'!R820</f>
        <v/>
      </c>
      <c r="T827" s="7">
        <f>'1 datos preparados'!S820</f>
        <v/>
      </c>
      <c r="U827" s="7">
        <f>'1 datos preparados'!T820</f>
        <v/>
      </c>
      <c r="V827" s="8">
        <f>$AE$12+D827*$AE$13+E827*$AE$14+F827*$AE$15+G827*$AE$16+H827*$AE$17+I827*$AE$18+J827*$AE$19+K827*$AE$20+L827*$AE$21+M827*$AE$22+N827*$AE$23+O827*$AE$24+P827*$AE$25+Q827*$AE$26+R827*$AE$27+S827*$AE$28+T827*$AE$29+U827*$AE$30</f>
        <v/>
      </c>
      <c r="W827" s="8">
        <f>1/(1+EXP(-V827))</f>
        <v/>
      </c>
      <c r="X827" s="9">
        <f>-IF(C827=1,LN(W827),LN(1-W827))</f>
        <v/>
      </c>
      <c r="Y827" s="8">
        <f>IF(C827=1,$AE$32,$AE$33)</f>
        <v/>
      </c>
      <c r="Z827" s="9">
        <f>Y827*X827</f>
        <v/>
      </c>
      <c r="AA827" s="10">
        <f>IF(W827&gt;$AE$34,1,0)</f>
        <v/>
      </c>
      <c r="AB827">
        <f>IF(AA827=C827,1,0)</f>
        <v/>
      </c>
    </row>
    <row r="828">
      <c r="A828">
        <f>'1 datos preparados'!A821</f>
        <v/>
      </c>
      <c r="B828" s="5">
        <f>'1 datos preparados'!U821</f>
        <v/>
      </c>
      <c r="C828">
        <f>'1 datos preparados'!B821</f>
        <v/>
      </c>
      <c r="D828" s="7">
        <f>'1 datos preparados'!C821</f>
        <v/>
      </c>
      <c r="E828" s="7">
        <f>'1 datos preparados'!D821</f>
        <v/>
      </c>
      <c r="F828" s="7">
        <f>'1 datos preparados'!E821</f>
        <v/>
      </c>
      <c r="G828" s="7">
        <f>'1 datos preparados'!F821</f>
        <v/>
      </c>
      <c r="H828" s="7">
        <f>'1 datos preparados'!G821</f>
        <v/>
      </c>
      <c r="I828" s="7">
        <f>'1 datos preparados'!H821</f>
        <v/>
      </c>
      <c r="J828" s="7">
        <f>'1 datos preparados'!I821</f>
        <v/>
      </c>
      <c r="K828" s="7">
        <f>'1 datos preparados'!J821</f>
        <v/>
      </c>
      <c r="L828" s="7">
        <f>'1 datos preparados'!K821</f>
        <v/>
      </c>
      <c r="M828" s="7">
        <f>'1 datos preparados'!L821</f>
        <v/>
      </c>
      <c r="N828" s="7">
        <f>'1 datos preparados'!M821</f>
        <v/>
      </c>
      <c r="O828" s="7">
        <f>'1 datos preparados'!N821</f>
        <v/>
      </c>
      <c r="P828" s="7">
        <f>'1 datos preparados'!O821</f>
        <v/>
      </c>
      <c r="Q828" s="7">
        <f>'1 datos preparados'!P821</f>
        <v/>
      </c>
      <c r="R828" s="7">
        <f>'1 datos preparados'!Q821</f>
        <v/>
      </c>
      <c r="S828" s="7">
        <f>'1 datos preparados'!R821</f>
        <v/>
      </c>
      <c r="T828" s="7">
        <f>'1 datos preparados'!S821</f>
        <v/>
      </c>
      <c r="U828" s="7">
        <f>'1 datos preparados'!T821</f>
        <v/>
      </c>
      <c r="V828" s="8">
        <f>$AE$12+D828*$AE$13+E828*$AE$14+F828*$AE$15+G828*$AE$16+H828*$AE$17+I828*$AE$18+J828*$AE$19+K828*$AE$20+L828*$AE$21+M828*$AE$22+N828*$AE$23+O828*$AE$24+P828*$AE$25+Q828*$AE$26+R828*$AE$27+S828*$AE$28+T828*$AE$29+U828*$AE$30</f>
        <v/>
      </c>
      <c r="W828" s="8">
        <f>1/(1+EXP(-V828))</f>
        <v/>
      </c>
      <c r="X828" s="9">
        <f>-IF(C828=1,LN(W828),LN(1-W828))</f>
        <v/>
      </c>
      <c r="Y828" s="8">
        <f>IF(C828=1,$AE$32,$AE$33)</f>
        <v/>
      </c>
      <c r="Z828" s="9">
        <f>Y828*X828</f>
        <v/>
      </c>
      <c r="AA828" s="10">
        <f>IF(W828&gt;$AE$34,1,0)</f>
        <v/>
      </c>
      <c r="AB828">
        <f>IF(AA828=C828,1,0)</f>
        <v/>
      </c>
    </row>
    <row r="829">
      <c r="A829">
        <f>'1 datos preparados'!A822</f>
        <v/>
      </c>
      <c r="B829" s="5">
        <f>'1 datos preparados'!U822</f>
        <v/>
      </c>
      <c r="C829">
        <f>'1 datos preparados'!B822</f>
        <v/>
      </c>
      <c r="D829" s="7">
        <f>'1 datos preparados'!C822</f>
        <v/>
      </c>
      <c r="E829" s="7">
        <f>'1 datos preparados'!D822</f>
        <v/>
      </c>
      <c r="F829" s="7">
        <f>'1 datos preparados'!E822</f>
        <v/>
      </c>
      <c r="G829" s="7">
        <f>'1 datos preparados'!F822</f>
        <v/>
      </c>
      <c r="H829" s="7">
        <f>'1 datos preparados'!G822</f>
        <v/>
      </c>
      <c r="I829" s="7">
        <f>'1 datos preparados'!H822</f>
        <v/>
      </c>
      <c r="J829" s="7">
        <f>'1 datos preparados'!I822</f>
        <v/>
      </c>
      <c r="K829" s="7">
        <f>'1 datos preparados'!J822</f>
        <v/>
      </c>
      <c r="L829" s="7">
        <f>'1 datos preparados'!K822</f>
        <v/>
      </c>
      <c r="M829" s="7">
        <f>'1 datos preparados'!L822</f>
        <v/>
      </c>
      <c r="N829" s="7">
        <f>'1 datos preparados'!M822</f>
        <v/>
      </c>
      <c r="O829" s="7">
        <f>'1 datos preparados'!N822</f>
        <v/>
      </c>
      <c r="P829" s="7">
        <f>'1 datos preparados'!O822</f>
        <v/>
      </c>
      <c r="Q829" s="7">
        <f>'1 datos preparados'!P822</f>
        <v/>
      </c>
      <c r="R829" s="7">
        <f>'1 datos preparados'!Q822</f>
        <v/>
      </c>
      <c r="S829" s="7">
        <f>'1 datos preparados'!R822</f>
        <v/>
      </c>
      <c r="T829" s="7">
        <f>'1 datos preparados'!S822</f>
        <v/>
      </c>
      <c r="U829" s="7">
        <f>'1 datos preparados'!T822</f>
        <v/>
      </c>
      <c r="V829" s="8">
        <f>$AE$12+D829*$AE$13+E829*$AE$14+F829*$AE$15+G829*$AE$16+H829*$AE$17+I829*$AE$18+J829*$AE$19+K829*$AE$20+L829*$AE$21+M829*$AE$22+N829*$AE$23+O829*$AE$24+P829*$AE$25+Q829*$AE$26+R829*$AE$27+S829*$AE$28+T829*$AE$29+U829*$AE$30</f>
        <v/>
      </c>
      <c r="W829" s="8">
        <f>1/(1+EXP(-V829))</f>
        <v/>
      </c>
      <c r="X829" s="9">
        <f>-IF(C829=1,LN(W829),LN(1-W829))</f>
        <v/>
      </c>
      <c r="Y829" s="8">
        <f>IF(C829=1,$AE$32,$AE$33)</f>
        <v/>
      </c>
      <c r="Z829" s="9">
        <f>Y829*X829</f>
        <v/>
      </c>
      <c r="AA829" s="10">
        <f>IF(W829&gt;$AE$34,1,0)</f>
        <v/>
      </c>
      <c r="AB829">
        <f>IF(AA829=C829,1,0)</f>
        <v/>
      </c>
    </row>
    <row r="830">
      <c r="A830">
        <f>'1 datos preparados'!A823</f>
        <v/>
      </c>
      <c r="B830" s="5">
        <f>'1 datos preparados'!U823</f>
        <v/>
      </c>
      <c r="C830">
        <f>'1 datos preparados'!B823</f>
        <v/>
      </c>
      <c r="D830" s="7">
        <f>'1 datos preparados'!C823</f>
        <v/>
      </c>
      <c r="E830" s="7">
        <f>'1 datos preparados'!D823</f>
        <v/>
      </c>
      <c r="F830" s="7">
        <f>'1 datos preparados'!E823</f>
        <v/>
      </c>
      <c r="G830" s="7">
        <f>'1 datos preparados'!F823</f>
        <v/>
      </c>
      <c r="H830" s="7">
        <f>'1 datos preparados'!G823</f>
        <v/>
      </c>
      <c r="I830" s="7">
        <f>'1 datos preparados'!H823</f>
        <v/>
      </c>
      <c r="J830" s="7">
        <f>'1 datos preparados'!I823</f>
        <v/>
      </c>
      <c r="K830" s="7">
        <f>'1 datos preparados'!J823</f>
        <v/>
      </c>
      <c r="L830" s="7">
        <f>'1 datos preparados'!K823</f>
        <v/>
      </c>
      <c r="M830" s="7">
        <f>'1 datos preparados'!L823</f>
        <v/>
      </c>
      <c r="N830" s="7">
        <f>'1 datos preparados'!M823</f>
        <v/>
      </c>
      <c r="O830" s="7">
        <f>'1 datos preparados'!N823</f>
        <v/>
      </c>
      <c r="P830" s="7">
        <f>'1 datos preparados'!O823</f>
        <v/>
      </c>
      <c r="Q830" s="7">
        <f>'1 datos preparados'!P823</f>
        <v/>
      </c>
      <c r="R830" s="7">
        <f>'1 datos preparados'!Q823</f>
        <v/>
      </c>
      <c r="S830" s="7">
        <f>'1 datos preparados'!R823</f>
        <v/>
      </c>
      <c r="T830" s="7">
        <f>'1 datos preparados'!S823</f>
        <v/>
      </c>
      <c r="U830" s="7">
        <f>'1 datos preparados'!T823</f>
        <v/>
      </c>
      <c r="V830" s="8">
        <f>$AE$12+D830*$AE$13+E830*$AE$14+F830*$AE$15+G830*$AE$16+H830*$AE$17+I830*$AE$18+J830*$AE$19+K830*$AE$20+L830*$AE$21+M830*$AE$22+N830*$AE$23+O830*$AE$24+P830*$AE$25+Q830*$AE$26+R830*$AE$27+S830*$AE$28+T830*$AE$29+U830*$AE$30</f>
        <v/>
      </c>
      <c r="W830" s="8">
        <f>1/(1+EXP(-V830))</f>
        <v/>
      </c>
      <c r="X830" s="9">
        <f>-IF(C830=1,LN(W830),LN(1-W830))</f>
        <v/>
      </c>
      <c r="Y830" s="8">
        <f>IF(C830=1,$AE$32,$AE$33)</f>
        <v/>
      </c>
      <c r="Z830" s="9">
        <f>Y830*X830</f>
        <v/>
      </c>
      <c r="AA830" s="10">
        <f>IF(W830&gt;$AE$34,1,0)</f>
        <v/>
      </c>
      <c r="AB830">
        <f>IF(AA830=C830,1,0)</f>
        <v/>
      </c>
    </row>
    <row r="831">
      <c r="A831">
        <f>'1 datos preparados'!A824</f>
        <v/>
      </c>
      <c r="B831" s="5">
        <f>'1 datos preparados'!U824</f>
        <v/>
      </c>
      <c r="C831">
        <f>'1 datos preparados'!B824</f>
        <v/>
      </c>
      <c r="D831" s="7">
        <f>'1 datos preparados'!C824</f>
        <v/>
      </c>
      <c r="E831" s="7">
        <f>'1 datos preparados'!D824</f>
        <v/>
      </c>
      <c r="F831" s="7">
        <f>'1 datos preparados'!E824</f>
        <v/>
      </c>
      <c r="G831" s="7">
        <f>'1 datos preparados'!F824</f>
        <v/>
      </c>
      <c r="H831" s="7">
        <f>'1 datos preparados'!G824</f>
        <v/>
      </c>
      <c r="I831" s="7">
        <f>'1 datos preparados'!H824</f>
        <v/>
      </c>
      <c r="J831" s="7">
        <f>'1 datos preparados'!I824</f>
        <v/>
      </c>
      <c r="K831" s="7">
        <f>'1 datos preparados'!J824</f>
        <v/>
      </c>
      <c r="L831" s="7">
        <f>'1 datos preparados'!K824</f>
        <v/>
      </c>
      <c r="M831" s="7">
        <f>'1 datos preparados'!L824</f>
        <v/>
      </c>
      <c r="N831" s="7">
        <f>'1 datos preparados'!M824</f>
        <v/>
      </c>
      <c r="O831" s="7">
        <f>'1 datos preparados'!N824</f>
        <v/>
      </c>
      <c r="P831" s="7">
        <f>'1 datos preparados'!O824</f>
        <v/>
      </c>
      <c r="Q831" s="7">
        <f>'1 datos preparados'!P824</f>
        <v/>
      </c>
      <c r="R831" s="7">
        <f>'1 datos preparados'!Q824</f>
        <v/>
      </c>
      <c r="S831" s="7">
        <f>'1 datos preparados'!R824</f>
        <v/>
      </c>
      <c r="T831" s="7">
        <f>'1 datos preparados'!S824</f>
        <v/>
      </c>
      <c r="U831" s="7">
        <f>'1 datos preparados'!T824</f>
        <v/>
      </c>
      <c r="V831" s="8">
        <f>$AE$12+D831*$AE$13+E831*$AE$14+F831*$AE$15+G831*$AE$16+H831*$AE$17+I831*$AE$18+J831*$AE$19+K831*$AE$20+L831*$AE$21+M831*$AE$22+N831*$AE$23+O831*$AE$24+P831*$AE$25+Q831*$AE$26+R831*$AE$27+S831*$AE$28+T831*$AE$29+U831*$AE$30</f>
        <v/>
      </c>
      <c r="W831" s="8">
        <f>1/(1+EXP(-V831))</f>
        <v/>
      </c>
      <c r="X831" s="9">
        <f>-IF(C831=1,LN(W831),LN(1-W831))</f>
        <v/>
      </c>
      <c r="Y831" s="8">
        <f>IF(C831=1,$AE$32,$AE$33)</f>
        <v/>
      </c>
      <c r="Z831" s="9">
        <f>Y831*X831</f>
        <v/>
      </c>
      <c r="AA831" s="10">
        <f>IF(W831&gt;$AE$34,1,0)</f>
        <v/>
      </c>
      <c r="AB831">
        <f>IF(AA831=C831,1,0)</f>
        <v/>
      </c>
    </row>
    <row r="832">
      <c r="A832">
        <f>'1 datos preparados'!A825</f>
        <v/>
      </c>
      <c r="B832" s="5">
        <f>'1 datos preparados'!U825</f>
        <v/>
      </c>
      <c r="C832">
        <f>'1 datos preparados'!B825</f>
        <v/>
      </c>
      <c r="D832" s="7">
        <f>'1 datos preparados'!C825</f>
        <v/>
      </c>
      <c r="E832" s="7">
        <f>'1 datos preparados'!D825</f>
        <v/>
      </c>
      <c r="F832" s="7">
        <f>'1 datos preparados'!E825</f>
        <v/>
      </c>
      <c r="G832" s="7">
        <f>'1 datos preparados'!F825</f>
        <v/>
      </c>
      <c r="H832" s="7">
        <f>'1 datos preparados'!G825</f>
        <v/>
      </c>
      <c r="I832" s="7">
        <f>'1 datos preparados'!H825</f>
        <v/>
      </c>
      <c r="J832" s="7">
        <f>'1 datos preparados'!I825</f>
        <v/>
      </c>
      <c r="K832" s="7">
        <f>'1 datos preparados'!J825</f>
        <v/>
      </c>
      <c r="L832" s="7">
        <f>'1 datos preparados'!K825</f>
        <v/>
      </c>
      <c r="M832" s="7">
        <f>'1 datos preparados'!L825</f>
        <v/>
      </c>
      <c r="N832" s="7">
        <f>'1 datos preparados'!M825</f>
        <v/>
      </c>
      <c r="O832" s="7">
        <f>'1 datos preparados'!N825</f>
        <v/>
      </c>
      <c r="P832" s="7">
        <f>'1 datos preparados'!O825</f>
        <v/>
      </c>
      <c r="Q832" s="7">
        <f>'1 datos preparados'!P825</f>
        <v/>
      </c>
      <c r="R832" s="7">
        <f>'1 datos preparados'!Q825</f>
        <v/>
      </c>
      <c r="S832" s="7">
        <f>'1 datos preparados'!R825</f>
        <v/>
      </c>
      <c r="T832" s="7">
        <f>'1 datos preparados'!S825</f>
        <v/>
      </c>
      <c r="U832" s="7">
        <f>'1 datos preparados'!T825</f>
        <v/>
      </c>
      <c r="V832" s="8">
        <f>$AE$12+D832*$AE$13+E832*$AE$14+F832*$AE$15+G832*$AE$16+H832*$AE$17+I832*$AE$18+J832*$AE$19+K832*$AE$20+L832*$AE$21+M832*$AE$22+N832*$AE$23+O832*$AE$24+P832*$AE$25+Q832*$AE$26+R832*$AE$27+S832*$AE$28+T832*$AE$29+U832*$AE$30</f>
        <v/>
      </c>
      <c r="W832" s="8">
        <f>1/(1+EXP(-V832))</f>
        <v/>
      </c>
      <c r="X832" s="9">
        <f>-IF(C832=1,LN(W832),LN(1-W832))</f>
        <v/>
      </c>
      <c r="Y832" s="8">
        <f>IF(C832=1,$AE$32,$AE$33)</f>
        <v/>
      </c>
      <c r="Z832" s="9">
        <f>Y832*X832</f>
        <v/>
      </c>
      <c r="AA832" s="10">
        <f>IF(W832&gt;$AE$34,1,0)</f>
        <v/>
      </c>
      <c r="AB832">
        <f>IF(AA832=C832,1,0)</f>
        <v/>
      </c>
    </row>
    <row r="833">
      <c r="A833">
        <f>'1 datos preparados'!A826</f>
        <v/>
      </c>
      <c r="B833" s="5">
        <f>'1 datos preparados'!U826</f>
        <v/>
      </c>
      <c r="C833">
        <f>'1 datos preparados'!B826</f>
        <v/>
      </c>
      <c r="D833" s="7">
        <f>'1 datos preparados'!C826</f>
        <v/>
      </c>
      <c r="E833" s="7">
        <f>'1 datos preparados'!D826</f>
        <v/>
      </c>
      <c r="F833" s="7">
        <f>'1 datos preparados'!E826</f>
        <v/>
      </c>
      <c r="G833" s="7">
        <f>'1 datos preparados'!F826</f>
        <v/>
      </c>
      <c r="H833" s="7">
        <f>'1 datos preparados'!G826</f>
        <v/>
      </c>
      <c r="I833" s="7">
        <f>'1 datos preparados'!H826</f>
        <v/>
      </c>
      <c r="J833" s="7">
        <f>'1 datos preparados'!I826</f>
        <v/>
      </c>
      <c r="K833" s="7">
        <f>'1 datos preparados'!J826</f>
        <v/>
      </c>
      <c r="L833" s="7">
        <f>'1 datos preparados'!K826</f>
        <v/>
      </c>
      <c r="M833" s="7">
        <f>'1 datos preparados'!L826</f>
        <v/>
      </c>
      <c r="N833" s="7">
        <f>'1 datos preparados'!M826</f>
        <v/>
      </c>
      <c r="O833" s="7">
        <f>'1 datos preparados'!N826</f>
        <v/>
      </c>
      <c r="P833" s="7">
        <f>'1 datos preparados'!O826</f>
        <v/>
      </c>
      <c r="Q833" s="7">
        <f>'1 datos preparados'!P826</f>
        <v/>
      </c>
      <c r="R833" s="7">
        <f>'1 datos preparados'!Q826</f>
        <v/>
      </c>
      <c r="S833" s="7">
        <f>'1 datos preparados'!R826</f>
        <v/>
      </c>
      <c r="T833" s="7">
        <f>'1 datos preparados'!S826</f>
        <v/>
      </c>
      <c r="U833" s="7">
        <f>'1 datos preparados'!T826</f>
        <v/>
      </c>
      <c r="V833" s="8">
        <f>$AE$12+D833*$AE$13+E833*$AE$14+F833*$AE$15+G833*$AE$16+H833*$AE$17+I833*$AE$18+J833*$AE$19+K833*$AE$20+L833*$AE$21+M833*$AE$22+N833*$AE$23+O833*$AE$24+P833*$AE$25+Q833*$AE$26+R833*$AE$27+S833*$AE$28+T833*$AE$29+U833*$AE$30</f>
        <v/>
      </c>
      <c r="W833" s="8">
        <f>1/(1+EXP(-V833))</f>
        <v/>
      </c>
      <c r="X833" s="9">
        <f>-IF(C833=1,LN(W833),LN(1-W833))</f>
        <v/>
      </c>
      <c r="Y833" s="8">
        <f>IF(C833=1,$AE$32,$AE$33)</f>
        <v/>
      </c>
      <c r="Z833" s="9">
        <f>Y833*X833</f>
        <v/>
      </c>
      <c r="AA833" s="10">
        <f>IF(W833&gt;$AE$34,1,0)</f>
        <v/>
      </c>
      <c r="AB833">
        <f>IF(AA833=C833,1,0)</f>
        <v/>
      </c>
    </row>
    <row r="834">
      <c r="A834">
        <f>'1 datos preparados'!A827</f>
        <v/>
      </c>
      <c r="B834" s="5">
        <f>'1 datos preparados'!U827</f>
        <v/>
      </c>
      <c r="C834">
        <f>'1 datos preparados'!B827</f>
        <v/>
      </c>
      <c r="D834" s="7">
        <f>'1 datos preparados'!C827</f>
        <v/>
      </c>
      <c r="E834" s="7">
        <f>'1 datos preparados'!D827</f>
        <v/>
      </c>
      <c r="F834" s="7">
        <f>'1 datos preparados'!E827</f>
        <v/>
      </c>
      <c r="G834" s="7">
        <f>'1 datos preparados'!F827</f>
        <v/>
      </c>
      <c r="H834" s="7">
        <f>'1 datos preparados'!G827</f>
        <v/>
      </c>
      <c r="I834" s="7">
        <f>'1 datos preparados'!H827</f>
        <v/>
      </c>
      <c r="J834" s="7">
        <f>'1 datos preparados'!I827</f>
        <v/>
      </c>
      <c r="K834" s="7">
        <f>'1 datos preparados'!J827</f>
        <v/>
      </c>
      <c r="L834" s="7">
        <f>'1 datos preparados'!K827</f>
        <v/>
      </c>
      <c r="M834" s="7">
        <f>'1 datos preparados'!L827</f>
        <v/>
      </c>
      <c r="N834" s="7">
        <f>'1 datos preparados'!M827</f>
        <v/>
      </c>
      <c r="O834" s="7">
        <f>'1 datos preparados'!N827</f>
        <v/>
      </c>
      <c r="P834" s="7">
        <f>'1 datos preparados'!O827</f>
        <v/>
      </c>
      <c r="Q834" s="7">
        <f>'1 datos preparados'!P827</f>
        <v/>
      </c>
      <c r="R834" s="7">
        <f>'1 datos preparados'!Q827</f>
        <v/>
      </c>
      <c r="S834" s="7">
        <f>'1 datos preparados'!R827</f>
        <v/>
      </c>
      <c r="T834" s="7">
        <f>'1 datos preparados'!S827</f>
        <v/>
      </c>
      <c r="U834" s="7">
        <f>'1 datos preparados'!T827</f>
        <v/>
      </c>
      <c r="V834" s="8">
        <f>$AE$12+D834*$AE$13+E834*$AE$14+F834*$AE$15+G834*$AE$16+H834*$AE$17+I834*$AE$18+J834*$AE$19+K834*$AE$20+L834*$AE$21+M834*$AE$22+N834*$AE$23+O834*$AE$24+P834*$AE$25+Q834*$AE$26+R834*$AE$27+S834*$AE$28+T834*$AE$29+U834*$AE$30</f>
        <v/>
      </c>
      <c r="W834" s="8">
        <f>1/(1+EXP(-V834))</f>
        <v/>
      </c>
      <c r="X834" s="9">
        <f>-IF(C834=1,LN(W834),LN(1-W834))</f>
        <v/>
      </c>
      <c r="Y834" s="8">
        <f>IF(C834=1,$AE$32,$AE$33)</f>
        <v/>
      </c>
      <c r="Z834" s="9">
        <f>Y834*X834</f>
        <v/>
      </c>
      <c r="AA834" s="10">
        <f>IF(W834&gt;$AE$34,1,0)</f>
        <v/>
      </c>
      <c r="AB834">
        <f>IF(AA834=C834,1,0)</f>
        <v/>
      </c>
    </row>
    <row r="835">
      <c r="A835">
        <f>'1 datos preparados'!A828</f>
        <v/>
      </c>
      <c r="B835" s="5">
        <f>'1 datos preparados'!U828</f>
        <v/>
      </c>
      <c r="C835">
        <f>'1 datos preparados'!B828</f>
        <v/>
      </c>
      <c r="D835" s="7">
        <f>'1 datos preparados'!C828</f>
        <v/>
      </c>
      <c r="E835" s="7">
        <f>'1 datos preparados'!D828</f>
        <v/>
      </c>
      <c r="F835" s="7">
        <f>'1 datos preparados'!E828</f>
        <v/>
      </c>
      <c r="G835" s="7">
        <f>'1 datos preparados'!F828</f>
        <v/>
      </c>
      <c r="H835" s="7">
        <f>'1 datos preparados'!G828</f>
        <v/>
      </c>
      <c r="I835" s="7">
        <f>'1 datos preparados'!H828</f>
        <v/>
      </c>
      <c r="J835" s="7">
        <f>'1 datos preparados'!I828</f>
        <v/>
      </c>
      <c r="K835" s="7">
        <f>'1 datos preparados'!J828</f>
        <v/>
      </c>
      <c r="L835" s="7">
        <f>'1 datos preparados'!K828</f>
        <v/>
      </c>
      <c r="M835" s="7">
        <f>'1 datos preparados'!L828</f>
        <v/>
      </c>
      <c r="N835" s="7">
        <f>'1 datos preparados'!M828</f>
        <v/>
      </c>
      <c r="O835" s="7">
        <f>'1 datos preparados'!N828</f>
        <v/>
      </c>
      <c r="P835" s="7">
        <f>'1 datos preparados'!O828</f>
        <v/>
      </c>
      <c r="Q835" s="7">
        <f>'1 datos preparados'!P828</f>
        <v/>
      </c>
      <c r="R835" s="7">
        <f>'1 datos preparados'!Q828</f>
        <v/>
      </c>
      <c r="S835" s="7">
        <f>'1 datos preparados'!R828</f>
        <v/>
      </c>
      <c r="T835" s="7">
        <f>'1 datos preparados'!S828</f>
        <v/>
      </c>
      <c r="U835" s="7">
        <f>'1 datos preparados'!T828</f>
        <v/>
      </c>
      <c r="V835" s="8">
        <f>$AE$12+D835*$AE$13+E835*$AE$14+F835*$AE$15+G835*$AE$16+H835*$AE$17+I835*$AE$18+J835*$AE$19+K835*$AE$20+L835*$AE$21+M835*$AE$22+N835*$AE$23+O835*$AE$24+P835*$AE$25+Q835*$AE$26+R835*$AE$27+S835*$AE$28+T835*$AE$29+U835*$AE$30</f>
        <v/>
      </c>
      <c r="W835" s="8">
        <f>1/(1+EXP(-V835))</f>
        <v/>
      </c>
      <c r="X835" s="9">
        <f>-IF(C835=1,LN(W835),LN(1-W835))</f>
        <v/>
      </c>
      <c r="Y835" s="8">
        <f>IF(C835=1,$AE$32,$AE$33)</f>
        <v/>
      </c>
      <c r="Z835" s="9">
        <f>Y835*X835</f>
        <v/>
      </c>
      <c r="AA835" s="10">
        <f>IF(W835&gt;$AE$34,1,0)</f>
        <v/>
      </c>
      <c r="AB835">
        <f>IF(AA835=C835,1,0)</f>
        <v/>
      </c>
    </row>
    <row r="836">
      <c r="A836">
        <f>'1 datos preparados'!A829</f>
        <v/>
      </c>
      <c r="B836" s="5">
        <f>'1 datos preparados'!U829</f>
        <v/>
      </c>
      <c r="C836">
        <f>'1 datos preparados'!B829</f>
        <v/>
      </c>
      <c r="D836" s="7">
        <f>'1 datos preparados'!C829</f>
        <v/>
      </c>
      <c r="E836" s="7">
        <f>'1 datos preparados'!D829</f>
        <v/>
      </c>
      <c r="F836" s="7">
        <f>'1 datos preparados'!E829</f>
        <v/>
      </c>
      <c r="G836" s="7">
        <f>'1 datos preparados'!F829</f>
        <v/>
      </c>
      <c r="H836" s="7">
        <f>'1 datos preparados'!G829</f>
        <v/>
      </c>
      <c r="I836" s="7">
        <f>'1 datos preparados'!H829</f>
        <v/>
      </c>
      <c r="J836" s="7">
        <f>'1 datos preparados'!I829</f>
        <v/>
      </c>
      <c r="K836" s="7">
        <f>'1 datos preparados'!J829</f>
        <v/>
      </c>
      <c r="L836" s="7">
        <f>'1 datos preparados'!K829</f>
        <v/>
      </c>
      <c r="M836" s="7">
        <f>'1 datos preparados'!L829</f>
        <v/>
      </c>
      <c r="N836" s="7">
        <f>'1 datos preparados'!M829</f>
        <v/>
      </c>
      <c r="O836" s="7">
        <f>'1 datos preparados'!N829</f>
        <v/>
      </c>
      <c r="P836" s="7">
        <f>'1 datos preparados'!O829</f>
        <v/>
      </c>
      <c r="Q836" s="7">
        <f>'1 datos preparados'!P829</f>
        <v/>
      </c>
      <c r="R836" s="7">
        <f>'1 datos preparados'!Q829</f>
        <v/>
      </c>
      <c r="S836" s="7">
        <f>'1 datos preparados'!R829</f>
        <v/>
      </c>
      <c r="T836" s="7">
        <f>'1 datos preparados'!S829</f>
        <v/>
      </c>
      <c r="U836" s="7">
        <f>'1 datos preparados'!T829</f>
        <v/>
      </c>
      <c r="V836" s="8">
        <f>$AE$12+D836*$AE$13+E836*$AE$14+F836*$AE$15+G836*$AE$16+H836*$AE$17+I836*$AE$18+J836*$AE$19+K836*$AE$20+L836*$AE$21+M836*$AE$22+N836*$AE$23+O836*$AE$24+P836*$AE$25+Q836*$AE$26+R836*$AE$27+S836*$AE$28+T836*$AE$29+U836*$AE$30</f>
        <v/>
      </c>
      <c r="W836" s="8">
        <f>1/(1+EXP(-V836))</f>
        <v/>
      </c>
      <c r="X836" s="9">
        <f>-IF(C836=1,LN(W836),LN(1-W836))</f>
        <v/>
      </c>
      <c r="Y836" s="8">
        <f>IF(C836=1,$AE$32,$AE$33)</f>
        <v/>
      </c>
      <c r="Z836" s="9">
        <f>Y836*X836</f>
        <v/>
      </c>
      <c r="AA836" s="10">
        <f>IF(W836&gt;$AE$34,1,0)</f>
        <v/>
      </c>
      <c r="AB836">
        <f>IF(AA836=C836,1,0)</f>
        <v/>
      </c>
    </row>
    <row r="837">
      <c r="A837">
        <f>'1 datos preparados'!A830</f>
        <v/>
      </c>
      <c r="B837" s="5">
        <f>'1 datos preparados'!U830</f>
        <v/>
      </c>
      <c r="C837">
        <f>'1 datos preparados'!B830</f>
        <v/>
      </c>
      <c r="D837" s="7">
        <f>'1 datos preparados'!C830</f>
        <v/>
      </c>
      <c r="E837" s="7">
        <f>'1 datos preparados'!D830</f>
        <v/>
      </c>
      <c r="F837" s="7">
        <f>'1 datos preparados'!E830</f>
        <v/>
      </c>
      <c r="G837" s="7">
        <f>'1 datos preparados'!F830</f>
        <v/>
      </c>
      <c r="H837" s="7">
        <f>'1 datos preparados'!G830</f>
        <v/>
      </c>
      <c r="I837" s="7">
        <f>'1 datos preparados'!H830</f>
        <v/>
      </c>
      <c r="J837" s="7">
        <f>'1 datos preparados'!I830</f>
        <v/>
      </c>
      <c r="K837" s="7">
        <f>'1 datos preparados'!J830</f>
        <v/>
      </c>
      <c r="L837" s="7">
        <f>'1 datos preparados'!K830</f>
        <v/>
      </c>
      <c r="M837" s="7">
        <f>'1 datos preparados'!L830</f>
        <v/>
      </c>
      <c r="N837" s="7">
        <f>'1 datos preparados'!M830</f>
        <v/>
      </c>
      <c r="O837" s="7">
        <f>'1 datos preparados'!N830</f>
        <v/>
      </c>
      <c r="P837" s="7">
        <f>'1 datos preparados'!O830</f>
        <v/>
      </c>
      <c r="Q837" s="7">
        <f>'1 datos preparados'!P830</f>
        <v/>
      </c>
      <c r="R837" s="7">
        <f>'1 datos preparados'!Q830</f>
        <v/>
      </c>
      <c r="S837" s="7">
        <f>'1 datos preparados'!R830</f>
        <v/>
      </c>
      <c r="T837" s="7">
        <f>'1 datos preparados'!S830</f>
        <v/>
      </c>
      <c r="U837" s="7">
        <f>'1 datos preparados'!T830</f>
        <v/>
      </c>
      <c r="V837" s="8">
        <f>$AE$12+D837*$AE$13+E837*$AE$14+F837*$AE$15+G837*$AE$16+H837*$AE$17+I837*$AE$18+J837*$AE$19+K837*$AE$20+L837*$AE$21+M837*$AE$22+N837*$AE$23+O837*$AE$24+P837*$AE$25+Q837*$AE$26+R837*$AE$27+S837*$AE$28+T837*$AE$29+U837*$AE$30</f>
        <v/>
      </c>
      <c r="W837" s="8">
        <f>1/(1+EXP(-V837))</f>
        <v/>
      </c>
      <c r="X837" s="9">
        <f>-IF(C837=1,LN(W837),LN(1-W837))</f>
        <v/>
      </c>
      <c r="Y837" s="8">
        <f>IF(C837=1,$AE$32,$AE$33)</f>
        <v/>
      </c>
      <c r="Z837" s="9">
        <f>Y837*X837</f>
        <v/>
      </c>
      <c r="AA837" s="10">
        <f>IF(W837&gt;$AE$34,1,0)</f>
        <v/>
      </c>
      <c r="AB837">
        <f>IF(AA837=C837,1,0)</f>
        <v/>
      </c>
    </row>
    <row r="838">
      <c r="A838">
        <f>'1 datos preparados'!A831</f>
        <v/>
      </c>
      <c r="B838" s="5">
        <f>'1 datos preparados'!U831</f>
        <v/>
      </c>
      <c r="C838">
        <f>'1 datos preparados'!B831</f>
        <v/>
      </c>
      <c r="D838" s="7">
        <f>'1 datos preparados'!C831</f>
        <v/>
      </c>
      <c r="E838" s="7">
        <f>'1 datos preparados'!D831</f>
        <v/>
      </c>
      <c r="F838" s="7">
        <f>'1 datos preparados'!E831</f>
        <v/>
      </c>
      <c r="G838" s="7">
        <f>'1 datos preparados'!F831</f>
        <v/>
      </c>
      <c r="H838" s="7">
        <f>'1 datos preparados'!G831</f>
        <v/>
      </c>
      <c r="I838" s="7">
        <f>'1 datos preparados'!H831</f>
        <v/>
      </c>
      <c r="J838" s="7">
        <f>'1 datos preparados'!I831</f>
        <v/>
      </c>
      <c r="K838" s="7">
        <f>'1 datos preparados'!J831</f>
        <v/>
      </c>
      <c r="L838" s="7">
        <f>'1 datos preparados'!K831</f>
        <v/>
      </c>
      <c r="M838" s="7">
        <f>'1 datos preparados'!L831</f>
        <v/>
      </c>
      <c r="N838" s="7">
        <f>'1 datos preparados'!M831</f>
        <v/>
      </c>
      <c r="O838" s="7">
        <f>'1 datos preparados'!N831</f>
        <v/>
      </c>
      <c r="P838" s="7">
        <f>'1 datos preparados'!O831</f>
        <v/>
      </c>
      <c r="Q838" s="7">
        <f>'1 datos preparados'!P831</f>
        <v/>
      </c>
      <c r="R838" s="7">
        <f>'1 datos preparados'!Q831</f>
        <v/>
      </c>
      <c r="S838" s="7">
        <f>'1 datos preparados'!R831</f>
        <v/>
      </c>
      <c r="T838" s="7">
        <f>'1 datos preparados'!S831</f>
        <v/>
      </c>
      <c r="U838" s="7">
        <f>'1 datos preparados'!T831</f>
        <v/>
      </c>
      <c r="V838" s="8">
        <f>$AE$12+D838*$AE$13+E838*$AE$14+F838*$AE$15+G838*$AE$16+H838*$AE$17+I838*$AE$18+J838*$AE$19+K838*$AE$20+L838*$AE$21+M838*$AE$22+N838*$AE$23+O838*$AE$24+P838*$AE$25+Q838*$AE$26+R838*$AE$27+S838*$AE$28+T838*$AE$29+U838*$AE$30</f>
        <v/>
      </c>
      <c r="W838" s="8">
        <f>1/(1+EXP(-V838))</f>
        <v/>
      </c>
      <c r="X838" s="9">
        <f>-IF(C838=1,LN(W838),LN(1-W838))</f>
        <v/>
      </c>
      <c r="Y838" s="8">
        <f>IF(C838=1,$AE$32,$AE$33)</f>
        <v/>
      </c>
      <c r="Z838" s="9">
        <f>Y838*X838</f>
        <v/>
      </c>
      <c r="AA838" s="10">
        <f>IF(W838&gt;$AE$34,1,0)</f>
        <v/>
      </c>
      <c r="AB838">
        <f>IF(AA838=C838,1,0)</f>
        <v/>
      </c>
    </row>
    <row r="839">
      <c r="A839">
        <f>'1 datos preparados'!A832</f>
        <v/>
      </c>
      <c r="B839" s="5">
        <f>'1 datos preparados'!U832</f>
        <v/>
      </c>
      <c r="C839">
        <f>'1 datos preparados'!B832</f>
        <v/>
      </c>
      <c r="D839" s="7">
        <f>'1 datos preparados'!C832</f>
        <v/>
      </c>
      <c r="E839" s="7">
        <f>'1 datos preparados'!D832</f>
        <v/>
      </c>
      <c r="F839" s="7">
        <f>'1 datos preparados'!E832</f>
        <v/>
      </c>
      <c r="G839" s="7">
        <f>'1 datos preparados'!F832</f>
        <v/>
      </c>
      <c r="H839" s="7">
        <f>'1 datos preparados'!G832</f>
        <v/>
      </c>
      <c r="I839" s="7">
        <f>'1 datos preparados'!H832</f>
        <v/>
      </c>
      <c r="J839" s="7">
        <f>'1 datos preparados'!I832</f>
        <v/>
      </c>
      <c r="K839" s="7">
        <f>'1 datos preparados'!J832</f>
        <v/>
      </c>
      <c r="L839" s="7">
        <f>'1 datos preparados'!K832</f>
        <v/>
      </c>
      <c r="M839" s="7">
        <f>'1 datos preparados'!L832</f>
        <v/>
      </c>
      <c r="N839" s="7">
        <f>'1 datos preparados'!M832</f>
        <v/>
      </c>
      <c r="O839" s="7">
        <f>'1 datos preparados'!N832</f>
        <v/>
      </c>
      <c r="P839" s="7">
        <f>'1 datos preparados'!O832</f>
        <v/>
      </c>
      <c r="Q839" s="7">
        <f>'1 datos preparados'!P832</f>
        <v/>
      </c>
      <c r="R839" s="7">
        <f>'1 datos preparados'!Q832</f>
        <v/>
      </c>
      <c r="S839" s="7">
        <f>'1 datos preparados'!R832</f>
        <v/>
      </c>
      <c r="T839" s="7">
        <f>'1 datos preparados'!S832</f>
        <v/>
      </c>
      <c r="U839" s="7">
        <f>'1 datos preparados'!T832</f>
        <v/>
      </c>
      <c r="V839" s="8">
        <f>$AE$12+D839*$AE$13+E839*$AE$14+F839*$AE$15+G839*$AE$16+H839*$AE$17+I839*$AE$18+J839*$AE$19+K839*$AE$20+L839*$AE$21+M839*$AE$22+N839*$AE$23+O839*$AE$24+P839*$AE$25+Q839*$AE$26+R839*$AE$27+S839*$AE$28+T839*$AE$29+U839*$AE$30</f>
        <v/>
      </c>
      <c r="W839" s="8">
        <f>1/(1+EXP(-V839))</f>
        <v/>
      </c>
      <c r="X839" s="9">
        <f>-IF(C839=1,LN(W839),LN(1-W839))</f>
        <v/>
      </c>
      <c r="Y839" s="8">
        <f>IF(C839=1,$AE$32,$AE$33)</f>
        <v/>
      </c>
      <c r="Z839" s="9">
        <f>Y839*X839</f>
        <v/>
      </c>
      <c r="AA839" s="10">
        <f>IF(W839&gt;$AE$34,1,0)</f>
        <v/>
      </c>
      <c r="AB839">
        <f>IF(AA839=C839,1,0)</f>
        <v/>
      </c>
    </row>
    <row r="840">
      <c r="A840">
        <f>'1 datos preparados'!A833</f>
        <v/>
      </c>
      <c r="B840" s="5">
        <f>'1 datos preparados'!U833</f>
        <v/>
      </c>
      <c r="C840">
        <f>'1 datos preparados'!B833</f>
        <v/>
      </c>
      <c r="D840" s="7">
        <f>'1 datos preparados'!C833</f>
        <v/>
      </c>
      <c r="E840" s="7">
        <f>'1 datos preparados'!D833</f>
        <v/>
      </c>
      <c r="F840" s="7">
        <f>'1 datos preparados'!E833</f>
        <v/>
      </c>
      <c r="G840" s="7">
        <f>'1 datos preparados'!F833</f>
        <v/>
      </c>
      <c r="H840" s="7">
        <f>'1 datos preparados'!G833</f>
        <v/>
      </c>
      <c r="I840" s="7">
        <f>'1 datos preparados'!H833</f>
        <v/>
      </c>
      <c r="J840" s="7">
        <f>'1 datos preparados'!I833</f>
        <v/>
      </c>
      <c r="K840" s="7">
        <f>'1 datos preparados'!J833</f>
        <v/>
      </c>
      <c r="L840" s="7">
        <f>'1 datos preparados'!K833</f>
        <v/>
      </c>
      <c r="M840" s="7">
        <f>'1 datos preparados'!L833</f>
        <v/>
      </c>
      <c r="N840" s="7">
        <f>'1 datos preparados'!M833</f>
        <v/>
      </c>
      <c r="O840" s="7">
        <f>'1 datos preparados'!N833</f>
        <v/>
      </c>
      <c r="P840" s="7">
        <f>'1 datos preparados'!O833</f>
        <v/>
      </c>
      <c r="Q840" s="7">
        <f>'1 datos preparados'!P833</f>
        <v/>
      </c>
      <c r="R840" s="7">
        <f>'1 datos preparados'!Q833</f>
        <v/>
      </c>
      <c r="S840" s="7">
        <f>'1 datos preparados'!R833</f>
        <v/>
      </c>
      <c r="T840" s="7">
        <f>'1 datos preparados'!S833</f>
        <v/>
      </c>
      <c r="U840" s="7">
        <f>'1 datos preparados'!T833</f>
        <v/>
      </c>
      <c r="V840" s="8">
        <f>$AE$12+D840*$AE$13+E840*$AE$14+F840*$AE$15+G840*$AE$16+H840*$AE$17+I840*$AE$18+J840*$AE$19+K840*$AE$20+L840*$AE$21+M840*$AE$22+N840*$AE$23+O840*$AE$24+P840*$AE$25+Q840*$AE$26+R840*$AE$27+S840*$AE$28+T840*$AE$29+U840*$AE$30</f>
        <v/>
      </c>
      <c r="W840" s="8">
        <f>1/(1+EXP(-V840))</f>
        <v/>
      </c>
      <c r="X840" s="9">
        <f>-IF(C840=1,LN(W840),LN(1-W840))</f>
        <v/>
      </c>
      <c r="Y840" s="8">
        <f>IF(C840=1,$AE$32,$AE$33)</f>
        <v/>
      </c>
      <c r="Z840" s="9">
        <f>Y840*X840</f>
        <v/>
      </c>
      <c r="AA840" s="10">
        <f>IF(W840&gt;$AE$34,1,0)</f>
        <v/>
      </c>
      <c r="AB840">
        <f>IF(AA840=C840,1,0)</f>
        <v/>
      </c>
    </row>
    <row r="841">
      <c r="A841">
        <f>'1 datos preparados'!A834</f>
        <v/>
      </c>
      <c r="B841" s="5">
        <f>'1 datos preparados'!U834</f>
        <v/>
      </c>
      <c r="C841">
        <f>'1 datos preparados'!B834</f>
        <v/>
      </c>
      <c r="D841" s="7">
        <f>'1 datos preparados'!C834</f>
        <v/>
      </c>
      <c r="E841" s="7">
        <f>'1 datos preparados'!D834</f>
        <v/>
      </c>
      <c r="F841" s="7">
        <f>'1 datos preparados'!E834</f>
        <v/>
      </c>
      <c r="G841" s="7">
        <f>'1 datos preparados'!F834</f>
        <v/>
      </c>
      <c r="H841" s="7">
        <f>'1 datos preparados'!G834</f>
        <v/>
      </c>
      <c r="I841" s="7">
        <f>'1 datos preparados'!H834</f>
        <v/>
      </c>
      <c r="J841" s="7">
        <f>'1 datos preparados'!I834</f>
        <v/>
      </c>
      <c r="K841" s="7">
        <f>'1 datos preparados'!J834</f>
        <v/>
      </c>
      <c r="L841" s="7">
        <f>'1 datos preparados'!K834</f>
        <v/>
      </c>
      <c r="M841" s="7">
        <f>'1 datos preparados'!L834</f>
        <v/>
      </c>
      <c r="N841" s="7">
        <f>'1 datos preparados'!M834</f>
        <v/>
      </c>
      <c r="O841" s="7">
        <f>'1 datos preparados'!N834</f>
        <v/>
      </c>
      <c r="P841" s="7">
        <f>'1 datos preparados'!O834</f>
        <v/>
      </c>
      <c r="Q841" s="7">
        <f>'1 datos preparados'!P834</f>
        <v/>
      </c>
      <c r="R841" s="7">
        <f>'1 datos preparados'!Q834</f>
        <v/>
      </c>
      <c r="S841" s="7">
        <f>'1 datos preparados'!R834</f>
        <v/>
      </c>
      <c r="T841" s="7">
        <f>'1 datos preparados'!S834</f>
        <v/>
      </c>
      <c r="U841" s="7">
        <f>'1 datos preparados'!T834</f>
        <v/>
      </c>
      <c r="V841" s="8">
        <f>$AE$12+D841*$AE$13+E841*$AE$14+F841*$AE$15+G841*$AE$16+H841*$AE$17+I841*$AE$18+J841*$AE$19+K841*$AE$20+L841*$AE$21+M841*$AE$22+N841*$AE$23+O841*$AE$24+P841*$AE$25+Q841*$AE$26+R841*$AE$27+S841*$AE$28+T841*$AE$29+U841*$AE$30</f>
        <v/>
      </c>
      <c r="W841" s="8">
        <f>1/(1+EXP(-V841))</f>
        <v/>
      </c>
      <c r="X841" s="9">
        <f>-IF(C841=1,LN(W841),LN(1-W841))</f>
        <v/>
      </c>
      <c r="Y841" s="8">
        <f>IF(C841=1,$AE$32,$AE$33)</f>
        <v/>
      </c>
      <c r="Z841" s="9">
        <f>Y841*X841</f>
        <v/>
      </c>
      <c r="AA841" s="10">
        <f>IF(W841&gt;$AE$34,1,0)</f>
        <v/>
      </c>
      <c r="AB841">
        <f>IF(AA841=C841,1,0)</f>
        <v/>
      </c>
    </row>
    <row r="842">
      <c r="A842">
        <f>'1 datos preparados'!A835</f>
        <v/>
      </c>
      <c r="B842" s="5">
        <f>'1 datos preparados'!U835</f>
        <v/>
      </c>
      <c r="C842">
        <f>'1 datos preparados'!B835</f>
        <v/>
      </c>
      <c r="D842" s="7">
        <f>'1 datos preparados'!C835</f>
        <v/>
      </c>
      <c r="E842" s="7">
        <f>'1 datos preparados'!D835</f>
        <v/>
      </c>
      <c r="F842" s="7">
        <f>'1 datos preparados'!E835</f>
        <v/>
      </c>
      <c r="G842" s="7">
        <f>'1 datos preparados'!F835</f>
        <v/>
      </c>
      <c r="H842" s="7">
        <f>'1 datos preparados'!G835</f>
        <v/>
      </c>
      <c r="I842" s="7">
        <f>'1 datos preparados'!H835</f>
        <v/>
      </c>
      <c r="J842" s="7">
        <f>'1 datos preparados'!I835</f>
        <v/>
      </c>
      <c r="K842" s="7">
        <f>'1 datos preparados'!J835</f>
        <v/>
      </c>
      <c r="L842" s="7">
        <f>'1 datos preparados'!K835</f>
        <v/>
      </c>
      <c r="M842" s="7">
        <f>'1 datos preparados'!L835</f>
        <v/>
      </c>
      <c r="N842" s="7">
        <f>'1 datos preparados'!M835</f>
        <v/>
      </c>
      <c r="O842" s="7">
        <f>'1 datos preparados'!N835</f>
        <v/>
      </c>
      <c r="P842" s="7">
        <f>'1 datos preparados'!O835</f>
        <v/>
      </c>
      <c r="Q842" s="7">
        <f>'1 datos preparados'!P835</f>
        <v/>
      </c>
      <c r="R842" s="7">
        <f>'1 datos preparados'!Q835</f>
        <v/>
      </c>
      <c r="S842" s="7">
        <f>'1 datos preparados'!R835</f>
        <v/>
      </c>
      <c r="T842" s="7">
        <f>'1 datos preparados'!S835</f>
        <v/>
      </c>
      <c r="U842" s="7">
        <f>'1 datos preparados'!T835</f>
        <v/>
      </c>
      <c r="V842" s="8">
        <f>$AE$12+D842*$AE$13+E842*$AE$14+F842*$AE$15+G842*$AE$16+H842*$AE$17+I842*$AE$18+J842*$AE$19+K842*$AE$20+L842*$AE$21+M842*$AE$22+N842*$AE$23+O842*$AE$24+P842*$AE$25+Q842*$AE$26+R842*$AE$27+S842*$AE$28+T842*$AE$29+U842*$AE$30</f>
        <v/>
      </c>
      <c r="W842" s="8">
        <f>1/(1+EXP(-V842))</f>
        <v/>
      </c>
      <c r="X842" s="9">
        <f>-IF(C842=1,LN(W842),LN(1-W842))</f>
        <v/>
      </c>
      <c r="Y842" s="8">
        <f>IF(C842=1,$AE$32,$AE$33)</f>
        <v/>
      </c>
      <c r="Z842" s="9">
        <f>Y842*X842</f>
        <v/>
      </c>
      <c r="AA842" s="10">
        <f>IF(W842&gt;$AE$34,1,0)</f>
        <v/>
      </c>
      <c r="AB842">
        <f>IF(AA842=C842,1,0)</f>
        <v/>
      </c>
    </row>
    <row r="843">
      <c r="A843">
        <f>'1 datos preparados'!A836</f>
        <v/>
      </c>
      <c r="B843" s="5">
        <f>'1 datos preparados'!U836</f>
        <v/>
      </c>
      <c r="C843">
        <f>'1 datos preparados'!B836</f>
        <v/>
      </c>
      <c r="D843" s="7">
        <f>'1 datos preparados'!C836</f>
        <v/>
      </c>
      <c r="E843" s="7">
        <f>'1 datos preparados'!D836</f>
        <v/>
      </c>
      <c r="F843" s="7">
        <f>'1 datos preparados'!E836</f>
        <v/>
      </c>
      <c r="G843" s="7">
        <f>'1 datos preparados'!F836</f>
        <v/>
      </c>
      <c r="H843" s="7">
        <f>'1 datos preparados'!G836</f>
        <v/>
      </c>
      <c r="I843" s="7">
        <f>'1 datos preparados'!H836</f>
        <v/>
      </c>
      <c r="J843" s="7">
        <f>'1 datos preparados'!I836</f>
        <v/>
      </c>
      <c r="K843" s="7">
        <f>'1 datos preparados'!J836</f>
        <v/>
      </c>
      <c r="L843" s="7">
        <f>'1 datos preparados'!K836</f>
        <v/>
      </c>
      <c r="M843" s="7">
        <f>'1 datos preparados'!L836</f>
        <v/>
      </c>
      <c r="N843" s="7">
        <f>'1 datos preparados'!M836</f>
        <v/>
      </c>
      <c r="O843" s="7">
        <f>'1 datos preparados'!N836</f>
        <v/>
      </c>
      <c r="P843" s="7">
        <f>'1 datos preparados'!O836</f>
        <v/>
      </c>
      <c r="Q843" s="7">
        <f>'1 datos preparados'!P836</f>
        <v/>
      </c>
      <c r="R843" s="7">
        <f>'1 datos preparados'!Q836</f>
        <v/>
      </c>
      <c r="S843" s="7">
        <f>'1 datos preparados'!R836</f>
        <v/>
      </c>
      <c r="T843" s="7">
        <f>'1 datos preparados'!S836</f>
        <v/>
      </c>
      <c r="U843" s="7">
        <f>'1 datos preparados'!T836</f>
        <v/>
      </c>
      <c r="V843" s="8">
        <f>$AE$12+D843*$AE$13+E843*$AE$14+F843*$AE$15+G843*$AE$16+H843*$AE$17+I843*$AE$18+J843*$AE$19+K843*$AE$20+L843*$AE$21+M843*$AE$22+N843*$AE$23+O843*$AE$24+P843*$AE$25+Q843*$AE$26+R843*$AE$27+S843*$AE$28+T843*$AE$29+U843*$AE$30</f>
        <v/>
      </c>
      <c r="W843" s="8">
        <f>1/(1+EXP(-V843))</f>
        <v/>
      </c>
      <c r="X843" s="9">
        <f>-IF(C843=1,LN(W843),LN(1-W843))</f>
        <v/>
      </c>
      <c r="Y843" s="8">
        <f>IF(C843=1,$AE$32,$AE$33)</f>
        <v/>
      </c>
      <c r="Z843" s="9">
        <f>Y843*X843</f>
        <v/>
      </c>
      <c r="AA843" s="10">
        <f>IF(W843&gt;$AE$34,1,0)</f>
        <v/>
      </c>
      <c r="AB843">
        <f>IF(AA843=C843,1,0)</f>
        <v/>
      </c>
    </row>
    <row r="844">
      <c r="A844">
        <f>'1 datos preparados'!A837</f>
        <v/>
      </c>
      <c r="B844" s="5">
        <f>'1 datos preparados'!U837</f>
        <v/>
      </c>
      <c r="C844">
        <f>'1 datos preparados'!B837</f>
        <v/>
      </c>
      <c r="D844" s="7">
        <f>'1 datos preparados'!C837</f>
        <v/>
      </c>
      <c r="E844" s="7">
        <f>'1 datos preparados'!D837</f>
        <v/>
      </c>
      <c r="F844" s="7">
        <f>'1 datos preparados'!E837</f>
        <v/>
      </c>
      <c r="G844" s="7">
        <f>'1 datos preparados'!F837</f>
        <v/>
      </c>
      <c r="H844" s="7">
        <f>'1 datos preparados'!G837</f>
        <v/>
      </c>
      <c r="I844" s="7">
        <f>'1 datos preparados'!H837</f>
        <v/>
      </c>
      <c r="J844" s="7">
        <f>'1 datos preparados'!I837</f>
        <v/>
      </c>
      <c r="K844" s="7">
        <f>'1 datos preparados'!J837</f>
        <v/>
      </c>
      <c r="L844" s="7">
        <f>'1 datos preparados'!K837</f>
        <v/>
      </c>
      <c r="M844" s="7">
        <f>'1 datos preparados'!L837</f>
        <v/>
      </c>
      <c r="N844" s="7">
        <f>'1 datos preparados'!M837</f>
        <v/>
      </c>
      <c r="O844" s="7">
        <f>'1 datos preparados'!N837</f>
        <v/>
      </c>
      <c r="P844" s="7">
        <f>'1 datos preparados'!O837</f>
        <v/>
      </c>
      <c r="Q844" s="7">
        <f>'1 datos preparados'!P837</f>
        <v/>
      </c>
      <c r="R844" s="7">
        <f>'1 datos preparados'!Q837</f>
        <v/>
      </c>
      <c r="S844" s="7">
        <f>'1 datos preparados'!R837</f>
        <v/>
      </c>
      <c r="T844" s="7">
        <f>'1 datos preparados'!S837</f>
        <v/>
      </c>
      <c r="U844" s="7">
        <f>'1 datos preparados'!T837</f>
        <v/>
      </c>
      <c r="V844" s="8">
        <f>$AE$12+D844*$AE$13+E844*$AE$14+F844*$AE$15+G844*$AE$16+H844*$AE$17+I844*$AE$18+J844*$AE$19+K844*$AE$20+L844*$AE$21+M844*$AE$22+N844*$AE$23+O844*$AE$24+P844*$AE$25+Q844*$AE$26+R844*$AE$27+S844*$AE$28+T844*$AE$29+U844*$AE$30</f>
        <v/>
      </c>
      <c r="W844" s="8">
        <f>1/(1+EXP(-V844))</f>
        <v/>
      </c>
      <c r="X844" s="9">
        <f>-IF(C844=1,LN(W844),LN(1-W844))</f>
        <v/>
      </c>
      <c r="Y844" s="8">
        <f>IF(C844=1,$AE$32,$AE$33)</f>
        <v/>
      </c>
      <c r="Z844" s="9">
        <f>Y844*X844</f>
        <v/>
      </c>
      <c r="AA844" s="10">
        <f>IF(W844&gt;$AE$34,1,0)</f>
        <v/>
      </c>
      <c r="AB844">
        <f>IF(AA844=C844,1,0)</f>
        <v/>
      </c>
    </row>
    <row r="845">
      <c r="A845">
        <f>'1 datos preparados'!A838</f>
        <v/>
      </c>
      <c r="B845" s="5">
        <f>'1 datos preparados'!U838</f>
        <v/>
      </c>
      <c r="C845">
        <f>'1 datos preparados'!B838</f>
        <v/>
      </c>
      <c r="D845" s="7">
        <f>'1 datos preparados'!C838</f>
        <v/>
      </c>
      <c r="E845" s="7">
        <f>'1 datos preparados'!D838</f>
        <v/>
      </c>
      <c r="F845" s="7">
        <f>'1 datos preparados'!E838</f>
        <v/>
      </c>
      <c r="G845" s="7">
        <f>'1 datos preparados'!F838</f>
        <v/>
      </c>
      <c r="H845" s="7">
        <f>'1 datos preparados'!G838</f>
        <v/>
      </c>
      <c r="I845" s="7">
        <f>'1 datos preparados'!H838</f>
        <v/>
      </c>
      <c r="J845" s="7">
        <f>'1 datos preparados'!I838</f>
        <v/>
      </c>
      <c r="K845" s="7">
        <f>'1 datos preparados'!J838</f>
        <v/>
      </c>
      <c r="L845" s="7">
        <f>'1 datos preparados'!K838</f>
        <v/>
      </c>
      <c r="M845" s="7">
        <f>'1 datos preparados'!L838</f>
        <v/>
      </c>
      <c r="N845" s="7">
        <f>'1 datos preparados'!M838</f>
        <v/>
      </c>
      <c r="O845" s="7">
        <f>'1 datos preparados'!N838</f>
        <v/>
      </c>
      <c r="P845" s="7">
        <f>'1 datos preparados'!O838</f>
        <v/>
      </c>
      <c r="Q845" s="7">
        <f>'1 datos preparados'!P838</f>
        <v/>
      </c>
      <c r="R845" s="7">
        <f>'1 datos preparados'!Q838</f>
        <v/>
      </c>
      <c r="S845" s="7">
        <f>'1 datos preparados'!R838</f>
        <v/>
      </c>
      <c r="T845" s="7">
        <f>'1 datos preparados'!S838</f>
        <v/>
      </c>
      <c r="U845" s="7">
        <f>'1 datos preparados'!T838</f>
        <v/>
      </c>
      <c r="V845" s="8">
        <f>$AE$12+D845*$AE$13+E845*$AE$14+F845*$AE$15+G845*$AE$16+H845*$AE$17+I845*$AE$18+J845*$AE$19+K845*$AE$20+L845*$AE$21+M845*$AE$22+N845*$AE$23+O845*$AE$24+P845*$AE$25+Q845*$AE$26+R845*$AE$27+S845*$AE$28+T845*$AE$29+U845*$AE$30</f>
        <v/>
      </c>
      <c r="W845" s="8">
        <f>1/(1+EXP(-V845))</f>
        <v/>
      </c>
      <c r="X845" s="9">
        <f>-IF(C845=1,LN(W845),LN(1-W845))</f>
        <v/>
      </c>
      <c r="Y845" s="8">
        <f>IF(C845=1,$AE$32,$AE$33)</f>
        <v/>
      </c>
      <c r="Z845" s="9">
        <f>Y845*X845</f>
        <v/>
      </c>
      <c r="AA845" s="10">
        <f>IF(W845&gt;$AE$34,1,0)</f>
        <v/>
      </c>
      <c r="AB845">
        <f>IF(AA845=C845,1,0)</f>
        <v/>
      </c>
    </row>
    <row r="846">
      <c r="A846">
        <f>'1 datos preparados'!A839</f>
        <v/>
      </c>
      <c r="B846" s="5">
        <f>'1 datos preparados'!U839</f>
        <v/>
      </c>
      <c r="C846">
        <f>'1 datos preparados'!B839</f>
        <v/>
      </c>
      <c r="D846" s="7">
        <f>'1 datos preparados'!C839</f>
        <v/>
      </c>
      <c r="E846" s="7">
        <f>'1 datos preparados'!D839</f>
        <v/>
      </c>
      <c r="F846" s="7">
        <f>'1 datos preparados'!E839</f>
        <v/>
      </c>
      <c r="G846" s="7">
        <f>'1 datos preparados'!F839</f>
        <v/>
      </c>
      <c r="H846" s="7">
        <f>'1 datos preparados'!G839</f>
        <v/>
      </c>
      <c r="I846" s="7">
        <f>'1 datos preparados'!H839</f>
        <v/>
      </c>
      <c r="J846" s="7">
        <f>'1 datos preparados'!I839</f>
        <v/>
      </c>
      <c r="K846" s="7">
        <f>'1 datos preparados'!J839</f>
        <v/>
      </c>
      <c r="L846" s="7">
        <f>'1 datos preparados'!K839</f>
        <v/>
      </c>
      <c r="M846" s="7">
        <f>'1 datos preparados'!L839</f>
        <v/>
      </c>
      <c r="N846" s="7">
        <f>'1 datos preparados'!M839</f>
        <v/>
      </c>
      <c r="O846" s="7">
        <f>'1 datos preparados'!N839</f>
        <v/>
      </c>
      <c r="P846" s="7">
        <f>'1 datos preparados'!O839</f>
        <v/>
      </c>
      <c r="Q846" s="7">
        <f>'1 datos preparados'!P839</f>
        <v/>
      </c>
      <c r="R846" s="7">
        <f>'1 datos preparados'!Q839</f>
        <v/>
      </c>
      <c r="S846" s="7">
        <f>'1 datos preparados'!R839</f>
        <v/>
      </c>
      <c r="T846" s="7">
        <f>'1 datos preparados'!S839</f>
        <v/>
      </c>
      <c r="U846" s="7">
        <f>'1 datos preparados'!T839</f>
        <v/>
      </c>
      <c r="V846" s="8">
        <f>$AE$12+D846*$AE$13+E846*$AE$14+F846*$AE$15+G846*$AE$16+H846*$AE$17+I846*$AE$18+J846*$AE$19+K846*$AE$20+L846*$AE$21+M846*$AE$22+N846*$AE$23+O846*$AE$24+P846*$AE$25+Q846*$AE$26+R846*$AE$27+S846*$AE$28+T846*$AE$29+U846*$AE$30</f>
        <v/>
      </c>
      <c r="W846" s="8">
        <f>1/(1+EXP(-V846))</f>
        <v/>
      </c>
      <c r="X846" s="9">
        <f>-IF(C846=1,LN(W846),LN(1-W846))</f>
        <v/>
      </c>
      <c r="Y846" s="8">
        <f>IF(C846=1,$AE$32,$AE$33)</f>
        <v/>
      </c>
      <c r="Z846" s="9">
        <f>Y846*X846</f>
        <v/>
      </c>
      <c r="AA846" s="10">
        <f>IF(W846&gt;$AE$34,1,0)</f>
        <v/>
      </c>
      <c r="AB846">
        <f>IF(AA846=C846,1,0)</f>
        <v/>
      </c>
    </row>
    <row r="847">
      <c r="A847">
        <f>'1 datos preparados'!A840</f>
        <v/>
      </c>
      <c r="B847" s="5">
        <f>'1 datos preparados'!U840</f>
        <v/>
      </c>
      <c r="C847">
        <f>'1 datos preparados'!B840</f>
        <v/>
      </c>
      <c r="D847" s="7">
        <f>'1 datos preparados'!C840</f>
        <v/>
      </c>
      <c r="E847" s="7">
        <f>'1 datos preparados'!D840</f>
        <v/>
      </c>
      <c r="F847" s="7">
        <f>'1 datos preparados'!E840</f>
        <v/>
      </c>
      <c r="G847" s="7">
        <f>'1 datos preparados'!F840</f>
        <v/>
      </c>
      <c r="H847" s="7">
        <f>'1 datos preparados'!G840</f>
        <v/>
      </c>
      <c r="I847" s="7">
        <f>'1 datos preparados'!H840</f>
        <v/>
      </c>
      <c r="J847" s="7">
        <f>'1 datos preparados'!I840</f>
        <v/>
      </c>
      <c r="K847" s="7">
        <f>'1 datos preparados'!J840</f>
        <v/>
      </c>
      <c r="L847" s="7">
        <f>'1 datos preparados'!K840</f>
        <v/>
      </c>
      <c r="M847" s="7">
        <f>'1 datos preparados'!L840</f>
        <v/>
      </c>
      <c r="N847" s="7">
        <f>'1 datos preparados'!M840</f>
        <v/>
      </c>
      <c r="O847" s="7">
        <f>'1 datos preparados'!N840</f>
        <v/>
      </c>
      <c r="P847" s="7">
        <f>'1 datos preparados'!O840</f>
        <v/>
      </c>
      <c r="Q847" s="7">
        <f>'1 datos preparados'!P840</f>
        <v/>
      </c>
      <c r="R847" s="7">
        <f>'1 datos preparados'!Q840</f>
        <v/>
      </c>
      <c r="S847" s="7">
        <f>'1 datos preparados'!R840</f>
        <v/>
      </c>
      <c r="T847" s="7">
        <f>'1 datos preparados'!S840</f>
        <v/>
      </c>
      <c r="U847" s="7">
        <f>'1 datos preparados'!T840</f>
        <v/>
      </c>
      <c r="V847" s="8">
        <f>$AE$12+D847*$AE$13+E847*$AE$14+F847*$AE$15+G847*$AE$16+H847*$AE$17+I847*$AE$18+J847*$AE$19+K847*$AE$20+L847*$AE$21+M847*$AE$22+N847*$AE$23+O847*$AE$24+P847*$AE$25+Q847*$AE$26+R847*$AE$27+S847*$AE$28+T847*$AE$29+U847*$AE$30</f>
        <v/>
      </c>
      <c r="W847" s="8">
        <f>1/(1+EXP(-V847))</f>
        <v/>
      </c>
      <c r="X847" s="9">
        <f>-IF(C847=1,LN(W847),LN(1-W847))</f>
        <v/>
      </c>
      <c r="Y847" s="8">
        <f>IF(C847=1,$AE$32,$AE$33)</f>
        <v/>
      </c>
      <c r="Z847" s="9">
        <f>Y847*X847</f>
        <v/>
      </c>
      <c r="AA847" s="10">
        <f>IF(W847&gt;$AE$34,1,0)</f>
        <v/>
      </c>
      <c r="AB847">
        <f>IF(AA847=C847,1,0)</f>
        <v/>
      </c>
    </row>
    <row r="848">
      <c r="A848">
        <f>'1 datos preparados'!A841</f>
        <v/>
      </c>
      <c r="B848" s="5">
        <f>'1 datos preparados'!U841</f>
        <v/>
      </c>
      <c r="C848">
        <f>'1 datos preparados'!B841</f>
        <v/>
      </c>
      <c r="D848" s="7">
        <f>'1 datos preparados'!C841</f>
        <v/>
      </c>
      <c r="E848" s="7">
        <f>'1 datos preparados'!D841</f>
        <v/>
      </c>
      <c r="F848" s="7">
        <f>'1 datos preparados'!E841</f>
        <v/>
      </c>
      <c r="G848" s="7">
        <f>'1 datos preparados'!F841</f>
        <v/>
      </c>
      <c r="H848" s="7">
        <f>'1 datos preparados'!G841</f>
        <v/>
      </c>
      <c r="I848" s="7">
        <f>'1 datos preparados'!H841</f>
        <v/>
      </c>
      <c r="J848" s="7">
        <f>'1 datos preparados'!I841</f>
        <v/>
      </c>
      <c r="K848" s="7">
        <f>'1 datos preparados'!J841</f>
        <v/>
      </c>
      <c r="L848" s="7">
        <f>'1 datos preparados'!K841</f>
        <v/>
      </c>
      <c r="M848" s="7">
        <f>'1 datos preparados'!L841</f>
        <v/>
      </c>
      <c r="N848" s="7">
        <f>'1 datos preparados'!M841</f>
        <v/>
      </c>
      <c r="O848" s="7">
        <f>'1 datos preparados'!N841</f>
        <v/>
      </c>
      <c r="P848" s="7">
        <f>'1 datos preparados'!O841</f>
        <v/>
      </c>
      <c r="Q848" s="7">
        <f>'1 datos preparados'!P841</f>
        <v/>
      </c>
      <c r="R848" s="7">
        <f>'1 datos preparados'!Q841</f>
        <v/>
      </c>
      <c r="S848" s="7">
        <f>'1 datos preparados'!R841</f>
        <v/>
      </c>
      <c r="T848" s="7">
        <f>'1 datos preparados'!S841</f>
        <v/>
      </c>
      <c r="U848" s="7">
        <f>'1 datos preparados'!T841</f>
        <v/>
      </c>
      <c r="V848" s="8">
        <f>$AE$12+D848*$AE$13+E848*$AE$14+F848*$AE$15+G848*$AE$16+H848*$AE$17+I848*$AE$18+J848*$AE$19+K848*$AE$20+L848*$AE$21+M848*$AE$22+N848*$AE$23+O848*$AE$24+P848*$AE$25+Q848*$AE$26+R848*$AE$27+S848*$AE$28+T848*$AE$29+U848*$AE$30</f>
        <v/>
      </c>
      <c r="W848" s="8">
        <f>1/(1+EXP(-V848))</f>
        <v/>
      </c>
      <c r="X848" s="9">
        <f>-IF(C848=1,LN(W848),LN(1-W848))</f>
        <v/>
      </c>
      <c r="Y848" s="8">
        <f>IF(C848=1,$AE$32,$AE$33)</f>
        <v/>
      </c>
      <c r="Z848" s="9">
        <f>Y848*X848</f>
        <v/>
      </c>
      <c r="AA848" s="10">
        <f>IF(W848&gt;$AE$34,1,0)</f>
        <v/>
      </c>
      <c r="AB848">
        <f>IF(AA848=C848,1,0)</f>
        <v/>
      </c>
    </row>
    <row r="849">
      <c r="A849">
        <f>'1 datos preparados'!A842</f>
        <v/>
      </c>
      <c r="B849" s="5">
        <f>'1 datos preparados'!U842</f>
        <v/>
      </c>
      <c r="C849">
        <f>'1 datos preparados'!B842</f>
        <v/>
      </c>
      <c r="D849" s="7">
        <f>'1 datos preparados'!C842</f>
        <v/>
      </c>
      <c r="E849" s="7">
        <f>'1 datos preparados'!D842</f>
        <v/>
      </c>
      <c r="F849" s="7">
        <f>'1 datos preparados'!E842</f>
        <v/>
      </c>
      <c r="G849" s="7">
        <f>'1 datos preparados'!F842</f>
        <v/>
      </c>
      <c r="H849" s="7">
        <f>'1 datos preparados'!G842</f>
        <v/>
      </c>
      <c r="I849" s="7">
        <f>'1 datos preparados'!H842</f>
        <v/>
      </c>
      <c r="J849" s="7">
        <f>'1 datos preparados'!I842</f>
        <v/>
      </c>
      <c r="K849" s="7">
        <f>'1 datos preparados'!J842</f>
        <v/>
      </c>
      <c r="L849" s="7">
        <f>'1 datos preparados'!K842</f>
        <v/>
      </c>
      <c r="M849" s="7">
        <f>'1 datos preparados'!L842</f>
        <v/>
      </c>
      <c r="N849" s="7">
        <f>'1 datos preparados'!M842</f>
        <v/>
      </c>
      <c r="O849" s="7">
        <f>'1 datos preparados'!N842</f>
        <v/>
      </c>
      <c r="P849" s="7">
        <f>'1 datos preparados'!O842</f>
        <v/>
      </c>
      <c r="Q849" s="7">
        <f>'1 datos preparados'!P842</f>
        <v/>
      </c>
      <c r="R849" s="7">
        <f>'1 datos preparados'!Q842</f>
        <v/>
      </c>
      <c r="S849" s="7">
        <f>'1 datos preparados'!R842</f>
        <v/>
      </c>
      <c r="T849" s="7">
        <f>'1 datos preparados'!S842</f>
        <v/>
      </c>
      <c r="U849" s="7">
        <f>'1 datos preparados'!T842</f>
        <v/>
      </c>
      <c r="V849" s="8">
        <f>$AE$12+D849*$AE$13+E849*$AE$14+F849*$AE$15+G849*$AE$16+H849*$AE$17+I849*$AE$18+J849*$AE$19+K849*$AE$20+L849*$AE$21+M849*$AE$22+N849*$AE$23+O849*$AE$24+P849*$AE$25+Q849*$AE$26+R849*$AE$27+S849*$AE$28+T849*$AE$29+U849*$AE$30</f>
        <v/>
      </c>
      <c r="W849" s="8">
        <f>1/(1+EXP(-V849))</f>
        <v/>
      </c>
      <c r="X849" s="9">
        <f>-IF(C849=1,LN(W849),LN(1-W849))</f>
        <v/>
      </c>
      <c r="Y849" s="8">
        <f>IF(C849=1,$AE$32,$AE$33)</f>
        <v/>
      </c>
      <c r="Z849" s="9">
        <f>Y849*X849</f>
        <v/>
      </c>
      <c r="AA849" s="10">
        <f>IF(W849&gt;$AE$34,1,0)</f>
        <v/>
      </c>
      <c r="AB849">
        <f>IF(AA849=C849,1,0)</f>
        <v/>
      </c>
    </row>
    <row r="850">
      <c r="A850">
        <f>'1 datos preparados'!A843</f>
        <v/>
      </c>
      <c r="B850" s="5">
        <f>'1 datos preparados'!U843</f>
        <v/>
      </c>
      <c r="C850">
        <f>'1 datos preparados'!B843</f>
        <v/>
      </c>
      <c r="D850" s="7">
        <f>'1 datos preparados'!C843</f>
        <v/>
      </c>
      <c r="E850" s="7">
        <f>'1 datos preparados'!D843</f>
        <v/>
      </c>
      <c r="F850" s="7">
        <f>'1 datos preparados'!E843</f>
        <v/>
      </c>
      <c r="G850" s="7">
        <f>'1 datos preparados'!F843</f>
        <v/>
      </c>
      <c r="H850" s="7">
        <f>'1 datos preparados'!G843</f>
        <v/>
      </c>
      <c r="I850" s="7">
        <f>'1 datos preparados'!H843</f>
        <v/>
      </c>
      <c r="J850" s="7">
        <f>'1 datos preparados'!I843</f>
        <v/>
      </c>
      <c r="K850" s="7">
        <f>'1 datos preparados'!J843</f>
        <v/>
      </c>
      <c r="L850" s="7">
        <f>'1 datos preparados'!K843</f>
        <v/>
      </c>
      <c r="M850" s="7">
        <f>'1 datos preparados'!L843</f>
        <v/>
      </c>
      <c r="N850" s="7">
        <f>'1 datos preparados'!M843</f>
        <v/>
      </c>
      <c r="O850" s="7">
        <f>'1 datos preparados'!N843</f>
        <v/>
      </c>
      <c r="P850" s="7">
        <f>'1 datos preparados'!O843</f>
        <v/>
      </c>
      <c r="Q850" s="7">
        <f>'1 datos preparados'!P843</f>
        <v/>
      </c>
      <c r="R850" s="7">
        <f>'1 datos preparados'!Q843</f>
        <v/>
      </c>
      <c r="S850" s="7">
        <f>'1 datos preparados'!R843</f>
        <v/>
      </c>
      <c r="T850" s="7">
        <f>'1 datos preparados'!S843</f>
        <v/>
      </c>
      <c r="U850" s="7">
        <f>'1 datos preparados'!T843</f>
        <v/>
      </c>
      <c r="V850" s="8">
        <f>$AE$12+D850*$AE$13+E850*$AE$14+F850*$AE$15+G850*$AE$16+H850*$AE$17+I850*$AE$18+J850*$AE$19+K850*$AE$20+L850*$AE$21+M850*$AE$22+N850*$AE$23+O850*$AE$24+P850*$AE$25+Q850*$AE$26+R850*$AE$27+S850*$AE$28+T850*$AE$29+U850*$AE$30</f>
        <v/>
      </c>
      <c r="W850" s="8">
        <f>1/(1+EXP(-V850))</f>
        <v/>
      </c>
      <c r="X850" s="9">
        <f>-IF(C850=1,LN(W850),LN(1-W850))</f>
        <v/>
      </c>
      <c r="Y850" s="8">
        <f>IF(C850=1,$AE$32,$AE$33)</f>
        <v/>
      </c>
      <c r="Z850" s="9">
        <f>Y850*X850</f>
        <v/>
      </c>
      <c r="AA850" s="10">
        <f>IF(W850&gt;$AE$34,1,0)</f>
        <v/>
      </c>
      <c r="AB850">
        <f>IF(AA850=C850,1,0)</f>
        <v/>
      </c>
    </row>
    <row r="851">
      <c r="A851">
        <f>'1 datos preparados'!A844</f>
        <v/>
      </c>
      <c r="B851" s="5">
        <f>'1 datos preparados'!U844</f>
        <v/>
      </c>
      <c r="C851">
        <f>'1 datos preparados'!B844</f>
        <v/>
      </c>
      <c r="D851" s="7">
        <f>'1 datos preparados'!C844</f>
        <v/>
      </c>
      <c r="E851" s="7">
        <f>'1 datos preparados'!D844</f>
        <v/>
      </c>
      <c r="F851" s="7">
        <f>'1 datos preparados'!E844</f>
        <v/>
      </c>
      <c r="G851" s="7">
        <f>'1 datos preparados'!F844</f>
        <v/>
      </c>
      <c r="H851" s="7">
        <f>'1 datos preparados'!G844</f>
        <v/>
      </c>
      <c r="I851" s="7">
        <f>'1 datos preparados'!H844</f>
        <v/>
      </c>
      <c r="J851" s="7">
        <f>'1 datos preparados'!I844</f>
        <v/>
      </c>
      <c r="K851" s="7">
        <f>'1 datos preparados'!J844</f>
        <v/>
      </c>
      <c r="L851" s="7">
        <f>'1 datos preparados'!K844</f>
        <v/>
      </c>
      <c r="M851" s="7">
        <f>'1 datos preparados'!L844</f>
        <v/>
      </c>
      <c r="N851" s="7">
        <f>'1 datos preparados'!M844</f>
        <v/>
      </c>
      <c r="O851" s="7">
        <f>'1 datos preparados'!N844</f>
        <v/>
      </c>
      <c r="P851" s="7">
        <f>'1 datos preparados'!O844</f>
        <v/>
      </c>
      <c r="Q851" s="7">
        <f>'1 datos preparados'!P844</f>
        <v/>
      </c>
      <c r="R851" s="7">
        <f>'1 datos preparados'!Q844</f>
        <v/>
      </c>
      <c r="S851" s="7">
        <f>'1 datos preparados'!R844</f>
        <v/>
      </c>
      <c r="T851" s="7">
        <f>'1 datos preparados'!S844</f>
        <v/>
      </c>
      <c r="U851" s="7">
        <f>'1 datos preparados'!T844</f>
        <v/>
      </c>
      <c r="V851" s="8">
        <f>$AE$12+D851*$AE$13+E851*$AE$14+F851*$AE$15+G851*$AE$16+H851*$AE$17+I851*$AE$18+J851*$AE$19+K851*$AE$20+L851*$AE$21+M851*$AE$22+N851*$AE$23+O851*$AE$24+P851*$AE$25+Q851*$AE$26+R851*$AE$27+S851*$AE$28+T851*$AE$29+U851*$AE$30</f>
        <v/>
      </c>
      <c r="W851" s="8">
        <f>1/(1+EXP(-V851))</f>
        <v/>
      </c>
      <c r="X851" s="9">
        <f>-IF(C851=1,LN(W851),LN(1-W851))</f>
        <v/>
      </c>
      <c r="Y851" s="8">
        <f>IF(C851=1,$AE$32,$AE$33)</f>
        <v/>
      </c>
      <c r="Z851" s="9">
        <f>Y851*X851</f>
        <v/>
      </c>
      <c r="AA851" s="10">
        <f>IF(W851&gt;$AE$34,1,0)</f>
        <v/>
      </c>
      <c r="AB851">
        <f>IF(AA851=C851,1,0)</f>
        <v/>
      </c>
    </row>
    <row r="852">
      <c r="A852">
        <f>'1 datos preparados'!A845</f>
        <v/>
      </c>
      <c r="B852" s="5">
        <f>'1 datos preparados'!U845</f>
        <v/>
      </c>
      <c r="C852">
        <f>'1 datos preparados'!B845</f>
        <v/>
      </c>
      <c r="D852" s="7">
        <f>'1 datos preparados'!C845</f>
        <v/>
      </c>
      <c r="E852" s="7">
        <f>'1 datos preparados'!D845</f>
        <v/>
      </c>
      <c r="F852" s="7">
        <f>'1 datos preparados'!E845</f>
        <v/>
      </c>
      <c r="G852" s="7">
        <f>'1 datos preparados'!F845</f>
        <v/>
      </c>
      <c r="H852" s="7">
        <f>'1 datos preparados'!G845</f>
        <v/>
      </c>
      <c r="I852" s="7">
        <f>'1 datos preparados'!H845</f>
        <v/>
      </c>
      <c r="J852" s="7">
        <f>'1 datos preparados'!I845</f>
        <v/>
      </c>
      <c r="K852" s="7">
        <f>'1 datos preparados'!J845</f>
        <v/>
      </c>
      <c r="L852" s="7">
        <f>'1 datos preparados'!K845</f>
        <v/>
      </c>
      <c r="M852" s="7">
        <f>'1 datos preparados'!L845</f>
        <v/>
      </c>
      <c r="N852" s="7">
        <f>'1 datos preparados'!M845</f>
        <v/>
      </c>
      <c r="O852" s="7">
        <f>'1 datos preparados'!N845</f>
        <v/>
      </c>
      <c r="P852" s="7">
        <f>'1 datos preparados'!O845</f>
        <v/>
      </c>
      <c r="Q852" s="7">
        <f>'1 datos preparados'!P845</f>
        <v/>
      </c>
      <c r="R852" s="7">
        <f>'1 datos preparados'!Q845</f>
        <v/>
      </c>
      <c r="S852" s="7">
        <f>'1 datos preparados'!R845</f>
        <v/>
      </c>
      <c r="T852" s="7">
        <f>'1 datos preparados'!S845</f>
        <v/>
      </c>
      <c r="U852" s="7">
        <f>'1 datos preparados'!T845</f>
        <v/>
      </c>
      <c r="V852" s="8">
        <f>$AE$12+D852*$AE$13+E852*$AE$14+F852*$AE$15+G852*$AE$16+H852*$AE$17+I852*$AE$18+J852*$AE$19+K852*$AE$20+L852*$AE$21+M852*$AE$22+N852*$AE$23+O852*$AE$24+P852*$AE$25+Q852*$AE$26+R852*$AE$27+S852*$AE$28+T852*$AE$29+U852*$AE$30</f>
        <v/>
      </c>
      <c r="W852" s="8">
        <f>1/(1+EXP(-V852))</f>
        <v/>
      </c>
      <c r="X852" s="9">
        <f>-IF(C852=1,LN(W852),LN(1-W852))</f>
        <v/>
      </c>
      <c r="Y852" s="8">
        <f>IF(C852=1,$AE$32,$AE$33)</f>
        <v/>
      </c>
      <c r="Z852" s="9">
        <f>Y852*X852</f>
        <v/>
      </c>
      <c r="AA852" s="10">
        <f>IF(W852&gt;$AE$34,1,0)</f>
        <v/>
      </c>
      <c r="AB852">
        <f>IF(AA852=C852,1,0)</f>
        <v/>
      </c>
    </row>
    <row r="853">
      <c r="A853">
        <f>'1 datos preparados'!A846</f>
        <v/>
      </c>
      <c r="B853" s="5">
        <f>'1 datos preparados'!U846</f>
        <v/>
      </c>
      <c r="C853">
        <f>'1 datos preparados'!B846</f>
        <v/>
      </c>
      <c r="D853" s="7">
        <f>'1 datos preparados'!C846</f>
        <v/>
      </c>
      <c r="E853" s="7">
        <f>'1 datos preparados'!D846</f>
        <v/>
      </c>
      <c r="F853" s="7">
        <f>'1 datos preparados'!E846</f>
        <v/>
      </c>
      <c r="G853" s="7">
        <f>'1 datos preparados'!F846</f>
        <v/>
      </c>
      <c r="H853" s="7">
        <f>'1 datos preparados'!G846</f>
        <v/>
      </c>
      <c r="I853" s="7">
        <f>'1 datos preparados'!H846</f>
        <v/>
      </c>
      <c r="J853" s="7">
        <f>'1 datos preparados'!I846</f>
        <v/>
      </c>
      <c r="K853" s="7">
        <f>'1 datos preparados'!J846</f>
        <v/>
      </c>
      <c r="L853" s="7">
        <f>'1 datos preparados'!K846</f>
        <v/>
      </c>
      <c r="M853" s="7">
        <f>'1 datos preparados'!L846</f>
        <v/>
      </c>
      <c r="N853" s="7">
        <f>'1 datos preparados'!M846</f>
        <v/>
      </c>
      <c r="O853" s="7">
        <f>'1 datos preparados'!N846</f>
        <v/>
      </c>
      <c r="P853" s="7">
        <f>'1 datos preparados'!O846</f>
        <v/>
      </c>
      <c r="Q853" s="7">
        <f>'1 datos preparados'!P846</f>
        <v/>
      </c>
      <c r="R853" s="7">
        <f>'1 datos preparados'!Q846</f>
        <v/>
      </c>
      <c r="S853" s="7">
        <f>'1 datos preparados'!R846</f>
        <v/>
      </c>
      <c r="T853" s="7">
        <f>'1 datos preparados'!S846</f>
        <v/>
      </c>
      <c r="U853" s="7">
        <f>'1 datos preparados'!T846</f>
        <v/>
      </c>
      <c r="V853" s="8">
        <f>$AE$12+D853*$AE$13+E853*$AE$14+F853*$AE$15+G853*$AE$16+H853*$AE$17+I853*$AE$18+J853*$AE$19+K853*$AE$20+L853*$AE$21+M853*$AE$22+N853*$AE$23+O853*$AE$24+P853*$AE$25+Q853*$AE$26+R853*$AE$27+S853*$AE$28+T853*$AE$29+U853*$AE$30</f>
        <v/>
      </c>
      <c r="W853" s="8">
        <f>1/(1+EXP(-V853))</f>
        <v/>
      </c>
      <c r="X853" s="9">
        <f>-IF(C853=1,LN(W853),LN(1-W853))</f>
        <v/>
      </c>
      <c r="Y853" s="8">
        <f>IF(C853=1,$AE$32,$AE$33)</f>
        <v/>
      </c>
      <c r="Z853" s="9">
        <f>Y853*X853</f>
        <v/>
      </c>
      <c r="AA853" s="10">
        <f>IF(W853&gt;$AE$34,1,0)</f>
        <v/>
      </c>
      <c r="AB853">
        <f>IF(AA853=C853,1,0)</f>
        <v/>
      </c>
    </row>
    <row r="854">
      <c r="A854">
        <f>'1 datos preparados'!A847</f>
        <v/>
      </c>
      <c r="B854" s="5">
        <f>'1 datos preparados'!U847</f>
        <v/>
      </c>
      <c r="C854">
        <f>'1 datos preparados'!B847</f>
        <v/>
      </c>
      <c r="D854" s="7">
        <f>'1 datos preparados'!C847</f>
        <v/>
      </c>
      <c r="E854" s="7">
        <f>'1 datos preparados'!D847</f>
        <v/>
      </c>
      <c r="F854" s="7">
        <f>'1 datos preparados'!E847</f>
        <v/>
      </c>
      <c r="G854" s="7">
        <f>'1 datos preparados'!F847</f>
        <v/>
      </c>
      <c r="H854" s="7">
        <f>'1 datos preparados'!G847</f>
        <v/>
      </c>
      <c r="I854" s="7">
        <f>'1 datos preparados'!H847</f>
        <v/>
      </c>
      <c r="J854" s="7">
        <f>'1 datos preparados'!I847</f>
        <v/>
      </c>
      <c r="K854" s="7">
        <f>'1 datos preparados'!J847</f>
        <v/>
      </c>
      <c r="L854" s="7">
        <f>'1 datos preparados'!K847</f>
        <v/>
      </c>
      <c r="M854" s="7">
        <f>'1 datos preparados'!L847</f>
        <v/>
      </c>
      <c r="N854" s="7">
        <f>'1 datos preparados'!M847</f>
        <v/>
      </c>
      <c r="O854" s="7">
        <f>'1 datos preparados'!N847</f>
        <v/>
      </c>
      <c r="P854" s="7">
        <f>'1 datos preparados'!O847</f>
        <v/>
      </c>
      <c r="Q854" s="7">
        <f>'1 datos preparados'!P847</f>
        <v/>
      </c>
      <c r="R854" s="7">
        <f>'1 datos preparados'!Q847</f>
        <v/>
      </c>
      <c r="S854" s="7">
        <f>'1 datos preparados'!R847</f>
        <v/>
      </c>
      <c r="T854" s="7">
        <f>'1 datos preparados'!S847</f>
        <v/>
      </c>
      <c r="U854" s="7">
        <f>'1 datos preparados'!T847</f>
        <v/>
      </c>
      <c r="V854" s="8">
        <f>$AE$12+D854*$AE$13+E854*$AE$14+F854*$AE$15+G854*$AE$16+H854*$AE$17+I854*$AE$18+J854*$AE$19+K854*$AE$20+L854*$AE$21+M854*$AE$22+N854*$AE$23+O854*$AE$24+P854*$AE$25+Q854*$AE$26+R854*$AE$27+S854*$AE$28+T854*$AE$29+U854*$AE$30</f>
        <v/>
      </c>
      <c r="W854" s="8">
        <f>1/(1+EXP(-V854))</f>
        <v/>
      </c>
      <c r="X854" s="9">
        <f>-IF(C854=1,LN(W854),LN(1-W854))</f>
        <v/>
      </c>
      <c r="Y854" s="8">
        <f>IF(C854=1,$AE$32,$AE$33)</f>
        <v/>
      </c>
      <c r="Z854" s="9">
        <f>Y854*X854</f>
        <v/>
      </c>
      <c r="AA854" s="10">
        <f>IF(W854&gt;$AE$34,1,0)</f>
        <v/>
      </c>
      <c r="AB854">
        <f>IF(AA854=C854,1,0)</f>
        <v/>
      </c>
    </row>
    <row r="855">
      <c r="A855">
        <f>'1 datos preparados'!A848</f>
        <v/>
      </c>
      <c r="B855" s="5">
        <f>'1 datos preparados'!U848</f>
        <v/>
      </c>
      <c r="C855">
        <f>'1 datos preparados'!B848</f>
        <v/>
      </c>
      <c r="D855" s="7">
        <f>'1 datos preparados'!C848</f>
        <v/>
      </c>
      <c r="E855" s="7">
        <f>'1 datos preparados'!D848</f>
        <v/>
      </c>
      <c r="F855" s="7">
        <f>'1 datos preparados'!E848</f>
        <v/>
      </c>
      <c r="G855" s="7">
        <f>'1 datos preparados'!F848</f>
        <v/>
      </c>
      <c r="H855" s="7">
        <f>'1 datos preparados'!G848</f>
        <v/>
      </c>
      <c r="I855" s="7">
        <f>'1 datos preparados'!H848</f>
        <v/>
      </c>
      <c r="J855" s="7">
        <f>'1 datos preparados'!I848</f>
        <v/>
      </c>
      <c r="K855" s="7">
        <f>'1 datos preparados'!J848</f>
        <v/>
      </c>
      <c r="L855" s="7">
        <f>'1 datos preparados'!K848</f>
        <v/>
      </c>
      <c r="M855" s="7">
        <f>'1 datos preparados'!L848</f>
        <v/>
      </c>
      <c r="N855" s="7">
        <f>'1 datos preparados'!M848</f>
        <v/>
      </c>
      <c r="O855" s="7">
        <f>'1 datos preparados'!N848</f>
        <v/>
      </c>
      <c r="P855" s="7">
        <f>'1 datos preparados'!O848</f>
        <v/>
      </c>
      <c r="Q855" s="7">
        <f>'1 datos preparados'!P848</f>
        <v/>
      </c>
      <c r="R855" s="7">
        <f>'1 datos preparados'!Q848</f>
        <v/>
      </c>
      <c r="S855" s="7">
        <f>'1 datos preparados'!R848</f>
        <v/>
      </c>
      <c r="T855" s="7">
        <f>'1 datos preparados'!S848</f>
        <v/>
      </c>
      <c r="U855" s="7">
        <f>'1 datos preparados'!T848</f>
        <v/>
      </c>
      <c r="V855" s="8">
        <f>$AE$12+D855*$AE$13+E855*$AE$14+F855*$AE$15+G855*$AE$16+H855*$AE$17+I855*$AE$18+J855*$AE$19+K855*$AE$20+L855*$AE$21+M855*$AE$22+N855*$AE$23+O855*$AE$24+P855*$AE$25+Q855*$AE$26+R855*$AE$27+S855*$AE$28+T855*$AE$29+U855*$AE$30</f>
        <v/>
      </c>
      <c r="W855" s="8">
        <f>1/(1+EXP(-V855))</f>
        <v/>
      </c>
      <c r="X855" s="9">
        <f>-IF(C855=1,LN(W855),LN(1-W855))</f>
        <v/>
      </c>
      <c r="Y855" s="8">
        <f>IF(C855=1,$AE$32,$AE$33)</f>
        <v/>
      </c>
      <c r="Z855" s="9">
        <f>Y855*X855</f>
        <v/>
      </c>
      <c r="AA855" s="10">
        <f>IF(W855&gt;$AE$34,1,0)</f>
        <v/>
      </c>
      <c r="AB855">
        <f>IF(AA855=C855,1,0)</f>
        <v/>
      </c>
    </row>
    <row r="856">
      <c r="A856">
        <f>'1 datos preparados'!A849</f>
        <v/>
      </c>
      <c r="B856" s="5">
        <f>'1 datos preparados'!U849</f>
        <v/>
      </c>
      <c r="C856">
        <f>'1 datos preparados'!B849</f>
        <v/>
      </c>
      <c r="D856" s="7">
        <f>'1 datos preparados'!C849</f>
        <v/>
      </c>
      <c r="E856" s="7">
        <f>'1 datos preparados'!D849</f>
        <v/>
      </c>
      <c r="F856" s="7">
        <f>'1 datos preparados'!E849</f>
        <v/>
      </c>
      <c r="G856" s="7">
        <f>'1 datos preparados'!F849</f>
        <v/>
      </c>
      <c r="H856" s="7">
        <f>'1 datos preparados'!G849</f>
        <v/>
      </c>
      <c r="I856" s="7">
        <f>'1 datos preparados'!H849</f>
        <v/>
      </c>
      <c r="J856" s="7">
        <f>'1 datos preparados'!I849</f>
        <v/>
      </c>
      <c r="K856" s="7">
        <f>'1 datos preparados'!J849</f>
        <v/>
      </c>
      <c r="L856" s="7">
        <f>'1 datos preparados'!K849</f>
        <v/>
      </c>
      <c r="M856" s="7">
        <f>'1 datos preparados'!L849</f>
        <v/>
      </c>
      <c r="N856" s="7">
        <f>'1 datos preparados'!M849</f>
        <v/>
      </c>
      <c r="O856" s="7">
        <f>'1 datos preparados'!N849</f>
        <v/>
      </c>
      <c r="P856" s="7">
        <f>'1 datos preparados'!O849</f>
        <v/>
      </c>
      <c r="Q856" s="7">
        <f>'1 datos preparados'!P849</f>
        <v/>
      </c>
      <c r="R856" s="7">
        <f>'1 datos preparados'!Q849</f>
        <v/>
      </c>
      <c r="S856" s="7">
        <f>'1 datos preparados'!R849</f>
        <v/>
      </c>
      <c r="T856" s="7">
        <f>'1 datos preparados'!S849</f>
        <v/>
      </c>
      <c r="U856" s="7">
        <f>'1 datos preparados'!T849</f>
        <v/>
      </c>
      <c r="V856" s="8">
        <f>$AE$12+D856*$AE$13+E856*$AE$14+F856*$AE$15+G856*$AE$16+H856*$AE$17+I856*$AE$18+J856*$AE$19+K856*$AE$20+L856*$AE$21+M856*$AE$22+N856*$AE$23+O856*$AE$24+P856*$AE$25+Q856*$AE$26+R856*$AE$27+S856*$AE$28+T856*$AE$29+U856*$AE$30</f>
        <v/>
      </c>
      <c r="W856" s="8">
        <f>1/(1+EXP(-V856))</f>
        <v/>
      </c>
      <c r="X856" s="9">
        <f>-IF(C856=1,LN(W856),LN(1-W856))</f>
        <v/>
      </c>
      <c r="Y856" s="8">
        <f>IF(C856=1,$AE$32,$AE$33)</f>
        <v/>
      </c>
      <c r="Z856" s="9">
        <f>Y856*X856</f>
        <v/>
      </c>
      <c r="AA856" s="10">
        <f>IF(W856&gt;$AE$34,1,0)</f>
        <v/>
      </c>
      <c r="AB856">
        <f>IF(AA856=C856,1,0)</f>
        <v/>
      </c>
    </row>
    <row r="857">
      <c r="A857">
        <f>'1 datos preparados'!A850</f>
        <v/>
      </c>
      <c r="B857" s="5">
        <f>'1 datos preparados'!U850</f>
        <v/>
      </c>
      <c r="C857">
        <f>'1 datos preparados'!B850</f>
        <v/>
      </c>
      <c r="D857" s="7">
        <f>'1 datos preparados'!C850</f>
        <v/>
      </c>
      <c r="E857" s="7">
        <f>'1 datos preparados'!D850</f>
        <v/>
      </c>
      <c r="F857" s="7">
        <f>'1 datos preparados'!E850</f>
        <v/>
      </c>
      <c r="G857" s="7">
        <f>'1 datos preparados'!F850</f>
        <v/>
      </c>
      <c r="H857" s="7">
        <f>'1 datos preparados'!G850</f>
        <v/>
      </c>
      <c r="I857" s="7">
        <f>'1 datos preparados'!H850</f>
        <v/>
      </c>
      <c r="J857" s="7">
        <f>'1 datos preparados'!I850</f>
        <v/>
      </c>
      <c r="K857" s="7">
        <f>'1 datos preparados'!J850</f>
        <v/>
      </c>
      <c r="L857" s="7">
        <f>'1 datos preparados'!K850</f>
        <v/>
      </c>
      <c r="M857" s="7">
        <f>'1 datos preparados'!L850</f>
        <v/>
      </c>
      <c r="N857" s="7">
        <f>'1 datos preparados'!M850</f>
        <v/>
      </c>
      <c r="O857" s="7">
        <f>'1 datos preparados'!N850</f>
        <v/>
      </c>
      <c r="P857" s="7">
        <f>'1 datos preparados'!O850</f>
        <v/>
      </c>
      <c r="Q857" s="7">
        <f>'1 datos preparados'!P850</f>
        <v/>
      </c>
      <c r="R857" s="7">
        <f>'1 datos preparados'!Q850</f>
        <v/>
      </c>
      <c r="S857" s="7">
        <f>'1 datos preparados'!R850</f>
        <v/>
      </c>
      <c r="T857" s="7">
        <f>'1 datos preparados'!S850</f>
        <v/>
      </c>
      <c r="U857" s="7">
        <f>'1 datos preparados'!T850</f>
        <v/>
      </c>
      <c r="V857" s="8">
        <f>$AE$12+D857*$AE$13+E857*$AE$14+F857*$AE$15+G857*$AE$16+H857*$AE$17+I857*$AE$18+J857*$AE$19+K857*$AE$20+L857*$AE$21+M857*$AE$22+N857*$AE$23+O857*$AE$24+P857*$AE$25+Q857*$AE$26+R857*$AE$27+S857*$AE$28+T857*$AE$29+U857*$AE$30</f>
        <v/>
      </c>
      <c r="W857" s="8">
        <f>1/(1+EXP(-V857))</f>
        <v/>
      </c>
      <c r="X857" s="9">
        <f>-IF(C857=1,LN(W857),LN(1-W857))</f>
        <v/>
      </c>
      <c r="Y857" s="8">
        <f>IF(C857=1,$AE$32,$AE$33)</f>
        <v/>
      </c>
      <c r="Z857" s="9">
        <f>Y857*X857</f>
        <v/>
      </c>
      <c r="AA857" s="10">
        <f>IF(W857&gt;$AE$34,1,0)</f>
        <v/>
      </c>
      <c r="AB857">
        <f>IF(AA857=C857,1,0)</f>
        <v/>
      </c>
    </row>
    <row r="858">
      <c r="A858">
        <f>'1 datos preparados'!A851</f>
        <v/>
      </c>
      <c r="B858" s="5">
        <f>'1 datos preparados'!U851</f>
        <v/>
      </c>
      <c r="C858">
        <f>'1 datos preparados'!B851</f>
        <v/>
      </c>
      <c r="D858" s="7">
        <f>'1 datos preparados'!C851</f>
        <v/>
      </c>
      <c r="E858" s="7">
        <f>'1 datos preparados'!D851</f>
        <v/>
      </c>
      <c r="F858" s="7">
        <f>'1 datos preparados'!E851</f>
        <v/>
      </c>
      <c r="G858" s="7">
        <f>'1 datos preparados'!F851</f>
        <v/>
      </c>
      <c r="H858" s="7">
        <f>'1 datos preparados'!G851</f>
        <v/>
      </c>
      <c r="I858" s="7">
        <f>'1 datos preparados'!H851</f>
        <v/>
      </c>
      <c r="J858" s="7">
        <f>'1 datos preparados'!I851</f>
        <v/>
      </c>
      <c r="K858" s="7">
        <f>'1 datos preparados'!J851</f>
        <v/>
      </c>
      <c r="L858" s="7">
        <f>'1 datos preparados'!K851</f>
        <v/>
      </c>
      <c r="M858" s="7">
        <f>'1 datos preparados'!L851</f>
        <v/>
      </c>
      <c r="N858" s="7">
        <f>'1 datos preparados'!M851</f>
        <v/>
      </c>
      <c r="O858" s="7">
        <f>'1 datos preparados'!N851</f>
        <v/>
      </c>
      <c r="P858" s="7">
        <f>'1 datos preparados'!O851</f>
        <v/>
      </c>
      <c r="Q858" s="7">
        <f>'1 datos preparados'!P851</f>
        <v/>
      </c>
      <c r="R858" s="7">
        <f>'1 datos preparados'!Q851</f>
        <v/>
      </c>
      <c r="S858" s="7">
        <f>'1 datos preparados'!R851</f>
        <v/>
      </c>
      <c r="T858" s="7">
        <f>'1 datos preparados'!S851</f>
        <v/>
      </c>
      <c r="U858" s="7">
        <f>'1 datos preparados'!T851</f>
        <v/>
      </c>
      <c r="V858" s="8">
        <f>$AE$12+D858*$AE$13+E858*$AE$14+F858*$AE$15+G858*$AE$16+H858*$AE$17+I858*$AE$18+J858*$AE$19+K858*$AE$20+L858*$AE$21+M858*$AE$22+N858*$AE$23+O858*$AE$24+P858*$AE$25+Q858*$AE$26+R858*$AE$27+S858*$AE$28+T858*$AE$29+U858*$AE$30</f>
        <v/>
      </c>
      <c r="W858" s="8">
        <f>1/(1+EXP(-V858))</f>
        <v/>
      </c>
      <c r="X858" s="9">
        <f>-IF(C858=1,LN(W858),LN(1-W858))</f>
        <v/>
      </c>
      <c r="Y858" s="8">
        <f>IF(C858=1,$AE$32,$AE$33)</f>
        <v/>
      </c>
      <c r="Z858" s="9">
        <f>Y858*X858</f>
        <v/>
      </c>
      <c r="AA858" s="10">
        <f>IF(W858&gt;$AE$34,1,0)</f>
        <v/>
      </c>
      <c r="AB858">
        <f>IF(AA858=C858,1,0)</f>
        <v/>
      </c>
    </row>
    <row r="859">
      <c r="A859">
        <f>'1 datos preparados'!A852</f>
        <v/>
      </c>
      <c r="B859" s="5">
        <f>'1 datos preparados'!U852</f>
        <v/>
      </c>
      <c r="C859">
        <f>'1 datos preparados'!B852</f>
        <v/>
      </c>
      <c r="D859" s="7">
        <f>'1 datos preparados'!C852</f>
        <v/>
      </c>
      <c r="E859" s="7">
        <f>'1 datos preparados'!D852</f>
        <v/>
      </c>
      <c r="F859" s="7">
        <f>'1 datos preparados'!E852</f>
        <v/>
      </c>
      <c r="G859" s="7">
        <f>'1 datos preparados'!F852</f>
        <v/>
      </c>
      <c r="H859" s="7">
        <f>'1 datos preparados'!G852</f>
        <v/>
      </c>
      <c r="I859" s="7">
        <f>'1 datos preparados'!H852</f>
        <v/>
      </c>
      <c r="J859" s="7">
        <f>'1 datos preparados'!I852</f>
        <v/>
      </c>
      <c r="K859" s="7">
        <f>'1 datos preparados'!J852</f>
        <v/>
      </c>
      <c r="L859" s="7">
        <f>'1 datos preparados'!K852</f>
        <v/>
      </c>
      <c r="M859" s="7">
        <f>'1 datos preparados'!L852</f>
        <v/>
      </c>
      <c r="N859" s="7">
        <f>'1 datos preparados'!M852</f>
        <v/>
      </c>
      <c r="O859" s="7">
        <f>'1 datos preparados'!N852</f>
        <v/>
      </c>
      <c r="P859" s="7">
        <f>'1 datos preparados'!O852</f>
        <v/>
      </c>
      <c r="Q859" s="7">
        <f>'1 datos preparados'!P852</f>
        <v/>
      </c>
      <c r="R859" s="7">
        <f>'1 datos preparados'!Q852</f>
        <v/>
      </c>
      <c r="S859" s="7">
        <f>'1 datos preparados'!R852</f>
        <v/>
      </c>
      <c r="T859" s="7">
        <f>'1 datos preparados'!S852</f>
        <v/>
      </c>
      <c r="U859" s="7">
        <f>'1 datos preparados'!T852</f>
        <v/>
      </c>
      <c r="V859" s="8">
        <f>$AE$12+D859*$AE$13+E859*$AE$14+F859*$AE$15+G859*$AE$16+H859*$AE$17+I859*$AE$18+J859*$AE$19+K859*$AE$20+L859*$AE$21+M859*$AE$22+N859*$AE$23+O859*$AE$24+P859*$AE$25+Q859*$AE$26+R859*$AE$27+S859*$AE$28+T859*$AE$29+U859*$AE$30</f>
        <v/>
      </c>
      <c r="W859" s="8">
        <f>1/(1+EXP(-V859))</f>
        <v/>
      </c>
      <c r="X859" s="9">
        <f>-IF(C859=1,LN(W859),LN(1-W859))</f>
        <v/>
      </c>
      <c r="Y859" s="8">
        <f>IF(C859=1,$AE$32,$AE$33)</f>
        <v/>
      </c>
      <c r="Z859" s="9">
        <f>Y859*X859</f>
        <v/>
      </c>
      <c r="AA859" s="10">
        <f>IF(W859&gt;$AE$34,1,0)</f>
        <v/>
      </c>
      <c r="AB859">
        <f>IF(AA859=C859,1,0)</f>
        <v/>
      </c>
    </row>
    <row r="860">
      <c r="A860">
        <f>'1 datos preparados'!A853</f>
        <v/>
      </c>
      <c r="B860" s="5">
        <f>'1 datos preparados'!U853</f>
        <v/>
      </c>
      <c r="C860">
        <f>'1 datos preparados'!B853</f>
        <v/>
      </c>
      <c r="D860" s="7">
        <f>'1 datos preparados'!C853</f>
        <v/>
      </c>
      <c r="E860" s="7">
        <f>'1 datos preparados'!D853</f>
        <v/>
      </c>
      <c r="F860" s="7">
        <f>'1 datos preparados'!E853</f>
        <v/>
      </c>
      <c r="G860" s="7">
        <f>'1 datos preparados'!F853</f>
        <v/>
      </c>
      <c r="H860" s="7">
        <f>'1 datos preparados'!G853</f>
        <v/>
      </c>
      <c r="I860" s="7">
        <f>'1 datos preparados'!H853</f>
        <v/>
      </c>
      <c r="J860" s="7">
        <f>'1 datos preparados'!I853</f>
        <v/>
      </c>
      <c r="K860" s="7">
        <f>'1 datos preparados'!J853</f>
        <v/>
      </c>
      <c r="L860" s="7">
        <f>'1 datos preparados'!K853</f>
        <v/>
      </c>
      <c r="M860" s="7">
        <f>'1 datos preparados'!L853</f>
        <v/>
      </c>
      <c r="N860" s="7">
        <f>'1 datos preparados'!M853</f>
        <v/>
      </c>
      <c r="O860" s="7">
        <f>'1 datos preparados'!N853</f>
        <v/>
      </c>
      <c r="P860" s="7">
        <f>'1 datos preparados'!O853</f>
        <v/>
      </c>
      <c r="Q860" s="7">
        <f>'1 datos preparados'!P853</f>
        <v/>
      </c>
      <c r="R860" s="7">
        <f>'1 datos preparados'!Q853</f>
        <v/>
      </c>
      <c r="S860" s="7">
        <f>'1 datos preparados'!R853</f>
        <v/>
      </c>
      <c r="T860" s="7">
        <f>'1 datos preparados'!S853</f>
        <v/>
      </c>
      <c r="U860" s="7">
        <f>'1 datos preparados'!T853</f>
        <v/>
      </c>
      <c r="V860" s="8">
        <f>$AE$12+D860*$AE$13+E860*$AE$14+F860*$AE$15+G860*$AE$16+H860*$AE$17+I860*$AE$18+J860*$AE$19+K860*$AE$20+L860*$AE$21+M860*$AE$22+N860*$AE$23+O860*$AE$24+P860*$AE$25+Q860*$AE$26+R860*$AE$27+S860*$AE$28+T860*$AE$29+U860*$AE$30</f>
        <v/>
      </c>
      <c r="W860" s="8">
        <f>1/(1+EXP(-V860))</f>
        <v/>
      </c>
      <c r="X860" s="9">
        <f>-IF(C860=1,LN(W860),LN(1-W860))</f>
        <v/>
      </c>
      <c r="Y860" s="8">
        <f>IF(C860=1,$AE$32,$AE$33)</f>
        <v/>
      </c>
      <c r="Z860" s="9">
        <f>Y860*X860</f>
        <v/>
      </c>
      <c r="AA860" s="10">
        <f>IF(W860&gt;$AE$34,1,0)</f>
        <v/>
      </c>
      <c r="AB860">
        <f>IF(AA860=C860,1,0)</f>
        <v/>
      </c>
    </row>
    <row r="861">
      <c r="A861">
        <f>'1 datos preparados'!A854</f>
        <v/>
      </c>
      <c r="B861" s="5">
        <f>'1 datos preparados'!U854</f>
        <v/>
      </c>
      <c r="C861">
        <f>'1 datos preparados'!B854</f>
        <v/>
      </c>
      <c r="D861" s="7">
        <f>'1 datos preparados'!C854</f>
        <v/>
      </c>
      <c r="E861" s="7">
        <f>'1 datos preparados'!D854</f>
        <v/>
      </c>
      <c r="F861" s="7">
        <f>'1 datos preparados'!E854</f>
        <v/>
      </c>
      <c r="G861" s="7">
        <f>'1 datos preparados'!F854</f>
        <v/>
      </c>
      <c r="H861" s="7">
        <f>'1 datos preparados'!G854</f>
        <v/>
      </c>
      <c r="I861" s="7">
        <f>'1 datos preparados'!H854</f>
        <v/>
      </c>
      <c r="J861" s="7">
        <f>'1 datos preparados'!I854</f>
        <v/>
      </c>
      <c r="K861" s="7">
        <f>'1 datos preparados'!J854</f>
        <v/>
      </c>
      <c r="L861" s="7">
        <f>'1 datos preparados'!K854</f>
        <v/>
      </c>
      <c r="M861" s="7">
        <f>'1 datos preparados'!L854</f>
        <v/>
      </c>
      <c r="N861" s="7">
        <f>'1 datos preparados'!M854</f>
        <v/>
      </c>
      <c r="O861" s="7">
        <f>'1 datos preparados'!N854</f>
        <v/>
      </c>
      <c r="P861" s="7">
        <f>'1 datos preparados'!O854</f>
        <v/>
      </c>
      <c r="Q861" s="7">
        <f>'1 datos preparados'!P854</f>
        <v/>
      </c>
      <c r="R861" s="7">
        <f>'1 datos preparados'!Q854</f>
        <v/>
      </c>
      <c r="S861" s="7">
        <f>'1 datos preparados'!R854</f>
        <v/>
      </c>
      <c r="T861" s="7">
        <f>'1 datos preparados'!S854</f>
        <v/>
      </c>
      <c r="U861" s="7">
        <f>'1 datos preparados'!T854</f>
        <v/>
      </c>
      <c r="V861" s="8">
        <f>$AE$12+D861*$AE$13+E861*$AE$14+F861*$AE$15+G861*$AE$16+H861*$AE$17+I861*$AE$18+J861*$AE$19+K861*$AE$20+L861*$AE$21+M861*$AE$22+N861*$AE$23+O861*$AE$24+P861*$AE$25+Q861*$AE$26+R861*$AE$27+S861*$AE$28+T861*$AE$29+U861*$AE$30</f>
        <v/>
      </c>
      <c r="W861" s="8">
        <f>1/(1+EXP(-V861))</f>
        <v/>
      </c>
      <c r="X861" s="9">
        <f>-IF(C861=1,LN(W861),LN(1-W861))</f>
        <v/>
      </c>
      <c r="Y861" s="8">
        <f>IF(C861=1,$AE$32,$AE$33)</f>
        <v/>
      </c>
      <c r="Z861" s="9">
        <f>Y861*X861</f>
        <v/>
      </c>
      <c r="AA861" s="10">
        <f>IF(W861&gt;$AE$34,1,0)</f>
        <v/>
      </c>
      <c r="AB861">
        <f>IF(AA861=C861,1,0)</f>
        <v/>
      </c>
    </row>
    <row r="862">
      <c r="A862">
        <f>'1 datos preparados'!A855</f>
        <v/>
      </c>
      <c r="B862" s="5">
        <f>'1 datos preparados'!U855</f>
        <v/>
      </c>
      <c r="C862">
        <f>'1 datos preparados'!B855</f>
        <v/>
      </c>
      <c r="D862" s="7">
        <f>'1 datos preparados'!C855</f>
        <v/>
      </c>
      <c r="E862" s="7">
        <f>'1 datos preparados'!D855</f>
        <v/>
      </c>
      <c r="F862" s="7">
        <f>'1 datos preparados'!E855</f>
        <v/>
      </c>
      <c r="G862" s="7">
        <f>'1 datos preparados'!F855</f>
        <v/>
      </c>
      <c r="H862" s="7">
        <f>'1 datos preparados'!G855</f>
        <v/>
      </c>
      <c r="I862" s="7">
        <f>'1 datos preparados'!H855</f>
        <v/>
      </c>
      <c r="J862" s="7">
        <f>'1 datos preparados'!I855</f>
        <v/>
      </c>
      <c r="K862" s="7">
        <f>'1 datos preparados'!J855</f>
        <v/>
      </c>
      <c r="L862" s="7">
        <f>'1 datos preparados'!K855</f>
        <v/>
      </c>
      <c r="M862" s="7">
        <f>'1 datos preparados'!L855</f>
        <v/>
      </c>
      <c r="N862" s="7">
        <f>'1 datos preparados'!M855</f>
        <v/>
      </c>
      <c r="O862" s="7">
        <f>'1 datos preparados'!N855</f>
        <v/>
      </c>
      <c r="P862" s="7">
        <f>'1 datos preparados'!O855</f>
        <v/>
      </c>
      <c r="Q862" s="7">
        <f>'1 datos preparados'!P855</f>
        <v/>
      </c>
      <c r="R862" s="7">
        <f>'1 datos preparados'!Q855</f>
        <v/>
      </c>
      <c r="S862" s="7">
        <f>'1 datos preparados'!R855</f>
        <v/>
      </c>
      <c r="T862" s="7">
        <f>'1 datos preparados'!S855</f>
        <v/>
      </c>
      <c r="U862" s="7">
        <f>'1 datos preparados'!T855</f>
        <v/>
      </c>
      <c r="V862" s="8">
        <f>$AE$12+D862*$AE$13+E862*$AE$14+F862*$AE$15+G862*$AE$16+H862*$AE$17+I862*$AE$18+J862*$AE$19+K862*$AE$20+L862*$AE$21+M862*$AE$22+N862*$AE$23+O862*$AE$24+P862*$AE$25+Q862*$AE$26+R862*$AE$27+S862*$AE$28+T862*$AE$29+U862*$AE$30</f>
        <v/>
      </c>
      <c r="W862" s="8">
        <f>1/(1+EXP(-V862))</f>
        <v/>
      </c>
      <c r="X862" s="9">
        <f>-IF(C862=1,LN(W862),LN(1-W862))</f>
        <v/>
      </c>
      <c r="Y862" s="8">
        <f>IF(C862=1,$AE$32,$AE$33)</f>
        <v/>
      </c>
      <c r="Z862" s="9">
        <f>Y862*X862</f>
        <v/>
      </c>
      <c r="AA862" s="10">
        <f>IF(W862&gt;$AE$34,1,0)</f>
        <v/>
      </c>
      <c r="AB862">
        <f>IF(AA862=C862,1,0)</f>
        <v/>
      </c>
    </row>
    <row r="863">
      <c r="A863">
        <f>'1 datos preparados'!A856</f>
        <v/>
      </c>
      <c r="B863" s="5">
        <f>'1 datos preparados'!U856</f>
        <v/>
      </c>
      <c r="C863">
        <f>'1 datos preparados'!B856</f>
        <v/>
      </c>
      <c r="D863" s="7">
        <f>'1 datos preparados'!C856</f>
        <v/>
      </c>
      <c r="E863" s="7">
        <f>'1 datos preparados'!D856</f>
        <v/>
      </c>
      <c r="F863" s="7">
        <f>'1 datos preparados'!E856</f>
        <v/>
      </c>
      <c r="G863" s="7">
        <f>'1 datos preparados'!F856</f>
        <v/>
      </c>
      <c r="H863" s="7">
        <f>'1 datos preparados'!G856</f>
        <v/>
      </c>
      <c r="I863" s="7">
        <f>'1 datos preparados'!H856</f>
        <v/>
      </c>
      <c r="J863" s="7">
        <f>'1 datos preparados'!I856</f>
        <v/>
      </c>
      <c r="K863" s="7">
        <f>'1 datos preparados'!J856</f>
        <v/>
      </c>
      <c r="L863" s="7">
        <f>'1 datos preparados'!K856</f>
        <v/>
      </c>
      <c r="M863" s="7">
        <f>'1 datos preparados'!L856</f>
        <v/>
      </c>
      <c r="N863" s="7">
        <f>'1 datos preparados'!M856</f>
        <v/>
      </c>
      <c r="O863" s="7">
        <f>'1 datos preparados'!N856</f>
        <v/>
      </c>
      <c r="P863" s="7">
        <f>'1 datos preparados'!O856</f>
        <v/>
      </c>
      <c r="Q863" s="7">
        <f>'1 datos preparados'!P856</f>
        <v/>
      </c>
      <c r="R863" s="7">
        <f>'1 datos preparados'!Q856</f>
        <v/>
      </c>
      <c r="S863" s="7">
        <f>'1 datos preparados'!R856</f>
        <v/>
      </c>
      <c r="T863" s="7">
        <f>'1 datos preparados'!S856</f>
        <v/>
      </c>
      <c r="U863" s="7">
        <f>'1 datos preparados'!T856</f>
        <v/>
      </c>
      <c r="V863" s="8">
        <f>$AE$12+D863*$AE$13+E863*$AE$14+F863*$AE$15+G863*$AE$16+H863*$AE$17+I863*$AE$18+J863*$AE$19+K863*$AE$20+L863*$AE$21+M863*$AE$22+N863*$AE$23+O863*$AE$24+P863*$AE$25+Q863*$AE$26+R863*$AE$27+S863*$AE$28+T863*$AE$29+U863*$AE$30</f>
        <v/>
      </c>
      <c r="W863" s="8">
        <f>1/(1+EXP(-V863))</f>
        <v/>
      </c>
      <c r="X863" s="9">
        <f>-IF(C863=1,LN(W863),LN(1-W863))</f>
        <v/>
      </c>
      <c r="Y863" s="8">
        <f>IF(C863=1,$AE$32,$AE$33)</f>
        <v/>
      </c>
      <c r="Z863" s="9">
        <f>Y863*X863</f>
        <v/>
      </c>
      <c r="AA863" s="10">
        <f>IF(W863&gt;$AE$34,1,0)</f>
        <v/>
      </c>
      <c r="AB863">
        <f>IF(AA863=C863,1,0)</f>
        <v/>
      </c>
    </row>
    <row r="864">
      <c r="A864">
        <f>'1 datos preparados'!A857</f>
        <v/>
      </c>
      <c r="B864" s="5">
        <f>'1 datos preparados'!U857</f>
        <v/>
      </c>
      <c r="C864">
        <f>'1 datos preparados'!B857</f>
        <v/>
      </c>
      <c r="D864" s="7">
        <f>'1 datos preparados'!C857</f>
        <v/>
      </c>
      <c r="E864" s="7">
        <f>'1 datos preparados'!D857</f>
        <v/>
      </c>
      <c r="F864" s="7">
        <f>'1 datos preparados'!E857</f>
        <v/>
      </c>
      <c r="G864" s="7">
        <f>'1 datos preparados'!F857</f>
        <v/>
      </c>
      <c r="H864" s="7">
        <f>'1 datos preparados'!G857</f>
        <v/>
      </c>
      <c r="I864" s="7">
        <f>'1 datos preparados'!H857</f>
        <v/>
      </c>
      <c r="J864" s="7">
        <f>'1 datos preparados'!I857</f>
        <v/>
      </c>
      <c r="K864" s="7">
        <f>'1 datos preparados'!J857</f>
        <v/>
      </c>
      <c r="L864" s="7">
        <f>'1 datos preparados'!K857</f>
        <v/>
      </c>
      <c r="M864" s="7">
        <f>'1 datos preparados'!L857</f>
        <v/>
      </c>
      <c r="N864" s="7">
        <f>'1 datos preparados'!M857</f>
        <v/>
      </c>
      <c r="O864" s="7">
        <f>'1 datos preparados'!N857</f>
        <v/>
      </c>
      <c r="P864" s="7">
        <f>'1 datos preparados'!O857</f>
        <v/>
      </c>
      <c r="Q864" s="7">
        <f>'1 datos preparados'!P857</f>
        <v/>
      </c>
      <c r="R864" s="7">
        <f>'1 datos preparados'!Q857</f>
        <v/>
      </c>
      <c r="S864" s="7">
        <f>'1 datos preparados'!R857</f>
        <v/>
      </c>
      <c r="T864" s="7">
        <f>'1 datos preparados'!S857</f>
        <v/>
      </c>
      <c r="U864" s="7">
        <f>'1 datos preparados'!T857</f>
        <v/>
      </c>
      <c r="V864" s="8">
        <f>$AE$12+D864*$AE$13+E864*$AE$14+F864*$AE$15+G864*$AE$16+H864*$AE$17+I864*$AE$18+J864*$AE$19+K864*$AE$20+L864*$AE$21+M864*$AE$22+N864*$AE$23+O864*$AE$24+P864*$AE$25+Q864*$AE$26+R864*$AE$27+S864*$AE$28+T864*$AE$29+U864*$AE$30</f>
        <v/>
      </c>
      <c r="W864" s="8">
        <f>1/(1+EXP(-V864))</f>
        <v/>
      </c>
      <c r="X864" s="9">
        <f>-IF(C864=1,LN(W864),LN(1-W864))</f>
        <v/>
      </c>
      <c r="Y864" s="8">
        <f>IF(C864=1,$AE$32,$AE$33)</f>
        <v/>
      </c>
      <c r="Z864" s="9">
        <f>Y864*X864</f>
        <v/>
      </c>
      <c r="AA864" s="10">
        <f>IF(W864&gt;$AE$34,1,0)</f>
        <v/>
      </c>
      <c r="AB864">
        <f>IF(AA864=C864,1,0)</f>
        <v/>
      </c>
    </row>
    <row r="865">
      <c r="A865">
        <f>'1 datos preparados'!A858</f>
        <v/>
      </c>
      <c r="B865" s="5">
        <f>'1 datos preparados'!U858</f>
        <v/>
      </c>
      <c r="C865">
        <f>'1 datos preparados'!B858</f>
        <v/>
      </c>
      <c r="D865" s="7">
        <f>'1 datos preparados'!C858</f>
        <v/>
      </c>
      <c r="E865" s="7">
        <f>'1 datos preparados'!D858</f>
        <v/>
      </c>
      <c r="F865" s="7">
        <f>'1 datos preparados'!E858</f>
        <v/>
      </c>
      <c r="G865" s="7">
        <f>'1 datos preparados'!F858</f>
        <v/>
      </c>
      <c r="H865" s="7">
        <f>'1 datos preparados'!G858</f>
        <v/>
      </c>
      <c r="I865" s="7">
        <f>'1 datos preparados'!H858</f>
        <v/>
      </c>
      <c r="J865" s="7">
        <f>'1 datos preparados'!I858</f>
        <v/>
      </c>
      <c r="K865" s="7">
        <f>'1 datos preparados'!J858</f>
        <v/>
      </c>
      <c r="L865" s="7">
        <f>'1 datos preparados'!K858</f>
        <v/>
      </c>
      <c r="M865" s="7">
        <f>'1 datos preparados'!L858</f>
        <v/>
      </c>
      <c r="N865" s="7">
        <f>'1 datos preparados'!M858</f>
        <v/>
      </c>
      <c r="O865" s="7">
        <f>'1 datos preparados'!N858</f>
        <v/>
      </c>
      <c r="P865" s="7">
        <f>'1 datos preparados'!O858</f>
        <v/>
      </c>
      <c r="Q865" s="7">
        <f>'1 datos preparados'!P858</f>
        <v/>
      </c>
      <c r="R865" s="7">
        <f>'1 datos preparados'!Q858</f>
        <v/>
      </c>
      <c r="S865" s="7">
        <f>'1 datos preparados'!R858</f>
        <v/>
      </c>
      <c r="T865" s="7">
        <f>'1 datos preparados'!S858</f>
        <v/>
      </c>
      <c r="U865" s="7">
        <f>'1 datos preparados'!T858</f>
        <v/>
      </c>
      <c r="V865" s="8">
        <f>$AE$12+D865*$AE$13+E865*$AE$14+F865*$AE$15+G865*$AE$16+H865*$AE$17+I865*$AE$18+J865*$AE$19+K865*$AE$20+L865*$AE$21+M865*$AE$22+N865*$AE$23+O865*$AE$24+P865*$AE$25+Q865*$AE$26+R865*$AE$27+S865*$AE$28+T865*$AE$29+U865*$AE$30</f>
        <v/>
      </c>
      <c r="W865" s="8">
        <f>1/(1+EXP(-V865))</f>
        <v/>
      </c>
      <c r="X865" s="9">
        <f>-IF(C865=1,LN(W865),LN(1-W865))</f>
        <v/>
      </c>
      <c r="Y865" s="8">
        <f>IF(C865=1,$AE$32,$AE$33)</f>
        <v/>
      </c>
      <c r="Z865" s="9">
        <f>Y865*X865</f>
        <v/>
      </c>
      <c r="AA865" s="10">
        <f>IF(W865&gt;$AE$34,1,0)</f>
        <v/>
      </c>
      <c r="AB865">
        <f>IF(AA865=C865,1,0)</f>
        <v/>
      </c>
    </row>
    <row r="866">
      <c r="A866">
        <f>'1 datos preparados'!A859</f>
        <v/>
      </c>
      <c r="B866" s="5">
        <f>'1 datos preparados'!U859</f>
        <v/>
      </c>
      <c r="C866">
        <f>'1 datos preparados'!B859</f>
        <v/>
      </c>
      <c r="D866" s="7">
        <f>'1 datos preparados'!C859</f>
        <v/>
      </c>
      <c r="E866" s="7">
        <f>'1 datos preparados'!D859</f>
        <v/>
      </c>
      <c r="F866" s="7">
        <f>'1 datos preparados'!E859</f>
        <v/>
      </c>
      <c r="G866" s="7">
        <f>'1 datos preparados'!F859</f>
        <v/>
      </c>
      <c r="H866" s="7">
        <f>'1 datos preparados'!G859</f>
        <v/>
      </c>
      <c r="I866" s="7">
        <f>'1 datos preparados'!H859</f>
        <v/>
      </c>
      <c r="J866" s="7">
        <f>'1 datos preparados'!I859</f>
        <v/>
      </c>
      <c r="K866" s="7">
        <f>'1 datos preparados'!J859</f>
        <v/>
      </c>
      <c r="L866" s="7">
        <f>'1 datos preparados'!K859</f>
        <v/>
      </c>
      <c r="M866" s="7">
        <f>'1 datos preparados'!L859</f>
        <v/>
      </c>
      <c r="N866" s="7">
        <f>'1 datos preparados'!M859</f>
        <v/>
      </c>
      <c r="O866" s="7">
        <f>'1 datos preparados'!N859</f>
        <v/>
      </c>
      <c r="P866" s="7">
        <f>'1 datos preparados'!O859</f>
        <v/>
      </c>
      <c r="Q866" s="7">
        <f>'1 datos preparados'!P859</f>
        <v/>
      </c>
      <c r="R866" s="7">
        <f>'1 datos preparados'!Q859</f>
        <v/>
      </c>
      <c r="S866" s="7">
        <f>'1 datos preparados'!R859</f>
        <v/>
      </c>
      <c r="T866" s="7">
        <f>'1 datos preparados'!S859</f>
        <v/>
      </c>
      <c r="U866" s="7">
        <f>'1 datos preparados'!T859</f>
        <v/>
      </c>
      <c r="V866" s="8">
        <f>$AE$12+D866*$AE$13+E866*$AE$14+F866*$AE$15+G866*$AE$16+H866*$AE$17+I866*$AE$18+J866*$AE$19+K866*$AE$20+L866*$AE$21+M866*$AE$22+N866*$AE$23+O866*$AE$24+P866*$AE$25+Q866*$AE$26+R866*$AE$27+S866*$AE$28+T866*$AE$29+U866*$AE$30</f>
        <v/>
      </c>
      <c r="W866" s="8">
        <f>1/(1+EXP(-V866))</f>
        <v/>
      </c>
      <c r="X866" s="9">
        <f>-IF(C866=1,LN(W866),LN(1-W866))</f>
        <v/>
      </c>
      <c r="Y866" s="8">
        <f>IF(C866=1,$AE$32,$AE$33)</f>
        <v/>
      </c>
      <c r="Z866" s="9">
        <f>Y866*X866</f>
        <v/>
      </c>
      <c r="AA866" s="10">
        <f>IF(W866&gt;$AE$34,1,0)</f>
        <v/>
      </c>
      <c r="AB866">
        <f>IF(AA866=C866,1,0)</f>
        <v/>
      </c>
    </row>
    <row r="867">
      <c r="A867">
        <f>'1 datos preparados'!A860</f>
        <v/>
      </c>
      <c r="B867" s="5">
        <f>'1 datos preparados'!U860</f>
        <v/>
      </c>
      <c r="C867">
        <f>'1 datos preparados'!B860</f>
        <v/>
      </c>
      <c r="D867" s="7">
        <f>'1 datos preparados'!C860</f>
        <v/>
      </c>
      <c r="E867" s="7">
        <f>'1 datos preparados'!D860</f>
        <v/>
      </c>
      <c r="F867" s="7">
        <f>'1 datos preparados'!E860</f>
        <v/>
      </c>
      <c r="G867" s="7">
        <f>'1 datos preparados'!F860</f>
        <v/>
      </c>
      <c r="H867" s="7">
        <f>'1 datos preparados'!G860</f>
        <v/>
      </c>
      <c r="I867" s="7">
        <f>'1 datos preparados'!H860</f>
        <v/>
      </c>
      <c r="J867" s="7">
        <f>'1 datos preparados'!I860</f>
        <v/>
      </c>
      <c r="K867" s="7">
        <f>'1 datos preparados'!J860</f>
        <v/>
      </c>
      <c r="L867" s="7">
        <f>'1 datos preparados'!K860</f>
        <v/>
      </c>
      <c r="M867" s="7">
        <f>'1 datos preparados'!L860</f>
        <v/>
      </c>
      <c r="N867" s="7">
        <f>'1 datos preparados'!M860</f>
        <v/>
      </c>
      <c r="O867" s="7">
        <f>'1 datos preparados'!N860</f>
        <v/>
      </c>
      <c r="P867" s="7">
        <f>'1 datos preparados'!O860</f>
        <v/>
      </c>
      <c r="Q867" s="7">
        <f>'1 datos preparados'!P860</f>
        <v/>
      </c>
      <c r="R867" s="7">
        <f>'1 datos preparados'!Q860</f>
        <v/>
      </c>
      <c r="S867" s="7">
        <f>'1 datos preparados'!R860</f>
        <v/>
      </c>
      <c r="T867" s="7">
        <f>'1 datos preparados'!S860</f>
        <v/>
      </c>
      <c r="U867" s="7">
        <f>'1 datos preparados'!T860</f>
        <v/>
      </c>
      <c r="V867" s="8">
        <f>$AE$12+D867*$AE$13+E867*$AE$14+F867*$AE$15+G867*$AE$16+H867*$AE$17+I867*$AE$18+J867*$AE$19+K867*$AE$20+L867*$AE$21+M867*$AE$22+N867*$AE$23+O867*$AE$24+P867*$AE$25+Q867*$AE$26+R867*$AE$27+S867*$AE$28+T867*$AE$29+U867*$AE$30</f>
        <v/>
      </c>
      <c r="W867" s="8">
        <f>1/(1+EXP(-V867))</f>
        <v/>
      </c>
      <c r="X867" s="9">
        <f>-IF(C867=1,LN(W867),LN(1-W867))</f>
        <v/>
      </c>
      <c r="Y867" s="8">
        <f>IF(C867=1,$AE$32,$AE$33)</f>
        <v/>
      </c>
      <c r="Z867" s="9">
        <f>Y867*X867</f>
        <v/>
      </c>
      <c r="AA867" s="10">
        <f>IF(W867&gt;$AE$34,1,0)</f>
        <v/>
      </c>
      <c r="AB867">
        <f>IF(AA867=C867,1,0)</f>
        <v/>
      </c>
    </row>
    <row r="868">
      <c r="A868">
        <f>'1 datos preparados'!A861</f>
        <v/>
      </c>
      <c r="B868" s="5">
        <f>'1 datos preparados'!U861</f>
        <v/>
      </c>
      <c r="C868">
        <f>'1 datos preparados'!B861</f>
        <v/>
      </c>
      <c r="D868" s="7">
        <f>'1 datos preparados'!C861</f>
        <v/>
      </c>
      <c r="E868" s="7">
        <f>'1 datos preparados'!D861</f>
        <v/>
      </c>
      <c r="F868" s="7">
        <f>'1 datos preparados'!E861</f>
        <v/>
      </c>
      <c r="G868" s="7">
        <f>'1 datos preparados'!F861</f>
        <v/>
      </c>
      <c r="H868" s="7">
        <f>'1 datos preparados'!G861</f>
        <v/>
      </c>
      <c r="I868" s="7">
        <f>'1 datos preparados'!H861</f>
        <v/>
      </c>
      <c r="J868" s="7">
        <f>'1 datos preparados'!I861</f>
        <v/>
      </c>
      <c r="K868" s="7">
        <f>'1 datos preparados'!J861</f>
        <v/>
      </c>
      <c r="L868" s="7">
        <f>'1 datos preparados'!K861</f>
        <v/>
      </c>
      <c r="M868" s="7">
        <f>'1 datos preparados'!L861</f>
        <v/>
      </c>
      <c r="N868" s="7">
        <f>'1 datos preparados'!M861</f>
        <v/>
      </c>
      <c r="O868" s="7">
        <f>'1 datos preparados'!N861</f>
        <v/>
      </c>
      <c r="P868" s="7">
        <f>'1 datos preparados'!O861</f>
        <v/>
      </c>
      <c r="Q868" s="7">
        <f>'1 datos preparados'!P861</f>
        <v/>
      </c>
      <c r="R868" s="7">
        <f>'1 datos preparados'!Q861</f>
        <v/>
      </c>
      <c r="S868" s="7">
        <f>'1 datos preparados'!R861</f>
        <v/>
      </c>
      <c r="T868" s="7">
        <f>'1 datos preparados'!S861</f>
        <v/>
      </c>
      <c r="U868" s="7">
        <f>'1 datos preparados'!T861</f>
        <v/>
      </c>
      <c r="V868" s="8">
        <f>$AE$12+D868*$AE$13+E868*$AE$14+F868*$AE$15+G868*$AE$16+H868*$AE$17+I868*$AE$18+J868*$AE$19+K868*$AE$20+L868*$AE$21+M868*$AE$22+N868*$AE$23+O868*$AE$24+P868*$AE$25+Q868*$AE$26+R868*$AE$27+S868*$AE$28+T868*$AE$29+U868*$AE$30</f>
        <v/>
      </c>
      <c r="W868" s="8">
        <f>1/(1+EXP(-V868))</f>
        <v/>
      </c>
      <c r="X868" s="9">
        <f>-IF(C868=1,LN(W868),LN(1-W868))</f>
        <v/>
      </c>
      <c r="Y868" s="8">
        <f>IF(C868=1,$AE$32,$AE$33)</f>
        <v/>
      </c>
      <c r="Z868" s="9">
        <f>Y868*X868</f>
        <v/>
      </c>
      <c r="AA868" s="10">
        <f>IF(W868&gt;$AE$34,1,0)</f>
        <v/>
      </c>
      <c r="AB868">
        <f>IF(AA868=C868,1,0)</f>
        <v/>
      </c>
    </row>
    <row r="869">
      <c r="A869">
        <f>'1 datos preparados'!A862</f>
        <v/>
      </c>
      <c r="B869" s="5">
        <f>'1 datos preparados'!U862</f>
        <v/>
      </c>
      <c r="C869">
        <f>'1 datos preparados'!B862</f>
        <v/>
      </c>
      <c r="D869" s="7">
        <f>'1 datos preparados'!C862</f>
        <v/>
      </c>
      <c r="E869" s="7">
        <f>'1 datos preparados'!D862</f>
        <v/>
      </c>
      <c r="F869" s="7">
        <f>'1 datos preparados'!E862</f>
        <v/>
      </c>
      <c r="G869" s="7">
        <f>'1 datos preparados'!F862</f>
        <v/>
      </c>
      <c r="H869" s="7">
        <f>'1 datos preparados'!G862</f>
        <v/>
      </c>
      <c r="I869" s="7">
        <f>'1 datos preparados'!H862</f>
        <v/>
      </c>
      <c r="J869" s="7">
        <f>'1 datos preparados'!I862</f>
        <v/>
      </c>
      <c r="K869" s="7">
        <f>'1 datos preparados'!J862</f>
        <v/>
      </c>
      <c r="L869" s="7">
        <f>'1 datos preparados'!K862</f>
        <v/>
      </c>
      <c r="M869" s="7">
        <f>'1 datos preparados'!L862</f>
        <v/>
      </c>
      <c r="N869" s="7">
        <f>'1 datos preparados'!M862</f>
        <v/>
      </c>
      <c r="O869" s="7">
        <f>'1 datos preparados'!N862</f>
        <v/>
      </c>
      <c r="P869" s="7">
        <f>'1 datos preparados'!O862</f>
        <v/>
      </c>
      <c r="Q869" s="7">
        <f>'1 datos preparados'!P862</f>
        <v/>
      </c>
      <c r="R869" s="7">
        <f>'1 datos preparados'!Q862</f>
        <v/>
      </c>
      <c r="S869" s="7">
        <f>'1 datos preparados'!R862</f>
        <v/>
      </c>
      <c r="T869" s="7">
        <f>'1 datos preparados'!S862</f>
        <v/>
      </c>
      <c r="U869" s="7">
        <f>'1 datos preparados'!T862</f>
        <v/>
      </c>
      <c r="V869" s="8">
        <f>$AE$12+D869*$AE$13+E869*$AE$14+F869*$AE$15+G869*$AE$16+H869*$AE$17+I869*$AE$18+J869*$AE$19+K869*$AE$20+L869*$AE$21+M869*$AE$22+N869*$AE$23+O869*$AE$24+P869*$AE$25+Q869*$AE$26+R869*$AE$27+S869*$AE$28+T869*$AE$29+U869*$AE$30</f>
        <v/>
      </c>
      <c r="W869" s="8">
        <f>1/(1+EXP(-V869))</f>
        <v/>
      </c>
      <c r="X869" s="9">
        <f>-IF(C869=1,LN(W869),LN(1-W869))</f>
        <v/>
      </c>
      <c r="Y869" s="8">
        <f>IF(C869=1,$AE$32,$AE$33)</f>
        <v/>
      </c>
      <c r="Z869" s="9">
        <f>Y869*X869</f>
        <v/>
      </c>
      <c r="AA869" s="10">
        <f>IF(W869&gt;$AE$34,1,0)</f>
        <v/>
      </c>
      <c r="AB869">
        <f>IF(AA869=C869,1,0)</f>
        <v/>
      </c>
    </row>
    <row r="870">
      <c r="A870">
        <f>'1 datos preparados'!A863</f>
        <v/>
      </c>
      <c r="B870" s="5">
        <f>'1 datos preparados'!U863</f>
        <v/>
      </c>
      <c r="C870">
        <f>'1 datos preparados'!B863</f>
        <v/>
      </c>
      <c r="D870" s="7">
        <f>'1 datos preparados'!C863</f>
        <v/>
      </c>
      <c r="E870" s="7">
        <f>'1 datos preparados'!D863</f>
        <v/>
      </c>
      <c r="F870" s="7">
        <f>'1 datos preparados'!E863</f>
        <v/>
      </c>
      <c r="G870" s="7">
        <f>'1 datos preparados'!F863</f>
        <v/>
      </c>
      <c r="H870" s="7">
        <f>'1 datos preparados'!G863</f>
        <v/>
      </c>
      <c r="I870" s="7">
        <f>'1 datos preparados'!H863</f>
        <v/>
      </c>
      <c r="J870" s="7">
        <f>'1 datos preparados'!I863</f>
        <v/>
      </c>
      <c r="K870" s="7">
        <f>'1 datos preparados'!J863</f>
        <v/>
      </c>
      <c r="L870" s="7">
        <f>'1 datos preparados'!K863</f>
        <v/>
      </c>
      <c r="M870" s="7">
        <f>'1 datos preparados'!L863</f>
        <v/>
      </c>
      <c r="N870" s="7">
        <f>'1 datos preparados'!M863</f>
        <v/>
      </c>
      <c r="O870" s="7">
        <f>'1 datos preparados'!N863</f>
        <v/>
      </c>
      <c r="P870" s="7">
        <f>'1 datos preparados'!O863</f>
        <v/>
      </c>
      <c r="Q870" s="7">
        <f>'1 datos preparados'!P863</f>
        <v/>
      </c>
      <c r="R870" s="7">
        <f>'1 datos preparados'!Q863</f>
        <v/>
      </c>
      <c r="S870" s="7">
        <f>'1 datos preparados'!R863</f>
        <v/>
      </c>
      <c r="T870" s="7">
        <f>'1 datos preparados'!S863</f>
        <v/>
      </c>
      <c r="U870" s="7">
        <f>'1 datos preparados'!T863</f>
        <v/>
      </c>
      <c r="V870" s="8">
        <f>$AE$12+D870*$AE$13+E870*$AE$14+F870*$AE$15+G870*$AE$16+H870*$AE$17+I870*$AE$18+J870*$AE$19+K870*$AE$20+L870*$AE$21+M870*$AE$22+N870*$AE$23+O870*$AE$24+P870*$AE$25+Q870*$AE$26+R870*$AE$27+S870*$AE$28+T870*$AE$29+U870*$AE$30</f>
        <v/>
      </c>
      <c r="W870" s="8">
        <f>1/(1+EXP(-V870))</f>
        <v/>
      </c>
      <c r="X870" s="9">
        <f>-IF(C870=1,LN(W870),LN(1-W870))</f>
        <v/>
      </c>
      <c r="Y870" s="8">
        <f>IF(C870=1,$AE$32,$AE$33)</f>
        <v/>
      </c>
      <c r="Z870" s="9">
        <f>Y870*X870</f>
        <v/>
      </c>
      <c r="AA870" s="10">
        <f>IF(W870&gt;$AE$34,1,0)</f>
        <v/>
      </c>
      <c r="AB870">
        <f>IF(AA870=C870,1,0)</f>
        <v/>
      </c>
    </row>
    <row r="871">
      <c r="A871">
        <f>'1 datos preparados'!A864</f>
        <v/>
      </c>
      <c r="B871" s="5">
        <f>'1 datos preparados'!U864</f>
        <v/>
      </c>
      <c r="C871">
        <f>'1 datos preparados'!B864</f>
        <v/>
      </c>
      <c r="D871" s="7">
        <f>'1 datos preparados'!C864</f>
        <v/>
      </c>
      <c r="E871" s="7">
        <f>'1 datos preparados'!D864</f>
        <v/>
      </c>
      <c r="F871" s="7">
        <f>'1 datos preparados'!E864</f>
        <v/>
      </c>
      <c r="G871" s="7">
        <f>'1 datos preparados'!F864</f>
        <v/>
      </c>
      <c r="H871" s="7">
        <f>'1 datos preparados'!G864</f>
        <v/>
      </c>
      <c r="I871" s="7">
        <f>'1 datos preparados'!H864</f>
        <v/>
      </c>
      <c r="J871" s="7">
        <f>'1 datos preparados'!I864</f>
        <v/>
      </c>
      <c r="K871" s="7">
        <f>'1 datos preparados'!J864</f>
        <v/>
      </c>
      <c r="L871" s="7">
        <f>'1 datos preparados'!K864</f>
        <v/>
      </c>
      <c r="M871" s="7">
        <f>'1 datos preparados'!L864</f>
        <v/>
      </c>
      <c r="N871" s="7">
        <f>'1 datos preparados'!M864</f>
        <v/>
      </c>
      <c r="O871" s="7">
        <f>'1 datos preparados'!N864</f>
        <v/>
      </c>
      <c r="P871" s="7">
        <f>'1 datos preparados'!O864</f>
        <v/>
      </c>
      <c r="Q871" s="7">
        <f>'1 datos preparados'!P864</f>
        <v/>
      </c>
      <c r="R871" s="7">
        <f>'1 datos preparados'!Q864</f>
        <v/>
      </c>
      <c r="S871" s="7">
        <f>'1 datos preparados'!R864</f>
        <v/>
      </c>
      <c r="T871" s="7">
        <f>'1 datos preparados'!S864</f>
        <v/>
      </c>
      <c r="U871" s="7">
        <f>'1 datos preparados'!T864</f>
        <v/>
      </c>
      <c r="V871" s="8">
        <f>$AE$12+D871*$AE$13+E871*$AE$14+F871*$AE$15+G871*$AE$16+H871*$AE$17+I871*$AE$18+J871*$AE$19+K871*$AE$20+L871*$AE$21+M871*$AE$22+N871*$AE$23+O871*$AE$24+P871*$AE$25+Q871*$AE$26+R871*$AE$27+S871*$AE$28+T871*$AE$29+U871*$AE$30</f>
        <v/>
      </c>
      <c r="W871" s="8">
        <f>1/(1+EXP(-V871))</f>
        <v/>
      </c>
      <c r="X871" s="9">
        <f>-IF(C871=1,LN(W871),LN(1-W871))</f>
        <v/>
      </c>
      <c r="Y871" s="8">
        <f>IF(C871=1,$AE$32,$AE$33)</f>
        <v/>
      </c>
      <c r="Z871" s="9">
        <f>Y871*X871</f>
        <v/>
      </c>
      <c r="AA871" s="10">
        <f>IF(W871&gt;$AE$34,1,0)</f>
        <v/>
      </c>
      <c r="AB871">
        <f>IF(AA871=C871,1,0)</f>
        <v/>
      </c>
    </row>
    <row r="872">
      <c r="A872">
        <f>'1 datos preparados'!A865</f>
        <v/>
      </c>
      <c r="B872" s="5">
        <f>'1 datos preparados'!U865</f>
        <v/>
      </c>
      <c r="C872">
        <f>'1 datos preparados'!B865</f>
        <v/>
      </c>
      <c r="D872" s="7">
        <f>'1 datos preparados'!C865</f>
        <v/>
      </c>
      <c r="E872" s="7">
        <f>'1 datos preparados'!D865</f>
        <v/>
      </c>
      <c r="F872" s="7">
        <f>'1 datos preparados'!E865</f>
        <v/>
      </c>
      <c r="G872" s="7">
        <f>'1 datos preparados'!F865</f>
        <v/>
      </c>
      <c r="H872" s="7">
        <f>'1 datos preparados'!G865</f>
        <v/>
      </c>
      <c r="I872" s="7">
        <f>'1 datos preparados'!H865</f>
        <v/>
      </c>
      <c r="J872" s="7">
        <f>'1 datos preparados'!I865</f>
        <v/>
      </c>
      <c r="K872" s="7">
        <f>'1 datos preparados'!J865</f>
        <v/>
      </c>
      <c r="L872" s="7">
        <f>'1 datos preparados'!K865</f>
        <v/>
      </c>
      <c r="M872" s="7">
        <f>'1 datos preparados'!L865</f>
        <v/>
      </c>
      <c r="N872" s="7">
        <f>'1 datos preparados'!M865</f>
        <v/>
      </c>
      <c r="O872" s="7">
        <f>'1 datos preparados'!N865</f>
        <v/>
      </c>
      <c r="P872" s="7">
        <f>'1 datos preparados'!O865</f>
        <v/>
      </c>
      <c r="Q872" s="7">
        <f>'1 datos preparados'!P865</f>
        <v/>
      </c>
      <c r="R872" s="7">
        <f>'1 datos preparados'!Q865</f>
        <v/>
      </c>
      <c r="S872" s="7">
        <f>'1 datos preparados'!R865</f>
        <v/>
      </c>
      <c r="T872" s="7">
        <f>'1 datos preparados'!S865</f>
        <v/>
      </c>
      <c r="U872" s="7">
        <f>'1 datos preparados'!T865</f>
        <v/>
      </c>
      <c r="V872" s="8">
        <f>$AE$12+D872*$AE$13+E872*$AE$14+F872*$AE$15+G872*$AE$16+H872*$AE$17+I872*$AE$18+J872*$AE$19+K872*$AE$20+L872*$AE$21+M872*$AE$22+N872*$AE$23+O872*$AE$24+P872*$AE$25+Q872*$AE$26+R872*$AE$27+S872*$AE$28+T872*$AE$29+U872*$AE$30</f>
        <v/>
      </c>
      <c r="W872" s="8">
        <f>1/(1+EXP(-V872))</f>
        <v/>
      </c>
      <c r="X872" s="9">
        <f>-IF(C872=1,LN(W872),LN(1-W872))</f>
        <v/>
      </c>
      <c r="Y872" s="8">
        <f>IF(C872=1,$AE$32,$AE$33)</f>
        <v/>
      </c>
      <c r="Z872" s="9">
        <f>Y872*X872</f>
        <v/>
      </c>
      <c r="AA872" s="10">
        <f>IF(W872&gt;$AE$34,1,0)</f>
        <v/>
      </c>
      <c r="AB872">
        <f>IF(AA872=C872,1,0)</f>
        <v/>
      </c>
    </row>
    <row r="873">
      <c r="A873">
        <f>'1 datos preparados'!A866</f>
        <v/>
      </c>
      <c r="B873" s="5">
        <f>'1 datos preparados'!U866</f>
        <v/>
      </c>
      <c r="C873">
        <f>'1 datos preparados'!B866</f>
        <v/>
      </c>
      <c r="D873" s="7">
        <f>'1 datos preparados'!C866</f>
        <v/>
      </c>
      <c r="E873" s="7">
        <f>'1 datos preparados'!D866</f>
        <v/>
      </c>
      <c r="F873" s="7">
        <f>'1 datos preparados'!E866</f>
        <v/>
      </c>
      <c r="G873" s="7">
        <f>'1 datos preparados'!F866</f>
        <v/>
      </c>
      <c r="H873" s="7">
        <f>'1 datos preparados'!G866</f>
        <v/>
      </c>
      <c r="I873" s="7">
        <f>'1 datos preparados'!H866</f>
        <v/>
      </c>
      <c r="J873" s="7">
        <f>'1 datos preparados'!I866</f>
        <v/>
      </c>
      <c r="K873" s="7">
        <f>'1 datos preparados'!J866</f>
        <v/>
      </c>
      <c r="L873" s="7">
        <f>'1 datos preparados'!K866</f>
        <v/>
      </c>
      <c r="M873" s="7">
        <f>'1 datos preparados'!L866</f>
        <v/>
      </c>
      <c r="N873" s="7">
        <f>'1 datos preparados'!M866</f>
        <v/>
      </c>
      <c r="O873" s="7">
        <f>'1 datos preparados'!N866</f>
        <v/>
      </c>
      <c r="P873" s="7">
        <f>'1 datos preparados'!O866</f>
        <v/>
      </c>
      <c r="Q873" s="7">
        <f>'1 datos preparados'!P866</f>
        <v/>
      </c>
      <c r="R873" s="7">
        <f>'1 datos preparados'!Q866</f>
        <v/>
      </c>
      <c r="S873" s="7">
        <f>'1 datos preparados'!R866</f>
        <v/>
      </c>
      <c r="T873" s="7">
        <f>'1 datos preparados'!S866</f>
        <v/>
      </c>
      <c r="U873" s="7">
        <f>'1 datos preparados'!T866</f>
        <v/>
      </c>
      <c r="V873" s="8">
        <f>$AE$12+D873*$AE$13+E873*$AE$14+F873*$AE$15+G873*$AE$16+H873*$AE$17+I873*$AE$18+J873*$AE$19+K873*$AE$20+L873*$AE$21+M873*$AE$22+N873*$AE$23+O873*$AE$24+P873*$AE$25+Q873*$AE$26+R873*$AE$27+S873*$AE$28+T873*$AE$29+U873*$AE$30</f>
        <v/>
      </c>
      <c r="W873" s="8">
        <f>1/(1+EXP(-V873))</f>
        <v/>
      </c>
      <c r="X873" s="9">
        <f>-IF(C873=1,LN(W873),LN(1-W873))</f>
        <v/>
      </c>
      <c r="Y873" s="8">
        <f>IF(C873=1,$AE$32,$AE$33)</f>
        <v/>
      </c>
      <c r="Z873" s="9">
        <f>Y873*X873</f>
        <v/>
      </c>
      <c r="AA873" s="10">
        <f>IF(W873&gt;$AE$34,1,0)</f>
        <v/>
      </c>
      <c r="AB873">
        <f>IF(AA873=C873,1,0)</f>
        <v/>
      </c>
    </row>
    <row r="874">
      <c r="A874">
        <f>'1 datos preparados'!A867</f>
        <v/>
      </c>
      <c r="B874" s="5">
        <f>'1 datos preparados'!U867</f>
        <v/>
      </c>
      <c r="C874">
        <f>'1 datos preparados'!B867</f>
        <v/>
      </c>
      <c r="D874" s="7">
        <f>'1 datos preparados'!C867</f>
        <v/>
      </c>
      <c r="E874" s="7">
        <f>'1 datos preparados'!D867</f>
        <v/>
      </c>
      <c r="F874" s="7">
        <f>'1 datos preparados'!E867</f>
        <v/>
      </c>
      <c r="G874" s="7">
        <f>'1 datos preparados'!F867</f>
        <v/>
      </c>
      <c r="H874" s="7">
        <f>'1 datos preparados'!G867</f>
        <v/>
      </c>
      <c r="I874" s="7">
        <f>'1 datos preparados'!H867</f>
        <v/>
      </c>
      <c r="J874" s="7">
        <f>'1 datos preparados'!I867</f>
        <v/>
      </c>
      <c r="K874" s="7">
        <f>'1 datos preparados'!J867</f>
        <v/>
      </c>
      <c r="L874" s="7">
        <f>'1 datos preparados'!K867</f>
        <v/>
      </c>
      <c r="M874" s="7">
        <f>'1 datos preparados'!L867</f>
        <v/>
      </c>
      <c r="N874" s="7">
        <f>'1 datos preparados'!M867</f>
        <v/>
      </c>
      <c r="O874" s="7">
        <f>'1 datos preparados'!N867</f>
        <v/>
      </c>
      <c r="P874" s="7">
        <f>'1 datos preparados'!O867</f>
        <v/>
      </c>
      <c r="Q874" s="7">
        <f>'1 datos preparados'!P867</f>
        <v/>
      </c>
      <c r="R874" s="7">
        <f>'1 datos preparados'!Q867</f>
        <v/>
      </c>
      <c r="S874" s="7">
        <f>'1 datos preparados'!R867</f>
        <v/>
      </c>
      <c r="T874" s="7">
        <f>'1 datos preparados'!S867</f>
        <v/>
      </c>
      <c r="U874" s="7">
        <f>'1 datos preparados'!T867</f>
        <v/>
      </c>
      <c r="V874" s="8">
        <f>$AE$12+D874*$AE$13+E874*$AE$14+F874*$AE$15+G874*$AE$16+H874*$AE$17+I874*$AE$18+J874*$AE$19+K874*$AE$20+L874*$AE$21+M874*$AE$22+N874*$AE$23+O874*$AE$24+P874*$AE$25+Q874*$AE$26+R874*$AE$27+S874*$AE$28+T874*$AE$29+U874*$AE$30</f>
        <v/>
      </c>
      <c r="W874" s="8">
        <f>1/(1+EXP(-V874))</f>
        <v/>
      </c>
      <c r="X874" s="9">
        <f>-IF(C874=1,LN(W874),LN(1-W874))</f>
        <v/>
      </c>
      <c r="Y874" s="8">
        <f>IF(C874=1,$AE$32,$AE$33)</f>
        <v/>
      </c>
      <c r="Z874" s="9">
        <f>Y874*X874</f>
        <v/>
      </c>
      <c r="AA874" s="10">
        <f>IF(W874&gt;$AE$34,1,0)</f>
        <v/>
      </c>
      <c r="AB874">
        <f>IF(AA874=C874,1,0)</f>
        <v/>
      </c>
    </row>
    <row r="875">
      <c r="A875">
        <f>'1 datos preparados'!A868</f>
        <v/>
      </c>
      <c r="B875" s="5">
        <f>'1 datos preparados'!U868</f>
        <v/>
      </c>
      <c r="C875">
        <f>'1 datos preparados'!B868</f>
        <v/>
      </c>
      <c r="D875" s="7">
        <f>'1 datos preparados'!C868</f>
        <v/>
      </c>
      <c r="E875" s="7">
        <f>'1 datos preparados'!D868</f>
        <v/>
      </c>
      <c r="F875" s="7">
        <f>'1 datos preparados'!E868</f>
        <v/>
      </c>
      <c r="G875" s="7">
        <f>'1 datos preparados'!F868</f>
        <v/>
      </c>
      <c r="H875" s="7">
        <f>'1 datos preparados'!G868</f>
        <v/>
      </c>
      <c r="I875" s="7">
        <f>'1 datos preparados'!H868</f>
        <v/>
      </c>
      <c r="J875" s="7">
        <f>'1 datos preparados'!I868</f>
        <v/>
      </c>
      <c r="K875" s="7">
        <f>'1 datos preparados'!J868</f>
        <v/>
      </c>
      <c r="L875" s="7">
        <f>'1 datos preparados'!K868</f>
        <v/>
      </c>
      <c r="M875" s="7">
        <f>'1 datos preparados'!L868</f>
        <v/>
      </c>
      <c r="N875" s="7">
        <f>'1 datos preparados'!M868</f>
        <v/>
      </c>
      <c r="O875" s="7">
        <f>'1 datos preparados'!N868</f>
        <v/>
      </c>
      <c r="P875" s="7">
        <f>'1 datos preparados'!O868</f>
        <v/>
      </c>
      <c r="Q875" s="7">
        <f>'1 datos preparados'!P868</f>
        <v/>
      </c>
      <c r="R875" s="7">
        <f>'1 datos preparados'!Q868</f>
        <v/>
      </c>
      <c r="S875" s="7">
        <f>'1 datos preparados'!R868</f>
        <v/>
      </c>
      <c r="T875" s="7">
        <f>'1 datos preparados'!S868</f>
        <v/>
      </c>
      <c r="U875" s="7">
        <f>'1 datos preparados'!T868</f>
        <v/>
      </c>
      <c r="V875" s="8">
        <f>$AE$12+D875*$AE$13+E875*$AE$14+F875*$AE$15+G875*$AE$16+H875*$AE$17+I875*$AE$18+J875*$AE$19+K875*$AE$20+L875*$AE$21+M875*$AE$22+N875*$AE$23+O875*$AE$24+P875*$AE$25+Q875*$AE$26+R875*$AE$27+S875*$AE$28+T875*$AE$29+U875*$AE$30</f>
        <v/>
      </c>
      <c r="W875" s="8">
        <f>1/(1+EXP(-V875))</f>
        <v/>
      </c>
      <c r="X875" s="9">
        <f>-IF(C875=1,LN(W875),LN(1-W875))</f>
        <v/>
      </c>
      <c r="Y875" s="8">
        <f>IF(C875=1,$AE$32,$AE$33)</f>
        <v/>
      </c>
      <c r="Z875" s="9">
        <f>Y875*X875</f>
        <v/>
      </c>
      <c r="AA875" s="10">
        <f>IF(W875&gt;$AE$34,1,0)</f>
        <v/>
      </c>
      <c r="AB875">
        <f>IF(AA875=C875,1,0)</f>
        <v/>
      </c>
    </row>
    <row r="876">
      <c r="A876">
        <f>'1 datos preparados'!A869</f>
        <v/>
      </c>
      <c r="B876" s="5">
        <f>'1 datos preparados'!U869</f>
        <v/>
      </c>
      <c r="C876">
        <f>'1 datos preparados'!B869</f>
        <v/>
      </c>
      <c r="D876" s="7">
        <f>'1 datos preparados'!C869</f>
        <v/>
      </c>
      <c r="E876" s="7">
        <f>'1 datos preparados'!D869</f>
        <v/>
      </c>
      <c r="F876" s="7">
        <f>'1 datos preparados'!E869</f>
        <v/>
      </c>
      <c r="G876" s="7">
        <f>'1 datos preparados'!F869</f>
        <v/>
      </c>
      <c r="H876" s="7">
        <f>'1 datos preparados'!G869</f>
        <v/>
      </c>
      <c r="I876" s="7">
        <f>'1 datos preparados'!H869</f>
        <v/>
      </c>
      <c r="J876" s="7">
        <f>'1 datos preparados'!I869</f>
        <v/>
      </c>
      <c r="K876" s="7">
        <f>'1 datos preparados'!J869</f>
        <v/>
      </c>
      <c r="L876" s="7">
        <f>'1 datos preparados'!K869</f>
        <v/>
      </c>
      <c r="M876" s="7">
        <f>'1 datos preparados'!L869</f>
        <v/>
      </c>
      <c r="N876" s="7">
        <f>'1 datos preparados'!M869</f>
        <v/>
      </c>
      <c r="O876" s="7">
        <f>'1 datos preparados'!N869</f>
        <v/>
      </c>
      <c r="P876" s="7">
        <f>'1 datos preparados'!O869</f>
        <v/>
      </c>
      <c r="Q876" s="7">
        <f>'1 datos preparados'!P869</f>
        <v/>
      </c>
      <c r="R876" s="7">
        <f>'1 datos preparados'!Q869</f>
        <v/>
      </c>
      <c r="S876" s="7">
        <f>'1 datos preparados'!R869</f>
        <v/>
      </c>
      <c r="T876" s="7">
        <f>'1 datos preparados'!S869</f>
        <v/>
      </c>
      <c r="U876" s="7">
        <f>'1 datos preparados'!T869</f>
        <v/>
      </c>
      <c r="V876" s="8">
        <f>$AE$12+D876*$AE$13+E876*$AE$14+F876*$AE$15+G876*$AE$16+H876*$AE$17+I876*$AE$18+J876*$AE$19+K876*$AE$20+L876*$AE$21+M876*$AE$22+N876*$AE$23+O876*$AE$24+P876*$AE$25+Q876*$AE$26+R876*$AE$27+S876*$AE$28+T876*$AE$29+U876*$AE$30</f>
        <v/>
      </c>
      <c r="W876" s="8">
        <f>1/(1+EXP(-V876))</f>
        <v/>
      </c>
      <c r="X876" s="9">
        <f>-IF(C876=1,LN(W876),LN(1-W876))</f>
        <v/>
      </c>
      <c r="Y876" s="8">
        <f>IF(C876=1,$AE$32,$AE$33)</f>
        <v/>
      </c>
      <c r="Z876" s="9">
        <f>Y876*X876</f>
        <v/>
      </c>
      <c r="AA876" s="10">
        <f>IF(W876&gt;$AE$34,1,0)</f>
        <v/>
      </c>
      <c r="AB876">
        <f>IF(AA876=C876,1,0)</f>
        <v/>
      </c>
    </row>
    <row r="877">
      <c r="A877">
        <f>'1 datos preparados'!A870</f>
        <v/>
      </c>
      <c r="B877" s="5">
        <f>'1 datos preparados'!U870</f>
        <v/>
      </c>
      <c r="C877">
        <f>'1 datos preparados'!B870</f>
        <v/>
      </c>
      <c r="D877" s="7">
        <f>'1 datos preparados'!C870</f>
        <v/>
      </c>
      <c r="E877" s="7">
        <f>'1 datos preparados'!D870</f>
        <v/>
      </c>
      <c r="F877" s="7">
        <f>'1 datos preparados'!E870</f>
        <v/>
      </c>
      <c r="G877" s="7">
        <f>'1 datos preparados'!F870</f>
        <v/>
      </c>
      <c r="H877" s="7">
        <f>'1 datos preparados'!G870</f>
        <v/>
      </c>
      <c r="I877" s="7">
        <f>'1 datos preparados'!H870</f>
        <v/>
      </c>
      <c r="J877" s="7">
        <f>'1 datos preparados'!I870</f>
        <v/>
      </c>
      <c r="K877" s="7">
        <f>'1 datos preparados'!J870</f>
        <v/>
      </c>
      <c r="L877" s="7">
        <f>'1 datos preparados'!K870</f>
        <v/>
      </c>
      <c r="M877" s="7">
        <f>'1 datos preparados'!L870</f>
        <v/>
      </c>
      <c r="N877" s="7">
        <f>'1 datos preparados'!M870</f>
        <v/>
      </c>
      <c r="O877" s="7">
        <f>'1 datos preparados'!N870</f>
        <v/>
      </c>
      <c r="P877" s="7">
        <f>'1 datos preparados'!O870</f>
        <v/>
      </c>
      <c r="Q877" s="7">
        <f>'1 datos preparados'!P870</f>
        <v/>
      </c>
      <c r="R877" s="7">
        <f>'1 datos preparados'!Q870</f>
        <v/>
      </c>
      <c r="S877" s="7">
        <f>'1 datos preparados'!R870</f>
        <v/>
      </c>
      <c r="T877" s="7">
        <f>'1 datos preparados'!S870</f>
        <v/>
      </c>
      <c r="U877" s="7">
        <f>'1 datos preparados'!T870</f>
        <v/>
      </c>
      <c r="V877" s="8">
        <f>$AE$12+D877*$AE$13+E877*$AE$14+F877*$AE$15+G877*$AE$16+H877*$AE$17+I877*$AE$18+J877*$AE$19+K877*$AE$20+L877*$AE$21+M877*$AE$22+N877*$AE$23+O877*$AE$24+P877*$AE$25+Q877*$AE$26+R877*$AE$27+S877*$AE$28+T877*$AE$29+U877*$AE$30</f>
        <v/>
      </c>
      <c r="W877" s="8">
        <f>1/(1+EXP(-V877))</f>
        <v/>
      </c>
      <c r="X877" s="9">
        <f>-IF(C877=1,LN(W877),LN(1-W877))</f>
        <v/>
      </c>
      <c r="Y877" s="8">
        <f>IF(C877=1,$AE$32,$AE$33)</f>
        <v/>
      </c>
      <c r="Z877" s="9">
        <f>Y877*X877</f>
        <v/>
      </c>
      <c r="AA877" s="10">
        <f>IF(W877&gt;$AE$34,1,0)</f>
        <v/>
      </c>
      <c r="AB877">
        <f>IF(AA877=C877,1,0)</f>
        <v/>
      </c>
    </row>
    <row r="878">
      <c r="A878">
        <f>'1 datos preparados'!A871</f>
        <v/>
      </c>
      <c r="B878" s="5">
        <f>'1 datos preparados'!U871</f>
        <v/>
      </c>
      <c r="C878">
        <f>'1 datos preparados'!B871</f>
        <v/>
      </c>
      <c r="D878" s="7">
        <f>'1 datos preparados'!C871</f>
        <v/>
      </c>
      <c r="E878" s="7">
        <f>'1 datos preparados'!D871</f>
        <v/>
      </c>
      <c r="F878" s="7">
        <f>'1 datos preparados'!E871</f>
        <v/>
      </c>
      <c r="G878" s="7">
        <f>'1 datos preparados'!F871</f>
        <v/>
      </c>
      <c r="H878" s="7">
        <f>'1 datos preparados'!G871</f>
        <v/>
      </c>
      <c r="I878" s="7">
        <f>'1 datos preparados'!H871</f>
        <v/>
      </c>
      <c r="J878" s="7">
        <f>'1 datos preparados'!I871</f>
        <v/>
      </c>
      <c r="K878" s="7">
        <f>'1 datos preparados'!J871</f>
        <v/>
      </c>
      <c r="L878" s="7">
        <f>'1 datos preparados'!K871</f>
        <v/>
      </c>
      <c r="M878" s="7">
        <f>'1 datos preparados'!L871</f>
        <v/>
      </c>
      <c r="N878" s="7">
        <f>'1 datos preparados'!M871</f>
        <v/>
      </c>
      <c r="O878" s="7">
        <f>'1 datos preparados'!N871</f>
        <v/>
      </c>
      <c r="P878" s="7">
        <f>'1 datos preparados'!O871</f>
        <v/>
      </c>
      <c r="Q878" s="7">
        <f>'1 datos preparados'!P871</f>
        <v/>
      </c>
      <c r="R878" s="7">
        <f>'1 datos preparados'!Q871</f>
        <v/>
      </c>
      <c r="S878" s="7">
        <f>'1 datos preparados'!R871</f>
        <v/>
      </c>
      <c r="T878" s="7">
        <f>'1 datos preparados'!S871</f>
        <v/>
      </c>
      <c r="U878" s="7">
        <f>'1 datos preparados'!T871</f>
        <v/>
      </c>
      <c r="V878" s="8">
        <f>$AE$12+D878*$AE$13+E878*$AE$14+F878*$AE$15+G878*$AE$16+H878*$AE$17+I878*$AE$18+J878*$AE$19+K878*$AE$20+L878*$AE$21+M878*$AE$22+N878*$AE$23+O878*$AE$24+P878*$AE$25+Q878*$AE$26+R878*$AE$27+S878*$AE$28+T878*$AE$29+U878*$AE$30</f>
        <v/>
      </c>
      <c r="W878" s="8">
        <f>1/(1+EXP(-V878))</f>
        <v/>
      </c>
      <c r="X878" s="9">
        <f>-IF(C878=1,LN(W878),LN(1-W878))</f>
        <v/>
      </c>
      <c r="Y878" s="8">
        <f>IF(C878=1,$AE$32,$AE$33)</f>
        <v/>
      </c>
      <c r="Z878" s="9">
        <f>Y878*X878</f>
        <v/>
      </c>
      <c r="AA878" s="10">
        <f>IF(W878&gt;$AE$34,1,0)</f>
        <v/>
      </c>
      <c r="AB878">
        <f>IF(AA878=C878,1,0)</f>
        <v/>
      </c>
    </row>
    <row r="879">
      <c r="A879">
        <f>'1 datos preparados'!A872</f>
        <v/>
      </c>
      <c r="B879" s="5">
        <f>'1 datos preparados'!U872</f>
        <v/>
      </c>
      <c r="C879">
        <f>'1 datos preparados'!B872</f>
        <v/>
      </c>
      <c r="D879" s="7">
        <f>'1 datos preparados'!C872</f>
        <v/>
      </c>
      <c r="E879" s="7">
        <f>'1 datos preparados'!D872</f>
        <v/>
      </c>
      <c r="F879" s="7">
        <f>'1 datos preparados'!E872</f>
        <v/>
      </c>
      <c r="G879" s="7">
        <f>'1 datos preparados'!F872</f>
        <v/>
      </c>
      <c r="H879" s="7">
        <f>'1 datos preparados'!G872</f>
        <v/>
      </c>
      <c r="I879" s="7">
        <f>'1 datos preparados'!H872</f>
        <v/>
      </c>
      <c r="J879" s="7">
        <f>'1 datos preparados'!I872</f>
        <v/>
      </c>
      <c r="K879" s="7">
        <f>'1 datos preparados'!J872</f>
        <v/>
      </c>
      <c r="L879" s="7">
        <f>'1 datos preparados'!K872</f>
        <v/>
      </c>
      <c r="M879" s="7">
        <f>'1 datos preparados'!L872</f>
        <v/>
      </c>
      <c r="N879" s="7">
        <f>'1 datos preparados'!M872</f>
        <v/>
      </c>
      <c r="O879" s="7">
        <f>'1 datos preparados'!N872</f>
        <v/>
      </c>
      <c r="P879" s="7">
        <f>'1 datos preparados'!O872</f>
        <v/>
      </c>
      <c r="Q879" s="7">
        <f>'1 datos preparados'!P872</f>
        <v/>
      </c>
      <c r="R879" s="7">
        <f>'1 datos preparados'!Q872</f>
        <v/>
      </c>
      <c r="S879" s="7">
        <f>'1 datos preparados'!R872</f>
        <v/>
      </c>
      <c r="T879" s="7">
        <f>'1 datos preparados'!S872</f>
        <v/>
      </c>
      <c r="U879" s="7">
        <f>'1 datos preparados'!T872</f>
        <v/>
      </c>
      <c r="V879" s="8">
        <f>$AE$12+D879*$AE$13+E879*$AE$14+F879*$AE$15+G879*$AE$16+H879*$AE$17+I879*$AE$18+J879*$AE$19+K879*$AE$20+L879*$AE$21+M879*$AE$22+N879*$AE$23+O879*$AE$24+P879*$AE$25+Q879*$AE$26+R879*$AE$27+S879*$AE$28+T879*$AE$29+U879*$AE$30</f>
        <v/>
      </c>
      <c r="W879" s="8">
        <f>1/(1+EXP(-V879))</f>
        <v/>
      </c>
      <c r="X879" s="9">
        <f>-IF(C879=1,LN(W879),LN(1-W879))</f>
        <v/>
      </c>
      <c r="Y879" s="8">
        <f>IF(C879=1,$AE$32,$AE$33)</f>
        <v/>
      </c>
      <c r="Z879" s="9">
        <f>Y879*X879</f>
        <v/>
      </c>
      <c r="AA879" s="10">
        <f>IF(W879&gt;$AE$34,1,0)</f>
        <v/>
      </c>
      <c r="AB879">
        <f>IF(AA879=C879,1,0)</f>
        <v/>
      </c>
    </row>
    <row r="880">
      <c r="A880">
        <f>'1 datos preparados'!A873</f>
        <v/>
      </c>
      <c r="B880" s="5">
        <f>'1 datos preparados'!U873</f>
        <v/>
      </c>
      <c r="C880">
        <f>'1 datos preparados'!B873</f>
        <v/>
      </c>
      <c r="D880" s="7">
        <f>'1 datos preparados'!C873</f>
        <v/>
      </c>
      <c r="E880" s="7">
        <f>'1 datos preparados'!D873</f>
        <v/>
      </c>
      <c r="F880" s="7">
        <f>'1 datos preparados'!E873</f>
        <v/>
      </c>
      <c r="G880" s="7">
        <f>'1 datos preparados'!F873</f>
        <v/>
      </c>
      <c r="H880" s="7">
        <f>'1 datos preparados'!G873</f>
        <v/>
      </c>
      <c r="I880" s="7">
        <f>'1 datos preparados'!H873</f>
        <v/>
      </c>
      <c r="J880" s="7">
        <f>'1 datos preparados'!I873</f>
        <v/>
      </c>
      <c r="K880" s="7">
        <f>'1 datos preparados'!J873</f>
        <v/>
      </c>
      <c r="L880" s="7">
        <f>'1 datos preparados'!K873</f>
        <v/>
      </c>
      <c r="M880" s="7">
        <f>'1 datos preparados'!L873</f>
        <v/>
      </c>
      <c r="N880" s="7">
        <f>'1 datos preparados'!M873</f>
        <v/>
      </c>
      <c r="O880" s="7">
        <f>'1 datos preparados'!N873</f>
        <v/>
      </c>
      <c r="P880" s="7">
        <f>'1 datos preparados'!O873</f>
        <v/>
      </c>
      <c r="Q880" s="7">
        <f>'1 datos preparados'!P873</f>
        <v/>
      </c>
      <c r="R880" s="7">
        <f>'1 datos preparados'!Q873</f>
        <v/>
      </c>
      <c r="S880" s="7">
        <f>'1 datos preparados'!R873</f>
        <v/>
      </c>
      <c r="T880" s="7">
        <f>'1 datos preparados'!S873</f>
        <v/>
      </c>
      <c r="U880" s="7">
        <f>'1 datos preparados'!T873</f>
        <v/>
      </c>
      <c r="V880" s="8">
        <f>$AE$12+D880*$AE$13+E880*$AE$14+F880*$AE$15+G880*$AE$16+H880*$AE$17+I880*$AE$18+J880*$AE$19+K880*$AE$20+L880*$AE$21+M880*$AE$22+N880*$AE$23+O880*$AE$24+P880*$AE$25+Q880*$AE$26+R880*$AE$27+S880*$AE$28+T880*$AE$29+U880*$AE$30</f>
        <v/>
      </c>
      <c r="W880" s="8">
        <f>1/(1+EXP(-V880))</f>
        <v/>
      </c>
      <c r="X880" s="9">
        <f>-IF(C880=1,LN(W880),LN(1-W880))</f>
        <v/>
      </c>
      <c r="Y880" s="8">
        <f>IF(C880=1,$AE$32,$AE$33)</f>
        <v/>
      </c>
      <c r="Z880" s="9">
        <f>Y880*X880</f>
        <v/>
      </c>
      <c r="AA880" s="10">
        <f>IF(W880&gt;$AE$34,1,0)</f>
        <v/>
      </c>
      <c r="AB880">
        <f>IF(AA880=C880,1,0)</f>
        <v/>
      </c>
    </row>
    <row r="881">
      <c r="A881">
        <f>'1 datos preparados'!A874</f>
        <v/>
      </c>
      <c r="B881" s="5">
        <f>'1 datos preparados'!U874</f>
        <v/>
      </c>
      <c r="C881">
        <f>'1 datos preparados'!B874</f>
        <v/>
      </c>
      <c r="D881" s="7">
        <f>'1 datos preparados'!C874</f>
        <v/>
      </c>
      <c r="E881" s="7">
        <f>'1 datos preparados'!D874</f>
        <v/>
      </c>
      <c r="F881" s="7">
        <f>'1 datos preparados'!E874</f>
        <v/>
      </c>
      <c r="G881" s="7">
        <f>'1 datos preparados'!F874</f>
        <v/>
      </c>
      <c r="H881" s="7">
        <f>'1 datos preparados'!G874</f>
        <v/>
      </c>
      <c r="I881" s="7">
        <f>'1 datos preparados'!H874</f>
        <v/>
      </c>
      <c r="J881" s="7">
        <f>'1 datos preparados'!I874</f>
        <v/>
      </c>
      <c r="K881" s="7">
        <f>'1 datos preparados'!J874</f>
        <v/>
      </c>
      <c r="L881" s="7">
        <f>'1 datos preparados'!K874</f>
        <v/>
      </c>
      <c r="M881" s="7">
        <f>'1 datos preparados'!L874</f>
        <v/>
      </c>
      <c r="N881" s="7">
        <f>'1 datos preparados'!M874</f>
        <v/>
      </c>
      <c r="O881" s="7">
        <f>'1 datos preparados'!N874</f>
        <v/>
      </c>
      <c r="P881" s="7">
        <f>'1 datos preparados'!O874</f>
        <v/>
      </c>
      <c r="Q881" s="7">
        <f>'1 datos preparados'!P874</f>
        <v/>
      </c>
      <c r="R881" s="7">
        <f>'1 datos preparados'!Q874</f>
        <v/>
      </c>
      <c r="S881" s="7">
        <f>'1 datos preparados'!R874</f>
        <v/>
      </c>
      <c r="T881" s="7">
        <f>'1 datos preparados'!S874</f>
        <v/>
      </c>
      <c r="U881" s="7">
        <f>'1 datos preparados'!T874</f>
        <v/>
      </c>
      <c r="V881" s="8">
        <f>$AE$12+D881*$AE$13+E881*$AE$14+F881*$AE$15+G881*$AE$16+H881*$AE$17+I881*$AE$18+J881*$AE$19+K881*$AE$20+L881*$AE$21+M881*$AE$22+N881*$AE$23+O881*$AE$24+P881*$AE$25+Q881*$AE$26+R881*$AE$27+S881*$AE$28+T881*$AE$29+U881*$AE$30</f>
        <v/>
      </c>
      <c r="W881" s="8">
        <f>1/(1+EXP(-V881))</f>
        <v/>
      </c>
      <c r="X881" s="9">
        <f>-IF(C881=1,LN(W881),LN(1-W881))</f>
        <v/>
      </c>
      <c r="Y881" s="8">
        <f>IF(C881=1,$AE$32,$AE$33)</f>
        <v/>
      </c>
      <c r="Z881" s="9">
        <f>Y881*X881</f>
        <v/>
      </c>
      <c r="AA881" s="10">
        <f>IF(W881&gt;$AE$34,1,0)</f>
        <v/>
      </c>
      <c r="AB881">
        <f>IF(AA881=C881,1,0)</f>
        <v/>
      </c>
    </row>
    <row r="882">
      <c r="A882">
        <f>'1 datos preparados'!A875</f>
        <v/>
      </c>
      <c r="B882" s="5">
        <f>'1 datos preparados'!U875</f>
        <v/>
      </c>
      <c r="C882">
        <f>'1 datos preparados'!B875</f>
        <v/>
      </c>
      <c r="D882" s="7">
        <f>'1 datos preparados'!C875</f>
        <v/>
      </c>
      <c r="E882" s="7">
        <f>'1 datos preparados'!D875</f>
        <v/>
      </c>
      <c r="F882" s="7">
        <f>'1 datos preparados'!E875</f>
        <v/>
      </c>
      <c r="G882" s="7">
        <f>'1 datos preparados'!F875</f>
        <v/>
      </c>
      <c r="H882" s="7">
        <f>'1 datos preparados'!G875</f>
        <v/>
      </c>
      <c r="I882" s="7">
        <f>'1 datos preparados'!H875</f>
        <v/>
      </c>
      <c r="J882" s="7">
        <f>'1 datos preparados'!I875</f>
        <v/>
      </c>
      <c r="K882" s="7">
        <f>'1 datos preparados'!J875</f>
        <v/>
      </c>
      <c r="L882" s="7">
        <f>'1 datos preparados'!K875</f>
        <v/>
      </c>
      <c r="M882" s="7">
        <f>'1 datos preparados'!L875</f>
        <v/>
      </c>
      <c r="N882" s="7">
        <f>'1 datos preparados'!M875</f>
        <v/>
      </c>
      <c r="O882" s="7">
        <f>'1 datos preparados'!N875</f>
        <v/>
      </c>
      <c r="P882" s="7">
        <f>'1 datos preparados'!O875</f>
        <v/>
      </c>
      <c r="Q882" s="7">
        <f>'1 datos preparados'!P875</f>
        <v/>
      </c>
      <c r="R882" s="7">
        <f>'1 datos preparados'!Q875</f>
        <v/>
      </c>
      <c r="S882" s="7">
        <f>'1 datos preparados'!R875</f>
        <v/>
      </c>
      <c r="T882" s="7">
        <f>'1 datos preparados'!S875</f>
        <v/>
      </c>
      <c r="U882" s="7">
        <f>'1 datos preparados'!T875</f>
        <v/>
      </c>
      <c r="V882" s="8">
        <f>$AE$12+D882*$AE$13+E882*$AE$14+F882*$AE$15+G882*$AE$16+H882*$AE$17+I882*$AE$18+J882*$AE$19+K882*$AE$20+L882*$AE$21+M882*$AE$22+N882*$AE$23+O882*$AE$24+P882*$AE$25+Q882*$AE$26+R882*$AE$27+S882*$AE$28+T882*$AE$29+U882*$AE$30</f>
        <v/>
      </c>
      <c r="W882" s="8">
        <f>1/(1+EXP(-V882))</f>
        <v/>
      </c>
      <c r="X882" s="9">
        <f>-IF(C882=1,LN(W882),LN(1-W882))</f>
        <v/>
      </c>
      <c r="Y882" s="8">
        <f>IF(C882=1,$AE$32,$AE$33)</f>
        <v/>
      </c>
      <c r="Z882" s="9">
        <f>Y882*X882</f>
        <v/>
      </c>
      <c r="AA882" s="10">
        <f>IF(W882&gt;$AE$34,1,0)</f>
        <v/>
      </c>
      <c r="AB882">
        <f>IF(AA882=C882,1,0)</f>
        <v/>
      </c>
    </row>
    <row r="883">
      <c r="A883">
        <f>'1 datos preparados'!A876</f>
        <v/>
      </c>
      <c r="B883" s="5">
        <f>'1 datos preparados'!U876</f>
        <v/>
      </c>
      <c r="C883">
        <f>'1 datos preparados'!B876</f>
        <v/>
      </c>
      <c r="D883" s="7">
        <f>'1 datos preparados'!C876</f>
        <v/>
      </c>
      <c r="E883" s="7">
        <f>'1 datos preparados'!D876</f>
        <v/>
      </c>
      <c r="F883" s="7">
        <f>'1 datos preparados'!E876</f>
        <v/>
      </c>
      <c r="G883" s="7">
        <f>'1 datos preparados'!F876</f>
        <v/>
      </c>
      <c r="H883" s="7">
        <f>'1 datos preparados'!G876</f>
        <v/>
      </c>
      <c r="I883" s="7">
        <f>'1 datos preparados'!H876</f>
        <v/>
      </c>
      <c r="J883" s="7">
        <f>'1 datos preparados'!I876</f>
        <v/>
      </c>
      <c r="K883" s="7">
        <f>'1 datos preparados'!J876</f>
        <v/>
      </c>
      <c r="L883" s="7">
        <f>'1 datos preparados'!K876</f>
        <v/>
      </c>
      <c r="M883" s="7">
        <f>'1 datos preparados'!L876</f>
        <v/>
      </c>
      <c r="N883" s="7">
        <f>'1 datos preparados'!M876</f>
        <v/>
      </c>
      <c r="O883" s="7">
        <f>'1 datos preparados'!N876</f>
        <v/>
      </c>
      <c r="P883" s="7">
        <f>'1 datos preparados'!O876</f>
        <v/>
      </c>
      <c r="Q883" s="7">
        <f>'1 datos preparados'!P876</f>
        <v/>
      </c>
      <c r="R883" s="7">
        <f>'1 datos preparados'!Q876</f>
        <v/>
      </c>
      <c r="S883" s="7">
        <f>'1 datos preparados'!R876</f>
        <v/>
      </c>
      <c r="T883" s="7">
        <f>'1 datos preparados'!S876</f>
        <v/>
      </c>
      <c r="U883" s="7">
        <f>'1 datos preparados'!T876</f>
        <v/>
      </c>
      <c r="V883" s="8">
        <f>$AE$12+D883*$AE$13+E883*$AE$14+F883*$AE$15+G883*$AE$16+H883*$AE$17+I883*$AE$18+J883*$AE$19+K883*$AE$20+L883*$AE$21+M883*$AE$22+N883*$AE$23+O883*$AE$24+P883*$AE$25+Q883*$AE$26+R883*$AE$27+S883*$AE$28+T883*$AE$29+U883*$AE$30</f>
        <v/>
      </c>
      <c r="W883" s="8">
        <f>1/(1+EXP(-V883))</f>
        <v/>
      </c>
      <c r="X883" s="9">
        <f>-IF(C883=1,LN(W883),LN(1-W883))</f>
        <v/>
      </c>
      <c r="Y883" s="8">
        <f>IF(C883=1,$AE$32,$AE$33)</f>
        <v/>
      </c>
      <c r="Z883" s="9">
        <f>Y883*X883</f>
        <v/>
      </c>
      <c r="AA883" s="10">
        <f>IF(W883&gt;$AE$34,1,0)</f>
        <v/>
      </c>
      <c r="AB883">
        <f>IF(AA883=C883,1,0)</f>
        <v/>
      </c>
    </row>
    <row r="884">
      <c r="A884">
        <f>'1 datos preparados'!A877</f>
        <v/>
      </c>
      <c r="B884" s="5">
        <f>'1 datos preparados'!U877</f>
        <v/>
      </c>
      <c r="C884">
        <f>'1 datos preparados'!B877</f>
        <v/>
      </c>
      <c r="D884" s="7">
        <f>'1 datos preparados'!C877</f>
        <v/>
      </c>
      <c r="E884" s="7">
        <f>'1 datos preparados'!D877</f>
        <v/>
      </c>
      <c r="F884" s="7">
        <f>'1 datos preparados'!E877</f>
        <v/>
      </c>
      <c r="G884" s="7">
        <f>'1 datos preparados'!F877</f>
        <v/>
      </c>
      <c r="H884" s="7">
        <f>'1 datos preparados'!G877</f>
        <v/>
      </c>
      <c r="I884" s="7">
        <f>'1 datos preparados'!H877</f>
        <v/>
      </c>
      <c r="J884" s="7">
        <f>'1 datos preparados'!I877</f>
        <v/>
      </c>
      <c r="K884" s="7">
        <f>'1 datos preparados'!J877</f>
        <v/>
      </c>
      <c r="L884" s="7">
        <f>'1 datos preparados'!K877</f>
        <v/>
      </c>
      <c r="M884" s="7">
        <f>'1 datos preparados'!L877</f>
        <v/>
      </c>
      <c r="N884" s="7">
        <f>'1 datos preparados'!M877</f>
        <v/>
      </c>
      <c r="O884" s="7">
        <f>'1 datos preparados'!N877</f>
        <v/>
      </c>
      <c r="P884" s="7">
        <f>'1 datos preparados'!O877</f>
        <v/>
      </c>
      <c r="Q884" s="7">
        <f>'1 datos preparados'!P877</f>
        <v/>
      </c>
      <c r="R884" s="7">
        <f>'1 datos preparados'!Q877</f>
        <v/>
      </c>
      <c r="S884" s="7">
        <f>'1 datos preparados'!R877</f>
        <v/>
      </c>
      <c r="T884" s="7">
        <f>'1 datos preparados'!S877</f>
        <v/>
      </c>
      <c r="U884" s="7">
        <f>'1 datos preparados'!T877</f>
        <v/>
      </c>
      <c r="V884" s="8">
        <f>$AE$12+D884*$AE$13+E884*$AE$14+F884*$AE$15+G884*$AE$16+H884*$AE$17+I884*$AE$18+J884*$AE$19+K884*$AE$20+L884*$AE$21+M884*$AE$22+N884*$AE$23+O884*$AE$24+P884*$AE$25+Q884*$AE$26+R884*$AE$27+S884*$AE$28+T884*$AE$29+U884*$AE$30</f>
        <v/>
      </c>
      <c r="W884" s="8">
        <f>1/(1+EXP(-V884))</f>
        <v/>
      </c>
      <c r="X884" s="9">
        <f>-IF(C884=1,LN(W884),LN(1-W884))</f>
        <v/>
      </c>
      <c r="Y884" s="8">
        <f>IF(C884=1,$AE$32,$AE$33)</f>
        <v/>
      </c>
      <c r="Z884" s="9">
        <f>Y884*X884</f>
        <v/>
      </c>
      <c r="AA884" s="10">
        <f>IF(W884&gt;$AE$34,1,0)</f>
        <v/>
      </c>
      <c r="AB884">
        <f>IF(AA884=C884,1,0)</f>
        <v/>
      </c>
    </row>
    <row r="885">
      <c r="A885">
        <f>'1 datos preparados'!A878</f>
        <v/>
      </c>
      <c r="B885" s="5">
        <f>'1 datos preparados'!U878</f>
        <v/>
      </c>
      <c r="C885">
        <f>'1 datos preparados'!B878</f>
        <v/>
      </c>
      <c r="D885" s="7">
        <f>'1 datos preparados'!C878</f>
        <v/>
      </c>
      <c r="E885" s="7">
        <f>'1 datos preparados'!D878</f>
        <v/>
      </c>
      <c r="F885" s="7">
        <f>'1 datos preparados'!E878</f>
        <v/>
      </c>
      <c r="G885" s="7">
        <f>'1 datos preparados'!F878</f>
        <v/>
      </c>
      <c r="H885" s="7">
        <f>'1 datos preparados'!G878</f>
        <v/>
      </c>
      <c r="I885" s="7">
        <f>'1 datos preparados'!H878</f>
        <v/>
      </c>
      <c r="J885" s="7">
        <f>'1 datos preparados'!I878</f>
        <v/>
      </c>
      <c r="K885" s="7">
        <f>'1 datos preparados'!J878</f>
        <v/>
      </c>
      <c r="L885" s="7">
        <f>'1 datos preparados'!K878</f>
        <v/>
      </c>
      <c r="M885" s="7">
        <f>'1 datos preparados'!L878</f>
        <v/>
      </c>
      <c r="N885" s="7">
        <f>'1 datos preparados'!M878</f>
        <v/>
      </c>
      <c r="O885" s="7">
        <f>'1 datos preparados'!N878</f>
        <v/>
      </c>
      <c r="P885" s="7">
        <f>'1 datos preparados'!O878</f>
        <v/>
      </c>
      <c r="Q885" s="7">
        <f>'1 datos preparados'!P878</f>
        <v/>
      </c>
      <c r="R885" s="7">
        <f>'1 datos preparados'!Q878</f>
        <v/>
      </c>
      <c r="S885" s="7">
        <f>'1 datos preparados'!R878</f>
        <v/>
      </c>
      <c r="T885" s="7">
        <f>'1 datos preparados'!S878</f>
        <v/>
      </c>
      <c r="U885" s="7">
        <f>'1 datos preparados'!T878</f>
        <v/>
      </c>
      <c r="V885" s="8">
        <f>$AE$12+D885*$AE$13+E885*$AE$14+F885*$AE$15+G885*$AE$16+H885*$AE$17+I885*$AE$18+J885*$AE$19+K885*$AE$20+L885*$AE$21+M885*$AE$22+N885*$AE$23+O885*$AE$24+P885*$AE$25+Q885*$AE$26+R885*$AE$27+S885*$AE$28+T885*$AE$29+U885*$AE$30</f>
        <v/>
      </c>
      <c r="W885" s="8">
        <f>1/(1+EXP(-V885))</f>
        <v/>
      </c>
      <c r="X885" s="9">
        <f>-IF(C885=1,LN(W885),LN(1-W885))</f>
        <v/>
      </c>
      <c r="Y885" s="8">
        <f>IF(C885=1,$AE$32,$AE$33)</f>
        <v/>
      </c>
      <c r="Z885" s="9">
        <f>Y885*X885</f>
        <v/>
      </c>
      <c r="AA885" s="10">
        <f>IF(W885&gt;$AE$34,1,0)</f>
        <v/>
      </c>
      <c r="AB885">
        <f>IF(AA885=C885,1,0)</f>
        <v/>
      </c>
    </row>
    <row r="886">
      <c r="A886">
        <f>'1 datos preparados'!A879</f>
        <v/>
      </c>
      <c r="B886" s="5">
        <f>'1 datos preparados'!U879</f>
        <v/>
      </c>
      <c r="C886">
        <f>'1 datos preparados'!B879</f>
        <v/>
      </c>
      <c r="D886" s="7">
        <f>'1 datos preparados'!C879</f>
        <v/>
      </c>
      <c r="E886" s="7">
        <f>'1 datos preparados'!D879</f>
        <v/>
      </c>
      <c r="F886" s="7">
        <f>'1 datos preparados'!E879</f>
        <v/>
      </c>
      <c r="G886" s="7">
        <f>'1 datos preparados'!F879</f>
        <v/>
      </c>
      <c r="H886" s="7">
        <f>'1 datos preparados'!G879</f>
        <v/>
      </c>
      <c r="I886" s="7">
        <f>'1 datos preparados'!H879</f>
        <v/>
      </c>
      <c r="J886" s="7">
        <f>'1 datos preparados'!I879</f>
        <v/>
      </c>
      <c r="K886" s="7">
        <f>'1 datos preparados'!J879</f>
        <v/>
      </c>
      <c r="L886" s="7">
        <f>'1 datos preparados'!K879</f>
        <v/>
      </c>
      <c r="M886" s="7">
        <f>'1 datos preparados'!L879</f>
        <v/>
      </c>
      <c r="N886" s="7">
        <f>'1 datos preparados'!M879</f>
        <v/>
      </c>
      <c r="O886" s="7">
        <f>'1 datos preparados'!N879</f>
        <v/>
      </c>
      <c r="P886" s="7">
        <f>'1 datos preparados'!O879</f>
        <v/>
      </c>
      <c r="Q886" s="7">
        <f>'1 datos preparados'!P879</f>
        <v/>
      </c>
      <c r="R886" s="7">
        <f>'1 datos preparados'!Q879</f>
        <v/>
      </c>
      <c r="S886" s="7">
        <f>'1 datos preparados'!R879</f>
        <v/>
      </c>
      <c r="T886" s="7">
        <f>'1 datos preparados'!S879</f>
        <v/>
      </c>
      <c r="U886" s="7">
        <f>'1 datos preparados'!T879</f>
        <v/>
      </c>
      <c r="V886" s="8">
        <f>$AE$12+D886*$AE$13+E886*$AE$14+F886*$AE$15+G886*$AE$16+H886*$AE$17+I886*$AE$18+J886*$AE$19+K886*$AE$20+L886*$AE$21+M886*$AE$22+N886*$AE$23+O886*$AE$24+P886*$AE$25+Q886*$AE$26+R886*$AE$27+S886*$AE$28+T886*$AE$29+U886*$AE$30</f>
        <v/>
      </c>
      <c r="W886" s="8">
        <f>1/(1+EXP(-V886))</f>
        <v/>
      </c>
      <c r="X886" s="9">
        <f>-IF(C886=1,LN(W886),LN(1-W886))</f>
        <v/>
      </c>
      <c r="Y886" s="8">
        <f>IF(C886=1,$AE$32,$AE$33)</f>
        <v/>
      </c>
      <c r="Z886" s="9">
        <f>Y886*X886</f>
        <v/>
      </c>
      <c r="AA886" s="10">
        <f>IF(W886&gt;$AE$34,1,0)</f>
        <v/>
      </c>
      <c r="AB886">
        <f>IF(AA886=C886,1,0)</f>
        <v/>
      </c>
    </row>
    <row r="887">
      <c r="A887">
        <f>'1 datos preparados'!A880</f>
        <v/>
      </c>
      <c r="B887" s="5">
        <f>'1 datos preparados'!U880</f>
        <v/>
      </c>
      <c r="C887">
        <f>'1 datos preparados'!B880</f>
        <v/>
      </c>
      <c r="D887" s="7">
        <f>'1 datos preparados'!C880</f>
        <v/>
      </c>
      <c r="E887" s="7">
        <f>'1 datos preparados'!D880</f>
        <v/>
      </c>
      <c r="F887" s="7">
        <f>'1 datos preparados'!E880</f>
        <v/>
      </c>
      <c r="G887" s="7">
        <f>'1 datos preparados'!F880</f>
        <v/>
      </c>
      <c r="H887" s="7">
        <f>'1 datos preparados'!G880</f>
        <v/>
      </c>
      <c r="I887" s="7">
        <f>'1 datos preparados'!H880</f>
        <v/>
      </c>
      <c r="J887" s="7">
        <f>'1 datos preparados'!I880</f>
        <v/>
      </c>
      <c r="K887" s="7">
        <f>'1 datos preparados'!J880</f>
        <v/>
      </c>
      <c r="L887" s="7">
        <f>'1 datos preparados'!K880</f>
        <v/>
      </c>
      <c r="M887" s="7">
        <f>'1 datos preparados'!L880</f>
        <v/>
      </c>
      <c r="N887" s="7">
        <f>'1 datos preparados'!M880</f>
        <v/>
      </c>
      <c r="O887" s="7">
        <f>'1 datos preparados'!N880</f>
        <v/>
      </c>
      <c r="P887" s="7">
        <f>'1 datos preparados'!O880</f>
        <v/>
      </c>
      <c r="Q887" s="7">
        <f>'1 datos preparados'!P880</f>
        <v/>
      </c>
      <c r="R887" s="7">
        <f>'1 datos preparados'!Q880</f>
        <v/>
      </c>
      <c r="S887" s="7">
        <f>'1 datos preparados'!R880</f>
        <v/>
      </c>
      <c r="T887" s="7">
        <f>'1 datos preparados'!S880</f>
        <v/>
      </c>
      <c r="U887" s="7">
        <f>'1 datos preparados'!T880</f>
        <v/>
      </c>
      <c r="V887" s="8">
        <f>$AE$12+D887*$AE$13+E887*$AE$14+F887*$AE$15+G887*$AE$16+H887*$AE$17+I887*$AE$18+J887*$AE$19+K887*$AE$20+L887*$AE$21+M887*$AE$22+N887*$AE$23+O887*$AE$24+P887*$AE$25+Q887*$AE$26+R887*$AE$27+S887*$AE$28+T887*$AE$29+U887*$AE$30</f>
        <v/>
      </c>
      <c r="W887" s="8">
        <f>1/(1+EXP(-V887))</f>
        <v/>
      </c>
      <c r="X887" s="9">
        <f>-IF(C887=1,LN(W887),LN(1-W887))</f>
        <v/>
      </c>
      <c r="Y887" s="8">
        <f>IF(C887=1,$AE$32,$AE$33)</f>
        <v/>
      </c>
      <c r="Z887" s="9">
        <f>Y887*X887</f>
        <v/>
      </c>
      <c r="AA887" s="10">
        <f>IF(W887&gt;$AE$34,1,0)</f>
        <v/>
      </c>
      <c r="AB887">
        <f>IF(AA887=C887,1,0)</f>
        <v/>
      </c>
    </row>
    <row r="888">
      <c r="A888">
        <f>'1 datos preparados'!A881</f>
        <v/>
      </c>
      <c r="B888" s="5">
        <f>'1 datos preparados'!U881</f>
        <v/>
      </c>
      <c r="C888">
        <f>'1 datos preparados'!B881</f>
        <v/>
      </c>
      <c r="D888" s="7">
        <f>'1 datos preparados'!C881</f>
        <v/>
      </c>
      <c r="E888" s="7">
        <f>'1 datos preparados'!D881</f>
        <v/>
      </c>
      <c r="F888" s="7">
        <f>'1 datos preparados'!E881</f>
        <v/>
      </c>
      <c r="G888" s="7">
        <f>'1 datos preparados'!F881</f>
        <v/>
      </c>
      <c r="H888" s="7">
        <f>'1 datos preparados'!G881</f>
        <v/>
      </c>
      <c r="I888" s="7">
        <f>'1 datos preparados'!H881</f>
        <v/>
      </c>
      <c r="J888" s="7">
        <f>'1 datos preparados'!I881</f>
        <v/>
      </c>
      <c r="K888" s="7">
        <f>'1 datos preparados'!J881</f>
        <v/>
      </c>
      <c r="L888" s="7">
        <f>'1 datos preparados'!K881</f>
        <v/>
      </c>
      <c r="M888" s="7">
        <f>'1 datos preparados'!L881</f>
        <v/>
      </c>
      <c r="N888" s="7">
        <f>'1 datos preparados'!M881</f>
        <v/>
      </c>
      <c r="O888" s="7">
        <f>'1 datos preparados'!N881</f>
        <v/>
      </c>
      <c r="P888" s="7">
        <f>'1 datos preparados'!O881</f>
        <v/>
      </c>
      <c r="Q888" s="7">
        <f>'1 datos preparados'!P881</f>
        <v/>
      </c>
      <c r="R888" s="7">
        <f>'1 datos preparados'!Q881</f>
        <v/>
      </c>
      <c r="S888" s="7">
        <f>'1 datos preparados'!R881</f>
        <v/>
      </c>
      <c r="T888" s="7">
        <f>'1 datos preparados'!S881</f>
        <v/>
      </c>
      <c r="U888" s="7">
        <f>'1 datos preparados'!T881</f>
        <v/>
      </c>
      <c r="V888" s="8">
        <f>$AE$12+D888*$AE$13+E888*$AE$14+F888*$AE$15+G888*$AE$16+H888*$AE$17+I888*$AE$18+J888*$AE$19+K888*$AE$20+L888*$AE$21+M888*$AE$22+N888*$AE$23+O888*$AE$24+P888*$AE$25+Q888*$AE$26+R888*$AE$27+S888*$AE$28+T888*$AE$29+U888*$AE$30</f>
        <v/>
      </c>
      <c r="W888" s="8">
        <f>1/(1+EXP(-V888))</f>
        <v/>
      </c>
      <c r="X888" s="9">
        <f>-IF(C888=1,LN(W888),LN(1-W888))</f>
        <v/>
      </c>
      <c r="Y888" s="8">
        <f>IF(C888=1,$AE$32,$AE$33)</f>
        <v/>
      </c>
      <c r="Z888" s="9">
        <f>Y888*X888</f>
        <v/>
      </c>
      <c r="AA888" s="10">
        <f>IF(W888&gt;$AE$34,1,0)</f>
        <v/>
      </c>
      <c r="AB888">
        <f>IF(AA888=C888,1,0)</f>
        <v/>
      </c>
    </row>
    <row r="889">
      <c r="A889">
        <f>'1 datos preparados'!A882</f>
        <v/>
      </c>
      <c r="B889" s="5">
        <f>'1 datos preparados'!U882</f>
        <v/>
      </c>
      <c r="C889">
        <f>'1 datos preparados'!B882</f>
        <v/>
      </c>
      <c r="D889" s="7">
        <f>'1 datos preparados'!C882</f>
        <v/>
      </c>
      <c r="E889" s="7">
        <f>'1 datos preparados'!D882</f>
        <v/>
      </c>
      <c r="F889" s="7">
        <f>'1 datos preparados'!E882</f>
        <v/>
      </c>
      <c r="G889" s="7">
        <f>'1 datos preparados'!F882</f>
        <v/>
      </c>
      <c r="H889" s="7">
        <f>'1 datos preparados'!G882</f>
        <v/>
      </c>
      <c r="I889" s="7">
        <f>'1 datos preparados'!H882</f>
        <v/>
      </c>
      <c r="J889" s="7">
        <f>'1 datos preparados'!I882</f>
        <v/>
      </c>
      <c r="K889" s="7">
        <f>'1 datos preparados'!J882</f>
        <v/>
      </c>
      <c r="L889" s="7">
        <f>'1 datos preparados'!K882</f>
        <v/>
      </c>
      <c r="M889" s="7">
        <f>'1 datos preparados'!L882</f>
        <v/>
      </c>
      <c r="N889" s="7">
        <f>'1 datos preparados'!M882</f>
        <v/>
      </c>
      <c r="O889" s="7">
        <f>'1 datos preparados'!N882</f>
        <v/>
      </c>
      <c r="P889" s="7">
        <f>'1 datos preparados'!O882</f>
        <v/>
      </c>
      <c r="Q889" s="7">
        <f>'1 datos preparados'!P882</f>
        <v/>
      </c>
      <c r="R889" s="7">
        <f>'1 datos preparados'!Q882</f>
        <v/>
      </c>
      <c r="S889" s="7">
        <f>'1 datos preparados'!R882</f>
        <v/>
      </c>
      <c r="T889" s="7">
        <f>'1 datos preparados'!S882</f>
        <v/>
      </c>
      <c r="U889" s="7">
        <f>'1 datos preparados'!T882</f>
        <v/>
      </c>
      <c r="V889" s="8">
        <f>$AE$12+D889*$AE$13+E889*$AE$14+F889*$AE$15+G889*$AE$16+H889*$AE$17+I889*$AE$18+J889*$AE$19+K889*$AE$20+L889*$AE$21+M889*$AE$22+N889*$AE$23+O889*$AE$24+P889*$AE$25+Q889*$AE$26+R889*$AE$27+S889*$AE$28+T889*$AE$29+U889*$AE$30</f>
        <v/>
      </c>
      <c r="W889" s="8">
        <f>1/(1+EXP(-V889))</f>
        <v/>
      </c>
      <c r="X889" s="9">
        <f>-IF(C889=1,LN(W889),LN(1-W889))</f>
        <v/>
      </c>
      <c r="Y889" s="8">
        <f>IF(C889=1,$AE$32,$AE$33)</f>
        <v/>
      </c>
      <c r="Z889" s="9">
        <f>Y889*X889</f>
        <v/>
      </c>
      <c r="AA889" s="10">
        <f>IF(W889&gt;$AE$34,1,0)</f>
        <v/>
      </c>
      <c r="AB889">
        <f>IF(AA889=C889,1,0)</f>
        <v/>
      </c>
    </row>
    <row r="890">
      <c r="A890">
        <f>'1 datos preparados'!A883</f>
        <v/>
      </c>
      <c r="B890" s="5">
        <f>'1 datos preparados'!U883</f>
        <v/>
      </c>
      <c r="C890">
        <f>'1 datos preparados'!B883</f>
        <v/>
      </c>
      <c r="D890" s="7">
        <f>'1 datos preparados'!C883</f>
        <v/>
      </c>
      <c r="E890" s="7">
        <f>'1 datos preparados'!D883</f>
        <v/>
      </c>
      <c r="F890" s="7">
        <f>'1 datos preparados'!E883</f>
        <v/>
      </c>
      <c r="G890" s="7">
        <f>'1 datos preparados'!F883</f>
        <v/>
      </c>
      <c r="H890" s="7">
        <f>'1 datos preparados'!G883</f>
        <v/>
      </c>
      <c r="I890" s="7">
        <f>'1 datos preparados'!H883</f>
        <v/>
      </c>
      <c r="J890" s="7">
        <f>'1 datos preparados'!I883</f>
        <v/>
      </c>
      <c r="K890" s="7">
        <f>'1 datos preparados'!J883</f>
        <v/>
      </c>
      <c r="L890" s="7">
        <f>'1 datos preparados'!K883</f>
        <v/>
      </c>
      <c r="M890" s="7">
        <f>'1 datos preparados'!L883</f>
        <v/>
      </c>
      <c r="N890" s="7">
        <f>'1 datos preparados'!M883</f>
        <v/>
      </c>
      <c r="O890" s="7">
        <f>'1 datos preparados'!N883</f>
        <v/>
      </c>
      <c r="P890" s="7">
        <f>'1 datos preparados'!O883</f>
        <v/>
      </c>
      <c r="Q890" s="7">
        <f>'1 datos preparados'!P883</f>
        <v/>
      </c>
      <c r="R890" s="7">
        <f>'1 datos preparados'!Q883</f>
        <v/>
      </c>
      <c r="S890" s="7">
        <f>'1 datos preparados'!R883</f>
        <v/>
      </c>
      <c r="T890" s="7">
        <f>'1 datos preparados'!S883</f>
        <v/>
      </c>
      <c r="U890" s="7">
        <f>'1 datos preparados'!T883</f>
        <v/>
      </c>
      <c r="V890" s="8">
        <f>$AE$12+D890*$AE$13+E890*$AE$14+F890*$AE$15+G890*$AE$16+H890*$AE$17+I890*$AE$18+J890*$AE$19+K890*$AE$20+L890*$AE$21+M890*$AE$22+N890*$AE$23+O890*$AE$24+P890*$AE$25+Q890*$AE$26+R890*$AE$27+S890*$AE$28+T890*$AE$29+U890*$AE$30</f>
        <v/>
      </c>
      <c r="W890" s="8">
        <f>1/(1+EXP(-V890))</f>
        <v/>
      </c>
      <c r="X890" s="9">
        <f>-IF(C890=1,LN(W890),LN(1-W890))</f>
        <v/>
      </c>
      <c r="Y890" s="8">
        <f>IF(C890=1,$AE$32,$AE$33)</f>
        <v/>
      </c>
      <c r="Z890" s="9">
        <f>Y890*X890</f>
        <v/>
      </c>
      <c r="AA890" s="10">
        <f>IF(W890&gt;$AE$34,1,0)</f>
        <v/>
      </c>
      <c r="AB890">
        <f>IF(AA890=C890,1,0)</f>
        <v/>
      </c>
    </row>
    <row r="891">
      <c r="A891">
        <f>'1 datos preparados'!A884</f>
        <v/>
      </c>
      <c r="B891" s="5">
        <f>'1 datos preparados'!U884</f>
        <v/>
      </c>
      <c r="C891">
        <f>'1 datos preparados'!B884</f>
        <v/>
      </c>
      <c r="D891" s="7">
        <f>'1 datos preparados'!C884</f>
        <v/>
      </c>
      <c r="E891" s="7">
        <f>'1 datos preparados'!D884</f>
        <v/>
      </c>
      <c r="F891" s="7">
        <f>'1 datos preparados'!E884</f>
        <v/>
      </c>
      <c r="G891" s="7">
        <f>'1 datos preparados'!F884</f>
        <v/>
      </c>
      <c r="H891" s="7">
        <f>'1 datos preparados'!G884</f>
        <v/>
      </c>
      <c r="I891" s="7">
        <f>'1 datos preparados'!H884</f>
        <v/>
      </c>
      <c r="J891" s="7">
        <f>'1 datos preparados'!I884</f>
        <v/>
      </c>
      <c r="K891" s="7">
        <f>'1 datos preparados'!J884</f>
        <v/>
      </c>
      <c r="L891" s="7">
        <f>'1 datos preparados'!K884</f>
        <v/>
      </c>
      <c r="M891" s="7">
        <f>'1 datos preparados'!L884</f>
        <v/>
      </c>
      <c r="N891" s="7">
        <f>'1 datos preparados'!M884</f>
        <v/>
      </c>
      <c r="O891" s="7">
        <f>'1 datos preparados'!N884</f>
        <v/>
      </c>
      <c r="P891" s="7">
        <f>'1 datos preparados'!O884</f>
        <v/>
      </c>
      <c r="Q891" s="7">
        <f>'1 datos preparados'!P884</f>
        <v/>
      </c>
      <c r="R891" s="7">
        <f>'1 datos preparados'!Q884</f>
        <v/>
      </c>
      <c r="S891" s="7">
        <f>'1 datos preparados'!R884</f>
        <v/>
      </c>
      <c r="T891" s="7">
        <f>'1 datos preparados'!S884</f>
        <v/>
      </c>
      <c r="U891" s="7">
        <f>'1 datos preparados'!T884</f>
        <v/>
      </c>
      <c r="V891" s="8">
        <f>$AE$12+D891*$AE$13+E891*$AE$14+F891*$AE$15+G891*$AE$16+H891*$AE$17+I891*$AE$18+J891*$AE$19+K891*$AE$20+L891*$AE$21+M891*$AE$22+N891*$AE$23+O891*$AE$24+P891*$AE$25+Q891*$AE$26+R891*$AE$27+S891*$AE$28+T891*$AE$29+U891*$AE$30</f>
        <v/>
      </c>
      <c r="W891" s="8">
        <f>1/(1+EXP(-V891))</f>
        <v/>
      </c>
      <c r="X891" s="9">
        <f>-IF(C891=1,LN(W891),LN(1-W891))</f>
        <v/>
      </c>
      <c r="Y891" s="8">
        <f>IF(C891=1,$AE$32,$AE$33)</f>
        <v/>
      </c>
      <c r="Z891" s="9">
        <f>Y891*X891</f>
        <v/>
      </c>
      <c r="AA891" s="10">
        <f>IF(W891&gt;$AE$34,1,0)</f>
        <v/>
      </c>
      <c r="AB891">
        <f>IF(AA891=C891,1,0)</f>
        <v/>
      </c>
    </row>
    <row r="892">
      <c r="A892">
        <f>'1 datos preparados'!A885</f>
        <v/>
      </c>
      <c r="B892" s="5">
        <f>'1 datos preparados'!U885</f>
        <v/>
      </c>
      <c r="C892">
        <f>'1 datos preparados'!B885</f>
        <v/>
      </c>
      <c r="D892" s="7">
        <f>'1 datos preparados'!C885</f>
        <v/>
      </c>
      <c r="E892" s="7">
        <f>'1 datos preparados'!D885</f>
        <v/>
      </c>
      <c r="F892" s="7">
        <f>'1 datos preparados'!E885</f>
        <v/>
      </c>
      <c r="G892" s="7">
        <f>'1 datos preparados'!F885</f>
        <v/>
      </c>
      <c r="H892" s="7">
        <f>'1 datos preparados'!G885</f>
        <v/>
      </c>
      <c r="I892" s="7">
        <f>'1 datos preparados'!H885</f>
        <v/>
      </c>
      <c r="J892" s="7">
        <f>'1 datos preparados'!I885</f>
        <v/>
      </c>
      <c r="K892" s="7">
        <f>'1 datos preparados'!J885</f>
        <v/>
      </c>
      <c r="L892" s="7">
        <f>'1 datos preparados'!K885</f>
        <v/>
      </c>
      <c r="M892" s="7">
        <f>'1 datos preparados'!L885</f>
        <v/>
      </c>
      <c r="N892" s="7">
        <f>'1 datos preparados'!M885</f>
        <v/>
      </c>
      <c r="O892" s="7">
        <f>'1 datos preparados'!N885</f>
        <v/>
      </c>
      <c r="P892" s="7">
        <f>'1 datos preparados'!O885</f>
        <v/>
      </c>
      <c r="Q892" s="7">
        <f>'1 datos preparados'!P885</f>
        <v/>
      </c>
      <c r="R892" s="7">
        <f>'1 datos preparados'!Q885</f>
        <v/>
      </c>
      <c r="S892" s="7">
        <f>'1 datos preparados'!R885</f>
        <v/>
      </c>
      <c r="T892" s="7">
        <f>'1 datos preparados'!S885</f>
        <v/>
      </c>
      <c r="U892" s="7">
        <f>'1 datos preparados'!T885</f>
        <v/>
      </c>
      <c r="V892" s="8">
        <f>$AE$12+D892*$AE$13+E892*$AE$14+F892*$AE$15+G892*$AE$16+H892*$AE$17+I892*$AE$18+J892*$AE$19+K892*$AE$20+L892*$AE$21+M892*$AE$22+N892*$AE$23+O892*$AE$24+P892*$AE$25+Q892*$AE$26+R892*$AE$27+S892*$AE$28+T892*$AE$29+U892*$AE$30</f>
        <v/>
      </c>
      <c r="W892" s="8">
        <f>1/(1+EXP(-V892))</f>
        <v/>
      </c>
      <c r="X892" s="9">
        <f>-IF(C892=1,LN(W892),LN(1-W892))</f>
        <v/>
      </c>
      <c r="Y892" s="8">
        <f>IF(C892=1,$AE$32,$AE$33)</f>
        <v/>
      </c>
      <c r="Z892" s="9">
        <f>Y892*X892</f>
        <v/>
      </c>
      <c r="AA892" s="10">
        <f>IF(W892&gt;$AE$34,1,0)</f>
        <v/>
      </c>
      <c r="AB892">
        <f>IF(AA892=C892,1,0)</f>
        <v/>
      </c>
    </row>
    <row r="893">
      <c r="A893">
        <f>'1 datos preparados'!A886</f>
        <v/>
      </c>
      <c r="B893" s="5">
        <f>'1 datos preparados'!U886</f>
        <v/>
      </c>
      <c r="C893">
        <f>'1 datos preparados'!B886</f>
        <v/>
      </c>
      <c r="D893" s="7">
        <f>'1 datos preparados'!C886</f>
        <v/>
      </c>
      <c r="E893" s="7">
        <f>'1 datos preparados'!D886</f>
        <v/>
      </c>
      <c r="F893" s="7">
        <f>'1 datos preparados'!E886</f>
        <v/>
      </c>
      <c r="G893" s="7">
        <f>'1 datos preparados'!F886</f>
        <v/>
      </c>
      <c r="H893" s="7">
        <f>'1 datos preparados'!G886</f>
        <v/>
      </c>
      <c r="I893" s="7">
        <f>'1 datos preparados'!H886</f>
        <v/>
      </c>
      <c r="J893" s="7">
        <f>'1 datos preparados'!I886</f>
        <v/>
      </c>
      <c r="K893" s="7">
        <f>'1 datos preparados'!J886</f>
        <v/>
      </c>
      <c r="L893" s="7">
        <f>'1 datos preparados'!K886</f>
        <v/>
      </c>
      <c r="M893" s="7">
        <f>'1 datos preparados'!L886</f>
        <v/>
      </c>
      <c r="N893" s="7">
        <f>'1 datos preparados'!M886</f>
        <v/>
      </c>
      <c r="O893" s="7">
        <f>'1 datos preparados'!N886</f>
        <v/>
      </c>
      <c r="P893" s="7">
        <f>'1 datos preparados'!O886</f>
        <v/>
      </c>
      <c r="Q893" s="7">
        <f>'1 datos preparados'!P886</f>
        <v/>
      </c>
      <c r="R893" s="7">
        <f>'1 datos preparados'!Q886</f>
        <v/>
      </c>
      <c r="S893" s="7">
        <f>'1 datos preparados'!R886</f>
        <v/>
      </c>
      <c r="T893" s="7">
        <f>'1 datos preparados'!S886</f>
        <v/>
      </c>
      <c r="U893" s="7">
        <f>'1 datos preparados'!T886</f>
        <v/>
      </c>
      <c r="V893" s="8">
        <f>$AE$12+D893*$AE$13+E893*$AE$14+F893*$AE$15+G893*$AE$16+H893*$AE$17+I893*$AE$18+J893*$AE$19+K893*$AE$20+L893*$AE$21+M893*$AE$22+N893*$AE$23+O893*$AE$24+P893*$AE$25+Q893*$AE$26+R893*$AE$27+S893*$AE$28+T893*$AE$29+U893*$AE$30</f>
        <v/>
      </c>
      <c r="W893" s="8">
        <f>1/(1+EXP(-V893))</f>
        <v/>
      </c>
      <c r="X893" s="9">
        <f>-IF(C893=1,LN(W893),LN(1-W893))</f>
        <v/>
      </c>
      <c r="Y893" s="8">
        <f>IF(C893=1,$AE$32,$AE$33)</f>
        <v/>
      </c>
      <c r="Z893" s="9">
        <f>Y893*X893</f>
        <v/>
      </c>
      <c r="AA893" s="10">
        <f>IF(W893&gt;$AE$34,1,0)</f>
        <v/>
      </c>
      <c r="AB893">
        <f>IF(AA893=C893,1,0)</f>
        <v/>
      </c>
    </row>
    <row r="894">
      <c r="A894">
        <f>'1 datos preparados'!A887</f>
        <v/>
      </c>
      <c r="B894" s="5">
        <f>'1 datos preparados'!U887</f>
        <v/>
      </c>
      <c r="C894">
        <f>'1 datos preparados'!B887</f>
        <v/>
      </c>
      <c r="D894" s="7">
        <f>'1 datos preparados'!C887</f>
        <v/>
      </c>
      <c r="E894" s="7">
        <f>'1 datos preparados'!D887</f>
        <v/>
      </c>
      <c r="F894" s="7">
        <f>'1 datos preparados'!E887</f>
        <v/>
      </c>
      <c r="G894" s="7">
        <f>'1 datos preparados'!F887</f>
        <v/>
      </c>
      <c r="H894" s="7">
        <f>'1 datos preparados'!G887</f>
        <v/>
      </c>
      <c r="I894" s="7">
        <f>'1 datos preparados'!H887</f>
        <v/>
      </c>
      <c r="J894" s="7">
        <f>'1 datos preparados'!I887</f>
        <v/>
      </c>
      <c r="K894" s="7">
        <f>'1 datos preparados'!J887</f>
        <v/>
      </c>
      <c r="L894" s="7">
        <f>'1 datos preparados'!K887</f>
        <v/>
      </c>
      <c r="M894" s="7">
        <f>'1 datos preparados'!L887</f>
        <v/>
      </c>
      <c r="N894" s="7">
        <f>'1 datos preparados'!M887</f>
        <v/>
      </c>
      <c r="O894" s="7">
        <f>'1 datos preparados'!N887</f>
        <v/>
      </c>
      <c r="P894" s="7">
        <f>'1 datos preparados'!O887</f>
        <v/>
      </c>
      <c r="Q894" s="7">
        <f>'1 datos preparados'!P887</f>
        <v/>
      </c>
      <c r="R894" s="7">
        <f>'1 datos preparados'!Q887</f>
        <v/>
      </c>
      <c r="S894" s="7">
        <f>'1 datos preparados'!R887</f>
        <v/>
      </c>
      <c r="T894" s="7">
        <f>'1 datos preparados'!S887</f>
        <v/>
      </c>
      <c r="U894" s="7">
        <f>'1 datos preparados'!T887</f>
        <v/>
      </c>
      <c r="V894" s="8">
        <f>$AE$12+D894*$AE$13+E894*$AE$14+F894*$AE$15+G894*$AE$16+H894*$AE$17+I894*$AE$18+J894*$AE$19+K894*$AE$20+L894*$AE$21+M894*$AE$22+N894*$AE$23+O894*$AE$24+P894*$AE$25+Q894*$AE$26+R894*$AE$27+S894*$AE$28+T894*$AE$29+U894*$AE$30</f>
        <v/>
      </c>
      <c r="W894" s="8">
        <f>1/(1+EXP(-V894))</f>
        <v/>
      </c>
      <c r="X894" s="9">
        <f>-IF(C894=1,LN(W894),LN(1-W894))</f>
        <v/>
      </c>
      <c r="Y894" s="8">
        <f>IF(C894=1,$AE$32,$AE$33)</f>
        <v/>
      </c>
      <c r="Z894" s="9">
        <f>Y894*X894</f>
        <v/>
      </c>
      <c r="AA894" s="10">
        <f>IF(W894&gt;$AE$34,1,0)</f>
        <v/>
      </c>
      <c r="AB894">
        <f>IF(AA894=C894,1,0)</f>
        <v/>
      </c>
    </row>
    <row r="895">
      <c r="A895">
        <f>'1 datos preparados'!A888</f>
        <v/>
      </c>
      <c r="B895" s="5">
        <f>'1 datos preparados'!U888</f>
        <v/>
      </c>
      <c r="C895">
        <f>'1 datos preparados'!B888</f>
        <v/>
      </c>
      <c r="D895" s="7">
        <f>'1 datos preparados'!C888</f>
        <v/>
      </c>
      <c r="E895" s="7">
        <f>'1 datos preparados'!D888</f>
        <v/>
      </c>
      <c r="F895" s="7">
        <f>'1 datos preparados'!E888</f>
        <v/>
      </c>
      <c r="G895" s="7">
        <f>'1 datos preparados'!F888</f>
        <v/>
      </c>
      <c r="H895" s="7">
        <f>'1 datos preparados'!G888</f>
        <v/>
      </c>
      <c r="I895" s="7">
        <f>'1 datos preparados'!H888</f>
        <v/>
      </c>
      <c r="J895" s="7">
        <f>'1 datos preparados'!I888</f>
        <v/>
      </c>
      <c r="K895" s="7">
        <f>'1 datos preparados'!J888</f>
        <v/>
      </c>
      <c r="L895" s="7">
        <f>'1 datos preparados'!K888</f>
        <v/>
      </c>
      <c r="M895" s="7">
        <f>'1 datos preparados'!L888</f>
        <v/>
      </c>
      <c r="N895" s="7">
        <f>'1 datos preparados'!M888</f>
        <v/>
      </c>
      <c r="O895" s="7">
        <f>'1 datos preparados'!N888</f>
        <v/>
      </c>
      <c r="P895" s="7">
        <f>'1 datos preparados'!O888</f>
        <v/>
      </c>
      <c r="Q895" s="7">
        <f>'1 datos preparados'!P888</f>
        <v/>
      </c>
      <c r="R895" s="7">
        <f>'1 datos preparados'!Q888</f>
        <v/>
      </c>
      <c r="S895" s="7">
        <f>'1 datos preparados'!R888</f>
        <v/>
      </c>
      <c r="T895" s="7">
        <f>'1 datos preparados'!S888</f>
        <v/>
      </c>
      <c r="U895" s="7">
        <f>'1 datos preparados'!T888</f>
        <v/>
      </c>
      <c r="V895" s="8">
        <f>$AE$12+D895*$AE$13+E895*$AE$14+F895*$AE$15+G895*$AE$16+H895*$AE$17+I895*$AE$18+J895*$AE$19+K895*$AE$20+L895*$AE$21+M895*$AE$22+N895*$AE$23+O895*$AE$24+P895*$AE$25+Q895*$AE$26+R895*$AE$27+S895*$AE$28+T895*$AE$29+U895*$AE$30</f>
        <v/>
      </c>
      <c r="W895" s="8">
        <f>1/(1+EXP(-V895))</f>
        <v/>
      </c>
      <c r="X895" s="9">
        <f>-IF(C895=1,LN(W895),LN(1-W895))</f>
        <v/>
      </c>
      <c r="Y895" s="8">
        <f>IF(C895=1,$AE$32,$AE$33)</f>
        <v/>
      </c>
      <c r="Z895" s="9">
        <f>Y895*X895</f>
        <v/>
      </c>
      <c r="AA895" s="10">
        <f>IF(W895&gt;$AE$34,1,0)</f>
        <v/>
      </c>
      <c r="AB895">
        <f>IF(AA895=C895,1,0)</f>
        <v/>
      </c>
    </row>
    <row r="896">
      <c r="A896">
        <f>'1 datos preparados'!A889</f>
        <v/>
      </c>
      <c r="B896" s="5">
        <f>'1 datos preparados'!U889</f>
        <v/>
      </c>
      <c r="C896">
        <f>'1 datos preparados'!B889</f>
        <v/>
      </c>
      <c r="D896" s="7">
        <f>'1 datos preparados'!C889</f>
        <v/>
      </c>
      <c r="E896" s="7">
        <f>'1 datos preparados'!D889</f>
        <v/>
      </c>
      <c r="F896" s="7">
        <f>'1 datos preparados'!E889</f>
        <v/>
      </c>
      <c r="G896" s="7">
        <f>'1 datos preparados'!F889</f>
        <v/>
      </c>
      <c r="H896" s="7">
        <f>'1 datos preparados'!G889</f>
        <v/>
      </c>
      <c r="I896" s="7">
        <f>'1 datos preparados'!H889</f>
        <v/>
      </c>
      <c r="J896" s="7">
        <f>'1 datos preparados'!I889</f>
        <v/>
      </c>
      <c r="K896" s="7">
        <f>'1 datos preparados'!J889</f>
        <v/>
      </c>
      <c r="L896" s="7">
        <f>'1 datos preparados'!K889</f>
        <v/>
      </c>
      <c r="M896" s="7">
        <f>'1 datos preparados'!L889</f>
        <v/>
      </c>
      <c r="N896" s="7">
        <f>'1 datos preparados'!M889</f>
        <v/>
      </c>
      <c r="O896" s="7">
        <f>'1 datos preparados'!N889</f>
        <v/>
      </c>
      <c r="P896" s="7">
        <f>'1 datos preparados'!O889</f>
        <v/>
      </c>
      <c r="Q896" s="7">
        <f>'1 datos preparados'!P889</f>
        <v/>
      </c>
      <c r="R896" s="7">
        <f>'1 datos preparados'!Q889</f>
        <v/>
      </c>
      <c r="S896" s="7">
        <f>'1 datos preparados'!R889</f>
        <v/>
      </c>
      <c r="T896" s="7">
        <f>'1 datos preparados'!S889</f>
        <v/>
      </c>
      <c r="U896" s="7">
        <f>'1 datos preparados'!T889</f>
        <v/>
      </c>
      <c r="V896" s="8">
        <f>$AE$12+D896*$AE$13+E896*$AE$14+F896*$AE$15+G896*$AE$16+H896*$AE$17+I896*$AE$18+J896*$AE$19+K896*$AE$20+L896*$AE$21+M896*$AE$22+N896*$AE$23+O896*$AE$24+P896*$AE$25+Q896*$AE$26+R896*$AE$27+S896*$AE$28+T896*$AE$29+U896*$AE$30</f>
        <v/>
      </c>
      <c r="W896" s="8">
        <f>1/(1+EXP(-V896))</f>
        <v/>
      </c>
      <c r="X896" s="9">
        <f>-IF(C896=1,LN(W896),LN(1-W896))</f>
        <v/>
      </c>
      <c r="Y896" s="8">
        <f>IF(C896=1,$AE$32,$AE$33)</f>
        <v/>
      </c>
      <c r="Z896" s="9">
        <f>Y896*X896</f>
        <v/>
      </c>
      <c r="AA896" s="10">
        <f>IF(W896&gt;$AE$34,1,0)</f>
        <v/>
      </c>
      <c r="AB896">
        <f>IF(AA896=C896,1,0)</f>
        <v/>
      </c>
    </row>
    <row r="897">
      <c r="A897">
        <f>'1 datos preparados'!A890</f>
        <v/>
      </c>
      <c r="B897" s="5">
        <f>'1 datos preparados'!U890</f>
        <v/>
      </c>
      <c r="C897">
        <f>'1 datos preparados'!B890</f>
        <v/>
      </c>
      <c r="D897" s="7">
        <f>'1 datos preparados'!C890</f>
        <v/>
      </c>
      <c r="E897" s="7">
        <f>'1 datos preparados'!D890</f>
        <v/>
      </c>
      <c r="F897" s="7">
        <f>'1 datos preparados'!E890</f>
        <v/>
      </c>
      <c r="G897" s="7">
        <f>'1 datos preparados'!F890</f>
        <v/>
      </c>
      <c r="H897" s="7">
        <f>'1 datos preparados'!G890</f>
        <v/>
      </c>
      <c r="I897" s="7">
        <f>'1 datos preparados'!H890</f>
        <v/>
      </c>
      <c r="J897" s="7">
        <f>'1 datos preparados'!I890</f>
        <v/>
      </c>
      <c r="K897" s="7">
        <f>'1 datos preparados'!J890</f>
        <v/>
      </c>
      <c r="L897" s="7">
        <f>'1 datos preparados'!K890</f>
        <v/>
      </c>
      <c r="M897" s="7">
        <f>'1 datos preparados'!L890</f>
        <v/>
      </c>
      <c r="N897" s="7">
        <f>'1 datos preparados'!M890</f>
        <v/>
      </c>
      <c r="O897" s="7">
        <f>'1 datos preparados'!N890</f>
        <v/>
      </c>
      <c r="P897" s="7">
        <f>'1 datos preparados'!O890</f>
        <v/>
      </c>
      <c r="Q897" s="7">
        <f>'1 datos preparados'!P890</f>
        <v/>
      </c>
      <c r="R897" s="7">
        <f>'1 datos preparados'!Q890</f>
        <v/>
      </c>
      <c r="S897" s="7">
        <f>'1 datos preparados'!R890</f>
        <v/>
      </c>
      <c r="T897" s="7">
        <f>'1 datos preparados'!S890</f>
        <v/>
      </c>
      <c r="U897" s="7">
        <f>'1 datos preparados'!T890</f>
        <v/>
      </c>
      <c r="V897" s="8">
        <f>$AE$12+D897*$AE$13+E897*$AE$14+F897*$AE$15+G897*$AE$16+H897*$AE$17+I897*$AE$18+J897*$AE$19+K897*$AE$20+L897*$AE$21+M897*$AE$22+N897*$AE$23+O897*$AE$24+P897*$AE$25+Q897*$AE$26+R897*$AE$27+S897*$AE$28+T897*$AE$29+U897*$AE$30</f>
        <v/>
      </c>
      <c r="W897" s="8">
        <f>1/(1+EXP(-V897))</f>
        <v/>
      </c>
      <c r="X897" s="9">
        <f>-IF(C897=1,LN(W897),LN(1-W897))</f>
        <v/>
      </c>
      <c r="Y897" s="8">
        <f>IF(C897=1,$AE$32,$AE$33)</f>
        <v/>
      </c>
      <c r="Z897" s="9">
        <f>Y897*X897</f>
        <v/>
      </c>
      <c r="AA897" s="10">
        <f>IF(W897&gt;$AE$34,1,0)</f>
        <v/>
      </c>
      <c r="AB897">
        <f>IF(AA897=C897,1,0)</f>
        <v/>
      </c>
    </row>
    <row r="898">
      <c r="A898">
        <f>'1 datos preparados'!A891</f>
        <v/>
      </c>
      <c r="B898" s="5">
        <f>'1 datos preparados'!U891</f>
        <v/>
      </c>
      <c r="C898">
        <f>'1 datos preparados'!B891</f>
        <v/>
      </c>
      <c r="D898" s="7">
        <f>'1 datos preparados'!C891</f>
        <v/>
      </c>
      <c r="E898" s="7">
        <f>'1 datos preparados'!D891</f>
        <v/>
      </c>
      <c r="F898" s="7">
        <f>'1 datos preparados'!E891</f>
        <v/>
      </c>
      <c r="G898" s="7">
        <f>'1 datos preparados'!F891</f>
        <v/>
      </c>
      <c r="H898" s="7">
        <f>'1 datos preparados'!G891</f>
        <v/>
      </c>
      <c r="I898" s="7">
        <f>'1 datos preparados'!H891</f>
        <v/>
      </c>
      <c r="J898" s="7">
        <f>'1 datos preparados'!I891</f>
        <v/>
      </c>
      <c r="K898" s="7">
        <f>'1 datos preparados'!J891</f>
        <v/>
      </c>
      <c r="L898" s="7">
        <f>'1 datos preparados'!K891</f>
        <v/>
      </c>
      <c r="M898" s="7">
        <f>'1 datos preparados'!L891</f>
        <v/>
      </c>
      <c r="N898" s="7">
        <f>'1 datos preparados'!M891</f>
        <v/>
      </c>
      <c r="O898" s="7">
        <f>'1 datos preparados'!N891</f>
        <v/>
      </c>
      <c r="P898" s="7">
        <f>'1 datos preparados'!O891</f>
        <v/>
      </c>
      <c r="Q898" s="7">
        <f>'1 datos preparados'!P891</f>
        <v/>
      </c>
      <c r="R898" s="7">
        <f>'1 datos preparados'!Q891</f>
        <v/>
      </c>
      <c r="S898" s="7">
        <f>'1 datos preparados'!R891</f>
        <v/>
      </c>
      <c r="T898" s="7">
        <f>'1 datos preparados'!S891</f>
        <v/>
      </c>
      <c r="U898" s="7">
        <f>'1 datos preparados'!T891</f>
        <v/>
      </c>
      <c r="V898" s="8">
        <f>$AE$12+D898*$AE$13+E898*$AE$14+F898*$AE$15+G898*$AE$16+H898*$AE$17+I898*$AE$18+J898*$AE$19+K898*$AE$20+L898*$AE$21+M898*$AE$22+N898*$AE$23+O898*$AE$24+P898*$AE$25+Q898*$AE$26+R898*$AE$27+S898*$AE$28+T898*$AE$29+U898*$AE$30</f>
        <v/>
      </c>
      <c r="W898" s="8">
        <f>1/(1+EXP(-V898))</f>
        <v/>
      </c>
      <c r="X898" s="9">
        <f>-IF(C898=1,LN(W898),LN(1-W898))</f>
        <v/>
      </c>
      <c r="Y898" s="8">
        <f>IF(C898=1,$AE$32,$AE$33)</f>
        <v/>
      </c>
      <c r="Z898" s="9">
        <f>Y898*X898</f>
        <v/>
      </c>
      <c r="AA898" s="10">
        <f>IF(W898&gt;$AE$34,1,0)</f>
        <v/>
      </c>
      <c r="AB898">
        <f>IF(AA898=C898,1,0)</f>
        <v/>
      </c>
    </row>
    <row r="899">
      <c r="A899">
        <f>'1 datos preparados'!A892</f>
        <v/>
      </c>
      <c r="B899" s="5">
        <f>'1 datos preparados'!U892</f>
        <v/>
      </c>
      <c r="C899">
        <f>'1 datos preparados'!B892</f>
        <v/>
      </c>
      <c r="D899" s="7">
        <f>'1 datos preparados'!C892</f>
        <v/>
      </c>
      <c r="E899" s="7">
        <f>'1 datos preparados'!D892</f>
        <v/>
      </c>
      <c r="F899" s="7">
        <f>'1 datos preparados'!E892</f>
        <v/>
      </c>
      <c r="G899" s="7">
        <f>'1 datos preparados'!F892</f>
        <v/>
      </c>
      <c r="H899" s="7">
        <f>'1 datos preparados'!G892</f>
        <v/>
      </c>
      <c r="I899" s="7">
        <f>'1 datos preparados'!H892</f>
        <v/>
      </c>
      <c r="J899" s="7">
        <f>'1 datos preparados'!I892</f>
        <v/>
      </c>
      <c r="K899" s="7">
        <f>'1 datos preparados'!J892</f>
        <v/>
      </c>
      <c r="L899" s="7">
        <f>'1 datos preparados'!K892</f>
        <v/>
      </c>
      <c r="M899" s="7">
        <f>'1 datos preparados'!L892</f>
        <v/>
      </c>
      <c r="N899" s="7">
        <f>'1 datos preparados'!M892</f>
        <v/>
      </c>
      <c r="O899" s="7">
        <f>'1 datos preparados'!N892</f>
        <v/>
      </c>
      <c r="P899" s="7">
        <f>'1 datos preparados'!O892</f>
        <v/>
      </c>
      <c r="Q899" s="7">
        <f>'1 datos preparados'!P892</f>
        <v/>
      </c>
      <c r="R899" s="7">
        <f>'1 datos preparados'!Q892</f>
        <v/>
      </c>
      <c r="S899" s="7">
        <f>'1 datos preparados'!R892</f>
        <v/>
      </c>
      <c r="T899" s="7">
        <f>'1 datos preparados'!S892</f>
        <v/>
      </c>
      <c r="U899" s="7">
        <f>'1 datos preparados'!T892</f>
        <v/>
      </c>
      <c r="V899" s="8">
        <f>$AE$12+D899*$AE$13+E899*$AE$14+F899*$AE$15+G899*$AE$16+H899*$AE$17+I899*$AE$18+J899*$AE$19+K899*$AE$20+L899*$AE$21+M899*$AE$22+N899*$AE$23+O899*$AE$24+P899*$AE$25+Q899*$AE$26+R899*$AE$27+S899*$AE$28+T899*$AE$29+U899*$AE$30</f>
        <v/>
      </c>
      <c r="W899" s="8">
        <f>1/(1+EXP(-V899))</f>
        <v/>
      </c>
      <c r="X899" s="9">
        <f>-IF(C899=1,LN(W899),LN(1-W899))</f>
        <v/>
      </c>
      <c r="Y899" s="8">
        <f>IF(C899=1,$AE$32,$AE$33)</f>
        <v/>
      </c>
      <c r="Z899" s="9">
        <f>Y899*X899</f>
        <v/>
      </c>
      <c r="AA899" s="10">
        <f>IF(W899&gt;$AE$34,1,0)</f>
        <v/>
      </c>
      <c r="AB899">
        <f>IF(AA899=C899,1,0)</f>
        <v/>
      </c>
    </row>
    <row r="900">
      <c r="A900">
        <f>'1 datos preparados'!A893</f>
        <v/>
      </c>
      <c r="B900" s="5">
        <f>'1 datos preparados'!U893</f>
        <v/>
      </c>
      <c r="C900">
        <f>'1 datos preparados'!B893</f>
        <v/>
      </c>
      <c r="D900" s="7">
        <f>'1 datos preparados'!C893</f>
        <v/>
      </c>
      <c r="E900" s="7">
        <f>'1 datos preparados'!D893</f>
        <v/>
      </c>
      <c r="F900" s="7">
        <f>'1 datos preparados'!E893</f>
        <v/>
      </c>
      <c r="G900" s="7">
        <f>'1 datos preparados'!F893</f>
        <v/>
      </c>
      <c r="H900" s="7">
        <f>'1 datos preparados'!G893</f>
        <v/>
      </c>
      <c r="I900" s="7">
        <f>'1 datos preparados'!H893</f>
        <v/>
      </c>
      <c r="J900" s="7">
        <f>'1 datos preparados'!I893</f>
        <v/>
      </c>
      <c r="K900" s="7">
        <f>'1 datos preparados'!J893</f>
        <v/>
      </c>
      <c r="L900" s="7">
        <f>'1 datos preparados'!K893</f>
        <v/>
      </c>
      <c r="M900" s="7">
        <f>'1 datos preparados'!L893</f>
        <v/>
      </c>
      <c r="N900" s="7">
        <f>'1 datos preparados'!M893</f>
        <v/>
      </c>
      <c r="O900" s="7">
        <f>'1 datos preparados'!N893</f>
        <v/>
      </c>
      <c r="P900" s="7">
        <f>'1 datos preparados'!O893</f>
        <v/>
      </c>
      <c r="Q900" s="7">
        <f>'1 datos preparados'!P893</f>
        <v/>
      </c>
      <c r="R900" s="7">
        <f>'1 datos preparados'!Q893</f>
        <v/>
      </c>
      <c r="S900" s="7">
        <f>'1 datos preparados'!R893</f>
        <v/>
      </c>
      <c r="T900" s="7">
        <f>'1 datos preparados'!S893</f>
        <v/>
      </c>
      <c r="U900" s="7">
        <f>'1 datos preparados'!T893</f>
        <v/>
      </c>
      <c r="V900" s="8">
        <f>$AE$12+D900*$AE$13+E900*$AE$14+F900*$AE$15+G900*$AE$16+H900*$AE$17+I900*$AE$18+J900*$AE$19+K900*$AE$20+L900*$AE$21+M900*$AE$22+N900*$AE$23+O900*$AE$24+P900*$AE$25+Q900*$AE$26+R900*$AE$27+S900*$AE$28+T900*$AE$29+U900*$AE$30</f>
        <v/>
      </c>
      <c r="W900" s="8">
        <f>1/(1+EXP(-V900))</f>
        <v/>
      </c>
      <c r="X900" s="9">
        <f>-IF(C900=1,LN(W900),LN(1-W900))</f>
        <v/>
      </c>
      <c r="Y900" s="8">
        <f>IF(C900=1,$AE$32,$AE$33)</f>
        <v/>
      </c>
      <c r="Z900" s="9">
        <f>Y900*X900</f>
        <v/>
      </c>
      <c r="AA900" s="10">
        <f>IF(W900&gt;$AE$34,1,0)</f>
        <v/>
      </c>
      <c r="AB900">
        <f>IF(AA900=C900,1,0)</f>
        <v/>
      </c>
    </row>
    <row r="901">
      <c r="A901">
        <f>'1 datos preparados'!A894</f>
        <v/>
      </c>
      <c r="B901" s="5">
        <f>'1 datos preparados'!U894</f>
        <v/>
      </c>
      <c r="C901">
        <f>'1 datos preparados'!B894</f>
        <v/>
      </c>
      <c r="D901" s="7">
        <f>'1 datos preparados'!C894</f>
        <v/>
      </c>
      <c r="E901" s="7">
        <f>'1 datos preparados'!D894</f>
        <v/>
      </c>
      <c r="F901" s="7">
        <f>'1 datos preparados'!E894</f>
        <v/>
      </c>
      <c r="G901" s="7">
        <f>'1 datos preparados'!F894</f>
        <v/>
      </c>
      <c r="H901" s="7">
        <f>'1 datos preparados'!G894</f>
        <v/>
      </c>
      <c r="I901" s="7">
        <f>'1 datos preparados'!H894</f>
        <v/>
      </c>
      <c r="J901" s="7">
        <f>'1 datos preparados'!I894</f>
        <v/>
      </c>
      <c r="K901" s="7">
        <f>'1 datos preparados'!J894</f>
        <v/>
      </c>
      <c r="L901" s="7">
        <f>'1 datos preparados'!K894</f>
        <v/>
      </c>
      <c r="M901" s="7">
        <f>'1 datos preparados'!L894</f>
        <v/>
      </c>
      <c r="N901" s="7">
        <f>'1 datos preparados'!M894</f>
        <v/>
      </c>
      <c r="O901" s="7">
        <f>'1 datos preparados'!N894</f>
        <v/>
      </c>
      <c r="P901" s="7">
        <f>'1 datos preparados'!O894</f>
        <v/>
      </c>
      <c r="Q901" s="7">
        <f>'1 datos preparados'!P894</f>
        <v/>
      </c>
      <c r="R901" s="7">
        <f>'1 datos preparados'!Q894</f>
        <v/>
      </c>
      <c r="S901" s="7">
        <f>'1 datos preparados'!R894</f>
        <v/>
      </c>
      <c r="T901" s="7">
        <f>'1 datos preparados'!S894</f>
        <v/>
      </c>
      <c r="U901" s="7">
        <f>'1 datos preparados'!T894</f>
        <v/>
      </c>
      <c r="V901" s="8">
        <f>$AE$12+D901*$AE$13+E901*$AE$14+F901*$AE$15+G901*$AE$16+H901*$AE$17+I901*$AE$18+J901*$AE$19+K901*$AE$20+L901*$AE$21+M901*$AE$22+N901*$AE$23+O901*$AE$24+P901*$AE$25+Q901*$AE$26+R901*$AE$27+S901*$AE$28+T901*$AE$29+U901*$AE$30</f>
        <v/>
      </c>
      <c r="W901" s="8">
        <f>1/(1+EXP(-V901))</f>
        <v/>
      </c>
      <c r="X901" s="9">
        <f>-IF(C901=1,LN(W901),LN(1-W901))</f>
        <v/>
      </c>
      <c r="Y901" s="8">
        <f>IF(C901=1,$AE$32,$AE$33)</f>
        <v/>
      </c>
      <c r="Z901" s="9">
        <f>Y901*X901</f>
        <v/>
      </c>
      <c r="AA901" s="10">
        <f>IF(W901&gt;$AE$34,1,0)</f>
        <v/>
      </c>
      <c r="AB901">
        <f>IF(AA901=C901,1,0)</f>
        <v/>
      </c>
    </row>
    <row r="902">
      <c r="A902">
        <f>'1 datos preparados'!A895</f>
        <v/>
      </c>
      <c r="B902" s="5">
        <f>'1 datos preparados'!U895</f>
        <v/>
      </c>
      <c r="C902">
        <f>'1 datos preparados'!B895</f>
        <v/>
      </c>
      <c r="D902" s="7">
        <f>'1 datos preparados'!C895</f>
        <v/>
      </c>
      <c r="E902" s="7">
        <f>'1 datos preparados'!D895</f>
        <v/>
      </c>
      <c r="F902" s="7">
        <f>'1 datos preparados'!E895</f>
        <v/>
      </c>
      <c r="G902" s="7">
        <f>'1 datos preparados'!F895</f>
        <v/>
      </c>
      <c r="H902" s="7">
        <f>'1 datos preparados'!G895</f>
        <v/>
      </c>
      <c r="I902" s="7">
        <f>'1 datos preparados'!H895</f>
        <v/>
      </c>
      <c r="J902" s="7">
        <f>'1 datos preparados'!I895</f>
        <v/>
      </c>
      <c r="K902" s="7">
        <f>'1 datos preparados'!J895</f>
        <v/>
      </c>
      <c r="L902" s="7">
        <f>'1 datos preparados'!K895</f>
        <v/>
      </c>
      <c r="M902" s="7">
        <f>'1 datos preparados'!L895</f>
        <v/>
      </c>
      <c r="N902" s="7">
        <f>'1 datos preparados'!M895</f>
        <v/>
      </c>
      <c r="O902" s="7">
        <f>'1 datos preparados'!N895</f>
        <v/>
      </c>
      <c r="P902" s="7">
        <f>'1 datos preparados'!O895</f>
        <v/>
      </c>
      <c r="Q902" s="7">
        <f>'1 datos preparados'!P895</f>
        <v/>
      </c>
      <c r="R902" s="7">
        <f>'1 datos preparados'!Q895</f>
        <v/>
      </c>
      <c r="S902" s="7">
        <f>'1 datos preparados'!R895</f>
        <v/>
      </c>
      <c r="T902" s="7">
        <f>'1 datos preparados'!S895</f>
        <v/>
      </c>
      <c r="U902" s="7">
        <f>'1 datos preparados'!T895</f>
        <v/>
      </c>
      <c r="V902" s="8">
        <f>$AE$12+D902*$AE$13+E902*$AE$14+F902*$AE$15+G902*$AE$16+H902*$AE$17+I902*$AE$18+J902*$AE$19+K902*$AE$20+L902*$AE$21+M902*$AE$22+N902*$AE$23+O902*$AE$24+P902*$AE$25+Q902*$AE$26+R902*$AE$27+S902*$AE$28+T902*$AE$29+U902*$AE$30</f>
        <v/>
      </c>
      <c r="W902" s="8">
        <f>1/(1+EXP(-V902))</f>
        <v/>
      </c>
      <c r="X902" s="9">
        <f>-IF(C902=1,LN(W902),LN(1-W902))</f>
        <v/>
      </c>
      <c r="Y902" s="8">
        <f>IF(C902=1,$AE$32,$AE$33)</f>
        <v/>
      </c>
      <c r="Z902" s="9">
        <f>Y902*X902</f>
        <v/>
      </c>
      <c r="AA902" s="10">
        <f>IF(W902&gt;$AE$34,1,0)</f>
        <v/>
      </c>
      <c r="AB902">
        <f>IF(AA902=C902,1,0)</f>
        <v/>
      </c>
    </row>
    <row r="903">
      <c r="A903">
        <f>'1 datos preparados'!A896</f>
        <v/>
      </c>
      <c r="B903" s="5">
        <f>'1 datos preparados'!U896</f>
        <v/>
      </c>
      <c r="C903">
        <f>'1 datos preparados'!B896</f>
        <v/>
      </c>
      <c r="D903" s="7">
        <f>'1 datos preparados'!C896</f>
        <v/>
      </c>
      <c r="E903" s="7">
        <f>'1 datos preparados'!D896</f>
        <v/>
      </c>
      <c r="F903" s="7">
        <f>'1 datos preparados'!E896</f>
        <v/>
      </c>
      <c r="G903" s="7">
        <f>'1 datos preparados'!F896</f>
        <v/>
      </c>
      <c r="H903" s="7">
        <f>'1 datos preparados'!G896</f>
        <v/>
      </c>
      <c r="I903" s="7">
        <f>'1 datos preparados'!H896</f>
        <v/>
      </c>
      <c r="J903" s="7">
        <f>'1 datos preparados'!I896</f>
        <v/>
      </c>
      <c r="K903" s="7">
        <f>'1 datos preparados'!J896</f>
        <v/>
      </c>
      <c r="L903" s="7">
        <f>'1 datos preparados'!K896</f>
        <v/>
      </c>
      <c r="M903" s="7">
        <f>'1 datos preparados'!L896</f>
        <v/>
      </c>
      <c r="N903" s="7">
        <f>'1 datos preparados'!M896</f>
        <v/>
      </c>
      <c r="O903" s="7">
        <f>'1 datos preparados'!N896</f>
        <v/>
      </c>
      <c r="P903" s="7">
        <f>'1 datos preparados'!O896</f>
        <v/>
      </c>
      <c r="Q903" s="7">
        <f>'1 datos preparados'!P896</f>
        <v/>
      </c>
      <c r="R903" s="7">
        <f>'1 datos preparados'!Q896</f>
        <v/>
      </c>
      <c r="S903" s="7">
        <f>'1 datos preparados'!R896</f>
        <v/>
      </c>
      <c r="T903" s="7">
        <f>'1 datos preparados'!S896</f>
        <v/>
      </c>
      <c r="U903" s="7">
        <f>'1 datos preparados'!T896</f>
        <v/>
      </c>
      <c r="V903" s="8">
        <f>$AE$12+D903*$AE$13+E903*$AE$14+F903*$AE$15+G903*$AE$16+H903*$AE$17+I903*$AE$18+J903*$AE$19+K903*$AE$20+L903*$AE$21+M903*$AE$22+N903*$AE$23+O903*$AE$24+P903*$AE$25+Q903*$AE$26+R903*$AE$27+S903*$AE$28+T903*$AE$29+U903*$AE$30</f>
        <v/>
      </c>
      <c r="W903" s="8">
        <f>1/(1+EXP(-V903))</f>
        <v/>
      </c>
      <c r="X903" s="9">
        <f>-IF(C903=1,LN(W903),LN(1-W903))</f>
        <v/>
      </c>
      <c r="Y903" s="8">
        <f>IF(C903=1,$AE$32,$AE$33)</f>
        <v/>
      </c>
      <c r="Z903" s="9">
        <f>Y903*X903</f>
        <v/>
      </c>
      <c r="AA903" s="10">
        <f>IF(W903&gt;$AE$34,1,0)</f>
        <v/>
      </c>
      <c r="AB903">
        <f>IF(AA903=C903,1,0)</f>
        <v/>
      </c>
    </row>
    <row r="904">
      <c r="A904">
        <f>'1 datos preparados'!A897</f>
        <v/>
      </c>
      <c r="B904" s="5">
        <f>'1 datos preparados'!U897</f>
        <v/>
      </c>
      <c r="C904">
        <f>'1 datos preparados'!B897</f>
        <v/>
      </c>
      <c r="D904" s="7">
        <f>'1 datos preparados'!C897</f>
        <v/>
      </c>
      <c r="E904" s="7">
        <f>'1 datos preparados'!D897</f>
        <v/>
      </c>
      <c r="F904" s="7">
        <f>'1 datos preparados'!E897</f>
        <v/>
      </c>
      <c r="G904" s="7">
        <f>'1 datos preparados'!F897</f>
        <v/>
      </c>
      <c r="H904" s="7">
        <f>'1 datos preparados'!G897</f>
        <v/>
      </c>
      <c r="I904" s="7">
        <f>'1 datos preparados'!H897</f>
        <v/>
      </c>
      <c r="J904" s="7">
        <f>'1 datos preparados'!I897</f>
        <v/>
      </c>
      <c r="K904" s="7">
        <f>'1 datos preparados'!J897</f>
        <v/>
      </c>
      <c r="L904" s="7">
        <f>'1 datos preparados'!K897</f>
        <v/>
      </c>
      <c r="M904" s="7">
        <f>'1 datos preparados'!L897</f>
        <v/>
      </c>
      <c r="N904" s="7">
        <f>'1 datos preparados'!M897</f>
        <v/>
      </c>
      <c r="O904" s="7">
        <f>'1 datos preparados'!N897</f>
        <v/>
      </c>
      <c r="P904" s="7">
        <f>'1 datos preparados'!O897</f>
        <v/>
      </c>
      <c r="Q904" s="7">
        <f>'1 datos preparados'!P897</f>
        <v/>
      </c>
      <c r="R904" s="7">
        <f>'1 datos preparados'!Q897</f>
        <v/>
      </c>
      <c r="S904" s="7">
        <f>'1 datos preparados'!R897</f>
        <v/>
      </c>
      <c r="T904" s="7">
        <f>'1 datos preparados'!S897</f>
        <v/>
      </c>
      <c r="U904" s="7">
        <f>'1 datos preparados'!T897</f>
        <v/>
      </c>
      <c r="V904" s="8">
        <f>$AE$12+D904*$AE$13+E904*$AE$14+F904*$AE$15+G904*$AE$16+H904*$AE$17+I904*$AE$18+J904*$AE$19+K904*$AE$20+L904*$AE$21+M904*$AE$22+N904*$AE$23+O904*$AE$24+P904*$AE$25+Q904*$AE$26+R904*$AE$27+S904*$AE$28+T904*$AE$29+U904*$AE$30</f>
        <v/>
      </c>
      <c r="W904" s="8">
        <f>1/(1+EXP(-V904))</f>
        <v/>
      </c>
      <c r="X904" s="9">
        <f>-IF(C904=1,LN(W904),LN(1-W904))</f>
        <v/>
      </c>
      <c r="Y904" s="8">
        <f>IF(C904=1,$AE$32,$AE$33)</f>
        <v/>
      </c>
      <c r="Z904" s="9">
        <f>Y904*X904</f>
        <v/>
      </c>
      <c r="AA904" s="10">
        <f>IF(W904&gt;$AE$34,1,0)</f>
        <v/>
      </c>
      <c r="AB904">
        <f>IF(AA904=C904,1,0)</f>
        <v/>
      </c>
    </row>
    <row r="905">
      <c r="A905">
        <f>'1 datos preparados'!A898</f>
        <v/>
      </c>
      <c r="B905" s="5">
        <f>'1 datos preparados'!U898</f>
        <v/>
      </c>
      <c r="C905">
        <f>'1 datos preparados'!B898</f>
        <v/>
      </c>
      <c r="D905" s="7">
        <f>'1 datos preparados'!C898</f>
        <v/>
      </c>
      <c r="E905" s="7">
        <f>'1 datos preparados'!D898</f>
        <v/>
      </c>
      <c r="F905" s="7">
        <f>'1 datos preparados'!E898</f>
        <v/>
      </c>
      <c r="G905" s="7">
        <f>'1 datos preparados'!F898</f>
        <v/>
      </c>
      <c r="H905" s="7">
        <f>'1 datos preparados'!G898</f>
        <v/>
      </c>
      <c r="I905" s="7">
        <f>'1 datos preparados'!H898</f>
        <v/>
      </c>
      <c r="J905" s="7">
        <f>'1 datos preparados'!I898</f>
        <v/>
      </c>
      <c r="K905" s="7">
        <f>'1 datos preparados'!J898</f>
        <v/>
      </c>
      <c r="L905" s="7">
        <f>'1 datos preparados'!K898</f>
        <v/>
      </c>
      <c r="M905" s="7">
        <f>'1 datos preparados'!L898</f>
        <v/>
      </c>
      <c r="N905" s="7">
        <f>'1 datos preparados'!M898</f>
        <v/>
      </c>
      <c r="O905" s="7">
        <f>'1 datos preparados'!N898</f>
        <v/>
      </c>
      <c r="P905" s="7">
        <f>'1 datos preparados'!O898</f>
        <v/>
      </c>
      <c r="Q905" s="7">
        <f>'1 datos preparados'!P898</f>
        <v/>
      </c>
      <c r="R905" s="7">
        <f>'1 datos preparados'!Q898</f>
        <v/>
      </c>
      <c r="S905" s="7">
        <f>'1 datos preparados'!R898</f>
        <v/>
      </c>
      <c r="T905" s="7">
        <f>'1 datos preparados'!S898</f>
        <v/>
      </c>
      <c r="U905" s="7">
        <f>'1 datos preparados'!T898</f>
        <v/>
      </c>
      <c r="V905" s="8">
        <f>$AE$12+D905*$AE$13+E905*$AE$14+F905*$AE$15+G905*$AE$16+H905*$AE$17+I905*$AE$18+J905*$AE$19+K905*$AE$20+L905*$AE$21+M905*$AE$22+N905*$AE$23+O905*$AE$24+P905*$AE$25+Q905*$AE$26+R905*$AE$27+S905*$AE$28+T905*$AE$29+U905*$AE$30</f>
        <v/>
      </c>
      <c r="W905" s="8">
        <f>1/(1+EXP(-V905))</f>
        <v/>
      </c>
      <c r="X905" s="9">
        <f>-IF(C905=1,LN(W905),LN(1-W905))</f>
        <v/>
      </c>
      <c r="Y905" s="8">
        <f>IF(C905=1,$AE$32,$AE$33)</f>
        <v/>
      </c>
      <c r="Z905" s="9">
        <f>Y905*X905</f>
        <v/>
      </c>
      <c r="AA905" s="10">
        <f>IF(W905&gt;$AE$34,1,0)</f>
        <v/>
      </c>
      <c r="AB905">
        <f>IF(AA905=C905,1,0)</f>
        <v/>
      </c>
    </row>
    <row r="906">
      <c r="A906">
        <f>'1 datos preparados'!A899</f>
        <v/>
      </c>
      <c r="B906" s="5">
        <f>'1 datos preparados'!U899</f>
        <v/>
      </c>
      <c r="C906">
        <f>'1 datos preparados'!B899</f>
        <v/>
      </c>
      <c r="D906" s="7">
        <f>'1 datos preparados'!C899</f>
        <v/>
      </c>
      <c r="E906" s="7">
        <f>'1 datos preparados'!D899</f>
        <v/>
      </c>
      <c r="F906" s="7">
        <f>'1 datos preparados'!E899</f>
        <v/>
      </c>
      <c r="G906" s="7">
        <f>'1 datos preparados'!F899</f>
        <v/>
      </c>
      <c r="H906" s="7">
        <f>'1 datos preparados'!G899</f>
        <v/>
      </c>
      <c r="I906" s="7">
        <f>'1 datos preparados'!H899</f>
        <v/>
      </c>
      <c r="J906" s="7">
        <f>'1 datos preparados'!I899</f>
        <v/>
      </c>
      <c r="K906" s="7">
        <f>'1 datos preparados'!J899</f>
        <v/>
      </c>
      <c r="L906" s="7">
        <f>'1 datos preparados'!K899</f>
        <v/>
      </c>
      <c r="M906" s="7">
        <f>'1 datos preparados'!L899</f>
        <v/>
      </c>
      <c r="N906" s="7">
        <f>'1 datos preparados'!M899</f>
        <v/>
      </c>
      <c r="O906" s="7">
        <f>'1 datos preparados'!N899</f>
        <v/>
      </c>
      <c r="P906" s="7">
        <f>'1 datos preparados'!O899</f>
        <v/>
      </c>
      <c r="Q906" s="7">
        <f>'1 datos preparados'!P899</f>
        <v/>
      </c>
      <c r="R906" s="7">
        <f>'1 datos preparados'!Q899</f>
        <v/>
      </c>
      <c r="S906" s="7">
        <f>'1 datos preparados'!R899</f>
        <v/>
      </c>
      <c r="T906" s="7">
        <f>'1 datos preparados'!S899</f>
        <v/>
      </c>
      <c r="U906" s="7">
        <f>'1 datos preparados'!T899</f>
        <v/>
      </c>
      <c r="V906" s="8">
        <f>$AE$12+D906*$AE$13+E906*$AE$14+F906*$AE$15+G906*$AE$16+H906*$AE$17+I906*$AE$18+J906*$AE$19+K906*$AE$20+L906*$AE$21+M906*$AE$22+N906*$AE$23+O906*$AE$24+P906*$AE$25+Q906*$AE$26+R906*$AE$27+S906*$AE$28+T906*$AE$29+U906*$AE$30</f>
        <v/>
      </c>
      <c r="W906" s="8">
        <f>1/(1+EXP(-V906))</f>
        <v/>
      </c>
      <c r="X906" s="9">
        <f>-IF(C906=1,LN(W906),LN(1-W906))</f>
        <v/>
      </c>
      <c r="Y906" s="8">
        <f>IF(C906=1,$AE$32,$AE$33)</f>
        <v/>
      </c>
      <c r="Z906" s="9">
        <f>Y906*X906</f>
        <v/>
      </c>
      <c r="AA906" s="10">
        <f>IF(W906&gt;$AE$34,1,0)</f>
        <v/>
      </c>
      <c r="AB906">
        <f>IF(AA906=C906,1,0)</f>
        <v/>
      </c>
    </row>
    <row r="907">
      <c r="A907">
        <f>'1 datos preparados'!A900</f>
        <v/>
      </c>
      <c r="B907" s="5">
        <f>'1 datos preparados'!U900</f>
        <v/>
      </c>
      <c r="C907">
        <f>'1 datos preparados'!B900</f>
        <v/>
      </c>
      <c r="D907" s="7">
        <f>'1 datos preparados'!C900</f>
        <v/>
      </c>
      <c r="E907" s="7">
        <f>'1 datos preparados'!D900</f>
        <v/>
      </c>
      <c r="F907" s="7">
        <f>'1 datos preparados'!E900</f>
        <v/>
      </c>
      <c r="G907" s="7">
        <f>'1 datos preparados'!F900</f>
        <v/>
      </c>
      <c r="H907" s="7">
        <f>'1 datos preparados'!G900</f>
        <v/>
      </c>
      <c r="I907" s="7">
        <f>'1 datos preparados'!H900</f>
        <v/>
      </c>
      <c r="J907" s="7">
        <f>'1 datos preparados'!I900</f>
        <v/>
      </c>
      <c r="K907" s="7">
        <f>'1 datos preparados'!J900</f>
        <v/>
      </c>
      <c r="L907" s="7">
        <f>'1 datos preparados'!K900</f>
        <v/>
      </c>
      <c r="M907" s="7">
        <f>'1 datos preparados'!L900</f>
        <v/>
      </c>
      <c r="N907" s="7">
        <f>'1 datos preparados'!M900</f>
        <v/>
      </c>
      <c r="O907" s="7">
        <f>'1 datos preparados'!N900</f>
        <v/>
      </c>
      <c r="P907" s="7">
        <f>'1 datos preparados'!O900</f>
        <v/>
      </c>
      <c r="Q907" s="7">
        <f>'1 datos preparados'!P900</f>
        <v/>
      </c>
      <c r="R907" s="7">
        <f>'1 datos preparados'!Q900</f>
        <v/>
      </c>
      <c r="S907" s="7">
        <f>'1 datos preparados'!R900</f>
        <v/>
      </c>
      <c r="T907" s="7">
        <f>'1 datos preparados'!S900</f>
        <v/>
      </c>
      <c r="U907" s="7">
        <f>'1 datos preparados'!T900</f>
        <v/>
      </c>
      <c r="V907" s="8">
        <f>$AE$12+D907*$AE$13+E907*$AE$14+F907*$AE$15+G907*$AE$16+H907*$AE$17+I907*$AE$18+J907*$AE$19+K907*$AE$20+L907*$AE$21+M907*$AE$22+N907*$AE$23+O907*$AE$24+P907*$AE$25+Q907*$AE$26+R907*$AE$27+S907*$AE$28+T907*$AE$29+U907*$AE$30</f>
        <v/>
      </c>
      <c r="W907" s="8">
        <f>1/(1+EXP(-V907))</f>
        <v/>
      </c>
      <c r="X907" s="9">
        <f>-IF(C907=1,LN(W907),LN(1-W907))</f>
        <v/>
      </c>
      <c r="Y907" s="8">
        <f>IF(C907=1,$AE$32,$AE$33)</f>
        <v/>
      </c>
      <c r="Z907" s="9">
        <f>Y907*X907</f>
        <v/>
      </c>
      <c r="AA907" s="10">
        <f>IF(W907&gt;$AE$34,1,0)</f>
        <v/>
      </c>
      <c r="AB907">
        <f>IF(AA907=C907,1,0)</f>
        <v/>
      </c>
    </row>
    <row r="908">
      <c r="A908">
        <f>'1 datos preparados'!A901</f>
        <v/>
      </c>
      <c r="B908" s="5">
        <f>'1 datos preparados'!U901</f>
        <v/>
      </c>
      <c r="C908">
        <f>'1 datos preparados'!B901</f>
        <v/>
      </c>
      <c r="D908" s="7">
        <f>'1 datos preparados'!C901</f>
        <v/>
      </c>
      <c r="E908" s="7">
        <f>'1 datos preparados'!D901</f>
        <v/>
      </c>
      <c r="F908" s="7">
        <f>'1 datos preparados'!E901</f>
        <v/>
      </c>
      <c r="G908" s="7">
        <f>'1 datos preparados'!F901</f>
        <v/>
      </c>
      <c r="H908" s="7">
        <f>'1 datos preparados'!G901</f>
        <v/>
      </c>
      <c r="I908" s="7">
        <f>'1 datos preparados'!H901</f>
        <v/>
      </c>
      <c r="J908" s="7">
        <f>'1 datos preparados'!I901</f>
        <v/>
      </c>
      <c r="K908" s="7">
        <f>'1 datos preparados'!J901</f>
        <v/>
      </c>
      <c r="L908" s="7">
        <f>'1 datos preparados'!K901</f>
        <v/>
      </c>
      <c r="M908" s="7">
        <f>'1 datos preparados'!L901</f>
        <v/>
      </c>
      <c r="N908" s="7">
        <f>'1 datos preparados'!M901</f>
        <v/>
      </c>
      <c r="O908" s="7">
        <f>'1 datos preparados'!N901</f>
        <v/>
      </c>
      <c r="P908" s="7">
        <f>'1 datos preparados'!O901</f>
        <v/>
      </c>
      <c r="Q908" s="7">
        <f>'1 datos preparados'!P901</f>
        <v/>
      </c>
      <c r="R908" s="7">
        <f>'1 datos preparados'!Q901</f>
        <v/>
      </c>
      <c r="S908" s="7">
        <f>'1 datos preparados'!R901</f>
        <v/>
      </c>
      <c r="T908" s="7">
        <f>'1 datos preparados'!S901</f>
        <v/>
      </c>
      <c r="U908" s="7">
        <f>'1 datos preparados'!T901</f>
        <v/>
      </c>
      <c r="V908" s="8">
        <f>$AE$12+D908*$AE$13+E908*$AE$14+F908*$AE$15+G908*$AE$16+H908*$AE$17+I908*$AE$18+J908*$AE$19+K908*$AE$20+L908*$AE$21+M908*$AE$22+N908*$AE$23+O908*$AE$24+P908*$AE$25+Q908*$AE$26+R908*$AE$27+S908*$AE$28+T908*$AE$29+U908*$AE$30</f>
        <v/>
      </c>
      <c r="W908" s="8">
        <f>1/(1+EXP(-V908))</f>
        <v/>
      </c>
      <c r="X908" s="9">
        <f>-IF(C908=1,LN(W908),LN(1-W908))</f>
        <v/>
      </c>
      <c r="Y908" s="8">
        <f>IF(C908=1,$AE$32,$AE$33)</f>
        <v/>
      </c>
      <c r="Z908" s="9">
        <f>Y908*X908</f>
        <v/>
      </c>
      <c r="AA908" s="10">
        <f>IF(W908&gt;$AE$34,1,0)</f>
        <v/>
      </c>
      <c r="AB908">
        <f>IF(AA908=C908,1,0)</f>
        <v/>
      </c>
    </row>
    <row r="909">
      <c r="A909">
        <f>'1 datos preparados'!A902</f>
        <v/>
      </c>
      <c r="B909" s="5">
        <f>'1 datos preparados'!U902</f>
        <v/>
      </c>
      <c r="C909">
        <f>'1 datos preparados'!B902</f>
        <v/>
      </c>
      <c r="D909" s="7">
        <f>'1 datos preparados'!C902</f>
        <v/>
      </c>
      <c r="E909" s="7">
        <f>'1 datos preparados'!D902</f>
        <v/>
      </c>
      <c r="F909" s="7">
        <f>'1 datos preparados'!E902</f>
        <v/>
      </c>
      <c r="G909" s="7">
        <f>'1 datos preparados'!F902</f>
        <v/>
      </c>
      <c r="H909" s="7">
        <f>'1 datos preparados'!G902</f>
        <v/>
      </c>
      <c r="I909" s="7">
        <f>'1 datos preparados'!H902</f>
        <v/>
      </c>
      <c r="J909" s="7">
        <f>'1 datos preparados'!I902</f>
        <v/>
      </c>
      <c r="K909" s="7">
        <f>'1 datos preparados'!J902</f>
        <v/>
      </c>
      <c r="L909" s="7">
        <f>'1 datos preparados'!K902</f>
        <v/>
      </c>
      <c r="M909" s="7">
        <f>'1 datos preparados'!L902</f>
        <v/>
      </c>
      <c r="N909" s="7">
        <f>'1 datos preparados'!M902</f>
        <v/>
      </c>
      <c r="O909" s="7">
        <f>'1 datos preparados'!N902</f>
        <v/>
      </c>
      <c r="P909" s="7">
        <f>'1 datos preparados'!O902</f>
        <v/>
      </c>
      <c r="Q909" s="7">
        <f>'1 datos preparados'!P902</f>
        <v/>
      </c>
      <c r="R909" s="7">
        <f>'1 datos preparados'!Q902</f>
        <v/>
      </c>
      <c r="S909" s="7">
        <f>'1 datos preparados'!R902</f>
        <v/>
      </c>
      <c r="T909" s="7">
        <f>'1 datos preparados'!S902</f>
        <v/>
      </c>
      <c r="U909" s="7">
        <f>'1 datos preparados'!T902</f>
        <v/>
      </c>
      <c r="V909" s="8">
        <f>$AE$12+D909*$AE$13+E909*$AE$14+F909*$AE$15+G909*$AE$16+H909*$AE$17+I909*$AE$18+J909*$AE$19+K909*$AE$20+L909*$AE$21+M909*$AE$22+N909*$AE$23+O909*$AE$24+P909*$AE$25+Q909*$AE$26+R909*$AE$27+S909*$AE$28+T909*$AE$29+U909*$AE$30</f>
        <v/>
      </c>
      <c r="W909" s="8">
        <f>1/(1+EXP(-V909))</f>
        <v/>
      </c>
      <c r="X909" s="9">
        <f>-IF(C909=1,LN(W909),LN(1-W909))</f>
        <v/>
      </c>
      <c r="Y909" s="8">
        <f>IF(C909=1,$AE$32,$AE$33)</f>
        <v/>
      </c>
      <c r="Z909" s="9">
        <f>Y909*X909</f>
        <v/>
      </c>
      <c r="AA909" s="10">
        <f>IF(W909&gt;$AE$34,1,0)</f>
        <v/>
      </c>
      <c r="AB909">
        <f>IF(AA909=C909,1,0)</f>
        <v/>
      </c>
    </row>
    <row r="910">
      <c r="A910">
        <f>'1 datos preparados'!A903</f>
        <v/>
      </c>
      <c r="B910" s="5">
        <f>'1 datos preparados'!U903</f>
        <v/>
      </c>
      <c r="C910">
        <f>'1 datos preparados'!B903</f>
        <v/>
      </c>
      <c r="D910" s="7">
        <f>'1 datos preparados'!C903</f>
        <v/>
      </c>
      <c r="E910" s="7">
        <f>'1 datos preparados'!D903</f>
        <v/>
      </c>
      <c r="F910" s="7">
        <f>'1 datos preparados'!E903</f>
        <v/>
      </c>
      <c r="G910" s="7">
        <f>'1 datos preparados'!F903</f>
        <v/>
      </c>
      <c r="H910" s="7">
        <f>'1 datos preparados'!G903</f>
        <v/>
      </c>
      <c r="I910" s="7">
        <f>'1 datos preparados'!H903</f>
        <v/>
      </c>
      <c r="J910" s="7">
        <f>'1 datos preparados'!I903</f>
        <v/>
      </c>
      <c r="K910" s="7">
        <f>'1 datos preparados'!J903</f>
        <v/>
      </c>
      <c r="L910" s="7">
        <f>'1 datos preparados'!K903</f>
        <v/>
      </c>
      <c r="M910" s="7">
        <f>'1 datos preparados'!L903</f>
        <v/>
      </c>
      <c r="N910" s="7">
        <f>'1 datos preparados'!M903</f>
        <v/>
      </c>
      <c r="O910" s="7">
        <f>'1 datos preparados'!N903</f>
        <v/>
      </c>
      <c r="P910" s="7">
        <f>'1 datos preparados'!O903</f>
        <v/>
      </c>
      <c r="Q910" s="7">
        <f>'1 datos preparados'!P903</f>
        <v/>
      </c>
      <c r="R910" s="7">
        <f>'1 datos preparados'!Q903</f>
        <v/>
      </c>
      <c r="S910" s="7">
        <f>'1 datos preparados'!R903</f>
        <v/>
      </c>
      <c r="T910" s="7">
        <f>'1 datos preparados'!S903</f>
        <v/>
      </c>
      <c r="U910" s="7">
        <f>'1 datos preparados'!T903</f>
        <v/>
      </c>
      <c r="V910" s="8">
        <f>$AE$12+D910*$AE$13+E910*$AE$14+F910*$AE$15+G910*$AE$16+H910*$AE$17+I910*$AE$18+J910*$AE$19+K910*$AE$20+L910*$AE$21+M910*$AE$22+N910*$AE$23+O910*$AE$24+P910*$AE$25+Q910*$AE$26+R910*$AE$27+S910*$AE$28+T910*$AE$29+U910*$AE$30</f>
        <v/>
      </c>
      <c r="W910" s="8">
        <f>1/(1+EXP(-V910))</f>
        <v/>
      </c>
      <c r="X910" s="9">
        <f>-IF(C910=1,LN(W910),LN(1-W910))</f>
        <v/>
      </c>
      <c r="Y910" s="8">
        <f>IF(C910=1,$AE$32,$AE$33)</f>
        <v/>
      </c>
      <c r="Z910" s="9">
        <f>Y910*X910</f>
        <v/>
      </c>
      <c r="AA910" s="10">
        <f>IF(W910&gt;$AE$34,1,0)</f>
        <v/>
      </c>
      <c r="AB910">
        <f>IF(AA910=C910,1,0)</f>
        <v/>
      </c>
    </row>
    <row r="911">
      <c r="A911">
        <f>'1 datos preparados'!A904</f>
        <v/>
      </c>
      <c r="B911" s="5">
        <f>'1 datos preparados'!U904</f>
        <v/>
      </c>
      <c r="C911">
        <f>'1 datos preparados'!B904</f>
        <v/>
      </c>
      <c r="D911" s="7">
        <f>'1 datos preparados'!C904</f>
        <v/>
      </c>
      <c r="E911" s="7">
        <f>'1 datos preparados'!D904</f>
        <v/>
      </c>
      <c r="F911" s="7">
        <f>'1 datos preparados'!E904</f>
        <v/>
      </c>
      <c r="G911" s="7">
        <f>'1 datos preparados'!F904</f>
        <v/>
      </c>
      <c r="H911" s="7">
        <f>'1 datos preparados'!G904</f>
        <v/>
      </c>
      <c r="I911" s="7">
        <f>'1 datos preparados'!H904</f>
        <v/>
      </c>
      <c r="J911" s="7">
        <f>'1 datos preparados'!I904</f>
        <v/>
      </c>
      <c r="K911" s="7">
        <f>'1 datos preparados'!J904</f>
        <v/>
      </c>
      <c r="L911" s="7">
        <f>'1 datos preparados'!K904</f>
        <v/>
      </c>
      <c r="M911" s="7">
        <f>'1 datos preparados'!L904</f>
        <v/>
      </c>
      <c r="N911" s="7">
        <f>'1 datos preparados'!M904</f>
        <v/>
      </c>
      <c r="O911" s="7">
        <f>'1 datos preparados'!N904</f>
        <v/>
      </c>
      <c r="P911" s="7">
        <f>'1 datos preparados'!O904</f>
        <v/>
      </c>
      <c r="Q911" s="7">
        <f>'1 datos preparados'!P904</f>
        <v/>
      </c>
      <c r="R911" s="7">
        <f>'1 datos preparados'!Q904</f>
        <v/>
      </c>
      <c r="S911" s="7">
        <f>'1 datos preparados'!R904</f>
        <v/>
      </c>
      <c r="T911" s="7">
        <f>'1 datos preparados'!S904</f>
        <v/>
      </c>
      <c r="U911" s="7">
        <f>'1 datos preparados'!T904</f>
        <v/>
      </c>
      <c r="V911" s="8">
        <f>$AE$12+D911*$AE$13+E911*$AE$14+F911*$AE$15+G911*$AE$16+H911*$AE$17+I911*$AE$18+J911*$AE$19+K911*$AE$20+L911*$AE$21+M911*$AE$22+N911*$AE$23+O911*$AE$24+P911*$AE$25+Q911*$AE$26+R911*$AE$27+S911*$AE$28+T911*$AE$29+U911*$AE$30</f>
        <v/>
      </c>
      <c r="W911" s="8">
        <f>1/(1+EXP(-V911))</f>
        <v/>
      </c>
      <c r="X911" s="9">
        <f>-IF(C911=1,LN(W911),LN(1-W911))</f>
        <v/>
      </c>
      <c r="Y911" s="8">
        <f>IF(C911=1,$AE$32,$AE$33)</f>
        <v/>
      </c>
      <c r="Z911" s="9">
        <f>Y911*X911</f>
        <v/>
      </c>
      <c r="AA911" s="10">
        <f>IF(W911&gt;$AE$34,1,0)</f>
        <v/>
      </c>
      <c r="AB911">
        <f>IF(AA911=C911,1,0)</f>
        <v/>
      </c>
    </row>
    <row r="912">
      <c r="A912">
        <f>'1 datos preparados'!A905</f>
        <v/>
      </c>
      <c r="B912" s="5">
        <f>'1 datos preparados'!U905</f>
        <v/>
      </c>
      <c r="C912">
        <f>'1 datos preparados'!B905</f>
        <v/>
      </c>
      <c r="D912" s="7">
        <f>'1 datos preparados'!C905</f>
        <v/>
      </c>
      <c r="E912" s="7">
        <f>'1 datos preparados'!D905</f>
        <v/>
      </c>
      <c r="F912" s="7">
        <f>'1 datos preparados'!E905</f>
        <v/>
      </c>
      <c r="G912" s="7">
        <f>'1 datos preparados'!F905</f>
        <v/>
      </c>
      <c r="H912" s="7">
        <f>'1 datos preparados'!G905</f>
        <v/>
      </c>
      <c r="I912" s="7">
        <f>'1 datos preparados'!H905</f>
        <v/>
      </c>
      <c r="J912" s="7">
        <f>'1 datos preparados'!I905</f>
        <v/>
      </c>
      <c r="K912" s="7">
        <f>'1 datos preparados'!J905</f>
        <v/>
      </c>
      <c r="L912" s="7">
        <f>'1 datos preparados'!K905</f>
        <v/>
      </c>
      <c r="M912" s="7">
        <f>'1 datos preparados'!L905</f>
        <v/>
      </c>
      <c r="N912" s="7">
        <f>'1 datos preparados'!M905</f>
        <v/>
      </c>
      <c r="O912" s="7">
        <f>'1 datos preparados'!N905</f>
        <v/>
      </c>
      <c r="P912" s="7">
        <f>'1 datos preparados'!O905</f>
        <v/>
      </c>
      <c r="Q912" s="7">
        <f>'1 datos preparados'!P905</f>
        <v/>
      </c>
      <c r="R912" s="7">
        <f>'1 datos preparados'!Q905</f>
        <v/>
      </c>
      <c r="S912" s="7">
        <f>'1 datos preparados'!R905</f>
        <v/>
      </c>
      <c r="T912" s="7">
        <f>'1 datos preparados'!S905</f>
        <v/>
      </c>
      <c r="U912" s="7">
        <f>'1 datos preparados'!T905</f>
        <v/>
      </c>
      <c r="V912" s="8">
        <f>$AE$12+D912*$AE$13+E912*$AE$14+F912*$AE$15+G912*$AE$16+H912*$AE$17+I912*$AE$18+J912*$AE$19+K912*$AE$20+L912*$AE$21+M912*$AE$22+N912*$AE$23+O912*$AE$24+P912*$AE$25+Q912*$AE$26+R912*$AE$27+S912*$AE$28+T912*$AE$29+U912*$AE$30</f>
        <v/>
      </c>
      <c r="W912" s="8">
        <f>1/(1+EXP(-V912))</f>
        <v/>
      </c>
      <c r="X912" s="9">
        <f>-IF(C912=1,LN(W912),LN(1-W912))</f>
        <v/>
      </c>
      <c r="Y912" s="8">
        <f>IF(C912=1,$AE$32,$AE$33)</f>
        <v/>
      </c>
      <c r="Z912" s="9">
        <f>Y912*X912</f>
        <v/>
      </c>
      <c r="AA912" s="10">
        <f>IF(W912&gt;$AE$34,1,0)</f>
        <v/>
      </c>
      <c r="AB912">
        <f>IF(AA912=C912,1,0)</f>
        <v/>
      </c>
    </row>
    <row r="913">
      <c r="A913">
        <f>'1 datos preparados'!A906</f>
        <v/>
      </c>
      <c r="B913" s="5">
        <f>'1 datos preparados'!U906</f>
        <v/>
      </c>
      <c r="C913">
        <f>'1 datos preparados'!B906</f>
        <v/>
      </c>
      <c r="D913" s="7">
        <f>'1 datos preparados'!C906</f>
        <v/>
      </c>
      <c r="E913" s="7">
        <f>'1 datos preparados'!D906</f>
        <v/>
      </c>
      <c r="F913" s="7">
        <f>'1 datos preparados'!E906</f>
        <v/>
      </c>
      <c r="G913" s="7">
        <f>'1 datos preparados'!F906</f>
        <v/>
      </c>
      <c r="H913" s="7">
        <f>'1 datos preparados'!G906</f>
        <v/>
      </c>
      <c r="I913" s="7">
        <f>'1 datos preparados'!H906</f>
        <v/>
      </c>
      <c r="J913" s="7">
        <f>'1 datos preparados'!I906</f>
        <v/>
      </c>
      <c r="K913" s="7">
        <f>'1 datos preparados'!J906</f>
        <v/>
      </c>
      <c r="L913" s="7">
        <f>'1 datos preparados'!K906</f>
        <v/>
      </c>
      <c r="M913" s="7">
        <f>'1 datos preparados'!L906</f>
        <v/>
      </c>
      <c r="N913" s="7">
        <f>'1 datos preparados'!M906</f>
        <v/>
      </c>
      <c r="O913" s="7">
        <f>'1 datos preparados'!N906</f>
        <v/>
      </c>
      <c r="P913" s="7">
        <f>'1 datos preparados'!O906</f>
        <v/>
      </c>
      <c r="Q913" s="7">
        <f>'1 datos preparados'!P906</f>
        <v/>
      </c>
      <c r="R913" s="7">
        <f>'1 datos preparados'!Q906</f>
        <v/>
      </c>
      <c r="S913" s="7">
        <f>'1 datos preparados'!R906</f>
        <v/>
      </c>
      <c r="T913" s="7">
        <f>'1 datos preparados'!S906</f>
        <v/>
      </c>
      <c r="U913" s="7">
        <f>'1 datos preparados'!T906</f>
        <v/>
      </c>
      <c r="V913" s="8">
        <f>$AE$12+D913*$AE$13+E913*$AE$14+F913*$AE$15+G913*$AE$16+H913*$AE$17+I913*$AE$18+J913*$AE$19+K913*$AE$20+L913*$AE$21+M913*$AE$22+N913*$AE$23+O913*$AE$24+P913*$AE$25+Q913*$AE$26+R913*$AE$27+S913*$AE$28+T913*$AE$29+U913*$AE$30</f>
        <v/>
      </c>
      <c r="W913" s="8">
        <f>1/(1+EXP(-V913))</f>
        <v/>
      </c>
      <c r="X913" s="9">
        <f>-IF(C913=1,LN(W913),LN(1-W913))</f>
        <v/>
      </c>
      <c r="Y913" s="8">
        <f>IF(C913=1,$AE$32,$AE$33)</f>
        <v/>
      </c>
      <c r="Z913" s="9">
        <f>Y913*X913</f>
        <v/>
      </c>
      <c r="AA913" s="10">
        <f>IF(W913&gt;$AE$34,1,0)</f>
        <v/>
      </c>
      <c r="AB913">
        <f>IF(AA913=C913,1,0)</f>
        <v/>
      </c>
    </row>
    <row r="914">
      <c r="A914">
        <f>'1 datos preparados'!A907</f>
        <v/>
      </c>
      <c r="B914" s="5">
        <f>'1 datos preparados'!U907</f>
        <v/>
      </c>
      <c r="C914">
        <f>'1 datos preparados'!B907</f>
        <v/>
      </c>
      <c r="D914" s="7">
        <f>'1 datos preparados'!C907</f>
        <v/>
      </c>
      <c r="E914" s="7">
        <f>'1 datos preparados'!D907</f>
        <v/>
      </c>
      <c r="F914" s="7">
        <f>'1 datos preparados'!E907</f>
        <v/>
      </c>
      <c r="G914" s="7">
        <f>'1 datos preparados'!F907</f>
        <v/>
      </c>
      <c r="H914" s="7">
        <f>'1 datos preparados'!G907</f>
        <v/>
      </c>
      <c r="I914" s="7">
        <f>'1 datos preparados'!H907</f>
        <v/>
      </c>
      <c r="J914" s="7">
        <f>'1 datos preparados'!I907</f>
        <v/>
      </c>
      <c r="K914" s="7">
        <f>'1 datos preparados'!J907</f>
        <v/>
      </c>
      <c r="L914" s="7">
        <f>'1 datos preparados'!K907</f>
        <v/>
      </c>
      <c r="M914" s="7">
        <f>'1 datos preparados'!L907</f>
        <v/>
      </c>
      <c r="N914" s="7">
        <f>'1 datos preparados'!M907</f>
        <v/>
      </c>
      <c r="O914" s="7">
        <f>'1 datos preparados'!N907</f>
        <v/>
      </c>
      <c r="P914" s="7">
        <f>'1 datos preparados'!O907</f>
        <v/>
      </c>
      <c r="Q914" s="7">
        <f>'1 datos preparados'!P907</f>
        <v/>
      </c>
      <c r="R914" s="7">
        <f>'1 datos preparados'!Q907</f>
        <v/>
      </c>
      <c r="S914" s="7">
        <f>'1 datos preparados'!R907</f>
        <v/>
      </c>
      <c r="T914" s="7">
        <f>'1 datos preparados'!S907</f>
        <v/>
      </c>
      <c r="U914" s="7">
        <f>'1 datos preparados'!T907</f>
        <v/>
      </c>
      <c r="V914" s="8">
        <f>$AE$12+D914*$AE$13+E914*$AE$14+F914*$AE$15+G914*$AE$16+H914*$AE$17+I914*$AE$18+J914*$AE$19+K914*$AE$20+L914*$AE$21+M914*$AE$22+N914*$AE$23+O914*$AE$24+P914*$AE$25+Q914*$AE$26+R914*$AE$27+S914*$AE$28+T914*$AE$29+U914*$AE$30</f>
        <v/>
      </c>
      <c r="W914" s="8">
        <f>1/(1+EXP(-V914))</f>
        <v/>
      </c>
      <c r="X914" s="9">
        <f>-IF(C914=1,LN(W914),LN(1-W914))</f>
        <v/>
      </c>
      <c r="Y914" s="8">
        <f>IF(C914=1,$AE$32,$AE$33)</f>
        <v/>
      </c>
      <c r="Z914" s="9">
        <f>Y914*X914</f>
        <v/>
      </c>
      <c r="AA914" s="10">
        <f>IF(W914&gt;$AE$34,1,0)</f>
        <v/>
      </c>
      <c r="AB914">
        <f>IF(AA914=C914,1,0)</f>
        <v/>
      </c>
    </row>
    <row r="915">
      <c r="A915">
        <f>'1 datos preparados'!A908</f>
        <v/>
      </c>
      <c r="B915" s="5">
        <f>'1 datos preparados'!U908</f>
        <v/>
      </c>
      <c r="C915">
        <f>'1 datos preparados'!B908</f>
        <v/>
      </c>
      <c r="D915" s="7">
        <f>'1 datos preparados'!C908</f>
        <v/>
      </c>
      <c r="E915" s="7">
        <f>'1 datos preparados'!D908</f>
        <v/>
      </c>
      <c r="F915" s="7">
        <f>'1 datos preparados'!E908</f>
        <v/>
      </c>
      <c r="G915" s="7">
        <f>'1 datos preparados'!F908</f>
        <v/>
      </c>
      <c r="H915" s="7">
        <f>'1 datos preparados'!G908</f>
        <v/>
      </c>
      <c r="I915" s="7">
        <f>'1 datos preparados'!H908</f>
        <v/>
      </c>
      <c r="J915" s="7">
        <f>'1 datos preparados'!I908</f>
        <v/>
      </c>
      <c r="K915" s="7">
        <f>'1 datos preparados'!J908</f>
        <v/>
      </c>
      <c r="L915" s="7">
        <f>'1 datos preparados'!K908</f>
        <v/>
      </c>
      <c r="M915" s="7">
        <f>'1 datos preparados'!L908</f>
        <v/>
      </c>
      <c r="N915" s="7">
        <f>'1 datos preparados'!M908</f>
        <v/>
      </c>
      <c r="O915" s="7">
        <f>'1 datos preparados'!N908</f>
        <v/>
      </c>
      <c r="P915" s="7">
        <f>'1 datos preparados'!O908</f>
        <v/>
      </c>
      <c r="Q915" s="7">
        <f>'1 datos preparados'!P908</f>
        <v/>
      </c>
      <c r="R915" s="7">
        <f>'1 datos preparados'!Q908</f>
        <v/>
      </c>
      <c r="S915" s="7">
        <f>'1 datos preparados'!R908</f>
        <v/>
      </c>
      <c r="T915" s="7">
        <f>'1 datos preparados'!S908</f>
        <v/>
      </c>
      <c r="U915" s="7">
        <f>'1 datos preparados'!T908</f>
        <v/>
      </c>
      <c r="V915" s="8">
        <f>$AE$12+D915*$AE$13+E915*$AE$14+F915*$AE$15+G915*$AE$16+H915*$AE$17+I915*$AE$18+J915*$AE$19+K915*$AE$20+L915*$AE$21+M915*$AE$22+N915*$AE$23+O915*$AE$24+P915*$AE$25+Q915*$AE$26+R915*$AE$27+S915*$AE$28+T915*$AE$29+U915*$AE$30</f>
        <v/>
      </c>
      <c r="W915" s="8">
        <f>1/(1+EXP(-V915))</f>
        <v/>
      </c>
      <c r="X915" s="9">
        <f>-IF(C915=1,LN(W915),LN(1-W915))</f>
        <v/>
      </c>
      <c r="Y915" s="8">
        <f>IF(C915=1,$AE$32,$AE$33)</f>
        <v/>
      </c>
      <c r="Z915" s="9">
        <f>Y915*X915</f>
        <v/>
      </c>
      <c r="AA915" s="10">
        <f>IF(W915&gt;$AE$34,1,0)</f>
        <v/>
      </c>
      <c r="AB915">
        <f>IF(AA915=C915,1,0)</f>
        <v/>
      </c>
    </row>
    <row r="916">
      <c r="A916">
        <f>'1 datos preparados'!A909</f>
        <v/>
      </c>
      <c r="B916" s="5">
        <f>'1 datos preparados'!U909</f>
        <v/>
      </c>
      <c r="C916">
        <f>'1 datos preparados'!B909</f>
        <v/>
      </c>
      <c r="D916" s="7">
        <f>'1 datos preparados'!C909</f>
        <v/>
      </c>
      <c r="E916" s="7">
        <f>'1 datos preparados'!D909</f>
        <v/>
      </c>
      <c r="F916" s="7">
        <f>'1 datos preparados'!E909</f>
        <v/>
      </c>
      <c r="G916" s="7">
        <f>'1 datos preparados'!F909</f>
        <v/>
      </c>
      <c r="H916" s="7">
        <f>'1 datos preparados'!G909</f>
        <v/>
      </c>
      <c r="I916" s="7">
        <f>'1 datos preparados'!H909</f>
        <v/>
      </c>
      <c r="J916" s="7">
        <f>'1 datos preparados'!I909</f>
        <v/>
      </c>
      <c r="K916" s="7">
        <f>'1 datos preparados'!J909</f>
        <v/>
      </c>
      <c r="L916" s="7">
        <f>'1 datos preparados'!K909</f>
        <v/>
      </c>
      <c r="M916" s="7">
        <f>'1 datos preparados'!L909</f>
        <v/>
      </c>
      <c r="N916" s="7">
        <f>'1 datos preparados'!M909</f>
        <v/>
      </c>
      <c r="O916" s="7">
        <f>'1 datos preparados'!N909</f>
        <v/>
      </c>
      <c r="P916" s="7">
        <f>'1 datos preparados'!O909</f>
        <v/>
      </c>
      <c r="Q916" s="7">
        <f>'1 datos preparados'!P909</f>
        <v/>
      </c>
      <c r="R916" s="7">
        <f>'1 datos preparados'!Q909</f>
        <v/>
      </c>
      <c r="S916" s="7">
        <f>'1 datos preparados'!R909</f>
        <v/>
      </c>
      <c r="T916" s="7">
        <f>'1 datos preparados'!S909</f>
        <v/>
      </c>
      <c r="U916" s="7">
        <f>'1 datos preparados'!T909</f>
        <v/>
      </c>
      <c r="V916" s="8">
        <f>$AE$12+D916*$AE$13+E916*$AE$14+F916*$AE$15+G916*$AE$16+H916*$AE$17+I916*$AE$18+J916*$AE$19+K916*$AE$20+L916*$AE$21+M916*$AE$22+N916*$AE$23+O916*$AE$24+P916*$AE$25+Q916*$AE$26+R916*$AE$27+S916*$AE$28+T916*$AE$29+U916*$AE$30</f>
        <v/>
      </c>
      <c r="W916" s="8">
        <f>1/(1+EXP(-V916))</f>
        <v/>
      </c>
      <c r="X916" s="9">
        <f>-IF(C916=1,LN(W916),LN(1-W916))</f>
        <v/>
      </c>
      <c r="Y916" s="8">
        <f>IF(C916=1,$AE$32,$AE$33)</f>
        <v/>
      </c>
      <c r="Z916" s="9">
        <f>Y916*X916</f>
        <v/>
      </c>
      <c r="AA916" s="10">
        <f>IF(W916&gt;$AE$34,1,0)</f>
        <v/>
      </c>
      <c r="AB916">
        <f>IF(AA916=C916,1,0)</f>
        <v/>
      </c>
    </row>
    <row r="917">
      <c r="A917">
        <f>'1 datos preparados'!A910</f>
        <v/>
      </c>
      <c r="B917" s="5">
        <f>'1 datos preparados'!U910</f>
        <v/>
      </c>
      <c r="C917">
        <f>'1 datos preparados'!B910</f>
        <v/>
      </c>
      <c r="D917" s="7">
        <f>'1 datos preparados'!C910</f>
        <v/>
      </c>
      <c r="E917" s="7">
        <f>'1 datos preparados'!D910</f>
        <v/>
      </c>
      <c r="F917" s="7">
        <f>'1 datos preparados'!E910</f>
        <v/>
      </c>
      <c r="G917" s="7">
        <f>'1 datos preparados'!F910</f>
        <v/>
      </c>
      <c r="H917" s="7">
        <f>'1 datos preparados'!G910</f>
        <v/>
      </c>
      <c r="I917" s="7">
        <f>'1 datos preparados'!H910</f>
        <v/>
      </c>
      <c r="J917" s="7">
        <f>'1 datos preparados'!I910</f>
        <v/>
      </c>
      <c r="K917" s="7">
        <f>'1 datos preparados'!J910</f>
        <v/>
      </c>
      <c r="L917" s="7">
        <f>'1 datos preparados'!K910</f>
        <v/>
      </c>
      <c r="M917" s="7">
        <f>'1 datos preparados'!L910</f>
        <v/>
      </c>
      <c r="N917" s="7">
        <f>'1 datos preparados'!M910</f>
        <v/>
      </c>
      <c r="O917" s="7">
        <f>'1 datos preparados'!N910</f>
        <v/>
      </c>
      <c r="P917" s="7">
        <f>'1 datos preparados'!O910</f>
        <v/>
      </c>
      <c r="Q917" s="7">
        <f>'1 datos preparados'!P910</f>
        <v/>
      </c>
      <c r="R917" s="7">
        <f>'1 datos preparados'!Q910</f>
        <v/>
      </c>
      <c r="S917" s="7">
        <f>'1 datos preparados'!R910</f>
        <v/>
      </c>
      <c r="T917" s="7">
        <f>'1 datos preparados'!S910</f>
        <v/>
      </c>
      <c r="U917" s="7">
        <f>'1 datos preparados'!T910</f>
        <v/>
      </c>
      <c r="V917" s="8">
        <f>$AE$12+D917*$AE$13+E917*$AE$14+F917*$AE$15+G917*$AE$16+H917*$AE$17+I917*$AE$18+J917*$AE$19+K917*$AE$20+L917*$AE$21+M917*$AE$22+N917*$AE$23+O917*$AE$24+P917*$AE$25+Q917*$AE$26+R917*$AE$27+S917*$AE$28+T917*$AE$29+U917*$AE$30</f>
        <v/>
      </c>
      <c r="W917" s="8">
        <f>1/(1+EXP(-V917))</f>
        <v/>
      </c>
      <c r="X917" s="9">
        <f>-IF(C917=1,LN(W917),LN(1-W917))</f>
        <v/>
      </c>
      <c r="Y917" s="8">
        <f>IF(C917=1,$AE$32,$AE$33)</f>
        <v/>
      </c>
      <c r="Z917" s="9">
        <f>Y917*X917</f>
        <v/>
      </c>
      <c r="AA917" s="10">
        <f>IF(W917&gt;$AE$34,1,0)</f>
        <v/>
      </c>
      <c r="AB917">
        <f>IF(AA917=C917,1,0)</f>
        <v/>
      </c>
    </row>
    <row r="918">
      <c r="A918">
        <f>'1 datos preparados'!A911</f>
        <v/>
      </c>
      <c r="B918" s="5">
        <f>'1 datos preparados'!U911</f>
        <v/>
      </c>
      <c r="C918">
        <f>'1 datos preparados'!B911</f>
        <v/>
      </c>
      <c r="D918" s="7">
        <f>'1 datos preparados'!C911</f>
        <v/>
      </c>
      <c r="E918" s="7">
        <f>'1 datos preparados'!D911</f>
        <v/>
      </c>
      <c r="F918" s="7">
        <f>'1 datos preparados'!E911</f>
        <v/>
      </c>
      <c r="G918" s="7">
        <f>'1 datos preparados'!F911</f>
        <v/>
      </c>
      <c r="H918" s="7">
        <f>'1 datos preparados'!G911</f>
        <v/>
      </c>
      <c r="I918" s="7">
        <f>'1 datos preparados'!H911</f>
        <v/>
      </c>
      <c r="J918" s="7">
        <f>'1 datos preparados'!I911</f>
        <v/>
      </c>
      <c r="K918" s="7">
        <f>'1 datos preparados'!J911</f>
        <v/>
      </c>
      <c r="L918" s="7">
        <f>'1 datos preparados'!K911</f>
        <v/>
      </c>
      <c r="M918" s="7">
        <f>'1 datos preparados'!L911</f>
        <v/>
      </c>
      <c r="N918" s="7">
        <f>'1 datos preparados'!M911</f>
        <v/>
      </c>
      <c r="O918" s="7">
        <f>'1 datos preparados'!N911</f>
        <v/>
      </c>
      <c r="P918" s="7">
        <f>'1 datos preparados'!O911</f>
        <v/>
      </c>
      <c r="Q918" s="7">
        <f>'1 datos preparados'!P911</f>
        <v/>
      </c>
      <c r="R918" s="7">
        <f>'1 datos preparados'!Q911</f>
        <v/>
      </c>
      <c r="S918" s="7">
        <f>'1 datos preparados'!R911</f>
        <v/>
      </c>
      <c r="T918" s="7">
        <f>'1 datos preparados'!S911</f>
        <v/>
      </c>
      <c r="U918" s="7">
        <f>'1 datos preparados'!T911</f>
        <v/>
      </c>
      <c r="V918" s="8">
        <f>$AE$12+D918*$AE$13+E918*$AE$14+F918*$AE$15+G918*$AE$16+H918*$AE$17+I918*$AE$18+J918*$AE$19+K918*$AE$20+L918*$AE$21+M918*$AE$22+N918*$AE$23+O918*$AE$24+P918*$AE$25+Q918*$AE$26+R918*$AE$27+S918*$AE$28+T918*$AE$29+U918*$AE$30</f>
        <v/>
      </c>
      <c r="W918" s="8">
        <f>1/(1+EXP(-V918))</f>
        <v/>
      </c>
      <c r="X918" s="9">
        <f>-IF(C918=1,LN(W918),LN(1-W918))</f>
        <v/>
      </c>
      <c r="Y918" s="8">
        <f>IF(C918=1,$AE$32,$AE$33)</f>
        <v/>
      </c>
      <c r="Z918" s="9">
        <f>Y918*X918</f>
        <v/>
      </c>
      <c r="AA918" s="10">
        <f>IF(W918&gt;$AE$34,1,0)</f>
        <v/>
      </c>
      <c r="AB918">
        <f>IF(AA918=C918,1,0)</f>
        <v/>
      </c>
    </row>
    <row r="919">
      <c r="A919">
        <f>'1 datos preparados'!A912</f>
        <v/>
      </c>
      <c r="B919" s="5">
        <f>'1 datos preparados'!U912</f>
        <v/>
      </c>
      <c r="C919">
        <f>'1 datos preparados'!B912</f>
        <v/>
      </c>
      <c r="D919" s="7">
        <f>'1 datos preparados'!C912</f>
        <v/>
      </c>
      <c r="E919" s="7">
        <f>'1 datos preparados'!D912</f>
        <v/>
      </c>
      <c r="F919" s="7">
        <f>'1 datos preparados'!E912</f>
        <v/>
      </c>
      <c r="G919" s="7">
        <f>'1 datos preparados'!F912</f>
        <v/>
      </c>
      <c r="H919" s="7">
        <f>'1 datos preparados'!G912</f>
        <v/>
      </c>
      <c r="I919" s="7">
        <f>'1 datos preparados'!H912</f>
        <v/>
      </c>
      <c r="J919" s="7">
        <f>'1 datos preparados'!I912</f>
        <v/>
      </c>
      <c r="K919" s="7">
        <f>'1 datos preparados'!J912</f>
        <v/>
      </c>
      <c r="L919" s="7">
        <f>'1 datos preparados'!K912</f>
        <v/>
      </c>
      <c r="M919" s="7">
        <f>'1 datos preparados'!L912</f>
        <v/>
      </c>
      <c r="N919" s="7">
        <f>'1 datos preparados'!M912</f>
        <v/>
      </c>
      <c r="O919" s="7">
        <f>'1 datos preparados'!N912</f>
        <v/>
      </c>
      <c r="P919" s="7">
        <f>'1 datos preparados'!O912</f>
        <v/>
      </c>
      <c r="Q919" s="7">
        <f>'1 datos preparados'!P912</f>
        <v/>
      </c>
      <c r="R919" s="7">
        <f>'1 datos preparados'!Q912</f>
        <v/>
      </c>
      <c r="S919" s="7">
        <f>'1 datos preparados'!R912</f>
        <v/>
      </c>
      <c r="T919" s="7">
        <f>'1 datos preparados'!S912</f>
        <v/>
      </c>
      <c r="U919" s="7">
        <f>'1 datos preparados'!T912</f>
        <v/>
      </c>
      <c r="V919" s="8">
        <f>$AE$12+D919*$AE$13+E919*$AE$14+F919*$AE$15+G919*$AE$16+H919*$AE$17+I919*$AE$18+J919*$AE$19+K919*$AE$20+L919*$AE$21+M919*$AE$22+N919*$AE$23+O919*$AE$24+P919*$AE$25+Q919*$AE$26+R919*$AE$27+S919*$AE$28+T919*$AE$29+U919*$AE$30</f>
        <v/>
      </c>
      <c r="W919" s="8">
        <f>1/(1+EXP(-V919))</f>
        <v/>
      </c>
      <c r="X919" s="9">
        <f>-IF(C919=1,LN(W919),LN(1-W919))</f>
        <v/>
      </c>
      <c r="Y919" s="8">
        <f>IF(C919=1,$AE$32,$AE$33)</f>
        <v/>
      </c>
      <c r="Z919" s="9">
        <f>Y919*X919</f>
        <v/>
      </c>
      <c r="AA919" s="10">
        <f>IF(W919&gt;$AE$34,1,0)</f>
        <v/>
      </c>
      <c r="AB919">
        <f>IF(AA919=C919,1,0)</f>
        <v/>
      </c>
    </row>
    <row r="920">
      <c r="A920">
        <f>'1 datos preparados'!A913</f>
        <v/>
      </c>
      <c r="B920" s="5">
        <f>'1 datos preparados'!U913</f>
        <v/>
      </c>
      <c r="C920">
        <f>'1 datos preparados'!B913</f>
        <v/>
      </c>
      <c r="D920" s="7">
        <f>'1 datos preparados'!C913</f>
        <v/>
      </c>
      <c r="E920" s="7">
        <f>'1 datos preparados'!D913</f>
        <v/>
      </c>
      <c r="F920" s="7">
        <f>'1 datos preparados'!E913</f>
        <v/>
      </c>
      <c r="G920" s="7">
        <f>'1 datos preparados'!F913</f>
        <v/>
      </c>
      <c r="H920" s="7">
        <f>'1 datos preparados'!G913</f>
        <v/>
      </c>
      <c r="I920" s="7">
        <f>'1 datos preparados'!H913</f>
        <v/>
      </c>
      <c r="J920" s="7">
        <f>'1 datos preparados'!I913</f>
        <v/>
      </c>
      <c r="K920" s="7">
        <f>'1 datos preparados'!J913</f>
        <v/>
      </c>
      <c r="L920" s="7">
        <f>'1 datos preparados'!K913</f>
        <v/>
      </c>
      <c r="M920" s="7">
        <f>'1 datos preparados'!L913</f>
        <v/>
      </c>
      <c r="N920" s="7">
        <f>'1 datos preparados'!M913</f>
        <v/>
      </c>
      <c r="O920" s="7">
        <f>'1 datos preparados'!N913</f>
        <v/>
      </c>
      <c r="P920" s="7">
        <f>'1 datos preparados'!O913</f>
        <v/>
      </c>
      <c r="Q920" s="7">
        <f>'1 datos preparados'!P913</f>
        <v/>
      </c>
      <c r="R920" s="7">
        <f>'1 datos preparados'!Q913</f>
        <v/>
      </c>
      <c r="S920" s="7">
        <f>'1 datos preparados'!R913</f>
        <v/>
      </c>
      <c r="T920" s="7">
        <f>'1 datos preparados'!S913</f>
        <v/>
      </c>
      <c r="U920" s="7">
        <f>'1 datos preparados'!T913</f>
        <v/>
      </c>
      <c r="V920" s="8">
        <f>$AE$12+D920*$AE$13+E920*$AE$14+F920*$AE$15+G920*$AE$16+H920*$AE$17+I920*$AE$18+J920*$AE$19+K920*$AE$20+L920*$AE$21+M920*$AE$22+N920*$AE$23+O920*$AE$24+P920*$AE$25+Q920*$AE$26+R920*$AE$27+S920*$AE$28+T920*$AE$29+U920*$AE$30</f>
        <v/>
      </c>
      <c r="W920" s="8">
        <f>1/(1+EXP(-V920))</f>
        <v/>
      </c>
      <c r="X920" s="9">
        <f>-IF(C920=1,LN(W920),LN(1-W920))</f>
        <v/>
      </c>
      <c r="Y920" s="8">
        <f>IF(C920=1,$AE$32,$AE$33)</f>
        <v/>
      </c>
      <c r="Z920" s="9">
        <f>Y920*X920</f>
        <v/>
      </c>
      <c r="AA920" s="10">
        <f>IF(W920&gt;$AE$34,1,0)</f>
        <v/>
      </c>
      <c r="AB920">
        <f>IF(AA920=C920,1,0)</f>
        <v/>
      </c>
    </row>
    <row r="921">
      <c r="A921">
        <f>'1 datos preparados'!A914</f>
        <v/>
      </c>
      <c r="B921" s="5">
        <f>'1 datos preparados'!U914</f>
        <v/>
      </c>
      <c r="C921">
        <f>'1 datos preparados'!B914</f>
        <v/>
      </c>
      <c r="D921" s="7">
        <f>'1 datos preparados'!C914</f>
        <v/>
      </c>
      <c r="E921" s="7">
        <f>'1 datos preparados'!D914</f>
        <v/>
      </c>
      <c r="F921" s="7">
        <f>'1 datos preparados'!E914</f>
        <v/>
      </c>
      <c r="G921" s="7">
        <f>'1 datos preparados'!F914</f>
        <v/>
      </c>
      <c r="H921" s="7">
        <f>'1 datos preparados'!G914</f>
        <v/>
      </c>
      <c r="I921" s="7">
        <f>'1 datos preparados'!H914</f>
        <v/>
      </c>
      <c r="J921" s="7">
        <f>'1 datos preparados'!I914</f>
        <v/>
      </c>
      <c r="K921" s="7">
        <f>'1 datos preparados'!J914</f>
        <v/>
      </c>
      <c r="L921" s="7">
        <f>'1 datos preparados'!K914</f>
        <v/>
      </c>
      <c r="M921" s="7">
        <f>'1 datos preparados'!L914</f>
        <v/>
      </c>
      <c r="N921" s="7">
        <f>'1 datos preparados'!M914</f>
        <v/>
      </c>
      <c r="O921" s="7">
        <f>'1 datos preparados'!N914</f>
        <v/>
      </c>
      <c r="P921" s="7">
        <f>'1 datos preparados'!O914</f>
        <v/>
      </c>
      <c r="Q921" s="7">
        <f>'1 datos preparados'!P914</f>
        <v/>
      </c>
      <c r="R921" s="7">
        <f>'1 datos preparados'!Q914</f>
        <v/>
      </c>
      <c r="S921" s="7">
        <f>'1 datos preparados'!R914</f>
        <v/>
      </c>
      <c r="T921" s="7">
        <f>'1 datos preparados'!S914</f>
        <v/>
      </c>
      <c r="U921" s="7">
        <f>'1 datos preparados'!T914</f>
        <v/>
      </c>
      <c r="V921" s="8">
        <f>$AE$12+D921*$AE$13+E921*$AE$14+F921*$AE$15+G921*$AE$16+H921*$AE$17+I921*$AE$18+J921*$AE$19+K921*$AE$20+L921*$AE$21+M921*$AE$22+N921*$AE$23+O921*$AE$24+P921*$AE$25+Q921*$AE$26+R921*$AE$27+S921*$AE$28+T921*$AE$29+U921*$AE$30</f>
        <v/>
      </c>
      <c r="W921" s="8">
        <f>1/(1+EXP(-V921))</f>
        <v/>
      </c>
      <c r="X921" s="9">
        <f>-IF(C921=1,LN(W921),LN(1-W921))</f>
        <v/>
      </c>
      <c r="Y921" s="8">
        <f>IF(C921=1,$AE$32,$AE$33)</f>
        <v/>
      </c>
      <c r="Z921" s="9">
        <f>Y921*X921</f>
        <v/>
      </c>
      <c r="AA921" s="10">
        <f>IF(W921&gt;$AE$34,1,0)</f>
        <v/>
      </c>
      <c r="AB921">
        <f>IF(AA921=C921,1,0)</f>
        <v/>
      </c>
    </row>
    <row r="922">
      <c r="A922">
        <f>'1 datos preparados'!A915</f>
        <v/>
      </c>
      <c r="B922" s="5">
        <f>'1 datos preparados'!U915</f>
        <v/>
      </c>
      <c r="C922">
        <f>'1 datos preparados'!B915</f>
        <v/>
      </c>
      <c r="D922" s="7">
        <f>'1 datos preparados'!C915</f>
        <v/>
      </c>
      <c r="E922" s="7">
        <f>'1 datos preparados'!D915</f>
        <v/>
      </c>
      <c r="F922" s="7">
        <f>'1 datos preparados'!E915</f>
        <v/>
      </c>
      <c r="G922" s="7">
        <f>'1 datos preparados'!F915</f>
        <v/>
      </c>
      <c r="H922" s="7">
        <f>'1 datos preparados'!G915</f>
        <v/>
      </c>
      <c r="I922" s="7">
        <f>'1 datos preparados'!H915</f>
        <v/>
      </c>
      <c r="J922" s="7">
        <f>'1 datos preparados'!I915</f>
        <v/>
      </c>
      <c r="K922" s="7">
        <f>'1 datos preparados'!J915</f>
        <v/>
      </c>
      <c r="L922" s="7">
        <f>'1 datos preparados'!K915</f>
        <v/>
      </c>
      <c r="M922" s="7">
        <f>'1 datos preparados'!L915</f>
        <v/>
      </c>
      <c r="N922" s="7">
        <f>'1 datos preparados'!M915</f>
        <v/>
      </c>
      <c r="O922" s="7">
        <f>'1 datos preparados'!N915</f>
        <v/>
      </c>
      <c r="P922" s="7">
        <f>'1 datos preparados'!O915</f>
        <v/>
      </c>
      <c r="Q922" s="7">
        <f>'1 datos preparados'!P915</f>
        <v/>
      </c>
      <c r="R922" s="7">
        <f>'1 datos preparados'!Q915</f>
        <v/>
      </c>
      <c r="S922" s="7">
        <f>'1 datos preparados'!R915</f>
        <v/>
      </c>
      <c r="T922" s="7">
        <f>'1 datos preparados'!S915</f>
        <v/>
      </c>
      <c r="U922" s="7">
        <f>'1 datos preparados'!T915</f>
        <v/>
      </c>
      <c r="V922" s="8">
        <f>$AE$12+D922*$AE$13+E922*$AE$14+F922*$AE$15+G922*$AE$16+H922*$AE$17+I922*$AE$18+J922*$AE$19+K922*$AE$20+L922*$AE$21+M922*$AE$22+N922*$AE$23+O922*$AE$24+P922*$AE$25+Q922*$AE$26+R922*$AE$27+S922*$AE$28+T922*$AE$29+U922*$AE$30</f>
        <v/>
      </c>
      <c r="W922" s="8">
        <f>1/(1+EXP(-V922))</f>
        <v/>
      </c>
      <c r="X922" s="9">
        <f>-IF(C922=1,LN(W922),LN(1-W922))</f>
        <v/>
      </c>
      <c r="Y922" s="8">
        <f>IF(C922=1,$AE$32,$AE$33)</f>
        <v/>
      </c>
      <c r="Z922" s="9">
        <f>Y922*X922</f>
        <v/>
      </c>
      <c r="AA922" s="10">
        <f>IF(W922&gt;$AE$34,1,0)</f>
        <v/>
      </c>
      <c r="AB922">
        <f>IF(AA922=C922,1,0)</f>
        <v/>
      </c>
    </row>
    <row r="923">
      <c r="A923">
        <f>'1 datos preparados'!A916</f>
        <v/>
      </c>
      <c r="B923" s="5">
        <f>'1 datos preparados'!U916</f>
        <v/>
      </c>
      <c r="C923">
        <f>'1 datos preparados'!B916</f>
        <v/>
      </c>
      <c r="D923" s="7">
        <f>'1 datos preparados'!C916</f>
        <v/>
      </c>
      <c r="E923" s="7">
        <f>'1 datos preparados'!D916</f>
        <v/>
      </c>
      <c r="F923" s="7">
        <f>'1 datos preparados'!E916</f>
        <v/>
      </c>
      <c r="G923" s="7">
        <f>'1 datos preparados'!F916</f>
        <v/>
      </c>
      <c r="H923" s="7">
        <f>'1 datos preparados'!G916</f>
        <v/>
      </c>
      <c r="I923" s="7">
        <f>'1 datos preparados'!H916</f>
        <v/>
      </c>
      <c r="J923" s="7">
        <f>'1 datos preparados'!I916</f>
        <v/>
      </c>
      <c r="K923" s="7">
        <f>'1 datos preparados'!J916</f>
        <v/>
      </c>
      <c r="L923" s="7">
        <f>'1 datos preparados'!K916</f>
        <v/>
      </c>
      <c r="M923" s="7">
        <f>'1 datos preparados'!L916</f>
        <v/>
      </c>
      <c r="N923" s="7">
        <f>'1 datos preparados'!M916</f>
        <v/>
      </c>
      <c r="O923" s="7">
        <f>'1 datos preparados'!N916</f>
        <v/>
      </c>
      <c r="P923" s="7">
        <f>'1 datos preparados'!O916</f>
        <v/>
      </c>
      <c r="Q923" s="7">
        <f>'1 datos preparados'!P916</f>
        <v/>
      </c>
      <c r="R923" s="7">
        <f>'1 datos preparados'!Q916</f>
        <v/>
      </c>
      <c r="S923" s="7">
        <f>'1 datos preparados'!R916</f>
        <v/>
      </c>
      <c r="T923" s="7">
        <f>'1 datos preparados'!S916</f>
        <v/>
      </c>
      <c r="U923" s="7">
        <f>'1 datos preparados'!T916</f>
        <v/>
      </c>
      <c r="V923" s="8">
        <f>$AE$12+D923*$AE$13+E923*$AE$14+F923*$AE$15+G923*$AE$16+H923*$AE$17+I923*$AE$18+J923*$AE$19+K923*$AE$20+L923*$AE$21+M923*$AE$22+N923*$AE$23+O923*$AE$24+P923*$AE$25+Q923*$AE$26+R923*$AE$27+S923*$AE$28+T923*$AE$29+U923*$AE$30</f>
        <v/>
      </c>
      <c r="W923" s="8">
        <f>1/(1+EXP(-V923))</f>
        <v/>
      </c>
      <c r="X923" s="9">
        <f>-IF(C923=1,LN(W923),LN(1-W923))</f>
        <v/>
      </c>
      <c r="Y923" s="8">
        <f>IF(C923=1,$AE$32,$AE$33)</f>
        <v/>
      </c>
      <c r="Z923" s="9">
        <f>Y923*X923</f>
        <v/>
      </c>
      <c r="AA923" s="10">
        <f>IF(W923&gt;$AE$34,1,0)</f>
        <v/>
      </c>
      <c r="AB923">
        <f>IF(AA923=C923,1,0)</f>
        <v/>
      </c>
    </row>
    <row r="924">
      <c r="A924">
        <f>'1 datos preparados'!A917</f>
        <v/>
      </c>
      <c r="B924" s="5">
        <f>'1 datos preparados'!U917</f>
        <v/>
      </c>
      <c r="C924">
        <f>'1 datos preparados'!B917</f>
        <v/>
      </c>
      <c r="D924" s="7">
        <f>'1 datos preparados'!C917</f>
        <v/>
      </c>
      <c r="E924" s="7">
        <f>'1 datos preparados'!D917</f>
        <v/>
      </c>
      <c r="F924" s="7">
        <f>'1 datos preparados'!E917</f>
        <v/>
      </c>
      <c r="G924" s="7">
        <f>'1 datos preparados'!F917</f>
        <v/>
      </c>
      <c r="H924" s="7">
        <f>'1 datos preparados'!G917</f>
        <v/>
      </c>
      <c r="I924" s="7">
        <f>'1 datos preparados'!H917</f>
        <v/>
      </c>
      <c r="J924" s="7">
        <f>'1 datos preparados'!I917</f>
        <v/>
      </c>
      <c r="K924" s="7">
        <f>'1 datos preparados'!J917</f>
        <v/>
      </c>
      <c r="L924" s="7">
        <f>'1 datos preparados'!K917</f>
        <v/>
      </c>
      <c r="M924" s="7">
        <f>'1 datos preparados'!L917</f>
        <v/>
      </c>
      <c r="N924" s="7">
        <f>'1 datos preparados'!M917</f>
        <v/>
      </c>
      <c r="O924" s="7">
        <f>'1 datos preparados'!N917</f>
        <v/>
      </c>
      <c r="P924" s="7">
        <f>'1 datos preparados'!O917</f>
        <v/>
      </c>
      <c r="Q924" s="7">
        <f>'1 datos preparados'!P917</f>
        <v/>
      </c>
      <c r="R924" s="7">
        <f>'1 datos preparados'!Q917</f>
        <v/>
      </c>
      <c r="S924" s="7">
        <f>'1 datos preparados'!R917</f>
        <v/>
      </c>
      <c r="T924" s="7">
        <f>'1 datos preparados'!S917</f>
        <v/>
      </c>
      <c r="U924" s="7">
        <f>'1 datos preparados'!T917</f>
        <v/>
      </c>
      <c r="V924" s="8">
        <f>$AE$12+D924*$AE$13+E924*$AE$14+F924*$AE$15+G924*$AE$16+H924*$AE$17+I924*$AE$18+J924*$AE$19+K924*$AE$20+L924*$AE$21+M924*$AE$22+N924*$AE$23+O924*$AE$24+P924*$AE$25+Q924*$AE$26+R924*$AE$27+S924*$AE$28+T924*$AE$29+U924*$AE$30</f>
        <v/>
      </c>
      <c r="W924" s="8">
        <f>1/(1+EXP(-V924))</f>
        <v/>
      </c>
      <c r="X924" s="9">
        <f>-IF(C924=1,LN(W924),LN(1-W924))</f>
        <v/>
      </c>
      <c r="Y924" s="8">
        <f>IF(C924=1,$AE$32,$AE$33)</f>
        <v/>
      </c>
      <c r="Z924" s="9">
        <f>Y924*X924</f>
        <v/>
      </c>
      <c r="AA924" s="10">
        <f>IF(W924&gt;$AE$34,1,0)</f>
        <v/>
      </c>
      <c r="AB924">
        <f>IF(AA924=C924,1,0)</f>
        <v/>
      </c>
    </row>
    <row r="925">
      <c r="A925">
        <f>'1 datos preparados'!A918</f>
        <v/>
      </c>
      <c r="B925" s="5">
        <f>'1 datos preparados'!U918</f>
        <v/>
      </c>
      <c r="C925">
        <f>'1 datos preparados'!B918</f>
        <v/>
      </c>
      <c r="D925" s="7">
        <f>'1 datos preparados'!C918</f>
        <v/>
      </c>
      <c r="E925" s="7">
        <f>'1 datos preparados'!D918</f>
        <v/>
      </c>
      <c r="F925" s="7">
        <f>'1 datos preparados'!E918</f>
        <v/>
      </c>
      <c r="G925" s="7">
        <f>'1 datos preparados'!F918</f>
        <v/>
      </c>
      <c r="H925" s="7">
        <f>'1 datos preparados'!G918</f>
        <v/>
      </c>
      <c r="I925" s="7">
        <f>'1 datos preparados'!H918</f>
        <v/>
      </c>
      <c r="J925" s="7">
        <f>'1 datos preparados'!I918</f>
        <v/>
      </c>
      <c r="K925" s="7">
        <f>'1 datos preparados'!J918</f>
        <v/>
      </c>
      <c r="L925" s="7">
        <f>'1 datos preparados'!K918</f>
        <v/>
      </c>
      <c r="M925" s="7">
        <f>'1 datos preparados'!L918</f>
        <v/>
      </c>
      <c r="N925" s="7">
        <f>'1 datos preparados'!M918</f>
        <v/>
      </c>
      <c r="O925" s="7">
        <f>'1 datos preparados'!N918</f>
        <v/>
      </c>
      <c r="P925" s="7">
        <f>'1 datos preparados'!O918</f>
        <v/>
      </c>
      <c r="Q925" s="7">
        <f>'1 datos preparados'!P918</f>
        <v/>
      </c>
      <c r="R925" s="7">
        <f>'1 datos preparados'!Q918</f>
        <v/>
      </c>
      <c r="S925" s="7">
        <f>'1 datos preparados'!R918</f>
        <v/>
      </c>
      <c r="T925" s="7">
        <f>'1 datos preparados'!S918</f>
        <v/>
      </c>
      <c r="U925" s="7">
        <f>'1 datos preparados'!T918</f>
        <v/>
      </c>
      <c r="V925" s="8">
        <f>$AE$12+D925*$AE$13+E925*$AE$14+F925*$AE$15+G925*$AE$16+H925*$AE$17+I925*$AE$18+J925*$AE$19+K925*$AE$20+L925*$AE$21+M925*$AE$22+N925*$AE$23+O925*$AE$24+P925*$AE$25+Q925*$AE$26+R925*$AE$27+S925*$AE$28+T925*$AE$29+U925*$AE$30</f>
        <v/>
      </c>
      <c r="W925" s="8">
        <f>1/(1+EXP(-V925))</f>
        <v/>
      </c>
      <c r="X925" s="9">
        <f>-IF(C925=1,LN(W925),LN(1-W925))</f>
        <v/>
      </c>
      <c r="Y925" s="8">
        <f>IF(C925=1,$AE$32,$AE$33)</f>
        <v/>
      </c>
      <c r="Z925" s="9">
        <f>Y925*X925</f>
        <v/>
      </c>
      <c r="AA925" s="10">
        <f>IF(W925&gt;$AE$34,1,0)</f>
        <v/>
      </c>
      <c r="AB925">
        <f>IF(AA925=C925,1,0)</f>
        <v/>
      </c>
    </row>
    <row r="926">
      <c r="A926">
        <f>'1 datos preparados'!A919</f>
        <v/>
      </c>
      <c r="B926" s="5">
        <f>'1 datos preparados'!U919</f>
        <v/>
      </c>
      <c r="C926">
        <f>'1 datos preparados'!B919</f>
        <v/>
      </c>
      <c r="D926" s="7">
        <f>'1 datos preparados'!C919</f>
        <v/>
      </c>
      <c r="E926" s="7">
        <f>'1 datos preparados'!D919</f>
        <v/>
      </c>
      <c r="F926" s="7">
        <f>'1 datos preparados'!E919</f>
        <v/>
      </c>
      <c r="G926" s="7">
        <f>'1 datos preparados'!F919</f>
        <v/>
      </c>
      <c r="H926" s="7">
        <f>'1 datos preparados'!G919</f>
        <v/>
      </c>
      <c r="I926" s="7">
        <f>'1 datos preparados'!H919</f>
        <v/>
      </c>
      <c r="J926" s="7">
        <f>'1 datos preparados'!I919</f>
        <v/>
      </c>
      <c r="K926" s="7">
        <f>'1 datos preparados'!J919</f>
        <v/>
      </c>
      <c r="L926" s="7">
        <f>'1 datos preparados'!K919</f>
        <v/>
      </c>
      <c r="M926" s="7">
        <f>'1 datos preparados'!L919</f>
        <v/>
      </c>
      <c r="N926" s="7">
        <f>'1 datos preparados'!M919</f>
        <v/>
      </c>
      <c r="O926" s="7">
        <f>'1 datos preparados'!N919</f>
        <v/>
      </c>
      <c r="P926" s="7">
        <f>'1 datos preparados'!O919</f>
        <v/>
      </c>
      <c r="Q926" s="7">
        <f>'1 datos preparados'!P919</f>
        <v/>
      </c>
      <c r="R926" s="7">
        <f>'1 datos preparados'!Q919</f>
        <v/>
      </c>
      <c r="S926" s="7">
        <f>'1 datos preparados'!R919</f>
        <v/>
      </c>
      <c r="T926" s="7">
        <f>'1 datos preparados'!S919</f>
        <v/>
      </c>
      <c r="U926" s="7">
        <f>'1 datos preparados'!T919</f>
        <v/>
      </c>
      <c r="V926" s="8">
        <f>$AE$12+D926*$AE$13+E926*$AE$14+F926*$AE$15+G926*$AE$16+H926*$AE$17+I926*$AE$18+J926*$AE$19+K926*$AE$20+L926*$AE$21+M926*$AE$22+N926*$AE$23+O926*$AE$24+P926*$AE$25+Q926*$AE$26+R926*$AE$27+S926*$AE$28+T926*$AE$29+U926*$AE$30</f>
        <v/>
      </c>
      <c r="W926" s="8">
        <f>1/(1+EXP(-V926))</f>
        <v/>
      </c>
      <c r="X926" s="9">
        <f>-IF(C926=1,LN(W926),LN(1-W926))</f>
        <v/>
      </c>
      <c r="Y926" s="8">
        <f>IF(C926=1,$AE$32,$AE$33)</f>
        <v/>
      </c>
      <c r="Z926" s="9">
        <f>Y926*X926</f>
        <v/>
      </c>
      <c r="AA926" s="10">
        <f>IF(W926&gt;$AE$34,1,0)</f>
        <v/>
      </c>
      <c r="AB926">
        <f>IF(AA926=C926,1,0)</f>
        <v/>
      </c>
    </row>
    <row r="927">
      <c r="A927">
        <f>'1 datos preparados'!A920</f>
        <v/>
      </c>
      <c r="B927" s="5">
        <f>'1 datos preparados'!U920</f>
        <v/>
      </c>
      <c r="C927">
        <f>'1 datos preparados'!B920</f>
        <v/>
      </c>
      <c r="D927" s="7">
        <f>'1 datos preparados'!C920</f>
        <v/>
      </c>
      <c r="E927" s="7">
        <f>'1 datos preparados'!D920</f>
        <v/>
      </c>
      <c r="F927" s="7">
        <f>'1 datos preparados'!E920</f>
        <v/>
      </c>
      <c r="G927" s="7">
        <f>'1 datos preparados'!F920</f>
        <v/>
      </c>
      <c r="H927" s="7">
        <f>'1 datos preparados'!G920</f>
        <v/>
      </c>
      <c r="I927" s="7">
        <f>'1 datos preparados'!H920</f>
        <v/>
      </c>
      <c r="J927" s="7">
        <f>'1 datos preparados'!I920</f>
        <v/>
      </c>
      <c r="K927" s="7">
        <f>'1 datos preparados'!J920</f>
        <v/>
      </c>
      <c r="L927" s="7">
        <f>'1 datos preparados'!K920</f>
        <v/>
      </c>
      <c r="M927" s="7">
        <f>'1 datos preparados'!L920</f>
        <v/>
      </c>
      <c r="N927" s="7">
        <f>'1 datos preparados'!M920</f>
        <v/>
      </c>
      <c r="O927" s="7">
        <f>'1 datos preparados'!N920</f>
        <v/>
      </c>
      <c r="P927" s="7">
        <f>'1 datos preparados'!O920</f>
        <v/>
      </c>
      <c r="Q927" s="7">
        <f>'1 datos preparados'!P920</f>
        <v/>
      </c>
      <c r="R927" s="7">
        <f>'1 datos preparados'!Q920</f>
        <v/>
      </c>
      <c r="S927" s="7">
        <f>'1 datos preparados'!R920</f>
        <v/>
      </c>
      <c r="T927" s="7">
        <f>'1 datos preparados'!S920</f>
        <v/>
      </c>
      <c r="U927" s="7">
        <f>'1 datos preparados'!T920</f>
        <v/>
      </c>
      <c r="V927" s="8">
        <f>$AE$12+D927*$AE$13+E927*$AE$14+F927*$AE$15+G927*$AE$16+H927*$AE$17+I927*$AE$18+J927*$AE$19+K927*$AE$20+L927*$AE$21+M927*$AE$22+N927*$AE$23+O927*$AE$24+P927*$AE$25+Q927*$AE$26+R927*$AE$27+S927*$AE$28+T927*$AE$29+U927*$AE$30</f>
        <v/>
      </c>
      <c r="W927" s="8">
        <f>1/(1+EXP(-V927))</f>
        <v/>
      </c>
      <c r="X927" s="9">
        <f>-IF(C927=1,LN(W927),LN(1-W927))</f>
        <v/>
      </c>
      <c r="Y927" s="8">
        <f>IF(C927=1,$AE$32,$AE$33)</f>
        <v/>
      </c>
      <c r="Z927" s="9">
        <f>Y927*X927</f>
        <v/>
      </c>
      <c r="AA927" s="10">
        <f>IF(W927&gt;$AE$34,1,0)</f>
        <v/>
      </c>
      <c r="AB927">
        <f>IF(AA927=C927,1,0)</f>
        <v/>
      </c>
    </row>
    <row r="928">
      <c r="A928">
        <f>'1 datos preparados'!A921</f>
        <v/>
      </c>
      <c r="B928" s="5">
        <f>'1 datos preparados'!U921</f>
        <v/>
      </c>
      <c r="C928">
        <f>'1 datos preparados'!B921</f>
        <v/>
      </c>
      <c r="D928" s="7">
        <f>'1 datos preparados'!C921</f>
        <v/>
      </c>
      <c r="E928" s="7">
        <f>'1 datos preparados'!D921</f>
        <v/>
      </c>
      <c r="F928" s="7">
        <f>'1 datos preparados'!E921</f>
        <v/>
      </c>
      <c r="G928" s="7">
        <f>'1 datos preparados'!F921</f>
        <v/>
      </c>
      <c r="H928" s="7">
        <f>'1 datos preparados'!G921</f>
        <v/>
      </c>
      <c r="I928" s="7">
        <f>'1 datos preparados'!H921</f>
        <v/>
      </c>
      <c r="J928" s="7">
        <f>'1 datos preparados'!I921</f>
        <v/>
      </c>
      <c r="K928" s="7">
        <f>'1 datos preparados'!J921</f>
        <v/>
      </c>
      <c r="L928" s="7">
        <f>'1 datos preparados'!K921</f>
        <v/>
      </c>
      <c r="M928" s="7">
        <f>'1 datos preparados'!L921</f>
        <v/>
      </c>
      <c r="N928" s="7">
        <f>'1 datos preparados'!M921</f>
        <v/>
      </c>
      <c r="O928" s="7">
        <f>'1 datos preparados'!N921</f>
        <v/>
      </c>
      <c r="P928" s="7">
        <f>'1 datos preparados'!O921</f>
        <v/>
      </c>
      <c r="Q928" s="7">
        <f>'1 datos preparados'!P921</f>
        <v/>
      </c>
      <c r="R928" s="7">
        <f>'1 datos preparados'!Q921</f>
        <v/>
      </c>
      <c r="S928" s="7">
        <f>'1 datos preparados'!R921</f>
        <v/>
      </c>
      <c r="T928" s="7">
        <f>'1 datos preparados'!S921</f>
        <v/>
      </c>
      <c r="U928" s="7">
        <f>'1 datos preparados'!T921</f>
        <v/>
      </c>
      <c r="V928" s="8">
        <f>$AE$12+D928*$AE$13+E928*$AE$14+F928*$AE$15+G928*$AE$16+H928*$AE$17+I928*$AE$18+J928*$AE$19+K928*$AE$20+L928*$AE$21+M928*$AE$22+N928*$AE$23+O928*$AE$24+P928*$AE$25+Q928*$AE$26+R928*$AE$27+S928*$AE$28+T928*$AE$29+U928*$AE$30</f>
        <v/>
      </c>
      <c r="W928" s="8">
        <f>1/(1+EXP(-V928))</f>
        <v/>
      </c>
      <c r="X928" s="9">
        <f>-IF(C928=1,LN(W928),LN(1-W928))</f>
        <v/>
      </c>
      <c r="Y928" s="8">
        <f>IF(C928=1,$AE$32,$AE$33)</f>
        <v/>
      </c>
      <c r="Z928" s="9">
        <f>Y928*X928</f>
        <v/>
      </c>
      <c r="AA928" s="10">
        <f>IF(W928&gt;$AE$34,1,0)</f>
        <v/>
      </c>
      <c r="AB928">
        <f>IF(AA928=C928,1,0)</f>
        <v/>
      </c>
    </row>
    <row r="929">
      <c r="A929">
        <f>'1 datos preparados'!A922</f>
        <v/>
      </c>
      <c r="B929" s="5">
        <f>'1 datos preparados'!U922</f>
        <v/>
      </c>
      <c r="C929">
        <f>'1 datos preparados'!B922</f>
        <v/>
      </c>
      <c r="D929" s="7">
        <f>'1 datos preparados'!C922</f>
        <v/>
      </c>
      <c r="E929" s="7">
        <f>'1 datos preparados'!D922</f>
        <v/>
      </c>
      <c r="F929" s="7">
        <f>'1 datos preparados'!E922</f>
        <v/>
      </c>
      <c r="G929" s="7">
        <f>'1 datos preparados'!F922</f>
        <v/>
      </c>
      <c r="H929" s="7">
        <f>'1 datos preparados'!G922</f>
        <v/>
      </c>
      <c r="I929" s="7">
        <f>'1 datos preparados'!H922</f>
        <v/>
      </c>
      <c r="J929" s="7">
        <f>'1 datos preparados'!I922</f>
        <v/>
      </c>
      <c r="K929" s="7">
        <f>'1 datos preparados'!J922</f>
        <v/>
      </c>
      <c r="L929" s="7">
        <f>'1 datos preparados'!K922</f>
        <v/>
      </c>
      <c r="M929" s="7">
        <f>'1 datos preparados'!L922</f>
        <v/>
      </c>
      <c r="N929" s="7">
        <f>'1 datos preparados'!M922</f>
        <v/>
      </c>
      <c r="O929" s="7">
        <f>'1 datos preparados'!N922</f>
        <v/>
      </c>
      <c r="P929" s="7">
        <f>'1 datos preparados'!O922</f>
        <v/>
      </c>
      <c r="Q929" s="7">
        <f>'1 datos preparados'!P922</f>
        <v/>
      </c>
      <c r="R929" s="7">
        <f>'1 datos preparados'!Q922</f>
        <v/>
      </c>
      <c r="S929" s="7">
        <f>'1 datos preparados'!R922</f>
        <v/>
      </c>
      <c r="T929" s="7">
        <f>'1 datos preparados'!S922</f>
        <v/>
      </c>
      <c r="U929" s="7">
        <f>'1 datos preparados'!T922</f>
        <v/>
      </c>
      <c r="V929" s="8">
        <f>$AE$12+D929*$AE$13+E929*$AE$14+F929*$AE$15+G929*$AE$16+H929*$AE$17+I929*$AE$18+J929*$AE$19+K929*$AE$20+L929*$AE$21+M929*$AE$22+N929*$AE$23+O929*$AE$24+P929*$AE$25+Q929*$AE$26+R929*$AE$27+S929*$AE$28+T929*$AE$29+U929*$AE$30</f>
        <v/>
      </c>
      <c r="W929" s="8">
        <f>1/(1+EXP(-V929))</f>
        <v/>
      </c>
      <c r="X929" s="9">
        <f>-IF(C929=1,LN(W929),LN(1-W929))</f>
        <v/>
      </c>
      <c r="Y929" s="8">
        <f>IF(C929=1,$AE$32,$AE$33)</f>
        <v/>
      </c>
      <c r="Z929" s="9">
        <f>Y929*X929</f>
        <v/>
      </c>
      <c r="AA929" s="10">
        <f>IF(W929&gt;$AE$34,1,0)</f>
        <v/>
      </c>
      <c r="AB929">
        <f>IF(AA929=C929,1,0)</f>
        <v/>
      </c>
    </row>
    <row r="930">
      <c r="A930">
        <f>'1 datos preparados'!A923</f>
        <v/>
      </c>
      <c r="B930" s="5">
        <f>'1 datos preparados'!U923</f>
        <v/>
      </c>
      <c r="C930">
        <f>'1 datos preparados'!B923</f>
        <v/>
      </c>
      <c r="D930" s="7">
        <f>'1 datos preparados'!C923</f>
        <v/>
      </c>
      <c r="E930" s="7">
        <f>'1 datos preparados'!D923</f>
        <v/>
      </c>
      <c r="F930" s="7">
        <f>'1 datos preparados'!E923</f>
        <v/>
      </c>
      <c r="G930" s="7">
        <f>'1 datos preparados'!F923</f>
        <v/>
      </c>
      <c r="H930" s="7">
        <f>'1 datos preparados'!G923</f>
        <v/>
      </c>
      <c r="I930" s="7">
        <f>'1 datos preparados'!H923</f>
        <v/>
      </c>
      <c r="J930" s="7">
        <f>'1 datos preparados'!I923</f>
        <v/>
      </c>
      <c r="K930" s="7">
        <f>'1 datos preparados'!J923</f>
        <v/>
      </c>
      <c r="L930" s="7">
        <f>'1 datos preparados'!K923</f>
        <v/>
      </c>
      <c r="M930" s="7">
        <f>'1 datos preparados'!L923</f>
        <v/>
      </c>
      <c r="N930" s="7">
        <f>'1 datos preparados'!M923</f>
        <v/>
      </c>
      <c r="O930" s="7">
        <f>'1 datos preparados'!N923</f>
        <v/>
      </c>
      <c r="P930" s="7">
        <f>'1 datos preparados'!O923</f>
        <v/>
      </c>
      <c r="Q930" s="7">
        <f>'1 datos preparados'!P923</f>
        <v/>
      </c>
      <c r="R930" s="7">
        <f>'1 datos preparados'!Q923</f>
        <v/>
      </c>
      <c r="S930" s="7">
        <f>'1 datos preparados'!R923</f>
        <v/>
      </c>
      <c r="T930" s="7">
        <f>'1 datos preparados'!S923</f>
        <v/>
      </c>
      <c r="U930" s="7">
        <f>'1 datos preparados'!T923</f>
        <v/>
      </c>
      <c r="V930" s="8">
        <f>$AE$12+D930*$AE$13+E930*$AE$14+F930*$AE$15+G930*$AE$16+H930*$AE$17+I930*$AE$18+J930*$AE$19+K930*$AE$20+L930*$AE$21+M930*$AE$22+N930*$AE$23+O930*$AE$24+P930*$AE$25+Q930*$AE$26+R930*$AE$27+S930*$AE$28+T930*$AE$29+U930*$AE$30</f>
        <v/>
      </c>
      <c r="W930" s="8">
        <f>1/(1+EXP(-V930))</f>
        <v/>
      </c>
      <c r="X930" s="9">
        <f>-IF(C930=1,LN(W930),LN(1-W930))</f>
        <v/>
      </c>
      <c r="Y930" s="8">
        <f>IF(C930=1,$AE$32,$AE$33)</f>
        <v/>
      </c>
      <c r="Z930" s="9">
        <f>Y930*X930</f>
        <v/>
      </c>
      <c r="AA930" s="10">
        <f>IF(W930&gt;$AE$34,1,0)</f>
        <v/>
      </c>
      <c r="AB930">
        <f>IF(AA930=C930,1,0)</f>
        <v/>
      </c>
    </row>
    <row r="931">
      <c r="A931">
        <f>'1 datos preparados'!A924</f>
        <v/>
      </c>
      <c r="B931" s="5">
        <f>'1 datos preparados'!U924</f>
        <v/>
      </c>
      <c r="C931">
        <f>'1 datos preparados'!B924</f>
        <v/>
      </c>
      <c r="D931" s="7">
        <f>'1 datos preparados'!C924</f>
        <v/>
      </c>
      <c r="E931" s="7">
        <f>'1 datos preparados'!D924</f>
        <v/>
      </c>
      <c r="F931" s="7">
        <f>'1 datos preparados'!E924</f>
        <v/>
      </c>
      <c r="G931" s="7">
        <f>'1 datos preparados'!F924</f>
        <v/>
      </c>
      <c r="H931" s="7">
        <f>'1 datos preparados'!G924</f>
        <v/>
      </c>
      <c r="I931" s="7">
        <f>'1 datos preparados'!H924</f>
        <v/>
      </c>
      <c r="J931" s="7">
        <f>'1 datos preparados'!I924</f>
        <v/>
      </c>
      <c r="K931" s="7">
        <f>'1 datos preparados'!J924</f>
        <v/>
      </c>
      <c r="L931" s="7">
        <f>'1 datos preparados'!K924</f>
        <v/>
      </c>
      <c r="M931" s="7">
        <f>'1 datos preparados'!L924</f>
        <v/>
      </c>
      <c r="N931" s="7">
        <f>'1 datos preparados'!M924</f>
        <v/>
      </c>
      <c r="O931" s="7">
        <f>'1 datos preparados'!N924</f>
        <v/>
      </c>
      <c r="P931" s="7">
        <f>'1 datos preparados'!O924</f>
        <v/>
      </c>
      <c r="Q931" s="7">
        <f>'1 datos preparados'!P924</f>
        <v/>
      </c>
      <c r="R931" s="7">
        <f>'1 datos preparados'!Q924</f>
        <v/>
      </c>
      <c r="S931" s="7">
        <f>'1 datos preparados'!R924</f>
        <v/>
      </c>
      <c r="T931" s="7">
        <f>'1 datos preparados'!S924</f>
        <v/>
      </c>
      <c r="U931" s="7">
        <f>'1 datos preparados'!T924</f>
        <v/>
      </c>
      <c r="V931" s="8">
        <f>$AE$12+D931*$AE$13+E931*$AE$14+F931*$AE$15+G931*$AE$16+H931*$AE$17+I931*$AE$18+J931*$AE$19+K931*$AE$20+L931*$AE$21+M931*$AE$22+N931*$AE$23+O931*$AE$24+P931*$AE$25+Q931*$AE$26+R931*$AE$27+S931*$AE$28+T931*$AE$29+U931*$AE$30</f>
        <v/>
      </c>
      <c r="W931" s="8">
        <f>1/(1+EXP(-V931))</f>
        <v/>
      </c>
      <c r="X931" s="9">
        <f>-IF(C931=1,LN(W931),LN(1-W931))</f>
        <v/>
      </c>
      <c r="Y931" s="8">
        <f>IF(C931=1,$AE$32,$AE$33)</f>
        <v/>
      </c>
      <c r="Z931" s="9">
        <f>Y931*X931</f>
        <v/>
      </c>
      <c r="AA931" s="10">
        <f>IF(W931&gt;$AE$34,1,0)</f>
        <v/>
      </c>
      <c r="AB931">
        <f>IF(AA931=C931,1,0)</f>
        <v/>
      </c>
    </row>
    <row r="932">
      <c r="A932">
        <f>'1 datos preparados'!A925</f>
        <v/>
      </c>
      <c r="B932" s="5">
        <f>'1 datos preparados'!U925</f>
        <v/>
      </c>
      <c r="C932">
        <f>'1 datos preparados'!B925</f>
        <v/>
      </c>
      <c r="D932" s="7">
        <f>'1 datos preparados'!C925</f>
        <v/>
      </c>
      <c r="E932" s="7">
        <f>'1 datos preparados'!D925</f>
        <v/>
      </c>
      <c r="F932" s="7">
        <f>'1 datos preparados'!E925</f>
        <v/>
      </c>
      <c r="G932" s="7">
        <f>'1 datos preparados'!F925</f>
        <v/>
      </c>
      <c r="H932" s="7">
        <f>'1 datos preparados'!G925</f>
        <v/>
      </c>
      <c r="I932" s="7">
        <f>'1 datos preparados'!H925</f>
        <v/>
      </c>
      <c r="J932" s="7">
        <f>'1 datos preparados'!I925</f>
        <v/>
      </c>
      <c r="K932" s="7">
        <f>'1 datos preparados'!J925</f>
        <v/>
      </c>
      <c r="L932" s="7">
        <f>'1 datos preparados'!K925</f>
        <v/>
      </c>
      <c r="M932" s="7">
        <f>'1 datos preparados'!L925</f>
        <v/>
      </c>
      <c r="N932" s="7">
        <f>'1 datos preparados'!M925</f>
        <v/>
      </c>
      <c r="O932" s="7">
        <f>'1 datos preparados'!N925</f>
        <v/>
      </c>
      <c r="P932" s="7">
        <f>'1 datos preparados'!O925</f>
        <v/>
      </c>
      <c r="Q932" s="7">
        <f>'1 datos preparados'!P925</f>
        <v/>
      </c>
      <c r="R932" s="7">
        <f>'1 datos preparados'!Q925</f>
        <v/>
      </c>
      <c r="S932" s="7">
        <f>'1 datos preparados'!R925</f>
        <v/>
      </c>
      <c r="T932" s="7">
        <f>'1 datos preparados'!S925</f>
        <v/>
      </c>
      <c r="U932" s="7">
        <f>'1 datos preparados'!T925</f>
        <v/>
      </c>
      <c r="V932" s="8">
        <f>$AE$12+D932*$AE$13+E932*$AE$14+F932*$AE$15+G932*$AE$16+H932*$AE$17+I932*$AE$18+J932*$AE$19+K932*$AE$20+L932*$AE$21+M932*$AE$22+N932*$AE$23+O932*$AE$24+P932*$AE$25+Q932*$AE$26+R932*$AE$27+S932*$AE$28+T932*$AE$29+U932*$AE$30</f>
        <v/>
      </c>
      <c r="W932" s="8">
        <f>1/(1+EXP(-V932))</f>
        <v/>
      </c>
      <c r="X932" s="9">
        <f>-IF(C932=1,LN(W932),LN(1-W932))</f>
        <v/>
      </c>
      <c r="Y932" s="8">
        <f>IF(C932=1,$AE$32,$AE$33)</f>
        <v/>
      </c>
      <c r="Z932" s="9">
        <f>Y932*X932</f>
        <v/>
      </c>
      <c r="AA932" s="10">
        <f>IF(W932&gt;$AE$34,1,0)</f>
        <v/>
      </c>
      <c r="AB932">
        <f>IF(AA932=C932,1,0)</f>
        <v/>
      </c>
    </row>
    <row r="933">
      <c r="A933">
        <f>'1 datos preparados'!A926</f>
        <v/>
      </c>
      <c r="B933" s="5">
        <f>'1 datos preparados'!U926</f>
        <v/>
      </c>
      <c r="C933">
        <f>'1 datos preparados'!B926</f>
        <v/>
      </c>
      <c r="D933" s="7">
        <f>'1 datos preparados'!C926</f>
        <v/>
      </c>
      <c r="E933" s="7">
        <f>'1 datos preparados'!D926</f>
        <v/>
      </c>
      <c r="F933" s="7">
        <f>'1 datos preparados'!E926</f>
        <v/>
      </c>
      <c r="G933" s="7">
        <f>'1 datos preparados'!F926</f>
        <v/>
      </c>
      <c r="H933" s="7">
        <f>'1 datos preparados'!G926</f>
        <v/>
      </c>
      <c r="I933" s="7">
        <f>'1 datos preparados'!H926</f>
        <v/>
      </c>
      <c r="J933" s="7">
        <f>'1 datos preparados'!I926</f>
        <v/>
      </c>
      <c r="K933" s="7">
        <f>'1 datos preparados'!J926</f>
        <v/>
      </c>
      <c r="L933" s="7">
        <f>'1 datos preparados'!K926</f>
        <v/>
      </c>
      <c r="M933" s="7">
        <f>'1 datos preparados'!L926</f>
        <v/>
      </c>
      <c r="N933" s="7">
        <f>'1 datos preparados'!M926</f>
        <v/>
      </c>
      <c r="O933" s="7">
        <f>'1 datos preparados'!N926</f>
        <v/>
      </c>
      <c r="P933" s="7">
        <f>'1 datos preparados'!O926</f>
        <v/>
      </c>
      <c r="Q933" s="7">
        <f>'1 datos preparados'!P926</f>
        <v/>
      </c>
      <c r="R933" s="7">
        <f>'1 datos preparados'!Q926</f>
        <v/>
      </c>
      <c r="S933" s="7">
        <f>'1 datos preparados'!R926</f>
        <v/>
      </c>
      <c r="T933" s="7">
        <f>'1 datos preparados'!S926</f>
        <v/>
      </c>
      <c r="U933" s="7">
        <f>'1 datos preparados'!T926</f>
        <v/>
      </c>
      <c r="V933" s="8">
        <f>$AE$12+D933*$AE$13+E933*$AE$14+F933*$AE$15+G933*$AE$16+H933*$AE$17+I933*$AE$18+J933*$AE$19+K933*$AE$20+L933*$AE$21+M933*$AE$22+N933*$AE$23+O933*$AE$24+P933*$AE$25+Q933*$AE$26+R933*$AE$27+S933*$AE$28+T933*$AE$29+U933*$AE$30</f>
        <v/>
      </c>
      <c r="W933" s="8">
        <f>1/(1+EXP(-V933))</f>
        <v/>
      </c>
      <c r="X933" s="9">
        <f>-IF(C933=1,LN(W933),LN(1-W933))</f>
        <v/>
      </c>
      <c r="Y933" s="8">
        <f>IF(C933=1,$AE$32,$AE$33)</f>
        <v/>
      </c>
      <c r="Z933" s="9">
        <f>Y933*X933</f>
        <v/>
      </c>
      <c r="AA933" s="10">
        <f>IF(W933&gt;$AE$34,1,0)</f>
        <v/>
      </c>
      <c r="AB933">
        <f>IF(AA933=C933,1,0)</f>
        <v/>
      </c>
    </row>
    <row r="934">
      <c r="A934">
        <f>'1 datos preparados'!A927</f>
        <v/>
      </c>
      <c r="B934" s="5">
        <f>'1 datos preparados'!U927</f>
        <v/>
      </c>
      <c r="C934">
        <f>'1 datos preparados'!B927</f>
        <v/>
      </c>
      <c r="D934" s="7">
        <f>'1 datos preparados'!C927</f>
        <v/>
      </c>
      <c r="E934" s="7">
        <f>'1 datos preparados'!D927</f>
        <v/>
      </c>
      <c r="F934" s="7">
        <f>'1 datos preparados'!E927</f>
        <v/>
      </c>
      <c r="G934" s="7">
        <f>'1 datos preparados'!F927</f>
        <v/>
      </c>
      <c r="H934" s="7">
        <f>'1 datos preparados'!G927</f>
        <v/>
      </c>
      <c r="I934" s="7">
        <f>'1 datos preparados'!H927</f>
        <v/>
      </c>
      <c r="J934" s="7">
        <f>'1 datos preparados'!I927</f>
        <v/>
      </c>
      <c r="K934" s="7">
        <f>'1 datos preparados'!J927</f>
        <v/>
      </c>
      <c r="L934" s="7">
        <f>'1 datos preparados'!K927</f>
        <v/>
      </c>
      <c r="M934" s="7">
        <f>'1 datos preparados'!L927</f>
        <v/>
      </c>
      <c r="N934" s="7">
        <f>'1 datos preparados'!M927</f>
        <v/>
      </c>
      <c r="O934" s="7">
        <f>'1 datos preparados'!N927</f>
        <v/>
      </c>
      <c r="P934" s="7">
        <f>'1 datos preparados'!O927</f>
        <v/>
      </c>
      <c r="Q934" s="7">
        <f>'1 datos preparados'!P927</f>
        <v/>
      </c>
      <c r="R934" s="7">
        <f>'1 datos preparados'!Q927</f>
        <v/>
      </c>
      <c r="S934" s="7">
        <f>'1 datos preparados'!R927</f>
        <v/>
      </c>
      <c r="T934" s="7">
        <f>'1 datos preparados'!S927</f>
        <v/>
      </c>
      <c r="U934" s="7">
        <f>'1 datos preparados'!T927</f>
        <v/>
      </c>
      <c r="V934" s="8">
        <f>$AE$12+D934*$AE$13+E934*$AE$14+F934*$AE$15+G934*$AE$16+H934*$AE$17+I934*$AE$18+J934*$AE$19+K934*$AE$20+L934*$AE$21+M934*$AE$22+N934*$AE$23+O934*$AE$24+P934*$AE$25+Q934*$AE$26+R934*$AE$27+S934*$AE$28+T934*$AE$29+U934*$AE$30</f>
        <v/>
      </c>
      <c r="W934" s="8">
        <f>1/(1+EXP(-V934))</f>
        <v/>
      </c>
      <c r="X934" s="9">
        <f>-IF(C934=1,LN(W934),LN(1-W934))</f>
        <v/>
      </c>
      <c r="Y934" s="8">
        <f>IF(C934=1,$AE$32,$AE$33)</f>
        <v/>
      </c>
      <c r="Z934" s="9">
        <f>Y934*X934</f>
        <v/>
      </c>
      <c r="AA934" s="10">
        <f>IF(W934&gt;$AE$34,1,0)</f>
        <v/>
      </c>
      <c r="AB934">
        <f>IF(AA934=C934,1,0)</f>
        <v/>
      </c>
    </row>
    <row r="935">
      <c r="A935">
        <f>'1 datos preparados'!A928</f>
        <v/>
      </c>
      <c r="B935" s="5">
        <f>'1 datos preparados'!U928</f>
        <v/>
      </c>
      <c r="C935">
        <f>'1 datos preparados'!B928</f>
        <v/>
      </c>
      <c r="D935" s="7">
        <f>'1 datos preparados'!C928</f>
        <v/>
      </c>
      <c r="E935" s="7">
        <f>'1 datos preparados'!D928</f>
        <v/>
      </c>
      <c r="F935" s="7">
        <f>'1 datos preparados'!E928</f>
        <v/>
      </c>
      <c r="G935" s="7">
        <f>'1 datos preparados'!F928</f>
        <v/>
      </c>
      <c r="H935" s="7">
        <f>'1 datos preparados'!G928</f>
        <v/>
      </c>
      <c r="I935" s="7">
        <f>'1 datos preparados'!H928</f>
        <v/>
      </c>
      <c r="J935" s="7">
        <f>'1 datos preparados'!I928</f>
        <v/>
      </c>
      <c r="K935" s="7">
        <f>'1 datos preparados'!J928</f>
        <v/>
      </c>
      <c r="L935" s="7">
        <f>'1 datos preparados'!K928</f>
        <v/>
      </c>
      <c r="M935" s="7">
        <f>'1 datos preparados'!L928</f>
        <v/>
      </c>
      <c r="N935" s="7">
        <f>'1 datos preparados'!M928</f>
        <v/>
      </c>
      <c r="O935" s="7">
        <f>'1 datos preparados'!N928</f>
        <v/>
      </c>
      <c r="P935" s="7">
        <f>'1 datos preparados'!O928</f>
        <v/>
      </c>
      <c r="Q935" s="7">
        <f>'1 datos preparados'!P928</f>
        <v/>
      </c>
      <c r="R935" s="7">
        <f>'1 datos preparados'!Q928</f>
        <v/>
      </c>
      <c r="S935" s="7">
        <f>'1 datos preparados'!R928</f>
        <v/>
      </c>
      <c r="T935" s="7">
        <f>'1 datos preparados'!S928</f>
        <v/>
      </c>
      <c r="U935" s="7">
        <f>'1 datos preparados'!T928</f>
        <v/>
      </c>
      <c r="V935" s="8">
        <f>$AE$12+D935*$AE$13+E935*$AE$14+F935*$AE$15+G935*$AE$16+H935*$AE$17+I935*$AE$18+J935*$AE$19+K935*$AE$20+L935*$AE$21+M935*$AE$22+N935*$AE$23+O935*$AE$24+P935*$AE$25+Q935*$AE$26+R935*$AE$27+S935*$AE$28+T935*$AE$29+U935*$AE$30</f>
        <v/>
      </c>
      <c r="W935" s="8">
        <f>1/(1+EXP(-V935))</f>
        <v/>
      </c>
      <c r="X935" s="9">
        <f>-IF(C935=1,LN(W935),LN(1-W935))</f>
        <v/>
      </c>
      <c r="Y935" s="8">
        <f>IF(C935=1,$AE$32,$AE$33)</f>
        <v/>
      </c>
      <c r="Z935" s="9">
        <f>Y935*X935</f>
        <v/>
      </c>
      <c r="AA935" s="10">
        <f>IF(W935&gt;$AE$34,1,0)</f>
        <v/>
      </c>
      <c r="AB935">
        <f>IF(AA935=C935,1,0)</f>
        <v/>
      </c>
    </row>
    <row r="936">
      <c r="A936">
        <f>'1 datos preparados'!A929</f>
        <v/>
      </c>
      <c r="B936" s="5">
        <f>'1 datos preparados'!U929</f>
        <v/>
      </c>
      <c r="C936">
        <f>'1 datos preparados'!B929</f>
        <v/>
      </c>
      <c r="D936" s="7">
        <f>'1 datos preparados'!C929</f>
        <v/>
      </c>
      <c r="E936" s="7">
        <f>'1 datos preparados'!D929</f>
        <v/>
      </c>
      <c r="F936" s="7">
        <f>'1 datos preparados'!E929</f>
        <v/>
      </c>
      <c r="G936" s="7">
        <f>'1 datos preparados'!F929</f>
        <v/>
      </c>
      <c r="H936" s="7">
        <f>'1 datos preparados'!G929</f>
        <v/>
      </c>
      <c r="I936" s="7">
        <f>'1 datos preparados'!H929</f>
        <v/>
      </c>
      <c r="J936" s="7">
        <f>'1 datos preparados'!I929</f>
        <v/>
      </c>
      <c r="K936" s="7">
        <f>'1 datos preparados'!J929</f>
        <v/>
      </c>
      <c r="L936" s="7">
        <f>'1 datos preparados'!K929</f>
        <v/>
      </c>
      <c r="M936" s="7">
        <f>'1 datos preparados'!L929</f>
        <v/>
      </c>
      <c r="N936" s="7">
        <f>'1 datos preparados'!M929</f>
        <v/>
      </c>
      <c r="O936" s="7">
        <f>'1 datos preparados'!N929</f>
        <v/>
      </c>
      <c r="P936" s="7">
        <f>'1 datos preparados'!O929</f>
        <v/>
      </c>
      <c r="Q936" s="7">
        <f>'1 datos preparados'!P929</f>
        <v/>
      </c>
      <c r="R936" s="7">
        <f>'1 datos preparados'!Q929</f>
        <v/>
      </c>
      <c r="S936" s="7">
        <f>'1 datos preparados'!R929</f>
        <v/>
      </c>
      <c r="T936" s="7">
        <f>'1 datos preparados'!S929</f>
        <v/>
      </c>
      <c r="U936" s="7">
        <f>'1 datos preparados'!T929</f>
        <v/>
      </c>
      <c r="V936" s="8">
        <f>$AE$12+D936*$AE$13+E936*$AE$14+F936*$AE$15+G936*$AE$16+H936*$AE$17+I936*$AE$18+J936*$AE$19+K936*$AE$20+L936*$AE$21+M936*$AE$22+N936*$AE$23+O936*$AE$24+P936*$AE$25+Q936*$AE$26+R936*$AE$27+S936*$AE$28+T936*$AE$29+U936*$AE$30</f>
        <v/>
      </c>
      <c r="W936" s="8">
        <f>1/(1+EXP(-V936))</f>
        <v/>
      </c>
      <c r="X936" s="9">
        <f>-IF(C936=1,LN(W936),LN(1-W936))</f>
        <v/>
      </c>
      <c r="Y936" s="8">
        <f>IF(C936=1,$AE$32,$AE$33)</f>
        <v/>
      </c>
      <c r="Z936" s="9">
        <f>Y936*X936</f>
        <v/>
      </c>
      <c r="AA936" s="10">
        <f>IF(W936&gt;$AE$34,1,0)</f>
        <v/>
      </c>
      <c r="AB936">
        <f>IF(AA936=C936,1,0)</f>
        <v/>
      </c>
    </row>
    <row r="937">
      <c r="A937">
        <f>'1 datos preparados'!A930</f>
        <v/>
      </c>
      <c r="B937" s="5">
        <f>'1 datos preparados'!U930</f>
        <v/>
      </c>
      <c r="C937">
        <f>'1 datos preparados'!B930</f>
        <v/>
      </c>
      <c r="D937" s="7">
        <f>'1 datos preparados'!C930</f>
        <v/>
      </c>
      <c r="E937" s="7">
        <f>'1 datos preparados'!D930</f>
        <v/>
      </c>
      <c r="F937" s="7">
        <f>'1 datos preparados'!E930</f>
        <v/>
      </c>
      <c r="G937" s="7">
        <f>'1 datos preparados'!F930</f>
        <v/>
      </c>
      <c r="H937" s="7">
        <f>'1 datos preparados'!G930</f>
        <v/>
      </c>
      <c r="I937" s="7">
        <f>'1 datos preparados'!H930</f>
        <v/>
      </c>
      <c r="J937" s="7">
        <f>'1 datos preparados'!I930</f>
        <v/>
      </c>
      <c r="K937" s="7">
        <f>'1 datos preparados'!J930</f>
        <v/>
      </c>
      <c r="L937" s="7">
        <f>'1 datos preparados'!K930</f>
        <v/>
      </c>
      <c r="M937" s="7">
        <f>'1 datos preparados'!L930</f>
        <v/>
      </c>
      <c r="N937" s="7">
        <f>'1 datos preparados'!M930</f>
        <v/>
      </c>
      <c r="O937" s="7">
        <f>'1 datos preparados'!N930</f>
        <v/>
      </c>
      <c r="P937" s="7">
        <f>'1 datos preparados'!O930</f>
        <v/>
      </c>
      <c r="Q937" s="7">
        <f>'1 datos preparados'!P930</f>
        <v/>
      </c>
      <c r="R937" s="7">
        <f>'1 datos preparados'!Q930</f>
        <v/>
      </c>
      <c r="S937" s="7">
        <f>'1 datos preparados'!R930</f>
        <v/>
      </c>
      <c r="T937" s="7">
        <f>'1 datos preparados'!S930</f>
        <v/>
      </c>
      <c r="U937" s="7">
        <f>'1 datos preparados'!T930</f>
        <v/>
      </c>
      <c r="V937" s="8">
        <f>$AE$12+D937*$AE$13+E937*$AE$14+F937*$AE$15+G937*$AE$16+H937*$AE$17+I937*$AE$18+J937*$AE$19+K937*$AE$20+L937*$AE$21+M937*$AE$22+N937*$AE$23+O937*$AE$24+P937*$AE$25+Q937*$AE$26+R937*$AE$27+S937*$AE$28+T937*$AE$29+U937*$AE$30</f>
        <v/>
      </c>
      <c r="W937" s="8">
        <f>1/(1+EXP(-V937))</f>
        <v/>
      </c>
      <c r="X937" s="9">
        <f>-IF(C937=1,LN(W937),LN(1-W937))</f>
        <v/>
      </c>
      <c r="Y937" s="8">
        <f>IF(C937=1,$AE$32,$AE$33)</f>
        <v/>
      </c>
      <c r="Z937" s="9">
        <f>Y937*X937</f>
        <v/>
      </c>
      <c r="AA937" s="10">
        <f>IF(W937&gt;$AE$34,1,0)</f>
        <v/>
      </c>
      <c r="AB937">
        <f>IF(AA937=C937,1,0)</f>
        <v/>
      </c>
    </row>
    <row r="938">
      <c r="A938">
        <f>'1 datos preparados'!A931</f>
        <v/>
      </c>
      <c r="B938" s="5">
        <f>'1 datos preparados'!U931</f>
        <v/>
      </c>
      <c r="C938">
        <f>'1 datos preparados'!B931</f>
        <v/>
      </c>
      <c r="D938" s="7">
        <f>'1 datos preparados'!C931</f>
        <v/>
      </c>
      <c r="E938" s="7">
        <f>'1 datos preparados'!D931</f>
        <v/>
      </c>
      <c r="F938" s="7">
        <f>'1 datos preparados'!E931</f>
        <v/>
      </c>
      <c r="G938" s="7">
        <f>'1 datos preparados'!F931</f>
        <v/>
      </c>
      <c r="H938" s="7">
        <f>'1 datos preparados'!G931</f>
        <v/>
      </c>
      <c r="I938" s="7">
        <f>'1 datos preparados'!H931</f>
        <v/>
      </c>
      <c r="J938" s="7">
        <f>'1 datos preparados'!I931</f>
        <v/>
      </c>
      <c r="K938" s="7">
        <f>'1 datos preparados'!J931</f>
        <v/>
      </c>
      <c r="L938" s="7">
        <f>'1 datos preparados'!K931</f>
        <v/>
      </c>
      <c r="M938" s="7">
        <f>'1 datos preparados'!L931</f>
        <v/>
      </c>
      <c r="N938" s="7">
        <f>'1 datos preparados'!M931</f>
        <v/>
      </c>
      <c r="O938" s="7">
        <f>'1 datos preparados'!N931</f>
        <v/>
      </c>
      <c r="P938" s="7">
        <f>'1 datos preparados'!O931</f>
        <v/>
      </c>
      <c r="Q938" s="7">
        <f>'1 datos preparados'!P931</f>
        <v/>
      </c>
      <c r="R938" s="7">
        <f>'1 datos preparados'!Q931</f>
        <v/>
      </c>
      <c r="S938" s="7">
        <f>'1 datos preparados'!R931</f>
        <v/>
      </c>
      <c r="T938" s="7">
        <f>'1 datos preparados'!S931</f>
        <v/>
      </c>
      <c r="U938" s="7">
        <f>'1 datos preparados'!T931</f>
        <v/>
      </c>
      <c r="V938" s="8">
        <f>$AE$12+D938*$AE$13+E938*$AE$14+F938*$AE$15+G938*$AE$16+H938*$AE$17+I938*$AE$18+J938*$AE$19+K938*$AE$20+L938*$AE$21+M938*$AE$22+N938*$AE$23+O938*$AE$24+P938*$AE$25+Q938*$AE$26+R938*$AE$27+S938*$AE$28+T938*$AE$29+U938*$AE$30</f>
        <v/>
      </c>
      <c r="W938" s="8">
        <f>1/(1+EXP(-V938))</f>
        <v/>
      </c>
      <c r="X938" s="9">
        <f>-IF(C938=1,LN(W938),LN(1-W938))</f>
        <v/>
      </c>
      <c r="Y938" s="8">
        <f>IF(C938=1,$AE$32,$AE$33)</f>
        <v/>
      </c>
      <c r="Z938" s="9">
        <f>Y938*X938</f>
        <v/>
      </c>
      <c r="AA938" s="10">
        <f>IF(W938&gt;$AE$34,1,0)</f>
        <v/>
      </c>
      <c r="AB938">
        <f>IF(AA938=C938,1,0)</f>
        <v/>
      </c>
    </row>
    <row r="939">
      <c r="A939">
        <f>'1 datos preparados'!A932</f>
        <v/>
      </c>
      <c r="B939" s="5">
        <f>'1 datos preparados'!U932</f>
        <v/>
      </c>
      <c r="C939">
        <f>'1 datos preparados'!B932</f>
        <v/>
      </c>
      <c r="D939" s="7">
        <f>'1 datos preparados'!C932</f>
        <v/>
      </c>
      <c r="E939" s="7">
        <f>'1 datos preparados'!D932</f>
        <v/>
      </c>
      <c r="F939" s="7">
        <f>'1 datos preparados'!E932</f>
        <v/>
      </c>
      <c r="G939" s="7">
        <f>'1 datos preparados'!F932</f>
        <v/>
      </c>
      <c r="H939" s="7">
        <f>'1 datos preparados'!G932</f>
        <v/>
      </c>
      <c r="I939" s="7">
        <f>'1 datos preparados'!H932</f>
        <v/>
      </c>
      <c r="J939" s="7">
        <f>'1 datos preparados'!I932</f>
        <v/>
      </c>
      <c r="K939" s="7">
        <f>'1 datos preparados'!J932</f>
        <v/>
      </c>
      <c r="L939" s="7">
        <f>'1 datos preparados'!K932</f>
        <v/>
      </c>
      <c r="M939" s="7">
        <f>'1 datos preparados'!L932</f>
        <v/>
      </c>
      <c r="N939" s="7">
        <f>'1 datos preparados'!M932</f>
        <v/>
      </c>
      <c r="O939" s="7">
        <f>'1 datos preparados'!N932</f>
        <v/>
      </c>
      <c r="P939" s="7">
        <f>'1 datos preparados'!O932</f>
        <v/>
      </c>
      <c r="Q939" s="7">
        <f>'1 datos preparados'!P932</f>
        <v/>
      </c>
      <c r="R939" s="7">
        <f>'1 datos preparados'!Q932</f>
        <v/>
      </c>
      <c r="S939" s="7">
        <f>'1 datos preparados'!R932</f>
        <v/>
      </c>
      <c r="T939" s="7">
        <f>'1 datos preparados'!S932</f>
        <v/>
      </c>
      <c r="U939" s="7">
        <f>'1 datos preparados'!T932</f>
        <v/>
      </c>
      <c r="V939" s="8">
        <f>$AE$12+D939*$AE$13+E939*$AE$14+F939*$AE$15+G939*$AE$16+H939*$AE$17+I939*$AE$18+J939*$AE$19+K939*$AE$20+L939*$AE$21+M939*$AE$22+N939*$AE$23+O939*$AE$24+P939*$AE$25+Q939*$AE$26+R939*$AE$27+S939*$AE$28+T939*$AE$29+U939*$AE$30</f>
        <v/>
      </c>
      <c r="W939" s="8">
        <f>1/(1+EXP(-V939))</f>
        <v/>
      </c>
      <c r="X939" s="9">
        <f>-IF(C939=1,LN(W939),LN(1-W939))</f>
        <v/>
      </c>
      <c r="Y939" s="8">
        <f>IF(C939=1,$AE$32,$AE$33)</f>
        <v/>
      </c>
      <c r="Z939" s="9">
        <f>Y939*X939</f>
        <v/>
      </c>
      <c r="AA939" s="10">
        <f>IF(W939&gt;$AE$34,1,0)</f>
        <v/>
      </c>
      <c r="AB939">
        <f>IF(AA939=C939,1,0)</f>
        <v/>
      </c>
    </row>
    <row r="940">
      <c r="A940">
        <f>'1 datos preparados'!A933</f>
        <v/>
      </c>
      <c r="B940" s="5">
        <f>'1 datos preparados'!U933</f>
        <v/>
      </c>
      <c r="C940">
        <f>'1 datos preparados'!B933</f>
        <v/>
      </c>
      <c r="D940" s="7">
        <f>'1 datos preparados'!C933</f>
        <v/>
      </c>
      <c r="E940" s="7">
        <f>'1 datos preparados'!D933</f>
        <v/>
      </c>
      <c r="F940" s="7">
        <f>'1 datos preparados'!E933</f>
        <v/>
      </c>
      <c r="G940" s="7">
        <f>'1 datos preparados'!F933</f>
        <v/>
      </c>
      <c r="H940" s="7">
        <f>'1 datos preparados'!G933</f>
        <v/>
      </c>
      <c r="I940" s="7">
        <f>'1 datos preparados'!H933</f>
        <v/>
      </c>
      <c r="J940" s="7">
        <f>'1 datos preparados'!I933</f>
        <v/>
      </c>
      <c r="K940" s="7">
        <f>'1 datos preparados'!J933</f>
        <v/>
      </c>
      <c r="L940" s="7">
        <f>'1 datos preparados'!K933</f>
        <v/>
      </c>
      <c r="M940" s="7">
        <f>'1 datos preparados'!L933</f>
        <v/>
      </c>
      <c r="N940" s="7">
        <f>'1 datos preparados'!M933</f>
        <v/>
      </c>
      <c r="O940" s="7">
        <f>'1 datos preparados'!N933</f>
        <v/>
      </c>
      <c r="P940" s="7">
        <f>'1 datos preparados'!O933</f>
        <v/>
      </c>
      <c r="Q940" s="7">
        <f>'1 datos preparados'!P933</f>
        <v/>
      </c>
      <c r="R940" s="7">
        <f>'1 datos preparados'!Q933</f>
        <v/>
      </c>
      <c r="S940" s="7">
        <f>'1 datos preparados'!R933</f>
        <v/>
      </c>
      <c r="T940" s="7">
        <f>'1 datos preparados'!S933</f>
        <v/>
      </c>
      <c r="U940" s="7">
        <f>'1 datos preparados'!T933</f>
        <v/>
      </c>
      <c r="V940" s="8">
        <f>$AE$12+D940*$AE$13+E940*$AE$14+F940*$AE$15+G940*$AE$16+H940*$AE$17+I940*$AE$18+J940*$AE$19+K940*$AE$20+L940*$AE$21+M940*$AE$22+N940*$AE$23+O940*$AE$24+P940*$AE$25+Q940*$AE$26+R940*$AE$27+S940*$AE$28+T940*$AE$29+U940*$AE$30</f>
        <v/>
      </c>
      <c r="W940" s="8">
        <f>1/(1+EXP(-V940))</f>
        <v/>
      </c>
      <c r="X940" s="9">
        <f>-IF(C940=1,LN(W940),LN(1-W940))</f>
        <v/>
      </c>
      <c r="Y940" s="8">
        <f>IF(C940=1,$AE$32,$AE$33)</f>
        <v/>
      </c>
      <c r="Z940" s="9">
        <f>Y940*X940</f>
        <v/>
      </c>
      <c r="AA940" s="10">
        <f>IF(W940&gt;$AE$34,1,0)</f>
        <v/>
      </c>
      <c r="AB940">
        <f>IF(AA940=C940,1,0)</f>
        <v/>
      </c>
    </row>
    <row r="941">
      <c r="A941">
        <f>'1 datos preparados'!A934</f>
        <v/>
      </c>
      <c r="B941" s="5">
        <f>'1 datos preparados'!U934</f>
        <v/>
      </c>
      <c r="C941">
        <f>'1 datos preparados'!B934</f>
        <v/>
      </c>
      <c r="D941" s="7">
        <f>'1 datos preparados'!C934</f>
        <v/>
      </c>
      <c r="E941" s="7">
        <f>'1 datos preparados'!D934</f>
        <v/>
      </c>
      <c r="F941" s="7">
        <f>'1 datos preparados'!E934</f>
        <v/>
      </c>
      <c r="G941" s="7">
        <f>'1 datos preparados'!F934</f>
        <v/>
      </c>
      <c r="H941" s="7">
        <f>'1 datos preparados'!G934</f>
        <v/>
      </c>
      <c r="I941" s="7">
        <f>'1 datos preparados'!H934</f>
        <v/>
      </c>
      <c r="J941" s="7">
        <f>'1 datos preparados'!I934</f>
        <v/>
      </c>
      <c r="K941" s="7">
        <f>'1 datos preparados'!J934</f>
        <v/>
      </c>
      <c r="L941" s="7">
        <f>'1 datos preparados'!K934</f>
        <v/>
      </c>
      <c r="M941" s="7">
        <f>'1 datos preparados'!L934</f>
        <v/>
      </c>
      <c r="N941" s="7">
        <f>'1 datos preparados'!M934</f>
        <v/>
      </c>
      <c r="O941" s="7">
        <f>'1 datos preparados'!N934</f>
        <v/>
      </c>
      <c r="P941" s="7">
        <f>'1 datos preparados'!O934</f>
        <v/>
      </c>
      <c r="Q941" s="7">
        <f>'1 datos preparados'!P934</f>
        <v/>
      </c>
      <c r="R941" s="7">
        <f>'1 datos preparados'!Q934</f>
        <v/>
      </c>
      <c r="S941" s="7">
        <f>'1 datos preparados'!R934</f>
        <v/>
      </c>
      <c r="T941" s="7">
        <f>'1 datos preparados'!S934</f>
        <v/>
      </c>
      <c r="U941" s="7">
        <f>'1 datos preparados'!T934</f>
        <v/>
      </c>
      <c r="V941" s="8">
        <f>$AE$12+D941*$AE$13+E941*$AE$14+F941*$AE$15+G941*$AE$16+H941*$AE$17+I941*$AE$18+J941*$AE$19+K941*$AE$20+L941*$AE$21+M941*$AE$22+N941*$AE$23+O941*$AE$24+P941*$AE$25+Q941*$AE$26+R941*$AE$27+S941*$AE$28+T941*$AE$29+U941*$AE$30</f>
        <v/>
      </c>
      <c r="W941" s="8">
        <f>1/(1+EXP(-V941))</f>
        <v/>
      </c>
      <c r="X941" s="9">
        <f>-IF(C941=1,LN(W941),LN(1-W941))</f>
        <v/>
      </c>
      <c r="Y941" s="8">
        <f>IF(C941=1,$AE$32,$AE$33)</f>
        <v/>
      </c>
      <c r="Z941" s="9">
        <f>Y941*X941</f>
        <v/>
      </c>
      <c r="AA941" s="10">
        <f>IF(W941&gt;$AE$34,1,0)</f>
        <v/>
      </c>
      <c r="AB941">
        <f>IF(AA941=C941,1,0)</f>
        <v/>
      </c>
    </row>
    <row r="942">
      <c r="A942">
        <f>'1 datos preparados'!A935</f>
        <v/>
      </c>
      <c r="B942" s="5">
        <f>'1 datos preparados'!U935</f>
        <v/>
      </c>
      <c r="C942">
        <f>'1 datos preparados'!B935</f>
        <v/>
      </c>
      <c r="D942" s="7">
        <f>'1 datos preparados'!C935</f>
        <v/>
      </c>
      <c r="E942" s="7">
        <f>'1 datos preparados'!D935</f>
        <v/>
      </c>
      <c r="F942" s="7">
        <f>'1 datos preparados'!E935</f>
        <v/>
      </c>
      <c r="G942" s="7">
        <f>'1 datos preparados'!F935</f>
        <v/>
      </c>
      <c r="H942" s="7">
        <f>'1 datos preparados'!G935</f>
        <v/>
      </c>
      <c r="I942" s="7">
        <f>'1 datos preparados'!H935</f>
        <v/>
      </c>
      <c r="J942" s="7">
        <f>'1 datos preparados'!I935</f>
        <v/>
      </c>
      <c r="K942" s="7">
        <f>'1 datos preparados'!J935</f>
        <v/>
      </c>
      <c r="L942" s="7">
        <f>'1 datos preparados'!K935</f>
        <v/>
      </c>
      <c r="M942" s="7">
        <f>'1 datos preparados'!L935</f>
        <v/>
      </c>
      <c r="N942" s="7">
        <f>'1 datos preparados'!M935</f>
        <v/>
      </c>
      <c r="O942" s="7">
        <f>'1 datos preparados'!N935</f>
        <v/>
      </c>
      <c r="P942" s="7">
        <f>'1 datos preparados'!O935</f>
        <v/>
      </c>
      <c r="Q942" s="7">
        <f>'1 datos preparados'!P935</f>
        <v/>
      </c>
      <c r="R942" s="7">
        <f>'1 datos preparados'!Q935</f>
        <v/>
      </c>
      <c r="S942" s="7">
        <f>'1 datos preparados'!R935</f>
        <v/>
      </c>
      <c r="T942" s="7">
        <f>'1 datos preparados'!S935</f>
        <v/>
      </c>
      <c r="U942" s="7">
        <f>'1 datos preparados'!T935</f>
        <v/>
      </c>
      <c r="V942" s="8">
        <f>$AE$12+D942*$AE$13+E942*$AE$14+F942*$AE$15+G942*$AE$16+H942*$AE$17+I942*$AE$18+J942*$AE$19+K942*$AE$20+L942*$AE$21+M942*$AE$22+N942*$AE$23+O942*$AE$24+P942*$AE$25+Q942*$AE$26+R942*$AE$27+S942*$AE$28+T942*$AE$29+U942*$AE$30</f>
        <v/>
      </c>
      <c r="W942" s="8">
        <f>1/(1+EXP(-V942))</f>
        <v/>
      </c>
      <c r="X942" s="9">
        <f>-IF(C942=1,LN(W942),LN(1-W942))</f>
        <v/>
      </c>
      <c r="Y942" s="8">
        <f>IF(C942=1,$AE$32,$AE$33)</f>
        <v/>
      </c>
      <c r="Z942" s="9">
        <f>Y942*X942</f>
        <v/>
      </c>
      <c r="AA942" s="10">
        <f>IF(W942&gt;$AE$34,1,0)</f>
        <v/>
      </c>
      <c r="AB942">
        <f>IF(AA942=C942,1,0)</f>
        <v/>
      </c>
    </row>
    <row r="943">
      <c r="A943">
        <f>'1 datos preparados'!A936</f>
        <v/>
      </c>
      <c r="B943" s="5">
        <f>'1 datos preparados'!U936</f>
        <v/>
      </c>
      <c r="C943">
        <f>'1 datos preparados'!B936</f>
        <v/>
      </c>
      <c r="D943" s="7">
        <f>'1 datos preparados'!C936</f>
        <v/>
      </c>
      <c r="E943" s="7">
        <f>'1 datos preparados'!D936</f>
        <v/>
      </c>
      <c r="F943" s="7">
        <f>'1 datos preparados'!E936</f>
        <v/>
      </c>
      <c r="G943" s="7">
        <f>'1 datos preparados'!F936</f>
        <v/>
      </c>
      <c r="H943" s="7">
        <f>'1 datos preparados'!G936</f>
        <v/>
      </c>
      <c r="I943" s="7">
        <f>'1 datos preparados'!H936</f>
        <v/>
      </c>
      <c r="J943" s="7">
        <f>'1 datos preparados'!I936</f>
        <v/>
      </c>
      <c r="K943" s="7">
        <f>'1 datos preparados'!J936</f>
        <v/>
      </c>
      <c r="L943" s="7">
        <f>'1 datos preparados'!K936</f>
        <v/>
      </c>
      <c r="M943" s="7">
        <f>'1 datos preparados'!L936</f>
        <v/>
      </c>
      <c r="N943" s="7">
        <f>'1 datos preparados'!M936</f>
        <v/>
      </c>
      <c r="O943" s="7">
        <f>'1 datos preparados'!N936</f>
        <v/>
      </c>
      <c r="P943" s="7">
        <f>'1 datos preparados'!O936</f>
        <v/>
      </c>
      <c r="Q943" s="7">
        <f>'1 datos preparados'!P936</f>
        <v/>
      </c>
      <c r="R943" s="7">
        <f>'1 datos preparados'!Q936</f>
        <v/>
      </c>
      <c r="S943" s="7">
        <f>'1 datos preparados'!R936</f>
        <v/>
      </c>
      <c r="T943" s="7">
        <f>'1 datos preparados'!S936</f>
        <v/>
      </c>
      <c r="U943" s="7">
        <f>'1 datos preparados'!T936</f>
        <v/>
      </c>
      <c r="V943" s="8">
        <f>$AE$12+D943*$AE$13+E943*$AE$14+F943*$AE$15+G943*$AE$16+H943*$AE$17+I943*$AE$18+J943*$AE$19+K943*$AE$20+L943*$AE$21+M943*$AE$22+N943*$AE$23+O943*$AE$24+P943*$AE$25+Q943*$AE$26+R943*$AE$27+S943*$AE$28+T943*$AE$29+U943*$AE$30</f>
        <v/>
      </c>
      <c r="W943" s="8">
        <f>1/(1+EXP(-V943))</f>
        <v/>
      </c>
      <c r="X943" s="9">
        <f>-IF(C943=1,LN(W943),LN(1-W943))</f>
        <v/>
      </c>
      <c r="Y943" s="8">
        <f>IF(C943=1,$AE$32,$AE$33)</f>
        <v/>
      </c>
      <c r="Z943" s="9">
        <f>Y943*X943</f>
        <v/>
      </c>
      <c r="AA943" s="10">
        <f>IF(W943&gt;$AE$34,1,0)</f>
        <v/>
      </c>
      <c r="AB943">
        <f>IF(AA943=C943,1,0)</f>
        <v/>
      </c>
    </row>
    <row r="944">
      <c r="A944">
        <f>'1 datos preparados'!A937</f>
        <v/>
      </c>
      <c r="B944" s="5">
        <f>'1 datos preparados'!U937</f>
        <v/>
      </c>
      <c r="C944">
        <f>'1 datos preparados'!B937</f>
        <v/>
      </c>
      <c r="D944" s="7">
        <f>'1 datos preparados'!C937</f>
        <v/>
      </c>
      <c r="E944" s="7">
        <f>'1 datos preparados'!D937</f>
        <v/>
      </c>
      <c r="F944" s="7">
        <f>'1 datos preparados'!E937</f>
        <v/>
      </c>
      <c r="G944" s="7">
        <f>'1 datos preparados'!F937</f>
        <v/>
      </c>
      <c r="H944" s="7">
        <f>'1 datos preparados'!G937</f>
        <v/>
      </c>
      <c r="I944" s="7">
        <f>'1 datos preparados'!H937</f>
        <v/>
      </c>
      <c r="J944" s="7">
        <f>'1 datos preparados'!I937</f>
        <v/>
      </c>
      <c r="K944" s="7">
        <f>'1 datos preparados'!J937</f>
        <v/>
      </c>
      <c r="L944" s="7">
        <f>'1 datos preparados'!K937</f>
        <v/>
      </c>
      <c r="M944" s="7">
        <f>'1 datos preparados'!L937</f>
        <v/>
      </c>
      <c r="N944" s="7">
        <f>'1 datos preparados'!M937</f>
        <v/>
      </c>
      <c r="O944" s="7">
        <f>'1 datos preparados'!N937</f>
        <v/>
      </c>
      <c r="P944" s="7">
        <f>'1 datos preparados'!O937</f>
        <v/>
      </c>
      <c r="Q944" s="7">
        <f>'1 datos preparados'!P937</f>
        <v/>
      </c>
      <c r="R944" s="7">
        <f>'1 datos preparados'!Q937</f>
        <v/>
      </c>
      <c r="S944" s="7">
        <f>'1 datos preparados'!R937</f>
        <v/>
      </c>
      <c r="T944" s="7">
        <f>'1 datos preparados'!S937</f>
        <v/>
      </c>
      <c r="U944" s="7">
        <f>'1 datos preparados'!T937</f>
        <v/>
      </c>
      <c r="V944" s="8">
        <f>$AE$12+D944*$AE$13+E944*$AE$14+F944*$AE$15+G944*$AE$16+H944*$AE$17+I944*$AE$18+J944*$AE$19+K944*$AE$20+L944*$AE$21+M944*$AE$22+N944*$AE$23+O944*$AE$24+P944*$AE$25+Q944*$AE$26+R944*$AE$27+S944*$AE$28+T944*$AE$29+U944*$AE$30</f>
        <v/>
      </c>
      <c r="W944" s="8">
        <f>1/(1+EXP(-V944))</f>
        <v/>
      </c>
      <c r="X944" s="9">
        <f>-IF(C944=1,LN(W944),LN(1-W944))</f>
        <v/>
      </c>
      <c r="Y944" s="8">
        <f>IF(C944=1,$AE$32,$AE$33)</f>
        <v/>
      </c>
      <c r="Z944" s="9">
        <f>Y944*X944</f>
        <v/>
      </c>
      <c r="AA944" s="10">
        <f>IF(W944&gt;$AE$34,1,0)</f>
        <v/>
      </c>
      <c r="AB944">
        <f>IF(AA944=C944,1,0)</f>
        <v/>
      </c>
    </row>
    <row r="945">
      <c r="A945">
        <f>'1 datos preparados'!A938</f>
        <v/>
      </c>
      <c r="B945" s="5">
        <f>'1 datos preparados'!U938</f>
        <v/>
      </c>
      <c r="C945">
        <f>'1 datos preparados'!B938</f>
        <v/>
      </c>
      <c r="D945" s="7">
        <f>'1 datos preparados'!C938</f>
        <v/>
      </c>
      <c r="E945" s="7">
        <f>'1 datos preparados'!D938</f>
        <v/>
      </c>
      <c r="F945" s="7">
        <f>'1 datos preparados'!E938</f>
        <v/>
      </c>
      <c r="G945" s="7">
        <f>'1 datos preparados'!F938</f>
        <v/>
      </c>
      <c r="H945" s="7">
        <f>'1 datos preparados'!G938</f>
        <v/>
      </c>
      <c r="I945" s="7">
        <f>'1 datos preparados'!H938</f>
        <v/>
      </c>
      <c r="J945" s="7">
        <f>'1 datos preparados'!I938</f>
        <v/>
      </c>
      <c r="K945" s="7">
        <f>'1 datos preparados'!J938</f>
        <v/>
      </c>
      <c r="L945" s="7">
        <f>'1 datos preparados'!K938</f>
        <v/>
      </c>
      <c r="M945" s="7">
        <f>'1 datos preparados'!L938</f>
        <v/>
      </c>
      <c r="N945" s="7">
        <f>'1 datos preparados'!M938</f>
        <v/>
      </c>
      <c r="O945" s="7">
        <f>'1 datos preparados'!N938</f>
        <v/>
      </c>
      <c r="P945" s="7">
        <f>'1 datos preparados'!O938</f>
        <v/>
      </c>
      <c r="Q945" s="7">
        <f>'1 datos preparados'!P938</f>
        <v/>
      </c>
      <c r="R945" s="7">
        <f>'1 datos preparados'!Q938</f>
        <v/>
      </c>
      <c r="S945" s="7">
        <f>'1 datos preparados'!R938</f>
        <v/>
      </c>
      <c r="T945" s="7">
        <f>'1 datos preparados'!S938</f>
        <v/>
      </c>
      <c r="U945" s="7">
        <f>'1 datos preparados'!T938</f>
        <v/>
      </c>
      <c r="V945" s="8">
        <f>$AE$12+D945*$AE$13+E945*$AE$14+F945*$AE$15+G945*$AE$16+H945*$AE$17+I945*$AE$18+J945*$AE$19+K945*$AE$20+L945*$AE$21+M945*$AE$22+N945*$AE$23+O945*$AE$24+P945*$AE$25+Q945*$AE$26+R945*$AE$27+S945*$AE$28+T945*$AE$29+U945*$AE$30</f>
        <v/>
      </c>
      <c r="W945" s="8">
        <f>1/(1+EXP(-V945))</f>
        <v/>
      </c>
      <c r="X945" s="9">
        <f>-IF(C945=1,LN(W945),LN(1-W945))</f>
        <v/>
      </c>
      <c r="Y945" s="8">
        <f>IF(C945=1,$AE$32,$AE$33)</f>
        <v/>
      </c>
      <c r="Z945" s="9">
        <f>Y945*X945</f>
        <v/>
      </c>
      <c r="AA945" s="10">
        <f>IF(W945&gt;$AE$34,1,0)</f>
        <v/>
      </c>
      <c r="AB945">
        <f>IF(AA945=C945,1,0)</f>
        <v/>
      </c>
    </row>
    <row r="946">
      <c r="A946">
        <f>'1 datos preparados'!A939</f>
        <v/>
      </c>
      <c r="B946" s="5">
        <f>'1 datos preparados'!U939</f>
        <v/>
      </c>
      <c r="C946">
        <f>'1 datos preparados'!B939</f>
        <v/>
      </c>
      <c r="D946" s="7">
        <f>'1 datos preparados'!C939</f>
        <v/>
      </c>
      <c r="E946" s="7">
        <f>'1 datos preparados'!D939</f>
        <v/>
      </c>
      <c r="F946" s="7">
        <f>'1 datos preparados'!E939</f>
        <v/>
      </c>
      <c r="G946" s="7">
        <f>'1 datos preparados'!F939</f>
        <v/>
      </c>
      <c r="H946" s="7">
        <f>'1 datos preparados'!G939</f>
        <v/>
      </c>
      <c r="I946" s="7">
        <f>'1 datos preparados'!H939</f>
        <v/>
      </c>
      <c r="J946" s="7">
        <f>'1 datos preparados'!I939</f>
        <v/>
      </c>
      <c r="K946" s="7">
        <f>'1 datos preparados'!J939</f>
        <v/>
      </c>
      <c r="L946" s="7">
        <f>'1 datos preparados'!K939</f>
        <v/>
      </c>
      <c r="M946" s="7">
        <f>'1 datos preparados'!L939</f>
        <v/>
      </c>
      <c r="N946" s="7">
        <f>'1 datos preparados'!M939</f>
        <v/>
      </c>
      <c r="O946" s="7">
        <f>'1 datos preparados'!N939</f>
        <v/>
      </c>
      <c r="P946" s="7">
        <f>'1 datos preparados'!O939</f>
        <v/>
      </c>
      <c r="Q946" s="7">
        <f>'1 datos preparados'!P939</f>
        <v/>
      </c>
      <c r="R946" s="7">
        <f>'1 datos preparados'!Q939</f>
        <v/>
      </c>
      <c r="S946" s="7">
        <f>'1 datos preparados'!R939</f>
        <v/>
      </c>
      <c r="T946" s="7">
        <f>'1 datos preparados'!S939</f>
        <v/>
      </c>
      <c r="U946" s="7">
        <f>'1 datos preparados'!T939</f>
        <v/>
      </c>
      <c r="V946" s="8">
        <f>$AE$12+D946*$AE$13+E946*$AE$14+F946*$AE$15+G946*$AE$16+H946*$AE$17+I946*$AE$18+J946*$AE$19+K946*$AE$20+L946*$AE$21+M946*$AE$22+N946*$AE$23+O946*$AE$24+P946*$AE$25+Q946*$AE$26+R946*$AE$27+S946*$AE$28+T946*$AE$29+U946*$AE$30</f>
        <v/>
      </c>
      <c r="W946" s="8">
        <f>1/(1+EXP(-V946))</f>
        <v/>
      </c>
      <c r="X946" s="9">
        <f>-IF(C946=1,LN(W946),LN(1-W946))</f>
        <v/>
      </c>
      <c r="Y946" s="8">
        <f>IF(C946=1,$AE$32,$AE$33)</f>
        <v/>
      </c>
      <c r="Z946" s="9">
        <f>Y946*X946</f>
        <v/>
      </c>
      <c r="AA946" s="10">
        <f>IF(W946&gt;$AE$34,1,0)</f>
        <v/>
      </c>
      <c r="AB946">
        <f>IF(AA946=C946,1,0)</f>
        <v/>
      </c>
    </row>
    <row r="947">
      <c r="A947">
        <f>'1 datos preparados'!A940</f>
        <v/>
      </c>
      <c r="B947" s="5">
        <f>'1 datos preparados'!U940</f>
        <v/>
      </c>
      <c r="C947">
        <f>'1 datos preparados'!B940</f>
        <v/>
      </c>
      <c r="D947" s="7">
        <f>'1 datos preparados'!C940</f>
        <v/>
      </c>
      <c r="E947" s="7">
        <f>'1 datos preparados'!D940</f>
        <v/>
      </c>
      <c r="F947" s="7">
        <f>'1 datos preparados'!E940</f>
        <v/>
      </c>
      <c r="G947" s="7">
        <f>'1 datos preparados'!F940</f>
        <v/>
      </c>
      <c r="H947" s="7">
        <f>'1 datos preparados'!G940</f>
        <v/>
      </c>
      <c r="I947" s="7">
        <f>'1 datos preparados'!H940</f>
        <v/>
      </c>
      <c r="J947" s="7">
        <f>'1 datos preparados'!I940</f>
        <v/>
      </c>
      <c r="K947" s="7">
        <f>'1 datos preparados'!J940</f>
        <v/>
      </c>
      <c r="L947" s="7">
        <f>'1 datos preparados'!K940</f>
        <v/>
      </c>
      <c r="M947" s="7">
        <f>'1 datos preparados'!L940</f>
        <v/>
      </c>
      <c r="N947" s="7">
        <f>'1 datos preparados'!M940</f>
        <v/>
      </c>
      <c r="O947" s="7">
        <f>'1 datos preparados'!N940</f>
        <v/>
      </c>
      <c r="P947" s="7">
        <f>'1 datos preparados'!O940</f>
        <v/>
      </c>
      <c r="Q947" s="7">
        <f>'1 datos preparados'!P940</f>
        <v/>
      </c>
      <c r="R947" s="7">
        <f>'1 datos preparados'!Q940</f>
        <v/>
      </c>
      <c r="S947" s="7">
        <f>'1 datos preparados'!R940</f>
        <v/>
      </c>
      <c r="T947" s="7">
        <f>'1 datos preparados'!S940</f>
        <v/>
      </c>
      <c r="U947" s="7">
        <f>'1 datos preparados'!T940</f>
        <v/>
      </c>
      <c r="V947" s="8">
        <f>$AE$12+D947*$AE$13+E947*$AE$14+F947*$AE$15+G947*$AE$16+H947*$AE$17+I947*$AE$18+J947*$AE$19+K947*$AE$20+L947*$AE$21+M947*$AE$22+N947*$AE$23+O947*$AE$24+P947*$AE$25+Q947*$AE$26+R947*$AE$27+S947*$AE$28+T947*$AE$29+U947*$AE$30</f>
        <v/>
      </c>
      <c r="W947" s="8">
        <f>1/(1+EXP(-V947))</f>
        <v/>
      </c>
      <c r="X947" s="9">
        <f>-IF(C947=1,LN(W947),LN(1-W947))</f>
        <v/>
      </c>
      <c r="Y947" s="8">
        <f>IF(C947=1,$AE$32,$AE$33)</f>
        <v/>
      </c>
      <c r="Z947" s="9">
        <f>Y947*X947</f>
        <v/>
      </c>
      <c r="AA947" s="10">
        <f>IF(W947&gt;$AE$34,1,0)</f>
        <v/>
      </c>
      <c r="AB947">
        <f>IF(AA947=C947,1,0)</f>
        <v/>
      </c>
    </row>
    <row r="948">
      <c r="A948">
        <f>'1 datos preparados'!A941</f>
        <v/>
      </c>
      <c r="B948" s="5">
        <f>'1 datos preparados'!U941</f>
        <v/>
      </c>
      <c r="C948">
        <f>'1 datos preparados'!B941</f>
        <v/>
      </c>
      <c r="D948" s="7">
        <f>'1 datos preparados'!C941</f>
        <v/>
      </c>
      <c r="E948" s="7">
        <f>'1 datos preparados'!D941</f>
        <v/>
      </c>
      <c r="F948" s="7">
        <f>'1 datos preparados'!E941</f>
        <v/>
      </c>
      <c r="G948" s="7">
        <f>'1 datos preparados'!F941</f>
        <v/>
      </c>
      <c r="H948" s="7">
        <f>'1 datos preparados'!G941</f>
        <v/>
      </c>
      <c r="I948" s="7">
        <f>'1 datos preparados'!H941</f>
        <v/>
      </c>
      <c r="J948" s="7">
        <f>'1 datos preparados'!I941</f>
        <v/>
      </c>
      <c r="K948" s="7">
        <f>'1 datos preparados'!J941</f>
        <v/>
      </c>
      <c r="L948" s="7">
        <f>'1 datos preparados'!K941</f>
        <v/>
      </c>
      <c r="M948" s="7">
        <f>'1 datos preparados'!L941</f>
        <v/>
      </c>
      <c r="N948" s="7">
        <f>'1 datos preparados'!M941</f>
        <v/>
      </c>
      <c r="O948" s="7">
        <f>'1 datos preparados'!N941</f>
        <v/>
      </c>
      <c r="P948" s="7">
        <f>'1 datos preparados'!O941</f>
        <v/>
      </c>
      <c r="Q948" s="7">
        <f>'1 datos preparados'!P941</f>
        <v/>
      </c>
      <c r="R948" s="7">
        <f>'1 datos preparados'!Q941</f>
        <v/>
      </c>
      <c r="S948" s="7">
        <f>'1 datos preparados'!R941</f>
        <v/>
      </c>
      <c r="T948" s="7">
        <f>'1 datos preparados'!S941</f>
        <v/>
      </c>
      <c r="U948" s="7">
        <f>'1 datos preparados'!T941</f>
        <v/>
      </c>
      <c r="V948" s="8">
        <f>$AE$12+D948*$AE$13+E948*$AE$14+F948*$AE$15+G948*$AE$16+H948*$AE$17+I948*$AE$18+J948*$AE$19+K948*$AE$20+L948*$AE$21+M948*$AE$22+N948*$AE$23+O948*$AE$24+P948*$AE$25+Q948*$AE$26+R948*$AE$27+S948*$AE$28+T948*$AE$29+U948*$AE$30</f>
        <v/>
      </c>
      <c r="W948" s="8">
        <f>1/(1+EXP(-V948))</f>
        <v/>
      </c>
      <c r="X948" s="9">
        <f>-IF(C948=1,LN(W948),LN(1-W948))</f>
        <v/>
      </c>
      <c r="Y948" s="8">
        <f>IF(C948=1,$AE$32,$AE$33)</f>
        <v/>
      </c>
      <c r="Z948" s="9">
        <f>Y948*X948</f>
        <v/>
      </c>
      <c r="AA948" s="10">
        <f>IF(W948&gt;$AE$34,1,0)</f>
        <v/>
      </c>
      <c r="AB948">
        <f>IF(AA948=C948,1,0)</f>
        <v/>
      </c>
    </row>
    <row r="949">
      <c r="A949">
        <f>'1 datos preparados'!A942</f>
        <v/>
      </c>
      <c r="B949" s="5">
        <f>'1 datos preparados'!U942</f>
        <v/>
      </c>
      <c r="C949">
        <f>'1 datos preparados'!B942</f>
        <v/>
      </c>
      <c r="D949" s="7">
        <f>'1 datos preparados'!C942</f>
        <v/>
      </c>
      <c r="E949" s="7">
        <f>'1 datos preparados'!D942</f>
        <v/>
      </c>
      <c r="F949" s="7">
        <f>'1 datos preparados'!E942</f>
        <v/>
      </c>
      <c r="G949" s="7">
        <f>'1 datos preparados'!F942</f>
        <v/>
      </c>
      <c r="H949" s="7">
        <f>'1 datos preparados'!G942</f>
        <v/>
      </c>
      <c r="I949" s="7">
        <f>'1 datos preparados'!H942</f>
        <v/>
      </c>
      <c r="J949" s="7">
        <f>'1 datos preparados'!I942</f>
        <v/>
      </c>
      <c r="K949" s="7">
        <f>'1 datos preparados'!J942</f>
        <v/>
      </c>
      <c r="L949" s="7">
        <f>'1 datos preparados'!K942</f>
        <v/>
      </c>
      <c r="M949" s="7">
        <f>'1 datos preparados'!L942</f>
        <v/>
      </c>
      <c r="N949" s="7">
        <f>'1 datos preparados'!M942</f>
        <v/>
      </c>
      <c r="O949" s="7">
        <f>'1 datos preparados'!N942</f>
        <v/>
      </c>
      <c r="P949" s="7">
        <f>'1 datos preparados'!O942</f>
        <v/>
      </c>
      <c r="Q949" s="7">
        <f>'1 datos preparados'!P942</f>
        <v/>
      </c>
      <c r="R949" s="7">
        <f>'1 datos preparados'!Q942</f>
        <v/>
      </c>
      <c r="S949" s="7">
        <f>'1 datos preparados'!R942</f>
        <v/>
      </c>
      <c r="T949" s="7">
        <f>'1 datos preparados'!S942</f>
        <v/>
      </c>
      <c r="U949" s="7">
        <f>'1 datos preparados'!T942</f>
        <v/>
      </c>
      <c r="V949" s="8">
        <f>$AE$12+D949*$AE$13+E949*$AE$14+F949*$AE$15+G949*$AE$16+H949*$AE$17+I949*$AE$18+J949*$AE$19+K949*$AE$20+L949*$AE$21+M949*$AE$22+N949*$AE$23+O949*$AE$24+P949*$AE$25+Q949*$AE$26+R949*$AE$27+S949*$AE$28+T949*$AE$29+U949*$AE$30</f>
        <v/>
      </c>
      <c r="W949" s="8">
        <f>1/(1+EXP(-V949))</f>
        <v/>
      </c>
      <c r="X949" s="9">
        <f>-IF(C949=1,LN(W949),LN(1-W949))</f>
        <v/>
      </c>
      <c r="Y949" s="8">
        <f>IF(C949=1,$AE$32,$AE$33)</f>
        <v/>
      </c>
      <c r="Z949" s="9">
        <f>Y949*X949</f>
        <v/>
      </c>
      <c r="AA949" s="10">
        <f>IF(W949&gt;$AE$34,1,0)</f>
        <v/>
      </c>
      <c r="AB949">
        <f>IF(AA949=C949,1,0)</f>
        <v/>
      </c>
    </row>
    <row r="950">
      <c r="A950">
        <f>'1 datos preparados'!A943</f>
        <v/>
      </c>
      <c r="B950" s="5">
        <f>'1 datos preparados'!U943</f>
        <v/>
      </c>
      <c r="C950">
        <f>'1 datos preparados'!B943</f>
        <v/>
      </c>
      <c r="D950" s="7">
        <f>'1 datos preparados'!C943</f>
        <v/>
      </c>
      <c r="E950" s="7">
        <f>'1 datos preparados'!D943</f>
        <v/>
      </c>
      <c r="F950" s="7">
        <f>'1 datos preparados'!E943</f>
        <v/>
      </c>
      <c r="G950" s="7">
        <f>'1 datos preparados'!F943</f>
        <v/>
      </c>
      <c r="H950" s="7">
        <f>'1 datos preparados'!G943</f>
        <v/>
      </c>
      <c r="I950" s="7">
        <f>'1 datos preparados'!H943</f>
        <v/>
      </c>
      <c r="J950" s="7">
        <f>'1 datos preparados'!I943</f>
        <v/>
      </c>
      <c r="K950" s="7">
        <f>'1 datos preparados'!J943</f>
        <v/>
      </c>
      <c r="L950" s="7">
        <f>'1 datos preparados'!K943</f>
        <v/>
      </c>
      <c r="M950" s="7">
        <f>'1 datos preparados'!L943</f>
        <v/>
      </c>
      <c r="N950" s="7">
        <f>'1 datos preparados'!M943</f>
        <v/>
      </c>
      <c r="O950" s="7">
        <f>'1 datos preparados'!N943</f>
        <v/>
      </c>
      <c r="P950" s="7">
        <f>'1 datos preparados'!O943</f>
        <v/>
      </c>
      <c r="Q950" s="7">
        <f>'1 datos preparados'!P943</f>
        <v/>
      </c>
      <c r="R950" s="7">
        <f>'1 datos preparados'!Q943</f>
        <v/>
      </c>
      <c r="S950" s="7">
        <f>'1 datos preparados'!R943</f>
        <v/>
      </c>
      <c r="T950" s="7">
        <f>'1 datos preparados'!S943</f>
        <v/>
      </c>
      <c r="U950" s="7">
        <f>'1 datos preparados'!T943</f>
        <v/>
      </c>
      <c r="V950" s="8">
        <f>$AE$12+D950*$AE$13+E950*$AE$14+F950*$AE$15+G950*$AE$16+H950*$AE$17+I950*$AE$18+J950*$AE$19+K950*$AE$20+L950*$AE$21+M950*$AE$22+N950*$AE$23+O950*$AE$24+P950*$AE$25+Q950*$AE$26+R950*$AE$27+S950*$AE$28+T950*$AE$29+U950*$AE$30</f>
        <v/>
      </c>
      <c r="W950" s="8">
        <f>1/(1+EXP(-V950))</f>
        <v/>
      </c>
      <c r="X950" s="9">
        <f>-IF(C950=1,LN(W950),LN(1-W950))</f>
        <v/>
      </c>
      <c r="Y950" s="8">
        <f>IF(C950=1,$AE$32,$AE$33)</f>
        <v/>
      </c>
      <c r="Z950" s="9">
        <f>Y950*X950</f>
        <v/>
      </c>
      <c r="AA950" s="10">
        <f>IF(W950&gt;$AE$34,1,0)</f>
        <v/>
      </c>
      <c r="AB950">
        <f>IF(AA950=C950,1,0)</f>
        <v/>
      </c>
    </row>
    <row r="951">
      <c r="A951">
        <f>'1 datos preparados'!A944</f>
        <v/>
      </c>
      <c r="B951" s="5">
        <f>'1 datos preparados'!U944</f>
        <v/>
      </c>
      <c r="C951">
        <f>'1 datos preparados'!B944</f>
        <v/>
      </c>
      <c r="D951" s="7">
        <f>'1 datos preparados'!C944</f>
        <v/>
      </c>
      <c r="E951" s="7">
        <f>'1 datos preparados'!D944</f>
        <v/>
      </c>
      <c r="F951" s="7">
        <f>'1 datos preparados'!E944</f>
        <v/>
      </c>
      <c r="G951" s="7">
        <f>'1 datos preparados'!F944</f>
        <v/>
      </c>
      <c r="H951" s="7">
        <f>'1 datos preparados'!G944</f>
        <v/>
      </c>
      <c r="I951" s="7">
        <f>'1 datos preparados'!H944</f>
        <v/>
      </c>
      <c r="J951" s="7">
        <f>'1 datos preparados'!I944</f>
        <v/>
      </c>
      <c r="K951" s="7">
        <f>'1 datos preparados'!J944</f>
        <v/>
      </c>
      <c r="L951" s="7">
        <f>'1 datos preparados'!K944</f>
        <v/>
      </c>
      <c r="M951" s="7">
        <f>'1 datos preparados'!L944</f>
        <v/>
      </c>
      <c r="N951" s="7">
        <f>'1 datos preparados'!M944</f>
        <v/>
      </c>
      <c r="O951" s="7">
        <f>'1 datos preparados'!N944</f>
        <v/>
      </c>
      <c r="P951" s="7">
        <f>'1 datos preparados'!O944</f>
        <v/>
      </c>
      <c r="Q951" s="7">
        <f>'1 datos preparados'!P944</f>
        <v/>
      </c>
      <c r="R951" s="7">
        <f>'1 datos preparados'!Q944</f>
        <v/>
      </c>
      <c r="S951" s="7">
        <f>'1 datos preparados'!R944</f>
        <v/>
      </c>
      <c r="T951" s="7">
        <f>'1 datos preparados'!S944</f>
        <v/>
      </c>
      <c r="U951" s="7">
        <f>'1 datos preparados'!T944</f>
        <v/>
      </c>
      <c r="V951" s="8">
        <f>$AE$12+D951*$AE$13+E951*$AE$14+F951*$AE$15+G951*$AE$16+H951*$AE$17+I951*$AE$18+J951*$AE$19+K951*$AE$20+L951*$AE$21+M951*$AE$22+N951*$AE$23+O951*$AE$24+P951*$AE$25+Q951*$AE$26+R951*$AE$27+S951*$AE$28+T951*$AE$29+U951*$AE$30</f>
        <v/>
      </c>
      <c r="W951" s="8">
        <f>1/(1+EXP(-V951))</f>
        <v/>
      </c>
      <c r="X951" s="9">
        <f>-IF(C951=1,LN(W951),LN(1-W951))</f>
        <v/>
      </c>
      <c r="Y951" s="8">
        <f>IF(C951=1,$AE$32,$AE$33)</f>
        <v/>
      </c>
      <c r="Z951" s="9">
        <f>Y951*X951</f>
        <v/>
      </c>
      <c r="AA951" s="10">
        <f>IF(W951&gt;$AE$34,1,0)</f>
        <v/>
      </c>
      <c r="AB951">
        <f>IF(AA951=C951,1,0)</f>
        <v/>
      </c>
    </row>
    <row r="952">
      <c r="A952">
        <f>'1 datos preparados'!A945</f>
        <v/>
      </c>
      <c r="B952" s="5">
        <f>'1 datos preparados'!U945</f>
        <v/>
      </c>
      <c r="C952">
        <f>'1 datos preparados'!B945</f>
        <v/>
      </c>
      <c r="D952" s="7">
        <f>'1 datos preparados'!C945</f>
        <v/>
      </c>
      <c r="E952" s="7">
        <f>'1 datos preparados'!D945</f>
        <v/>
      </c>
      <c r="F952" s="7">
        <f>'1 datos preparados'!E945</f>
        <v/>
      </c>
      <c r="G952" s="7">
        <f>'1 datos preparados'!F945</f>
        <v/>
      </c>
      <c r="H952" s="7">
        <f>'1 datos preparados'!G945</f>
        <v/>
      </c>
      <c r="I952" s="7">
        <f>'1 datos preparados'!H945</f>
        <v/>
      </c>
      <c r="J952" s="7">
        <f>'1 datos preparados'!I945</f>
        <v/>
      </c>
      <c r="K952" s="7">
        <f>'1 datos preparados'!J945</f>
        <v/>
      </c>
      <c r="L952" s="7">
        <f>'1 datos preparados'!K945</f>
        <v/>
      </c>
      <c r="M952" s="7">
        <f>'1 datos preparados'!L945</f>
        <v/>
      </c>
      <c r="N952" s="7">
        <f>'1 datos preparados'!M945</f>
        <v/>
      </c>
      <c r="O952" s="7">
        <f>'1 datos preparados'!N945</f>
        <v/>
      </c>
      <c r="P952" s="7">
        <f>'1 datos preparados'!O945</f>
        <v/>
      </c>
      <c r="Q952" s="7">
        <f>'1 datos preparados'!P945</f>
        <v/>
      </c>
      <c r="R952" s="7">
        <f>'1 datos preparados'!Q945</f>
        <v/>
      </c>
      <c r="S952" s="7">
        <f>'1 datos preparados'!R945</f>
        <v/>
      </c>
      <c r="T952" s="7">
        <f>'1 datos preparados'!S945</f>
        <v/>
      </c>
      <c r="U952" s="7">
        <f>'1 datos preparados'!T945</f>
        <v/>
      </c>
      <c r="V952" s="8">
        <f>$AE$12+D952*$AE$13+E952*$AE$14+F952*$AE$15+G952*$AE$16+H952*$AE$17+I952*$AE$18+J952*$AE$19+K952*$AE$20+L952*$AE$21+M952*$AE$22+N952*$AE$23+O952*$AE$24+P952*$AE$25+Q952*$AE$26+R952*$AE$27+S952*$AE$28+T952*$AE$29+U952*$AE$30</f>
        <v/>
      </c>
      <c r="W952" s="8">
        <f>1/(1+EXP(-V952))</f>
        <v/>
      </c>
      <c r="X952" s="9">
        <f>-IF(C952=1,LN(W952),LN(1-W952))</f>
        <v/>
      </c>
      <c r="Y952" s="8">
        <f>IF(C952=1,$AE$32,$AE$33)</f>
        <v/>
      </c>
      <c r="Z952" s="9">
        <f>Y952*X952</f>
        <v/>
      </c>
      <c r="AA952" s="10">
        <f>IF(W952&gt;$AE$34,1,0)</f>
        <v/>
      </c>
      <c r="AB952">
        <f>IF(AA952=C952,1,0)</f>
        <v/>
      </c>
    </row>
    <row r="953">
      <c r="A953">
        <f>'1 datos preparados'!A946</f>
        <v/>
      </c>
      <c r="B953" s="5">
        <f>'1 datos preparados'!U946</f>
        <v/>
      </c>
      <c r="C953">
        <f>'1 datos preparados'!B946</f>
        <v/>
      </c>
      <c r="D953" s="7">
        <f>'1 datos preparados'!C946</f>
        <v/>
      </c>
      <c r="E953" s="7">
        <f>'1 datos preparados'!D946</f>
        <v/>
      </c>
      <c r="F953" s="7">
        <f>'1 datos preparados'!E946</f>
        <v/>
      </c>
      <c r="G953" s="7">
        <f>'1 datos preparados'!F946</f>
        <v/>
      </c>
      <c r="H953" s="7">
        <f>'1 datos preparados'!G946</f>
        <v/>
      </c>
      <c r="I953" s="7">
        <f>'1 datos preparados'!H946</f>
        <v/>
      </c>
      <c r="J953" s="7">
        <f>'1 datos preparados'!I946</f>
        <v/>
      </c>
      <c r="K953" s="7">
        <f>'1 datos preparados'!J946</f>
        <v/>
      </c>
      <c r="L953" s="7">
        <f>'1 datos preparados'!K946</f>
        <v/>
      </c>
      <c r="M953" s="7">
        <f>'1 datos preparados'!L946</f>
        <v/>
      </c>
      <c r="N953" s="7">
        <f>'1 datos preparados'!M946</f>
        <v/>
      </c>
      <c r="O953" s="7">
        <f>'1 datos preparados'!N946</f>
        <v/>
      </c>
      <c r="P953" s="7">
        <f>'1 datos preparados'!O946</f>
        <v/>
      </c>
      <c r="Q953" s="7">
        <f>'1 datos preparados'!P946</f>
        <v/>
      </c>
      <c r="R953" s="7">
        <f>'1 datos preparados'!Q946</f>
        <v/>
      </c>
      <c r="S953" s="7">
        <f>'1 datos preparados'!R946</f>
        <v/>
      </c>
      <c r="T953" s="7">
        <f>'1 datos preparados'!S946</f>
        <v/>
      </c>
      <c r="U953" s="7">
        <f>'1 datos preparados'!T946</f>
        <v/>
      </c>
      <c r="V953" s="8">
        <f>$AE$12+D953*$AE$13+E953*$AE$14+F953*$AE$15+G953*$AE$16+H953*$AE$17+I953*$AE$18+J953*$AE$19+K953*$AE$20+L953*$AE$21+M953*$AE$22+N953*$AE$23+O953*$AE$24+P953*$AE$25+Q953*$AE$26+R953*$AE$27+S953*$AE$28+T953*$AE$29+U953*$AE$30</f>
        <v/>
      </c>
      <c r="W953" s="8">
        <f>1/(1+EXP(-V953))</f>
        <v/>
      </c>
      <c r="X953" s="9">
        <f>-IF(C953=1,LN(W953),LN(1-W953))</f>
        <v/>
      </c>
      <c r="Y953" s="8">
        <f>IF(C953=1,$AE$32,$AE$33)</f>
        <v/>
      </c>
      <c r="Z953" s="9">
        <f>Y953*X953</f>
        <v/>
      </c>
      <c r="AA953" s="10">
        <f>IF(W953&gt;$AE$34,1,0)</f>
        <v/>
      </c>
      <c r="AB953">
        <f>IF(AA953=C953,1,0)</f>
        <v/>
      </c>
    </row>
    <row r="954">
      <c r="A954">
        <f>'1 datos preparados'!A947</f>
        <v/>
      </c>
      <c r="B954" s="5">
        <f>'1 datos preparados'!U947</f>
        <v/>
      </c>
      <c r="C954">
        <f>'1 datos preparados'!B947</f>
        <v/>
      </c>
      <c r="D954" s="7">
        <f>'1 datos preparados'!C947</f>
        <v/>
      </c>
      <c r="E954" s="7">
        <f>'1 datos preparados'!D947</f>
        <v/>
      </c>
      <c r="F954" s="7">
        <f>'1 datos preparados'!E947</f>
        <v/>
      </c>
      <c r="G954" s="7">
        <f>'1 datos preparados'!F947</f>
        <v/>
      </c>
      <c r="H954" s="7">
        <f>'1 datos preparados'!G947</f>
        <v/>
      </c>
      <c r="I954" s="7">
        <f>'1 datos preparados'!H947</f>
        <v/>
      </c>
      <c r="J954" s="7">
        <f>'1 datos preparados'!I947</f>
        <v/>
      </c>
      <c r="K954" s="7">
        <f>'1 datos preparados'!J947</f>
        <v/>
      </c>
      <c r="L954" s="7">
        <f>'1 datos preparados'!K947</f>
        <v/>
      </c>
      <c r="M954" s="7">
        <f>'1 datos preparados'!L947</f>
        <v/>
      </c>
      <c r="N954" s="7">
        <f>'1 datos preparados'!M947</f>
        <v/>
      </c>
      <c r="O954" s="7">
        <f>'1 datos preparados'!N947</f>
        <v/>
      </c>
      <c r="P954" s="7">
        <f>'1 datos preparados'!O947</f>
        <v/>
      </c>
      <c r="Q954" s="7">
        <f>'1 datos preparados'!P947</f>
        <v/>
      </c>
      <c r="R954" s="7">
        <f>'1 datos preparados'!Q947</f>
        <v/>
      </c>
      <c r="S954" s="7">
        <f>'1 datos preparados'!R947</f>
        <v/>
      </c>
      <c r="T954" s="7">
        <f>'1 datos preparados'!S947</f>
        <v/>
      </c>
      <c r="U954" s="7">
        <f>'1 datos preparados'!T947</f>
        <v/>
      </c>
      <c r="V954" s="8">
        <f>$AE$12+D954*$AE$13+E954*$AE$14+F954*$AE$15+G954*$AE$16+H954*$AE$17+I954*$AE$18+J954*$AE$19+K954*$AE$20+L954*$AE$21+M954*$AE$22+N954*$AE$23+O954*$AE$24+P954*$AE$25+Q954*$AE$26+R954*$AE$27+S954*$AE$28+T954*$AE$29+U954*$AE$30</f>
        <v/>
      </c>
      <c r="W954" s="8">
        <f>1/(1+EXP(-V954))</f>
        <v/>
      </c>
      <c r="X954" s="9">
        <f>-IF(C954=1,LN(W954),LN(1-W954))</f>
        <v/>
      </c>
      <c r="Y954" s="8">
        <f>IF(C954=1,$AE$32,$AE$33)</f>
        <v/>
      </c>
      <c r="Z954" s="9">
        <f>Y954*X954</f>
        <v/>
      </c>
      <c r="AA954" s="10">
        <f>IF(W954&gt;$AE$34,1,0)</f>
        <v/>
      </c>
      <c r="AB954">
        <f>IF(AA954=C954,1,0)</f>
        <v/>
      </c>
    </row>
    <row r="955">
      <c r="A955">
        <f>'1 datos preparados'!A948</f>
        <v/>
      </c>
      <c r="B955" s="5">
        <f>'1 datos preparados'!U948</f>
        <v/>
      </c>
      <c r="C955">
        <f>'1 datos preparados'!B948</f>
        <v/>
      </c>
      <c r="D955" s="7">
        <f>'1 datos preparados'!C948</f>
        <v/>
      </c>
      <c r="E955" s="7">
        <f>'1 datos preparados'!D948</f>
        <v/>
      </c>
      <c r="F955" s="7">
        <f>'1 datos preparados'!E948</f>
        <v/>
      </c>
      <c r="G955" s="7">
        <f>'1 datos preparados'!F948</f>
        <v/>
      </c>
      <c r="H955" s="7">
        <f>'1 datos preparados'!G948</f>
        <v/>
      </c>
      <c r="I955" s="7">
        <f>'1 datos preparados'!H948</f>
        <v/>
      </c>
      <c r="J955" s="7">
        <f>'1 datos preparados'!I948</f>
        <v/>
      </c>
      <c r="K955" s="7">
        <f>'1 datos preparados'!J948</f>
        <v/>
      </c>
      <c r="L955" s="7">
        <f>'1 datos preparados'!K948</f>
        <v/>
      </c>
      <c r="M955" s="7">
        <f>'1 datos preparados'!L948</f>
        <v/>
      </c>
      <c r="N955" s="7">
        <f>'1 datos preparados'!M948</f>
        <v/>
      </c>
      <c r="O955" s="7">
        <f>'1 datos preparados'!N948</f>
        <v/>
      </c>
      <c r="P955" s="7">
        <f>'1 datos preparados'!O948</f>
        <v/>
      </c>
      <c r="Q955" s="7">
        <f>'1 datos preparados'!P948</f>
        <v/>
      </c>
      <c r="R955" s="7">
        <f>'1 datos preparados'!Q948</f>
        <v/>
      </c>
      <c r="S955" s="7">
        <f>'1 datos preparados'!R948</f>
        <v/>
      </c>
      <c r="T955" s="7">
        <f>'1 datos preparados'!S948</f>
        <v/>
      </c>
      <c r="U955" s="7">
        <f>'1 datos preparados'!T948</f>
        <v/>
      </c>
      <c r="V955" s="8">
        <f>$AE$12+D955*$AE$13+E955*$AE$14+F955*$AE$15+G955*$AE$16+H955*$AE$17+I955*$AE$18+J955*$AE$19+K955*$AE$20+L955*$AE$21+M955*$AE$22+N955*$AE$23+O955*$AE$24+P955*$AE$25+Q955*$AE$26+R955*$AE$27+S955*$AE$28+T955*$AE$29+U955*$AE$30</f>
        <v/>
      </c>
      <c r="W955" s="8">
        <f>1/(1+EXP(-V955))</f>
        <v/>
      </c>
      <c r="X955" s="9">
        <f>-IF(C955=1,LN(W955),LN(1-W955))</f>
        <v/>
      </c>
      <c r="Y955" s="8">
        <f>IF(C955=1,$AE$32,$AE$33)</f>
        <v/>
      </c>
      <c r="Z955" s="9">
        <f>Y955*X955</f>
        <v/>
      </c>
      <c r="AA955" s="10">
        <f>IF(W955&gt;$AE$34,1,0)</f>
        <v/>
      </c>
      <c r="AB955">
        <f>IF(AA955=C955,1,0)</f>
        <v/>
      </c>
    </row>
    <row r="956">
      <c r="A956">
        <f>'1 datos preparados'!A949</f>
        <v/>
      </c>
      <c r="B956" s="5">
        <f>'1 datos preparados'!U949</f>
        <v/>
      </c>
      <c r="C956">
        <f>'1 datos preparados'!B949</f>
        <v/>
      </c>
      <c r="D956" s="7">
        <f>'1 datos preparados'!C949</f>
        <v/>
      </c>
      <c r="E956" s="7">
        <f>'1 datos preparados'!D949</f>
        <v/>
      </c>
      <c r="F956" s="7">
        <f>'1 datos preparados'!E949</f>
        <v/>
      </c>
      <c r="G956" s="7">
        <f>'1 datos preparados'!F949</f>
        <v/>
      </c>
      <c r="H956" s="7">
        <f>'1 datos preparados'!G949</f>
        <v/>
      </c>
      <c r="I956" s="7">
        <f>'1 datos preparados'!H949</f>
        <v/>
      </c>
      <c r="J956" s="7">
        <f>'1 datos preparados'!I949</f>
        <v/>
      </c>
      <c r="K956" s="7">
        <f>'1 datos preparados'!J949</f>
        <v/>
      </c>
      <c r="L956" s="7">
        <f>'1 datos preparados'!K949</f>
        <v/>
      </c>
      <c r="M956" s="7">
        <f>'1 datos preparados'!L949</f>
        <v/>
      </c>
      <c r="N956" s="7">
        <f>'1 datos preparados'!M949</f>
        <v/>
      </c>
      <c r="O956" s="7">
        <f>'1 datos preparados'!N949</f>
        <v/>
      </c>
      <c r="P956" s="7">
        <f>'1 datos preparados'!O949</f>
        <v/>
      </c>
      <c r="Q956" s="7">
        <f>'1 datos preparados'!P949</f>
        <v/>
      </c>
      <c r="R956" s="7">
        <f>'1 datos preparados'!Q949</f>
        <v/>
      </c>
      <c r="S956" s="7">
        <f>'1 datos preparados'!R949</f>
        <v/>
      </c>
      <c r="T956" s="7">
        <f>'1 datos preparados'!S949</f>
        <v/>
      </c>
      <c r="U956" s="7">
        <f>'1 datos preparados'!T949</f>
        <v/>
      </c>
      <c r="V956" s="8">
        <f>$AE$12+D956*$AE$13+E956*$AE$14+F956*$AE$15+G956*$AE$16+H956*$AE$17+I956*$AE$18+J956*$AE$19+K956*$AE$20+L956*$AE$21+M956*$AE$22+N956*$AE$23+O956*$AE$24+P956*$AE$25+Q956*$AE$26+R956*$AE$27+S956*$AE$28+T956*$AE$29+U956*$AE$30</f>
        <v/>
      </c>
      <c r="W956" s="8">
        <f>1/(1+EXP(-V956))</f>
        <v/>
      </c>
      <c r="X956" s="9">
        <f>-IF(C956=1,LN(W956),LN(1-W956))</f>
        <v/>
      </c>
      <c r="Y956" s="8">
        <f>IF(C956=1,$AE$32,$AE$33)</f>
        <v/>
      </c>
      <c r="Z956" s="9">
        <f>Y956*X956</f>
        <v/>
      </c>
      <c r="AA956" s="10">
        <f>IF(W956&gt;$AE$34,1,0)</f>
        <v/>
      </c>
      <c r="AB956">
        <f>IF(AA956=C956,1,0)</f>
        <v/>
      </c>
    </row>
    <row r="957">
      <c r="A957">
        <f>'1 datos preparados'!A950</f>
        <v/>
      </c>
      <c r="B957" s="5">
        <f>'1 datos preparados'!U950</f>
        <v/>
      </c>
      <c r="C957">
        <f>'1 datos preparados'!B950</f>
        <v/>
      </c>
      <c r="D957" s="7">
        <f>'1 datos preparados'!C950</f>
        <v/>
      </c>
      <c r="E957" s="7">
        <f>'1 datos preparados'!D950</f>
        <v/>
      </c>
      <c r="F957" s="7">
        <f>'1 datos preparados'!E950</f>
        <v/>
      </c>
      <c r="G957" s="7">
        <f>'1 datos preparados'!F950</f>
        <v/>
      </c>
      <c r="H957" s="7">
        <f>'1 datos preparados'!G950</f>
        <v/>
      </c>
      <c r="I957" s="7">
        <f>'1 datos preparados'!H950</f>
        <v/>
      </c>
      <c r="J957" s="7">
        <f>'1 datos preparados'!I950</f>
        <v/>
      </c>
      <c r="K957" s="7">
        <f>'1 datos preparados'!J950</f>
        <v/>
      </c>
      <c r="L957" s="7">
        <f>'1 datos preparados'!K950</f>
        <v/>
      </c>
      <c r="M957" s="7">
        <f>'1 datos preparados'!L950</f>
        <v/>
      </c>
      <c r="N957" s="7">
        <f>'1 datos preparados'!M950</f>
        <v/>
      </c>
      <c r="O957" s="7">
        <f>'1 datos preparados'!N950</f>
        <v/>
      </c>
      <c r="P957" s="7">
        <f>'1 datos preparados'!O950</f>
        <v/>
      </c>
      <c r="Q957" s="7">
        <f>'1 datos preparados'!P950</f>
        <v/>
      </c>
      <c r="R957" s="7">
        <f>'1 datos preparados'!Q950</f>
        <v/>
      </c>
      <c r="S957" s="7">
        <f>'1 datos preparados'!R950</f>
        <v/>
      </c>
      <c r="T957" s="7">
        <f>'1 datos preparados'!S950</f>
        <v/>
      </c>
      <c r="U957" s="7">
        <f>'1 datos preparados'!T950</f>
        <v/>
      </c>
      <c r="V957" s="8">
        <f>$AE$12+D957*$AE$13+E957*$AE$14+F957*$AE$15+G957*$AE$16+H957*$AE$17+I957*$AE$18+J957*$AE$19+K957*$AE$20+L957*$AE$21+M957*$AE$22+N957*$AE$23+O957*$AE$24+P957*$AE$25+Q957*$AE$26+R957*$AE$27+S957*$AE$28+T957*$AE$29+U957*$AE$30</f>
        <v/>
      </c>
      <c r="W957" s="8">
        <f>1/(1+EXP(-V957))</f>
        <v/>
      </c>
      <c r="X957" s="9">
        <f>-IF(C957=1,LN(W957),LN(1-W957))</f>
        <v/>
      </c>
      <c r="Y957" s="8">
        <f>IF(C957=1,$AE$32,$AE$33)</f>
        <v/>
      </c>
      <c r="Z957" s="9">
        <f>Y957*X957</f>
        <v/>
      </c>
      <c r="AA957" s="10">
        <f>IF(W957&gt;$AE$34,1,0)</f>
        <v/>
      </c>
      <c r="AB957">
        <f>IF(AA957=C957,1,0)</f>
        <v/>
      </c>
    </row>
    <row r="958">
      <c r="A958">
        <f>'1 datos preparados'!A951</f>
        <v/>
      </c>
      <c r="B958" s="5">
        <f>'1 datos preparados'!U951</f>
        <v/>
      </c>
      <c r="C958">
        <f>'1 datos preparados'!B951</f>
        <v/>
      </c>
      <c r="D958" s="7">
        <f>'1 datos preparados'!C951</f>
        <v/>
      </c>
      <c r="E958" s="7">
        <f>'1 datos preparados'!D951</f>
        <v/>
      </c>
      <c r="F958" s="7">
        <f>'1 datos preparados'!E951</f>
        <v/>
      </c>
      <c r="G958" s="7">
        <f>'1 datos preparados'!F951</f>
        <v/>
      </c>
      <c r="H958" s="7">
        <f>'1 datos preparados'!G951</f>
        <v/>
      </c>
      <c r="I958" s="7">
        <f>'1 datos preparados'!H951</f>
        <v/>
      </c>
      <c r="J958" s="7">
        <f>'1 datos preparados'!I951</f>
        <v/>
      </c>
      <c r="K958" s="7">
        <f>'1 datos preparados'!J951</f>
        <v/>
      </c>
      <c r="L958" s="7">
        <f>'1 datos preparados'!K951</f>
        <v/>
      </c>
      <c r="M958" s="7">
        <f>'1 datos preparados'!L951</f>
        <v/>
      </c>
      <c r="N958" s="7">
        <f>'1 datos preparados'!M951</f>
        <v/>
      </c>
      <c r="O958" s="7">
        <f>'1 datos preparados'!N951</f>
        <v/>
      </c>
      <c r="P958" s="7">
        <f>'1 datos preparados'!O951</f>
        <v/>
      </c>
      <c r="Q958" s="7">
        <f>'1 datos preparados'!P951</f>
        <v/>
      </c>
      <c r="R958" s="7">
        <f>'1 datos preparados'!Q951</f>
        <v/>
      </c>
      <c r="S958" s="7">
        <f>'1 datos preparados'!R951</f>
        <v/>
      </c>
      <c r="T958" s="7">
        <f>'1 datos preparados'!S951</f>
        <v/>
      </c>
      <c r="U958" s="7">
        <f>'1 datos preparados'!T951</f>
        <v/>
      </c>
      <c r="V958" s="8">
        <f>$AE$12+D958*$AE$13+E958*$AE$14+F958*$AE$15+G958*$AE$16+H958*$AE$17+I958*$AE$18+J958*$AE$19+K958*$AE$20+L958*$AE$21+M958*$AE$22+N958*$AE$23+O958*$AE$24+P958*$AE$25+Q958*$AE$26+R958*$AE$27+S958*$AE$28+T958*$AE$29+U958*$AE$30</f>
        <v/>
      </c>
      <c r="W958" s="8">
        <f>1/(1+EXP(-V958))</f>
        <v/>
      </c>
      <c r="X958" s="9">
        <f>-IF(C958=1,LN(W958),LN(1-W958))</f>
        <v/>
      </c>
      <c r="Y958" s="8">
        <f>IF(C958=1,$AE$32,$AE$33)</f>
        <v/>
      </c>
      <c r="Z958" s="9">
        <f>Y958*X958</f>
        <v/>
      </c>
      <c r="AA958" s="10">
        <f>IF(W958&gt;$AE$34,1,0)</f>
        <v/>
      </c>
      <c r="AB958">
        <f>IF(AA958=C958,1,0)</f>
        <v/>
      </c>
    </row>
    <row r="959">
      <c r="A959">
        <f>'1 datos preparados'!A952</f>
        <v/>
      </c>
      <c r="B959" s="5">
        <f>'1 datos preparados'!U952</f>
        <v/>
      </c>
      <c r="C959">
        <f>'1 datos preparados'!B952</f>
        <v/>
      </c>
      <c r="D959" s="7">
        <f>'1 datos preparados'!C952</f>
        <v/>
      </c>
      <c r="E959" s="7">
        <f>'1 datos preparados'!D952</f>
        <v/>
      </c>
      <c r="F959" s="7">
        <f>'1 datos preparados'!E952</f>
        <v/>
      </c>
      <c r="G959" s="7">
        <f>'1 datos preparados'!F952</f>
        <v/>
      </c>
      <c r="H959" s="7">
        <f>'1 datos preparados'!G952</f>
        <v/>
      </c>
      <c r="I959" s="7">
        <f>'1 datos preparados'!H952</f>
        <v/>
      </c>
      <c r="J959" s="7">
        <f>'1 datos preparados'!I952</f>
        <v/>
      </c>
      <c r="K959" s="7">
        <f>'1 datos preparados'!J952</f>
        <v/>
      </c>
      <c r="L959" s="7">
        <f>'1 datos preparados'!K952</f>
        <v/>
      </c>
      <c r="M959" s="7">
        <f>'1 datos preparados'!L952</f>
        <v/>
      </c>
      <c r="N959" s="7">
        <f>'1 datos preparados'!M952</f>
        <v/>
      </c>
      <c r="O959" s="7">
        <f>'1 datos preparados'!N952</f>
        <v/>
      </c>
      <c r="P959" s="7">
        <f>'1 datos preparados'!O952</f>
        <v/>
      </c>
      <c r="Q959" s="7">
        <f>'1 datos preparados'!P952</f>
        <v/>
      </c>
      <c r="R959" s="7">
        <f>'1 datos preparados'!Q952</f>
        <v/>
      </c>
      <c r="S959" s="7">
        <f>'1 datos preparados'!R952</f>
        <v/>
      </c>
      <c r="T959" s="7">
        <f>'1 datos preparados'!S952</f>
        <v/>
      </c>
      <c r="U959" s="7">
        <f>'1 datos preparados'!T952</f>
        <v/>
      </c>
      <c r="V959" s="8">
        <f>$AE$12+D959*$AE$13+E959*$AE$14+F959*$AE$15+G959*$AE$16+H959*$AE$17+I959*$AE$18+J959*$AE$19+K959*$AE$20+L959*$AE$21+M959*$AE$22+N959*$AE$23+O959*$AE$24+P959*$AE$25+Q959*$AE$26+R959*$AE$27+S959*$AE$28+T959*$AE$29+U959*$AE$30</f>
        <v/>
      </c>
      <c r="W959" s="8">
        <f>1/(1+EXP(-V959))</f>
        <v/>
      </c>
      <c r="X959" s="9">
        <f>-IF(C959=1,LN(W959),LN(1-W959))</f>
        <v/>
      </c>
      <c r="Y959" s="8">
        <f>IF(C959=1,$AE$32,$AE$33)</f>
        <v/>
      </c>
      <c r="Z959" s="9">
        <f>Y959*X959</f>
        <v/>
      </c>
      <c r="AA959" s="10">
        <f>IF(W959&gt;$AE$34,1,0)</f>
        <v/>
      </c>
      <c r="AB959">
        <f>IF(AA959=C959,1,0)</f>
        <v/>
      </c>
    </row>
    <row r="960">
      <c r="A960">
        <f>'1 datos preparados'!A953</f>
        <v/>
      </c>
      <c r="B960" s="5">
        <f>'1 datos preparados'!U953</f>
        <v/>
      </c>
      <c r="C960">
        <f>'1 datos preparados'!B953</f>
        <v/>
      </c>
      <c r="D960" s="7">
        <f>'1 datos preparados'!C953</f>
        <v/>
      </c>
      <c r="E960" s="7">
        <f>'1 datos preparados'!D953</f>
        <v/>
      </c>
      <c r="F960" s="7">
        <f>'1 datos preparados'!E953</f>
        <v/>
      </c>
      <c r="G960" s="7">
        <f>'1 datos preparados'!F953</f>
        <v/>
      </c>
      <c r="H960" s="7">
        <f>'1 datos preparados'!G953</f>
        <v/>
      </c>
      <c r="I960" s="7">
        <f>'1 datos preparados'!H953</f>
        <v/>
      </c>
      <c r="J960" s="7">
        <f>'1 datos preparados'!I953</f>
        <v/>
      </c>
      <c r="K960" s="7">
        <f>'1 datos preparados'!J953</f>
        <v/>
      </c>
      <c r="L960" s="7">
        <f>'1 datos preparados'!K953</f>
        <v/>
      </c>
      <c r="M960" s="7">
        <f>'1 datos preparados'!L953</f>
        <v/>
      </c>
      <c r="N960" s="7">
        <f>'1 datos preparados'!M953</f>
        <v/>
      </c>
      <c r="O960" s="7">
        <f>'1 datos preparados'!N953</f>
        <v/>
      </c>
      <c r="P960" s="7">
        <f>'1 datos preparados'!O953</f>
        <v/>
      </c>
      <c r="Q960" s="7">
        <f>'1 datos preparados'!P953</f>
        <v/>
      </c>
      <c r="R960" s="7">
        <f>'1 datos preparados'!Q953</f>
        <v/>
      </c>
      <c r="S960" s="7">
        <f>'1 datos preparados'!R953</f>
        <v/>
      </c>
      <c r="T960" s="7">
        <f>'1 datos preparados'!S953</f>
        <v/>
      </c>
      <c r="U960" s="7">
        <f>'1 datos preparados'!T953</f>
        <v/>
      </c>
      <c r="V960" s="8">
        <f>$AE$12+D960*$AE$13+E960*$AE$14+F960*$AE$15+G960*$AE$16+H960*$AE$17+I960*$AE$18+J960*$AE$19+K960*$AE$20+L960*$AE$21+M960*$AE$22+N960*$AE$23+O960*$AE$24+P960*$AE$25+Q960*$AE$26+R960*$AE$27+S960*$AE$28+T960*$AE$29+U960*$AE$30</f>
        <v/>
      </c>
      <c r="W960" s="8">
        <f>1/(1+EXP(-V960))</f>
        <v/>
      </c>
      <c r="X960" s="9">
        <f>-IF(C960=1,LN(W960),LN(1-W960))</f>
        <v/>
      </c>
      <c r="Y960" s="8">
        <f>IF(C960=1,$AE$32,$AE$33)</f>
        <v/>
      </c>
      <c r="Z960" s="9">
        <f>Y960*X960</f>
        <v/>
      </c>
      <c r="AA960" s="10">
        <f>IF(W960&gt;$AE$34,1,0)</f>
        <v/>
      </c>
      <c r="AB960">
        <f>IF(AA960=C960,1,0)</f>
        <v/>
      </c>
    </row>
    <row r="961">
      <c r="A961">
        <f>'1 datos preparados'!A954</f>
        <v/>
      </c>
      <c r="B961" s="5">
        <f>'1 datos preparados'!U954</f>
        <v/>
      </c>
      <c r="C961">
        <f>'1 datos preparados'!B954</f>
        <v/>
      </c>
      <c r="D961" s="7">
        <f>'1 datos preparados'!C954</f>
        <v/>
      </c>
      <c r="E961" s="7">
        <f>'1 datos preparados'!D954</f>
        <v/>
      </c>
      <c r="F961" s="7">
        <f>'1 datos preparados'!E954</f>
        <v/>
      </c>
      <c r="G961" s="7">
        <f>'1 datos preparados'!F954</f>
        <v/>
      </c>
      <c r="H961" s="7">
        <f>'1 datos preparados'!G954</f>
        <v/>
      </c>
      <c r="I961" s="7">
        <f>'1 datos preparados'!H954</f>
        <v/>
      </c>
      <c r="J961" s="7">
        <f>'1 datos preparados'!I954</f>
        <v/>
      </c>
      <c r="K961" s="7">
        <f>'1 datos preparados'!J954</f>
        <v/>
      </c>
      <c r="L961" s="7">
        <f>'1 datos preparados'!K954</f>
        <v/>
      </c>
      <c r="M961" s="7">
        <f>'1 datos preparados'!L954</f>
        <v/>
      </c>
      <c r="N961" s="7">
        <f>'1 datos preparados'!M954</f>
        <v/>
      </c>
      <c r="O961" s="7">
        <f>'1 datos preparados'!N954</f>
        <v/>
      </c>
      <c r="P961" s="7">
        <f>'1 datos preparados'!O954</f>
        <v/>
      </c>
      <c r="Q961" s="7">
        <f>'1 datos preparados'!P954</f>
        <v/>
      </c>
      <c r="R961" s="7">
        <f>'1 datos preparados'!Q954</f>
        <v/>
      </c>
      <c r="S961" s="7">
        <f>'1 datos preparados'!R954</f>
        <v/>
      </c>
      <c r="T961" s="7">
        <f>'1 datos preparados'!S954</f>
        <v/>
      </c>
      <c r="U961" s="7">
        <f>'1 datos preparados'!T954</f>
        <v/>
      </c>
      <c r="V961" s="8">
        <f>$AE$12+D961*$AE$13+E961*$AE$14+F961*$AE$15+G961*$AE$16+H961*$AE$17+I961*$AE$18+J961*$AE$19+K961*$AE$20+L961*$AE$21+M961*$AE$22+N961*$AE$23+O961*$AE$24+P961*$AE$25+Q961*$AE$26+R961*$AE$27+S961*$AE$28+T961*$AE$29+U961*$AE$30</f>
        <v/>
      </c>
      <c r="W961" s="8">
        <f>1/(1+EXP(-V961))</f>
        <v/>
      </c>
      <c r="X961" s="9">
        <f>-IF(C961=1,LN(W961),LN(1-W961))</f>
        <v/>
      </c>
      <c r="Y961" s="8">
        <f>IF(C961=1,$AE$32,$AE$33)</f>
        <v/>
      </c>
      <c r="Z961" s="9">
        <f>Y961*X961</f>
        <v/>
      </c>
      <c r="AA961" s="10">
        <f>IF(W961&gt;$AE$34,1,0)</f>
        <v/>
      </c>
      <c r="AB961">
        <f>IF(AA961=C961,1,0)</f>
        <v/>
      </c>
    </row>
    <row r="962">
      <c r="A962">
        <f>'1 datos preparados'!A955</f>
        <v/>
      </c>
      <c r="B962" s="5">
        <f>'1 datos preparados'!U955</f>
        <v/>
      </c>
      <c r="C962">
        <f>'1 datos preparados'!B955</f>
        <v/>
      </c>
      <c r="D962" s="7">
        <f>'1 datos preparados'!C955</f>
        <v/>
      </c>
      <c r="E962" s="7">
        <f>'1 datos preparados'!D955</f>
        <v/>
      </c>
      <c r="F962" s="7">
        <f>'1 datos preparados'!E955</f>
        <v/>
      </c>
      <c r="G962" s="7">
        <f>'1 datos preparados'!F955</f>
        <v/>
      </c>
      <c r="H962" s="7">
        <f>'1 datos preparados'!G955</f>
        <v/>
      </c>
      <c r="I962" s="7">
        <f>'1 datos preparados'!H955</f>
        <v/>
      </c>
      <c r="J962" s="7">
        <f>'1 datos preparados'!I955</f>
        <v/>
      </c>
      <c r="K962" s="7">
        <f>'1 datos preparados'!J955</f>
        <v/>
      </c>
      <c r="L962" s="7">
        <f>'1 datos preparados'!K955</f>
        <v/>
      </c>
      <c r="M962" s="7">
        <f>'1 datos preparados'!L955</f>
        <v/>
      </c>
      <c r="N962" s="7">
        <f>'1 datos preparados'!M955</f>
        <v/>
      </c>
      <c r="O962" s="7">
        <f>'1 datos preparados'!N955</f>
        <v/>
      </c>
      <c r="P962" s="7">
        <f>'1 datos preparados'!O955</f>
        <v/>
      </c>
      <c r="Q962" s="7">
        <f>'1 datos preparados'!P955</f>
        <v/>
      </c>
      <c r="R962" s="7">
        <f>'1 datos preparados'!Q955</f>
        <v/>
      </c>
      <c r="S962" s="7">
        <f>'1 datos preparados'!R955</f>
        <v/>
      </c>
      <c r="T962" s="7">
        <f>'1 datos preparados'!S955</f>
        <v/>
      </c>
      <c r="U962" s="7">
        <f>'1 datos preparados'!T955</f>
        <v/>
      </c>
      <c r="V962" s="8">
        <f>$AE$12+D962*$AE$13+E962*$AE$14+F962*$AE$15+G962*$AE$16+H962*$AE$17+I962*$AE$18+J962*$AE$19+K962*$AE$20+L962*$AE$21+M962*$AE$22+N962*$AE$23+O962*$AE$24+P962*$AE$25+Q962*$AE$26+R962*$AE$27+S962*$AE$28+T962*$AE$29+U962*$AE$30</f>
        <v/>
      </c>
      <c r="W962" s="8">
        <f>1/(1+EXP(-V962))</f>
        <v/>
      </c>
      <c r="X962" s="9">
        <f>-IF(C962=1,LN(W962),LN(1-W962))</f>
        <v/>
      </c>
      <c r="Y962" s="8">
        <f>IF(C962=1,$AE$32,$AE$33)</f>
        <v/>
      </c>
      <c r="Z962" s="9">
        <f>Y962*X962</f>
        <v/>
      </c>
      <c r="AA962" s="10">
        <f>IF(W962&gt;$AE$34,1,0)</f>
        <v/>
      </c>
      <c r="AB962">
        <f>IF(AA962=C962,1,0)</f>
        <v/>
      </c>
    </row>
    <row r="963">
      <c r="A963">
        <f>'1 datos preparados'!A956</f>
        <v/>
      </c>
      <c r="B963" s="5">
        <f>'1 datos preparados'!U956</f>
        <v/>
      </c>
      <c r="C963">
        <f>'1 datos preparados'!B956</f>
        <v/>
      </c>
      <c r="D963" s="7">
        <f>'1 datos preparados'!C956</f>
        <v/>
      </c>
      <c r="E963" s="7">
        <f>'1 datos preparados'!D956</f>
        <v/>
      </c>
      <c r="F963" s="7">
        <f>'1 datos preparados'!E956</f>
        <v/>
      </c>
      <c r="G963" s="7">
        <f>'1 datos preparados'!F956</f>
        <v/>
      </c>
      <c r="H963" s="7">
        <f>'1 datos preparados'!G956</f>
        <v/>
      </c>
      <c r="I963" s="7">
        <f>'1 datos preparados'!H956</f>
        <v/>
      </c>
      <c r="J963" s="7">
        <f>'1 datos preparados'!I956</f>
        <v/>
      </c>
      <c r="K963" s="7">
        <f>'1 datos preparados'!J956</f>
        <v/>
      </c>
      <c r="L963" s="7">
        <f>'1 datos preparados'!K956</f>
        <v/>
      </c>
      <c r="M963" s="7">
        <f>'1 datos preparados'!L956</f>
        <v/>
      </c>
      <c r="N963" s="7">
        <f>'1 datos preparados'!M956</f>
        <v/>
      </c>
      <c r="O963" s="7">
        <f>'1 datos preparados'!N956</f>
        <v/>
      </c>
      <c r="P963" s="7">
        <f>'1 datos preparados'!O956</f>
        <v/>
      </c>
      <c r="Q963" s="7">
        <f>'1 datos preparados'!P956</f>
        <v/>
      </c>
      <c r="R963" s="7">
        <f>'1 datos preparados'!Q956</f>
        <v/>
      </c>
      <c r="S963" s="7">
        <f>'1 datos preparados'!R956</f>
        <v/>
      </c>
      <c r="T963" s="7">
        <f>'1 datos preparados'!S956</f>
        <v/>
      </c>
      <c r="U963" s="7">
        <f>'1 datos preparados'!T956</f>
        <v/>
      </c>
      <c r="V963" s="8">
        <f>$AE$12+D963*$AE$13+E963*$AE$14+F963*$AE$15+G963*$AE$16+H963*$AE$17+I963*$AE$18+J963*$AE$19+K963*$AE$20+L963*$AE$21+M963*$AE$22+N963*$AE$23+O963*$AE$24+P963*$AE$25+Q963*$AE$26+R963*$AE$27+S963*$AE$28+T963*$AE$29+U963*$AE$30</f>
        <v/>
      </c>
      <c r="W963" s="8">
        <f>1/(1+EXP(-V963))</f>
        <v/>
      </c>
      <c r="X963" s="9">
        <f>-IF(C963=1,LN(W963),LN(1-W963))</f>
        <v/>
      </c>
      <c r="Y963" s="8">
        <f>IF(C963=1,$AE$32,$AE$33)</f>
        <v/>
      </c>
      <c r="Z963" s="9">
        <f>Y963*X963</f>
        <v/>
      </c>
      <c r="AA963" s="10">
        <f>IF(W963&gt;$AE$34,1,0)</f>
        <v/>
      </c>
      <c r="AB963">
        <f>IF(AA963=C963,1,0)</f>
        <v/>
      </c>
    </row>
    <row r="964">
      <c r="A964">
        <f>'1 datos preparados'!A957</f>
        <v/>
      </c>
      <c r="B964" s="5">
        <f>'1 datos preparados'!U957</f>
        <v/>
      </c>
      <c r="C964">
        <f>'1 datos preparados'!B957</f>
        <v/>
      </c>
      <c r="D964" s="7">
        <f>'1 datos preparados'!C957</f>
        <v/>
      </c>
      <c r="E964" s="7">
        <f>'1 datos preparados'!D957</f>
        <v/>
      </c>
      <c r="F964" s="7">
        <f>'1 datos preparados'!E957</f>
        <v/>
      </c>
      <c r="G964" s="7">
        <f>'1 datos preparados'!F957</f>
        <v/>
      </c>
      <c r="H964" s="7">
        <f>'1 datos preparados'!G957</f>
        <v/>
      </c>
      <c r="I964" s="7">
        <f>'1 datos preparados'!H957</f>
        <v/>
      </c>
      <c r="J964" s="7">
        <f>'1 datos preparados'!I957</f>
        <v/>
      </c>
      <c r="K964" s="7">
        <f>'1 datos preparados'!J957</f>
        <v/>
      </c>
      <c r="L964" s="7">
        <f>'1 datos preparados'!K957</f>
        <v/>
      </c>
      <c r="M964" s="7">
        <f>'1 datos preparados'!L957</f>
        <v/>
      </c>
      <c r="N964" s="7">
        <f>'1 datos preparados'!M957</f>
        <v/>
      </c>
      <c r="O964" s="7">
        <f>'1 datos preparados'!N957</f>
        <v/>
      </c>
      <c r="P964" s="7">
        <f>'1 datos preparados'!O957</f>
        <v/>
      </c>
      <c r="Q964" s="7">
        <f>'1 datos preparados'!P957</f>
        <v/>
      </c>
      <c r="R964" s="7">
        <f>'1 datos preparados'!Q957</f>
        <v/>
      </c>
      <c r="S964" s="7">
        <f>'1 datos preparados'!R957</f>
        <v/>
      </c>
      <c r="T964" s="7">
        <f>'1 datos preparados'!S957</f>
        <v/>
      </c>
      <c r="U964" s="7">
        <f>'1 datos preparados'!T957</f>
        <v/>
      </c>
      <c r="V964" s="8">
        <f>$AE$12+D964*$AE$13+E964*$AE$14+F964*$AE$15+G964*$AE$16+H964*$AE$17+I964*$AE$18+J964*$AE$19+K964*$AE$20+L964*$AE$21+M964*$AE$22+N964*$AE$23+O964*$AE$24+P964*$AE$25+Q964*$AE$26+R964*$AE$27+S964*$AE$28+T964*$AE$29+U964*$AE$30</f>
        <v/>
      </c>
      <c r="W964" s="8">
        <f>1/(1+EXP(-V964))</f>
        <v/>
      </c>
      <c r="X964" s="9">
        <f>-IF(C964=1,LN(W964),LN(1-W964))</f>
        <v/>
      </c>
      <c r="Y964" s="8">
        <f>IF(C964=1,$AE$32,$AE$33)</f>
        <v/>
      </c>
      <c r="Z964" s="9">
        <f>Y964*X964</f>
        <v/>
      </c>
      <c r="AA964" s="10">
        <f>IF(W964&gt;$AE$34,1,0)</f>
        <v/>
      </c>
      <c r="AB964">
        <f>IF(AA964=C964,1,0)</f>
        <v/>
      </c>
    </row>
    <row r="965">
      <c r="A965">
        <f>'1 datos preparados'!A958</f>
        <v/>
      </c>
      <c r="B965" s="5">
        <f>'1 datos preparados'!U958</f>
        <v/>
      </c>
      <c r="C965">
        <f>'1 datos preparados'!B958</f>
        <v/>
      </c>
      <c r="D965" s="7">
        <f>'1 datos preparados'!C958</f>
        <v/>
      </c>
      <c r="E965" s="7">
        <f>'1 datos preparados'!D958</f>
        <v/>
      </c>
      <c r="F965" s="7">
        <f>'1 datos preparados'!E958</f>
        <v/>
      </c>
      <c r="G965" s="7">
        <f>'1 datos preparados'!F958</f>
        <v/>
      </c>
      <c r="H965" s="7">
        <f>'1 datos preparados'!G958</f>
        <v/>
      </c>
      <c r="I965" s="7">
        <f>'1 datos preparados'!H958</f>
        <v/>
      </c>
      <c r="J965" s="7">
        <f>'1 datos preparados'!I958</f>
        <v/>
      </c>
      <c r="K965" s="7">
        <f>'1 datos preparados'!J958</f>
        <v/>
      </c>
      <c r="L965" s="7">
        <f>'1 datos preparados'!K958</f>
        <v/>
      </c>
      <c r="M965" s="7">
        <f>'1 datos preparados'!L958</f>
        <v/>
      </c>
      <c r="N965" s="7">
        <f>'1 datos preparados'!M958</f>
        <v/>
      </c>
      <c r="O965" s="7">
        <f>'1 datos preparados'!N958</f>
        <v/>
      </c>
      <c r="P965" s="7">
        <f>'1 datos preparados'!O958</f>
        <v/>
      </c>
      <c r="Q965" s="7">
        <f>'1 datos preparados'!P958</f>
        <v/>
      </c>
      <c r="R965" s="7">
        <f>'1 datos preparados'!Q958</f>
        <v/>
      </c>
      <c r="S965" s="7">
        <f>'1 datos preparados'!R958</f>
        <v/>
      </c>
      <c r="T965" s="7">
        <f>'1 datos preparados'!S958</f>
        <v/>
      </c>
      <c r="U965" s="7">
        <f>'1 datos preparados'!T958</f>
        <v/>
      </c>
      <c r="V965" s="8">
        <f>$AE$12+D965*$AE$13+E965*$AE$14+F965*$AE$15+G965*$AE$16+H965*$AE$17+I965*$AE$18+J965*$AE$19+K965*$AE$20+L965*$AE$21+M965*$AE$22+N965*$AE$23+O965*$AE$24+P965*$AE$25+Q965*$AE$26+R965*$AE$27+S965*$AE$28+T965*$AE$29+U965*$AE$30</f>
        <v/>
      </c>
      <c r="W965" s="8">
        <f>1/(1+EXP(-V965))</f>
        <v/>
      </c>
      <c r="X965" s="9">
        <f>-IF(C965=1,LN(W965),LN(1-W965))</f>
        <v/>
      </c>
      <c r="Y965" s="8">
        <f>IF(C965=1,$AE$32,$AE$33)</f>
        <v/>
      </c>
      <c r="Z965" s="9">
        <f>Y965*X965</f>
        <v/>
      </c>
      <c r="AA965" s="10">
        <f>IF(W965&gt;$AE$34,1,0)</f>
        <v/>
      </c>
      <c r="AB965">
        <f>IF(AA965=C965,1,0)</f>
        <v/>
      </c>
    </row>
    <row r="966">
      <c r="A966">
        <f>'1 datos preparados'!A959</f>
        <v/>
      </c>
      <c r="B966" s="5">
        <f>'1 datos preparados'!U959</f>
        <v/>
      </c>
      <c r="C966">
        <f>'1 datos preparados'!B959</f>
        <v/>
      </c>
      <c r="D966" s="7">
        <f>'1 datos preparados'!C959</f>
        <v/>
      </c>
      <c r="E966" s="7">
        <f>'1 datos preparados'!D959</f>
        <v/>
      </c>
      <c r="F966" s="7">
        <f>'1 datos preparados'!E959</f>
        <v/>
      </c>
      <c r="G966" s="7">
        <f>'1 datos preparados'!F959</f>
        <v/>
      </c>
      <c r="H966" s="7">
        <f>'1 datos preparados'!G959</f>
        <v/>
      </c>
      <c r="I966" s="7">
        <f>'1 datos preparados'!H959</f>
        <v/>
      </c>
      <c r="J966" s="7">
        <f>'1 datos preparados'!I959</f>
        <v/>
      </c>
      <c r="K966" s="7">
        <f>'1 datos preparados'!J959</f>
        <v/>
      </c>
      <c r="L966" s="7">
        <f>'1 datos preparados'!K959</f>
        <v/>
      </c>
      <c r="M966" s="7">
        <f>'1 datos preparados'!L959</f>
        <v/>
      </c>
      <c r="N966" s="7">
        <f>'1 datos preparados'!M959</f>
        <v/>
      </c>
      <c r="O966" s="7">
        <f>'1 datos preparados'!N959</f>
        <v/>
      </c>
      <c r="P966" s="7">
        <f>'1 datos preparados'!O959</f>
        <v/>
      </c>
      <c r="Q966" s="7">
        <f>'1 datos preparados'!P959</f>
        <v/>
      </c>
      <c r="R966" s="7">
        <f>'1 datos preparados'!Q959</f>
        <v/>
      </c>
      <c r="S966" s="7">
        <f>'1 datos preparados'!R959</f>
        <v/>
      </c>
      <c r="T966" s="7">
        <f>'1 datos preparados'!S959</f>
        <v/>
      </c>
      <c r="U966" s="7">
        <f>'1 datos preparados'!T959</f>
        <v/>
      </c>
      <c r="V966" s="8">
        <f>$AE$12+D966*$AE$13+E966*$AE$14+F966*$AE$15+G966*$AE$16+H966*$AE$17+I966*$AE$18+J966*$AE$19+K966*$AE$20+L966*$AE$21+M966*$AE$22+N966*$AE$23+O966*$AE$24+P966*$AE$25+Q966*$AE$26+R966*$AE$27+S966*$AE$28+T966*$AE$29+U966*$AE$30</f>
        <v/>
      </c>
      <c r="W966" s="8">
        <f>1/(1+EXP(-V966))</f>
        <v/>
      </c>
      <c r="X966" s="9">
        <f>-IF(C966=1,LN(W966),LN(1-W966))</f>
        <v/>
      </c>
      <c r="Y966" s="8">
        <f>IF(C966=1,$AE$32,$AE$33)</f>
        <v/>
      </c>
      <c r="Z966" s="9">
        <f>Y966*X966</f>
        <v/>
      </c>
      <c r="AA966" s="10">
        <f>IF(W966&gt;$AE$34,1,0)</f>
        <v/>
      </c>
      <c r="AB966">
        <f>IF(AA966=C966,1,0)</f>
        <v/>
      </c>
    </row>
    <row r="967">
      <c r="A967">
        <f>'1 datos preparados'!A960</f>
        <v/>
      </c>
      <c r="B967" s="5">
        <f>'1 datos preparados'!U960</f>
        <v/>
      </c>
      <c r="C967">
        <f>'1 datos preparados'!B960</f>
        <v/>
      </c>
      <c r="D967" s="7">
        <f>'1 datos preparados'!C960</f>
        <v/>
      </c>
      <c r="E967" s="7">
        <f>'1 datos preparados'!D960</f>
        <v/>
      </c>
      <c r="F967" s="7">
        <f>'1 datos preparados'!E960</f>
        <v/>
      </c>
      <c r="G967" s="7">
        <f>'1 datos preparados'!F960</f>
        <v/>
      </c>
      <c r="H967" s="7">
        <f>'1 datos preparados'!G960</f>
        <v/>
      </c>
      <c r="I967" s="7">
        <f>'1 datos preparados'!H960</f>
        <v/>
      </c>
      <c r="J967" s="7">
        <f>'1 datos preparados'!I960</f>
        <v/>
      </c>
      <c r="K967" s="7">
        <f>'1 datos preparados'!J960</f>
        <v/>
      </c>
      <c r="L967" s="7">
        <f>'1 datos preparados'!K960</f>
        <v/>
      </c>
      <c r="M967" s="7">
        <f>'1 datos preparados'!L960</f>
        <v/>
      </c>
      <c r="N967" s="7">
        <f>'1 datos preparados'!M960</f>
        <v/>
      </c>
      <c r="O967" s="7">
        <f>'1 datos preparados'!N960</f>
        <v/>
      </c>
      <c r="P967" s="7">
        <f>'1 datos preparados'!O960</f>
        <v/>
      </c>
      <c r="Q967" s="7">
        <f>'1 datos preparados'!P960</f>
        <v/>
      </c>
      <c r="R967" s="7">
        <f>'1 datos preparados'!Q960</f>
        <v/>
      </c>
      <c r="S967" s="7">
        <f>'1 datos preparados'!R960</f>
        <v/>
      </c>
      <c r="T967" s="7">
        <f>'1 datos preparados'!S960</f>
        <v/>
      </c>
      <c r="U967" s="7">
        <f>'1 datos preparados'!T960</f>
        <v/>
      </c>
      <c r="V967" s="8">
        <f>$AE$12+D967*$AE$13+E967*$AE$14+F967*$AE$15+G967*$AE$16+H967*$AE$17+I967*$AE$18+J967*$AE$19+K967*$AE$20+L967*$AE$21+M967*$AE$22+N967*$AE$23+O967*$AE$24+P967*$AE$25+Q967*$AE$26+R967*$AE$27+S967*$AE$28+T967*$AE$29+U967*$AE$30</f>
        <v/>
      </c>
      <c r="W967" s="8">
        <f>1/(1+EXP(-V967))</f>
        <v/>
      </c>
      <c r="X967" s="9">
        <f>-IF(C967=1,LN(W967),LN(1-W967))</f>
        <v/>
      </c>
      <c r="Y967" s="8">
        <f>IF(C967=1,$AE$32,$AE$33)</f>
        <v/>
      </c>
      <c r="Z967" s="9">
        <f>Y967*X967</f>
        <v/>
      </c>
      <c r="AA967" s="10">
        <f>IF(W967&gt;$AE$34,1,0)</f>
        <v/>
      </c>
      <c r="AB967">
        <f>IF(AA967=C967,1,0)</f>
        <v/>
      </c>
    </row>
    <row r="968">
      <c r="A968">
        <f>'1 datos preparados'!A961</f>
        <v/>
      </c>
      <c r="B968" s="5">
        <f>'1 datos preparados'!U961</f>
        <v/>
      </c>
      <c r="C968">
        <f>'1 datos preparados'!B961</f>
        <v/>
      </c>
      <c r="D968" s="7">
        <f>'1 datos preparados'!C961</f>
        <v/>
      </c>
      <c r="E968" s="7">
        <f>'1 datos preparados'!D961</f>
        <v/>
      </c>
      <c r="F968" s="7">
        <f>'1 datos preparados'!E961</f>
        <v/>
      </c>
      <c r="G968" s="7">
        <f>'1 datos preparados'!F961</f>
        <v/>
      </c>
      <c r="H968" s="7">
        <f>'1 datos preparados'!G961</f>
        <v/>
      </c>
      <c r="I968" s="7">
        <f>'1 datos preparados'!H961</f>
        <v/>
      </c>
      <c r="J968" s="7">
        <f>'1 datos preparados'!I961</f>
        <v/>
      </c>
      <c r="K968" s="7">
        <f>'1 datos preparados'!J961</f>
        <v/>
      </c>
      <c r="L968" s="7">
        <f>'1 datos preparados'!K961</f>
        <v/>
      </c>
      <c r="M968" s="7">
        <f>'1 datos preparados'!L961</f>
        <v/>
      </c>
      <c r="N968" s="7">
        <f>'1 datos preparados'!M961</f>
        <v/>
      </c>
      <c r="O968" s="7">
        <f>'1 datos preparados'!N961</f>
        <v/>
      </c>
      <c r="P968" s="7">
        <f>'1 datos preparados'!O961</f>
        <v/>
      </c>
      <c r="Q968" s="7">
        <f>'1 datos preparados'!P961</f>
        <v/>
      </c>
      <c r="R968" s="7">
        <f>'1 datos preparados'!Q961</f>
        <v/>
      </c>
      <c r="S968" s="7">
        <f>'1 datos preparados'!R961</f>
        <v/>
      </c>
      <c r="T968" s="7">
        <f>'1 datos preparados'!S961</f>
        <v/>
      </c>
      <c r="U968" s="7">
        <f>'1 datos preparados'!T961</f>
        <v/>
      </c>
      <c r="V968" s="8">
        <f>$AE$12+D968*$AE$13+E968*$AE$14+F968*$AE$15+G968*$AE$16+H968*$AE$17+I968*$AE$18+J968*$AE$19+K968*$AE$20+L968*$AE$21+M968*$AE$22+N968*$AE$23+O968*$AE$24+P968*$AE$25+Q968*$AE$26+R968*$AE$27+S968*$AE$28+T968*$AE$29+U968*$AE$30</f>
        <v/>
      </c>
      <c r="W968" s="8">
        <f>1/(1+EXP(-V968))</f>
        <v/>
      </c>
      <c r="X968" s="9">
        <f>-IF(C968=1,LN(W968),LN(1-W968))</f>
        <v/>
      </c>
      <c r="Y968" s="8">
        <f>IF(C968=1,$AE$32,$AE$33)</f>
        <v/>
      </c>
      <c r="Z968" s="9">
        <f>Y968*X968</f>
        <v/>
      </c>
      <c r="AA968" s="10">
        <f>IF(W968&gt;$AE$34,1,0)</f>
        <v/>
      </c>
      <c r="AB968">
        <f>IF(AA968=C968,1,0)</f>
        <v/>
      </c>
    </row>
    <row r="969">
      <c r="A969">
        <f>'1 datos preparados'!A962</f>
        <v/>
      </c>
      <c r="B969" s="5">
        <f>'1 datos preparados'!U962</f>
        <v/>
      </c>
      <c r="C969">
        <f>'1 datos preparados'!B962</f>
        <v/>
      </c>
      <c r="D969" s="7">
        <f>'1 datos preparados'!C962</f>
        <v/>
      </c>
      <c r="E969" s="7">
        <f>'1 datos preparados'!D962</f>
        <v/>
      </c>
      <c r="F969" s="7">
        <f>'1 datos preparados'!E962</f>
        <v/>
      </c>
      <c r="G969" s="7">
        <f>'1 datos preparados'!F962</f>
        <v/>
      </c>
      <c r="H969" s="7">
        <f>'1 datos preparados'!G962</f>
        <v/>
      </c>
      <c r="I969" s="7">
        <f>'1 datos preparados'!H962</f>
        <v/>
      </c>
      <c r="J969" s="7">
        <f>'1 datos preparados'!I962</f>
        <v/>
      </c>
      <c r="K969" s="7">
        <f>'1 datos preparados'!J962</f>
        <v/>
      </c>
      <c r="L969" s="7">
        <f>'1 datos preparados'!K962</f>
        <v/>
      </c>
      <c r="M969" s="7">
        <f>'1 datos preparados'!L962</f>
        <v/>
      </c>
      <c r="N969" s="7">
        <f>'1 datos preparados'!M962</f>
        <v/>
      </c>
      <c r="O969" s="7">
        <f>'1 datos preparados'!N962</f>
        <v/>
      </c>
      <c r="P969" s="7">
        <f>'1 datos preparados'!O962</f>
        <v/>
      </c>
      <c r="Q969" s="7">
        <f>'1 datos preparados'!P962</f>
        <v/>
      </c>
      <c r="R969" s="7">
        <f>'1 datos preparados'!Q962</f>
        <v/>
      </c>
      <c r="S969" s="7">
        <f>'1 datos preparados'!R962</f>
        <v/>
      </c>
      <c r="T969" s="7">
        <f>'1 datos preparados'!S962</f>
        <v/>
      </c>
      <c r="U969" s="7">
        <f>'1 datos preparados'!T962</f>
        <v/>
      </c>
      <c r="V969" s="8">
        <f>$AE$12+D969*$AE$13+E969*$AE$14+F969*$AE$15+G969*$AE$16+H969*$AE$17+I969*$AE$18+J969*$AE$19+K969*$AE$20+L969*$AE$21+M969*$AE$22+N969*$AE$23+O969*$AE$24+P969*$AE$25+Q969*$AE$26+R969*$AE$27+S969*$AE$28+T969*$AE$29+U969*$AE$30</f>
        <v/>
      </c>
      <c r="W969" s="8">
        <f>1/(1+EXP(-V969))</f>
        <v/>
      </c>
      <c r="X969" s="9">
        <f>-IF(C969=1,LN(W969),LN(1-W969))</f>
        <v/>
      </c>
      <c r="Y969" s="8">
        <f>IF(C969=1,$AE$32,$AE$33)</f>
        <v/>
      </c>
      <c r="Z969" s="9">
        <f>Y969*X969</f>
        <v/>
      </c>
      <c r="AA969" s="10">
        <f>IF(W969&gt;$AE$34,1,0)</f>
        <v/>
      </c>
      <c r="AB969">
        <f>IF(AA969=C969,1,0)</f>
        <v/>
      </c>
    </row>
    <row r="970">
      <c r="A970">
        <f>'1 datos preparados'!A963</f>
        <v/>
      </c>
      <c r="B970" s="5">
        <f>'1 datos preparados'!U963</f>
        <v/>
      </c>
      <c r="C970">
        <f>'1 datos preparados'!B963</f>
        <v/>
      </c>
      <c r="D970" s="7">
        <f>'1 datos preparados'!C963</f>
        <v/>
      </c>
      <c r="E970" s="7">
        <f>'1 datos preparados'!D963</f>
        <v/>
      </c>
      <c r="F970" s="7">
        <f>'1 datos preparados'!E963</f>
        <v/>
      </c>
      <c r="G970" s="7">
        <f>'1 datos preparados'!F963</f>
        <v/>
      </c>
      <c r="H970" s="7">
        <f>'1 datos preparados'!G963</f>
        <v/>
      </c>
      <c r="I970" s="7">
        <f>'1 datos preparados'!H963</f>
        <v/>
      </c>
      <c r="J970" s="7">
        <f>'1 datos preparados'!I963</f>
        <v/>
      </c>
      <c r="K970" s="7">
        <f>'1 datos preparados'!J963</f>
        <v/>
      </c>
      <c r="L970" s="7">
        <f>'1 datos preparados'!K963</f>
        <v/>
      </c>
      <c r="M970" s="7">
        <f>'1 datos preparados'!L963</f>
        <v/>
      </c>
      <c r="N970" s="7">
        <f>'1 datos preparados'!M963</f>
        <v/>
      </c>
      <c r="O970" s="7">
        <f>'1 datos preparados'!N963</f>
        <v/>
      </c>
      <c r="P970" s="7">
        <f>'1 datos preparados'!O963</f>
        <v/>
      </c>
      <c r="Q970" s="7">
        <f>'1 datos preparados'!P963</f>
        <v/>
      </c>
      <c r="R970" s="7">
        <f>'1 datos preparados'!Q963</f>
        <v/>
      </c>
      <c r="S970" s="7">
        <f>'1 datos preparados'!R963</f>
        <v/>
      </c>
      <c r="T970" s="7">
        <f>'1 datos preparados'!S963</f>
        <v/>
      </c>
      <c r="U970" s="7">
        <f>'1 datos preparados'!T963</f>
        <v/>
      </c>
      <c r="V970" s="8">
        <f>$AE$12+D970*$AE$13+E970*$AE$14+F970*$AE$15+G970*$AE$16+H970*$AE$17+I970*$AE$18+J970*$AE$19+K970*$AE$20+L970*$AE$21+M970*$AE$22+N970*$AE$23+O970*$AE$24+P970*$AE$25+Q970*$AE$26+R970*$AE$27+S970*$AE$28+T970*$AE$29+U970*$AE$30</f>
        <v/>
      </c>
      <c r="W970" s="8">
        <f>1/(1+EXP(-V970))</f>
        <v/>
      </c>
      <c r="X970" s="9">
        <f>-IF(C970=1,LN(W970),LN(1-W970))</f>
        <v/>
      </c>
      <c r="Y970" s="8">
        <f>IF(C970=1,$AE$32,$AE$33)</f>
        <v/>
      </c>
      <c r="Z970" s="9">
        <f>Y970*X970</f>
        <v/>
      </c>
      <c r="AA970" s="10">
        <f>IF(W970&gt;$AE$34,1,0)</f>
        <v/>
      </c>
      <c r="AB970">
        <f>IF(AA970=C970,1,0)</f>
        <v/>
      </c>
    </row>
    <row r="971">
      <c r="A971">
        <f>'1 datos preparados'!A964</f>
        <v/>
      </c>
      <c r="B971" s="5">
        <f>'1 datos preparados'!U964</f>
        <v/>
      </c>
      <c r="C971">
        <f>'1 datos preparados'!B964</f>
        <v/>
      </c>
      <c r="D971" s="7">
        <f>'1 datos preparados'!C964</f>
        <v/>
      </c>
      <c r="E971" s="7">
        <f>'1 datos preparados'!D964</f>
        <v/>
      </c>
      <c r="F971" s="7">
        <f>'1 datos preparados'!E964</f>
        <v/>
      </c>
      <c r="G971" s="7">
        <f>'1 datos preparados'!F964</f>
        <v/>
      </c>
      <c r="H971" s="7">
        <f>'1 datos preparados'!G964</f>
        <v/>
      </c>
      <c r="I971" s="7">
        <f>'1 datos preparados'!H964</f>
        <v/>
      </c>
      <c r="J971" s="7">
        <f>'1 datos preparados'!I964</f>
        <v/>
      </c>
      <c r="K971" s="7">
        <f>'1 datos preparados'!J964</f>
        <v/>
      </c>
      <c r="L971" s="7">
        <f>'1 datos preparados'!K964</f>
        <v/>
      </c>
      <c r="M971" s="7">
        <f>'1 datos preparados'!L964</f>
        <v/>
      </c>
      <c r="N971" s="7">
        <f>'1 datos preparados'!M964</f>
        <v/>
      </c>
      <c r="O971" s="7">
        <f>'1 datos preparados'!N964</f>
        <v/>
      </c>
      <c r="P971" s="7">
        <f>'1 datos preparados'!O964</f>
        <v/>
      </c>
      <c r="Q971" s="7">
        <f>'1 datos preparados'!P964</f>
        <v/>
      </c>
      <c r="R971" s="7">
        <f>'1 datos preparados'!Q964</f>
        <v/>
      </c>
      <c r="S971" s="7">
        <f>'1 datos preparados'!R964</f>
        <v/>
      </c>
      <c r="T971" s="7">
        <f>'1 datos preparados'!S964</f>
        <v/>
      </c>
      <c r="U971" s="7">
        <f>'1 datos preparados'!T964</f>
        <v/>
      </c>
      <c r="V971" s="8">
        <f>$AE$12+D971*$AE$13+E971*$AE$14+F971*$AE$15+G971*$AE$16+H971*$AE$17+I971*$AE$18+J971*$AE$19+K971*$AE$20+L971*$AE$21+M971*$AE$22+N971*$AE$23+O971*$AE$24+P971*$AE$25+Q971*$AE$26+R971*$AE$27+S971*$AE$28+T971*$AE$29+U971*$AE$30</f>
        <v/>
      </c>
      <c r="W971" s="8">
        <f>1/(1+EXP(-V971))</f>
        <v/>
      </c>
      <c r="X971" s="9">
        <f>-IF(C971=1,LN(W971),LN(1-W971))</f>
        <v/>
      </c>
      <c r="Y971" s="8">
        <f>IF(C971=1,$AE$32,$AE$33)</f>
        <v/>
      </c>
      <c r="Z971" s="9">
        <f>Y971*X971</f>
        <v/>
      </c>
      <c r="AA971" s="10">
        <f>IF(W971&gt;$AE$34,1,0)</f>
        <v/>
      </c>
      <c r="AB971">
        <f>IF(AA971=C971,1,0)</f>
        <v/>
      </c>
    </row>
    <row r="972">
      <c r="A972">
        <f>'1 datos preparados'!A965</f>
        <v/>
      </c>
      <c r="B972" s="5">
        <f>'1 datos preparados'!U965</f>
        <v/>
      </c>
      <c r="C972">
        <f>'1 datos preparados'!B965</f>
        <v/>
      </c>
      <c r="D972" s="7">
        <f>'1 datos preparados'!C965</f>
        <v/>
      </c>
      <c r="E972" s="7">
        <f>'1 datos preparados'!D965</f>
        <v/>
      </c>
      <c r="F972" s="7">
        <f>'1 datos preparados'!E965</f>
        <v/>
      </c>
      <c r="G972" s="7">
        <f>'1 datos preparados'!F965</f>
        <v/>
      </c>
      <c r="H972" s="7">
        <f>'1 datos preparados'!G965</f>
        <v/>
      </c>
      <c r="I972" s="7">
        <f>'1 datos preparados'!H965</f>
        <v/>
      </c>
      <c r="J972" s="7">
        <f>'1 datos preparados'!I965</f>
        <v/>
      </c>
      <c r="K972" s="7">
        <f>'1 datos preparados'!J965</f>
        <v/>
      </c>
      <c r="L972" s="7">
        <f>'1 datos preparados'!K965</f>
        <v/>
      </c>
      <c r="M972" s="7">
        <f>'1 datos preparados'!L965</f>
        <v/>
      </c>
      <c r="N972" s="7">
        <f>'1 datos preparados'!M965</f>
        <v/>
      </c>
      <c r="O972" s="7">
        <f>'1 datos preparados'!N965</f>
        <v/>
      </c>
      <c r="P972" s="7">
        <f>'1 datos preparados'!O965</f>
        <v/>
      </c>
      <c r="Q972" s="7">
        <f>'1 datos preparados'!P965</f>
        <v/>
      </c>
      <c r="R972" s="7">
        <f>'1 datos preparados'!Q965</f>
        <v/>
      </c>
      <c r="S972" s="7">
        <f>'1 datos preparados'!R965</f>
        <v/>
      </c>
      <c r="T972" s="7">
        <f>'1 datos preparados'!S965</f>
        <v/>
      </c>
      <c r="U972" s="7">
        <f>'1 datos preparados'!T965</f>
        <v/>
      </c>
      <c r="V972" s="8">
        <f>$AE$12+D972*$AE$13+E972*$AE$14+F972*$AE$15+G972*$AE$16+H972*$AE$17+I972*$AE$18+J972*$AE$19+K972*$AE$20+L972*$AE$21+M972*$AE$22+N972*$AE$23+O972*$AE$24+P972*$AE$25+Q972*$AE$26+R972*$AE$27+S972*$AE$28+T972*$AE$29+U972*$AE$30</f>
        <v/>
      </c>
      <c r="W972" s="8">
        <f>1/(1+EXP(-V972))</f>
        <v/>
      </c>
      <c r="X972" s="9">
        <f>-IF(C972=1,LN(W972),LN(1-W972))</f>
        <v/>
      </c>
      <c r="Y972" s="8">
        <f>IF(C972=1,$AE$32,$AE$33)</f>
        <v/>
      </c>
      <c r="Z972" s="9">
        <f>Y972*X972</f>
        <v/>
      </c>
      <c r="AA972" s="10">
        <f>IF(W972&gt;$AE$34,1,0)</f>
        <v/>
      </c>
      <c r="AB972">
        <f>IF(AA972=C972,1,0)</f>
        <v/>
      </c>
    </row>
    <row r="973">
      <c r="A973">
        <f>'1 datos preparados'!A966</f>
        <v/>
      </c>
      <c r="B973" s="5">
        <f>'1 datos preparados'!U966</f>
        <v/>
      </c>
      <c r="C973">
        <f>'1 datos preparados'!B966</f>
        <v/>
      </c>
      <c r="D973" s="7">
        <f>'1 datos preparados'!C966</f>
        <v/>
      </c>
      <c r="E973" s="7">
        <f>'1 datos preparados'!D966</f>
        <v/>
      </c>
      <c r="F973" s="7">
        <f>'1 datos preparados'!E966</f>
        <v/>
      </c>
      <c r="G973" s="7">
        <f>'1 datos preparados'!F966</f>
        <v/>
      </c>
      <c r="H973" s="7">
        <f>'1 datos preparados'!G966</f>
        <v/>
      </c>
      <c r="I973" s="7">
        <f>'1 datos preparados'!H966</f>
        <v/>
      </c>
      <c r="J973" s="7">
        <f>'1 datos preparados'!I966</f>
        <v/>
      </c>
      <c r="K973" s="7">
        <f>'1 datos preparados'!J966</f>
        <v/>
      </c>
      <c r="L973" s="7">
        <f>'1 datos preparados'!K966</f>
        <v/>
      </c>
      <c r="M973" s="7">
        <f>'1 datos preparados'!L966</f>
        <v/>
      </c>
      <c r="N973" s="7">
        <f>'1 datos preparados'!M966</f>
        <v/>
      </c>
      <c r="O973" s="7">
        <f>'1 datos preparados'!N966</f>
        <v/>
      </c>
      <c r="P973" s="7">
        <f>'1 datos preparados'!O966</f>
        <v/>
      </c>
      <c r="Q973" s="7">
        <f>'1 datos preparados'!P966</f>
        <v/>
      </c>
      <c r="R973" s="7">
        <f>'1 datos preparados'!Q966</f>
        <v/>
      </c>
      <c r="S973" s="7">
        <f>'1 datos preparados'!R966</f>
        <v/>
      </c>
      <c r="T973" s="7">
        <f>'1 datos preparados'!S966</f>
        <v/>
      </c>
      <c r="U973" s="7">
        <f>'1 datos preparados'!T966</f>
        <v/>
      </c>
      <c r="V973" s="8">
        <f>$AE$12+D973*$AE$13+E973*$AE$14+F973*$AE$15+G973*$AE$16+H973*$AE$17+I973*$AE$18+J973*$AE$19+K973*$AE$20+L973*$AE$21+M973*$AE$22+N973*$AE$23+O973*$AE$24+P973*$AE$25+Q973*$AE$26+R973*$AE$27+S973*$AE$28+T973*$AE$29+U973*$AE$30</f>
        <v/>
      </c>
      <c r="W973" s="8">
        <f>1/(1+EXP(-V973))</f>
        <v/>
      </c>
      <c r="X973" s="9">
        <f>-IF(C973=1,LN(W973),LN(1-W973))</f>
        <v/>
      </c>
      <c r="Y973" s="8">
        <f>IF(C973=1,$AE$32,$AE$33)</f>
        <v/>
      </c>
      <c r="Z973" s="9">
        <f>Y973*X973</f>
        <v/>
      </c>
      <c r="AA973" s="10">
        <f>IF(W973&gt;$AE$34,1,0)</f>
        <v/>
      </c>
      <c r="AB973">
        <f>IF(AA973=C973,1,0)</f>
        <v/>
      </c>
    </row>
    <row r="974">
      <c r="A974">
        <f>'1 datos preparados'!A967</f>
        <v/>
      </c>
      <c r="B974" s="5">
        <f>'1 datos preparados'!U967</f>
        <v/>
      </c>
      <c r="C974">
        <f>'1 datos preparados'!B967</f>
        <v/>
      </c>
      <c r="D974" s="7">
        <f>'1 datos preparados'!C967</f>
        <v/>
      </c>
      <c r="E974" s="7">
        <f>'1 datos preparados'!D967</f>
        <v/>
      </c>
      <c r="F974" s="7">
        <f>'1 datos preparados'!E967</f>
        <v/>
      </c>
      <c r="G974" s="7">
        <f>'1 datos preparados'!F967</f>
        <v/>
      </c>
      <c r="H974" s="7">
        <f>'1 datos preparados'!G967</f>
        <v/>
      </c>
      <c r="I974" s="7">
        <f>'1 datos preparados'!H967</f>
        <v/>
      </c>
      <c r="J974" s="7">
        <f>'1 datos preparados'!I967</f>
        <v/>
      </c>
      <c r="K974" s="7">
        <f>'1 datos preparados'!J967</f>
        <v/>
      </c>
      <c r="L974" s="7">
        <f>'1 datos preparados'!K967</f>
        <v/>
      </c>
      <c r="M974" s="7">
        <f>'1 datos preparados'!L967</f>
        <v/>
      </c>
      <c r="N974" s="7">
        <f>'1 datos preparados'!M967</f>
        <v/>
      </c>
      <c r="O974" s="7">
        <f>'1 datos preparados'!N967</f>
        <v/>
      </c>
      <c r="P974" s="7">
        <f>'1 datos preparados'!O967</f>
        <v/>
      </c>
      <c r="Q974" s="7">
        <f>'1 datos preparados'!P967</f>
        <v/>
      </c>
      <c r="R974" s="7">
        <f>'1 datos preparados'!Q967</f>
        <v/>
      </c>
      <c r="S974" s="7">
        <f>'1 datos preparados'!R967</f>
        <v/>
      </c>
      <c r="T974" s="7">
        <f>'1 datos preparados'!S967</f>
        <v/>
      </c>
      <c r="U974" s="7">
        <f>'1 datos preparados'!T967</f>
        <v/>
      </c>
      <c r="V974" s="8">
        <f>$AE$12+D974*$AE$13+E974*$AE$14+F974*$AE$15+G974*$AE$16+H974*$AE$17+I974*$AE$18+J974*$AE$19+K974*$AE$20+L974*$AE$21+M974*$AE$22+N974*$AE$23+O974*$AE$24+P974*$AE$25+Q974*$AE$26+R974*$AE$27+S974*$AE$28+T974*$AE$29+U974*$AE$30</f>
        <v/>
      </c>
      <c r="W974" s="8">
        <f>1/(1+EXP(-V974))</f>
        <v/>
      </c>
      <c r="X974" s="9">
        <f>-IF(C974=1,LN(W974),LN(1-W974))</f>
        <v/>
      </c>
      <c r="Y974" s="8">
        <f>IF(C974=1,$AE$32,$AE$33)</f>
        <v/>
      </c>
      <c r="Z974" s="9">
        <f>Y974*X974</f>
        <v/>
      </c>
      <c r="AA974" s="10">
        <f>IF(W974&gt;$AE$34,1,0)</f>
        <v/>
      </c>
      <c r="AB974">
        <f>IF(AA974=C974,1,0)</f>
        <v/>
      </c>
    </row>
    <row r="975">
      <c r="A975">
        <f>'1 datos preparados'!A968</f>
        <v/>
      </c>
      <c r="B975" s="5">
        <f>'1 datos preparados'!U968</f>
        <v/>
      </c>
      <c r="C975">
        <f>'1 datos preparados'!B968</f>
        <v/>
      </c>
      <c r="D975" s="7">
        <f>'1 datos preparados'!C968</f>
        <v/>
      </c>
      <c r="E975" s="7">
        <f>'1 datos preparados'!D968</f>
        <v/>
      </c>
      <c r="F975" s="7">
        <f>'1 datos preparados'!E968</f>
        <v/>
      </c>
      <c r="G975" s="7">
        <f>'1 datos preparados'!F968</f>
        <v/>
      </c>
      <c r="H975" s="7">
        <f>'1 datos preparados'!G968</f>
        <v/>
      </c>
      <c r="I975" s="7">
        <f>'1 datos preparados'!H968</f>
        <v/>
      </c>
      <c r="J975" s="7">
        <f>'1 datos preparados'!I968</f>
        <v/>
      </c>
      <c r="K975" s="7">
        <f>'1 datos preparados'!J968</f>
        <v/>
      </c>
      <c r="L975" s="7">
        <f>'1 datos preparados'!K968</f>
        <v/>
      </c>
      <c r="M975" s="7">
        <f>'1 datos preparados'!L968</f>
        <v/>
      </c>
      <c r="N975" s="7">
        <f>'1 datos preparados'!M968</f>
        <v/>
      </c>
      <c r="O975" s="7">
        <f>'1 datos preparados'!N968</f>
        <v/>
      </c>
      <c r="P975" s="7">
        <f>'1 datos preparados'!O968</f>
        <v/>
      </c>
      <c r="Q975" s="7">
        <f>'1 datos preparados'!P968</f>
        <v/>
      </c>
      <c r="R975" s="7">
        <f>'1 datos preparados'!Q968</f>
        <v/>
      </c>
      <c r="S975" s="7">
        <f>'1 datos preparados'!R968</f>
        <v/>
      </c>
      <c r="T975" s="7">
        <f>'1 datos preparados'!S968</f>
        <v/>
      </c>
      <c r="U975" s="7">
        <f>'1 datos preparados'!T968</f>
        <v/>
      </c>
      <c r="V975" s="8">
        <f>$AE$12+D975*$AE$13+E975*$AE$14+F975*$AE$15+G975*$AE$16+H975*$AE$17+I975*$AE$18+J975*$AE$19+K975*$AE$20+L975*$AE$21+M975*$AE$22+N975*$AE$23+O975*$AE$24+P975*$AE$25+Q975*$AE$26+R975*$AE$27+S975*$AE$28+T975*$AE$29+U975*$AE$30</f>
        <v/>
      </c>
      <c r="W975" s="8">
        <f>1/(1+EXP(-V975))</f>
        <v/>
      </c>
      <c r="X975" s="9">
        <f>-IF(C975=1,LN(W975),LN(1-W975))</f>
        <v/>
      </c>
      <c r="Y975" s="8">
        <f>IF(C975=1,$AE$32,$AE$33)</f>
        <v/>
      </c>
      <c r="Z975" s="9">
        <f>Y975*X975</f>
        <v/>
      </c>
      <c r="AA975" s="10">
        <f>IF(W975&gt;$AE$34,1,0)</f>
        <v/>
      </c>
      <c r="AB975">
        <f>IF(AA975=C975,1,0)</f>
        <v/>
      </c>
    </row>
    <row r="976">
      <c r="A976">
        <f>'1 datos preparados'!A969</f>
        <v/>
      </c>
      <c r="B976" s="5">
        <f>'1 datos preparados'!U969</f>
        <v/>
      </c>
      <c r="C976">
        <f>'1 datos preparados'!B969</f>
        <v/>
      </c>
      <c r="D976" s="7">
        <f>'1 datos preparados'!C969</f>
        <v/>
      </c>
      <c r="E976" s="7">
        <f>'1 datos preparados'!D969</f>
        <v/>
      </c>
      <c r="F976" s="7">
        <f>'1 datos preparados'!E969</f>
        <v/>
      </c>
      <c r="G976" s="7">
        <f>'1 datos preparados'!F969</f>
        <v/>
      </c>
      <c r="H976" s="7">
        <f>'1 datos preparados'!G969</f>
        <v/>
      </c>
      <c r="I976" s="7">
        <f>'1 datos preparados'!H969</f>
        <v/>
      </c>
      <c r="J976" s="7">
        <f>'1 datos preparados'!I969</f>
        <v/>
      </c>
      <c r="K976" s="7">
        <f>'1 datos preparados'!J969</f>
        <v/>
      </c>
      <c r="L976" s="7">
        <f>'1 datos preparados'!K969</f>
        <v/>
      </c>
      <c r="M976" s="7">
        <f>'1 datos preparados'!L969</f>
        <v/>
      </c>
      <c r="N976" s="7">
        <f>'1 datos preparados'!M969</f>
        <v/>
      </c>
      <c r="O976" s="7">
        <f>'1 datos preparados'!N969</f>
        <v/>
      </c>
      <c r="P976" s="7">
        <f>'1 datos preparados'!O969</f>
        <v/>
      </c>
      <c r="Q976" s="7">
        <f>'1 datos preparados'!P969</f>
        <v/>
      </c>
      <c r="R976" s="7">
        <f>'1 datos preparados'!Q969</f>
        <v/>
      </c>
      <c r="S976" s="7">
        <f>'1 datos preparados'!R969</f>
        <v/>
      </c>
      <c r="T976" s="7">
        <f>'1 datos preparados'!S969</f>
        <v/>
      </c>
      <c r="U976" s="7">
        <f>'1 datos preparados'!T969</f>
        <v/>
      </c>
      <c r="V976" s="8">
        <f>$AE$12+D976*$AE$13+E976*$AE$14+F976*$AE$15+G976*$AE$16+H976*$AE$17+I976*$AE$18+J976*$AE$19+K976*$AE$20+L976*$AE$21+M976*$AE$22+N976*$AE$23+O976*$AE$24+P976*$AE$25+Q976*$AE$26+R976*$AE$27+S976*$AE$28+T976*$AE$29+U976*$AE$30</f>
        <v/>
      </c>
      <c r="W976" s="8">
        <f>1/(1+EXP(-V976))</f>
        <v/>
      </c>
      <c r="X976" s="9">
        <f>-IF(C976=1,LN(W976),LN(1-W976))</f>
        <v/>
      </c>
      <c r="Y976" s="8">
        <f>IF(C976=1,$AE$32,$AE$33)</f>
        <v/>
      </c>
      <c r="Z976" s="9">
        <f>Y976*X976</f>
        <v/>
      </c>
      <c r="AA976" s="10">
        <f>IF(W976&gt;$AE$34,1,0)</f>
        <v/>
      </c>
      <c r="AB976">
        <f>IF(AA976=C976,1,0)</f>
        <v/>
      </c>
    </row>
    <row r="977">
      <c r="A977">
        <f>'1 datos preparados'!A970</f>
        <v/>
      </c>
      <c r="B977" s="5">
        <f>'1 datos preparados'!U970</f>
        <v/>
      </c>
      <c r="C977">
        <f>'1 datos preparados'!B970</f>
        <v/>
      </c>
      <c r="D977" s="7">
        <f>'1 datos preparados'!C970</f>
        <v/>
      </c>
      <c r="E977" s="7">
        <f>'1 datos preparados'!D970</f>
        <v/>
      </c>
      <c r="F977" s="7">
        <f>'1 datos preparados'!E970</f>
        <v/>
      </c>
      <c r="G977" s="7">
        <f>'1 datos preparados'!F970</f>
        <v/>
      </c>
      <c r="H977" s="7">
        <f>'1 datos preparados'!G970</f>
        <v/>
      </c>
      <c r="I977" s="7">
        <f>'1 datos preparados'!H970</f>
        <v/>
      </c>
      <c r="J977" s="7">
        <f>'1 datos preparados'!I970</f>
        <v/>
      </c>
      <c r="K977" s="7">
        <f>'1 datos preparados'!J970</f>
        <v/>
      </c>
      <c r="L977" s="7">
        <f>'1 datos preparados'!K970</f>
        <v/>
      </c>
      <c r="M977" s="7">
        <f>'1 datos preparados'!L970</f>
        <v/>
      </c>
      <c r="N977" s="7">
        <f>'1 datos preparados'!M970</f>
        <v/>
      </c>
      <c r="O977" s="7">
        <f>'1 datos preparados'!N970</f>
        <v/>
      </c>
      <c r="P977" s="7">
        <f>'1 datos preparados'!O970</f>
        <v/>
      </c>
      <c r="Q977" s="7">
        <f>'1 datos preparados'!P970</f>
        <v/>
      </c>
      <c r="R977" s="7">
        <f>'1 datos preparados'!Q970</f>
        <v/>
      </c>
      <c r="S977" s="7">
        <f>'1 datos preparados'!R970</f>
        <v/>
      </c>
      <c r="T977" s="7">
        <f>'1 datos preparados'!S970</f>
        <v/>
      </c>
      <c r="U977" s="7">
        <f>'1 datos preparados'!T970</f>
        <v/>
      </c>
      <c r="V977" s="8">
        <f>$AE$12+D977*$AE$13+E977*$AE$14+F977*$AE$15+G977*$AE$16+H977*$AE$17+I977*$AE$18+J977*$AE$19+K977*$AE$20+L977*$AE$21+M977*$AE$22+N977*$AE$23+O977*$AE$24+P977*$AE$25+Q977*$AE$26+R977*$AE$27+S977*$AE$28+T977*$AE$29+U977*$AE$30</f>
        <v/>
      </c>
      <c r="W977" s="8">
        <f>1/(1+EXP(-V977))</f>
        <v/>
      </c>
      <c r="X977" s="9">
        <f>-IF(C977=1,LN(W977),LN(1-W977))</f>
        <v/>
      </c>
      <c r="Y977" s="8">
        <f>IF(C977=1,$AE$32,$AE$33)</f>
        <v/>
      </c>
      <c r="Z977" s="9">
        <f>Y977*X977</f>
        <v/>
      </c>
      <c r="AA977" s="10">
        <f>IF(W977&gt;$AE$34,1,0)</f>
        <v/>
      </c>
      <c r="AB977">
        <f>IF(AA977=C977,1,0)</f>
        <v/>
      </c>
    </row>
    <row r="978">
      <c r="A978">
        <f>'1 datos preparados'!A971</f>
        <v/>
      </c>
      <c r="B978" s="5">
        <f>'1 datos preparados'!U971</f>
        <v/>
      </c>
      <c r="C978">
        <f>'1 datos preparados'!B971</f>
        <v/>
      </c>
      <c r="D978" s="7">
        <f>'1 datos preparados'!C971</f>
        <v/>
      </c>
      <c r="E978" s="7">
        <f>'1 datos preparados'!D971</f>
        <v/>
      </c>
      <c r="F978" s="7">
        <f>'1 datos preparados'!E971</f>
        <v/>
      </c>
      <c r="G978" s="7">
        <f>'1 datos preparados'!F971</f>
        <v/>
      </c>
      <c r="H978" s="7">
        <f>'1 datos preparados'!G971</f>
        <v/>
      </c>
      <c r="I978" s="7">
        <f>'1 datos preparados'!H971</f>
        <v/>
      </c>
      <c r="J978" s="7">
        <f>'1 datos preparados'!I971</f>
        <v/>
      </c>
      <c r="K978" s="7">
        <f>'1 datos preparados'!J971</f>
        <v/>
      </c>
      <c r="L978" s="7">
        <f>'1 datos preparados'!K971</f>
        <v/>
      </c>
      <c r="M978" s="7">
        <f>'1 datos preparados'!L971</f>
        <v/>
      </c>
      <c r="N978" s="7">
        <f>'1 datos preparados'!M971</f>
        <v/>
      </c>
      <c r="O978" s="7">
        <f>'1 datos preparados'!N971</f>
        <v/>
      </c>
      <c r="P978" s="7">
        <f>'1 datos preparados'!O971</f>
        <v/>
      </c>
      <c r="Q978" s="7">
        <f>'1 datos preparados'!P971</f>
        <v/>
      </c>
      <c r="R978" s="7">
        <f>'1 datos preparados'!Q971</f>
        <v/>
      </c>
      <c r="S978" s="7">
        <f>'1 datos preparados'!R971</f>
        <v/>
      </c>
      <c r="T978" s="7">
        <f>'1 datos preparados'!S971</f>
        <v/>
      </c>
      <c r="U978" s="7">
        <f>'1 datos preparados'!T971</f>
        <v/>
      </c>
      <c r="V978" s="8">
        <f>$AE$12+D978*$AE$13+E978*$AE$14+F978*$AE$15+G978*$AE$16+H978*$AE$17+I978*$AE$18+J978*$AE$19+K978*$AE$20+L978*$AE$21+M978*$AE$22+N978*$AE$23+O978*$AE$24+P978*$AE$25+Q978*$AE$26+R978*$AE$27+S978*$AE$28+T978*$AE$29+U978*$AE$30</f>
        <v/>
      </c>
      <c r="W978" s="8">
        <f>1/(1+EXP(-V978))</f>
        <v/>
      </c>
      <c r="X978" s="9">
        <f>-IF(C978=1,LN(W978),LN(1-W978))</f>
        <v/>
      </c>
      <c r="Y978" s="8">
        <f>IF(C978=1,$AE$32,$AE$33)</f>
        <v/>
      </c>
      <c r="Z978" s="9">
        <f>Y978*X978</f>
        <v/>
      </c>
      <c r="AA978" s="10">
        <f>IF(W978&gt;$AE$34,1,0)</f>
        <v/>
      </c>
      <c r="AB978">
        <f>IF(AA978=C978,1,0)</f>
        <v/>
      </c>
    </row>
    <row r="979">
      <c r="A979">
        <f>'1 datos preparados'!A972</f>
        <v/>
      </c>
      <c r="B979" s="5">
        <f>'1 datos preparados'!U972</f>
        <v/>
      </c>
      <c r="C979">
        <f>'1 datos preparados'!B972</f>
        <v/>
      </c>
      <c r="D979" s="7">
        <f>'1 datos preparados'!C972</f>
        <v/>
      </c>
      <c r="E979" s="7">
        <f>'1 datos preparados'!D972</f>
        <v/>
      </c>
      <c r="F979" s="7">
        <f>'1 datos preparados'!E972</f>
        <v/>
      </c>
      <c r="G979" s="7">
        <f>'1 datos preparados'!F972</f>
        <v/>
      </c>
      <c r="H979" s="7">
        <f>'1 datos preparados'!G972</f>
        <v/>
      </c>
      <c r="I979" s="7">
        <f>'1 datos preparados'!H972</f>
        <v/>
      </c>
      <c r="J979" s="7">
        <f>'1 datos preparados'!I972</f>
        <v/>
      </c>
      <c r="K979" s="7">
        <f>'1 datos preparados'!J972</f>
        <v/>
      </c>
      <c r="L979" s="7">
        <f>'1 datos preparados'!K972</f>
        <v/>
      </c>
      <c r="M979" s="7">
        <f>'1 datos preparados'!L972</f>
        <v/>
      </c>
      <c r="N979" s="7">
        <f>'1 datos preparados'!M972</f>
        <v/>
      </c>
      <c r="O979" s="7">
        <f>'1 datos preparados'!N972</f>
        <v/>
      </c>
      <c r="P979" s="7">
        <f>'1 datos preparados'!O972</f>
        <v/>
      </c>
      <c r="Q979" s="7">
        <f>'1 datos preparados'!P972</f>
        <v/>
      </c>
      <c r="R979" s="7">
        <f>'1 datos preparados'!Q972</f>
        <v/>
      </c>
      <c r="S979" s="7">
        <f>'1 datos preparados'!R972</f>
        <v/>
      </c>
      <c r="T979" s="7">
        <f>'1 datos preparados'!S972</f>
        <v/>
      </c>
      <c r="U979" s="7">
        <f>'1 datos preparados'!T972</f>
        <v/>
      </c>
      <c r="V979" s="8">
        <f>$AE$12+D979*$AE$13+E979*$AE$14+F979*$AE$15+G979*$AE$16+H979*$AE$17+I979*$AE$18+J979*$AE$19+K979*$AE$20+L979*$AE$21+M979*$AE$22+N979*$AE$23+O979*$AE$24+P979*$AE$25+Q979*$AE$26+R979*$AE$27+S979*$AE$28+T979*$AE$29+U979*$AE$30</f>
        <v/>
      </c>
      <c r="W979" s="8">
        <f>1/(1+EXP(-V979))</f>
        <v/>
      </c>
      <c r="X979" s="9">
        <f>-IF(C979=1,LN(W979),LN(1-W979))</f>
        <v/>
      </c>
      <c r="Y979" s="8">
        <f>IF(C979=1,$AE$32,$AE$33)</f>
        <v/>
      </c>
      <c r="Z979" s="9">
        <f>Y979*X979</f>
        <v/>
      </c>
      <c r="AA979" s="10">
        <f>IF(W979&gt;$AE$34,1,0)</f>
        <v/>
      </c>
      <c r="AB979">
        <f>IF(AA979=C979,1,0)</f>
        <v/>
      </c>
    </row>
    <row r="980">
      <c r="A980">
        <f>'1 datos preparados'!A973</f>
        <v/>
      </c>
      <c r="B980" s="5">
        <f>'1 datos preparados'!U973</f>
        <v/>
      </c>
      <c r="C980">
        <f>'1 datos preparados'!B973</f>
        <v/>
      </c>
      <c r="D980" s="7">
        <f>'1 datos preparados'!C973</f>
        <v/>
      </c>
      <c r="E980" s="7">
        <f>'1 datos preparados'!D973</f>
        <v/>
      </c>
      <c r="F980" s="7">
        <f>'1 datos preparados'!E973</f>
        <v/>
      </c>
      <c r="G980" s="7">
        <f>'1 datos preparados'!F973</f>
        <v/>
      </c>
      <c r="H980" s="7">
        <f>'1 datos preparados'!G973</f>
        <v/>
      </c>
      <c r="I980" s="7">
        <f>'1 datos preparados'!H973</f>
        <v/>
      </c>
      <c r="J980" s="7">
        <f>'1 datos preparados'!I973</f>
        <v/>
      </c>
      <c r="K980" s="7">
        <f>'1 datos preparados'!J973</f>
        <v/>
      </c>
      <c r="L980" s="7">
        <f>'1 datos preparados'!K973</f>
        <v/>
      </c>
      <c r="M980" s="7">
        <f>'1 datos preparados'!L973</f>
        <v/>
      </c>
      <c r="N980" s="7">
        <f>'1 datos preparados'!M973</f>
        <v/>
      </c>
      <c r="O980" s="7">
        <f>'1 datos preparados'!N973</f>
        <v/>
      </c>
      <c r="P980" s="7">
        <f>'1 datos preparados'!O973</f>
        <v/>
      </c>
      <c r="Q980" s="7">
        <f>'1 datos preparados'!P973</f>
        <v/>
      </c>
      <c r="R980" s="7">
        <f>'1 datos preparados'!Q973</f>
        <v/>
      </c>
      <c r="S980" s="7">
        <f>'1 datos preparados'!R973</f>
        <v/>
      </c>
      <c r="T980" s="7">
        <f>'1 datos preparados'!S973</f>
        <v/>
      </c>
      <c r="U980" s="7">
        <f>'1 datos preparados'!T973</f>
        <v/>
      </c>
      <c r="V980" s="8">
        <f>$AE$12+D980*$AE$13+E980*$AE$14+F980*$AE$15+G980*$AE$16+H980*$AE$17+I980*$AE$18+J980*$AE$19+K980*$AE$20+L980*$AE$21+M980*$AE$22+N980*$AE$23+O980*$AE$24+P980*$AE$25+Q980*$AE$26+R980*$AE$27+S980*$AE$28+T980*$AE$29+U980*$AE$30</f>
        <v/>
      </c>
      <c r="W980" s="8">
        <f>1/(1+EXP(-V980))</f>
        <v/>
      </c>
      <c r="X980" s="9">
        <f>-IF(C980=1,LN(W980),LN(1-W980))</f>
        <v/>
      </c>
      <c r="Y980" s="8">
        <f>IF(C980=1,$AE$32,$AE$33)</f>
        <v/>
      </c>
      <c r="Z980" s="9">
        <f>Y980*X980</f>
        <v/>
      </c>
      <c r="AA980" s="10">
        <f>IF(W980&gt;$AE$34,1,0)</f>
        <v/>
      </c>
      <c r="AB980">
        <f>IF(AA980=C980,1,0)</f>
        <v/>
      </c>
    </row>
    <row r="981">
      <c r="A981">
        <f>'1 datos preparados'!A974</f>
        <v/>
      </c>
      <c r="B981" s="5">
        <f>'1 datos preparados'!U974</f>
        <v/>
      </c>
      <c r="C981">
        <f>'1 datos preparados'!B974</f>
        <v/>
      </c>
      <c r="D981" s="7">
        <f>'1 datos preparados'!C974</f>
        <v/>
      </c>
      <c r="E981" s="7">
        <f>'1 datos preparados'!D974</f>
        <v/>
      </c>
      <c r="F981" s="7">
        <f>'1 datos preparados'!E974</f>
        <v/>
      </c>
      <c r="G981" s="7">
        <f>'1 datos preparados'!F974</f>
        <v/>
      </c>
      <c r="H981" s="7">
        <f>'1 datos preparados'!G974</f>
        <v/>
      </c>
      <c r="I981" s="7">
        <f>'1 datos preparados'!H974</f>
        <v/>
      </c>
      <c r="J981" s="7">
        <f>'1 datos preparados'!I974</f>
        <v/>
      </c>
      <c r="K981" s="7">
        <f>'1 datos preparados'!J974</f>
        <v/>
      </c>
      <c r="L981" s="7">
        <f>'1 datos preparados'!K974</f>
        <v/>
      </c>
      <c r="M981" s="7">
        <f>'1 datos preparados'!L974</f>
        <v/>
      </c>
      <c r="N981" s="7">
        <f>'1 datos preparados'!M974</f>
        <v/>
      </c>
      <c r="O981" s="7">
        <f>'1 datos preparados'!N974</f>
        <v/>
      </c>
      <c r="P981" s="7">
        <f>'1 datos preparados'!O974</f>
        <v/>
      </c>
      <c r="Q981" s="7">
        <f>'1 datos preparados'!P974</f>
        <v/>
      </c>
      <c r="R981" s="7">
        <f>'1 datos preparados'!Q974</f>
        <v/>
      </c>
      <c r="S981" s="7">
        <f>'1 datos preparados'!R974</f>
        <v/>
      </c>
      <c r="T981" s="7">
        <f>'1 datos preparados'!S974</f>
        <v/>
      </c>
      <c r="U981" s="7">
        <f>'1 datos preparados'!T974</f>
        <v/>
      </c>
      <c r="V981" s="8">
        <f>$AE$12+D981*$AE$13+E981*$AE$14+F981*$AE$15+G981*$AE$16+H981*$AE$17+I981*$AE$18+J981*$AE$19+K981*$AE$20+L981*$AE$21+M981*$AE$22+N981*$AE$23+O981*$AE$24+P981*$AE$25+Q981*$AE$26+R981*$AE$27+S981*$AE$28+T981*$AE$29+U981*$AE$30</f>
        <v/>
      </c>
      <c r="W981" s="8">
        <f>1/(1+EXP(-V981))</f>
        <v/>
      </c>
      <c r="X981" s="9">
        <f>-IF(C981=1,LN(W981),LN(1-W981))</f>
        <v/>
      </c>
      <c r="Y981" s="8">
        <f>IF(C981=1,$AE$32,$AE$33)</f>
        <v/>
      </c>
      <c r="Z981" s="9">
        <f>Y981*X981</f>
        <v/>
      </c>
      <c r="AA981" s="10">
        <f>IF(W981&gt;$AE$34,1,0)</f>
        <v/>
      </c>
      <c r="AB981">
        <f>IF(AA981=C981,1,0)</f>
        <v/>
      </c>
    </row>
    <row r="982">
      <c r="A982">
        <f>'1 datos preparados'!A975</f>
        <v/>
      </c>
      <c r="B982" s="5">
        <f>'1 datos preparados'!U975</f>
        <v/>
      </c>
      <c r="C982">
        <f>'1 datos preparados'!B975</f>
        <v/>
      </c>
      <c r="D982" s="7">
        <f>'1 datos preparados'!C975</f>
        <v/>
      </c>
      <c r="E982" s="7">
        <f>'1 datos preparados'!D975</f>
        <v/>
      </c>
      <c r="F982" s="7">
        <f>'1 datos preparados'!E975</f>
        <v/>
      </c>
      <c r="G982" s="7">
        <f>'1 datos preparados'!F975</f>
        <v/>
      </c>
      <c r="H982" s="7">
        <f>'1 datos preparados'!G975</f>
        <v/>
      </c>
      <c r="I982" s="7">
        <f>'1 datos preparados'!H975</f>
        <v/>
      </c>
      <c r="J982" s="7">
        <f>'1 datos preparados'!I975</f>
        <v/>
      </c>
      <c r="K982" s="7">
        <f>'1 datos preparados'!J975</f>
        <v/>
      </c>
      <c r="L982" s="7">
        <f>'1 datos preparados'!K975</f>
        <v/>
      </c>
      <c r="M982" s="7">
        <f>'1 datos preparados'!L975</f>
        <v/>
      </c>
      <c r="N982" s="7">
        <f>'1 datos preparados'!M975</f>
        <v/>
      </c>
      <c r="O982" s="7">
        <f>'1 datos preparados'!N975</f>
        <v/>
      </c>
      <c r="P982" s="7">
        <f>'1 datos preparados'!O975</f>
        <v/>
      </c>
      <c r="Q982" s="7">
        <f>'1 datos preparados'!P975</f>
        <v/>
      </c>
      <c r="R982" s="7">
        <f>'1 datos preparados'!Q975</f>
        <v/>
      </c>
      <c r="S982" s="7">
        <f>'1 datos preparados'!R975</f>
        <v/>
      </c>
      <c r="T982" s="7">
        <f>'1 datos preparados'!S975</f>
        <v/>
      </c>
      <c r="U982" s="7">
        <f>'1 datos preparados'!T975</f>
        <v/>
      </c>
      <c r="V982" s="8">
        <f>$AE$12+D982*$AE$13+E982*$AE$14+F982*$AE$15+G982*$AE$16+H982*$AE$17+I982*$AE$18+J982*$AE$19+K982*$AE$20+L982*$AE$21+M982*$AE$22+N982*$AE$23+O982*$AE$24+P982*$AE$25+Q982*$AE$26+R982*$AE$27+S982*$AE$28+T982*$AE$29+U982*$AE$30</f>
        <v/>
      </c>
      <c r="W982" s="8">
        <f>1/(1+EXP(-V982))</f>
        <v/>
      </c>
      <c r="X982" s="9">
        <f>-IF(C982=1,LN(W982),LN(1-W982))</f>
        <v/>
      </c>
      <c r="Y982" s="8">
        <f>IF(C982=1,$AE$32,$AE$33)</f>
        <v/>
      </c>
      <c r="Z982" s="9">
        <f>Y982*X982</f>
        <v/>
      </c>
      <c r="AA982" s="10">
        <f>IF(W982&gt;$AE$34,1,0)</f>
        <v/>
      </c>
      <c r="AB982">
        <f>IF(AA982=C982,1,0)</f>
        <v/>
      </c>
    </row>
    <row r="983">
      <c r="A983">
        <f>'1 datos preparados'!A976</f>
        <v/>
      </c>
      <c r="B983" s="5">
        <f>'1 datos preparados'!U976</f>
        <v/>
      </c>
      <c r="C983">
        <f>'1 datos preparados'!B976</f>
        <v/>
      </c>
      <c r="D983" s="7">
        <f>'1 datos preparados'!C976</f>
        <v/>
      </c>
      <c r="E983" s="7">
        <f>'1 datos preparados'!D976</f>
        <v/>
      </c>
      <c r="F983" s="7">
        <f>'1 datos preparados'!E976</f>
        <v/>
      </c>
      <c r="G983" s="7">
        <f>'1 datos preparados'!F976</f>
        <v/>
      </c>
      <c r="H983" s="7">
        <f>'1 datos preparados'!G976</f>
        <v/>
      </c>
      <c r="I983" s="7">
        <f>'1 datos preparados'!H976</f>
        <v/>
      </c>
      <c r="J983" s="7">
        <f>'1 datos preparados'!I976</f>
        <v/>
      </c>
      <c r="K983" s="7">
        <f>'1 datos preparados'!J976</f>
        <v/>
      </c>
      <c r="L983" s="7">
        <f>'1 datos preparados'!K976</f>
        <v/>
      </c>
      <c r="M983" s="7">
        <f>'1 datos preparados'!L976</f>
        <v/>
      </c>
      <c r="N983" s="7">
        <f>'1 datos preparados'!M976</f>
        <v/>
      </c>
      <c r="O983" s="7">
        <f>'1 datos preparados'!N976</f>
        <v/>
      </c>
      <c r="P983" s="7">
        <f>'1 datos preparados'!O976</f>
        <v/>
      </c>
      <c r="Q983" s="7">
        <f>'1 datos preparados'!P976</f>
        <v/>
      </c>
      <c r="R983" s="7">
        <f>'1 datos preparados'!Q976</f>
        <v/>
      </c>
      <c r="S983" s="7">
        <f>'1 datos preparados'!R976</f>
        <v/>
      </c>
      <c r="T983" s="7">
        <f>'1 datos preparados'!S976</f>
        <v/>
      </c>
      <c r="U983" s="7">
        <f>'1 datos preparados'!T976</f>
        <v/>
      </c>
      <c r="V983" s="8">
        <f>$AE$12+D983*$AE$13+E983*$AE$14+F983*$AE$15+G983*$AE$16+H983*$AE$17+I983*$AE$18+J983*$AE$19+K983*$AE$20+L983*$AE$21+M983*$AE$22+N983*$AE$23+O983*$AE$24+P983*$AE$25+Q983*$AE$26+R983*$AE$27+S983*$AE$28+T983*$AE$29+U983*$AE$30</f>
        <v/>
      </c>
      <c r="W983" s="8">
        <f>1/(1+EXP(-V983))</f>
        <v/>
      </c>
      <c r="X983" s="9">
        <f>-IF(C983=1,LN(W983),LN(1-W983))</f>
        <v/>
      </c>
      <c r="Y983" s="8">
        <f>IF(C983=1,$AE$32,$AE$33)</f>
        <v/>
      </c>
      <c r="Z983" s="9">
        <f>Y983*X983</f>
        <v/>
      </c>
      <c r="AA983" s="10">
        <f>IF(W983&gt;$AE$34,1,0)</f>
        <v/>
      </c>
      <c r="AB983">
        <f>IF(AA983=C983,1,0)</f>
        <v/>
      </c>
    </row>
    <row r="984">
      <c r="A984">
        <f>'1 datos preparados'!A977</f>
        <v/>
      </c>
      <c r="B984" s="5">
        <f>'1 datos preparados'!U977</f>
        <v/>
      </c>
      <c r="C984">
        <f>'1 datos preparados'!B977</f>
        <v/>
      </c>
      <c r="D984" s="7">
        <f>'1 datos preparados'!C977</f>
        <v/>
      </c>
      <c r="E984" s="7">
        <f>'1 datos preparados'!D977</f>
        <v/>
      </c>
      <c r="F984" s="7">
        <f>'1 datos preparados'!E977</f>
        <v/>
      </c>
      <c r="G984" s="7">
        <f>'1 datos preparados'!F977</f>
        <v/>
      </c>
      <c r="H984" s="7">
        <f>'1 datos preparados'!G977</f>
        <v/>
      </c>
      <c r="I984" s="7">
        <f>'1 datos preparados'!H977</f>
        <v/>
      </c>
      <c r="J984" s="7">
        <f>'1 datos preparados'!I977</f>
        <v/>
      </c>
      <c r="K984" s="7">
        <f>'1 datos preparados'!J977</f>
        <v/>
      </c>
      <c r="L984" s="7">
        <f>'1 datos preparados'!K977</f>
        <v/>
      </c>
      <c r="M984" s="7">
        <f>'1 datos preparados'!L977</f>
        <v/>
      </c>
      <c r="N984" s="7">
        <f>'1 datos preparados'!M977</f>
        <v/>
      </c>
      <c r="O984" s="7">
        <f>'1 datos preparados'!N977</f>
        <v/>
      </c>
      <c r="P984" s="7">
        <f>'1 datos preparados'!O977</f>
        <v/>
      </c>
      <c r="Q984" s="7">
        <f>'1 datos preparados'!P977</f>
        <v/>
      </c>
      <c r="R984" s="7">
        <f>'1 datos preparados'!Q977</f>
        <v/>
      </c>
      <c r="S984" s="7">
        <f>'1 datos preparados'!R977</f>
        <v/>
      </c>
      <c r="T984" s="7">
        <f>'1 datos preparados'!S977</f>
        <v/>
      </c>
      <c r="U984" s="7">
        <f>'1 datos preparados'!T977</f>
        <v/>
      </c>
      <c r="V984" s="8">
        <f>$AE$12+D984*$AE$13+E984*$AE$14+F984*$AE$15+G984*$AE$16+H984*$AE$17+I984*$AE$18+J984*$AE$19+K984*$AE$20+L984*$AE$21+M984*$AE$22+N984*$AE$23+O984*$AE$24+P984*$AE$25+Q984*$AE$26+R984*$AE$27+S984*$AE$28+T984*$AE$29+U984*$AE$30</f>
        <v/>
      </c>
      <c r="W984" s="8">
        <f>1/(1+EXP(-V984))</f>
        <v/>
      </c>
      <c r="X984" s="9">
        <f>-IF(C984=1,LN(W984),LN(1-W984))</f>
        <v/>
      </c>
      <c r="Y984" s="8">
        <f>IF(C984=1,$AE$32,$AE$33)</f>
        <v/>
      </c>
      <c r="Z984" s="9">
        <f>Y984*X984</f>
        <v/>
      </c>
      <c r="AA984" s="10">
        <f>IF(W984&gt;$AE$34,1,0)</f>
        <v/>
      </c>
      <c r="AB984">
        <f>IF(AA984=C984,1,0)</f>
        <v/>
      </c>
    </row>
    <row r="985">
      <c r="A985">
        <f>'1 datos preparados'!A978</f>
        <v/>
      </c>
      <c r="B985" s="5">
        <f>'1 datos preparados'!U978</f>
        <v/>
      </c>
      <c r="C985">
        <f>'1 datos preparados'!B978</f>
        <v/>
      </c>
      <c r="D985" s="7">
        <f>'1 datos preparados'!C978</f>
        <v/>
      </c>
      <c r="E985" s="7">
        <f>'1 datos preparados'!D978</f>
        <v/>
      </c>
      <c r="F985" s="7">
        <f>'1 datos preparados'!E978</f>
        <v/>
      </c>
      <c r="G985" s="7">
        <f>'1 datos preparados'!F978</f>
        <v/>
      </c>
      <c r="H985" s="7">
        <f>'1 datos preparados'!G978</f>
        <v/>
      </c>
      <c r="I985" s="7">
        <f>'1 datos preparados'!H978</f>
        <v/>
      </c>
      <c r="J985" s="7">
        <f>'1 datos preparados'!I978</f>
        <v/>
      </c>
      <c r="K985" s="7">
        <f>'1 datos preparados'!J978</f>
        <v/>
      </c>
      <c r="L985" s="7">
        <f>'1 datos preparados'!K978</f>
        <v/>
      </c>
      <c r="M985" s="7">
        <f>'1 datos preparados'!L978</f>
        <v/>
      </c>
      <c r="N985" s="7">
        <f>'1 datos preparados'!M978</f>
        <v/>
      </c>
      <c r="O985" s="7">
        <f>'1 datos preparados'!N978</f>
        <v/>
      </c>
      <c r="P985" s="7">
        <f>'1 datos preparados'!O978</f>
        <v/>
      </c>
      <c r="Q985" s="7">
        <f>'1 datos preparados'!P978</f>
        <v/>
      </c>
      <c r="R985" s="7">
        <f>'1 datos preparados'!Q978</f>
        <v/>
      </c>
      <c r="S985" s="7">
        <f>'1 datos preparados'!R978</f>
        <v/>
      </c>
      <c r="T985" s="7">
        <f>'1 datos preparados'!S978</f>
        <v/>
      </c>
      <c r="U985" s="7">
        <f>'1 datos preparados'!T978</f>
        <v/>
      </c>
      <c r="V985" s="8">
        <f>$AE$12+D985*$AE$13+E985*$AE$14+F985*$AE$15+G985*$AE$16+H985*$AE$17+I985*$AE$18+J985*$AE$19+K985*$AE$20+L985*$AE$21+M985*$AE$22+N985*$AE$23+O985*$AE$24+P985*$AE$25+Q985*$AE$26+R985*$AE$27+S985*$AE$28+T985*$AE$29+U985*$AE$30</f>
        <v/>
      </c>
      <c r="W985" s="8">
        <f>1/(1+EXP(-V985))</f>
        <v/>
      </c>
      <c r="X985" s="9">
        <f>-IF(C985=1,LN(W985),LN(1-W985))</f>
        <v/>
      </c>
      <c r="Y985" s="8">
        <f>IF(C985=1,$AE$32,$AE$33)</f>
        <v/>
      </c>
      <c r="Z985" s="9">
        <f>Y985*X985</f>
        <v/>
      </c>
      <c r="AA985" s="10">
        <f>IF(W985&gt;$AE$34,1,0)</f>
        <v/>
      </c>
      <c r="AB985">
        <f>IF(AA985=C985,1,0)</f>
        <v/>
      </c>
    </row>
    <row r="986">
      <c r="A986">
        <f>'1 datos preparados'!A979</f>
        <v/>
      </c>
      <c r="B986" s="5">
        <f>'1 datos preparados'!U979</f>
        <v/>
      </c>
      <c r="C986">
        <f>'1 datos preparados'!B979</f>
        <v/>
      </c>
      <c r="D986" s="7">
        <f>'1 datos preparados'!C979</f>
        <v/>
      </c>
      <c r="E986" s="7">
        <f>'1 datos preparados'!D979</f>
        <v/>
      </c>
      <c r="F986" s="7">
        <f>'1 datos preparados'!E979</f>
        <v/>
      </c>
      <c r="G986" s="7">
        <f>'1 datos preparados'!F979</f>
        <v/>
      </c>
      <c r="H986" s="7">
        <f>'1 datos preparados'!G979</f>
        <v/>
      </c>
      <c r="I986" s="7">
        <f>'1 datos preparados'!H979</f>
        <v/>
      </c>
      <c r="J986" s="7">
        <f>'1 datos preparados'!I979</f>
        <v/>
      </c>
      <c r="K986" s="7">
        <f>'1 datos preparados'!J979</f>
        <v/>
      </c>
      <c r="L986" s="7">
        <f>'1 datos preparados'!K979</f>
        <v/>
      </c>
      <c r="M986" s="7">
        <f>'1 datos preparados'!L979</f>
        <v/>
      </c>
      <c r="N986" s="7">
        <f>'1 datos preparados'!M979</f>
        <v/>
      </c>
      <c r="O986" s="7">
        <f>'1 datos preparados'!N979</f>
        <v/>
      </c>
      <c r="P986" s="7">
        <f>'1 datos preparados'!O979</f>
        <v/>
      </c>
      <c r="Q986" s="7">
        <f>'1 datos preparados'!P979</f>
        <v/>
      </c>
      <c r="R986" s="7">
        <f>'1 datos preparados'!Q979</f>
        <v/>
      </c>
      <c r="S986" s="7">
        <f>'1 datos preparados'!R979</f>
        <v/>
      </c>
      <c r="T986" s="7">
        <f>'1 datos preparados'!S979</f>
        <v/>
      </c>
      <c r="U986" s="7">
        <f>'1 datos preparados'!T979</f>
        <v/>
      </c>
      <c r="V986" s="8">
        <f>$AE$12+D986*$AE$13+E986*$AE$14+F986*$AE$15+G986*$AE$16+H986*$AE$17+I986*$AE$18+J986*$AE$19+K986*$AE$20+L986*$AE$21+M986*$AE$22+N986*$AE$23+O986*$AE$24+P986*$AE$25+Q986*$AE$26+R986*$AE$27+S986*$AE$28+T986*$AE$29+U986*$AE$30</f>
        <v/>
      </c>
      <c r="W986" s="8">
        <f>1/(1+EXP(-V986))</f>
        <v/>
      </c>
      <c r="X986" s="9">
        <f>-IF(C986=1,LN(W986),LN(1-W986))</f>
        <v/>
      </c>
      <c r="Y986" s="8">
        <f>IF(C986=1,$AE$32,$AE$33)</f>
        <v/>
      </c>
      <c r="Z986" s="9">
        <f>Y986*X986</f>
        <v/>
      </c>
      <c r="AA986" s="10">
        <f>IF(W986&gt;$AE$34,1,0)</f>
        <v/>
      </c>
      <c r="AB986">
        <f>IF(AA986=C986,1,0)</f>
        <v/>
      </c>
    </row>
    <row r="987">
      <c r="A987">
        <f>'1 datos preparados'!A980</f>
        <v/>
      </c>
      <c r="B987" s="5">
        <f>'1 datos preparados'!U980</f>
        <v/>
      </c>
      <c r="C987">
        <f>'1 datos preparados'!B980</f>
        <v/>
      </c>
      <c r="D987" s="7">
        <f>'1 datos preparados'!C980</f>
        <v/>
      </c>
      <c r="E987" s="7">
        <f>'1 datos preparados'!D980</f>
        <v/>
      </c>
      <c r="F987" s="7">
        <f>'1 datos preparados'!E980</f>
        <v/>
      </c>
      <c r="G987" s="7">
        <f>'1 datos preparados'!F980</f>
        <v/>
      </c>
      <c r="H987" s="7">
        <f>'1 datos preparados'!G980</f>
        <v/>
      </c>
      <c r="I987" s="7">
        <f>'1 datos preparados'!H980</f>
        <v/>
      </c>
      <c r="J987" s="7">
        <f>'1 datos preparados'!I980</f>
        <v/>
      </c>
      <c r="K987" s="7">
        <f>'1 datos preparados'!J980</f>
        <v/>
      </c>
      <c r="L987" s="7">
        <f>'1 datos preparados'!K980</f>
        <v/>
      </c>
      <c r="M987" s="7">
        <f>'1 datos preparados'!L980</f>
        <v/>
      </c>
      <c r="N987" s="7">
        <f>'1 datos preparados'!M980</f>
        <v/>
      </c>
      <c r="O987" s="7">
        <f>'1 datos preparados'!N980</f>
        <v/>
      </c>
      <c r="P987" s="7">
        <f>'1 datos preparados'!O980</f>
        <v/>
      </c>
      <c r="Q987" s="7">
        <f>'1 datos preparados'!P980</f>
        <v/>
      </c>
      <c r="R987" s="7">
        <f>'1 datos preparados'!Q980</f>
        <v/>
      </c>
      <c r="S987" s="7">
        <f>'1 datos preparados'!R980</f>
        <v/>
      </c>
      <c r="T987" s="7">
        <f>'1 datos preparados'!S980</f>
        <v/>
      </c>
      <c r="U987" s="7">
        <f>'1 datos preparados'!T980</f>
        <v/>
      </c>
      <c r="V987" s="8">
        <f>$AE$12+D987*$AE$13+E987*$AE$14+F987*$AE$15+G987*$AE$16+H987*$AE$17+I987*$AE$18+J987*$AE$19+K987*$AE$20+L987*$AE$21+M987*$AE$22+N987*$AE$23+O987*$AE$24+P987*$AE$25+Q987*$AE$26+R987*$AE$27+S987*$AE$28+T987*$AE$29+U987*$AE$30</f>
        <v/>
      </c>
      <c r="W987" s="8">
        <f>1/(1+EXP(-V987))</f>
        <v/>
      </c>
      <c r="X987" s="9">
        <f>-IF(C987=1,LN(W987),LN(1-W987))</f>
        <v/>
      </c>
      <c r="Y987" s="8">
        <f>IF(C987=1,$AE$32,$AE$33)</f>
        <v/>
      </c>
      <c r="Z987" s="9">
        <f>Y987*X987</f>
        <v/>
      </c>
      <c r="AA987" s="10">
        <f>IF(W987&gt;$AE$34,1,0)</f>
        <v/>
      </c>
      <c r="AB987">
        <f>IF(AA987=C987,1,0)</f>
        <v/>
      </c>
    </row>
    <row r="988">
      <c r="A988">
        <f>'1 datos preparados'!A981</f>
        <v/>
      </c>
      <c r="B988" s="5">
        <f>'1 datos preparados'!U981</f>
        <v/>
      </c>
      <c r="C988">
        <f>'1 datos preparados'!B981</f>
        <v/>
      </c>
      <c r="D988" s="7">
        <f>'1 datos preparados'!C981</f>
        <v/>
      </c>
      <c r="E988" s="7">
        <f>'1 datos preparados'!D981</f>
        <v/>
      </c>
      <c r="F988" s="7">
        <f>'1 datos preparados'!E981</f>
        <v/>
      </c>
      <c r="G988" s="7">
        <f>'1 datos preparados'!F981</f>
        <v/>
      </c>
      <c r="H988" s="7">
        <f>'1 datos preparados'!G981</f>
        <v/>
      </c>
      <c r="I988" s="7">
        <f>'1 datos preparados'!H981</f>
        <v/>
      </c>
      <c r="J988" s="7">
        <f>'1 datos preparados'!I981</f>
        <v/>
      </c>
      <c r="K988" s="7">
        <f>'1 datos preparados'!J981</f>
        <v/>
      </c>
      <c r="L988" s="7">
        <f>'1 datos preparados'!K981</f>
        <v/>
      </c>
      <c r="M988" s="7">
        <f>'1 datos preparados'!L981</f>
        <v/>
      </c>
      <c r="N988" s="7">
        <f>'1 datos preparados'!M981</f>
        <v/>
      </c>
      <c r="O988" s="7">
        <f>'1 datos preparados'!N981</f>
        <v/>
      </c>
      <c r="P988" s="7">
        <f>'1 datos preparados'!O981</f>
        <v/>
      </c>
      <c r="Q988" s="7">
        <f>'1 datos preparados'!P981</f>
        <v/>
      </c>
      <c r="R988" s="7">
        <f>'1 datos preparados'!Q981</f>
        <v/>
      </c>
      <c r="S988" s="7">
        <f>'1 datos preparados'!R981</f>
        <v/>
      </c>
      <c r="T988" s="7">
        <f>'1 datos preparados'!S981</f>
        <v/>
      </c>
      <c r="U988" s="7">
        <f>'1 datos preparados'!T981</f>
        <v/>
      </c>
      <c r="V988" s="8">
        <f>$AE$12+D988*$AE$13+E988*$AE$14+F988*$AE$15+G988*$AE$16+H988*$AE$17+I988*$AE$18+J988*$AE$19+K988*$AE$20+L988*$AE$21+M988*$AE$22+N988*$AE$23+O988*$AE$24+P988*$AE$25+Q988*$AE$26+R988*$AE$27+S988*$AE$28+T988*$AE$29+U988*$AE$30</f>
        <v/>
      </c>
      <c r="W988" s="8">
        <f>1/(1+EXP(-V988))</f>
        <v/>
      </c>
      <c r="X988" s="9">
        <f>-IF(C988=1,LN(W988),LN(1-W988))</f>
        <v/>
      </c>
      <c r="Y988" s="8">
        <f>IF(C988=1,$AE$32,$AE$33)</f>
        <v/>
      </c>
      <c r="Z988" s="9">
        <f>Y988*X988</f>
        <v/>
      </c>
      <c r="AA988" s="10">
        <f>IF(W988&gt;$AE$34,1,0)</f>
        <v/>
      </c>
      <c r="AB988">
        <f>IF(AA988=C988,1,0)</f>
        <v/>
      </c>
    </row>
    <row r="989">
      <c r="A989">
        <f>'1 datos preparados'!A982</f>
        <v/>
      </c>
      <c r="B989" s="5">
        <f>'1 datos preparados'!U982</f>
        <v/>
      </c>
      <c r="C989">
        <f>'1 datos preparados'!B982</f>
        <v/>
      </c>
      <c r="D989" s="7">
        <f>'1 datos preparados'!C982</f>
        <v/>
      </c>
      <c r="E989" s="7">
        <f>'1 datos preparados'!D982</f>
        <v/>
      </c>
      <c r="F989" s="7">
        <f>'1 datos preparados'!E982</f>
        <v/>
      </c>
      <c r="G989" s="7">
        <f>'1 datos preparados'!F982</f>
        <v/>
      </c>
      <c r="H989" s="7">
        <f>'1 datos preparados'!G982</f>
        <v/>
      </c>
      <c r="I989" s="7">
        <f>'1 datos preparados'!H982</f>
        <v/>
      </c>
      <c r="J989" s="7">
        <f>'1 datos preparados'!I982</f>
        <v/>
      </c>
      <c r="K989" s="7">
        <f>'1 datos preparados'!J982</f>
        <v/>
      </c>
      <c r="L989" s="7">
        <f>'1 datos preparados'!K982</f>
        <v/>
      </c>
      <c r="M989" s="7">
        <f>'1 datos preparados'!L982</f>
        <v/>
      </c>
      <c r="N989" s="7">
        <f>'1 datos preparados'!M982</f>
        <v/>
      </c>
      <c r="O989" s="7">
        <f>'1 datos preparados'!N982</f>
        <v/>
      </c>
      <c r="P989" s="7">
        <f>'1 datos preparados'!O982</f>
        <v/>
      </c>
      <c r="Q989" s="7">
        <f>'1 datos preparados'!P982</f>
        <v/>
      </c>
      <c r="R989" s="7">
        <f>'1 datos preparados'!Q982</f>
        <v/>
      </c>
      <c r="S989" s="7">
        <f>'1 datos preparados'!R982</f>
        <v/>
      </c>
      <c r="T989" s="7">
        <f>'1 datos preparados'!S982</f>
        <v/>
      </c>
      <c r="U989" s="7">
        <f>'1 datos preparados'!T982</f>
        <v/>
      </c>
      <c r="V989" s="8">
        <f>$AE$12+D989*$AE$13+E989*$AE$14+F989*$AE$15+G989*$AE$16+H989*$AE$17+I989*$AE$18+J989*$AE$19+K989*$AE$20+L989*$AE$21+M989*$AE$22+N989*$AE$23+O989*$AE$24+P989*$AE$25+Q989*$AE$26+R989*$AE$27+S989*$AE$28+T989*$AE$29+U989*$AE$30</f>
        <v/>
      </c>
      <c r="W989" s="8">
        <f>1/(1+EXP(-V989))</f>
        <v/>
      </c>
      <c r="X989" s="9">
        <f>-IF(C989=1,LN(W989),LN(1-W989))</f>
        <v/>
      </c>
      <c r="Y989" s="8">
        <f>IF(C989=1,$AE$32,$AE$33)</f>
        <v/>
      </c>
      <c r="Z989" s="9">
        <f>Y989*X989</f>
        <v/>
      </c>
      <c r="AA989" s="10">
        <f>IF(W989&gt;$AE$34,1,0)</f>
        <v/>
      </c>
      <c r="AB989">
        <f>IF(AA989=C989,1,0)</f>
        <v/>
      </c>
    </row>
    <row r="990">
      <c r="A990">
        <f>'1 datos preparados'!A983</f>
        <v/>
      </c>
      <c r="B990" s="5">
        <f>'1 datos preparados'!U983</f>
        <v/>
      </c>
      <c r="C990">
        <f>'1 datos preparados'!B983</f>
        <v/>
      </c>
      <c r="D990" s="7">
        <f>'1 datos preparados'!C983</f>
        <v/>
      </c>
      <c r="E990" s="7">
        <f>'1 datos preparados'!D983</f>
        <v/>
      </c>
      <c r="F990" s="7">
        <f>'1 datos preparados'!E983</f>
        <v/>
      </c>
      <c r="G990" s="7">
        <f>'1 datos preparados'!F983</f>
        <v/>
      </c>
      <c r="H990" s="7">
        <f>'1 datos preparados'!G983</f>
        <v/>
      </c>
      <c r="I990" s="7">
        <f>'1 datos preparados'!H983</f>
        <v/>
      </c>
      <c r="J990" s="7">
        <f>'1 datos preparados'!I983</f>
        <v/>
      </c>
      <c r="K990" s="7">
        <f>'1 datos preparados'!J983</f>
        <v/>
      </c>
      <c r="L990" s="7">
        <f>'1 datos preparados'!K983</f>
        <v/>
      </c>
      <c r="M990" s="7">
        <f>'1 datos preparados'!L983</f>
        <v/>
      </c>
      <c r="N990" s="7">
        <f>'1 datos preparados'!M983</f>
        <v/>
      </c>
      <c r="O990" s="7">
        <f>'1 datos preparados'!N983</f>
        <v/>
      </c>
      <c r="P990" s="7">
        <f>'1 datos preparados'!O983</f>
        <v/>
      </c>
      <c r="Q990" s="7">
        <f>'1 datos preparados'!P983</f>
        <v/>
      </c>
      <c r="R990" s="7">
        <f>'1 datos preparados'!Q983</f>
        <v/>
      </c>
      <c r="S990" s="7">
        <f>'1 datos preparados'!R983</f>
        <v/>
      </c>
      <c r="T990" s="7">
        <f>'1 datos preparados'!S983</f>
        <v/>
      </c>
      <c r="U990" s="7">
        <f>'1 datos preparados'!T983</f>
        <v/>
      </c>
      <c r="V990" s="8">
        <f>$AE$12+D990*$AE$13+E990*$AE$14+F990*$AE$15+G990*$AE$16+H990*$AE$17+I990*$AE$18+J990*$AE$19+K990*$AE$20+L990*$AE$21+M990*$AE$22+N990*$AE$23+O990*$AE$24+P990*$AE$25+Q990*$AE$26+R990*$AE$27+S990*$AE$28+T990*$AE$29+U990*$AE$30</f>
        <v/>
      </c>
      <c r="W990" s="8">
        <f>1/(1+EXP(-V990))</f>
        <v/>
      </c>
      <c r="X990" s="9">
        <f>-IF(C990=1,LN(W990),LN(1-W990))</f>
        <v/>
      </c>
      <c r="Y990" s="8">
        <f>IF(C990=1,$AE$32,$AE$33)</f>
        <v/>
      </c>
      <c r="Z990" s="9">
        <f>Y990*X990</f>
        <v/>
      </c>
      <c r="AA990" s="10">
        <f>IF(W990&gt;$AE$34,1,0)</f>
        <v/>
      </c>
      <c r="AB990">
        <f>IF(AA990=C990,1,0)</f>
        <v/>
      </c>
    </row>
    <row r="991">
      <c r="A991">
        <f>'1 datos preparados'!A984</f>
        <v/>
      </c>
      <c r="B991" s="5">
        <f>'1 datos preparados'!U984</f>
        <v/>
      </c>
      <c r="C991">
        <f>'1 datos preparados'!B984</f>
        <v/>
      </c>
      <c r="D991" s="7">
        <f>'1 datos preparados'!C984</f>
        <v/>
      </c>
      <c r="E991" s="7">
        <f>'1 datos preparados'!D984</f>
        <v/>
      </c>
      <c r="F991" s="7">
        <f>'1 datos preparados'!E984</f>
        <v/>
      </c>
      <c r="G991" s="7">
        <f>'1 datos preparados'!F984</f>
        <v/>
      </c>
      <c r="H991" s="7">
        <f>'1 datos preparados'!G984</f>
        <v/>
      </c>
      <c r="I991" s="7">
        <f>'1 datos preparados'!H984</f>
        <v/>
      </c>
      <c r="J991" s="7">
        <f>'1 datos preparados'!I984</f>
        <v/>
      </c>
      <c r="K991" s="7">
        <f>'1 datos preparados'!J984</f>
        <v/>
      </c>
      <c r="L991" s="7">
        <f>'1 datos preparados'!K984</f>
        <v/>
      </c>
      <c r="M991" s="7">
        <f>'1 datos preparados'!L984</f>
        <v/>
      </c>
      <c r="N991" s="7">
        <f>'1 datos preparados'!M984</f>
        <v/>
      </c>
      <c r="O991" s="7">
        <f>'1 datos preparados'!N984</f>
        <v/>
      </c>
      <c r="P991" s="7">
        <f>'1 datos preparados'!O984</f>
        <v/>
      </c>
      <c r="Q991" s="7">
        <f>'1 datos preparados'!P984</f>
        <v/>
      </c>
      <c r="R991" s="7">
        <f>'1 datos preparados'!Q984</f>
        <v/>
      </c>
      <c r="S991" s="7">
        <f>'1 datos preparados'!R984</f>
        <v/>
      </c>
      <c r="T991" s="7">
        <f>'1 datos preparados'!S984</f>
        <v/>
      </c>
      <c r="U991" s="7">
        <f>'1 datos preparados'!T984</f>
        <v/>
      </c>
      <c r="V991" s="8">
        <f>$AE$12+D991*$AE$13+E991*$AE$14+F991*$AE$15+G991*$AE$16+H991*$AE$17+I991*$AE$18+J991*$AE$19+K991*$AE$20+L991*$AE$21+M991*$AE$22+N991*$AE$23+O991*$AE$24+P991*$AE$25+Q991*$AE$26+R991*$AE$27+S991*$AE$28+T991*$AE$29+U991*$AE$30</f>
        <v/>
      </c>
      <c r="W991" s="8">
        <f>1/(1+EXP(-V991))</f>
        <v/>
      </c>
      <c r="X991" s="9">
        <f>-IF(C991=1,LN(W991),LN(1-W991))</f>
        <v/>
      </c>
      <c r="Y991" s="8">
        <f>IF(C991=1,$AE$32,$AE$33)</f>
        <v/>
      </c>
      <c r="Z991" s="9">
        <f>Y991*X991</f>
        <v/>
      </c>
      <c r="AA991" s="10">
        <f>IF(W991&gt;$AE$34,1,0)</f>
        <v/>
      </c>
      <c r="AB991">
        <f>IF(AA991=C991,1,0)</f>
        <v/>
      </c>
    </row>
    <row r="992">
      <c r="A992">
        <f>'1 datos preparados'!A985</f>
        <v/>
      </c>
      <c r="B992" s="5">
        <f>'1 datos preparados'!U985</f>
        <v/>
      </c>
      <c r="C992">
        <f>'1 datos preparados'!B985</f>
        <v/>
      </c>
      <c r="D992" s="7">
        <f>'1 datos preparados'!C985</f>
        <v/>
      </c>
      <c r="E992" s="7">
        <f>'1 datos preparados'!D985</f>
        <v/>
      </c>
      <c r="F992" s="7">
        <f>'1 datos preparados'!E985</f>
        <v/>
      </c>
      <c r="G992" s="7">
        <f>'1 datos preparados'!F985</f>
        <v/>
      </c>
      <c r="H992" s="7">
        <f>'1 datos preparados'!G985</f>
        <v/>
      </c>
      <c r="I992" s="7">
        <f>'1 datos preparados'!H985</f>
        <v/>
      </c>
      <c r="J992" s="7">
        <f>'1 datos preparados'!I985</f>
        <v/>
      </c>
      <c r="K992" s="7">
        <f>'1 datos preparados'!J985</f>
        <v/>
      </c>
      <c r="L992" s="7">
        <f>'1 datos preparados'!K985</f>
        <v/>
      </c>
      <c r="M992" s="7">
        <f>'1 datos preparados'!L985</f>
        <v/>
      </c>
      <c r="N992" s="7">
        <f>'1 datos preparados'!M985</f>
        <v/>
      </c>
      <c r="O992" s="7">
        <f>'1 datos preparados'!N985</f>
        <v/>
      </c>
      <c r="P992" s="7">
        <f>'1 datos preparados'!O985</f>
        <v/>
      </c>
      <c r="Q992" s="7">
        <f>'1 datos preparados'!P985</f>
        <v/>
      </c>
      <c r="R992" s="7">
        <f>'1 datos preparados'!Q985</f>
        <v/>
      </c>
      <c r="S992" s="7">
        <f>'1 datos preparados'!R985</f>
        <v/>
      </c>
      <c r="T992" s="7">
        <f>'1 datos preparados'!S985</f>
        <v/>
      </c>
      <c r="U992" s="7">
        <f>'1 datos preparados'!T985</f>
        <v/>
      </c>
      <c r="V992" s="8">
        <f>$AE$12+D992*$AE$13+E992*$AE$14+F992*$AE$15+G992*$AE$16+H992*$AE$17+I992*$AE$18+J992*$AE$19+K992*$AE$20+L992*$AE$21+M992*$AE$22+N992*$AE$23+O992*$AE$24+P992*$AE$25+Q992*$AE$26+R992*$AE$27+S992*$AE$28+T992*$AE$29+U992*$AE$30</f>
        <v/>
      </c>
      <c r="W992" s="8">
        <f>1/(1+EXP(-V992))</f>
        <v/>
      </c>
      <c r="X992" s="9">
        <f>-IF(C992=1,LN(W992),LN(1-W992))</f>
        <v/>
      </c>
      <c r="Y992" s="8">
        <f>IF(C992=1,$AE$32,$AE$33)</f>
        <v/>
      </c>
      <c r="Z992" s="9">
        <f>Y992*X992</f>
        <v/>
      </c>
      <c r="AA992" s="10">
        <f>IF(W992&gt;$AE$34,1,0)</f>
        <v/>
      </c>
      <c r="AB992">
        <f>IF(AA992=C992,1,0)</f>
        <v/>
      </c>
    </row>
    <row r="993">
      <c r="A993">
        <f>'1 datos preparados'!A986</f>
        <v/>
      </c>
      <c r="B993" s="5">
        <f>'1 datos preparados'!U986</f>
        <v/>
      </c>
      <c r="C993">
        <f>'1 datos preparados'!B986</f>
        <v/>
      </c>
      <c r="D993" s="7">
        <f>'1 datos preparados'!C986</f>
        <v/>
      </c>
      <c r="E993" s="7">
        <f>'1 datos preparados'!D986</f>
        <v/>
      </c>
      <c r="F993" s="7">
        <f>'1 datos preparados'!E986</f>
        <v/>
      </c>
      <c r="G993" s="7">
        <f>'1 datos preparados'!F986</f>
        <v/>
      </c>
      <c r="H993" s="7">
        <f>'1 datos preparados'!G986</f>
        <v/>
      </c>
      <c r="I993" s="7">
        <f>'1 datos preparados'!H986</f>
        <v/>
      </c>
      <c r="J993" s="7">
        <f>'1 datos preparados'!I986</f>
        <v/>
      </c>
      <c r="K993" s="7">
        <f>'1 datos preparados'!J986</f>
        <v/>
      </c>
      <c r="L993" s="7">
        <f>'1 datos preparados'!K986</f>
        <v/>
      </c>
      <c r="M993" s="7">
        <f>'1 datos preparados'!L986</f>
        <v/>
      </c>
      <c r="N993" s="7">
        <f>'1 datos preparados'!M986</f>
        <v/>
      </c>
      <c r="O993" s="7">
        <f>'1 datos preparados'!N986</f>
        <v/>
      </c>
      <c r="P993" s="7">
        <f>'1 datos preparados'!O986</f>
        <v/>
      </c>
      <c r="Q993" s="7">
        <f>'1 datos preparados'!P986</f>
        <v/>
      </c>
      <c r="R993" s="7">
        <f>'1 datos preparados'!Q986</f>
        <v/>
      </c>
      <c r="S993" s="7">
        <f>'1 datos preparados'!R986</f>
        <v/>
      </c>
      <c r="T993" s="7">
        <f>'1 datos preparados'!S986</f>
        <v/>
      </c>
      <c r="U993" s="7">
        <f>'1 datos preparados'!T986</f>
        <v/>
      </c>
      <c r="V993" s="8">
        <f>$AE$12+D993*$AE$13+E993*$AE$14+F993*$AE$15+G993*$AE$16+H993*$AE$17+I993*$AE$18+J993*$AE$19+K993*$AE$20+L993*$AE$21+M993*$AE$22+N993*$AE$23+O993*$AE$24+P993*$AE$25+Q993*$AE$26+R993*$AE$27+S993*$AE$28+T993*$AE$29+U993*$AE$30</f>
        <v/>
      </c>
      <c r="W993" s="8">
        <f>1/(1+EXP(-V993))</f>
        <v/>
      </c>
      <c r="X993" s="9">
        <f>-IF(C993=1,LN(W993),LN(1-W993))</f>
        <v/>
      </c>
      <c r="Y993" s="8">
        <f>IF(C993=1,$AE$32,$AE$33)</f>
        <v/>
      </c>
      <c r="Z993" s="9">
        <f>Y993*X993</f>
        <v/>
      </c>
      <c r="AA993" s="10">
        <f>IF(W993&gt;$AE$34,1,0)</f>
        <v/>
      </c>
      <c r="AB993">
        <f>IF(AA993=C993,1,0)</f>
        <v/>
      </c>
    </row>
    <row r="994">
      <c r="A994">
        <f>'1 datos preparados'!A987</f>
        <v/>
      </c>
      <c r="B994" s="5">
        <f>'1 datos preparados'!U987</f>
        <v/>
      </c>
      <c r="C994">
        <f>'1 datos preparados'!B987</f>
        <v/>
      </c>
      <c r="D994" s="7">
        <f>'1 datos preparados'!C987</f>
        <v/>
      </c>
      <c r="E994" s="7">
        <f>'1 datos preparados'!D987</f>
        <v/>
      </c>
      <c r="F994" s="7">
        <f>'1 datos preparados'!E987</f>
        <v/>
      </c>
      <c r="G994" s="7">
        <f>'1 datos preparados'!F987</f>
        <v/>
      </c>
      <c r="H994" s="7">
        <f>'1 datos preparados'!G987</f>
        <v/>
      </c>
      <c r="I994" s="7">
        <f>'1 datos preparados'!H987</f>
        <v/>
      </c>
      <c r="J994" s="7">
        <f>'1 datos preparados'!I987</f>
        <v/>
      </c>
      <c r="K994" s="7">
        <f>'1 datos preparados'!J987</f>
        <v/>
      </c>
      <c r="L994" s="7">
        <f>'1 datos preparados'!K987</f>
        <v/>
      </c>
      <c r="M994" s="7">
        <f>'1 datos preparados'!L987</f>
        <v/>
      </c>
      <c r="N994" s="7">
        <f>'1 datos preparados'!M987</f>
        <v/>
      </c>
      <c r="O994" s="7">
        <f>'1 datos preparados'!N987</f>
        <v/>
      </c>
      <c r="P994" s="7">
        <f>'1 datos preparados'!O987</f>
        <v/>
      </c>
      <c r="Q994" s="7">
        <f>'1 datos preparados'!P987</f>
        <v/>
      </c>
      <c r="R994" s="7">
        <f>'1 datos preparados'!Q987</f>
        <v/>
      </c>
      <c r="S994" s="7">
        <f>'1 datos preparados'!R987</f>
        <v/>
      </c>
      <c r="T994" s="7">
        <f>'1 datos preparados'!S987</f>
        <v/>
      </c>
      <c r="U994" s="7">
        <f>'1 datos preparados'!T987</f>
        <v/>
      </c>
      <c r="V994" s="8">
        <f>$AE$12+D994*$AE$13+E994*$AE$14+F994*$AE$15+G994*$AE$16+H994*$AE$17+I994*$AE$18+J994*$AE$19+K994*$AE$20+L994*$AE$21+M994*$AE$22+N994*$AE$23+O994*$AE$24+P994*$AE$25+Q994*$AE$26+R994*$AE$27+S994*$AE$28+T994*$AE$29+U994*$AE$30</f>
        <v/>
      </c>
      <c r="W994" s="8">
        <f>1/(1+EXP(-V994))</f>
        <v/>
      </c>
      <c r="X994" s="9">
        <f>-IF(C994=1,LN(W994),LN(1-W994))</f>
        <v/>
      </c>
      <c r="Y994" s="8">
        <f>IF(C994=1,$AE$32,$AE$33)</f>
        <v/>
      </c>
      <c r="Z994" s="9">
        <f>Y994*X994</f>
        <v/>
      </c>
      <c r="AA994" s="10">
        <f>IF(W994&gt;$AE$34,1,0)</f>
        <v/>
      </c>
      <c r="AB994">
        <f>IF(AA994=C994,1,0)</f>
        <v/>
      </c>
    </row>
    <row r="995">
      <c r="A995">
        <f>'1 datos preparados'!A988</f>
        <v/>
      </c>
      <c r="B995" s="5">
        <f>'1 datos preparados'!U988</f>
        <v/>
      </c>
      <c r="C995">
        <f>'1 datos preparados'!B988</f>
        <v/>
      </c>
      <c r="D995" s="7">
        <f>'1 datos preparados'!C988</f>
        <v/>
      </c>
      <c r="E995" s="7">
        <f>'1 datos preparados'!D988</f>
        <v/>
      </c>
      <c r="F995" s="7">
        <f>'1 datos preparados'!E988</f>
        <v/>
      </c>
      <c r="G995" s="7">
        <f>'1 datos preparados'!F988</f>
        <v/>
      </c>
      <c r="H995" s="7">
        <f>'1 datos preparados'!G988</f>
        <v/>
      </c>
      <c r="I995" s="7">
        <f>'1 datos preparados'!H988</f>
        <v/>
      </c>
      <c r="J995" s="7">
        <f>'1 datos preparados'!I988</f>
        <v/>
      </c>
      <c r="K995" s="7">
        <f>'1 datos preparados'!J988</f>
        <v/>
      </c>
      <c r="L995" s="7">
        <f>'1 datos preparados'!K988</f>
        <v/>
      </c>
      <c r="M995" s="7">
        <f>'1 datos preparados'!L988</f>
        <v/>
      </c>
      <c r="N995" s="7">
        <f>'1 datos preparados'!M988</f>
        <v/>
      </c>
      <c r="O995" s="7">
        <f>'1 datos preparados'!N988</f>
        <v/>
      </c>
      <c r="P995" s="7">
        <f>'1 datos preparados'!O988</f>
        <v/>
      </c>
      <c r="Q995" s="7">
        <f>'1 datos preparados'!P988</f>
        <v/>
      </c>
      <c r="R995" s="7">
        <f>'1 datos preparados'!Q988</f>
        <v/>
      </c>
      <c r="S995" s="7">
        <f>'1 datos preparados'!R988</f>
        <v/>
      </c>
      <c r="T995" s="7">
        <f>'1 datos preparados'!S988</f>
        <v/>
      </c>
      <c r="U995" s="7">
        <f>'1 datos preparados'!T988</f>
        <v/>
      </c>
      <c r="V995" s="8">
        <f>$AE$12+D995*$AE$13+E995*$AE$14+F995*$AE$15+G995*$AE$16+H995*$AE$17+I995*$AE$18+J995*$AE$19+K995*$AE$20+L995*$AE$21+M995*$AE$22+N995*$AE$23+O995*$AE$24+P995*$AE$25+Q995*$AE$26+R995*$AE$27+S995*$AE$28+T995*$AE$29+U995*$AE$30</f>
        <v/>
      </c>
      <c r="W995" s="8">
        <f>1/(1+EXP(-V995))</f>
        <v/>
      </c>
      <c r="X995" s="9">
        <f>-IF(C995=1,LN(W995),LN(1-W995))</f>
        <v/>
      </c>
      <c r="Y995" s="8">
        <f>IF(C995=1,$AE$32,$AE$33)</f>
        <v/>
      </c>
      <c r="Z995" s="9">
        <f>Y995*X995</f>
        <v/>
      </c>
      <c r="AA995" s="10">
        <f>IF(W995&gt;$AE$34,1,0)</f>
        <v/>
      </c>
      <c r="AB995">
        <f>IF(AA995=C995,1,0)</f>
        <v/>
      </c>
    </row>
    <row r="996">
      <c r="A996">
        <f>'1 datos preparados'!A989</f>
        <v/>
      </c>
      <c r="B996" s="5">
        <f>'1 datos preparados'!U989</f>
        <v/>
      </c>
      <c r="C996">
        <f>'1 datos preparados'!B989</f>
        <v/>
      </c>
      <c r="D996" s="7">
        <f>'1 datos preparados'!C989</f>
        <v/>
      </c>
      <c r="E996" s="7">
        <f>'1 datos preparados'!D989</f>
        <v/>
      </c>
      <c r="F996" s="7">
        <f>'1 datos preparados'!E989</f>
        <v/>
      </c>
      <c r="G996" s="7">
        <f>'1 datos preparados'!F989</f>
        <v/>
      </c>
      <c r="H996" s="7">
        <f>'1 datos preparados'!G989</f>
        <v/>
      </c>
      <c r="I996" s="7">
        <f>'1 datos preparados'!H989</f>
        <v/>
      </c>
      <c r="J996" s="7">
        <f>'1 datos preparados'!I989</f>
        <v/>
      </c>
      <c r="K996" s="7">
        <f>'1 datos preparados'!J989</f>
        <v/>
      </c>
      <c r="L996" s="7">
        <f>'1 datos preparados'!K989</f>
        <v/>
      </c>
      <c r="M996" s="7">
        <f>'1 datos preparados'!L989</f>
        <v/>
      </c>
      <c r="N996" s="7">
        <f>'1 datos preparados'!M989</f>
        <v/>
      </c>
      <c r="O996" s="7">
        <f>'1 datos preparados'!N989</f>
        <v/>
      </c>
      <c r="P996" s="7">
        <f>'1 datos preparados'!O989</f>
        <v/>
      </c>
      <c r="Q996" s="7">
        <f>'1 datos preparados'!P989</f>
        <v/>
      </c>
      <c r="R996" s="7">
        <f>'1 datos preparados'!Q989</f>
        <v/>
      </c>
      <c r="S996" s="7">
        <f>'1 datos preparados'!R989</f>
        <v/>
      </c>
      <c r="T996" s="7">
        <f>'1 datos preparados'!S989</f>
        <v/>
      </c>
      <c r="U996" s="7">
        <f>'1 datos preparados'!T989</f>
        <v/>
      </c>
      <c r="V996" s="8">
        <f>$AE$12+D996*$AE$13+E996*$AE$14+F996*$AE$15+G996*$AE$16+H996*$AE$17+I996*$AE$18+J996*$AE$19+K996*$AE$20+L996*$AE$21+M996*$AE$22+N996*$AE$23+O996*$AE$24+P996*$AE$25+Q996*$AE$26+R996*$AE$27+S996*$AE$28+T996*$AE$29+U996*$AE$30</f>
        <v/>
      </c>
      <c r="W996" s="8">
        <f>1/(1+EXP(-V996))</f>
        <v/>
      </c>
      <c r="X996" s="9">
        <f>-IF(C996=1,LN(W996),LN(1-W996))</f>
        <v/>
      </c>
      <c r="Y996" s="8">
        <f>IF(C996=1,$AE$32,$AE$33)</f>
        <v/>
      </c>
      <c r="Z996" s="9">
        <f>Y996*X996</f>
        <v/>
      </c>
      <c r="AA996" s="10">
        <f>IF(W996&gt;$AE$34,1,0)</f>
        <v/>
      </c>
      <c r="AB996">
        <f>IF(AA996=C996,1,0)</f>
        <v/>
      </c>
    </row>
    <row r="997">
      <c r="A997">
        <f>'1 datos preparados'!A990</f>
        <v/>
      </c>
      <c r="B997" s="5">
        <f>'1 datos preparados'!U990</f>
        <v/>
      </c>
      <c r="C997">
        <f>'1 datos preparados'!B990</f>
        <v/>
      </c>
      <c r="D997" s="7">
        <f>'1 datos preparados'!C990</f>
        <v/>
      </c>
      <c r="E997" s="7">
        <f>'1 datos preparados'!D990</f>
        <v/>
      </c>
      <c r="F997" s="7">
        <f>'1 datos preparados'!E990</f>
        <v/>
      </c>
      <c r="G997" s="7">
        <f>'1 datos preparados'!F990</f>
        <v/>
      </c>
      <c r="H997" s="7">
        <f>'1 datos preparados'!G990</f>
        <v/>
      </c>
      <c r="I997" s="7">
        <f>'1 datos preparados'!H990</f>
        <v/>
      </c>
      <c r="J997" s="7">
        <f>'1 datos preparados'!I990</f>
        <v/>
      </c>
      <c r="K997" s="7">
        <f>'1 datos preparados'!J990</f>
        <v/>
      </c>
      <c r="L997" s="7">
        <f>'1 datos preparados'!K990</f>
        <v/>
      </c>
      <c r="M997" s="7">
        <f>'1 datos preparados'!L990</f>
        <v/>
      </c>
      <c r="N997" s="7">
        <f>'1 datos preparados'!M990</f>
        <v/>
      </c>
      <c r="O997" s="7">
        <f>'1 datos preparados'!N990</f>
        <v/>
      </c>
      <c r="P997" s="7">
        <f>'1 datos preparados'!O990</f>
        <v/>
      </c>
      <c r="Q997" s="7">
        <f>'1 datos preparados'!P990</f>
        <v/>
      </c>
      <c r="R997" s="7">
        <f>'1 datos preparados'!Q990</f>
        <v/>
      </c>
      <c r="S997" s="7">
        <f>'1 datos preparados'!R990</f>
        <v/>
      </c>
      <c r="T997" s="7">
        <f>'1 datos preparados'!S990</f>
        <v/>
      </c>
      <c r="U997" s="7">
        <f>'1 datos preparados'!T990</f>
        <v/>
      </c>
      <c r="V997" s="8">
        <f>$AE$12+D997*$AE$13+E997*$AE$14+F997*$AE$15+G997*$AE$16+H997*$AE$17+I997*$AE$18+J997*$AE$19+K997*$AE$20+L997*$AE$21+M997*$AE$22+N997*$AE$23+O997*$AE$24+P997*$AE$25+Q997*$AE$26+R997*$AE$27+S997*$AE$28+T997*$AE$29+U997*$AE$30</f>
        <v/>
      </c>
      <c r="W997" s="8">
        <f>1/(1+EXP(-V997))</f>
        <v/>
      </c>
      <c r="X997" s="9">
        <f>-IF(C997=1,LN(W997),LN(1-W997))</f>
        <v/>
      </c>
      <c r="Y997" s="8">
        <f>IF(C997=1,$AE$32,$AE$33)</f>
        <v/>
      </c>
      <c r="Z997" s="9">
        <f>Y997*X997</f>
        <v/>
      </c>
      <c r="AA997" s="10">
        <f>IF(W997&gt;$AE$34,1,0)</f>
        <v/>
      </c>
      <c r="AB997">
        <f>IF(AA997=C997,1,0)</f>
        <v/>
      </c>
    </row>
    <row r="998">
      <c r="A998">
        <f>'1 datos preparados'!A991</f>
        <v/>
      </c>
      <c r="B998" s="5">
        <f>'1 datos preparados'!U991</f>
        <v/>
      </c>
      <c r="C998">
        <f>'1 datos preparados'!B991</f>
        <v/>
      </c>
      <c r="D998" s="7">
        <f>'1 datos preparados'!C991</f>
        <v/>
      </c>
      <c r="E998" s="7">
        <f>'1 datos preparados'!D991</f>
        <v/>
      </c>
      <c r="F998" s="7">
        <f>'1 datos preparados'!E991</f>
        <v/>
      </c>
      <c r="G998" s="7">
        <f>'1 datos preparados'!F991</f>
        <v/>
      </c>
      <c r="H998" s="7">
        <f>'1 datos preparados'!G991</f>
        <v/>
      </c>
      <c r="I998" s="7">
        <f>'1 datos preparados'!H991</f>
        <v/>
      </c>
      <c r="J998" s="7">
        <f>'1 datos preparados'!I991</f>
        <v/>
      </c>
      <c r="K998" s="7">
        <f>'1 datos preparados'!J991</f>
        <v/>
      </c>
      <c r="L998" s="7">
        <f>'1 datos preparados'!K991</f>
        <v/>
      </c>
      <c r="M998" s="7">
        <f>'1 datos preparados'!L991</f>
        <v/>
      </c>
      <c r="N998" s="7">
        <f>'1 datos preparados'!M991</f>
        <v/>
      </c>
      <c r="O998" s="7">
        <f>'1 datos preparados'!N991</f>
        <v/>
      </c>
      <c r="P998" s="7">
        <f>'1 datos preparados'!O991</f>
        <v/>
      </c>
      <c r="Q998" s="7">
        <f>'1 datos preparados'!P991</f>
        <v/>
      </c>
      <c r="R998" s="7">
        <f>'1 datos preparados'!Q991</f>
        <v/>
      </c>
      <c r="S998" s="7">
        <f>'1 datos preparados'!R991</f>
        <v/>
      </c>
      <c r="T998" s="7">
        <f>'1 datos preparados'!S991</f>
        <v/>
      </c>
      <c r="U998" s="7">
        <f>'1 datos preparados'!T991</f>
        <v/>
      </c>
      <c r="V998" s="8">
        <f>$AE$12+D998*$AE$13+E998*$AE$14+F998*$AE$15+G998*$AE$16+H998*$AE$17+I998*$AE$18+J998*$AE$19+K998*$AE$20+L998*$AE$21+M998*$AE$22+N998*$AE$23+O998*$AE$24+P998*$AE$25+Q998*$AE$26+R998*$AE$27+S998*$AE$28+T998*$AE$29+U998*$AE$30</f>
        <v/>
      </c>
      <c r="W998" s="8">
        <f>1/(1+EXP(-V998))</f>
        <v/>
      </c>
      <c r="X998" s="9">
        <f>-IF(C998=1,LN(W998),LN(1-W998))</f>
        <v/>
      </c>
      <c r="Y998" s="8">
        <f>IF(C998=1,$AE$32,$AE$33)</f>
        <v/>
      </c>
      <c r="Z998" s="9">
        <f>Y998*X998</f>
        <v/>
      </c>
      <c r="AA998" s="10">
        <f>IF(W998&gt;$AE$34,1,0)</f>
        <v/>
      </c>
      <c r="AB998">
        <f>IF(AA998=C998,1,0)</f>
        <v/>
      </c>
    </row>
    <row r="999">
      <c r="A999">
        <f>'1 datos preparados'!A992</f>
        <v/>
      </c>
      <c r="B999" s="5">
        <f>'1 datos preparados'!U992</f>
        <v/>
      </c>
      <c r="C999">
        <f>'1 datos preparados'!B992</f>
        <v/>
      </c>
      <c r="D999" s="7">
        <f>'1 datos preparados'!C992</f>
        <v/>
      </c>
      <c r="E999" s="7">
        <f>'1 datos preparados'!D992</f>
        <v/>
      </c>
      <c r="F999" s="7">
        <f>'1 datos preparados'!E992</f>
        <v/>
      </c>
      <c r="G999" s="7">
        <f>'1 datos preparados'!F992</f>
        <v/>
      </c>
      <c r="H999" s="7">
        <f>'1 datos preparados'!G992</f>
        <v/>
      </c>
      <c r="I999" s="7">
        <f>'1 datos preparados'!H992</f>
        <v/>
      </c>
      <c r="J999" s="7">
        <f>'1 datos preparados'!I992</f>
        <v/>
      </c>
      <c r="K999" s="7">
        <f>'1 datos preparados'!J992</f>
        <v/>
      </c>
      <c r="L999" s="7">
        <f>'1 datos preparados'!K992</f>
        <v/>
      </c>
      <c r="M999" s="7">
        <f>'1 datos preparados'!L992</f>
        <v/>
      </c>
      <c r="N999" s="7">
        <f>'1 datos preparados'!M992</f>
        <v/>
      </c>
      <c r="O999" s="7">
        <f>'1 datos preparados'!N992</f>
        <v/>
      </c>
      <c r="P999" s="7">
        <f>'1 datos preparados'!O992</f>
        <v/>
      </c>
      <c r="Q999" s="7">
        <f>'1 datos preparados'!P992</f>
        <v/>
      </c>
      <c r="R999" s="7">
        <f>'1 datos preparados'!Q992</f>
        <v/>
      </c>
      <c r="S999" s="7">
        <f>'1 datos preparados'!R992</f>
        <v/>
      </c>
      <c r="T999" s="7">
        <f>'1 datos preparados'!S992</f>
        <v/>
      </c>
      <c r="U999" s="7">
        <f>'1 datos preparados'!T992</f>
        <v/>
      </c>
      <c r="V999" s="8">
        <f>$AE$12+D999*$AE$13+E999*$AE$14+F999*$AE$15+G999*$AE$16+H999*$AE$17+I999*$AE$18+J999*$AE$19+K999*$AE$20+L999*$AE$21+M999*$AE$22+N999*$AE$23+O999*$AE$24+P999*$AE$25+Q999*$AE$26+R999*$AE$27+S999*$AE$28+T999*$AE$29+U999*$AE$30</f>
        <v/>
      </c>
      <c r="W999" s="8">
        <f>1/(1+EXP(-V999))</f>
        <v/>
      </c>
      <c r="X999" s="9">
        <f>-IF(C999=1,LN(W999),LN(1-W999))</f>
        <v/>
      </c>
      <c r="Y999" s="8">
        <f>IF(C999=1,$AE$32,$AE$33)</f>
        <v/>
      </c>
      <c r="Z999" s="9">
        <f>Y999*X999</f>
        <v/>
      </c>
      <c r="AA999" s="10">
        <f>IF(W999&gt;$AE$34,1,0)</f>
        <v/>
      </c>
      <c r="AB999">
        <f>IF(AA999=C999,1,0)</f>
        <v/>
      </c>
    </row>
    <row r="1000">
      <c r="A1000">
        <f>'1 datos preparados'!A993</f>
        <v/>
      </c>
      <c r="B1000" s="5">
        <f>'1 datos preparados'!U993</f>
        <v/>
      </c>
      <c r="C1000">
        <f>'1 datos preparados'!B993</f>
        <v/>
      </c>
      <c r="D1000" s="7">
        <f>'1 datos preparados'!C993</f>
        <v/>
      </c>
      <c r="E1000" s="7">
        <f>'1 datos preparados'!D993</f>
        <v/>
      </c>
      <c r="F1000" s="7">
        <f>'1 datos preparados'!E993</f>
        <v/>
      </c>
      <c r="G1000" s="7">
        <f>'1 datos preparados'!F993</f>
        <v/>
      </c>
      <c r="H1000" s="7">
        <f>'1 datos preparados'!G993</f>
        <v/>
      </c>
      <c r="I1000" s="7">
        <f>'1 datos preparados'!H993</f>
        <v/>
      </c>
      <c r="J1000" s="7">
        <f>'1 datos preparados'!I993</f>
        <v/>
      </c>
      <c r="K1000" s="7">
        <f>'1 datos preparados'!J993</f>
        <v/>
      </c>
      <c r="L1000" s="7">
        <f>'1 datos preparados'!K993</f>
        <v/>
      </c>
      <c r="M1000" s="7">
        <f>'1 datos preparados'!L993</f>
        <v/>
      </c>
      <c r="N1000" s="7">
        <f>'1 datos preparados'!M993</f>
        <v/>
      </c>
      <c r="O1000" s="7">
        <f>'1 datos preparados'!N993</f>
        <v/>
      </c>
      <c r="P1000" s="7">
        <f>'1 datos preparados'!O993</f>
        <v/>
      </c>
      <c r="Q1000" s="7">
        <f>'1 datos preparados'!P993</f>
        <v/>
      </c>
      <c r="R1000" s="7">
        <f>'1 datos preparados'!Q993</f>
        <v/>
      </c>
      <c r="S1000" s="7">
        <f>'1 datos preparados'!R993</f>
        <v/>
      </c>
      <c r="T1000" s="7">
        <f>'1 datos preparados'!S993</f>
        <v/>
      </c>
      <c r="U1000" s="7">
        <f>'1 datos preparados'!T993</f>
        <v/>
      </c>
      <c r="V1000" s="8">
        <f>$AE$12+D1000*$AE$13+E1000*$AE$14+F1000*$AE$15+G1000*$AE$16+H1000*$AE$17+I1000*$AE$18+J1000*$AE$19+K1000*$AE$20+L1000*$AE$21+M1000*$AE$22+N1000*$AE$23+O1000*$AE$24+P1000*$AE$25+Q1000*$AE$26+R1000*$AE$27+S1000*$AE$28+T1000*$AE$29+U1000*$AE$30</f>
        <v/>
      </c>
      <c r="W1000" s="8">
        <f>1/(1+EXP(-V1000))</f>
        <v/>
      </c>
      <c r="X1000" s="9">
        <f>-IF(C1000=1,LN(W1000),LN(1-W1000))</f>
        <v/>
      </c>
      <c r="Y1000" s="8">
        <f>IF(C1000=1,$AE$32,$AE$33)</f>
        <v/>
      </c>
      <c r="Z1000" s="9">
        <f>Y1000*X1000</f>
        <v/>
      </c>
      <c r="AA1000" s="10">
        <f>IF(W1000&gt;$AE$34,1,0)</f>
        <v/>
      </c>
      <c r="AB1000">
        <f>IF(AA1000=C1000,1,0)</f>
        <v/>
      </c>
    </row>
    <row r="1001">
      <c r="A1001">
        <f>'1 datos preparados'!A994</f>
        <v/>
      </c>
      <c r="B1001" s="5">
        <f>'1 datos preparados'!U994</f>
        <v/>
      </c>
      <c r="C1001">
        <f>'1 datos preparados'!B994</f>
        <v/>
      </c>
      <c r="D1001" s="7">
        <f>'1 datos preparados'!C994</f>
        <v/>
      </c>
      <c r="E1001" s="7">
        <f>'1 datos preparados'!D994</f>
        <v/>
      </c>
      <c r="F1001" s="7">
        <f>'1 datos preparados'!E994</f>
        <v/>
      </c>
      <c r="G1001" s="7">
        <f>'1 datos preparados'!F994</f>
        <v/>
      </c>
      <c r="H1001" s="7">
        <f>'1 datos preparados'!G994</f>
        <v/>
      </c>
      <c r="I1001" s="7">
        <f>'1 datos preparados'!H994</f>
        <v/>
      </c>
      <c r="J1001" s="7">
        <f>'1 datos preparados'!I994</f>
        <v/>
      </c>
      <c r="K1001" s="7">
        <f>'1 datos preparados'!J994</f>
        <v/>
      </c>
      <c r="L1001" s="7">
        <f>'1 datos preparados'!K994</f>
        <v/>
      </c>
      <c r="M1001" s="7">
        <f>'1 datos preparados'!L994</f>
        <v/>
      </c>
      <c r="N1001" s="7">
        <f>'1 datos preparados'!M994</f>
        <v/>
      </c>
      <c r="O1001" s="7">
        <f>'1 datos preparados'!N994</f>
        <v/>
      </c>
      <c r="P1001" s="7">
        <f>'1 datos preparados'!O994</f>
        <v/>
      </c>
      <c r="Q1001" s="7">
        <f>'1 datos preparados'!P994</f>
        <v/>
      </c>
      <c r="R1001" s="7">
        <f>'1 datos preparados'!Q994</f>
        <v/>
      </c>
      <c r="S1001" s="7">
        <f>'1 datos preparados'!R994</f>
        <v/>
      </c>
      <c r="T1001" s="7">
        <f>'1 datos preparados'!S994</f>
        <v/>
      </c>
      <c r="U1001" s="7">
        <f>'1 datos preparados'!T994</f>
        <v/>
      </c>
      <c r="V1001" s="8">
        <f>$AE$12+D1001*$AE$13+E1001*$AE$14+F1001*$AE$15+G1001*$AE$16+H1001*$AE$17+I1001*$AE$18+J1001*$AE$19+K1001*$AE$20+L1001*$AE$21+M1001*$AE$22+N1001*$AE$23+O1001*$AE$24+P1001*$AE$25+Q1001*$AE$26+R1001*$AE$27+S1001*$AE$28+T1001*$AE$29+U1001*$AE$30</f>
        <v/>
      </c>
      <c r="W1001" s="8">
        <f>1/(1+EXP(-V1001))</f>
        <v/>
      </c>
      <c r="X1001" s="9">
        <f>-IF(C1001=1,LN(W1001),LN(1-W1001))</f>
        <v/>
      </c>
      <c r="Y1001" s="8">
        <f>IF(C1001=1,$AE$32,$AE$33)</f>
        <v/>
      </c>
      <c r="Z1001" s="9">
        <f>Y1001*X1001</f>
        <v/>
      </c>
      <c r="AA1001" s="10">
        <f>IF(W1001&gt;$AE$34,1,0)</f>
        <v/>
      </c>
      <c r="AB1001">
        <f>IF(AA1001=C1001,1,0)</f>
        <v/>
      </c>
    </row>
    <row r="1002">
      <c r="A1002">
        <f>'1 datos preparados'!A995</f>
        <v/>
      </c>
      <c r="B1002" s="5">
        <f>'1 datos preparados'!U995</f>
        <v/>
      </c>
      <c r="C1002">
        <f>'1 datos preparados'!B995</f>
        <v/>
      </c>
      <c r="D1002" s="7">
        <f>'1 datos preparados'!C995</f>
        <v/>
      </c>
      <c r="E1002" s="7">
        <f>'1 datos preparados'!D995</f>
        <v/>
      </c>
      <c r="F1002" s="7">
        <f>'1 datos preparados'!E995</f>
        <v/>
      </c>
      <c r="G1002" s="7">
        <f>'1 datos preparados'!F995</f>
        <v/>
      </c>
      <c r="H1002" s="7">
        <f>'1 datos preparados'!G995</f>
        <v/>
      </c>
      <c r="I1002" s="7">
        <f>'1 datos preparados'!H995</f>
        <v/>
      </c>
      <c r="J1002" s="7">
        <f>'1 datos preparados'!I995</f>
        <v/>
      </c>
      <c r="K1002" s="7">
        <f>'1 datos preparados'!J995</f>
        <v/>
      </c>
      <c r="L1002" s="7">
        <f>'1 datos preparados'!K995</f>
        <v/>
      </c>
      <c r="M1002" s="7">
        <f>'1 datos preparados'!L995</f>
        <v/>
      </c>
      <c r="N1002" s="7">
        <f>'1 datos preparados'!M995</f>
        <v/>
      </c>
      <c r="O1002" s="7">
        <f>'1 datos preparados'!N995</f>
        <v/>
      </c>
      <c r="P1002" s="7">
        <f>'1 datos preparados'!O995</f>
        <v/>
      </c>
      <c r="Q1002" s="7">
        <f>'1 datos preparados'!P995</f>
        <v/>
      </c>
      <c r="R1002" s="7">
        <f>'1 datos preparados'!Q995</f>
        <v/>
      </c>
      <c r="S1002" s="7">
        <f>'1 datos preparados'!R995</f>
        <v/>
      </c>
      <c r="T1002" s="7">
        <f>'1 datos preparados'!S995</f>
        <v/>
      </c>
      <c r="U1002" s="7">
        <f>'1 datos preparados'!T995</f>
        <v/>
      </c>
      <c r="V1002" s="8">
        <f>$AE$12+D1002*$AE$13+E1002*$AE$14+F1002*$AE$15+G1002*$AE$16+H1002*$AE$17+I1002*$AE$18+J1002*$AE$19+K1002*$AE$20+L1002*$AE$21+M1002*$AE$22+N1002*$AE$23+O1002*$AE$24+P1002*$AE$25+Q1002*$AE$26+R1002*$AE$27+S1002*$AE$28+T1002*$AE$29+U1002*$AE$30</f>
        <v/>
      </c>
      <c r="W1002" s="8">
        <f>1/(1+EXP(-V1002))</f>
        <v/>
      </c>
      <c r="X1002" s="9">
        <f>-IF(C1002=1,LN(W1002),LN(1-W1002))</f>
        <v/>
      </c>
      <c r="Y1002" s="8">
        <f>IF(C1002=1,$AE$32,$AE$33)</f>
        <v/>
      </c>
      <c r="Z1002" s="9">
        <f>Y1002*X1002</f>
        <v/>
      </c>
      <c r="AA1002" s="10">
        <f>IF(W1002&gt;$AE$34,1,0)</f>
        <v/>
      </c>
      <c r="AB1002">
        <f>IF(AA1002=C1002,1,0)</f>
        <v/>
      </c>
    </row>
    <row r="1003">
      <c r="A1003">
        <f>'1 datos preparados'!A996</f>
        <v/>
      </c>
      <c r="B1003" s="5">
        <f>'1 datos preparados'!U996</f>
        <v/>
      </c>
      <c r="C1003">
        <f>'1 datos preparados'!B996</f>
        <v/>
      </c>
      <c r="D1003" s="7">
        <f>'1 datos preparados'!C996</f>
        <v/>
      </c>
      <c r="E1003" s="7">
        <f>'1 datos preparados'!D996</f>
        <v/>
      </c>
      <c r="F1003" s="7">
        <f>'1 datos preparados'!E996</f>
        <v/>
      </c>
      <c r="G1003" s="7">
        <f>'1 datos preparados'!F996</f>
        <v/>
      </c>
      <c r="H1003" s="7">
        <f>'1 datos preparados'!G996</f>
        <v/>
      </c>
      <c r="I1003" s="7">
        <f>'1 datos preparados'!H996</f>
        <v/>
      </c>
      <c r="J1003" s="7">
        <f>'1 datos preparados'!I996</f>
        <v/>
      </c>
      <c r="K1003" s="7">
        <f>'1 datos preparados'!J996</f>
        <v/>
      </c>
      <c r="L1003" s="7">
        <f>'1 datos preparados'!K996</f>
        <v/>
      </c>
      <c r="M1003" s="7">
        <f>'1 datos preparados'!L996</f>
        <v/>
      </c>
      <c r="N1003" s="7">
        <f>'1 datos preparados'!M996</f>
        <v/>
      </c>
      <c r="O1003" s="7">
        <f>'1 datos preparados'!N996</f>
        <v/>
      </c>
      <c r="P1003" s="7">
        <f>'1 datos preparados'!O996</f>
        <v/>
      </c>
      <c r="Q1003" s="7">
        <f>'1 datos preparados'!P996</f>
        <v/>
      </c>
      <c r="R1003" s="7">
        <f>'1 datos preparados'!Q996</f>
        <v/>
      </c>
      <c r="S1003" s="7">
        <f>'1 datos preparados'!R996</f>
        <v/>
      </c>
      <c r="T1003" s="7">
        <f>'1 datos preparados'!S996</f>
        <v/>
      </c>
      <c r="U1003" s="7">
        <f>'1 datos preparados'!T996</f>
        <v/>
      </c>
      <c r="V1003" s="8">
        <f>$AE$12+D1003*$AE$13+E1003*$AE$14+F1003*$AE$15+G1003*$AE$16+H1003*$AE$17+I1003*$AE$18+J1003*$AE$19+K1003*$AE$20+L1003*$AE$21+M1003*$AE$22+N1003*$AE$23+O1003*$AE$24+P1003*$AE$25+Q1003*$AE$26+R1003*$AE$27+S1003*$AE$28+T1003*$AE$29+U1003*$AE$30</f>
        <v/>
      </c>
      <c r="W1003" s="8">
        <f>1/(1+EXP(-V1003))</f>
        <v/>
      </c>
      <c r="X1003" s="9">
        <f>-IF(C1003=1,LN(W1003),LN(1-W1003))</f>
        <v/>
      </c>
      <c r="Y1003" s="8">
        <f>IF(C1003=1,$AE$32,$AE$33)</f>
        <v/>
      </c>
      <c r="Z1003" s="9">
        <f>Y1003*X1003</f>
        <v/>
      </c>
      <c r="AA1003" s="10">
        <f>IF(W1003&gt;$AE$34,1,0)</f>
        <v/>
      </c>
      <c r="AB1003">
        <f>IF(AA1003=C1003,1,0)</f>
        <v/>
      </c>
    </row>
    <row r="1004">
      <c r="A1004">
        <f>'1 datos preparados'!A997</f>
        <v/>
      </c>
      <c r="B1004" s="5">
        <f>'1 datos preparados'!U997</f>
        <v/>
      </c>
      <c r="C1004">
        <f>'1 datos preparados'!B997</f>
        <v/>
      </c>
      <c r="D1004" s="7">
        <f>'1 datos preparados'!C997</f>
        <v/>
      </c>
      <c r="E1004" s="7">
        <f>'1 datos preparados'!D997</f>
        <v/>
      </c>
      <c r="F1004" s="7">
        <f>'1 datos preparados'!E997</f>
        <v/>
      </c>
      <c r="G1004" s="7">
        <f>'1 datos preparados'!F997</f>
        <v/>
      </c>
      <c r="H1004" s="7">
        <f>'1 datos preparados'!G997</f>
        <v/>
      </c>
      <c r="I1004" s="7">
        <f>'1 datos preparados'!H997</f>
        <v/>
      </c>
      <c r="J1004" s="7">
        <f>'1 datos preparados'!I997</f>
        <v/>
      </c>
      <c r="K1004" s="7">
        <f>'1 datos preparados'!J997</f>
        <v/>
      </c>
      <c r="L1004" s="7">
        <f>'1 datos preparados'!K997</f>
        <v/>
      </c>
      <c r="M1004" s="7">
        <f>'1 datos preparados'!L997</f>
        <v/>
      </c>
      <c r="N1004" s="7">
        <f>'1 datos preparados'!M997</f>
        <v/>
      </c>
      <c r="O1004" s="7">
        <f>'1 datos preparados'!N997</f>
        <v/>
      </c>
      <c r="P1004" s="7">
        <f>'1 datos preparados'!O997</f>
        <v/>
      </c>
      <c r="Q1004" s="7">
        <f>'1 datos preparados'!P997</f>
        <v/>
      </c>
      <c r="R1004" s="7">
        <f>'1 datos preparados'!Q997</f>
        <v/>
      </c>
      <c r="S1004" s="7">
        <f>'1 datos preparados'!R997</f>
        <v/>
      </c>
      <c r="T1004" s="7">
        <f>'1 datos preparados'!S997</f>
        <v/>
      </c>
      <c r="U1004" s="7">
        <f>'1 datos preparados'!T997</f>
        <v/>
      </c>
      <c r="V1004" s="8">
        <f>$AE$12+D1004*$AE$13+E1004*$AE$14+F1004*$AE$15+G1004*$AE$16+H1004*$AE$17+I1004*$AE$18+J1004*$AE$19+K1004*$AE$20+L1004*$AE$21+M1004*$AE$22+N1004*$AE$23+O1004*$AE$24+P1004*$AE$25+Q1004*$AE$26+R1004*$AE$27+S1004*$AE$28+T1004*$AE$29+U1004*$AE$30</f>
        <v/>
      </c>
      <c r="W1004" s="8">
        <f>1/(1+EXP(-V1004))</f>
        <v/>
      </c>
      <c r="X1004" s="9">
        <f>-IF(C1004=1,LN(W1004),LN(1-W1004))</f>
        <v/>
      </c>
      <c r="Y1004" s="8">
        <f>IF(C1004=1,$AE$32,$AE$33)</f>
        <v/>
      </c>
      <c r="Z1004" s="9">
        <f>Y1004*X1004</f>
        <v/>
      </c>
      <c r="AA1004" s="10">
        <f>IF(W1004&gt;$AE$34,1,0)</f>
        <v/>
      </c>
      <c r="AB1004">
        <f>IF(AA1004=C1004,1,0)</f>
        <v/>
      </c>
    </row>
    <row r="1005">
      <c r="A1005">
        <f>'1 datos preparados'!A998</f>
        <v/>
      </c>
      <c r="B1005" s="5">
        <f>'1 datos preparados'!U998</f>
        <v/>
      </c>
      <c r="C1005">
        <f>'1 datos preparados'!B998</f>
        <v/>
      </c>
      <c r="D1005" s="7">
        <f>'1 datos preparados'!C998</f>
        <v/>
      </c>
      <c r="E1005" s="7">
        <f>'1 datos preparados'!D998</f>
        <v/>
      </c>
      <c r="F1005" s="7">
        <f>'1 datos preparados'!E998</f>
        <v/>
      </c>
      <c r="G1005" s="7">
        <f>'1 datos preparados'!F998</f>
        <v/>
      </c>
      <c r="H1005" s="7">
        <f>'1 datos preparados'!G998</f>
        <v/>
      </c>
      <c r="I1005" s="7">
        <f>'1 datos preparados'!H998</f>
        <v/>
      </c>
      <c r="J1005" s="7">
        <f>'1 datos preparados'!I998</f>
        <v/>
      </c>
      <c r="K1005" s="7">
        <f>'1 datos preparados'!J998</f>
        <v/>
      </c>
      <c r="L1005" s="7">
        <f>'1 datos preparados'!K998</f>
        <v/>
      </c>
      <c r="M1005" s="7">
        <f>'1 datos preparados'!L998</f>
        <v/>
      </c>
      <c r="N1005" s="7">
        <f>'1 datos preparados'!M998</f>
        <v/>
      </c>
      <c r="O1005" s="7">
        <f>'1 datos preparados'!N998</f>
        <v/>
      </c>
      <c r="P1005" s="7">
        <f>'1 datos preparados'!O998</f>
        <v/>
      </c>
      <c r="Q1005" s="7">
        <f>'1 datos preparados'!P998</f>
        <v/>
      </c>
      <c r="R1005" s="7">
        <f>'1 datos preparados'!Q998</f>
        <v/>
      </c>
      <c r="S1005" s="7">
        <f>'1 datos preparados'!R998</f>
        <v/>
      </c>
      <c r="T1005" s="7">
        <f>'1 datos preparados'!S998</f>
        <v/>
      </c>
      <c r="U1005" s="7">
        <f>'1 datos preparados'!T998</f>
        <v/>
      </c>
      <c r="V1005" s="8">
        <f>$AE$12+D1005*$AE$13+E1005*$AE$14+F1005*$AE$15+G1005*$AE$16+H1005*$AE$17+I1005*$AE$18+J1005*$AE$19+K1005*$AE$20+L1005*$AE$21+M1005*$AE$22+N1005*$AE$23+O1005*$AE$24+P1005*$AE$25+Q1005*$AE$26+R1005*$AE$27+S1005*$AE$28+T1005*$AE$29+U1005*$AE$30</f>
        <v/>
      </c>
      <c r="W1005" s="8">
        <f>1/(1+EXP(-V1005))</f>
        <v/>
      </c>
      <c r="X1005" s="9">
        <f>-IF(C1005=1,LN(W1005),LN(1-W1005))</f>
        <v/>
      </c>
      <c r="Y1005" s="8">
        <f>IF(C1005=1,$AE$32,$AE$33)</f>
        <v/>
      </c>
      <c r="Z1005" s="9">
        <f>Y1005*X1005</f>
        <v/>
      </c>
      <c r="AA1005" s="10">
        <f>IF(W1005&gt;$AE$34,1,0)</f>
        <v/>
      </c>
      <c r="AB1005">
        <f>IF(AA1005=C1005,1,0)</f>
        <v/>
      </c>
    </row>
    <row r="1006">
      <c r="A1006">
        <f>'1 datos preparados'!A999</f>
        <v/>
      </c>
      <c r="B1006" s="5">
        <f>'1 datos preparados'!U999</f>
        <v/>
      </c>
      <c r="C1006">
        <f>'1 datos preparados'!B999</f>
        <v/>
      </c>
      <c r="D1006" s="7">
        <f>'1 datos preparados'!C999</f>
        <v/>
      </c>
      <c r="E1006" s="7">
        <f>'1 datos preparados'!D999</f>
        <v/>
      </c>
      <c r="F1006" s="7">
        <f>'1 datos preparados'!E999</f>
        <v/>
      </c>
      <c r="G1006" s="7">
        <f>'1 datos preparados'!F999</f>
        <v/>
      </c>
      <c r="H1006" s="7">
        <f>'1 datos preparados'!G999</f>
        <v/>
      </c>
      <c r="I1006" s="7">
        <f>'1 datos preparados'!H999</f>
        <v/>
      </c>
      <c r="J1006" s="7">
        <f>'1 datos preparados'!I999</f>
        <v/>
      </c>
      <c r="K1006" s="7">
        <f>'1 datos preparados'!J999</f>
        <v/>
      </c>
      <c r="L1006" s="7">
        <f>'1 datos preparados'!K999</f>
        <v/>
      </c>
      <c r="M1006" s="7">
        <f>'1 datos preparados'!L999</f>
        <v/>
      </c>
      <c r="N1006" s="7">
        <f>'1 datos preparados'!M999</f>
        <v/>
      </c>
      <c r="O1006" s="7">
        <f>'1 datos preparados'!N999</f>
        <v/>
      </c>
      <c r="P1006" s="7">
        <f>'1 datos preparados'!O999</f>
        <v/>
      </c>
      <c r="Q1006" s="7">
        <f>'1 datos preparados'!P999</f>
        <v/>
      </c>
      <c r="R1006" s="7">
        <f>'1 datos preparados'!Q999</f>
        <v/>
      </c>
      <c r="S1006" s="7">
        <f>'1 datos preparados'!R999</f>
        <v/>
      </c>
      <c r="T1006" s="7">
        <f>'1 datos preparados'!S999</f>
        <v/>
      </c>
      <c r="U1006" s="7">
        <f>'1 datos preparados'!T999</f>
        <v/>
      </c>
      <c r="V1006" s="8">
        <f>$AE$12+D1006*$AE$13+E1006*$AE$14+F1006*$AE$15+G1006*$AE$16+H1006*$AE$17+I1006*$AE$18+J1006*$AE$19+K1006*$AE$20+L1006*$AE$21+M1006*$AE$22+N1006*$AE$23+O1006*$AE$24+P1006*$AE$25+Q1006*$AE$26+R1006*$AE$27+S1006*$AE$28+T1006*$AE$29+U1006*$AE$30</f>
        <v/>
      </c>
      <c r="W1006" s="8">
        <f>1/(1+EXP(-V1006))</f>
        <v/>
      </c>
      <c r="X1006" s="9">
        <f>-IF(C1006=1,LN(W1006),LN(1-W1006))</f>
        <v/>
      </c>
      <c r="Y1006" s="8">
        <f>IF(C1006=1,$AE$32,$AE$33)</f>
        <v/>
      </c>
      <c r="Z1006" s="9">
        <f>Y1006*X1006</f>
        <v/>
      </c>
      <c r="AA1006" s="10">
        <f>IF(W1006&gt;$AE$34,1,0)</f>
        <v/>
      </c>
      <c r="AB1006">
        <f>IF(AA1006=C1006,1,0)</f>
        <v/>
      </c>
    </row>
    <row r="1007">
      <c r="A1007">
        <f>'1 datos preparados'!A1000</f>
        <v/>
      </c>
      <c r="B1007" s="5">
        <f>'1 datos preparados'!U1000</f>
        <v/>
      </c>
      <c r="C1007">
        <f>'1 datos preparados'!B1000</f>
        <v/>
      </c>
      <c r="D1007" s="7">
        <f>'1 datos preparados'!C1000</f>
        <v/>
      </c>
      <c r="E1007" s="7">
        <f>'1 datos preparados'!D1000</f>
        <v/>
      </c>
      <c r="F1007" s="7">
        <f>'1 datos preparados'!E1000</f>
        <v/>
      </c>
      <c r="G1007" s="7">
        <f>'1 datos preparados'!F1000</f>
        <v/>
      </c>
      <c r="H1007" s="7">
        <f>'1 datos preparados'!G1000</f>
        <v/>
      </c>
      <c r="I1007" s="7">
        <f>'1 datos preparados'!H1000</f>
        <v/>
      </c>
      <c r="J1007" s="7">
        <f>'1 datos preparados'!I1000</f>
        <v/>
      </c>
      <c r="K1007" s="7">
        <f>'1 datos preparados'!J1000</f>
        <v/>
      </c>
      <c r="L1007" s="7">
        <f>'1 datos preparados'!K1000</f>
        <v/>
      </c>
      <c r="M1007" s="7">
        <f>'1 datos preparados'!L1000</f>
        <v/>
      </c>
      <c r="N1007" s="7">
        <f>'1 datos preparados'!M1000</f>
        <v/>
      </c>
      <c r="O1007" s="7">
        <f>'1 datos preparados'!N1000</f>
        <v/>
      </c>
      <c r="P1007" s="7">
        <f>'1 datos preparados'!O1000</f>
        <v/>
      </c>
      <c r="Q1007" s="7">
        <f>'1 datos preparados'!P1000</f>
        <v/>
      </c>
      <c r="R1007" s="7">
        <f>'1 datos preparados'!Q1000</f>
        <v/>
      </c>
      <c r="S1007" s="7">
        <f>'1 datos preparados'!R1000</f>
        <v/>
      </c>
      <c r="T1007" s="7">
        <f>'1 datos preparados'!S1000</f>
        <v/>
      </c>
      <c r="U1007" s="7">
        <f>'1 datos preparados'!T1000</f>
        <v/>
      </c>
      <c r="V1007" s="8">
        <f>$AE$12+D1007*$AE$13+E1007*$AE$14+F1007*$AE$15+G1007*$AE$16+H1007*$AE$17+I1007*$AE$18+J1007*$AE$19+K1007*$AE$20+L1007*$AE$21+M1007*$AE$22+N1007*$AE$23+O1007*$AE$24+P1007*$AE$25+Q1007*$AE$26+R1007*$AE$27+S1007*$AE$28+T1007*$AE$29+U1007*$AE$30</f>
        <v/>
      </c>
      <c r="W1007" s="8">
        <f>1/(1+EXP(-V1007))</f>
        <v/>
      </c>
      <c r="X1007" s="9">
        <f>-IF(C1007=1,LN(W1007),LN(1-W1007))</f>
        <v/>
      </c>
      <c r="Y1007" s="8">
        <f>IF(C1007=1,$AE$32,$AE$33)</f>
        <v/>
      </c>
      <c r="Z1007" s="9">
        <f>Y1007*X1007</f>
        <v/>
      </c>
      <c r="AA1007" s="10">
        <f>IF(W1007&gt;$AE$34,1,0)</f>
        <v/>
      </c>
      <c r="AB1007">
        <f>IF(AA1007=C1007,1,0)</f>
        <v/>
      </c>
    </row>
    <row r="1008">
      <c r="A1008">
        <f>'1 datos preparados'!A1001</f>
        <v/>
      </c>
      <c r="B1008" s="5">
        <f>'1 datos preparados'!U1001</f>
        <v/>
      </c>
      <c r="C1008">
        <f>'1 datos preparados'!B1001</f>
        <v/>
      </c>
      <c r="D1008" s="7">
        <f>'1 datos preparados'!C1001</f>
        <v/>
      </c>
      <c r="E1008" s="7">
        <f>'1 datos preparados'!D1001</f>
        <v/>
      </c>
      <c r="F1008" s="7">
        <f>'1 datos preparados'!E1001</f>
        <v/>
      </c>
      <c r="G1008" s="7">
        <f>'1 datos preparados'!F1001</f>
        <v/>
      </c>
      <c r="H1008" s="7">
        <f>'1 datos preparados'!G1001</f>
        <v/>
      </c>
      <c r="I1008" s="7">
        <f>'1 datos preparados'!H1001</f>
        <v/>
      </c>
      <c r="J1008" s="7">
        <f>'1 datos preparados'!I1001</f>
        <v/>
      </c>
      <c r="K1008" s="7">
        <f>'1 datos preparados'!J1001</f>
        <v/>
      </c>
      <c r="L1008" s="7">
        <f>'1 datos preparados'!K1001</f>
        <v/>
      </c>
      <c r="M1008" s="7">
        <f>'1 datos preparados'!L1001</f>
        <v/>
      </c>
      <c r="N1008" s="7">
        <f>'1 datos preparados'!M1001</f>
        <v/>
      </c>
      <c r="O1008" s="7">
        <f>'1 datos preparados'!N1001</f>
        <v/>
      </c>
      <c r="P1008" s="7">
        <f>'1 datos preparados'!O1001</f>
        <v/>
      </c>
      <c r="Q1008" s="7">
        <f>'1 datos preparados'!P1001</f>
        <v/>
      </c>
      <c r="R1008" s="7">
        <f>'1 datos preparados'!Q1001</f>
        <v/>
      </c>
      <c r="S1008" s="7">
        <f>'1 datos preparados'!R1001</f>
        <v/>
      </c>
      <c r="T1008" s="7">
        <f>'1 datos preparados'!S1001</f>
        <v/>
      </c>
      <c r="U1008" s="7">
        <f>'1 datos preparados'!T1001</f>
        <v/>
      </c>
      <c r="V1008" s="8">
        <f>$AE$12+D1008*$AE$13+E1008*$AE$14+F1008*$AE$15+G1008*$AE$16+H1008*$AE$17+I1008*$AE$18+J1008*$AE$19+K1008*$AE$20+L1008*$AE$21+M1008*$AE$22+N1008*$AE$23+O1008*$AE$24+P1008*$AE$25+Q1008*$AE$26+R1008*$AE$27+S1008*$AE$28+T1008*$AE$29+U1008*$AE$30</f>
        <v/>
      </c>
      <c r="W1008" s="8">
        <f>1/(1+EXP(-V1008))</f>
        <v/>
      </c>
      <c r="X1008" s="9">
        <f>-IF(C1008=1,LN(W1008),LN(1-W1008))</f>
        <v/>
      </c>
      <c r="Y1008" s="8">
        <f>IF(C1008=1,$AE$32,$AE$33)</f>
        <v/>
      </c>
      <c r="Z1008" s="9">
        <f>Y1008*X1008</f>
        <v/>
      </c>
      <c r="AA1008" s="10">
        <f>IF(W1008&gt;$AE$34,1,0)</f>
        <v/>
      </c>
      <c r="AB1008">
        <f>IF(AA1008=C1008,1,0)</f>
        <v/>
      </c>
    </row>
    <row r="1009">
      <c r="A1009">
        <f>'1 datos preparados'!A1002</f>
        <v/>
      </c>
      <c r="B1009" s="5">
        <f>'1 datos preparados'!U1002</f>
        <v/>
      </c>
      <c r="C1009">
        <f>'1 datos preparados'!B1002</f>
        <v/>
      </c>
      <c r="D1009" s="7">
        <f>'1 datos preparados'!C1002</f>
        <v/>
      </c>
      <c r="E1009" s="7">
        <f>'1 datos preparados'!D1002</f>
        <v/>
      </c>
      <c r="F1009" s="7">
        <f>'1 datos preparados'!E1002</f>
        <v/>
      </c>
      <c r="G1009" s="7">
        <f>'1 datos preparados'!F1002</f>
        <v/>
      </c>
      <c r="H1009" s="7">
        <f>'1 datos preparados'!G1002</f>
        <v/>
      </c>
      <c r="I1009" s="7">
        <f>'1 datos preparados'!H1002</f>
        <v/>
      </c>
      <c r="J1009" s="7">
        <f>'1 datos preparados'!I1002</f>
        <v/>
      </c>
      <c r="K1009" s="7">
        <f>'1 datos preparados'!J1002</f>
        <v/>
      </c>
      <c r="L1009" s="7">
        <f>'1 datos preparados'!K1002</f>
        <v/>
      </c>
      <c r="M1009" s="7">
        <f>'1 datos preparados'!L1002</f>
        <v/>
      </c>
      <c r="N1009" s="7">
        <f>'1 datos preparados'!M1002</f>
        <v/>
      </c>
      <c r="O1009" s="7">
        <f>'1 datos preparados'!N1002</f>
        <v/>
      </c>
      <c r="P1009" s="7">
        <f>'1 datos preparados'!O1002</f>
        <v/>
      </c>
      <c r="Q1009" s="7">
        <f>'1 datos preparados'!P1002</f>
        <v/>
      </c>
      <c r="R1009" s="7">
        <f>'1 datos preparados'!Q1002</f>
        <v/>
      </c>
      <c r="S1009" s="7">
        <f>'1 datos preparados'!R1002</f>
        <v/>
      </c>
      <c r="T1009" s="7">
        <f>'1 datos preparados'!S1002</f>
        <v/>
      </c>
      <c r="U1009" s="7">
        <f>'1 datos preparados'!T1002</f>
        <v/>
      </c>
      <c r="V1009" s="8">
        <f>$AE$12+D1009*$AE$13+E1009*$AE$14+F1009*$AE$15+G1009*$AE$16+H1009*$AE$17+I1009*$AE$18+J1009*$AE$19+K1009*$AE$20+L1009*$AE$21+M1009*$AE$22+N1009*$AE$23+O1009*$AE$24+P1009*$AE$25+Q1009*$AE$26+R1009*$AE$27+S1009*$AE$28+T1009*$AE$29+U1009*$AE$30</f>
        <v/>
      </c>
      <c r="W1009" s="8">
        <f>1/(1+EXP(-V1009))</f>
        <v/>
      </c>
      <c r="X1009" s="9">
        <f>-IF(C1009=1,LN(W1009),LN(1-W1009))</f>
        <v/>
      </c>
      <c r="Y1009" s="8">
        <f>IF(C1009=1,$AE$32,$AE$33)</f>
        <v/>
      </c>
      <c r="Z1009" s="9">
        <f>Y1009*X1009</f>
        <v/>
      </c>
      <c r="AA1009" s="10">
        <f>IF(W1009&gt;$AE$34,1,0)</f>
        <v/>
      </c>
      <c r="AB1009">
        <f>IF(AA1009=C1009,1,0)</f>
        <v/>
      </c>
    </row>
    <row r="1010">
      <c r="A1010">
        <f>'1 datos preparados'!A1003</f>
        <v/>
      </c>
      <c r="B1010" s="5">
        <f>'1 datos preparados'!U1003</f>
        <v/>
      </c>
      <c r="C1010">
        <f>'1 datos preparados'!B1003</f>
        <v/>
      </c>
      <c r="D1010" s="7">
        <f>'1 datos preparados'!C1003</f>
        <v/>
      </c>
      <c r="E1010" s="7">
        <f>'1 datos preparados'!D1003</f>
        <v/>
      </c>
      <c r="F1010" s="7">
        <f>'1 datos preparados'!E1003</f>
        <v/>
      </c>
      <c r="G1010" s="7">
        <f>'1 datos preparados'!F1003</f>
        <v/>
      </c>
      <c r="H1010" s="7">
        <f>'1 datos preparados'!G1003</f>
        <v/>
      </c>
      <c r="I1010" s="7">
        <f>'1 datos preparados'!H1003</f>
        <v/>
      </c>
      <c r="J1010" s="7">
        <f>'1 datos preparados'!I1003</f>
        <v/>
      </c>
      <c r="K1010" s="7">
        <f>'1 datos preparados'!J1003</f>
        <v/>
      </c>
      <c r="L1010" s="7">
        <f>'1 datos preparados'!K1003</f>
        <v/>
      </c>
      <c r="M1010" s="7">
        <f>'1 datos preparados'!L1003</f>
        <v/>
      </c>
      <c r="N1010" s="7">
        <f>'1 datos preparados'!M1003</f>
        <v/>
      </c>
      <c r="O1010" s="7">
        <f>'1 datos preparados'!N1003</f>
        <v/>
      </c>
      <c r="P1010" s="7">
        <f>'1 datos preparados'!O1003</f>
        <v/>
      </c>
      <c r="Q1010" s="7">
        <f>'1 datos preparados'!P1003</f>
        <v/>
      </c>
      <c r="R1010" s="7">
        <f>'1 datos preparados'!Q1003</f>
        <v/>
      </c>
      <c r="S1010" s="7">
        <f>'1 datos preparados'!R1003</f>
        <v/>
      </c>
      <c r="T1010" s="7">
        <f>'1 datos preparados'!S1003</f>
        <v/>
      </c>
      <c r="U1010" s="7">
        <f>'1 datos preparados'!T1003</f>
        <v/>
      </c>
      <c r="V1010" s="8">
        <f>$AE$12+D1010*$AE$13+E1010*$AE$14+F1010*$AE$15+G1010*$AE$16+H1010*$AE$17+I1010*$AE$18+J1010*$AE$19+K1010*$AE$20+L1010*$AE$21+M1010*$AE$22+N1010*$AE$23+O1010*$AE$24+P1010*$AE$25+Q1010*$AE$26+R1010*$AE$27+S1010*$AE$28+T1010*$AE$29+U1010*$AE$30</f>
        <v/>
      </c>
      <c r="W1010" s="8">
        <f>1/(1+EXP(-V1010))</f>
        <v/>
      </c>
      <c r="X1010" s="9">
        <f>-IF(C1010=1,LN(W1010),LN(1-W1010))</f>
        <v/>
      </c>
      <c r="Y1010" s="8">
        <f>IF(C1010=1,$AE$32,$AE$33)</f>
        <v/>
      </c>
      <c r="Z1010" s="9">
        <f>Y1010*X1010</f>
        <v/>
      </c>
      <c r="AA1010" s="10">
        <f>IF(W1010&gt;$AE$34,1,0)</f>
        <v/>
      </c>
      <c r="AB1010">
        <f>IF(AA1010=C1010,1,0)</f>
        <v/>
      </c>
    </row>
    <row r="1011">
      <c r="A1011">
        <f>'1 datos preparados'!A1004</f>
        <v/>
      </c>
      <c r="B1011" s="5">
        <f>'1 datos preparados'!U1004</f>
        <v/>
      </c>
      <c r="C1011">
        <f>'1 datos preparados'!B1004</f>
        <v/>
      </c>
      <c r="D1011" s="7">
        <f>'1 datos preparados'!C1004</f>
        <v/>
      </c>
      <c r="E1011" s="7">
        <f>'1 datos preparados'!D1004</f>
        <v/>
      </c>
      <c r="F1011" s="7">
        <f>'1 datos preparados'!E1004</f>
        <v/>
      </c>
      <c r="G1011" s="7">
        <f>'1 datos preparados'!F1004</f>
        <v/>
      </c>
      <c r="H1011" s="7">
        <f>'1 datos preparados'!G1004</f>
        <v/>
      </c>
      <c r="I1011" s="7">
        <f>'1 datos preparados'!H1004</f>
        <v/>
      </c>
      <c r="J1011" s="7">
        <f>'1 datos preparados'!I1004</f>
        <v/>
      </c>
      <c r="K1011" s="7">
        <f>'1 datos preparados'!J1004</f>
        <v/>
      </c>
      <c r="L1011" s="7">
        <f>'1 datos preparados'!K1004</f>
        <v/>
      </c>
      <c r="M1011" s="7">
        <f>'1 datos preparados'!L1004</f>
        <v/>
      </c>
      <c r="N1011" s="7">
        <f>'1 datos preparados'!M1004</f>
        <v/>
      </c>
      <c r="O1011" s="7">
        <f>'1 datos preparados'!N1004</f>
        <v/>
      </c>
      <c r="P1011" s="7">
        <f>'1 datos preparados'!O1004</f>
        <v/>
      </c>
      <c r="Q1011" s="7">
        <f>'1 datos preparados'!P1004</f>
        <v/>
      </c>
      <c r="R1011" s="7">
        <f>'1 datos preparados'!Q1004</f>
        <v/>
      </c>
      <c r="S1011" s="7">
        <f>'1 datos preparados'!R1004</f>
        <v/>
      </c>
      <c r="T1011" s="7">
        <f>'1 datos preparados'!S1004</f>
        <v/>
      </c>
      <c r="U1011" s="7">
        <f>'1 datos preparados'!T1004</f>
        <v/>
      </c>
      <c r="V1011" s="8">
        <f>$AE$12+D1011*$AE$13+E1011*$AE$14+F1011*$AE$15+G1011*$AE$16+H1011*$AE$17+I1011*$AE$18+J1011*$AE$19+K1011*$AE$20+L1011*$AE$21+M1011*$AE$22+N1011*$AE$23+O1011*$AE$24+P1011*$AE$25+Q1011*$AE$26+R1011*$AE$27+S1011*$AE$28+T1011*$AE$29+U1011*$AE$30</f>
        <v/>
      </c>
      <c r="W1011" s="8">
        <f>1/(1+EXP(-V1011))</f>
        <v/>
      </c>
      <c r="X1011" s="9">
        <f>-IF(C1011=1,LN(W1011),LN(1-W1011))</f>
        <v/>
      </c>
      <c r="Y1011" s="8">
        <f>IF(C1011=1,$AE$32,$AE$33)</f>
        <v/>
      </c>
      <c r="Z1011" s="9">
        <f>Y1011*X1011</f>
        <v/>
      </c>
      <c r="AA1011" s="10">
        <f>IF(W1011&gt;$AE$34,1,0)</f>
        <v/>
      </c>
      <c r="AB1011">
        <f>IF(AA1011=C1011,1,0)</f>
        <v/>
      </c>
    </row>
  </sheetData>
  <mergeCells count="3">
    <mergeCell ref="A3:R3"/>
    <mergeCell ref="A2:R2"/>
    <mergeCell ref="AD48:AF48"/>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M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18" customWidth="1" min="7" max="7"/>
    <col width="13" customWidth="1" min="8" max="8"/>
    <col width="10" customWidth="1" min="9" max="9"/>
    <col width="14" customWidth="1" min="10" max="10"/>
    <col width="13" customWidth="1" min="11" max="11"/>
    <col width="13" customWidth="1" min="12" max="12"/>
    <col width="18" customWidth="1" min="13" max="13"/>
    <col width="16" customWidth="1" min="14" max="14"/>
    <col width="18" customWidth="1" min="15" max="15"/>
    <col width="19" customWidth="1" min="16" max="16"/>
    <col width="18" customWidth="1" min="17" max="17"/>
    <col width="16" customWidth="1" min="18" max="18"/>
    <col width="15" customWidth="1" min="19" max="19"/>
    <col width="19" customWidth="1" min="20" max="20"/>
    <col width="18" customWidth="1" min="21" max="21"/>
    <col width="10" customWidth="1" min="22" max="22"/>
    <col width="14" customWidth="1" min="23" max="23"/>
    <col width="10" customWidth="1" min="24" max="24"/>
    <col width="13" customWidth="1" min="25" max="25"/>
    <col width="18" customWidth="1" min="26" max="26"/>
    <col width="11" customWidth="1" min="27" max="27"/>
    <col width="10" customWidth="1" min="28" max="28"/>
    <col width="56" customWidth="1" min="30" max="30"/>
    <col width="21" customWidth="1" min="31" max="31"/>
    <col width="27" customWidth="1" min="32" max="32"/>
    <col width="24" customWidth="1" min="35" max="35"/>
    <col width="10" customWidth="1" min="36" max="36"/>
    <col width="11" customWidth="1" min="37" max="37"/>
    <col width="11" customWidth="1" min="38" max="38"/>
    <col width="10" customWidth="1" min="39" max="39"/>
  </cols>
  <sheetData>
    <row r="1">
      <c r="A1" s="3" t="inlineStr">
        <is>
          <t>Submuestreo: tirar buenos pagadores al azar hasta igualar a los malos</t>
        </is>
      </c>
    </row>
    <row r="2" ht="49.5" customHeight="1">
      <c r="A2" s="2" t="inlineStr">
        <is>
          <t>En vez de ponderar, se saca del training a 280 de los 490 buenos pagadores, elegidos al azar, y se entrena con 210 y 210. La columna 'peso de fila' vale 1 para las filas que quedan y 0 para las que salen, así que las descartadas no aportan a J. Testing se mantiene completo, con sus 300 clientes: la muestra que se toca es solo la de entrenamiento.</t>
        </is>
      </c>
    </row>
    <row r="3" ht="49.5" customHeight="1">
      <c r="A3" s="2" t="inlineStr">
        <is>
          <t>Es la solución más simple y la más barata de correr, y por eso se usa mucho con bases enormes. Su costo es evidente: se botan 280 clientes reales con información. En esta base se nota poco (el recall de la clase 1 queda parecido al de class weights) pero el modelo es algo peor en AUC, y con menos filas el resultado depende más de qué buenos pagadores tocaron en el sorteo. El notebook lo muestra repitiendo el sorteo varias veces.</t>
        </is>
      </c>
    </row>
    <row r="4"/>
    <row r="5"/>
    <row r="6"/>
    <row r="7"/>
    <row r="8"/>
    <row r="9"/>
    <row r="10">
      <c r="AD10" s="3" t="inlineStr">
        <is>
          <t>Pesos del modelo (theta): parten de la solución sin balancear</t>
        </is>
      </c>
      <c r="AI10" s="3" t="inlineStr">
        <is>
          <t>EVALUACIÓN EN TESTING (con el umbral celeste)</t>
        </is>
      </c>
    </row>
    <row r="11">
      <c r="A11" s="4" t="inlineStr">
        <is>
          <t>id</t>
        </is>
      </c>
      <c r="B11" s="4" t="inlineStr">
        <is>
          <t>conjunto</t>
        </is>
      </c>
      <c r="C11" s="4" t="inlineStr">
        <is>
          <t>y</t>
        </is>
      </c>
      <c r="D11" s="4" t="inlineStr">
        <is>
          <t>duracion</t>
        </is>
      </c>
      <c r="E11" s="4" t="inlineStr">
        <is>
          <t>monto</t>
        </is>
      </c>
      <c r="F11" s="4" t="inlineStr">
        <is>
          <t>edad</t>
        </is>
      </c>
      <c r="G11" s="4" t="inlineStr">
        <is>
          <t>cuota_pct_ingreso</t>
        </is>
      </c>
      <c r="H11" s="4" t="inlineStr">
        <is>
          <t>cta_negativa</t>
        </is>
      </c>
      <c r="I11" s="4" t="inlineStr">
        <is>
          <t>cta_0_200</t>
        </is>
      </c>
      <c r="J11" s="4" t="inlineStr">
        <is>
          <t>cta_sobre_200</t>
        </is>
      </c>
      <c r="K11" s="4" t="inlineStr">
        <is>
          <t>hist_critico</t>
        </is>
      </c>
      <c r="L11" s="4" t="inlineStr">
        <is>
          <t>hist_atrasos</t>
        </is>
      </c>
      <c r="M11" s="4" t="inlineStr">
        <is>
          <t>hist_sin_creditos</t>
        </is>
      </c>
      <c r="N11" s="4" t="inlineStr">
        <is>
          <t>ahorro_100_1000</t>
        </is>
      </c>
      <c r="O11" s="4" t="inlineStr">
        <is>
          <t>ahorro_sobre_1000</t>
        </is>
      </c>
      <c r="P11" s="4" t="inlineStr">
        <is>
          <t>ahorro_desconocido</t>
        </is>
      </c>
      <c r="Q11" s="4" t="inlineStr">
        <is>
          <t>vivienda_arriendo</t>
        </is>
      </c>
      <c r="R11" s="4" t="inlineStr">
        <is>
          <t>vivienda_gratis</t>
        </is>
      </c>
      <c r="S11" s="4" t="inlineStr">
        <is>
          <t>proposito_auto</t>
        </is>
      </c>
      <c r="T11" s="4" t="inlineStr">
        <is>
          <t>proposito_radio_tv</t>
        </is>
      </c>
      <c r="U11" s="4" t="inlineStr">
        <is>
          <t>proposito_muebles</t>
        </is>
      </c>
      <c r="V11" s="4" t="inlineStr">
        <is>
          <t>Z (recta)</t>
        </is>
      </c>
      <c r="W11" s="4" t="inlineStr">
        <is>
          <t>p (logística)</t>
        </is>
      </c>
      <c r="X11" s="4" t="inlineStr">
        <is>
          <t>pérdida</t>
        </is>
      </c>
      <c r="Y11" s="4" t="inlineStr">
        <is>
          <t>peso de fila</t>
        </is>
      </c>
      <c r="Z11" s="4" t="inlineStr">
        <is>
          <t>pérdida ponderada</t>
        </is>
      </c>
      <c r="AA11" s="4" t="inlineStr">
        <is>
          <t>predicción</t>
        </is>
      </c>
      <c r="AB11" s="4" t="inlineStr">
        <is>
          <t>acierto</t>
        </is>
      </c>
      <c r="AD11" s="4" t="inlineStr">
        <is>
          <t>variable</t>
        </is>
      </c>
      <c r="AE11" s="4" t="inlineStr">
        <is>
          <t>theta (celeste)</t>
        </is>
      </c>
      <c r="AF11" s="4" t="inlineStr">
        <is>
          <t>referencia scikit-learn para esta variante</t>
        </is>
      </c>
    </row>
    <row r="12">
      <c r="A12">
        <f>'1 datos preparados'!A5</f>
        <v/>
      </c>
      <c r="B12" s="5">
        <f>'1 datos preparados'!U5</f>
        <v/>
      </c>
      <c r="C12">
        <f>'1 datos preparados'!B5</f>
        <v/>
      </c>
      <c r="D12" s="7">
        <f>'1 datos preparados'!C5</f>
        <v/>
      </c>
      <c r="E12" s="7">
        <f>'1 datos preparados'!D5</f>
        <v/>
      </c>
      <c r="F12" s="7">
        <f>'1 datos preparados'!E5</f>
        <v/>
      </c>
      <c r="G12" s="7">
        <f>'1 datos preparados'!F5</f>
        <v/>
      </c>
      <c r="H12" s="7">
        <f>'1 datos preparados'!G5</f>
        <v/>
      </c>
      <c r="I12" s="7">
        <f>'1 datos preparados'!H5</f>
        <v/>
      </c>
      <c r="J12" s="7">
        <f>'1 datos preparados'!I5</f>
        <v/>
      </c>
      <c r="K12" s="7">
        <f>'1 datos preparados'!J5</f>
        <v/>
      </c>
      <c r="L12" s="7">
        <f>'1 datos preparados'!K5</f>
        <v/>
      </c>
      <c r="M12" s="7">
        <f>'1 datos preparados'!L5</f>
        <v/>
      </c>
      <c r="N12" s="7">
        <f>'1 datos preparados'!M5</f>
        <v/>
      </c>
      <c r="O12" s="7">
        <f>'1 datos preparados'!N5</f>
        <v/>
      </c>
      <c r="P12" s="7">
        <f>'1 datos preparados'!O5</f>
        <v/>
      </c>
      <c r="Q12" s="7">
        <f>'1 datos preparados'!P5</f>
        <v/>
      </c>
      <c r="R12" s="7">
        <f>'1 datos preparados'!Q5</f>
        <v/>
      </c>
      <c r="S12" s="7">
        <f>'1 datos preparados'!R5</f>
        <v/>
      </c>
      <c r="T12" s="7">
        <f>'1 datos preparados'!S5</f>
        <v/>
      </c>
      <c r="U12" s="7">
        <f>'1 datos preparados'!T5</f>
        <v/>
      </c>
      <c r="V12" s="8">
        <f>$AE$12+D12*$AE$13+E12*$AE$14+F12*$AE$15+G12*$AE$16+H12*$AE$17+I12*$AE$18+J12*$AE$19+K12*$AE$20+L12*$AE$21+M12*$AE$22+N12*$AE$23+O12*$AE$24+P12*$AE$25+Q12*$AE$26+R12*$AE$27+S12*$AE$28+T12*$AE$29+U12*$AE$30</f>
        <v/>
      </c>
      <c r="W12" s="8">
        <f>1/(1+EXP(-V12))</f>
        <v/>
      </c>
      <c r="X12" s="9">
        <f>-IF(C12=1,LN(W12),LN(1-W12))</f>
        <v/>
      </c>
      <c r="Y12" s="8">
        <f>'1 datos preparados'!V5</f>
        <v/>
      </c>
      <c r="Z12" s="9">
        <f>Y12*X12</f>
        <v/>
      </c>
      <c r="AA12" s="10">
        <f>IF(W12&gt;$AE$33,1,0)</f>
        <v/>
      </c>
      <c r="AB12">
        <f>IF(AA12=C12,1,0)</f>
        <v/>
      </c>
      <c r="AD12" t="inlineStr">
        <is>
          <t>intercepto</t>
        </is>
      </c>
      <c r="AE12" s="11" t="n">
        <v>-1.341270962110326</v>
      </c>
      <c r="AF12" s="12" t="n">
        <v>-0.5642677662303335</v>
      </c>
    </row>
    <row r="13">
      <c r="A13">
        <f>'1 datos preparados'!A6</f>
        <v/>
      </c>
      <c r="B13" s="5">
        <f>'1 datos preparados'!U6</f>
        <v/>
      </c>
      <c r="C13">
        <f>'1 datos preparados'!B6</f>
        <v/>
      </c>
      <c r="D13" s="7">
        <f>'1 datos preparados'!C6</f>
        <v/>
      </c>
      <c r="E13" s="7">
        <f>'1 datos preparados'!D6</f>
        <v/>
      </c>
      <c r="F13" s="7">
        <f>'1 datos preparados'!E6</f>
        <v/>
      </c>
      <c r="G13" s="7">
        <f>'1 datos preparados'!F6</f>
        <v/>
      </c>
      <c r="H13" s="7">
        <f>'1 datos preparados'!G6</f>
        <v/>
      </c>
      <c r="I13" s="7">
        <f>'1 datos preparados'!H6</f>
        <v/>
      </c>
      <c r="J13" s="7">
        <f>'1 datos preparados'!I6</f>
        <v/>
      </c>
      <c r="K13" s="7">
        <f>'1 datos preparados'!J6</f>
        <v/>
      </c>
      <c r="L13" s="7">
        <f>'1 datos preparados'!K6</f>
        <v/>
      </c>
      <c r="M13" s="7">
        <f>'1 datos preparados'!L6</f>
        <v/>
      </c>
      <c r="N13" s="7">
        <f>'1 datos preparados'!M6</f>
        <v/>
      </c>
      <c r="O13" s="7">
        <f>'1 datos preparados'!N6</f>
        <v/>
      </c>
      <c r="P13" s="7">
        <f>'1 datos preparados'!O6</f>
        <v/>
      </c>
      <c r="Q13" s="7">
        <f>'1 datos preparados'!P6</f>
        <v/>
      </c>
      <c r="R13" s="7">
        <f>'1 datos preparados'!Q6</f>
        <v/>
      </c>
      <c r="S13" s="7">
        <f>'1 datos preparados'!R6</f>
        <v/>
      </c>
      <c r="T13" s="7">
        <f>'1 datos preparados'!S6</f>
        <v/>
      </c>
      <c r="U13" s="7">
        <f>'1 datos preparados'!T6</f>
        <v/>
      </c>
      <c r="V13" s="8">
        <f>$AE$12+D13*$AE$13+E13*$AE$14+F13*$AE$15+G13*$AE$16+H13*$AE$17+I13*$AE$18+J13*$AE$19+K13*$AE$20+L13*$AE$21+M13*$AE$22+N13*$AE$23+O13*$AE$24+P13*$AE$25+Q13*$AE$26+R13*$AE$27+S13*$AE$28+T13*$AE$29+U13*$AE$30</f>
        <v/>
      </c>
      <c r="W13" s="8">
        <f>1/(1+EXP(-V13))</f>
        <v/>
      </c>
      <c r="X13" s="9">
        <f>-IF(C13=1,LN(W13),LN(1-W13))</f>
        <v/>
      </c>
      <c r="Y13" s="8">
        <f>'1 datos preparados'!V6</f>
        <v/>
      </c>
      <c r="Z13" s="9">
        <f>Y13*X13</f>
        <v/>
      </c>
      <c r="AA13" s="10">
        <f>IF(W13&gt;$AE$33,1,0)</f>
        <v/>
      </c>
      <c r="AB13">
        <f>IF(AA13=C13,1,0)</f>
        <v/>
      </c>
      <c r="AD13" t="inlineStr">
        <is>
          <t>duracion</t>
        </is>
      </c>
      <c r="AE13" s="11" t="n">
        <v>0.3247012549391071</v>
      </c>
      <c r="AF13" s="12" t="n">
        <v>0.15390117294376</v>
      </c>
      <c r="AK13" s="3" t="inlineStr">
        <is>
          <t>predicho 0</t>
        </is>
      </c>
      <c r="AL13" s="3" t="inlineStr">
        <is>
          <t>predicho 1</t>
        </is>
      </c>
      <c r="AM13" s="3" t="inlineStr">
        <is>
          <t>total</t>
        </is>
      </c>
    </row>
    <row r="14">
      <c r="A14">
        <f>'1 datos preparados'!A7</f>
        <v/>
      </c>
      <c r="B14" s="5">
        <f>'1 datos preparados'!U7</f>
        <v/>
      </c>
      <c r="C14">
        <f>'1 datos preparados'!B7</f>
        <v/>
      </c>
      <c r="D14" s="7">
        <f>'1 datos preparados'!C7</f>
        <v/>
      </c>
      <c r="E14" s="7">
        <f>'1 datos preparados'!D7</f>
        <v/>
      </c>
      <c r="F14" s="7">
        <f>'1 datos preparados'!E7</f>
        <v/>
      </c>
      <c r="G14" s="7">
        <f>'1 datos preparados'!F7</f>
        <v/>
      </c>
      <c r="H14" s="7">
        <f>'1 datos preparados'!G7</f>
        <v/>
      </c>
      <c r="I14" s="7">
        <f>'1 datos preparados'!H7</f>
        <v/>
      </c>
      <c r="J14" s="7">
        <f>'1 datos preparados'!I7</f>
        <v/>
      </c>
      <c r="K14" s="7">
        <f>'1 datos preparados'!J7</f>
        <v/>
      </c>
      <c r="L14" s="7">
        <f>'1 datos preparados'!K7</f>
        <v/>
      </c>
      <c r="M14" s="7">
        <f>'1 datos preparados'!L7</f>
        <v/>
      </c>
      <c r="N14" s="7">
        <f>'1 datos preparados'!M7</f>
        <v/>
      </c>
      <c r="O14" s="7">
        <f>'1 datos preparados'!N7</f>
        <v/>
      </c>
      <c r="P14" s="7">
        <f>'1 datos preparados'!O7</f>
        <v/>
      </c>
      <c r="Q14" s="7">
        <f>'1 datos preparados'!P7</f>
        <v/>
      </c>
      <c r="R14" s="7">
        <f>'1 datos preparados'!Q7</f>
        <v/>
      </c>
      <c r="S14" s="7">
        <f>'1 datos preparados'!R7</f>
        <v/>
      </c>
      <c r="T14" s="7">
        <f>'1 datos preparados'!S7</f>
        <v/>
      </c>
      <c r="U14" s="7">
        <f>'1 datos preparados'!T7</f>
        <v/>
      </c>
      <c r="V14" s="8">
        <f>$AE$12+D14*$AE$13+E14*$AE$14+F14*$AE$15+G14*$AE$16+H14*$AE$17+I14*$AE$18+J14*$AE$19+K14*$AE$20+L14*$AE$21+M14*$AE$22+N14*$AE$23+O14*$AE$24+P14*$AE$25+Q14*$AE$26+R14*$AE$27+S14*$AE$28+T14*$AE$29+U14*$AE$30</f>
        <v/>
      </c>
      <c r="W14" s="8">
        <f>1/(1+EXP(-V14))</f>
        <v/>
      </c>
      <c r="X14" s="9">
        <f>-IF(C14=1,LN(W14),LN(1-W14))</f>
        <v/>
      </c>
      <c r="Y14" s="8">
        <f>'1 datos preparados'!V7</f>
        <v/>
      </c>
      <c r="Z14" s="9">
        <f>Y14*X14</f>
        <v/>
      </c>
      <c r="AA14" s="10">
        <f>IF(W14&gt;$AE$33,1,0)</f>
        <v/>
      </c>
      <c r="AB14">
        <f>IF(AA14=C14,1,0)</f>
        <v/>
      </c>
      <c r="AD14" t="inlineStr">
        <is>
          <t>monto</t>
        </is>
      </c>
      <c r="AE14" s="11" t="n">
        <v>0.1163535941884676</v>
      </c>
      <c r="AF14" s="12" t="n">
        <v>0.2386620748886498</v>
      </c>
      <c r="AI14" s="3" t="inlineStr">
        <is>
          <t>real 0 (buen pagador)</t>
        </is>
      </c>
      <c r="AJ14" t="inlineStr">
        <is>
          <t>TN | FP</t>
        </is>
      </c>
      <c r="AK14" s="13">
        <f>COUNTIFS($B$12:$B$1011,"testing",$C$12:$C$1011,0,$AA$12:$AA$1011,0)</f>
        <v/>
      </c>
      <c r="AL14" s="13">
        <f>COUNTIFS($B$12:$B$1011,"testing",$C$12:$C$1011,0,$AA$12:$AA$1011,1)</f>
        <v/>
      </c>
      <c r="AM14">
        <f>AK14+AL14</f>
        <v/>
      </c>
    </row>
    <row r="15">
      <c r="A15">
        <f>'1 datos preparados'!A8</f>
        <v/>
      </c>
      <c r="B15" s="5">
        <f>'1 datos preparados'!U8</f>
        <v/>
      </c>
      <c r="C15">
        <f>'1 datos preparados'!B8</f>
        <v/>
      </c>
      <c r="D15" s="7">
        <f>'1 datos preparados'!C8</f>
        <v/>
      </c>
      <c r="E15" s="7">
        <f>'1 datos preparados'!D8</f>
        <v/>
      </c>
      <c r="F15" s="7">
        <f>'1 datos preparados'!E8</f>
        <v/>
      </c>
      <c r="G15" s="7">
        <f>'1 datos preparados'!F8</f>
        <v/>
      </c>
      <c r="H15" s="7">
        <f>'1 datos preparados'!G8</f>
        <v/>
      </c>
      <c r="I15" s="7">
        <f>'1 datos preparados'!H8</f>
        <v/>
      </c>
      <c r="J15" s="7">
        <f>'1 datos preparados'!I8</f>
        <v/>
      </c>
      <c r="K15" s="7">
        <f>'1 datos preparados'!J8</f>
        <v/>
      </c>
      <c r="L15" s="7">
        <f>'1 datos preparados'!K8</f>
        <v/>
      </c>
      <c r="M15" s="7">
        <f>'1 datos preparados'!L8</f>
        <v/>
      </c>
      <c r="N15" s="7">
        <f>'1 datos preparados'!M8</f>
        <v/>
      </c>
      <c r="O15" s="7">
        <f>'1 datos preparados'!N8</f>
        <v/>
      </c>
      <c r="P15" s="7">
        <f>'1 datos preparados'!O8</f>
        <v/>
      </c>
      <c r="Q15" s="7">
        <f>'1 datos preparados'!P8</f>
        <v/>
      </c>
      <c r="R15" s="7">
        <f>'1 datos preparados'!Q8</f>
        <v/>
      </c>
      <c r="S15" s="7">
        <f>'1 datos preparados'!R8</f>
        <v/>
      </c>
      <c r="T15" s="7">
        <f>'1 datos preparados'!S8</f>
        <v/>
      </c>
      <c r="U15" s="7">
        <f>'1 datos preparados'!T8</f>
        <v/>
      </c>
      <c r="V15" s="8">
        <f>$AE$12+D15*$AE$13+E15*$AE$14+F15*$AE$15+G15*$AE$16+H15*$AE$17+I15*$AE$18+J15*$AE$19+K15*$AE$20+L15*$AE$21+M15*$AE$22+N15*$AE$23+O15*$AE$24+P15*$AE$25+Q15*$AE$26+R15*$AE$27+S15*$AE$28+T15*$AE$29+U15*$AE$30</f>
        <v/>
      </c>
      <c r="W15" s="8">
        <f>1/(1+EXP(-V15))</f>
        <v/>
      </c>
      <c r="X15" s="9">
        <f>-IF(C15=1,LN(W15),LN(1-W15))</f>
        <v/>
      </c>
      <c r="Y15" s="8">
        <f>'1 datos preparados'!V8</f>
        <v/>
      </c>
      <c r="Z15" s="9">
        <f>Y15*X15</f>
        <v/>
      </c>
      <c r="AA15" s="10">
        <f>IF(W15&gt;$AE$33,1,0)</f>
        <v/>
      </c>
      <c r="AB15">
        <f>IF(AA15=C15,1,0)</f>
        <v/>
      </c>
      <c r="AD15" t="inlineStr">
        <is>
          <t>edad</t>
        </is>
      </c>
      <c r="AE15" s="11" t="n">
        <v>-0.09914522482627074</v>
      </c>
      <c r="AF15" s="12" t="n">
        <v>-0.09341068808315182</v>
      </c>
      <c r="AI15" s="3" t="inlineStr">
        <is>
          <t>real 1 (mal pagador)</t>
        </is>
      </c>
      <c r="AJ15" t="inlineStr">
        <is>
          <t>FN | TP</t>
        </is>
      </c>
      <c r="AK15" s="13">
        <f>COUNTIFS($B$12:$B$1011,"testing",$C$12:$C$1011,1,$AA$12:$AA$1011,0)</f>
        <v/>
      </c>
      <c r="AL15" s="13">
        <f>COUNTIFS($B$12:$B$1011,"testing",$C$12:$C$1011,1,$AA$12:$AA$1011,1)</f>
        <v/>
      </c>
      <c r="AM15">
        <f>AK15+AL15</f>
        <v/>
      </c>
    </row>
    <row r="16">
      <c r="A16">
        <f>'1 datos preparados'!A9</f>
        <v/>
      </c>
      <c r="B16" s="5">
        <f>'1 datos preparados'!U9</f>
        <v/>
      </c>
      <c r="C16">
        <f>'1 datos preparados'!B9</f>
        <v/>
      </c>
      <c r="D16" s="7">
        <f>'1 datos preparados'!C9</f>
        <v/>
      </c>
      <c r="E16" s="7">
        <f>'1 datos preparados'!D9</f>
        <v/>
      </c>
      <c r="F16" s="7">
        <f>'1 datos preparados'!E9</f>
        <v/>
      </c>
      <c r="G16" s="7">
        <f>'1 datos preparados'!F9</f>
        <v/>
      </c>
      <c r="H16" s="7">
        <f>'1 datos preparados'!G9</f>
        <v/>
      </c>
      <c r="I16" s="7">
        <f>'1 datos preparados'!H9</f>
        <v/>
      </c>
      <c r="J16" s="7">
        <f>'1 datos preparados'!I9</f>
        <v/>
      </c>
      <c r="K16" s="7">
        <f>'1 datos preparados'!J9</f>
        <v/>
      </c>
      <c r="L16" s="7">
        <f>'1 datos preparados'!K9</f>
        <v/>
      </c>
      <c r="M16" s="7">
        <f>'1 datos preparados'!L9</f>
        <v/>
      </c>
      <c r="N16" s="7">
        <f>'1 datos preparados'!M9</f>
        <v/>
      </c>
      <c r="O16" s="7">
        <f>'1 datos preparados'!N9</f>
        <v/>
      </c>
      <c r="P16" s="7">
        <f>'1 datos preparados'!O9</f>
        <v/>
      </c>
      <c r="Q16" s="7">
        <f>'1 datos preparados'!P9</f>
        <v/>
      </c>
      <c r="R16" s="7">
        <f>'1 datos preparados'!Q9</f>
        <v/>
      </c>
      <c r="S16" s="7">
        <f>'1 datos preparados'!R9</f>
        <v/>
      </c>
      <c r="T16" s="7">
        <f>'1 datos preparados'!S9</f>
        <v/>
      </c>
      <c r="U16" s="7">
        <f>'1 datos preparados'!T9</f>
        <v/>
      </c>
      <c r="V16" s="8">
        <f>$AE$12+D16*$AE$13+E16*$AE$14+F16*$AE$15+G16*$AE$16+H16*$AE$17+I16*$AE$18+J16*$AE$19+K16*$AE$20+L16*$AE$21+M16*$AE$22+N16*$AE$23+O16*$AE$24+P16*$AE$25+Q16*$AE$26+R16*$AE$27+S16*$AE$28+T16*$AE$29+U16*$AE$30</f>
        <v/>
      </c>
      <c r="W16" s="8">
        <f>1/(1+EXP(-V16))</f>
        <v/>
      </c>
      <c r="X16" s="9">
        <f>-IF(C16=1,LN(W16),LN(1-W16))</f>
        <v/>
      </c>
      <c r="Y16" s="8">
        <f>'1 datos preparados'!V9</f>
        <v/>
      </c>
      <c r="Z16" s="9">
        <f>Y16*X16</f>
        <v/>
      </c>
      <c r="AA16" s="10">
        <f>IF(W16&gt;$AE$33,1,0)</f>
        <v/>
      </c>
      <c r="AB16">
        <f>IF(AA16=C16,1,0)</f>
        <v/>
      </c>
      <c r="AD16" t="inlineStr">
        <is>
          <t>cuota_pct_ingreso</t>
        </is>
      </c>
      <c r="AE16" s="11" t="n">
        <v>0.2872157655933926</v>
      </c>
      <c r="AF16" s="12" t="n">
        <v>0.3915154809925517</v>
      </c>
      <c r="AI16" s="3" t="inlineStr">
        <is>
          <t>total</t>
        </is>
      </c>
      <c r="AK16">
        <f>AK14+AK15</f>
        <v/>
      </c>
      <c r="AL16">
        <f>AL14+AL15</f>
        <v/>
      </c>
      <c r="AM16">
        <f>AM14+AM15</f>
        <v/>
      </c>
    </row>
    <row r="17">
      <c r="A17">
        <f>'1 datos preparados'!A10</f>
        <v/>
      </c>
      <c r="B17" s="5">
        <f>'1 datos preparados'!U10</f>
        <v/>
      </c>
      <c r="C17">
        <f>'1 datos preparados'!B10</f>
        <v/>
      </c>
      <c r="D17" s="7">
        <f>'1 datos preparados'!C10</f>
        <v/>
      </c>
      <c r="E17" s="7">
        <f>'1 datos preparados'!D10</f>
        <v/>
      </c>
      <c r="F17" s="7">
        <f>'1 datos preparados'!E10</f>
        <v/>
      </c>
      <c r="G17" s="7">
        <f>'1 datos preparados'!F10</f>
        <v/>
      </c>
      <c r="H17" s="7">
        <f>'1 datos preparados'!G10</f>
        <v/>
      </c>
      <c r="I17" s="7">
        <f>'1 datos preparados'!H10</f>
        <v/>
      </c>
      <c r="J17" s="7">
        <f>'1 datos preparados'!I10</f>
        <v/>
      </c>
      <c r="K17" s="7">
        <f>'1 datos preparados'!J10</f>
        <v/>
      </c>
      <c r="L17" s="7">
        <f>'1 datos preparados'!K10</f>
        <v/>
      </c>
      <c r="M17" s="7">
        <f>'1 datos preparados'!L10</f>
        <v/>
      </c>
      <c r="N17" s="7">
        <f>'1 datos preparados'!M10</f>
        <v/>
      </c>
      <c r="O17" s="7">
        <f>'1 datos preparados'!N10</f>
        <v/>
      </c>
      <c r="P17" s="7">
        <f>'1 datos preparados'!O10</f>
        <v/>
      </c>
      <c r="Q17" s="7">
        <f>'1 datos preparados'!P10</f>
        <v/>
      </c>
      <c r="R17" s="7">
        <f>'1 datos preparados'!Q10</f>
        <v/>
      </c>
      <c r="S17" s="7">
        <f>'1 datos preparados'!R10</f>
        <v/>
      </c>
      <c r="T17" s="7">
        <f>'1 datos preparados'!S10</f>
        <v/>
      </c>
      <c r="U17" s="7">
        <f>'1 datos preparados'!T10</f>
        <v/>
      </c>
      <c r="V17" s="8">
        <f>$AE$12+D17*$AE$13+E17*$AE$14+F17*$AE$15+G17*$AE$16+H17*$AE$17+I17*$AE$18+J17*$AE$19+K17*$AE$20+L17*$AE$21+M17*$AE$22+N17*$AE$23+O17*$AE$24+P17*$AE$25+Q17*$AE$26+R17*$AE$27+S17*$AE$28+T17*$AE$29+U17*$AE$30</f>
        <v/>
      </c>
      <c r="W17" s="8">
        <f>1/(1+EXP(-V17))</f>
        <v/>
      </c>
      <c r="X17" s="9">
        <f>-IF(C17=1,LN(W17),LN(1-W17))</f>
        <v/>
      </c>
      <c r="Y17" s="8">
        <f>'1 datos preparados'!V10</f>
        <v/>
      </c>
      <c r="Z17" s="9">
        <f>Y17*X17</f>
        <v/>
      </c>
      <c r="AA17" s="10">
        <f>IF(W17&gt;$AE$33,1,0)</f>
        <v/>
      </c>
      <c r="AB17">
        <f>IF(AA17=C17,1,0)</f>
        <v/>
      </c>
      <c r="AD17" t="inlineStr">
        <is>
          <t>cta_negativa</t>
        </is>
      </c>
      <c r="AE17" s="11" t="n">
        <v>1.546402670396991</v>
      </c>
      <c r="AF17" s="12" t="n">
        <v>1.765814420528536</v>
      </c>
    </row>
    <row r="18">
      <c r="A18">
        <f>'1 datos preparados'!A11</f>
        <v/>
      </c>
      <c r="B18" s="5">
        <f>'1 datos preparados'!U11</f>
        <v/>
      </c>
      <c r="C18">
        <f>'1 datos preparados'!B11</f>
        <v/>
      </c>
      <c r="D18" s="7">
        <f>'1 datos preparados'!C11</f>
        <v/>
      </c>
      <c r="E18" s="7">
        <f>'1 datos preparados'!D11</f>
        <v/>
      </c>
      <c r="F18" s="7">
        <f>'1 datos preparados'!E11</f>
        <v/>
      </c>
      <c r="G18" s="7">
        <f>'1 datos preparados'!F11</f>
        <v/>
      </c>
      <c r="H18" s="7">
        <f>'1 datos preparados'!G11</f>
        <v/>
      </c>
      <c r="I18" s="7">
        <f>'1 datos preparados'!H11</f>
        <v/>
      </c>
      <c r="J18" s="7">
        <f>'1 datos preparados'!I11</f>
        <v/>
      </c>
      <c r="K18" s="7">
        <f>'1 datos preparados'!J11</f>
        <v/>
      </c>
      <c r="L18" s="7">
        <f>'1 datos preparados'!K11</f>
        <v/>
      </c>
      <c r="M18" s="7">
        <f>'1 datos preparados'!L11</f>
        <v/>
      </c>
      <c r="N18" s="7">
        <f>'1 datos preparados'!M11</f>
        <v/>
      </c>
      <c r="O18" s="7">
        <f>'1 datos preparados'!N11</f>
        <v/>
      </c>
      <c r="P18" s="7">
        <f>'1 datos preparados'!O11</f>
        <v/>
      </c>
      <c r="Q18" s="7">
        <f>'1 datos preparados'!P11</f>
        <v/>
      </c>
      <c r="R18" s="7">
        <f>'1 datos preparados'!Q11</f>
        <v/>
      </c>
      <c r="S18" s="7">
        <f>'1 datos preparados'!R11</f>
        <v/>
      </c>
      <c r="T18" s="7">
        <f>'1 datos preparados'!S11</f>
        <v/>
      </c>
      <c r="U18" s="7">
        <f>'1 datos preparados'!T11</f>
        <v/>
      </c>
      <c r="V18" s="8">
        <f>$AE$12+D18*$AE$13+E18*$AE$14+F18*$AE$15+G18*$AE$16+H18*$AE$17+I18*$AE$18+J18*$AE$19+K18*$AE$20+L18*$AE$21+M18*$AE$22+N18*$AE$23+O18*$AE$24+P18*$AE$25+Q18*$AE$26+R18*$AE$27+S18*$AE$28+T18*$AE$29+U18*$AE$30</f>
        <v/>
      </c>
      <c r="W18" s="8">
        <f>1/(1+EXP(-V18))</f>
        <v/>
      </c>
      <c r="X18" s="9">
        <f>-IF(C18=1,LN(W18),LN(1-W18))</f>
        <v/>
      </c>
      <c r="Y18" s="8">
        <f>'1 datos preparados'!V11</f>
        <v/>
      </c>
      <c r="Z18" s="9">
        <f>Y18*X18</f>
        <v/>
      </c>
      <c r="AA18" s="10">
        <f>IF(W18&gt;$AE$33,1,0)</f>
        <v/>
      </c>
      <c r="AB18">
        <f>IF(AA18=C18,1,0)</f>
        <v/>
      </c>
      <c r="AD18" t="inlineStr">
        <is>
          <t>cta_0_200</t>
        </is>
      </c>
      <c r="AE18" s="11" t="n">
        <v>1.294997779791349</v>
      </c>
      <c r="AF18" s="12" t="n">
        <v>1.213917967017059</v>
      </c>
      <c r="AI18" s="4" t="inlineStr"/>
      <c r="AJ18" s="4" t="inlineStr">
        <is>
          <t>precision</t>
        </is>
      </c>
      <c r="AK18" s="4" t="inlineStr">
        <is>
          <t>recall</t>
        </is>
      </c>
      <c r="AL18" s="4" t="inlineStr">
        <is>
          <t>f1-score</t>
        </is>
      </c>
      <c r="AM18" s="4" t="inlineStr">
        <is>
          <t>support</t>
        </is>
      </c>
    </row>
    <row r="19">
      <c r="A19">
        <f>'1 datos preparados'!A12</f>
        <v/>
      </c>
      <c r="B19" s="5">
        <f>'1 datos preparados'!U12</f>
        <v/>
      </c>
      <c r="C19">
        <f>'1 datos preparados'!B12</f>
        <v/>
      </c>
      <c r="D19" s="7">
        <f>'1 datos preparados'!C12</f>
        <v/>
      </c>
      <c r="E19" s="7">
        <f>'1 datos preparados'!D12</f>
        <v/>
      </c>
      <c r="F19" s="7">
        <f>'1 datos preparados'!E12</f>
        <v/>
      </c>
      <c r="G19" s="7">
        <f>'1 datos preparados'!F12</f>
        <v/>
      </c>
      <c r="H19" s="7">
        <f>'1 datos preparados'!G12</f>
        <v/>
      </c>
      <c r="I19" s="7">
        <f>'1 datos preparados'!H12</f>
        <v/>
      </c>
      <c r="J19" s="7">
        <f>'1 datos preparados'!I12</f>
        <v/>
      </c>
      <c r="K19" s="7">
        <f>'1 datos preparados'!J12</f>
        <v/>
      </c>
      <c r="L19" s="7">
        <f>'1 datos preparados'!K12</f>
        <v/>
      </c>
      <c r="M19" s="7">
        <f>'1 datos preparados'!L12</f>
        <v/>
      </c>
      <c r="N19" s="7">
        <f>'1 datos preparados'!M12</f>
        <v/>
      </c>
      <c r="O19" s="7">
        <f>'1 datos preparados'!N12</f>
        <v/>
      </c>
      <c r="P19" s="7">
        <f>'1 datos preparados'!O12</f>
        <v/>
      </c>
      <c r="Q19" s="7">
        <f>'1 datos preparados'!P12</f>
        <v/>
      </c>
      <c r="R19" s="7">
        <f>'1 datos preparados'!Q12</f>
        <v/>
      </c>
      <c r="S19" s="7">
        <f>'1 datos preparados'!R12</f>
        <v/>
      </c>
      <c r="T19" s="7">
        <f>'1 datos preparados'!S12</f>
        <v/>
      </c>
      <c r="U19" s="7">
        <f>'1 datos preparados'!T12</f>
        <v/>
      </c>
      <c r="V19" s="8">
        <f>$AE$12+D19*$AE$13+E19*$AE$14+F19*$AE$15+G19*$AE$16+H19*$AE$17+I19*$AE$18+J19*$AE$19+K19*$AE$20+L19*$AE$21+M19*$AE$22+N19*$AE$23+O19*$AE$24+P19*$AE$25+Q19*$AE$26+R19*$AE$27+S19*$AE$28+T19*$AE$29+U19*$AE$30</f>
        <v/>
      </c>
      <c r="W19" s="8">
        <f>1/(1+EXP(-V19))</f>
        <v/>
      </c>
      <c r="X19" s="9">
        <f>-IF(C19=1,LN(W19),LN(1-W19))</f>
        <v/>
      </c>
      <c r="Y19" s="8">
        <f>'1 datos preparados'!V12</f>
        <v/>
      </c>
      <c r="Z19" s="9">
        <f>Y19*X19</f>
        <v/>
      </c>
      <c r="AA19" s="10">
        <f>IF(W19&gt;$AE$33,1,0)</f>
        <v/>
      </c>
      <c r="AB19">
        <f>IF(AA19=C19,1,0)</f>
        <v/>
      </c>
      <c r="AD19" t="inlineStr">
        <is>
          <t>cta_sobre_200</t>
        </is>
      </c>
      <c r="AE19" s="11" t="n">
        <v>0.6683615861023957</v>
      </c>
      <c r="AF19" s="12" t="n">
        <v>0.9157730566223989</v>
      </c>
      <c r="AI19" s="3" t="inlineStr">
        <is>
          <t>clase 0 (paga)</t>
        </is>
      </c>
      <c r="AJ19" s="14">
        <f>IF(AK14+AK15=0,0,AK14/(AK14+AK15))</f>
        <v/>
      </c>
      <c r="AK19" s="14">
        <f>IF(AK14+AL14=0,0,AK14/(AK14+AL14))</f>
        <v/>
      </c>
      <c r="AL19" s="14">
        <f>IF(AJ19+AK19=0,0,2*AJ19*AK19/(AJ19+AK19))</f>
        <v/>
      </c>
      <c r="AM19">
        <f>AM14</f>
        <v/>
      </c>
    </row>
    <row r="20">
      <c r="A20">
        <f>'1 datos preparados'!A13</f>
        <v/>
      </c>
      <c r="B20" s="5">
        <f>'1 datos preparados'!U13</f>
        <v/>
      </c>
      <c r="C20">
        <f>'1 datos preparados'!B13</f>
        <v/>
      </c>
      <c r="D20" s="7">
        <f>'1 datos preparados'!C13</f>
        <v/>
      </c>
      <c r="E20" s="7">
        <f>'1 datos preparados'!D13</f>
        <v/>
      </c>
      <c r="F20" s="7">
        <f>'1 datos preparados'!E13</f>
        <v/>
      </c>
      <c r="G20" s="7">
        <f>'1 datos preparados'!F13</f>
        <v/>
      </c>
      <c r="H20" s="7">
        <f>'1 datos preparados'!G13</f>
        <v/>
      </c>
      <c r="I20" s="7">
        <f>'1 datos preparados'!H13</f>
        <v/>
      </c>
      <c r="J20" s="7">
        <f>'1 datos preparados'!I13</f>
        <v/>
      </c>
      <c r="K20" s="7">
        <f>'1 datos preparados'!J13</f>
        <v/>
      </c>
      <c r="L20" s="7">
        <f>'1 datos preparados'!K13</f>
        <v/>
      </c>
      <c r="M20" s="7">
        <f>'1 datos preparados'!L13</f>
        <v/>
      </c>
      <c r="N20" s="7">
        <f>'1 datos preparados'!M13</f>
        <v/>
      </c>
      <c r="O20" s="7">
        <f>'1 datos preparados'!N13</f>
        <v/>
      </c>
      <c r="P20" s="7">
        <f>'1 datos preparados'!O13</f>
        <v/>
      </c>
      <c r="Q20" s="7">
        <f>'1 datos preparados'!P13</f>
        <v/>
      </c>
      <c r="R20" s="7">
        <f>'1 datos preparados'!Q13</f>
        <v/>
      </c>
      <c r="S20" s="7">
        <f>'1 datos preparados'!R13</f>
        <v/>
      </c>
      <c r="T20" s="7">
        <f>'1 datos preparados'!S13</f>
        <v/>
      </c>
      <c r="U20" s="7">
        <f>'1 datos preparados'!T13</f>
        <v/>
      </c>
      <c r="V20" s="8">
        <f>$AE$12+D20*$AE$13+E20*$AE$14+F20*$AE$15+G20*$AE$16+H20*$AE$17+I20*$AE$18+J20*$AE$19+K20*$AE$20+L20*$AE$21+M20*$AE$22+N20*$AE$23+O20*$AE$24+P20*$AE$25+Q20*$AE$26+R20*$AE$27+S20*$AE$28+T20*$AE$29+U20*$AE$30</f>
        <v/>
      </c>
      <c r="W20" s="8">
        <f>1/(1+EXP(-V20))</f>
        <v/>
      </c>
      <c r="X20" s="9">
        <f>-IF(C20=1,LN(W20),LN(1-W20))</f>
        <v/>
      </c>
      <c r="Y20" s="8">
        <f>'1 datos preparados'!V13</f>
        <v/>
      </c>
      <c r="Z20" s="9">
        <f>Y20*X20</f>
        <v/>
      </c>
      <c r="AA20" s="10">
        <f>IF(W20&gt;$AE$33,1,0)</f>
        <v/>
      </c>
      <c r="AB20">
        <f>IF(AA20=C20,1,0)</f>
        <v/>
      </c>
      <c r="AD20" t="inlineStr">
        <is>
          <t>hist_critico</t>
        </is>
      </c>
      <c r="AE20" s="11" t="n">
        <v>-0.6573449373610837</v>
      </c>
      <c r="AF20" s="12" t="n">
        <v>-0.6639902250546967</v>
      </c>
      <c r="AI20" s="3" t="inlineStr">
        <is>
          <t>clase 1 (no paga)</t>
        </is>
      </c>
      <c r="AJ20" s="14">
        <f>IF(AL15+AL14=0,0,AL15/(AL15+AL14))</f>
        <v/>
      </c>
      <c r="AK20" s="14">
        <f>IF(AL15+AK15=0,0,AL15/(AL15+AK15))</f>
        <v/>
      </c>
      <c r="AL20" s="14">
        <f>IF(AJ20+AK20=0,0,2*AJ20*AK20/(AJ20+AK20))</f>
        <v/>
      </c>
      <c r="AM20">
        <f>AM15</f>
        <v/>
      </c>
    </row>
    <row r="21">
      <c r="A21">
        <f>'1 datos preparados'!A14</f>
        <v/>
      </c>
      <c r="B21" s="5">
        <f>'1 datos preparados'!U14</f>
        <v/>
      </c>
      <c r="C21">
        <f>'1 datos preparados'!B14</f>
        <v/>
      </c>
      <c r="D21" s="7">
        <f>'1 datos preparados'!C14</f>
        <v/>
      </c>
      <c r="E21" s="7">
        <f>'1 datos preparados'!D14</f>
        <v/>
      </c>
      <c r="F21" s="7">
        <f>'1 datos preparados'!E14</f>
        <v/>
      </c>
      <c r="G21" s="7">
        <f>'1 datos preparados'!F14</f>
        <v/>
      </c>
      <c r="H21" s="7">
        <f>'1 datos preparados'!G14</f>
        <v/>
      </c>
      <c r="I21" s="7">
        <f>'1 datos preparados'!H14</f>
        <v/>
      </c>
      <c r="J21" s="7">
        <f>'1 datos preparados'!I14</f>
        <v/>
      </c>
      <c r="K21" s="7">
        <f>'1 datos preparados'!J14</f>
        <v/>
      </c>
      <c r="L21" s="7">
        <f>'1 datos preparados'!K14</f>
        <v/>
      </c>
      <c r="M21" s="7">
        <f>'1 datos preparados'!L14</f>
        <v/>
      </c>
      <c r="N21" s="7">
        <f>'1 datos preparados'!M14</f>
        <v/>
      </c>
      <c r="O21" s="7">
        <f>'1 datos preparados'!N14</f>
        <v/>
      </c>
      <c r="P21" s="7">
        <f>'1 datos preparados'!O14</f>
        <v/>
      </c>
      <c r="Q21" s="7">
        <f>'1 datos preparados'!P14</f>
        <v/>
      </c>
      <c r="R21" s="7">
        <f>'1 datos preparados'!Q14</f>
        <v/>
      </c>
      <c r="S21" s="7">
        <f>'1 datos preparados'!R14</f>
        <v/>
      </c>
      <c r="T21" s="7">
        <f>'1 datos preparados'!S14</f>
        <v/>
      </c>
      <c r="U21" s="7">
        <f>'1 datos preparados'!T14</f>
        <v/>
      </c>
      <c r="V21" s="8">
        <f>$AE$12+D21*$AE$13+E21*$AE$14+F21*$AE$15+G21*$AE$16+H21*$AE$17+I21*$AE$18+J21*$AE$19+K21*$AE$20+L21*$AE$21+M21*$AE$22+N21*$AE$23+O21*$AE$24+P21*$AE$25+Q21*$AE$26+R21*$AE$27+S21*$AE$28+T21*$AE$29+U21*$AE$30</f>
        <v/>
      </c>
      <c r="W21" s="8">
        <f>1/(1+EXP(-V21))</f>
        <v/>
      </c>
      <c r="X21" s="9">
        <f>-IF(C21=1,LN(W21),LN(1-W21))</f>
        <v/>
      </c>
      <c r="Y21" s="8">
        <f>'1 datos preparados'!V14</f>
        <v/>
      </c>
      <c r="Z21" s="9">
        <f>Y21*X21</f>
        <v/>
      </c>
      <c r="AA21" s="10">
        <f>IF(W21&gt;$AE$33,1,0)</f>
        <v/>
      </c>
      <c r="AB21">
        <f>IF(AA21=C21,1,0)</f>
        <v/>
      </c>
      <c r="AD21" t="inlineStr">
        <is>
          <t>hist_atrasos</t>
        </is>
      </c>
      <c r="AE21" s="11" t="n">
        <v>-0.04019551911120235</v>
      </c>
      <c r="AF21" s="12" t="n">
        <v>0.4588232940585449</v>
      </c>
      <c r="AI21" s="3" t="inlineStr">
        <is>
          <t>accuracy</t>
        </is>
      </c>
      <c r="AL21" s="14">
        <f>(AL15+AK14)/AM16</f>
        <v/>
      </c>
    </row>
    <row r="22">
      <c r="A22">
        <f>'1 datos preparados'!A15</f>
        <v/>
      </c>
      <c r="B22" s="5">
        <f>'1 datos preparados'!U15</f>
        <v/>
      </c>
      <c r="C22">
        <f>'1 datos preparados'!B15</f>
        <v/>
      </c>
      <c r="D22" s="7">
        <f>'1 datos preparados'!C15</f>
        <v/>
      </c>
      <c r="E22" s="7">
        <f>'1 datos preparados'!D15</f>
        <v/>
      </c>
      <c r="F22" s="7">
        <f>'1 datos preparados'!E15</f>
        <v/>
      </c>
      <c r="G22" s="7">
        <f>'1 datos preparados'!F15</f>
        <v/>
      </c>
      <c r="H22" s="7">
        <f>'1 datos preparados'!G15</f>
        <v/>
      </c>
      <c r="I22" s="7">
        <f>'1 datos preparados'!H15</f>
        <v/>
      </c>
      <c r="J22" s="7">
        <f>'1 datos preparados'!I15</f>
        <v/>
      </c>
      <c r="K22" s="7">
        <f>'1 datos preparados'!J15</f>
        <v/>
      </c>
      <c r="L22" s="7">
        <f>'1 datos preparados'!K15</f>
        <v/>
      </c>
      <c r="M22" s="7">
        <f>'1 datos preparados'!L15</f>
        <v/>
      </c>
      <c r="N22" s="7">
        <f>'1 datos preparados'!M15</f>
        <v/>
      </c>
      <c r="O22" s="7">
        <f>'1 datos preparados'!N15</f>
        <v/>
      </c>
      <c r="P22" s="7">
        <f>'1 datos preparados'!O15</f>
        <v/>
      </c>
      <c r="Q22" s="7">
        <f>'1 datos preparados'!P15</f>
        <v/>
      </c>
      <c r="R22" s="7">
        <f>'1 datos preparados'!Q15</f>
        <v/>
      </c>
      <c r="S22" s="7">
        <f>'1 datos preparados'!R15</f>
        <v/>
      </c>
      <c r="T22" s="7">
        <f>'1 datos preparados'!S15</f>
        <v/>
      </c>
      <c r="U22" s="7">
        <f>'1 datos preparados'!T15</f>
        <v/>
      </c>
      <c r="V22" s="8">
        <f>$AE$12+D22*$AE$13+E22*$AE$14+F22*$AE$15+G22*$AE$16+H22*$AE$17+I22*$AE$18+J22*$AE$19+K22*$AE$20+L22*$AE$21+M22*$AE$22+N22*$AE$23+O22*$AE$24+P22*$AE$25+Q22*$AE$26+R22*$AE$27+S22*$AE$28+T22*$AE$29+U22*$AE$30</f>
        <v/>
      </c>
      <c r="W22" s="8">
        <f>1/(1+EXP(-V22))</f>
        <v/>
      </c>
      <c r="X22" s="9">
        <f>-IF(C22=1,LN(W22),LN(1-W22))</f>
        <v/>
      </c>
      <c r="Y22" s="8">
        <f>'1 datos preparados'!V15</f>
        <v/>
      </c>
      <c r="Z22" s="9">
        <f>Y22*X22</f>
        <v/>
      </c>
      <c r="AA22" s="10">
        <f>IF(W22&gt;$AE$33,1,0)</f>
        <v/>
      </c>
      <c r="AB22">
        <f>IF(AA22=C22,1,0)</f>
        <v/>
      </c>
      <c r="AD22" t="inlineStr">
        <is>
          <t>hist_sin_creditos</t>
        </is>
      </c>
      <c r="AE22" s="11" t="n">
        <v>0.6690656278784681</v>
      </c>
      <c r="AF22" s="12" t="n">
        <v>0.4326142211717907</v>
      </c>
    </row>
    <row r="23">
      <c r="A23">
        <f>'1 datos preparados'!A16</f>
        <v/>
      </c>
      <c r="B23" s="5">
        <f>'1 datos preparados'!U16</f>
        <v/>
      </c>
      <c r="C23">
        <f>'1 datos preparados'!B16</f>
        <v/>
      </c>
      <c r="D23" s="7">
        <f>'1 datos preparados'!C16</f>
        <v/>
      </c>
      <c r="E23" s="7">
        <f>'1 datos preparados'!D16</f>
        <v/>
      </c>
      <c r="F23" s="7">
        <f>'1 datos preparados'!E16</f>
        <v/>
      </c>
      <c r="G23" s="7">
        <f>'1 datos preparados'!F16</f>
        <v/>
      </c>
      <c r="H23" s="7">
        <f>'1 datos preparados'!G16</f>
        <v/>
      </c>
      <c r="I23" s="7">
        <f>'1 datos preparados'!H16</f>
        <v/>
      </c>
      <c r="J23" s="7">
        <f>'1 datos preparados'!I16</f>
        <v/>
      </c>
      <c r="K23" s="7">
        <f>'1 datos preparados'!J16</f>
        <v/>
      </c>
      <c r="L23" s="7">
        <f>'1 datos preparados'!K16</f>
        <v/>
      </c>
      <c r="M23" s="7">
        <f>'1 datos preparados'!L16</f>
        <v/>
      </c>
      <c r="N23" s="7">
        <f>'1 datos preparados'!M16</f>
        <v/>
      </c>
      <c r="O23" s="7">
        <f>'1 datos preparados'!N16</f>
        <v/>
      </c>
      <c r="P23" s="7">
        <f>'1 datos preparados'!O16</f>
        <v/>
      </c>
      <c r="Q23" s="7">
        <f>'1 datos preparados'!P16</f>
        <v/>
      </c>
      <c r="R23" s="7">
        <f>'1 datos preparados'!Q16</f>
        <v/>
      </c>
      <c r="S23" s="7">
        <f>'1 datos preparados'!R16</f>
        <v/>
      </c>
      <c r="T23" s="7">
        <f>'1 datos preparados'!S16</f>
        <v/>
      </c>
      <c r="U23" s="7">
        <f>'1 datos preparados'!T16</f>
        <v/>
      </c>
      <c r="V23" s="8">
        <f>$AE$12+D23*$AE$13+E23*$AE$14+F23*$AE$15+G23*$AE$16+H23*$AE$17+I23*$AE$18+J23*$AE$19+K23*$AE$20+L23*$AE$21+M23*$AE$22+N23*$AE$23+O23*$AE$24+P23*$AE$25+Q23*$AE$26+R23*$AE$27+S23*$AE$28+T23*$AE$29+U23*$AE$30</f>
        <v/>
      </c>
      <c r="W23" s="8">
        <f>1/(1+EXP(-V23))</f>
        <v/>
      </c>
      <c r="X23" s="9">
        <f>-IF(C23=1,LN(W23),LN(1-W23))</f>
        <v/>
      </c>
      <c r="Y23" s="8">
        <f>'1 datos preparados'!V16</f>
        <v/>
      </c>
      <c r="Z23" s="9">
        <f>Y23*X23</f>
        <v/>
      </c>
      <c r="AA23" s="10">
        <f>IF(W23&gt;$AE$33,1,0)</f>
        <v/>
      </c>
      <c r="AB23">
        <f>IF(AA23=C23,1,0)</f>
        <v/>
      </c>
      <c r="AD23" t="inlineStr">
        <is>
          <t>ahorro_100_1000</t>
        </is>
      </c>
      <c r="AE23" s="11" t="n">
        <v>-0.3895834298458181</v>
      </c>
      <c r="AF23" s="12" t="n">
        <v>-0.3133509048456745</v>
      </c>
    </row>
    <row r="24">
      <c r="A24">
        <f>'1 datos preparados'!A17</f>
        <v/>
      </c>
      <c r="B24" s="5">
        <f>'1 datos preparados'!U17</f>
        <v/>
      </c>
      <c r="C24">
        <f>'1 datos preparados'!B17</f>
        <v/>
      </c>
      <c r="D24" s="7">
        <f>'1 datos preparados'!C17</f>
        <v/>
      </c>
      <c r="E24" s="7">
        <f>'1 datos preparados'!D17</f>
        <v/>
      </c>
      <c r="F24" s="7">
        <f>'1 datos preparados'!E17</f>
        <v/>
      </c>
      <c r="G24" s="7">
        <f>'1 datos preparados'!F17</f>
        <v/>
      </c>
      <c r="H24" s="7">
        <f>'1 datos preparados'!G17</f>
        <v/>
      </c>
      <c r="I24" s="7">
        <f>'1 datos preparados'!H17</f>
        <v/>
      </c>
      <c r="J24" s="7">
        <f>'1 datos preparados'!I17</f>
        <v/>
      </c>
      <c r="K24" s="7">
        <f>'1 datos preparados'!J17</f>
        <v/>
      </c>
      <c r="L24" s="7">
        <f>'1 datos preparados'!K17</f>
        <v/>
      </c>
      <c r="M24" s="7">
        <f>'1 datos preparados'!L17</f>
        <v/>
      </c>
      <c r="N24" s="7">
        <f>'1 datos preparados'!M17</f>
        <v/>
      </c>
      <c r="O24" s="7">
        <f>'1 datos preparados'!N17</f>
        <v/>
      </c>
      <c r="P24" s="7">
        <f>'1 datos preparados'!O17</f>
        <v/>
      </c>
      <c r="Q24" s="7">
        <f>'1 datos preparados'!P17</f>
        <v/>
      </c>
      <c r="R24" s="7">
        <f>'1 datos preparados'!Q17</f>
        <v/>
      </c>
      <c r="S24" s="7">
        <f>'1 datos preparados'!R17</f>
        <v/>
      </c>
      <c r="T24" s="7">
        <f>'1 datos preparados'!S17</f>
        <v/>
      </c>
      <c r="U24" s="7">
        <f>'1 datos preparados'!T17</f>
        <v/>
      </c>
      <c r="V24" s="8">
        <f>$AE$12+D24*$AE$13+E24*$AE$14+F24*$AE$15+G24*$AE$16+H24*$AE$17+I24*$AE$18+J24*$AE$19+K24*$AE$20+L24*$AE$21+M24*$AE$22+N24*$AE$23+O24*$AE$24+P24*$AE$25+Q24*$AE$26+R24*$AE$27+S24*$AE$28+T24*$AE$29+U24*$AE$30</f>
        <v/>
      </c>
      <c r="W24" s="8">
        <f>1/(1+EXP(-V24))</f>
        <v/>
      </c>
      <c r="X24" s="9">
        <f>-IF(C24=1,LN(W24),LN(1-W24))</f>
        <v/>
      </c>
      <c r="Y24" s="8">
        <f>'1 datos preparados'!V17</f>
        <v/>
      </c>
      <c r="Z24" s="9">
        <f>Y24*X24</f>
        <v/>
      </c>
      <c r="AA24" s="10">
        <f>IF(W24&gt;$AE$33,1,0)</f>
        <v/>
      </c>
      <c r="AB24">
        <f>IF(AA24=C24,1,0)</f>
        <v/>
      </c>
      <c r="AD24" t="inlineStr">
        <is>
          <t>ahorro_sobre_1000</t>
        </is>
      </c>
      <c r="AE24" s="11" t="n">
        <v>-0.8892238593761824</v>
      </c>
      <c r="AF24" s="12" t="n">
        <v>-1.068363869508016</v>
      </c>
    </row>
    <row r="25">
      <c r="A25">
        <f>'1 datos preparados'!A18</f>
        <v/>
      </c>
      <c r="B25" s="5">
        <f>'1 datos preparados'!U18</f>
        <v/>
      </c>
      <c r="C25">
        <f>'1 datos preparados'!B18</f>
        <v/>
      </c>
      <c r="D25" s="7">
        <f>'1 datos preparados'!C18</f>
        <v/>
      </c>
      <c r="E25" s="7">
        <f>'1 datos preparados'!D18</f>
        <v/>
      </c>
      <c r="F25" s="7">
        <f>'1 datos preparados'!E18</f>
        <v/>
      </c>
      <c r="G25" s="7">
        <f>'1 datos preparados'!F18</f>
        <v/>
      </c>
      <c r="H25" s="7">
        <f>'1 datos preparados'!G18</f>
        <v/>
      </c>
      <c r="I25" s="7">
        <f>'1 datos preparados'!H18</f>
        <v/>
      </c>
      <c r="J25" s="7">
        <f>'1 datos preparados'!I18</f>
        <v/>
      </c>
      <c r="K25" s="7">
        <f>'1 datos preparados'!J18</f>
        <v/>
      </c>
      <c r="L25" s="7">
        <f>'1 datos preparados'!K18</f>
        <v/>
      </c>
      <c r="M25" s="7">
        <f>'1 datos preparados'!L18</f>
        <v/>
      </c>
      <c r="N25" s="7">
        <f>'1 datos preparados'!M18</f>
        <v/>
      </c>
      <c r="O25" s="7">
        <f>'1 datos preparados'!N18</f>
        <v/>
      </c>
      <c r="P25" s="7">
        <f>'1 datos preparados'!O18</f>
        <v/>
      </c>
      <c r="Q25" s="7">
        <f>'1 datos preparados'!P18</f>
        <v/>
      </c>
      <c r="R25" s="7">
        <f>'1 datos preparados'!Q18</f>
        <v/>
      </c>
      <c r="S25" s="7">
        <f>'1 datos preparados'!R18</f>
        <v/>
      </c>
      <c r="T25" s="7">
        <f>'1 datos preparados'!S18</f>
        <v/>
      </c>
      <c r="U25" s="7">
        <f>'1 datos preparados'!T18</f>
        <v/>
      </c>
      <c r="V25" s="8">
        <f>$AE$12+D25*$AE$13+E25*$AE$14+F25*$AE$15+G25*$AE$16+H25*$AE$17+I25*$AE$18+J25*$AE$19+K25*$AE$20+L25*$AE$21+M25*$AE$22+N25*$AE$23+O25*$AE$24+P25*$AE$25+Q25*$AE$26+R25*$AE$27+S25*$AE$28+T25*$AE$29+U25*$AE$30</f>
        <v/>
      </c>
      <c r="W25" s="8">
        <f>1/(1+EXP(-V25))</f>
        <v/>
      </c>
      <c r="X25" s="9">
        <f>-IF(C25=1,LN(W25),LN(1-W25))</f>
        <v/>
      </c>
      <c r="Y25" s="8">
        <f>'1 datos preparados'!V18</f>
        <v/>
      </c>
      <c r="Z25" s="9">
        <f>Y25*X25</f>
        <v/>
      </c>
      <c r="AA25" s="10">
        <f>IF(W25&gt;$AE$33,1,0)</f>
        <v/>
      </c>
      <c r="AB25">
        <f>IF(AA25=C25,1,0)</f>
        <v/>
      </c>
      <c r="AD25" t="inlineStr">
        <is>
          <t>ahorro_desconocido</t>
        </is>
      </c>
      <c r="AE25" s="11" t="n">
        <v>-1.076092926242446</v>
      </c>
      <c r="AF25" s="12" t="n">
        <v>-0.9849601470765355</v>
      </c>
    </row>
    <row r="26">
      <c r="A26">
        <f>'1 datos preparados'!A19</f>
        <v/>
      </c>
      <c r="B26" s="5">
        <f>'1 datos preparados'!U19</f>
        <v/>
      </c>
      <c r="C26">
        <f>'1 datos preparados'!B19</f>
        <v/>
      </c>
      <c r="D26" s="7">
        <f>'1 datos preparados'!C19</f>
        <v/>
      </c>
      <c r="E26" s="7">
        <f>'1 datos preparados'!D19</f>
        <v/>
      </c>
      <c r="F26" s="7">
        <f>'1 datos preparados'!E19</f>
        <v/>
      </c>
      <c r="G26" s="7">
        <f>'1 datos preparados'!F19</f>
        <v/>
      </c>
      <c r="H26" s="7">
        <f>'1 datos preparados'!G19</f>
        <v/>
      </c>
      <c r="I26" s="7">
        <f>'1 datos preparados'!H19</f>
        <v/>
      </c>
      <c r="J26" s="7">
        <f>'1 datos preparados'!I19</f>
        <v/>
      </c>
      <c r="K26" s="7">
        <f>'1 datos preparados'!J19</f>
        <v/>
      </c>
      <c r="L26" s="7">
        <f>'1 datos preparados'!K19</f>
        <v/>
      </c>
      <c r="M26" s="7">
        <f>'1 datos preparados'!L19</f>
        <v/>
      </c>
      <c r="N26" s="7">
        <f>'1 datos preparados'!M19</f>
        <v/>
      </c>
      <c r="O26" s="7">
        <f>'1 datos preparados'!N19</f>
        <v/>
      </c>
      <c r="P26" s="7">
        <f>'1 datos preparados'!O19</f>
        <v/>
      </c>
      <c r="Q26" s="7">
        <f>'1 datos preparados'!P19</f>
        <v/>
      </c>
      <c r="R26" s="7">
        <f>'1 datos preparados'!Q19</f>
        <v/>
      </c>
      <c r="S26" s="7">
        <f>'1 datos preparados'!R19</f>
        <v/>
      </c>
      <c r="T26" s="7">
        <f>'1 datos preparados'!S19</f>
        <v/>
      </c>
      <c r="U26" s="7">
        <f>'1 datos preparados'!T19</f>
        <v/>
      </c>
      <c r="V26" s="8">
        <f>$AE$12+D26*$AE$13+E26*$AE$14+F26*$AE$15+G26*$AE$16+H26*$AE$17+I26*$AE$18+J26*$AE$19+K26*$AE$20+L26*$AE$21+M26*$AE$22+N26*$AE$23+O26*$AE$24+P26*$AE$25+Q26*$AE$26+R26*$AE$27+S26*$AE$28+T26*$AE$29+U26*$AE$30</f>
        <v/>
      </c>
      <c r="W26" s="8">
        <f>1/(1+EXP(-V26))</f>
        <v/>
      </c>
      <c r="X26" s="9">
        <f>-IF(C26=1,LN(W26),LN(1-W26))</f>
        <v/>
      </c>
      <c r="Y26" s="8">
        <f>'1 datos preparados'!V19</f>
        <v/>
      </c>
      <c r="Z26" s="9">
        <f>Y26*X26</f>
        <v/>
      </c>
      <c r="AA26" s="10">
        <f>IF(W26&gt;$AE$33,1,0)</f>
        <v/>
      </c>
      <c r="AB26">
        <f>IF(AA26=C26,1,0)</f>
        <v/>
      </c>
      <c r="AD26" t="inlineStr">
        <is>
          <t>vivienda_arriendo</t>
        </is>
      </c>
      <c r="AE26" s="11" t="n">
        <v>0.6538371780658356</v>
      </c>
      <c r="AF26" s="12" t="n">
        <v>0.7279798719952931</v>
      </c>
    </row>
    <row r="27">
      <c r="A27">
        <f>'1 datos preparados'!A20</f>
        <v/>
      </c>
      <c r="B27" s="5">
        <f>'1 datos preparados'!U20</f>
        <v/>
      </c>
      <c r="C27">
        <f>'1 datos preparados'!B20</f>
        <v/>
      </c>
      <c r="D27" s="7">
        <f>'1 datos preparados'!C20</f>
        <v/>
      </c>
      <c r="E27" s="7">
        <f>'1 datos preparados'!D20</f>
        <v/>
      </c>
      <c r="F27" s="7">
        <f>'1 datos preparados'!E20</f>
        <v/>
      </c>
      <c r="G27" s="7">
        <f>'1 datos preparados'!F20</f>
        <v/>
      </c>
      <c r="H27" s="7">
        <f>'1 datos preparados'!G20</f>
        <v/>
      </c>
      <c r="I27" s="7">
        <f>'1 datos preparados'!H20</f>
        <v/>
      </c>
      <c r="J27" s="7">
        <f>'1 datos preparados'!I20</f>
        <v/>
      </c>
      <c r="K27" s="7">
        <f>'1 datos preparados'!J20</f>
        <v/>
      </c>
      <c r="L27" s="7">
        <f>'1 datos preparados'!K20</f>
        <v/>
      </c>
      <c r="M27" s="7">
        <f>'1 datos preparados'!L20</f>
        <v/>
      </c>
      <c r="N27" s="7">
        <f>'1 datos preparados'!M20</f>
        <v/>
      </c>
      <c r="O27" s="7">
        <f>'1 datos preparados'!N20</f>
        <v/>
      </c>
      <c r="P27" s="7">
        <f>'1 datos preparados'!O20</f>
        <v/>
      </c>
      <c r="Q27" s="7">
        <f>'1 datos preparados'!P20</f>
        <v/>
      </c>
      <c r="R27" s="7">
        <f>'1 datos preparados'!Q20</f>
        <v/>
      </c>
      <c r="S27" s="7">
        <f>'1 datos preparados'!R20</f>
        <v/>
      </c>
      <c r="T27" s="7">
        <f>'1 datos preparados'!S20</f>
        <v/>
      </c>
      <c r="U27" s="7">
        <f>'1 datos preparados'!T20</f>
        <v/>
      </c>
      <c r="V27" s="8">
        <f>$AE$12+D27*$AE$13+E27*$AE$14+F27*$AE$15+G27*$AE$16+H27*$AE$17+I27*$AE$18+J27*$AE$19+K27*$AE$20+L27*$AE$21+M27*$AE$22+N27*$AE$23+O27*$AE$24+P27*$AE$25+Q27*$AE$26+R27*$AE$27+S27*$AE$28+T27*$AE$29+U27*$AE$30</f>
        <v/>
      </c>
      <c r="W27" s="8">
        <f>1/(1+EXP(-V27))</f>
        <v/>
      </c>
      <c r="X27" s="9">
        <f>-IF(C27=1,LN(W27),LN(1-W27))</f>
        <v/>
      </c>
      <c r="Y27" s="8">
        <f>'1 datos preparados'!V20</f>
        <v/>
      </c>
      <c r="Z27" s="9">
        <f>Y27*X27</f>
        <v/>
      </c>
      <c r="AA27" s="10">
        <f>IF(W27&gt;$AE$33,1,0)</f>
        <v/>
      </c>
      <c r="AB27">
        <f>IF(AA27=C27,1,0)</f>
        <v/>
      </c>
      <c r="AD27" t="inlineStr">
        <is>
          <t>vivienda_gratis</t>
        </is>
      </c>
      <c r="AE27" s="11" t="n">
        <v>0.1953653579159878</v>
      </c>
      <c r="AF27" s="12" t="n">
        <v>0.4189934638176402</v>
      </c>
    </row>
    <row r="28">
      <c r="A28">
        <f>'1 datos preparados'!A21</f>
        <v/>
      </c>
      <c r="B28" s="5">
        <f>'1 datos preparados'!U21</f>
        <v/>
      </c>
      <c r="C28">
        <f>'1 datos preparados'!B21</f>
        <v/>
      </c>
      <c r="D28" s="7">
        <f>'1 datos preparados'!C21</f>
        <v/>
      </c>
      <c r="E28" s="7">
        <f>'1 datos preparados'!D21</f>
        <v/>
      </c>
      <c r="F28" s="7">
        <f>'1 datos preparados'!E21</f>
        <v/>
      </c>
      <c r="G28" s="7">
        <f>'1 datos preparados'!F21</f>
        <v/>
      </c>
      <c r="H28" s="7">
        <f>'1 datos preparados'!G21</f>
        <v/>
      </c>
      <c r="I28" s="7">
        <f>'1 datos preparados'!H21</f>
        <v/>
      </c>
      <c r="J28" s="7">
        <f>'1 datos preparados'!I21</f>
        <v/>
      </c>
      <c r="K28" s="7">
        <f>'1 datos preparados'!J21</f>
        <v/>
      </c>
      <c r="L28" s="7">
        <f>'1 datos preparados'!K21</f>
        <v/>
      </c>
      <c r="M28" s="7">
        <f>'1 datos preparados'!L21</f>
        <v/>
      </c>
      <c r="N28" s="7">
        <f>'1 datos preparados'!M21</f>
        <v/>
      </c>
      <c r="O28" s="7">
        <f>'1 datos preparados'!N21</f>
        <v/>
      </c>
      <c r="P28" s="7">
        <f>'1 datos preparados'!O21</f>
        <v/>
      </c>
      <c r="Q28" s="7">
        <f>'1 datos preparados'!P21</f>
        <v/>
      </c>
      <c r="R28" s="7">
        <f>'1 datos preparados'!Q21</f>
        <v/>
      </c>
      <c r="S28" s="7">
        <f>'1 datos preparados'!R21</f>
        <v/>
      </c>
      <c r="T28" s="7">
        <f>'1 datos preparados'!S21</f>
        <v/>
      </c>
      <c r="U28" s="7">
        <f>'1 datos preparados'!T21</f>
        <v/>
      </c>
      <c r="V28" s="8">
        <f>$AE$12+D28*$AE$13+E28*$AE$14+F28*$AE$15+G28*$AE$16+H28*$AE$17+I28*$AE$18+J28*$AE$19+K28*$AE$20+L28*$AE$21+M28*$AE$22+N28*$AE$23+O28*$AE$24+P28*$AE$25+Q28*$AE$26+R28*$AE$27+S28*$AE$28+T28*$AE$29+U28*$AE$30</f>
        <v/>
      </c>
      <c r="W28" s="8">
        <f>1/(1+EXP(-V28))</f>
        <v/>
      </c>
      <c r="X28" s="9">
        <f>-IF(C28=1,LN(W28),LN(1-W28))</f>
        <v/>
      </c>
      <c r="Y28" s="8">
        <f>'1 datos preparados'!V21</f>
        <v/>
      </c>
      <c r="Z28" s="9">
        <f>Y28*X28</f>
        <v/>
      </c>
      <c r="AA28" s="10">
        <f>IF(W28&gt;$AE$33,1,0)</f>
        <v/>
      </c>
      <c r="AB28">
        <f>IF(AA28=C28,1,0)</f>
        <v/>
      </c>
      <c r="AD28" t="inlineStr">
        <is>
          <t>proposito_auto</t>
        </is>
      </c>
      <c r="AE28" s="11" t="n">
        <v>-0.08016547581790479</v>
      </c>
      <c r="AF28" s="12" t="n">
        <v>-0.2854666015371011</v>
      </c>
    </row>
    <row r="29">
      <c r="A29">
        <f>'1 datos preparados'!A22</f>
        <v/>
      </c>
      <c r="B29" s="5">
        <f>'1 datos preparados'!U22</f>
        <v/>
      </c>
      <c r="C29">
        <f>'1 datos preparados'!B22</f>
        <v/>
      </c>
      <c r="D29" s="7">
        <f>'1 datos preparados'!C22</f>
        <v/>
      </c>
      <c r="E29" s="7">
        <f>'1 datos preparados'!D22</f>
        <v/>
      </c>
      <c r="F29" s="7">
        <f>'1 datos preparados'!E22</f>
        <v/>
      </c>
      <c r="G29" s="7">
        <f>'1 datos preparados'!F22</f>
        <v/>
      </c>
      <c r="H29" s="7">
        <f>'1 datos preparados'!G22</f>
        <v/>
      </c>
      <c r="I29" s="7">
        <f>'1 datos preparados'!H22</f>
        <v/>
      </c>
      <c r="J29" s="7">
        <f>'1 datos preparados'!I22</f>
        <v/>
      </c>
      <c r="K29" s="7">
        <f>'1 datos preparados'!J22</f>
        <v/>
      </c>
      <c r="L29" s="7">
        <f>'1 datos preparados'!K22</f>
        <v/>
      </c>
      <c r="M29" s="7">
        <f>'1 datos preparados'!L22</f>
        <v/>
      </c>
      <c r="N29" s="7">
        <f>'1 datos preparados'!M22</f>
        <v/>
      </c>
      <c r="O29" s="7">
        <f>'1 datos preparados'!N22</f>
        <v/>
      </c>
      <c r="P29" s="7">
        <f>'1 datos preparados'!O22</f>
        <v/>
      </c>
      <c r="Q29" s="7">
        <f>'1 datos preparados'!P22</f>
        <v/>
      </c>
      <c r="R29" s="7">
        <f>'1 datos preparados'!Q22</f>
        <v/>
      </c>
      <c r="S29" s="7">
        <f>'1 datos preparados'!R22</f>
        <v/>
      </c>
      <c r="T29" s="7">
        <f>'1 datos preparados'!S22</f>
        <v/>
      </c>
      <c r="U29" s="7">
        <f>'1 datos preparados'!T22</f>
        <v/>
      </c>
      <c r="V29" s="8">
        <f>$AE$12+D29*$AE$13+E29*$AE$14+F29*$AE$15+G29*$AE$16+H29*$AE$17+I29*$AE$18+J29*$AE$19+K29*$AE$20+L29*$AE$21+M29*$AE$22+N29*$AE$23+O29*$AE$24+P29*$AE$25+Q29*$AE$26+R29*$AE$27+S29*$AE$28+T29*$AE$29+U29*$AE$30</f>
        <v/>
      </c>
      <c r="W29" s="8">
        <f>1/(1+EXP(-V29))</f>
        <v/>
      </c>
      <c r="X29" s="9">
        <f>-IF(C29=1,LN(W29),LN(1-W29))</f>
        <v/>
      </c>
      <c r="Y29" s="8">
        <f>'1 datos preparados'!V22</f>
        <v/>
      </c>
      <c r="Z29" s="9">
        <f>Y29*X29</f>
        <v/>
      </c>
      <c r="AA29" s="10">
        <f>IF(W29&gt;$AE$33,1,0)</f>
        <v/>
      </c>
      <c r="AB29">
        <f>IF(AA29=C29,1,0)</f>
        <v/>
      </c>
      <c r="AD29" t="inlineStr">
        <is>
          <t>proposito_radio_tv</t>
        </is>
      </c>
      <c r="AE29" s="11" t="n">
        <v>-0.5202106472417524</v>
      </c>
      <c r="AF29" s="12" t="n">
        <v>-0.5203338804909247</v>
      </c>
    </row>
    <row r="30">
      <c r="A30">
        <f>'1 datos preparados'!A23</f>
        <v/>
      </c>
      <c r="B30" s="5">
        <f>'1 datos preparados'!U23</f>
        <v/>
      </c>
      <c r="C30">
        <f>'1 datos preparados'!B23</f>
        <v/>
      </c>
      <c r="D30" s="7">
        <f>'1 datos preparados'!C23</f>
        <v/>
      </c>
      <c r="E30" s="7">
        <f>'1 datos preparados'!D23</f>
        <v/>
      </c>
      <c r="F30" s="7">
        <f>'1 datos preparados'!E23</f>
        <v/>
      </c>
      <c r="G30" s="7">
        <f>'1 datos preparados'!F23</f>
        <v/>
      </c>
      <c r="H30" s="7">
        <f>'1 datos preparados'!G23</f>
        <v/>
      </c>
      <c r="I30" s="7">
        <f>'1 datos preparados'!H23</f>
        <v/>
      </c>
      <c r="J30" s="7">
        <f>'1 datos preparados'!I23</f>
        <v/>
      </c>
      <c r="K30" s="7">
        <f>'1 datos preparados'!J23</f>
        <v/>
      </c>
      <c r="L30" s="7">
        <f>'1 datos preparados'!K23</f>
        <v/>
      </c>
      <c r="M30" s="7">
        <f>'1 datos preparados'!L23</f>
        <v/>
      </c>
      <c r="N30" s="7">
        <f>'1 datos preparados'!M23</f>
        <v/>
      </c>
      <c r="O30" s="7">
        <f>'1 datos preparados'!N23</f>
        <v/>
      </c>
      <c r="P30" s="7">
        <f>'1 datos preparados'!O23</f>
        <v/>
      </c>
      <c r="Q30" s="7">
        <f>'1 datos preparados'!P23</f>
        <v/>
      </c>
      <c r="R30" s="7">
        <f>'1 datos preparados'!Q23</f>
        <v/>
      </c>
      <c r="S30" s="7">
        <f>'1 datos preparados'!R23</f>
        <v/>
      </c>
      <c r="T30" s="7">
        <f>'1 datos preparados'!S23</f>
        <v/>
      </c>
      <c r="U30" s="7">
        <f>'1 datos preparados'!T23</f>
        <v/>
      </c>
      <c r="V30" s="8">
        <f>$AE$12+D30*$AE$13+E30*$AE$14+F30*$AE$15+G30*$AE$16+H30*$AE$17+I30*$AE$18+J30*$AE$19+K30*$AE$20+L30*$AE$21+M30*$AE$22+N30*$AE$23+O30*$AE$24+P30*$AE$25+Q30*$AE$26+R30*$AE$27+S30*$AE$28+T30*$AE$29+U30*$AE$30</f>
        <v/>
      </c>
      <c r="W30" s="8">
        <f>1/(1+EXP(-V30))</f>
        <v/>
      </c>
      <c r="X30" s="9">
        <f>-IF(C30=1,LN(W30),LN(1-W30))</f>
        <v/>
      </c>
      <c r="Y30" s="8">
        <f>'1 datos preparados'!V23</f>
        <v/>
      </c>
      <c r="Z30" s="9">
        <f>Y30*X30</f>
        <v/>
      </c>
      <c r="AA30" s="10">
        <f>IF(W30&gt;$AE$33,1,0)</f>
        <v/>
      </c>
      <c r="AB30">
        <f>IF(AA30=C30,1,0)</f>
        <v/>
      </c>
      <c r="AD30" t="inlineStr">
        <is>
          <t>proposito_muebles</t>
        </is>
      </c>
      <c r="AE30" s="11" t="n">
        <v>-0.2818027438096851</v>
      </c>
      <c r="AF30" s="12" t="n">
        <v>-0.2049613749789518</v>
      </c>
    </row>
    <row r="31">
      <c r="A31">
        <f>'1 datos preparados'!A24</f>
        <v/>
      </c>
      <c r="B31" s="5">
        <f>'1 datos preparados'!U24</f>
        <v/>
      </c>
      <c r="C31">
        <f>'1 datos preparados'!B24</f>
        <v/>
      </c>
      <c r="D31" s="7">
        <f>'1 datos preparados'!C24</f>
        <v/>
      </c>
      <c r="E31" s="7">
        <f>'1 datos preparados'!D24</f>
        <v/>
      </c>
      <c r="F31" s="7">
        <f>'1 datos preparados'!E24</f>
        <v/>
      </c>
      <c r="G31" s="7">
        <f>'1 datos preparados'!F24</f>
        <v/>
      </c>
      <c r="H31" s="7">
        <f>'1 datos preparados'!G24</f>
        <v/>
      </c>
      <c r="I31" s="7">
        <f>'1 datos preparados'!H24</f>
        <v/>
      </c>
      <c r="J31" s="7">
        <f>'1 datos preparados'!I24</f>
        <v/>
      </c>
      <c r="K31" s="7">
        <f>'1 datos preparados'!J24</f>
        <v/>
      </c>
      <c r="L31" s="7">
        <f>'1 datos preparados'!K24</f>
        <v/>
      </c>
      <c r="M31" s="7">
        <f>'1 datos preparados'!L24</f>
        <v/>
      </c>
      <c r="N31" s="7">
        <f>'1 datos preparados'!M24</f>
        <v/>
      </c>
      <c r="O31" s="7">
        <f>'1 datos preparados'!N24</f>
        <v/>
      </c>
      <c r="P31" s="7">
        <f>'1 datos preparados'!O24</f>
        <v/>
      </c>
      <c r="Q31" s="7">
        <f>'1 datos preparados'!P24</f>
        <v/>
      </c>
      <c r="R31" s="7">
        <f>'1 datos preparados'!Q24</f>
        <v/>
      </c>
      <c r="S31" s="7">
        <f>'1 datos preparados'!R24</f>
        <v/>
      </c>
      <c r="T31" s="7">
        <f>'1 datos preparados'!S24</f>
        <v/>
      </c>
      <c r="U31" s="7">
        <f>'1 datos preparados'!T24</f>
        <v/>
      </c>
      <c r="V31" s="8">
        <f>$AE$12+D31*$AE$13+E31*$AE$14+F31*$AE$15+G31*$AE$16+H31*$AE$17+I31*$AE$18+J31*$AE$19+K31*$AE$20+L31*$AE$21+M31*$AE$22+N31*$AE$23+O31*$AE$24+P31*$AE$25+Q31*$AE$26+R31*$AE$27+S31*$AE$28+T31*$AE$29+U31*$AE$30</f>
        <v/>
      </c>
      <c r="W31" s="8">
        <f>1/(1+EXP(-V31))</f>
        <v/>
      </c>
      <c r="X31" s="9">
        <f>-IF(C31=1,LN(W31),LN(1-W31))</f>
        <v/>
      </c>
      <c r="Y31" s="8">
        <f>'1 datos preparados'!V24</f>
        <v/>
      </c>
      <c r="Z31" s="9">
        <f>Y31*X31</f>
        <v/>
      </c>
      <c r="AA31" s="10">
        <f>IF(W31&gt;$AE$33,1,0)</f>
        <v/>
      </c>
      <c r="AB31">
        <f>IF(AA31=C31,1,0)</f>
        <v/>
      </c>
    </row>
    <row r="32">
      <c r="A32">
        <f>'1 datos preparados'!A25</f>
        <v/>
      </c>
      <c r="B32" s="5">
        <f>'1 datos preparados'!U25</f>
        <v/>
      </c>
      <c r="C32">
        <f>'1 datos preparados'!B25</f>
        <v/>
      </c>
      <c r="D32" s="7">
        <f>'1 datos preparados'!C25</f>
        <v/>
      </c>
      <c r="E32" s="7">
        <f>'1 datos preparados'!D25</f>
        <v/>
      </c>
      <c r="F32" s="7">
        <f>'1 datos preparados'!E25</f>
        <v/>
      </c>
      <c r="G32" s="7">
        <f>'1 datos preparados'!F25</f>
        <v/>
      </c>
      <c r="H32" s="7">
        <f>'1 datos preparados'!G25</f>
        <v/>
      </c>
      <c r="I32" s="7">
        <f>'1 datos preparados'!H25</f>
        <v/>
      </c>
      <c r="J32" s="7">
        <f>'1 datos preparados'!I25</f>
        <v/>
      </c>
      <c r="K32" s="7">
        <f>'1 datos preparados'!J25</f>
        <v/>
      </c>
      <c r="L32" s="7">
        <f>'1 datos preparados'!K25</f>
        <v/>
      </c>
      <c r="M32" s="7">
        <f>'1 datos preparados'!L25</f>
        <v/>
      </c>
      <c r="N32" s="7">
        <f>'1 datos preparados'!M25</f>
        <v/>
      </c>
      <c r="O32" s="7">
        <f>'1 datos preparados'!N25</f>
        <v/>
      </c>
      <c r="P32" s="7">
        <f>'1 datos preparados'!O25</f>
        <v/>
      </c>
      <c r="Q32" s="7">
        <f>'1 datos preparados'!P25</f>
        <v/>
      </c>
      <c r="R32" s="7">
        <f>'1 datos preparados'!Q25</f>
        <v/>
      </c>
      <c r="S32" s="7">
        <f>'1 datos preparados'!R25</f>
        <v/>
      </c>
      <c r="T32" s="7">
        <f>'1 datos preparados'!S25</f>
        <v/>
      </c>
      <c r="U32" s="7">
        <f>'1 datos preparados'!T25</f>
        <v/>
      </c>
      <c r="V32" s="8">
        <f>$AE$12+D32*$AE$13+E32*$AE$14+F32*$AE$15+G32*$AE$16+H32*$AE$17+I32*$AE$18+J32*$AE$19+K32*$AE$20+L32*$AE$21+M32*$AE$22+N32*$AE$23+O32*$AE$24+P32*$AE$25+Q32*$AE$26+R32*$AE$27+S32*$AE$28+T32*$AE$29+U32*$AE$30</f>
        <v/>
      </c>
      <c r="W32" s="8">
        <f>1/(1+EXP(-V32))</f>
        <v/>
      </c>
      <c r="X32" s="9">
        <f>-IF(C32=1,LN(W32),LN(1-W32))</f>
        <v/>
      </c>
      <c r="Y32" s="8">
        <f>'1 datos preparados'!V25</f>
        <v/>
      </c>
      <c r="Z32" s="9">
        <f>Y32*X32</f>
        <v/>
      </c>
      <c r="AA32" s="10">
        <f>IF(W32&gt;$AE$33,1,0)</f>
        <v/>
      </c>
      <c r="AB32">
        <f>IF(AA32=C32,1,0)</f>
        <v/>
      </c>
      <c r="AD32" s="3" t="inlineStr">
        <is>
          <t>filas de training usadas (usar = 1)</t>
        </is>
      </c>
      <c r="AE32" s="10">
        <f>COUNTIFS('1 datos preparados'!$U$5:$U$1004,"training",'1 datos preparados'!$V$5:$V$1004,1)</f>
        <v/>
      </c>
    </row>
    <row r="33">
      <c r="A33">
        <f>'1 datos preparados'!A26</f>
        <v/>
      </c>
      <c r="B33" s="5">
        <f>'1 datos preparados'!U26</f>
        <v/>
      </c>
      <c r="C33">
        <f>'1 datos preparados'!B26</f>
        <v/>
      </c>
      <c r="D33" s="7">
        <f>'1 datos preparados'!C26</f>
        <v/>
      </c>
      <c r="E33" s="7">
        <f>'1 datos preparados'!D26</f>
        <v/>
      </c>
      <c r="F33" s="7">
        <f>'1 datos preparados'!E26</f>
        <v/>
      </c>
      <c r="G33" s="7">
        <f>'1 datos preparados'!F26</f>
        <v/>
      </c>
      <c r="H33" s="7">
        <f>'1 datos preparados'!G26</f>
        <v/>
      </c>
      <c r="I33" s="7">
        <f>'1 datos preparados'!H26</f>
        <v/>
      </c>
      <c r="J33" s="7">
        <f>'1 datos preparados'!I26</f>
        <v/>
      </c>
      <c r="K33" s="7">
        <f>'1 datos preparados'!J26</f>
        <v/>
      </c>
      <c r="L33" s="7">
        <f>'1 datos preparados'!K26</f>
        <v/>
      </c>
      <c r="M33" s="7">
        <f>'1 datos preparados'!L26</f>
        <v/>
      </c>
      <c r="N33" s="7">
        <f>'1 datos preparados'!M26</f>
        <v/>
      </c>
      <c r="O33" s="7">
        <f>'1 datos preparados'!N26</f>
        <v/>
      </c>
      <c r="P33" s="7">
        <f>'1 datos preparados'!O26</f>
        <v/>
      </c>
      <c r="Q33" s="7">
        <f>'1 datos preparados'!P26</f>
        <v/>
      </c>
      <c r="R33" s="7">
        <f>'1 datos preparados'!Q26</f>
        <v/>
      </c>
      <c r="S33" s="7">
        <f>'1 datos preparados'!R26</f>
        <v/>
      </c>
      <c r="T33" s="7">
        <f>'1 datos preparados'!S26</f>
        <v/>
      </c>
      <c r="U33" s="7">
        <f>'1 datos preparados'!T26</f>
        <v/>
      </c>
      <c r="V33" s="8">
        <f>$AE$12+D33*$AE$13+E33*$AE$14+F33*$AE$15+G33*$AE$16+H33*$AE$17+I33*$AE$18+J33*$AE$19+K33*$AE$20+L33*$AE$21+M33*$AE$22+N33*$AE$23+O33*$AE$24+P33*$AE$25+Q33*$AE$26+R33*$AE$27+S33*$AE$28+T33*$AE$29+U33*$AE$30</f>
        <v/>
      </c>
      <c r="W33" s="8">
        <f>1/(1+EXP(-V33))</f>
        <v/>
      </c>
      <c r="X33" s="9">
        <f>-IF(C33=1,LN(W33),LN(1-W33))</f>
        <v/>
      </c>
      <c r="Y33" s="8">
        <f>'1 datos preparados'!V26</f>
        <v/>
      </c>
      <c r="Z33" s="9">
        <f>Y33*X33</f>
        <v/>
      </c>
      <c r="AA33" s="10">
        <f>IF(W33&gt;$AE$33,1,0)</f>
        <v/>
      </c>
      <c r="AB33">
        <f>IF(AA33=C33,1,0)</f>
        <v/>
      </c>
      <c r="AD33" s="3" t="inlineStr">
        <is>
          <t>umbral</t>
        </is>
      </c>
      <c r="AE33" s="15" t="n">
        <v>0.5</v>
      </c>
    </row>
    <row r="34">
      <c r="A34">
        <f>'1 datos preparados'!A27</f>
        <v/>
      </c>
      <c r="B34" s="5">
        <f>'1 datos preparados'!U27</f>
        <v/>
      </c>
      <c r="C34">
        <f>'1 datos preparados'!B27</f>
        <v/>
      </c>
      <c r="D34" s="7">
        <f>'1 datos preparados'!C27</f>
        <v/>
      </c>
      <c r="E34" s="7">
        <f>'1 datos preparados'!D27</f>
        <v/>
      </c>
      <c r="F34" s="7">
        <f>'1 datos preparados'!E27</f>
        <v/>
      </c>
      <c r="G34" s="7">
        <f>'1 datos preparados'!F27</f>
        <v/>
      </c>
      <c r="H34" s="7">
        <f>'1 datos preparados'!G27</f>
        <v/>
      </c>
      <c r="I34" s="7">
        <f>'1 datos preparados'!H27</f>
        <v/>
      </c>
      <c r="J34" s="7">
        <f>'1 datos preparados'!I27</f>
        <v/>
      </c>
      <c r="K34" s="7">
        <f>'1 datos preparados'!J27</f>
        <v/>
      </c>
      <c r="L34" s="7">
        <f>'1 datos preparados'!K27</f>
        <v/>
      </c>
      <c r="M34" s="7">
        <f>'1 datos preparados'!L27</f>
        <v/>
      </c>
      <c r="N34" s="7">
        <f>'1 datos preparados'!M27</f>
        <v/>
      </c>
      <c r="O34" s="7">
        <f>'1 datos preparados'!N27</f>
        <v/>
      </c>
      <c r="P34" s="7">
        <f>'1 datos preparados'!O27</f>
        <v/>
      </c>
      <c r="Q34" s="7">
        <f>'1 datos preparados'!P27</f>
        <v/>
      </c>
      <c r="R34" s="7">
        <f>'1 datos preparados'!Q27</f>
        <v/>
      </c>
      <c r="S34" s="7">
        <f>'1 datos preparados'!R27</f>
        <v/>
      </c>
      <c r="T34" s="7">
        <f>'1 datos preparados'!S27</f>
        <v/>
      </c>
      <c r="U34" s="7">
        <f>'1 datos preparados'!T27</f>
        <v/>
      </c>
      <c r="V34" s="8">
        <f>$AE$12+D34*$AE$13+E34*$AE$14+F34*$AE$15+G34*$AE$16+H34*$AE$17+I34*$AE$18+J34*$AE$19+K34*$AE$20+L34*$AE$21+M34*$AE$22+N34*$AE$23+O34*$AE$24+P34*$AE$25+Q34*$AE$26+R34*$AE$27+S34*$AE$28+T34*$AE$29+U34*$AE$30</f>
        <v/>
      </c>
      <c r="W34" s="8">
        <f>1/(1+EXP(-V34))</f>
        <v/>
      </c>
      <c r="X34" s="9">
        <f>-IF(C34=1,LN(W34),LN(1-W34))</f>
        <v/>
      </c>
      <c r="Y34" s="8">
        <f>'1 datos preparados'!V27</f>
        <v/>
      </c>
      <c r="Z34" s="9">
        <f>Y34*X34</f>
        <v/>
      </c>
      <c r="AA34" s="10">
        <f>IF(W34&gt;$AE$33,1,0)</f>
        <v/>
      </c>
      <c r="AB34">
        <f>IF(AA34=C34,1,0)</f>
        <v/>
      </c>
    </row>
    <row r="35">
      <c r="A35">
        <f>'1 datos preparados'!A28</f>
        <v/>
      </c>
      <c r="B35" s="5">
        <f>'1 datos preparados'!U28</f>
        <v/>
      </c>
      <c r="C35">
        <f>'1 datos preparados'!B28</f>
        <v/>
      </c>
      <c r="D35" s="7">
        <f>'1 datos preparados'!C28</f>
        <v/>
      </c>
      <c r="E35" s="7">
        <f>'1 datos preparados'!D28</f>
        <v/>
      </c>
      <c r="F35" s="7">
        <f>'1 datos preparados'!E28</f>
        <v/>
      </c>
      <c r="G35" s="7">
        <f>'1 datos preparados'!F28</f>
        <v/>
      </c>
      <c r="H35" s="7">
        <f>'1 datos preparados'!G28</f>
        <v/>
      </c>
      <c r="I35" s="7">
        <f>'1 datos preparados'!H28</f>
        <v/>
      </c>
      <c r="J35" s="7">
        <f>'1 datos preparados'!I28</f>
        <v/>
      </c>
      <c r="K35" s="7">
        <f>'1 datos preparados'!J28</f>
        <v/>
      </c>
      <c r="L35" s="7">
        <f>'1 datos preparados'!K28</f>
        <v/>
      </c>
      <c r="M35" s="7">
        <f>'1 datos preparados'!L28</f>
        <v/>
      </c>
      <c r="N35" s="7">
        <f>'1 datos preparados'!M28</f>
        <v/>
      </c>
      <c r="O35" s="7">
        <f>'1 datos preparados'!N28</f>
        <v/>
      </c>
      <c r="P35" s="7">
        <f>'1 datos preparados'!O28</f>
        <v/>
      </c>
      <c r="Q35" s="7">
        <f>'1 datos preparados'!P28</f>
        <v/>
      </c>
      <c r="R35" s="7">
        <f>'1 datos preparados'!Q28</f>
        <v/>
      </c>
      <c r="S35" s="7">
        <f>'1 datos preparados'!R28</f>
        <v/>
      </c>
      <c r="T35" s="7">
        <f>'1 datos preparados'!S28</f>
        <v/>
      </c>
      <c r="U35" s="7">
        <f>'1 datos preparados'!T28</f>
        <v/>
      </c>
      <c r="V35" s="8">
        <f>$AE$12+D35*$AE$13+E35*$AE$14+F35*$AE$15+G35*$AE$16+H35*$AE$17+I35*$AE$18+J35*$AE$19+K35*$AE$20+L35*$AE$21+M35*$AE$22+N35*$AE$23+O35*$AE$24+P35*$AE$25+Q35*$AE$26+R35*$AE$27+S35*$AE$28+T35*$AE$29+U35*$AE$30</f>
        <v/>
      </c>
      <c r="W35" s="8">
        <f>1/(1+EXP(-V35))</f>
        <v/>
      </c>
      <c r="X35" s="9">
        <f>-IF(C35=1,LN(W35),LN(1-W35))</f>
        <v/>
      </c>
      <c r="Y35" s="8">
        <f>'1 datos preparados'!V28</f>
        <v/>
      </c>
      <c r="Z35" s="9">
        <f>Y35*X35</f>
        <v/>
      </c>
      <c r="AA35" s="10">
        <f>IF(W35&gt;$AE$33,1,0)</f>
        <v/>
      </c>
      <c r="AB35">
        <f>IF(AA35=C35,1,0)</f>
        <v/>
      </c>
      <c r="AD35" s="3" t="inlineStr">
        <is>
          <t>RESULTADOS</t>
        </is>
      </c>
    </row>
    <row r="36">
      <c r="A36">
        <f>'1 datos preparados'!A29</f>
        <v/>
      </c>
      <c r="B36" s="5">
        <f>'1 datos preparados'!U29</f>
        <v/>
      </c>
      <c r="C36">
        <f>'1 datos preparados'!B29</f>
        <v/>
      </c>
      <c r="D36" s="7">
        <f>'1 datos preparados'!C29</f>
        <v/>
      </c>
      <c r="E36" s="7">
        <f>'1 datos preparados'!D29</f>
        <v/>
      </c>
      <c r="F36" s="7">
        <f>'1 datos preparados'!E29</f>
        <v/>
      </c>
      <c r="G36" s="7">
        <f>'1 datos preparados'!F29</f>
        <v/>
      </c>
      <c r="H36" s="7">
        <f>'1 datos preparados'!G29</f>
        <v/>
      </c>
      <c r="I36" s="7">
        <f>'1 datos preparados'!H29</f>
        <v/>
      </c>
      <c r="J36" s="7">
        <f>'1 datos preparados'!I29</f>
        <v/>
      </c>
      <c r="K36" s="7">
        <f>'1 datos preparados'!J29</f>
        <v/>
      </c>
      <c r="L36" s="7">
        <f>'1 datos preparados'!K29</f>
        <v/>
      </c>
      <c r="M36" s="7">
        <f>'1 datos preparados'!L29</f>
        <v/>
      </c>
      <c r="N36" s="7">
        <f>'1 datos preparados'!M29</f>
        <v/>
      </c>
      <c r="O36" s="7">
        <f>'1 datos preparados'!N29</f>
        <v/>
      </c>
      <c r="P36" s="7">
        <f>'1 datos preparados'!O29</f>
        <v/>
      </c>
      <c r="Q36" s="7">
        <f>'1 datos preparados'!P29</f>
        <v/>
      </c>
      <c r="R36" s="7">
        <f>'1 datos preparados'!Q29</f>
        <v/>
      </c>
      <c r="S36" s="7">
        <f>'1 datos preparados'!R29</f>
        <v/>
      </c>
      <c r="T36" s="7">
        <f>'1 datos preparados'!S29</f>
        <v/>
      </c>
      <c r="U36" s="7">
        <f>'1 datos preparados'!T29</f>
        <v/>
      </c>
      <c r="V36" s="8">
        <f>$AE$12+D36*$AE$13+E36*$AE$14+F36*$AE$15+G36*$AE$16+H36*$AE$17+I36*$AE$18+J36*$AE$19+K36*$AE$20+L36*$AE$21+M36*$AE$22+N36*$AE$23+O36*$AE$24+P36*$AE$25+Q36*$AE$26+R36*$AE$27+S36*$AE$28+T36*$AE$29+U36*$AE$30</f>
        <v/>
      </c>
      <c r="W36" s="8">
        <f>1/(1+EXP(-V36))</f>
        <v/>
      </c>
      <c r="X36" s="9">
        <f>-IF(C36=1,LN(W36),LN(1-W36))</f>
        <v/>
      </c>
      <c r="Y36" s="8">
        <f>'1 datos preparados'!V29</f>
        <v/>
      </c>
      <c r="Z36" s="9">
        <f>Y36*X36</f>
        <v/>
      </c>
      <c r="AA36" s="10">
        <f>IF(W36&gt;$AE$33,1,0)</f>
        <v/>
      </c>
      <c r="AB36">
        <f>IF(AA36=C36,1,0)</f>
        <v/>
      </c>
      <c r="AD36" t="inlineStr">
        <is>
          <t>J = suma de pérdidas ponderadas en training (OBJETIVO DE SOLVER)</t>
        </is>
      </c>
      <c r="AE36" s="16">
        <f>SUMPRODUCT(($B$12:$B$1011="training")*$Z$12:$Z$1011)</f>
        <v/>
      </c>
    </row>
    <row r="37">
      <c r="A37">
        <f>'1 datos preparados'!A30</f>
        <v/>
      </c>
      <c r="B37" s="5">
        <f>'1 datos preparados'!U30</f>
        <v/>
      </c>
      <c r="C37">
        <f>'1 datos preparados'!B30</f>
        <v/>
      </c>
      <c r="D37" s="7">
        <f>'1 datos preparados'!C30</f>
        <v/>
      </c>
      <c r="E37" s="7">
        <f>'1 datos preparados'!D30</f>
        <v/>
      </c>
      <c r="F37" s="7">
        <f>'1 datos preparados'!E30</f>
        <v/>
      </c>
      <c r="G37" s="7">
        <f>'1 datos preparados'!F30</f>
        <v/>
      </c>
      <c r="H37" s="7">
        <f>'1 datos preparados'!G30</f>
        <v/>
      </c>
      <c r="I37" s="7">
        <f>'1 datos preparados'!H30</f>
        <v/>
      </c>
      <c r="J37" s="7">
        <f>'1 datos preparados'!I30</f>
        <v/>
      </c>
      <c r="K37" s="7">
        <f>'1 datos preparados'!J30</f>
        <v/>
      </c>
      <c r="L37" s="7">
        <f>'1 datos preparados'!K30</f>
        <v/>
      </c>
      <c r="M37" s="7">
        <f>'1 datos preparados'!L30</f>
        <v/>
      </c>
      <c r="N37" s="7">
        <f>'1 datos preparados'!M30</f>
        <v/>
      </c>
      <c r="O37" s="7">
        <f>'1 datos preparados'!N30</f>
        <v/>
      </c>
      <c r="P37" s="7">
        <f>'1 datos preparados'!O30</f>
        <v/>
      </c>
      <c r="Q37" s="7">
        <f>'1 datos preparados'!P30</f>
        <v/>
      </c>
      <c r="R37" s="7">
        <f>'1 datos preparados'!Q30</f>
        <v/>
      </c>
      <c r="S37" s="7">
        <f>'1 datos preparados'!R30</f>
        <v/>
      </c>
      <c r="T37" s="7">
        <f>'1 datos preparados'!S30</f>
        <v/>
      </c>
      <c r="U37" s="7">
        <f>'1 datos preparados'!T30</f>
        <v/>
      </c>
      <c r="V37" s="8">
        <f>$AE$12+D37*$AE$13+E37*$AE$14+F37*$AE$15+G37*$AE$16+H37*$AE$17+I37*$AE$18+J37*$AE$19+K37*$AE$20+L37*$AE$21+M37*$AE$22+N37*$AE$23+O37*$AE$24+P37*$AE$25+Q37*$AE$26+R37*$AE$27+S37*$AE$28+T37*$AE$29+U37*$AE$30</f>
        <v/>
      </c>
      <c r="W37" s="8">
        <f>1/(1+EXP(-V37))</f>
        <v/>
      </c>
      <c r="X37" s="9">
        <f>-IF(C37=1,LN(W37),LN(1-W37))</f>
        <v/>
      </c>
      <c r="Y37" s="8">
        <f>'1 datos preparados'!V30</f>
        <v/>
      </c>
      <c r="Z37" s="9">
        <f>Y37*X37</f>
        <v/>
      </c>
      <c r="AA37" s="10">
        <f>IF(W37&gt;$AE$33,1,0)</f>
        <v/>
      </c>
      <c r="AB37">
        <f>IF(AA37=C37,1,0)</f>
        <v/>
      </c>
      <c r="AD37" t="inlineStr">
        <is>
          <t>suma de pesos de fila en training</t>
        </is>
      </c>
      <c r="AE37" s="17">
        <f>SUMPRODUCT(($B$12:$B$1011="training")*$Y$12:$Y$1011)</f>
        <v/>
      </c>
    </row>
    <row r="38">
      <c r="A38">
        <f>'1 datos preparados'!A31</f>
        <v/>
      </c>
      <c r="B38" s="5">
        <f>'1 datos preparados'!U31</f>
        <v/>
      </c>
      <c r="C38">
        <f>'1 datos preparados'!B31</f>
        <v/>
      </c>
      <c r="D38" s="7">
        <f>'1 datos preparados'!C31</f>
        <v/>
      </c>
      <c r="E38" s="7">
        <f>'1 datos preparados'!D31</f>
        <v/>
      </c>
      <c r="F38" s="7">
        <f>'1 datos preparados'!E31</f>
        <v/>
      </c>
      <c r="G38" s="7">
        <f>'1 datos preparados'!F31</f>
        <v/>
      </c>
      <c r="H38" s="7">
        <f>'1 datos preparados'!G31</f>
        <v/>
      </c>
      <c r="I38" s="7">
        <f>'1 datos preparados'!H31</f>
        <v/>
      </c>
      <c r="J38" s="7">
        <f>'1 datos preparados'!I31</f>
        <v/>
      </c>
      <c r="K38" s="7">
        <f>'1 datos preparados'!J31</f>
        <v/>
      </c>
      <c r="L38" s="7">
        <f>'1 datos preparados'!K31</f>
        <v/>
      </c>
      <c r="M38" s="7">
        <f>'1 datos preparados'!L31</f>
        <v/>
      </c>
      <c r="N38" s="7">
        <f>'1 datos preparados'!M31</f>
        <v/>
      </c>
      <c r="O38" s="7">
        <f>'1 datos preparados'!N31</f>
        <v/>
      </c>
      <c r="P38" s="7">
        <f>'1 datos preparados'!O31</f>
        <v/>
      </c>
      <c r="Q38" s="7">
        <f>'1 datos preparados'!P31</f>
        <v/>
      </c>
      <c r="R38" s="7">
        <f>'1 datos preparados'!Q31</f>
        <v/>
      </c>
      <c r="S38" s="7">
        <f>'1 datos preparados'!R31</f>
        <v/>
      </c>
      <c r="T38" s="7">
        <f>'1 datos preparados'!S31</f>
        <v/>
      </c>
      <c r="U38" s="7">
        <f>'1 datos preparados'!T31</f>
        <v/>
      </c>
      <c r="V38" s="8">
        <f>$AE$12+D38*$AE$13+E38*$AE$14+F38*$AE$15+G38*$AE$16+H38*$AE$17+I38*$AE$18+J38*$AE$19+K38*$AE$20+L38*$AE$21+M38*$AE$22+N38*$AE$23+O38*$AE$24+P38*$AE$25+Q38*$AE$26+R38*$AE$27+S38*$AE$28+T38*$AE$29+U38*$AE$30</f>
        <v/>
      </c>
      <c r="W38" s="8">
        <f>1/(1+EXP(-V38))</f>
        <v/>
      </c>
      <c r="X38" s="9">
        <f>-IF(C38=1,LN(W38),LN(1-W38))</f>
        <v/>
      </c>
      <c r="Y38" s="8">
        <f>'1 datos preparados'!V31</f>
        <v/>
      </c>
      <c r="Z38" s="9">
        <f>Y38*X38</f>
        <v/>
      </c>
      <c r="AA38" s="10">
        <f>IF(W38&gt;$AE$33,1,0)</f>
        <v/>
      </c>
      <c r="AB38">
        <f>IF(AA38=C38,1,0)</f>
        <v/>
      </c>
      <c r="AD38" t="inlineStr">
        <is>
          <t>de la cual, clase 1</t>
        </is>
      </c>
      <c r="AE38" s="17">
        <f>SUMPRODUCT(($B$12:$B$1011="training")*($C$12:$C$1011=1)*$Y$12:$Y$1011)</f>
        <v/>
      </c>
    </row>
    <row r="39">
      <c r="A39">
        <f>'1 datos preparados'!A32</f>
        <v/>
      </c>
      <c r="B39" s="5">
        <f>'1 datos preparados'!U32</f>
        <v/>
      </c>
      <c r="C39">
        <f>'1 datos preparados'!B32</f>
        <v/>
      </c>
      <c r="D39" s="7">
        <f>'1 datos preparados'!C32</f>
        <v/>
      </c>
      <c r="E39" s="7">
        <f>'1 datos preparados'!D32</f>
        <v/>
      </c>
      <c r="F39" s="7">
        <f>'1 datos preparados'!E32</f>
        <v/>
      </c>
      <c r="G39" s="7">
        <f>'1 datos preparados'!F32</f>
        <v/>
      </c>
      <c r="H39" s="7">
        <f>'1 datos preparados'!G32</f>
        <v/>
      </c>
      <c r="I39" s="7">
        <f>'1 datos preparados'!H32</f>
        <v/>
      </c>
      <c r="J39" s="7">
        <f>'1 datos preparados'!I32</f>
        <v/>
      </c>
      <c r="K39" s="7">
        <f>'1 datos preparados'!J32</f>
        <v/>
      </c>
      <c r="L39" s="7">
        <f>'1 datos preparados'!K32</f>
        <v/>
      </c>
      <c r="M39" s="7">
        <f>'1 datos preparados'!L32</f>
        <v/>
      </c>
      <c r="N39" s="7">
        <f>'1 datos preparados'!M32</f>
        <v/>
      </c>
      <c r="O39" s="7">
        <f>'1 datos preparados'!N32</f>
        <v/>
      </c>
      <c r="P39" s="7">
        <f>'1 datos preparados'!O32</f>
        <v/>
      </c>
      <c r="Q39" s="7">
        <f>'1 datos preparados'!P32</f>
        <v/>
      </c>
      <c r="R39" s="7">
        <f>'1 datos preparados'!Q32</f>
        <v/>
      </c>
      <c r="S39" s="7">
        <f>'1 datos preparados'!R32</f>
        <v/>
      </c>
      <c r="T39" s="7">
        <f>'1 datos preparados'!S32</f>
        <v/>
      </c>
      <c r="U39" s="7">
        <f>'1 datos preparados'!T32</f>
        <v/>
      </c>
      <c r="V39" s="8">
        <f>$AE$12+D39*$AE$13+E39*$AE$14+F39*$AE$15+G39*$AE$16+H39*$AE$17+I39*$AE$18+J39*$AE$19+K39*$AE$20+L39*$AE$21+M39*$AE$22+N39*$AE$23+O39*$AE$24+P39*$AE$25+Q39*$AE$26+R39*$AE$27+S39*$AE$28+T39*$AE$29+U39*$AE$30</f>
        <v/>
      </c>
      <c r="W39" s="8">
        <f>1/(1+EXP(-V39))</f>
        <v/>
      </c>
      <c r="X39" s="9">
        <f>-IF(C39=1,LN(W39),LN(1-W39))</f>
        <v/>
      </c>
      <c r="Y39" s="8">
        <f>'1 datos preparados'!V32</f>
        <v/>
      </c>
      <c r="Z39" s="9">
        <f>Y39*X39</f>
        <v/>
      </c>
      <c r="AA39" s="10">
        <f>IF(W39&gt;$AE$33,1,0)</f>
        <v/>
      </c>
      <c r="AB39">
        <f>IF(AA39=C39,1,0)</f>
        <v/>
      </c>
      <c r="AD39" t="inlineStr">
        <is>
          <t>de la cual, clase 0</t>
        </is>
      </c>
      <c r="AE39" s="17">
        <f>SUMPRODUCT(($B$12:$B$1011="training")*($C$12:$C$1011=0)*$Y$12:$Y$1011)</f>
        <v/>
      </c>
    </row>
    <row r="40">
      <c r="A40">
        <f>'1 datos preparados'!A33</f>
        <v/>
      </c>
      <c r="B40" s="5">
        <f>'1 datos preparados'!U33</f>
        <v/>
      </c>
      <c r="C40">
        <f>'1 datos preparados'!B33</f>
        <v/>
      </c>
      <c r="D40" s="7">
        <f>'1 datos preparados'!C33</f>
        <v/>
      </c>
      <c r="E40" s="7">
        <f>'1 datos preparados'!D33</f>
        <v/>
      </c>
      <c r="F40" s="7">
        <f>'1 datos preparados'!E33</f>
        <v/>
      </c>
      <c r="G40" s="7">
        <f>'1 datos preparados'!F33</f>
        <v/>
      </c>
      <c r="H40" s="7">
        <f>'1 datos preparados'!G33</f>
        <v/>
      </c>
      <c r="I40" s="7">
        <f>'1 datos preparados'!H33</f>
        <v/>
      </c>
      <c r="J40" s="7">
        <f>'1 datos preparados'!I33</f>
        <v/>
      </c>
      <c r="K40" s="7">
        <f>'1 datos preparados'!J33</f>
        <v/>
      </c>
      <c r="L40" s="7">
        <f>'1 datos preparados'!K33</f>
        <v/>
      </c>
      <c r="M40" s="7">
        <f>'1 datos preparados'!L33</f>
        <v/>
      </c>
      <c r="N40" s="7">
        <f>'1 datos preparados'!M33</f>
        <v/>
      </c>
      <c r="O40" s="7">
        <f>'1 datos preparados'!N33</f>
        <v/>
      </c>
      <c r="P40" s="7">
        <f>'1 datos preparados'!O33</f>
        <v/>
      </c>
      <c r="Q40" s="7">
        <f>'1 datos preparados'!P33</f>
        <v/>
      </c>
      <c r="R40" s="7">
        <f>'1 datos preparados'!Q33</f>
        <v/>
      </c>
      <c r="S40" s="7">
        <f>'1 datos preparados'!R33</f>
        <v/>
      </c>
      <c r="T40" s="7">
        <f>'1 datos preparados'!S33</f>
        <v/>
      </c>
      <c r="U40" s="7">
        <f>'1 datos preparados'!T33</f>
        <v/>
      </c>
      <c r="V40" s="8">
        <f>$AE$12+D40*$AE$13+E40*$AE$14+F40*$AE$15+G40*$AE$16+H40*$AE$17+I40*$AE$18+J40*$AE$19+K40*$AE$20+L40*$AE$21+M40*$AE$22+N40*$AE$23+O40*$AE$24+P40*$AE$25+Q40*$AE$26+R40*$AE$27+S40*$AE$28+T40*$AE$29+U40*$AE$30</f>
        <v/>
      </c>
      <c r="W40" s="8">
        <f>1/(1+EXP(-V40))</f>
        <v/>
      </c>
      <c r="X40" s="9">
        <f>-IF(C40=1,LN(W40),LN(1-W40))</f>
        <v/>
      </c>
      <c r="Y40" s="8">
        <f>'1 datos preparados'!V33</f>
        <v/>
      </c>
      <c r="Z40" s="9">
        <f>Y40*X40</f>
        <v/>
      </c>
      <c r="AA40" s="10">
        <f>IF(W40&gt;$AE$33,1,0)</f>
        <v/>
      </c>
      <c r="AB40">
        <f>IF(AA40=C40,1,0)</f>
        <v/>
      </c>
      <c r="AD40" t="inlineStr">
        <is>
          <t>pérdida promedio testing (sin ponderar)</t>
        </is>
      </c>
      <c r="AE40" s="18">
        <f>SUMPRODUCT(($B$12:$B$1011="testing")*$X$12:$X$1011)/COUNTIF($B$12:$B$1011,"testing")</f>
        <v/>
      </c>
    </row>
    <row r="41">
      <c r="A41">
        <f>'1 datos preparados'!A34</f>
        <v/>
      </c>
      <c r="B41" s="5">
        <f>'1 datos preparados'!U34</f>
        <v/>
      </c>
      <c r="C41">
        <f>'1 datos preparados'!B34</f>
        <v/>
      </c>
      <c r="D41" s="7">
        <f>'1 datos preparados'!C34</f>
        <v/>
      </c>
      <c r="E41" s="7">
        <f>'1 datos preparados'!D34</f>
        <v/>
      </c>
      <c r="F41" s="7">
        <f>'1 datos preparados'!E34</f>
        <v/>
      </c>
      <c r="G41" s="7">
        <f>'1 datos preparados'!F34</f>
        <v/>
      </c>
      <c r="H41" s="7">
        <f>'1 datos preparados'!G34</f>
        <v/>
      </c>
      <c r="I41" s="7">
        <f>'1 datos preparados'!H34</f>
        <v/>
      </c>
      <c r="J41" s="7">
        <f>'1 datos preparados'!I34</f>
        <v/>
      </c>
      <c r="K41" s="7">
        <f>'1 datos preparados'!J34</f>
        <v/>
      </c>
      <c r="L41" s="7">
        <f>'1 datos preparados'!K34</f>
        <v/>
      </c>
      <c r="M41" s="7">
        <f>'1 datos preparados'!L34</f>
        <v/>
      </c>
      <c r="N41" s="7">
        <f>'1 datos preparados'!M34</f>
        <v/>
      </c>
      <c r="O41" s="7">
        <f>'1 datos preparados'!N34</f>
        <v/>
      </c>
      <c r="P41" s="7">
        <f>'1 datos preparados'!O34</f>
        <v/>
      </c>
      <c r="Q41" s="7">
        <f>'1 datos preparados'!P34</f>
        <v/>
      </c>
      <c r="R41" s="7">
        <f>'1 datos preparados'!Q34</f>
        <v/>
      </c>
      <c r="S41" s="7">
        <f>'1 datos preparados'!R34</f>
        <v/>
      </c>
      <c r="T41" s="7">
        <f>'1 datos preparados'!S34</f>
        <v/>
      </c>
      <c r="U41" s="7">
        <f>'1 datos preparados'!T34</f>
        <v/>
      </c>
      <c r="V41" s="8">
        <f>$AE$12+D41*$AE$13+E41*$AE$14+F41*$AE$15+G41*$AE$16+H41*$AE$17+I41*$AE$18+J41*$AE$19+K41*$AE$20+L41*$AE$21+M41*$AE$22+N41*$AE$23+O41*$AE$24+P41*$AE$25+Q41*$AE$26+R41*$AE$27+S41*$AE$28+T41*$AE$29+U41*$AE$30</f>
        <v/>
      </c>
      <c r="W41" s="8">
        <f>1/(1+EXP(-V41))</f>
        <v/>
      </c>
      <c r="X41" s="9">
        <f>-IF(C41=1,LN(W41),LN(1-W41))</f>
        <v/>
      </c>
      <c r="Y41" s="8">
        <f>'1 datos preparados'!V34</f>
        <v/>
      </c>
      <c r="Z41" s="9">
        <f>Y41*X41</f>
        <v/>
      </c>
      <c r="AA41" s="10">
        <f>IF(W41&gt;$AE$33,1,0)</f>
        <v/>
      </c>
      <c r="AB41">
        <f>IF(AA41=C41,1,0)</f>
        <v/>
      </c>
      <c r="AD41" t="inlineStr">
        <is>
          <t>p promedio en testing (la tasa real es 0,300)</t>
        </is>
      </c>
      <c r="AE41" s="14">
        <f>SUMPRODUCT(($B$12:$B$1011="testing")*$W$12:$W$1011)/COUNTIF($B$12:$B$1011,"testing")</f>
        <v/>
      </c>
    </row>
    <row r="42">
      <c r="A42">
        <f>'1 datos preparados'!A35</f>
        <v/>
      </c>
      <c r="B42" s="5">
        <f>'1 datos preparados'!U35</f>
        <v/>
      </c>
      <c r="C42">
        <f>'1 datos preparados'!B35</f>
        <v/>
      </c>
      <c r="D42" s="7">
        <f>'1 datos preparados'!C35</f>
        <v/>
      </c>
      <c r="E42" s="7">
        <f>'1 datos preparados'!D35</f>
        <v/>
      </c>
      <c r="F42" s="7">
        <f>'1 datos preparados'!E35</f>
        <v/>
      </c>
      <c r="G42" s="7">
        <f>'1 datos preparados'!F35</f>
        <v/>
      </c>
      <c r="H42" s="7">
        <f>'1 datos preparados'!G35</f>
        <v/>
      </c>
      <c r="I42" s="7">
        <f>'1 datos preparados'!H35</f>
        <v/>
      </c>
      <c r="J42" s="7">
        <f>'1 datos preparados'!I35</f>
        <v/>
      </c>
      <c r="K42" s="7">
        <f>'1 datos preparados'!J35</f>
        <v/>
      </c>
      <c r="L42" s="7">
        <f>'1 datos preparados'!K35</f>
        <v/>
      </c>
      <c r="M42" s="7">
        <f>'1 datos preparados'!L35</f>
        <v/>
      </c>
      <c r="N42" s="7">
        <f>'1 datos preparados'!M35</f>
        <v/>
      </c>
      <c r="O42" s="7">
        <f>'1 datos preparados'!N35</f>
        <v/>
      </c>
      <c r="P42" s="7">
        <f>'1 datos preparados'!O35</f>
        <v/>
      </c>
      <c r="Q42" s="7">
        <f>'1 datos preparados'!P35</f>
        <v/>
      </c>
      <c r="R42" s="7">
        <f>'1 datos preparados'!Q35</f>
        <v/>
      </c>
      <c r="S42" s="7">
        <f>'1 datos preparados'!R35</f>
        <v/>
      </c>
      <c r="T42" s="7">
        <f>'1 datos preparados'!S35</f>
        <v/>
      </c>
      <c r="U42" s="7">
        <f>'1 datos preparados'!T35</f>
        <v/>
      </c>
      <c r="V42" s="8">
        <f>$AE$12+D42*$AE$13+E42*$AE$14+F42*$AE$15+G42*$AE$16+H42*$AE$17+I42*$AE$18+J42*$AE$19+K42*$AE$20+L42*$AE$21+M42*$AE$22+N42*$AE$23+O42*$AE$24+P42*$AE$25+Q42*$AE$26+R42*$AE$27+S42*$AE$28+T42*$AE$29+U42*$AE$30</f>
        <v/>
      </c>
      <c r="W42" s="8">
        <f>1/(1+EXP(-V42))</f>
        <v/>
      </c>
      <c r="X42" s="9">
        <f>-IF(C42=1,LN(W42),LN(1-W42))</f>
        <v/>
      </c>
      <c r="Y42" s="8">
        <f>'1 datos preparados'!V35</f>
        <v/>
      </c>
      <c r="Z42" s="9">
        <f>Y42*X42</f>
        <v/>
      </c>
      <c r="AA42" s="10">
        <f>IF(W42&gt;$AE$33,1,0)</f>
        <v/>
      </c>
      <c r="AB42">
        <f>IF(AA42=C42,1,0)</f>
        <v/>
      </c>
      <c r="AD42" t="inlineStr">
        <is>
          <t>acierto testing</t>
        </is>
      </c>
      <c r="AE42" s="19">
        <f>SUMPRODUCT(($B$12:$B$1011="testing")*$AB$12:$AB$1011)/COUNTIF($B$12:$B$1011,"testing")</f>
        <v/>
      </c>
    </row>
    <row r="43">
      <c r="A43">
        <f>'1 datos preparados'!A36</f>
        <v/>
      </c>
      <c r="B43" s="5">
        <f>'1 datos preparados'!U36</f>
        <v/>
      </c>
      <c r="C43">
        <f>'1 datos preparados'!B36</f>
        <v/>
      </c>
      <c r="D43" s="7">
        <f>'1 datos preparados'!C36</f>
        <v/>
      </c>
      <c r="E43" s="7">
        <f>'1 datos preparados'!D36</f>
        <v/>
      </c>
      <c r="F43" s="7">
        <f>'1 datos preparados'!E36</f>
        <v/>
      </c>
      <c r="G43" s="7">
        <f>'1 datos preparados'!F36</f>
        <v/>
      </c>
      <c r="H43" s="7">
        <f>'1 datos preparados'!G36</f>
        <v/>
      </c>
      <c r="I43" s="7">
        <f>'1 datos preparados'!H36</f>
        <v/>
      </c>
      <c r="J43" s="7">
        <f>'1 datos preparados'!I36</f>
        <v/>
      </c>
      <c r="K43" s="7">
        <f>'1 datos preparados'!J36</f>
        <v/>
      </c>
      <c r="L43" s="7">
        <f>'1 datos preparados'!K36</f>
        <v/>
      </c>
      <c r="M43" s="7">
        <f>'1 datos preparados'!L36</f>
        <v/>
      </c>
      <c r="N43" s="7">
        <f>'1 datos preparados'!M36</f>
        <v/>
      </c>
      <c r="O43" s="7">
        <f>'1 datos preparados'!N36</f>
        <v/>
      </c>
      <c r="P43" s="7">
        <f>'1 datos preparados'!O36</f>
        <v/>
      </c>
      <c r="Q43" s="7">
        <f>'1 datos preparados'!P36</f>
        <v/>
      </c>
      <c r="R43" s="7">
        <f>'1 datos preparados'!Q36</f>
        <v/>
      </c>
      <c r="S43" s="7">
        <f>'1 datos preparados'!R36</f>
        <v/>
      </c>
      <c r="T43" s="7">
        <f>'1 datos preparados'!S36</f>
        <v/>
      </c>
      <c r="U43" s="7">
        <f>'1 datos preparados'!T36</f>
        <v/>
      </c>
      <c r="V43" s="8">
        <f>$AE$12+D43*$AE$13+E43*$AE$14+F43*$AE$15+G43*$AE$16+H43*$AE$17+I43*$AE$18+J43*$AE$19+K43*$AE$20+L43*$AE$21+M43*$AE$22+N43*$AE$23+O43*$AE$24+P43*$AE$25+Q43*$AE$26+R43*$AE$27+S43*$AE$28+T43*$AE$29+U43*$AE$30</f>
        <v/>
      </c>
      <c r="W43" s="8">
        <f>1/(1+EXP(-V43))</f>
        <v/>
      </c>
      <c r="X43" s="9">
        <f>-IF(C43=1,LN(W43),LN(1-W43))</f>
        <v/>
      </c>
      <c r="Y43" s="8">
        <f>'1 datos preparados'!V36</f>
        <v/>
      </c>
      <c r="Z43" s="9">
        <f>Y43*X43</f>
        <v/>
      </c>
      <c r="AA43" s="10">
        <f>IF(W43&gt;$AE$33,1,0)</f>
        <v/>
      </c>
      <c r="AB43">
        <f>IF(AA43=C43,1,0)</f>
        <v/>
      </c>
      <c r="AD43" t="inlineStr">
        <is>
          <t>referencia scikit-learn: recall clase 1 en testing (umbral 0,5)</t>
        </is>
      </c>
      <c r="AE43" s="6" t="n">
        <v>0.8666666666666667</v>
      </c>
    </row>
    <row r="44">
      <c r="A44">
        <f>'1 datos preparados'!A37</f>
        <v/>
      </c>
      <c r="B44" s="5">
        <f>'1 datos preparados'!U37</f>
        <v/>
      </c>
      <c r="C44">
        <f>'1 datos preparados'!B37</f>
        <v/>
      </c>
      <c r="D44" s="7">
        <f>'1 datos preparados'!C37</f>
        <v/>
      </c>
      <c r="E44" s="7">
        <f>'1 datos preparados'!D37</f>
        <v/>
      </c>
      <c r="F44" s="7">
        <f>'1 datos preparados'!E37</f>
        <v/>
      </c>
      <c r="G44" s="7">
        <f>'1 datos preparados'!F37</f>
        <v/>
      </c>
      <c r="H44" s="7">
        <f>'1 datos preparados'!G37</f>
        <v/>
      </c>
      <c r="I44" s="7">
        <f>'1 datos preparados'!H37</f>
        <v/>
      </c>
      <c r="J44" s="7">
        <f>'1 datos preparados'!I37</f>
        <v/>
      </c>
      <c r="K44" s="7">
        <f>'1 datos preparados'!J37</f>
        <v/>
      </c>
      <c r="L44" s="7">
        <f>'1 datos preparados'!K37</f>
        <v/>
      </c>
      <c r="M44" s="7">
        <f>'1 datos preparados'!L37</f>
        <v/>
      </c>
      <c r="N44" s="7">
        <f>'1 datos preparados'!M37</f>
        <v/>
      </c>
      <c r="O44" s="7">
        <f>'1 datos preparados'!N37</f>
        <v/>
      </c>
      <c r="P44" s="7">
        <f>'1 datos preparados'!O37</f>
        <v/>
      </c>
      <c r="Q44" s="7">
        <f>'1 datos preparados'!P37</f>
        <v/>
      </c>
      <c r="R44" s="7">
        <f>'1 datos preparados'!Q37</f>
        <v/>
      </c>
      <c r="S44" s="7">
        <f>'1 datos preparados'!R37</f>
        <v/>
      </c>
      <c r="T44" s="7">
        <f>'1 datos preparados'!S37</f>
        <v/>
      </c>
      <c r="U44" s="7">
        <f>'1 datos preparados'!T37</f>
        <v/>
      </c>
      <c r="V44" s="8">
        <f>$AE$12+D44*$AE$13+E44*$AE$14+F44*$AE$15+G44*$AE$16+H44*$AE$17+I44*$AE$18+J44*$AE$19+K44*$AE$20+L44*$AE$21+M44*$AE$22+N44*$AE$23+O44*$AE$24+P44*$AE$25+Q44*$AE$26+R44*$AE$27+S44*$AE$28+T44*$AE$29+U44*$AE$30</f>
        <v/>
      </c>
      <c r="W44" s="8">
        <f>1/(1+EXP(-V44))</f>
        <v/>
      </c>
      <c r="X44" s="9">
        <f>-IF(C44=1,LN(W44),LN(1-W44))</f>
        <v/>
      </c>
      <c r="Y44" s="8">
        <f>'1 datos preparados'!V37</f>
        <v/>
      </c>
      <c r="Z44" s="9">
        <f>Y44*X44</f>
        <v/>
      </c>
      <c r="AA44" s="10">
        <f>IF(W44&gt;$AE$33,1,0)</f>
        <v/>
      </c>
      <c r="AB44">
        <f>IF(AA44=C44,1,0)</f>
        <v/>
      </c>
      <c r="AD44" t="inlineStr">
        <is>
          <t>referencia scikit-learn: precision clase 1 en testing</t>
        </is>
      </c>
      <c r="AE44" s="6" t="n">
        <v>0.5</v>
      </c>
    </row>
    <row r="45">
      <c r="A45">
        <f>'1 datos preparados'!A38</f>
        <v/>
      </c>
      <c r="B45" s="5">
        <f>'1 datos preparados'!U38</f>
        <v/>
      </c>
      <c r="C45">
        <f>'1 datos preparados'!B38</f>
        <v/>
      </c>
      <c r="D45" s="7">
        <f>'1 datos preparados'!C38</f>
        <v/>
      </c>
      <c r="E45" s="7">
        <f>'1 datos preparados'!D38</f>
        <v/>
      </c>
      <c r="F45" s="7">
        <f>'1 datos preparados'!E38</f>
        <v/>
      </c>
      <c r="G45" s="7">
        <f>'1 datos preparados'!F38</f>
        <v/>
      </c>
      <c r="H45" s="7">
        <f>'1 datos preparados'!G38</f>
        <v/>
      </c>
      <c r="I45" s="7">
        <f>'1 datos preparados'!H38</f>
        <v/>
      </c>
      <c r="J45" s="7">
        <f>'1 datos preparados'!I38</f>
        <v/>
      </c>
      <c r="K45" s="7">
        <f>'1 datos preparados'!J38</f>
        <v/>
      </c>
      <c r="L45" s="7">
        <f>'1 datos preparados'!K38</f>
        <v/>
      </c>
      <c r="M45" s="7">
        <f>'1 datos preparados'!L38</f>
        <v/>
      </c>
      <c r="N45" s="7">
        <f>'1 datos preparados'!M38</f>
        <v/>
      </c>
      <c r="O45" s="7">
        <f>'1 datos preparados'!N38</f>
        <v/>
      </c>
      <c r="P45" s="7">
        <f>'1 datos preparados'!O38</f>
        <v/>
      </c>
      <c r="Q45" s="7">
        <f>'1 datos preparados'!P38</f>
        <v/>
      </c>
      <c r="R45" s="7">
        <f>'1 datos preparados'!Q38</f>
        <v/>
      </c>
      <c r="S45" s="7">
        <f>'1 datos preparados'!R38</f>
        <v/>
      </c>
      <c r="T45" s="7">
        <f>'1 datos preparados'!S38</f>
        <v/>
      </c>
      <c r="U45" s="7">
        <f>'1 datos preparados'!T38</f>
        <v/>
      </c>
      <c r="V45" s="8">
        <f>$AE$12+D45*$AE$13+E45*$AE$14+F45*$AE$15+G45*$AE$16+H45*$AE$17+I45*$AE$18+J45*$AE$19+K45*$AE$20+L45*$AE$21+M45*$AE$22+N45*$AE$23+O45*$AE$24+P45*$AE$25+Q45*$AE$26+R45*$AE$27+S45*$AE$28+T45*$AE$29+U45*$AE$30</f>
        <v/>
      </c>
      <c r="W45" s="8">
        <f>1/(1+EXP(-V45))</f>
        <v/>
      </c>
      <c r="X45" s="9">
        <f>-IF(C45=1,LN(W45),LN(1-W45))</f>
        <v/>
      </c>
      <c r="Y45" s="8">
        <f>'1 datos preparados'!V38</f>
        <v/>
      </c>
      <c r="Z45" s="9">
        <f>Y45*X45</f>
        <v/>
      </c>
      <c r="AA45" s="10">
        <f>IF(W45&gt;$AE$33,1,0)</f>
        <v/>
      </c>
      <c r="AB45">
        <f>IF(AA45=C45,1,0)</f>
        <v/>
      </c>
      <c r="AD45" t="inlineStr">
        <is>
          <t>referencia scikit-learn: AUC testing</t>
        </is>
      </c>
      <c r="AE45" s="6" t="n">
        <v>0.8133862433862435</v>
      </c>
    </row>
    <row r="46">
      <c r="A46">
        <f>'1 datos preparados'!A39</f>
        <v/>
      </c>
      <c r="B46" s="5">
        <f>'1 datos preparados'!U39</f>
        <v/>
      </c>
      <c r="C46">
        <f>'1 datos preparados'!B39</f>
        <v/>
      </c>
      <c r="D46" s="7">
        <f>'1 datos preparados'!C39</f>
        <v/>
      </c>
      <c r="E46" s="7">
        <f>'1 datos preparados'!D39</f>
        <v/>
      </c>
      <c r="F46" s="7">
        <f>'1 datos preparados'!E39</f>
        <v/>
      </c>
      <c r="G46" s="7">
        <f>'1 datos preparados'!F39</f>
        <v/>
      </c>
      <c r="H46" s="7">
        <f>'1 datos preparados'!G39</f>
        <v/>
      </c>
      <c r="I46" s="7">
        <f>'1 datos preparados'!H39</f>
        <v/>
      </c>
      <c r="J46" s="7">
        <f>'1 datos preparados'!I39</f>
        <v/>
      </c>
      <c r="K46" s="7">
        <f>'1 datos preparados'!J39</f>
        <v/>
      </c>
      <c r="L46" s="7">
        <f>'1 datos preparados'!K39</f>
        <v/>
      </c>
      <c r="M46" s="7">
        <f>'1 datos preparados'!L39</f>
        <v/>
      </c>
      <c r="N46" s="7">
        <f>'1 datos preparados'!M39</f>
        <v/>
      </c>
      <c r="O46" s="7">
        <f>'1 datos preparados'!N39</f>
        <v/>
      </c>
      <c r="P46" s="7">
        <f>'1 datos preparados'!O39</f>
        <v/>
      </c>
      <c r="Q46" s="7">
        <f>'1 datos preparados'!P39</f>
        <v/>
      </c>
      <c r="R46" s="7">
        <f>'1 datos preparados'!Q39</f>
        <v/>
      </c>
      <c r="S46" s="7">
        <f>'1 datos preparados'!R39</f>
        <v/>
      </c>
      <c r="T46" s="7">
        <f>'1 datos preparados'!S39</f>
        <v/>
      </c>
      <c r="U46" s="7">
        <f>'1 datos preparados'!T39</f>
        <v/>
      </c>
      <c r="V46" s="8">
        <f>$AE$12+D46*$AE$13+E46*$AE$14+F46*$AE$15+G46*$AE$16+H46*$AE$17+I46*$AE$18+J46*$AE$19+K46*$AE$20+L46*$AE$21+M46*$AE$22+N46*$AE$23+O46*$AE$24+P46*$AE$25+Q46*$AE$26+R46*$AE$27+S46*$AE$28+T46*$AE$29+U46*$AE$30</f>
        <v/>
      </c>
      <c r="W46" s="8">
        <f>1/(1+EXP(-V46))</f>
        <v/>
      </c>
      <c r="X46" s="9">
        <f>-IF(C46=1,LN(W46),LN(1-W46))</f>
        <v/>
      </c>
      <c r="Y46" s="8">
        <f>'1 datos preparados'!V39</f>
        <v/>
      </c>
      <c r="Z46" s="9">
        <f>Y46*X46</f>
        <v/>
      </c>
      <c r="AA46" s="10">
        <f>IF(W46&gt;$AE$33,1,0)</f>
        <v/>
      </c>
      <c r="AB46">
        <f>IF(AA46=C46,1,0)</f>
        <v/>
      </c>
    </row>
    <row r="47" ht="62" customHeight="1">
      <c r="A47">
        <f>'1 datos preparados'!A40</f>
        <v/>
      </c>
      <c r="B47" s="5">
        <f>'1 datos preparados'!U40</f>
        <v/>
      </c>
      <c r="C47">
        <f>'1 datos preparados'!B40</f>
        <v/>
      </c>
      <c r="D47" s="7">
        <f>'1 datos preparados'!C40</f>
        <v/>
      </c>
      <c r="E47" s="7">
        <f>'1 datos preparados'!D40</f>
        <v/>
      </c>
      <c r="F47" s="7">
        <f>'1 datos preparados'!E40</f>
        <v/>
      </c>
      <c r="G47" s="7">
        <f>'1 datos preparados'!F40</f>
        <v/>
      </c>
      <c r="H47" s="7">
        <f>'1 datos preparados'!G40</f>
        <v/>
      </c>
      <c r="I47" s="7">
        <f>'1 datos preparados'!H40</f>
        <v/>
      </c>
      <c r="J47" s="7">
        <f>'1 datos preparados'!I40</f>
        <v/>
      </c>
      <c r="K47" s="7">
        <f>'1 datos preparados'!J40</f>
        <v/>
      </c>
      <c r="L47" s="7">
        <f>'1 datos preparados'!K40</f>
        <v/>
      </c>
      <c r="M47" s="7">
        <f>'1 datos preparados'!L40</f>
        <v/>
      </c>
      <c r="N47" s="7">
        <f>'1 datos preparados'!M40</f>
        <v/>
      </c>
      <c r="O47" s="7">
        <f>'1 datos preparados'!N40</f>
        <v/>
      </c>
      <c r="P47" s="7">
        <f>'1 datos preparados'!O40</f>
        <v/>
      </c>
      <c r="Q47" s="7">
        <f>'1 datos preparados'!P40</f>
        <v/>
      </c>
      <c r="R47" s="7">
        <f>'1 datos preparados'!Q40</f>
        <v/>
      </c>
      <c r="S47" s="7">
        <f>'1 datos preparados'!R40</f>
        <v/>
      </c>
      <c r="T47" s="7">
        <f>'1 datos preparados'!S40</f>
        <v/>
      </c>
      <c r="U47" s="7">
        <f>'1 datos preparados'!T40</f>
        <v/>
      </c>
      <c r="V47" s="8">
        <f>$AE$12+D47*$AE$13+E47*$AE$14+F47*$AE$15+G47*$AE$16+H47*$AE$17+I47*$AE$18+J47*$AE$19+K47*$AE$20+L47*$AE$21+M47*$AE$22+N47*$AE$23+O47*$AE$24+P47*$AE$25+Q47*$AE$26+R47*$AE$27+S47*$AE$28+T47*$AE$29+U47*$AE$30</f>
        <v/>
      </c>
      <c r="W47" s="8">
        <f>1/(1+EXP(-V47))</f>
        <v/>
      </c>
      <c r="X47" s="9">
        <f>-IF(C47=1,LN(W47),LN(1-W47))</f>
        <v/>
      </c>
      <c r="Y47" s="8">
        <f>'1 datos preparados'!V40</f>
        <v/>
      </c>
      <c r="Z47" s="9">
        <f>Y47*X47</f>
        <v/>
      </c>
      <c r="AA47" s="10">
        <f>IF(W47&gt;$AE$33,1,0)</f>
        <v/>
      </c>
      <c r="AB47">
        <f>IF(AA47=C47,1,0)</f>
        <v/>
      </c>
      <c r="AD47" s="2" t="inlineStr">
        <is>
          <t>Solver: minimizar J cambiando las celdas celestes de los pesos del modelo (no las de clase), GRG no lineal, derivadas centrales, convergencia 0,000001, sin restricciones y con 'Convertir variables sin restricciones en no negativas' DESMARCADA. Correr dos veces si se detiene antes.</t>
        </is>
      </c>
    </row>
    <row r="48">
      <c r="A48">
        <f>'1 datos preparados'!A41</f>
        <v/>
      </c>
      <c r="B48" s="5">
        <f>'1 datos preparados'!U41</f>
        <v/>
      </c>
      <c r="C48">
        <f>'1 datos preparados'!B41</f>
        <v/>
      </c>
      <c r="D48" s="7">
        <f>'1 datos preparados'!C41</f>
        <v/>
      </c>
      <c r="E48" s="7">
        <f>'1 datos preparados'!D41</f>
        <v/>
      </c>
      <c r="F48" s="7">
        <f>'1 datos preparados'!E41</f>
        <v/>
      </c>
      <c r="G48" s="7">
        <f>'1 datos preparados'!F41</f>
        <v/>
      </c>
      <c r="H48" s="7">
        <f>'1 datos preparados'!G41</f>
        <v/>
      </c>
      <c r="I48" s="7">
        <f>'1 datos preparados'!H41</f>
        <v/>
      </c>
      <c r="J48" s="7">
        <f>'1 datos preparados'!I41</f>
        <v/>
      </c>
      <c r="K48" s="7">
        <f>'1 datos preparados'!J41</f>
        <v/>
      </c>
      <c r="L48" s="7">
        <f>'1 datos preparados'!K41</f>
        <v/>
      </c>
      <c r="M48" s="7">
        <f>'1 datos preparados'!L41</f>
        <v/>
      </c>
      <c r="N48" s="7">
        <f>'1 datos preparados'!M41</f>
        <v/>
      </c>
      <c r="O48" s="7">
        <f>'1 datos preparados'!N41</f>
        <v/>
      </c>
      <c r="P48" s="7">
        <f>'1 datos preparados'!O41</f>
        <v/>
      </c>
      <c r="Q48" s="7">
        <f>'1 datos preparados'!P41</f>
        <v/>
      </c>
      <c r="R48" s="7">
        <f>'1 datos preparados'!Q41</f>
        <v/>
      </c>
      <c r="S48" s="7">
        <f>'1 datos preparados'!R41</f>
        <v/>
      </c>
      <c r="T48" s="7">
        <f>'1 datos preparados'!S41</f>
        <v/>
      </c>
      <c r="U48" s="7">
        <f>'1 datos preparados'!T41</f>
        <v/>
      </c>
      <c r="V48" s="8">
        <f>$AE$12+D48*$AE$13+E48*$AE$14+F48*$AE$15+G48*$AE$16+H48*$AE$17+I48*$AE$18+J48*$AE$19+K48*$AE$20+L48*$AE$21+M48*$AE$22+N48*$AE$23+O48*$AE$24+P48*$AE$25+Q48*$AE$26+R48*$AE$27+S48*$AE$28+T48*$AE$29+U48*$AE$30</f>
        <v/>
      </c>
      <c r="W48" s="8">
        <f>1/(1+EXP(-V48))</f>
        <v/>
      </c>
      <c r="X48" s="9">
        <f>-IF(C48=1,LN(W48),LN(1-W48))</f>
        <v/>
      </c>
      <c r="Y48" s="8">
        <f>'1 datos preparados'!V41</f>
        <v/>
      </c>
      <c r="Z48" s="9">
        <f>Y48*X48</f>
        <v/>
      </c>
      <c r="AA48" s="10">
        <f>IF(W48&gt;$AE$33,1,0)</f>
        <v/>
      </c>
      <c r="AB48">
        <f>IF(AA48=C48,1,0)</f>
        <v/>
      </c>
    </row>
    <row r="49">
      <c r="A49">
        <f>'1 datos preparados'!A42</f>
        <v/>
      </c>
      <c r="B49" s="5">
        <f>'1 datos preparados'!U42</f>
        <v/>
      </c>
      <c r="C49">
        <f>'1 datos preparados'!B42</f>
        <v/>
      </c>
      <c r="D49" s="7">
        <f>'1 datos preparados'!C42</f>
        <v/>
      </c>
      <c r="E49" s="7">
        <f>'1 datos preparados'!D42</f>
        <v/>
      </c>
      <c r="F49" s="7">
        <f>'1 datos preparados'!E42</f>
        <v/>
      </c>
      <c r="G49" s="7">
        <f>'1 datos preparados'!F42</f>
        <v/>
      </c>
      <c r="H49" s="7">
        <f>'1 datos preparados'!G42</f>
        <v/>
      </c>
      <c r="I49" s="7">
        <f>'1 datos preparados'!H42</f>
        <v/>
      </c>
      <c r="J49" s="7">
        <f>'1 datos preparados'!I42</f>
        <v/>
      </c>
      <c r="K49" s="7">
        <f>'1 datos preparados'!J42</f>
        <v/>
      </c>
      <c r="L49" s="7">
        <f>'1 datos preparados'!K42</f>
        <v/>
      </c>
      <c r="M49" s="7">
        <f>'1 datos preparados'!L42</f>
        <v/>
      </c>
      <c r="N49" s="7">
        <f>'1 datos preparados'!M42</f>
        <v/>
      </c>
      <c r="O49" s="7">
        <f>'1 datos preparados'!N42</f>
        <v/>
      </c>
      <c r="P49" s="7">
        <f>'1 datos preparados'!O42</f>
        <v/>
      </c>
      <c r="Q49" s="7">
        <f>'1 datos preparados'!P42</f>
        <v/>
      </c>
      <c r="R49" s="7">
        <f>'1 datos preparados'!Q42</f>
        <v/>
      </c>
      <c r="S49" s="7">
        <f>'1 datos preparados'!R42</f>
        <v/>
      </c>
      <c r="T49" s="7">
        <f>'1 datos preparados'!S42</f>
        <v/>
      </c>
      <c r="U49" s="7">
        <f>'1 datos preparados'!T42</f>
        <v/>
      </c>
      <c r="V49" s="8">
        <f>$AE$12+D49*$AE$13+E49*$AE$14+F49*$AE$15+G49*$AE$16+H49*$AE$17+I49*$AE$18+J49*$AE$19+K49*$AE$20+L49*$AE$21+M49*$AE$22+N49*$AE$23+O49*$AE$24+P49*$AE$25+Q49*$AE$26+R49*$AE$27+S49*$AE$28+T49*$AE$29+U49*$AE$30</f>
        <v/>
      </c>
      <c r="W49" s="8">
        <f>1/(1+EXP(-V49))</f>
        <v/>
      </c>
      <c r="X49" s="9">
        <f>-IF(C49=1,LN(W49),LN(1-W49))</f>
        <v/>
      </c>
      <c r="Y49" s="8">
        <f>'1 datos preparados'!V42</f>
        <v/>
      </c>
      <c r="Z49" s="9">
        <f>Y49*X49</f>
        <v/>
      </c>
      <c r="AA49" s="10">
        <f>IF(W49&gt;$AE$33,1,0)</f>
        <v/>
      </c>
      <c r="AB49">
        <f>IF(AA49=C49,1,0)</f>
        <v/>
      </c>
    </row>
    <row r="50">
      <c r="A50">
        <f>'1 datos preparados'!A43</f>
        <v/>
      </c>
      <c r="B50" s="5">
        <f>'1 datos preparados'!U43</f>
        <v/>
      </c>
      <c r="C50">
        <f>'1 datos preparados'!B43</f>
        <v/>
      </c>
      <c r="D50" s="7">
        <f>'1 datos preparados'!C43</f>
        <v/>
      </c>
      <c r="E50" s="7">
        <f>'1 datos preparados'!D43</f>
        <v/>
      </c>
      <c r="F50" s="7">
        <f>'1 datos preparados'!E43</f>
        <v/>
      </c>
      <c r="G50" s="7">
        <f>'1 datos preparados'!F43</f>
        <v/>
      </c>
      <c r="H50" s="7">
        <f>'1 datos preparados'!G43</f>
        <v/>
      </c>
      <c r="I50" s="7">
        <f>'1 datos preparados'!H43</f>
        <v/>
      </c>
      <c r="J50" s="7">
        <f>'1 datos preparados'!I43</f>
        <v/>
      </c>
      <c r="K50" s="7">
        <f>'1 datos preparados'!J43</f>
        <v/>
      </c>
      <c r="L50" s="7">
        <f>'1 datos preparados'!K43</f>
        <v/>
      </c>
      <c r="M50" s="7">
        <f>'1 datos preparados'!L43</f>
        <v/>
      </c>
      <c r="N50" s="7">
        <f>'1 datos preparados'!M43</f>
        <v/>
      </c>
      <c r="O50" s="7">
        <f>'1 datos preparados'!N43</f>
        <v/>
      </c>
      <c r="P50" s="7">
        <f>'1 datos preparados'!O43</f>
        <v/>
      </c>
      <c r="Q50" s="7">
        <f>'1 datos preparados'!P43</f>
        <v/>
      </c>
      <c r="R50" s="7">
        <f>'1 datos preparados'!Q43</f>
        <v/>
      </c>
      <c r="S50" s="7">
        <f>'1 datos preparados'!R43</f>
        <v/>
      </c>
      <c r="T50" s="7">
        <f>'1 datos preparados'!S43</f>
        <v/>
      </c>
      <c r="U50" s="7">
        <f>'1 datos preparados'!T43</f>
        <v/>
      </c>
      <c r="V50" s="8">
        <f>$AE$12+D50*$AE$13+E50*$AE$14+F50*$AE$15+G50*$AE$16+H50*$AE$17+I50*$AE$18+J50*$AE$19+K50*$AE$20+L50*$AE$21+M50*$AE$22+N50*$AE$23+O50*$AE$24+P50*$AE$25+Q50*$AE$26+R50*$AE$27+S50*$AE$28+T50*$AE$29+U50*$AE$30</f>
        <v/>
      </c>
      <c r="W50" s="8">
        <f>1/(1+EXP(-V50))</f>
        <v/>
      </c>
      <c r="X50" s="9">
        <f>-IF(C50=1,LN(W50),LN(1-W50))</f>
        <v/>
      </c>
      <c r="Y50" s="8">
        <f>'1 datos preparados'!V43</f>
        <v/>
      </c>
      <c r="Z50" s="9">
        <f>Y50*X50</f>
        <v/>
      </c>
      <c r="AA50" s="10">
        <f>IF(W50&gt;$AE$33,1,0)</f>
        <v/>
      </c>
      <c r="AB50">
        <f>IF(AA50=C50,1,0)</f>
        <v/>
      </c>
    </row>
    <row r="51">
      <c r="A51">
        <f>'1 datos preparados'!A44</f>
        <v/>
      </c>
      <c r="B51" s="5">
        <f>'1 datos preparados'!U44</f>
        <v/>
      </c>
      <c r="C51">
        <f>'1 datos preparados'!B44</f>
        <v/>
      </c>
      <c r="D51" s="7">
        <f>'1 datos preparados'!C44</f>
        <v/>
      </c>
      <c r="E51" s="7">
        <f>'1 datos preparados'!D44</f>
        <v/>
      </c>
      <c r="F51" s="7">
        <f>'1 datos preparados'!E44</f>
        <v/>
      </c>
      <c r="G51" s="7">
        <f>'1 datos preparados'!F44</f>
        <v/>
      </c>
      <c r="H51" s="7">
        <f>'1 datos preparados'!G44</f>
        <v/>
      </c>
      <c r="I51" s="7">
        <f>'1 datos preparados'!H44</f>
        <v/>
      </c>
      <c r="J51" s="7">
        <f>'1 datos preparados'!I44</f>
        <v/>
      </c>
      <c r="K51" s="7">
        <f>'1 datos preparados'!J44</f>
        <v/>
      </c>
      <c r="L51" s="7">
        <f>'1 datos preparados'!K44</f>
        <v/>
      </c>
      <c r="M51" s="7">
        <f>'1 datos preparados'!L44</f>
        <v/>
      </c>
      <c r="N51" s="7">
        <f>'1 datos preparados'!M44</f>
        <v/>
      </c>
      <c r="O51" s="7">
        <f>'1 datos preparados'!N44</f>
        <v/>
      </c>
      <c r="P51" s="7">
        <f>'1 datos preparados'!O44</f>
        <v/>
      </c>
      <c r="Q51" s="7">
        <f>'1 datos preparados'!P44</f>
        <v/>
      </c>
      <c r="R51" s="7">
        <f>'1 datos preparados'!Q44</f>
        <v/>
      </c>
      <c r="S51" s="7">
        <f>'1 datos preparados'!R44</f>
        <v/>
      </c>
      <c r="T51" s="7">
        <f>'1 datos preparados'!S44</f>
        <v/>
      </c>
      <c r="U51" s="7">
        <f>'1 datos preparados'!T44</f>
        <v/>
      </c>
      <c r="V51" s="8">
        <f>$AE$12+D51*$AE$13+E51*$AE$14+F51*$AE$15+G51*$AE$16+H51*$AE$17+I51*$AE$18+J51*$AE$19+K51*$AE$20+L51*$AE$21+M51*$AE$22+N51*$AE$23+O51*$AE$24+P51*$AE$25+Q51*$AE$26+R51*$AE$27+S51*$AE$28+T51*$AE$29+U51*$AE$30</f>
        <v/>
      </c>
      <c r="W51" s="8">
        <f>1/(1+EXP(-V51))</f>
        <v/>
      </c>
      <c r="X51" s="9">
        <f>-IF(C51=1,LN(W51),LN(1-W51))</f>
        <v/>
      </c>
      <c r="Y51" s="8">
        <f>'1 datos preparados'!V44</f>
        <v/>
      </c>
      <c r="Z51" s="9">
        <f>Y51*X51</f>
        <v/>
      </c>
      <c r="AA51" s="10">
        <f>IF(W51&gt;$AE$33,1,0)</f>
        <v/>
      </c>
      <c r="AB51">
        <f>IF(AA51=C51,1,0)</f>
        <v/>
      </c>
    </row>
    <row r="52">
      <c r="A52">
        <f>'1 datos preparados'!A45</f>
        <v/>
      </c>
      <c r="B52" s="5">
        <f>'1 datos preparados'!U45</f>
        <v/>
      </c>
      <c r="C52">
        <f>'1 datos preparados'!B45</f>
        <v/>
      </c>
      <c r="D52" s="7">
        <f>'1 datos preparados'!C45</f>
        <v/>
      </c>
      <c r="E52" s="7">
        <f>'1 datos preparados'!D45</f>
        <v/>
      </c>
      <c r="F52" s="7">
        <f>'1 datos preparados'!E45</f>
        <v/>
      </c>
      <c r="G52" s="7">
        <f>'1 datos preparados'!F45</f>
        <v/>
      </c>
      <c r="H52" s="7">
        <f>'1 datos preparados'!G45</f>
        <v/>
      </c>
      <c r="I52" s="7">
        <f>'1 datos preparados'!H45</f>
        <v/>
      </c>
      <c r="J52" s="7">
        <f>'1 datos preparados'!I45</f>
        <v/>
      </c>
      <c r="K52" s="7">
        <f>'1 datos preparados'!J45</f>
        <v/>
      </c>
      <c r="L52" s="7">
        <f>'1 datos preparados'!K45</f>
        <v/>
      </c>
      <c r="M52" s="7">
        <f>'1 datos preparados'!L45</f>
        <v/>
      </c>
      <c r="N52" s="7">
        <f>'1 datos preparados'!M45</f>
        <v/>
      </c>
      <c r="O52" s="7">
        <f>'1 datos preparados'!N45</f>
        <v/>
      </c>
      <c r="P52" s="7">
        <f>'1 datos preparados'!O45</f>
        <v/>
      </c>
      <c r="Q52" s="7">
        <f>'1 datos preparados'!P45</f>
        <v/>
      </c>
      <c r="R52" s="7">
        <f>'1 datos preparados'!Q45</f>
        <v/>
      </c>
      <c r="S52" s="7">
        <f>'1 datos preparados'!R45</f>
        <v/>
      </c>
      <c r="T52" s="7">
        <f>'1 datos preparados'!S45</f>
        <v/>
      </c>
      <c r="U52" s="7">
        <f>'1 datos preparados'!T45</f>
        <v/>
      </c>
      <c r="V52" s="8">
        <f>$AE$12+D52*$AE$13+E52*$AE$14+F52*$AE$15+G52*$AE$16+H52*$AE$17+I52*$AE$18+J52*$AE$19+K52*$AE$20+L52*$AE$21+M52*$AE$22+N52*$AE$23+O52*$AE$24+P52*$AE$25+Q52*$AE$26+R52*$AE$27+S52*$AE$28+T52*$AE$29+U52*$AE$30</f>
        <v/>
      </c>
      <c r="W52" s="8">
        <f>1/(1+EXP(-V52))</f>
        <v/>
      </c>
      <c r="X52" s="9">
        <f>-IF(C52=1,LN(W52),LN(1-W52))</f>
        <v/>
      </c>
      <c r="Y52" s="8">
        <f>'1 datos preparados'!V45</f>
        <v/>
      </c>
      <c r="Z52" s="9">
        <f>Y52*X52</f>
        <v/>
      </c>
      <c r="AA52" s="10">
        <f>IF(W52&gt;$AE$33,1,0)</f>
        <v/>
      </c>
      <c r="AB52">
        <f>IF(AA52=C52,1,0)</f>
        <v/>
      </c>
    </row>
    <row r="53">
      <c r="A53">
        <f>'1 datos preparados'!A46</f>
        <v/>
      </c>
      <c r="B53" s="5">
        <f>'1 datos preparados'!U46</f>
        <v/>
      </c>
      <c r="C53">
        <f>'1 datos preparados'!B46</f>
        <v/>
      </c>
      <c r="D53" s="7">
        <f>'1 datos preparados'!C46</f>
        <v/>
      </c>
      <c r="E53" s="7">
        <f>'1 datos preparados'!D46</f>
        <v/>
      </c>
      <c r="F53" s="7">
        <f>'1 datos preparados'!E46</f>
        <v/>
      </c>
      <c r="G53" s="7">
        <f>'1 datos preparados'!F46</f>
        <v/>
      </c>
      <c r="H53" s="7">
        <f>'1 datos preparados'!G46</f>
        <v/>
      </c>
      <c r="I53" s="7">
        <f>'1 datos preparados'!H46</f>
        <v/>
      </c>
      <c r="J53" s="7">
        <f>'1 datos preparados'!I46</f>
        <v/>
      </c>
      <c r="K53" s="7">
        <f>'1 datos preparados'!J46</f>
        <v/>
      </c>
      <c r="L53" s="7">
        <f>'1 datos preparados'!K46</f>
        <v/>
      </c>
      <c r="M53" s="7">
        <f>'1 datos preparados'!L46</f>
        <v/>
      </c>
      <c r="N53" s="7">
        <f>'1 datos preparados'!M46</f>
        <v/>
      </c>
      <c r="O53" s="7">
        <f>'1 datos preparados'!N46</f>
        <v/>
      </c>
      <c r="P53" s="7">
        <f>'1 datos preparados'!O46</f>
        <v/>
      </c>
      <c r="Q53" s="7">
        <f>'1 datos preparados'!P46</f>
        <v/>
      </c>
      <c r="R53" s="7">
        <f>'1 datos preparados'!Q46</f>
        <v/>
      </c>
      <c r="S53" s="7">
        <f>'1 datos preparados'!R46</f>
        <v/>
      </c>
      <c r="T53" s="7">
        <f>'1 datos preparados'!S46</f>
        <v/>
      </c>
      <c r="U53" s="7">
        <f>'1 datos preparados'!T46</f>
        <v/>
      </c>
      <c r="V53" s="8">
        <f>$AE$12+D53*$AE$13+E53*$AE$14+F53*$AE$15+G53*$AE$16+H53*$AE$17+I53*$AE$18+J53*$AE$19+K53*$AE$20+L53*$AE$21+M53*$AE$22+N53*$AE$23+O53*$AE$24+P53*$AE$25+Q53*$AE$26+R53*$AE$27+S53*$AE$28+T53*$AE$29+U53*$AE$30</f>
        <v/>
      </c>
      <c r="W53" s="8">
        <f>1/(1+EXP(-V53))</f>
        <v/>
      </c>
      <c r="X53" s="9">
        <f>-IF(C53=1,LN(W53),LN(1-W53))</f>
        <v/>
      </c>
      <c r="Y53" s="8">
        <f>'1 datos preparados'!V46</f>
        <v/>
      </c>
      <c r="Z53" s="9">
        <f>Y53*X53</f>
        <v/>
      </c>
      <c r="AA53" s="10">
        <f>IF(W53&gt;$AE$33,1,0)</f>
        <v/>
      </c>
      <c r="AB53">
        <f>IF(AA53=C53,1,0)</f>
        <v/>
      </c>
    </row>
    <row r="54">
      <c r="A54">
        <f>'1 datos preparados'!A47</f>
        <v/>
      </c>
      <c r="B54" s="5">
        <f>'1 datos preparados'!U47</f>
        <v/>
      </c>
      <c r="C54">
        <f>'1 datos preparados'!B47</f>
        <v/>
      </c>
      <c r="D54" s="7">
        <f>'1 datos preparados'!C47</f>
        <v/>
      </c>
      <c r="E54" s="7">
        <f>'1 datos preparados'!D47</f>
        <v/>
      </c>
      <c r="F54" s="7">
        <f>'1 datos preparados'!E47</f>
        <v/>
      </c>
      <c r="G54" s="7">
        <f>'1 datos preparados'!F47</f>
        <v/>
      </c>
      <c r="H54" s="7">
        <f>'1 datos preparados'!G47</f>
        <v/>
      </c>
      <c r="I54" s="7">
        <f>'1 datos preparados'!H47</f>
        <v/>
      </c>
      <c r="J54" s="7">
        <f>'1 datos preparados'!I47</f>
        <v/>
      </c>
      <c r="K54" s="7">
        <f>'1 datos preparados'!J47</f>
        <v/>
      </c>
      <c r="L54" s="7">
        <f>'1 datos preparados'!K47</f>
        <v/>
      </c>
      <c r="M54" s="7">
        <f>'1 datos preparados'!L47</f>
        <v/>
      </c>
      <c r="N54" s="7">
        <f>'1 datos preparados'!M47</f>
        <v/>
      </c>
      <c r="O54" s="7">
        <f>'1 datos preparados'!N47</f>
        <v/>
      </c>
      <c r="P54" s="7">
        <f>'1 datos preparados'!O47</f>
        <v/>
      </c>
      <c r="Q54" s="7">
        <f>'1 datos preparados'!P47</f>
        <v/>
      </c>
      <c r="R54" s="7">
        <f>'1 datos preparados'!Q47</f>
        <v/>
      </c>
      <c r="S54" s="7">
        <f>'1 datos preparados'!R47</f>
        <v/>
      </c>
      <c r="T54" s="7">
        <f>'1 datos preparados'!S47</f>
        <v/>
      </c>
      <c r="U54" s="7">
        <f>'1 datos preparados'!T47</f>
        <v/>
      </c>
      <c r="V54" s="8">
        <f>$AE$12+D54*$AE$13+E54*$AE$14+F54*$AE$15+G54*$AE$16+H54*$AE$17+I54*$AE$18+J54*$AE$19+K54*$AE$20+L54*$AE$21+M54*$AE$22+N54*$AE$23+O54*$AE$24+P54*$AE$25+Q54*$AE$26+R54*$AE$27+S54*$AE$28+T54*$AE$29+U54*$AE$30</f>
        <v/>
      </c>
      <c r="W54" s="8">
        <f>1/(1+EXP(-V54))</f>
        <v/>
      </c>
      <c r="X54" s="9">
        <f>-IF(C54=1,LN(W54),LN(1-W54))</f>
        <v/>
      </c>
      <c r="Y54" s="8">
        <f>'1 datos preparados'!V47</f>
        <v/>
      </c>
      <c r="Z54" s="9">
        <f>Y54*X54</f>
        <v/>
      </c>
      <c r="AA54" s="10">
        <f>IF(W54&gt;$AE$33,1,0)</f>
        <v/>
      </c>
      <c r="AB54">
        <f>IF(AA54=C54,1,0)</f>
        <v/>
      </c>
    </row>
    <row r="55">
      <c r="A55">
        <f>'1 datos preparados'!A48</f>
        <v/>
      </c>
      <c r="B55" s="5">
        <f>'1 datos preparados'!U48</f>
        <v/>
      </c>
      <c r="C55">
        <f>'1 datos preparados'!B48</f>
        <v/>
      </c>
      <c r="D55" s="7">
        <f>'1 datos preparados'!C48</f>
        <v/>
      </c>
      <c r="E55" s="7">
        <f>'1 datos preparados'!D48</f>
        <v/>
      </c>
      <c r="F55" s="7">
        <f>'1 datos preparados'!E48</f>
        <v/>
      </c>
      <c r="G55" s="7">
        <f>'1 datos preparados'!F48</f>
        <v/>
      </c>
      <c r="H55" s="7">
        <f>'1 datos preparados'!G48</f>
        <v/>
      </c>
      <c r="I55" s="7">
        <f>'1 datos preparados'!H48</f>
        <v/>
      </c>
      <c r="J55" s="7">
        <f>'1 datos preparados'!I48</f>
        <v/>
      </c>
      <c r="K55" s="7">
        <f>'1 datos preparados'!J48</f>
        <v/>
      </c>
      <c r="L55" s="7">
        <f>'1 datos preparados'!K48</f>
        <v/>
      </c>
      <c r="M55" s="7">
        <f>'1 datos preparados'!L48</f>
        <v/>
      </c>
      <c r="N55" s="7">
        <f>'1 datos preparados'!M48</f>
        <v/>
      </c>
      <c r="O55" s="7">
        <f>'1 datos preparados'!N48</f>
        <v/>
      </c>
      <c r="P55" s="7">
        <f>'1 datos preparados'!O48</f>
        <v/>
      </c>
      <c r="Q55" s="7">
        <f>'1 datos preparados'!P48</f>
        <v/>
      </c>
      <c r="R55" s="7">
        <f>'1 datos preparados'!Q48</f>
        <v/>
      </c>
      <c r="S55" s="7">
        <f>'1 datos preparados'!R48</f>
        <v/>
      </c>
      <c r="T55" s="7">
        <f>'1 datos preparados'!S48</f>
        <v/>
      </c>
      <c r="U55" s="7">
        <f>'1 datos preparados'!T48</f>
        <v/>
      </c>
      <c r="V55" s="8">
        <f>$AE$12+D55*$AE$13+E55*$AE$14+F55*$AE$15+G55*$AE$16+H55*$AE$17+I55*$AE$18+J55*$AE$19+K55*$AE$20+L55*$AE$21+M55*$AE$22+N55*$AE$23+O55*$AE$24+P55*$AE$25+Q55*$AE$26+R55*$AE$27+S55*$AE$28+T55*$AE$29+U55*$AE$30</f>
        <v/>
      </c>
      <c r="W55" s="8">
        <f>1/(1+EXP(-V55))</f>
        <v/>
      </c>
      <c r="X55" s="9">
        <f>-IF(C55=1,LN(W55),LN(1-W55))</f>
        <v/>
      </c>
      <c r="Y55" s="8">
        <f>'1 datos preparados'!V48</f>
        <v/>
      </c>
      <c r="Z55" s="9">
        <f>Y55*X55</f>
        <v/>
      </c>
      <c r="AA55" s="10">
        <f>IF(W55&gt;$AE$33,1,0)</f>
        <v/>
      </c>
      <c r="AB55">
        <f>IF(AA55=C55,1,0)</f>
        <v/>
      </c>
    </row>
    <row r="56">
      <c r="A56">
        <f>'1 datos preparados'!A49</f>
        <v/>
      </c>
      <c r="B56" s="5">
        <f>'1 datos preparados'!U49</f>
        <v/>
      </c>
      <c r="C56">
        <f>'1 datos preparados'!B49</f>
        <v/>
      </c>
      <c r="D56" s="7">
        <f>'1 datos preparados'!C49</f>
        <v/>
      </c>
      <c r="E56" s="7">
        <f>'1 datos preparados'!D49</f>
        <v/>
      </c>
      <c r="F56" s="7">
        <f>'1 datos preparados'!E49</f>
        <v/>
      </c>
      <c r="G56" s="7">
        <f>'1 datos preparados'!F49</f>
        <v/>
      </c>
      <c r="H56" s="7">
        <f>'1 datos preparados'!G49</f>
        <v/>
      </c>
      <c r="I56" s="7">
        <f>'1 datos preparados'!H49</f>
        <v/>
      </c>
      <c r="J56" s="7">
        <f>'1 datos preparados'!I49</f>
        <v/>
      </c>
      <c r="K56" s="7">
        <f>'1 datos preparados'!J49</f>
        <v/>
      </c>
      <c r="L56" s="7">
        <f>'1 datos preparados'!K49</f>
        <v/>
      </c>
      <c r="M56" s="7">
        <f>'1 datos preparados'!L49</f>
        <v/>
      </c>
      <c r="N56" s="7">
        <f>'1 datos preparados'!M49</f>
        <v/>
      </c>
      <c r="O56" s="7">
        <f>'1 datos preparados'!N49</f>
        <v/>
      </c>
      <c r="P56" s="7">
        <f>'1 datos preparados'!O49</f>
        <v/>
      </c>
      <c r="Q56" s="7">
        <f>'1 datos preparados'!P49</f>
        <v/>
      </c>
      <c r="R56" s="7">
        <f>'1 datos preparados'!Q49</f>
        <v/>
      </c>
      <c r="S56" s="7">
        <f>'1 datos preparados'!R49</f>
        <v/>
      </c>
      <c r="T56" s="7">
        <f>'1 datos preparados'!S49</f>
        <v/>
      </c>
      <c r="U56" s="7">
        <f>'1 datos preparados'!T49</f>
        <v/>
      </c>
      <c r="V56" s="8">
        <f>$AE$12+D56*$AE$13+E56*$AE$14+F56*$AE$15+G56*$AE$16+H56*$AE$17+I56*$AE$18+J56*$AE$19+K56*$AE$20+L56*$AE$21+M56*$AE$22+N56*$AE$23+O56*$AE$24+P56*$AE$25+Q56*$AE$26+R56*$AE$27+S56*$AE$28+T56*$AE$29+U56*$AE$30</f>
        <v/>
      </c>
      <c r="W56" s="8">
        <f>1/(1+EXP(-V56))</f>
        <v/>
      </c>
      <c r="X56" s="9">
        <f>-IF(C56=1,LN(W56),LN(1-W56))</f>
        <v/>
      </c>
      <c r="Y56" s="8">
        <f>'1 datos preparados'!V49</f>
        <v/>
      </c>
      <c r="Z56" s="9">
        <f>Y56*X56</f>
        <v/>
      </c>
      <c r="AA56" s="10">
        <f>IF(W56&gt;$AE$33,1,0)</f>
        <v/>
      </c>
      <c r="AB56">
        <f>IF(AA56=C56,1,0)</f>
        <v/>
      </c>
    </row>
    <row r="57">
      <c r="A57">
        <f>'1 datos preparados'!A50</f>
        <v/>
      </c>
      <c r="B57" s="5">
        <f>'1 datos preparados'!U50</f>
        <v/>
      </c>
      <c r="C57">
        <f>'1 datos preparados'!B50</f>
        <v/>
      </c>
      <c r="D57" s="7">
        <f>'1 datos preparados'!C50</f>
        <v/>
      </c>
      <c r="E57" s="7">
        <f>'1 datos preparados'!D50</f>
        <v/>
      </c>
      <c r="F57" s="7">
        <f>'1 datos preparados'!E50</f>
        <v/>
      </c>
      <c r="G57" s="7">
        <f>'1 datos preparados'!F50</f>
        <v/>
      </c>
      <c r="H57" s="7">
        <f>'1 datos preparados'!G50</f>
        <v/>
      </c>
      <c r="I57" s="7">
        <f>'1 datos preparados'!H50</f>
        <v/>
      </c>
      <c r="J57" s="7">
        <f>'1 datos preparados'!I50</f>
        <v/>
      </c>
      <c r="K57" s="7">
        <f>'1 datos preparados'!J50</f>
        <v/>
      </c>
      <c r="L57" s="7">
        <f>'1 datos preparados'!K50</f>
        <v/>
      </c>
      <c r="M57" s="7">
        <f>'1 datos preparados'!L50</f>
        <v/>
      </c>
      <c r="N57" s="7">
        <f>'1 datos preparados'!M50</f>
        <v/>
      </c>
      <c r="O57" s="7">
        <f>'1 datos preparados'!N50</f>
        <v/>
      </c>
      <c r="P57" s="7">
        <f>'1 datos preparados'!O50</f>
        <v/>
      </c>
      <c r="Q57" s="7">
        <f>'1 datos preparados'!P50</f>
        <v/>
      </c>
      <c r="R57" s="7">
        <f>'1 datos preparados'!Q50</f>
        <v/>
      </c>
      <c r="S57" s="7">
        <f>'1 datos preparados'!R50</f>
        <v/>
      </c>
      <c r="T57" s="7">
        <f>'1 datos preparados'!S50</f>
        <v/>
      </c>
      <c r="U57" s="7">
        <f>'1 datos preparados'!T50</f>
        <v/>
      </c>
      <c r="V57" s="8">
        <f>$AE$12+D57*$AE$13+E57*$AE$14+F57*$AE$15+G57*$AE$16+H57*$AE$17+I57*$AE$18+J57*$AE$19+K57*$AE$20+L57*$AE$21+M57*$AE$22+N57*$AE$23+O57*$AE$24+P57*$AE$25+Q57*$AE$26+R57*$AE$27+S57*$AE$28+T57*$AE$29+U57*$AE$30</f>
        <v/>
      </c>
      <c r="W57" s="8">
        <f>1/(1+EXP(-V57))</f>
        <v/>
      </c>
      <c r="X57" s="9">
        <f>-IF(C57=1,LN(W57),LN(1-W57))</f>
        <v/>
      </c>
      <c r="Y57" s="8">
        <f>'1 datos preparados'!V50</f>
        <v/>
      </c>
      <c r="Z57" s="9">
        <f>Y57*X57</f>
        <v/>
      </c>
      <c r="AA57" s="10">
        <f>IF(W57&gt;$AE$33,1,0)</f>
        <v/>
      </c>
      <c r="AB57">
        <f>IF(AA57=C57,1,0)</f>
        <v/>
      </c>
    </row>
    <row r="58">
      <c r="A58">
        <f>'1 datos preparados'!A51</f>
        <v/>
      </c>
      <c r="B58" s="5">
        <f>'1 datos preparados'!U51</f>
        <v/>
      </c>
      <c r="C58">
        <f>'1 datos preparados'!B51</f>
        <v/>
      </c>
      <c r="D58" s="7">
        <f>'1 datos preparados'!C51</f>
        <v/>
      </c>
      <c r="E58" s="7">
        <f>'1 datos preparados'!D51</f>
        <v/>
      </c>
      <c r="F58" s="7">
        <f>'1 datos preparados'!E51</f>
        <v/>
      </c>
      <c r="G58" s="7">
        <f>'1 datos preparados'!F51</f>
        <v/>
      </c>
      <c r="H58" s="7">
        <f>'1 datos preparados'!G51</f>
        <v/>
      </c>
      <c r="I58" s="7">
        <f>'1 datos preparados'!H51</f>
        <v/>
      </c>
      <c r="J58" s="7">
        <f>'1 datos preparados'!I51</f>
        <v/>
      </c>
      <c r="K58" s="7">
        <f>'1 datos preparados'!J51</f>
        <v/>
      </c>
      <c r="L58" s="7">
        <f>'1 datos preparados'!K51</f>
        <v/>
      </c>
      <c r="M58" s="7">
        <f>'1 datos preparados'!L51</f>
        <v/>
      </c>
      <c r="N58" s="7">
        <f>'1 datos preparados'!M51</f>
        <v/>
      </c>
      <c r="O58" s="7">
        <f>'1 datos preparados'!N51</f>
        <v/>
      </c>
      <c r="P58" s="7">
        <f>'1 datos preparados'!O51</f>
        <v/>
      </c>
      <c r="Q58" s="7">
        <f>'1 datos preparados'!P51</f>
        <v/>
      </c>
      <c r="R58" s="7">
        <f>'1 datos preparados'!Q51</f>
        <v/>
      </c>
      <c r="S58" s="7">
        <f>'1 datos preparados'!R51</f>
        <v/>
      </c>
      <c r="T58" s="7">
        <f>'1 datos preparados'!S51</f>
        <v/>
      </c>
      <c r="U58" s="7">
        <f>'1 datos preparados'!T51</f>
        <v/>
      </c>
      <c r="V58" s="8">
        <f>$AE$12+D58*$AE$13+E58*$AE$14+F58*$AE$15+G58*$AE$16+H58*$AE$17+I58*$AE$18+J58*$AE$19+K58*$AE$20+L58*$AE$21+M58*$AE$22+N58*$AE$23+O58*$AE$24+P58*$AE$25+Q58*$AE$26+R58*$AE$27+S58*$AE$28+T58*$AE$29+U58*$AE$30</f>
        <v/>
      </c>
      <c r="W58" s="8">
        <f>1/(1+EXP(-V58))</f>
        <v/>
      </c>
      <c r="X58" s="9">
        <f>-IF(C58=1,LN(W58),LN(1-W58))</f>
        <v/>
      </c>
      <c r="Y58" s="8">
        <f>'1 datos preparados'!V51</f>
        <v/>
      </c>
      <c r="Z58" s="9">
        <f>Y58*X58</f>
        <v/>
      </c>
      <c r="AA58" s="10">
        <f>IF(W58&gt;$AE$33,1,0)</f>
        <v/>
      </c>
      <c r="AB58">
        <f>IF(AA58=C58,1,0)</f>
        <v/>
      </c>
    </row>
    <row r="59">
      <c r="A59">
        <f>'1 datos preparados'!A52</f>
        <v/>
      </c>
      <c r="B59" s="5">
        <f>'1 datos preparados'!U52</f>
        <v/>
      </c>
      <c r="C59">
        <f>'1 datos preparados'!B52</f>
        <v/>
      </c>
      <c r="D59" s="7">
        <f>'1 datos preparados'!C52</f>
        <v/>
      </c>
      <c r="E59" s="7">
        <f>'1 datos preparados'!D52</f>
        <v/>
      </c>
      <c r="F59" s="7">
        <f>'1 datos preparados'!E52</f>
        <v/>
      </c>
      <c r="G59" s="7">
        <f>'1 datos preparados'!F52</f>
        <v/>
      </c>
      <c r="H59" s="7">
        <f>'1 datos preparados'!G52</f>
        <v/>
      </c>
      <c r="I59" s="7">
        <f>'1 datos preparados'!H52</f>
        <v/>
      </c>
      <c r="J59" s="7">
        <f>'1 datos preparados'!I52</f>
        <v/>
      </c>
      <c r="K59" s="7">
        <f>'1 datos preparados'!J52</f>
        <v/>
      </c>
      <c r="L59" s="7">
        <f>'1 datos preparados'!K52</f>
        <v/>
      </c>
      <c r="M59" s="7">
        <f>'1 datos preparados'!L52</f>
        <v/>
      </c>
      <c r="N59" s="7">
        <f>'1 datos preparados'!M52</f>
        <v/>
      </c>
      <c r="O59" s="7">
        <f>'1 datos preparados'!N52</f>
        <v/>
      </c>
      <c r="P59" s="7">
        <f>'1 datos preparados'!O52</f>
        <v/>
      </c>
      <c r="Q59" s="7">
        <f>'1 datos preparados'!P52</f>
        <v/>
      </c>
      <c r="R59" s="7">
        <f>'1 datos preparados'!Q52</f>
        <v/>
      </c>
      <c r="S59" s="7">
        <f>'1 datos preparados'!R52</f>
        <v/>
      </c>
      <c r="T59" s="7">
        <f>'1 datos preparados'!S52</f>
        <v/>
      </c>
      <c r="U59" s="7">
        <f>'1 datos preparados'!T52</f>
        <v/>
      </c>
      <c r="V59" s="8">
        <f>$AE$12+D59*$AE$13+E59*$AE$14+F59*$AE$15+G59*$AE$16+H59*$AE$17+I59*$AE$18+J59*$AE$19+K59*$AE$20+L59*$AE$21+M59*$AE$22+N59*$AE$23+O59*$AE$24+P59*$AE$25+Q59*$AE$26+R59*$AE$27+S59*$AE$28+T59*$AE$29+U59*$AE$30</f>
        <v/>
      </c>
      <c r="W59" s="8">
        <f>1/(1+EXP(-V59))</f>
        <v/>
      </c>
      <c r="X59" s="9">
        <f>-IF(C59=1,LN(W59),LN(1-W59))</f>
        <v/>
      </c>
      <c r="Y59" s="8">
        <f>'1 datos preparados'!V52</f>
        <v/>
      </c>
      <c r="Z59" s="9">
        <f>Y59*X59</f>
        <v/>
      </c>
      <c r="AA59" s="10">
        <f>IF(W59&gt;$AE$33,1,0)</f>
        <v/>
      </c>
      <c r="AB59">
        <f>IF(AA59=C59,1,0)</f>
        <v/>
      </c>
    </row>
    <row r="60">
      <c r="A60">
        <f>'1 datos preparados'!A53</f>
        <v/>
      </c>
      <c r="B60" s="5">
        <f>'1 datos preparados'!U53</f>
        <v/>
      </c>
      <c r="C60">
        <f>'1 datos preparados'!B53</f>
        <v/>
      </c>
      <c r="D60" s="7">
        <f>'1 datos preparados'!C53</f>
        <v/>
      </c>
      <c r="E60" s="7">
        <f>'1 datos preparados'!D53</f>
        <v/>
      </c>
      <c r="F60" s="7">
        <f>'1 datos preparados'!E53</f>
        <v/>
      </c>
      <c r="G60" s="7">
        <f>'1 datos preparados'!F53</f>
        <v/>
      </c>
      <c r="H60" s="7">
        <f>'1 datos preparados'!G53</f>
        <v/>
      </c>
      <c r="I60" s="7">
        <f>'1 datos preparados'!H53</f>
        <v/>
      </c>
      <c r="J60" s="7">
        <f>'1 datos preparados'!I53</f>
        <v/>
      </c>
      <c r="K60" s="7">
        <f>'1 datos preparados'!J53</f>
        <v/>
      </c>
      <c r="L60" s="7">
        <f>'1 datos preparados'!K53</f>
        <v/>
      </c>
      <c r="M60" s="7">
        <f>'1 datos preparados'!L53</f>
        <v/>
      </c>
      <c r="N60" s="7">
        <f>'1 datos preparados'!M53</f>
        <v/>
      </c>
      <c r="O60" s="7">
        <f>'1 datos preparados'!N53</f>
        <v/>
      </c>
      <c r="P60" s="7">
        <f>'1 datos preparados'!O53</f>
        <v/>
      </c>
      <c r="Q60" s="7">
        <f>'1 datos preparados'!P53</f>
        <v/>
      </c>
      <c r="R60" s="7">
        <f>'1 datos preparados'!Q53</f>
        <v/>
      </c>
      <c r="S60" s="7">
        <f>'1 datos preparados'!R53</f>
        <v/>
      </c>
      <c r="T60" s="7">
        <f>'1 datos preparados'!S53</f>
        <v/>
      </c>
      <c r="U60" s="7">
        <f>'1 datos preparados'!T53</f>
        <v/>
      </c>
      <c r="V60" s="8">
        <f>$AE$12+D60*$AE$13+E60*$AE$14+F60*$AE$15+G60*$AE$16+H60*$AE$17+I60*$AE$18+J60*$AE$19+K60*$AE$20+L60*$AE$21+M60*$AE$22+N60*$AE$23+O60*$AE$24+P60*$AE$25+Q60*$AE$26+R60*$AE$27+S60*$AE$28+T60*$AE$29+U60*$AE$30</f>
        <v/>
      </c>
      <c r="W60" s="8">
        <f>1/(1+EXP(-V60))</f>
        <v/>
      </c>
      <c r="X60" s="9">
        <f>-IF(C60=1,LN(W60),LN(1-W60))</f>
        <v/>
      </c>
      <c r="Y60" s="8">
        <f>'1 datos preparados'!V53</f>
        <v/>
      </c>
      <c r="Z60" s="9">
        <f>Y60*X60</f>
        <v/>
      </c>
      <c r="AA60" s="10">
        <f>IF(W60&gt;$AE$33,1,0)</f>
        <v/>
      </c>
      <c r="AB60">
        <f>IF(AA60=C60,1,0)</f>
        <v/>
      </c>
    </row>
    <row r="61">
      <c r="A61">
        <f>'1 datos preparados'!A54</f>
        <v/>
      </c>
      <c r="B61" s="5">
        <f>'1 datos preparados'!U54</f>
        <v/>
      </c>
      <c r="C61">
        <f>'1 datos preparados'!B54</f>
        <v/>
      </c>
      <c r="D61" s="7">
        <f>'1 datos preparados'!C54</f>
        <v/>
      </c>
      <c r="E61" s="7">
        <f>'1 datos preparados'!D54</f>
        <v/>
      </c>
      <c r="F61" s="7">
        <f>'1 datos preparados'!E54</f>
        <v/>
      </c>
      <c r="G61" s="7">
        <f>'1 datos preparados'!F54</f>
        <v/>
      </c>
      <c r="H61" s="7">
        <f>'1 datos preparados'!G54</f>
        <v/>
      </c>
      <c r="I61" s="7">
        <f>'1 datos preparados'!H54</f>
        <v/>
      </c>
      <c r="J61" s="7">
        <f>'1 datos preparados'!I54</f>
        <v/>
      </c>
      <c r="K61" s="7">
        <f>'1 datos preparados'!J54</f>
        <v/>
      </c>
      <c r="L61" s="7">
        <f>'1 datos preparados'!K54</f>
        <v/>
      </c>
      <c r="M61" s="7">
        <f>'1 datos preparados'!L54</f>
        <v/>
      </c>
      <c r="N61" s="7">
        <f>'1 datos preparados'!M54</f>
        <v/>
      </c>
      <c r="O61" s="7">
        <f>'1 datos preparados'!N54</f>
        <v/>
      </c>
      <c r="P61" s="7">
        <f>'1 datos preparados'!O54</f>
        <v/>
      </c>
      <c r="Q61" s="7">
        <f>'1 datos preparados'!P54</f>
        <v/>
      </c>
      <c r="R61" s="7">
        <f>'1 datos preparados'!Q54</f>
        <v/>
      </c>
      <c r="S61" s="7">
        <f>'1 datos preparados'!R54</f>
        <v/>
      </c>
      <c r="T61" s="7">
        <f>'1 datos preparados'!S54</f>
        <v/>
      </c>
      <c r="U61" s="7">
        <f>'1 datos preparados'!T54</f>
        <v/>
      </c>
      <c r="V61" s="8">
        <f>$AE$12+D61*$AE$13+E61*$AE$14+F61*$AE$15+G61*$AE$16+H61*$AE$17+I61*$AE$18+J61*$AE$19+K61*$AE$20+L61*$AE$21+M61*$AE$22+N61*$AE$23+O61*$AE$24+P61*$AE$25+Q61*$AE$26+R61*$AE$27+S61*$AE$28+T61*$AE$29+U61*$AE$30</f>
        <v/>
      </c>
      <c r="W61" s="8">
        <f>1/(1+EXP(-V61))</f>
        <v/>
      </c>
      <c r="X61" s="9">
        <f>-IF(C61=1,LN(W61),LN(1-W61))</f>
        <v/>
      </c>
      <c r="Y61" s="8">
        <f>'1 datos preparados'!V54</f>
        <v/>
      </c>
      <c r="Z61" s="9">
        <f>Y61*X61</f>
        <v/>
      </c>
      <c r="AA61" s="10">
        <f>IF(W61&gt;$AE$33,1,0)</f>
        <v/>
      </c>
      <c r="AB61">
        <f>IF(AA61=C61,1,0)</f>
        <v/>
      </c>
    </row>
    <row r="62">
      <c r="A62">
        <f>'1 datos preparados'!A55</f>
        <v/>
      </c>
      <c r="B62" s="5">
        <f>'1 datos preparados'!U55</f>
        <v/>
      </c>
      <c r="C62">
        <f>'1 datos preparados'!B55</f>
        <v/>
      </c>
      <c r="D62" s="7">
        <f>'1 datos preparados'!C55</f>
        <v/>
      </c>
      <c r="E62" s="7">
        <f>'1 datos preparados'!D55</f>
        <v/>
      </c>
      <c r="F62" s="7">
        <f>'1 datos preparados'!E55</f>
        <v/>
      </c>
      <c r="G62" s="7">
        <f>'1 datos preparados'!F55</f>
        <v/>
      </c>
      <c r="H62" s="7">
        <f>'1 datos preparados'!G55</f>
        <v/>
      </c>
      <c r="I62" s="7">
        <f>'1 datos preparados'!H55</f>
        <v/>
      </c>
      <c r="J62" s="7">
        <f>'1 datos preparados'!I55</f>
        <v/>
      </c>
      <c r="K62" s="7">
        <f>'1 datos preparados'!J55</f>
        <v/>
      </c>
      <c r="L62" s="7">
        <f>'1 datos preparados'!K55</f>
        <v/>
      </c>
      <c r="M62" s="7">
        <f>'1 datos preparados'!L55</f>
        <v/>
      </c>
      <c r="N62" s="7">
        <f>'1 datos preparados'!M55</f>
        <v/>
      </c>
      <c r="O62" s="7">
        <f>'1 datos preparados'!N55</f>
        <v/>
      </c>
      <c r="P62" s="7">
        <f>'1 datos preparados'!O55</f>
        <v/>
      </c>
      <c r="Q62" s="7">
        <f>'1 datos preparados'!P55</f>
        <v/>
      </c>
      <c r="R62" s="7">
        <f>'1 datos preparados'!Q55</f>
        <v/>
      </c>
      <c r="S62" s="7">
        <f>'1 datos preparados'!R55</f>
        <v/>
      </c>
      <c r="T62" s="7">
        <f>'1 datos preparados'!S55</f>
        <v/>
      </c>
      <c r="U62" s="7">
        <f>'1 datos preparados'!T55</f>
        <v/>
      </c>
      <c r="V62" s="8">
        <f>$AE$12+D62*$AE$13+E62*$AE$14+F62*$AE$15+G62*$AE$16+H62*$AE$17+I62*$AE$18+J62*$AE$19+K62*$AE$20+L62*$AE$21+M62*$AE$22+N62*$AE$23+O62*$AE$24+P62*$AE$25+Q62*$AE$26+R62*$AE$27+S62*$AE$28+T62*$AE$29+U62*$AE$30</f>
        <v/>
      </c>
      <c r="W62" s="8">
        <f>1/(1+EXP(-V62))</f>
        <v/>
      </c>
      <c r="X62" s="9">
        <f>-IF(C62=1,LN(W62),LN(1-W62))</f>
        <v/>
      </c>
      <c r="Y62" s="8">
        <f>'1 datos preparados'!V55</f>
        <v/>
      </c>
      <c r="Z62" s="9">
        <f>Y62*X62</f>
        <v/>
      </c>
      <c r="AA62" s="10">
        <f>IF(W62&gt;$AE$33,1,0)</f>
        <v/>
      </c>
      <c r="AB62">
        <f>IF(AA62=C62,1,0)</f>
        <v/>
      </c>
    </row>
    <row r="63">
      <c r="A63">
        <f>'1 datos preparados'!A56</f>
        <v/>
      </c>
      <c r="B63" s="5">
        <f>'1 datos preparados'!U56</f>
        <v/>
      </c>
      <c r="C63">
        <f>'1 datos preparados'!B56</f>
        <v/>
      </c>
      <c r="D63" s="7">
        <f>'1 datos preparados'!C56</f>
        <v/>
      </c>
      <c r="E63" s="7">
        <f>'1 datos preparados'!D56</f>
        <v/>
      </c>
      <c r="F63" s="7">
        <f>'1 datos preparados'!E56</f>
        <v/>
      </c>
      <c r="G63" s="7">
        <f>'1 datos preparados'!F56</f>
        <v/>
      </c>
      <c r="H63" s="7">
        <f>'1 datos preparados'!G56</f>
        <v/>
      </c>
      <c r="I63" s="7">
        <f>'1 datos preparados'!H56</f>
        <v/>
      </c>
      <c r="J63" s="7">
        <f>'1 datos preparados'!I56</f>
        <v/>
      </c>
      <c r="K63" s="7">
        <f>'1 datos preparados'!J56</f>
        <v/>
      </c>
      <c r="L63" s="7">
        <f>'1 datos preparados'!K56</f>
        <v/>
      </c>
      <c r="M63" s="7">
        <f>'1 datos preparados'!L56</f>
        <v/>
      </c>
      <c r="N63" s="7">
        <f>'1 datos preparados'!M56</f>
        <v/>
      </c>
      <c r="O63" s="7">
        <f>'1 datos preparados'!N56</f>
        <v/>
      </c>
      <c r="P63" s="7">
        <f>'1 datos preparados'!O56</f>
        <v/>
      </c>
      <c r="Q63" s="7">
        <f>'1 datos preparados'!P56</f>
        <v/>
      </c>
      <c r="R63" s="7">
        <f>'1 datos preparados'!Q56</f>
        <v/>
      </c>
      <c r="S63" s="7">
        <f>'1 datos preparados'!R56</f>
        <v/>
      </c>
      <c r="T63" s="7">
        <f>'1 datos preparados'!S56</f>
        <v/>
      </c>
      <c r="U63" s="7">
        <f>'1 datos preparados'!T56</f>
        <v/>
      </c>
      <c r="V63" s="8">
        <f>$AE$12+D63*$AE$13+E63*$AE$14+F63*$AE$15+G63*$AE$16+H63*$AE$17+I63*$AE$18+J63*$AE$19+K63*$AE$20+L63*$AE$21+M63*$AE$22+N63*$AE$23+O63*$AE$24+P63*$AE$25+Q63*$AE$26+R63*$AE$27+S63*$AE$28+T63*$AE$29+U63*$AE$30</f>
        <v/>
      </c>
      <c r="W63" s="8">
        <f>1/(1+EXP(-V63))</f>
        <v/>
      </c>
      <c r="X63" s="9">
        <f>-IF(C63=1,LN(W63),LN(1-W63))</f>
        <v/>
      </c>
      <c r="Y63" s="8">
        <f>'1 datos preparados'!V56</f>
        <v/>
      </c>
      <c r="Z63" s="9">
        <f>Y63*X63</f>
        <v/>
      </c>
      <c r="AA63" s="10">
        <f>IF(W63&gt;$AE$33,1,0)</f>
        <v/>
      </c>
      <c r="AB63">
        <f>IF(AA63=C63,1,0)</f>
        <v/>
      </c>
    </row>
    <row r="64">
      <c r="A64">
        <f>'1 datos preparados'!A57</f>
        <v/>
      </c>
      <c r="B64" s="5">
        <f>'1 datos preparados'!U57</f>
        <v/>
      </c>
      <c r="C64">
        <f>'1 datos preparados'!B57</f>
        <v/>
      </c>
      <c r="D64" s="7">
        <f>'1 datos preparados'!C57</f>
        <v/>
      </c>
      <c r="E64" s="7">
        <f>'1 datos preparados'!D57</f>
        <v/>
      </c>
      <c r="F64" s="7">
        <f>'1 datos preparados'!E57</f>
        <v/>
      </c>
      <c r="G64" s="7">
        <f>'1 datos preparados'!F57</f>
        <v/>
      </c>
      <c r="H64" s="7">
        <f>'1 datos preparados'!G57</f>
        <v/>
      </c>
      <c r="I64" s="7">
        <f>'1 datos preparados'!H57</f>
        <v/>
      </c>
      <c r="J64" s="7">
        <f>'1 datos preparados'!I57</f>
        <v/>
      </c>
      <c r="K64" s="7">
        <f>'1 datos preparados'!J57</f>
        <v/>
      </c>
      <c r="L64" s="7">
        <f>'1 datos preparados'!K57</f>
        <v/>
      </c>
      <c r="M64" s="7">
        <f>'1 datos preparados'!L57</f>
        <v/>
      </c>
      <c r="N64" s="7">
        <f>'1 datos preparados'!M57</f>
        <v/>
      </c>
      <c r="O64" s="7">
        <f>'1 datos preparados'!N57</f>
        <v/>
      </c>
      <c r="P64" s="7">
        <f>'1 datos preparados'!O57</f>
        <v/>
      </c>
      <c r="Q64" s="7">
        <f>'1 datos preparados'!P57</f>
        <v/>
      </c>
      <c r="R64" s="7">
        <f>'1 datos preparados'!Q57</f>
        <v/>
      </c>
      <c r="S64" s="7">
        <f>'1 datos preparados'!R57</f>
        <v/>
      </c>
      <c r="T64" s="7">
        <f>'1 datos preparados'!S57</f>
        <v/>
      </c>
      <c r="U64" s="7">
        <f>'1 datos preparados'!T57</f>
        <v/>
      </c>
      <c r="V64" s="8">
        <f>$AE$12+D64*$AE$13+E64*$AE$14+F64*$AE$15+G64*$AE$16+H64*$AE$17+I64*$AE$18+J64*$AE$19+K64*$AE$20+L64*$AE$21+M64*$AE$22+N64*$AE$23+O64*$AE$24+P64*$AE$25+Q64*$AE$26+R64*$AE$27+S64*$AE$28+T64*$AE$29+U64*$AE$30</f>
        <v/>
      </c>
      <c r="W64" s="8">
        <f>1/(1+EXP(-V64))</f>
        <v/>
      </c>
      <c r="X64" s="9">
        <f>-IF(C64=1,LN(W64),LN(1-W64))</f>
        <v/>
      </c>
      <c r="Y64" s="8">
        <f>'1 datos preparados'!V57</f>
        <v/>
      </c>
      <c r="Z64" s="9">
        <f>Y64*X64</f>
        <v/>
      </c>
      <c r="AA64" s="10">
        <f>IF(W64&gt;$AE$33,1,0)</f>
        <v/>
      </c>
      <c r="AB64">
        <f>IF(AA64=C64,1,0)</f>
        <v/>
      </c>
    </row>
    <row r="65">
      <c r="A65">
        <f>'1 datos preparados'!A58</f>
        <v/>
      </c>
      <c r="B65" s="5">
        <f>'1 datos preparados'!U58</f>
        <v/>
      </c>
      <c r="C65">
        <f>'1 datos preparados'!B58</f>
        <v/>
      </c>
      <c r="D65" s="7">
        <f>'1 datos preparados'!C58</f>
        <v/>
      </c>
      <c r="E65" s="7">
        <f>'1 datos preparados'!D58</f>
        <v/>
      </c>
      <c r="F65" s="7">
        <f>'1 datos preparados'!E58</f>
        <v/>
      </c>
      <c r="G65" s="7">
        <f>'1 datos preparados'!F58</f>
        <v/>
      </c>
      <c r="H65" s="7">
        <f>'1 datos preparados'!G58</f>
        <v/>
      </c>
      <c r="I65" s="7">
        <f>'1 datos preparados'!H58</f>
        <v/>
      </c>
      <c r="J65" s="7">
        <f>'1 datos preparados'!I58</f>
        <v/>
      </c>
      <c r="K65" s="7">
        <f>'1 datos preparados'!J58</f>
        <v/>
      </c>
      <c r="L65" s="7">
        <f>'1 datos preparados'!K58</f>
        <v/>
      </c>
      <c r="M65" s="7">
        <f>'1 datos preparados'!L58</f>
        <v/>
      </c>
      <c r="N65" s="7">
        <f>'1 datos preparados'!M58</f>
        <v/>
      </c>
      <c r="O65" s="7">
        <f>'1 datos preparados'!N58</f>
        <v/>
      </c>
      <c r="P65" s="7">
        <f>'1 datos preparados'!O58</f>
        <v/>
      </c>
      <c r="Q65" s="7">
        <f>'1 datos preparados'!P58</f>
        <v/>
      </c>
      <c r="R65" s="7">
        <f>'1 datos preparados'!Q58</f>
        <v/>
      </c>
      <c r="S65" s="7">
        <f>'1 datos preparados'!R58</f>
        <v/>
      </c>
      <c r="T65" s="7">
        <f>'1 datos preparados'!S58</f>
        <v/>
      </c>
      <c r="U65" s="7">
        <f>'1 datos preparados'!T58</f>
        <v/>
      </c>
      <c r="V65" s="8">
        <f>$AE$12+D65*$AE$13+E65*$AE$14+F65*$AE$15+G65*$AE$16+H65*$AE$17+I65*$AE$18+J65*$AE$19+K65*$AE$20+L65*$AE$21+M65*$AE$22+N65*$AE$23+O65*$AE$24+P65*$AE$25+Q65*$AE$26+R65*$AE$27+S65*$AE$28+T65*$AE$29+U65*$AE$30</f>
        <v/>
      </c>
      <c r="W65" s="8">
        <f>1/(1+EXP(-V65))</f>
        <v/>
      </c>
      <c r="X65" s="9">
        <f>-IF(C65=1,LN(W65),LN(1-W65))</f>
        <v/>
      </c>
      <c r="Y65" s="8">
        <f>'1 datos preparados'!V58</f>
        <v/>
      </c>
      <c r="Z65" s="9">
        <f>Y65*X65</f>
        <v/>
      </c>
      <c r="AA65" s="10">
        <f>IF(W65&gt;$AE$33,1,0)</f>
        <v/>
      </c>
      <c r="AB65">
        <f>IF(AA65=C65,1,0)</f>
        <v/>
      </c>
    </row>
    <row r="66">
      <c r="A66">
        <f>'1 datos preparados'!A59</f>
        <v/>
      </c>
      <c r="B66" s="5">
        <f>'1 datos preparados'!U59</f>
        <v/>
      </c>
      <c r="C66">
        <f>'1 datos preparados'!B59</f>
        <v/>
      </c>
      <c r="D66" s="7">
        <f>'1 datos preparados'!C59</f>
        <v/>
      </c>
      <c r="E66" s="7">
        <f>'1 datos preparados'!D59</f>
        <v/>
      </c>
      <c r="F66" s="7">
        <f>'1 datos preparados'!E59</f>
        <v/>
      </c>
      <c r="G66" s="7">
        <f>'1 datos preparados'!F59</f>
        <v/>
      </c>
      <c r="H66" s="7">
        <f>'1 datos preparados'!G59</f>
        <v/>
      </c>
      <c r="I66" s="7">
        <f>'1 datos preparados'!H59</f>
        <v/>
      </c>
      <c r="J66" s="7">
        <f>'1 datos preparados'!I59</f>
        <v/>
      </c>
      <c r="K66" s="7">
        <f>'1 datos preparados'!J59</f>
        <v/>
      </c>
      <c r="L66" s="7">
        <f>'1 datos preparados'!K59</f>
        <v/>
      </c>
      <c r="M66" s="7">
        <f>'1 datos preparados'!L59</f>
        <v/>
      </c>
      <c r="N66" s="7">
        <f>'1 datos preparados'!M59</f>
        <v/>
      </c>
      <c r="O66" s="7">
        <f>'1 datos preparados'!N59</f>
        <v/>
      </c>
      <c r="P66" s="7">
        <f>'1 datos preparados'!O59</f>
        <v/>
      </c>
      <c r="Q66" s="7">
        <f>'1 datos preparados'!P59</f>
        <v/>
      </c>
      <c r="R66" s="7">
        <f>'1 datos preparados'!Q59</f>
        <v/>
      </c>
      <c r="S66" s="7">
        <f>'1 datos preparados'!R59</f>
        <v/>
      </c>
      <c r="T66" s="7">
        <f>'1 datos preparados'!S59</f>
        <v/>
      </c>
      <c r="U66" s="7">
        <f>'1 datos preparados'!T59</f>
        <v/>
      </c>
      <c r="V66" s="8">
        <f>$AE$12+D66*$AE$13+E66*$AE$14+F66*$AE$15+G66*$AE$16+H66*$AE$17+I66*$AE$18+J66*$AE$19+K66*$AE$20+L66*$AE$21+M66*$AE$22+N66*$AE$23+O66*$AE$24+P66*$AE$25+Q66*$AE$26+R66*$AE$27+S66*$AE$28+T66*$AE$29+U66*$AE$30</f>
        <v/>
      </c>
      <c r="W66" s="8">
        <f>1/(1+EXP(-V66))</f>
        <v/>
      </c>
      <c r="X66" s="9">
        <f>-IF(C66=1,LN(W66),LN(1-W66))</f>
        <v/>
      </c>
      <c r="Y66" s="8">
        <f>'1 datos preparados'!V59</f>
        <v/>
      </c>
      <c r="Z66" s="9">
        <f>Y66*X66</f>
        <v/>
      </c>
      <c r="AA66" s="10">
        <f>IF(W66&gt;$AE$33,1,0)</f>
        <v/>
      </c>
      <c r="AB66">
        <f>IF(AA66=C66,1,0)</f>
        <v/>
      </c>
    </row>
    <row r="67">
      <c r="A67">
        <f>'1 datos preparados'!A60</f>
        <v/>
      </c>
      <c r="B67" s="5">
        <f>'1 datos preparados'!U60</f>
        <v/>
      </c>
      <c r="C67">
        <f>'1 datos preparados'!B60</f>
        <v/>
      </c>
      <c r="D67" s="7">
        <f>'1 datos preparados'!C60</f>
        <v/>
      </c>
      <c r="E67" s="7">
        <f>'1 datos preparados'!D60</f>
        <v/>
      </c>
      <c r="F67" s="7">
        <f>'1 datos preparados'!E60</f>
        <v/>
      </c>
      <c r="G67" s="7">
        <f>'1 datos preparados'!F60</f>
        <v/>
      </c>
      <c r="H67" s="7">
        <f>'1 datos preparados'!G60</f>
        <v/>
      </c>
      <c r="I67" s="7">
        <f>'1 datos preparados'!H60</f>
        <v/>
      </c>
      <c r="J67" s="7">
        <f>'1 datos preparados'!I60</f>
        <v/>
      </c>
      <c r="K67" s="7">
        <f>'1 datos preparados'!J60</f>
        <v/>
      </c>
      <c r="L67" s="7">
        <f>'1 datos preparados'!K60</f>
        <v/>
      </c>
      <c r="M67" s="7">
        <f>'1 datos preparados'!L60</f>
        <v/>
      </c>
      <c r="N67" s="7">
        <f>'1 datos preparados'!M60</f>
        <v/>
      </c>
      <c r="O67" s="7">
        <f>'1 datos preparados'!N60</f>
        <v/>
      </c>
      <c r="P67" s="7">
        <f>'1 datos preparados'!O60</f>
        <v/>
      </c>
      <c r="Q67" s="7">
        <f>'1 datos preparados'!P60</f>
        <v/>
      </c>
      <c r="R67" s="7">
        <f>'1 datos preparados'!Q60</f>
        <v/>
      </c>
      <c r="S67" s="7">
        <f>'1 datos preparados'!R60</f>
        <v/>
      </c>
      <c r="T67" s="7">
        <f>'1 datos preparados'!S60</f>
        <v/>
      </c>
      <c r="U67" s="7">
        <f>'1 datos preparados'!T60</f>
        <v/>
      </c>
      <c r="V67" s="8">
        <f>$AE$12+D67*$AE$13+E67*$AE$14+F67*$AE$15+G67*$AE$16+H67*$AE$17+I67*$AE$18+J67*$AE$19+K67*$AE$20+L67*$AE$21+M67*$AE$22+N67*$AE$23+O67*$AE$24+P67*$AE$25+Q67*$AE$26+R67*$AE$27+S67*$AE$28+T67*$AE$29+U67*$AE$30</f>
        <v/>
      </c>
      <c r="W67" s="8">
        <f>1/(1+EXP(-V67))</f>
        <v/>
      </c>
      <c r="X67" s="9">
        <f>-IF(C67=1,LN(W67),LN(1-W67))</f>
        <v/>
      </c>
      <c r="Y67" s="8">
        <f>'1 datos preparados'!V60</f>
        <v/>
      </c>
      <c r="Z67" s="9">
        <f>Y67*X67</f>
        <v/>
      </c>
      <c r="AA67" s="10">
        <f>IF(W67&gt;$AE$33,1,0)</f>
        <v/>
      </c>
      <c r="AB67">
        <f>IF(AA67=C67,1,0)</f>
        <v/>
      </c>
    </row>
    <row r="68">
      <c r="A68">
        <f>'1 datos preparados'!A61</f>
        <v/>
      </c>
      <c r="B68" s="5">
        <f>'1 datos preparados'!U61</f>
        <v/>
      </c>
      <c r="C68">
        <f>'1 datos preparados'!B61</f>
        <v/>
      </c>
      <c r="D68" s="7">
        <f>'1 datos preparados'!C61</f>
        <v/>
      </c>
      <c r="E68" s="7">
        <f>'1 datos preparados'!D61</f>
        <v/>
      </c>
      <c r="F68" s="7">
        <f>'1 datos preparados'!E61</f>
        <v/>
      </c>
      <c r="G68" s="7">
        <f>'1 datos preparados'!F61</f>
        <v/>
      </c>
      <c r="H68" s="7">
        <f>'1 datos preparados'!G61</f>
        <v/>
      </c>
      <c r="I68" s="7">
        <f>'1 datos preparados'!H61</f>
        <v/>
      </c>
      <c r="J68" s="7">
        <f>'1 datos preparados'!I61</f>
        <v/>
      </c>
      <c r="K68" s="7">
        <f>'1 datos preparados'!J61</f>
        <v/>
      </c>
      <c r="L68" s="7">
        <f>'1 datos preparados'!K61</f>
        <v/>
      </c>
      <c r="M68" s="7">
        <f>'1 datos preparados'!L61</f>
        <v/>
      </c>
      <c r="N68" s="7">
        <f>'1 datos preparados'!M61</f>
        <v/>
      </c>
      <c r="O68" s="7">
        <f>'1 datos preparados'!N61</f>
        <v/>
      </c>
      <c r="P68" s="7">
        <f>'1 datos preparados'!O61</f>
        <v/>
      </c>
      <c r="Q68" s="7">
        <f>'1 datos preparados'!P61</f>
        <v/>
      </c>
      <c r="R68" s="7">
        <f>'1 datos preparados'!Q61</f>
        <v/>
      </c>
      <c r="S68" s="7">
        <f>'1 datos preparados'!R61</f>
        <v/>
      </c>
      <c r="T68" s="7">
        <f>'1 datos preparados'!S61</f>
        <v/>
      </c>
      <c r="U68" s="7">
        <f>'1 datos preparados'!T61</f>
        <v/>
      </c>
      <c r="V68" s="8">
        <f>$AE$12+D68*$AE$13+E68*$AE$14+F68*$AE$15+G68*$AE$16+H68*$AE$17+I68*$AE$18+J68*$AE$19+K68*$AE$20+L68*$AE$21+M68*$AE$22+N68*$AE$23+O68*$AE$24+P68*$AE$25+Q68*$AE$26+R68*$AE$27+S68*$AE$28+T68*$AE$29+U68*$AE$30</f>
        <v/>
      </c>
      <c r="W68" s="8">
        <f>1/(1+EXP(-V68))</f>
        <v/>
      </c>
      <c r="X68" s="9">
        <f>-IF(C68=1,LN(W68),LN(1-W68))</f>
        <v/>
      </c>
      <c r="Y68" s="8">
        <f>'1 datos preparados'!V61</f>
        <v/>
      </c>
      <c r="Z68" s="9">
        <f>Y68*X68</f>
        <v/>
      </c>
      <c r="AA68" s="10">
        <f>IF(W68&gt;$AE$33,1,0)</f>
        <v/>
      </c>
      <c r="AB68">
        <f>IF(AA68=C68,1,0)</f>
        <v/>
      </c>
    </row>
    <row r="69">
      <c r="A69">
        <f>'1 datos preparados'!A62</f>
        <v/>
      </c>
      <c r="B69" s="5">
        <f>'1 datos preparados'!U62</f>
        <v/>
      </c>
      <c r="C69">
        <f>'1 datos preparados'!B62</f>
        <v/>
      </c>
      <c r="D69" s="7">
        <f>'1 datos preparados'!C62</f>
        <v/>
      </c>
      <c r="E69" s="7">
        <f>'1 datos preparados'!D62</f>
        <v/>
      </c>
      <c r="F69" s="7">
        <f>'1 datos preparados'!E62</f>
        <v/>
      </c>
      <c r="G69" s="7">
        <f>'1 datos preparados'!F62</f>
        <v/>
      </c>
      <c r="H69" s="7">
        <f>'1 datos preparados'!G62</f>
        <v/>
      </c>
      <c r="I69" s="7">
        <f>'1 datos preparados'!H62</f>
        <v/>
      </c>
      <c r="J69" s="7">
        <f>'1 datos preparados'!I62</f>
        <v/>
      </c>
      <c r="K69" s="7">
        <f>'1 datos preparados'!J62</f>
        <v/>
      </c>
      <c r="L69" s="7">
        <f>'1 datos preparados'!K62</f>
        <v/>
      </c>
      <c r="M69" s="7">
        <f>'1 datos preparados'!L62</f>
        <v/>
      </c>
      <c r="N69" s="7">
        <f>'1 datos preparados'!M62</f>
        <v/>
      </c>
      <c r="O69" s="7">
        <f>'1 datos preparados'!N62</f>
        <v/>
      </c>
      <c r="P69" s="7">
        <f>'1 datos preparados'!O62</f>
        <v/>
      </c>
      <c r="Q69" s="7">
        <f>'1 datos preparados'!P62</f>
        <v/>
      </c>
      <c r="R69" s="7">
        <f>'1 datos preparados'!Q62</f>
        <v/>
      </c>
      <c r="S69" s="7">
        <f>'1 datos preparados'!R62</f>
        <v/>
      </c>
      <c r="T69" s="7">
        <f>'1 datos preparados'!S62</f>
        <v/>
      </c>
      <c r="U69" s="7">
        <f>'1 datos preparados'!T62</f>
        <v/>
      </c>
      <c r="V69" s="8">
        <f>$AE$12+D69*$AE$13+E69*$AE$14+F69*$AE$15+G69*$AE$16+H69*$AE$17+I69*$AE$18+J69*$AE$19+K69*$AE$20+L69*$AE$21+M69*$AE$22+N69*$AE$23+O69*$AE$24+P69*$AE$25+Q69*$AE$26+R69*$AE$27+S69*$AE$28+T69*$AE$29+U69*$AE$30</f>
        <v/>
      </c>
      <c r="W69" s="8">
        <f>1/(1+EXP(-V69))</f>
        <v/>
      </c>
      <c r="X69" s="9">
        <f>-IF(C69=1,LN(W69),LN(1-W69))</f>
        <v/>
      </c>
      <c r="Y69" s="8">
        <f>'1 datos preparados'!V62</f>
        <v/>
      </c>
      <c r="Z69" s="9">
        <f>Y69*X69</f>
        <v/>
      </c>
      <c r="AA69" s="10">
        <f>IF(W69&gt;$AE$33,1,0)</f>
        <v/>
      </c>
      <c r="AB69">
        <f>IF(AA69=C69,1,0)</f>
        <v/>
      </c>
    </row>
    <row r="70">
      <c r="A70">
        <f>'1 datos preparados'!A63</f>
        <v/>
      </c>
      <c r="B70" s="5">
        <f>'1 datos preparados'!U63</f>
        <v/>
      </c>
      <c r="C70">
        <f>'1 datos preparados'!B63</f>
        <v/>
      </c>
      <c r="D70" s="7">
        <f>'1 datos preparados'!C63</f>
        <v/>
      </c>
      <c r="E70" s="7">
        <f>'1 datos preparados'!D63</f>
        <v/>
      </c>
      <c r="F70" s="7">
        <f>'1 datos preparados'!E63</f>
        <v/>
      </c>
      <c r="G70" s="7">
        <f>'1 datos preparados'!F63</f>
        <v/>
      </c>
      <c r="H70" s="7">
        <f>'1 datos preparados'!G63</f>
        <v/>
      </c>
      <c r="I70" s="7">
        <f>'1 datos preparados'!H63</f>
        <v/>
      </c>
      <c r="J70" s="7">
        <f>'1 datos preparados'!I63</f>
        <v/>
      </c>
      <c r="K70" s="7">
        <f>'1 datos preparados'!J63</f>
        <v/>
      </c>
      <c r="L70" s="7">
        <f>'1 datos preparados'!K63</f>
        <v/>
      </c>
      <c r="M70" s="7">
        <f>'1 datos preparados'!L63</f>
        <v/>
      </c>
      <c r="N70" s="7">
        <f>'1 datos preparados'!M63</f>
        <v/>
      </c>
      <c r="O70" s="7">
        <f>'1 datos preparados'!N63</f>
        <v/>
      </c>
      <c r="P70" s="7">
        <f>'1 datos preparados'!O63</f>
        <v/>
      </c>
      <c r="Q70" s="7">
        <f>'1 datos preparados'!P63</f>
        <v/>
      </c>
      <c r="R70" s="7">
        <f>'1 datos preparados'!Q63</f>
        <v/>
      </c>
      <c r="S70" s="7">
        <f>'1 datos preparados'!R63</f>
        <v/>
      </c>
      <c r="T70" s="7">
        <f>'1 datos preparados'!S63</f>
        <v/>
      </c>
      <c r="U70" s="7">
        <f>'1 datos preparados'!T63</f>
        <v/>
      </c>
      <c r="V70" s="8">
        <f>$AE$12+D70*$AE$13+E70*$AE$14+F70*$AE$15+G70*$AE$16+H70*$AE$17+I70*$AE$18+J70*$AE$19+K70*$AE$20+L70*$AE$21+M70*$AE$22+N70*$AE$23+O70*$AE$24+P70*$AE$25+Q70*$AE$26+R70*$AE$27+S70*$AE$28+T70*$AE$29+U70*$AE$30</f>
        <v/>
      </c>
      <c r="W70" s="8">
        <f>1/(1+EXP(-V70))</f>
        <v/>
      </c>
      <c r="X70" s="9">
        <f>-IF(C70=1,LN(W70),LN(1-W70))</f>
        <v/>
      </c>
      <c r="Y70" s="8">
        <f>'1 datos preparados'!V63</f>
        <v/>
      </c>
      <c r="Z70" s="9">
        <f>Y70*X70</f>
        <v/>
      </c>
      <c r="AA70" s="10">
        <f>IF(W70&gt;$AE$33,1,0)</f>
        <v/>
      </c>
      <c r="AB70">
        <f>IF(AA70=C70,1,0)</f>
        <v/>
      </c>
    </row>
    <row r="71">
      <c r="A71">
        <f>'1 datos preparados'!A64</f>
        <v/>
      </c>
      <c r="B71" s="5">
        <f>'1 datos preparados'!U64</f>
        <v/>
      </c>
      <c r="C71">
        <f>'1 datos preparados'!B64</f>
        <v/>
      </c>
      <c r="D71" s="7">
        <f>'1 datos preparados'!C64</f>
        <v/>
      </c>
      <c r="E71" s="7">
        <f>'1 datos preparados'!D64</f>
        <v/>
      </c>
      <c r="F71" s="7">
        <f>'1 datos preparados'!E64</f>
        <v/>
      </c>
      <c r="G71" s="7">
        <f>'1 datos preparados'!F64</f>
        <v/>
      </c>
      <c r="H71" s="7">
        <f>'1 datos preparados'!G64</f>
        <v/>
      </c>
      <c r="I71" s="7">
        <f>'1 datos preparados'!H64</f>
        <v/>
      </c>
      <c r="J71" s="7">
        <f>'1 datos preparados'!I64</f>
        <v/>
      </c>
      <c r="K71" s="7">
        <f>'1 datos preparados'!J64</f>
        <v/>
      </c>
      <c r="L71" s="7">
        <f>'1 datos preparados'!K64</f>
        <v/>
      </c>
      <c r="M71" s="7">
        <f>'1 datos preparados'!L64</f>
        <v/>
      </c>
      <c r="N71" s="7">
        <f>'1 datos preparados'!M64</f>
        <v/>
      </c>
      <c r="O71" s="7">
        <f>'1 datos preparados'!N64</f>
        <v/>
      </c>
      <c r="P71" s="7">
        <f>'1 datos preparados'!O64</f>
        <v/>
      </c>
      <c r="Q71" s="7">
        <f>'1 datos preparados'!P64</f>
        <v/>
      </c>
      <c r="R71" s="7">
        <f>'1 datos preparados'!Q64</f>
        <v/>
      </c>
      <c r="S71" s="7">
        <f>'1 datos preparados'!R64</f>
        <v/>
      </c>
      <c r="T71" s="7">
        <f>'1 datos preparados'!S64</f>
        <v/>
      </c>
      <c r="U71" s="7">
        <f>'1 datos preparados'!T64</f>
        <v/>
      </c>
      <c r="V71" s="8">
        <f>$AE$12+D71*$AE$13+E71*$AE$14+F71*$AE$15+G71*$AE$16+H71*$AE$17+I71*$AE$18+J71*$AE$19+K71*$AE$20+L71*$AE$21+M71*$AE$22+N71*$AE$23+O71*$AE$24+P71*$AE$25+Q71*$AE$26+R71*$AE$27+S71*$AE$28+T71*$AE$29+U71*$AE$30</f>
        <v/>
      </c>
      <c r="W71" s="8">
        <f>1/(1+EXP(-V71))</f>
        <v/>
      </c>
      <c r="X71" s="9">
        <f>-IF(C71=1,LN(W71),LN(1-W71))</f>
        <v/>
      </c>
      <c r="Y71" s="8">
        <f>'1 datos preparados'!V64</f>
        <v/>
      </c>
      <c r="Z71" s="9">
        <f>Y71*X71</f>
        <v/>
      </c>
      <c r="AA71" s="10">
        <f>IF(W71&gt;$AE$33,1,0)</f>
        <v/>
      </c>
      <c r="AB71">
        <f>IF(AA71=C71,1,0)</f>
        <v/>
      </c>
    </row>
    <row r="72">
      <c r="A72">
        <f>'1 datos preparados'!A65</f>
        <v/>
      </c>
      <c r="B72" s="5">
        <f>'1 datos preparados'!U65</f>
        <v/>
      </c>
      <c r="C72">
        <f>'1 datos preparados'!B65</f>
        <v/>
      </c>
      <c r="D72" s="7">
        <f>'1 datos preparados'!C65</f>
        <v/>
      </c>
      <c r="E72" s="7">
        <f>'1 datos preparados'!D65</f>
        <v/>
      </c>
      <c r="F72" s="7">
        <f>'1 datos preparados'!E65</f>
        <v/>
      </c>
      <c r="G72" s="7">
        <f>'1 datos preparados'!F65</f>
        <v/>
      </c>
      <c r="H72" s="7">
        <f>'1 datos preparados'!G65</f>
        <v/>
      </c>
      <c r="I72" s="7">
        <f>'1 datos preparados'!H65</f>
        <v/>
      </c>
      <c r="J72" s="7">
        <f>'1 datos preparados'!I65</f>
        <v/>
      </c>
      <c r="K72" s="7">
        <f>'1 datos preparados'!J65</f>
        <v/>
      </c>
      <c r="L72" s="7">
        <f>'1 datos preparados'!K65</f>
        <v/>
      </c>
      <c r="M72" s="7">
        <f>'1 datos preparados'!L65</f>
        <v/>
      </c>
      <c r="N72" s="7">
        <f>'1 datos preparados'!M65</f>
        <v/>
      </c>
      <c r="O72" s="7">
        <f>'1 datos preparados'!N65</f>
        <v/>
      </c>
      <c r="P72" s="7">
        <f>'1 datos preparados'!O65</f>
        <v/>
      </c>
      <c r="Q72" s="7">
        <f>'1 datos preparados'!P65</f>
        <v/>
      </c>
      <c r="R72" s="7">
        <f>'1 datos preparados'!Q65</f>
        <v/>
      </c>
      <c r="S72" s="7">
        <f>'1 datos preparados'!R65</f>
        <v/>
      </c>
      <c r="T72" s="7">
        <f>'1 datos preparados'!S65</f>
        <v/>
      </c>
      <c r="U72" s="7">
        <f>'1 datos preparados'!T65</f>
        <v/>
      </c>
      <c r="V72" s="8">
        <f>$AE$12+D72*$AE$13+E72*$AE$14+F72*$AE$15+G72*$AE$16+H72*$AE$17+I72*$AE$18+J72*$AE$19+K72*$AE$20+L72*$AE$21+M72*$AE$22+N72*$AE$23+O72*$AE$24+P72*$AE$25+Q72*$AE$26+R72*$AE$27+S72*$AE$28+T72*$AE$29+U72*$AE$30</f>
        <v/>
      </c>
      <c r="W72" s="8">
        <f>1/(1+EXP(-V72))</f>
        <v/>
      </c>
      <c r="X72" s="9">
        <f>-IF(C72=1,LN(W72),LN(1-W72))</f>
        <v/>
      </c>
      <c r="Y72" s="8">
        <f>'1 datos preparados'!V65</f>
        <v/>
      </c>
      <c r="Z72" s="9">
        <f>Y72*X72</f>
        <v/>
      </c>
      <c r="AA72" s="10">
        <f>IF(W72&gt;$AE$33,1,0)</f>
        <v/>
      </c>
      <c r="AB72">
        <f>IF(AA72=C72,1,0)</f>
        <v/>
      </c>
    </row>
    <row r="73">
      <c r="A73">
        <f>'1 datos preparados'!A66</f>
        <v/>
      </c>
      <c r="B73" s="5">
        <f>'1 datos preparados'!U66</f>
        <v/>
      </c>
      <c r="C73">
        <f>'1 datos preparados'!B66</f>
        <v/>
      </c>
      <c r="D73" s="7">
        <f>'1 datos preparados'!C66</f>
        <v/>
      </c>
      <c r="E73" s="7">
        <f>'1 datos preparados'!D66</f>
        <v/>
      </c>
      <c r="F73" s="7">
        <f>'1 datos preparados'!E66</f>
        <v/>
      </c>
      <c r="G73" s="7">
        <f>'1 datos preparados'!F66</f>
        <v/>
      </c>
      <c r="H73" s="7">
        <f>'1 datos preparados'!G66</f>
        <v/>
      </c>
      <c r="I73" s="7">
        <f>'1 datos preparados'!H66</f>
        <v/>
      </c>
      <c r="J73" s="7">
        <f>'1 datos preparados'!I66</f>
        <v/>
      </c>
      <c r="K73" s="7">
        <f>'1 datos preparados'!J66</f>
        <v/>
      </c>
      <c r="L73" s="7">
        <f>'1 datos preparados'!K66</f>
        <v/>
      </c>
      <c r="M73" s="7">
        <f>'1 datos preparados'!L66</f>
        <v/>
      </c>
      <c r="N73" s="7">
        <f>'1 datos preparados'!M66</f>
        <v/>
      </c>
      <c r="O73" s="7">
        <f>'1 datos preparados'!N66</f>
        <v/>
      </c>
      <c r="P73" s="7">
        <f>'1 datos preparados'!O66</f>
        <v/>
      </c>
      <c r="Q73" s="7">
        <f>'1 datos preparados'!P66</f>
        <v/>
      </c>
      <c r="R73" s="7">
        <f>'1 datos preparados'!Q66</f>
        <v/>
      </c>
      <c r="S73" s="7">
        <f>'1 datos preparados'!R66</f>
        <v/>
      </c>
      <c r="T73" s="7">
        <f>'1 datos preparados'!S66</f>
        <v/>
      </c>
      <c r="U73" s="7">
        <f>'1 datos preparados'!T66</f>
        <v/>
      </c>
      <c r="V73" s="8">
        <f>$AE$12+D73*$AE$13+E73*$AE$14+F73*$AE$15+G73*$AE$16+H73*$AE$17+I73*$AE$18+J73*$AE$19+K73*$AE$20+L73*$AE$21+M73*$AE$22+N73*$AE$23+O73*$AE$24+P73*$AE$25+Q73*$AE$26+R73*$AE$27+S73*$AE$28+T73*$AE$29+U73*$AE$30</f>
        <v/>
      </c>
      <c r="W73" s="8">
        <f>1/(1+EXP(-V73))</f>
        <v/>
      </c>
      <c r="X73" s="9">
        <f>-IF(C73=1,LN(W73),LN(1-W73))</f>
        <v/>
      </c>
      <c r="Y73" s="8">
        <f>'1 datos preparados'!V66</f>
        <v/>
      </c>
      <c r="Z73" s="9">
        <f>Y73*X73</f>
        <v/>
      </c>
      <c r="AA73" s="10">
        <f>IF(W73&gt;$AE$33,1,0)</f>
        <v/>
      </c>
      <c r="AB73">
        <f>IF(AA73=C73,1,0)</f>
        <v/>
      </c>
    </row>
    <row r="74">
      <c r="A74">
        <f>'1 datos preparados'!A67</f>
        <v/>
      </c>
      <c r="B74" s="5">
        <f>'1 datos preparados'!U67</f>
        <v/>
      </c>
      <c r="C74">
        <f>'1 datos preparados'!B67</f>
        <v/>
      </c>
      <c r="D74" s="7">
        <f>'1 datos preparados'!C67</f>
        <v/>
      </c>
      <c r="E74" s="7">
        <f>'1 datos preparados'!D67</f>
        <v/>
      </c>
      <c r="F74" s="7">
        <f>'1 datos preparados'!E67</f>
        <v/>
      </c>
      <c r="G74" s="7">
        <f>'1 datos preparados'!F67</f>
        <v/>
      </c>
      <c r="H74" s="7">
        <f>'1 datos preparados'!G67</f>
        <v/>
      </c>
      <c r="I74" s="7">
        <f>'1 datos preparados'!H67</f>
        <v/>
      </c>
      <c r="J74" s="7">
        <f>'1 datos preparados'!I67</f>
        <v/>
      </c>
      <c r="K74" s="7">
        <f>'1 datos preparados'!J67</f>
        <v/>
      </c>
      <c r="L74" s="7">
        <f>'1 datos preparados'!K67</f>
        <v/>
      </c>
      <c r="M74" s="7">
        <f>'1 datos preparados'!L67</f>
        <v/>
      </c>
      <c r="N74" s="7">
        <f>'1 datos preparados'!M67</f>
        <v/>
      </c>
      <c r="O74" s="7">
        <f>'1 datos preparados'!N67</f>
        <v/>
      </c>
      <c r="P74" s="7">
        <f>'1 datos preparados'!O67</f>
        <v/>
      </c>
      <c r="Q74" s="7">
        <f>'1 datos preparados'!P67</f>
        <v/>
      </c>
      <c r="R74" s="7">
        <f>'1 datos preparados'!Q67</f>
        <v/>
      </c>
      <c r="S74" s="7">
        <f>'1 datos preparados'!R67</f>
        <v/>
      </c>
      <c r="T74" s="7">
        <f>'1 datos preparados'!S67</f>
        <v/>
      </c>
      <c r="U74" s="7">
        <f>'1 datos preparados'!T67</f>
        <v/>
      </c>
      <c r="V74" s="8">
        <f>$AE$12+D74*$AE$13+E74*$AE$14+F74*$AE$15+G74*$AE$16+H74*$AE$17+I74*$AE$18+J74*$AE$19+K74*$AE$20+L74*$AE$21+M74*$AE$22+N74*$AE$23+O74*$AE$24+P74*$AE$25+Q74*$AE$26+R74*$AE$27+S74*$AE$28+T74*$AE$29+U74*$AE$30</f>
        <v/>
      </c>
      <c r="W74" s="8">
        <f>1/(1+EXP(-V74))</f>
        <v/>
      </c>
      <c r="X74" s="9">
        <f>-IF(C74=1,LN(W74),LN(1-W74))</f>
        <v/>
      </c>
      <c r="Y74" s="8">
        <f>'1 datos preparados'!V67</f>
        <v/>
      </c>
      <c r="Z74" s="9">
        <f>Y74*X74</f>
        <v/>
      </c>
      <c r="AA74" s="10">
        <f>IF(W74&gt;$AE$33,1,0)</f>
        <v/>
      </c>
      <c r="AB74">
        <f>IF(AA74=C74,1,0)</f>
        <v/>
      </c>
    </row>
    <row r="75">
      <c r="A75">
        <f>'1 datos preparados'!A68</f>
        <v/>
      </c>
      <c r="B75" s="5">
        <f>'1 datos preparados'!U68</f>
        <v/>
      </c>
      <c r="C75">
        <f>'1 datos preparados'!B68</f>
        <v/>
      </c>
      <c r="D75" s="7">
        <f>'1 datos preparados'!C68</f>
        <v/>
      </c>
      <c r="E75" s="7">
        <f>'1 datos preparados'!D68</f>
        <v/>
      </c>
      <c r="F75" s="7">
        <f>'1 datos preparados'!E68</f>
        <v/>
      </c>
      <c r="G75" s="7">
        <f>'1 datos preparados'!F68</f>
        <v/>
      </c>
      <c r="H75" s="7">
        <f>'1 datos preparados'!G68</f>
        <v/>
      </c>
      <c r="I75" s="7">
        <f>'1 datos preparados'!H68</f>
        <v/>
      </c>
      <c r="J75" s="7">
        <f>'1 datos preparados'!I68</f>
        <v/>
      </c>
      <c r="K75" s="7">
        <f>'1 datos preparados'!J68</f>
        <v/>
      </c>
      <c r="L75" s="7">
        <f>'1 datos preparados'!K68</f>
        <v/>
      </c>
      <c r="M75" s="7">
        <f>'1 datos preparados'!L68</f>
        <v/>
      </c>
      <c r="N75" s="7">
        <f>'1 datos preparados'!M68</f>
        <v/>
      </c>
      <c r="O75" s="7">
        <f>'1 datos preparados'!N68</f>
        <v/>
      </c>
      <c r="P75" s="7">
        <f>'1 datos preparados'!O68</f>
        <v/>
      </c>
      <c r="Q75" s="7">
        <f>'1 datos preparados'!P68</f>
        <v/>
      </c>
      <c r="R75" s="7">
        <f>'1 datos preparados'!Q68</f>
        <v/>
      </c>
      <c r="S75" s="7">
        <f>'1 datos preparados'!R68</f>
        <v/>
      </c>
      <c r="T75" s="7">
        <f>'1 datos preparados'!S68</f>
        <v/>
      </c>
      <c r="U75" s="7">
        <f>'1 datos preparados'!T68</f>
        <v/>
      </c>
      <c r="V75" s="8">
        <f>$AE$12+D75*$AE$13+E75*$AE$14+F75*$AE$15+G75*$AE$16+H75*$AE$17+I75*$AE$18+J75*$AE$19+K75*$AE$20+L75*$AE$21+M75*$AE$22+N75*$AE$23+O75*$AE$24+P75*$AE$25+Q75*$AE$26+R75*$AE$27+S75*$AE$28+T75*$AE$29+U75*$AE$30</f>
        <v/>
      </c>
      <c r="W75" s="8">
        <f>1/(1+EXP(-V75))</f>
        <v/>
      </c>
      <c r="X75" s="9">
        <f>-IF(C75=1,LN(W75),LN(1-W75))</f>
        <v/>
      </c>
      <c r="Y75" s="8">
        <f>'1 datos preparados'!V68</f>
        <v/>
      </c>
      <c r="Z75" s="9">
        <f>Y75*X75</f>
        <v/>
      </c>
      <c r="AA75" s="10">
        <f>IF(W75&gt;$AE$33,1,0)</f>
        <v/>
      </c>
      <c r="AB75">
        <f>IF(AA75=C75,1,0)</f>
        <v/>
      </c>
    </row>
    <row r="76">
      <c r="A76">
        <f>'1 datos preparados'!A69</f>
        <v/>
      </c>
      <c r="B76" s="5">
        <f>'1 datos preparados'!U69</f>
        <v/>
      </c>
      <c r="C76">
        <f>'1 datos preparados'!B69</f>
        <v/>
      </c>
      <c r="D76" s="7">
        <f>'1 datos preparados'!C69</f>
        <v/>
      </c>
      <c r="E76" s="7">
        <f>'1 datos preparados'!D69</f>
        <v/>
      </c>
      <c r="F76" s="7">
        <f>'1 datos preparados'!E69</f>
        <v/>
      </c>
      <c r="G76" s="7">
        <f>'1 datos preparados'!F69</f>
        <v/>
      </c>
      <c r="H76" s="7">
        <f>'1 datos preparados'!G69</f>
        <v/>
      </c>
      <c r="I76" s="7">
        <f>'1 datos preparados'!H69</f>
        <v/>
      </c>
      <c r="J76" s="7">
        <f>'1 datos preparados'!I69</f>
        <v/>
      </c>
      <c r="K76" s="7">
        <f>'1 datos preparados'!J69</f>
        <v/>
      </c>
      <c r="L76" s="7">
        <f>'1 datos preparados'!K69</f>
        <v/>
      </c>
      <c r="M76" s="7">
        <f>'1 datos preparados'!L69</f>
        <v/>
      </c>
      <c r="N76" s="7">
        <f>'1 datos preparados'!M69</f>
        <v/>
      </c>
      <c r="O76" s="7">
        <f>'1 datos preparados'!N69</f>
        <v/>
      </c>
      <c r="P76" s="7">
        <f>'1 datos preparados'!O69</f>
        <v/>
      </c>
      <c r="Q76" s="7">
        <f>'1 datos preparados'!P69</f>
        <v/>
      </c>
      <c r="R76" s="7">
        <f>'1 datos preparados'!Q69</f>
        <v/>
      </c>
      <c r="S76" s="7">
        <f>'1 datos preparados'!R69</f>
        <v/>
      </c>
      <c r="T76" s="7">
        <f>'1 datos preparados'!S69</f>
        <v/>
      </c>
      <c r="U76" s="7">
        <f>'1 datos preparados'!T69</f>
        <v/>
      </c>
      <c r="V76" s="8">
        <f>$AE$12+D76*$AE$13+E76*$AE$14+F76*$AE$15+G76*$AE$16+H76*$AE$17+I76*$AE$18+J76*$AE$19+K76*$AE$20+L76*$AE$21+M76*$AE$22+N76*$AE$23+O76*$AE$24+P76*$AE$25+Q76*$AE$26+R76*$AE$27+S76*$AE$28+T76*$AE$29+U76*$AE$30</f>
        <v/>
      </c>
      <c r="W76" s="8">
        <f>1/(1+EXP(-V76))</f>
        <v/>
      </c>
      <c r="X76" s="9">
        <f>-IF(C76=1,LN(W76),LN(1-W76))</f>
        <v/>
      </c>
      <c r="Y76" s="8">
        <f>'1 datos preparados'!V69</f>
        <v/>
      </c>
      <c r="Z76" s="9">
        <f>Y76*X76</f>
        <v/>
      </c>
      <c r="AA76" s="10">
        <f>IF(W76&gt;$AE$33,1,0)</f>
        <v/>
      </c>
      <c r="AB76">
        <f>IF(AA76=C76,1,0)</f>
        <v/>
      </c>
    </row>
    <row r="77">
      <c r="A77">
        <f>'1 datos preparados'!A70</f>
        <v/>
      </c>
      <c r="B77" s="5">
        <f>'1 datos preparados'!U70</f>
        <v/>
      </c>
      <c r="C77">
        <f>'1 datos preparados'!B70</f>
        <v/>
      </c>
      <c r="D77" s="7">
        <f>'1 datos preparados'!C70</f>
        <v/>
      </c>
      <c r="E77" s="7">
        <f>'1 datos preparados'!D70</f>
        <v/>
      </c>
      <c r="F77" s="7">
        <f>'1 datos preparados'!E70</f>
        <v/>
      </c>
      <c r="G77" s="7">
        <f>'1 datos preparados'!F70</f>
        <v/>
      </c>
      <c r="H77" s="7">
        <f>'1 datos preparados'!G70</f>
        <v/>
      </c>
      <c r="I77" s="7">
        <f>'1 datos preparados'!H70</f>
        <v/>
      </c>
      <c r="J77" s="7">
        <f>'1 datos preparados'!I70</f>
        <v/>
      </c>
      <c r="K77" s="7">
        <f>'1 datos preparados'!J70</f>
        <v/>
      </c>
      <c r="L77" s="7">
        <f>'1 datos preparados'!K70</f>
        <v/>
      </c>
      <c r="M77" s="7">
        <f>'1 datos preparados'!L70</f>
        <v/>
      </c>
      <c r="N77" s="7">
        <f>'1 datos preparados'!M70</f>
        <v/>
      </c>
      <c r="O77" s="7">
        <f>'1 datos preparados'!N70</f>
        <v/>
      </c>
      <c r="P77" s="7">
        <f>'1 datos preparados'!O70</f>
        <v/>
      </c>
      <c r="Q77" s="7">
        <f>'1 datos preparados'!P70</f>
        <v/>
      </c>
      <c r="R77" s="7">
        <f>'1 datos preparados'!Q70</f>
        <v/>
      </c>
      <c r="S77" s="7">
        <f>'1 datos preparados'!R70</f>
        <v/>
      </c>
      <c r="T77" s="7">
        <f>'1 datos preparados'!S70</f>
        <v/>
      </c>
      <c r="U77" s="7">
        <f>'1 datos preparados'!T70</f>
        <v/>
      </c>
      <c r="V77" s="8">
        <f>$AE$12+D77*$AE$13+E77*$AE$14+F77*$AE$15+G77*$AE$16+H77*$AE$17+I77*$AE$18+J77*$AE$19+K77*$AE$20+L77*$AE$21+M77*$AE$22+N77*$AE$23+O77*$AE$24+P77*$AE$25+Q77*$AE$26+R77*$AE$27+S77*$AE$28+T77*$AE$29+U77*$AE$30</f>
        <v/>
      </c>
      <c r="W77" s="8">
        <f>1/(1+EXP(-V77))</f>
        <v/>
      </c>
      <c r="X77" s="9">
        <f>-IF(C77=1,LN(W77),LN(1-W77))</f>
        <v/>
      </c>
      <c r="Y77" s="8">
        <f>'1 datos preparados'!V70</f>
        <v/>
      </c>
      <c r="Z77" s="9">
        <f>Y77*X77</f>
        <v/>
      </c>
      <c r="AA77" s="10">
        <f>IF(W77&gt;$AE$33,1,0)</f>
        <v/>
      </c>
      <c r="AB77">
        <f>IF(AA77=C77,1,0)</f>
        <v/>
      </c>
    </row>
    <row r="78">
      <c r="A78">
        <f>'1 datos preparados'!A71</f>
        <v/>
      </c>
      <c r="B78" s="5">
        <f>'1 datos preparados'!U71</f>
        <v/>
      </c>
      <c r="C78">
        <f>'1 datos preparados'!B71</f>
        <v/>
      </c>
      <c r="D78" s="7">
        <f>'1 datos preparados'!C71</f>
        <v/>
      </c>
      <c r="E78" s="7">
        <f>'1 datos preparados'!D71</f>
        <v/>
      </c>
      <c r="F78" s="7">
        <f>'1 datos preparados'!E71</f>
        <v/>
      </c>
      <c r="G78" s="7">
        <f>'1 datos preparados'!F71</f>
        <v/>
      </c>
      <c r="H78" s="7">
        <f>'1 datos preparados'!G71</f>
        <v/>
      </c>
      <c r="I78" s="7">
        <f>'1 datos preparados'!H71</f>
        <v/>
      </c>
      <c r="J78" s="7">
        <f>'1 datos preparados'!I71</f>
        <v/>
      </c>
      <c r="K78" s="7">
        <f>'1 datos preparados'!J71</f>
        <v/>
      </c>
      <c r="L78" s="7">
        <f>'1 datos preparados'!K71</f>
        <v/>
      </c>
      <c r="M78" s="7">
        <f>'1 datos preparados'!L71</f>
        <v/>
      </c>
      <c r="N78" s="7">
        <f>'1 datos preparados'!M71</f>
        <v/>
      </c>
      <c r="O78" s="7">
        <f>'1 datos preparados'!N71</f>
        <v/>
      </c>
      <c r="P78" s="7">
        <f>'1 datos preparados'!O71</f>
        <v/>
      </c>
      <c r="Q78" s="7">
        <f>'1 datos preparados'!P71</f>
        <v/>
      </c>
      <c r="R78" s="7">
        <f>'1 datos preparados'!Q71</f>
        <v/>
      </c>
      <c r="S78" s="7">
        <f>'1 datos preparados'!R71</f>
        <v/>
      </c>
      <c r="T78" s="7">
        <f>'1 datos preparados'!S71</f>
        <v/>
      </c>
      <c r="U78" s="7">
        <f>'1 datos preparados'!T71</f>
        <v/>
      </c>
      <c r="V78" s="8">
        <f>$AE$12+D78*$AE$13+E78*$AE$14+F78*$AE$15+G78*$AE$16+H78*$AE$17+I78*$AE$18+J78*$AE$19+K78*$AE$20+L78*$AE$21+M78*$AE$22+N78*$AE$23+O78*$AE$24+P78*$AE$25+Q78*$AE$26+R78*$AE$27+S78*$AE$28+T78*$AE$29+U78*$AE$30</f>
        <v/>
      </c>
      <c r="W78" s="8">
        <f>1/(1+EXP(-V78))</f>
        <v/>
      </c>
      <c r="X78" s="9">
        <f>-IF(C78=1,LN(W78),LN(1-W78))</f>
        <v/>
      </c>
      <c r="Y78" s="8">
        <f>'1 datos preparados'!V71</f>
        <v/>
      </c>
      <c r="Z78" s="9">
        <f>Y78*X78</f>
        <v/>
      </c>
      <c r="AA78" s="10">
        <f>IF(W78&gt;$AE$33,1,0)</f>
        <v/>
      </c>
      <c r="AB78">
        <f>IF(AA78=C78,1,0)</f>
        <v/>
      </c>
    </row>
    <row r="79">
      <c r="A79">
        <f>'1 datos preparados'!A72</f>
        <v/>
      </c>
      <c r="B79" s="5">
        <f>'1 datos preparados'!U72</f>
        <v/>
      </c>
      <c r="C79">
        <f>'1 datos preparados'!B72</f>
        <v/>
      </c>
      <c r="D79" s="7">
        <f>'1 datos preparados'!C72</f>
        <v/>
      </c>
      <c r="E79" s="7">
        <f>'1 datos preparados'!D72</f>
        <v/>
      </c>
      <c r="F79" s="7">
        <f>'1 datos preparados'!E72</f>
        <v/>
      </c>
      <c r="G79" s="7">
        <f>'1 datos preparados'!F72</f>
        <v/>
      </c>
      <c r="H79" s="7">
        <f>'1 datos preparados'!G72</f>
        <v/>
      </c>
      <c r="I79" s="7">
        <f>'1 datos preparados'!H72</f>
        <v/>
      </c>
      <c r="J79" s="7">
        <f>'1 datos preparados'!I72</f>
        <v/>
      </c>
      <c r="K79" s="7">
        <f>'1 datos preparados'!J72</f>
        <v/>
      </c>
      <c r="L79" s="7">
        <f>'1 datos preparados'!K72</f>
        <v/>
      </c>
      <c r="M79" s="7">
        <f>'1 datos preparados'!L72</f>
        <v/>
      </c>
      <c r="N79" s="7">
        <f>'1 datos preparados'!M72</f>
        <v/>
      </c>
      <c r="O79" s="7">
        <f>'1 datos preparados'!N72</f>
        <v/>
      </c>
      <c r="P79" s="7">
        <f>'1 datos preparados'!O72</f>
        <v/>
      </c>
      <c r="Q79" s="7">
        <f>'1 datos preparados'!P72</f>
        <v/>
      </c>
      <c r="R79" s="7">
        <f>'1 datos preparados'!Q72</f>
        <v/>
      </c>
      <c r="S79" s="7">
        <f>'1 datos preparados'!R72</f>
        <v/>
      </c>
      <c r="T79" s="7">
        <f>'1 datos preparados'!S72</f>
        <v/>
      </c>
      <c r="U79" s="7">
        <f>'1 datos preparados'!T72</f>
        <v/>
      </c>
      <c r="V79" s="8">
        <f>$AE$12+D79*$AE$13+E79*$AE$14+F79*$AE$15+G79*$AE$16+H79*$AE$17+I79*$AE$18+J79*$AE$19+K79*$AE$20+L79*$AE$21+M79*$AE$22+N79*$AE$23+O79*$AE$24+P79*$AE$25+Q79*$AE$26+R79*$AE$27+S79*$AE$28+T79*$AE$29+U79*$AE$30</f>
        <v/>
      </c>
      <c r="W79" s="8">
        <f>1/(1+EXP(-V79))</f>
        <v/>
      </c>
      <c r="X79" s="9">
        <f>-IF(C79=1,LN(W79),LN(1-W79))</f>
        <v/>
      </c>
      <c r="Y79" s="8">
        <f>'1 datos preparados'!V72</f>
        <v/>
      </c>
      <c r="Z79" s="9">
        <f>Y79*X79</f>
        <v/>
      </c>
      <c r="AA79" s="10">
        <f>IF(W79&gt;$AE$33,1,0)</f>
        <v/>
      </c>
      <c r="AB79">
        <f>IF(AA79=C79,1,0)</f>
        <v/>
      </c>
    </row>
    <row r="80">
      <c r="A80">
        <f>'1 datos preparados'!A73</f>
        <v/>
      </c>
      <c r="B80" s="5">
        <f>'1 datos preparados'!U73</f>
        <v/>
      </c>
      <c r="C80">
        <f>'1 datos preparados'!B73</f>
        <v/>
      </c>
      <c r="D80" s="7">
        <f>'1 datos preparados'!C73</f>
        <v/>
      </c>
      <c r="E80" s="7">
        <f>'1 datos preparados'!D73</f>
        <v/>
      </c>
      <c r="F80" s="7">
        <f>'1 datos preparados'!E73</f>
        <v/>
      </c>
      <c r="G80" s="7">
        <f>'1 datos preparados'!F73</f>
        <v/>
      </c>
      <c r="H80" s="7">
        <f>'1 datos preparados'!G73</f>
        <v/>
      </c>
      <c r="I80" s="7">
        <f>'1 datos preparados'!H73</f>
        <v/>
      </c>
      <c r="J80" s="7">
        <f>'1 datos preparados'!I73</f>
        <v/>
      </c>
      <c r="K80" s="7">
        <f>'1 datos preparados'!J73</f>
        <v/>
      </c>
      <c r="L80" s="7">
        <f>'1 datos preparados'!K73</f>
        <v/>
      </c>
      <c r="M80" s="7">
        <f>'1 datos preparados'!L73</f>
        <v/>
      </c>
      <c r="N80" s="7">
        <f>'1 datos preparados'!M73</f>
        <v/>
      </c>
      <c r="O80" s="7">
        <f>'1 datos preparados'!N73</f>
        <v/>
      </c>
      <c r="P80" s="7">
        <f>'1 datos preparados'!O73</f>
        <v/>
      </c>
      <c r="Q80" s="7">
        <f>'1 datos preparados'!P73</f>
        <v/>
      </c>
      <c r="R80" s="7">
        <f>'1 datos preparados'!Q73</f>
        <v/>
      </c>
      <c r="S80" s="7">
        <f>'1 datos preparados'!R73</f>
        <v/>
      </c>
      <c r="T80" s="7">
        <f>'1 datos preparados'!S73</f>
        <v/>
      </c>
      <c r="U80" s="7">
        <f>'1 datos preparados'!T73</f>
        <v/>
      </c>
      <c r="V80" s="8">
        <f>$AE$12+D80*$AE$13+E80*$AE$14+F80*$AE$15+G80*$AE$16+H80*$AE$17+I80*$AE$18+J80*$AE$19+K80*$AE$20+L80*$AE$21+M80*$AE$22+N80*$AE$23+O80*$AE$24+P80*$AE$25+Q80*$AE$26+R80*$AE$27+S80*$AE$28+T80*$AE$29+U80*$AE$30</f>
        <v/>
      </c>
      <c r="W80" s="8">
        <f>1/(1+EXP(-V80))</f>
        <v/>
      </c>
      <c r="X80" s="9">
        <f>-IF(C80=1,LN(W80),LN(1-W80))</f>
        <v/>
      </c>
      <c r="Y80" s="8">
        <f>'1 datos preparados'!V73</f>
        <v/>
      </c>
      <c r="Z80" s="9">
        <f>Y80*X80</f>
        <v/>
      </c>
      <c r="AA80" s="10">
        <f>IF(W80&gt;$AE$33,1,0)</f>
        <v/>
      </c>
      <c r="AB80">
        <f>IF(AA80=C80,1,0)</f>
        <v/>
      </c>
    </row>
    <row r="81">
      <c r="A81">
        <f>'1 datos preparados'!A74</f>
        <v/>
      </c>
      <c r="B81" s="5">
        <f>'1 datos preparados'!U74</f>
        <v/>
      </c>
      <c r="C81">
        <f>'1 datos preparados'!B74</f>
        <v/>
      </c>
      <c r="D81" s="7">
        <f>'1 datos preparados'!C74</f>
        <v/>
      </c>
      <c r="E81" s="7">
        <f>'1 datos preparados'!D74</f>
        <v/>
      </c>
      <c r="F81" s="7">
        <f>'1 datos preparados'!E74</f>
        <v/>
      </c>
      <c r="G81" s="7">
        <f>'1 datos preparados'!F74</f>
        <v/>
      </c>
      <c r="H81" s="7">
        <f>'1 datos preparados'!G74</f>
        <v/>
      </c>
      <c r="I81" s="7">
        <f>'1 datos preparados'!H74</f>
        <v/>
      </c>
      <c r="J81" s="7">
        <f>'1 datos preparados'!I74</f>
        <v/>
      </c>
      <c r="K81" s="7">
        <f>'1 datos preparados'!J74</f>
        <v/>
      </c>
      <c r="L81" s="7">
        <f>'1 datos preparados'!K74</f>
        <v/>
      </c>
      <c r="M81" s="7">
        <f>'1 datos preparados'!L74</f>
        <v/>
      </c>
      <c r="N81" s="7">
        <f>'1 datos preparados'!M74</f>
        <v/>
      </c>
      <c r="O81" s="7">
        <f>'1 datos preparados'!N74</f>
        <v/>
      </c>
      <c r="P81" s="7">
        <f>'1 datos preparados'!O74</f>
        <v/>
      </c>
      <c r="Q81" s="7">
        <f>'1 datos preparados'!P74</f>
        <v/>
      </c>
      <c r="R81" s="7">
        <f>'1 datos preparados'!Q74</f>
        <v/>
      </c>
      <c r="S81" s="7">
        <f>'1 datos preparados'!R74</f>
        <v/>
      </c>
      <c r="T81" s="7">
        <f>'1 datos preparados'!S74</f>
        <v/>
      </c>
      <c r="U81" s="7">
        <f>'1 datos preparados'!T74</f>
        <v/>
      </c>
      <c r="V81" s="8">
        <f>$AE$12+D81*$AE$13+E81*$AE$14+F81*$AE$15+G81*$AE$16+H81*$AE$17+I81*$AE$18+J81*$AE$19+K81*$AE$20+L81*$AE$21+M81*$AE$22+N81*$AE$23+O81*$AE$24+P81*$AE$25+Q81*$AE$26+R81*$AE$27+S81*$AE$28+T81*$AE$29+U81*$AE$30</f>
        <v/>
      </c>
      <c r="W81" s="8">
        <f>1/(1+EXP(-V81))</f>
        <v/>
      </c>
      <c r="X81" s="9">
        <f>-IF(C81=1,LN(W81),LN(1-W81))</f>
        <v/>
      </c>
      <c r="Y81" s="8">
        <f>'1 datos preparados'!V74</f>
        <v/>
      </c>
      <c r="Z81" s="9">
        <f>Y81*X81</f>
        <v/>
      </c>
      <c r="AA81" s="10">
        <f>IF(W81&gt;$AE$33,1,0)</f>
        <v/>
      </c>
      <c r="AB81">
        <f>IF(AA81=C81,1,0)</f>
        <v/>
      </c>
    </row>
    <row r="82">
      <c r="A82">
        <f>'1 datos preparados'!A75</f>
        <v/>
      </c>
      <c r="B82" s="5">
        <f>'1 datos preparados'!U75</f>
        <v/>
      </c>
      <c r="C82">
        <f>'1 datos preparados'!B75</f>
        <v/>
      </c>
      <c r="D82" s="7">
        <f>'1 datos preparados'!C75</f>
        <v/>
      </c>
      <c r="E82" s="7">
        <f>'1 datos preparados'!D75</f>
        <v/>
      </c>
      <c r="F82" s="7">
        <f>'1 datos preparados'!E75</f>
        <v/>
      </c>
      <c r="G82" s="7">
        <f>'1 datos preparados'!F75</f>
        <v/>
      </c>
      <c r="H82" s="7">
        <f>'1 datos preparados'!G75</f>
        <v/>
      </c>
      <c r="I82" s="7">
        <f>'1 datos preparados'!H75</f>
        <v/>
      </c>
      <c r="J82" s="7">
        <f>'1 datos preparados'!I75</f>
        <v/>
      </c>
      <c r="K82" s="7">
        <f>'1 datos preparados'!J75</f>
        <v/>
      </c>
      <c r="L82" s="7">
        <f>'1 datos preparados'!K75</f>
        <v/>
      </c>
      <c r="M82" s="7">
        <f>'1 datos preparados'!L75</f>
        <v/>
      </c>
      <c r="N82" s="7">
        <f>'1 datos preparados'!M75</f>
        <v/>
      </c>
      <c r="O82" s="7">
        <f>'1 datos preparados'!N75</f>
        <v/>
      </c>
      <c r="P82" s="7">
        <f>'1 datos preparados'!O75</f>
        <v/>
      </c>
      <c r="Q82" s="7">
        <f>'1 datos preparados'!P75</f>
        <v/>
      </c>
      <c r="R82" s="7">
        <f>'1 datos preparados'!Q75</f>
        <v/>
      </c>
      <c r="S82" s="7">
        <f>'1 datos preparados'!R75</f>
        <v/>
      </c>
      <c r="T82" s="7">
        <f>'1 datos preparados'!S75</f>
        <v/>
      </c>
      <c r="U82" s="7">
        <f>'1 datos preparados'!T75</f>
        <v/>
      </c>
      <c r="V82" s="8">
        <f>$AE$12+D82*$AE$13+E82*$AE$14+F82*$AE$15+G82*$AE$16+H82*$AE$17+I82*$AE$18+J82*$AE$19+K82*$AE$20+L82*$AE$21+M82*$AE$22+N82*$AE$23+O82*$AE$24+P82*$AE$25+Q82*$AE$26+R82*$AE$27+S82*$AE$28+T82*$AE$29+U82*$AE$30</f>
        <v/>
      </c>
      <c r="W82" s="8">
        <f>1/(1+EXP(-V82))</f>
        <v/>
      </c>
      <c r="X82" s="9">
        <f>-IF(C82=1,LN(W82),LN(1-W82))</f>
        <v/>
      </c>
      <c r="Y82" s="8">
        <f>'1 datos preparados'!V75</f>
        <v/>
      </c>
      <c r="Z82" s="9">
        <f>Y82*X82</f>
        <v/>
      </c>
      <c r="AA82" s="10">
        <f>IF(W82&gt;$AE$33,1,0)</f>
        <v/>
      </c>
      <c r="AB82">
        <f>IF(AA82=C82,1,0)</f>
        <v/>
      </c>
    </row>
    <row r="83">
      <c r="A83">
        <f>'1 datos preparados'!A76</f>
        <v/>
      </c>
      <c r="B83" s="5">
        <f>'1 datos preparados'!U76</f>
        <v/>
      </c>
      <c r="C83">
        <f>'1 datos preparados'!B76</f>
        <v/>
      </c>
      <c r="D83" s="7">
        <f>'1 datos preparados'!C76</f>
        <v/>
      </c>
      <c r="E83" s="7">
        <f>'1 datos preparados'!D76</f>
        <v/>
      </c>
      <c r="F83" s="7">
        <f>'1 datos preparados'!E76</f>
        <v/>
      </c>
      <c r="G83" s="7">
        <f>'1 datos preparados'!F76</f>
        <v/>
      </c>
      <c r="H83" s="7">
        <f>'1 datos preparados'!G76</f>
        <v/>
      </c>
      <c r="I83" s="7">
        <f>'1 datos preparados'!H76</f>
        <v/>
      </c>
      <c r="J83" s="7">
        <f>'1 datos preparados'!I76</f>
        <v/>
      </c>
      <c r="K83" s="7">
        <f>'1 datos preparados'!J76</f>
        <v/>
      </c>
      <c r="L83" s="7">
        <f>'1 datos preparados'!K76</f>
        <v/>
      </c>
      <c r="M83" s="7">
        <f>'1 datos preparados'!L76</f>
        <v/>
      </c>
      <c r="N83" s="7">
        <f>'1 datos preparados'!M76</f>
        <v/>
      </c>
      <c r="O83" s="7">
        <f>'1 datos preparados'!N76</f>
        <v/>
      </c>
      <c r="P83" s="7">
        <f>'1 datos preparados'!O76</f>
        <v/>
      </c>
      <c r="Q83" s="7">
        <f>'1 datos preparados'!P76</f>
        <v/>
      </c>
      <c r="R83" s="7">
        <f>'1 datos preparados'!Q76</f>
        <v/>
      </c>
      <c r="S83" s="7">
        <f>'1 datos preparados'!R76</f>
        <v/>
      </c>
      <c r="T83" s="7">
        <f>'1 datos preparados'!S76</f>
        <v/>
      </c>
      <c r="U83" s="7">
        <f>'1 datos preparados'!T76</f>
        <v/>
      </c>
      <c r="V83" s="8">
        <f>$AE$12+D83*$AE$13+E83*$AE$14+F83*$AE$15+G83*$AE$16+H83*$AE$17+I83*$AE$18+J83*$AE$19+K83*$AE$20+L83*$AE$21+M83*$AE$22+N83*$AE$23+O83*$AE$24+P83*$AE$25+Q83*$AE$26+R83*$AE$27+S83*$AE$28+T83*$AE$29+U83*$AE$30</f>
        <v/>
      </c>
      <c r="W83" s="8">
        <f>1/(1+EXP(-V83))</f>
        <v/>
      </c>
      <c r="X83" s="9">
        <f>-IF(C83=1,LN(W83),LN(1-W83))</f>
        <v/>
      </c>
      <c r="Y83" s="8">
        <f>'1 datos preparados'!V76</f>
        <v/>
      </c>
      <c r="Z83" s="9">
        <f>Y83*X83</f>
        <v/>
      </c>
      <c r="AA83" s="10">
        <f>IF(W83&gt;$AE$33,1,0)</f>
        <v/>
      </c>
      <c r="AB83">
        <f>IF(AA83=C83,1,0)</f>
        <v/>
      </c>
    </row>
    <row r="84">
      <c r="A84">
        <f>'1 datos preparados'!A77</f>
        <v/>
      </c>
      <c r="B84" s="5">
        <f>'1 datos preparados'!U77</f>
        <v/>
      </c>
      <c r="C84">
        <f>'1 datos preparados'!B77</f>
        <v/>
      </c>
      <c r="D84" s="7">
        <f>'1 datos preparados'!C77</f>
        <v/>
      </c>
      <c r="E84" s="7">
        <f>'1 datos preparados'!D77</f>
        <v/>
      </c>
      <c r="F84" s="7">
        <f>'1 datos preparados'!E77</f>
        <v/>
      </c>
      <c r="G84" s="7">
        <f>'1 datos preparados'!F77</f>
        <v/>
      </c>
      <c r="H84" s="7">
        <f>'1 datos preparados'!G77</f>
        <v/>
      </c>
      <c r="I84" s="7">
        <f>'1 datos preparados'!H77</f>
        <v/>
      </c>
      <c r="J84" s="7">
        <f>'1 datos preparados'!I77</f>
        <v/>
      </c>
      <c r="K84" s="7">
        <f>'1 datos preparados'!J77</f>
        <v/>
      </c>
      <c r="L84" s="7">
        <f>'1 datos preparados'!K77</f>
        <v/>
      </c>
      <c r="M84" s="7">
        <f>'1 datos preparados'!L77</f>
        <v/>
      </c>
      <c r="N84" s="7">
        <f>'1 datos preparados'!M77</f>
        <v/>
      </c>
      <c r="O84" s="7">
        <f>'1 datos preparados'!N77</f>
        <v/>
      </c>
      <c r="P84" s="7">
        <f>'1 datos preparados'!O77</f>
        <v/>
      </c>
      <c r="Q84" s="7">
        <f>'1 datos preparados'!P77</f>
        <v/>
      </c>
      <c r="R84" s="7">
        <f>'1 datos preparados'!Q77</f>
        <v/>
      </c>
      <c r="S84" s="7">
        <f>'1 datos preparados'!R77</f>
        <v/>
      </c>
      <c r="T84" s="7">
        <f>'1 datos preparados'!S77</f>
        <v/>
      </c>
      <c r="U84" s="7">
        <f>'1 datos preparados'!T77</f>
        <v/>
      </c>
      <c r="V84" s="8">
        <f>$AE$12+D84*$AE$13+E84*$AE$14+F84*$AE$15+G84*$AE$16+H84*$AE$17+I84*$AE$18+J84*$AE$19+K84*$AE$20+L84*$AE$21+M84*$AE$22+N84*$AE$23+O84*$AE$24+P84*$AE$25+Q84*$AE$26+R84*$AE$27+S84*$AE$28+T84*$AE$29+U84*$AE$30</f>
        <v/>
      </c>
      <c r="W84" s="8">
        <f>1/(1+EXP(-V84))</f>
        <v/>
      </c>
      <c r="X84" s="9">
        <f>-IF(C84=1,LN(W84),LN(1-W84))</f>
        <v/>
      </c>
      <c r="Y84" s="8">
        <f>'1 datos preparados'!V77</f>
        <v/>
      </c>
      <c r="Z84" s="9">
        <f>Y84*X84</f>
        <v/>
      </c>
      <c r="AA84" s="10">
        <f>IF(W84&gt;$AE$33,1,0)</f>
        <v/>
      </c>
      <c r="AB84">
        <f>IF(AA84=C84,1,0)</f>
        <v/>
      </c>
    </row>
    <row r="85">
      <c r="A85">
        <f>'1 datos preparados'!A78</f>
        <v/>
      </c>
      <c r="B85" s="5">
        <f>'1 datos preparados'!U78</f>
        <v/>
      </c>
      <c r="C85">
        <f>'1 datos preparados'!B78</f>
        <v/>
      </c>
      <c r="D85" s="7">
        <f>'1 datos preparados'!C78</f>
        <v/>
      </c>
      <c r="E85" s="7">
        <f>'1 datos preparados'!D78</f>
        <v/>
      </c>
      <c r="F85" s="7">
        <f>'1 datos preparados'!E78</f>
        <v/>
      </c>
      <c r="G85" s="7">
        <f>'1 datos preparados'!F78</f>
        <v/>
      </c>
      <c r="H85" s="7">
        <f>'1 datos preparados'!G78</f>
        <v/>
      </c>
      <c r="I85" s="7">
        <f>'1 datos preparados'!H78</f>
        <v/>
      </c>
      <c r="J85" s="7">
        <f>'1 datos preparados'!I78</f>
        <v/>
      </c>
      <c r="K85" s="7">
        <f>'1 datos preparados'!J78</f>
        <v/>
      </c>
      <c r="L85" s="7">
        <f>'1 datos preparados'!K78</f>
        <v/>
      </c>
      <c r="M85" s="7">
        <f>'1 datos preparados'!L78</f>
        <v/>
      </c>
      <c r="N85" s="7">
        <f>'1 datos preparados'!M78</f>
        <v/>
      </c>
      <c r="O85" s="7">
        <f>'1 datos preparados'!N78</f>
        <v/>
      </c>
      <c r="P85" s="7">
        <f>'1 datos preparados'!O78</f>
        <v/>
      </c>
      <c r="Q85" s="7">
        <f>'1 datos preparados'!P78</f>
        <v/>
      </c>
      <c r="R85" s="7">
        <f>'1 datos preparados'!Q78</f>
        <v/>
      </c>
      <c r="S85" s="7">
        <f>'1 datos preparados'!R78</f>
        <v/>
      </c>
      <c r="T85" s="7">
        <f>'1 datos preparados'!S78</f>
        <v/>
      </c>
      <c r="U85" s="7">
        <f>'1 datos preparados'!T78</f>
        <v/>
      </c>
      <c r="V85" s="8">
        <f>$AE$12+D85*$AE$13+E85*$AE$14+F85*$AE$15+G85*$AE$16+H85*$AE$17+I85*$AE$18+J85*$AE$19+K85*$AE$20+L85*$AE$21+M85*$AE$22+N85*$AE$23+O85*$AE$24+P85*$AE$25+Q85*$AE$26+R85*$AE$27+S85*$AE$28+T85*$AE$29+U85*$AE$30</f>
        <v/>
      </c>
      <c r="W85" s="8">
        <f>1/(1+EXP(-V85))</f>
        <v/>
      </c>
      <c r="X85" s="9">
        <f>-IF(C85=1,LN(W85),LN(1-W85))</f>
        <v/>
      </c>
      <c r="Y85" s="8">
        <f>'1 datos preparados'!V78</f>
        <v/>
      </c>
      <c r="Z85" s="9">
        <f>Y85*X85</f>
        <v/>
      </c>
      <c r="AA85" s="10">
        <f>IF(W85&gt;$AE$33,1,0)</f>
        <v/>
      </c>
      <c r="AB85">
        <f>IF(AA85=C85,1,0)</f>
        <v/>
      </c>
    </row>
    <row r="86">
      <c r="A86">
        <f>'1 datos preparados'!A79</f>
        <v/>
      </c>
      <c r="B86" s="5">
        <f>'1 datos preparados'!U79</f>
        <v/>
      </c>
      <c r="C86">
        <f>'1 datos preparados'!B79</f>
        <v/>
      </c>
      <c r="D86" s="7">
        <f>'1 datos preparados'!C79</f>
        <v/>
      </c>
      <c r="E86" s="7">
        <f>'1 datos preparados'!D79</f>
        <v/>
      </c>
      <c r="F86" s="7">
        <f>'1 datos preparados'!E79</f>
        <v/>
      </c>
      <c r="G86" s="7">
        <f>'1 datos preparados'!F79</f>
        <v/>
      </c>
      <c r="H86" s="7">
        <f>'1 datos preparados'!G79</f>
        <v/>
      </c>
      <c r="I86" s="7">
        <f>'1 datos preparados'!H79</f>
        <v/>
      </c>
      <c r="J86" s="7">
        <f>'1 datos preparados'!I79</f>
        <v/>
      </c>
      <c r="K86" s="7">
        <f>'1 datos preparados'!J79</f>
        <v/>
      </c>
      <c r="L86" s="7">
        <f>'1 datos preparados'!K79</f>
        <v/>
      </c>
      <c r="M86" s="7">
        <f>'1 datos preparados'!L79</f>
        <v/>
      </c>
      <c r="N86" s="7">
        <f>'1 datos preparados'!M79</f>
        <v/>
      </c>
      <c r="O86" s="7">
        <f>'1 datos preparados'!N79</f>
        <v/>
      </c>
      <c r="P86" s="7">
        <f>'1 datos preparados'!O79</f>
        <v/>
      </c>
      <c r="Q86" s="7">
        <f>'1 datos preparados'!P79</f>
        <v/>
      </c>
      <c r="R86" s="7">
        <f>'1 datos preparados'!Q79</f>
        <v/>
      </c>
      <c r="S86" s="7">
        <f>'1 datos preparados'!R79</f>
        <v/>
      </c>
      <c r="T86" s="7">
        <f>'1 datos preparados'!S79</f>
        <v/>
      </c>
      <c r="U86" s="7">
        <f>'1 datos preparados'!T79</f>
        <v/>
      </c>
      <c r="V86" s="8">
        <f>$AE$12+D86*$AE$13+E86*$AE$14+F86*$AE$15+G86*$AE$16+H86*$AE$17+I86*$AE$18+J86*$AE$19+K86*$AE$20+L86*$AE$21+M86*$AE$22+N86*$AE$23+O86*$AE$24+P86*$AE$25+Q86*$AE$26+R86*$AE$27+S86*$AE$28+T86*$AE$29+U86*$AE$30</f>
        <v/>
      </c>
      <c r="W86" s="8">
        <f>1/(1+EXP(-V86))</f>
        <v/>
      </c>
      <c r="X86" s="9">
        <f>-IF(C86=1,LN(W86),LN(1-W86))</f>
        <v/>
      </c>
      <c r="Y86" s="8">
        <f>'1 datos preparados'!V79</f>
        <v/>
      </c>
      <c r="Z86" s="9">
        <f>Y86*X86</f>
        <v/>
      </c>
      <c r="AA86" s="10">
        <f>IF(W86&gt;$AE$33,1,0)</f>
        <v/>
      </c>
      <c r="AB86">
        <f>IF(AA86=C86,1,0)</f>
        <v/>
      </c>
    </row>
    <row r="87">
      <c r="A87">
        <f>'1 datos preparados'!A80</f>
        <v/>
      </c>
      <c r="B87" s="5">
        <f>'1 datos preparados'!U80</f>
        <v/>
      </c>
      <c r="C87">
        <f>'1 datos preparados'!B80</f>
        <v/>
      </c>
      <c r="D87" s="7">
        <f>'1 datos preparados'!C80</f>
        <v/>
      </c>
      <c r="E87" s="7">
        <f>'1 datos preparados'!D80</f>
        <v/>
      </c>
      <c r="F87" s="7">
        <f>'1 datos preparados'!E80</f>
        <v/>
      </c>
      <c r="G87" s="7">
        <f>'1 datos preparados'!F80</f>
        <v/>
      </c>
      <c r="H87" s="7">
        <f>'1 datos preparados'!G80</f>
        <v/>
      </c>
      <c r="I87" s="7">
        <f>'1 datos preparados'!H80</f>
        <v/>
      </c>
      <c r="J87" s="7">
        <f>'1 datos preparados'!I80</f>
        <v/>
      </c>
      <c r="K87" s="7">
        <f>'1 datos preparados'!J80</f>
        <v/>
      </c>
      <c r="L87" s="7">
        <f>'1 datos preparados'!K80</f>
        <v/>
      </c>
      <c r="M87" s="7">
        <f>'1 datos preparados'!L80</f>
        <v/>
      </c>
      <c r="N87" s="7">
        <f>'1 datos preparados'!M80</f>
        <v/>
      </c>
      <c r="O87" s="7">
        <f>'1 datos preparados'!N80</f>
        <v/>
      </c>
      <c r="P87" s="7">
        <f>'1 datos preparados'!O80</f>
        <v/>
      </c>
      <c r="Q87" s="7">
        <f>'1 datos preparados'!P80</f>
        <v/>
      </c>
      <c r="R87" s="7">
        <f>'1 datos preparados'!Q80</f>
        <v/>
      </c>
      <c r="S87" s="7">
        <f>'1 datos preparados'!R80</f>
        <v/>
      </c>
      <c r="T87" s="7">
        <f>'1 datos preparados'!S80</f>
        <v/>
      </c>
      <c r="U87" s="7">
        <f>'1 datos preparados'!T80</f>
        <v/>
      </c>
      <c r="V87" s="8">
        <f>$AE$12+D87*$AE$13+E87*$AE$14+F87*$AE$15+G87*$AE$16+H87*$AE$17+I87*$AE$18+J87*$AE$19+K87*$AE$20+L87*$AE$21+M87*$AE$22+N87*$AE$23+O87*$AE$24+P87*$AE$25+Q87*$AE$26+R87*$AE$27+S87*$AE$28+T87*$AE$29+U87*$AE$30</f>
        <v/>
      </c>
      <c r="W87" s="8">
        <f>1/(1+EXP(-V87))</f>
        <v/>
      </c>
      <c r="X87" s="9">
        <f>-IF(C87=1,LN(W87),LN(1-W87))</f>
        <v/>
      </c>
      <c r="Y87" s="8">
        <f>'1 datos preparados'!V80</f>
        <v/>
      </c>
      <c r="Z87" s="9">
        <f>Y87*X87</f>
        <v/>
      </c>
      <c r="AA87" s="10">
        <f>IF(W87&gt;$AE$33,1,0)</f>
        <v/>
      </c>
      <c r="AB87">
        <f>IF(AA87=C87,1,0)</f>
        <v/>
      </c>
    </row>
    <row r="88">
      <c r="A88">
        <f>'1 datos preparados'!A81</f>
        <v/>
      </c>
      <c r="B88" s="5">
        <f>'1 datos preparados'!U81</f>
        <v/>
      </c>
      <c r="C88">
        <f>'1 datos preparados'!B81</f>
        <v/>
      </c>
      <c r="D88" s="7">
        <f>'1 datos preparados'!C81</f>
        <v/>
      </c>
      <c r="E88" s="7">
        <f>'1 datos preparados'!D81</f>
        <v/>
      </c>
      <c r="F88" s="7">
        <f>'1 datos preparados'!E81</f>
        <v/>
      </c>
      <c r="G88" s="7">
        <f>'1 datos preparados'!F81</f>
        <v/>
      </c>
      <c r="H88" s="7">
        <f>'1 datos preparados'!G81</f>
        <v/>
      </c>
      <c r="I88" s="7">
        <f>'1 datos preparados'!H81</f>
        <v/>
      </c>
      <c r="J88" s="7">
        <f>'1 datos preparados'!I81</f>
        <v/>
      </c>
      <c r="K88" s="7">
        <f>'1 datos preparados'!J81</f>
        <v/>
      </c>
      <c r="L88" s="7">
        <f>'1 datos preparados'!K81</f>
        <v/>
      </c>
      <c r="M88" s="7">
        <f>'1 datos preparados'!L81</f>
        <v/>
      </c>
      <c r="N88" s="7">
        <f>'1 datos preparados'!M81</f>
        <v/>
      </c>
      <c r="O88" s="7">
        <f>'1 datos preparados'!N81</f>
        <v/>
      </c>
      <c r="P88" s="7">
        <f>'1 datos preparados'!O81</f>
        <v/>
      </c>
      <c r="Q88" s="7">
        <f>'1 datos preparados'!P81</f>
        <v/>
      </c>
      <c r="R88" s="7">
        <f>'1 datos preparados'!Q81</f>
        <v/>
      </c>
      <c r="S88" s="7">
        <f>'1 datos preparados'!R81</f>
        <v/>
      </c>
      <c r="T88" s="7">
        <f>'1 datos preparados'!S81</f>
        <v/>
      </c>
      <c r="U88" s="7">
        <f>'1 datos preparados'!T81</f>
        <v/>
      </c>
      <c r="V88" s="8">
        <f>$AE$12+D88*$AE$13+E88*$AE$14+F88*$AE$15+G88*$AE$16+H88*$AE$17+I88*$AE$18+J88*$AE$19+K88*$AE$20+L88*$AE$21+M88*$AE$22+N88*$AE$23+O88*$AE$24+P88*$AE$25+Q88*$AE$26+R88*$AE$27+S88*$AE$28+T88*$AE$29+U88*$AE$30</f>
        <v/>
      </c>
      <c r="W88" s="8">
        <f>1/(1+EXP(-V88))</f>
        <v/>
      </c>
      <c r="X88" s="9">
        <f>-IF(C88=1,LN(W88),LN(1-W88))</f>
        <v/>
      </c>
      <c r="Y88" s="8">
        <f>'1 datos preparados'!V81</f>
        <v/>
      </c>
      <c r="Z88" s="9">
        <f>Y88*X88</f>
        <v/>
      </c>
      <c r="AA88" s="10">
        <f>IF(W88&gt;$AE$33,1,0)</f>
        <v/>
      </c>
      <c r="AB88">
        <f>IF(AA88=C88,1,0)</f>
        <v/>
      </c>
    </row>
    <row r="89">
      <c r="A89">
        <f>'1 datos preparados'!A82</f>
        <v/>
      </c>
      <c r="B89" s="5">
        <f>'1 datos preparados'!U82</f>
        <v/>
      </c>
      <c r="C89">
        <f>'1 datos preparados'!B82</f>
        <v/>
      </c>
      <c r="D89" s="7">
        <f>'1 datos preparados'!C82</f>
        <v/>
      </c>
      <c r="E89" s="7">
        <f>'1 datos preparados'!D82</f>
        <v/>
      </c>
      <c r="F89" s="7">
        <f>'1 datos preparados'!E82</f>
        <v/>
      </c>
      <c r="G89" s="7">
        <f>'1 datos preparados'!F82</f>
        <v/>
      </c>
      <c r="H89" s="7">
        <f>'1 datos preparados'!G82</f>
        <v/>
      </c>
      <c r="I89" s="7">
        <f>'1 datos preparados'!H82</f>
        <v/>
      </c>
      <c r="J89" s="7">
        <f>'1 datos preparados'!I82</f>
        <v/>
      </c>
      <c r="K89" s="7">
        <f>'1 datos preparados'!J82</f>
        <v/>
      </c>
      <c r="L89" s="7">
        <f>'1 datos preparados'!K82</f>
        <v/>
      </c>
      <c r="M89" s="7">
        <f>'1 datos preparados'!L82</f>
        <v/>
      </c>
      <c r="N89" s="7">
        <f>'1 datos preparados'!M82</f>
        <v/>
      </c>
      <c r="O89" s="7">
        <f>'1 datos preparados'!N82</f>
        <v/>
      </c>
      <c r="P89" s="7">
        <f>'1 datos preparados'!O82</f>
        <v/>
      </c>
      <c r="Q89" s="7">
        <f>'1 datos preparados'!P82</f>
        <v/>
      </c>
      <c r="R89" s="7">
        <f>'1 datos preparados'!Q82</f>
        <v/>
      </c>
      <c r="S89" s="7">
        <f>'1 datos preparados'!R82</f>
        <v/>
      </c>
      <c r="T89" s="7">
        <f>'1 datos preparados'!S82</f>
        <v/>
      </c>
      <c r="U89" s="7">
        <f>'1 datos preparados'!T82</f>
        <v/>
      </c>
      <c r="V89" s="8">
        <f>$AE$12+D89*$AE$13+E89*$AE$14+F89*$AE$15+G89*$AE$16+H89*$AE$17+I89*$AE$18+J89*$AE$19+K89*$AE$20+L89*$AE$21+M89*$AE$22+N89*$AE$23+O89*$AE$24+P89*$AE$25+Q89*$AE$26+R89*$AE$27+S89*$AE$28+T89*$AE$29+U89*$AE$30</f>
        <v/>
      </c>
      <c r="W89" s="8">
        <f>1/(1+EXP(-V89))</f>
        <v/>
      </c>
      <c r="X89" s="9">
        <f>-IF(C89=1,LN(W89),LN(1-W89))</f>
        <v/>
      </c>
      <c r="Y89" s="8">
        <f>'1 datos preparados'!V82</f>
        <v/>
      </c>
      <c r="Z89" s="9">
        <f>Y89*X89</f>
        <v/>
      </c>
      <c r="AA89" s="10">
        <f>IF(W89&gt;$AE$33,1,0)</f>
        <v/>
      </c>
      <c r="AB89">
        <f>IF(AA89=C89,1,0)</f>
        <v/>
      </c>
    </row>
    <row r="90">
      <c r="A90">
        <f>'1 datos preparados'!A83</f>
        <v/>
      </c>
      <c r="B90" s="5">
        <f>'1 datos preparados'!U83</f>
        <v/>
      </c>
      <c r="C90">
        <f>'1 datos preparados'!B83</f>
        <v/>
      </c>
      <c r="D90" s="7">
        <f>'1 datos preparados'!C83</f>
        <v/>
      </c>
      <c r="E90" s="7">
        <f>'1 datos preparados'!D83</f>
        <v/>
      </c>
      <c r="F90" s="7">
        <f>'1 datos preparados'!E83</f>
        <v/>
      </c>
      <c r="G90" s="7">
        <f>'1 datos preparados'!F83</f>
        <v/>
      </c>
      <c r="H90" s="7">
        <f>'1 datos preparados'!G83</f>
        <v/>
      </c>
      <c r="I90" s="7">
        <f>'1 datos preparados'!H83</f>
        <v/>
      </c>
      <c r="J90" s="7">
        <f>'1 datos preparados'!I83</f>
        <v/>
      </c>
      <c r="K90" s="7">
        <f>'1 datos preparados'!J83</f>
        <v/>
      </c>
      <c r="L90" s="7">
        <f>'1 datos preparados'!K83</f>
        <v/>
      </c>
      <c r="M90" s="7">
        <f>'1 datos preparados'!L83</f>
        <v/>
      </c>
      <c r="N90" s="7">
        <f>'1 datos preparados'!M83</f>
        <v/>
      </c>
      <c r="O90" s="7">
        <f>'1 datos preparados'!N83</f>
        <v/>
      </c>
      <c r="P90" s="7">
        <f>'1 datos preparados'!O83</f>
        <v/>
      </c>
      <c r="Q90" s="7">
        <f>'1 datos preparados'!P83</f>
        <v/>
      </c>
      <c r="R90" s="7">
        <f>'1 datos preparados'!Q83</f>
        <v/>
      </c>
      <c r="S90" s="7">
        <f>'1 datos preparados'!R83</f>
        <v/>
      </c>
      <c r="T90" s="7">
        <f>'1 datos preparados'!S83</f>
        <v/>
      </c>
      <c r="U90" s="7">
        <f>'1 datos preparados'!T83</f>
        <v/>
      </c>
      <c r="V90" s="8">
        <f>$AE$12+D90*$AE$13+E90*$AE$14+F90*$AE$15+G90*$AE$16+H90*$AE$17+I90*$AE$18+J90*$AE$19+K90*$AE$20+L90*$AE$21+M90*$AE$22+N90*$AE$23+O90*$AE$24+P90*$AE$25+Q90*$AE$26+R90*$AE$27+S90*$AE$28+T90*$AE$29+U90*$AE$30</f>
        <v/>
      </c>
      <c r="W90" s="8">
        <f>1/(1+EXP(-V90))</f>
        <v/>
      </c>
      <c r="X90" s="9">
        <f>-IF(C90=1,LN(W90),LN(1-W90))</f>
        <v/>
      </c>
      <c r="Y90" s="8">
        <f>'1 datos preparados'!V83</f>
        <v/>
      </c>
      <c r="Z90" s="9">
        <f>Y90*X90</f>
        <v/>
      </c>
      <c r="AA90" s="10">
        <f>IF(W90&gt;$AE$33,1,0)</f>
        <v/>
      </c>
      <c r="AB90">
        <f>IF(AA90=C90,1,0)</f>
        <v/>
      </c>
    </row>
    <row r="91">
      <c r="A91">
        <f>'1 datos preparados'!A84</f>
        <v/>
      </c>
      <c r="B91" s="5">
        <f>'1 datos preparados'!U84</f>
        <v/>
      </c>
      <c r="C91">
        <f>'1 datos preparados'!B84</f>
        <v/>
      </c>
      <c r="D91" s="7">
        <f>'1 datos preparados'!C84</f>
        <v/>
      </c>
      <c r="E91" s="7">
        <f>'1 datos preparados'!D84</f>
        <v/>
      </c>
      <c r="F91" s="7">
        <f>'1 datos preparados'!E84</f>
        <v/>
      </c>
      <c r="G91" s="7">
        <f>'1 datos preparados'!F84</f>
        <v/>
      </c>
      <c r="H91" s="7">
        <f>'1 datos preparados'!G84</f>
        <v/>
      </c>
      <c r="I91" s="7">
        <f>'1 datos preparados'!H84</f>
        <v/>
      </c>
      <c r="J91" s="7">
        <f>'1 datos preparados'!I84</f>
        <v/>
      </c>
      <c r="K91" s="7">
        <f>'1 datos preparados'!J84</f>
        <v/>
      </c>
      <c r="L91" s="7">
        <f>'1 datos preparados'!K84</f>
        <v/>
      </c>
      <c r="M91" s="7">
        <f>'1 datos preparados'!L84</f>
        <v/>
      </c>
      <c r="N91" s="7">
        <f>'1 datos preparados'!M84</f>
        <v/>
      </c>
      <c r="O91" s="7">
        <f>'1 datos preparados'!N84</f>
        <v/>
      </c>
      <c r="P91" s="7">
        <f>'1 datos preparados'!O84</f>
        <v/>
      </c>
      <c r="Q91" s="7">
        <f>'1 datos preparados'!P84</f>
        <v/>
      </c>
      <c r="R91" s="7">
        <f>'1 datos preparados'!Q84</f>
        <v/>
      </c>
      <c r="S91" s="7">
        <f>'1 datos preparados'!R84</f>
        <v/>
      </c>
      <c r="T91" s="7">
        <f>'1 datos preparados'!S84</f>
        <v/>
      </c>
      <c r="U91" s="7">
        <f>'1 datos preparados'!T84</f>
        <v/>
      </c>
      <c r="V91" s="8">
        <f>$AE$12+D91*$AE$13+E91*$AE$14+F91*$AE$15+G91*$AE$16+H91*$AE$17+I91*$AE$18+J91*$AE$19+K91*$AE$20+L91*$AE$21+M91*$AE$22+N91*$AE$23+O91*$AE$24+P91*$AE$25+Q91*$AE$26+R91*$AE$27+S91*$AE$28+T91*$AE$29+U91*$AE$30</f>
        <v/>
      </c>
      <c r="W91" s="8">
        <f>1/(1+EXP(-V91))</f>
        <v/>
      </c>
      <c r="X91" s="9">
        <f>-IF(C91=1,LN(W91),LN(1-W91))</f>
        <v/>
      </c>
      <c r="Y91" s="8">
        <f>'1 datos preparados'!V84</f>
        <v/>
      </c>
      <c r="Z91" s="9">
        <f>Y91*X91</f>
        <v/>
      </c>
      <c r="AA91" s="10">
        <f>IF(W91&gt;$AE$33,1,0)</f>
        <v/>
      </c>
      <c r="AB91">
        <f>IF(AA91=C91,1,0)</f>
        <v/>
      </c>
    </row>
    <row r="92">
      <c r="A92">
        <f>'1 datos preparados'!A85</f>
        <v/>
      </c>
      <c r="B92" s="5">
        <f>'1 datos preparados'!U85</f>
        <v/>
      </c>
      <c r="C92">
        <f>'1 datos preparados'!B85</f>
        <v/>
      </c>
      <c r="D92" s="7">
        <f>'1 datos preparados'!C85</f>
        <v/>
      </c>
      <c r="E92" s="7">
        <f>'1 datos preparados'!D85</f>
        <v/>
      </c>
      <c r="F92" s="7">
        <f>'1 datos preparados'!E85</f>
        <v/>
      </c>
      <c r="G92" s="7">
        <f>'1 datos preparados'!F85</f>
        <v/>
      </c>
      <c r="H92" s="7">
        <f>'1 datos preparados'!G85</f>
        <v/>
      </c>
      <c r="I92" s="7">
        <f>'1 datos preparados'!H85</f>
        <v/>
      </c>
      <c r="J92" s="7">
        <f>'1 datos preparados'!I85</f>
        <v/>
      </c>
      <c r="K92" s="7">
        <f>'1 datos preparados'!J85</f>
        <v/>
      </c>
      <c r="L92" s="7">
        <f>'1 datos preparados'!K85</f>
        <v/>
      </c>
      <c r="M92" s="7">
        <f>'1 datos preparados'!L85</f>
        <v/>
      </c>
      <c r="N92" s="7">
        <f>'1 datos preparados'!M85</f>
        <v/>
      </c>
      <c r="O92" s="7">
        <f>'1 datos preparados'!N85</f>
        <v/>
      </c>
      <c r="P92" s="7">
        <f>'1 datos preparados'!O85</f>
        <v/>
      </c>
      <c r="Q92" s="7">
        <f>'1 datos preparados'!P85</f>
        <v/>
      </c>
      <c r="R92" s="7">
        <f>'1 datos preparados'!Q85</f>
        <v/>
      </c>
      <c r="S92" s="7">
        <f>'1 datos preparados'!R85</f>
        <v/>
      </c>
      <c r="T92" s="7">
        <f>'1 datos preparados'!S85</f>
        <v/>
      </c>
      <c r="U92" s="7">
        <f>'1 datos preparados'!T85</f>
        <v/>
      </c>
      <c r="V92" s="8">
        <f>$AE$12+D92*$AE$13+E92*$AE$14+F92*$AE$15+G92*$AE$16+H92*$AE$17+I92*$AE$18+J92*$AE$19+K92*$AE$20+L92*$AE$21+M92*$AE$22+N92*$AE$23+O92*$AE$24+P92*$AE$25+Q92*$AE$26+R92*$AE$27+S92*$AE$28+T92*$AE$29+U92*$AE$30</f>
        <v/>
      </c>
      <c r="W92" s="8">
        <f>1/(1+EXP(-V92))</f>
        <v/>
      </c>
      <c r="X92" s="9">
        <f>-IF(C92=1,LN(W92),LN(1-W92))</f>
        <v/>
      </c>
      <c r="Y92" s="8">
        <f>'1 datos preparados'!V85</f>
        <v/>
      </c>
      <c r="Z92" s="9">
        <f>Y92*X92</f>
        <v/>
      </c>
      <c r="AA92" s="10">
        <f>IF(W92&gt;$AE$33,1,0)</f>
        <v/>
      </c>
      <c r="AB92">
        <f>IF(AA92=C92,1,0)</f>
        <v/>
      </c>
    </row>
    <row r="93">
      <c r="A93">
        <f>'1 datos preparados'!A86</f>
        <v/>
      </c>
      <c r="B93" s="5">
        <f>'1 datos preparados'!U86</f>
        <v/>
      </c>
      <c r="C93">
        <f>'1 datos preparados'!B86</f>
        <v/>
      </c>
      <c r="D93" s="7">
        <f>'1 datos preparados'!C86</f>
        <v/>
      </c>
      <c r="E93" s="7">
        <f>'1 datos preparados'!D86</f>
        <v/>
      </c>
      <c r="F93" s="7">
        <f>'1 datos preparados'!E86</f>
        <v/>
      </c>
      <c r="G93" s="7">
        <f>'1 datos preparados'!F86</f>
        <v/>
      </c>
      <c r="H93" s="7">
        <f>'1 datos preparados'!G86</f>
        <v/>
      </c>
      <c r="I93" s="7">
        <f>'1 datos preparados'!H86</f>
        <v/>
      </c>
      <c r="J93" s="7">
        <f>'1 datos preparados'!I86</f>
        <v/>
      </c>
      <c r="K93" s="7">
        <f>'1 datos preparados'!J86</f>
        <v/>
      </c>
      <c r="L93" s="7">
        <f>'1 datos preparados'!K86</f>
        <v/>
      </c>
      <c r="M93" s="7">
        <f>'1 datos preparados'!L86</f>
        <v/>
      </c>
      <c r="N93" s="7">
        <f>'1 datos preparados'!M86</f>
        <v/>
      </c>
      <c r="O93" s="7">
        <f>'1 datos preparados'!N86</f>
        <v/>
      </c>
      <c r="P93" s="7">
        <f>'1 datos preparados'!O86</f>
        <v/>
      </c>
      <c r="Q93" s="7">
        <f>'1 datos preparados'!P86</f>
        <v/>
      </c>
      <c r="R93" s="7">
        <f>'1 datos preparados'!Q86</f>
        <v/>
      </c>
      <c r="S93" s="7">
        <f>'1 datos preparados'!R86</f>
        <v/>
      </c>
      <c r="T93" s="7">
        <f>'1 datos preparados'!S86</f>
        <v/>
      </c>
      <c r="U93" s="7">
        <f>'1 datos preparados'!T86</f>
        <v/>
      </c>
      <c r="V93" s="8">
        <f>$AE$12+D93*$AE$13+E93*$AE$14+F93*$AE$15+G93*$AE$16+H93*$AE$17+I93*$AE$18+J93*$AE$19+K93*$AE$20+L93*$AE$21+M93*$AE$22+N93*$AE$23+O93*$AE$24+P93*$AE$25+Q93*$AE$26+R93*$AE$27+S93*$AE$28+T93*$AE$29+U93*$AE$30</f>
        <v/>
      </c>
      <c r="W93" s="8">
        <f>1/(1+EXP(-V93))</f>
        <v/>
      </c>
      <c r="X93" s="9">
        <f>-IF(C93=1,LN(W93),LN(1-W93))</f>
        <v/>
      </c>
      <c r="Y93" s="8">
        <f>'1 datos preparados'!V86</f>
        <v/>
      </c>
      <c r="Z93" s="9">
        <f>Y93*X93</f>
        <v/>
      </c>
      <c r="AA93" s="10">
        <f>IF(W93&gt;$AE$33,1,0)</f>
        <v/>
      </c>
      <c r="AB93">
        <f>IF(AA93=C93,1,0)</f>
        <v/>
      </c>
    </row>
    <row r="94">
      <c r="A94">
        <f>'1 datos preparados'!A87</f>
        <v/>
      </c>
      <c r="B94" s="5">
        <f>'1 datos preparados'!U87</f>
        <v/>
      </c>
      <c r="C94">
        <f>'1 datos preparados'!B87</f>
        <v/>
      </c>
      <c r="D94" s="7">
        <f>'1 datos preparados'!C87</f>
        <v/>
      </c>
      <c r="E94" s="7">
        <f>'1 datos preparados'!D87</f>
        <v/>
      </c>
      <c r="F94" s="7">
        <f>'1 datos preparados'!E87</f>
        <v/>
      </c>
      <c r="G94" s="7">
        <f>'1 datos preparados'!F87</f>
        <v/>
      </c>
      <c r="H94" s="7">
        <f>'1 datos preparados'!G87</f>
        <v/>
      </c>
      <c r="I94" s="7">
        <f>'1 datos preparados'!H87</f>
        <v/>
      </c>
      <c r="J94" s="7">
        <f>'1 datos preparados'!I87</f>
        <v/>
      </c>
      <c r="K94" s="7">
        <f>'1 datos preparados'!J87</f>
        <v/>
      </c>
      <c r="L94" s="7">
        <f>'1 datos preparados'!K87</f>
        <v/>
      </c>
      <c r="M94" s="7">
        <f>'1 datos preparados'!L87</f>
        <v/>
      </c>
      <c r="N94" s="7">
        <f>'1 datos preparados'!M87</f>
        <v/>
      </c>
      <c r="O94" s="7">
        <f>'1 datos preparados'!N87</f>
        <v/>
      </c>
      <c r="P94" s="7">
        <f>'1 datos preparados'!O87</f>
        <v/>
      </c>
      <c r="Q94" s="7">
        <f>'1 datos preparados'!P87</f>
        <v/>
      </c>
      <c r="R94" s="7">
        <f>'1 datos preparados'!Q87</f>
        <v/>
      </c>
      <c r="S94" s="7">
        <f>'1 datos preparados'!R87</f>
        <v/>
      </c>
      <c r="T94" s="7">
        <f>'1 datos preparados'!S87</f>
        <v/>
      </c>
      <c r="U94" s="7">
        <f>'1 datos preparados'!T87</f>
        <v/>
      </c>
      <c r="V94" s="8">
        <f>$AE$12+D94*$AE$13+E94*$AE$14+F94*$AE$15+G94*$AE$16+H94*$AE$17+I94*$AE$18+J94*$AE$19+K94*$AE$20+L94*$AE$21+M94*$AE$22+N94*$AE$23+O94*$AE$24+P94*$AE$25+Q94*$AE$26+R94*$AE$27+S94*$AE$28+T94*$AE$29+U94*$AE$30</f>
        <v/>
      </c>
      <c r="W94" s="8">
        <f>1/(1+EXP(-V94))</f>
        <v/>
      </c>
      <c r="X94" s="9">
        <f>-IF(C94=1,LN(W94),LN(1-W94))</f>
        <v/>
      </c>
      <c r="Y94" s="8">
        <f>'1 datos preparados'!V87</f>
        <v/>
      </c>
      <c r="Z94" s="9">
        <f>Y94*X94</f>
        <v/>
      </c>
      <c r="AA94" s="10">
        <f>IF(W94&gt;$AE$33,1,0)</f>
        <v/>
      </c>
      <c r="AB94">
        <f>IF(AA94=C94,1,0)</f>
        <v/>
      </c>
    </row>
    <row r="95">
      <c r="A95">
        <f>'1 datos preparados'!A88</f>
        <v/>
      </c>
      <c r="B95" s="5">
        <f>'1 datos preparados'!U88</f>
        <v/>
      </c>
      <c r="C95">
        <f>'1 datos preparados'!B88</f>
        <v/>
      </c>
      <c r="D95" s="7">
        <f>'1 datos preparados'!C88</f>
        <v/>
      </c>
      <c r="E95" s="7">
        <f>'1 datos preparados'!D88</f>
        <v/>
      </c>
      <c r="F95" s="7">
        <f>'1 datos preparados'!E88</f>
        <v/>
      </c>
      <c r="G95" s="7">
        <f>'1 datos preparados'!F88</f>
        <v/>
      </c>
      <c r="H95" s="7">
        <f>'1 datos preparados'!G88</f>
        <v/>
      </c>
      <c r="I95" s="7">
        <f>'1 datos preparados'!H88</f>
        <v/>
      </c>
      <c r="J95" s="7">
        <f>'1 datos preparados'!I88</f>
        <v/>
      </c>
      <c r="K95" s="7">
        <f>'1 datos preparados'!J88</f>
        <v/>
      </c>
      <c r="L95" s="7">
        <f>'1 datos preparados'!K88</f>
        <v/>
      </c>
      <c r="M95" s="7">
        <f>'1 datos preparados'!L88</f>
        <v/>
      </c>
      <c r="N95" s="7">
        <f>'1 datos preparados'!M88</f>
        <v/>
      </c>
      <c r="O95" s="7">
        <f>'1 datos preparados'!N88</f>
        <v/>
      </c>
      <c r="P95" s="7">
        <f>'1 datos preparados'!O88</f>
        <v/>
      </c>
      <c r="Q95" s="7">
        <f>'1 datos preparados'!P88</f>
        <v/>
      </c>
      <c r="R95" s="7">
        <f>'1 datos preparados'!Q88</f>
        <v/>
      </c>
      <c r="S95" s="7">
        <f>'1 datos preparados'!R88</f>
        <v/>
      </c>
      <c r="T95" s="7">
        <f>'1 datos preparados'!S88</f>
        <v/>
      </c>
      <c r="U95" s="7">
        <f>'1 datos preparados'!T88</f>
        <v/>
      </c>
      <c r="V95" s="8">
        <f>$AE$12+D95*$AE$13+E95*$AE$14+F95*$AE$15+G95*$AE$16+H95*$AE$17+I95*$AE$18+J95*$AE$19+K95*$AE$20+L95*$AE$21+M95*$AE$22+N95*$AE$23+O95*$AE$24+P95*$AE$25+Q95*$AE$26+R95*$AE$27+S95*$AE$28+T95*$AE$29+U95*$AE$30</f>
        <v/>
      </c>
      <c r="W95" s="8">
        <f>1/(1+EXP(-V95))</f>
        <v/>
      </c>
      <c r="X95" s="9">
        <f>-IF(C95=1,LN(W95),LN(1-W95))</f>
        <v/>
      </c>
      <c r="Y95" s="8">
        <f>'1 datos preparados'!V88</f>
        <v/>
      </c>
      <c r="Z95" s="9">
        <f>Y95*X95</f>
        <v/>
      </c>
      <c r="AA95" s="10">
        <f>IF(W95&gt;$AE$33,1,0)</f>
        <v/>
      </c>
      <c r="AB95">
        <f>IF(AA95=C95,1,0)</f>
        <v/>
      </c>
    </row>
    <row r="96">
      <c r="A96">
        <f>'1 datos preparados'!A89</f>
        <v/>
      </c>
      <c r="B96" s="5">
        <f>'1 datos preparados'!U89</f>
        <v/>
      </c>
      <c r="C96">
        <f>'1 datos preparados'!B89</f>
        <v/>
      </c>
      <c r="D96" s="7">
        <f>'1 datos preparados'!C89</f>
        <v/>
      </c>
      <c r="E96" s="7">
        <f>'1 datos preparados'!D89</f>
        <v/>
      </c>
      <c r="F96" s="7">
        <f>'1 datos preparados'!E89</f>
        <v/>
      </c>
      <c r="G96" s="7">
        <f>'1 datos preparados'!F89</f>
        <v/>
      </c>
      <c r="H96" s="7">
        <f>'1 datos preparados'!G89</f>
        <v/>
      </c>
      <c r="I96" s="7">
        <f>'1 datos preparados'!H89</f>
        <v/>
      </c>
      <c r="J96" s="7">
        <f>'1 datos preparados'!I89</f>
        <v/>
      </c>
      <c r="K96" s="7">
        <f>'1 datos preparados'!J89</f>
        <v/>
      </c>
      <c r="L96" s="7">
        <f>'1 datos preparados'!K89</f>
        <v/>
      </c>
      <c r="M96" s="7">
        <f>'1 datos preparados'!L89</f>
        <v/>
      </c>
      <c r="N96" s="7">
        <f>'1 datos preparados'!M89</f>
        <v/>
      </c>
      <c r="O96" s="7">
        <f>'1 datos preparados'!N89</f>
        <v/>
      </c>
      <c r="P96" s="7">
        <f>'1 datos preparados'!O89</f>
        <v/>
      </c>
      <c r="Q96" s="7">
        <f>'1 datos preparados'!P89</f>
        <v/>
      </c>
      <c r="R96" s="7">
        <f>'1 datos preparados'!Q89</f>
        <v/>
      </c>
      <c r="S96" s="7">
        <f>'1 datos preparados'!R89</f>
        <v/>
      </c>
      <c r="T96" s="7">
        <f>'1 datos preparados'!S89</f>
        <v/>
      </c>
      <c r="U96" s="7">
        <f>'1 datos preparados'!T89</f>
        <v/>
      </c>
      <c r="V96" s="8">
        <f>$AE$12+D96*$AE$13+E96*$AE$14+F96*$AE$15+G96*$AE$16+H96*$AE$17+I96*$AE$18+J96*$AE$19+K96*$AE$20+L96*$AE$21+M96*$AE$22+N96*$AE$23+O96*$AE$24+P96*$AE$25+Q96*$AE$26+R96*$AE$27+S96*$AE$28+T96*$AE$29+U96*$AE$30</f>
        <v/>
      </c>
      <c r="W96" s="8">
        <f>1/(1+EXP(-V96))</f>
        <v/>
      </c>
      <c r="X96" s="9">
        <f>-IF(C96=1,LN(W96),LN(1-W96))</f>
        <v/>
      </c>
      <c r="Y96" s="8">
        <f>'1 datos preparados'!V89</f>
        <v/>
      </c>
      <c r="Z96" s="9">
        <f>Y96*X96</f>
        <v/>
      </c>
      <c r="AA96" s="10">
        <f>IF(W96&gt;$AE$33,1,0)</f>
        <v/>
      </c>
      <c r="AB96">
        <f>IF(AA96=C96,1,0)</f>
        <v/>
      </c>
    </row>
    <row r="97">
      <c r="A97">
        <f>'1 datos preparados'!A90</f>
        <v/>
      </c>
      <c r="B97" s="5">
        <f>'1 datos preparados'!U90</f>
        <v/>
      </c>
      <c r="C97">
        <f>'1 datos preparados'!B90</f>
        <v/>
      </c>
      <c r="D97" s="7">
        <f>'1 datos preparados'!C90</f>
        <v/>
      </c>
      <c r="E97" s="7">
        <f>'1 datos preparados'!D90</f>
        <v/>
      </c>
      <c r="F97" s="7">
        <f>'1 datos preparados'!E90</f>
        <v/>
      </c>
      <c r="G97" s="7">
        <f>'1 datos preparados'!F90</f>
        <v/>
      </c>
      <c r="H97" s="7">
        <f>'1 datos preparados'!G90</f>
        <v/>
      </c>
      <c r="I97" s="7">
        <f>'1 datos preparados'!H90</f>
        <v/>
      </c>
      <c r="J97" s="7">
        <f>'1 datos preparados'!I90</f>
        <v/>
      </c>
      <c r="K97" s="7">
        <f>'1 datos preparados'!J90</f>
        <v/>
      </c>
      <c r="L97" s="7">
        <f>'1 datos preparados'!K90</f>
        <v/>
      </c>
      <c r="M97" s="7">
        <f>'1 datos preparados'!L90</f>
        <v/>
      </c>
      <c r="N97" s="7">
        <f>'1 datos preparados'!M90</f>
        <v/>
      </c>
      <c r="O97" s="7">
        <f>'1 datos preparados'!N90</f>
        <v/>
      </c>
      <c r="P97" s="7">
        <f>'1 datos preparados'!O90</f>
        <v/>
      </c>
      <c r="Q97" s="7">
        <f>'1 datos preparados'!P90</f>
        <v/>
      </c>
      <c r="R97" s="7">
        <f>'1 datos preparados'!Q90</f>
        <v/>
      </c>
      <c r="S97" s="7">
        <f>'1 datos preparados'!R90</f>
        <v/>
      </c>
      <c r="T97" s="7">
        <f>'1 datos preparados'!S90</f>
        <v/>
      </c>
      <c r="U97" s="7">
        <f>'1 datos preparados'!T90</f>
        <v/>
      </c>
      <c r="V97" s="8">
        <f>$AE$12+D97*$AE$13+E97*$AE$14+F97*$AE$15+G97*$AE$16+H97*$AE$17+I97*$AE$18+J97*$AE$19+K97*$AE$20+L97*$AE$21+M97*$AE$22+N97*$AE$23+O97*$AE$24+P97*$AE$25+Q97*$AE$26+R97*$AE$27+S97*$AE$28+T97*$AE$29+U97*$AE$30</f>
        <v/>
      </c>
      <c r="W97" s="8">
        <f>1/(1+EXP(-V97))</f>
        <v/>
      </c>
      <c r="X97" s="9">
        <f>-IF(C97=1,LN(W97),LN(1-W97))</f>
        <v/>
      </c>
      <c r="Y97" s="8">
        <f>'1 datos preparados'!V90</f>
        <v/>
      </c>
      <c r="Z97" s="9">
        <f>Y97*X97</f>
        <v/>
      </c>
      <c r="AA97" s="10">
        <f>IF(W97&gt;$AE$33,1,0)</f>
        <v/>
      </c>
      <c r="AB97">
        <f>IF(AA97=C97,1,0)</f>
        <v/>
      </c>
    </row>
    <row r="98">
      <c r="A98">
        <f>'1 datos preparados'!A91</f>
        <v/>
      </c>
      <c r="B98" s="5">
        <f>'1 datos preparados'!U91</f>
        <v/>
      </c>
      <c r="C98">
        <f>'1 datos preparados'!B91</f>
        <v/>
      </c>
      <c r="D98" s="7">
        <f>'1 datos preparados'!C91</f>
        <v/>
      </c>
      <c r="E98" s="7">
        <f>'1 datos preparados'!D91</f>
        <v/>
      </c>
      <c r="F98" s="7">
        <f>'1 datos preparados'!E91</f>
        <v/>
      </c>
      <c r="G98" s="7">
        <f>'1 datos preparados'!F91</f>
        <v/>
      </c>
      <c r="H98" s="7">
        <f>'1 datos preparados'!G91</f>
        <v/>
      </c>
      <c r="I98" s="7">
        <f>'1 datos preparados'!H91</f>
        <v/>
      </c>
      <c r="J98" s="7">
        <f>'1 datos preparados'!I91</f>
        <v/>
      </c>
      <c r="K98" s="7">
        <f>'1 datos preparados'!J91</f>
        <v/>
      </c>
      <c r="L98" s="7">
        <f>'1 datos preparados'!K91</f>
        <v/>
      </c>
      <c r="M98" s="7">
        <f>'1 datos preparados'!L91</f>
        <v/>
      </c>
      <c r="N98" s="7">
        <f>'1 datos preparados'!M91</f>
        <v/>
      </c>
      <c r="O98" s="7">
        <f>'1 datos preparados'!N91</f>
        <v/>
      </c>
      <c r="P98" s="7">
        <f>'1 datos preparados'!O91</f>
        <v/>
      </c>
      <c r="Q98" s="7">
        <f>'1 datos preparados'!P91</f>
        <v/>
      </c>
      <c r="R98" s="7">
        <f>'1 datos preparados'!Q91</f>
        <v/>
      </c>
      <c r="S98" s="7">
        <f>'1 datos preparados'!R91</f>
        <v/>
      </c>
      <c r="T98" s="7">
        <f>'1 datos preparados'!S91</f>
        <v/>
      </c>
      <c r="U98" s="7">
        <f>'1 datos preparados'!T91</f>
        <v/>
      </c>
      <c r="V98" s="8">
        <f>$AE$12+D98*$AE$13+E98*$AE$14+F98*$AE$15+G98*$AE$16+H98*$AE$17+I98*$AE$18+J98*$AE$19+K98*$AE$20+L98*$AE$21+M98*$AE$22+N98*$AE$23+O98*$AE$24+P98*$AE$25+Q98*$AE$26+R98*$AE$27+S98*$AE$28+T98*$AE$29+U98*$AE$30</f>
        <v/>
      </c>
      <c r="W98" s="8">
        <f>1/(1+EXP(-V98))</f>
        <v/>
      </c>
      <c r="X98" s="9">
        <f>-IF(C98=1,LN(W98),LN(1-W98))</f>
        <v/>
      </c>
      <c r="Y98" s="8">
        <f>'1 datos preparados'!V91</f>
        <v/>
      </c>
      <c r="Z98" s="9">
        <f>Y98*X98</f>
        <v/>
      </c>
      <c r="AA98" s="10">
        <f>IF(W98&gt;$AE$33,1,0)</f>
        <v/>
      </c>
      <c r="AB98">
        <f>IF(AA98=C98,1,0)</f>
        <v/>
      </c>
    </row>
    <row r="99">
      <c r="A99">
        <f>'1 datos preparados'!A92</f>
        <v/>
      </c>
      <c r="B99" s="5">
        <f>'1 datos preparados'!U92</f>
        <v/>
      </c>
      <c r="C99">
        <f>'1 datos preparados'!B92</f>
        <v/>
      </c>
      <c r="D99" s="7">
        <f>'1 datos preparados'!C92</f>
        <v/>
      </c>
      <c r="E99" s="7">
        <f>'1 datos preparados'!D92</f>
        <v/>
      </c>
      <c r="F99" s="7">
        <f>'1 datos preparados'!E92</f>
        <v/>
      </c>
      <c r="G99" s="7">
        <f>'1 datos preparados'!F92</f>
        <v/>
      </c>
      <c r="H99" s="7">
        <f>'1 datos preparados'!G92</f>
        <v/>
      </c>
      <c r="I99" s="7">
        <f>'1 datos preparados'!H92</f>
        <v/>
      </c>
      <c r="J99" s="7">
        <f>'1 datos preparados'!I92</f>
        <v/>
      </c>
      <c r="K99" s="7">
        <f>'1 datos preparados'!J92</f>
        <v/>
      </c>
      <c r="L99" s="7">
        <f>'1 datos preparados'!K92</f>
        <v/>
      </c>
      <c r="M99" s="7">
        <f>'1 datos preparados'!L92</f>
        <v/>
      </c>
      <c r="N99" s="7">
        <f>'1 datos preparados'!M92</f>
        <v/>
      </c>
      <c r="O99" s="7">
        <f>'1 datos preparados'!N92</f>
        <v/>
      </c>
      <c r="P99" s="7">
        <f>'1 datos preparados'!O92</f>
        <v/>
      </c>
      <c r="Q99" s="7">
        <f>'1 datos preparados'!P92</f>
        <v/>
      </c>
      <c r="R99" s="7">
        <f>'1 datos preparados'!Q92</f>
        <v/>
      </c>
      <c r="S99" s="7">
        <f>'1 datos preparados'!R92</f>
        <v/>
      </c>
      <c r="T99" s="7">
        <f>'1 datos preparados'!S92</f>
        <v/>
      </c>
      <c r="U99" s="7">
        <f>'1 datos preparados'!T92</f>
        <v/>
      </c>
      <c r="V99" s="8">
        <f>$AE$12+D99*$AE$13+E99*$AE$14+F99*$AE$15+G99*$AE$16+H99*$AE$17+I99*$AE$18+J99*$AE$19+K99*$AE$20+L99*$AE$21+M99*$AE$22+N99*$AE$23+O99*$AE$24+P99*$AE$25+Q99*$AE$26+R99*$AE$27+S99*$AE$28+T99*$AE$29+U99*$AE$30</f>
        <v/>
      </c>
      <c r="W99" s="8">
        <f>1/(1+EXP(-V99))</f>
        <v/>
      </c>
      <c r="X99" s="9">
        <f>-IF(C99=1,LN(W99),LN(1-W99))</f>
        <v/>
      </c>
      <c r="Y99" s="8">
        <f>'1 datos preparados'!V92</f>
        <v/>
      </c>
      <c r="Z99" s="9">
        <f>Y99*X99</f>
        <v/>
      </c>
      <c r="AA99" s="10">
        <f>IF(W99&gt;$AE$33,1,0)</f>
        <v/>
      </c>
      <c r="AB99">
        <f>IF(AA99=C99,1,0)</f>
        <v/>
      </c>
    </row>
    <row r="100">
      <c r="A100">
        <f>'1 datos preparados'!A93</f>
        <v/>
      </c>
      <c r="B100" s="5">
        <f>'1 datos preparados'!U93</f>
        <v/>
      </c>
      <c r="C100">
        <f>'1 datos preparados'!B93</f>
        <v/>
      </c>
      <c r="D100" s="7">
        <f>'1 datos preparados'!C93</f>
        <v/>
      </c>
      <c r="E100" s="7">
        <f>'1 datos preparados'!D93</f>
        <v/>
      </c>
      <c r="F100" s="7">
        <f>'1 datos preparados'!E93</f>
        <v/>
      </c>
      <c r="G100" s="7">
        <f>'1 datos preparados'!F93</f>
        <v/>
      </c>
      <c r="H100" s="7">
        <f>'1 datos preparados'!G93</f>
        <v/>
      </c>
      <c r="I100" s="7">
        <f>'1 datos preparados'!H93</f>
        <v/>
      </c>
      <c r="J100" s="7">
        <f>'1 datos preparados'!I93</f>
        <v/>
      </c>
      <c r="K100" s="7">
        <f>'1 datos preparados'!J93</f>
        <v/>
      </c>
      <c r="L100" s="7">
        <f>'1 datos preparados'!K93</f>
        <v/>
      </c>
      <c r="M100" s="7">
        <f>'1 datos preparados'!L93</f>
        <v/>
      </c>
      <c r="N100" s="7">
        <f>'1 datos preparados'!M93</f>
        <v/>
      </c>
      <c r="O100" s="7">
        <f>'1 datos preparados'!N93</f>
        <v/>
      </c>
      <c r="P100" s="7">
        <f>'1 datos preparados'!O93</f>
        <v/>
      </c>
      <c r="Q100" s="7">
        <f>'1 datos preparados'!P93</f>
        <v/>
      </c>
      <c r="R100" s="7">
        <f>'1 datos preparados'!Q93</f>
        <v/>
      </c>
      <c r="S100" s="7">
        <f>'1 datos preparados'!R93</f>
        <v/>
      </c>
      <c r="T100" s="7">
        <f>'1 datos preparados'!S93</f>
        <v/>
      </c>
      <c r="U100" s="7">
        <f>'1 datos preparados'!T93</f>
        <v/>
      </c>
      <c r="V100" s="8">
        <f>$AE$12+D100*$AE$13+E100*$AE$14+F100*$AE$15+G100*$AE$16+H100*$AE$17+I100*$AE$18+J100*$AE$19+K100*$AE$20+L100*$AE$21+M100*$AE$22+N100*$AE$23+O100*$AE$24+P100*$AE$25+Q100*$AE$26+R100*$AE$27+S100*$AE$28+T100*$AE$29+U100*$AE$30</f>
        <v/>
      </c>
      <c r="W100" s="8">
        <f>1/(1+EXP(-V100))</f>
        <v/>
      </c>
      <c r="X100" s="9">
        <f>-IF(C100=1,LN(W100),LN(1-W100))</f>
        <v/>
      </c>
      <c r="Y100" s="8">
        <f>'1 datos preparados'!V93</f>
        <v/>
      </c>
      <c r="Z100" s="9">
        <f>Y100*X100</f>
        <v/>
      </c>
      <c r="AA100" s="10">
        <f>IF(W100&gt;$AE$33,1,0)</f>
        <v/>
      </c>
      <c r="AB100">
        <f>IF(AA100=C100,1,0)</f>
        <v/>
      </c>
    </row>
    <row r="101">
      <c r="A101">
        <f>'1 datos preparados'!A94</f>
        <v/>
      </c>
      <c r="B101" s="5">
        <f>'1 datos preparados'!U94</f>
        <v/>
      </c>
      <c r="C101">
        <f>'1 datos preparados'!B94</f>
        <v/>
      </c>
      <c r="D101" s="7">
        <f>'1 datos preparados'!C94</f>
        <v/>
      </c>
      <c r="E101" s="7">
        <f>'1 datos preparados'!D94</f>
        <v/>
      </c>
      <c r="F101" s="7">
        <f>'1 datos preparados'!E94</f>
        <v/>
      </c>
      <c r="G101" s="7">
        <f>'1 datos preparados'!F94</f>
        <v/>
      </c>
      <c r="H101" s="7">
        <f>'1 datos preparados'!G94</f>
        <v/>
      </c>
      <c r="I101" s="7">
        <f>'1 datos preparados'!H94</f>
        <v/>
      </c>
      <c r="J101" s="7">
        <f>'1 datos preparados'!I94</f>
        <v/>
      </c>
      <c r="K101" s="7">
        <f>'1 datos preparados'!J94</f>
        <v/>
      </c>
      <c r="L101" s="7">
        <f>'1 datos preparados'!K94</f>
        <v/>
      </c>
      <c r="M101" s="7">
        <f>'1 datos preparados'!L94</f>
        <v/>
      </c>
      <c r="N101" s="7">
        <f>'1 datos preparados'!M94</f>
        <v/>
      </c>
      <c r="O101" s="7">
        <f>'1 datos preparados'!N94</f>
        <v/>
      </c>
      <c r="P101" s="7">
        <f>'1 datos preparados'!O94</f>
        <v/>
      </c>
      <c r="Q101" s="7">
        <f>'1 datos preparados'!P94</f>
        <v/>
      </c>
      <c r="R101" s="7">
        <f>'1 datos preparados'!Q94</f>
        <v/>
      </c>
      <c r="S101" s="7">
        <f>'1 datos preparados'!R94</f>
        <v/>
      </c>
      <c r="T101" s="7">
        <f>'1 datos preparados'!S94</f>
        <v/>
      </c>
      <c r="U101" s="7">
        <f>'1 datos preparados'!T94</f>
        <v/>
      </c>
      <c r="V101" s="8">
        <f>$AE$12+D101*$AE$13+E101*$AE$14+F101*$AE$15+G101*$AE$16+H101*$AE$17+I101*$AE$18+J101*$AE$19+K101*$AE$20+L101*$AE$21+M101*$AE$22+N101*$AE$23+O101*$AE$24+P101*$AE$25+Q101*$AE$26+R101*$AE$27+S101*$AE$28+T101*$AE$29+U101*$AE$30</f>
        <v/>
      </c>
      <c r="W101" s="8">
        <f>1/(1+EXP(-V101))</f>
        <v/>
      </c>
      <c r="X101" s="9">
        <f>-IF(C101=1,LN(W101),LN(1-W101))</f>
        <v/>
      </c>
      <c r="Y101" s="8">
        <f>'1 datos preparados'!V94</f>
        <v/>
      </c>
      <c r="Z101" s="9">
        <f>Y101*X101</f>
        <v/>
      </c>
      <c r="AA101" s="10">
        <f>IF(W101&gt;$AE$33,1,0)</f>
        <v/>
      </c>
      <c r="AB101">
        <f>IF(AA101=C101,1,0)</f>
        <v/>
      </c>
    </row>
    <row r="102">
      <c r="A102">
        <f>'1 datos preparados'!A95</f>
        <v/>
      </c>
      <c r="B102" s="5">
        <f>'1 datos preparados'!U95</f>
        <v/>
      </c>
      <c r="C102">
        <f>'1 datos preparados'!B95</f>
        <v/>
      </c>
      <c r="D102" s="7">
        <f>'1 datos preparados'!C95</f>
        <v/>
      </c>
      <c r="E102" s="7">
        <f>'1 datos preparados'!D95</f>
        <v/>
      </c>
      <c r="F102" s="7">
        <f>'1 datos preparados'!E95</f>
        <v/>
      </c>
      <c r="G102" s="7">
        <f>'1 datos preparados'!F95</f>
        <v/>
      </c>
      <c r="H102" s="7">
        <f>'1 datos preparados'!G95</f>
        <v/>
      </c>
      <c r="I102" s="7">
        <f>'1 datos preparados'!H95</f>
        <v/>
      </c>
      <c r="J102" s="7">
        <f>'1 datos preparados'!I95</f>
        <v/>
      </c>
      <c r="K102" s="7">
        <f>'1 datos preparados'!J95</f>
        <v/>
      </c>
      <c r="L102" s="7">
        <f>'1 datos preparados'!K95</f>
        <v/>
      </c>
      <c r="M102" s="7">
        <f>'1 datos preparados'!L95</f>
        <v/>
      </c>
      <c r="N102" s="7">
        <f>'1 datos preparados'!M95</f>
        <v/>
      </c>
      <c r="O102" s="7">
        <f>'1 datos preparados'!N95</f>
        <v/>
      </c>
      <c r="P102" s="7">
        <f>'1 datos preparados'!O95</f>
        <v/>
      </c>
      <c r="Q102" s="7">
        <f>'1 datos preparados'!P95</f>
        <v/>
      </c>
      <c r="R102" s="7">
        <f>'1 datos preparados'!Q95</f>
        <v/>
      </c>
      <c r="S102" s="7">
        <f>'1 datos preparados'!R95</f>
        <v/>
      </c>
      <c r="T102" s="7">
        <f>'1 datos preparados'!S95</f>
        <v/>
      </c>
      <c r="U102" s="7">
        <f>'1 datos preparados'!T95</f>
        <v/>
      </c>
      <c r="V102" s="8">
        <f>$AE$12+D102*$AE$13+E102*$AE$14+F102*$AE$15+G102*$AE$16+H102*$AE$17+I102*$AE$18+J102*$AE$19+K102*$AE$20+L102*$AE$21+M102*$AE$22+N102*$AE$23+O102*$AE$24+P102*$AE$25+Q102*$AE$26+R102*$AE$27+S102*$AE$28+T102*$AE$29+U102*$AE$30</f>
        <v/>
      </c>
      <c r="W102" s="8">
        <f>1/(1+EXP(-V102))</f>
        <v/>
      </c>
      <c r="X102" s="9">
        <f>-IF(C102=1,LN(W102),LN(1-W102))</f>
        <v/>
      </c>
      <c r="Y102" s="8">
        <f>'1 datos preparados'!V95</f>
        <v/>
      </c>
      <c r="Z102" s="9">
        <f>Y102*X102</f>
        <v/>
      </c>
      <c r="AA102" s="10">
        <f>IF(W102&gt;$AE$33,1,0)</f>
        <v/>
      </c>
      <c r="AB102">
        <f>IF(AA102=C102,1,0)</f>
        <v/>
      </c>
    </row>
    <row r="103">
      <c r="A103">
        <f>'1 datos preparados'!A96</f>
        <v/>
      </c>
      <c r="B103" s="5">
        <f>'1 datos preparados'!U96</f>
        <v/>
      </c>
      <c r="C103">
        <f>'1 datos preparados'!B96</f>
        <v/>
      </c>
      <c r="D103" s="7">
        <f>'1 datos preparados'!C96</f>
        <v/>
      </c>
      <c r="E103" s="7">
        <f>'1 datos preparados'!D96</f>
        <v/>
      </c>
      <c r="F103" s="7">
        <f>'1 datos preparados'!E96</f>
        <v/>
      </c>
      <c r="G103" s="7">
        <f>'1 datos preparados'!F96</f>
        <v/>
      </c>
      <c r="H103" s="7">
        <f>'1 datos preparados'!G96</f>
        <v/>
      </c>
      <c r="I103" s="7">
        <f>'1 datos preparados'!H96</f>
        <v/>
      </c>
      <c r="J103" s="7">
        <f>'1 datos preparados'!I96</f>
        <v/>
      </c>
      <c r="K103" s="7">
        <f>'1 datos preparados'!J96</f>
        <v/>
      </c>
      <c r="L103" s="7">
        <f>'1 datos preparados'!K96</f>
        <v/>
      </c>
      <c r="M103" s="7">
        <f>'1 datos preparados'!L96</f>
        <v/>
      </c>
      <c r="N103" s="7">
        <f>'1 datos preparados'!M96</f>
        <v/>
      </c>
      <c r="O103" s="7">
        <f>'1 datos preparados'!N96</f>
        <v/>
      </c>
      <c r="P103" s="7">
        <f>'1 datos preparados'!O96</f>
        <v/>
      </c>
      <c r="Q103" s="7">
        <f>'1 datos preparados'!P96</f>
        <v/>
      </c>
      <c r="R103" s="7">
        <f>'1 datos preparados'!Q96</f>
        <v/>
      </c>
      <c r="S103" s="7">
        <f>'1 datos preparados'!R96</f>
        <v/>
      </c>
      <c r="T103" s="7">
        <f>'1 datos preparados'!S96</f>
        <v/>
      </c>
      <c r="U103" s="7">
        <f>'1 datos preparados'!T96</f>
        <v/>
      </c>
      <c r="V103" s="8">
        <f>$AE$12+D103*$AE$13+E103*$AE$14+F103*$AE$15+G103*$AE$16+H103*$AE$17+I103*$AE$18+J103*$AE$19+K103*$AE$20+L103*$AE$21+M103*$AE$22+N103*$AE$23+O103*$AE$24+P103*$AE$25+Q103*$AE$26+R103*$AE$27+S103*$AE$28+T103*$AE$29+U103*$AE$30</f>
        <v/>
      </c>
      <c r="W103" s="8">
        <f>1/(1+EXP(-V103))</f>
        <v/>
      </c>
      <c r="X103" s="9">
        <f>-IF(C103=1,LN(W103),LN(1-W103))</f>
        <v/>
      </c>
      <c r="Y103" s="8">
        <f>'1 datos preparados'!V96</f>
        <v/>
      </c>
      <c r="Z103" s="9">
        <f>Y103*X103</f>
        <v/>
      </c>
      <c r="AA103" s="10">
        <f>IF(W103&gt;$AE$33,1,0)</f>
        <v/>
      </c>
      <c r="AB103">
        <f>IF(AA103=C103,1,0)</f>
        <v/>
      </c>
    </row>
    <row r="104">
      <c r="A104">
        <f>'1 datos preparados'!A97</f>
        <v/>
      </c>
      <c r="B104" s="5">
        <f>'1 datos preparados'!U97</f>
        <v/>
      </c>
      <c r="C104">
        <f>'1 datos preparados'!B97</f>
        <v/>
      </c>
      <c r="D104" s="7">
        <f>'1 datos preparados'!C97</f>
        <v/>
      </c>
      <c r="E104" s="7">
        <f>'1 datos preparados'!D97</f>
        <v/>
      </c>
      <c r="F104" s="7">
        <f>'1 datos preparados'!E97</f>
        <v/>
      </c>
      <c r="G104" s="7">
        <f>'1 datos preparados'!F97</f>
        <v/>
      </c>
      <c r="H104" s="7">
        <f>'1 datos preparados'!G97</f>
        <v/>
      </c>
      <c r="I104" s="7">
        <f>'1 datos preparados'!H97</f>
        <v/>
      </c>
      <c r="J104" s="7">
        <f>'1 datos preparados'!I97</f>
        <v/>
      </c>
      <c r="K104" s="7">
        <f>'1 datos preparados'!J97</f>
        <v/>
      </c>
      <c r="L104" s="7">
        <f>'1 datos preparados'!K97</f>
        <v/>
      </c>
      <c r="M104" s="7">
        <f>'1 datos preparados'!L97</f>
        <v/>
      </c>
      <c r="N104" s="7">
        <f>'1 datos preparados'!M97</f>
        <v/>
      </c>
      <c r="O104" s="7">
        <f>'1 datos preparados'!N97</f>
        <v/>
      </c>
      <c r="P104" s="7">
        <f>'1 datos preparados'!O97</f>
        <v/>
      </c>
      <c r="Q104" s="7">
        <f>'1 datos preparados'!P97</f>
        <v/>
      </c>
      <c r="R104" s="7">
        <f>'1 datos preparados'!Q97</f>
        <v/>
      </c>
      <c r="S104" s="7">
        <f>'1 datos preparados'!R97</f>
        <v/>
      </c>
      <c r="T104" s="7">
        <f>'1 datos preparados'!S97</f>
        <v/>
      </c>
      <c r="U104" s="7">
        <f>'1 datos preparados'!T97</f>
        <v/>
      </c>
      <c r="V104" s="8">
        <f>$AE$12+D104*$AE$13+E104*$AE$14+F104*$AE$15+G104*$AE$16+H104*$AE$17+I104*$AE$18+J104*$AE$19+K104*$AE$20+L104*$AE$21+M104*$AE$22+N104*$AE$23+O104*$AE$24+P104*$AE$25+Q104*$AE$26+R104*$AE$27+S104*$AE$28+T104*$AE$29+U104*$AE$30</f>
        <v/>
      </c>
      <c r="W104" s="8">
        <f>1/(1+EXP(-V104))</f>
        <v/>
      </c>
      <c r="X104" s="9">
        <f>-IF(C104=1,LN(W104),LN(1-W104))</f>
        <v/>
      </c>
      <c r="Y104" s="8">
        <f>'1 datos preparados'!V97</f>
        <v/>
      </c>
      <c r="Z104" s="9">
        <f>Y104*X104</f>
        <v/>
      </c>
      <c r="AA104" s="10">
        <f>IF(W104&gt;$AE$33,1,0)</f>
        <v/>
      </c>
      <c r="AB104">
        <f>IF(AA104=C104,1,0)</f>
        <v/>
      </c>
    </row>
    <row r="105">
      <c r="A105">
        <f>'1 datos preparados'!A98</f>
        <v/>
      </c>
      <c r="B105" s="5">
        <f>'1 datos preparados'!U98</f>
        <v/>
      </c>
      <c r="C105">
        <f>'1 datos preparados'!B98</f>
        <v/>
      </c>
      <c r="D105" s="7">
        <f>'1 datos preparados'!C98</f>
        <v/>
      </c>
      <c r="E105" s="7">
        <f>'1 datos preparados'!D98</f>
        <v/>
      </c>
      <c r="F105" s="7">
        <f>'1 datos preparados'!E98</f>
        <v/>
      </c>
      <c r="G105" s="7">
        <f>'1 datos preparados'!F98</f>
        <v/>
      </c>
      <c r="H105" s="7">
        <f>'1 datos preparados'!G98</f>
        <v/>
      </c>
      <c r="I105" s="7">
        <f>'1 datos preparados'!H98</f>
        <v/>
      </c>
      <c r="J105" s="7">
        <f>'1 datos preparados'!I98</f>
        <v/>
      </c>
      <c r="K105" s="7">
        <f>'1 datos preparados'!J98</f>
        <v/>
      </c>
      <c r="L105" s="7">
        <f>'1 datos preparados'!K98</f>
        <v/>
      </c>
      <c r="M105" s="7">
        <f>'1 datos preparados'!L98</f>
        <v/>
      </c>
      <c r="N105" s="7">
        <f>'1 datos preparados'!M98</f>
        <v/>
      </c>
      <c r="O105" s="7">
        <f>'1 datos preparados'!N98</f>
        <v/>
      </c>
      <c r="P105" s="7">
        <f>'1 datos preparados'!O98</f>
        <v/>
      </c>
      <c r="Q105" s="7">
        <f>'1 datos preparados'!P98</f>
        <v/>
      </c>
      <c r="R105" s="7">
        <f>'1 datos preparados'!Q98</f>
        <v/>
      </c>
      <c r="S105" s="7">
        <f>'1 datos preparados'!R98</f>
        <v/>
      </c>
      <c r="T105" s="7">
        <f>'1 datos preparados'!S98</f>
        <v/>
      </c>
      <c r="U105" s="7">
        <f>'1 datos preparados'!T98</f>
        <v/>
      </c>
      <c r="V105" s="8">
        <f>$AE$12+D105*$AE$13+E105*$AE$14+F105*$AE$15+G105*$AE$16+H105*$AE$17+I105*$AE$18+J105*$AE$19+K105*$AE$20+L105*$AE$21+M105*$AE$22+N105*$AE$23+O105*$AE$24+P105*$AE$25+Q105*$AE$26+R105*$AE$27+S105*$AE$28+T105*$AE$29+U105*$AE$30</f>
        <v/>
      </c>
      <c r="W105" s="8">
        <f>1/(1+EXP(-V105))</f>
        <v/>
      </c>
      <c r="X105" s="9">
        <f>-IF(C105=1,LN(W105),LN(1-W105))</f>
        <v/>
      </c>
      <c r="Y105" s="8">
        <f>'1 datos preparados'!V98</f>
        <v/>
      </c>
      <c r="Z105" s="9">
        <f>Y105*X105</f>
        <v/>
      </c>
      <c r="AA105" s="10">
        <f>IF(W105&gt;$AE$33,1,0)</f>
        <v/>
      </c>
      <c r="AB105">
        <f>IF(AA105=C105,1,0)</f>
        <v/>
      </c>
    </row>
    <row r="106">
      <c r="A106">
        <f>'1 datos preparados'!A99</f>
        <v/>
      </c>
      <c r="B106" s="5">
        <f>'1 datos preparados'!U99</f>
        <v/>
      </c>
      <c r="C106">
        <f>'1 datos preparados'!B99</f>
        <v/>
      </c>
      <c r="D106" s="7">
        <f>'1 datos preparados'!C99</f>
        <v/>
      </c>
      <c r="E106" s="7">
        <f>'1 datos preparados'!D99</f>
        <v/>
      </c>
      <c r="F106" s="7">
        <f>'1 datos preparados'!E99</f>
        <v/>
      </c>
      <c r="G106" s="7">
        <f>'1 datos preparados'!F99</f>
        <v/>
      </c>
      <c r="H106" s="7">
        <f>'1 datos preparados'!G99</f>
        <v/>
      </c>
      <c r="I106" s="7">
        <f>'1 datos preparados'!H99</f>
        <v/>
      </c>
      <c r="J106" s="7">
        <f>'1 datos preparados'!I99</f>
        <v/>
      </c>
      <c r="K106" s="7">
        <f>'1 datos preparados'!J99</f>
        <v/>
      </c>
      <c r="L106" s="7">
        <f>'1 datos preparados'!K99</f>
        <v/>
      </c>
      <c r="M106" s="7">
        <f>'1 datos preparados'!L99</f>
        <v/>
      </c>
      <c r="N106" s="7">
        <f>'1 datos preparados'!M99</f>
        <v/>
      </c>
      <c r="O106" s="7">
        <f>'1 datos preparados'!N99</f>
        <v/>
      </c>
      <c r="P106" s="7">
        <f>'1 datos preparados'!O99</f>
        <v/>
      </c>
      <c r="Q106" s="7">
        <f>'1 datos preparados'!P99</f>
        <v/>
      </c>
      <c r="R106" s="7">
        <f>'1 datos preparados'!Q99</f>
        <v/>
      </c>
      <c r="S106" s="7">
        <f>'1 datos preparados'!R99</f>
        <v/>
      </c>
      <c r="T106" s="7">
        <f>'1 datos preparados'!S99</f>
        <v/>
      </c>
      <c r="U106" s="7">
        <f>'1 datos preparados'!T99</f>
        <v/>
      </c>
      <c r="V106" s="8">
        <f>$AE$12+D106*$AE$13+E106*$AE$14+F106*$AE$15+G106*$AE$16+H106*$AE$17+I106*$AE$18+J106*$AE$19+K106*$AE$20+L106*$AE$21+M106*$AE$22+N106*$AE$23+O106*$AE$24+P106*$AE$25+Q106*$AE$26+R106*$AE$27+S106*$AE$28+T106*$AE$29+U106*$AE$30</f>
        <v/>
      </c>
      <c r="W106" s="8">
        <f>1/(1+EXP(-V106))</f>
        <v/>
      </c>
      <c r="X106" s="9">
        <f>-IF(C106=1,LN(W106),LN(1-W106))</f>
        <v/>
      </c>
      <c r="Y106" s="8">
        <f>'1 datos preparados'!V99</f>
        <v/>
      </c>
      <c r="Z106" s="9">
        <f>Y106*X106</f>
        <v/>
      </c>
      <c r="AA106" s="10">
        <f>IF(W106&gt;$AE$33,1,0)</f>
        <v/>
      </c>
      <c r="AB106">
        <f>IF(AA106=C106,1,0)</f>
        <v/>
      </c>
    </row>
    <row r="107">
      <c r="A107">
        <f>'1 datos preparados'!A100</f>
        <v/>
      </c>
      <c r="B107" s="5">
        <f>'1 datos preparados'!U100</f>
        <v/>
      </c>
      <c r="C107">
        <f>'1 datos preparados'!B100</f>
        <v/>
      </c>
      <c r="D107" s="7">
        <f>'1 datos preparados'!C100</f>
        <v/>
      </c>
      <c r="E107" s="7">
        <f>'1 datos preparados'!D100</f>
        <v/>
      </c>
      <c r="F107" s="7">
        <f>'1 datos preparados'!E100</f>
        <v/>
      </c>
      <c r="G107" s="7">
        <f>'1 datos preparados'!F100</f>
        <v/>
      </c>
      <c r="H107" s="7">
        <f>'1 datos preparados'!G100</f>
        <v/>
      </c>
      <c r="I107" s="7">
        <f>'1 datos preparados'!H100</f>
        <v/>
      </c>
      <c r="J107" s="7">
        <f>'1 datos preparados'!I100</f>
        <v/>
      </c>
      <c r="K107" s="7">
        <f>'1 datos preparados'!J100</f>
        <v/>
      </c>
      <c r="L107" s="7">
        <f>'1 datos preparados'!K100</f>
        <v/>
      </c>
      <c r="M107" s="7">
        <f>'1 datos preparados'!L100</f>
        <v/>
      </c>
      <c r="N107" s="7">
        <f>'1 datos preparados'!M100</f>
        <v/>
      </c>
      <c r="O107" s="7">
        <f>'1 datos preparados'!N100</f>
        <v/>
      </c>
      <c r="P107" s="7">
        <f>'1 datos preparados'!O100</f>
        <v/>
      </c>
      <c r="Q107" s="7">
        <f>'1 datos preparados'!P100</f>
        <v/>
      </c>
      <c r="R107" s="7">
        <f>'1 datos preparados'!Q100</f>
        <v/>
      </c>
      <c r="S107" s="7">
        <f>'1 datos preparados'!R100</f>
        <v/>
      </c>
      <c r="T107" s="7">
        <f>'1 datos preparados'!S100</f>
        <v/>
      </c>
      <c r="U107" s="7">
        <f>'1 datos preparados'!T100</f>
        <v/>
      </c>
      <c r="V107" s="8">
        <f>$AE$12+D107*$AE$13+E107*$AE$14+F107*$AE$15+G107*$AE$16+H107*$AE$17+I107*$AE$18+J107*$AE$19+K107*$AE$20+L107*$AE$21+M107*$AE$22+N107*$AE$23+O107*$AE$24+P107*$AE$25+Q107*$AE$26+R107*$AE$27+S107*$AE$28+T107*$AE$29+U107*$AE$30</f>
        <v/>
      </c>
      <c r="W107" s="8">
        <f>1/(1+EXP(-V107))</f>
        <v/>
      </c>
      <c r="X107" s="9">
        <f>-IF(C107=1,LN(W107),LN(1-W107))</f>
        <v/>
      </c>
      <c r="Y107" s="8">
        <f>'1 datos preparados'!V100</f>
        <v/>
      </c>
      <c r="Z107" s="9">
        <f>Y107*X107</f>
        <v/>
      </c>
      <c r="AA107" s="10">
        <f>IF(W107&gt;$AE$33,1,0)</f>
        <v/>
      </c>
      <c r="AB107">
        <f>IF(AA107=C107,1,0)</f>
        <v/>
      </c>
    </row>
    <row r="108">
      <c r="A108">
        <f>'1 datos preparados'!A101</f>
        <v/>
      </c>
      <c r="B108" s="5">
        <f>'1 datos preparados'!U101</f>
        <v/>
      </c>
      <c r="C108">
        <f>'1 datos preparados'!B101</f>
        <v/>
      </c>
      <c r="D108" s="7">
        <f>'1 datos preparados'!C101</f>
        <v/>
      </c>
      <c r="E108" s="7">
        <f>'1 datos preparados'!D101</f>
        <v/>
      </c>
      <c r="F108" s="7">
        <f>'1 datos preparados'!E101</f>
        <v/>
      </c>
      <c r="G108" s="7">
        <f>'1 datos preparados'!F101</f>
        <v/>
      </c>
      <c r="H108" s="7">
        <f>'1 datos preparados'!G101</f>
        <v/>
      </c>
      <c r="I108" s="7">
        <f>'1 datos preparados'!H101</f>
        <v/>
      </c>
      <c r="J108" s="7">
        <f>'1 datos preparados'!I101</f>
        <v/>
      </c>
      <c r="K108" s="7">
        <f>'1 datos preparados'!J101</f>
        <v/>
      </c>
      <c r="L108" s="7">
        <f>'1 datos preparados'!K101</f>
        <v/>
      </c>
      <c r="M108" s="7">
        <f>'1 datos preparados'!L101</f>
        <v/>
      </c>
      <c r="N108" s="7">
        <f>'1 datos preparados'!M101</f>
        <v/>
      </c>
      <c r="O108" s="7">
        <f>'1 datos preparados'!N101</f>
        <v/>
      </c>
      <c r="P108" s="7">
        <f>'1 datos preparados'!O101</f>
        <v/>
      </c>
      <c r="Q108" s="7">
        <f>'1 datos preparados'!P101</f>
        <v/>
      </c>
      <c r="R108" s="7">
        <f>'1 datos preparados'!Q101</f>
        <v/>
      </c>
      <c r="S108" s="7">
        <f>'1 datos preparados'!R101</f>
        <v/>
      </c>
      <c r="T108" s="7">
        <f>'1 datos preparados'!S101</f>
        <v/>
      </c>
      <c r="U108" s="7">
        <f>'1 datos preparados'!T101</f>
        <v/>
      </c>
      <c r="V108" s="8">
        <f>$AE$12+D108*$AE$13+E108*$AE$14+F108*$AE$15+G108*$AE$16+H108*$AE$17+I108*$AE$18+J108*$AE$19+K108*$AE$20+L108*$AE$21+M108*$AE$22+N108*$AE$23+O108*$AE$24+P108*$AE$25+Q108*$AE$26+R108*$AE$27+S108*$AE$28+T108*$AE$29+U108*$AE$30</f>
        <v/>
      </c>
      <c r="W108" s="8">
        <f>1/(1+EXP(-V108))</f>
        <v/>
      </c>
      <c r="X108" s="9">
        <f>-IF(C108=1,LN(W108),LN(1-W108))</f>
        <v/>
      </c>
      <c r="Y108" s="8">
        <f>'1 datos preparados'!V101</f>
        <v/>
      </c>
      <c r="Z108" s="9">
        <f>Y108*X108</f>
        <v/>
      </c>
      <c r="AA108" s="10">
        <f>IF(W108&gt;$AE$33,1,0)</f>
        <v/>
      </c>
      <c r="AB108">
        <f>IF(AA108=C108,1,0)</f>
        <v/>
      </c>
    </row>
    <row r="109">
      <c r="A109">
        <f>'1 datos preparados'!A102</f>
        <v/>
      </c>
      <c r="B109" s="5">
        <f>'1 datos preparados'!U102</f>
        <v/>
      </c>
      <c r="C109">
        <f>'1 datos preparados'!B102</f>
        <v/>
      </c>
      <c r="D109" s="7">
        <f>'1 datos preparados'!C102</f>
        <v/>
      </c>
      <c r="E109" s="7">
        <f>'1 datos preparados'!D102</f>
        <v/>
      </c>
      <c r="F109" s="7">
        <f>'1 datos preparados'!E102</f>
        <v/>
      </c>
      <c r="G109" s="7">
        <f>'1 datos preparados'!F102</f>
        <v/>
      </c>
      <c r="H109" s="7">
        <f>'1 datos preparados'!G102</f>
        <v/>
      </c>
      <c r="I109" s="7">
        <f>'1 datos preparados'!H102</f>
        <v/>
      </c>
      <c r="J109" s="7">
        <f>'1 datos preparados'!I102</f>
        <v/>
      </c>
      <c r="K109" s="7">
        <f>'1 datos preparados'!J102</f>
        <v/>
      </c>
      <c r="L109" s="7">
        <f>'1 datos preparados'!K102</f>
        <v/>
      </c>
      <c r="M109" s="7">
        <f>'1 datos preparados'!L102</f>
        <v/>
      </c>
      <c r="N109" s="7">
        <f>'1 datos preparados'!M102</f>
        <v/>
      </c>
      <c r="O109" s="7">
        <f>'1 datos preparados'!N102</f>
        <v/>
      </c>
      <c r="P109" s="7">
        <f>'1 datos preparados'!O102</f>
        <v/>
      </c>
      <c r="Q109" s="7">
        <f>'1 datos preparados'!P102</f>
        <v/>
      </c>
      <c r="R109" s="7">
        <f>'1 datos preparados'!Q102</f>
        <v/>
      </c>
      <c r="S109" s="7">
        <f>'1 datos preparados'!R102</f>
        <v/>
      </c>
      <c r="T109" s="7">
        <f>'1 datos preparados'!S102</f>
        <v/>
      </c>
      <c r="U109" s="7">
        <f>'1 datos preparados'!T102</f>
        <v/>
      </c>
      <c r="V109" s="8">
        <f>$AE$12+D109*$AE$13+E109*$AE$14+F109*$AE$15+G109*$AE$16+H109*$AE$17+I109*$AE$18+J109*$AE$19+K109*$AE$20+L109*$AE$21+M109*$AE$22+N109*$AE$23+O109*$AE$24+P109*$AE$25+Q109*$AE$26+R109*$AE$27+S109*$AE$28+T109*$AE$29+U109*$AE$30</f>
        <v/>
      </c>
      <c r="W109" s="8">
        <f>1/(1+EXP(-V109))</f>
        <v/>
      </c>
      <c r="X109" s="9">
        <f>-IF(C109=1,LN(W109),LN(1-W109))</f>
        <v/>
      </c>
      <c r="Y109" s="8">
        <f>'1 datos preparados'!V102</f>
        <v/>
      </c>
      <c r="Z109" s="9">
        <f>Y109*X109</f>
        <v/>
      </c>
      <c r="AA109" s="10">
        <f>IF(W109&gt;$AE$33,1,0)</f>
        <v/>
      </c>
      <c r="AB109">
        <f>IF(AA109=C109,1,0)</f>
        <v/>
      </c>
    </row>
    <row r="110">
      <c r="A110">
        <f>'1 datos preparados'!A103</f>
        <v/>
      </c>
      <c r="B110" s="5">
        <f>'1 datos preparados'!U103</f>
        <v/>
      </c>
      <c r="C110">
        <f>'1 datos preparados'!B103</f>
        <v/>
      </c>
      <c r="D110" s="7">
        <f>'1 datos preparados'!C103</f>
        <v/>
      </c>
      <c r="E110" s="7">
        <f>'1 datos preparados'!D103</f>
        <v/>
      </c>
      <c r="F110" s="7">
        <f>'1 datos preparados'!E103</f>
        <v/>
      </c>
      <c r="G110" s="7">
        <f>'1 datos preparados'!F103</f>
        <v/>
      </c>
      <c r="H110" s="7">
        <f>'1 datos preparados'!G103</f>
        <v/>
      </c>
      <c r="I110" s="7">
        <f>'1 datos preparados'!H103</f>
        <v/>
      </c>
      <c r="J110" s="7">
        <f>'1 datos preparados'!I103</f>
        <v/>
      </c>
      <c r="K110" s="7">
        <f>'1 datos preparados'!J103</f>
        <v/>
      </c>
      <c r="L110" s="7">
        <f>'1 datos preparados'!K103</f>
        <v/>
      </c>
      <c r="M110" s="7">
        <f>'1 datos preparados'!L103</f>
        <v/>
      </c>
      <c r="N110" s="7">
        <f>'1 datos preparados'!M103</f>
        <v/>
      </c>
      <c r="O110" s="7">
        <f>'1 datos preparados'!N103</f>
        <v/>
      </c>
      <c r="P110" s="7">
        <f>'1 datos preparados'!O103</f>
        <v/>
      </c>
      <c r="Q110" s="7">
        <f>'1 datos preparados'!P103</f>
        <v/>
      </c>
      <c r="R110" s="7">
        <f>'1 datos preparados'!Q103</f>
        <v/>
      </c>
      <c r="S110" s="7">
        <f>'1 datos preparados'!R103</f>
        <v/>
      </c>
      <c r="T110" s="7">
        <f>'1 datos preparados'!S103</f>
        <v/>
      </c>
      <c r="U110" s="7">
        <f>'1 datos preparados'!T103</f>
        <v/>
      </c>
      <c r="V110" s="8">
        <f>$AE$12+D110*$AE$13+E110*$AE$14+F110*$AE$15+G110*$AE$16+H110*$AE$17+I110*$AE$18+J110*$AE$19+K110*$AE$20+L110*$AE$21+M110*$AE$22+N110*$AE$23+O110*$AE$24+P110*$AE$25+Q110*$AE$26+R110*$AE$27+S110*$AE$28+T110*$AE$29+U110*$AE$30</f>
        <v/>
      </c>
      <c r="W110" s="8">
        <f>1/(1+EXP(-V110))</f>
        <v/>
      </c>
      <c r="X110" s="9">
        <f>-IF(C110=1,LN(W110),LN(1-W110))</f>
        <v/>
      </c>
      <c r="Y110" s="8">
        <f>'1 datos preparados'!V103</f>
        <v/>
      </c>
      <c r="Z110" s="9">
        <f>Y110*X110</f>
        <v/>
      </c>
      <c r="AA110" s="10">
        <f>IF(W110&gt;$AE$33,1,0)</f>
        <v/>
      </c>
      <c r="AB110">
        <f>IF(AA110=C110,1,0)</f>
        <v/>
      </c>
    </row>
    <row r="111">
      <c r="A111">
        <f>'1 datos preparados'!A104</f>
        <v/>
      </c>
      <c r="B111" s="5">
        <f>'1 datos preparados'!U104</f>
        <v/>
      </c>
      <c r="C111">
        <f>'1 datos preparados'!B104</f>
        <v/>
      </c>
      <c r="D111" s="7">
        <f>'1 datos preparados'!C104</f>
        <v/>
      </c>
      <c r="E111" s="7">
        <f>'1 datos preparados'!D104</f>
        <v/>
      </c>
      <c r="F111" s="7">
        <f>'1 datos preparados'!E104</f>
        <v/>
      </c>
      <c r="G111" s="7">
        <f>'1 datos preparados'!F104</f>
        <v/>
      </c>
      <c r="H111" s="7">
        <f>'1 datos preparados'!G104</f>
        <v/>
      </c>
      <c r="I111" s="7">
        <f>'1 datos preparados'!H104</f>
        <v/>
      </c>
      <c r="J111" s="7">
        <f>'1 datos preparados'!I104</f>
        <v/>
      </c>
      <c r="K111" s="7">
        <f>'1 datos preparados'!J104</f>
        <v/>
      </c>
      <c r="L111" s="7">
        <f>'1 datos preparados'!K104</f>
        <v/>
      </c>
      <c r="M111" s="7">
        <f>'1 datos preparados'!L104</f>
        <v/>
      </c>
      <c r="N111" s="7">
        <f>'1 datos preparados'!M104</f>
        <v/>
      </c>
      <c r="O111" s="7">
        <f>'1 datos preparados'!N104</f>
        <v/>
      </c>
      <c r="P111" s="7">
        <f>'1 datos preparados'!O104</f>
        <v/>
      </c>
      <c r="Q111" s="7">
        <f>'1 datos preparados'!P104</f>
        <v/>
      </c>
      <c r="R111" s="7">
        <f>'1 datos preparados'!Q104</f>
        <v/>
      </c>
      <c r="S111" s="7">
        <f>'1 datos preparados'!R104</f>
        <v/>
      </c>
      <c r="T111" s="7">
        <f>'1 datos preparados'!S104</f>
        <v/>
      </c>
      <c r="U111" s="7">
        <f>'1 datos preparados'!T104</f>
        <v/>
      </c>
      <c r="V111" s="8">
        <f>$AE$12+D111*$AE$13+E111*$AE$14+F111*$AE$15+G111*$AE$16+H111*$AE$17+I111*$AE$18+J111*$AE$19+K111*$AE$20+L111*$AE$21+M111*$AE$22+N111*$AE$23+O111*$AE$24+P111*$AE$25+Q111*$AE$26+R111*$AE$27+S111*$AE$28+T111*$AE$29+U111*$AE$30</f>
        <v/>
      </c>
      <c r="W111" s="8">
        <f>1/(1+EXP(-V111))</f>
        <v/>
      </c>
      <c r="X111" s="9">
        <f>-IF(C111=1,LN(W111),LN(1-W111))</f>
        <v/>
      </c>
      <c r="Y111" s="8">
        <f>'1 datos preparados'!V104</f>
        <v/>
      </c>
      <c r="Z111" s="9">
        <f>Y111*X111</f>
        <v/>
      </c>
      <c r="AA111" s="10">
        <f>IF(W111&gt;$AE$33,1,0)</f>
        <v/>
      </c>
      <c r="AB111">
        <f>IF(AA111=C111,1,0)</f>
        <v/>
      </c>
    </row>
    <row r="112">
      <c r="A112">
        <f>'1 datos preparados'!A105</f>
        <v/>
      </c>
      <c r="B112" s="5">
        <f>'1 datos preparados'!U105</f>
        <v/>
      </c>
      <c r="C112">
        <f>'1 datos preparados'!B105</f>
        <v/>
      </c>
      <c r="D112" s="7">
        <f>'1 datos preparados'!C105</f>
        <v/>
      </c>
      <c r="E112" s="7">
        <f>'1 datos preparados'!D105</f>
        <v/>
      </c>
      <c r="F112" s="7">
        <f>'1 datos preparados'!E105</f>
        <v/>
      </c>
      <c r="G112" s="7">
        <f>'1 datos preparados'!F105</f>
        <v/>
      </c>
      <c r="H112" s="7">
        <f>'1 datos preparados'!G105</f>
        <v/>
      </c>
      <c r="I112" s="7">
        <f>'1 datos preparados'!H105</f>
        <v/>
      </c>
      <c r="J112" s="7">
        <f>'1 datos preparados'!I105</f>
        <v/>
      </c>
      <c r="K112" s="7">
        <f>'1 datos preparados'!J105</f>
        <v/>
      </c>
      <c r="L112" s="7">
        <f>'1 datos preparados'!K105</f>
        <v/>
      </c>
      <c r="M112" s="7">
        <f>'1 datos preparados'!L105</f>
        <v/>
      </c>
      <c r="N112" s="7">
        <f>'1 datos preparados'!M105</f>
        <v/>
      </c>
      <c r="O112" s="7">
        <f>'1 datos preparados'!N105</f>
        <v/>
      </c>
      <c r="P112" s="7">
        <f>'1 datos preparados'!O105</f>
        <v/>
      </c>
      <c r="Q112" s="7">
        <f>'1 datos preparados'!P105</f>
        <v/>
      </c>
      <c r="R112" s="7">
        <f>'1 datos preparados'!Q105</f>
        <v/>
      </c>
      <c r="S112" s="7">
        <f>'1 datos preparados'!R105</f>
        <v/>
      </c>
      <c r="T112" s="7">
        <f>'1 datos preparados'!S105</f>
        <v/>
      </c>
      <c r="U112" s="7">
        <f>'1 datos preparados'!T105</f>
        <v/>
      </c>
      <c r="V112" s="8">
        <f>$AE$12+D112*$AE$13+E112*$AE$14+F112*$AE$15+G112*$AE$16+H112*$AE$17+I112*$AE$18+J112*$AE$19+K112*$AE$20+L112*$AE$21+M112*$AE$22+N112*$AE$23+O112*$AE$24+P112*$AE$25+Q112*$AE$26+R112*$AE$27+S112*$AE$28+T112*$AE$29+U112*$AE$30</f>
        <v/>
      </c>
      <c r="W112" s="8">
        <f>1/(1+EXP(-V112))</f>
        <v/>
      </c>
      <c r="X112" s="9">
        <f>-IF(C112=1,LN(W112),LN(1-W112))</f>
        <v/>
      </c>
      <c r="Y112" s="8">
        <f>'1 datos preparados'!V105</f>
        <v/>
      </c>
      <c r="Z112" s="9">
        <f>Y112*X112</f>
        <v/>
      </c>
      <c r="AA112" s="10">
        <f>IF(W112&gt;$AE$33,1,0)</f>
        <v/>
      </c>
      <c r="AB112">
        <f>IF(AA112=C112,1,0)</f>
        <v/>
      </c>
    </row>
    <row r="113">
      <c r="A113">
        <f>'1 datos preparados'!A106</f>
        <v/>
      </c>
      <c r="B113" s="5">
        <f>'1 datos preparados'!U106</f>
        <v/>
      </c>
      <c r="C113">
        <f>'1 datos preparados'!B106</f>
        <v/>
      </c>
      <c r="D113" s="7">
        <f>'1 datos preparados'!C106</f>
        <v/>
      </c>
      <c r="E113" s="7">
        <f>'1 datos preparados'!D106</f>
        <v/>
      </c>
      <c r="F113" s="7">
        <f>'1 datos preparados'!E106</f>
        <v/>
      </c>
      <c r="G113" s="7">
        <f>'1 datos preparados'!F106</f>
        <v/>
      </c>
      <c r="H113" s="7">
        <f>'1 datos preparados'!G106</f>
        <v/>
      </c>
      <c r="I113" s="7">
        <f>'1 datos preparados'!H106</f>
        <v/>
      </c>
      <c r="J113" s="7">
        <f>'1 datos preparados'!I106</f>
        <v/>
      </c>
      <c r="K113" s="7">
        <f>'1 datos preparados'!J106</f>
        <v/>
      </c>
      <c r="L113" s="7">
        <f>'1 datos preparados'!K106</f>
        <v/>
      </c>
      <c r="M113" s="7">
        <f>'1 datos preparados'!L106</f>
        <v/>
      </c>
      <c r="N113" s="7">
        <f>'1 datos preparados'!M106</f>
        <v/>
      </c>
      <c r="O113" s="7">
        <f>'1 datos preparados'!N106</f>
        <v/>
      </c>
      <c r="P113" s="7">
        <f>'1 datos preparados'!O106</f>
        <v/>
      </c>
      <c r="Q113" s="7">
        <f>'1 datos preparados'!P106</f>
        <v/>
      </c>
      <c r="R113" s="7">
        <f>'1 datos preparados'!Q106</f>
        <v/>
      </c>
      <c r="S113" s="7">
        <f>'1 datos preparados'!R106</f>
        <v/>
      </c>
      <c r="T113" s="7">
        <f>'1 datos preparados'!S106</f>
        <v/>
      </c>
      <c r="U113" s="7">
        <f>'1 datos preparados'!T106</f>
        <v/>
      </c>
      <c r="V113" s="8">
        <f>$AE$12+D113*$AE$13+E113*$AE$14+F113*$AE$15+G113*$AE$16+H113*$AE$17+I113*$AE$18+J113*$AE$19+K113*$AE$20+L113*$AE$21+M113*$AE$22+N113*$AE$23+O113*$AE$24+P113*$AE$25+Q113*$AE$26+R113*$AE$27+S113*$AE$28+T113*$AE$29+U113*$AE$30</f>
        <v/>
      </c>
      <c r="W113" s="8">
        <f>1/(1+EXP(-V113))</f>
        <v/>
      </c>
      <c r="X113" s="9">
        <f>-IF(C113=1,LN(W113),LN(1-W113))</f>
        <v/>
      </c>
      <c r="Y113" s="8">
        <f>'1 datos preparados'!V106</f>
        <v/>
      </c>
      <c r="Z113" s="9">
        <f>Y113*X113</f>
        <v/>
      </c>
      <c r="AA113" s="10">
        <f>IF(W113&gt;$AE$33,1,0)</f>
        <v/>
      </c>
      <c r="AB113">
        <f>IF(AA113=C113,1,0)</f>
        <v/>
      </c>
    </row>
    <row r="114">
      <c r="A114">
        <f>'1 datos preparados'!A107</f>
        <v/>
      </c>
      <c r="B114" s="5">
        <f>'1 datos preparados'!U107</f>
        <v/>
      </c>
      <c r="C114">
        <f>'1 datos preparados'!B107</f>
        <v/>
      </c>
      <c r="D114" s="7">
        <f>'1 datos preparados'!C107</f>
        <v/>
      </c>
      <c r="E114" s="7">
        <f>'1 datos preparados'!D107</f>
        <v/>
      </c>
      <c r="F114" s="7">
        <f>'1 datos preparados'!E107</f>
        <v/>
      </c>
      <c r="G114" s="7">
        <f>'1 datos preparados'!F107</f>
        <v/>
      </c>
      <c r="H114" s="7">
        <f>'1 datos preparados'!G107</f>
        <v/>
      </c>
      <c r="I114" s="7">
        <f>'1 datos preparados'!H107</f>
        <v/>
      </c>
      <c r="J114" s="7">
        <f>'1 datos preparados'!I107</f>
        <v/>
      </c>
      <c r="K114" s="7">
        <f>'1 datos preparados'!J107</f>
        <v/>
      </c>
      <c r="L114" s="7">
        <f>'1 datos preparados'!K107</f>
        <v/>
      </c>
      <c r="M114" s="7">
        <f>'1 datos preparados'!L107</f>
        <v/>
      </c>
      <c r="N114" s="7">
        <f>'1 datos preparados'!M107</f>
        <v/>
      </c>
      <c r="O114" s="7">
        <f>'1 datos preparados'!N107</f>
        <v/>
      </c>
      <c r="P114" s="7">
        <f>'1 datos preparados'!O107</f>
        <v/>
      </c>
      <c r="Q114" s="7">
        <f>'1 datos preparados'!P107</f>
        <v/>
      </c>
      <c r="R114" s="7">
        <f>'1 datos preparados'!Q107</f>
        <v/>
      </c>
      <c r="S114" s="7">
        <f>'1 datos preparados'!R107</f>
        <v/>
      </c>
      <c r="T114" s="7">
        <f>'1 datos preparados'!S107</f>
        <v/>
      </c>
      <c r="U114" s="7">
        <f>'1 datos preparados'!T107</f>
        <v/>
      </c>
      <c r="V114" s="8">
        <f>$AE$12+D114*$AE$13+E114*$AE$14+F114*$AE$15+G114*$AE$16+H114*$AE$17+I114*$AE$18+J114*$AE$19+K114*$AE$20+L114*$AE$21+M114*$AE$22+N114*$AE$23+O114*$AE$24+P114*$AE$25+Q114*$AE$26+R114*$AE$27+S114*$AE$28+T114*$AE$29+U114*$AE$30</f>
        <v/>
      </c>
      <c r="W114" s="8">
        <f>1/(1+EXP(-V114))</f>
        <v/>
      </c>
      <c r="X114" s="9">
        <f>-IF(C114=1,LN(W114),LN(1-W114))</f>
        <v/>
      </c>
      <c r="Y114" s="8">
        <f>'1 datos preparados'!V107</f>
        <v/>
      </c>
      <c r="Z114" s="9">
        <f>Y114*X114</f>
        <v/>
      </c>
      <c r="AA114" s="10">
        <f>IF(W114&gt;$AE$33,1,0)</f>
        <v/>
      </c>
      <c r="AB114">
        <f>IF(AA114=C114,1,0)</f>
        <v/>
      </c>
    </row>
    <row r="115">
      <c r="A115">
        <f>'1 datos preparados'!A108</f>
        <v/>
      </c>
      <c r="B115" s="5">
        <f>'1 datos preparados'!U108</f>
        <v/>
      </c>
      <c r="C115">
        <f>'1 datos preparados'!B108</f>
        <v/>
      </c>
      <c r="D115" s="7">
        <f>'1 datos preparados'!C108</f>
        <v/>
      </c>
      <c r="E115" s="7">
        <f>'1 datos preparados'!D108</f>
        <v/>
      </c>
      <c r="F115" s="7">
        <f>'1 datos preparados'!E108</f>
        <v/>
      </c>
      <c r="G115" s="7">
        <f>'1 datos preparados'!F108</f>
        <v/>
      </c>
      <c r="H115" s="7">
        <f>'1 datos preparados'!G108</f>
        <v/>
      </c>
      <c r="I115" s="7">
        <f>'1 datos preparados'!H108</f>
        <v/>
      </c>
      <c r="J115" s="7">
        <f>'1 datos preparados'!I108</f>
        <v/>
      </c>
      <c r="K115" s="7">
        <f>'1 datos preparados'!J108</f>
        <v/>
      </c>
      <c r="L115" s="7">
        <f>'1 datos preparados'!K108</f>
        <v/>
      </c>
      <c r="M115" s="7">
        <f>'1 datos preparados'!L108</f>
        <v/>
      </c>
      <c r="N115" s="7">
        <f>'1 datos preparados'!M108</f>
        <v/>
      </c>
      <c r="O115" s="7">
        <f>'1 datos preparados'!N108</f>
        <v/>
      </c>
      <c r="P115" s="7">
        <f>'1 datos preparados'!O108</f>
        <v/>
      </c>
      <c r="Q115" s="7">
        <f>'1 datos preparados'!P108</f>
        <v/>
      </c>
      <c r="R115" s="7">
        <f>'1 datos preparados'!Q108</f>
        <v/>
      </c>
      <c r="S115" s="7">
        <f>'1 datos preparados'!R108</f>
        <v/>
      </c>
      <c r="T115" s="7">
        <f>'1 datos preparados'!S108</f>
        <v/>
      </c>
      <c r="U115" s="7">
        <f>'1 datos preparados'!T108</f>
        <v/>
      </c>
      <c r="V115" s="8">
        <f>$AE$12+D115*$AE$13+E115*$AE$14+F115*$AE$15+G115*$AE$16+H115*$AE$17+I115*$AE$18+J115*$AE$19+K115*$AE$20+L115*$AE$21+M115*$AE$22+N115*$AE$23+O115*$AE$24+P115*$AE$25+Q115*$AE$26+R115*$AE$27+S115*$AE$28+T115*$AE$29+U115*$AE$30</f>
        <v/>
      </c>
      <c r="W115" s="8">
        <f>1/(1+EXP(-V115))</f>
        <v/>
      </c>
      <c r="X115" s="9">
        <f>-IF(C115=1,LN(W115),LN(1-W115))</f>
        <v/>
      </c>
      <c r="Y115" s="8">
        <f>'1 datos preparados'!V108</f>
        <v/>
      </c>
      <c r="Z115" s="9">
        <f>Y115*X115</f>
        <v/>
      </c>
      <c r="AA115" s="10">
        <f>IF(W115&gt;$AE$33,1,0)</f>
        <v/>
      </c>
      <c r="AB115">
        <f>IF(AA115=C115,1,0)</f>
        <v/>
      </c>
    </row>
    <row r="116">
      <c r="A116">
        <f>'1 datos preparados'!A109</f>
        <v/>
      </c>
      <c r="B116" s="5">
        <f>'1 datos preparados'!U109</f>
        <v/>
      </c>
      <c r="C116">
        <f>'1 datos preparados'!B109</f>
        <v/>
      </c>
      <c r="D116" s="7">
        <f>'1 datos preparados'!C109</f>
        <v/>
      </c>
      <c r="E116" s="7">
        <f>'1 datos preparados'!D109</f>
        <v/>
      </c>
      <c r="F116" s="7">
        <f>'1 datos preparados'!E109</f>
        <v/>
      </c>
      <c r="G116" s="7">
        <f>'1 datos preparados'!F109</f>
        <v/>
      </c>
      <c r="H116" s="7">
        <f>'1 datos preparados'!G109</f>
        <v/>
      </c>
      <c r="I116" s="7">
        <f>'1 datos preparados'!H109</f>
        <v/>
      </c>
      <c r="J116" s="7">
        <f>'1 datos preparados'!I109</f>
        <v/>
      </c>
      <c r="K116" s="7">
        <f>'1 datos preparados'!J109</f>
        <v/>
      </c>
      <c r="L116" s="7">
        <f>'1 datos preparados'!K109</f>
        <v/>
      </c>
      <c r="M116" s="7">
        <f>'1 datos preparados'!L109</f>
        <v/>
      </c>
      <c r="N116" s="7">
        <f>'1 datos preparados'!M109</f>
        <v/>
      </c>
      <c r="O116" s="7">
        <f>'1 datos preparados'!N109</f>
        <v/>
      </c>
      <c r="P116" s="7">
        <f>'1 datos preparados'!O109</f>
        <v/>
      </c>
      <c r="Q116" s="7">
        <f>'1 datos preparados'!P109</f>
        <v/>
      </c>
      <c r="R116" s="7">
        <f>'1 datos preparados'!Q109</f>
        <v/>
      </c>
      <c r="S116" s="7">
        <f>'1 datos preparados'!R109</f>
        <v/>
      </c>
      <c r="T116" s="7">
        <f>'1 datos preparados'!S109</f>
        <v/>
      </c>
      <c r="U116" s="7">
        <f>'1 datos preparados'!T109</f>
        <v/>
      </c>
      <c r="V116" s="8">
        <f>$AE$12+D116*$AE$13+E116*$AE$14+F116*$AE$15+G116*$AE$16+H116*$AE$17+I116*$AE$18+J116*$AE$19+K116*$AE$20+L116*$AE$21+M116*$AE$22+N116*$AE$23+O116*$AE$24+P116*$AE$25+Q116*$AE$26+R116*$AE$27+S116*$AE$28+T116*$AE$29+U116*$AE$30</f>
        <v/>
      </c>
      <c r="W116" s="8">
        <f>1/(1+EXP(-V116))</f>
        <v/>
      </c>
      <c r="X116" s="9">
        <f>-IF(C116=1,LN(W116),LN(1-W116))</f>
        <v/>
      </c>
      <c r="Y116" s="8">
        <f>'1 datos preparados'!V109</f>
        <v/>
      </c>
      <c r="Z116" s="9">
        <f>Y116*X116</f>
        <v/>
      </c>
      <c r="AA116" s="10">
        <f>IF(W116&gt;$AE$33,1,0)</f>
        <v/>
      </c>
      <c r="AB116">
        <f>IF(AA116=C116,1,0)</f>
        <v/>
      </c>
    </row>
    <row r="117">
      <c r="A117">
        <f>'1 datos preparados'!A110</f>
        <v/>
      </c>
      <c r="B117" s="5">
        <f>'1 datos preparados'!U110</f>
        <v/>
      </c>
      <c r="C117">
        <f>'1 datos preparados'!B110</f>
        <v/>
      </c>
      <c r="D117" s="7">
        <f>'1 datos preparados'!C110</f>
        <v/>
      </c>
      <c r="E117" s="7">
        <f>'1 datos preparados'!D110</f>
        <v/>
      </c>
      <c r="F117" s="7">
        <f>'1 datos preparados'!E110</f>
        <v/>
      </c>
      <c r="G117" s="7">
        <f>'1 datos preparados'!F110</f>
        <v/>
      </c>
      <c r="H117" s="7">
        <f>'1 datos preparados'!G110</f>
        <v/>
      </c>
      <c r="I117" s="7">
        <f>'1 datos preparados'!H110</f>
        <v/>
      </c>
      <c r="J117" s="7">
        <f>'1 datos preparados'!I110</f>
        <v/>
      </c>
      <c r="K117" s="7">
        <f>'1 datos preparados'!J110</f>
        <v/>
      </c>
      <c r="L117" s="7">
        <f>'1 datos preparados'!K110</f>
        <v/>
      </c>
      <c r="M117" s="7">
        <f>'1 datos preparados'!L110</f>
        <v/>
      </c>
      <c r="N117" s="7">
        <f>'1 datos preparados'!M110</f>
        <v/>
      </c>
      <c r="O117" s="7">
        <f>'1 datos preparados'!N110</f>
        <v/>
      </c>
      <c r="P117" s="7">
        <f>'1 datos preparados'!O110</f>
        <v/>
      </c>
      <c r="Q117" s="7">
        <f>'1 datos preparados'!P110</f>
        <v/>
      </c>
      <c r="R117" s="7">
        <f>'1 datos preparados'!Q110</f>
        <v/>
      </c>
      <c r="S117" s="7">
        <f>'1 datos preparados'!R110</f>
        <v/>
      </c>
      <c r="T117" s="7">
        <f>'1 datos preparados'!S110</f>
        <v/>
      </c>
      <c r="U117" s="7">
        <f>'1 datos preparados'!T110</f>
        <v/>
      </c>
      <c r="V117" s="8">
        <f>$AE$12+D117*$AE$13+E117*$AE$14+F117*$AE$15+G117*$AE$16+H117*$AE$17+I117*$AE$18+J117*$AE$19+K117*$AE$20+L117*$AE$21+M117*$AE$22+N117*$AE$23+O117*$AE$24+P117*$AE$25+Q117*$AE$26+R117*$AE$27+S117*$AE$28+T117*$AE$29+U117*$AE$30</f>
        <v/>
      </c>
      <c r="W117" s="8">
        <f>1/(1+EXP(-V117))</f>
        <v/>
      </c>
      <c r="X117" s="9">
        <f>-IF(C117=1,LN(W117),LN(1-W117))</f>
        <v/>
      </c>
      <c r="Y117" s="8">
        <f>'1 datos preparados'!V110</f>
        <v/>
      </c>
      <c r="Z117" s="9">
        <f>Y117*X117</f>
        <v/>
      </c>
      <c r="AA117" s="10">
        <f>IF(W117&gt;$AE$33,1,0)</f>
        <v/>
      </c>
      <c r="AB117">
        <f>IF(AA117=C117,1,0)</f>
        <v/>
      </c>
    </row>
    <row r="118">
      <c r="A118">
        <f>'1 datos preparados'!A111</f>
        <v/>
      </c>
      <c r="B118" s="5">
        <f>'1 datos preparados'!U111</f>
        <v/>
      </c>
      <c r="C118">
        <f>'1 datos preparados'!B111</f>
        <v/>
      </c>
      <c r="D118" s="7">
        <f>'1 datos preparados'!C111</f>
        <v/>
      </c>
      <c r="E118" s="7">
        <f>'1 datos preparados'!D111</f>
        <v/>
      </c>
      <c r="F118" s="7">
        <f>'1 datos preparados'!E111</f>
        <v/>
      </c>
      <c r="G118" s="7">
        <f>'1 datos preparados'!F111</f>
        <v/>
      </c>
      <c r="H118" s="7">
        <f>'1 datos preparados'!G111</f>
        <v/>
      </c>
      <c r="I118" s="7">
        <f>'1 datos preparados'!H111</f>
        <v/>
      </c>
      <c r="J118" s="7">
        <f>'1 datos preparados'!I111</f>
        <v/>
      </c>
      <c r="K118" s="7">
        <f>'1 datos preparados'!J111</f>
        <v/>
      </c>
      <c r="L118" s="7">
        <f>'1 datos preparados'!K111</f>
        <v/>
      </c>
      <c r="M118" s="7">
        <f>'1 datos preparados'!L111</f>
        <v/>
      </c>
      <c r="N118" s="7">
        <f>'1 datos preparados'!M111</f>
        <v/>
      </c>
      <c r="O118" s="7">
        <f>'1 datos preparados'!N111</f>
        <v/>
      </c>
      <c r="P118" s="7">
        <f>'1 datos preparados'!O111</f>
        <v/>
      </c>
      <c r="Q118" s="7">
        <f>'1 datos preparados'!P111</f>
        <v/>
      </c>
      <c r="R118" s="7">
        <f>'1 datos preparados'!Q111</f>
        <v/>
      </c>
      <c r="S118" s="7">
        <f>'1 datos preparados'!R111</f>
        <v/>
      </c>
      <c r="T118" s="7">
        <f>'1 datos preparados'!S111</f>
        <v/>
      </c>
      <c r="U118" s="7">
        <f>'1 datos preparados'!T111</f>
        <v/>
      </c>
      <c r="V118" s="8">
        <f>$AE$12+D118*$AE$13+E118*$AE$14+F118*$AE$15+G118*$AE$16+H118*$AE$17+I118*$AE$18+J118*$AE$19+K118*$AE$20+L118*$AE$21+M118*$AE$22+N118*$AE$23+O118*$AE$24+P118*$AE$25+Q118*$AE$26+R118*$AE$27+S118*$AE$28+T118*$AE$29+U118*$AE$30</f>
        <v/>
      </c>
      <c r="W118" s="8">
        <f>1/(1+EXP(-V118))</f>
        <v/>
      </c>
      <c r="X118" s="9">
        <f>-IF(C118=1,LN(W118),LN(1-W118))</f>
        <v/>
      </c>
      <c r="Y118" s="8">
        <f>'1 datos preparados'!V111</f>
        <v/>
      </c>
      <c r="Z118" s="9">
        <f>Y118*X118</f>
        <v/>
      </c>
      <c r="AA118" s="10">
        <f>IF(W118&gt;$AE$33,1,0)</f>
        <v/>
      </c>
      <c r="AB118">
        <f>IF(AA118=C118,1,0)</f>
        <v/>
      </c>
    </row>
    <row r="119">
      <c r="A119">
        <f>'1 datos preparados'!A112</f>
        <v/>
      </c>
      <c r="B119" s="5">
        <f>'1 datos preparados'!U112</f>
        <v/>
      </c>
      <c r="C119">
        <f>'1 datos preparados'!B112</f>
        <v/>
      </c>
      <c r="D119" s="7">
        <f>'1 datos preparados'!C112</f>
        <v/>
      </c>
      <c r="E119" s="7">
        <f>'1 datos preparados'!D112</f>
        <v/>
      </c>
      <c r="F119" s="7">
        <f>'1 datos preparados'!E112</f>
        <v/>
      </c>
      <c r="G119" s="7">
        <f>'1 datos preparados'!F112</f>
        <v/>
      </c>
      <c r="H119" s="7">
        <f>'1 datos preparados'!G112</f>
        <v/>
      </c>
      <c r="I119" s="7">
        <f>'1 datos preparados'!H112</f>
        <v/>
      </c>
      <c r="J119" s="7">
        <f>'1 datos preparados'!I112</f>
        <v/>
      </c>
      <c r="K119" s="7">
        <f>'1 datos preparados'!J112</f>
        <v/>
      </c>
      <c r="L119" s="7">
        <f>'1 datos preparados'!K112</f>
        <v/>
      </c>
      <c r="M119" s="7">
        <f>'1 datos preparados'!L112</f>
        <v/>
      </c>
      <c r="N119" s="7">
        <f>'1 datos preparados'!M112</f>
        <v/>
      </c>
      <c r="O119" s="7">
        <f>'1 datos preparados'!N112</f>
        <v/>
      </c>
      <c r="P119" s="7">
        <f>'1 datos preparados'!O112</f>
        <v/>
      </c>
      <c r="Q119" s="7">
        <f>'1 datos preparados'!P112</f>
        <v/>
      </c>
      <c r="R119" s="7">
        <f>'1 datos preparados'!Q112</f>
        <v/>
      </c>
      <c r="S119" s="7">
        <f>'1 datos preparados'!R112</f>
        <v/>
      </c>
      <c r="T119" s="7">
        <f>'1 datos preparados'!S112</f>
        <v/>
      </c>
      <c r="U119" s="7">
        <f>'1 datos preparados'!T112</f>
        <v/>
      </c>
      <c r="V119" s="8">
        <f>$AE$12+D119*$AE$13+E119*$AE$14+F119*$AE$15+G119*$AE$16+H119*$AE$17+I119*$AE$18+J119*$AE$19+K119*$AE$20+L119*$AE$21+M119*$AE$22+N119*$AE$23+O119*$AE$24+P119*$AE$25+Q119*$AE$26+R119*$AE$27+S119*$AE$28+T119*$AE$29+U119*$AE$30</f>
        <v/>
      </c>
      <c r="W119" s="8">
        <f>1/(1+EXP(-V119))</f>
        <v/>
      </c>
      <c r="X119" s="9">
        <f>-IF(C119=1,LN(W119),LN(1-W119))</f>
        <v/>
      </c>
      <c r="Y119" s="8">
        <f>'1 datos preparados'!V112</f>
        <v/>
      </c>
      <c r="Z119" s="9">
        <f>Y119*X119</f>
        <v/>
      </c>
      <c r="AA119" s="10">
        <f>IF(W119&gt;$AE$33,1,0)</f>
        <v/>
      </c>
      <c r="AB119">
        <f>IF(AA119=C119,1,0)</f>
        <v/>
      </c>
    </row>
    <row r="120">
      <c r="A120">
        <f>'1 datos preparados'!A113</f>
        <v/>
      </c>
      <c r="B120" s="5">
        <f>'1 datos preparados'!U113</f>
        <v/>
      </c>
      <c r="C120">
        <f>'1 datos preparados'!B113</f>
        <v/>
      </c>
      <c r="D120" s="7">
        <f>'1 datos preparados'!C113</f>
        <v/>
      </c>
      <c r="E120" s="7">
        <f>'1 datos preparados'!D113</f>
        <v/>
      </c>
      <c r="F120" s="7">
        <f>'1 datos preparados'!E113</f>
        <v/>
      </c>
      <c r="G120" s="7">
        <f>'1 datos preparados'!F113</f>
        <v/>
      </c>
      <c r="H120" s="7">
        <f>'1 datos preparados'!G113</f>
        <v/>
      </c>
      <c r="I120" s="7">
        <f>'1 datos preparados'!H113</f>
        <v/>
      </c>
      <c r="J120" s="7">
        <f>'1 datos preparados'!I113</f>
        <v/>
      </c>
      <c r="K120" s="7">
        <f>'1 datos preparados'!J113</f>
        <v/>
      </c>
      <c r="L120" s="7">
        <f>'1 datos preparados'!K113</f>
        <v/>
      </c>
      <c r="M120" s="7">
        <f>'1 datos preparados'!L113</f>
        <v/>
      </c>
      <c r="N120" s="7">
        <f>'1 datos preparados'!M113</f>
        <v/>
      </c>
      <c r="O120" s="7">
        <f>'1 datos preparados'!N113</f>
        <v/>
      </c>
      <c r="P120" s="7">
        <f>'1 datos preparados'!O113</f>
        <v/>
      </c>
      <c r="Q120" s="7">
        <f>'1 datos preparados'!P113</f>
        <v/>
      </c>
      <c r="R120" s="7">
        <f>'1 datos preparados'!Q113</f>
        <v/>
      </c>
      <c r="S120" s="7">
        <f>'1 datos preparados'!R113</f>
        <v/>
      </c>
      <c r="T120" s="7">
        <f>'1 datos preparados'!S113</f>
        <v/>
      </c>
      <c r="U120" s="7">
        <f>'1 datos preparados'!T113</f>
        <v/>
      </c>
      <c r="V120" s="8">
        <f>$AE$12+D120*$AE$13+E120*$AE$14+F120*$AE$15+G120*$AE$16+H120*$AE$17+I120*$AE$18+J120*$AE$19+K120*$AE$20+L120*$AE$21+M120*$AE$22+N120*$AE$23+O120*$AE$24+P120*$AE$25+Q120*$AE$26+R120*$AE$27+S120*$AE$28+T120*$AE$29+U120*$AE$30</f>
        <v/>
      </c>
      <c r="W120" s="8">
        <f>1/(1+EXP(-V120))</f>
        <v/>
      </c>
      <c r="X120" s="9">
        <f>-IF(C120=1,LN(W120),LN(1-W120))</f>
        <v/>
      </c>
      <c r="Y120" s="8">
        <f>'1 datos preparados'!V113</f>
        <v/>
      </c>
      <c r="Z120" s="9">
        <f>Y120*X120</f>
        <v/>
      </c>
      <c r="AA120" s="10">
        <f>IF(W120&gt;$AE$33,1,0)</f>
        <v/>
      </c>
      <c r="AB120">
        <f>IF(AA120=C120,1,0)</f>
        <v/>
      </c>
    </row>
    <row r="121">
      <c r="A121">
        <f>'1 datos preparados'!A114</f>
        <v/>
      </c>
      <c r="B121" s="5">
        <f>'1 datos preparados'!U114</f>
        <v/>
      </c>
      <c r="C121">
        <f>'1 datos preparados'!B114</f>
        <v/>
      </c>
      <c r="D121" s="7">
        <f>'1 datos preparados'!C114</f>
        <v/>
      </c>
      <c r="E121" s="7">
        <f>'1 datos preparados'!D114</f>
        <v/>
      </c>
      <c r="F121" s="7">
        <f>'1 datos preparados'!E114</f>
        <v/>
      </c>
      <c r="G121" s="7">
        <f>'1 datos preparados'!F114</f>
        <v/>
      </c>
      <c r="H121" s="7">
        <f>'1 datos preparados'!G114</f>
        <v/>
      </c>
      <c r="I121" s="7">
        <f>'1 datos preparados'!H114</f>
        <v/>
      </c>
      <c r="J121" s="7">
        <f>'1 datos preparados'!I114</f>
        <v/>
      </c>
      <c r="K121" s="7">
        <f>'1 datos preparados'!J114</f>
        <v/>
      </c>
      <c r="L121" s="7">
        <f>'1 datos preparados'!K114</f>
        <v/>
      </c>
      <c r="M121" s="7">
        <f>'1 datos preparados'!L114</f>
        <v/>
      </c>
      <c r="N121" s="7">
        <f>'1 datos preparados'!M114</f>
        <v/>
      </c>
      <c r="O121" s="7">
        <f>'1 datos preparados'!N114</f>
        <v/>
      </c>
      <c r="P121" s="7">
        <f>'1 datos preparados'!O114</f>
        <v/>
      </c>
      <c r="Q121" s="7">
        <f>'1 datos preparados'!P114</f>
        <v/>
      </c>
      <c r="R121" s="7">
        <f>'1 datos preparados'!Q114</f>
        <v/>
      </c>
      <c r="S121" s="7">
        <f>'1 datos preparados'!R114</f>
        <v/>
      </c>
      <c r="T121" s="7">
        <f>'1 datos preparados'!S114</f>
        <v/>
      </c>
      <c r="U121" s="7">
        <f>'1 datos preparados'!T114</f>
        <v/>
      </c>
      <c r="V121" s="8">
        <f>$AE$12+D121*$AE$13+E121*$AE$14+F121*$AE$15+G121*$AE$16+H121*$AE$17+I121*$AE$18+J121*$AE$19+K121*$AE$20+L121*$AE$21+M121*$AE$22+N121*$AE$23+O121*$AE$24+P121*$AE$25+Q121*$AE$26+R121*$AE$27+S121*$AE$28+T121*$AE$29+U121*$AE$30</f>
        <v/>
      </c>
      <c r="W121" s="8">
        <f>1/(1+EXP(-V121))</f>
        <v/>
      </c>
      <c r="X121" s="9">
        <f>-IF(C121=1,LN(W121),LN(1-W121))</f>
        <v/>
      </c>
      <c r="Y121" s="8">
        <f>'1 datos preparados'!V114</f>
        <v/>
      </c>
      <c r="Z121" s="9">
        <f>Y121*X121</f>
        <v/>
      </c>
      <c r="AA121" s="10">
        <f>IF(W121&gt;$AE$33,1,0)</f>
        <v/>
      </c>
      <c r="AB121">
        <f>IF(AA121=C121,1,0)</f>
        <v/>
      </c>
    </row>
    <row r="122">
      <c r="A122">
        <f>'1 datos preparados'!A115</f>
        <v/>
      </c>
      <c r="B122" s="5">
        <f>'1 datos preparados'!U115</f>
        <v/>
      </c>
      <c r="C122">
        <f>'1 datos preparados'!B115</f>
        <v/>
      </c>
      <c r="D122" s="7">
        <f>'1 datos preparados'!C115</f>
        <v/>
      </c>
      <c r="E122" s="7">
        <f>'1 datos preparados'!D115</f>
        <v/>
      </c>
      <c r="F122" s="7">
        <f>'1 datos preparados'!E115</f>
        <v/>
      </c>
      <c r="G122" s="7">
        <f>'1 datos preparados'!F115</f>
        <v/>
      </c>
      <c r="H122" s="7">
        <f>'1 datos preparados'!G115</f>
        <v/>
      </c>
      <c r="I122" s="7">
        <f>'1 datos preparados'!H115</f>
        <v/>
      </c>
      <c r="J122" s="7">
        <f>'1 datos preparados'!I115</f>
        <v/>
      </c>
      <c r="K122" s="7">
        <f>'1 datos preparados'!J115</f>
        <v/>
      </c>
      <c r="L122" s="7">
        <f>'1 datos preparados'!K115</f>
        <v/>
      </c>
      <c r="M122" s="7">
        <f>'1 datos preparados'!L115</f>
        <v/>
      </c>
      <c r="N122" s="7">
        <f>'1 datos preparados'!M115</f>
        <v/>
      </c>
      <c r="O122" s="7">
        <f>'1 datos preparados'!N115</f>
        <v/>
      </c>
      <c r="P122" s="7">
        <f>'1 datos preparados'!O115</f>
        <v/>
      </c>
      <c r="Q122" s="7">
        <f>'1 datos preparados'!P115</f>
        <v/>
      </c>
      <c r="R122" s="7">
        <f>'1 datos preparados'!Q115</f>
        <v/>
      </c>
      <c r="S122" s="7">
        <f>'1 datos preparados'!R115</f>
        <v/>
      </c>
      <c r="T122" s="7">
        <f>'1 datos preparados'!S115</f>
        <v/>
      </c>
      <c r="U122" s="7">
        <f>'1 datos preparados'!T115</f>
        <v/>
      </c>
      <c r="V122" s="8">
        <f>$AE$12+D122*$AE$13+E122*$AE$14+F122*$AE$15+G122*$AE$16+H122*$AE$17+I122*$AE$18+J122*$AE$19+K122*$AE$20+L122*$AE$21+M122*$AE$22+N122*$AE$23+O122*$AE$24+P122*$AE$25+Q122*$AE$26+R122*$AE$27+S122*$AE$28+T122*$AE$29+U122*$AE$30</f>
        <v/>
      </c>
      <c r="W122" s="8">
        <f>1/(1+EXP(-V122))</f>
        <v/>
      </c>
      <c r="X122" s="9">
        <f>-IF(C122=1,LN(W122),LN(1-W122))</f>
        <v/>
      </c>
      <c r="Y122" s="8">
        <f>'1 datos preparados'!V115</f>
        <v/>
      </c>
      <c r="Z122" s="9">
        <f>Y122*X122</f>
        <v/>
      </c>
      <c r="AA122" s="10">
        <f>IF(W122&gt;$AE$33,1,0)</f>
        <v/>
      </c>
      <c r="AB122">
        <f>IF(AA122=C122,1,0)</f>
        <v/>
      </c>
    </row>
    <row r="123">
      <c r="A123">
        <f>'1 datos preparados'!A116</f>
        <v/>
      </c>
      <c r="B123" s="5">
        <f>'1 datos preparados'!U116</f>
        <v/>
      </c>
      <c r="C123">
        <f>'1 datos preparados'!B116</f>
        <v/>
      </c>
      <c r="D123" s="7">
        <f>'1 datos preparados'!C116</f>
        <v/>
      </c>
      <c r="E123" s="7">
        <f>'1 datos preparados'!D116</f>
        <v/>
      </c>
      <c r="F123" s="7">
        <f>'1 datos preparados'!E116</f>
        <v/>
      </c>
      <c r="G123" s="7">
        <f>'1 datos preparados'!F116</f>
        <v/>
      </c>
      <c r="H123" s="7">
        <f>'1 datos preparados'!G116</f>
        <v/>
      </c>
      <c r="I123" s="7">
        <f>'1 datos preparados'!H116</f>
        <v/>
      </c>
      <c r="J123" s="7">
        <f>'1 datos preparados'!I116</f>
        <v/>
      </c>
      <c r="K123" s="7">
        <f>'1 datos preparados'!J116</f>
        <v/>
      </c>
      <c r="L123" s="7">
        <f>'1 datos preparados'!K116</f>
        <v/>
      </c>
      <c r="M123" s="7">
        <f>'1 datos preparados'!L116</f>
        <v/>
      </c>
      <c r="N123" s="7">
        <f>'1 datos preparados'!M116</f>
        <v/>
      </c>
      <c r="O123" s="7">
        <f>'1 datos preparados'!N116</f>
        <v/>
      </c>
      <c r="P123" s="7">
        <f>'1 datos preparados'!O116</f>
        <v/>
      </c>
      <c r="Q123" s="7">
        <f>'1 datos preparados'!P116</f>
        <v/>
      </c>
      <c r="R123" s="7">
        <f>'1 datos preparados'!Q116</f>
        <v/>
      </c>
      <c r="S123" s="7">
        <f>'1 datos preparados'!R116</f>
        <v/>
      </c>
      <c r="T123" s="7">
        <f>'1 datos preparados'!S116</f>
        <v/>
      </c>
      <c r="U123" s="7">
        <f>'1 datos preparados'!T116</f>
        <v/>
      </c>
      <c r="V123" s="8">
        <f>$AE$12+D123*$AE$13+E123*$AE$14+F123*$AE$15+G123*$AE$16+H123*$AE$17+I123*$AE$18+J123*$AE$19+K123*$AE$20+L123*$AE$21+M123*$AE$22+N123*$AE$23+O123*$AE$24+P123*$AE$25+Q123*$AE$26+R123*$AE$27+S123*$AE$28+T123*$AE$29+U123*$AE$30</f>
        <v/>
      </c>
      <c r="W123" s="8">
        <f>1/(1+EXP(-V123))</f>
        <v/>
      </c>
      <c r="X123" s="9">
        <f>-IF(C123=1,LN(W123),LN(1-W123))</f>
        <v/>
      </c>
      <c r="Y123" s="8">
        <f>'1 datos preparados'!V116</f>
        <v/>
      </c>
      <c r="Z123" s="9">
        <f>Y123*X123</f>
        <v/>
      </c>
      <c r="AA123" s="10">
        <f>IF(W123&gt;$AE$33,1,0)</f>
        <v/>
      </c>
      <c r="AB123">
        <f>IF(AA123=C123,1,0)</f>
        <v/>
      </c>
    </row>
    <row r="124">
      <c r="A124">
        <f>'1 datos preparados'!A117</f>
        <v/>
      </c>
      <c r="B124" s="5">
        <f>'1 datos preparados'!U117</f>
        <v/>
      </c>
      <c r="C124">
        <f>'1 datos preparados'!B117</f>
        <v/>
      </c>
      <c r="D124" s="7">
        <f>'1 datos preparados'!C117</f>
        <v/>
      </c>
      <c r="E124" s="7">
        <f>'1 datos preparados'!D117</f>
        <v/>
      </c>
      <c r="F124" s="7">
        <f>'1 datos preparados'!E117</f>
        <v/>
      </c>
      <c r="G124" s="7">
        <f>'1 datos preparados'!F117</f>
        <v/>
      </c>
      <c r="H124" s="7">
        <f>'1 datos preparados'!G117</f>
        <v/>
      </c>
      <c r="I124" s="7">
        <f>'1 datos preparados'!H117</f>
        <v/>
      </c>
      <c r="J124" s="7">
        <f>'1 datos preparados'!I117</f>
        <v/>
      </c>
      <c r="K124" s="7">
        <f>'1 datos preparados'!J117</f>
        <v/>
      </c>
      <c r="L124" s="7">
        <f>'1 datos preparados'!K117</f>
        <v/>
      </c>
      <c r="M124" s="7">
        <f>'1 datos preparados'!L117</f>
        <v/>
      </c>
      <c r="N124" s="7">
        <f>'1 datos preparados'!M117</f>
        <v/>
      </c>
      <c r="O124" s="7">
        <f>'1 datos preparados'!N117</f>
        <v/>
      </c>
      <c r="P124" s="7">
        <f>'1 datos preparados'!O117</f>
        <v/>
      </c>
      <c r="Q124" s="7">
        <f>'1 datos preparados'!P117</f>
        <v/>
      </c>
      <c r="R124" s="7">
        <f>'1 datos preparados'!Q117</f>
        <v/>
      </c>
      <c r="S124" s="7">
        <f>'1 datos preparados'!R117</f>
        <v/>
      </c>
      <c r="T124" s="7">
        <f>'1 datos preparados'!S117</f>
        <v/>
      </c>
      <c r="U124" s="7">
        <f>'1 datos preparados'!T117</f>
        <v/>
      </c>
      <c r="V124" s="8">
        <f>$AE$12+D124*$AE$13+E124*$AE$14+F124*$AE$15+G124*$AE$16+H124*$AE$17+I124*$AE$18+J124*$AE$19+K124*$AE$20+L124*$AE$21+M124*$AE$22+N124*$AE$23+O124*$AE$24+P124*$AE$25+Q124*$AE$26+R124*$AE$27+S124*$AE$28+T124*$AE$29+U124*$AE$30</f>
        <v/>
      </c>
      <c r="W124" s="8">
        <f>1/(1+EXP(-V124))</f>
        <v/>
      </c>
      <c r="X124" s="9">
        <f>-IF(C124=1,LN(W124),LN(1-W124))</f>
        <v/>
      </c>
      <c r="Y124" s="8">
        <f>'1 datos preparados'!V117</f>
        <v/>
      </c>
      <c r="Z124" s="9">
        <f>Y124*X124</f>
        <v/>
      </c>
      <c r="AA124" s="10">
        <f>IF(W124&gt;$AE$33,1,0)</f>
        <v/>
      </c>
      <c r="AB124">
        <f>IF(AA124=C124,1,0)</f>
        <v/>
      </c>
    </row>
    <row r="125">
      <c r="A125">
        <f>'1 datos preparados'!A118</f>
        <v/>
      </c>
      <c r="B125" s="5">
        <f>'1 datos preparados'!U118</f>
        <v/>
      </c>
      <c r="C125">
        <f>'1 datos preparados'!B118</f>
        <v/>
      </c>
      <c r="D125" s="7">
        <f>'1 datos preparados'!C118</f>
        <v/>
      </c>
      <c r="E125" s="7">
        <f>'1 datos preparados'!D118</f>
        <v/>
      </c>
      <c r="F125" s="7">
        <f>'1 datos preparados'!E118</f>
        <v/>
      </c>
      <c r="G125" s="7">
        <f>'1 datos preparados'!F118</f>
        <v/>
      </c>
      <c r="H125" s="7">
        <f>'1 datos preparados'!G118</f>
        <v/>
      </c>
      <c r="I125" s="7">
        <f>'1 datos preparados'!H118</f>
        <v/>
      </c>
      <c r="J125" s="7">
        <f>'1 datos preparados'!I118</f>
        <v/>
      </c>
      <c r="K125" s="7">
        <f>'1 datos preparados'!J118</f>
        <v/>
      </c>
      <c r="L125" s="7">
        <f>'1 datos preparados'!K118</f>
        <v/>
      </c>
      <c r="M125" s="7">
        <f>'1 datos preparados'!L118</f>
        <v/>
      </c>
      <c r="N125" s="7">
        <f>'1 datos preparados'!M118</f>
        <v/>
      </c>
      <c r="O125" s="7">
        <f>'1 datos preparados'!N118</f>
        <v/>
      </c>
      <c r="P125" s="7">
        <f>'1 datos preparados'!O118</f>
        <v/>
      </c>
      <c r="Q125" s="7">
        <f>'1 datos preparados'!P118</f>
        <v/>
      </c>
      <c r="R125" s="7">
        <f>'1 datos preparados'!Q118</f>
        <v/>
      </c>
      <c r="S125" s="7">
        <f>'1 datos preparados'!R118</f>
        <v/>
      </c>
      <c r="T125" s="7">
        <f>'1 datos preparados'!S118</f>
        <v/>
      </c>
      <c r="U125" s="7">
        <f>'1 datos preparados'!T118</f>
        <v/>
      </c>
      <c r="V125" s="8">
        <f>$AE$12+D125*$AE$13+E125*$AE$14+F125*$AE$15+G125*$AE$16+H125*$AE$17+I125*$AE$18+J125*$AE$19+K125*$AE$20+L125*$AE$21+M125*$AE$22+N125*$AE$23+O125*$AE$24+P125*$AE$25+Q125*$AE$26+R125*$AE$27+S125*$AE$28+T125*$AE$29+U125*$AE$30</f>
        <v/>
      </c>
      <c r="W125" s="8">
        <f>1/(1+EXP(-V125))</f>
        <v/>
      </c>
      <c r="X125" s="9">
        <f>-IF(C125=1,LN(W125),LN(1-W125))</f>
        <v/>
      </c>
      <c r="Y125" s="8">
        <f>'1 datos preparados'!V118</f>
        <v/>
      </c>
      <c r="Z125" s="9">
        <f>Y125*X125</f>
        <v/>
      </c>
      <c r="AA125" s="10">
        <f>IF(W125&gt;$AE$33,1,0)</f>
        <v/>
      </c>
      <c r="AB125">
        <f>IF(AA125=C125,1,0)</f>
        <v/>
      </c>
    </row>
    <row r="126">
      <c r="A126">
        <f>'1 datos preparados'!A119</f>
        <v/>
      </c>
      <c r="B126" s="5">
        <f>'1 datos preparados'!U119</f>
        <v/>
      </c>
      <c r="C126">
        <f>'1 datos preparados'!B119</f>
        <v/>
      </c>
      <c r="D126" s="7">
        <f>'1 datos preparados'!C119</f>
        <v/>
      </c>
      <c r="E126" s="7">
        <f>'1 datos preparados'!D119</f>
        <v/>
      </c>
      <c r="F126" s="7">
        <f>'1 datos preparados'!E119</f>
        <v/>
      </c>
      <c r="G126" s="7">
        <f>'1 datos preparados'!F119</f>
        <v/>
      </c>
      <c r="H126" s="7">
        <f>'1 datos preparados'!G119</f>
        <v/>
      </c>
      <c r="I126" s="7">
        <f>'1 datos preparados'!H119</f>
        <v/>
      </c>
      <c r="J126" s="7">
        <f>'1 datos preparados'!I119</f>
        <v/>
      </c>
      <c r="K126" s="7">
        <f>'1 datos preparados'!J119</f>
        <v/>
      </c>
      <c r="L126" s="7">
        <f>'1 datos preparados'!K119</f>
        <v/>
      </c>
      <c r="M126" s="7">
        <f>'1 datos preparados'!L119</f>
        <v/>
      </c>
      <c r="N126" s="7">
        <f>'1 datos preparados'!M119</f>
        <v/>
      </c>
      <c r="O126" s="7">
        <f>'1 datos preparados'!N119</f>
        <v/>
      </c>
      <c r="P126" s="7">
        <f>'1 datos preparados'!O119</f>
        <v/>
      </c>
      <c r="Q126" s="7">
        <f>'1 datos preparados'!P119</f>
        <v/>
      </c>
      <c r="R126" s="7">
        <f>'1 datos preparados'!Q119</f>
        <v/>
      </c>
      <c r="S126" s="7">
        <f>'1 datos preparados'!R119</f>
        <v/>
      </c>
      <c r="T126" s="7">
        <f>'1 datos preparados'!S119</f>
        <v/>
      </c>
      <c r="U126" s="7">
        <f>'1 datos preparados'!T119</f>
        <v/>
      </c>
      <c r="V126" s="8">
        <f>$AE$12+D126*$AE$13+E126*$AE$14+F126*$AE$15+G126*$AE$16+H126*$AE$17+I126*$AE$18+J126*$AE$19+K126*$AE$20+L126*$AE$21+M126*$AE$22+N126*$AE$23+O126*$AE$24+P126*$AE$25+Q126*$AE$26+R126*$AE$27+S126*$AE$28+T126*$AE$29+U126*$AE$30</f>
        <v/>
      </c>
      <c r="W126" s="8">
        <f>1/(1+EXP(-V126))</f>
        <v/>
      </c>
      <c r="X126" s="9">
        <f>-IF(C126=1,LN(W126),LN(1-W126))</f>
        <v/>
      </c>
      <c r="Y126" s="8">
        <f>'1 datos preparados'!V119</f>
        <v/>
      </c>
      <c r="Z126" s="9">
        <f>Y126*X126</f>
        <v/>
      </c>
      <c r="AA126" s="10">
        <f>IF(W126&gt;$AE$33,1,0)</f>
        <v/>
      </c>
      <c r="AB126">
        <f>IF(AA126=C126,1,0)</f>
        <v/>
      </c>
    </row>
    <row r="127">
      <c r="A127">
        <f>'1 datos preparados'!A120</f>
        <v/>
      </c>
      <c r="B127" s="5">
        <f>'1 datos preparados'!U120</f>
        <v/>
      </c>
      <c r="C127">
        <f>'1 datos preparados'!B120</f>
        <v/>
      </c>
      <c r="D127" s="7">
        <f>'1 datos preparados'!C120</f>
        <v/>
      </c>
      <c r="E127" s="7">
        <f>'1 datos preparados'!D120</f>
        <v/>
      </c>
      <c r="F127" s="7">
        <f>'1 datos preparados'!E120</f>
        <v/>
      </c>
      <c r="G127" s="7">
        <f>'1 datos preparados'!F120</f>
        <v/>
      </c>
      <c r="H127" s="7">
        <f>'1 datos preparados'!G120</f>
        <v/>
      </c>
      <c r="I127" s="7">
        <f>'1 datos preparados'!H120</f>
        <v/>
      </c>
      <c r="J127" s="7">
        <f>'1 datos preparados'!I120</f>
        <v/>
      </c>
      <c r="K127" s="7">
        <f>'1 datos preparados'!J120</f>
        <v/>
      </c>
      <c r="L127" s="7">
        <f>'1 datos preparados'!K120</f>
        <v/>
      </c>
      <c r="M127" s="7">
        <f>'1 datos preparados'!L120</f>
        <v/>
      </c>
      <c r="N127" s="7">
        <f>'1 datos preparados'!M120</f>
        <v/>
      </c>
      <c r="O127" s="7">
        <f>'1 datos preparados'!N120</f>
        <v/>
      </c>
      <c r="P127" s="7">
        <f>'1 datos preparados'!O120</f>
        <v/>
      </c>
      <c r="Q127" s="7">
        <f>'1 datos preparados'!P120</f>
        <v/>
      </c>
      <c r="R127" s="7">
        <f>'1 datos preparados'!Q120</f>
        <v/>
      </c>
      <c r="S127" s="7">
        <f>'1 datos preparados'!R120</f>
        <v/>
      </c>
      <c r="T127" s="7">
        <f>'1 datos preparados'!S120</f>
        <v/>
      </c>
      <c r="U127" s="7">
        <f>'1 datos preparados'!T120</f>
        <v/>
      </c>
      <c r="V127" s="8">
        <f>$AE$12+D127*$AE$13+E127*$AE$14+F127*$AE$15+G127*$AE$16+H127*$AE$17+I127*$AE$18+J127*$AE$19+K127*$AE$20+L127*$AE$21+M127*$AE$22+N127*$AE$23+O127*$AE$24+P127*$AE$25+Q127*$AE$26+R127*$AE$27+S127*$AE$28+T127*$AE$29+U127*$AE$30</f>
        <v/>
      </c>
      <c r="W127" s="8">
        <f>1/(1+EXP(-V127))</f>
        <v/>
      </c>
      <c r="X127" s="9">
        <f>-IF(C127=1,LN(W127),LN(1-W127))</f>
        <v/>
      </c>
      <c r="Y127" s="8">
        <f>'1 datos preparados'!V120</f>
        <v/>
      </c>
      <c r="Z127" s="9">
        <f>Y127*X127</f>
        <v/>
      </c>
      <c r="AA127" s="10">
        <f>IF(W127&gt;$AE$33,1,0)</f>
        <v/>
      </c>
      <c r="AB127">
        <f>IF(AA127=C127,1,0)</f>
        <v/>
      </c>
    </row>
    <row r="128">
      <c r="A128">
        <f>'1 datos preparados'!A121</f>
        <v/>
      </c>
      <c r="B128" s="5">
        <f>'1 datos preparados'!U121</f>
        <v/>
      </c>
      <c r="C128">
        <f>'1 datos preparados'!B121</f>
        <v/>
      </c>
      <c r="D128" s="7">
        <f>'1 datos preparados'!C121</f>
        <v/>
      </c>
      <c r="E128" s="7">
        <f>'1 datos preparados'!D121</f>
        <v/>
      </c>
      <c r="F128" s="7">
        <f>'1 datos preparados'!E121</f>
        <v/>
      </c>
      <c r="G128" s="7">
        <f>'1 datos preparados'!F121</f>
        <v/>
      </c>
      <c r="H128" s="7">
        <f>'1 datos preparados'!G121</f>
        <v/>
      </c>
      <c r="I128" s="7">
        <f>'1 datos preparados'!H121</f>
        <v/>
      </c>
      <c r="J128" s="7">
        <f>'1 datos preparados'!I121</f>
        <v/>
      </c>
      <c r="K128" s="7">
        <f>'1 datos preparados'!J121</f>
        <v/>
      </c>
      <c r="L128" s="7">
        <f>'1 datos preparados'!K121</f>
        <v/>
      </c>
      <c r="M128" s="7">
        <f>'1 datos preparados'!L121</f>
        <v/>
      </c>
      <c r="N128" s="7">
        <f>'1 datos preparados'!M121</f>
        <v/>
      </c>
      <c r="O128" s="7">
        <f>'1 datos preparados'!N121</f>
        <v/>
      </c>
      <c r="P128" s="7">
        <f>'1 datos preparados'!O121</f>
        <v/>
      </c>
      <c r="Q128" s="7">
        <f>'1 datos preparados'!P121</f>
        <v/>
      </c>
      <c r="R128" s="7">
        <f>'1 datos preparados'!Q121</f>
        <v/>
      </c>
      <c r="S128" s="7">
        <f>'1 datos preparados'!R121</f>
        <v/>
      </c>
      <c r="T128" s="7">
        <f>'1 datos preparados'!S121</f>
        <v/>
      </c>
      <c r="U128" s="7">
        <f>'1 datos preparados'!T121</f>
        <v/>
      </c>
      <c r="V128" s="8">
        <f>$AE$12+D128*$AE$13+E128*$AE$14+F128*$AE$15+G128*$AE$16+H128*$AE$17+I128*$AE$18+J128*$AE$19+K128*$AE$20+L128*$AE$21+M128*$AE$22+N128*$AE$23+O128*$AE$24+P128*$AE$25+Q128*$AE$26+R128*$AE$27+S128*$AE$28+T128*$AE$29+U128*$AE$30</f>
        <v/>
      </c>
      <c r="W128" s="8">
        <f>1/(1+EXP(-V128))</f>
        <v/>
      </c>
      <c r="X128" s="9">
        <f>-IF(C128=1,LN(W128),LN(1-W128))</f>
        <v/>
      </c>
      <c r="Y128" s="8">
        <f>'1 datos preparados'!V121</f>
        <v/>
      </c>
      <c r="Z128" s="9">
        <f>Y128*X128</f>
        <v/>
      </c>
      <c r="AA128" s="10">
        <f>IF(W128&gt;$AE$33,1,0)</f>
        <v/>
      </c>
      <c r="AB128">
        <f>IF(AA128=C128,1,0)</f>
        <v/>
      </c>
    </row>
    <row r="129">
      <c r="A129">
        <f>'1 datos preparados'!A122</f>
        <v/>
      </c>
      <c r="B129" s="5">
        <f>'1 datos preparados'!U122</f>
        <v/>
      </c>
      <c r="C129">
        <f>'1 datos preparados'!B122</f>
        <v/>
      </c>
      <c r="D129" s="7">
        <f>'1 datos preparados'!C122</f>
        <v/>
      </c>
      <c r="E129" s="7">
        <f>'1 datos preparados'!D122</f>
        <v/>
      </c>
      <c r="F129" s="7">
        <f>'1 datos preparados'!E122</f>
        <v/>
      </c>
      <c r="G129" s="7">
        <f>'1 datos preparados'!F122</f>
        <v/>
      </c>
      <c r="H129" s="7">
        <f>'1 datos preparados'!G122</f>
        <v/>
      </c>
      <c r="I129" s="7">
        <f>'1 datos preparados'!H122</f>
        <v/>
      </c>
      <c r="J129" s="7">
        <f>'1 datos preparados'!I122</f>
        <v/>
      </c>
      <c r="K129" s="7">
        <f>'1 datos preparados'!J122</f>
        <v/>
      </c>
      <c r="L129" s="7">
        <f>'1 datos preparados'!K122</f>
        <v/>
      </c>
      <c r="M129" s="7">
        <f>'1 datos preparados'!L122</f>
        <v/>
      </c>
      <c r="N129" s="7">
        <f>'1 datos preparados'!M122</f>
        <v/>
      </c>
      <c r="O129" s="7">
        <f>'1 datos preparados'!N122</f>
        <v/>
      </c>
      <c r="P129" s="7">
        <f>'1 datos preparados'!O122</f>
        <v/>
      </c>
      <c r="Q129" s="7">
        <f>'1 datos preparados'!P122</f>
        <v/>
      </c>
      <c r="R129" s="7">
        <f>'1 datos preparados'!Q122</f>
        <v/>
      </c>
      <c r="S129" s="7">
        <f>'1 datos preparados'!R122</f>
        <v/>
      </c>
      <c r="T129" s="7">
        <f>'1 datos preparados'!S122</f>
        <v/>
      </c>
      <c r="U129" s="7">
        <f>'1 datos preparados'!T122</f>
        <v/>
      </c>
      <c r="V129" s="8">
        <f>$AE$12+D129*$AE$13+E129*$AE$14+F129*$AE$15+G129*$AE$16+H129*$AE$17+I129*$AE$18+J129*$AE$19+K129*$AE$20+L129*$AE$21+M129*$AE$22+N129*$AE$23+O129*$AE$24+P129*$AE$25+Q129*$AE$26+R129*$AE$27+S129*$AE$28+T129*$AE$29+U129*$AE$30</f>
        <v/>
      </c>
      <c r="W129" s="8">
        <f>1/(1+EXP(-V129))</f>
        <v/>
      </c>
      <c r="X129" s="9">
        <f>-IF(C129=1,LN(W129),LN(1-W129))</f>
        <v/>
      </c>
      <c r="Y129" s="8">
        <f>'1 datos preparados'!V122</f>
        <v/>
      </c>
      <c r="Z129" s="9">
        <f>Y129*X129</f>
        <v/>
      </c>
      <c r="AA129" s="10">
        <f>IF(W129&gt;$AE$33,1,0)</f>
        <v/>
      </c>
      <c r="AB129">
        <f>IF(AA129=C129,1,0)</f>
        <v/>
      </c>
    </row>
    <row r="130">
      <c r="A130">
        <f>'1 datos preparados'!A123</f>
        <v/>
      </c>
      <c r="B130" s="5">
        <f>'1 datos preparados'!U123</f>
        <v/>
      </c>
      <c r="C130">
        <f>'1 datos preparados'!B123</f>
        <v/>
      </c>
      <c r="D130" s="7">
        <f>'1 datos preparados'!C123</f>
        <v/>
      </c>
      <c r="E130" s="7">
        <f>'1 datos preparados'!D123</f>
        <v/>
      </c>
      <c r="F130" s="7">
        <f>'1 datos preparados'!E123</f>
        <v/>
      </c>
      <c r="G130" s="7">
        <f>'1 datos preparados'!F123</f>
        <v/>
      </c>
      <c r="H130" s="7">
        <f>'1 datos preparados'!G123</f>
        <v/>
      </c>
      <c r="I130" s="7">
        <f>'1 datos preparados'!H123</f>
        <v/>
      </c>
      <c r="J130" s="7">
        <f>'1 datos preparados'!I123</f>
        <v/>
      </c>
      <c r="K130" s="7">
        <f>'1 datos preparados'!J123</f>
        <v/>
      </c>
      <c r="L130" s="7">
        <f>'1 datos preparados'!K123</f>
        <v/>
      </c>
      <c r="M130" s="7">
        <f>'1 datos preparados'!L123</f>
        <v/>
      </c>
      <c r="N130" s="7">
        <f>'1 datos preparados'!M123</f>
        <v/>
      </c>
      <c r="O130" s="7">
        <f>'1 datos preparados'!N123</f>
        <v/>
      </c>
      <c r="P130" s="7">
        <f>'1 datos preparados'!O123</f>
        <v/>
      </c>
      <c r="Q130" s="7">
        <f>'1 datos preparados'!P123</f>
        <v/>
      </c>
      <c r="R130" s="7">
        <f>'1 datos preparados'!Q123</f>
        <v/>
      </c>
      <c r="S130" s="7">
        <f>'1 datos preparados'!R123</f>
        <v/>
      </c>
      <c r="T130" s="7">
        <f>'1 datos preparados'!S123</f>
        <v/>
      </c>
      <c r="U130" s="7">
        <f>'1 datos preparados'!T123</f>
        <v/>
      </c>
      <c r="V130" s="8">
        <f>$AE$12+D130*$AE$13+E130*$AE$14+F130*$AE$15+G130*$AE$16+H130*$AE$17+I130*$AE$18+J130*$AE$19+K130*$AE$20+L130*$AE$21+M130*$AE$22+N130*$AE$23+O130*$AE$24+P130*$AE$25+Q130*$AE$26+R130*$AE$27+S130*$AE$28+T130*$AE$29+U130*$AE$30</f>
        <v/>
      </c>
      <c r="W130" s="8">
        <f>1/(1+EXP(-V130))</f>
        <v/>
      </c>
      <c r="X130" s="9">
        <f>-IF(C130=1,LN(W130),LN(1-W130))</f>
        <v/>
      </c>
      <c r="Y130" s="8">
        <f>'1 datos preparados'!V123</f>
        <v/>
      </c>
      <c r="Z130" s="9">
        <f>Y130*X130</f>
        <v/>
      </c>
      <c r="AA130" s="10">
        <f>IF(W130&gt;$AE$33,1,0)</f>
        <v/>
      </c>
      <c r="AB130">
        <f>IF(AA130=C130,1,0)</f>
        <v/>
      </c>
    </row>
    <row r="131">
      <c r="A131">
        <f>'1 datos preparados'!A124</f>
        <v/>
      </c>
      <c r="B131" s="5">
        <f>'1 datos preparados'!U124</f>
        <v/>
      </c>
      <c r="C131">
        <f>'1 datos preparados'!B124</f>
        <v/>
      </c>
      <c r="D131" s="7">
        <f>'1 datos preparados'!C124</f>
        <v/>
      </c>
      <c r="E131" s="7">
        <f>'1 datos preparados'!D124</f>
        <v/>
      </c>
      <c r="F131" s="7">
        <f>'1 datos preparados'!E124</f>
        <v/>
      </c>
      <c r="G131" s="7">
        <f>'1 datos preparados'!F124</f>
        <v/>
      </c>
      <c r="H131" s="7">
        <f>'1 datos preparados'!G124</f>
        <v/>
      </c>
      <c r="I131" s="7">
        <f>'1 datos preparados'!H124</f>
        <v/>
      </c>
      <c r="J131" s="7">
        <f>'1 datos preparados'!I124</f>
        <v/>
      </c>
      <c r="K131" s="7">
        <f>'1 datos preparados'!J124</f>
        <v/>
      </c>
      <c r="L131" s="7">
        <f>'1 datos preparados'!K124</f>
        <v/>
      </c>
      <c r="M131" s="7">
        <f>'1 datos preparados'!L124</f>
        <v/>
      </c>
      <c r="N131" s="7">
        <f>'1 datos preparados'!M124</f>
        <v/>
      </c>
      <c r="O131" s="7">
        <f>'1 datos preparados'!N124</f>
        <v/>
      </c>
      <c r="P131" s="7">
        <f>'1 datos preparados'!O124</f>
        <v/>
      </c>
      <c r="Q131" s="7">
        <f>'1 datos preparados'!P124</f>
        <v/>
      </c>
      <c r="R131" s="7">
        <f>'1 datos preparados'!Q124</f>
        <v/>
      </c>
      <c r="S131" s="7">
        <f>'1 datos preparados'!R124</f>
        <v/>
      </c>
      <c r="T131" s="7">
        <f>'1 datos preparados'!S124</f>
        <v/>
      </c>
      <c r="U131" s="7">
        <f>'1 datos preparados'!T124</f>
        <v/>
      </c>
      <c r="V131" s="8">
        <f>$AE$12+D131*$AE$13+E131*$AE$14+F131*$AE$15+G131*$AE$16+H131*$AE$17+I131*$AE$18+J131*$AE$19+K131*$AE$20+L131*$AE$21+M131*$AE$22+N131*$AE$23+O131*$AE$24+P131*$AE$25+Q131*$AE$26+R131*$AE$27+S131*$AE$28+T131*$AE$29+U131*$AE$30</f>
        <v/>
      </c>
      <c r="W131" s="8">
        <f>1/(1+EXP(-V131))</f>
        <v/>
      </c>
      <c r="X131" s="9">
        <f>-IF(C131=1,LN(W131),LN(1-W131))</f>
        <v/>
      </c>
      <c r="Y131" s="8">
        <f>'1 datos preparados'!V124</f>
        <v/>
      </c>
      <c r="Z131" s="9">
        <f>Y131*X131</f>
        <v/>
      </c>
      <c r="AA131" s="10">
        <f>IF(W131&gt;$AE$33,1,0)</f>
        <v/>
      </c>
      <c r="AB131">
        <f>IF(AA131=C131,1,0)</f>
        <v/>
      </c>
    </row>
    <row r="132">
      <c r="A132">
        <f>'1 datos preparados'!A125</f>
        <v/>
      </c>
      <c r="B132" s="5">
        <f>'1 datos preparados'!U125</f>
        <v/>
      </c>
      <c r="C132">
        <f>'1 datos preparados'!B125</f>
        <v/>
      </c>
      <c r="D132" s="7">
        <f>'1 datos preparados'!C125</f>
        <v/>
      </c>
      <c r="E132" s="7">
        <f>'1 datos preparados'!D125</f>
        <v/>
      </c>
      <c r="F132" s="7">
        <f>'1 datos preparados'!E125</f>
        <v/>
      </c>
      <c r="G132" s="7">
        <f>'1 datos preparados'!F125</f>
        <v/>
      </c>
      <c r="H132" s="7">
        <f>'1 datos preparados'!G125</f>
        <v/>
      </c>
      <c r="I132" s="7">
        <f>'1 datos preparados'!H125</f>
        <v/>
      </c>
      <c r="J132" s="7">
        <f>'1 datos preparados'!I125</f>
        <v/>
      </c>
      <c r="K132" s="7">
        <f>'1 datos preparados'!J125</f>
        <v/>
      </c>
      <c r="L132" s="7">
        <f>'1 datos preparados'!K125</f>
        <v/>
      </c>
      <c r="M132" s="7">
        <f>'1 datos preparados'!L125</f>
        <v/>
      </c>
      <c r="N132" s="7">
        <f>'1 datos preparados'!M125</f>
        <v/>
      </c>
      <c r="O132" s="7">
        <f>'1 datos preparados'!N125</f>
        <v/>
      </c>
      <c r="P132" s="7">
        <f>'1 datos preparados'!O125</f>
        <v/>
      </c>
      <c r="Q132" s="7">
        <f>'1 datos preparados'!P125</f>
        <v/>
      </c>
      <c r="R132" s="7">
        <f>'1 datos preparados'!Q125</f>
        <v/>
      </c>
      <c r="S132" s="7">
        <f>'1 datos preparados'!R125</f>
        <v/>
      </c>
      <c r="T132" s="7">
        <f>'1 datos preparados'!S125</f>
        <v/>
      </c>
      <c r="U132" s="7">
        <f>'1 datos preparados'!T125</f>
        <v/>
      </c>
      <c r="V132" s="8">
        <f>$AE$12+D132*$AE$13+E132*$AE$14+F132*$AE$15+G132*$AE$16+H132*$AE$17+I132*$AE$18+J132*$AE$19+K132*$AE$20+L132*$AE$21+M132*$AE$22+N132*$AE$23+O132*$AE$24+P132*$AE$25+Q132*$AE$26+R132*$AE$27+S132*$AE$28+T132*$AE$29+U132*$AE$30</f>
        <v/>
      </c>
      <c r="W132" s="8">
        <f>1/(1+EXP(-V132))</f>
        <v/>
      </c>
      <c r="X132" s="9">
        <f>-IF(C132=1,LN(W132),LN(1-W132))</f>
        <v/>
      </c>
      <c r="Y132" s="8">
        <f>'1 datos preparados'!V125</f>
        <v/>
      </c>
      <c r="Z132" s="9">
        <f>Y132*X132</f>
        <v/>
      </c>
      <c r="AA132" s="10">
        <f>IF(W132&gt;$AE$33,1,0)</f>
        <v/>
      </c>
      <c r="AB132">
        <f>IF(AA132=C132,1,0)</f>
        <v/>
      </c>
    </row>
    <row r="133">
      <c r="A133">
        <f>'1 datos preparados'!A126</f>
        <v/>
      </c>
      <c r="B133" s="5">
        <f>'1 datos preparados'!U126</f>
        <v/>
      </c>
      <c r="C133">
        <f>'1 datos preparados'!B126</f>
        <v/>
      </c>
      <c r="D133" s="7">
        <f>'1 datos preparados'!C126</f>
        <v/>
      </c>
      <c r="E133" s="7">
        <f>'1 datos preparados'!D126</f>
        <v/>
      </c>
      <c r="F133" s="7">
        <f>'1 datos preparados'!E126</f>
        <v/>
      </c>
      <c r="G133" s="7">
        <f>'1 datos preparados'!F126</f>
        <v/>
      </c>
      <c r="H133" s="7">
        <f>'1 datos preparados'!G126</f>
        <v/>
      </c>
      <c r="I133" s="7">
        <f>'1 datos preparados'!H126</f>
        <v/>
      </c>
      <c r="J133" s="7">
        <f>'1 datos preparados'!I126</f>
        <v/>
      </c>
      <c r="K133" s="7">
        <f>'1 datos preparados'!J126</f>
        <v/>
      </c>
      <c r="L133" s="7">
        <f>'1 datos preparados'!K126</f>
        <v/>
      </c>
      <c r="M133" s="7">
        <f>'1 datos preparados'!L126</f>
        <v/>
      </c>
      <c r="N133" s="7">
        <f>'1 datos preparados'!M126</f>
        <v/>
      </c>
      <c r="O133" s="7">
        <f>'1 datos preparados'!N126</f>
        <v/>
      </c>
      <c r="P133" s="7">
        <f>'1 datos preparados'!O126</f>
        <v/>
      </c>
      <c r="Q133" s="7">
        <f>'1 datos preparados'!P126</f>
        <v/>
      </c>
      <c r="R133" s="7">
        <f>'1 datos preparados'!Q126</f>
        <v/>
      </c>
      <c r="S133" s="7">
        <f>'1 datos preparados'!R126</f>
        <v/>
      </c>
      <c r="T133" s="7">
        <f>'1 datos preparados'!S126</f>
        <v/>
      </c>
      <c r="U133" s="7">
        <f>'1 datos preparados'!T126</f>
        <v/>
      </c>
      <c r="V133" s="8">
        <f>$AE$12+D133*$AE$13+E133*$AE$14+F133*$AE$15+G133*$AE$16+H133*$AE$17+I133*$AE$18+J133*$AE$19+K133*$AE$20+L133*$AE$21+M133*$AE$22+N133*$AE$23+O133*$AE$24+P133*$AE$25+Q133*$AE$26+R133*$AE$27+S133*$AE$28+T133*$AE$29+U133*$AE$30</f>
        <v/>
      </c>
      <c r="W133" s="8">
        <f>1/(1+EXP(-V133))</f>
        <v/>
      </c>
      <c r="X133" s="9">
        <f>-IF(C133=1,LN(W133),LN(1-W133))</f>
        <v/>
      </c>
      <c r="Y133" s="8">
        <f>'1 datos preparados'!V126</f>
        <v/>
      </c>
      <c r="Z133" s="9">
        <f>Y133*X133</f>
        <v/>
      </c>
      <c r="AA133" s="10">
        <f>IF(W133&gt;$AE$33,1,0)</f>
        <v/>
      </c>
      <c r="AB133">
        <f>IF(AA133=C133,1,0)</f>
        <v/>
      </c>
    </row>
    <row r="134">
      <c r="A134">
        <f>'1 datos preparados'!A127</f>
        <v/>
      </c>
      <c r="B134" s="5">
        <f>'1 datos preparados'!U127</f>
        <v/>
      </c>
      <c r="C134">
        <f>'1 datos preparados'!B127</f>
        <v/>
      </c>
      <c r="D134" s="7">
        <f>'1 datos preparados'!C127</f>
        <v/>
      </c>
      <c r="E134" s="7">
        <f>'1 datos preparados'!D127</f>
        <v/>
      </c>
      <c r="F134" s="7">
        <f>'1 datos preparados'!E127</f>
        <v/>
      </c>
      <c r="G134" s="7">
        <f>'1 datos preparados'!F127</f>
        <v/>
      </c>
      <c r="H134" s="7">
        <f>'1 datos preparados'!G127</f>
        <v/>
      </c>
      <c r="I134" s="7">
        <f>'1 datos preparados'!H127</f>
        <v/>
      </c>
      <c r="J134" s="7">
        <f>'1 datos preparados'!I127</f>
        <v/>
      </c>
      <c r="K134" s="7">
        <f>'1 datos preparados'!J127</f>
        <v/>
      </c>
      <c r="L134" s="7">
        <f>'1 datos preparados'!K127</f>
        <v/>
      </c>
      <c r="M134" s="7">
        <f>'1 datos preparados'!L127</f>
        <v/>
      </c>
      <c r="N134" s="7">
        <f>'1 datos preparados'!M127</f>
        <v/>
      </c>
      <c r="O134" s="7">
        <f>'1 datos preparados'!N127</f>
        <v/>
      </c>
      <c r="P134" s="7">
        <f>'1 datos preparados'!O127</f>
        <v/>
      </c>
      <c r="Q134" s="7">
        <f>'1 datos preparados'!P127</f>
        <v/>
      </c>
      <c r="R134" s="7">
        <f>'1 datos preparados'!Q127</f>
        <v/>
      </c>
      <c r="S134" s="7">
        <f>'1 datos preparados'!R127</f>
        <v/>
      </c>
      <c r="T134" s="7">
        <f>'1 datos preparados'!S127</f>
        <v/>
      </c>
      <c r="U134" s="7">
        <f>'1 datos preparados'!T127</f>
        <v/>
      </c>
      <c r="V134" s="8">
        <f>$AE$12+D134*$AE$13+E134*$AE$14+F134*$AE$15+G134*$AE$16+H134*$AE$17+I134*$AE$18+J134*$AE$19+K134*$AE$20+L134*$AE$21+M134*$AE$22+N134*$AE$23+O134*$AE$24+P134*$AE$25+Q134*$AE$26+R134*$AE$27+S134*$AE$28+T134*$AE$29+U134*$AE$30</f>
        <v/>
      </c>
      <c r="W134" s="8">
        <f>1/(1+EXP(-V134))</f>
        <v/>
      </c>
      <c r="X134" s="9">
        <f>-IF(C134=1,LN(W134),LN(1-W134))</f>
        <v/>
      </c>
      <c r="Y134" s="8">
        <f>'1 datos preparados'!V127</f>
        <v/>
      </c>
      <c r="Z134" s="9">
        <f>Y134*X134</f>
        <v/>
      </c>
      <c r="AA134" s="10">
        <f>IF(W134&gt;$AE$33,1,0)</f>
        <v/>
      </c>
      <c r="AB134">
        <f>IF(AA134=C134,1,0)</f>
        <v/>
      </c>
    </row>
    <row r="135">
      <c r="A135">
        <f>'1 datos preparados'!A128</f>
        <v/>
      </c>
      <c r="B135" s="5">
        <f>'1 datos preparados'!U128</f>
        <v/>
      </c>
      <c r="C135">
        <f>'1 datos preparados'!B128</f>
        <v/>
      </c>
      <c r="D135" s="7">
        <f>'1 datos preparados'!C128</f>
        <v/>
      </c>
      <c r="E135" s="7">
        <f>'1 datos preparados'!D128</f>
        <v/>
      </c>
      <c r="F135" s="7">
        <f>'1 datos preparados'!E128</f>
        <v/>
      </c>
      <c r="G135" s="7">
        <f>'1 datos preparados'!F128</f>
        <v/>
      </c>
      <c r="H135" s="7">
        <f>'1 datos preparados'!G128</f>
        <v/>
      </c>
      <c r="I135" s="7">
        <f>'1 datos preparados'!H128</f>
        <v/>
      </c>
      <c r="J135" s="7">
        <f>'1 datos preparados'!I128</f>
        <v/>
      </c>
      <c r="K135" s="7">
        <f>'1 datos preparados'!J128</f>
        <v/>
      </c>
      <c r="L135" s="7">
        <f>'1 datos preparados'!K128</f>
        <v/>
      </c>
      <c r="M135" s="7">
        <f>'1 datos preparados'!L128</f>
        <v/>
      </c>
      <c r="N135" s="7">
        <f>'1 datos preparados'!M128</f>
        <v/>
      </c>
      <c r="O135" s="7">
        <f>'1 datos preparados'!N128</f>
        <v/>
      </c>
      <c r="P135" s="7">
        <f>'1 datos preparados'!O128</f>
        <v/>
      </c>
      <c r="Q135" s="7">
        <f>'1 datos preparados'!P128</f>
        <v/>
      </c>
      <c r="R135" s="7">
        <f>'1 datos preparados'!Q128</f>
        <v/>
      </c>
      <c r="S135" s="7">
        <f>'1 datos preparados'!R128</f>
        <v/>
      </c>
      <c r="T135" s="7">
        <f>'1 datos preparados'!S128</f>
        <v/>
      </c>
      <c r="U135" s="7">
        <f>'1 datos preparados'!T128</f>
        <v/>
      </c>
      <c r="V135" s="8">
        <f>$AE$12+D135*$AE$13+E135*$AE$14+F135*$AE$15+G135*$AE$16+H135*$AE$17+I135*$AE$18+J135*$AE$19+K135*$AE$20+L135*$AE$21+M135*$AE$22+N135*$AE$23+O135*$AE$24+P135*$AE$25+Q135*$AE$26+R135*$AE$27+S135*$AE$28+T135*$AE$29+U135*$AE$30</f>
        <v/>
      </c>
      <c r="W135" s="8">
        <f>1/(1+EXP(-V135))</f>
        <v/>
      </c>
      <c r="X135" s="9">
        <f>-IF(C135=1,LN(W135),LN(1-W135))</f>
        <v/>
      </c>
      <c r="Y135" s="8">
        <f>'1 datos preparados'!V128</f>
        <v/>
      </c>
      <c r="Z135" s="9">
        <f>Y135*X135</f>
        <v/>
      </c>
      <c r="AA135" s="10">
        <f>IF(W135&gt;$AE$33,1,0)</f>
        <v/>
      </c>
      <c r="AB135">
        <f>IF(AA135=C135,1,0)</f>
        <v/>
      </c>
    </row>
    <row r="136">
      <c r="A136">
        <f>'1 datos preparados'!A129</f>
        <v/>
      </c>
      <c r="B136" s="5">
        <f>'1 datos preparados'!U129</f>
        <v/>
      </c>
      <c r="C136">
        <f>'1 datos preparados'!B129</f>
        <v/>
      </c>
      <c r="D136" s="7">
        <f>'1 datos preparados'!C129</f>
        <v/>
      </c>
      <c r="E136" s="7">
        <f>'1 datos preparados'!D129</f>
        <v/>
      </c>
      <c r="F136" s="7">
        <f>'1 datos preparados'!E129</f>
        <v/>
      </c>
      <c r="G136" s="7">
        <f>'1 datos preparados'!F129</f>
        <v/>
      </c>
      <c r="H136" s="7">
        <f>'1 datos preparados'!G129</f>
        <v/>
      </c>
      <c r="I136" s="7">
        <f>'1 datos preparados'!H129</f>
        <v/>
      </c>
      <c r="J136" s="7">
        <f>'1 datos preparados'!I129</f>
        <v/>
      </c>
      <c r="K136" s="7">
        <f>'1 datos preparados'!J129</f>
        <v/>
      </c>
      <c r="L136" s="7">
        <f>'1 datos preparados'!K129</f>
        <v/>
      </c>
      <c r="M136" s="7">
        <f>'1 datos preparados'!L129</f>
        <v/>
      </c>
      <c r="N136" s="7">
        <f>'1 datos preparados'!M129</f>
        <v/>
      </c>
      <c r="O136" s="7">
        <f>'1 datos preparados'!N129</f>
        <v/>
      </c>
      <c r="P136" s="7">
        <f>'1 datos preparados'!O129</f>
        <v/>
      </c>
      <c r="Q136" s="7">
        <f>'1 datos preparados'!P129</f>
        <v/>
      </c>
      <c r="R136" s="7">
        <f>'1 datos preparados'!Q129</f>
        <v/>
      </c>
      <c r="S136" s="7">
        <f>'1 datos preparados'!R129</f>
        <v/>
      </c>
      <c r="T136" s="7">
        <f>'1 datos preparados'!S129</f>
        <v/>
      </c>
      <c r="U136" s="7">
        <f>'1 datos preparados'!T129</f>
        <v/>
      </c>
      <c r="V136" s="8">
        <f>$AE$12+D136*$AE$13+E136*$AE$14+F136*$AE$15+G136*$AE$16+H136*$AE$17+I136*$AE$18+J136*$AE$19+K136*$AE$20+L136*$AE$21+M136*$AE$22+N136*$AE$23+O136*$AE$24+P136*$AE$25+Q136*$AE$26+R136*$AE$27+S136*$AE$28+T136*$AE$29+U136*$AE$30</f>
        <v/>
      </c>
      <c r="W136" s="8">
        <f>1/(1+EXP(-V136))</f>
        <v/>
      </c>
      <c r="X136" s="9">
        <f>-IF(C136=1,LN(W136),LN(1-W136))</f>
        <v/>
      </c>
      <c r="Y136" s="8">
        <f>'1 datos preparados'!V129</f>
        <v/>
      </c>
      <c r="Z136" s="9">
        <f>Y136*X136</f>
        <v/>
      </c>
      <c r="AA136" s="10">
        <f>IF(W136&gt;$AE$33,1,0)</f>
        <v/>
      </c>
      <c r="AB136">
        <f>IF(AA136=C136,1,0)</f>
        <v/>
      </c>
    </row>
    <row r="137">
      <c r="A137">
        <f>'1 datos preparados'!A130</f>
        <v/>
      </c>
      <c r="B137" s="5">
        <f>'1 datos preparados'!U130</f>
        <v/>
      </c>
      <c r="C137">
        <f>'1 datos preparados'!B130</f>
        <v/>
      </c>
      <c r="D137" s="7">
        <f>'1 datos preparados'!C130</f>
        <v/>
      </c>
      <c r="E137" s="7">
        <f>'1 datos preparados'!D130</f>
        <v/>
      </c>
      <c r="F137" s="7">
        <f>'1 datos preparados'!E130</f>
        <v/>
      </c>
      <c r="G137" s="7">
        <f>'1 datos preparados'!F130</f>
        <v/>
      </c>
      <c r="H137" s="7">
        <f>'1 datos preparados'!G130</f>
        <v/>
      </c>
      <c r="I137" s="7">
        <f>'1 datos preparados'!H130</f>
        <v/>
      </c>
      <c r="J137" s="7">
        <f>'1 datos preparados'!I130</f>
        <v/>
      </c>
      <c r="K137" s="7">
        <f>'1 datos preparados'!J130</f>
        <v/>
      </c>
      <c r="L137" s="7">
        <f>'1 datos preparados'!K130</f>
        <v/>
      </c>
      <c r="M137" s="7">
        <f>'1 datos preparados'!L130</f>
        <v/>
      </c>
      <c r="N137" s="7">
        <f>'1 datos preparados'!M130</f>
        <v/>
      </c>
      <c r="O137" s="7">
        <f>'1 datos preparados'!N130</f>
        <v/>
      </c>
      <c r="P137" s="7">
        <f>'1 datos preparados'!O130</f>
        <v/>
      </c>
      <c r="Q137" s="7">
        <f>'1 datos preparados'!P130</f>
        <v/>
      </c>
      <c r="R137" s="7">
        <f>'1 datos preparados'!Q130</f>
        <v/>
      </c>
      <c r="S137" s="7">
        <f>'1 datos preparados'!R130</f>
        <v/>
      </c>
      <c r="T137" s="7">
        <f>'1 datos preparados'!S130</f>
        <v/>
      </c>
      <c r="U137" s="7">
        <f>'1 datos preparados'!T130</f>
        <v/>
      </c>
      <c r="V137" s="8">
        <f>$AE$12+D137*$AE$13+E137*$AE$14+F137*$AE$15+G137*$AE$16+H137*$AE$17+I137*$AE$18+J137*$AE$19+K137*$AE$20+L137*$AE$21+M137*$AE$22+N137*$AE$23+O137*$AE$24+P137*$AE$25+Q137*$AE$26+R137*$AE$27+S137*$AE$28+T137*$AE$29+U137*$AE$30</f>
        <v/>
      </c>
      <c r="W137" s="8">
        <f>1/(1+EXP(-V137))</f>
        <v/>
      </c>
      <c r="X137" s="9">
        <f>-IF(C137=1,LN(W137),LN(1-W137))</f>
        <v/>
      </c>
      <c r="Y137" s="8">
        <f>'1 datos preparados'!V130</f>
        <v/>
      </c>
      <c r="Z137" s="9">
        <f>Y137*X137</f>
        <v/>
      </c>
      <c r="AA137" s="10">
        <f>IF(W137&gt;$AE$33,1,0)</f>
        <v/>
      </c>
      <c r="AB137">
        <f>IF(AA137=C137,1,0)</f>
        <v/>
      </c>
    </row>
    <row r="138">
      <c r="A138">
        <f>'1 datos preparados'!A131</f>
        <v/>
      </c>
      <c r="B138" s="5">
        <f>'1 datos preparados'!U131</f>
        <v/>
      </c>
      <c r="C138">
        <f>'1 datos preparados'!B131</f>
        <v/>
      </c>
      <c r="D138" s="7">
        <f>'1 datos preparados'!C131</f>
        <v/>
      </c>
      <c r="E138" s="7">
        <f>'1 datos preparados'!D131</f>
        <v/>
      </c>
      <c r="F138" s="7">
        <f>'1 datos preparados'!E131</f>
        <v/>
      </c>
      <c r="G138" s="7">
        <f>'1 datos preparados'!F131</f>
        <v/>
      </c>
      <c r="H138" s="7">
        <f>'1 datos preparados'!G131</f>
        <v/>
      </c>
      <c r="I138" s="7">
        <f>'1 datos preparados'!H131</f>
        <v/>
      </c>
      <c r="J138" s="7">
        <f>'1 datos preparados'!I131</f>
        <v/>
      </c>
      <c r="K138" s="7">
        <f>'1 datos preparados'!J131</f>
        <v/>
      </c>
      <c r="L138" s="7">
        <f>'1 datos preparados'!K131</f>
        <v/>
      </c>
      <c r="M138" s="7">
        <f>'1 datos preparados'!L131</f>
        <v/>
      </c>
      <c r="N138" s="7">
        <f>'1 datos preparados'!M131</f>
        <v/>
      </c>
      <c r="O138" s="7">
        <f>'1 datos preparados'!N131</f>
        <v/>
      </c>
      <c r="P138" s="7">
        <f>'1 datos preparados'!O131</f>
        <v/>
      </c>
      <c r="Q138" s="7">
        <f>'1 datos preparados'!P131</f>
        <v/>
      </c>
      <c r="R138" s="7">
        <f>'1 datos preparados'!Q131</f>
        <v/>
      </c>
      <c r="S138" s="7">
        <f>'1 datos preparados'!R131</f>
        <v/>
      </c>
      <c r="T138" s="7">
        <f>'1 datos preparados'!S131</f>
        <v/>
      </c>
      <c r="U138" s="7">
        <f>'1 datos preparados'!T131</f>
        <v/>
      </c>
      <c r="V138" s="8">
        <f>$AE$12+D138*$AE$13+E138*$AE$14+F138*$AE$15+G138*$AE$16+H138*$AE$17+I138*$AE$18+J138*$AE$19+K138*$AE$20+L138*$AE$21+M138*$AE$22+N138*$AE$23+O138*$AE$24+P138*$AE$25+Q138*$AE$26+R138*$AE$27+S138*$AE$28+T138*$AE$29+U138*$AE$30</f>
        <v/>
      </c>
      <c r="W138" s="8">
        <f>1/(1+EXP(-V138))</f>
        <v/>
      </c>
      <c r="X138" s="9">
        <f>-IF(C138=1,LN(W138),LN(1-W138))</f>
        <v/>
      </c>
      <c r="Y138" s="8">
        <f>'1 datos preparados'!V131</f>
        <v/>
      </c>
      <c r="Z138" s="9">
        <f>Y138*X138</f>
        <v/>
      </c>
      <c r="AA138" s="10">
        <f>IF(W138&gt;$AE$33,1,0)</f>
        <v/>
      </c>
      <c r="AB138">
        <f>IF(AA138=C138,1,0)</f>
        <v/>
      </c>
    </row>
    <row r="139">
      <c r="A139">
        <f>'1 datos preparados'!A132</f>
        <v/>
      </c>
      <c r="B139" s="5">
        <f>'1 datos preparados'!U132</f>
        <v/>
      </c>
      <c r="C139">
        <f>'1 datos preparados'!B132</f>
        <v/>
      </c>
      <c r="D139" s="7">
        <f>'1 datos preparados'!C132</f>
        <v/>
      </c>
      <c r="E139" s="7">
        <f>'1 datos preparados'!D132</f>
        <v/>
      </c>
      <c r="F139" s="7">
        <f>'1 datos preparados'!E132</f>
        <v/>
      </c>
      <c r="G139" s="7">
        <f>'1 datos preparados'!F132</f>
        <v/>
      </c>
      <c r="H139" s="7">
        <f>'1 datos preparados'!G132</f>
        <v/>
      </c>
      <c r="I139" s="7">
        <f>'1 datos preparados'!H132</f>
        <v/>
      </c>
      <c r="J139" s="7">
        <f>'1 datos preparados'!I132</f>
        <v/>
      </c>
      <c r="K139" s="7">
        <f>'1 datos preparados'!J132</f>
        <v/>
      </c>
      <c r="L139" s="7">
        <f>'1 datos preparados'!K132</f>
        <v/>
      </c>
      <c r="M139" s="7">
        <f>'1 datos preparados'!L132</f>
        <v/>
      </c>
      <c r="N139" s="7">
        <f>'1 datos preparados'!M132</f>
        <v/>
      </c>
      <c r="O139" s="7">
        <f>'1 datos preparados'!N132</f>
        <v/>
      </c>
      <c r="P139" s="7">
        <f>'1 datos preparados'!O132</f>
        <v/>
      </c>
      <c r="Q139" s="7">
        <f>'1 datos preparados'!P132</f>
        <v/>
      </c>
      <c r="R139" s="7">
        <f>'1 datos preparados'!Q132</f>
        <v/>
      </c>
      <c r="S139" s="7">
        <f>'1 datos preparados'!R132</f>
        <v/>
      </c>
      <c r="T139" s="7">
        <f>'1 datos preparados'!S132</f>
        <v/>
      </c>
      <c r="U139" s="7">
        <f>'1 datos preparados'!T132</f>
        <v/>
      </c>
      <c r="V139" s="8">
        <f>$AE$12+D139*$AE$13+E139*$AE$14+F139*$AE$15+G139*$AE$16+H139*$AE$17+I139*$AE$18+J139*$AE$19+K139*$AE$20+L139*$AE$21+M139*$AE$22+N139*$AE$23+O139*$AE$24+P139*$AE$25+Q139*$AE$26+R139*$AE$27+S139*$AE$28+T139*$AE$29+U139*$AE$30</f>
        <v/>
      </c>
      <c r="W139" s="8">
        <f>1/(1+EXP(-V139))</f>
        <v/>
      </c>
      <c r="X139" s="9">
        <f>-IF(C139=1,LN(W139),LN(1-W139))</f>
        <v/>
      </c>
      <c r="Y139" s="8">
        <f>'1 datos preparados'!V132</f>
        <v/>
      </c>
      <c r="Z139" s="9">
        <f>Y139*X139</f>
        <v/>
      </c>
      <c r="AA139" s="10">
        <f>IF(W139&gt;$AE$33,1,0)</f>
        <v/>
      </c>
      <c r="AB139">
        <f>IF(AA139=C139,1,0)</f>
        <v/>
      </c>
    </row>
    <row r="140">
      <c r="A140">
        <f>'1 datos preparados'!A133</f>
        <v/>
      </c>
      <c r="B140" s="5">
        <f>'1 datos preparados'!U133</f>
        <v/>
      </c>
      <c r="C140">
        <f>'1 datos preparados'!B133</f>
        <v/>
      </c>
      <c r="D140" s="7">
        <f>'1 datos preparados'!C133</f>
        <v/>
      </c>
      <c r="E140" s="7">
        <f>'1 datos preparados'!D133</f>
        <v/>
      </c>
      <c r="F140" s="7">
        <f>'1 datos preparados'!E133</f>
        <v/>
      </c>
      <c r="G140" s="7">
        <f>'1 datos preparados'!F133</f>
        <v/>
      </c>
      <c r="H140" s="7">
        <f>'1 datos preparados'!G133</f>
        <v/>
      </c>
      <c r="I140" s="7">
        <f>'1 datos preparados'!H133</f>
        <v/>
      </c>
      <c r="J140" s="7">
        <f>'1 datos preparados'!I133</f>
        <v/>
      </c>
      <c r="K140" s="7">
        <f>'1 datos preparados'!J133</f>
        <v/>
      </c>
      <c r="L140" s="7">
        <f>'1 datos preparados'!K133</f>
        <v/>
      </c>
      <c r="M140" s="7">
        <f>'1 datos preparados'!L133</f>
        <v/>
      </c>
      <c r="N140" s="7">
        <f>'1 datos preparados'!M133</f>
        <v/>
      </c>
      <c r="O140" s="7">
        <f>'1 datos preparados'!N133</f>
        <v/>
      </c>
      <c r="P140" s="7">
        <f>'1 datos preparados'!O133</f>
        <v/>
      </c>
      <c r="Q140" s="7">
        <f>'1 datos preparados'!P133</f>
        <v/>
      </c>
      <c r="R140" s="7">
        <f>'1 datos preparados'!Q133</f>
        <v/>
      </c>
      <c r="S140" s="7">
        <f>'1 datos preparados'!R133</f>
        <v/>
      </c>
      <c r="T140" s="7">
        <f>'1 datos preparados'!S133</f>
        <v/>
      </c>
      <c r="U140" s="7">
        <f>'1 datos preparados'!T133</f>
        <v/>
      </c>
      <c r="V140" s="8">
        <f>$AE$12+D140*$AE$13+E140*$AE$14+F140*$AE$15+G140*$AE$16+H140*$AE$17+I140*$AE$18+J140*$AE$19+K140*$AE$20+L140*$AE$21+M140*$AE$22+N140*$AE$23+O140*$AE$24+P140*$AE$25+Q140*$AE$26+R140*$AE$27+S140*$AE$28+T140*$AE$29+U140*$AE$30</f>
        <v/>
      </c>
      <c r="W140" s="8">
        <f>1/(1+EXP(-V140))</f>
        <v/>
      </c>
      <c r="X140" s="9">
        <f>-IF(C140=1,LN(W140),LN(1-W140))</f>
        <v/>
      </c>
      <c r="Y140" s="8">
        <f>'1 datos preparados'!V133</f>
        <v/>
      </c>
      <c r="Z140" s="9">
        <f>Y140*X140</f>
        <v/>
      </c>
      <c r="AA140" s="10">
        <f>IF(W140&gt;$AE$33,1,0)</f>
        <v/>
      </c>
      <c r="AB140">
        <f>IF(AA140=C140,1,0)</f>
        <v/>
      </c>
    </row>
    <row r="141">
      <c r="A141">
        <f>'1 datos preparados'!A134</f>
        <v/>
      </c>
      <c r="B141" s="5">
        <f>'1 datos preparados'!U134</f>
        <v/>
      </c>
      <c r="C141">
        <f>'1 datos preparados'!B134</f>
        <v/>
      </c>
      <c r="D141" s="7">
        <f>'1 datos preparados'!C134</f>
        <v/>
      </c>
      <c r="E141" s="7">
        <f>'1 datos preparados'!D134</f>
        <v/>
      </c>
      <c r="F141" s="7">
        <f>'1 datos preparados'!E134</f>
        <v/>
      </c>
      <c r="G141" s="7">
        <f>'1 datos preparados'!F134</f>
        <v/>
      </c>
      <c r="H141" s="7">
        <f>'1 datos preparados'!G134</f>
        <v/>
      </c>
      <c r="I141" s="7">
        <f>'1 datos preparados'!H134</f>
        <v/>
      </c>
      <c r="J141" s="7">
        <f>'1 datos preparados'!I134</f>
        <v/>
      </c>
      <c r="K141" s="7">
        <f>'1 datos preparados'!J134</f>
        <v/>
      </c>
      <c r="L141" s="7">
        <f>'1 datos preparados'!K134</f>
        <v/>
      </c>
      <c r="M141" s="7">
        <f>'1 datos preparados'!L134</f>
        <v/>
      </c>
      <c r="N141" s="7">
        <f>'1 datos preparados'!M134</f>
        <v/>
      </c>
      <c r="O141" s="7">
        <f>'1 datos preparados'!N134</f>
        <v/>
      </c>
      <c r="P141" s="7">
        <f>'1 datos preparados'!O134</f>
        <v/>
      </c>
      <c r="Q141" s="7">
        <f>'1 datos preparados'!P134</f>
        <v/>
      </c>
      <c r="R141" s="7">
        <f>'1 datos preparados'!Q134</f>
        <v/>
      </c>
      <c r="S141" s="7">
        <f>'1 datos preparados'!R134</f>
        <v/>
      </c>
      <c r="T141" s="7">
        <f>'1 datos preparados'!S134</f>
        <v/>
      </c>
      <c r="U141" s="7">
        <f>'1 datos preparados'!T134</f>
        <v/>
      </c>
      <c r="V141" s="8">
        <f>$AE$12+D141*$AE$13+E141*$AE$14+F141*$AE$15+G141*$AE$16+H141*$AE$17+I141*$AE$18+J141*$AE$19+K141*$AE$20+L141*$AE$21+M141*$AE$22+N141*$AE$23+O141*$AE$24+P141*$AE$25+Q141*$AE$26+R141*$AE$27+S141*$AE$28+T141*$AE$29+U141*$AE$30</f>
        <v/>
      </c>
      <c r="W141" s="8">
        <f>1/(1+EXP(-V141))</f>
        <v/>
      </c>
      <c r="X141" s="9">
        <f>-IF(C141=1,LN(W141),LN(1-W141))</f>
        <v/>
      </c>
      <c r="Y141" s="8">
        <f>'1 datos preparados'!V134</f>
        <v/>
      </c>
      <c r="Z141" s="9">
        <f>Y141*X141</f>
        <v/>
      </c>
      <c r="AA141" s="10">
        <f>IF(W141&gt;$AE$33,1,0)</f>
        <v/>
      </c>
      <c r="AB141">
        <f>IF(AA141=C141,1,0)</f>
        <v/>
      </c>
    </row>
    <row r="142">
      <c r="A142">
        <f>'1 datos preparados'!A135</f>
        <v/>
      </c>
      <c r="B142" s="5">
        <f>'1 datos preparados'!U135</f>
        <v/>
      </c>
      <c r="C142">
        <f>'1 datos preparados'!B135</f>
        <v/>
      </c>
      <c r="D142" s="7">
        <f>'1 datos preparados'!C135</f>
        <v/>
      </c>
      <c r="E142" s="7">
        <f>'1 datos preparados'!D135</f>
        <v/>
      </c>
      <c r="F142" s="7">
        <f>'1 datos preparados'!E135</f>
        <v/>
      </c>
      <c r="G142" s="7">
        <f>'1 datos preparados'!F135</f>
        <v/>
      </c>
      <c r="H142" s="7">
        <f>'1 datos preparados'!G135</f>
        <v/>
      </c>
      <c r="I142" s="7">
        <f>'1 datos preparados'!H135</f>
        <v/>
      </c>
      <c r="J142" s="7">
        <f>'1 datos preparados'!I135</f>
        <v/>
      </c>
      <c r="K142" s="7">
        <f>'1 datos preparados'!J135</f>
        <v/>
      </c>
      <c r="L142" s="7">
        <f>'1 datos preparados'!K135</f>
        <v/>
      </c>
      <c r="M142" s="7">
        <f>'1 datos preparados'!L135</f>
        <v/>
      </c>
      <c r="N142" s="7">
        <f>'1 datos preparados'!M135</f>
        <v/>
      </c>
      <c r="O142" s="7">
        <f>'1 datos preparados'!N135</f>
        <v/>
      </c>
      <c r="P142" s="7">
        <f>'1 datos preparados'!O135</f>
        <v/>
      </c>
      <c r="Q142" s="7">
        <f>'1 datos preparados'!P135</f>
        <v/>
      </c>
      <c r="R142" s="7">
        <f>'1 datos preparados'!Q135</f>
        <v/>
      </c>
      <c r="S142" s="7">
        <f>'1 datos preparados'!R135</f>
        <v/>
      </c>
      <c r="T142" s="7">
        <f>'1 datos preparados'!S135</f>
        <v/>
      </c>
      <c r="U142" s="7">
        <f>'1 datos preparados'!T135</f>
        <v/>
      </c>
      <c r="V142" s="8">
        <f>$AE$12+D142*$AE$13+E142*$AE$14+F142*$AE$15+G142*$AE$16+H142*$AE$17+I142*$AE$18+J142*$AE$19+K142*$AE$20+L142*$AE$21+M142*$AE$22+N142*$AE$23+O142*$AE$24+P142*$AE$25+Q142*$AE$26+R142*$AE$27+S142*$AE$28+T142*$AE$29+U142*$AE$30</f>
        <v/>
      </c>
      <c r="W142" s="8">
        <f>1/(1+EXP(-V142))</f>
        <v/>
      </c>
      <c r="X142" s="9">
        <f>-IF(C142=1,LN(W142),LN(1-W142))</f>
        <v/>
      </c>
      <c r="Y142" s="8">
        <f>'1 datos preparados'!V135</f>
        <v/>
      </c>
      <c r="Z142" s="9">
        <f>Y142*X142</f>
        <v/>
      </c>
      <c r="AA142" s="10">
        <f>IF(W142&gt;$AE$33,1,0)</f>
        <v/>
      </c>
      <c r="AB142">
        <f>IF(AA142=C142,1,0)</f>
        <v/>
      </c>
    </row>
    <row r="143">
      <c r="A143">
        <f>'1 datos preparados'!A136</f>
        <v/>
      </c>
      <c r="B143" s="5">
        <f>'1 datos preparados'!U136</f>
        <v/>
      </c>
      <c r="C143">
        <f>'1 datos preparados'!B136</f>
        <v/>
      </c>
      <c r="D143" s="7">
        <f>'1 datos preparados'!C136</f>
        <v/>
      </c>
      <c r="E143" s="7">
        <f>'1 datos preparados'!D136</f>
        <v/>
      </c>
      <c r="F143" s="7">
        <f>'1 datos preparados'!E136</f>
        <v/>
      </c>
      <c r="G143" s="7">
        <f>'1 datos preparados'!F136</f>
        <v/>
      </c>
      <c r="H143" s="7">
        <f>'1 datos preparados'!G136</f>
        <v/>
      </c>
      <c r="I143" s="7">
        <f>'1 datos preparados'!H136</f>
        <v/>
      </c>
      <c r="J143" s="7">
        <f>'1 datos preparados'!I136</f>
        <v/>
      </c>
      <c r="K143" s="7">
        <f>'1 datos preparados'!J136</f>
        <v/>
      </c>
      <c r="L143" s="7">
        <f>'1 datos preparados'!K136</f>
        <v/>
      </c>
      <c r="M143" s="7">
        <f>'1 datos preparados'!L136</f>
        <v/>
      </c>
      <c r="N143" s="7">
        <f>'1 datos preparados'!M136</f>
        <v/>
      </c>
      <c r="O143" s="7">
        <f>'1 datos preparados'!N136</f>
        <v/>
      </c>
      <c r="P143" s="7">
        <f>'1 datos preparados'!O136</f>
        <v/>
      </c>
      <c r="Q143" s="7">
        <f>'1 datos preparados'!P136</f>
        <v/>
      </c>
      <c r="R143" s="7">
        <f>'1 datos preparados'!Q136</f>
        <v/>
      </c>
      <c r="S143" s="7">
        <f>'1 datos preparados'!R136</f>
        <v/>
      </c>
      <c r="T143" s="7">
        <f>'1 datos preparados'!S136</f>
        <v/>
      </c>
      <c r="U143" s="7">
        <f>'1 datos preparados'!T136</f>
        <v/>
      </c>
      <c r="V143" s="8">
        <f>$AE$12+D143*$AE$13+E143*$AE$14+F143*$AE$15+G143*$AE$16+H143*$AE$17+I143*$AE$18+J143*$AE$19+K143*$AE$20+L143*$AE$21+M143*$AE$22+N143*$AE$23+O143*$AE$24+P143*$AE$25+Q143*$AE$26+R143*$AE$27+S143*$AE$28+T143*$AE$29+U143*$AE$30</f>
        <v/>
      </c>
      <c r="W143" s="8">
        <f>1/(1+EXP(-V143))</f>
        <v/>
      </c>
      <c r="X143" s="9">
        <f>-IF(C143=1,LN(W143),LN(1-W143))</f>
        <v/>
      </c>
      <c r="Y143" s="8">
        <f>'1 datos preparados'!V136</f>
        <v/>
      </c>
      <c r="Z143" s="9">
        <f>Y143*X143</f>
        <v/>
      </c>
      <c r="AA143" s="10">
        <f>IF(W143&gt;$AE$33,1,0)</f>
        <v/>
      </c>
      <c r="AB143">
        <f>IF(AA143=C143,1,0)</f>
        <v/>
      </c>
    </row>
    <row r="144">
      <c r="A144">
        <f>'1 datos preparados'!A137</f>
        <v/>
      </c>
      <c r="B144" s="5">
        <f>'1 datos preparados'!U137</f>
        <v/>
      </c>
      <c r="C144">
        <f>'1 datos preparados'!B137</f>
        <v/>
      </c>
      <c r="D144" s="7">
        <f>'1 datos preparados'!C137</f>
        <v/>
      </c>
      <c r="E144" s="7">
        <f>'1 datos preparados'!D137</f>
        <v/>
      </c>
      <c r="F144" s="7">
        <f>'1 datos preparados'!E137</f>
        <v/>
      </c>
      <c r="G144" s="7">
        <f>'1 datos preparados'!F137</f>
        <v/>
      </c>
      <c r="H144" s="7">
        <f>'1 datos preparados'!G137</f>
        <v/>
      </c>
      <c r="I144" s="7">
        <f>'1 datos preparados'!H137</f>
        <v/>
      </c>
      <c r="J144" s="7">
        <f>'1 datos preparados'!I137</f>
        <v/>
      </c>
      <c r="K144" s="7">
        <f>'1 datos preparados'!J137</f>
        <v/>
      </c>
      <c r="L144" s="7">
        <f>'1 datos preparados'!K137</f>
        <v/>
      </c>
      <c r="M144" s="7">
        <f>'1 datos preparados'!L137</f>
        <v/>
      </c>
      <c r="N144" s="7">
        <f>'1 datos preparados'!M137</f>
        <v/>
      </c>
      <c r="O144" s="7">
        <f>'1 datos preparados'!N137</f>
        <v/>
      </c>
      <c r="P144" s="7">
        <f>'1 datos preparados'!O137</f>
        <v/>
      </c>
      <c r="Q144" s="7">
        <f>'1 datos preparados'!P137</f>
        <v/>
      </c>
      <c r="R144" s="7">
        <f>'1 datos preparados'!Q137</f>
        <v/>
      </c>
      <c r="S144" s="7">
        <f>'1 datos preparados'!R137</f>
        <v/>
      </c>
      <c r="T144" s="7">
        <f>'1 datos preparados'!S137</f>
        <v/>
      </c>
      <c r="U144" s="7">
        <f>'1 datos preparados'!T137</f>
        <v/>
      </c>
      <c r="V144" s="8">
        <f>$AE$12+D144*$AE$13+E144*$AE$14+F144*$AE$15+G144*$AE$16+H144*$AE$17+I144*$AE$18+J144*$AE$19+K144*$AE$20+L144*$AE$21+M144*$AE$22+N144*$AE$23+O144*$AE$24+P144*$AE$25+Q144*$AE$26+R144*$AE$27+S144*$AE$28+T144*$AE$29+U144*$AE$30</f>
        <v/>
      </c>
      <c r="W144" s="8">
        <f>1/(1+EXP(-V144))</f>
        <v/>
      </c>
      <c r="X144" s="9">
        <f>-IF(C144=1,LN(W144),LN(1-W144))</f>
        <v/>
      </c>
      <c r="Y144" s="8">
        <f>'1 datos preparados'!V137</f>
        <v/>
      </c>
      <c r="Z144" s="9">
        <f>Y144*X144</f>
        <v/>
      </c>
      <c r="AA144" s="10">
        <f>IF(W144&gt;$AE$33,1,0)</f>
        <v/>
      </c>
      <c r="AB144">
        <f>IF(AA144=C144,1,0)</f>
        <v/>
      </c>
    </row>
    <row r="145">
      <c r="A145">
        <f>'1 datos preparados'!A138</f>
        <v/>
      </c>
      <c r="B145" s="5">
        <f>'1 datos preparados'!U138</f>
        <v/>
      </c>
      <c r="C145">
        <f>'1 datos preparados'!B138</f>
        <v/>
      </c>
      <c r="D145" s="7">
        <f>'1 datos preparados'!C138</f>
        <v/>
      </c>
      <c r="E145" s="7">
        <f>'1 datos preparados'!D138</f>
        <v/>
      </c>
      <c r="F145" s="7">
        <f>'1 datos preparados'!E138</f>
        <v/>
      </c>
      <c r="G145" s="7">
        <f>'1 datos preparados'!F138</f>
        <v/>
      </c>
      <c r="H145" s="7">
        <f>'1 datos preparados'!G138</f>
        <v/>
      </c>
      <c r="I145" s="7">
        <f>'1 datos preparados'!H138</f>
        <v/>
      </c>
      <c r="J145" s="7">
        <f>'1 datos preparados'!I138</f>
        <v/>
      </c>
      <c r="K145" s="7">
        <f>'1 datos preparados'!J138</f>
        <v/>
      </c>
      <c r="L145" s="7">
        <f>'1 datos preparados'!K138</f>
        <v/>
      </c>
      <c r="M145" s="7">
        <f>'1 datos preparados'!L138</f>
        <v/>
      </c>
      <c r="N145" s="7">
        <f>'1 datos preparados'!M138</f>
        <v/>
      </c>
      <c r="O145" s="7">
        <f>'1 datos preparados'!N138</f>
        <v/>
      </c>
      <c r="P145" s="7">
        <f>'1 datos preparados'!O138</f>
        <v/>
      </c>
      <c r="Q145" s="7">
        <f>'1 datos preparados'!P138</f>
        <v/>
      </c>
      <c r="R145" s="7">
        <f>'1 datos preparados'!Q138</f>
        <v/>
      </c>
      <c r="S145" s="7">
        <f>'1 datos preparados'!R138</f>
        <v/>
      </c>
      <c r="T145" s="7">
        <f>'1 datos preparados'!S138</f>
        <v/>
      </c>
      <c r="U145" s="7">
        <f>'1 datos preparados'!T138</f>
        <v/>
      </c>
      <c r="V145" s="8">
        <f>$AE$12+D145*$AE$13+E145*$AE$14+F145*$AE$15+G145*$AE$16+H145*$AE$17+I145*$AE$18+J145*$AE$19+K145*$AE$20+L145*$AE$21+M145*$AE$22+N145*$AE$23+O145*$AE$24+P145*$AE$25+Q145*$AE$26+R145*$AE$27+S145*$AE$28+T145*$AE$29+U145*$AE$30</f>
        <v/>
      </c>
      <c r="W145" s="8">
        <f>1/(1+EXP(-V145))</f>
        <v/>
      </c>
      <c r="X145" s="9">
        <f>-IF(C145=1,LN(W145),LN(1-W145))</f>
        <v/>
      </c>
      <c r="Y145" s="8">
        <f>'1 datos preparados'!V138</f>
        <v/>
      </c>
      <c r="Z145" s="9">
        <f>Y145*X145</f>
        <v/>
      </c>
      <c r="AA145" s="10">
        <f>IF(W145&gt;$AE$33,1,0)</f>
        <v/>
      </c>
      <c r="AB145">
        <f>IF(AA145=C145,1,0)</f>
        <v/>
      </c>
    </row>
    <row r="146">
      <c r="A146">
        <f>'1 datos preparados'!A139</f>
        <v/>
      </c>
      <c r="B146" s="5">
        <f>'1 datos preparados'!U139</f>
        <v/>
      </c>
      <c r="C146">
        <f>'1 datos preparados'!B139</f>
        <v/>
      </c>
      <c r="D146" s="7">
        <f>'1 datos preparados'!C139</f>
        <v/>
      </c>
      <c r="E146" s="7">
        <f>'1 datos preparados'!D139</f>
        <v/>
      </c>
      <c r="F146" s="7">
        <f>'1 datos preparados'!E139</f>
        <v/>
      </c>
      <c r="G146" s="7">
        <f>'1 datos preparados'!F139</f>
        <v/>
      </c>
      <c r="H146" s="7">
        <f>'1 datos preparados'!G139</f>
        <v/>
      </c>
      <c r="I146" s="7">
        <f>'1 datos preparados'!H139</f>
        <v/>
      </c>
      <c r="J146" s="7">
        <f>'1 datos preparados'!I139</f>
        <v/>
      </c>
      <c r="K146" s="7">
        <f>'1 datos preparados'!J139</f>
        <v/>
      </c>
      <c r="L146" s="7">
        <f>'1 datos preparados'!K139</f>
        <v/>
      </c>
      <c r="M146" s="7">
        <f>'1 datos preparados'!L139</f>
        <v/>
      </c>
      <c r="N146" s="7">
        <f>'1 datos preparados'!M139</f>
        <v/>
      </c>
      <c r="O146" s="7">
        <f>'1 datos preparados'!N139</f>
        <v/>
      </c>
      <c r="P146" s="7">
        <f>'1 datos preparados'!O139</f>
        <v/>
      </c>
      <c r="Q146" s="7">
        <f>'1 datos preparados'!P139</f>
        <v/>
      </c>
      <c r="R146" s="7">
        <f>'1 datos preparados'!Q139</f>
        <v/>
      </c>
      <c r="S146" s="7">
        <f>'1 datos preparados'!R139</f>
        <v/>
      </c>
      <c r="T146" s="7">
        <f>'1 datos preparados'!S139</f>
        <v/>
      </c>
      <c r="U146" s="7">
        <f>'1 datos preparados'!T139</f>
        <v/>
      </c>
      <c r="V146" s="8">
        <f>$AE$12+D146*$AE$13+E146*$AE$14+F146*$AE$15+G146*$AE$16+H146*$AE$17+I146*$AE$18+J146*$AE$19+K146*$AE$20+L146*$AE$21+M146*$AE$22+N146*$AE$23+O146*$AE$24+P146*$AE$25+Q146*$AE$26+R146*$AE$27+S146*$AE$28+T146*$AE$29+U146*$AE$30</f>
        <v/>
      </c>
      <c r="W146" s="8">
        <f>1/(1+EXP(-V146))</f>
        <v/>
      </c>
      <c r="X146" s="9">
        <f>-IF(C146=1,LN(W146),LN(1-W146))</f>
        <v/>
      </c>
      <c r="Y146" s="8">
        <f>'1 datos preparados'!V139</f>
        <v/>
      </c>
      <c r="Z146" s="9">
        <f>Y146*X146</f>
        <v/>
      </c>
      <c r="AA146" s="10">
        <f>IF(W146&gt;$AE$33,1,0)</f>
        <v/>
      </c>
      <c r="AB146">
        <f>IF(AA146=C146,1,0)</f>
        <v/>
      </c>
    </row>
    <row r="147">
      <c r="A147">
        <f>'1 datos preparados'!A140</f>
        <v/>
      </c>
      <c r="B147" s="5">
        <f>'1 datos preparados'!U140</f>
        <v/>
      </c>
      <c r="C147">
        <f>'1 datos preparados'!B140</f>
        <v/>
      </c>
      <c r="D147" s="7">
        <f>'1 datos preparados'!C140</f>
        <v/>
      </c>
      <c r="E147" s="7">
        <f>'1 datos preparados'!D140</f>
        <v/>
      </c>
      <c r="F147" s="7">
        <f>'1 datos preparados'!E140</f>
        <v/>
      </c>
      <c r="G147" s="7">
        <f>'1 datos preparados'!F140</f>
        <v/>
      </c>
      <c r="H147" s="7">
        <f>'1 datos preparados'!G140</f>
        <v/>
      </c>
      <c r="I147" s="7">
        <f>'1 datos preparados'!H140</f>
        <v/>
      </c>
      <c r="J147" s="7">
        <f>'1 datos preparados'!I140</f>
        <v/>
      </c>
      <c r="K147" s="7">
        <f>'1 datos preparados'!J140</f>
        <v/>
      </c>
      <c r="L147" s="7">
        <f>'1 datos preparados'!K140</f>
        <v/>
      </c>
      <c r="M147" s="7">
        <f>'1 datos preparados'!L140</f>
        <v/>
      </c>
      <c r="N147" s="7">
        <f>'1 datos preparados'!M140</f>
        <v/>
      </c>
      <c r="O147" s="7">
        <f>'1 datos preparados'!N140</f>
        <v/>
      </c>
      <c r="P147" s="7">
        <f>'1 datos preparados'!O140</f>
        <v/>
      </c>
      <c r="Q147" s="7">
        <f>'1 datos preparados'!P140</f>
        <v/>
      </c>
      <c r="R147" s="7">
        <f>'1 datos preparados'!Q140</f>
        <v/>
      </c>
      <c r="S147" s="7">
        <f>'1 datos preparados'!R140</f>
        <v/>
      </c>
      <c r="T147" s="7">
        <f>'1 datos preparados'!S140</f>
        <v/>
      </c>
      <c r="U147" s="7">
        <f>'1 datos preparados'!T140</f>
        <v/>
      </c>
      <c r="V147" s="8">
        <f>$AE$12+D147*$AE$13+E147*$AE$14+F147*$AE$15+G147*$AE$16+H147*$AE$17+I147*$AE$18+J147*$AE$19+K147*$AE$20+L147*$AE$21+M147*$AE$22+N147*$AE$23+O147*$AE$24+P147*$AE$25+Q147*$AE$26+R147*$AE$27+S147*$AE$28+T147*$AE$29+U147*$AE$30</f>
        <v/>
      </c>
      <c r="W147" s="8">
        <f>1/(1+EXP(-V147))</f>
        <v/>
      </c>
      <c r="X147" s="9">
        <f>-IF(C147=1,LN(W147),LN(1-W147))</f>
        <v/>
      </c>
      <c r="Y147" s="8">
        <f>'1 datos preparados'!V140</f>
        <v/>
      </c>
      <c r="Z147" s="9">
        <f>Y147*X147</f>
        <v/>
      </c>
      <c r="AA147" s="10">
        <f>IF(W147&gt;$AE$33,1,0)</f>
        <v/>
      </c>
      <c r="AB147">
        <f>IF(AA147=C147,1,0)</f>
        <v/>
      </c>
    </row>
    <row r="148">
      <c r="A148">
        <f>'1 datos preparados'!A141</f>
        <v/>
      </c>
      <c r="B148" s="5">
        <f>'1 datos preparados'!U141</f>
        <v/>
      </c>
      <c r="C148">
        <f>'1 datos preparados'!B141</f>
        <v/>
      </c>
      <c r="D148" s="7">
        <f>'1 datos preparados'!C141</f>
        <v/>
      </c>
      <c r="E148" s="7">
        <f>'1 datos preparados'!D141</f>
        <v/>
      </c>
      <c r="F148" s="7">
        <f>'1 datos preparados'!E141</f>
        <v/>
      </c>
      <c r="G148" s="7">
        <f>'1 datos preparados'!F141</f>
        <v/>
      </c>
      <c r="H148" s="7">
        <f>'1 datos preparados'!G141</f>
        <v/>
      </c>
      <c r="I148" s="7">
        <f>'1 datos preparados'!H141</f>
        <v/>
      </c>
      <c r="J148" s="7">
        <f>'1 datos preparados'!I141</f>
        <v/>
      </c>
      <c r="K148" s="7">
        <f>'1 datos preparados'!J141</f>
        <v/>
      </c>
      <c r="L148" s="7">
        <f>'1 datos preparados'!K141</f>
        <v/>
      </c>
      <c r="M148" s="7">
        <f>'1 datos preparados'!L141</f>
        <v/>
      </c>
      <c r="N148" s="7">
        <f>'1 datos preparados'!M141</f>
        <v/>
      </c>
      <c r="O148" s="7">
        <f>'1 datos preparados'!N141</f>
        <v/>
      </c>
      <c r="P148" s="7">
        <f>'1 datos preparados'!O141</f>
        <v/>
      </c>
      <c r="Q148" s="7">
        <f>'1 datos preparados'!P141</f>
        <v/>
      </c>
      <c r="R148" s="7">
        <f>'1 datos preparados'!Q141</f>
        <v/>
      </c>
      <c r="S148" s="7">
        <f>'1 datos preparados'!R141</f>
        <v/>
      </c>
      <c r="T148" s="7">
        <f>'1 datos preparados'!S141</f>
        <v/>
      </c>
      <c r="U148" s="7">
        <f>'1 datos preparados'!T141</f>
        <v/>
      </c>
      <c r="V148" s="8">
        <f>$AE$12+D148*$AE$13+E148*$AE$14+F148*$AE$15+G148*$AE$16+H148*$AE$17+I148*$AE$18+J148*$AE$19+K148*$AE$20+L148*$AE$21+M148*$AE$22+N148*$AE$23+O148*$AE$24+P148*$AE$25+Q148*$AE$26+R148*$AE$27+S148*$AE$28+T148*$AE$29+U148*$AE$30</f>
        <v/>
      </c>
      <c r="W148" s="8">
        <f>1/(1+EXP(-V148))</f>
        <v/>
      </c>
      <c r="X148" s="9">
        <f>-IF(C148=1,LN(W148),LN(1-W148))</f>
        <v/>
      </c>
      <c r="Y148" s="8">
        <f>'1 datos preparados'!V141</f>
        <v/>
      </c>
      <c r="Z148" s="9">
        <f>Y148*X148</f>
        <v/>
      </c>
      <c r="AA148" s="10">
        <f>IF(W148&gt;$AE$33,1,0)</f>
        <v/>
      </c>
      <c r="AB148">
        <f>IF(AA148=C148,1,0)</f>
        <v/>
      </c>
    </row>
    <row r="149">
      <c r="A149">
        <f>'1 datos preparados'!A142</f>
        <v/>
      </c>
      <c r="B149" s="5">
        <f>'1 datos preparados'!U142</f>
        <v/>
      </c>
      <c r="C149">
        <f>'1 datos preparados'!B142</f>
        <v/>
      </c>
      <c r="D149" s="7">
        <f>'1 datos preparados'!C142</f>
        <v/>
      </c>
      <c r="E149" s="7">
        <f>'1 datos preparados'!D142</f>
        <v/>
      </c>
      <c r="F149" s="7">
        <f>'1 datos preparados'!E142</f>
        <v/>
      </c>
      <c r="G149" s="7">
        <f>'1 datos preparados'!F142</f>
        <v/>
      </c>
      <c r="H149" s="7">
        <f>'1 datos preparados'!G142</f>
        <v/>
      </c>
      <c r="I149" s="7">
        <f>'1 datos preparados'!H142</f>
        <v/>
      </c>
      <c r="J149" s="7">
        <f>'1 datos preparados'!I142</f>
        <v/>
      </c>
      <c r="K149" s="7">
        <f>'1 datos preparados'!J142</f>
        <v/>
      </c>
      <c r="L149" s="7">
        <f>'1 datos preparados'!K142</f>
        <v/>
      </c>
      <c r="M149" s="7">
        <f>'1 datos preparados'!L142</f>
        <v/>
      </c>
      <c r="N149" s="7">
        <f>'1 datos preparados'!M142</f>
        <v/>
      </c>
      <c r="O149" s="7">
        <f>'1 datos preparados'!N142</f>
        <v/>
      </c>
      <c r="P149" s="7">
        <f>'1 datos preparados'!O142</f>
        <v/>
      </c>
      <c r="Q149" s="7">
        <f>'1 datos preparados'!P142</f>
        <v/>
      </c>
      <c r="R149" s="7">
        <f>'1 datos preparados'!Q142</f>
        <v/>
      </c>
      <c r="S149" s="7">
        <f>'1 datos preparados'!R142</f>
        <v/>
      </c>
      <c r="T149" s="7">
        <f>'1 datos preparados'!S142</f>
        <v/>
      </c>
      <c r="U149" s="7">
        <f>'1 datos preparados'!T142</f>
        <v/>
      </c>
      <c r="V149" s="8">
        <f>$AE$12+D149*$AE$13+E149*$AE$14+F149*$AE$15+G149*$AE$16+H149*$AE$17+I149*$AE$18+J149*$AE$19+K149*$AE$20+L149*$AE$21+M149*$AE$22+N149*$AE$23+O149*$AE$24+P149*$AE$25+Q149*$AE$26+R149*$AE$27+S149*$AE$28+T149*$AE$29+U149*$AE$30</f>
        <v/>
      </c>
      <c r="W149" s="8">
        <f>1/(1+EXP(-V149))</f>
        <v/>
      </c>
      <c r="X149" s="9">
        <f>-IF(C149=1,LN(W149),LN(1-W149))</f>
        <v/>
      </c>
      <c r="Y149" s="8">
        <f>'1 datos preparados'!V142</f>
        <v/>
      </c>
      <c r="Z149" s="9">
        <f>Y149*X149</f>
        <v/>
      </c>
      <c r="AA149" s="10">
        <f>IF(W149&gt;$AE$33,1,0)</f>
        <v/>
      </c>
      <c r="AB149">
        <f>IF(AA149=C149,1,0)</f>
        <v/>
      </c>
    </row>
    <row r="150">
      <c r="A150">
        <f>'1 datos preparados'!A143</f>
        <v/>
      </c>
      <c r="B150" s="5">
        <f>'1 datos preparados'!U143</f>
        <v/>
      </c>
      <c r="C150">
        <f>'1 datos preparados'!B143</f>
        <v/>
      </c>
      <c r="D150" s="7">
        <f>'1 datos preparados'!C143</f>
        <v/>
      </c>
      <c r="E150" s="7">
        <f>'1 datos preparados'!D143</f>
        <v/>
      </c>
      <c r="F150" s="7">
        <f>'1 datos preparados'!E143</f>
        <v/>
      </c>
      <c r="G150" s="7">
        <f>'1 datos preparados'!F143</f>
        <v/>
      </c>
      <c r="H150" s="7">
        <f>'1 datos preparados'!G143</f>
        <v/>
      </c>
      <c r="I150" s="7">
        <f>'1 datos preparados'!H143</f>
        <v/>
      </c>
      <c r="J150" s="7">
        <f>'1 datos preparados'!I143</f>
        <v/>
      </c>
      <c r="K150" s="7">
        <f>'1 datos preparados'!J143</f>
        <v/>
      </c>
      <c r="L150" s="7">
        <f>'1 datos preparados'!K143</f>
        <v/>
      </c>
      <c r="M150" s="7">
        <f>'1 datos preparados'!L143</f>
        <v/>
      </c>
      <c r="N150" s="7">
        <f>'1 datos preparados'!M143</f>
        <v/>
      </c>
      <c r="O150" s="7">
        <f>'1 datos preparados'!N143</f>
        <v/>
      </c>
      <c r="P150" s="7">
        <f>'1 datos preparados'!O143</f>
        <v/>
      </c>
      <c r="Q150" s="7">
        <f>'1 datos preparados'!P143</f>
        <v/>
      </c>
      <c r="R150" s="7">
        <f>'1 datos preparados'!Q143</f>
        <v/>
      </c>
      <c r="S150" s="7">
        <f>'1 datos preparados'!R143</f>
        <v/>
      </c>
      <c r="T150" s="7">
        <f>'1 datos preparados'!S143</f>
        <v/>
      </c>
      <c r="U150" s="7">
        <f>'1 datos preparados'!T143</f>
        <v/>
      </c>
      <c r="V150" s="8">
        <f>$AE$12+D150*$AE$13+E150*$AE$14+F150*$AE$15+G150*$AE$16+H150*$AE$17+I150*$AE$18+J150*$AE$19+K150*$AE$20+L150*$AE$21+M150*$AE$22+N150*$AE$23+O150*$AE$24+P150*$AE$25+Q150*$AE$26+R150*$AE$27+S150*$AE$28+T150*$AE$29+U150*$AE$30</f>
        <v/>
      </c>
      <c r="W150" s="8">
        <f>1/(1+EXP(-V150))</f>
        <v/>
      </c>
      <c r="X150" s="9">
        <f>-IF(C150=1,LN(W150),LN(1-W150))</f>
        <v/>
      </c>
      <c r="Y150" s="8">
        <f>'1 datos preparados'!V143</f>
        <v/>
      </c>
      <c r="Z150" s="9">
        <f>Y150*X150</f>
        <v/>
      </c>
      <c r="AA150" s="10">
        <f>IF(W150&gt;$AE$33,1,0)</f>
        <v/>
      </c>
      <c r="AB150">
        <f>IF(AA150=C150,1,0)</f>
        <v/>
      </c>
    </row>
    <row r="151">
      <c r="A151">
        <f>'1 datos preparados'!A144</f>
        <v/>
      </c>
      <c r="B151" s="5">
        <f>'1 datos preparados'!U144</f>
        <v/>
      </c>
      <c r="C151">
        <f>'1 datos preparados'!B144</f>
        <v/>
      </c>
      <c r="D151" s="7">
        <f>'1 datos preparados'!C144</f>
        <v/>
      </c>
      <c r="E151" s="7">
        <f>'1 datos preparados'!D144</f>
        <v/>
      </c>
      <c r="F151" s="7">
        <f>'1 datos preparados'!E144</f>
        <v/>
      </c>
      <c r="G151" s="7">
        <f>'1 datos preparados'!F144</f>
        <v/>
      </c>
      <c r="H151" s="7">
        <f>'1 datos preparados'!G144</f>
        <v/>
      </c>
      <c r="I151" s="7">
        <f>'1 datos preparados'!H144</f>
        <v/>
      </c>
      <c r="J151" s="7">
        <f>'1 datos preparados'!I144</f>
        <v/>
      </c>
      <c r="K151" s="7">
        <f>'1 datos preparados'!J144</f>
        <v/>
      </c>
      <c r="L151" s="7">
        <f>'1 datos preparados'!K144</f>
        <v/>
      </c>
      <c r="M151" s="7">
        <f>'1 datos preparados'!L144</f>
        <v/>
      </c>
      <c r="N151" s="7">
        <f>'1 datos preparados'!M144</f>
        <v/>
      </c>
      <c r="O151" s="7">
        <f>'1 datos preparados'!N144</f>
        <v/>
      </c>
      <c r="P151" s="7">
        <f>'1 datos preparados'!O144</f>
        <v/>
      </c>
      <c r="Q151" s="7">
        <f>'1 datos preparados'!P144</f>
        <v/>
      </c>
      <c r="R151" s="7">
        <f>'1 datos preparados'!Q144</f>
        <v/>
      </c>
      <c r="S151" s="7">
        <f>'1 datos preparados'!R144</f>
        <v/>
      </c>
      <c r="T151" s="7">
        <f>'1 datos preparados'!S144</f>
        <v/>
      </c>
      <c r="U151" s="7">
        <f>'1 datos preparados'!T144</f>
        <v/>
      </c>
      <c r="V151" s="8">
        <f>$AE$12+D151*$AE$13+E151*$AE$14+F151*$AE$15+G151*$AE$16+H151*$AE$17+I151*$AE$18+J151*$AE$19+K151*$AE$20+L151*$AE$21+M151*$AE$22+N151*$AE$23+O151*$AE$24+P151*$AE$25+Q151*$AE$26+R151*$AE$27+S151*$AE$28+T151*$AE$29+U151*$AE$30</f>
        <v/>
      </c>
      <c r="W151" s="8">
        <f>1/(1+EXP(-V151))</f>
        <v/>
      </c>
      <c r="X151" s="9">
        <f>-IF(C151=1,LN(W151),LN(1-W151))</f>
        <v/>
      </c>
      <c r="Y151" s="8">
        <f>'1 datos preparados'!V144</f>
        <v/>
      </c>
      <c r="Z151" s="9">
        <f>Y151*X151</f>
        <v/>
      </c>
      <c r="AA151" s="10">
        <f>IF(W151&gt;$AE$33,1,0)</f>
        <v/>
      </c>
      <c r="AB151">
        <f>IF(AA151=C151,1,0)</f>
        <v/>
      </c>
    </row>
    <row r="152">
      <c r="A152">
        <f>'1 datos preparados'!A145</f>
        <v/>
      </c>
      <c r="B152" s="5">
        <f>'1 datos preparados'!U145</f>
        <v/>
      </c>
      <c r="C152">
        <f>'1 datos preparados'!B145</f>
        <v/>
      </c>
      <c r="D152" s="7">
        <f>'1 datos preparados'!C145</f>
        <v/>
      </c>
      <c r="E152" s="7">
        <f>'1 datos preparados'!D145</f>
        <v/>
      </c>
      <c r="F152" s="7">
        <f>'1 datos preparados'!E145</f>
        <v/>
      </c>
      <c r="G152" s="7">
        <f>'1 datos preparados'!F145</f>
        <v/>
      </c>
      <c r="H152" s="7">
        <f>'1 datos preparados'!G145</f>
        <v/>
      </c>
      <c r="I152" s="7">
        <f>'1 datos preparados'!H145</f>
        <v/>
      </c>
      <c r="J152" s="7">
        <f>'1 datos preparados'!I145</f>
        <v/>
      </c>
      <c r="K152" s="7">
        <f>'1 datos preparados'!J145</f>
        <v/>
      </c>
      <c r="L152" s="7">
        <f>'1 datos preparados'!K145</f>
        <v/>
      </c>
      <c r="M152" s="7">
        <f>'1 datos preparados'!L145</f>
        <v/>
      </c>
      <c r="N152" s="7">
        <f>'1 datos preparados'!M145</f>
        <v/>
      </c>
      <c r="O152" s="7">
        <f>'1 datos preparados'!N145</f>
        <v/>
      </c>
      <c r="P152" s="7">
        <f>'1 datos preparados'!O145</f>
        <v/>
      </c>
      <c r="Q152" s="7">
        <f>'1 datos preparados'!P145</f>
        <v/>
      </c>
      <c r="R152" s="7">
        <f>'1 datos preparados'!Q145</f>
        <v/>
      </c>
      <c r="S152" s="7">
        <f>'1 datos preparados'!R145</f>
        <v/>
      </c>
      <c r="T152" s="7">
        <f>'1 datos preparados'!S145</f>
        <v/>
      </c>
      <c r="U152" s="7">
        <f>'1 datos preparados'!T145</f>
        <v/>
      </c>
      <c r="V152" s="8">
        <f>$AE$12+D152*$AE$13+E152*$AE$14+F152*$AE$15+G152*$AE$16+H152*$AE$17+I152*$AE$18+J152*$AE$19+K152*$AE$20+L152*$AE$21+M152*$AE$22+N152*$AE$23+O152*$AE$24+P152*$AE$25+Q152*$AE$26+R152*$AE$27+S152*$AE$28+T152*$AE$29+U152*$AE$30</f>
        <v/>
      </c>
      <c r="W152" s="8">
        <f>1/(1+EXP(-V152))</f>
        <v/>
      </c>
      <c r="X152" s="9">
        <f>-IF(C152=1,LN(W152),LN(1-W152))</f>
        <v/>
      </c>
      <c r="Y152" s="8">
        <f>'1 datos preparados'!V145</f>
        <v/>
      </c>
      <c r="Z152" s="9">
        <f>Y152*X152</f>
        <v/>
      </c>
      <c r="AA152" s="10">
        <f>IF(W152&gt;$AE$33,1,0)</f>
        <v/>
      </c>
      <c r="AB152">
        <f>IF(AA152=C152,1,0)</f>
        <v/>
      </c>
    </row>
    <row r="153">
      <c r="A153">
        <f>'1 datos preparados'!A146</f>
        <v/>
      </c>
      <c r="B153" s="5">
        <f>'1 datos preparados'!U146</f>
        <v/>
      </c>
      <c r="C153">
        <f>'1 datos preparados'!B146</f>
        <v/>
      </c>
      <c r="D153" s="7">
        <f>'1 datos preparados'!C146</f>
        <v/>
      </c>
      <c r="E153" s="7">
        <f>'1 datos preparados'!D146</f>
        <v/>
      </c>
      <c r="F153" s="7">
        <f>'1 datos preparados'!E146</f>
        <v/>
      </c>
      <c r="G153" s="7">
        <f>'1 datos preparados'!F146</f>
        <v/>
      </c>
      <c r="H153" s="7">
        <f>'1 datos preparados'!G146</f>
        <v/>
      </c>
      <c r="I153" s="7">
        <f>'1 datos preparados'!H146</f>
        <v/>
      </c>
      <c r="J153" s="7">
        <f>'1 datos preparados'!I146</f>
        <v/>
      </c>
      <c r="K153" s="7">
        <f>'1 datos preparados'!J146</f>
        <v/>
      </c>
      <c r="L153" s="7">
        <f>'1 datos preparados'!K146</f>
        <v/>
      </c>
      <c r="M153" s="7">
        <f>'1 datos preparados'!L146</f>
        <v/>
      </c>
      <c r="N153" s="7">
        <f>'1 datos preparados'!M146</f>
        <v/>
      </c>
      <c r="O153" s="7">
        <f>'1 datos preparados'!N146</f>
        <v/>
      </c>
      <c r="P153" s="7">
        <f>'1 datos preparados'!O146</f>
        <v/>
      </c>
      <c r="Q153" s="7">
        <f>'1 datos preparados'!P146</f>
        <v/>
      </c>
      <c r="R153" s="7">
        <f>'1 datos preparados'!Q146</f>
        <v/>
      </c>
      <c r="S153" s="7">
        <f>'1 datos preparados'!R146</f>
        <v/>
      </c>
      <c r="T153" s="7">
        <f>'1 datos preparados'!S146</f>
        <v/>
      </c>
      <c r="U153" s="7">
        <f>'1 datos preparados'!T146</f>
        <v/>
      </c>
      <c r="V153" s="8">
        <f>$AE$12+D153*$AE$13+E153*$AE$14+F153*$AE$15+G153*$AE$16+H153*$AE$17+I153*$AE$18+J153*$AE$19+K153*$AE$20+L153*$AE$21+M153*$AE$22+N153*$AE$23+O153*$AE$24+P153*$AE$25+Q153*$AE$26+R153*$AE$27+S153*$AE$28+T153*$AE$29+U153*$AE$30</f>
        <v/>
      </c>
      <c r="W153" s="8">
        <f>1/(1+EXP(-V153))</f>
        <v/>
      </c>
      <c r="X153" s="9">
        <f>-IF(C153=1,LN(W153),LN(1-W153))</f>
        <v/>
      </c>
      <c r="Y153" s="8">
        <f>'1 datos preparados'!V146</f>
        <v/>
      </c>
      <c r="Z153" s="9">
        <f>Y153*X153</f>
        <v/>
      </c>
      <c r="AA153" s="10">
        <f>IF(W153&gt;$AE$33,1,0)</f>
        <v/>
      </c>
      <c r="AB153">
        <f>IF(AA153=C153,1,0)</f>
        <v/>
      </c>
    </row>
    <row r="154">
      <c r="A154">
        <f>'1 datos preparados'!A147</f>
        <v/>
      </c>
      <c r="B154" s="5">
        <f>'1 datos preparados'!U147</f>
        <v/>
      </c>
      <c r="C154">
        <f>'1 datos preparados'!B147</f>
        <v/>
      </c>
      <c r="D154" s="7">
        <f>'1 datos preparados'!C147</f>
        <v/>
      </c>
      <c r="E154" s="7">
        <f>'1 datos preparados'!D147</f>
        <v/>
      </c>
      <c r="F154" s="7">
        <f>'1 datos preparados'!E147</f>
        <v/>
      </c>
      <c r="G154" s="7">
        <f>'1 datos preparados'!F147</f>
        <v/>
      </c>
      <c r="H154" s="7">
        <f>'1 datos preparados'!G147</f>
        <v/>
      </c>
      <c r="I154" s="7">
        <f>'1 datos preparados'!H147</f>
        <v/>
      </c>
      <c r="J154" s="7">
        <f>'1 datos preparados'!I147</f>
        <v/>
      </c>
      <c r="K154" s="7">
        <f>'1 datos preparados'!J147</f>
        <v/>
      </c>
      <c r="L154" s="7">
        <f>'1 datos preparados'!K147</f>
        <v/>
      </c>
      <c r="M154" s="7">
        <f>'1 datos preparados'!L147</f>
        <v/>
      </c>
      <c r="N154" s="7">
        <f>'1 datos preparados'!M147</f>
        <v/>
      </c>
      <c r="O154" s="7">
        <f>'1 datos preparados'!N147</f>
        <v/>
      </c>
      <c r="P154" s="7">
        <f>'1 datos preparados'!O147</f>
        <v/>
      </c>
      <c r="Q154" s="7">
        <f>'1 datos preparados'!P147</f>
        <v/>
      </c>
      <c r="R154" s="7">
        <f>'1 datos preparados'!Q147</f>
        <v/>
      </c>
      <c r="S154" s="7">
        <f>'1 datos preparados'!R147</f>
        <v/>
      </c>
      <c r="T154" s="7">
        <f>'1 datos preparados'!S147</f>
        <v/>
      </c>
      <c r="U154" s="7">
        <f>'1 datos preparados'!T147</f>
        <v/>
      </c>
      <c r="V154" s="8">
        <f>$AE$12+D154*$AE$13+E154*$AE$14+F154*$AE$15+G154*$AE$16+H154*$AE$17+I154*$AE$18+J154*$AE$19+K154*$AE$20+L154*$AE$21+M154*$AE$22+N154*$AE$23+O154*$AE$24+P154*$AE$25+Q154*$AE$26+R154*$AE$27+S154*$AE$28+T154*$AE$29+U154*$AE$30</f>
        <v/>
      </c>
      <c r="W154" s="8">
        <f>1/(1+EXP(-V154))</f>
        <v/>
      </c>
      <c r="X154" s="9">
        <f>-IF(C154=1,LN(W154),LN(1-W154))</f>
        <v/>
      </c>
      <c r="Y154" s="8">
        <f>'1 datos preparados'!V147</f>
        <v/>
      </c>
      <c r="Z154" s="9">
        <f>Y154*X154</f>
        <v/>
      </c>
      <c r="AA154" s="10">
        <f>IF(W154&gt;$AE$33,1,0)</f>
        <v/>
      </c>
      <c r="AB154">
        <f>IF(AA154=C154,1,0)</f>
        <v/>
      </c>
    </row>
    <row r="155">
      <c r="A155">
        <f>'1 datos preparados'!A148</f>
        <v/>
      </c>
      <c r="B155" s="5">
        <f>'1 datos preparados'!U148</f>
        <v/>
      </c>
      <c r="C155">
        <f>'1 datos preparados'!B148</f>
        <v/>
      </c>
      <c r="D155" s="7">
        <f>'1 datos preparados'!C148</f>
        <v/>
      </c>
      <c r="E155" s="7">
        <f>'1 datos preparados'!D148</f>
        <v/>
      </c>
      <c r="F155" s="7">
        <f>'1 datos preparados'!E148</f>
        <v/>
      </c>
      <c r="G155" s="7">
        <f>'1 datos preparados'!F148</f>
        <v/>
      </c>
      <c r="H155" s="7">
        <f>'1 datos preparados'!G148</f>
        <v/>
      </c>
      <c r="I155" s="7">
        <f>'1 datos preparados'!H148</f>
        <v/>
      </c>
      <c r="J155" s="7">
        <f>'1 datos preparados'!I148</f>
        <v/>
      </c>
      <c r="K155" s="7">
        <f>'1 datos preparados'!J148</f>
        <v/>
      </c>
      <c r="L155" s="7">
        <f>'1 datos preparados'!K148</f>
        <v/>
      </c>
      <c r="M155" s="7">
        <f>'1 datos preparados'!L148</f>
        <v/>
      </c>
      <c r="N155" s="7">
        <f>'1 datos preparados'!M148</f>
        <v/>
      </c>
      <c r="O155" s="7">
        <f>'1 datos preparados'!N148</f>
        <v/>
      </c>
      <c r="P155" s="7">
        <f>'1 datos preparados'!O148</f>
        <v/>
      </c>
      <c r="Q155" s="7">
        <f>'1 datos preparados'!P148</f>
        <v/>
      </c>
      <c r="R155" s="7">
        <f>'1 datos preparados'!Q148</f>
        <v/>
      </c>
      <c r="S155" s="7">
        <f>'1 datos preparados'!R148</f>
        <v/>
      </c>
      <c r="T155" s="7">
        <f>'1 datos preparados'!S148</f>
        <v/>
      </c>
      <c r="U155" s="7">
        <f>'1 datos preparados'!T148</f>
        <v/>
      </c>
      <c r="V155" s="8">
        <f>$AE$12+D155*$AE$13+E155*$AE$14+F155*$AE$15+G155*$AE$16+H155*$AE$17+I155*$AE$18+J155*$AE$19+K155*$AE$20+L155*$AE$21+M155*$AE$22+N155*$AE$23+O155*$AE$24+P155*$AE$25+Q155*$AE$26+R155*$AE$27+S155*$AE$28+T155*$AE$29+U155*$AE$30</f>
        <v/>
      </c>
      <c r="W155" s="8">
        <f>1/(1+EXP(-V155))</f>
        <v/>
      </c>
      <c r="X155" s="9">
        <f>-IF(C155=1,LN(W155),LN(1-W155))</f>
        <v/>
      </c>
      <c r="Y155" s="8">
        <f>'1 datos preparados'!V148</f>
        <v/>
      </c>
      <c r="Z155" s="9">
        <f>Y155*X155</f>
        <v/>
      </c>
      <c r="AA155" s="10">
        <f>IF(W155&gt;$AE$33,1,0)</f>
        <v/>
      </c>
      <c r="AB155">
        <f>IF(AA155=C155,1,0)</f>
        <v/>
      </c>
    </row>
    <row r="156">
      <c r="A156">
        <f>'1 datos preparados'!A149</f>
        <v/>
      </c>
      <c r="B156" s="5">
        <f>'1 datos preparados'!U149</f>
        <v/>
      </c>
      <c r="C156">
        <f>'1 datos preparados'!B149</f>
        <v/>
      </c>
      <c r="D156" s="7">
        <f>'1 datos preparados'!C149</f>
        <v/>
      </c>
      <c r="E156" s="7">
        <f>'1 datos preparados'!D149</f>
        <v/>
      </c>
      <c r="F156" s="7">
        <f>'1 datos preparados'!E149</f>
        <v/>
      </c>
      <c r="G156" s="7">
        <f>'1 datos preparados'!F149</f>
        <v/>
      </c>
      <c r="H156" s="7">
        <f>'1 datos preparados'!G149</f>
        <v/>
      </c>
      <c r="I156" s="7">
        <f>'1 datos preparados'!H149</f>
        <v/>
      </c>
      <c r="J156" s="7">
        <f>'1 datos preparados'!I149</f>
        <v/>
      </c>
      <c r="K156" s="7">
        <f>'1 datos preparados'!J149</f>
        <v/>
      </c>
      <c r="L156" s="7">
        <f>'1 datos preparados'!K149</f>
        <v/>
      </c>
      <c r="M156" s="7">
        <f>'1 datos preparados'!L149</f>
        <v/>
      </c>
      <c r="N156" s="7">
        <f>'1 datos preparados'!M149</f>
        <v/>
      </c>
      <c r="O156" s="7">
        <f>'1 datos preparados'!N149</f>
        <v/>
      </c>
      <c r="P156" s="7">
        <f>'1 datos preparados'!O149</f>
        <v/>
      </c>
      <c r="Q156" s="7">
        <f>'1 datos preparados'!P149</f>
        <v/>
      </c>
      <c r="R156" s="7">
        <f>'1 datos preparados'!Q149</f>
        <v/>
      </c>
      <c r="S156" s="7">
        <f>'1 datos preparados'!R149</f>
        <v/>
      </c>
      <c r="T156" s="7">
        <f>'1 datos preparados'!S149</f>
        <v/>
      </c>
      <c r="U156" s="7">
        <f>'1 datos preparados'!T149</f>
        <v/>
      </c>
      <c r="V156" s="8">
        <f>$AE$12+D156*$AE$13+E156*$AE$14+F156*$AE$15+G156*$AE$16+H156*$AE$17+I156*$AE$18+J156*$AE$19+K156*$AE$20+L156*$AE$21+M156*$AE$22+N156*$AE$23+O156*$AE$24+P156*$AE$25+Q156*$AE$26+R156*$AE$27+S156*$AE$28+T156*$AE$29+U156*$AE$30</f>
        <v/>
      </c>
      <c r="W156" s="8">
        <f>1/(1+EXP(-V156))</f>
        <v/>
      </c>
      <c r="X156" s="9">
        <f>-IF(C156=1,LN(W156),LN(1-W156))</f>
        <v/>
      </c>
      <c r="Y156" s="8">
        <f>'1 datos preparados'!V149</f>
        <v/>
      </c>
      <c r="Z156" s="9">
        <f>Y156*X156</f>
        <v/>
      </c>
      <c r="AA156" s="10">
        <f>IF(W156&gt;$AE$33,1,0)</f>
        <v/>
      </c>
      <c r="AB156">
        <f>IF(AA156=C156,1,0)</f>
        <v/>
      </c>
    </row>
    <row r="157">
      <c r="A157">
        <f>'1 datos preparados'!A150</f>
        <v/>
      </c>
      <c r="B157" s="5">
        <f>'1 datos preparados'!U150</f>
        <v/>
      </c>
      <c r="C157">
        <f>'1 datos preparados'!B150</f>
        <v/>
      </c>
      <c r="D157" s="7">
        <f>'1 datos preparados'!C150</f>
        <v/>
      </c>
      <c r="E157" s="7">
        <f>'1 datos preparados'!D150</f>
        <v/>
      </c>
      <c r="F157" s="7">
        <f>'1 datos preparados'!E150</f>
        <v/>
      </c>
      <c r="G157" s="7">
        <f>'1 datos preparados'!F150</f>
        <v/>
      </c>
      <c r="H157" s="7">
        <f>'1 datos preparados'!G150</f>
        <v/>
      </c>
      <c r="I157" s="7">
        <f>'1 datos preparados'!H150</f>
        <v/>
      </c>
      <c r="J157" s="7">
        <f>'1 datos preparados'!I150</f>
        <v/>
      </c>
      <c r="K157" s="7">
        <f>'1 datos preparados'!J150</f>
        <v/>
      </c>
      <c r="L157" s="7">
        <f>'1 datos preparados'!K150</f>
        <v/>
      </c>
      <c r="M157" s="7">
        <f>'1 datos preparados'!L150</f>
        <v/>
      </c>
      <c r="N157" s="7">
        <f>'1 datos preparados'!M150</f>
        <v/>
      </c>
      <c r="O157" s="7">
        <f>'1 datos preparados'!N150</f>
        <v/>
      </c>
      <c r="P157" s="7">
        <f>'1 datos preparados'!O150</f>
        <v/>
      </c>
      <c r="Q157" s="7">
        <f>'1 datos preparados'!P150</f>
        <v/>
      </c>
      <c r="R157" s="7">
        <f>'1 datos preparados'!Q150</f>
        <v/>
      </c>
      <c r="S157" s="7">
        <f>'1 datos preparados'!R150</f>
        <v/>
      </c>
      <c r="T157" s="7">
        <f>'1 datos preparados'!S150</f>
        <v/>
      </c>
      <c r="U157" s="7">
        <f>'1 datos preparados'!T150</f>
        <v/>
      </c>
      <c r="V157" s="8">
        <f>$AE$12+D157*$AE$13+E157*$AE$14+F157*$AE$15+G157*$AE$16+H157*$AE$17+I157*$AE$18+J157*$AE$19+K157*$AE$20+L157*$AE$21+M157*$AE$22+N157*$AE$23+O157*$AE$24+P157*$AE$25+Q157*$AE$26+R157*$AE$27+S157*$AE$28+T157*$AE$29+U157*$AE$30</f>
        <v/>
      </c>
      <c r="W157" s="8">
        <f>1/(1+EXP(-V157))</f>
        <v/>
      </c>
      <c r="X157" s="9">
        <f>-IF(C157=1,LN(W157),LN(1-W157))</f>
        <v/>
      </c>
      <c r="Y157" s="8">
        <f>'1 datos preparados'!V150</f>
        <v/>
      </c>
      <c r="Z157" s="9">
        <f>Y157*X157</f>
        <v/>
      </c>
      <c r="AA157" s="10">
        <f>IF(W157&gt;$AE$33,1,0)</f>
        <v/>
      </c>
      <c r="AB157">
        <f>IF(AA157=C157,1,0)</f>
        <v/>
      </c>
    </row>
    <row r="158">
      <c r="A158">
        <f>'1 datos preparados'!A151</f>
        <v/>
      </c>
      <c r="B158" s="5">
        <f>'1 datos preparados'!U151</f>
        <v/>
      </c>
      <c r="C158">
        <f>'1 datos preparados'!B151</f>
        <v/>
      </c>
      <c r="D158" s="7">
        <f>'1 datos preparados'!C151</f>
        <v/>
      </c>
      <c r="E158" s="7">
        <f>'1 datos preparados'!D151</f>
        <v/>
      </c>
      <c r="F158" s="7">
        <f>'1 datos preparados'!E151</f>
        <v/>
      </c>
      <c r="G158" s="7">
        <f>'1 datos preparados'!F151</f>
        <v/>
      </c>
      <c r="H158" s="7">
        <f>'1 datos preparados'!G151</f>
        <v/>
      </c>
      <c r="I158" s="7">
        <f>'1 datos preparados'!H151</f>
        <v/>
      </c>
      <c r="J158" s="7">
        <f>'1 datos preparados'!I151</f>
        <v/>
      </c>
      <c r="K158" s="7">
        <f>'1 datos preparados'!J151</f>
        <v/>
      </c>
      <c r="L158" s="7">
        <f>'1 datos preparados'!K151</f>
        <v/>
      </c>
      <c r="M158" s="7">
        <f>'1 datos preparados'!L151</f>
        <v/>
      </c>
      <c r="N158" s="7">
        <f>'1 datos preparados'!M151</f>
        <v/>
      </c>
      <c r="O158" s="7">
        <f>'1 datos preparados'!N151</f>
        <v/>
      </c>
      <c r="P158" s="7">
        <f>'1 datos preparados'!O151</f>
        <v/>
      </c>
      <c r="Q158" s="7">
        <f>'1 datos preparados'!P151</f>
        <v/>
      </c>
      <c r="R158" s="7">
        <f>'1 datos preparados'!Q151</f>
        <v/>
      </c>
      <c r="S158" s="7">
        <f>'1 datos preparados'!R151</f>
        <v/>
      </c>
      <c r="T158" s="7">
        <f>'1 datos preparados'!S151</f>
        <v/>
      </c>
      <c r="U158" s="7">
        <f>'1 datos preparados'!T151</f>
        <v/>
      </c>
      <c r="V158" s="8">
        <f>$AE$12+D158*$AE$13+E158*$AE$14+F158*$AE$15+G158*$AE$16+H158*$AE$17+I158*$AE$18+J158*$AE$19+K158*$AE$20+L158*$AE$21+M158*$AE$22+N158*$AE$23+O158*$AE$24+P158*$AE$25+Q158*$AE$26+R158*$AE$27+S158*$AE$28+T158*$AE$29+U158*$AE$30</f>
        <v/>
      </c>
      <c r="W158" s="8">
        <f>1/(1+EXP(-V158))</f>
        <v/>
      </c>
      <c r="X158" s="9">
        <f>-IF(C158=1,LN(W158),LN(1-W158))</f>
        <v/>
      </c>
      <c r="Y158" s="8">
        <f>'1 datos preparados'!V151</f>
        <v/>
      </c>
      <c r="Z158" s="9">
        <f>Y158*X158</f>
        <v/>
      </c>
      <c r="AA158" s="10">
        <f>IF(W158&gt;$AE$33,1,0)</f>
        <v/>
      </c>
      <c r="AB158">
        <f>IF(AA158=C158,1,0)</f>
        <v/>
      </c>
    </row>
    <row r="159">
      <c r="A159">
        <f>'1 datos preparados'!A152</f>
        <v/>
      </c>
      <c r="B159" s="5">
        <f>'1 datos preparados'!U152</f>
        <v/>
      </c>
      <c r="C159">
        <f>'1 datos preparados'!B152</f>
        <v/>
      </c>
      <c r="D159" s="7">
        <f>'1 datos preparados'!C152</f>
        <v/>
      </c>
      <c r="E159" s="7">
        <f>'1 datos preparados'!D152</f>
        <v/>
      </c>
      <c r="F159" s="7">
        <f>'1 datos preparados'!E152</f>
        <v/>
      </c>
      <c r="G159" s="7">
        <f>'1 datos preparados'!F152</f>
        <v/>
      </c>
      <c r="H159" s="7">
        <f>'1 datos preparados'!G152</f>
        <v/>
      </c>
      <c r="I159" s="7">
        <f>'1 datos preparados'!H152</f>
        <v/>
      </c>
      <c r="J159" s="7">
        <f>'1 datos preparados'!I152</f>
        <v/>
      </c>
      <c r="K159" s="7">
        <f>'1 datos preparados'!J152</f>
        <v/>
      </c>
      <c r="L159" s="7">
        <f>'1 datos preparados'!K152</f>
        <v/>
      </c>
      <c r="M159" s="7">
        <f>'1 datos preparados'!L152</f>
        <v/>
      </c>
      <c r="N159" s="7">
        <f>'1 datos preparados'!M152</f>
        <v/>
      </c>
      <c r="O159" s="7">
        <f>'1 datos preparados'!N152</f>
        <v/>
      </c>
      <c r="P159" s="7">
        <f>'1 datos preparados'!O152</f>
        <v/>
      </c>
      <c r="Q159" s="7">
        <f>'1 datos preparados'!P152</f>
        <v/>
      </c>
      <c r="R159" s="7">
        <f>'1 datos preparados'!Q152</f>
        <v/>
      </c>
      <c r="S159" s="7">
        <f>'1 datos preparados'!R152</f>
        <v/>
      </c>
      <c r="T159" s="7">
        <f>'1 datos preparados'!S152</f>
        <v/>
      </c>
      <c r="U159" s="7">
        <f>'1 datos preparados'!T152</f>
        <v/>
      </c>
      <c r="V159" s="8">
        <f>$AE$12+D159*$AE$13+E159*$AE$14+F159*$AE$15+G159*$AE$16+H159*$AE$17+I159*$AE$18+J159*$AE$19+K159*$AE$20+L159*$AE$21+M159*$AE$22+N159*$AE$23+O159*$AE$24+P159*$AE$25+Q159*$AE$26+R159*$AE$27+S159*$AE$28+T159*$AE$29+U159*$AE$30</f>
        <v/>
      </c>
      <c r="W159" s="8">
        <f>1/(1+EXP(-V159))</f>
        <v/>
      </c>
      <c r="X159" s="9">
        <f>-IF(C159=1,LN(W159),LN(1-W159))</f>
        <v/>
      </c>
      <c r="Y159" s="8">
        <f>'1 datos preparados'!V152</f>
        <v/>
      </c>
      <c r="Z159" s="9">
        <f>Y159*X159</f>
        <v/>
      </c>
      <c r="AA159" s="10">
        <f>IF(W159&gt;$AE$33,1,0)</f>
        <v/>
      </c>
      <c r="AB159">
        <f>IF(AA159=C159,1,0)</f>
        <v/>
      </c>
    </row>
    <row r="160">
      <c r="A160">
        <f>'1 datos preparados'!A153</f>
        <v/>
      </c>
      <c r="B160" s="5">
        <f>'1 datos preparados'!U153</f>
        <v/>
      </c>
      <c r="C160">
        <f>'1 datos preparados'!B153</f>
        <v/>
      </c>
      <c r="D160" s="7">
        <f>'1 datos preparados'!C153</f>
        <v/>
      </c>
      <c r="E160" s="7">
        <f>'1 datos preparados'!D153</f>
        <v/>
      </c>
      <c r="F160" s="7">
        <f>'1 datos preparados'!E153</f>
        <v/>
      </c>
      <c r="G160" s="7">
        <f>'1 datos preparados'!F153</f>
        <v/>
      </c>
      <c r="H160" s="7">
        <f>'1 datos preparados'!G153</f>
        <v/>
      </c>
      <c r="I160" s="7">
        <f>'1 datos preparados'!H153</f>
        <v/>
      </c>
      <c r="J160" s="7">
        <f>'1 datos preparados'!I153</f>
        <v/>
      </c>
      <c r="K160" s="7">
        <f>'1 datos preparados'!J153</f>
        <v/>
      </c>
      <c r="L160" s="7">
        <f>'1 datos preparados'!K153</f>
        <v/>
      </c>
      <c r="M160" s="7">
        <f>'1 datos preparados'!L153</f>
        <v/>
      </c>
      <c r="N160" s="7">
        <f>'1 datos preparados'!M153</f>
        <v/>
      </c>
      <c r="O160" s="7">
        <f>'1 datos preparados'!N153</f>
        <v/>
      </c>
      <c r="P160" s="7">
        <f>'1 datos preparados'!O153</f>
        <v/>
      </c>
      <c r="Q160" s="7">
        <f>'1 datos preparados'!P153</f>
        <v/>
      </c>
      <c r="R160" s="7">
        <f>'1 datos preparados'!Q153</f>
        <v/>
      </c>
      <c r="S160" s="7">
        <f>'1 datos preparados'!R153</f>
        <v/>
      </c>
      <c r="T160" s="7">
        <f>'1 datos preparados'!S153</f>
        <v/>
      </c>
      <c r="U160" s="7">
        <f>'1 datos preparados'!T153</f>
        <v/>
      </c>
      <c r="V160" s="8">
        <f>$AE$12+D160*$AE$13+E160*$AE$14+F160*$AE$15+G160*$AE$16+H160*$AE$17+I160*$AE$18+J160*$AE$19+K160*$AE$20+L160*$AE$21+M160*$AE$22+N160*$AE$23+O160*$AE$24+P160*$AE$25+Q160*$AE$26+R160*$AE$27+S160*$AE$28+T160*$AE$29+U160*$AE$30</f>
        <v/>
      </c>
      <c r="W160" s="8">
        <f>1/(1+EXP(-V160))</f>
        <v/>
      </c>
      <c r="X160" s="9">
        <f>-IF(C160=1,LN(W160),LN(1-W160))</f>
        <v/>
      </c>
      <c r="Y160" s="8">
        <f>'1 datos preparados'!V153</f>
        <v/>
      </c>
      <c r="Z160" s="9">
        <f>Y160*X160</f>
        <v/>
      </c>
      <c r="AA160" s="10">
        <f>IF(W160&gt;$AE$33,1,0)</f>
        <v/>
      </c>
      <c r="AB160">
        <f>IF(AA160=C160,1,0)</f>
        <v/>
      </c>
    </row>
    <row r="161">
      <c r="A161">
        <f>'1 datos preparados'!A154</f>
        <v/>
      </c>
      <c r="B161" s="5">
        <f>'1 datos preparados'!U154</f>
        <v/>
      </c>
      <c r="C161">
        <f>'1 datos preparados'!B154</f>
        <v/>
      </c>
      <c r="D161" s="7">
        <f>'1 datos preparados'!C154</f>
        <v/>
      </c>
      <c r="E161" s="7">
        <f>'1 datos preparados'!D154</f>
        <v/>
      </c>
      <c r="F161" s="7">
        <f>'1 datos preparados'!E154</f>
        <v/>
      </c>
      <c r="G161" s="7">
        <f>'1 datos preparados'!F154</f>
        <v/>
      </c>
      <c r="H161" s="7">
        <f>'1 datos preparados'!G154</f>
        <v/>
      </c>
      <c r="I161" s="7">
        <f>'1 datos preparados'!H154</f>
        <v/>
      </c>
      <c r="J161" s="7">
        <f>'1 datos preparados'!I154</f>
        <v/>
      </c>
      <c r="K161" s="7">
        <f>'1 datos preparados'!J154</f>
        <v/>
      </c>
      <c r="L161" s="7">
        <f>'1 datos preparados'!K154</f>
        <v/>
      </c>
      <c r="M161" s="7">
        <f>'1 datos preparados'!L154</f>
        <v/>
      </c>
      <c r="N161" s="7">
        <f>'1 datos preparados'!M154</f>
        <v/>
      </c>
      <c r="O161" s="7">
        <f>'1 datos preparados'!N154</f>
        <v/>
      </c>
      <c r="P161" s="7">
        <f>'1 datos preparados'!O154</f>
        <v/>
      </c>
      <c r="Q161" s="7">
        <f>'1 datos preparados'!P154</f>
        <v/>
      </c>
      <c r="R161" s="7">
        <f>'1 datos preparados'!Q154</f>
        <v/>
      </c>
      <c r="S161" s="7">
        <f>'1 datos preparados'!R154</f>
        <v/>
      </c>
      <c r="T161" s="7">
        <f>'1 datos preparados'!S154</f>
        <v/>
      </c>
      <c r="U161" s="7">
        <f>'1 datos preparados'!T154</f>
        <v/>
      </c>
      <c r="V161" s="8">
        <f>$AE$12+D161*$AE$13+E161*$AE$14+F161*$AE$15+G161*$AE$16+H161*$AE$17+I161*$AE$18+J161*$AE$19+K161*$AE$20+L161*$AE$21+M161*$AE$22+N161*$AE$23+O161*$AE$24+P161*$AE$25+Q161*$AE$26+R161*$AE$27+S161*$AE$28+T161*$AE$29+U161*$AE$30</f>
        <v/>
      </c>
      <c r="W161" s="8">
        <f>1/(1+EXP(-V161))</f>
        <v/>
      </c>
      <c r="X161" s="9">
        <f>-IF(C161=1,LN(W161),LN(1-W161))</f>
        <v/>
      </c>
      <c r="Y161" s="8">
        <f>'1 datos preparados'!V154</f>
        <v/>
      </c>
      <c r="Z161" s="9">
        <f>Y161*X161</f>
        <v/>
      </c>
      <c r="AA161" s="10">
        <f>IF(W161&gt;$AE$33,1,0)</f>
        <v/>
      </c>
      <c r="AB161">
        <f>IF(AA161=C161,1,0)</f>
        <v/>
      </c>
    </row>
    <row r="162">
      <c r="A162">
        <f>'1 datos preparados'!A155</f>
        <v/>
      </c>
      <c r="B162" s="5">
        <f>'1 datos preparados'!U155</f>
        <v/>
      </c>
      <c r="C162">
        <f>'1 datos preparados'!B155</f>
        <v/>
      </c>
      <c r="D162" s="7">
        <f>'1 datos preparados'!C155</f>
        <v/>
      </c>
      <c r="E162" s="7">
        <f>'1 datos preparados'!D155</f>
        <v/>
      </c>
      <c r="F162" s="7">
        <f>'1 datos preparados'!E155</f>
        <v/>
      </c>
      <c r="G162" s="7">
        <f>'1 datos preparados'!F155</f>
        <v/>
      </c>
      <c r="H162" s="7">
        <f>'1 datos preparados'!G155</f>
        <v/>
      </c>
      <c r="I162" s="7">
        <f>'1 datos preparados'!H155</f>
        <v/>
      </c>
      <c r="J162" s="7">
        <f>'1 datos preparados'!I155</f>
        <v/>
      </c>
      <c r="K162" s="7">
        <f>'1 datos preparados'!J155</f>
        <v/>
      </c>
      <c r="L162" s="7">
        <f>'1 datos preparados'!K155</f>
        <v/>
      </c>
      <c r="M162" s="7">
        <f>'1 datos preparados'!L155</f>
        <v/>
      </c>
      <c r="N162" s="7">
        <f>'1 datos preparados'!M155</f>
        <v/>
      </c>
      <c r="O162" s="7">
        <f>'1 datos preparados'!N155</f>
        <v/>
      </c>
      <c r="P162" s="7">
        <f>'1 datos preparados'!O155</f>
        <v/>
      </c>
      <c r="Q162" s="7">
        <f>'1 datos preparados'!P155</f>
        <v/>
      </c>
      <c r="R162" s="7">
        <f>'1 datos preparados'!Q155</f>
        <v/>
      </c>
      <c r="S162" s="7">
        <f>'1 datos preparados'!R155</f>
        <v/>
      </c>
      <c r="T162" s="7">
        <f>'1 datos preparados'!S155</f>
        <v/>
      </c>
      <c r="U162" s="7">
        <f>'1 datos preparados'!T155</f>
        <v/>
      </c>
      <c r="V162" s="8">
        <f>$AE$12+D162*$AE$13+E162*$AE$14+F162*$AE$15+G162*$AE$16+H162*$AE$17+I162*$AE$18+J162*$AE$19+K162*$AE$20+L162*$AE$21+M162*$AE$22+N162*$AE$23+O162*$AE$24+P162*$AE$25+Q162*$AE$26+R162*$AE$27+S162*$AE$28+T162*$AE$29+U162*$AE$30</f>
        <v/>
      </c>
      <c r="W162" s="8">
        <f>1/(1+EXP(-V162))</f>
        <v/>
      </c>
      <c r="X162" s="9">
        <f>-IF(C162=1,LN(W162),LN(1-W162))</f>
        <v/>
      </c>
      <c r="Y162" s="8">
        <f>'1 datos preparados'!V155</f>
        <v/>
      </c>
      <c r="Z162" s="9">
        <f>Y162*X162</f>
        <v/>
      </c>
      <c r="AA162" s="10">
        <f>IF(W162&gt;$AE$33,1,0)</f>
        <v/>
      </c>
      <c r="AB162">
        <f>IF(AA162=C162,1,0)</f>
        <v/>
      </c>
    </row>
    <row r="163">
      <c r="A163">
        <f>'1 datos preparados'!A156</f>
        <v/>
      </c>
      <c r="B163" s="5">
        <f>'1 datos preparados'!U156</f>
        <v/>
      </c>
      <c r="C163">
        <f>'1 datos preparados'!B156</f>
        <v/>
      </c>
      <c r="D163" s="7">
        <f>'1 datos preparados'!C156</f>
        <v/>
      </c>
      <c r="E163" s="7">
        <f>'1 datos preparados'!D156</f>
        <v/>
      </c>
      <c r="F163" s="7">
        <f>'1 datos preparados'!E156</f>
        <v/>
      </c>
      <c r="G163" s="7">
        <f>'1 datos preparados'!F156</f>
        <v/>
      </c>
      <c r="H163" s="7">
        <f>'1 datos preparados'!G156</f>
        <v/>
      </c>
      <c r="I163" s="7">
        <f>'1 datos preparados'!H156</f>
        <v/>
      </c>
      <c r="J163" s="7">
        <f>'1 datos preparados'!I156</f>
        <v/>
      </c>
      <c r="K163" s="7">
        <f>'1 datos preparados'!J156</f>
        <v/>
      </c>
      <c r="L163" s="7">
        <f>'1 datos preparados'!K156</f>
        <v/>
      </c>
      <c r="M163" s="7">
        <f>'1 datos preparados'!L156</f>
        <v/>
      </c>
      <c r="N163" s="7">
        <f>'1 datos preparados'!M156</f>
        <v/>
      </c>
      <c r="O163" s="7">
        <f>'1 datos preparados'!N156</f>
        <v/>
      </c>
      <c r="P163" s="7">
        <f>'1 datos preparados'!O156</f>
        <v/>
      </c>
      <c r="Q163" s="7">
        <f>'1 datos preparados'!P156</f>
        <v/>
      </c>
      <c r="R163" s="7">
        <f>'1 datos preparados'!Q156</f>
        <v/>
      </c>
      <c r="S163" s="7">
        <f>'1 datos preparados'!R156</f>
        <v/>
      </c>
      <c r="T163" s="7">
        <f>'1 datos preparados'!S156</f>
        <v/>
      </c>
      <c r="U163" s="7">
        <f>'1 datos preparados'!T156</f>
        <v/>
      </c>
      <c r="V163" s="8">
        <f>$AE$12+D163*$AE$13+E163*$AE$14+F163*$AE$15+G163*$AE$16+H163*$AE$17+I163*$AE$18+J163*$AE$19+K163*$AE$20+L163*$AE$21+M163*$AE$22+N163*$AE$23+O163*$AE$24+P163*$AE$25+Q163*$AE$26+R163*$AE$27+S163*$AE$28+T163*$AE$29+U163*$AE$30</f>
        <v/>
      </c>
      <c r="W163" s="8">
        <f>1/(1+EXP(-V163))</f>
        <v/>
      </c>
      <c r="X163" s="9">
        <f>-IF(C163=1,LN(W163),LN(1-W163))</f>
        <v/>
      </c>
      <c r="Y163" s="8">
        <f>'1 datos preparados'!V156</f>
        <v/>
      </c>
      <c r="Z163" s="9">
        <f>Y163*X163</f>
        <v/>
      </c>
      <c r="AA163" s="10">
        <f>IF(W163&gt;$AE$33,1,0)</f>
        <v/>
      </c>
      <c r="AB163">
        <f>IF(AA163=C163,1,0)</f>
        <v/>
      </c>
    </row>
    <row r="164">
      <c r="A164">
        <f>'1 datos preparados'!A157</f>
        <v/>
      </c>
      <c r="B164" s="5">
        <f>'1 datos preparados'!U157</f>
        <v/>
      </c>
      <c r="C164">
        <f>'1 datos preparados'!B157</f>
        <v/>
      </c>
      <c r="D164" s="7">
        <f>'1 datos preparados'!C157</f>
        <v/>
      </c>
      <c r="E164" s="7">
        <f>'1 datos preparados'!D157</f>
        <v/>
      </c>
      <c r="F164" s="7">
        <f>'1 datos preparados'!E157</f>
        <v/>
      </c>
      <c r="G164" s="7">
        <f>'1 datos preparados'!F157</f>
        <v/>
      </c>
      <c r="H164" s="7">
        <f>'1 datos preparados'!G157</f>
        <v/>
      </c>
      <c r="I164" s="7">
        <f>'1 datos preparados'!H157</f>
        <v/>
      </c>
      <c r="J164" s="7">
        <f>'1 datos preparados'!I157</f>
        <v/>
      </c>
      <c r="K164" s="7">
        <f>'1 datos preparados'!J157</f>
        <v/>
      </c>
      <c r="L164" s="7">
        <f>'1 datos preparados'!K157</f>
        <v/>
      </c>
      <c r="M164" s="7">
        <f>'1 datos preparados'!L157</f>
        <v/>
      </c>
      <c r="N164" s="7">
        <f>'1 datos preparados'!M157</f>
        <v/>
      </c>
      <c r="O164" s="7">
        <f>'1 datos preparados'!N157</f>
        <v/>
      </c>
      <c r="P164" s="7">
        <f>'1 datos preparados'!O157</f>
        <v/>
      </c>
      <c r="Q164" s="7">
        <f>'1 datos preparados'!P157</f>
        <v/>
      </c>
      <c r="R164" s="7">
        <f>'1 datos preparados'!Q157</f>
        <v/>
      </c>
      <c r="S164" s="7">
        <f>'1 datos preparados'!R157</f>
        <v/>
      </c>
      <c r="T164" s="7">
        <f>'1 datos preparados'!S157</f>
        <v/>
      </c>
      <c r="U164" s="7">
        <f>'1 datos preparados'!T157</f>
        <v/>
      </c>
      <c r="V164" s="8">
        <f>$AE$12+D164*$AE$13+E164*$AE$14+F164*$AE$15+G164*$AE$16+H164*$AE$17+I164*$AE$18+J164*$AE$19+K164*$AE$20+L164*$AE$21+M164*$AE$22+N164*$AE$23+O164*$AE$24+P164*$AE$25+Q164*$AE$26+R164*$AE$27+S164*$AE$28+T164*$AE$29+U164*$AE$30</f>
        <v/>
      </c>
      <c r="W164" s="8">
        <f>1/(1+EXP(-V164))</f>
        <v/>
      </c>
      <c r="X164" s="9">
        <f>-IF(C164=1,LN(W164),LN(1-W164))</f>
        <v/>
      </c>
      <c r="Y164" s="8">
        <f>'1 datos preparados'!V157</f>
        <v/>
      </c>
      <c r="Z164" s="9">
        <f>Y164*X164</f>
        <v/>
      </c>
      <c r="AA164" s="10">
        <f>IF(W164&gt;$AE$33,1,0)</f>
        <v/>
      </c>
      <c r="AB164">
        <f>IF(AA164=C164,1,0)</f>
        <v/>
      </c>
    </row>
    <row r="165">
      <c r="A165">
        <f>'1 datos preparados'!A158</f>
        <v/>
      </c>
      <c r="B165" s="5">
        <f>'1 datos preparados'!U158</f>
        <v/>
      </c>
      <c r="C165">
        <f>'1 datos preparados'!B158</f>
        <v/>
      </c>
      <c r="D165" s="7">
        <f>'1 datos preparados'!C158</f>
        <v/>
      </c>
      <c r="E165" s="7">
        <f>'1 datos preparados'!D158</f>
        <v/>
      </c>
      <c r="F165" s="7">
        <f>'1 datos preparados'!E158</f>
        <v/>
      </c>
      <c r="G165" s="7">
        <f>'1 datos preparados'!F158</f>
        <v/>
      </c>
      <c r="H165" s="7">
        <f>'1 datos preparados'!G158</f>
        <v/>
      </c>
      <c r="I165" s="7">
        <f>'1 datos preparados'!H158</f>
        <v/>
      </c>
      <c r="J165" s="7">
        <f>'1 datos preparados'!I158</f>
        <v/>
      </c>
      <c r="K165" s="7">
        <f>'1 datos preparados'!J158</f>
        <v/>
      </c>
      <c r="L165" s="7">
        <f>'1 datos preparados'!K158</f>
        <v/>
      </c>
      <c r="M165" s="7">
        <f>'1 datos preparados'!L158</f>
        <v/>
      </c>
      <c r="N165" s="7">
        <f>'1 datos preparados'!M158</f>
        <v/>
      </c>
      <c r="O165" s="7">
        <f>'1 datos preparados'!N158</f>
        <v/>
      </c>
      <c r="P165" s="7">
        <f>'1 datos preparados'!O158</f>
        <v/>
      </c>
      <c r="Q165" s="7">
        <f>'1 datos preparados'!P158</f>
        <v/>
      </c>
      <c r="R165" s="7">
        <f>'1 datos preparados'!Q158</f>
        <v/>
      </c>
      <c r="S165" s="7">
        <f>'1 datos preparados'!R158</f>
        <v/>
      </c>
      <c r="T165" s="7">
        <f>'1 datos preparados'!S158</f>
        <v/>
      </c>
      <c r="U165" s="7">
        <f>'1 datos preparados'!T158</f>
        <v/>
      </c>
      <c r="V165" s="8">
        <f>$AE$12+D165*$AE$13+E165*$AE$14+F165*$AE$15+G165*$AE$16+H165*$AE$17+I165*$AE$18+J165*$AE$19+K165*$AE$20+L165*$AE$21+M165*$AE$22+N165*$AE$23+O165*$AE$24+P165*$AE$25+Q165*$AE$26+R165*$AE$27+S165*$AE$28+T165*$AE$29+U165*$AE$30</f>
        <v/>
      </c>
      <c r="W165" s="8">
        <f>1/(1+EXP(-V165))</f>
        <v/>
      </c>
      <c r="X165" s="9">
        <f>-IF(C165=1,LN(W165),LN(1-W165))</f>
        <v/>
      </c>
      <c r="Y165" s="8">
        <f>'1 datos preparados'!V158</f>
        <v/>
      </c>
      <c r="Z165" s="9">
        <f>Y165*X165</f>
        <v/>
      </c>
      <c r="AA165" s="10">
        <f>IF(W165&gt;$AE$33,1,0)</f>
        <v/>
      </c>
      <c r="AB165">
        <f>IF(AA165=C165,1,0)</f>
        <v/>
      </c>
    </row>
    <row r="166">
      <c r="A166">
        <f>'1 datos preparados'!A159</f>
        <v/>
      </c>
      <c r="B166" s="5">
        <f>'1 datos preparados'!U159</f>
        <v/>
      </c>
      <c r="C166">
        <f>'1 datos preparados'!B159</f>
        <v/>
      </c>
      <c r="D166" s="7">
        <f>'1 datos preparados'!C159</f>
        <v/>
      </c>
      <c r="E166" s="7">
        <f>'1 datos preparados'!D159</f>
        <v/>
      </c>
      <c r="F166" s="7">
        <f>'1 datos preparados'!E159</f>
        <v/>
      </c>
      <c r="G166" s="7">
        <f>'1 datos preparados'!F159</f>
        <v/>
      </c>
      <c r="H166" s="7">
        <f>'1 datos preparados'!G159</f>
        <v/>
      </c>
      <c r="I166" s="7">
        <f>'1 datos preparados'!H159</f>
        <v/>
      </c>
      <c r="J166" s="7">
        <f>'1 datos preparados'!I159</f>
        <v/>
      </c>
      <c r="K166" s="7">
        <f>'1 datos preparados'!J159</f>
        <v/>
      </c>
      <c r="L166" s="7">
        <f>'1 datos preparados'!K159</f>
        <v/>
      </c>
      <c r="M166" s="7">
        <f>'1 datos preparados'!L159</f>
        <v/>
      </c>
      <c r="N166" s="7">
        <f>'1 datos preparados'!M159</f>
        <v/>
      </c>
      <c r="O166" s="7">
        <f>'1 datos preparados'!N159</f>
        <v/>
      </c>
      <c r="P166" s="7">
        <f>'1 datos preparados'!O159</f>
        <v/>
      </c>
      <c r="Q166" s="7">
        <f>'1 datos preparados'!P159</f>
        <v/>
      </c>
      <c r="R166" s="7">
        <f>'1 datos preparados'!Q159</f>
        <v/>
      </c>
      <c r="S166" s="7">
        <f>'1 datos preparados'!R159</f>
        <v/>
      </c>
      <c r="T166" s="7">
        <f>'1 datos preparados'!S159</f>
        <v/>
      </c>
      <c r="U166" s="7">
        <f>'1 datos preparados'!T159</f>
        <v/>
      </c>
      <c r="V166" s="8">
        <f>$AE$12+D166*$AE$13+E166*$AE$14+F166*$AE$15+G166*$AE$16+H166*$AE$17+I166*$AE$18+J166*$AE$19+K166*$AE$20+L166*$AE$21+M166*$AE$22+N166*$AE$23+O166*$AE$24+P166*$AE$25+Q166*$AE$26+R166*$AE$27+S166*$AE$28+T166*$AE$29+U166*$AE$30</f>
        <v/>
      </c>
      <c r="W166" s="8">
        <f>1/(1+EXP(-V166))</f>
        <v/>
      </c>
      <c r="X166" s="9">
        <f>-IF(C166=1,LN(W166),LN(1-W166))</f>
        <v/>
      </c>
      <c r="Y166" s="8">
        <f>'1 datos preparados'!V159</f>
        <v/>
      </c>
      <c r="Z166" s="9">
        <f>Y166*X166</f>
        <v/>
      </c>
      <c r="AA166" s="10">
        <f>IF(W166&gt;$AE$33,1,0)</f>
        <v/>
      </c>
      <c r="AB166">
        <f>IF(AA166=C166,1,0)</f>
        <v/>
      </c>
    </row>
    <row r="167">
      <c r="A167">
        <f>'1 datos preparados'!A160</f>
        <v/>
      </c>
      <c r="B167" s="5">
        <f>'1 datos preparados'!U160</f>
        <v/>
      </c>
      <c r="C167">
        <f>'1 datos preparados'!B160</f>
        <v/>
      </c>
      <c r="D167" s="7">
        <f>'1 datos preparados'!C160</f>
        <v/>
      </c>
      <c r="E167" s="7">
        <f>'1 datos preparados'!D160</f>
        <v/>
      </c>
      <c r="F167" s="7">
        <f>'1 datos preparados'!E160</f>
        <v/>
      </c>
      <c r="G167" s="7">
        <f>'1 datos preparados'!F160</f>
        <v/>
      </c>
      <c r="H167" s="7">
        <f>'1 datos preparados'!G160</f>
        <v/>
      </c>
      <c r="I167" s="7">
        <f>'1 datos preparados'!H160</f>
        <v/>
      </c>
      <c r="J167" s="7">
        <f>'1 datos preparados'!I160</f>
        <v/>
      </c>
      <c r="K167" s="7">
        <f>'1 datos preparados'!J160</f>
        <v/>
      </c>
      <c r="L167" s="7">
        <f>'1 datos preparados'!K160</f>
        <v/>
      </c>
      <c r="M167" s="7">
        <f>'1 datos preparados'!L160</f>
        <v/>
      </c>
      <c r="N167" s="7">
        <f>'1 datos preparados'!M160</f>
        <v/>
      </c>
      <c r="O167" s="7">
        <f>'1 datos preparados'!N160</f>
        <v/>
      </c>
      <c r="P167" s="7">
        <f>'1 datos preparados'!O160</f>
        <v/>
      </c>
      <c r="Q167" s="7">
        <f>'1 datos preparados'!P160</f>
        <v/>
      </c>
      <c r="R167" s="7">
        <f>'1 datos preparados'!Q160</f>
        <v/>
      </c>
      <c r="S167" s="7">
        <f>'1 datos preparados'!R160</f>
        <v/>
      </c>
      <c r="T167" s="7">
        <f>'1 datos preparados'!S160</f>
        <v/>
      </c>
      <c r="U167" s="7">
        <f>'1 datos preparados'!T160</f>
        <v/>
      </c>
      <c r="V167" s="8">
        <f>$AE$12+D167*$AE$13+E167*$AE$14+F167*$AE$15+G167*$AE$16+H167*$AE$17+I167*$AE$18+J167*$AE$19+K167*$AE$20+L167*$AE$21+M167*$AE$22+N167*$AE$23+O167*$AE$24+P167*$AE$25+Q167*$AE$26+R167*$AE$27+S167*$AE$28+T167*$AE$29+U167*$AE$30</f>
        <v/>
      </c>
      <c r="W167" s="8">
        <f>1/(1+EXP(-V167))</f>
        <v/>
      </c>
      <c r="X167" s="9">
        <f>-IF(C167=1,LN(W167),LN(1-W167))</f>
        <v/>
      </c>
      <c r="Y167" s="8">
        <f>'1 datos preparados'!V160</f>
        <v/>
      </c>
      <c r="Z167" s="9">
        <f>Y167*X167</f>
        <v/>
      </c>
      <c r="AA167" s="10">
        <f>IF(W167&gt;$AE$33,1,0)</f>
        <v/>
      </c>
      <c r="AB167">
        <f>IF(AA167=C167,1,0)</f>
        <v/>
      </c>
    </row>
    <row r="168">
      <c r="A168">
        <f>'1 datos preparados'!A161</f>
        <v/>
      </c>
      <c r="B168" s="5">
        <f>'1 datos preparados'!U161</f>
        <v/>
      </c>
      <c r="C168">
        <f>'1 datos preparados'!B161</f>
        <v/>
      </c>
      <c r="D168" s="7">
        <f>'1 datos preparados'!C161</f>
        <v/>
      </c>
      <c r="E168" s="7">
        <f>'1 datos preparados'!D161</f>
        <v/>
      </c>
      <c r="F168" s="7">
        <f>'1 datos preparados'!E161</f>
        <v/>
      </c>
      <c r="G168" s="7">
        <f>'1 datos preparados'!F161</f>
        <v/>
      </c>
      <c r="H168" s="7">
        <f>'1 datos preparados'!G161</f>
        <v/>
      </c>
      <c r="I168" s="7">
        <f>'1 datos preparados'!H161</f>
        <v/>
      </c>
      <c r="J168" s="7">
        <f>'1 datos preparados'!I161</f>
        <v/>
      </c>
      <c r="K168" s="7">
        <f>'1 datos preparados'!J161</f>
        <v/>
      </c>
      <c r="L168" s="7">
        <f>'1 datos preparados'!K161</f>
        <v/>
      </c>
      <c r="M168" s="7">
        <f>'1 datos preparados'!L161</f>
        <v/>
      </c>
      <c r="N168" s="7">
        <f>'1 datos preparados'!M161</f>
        <v/>
      </c>
      <c r="O168" s="7">
        <f>'1 datos preparados'!N161</f>
        <v/>
      </c>
      <c r="P168" s="7">
        <f>'1 datos preparados'!O161</f>
        <v/>
      </c>
      <c r="Q168" s="7">
        <f>'1 datos preparados'!P161</f>
        <v/>
      </c>
      <c r="R168" s="7">
        <f>'1 datos preparados'!Q161</f>
        <v/>
      </c>
      <c r="S168" s="7">
        <f>'1 datos preparados'!R161</f>
        <v/>
      </c>
      <c r="T168" s="7">
        <f>'1 datos preparados'!S161</f>
        <v/>
      </c>
      <c r="U168" s="7">
        <f>'1 datos preparados'!T161</f>
        <v/>
      </c>
      <c r="V168" s="8">
        <f>$AE$12+D168*$AE$13+E168*$AE$14+F168*$AE$15+G168*$AE$16+H168*$AE$17+I168*$AE$18+J168*$AE$19+K168*$AE$20+L168*$AE$21+M168*$AE$22+N168*$AE$23+O168*$AE$24+P168*$AE$25+Q168*$AE$26+R168*$AE$27+S168*$AE$28+T168*$AE$29+U168*$AE$30</f>
        <v/>
      </c>
      <c r="W168" s="8">
        <f>1/(1+EXP(-V168))</f>
        <v/>
      </c>
      <c r="X168" s="9">
        <f>-IF(C168=1,LN(W168),LN(1-W168))</f>
        <v/>
      </c>
      <c r="Y168" s="8">
        <f>'1 datos preparados'!V161</f>
        <v/>
      </c>
      <c r="Z168" s="9">
        <f>Y168*X168</f>
        <v/>
      </c>
      <c r="AA168" s="10">
        <f>IF(W168&gt;$AE$33,1,0)</f>
        <v/>
      </c>
      <c r="AB168">
        <f>IF(AA168=C168,1,0)</f>
        <v/>
      </c>
    </row>
    <row r="169">
      <c r="A169">
        <f>'1 datos preparados'!A162</f>
        <v/>
      </c>
      <c r="B169" s="5">
        <f>'1 datos preparados'!U162</f>
        <v/>
      </c>
      <c r="C169">
        <f>'1 datos preparados'!B162</f>
        <v/>
      </c>
      <c r="D169" s="7">
        <f>'1 datos preparados'!C162</f>
        <v/>
      </c>
      <c r="E169" s="7">
        <f>'1 datos preparados'!D162</f>
        <v/>
      </c>
      <c r="F169" s="7">
        <f>'1 datos preparados'!E162</f>
        <v/>
      </c>
      <c r="G169" s="7">
        <f>'1 datos preparados'!F162</f>
        <v/>
      </c>
      <c r="H169" s="7">
        <f>'1 datos preparados'!G162</f>
        <v/>
      </c>
      <c r="I169" s="7">
        <f>'1 datos preparados'!H162</f>
        <v/>
      </c>
      <c r="J169" s="7">
        <f>'1 datos preparados'!I162</f>
        <v/>
      </c>
      <c r="K169" s="7">
        <f>'1 datos preparados'!J162</f>
        <v/>
      </c>
      <c r="L169" s="7">
        <f>'1 datos preparados'!K162</f>
        <v/>
      </c>
      <c r="M169" s="7">
        <f>'1 datos preparados'!L162</f>
        <v/>
      </c>
      <c r="N169" s="7">
        <f>'1 datos preparados'!M162</f>
        <v/>
      </c>
      <c r="O169" s="7">
        <f>'1 datos preparados'!N162</f>
        <v/>
      </c>
      <c r="P169" s="7">
        <f>'1 datos preparados'!O162</f>
        <v/>
      </c>
      <c r="Q169" s="7">
        <f>'1 datos preparados'!P162</f>
        <v/>
      </c>
      <c r="R169" s="7">
        <f>'1 datos preparados'!Q162</f>
        <v/>
      </c>
      <c r="S169" s="7">
        <f>'1 datos preparados'!R162</f>
        <v/>
      </c>
      <c r="T169" s="7">
        <f>'1 datos preparados'!S162</f>
        <v/>
      </c>
      <c r="U169" s="7">
        <f>'1 datos preparados'!T162</f>
        <v/>
      </c>
      <c r="V169" s="8">
        <f>$AE$12+D169*$AE$13+E169*$AE$14+F169*$AE$15+G169*$AE$16+H169*$AE$17+I169*$AE$18+J169*$AE$19+K169*$AE$20+L169*$AE$21+M169*$AE$22+N169*$AE$23+O169*$AE$24+P169*$AE$25+Q169*$AE$26+R169*$AE$27+S169*$AE$28+T169*$AE$29+U169*$AE$30</f>
        <v/>
      </c>
      <c r="W169" s="8">
        <f>1/(1+EXP(-V169))</f>
        <v/>
      </c>
      <c r="X169" s="9">
        <f>-IF(C169=1,LN(W169),LN(1-W169))</f>
        <v/>
      </c>
      <c r="Y169" s="8">
        <f>'1 datos preparados'!V162</f>
        <v/>
      </c>
      <c r="Z169" s="9">
        <f>Y169*X169</f>
        <v/>
      </c>
      <c r="AA169" s="10">
        <f>IF(W169&gt;$AE$33,1,0)</f>
        <v/>
      </c>
      <c r="AB169">
        <f>IF(AA169=C169,1,0)</f>
        <v/>
      </c>
    </row>
    <row r="170">
      <c r="A170">
        <f>'1 datos preparados'!A163</f>
        <v/>
      </c>
      <c r="B170" s="5">
        <f>'1 datos preparados'!U163</f>
        <v/>
      </c>
      <c r="C170">
        <f>'1 datos preparados'!B163</f>
        <v/>
      </c>
      <c r="D170" s="7">
        <f>'1 datos preparados'!C163</f>
        <v/>
      </c>
      <c r="E170" s="7">
        <f>'1 datos preparados'!D163</f>
        <v/>
      </c>
      <c r="F170" s="7">
        <f>'1 datos preparados'!E163</f>
        <v/>
      </c>
      <c r="G170" s="7">
        <f>'1 datos preparados'!F163</f>
        <v/>
      </c>
      <c r="H170" s="7">
        <f>'1 datos preparados'!G163</f>
        <v/>
      </c>
      <c r="I170" s="7">
        <f>'1 datos preparados'!H163</f>
        <v/>
      </c>
      <c r="J170" s="7">
        <f>'1 datos preparados'!I163</f>
        <v/>
      </c>
      <c r="K170" s="7">
        <f>'1 datos preparados'!J163</f>
        <v/>
      </c>
      <c r="L170" s="7">
        <f>'1 datos preparados'!K163</f>
        <v/>
      </c>
      <c r="M170" s="7">
        <f>'1 datos preparados'!L163</f>
        <v/>
      </c>
      <c r="N170" s="7">
        <f>'1 datos preparados'!M163</f>
        <v/>
      </c>
      <c r="O170" s="7">
        <f>'1 datos preparados'!N163</f>
        <v/>
      </c>
      <c r="P170" s="7">
        <f>'1 datos preparados'!O163</f>
        <v/>
      </c>
      <c r="Q170" s="7">
        <f>'1 datos preparados'!P163</f>
        <v/>
      </c>
      <c r="R170" s="7">
        <f>'1 datos preparados'!Q163</f>
        <v/>
      </c>
      <c r="S170" s="7">
        <f>'1 datos preparados'!R163</f>
        <v/>
      </c>
      <c r="T170" s="7">
        <f>'1 datos preparados'!S163</f>
        <v/>
      </c>
      <c r="U170" s="7">
        <f>'1 datos preparados'!T163</f>
        <v/>
      </c>
      <c r="V170" s="8">
        <f>$AE$12+D170*$AE$13+E170*$AE$14+F170*$AE$15+G170*$AE$16+H170*$AE$17+I170*$AE$18+J170*$AE$19+K170*$AE$20+L170*$AE$21+M170*$AE$22+N170*$AE$23+O170*$AE$24+P170*$AE$25+Q170*$AE$26+R170*$AE$27+S170*$AE$28+T170*$AE$29+U170*$AE$30</f>
        <v/>
      </c>
      <c r="W170" s="8">
        <f>1/(1+EXP(-V170))</f>
        <v/>
      </c>
      <c r="X170" s="9">
        <f>-IF(C170=1,LN(W170),LN(1-W170))</f>
        <v/>
      </c>
      <c r="Y170" s="8">
        <f>'1 datos preparados'!V163</f>
        <v/>
      </c>
      <c r="Z170" s="9">
        <f>Y170*X170</f>
        <v/>
      </c>
      <c r="AA170" s="10">
        <f>IF(W170&gt;$AE$33,1,0)</f>
        <v/>
      </c>
      <c r="AB170">
        <f>IF(AA170=C170,1,0)</f>
        <v/>
      </c>
    </row>
    <row r="171">
      <c r="A171">
        <f>'1 datos preparados'!A164</f>
        <v/>
      </c>
      <c r="B171" s="5">
        <f>'1 datos preparados'!U164</f>
        <v/>
      </c>
      <c r="C171">
        <f>'1 datos preparados'!B164</f>
        <v/>
      </c>
      <c r="D171" s="7">
        <f>'1 datos preparados'!C164</f>
        <v/>
      </c>
      <c r="E171" s="7">
        <f>'1 datos preparados'!D164</f>
        <v/>
      </c>
      <c r="F171" s="7">
        <f>'1 datos preparados'!E164</f>
        <v/>
      </c>
      <c r="G171" s="7">
        <f>'1 datos preparados'!F164</f>
        <v/>
      </c>
      <c r="H171" s="7">
        <f>'1 datos preparados'!G164</f>
        <v/>
      </c>
      <c r="I171" s="7">
        <f>'1 datos preparados'!H164</f>
        <v/>
      </c>
      <c r="J171" s="7">
        <f>'1 datos preparados'!I164</f>
        <v/>
      </c>
      <c r="K171" s="7">
        <f>'1 datos preparados'!J164</f>
        <v/>
      </c>
      <c r="L171" s="7">
        <f>'1 datos preparados'!K164</f>
        <v/>
      </c>
      <c r="M171" s="7">
        <f>'1 datos preparados'!L164</f>
        <v/>
      </c>
      <c r="N171" s="7">
        <f>'1 datos preparados'!M164</f>
        <v/>
      </c>
      <c r="O171" s="7">
        <f>'1 datos preparados'!N164</f>
        <v/>
      </c>
      <c r="P171" s="7">
        <f>'1 datos preparados'!O164</f>
        <v/>
      </c>
      <c r="Q171" s="7">
        <f>'1 datos preparados'!P164</f>
        <v/>
      </c>
      <c r="R171" s="7">
        <f>'1 datos preparados'!Q164</f>
        <v/>
      </c>
      <c r="S171" s="7">
        <f>'1 datos preparados'!R164</f>
        <v/>
      </c>
      <c r="T171" s="7">
        <f>'1 datos preparados'!S164</f>
        <v/>
      </c>
      <c r="U171" s="7">
        <f>'1 datos preparados'!T164</f>
        <v/>
      </c>
      <c r="V171" s="8">
        <f>$AE$12+D171*$AE$13+E171*$AE$14+F171*$AE$15+G171*$AE$16+H171*$AE$17+I171*$AE$18+J171*$AE$19+K171*$AE$20+L171*$AE$21+M171*$AE$22+N171*$AE$23+O171*$AE$24+P171*$AE$25+Q171*$AE$26+R171*$AE$27+S171*$AE$28+T171*$AE$29+U171*$AE$30</f>
        <v/>
      </c>
      <c r="W171" s="8">
        <f>1/(1+EXP(-V171))</f>
        <v/>
      </c>
      <c r="X171" s="9">
        <f>-IF(C171=1,LN(W171),LN(1-W171))</f>
        <v/>
      </c>
      <c r="Y171" s="8">
        <f>'1 datos preparados'!V164</f>
        <v/>
      </c>
      <c r="Z171" s="9">
        <f>Y171*X171</f>
        <v/>
      </c>
      <c r="AA171" s="10">
        <f>IF(W171&gt;$AE$33,1,0)</f>
        <v/>
      </c>
      <c r="AB171">
        <f>IF(AA171=C171,1,0)</f>
        <v/>
      </c>
    </row>
    <row r="172">
      <c r="A172">
        <f>'1 datos preparados'!A165</f>
        <v/>
      </c>
      <c r="B172" s="5">
        <f>'1 datos preparados'!U165</f>
        <v/>
      </c>
      <c r="C172">
        <f>'1 datos preparados'!B165</f>
        <v/>
      </c>
      <c r="D172" s="7">
        <f>'1 datos preparados'!C165</f>
        <v/>
      </c>
      <c r="E172" s="7">
        <f>'1 datos preparados'!D165</f>
        <v/>
      </c>
      <c r="F172" s="7">
        <f>'1 datos preparados'!E165</f>
        <v/>
      </c>
      <c r="G172" s="7">
        <f>'1 datos preparados'!F165</f>
        <v/>
      </c>
      <c r="H172" s="7">
        <f>'1 datos preparados'!G165</f>
        <v/>
      </c>
      <c r="I172" s="7">
        <f>'1 datos preparados'!H165</f>
        <v/>
      </c>
      <c r="J172" s="7">
        <f>'1 datos preparados'!I165</f>
        <v/>
      </c>
      <c r="K172" s="7">
        <f>'1 datos preparados'!J165</f>
        <v/>
      </c>
      <c r="L172" s="7">
        <f>'1 datos preparados'!K165</f>
        <v/>
      </c>
      <c r="M172" s="7">
        <f>'1 datos preparados'!L165</f>
        <v/>
      </c>
      <c r="N172" s="7">
        <f>'1 datos preparados'!M165</f>
        <v/>
      </c>
      <c r="O172" s="7">
        <f>'1 datos preparados'!N165</f>
        <v/>
      </c>
      <c r="P172" s="7">
        <f>'1 datos preparados'!O165</f>
        <v/>
      </c>
      <c r="Q172" s="7">
        <f>'1 datos preparados'!P165</f>
        <v/>
      </c>
      <c r="R172" s="7">
        <f>'1 datos preparados'!Q165</f>
        <v/>
      </c>
      <c r="S172" s="7">
        <f>'1 datos preparados'!R165</f>
        <v/>
      </c>
      <c r="T172" s="7">
        <f>'1 datos preparados'!S165</f>
        <v/>
      </c>
      <c r="U172" s="7">
        <f>'1 datos preparados'!T165</f>
        <v/>
      </c>
      <c r="V172" s="8">
        <f>$AE$12+D172*$AE$13+E172*$AE$14+F172*$AE$15+G172*$AE$16+H172*$AE$17+I172*$AE$18+J172*$AE$19+K172*$AE$20+L172*$AE$21+M172*$AE$22+N172*$AE$23+O172*$AE$24+P172*$AE$25+Q172*$AE$26+R172*$AE$27+S172*$AE$28+T172*$AE$29+U172*$AE$30</f>
        <v/>
      </c>
      <c r="W172" s="8">
        <f>1/(1+EXP(-V172))</f>
        <v/>
      </c>
      <c r="X172" s="9">
        <f>-IF(C172=1,LN(W172),LN(1-W172))</f>
        <v/>
      </c>
      <c r="Y172" s="8">
        <f>'1 datos preparados'!V165</f>
        <v/>
      </c>
      <c r="Z172" s="9">
        <f>Y172*X172</f>
        <v/>
      </c>
      <c r="AA172" s="10">
        <f>IF(W172&gt;$AE$33,1,0)</f>
        <v/>
      </c>
      <c r="AB172">
        <f>IF(AA172=C172,1,0)</f>
        <v/>
      </c>
    </row>
    <row r="173">
      <c r="A173">
        <f>'1 datos preparados'!A166</f>
        <v/>
      </c>
      <c r="B173" s="5">
        <f>'1 datos preparados'!U166</f>
        <v/>
      </c>
      <c r="C173">
        <f>'1 datos preparados'!B166</f>
        <v/>
      </c>
      <c r="D173" s="7">
        <f>'1 datos preparados'!C166</f>
        <v/>
      </c>
      <c r="E173" s="7">
        <f>'1 datos preparados'!D166</f>
        <v/>
      </c>
      <c r="F173" s="7">
        <f>'1 datos preparados'!E166</f>
        <v/>
      </c>
      <c r="G173" s="7">
        <f>'1 datos preparados'!F166</f>
        <v/>
      </c>
      <c r="H173" s="7">
        <f>'1 datos preparados'!G166</f>
        <v/>
      </c>
      <c r="I173" s="7">
        <f>'1 datos preparados'!H166</f>
        <v/>
      </c>
      <c r="J173" s="7">
        <f>'1 datos preparados'!I166</f>
        <v/>
      </c>
      <c r="K173" s="7">
        <f>'1 datos preparados'!J166</f>
        <v/>
      </c>
      <c r="L173" s="7">
        <f>'1 datos preparados'!K166</f>
        <v/>
      </c>
      <c r="M173" s="7">
        <f>'1 datos preparados'!L166</f>
        <v/>
      </c>
      <c r="N173" s="7">
        <f>'1 datos preparados'!M166</f>
        <v/>
      </c>
      <c r="O173" s="7">
        <f>'1 datos preparados'!N166</f>
        <v/>
      </c>
      <c r="P173" s="7">
        <f>'1 datos preparados'!O166</f>
        <v/>
      </c>
      <c r="Q173" s="7">
        <f>'1 datos preparados'!P166</f>
        <v/>
      </c>
      <c r="R173" s="7">
        <f>'1 datos preparados'!Q166</f>
        <v/>
      </c>
      <c r="S173" s="7">
        <f>'1 datos preparados'!R166</f>
        <v/>
      </c>
      <c r="T173" s="7">
        <f>'1 datos preparados'!S166</f>
        <v/>
      </c>
      <c r="U173" s="7">
        <f>'1 datos preparados'!T166</f>
        <v/>
      </c>
      <c r="V173" s="8">
        <f>$AE$12+D173*$AE$13+E173*$AE$14+F173*$AE$15+G173*$AE$16+H173*$AE$17+I173*$AE$18+J173*$AE$19+K173*$AE$20+L173*$AE$21+M173*$AE$22+N173*$AE$23+O173*$AE$24+P173*$AE$25+Q173*$AE$26+R173*$AE$27+S173*$AE$28+T173*$AE$29+U173*$AE$30</f>
        <v/>
      </c>
      <c r="W173" s="8">
        <f>1/(1+EXP(-V173))</f>
        <v/>
      </c>
      <c r="X173" s="9">
        <f>-IF(C173=1,LN(W173),LN(1-W173))</f>
        <v/>
      </c>
      <c r="Y173" s="8">
        <f>'1 datos preparados'!V166</f>
        <v/>
      </c>
      <c r="Z173" s="9">
        <f>Y173*X173</f>
        <v/>
      </c>
      <c r="AA173" s="10">
        <f>IF(W173&gt;$AE$33,1,0)</f>
        <v/>
      </c>
      <c r="AB173">
        <f>IF(AA173=C173,1,0)</f>
        <v/>
      </c>
    </row>
    <row r="174">
      <c r="A174">
        <f>'1 datos preparados'!A167</f>
        <v/>
      </c>
      <c r="B174" s="5">
        <f>'1 datos preparados'!U167</f>
        <v/>
      </c>
      <c r="C174">
        <f>'1 datos preparados'!B167</f>
        <v/>
      </c>
      <c r="D174" s="7">
        <f>'1 datos preparados'!C167</f>
        <v/>
      </c>
      <c r="E174" s="7">
        <f>'1 datos preparados'!D167</f>
        <v/>
      </c>
      <c r="F174" s="7">
        <f>'1 datos preparados'!E167</f>
        <v/>
      </c>
      <c r="G174" s="7">
        <f>'1 datos preparados'!F167</f>
        <v/>
      </c>
      <c r="H174" s="7">
        <f>'1 datos preparados'!G167</f>
        <v/>
      </c>
      <c r="I174" s="7">
        <f>'1 datos preparados'!H167</f>
        <v/>
      </c>
      <c r="J174" s="7">
        <f>'1 datos preparados'!I167</f>
        <v/>
      </c>
      <c r="K174" s="7">
        <f>'1 datos preparados'!J167</f>
        <v/>
      </c>
      <c r="L174" s="7">
        <f>'1 datos preparados'!K167</f>
        <v/>
      </c>
      <c r="M174" s="7">
        <f>'1 datos preparados'!L167</f>
        <v/>
      </c>
      <c r="N174" s="7">
        <f>'1 datos preparados'!M167</f>
        <v/>
      </c>
      <c r="O174" s="7">
        <f>'1 datos preparados'!N167</f>
        <v/>
      </c>
      <c r="P174" s="7">
        <f>'1 datos preparados'!O167</f>
        <v/>
      </c>
      <c r="Q174" s="7">
        <f>'1 datos preparados'!P167</f>
        <v/>
      </c>
      <c r="R174" s="7">
        <f>'1 datos preparados'!Q167</f>
        <v/>
      </c>
      <c r="S174" s="7">
        <f>'1 datos preparados'!R167</f>
        <v/>
      </c>
      <c r="T174" s="7">
        <f>'1 datos preparados'!S167</f>
        <v/>
      </c>
      <c r="U174" s="7">
        <f>'1 datos preparados'!T167</f>
        <v/>
      </c>
      <c r="V174" s="8">
        <f>$AE$12+D174*$AE$13+E174*$AE$14+F174*$AE$15+G174*$AE$16+H174*$AE$17+I174*$AE$18+J174*$AE$19+K174*$AE$20+L174*$AE$21+M174*$AE$22+N174*$AE$23+O174*$AE$24+P174*$AE$25+Q174*$AE$26+R174*$AE$27+S174*$AE$28+T174*$AE$29+U174*$AE$30</f>
        <v/>
      </c>
      <c r="W174" s="8">
        <f>1/(1+EXP(-V174))</f>
        <v/>
      </c>
      <c r="X174" s="9">
        <f>-IF(C174=1,LN(W174),LN(1-W174))</f>
        <v/>
      </c>
      <c r="Y174" s="8">
        <f>'1 datos preparados'!V167</f>
        <v/>
      </c>
      <c r="Z174" s="9">
        <f>Y174*X174</f>
        <v/>
      </c>
      <c r="AA174" s="10">
        <f>IF(W174&gt;$AE$33,1,0)</f>
        <v/>
      </c>
      <c r="AB174">
        <f>IF(AA174=C174,1,0)</f>
        <v/>
      </c>
    </row>
    <row r="175">
      <c r="A175">
        <f>'1 datos preparados'!A168</f>
        <v/>
      </c>
      <c r="B175" s="5">
        <f>'1 datos preparados'!U168</f>
        <v/>
      </c>
      <c r="C175">
        <f>'1 datos preparados'!B168</f>
        <v/>
      </c>
      <c r="D175" s="7">
        <f>'1 datos preparados'!C168</f>
        <v/>
      </c>
      <c r="E175" s="7">
        <f>'1 datos preparados'!D168</f>
        <v/>
      </c>
      <c r="F175" s="7">
        <f>'1 datos preparados'!E168</f>
        <v/>
      </c>
      <c r="G175" s="7">
        <f>'1 datos preparados'!F168</f>
        <v/>
      </c>
      <c r="H175" s="7">
        <f>'1 datos preparados'!G168</f>
        <v/>
      </c>
      <c r="I175" s="7">
        <f>'1 datos preparados'!H168</f>
        <v/>
      </c>
      <c r="J175" s="7">
        <f>'1 datos preparados'!I168</f>
        <v/>
      </c>
      <c r="K175" s="7">
        <f>'1 datos preparados'!J168</f>
        <v/>
      </c>
      <c r="L175" s="7">
        <f>'1 datos preparados'!K168</f>
        <v/>
      </c>
      <c r="M175" s="7">
        <f>'1 datos preparados'!L168</f>
        <v/>
      </c>
      <c r="N175" s="7">
        <f>'1 datos preparados'!M168</f>
        <v/>
      </c>
      <c r="O175" s="7">
        <f>'1 datos preparados'!N168</f>
        <v/>
      </c>
      <c r="P175" s="7">
        <f>'1 datos preparados'!O168</f>
        <v/>
      </c>
      <c r="Q175" s="7">
        <f>'1 datos preparados'!P168</f>
        <v/>
      </c>
      <c r="R175" s="7">
        <f>'1 datos preparados'!Q168</f>
        <v/>
      </c>
      <c r="S175" s="7">
        <f>'1 datos preparados'!R168</f>
        <v/>
      </c>
      <c r="T175" s="7">
        <f>'1 datos preparados'!S168</f>
        <v/>
      </c>
      <c r="U175" s="7">
        <f>'1 datos preparados'!T168</f>
        <v/>
      </c>
      <c r="V175" s="8">
        <f>$AE$12+D175*$AE$13+E175*$AE$14+F175*$AE$15+G175*$AE$16+H175*$AE$17+I175*$AE$18+J175*$AE$19+K175*$AE$20+L175*$AE$21+M175*$AE$22+N175*$AE$23+O175*$AE$24+P175*$AE$25+Q175*$AE$26+R175*$AE$27+S175*$AE$28+T175*$AE$29+U175*$AE$30</f>
        <v/>
      </c>
      <c r="W175" s="8">
        <f>1/(1+EXP(-V175))</f>
        <v/>
      </c>
      <c r="X175" s="9">
        <f>-IF(C175=1,LN(W175),LN(1-W175))</f>
        <v/>
      </c>
      <c r="Y175" s="8">
        <f>'1 datos preparados'!V168</f>
        <v/>
      </c>
      <c r="Z175" s="9">
        <f>Y175*X175</f>
        <v/>
      </c>
      <c r="AA175" s="10">
        <f>IF(W175&gt;$AE$33,1,0)</f>
        <v/>
      </c>
      <c r="AB175">
        <f>IF(AA175=C175,1,0)</f>
        <v/>
      </c>
    </row>
    <row r="176">
      <c r="A176">
        <f>'1 datos preparados'!A169</f>
        <v/>
      </c>
      <c r="B176" s="5">
        <f>'1 datos preparados'!U169</f>
        <v/>
      </c>
      <c r="C176">
        <f>'1 datos preparados'!B169</f>
        <v/>
      </c>
      <c r="D176" s="7">
        <f>'1 datos preparados'!C169</f>
        <v/>
      </c>
      <c r="E176" s="7">
        <f>'1 datos preparados'!D169</f>
        <v/>
      </c>
      <c r="F176" s="7">
        <f>'1 datos preparados'!E169</f>
        <v/>
      </c>
      <c r="G176" s="7">
        <f>'1 datos preparados'!F169</f>
        <v/>
      </c>
      <c r="H176" s="7">
        <f>'1 datos preparados'!G169</f>
        <v/>
      </c>
      <c r="I176" s="7">
        <f>'1 datos preparados'!H169</f>
        <v/>
      </c>
      <c r="J176" s="7">
        <f>'1 datos preparados'!I169</f>
        <v/>
      </c>
      <c r="K176" s="7">
        <f>'1 datos preparados'!J169</f>
        <v/>
      </c>
      <c r="L176" s="7">
        <f>'1 datos preparados'!K169</f>
        <v/>
      </c>
      <c r="M176" s="7">
        <f>'1 datos preparados'!L169</f>
        <v/>
      </c>
      <c r="N176" s="7">
        <f>'1 datos preparados'!M169</f>
        <v/>
      </c>
      <c r="O176" s="7">
        <f>'1 datos preparados'!N169</f>
        <v/>
      </c>
      <c r="P176" s="7">
        <f>'1 datos preparados'!O169</f>
        <v/>
      </c>
      <c r="Q176" s="7">
        <f>'1 datos preparados'!P169</f>
        <v/>
      </c>
      <c r="R176" s="7">
        <f>'1 datos preparados'!Q169</f>
        <v/>
      </c>
      <c r="S176" s="7">
        <f>'1 datos preparados'!R169</f>
        <v/>
      </c>
      <c r="T176" s="7">
        <f>'1 datos preparados'!S169</f>
        <v/>
      </c>
      <c r="U176" s="7">
        <f>'1 datos preparados'!T169</f>
        <v/>
      </c>
      <c r="V176" s="8">
        <f>$AE$12+D176*$AE$13+E176*$AE$14+F176*$AE$15+G176*$AE$16+H176*$AE$17+I176*$AE$18+J176*$AE$19+K176*$AE$20+L176*$AE$21+M176*$AE$22+N176*$AE$23+O176*$AE$24+P176*$AE$25+Q176*$AE$26+R176*$AE$27+S176*$AE$28+T176*$AE$29+U176*$AE$30</f>
        <v/>
      </c>
      <c r="W176" s="8">
        <f>1/(1+EXP(-V176))</f>
        <v/>
      </c>
      <c r="X176" s="9">
        <f>-IF(C176=1,LN(W176),LN(1-W176))</f>
        <v/>
      </c>
      <c r="Y176" s="8">
        <f>'1 datos preparados'!V169</f>
        <v/>
      </c>
      <c r="Z176" s="9">
        <f>Y176*X176</f>
        <v/>
      </c>
      <c r="AA176" s="10">
        <f>IF(W176&gt;$AE$33,1,0)</f>
        <v/>
      </c>
      <c r="AB176">
        <f>IF(AA176=C176,1,0)</f>
        <v/>
      </c>
    </row>
    <row r="177">
      <c r="A177">
        <f>'1 datos preparados'!A170</f>
        <v/>
      </c>
      <c r="B177" s="5">
        <f>'1 datos preparados'!U170</f>
        <v/>
      </c>
      <c r="C177">
        <f>'1 datos preparados'!B170</f>
        <v/>
      </c>
      <c r="D177" s="7">
        <f>'1 datos preparados'!C170</f>
        <v/>
      </c>
      <c r="E177" s="7">
        <f>'1 datos preparados'!D170</f>
        <v/>
      </c>
      <c r="F177" s="7">
        <f>'1 datos preparados'!E170</f>
        <v/>
      </c>
      <c r="G177" s="7">
        <f>'1 datos preparados'!F170</f>
        <v/>
      </c>
      <c r="H177" s="7">
        <f>'1 datos preparados'!G170</f>
        <v/>
      </c>
      <c r="I177" s="7">
        <f>'1 datos preparados'!H170</f>
        <v/>
      </c>
      <c r="J177" s="7">
        <f>'1 datos preparados'!I170</f>
        <v/>
      </c>
      <c r="K177" s="7">
        <f>'1 datos preparados'!J170</f>
        <v/>
      </c>
      <c r="L177" s="7">
        <f>'1 datos preparados'!K170</f>
        <v/>
      </c>
      <c r="M177" s="7">
        <f>'1 datos preparados'!L170</f>
        <v/>
      </c>
      <c r="N177" s="7">
        <f>'1 datos preparados'!M170</f>
        <v/>
      </c>
      <c r="O177" s="7">
        <f>'1 datos preparados'!N170</f>
        <v/>
      </c>
      <c r="P177" s="7">
        <f>'1 datos preparados'!O170</f>
        <v/>
      </c>
      <c r="Q177" s="7">
        <f>'1 datos preparados'!P170</f>
        <v/>
      </c>
      <c r="R177" s="7">
        <f>'1 datos preparados'!Q170</f>
        <v/>
      </c>
      <c r="S177" s="7">
        <f>'1 datos preparados'!R170</f>
        <v/>
      </c>
      <c r="T177" s="7">
        <f>'1 datos preparados'!S170</f>
        <v/>
      </c>
      <c r="U177" s="7">
        <f>'1 datos preparados'!T170</f>
        <v/>
      </c>
      <c r="V177" s="8">
        <f>$AE$12+D177*$AE$13+E177*$AE$14+F177*$AE$15+G177*$AE$16+H177*$AE$17+I177*$AE$18+J177*$AE$19+K177*$AE$20+L177*$AE$21+M177*$AE$22+N177*$AE$23+O177*$AE$24+P177*$AE$25+Q177*$AE$26+R177*$AE$27+S177*$AE$28+T177*$AE$29+U177*$AE$30</f>
        <v/>
      </c>
      <c r="W177" s="8">
        <f>1/(1+EXP(-V177))</f>
        <v/>
      </c>
      <c r="X177" s="9">
        <f>-IF(C177=1,LN(W177),LN(1-W177))</f>
        <v/>
      </c>
      <c r="Y177" s="8">
        <f>'1 datos preparados'!V170</f>
        <v/>
      </c>
      <c r="Z177" s="9">
        <f>Y177*X177</f>
        <v/>
      </c>
      <c r="AA177" s="10">
        <f>IF(W177&gt;$AE$33,1,0)</f>
        <v/>
      </c>
      <c r="AB177">
        <f>IF(AA177=C177,1,0)</f>
        <v/>
      </c>
    </row>
    <row r="178">
      <c r="A178">
        <f>'1 datos preparados'!A171</f>
        <v/>
      </c>
      <c r="B178" s="5">
        <f>'1 datos preparados'!U171</f>
        <v/>
      </c>
      <c r="C178">
        <f>'1 datos preparados'!B171</f>
        <v/>
      </c>
      <c r="D178" s="7">
        <f>'1 datos preparados'!C171</f>
        <v/>
      </c>
      <c r="E178" s="7">
        <f>'1 datos preparados'!D171</f>
        <v/>
      </c>
      <c r="F178" s="7">
        <f>'1 datos preparados'!E171</f>
        <v/>
      </c>
      <c r="G178" s="7">
        <f>'1 datos preparados'!F171</f>
        <v/>
      </c>
      <c r="H178" s="7">
        <f>'1 datos preparados'!G171</f>
        <v/>
      </c>
      <c r="I178" s="7">
        <f>'1 datos preparados'!H171</f>
        <v/>
      </c>
      <c r="J178" s="7">
        <f>'1 datos preparados'!I171</f>
        <v/>
      </c>
      <c r="K178" s="7">
        <f>'1 datos preparados'!J171</f>
        <v/>
      </c>
      <c r="L178" s="7">
        <f>'1 datos preparados'!K171</f>
        <v/>
      </c>
      <c r="M178" s="7">
        <f>'1 datos preparados'!L171</f>
        <v/>
      </c>
      <c r="N178" s="7">
        <f>'1 datos preparados'!M171</f>
        <v/>
      </c>
      <c r="O178" s="7">
        <f>'1 datos preparados'!N171</f>
        <v/>
      </c>
      <c r="P178" s="7">
        <f>'1 datos preparados'!O171</f>
        <v/>
      </c>
      <c r="Q178" s="7">
        <f>'1 datos preparados'!P171</f>
        <v/>
      </c>
      <c r="R178" s="7">
        <f>'1 datos preparados'!Q171</f>
        <v/>
      </c>
      <c r="S178" s="7">
        <f>'1 datos preparados'!R171</f>
        <v/>
      </c>
      <c r="T178" s="7">
        <f>'1 datos preparados'!S171</f>
        <v/>
      </c>
      <c r="U178" s="7">
        <f>'1 datos preparados'!T171</f>
        <v/>
      </c>
      <c r="V178" s="8">
        <f>$AE$12+D178*$AE$13+E178*$AE$14+F178*$AE$15+G178*$AE$16+H178*$AE$17+I178*$AE$18+J178*$AE$19+K178*$AE$20+L178*$AE$21+M178*$AE$22+N178*$AE$23+O178*$AE$24+P178*$AE$25+Q178*$AE$26+R178*$AE$27+S178*$AE$28+T178*$AE$29+U178*$AE$30</f>
        <v/>
      </c>
      <c r="W178" s="8">
        <f>1/(1+EXP(-V178))</f>
        <v/>
      </c>
      <c r="X178" s="9">
        <f>-IF(C178=1,LN(W178),LN(1-W178))</f>
        <v/>
      </c>
      <c r="Y178" s="8">
        <f>'1 datos preparados'!V171</f>
        <v/>
      </c>
      <c r="Z178" s="9">
        <f>Y178*X178</f>
        <v/>
      </c>
      <c r="AA178" s="10">
        <f>IF(W178&gt;$AE$33,1,0)</f>
        <v/>
      </c>
      <c r="AB178">
        <f>IF(AA178=C178,1,0)</f>
        <v/>
      </c>
    </row>
    <row r="179">
      <c r="A179">
        <f>'1 datos preparados'!A172</f>
        <v/>
      </c>
      <c r="B179" s="5">
        <f>'1 datos preparados'!U172</f>
        <v/>
      </c>
      <c r="C179">
        <f>'1 datos preparados'!B172</f>
        <v/>
      </c>
      <c r="D179" s="7">
        <f>'1 datos preparados'!C172</f>
        <v/>
      </c>
      <c r="E179" s="7">
        <f>'1 datos preparados'!D172</f>
        <v/>
      </c>
      <c r="F179" s="7">
        <f>'1 datos preparados'!E172</f>
        <v/>
      </c>
      <c r="G179" s="7">
        <f>'1 datos preparados'!F172</f>
        <v/>
      </c>
      <c r="H179" s="7">
        <f>'1 datos preparados'!G172</f>
        <v/>
      </c>
      <c r="I179" s="7">
        <f>'1 datos preparados'!H172</f>
        <v/>
      </c>
      <c r="J179" s="7">
        <f>'1 datos preparados'!I172</f>
        <v/>
      </c>
      <c r="K179" s="7">
        <f>'1 datos preparados'!J172</f>
        <v/>
      </c>
      <c r="L179" s="7">
        <f>'1 datos preparados'!K172</f>
        <v/>
      </c>
      <c r="M179" s="7">
        <f>'1 datos preparados'!L172</f>
        <v/>
      </c>
      <c r="N179" s="7">
        <f>'1 datos preparados'!M172</f>
        <v/>
      </c>
      <c r="O179" s="7">
        <f>'1 datos preparados'!N172</f>
        <v/>
      </c>
      <c r="P179" s="7">
        <f>'1 datos preparados'!O172</f>
        <v/>
      </c>
      <c r="Q179" s="7">
        <f>'1 datos preparados'!P172</f>
        <v/>
      </c>
      <c r="R179" s="7">
        <f>'1 datos preparados'!Q172</f>
        <v/>
      </c>
      <c r="S179" s="7">
        <f>'1 datos preparados'!R172</f>
        <v/>
      </c>
      <c r="T179" s="7">
        <f>'1 datos preparados'!S172</f>
        <v/>
      </c>
      <c r="U179" s="7">
        <f>'1 datos preparados'!T172</f>
        <v/>
      </c>
      <c r="V179" s="8">
        <f>$AE$12+D179*$AE$13+E179*$AE$14+F179*$AE$15+G179*$AE$16+H179*$AE$17+I179*$AE$18+J179*$AE$19+K179*$AE$20+L179*$AE$21+M179*$AE$22+N179*$AE$23+O179*$AE$24+P179*$AE$25+Q179*$AE$26+R179*$AE$27+S179*$AE$28+T179*$AE$29+U179*$AE$30</f>
        <v/>
      </c>
      <c r="W179" s="8">
        <f>1/(1+EXP(-V179))</f>
        <v/>
      </c>
      <c r="X179" s="9">
        <f>-IF(C179=1,LN(W179),LN(1-W179))</f>
        <v/>
      </c>
      <c r="Y179" s="8">
        <f>'1 datos preparados'!V172</f>
        <v/>
      </c>
      <c r="Z179" s="9">
        <f>Y179*X179</f>
        <v/>
      </c>
      <c r="AA179" s="10">
        <f>IF(W179&gt;$AE$33,1,0)</f>
        <v/>
      </c>
      <c r="AB179">
        <f>IF(AA179=C179,1,0)</f>
        <v/>
      </c>
    </row>
    <row r="180">
      <c r="A180">
        <f>'1 datos preparados'!A173</f>
        <v/>
      </c>
      <c r="B180" s="5">
        <f>'1 datos preparados'!U173</f>
        <v/>
      </c>
      <c r="C180">
        <f>'1 datos preparados'!B173</f>
        <v/>
      </c>
      <c r="D180" s="7">
        <f>'1 datos preparados'!C173</f>
        <v/>
      </c>
      <c r="E180" s="7">
        <f>'1 datos preparados'!D173</f>
        <v/>
      </c>
      <c r="F180" s="7">
        <f>'1 datos preparados'!E173</f>
        <v/>
      </c>
      <c r="G180" s="7">
        <f>'1 datos preparados'!F173</f>
        <v/>
      </c>
      <c r="H180" s="7">
        <f>'1 datos preparados'!G173</f>
        <v/>
      </c>
      <c r="I180" s="7">
        <f>'1 datos preparados'!H173</f>
        <v/>
      </c>
      <c r="J180" s="7">
        <f>'1 datos preparados'!I173</f>
        <v/>
      </c>
      <c r="K180" s="7">
        <f>'1 datos preparados'!J173</f>
        <v/>
      </c>
      <c r="L180" s="7">
        <f>'1 datos preparados'!K173</f>
        <v/>
      </c>
      <c r="M180" s="7">
        <f>'1 datos preparados'!L173</f>
        <v/>
      </c>
      <c r="N180" s="7">
        <f>'1 datos preparados'!M173</f>
        <v/>
      </c>
      <c r="O180" s="7">
        <f>'1 datos preparados'!N173</f>
        <v/>
      </c>
      <c r="P180" s="7">
        <f>'1 datos preparados'!O173</f>
        <v/>
      </c>
      <c r="Q180" s="7">
        <f>'1 datos preparados'!P173</f>
        <v/>
      </c>
      <c r="R180" s="7">
        <f>'1 datos preparados'!Q173</f>
        <v/>
      </c>
      <c r="S180" s="7">
        <f>'1 datos preparados'!R173</f>
        <v/>
      </c>
      <c r="T180" s="7">
        <f>'1 datos preparados'!S173</f>
        <v/>
      </c>
      <c r="U180" s="7">
        <f>'1 datos preparados'!T173</f>
        <v/>
      </c>
      <c r="V180" s="8">
        <f>$AE$12+D180*$AE$13+E180*$AE$14+F180*$AE$15+G180*$AE$16+H180*$AE$17+I180*$AE$18+J180*$AE$19+K180*$AE$20+L180*$AE$21+M180*$AE$22+N180*$AE$23+O180*$AE$24+P180*$AE$25+Q180*$AE$26+R180*$AE$27+S180*$AE$28+T180*$AE$29+U180*$AE$30</f>
        <v/>
      </c>
      <c r="W180" s="8">
        <f>1/(1+EXP(-V180))</f>
        <v/>
      </c>
      <c r="X180" s="9">
        <f>-IF(C180=1,LN(W180),LN(1-W180))</f>
        <v/>
      </c>
      <c r="Y180" s="8">
        <f>'1 datos preparados'!V173</f>
        <v/>
      </c>
      <c r="Z180" s="9">
        <f>Y180*X180</f>
        <v/>
      </c>
      <c r="AA180" s="10">
        <f>IF(W180&gt;$AE$33,1,0)</f>
        <v/>
      </c>
      <c r="AB180">
        <f>IF(AA180=C180,1,0)</f>
        <v/>
      </c>
    </row>
    <row r="181">
      <c r="A181">
        <f>'1 datos preparados'!A174</f>
        <v/>
      </c>
      <c r="B181" s="5">
        <f>'1 datos preparados'!U174</f>
        <v/>
      </c>
      <c r="C181">
        <f>'1 datos preparados'!B174</f>
        <v/>
      </c>
      <c r="D181" s="7">
        <f>'1 datos preparados'!C174</f>
        <v/>
      </c>
      <c r="E181" s="7">
        <f>'1 datos preparados'!D174</f>
        <v/>
      </c>
      <c r="F181" s="7">
        <f>'1 datos preparados'!E174</f>
        <v/>
      </c>
      <c r="G181" s="7">
        <f>'1 datos preparados'!F174</f>
        <v/>
      </c>
      <c r="H181" s="7">
        <f>'1 datos preparados'!G174</f>
        <v/>
      </c>
      <c r="I181" s="7">
        <f>'1 datos preparados'!H174</f>
        <v/>
      </c>
      <c r="J181" s="7">
        <f>'1 datos preparados'!I174</f>
        <v/>
      </c>
      <c r="K181" s="7">
        <f>'1 datos preparados'!J174</f>
        <v/>
      </c>
      <c r="L181" s="7">
        <f>'1 datos preparados'!K174</f>
        <v/>
      </c>
      <c r="M181" s="7">
        <f>'1 datos preparados'!L174</f>
        <v/>
      </c>
      <c r="N181" s="7">
        <f>'1 datos preparados'!M174</f>
        <v/>
      </c>
      <c r="O181" s="7">
        <f>'1 datos preparados'!N174</f>
        <v/>
      </c>
      <c r="P181" s="7">
        <f>'1 datos preparados'!O174</f>
        <v/>
      </c>
      <c r="Q181" s="7">
        <f>'1 datos preparados'!P174</f>
        <v/>
      </c>
      <c r="R181" s="7">
        <f>'1 datos preparados'!Q174</f>
        <v/>
      </c>
      <c r="S181" s="7">
        <f>'1 datos preparados'!R174</f>
        <v/>
      </c>
      <c r="T181" s="7">
        <f>'1 datos preparados'!S174</f>
        <v/>
      </c>
      <c r="U181" s="7">
        <f>'1 datos preparados'!T174</f>
        <v/>
      </c>
      <c r="V181" s="8">
        <f>$AE$12+D181*$AE$13+E181*$AE$14+F181*$AE$15+G181*$AE$16+H181*$AE$17+I181*$AE$18+J181*$AE$19+K181*$AE$20+L181*$AE$21+M181*$AE$22+N181*$AE$23+O181*$AE$24+P181*$AE$25+Q181*$AE$26+R181*$AE$27+S181*$AE$28+T181*$AE$29+U181*$AE$30</f>
        <v/>
      </c>
      <c r="W181" s="8">
        <f>1/(1+EXP(-V181))</f>
        <v/>
      </c>
      <c r="X181" s="9">
        <f>-IF(C181=1,LN(W181),LN(1-W181))</f>
        <v/>
      </c>
      <c r="Y181" s="8">
        <f>'1 datos preparados'!V174</f>
        <v/>
      </c>
      <c r="Z181" s="9">
        <f>Y181*X181</f>
        <v/>
      </c>
      <c r="AA181" s="10">
        <f>IF(W181&gt;$AE$33,1,0)</f>
        <v/>
      </c>
      <c r="AB181">
        <f>IF(AA181=C181,1,0)</f>
        <v/>
      </c>
    </row>
    <row r="182">
      <c r="A182">
        <f>'1 datos preparados'!A175</f>
        <v/>
      </c>
      <c r="B182" s="5">
        <f>'1 datos preparados'!U175</f>
        <v/>
      </c>
      <c r="C182">
        <f>'1 datos preparados'!B175</f>
        <v/>
      </c>
      <c r="D182" s="7">
        <f>'1 datos preparados'!C175</f>
        <v/>
      </c>
      <c r="E182" s="7">
        <f>'1 datos preparados'!D175</f>
        <v/>
      </c>
      <c r="F182" s="7">
        <f>'1 datos preparados'!E175</f>
        <v/>
      </c>
      <c r="G182" s="7">
        <f>'1 datos preparados'!F175</f>
        <v/>
      </c>
      <c r="H182" s="7">
        <f>'1 datos preparados'!G175</f>
        <v/>
      </c>
      <c r="I182" s="7">
        <f>'1 datos preparados'!H175</f>
        <v/>
      </c>
      <c r="J182" s="7">
        <f>'1 datos preparados'!I175</f>
        <v/>
      </c>
      <c r="K182" s="7">
        <f>'1 datos preparados'!J175</f>
        <v/>
      </c>
      <c r="L182" s="7">
        <f>'1 datos preparados'!K175</f>
        <v/>
      </c>
      <c r="M182" s="7">
        <f>'1 datos preparados'!L175</f>
        <v/>
      </c>
      <c r="N182" s="7">
        <f>'1 datos preparados'!M175</f>
        <v/>
      </c>
      <c r="O182" s="7">
        <f>'1 datos preparados'!N175</f>
        <v/>
      </c>
      <c r="P182" s="7">
        <f>'1 datos preparados'!O175</f>
        <v/>
      </c>
      <c r="Q182" s="7">
        <f>'1 datos preparados'!P175</f>
        <v/>
      </c>
      <c r="R182" s="7">
        <f>'1 datos preparados'!Q175</f>
        <v/>
      </c>
      <c r="S182" s="7">
        <f>'1 datos preparados'!R175</f>
        <v/>
      </c>
      <c r="T182" s="7">
        <f>'1 datos preparados'!S175</f>
        <v/>
      </c>
      <c r="U182" s="7">
        <f>'1 datos preparados'!T175</f>
        <v/>
      </c>
      <c r="V182" s="8">
        <f>$AE$12+D182*$AE$13+E182*$AE$14+F182*$AE$15+G182*$AE$16+H182*$AE$17+I182*$AE$18+J182*$AE$19+K182*$AE$20+L182*$AE$21+M182*$AE$22+N182*$AE$23+O182*$AE$24+P182*$AE$25+Q182*$AE$26+R182*$AE$27+S182*$AE$28+T182*$AE$29+U182*$AE$30</f>
        <v/>
      </c>
      <c r="W182" s="8">
        <f>1/(1+EXP(-V182))</f>
        <v/>
      </c>
      <c r="X182" s="9">
        <f>-IF(C182=1,LN(W182),LN(1-W182))</f>
        <v/>
      </c>
      <c r="Y182" s="8">
        <f>'1 datos preparados'!V175</f>
        <v/>
      </c>
      <c r="Z182" s="9">
        <f>Y182*X182</f>
        <v/>
      </c>
      <c r="AA182" s="10">
        <f>IF(W182&gt;$AE$33,1,0)</f>
        <v/>
      </c>
      <c r="AB182">
        <f>IF(AA182=C182,1,0)</f>
        <v/>
      </c>
    </row>
    <row r="183">
      <c r="A183">
        <f>'1 datos preparados'!A176</f>
        <v/>
      </c>
      <c r="B183" s="5">
        <f>'1 datos preparados'!U176</f>
        <v/>
      </c>
      <c r="C183">
        <f>'1 datos preparados'!B176</f>
        <v/>
      </c>
      <c r="D183" s="7">
        <f>'1 datos preparados'!C176</f>
        <v/>
      </c>
      <c r="E183" s="7">
        <f>'1 datos preparados'!D176</f>
        <v/>
      </c>
      <c r="F183" s="7">
        <f>'1 datos preparados'!E176</f>
        <v/>
      </c>
      <c r="G183" s="7">
        <f>'1 datos preparados'!F176</f>
        <v/>
      </c>
      <c r="H183" s="7">
        <f>'1 datos preparados'!G176</f>
        <v/>
      </c>
      <c r="I183" s="7">
        <f>'1 datos preparados'!H176</f>
        <v/>
      </c>
      <c r="J183" s="7">
        <f>'1 datos preparados'!I176</f>
        <v/>
      </c>
      <c r="K183" s="7">
        <f>'1 datos preparados'!J176</f>
        <v/>
      </c>
      <c r="L183" s="7">
        <f>'1 datos preparados'!K176</f>
        <v/>
      </c>
      <c r="M183" s="7">
        <f>'1 datos preparados'!L176</f>
        <v/>
      </c>
      <c r="N183" s="7">
        <f>'1 datos preparados'!M176</f>
        <v/>
      </c>
      <c r="O183" s="7">
        <f>'1 datos preparados'!N176</f>
        <v/>
      </c>
      <c r="P183" s="7">
        <f>'1 datos preparados'!O176</f>
        <v/>
      </c>
      <c r="Q183" s="7">
        <f>'1 datos preparados'!P176</f>
        <v/>
      </c>
      <c r="R183" s="7">
        <f>'1 datos preparados'!Q176</f>
        <v/>
      </c>
      <c r="S183" s="7">
        <f>'1 datos preparados'!R176</f>
        <v/>
      </c>
      <c r="T183" s="7">
        <f>'1 datos preparados'!S176</f>
        <v/>
      </c>
      <c r="U183" s="7">
        <f>'1 datos preparados'!T176</f>
        <v/>
      </c>
      <c r="V183" s="8">
        <f>$AE$12+D183*$AE$13+E183*$AE$14+F183*$AE$15+G183*$AE$16+H183*$AE$17+I183*$AE$18+J183*$AE$19+K183*$AE$20+L183*$AE$21+M183*$AE$22+N183*$AE$23+O183*$AE$24+P183*$AE$25+Q183*$AE$26+R183*$AE$27+S183*$AE$28+T183*$AE$29+U183*$AE$30</f>
        <v/>
      </c>
      <c r="W183" s="8">
        <f>1/(1+EXP(-V183))</f>
        <v/>
      </c>
      <c r="X183" s="9">
        <f>-IF(C183=1,LN(W183),LN(1-W183))</f>
        <v/>
      </c>
      <c r="Y183" s="8">
        <f>'1 datos preparados'!V176</f>
        <v/>
      </c>
      <c r="Z183" s="9">
        <f>Y183*X183</f>
        <v/>
      </c>
      <c r="AA183" s="10">
        <f>IF(W183&gt;$AE$33,1,0)</f>
        <v/>
      </c>
      <c r="AB183">
        <f>IF(AA183=C183,1,0)</f>
        <v/>
      </c>
    </row>
    <row r="184">
      <c r="A184">
        <f>'1 datos preparados'!A177</f>
        <v/>
      </c>
      <c r="B184" s="5">
        <f>'1 datos preparados'!U177</f>
        <v/>
      </c>
      <c r="C184">
        <f>'1 datos preparados'!B177</f>
        <v/>
      </c>
      <c r="D184" s="7">
        <f>'1 datos preparados'!C177</f>
        <v/>
      </c>
      <c r="E184" s="7">
        <f>'1 datos preparados'!D177</f>
        <v/>
      </c>
      <c r="F184" s="7">
        <f>'1 datos preparados'!E177</f>
        <v/>
      </c>
      <c r="G184" s="7">
        <f>'1 datos preparados'!F177</f>
        <v/>
      </c>
      <c r="H184" s="7">
        <f>'1 datos preparados'!G177</f>
        <v/>
      </c>
      <c r="I184" s="7">
        <f>'1 datos preparados'!H177</f>
        <v/>
      </c>
      <c r="J184" s="7">
        <f>'1 datos preparados'!I177</f>
        <v/>
      </c>
      <c r="K184" s="7">
        <f>'1 datos preparados'!J177</f>
        <v/>
      </c>
      <c r="L184" s="7">
        <f>'1 datos preparados'!K177</f>
        <v/>
      </c>
      <c r="M184" s="7">
        <f>'1 datos preparados'!L177</f>
        <v/>
      </c>
      <c r="N184" s="7">
        <f>'1 datos preparados'!M177</f>
        <v/>
      </c>
      <c r="O184" s="7">
        <f>'1 datos preparados'!N177</f>
        <v/>
      </c>
      <c r="P184" s="7">
        <f>'1 datos preparados'!O177</f>
        <v/>
      </c>
      <c r="Q184" s="7">
        <f>'1 datos preparados'!P177</f>
        <v/>
      </c>
      <c r="R184" s="7">
        <f>'1 datos preparados'!Q177</f>
        <v/>
      </c>
      <c r="S184" s="7">
        <f>'1 datos preparados'!R177</f>
        <v/>
      </c>
      <c r="T184" s="7">
        <f>'1 datos preparados'!S177</f>
        <v/>
      </c>
      <c r="U184" s="7">
        <f>'1 datos preparados'!T177</f>
        <v/>
      </c>
      <c r="V184" s="8">
        <f>$AE$12+D184*$AE$13+E184*$AE$14+F184*$AE$15+G184*$AE$16+H184*$AE$17+I184*$AE$18+J184*$AE$19+K184*$AE$20+L184*$AE$21+M184*$AE$22+N184*$AE$23+O184*$AE$24+P184*$AE$25+Q184*$AE$26+R184*$AE$27+S184*$AE$28+T184*$AE$29+U184*$AE$30</f>
        <v/>
      </c>
      <c r="W184" s="8">
        <f>1/(1+EXP(-V184))</f>
        <v/>
      </c>
      <c r="X184" s="9">
        <f>-IF(C184=1,LN(W184),LN(1-W184))</f>
        <v/>
      </c>
      <c r="Y184" s="8">
        <f>'1 datos preparados'!V177</f>
        <v/>
      </c>
      <c r="Z184" s="9">
        <f>Y184*X184</f>
        <v/>
      </c>
      <c r="AA184" s="10">
        <f>IF(W184&gt;$AE$33,1,0)</f>
        <v/>
      </c>
      <c r="AB184">
        <f>IF(AA184=C184,1,0)</f>
        <v/>
      </c>
    </row>
    <row r="185">
      <c r="A185">
        <f>'1 datos preparados'!A178</f>
        <v/>
      </c>
      <c r="B185" s="5">
        <f>'1 datos preparados'!U178</f>
        <v/>
      </c>
      <c r="C185">
        <f>'1 datos preparados'!B178</f>
        <v/>
      </c>
      <c r="D185" s="7">
        <f>'1 datos preparados'!C178</f>
        <v/>
      </c>
      <c r="E185" s="7">
        <f>'1 datos preparados'!D178</f>
        <v/>
      </c>
      <c r="F185" s="7">
        <f>'1 datos preparados'!E178</f>
        <v/>
      </c>
      <c r="G185" s="7">
        <f>'1 datos preparados'!F178</f>
        <v/>
      </c>
      <c r="H185" s="7">
        <f>'1 datos preparados'!G178</f>
        <v/>
      </c>
      <c r="I185" s="7">
        <f>'1 datos preparados'!H178</f>
        <v/>
      </c>
      <c r="J185" s="7">
        <f>'1 datos preparados'!I178</f>
        <v/>
      </c>
      <c r="K185" s="7">
        <f>'1 datos preparados'!J178</f>
        <v/>
      </c>
      <c r="L185" s="7">
        <f>'1 datos preparados'!K178</f>
        <v/>
      </c>
      <c r="M185" s="7">
        <f>'1 datos preparados'!L178</f>
        <v/>
      </c>
      <c r="N185" s="7">
        <f>'1 datos preparados'!M178</f>
        <v/>
      </c>
      <c r="O185" s="7">
        <f>'1 datos preparados'!N178</f>
        <v/>
      </c>
      <c r="P185" s="7">
        <f>'1 datos preparados'!O178</f>
        <v/>
      </c>
      <c r="Q185" s="7">
        <f>'1 datos preparados'!P178</f>
        <v/>
      </c>
      <c r="R185" s="7">
        <f>'1 datos preparados'!Q178</f>
        <v/>
      </c>
      <c r="S185" s="7">
        <f>'1 datos preparados'!R178</f>
        <v/>
      </c>
      <c r="T185" s="7">
        <f>'1 datos preparados'!S178</f>
        <v/>
      </c>
      <c r="U185" s="7">
        <f>'1 datos preparados'!T178</f>
        <v/>
      </c>
      <c r="V185" s="8">
        <f>$AE$12+D185*$AE$13+E185*$AE$14+F185*$AE$15+G185*$AE$16+H185*$AE$17+I185*$AE$18+J185*$AE$19+K185*$AE$20+L185*$AE$21+M185*$AE$22+N185*$AE$23+O185*$AE$24+P185*$AE$25+Q185*$AE$26+R185*$AE$27+S185*$AE$28+T185*$AE$29+U185*$AE$30</f>
        <v/>
      </c>
      <c r="W185" s="8">
        <f>1/(1+EXP(-V185))</f>
        <v/>
      </c>
      <c r="X185" s="9">
        <f>-IF(C185=1,LN(W185),LN(1-W185))</f>
        <v/>
      </c>
      <c r="Y185" s="8">
        <f>'1 datos preparados'!V178</f>
        <v/>
      </c>
      <c r="Z185" s="9">
        <f>Y185*X185</f>
        <v/>
      </c>
      <c r="AA185" s="10">
        <f>IF(W185&gt;$AE$33,1,0)</f>
        <v/>
      </c>
      <c r="AB185">
        <f>IF(AA185=C185,1,0)</f>
        <v/>
      </c>
    </row>
    <row r="186">
      <c r="A186">
        <f>'1 datos preparados'!A179</f>
        <v/>
      </c>
      <c r="B186" s="5">
        <f>'1 datos preparados'!U179</f>
        <v/>
      </c>
      <c r="C186">
        <f>'1 datos preparados'!B179</f>
        <v/>
      </c>
      <c r="D186" s="7">
        <f>'1 datos preparados'!C179</f>
        <v/>
      </c>
      <c r="E186" s="7">
        <f>'1 datos preparados'!D179</f>
        <v/>
      </c>
      <c r="F186" s="7">
        <f>'1 datos preparados'!E179</f>
        <v/>
      </c>
      <c r="G186" s="7">
        <f>'1 datos preparados'!F179</f>
        <v/>
      </c>
      <c r="H186" s="7">
        <f>'1 datos preparados'!G179</f>
        <v/>
      </c>
      <c r="I186" s="7">
        <f>'1 datos preparados'!H179</f>
        <v/>
      </c>
      <c r="J186" s="7">
        <f>'1 datos preparados'!I179</f>
        <v/>
      </c>
      <c r="K186" s="7">
        <f>'1 datos preparados'!J179</f>
        <v/>
      </c>
      <c r="L186" s="7">
        <f>'1 datos preparados'!K179</f>
        <v/>
      </c>
      <c r="M186" s="7">
        <f>'1 datos preparados'!L179</f>
        <v/>
      </c>
      <c r="N186" s="7">
        <f>'1 datos preparados'!M179</f>
        <v/>
      </c>
      <c r="O186" s="7">
        <f>'1 datos preparados'!N179</f>
        <v/>
      </c>
      <c r="P186" s="7">
        <f>'1 datos preparados'!O179</f>
        <v/>
      </c>
      <c r="Q186" s="7">
        <f>'1 datos preparados'!P179</f>
        <v/>
      </c>
      <c r="R186" s="7">
        <f>'1 datos preparados'!Q179</f>
        <v/>
      </c>
      <c r="S186" s="7">
        <f>'1 datos preparados'!R179</f>
        <v/>
      </c>
      <c r="T186" s="7">
        <f>'1 datos preparados'!S179</f>
        <v/>
      </c>
      <c r="U186" s="7">
        <f>'1 datos preparados'!T179</f>
        <v/>
      </c>
      <c r="V186" s="8">
        <f>$AE$12+D186*$AE$13+E186*$AE$14+F186*$AE$15+G186*$AE$16+H186*$AE$17+I186*$AE$18+J186*$AE$19+K186*$AE$20+L186*$AE$21+M186*$AE$22+N186*$AE$23+O186*$AE$24+P186*$AE$25+Q186*$AE$26+R186*$AE$27+S186*$AE$28+T186*$AE$29+U186*$AE$30</f>
        <v/>
      </c>
      <c r="W186" s="8">
        <f>1/(1+EXP(-V186))</f>
        <v/>
      </c>
      <c r="X186" s="9">
        <f>-IF(C186=1,LN(W186),LN(1-W186))</f>
        <v/>
      </c>
      <c r="Y186" s="8">
        <f>'1 datos preparados'!V179</f>
        <v/>
      </c>
      <c r="Z186" s="9">
        <f>Y186*X186</f>
        <v/>
      </c>
      <c r="AA186" s="10">
        <f>IF(W186&gt;$AE$33,1,0)</f>
        <v/>
      </c>
      <c r="AB186">
        <f>IF(AA186=C186,1,0)</f>
        <v/>
      </c>
    </row>
    <row r="187">
      <c r="A187">
        <f>'1 datos preparados'!A180</f>
        <v/>
      </c>
      <c r="B187" s="5">
        <f>'1 datos preparados'!U180</f>
        <v/>
      </c>
      <c r="C187">
        <f>'1 datos preparados'!B180</f>
        <v/>
      </c>
      <c r="D187" s="7">
        <f>'1 datos preparados'!C180</f>
        <v/>
      </c>
      <c r="E187" s="7">
        <f>'1 datos preparados'!D180</f>
        <v/>
      </c>
      <c r="F187" s="7">
        <f>'1 datos preparados'!E180</f>
        <v/>
      </c>
      <c r="G187" s="7">
        <f>'1 datos preparados'!F180</f>
        <v/>
      </c>
      <c r="H187" s="7">
        <f>'1 datos preparados'!G180</f>
        <v/>
      </c>
      <c r="I187" s="7">
        <f>'1 datos preparados'!H180</f>
        <v/>
      </c>
      <c r="J187" s="7">
        <f>'1 datos preparados'!I180</f>
        <v/>
      </c>
      <c r="K187" s="7">
        <f>'1 datos preparados'!J180</f>
        <v/>
      </c>
      <c r="L187" s="7">
        <f>'1 datos preparados'!K180</f>
        <v/>
      </c>
      <c r="M187" s="7">
        <f>'1 datos preparados'!L180</f>
        <v/>
      </c>
      <c r="N187" s="7">
        <f>'1 datos preparados'!M180</f>
        <v/>
      </c>
      <c r="O187" s="7">
        <f>'1 datos preparados'!N180</f>
        <v/>
      </c>
      <c r="P187" s="7">
        <f>'1 datos preparados'!O180</f>
        <v/>
      </c>
      <c r="Q187" s="7">
        <f>'1 datos preparados'!P180</f>
        <v/>
      </c>
      <c r="R187" s="7">
        <f>'1 datos preparados'!Q180</f>
        <v/>
      </c>
      <c r="S187" s="7">
        <f>'1 datos preparados'!R180</f>
        <v/>
      </c>
      <c r="T187" s="7">
        <f>'1 datos preparados'!S180</f>
        <v/>
      </c>
      <c r="U187" s="7">
        <f>'1 datos preparados'!T180</f>
        <v/>
      </c>
      <c r="V187" s="8">
        <f>$AE$12+D187*$AE$13+E187*$AE$14+F187*$AE$15+G187*$AE$16+H187*$AE$17+I187*$AE$18+J187*$AE$19+K187*$AE$20+L187*$AE$21+M187*$AE$22+N187*$AE$23+O187*$AE$24+P187*$AE$25+Q187*$AE$26+R187*$AE$27+S187*$AE$28+T187*$AE$29+U187*$AE$30</f>
        <v/>
      </c>
      <c r="W187" s="8">
        <f>1/(1+EXP(-V187))</f>
        <v/>
      </c>
      <c r="X187" s="9">
        <f>-IF(C187=1,LN(W187),LN(1-W187))</f>
        <v/>
      </c>
      <c r="Y187" s="8">
        <f>'1 datos preparados'!V180</f>
        <v/>
      </c>
      <c r="Z187" s="9">
        <f>Y187*X187</f>
        <v/>
      </c>
      <c r="AA187" s="10">
        <f>IF(W187&gt;$AE$33,1,0)</f>
        <v/>
      </c>
      <c r="AB187">
        <f>IF(AA187=C187,1,0)</f>
        <v/>
      </c>
    </row>
    <row r="188">
      <c r="A188">
        <f>'1 datos preparados'!A181</f>
        <v/>
      </c>
      <c r="B188" s="5">
        <f>'1 datos preparados'!U181</f>
        <v/>
      </c>
      <c r="C188">
        <f>'1 datos preparados'!B181</f>
        <v/>
      </c>
      <c r="D188" s="7">
        <f>'1 datos preparados'!C181</f>
        <v/>
      </c>
      <c r="E188" s="7">
        <f>'1 datos preparados'!D181</f>
        <v/>
      </c>
      <c r="F188" s="7">
        <f>'1 datos preparados'!E181</f>
        <v/>
      </c>
      <c r="G188" s="7">
        <f>'1 datos preparados'!F181</f>
        <v/>
      </c>
      <c r="H188" s="7">
        <f>'1 datos preparados'!G181</f>
        <v/>
      </c>
      <c r="I188" s="7">
        <f>'1 datos preparados'!H181</f>
        <v/>
      </c>
      <c r="J188" s="7">
        <f>'1 datos preparados'!I181</f>
        <v/>
      </c>
      <c r="K188" s="7">
        <f>'1 datos preparados'!J181</f>
        <v/>
      </c>
      <c r="L188" s="7">
        <f>'1 datos preparados'!K181</f>
        <v/>
      </c>
      <c r="M188" s="7">
        <f>'1 datos preparados'!L181</f>
        <v/>
      </c>
      <c r="N188" s="7">
        <f>'1 datos preparados'!M181</f>
        <v/>
      </c>
      <c r="O188" s="7">
        <f>'1 datos preparados'!N181</f>
        <v/>
      </c>
      <c r="P188" s="7">
        <f>'1 datos preparados'!O181</f>
        <v/>
      </c>
      <c r="Q188" s="7">
        <f>'1 datos preparados'!P181</f>
        <v/>
      </c>
      <c r="R188" s="7">
        <f>'1 datos preparados'!Q181</f>
        <v/>
      </c>
      <c r="S188" s="7">
        <f>'1 datos preparados'!R181</f>
        <v/>
      </c>
      <c r="T188" s="7">
        <f>'1 datos preparados'!S181</f>
        <v/>
      </c>
      <c r="U188" s="7">
        <f>'1 datos preparados'!T181</f>
        <v/>
      </c>
      <c r="V188" s="8">
        <f>$AE$12+D188*$AE$13+E188*$AE$14+F188*$AE$15+G188*$AE$16+H188*$AE$17+I188*$AE$18+J188*$AE$19+K188*$AE$20+L188*$AE$21+M188*$AE$22+N188*$AE$23+O188*$AE$24+P188*$AE$25+Q188*$AE$26+R188*$AE$27+S188*$AE$28+T188*$AE$29+U188*$AE$30</f>
        <v/>
      </c>
      <c r="W188" s="8">
        <f>1/(1+EXP(-V188))</f>
        <v/>
      </c>
      <c r="X188" s="9">
        <f>-IF(C188=1,LN(W188),LN(1-W188))</f>
        <v/>
      </c>
      <c r="Y188" s="8">
        <f>'1 datos preparados'!V181</f>
        <v/>
      </c>
      <c r="Z188" s="9">
        <f>Y188*X188</f>
        <v/>
      </c>
      <c r="AA188" s="10">
        <f>IF(W188&gt;$AE$33,1,0)</f>
        <v/>
      </c>
      <c r="AB188">
        <f>IF(AA188=C188,1,0)</f>
        <v/>
      </c>
    </row>
    <row r="189">
      <c r="A189">
        <f>'1 datos preparados'!A182</f>
        <v/>
      </c>
      <c r="B189" s="5">
        <f>'1 datos preparados'!U182</f>
        <v/>
      </c>
      <c r="C189">
        <f>'1 datos preparados'!B182</f>
        <v/>
      </c>
      <c r="D189" s="7">
        <f>'1 datos preparados'!C182</f>
        <v/>
      </c>
      <c r="E189" s="7">
        <f>'1 datos preparados'!D182</f>
        <v/>
      </c>
      <c r="F189" s="7">
        <f>'1 datos preparados'!E182</f>
        <v/>
      </c>
      <c r="G189" s="7">
        <f>'1 datos preparados'!F182</f>
        <v/>
      </c>
      <c r="H189" s="7">
        <f>'1 datos preparados'!G182</f>
        <v/>
      </c>
      <c r="I189" s="7">
        <f>'1 datos preparados'!H182</f>
        <v/>
      </c>
      <c r="J189" s="7">
        <f>'1 datos preparados'!I182</f>
        <v/>
      </c>
      <c r="K189" s="7">
        <f>'1 datos preparados'!J182</f>
        <v/>
      </c>
      <c r="L189" s="7">
        <f>'1 datos preparados'!K182</f>
        <v/>
      </c>
      <c r="M189" s="7">
        <f>'1 datos preparados'!L182</f>
        <v/>
      </c>
      <c r="N189" s="7">
        <f>'1 datos preparados'!M182</f>
        <v/>
      </c>
      <c r="O189" s="7">
        <f>'1 datos preparados'!N182</f>
        <v/>
      </c>
      <c r="P189" s="7">
        <f>'1 datos preparados'!O182</f>
        <v/>
      </c>
      <c r="Q189" s="7">
        <f>'1 datos preparados'!P182</f>
        <v/>
      </c>
      <c r="R189" s="7">
        <f>'1 datos preparados'!Q182</f>
        <v/>
      </c>
      <c r="S189" s="7">
        <f>'1 datos preparados'!R182</f>
        <v/>
      </c>
      <c r="T189" s="7">
        <f>'1 datos preparados'!S182</f>
        <v/>
      </c>
      <c r="U189" s="7">
        <f>'1 datos preparados'!T182</f>
        <v/>
      </c>
      <c r="V189" s="8">
        <f>$AE$12+D189*$AE$13+E189*$AE$14+F189*$AE$15+G189*$AE$16+H189*$AE$17+I189*$AE$18+J189*$AE$19+K189*$AE$20+L189*$AE$21+M189*$AE$22+N189*$AE$23+O189*$AE$24+P189*$AE$25+Q189*$AE$26+R189*$AE$27+S189*$AE$28+T189*$AE$29+U189*$AE$30</f>
        <v/>
      </c>
      <c r="W189" s="8">
        <f>1/(1+EXP(-V189))</f>
        <v/>
      </c>
      <c r="X189" s="9">
        <f>-IF(C189=1,LN(W189),LN(1-W189))</f>
        <v/>
      </c>
      <c r="Y189" s="8">
        <f>'1 datos preparados'!V182</f>
        <v/>
      </c>
      <c r="Z189" s="9">
        <f>Y189*X189</f>
        <v/>
      </c>
      <c r="AA189" s="10">
        <f>IF(W189&gt;$AE$33,1,0)</f>
        <v/>
      </c>
      <c r="AB189">
        <f>IF(AA189=C189,1,0)</f>
        <v/>
      </c>
    </row>
    <row r="190">
      <c r="A190">
        <f>'1 datos preparados'!A183</f>
        <v/>
      </c>
      <c r="B190" s="5">
        <f>'1 datos preparados'!U183</f>
        <v/>
      </c>
      <c r="C190">
        <f>'1 datos preparados'!B183</f>
        <v/>
      </c>
      <c r="D190" s="7">
        <f>'1 datos preparados'!C183</f>
        <v/>
      </c>
      <c r="E190" s="7">
        <f>'1 datos preparados'!D183</f>
        <v/>
      </c>
      <c r="F190" s="7">
        <f>'1 datos preparados'!E183</f>
        <v/>
      </c>
      <c r="G190" s="7">
        <f>'1 datos preparados'!F183</f>
        <v/>
      </c>
      <c r="H190" s="7">
        <f>'1 datos preparados'!G183</f>
        <v/>
      </c>
      <c r="I190" s="7">
        <f>'1 datos preparados'!H183</f>
        <v/>
      </c>
      <c r="J190" s="7">
        <f>'1 datos preparados'!I183</f>
        <v/>
      </c>
      <c r="K190" s="7">
        <f>'1 datos preparados'!J183</f>
        <v/>
      </c>
      <c r="L190" s="7">
        <f>'1 datos preparados'!K183</f>
        <v/>
      </c>
      <c r="M190" s="7">
        <f>'1 datos preparados'!L183</f>
        <v/>
      </c>
      <c r="N190" s="7">
        <f>'1 datos preparados'!M183</f>
        <v/>
      </c>
      <c r="O190" s="7">
        <f>'1 datos preparados'!N183</f>
        <v/>
      </c>
      <c r="P190" s="7">
        <f>'1 datos preparados'!O183</f>
        <v/>
      </c>
      <c r="Q190" s="7">
        <f>'1 datos preparados'!P183</f>
        <v/>
      </c>
      <c r="R190" s="7">
        <f>'1 datos preparados'!Q183</f>
        <v/>
      </c>
      <c r="S190" s="7">
        <f>'1 datos preparados'!R183</f>
        <v/>
      </c>
      <c r="T190" s="7">
        <f>'1 datos preparados'!S183</f>
        <v/>
      </c>
      <c r="U190" s="7">
        <f>'1 datos preparados'!T183</f>
        <v/>
      </c>
      <c r="V190" s="8">
        <f>$AE$12+D190*$AE$13+E190*$AE$14+F190*$AE$15+G190*$AE$16+H190*$AE$17+I190*$AE$18+J190*$AE$19+K190*$AE$20+L190*$AE$21+M190*$AE$22+N190*$AE$23+O190*$AE$24+P190*$AE$25+Q190*$AE$26+R190*$AE$27+S190*$AE$28+T190*$AE$29+U190*$AE$30</f>
        <v/>
      </c>
      <c r="W190" s="8">
        <f>1/(1+EXP(-V190))</f>
        <v/>
      </c>
      <c r="X190" s="9">
        <f>-IF(C190=1,LN(W190),LN(1-W190))</f>
        <v/>
      </c>
      <c r="Y190" s="8">
        <f>'1 datos preparados'!V183</f>
        <v/>
      </c>
      <c r="Z190" s="9">
        <f>Y190*X190</f>
        <v/>
      </c>
      <c r="AA190" s="10">
        <f>IF(W190&gt;$AE$33,1,0)</f>
        <v/>
      </c>
      <c r="AB190">
        <f>IF(AA190=C190,1,0)</f>
        <v/>
      </c>
    </row>
    <row r="191">
      <c r="A191">
        <f>'1 datos preparados'!A184</f>
        <v/>
      </c>
      <c r="B191" s="5">
        <f>'1 datos preparados'!U184</f>
        <v/>
      </c>
      <c r="C191">
        <f>'1 datos preparados'!B184</f>
        <v/>
      </c>
      <c r="D191" s="7">
        <f>'1 datos preparados'!C184</f>
        <v/>
      </c>
      <c r="E191" s="7">
        <f>'1 datos preparados'!D184</f>
        <v/>
      </c>
      <c r="F191" s="7">
        <f>'1 datos preparados'!E184</f>
        <v/>
      </c>
      <c r="G191" s="7">
        <f>'1 datos preparados'!F184</f>
        <v/>
      </c>
      <c r="H191" s="7">
        <f>'1 datos preparados'!G184</f>
        <v/>
      </c>
      <c r="I191" s="7">
        <f>'1 datos preparados'!H184</f>
        <v/>
      </c>
      <c r="J191" s="7">
        <f>'1 datos preparados'!I184</f>
        <v/>
      </c>
      <c r="K191" s="7">
        <f>'1 datos preparados'!J184</f>
        <v/>
      </c>
      <c r="L191" s="7">
        <f>'1 datos preparados'!K184</f>
        <v/>
      </c>
      <c r="M191" s="7">
        <f>'1 datos preparados'!L184</f>
        <v/>
      </c>
      <c r="N191" s="7">
        <f>'1 datos preparados'!M184</f>
        <v/>
      </c>
      <c r="O191" s="7">
        <f>'1 datos preparados'!N184</f>
        <v/>
      </c>
      <c r="P191" s="7">
        <f>'1 datos preparados'!O184</f>
        <v/>
      </c>
      <c r="Q191" s="7">
        <f>'1 datos preparados'!P184</f>
        <v/>
      </c>
      <c r="R191" s="7">
        <f>'1 datos preparados'!Q184</f>
        <v/>
      </c>
      <c r="S191" s="7">
        <f>'1 datos preparados'!R184</f>
        <v/>
      </c>
      <c r="T191" s="7">
        <f>'1 datos preparados'!S184</f>
        <v/>
      </c>
      <c r="U191" s="7">
        <f>'1 datos preparados'!T184</f>
        <v/>
      </c>
      <c r="V191" s="8">
        <f>$AE$12+D191*$AE$13+E191*$AE$14+F191*$AE$15+G191*$AE$16+H191*$AE$17+I191*$AE$18+J191*$AE$19+K191*$AE$20+L191*$AE$21+M191*$AE$22+N191*$AE$23+O191*$AE$24+P191*$AE$25+Q191*$AE$26+R191*$AE$27+S191*$AE$28+T191*$AE$29+U191*$AE$30</f>
        <v/>
      </c>
      <c r="W191" s="8">
        <f>1/(1+EXP(-V191))</f>
        <v/>
      </c>
      <c r="X191" s="9">
        <f>-IF(C191=1,LN(W191),LN(1-W191))</f>
        <v/>
      </c>
      <c r="Y191" s="8">
        <f>'1 datos preparados'!V184</f>
        <v/>
      </c>
      <c r="Z191" s="9">
        <f>Y191*X191</f>
        <v/>
      </c>
      <c r="AA191" s="10">
        <f>IF(W191&gt;$AE$33,1,0)</f>
        <v/>
      </c>
      <c r="AB191">
        <f>IF(AA191=C191,1,0)</f>
        <v/>
      </c>
    </row>
    <row r="192">
      <c r="A192">
        <f>'1 datos preparados'!A185</f>
        <v/>
      </c>
      <c r="B192" s="5">
        <f>'1 datos preparados'!U185</f>
        <v/>
      </c>
      <c r="C192">
        <f>'1 datos preparados'!B185</f>
        <v/>
      </c>
      <c r="D192" s="7">
        <f>'1 datos preparados'!C185</f>
        <v/>
      </c>
      <c r="E192" s="7">
        <f>'1 datos preparados'!D185</f>
        <v/>
      </c>
      <c r="F192" s="7">
        <f>'1 datos preparados'!E185</f>
        <v/>
      </c>
      <c r="G192" s="7">
        <f>'1 datos preparados'!F185</f>
        <v/>
      </c>
      <c r="H192" s="7">
        <f>'1 datos preparados'!G185</f>
        <v/>
      </c>
      <c r="I192" s="7">
        <f>'1 datos preparados'!H185</f>
        <v/>
      </c>
      <c r="J192" s="7">
        <f>'1 datos preparados'!I185</f>
        <v/>
      </c>
      <c r="K192" s="7">
        <f>'1 datos preparados'!J185</f>
        <v/>
      </c>
      <c r="L192" s="7">
        <f>'1 datos preparados'!K185</f>
        <v/>
      </c>
      <c r="M192" s="7">
        <f>'1 datos preparados'!L185</f>
        <v/>
      </c>
      <c r="N192" s="7">
        <f>'1 datos preparados'!M185</f>
        <v/>
      </c>
      <c r="O192" s="7">
        <f>'1 datos preparados'!N185</f>
        <v/>
      </c>
      <c r="P192" s="7">
        <f>'1 datos preparados'!O185</f>
        <v/>
      </c>
      <c r="Q192" s="7">
        <f>'1 datos preparados'!P185</f>
        <v/>
      </c>
      <c r="R192" s="7">
        <f>'1 datos preparados'!Q185</f>
        <v/>
      </c>
      <c r="S192" s="7">
        <f>'1 datos preparados'!R185</f>
        <v/>
      </c>
      <c r="T192" s="7">
        <f>'1 datos preparados'!S185</f>
        <v/>
      </c>
      <c r="U192" s="7">
        <f>'1 datos preparados'!T185</f>
        <v/>
      </c>
      <c r="V192" s="8">
        <f>$AE$12+D192*$AE$13+E192*$AE$14+F192*$AE$15+G192*$AE$16+H192*$AE$17+I192*$AE$18+J192*$AE$19+K192*$AE$20+L192*$AE$21+M192*$AE$22+N192*$AE$23+O192*$AE$24+P192*$AE$25+Q192*$AE$26+R192*$AE$27+S192*$AE$28+T192*$AE$29+U192*$AE$30</f>
        <v/>
      </c>
      <c r="W192" s="8">
        <f>1/(1+EXP(-V192))</f>
        <v/>
      </c>
      <c r="X192" s="9">
        <f>-IF(C192=1,LN(W192),LN(1-W192))</f>
        <v/>
      </c>
      <c r="Y192" s="8">
        <f>'1 datos preparados'!V185</f>
        <v/>
      </c>
      <c r="Z192" s="9">
        <f>Y192*X192</f>
        <v/>
      </c>
      <c r="AA192" s="10">
        <f>IF(W192&gt;$AE$33,1,0)</f>
        <v/>
      </c>
      <c r="AB192">
        <f>IF(AA192=C192,1,0)</f>
        <v/>
      </c>
    </row>
    <row r="193">
      <c r="A193">
        <f>'1 datos preparados'!A186</f>
        <v/>
      </c>
      <c r="B193" s="5">
        <f>'1 datos preparados'!U186</f>
        <v/>
      </c>
      <c r="C193">
        <f>'1 datos preparados'!B186</f>
        <v/>
      </c>
      <c r="D193" s="7">
        <f>'1 datos preparados'!C186</f>
        <v/>
      </c>
      <c r="E193" s="7">
        <f>'1 datos preparados'!D186</f>
        <v/>
      </c>
      <c r="F193" s="7">
        <f>'1 datos preparados'!E186</f>
        <v/>
      </c>
      <c r="G193" s="7">
        <f>'1 datos preparados'!F186</f>
        <v/>
      </c>
      <c r="H193" s="7">
        <f>'1 datos preparados'!G186</f>
        <v/>
      </c>
      <c r="I193" s="7">
        <f>'1 datos preparados'!H186</f>
        <v/>
      </c>
      <c r="J193" s="7">
        <f>'1 datos preparados'!I186</f>
        <v/>
      </c>
      <c r="K193" s="7">
        <f>'1 datos preparados'!J186</f>
        <v/>
      </c>
      <c r="L193" s="7">
        <f>'1 datos preparados'!K186</f>
        <v/>
      </c>
      <c r="M193" s="7">
        <f>'1 datos preparados'!L186</f>
        <v/>
      </c>
      <c r="N193" s="7">
        <f>'1 datos preparados'!M186</f>
        <v/>
      </c>
      <c r="O193" s="7">
        <f>'1 datos preparados'!N186</f>
        <v/>
      </c>
      <c r="P193" s="7">
        <f>'1 datos preparados'!O186</f>
        <v/>
      </c>
      <c r="Q193" s="7">
        <f>'1 datos preparados'!P186</f>
        <v/>
      </c>
      <c r="R193" s="7">
        <f>'1 datos preparados'!Q186</f>
        <v/>
      </c>
      <c r="S193" s="7">
        <f>'1 datos preparados'!R186</f>
        <v/>
      </c>
      <c r="T193" s="7">
        <f>'1 datos preparados'!S186</f>
        <v/>
      </c>
      <c r="U193" s="7">
        <f>'1 datos preparados'!T186</f>
        <v/>
      </c>
      <c r="V193" s="8">
        <f>$AE$12+D193*$AE$13+E193*$AE$14+F193*$AE$15+G193*$AE$16+H193*$AE$17+I193*$AE$18+J193*$AE$19+K193*$AE$20+L193*$AE$21+M193*$AE$22+N193*$AE$23+O193*$AE$24+P193*$AE$25+Q193*$AE$26+R193*$AE$27+S193*$AE$28+T193*$AE$29+U193*$AE$30</f>
        <v/>
      </c>
      <c r="W193" s="8">
        <f>1/(1+EXP(-V193))</f>
        <v/>
      </c>
      <c r="X193" s="9">
        <f>-IF(C193=1,LN(W193),LN(1-W193))</f>
        <v/>
      </c>
      <c r="Y193" s="8">
        <f>'1 datos preparados'!V186</f>
        <v/>
      </c>
      <c r="Z193" s="9">
        <f>Y193*X193</f>
        <v/>
      </c>
      <c r="AA193" s="10">
        <f>IF(W193&gt;$AE$33,1,0)</f>
        <v/>
      </c>
      <c r="AB193">
        <f>IF(AA193=C193,1,0)</f>
        <v/>
      </c>
    </row>
    <row r="194">
      <c r="A194">
        <f>'1 datos preparados'!A187</f>
        <v/>
      </c>
      <c r="B194" s="5">
        <f>'1 datos preparados'!U187</f>
        <v/>
      </c>
      <c r="C194">
        <f>'1 datos preparados'!B187</f>
        <v/>
      </c>
      <c r="D194" s="7">
        <f>'1 datos preparados'!C187</f>
        <v/>
      </c>
      <c r="E194" s="7">
        <f>'1 datos preparados'!D187</f>
        <v/>
      </c>
      <c r="F194" s="7">
        <f>'1 datos preparados'!E187</f>
        <v/>
      </c>
      <c r="G194" s="7">
        <f>'1 datos preparados'!F187</f>
        <v/>
      </c>
      <c r="H194" s="7">
        <f>'1 datos preparados'!G187</f>
        <v/>
      </c>
      <c r="I194" s="7">
        <f>'1 datos preparados'!H187</f>
        <v/>
      </c>
      <c r="J194" s="7">
        <f>'1 datos preparados'!I187</f>
        <v/>
      </c>
      <c r="K194" s="7">
        <f>'1 datos preparados'!J187</f>
        <v/>
      </c>
      <c r="L194" s="7">
        <f>'1 datos preparados'!K187</f>
        <v/>
      </c>
      <c r="M194" s="7">
        <f>'1 datos preparados'!L187</f>
        <v/>
      </c>
      <c r="N194" s="7">
        <f>'1 datos preparados'!M187</f>
        <v/>
      </c>
      <c r="O194" s="7">
        <f>'1 datos preparados'!N187</f>
        <v/>
      </c>
      <c r="P194" s="7">
        <f>'1 datos preparados'!O187</f>
        <v/>
      </c>
      <c r="Q194" s="7">
        <f>'1 datos preparados'!P187</f>
        <v/>
      </c>
      <c r="R194" s="7">
        <f>'1 datos preparados'!Q187</f>
        <v/>
      </c>
      <c r="S194" s="7">
        <f>'1 datos preparados'!R187</f>
        <v/>
      </c>
      <c r="T194" s="7">
        <f>'1 datos preparados'!S187</f>
        <v/>
      </c>
      <c r="U194" s="7">
        <f>'1 datos preparados'!T187</f>
        <v/>
      </c>
      <c r="V194" s="8">
        <f>$AE$12+D194*$AE$13+E194*$AE$14+F194*$AE$15+G194*$AE$16+H194*$AE$17+I194*$AE$18+J194*$AE$19+K194*$AE$20+L194*$AE$21+M194*$AE$22+N194*$AE$23+O194*$AE$24+P194*$AE$25+Q194*$AE$26+R194*$AE$27+S194*$AE$28+T194*$AE$29+U194*$AE$30</f>
        <v/>
      </c>
      <c r="W194" s="8">
        <f>1/(1+EXP(-V194))</f>
        <v/>
      </c>
      <c r="X194" s="9">
        <f>-IF(C194=1,LN(W194),LN(1-W194))</f>
        <v/>
      </c>
      <c r="Y194" s="8">
        <f>'1 datos preparados'!V187</f>
        <v/>
      </c>
      <c r="Z194" s="9">
        <f>Y194*X194</f>
        <v/>
      </c>
      <c r="AA194" s="10">
        <f>IF(W194&gt;$AE$33,1,0)</f>
        <v/>
      </c>
      <c r="AB194">
        <f>IF(AA194=C194,1,0)</f>
        <v/>
      </c>
    </row>
    <row r="195">
      <c r="A195">
        <f>'1 datos preparados'!A188</f>
        <v/>
      </c>
      <c r="B195" s="5">
        <f>'1 datos preparados'!U188</f>
        <v/>
      </c>
      <c r="C195">
        <f>'1 datos preparados'!B188</f>
        <v/>
      </c>
      <c r="D195" s="7">
        <f>'1 datos preparados'!C188</f>
        <v/>
      </c>
      <c r="E195" s="7">
        <f>'1 datos preparados'!D188</f>
        <v/>
      </c>
      <c r="F195" s="7">
        <f>'1 datos preparados'!E188</f>
        <v/>
      </c>
      <c r="G195" s="7">
        <f>'1 datos preparados'!F188</f>
        <v/>
      </c>
      <c r="H195" s="7">
        <f>'1 datos preparados'!G188</f>
        <v/>
      </c>
      <c r="I195" s="7">
        <f>'1 datos preparados'!H188</f>
        <v/>
      </c>
      <c r="J195" s="7">
        <f>'1 datos preparados'!I188</f>
        <v/>
      </c>
      <c r="K195" s="7">
        <f>'1 datos preparados'!J188</f>
        <v/>
      </c>
      <c r="L195" s="7">
        <f>'1 datos preparados'!K188</f>
        <v/>
      </c>
      <c r="M195" s="7">
        <f>'1 datos preparados'!L188</f>
        <v/>
      </c>
      <c r="N195" s="7">
        <f>'1 datos preparados'!M188</f>
        <v/>
      </c>
      <c r="O195" s="7">
        <f>'1 datos preparados'!N188</f>
        <v/>
      </c>
      <c r="P195" s="7">
        <f>'1 datos preparados'!O188</f>
        <v/>
      </c>
      <c r="Q195" s="7">
        <f>'1 datos preparados'!P188</f>
        <v/>
      </c>
      <c r="R195" s="7">
        <f>'1 datos preparados'!Q188</f>
        <v/>
      </c>
      <c r="S195" s="7">
        <f>'1 datos preparados'!R188</f>
        <v/>
      </c>
      <c r="T195" s="7">
        <f>'1 datos preparados'!S188</f>
        <v/>
      </c>
      <c r="U195" s="7">
        <f>'1 datos preparados'!T188</f>
        <v/>
      </c>
      <c r="V195" s="8">
        <f>$AE$12+D195*$AE$13+E195*$AE$14+F195*$AE$15+G195*$AE$16+H195*$AE$17+I195*$AE$18+J195*$AE$19+K195*$AE$20+L195*$AE$21+M195*$AE$22+N195*$AE$23+O195*$AE$24+P195*$AE$25+Q195*$AE$26+R195*$AE$27+S195*$AE$28+T195*$AE$29+U195*$AE$30</f>
        <v/>
      </c>
      <c r="W195" s="8">
        <f>1/(1+EXP(-V195))</f>
        <v/>
      </c>
      <c r="X195" s="9">
        <f>-IF(C195=1,LN(W195),LN(1-W195))</f>
        <v/>
      </c>
      <c r="Y195" s="8">
        <f>'1 datos preparados'!V188</f>
        <v/>
      </c>
      <c r="Z195" s="9">
        <f>Y195*X195</f>
        <v/>
      </c>
      <c r="AA195" s="10">
        <f>IF(W195&gt;$AE$33,1,0)</f>
        <v/>
      </c>
      <c r="AB195">
        <f>IF(AA195=C195,1,0)</f>
        <v/>
      </c>
    </row>
    <row r="196">
      <c r="A196">
        <f>'1 datos preparados'!A189</f>
        <v/>
      </c>
      <c r="B196" s="5">
        <f>'1 datos preparados'!U189</f>
        <v/>
      </c>
      <c r="C196">
        <f>'1 datos preparados'!B189</f>
        <v/>
      </c>
      <c r="D196" s="7">
        <f>'1 datos preparados'!C189</f>
        <v/>
      </c>
      <c r="E196" s="7">
        <f>'1 datos preparados'!D189</f>
        <v/>
      </c>
      <c r="F196" s="7">
        <f>'1 datos preparados'!E189</f>
        <v/>
      </c>
      <c r="G196" s="7">
        <f>'1 datos preparados'!F189</f>
        <v/>
      </c>
      <c r="H196" s="7">
        <f>'1 datos preparados'!G189</f>
        <v/>
      </c>
      <c r="I196" s="7">
        <f>'1 datos preparados'!H189</f>
        <v/>
      </c>
      <c r="J196" s="7">
        <f>'1 datos preparados'!I189</f>
        <v/>
      </c>
      <c r="K196" s="7">
        <f>'1 datos preparados'!J189</f>
        <v/>
      </c>
      <c r="L196" s="7">
        <f>'1 datos preparados'!K189</f>
        <v/>
      </c>
      <c r="M196" s="7">
        <f>'1 datos preparados'!L189</f>
        <v/>
      </c>
      <c r="N196" s="7">
        <f>'1 datos preparados'!M189</f>
        <v/>
      </c>
      <c r="O196" s="7">
        <f>'1 datos preparados'!N189</f>
        <v/>
      </c>
      <c r="P196" s="7">
        <f>'1 datos preparados'!O189</f>
        <v/>
      </c>
      <c r="Q196" s="7">
        <f>'1 datos preparados'!P189</f>
        <v/>
      </c>
      <c r="R196" s="7">
        <f>'1 datos preparados'!Q189</f>
        <v/>
      </c>
      <c r="S196" s="7">
        <f>'1 datos preparados'!R189</f>
        <v/>
      </c>
      <c r="T196" s="7">
        <f>'1 datos preparados'!S189</f>
        <v/>
      </c>
      <c r="U196" s="7">
        <f>'1 datos preparados'!T189</f>
        <v/>
      </c>
      <c r="V196" s="8">
        <f>$AE$12+D196*$AE$13+E196*$AE$14+F196*$AE$15+G196*$AE$16+H196*$AE$17+I196*$AE$18+J196*$AE$19+K196*$AE$20+L196*$AE$21+M196*$AE$22+N196*$AE$23+O196*$AE$24+P196*$AE$25+Q196*$AE$26+R196*$AE$27+S196*$AE$28+T196*$AE$29+U196*$AE$30</f>
        <v/>
      </c>
      <c r="W196" s="8">
        <f>1/(1+EXP(-V196))</f>
        <v/>
      </c>
      <c r="X196" s="9">
        <f>-IF(C196=1,LN(W196),LN(1-W196))</f>
        <v/>
      </c>
      <c r="Y196" s="8">
        <f>'1 datos preparados'!V189</f>
        <v/>
      </c>
      <c r="Z196" s="9">
        <f>Y196*X196</f>
        <v/>
      </c>
      <c r="AA196" s="10">
        <f>IF(W196&gt;$AE$33,1,0)</f>
        <v/>
      </c>
      <c r="AB196">
        <f>IF(AA196=C196,1,0)</f>
        <v/>
      </c>
    </row>
    <row r="197">
      <c r="A197">
        <f>'1 datos preparados'!A190</f>
        <v/>
      </c>
      <c r="B197" s="5">
        <f>'1 datos preparados'!U190</f>
        <v/>
      </c>
      <c r="C197">
        <f>'1 datos preparados'!B190</f>
        <v/>
      </c>
      <c r="D197" s="7">
        <f>'1 datos preparados'!C190</f>
        <v/>
      </c>
      <c r="E197" s="7">
        <f>'1 datos preparados'!D190</f>
        <v/>
      </c>
      <c r="F197" s="7">
        <f>'1 datos preparados'!E190</f>
        <v/>
      </c>
      <c r="G197" s="7">
        <f>'1 datos preparados'!F190</f>
        <v/>
      </c>
      <c r="H197" s="7">
        <f>'1 datos preparados'!G190</f>
        <v/>
      </c>
      <c r="I197" s="7">
        <f>'1 datos preparados'!H190</f>
        <v/>
      </c>
      <c r="J197" s="7">
        <f>'1 datos preparados'!I190</f>
        <v/>
      </c>
      <c r="K197" s="7">
        <f>'1 datos preparados'!J190</f>
        <v/>
      </c>
      <c r="L197" s="7">
        <f>'1 datos preparados'!K190</f>
        <v/>
      </c>
      <c r="M197" s="7">
        <f>'1 datos preparados'!L190</f>
        <v/>
      </c>
      <c r="N197" s="7">
        <f>'1 datos preparados'!M190</f>
        <v/>
      </c>
      <c r="O197" s="7">
        <f>'1 datos preparados'!N190</f>
        <v/>
      </c>
      <c r="P197" s="7">
        <f>'1 datos preparados'!O190</f>
        <v/>
      </c>
      <c r="Q197" s="7">
        <f>'1 datos preparados'!P190</f>
        <v/>
      </c>
      <c r="R197" s="7">
        <f>'1 datos preparados'!Q190</f>
        <v/>
      </c>
      <c r="S197" s="7">
        <f>'1 datos preparados'!R190</f>
        <v/>
      </c>
      <c r="T197" s="7">
        <f>'1 datos preparados'!S190</f>
        <v/>
      </c>
      <c r="U197" s="7">
        <f>'1 datos preparados'!T190</f>
        <v/>
      </c>
      <c r="V197" s="8">
        <f>$AE$12+D197*$AE$13+E197*$AE$14+F197*$AE$15+G197*$AE$16+H197*$AE$17+I197*$AE$18+J197*$AE$19+K197*$AE$20+L197*$AE$21+M197*$AE$22+N197*$AE$23+O197*$AE$24+P197*$AE$25+Q197*$AE$26+R197*$AE$27+S197*$AE$28+T197*$AE$29+U197*$AE$30</f>
        <v/>
      </c>
      <c r="W197" s="8">
        <f>1/(1+EXP(-V197))</f>
        <v/>
      </c>
      <c r="X197" s="9">
        <f>-IF(C197=1,LN(W197),LN(1-W197))</f>
        <v/>
      </c>
      <c r="Y197" s="8">
        <f>'1 datos preparados'!V190</f>
        <v/>
      </c>
      <c r="Z197" s="9">
        <f>Y197*X197</f>
        <v/>
      </c>
      <c r="AA197" s="10">
        <f>IF(W197&gt;$AE$33,1,0)</f>
        <v/>
      </c>
      <c r="AB197">
        <f>IF(AA197=C197,1,0)</f>
        <v/>
      </c>
    </row>
    <row r="198">
      <c r="A198">
        <f>'1 datos preparados'!A191</f>
        <v/>
      </c>
      <c r="B198" s="5">
        <f>'1 datos preparados'!U191</f>
        <v/>
      </c>
      <c r="C198">
        <f>'1 datos preparados'!B191</f>
        <v/>
      </c>
      <c r="D198" s="7">
        <f>'1 datos preparados'!C191</f>
        <v/>
      </c>
      <c r="E198" s="7">
        <f>'1 datos preparados'!D191</f>
        <v/>
      </c>
      <c r="F198" s="7">
        <f>'1 datos preparados'!E191</f>
        <v/>
      </c>
      <c r="G198" s="7">
        <f>'1 datos preparados'!F191</f>
        <v/>
      </c>
      <c r="H198" s="7">
        <f>'1 datos preparados'!G191</f>
        <v/>
      </c>
      <c r="I198" s="7">
        <f>'1 datos preparados'!H191</f>
        <v/>
      </c>
      <c r="J198" s="7">
        <f>'1 datos preparados'!I191</f>
        <v/>
      </c>
      <c r="K198" s="7">
        <f>'1 datos preparados'!J191</f>
        <v/>
      </c>
      <c r="L198" s="7">
        <f>'1 datos preparados'!K191</f>
        <v/>
      </c>
      <c r="M198" s="7">
        <f>'1 datos preparados'!L191</f>
        <v/>
      </c>
      <c r="N198" s="7">
        <f>'1 datos preparados'!M191</f>
        <v/>
      </c>
      <c r="O198" s="7">
        <f>'1 datos preparados'!N191</f>
        <v/>
      </c>
      <c r="P198" s="7">
        <f>'1 datos preparados'!O191</f>
        <v/>
      </c>
      <c r="Q198" s="7">
        <f>'1 datos preparados'!P191</f>
        <v/>
      </c>
      <c r="R198" s="7">
        <f>'1 datos preparados'!Q191</f>
        <v/>
      </c>
      <c r="S198" s="7">
        <f>'1 datos preparados'!R191</f>
        <v/>
      </c>
      <c r="T198" s="7">
        <f>'1 datos preparados'!S191</f>
        <v/>
      </c>
      <c r="U198" s="7">
        <f>'1 datos preparados'!T191</f>
        <v/>
      </c>
      <c r="V198" s="8">
        <f>$AE$12+D198*$AE$13+E198*$AE$14+F198*$AE$15+G198*$AE$16+H198*$AE$17+I198*$AE$18+J198*$AE$19+K198*$AE$20+L198*$AE$21+M198*$AE$22+N198*$AE$23+O198*$AE$24+P198*$AE$25+Q198*$AE$26+R198*$AE$27+S198*$AE$28+T198*$AE$29+U198*$AE$30</f>
        <v/>
      </c>
      <c r="W198" s="8">
        <f>1/(1+EXP(-V198))</f>
        <v/>
      </c>
      <c r="X198" s="9">
        <f>-IF(C198=1,LN(W198),LN(1-W198))</f>
        <v/>
      </c>
      <c r="Y198" s="8">
        <f>'1 datos preparados'!V191</f>
        <v/>
      </c>
      <c r="Z198" s="9">
        <f>Y198*X198</f>
        <v/>
      </c>
      <c r="AA198" s="10">
        <f>IF(W198&gt;$AE$33,1,0)</f>
        <v/>
      </c>
      <c r="AB198">
        <f>IF(AA198=C198,1,0)</f>
        <v/>
      </c>
    </row>
    <row r="199">
      <c r="A199">
        <f>'1 datos preparados'!A192</f>
        <v/>
      </c>
      <c r="B199" s="5">
        <f>'1 datos preparados'!U192</f>
        <v/>
      </c>
      <c r="C199">
        <f>'1 datos preparados'!B192</f>
        <v/>
      </c>
      <c r="D199" s="7">
        <f>'1 datos preparados'!C192</f>
        <v/>
      </c>
      <c r="E199" s="7">
        <f>'1 datos preparados'!D192</f>
        <v/>
      </c>
      <c r="F199" s="7">
        <f>'1 datos preparados'!E192</f>
        <v/>
      </c>
      <c r="G199" s="7">
        <f>'1 datos preparados'!F192</f>
        <v/>
      </c>
      <c r="H199" s="7">
        <f>'1 datos preparados'!G192</f>
        <v/>
      </c>
      <c r="I199" s="7">
        <f>'1 datos preparados'!H192</f>
        <v/>
      </c>
      <c r="J199" s="7">
        <f>'1 datos preparados'!I192</f>
        <v/>
      </c>
      <c r="K199" s="7">
        <f>'1 datos preparados'!J192</f>
        <v/>
      </c>
      <c r="L199" s="7">
        <f>'1 datos preparados'!K192</f>
        <v/>
      </c>
      <c r="M199" s="7">
        <f>'1 datos preparados'!L192</f>
        <v/>
      </c>
      <c r="N199" s="7">
        <f>'1 datos preparados'!M192</f>
        <v/>
      </c>
      <c r="O199" s="7">
        <f>'1 datos preparados'!N192</f>
        <v/>
      </c>
      <c r="P199" s="7">
        <f>'1 datos preparados'!O192</f>
        <v/>
      </c>
      <c r="Q199" s="7">
        <f>'1 datos preparados'!P192</f>
        <v/>
      </c>
      <c r="R199" s="7">
        <f>'1 datos preparados'!Q192</f>
        <v/>
      </c>
      <c r="S199" s="7">
        <f>'1 datos preparados'!R192</f>
        <v/>
      </c>
      <c r="T199" s="7">
        <f>'1 datos preparados'!S192</f>
        <v/>
      </c>
      <c r="U199" s="7">
        <f>'1 datos preparados'!T192</f>
        <v/>
      </c>
      <c r="V199" s="8">
        <f>$AE$12+D199*$AE$13+E199*$AE$14+F199*$AE$15+G199*$AE$16+H199*$AE$17+I199*$AE$18+J199*$AE$19+K199*$AE$20+L199*$AE$21+M199*$AE$22+N199*$AE$23+O199*$AE$24+P199*$AE$25+Q199*$AE$26+R199*$AE$27+S199*$AE$28+T199*$AE$29+U199*$AE$30</f>
        <v/>
      </c>
      <c r="W199" s="8">
        <f>1/(1+EXP(-V199))</f>
        <v/>
      </c>
      <c r="X199" s="9">
        <f>-IF(C199=1,LN(W199),LN(1-W199))</f>
        <v/>
      </c>
      <c r="Y199" s="8">
        <f>'1 datos preparados'!V192</f>
        <v/>
      </c>
      <c r="Z199" s="9">
        <f>Y199*X199</f>
        <v/>
      </c>
      <c r="AA199" s="10">
        <f>IF(W199&gt;$AE$33,1,0)</f>
        <v/>
      </c>
      <c r="AB199">
        <f>IF(AA199=C199,1,0)</f>
        <v/>
      </c>
    </row>
    <row r="200">
      <c r="A200">
        <f>'1 datos preparados'!A193</f>
        <v/>
      </c>
      <c r="B200" s="5">
        <f>'1 datos preparados'!U193</f>
        <v/>
      </c>
      <c r="C200">
        <f>'1 datos preparados'!B193</f>
        <v/>
      </c>
      <c r="D200" s="7">
        <f>'1 datos preparados'!C193</f>
        <v/>
      </c>
      <c r="E200" s="7">
        <f>'1 datos preparados'!D193</f>
        <v/>
      </c>
      <c r="F200" s="7">
        <f>'1 datos preparados'!E193</f>
        <v/>
      </c>
      <c r="G200" s="7">
        <f>'1 datos preparados'!F193</f>
        <v/>
      </c>
      <c r="H200" s="7">
        <f>'1 datos preparados'!G193</f>
        <v/>
      </c>
      <c r="I200" s="7">
        <f>'1 datos preparados'!H193</f>
        <v/>
      </c>
      <c r="J200" s="7">
        <f>'1 datos preparados'!I193</f>
        <v/>
      </c>
      <c r="K200" s="7">
        <f>'1 datos preparados'!J193</f>
        <v/>
      </c>
      <c r="L200" s="7">
        <f>'1 datos preparados'!K193</f>
        <v/>
      </c>
      <c r="M200" s="7">
        <f>'1 datos preparados'!L193</f>
        <v/>
      </c>
      <c r="N200" s="7">
        <f>'1 datos preparados'!M193</f>
        <v/>
      </c>
      <c r="O200" s="7">
        <f>'1 datos preparados'!N193</f>
        <v/>
      </c>
      <c r="P200" s="7">
        <f>'1 datos preparados'!O193</f>
        <v/>
      </c>
      <c r="Q200" s="7">
        <f>'1 datos preparados'!P193</f>
        <v/>
      </c>
      <c r="R200" s="7">
        <f>'1 datos preparados'!Q193</f>
        <v/>
      </c>
      <c r="S200" s="7">
        <f>'1 datos preparados'!R193</f>
        <v/>
      </c>
      <c r="T200" s="7">
        <f>'1 datos preparados'!S193</f>
        <v/>
      </c>
      <c r="U200" s="7">
        <f>'1 datos preparados'!T193</f>
        <v/>
      </c>
      <c r="V200" s="8">
        <f>$AE$12+D200*$AE$13+E200*$AE$14+F200*$AE$15+G200*$AE$16+H200*$AE$17+I200*$AE$18+J200*$AE$19+K200*$AE$20+L200*$AE$21+M200*$AE$22+N200*$AE$23+O200*$AE$24+P200*$AE$25+Q200*$AE$26+R200*$AE$27+S200*$AE$28+T200*$AE$29+U200*$AE$30</f>
        <v/>
      </c>
      <c r="W200" s="8">
        <f>1/(1+EXP(-V200))</f>
        <v/>
      </c>
      <c r="X200" s="9">
        <f>-IF(C200=1,LN(W200),LN(1-W200))</f>
        <v/>
      </c>
      <c r="Y200" s="8">
        <f>'1 datos preparados'!V193</f>
        <v/>
      </c>
      <c r="Z200" s="9">
        <f>Y200*X200</f>
        <v/>
      </c>
      <c r="AA200" s="10">
        <f>IF(W200&gt;$AE$33,1,0)</f>
        <v/>
      </c>
      <c r="AB200">
        <f>IF(AA200=C200,1,0)</f>
        <v/>
      </c>
    </row>
    <row r="201">
      <c r="A201">
        <f>'1 datos preparados'!A194</f>
        <v/>
      </c>
      <c r="B201" s="5">
        <f>'1 datos preparados'!U194</f>
        <v/>
      </c>
      <c r="C201">
        <f>'1 datos preparados'!B194</f>
        <v/>
      </c>
      <c r="D201" s="7">
        <f>'1 datos preparados'!C194</f>
        <v/>
      </c>
      <c r="E201" s="7">
        <f>'1 datos preparados'!D194</f>
        <v/>
      </c>
      <c r="F201" s="7">
        <f>'1 datos preparados'!E194</f>
        <v/>
      </c>
      <c r="G201" s="7">
        <f>'1 datos preparados'!F194</f>
        <v/>
      </c>
      <c r="H201" s="7">
        <f>'1 datos preparados'!G194</f>
        <v/>
      </c>
      <c r="I201" s="7">
        <f>'1 datos preparados'!H194</f>
        <v/>
      </c>
      <c r="J201" s="7">
        <f>'1 datos preparados'!I194</f>
        <v/>
      </c>
      <c r="K201" s="7">
        <f>'1 datos preparados'!J194</f>
        <v/>
      </c>
      <c r="L201" s="7">
        <f>'1 datos preparados'!K194</f>
        <v/>
      </c>
      <c r="M201" s="7">
        <f>'1 datos preparados'!L194</f>
        <v/>
      </c>
      <c r="N201" s="7">
        <f>'1 datos preparados'!M194</f>
        <v/>
      </c>
      <c r="O201" s="7">
        <f>'1 datos preparados'!N194</f>
        <v/>
      </c>
      <c r="P201" s="7">
        <f>'1 datos preparados'!O194</f>
        <v/>
      </c>
      <c r="Q201" s="7">
        <f>'1 datos preparados'!P194</f>
        <v/>
      </c>
      <c r="R201" s="7">
        <f>'1 datos preparados'!Q194</f>
        <v/>
      </c>
      <c r="S201" s="7">
        <f>'1 datos preparados'!R194</f>
        <v/>
      </c>
      <c r="T201" s="7">
        <f>'1 datos preparados'!S194</f>
        <v/>
      </c>
      <c r="U201" s="7">
        <f>'1 datos preparados'!T194</f>
        <v/>
      </c>
      <c r="V201" s="8">
        <f>$AE$12+D201*$AE$13+E201*$AE$14+F201*$AE$15+G201*$AE$16+H201*$AE$17+I201*$AE$18+J201*$AE$19+K201*$AE$20+L201*$AE$21+M201*$AE$22+N201*$AE$23+O201*$AE$24+P201*$AE$25+Q201*$AE$26+R201*$AE$27+S201*$AE$28+T201*$AE$29+U201*$AE$30</f>
        <v/>
      </c>
      <c r="W201" s="8">
        <f>1/(1+EXP(-V201))</f>
        <v/>
      </c>
      <c r="X201" s="9">
        <f>-IF(C201=1,LN(W201),LN(1-W201))</f>
        <v/>
      </c>
      <c r="Y201" s="8">
        <f>'1 datos preparados'!V194</f>
        <v/>
      </c>
      <c r="Z201" s="9">
        <f>Y201*X201</f>
        <v/>
      </c>
      <c r="AA201" s="10">
        <f>IF(W201&gt;$AE$33,1,0)</f>
        <v/>
      </c>
      <c r="AB201">
        <f>IF(AA201=C201,1,0)</f>
        <v/>
      </c>
    </row>
    <row r="202">
      <c r="A202">
        <f>'1 datos preparados'!A195</f>
        <v/>
      </c>
      <c r="B202" s="5">
        <f>'1 datos preparados'!U195</f>
        <v/>
      </c>
      <c r="C202">
        <f>'1 datos preparados'!B195</f>
        <v/>
      </c>
      <c r="D202" s="7">
        <f>'1 datos preparados'!C195</f>
        <v/>
      </c>
      <c r="E202" s="7">
        <f>'1 datos preparados'!D195</f>
        <v/>
      </c>
      <c r="F202" s="7">
        <f>'1 datos preparados'!E195</f>
        <v/>
      </c>
      <c r="G202" s="7">
        <f>'1 datos preparados'!F195</f>
        <v/>
      </c>
      <c r="H202" s="7">
        <f>'1 datos preparados'!G195</f>
        <v/>
      </c>
      <c r="I202" s="7">
        <f>'1 datos preparados'!H195</f>
        <v/>
      </c>
      <c r="J202" s="7">
        <f>'1 datos preparados'!I195</f>
        <v/>
      </c>
      <c r="K202" s="7">
        <f>'1 datos preparados'!J195</f>
        <v/>
      </c>
      <c r="L202" s="7">
        <f>'1 datos preparados'!K195</f>
        <v/>
      </c>
      <c r="M202" s="7">
        <f>'1 datos preparados'!L195</f>
        <v/>
      </c>
      <c r="N202" s="7">
        <f>'1 datos preparados'!M195</f>
        <v/>
      </c>
      <c r="O202" s="7">
        <f>'1 datos preparados'!N195</f>
        <v/>
      </c>
      <c r="P202" s="7">
        <f>'1 datos preparados'!O195</f>
        <v/>
      </c>
      <c r="Q202" s="7">
        <f>'1 datos preparados'!P195</f>
        <v/>
      </c>
      <c r="R202" s="7">
        <f>'1 datos preparados'!Q195</f>
        <v/>
      </c>
      <c r="S202" s="7">
        <f>'1 datos preparados'!R195</f>
        <v/>
      </c>
      <c r="T202" s="7">
        <f>'1 datos preparados'!S195</f>
        <v/>
      </c>
      <c r="U202" s="7">
        <f>'1 datos preparados'!T195</f>
        <v/>
      </c>
      <c r="V202" s="8">
        <f>$AE$12+D202*$AE$13+E202*$AE$14+F202*$AE$15+G202*$AE$16+H202*$AE$17+I202*$AE$18+J202*$AE$19+K202*$AE$20+L202*$AE$21+M202*$AE$22+N202*$AE$23+O202*$AE$24+P202*$AE$25+Q202*$AE$26+R202*$AE$27+S202*$AE$28+T202*$AE$29+U202*$AE$30</f>
        <v/>
      </c>
      <c r="W202" s="8">
        <f>1/(1+EXP(-V202))</f>
        <v/>
      </c>
      <c r="X202" s="9">
        <f>-IF(C202=1,LN(W202),LN(1-W202))</f>
        <v/>
      </c>
      <c r="Y202" s="8">
        <f>'1 datos preparados'!V195</f>
        <v/>
      </c>
      <c r="Z202" s="9">
        <f>Y202*X202</f>
        <v/>
      </c>
      <c r="AA202" s="10">
        <f>IF(W202&gt;$AE$33,1,0)</f>
        <v/>
      </c>
      <c r="AB202">
        <f>IF(AA202=C202,1,0)</f>
        <v/>
      </c>
    </row>
    <row r="203">
      <c r="A203">
        <f>'1 datos preparados'!A196</f>
        <v/>
      </c>
      <c r="B203" s="5">
        <f>'1 datos preparados'!U196</f>
        <v/>
      </c>
      <c r="C203">
        <f>'1 datos preparados'!B196</f>
        <v/>
      </c>
      <c r="D203" s="7">
        <f>'1 datos preparados'!C196</f>
        <v/>
      </c>
      <c r="E203" s="7">
        <f>'1 datos preparados'!D196</f>
        <v/>
      </c>
      <c r="F203" s="7">
        <f>'1 datos preparados'!E196</f>
        <v/>
      </c>
      <c r="G203" s="7">
        <f>'1 datos preparados'!F196</f>
        <v/>
      </c>
      <c r="H203" s="7">
        <f>'1 datos preparados'!G196</f>
        <v/>
      </c>
      <c r="I203" s="7">
        <f>'1 datos preparados'!H196</f>
        <v/>
      </c>
      <c r="J203" s="7">
        <f>'1 datos preparados'!I196</f>
        <v/>
      </c>
      <c r="K203" s="7">
        <f>'1 datos preparados'!J196</f>
        <v/>
      </c>
      <c r="L203" s="7">
        <f>'1 datos preparados'!K196</f>
        <v/>
      </c>
      <c r="M203" s="7">
        <f>'1 datos preparados'!L196</f>
        <v/>
      </c>
      <c r="N203" s="7">
        <f>'1 datos preparados'!M196</f>
        <v/>
      </c>
      <c r="O203" s="7">
        <f>'1 datos preparados'!N196</f>
        <v/>
      </c>
      <c r="P203" s="7">
        <f>'1 datos preparados'!O196</f>
        <v/>
      </c>
      <c r="Q203" s="7">
        <f>'1 datos preparados'!P196</f>
        <v/>
      </c>
      <c r="R203" s="7">
        <f>'1 datos preparados'!Q196</f>
        <v/>
      </c>
      <c r="S203" s="7">
        <f>'1 datos preparados'!R196</f>
        <v/>
      </c>
      <c r="T203" s="7">
        <f>'1 datos preparados'!S196</f>
        <v/>
      </c>
      <c r="U203" s="7">
        <f>'1 datos preparados'!T196</f>
        <v/>
      </c>
      <c r="V203" s="8">
        <f>$AE$12+D203*$AE$13+E203*$AE$14+F203*$AE$15+G203*$AE$16+H203*$AE$17+I203*$AE$18+J203*$AE$19+K203*$AE$20+L203*$AE$21+M203*$AE$22+N203*$AE$23+O203*$AE$24+P203*$AE$25+Q203*$AE$26+R203*$AE$27+S203*$AE$28+T203*$AE$29+U203*$AE$30</f>
        <v/>
      </c>
      <c r="W203" s="8">
        <f>1/(1+EXP(-V203))</f>
        <v/>
      </c>
      <c r="X203" s="9">
        <f>-IF(C203=1,LN(W203),LN(1-W203))</f>
        <v/>
      </c>
      <c r="Y203" s="8">
        <f>'1 datos preparados'!V196</f>
        <v/>
      </c>
      <c r="Z203" s="9">
        <f>Y203*X203</f>
        <v/>
      </c>
      <c r="AA203" s="10">
        <f>IF(W203&gt;$AE$33,1,0)</f>
        <v/>
      </c>
      <c r="AB203">
        <f>IF(AA203=C203,1,0)</f>
        <v/>
      </c>
    </row>
    <row r="204">
      <c r="A204">
        <f>'1 datos preparados'!A197</f>
        <v/>
      </c>
      <c r="B204" s="5">
        <f>'1 datos preparados'!U197</f>
        <v/>
      </c>
      <c r="C204">
        <f>'1 datos preparados'!B197</f>
        <v/>
      </c>
      <c r="D204" s="7">
        <f>'1 datos preparados'!C197</f>
        <v/>
      </c>
      <c r="E204" s="7">
        <f>'1 datos preparados'!D197</f>
        <v/>
      </c>
      <c r="F204" s="7">
        <f>'1 datos preparados'!E197</f>
        <v/>
      </c>
      <c r="G204" s="7">
        <f>'1 datos preparados'!F197</f>
        <v/>
      </c>
      <c r="H204" s="7">
        <f>'1 datos preparados'!G197</f>
        <v/>
      </c>
      <c r="I204" s="7">
        <f>'1 datos preparados'!H197</f>
        <v/>
      </c>
      <c r="J204" s="7">
        <f>'1 datos preparados'!I197</f>
        <v/>
      </c>
      <c r="K204" s="7">
        <f>'1 datos preparados'!J197</f>
        <v/>
      </c>
      <c r="L204" s="7">
        <f>'1 datos preparados'!K197</f>
        <v/>
      </c>
      <c r="M204" s="7">
        <f>'1 datos preparados'!L197</f>
        <v/>
      </c>
      <c r="N204" s="7">
        <f>'1 datos preparados'!M197</f>
        <v/>
      </c>
      <c r="O204" s="7">
        <f>'1 datos preparados'!N197</f>
        <v/>
      </c>
      <c r="P204" s="7">
        <f>'1 datos preparados'!O197</f>
        <v/>
      </c>
      <c r="Q204" s="7">
        <f>'1 datos preparados'!P197</f>
        <v/>
      </c>
      <c r="R204" s="7">
        <f>'1 datos preparados'!Q197</f>
        <v/>
      </c>
      <c r="S204" s="7">
        <f>'1 datos preparados'!R197</f>
        <v/>
      </c>
      <c r="T204" s="7">
        <f>'1 datos preparados'!S197</f>
        <v/>
      </c>
      <c r="U204" s="7">
        <f>'1 datos preparados'!T197</f>
        <v/>
      </c>
      <c r="V204" s="8">
        <f>$AE$12+D204*$AE$13+E204*$AE$14+F204*$AE$15+G204*$AE$16+H204*$AE$17+I204*$AE$18+J204*$AE$19+K204*$AE$20+L204*$AE$21+M204*$AE$22+N204*$AE$23+O204*$AE$24+P204*$AE$25+Q204*$AE$26+R204*$AE$27+S204*$AE$28+T204*$AE$29+U204*$AE$30</f>
        <v/>
      </c>
      <c r="W204" s="8">
        <f>1/(1+EXP(-V204))</f>
        <v/>
      </c>
      <c r="X204" s="9">
        <f>-IF(C204=1,LN(W204),LN(1-W204))</f>
        <v/>
      </c>
      <c r="Y204" s="8">
        <f>'1 datos preparados'!V197</f>
        <v/>
      </c>
      <c r="Z204" s="9">
        <f>Y204*X204</f>
        <v/>
      </c>
      <c r="AA204" s="10">
        <f>IF(W204&gt;$AE$33,1,0)</f>
        <v/>
      </c>
      <c r="AB204">
        <f>IF(AA204=C204,1,0)</f>
        <v/>
      </c>
    </row>
    <row r="205">
      <c r="A205">
        <f>'1 datos preparados'!A198</f>
        <v/>
      </c>
      <c r="B205" s="5">
        <f>'1 datos preparados'!U198</f>
        <v/>
      </c>
      <c r="C205">
        <f>'1 datos preparados'!B198</f>
        <v/>
      </c>
      <c r="D205" s="7">
        <f>'1 datos preparados'!C198</f>
        <v/>
      </c>
      <c r="E205" s="7">
        <f>'1 datos preparados'!D198</f>
        <v/>
      </c>
      <c r="F205" s="7">
        <f>'1 datos preparados'!E198</f>
        <v/>
      </c>
      <c r="G205" s="7">
        <f>'1 datos preparados'!F198</f>
        <v/>
      </c>
      <c r="H205" s="7">
        <f>'1 datos preparados'!G198</f>
        <v/>
      </c>
      <c r="I205" s="7">
        <f>'1 datos preparados'!H198</f>
        <v/>
      </c>
      <c r="J205" s="7">
        <f>'1 datos preparados'!I198</f>
        <v/>
      </c>
      <c r="K205" s="7">
        <f>'1 datos preparados'!J198</f>
        <v/>
      </c>
      <c r="L205" s="7">
        <f>'1 datos preparados'!K198</f>
        <v/>
      </c>
      <c r="M205" s="7">
        <f>'1 datos preparados'!L198</f>
        <v/>
      </c>
      <c r="N205" s="7">
        <f>'1 datos preparados'!M198</f>
        <v/>
      </c>
      <c r="O205" s="7">
        <f>'1 datos preparados'!N198</f>
        <v/>
      </c>
      <c r="P205" s="7">
        <f>'1 datos preparados'!O198</f>
        <v/>
      </c>
      <c r="Q205" s="7">
        <f>'1 datos preparados'!P198</f>
        <v/>
      </c>
      <c r="R205" s="7">
        <f>'1 datos preparados'!Q198</f>
        <v/>
      </c>
      <c r="S205" s="7">
        <f>'1 datos preparados'!R198</f>
        <v/>
      </c>
      <c r="T205" s="7">
        <f>'1 datos preparados'!S198</f>
        <v/>
      </c>
      <c r="U205" s="7">
        <f>'1 datos preparados'!T198</f>
        <v/>
      </c>
      <c r="V205" s="8">
        <f>$AE$12+D205*$AE$13+E205*$AE$14+F205*$AE$15+G205*$AE$16+H205*$AE$17+I205*$AE$18+J205*$AE$19+K205*$AE$20+L205*$AE$21+M205*$AE$22+N205*$AE$23+O205*$AE$24+P205*$AE$25+Q205*$AE$26+R205*$AE$27+S205*$AE$28+T205*$AE$29+U205*$AE$30</f>
        <v/>
      </c>
      <c r="W205" s="8">
        <f>1/(1+EXP(-V205))</f>
        <v/>
      </c>
      <c r="X205" s="9">
        <f>-IF(C205=1,LN(W205),LN(1-W205))</f>
        <v/>
      </c>
      <c r="Y205" s="8">
        <f>'1 datos preparados'!V198</f>
        <v/>
      </c>
      <c r="Z205" s="9">
        <f>Y205*X205</f>
        <v/>
      </c>
      <c r="AA205" s="10">
        <f>IF(W205&gt;$AE$33,1,0)</f>
        <v/>
      </c>
      <c r="AB205">
        <f>IF(AA205=C205,1,0)</f>
        <v/>
      </c>
    </row>
    <row r="206">
      <c r="A206">
        <f>'1 datos preparados'!A199</f>
        <v/>
      </c>
      <c r="B206" s="5">
        <f>'1 datos preparados'!U199</f>
        <v/>
      </c>
      <c r="C206">
        <f>'1 datos preparados'!B199</f>
        <v/>
      </c>
      <c r="D206" s="7">
        <f>'1 datos preparados'!C199</f>
        <v/>
      </c>
      <c r="E206" s="7">
        <f>'1 datos preparados'!D199</f>
        <v/>
      </c>
      <c r="F206" s="7">
        <f>'1 datos preparados'!E199</f>
        <v/>
      </c>
      <c r="G206" s="7">
        <f>'1 datos preparados'!F199</f>
        <v/>
      </c>
      <c r="H206" s="7">
        <f>'1 datos preparados'!G199</f>
        <v/>
      </c>
      <c r="I206" s="7">
        <f>'1 datos preparados'!H199</f>
        <v/>
      </c>
      <c r="J206" s="7">
        <f>'1 datos preparados'!I199</f>
        <v/>
      </c>
      <c r="K206" s="7">
        <f>'1 datos preparados'!J199</f>
        <v/>
      </c>
      <c r="L206" s="7">
        <f>'1 datos preparados'!K199</f>
        <v/>
      </c>
      <c r="M206" s="7">
        <f>'1 datos preparados'!L199</f>
        <v/>
      </c>
      <c r="N206" s="7">
        <f>'1 datos preparados'!M199</f>
        <v/>
      </c>
      <c r="O206" s="7">
        <f>'1 datos preparados'!N199</f>
        <v/>
      </c>
      <c r="P206" s="7">
        <f>'1 datos preparados'!O199</f>
        <v/>
      </c>
      <c r="Q206" s="7">
        <f>'1 datos preparados'!P199</f>
        <v/>
      </c>
      <c r="R206" s="7">
        <f>'1 datos preparados'!Q199</f>
        <v/>
      </c>
      <c r="S206" s="7">
        <f>'1 datos preparados'!R199</f>
        <v/>
      </c>
      <c r="T206" s="7">
        <f>'1 datos preparados'!S199</f>
        <v/>
      </c>
      <c r="U206" s="7">
        <f>'1 datos preparados'!T199</f>
        <v/>
      </c>
      <c r="V206" s="8">
        <f>$AE$12+D206*$AE$13+E206*$AE$14+F206*$AE$15+G206*$AE$16+H206*$AE$17+I206*$AE$18+J206*$AE$19+K206*$AE$20+L206*$AE$21+M206*$AE$22+N206*$AE$23+O206*$AE$24+P206*$AE$25+Q206*$AE$26+R206*$AE$27+S206*$AE$28+T206*$AE$29+U206*$AE$30</f>
        <v/>
      </c>
      <c r="W206" s="8">
        <f>1/(1+EXP(-V206))</f>
        <v/>
      </c>
      <c r="X206" s="9">
        <f>-IF(C206=1,LN(W206),LN(1-W206))</f>
        <v/>
      </c>
      <c r="Y206" s="8">
        <f>'1 datos preparados'!V199</f>
        <v/>
      </c>
      <c r="Z206" s="9">
        <f>Y206*X206</f>
        <v/>
      </c>
      <c r="AA206" s="10">
        <f>IF(W206&gt;$AE$33,1,0)</f>
        <v/>
      </c>
      <c r="AB206">
        <f>IF(AA206=C206,1,0)</f>
        <v/>
      </c>
    </row>
    <row r="207">
      <c r="A207">
        <f>'1 datos preparados'!A200</f>
        <v/>
      </c>
      <c r="B207" s="5">
        <f>'1 datos preparados'!U200</f>
        <v/>
      </c>
      <c r="C207">
        <f>'1 datos preparados'!B200</f>
        <v/>
      </c>
      <c r="D207" s="7">
        <f>'1 datos preparados'!C200</f>
        <v/>
      </c>
      <c r="E207" s="7">
        <f>'1 datos preparados'!D200</f>
        <v/>
      </c>
      <c r="F207" s="7">
        <f>'1 datos preparados'!E200</f>
        <v/>
      </c>
      <c r="G207" s="7">
        <f>'1 datos preparados'!F200</f>
        <v/>
      </c>
      <c r="H207" s="7">
        <f>'1 datos preparados'!G200</f>
        <v/>
      </c>
      <c r="I207" s="7">
        <f>'1 datos preparados'!H200</f>
        <v/>
      </c>
      <c r="J207" s="7">
        <f>'1 datos preparados'!I200</f>
        <v/>
      </c>
      <c r="K207" s="7">
        <f>'1 datos preparados'!J200</f>
        <v/>
      </c>
      <c r="L207" s="7">
        <f>'1 datos preparados'!K200</f>
        <v/>
      </c>
      <c r="M207" s="7">
        <f>'1 datos preparados'!L200</f>
        <v/>
      </c>
      <c r="N207" s="7">
        <f>'1 datos preparados'!M200</f>
        <v/>
      </c>
      <c r="O207" s="7">
        <f>'1 datos preparados'!N200</f>
        <v/>
      </c>
      <c r="P207" s="7">
        <f>'1 datos preparados'!O200</f>
        <v/>
      </c>
      <c r="Q207" s="7">
        <f>'1 datos preparados'!P200</f>
        <v/>
      </c>
      <c r="R207" s="7">
        <f>'1 datos preparados'!Q200</f>
        <v/>
      </c>
      <c r="S207" s="7">
        <f>'1 datos preparados'!R200</f>
        <v/>
      </c>
      <c r="T207" s="7">
        <f>'1 datos preparados'!S200</f>
        <v/>
      </c>
      <c r="U207" s="7">
        <f>'1 datos preparados'!T200</f>
        <v/>
      </c>
      <c r="V207" s="8">
        <f>$AE$12+D207*$AE$13+E207*$AE$14+F207*$AE$15+G207*$AE$16+H207*$AE$17+I207*$AE$18+J207*$AE$19+K207*$AE$20+L207*$AE$21+M207*$AE$22+N207*$AE$23+O207*$AE$24+P207*$AE$25+Q207*$AE$26+R207*$AE$27+S207*$AE$28+T207*$AE$29+U207*$AE$30</f>
        <v/>
      </c>
      <c r="W207" s="8">
        <f>1/(1+EXP(-V207))</f>
        <v/>
      </c>
      <c r="X207" s="9">
        <f>-IF(C207=1,LN(W207),LN(1-W207))</f>
        <v/>
      </c>
      <c r="Y207" s="8">
        <f>'1 datos preparados'!V200</f>
        <v/>
      </c>
      <c r="Z207" s="9">
        <f>Y207*X207</f>
        <v/>
      </c>
      <c r="AA207" s="10">
        <f>IF(W207&gt;$AE$33,1,0)</f>
        <v/>
      </c>
      <c r="AB207">
        <f>IF(AA207=C207,1,0)</f>
        <v/>
      </c>
    </row>
    <row r="208">
      <c r="A208">
        <f>'1 datos preparados'!A201</f>
        <v/>
      </c>
      <c r="B208" s="5">
        <f>'1 datos preparados'!U201</f>
        <v/>
      </c>
      <c r="C208">
        <f>'1 datos preparados'!B201</f>
        <v/>
      </c>
      <c r="D208" s="7">
        <f>'1 datos preparados'!C201</f>
        <v/>
      </c>
      <c r="E208" s="7">
        <f>'1 datos preparados'!D201</f>
        <v/>
      </c>
      <c r="F208" s="7">
        <f>'1 datos preparados'!E201</f>
        <v/>
      </c>
      <c r="G208" s="7">
        <f>'1 datos preparados'!F201</f>
        <v/>
      </c>
      <c r="H208" s="7">
        <f>'1 datos preparados'!G201</f>
        <v/>
      </c>
      <c r="I208" s="7">
        <f>'1 datos preparados'!H201</f>
        <v/>
      </c>
      <c r="J208" s="7">
        <f>'1 datos preparados'!I201</f>
        <v/>
      </c>
      <c r="K208" s="7">
        <f>'1 datos preparados'!J201</f>
        <v/>
      </c>
      <c r="L208" s="7">
        <f>'1 datos preparados'!K201</f>
        <v/>
      </c>
      <c r="M208" s="7">
        <f>'1 datos preparados'!L201</f>
        <v/>
      </c>
      <c r="N208" s="7">
        <f>'1 datos preparados'!M201</f>
        <v/>
      </c>
      <c r="O208" s="7">
        <f>'1 datos preparados'!N201</f>
        <v/>
      </c>
      <c r="P208" s="7">
        <f>'1 datos preparados'!O201</f>
        <v/>
      </c>
      <c r="Q208" s="7">
        <f>'1 datos preparados'!P201</f>
        <v/>
      </c>
      <c r="R208" s="7">
        <f>'1 datos preparados'!Q201</f>
        <v/>
      </c>
      <c r="S208" s="7">
        <f>'1 datos preparados'!R201</f>
        <v/>
      </c>
      <c r="T208" s="7">
        <f>'1 datos preparados'!S201</f>
        <v/>
      </c>
      <c r="U208" s="7">
        <f>'1 datos preparados'!T201</f>
        <v/>
      </c>
      <c r="V208" s="8">
        <f>$AE$12+D208*$AE$13+E208*$AE$14+F208*$AE$15+G208*$AE$16+H208*$AE$17+I208*$AE$18+J208*$AE$19+K208*$AE$20+L208*$AE$21+M208*$AE$22+N208*$AE$23+O208*$AE$24+P208*$AE$25+Q208*$AE$26+R208*$AE$27+S208*$AE$28+T208*$AE$29+U208*$AE$30</f>
        <v/>
      </c>
      <c r="W208" s="8">
        <f>1/(1+EXP(-V208))</f>
        <v/>
      </c>
      <c r="X208" s="9">
        <f>-IF(C208=1,LN(W208),LN(1-W208))</f>
        <v/>
      </c>
      <c r="Y208" s="8">
        <f>'1 datos preparados'!V201</f>
        <v/>
      </c>
      <c r="Z208" s="9">
        <f>Y208*X208</f>
        <v/>
      </c>
      <c r="AA208" s="10">
        <f>IF(W208&gt;$AE$33,1,0)</f>
        <v/>
      </c>
      <c r="AB208">
        <f>IF(AA208=C208,1,0)</f>
        <v/>
      </c>
    </row>
    <row r="209">
      <c r="A209">
        <f>'1 datos preparados'!A202</f>
        <v/>
      </c>
      <c r="B209" s="5">
        <f>'1 datos preparados'!U202</f>
        <v/>
      </c>
      <c r="C209">
        <f>'1 datos preparados'!B202</f>
        <v/>
      </c>
      <c r="D209" s="7">
        <f>'1 datos preparados'!C202</f>
        <v/>
      </c>
      <c r="E209" s="7">
        <f>'1 datos preparados'!D202</f>
        <v/>
      </c>
      <c r="F209" s="7">
        <f>'1 datos preparados'!E202</f>
        <v/>
      </c>
      <c r="G209" s="7">
        <f>'1 datos preparados'!F202</f>
        <v/>
      </c>
      <c r="H209" s="7">
        <f>'1 datos preparados'!G202</f>
        <v/>
      </c>
      <c r="I209" s="7">
        <f>'1 datos preparados'!H202</f>
        <v/>
      </c>
      <c r="J209" s="7">
        <f>'1 datos preparados'!I202</f>
        <v/>
      </c>
      <c r="K209" s="7">
        <f>'1 datos preparados'!J202</f>
        <v/>
      </c>
      <c r="L209" s="7">
        <f>'1 datos preparados'!K202</f>
        <v/>
      </c>
      <c r="M209" s="7">
        <f>'1 datos preparados'!L202</f>
        <v/>
      </c>
      <c r="N209" s="7">
        <f>'1 datos preparados'!M202</f>
        <v/>
      </c>
      <c r="O209" s="7">
        <f>'1 datos preparados'!N202</f>
        <v/>
      </c>
      <c r="P209" s="7">
        <f>'1 datos preparados'!O202</f>
        <v/>
      </c>
      <c r="Q209" s="7">
        <f>'1 datos preparados'!P202</f>
        <v/>
      </c>
      <c r="R209" s="7">
        <f>'1 datos preparados'!Q202</f>
        <v/>
      </c>
      <c r="S209" s="7">
        <f>'1 datos preparados'!R202</f>
        <v/>
      </c>
      <c r="T209" s="7">
        <f>'1 datos preparados'!S202</f>
        <v/>
      </c>
      <c r="U209" s="7">
        <f>'1 datos preparados'!T202</f>
        <v/>
      </c>
      <c r="V209" s="8">
        <f>$AE$12+D209*$AE$13+E209*$AE$14+F209*$AE$15+G209*$AE$16+H209*$AE$17+I209*$AE$18+J209*$AE$19+K209*$AE$20+L209*$AE$21+M209*$AE$22+N209*$AE$23+O209*$AE$24+P209*$AE$25+Q209*$AE$26+R209*$AE$27+S209*$AE$28+T209*$AE$29+U209*$AE$30</f>
        <v/>
      </c>
      <c r="W209" s="8">
        <f>1/(1+EXP(-V209))</f>
        <v/>
      </c>
      <c r="X209" s="9">
        <f>-IF(C209=1,LN(W209),LN(1-W209))</f>
        <v/>
      </c>
      <c r="Y209" s="8">
        <f>'1 datos preparados'!V202</f>
        <v/>
      </c>
      <c r="Z209" s="9">
        <f>Y209*X209</f>
        <v/>
      </c>
      <c r="AA209" s="10">
        <f>IF(W209&gt;$AE$33,1,0)</f>
        <v/>
      </c>
      <c r="AB209">
        <f>IF(AA209=C209,1,0)</f>
        <v/>
      </c>
    </row>
    <row r="210">
      <c r="A210">
        <f>'1 datos preparados'!A203</f>
        <v/>
      </c>
      <c r="B210" s="5">
        <f>'1 datos preparados'!U203</f>
        <v/>
      </c>
      <c r="C210">
        <f>'1 datos preparados'!B203</f>
        <v/>
      </c>
      <c r="D210" s="7">
        <f>'1 datos preparados'!C203</f>
        <v/>
      </c>
      <c r="E210" s="7">
        <f>'1 datos preparados'!D203</f>
        <v/>
      </c>
      <c r="F210" s="7">
        <f>'1 datos preparados'!E203</f>
        <v/>
      </c>
      <c r="G210" s="7">
        <f>'1 datos preparados'!F203</f>
        <v/>
      </c>
      <c r="H210" s="7">
        <f>'1 datos preparados'!G203</f>
        <v/>
      </c>
      <c r="I210" s="7">
        <f>'1 datos preparados'!H203</f>
        <v/>
      </c>
      <c r="J210" s="7">
        <f>'1 datos preparados'!I203</f>
        <v/>
      </c>
      <c r="K210" s="7">
        <f>'1 datos preparados'!J203</f>
        <v/>
      </c>
      <c r="L210" s="7">
        <f>'1 datos preparados'!K203</f>
        <v/>
      </c>
      <c r="M210" s="7">
        <f>'1 datos preparados'!L203</f>
        <v/>
      </c>
      <c r="N210" s="7">
        <f>'1 datos preparados'!M203</f>
        <v/>
      </c>
      <c r="O210" s="7">
        <f>'1 datos preparados'!N203</f>
        <v/>
      </c>
      <c r="P210" s="7">
        <f>'1 datos preparados'!O203</f>
        <v/>
      </c>
      <c r="Q210" s="7">
        <f>'1 datos preparados'!P203</f>
        <v/>
      </c>
      <c r="R210" s="7">
        <f>'1 datos preparados'!Q203</f>
        <v/>
      </c>
      <c r="S210" s="7">
        <f>'1 datos preparados'!R203</f>
        <v/>
      </c>
      <c r="T210" s="7">
        <f>'1 datos preparados'!S203</f>
        <v/>
      </c>
      <c r="U210" s="7">
        <f>'1 datos preparados'!T203</f>
        <v/>
      </c>
      <c r="V210" s="8">
        <f>$AE$12+D210*$AE$13+E210*$AE$14+F210*$AE$15+G210*$AE$16+H210*$AE$17+I210*$AE$18+J210*$AE$19+K210*$AE$20+L210*$AE$21+M210*$AE$22+N210*$AE$23+O210*$AE$24+P210*$AE$25+Q210*$AE$26+R210*$AE$27+S210*$AE$28+T210*$AE$29+U210*$AE$30</f>
        <v/>
      </c>
      <c r="W210" s="8">
        <f>1/(1+EXP(-V210))</f>
        <v/>
      </c>
      <c r="X210" s="9">
        <f>-IF(C210=1,LN(W210),LN(1-W210))</f>
        <v/>
      </c>
      <c r="Y210" s="8">
        <f>'1 datos preparados'!V203</f>
        <v/>
      </c>
      <c r="Z210" s="9">
        <f>Y210*X210</f>
        <v/>
      </c>
      <c r="AA210" s="10">
        <f>IF(W210&gt;$AE$33,1,0)</f>
        <v/>
      </c>
      <c r="AB210">
        <f>IF(AA210=C210,1,0)</f>
        <v/>
      </c>
    </row>
    <row r="211">
      <c r="A211">
        <f>'1 datos preparados'!A204</f>
        <v/>
      </c>
      <c r="B211" s="5">
        <f>'1 datos preparados'!U204</f>
        <v/>
      </c>
      <c r="C211">
        <f>'1 datos preparados'!B204</f>
        <v/>
      </c>
      <c r="D211" s="7">
        <f>'1 datos preparados'!C204</f>
        <v/>
      </c>
      <c r="E211" s="7">
        <f>'1 datos preparados'!D204</f>
        <v/>
      </c>
      <c r="F211" s="7">
        <f>'1 datos preparados'!E204</f>
        <v/>
      </c>
      <c r="G211" s="7">
        <f>'1 datos preparados'!F204</f>
        <v/>
      </c>
      <c r="H211" s="7">
        <f>'1 datos preparados'!G204</f>
        <v/>
      </c>
      <c r="I211" s="7">
        <f>'1 datos preparados'!H204</f>
        <v/>
      </c>
      <c r="J211" s="7">
        <f>'1 datos preparados'!I204</f>
        <v/>
      </c>
      <c r="K211" s="7">
        <f>'1 datos preparados'!J204</f>
        <v/>
      </c>
      <c r="L211" s="7">
        <f>'1 datos preparados'!K204</f>
        <v/>
      </c>
      <c r="M211" s="7">
        <f>'1 datos preparados'!L204</f>
        <v/>
      </c>
      <c r="N211" s="7">
        <f>'1 datos preparados'!M204</f>
        <v/>
      </c>
      <c r="O211" s="7">
        <f>'1 datos preparados'!N204</f>
        <v/>
      </c>
      <c r="P211" s="7">
        <f>'1 datos preparados'!O204</f>
        <v/>
      </c>
      <c r="Q211" s="7">
        <f>'1 datos preparados'!P204</f>
        <v/>
      </c>
      <c r="R211" s="7">
        <f>'1 datos preparados'!Q204</f>
        <v/>
      </c>
      <c r="S211" s="7">
        <f>'1 datos preparados'!R204</f>
        <v/>
      </c>
      <c r="T211" s="7">
        <f>'1 datos preparados'!S204</f>
        <v/>
      </c>
      <c r="U211" s="7">
        <f>'1 datos preparados'!T204</f>
        <v/>
      </c>
      <c r="V211" s="8">
        <f>$AE$12+D211*$AE$13+E211*$AE$14+F211*$AE$15+G211*$AE$16+H211*$AE$17+I211*$AE$18+J211*$AE$19+K211*$AE$20+L211*$AE$21+M211*$AE$22+N211*$AE$23+O211*$AE$24+P211*$AE$25+Q211*$AE$26+R211*$AE$27+S211*$AE$28+T211*$AE$29+U211*$AE$30</f>
        <v/>
      </c>
      <c r="W211" s="8">
        <f>1/(1+EXP(-V211))</f>
        <v/>
      </c>
      <c r="X211" s="9">
        <f>-IF(C211=1,LN(W211),LN(1-W211))</f>
        <v/>
      </c>
      <c r="Y211" s="8">
        <f>'1 datos preparados'!V204</f>
        <v/>
      </c>
      <c r="Z211" s="9">
        <f>Y211*X211</f>
        <v/>
      </c>
      <c r="AA211" s="10">
        <f>IF(W211&gt;$AE$33,1,0)</f>
        <v/>
      </c>
      <c r="AB211">
        <f>IF(AA211=C211,1,0)</f>
        <v/>
      </c>
    </row>
    <row r="212">
      <c r="A212">
        <f>'1 datos preparados'!A205</f>
        <v/>
      </c>
      <c r="B212" s="5">
        <f>'1 datos preparados'!U205</f>
        <v/>
      </c>
      <c r="C212">
        <f>'1 datos preparados'!B205</f>
        <v/>
      </c>
      <c r="D212" s="7">
        <f>'1 datos preparados'!C205</f>
        <v/>
      </c>
      <c r="E212" s="7">
        <f>'1 datos preparados'!D205</f>
        <v/>
      </c>
      <c r="F212" s="7">
        <f>'1 datos preparados'!E205</f>
        <v/>
      </c>
      <c r="G212" s="7">
        <f>'1 datos preparados'!F205</f>
        <v/>
      </c>
      <c r="H212" s="7">
        <f>'1 datos preparados'!G205</f>
        <v/>
      </c>
      <c r="I212" s="7">
        <f>'1 datos preparados'!H205</f>
        <v/>
      </c>
      <c r="J212" s="7">
        <f>'1 datos preparados'!I205</f>
        <v/>
      </c>
      <c r="K212" s="7">
        <f>'1 datos preparados'!J205</f>
        <v/>
      </c>
      <c r="L212" s="7">
        <f>'1 datos preparados'!K205</f>
        <v/>
      </c>
      <c r="M212" s="7">
        <f>'1 datos preparados'!L205</f>
        <v/>
      </c>
      <c r="N212" s="7">
        <f>'1 datos preparados'!M205</f>
        <v/>
      </c>
      <c r="O212" s="7">
        <f>'1 datos preparados'!N205</f>
        <v/>
      </c>
      <c r="P212" s="7">
        <f>'1 datos preparados'!O205</f>
        <v/>
      </c>
      <c r="Q212" s="7">
        <f>'1 datos preparados'!P205</f>
        <v/>
      </c>
      <c r="R212" s="7">
        <f>'1 datos preparados'!Q205</f>
        <v/>
      </c>
      <c r="S212" s="7">
        <f>'1 datos preparados'!R205</f>
        <v/>
      </c>
      <c r="T212" s="7">
        <f>'1 datos preparados'!S205</f>
        <v/>
      </c>
      <c r="U212" s="7">
        <f>'1 datos preparados'!T205</f>
        <v/>
      </c>
      <c r="V212" s="8">
        <f>$AE$12+D212*$AE$13+E212*$AE$14+F212*$AE$15+G212*$AE$16+H212*$AE$17+I212*$AE$18+J212*$AE$19+K212*$AE$20+L212*$AE$21+M212*$AE$22+N212*$AE$23+O212*$AE$24+P212*$AE$25+Q212*$AE$26+R212*$AE$27+S212*$AE$28+T212*$AE$29+U212*$AE$30</f>
        <v/>
      </c>
      <c r="W212" s="8">
        <f>1/(1+EXP(-V212))</f>
        <v/>
      </c>
      <c r="X212" s="9">
        <f>-IF(C212=1,LN(W212),LN(1-W212))</f>
        <v/>
      </c>
      <c r="Y212" s="8">
        <f>'1 datos preparados'!V205</f>
        <v/>
      </c>
      <c r="Z212" s="9">
        <f>Y212*X212</f>
        <v/>
      </c>
      <c r="AA212" s="10">
        <f>IF(W212&gt;$AE$33,1,0)</f>
        <v/>
      </c>
      <c r="AB212">
        <f>IF(AA212=C212,1,0)</f>
        <v/>
      </c>
    </row>
    <row r="213">
      <c r="A213">
        <f>'1 datos preparados'!A206</f>
        <v/>
      </c>
      <c r="B213" s="5">
        <f>'1 datos preparados'!U206</f>
        <v/>
      </c>
      <c r="C213">
        <f>'1 datos preparados'!B206</f>
        <v/>
      </c>
      <c r="D213" s="7">
        <f>'1 datos preparados'!C206</f>
        <v/>
      </c>
      <c r="E213" s="7">
        <f>'1 datos preparados'!D206</f>
        <v/>
      </c>
      <c r="F213" s="7">
        <f>'1 datos preparados'!E206</f>
        <v/>
      </c>
      <c r="G213" s="7">
        <f>'1 datos preparados'!F206</f>
        <v/>
      </c>
      <c r="H213" s="7">
        <f>'1 datos preparados'!G206</f>
        <v/>
      </c>
      <c r="I213" s="7">
        <f>'1 datos preparados'!H206</f>
        <v/>
      </c>
      <c r="J213" s="7">
        <f>'1 datos preparados'!I206</f>
        <v/>
      </c>
      <c r="K213" s="7">
        <f>'1 datos preparados'!J206</f>
        <v/>
      </c>
      <c r="L213" s="7">
        <f>'1 datos preparados'!K206</f>
        <v/>
      </c>
      <c r="M213" s="7">
        <f>'1 datos preparados'!L206</f>
        <v/>
      </c>
      <c r="N213" s="7">
        <f>'1 datos preparados'!M206</f>
        <v/>
      </c>
      <c r="O213" s="7">
        <f>'1 datos preparados'!N206</f>
        <v/>
      </c>
      <c r="P213" s="7">
        <f>'1 datos preparados'!O206</f>
        <v/>
      </c>
      <c r="Q213" s="7">
        <f>'1 datos preparados'!P206</f>
        <v/>
      </c>
      <c r="R213" s="7">
        <f>'1 datos preparados'!Q206</f>
        <v/>
      </c>
      <c r="S213" s="7">
        <f>'1 datos preparados'!R206</f>
        <v/>
      </c>
      <c r="T213" s="7">
        <f>'1 datos preparados'!S206</f>
        <v/>
      </c>
      <c r="U213" s="7">
        <f>'1 datos preparados'!T206</f>
        <v/>
      </c>
      <c r="V213" s="8">
        <f>$AE$12+D213*$AE$13+E213*$AE$14+F213*$AE$15+G213*$AE$16+H213*$AE$17+I213*$AE$18+J213*$AE$19+K213*$AE$20+L213*$AE$21+M213*$AE$22+N213*$AE$23+O213*$AE$24+P213*$AE$25+Q213*$AE$26+R213*$AE$27+S213*$AE$28+T213*$AE$29+U213*$AE$30</f>
        <v/>
      </c>
      <c r="W213" s="8">
        <f>1/(1+EXP(-V213))</f>
        <v/>
      </c>
      <c r="X213" s="9">
        <f>-IF(C213=1,LN(W213),LN(1-W213))</f>
        <v/>
      </c>
      <c r="Y213" s="8">
        <f>'1 datos preparados'!V206</f>
        <v/>
      </c>
      <c r="Z213" s="9">
        <f>Y213*X213</f>
        <v/>
      </c>
      <c r="AA213" s="10">
        <f>IF(W213&gt;$AE$33,1,0)</f>
        <v/>
      </c>
      <c r="AB213">
        <f>IF(AA213=C213,1,0)</f>
        <v/>
      </c>
    </row>
    <row r="214">
      <c r="A214">
        <f>'1 datos preparados'!A207</f>
        <v/>
      </c>
      <c r="B214" s="5">
        <f>'1 datos preparados'!U207</f>
        <v/>
      </c>
      <c r="C214">
        <f>'1 datos preparados'!B207</f>
        <v/>
      </c>
      <c r="D214" s="7">
        <f>'1 datos preparados'!C207</f>
        <v/>
      </c>
      <c r="E214" s="7">
        <f>'1 datos preparados'!D207</f>
        <v/>
      </c>
      <c r="F214" s="7">
        <f>'1 datos preparados'!E207</f>
        <v/>
      </c>
      <c r="G214" s="7">
        <f>'1 datos preparados'!F207</f>
        <v/>
      </c>
      <c r="H214" s="7">
        <f>'1 datos preparados'!G207</f>
        <v/>
      </c>
      <c r="I214" s="7">
        <f>'1 datos preparados'!H207</f>
        <v/>
      </c>
      <c r="J214" s="7">
        <f>'1 datos preparados'!I207</f>
        <v/>
      </c>
      <c r="K214" s="7">
        <f>'1 datos preparados'!J207</f>
        <v/>
      </c>
      <c r="L214" s="7">
        <f>'1 datos preparados'!K207</f>
        <v/>
      </c>
      <c r="M214" s="7">
        <f>'1 datos preparados'!L207</f>
        <v/>
      </c>
      <c r="N214" s="7">
        <f>'1 datos preparados'!M207</f>
        <v/>
      </c>
      <c r="O214" s="7">
        <f>'1 datos preparados'!N207</f>
        <v/>
      </c>
      <c r="P214" s="7">
        <f>'1 datos preparados'!O207</f>
        <v/>
      </c>
      <c r="Q214" s="7">
        <f>'1 datos preparados'!P207</f>
        <v/>
      </c>
      <c r="R214" s="7">
        <f>'1 datos preparados'!Q207</f>
        <v/>
      </c>
      <c r="S214" s="7">
        <f>'1 datos preparados'!R207</f>
        <v/>
      </c>
      <c r="T214" s="7">
        <f>'1 datos preparados'!S207</f>
        <v/>
      </c>
      <c r="U214" s="7">
        <f>'1 datos preparados'!T207</f>
        <v/>
      </c>
      <c r="V214" s="8">
        <f>$AE$12+D214*$AE$13+E214*$AE$14+F214*$AE$15+G214*$AE$16+H214*$AE$17+I214*$AE$18+J214*$AE$19+K214*$AE$20+L214*$AE$21+M214*$AE$22+N214*$AE$23+O214*$AE$24+P214*$AE$25+Q214*$AE$26+R214*$AE$27+S214*$AE$28+T214*$AE$29+U214*$AE$30</f>
        <v/>
      </c>
      <c r="W214" s="8">
        <f>1/(1+EXP(-V214))</f>
        <v/>
      </c>
      <c r="X214" s="9">
        <f>-IF(C214=1,LN(W214),LN(1-W214))</f>
        <v/>
      </c>
      <c r="Y214" s="8">
        <f>'1 datos preparados'!V207</f>
        <v/>
      </c>
      <c r="Z214" s="9">
        <f>Y214*X214</f>
        <v/>
      </c>
      <c r="AA214" s="10">
        <f>IF(W214&gt;$AE$33,1,0)</f>
        <v/>
      </c>
      <c r="AB214">
        <f>IF(AA214=C214,1,0)</f>
        <v/>
      </c>
    </row>
    <row r="215">
      <c r="A215">
        <f>'1 datos preparados'!A208</f>
        <v/>
      </c>
      <c r="B215" s="5">
        <f>'1 datos preparados'!U208</f>
        <v/>
      </c>
      <c r="C215">
        <f>'1 datos preparados'!B208</f>
        <v/>
      </c>
      <c r="D215" s="7">
        <f>'1 datos preparados'!C208</f>
        <v/>
      </c>
      <c r="E215" s="7">
        <f>'1 datos preparados'!D208</f>
        <v/>
      </c>
      <c r="F215" s="7">
        <f>'1 datos preparados'!E208</f>
        <v/>
      </c>
      <c r="G215" s="7">
        <f>'1 datos preparados'!F208</f>
        <v/>
      </c>
      <c r="H215" s="7">
        <f>'1 datos preparados'!G208</f>
        <v/>
      </c>
      <c r="I215" s="7">
        <f>'1 datos preparados'!H208</f>
        <v/>
      </c>
      <c r="J215" s="7">
        <f>'1 datos preparados'!I208</f>
        <v/>
      </c>
      <c r="K215" s="7">
        <f>'1 datos preparados'!J208</f>
        <v/>
      </c>
      <c r="L215" s="7">
        <f>'1 datos preparados'!K208</f>
        <v/>
      </c>
      <c r="M215" s="7">
        <f>'1 datos preparados'!L208</f>
        <v/>
      </c>
      <c r="N215" s="7">
        <f>'1 datos preparados'!M208</f>
        <v/>
      </c>
      <c r="O215" s="7">
        <f>'1 datos preparados'!N208</f>
        <v/>
      </c>
      <c r="P215" s="7">
        <f>'1 datos preparados'!O208</f>
        <v/>
      </c>
      <c r="Q215" s="7">
        <f>'1 datos preparados'!P208</f>
        <v/>
      </c>
      <c r="R215" s="7">
        <f>'1 datos preparados'!Q208</f>
        <v/>
      </c>
      <c r="S215" s="7">
        <f>'1 datos preparados'!R208</f>
        <v/>
      </c>
      <c r="T215" s="7">
        <f>'1 datos preparados'!S208</f>
        <v/>
      </c>
      <c r="U215" s="7">
        <f>'1 datos preparados'!T208</f>
        <v/>
      </c>
      <c r="V215" s="8">
        <f>$AE$12+D215*$AE$13+E215*$AE$14+F215*$AE$15+G215*$AE$16+H215*$AE$17+I215*$AE$18+J215*$AE$19+K215*$AE$20+L215*$AE$21+M215*$AE$22+N215*$AE$23+O215*$AE$24+P215*$AE$25+Q215*$AE$26+R215*$AE$27+S215*$AE$28+T215*$AE$29+U215*$AE$30</f>
        <v/>
      </c>
      <c r="W215" s="8">
        <f>1/(1+EXP(-V215))</f>
        <v/>
      </c>
      <c r="X215" s="9">
        <f>-IF(C215=1,LN(W215),LN(1-W215))</f>
        <v/>
      </c>
      <c r="Y215" s="8">
        <f>'1 datos preparados'!V208</f>
        <v/>
      </c>
      <c r="Z215" s="9">
        <f>Y215*X215</f>
        <v/>
      </c>
      <c r="AA215" s="10">
        <f>IF(W215&gt;$AE$33,1,0)</f>
        <v/>
      </c>
      <c r="AB215">
        <f>IF(AA215=C215,1,0)</f>
        <v/>
      </c>
    </row>
    <row r="216">
      <c r="A216">
        <f>'1 datos preparados'!A209</f>
        <v/>
      </c>
      <c r="B216" s="5">
        <f>'1 datos preparados'!U209</f>
        <v/>
      </c>
      <c r="C216">
        <f>'1 datos preparados'!B209</f>
        <v/>
      </c>
      <c r="D216" s="7">
        <f>'1 datos preparados'!C209</f>
        <v/>
      </c>
      <c r="E216" s="7">
        <f>'1 datos preparados'!D209</f>
        <v/>
      </c>
      <c r="F216" s="7">
        <f>'1 datos preparados'!E209</f>
        <v/>
      </c>
      <c r="G216" s="7">
        <f>'1 datos preparados'!F209</f>
        <v/>
      </c>
      <c r="H216" s="7">
        <f>'1 datos preparados'!G209</f>
        <v/>
      </c>
      <c r="I216" s="7">
        <f>'1 datos preparados'!H209</f>
        <v/>
      </c>
      <c r="J216" s="7">
        <f>'1 datos preparados'!I209</f>
        <v/>
      </c>
      <c r="K216" s="7">
        <f>'1 datos preparados'!J209</f>
        <v/>
      </c>
      <c r="L216" s="7">
        <f>'1 datos preparados'!K209</f>
        <v/>
      </c>
      <c r="M216" s="7">
        <f>'1 datos preparados'!L209</f>
        <v/>
      </c>
      <c r="N216" s="7">
        <f>'1 datos preparados'!M209</f>
        <v/>
      </c>
      <c r="O216" s="7">
        <f>'1 datos preparados'!N209</f>
        <v/>
      </c>
      <c r="P216" s="7">
        <f>'1 datos preparados'!O209</f>
        <v/>
      </c>
      <c r="Q216" s="7">
        <f>'1 datos preparados'!P209</f>
        <v/>
      </c>
      <c r="R216" s="7">
        <f>'1 datos preparados'!Q209</f>
        <v/>
      </c>
      <c r="S216" s="7">
        <f>'1 datos preparados'!R209</f>
        <v/>
      </c>
      <c r="T216" s="7">
        <f>'1 datos preparados'!S209</f>
        <v/>
      </c>
      <c r="U216" s="7">
        <f>'1 datos preparados'!T209</f>
        <v/>
      </c>
      <c r="V216" s="8">
        <f>$AE$12+D216*$AE$13+E216*$AE$14+F216*$AE$15+G216*$AE$16+H216*$AE$17+I216*$AE$18+J216*$AE$19+K216*$AE$20+L216*$AE$21+M216*$AE$22+N216*$AE$23+O216*$AE$24+P216*$AE$25+Q216*$AE$26+R216*$AE$27+S216*$AE$28+T216*$AE$29+U216*$AE$30</f>
        <v/>
      </c>
      <c r="W216" s="8">
        <f>1/(1+EXP(-V216))</f>
        <v/>
      </c>
      <c r="X216" s="9">
        <f>-IF(C216=1,LN(W216),LN(1-W216))</f>
        <v/>
      </c>
      <c r="Y216" s="8">
        <f>'1 datos preparados'!V209</f>
        <v/>
      </c>
      <c r="Z216" s="9">
        <f>Y216*X216</f>
        <v/>
      </c>
      <c r="AA216" s="10">
        <f>IF(W216&gt;$AE$33,1,0)</f>
        <v/>
      </c>
      <c r="AB216">
        <f>IF(AA216=C216,1,0)</f>
        <v/>
      </c>
    </row>
    <row r="217">
      <c r="A217">
        <f>'1 datos preparados'!A210</f>
        <v/>
      </c>
      <c r="B217" s="5">
        <f>'1 datos preparados'!U210</f>
        <v/>
      </c>
      <c r="C217">
        <f>'1 datos preparados'!B210</f>
        <v/>
      </c>
      <c r="D217" s="7">
        <f>'1 datos preparados'!C210</f>
        <v/>
      </c>
      <c r="E217" s="7">
        <f>'1 datos preparados'!D210</f>
        <v/>
      </c>
      <c r="F217" s="7">
        <f>'1 datos preparados'!E210</f>
        <v/>
      </c>
      <c r="G217" s="7">
        <f>'1 datos preparados'!F210</f>
        <v/>
      </c>
      <c r="H217" s="7">
        <f>'1 datos preparados'!G210</f>
        <v/>
      </c>
      <c r="I217" s="7">
        <f>'1 datos preparados'!H210</f>
        <v/>
      </c>
      <c r="J217" s="7">
        <f>'1 datos preparados'!I210</f>
        <v/>
      </c>
      <c r="K217" s="7">
        <f>'1 datos preparados'!J210</f>
        <v/>
      </c>
      <c r="L217" s="7">
        <f>'1 datos preparados'!K210</f>
        <v/>
      </c>
      <c r="M217" s="7">
        <f>'1 datos preparados'!L210</f>
        <v/>
      </c>
      <c r="N217" s="7">
        <f>'1 datos preparados'!M210</f>
        <v/>
      </c>
      <c r="O217" s="7">
        <f>'1 datos preparados'!N210</f>
        <v/>
      </c>
      <c r="P217" s="7">
        <f>'1 datos preparados'!O210</f>
        <v/>
      </c>
      <c r="Q217" s="7">
        <f>'1 datos preparados'!P210</f>
        <v/>
      </c>
      <c r="R217" s="7">
        <f>'1 datos preparados'!Q210</f>
        <v/>
      </c>
      <c r="S217" s="7">
        <f>'1 datos preparados'!R210</f>
        <v/>
      </c>
      <c r="T217" s="7">
        <f>'1 datos preparados'!S210</f>
        <v/>
      </c>
      <c r="U217" s="7">
        <f>'1 datos preparados'!T210</f>
        <v/>
      </c>
      <c r="V217" s="8">
        <f>$AE$12+D217*$AE$13+E217*$AE$14+F217*$AE$15+G217*$AE$16+H217*$AE$17+I217*$AE$18+J217*$AE$19+K217*$AE$20+L217*$AE$21+M217*$AE$22+N217*$AE$23+O217*$AE$24+P217*$AE$25+Q217*$AE$26+R217*$AE$27+S217*$AE$28+T217*$AE$29+U217*$AE$30</f>
        <v/>
      </c>
      <c r="W217" s="8">
        <f>1/(1+EXP(-V217))</f>
        <v/>
      </c>
      <c r="X217" s="9">
        <f>-IF(C217=1,LN(W217),LN(1-W217))</f>
        <v/>
      </c>
      <c r="Y217" s="8">
        <f>'1 datos preparados'!V210</f>
        <v/>
      </c>
      <c r="Z217" s="9">
        <f>Y217*X217</f>
        <v/>
      </c>
      <c r="AA217" s="10">
        <f>IF(W217&gt;$AE$33,1,0)</f>
        <v/>
      </c>
      <c r="AB217">
        <f>IF(AA217=C217,1,0)</f>
        <v/>
      </c>
    </row>
    <row r="218">
      <c r="A218">
        <f>'1 datos preparados'!A211</f>
        <v/>
      </c>
      <c r="B218" s="5">
        <f>'1 datos preparados'!U211</f>
        <v/>
      </c>
      <c r="C218">
        <f>'1 datos preparados'!B211</f>
        <v/>
      </c>
      <c r="D218" s="7">
        <f>'1 datos preparados'!C211</f>
        <v/>
      </c>
      <c r="E218" s="7">
        <f>'1 datos preparados'!D211</f>
        <v/>
      </c>
      <c r="F218" s="7">
        <f>'1 datos preparados'!E211</f>
        <v/>
      </c>
      <c r="G218" s="7">
        <f>'1 datos preparados'!F211</f>
        <v/>
      </c>
      <c r="H218" s="7">
        <f>'1 datos preparados'!G211</f>
        <v/>
      </c>
      <c r="I218" s="7">
        <f>'1 datos preparados'!H211</f>
        <v/>
      </c>
      <c r="J218" s="7">
        <f>'1 datos preparados'!I211</f>
        <v/>
      </c>
      <c r="K218" s="7">
        <f>'1 datos preparados'!J211</f>
        <v/>
      </c>
      <c r="L218" s="7">
        <f>'1 datos preparados'!K211</f>
        <v/>
      </c>
      <c r="M218" s="7">
        <f>'1 datos preparados'!L211</f>
        <v/>
      </c>
      <c r="N218" s="7">
        <f>'1 datos preparados'!M211</f>
        <v/>
      </c>
      <c r="O218" s="7">
        <f>'1 datos preparados'!N211</f>
        <v/>
      </c>
      <c r="P218" s="7">
        <f>'1 datos preparados'!O211</f>
        <v/>
      </c>
      <c r="Q218" s="7">
        <f>'1 datos preparados'!P211</f>
        <v/>
      </c>
      <c r="R218" s="7">
        <f>'1 datos preparados'!Q211</f>
        <v/>
      </c>
      <c r="S218" s="7">
        <f>'1 datos preparados'!R211</f>
        <v/>
      </c>
      <c r="T218" s="7">
        <f>'1 datos preparados'!S211</f>
        <v/>
      </c>
      <c r="U218" s="7">
        <f>'1 datos preparados'!T211</f>
        <v/>
      </c>
      <c r="V218" s="8">
        <f>$AE$12+D218*$AE$13+E218*$AE$14+F218*$AE$15+G218*$AE$16+H218*$AE$17+I218*$AE$18+J218*$AE$19+K218*$AE$20+L218*$AE$21+M218*$AE$22+N218*$AE$23+O218*$AE$24+P218*$AE$25+Q218*$AE$26+R218*$AE$27+S218*$AE$28+T218*$AE$29+U218*$AE$30</f>
        <v/>
      </c>
      <c r="W218" s="8">
        <f>1/(1+EXP(-V218))</f>
        <v/>
      </c>
      <c r="X218" s="9">
        <f>-IF(C218=1,LN(W218),LN(1-W218))</f>
        <v/>
      </c>
      <c r="Y218" s="8">
        <f>'1 datos preparados'!V211</f>
        <v/>
      </c>
      <c r="Z218" s="9">
        <f>Y218*X218</f>
        <v/>
      </c>
      <c r="AA218" s="10">
        <f>IF(W218&gt;$AE$33,1,0)</f>
        <v/>
      </c>
      <c r="AB218">
        <f>IF(AA218=C218,1,0)</f>
        <v/>
      </c>
    </row>
    <row r="219">
      <c r="A219">
        <f>'1 datos preparados'!A212</f>
        <v/>
      </c>
      <c r="B219" s="5">
        <f>'1 datos preparados'!U212</f>
        <v/>
      </c>
      <c r="C219">
        <f>'1 datos preparados'!B212</f>
        <v/>
      </c>
      <c r="D219" s="7">
        <f>'1 datos preparados'!C212</f>
        <v/>
      </c>
      <c r="E219" s="7">
        <f>'1 datos preparados'!D212</f>
        <v/>
      </c>
      <c r="F219" s="7">
        <f>'1 datos preparados'!E212</f>
        <v/>
      </c>
      <c r="G219" s="7">
        <f>'1 datos preparados'!F212</f>
        <v/>
      </c>
      <c r="H219" s="7">
        <f>'1 datos preparados'!G212</f>
        <v/>
      </c>
      <c r="I219" s="7">
        <f>'1 datos preparados'!H212</f>
        <v/>
      </c>
      <c r="J219" s="7">
        <f>'1 datos preparados'!I212</f>
        <v/>
      </c>
      <c r="K219" s="7">
        <f>'1 datos preparados'!J212</f>
        <v/>
      </c>
      <c r="L219" s="7">
        <f>'1 datos preparados'!K212</f>
        <v/>
      </c>
      <c r="M219" s="7">
        <f>'1 datos preparados'!L212</f>
        <v/>
      </c>
      <c r="N219" s="7">
        <f>'1 datos preparados'!M212</f>
        <v/>
      </c>
      <c r="O219" s="7">
        <f>'1 datos preparados'!N212</f>
        <v/>
      </c>
      <c r="P219" s="7">
        <f>'1 datos preparados'!O212</f>
        <v/>
      </c>
      <c r="Q219" s="7">
        <f>'1 datos preparados'!P212</f>
        <v/>
      </c>
      <c r="R219" s="7">
        <f>'1 datos preparados'!Q212</f>
        <v/>
      </c>
      <c r="S219" s="7">
        <f>'1 datos preparados'!R212</f>
        <v/>
      </c>
      <c r="T219" s="7">
        <f>'1 datos preparados'!S212</f>
        <v/>
      </c>
      <c r="U219" s="7">
        <f>'1 datos preparados'!T212</f>
        <v/>
      </c>
      <c r="V219" s="8">
        <f>$AE$12+D219*$AE$13+E219*$AE$14+F219*$AE$15+G219*$AE$16+H219*$AE$17+I219*$AE$18+J219*$AE$19+K219*$AE$20+L219*$AE$21+M219*$AE$22+N219*$AE$23+O219*$AE$24+P219*$AE$25+Q219*$AE$26+R219*$AE$27+S219*$AE$28+T219*$AE$29+U219*$AE$30</f>
        <v/>
      </c>
      <c r="W219" s="8">
        <f>1/(1+EXP(-V219))</f>
        <v/>
      </c>
      <c r="X219" s="9">
        <f>-IF(C219=1,LN(W219),LN(1-W219))</f>
        <v/>
      </c>
      <c r="Y219" s="8">
        <f>'1 datos preparados'!V212</f>
        <v/>
      </c>
      <c r="Z219" s="9">
        <f>Y219*X219</f>
        <v/>
      </c>
      <c r="AA219" s="10">
        <f>IF(W219&gt;$AE$33,1,0)</f>
        <v/>
      </c>
      <c r="AB219">
        <f>IF(AA219=C219,1,0)</f>
        <v/>
      </c>
    </row>
    <row r="220">
      <c r="A220">
        <f>'1 datos preparados'!A213</f>
        <v/>
      </c>
      <c r="B220" s="5">
        <f>'1 datos preparados'!U213</f>
        <v/>
      </c>
      <c r="C220">
        <f>'1 datos preparados'!B213</f>
        <v/>
      </c>
      <c r="D220" s="7">
        <f>'1 datos preparados'!C213</f>
        <v/>
      </c>
      <c r="E220" s="7">
        <f>'1 datos preparados'!D213</f>
        <v/>
      </c>
      <c r="F220" s="7">
        <f>'1 datos preparados'!E213</f>
        <v/>
      </c>
      <c r="G220" s="7">
        <f>'1 datos preparados'!F213</f>
        <v/>
      </c>
      <c r="H220" s="7">
        <f>'1 datos preparados'!G213</f>
        <v/>
      </c>
      <c r="I220" s="7">
        <f>'1 datos preparados'!H213</f>
        <v/>
      </c>
      <c r="J220" s="7">
        <f>'1 datos preparados'!I213</f>
        <v/>
      </c>
      <c r="K220" s="7">
        <f>'1 datos preparados'!J213</f>
        <v/>
      </c>
      <c r="L220" s="7">
        <f>'1 datos preparados'!K213</f>
        <v/>
      </c>
      <c r="M220" s="7">
        <f>'1 datos preparados'!L213</f>
        <v/>
      </c>
      <c r="N220" s="7">
        <f>'1 datos preparados'!M213</f>
        <v/>
      </c>
      <c r="O220" s="7">
        <f>'1 datos preparados'!N213</f>
        <v/>
      </c>
      <c r="P220" s="7">
        <f>'1 datos preparados'!O213</f>
        <v/>
      </c>
      <c r="Q220" s="7">
        <f>'1 datos preparados'!P213</f>
        <v/>
      </c>
      <c r="R220" s="7">
        <f>'1 datos preparados'!Q213</f>
        <v/>
      </c>
      <c r="S220" s="7">
        <f>'1 datos preparados'!R213</f>
        <v/>
      </c>
      <c r="T220" s="7">
        <f>'1 datos preparados'!S213</f>
        <v/>
      </c>
      <c r="U220" s="7">
        <f>'1 datos preparados'!T213</f>
        <v/>
      </c>
      <c r="V220" s="8">
        <f>$AE$12+D220*$AE$13+E220*$AE$14+F220*$AE$15+G220*$AE$16+H220*$AE$17+I220*$AE$18+J220*$AE$19+K220*$AE$20+L220*$AE$21+M220*$AE$22+N220*$AE$23+O220*$AE$24+P220*$AE$25+Q220*$AE$26+R220*$AE$27+S220*$AE$28+T220*$AE$29+U220*$AE$30</f>
        <v/>
      </c>
      <c r="W220" s="8">
        <f>1/(1+EXP(-V220))</f>
        <v/>
      </c>
      <c r="X220" s="9">
        <f>-IF(C220=1,LN(W220),LN(1-W220))</f>
        <v/>
      </c>
      <c r="Y220" s="8">
        <f>'1 datos preparados'!V213</f>
        <v/>
      </c>
      <c r="Z220" s="9">
        <f>Y220*X220</f>
        <v/>
      </c>
      <c r="AA220" s="10">
        <f>IF(W220&gt;$AE$33,1,0)</f>
        <v/>
      </c>
      <c r="AB220">
        <f>IF(AA220=C220,1,0)</f>
        <v/>
      </c>
    </row>
    <row r="221">
      <c r="A221">
        <f>'1 datos preparados'!A214</f>
        <v/>
      </c>
      <c r="B221" s="5">
        <f>'1 datos preparados'!U214</f>
        <v/>
      </c>
      <c r="C221">
        <f>'1 datos preparados'!B214</f>
        <v/>
      </c>
      <c r="D221" s="7">
        <f>'1 datos preparados'!C214</f>
        <v/>
      </c>
      <c r="E221" s="7">
        <f>'1 datos preparados'!D214</f>
        <v/>
      </c>
      <c r="F221" s="7">
        <f>'1 datos preparados'!E214</f>
        <v/>
      </c>
      <c r="G221" s="7">
        <f>'1 datos preparados'!F214</f>
        <v/>
      </c>
      <c r="H221" s="7">
        <f>'1 datos preparados'!G214</f>
        <v/>
      </c>
      <c r="I221" s="7">
        <f>'1 datos preparados'!H214</f>
        <v/>
      </c>
      <c r="J221" s="7">
        <f>'1 datos preparados'!I214</f>
        <v/>
      </c>
      <c r="K221" s="7">
        <f>'1 datos preparados'!J214</f>
        <v/>
      </c>
      <c r="L221" s="7">
        <f>'1 datos preparados'!K214</f>
        <v/>
      </c>
      <c r="M221" s="7">
        <f>'1 datos preparados'!L214</f>
        <v/>
      </c>
      <c r="N221" s="7">
        <f>'1 datos preparados'!M214</f>
        <v/>
      </c>
      <c r="O221" s="7">
        <f>'1 datos preparados'!N214</f>
        <v/>
      </c>
      <c r="P221" s="7">
        <f>'1 datos preparados'!O214</f>
        <v/>
      </c>
      <c r="Q221" s="7">
        <f>'1 datos preparados'!P214</f>
        <v/>
      </c>
      <c r="R221" s="7">
        <f>'1 datos preparados'!Q214</f>
        <v/>
      </c>
      <c r="S221" s="7">
        <f>'1 datos preparados'!R214</f>
        <v/>
      </c>
      <c r="T221" s="7">
        <f>'1 datos preparados'!S214</f>
        <v/>
      </c>
      <c r="U221" s="7">
        <f>'1 datos preparados'!T214</f>
        <v/>
      </c>
      <c r="V221" s="8">
        <f>$AE$12+D221*$AE$13+E221*$AE$14+F221*$AE$15+G221*$AE$16+H221*$AE$17+I221*$AE$18+J221*$AE$19+K221*$AE$20+L221*$AE$21+M221*$AE$22+N221*$AE$23+O221*$AE$24+P221*$AE$25+Q221*$AE$26+R221*$AE$27+S221*$AE$28+T221*$AE$29+U221*$AE$30</f>
        <v/>
      </c>
      <c r="W221" s="8">
        <f>1/(1+EXP(-V221))</f>
        <v/>
      </c>
      <c r="X221" s="9">
        <f>-IF(C221=1,LN(W221),LN(1-W221))</f>
        <v/>
      </c>
      <c r="Y221" s="8">
        <f>'1 datos preparados'!V214</f>
        <v/>
      </c>
      <c r="Z221" s="9">
        <f>Y221*X221</f>
        <v/>
      </c>
      <c r="AA221" s="10">
        <f>IF(W221&gt;$AE$33,1,0)</f>
        <v/>
      </c>
      <c r="AB221">
        <f>IF(AA221=C221,1,0)</f>
        <v/>
      </c>
    </row>
    <row r="222">
      <c r="A222">
        <f>'1 datos preparados'!A215</f>
        <v/>
      </c>
      <c r="B222" s="5">
        <f>'1 datos preparados'!U215</f>
        <v/>
      </c>
      <c r="C222">
        <f>'1 datos preparados'!B215</f>
        <v/>
      </c>
      <c r="D222" s="7">
        <f>'1 datos preparados'!C215</f>
        <v/>
      </c>
      <c r="E222" s="7">
        <f>'1 datos preparados'!D215</f>
        <v/>
      </c>
      <c r="F222" s="7">
        <f>'1 datos preparados'!E215</f>
        <v/>
      </c>
      <c r="G222" s="7">
        <f>'1 datos preparados'!F215</f>
        <v/>
      </c>
      <c r="H222" s="7">
        <f>'1 datos preparados'!G215</f>
        <v/>
      </c>
      <c r="I222" s="7">
        <f>'1 datos preparados'!H215</f>
        <v/>
      </c>
      <c r="J222" s="7">
        <f>'1 datos preparados'!I215</f>
        <v/>
      </c>
      <c r="K222" s="7">
        <f>'1 datos preparados'!J215</f>
        <v/>
      </c>
      <c r="L222" s="7">
        <f>'1 datos preparados'!K215</f>
        <v/>
      </c>
      <c r="M222" s="7">
        <f>'1 datos preparados'!L215</f>
        <v/>
      </c>
      <c r="N222" s="7">
        <f>'1 datos preparados'!M215</f>
        <v/>
      </c>
      <c r="O222" s="7">
        <f>'1 datos preparados'!N215</f>
        <v/>
      </c>
      <c r="P222" s="7">
        <f>'1 datos preparados'!O215</f>
        <v/>
      </c>
      <c r="Q222" s="7">
        <f>'1 datos preparados'!P215</f>
        <v/>
      </c>
      <c r="R222" s="7">
        <f>'1 datos preparados'!Q215</f>
        <v/>
      </c>
      <c r="S222" s="7">
        <f>'1 datos preparados'!R215</f>
        <v/>
      </c>
      <c r="T222" s="7">
        <f>'1 datos preparados'!S215</f>
        <v/>
      </c>
      <c r="U222" s="7">
        <f>'1 datos preparados'!T215</f>
        <v/>
      </c>
      <c r="V222" s="8">
        <f>$AE$12+D222*$AE$13+E222*$AE$14+F222*$AE$15+G222*$AE$16+H222*$AE$17+I222*$AE$18+J222*$AE$19+K222*$AE$20+L222*$AE$21+M222*$AE$22+N222*$AE$23+O222*$AE$24+P222*$AE$25+Q222*$AE$26+R222*$AE$27+S222*$AE$28+T222*$AE$29+U222*$AE$30</f>
        <v/>
      </c>
      <c r="W222" s="8">
        <f>1/(1+EXP(-V222))</f>
        <v/>
      </c>
      <c r="X222" s="9">
        <f>-IF(C222=1,LN(W222),LN(1-W222))</f>
        <v/>
      </c>
      <c r="Y222" s="8">
        <f>'1 datos preparados'!V215</f>
        <v/>
      </c>
      <c r="Z222" s="9">
        <f>Y222*X222</f>
        <v/>
      </c>
      <c r="AA222" s="10">
        <f>IF(W222&gt;$AE$33,1,0)</f>
        <v/>
      </c>
      <c r="AB222">
        <f>IF(AA222=C222,1,0)</f>
        <v/>
      </c>
    </row>
    <row r="223">
      <c r="A223">
        <f>'1 datos preparados'!A216</f>
        <v/>
      </c>
      <c r="B223" s="5">
        <f>'1 datos preparados'!U216</f>
        <v/>
      </c>
      <c r="C223">
        <f>'1 datos preparados'!B216</f>
        <v/>
      </c>
      <c r="D223" s="7">
        <f>'1 datos preparados'!C216</f>
        <v/>
      </c>
      <c r="E223" s="7">
        <f>'1 datos preparados'!D216</f>
        <v/>
      </c>
      <c r="F223" s="7">
        <f>'1 datos preparados'!E216</f>
        <v/>
      </c>
      <c r="G223" s="7">
        <f>'1 datos preparados'!F216</f>
        <v/>
      </c>
      <c r="H223" s="7">
        <f>'1 datos preparados'!G216</f>
        <v/>
      </c>
      <c r="I223" s="7">
        <f>'1 datos preparados'!H216</f>
        <v/>
      </c>
      <c r="J223" s="7">
        <f>'1 datos preparados'!I216</f>
        <v/>
      </c>
      <c r="K223" s="7">
        <f>'1 datos preparados'!J216</f>
        <v/>
      </c>
      <c r="L223" s="7">
        <f>'1 datos preparados'!K216</f>
        <v/>
      </c>
      <c r="M223" s="7">
        <f>'1 datos preparados'!L216</f>
        <v/>
      </c>
      <c r="N223" s="7">
        <f>'1 datos preparados'!M216</f>
        <v/>
      </c>
      <c r="O223" s="7">
        <f>'1 datos preparados'!N216</f>
        <v/>
      </c>
      <c r="P223" s="7">
        <f>'1 datos preparados'!O216</f>
        <v/>
      </c>
      <c r="Q223" s="7">
        <f>'1 datos preparados'!P216</f>
        <v/>
      </c>
      <c r="R223" s="7">
        <f>'1 datos preparados'!Q216</f>
        <v/>
      </c>
      <c r="S223" s="7">
        <f>'1 datos preparados'!R216</f>
        <v/>
      </c>
      <c r="T223" s="7">
        <f>'1 datos preparados'!S216</f>
        <v/>
      </c>
      <c r="U223" s="7">
        <f>'1 datos preparados'!T216</f>
        <v/>
      </c>
      <c r="V223" s="8">
        <f>$AE$12+D223*$AE$13+E223*$AE$14+F223*$AE$15+G223*$AE$16+H223*$AE$17+I223*$AE$18+J223*$AE$19+K223*$AE$20+L223*$AE$21+M223*$AE$22+N223*$AE$23+O223*$AE$24+P223*$AE$25+Q223*$AE$26+R223*$AE$27+S223*$AE$28+T223*$AE$29+U223*$AE$30</f>
        <v/>
      </c>
      <c r="W223" s="8">
        <f>1/(1+EXP(-V223))</f>
        <v/>
      </c>
      <c r="X223" s="9">
        <f>-IF(C223=1,LN(W223),LN(1-W223))</f>
        <v/>
      </c>
      <c r="Y223" s="8">
        <f>'1 datos preparados'!V216</f>
        <v/>
      </c>
      <c r="Z223" s="9">
        <f>Y223*X223</f>
        <v/>
      </c>
      <c r="AA223" s="10">
        <f>IF(W223&gt;$AE$33,1,0)</f>
        <v/>
      </c>
      <c r="AB223">
        <f>IF(AA223=C223,1,0)</f>
        <v/>
      </c>
    </row>
    <row r="224">
      <c r="A224">
        <f>'1 datos preparados'!A217</f>
        <v/>
      </c>
      <c r="B224" s="5">
        <f>'1 datos preparados'!U217</f>
        <v/>
      </c>
      <c r="C224">
        <f>'1 datos preparados'!B217</f>
        <v/>
      </c>
      <c r="D224" s="7">
        <f>'1 datos preparados'!C217</f>
        <v/>
      </c>
      <c r="E224" s="7">
        <f>'1 datos preparados'!D217</f>
        <v/>
      </c>
      <c r="F224" s="7">
        <f>'1 datos preparados'!E217</f>
        <v/>
      </c>
      <c r="G224" s="7">
        <f>'1 datos preparados'!F217</f>
        <v/>
      </c>
      <c r="H224" s="7">
        <f>'1 datos preparados'!G217</f>
        <v/>
      </c>
      <c r="I224" s="7">
        <f>'1 datos preparados'!H217</f>
        <v/>
      </c>
      <c r="J224" s="7">
        <f>'1 datos preparados'!I217</f>
        <v/>
      </c>
      <c r="K224" s="7">
        <f>'1 datos preparados'!J217</f>
        <v/>
      </c>
      <c r="L224" s="7">
        <f>'1 datos preparados'!K217</f>
        <v/>
      </c>
      <c r="M224" s="7">
        <f>'1 datos preparados'!L217</f>
        <v/>
      </c>
      <c r="N224" s="7">
        <f>'1 datos preparados'!M217</f>
        <v/>
      </c>
      <c r="O224" s="7">
        <f>'1 datos preparados'!N217</f>
        <v/>
      </c>
      <c r="P224" s="7">
        <f>'1 datos preparados'!O217</f>
        <v/>
      </c>
      <c r="Q224" s="7">
        <f>'1 datos preparados'!P217</f>
        <v/>
      </c>
      <c r="R224" s="7">
        <f>'1 datos preparados'!Q217</f>
        <v/>
      </c>
      <c r="S224" s="7">
        <f>'1 datos preparados'!R217</f>
        <v/>
      </c>
      <c r="T224" s="7">
        <f>'1 datos preparados'!S217</f>
        <v/>
      </c>
      <c r="U224" s="7">
        <f>'1 datos preparados'!T217</f>
        <v/>
      </c>
      <c r="V224" s="8">
        <f>$AE$12+D224*$AE$13+E224*$AE$14+F224*$AE$15+G224*$AE$16+H224*$AE$17+I224*$AE$18+J224*$AE$19+K224*$AE$20+L224*$AE$21+M224*$AE$22+N224*$AE$23+O224*$AE$24+P224*$AE$25+Q224*$AE$26+R224*$AE$27+S224*$AE$28+T224*$AE$29+U224*$AE$30</f>
        <v/>
      </c>
      <c r="W224" s="8">
        <f>1/(1+EXP(-V224))</f>
        <v/>
      </c>
      <c r="X224" s="9">
        <f>-IF(C224=1,LN(W224),LN(1-W224))</f>
        <v/>
      </c>
      <c r="Y224" s="8">
        <f>'1 datos preparados'!V217</f>
        <v/>
      </c>
      <c r="Z224" s="9">
        <f>Y224*X224</f>
        <v/>
      </c>
      <c r="AA224" s="10">
        <f>IF(W224&gt;$AE$33,1,0)</f>
        <v/>
      </c>
      <c r="AB224">
        <f>IF(AA224=C224,1,0)</f>
        <v/>
      </c>
    </row>
    <row r="225">
      <c r="A225">
        <f>'1 datos preparados'!A218</f>
        <v/>
      </c>
      <c r="B225" s="5">
        <f>'1 datos preparados'!U218</f>
        <v/>
      </c>
      <c r="C225">
        <f>'1 datos preparados'!B218</f>
        <v/>
      </c>
      <c r="D225" s="7">
        <f>'1 datos preparados'!C218</f>
        <v/>
      </c>
      <c r="E225" s="7">
        <f>'1 datos preparados'!D218</f>
        <v/>
      </c>
      <c r="F225" s="7">
        <f>'1 datos preparados'!E218</f>
        <v/>
      </c>
      <c r="G225" s="7">
        <f>'1 datos preparados'!F218</f>
        <v/>
      </c>
      <c r="H225" s="7">
        <f>'1 datos preparados'!G218</f>
        <v/>
      </c>
      <c r="I225" s="7">
        <f>'1 datos preparados'!H218</f>
        <v/>
      </c>
      <c r="J225" s="7">
        <f>'1 datos preparados'!I218</f>
        <v/>
      </c>
      <c r="K225" s="7">
        <f>'1 datos preparados'!J218</f>
        <v/>
      </c>
      <c r="L225" s="7">
        <f>'1 datos preparados'!K218</f>
        <v/>
      </c>
      <c r="M225" s="7">
        <f>'1 datos preparados'!L218</f>
        <v/>
      </c>
      <c r="N225" s="7">
        <f>'1 datos preparados'!M218</f>
        <v/>
      </c>
      <c r="O225" s="7">
        <f>'1 datos preparados'!N218</f>
        <v/>
      </c>
      <c r="P225" s="7">
        <f>'1 datos preparados'!O218</f>
        <v/>
      </c>
      <c r="Q225" s="7">
        <f>'1 datos preparados'!P218</f>
        <v/>
      </c>
      <c r="R225" s="7">
        <f>'1 datos preparados'!Q218</f>
        <v/>
      </c>
      <c r="S225" s="7">
        <f>'1 datos preparados'!R218</f>
        <v/>
      </c>
      <c r="T225" s="7">
        <f>'1 datos preparados'!S218</f>
        <v/>
      </c>
      <c r="U225" s="7">
        <f>'1 datos preparados'!T218</f>
        <v/>
      </c>
      <c r="V225" s="8">
        <f>$AE$12+D225*$AE$13+E225*$AE$14+F225*$AE$15+G225*$AE$16+H225*$AE$17+I225*$AE$18+J225*$AE$19+K225*$AE$20+L225*$AE$21+M225*$AE$22+N225*$AE$23+O225*$AE$24+P225*$AE$25+Q225*$AE$26+R225*$AE$27+S225*$AE$28+T225*$AE$29+U225*$AE$30</f>
        <v/>
      </c>
      <c r="W225" s="8">
        <f>1/(1+EXP(-V225))</f>
        <v/>
      </c>
      <c r="X225" s="9">
        <f>-IF(C225=1,LN(W225),LN(1-W225))</f>
        <v/>
      </c>
      <c r="Y225" s="8">
        <f>'1 datos preparados'!V218</f>
        <v/>
      </c>
      <c r="Z225" s="9">
        <f>Y225*X225</f>
        <v/>
      </c>
      <c r="AA225" s="10">
        <f>IF(W225&gt;$AE$33,1,0)</f>
        <v/>
      </c>
      <c r="AB225">
        <f>IF(AA225=C225,1,0)</f>
        <v/>
      </c>
    </row>
    <row r="226">
      <c r="A226">
        <f>'1 datos preparados'!A219</f>
        <v/>
      </c>
      <c r="B226" s="5">
        <f>'1 datos preparados'!U219</f>
        <v/>
      </c>
      <c r="C226">
        <f>'1 datos preparados'!B219</f>
        <v/>
      </c>
      <c r="D226" s="7">
        <f>'1 datos preparados'!C219</f>
        <v/>
      </c>
      <c r="E226" s="7">
        <f>'1 datos preparados'!D219</f>
        <v/>
      </c>
      <c r="F226" s="7">
        <f>'1 datos preparados'!E219</f>
        <v/>
      </c>
      <c r="G226" s="7">
        <f>'1 datos preparados'!F219</f>
        <v/>
      </c>
      <c r="H226" s="7">
        <f>'1 datos preparados'!G219</f>
        <v/>
      </c>
      <c r="I226" s="7">
        <f>'1 datos preparados'!H219</f>
        <v/>
      </c>
      <c r="J226" s="7">
        <f>'1 datos preparados'!I219</f>
        <v/>
      </c>
      <c r="K226" s="7">
        <f>'1 datos preparados'!J219</f>
        <v/>
      </c>
      <c r="L226" s="7">
        <f>'1 datos preparados'!K219</f>
        <v/>
      </c>
      <c r="M226" s="7">
        <f>'1 datos preparados'!L219</f>
        <v/>
      </c>
      <c r="N226" s="7">
        <f>'1 datos preparados'!M219</f>
        <v/>
      </c>
      <c r="O226" s="7">
        <f>'1 datos preparados'!N219</f>
        <v/>
      </c>
      <c r="P226" s="7">
        <f>'1 datos preparados'!O219</f>
        <v/>
      </c>
      <c r="Q226" s="7">
        <f>'1 datos preparados'!P219</f>
        <v/>
      </c>
      <c r="R226" s="7">
        <f>'1 datos preparados'!Q219</f>
        <v/>
      </c>
      <c r="S226" s="7">
        <f>'1 datos preparados'!R219</f>
        <v/>
      </c>
      <c r="T226" s="7">
        <f>'1 datos preparados'!S219</f>
        <v/>
      </c>
      <c r="U226" s="7">
        <f>'1 datos preparados'!T219</f>
        <v/>
      </c>
      <c r="V226" s="8">
        <f>$AE$12+D226*$AE$13+E226*$AE$14+F226*$AE$15+G226*$AE$16+H226*$AE$17+I226*$AE$18+J226*$AE$19+K226*$AE$20+L226*$AE$21+M226*$AE$22+N226*$AE$23+O226*$AE$24+P226*$AE$25+Q226*$AE$26+R226*$AE$27+S226*$AE$28+T226*$AE$29+U226*$AE$30</f>
        <v/>
      </c>
      <c r="W226" s="8">
        <f>1/(1+EXP(-V226))</f>
        <v/>
      </c>
      <c r="X226" s="9">
        <f>-IF(C226=1,LN(W226),LN(1-W226))</f>
        <v/>
      </c>
      <c r="Y226" s="8">
        <f>'1 datos preparados'!V219</f>
        <v/>
      </c>
      <c r="Z226" s="9">
        <f>Y226*X226</f>
        <v/>
      </c>
      <c r="AA226" s="10">
        <f>IF(W226&gt;$AE$33,1,0)</f>
        <v/>
      </c>
      <c r="AB226">
        <f>IF(AA226=C226,1,0)</f>
        <v/>
      </c>
    </row>
    <row r="227">
      <c r="A227">
        <f>'1 datos preparados'!A220</f>
        <v/>
      </c>
      <c r="B227" s="5">
        <f>'1 datos preparados'!U220</f>
        <v/>
      </c>
      <c r="C227">
        <f>'1 datos preparados'!B220</f>
        <v/>
      </c>
      <c r="D227" s="7">
        <f>'1 datos preparados'!C220</f>
        <v/>
      </c>
      <c r="E227" s="7">
        <f>'1 datos preparados'!D220</f>
        <v/>
      </c>
      <c r="F227" s="7">
        <f>'1 datos preparados'!E220</f>
        <v/>
      </c>
      <c r="G227" s="7">
        <f>'1 datos preparados'!F220</f>
        <v/>
      </c>
      <c r="H227" s="7">
        <f>'1 datos preparados'!G220</f>
        <v/>
      </c>
      <c r="I227" s="7">
        <f>'1 datos preparados'!H220</f>
        <v/>
      </c>
      <c r="J227" s="7">
        <f>'1 datos preparados'!I220</f>
        <v/>
      </c>
      <c r="K227" s="7">
        <f>'1 datos preparados'!J220</f>
        <v/>
      </c>
      <c r="L227" s="7">
        <f>'1 datos preparados'!K220</f>
        <v/>
      </c>
      <c r="M227" s="7">
        <f>'1 datos preparados'!L220</f>
        <v/>
      </c>
      <c r="N227" s="7">
        <f>'1 datos preparados'!M220</f>
        <v/>
      </c>
      <c r="O227" s="7">
        <f>'1 datos preparados'!N220</f>
        <v/>
      </c>
      <c r="P227" s="7">
        <f>'1 datos preparados'!O220</f>
        <v/>
      </c>
      <c r="Q227" s="7">
        <f>'1 datos preparados'!P220</f>
        <v/>
      </c>
      <c r="R227" s="7">
        <f>'1 datos preparados'!Q220</f>
        <v/>
      </c>
      <c r="S227" s="7">
        <f>'1 datos preparados'!R220</f>
        <v/>
      </c>
      <c r="T227" s="7">
        <f>'1 datos preparados'!S220</f>
        <v/>
      </c>
      <c r="U227" s="7">
        <f>'1 datos preparados'!T220</f>
        <v/>
      </c>
      <c r="V227" s="8">
        <f>$AE$12+D227*$AE$13+E227*$AE$14+F227*$AE$15+G227*$AE$16+H227*$AE$17+I227*$AE$18+J227*$AE$19+K227*$AE$20+L227*$AE$21+M227*$AE$22+N227*$AE$23+O227*$AE$24+P227*$AE$25+Q227*$AE$26+R227*$AE$27+S227*$AE$28+T227*$AE$29+U227*$AE$30</f>
        <v/>
      </c>
      <c r="W227" s="8">
        <f>1/(1+EXP(-V227))</f>
        <v/>
      </c>
      <c r="X227" s="9">
        <f>-IF(C227=1,LN(W227),LN(1-W227))</f>
        <v/>
      </c>
      <c r="Y227" s="8">
        <f>'1 datos preparados'!V220</f>
        <v/>
      </c>
      <c r="Z227" s="9">
        <f>Y227*X227</f>
        <v/>
      </c>
      <c r="AA227" s="10">
        <f>IF(W227&gt;$AE$33,1,0)</f>
        <v/>
      </c>
      <c r="AB227">
        <f>IF(AA227=C227,1,0)</f>
        <v/>
      </c>
    </row>
    <row r="228">
      <c r="A228">
        <f>'1 datos preparados'!A221</f>
        <v/>
      </c>
      <c r="B228" s="5">
        <f>'1 datos preparados'!U221</f>
        <v/>
      </c>
      <c r="C228">
        <f>'1 datos preparados'!B221</f>
        <v/>
      </c>
      <c r="D228" s="7">
        <f>'1 datos preparados'!C221</f>
        <v/>
      </c>
      <c r="E228" s="7">
        <f>'1 datos preparados'!D221</f>
        <v/>
      </c>
      <c r="F228" s="7">
        <f>'1 datos preparados'!E221</f>
        <v/>
      </c>
      <c r="G228" s="7">
        <f>'1 datos preparados'!F221</f>
        <v/>
      </c>
      <c r="H228" s="7">
        <f>'1 datos preparados'!G221</f>
        <v/>
      </c>
      <c r="I228" s="7">
        <f>'1 datos preparados'!H221</f>
        <v/>
      </c>
      <c r="J228" s="7">
        <f>'1 datos preparados'!I221</f>
        <v/>
      </c>
      <c r="K228" s="7">
        <f>'1 datos preparados'!J221</f>
        <v/>
      </c>
      <c r="L228" s="7">
        <f>'1 datos preparados'!K221</f>
        <v/>
      </c>
      <c r="M228" s="7">
        <f>'1 datos preparados'!L221</f>
        <v/>
      </c>
      <c r="N228" s="7">
        <f>'1 datos preparados'!M221</f>
        <v/>
      </c>
      <c r="O228" s="7">
        <f>'1 datos preparados'!N221</f>
        <v/>
      </c>
      <c r="P228" s="7">
        <f>'1 datos preparados'!O221</f>
        <v/>
      </c>
      <c r="Q228" s="7">
        <f>'1 datos preparados'!P221</f>
        <v/>
      </c>
      <c r="R228" s="7">
        <f>'1 datos preparados'!Q221</f>
        <v/>
      </c>
      <c r="S228" s="7">
        <f>'1 datos preparados'!R221</f>
        <v/>
      </c>
      <c r="T228" s="7">
        <f>'1 datos preparados'!S221</f>
        <v/>
      </c>
      <c r="U228" s="7">
        <f>'1 datos preparados'!T221</f>
        <v/>
      </c>
      <c r="V228" s="8">
        <f>$AE$12+D228*$AE$13+E228*$AE$14+F228*$AE$15+G228*$AE$16+H228*$AE$17+I228*$AE$18+J228*$AE$19+K228*$AE$20+L228*$AE$21+M228*$AE$22+N228*$AE$23+O228*$AE$24+P228*$AE$25+Q228*$AE$26+R228*$AE$27+S228*$AE$28+T228*$AE$29+U228*$AE$30</f>
        <v/>
      </c>
      <c r="W228" s="8">
        <f>1/(1+EXP(-V228))</f>
        <v/>
      </c>
      <c r="X228" s="9">
        <f>-IF(C228=1,LN(W228),LN(1-W228))</f>
        <v/>
      </c>
      <c r="Y228" s="8">
        <f>'1 datos preparados'!V221</f>
        <v/>
      </c>
      <c r="Z228" s="9">
        <f>Y228*X228</f>
        <v/>
      </c>
      <c r="AA228" s="10">
        <f>IF(W228&gt;$AE$33,1,0)</f>
        <v/>
      </c>
      <c r="AB228">
        <f>IF(AA228=C228,1,0)</f>
        <v/>
      </c>
    </row>
    <row r="229">
      <c r="A229">
        <f>'1 datos preparados'!A222</f>
        <v/>
      </c>
      <c r="B229" s="5">
        <f>'1 datos preparados'!U222</f>
        <v/>
      </c>
      <c r="C229">
        <f>'1 datos preparados'!B222</f>
        <v/>
      </c>
      <c r="D229" s="7">
        <f>'1 datos preparados'!C222</f>
        <v/>
      </c>
      <c r="E229" s="7">
        <f>'1 datos preparados'!D222</f>
        <v/>
      </c>
      <c r="F229" s="7">
        <f>'1 datos preparados'!E222</f>
        <v/>
      </c>
      <c r="G229" s="7">
        <f>'1 datos preparados'!F222</f>
        <v/>
      </c>
      <c r="H229" s="7">
        <f>'1 datos preparados'!G222</f>
        <v/>
      </c>
      <c r="I229" s="7">
        <f>'1 datos preparados'!H222</f>
        <v/>
      </c>
      <c r="J229" s="7">
        <f>'1 datos preparados'!I222</f>
        <v/>
      </c>
      <c r="K229" s="7">
        <f>'1 datos preparados'!J222</f>
        <v/>
      </c>
      <c r="L229" s="7">
        <f>'1 datos preparados'!K222</f>
        <v/>
      </c>
      <c r="M229" s="7">
        <f>'1 datos preparados'!L222</f>
        <v/>
      </c>
      <c r="N229" s="7">
        <f>'1 datos preparados'!M222</f>
        <v/>
      </c>
      <c r="O229" s="7">
        <f>'1 datos preparados'!N222</f>
        <v/>
      </c>
      <c r="P229" s="7">
        <f>'1 datos preparados'!O222</f>
        <v/>
      </c>
      <c r="Q229" s="7">
        <f>'1 datos preparados'!P222</f>
        <v/>
      </c>
      <c r="R229" s="7">
        <f>'1 datos preparados'!Q222</f>
        <v/>
      </c>
      <c r="S229" s="7">
        <f>'1 datos preparados'!R222</f>
        <v/>
      </c>
      <c r="T229" s="7">
        <f>'1 datos preparados'!S222</f>
        <v/>
      </c>
      <c r="U229" s="7">
        <f>'1 datos preparados'!T222</f>
        <v/>
      </c>
      <c r="V229" s="8">
        <f>$AE$12+D229*$AE$13+E229*$AE$14+F229*$AE$15+G229*$AE$16+H229*$AE$17+I229*$AE$18+J229*$AE$19+K229*$AE$20+L229*$AE$21+M229*$AE$22+N229*$AE$23+O229*$AE$24+P229*$AE$25+Q229*$AE$26+R229*$AE$27+S229*$AE$28+T229*$AE$29+U229*$AE$30</f>
        <v/>
      </c>
      <c r="W229" s="8">
        <f>1/(1+EXP(-V229))</f>
        <v/>
      </c>
      <c r="X229" s="9">
        <f>-IF(C229=1,LN(W229),LN(1-W229))</f>
        <v/>
      </c>
      <c r="Y229" s="8">
        <f>'1 datos preparados'!V222</f>
        <v/>
      </c>
      <c r="Z229" s="9">
        <f>Y229*X229</f>
        <v/>
      </c>
      <c r="AA229" s="10">
        <f>IF(W229&gt;$AE$33,1,0)</f>
        <v/>
      </c>
      <c r="AB229">
        <f>IF(AA229=C229,1,0)</f>
        <v/>
      </c>
    </row>
    <row r="230">
      <c r="A230">
        <f>'1 datos preparados'!A223</f>
        <v/>
      </c>
      <c r="B230" s="5">
        <f>'1 datos preparados'!U223</f>
        <v/>
      </c>
      <c r="C230">
        <f>'1 datos preparados'!B223</f>
        <v/>
      </c>
      <c r="D230" s="7">
        <f>'1 datos preparados'!C223</f>
        <v/>
      </c>
      <c r="E230" s="7">
        <f>'1 datos preparados'!D223</f>
        <v/>
      </c>
      <c r="F230" s="7">
        <f>'1 datos preparados'!E223</f>
        <v/>
      </c>
      <c r="G230" s="7">
        <f>'1 datos preparados'!F223</f>
        <v/>
      </c>
      <c r="H230" s="7">
        <f>'1 datos preparados'!G223</f>
        <v/>
      </c>
      <c r="I230" s="7">
        <f>'1 datos preparados'!H223</f>
        <v/>
      </c>
      <c r="J230" s="7">
        <f>'1 datos preparados'!I223</f>
        <v/>
      </c>
      <c r="K230" s="7">
        <f>'1 datos preparados'!J223</f>
        <v/>
      </c>
      <c r="L230" s="7">
        <f>'1 datos preparados'!K223</f>
        <v/>
      </c>
      <c r="M230" s="7">
        <f>'1 datos preparados'!L223</f>
        <v/>
      </c>
      <c r="N230" s="7">
        <f>'1 datos preparados'!M223</f>
        <v/>
      </c>
      <c r="O230" s="7">
        <f>'1 datos preparados'!N223</f>
        <v/>
      </c>
      <c r="P230" s="7">
        <f>'1 datos preparados'!O223</f>
        <v/>
      </c>
      <c r="Q230" s="7">
        <f>'1 datos preparados'!P223</f>
        <v/>
      </c>
      <c r="R230" s="7">
        <f>'1 datos preparados'!Q223</f>
        <v/>
      </c>
      <c r="S230" s="7">
        <f>'1 datos preparados'!R223</f>
        <v/>
      </c>
      <c r="T230" s="7">
        <f>'1 datos preparados'!S223</f>
        <v/>
      </c>
      <c r="U230" s="7">
        <f>'1 datos preparados'!T223</f>
        <v/>
      </c>
      <c r="V230" s="8">
        <f>$AE$12+D230*$AE$13+E230*$AE$14+F230*$AE$15+G230*$AE$16+H230*$AE$17+I230*$AE$18+J230*$AE$19+K230*$AE$20+L230*$AE$21+M230*$AE$22+N230*$AE$23+O230*$AE$24+P230*$AE$25+Q230*$AE$26+R230*$AE$27+S230*$AE$28+T230*$AE$29+U230*$AE$30</f>
        <v/>
      </c>
      <c r="W230" s="8">
        <f>1/(1+EXP(-V230))</f>
        <v/>
      </c>
      <c r="X230" s="9">
        <f>-IF(C230=1,LN(W230),LN(1-W230))</f>
        <v/>
      </c>
      <c r="Y230" s="8">
        <f>'1 datos preparados'!V223</f>
        <v/>
      </c>
      <c r="Z230" s="9">
        <f>Y230*X230</f>
        <v/>
      </c>
      <c r="AA230" s="10">
        <f>IF(W230&gt;$AE$33,1,0)</f>
        <v/>
      </c>
      <c r="AB230">
        <f>IF(AA230=C230,1,0)</f>
        <v/>
      </c>
    </row>
    <row r="231">
      <c r="A231">
        <f>'1 datos preparados'!A224</f>
        <v/>
      </c>
      <c r="B231" s="5">
        <f>'1 datos preparados'!U224</f>
        <v/>
      </c>
      <c r="C231">
        <f>'1 datos preparados'!B224</f>
        <v/>
      </c>
      <c r="D231" s="7">
        <f>'1 datos preparados'!C224</f>
        <v/>
      </c>
      <c r="E231" s="7">
        <f>'1 datos preparados'!D224</f>
        <v/>
      </c>
      <c r="F231" s="7">
        <f>'1 datos preparados'!E224</f>
        <v/>
      </c>
      <c r="G231" s="7">
        <f>'1 datos preparados'!F224</f>
        <v/>
      </c>
      <c r="H231" s="7">
        <f>'1 datos preparados'!G224</f>
        <v/>
      </c>
      <c r="I231" s="7">
        <f>'1 datos preparados'!H224</f>
        <v/>
      </c>
      <c r="J231" s="7">
        <f>'1 datos preparados'!I224</f>
        <v/>
      </c>
      <c r="K231" s="7">
        <f>'1 datos preparados'!J224</f>
        <v/>
      </c>
      <c r="L231" s="7">
        <f>'1 datos preparados'!K224</f>
        <v/>
      </c>
      <c r="M231" s="7">
        <f>'1 datos preparados'!L224</f>
        <v/>
      </c>
      <c r="N231" s="7">
        <f>'1 datos preparados'!M224</f>
        <v/>
      </c>
      <c r="O231" s="7">
        <f>'1 datos preparados'!N224</f>
        <v/>
      </c>
      <c r="P231" s="7">
        <f>'1 datos preparados'!O224</f>
        <v/>
      </c>
      <c r="Q231" s="7">
        <f>'1 datos preparados'!P224</f>
        <v/>
      </c>
      <c r="R231" s="7">
        <f>'1 datos preparados'!Q224</f>
        <v/>
      </c>
      <c r="S231" s="7">
        <f>'1 datos preparados'!R224</f>
        <v/>
      </c>
      <c r="T231" s="7">
        <f>'1 datos preparados'!S224</f>
        <v/>
      </c>
      <c r="U231" s="7">
        <f>'1 datos preparados'!T224</f>
        <v/>
      </c>
      <c r="V231" s="8">
        <f>$AE$12+D231*$AE$13+E231*$AE$14+F231*$AE$15+G231*$AE$16+H231*$AE$17+I231*$AE$18+J231*$AE$19+K231*$AE$20+L231*$AE$21+M231*$AE$22+N231*$AE$23+O231*$AE$24+P231*$AE$25+Q231*$AE$26+R231*$AE$27+S231*$AE$28+T231*$AE$29+U231*$AE$30</f>
        <v/>
      </c>
      <c r="W231" s="8">
        <f>1/(1+EXP(-V231))</f>
        <v/>
      </c>
      <c r="X231" s="9">
        <f>-IF(C231=1,LN(W231),LN(1-W231))</f>
        <v/>
      </c>
      <c r="Y231" s="8">
        <f>'1 datos preparados'!V224</f>
        <v/>
      </c>
      <c r="Z231" s="9">
        <f>Y231*X231</f>
        <v/>
      </c>
      <c r="AA231" s="10">
        <f>IF(W231&gt;$AE$33,1,0)</f>
        <v/>
      </c>
      <c r="AB231">
        <f>IF(AA231=C231,1,0)</f>
        <v/>
      </c>
    </row>
    <row r="232">
      <c r="A232">
        <f>'1 datos preparados'!A225</f>
        <v/>
      </c>
      <c r="B232" s="5">
        <f>'1 datos preparados'!U225</f>
        <v/>
      </c>
      <c r="C232">
        <f>'1 datos preparados'!B225</f>
        <v/>
      </c>
      <c r="D232" s="7">
        <f>'1 datos preparados'!C225</f>
        <v/>
      </c>
      <c r="E232" s="7">
        <f>'1 datos preparados'!D225</f>
        <v/>
      </c>
      <c r="F232" s="7">
        <f>'1 datos preparados'!E225</f>
        <v/>
      </c>
      <c r="G232" s="7">
        <f>'1 datos preparados'!F225</f>
        <v/>
      </c>
      <c r="H232" s="7">
        <f>'1 datos preparados'!G225</f>
        <v/>
      </c>
      <c r="I232" s="7">
        <f>'1 datos preparados'!H225</f>
        <v/>
      </c>
      <c r="J232" s="7">
        <f>'1 datos preparados'!I225</f>
        <v/>
      </c>
      <c r="K232" s="7">
        <f>'1 datos preparados'!J225</f>
        <v/>
      </c>
      <c r="L232" s="7">
        <f>'1 datos preparados'!K225</f>
        <v/>
      </c>
      <c r="M232" s="7">
        <f>'1 datos preparados'!L225</f>
        <v/>
      </c>
      <c r="N232" s="7">
        <f>'1 datos preparados'!M225</f>
        <v/>
      </c>
      <c r="O232" s="7">
        <f>'1 datos preparados'!N225</f>
        <v/>
      </c>
      <c r="P232" s="7">
        <f>'1 datos preparados'!O225</f>
        <v/>
      </c>
      <c r="Q232" s="7">
        <f>'1 datos preparados'!P225</f>
        <v/>
      </c>
      <c r="R232" s="7">
        <f>'1 datos preparados'!Q225</f>
        <v/>
      </c>
      <c r="S232" s="7">
        <f>'1 datos preparados'!R225</f>
        <v/>
      </c>
      <c r="T232" s="7">
        <f>'1 datos preparados'!S225</f>
        <v/>
      </c>
      <c r="U232" s="7">
        <f>'1 datos preparados'!T225</f>
        <v/>
      </c>
      <c r="V232" s="8">
        <f>$AE$12+D232*$AE$13+E232*$AE$14+F232*$AE$15+G232*$AE$16+H232*$AE$17+I232*$AE$18+J232*$AE$19+K232*$AE$20+L232*$AE$21+M232*$AE$22+N232*$AE$23+O232*$AE$24+P232*$AE$25+Q232*$AE$26+R232*$AE$27+S232*$AE$28+T232*$AE$29+U232*$AE$30</f>
        <v/>
      </c>
      <c r="W232" s="8">
        <f>1/(1+EXP(-V232))</f>
        <v/>
      </c>
      <c r="X232" s="9">
        <f>-IF(C232=1,LN(W232),LN(1-W232))</f>
        <v/>
      </c>
      <c r="Y232" s="8">
        <f>'1 datos preparados'!V225</f>
        <v/>
      </c>
      <c r="Z232" s="9">
        <f>Y232*X232</f>
        <v/>
      </c>
      <c r="AA232" s="10">
        <f>IF(W232&gt;$AE$33,1,0)</f>
        <v/>
      </c>
      <c r="AB232">
        <f>IF(AA232=C232,1,0)</f>
        <v/>
      </c>
    </row>
    <row r="233">
      <c r="A233">
        <f>'1 datos preparados'!A226</f>
        <v/>
      </c>
      <c r="B233" s="5">
        <f>'1 datos preparados'!U226</f>
        <v/>
      </c>
      <c r="C233">
        <f>'1 datos preparados'!B226</f>
        <v/>
      </c>
      <c r="D233" s="7">
        <f>'1 datos preparados'!C226</f>
        <v/>
      </c>
      <c r="E233" s="7">
        <f>'1 datos preparados'!D226</f>
        <v/>
      </c>
      <c r="F233" s="7">
        <f>'1 datos preparados'!E226</f>
        <v/>
      </c>
      <c r="G233" s="7">
        <f>'1 datos preparados'!F226</f>
        <v/>
      </c>
      <c r="H233" s="7">
        <f>'1 datos preparados'!G226</f>
        <v/>
      </c>
      <c r="I233" s="7">
        <f>'1 datos preparados'!H226</f>
        <v/>
      </c>
      <c r="J233" s="7">
        <f>'1 datos preparados'!I226</f>
        <v/>
      </c>
      <c r="K233" s="7">
        <f>'1 datos preparados'!J226</f>
        <v/>
      </c>
      <c r="L233" s="7">
        <f>'1 datos preparados'!K226</f>
        <v/>
      </c>
      <c r="M233" s="7">
        <f>'1 datos preparados'!L226</f>
        <v/>
      </c>
      <c r="N233" s="7">
        <f>'1 datos preparados'!M226</f>
        <v/>
      </c>
      <c r="O233" s="7">
        <f>'1 datos preparados'!N226</f>
        <v/>
      </c>
      <c r="P233" s="7">
        <f>'1 datos preparados'!O226</f>
        <v/>
      </c>
      <c r="Q233" s="7">
        <f>'1 datos preparados'!P226</f>
        <v/>
      </c>
      <c r="R233" s="7">
        <f>'1 datos preparados'!Q226</f>
        <v/>
      </c>
      <c r="S233" s="7">
        <f>'1 datos preparados'!R226</f>
        <v/>
      </c>
      <c r="T233" s="7">
        <f>'1 datos preparados'!S226</f>
        <v/>
      </c>
      <c r="U233" s="7">
        <f>'1 datos preparados'!T226</f>
        <v/>
      </c>
      <c r="V233" s="8">
        <f>$AE$12+D233*$AE$13+E233*$AE$14+F233*$AE$15+G233*$AE$16+H233*$AE$17+I233*$AE$18+J233*$AE$19+K233*$AE$20+L233*$AE$21+M233*$AE$22+N233*$AE$23+O233*$AE$24+P233*$AE$25+Q233*$AE$26+R233*$AE$27+S233*$AE$28+T233*$AE$29+U233*$AE$30</f>
        <v/>
      </c>
      <c r="W233" s="8">
        <f>1/(1+EXP(-V233))</f>
        <v/>
      </c>
      <c r="X233" s="9">
        <f>-IF(C233=1,LN(W233),LN(1-W233))</f>
        <v/>
      </c>
      <c r="Y233" s="8">
        <f>'1 datos preparados'!V226</f>
        <v/>
      </c>
      <c r="Z233" s="9">
        <f>Y233*X233</f>
        <v/>
      </c>
      <c r="AA233" s="10">
        <f>IF(W233&gt;$AE$33,1,0)</f>
        <v/>
      </c>
      <c r="AB233">
        <f>IF(AA233=C233,1,0)</f>
        <v/>
      </c>
    </row>
    <row r="234">
      <c r="A234">
        <f>'1 datos preparados'!A227</f>
        <v/>
      </c>
      <c r="B234" s="5">
        <f>'1 datos preparados'!U227</f>
        <v/>
      </c>
      <c r="C234">
        <f>'1 datos preparados'!B227</f>
        <v/>
      </c>
      <c r="D234" s="7">
        <f>'1 datos preparados'!C227</f>
        <v/>
      </c>
      <c r="E234" s="7">
        <f>'1 datos preparados'!D227</f>
        <v/>
      </c>
      <c r="F234" s="7">
        <f>'1 datos preparados'!E227</f>
        <v/>
      </c>
      <c r="G234" s="7">
        <f>'1 datos preparados'!F227</f>
        <v/>
      </c>
      <c r="H234" s="7">
        <f>'1 datos preparados'!G227</f>
        <v/>
      </c>
      <c r="I234" s="7">
        <f>'1 datos preparados'!H227</f>
        <v/>
      </c>
      <c r="J234" s="7">
        <f>'1 datos preparados'!I227</f>
        <v/>
      </c>
      <c r="K234" s="7">
        <f>'1 datos preparados'!J227</f>
        <v/>
      </c>
      <c r="L234" s="7">
        <f>'1 datos preparados'!K227</f>
        <v/>
      </c>
      <c r="M234" s="7">
        <f>'1 datos preparados'!L227</f>
        <v/>
      </c>
      <c r="N234" s="7">
        <f>'1 datos preparados'!M227</f>
        <v/>
      </c>
      <c r="O234" s="7">
        <f>'1 datos preparados'!N227</f>
        <v/>
      </c>
      <c r="P234" s="7">
        <f>'1 datos preparados'!O227</f>
        <v/>
      </c>
      <c r="Q234" s="7">
        <f>'1 datos preparados'!P227</f>
        <v/>
      </c>
      <c r="R234" s="7">
        <f>'1 datos preparados'!Q227</f>
        <v/>
      </c>
      <c r="S234" s="7">
        <f>'1 datos preparados'!R227</f>
        <v/>
      </c>
      <c r="T234" s="7">
        <f>'1 datos preparados'!S227</f>
        <v/>
      </c>
      <c r="U234" s="7">
        <f>'1 datos preparados'!T227</f>
        <v/>
      </c>
      <c r="V234" s="8">
        <f>$AE$12+D234*$AE$13+E234*$AE$14+F234*$AE$15+G234*$AE$16+H234*$AE$17+I234*$AE$18+J234*$AE$19+K234*$AE$20+L234*$AE$21+M234*$AE$22+N234*$AE$23+O234*$AE$24+P234*$AE$25+Q234*$AE$26+R234*$AE$27+S234*$AE$28+T234*$AE$29+U234*$AE$30</f>
        <v/>
      </c>
      <c r="W234" s="8">
        <f>1/(1+EXP(-V234))</f>
        <v/>
      </c>
      <c r="X234" s="9">
        <f>-IF(C234=1,LN(W234),LN(1-W234))</f>
        <v/>
      </c>
      <c r="Y234" s="8">
        <f>'1 datos preparados'!V227</f>
        <v/>
      </c>
      <c r="Z234" s="9">
        <f>Y234*X234</f>
        <v/>
      </c>
      <c r="AA234" s="10">
        <f>IF(W234&gt;$AE$33,1,0)</f>
        <v/>
      </c>
      <c r="AB234">
        <f>IF(AA234=C234,1,0)</f>
        <v/>
      </c>
    </row>
    <row r="235">
      <c r="A235">
        <f>'1 datos preparados'!A228</f>
        <v/>
      </c>
      <c r="B235" s="5">
        <f>'1 datos preparados'!U228</f>
        <v/>
      </c>
      <c r="C235">
        <f>'1 datos preparados'!B228</f>
        <v/>
      </c>
      <c r="D235" s="7">
        <f>'1 datos preparados'!C228</f>
        <v/>
      </c>
      <c r="E235" s="7">
        <f>'1 datos preparados'!D228</f>
        <v/>
      </c>
      <c r="F235" s="7">
        <f>'1 datos preparados'!E228</f>
        <v/>
      </c>
      <c r="G235" s="7">
        <f>'1 datos preparados'!F228</f>
        <v/>
      </c>
      <c r="H235" s="7">
        <f>'1 datos preparados'!G228</f>
        <v/>
      </c>
      <c r="I235" s="7">
        <f>'1 datos preparados'!H228</f>
        <v/>
      </c>
      <c r="J235" s="7">
        <f>'1 datos preparados'!I228</f>
        <v/>
      </c>
      <c r="K235" s="7">
        <f>'1 datos preparados'!J228</f>
        <v/>
      </c>
      <c r="L235" s="7">
        <f>'1 datos preparados'!K228</f>
        <v/>
      </c>
      <c r="M235" s="7">
        <f>'1 datos preparados'!L228</f>
        <v/>
      </c>
      <c r="N235" s="7">
        <f>'1 datos preparados'!M228</f>
        <v/>
      </c>
      <c r="O235" s="7">
        <f>'1 datos preparados'!N228</f>
        <v/>
      </c>
      <c r="P235" s="7">
        <f>'1 datos preparados'!O228</f>
        <v/>
      </c>
      <c r="Q235" s="7">
        <f>'1 datos preparados'!P228</f>
        <v/>
      </c>
      <c r="R235" s="7">
        <f>'1 datos preparados'!Q228</f>
        <v/>
      </c>
      <c r="S235" s="7">
        <f>'1 datos preparados'!R228</f>
        <v/>
      </c>
      <c r="T235" s="7">
        <f>'1 datos preparados'!S228</f>
        <v/>
      </c>
      <c r="U235" s="7">
        <f>'1 datos preparados'!T228</f>
        <v/>
      </c>
      <c r="V235" s="8">
        <f>$AE$12+D235*$AE$13+E235*$AE$14+F235*$AE$15+G235*$AE$16+H235*$AE$17+I235*$AE$18+J235*$AE$19+K235*$AE$20+L235*$AE$21+M235*$AE$22+N235*$AE$23+O235*$AE$24+P235*$AE$25+Q235*$AE$26+R235*$AE$27+S235*$AE$28+T235*$AE$29+U235*$AE$30</f>
        <v/>
      </c>
      <c r="W235" s="8">
        <f>1/(1+EXP(-V235))</f>
        <v/>
      </c>
      <c r="X235" s="9">
        <f>-IF(C235=1,LN(W235),LN(1-W235))</f>
        <v/>
      </c>
      <c r="Y235" s="8">
        <f>'1 datos preparados'!V228</f>
        <v/>
      </c>
      <c r="Z235" s="9">
        <f>Y235*X235</f>
        <v/>
      </c>
      <c r="AA235" s="10">
        <f>IF(W235&gt;$AE$33,1,0)</f>
        <v/>
      </c>
      <c r="AB235">
        <f>IF(AA235=C235,1,0)</f>
        <v/>
      </c>
    </row>
    <row r="236">
      <c r="A236">
        <f>'1 datos preparados'!A229</f>
        <v/>
      </c>
      <c r="B236" s="5">
        <f>'1 datos preparados'!U229</f>
        <v/>
      </c>
      <c r="C236">
        <f>'1 datos preparados'!B229</f>
        <v/>
      </c>
      <c r="D236" s="7">
        <f>'1 datos preparados'!C229</f>
        <v/>
      </c>
      <c r="E236" s="7">
        <f>'1 datos preparados'!D229</f>
        <v/>
      </c>
      <c r="F236" s="7">
        <f>'1 datos preparados'!E229</f>
        <v/>
      </c>
      <c r="G236" s="7">
        <f>'1 datos preparados'!F229</f>
        <v/>
      </c>
      <c r="H236" s="7">
        <f>'1 datos preparados'!G229</f>
        <v/>
      </c>
      <c r="I236" s="7">
        <f>'1 datos preparados'!H229</f>
        <v/>
      </c>
      <c r="J236" s="7">
        <f>'1 datos preparados'!I229</f>
        <v/>
      </c>
      <c r="K236" s="7">
        <f>'1 datos preparados'!J229</f>
        <v/>
      </c>
      <c r="L236" s="7">
        <f>'1 datos preparados'!K229</f>
        <v/>
      </c>
      <c r="M236" s="7">
        <f>'1 datos preparados'!L229</f>
        <v/>
      </c>
      <c r="N236" s="7">
        <f>'1 datos preparados'!M229</f>
        <v/>
      </c>
      <c r="O236" s="7">
        <f>'1 datos preparados'!N229</f>
        <v/>
      </c>
      <c r="P236" s="7">
        <f>'1 datos preparados'!O229</f>
        <v/>
      </c>
      <c r="Q236" s="7">
        <f>'1 datos preparados'!P229</f>
        <v/>
      </c>
      <c r="R236" s="7">
        <f>'1 datos preparados'!Q229</f>
        <v/>
      </c>
      <c r="S236" s="7">
        <f>'1 datos preparados'!R229</f>
        <v/>
      </c>
      <c r="T236" s="7">
        <f>'1 datos preparados'!S229</f>
        <v/>
      </c>
      <c r="U236" s="7">
        <f>'1 datos preparados'!T229</f>
        <v/>
      </c>
      <c r="V236" s="8">
        <f>$AE$12+D236*$AE$13+E236*$AE$14+F236*$AE$15+G236*$AE$16+H236*$AE$17+I236*$AE$18+J236*$AE$19+K236*$AE$20+L236*$AE$21+M236*$AE$22+N236*$AE$23+O236*$AE$24+P236*$AE$25+Q236*$AE$26+R236*$AE$27+S236*$AE$28+T236*$AE$29+U236*$AE$30</f>
        <v/>
      </c>
      <c r="W236" s="8">
        <f>1/(1+EXP(-V236))</f>
        <v/>
      </c>
      <c r="X236" s="9">
        <f>-IF(C236=1,LN(W236),LN(1-W236))</f>
        <v/>
      </c>
      <c r="Y236" s="8">
        <f>'1 datos preparados'!V229</f>
        <v/>
      </c>
      <c r="Z236" s="9">
        <f>Y236*X236</f>
        <v/>
      </c>
      <c r="AA236" s="10">
        <f>IF(W236&gt;$AE$33,1,0)</f>
        <v/>
      </c>
      <c r="AB236">
        <f>IF(AA236=C236,1,0)</f>
        <v/>
      </c>
    </row>
    <row r="237">
      <c r="A237">
        <f>'1 datos preparados'!A230</f>
        <v/>
      </c>
      <c r="B237" s="5">
        <f>'1 datos preparados'!U230</f>
        <v/>
      </c>
      <c r="C237">
        <f>'1 datos preparados'!B230</f>
        <v/>
      </c>
      <c r="D237" s="7">
        <f>'1 datos preparados'!C230</f>
        <v/>
      </c>
      <c r="E237" s="7">
        <f>'1 datos preparados'!D230</f>
        <v/>
      </c>
      <c r="F237" s="7">
        <f>'1 datos preparados'!E230</f>
        <v/>
      </c>
      <c r="G237" s="7">
        <f>'1 datos preparados'!F230</f>
        <v/>
      </c>
      <c r="H237" s="7">
        <f>'1 datos preparados'!G230</f>
        <v/>
      </c>
      <c r="I237" s="7">
        <f>'1 datos preparados'!H230</f>
        <v/>
      </c>
      <c r="J237" s="7">
        <f>'1 datos preparados'!I230</f>
        <v/>
      </c>
      <c r="K237" s="7">
        <f>'1 datos preparados'!J230</f>
        <v/>
      </c>
      <c r="L237" s="7">
        <f>'1 datos preparados'!K230</f>
        <v/>
      </c>
      <c r="M237" s="7">
        <f>'1 datos preparados'!L230</f>
        <v/>
      </c>
      <c r="N237" s="7">
        <f>'1 datos preparados'!M230</f>
        <v/>
      </c>
      <c r="O237" s="7">
        <f>'1 datos preparados'!N230</f>
        <v/>
      </c>
      <c r="P237" s="7">
        <f>'1 datos preparados'!O230</f>
        <v/>
      </c>
      <c r="Q237" s="7">
        <f>'1 datos preparados'!P230</f>
        <v/>
      </c>
      <c r="R237" s="7">
        <f>'1 datos preparados'!Q230</f>
        <v/>
      </c>
      <c r="S237" s="7">
        <f>'1 datos preparados'!R230</f>
        <v/>
      </c>
      <c r="T237" s="7">
        <f>'1 datos preparados'!S230</f>
        <v/>
      </c>
      <c r="U237" s="7">
        <f>'1 datos preparados'!T230</f>
        <v/>
      </c>
      <c r="V237" s="8">
        <f>$AE$12+D237*$AE$13+E237*$AE$14+F237*$AE$15+G237*$AE$16+H237*$AE$17+I237*$AE$18+J237*$AE$19+K237*$AE$20+L237*$AE$21+M237*$AE$22+N237*$AE$23+O237*$AE$24+P237*$AE$25+Q237*$AE$26+R237*$AE$27+S237*$AE$28+T237*$AE$29+U237*$AE$30</f>
        <v/>
      </c>
      <c r="W237" s="8">
        <f>1/(1+EXP(-V237))</f>
        <v/>
      </c>
      <c r="X237" s="9">
        <f>-IF(C237=1,LN(W237),LN(1-W237))</f>
        <v/>
      </c>
      <c r="Y237" s="8">
        <f>'1 datos preparados'!V230</f>
        <v/>
      </c>
      <c r="Z237" s="9">
        <f>Y237*X237</f>
        <v/>
      </c>
      <c r="AA237" s="10">
        <f>IF(W237&gt;$AE$33,1,0)</f>
        <v/>
      </c>
      <c r="AB237">
        <f>IF(AA237=C237,1,0)</f>
        <v/>
      </c>
    </row>
    <row r="238">
      <c r="A238">
        <f>'1 datos preparados'!A231</f>
        <v/>
      </c>
      <c r="B238" s="5">
        <f>'1 datos preparados'!U231</f>
        <v/>
      </c>
      <c r="C238">
        <f>'1 datos preparados'!B231</f>
        <v/>
      </c>
      <c r="D238" s="7">
        <f>'1 datos preparados'!C231</f>
        <v/>
      </c>
      <c r="E238" s="7">
        <f>'1 datos preparados'!D231</f>
        <v/>
      </c>
      <c r="F238" s="7">
        <f>'1 datos preparados'!E231</f>
        <v/>
      </c>
      <c r="G238" s="7">
        <f>'1 datos preparados'!F231</f>
        <v/>
      </c>
      <c r="H238" s="7">
        <f>'1 datos preparados'!G231</f>
        <v/>
      </c>
      <c r="I238" s="7">
        <f>'1 datos preparados'!H231</f>
        <v/>
      </c>
      <c r="J238" s="7">
        <f>'1 datos preparados'!I231</f>
        <v/>
      </c>
      <c r="K238" s="7">
        <f>'1 datos preparados'!J231</f>
        <v/>
      </c>
      <c r="L238" s="7">
        <f>'1 datos preparados'!K231</f>
        <v/>
      </c>
      <c r="M238" s="7">
        <f>'1 datos preparados'!L231</f>
        <v/>
      </c>
      <c r="N238" s="7">
        <f>'1 datos preparados'!M231</f>
        <v/>
      </c>
      <c r="O238" s="7">
        <f>'1 datos preparados'!N231</f>
        <v/>
      </c>
      <c r="P238" s="7">
        <f>'1 datos preparados'!O231</f>
        <v/>
      </c>
      <c r="Q238" s="7">
        <f>'1 datos preparados'!P231</f>
        <v/>
      </c>
      <c r="R238" s="7">
        <f>'1 datos preparados'!Q231</f>
        <v/>
      </c>
      <c r="S238" s="7">
        <f>'1 datos preparados'!R231</f>
        <v/>
      </c>
      <c r="T238" s="7">
        <f>'1 datos preparados'!S231</f>
        <v/>
      </c>
      <c r="U238" s="7">
        <f>'1 datos preparados'!T231</f>
        <v/>
      </c>
      <c r="V238" s="8">
        <f>$AE$12+D238*$AE$13+E238*$AE$14+F238*$AE$15+G238*$AE$16+H238*$AE$17+I238*$AE$18+J238*$AE$19+K238*$AE$20+L238*$AE$21+M238*$AE$22+N238*$AE$23+O238*$AE$24+P238*$AE$25+Q238*$AE$26+R238*$AE$27+S238*$AE$28+T238*$AE$29+U238*$AE$30</f>
        <v/>
      </c>
      <c r="W238" s="8">
        <f>1/(1+EXP(-V238))</f>
        <v/>
      </c>
      <c r="X238" s="9">
        <f>-IF(C238=1,LN(W238),LN(1-W238))</f>
        <v/>
      </c>
      <c r="Y238" s="8">
        <f>'1 datos preparados'!V231</f>
        <v/>
      </c>
      <c r="Z238" s="9">
        <f>Y238*X238</f>
        <v/>
      </c>
      <c r="AA238" s="10">
        <f>IF(W238&gt;$AE$33,1,0)</f>
        <v/>
      </c>
      <c r="AB238">
        <f>IF(AA238=C238,1,0)</f>
        <v/>
      </c>
    </row>
    <row r="239">
      <c r="A239">
        <f>'1 datos preparados'!A232</f>
        <v/>
      </c>
      <c r="B239" s="5">
        <f>'1 datos preparados'!U232</f>
        <v/>
      </c>
      <c r="C239">
        <f>'1 datos preparados'!B232</f>
        <v/>
      </c>
      <c r="D239" s="7">
        <f>'1 datos preparados'!C232</f>
        <v/>
      </c>
      <c r="E239" s="7">
        <f>'1 datos preparados'!D232</f>
        <v/>
      </c>
      <c r="F239" s="7">
        <f>'1 datos preparados'!E232</f>
        <v/>
      </c>
      <c r="G239" s="7">
        <f>'1 datos preparados'!F232</f>
        <v/>
      </c>
      <c r="H239" s="7">
        <f>'1 datos preparados'!G232</f>
        <v/>
      </c>
      <c r="I239" s="7">
        <f>'1 datos preparados'!H232</f>
        <v/>
      </c>
      <c r="J239" s="7">
        <f>'1 datos preparados'!I232</f>
        <v/>
      </c>
      <c r="K239" s="7">
        <f>'1 datos preparados'!J232</f>
        <v/>
      </c>
      <c r="L239" s="7">
        <f>'1 datos preparados'!K232</f>
        <v/>
      </c>
      <c r="M239" s="7">
        <f>'1 datos preparados'!L232</f>
        <v/>
      </c>
      <c r="N239" s="7">
        <f>'1 datos preparados'!M232</f>
        <v/>
      </c>
      <c r="O239" s="7">
        <f>'1 datos preparados'!N232</f>
        <v/>
      </c>
      <c r="P239" s="7">
        <f>'1 datos preparados'!O232</f>
        <v/>
      </c>
      <c r="Q239" s="7">
        <f>'1 datos preparados'!P232</f>
        <v/>
      </c>
      <c r="R239" s="7">
        <f>'1 datos preparados'!Q232</f>
        <v/>
      </c>
      <c r="S239" s="7">
        <f>'1 datos preparados'!R232</f>
        <v/>
      </c>
      <c r="T239" s="7">
        <f>'1 datos preparados'!S232</f>
        <v/>
      </c>
      <c r="U239" s="7">
        <f>'1 datos preparados'!T232</f>
        <v/>
      </c>
      <c r="V239" s="8">
        <f>$AE$12+D239*$AE$13+E239*$AE$14+F239*$AE$15+G239*$AE$16+H239*$AE$17+I239*$AE$18+J239*$AE$19+K239*$AE$20+L239*$AE$21+M239*$AE$22+N239*$AE$23+O239*$AE$24+P239*$AE$25+Q239*$AE$26+R239*$AE$27+S239*$AE$28+T239*$AE$29+U239*$AE$30</f>
        <v/>
      </c>
      <c r="W239" s="8">
        <f>1/(1+EXP(-V239))</f>
        <v/>
      </c>
      <c r="X239" s="9">
        <f>-IF(C239=1,LN(W239),LN(1-W239))</f>
        <v/>
      </c>
      <c r="Y239" s="8">
        <f>'1 datos preparados'!V232</f>
        <v/>
      </c>
      <c r="Z239" s="9">
        <f>Y239*X239</f>
        <v/>
      </c>
      <c r="AA239" s="10">
        <f>IF(W239&gt;$AE$33,1,0)</f>
        <v/>
      </c>
      <c r="AB239">
        <f>IF(AA239=C239,1,0)</f>
        <v/>
      </c>
    </row>
    <row r="240">
      <c r="A240">
        <f>'1 datos preparados'!A233</f>
        <v/>
      </c>
      <c r="B240" s="5">
        <f>'1 datos preparados'!U233</f>
        <v/>
      </c>
      <c r="C240">
        <f>'1 datos preparados'!B233</f>
        <v/>
      </c>
      <c r="D240" s="7">
        <f>'1 datos preparados'!C233</f>
        <v/>
      </c>
      <c r="E240" s="7">
        <f>'1 datos preparados'!D233</f>
        <v/>
      </c>
      <c r="F240" s="7">
        <f>'1 datos preparados'!E233</f>
        <v/>
      </c>
      <c r="G240" s="7">
        <f>'1 datos preparados'!F233</f>
        <v/>
      </c>
      <c r="H240" s="7">
        <f>'1 datos preparados'!G233</f>
        <v/>
      </c>
      <c r="I240" s="7">
        <f>'1 datos preparados'!H233</f>
        <v/>
      </c>
      <c r="J240" s="7">
        <f>'1 datos preparados'!I233</f>
        <v/>
      </c>
      <c r="K240" s="7">
        <f>'1 datos preparados'!J233</f>
        <v/>
      </c>
      <c r="L240" s="7">
        <f>'1 datos preparados'!K233</f>
        <v/>
      </c>
      <c r="M240" s="7">
        <f>'1 datos preparados'!L233</f>
        <v/>
      </c>
      <c r="N240" s="7">
        <f>'1 datos preparados'!M233</f>
        <v/>
      </c>
      <c r="O240" s="7">
        <f>'1 datos preparados'!N233</f>
        <v/>
      </c>
      <c r="P240" s="7">
        <f>'1 datos preparados'!O233</f>
        <v/>
      </c>
      <c r="Q240" s="7">
        <f>'1 datos preparados'!P233</f>
        <v/>
      </c>
      <c r="R240" s="7">
        <f>'1 datos preparados'!Q233</f>
        <v/>
      </c>
      <c r="S240" s="7">
        <f>'1 datos preparados'!R233</f>
        <v/>
      </c>
      <c r="T240" s="7">
        <f>'1 datos preparados'!S233</f>
        <v/>
      </c>
      <c r="U240" s="7">
        <f>'1 datos preparados'!T233</f>
        <v/>
      </c>
      <c r="V240" s="8">
        <f>$AE$12+D240*$AE$13+E240*$AE$14+F240*$AE$15+G240*$AE$16+H240*$AE$17+I240*$AE$18+J240*$AE$19+K240*$AE$20+L240*$AE$21+M240*$AE$22+N240*$AE$23+O240*$AE$24+P240*$AE$25+Q240*$AE$26+R240*$AE$27+S240*$AE$28+T240*$AE$29+U240*$AE$30</f>
        <v/>
      </c>
      <c r="W240" s="8">
        <f>1/(1+EXP(-V240))</f>
        <v/>
      </c>
      <c r="X240" s="9">
        <f>-IF(C240=1,LN(W240),LN(1-W240))</f>
        <v/>
      </c>
      <c r="Y240" s="8">
        <f>'1 datos preparados'!V233</f>
        <v/>
      </c>
      <c r="Z240" s="9">
        <f>Y240*X240</f>
        <v/>
      </c>
      <c r="AA240" s="10">
        <f>IF(W240&gt;$AE$33,1,0)</f>
        <v/>
      </c>
      <c r="AB240">
        <f>IF(AA240=C240,1,0)</f>
        <v/>
      </c>
    </row>
    <row r="241">
      <c r="A241">
        <f>'1 datos preparados'!A234</f>
        <v/>
      </c>
      <c r="B241" s="5">
        <f>'1 datos preparados'!U234</f>
        <v/>
      </c>
      <c r="C241">
        <f>'1 datos preparados'!B234</f>
        <v/>
      </c>
      <c r="D241" s="7">
        <f>'1 datos preparados'!C234</f>
        <v/>
      </c>
      <c r="E241" s="7">
        <f>'1 datos preparados'!D234</f>
        <v/>
      </c>
      <c r="F241" s="7">
        <f>'1 datos preparados'!E234</f>
        <v/>
      </c>
      <c r="G241" s="7">
        <f>'1 datos preparados'!F234</f>
        <v/>
      </c>
      <c r="H241" s="7">
        <f>'1 datos preparados'!G234</f>
        <v/>
      </c>
      <c r="I241" s="7">
        <f>'1 datos preparados'!H234</f>
        <v/>
      </c>
      <c r="J241" s="7">
        <f>'1 datos preparados'!I234</f>
        <v/>
      </c>
      <c r="K241" s="7">
        <f>'1 datos preparados'!J234</f>
        <v/>
      </c>
      <c r="L241" s="7">
        <f>'1 datos preparados'!K234</f>
        <v/>
      </c>
      <c r="M241" s="7">
        <f>'1 datos preparados'!L234</f>
        <v/>
      </c>
      <c r="N241" s="7">
        <f>'1 datos preparados'!M234</f>
        <v/>
      </c>
      <c r="O241" s="7">
        <f>'1 datos preparados'!N234</f>
        <v/>
      </c>
      <c r="P241" s="7">
        <f>'1 datos preparados'!O234</f>
        <v/>
      </c>
      <c r="Q241" s="7">
        <f>'1 datos preparados'!P234</f>
        <v/>
      </c>
      <c r="R241" s="7">
        <f>'1 datos preparados'!Q234</f>
        <v/>
      </c>
      <c r="S241" s="7">
        <f>'1 datos preparados'!R234</f>
        <v/>
      </c>
      <c r="T241" s="7">
        <f>'1 datos preparados'!S234</f>
        <v/>
      </c>
      <c r="U241" s="7">
        <f>'1 datos preparados'!T234</f>
        <v/>
      </c>
      <c r="V241" s="8">
        <f>$AE$12+D241*$AE$13+E241*$AE$14+F241*$AE$15+G241*$AE$16+H241*$AE$17+I241*$AE$18+J241*$AE$19+K241*$AE$20+L241*$AE$21+M241*$AE$22+N241*$AE$23+O241*$AE$24+P241*$AE$25+Q241*$AE$26+R241*$AE$27+S241*$AE$28+T241*$AE$29+U241*$AE$30</f>
        <v/>
      </c>
      <c r="W241" s="8">
        <f>1/(1+EXP(-V241))</f>
        <v/>
      </c>
      <c r="X241" s="9">
        <f>-IF(C241=1,LN(W241),LN(1-W241))</f>
        <v/>
      </c>
      <c r="Y241" s="8">
        <f>'1 datos preparados'!V234</f>
        <v/>
      </c>
      <c r="Z241" s="9">
        <f>Y241*X241</f>
        <v/>
      </c>
      <c r="AA241" s="10">
        <f>IF(W241&gt;$AE$33,1,0)</f>
        <v/>
      </c>
      <c r="AB241">
        <f>IF(AA241=C241,1,0)</f>
        <v/>
      </c>
    </row>
    <row r="242">
      <c r="A242">
        <f>'1 datos preparados'!A235</f>
        <v/>
      </c>
      <c r="B242" s="5">
        <f>'1 datos preparados'!U235</f>
        <v/>
      </c>
      <c r="C242">
        <f>'1 datos preparados'!B235</f>
        <v/>
      </c>
      <c r="D242" s="7">
        <f>'1 datos preparados'!C235</f>
        <v/>
      </c>
      <c r="E242" s="7">
        <f>'1 datos preparados'!D235</f>
        <v/>
      </c>
      <c r="F242" s="7">
        <f>'1 datos preparados'!E235</f>
        <v/>
      </c>
      <c r="G242" s="7">
        <f>'1 datos preparados'!F235</f>
        <v/>
      </c>
      <c r="H242" s="7">
        <f>'1 datos preparados'!G235</f>
        <v/>
      </c>
      <c r="I242" s="7">
        <f>'1 datos preparados'!H235</f>
        <v/>
      </c>
      <c r="J242" s="7">
        <f>'1 datos preparados'!I235</f>
        <v/>
      </c>
      <c r="K242" s="7">
        <f>'1 datos preparados'!J235</f>
        <v/>
      </c>
      <c r="L242" s="7">
        <f>'1 datos preparados'!K235</f>
        <v/>
      </c>
      <c r="M242" s="7">
        <f>'1 datos preparados'!L235</f>
        <v/>
      </c>
      <c r="N242" s="7">
        <f>'1 datos preparados'!M235</f>
        <v/>
      </c>
      <c r="O242" s="7">
        <f>'1 datos preparados'!N235</f>
        <v/>
      </c>
      <c r="P242" s="7">
        <f>'1 datos preparados'!O235</f>
        <v/>
      </c>
      <c r="Q242" s="7">
        <f>'1 datos preparados'!P235</f>
        <v/>
      </c>
      <c r="R242" s="7">
        <f>'1 datos preparados'!Q235</f>
        <v/>
      </c>
      <c r="S242" s="7">
        <f>'1 datos preparados'!R235</f>
        <v/>
      </c>
      <c r="T242" s="7">
        <f>'1 datos preparados'!S235</f>
        <v/>
      </c>
      <c r="U242" s="7">
        <f>'1 datos preparados'!T235</f>
        <v/>
      </c>
      <c r="V242" s="8">
        <f>$AE$12+D242*$AE$13+E242*$AE$14+F242*$AE$15+G242*$AE$16+H242*$AE$17+I242*$AE$18+J242*$AE$19+K242*$AE$20+L242*$AE$21+M242*$AE$22+N242*$AE$23+O242*$AE$24+P242*$AE$25+Q242*$AE$26+R242*$AE$27+S242*$AE$28+T242*$AE$29+U242*$AE$30</f>
        <v/>
      </c>
      <c r="W242" s="8">
        <f>1/(1+EXP(-V242))</f>
        <v/>
      </c>
      <c r="X242" s="9">
        <f>-IF(C242=1,LN(W242),LN(1-W242))</f>
        <v/>
      </c>
      <c r="Y242" s="8">
        <f>'1 datos preparados'!V235</f>
        <v/>
      </c>
      <c r="Z242" s="9">
        <f>Y242*X242</f>
        <v/>
      </c>
      <c r="AA242" s="10">
        <f>IF(W242&gt;$AE$33,1,0)</f>
        <v/>
      </c>
      <c r="AB242">
        <f>IF(AA242=C242,1,0)</f>
        <v/>
      </c>
    </row>
    <row r="243">
      <c r="A243">
        <f>'1 datos preparados'!A236</f>
        <v/>
      </c>
      <c r="B243" s="5">
        <f>'1 datos preparados'!U236</f>
        <v/>
      </c>
      <c r="C243">
        <f>'1 datos preparados'!B236</f>
        <v/>
      </c>
      <c r="D243" s="7">
        <f>'1 datos preparados'!C236</f>
        <v/>
      </c>
      <c r="E243" s="7">
        <f>'1 datos preparados'!D236</f>
        <v/>
      </c>
      <c r="F243" s="7">
        <f>'1 datos preparados'!E236</f>
        <v/>
      </c>
      <c r="G243" s="7">
        <f>'1 datos preparados'!F236</f>
        <v/>
      </c>
      <c r="H243" s="7">
        <f>'1 datos preparados'!G236</f>
        <v/>
      </c>
      <c r="I243" s="7">
        <f>'1 datos preparados'!H236</f>
        <v/>
      </c>
      <c r="J243" s="7">
        <f>'1 datos preparados'!I236</f>
        <v/>
      </c>
      <c r="K243" s="7">
        <f>'1 datos preparados'!J236</f>
        <v/>
      </c>
      <c r="L243" s="7">
        <f>'1 datos preparados'!K236</f>
        <v/>
      </c>
      <c r="M243" s="7">
        <f>'1 datos preparados'!L236</f>
        <v/>
      </c>
      <c r="N243" s="7">
        <f>'1 datos preparados'!M236</f>
        <v/>
      </c>
      <c r="O243" s="7">
        <f>'1 datos preparados'!N236</f>
        <v/>
      </c>
      <c r="P243" s="7">
        <f>'1 datos preparados'!O236</f>
        <v/>
      </c>
      <c r="Q243" s="7">
        <f>'1 datos preparados'!P236</f>
        <v/>
      </c>
      <c r="R243" s="7">
        <f>'1 datos preparados'!Q236</f>
        <v/>
      </c>
      <c r="S243" s="7">
        <f>'1 datos preparados'!R236</f>
        <v/>
      </c>
      <c r="T243" s="7">
        <f>'1 datos preparados'!S236</f>
        <v/>
      </c>
      <c r="U243" s="7">
        <f>'1 datos preparados'!T236</f>
        <v/>
      </c>
      <c r="V243" s="8">
        <f>$AE$12+D243*$AE$13+E243*$AE$14+F243*$AE$15+G243*$AE$16+H243*$AE$17+I243*$AE$18+J243*$AE$19+K243*$AE$20+L243*$AE$21+M243*$AE$22+N243*$AE$23+O243*$AE$24+P243*$AE$25+Q243*$AE$26+R243*$AE$27+S243*$AE$28+T243*$AE$29+U243*$AE$30</f>
        <v/>
      </c>
      <c r="W243" s="8">
        <f>1/(1+EXP(-V243))</f>
        <v/>
      </c>
      <c r="X243" s="9">
        <f>-IF(C243=1,LN(W243),LN(1-W243))</f>
        <v/>
      </c>
      <c r="Y243" s="8">
        <f>'1 datos preparados'!V236</f>
        <v/>
      </c>
      <c r="Z243" s="9">
        <f>Y243*X243</f>
        <v/>
      </c>
      <c r="AA243" s="10">
        <f>IF(W243&gt;$AE$33,1,0)</f>
        <v/>
      </c>
      <c r="AB243">
        <f>IF(AA243=C243,1,0)</f>
        <v/>
      </c>
    </row>
    <row r="244">
      <c r="A244">
        <f>'1 datos preparados'!A237</f>
        <v/>
      </c>
      <c r="B244" s="5">
        <f>'1 datos preparados'!U237</f>
        <v/>
      </c>
      <c r="C244">
        <f>'1 datos preparados'!B237</f>
        <v/>
      </c>
      <c r="D244" s="7">
        <f>'1 datos preparados'!C237</f>
        <v/>
      </c>
      <c r="E244" s="7">
        <f>'1 datos preparados'!D237</f>
        <v/>
      </c>
      <c r="F244" s="7">
        <f>'1 datos preparados'!E237</f>
        <v/>
      </c>
      <c r="G244" s="7">
        <f>'1 datos preparados'!F237</f>
        <v/>
      </c>
      <c r="H244" s="7">
        <f>'1 datos preparados'!G237</f>
        <v/>
      </c>
      <c r="I244" s="7">
        <f>'1 datos preparados'!H237</f>
        <v/>
      </c>
      <c r="J244" s="7">
        <f>'1 datos preparados'!I237</f>
        <v/>
      </c>
      <c r="K244" s="7">
        <f>'1 datos preparados'!J237</f>
        <v/>
      </c>
      <c r="L244" s="7">
        <f>'1 datos preparados'!K237</f>
        <v/>
      </c>
      <c r="M244" s="7">
        <f>'1 datos preparados'!L237</f>
        <v/>
      </c>
      <c r="N244" s="7">
        <f>'1 datos preparados'!M237</f>
        <v/>
      </c>
      <c r="O244" s="7">
        <f>'1 datos preparados'!N237</f>
        <v/>
      </c>
      <c r="P244" s="7">
        <f>'1 datos preparados'!O237</f>
        <v/>
      </c>
      <c r="Q244" s="7">
        <f>'1 datos preparados'!P237</f>
        <v/>
      </c>
      <c r="R244" s="7">
        <f>'1 datos preparados'!Q237</f>
        <v/>
      </c>
      <c r="S244" s="7">
        <f>'1 datos preparados'!R237</f>
        <v/>
      </c>
      <c r="T244" s="7">
        <f>'1 datos preparados'!S237</f>
        <v/>
      </c>
      <c r="U244" s="7">
        <f>'1 datos preparados'!T237</f>
        <v/>
      </c>
      <c r="V244" s="8">
        <f>$AE$12+D244*$AE$13+E244*$AE$14+F244*$AE$15+G244*$AE$16+H244*$AE$17+I244*$AE$18+J244*$AE$19+K244*$AE$20+L244*$AE$21+M244*$AE$22+N244*$AE$23+O244*$AE$24+P244*$AE$25+Q244*$AE$26+R244*$AE$27+S244*$AE$28+T244*$AE$29+U244*$AE$30</f>
        <v/>
      </c>
      <c r="W244" s="8">
        <f>1/(1+EXP(-V244))</f>
        <v/>
      </c>
      <c r="X244" s="9">
        <f>-IF(C244=1,LN(W244),LN(1-W244))</f>
        <v/>
      </c>
      <c r="Y244" s="8">
        <f>'1 datos preparados'!V237</f>
        <v/>
      </c>
      <c r="Z244" s="9">
        <f>Y244*X244</f>
        <v/>
      </c>
      <c r="AA244" s="10">
        <f>IF(W244&gt;$AE$33,1,0)</f>
        <v/>
      </c>
      <c r="AB244">
        <f>IF(AA244=C244,1,0)</f>
        <v/>
      </c>
    </row>
    <row r="245">
      <c r="A245">
        <f>'1 datos preparados'!A238</f>
        <v/>
      </c>
      <c r="B245" s="5">
        <f>'1 datos preparados'!U238</f>
        <v/>
      </c>
      <c r="C245">
        <f>'1 datos preparados'!B238</f>
        <v/>
      </c>
      <c r="D245" s="7">
        <f>'1 datos preparados'!C238</f>
        <v/>
      </c>
      <c r="E245" s="7">
        <f>'1 datos preparados'!D238</f>
        <v/>
      </c>
      <c r="F245" s="7">
        <f>'1 datos preparados'!E238</f>
        <v/>
      </c>
      <c r="G245" s="7">
        <f>'1 datos preparados'!F238</f>
        <v/>
      </c>
      <c r="H245" s="7">
        <f>'1 datos preparados'!G238</f>
        <v/>
      </c>
      <c r="I245" s="7">
        <f>'1 datos preparados'!H238</f>
        <v/>
      </c>
      <c r="J245" s="7">
        <f>'1 datos preparados'!I238</f>
        <v/>
      </c>
      <c r="K245" s="7">
        <f>'1 datos preparados'!J238</f>
        <v/>
      </c>
      <c r="L245" s="7">
        <f>'1 datos preparados'!K238</f>
        <v/>
      </c>
      <c r="M245" s="7">
        <f>'1 datos preparados'!L238</f>
        <v/>
      </c>
      <c r="N245" s="7">
        <f>'1 datos preparados'!M238</f>
        <v/>
      </c>
      <c r="O245" s="7">
        <f>'1 datos preparados'!N238</f>
        <v/>
      </c>
      <c r="P245" s="7">
        <f>'1 datos preparados'!O238</f>
        <v/>
      </c>
      <c r="Q245" s="7">
        <f>'1 datos preparados'!P238</f>
        <v/>
      </c>
      <c r="R245" s="7">
        <f>'1 datos preparados'!Q238</f>
        <v/>
      </c>
      <c r="S245" s="7">
        <f>'1 datos preparados'!R238</f>
        <v/>
      </c>
      <c r="T245" s="7">
        <f>'1 datos preparados'!S238</f>
        <v/>
      </c>
      <c r="U245" s="7">
        <f>'1 datos preparados'!T238</f>
        <v/>
      </c>
      <c r="V245" s="8">
        <f>$AE$12+D245*$AE$13+E245*$AE$14+F245*$AE$15+G245*$AE$16+H245*$AE$17+I245*$AE$18+J245*$AE$19+K245*$AE$20+L245*$AE$21+M245*$AE$22+N245*$AE$23+O245*$AE$24+P245*$AE$25+Q245*$AE$26+R245*$AE$27+S245*$AE$28+T245*$AE$29+U245*$AE$30</f>
        <v/>
      </c>
      <c r="W245" s="8">
        <f>1/(1+EXP(-V245))</f>
        <v/>
      </c>
      <c r="X245" s="9">
        <f>-IF(C245=1,LN(W245),LN(1-W245))</f>
        <v/>
      </c>
      <c r="Y245" s="8">
        <f>'1 datos preparados'!V238</f>
        <v/>
      </c>
      <c r="Z245" s="9">
        <f>Y245*X245</f>
        <v/>
      </c>
      <c r="AA245" s="10">
        <f>IF(W245&gt;$AE$33,1,0)</f>
        <v/>
      </c>
      <c r="AB245">
        <f>IF(AA245=C245,1,0)</f>
        <v/>
      </c>
    </row>
    <row r="246">
      <c r="A246">
        <f>'1 datos preparados'!A239</f>
        <v/>
      </c>
      <c r="B246" s="5">
        <f>'1 datos preparados'!U239</f>
        <v/>
      </c>
      <c r="C246">
        <f>'1 datos preparados'!B239</f>
        <v/>
      </c>
      <c r="D246" s="7">
        <f>'1 datos preparados'!C239</f>
        <v/>
      </c>
      <c r="E246" s="7">
        <f>'1 datos preparados'!D239</f>
        <v/>
      </c>
      <c r="F246" s="7">
        <f>'1 datos preparados'!E239</f>
        <v/>
      </c>
      <c r="G246" s="7">
        <f>'1 datos preparados'!F239</f>
        <v/>
      </c>
      <c r="H246" s="7">
        <f>'1 datos preparados'!G239</f>
        <v/>
      </c>
      <c r="I246" s="7">
        <f>'1 datos preparados'!H239</f>
        <v/>
      </c>
      <c r="J246" s="7">
        <f>'1 datos preparados'!I239</f>
        <v/>
      </c>
      <c r="K246" s="7">
        <f>'1 datos preparados'!J239</f>
        <v/>
      </c>
      <c r="L246" s="7">
        <f>'1 datos preparados'!K239</f>
        <v/>
      </c>
      <c r="M246" s="7">
        <f>'1 datos preparados'!L239</f>
        <v/>
      </c>
      <c r="N246" s="7">
        <f>'1 datos preparados'!M239</f>
        <v/>
      </c>
      <c r="O246" s="7">
        <f>'1 datos preparados'!N239</f>
        <v/>
      </c>
      <c r="P246" s="7">
        <f>'1 datos preparados'!O239</f>
        <v/>
      </c>
      <c r="Q246" s="7">
        <f>'1 datos preparados'!P239</f>
        <v/>
      </c>
      <c r="R246" s="7">
        <f>'1 datos preparados'!Q239</f>
        <v/>
      </c>
      <c r="S246" s="7">
        <f>'1 datos preparados'!R239</f>
        <v/>
      </c>
      <c r="T246" s="7">
        <f>'1 datos preparados'!S239</f>
        <v/>
      </c>
      <c r="U246" s="7">
        <f>'1 datos preparados'!T239</f>
        <v/>
      </c>
      <c r="V246" s="8">
        <f>$AE$12+D246*$AE$13+E246*$AE$14+F246*$AE$15+G246*$AE$16+H246*$AE$17+I246*$AE$18+J246*$AE$19+K246*$AE$20+L246*$AE$21+M246*$AE$22+N246*$AE$23+O246*$AE$24+P246*$AE$25+Q246*$AE$26+R246*$AE$27+S246*$AE$28+T246*$AE$29+U246*$AE$30</f>
        <v/>
      </c>
      <c r="W246" s="8">
        <f>1/(1+EXP(-V246))</f>
        <v/>
      </c>
      <c r="X246" s="9">
        <f>-IF(C246=1,LN(W246),LN(1-W246))</f>
        <v/>
      </c>
      <c r="Y246" s="8">
        <f>'1 datos preparados'!V239</f>
        <v/>
      </c>
      <c r="Z246" s="9">
        <f>Y246*X246</f>
        <v/>
      </c>
      <c r="AA246" s="10">
        <f>IF(W246&gt;$AE$33,1,0)</f>
        <v/>
      </c>
      <c r="AB246">
        <f>IF(AA246=C246,1,0)</f>
        <v/>
      </c>
    </row>
    <row r="247">
      <c r="A247">
        <f>'1 datos preparados'!A240</f>
        <v/>
      </c>
      <c r="B247" s="5">
        <f>'1 datos preparados'!U240</f>
        <v/>
      </c>
      <c r="C247">
        <f>'1 datos preparados'!B240</f>
        <v/>
      </c>
      <c r="D247" s="7">
        <f>'1 datos preparados'!C240</f>
        <v/>
      </c>
      <c r="E247" s="7">
        <f>'1 datos preparados'!D240</f>
        <v/>
      </c>
      <c r="F247" s="7">
        <f>'1 datos preparados'!E240</f>
        <v/>
      </c>
      <c r="G247" s="7">
        <f>'1 datos preparados'!F240</f>
        <v/>
      </c>
      <c r="H247" s="7">
        <f>'1 datos preparados'!G240</f>
        <v/>
      </c>
      <c r="I247" s="7">
        <f>'1 datos preparados'!H240</f>
        <v/>
      </c>
      <c r="J247" s="7">
        <f>'1 datos preparados'!I240</f>
        <v/>
      </c>
      <c r="K247" s="7">
        <f>'1 datos preparados'!J240</f>
        <v/>
      </c>
      <c r="L247" s="7">
        <f>'1 datos preparados'!K240</f>
        <v/>
      </c>
      <c r="M247" s="7">
        <f>'1 datos preparados'!L240</f>
        <v/>
      </c>
      <c r="N247" s="7">
        <f>'1 datos preparados'!M240</f>
        <v/>
      </c>
      <c r="O247" s="7">
        <f>'1 datos preparados'!N240</f>
        <v/>
      </c>
      <c r="P247" s="7">
        <f>'1 datos preparados'!O240</f>
        <v/>
      </c>
      <c r="Q247" s="7">
        <f>'1 datos preparados'!P240</f>
        <v/>
      </c>
      <c r="R247" s="7">
        <f>'1 datos preparados'!Q240</f>
        <v/>
      </c>
      <c r="S247" s="7">
        <f>'1 datos preparados'!R240</f>
        <v/>
      </c>
      <c r="T247" s="7">
        <f>'1 datos preparados'!S240</f>
        <v/>
      </c>
      <c r="U247" s="7">
        <f>'1 datos preparados'!T240</f>
        <v/>
      </c>
      <c r="V247" s="8">
        <f>$AE$12+D247*$AE$13+E247*$AE$14+F247*$AE$15+G247*$AE$16+H247*$AE$17+I247*$AE$18+J247*$AE$19+K247*$AE$20+L247*$AE$21+M247*$AE$22+N247*$AE$23+O247*$AE$24+P247*$AE$25+Q247*$AE$26+R247*$AE$27+S247*$AE$28+T247*$AE$29+U247*$AE$30</f>
        <v/>
      </c>
      <c r="W247" s="8">
        <f>1/(1+EXP(-V247))</f>
        <v/>
      </c>
      <c r="X247" s="9">
        <f>-IF(C247=1,LN(W247),LN(1-W247))</f>
        <v/>
      </c>
      <c r="Y247" s="8">
        <f>'1 datos preparados'!V240</f>
        <v/>
      </c>
      <c r="Z247" s="9">
        <f>Y247*X247</f>
        <v/>
      </c>
      <c r="AA247" s="10">
        <f>IF(W247&gt;$AE$33,1,0)</f>
        <v/>
      </c>
      <c r="AB247">
        <f>IF(AA247=C247,1,0)</f>
        <v/>
      </c>
    </row>
    <row r="248">
      <c r="A248">
        <f>'1 datos preparados'!A241</f>
        <v/>
      </c>
      <c r="B248" s="5">
        <f>'1 datos preparados'!U241</f>
        <v/>
      </c>
      <c r="C248">
        <f>'1 datos preparados'!B241</f>
        <v/>
      </c>
      <c r="D248" s="7">
        <f>'1 datos preparados'!C241</f>
        <v/>
      </c>
      <c r="E248" s="7">
        <f>'1 datos preparados'!D241</f>
        <v/>
      </c>
      <c r="F248" s="7">
        <f>'1 datos preparados'!E241</f>
        <v/>
      </c>
      <c r="G248" s="7">
        <f>'1 datos preparados'!F241</f>
        <v/>
      </c>
      <c r="H248" s="7">
        <f>'1 datos preparados'!G241</f>
        <v/>
      </c>
      <c r="I248" s="7">
        <f>'1 datos preparados'!H241</f>
        <v/>
      </c>
      <c r="J248" s="7">
        <f>'1 datos preparados'!I241</f>
        <v/>
      </c>
      <c r="K248" s="7">
        <f>'1 datos preparados'!J241</f>
        <v/>
      </c>
      <c r="L248" s="7">
        <f>'1 datos preparados'!K241</f>
        <v/>
      </c>
      <c r="M248" s="7">
        <f>'1 datos preparados'!L241</f>
        <v/>
      </c>
      <c r="N248" s="7">
        <f>'1 datos preparados'!M241</f>
        <v/>
      </c>
      <c r="O248" s="7">
        <f>'1 datos preparados'!N241</f>
        <v/>
      </c>
      <c r="P248" s="7">
        <f>'1 datos preparados'!O241</f>
        <v/>
      </c>
      <c r="Q248" s="7">
        <f>'1 datos preparados'!P241</f>
        <v/>
      </c>
      <c r="R248" s="7">
        <f>'1 datos preparados'!Q241</f>
        <v/>
      </c>
      <c r="S248" s="7">
        <f>'1 datos preparados'!R241</f>
        <v/>
      </c>
      <c r="T248" s="7">
        <f>'1 datos preparados'!S241</f>
        <v/>
      </c>
      <c r="U248" s="7">
        <f>'1 datos preparados'!T241</f>
        <v/>
      </c>
      <c r="V248" s="8">
        <f>$AE$12+D248*$AE$13+E248*$AE$14+F248*$AE$15+G248*$AE$16+H248*$AE$17+I248*$AE$18+J248*$AE$19+K248*$AE$20+L248*$AE$21+M248*$AE$22+N248*$AE$23+O248*$AE$24+P248*$AE$25+Q248*$AE$26+R248*$AE$27+S248*$AE$28+T248*$AE$29+U248*$AE$30</f>
        <v/>
      </c>
      <c r="W248" s="8">
        <f>1/(1+EXP(-V248))</f>
        <v/>
      </c>
      <c r="X248" s="9">
        <f>-IF(C248=1,LN(W248),LN(1-W248))</f>
        <v/>
      </c>
      <c r="Y248" s="8">
        <f>'1 datos preparados'!V241</f>
        <v/>
      </c>
      <c r="Z248" s="9">
        <f>Y248*X248</f>
        <v/>
      </c>
      <c r="AA248" s="10">
        <f>IF(W248&gt;$AE$33,1,0)</f>
        <v/>
      </c>
      <c r="AB248">
        <f>IF(AA248=C248,1,0)</f>
        <v/>
      </c>
    </row>
    <row r="249">
      <c r="A249">
        <f>'1 datos preparados'!A242</f>
        <v/>
      </c>
      <c r="B249" s="5">
        <f>'1 datos preparados'!U242</f>
        <v/>
      </c>
      <c r="C249">
        <f>'1 datos preparados'!B242</f>
        <v/>
      </c>
      <c r="D249" s="7">
        <f>'1 datos preparados'!C242</f>
        <v/>
      </c>
      <c r="E249" s="7">
        <f>'1 datos preparados'!D242</f>
        <v/>
      </c>
      <c r="F249" s="7">
        <f>'1 datos preparados'!E242</f>
        <v/>
      </c>
      <c r="G249" s="7">
        <f>'1 datos preparados'!F242</f>
        <v/>
      </c>
      <c r="H249" s="7">
        <f>'1 datos preparados'!G242</f>
        <v/>
      </c>
      <c r="I249" s="7">
        <f>'1 datos preparados'!H242</f>
        <v/>
      </c>
      <c r="J249" s="7">
        <f>'1 datos preparados'!I242</f>
        <v/>
      </c>
      <c r="K249" s="7">
        <f>'1 datos preparados'!J242</f>
        <v/>
      </c>
      <c r="L249" s="7">
        <f>'1 datos preparados'!K242</f>
        <v/>
      </c>
      <c r="M249" s="7">
        <f>'1 datos preparados'!L242</f>
        <v/>
      </c>
      <c r="N249" s="7">
        <f>'1 datos preparados'!M242</f>
        <v/>
      </c>
      <c r="O249" s="7">
        <f>'1 datos preparados'!N242</f>
        <v/>
      </c>
      <c r="P249" s="7">
        <f>'1 datos preparados'!O242</f>
        <v/>
      </c>
      <c r="Q249" s="7">
        <f>'1 datos preparados'!P242</f>
        <v/>
      </c>
      <c r="R249" s="7">
        <f>'1 datos preparados'!Q242</f>
        <v/>
      </c>
      <c r="S249" s="7">
        <f>'1 datos preparados'!R242</f>
        <v/>
      </c>
      <c r="T249" s="7">
        <f>'1 datos preparados'!S242</f>
        <v/>
      </c>
      <c r="U249" s="7">
        <f>'1 datos preparados'!T242</f>
        <v/>
      </c>
      <c r="V249" s="8">
        <f>$AE$12+D249*$AE$13+E249*$AE$14+F249*$AE$15+G249*$AE$16+H249*$AE$17+I249*$AE$18+J249*$AE$19+K249*$AE$20+L249*$AE$21+M249*$AE$22+N249*$AE$23+O249*$AE$24+P249*$AE$25+Q249*$AE$26+R249*$AE$27+S249*$AE$28+T249*$AE$29+U249*$AE$30</f>
        <v/>
      </c>
      <c r="W249" s="8">
        <f>1/(1+EXP(-V249))</f>
        <v/>
      </c>
      <c r="X249" s="9">
        <f>-IF(C249=1,LN(W249),LN(1-W249))</f>
        <v/>
      </c>
      <c r="Y249" s="8">
        <f>'1 datos preparados'!V242</f>
        <v/>
      </c>
      <c r="Z249" s="9">
        <f>Y249*X249</f>
        <v/>
      </c>
      <c r="AA249" s="10">
        <f>IF(W249&gt;$AE$33,1,0)</f>
        <v/>
      </c>
      <c r="AB249">
        <f>IF(AA249=C249,1,0)</f>
        <v/>
      </c>
    </row>
    <row r="250">
      <c r="A250">
        <f>'1 datos preparados'!A243</f>
        <v/>
      </c>
      <c r="B250" s="5">
        <f>'1 datos preparados'!U243</f>
        <v/>
      </c>
      <c r="C250">
        <f>'1 datos preparados'!B243</f>
        <v/>
      </c>
      <c r="D250" s="7">
        <f>'1 datos preparados'!C243</f>
        <v/>
      </c>
      <c r="E250" s="7">
        <f>'1 datos preparados'!D243</f>
        <v/>
      </c>
      <c r="F250" s="7">
        <f>'1 datos preparados'!E243</f>
        <v/>
      </c>
      <c r="G250" s="7">
        <f>'1 datos preparados'!F243</f>
        <v/>
      </c>
      <c r="H250" s="7">
        <f>'1 datos preparados'!G243</f>
        <v/>
      </c>
      <c r="I250" s="7">
        <f>'1 datos preparados'!H243</f>
        <v/>
      </c>
      <c r="J250" s="7">
        <f>'1 datos preparados'!I243</f>
        <v/>
      </c>
      <c r="K250" s="7">
        <f>'1 datos preparados'!J243</f>
        <v/>
      </c>
      <c r="L250" s="7">
        <f>'1 datos preparados'!K243</f>
        <v/>
      </c>
      <c r="M250" s="7">
        <f>'1 datos preparados'!L243</f>
        <v/>
      </c>
      <c r="N250" s="7">
        <f>'1 datos preparados'!M243</f>
        <v/>
      </c>
      <c r="O250" s="7">
        <f>'1 datos preparados'!N243</f>
        <v/>
      </c>
      <c r="P250" s="7">
        <f>'1 datos preparados'!O243</f>
        <v/>
      </c>
      <c r="Q250" s="7">
        <f>'1 datos preparados'!P243</f>
        <v/>
      </c>
      <c r="R250" s="7">
        <f>'1 datos preparados'!Q243</f>
        <v/>
      </c>
      <c r="S250" s="7">
        <f>'1 datos preparados'!R243</f>
        <v/>
      </c>
      <c r="T250" s="7">
        <f>'1 datos preparados'!S243</f>
        <v/>
      </c>
      <c r="U250" s="7">
        <f>'1 datos preparados'!T243</f>
        <v/>
      </c>
      <c r="V250" s="8">
        <f>$AE$12+D250*$AE$13+E250*$AE$14+F250*$AE$15+G250*$AE$16+H250*$AE$17+I250*$AE$18+J250*$AE$19+K250*$AE$20+L250*$AE$21+M250*$AE$22+N250*$AE$23+O250*$AE$24+P250*$AE$25+Q250*$AE$26+R250*$AE$27+S250*$AE$28+T250*$AE$29+U250*$AE$30</f>
        <v/>
      </c>
      <c r="W250" s="8">
        <f>1/(1+EXP(-V250))</f>
        <v/>
      </c>
      <c r="X250" s="9">
        <f>-IF(C250=1,LN(W250),LN(1-W250))</f>
        <v/>
      </c>
      <c r="Y250" s="8">
        <f>'1 datos preparados'!V243</f>
        <v/>
      </c>
      <c r="Z250" s="9">
        <f>Y250*X250</f>
        <v/>
      </c>
      <c r="AA250" s="10">
        <f>IF(W250&gt;$AE$33,1,0)</f>
        <v/>
      </c>
      <c r="AB250">
        <f>IF(AA250=C250,1,0)</f>
        <v/>
      </c>
    </row>
    <row r="251">
      <c r="A251">
        <f>'1 datos preparados'!A244</f>
        <v/>
      </c>
      <c r="B251" s="5">
        <f>'1 datos preparados'!U244</f>
        <v/>
      </c>
      <c r="C251">
        <f>'1 datos preparados'!B244</f>
        <v/>
      </c>
      <c r="D251" s="7">
        <f>'1 datos preparados'!C244</f>
        <v/>
      </c>
      <c r="E251" s="7">
        <f>'1 datos preparados'!D244</f>
        <v/>
      </c>
      <c r="F251" s="7">
        <f>'1 datos preparados'!E244</f>
        <v/>
      </c>
      <c r="G251" s="7">
        <f>'1 datos preparados'!F244</f>
        <v/>
      </c>
      <c r="H251" s="7">
        <f>'1 datos preparados'!G244</f>
        <v/>
      </c>
      <c r="I251" s="7">
        <f>'1 datos preparados'!H244</f>
        <v/>
      </c>
      <c r="J251" s="7">
        <f>'1 datos preparados'!I244</f>
        <v/>
      </c>
      <c r="K251" s="7">
        <f>'1 datos preparados'!J244</f>
        <v/>
      </c>
      <c r="L251" s="7">
        <f>'1 datos preparados'!K244</f>
        <v/>
      </c>
      <c r="M251" s="7">
        <f>'1 datos preparados'!L244</f>
        <v/>
      </c>
      <c r="N251" s="7">
        <f>'1 datos preparados'!M244</f>
        <v/>
      </c>
      <c r="O251" s="7">
        <f>'1 datos preparados'!N244</f>
        <v/>
      </c>
      <c r="P251" s="7">
        <f>'1 datos preparados'!O244</f>
        <v/>
      </c>
      <c r="Q251" s="7">
        <f>'1 datos preparados'!P244</f>
        <v/>
      </c>
      <c r="R251" s="7">
        <f>'1 datos preparados'!Q244</f>
        <v/>
      </c>
      <c r="S251" s="7">
        <f>'1 datos preparados'!R244</f>
        <v/>
      </c>
      <c r="T251" s="7">
        <f>'1 datos preparados'!S244</f>
        <v/>
      </c>
      <c r="U251" s="7">
        <f>'1 datos preparados'!T244</f>
        <v/>
      </c>
      <c r="V251" s="8">
        <f>$AE$12+D251*$AE$13+E251*$AE$14+F251*$AE$15+G251*$AE$16+H251*$AE$17+I251*$AE$18+J251*$AE$19+K251*$AE$20+L251*$AE$21+M251*$AE$22+N251*$AE$23+O251*$AE$24+P251*$AE$25+Q251*$AE$26+R251*$AE$27+S251*$AE$28+T251*$AE$29+U251*$AE$30</f>
        <v/>
      </c>
      <c r="W251" s="8">
        <f>1/(1+EXP(-V251))</f>
        <v/>
      </c>
      <c r="X251" s="9">
        <f>-IF(C251=1,LN(W251),LN(1-W251))</f>
        <v/>
      </c>
      <c r="Y251" s="8">
        <f>'1 datos preparados'!V244</f>
        <v/>
      </c>
      <c r="Z251" s="9">
        <f>Y251*X251</f>
        <v/>
      </c>
      <c r="AA251" s="10">
        <f>IF(W251&gt;$AE$33,1,0)</f>
        <v/>
      </c>
      <c r="AB251">
        <f>IF(AA251=C251,1,0)</f>
        <v/>
      </c>
    </row>
    <row r="252">
      <c r="A252">
        <f>'1 datos preparados'!A245</f>
        <v/>
      </c>
      <c r="B252" s="5">
        <f>'1 datos preparados'!U245</f>
        <v/>
      </c>
      <c r="C252">
        <f>'1 datos preparados'!B245</f>
        <v/>
      </c>
      <c r="D252" s="7">
        <f>'1 datos preparados'!C245</f>
        <v/>
      </c>
      <c r="E252" s="7">
        <f>'1 datos preparados'!D245</f>
        <v/>
      </c>
      <c r="F252" s="7">
        <f>'1 datos preparados'!E245</f>
        <v/>
      </c>
      <c r="G252" s="7">
        <f>'1 datos preparados'!F245</f>
        <v/>
      </c>
      <c r="H252" s="7">
        <f>'1 datos preparados'!G245</f>
        <v/>
      </c>
      <c r="I252" s="7">
        <f>'1 datos preparados'!H245</f>
        <v/>
      </c>
      <c r="J252" s="7">
        <f>'1 datos preparados'!I245</f>
        <v/>
      </c>
      <c r="K252" s="7">
        <f>'1 datos preparados'!J245</f>
        <v/>
      </c>
      <c r="L252" s="7">
        <f>'1 datos preparados'!K245</f>
        <v/>
      </c>
      <c r="M252" s="7">
        <f>'1 datos preparados'!L245</f>
        <v/>
      </c>
      <c r="N252" s="7">
        <f>'1 datos preparados'!M245</f>
        <v/>
      </c>
      <c r="O252" s="7">
        <f>'1 datos preparados'!N245</f>
        <v/>
      </c>
      <c r="P252" s="7">
        <f>'1 datos preparados'!O245</f>
        <v/>
      </c>
      <c r="Q252" s="7">
        <f>'1 datos preparados'!P245</f>
        <v/>
      </c>
      <c r="R252" s="7">
        <f>'1 datos preparados'!Q245</f>
        <v/>
      </c>
      <c r="S252" s="7">
        <f>'1 datos preparados'!R245</f>
        <v/>
      </c>
      <c r="T252" s="7">
        <f>'1 datos preparados'!S245</f>
        <v/>
      </c>
      <c r="U252" s="7">
        <f>'1 datos preparados'!T245</f>
        <v/>
      </c>
      <c r="V252" s="8">
        <f>$AE$12+D252*$AE$13+E252*$AE$14+F252*$AE$15+G252*$AE$16+H252*$AE$17+I252*$AE$18+J252*$AE$19+K252*$AE$20+L252*$AE$21+M252*$AE$22+N252*$AE$23+O252*$AE$24+P252*$AE$25+Q252*$AE$26+R252*$AE$27+S252*$AE$28+T252*$AE$29+U252*$AE$30</f>
        <v/>
      </c>
      <c r="W252" s="8">
        <f>1/(1+EXP(-V252))</f>
        <v/>
      </c>
      <c r="X252" s="9">
        <f>-IF(C252=1,LN(W252),LN(1-W252))</f>
        <v/>
      </c>
      <c r="Y252" s="8">
        <f>'1 datos preparados'!V245</f>
        <v/>
      </c>
      <c r="Z252" s="9">
        <f>Y252*X252</f>
        <v/>
      </c>
      <c r="AA252" s="10">
        <f>IF(W252&gt;$AE$33,1,0)</f>
        <v/>
      </c>
      <c r="AB252">
        <f>IF(AA252=C252,1,0)</f>
        <v/>
      </c>
    </row>
    <row r="253">
      <c r="A253">
        <f>'1 datos preparados'!A246</f>
        <v/>
      </c>
      <c r="B253" s="5">
        <f>'1 datos preparados'!U246</f>
        <v/>
      </c>
      <c r="C253">
        <f>'1 datos preparados'!B246</f>
        <v/>
      </c>
      <c r="D253" s="7">
        <f>'1 datos preparados'!C246</f>
        <v/>
      </c>
      <c r="E253" s="7">
        <f>'1 datos preparados'!D246</f>
        <v/>
      </c>
      <c r="F253" s="7">
        <f>'1 datos preparados'!E246</f>
        <v/>
      </c>
      <c r="G253" s="7">
        <f>'1 datos preparados'!F246</f>
        <v/>
      </c>
      <c r="H253" s="7">
        <f>'1 datos preparados'!G246</f>
        <v/>
      </c>
      <c r="I253" s="7">
        <f>'1 datos preparados'!H246</f>
        <v/>
      </c>
      <c r="J253" s="7">
        <f>'1 datos preparados'!I246</f>
        <v/>
      </c>
      <c r="K253" s="7">
        <f>'1 datos preparados'!J246</f>
        <v/>
      </c>
      <c r="L253" s="7">
        <f>'1 datos preparados'!K246</f>
        <v/>
      </c>
      <c r="M253" s="7">
        <f>'1 datos preparados'!L246</f>
        <v/>
      </c>
      <c r="N253" s="7">
        <f>'1 datos preparados'!M246</f>
        <v/>
      </c>
      <c r="O253" s="7">
        <f>'1 datos preparados'!N246</f>
        <v/>
      </c>
      <c r="P253" s="7">
        <f>'1 datos preparados'!O246</f>
        <v/>
      </c>
      <c r="Q253" s="7">
        <f>'1 datos preparados'!P246</f>
        <v/>
      </c>
      <c r="R253" s="7">
        <f>'1 datos preparados'!Q246</f>
        <v/>
      </c>
      <c r="S253" s="7">
        <f>'1 datos preparados'!R246</f>
        <v/>
      </c>
      <c r="T253" s="7">
        <f>'1 datos preparados'!S246</f>
        <v/>
      </c>
      <c r="U253" s="7">
        <f>'1 datos preparados'!T246</f>
        <v/>
      </c>
      <c r="V253" s="8">
        <f>$AE$12+D253*$AE$13+E253*$AE$14+F253*$AE$15+G253*$AE$16+H253*$AE$17+I253*$AE$18+J253*$AE$19+K253*$AE$20+L253*$AE$21+M253*$AE$22+N253*$AE$23+O253*$AE$24+P253*$AE$25+Q253*$AE$26+R253*$AE$27+S253*$AE$28+T253*$AE$29+U253*$AE$30</f>
        <v/>
      </c>
      <c r="W253" s="8">
        <f>1/(1+EXP(-V253))</f>
        <v/>
      </c>
      <c r="X253" s="9">
        <f>-IF(C253=1,LN(W253),LN(1-W253))</f>
        <v/>
      </c>
      <c r="Y253" s="8">
        <f>'1 datos preparados'!V246</f>
        <v/>
      </c>
      <c r="Z253" s="9">
        <f>Y253*X253</f>
        <v/>
      </c>
      <c r="AA253" s="10">
        <f>IF(W253&gt;$AE$33,1,0)</f>
        <v/>
      </c>
      <c r="AB253">
        <f>IF(AA253=C253,1,0)</f>
        <v/>
      </c>
    </row>
    <row r="254">
      <c r="A254">
        <f>'1 datos preparados'!A247</f>
        <v/>
      </c>
      <c r="B254" s="5">
        <f>'1 datos preparados'!U247</f>
        <v/>
      </c>
      <c r="C254">
        <f>'1 datos preparados'!B247</f>
        <v/>
      </c>
      <c r="D254" s="7">
        <f>'1 datos preparados'!C247</f>
        <v/>
      </c>
      <c r="E254" s="7">
        <f>'1 datos preparados'!D247</f>
        <v/>
      </c>
      <c r="F254" s="7">
        <f>'1 datos preparados'!E247</f>
        <v/>
      </c>
      <c r="G254" s="7">
        <f>'1 datos preparados'!F247</f>
        <v/>
      </c>
      <c r="H254" s="7">
        <f>'1 datos preparados'!G247</f>
        <v/>
      </c>
      <c r="I254" s="7">
        <f>'1 datos preparados'!H247</f>
        <v/>
      </c>
      <c r="J254" s="7">
        <f>'1 datos preparados'!I247</f>
        <v/>
      </c>
      <c r="K254" s="7">
        <f>'1 datos preparados'!J247</f>
        <v/>
      </c>
      <c r="L254" s="7">
        <f>'1 datos preparados'!K247</f>
        <v/>
      </c>
      <c r="M254" s="7">
        <f>'1 datos preparados'!L247</f>
        <v/>
      </c>
      <c r="N254" s="7">
        <f>'1 datos preparados'!M247</f>
        <v/>
      </c>
      <c r="O254" s="7">
        <f>'1 datos preparados'!N247</f>
        <v/>
      </c>
      <c r="P254" s="7">
        <f>'1 datos preparados'!O247</f>
        <v/>
      </c>
      <c r="Q254" s="7">
        <f>'1 datos preparados'!P247</f>
        <v/>
      </c>
      <c r="R254" s="7">
        <f>'1 datos preparados'!Q247</f>
        <v/>
      </c>
      <c r="S254" s="7">
        <f>'1 datos preparados'!R247</f>
        <v/>
      </c>
      <c r="T254" s="7">
        <f>'1 datos preparados'!S247</f>
        <v/>
      </c>
      <c r="U254" s="7">
        <f>'1 datos preparados'!T247</f>
        <v/>
      </c>
      <c r="V254" s="8">
        <f>$AE$12+D254*$AE$13+E254*$AE$14+F254*$AE$15+G254*$AE$16+H254*$AE$17+I254*$AE$18+J254*$AE$19+K254*$AE$20+L254*$AE$21+M254*$AE$22+N254*$AE$23+O254*$AE$24+P254*$AE$25+Q254*$AE$26+R254*$AE$27+S254*$AE$28+T254*$AE$29+U254*$AE$30</f>
        <v/>
      </c>
      <c r="W254" s="8">
        <f>1/(1+EXP(-V254))</f>
        <v/>
      </c>
      <c r="X254" s="9">
        <f>-IF(C254=1,LN(W254),LN(1-W254))</f>
        <v/>
      </c>
      <c r="Y254" s="8">
        <f>'1 datos preparados'!V247</f>
        <v/>
      </c>
      <c r="Z254" s="9">
        <f>Y254*X254</f>
        <v/>
      </c>
      <c r="AA254" s="10">
        <f>IF(W254&gt;$AE$33,1,0)</f>
        <v/>
      </c>
      <c r="AB254">
        <f>IF(AA254=C254,1,0)</f>
        <v/>
      </c>
    </row>
    <row r="255">
      <c r="A255">
        <f>'1 datos preparados'!A248</f>
        <v/>
      </c>
      <c r="B255" s="5">
        <f>'1 datos preparados'!U248</f>
        <v/>
      </c>
      <c r="C255">
        <f>'1 datos preparados'!B248</f>
        <v/>
      </c>
      <c r="D255" s="7">
        <f>'1 datos preparados'!C248</f>
        <v/>
      </c>
      <c r="E255" s="7">
        <f>'1 datos preparados'!D248</f>
        <v/>
      </c>
      <c r="F255" s="7">
        <f>'1 datos preparados'!E248</f>
        <v/>
      </c>
      <c r="G255" s="7">
        <f>'1 datos preparados'!F248</f>
        <v/>
      </c>
      <c r="H255" s="7">
        <f>'1 datos preparados'!G248</f>
        <v/>
      </c>
      <c r="I255" s="7">
        <f>'1 datos preparados'!H248</f>
        <v/>
      </c>
      <c r="J255" s="7">
        <f>'1 datos preparados'!I248</f>
        <v/>
      </c>
      <c r="K255" s="7">
        <f>'1 datos preparados'!J248</f>
        <v/>
      </c>
      <c r="L255" s="7">
        <f>'1 datos preparados'!K248</f>
        <v/>
      </c>
      <c r="M255" s="7">
        <f>'1 datos preparados'!L248</f>
        <v/>
      </c>
      <c r="N255" s="7">
        <f>'1 datos preparados'!M248</f>
        <v/>
      </c>
      <c r="O255" s="7">
        <f>'1 datos preparados'!N248</f>
        <v/>
      </c>
      <c r="P255" s="7">
        <f>'1 datos preparados'!O248</f>
        <v/>
      </c>
      <c r="Q255" s="7">
        <f>'1 datos preparados'!P248</f>
        <v/>
      </c>
      <c r="R255" s="7">
        <f>'1 datos preparados'!Q248</f>
        <v/>
      </c>
      <c r="S255" s="7">
        <f>'1 datos preparados'!R248</f>
        <v/>
      </c>
      <c r="T255" s="7">
        <f>'1 datos preparados'!S248</f>
        <v/>
      </c>
      <c r="U255" s="7">
        <f>'1 datos preparados'!T248</f>
        <v/>
      </c>
      <c r="V255" s="8">
        <f>$AE$12+D255*$AE$13+E255*$AE$14+F255*$AE$15+G255*$AE$16+H255*$AE$17+I255*$AE$18+J255*$AE$19+K255*$AE$20+L255*$AE$21+M255*$AE$22+N255*$AE$23+O255*$AE$24+P255*$AE$25+Q255*$AE$26+R255*$AE$27+S255*$AE$28+T255*$AE$29+U255*$AE$30</f>
        <v/>
      </c>
      <c r="W255" s="8">
        <f>1/(1+EXP(-V255))</f>
        <v/>
      </c>
      <c r="X255" s="9">
        <f>-IF(C255=1,LN(W255),LN(1-W255))</f>
        <v/>
      </c>
      <c r="Y255" s="8">
        <f>'1 datos preparados'!V248</f>
        <v/>
      </c>
      <c r="Z255" s="9">
        <f>Y255*X255</f>
        <v/>
      </c>
      <c r="AA255" s="10">
        <f>IF(W255&gt;$AE$33,1,0)</f>
        <v/>
      </c>
      <c r="AB255">
        <f>IF(AA255=C255,1,0)</f>
        <v/>
      </c>
    </row>
    <row r="256">
      <c r="A256">
        <f>'1 datos preparados'!A249</f>
        <v/>
      </c>
      <c r="B256" s="5">
        <f>'1 datos preparados'!U249</f>
        <v/>
      </c>
      <c r="C256">
        <f>'1 datos preparados'!B249</f>
        <v/>
      </c>
      <c r="D256" s="7">
        <f>'1 datos preparados'!C249</f>
        <v/>
      </c>
      <c r="E256" s="7">
        <f>'1 datos preparados'!D249</f>
        <v/>
      </c>
      <c r="F256" s="7">
        <f>'1 datos preparados'!E249</f>
        <v/>
      </c>
      <c r="G256" s="7">
        <f>'1 datos preparados'!F249</f>
        <v/>
      </c>
      <c r="H256" s="7">
        <f>'1 datos preparados'!G249</f>
        <v/>
      </c>
      <c r="I256" s="7">
        <f>'1 datos preparados'!H249</f>
        <v/>
      </c>
      <c r="J256" s="7">
        <f>'1 datos preparados'!I249</f>
        <v/>
      </c>
      <c r="K256" s="7">
        <f>'1 datos preparados'!J249</f>
        <v/>
      </c>
      <c r="L256" s="7">
        <f>'1 datos preparados'!K249</f>
        <v/>
      </c>
      <c r="M256" s="7">
        <f>'1 datos preparados'!L249</f>
        <v/>
      </c>
      <c r="N256" s="7">
        <f>'1 datos preparados'!M249</f>
        <v/>
      </c>
      <c r="O256" s="7">
        <f>'1 datos preparados'!N249</f>
        <v/>
      </c>
      <c r="P256" s="7">
        <f>'1 datos preparados'!O249</f>
        <v/>
      </c>
      <c r="Q256" s="7">
        <f>'1 datos preparados'!P249</f>
        <v/>
      </c>
      <c r="R256" s="7">
        <f>'1 datos preparados'!Q249</f>
        <v/>
      </c>
      <c r="S256" s="7">
        <f>'1 datos preparados'!R249</f>
        <v/>
      </c>
      <c r="T256" s="7">
        <f>'1 datos preparados'!S249</f>
        <v/>
      </c>
      <c r="U256" s="7">
        <f>'1 datos preparados'!T249</f>
        <v/>
      </c>
      <c r="V256" s="8">
        <f>$AE$12+D256*$AE$13+E256*$AE$14+F256*$AE$15+G256*$AE$16+H256*$AE$17+I256*$AE$18+J256*$AE$19+K256*$AE$20+L256*$AE$21+M256*$AE$22+N256*$AE$23+O256*$AE$24+P256*$AE$25+Q256*$AE$26+R256*$AE$27+S256*$AE$28+T256*$AE$29+U256*$AE$30</f>
        <v/>
      </c>
      <c r="W256" s="8">
        <f>1/(1+EXP(-V256))</f>
        <v/>
      </c>
      <c r="X256" s="9">
        <f>-IF(C256=1,LN(W256),LN(1-W256))</f>
        <v/>
      </c>
      <c r="Y256" s="8">
        <f>'1 datos preparados'!V249</f>
        <v/>
      </c>
      <c r="Z256" s="9">
        <f>Y256*X256</f>
        <v/>
      </c>
      <c r="AA256" s="10">
        <f>IF(W256&gt;$AE$33,1,0)</f>
        <v/>
      </c>
      <c r="AB256">
        <f>IF(AA256=C256,1,0)</f>
        <v/>
      </c>
    </row>
    <row r="257">
      <c r="A257">
        <f>'1 datos preparados'!A250</f>
        <v/>
      </c>
      <c r="B257" s="5">
        <f>'1 datos preparados'!U250</f>
        <v/>
      </c>
      <c r="C257">
        <f>'1 datos preparados'!B250</f>
        <v/>
      </c>
      <c r="D257" s="7">
        <f>'1 datos preparados'!C250</f>
        <v/>
      </c>
      <c r="E257" s="7">
        <f>'1 datos preparados'!D250</f>
        <v/>
      </c>
      <c r="F257" s="7">
        <f>'1 datos preparados'!E250</f>
        <v/>
      </c>
      <c r="G257" s="7">
        <f>'1 datos preparados'!F250</f>
        <v/>
      </c>
      <c r="H257" s="7">
        <f>'1 datos preparados'!G250</f>
        <v/>
      </c>
      <c r="I257" s="7">
        <f>'1 datos preparados'!H250</f>
        <v/>
      </c>
      <c r="J257" s="7">
        <f>'1 datos preparados'!I250</f>
        <v/>
      </c>
      <c r="K257" s="7">
        <f>'1 datos preparados'!J250</f>
        <v/>
      </c>
      <c r="L257" s="7">
        <f>'1 datos preparados'!K250</f>
        <v/>
      </c>
      <c r="M257" s="7">
        <f>'1 datos preparados'!L250</f>
        <v/>
      </c>
      <c r="N257" s="7">
        <f>'1 datos preparados'!M250</f>
        <v/>
      </c>
      <c r="O257" s="7">
        <f>'1 datos preparados'!N250</f>
        <v/>
      </c>
      <c r="P257" s="7">
        <f>'1 datos preparados'!O250</f>
        <v/>
      </c>
      <c r="Q257" s="7">
        <f>'1 datos preparados'!P250</f>
        <v/>
      </c>
      <c r="R257" s="7">
        <f>'1 datos preparados'!Q250</f>
        <v/>
      </c>
      <c r="S257" s="7">
        <f>'1 datos preparados'!R250</f>
        <v/>
      </c>
      <c r="T257" s="7">
        <f>'1 datos preparados'!S250</f>
        <v/>
      </c>
      <c r="U257" s="7">
        <f>'1 datos preparados'!T250</f>
        <v/>
      </c>
      <c r="V257" s="8">
        <f>$AE$12+D257*$AE$13+E257*$AE$14+F257*$AE$15+G257*$AE$16+H257*$AE$17+I257*$AE$18+J257*$AE$19+K257*$AE$20+L257*$AE$21+M257*$AE$22+N257*$AE$23+O257*$AE$24+P257*$AE$25+Q257*$AE$26+R257*$AE$27+S257*$AE$28+T257*$AE$29+U257*$AE$30</f>
        <v/>
      </c>
      <c r="W257" s="8">
        <f>1/(1+EXP(-V257))</f>
        <v/>
      </c>
      <c r="X257" s="9">
        <f>-IF(C257=1,LN(W257),LN(1-W257))</f>
        <v/>
      </c>
      <c r="Y257" s="8">
        <f>'1 datos preparados'!V250</f>
        <v/>
      </c>
      <c r="Z257" s="9">
        <f>Y257*X257</f>
        <v/>
      </c>
      <c r="AA257" s="10">
        <f>IF(W257&gt;$AE$33,1,0)</f>
        <v/>
      </c>
      <c r="AB257">
        <f>IF(AA257=C257,1,0)</f>
        <v/>
      </c>
    </row>
    <row r="258">
      <c r="A258">
        <f>'1 datos preparados'!A251</f>
        <v/>
      </c>
      <c r="B258" s="5">
        <f>'1 datos preparados'!U251</f>
        <v/>
      </c>
      <c r="C258">
        <f>'1 datos preparados'!B251</f>
        <v/>
      </c>
      <c r="D258" s="7">
        <f>'1 datos preparados'!C251</f>
        <v/>
      </c>
      <c r="E258" s="7">
        <f>'1 datos preparados'!D251</f>
        <v/>
      </c>
      <c r="F258" s="7">
        <f>'1 datos preparados'!E251</f>
        <v/>
      </c>
      <c r="G258" s="7">
        <f>'1 datos preparados'!F251</f>
        <v/>
      </c>
      <c r="H258" s="7">
        <f>'1 datos preparados'!G251</f>
        <v/>
      </c>
      <c r="I258" s="7">
        <f>'1 datos preparados'!H251</f>
        <v/>
      </c>
      <c r="J258" s="7">
        <f>'1 datos preparados'!I251</f>
        <v/>
      </c>
      <c r="K258" s="7">
        <f>'1 datos preparados'!J251</f>
        <v/>
      </c>
      <c r="L258" s="7">
        <f>'1 datos preparados'!K251</f>
        <v/>
      </c>
      <c r="M258" s="7">
        <f>'1 datos preparados'!L251</f>
        <v/>
      </c>
      <c r="N258" s="7">
        <f>'1 datos preparados'!M251</f>
        <v/>
      </c>
      <c r="O258" s="7">
        <f>'1 datos preparados'!N251</f>
        <v/>
      </c>
      <c r="P258" s="7">
        <f>'1 datos preparados'!O251</f>
        <v/>
      </c>
      <c r="Q258" s="7">
        <f>'1 datos preparados'!P251</f>
        <v/>
      </c>
      <c r="R258" s="7">
        <f>'1 datos preparados'!Q251</f>
        <v/>
      </c>
      <c r="S258" s="7">
        <f>'1 datos preparados'!R251</f>
        <v/>
      </c>
      <c r="T258" s="7">
        <f>'1 datos preparados'!S251</f>
        <v/>
      </c>
      <c r="U258" s="7">
        <f>'1 datos preparados'!T251</f>
        <v/>
      </c>
      <c r="V258" s="8">
        <f>$AE$12+D258*$AE$13+E258*$AE$14+F258*$AE$15+G258*$AE$16+H258*$AE$17+I258*$AE$18+J258*$AE$19+K258*$AE$20+L258*$AE$21+M258*$AE$22+N258*$AE$23+O258*$AE$24+P258*$AE$25+Q258*$AE$26+R258*$AE$27+S258*$AE$28+T258*$AE$29+U258*$AE$30</f>
        <v/>
      </c>
      <c r="W258" s="8">
        <f>1/(1+EXP(-V258))</f>
        <v/>
      </c>
      <c r="X258" s="9">
        <f>-IF(C258=1,LN(W258),LN(1-W258))</f>
        <v/>
      </c>
      <c r="Y258" s="8">
        <f>'1 datos preparados'!V251</f>
        <v/>
      </c>
      <c r="Z258" s="9">
        <f>Y258*X258</f>
        <v/>
      </c>
      <c r="AA258" s="10">
        <f>IF(W258&gt;$AE$33,1,0)</f>
        <v/>
      </c>
      <c r="AB258">
        <f>IF(AA258=C258,1,0)</f>
        <v/>
      </c>
    </row>
    <row r="259">
      <c r="A259">
        <f>'1 datos preparados'!A252</f>
        <v/>
      </c>
      <c r="B259" s="5">
        <f>'1 datos preparados'!U252</f>
        <v/>
      </c>
      <c r="C259">
        <f>'1 datos preparados'!B252</f>
        <v/>
      </c>
      <c r="D259" s="7">
        <f>'1 datos preparados'!C252</f>
        <v/>
      </c>
      <c r="E259" s="7">
        <f>'1 datos preparados'!D252</f>
        <v/>
      </c>
      <c r="F259" s="7">
        <f>'1 datos preparados'!E252</f>
        <v/>
      </c>
      <c r="G259" s="7">
        <f>'1 datos preparados'!F252</f>
        <v/>
      </c>
      <c r="H259" s="7">
        <f>'1 datos preparados'!G252</f>
        <v/>
      </c>
      <c r="I259" s="7">
        <f>'1 datos preparados'!H252</f>
        <v/>
      </c>
      <c r="J259" s="7">
        <f>'1 datos preparados'!I252</f>
        <v/>
      </c>
      <c r="K259" s="7">
        <f>'1 datos preparados'!J252</f>
        <v/>
      </c>
      <c r="L259" s="7">
        <f>'1 datos preparados'!K252</f>
        <v/>
      </c>
      <c r="M259" s="7">
        <f>'1 datos preparados'!L252</f>
        <v/>
      </c>
      <c r="N259" s="7">
        <f>'1 datos preparados'!M252</f>
        <v/>
      </c>
      <c r="O259" s="7">
        <f>'1 datos preparados'!N252</f>
        <v/>
      </c>
      <c r="P259" s="7">
        <f>'1 datos preparados'!O252</f>
        <v/>
      </c>
      <c r="Q259" s="7">
        <f>'1 datos preparados'!P252</f>
        <v/>
      </c>
      <c r="R259" s="7">
        <f>'1 datos preparados'!Q252</f>
        <v/>
      </c>
      <c r="S259" s="7">
        <f>'1 datos preparados'!R252</f>
        <v/>
      </c>
      <c r="T259" s="7">
        <f>'1 datos preparados'!S252</f>
        <v/>
      </c>
      <c r="U259" s="7">
        <f>'1 datos preparados'!T252</f>
        <v/>
      </c>
      <c r="V259" s="8">
        <f>$AE$12+D259*$AE$13+E259*$AE$14+F259*$AE$15+G259*$AE$16+H259*$AE$17+I259*$AE$18+J259*$AE$19+K259*$AE$20+L259*$AE$21+M259*$AE$22+N259*$AE$23+O259*$AE$24+P259*$AE$25+Q259*$AE$26+R259*$AE$27+S259*$AE$28+T259*$AE$29+U259*$AE$30</f>
        <v/>
      </c>
      <c r="W259" s="8">
        <f>1/(1+EXP(-V259))</f>
        <v/>
      </c>
      <c r="X259" s="9">
        <f>-IF(C259=1,LN(W259),LN(1-W259))</f>
        <v/>
      </c>
      <c r="Y259" s="8">
        <f>'1 datos preparados'!V252</f>
        <v/>
      </c>
      <c r="Z259" s="9">
        <f>Y259*X259</f>
        <v/>
      </c>
      <c r="AA259" s="10">
        <f>IF(W259&gt;$AE$33,1,0)</f>
        <v/>
      </c>
      <c r="AB259">
        <f>IF(AA259=C259,1,0)</f>
        <v/>
      </c>
    </row>
    <row r="260">
      <c r="A260">
        <f>'1 datos preparados'!A253</f>
        <v/>
      </c>
      <c r="B260" s="5">
        <f>'1 datos preparados'!U253</f>
        <v/>
      </c>
      <c r="C260">
        <f>'1 datos preparados'!B253</f>
        <v/>
      </c>
      <c r="D260" s="7">
        <f>'1 datos preparados'!C253</f>
        <v/>
      </c>
      <c r="E260" s="7">
        <f>'1 datos preparados'!D253</f>
        <v/>
      </c>
      <c r="F260" s="7">
        <f>'1 datos preparados'!E253</f>
        <v/>
      </c>
      <c r="G260" s="7">
        <f>'1 datos preparados'!F253</f>
        <v/>
      </c>
      <c r="H260" s="7">
        <f>'1 datos preparados'!G253</f>
        <v/>
      </c>
      <c r="I260" s="7">
        <f>'1 datos preparados'!H253</f>
        <v/>
      </c>
      <c r="J260" s="7">
        <f>'1 datos preparados'!I253</f>
        <v/>
      </c>
      <c r="K260" s="7">
        <f>'1 datos preparados'!J253</f>
        <v/>
      </c>
      <c r="L260" s="7">
        <f>'1 datos preparados'!K253</f>
        <v/>
      </c>
      <c r="M260" s="7">
        <f>'1 datos preparados'!L253</f>
        <v/>
      </c>
      <c r="N260" s="7">
        <f>'1 datos preparados'!M253</f>
        <v/>
      </c>
      <c r="O260" s="7">
        <f>'1 datos preparados'!N253</f>
        <v/>
      </c>
      <c r="P260" s="7">
        <f>'1 datos preparados'!O253</f>
        <v/>
      </c>
      <c r="Q260" s="7">
        <f>'1 datos preparados'!P253</f>
        <v/>
      </c>
      <c r="R260" s="7">
        <f>'1 datos preparados'!Q253</f>
        <v/>
      </c>
      <c r="S260" s="7">
        <f>'1 datos preparados'!R253</f>
        <v/>
      </c>
      <c r="T260" s="7">
        <f>'1 datos preparados'!S253</f>
        <v/>
      </c>
      <c r="U260" s="7">
        <f>'1 datos preparados'!T253</f>
        <v/>
      </c>
      <c r="V260" s="8">
        <f>$AE$12+D260*$AE$13+E260*$AE$14+F260*$AE$15+G260*$AE$16+H260*$AE$17+I260*$AE$18+J260*$AE$19+K260*$AE$20+L260*$AE$21+M260*$AE$22+N260*$AE$23+O260*$AE$24+P260*$AE$25+Q260*$AE$26+R260*$AE$27+S260*$AE$28+T260*$AE$29+U260*$AE$30</f>
        <v/>
      </c>
      <c r="W260" s="8">
        <f>1/(1+EXP(-V260))</f>
        <v/>
      </c>
      <c r="X260" s="9">
        <f>-IF(C260=1,LN(W260),LN(1-W260))</f>
        <v/>
      </c>
      <c r="Y260" s="8">
        <f>'1 datos preparados'!V253</f>
        <v/>
      </c>
      <c r="Z260" s="9">
        <f>Y260*X260</f>
        <v/>
      </c>
      <c r="AA260" s="10">
        <f>IF(W260&gt;$AE$33,1,0)</f>
        <v/>
      </c>
      <c r="AB260">
        <f>IF(AA260=C260,1,0)</f>
        <v/>
      </c>
    </row>
    <row r="261">
      <c r="A261">
        <f>'1 datos preparados'!A254</f>
        <v/>
      </c>
      <c r="B261" s="5">
        <f>'1 datos preparados'!U254</f>
        <v/>
      </c>
      <c r="C261">
        <f>'1 datos preparados'!B254</f>
        <v/>
      </c>
      <c r="D261" s="7">
        <f>'1 datos preparados'!C254</f>
        <v/>
      </c>
      <c r="E261" s="7">
        <f>'1 datos preparados'!D254</f>
        <v/>
      </c>
      <c r="F261" s="7">
        <f>'1 datos preparados'!E254</f>
        <v/>
      </c>
      <c r="G261" s="7">
        <f>'1 datos preparados'!F254</f>
        <v/>
      </c>
      <c r="H261" s="7">
        <f>'1 datos preparados'!G254</f>
        <v/>
      </c>
      <c r="I261" s="7">
        <f>'1 datos preparados'!H254</f>
        <v/>
      </c>
      <c r="J261" s="7">
        <f>'1 datos preparados'!I254</f>
        <v/>
      </c>
      <c r="K261" s="7">
        <f>'1 datos preparados'!J254</f>
        <v/>
      </c>
      <c r="L261" s="7">
        <f>'1 datos preparados'!K254</f>
        <v/>
      </c>
      <c r="M261" s="7">
        <f>'1 datos preparados'!L254</f>
        <v/>
      </c>
      <c r="N261" s="7">
        <f>'1 datos preparados'!M254</f>
        <v/>
      </c>
      <c r="O261" s="7">
        <f>'1 datos preparados'!N254</f>
        <v/>
      </c>
      <c r="P261" s="7">
        <f>'1 datos preparados'!O254</f>
        <v/>
      </c>
      <c r="Q261" s="7">
        <f>'1 datos preparados'!P254</f>
        <v/>
      </c>
      <c r="R261" s="7">
        <f>'1 datos preparados'!Q254</f>
        <v/>
      </c>
      <c r="S261" s="7">
        <f>'1 datos preparados'!R254</f>
        <v/>
      </c>
      <c r="T261" s="7">
        <f>'1 datos preparados'!S254</f>
        <v/>
      </c>
      <c r="U261" s="7">
        <f>'1 datos preparados'!T254</f>
        <v/>
      </c>
      <c r="V261" s="8">
        <f>$AE$12+D261*$AE$13+E261*$AE$14+F261*$AE$15+G261*$AE$16+H261*$AE$17+I261*$AE$18+J261*$AE$19+K261*$AE$20+L261*$AE$21+M261*$AE$22+N261*$AE$23+O261*$AE$24+P261*$AE$25+Q261*$AE$26+R261*$AE$27+S261*$AE$28+T261*$AE$29+U261*$AE$30</f>
        <v/>
      </c>
      <c r="W261" s="8">
        <f>1/(1+EXP(-V261))</f>
        <v/>
      </c>
      <c r="X261" s="9">
        <f>-IF(C261=1,LN(W261),LN(1-W261))</f>
        <v/>
      </c>
      <c r="Y261" s="8">
        <f>'1 datos preparados'!V254</f>
        <v/>
      </c>
      <c r="Z261" s="9">
        <f>Y261*X261</f>
        <v/>
      </c>
      <c r="AA261" s="10">
        <f>IF(W261&gt;$AE$33,1,0)</f>
        <v/>
      </c>
      <c r="AB261">
        <f>IF(AA261=C261,1,0)</f>
        <v/>
      </c>
    </row>
    <row r="262">
      <c r="A262">
        <f>'1 datos preparados'!A255</f>
        <v/>
      </c>
      <c r="B262" s="5">
        <f>'1 datos preparados'!U255</f>
        <v/>
      </c>
      <c r="C262">
        <f>'1 datos preparados'!B255</f>
        <v/>
      </c>
      <c r="D262" s="7">
        <f>'1 datos preparados'!C255</f>
        <v/>
      </c>
      <c r="E262" s="7">
        <f>'1 datos preparados'!D255</f>
        <v/>
      </c>
      <c r="F262" s="7">
        <f>'1 datos preparados'!E255</f>
        <v/>
      </c>
      <c r="G262" s="7">
        <f>'1 datos preparados'!F255</f>
        <v/>
      </c>
      <c r="H262" s="7">
        <f>'1 datos preparados'!G255</f>
        <v/>
      </c>
      <c r="I262" s="7">
        <f>'1 datos preparados'!H255</f>
        <v/>
      </c>
      <c r="J262" s="7">
        <f>'1 datos preparados'!I255</f>
        <v/>
      </c>
      <c r="K262" s="7">
        <f>'1 datos preparados'!J255</f>
        <v/>
      </c>
      <c r="L262" s="7">
        <f>'1 datos preparados'!K255</f>
        <v/>
      </c>
      <c r="M262" s="7">
        <f>'1 datos preparados'!L255</f>
        <v/>
      </c>
      <c r="N262" s="7">
        <f>'1 datos preparados'!M255</f>
        <v/>
      </c>
      <c r="O262" s="7">
        <f>'1 datos preparados'!N255</f>
        <v/>
      </c>
      <c r="P262" s="7">
        <f>'1 datos preparados'!O255</f>
        <v/>
      </c>
      <c r="Q262" s="7">
        <f>'1 datos preparados'!P255</f>
        <v/>
      </c>
      <c r="R262" s="7">
        <f>'1 datos preparados'!Q255</f>
        <v/>
      </c>
      <c r="S262" s="7">
        <f>'1 datos preparados'!R255</f>
        <v/>
      </c>
      <c r="T262" s="7">
        <f>'1 datos preparados'!S255</f>
        <v/>
      </c>
      <c r="U262" s="7">
        <f>'1 datos preparados'!T255</f>
        <v/>
      </c>
      <c r="V262" s="8">
        <f>$AE$12+D262*$AE$13+E262*$AE$14+F262*$AE$15+G262*$AE$16+H262*$AE$17+I262*$AE$18+J262*$AE$19+K262*$AE$20+L262*$AE$21+M262*$AE$22+N262*$AE$23+O262*$AE$24+P262*$AE$25+Q262*$AE$26+R262*$AE$27+S262*$AE$28+T262*$AE$29+U262*$AE$30</f>
        <v/>
      </c>
      <c r="W262" s="8">
        <f>1/(1+EXP(-V262))</f>
        <v/>
      </c>
      <c r="X262" s="9">
        <f>-IF(C262=1,LN(W262),LN(1-W262))</f>
        <v/>
      </c>
      <c r="Y262" s="8">
        <f>'1 datos preparados'!V255</f>
        <v/>
      </c>
      <c r="Z262" s="9">
        <f>Y262*X262</f>
        <v/>
      </c>
      <c r="AA262" s="10">
        <f>IF(W262&gt;$AE$33,1,0)</f>
        <v/>
      </c>
      <c r="AB262">
        <f>IF(AA262=C262,1,0)</f>
        <v/>
      </c>
    </row>
    <row r="263">
      <c r="A263">
        <f>'1 datos preparados'!A256</f>
        <v/>
      </c>
      <c r="B263" s="5">
        <f>'1 datos preparados'!U256</f>
        <v/>
      </c>
      <c r="C263">
        <f>'1 datos preparados'!B256</f>
        <v/>
      </c>
      <c r="D263" s="7">
        <f>'1 datos preparados'!C256</f>
        <v/>
      </c>
      <c r="E263" s="7">
        <f>'1 datos preparados'!D256</f>
        <v/>
      </c>
      <c r="F263" s="7">
        <f>'1 datos preparados'!E256</f>
        <v/>
      </c>
      <c r="G263" s="7">
        <f>'1 datos preparados'!F256</f>
        <v/>
      </c>
      <c r="H263" s="7">
        <f>'1 datos preparados'!G256</f>
        <v/>
      </c>
      <c r="I263" s="7">
        <f>'1 datos preparados'!H256</f>
        <v/>
      </c>
      <c r="J263" s="7">
        <f>'1 datos preparados'!I256</f>
        <v/>
      </c>
      <c r="K263" s="7">
        <f>'1 datos preparados'!J256</f>
        <v/>
      </c>
      <c r="L263" s="7">
        <f>'1 datos preparados'!K256</f>
        <v/>
      </c>
      <c r="M263" s="7">
        <f>'1 datos preparados'!L256</f>
        <v/>
      </c>
      <c r="N263" s="7">
        <f>'1 datos preparados'!M256</f>
        <v/>
      </c>
      <c r="O263" s="7">
        <f>'1 datos preparados'!N256</f>
        <v/>
      </c>
      <c r="P263" s="7">
        <f>'1 datos preparados'!O256</f>
        <v/>
      </c>
      <c r="Q263" s="7">
        <f>'1 datos preparados'!P256</f>
        <v/>
      </c>
      <c r="R263" s="7">
        <f>'1 datos preparados'!Q256</f>
        <v/>
      </c>
      <c r="S263" s="7">
        <f>'1 datos preparados'!R256</f>
        <v/>
      </c>
      <c r="T263" s="7">
        <f>'1 datos preparados'!S256</f>
        <v/>
      </c>
      <c r="U263" s="7">
        <f>'1 datos preparados'!T256</f>
        <v/>
      </c>
      <c r="V263" s="8">
        <f>$AE$12+D263*$AE$13+E263*$AE$14+F263*$AE$15+G263*$AE$16+H263*$AE$17+I263*$AE$18+J263*$AE$19+K263*$AE$20+L263*$AE$21+M263*$AE$22+N263*$AE$23+O263*$AE$24+P263*$AE$25+Q263*$AE$26+R263*$AE$27+S263*$AE$28+T263*$AE$29+U263*$AE$30</f>
        <v/>
      </c>
      <c r="W263" s="8">
        <f>1/(1+EXP(-V263))</f>
        <v/>
      </c>
      <c r="X263" s="9">
        <f>-IF(C263=1,LN(W263),LN(1-W263))</f>
        <v/>
      </c>
      <c r="Y263" s="8">
        <f>'1 datos preparados'!V256</f>
        <v/>
      </c>
      <c r="Z263" s="9">
        <f>Y263*X263</f>
        <v/>
      </c>
      <c r="AA263" s="10">
        <f>IF(W263&gt;$AE$33,1,0)</f>
        <v/>
      </c>
      <c r="AB263">
        <f>IF(AA263=C263,1,0)</f>
        <v/>
      </c>
    </row>
    <row r="264">
      <c r="A264">
        <f>'1 datos preparados'!A257</f>
        <v/>
      </c>
      <c r="B264" s="5">
        <f>'1 datos preparados'!U257</f>
        <v/>
      </c>
      <c r="C264">
        <f>'1 datos preparados'!B257</f>
        <v/>
      </c>
      <c r="D264" s="7">
        <f>'1 datos preparados'!C257</f>
        <v/>
      </c>
      <c r="E264" s="7">
        <f>'1 datos preparados'!D257</f>
        <v/>
      </c>
      <c r="F264" s="7">
        <f>'1 datos preparados'!E257</f>
        <v/>
      </c>
      <c r="G264" s="7">
        <f>'1 datos preparados'!F257</f>
        <v/>
      </c>
      <c r="H264" s="7">
        <f>'1 datos preparados'!G257</f>
        <v/>
      </c>
      <c r="I264" s="7">
        <f>'1 datos preparados'!H257</f>
        <v/>
      </c>
      <c r="J264" s="7">
        <f>'1 datos preparados'!I257</f>
        <v/>
      </c>
      <c r="K264" s="7">
        <f>'1 datos preparados'!J257</f>
        <v/>
      </c>
      <c r="L264" s="7">
        <f>'1 datos preparados'!K257</f>
        <v/>
      </c>
      <c r="M264" s="7">
        <f>'1 datos preparados'!L257</f>
        <v/>
      </c>
      <c r="N264" s="7">
        <f>'1 datos preparados'!M257</f>
        <v/>
      </c>
      <c r="O264" s="7">
        <f>'1 datos preparados'!N257</f>
        <v/>
      </c>
      <c r="P264" s="7">
        <f>'1 datos preparados'!O257</f>
        <v/>
      </c>
      <c r="Q264" s="7">
        <f>'1 datos preparados'!P257</f>
        <v/>
      </c>
      <c r="R264" s="7">
        <f>'1 datos preparados'!Q257</f>
        <v/>
      </c>
      <c r="S264" s="7">
        <f>'1 datos preparados'!R257</f>
        <v/>
      </c>
      <c r="T264" s="7">
        <f>'1 datos preparados'!S257</f>
        <v/>
      </c>
      <c r="U264" s="7">
        <f>'1 datos preparados'!T257</f>
        <v/>
      </c>
      <c r="V264" s="8">
        <f>$AE$12+D264*$AE$13+E264*$AE$14+F264*$AE$15+G264*$AE$16+H264*$AE$17+I264*$AE$18+J264*$AE$19+K264*$AE$20+L264*$AE$21+M264*$AE$22+N264*$AE$23+O264*$AE$24+P264*$AE$25+Q264*$AE$26+R264*$AE$27+S264*$AE$28+T264*$AE$29+U264*$AE$30</f>
        <v/>
      </c>
      <c r="W264" s="8">
        <f>1/(1+EXP(-V264))</f>
        <v/>
      </c>
      <c r="X264" s="9">
        <f>-IF(C264=1,LN(W264),LN(1-W264))</f>
        <v/>
      </c>
      <c r="Y264" s="8">
        <f>'1 datos preparados'!V257</f>
        <v/>
      </c>
      <c r="Z264" s="9">
        <f>Y264*X264</f>
        <v/>
      </c>
      <c r="AA264" s="10">
        <f>IF(W264&gt;$AE$33,1,0)</f>
        <v/>
      </c>
      <c r="AB264">
        <f>IF(AA264=C264,1,0)</f>
        <v/>
      </c>
    </row>
    <row r="265">
      <c r="A265">
        <f>'1 datos preparados'!A258</f>
        <v/>
      </c>
      <c r="B265" s="5">
        <f>'1 datos preparados'!U258</f>
        <v/>
      </c>
      <c r="C265">
        <f>'1 datos preparados'!B258</f>
        <v/>
      </c>
      <c r="D265" s="7">
        <f>'1 datos preparados'!C258</f>
        <v/>
      </c>
      <c r="E265" s="7">
        <f>'1 datos preparados'!D258</f>
        <v/>
      </c>
      <c r="F265" s="7">
        <f>'1 datos preparados'!E258</f>
        <v/>
      </c>
      <c r="G265" s="7">
        <f>'1 datos preparados'!F258</f>
        <v/>
      </c>
      <c r="H265" s="7">
        <f>'1 datos preparados'!G258</f>
        <v/>
      </c>
      <c r="I265" s="7">
        <f>'1 datos preparados'!H258</f>
        <v/>
      </c>
      <c r="J265" s="7">
        <f>'1 datos preparados'!I258</f>
        <v/>
      </c>
      <c r="K265" s="7">
        <f>'1 datos preparados'!J258</f>
        <v/>
      </c>
      <c r="L265" s="7">
        <f>'1 datos preparados'!K258</f>
        <v/>
      </c>
      <c r="M265" s="7">
        <f>'1 datos preparados'!L258</f>
        <v/>
      </c>
      <c r="N265" s="7">
        <f>'1 datos preparados'!M258</f>
        <v/>
      </c>
      <c r="O265" s="7">
        <f>'1 datos preparados'!N258</f>
        <v/>
      </c>
      <c r="P265" s="7">
        <f>'1 datos preparados'!O258</f>
        <v/>
      </c>
      <c r="Q265" s="7">
        <f>'1 datos preparados'!P258</f>
        <v/>
      </c>
      <c r="R265" s="7">
        <f>'1 datos preparados'!Q258</f>
        <v/>
      </c>
      <c r="S265" s="7">
        <f>'1 datos preparados'!R258</f>
        <v/>
      </c>
      <c r="T265" s="7">
        <f>'1 datos preparados'!S258</f>
        <v/>
      </c>
      <c r="U265" s="7">
        <f>'1 datos preparados'!T258</f>
        <v/>
      </c>
      <c r="V265" s="8">
        <f>$AE$12+D265*$AE$13+E265*$AE$14+F265*$AE$15+G265*$AE$16+H265*$AE$17+I265*$AE$18+J265*$AE$19+K265*$AE$20+L265*$AE$21+M265*$AE$22+N265*$AE$23+O265*$AE$24+P265*$AE$25+Q265*$AE$26+R265*$AE$27+S265*$AE$28+T265*$AE$29+U265*$AE$30</f>
        <v/>
      </c>
      <c r="W265" s="8">
        <f>1/(1+EXP(-V265))</f>
        <v/>
      </c>
      <c r="X265" s="9">
        <f>-IF(C265=1,LN(W265),LN(1-W265))</f>
        <v/>
      </c>
      <c r="Y265" s="8">
        <f>'1 datos preparados'!V258</f>
        <v/>
      </c>
      <c r="Z265" s="9">
        <f>Y265*X265</f>
        <v/>
      </c>
      <c r="AA265" s="10">
        <f>IF(W265&gt;$AE$33,1,0)</f>
        <v/>
      </c>
      <c r="AB265">
        <f>IF(AA265=C265,1,0)</f>
        <v/>
      </c>
    </row>
    <row r="266">
      <c r="A266">
        <f>'1 datos preparados'!A259</f>
        <v/>
      </c>
      <c r="B266" s="5">
        <f>'1 datos preparados'!U259</f>
        <v/>
      </c>
      <c r="C266">
        <f>'1 datos preparados'!B259</f>
        <v/>
      </c>
      <c r="D266" s="7">
        <f>'1 datos preparados'!C259</f>
        <v/>
      </c>
      <c r="E266" s="7">
        <f>'1 datos preparados'!D259</f>
        <v/>
      </c>
      <c r="F266" s="7">
        <f>'1 datos preparados'!E259</f>
        <v/>
      </c>
      <c r="G266" s="7">
        <f>'1 datos preparados'!F259</f>
        <v/>
      </c>
      <c r="H266" s="7">
        <f>'1 datos preparados'!G259</f>
        <v/>
      </c>
      <c r="I266" s="7">
        <f>'1 datos preparados'!H259</f>
        <v/>
      </c>
      <c r="J266" s="7">
        <f>'1 datos preparados'!I259</f>
        <v/>
      </c>
      <c r="K266" s="7">
        <f>'1 datos preparados'!J259</f>
        <v/>
      </c>
      <c r="L266" s="7">
        <f>'1 datos preparados'!K259</f>
        <v/>
      </c>
      <c r="M266" s="7">
        <f>'1 datos preparados'!L259</f>
        <v/>
      </c>
      <c r="N266" s="7">
        <f>'1 datos preparados'!M259</f>
        <v/>
      </c>
      <c r="O266" s="7">
        <f>'1 datos preparados'!N259</f>
        <v/>
      </c>
      <c r="P266" s="7">
        <f>'1 datos preparados'!O259</f>
        <v/>
      </c>
      <c r="Q266" s="7">
        <f>'1 datos preparados'!P259</f>
        <v/>
      </c>
      <c r="R266" s="7">
        <f>'1 datos preparados'!Q259</f>
        <v/>
      </c>
      <c r="S266" s="7">
        <f>'1 datos preparados'!R259</f>
        <v/>
      </c>
      <c r="T266" s="7">
        <f>'1 datos preparados'!S259</f>
        <v/>
      </c>
      <c r="U266" s="7">
        <f>'1 datos preparados'!T259</f>
        <v/>
      </c>
      <c r="V266" s="8">
        <f>$AE$12+D266*$AE$13+E266*$AE$14+F266*$AE$15+G266*$AE$16+H266*$AE$17+I266*$AE$18+J266*$AE$19+K266*$AE$20+L266*$AE$21+M266*$AE$22+N266*$AE$23+O266*$AE$24+P266*$AE$25+Q266*$AE$26+R266*$AE$27+S266*$AE$28+T266*$AE$29+U266*$AE$30</f>
        <v/>
      </c>
      <c r="W266" s="8">
        <f>1/(1+EXP(-V266))</f>
        <v/>
      </c>
      <c r="X266" s="9">
        <f>-IF(C266=1,LN(W266),LN(1-W266))</f>
        <v/>
      </c>
      <c r="Y266" s="8">
        <f>'1 datos preparados'!V259</f>
        <v/>
      </c>
      <c r="Z266" s="9">
        <f>Y266*X266</f>
        <v/>
      </c>
      <c r="AA266" s="10">
        <f>IF(W266&gt;$AE$33,1,0)</f>
        <v/>
      </c>
      <c r="AB266">
        <f>IF(AA266=C266,1,0)</f>
        <v/>
      </c>
    </row>
    <row r="267">
      <c r="A267">
        <f>'1 datos preparados'!A260</f>
        <v/>
      </c>
      <c r="B267" s="5">
        <f>'1 datos preparados'!U260</f>
        <v/>
      </c>
      <c r="C267">
        <f>'1 datos preparados'!B260</f>
        <v/>
      </c>
      <c r="D267" s="7">
        <f>'1 datos preparados'!C260</f>
        <v/>
      </c>
      <c r="E267" s="7">
        <f>'1 datos preparados'!D260</f>
        <v/>
      </c>
      <c r="F267" s="7">
        <f>'1 datos preparados'!E260</f>
        <v/>
      </c>
      <c r="G267" s="7">
        <f>'1 datos preparados'!F260</f>
        <v/>
      </c>
      <c r="H267" s="7">
        <f>'1 datos preparados'!G260</f>
        <v/>
      </c>
      <c r="I267" s="7">
        <f>'1 datos preparados'!H260</f>
        <v/>
      </c>
      <c r="J267" s="7">
        <f>'1 datos preparados'!I260</f>
        <v/>
      </c>
      <c r="K267" s="7">
        <f>'1 datos preparados'!J260</f>
        <v/>
      </c>
      <c r="L267" s="7">
        <f>'1 datos preparados'!K260</f>
        <v/>
      </c>
      <c r="M267" s="7">
        <f>'1 datos preparados'!L260</f>
        <v/>
      </c>
      <c r="N267" s="7">
        <f>'1 datos preparados'!M260</f>
        <v/>
      </c>
      <c r="O267" s="7">
        <f>'1 datos preparados'!N260</f>
        <v/>
      </c>
      <c r="P267" s="7">
        <f>'1 datos preparados'!O260</f>
        <v/>
      </c>
      <c r="Q267" s="7">
        <f>'1 datos preparados'!P260</f>
        <v/>
      </c>
      <c r="R267" s="7">
        <f>'1 datos preparados'!Q260</f>
        <v/>
      </c>
      <c r="S267" s="7">
        <f>'1 datos preparados'!R260</f>
        <v/>
      </c>
      <c r="T267" s="7">
        <f>'1 datos preparados'!S260</f>
        <v/>
      </c>
      <c r="U267" s="7">
        <f>'1 datos preparados'!T260</f>
        <v/>
      </c>
      <c r="V267" s="8">
        <f>$AE$12+D267*$AE$13+E267*$AE$14+F267*$AE$15+G267*$AE$16+H267*$AE$17+I267*$AE$18+J267*$AE$19+K267*$AE$20+L267*$AE$21+M267*$AE$22+N267*$AE$23+O267*$AE$24+P267*$AE$25+Q267*$AE$26+R267*$AE$27+S267*$AE$28+T267*$AE$29+U267*$AE$30</f>
        <v/>
      </c>
      <c r="W267" s="8">
        <f>1/(1+EXP(-V267))</f>
        <v/>
      </c>
      <c r="X267" s="9">
        <f>-IF(C267=1,LN(W267),LN(1-W267))</f>
        <v/>
      </c>
      <c r="Y267" s="8">
        <f>'1 datos preparados'!V260</f>
        <v/>
      </c>
      <c r="Z267" s="9">
        <f>Y267*X267</f>
        <v/>
      </c>
      <c r="AA267" s="10">
        <f>IF(W267&gt;$AE$33,1,0)</f>
        <v/>
      </c>
      <c r="AB267">
        <f>IF(AA267=C267,1,0)</f>
        <v/>
      </c>
    </row>
    <row r="268">
      <c r="A268">
        <f>'1 datos preparados'!A261</f>
        <v/>
      </c>
      <c r="B268" s="5">
        <f>'1 datos preparados'!U261</f>
        <v/>
      </c>
      <c r="C268">
        <f>'1 datos preparados'!B261</f>
        <v/>
      </c>
      <c r="D268" s="7">
        <f>'1 datos preparados'!C261</f>
        <v/>
      </c>
      <c r="E268" s="7">
        <f>'1 datos preparados'!D261</f>
        <v/>
      </c>
      <c r="F268" s="7">
        <f>'1 datos preparados'!E261</f>
        <v/>
      </c>
      <c r="G268" s="7">
        <f>'1 datos preparados'!F261</f>
        <v/>
      </c>
      <c r="H268" s="7">
        <f>'1 datos preparados'!G261</f>
        <v/>
      </c>
      <c r="I268" s="7">
        <f>'1 datos preparados'!H261</f>
        <v/>
      </c>
      <c r="J268" s="7">
        <f>'1 datos preparados'!I261</f>
        <v/>
      </c>
      <c r="K268" s="7">
        <f>'1 datos preparados'!J261</f>
        <v/>
      </c>
      <c r="L268" s="7">
        <f>'1 datos preparados'!K261</f>
        <v/>
      </c>
      <c r="M268" s="7">
        <f>'1 datos preparados'!L261</f>
        <v/>
      </c>
      <c r="N268" s="7">
        <f>'1 datos preparados'!M261</f>
        <v/>
      </c>
      <c r="O268" s="7">
        <f>'1 datos preparados'!N261</f>
        <v/>
      </c>
      <c r="P268" s="7">
        <f>'1 datos preparados'!O261</f>
        <v/>
      </c>
      <c r="Q268" s="7">
        <f>'1 datos preparados'!P261</f>
        <v/>
      </c>
      <c r="R268" s="7">
        <f>'1 datos preparados'!Q261</f>
        <v/>
      </c>
      <c r="S268" s="7">
        <f>'1 datos preparados'!R261</f>
        <v/>
      </c>
      <c r="T268" s="7">
        <f>'1 datos preparados'!S261</f>
        <v/>
      </c>
      <c r="U268" s="7">
        <f>'1 datos preparados'!T261</f>
        <v/>
      </c>
      <c r="V268" s="8">
        <f>$AE$12+D268*$AE$13+E268*$AE$14+F268*$AE$15+G268*$AE$16+H268*$AE$17+I268*$AE$18+J268*$AE$19+K268*$AE$20+L268*$AE$21+M268*$AE$22+N268*$AE$23+O268*$AE$24+P268*$AE$25+Q268*$AE$26+R268*$AE$27+S268*$AE$28+T268*$AE$29+U268*$AE$30</f>
        <v/>
      </c>
      <c r="W268" s="8">
        <f>1/(1+EXP(-V268))</f>
        <v/>
      </c>
      <c r="X268" s="9">
        <f>-IF(C268=1,LN(W268),LN(1-W268))</f>
        <v/>
      </c>
      <c r="Y268" s="8">
        <f>'1 datos preparados'!V261</f>
        <v/>
      </c>
      <c r="Z268" s="9">
        <f>Y268*X268</f>
        <v/>
      </c>
      <c r="AA268" s="10">
        <f>IF(W268&gt;$AE$33,1,0)</f>
        <v/>
      </c>
      <c r="AB268">
        <f>IF(AA268=C268,1,0)</f>
        <v/>
      </c>
    </row>
    <row r="269">
      <c r="A269">
        <f>'1 datos preparados'!A262</f>
        <v/>
      </c>
      <c r="B269" s="5">
        <f>'1 datos preparados'!U262</f>
        <v/>
      </c>
      <c r="C269">
        <f>'1 datos preparados'!B262</f>
        <v/>
      </c>
      <c r="D269" s="7">
        <f>'1 datos preparados'!C262</f>
        <v/>
      </c>
      <c r="E269" s="7">
        <f>'1 datos preparados'!D262</f>
        <v/>
      </c>
      <c r="F269" s="7">
        <f>'1 datos preparados'!E262</f>
        <v/>
      </c>
      <c r="G269" s="7">
        <f>'1 datos preparados'!F262</f>
        <v/>
      </c>
      <c r="H269" s="7">
        <f>'1 datos preparados'!G262</f>
        <v/>
      </c>
      <c r="I269" s="7">
        <f>'1 datos preparados'!H262</f>
        <v/>
      </c>
      <c r="J269" s="7">
        <f>'1 datos preparados'!I262</f>
        <v/>
      </c>
      <c r="K269" s="7">
        <f>'1 datos preparados'!J262</f>
        <v/>
      </c>
      <c r="L269" s="7">
        <f>'1 datos preparados'!K262</f>
        <v/>
      </c>
      <c r="M269" s="7">
        <f>'1 datos preparados'!L262</f>
        <v/>
      </c>
      <c r="N269" s="7">
        <f>'1 datos preparados'!M262</f>
        <v/>
      </c>
      <c r="O269" s="7">
        <f>'1 datos preparados'!N262</f>
        <v/>
      </c>
      <c r="P269" s="7">
        <f>'1 datos preparados'!O262</f>
        <v/>
      </c>
      <c r="Q269" s="7">
        <f>'1 datos preparados'!P262</f>
        <v/>
      </c>
      <c r="R269" s="7">
        <f>'1 datos preparados'!Q262</f>
        <v/>
      </c>
      <c r="S269" s="7">
        <f>'1 datos preparados'!R262</f>
        <v/>
      </c>
      <c r="T269" s="7">
        <f>'1 datos preparados'!S262</f>
        <v/>
      </c>
      <c r="U269" s="7">
        <f>'1 datos preparados'!T262</f>
        <v/>
      </c>
      <c r="V269" s="8">
        <f>$AE$12+D269*$AE$13+E269*$AE$14+F269*$AE$15+G269*$AE$16+H269*$AE$17+I269*$AE$18+J269*$AE$19+K269*$AE$20+L269*$AE$21+M269*$AE$22+N269*$AE$23+O269*$AE$24+P269*$AE$25+Q269*$AE$26+R269*$AE$27+S269*$AE$28+T269*$AE$29+U269*$AE$30</f>
        <v/>
      </c>
      <c r="W269" s="8">
        <f>1/(1+EXP(-V269))</f>
        <v/>
      </c>
      <c r="X269" s="9">
        <f>-IF(C269=1,LN(W269),LN(1-W269))</f>
        <v/>
      </c>
      <c r="Y269" s="8">
        <f>'1 datos preparados'!V262</f>
        <v/>
      </c>
      <c r="Z269" s="9">
        <f>Y269*X269</f>
        <v/>
      </c>
      <c r="AA269" s="10">
        <f>IF(W269&gt;$AE$33,1,0)</f>
        <v/>
      </c>
      <c r="AB269">
        <f>IF(AA269=C269,1,0)</f>
        <v/>
      </c>
    </row>
    <row r="270">
      <c r="A270">
        <f>'1 datos preparados'!A263</f>
        <v/>
      </c>
      <c r="B270" s="5">
        <f>'1 datos preparados'!U263</f>
        <v/>
      </c>
      <c r="C270">
        <f>'1 datos preparados'!B263</f>
        <v/>
      </c>
      <c r="D270" s="7">
        <f>'1 datos preparados'!C263</f>
        <v/>
      </c>
      <c r="E270" s="7">
        <f>'1 datos preparados'!D263</f>
        <v/>
      </c>
      <c r="F270" s="7">
        <f>'1 datos preparados'!E263</f>
        <v/>
      </c>
      <c r="G270" s="7">
        <f>'1 datos preparados'!F263</f>
        <v/>
      </c>
      <c r="H270" s="7">
        <f>'1 datos preparados'!G263</f>
        <v/>
      </c>
      <c r="I270" s="7">
        <f>'1 datos preparados'!H263</f>
        <v/>
      </c>
      <c r="J270" s="7">
        <f>'1 datos preparados'!I263</f>
        <v/>
      </c>
      <c r="K270" s="7">
        <f>'1 datos preparados'!J263</f>
        <v/>
      </c>
      <c r="L270" s="7">
        <f>'1 datos preparados'!K263</f>
        <v/>
      </c>
      <c r="M270" s="7">
        <f>'1 datos preparados'!L263</f>
        <v/>
      </c>
      <c r="N270" s="7">
        <f>'1 datos preparados'!M263</f>
        <v/>
      </c>
      <c r="O270" s="7">
        <f>'1 datos preparados'!N263</f>
        <v/>
      </c>
      <c r="P270" s="7">
        <f>'1 datos preparados'!O263</f>
        <v/>
      </c>
      <c r="Q270" s="7">
        <f>'1 datos preparados'!P263</f>
        <v/>
      </c>
      <c r="R270" s="7">
        <f>'1 datos preparados'!Q263</f>
        <v/>
      </c>
      <c r="S270" s="7">
        <f>'1 datos preparados'!R263</f>
        <v/>
      </c>
      <c r="T270" s="7">
        <f>'1 datos preparados'!S263</f>
        <v/>
      </c>
      <c r="U270" s="7">
        <f>'1 datos preparados'!T263</f>
        <v/>
      </c>
      <c r="V270" s="8">
        <f>$AE$12+D270*$AE$13+E270*$AE$14+F270*$AE$15+G270*$AE$16+H270*$AE$17+I270*$AE$18+J270*$AE$19+K270*$AE$20+L270*$AE$21+M270*$AE$22+N270*$AE$23+O270*$AE$24+P270*$AE$25+Q270*$AE$26+R270*$AE$27+S270*$AE$28+T270*$AE$29+U270*$AE$30</f>
        <v/>
      </c>
      <c r="W270" s="8">
        <f>1/(1+EXP(-V270))</f>
        <v/>
      </c>
      <c r="X270" s="9">
        <f>-IF(C270=1,LN(W270),LN(1-W270))</f>
        <v/>
      </c>
      <c r="Y270" s="8">
        <f>'1 datos preparados'!V263</f>
        <v/>
      </c>
      <c r="Z270" s="9">
        <f>Y270*X270</f>
        <v/>
      </c>
      <c r="AA270" s="10">
        <f>IF(W270&gt;$AE$33,1,0)</f>
        <v/>
      </c>
      <c r="AB270">
        <f>IF(AA270=C270,1,0)</f>
        <v/>
      </c>
    </row>
    <row r="271">
      <c r="A271">
        <f>'1 datos preparados'!A264</f>
        <v/>
      </c>
      <c r="B271" s="5">
        <f>'1 datos preparados'!U264</f>
        <v/>
      </c>
      <c r="C271">
        <f>'1 datos preparados'!B264</f>
        <v/>
      </c>
      <c r="D271" s="7">
        <f>'1 datos preparados'!C264</f>
        <v/>
      </c>
      <c r="E271" s="7">
        <f>'1 datos preparados'!D264</f>
        <v/>
      </c>
      <c r="F271" s="7">
        <f>'1 datos preparados'!E264</f>
        <v/>
      </c>
      <c r="G271" s="7">
        <f>'1 datos preparados'!F264</f>
        <v/>
      </c>
      <c r="H271" s="7">
        <f>'1 datos preparados'!G264</f>
        <v/>
      </c>
      <c r="I271" s="7">
        <f>'1 datos preparados'!H264</f>
        <v/>
      </c>
      <c r="J271" s="7">
        <f>'1 datos preparados'!I264</f>
        <v/>
      </c>
      <c r="K271" s="7">
        <f>'1 datos preparados'!J264</f>
        <v/>
      </c>
      <c r="L271" s="7">
        <f>'1 datos preparados'!K264</f>
        <v/>
      </c>
      <c r="M271" s="7">
        <f>'1 datos preparados'!L264</f>
        <v/>
      </c>
      <c r="N271" s="7">
        <f>'1 datos preparados'!M264</f>
        <v/>
      </c>
      <c r="O271" s="7">
        <f>'1 datos preparados'!N264</f>
        <v/>
      </c>
      <c r="P271" s="7">
        <f>'1 datos preparados'!O264</f>
        <v/>
      </c>
      <c r="Q271" s="7">
        <f>'1 datos preparados'!P264</f>
        <v/>
      </c>
      <c r="R271" s="7">
        <f>'1 datos preparados'!Q264</f>
        <v/>
      </c>
      <c r="S271" s="7">
        <f>'1 datos preparados'!R264</f>
        <v/>
      </c>
      <c r="T271" s="7">
        <f>'1 datos preparados'!S264</f>
        <v/>
      </c>
      <c r="U271" s="7">
        <f>'1 datos preparados'!T264</f>
        <v/>
      </c>
      <c r="V271" s="8">
        <f>$AE$12+D271*$AE$13+E271*$AE$14+F271*$AE$15+G271*$AE$16+H271*$AE$17+I271*$AE$18+J271*$AE$19+K271*$AE$20+L271*$AE$21+M271*$AE$22+N271*$AE$23+O271*$AE$24+P271*$AE$25+Q271*$AE$26+R271*$AE$27+S271*$AE$28+T271*$AE$29+U271*$AE$30</f>
        <v/>
      </c>
      <c r="W271" s="8">
        <f>1/(1+EXP(-V271))</f>
        <v/>
      </c>
      <c r="X271" s="9">
        <f>-IF(C271=1,LN(W271),LN(1-W271))</f>
        <v/>
      </c>
      <c r="Y271" s="8">
        <f>'1 datos preparados'!V264</f>
        <v/>
      </c>
      <c r="Z271" s="9">
        <f>Y271*X271</f>
        <v/>
      </c>
      <c r="AA271" s="10">
        <f>IF(W271&gt;$AE$33,1,0)</f>
        <v/>
      </c>
      <c r="AB271">
        <f>IF(AA271=C271,1,0)</f>
        <v/>
      </c>
    </row>
    <row r="272">
      <c r="A272">
        <f>'1 datos preparados'!A265</f>
        <v/>
      </c>
      <c r="B272" s="5">
        <f>'1 datos preparados'!U265</f>
        <v/>
      </c>
      <c r="C272">
        <f>'1 datos preparados'!B265</f>
        <v/>
      </c>
      <c r="D272" s="7">
        <f>'1 datos preparados'!C265</f>
        <v/>
      </c>
      <c r="E272" s="7">
        <f>'1 datos preparados'!D265</f>
        <v/>
      </c>
      <c r="F272" s="7">
        <f>'1 datos preparados'!E265</f>
        <v/>
      </c>
      <c r="G272" s="7">
        <f>'1 datos preparados'!F265</f>
        <v/>
      </c>
      <c r="H272" s="7">
        <f>'1 datos preparados'!G265</f>
        <v/>
      </c>
      <c r="I272" s="7">
        <f>'1 datos preparados'!H265</f>
        <v/>
      </c>
      <c r="J272" s="7">
        <f>'1 datos preparados'!I265</f>
        <v/>
      </c>
      <c r="K272" s="7">
        <f>'1 datos preparados'!J265</f>
        <v/>
      </c>
      <c r="L272" s="7">
        <f>'1 datos preparados'!K265</f>
        <v/>
      </c>
      <c r="M272" s="7">
        <f>'1 datos preparados'!L265</f>
        <v/>
      </c>
      <c r="N272" s="7">
        <f>'1 datos preparados'!M265</f>
        <v/>
      </c>
      <c r="O272" s="7">
        <f>'1 datos preparados'!N265</f>
        <v/>
      </c>
      <c r="P272" s="7">
        <f>'1 datos preparados'!O265</f>
        <v/>
      </c>
      <c r="Q272" s="7">
        <f>'1 datos preparados'!P265</f>
        <v/>
      </c>
      <c r="R272" s="7">
        <f>'1 datos preparados'!Q265</f>
        <v/>
      </c>
      <c r="S272" s="7">
        <f>'1 datos preparados'!R265</f>
        <v/>
      </c>
      <c r="T272" s="7">
        <f>'1 datos preparados'!S265</f>
        <v/>
      </c>
      <c r="U272" s="7">
        <f>'1 datos preparados'!T265</f>
        <v/>
      </c>
      <c r="V272" s="8">
        <f>$AE$12+D272*$AE$13+E272*$AE$14+F272*$AE$15+G272*$AE$16+H272*$AE$17+I272*$AE$18+J272*$AE$19+K272*$AE$20+L272*$AE$21+M272*$AE$22+N272*$AE$23+O272*$AE$24+P272*$AE$25+Q272*$AE$26+R272*$AE$27+S272*$AE$28+T272*$AE$29+U272*$AE$30</f>
        <v/>
      </c>
      <c r="W272" s="8">
        <f>1/(1+EXP(-V272))</f>
        <v/>
      </c>
      <c r="X272" s="9">
        <f>-IF(C272=1,LN(W272),LN(1-W272))</f>
        <v/>
      </c>
      <c r="Y272" s="8">
        <f>'1 datos preparados'!V265</f>
        <v/>
      </c>
      <c r="Z272" s="9">
        <f>Y272*X272</f>
        <v/>
      </c>
      <c r="AA272" s="10">
        <f>IF(W272&gt;$AE$33,1,0)</f>
        <v/>
      </c>
      <c r="AB272">
        <f>IF(AA272=C272,1,0)</f>
        <v/>
      </c>
    </row>
    <row r="273">
      <c r="A273">
        <f>'1 datos preparados'!A266</f>
        <v/>
      </c>
      <c r="B273" s="5">
        <f>'1 datos preparados'!U266</f>
        <v/>
      </c>
      <c r="C273">
        <f>'1 datos preparados'!B266</f>
        <v/>
      </c>
      <c r="D273" s="7">
        <f>'1 datos preparados'!C266</f>
        <v/>
      </c>
      <c r="E273" s="7">
        <f>'1 datos preparados'!D266</f>
        <v/>
      </c>
      <c r="F273" s="7">
        <f>'1 datos preparados'!E266</f>
        <v/>
      </c>
      <c r="G273" s="7">
        <f>'1 datos preparados'!F266</f>
        <v/>
      </c>
      <c r="H273" s="7">
        <f>'1 datos preparados'!G266</f>
        <v/>
      </c>
      <c r="I273" s="7">
        <f>'1 datos preparados'!H266</f>
        <v/>
      </c>
      <c r="J273" s="7">
        <f>'1 datos preparados'!I266</f>
        <v/>
      </c>
      <c r="K273" s="7">
        <f>'1 datos preparados'!J266</f>
        <v/>
      </c>
      <c r="L273" s="7">
        <f>'1 datos preparados'!K266</f>
        <v/>
      </c>
      <c r="M273" s="7">
        <f>'1 datos preparados'!L266</f>
        <v/>
      </c>
      <c r="N273" s="7">
        <f>'1 datos preparados'!M266</f>
        <v/>
      </c>
      <c r="O273" s="7">
        <f>'1 datos preparados'!N266</f>
        <v/>
      </c>
      <c r="P273" s="7">
        <f>'1 datos preparados'!O266</f>
        <v/>
      </c>
      <c r="Q273" s="7">
        <f>'1 datos preparados'!P266</f>
        <v/>
      </c>
      <c r="R273" s="7">
        <f>'1 datos preparados'!Q266</f>
        <v/>
      </c>
      <c r="S273" s="7">
        <f>'1 datos preparados'!R266</f>
        <v/>
      </c>
      <c r="T273" s="7">
        <f>'1 datos preparados'!S266</f>
        <v/>
      </c>
      <c r="U273" s="7">
        <f>'1 datos preparados'!T266</f>
        <v/>
      </c>
      <c r="V273" s="8">
        <f>$AE$12+D273*$AE$13+E273*$AE$14+F273*$AE$15+G273*$AE$16+H273*$AE$17+I273*$AE$18+J273*$AE$19+K273*$AE$20+L273*$AE$21+M273*$AE$22+N273*$AE$23+O273*$AE$24+P273*$AE$25+Q273*$AE$26+R273*$AE$27+S273*$AE$28+T273*$AE$29+U273*$AE$30</f>
        <v/>
      </c>
      <c r="W273" s="8">
        <f>1/(1+EXP(-V273))</f>
        <v/>
      </c>
      <c r="X273" s="9">
        <f>-IF(C273=1,LN(W273),LN(1-W273))</f>
        <v/>
      </c>
      <c r="Y273" s="8">
        <f>'1 datos preparados'!V266</f>
        <v/>
      </c>
      <c r="Z273" s="9">
        <f>Y273*X273</f>
        <v/>
      </c>
      <c r="AA273" s="10">
        <f>IF(W273&gt;$AE$33,1,0)</f>
        <v/>
      </c>
      <c r="AB273">
        <f>IF(AA273=C273,1,0)</f>
        <v/>
      </c>
    </row>
    <row r="274">
      <c r="A274">
        <f>'1 datos preparados'!A267</f>
        <v/>
      </c>
      <c r="B274" s="5">
        <f>'1 datos preparados'!U267</f>
        <v/>
      </c>
      <c r="C274">
        <f>'1 datos preparados'!B267</f>
        <v/>
      </c>
      <c r="D274" s="7">
        <f>'1 datos preparados'!C267</f>
        <v/>
      </c>
      <c r="E274" s="7">
        <f>'1 datos preparados'!D267</f>
        <v/>
      </c>
      <c r="F274" s="7">
        <f>'1 datos preparados'!E267</f>
        <v/>
      </c>
      <c r="G274" s="7">
        <f>'1 datos preparados'!F267</f>
        <v/>
      </c>
      <c r="H274" s="7">
        <f>'1 datos preparados'!G267</f>
        <v/>
      </c>
      <c r="I274" s="7">
        <f>'1 datos preparados'!H267</f>
        <v/>
      </c>
      <c r="J274" s="7">
        <f>'1 datos preparados'!I267</f>
        <v/>
      </c>
      <c r="K274" s="7">
        <f>'1 datos preparados'!J267</f>
        <v/>
      </c>
      <c r="L274" s="7">
        <f>'1 datos preparados'!K267</f>
        <v/>
      </c>
      <c r="M274" s="7">
        <f>'1 datos preparados'!L267</f>
        <v/>
      </c>
      <c r="N274" s="7">
        <f>'1 datos preparados'!M267</f>
        <v/>
      </c>
      <c r="O274" s="7">
        <f>'1 datos preparados'!N267</f>
        <v/>
      </c>
      <c r="P274" s="7">
        <f>'1 datos preparados'!O267</f>
        <v/>
      </c>
      <c r="Q274" s="7">
        <f>'1 datos preparados'!P267</f>
        <v/>
      </c>
      <c r="R274" s="7">
        <f>'1 datos preparados'!Q267</f>
        <v/>
      </c>
      <c r="S274" s="7">
        <f>'1 datos preparados'!R267</f>
        <v/>
      </c>
      <c r="T274" s="7">
        <f>'1 datos preparados'!S267</f>
        <v/>
      </c>
      <c r="U274" s="7">
        <f>'1 datos preparados'!T267</f>
        <v/>
      </c>
      <c r="V274" s="8">
        <f>$AE$12+D274*$AE$13+E274*$AE$14+F274*$AE$15+G274*$AE$16+H274*$AE$17+I274*$AE$18+J274*$AE$19+K274*$AE$20+L274*$AE$21+M274*$AE$22+N274*$AE$23+O274*$AE$24+P274*$AE$25+Q274*$AE$26+R274*$AE$27+S274*$AE$28+T274*$AE$29+U274*$AE$30</f>
        <v/>
      </c>
      <c r="W274" s="8">
        <f>1/(1+EXP(-V274))</f>
        <v/>
      </c>
      <c r="X274" s="9">
        <f>-IF(C274=1,LN(W274),LN(1-W274))</f>
        <v/>
      </c>
      <c r="Y274" s="8">
        <f>'1 datos preparados'!V267</f>
        <v/>
      </c>
      <c r="Z274" s="9">
        <f>Y274*X274</f>
        <v/>
      </c>
      <c r="AA274" s="10">
        <f>IF(W274&gt;$AE$33,1,0)</f>
        <v/>
      </c>
      <c r="AB274">
        <f>IF(AA274=C274,1,0)</f>
        <v/>
      </c>
    </row>
    <row r="275">
      <c r="A275">
        <f>'1 datos preparados'!A268</f>
        <v/>
      </c>
      <c r="B275" s="5">
        <f>'1 datos preparados'!U268</f>
        <v/>
      </c>
      <c r="C275">
        <f>'1 datos preparados'!B268</f>
        <v/>
      </c>
      <c r="D275" s="7">
        <f>'1 datos preparados'!C268</f>
        <v/>
      </c>
      <c r="E275" s="7">
        <f>'1 datos preparados'!D268</f>
        <v/>
      </c>
      <c r="F275" s="7">
        <f>'1 datos preparados'!E268</f>
        <v/>
      </c>
      <c r="G275" s="7">
        <f>'1 datos preparados'!F268</f>
        <v/>
      </c>
      <c r="H275" s="7">
        <f>'1 datos preparados'!G268</f>
        <v/>
      </c>
      <c r="I275" s="7">
        <f>'1 datos preparados'!H268</f>
        <v/>
      </c>
      <c r="J275" s="7">
        <f>'1 datos preparados'!I268</f>
        <v/>
      </c>
      <c r="K275" s="7">
        <f>'1 datos preparados'!J268</f>
        <v/>
      </c>
      <c r="L275" s="7">
        <f>'1 datos preparados'!K268</f>
        <v/>
      </c>
      <c r="M275" s="7">
        <f>'1 datos preparados'!L268</f>
        <v/>
      </c>
      <c r="N275" s="7">
        <f>'1 datos preparados'!M268</f>
        <v/>
      </c>
      <c r="O275" s="7">
        <f>'1 datos preparados'!N268</f>
        <v/>
      </c>
      <c r="P275" s="7">
        <f>'1 datos preparados'!O268</f>
        <v/>
      </c>
      <c r="Q275" s="7">
        <f>'1 datos preparados'!P268</f>
        <v/>
      </c>
      <c r="R275" s="7">
        <f>'1 datos preparados'!Q268</f>
        <v/>
      </c>
      <c r="S275" s="7">
        <f>'1 datos preparados'!R268</f>
        <v/>
      </c>
      <c r="T275" s="7">
        <f>'1 datos preparados'!S268</f>
        <v/>
      </c>
      <c r="U275" s="7">
        <f>'1 datos preparados'!T268</f>
        <v/>
      </c>
      <c r="V275" s="8">
        <f>$AE$12+D275*$AE$13+E275*$AE$14+F275*$AE$15+G275*$AE$16+H275*$AE$17+I275*$AE$18+J275*$AE$19+K275*$AE$20+L275*$AE$21+M275*$AE$22+N275*$AE$23+O275*$AE$24+P275*$AE$25+Q275*$AE$26+R275*$AE$27+S275*$AE$28+T275*$AE$29+U275*$AE$30</f>
        <v/>
      </c>
      <c r="W275" s="8">
        <f>1/(1+EXP(-V275))</f>
        <v/>
      </c>
      <c r="X275" s="9">
        <f>-IF(C275=1,LN(W275),LN(1-W275))</f>
        <v/>
      </c>
      <c r="Y275" s="8">
        <f>'1 datos preparados'!V268</f>
        <v/>
      </c>
      <c r="Z275" s="9">
        <f>Y275*X275</f>
        <v/>
      </c>
      <c r="AA275" s="10">
        <f>IF(W275&gt;$AE$33,1,0)</f>
        <v/>
      </c>
      <c r="AB275">
        <f>IF(AA275=C275,1,0)</f>
        <v/>
      </c>
    </row>
    <row r="276">
      <c r="A276">
        <f>'1 datos preparados'!A269</f>
        <v/>
      </c>
      <c r="B276" s="5">
        <f>'1 datos preparados'!U269</f>
        <v/>
      </c>
      <c r="C276">
        <f>'1 datos preparados'!B269</f>
        <v/>
      </c>
      <c r="D276" s="7">
        <f>'1 datos preparados'!C269</f>
        <v/>
      </c>
      <c r="E276" s="7">
        <f>'1 datos preparados'!D269</f>
        <v/>
      </c>
      <c r="F276" s="7">
        <f>'1 datos preparados'!E269</f>
        <v/>
      </c>
      <c r="G276" s="7">
        <f>'1 datos preparados'!F269</f>
        <v/>
      </c>
      <c r="H276" s="7">
        <f>'1 datos preparados'!G269</f>
        <v/>
      </c>
      <c r="I276" s="7">
        <f>'1 datos preparados'!H269</f>
        <v/>
      </c>
      <c r="J276" s="7">
        <f>'1 datos preparados'!I269</f>
        <v/>
      </c>
      <c r="K276" s="7">
        <f>'1 datos preparados'!J269</f>
        <v/>
      </c>
      <c r="L276" s="7">
        <f>'1 datos preparados'!K269</f>
        <v/>
      </c>
      <c r="M276" s="7">
        <f>'1 datos preparados'!L269</f>
        <v/>
      </c>
      <c r="N276" s="7">
        <f>'1 datos preparados'!M269</f>
        <v/>
      </c>
      <c r="O276" s="7">
        <f>'1 datos preparados'!N269</f>
        <v/>
      </c>
      <c r="P276" s="7">
        <f>'1 datos preparados'!O269</f>
        <v/>
      </c>
      <c r="Q276" s="7">
        <f>'1 datos preparados'!P269</f>
        <v/>
      </c>
      <c r="R276" s="7">
        <f>'1 datos preparados'!Q269</f>
        <v/>
      </c>
      <c r="S276" s="7">
        <f>'1 datos preparados'!R269</f>
        <v/>
      </c>
      <c r="T276" s="7">
        <f>'1 datos preparados'!S269</f>
        <v/>
      </c>
      <c r="U276" s="7">
        <f>'1 datos preparados'!T269</f>
        <v/>
      </c>
      <c r="V276" s="8">
        <f>$AE$12+D276*$AE$13+E276*$AE$14+F276*$AE$15+G276*$AE$16+H276*$AE$17+I276*$AE$18+J276*$AE$19+K276*$AE$20+L276*$AE$21+M276*$AE$22+N276*$AE$23+O276*$AE$24+P276*$AE$25+Q276*$AE$26+R276*$AE$27+S276*$AE$28+T276*$AE$29+U276*$AE$30</f>
        <v/>
      </c>
      <c r="W276" s="8">
        <f>1/(1+EXP(-V276))</f>
        <v/>
      </c>
      <c r="X276" s="9">
        <f>-IF(C276=1,LN(W276),LN(1-W276))</f>
        <v/>
      </c>
      <c r="Y276" s="8">
        <f>'1 datos preparados'!V269</f>
        <v/>
      </c>
      <c r="Z276" s="9">
        <f>Y276*X276</f>
        <v/>
      </c>
      <c r="AA276" s="10">
        <f>IF(W276&gt;$AE$33,1,0)</f>
        <v/>
      </c>
      <c r="AB276">
        <f>IF(AA276=C276,1,0)</f>
        <v/>
      </c>
    </row>
    <row r="277">
      <c r="A277">
        <f>'1 datos preparados'!A270</f>
        <v/>
      </c>
      <c r="B277" s="5">
        <f>'1 datos preparados'!U270</f>
        <v/>
      </c>
      <c r="C277">
        <f>'1 datos preparados'!B270</f>
        <v/>
      </c>
      <c r="D277" s="7">
        <f>'1 datos preparados'!C270</f>
        <v/>
      </c>
      <c r="E277" s="7">
        <f>'1 datos preparados'!D270</f>
        <v/>
      </c>
      <c r="F277" s="7">
        <f>'1 datos preparados'!E270</f>
        <v/>
      </c>
      <c r="G277" s="7">
        <f>'1 datos preparados'!F270</f>
        <v/>
      </c>
      <c r="H277" s="7">
        <f>'1 datos preparados'!G270</f>
        <v/>
      </c>
      <c r="I277" s="7">
        <f>'1 datos preparados'!H270</f>
        <v/>
      </c>
      <c r="J277" s="7">
        <f>'1 datos preparados'!I270</f>
        <v/>
      </c>
      <c r="K277" s="7">
        <f>'1 datos preparados'!J270</f>
        <v/>
      </c>
      <c r="L277" s="7">
        <f>'1 datos preparados'!K270</f>
        <v/>
      </c>
      <c r="M277" s="7">
        <f>'1 datos preparados'!L270</f>
        <v/>
      </c>
      <c r="N277" s="7">
        <f>'1 datos preparados'!M270</f>
        <v/>
      </c>
      <c r="O277" s="7">
        <f>'1 datos preparados'!N270</f>
        <v/>
      </c>
      <c r="P277" s="7">
        <f>'1 datos preparados'!O270</f>
        <v/>
      </c>
      <c r="Q277" s="7">
        <f>'1 datos preparados'!P270</f>
        <v/>
      </c>
      <c r="R277" s="7">
        <f>'1 datos preparados'!Q270</f>
        <v/>
      </c>
      <c r="S277" s="7">
        <f>'1 datos preparados'!R270</f>
        <v/>
      </c>
      <c r="T277" s="7">
        <f>'1 datos preparados'!S270</f>
        <v/>
      </c>
      <c r="U277" s="7">
        <f>'1 datos preparados'!T270</f>
        <v/>
      </c>
      <c r="V277" s="8">
        <f>$AE$12+D277*$AE$13+E277*$AE$14+F277*$AE$15+G277*$AE$16+H277*$AE$17+I277*$AE$18+J277*$AE$19+K277*$AE$20+L277*$AE$21+M277*$AE$22+N277*$AE$23+O277*$AE$24+P277*$AE$25+Q277*$AE$26+R277*$AE$27+S277*$AE$28+T277*$AE$29+U277*$AE$30</f>
        <v/>
      </c>
      <c r="W277" s="8">
        <f>1/(1+EXP(-V277))</f>
        <v/>
      </c>
      <c r="X277" s="9">
        <f>-IF(C277=1,LN(W277),LN(1-W277))</f>
        <v/>
      </c>
      <c r="Y277" s="8">
        <f>'1 datos preparados'!V270</f>
        <v/>
      </c>
      <c r="Z277" s="9">
        <f>Y277*X277</f>
        <v/>
      </c>
      <c r="AA277" s="10">
        <f>IF(W277&gt;$AE$33,1,0)</f>
        <v/>
      </c>
      <c r="AB277">
        <f>IF(AA277=C277,1,0)</f>
        <v/>
      </c>
    </row>
    <row r="278">
      <c r="A278">
        <f>'1 datos preparados'!A271</f>
        <v/>
      </c>
      <c r="B278" s="5">
        <f>'1 datos preparados'!U271</f>
        <v/>
      </c>
      <c r="C278">
        <f>'1 datos preparados'!B271</f>
        <v/>
      </c>
      <c r="D278" s="7">
        <f>'1 datos preparados'!C271</f>
        <v/>
      </c>
      <c r="E278" s="7">
        <f>'1 datos preparados'!D271</f>
        <v/>
      </c>
      <c r="F278" s="7">
        <f>'1 datos preparados'!E271</f>
        <v/>
      </c>
      <c r="G278" s="7">
        <f>'1 datos preparados'!F271</f>
        <v/>
      </c>
      <c r="H278" s="7">
        <f>'1 datos preparados'!G271</f>
        <v/>
      </c>
      <c r="I278" s="7">
        <f>'1 datos preparados'!H271</f>
        <v/>
      </c>
      <c r="J278" s="7">
        <f>'1 datos preparados'!I271</f>
        <v/>
      </c>
      <c r="K278" s="7">
        <f>'1 datos preparados'!J271</f>
        <v/>
      </c>
      <c r="L278" s="7">
        <f>'1 datos preparados'!K271</f>
        <v/>
      </c>
      <c r="M278" s="7">
        <f>'1 datos preparados'!L271</f>
        <v/>
      </c>
      <c r="N278" s="7">
        <f>'1 datos preparados'!M271</f>
        <v/>
      </c>
      <c r="O278" s="7">
        <f>'1 datos preparados'!N271</f>
        <v/>
      </c>
      <c r="P278" s="7">
        <f>'1 datos preparados'!O271</f>
        <v/>
      </c>
      <c r="Q278" s="7">
        <f>'1 datos preparados'!P271</f>
        <v/>
      </c>
      <c r="R278" s="7">
        <f>'1 datos preparados'!Q271</f>
        <v/>
      </c>
      <c r="S278" s="7">
        <f>'1 datos preparados'!R271</f>
        <v/>
      </c>
      <c r="T278" s="7">
        <f>'1 datos preparados'!S271</f>
        <v/>
      </c>
      <c r="U278" s="7">
        <f>'1 datos preparados'!T271</f>
        <v/>
      </c>
      <c r="V278" s="8">
        <f>$AE$12+D278*$AE$13+E278*$AE$14+F278*$AE$15+G278*$AE$16+H278*$AE$17+I278*$AE$18+J278*$AE$19+K278*$AE$20+L278*$AE$21+M278*$AE$22+N278*$AE$23+O278*$AE$24+P278*$AE$25+Q278*$AE$26+R278*$AE$27+S278*$AE$28+T278*$AE$29+U278*$AE$30</f>
        <v/>
      </c>
      <c r="W278" s="8">
        <f>1/(1+EXP(-V278))</f>
        <v/>
      </c>
      <c r="X278" s="9">
        <f>-IF(C278=1,LN(W278),LN(1-W278))</f>
        <v/>
      </c>
      <c r="Y278" s="8">
        <f>'1 datos preparados'!V271</f>
        <v/>
      </c>
      <c r="Z278" s="9">
        <f>Y278*X278</f>
        <v/>
      </c>
      <c r="AA278" s="10">
        <f>IF(W278&gt;$AE$33,1,0)</f>
        <v/>
      </c>
      <c r="AB278">
        <f>IF(AA278=C278,1,0)</f>
        <v/>
      </c>
    </row>
    <row r="279">
      <c r="A279">
        <f>'1 datos preparados'!A272</f>
        <v/>
      </c>
      <c r="B279" s="5">
        <f>'1 datos preparados'!U272</f>
        <v/>
      </c>
      <c r="C279">
        <f>'1 datos preparados'!B272</f>
        <v/>
      </c>
      <c r="D279" s="7">
        <f>'1 datos preparados'!C272</f>
        <v/>
      </c>
      <c r="E279" s="7">
        <f>'1 datos preparados'!D272</f>
        <v/>
      </c>
      <c r="F279" s="7">
        <f>'1 datos preparados'!E272</f>
        <v/>
      </c>
      <c r="G279" s="7">
        <f>'1 datos preparados'!F272</f>
        <v/>
      </c>
      <c r="H279" s="7">
        <f>'1 datos preparados'!G272</f>
        <v/>
      </c>
      <c r="I279" s="7">
        <f>'1 datos preparados'!H272</f>
        <v/>
      </c>
      <c r="J279" s="7">
        <f>'1 datos preparados'!I272</f>
        <v/>
      </c>
      <c r="K279" s="7">
        <f>'1 datos preparados'!J272</f>
        <v/>
      </c>
      <c r="L279" s="7">
        <f>'1 datos preparados'!K272</f>
        <v/>
      </c>
      <c r="M279" s="7">
        <f>'1 datos preparados'!L272</f>
        <v/>
      </c>
      <c r="N279" s="7">
        <f>'1 datos preparados'!M272</f>
        <v/>
      </c>
      <c r="O279" s="7">
        <f>'1 datos preparados'!N272</f>
        <v/>
      </c>
      <c r="P279" s="7">
        <f>'1 datos preparados'!O272</f>
        <v/>
      </c>
      <c r="Q279" s="7">
        <f>'1 datos preparados'!P272</f>
        <v/>
      </c>
      <c r="R279" s="7">
        <f>'1 datos preparados'!Q272</f>
        <v/>
      </c>
      <c r="S279" s="7">
        <f>'1 datos preparados'!R272</f>
        <v/>
      </c>
      <c r="T279" s="7">
        <f>'1 datos preparados'!S272</f>
        <v/>
      </c>
      <c r="U279" s="7">
        <f>'1 datos preparados'!T272</f>
        <v/>
      </c>
      <c r="V279" s="8">
        <f>$AE$12+D279*$AE$13+E279*$AE$14+F279*$AE$15+G279*$AE$16+H279*$AE$17+I279*$AE$18+J279*$AE$19+K279*$AE$20+L279*$AE$21+M279*$AE$22+N279*$AE$23+O279*$AE$24+P279*$AE$25+Q279*$AE$26+R279*$AE$27+S279*$AE$28+T279*$AE$29+U279*$AE$30</f>
        <v/>
      </c>
      <c r="W279" s="8">
        <f>1/(1+EXP(-V279))</f>
        <v/>
      </c>
      <c r="X279" s="9">
        <f>-IF(C279=1,LN(W279),LN(1-W279))</f>
        <v/>
      </c>
      <c r="Y279" s="8">
        <f>'1 datos preparados'!V272</f>
        <v/>
      </c>
      <c r="Z279" s="9">
        <f>Y279*X279</f>
        <v/>
      </c>
      <c r="AA279" s="10">
        <f>IF(W279&gt;$AE$33,1,0)</f>
        <v/>
      </c>
      <c r="AB279">
        <f>IF(AA279=C279,1,0)</f>
        <v/>
      </c>
    </row>
    <row r="280">
      <c r="A280">
        <f>'1 datos preparados'!A273</f>
        <v/>
      </c>
      <c r="B280" s="5">
        <f>'1 datos preparados'!U273</f>
        <v/>
      </c>
      <c r="C280">
        <f>'1 datos preparados'!B273</f>
        <v/>
      </c>
      <c r="D280" s="7">
        <f>'1 datos preparados'!C273</f>
        <v/>
      </c>
      <c r="E280" s="7">
        <f>'1 datos preparados'!D273</f>
        <v/>
      </c>
      <c r="F280" s="7">
        <f>'1 datos preparados'!E273</f>
        <v/>
      </c>
      <c r="G280" s="7">
        <f>'1 datos preparados'!F273</f>
        <v/>
      </c>
      <c r="H280" s="7">
        <f>'1 datos preparados'!G273</f>
        <v/>
      </c>
      <c r="I280" s="7">
        <f>'1 datos preparados'!H273</f>
        <v/>
      </c>
      <c r="J280" s="7">
        <f>'1 datos preparados'!I273</f>
        <v/>
      </c>
      <c r="K280" s="7">
        <f>'1 datos preparados'!J273</f>
        <v/>
      </c>
      <c r="L280" s="7">
        <f>'1 datos preparados'!K273</f>
        <v/>
      </c>
      <c r="M280" s="7">
        <f>'1 datos preparados'!L273</f>
        <v/>
      </c>
      <c r="N280" s="7">
        <f>'1 datos preparados'!M273</f>
        <v/>
      </c>
      <c r="O280" s="7">
        <f>'1 datos preparados'!N273</f>
        <v/>
      </c>
      <c r="P280" s="7">
        <f>'1 datos preparados'!O273</f>
        <v/>
      </c>
      <c r="Q280" s="7">
        <f>'1 datos preparados'!P273</f>
        <v/>
      </c>
      <c r="R280" s="7">
        <f>'1 datos preparados'!Q273</f>
        <v/>
      </c>
      <c r="S280" s="7">
        <f>'1 datos preparados'!R273</f>
        <v/>
      </c>
      <c r="T280" s="7">
        <f>'1 datos preparados'!S273</f>
        <v/>
      </c>
      <c r="U280" s="7">
        <f>'1 datos preparados'!T273</f>
        <v/>
      </c>
      <c r="V280" s="8">
        <f>$AE$12+D280*$AE$13+E280*$AE$14+F280*$AE$15+G280*$AE$16+H280*$AE$17+I280*$AE$18+J280*$AE$19+K280*$AE$20+L280*$AE$21+M280*$AE$22+N280*$AE$23+O280*$AE$24+P280*$AE$25+Q280*$AE$26+R280*$AE$27+S280*$AE$28+T280*$AE$29+U280*$AE$30</f>
        <v/>
      </c>
      <c r="W280" s="8">
        <f>1/(1+EXP(-V280))</f>
        <v/>
      </c>
      <c r="X280" s="9">
        <f>-IF(C280=1,LN(W280),LN(1-W280))</f>
        <v/>
      </c>
      <c r="Y280" s="8">
        <f>'1 datos preparados'!V273</f>
        <v/>
      </c>
      <c r="Z280" s="9">
        <f>Y280*X280</f>
        <v/>
      </c>
      <c r="AA280" s="10">
        <f>IF(W280&gt;$AE$33,1,0)</f>
        <v/>
      </c>
      <c r="AB280">
        <f>IF(AA280=C280,1,0)</f>
        <v/>
      </c>
    </row>
    <row r="281">
      <c r="A281">
        <f>'1 datos preparados'!A274</f>
        <v/>
      </c>
      <c r="B281" s="5">
        <f>'1 datos preparados'!U274</f>
        <v/>
      </c>
      <c r="C281">
        <f>'1 datos preparados'!B274</f>
        <v/>
      </c>
      <c r="D281" s="7">
        <f>'1 datos preparados'!C274</f>
        <v/>
      </c>
      <c r="E281" s="7">
        <f>'1 datos preparados'!D274</f>
        <v/>
      </c>
      <c r="F281" s="7">
        <f>'1 datos preparados'!E274</f>
        <v/>
      </c>
      <c r="G281" s="7">
        <f>'1 datos preparados'!F274</f>
        <v/>
      </c>
      <c r="H281" s="7">
        <f>'1 datos preparados'!G274</f>
        <v/>
      </c>
      <c r="I281" s="7">
        <f>'1 datos preparados'!H274</f>
        <v/>
      </c>
      <c r="J281" s="7">
        <f>'1 datos preparados'!I274</f>
        <v/>
      </c>
      <c r="K281" s="7">
        <f>'1 datos preparados'!J274</f>
        <v/>
      </c>
      <c r="L281" s="7">
        <f>'1 datos preparados'!K274</f>
        <v/>
      </c>
      <c r="M281" s="7">
        <f>'1 datos preparados'!L274</f>
        <v/>
      </c>
      <c r="N281" s="7">
        <f>'1 datos preparados'!M274</f>
        <v/>
      </c>
      <c r="O281" s="7">
        <f>'1 datos preparados'!N274</f>
        <v/>
      </c>
      <c r="P281" s="7">
        <f>'1 datos preparados'!O274</f>
        <v/>
      </c>
      <c r="Q281" s="7">
        <f>'1 datos preparados'!P274</f>
        <v/>
      </c>
      <c r="R281" s="7">
        <f>'1 datos preparados'!Q274</f>
        <v/>
      </c>
      <c r="S281" s="7">
        <f>'1 datos preparados'!R274</f>
        <v/>
      </c>
      <c r="T281" s="7">
        <f>'1 datos preparados'!S274</f>
        <v/>
      </c>
      <c r="U281" s="7">
        <f>'1 datos preparados'!T274</f>
        <v/>
      </c>
      <c r="V281" s="8">
        <f>$AE$12+D281*$AE$13+E281*$AE$14+F281*$AE$15+G281*$AE$16+H281*$AE$17+I281*$AE$18+J281*$AE$19+K281*$AE$20+L281*$AE$21+M281*$AE$22+N281*$AE$23+O281*$AE$24+P281*$AE$25+Q281*$AE$26+R281*$AE$27+S281*$AE$28+T281*$AE$29+U281*$AE$30</f>
        <v/>
      </c>
      <c r="W281" s="8">
        <f>1/(1+EXP(-V281))</f>
        <v/>
      </c>
      <c r="X281" s="9">
        <f>-IF(C281=1,LN(W281),LN(1-W281))</f>
        <v/>
      </c>
      <c r="Y281" s="8">
        <f>'1 datos preparados'!V274</f>
        <v/>
      </c>
      <c r="Z281" s="9">
        <f>Y281*X281</f>
        <v/>
      </c>
      <c r="AA281" s="10">
        <f>IF(W281&gt;$AE$33,1,0)</f>
        <v/>
      </c>
      <c r="AB281">
        <f>IF(AA281=C281,1,0)</f>
        <v/>
      </c>
    </row>
    <row r="282">
      <c r="A282">
        <f>'1 datos preparados'!A275</f>
        <v/>
      </c>
      <c r="B282" s="5">
        <f>'1 datos preparados'!U275</f>
        <v/>
      </c>
      <c r="C282">
        <f>'1 datos preparados'!B275</f>
        <v/>
      </c>
      <c r="D282" s="7">
        <f>'1 datos preparados'!C275</f>
        <v/>
      </c>
      <c r="E282" s="7">
        <f>'1 datos preparados'!D275</f>
        <v/>
      </c>
      <c r="F282" s="7">
        <f>'1 datos preparados'!E275</f>
        <v/>
      </c>
      <c r="G282" s="7">
        <f>'1 datos preparados'!F275</f>
        <v/>
      </c>
      <c r="H282" s="7">
        <f>'1 datos preparados'!G275</f>
        <v/>
      </c>
      <c r="I282" s="7">
        <f>'1 datos preparados'!H275</f>
        <v/>
      </c>
      <c r="J282" s="7">
        <f>'1 datos preparados'!I275</f>
        <v/>
      </c>
      <c r="K282" s="7">
        <f>'1 datos preparados'!J275</f>
        <v/>
      </c>
      <c r="L282" s="7">
        <f>'1 datos preparados'!K275</f>
        <v/>
      </c>
      <c r="M282" s="7">
        <f>'1 datos preparados'!L275</f>
        <v/>
      </c>
      <c r="N282" s="7">
        <f>'1 datos preparados'!M275</f>
        <v/>
      </c>
      <c r="O282" s="7">
        <f>'1 datos preparados'!N275</f>
        <v/>
      </c>
      <c r="P282" s="7">
        <f>'1 datos preparados'!O275</f>
        <v/>
      </c>
      <c r="Q282" s="7">
        <f>'1 datos preparados'!P275</f>
        <v/>
      </c>
      <c r="R282" s="7">
        <f>'1 datos preparados'!Q275</f>
        <v/>
      </c>
      <c r="S282" s="7">
        <f>'1 datos preparados'!R275</f>
        <v/>
      </c>
      <c r="T282" s="7">
        <f>'1 datos preparados'!S275</f>
        <v/>
      </c>
      <c r="U282" s="7">
        <f>'1 datos preparados'!T275</f>
        <v/>
      </c>
      <c r="V282" s="8">
        <f>$AE$12+D282*$AE$13+E282*$AE$14+F282*$AE$15+G282*$AE$16+H282*$AE$17+I282*$AE$18+J282*$AE$19+K282*$AE$20+L282*$AE$21+M282*$AE$22+N282*$AE$23+O282*$AE$24+P282*$AE$25+Q282*$AE$26+R282*$AE$27+S282*$AE$28+T282*$AE$29+U282*$AE$30</f>
        <v/>
      </c>
      <c r="W282" s="8">
        <f>1/(1+EXP(-V282))</f>
        <v/>
      </c>
      <c r="X282" s="9">
        <f>-IF(C282=1,LN(W282),LN(1-W282))</f>
        <v/>
      </c>
      <c r="Y282" s="8">
        <f>'1 datos preparados'!V275</f>
        <v/>
      </c>
      <c r="Z282" s="9">
        <f>Y282*X282</f>
        <v/>
      </c>
      <c r="AA282" s="10">
        <f>IF(W282&gt;$AE$33,1,0)</f>
        <v/>
      </c>
      <c r="AB282">
        <f>IF(AA282=C282,1,0)</f>
        <v/>
      </c>
    </row>
    <row r="283">
      <c r="A283">
        <f>'1 datos preparados'!A276</f>
        <v/>
      </c>
      <c r="B283" s="5">
        <f>'1 datos preparados'!U276</f>
        <v/>
      </c>
      <c r="C283">
        <f>'1 datos preparados'!B276</f>
        <v/>
      </c>
      <c r="D283" s="7">
        <f>'1 datos preparados'!C276</f>
        <v/>
      </c>
      <c r="E283" s="7">
        <f>'1 datos preparados'!D276</f>
        <v/>
      </c>
      <c r="F283" s="7">
        <f>'1 datos preparados'!E276</f>
        <v/>
      </c>
      <c r="G283" s="7">
        <f>'1 datos preparados'!F276</f>
        <v/>
      </c>
      <c r="H283" s="7">
        <f>'1 datos preparados'!G276</f>
        <v/>
      </c>
      <c r="I283" s="7">
        <f>'1 datos preparados'!H276</f>
        <v/>
      </c>
      <c r="J283" s="7">
        <f>'1 datos preparados'!I276</f>
        <v/>
      </c>
      <c r="K283" s="7">
        <f>'1 datos preparados'!J276</f>
        <v/>
      </c>
      <c r="L283" s="7">
        <f>'1 datos preparados'!K276</f>
        <v/>
      </c>
      <c r="M283" s="7">
        <f>'1 datos preparados'!L276</f>
        <v/>
      </c>
      <c r="N283" s="7">
        <f>'1 datos preparados'!M276</f>
        <v/>
      </c>
      <c r="O283" s="7">
        <f>'1 datos preparados'!N276</f>
        <v/>
      </c>
      <c r="P283" s="7">
        <f>'1 datos preparados'!O276</f>
        <v/>
      </c>
      <c r="Q283" s="7">
        <f>'1 datos preparados'!P276</f>
        <v/>
      </c>
      <c r="R283" s="7">
        <f>'1 datos preparados'!Q276</f>
        <v/>
      </c>
      <c r="S283" s="7">
        <f>'1 datos preparados'!R276</f>
        <v/>
      </c>
      <c r="T283" s="7">
        <f>'1 datos preparados'!S276</f>
        <v/>
      </c>
      <c r="U283" s="7">
        <f>'1 datos preparados'!T276</f>
        <v/>
      </c>
      <c r="V283" s="8">
        <f>$AE$12+D283*$AE$13+E283*$AE$14+F283*$AE$15+G283*$AE$16+H283*$AE$17+I283*$AE$18+J283*$AE$19+K283*$AE$20+L283*$AE$21+M283*$AE$22+N283*$AE$23+O283*$AE$24+P283*$AE$25+Q283*$AE$26+R283*$AE$27+S283*$AE$28+T283*$AE$29+U283*$AE$30</f>
        <v/>
      </c>
      <c r="W283" s="8">
        <f>1/(1+EXP(-V283))</f>
        <v/>
      </c>
      <c r="X283" s="9">
        <f>-IF(C283=1,LN(W283),LN(1-W283))</f>
        <v/>
      </c>
      <c r="Y283" s="8">
        <f>'1 datos preparados'!V276</f>
        <v/>
      </c>
      <c r="Z283" s="9">
        <f>Y283*X283</f>
        <v/>
      </c>
      <c r="AA283" s="10">
        <f>IF(W283&gt;$AE$33,1,0)</f>
        <v/>
      </c>
      <c r="AB283">
        <f>IF(AA283=C283,1,0)</f>
        <v/>
      </c>
    </row>
    <row r="284">
      <c r="A284">
        <f>'1 datos preparados'!A277</f>
        <v/>
      </c>
      <c r="B284" s="5">
        <f>'1 datos preparados'!U277</f>
        <v/>
      </c>
      <c r="C284">
        <f>'1 datos preparados'!B277</f>
        <v/>
      </c>
      <c r="D284" s="7">
        <f>'1 datos preparados'!C277</f>
        <v/>
      </c>
      <c r="E284" s="7">
        <f>'1 datos preparados'!D277</f>
        <v/>
      </c>
      <c r="F284" s="7">
        <f>'1 datos preparados'!E277</f>
        <v/>
      </c>
      <c r="G284" s="7">
        <f>'1 datos preparados'!F277</f>
        <v/>
      </c>
      <c r="H284" s="7">
        <f>'1 datos preparados'!G277</f>
        <v/>
      </c>
      <c r="I284" s="7">
        <f>'1 datos preparados'!H277</f>
        <v/>
      </c>
      <c r="J284" s="7">
        <f>'1 datos preparados'!I277</f>
        <v/>
      </c>
      <c r="K284" s="7">
        <f>'1 datos preparados'!J277</f>
        <v/>
      </c>
      <c r="L284" s="7">
        <f>'1 datos preparados'!K277</f>
        <v/>
      </c>
      <c r="M284" s="7">
        <f>'1 datos preparados'!L277</f>
        <v/>
      </c>
      <c r="N284" s="7">
        <f>'1 datos preparados'!M277</f>
        <v/>
      </c>
      <c r="O284" s="7">
        <f>'1 datos preparados'!N277</f>
        <v/>
      </c>
      <c r="P284" s="7">
        <f>'1 datos preparados'!O277</f>
        <v/>
      </c>
      <c r="Q284" s="7">
        <f>'1 datos preparados'!P277</f>
        <v/>
      </c>
      <c r="R284" s="7">
        <f>'1 datos preparados'!Q277</f>
        <v/>
      </c>
      <c r="S284" s="7">
        <f>'1 datos preparados'!R277</f>
        <v/>
      </c>
      <c r="T284" s="7">
        <f>'1 datos preparados'!S277</f>
        <v/>
      </c>
      <c r="U284" s="7">
        <f>'1 datos preparados'!T277</f>
        <v/>
      </c>
      <c r="V284" s="8">
        <f>$AE$12+D284*$AE$13+E284*$AE$14+F284*$AE$15+G284*$AE$16+H284*$AE$17+I284*$AE$18+J284*$AE$19+K284*$AE$20+L284*$AE$21+M284*$AE$22+N284*$AE$23+O284*$AE$24+P284*$AE$25+Q284*$AE$26+R284*$AE$27+S284*$AE$28+T284*$AE$29+U284*$AE$30</f>
        <v/>
      </c>
      <c r="W284" s="8">
        <f>1/(1+EXP(-V284))</f>
        <v/>
      </c>
      <c r="X284" s="9">
        <f>-IF(C284=1,LN(W284),LN(1-W284))</f>
        <v/>
      </c>
      <c r="Y284" s="8">
        <f>'1 datos preparados'!V277</f>
        <v/>
      </c>
      <c r="Z284" s="9">
        <f>Y284*X284</f>
        <v/>
      </c>
      <c r="AA284" s="10">
        <f>IF(W284&gt;$AE$33,1,0)</f>
        <v/>
      </c>
      <c r="AB284">
        <f>IF(AA284=C284,1,0)</f>
        <v/>
      </c>
    </row>
    <row r="285">
      <c r="A285">
        <f>'1 datos preparados'!A278</f>
        <v/>
      </c>
      <c r="B285" s="5">
        <f>'1 datos preparados'!U278</f>
        <v/>
      </c>
      <c r="C285">
        <f>'1 datos preparados'!B278</f>
        <v/>
      </c>
      <c r="D285" s="7">
        <f>'1 datos preparados'!C278</f>
        <v/>
      </c>
      <c r="E285" s="7">
        <f>'1 datos preparados'!D278</f>
        <v/>
      </c>
      <c r="F285" s="7">
        <f>'1 datos preparados'!E278</f>
        <v/>
      </c>
      <c r="G285" s="7">
        <f>'1 datos preparados'!F278</f>
        <v/>
      </c>
      <c r="H285" s="7">
        <f>'1 datos preparados'!G278</f>
        <v/>
      </c>
      <c r="I285" s="7">
        <f>'1 datos preparados'!H278</f>
        <v/>
      </c>
      <c r="J285" s="7">
        <f>'1 datos preparados'!I278</f>
        <v/>
      </c>
      <c r="K285" s="7">
        <f>'1 datos preparados'!J278</f>
        <v/>
      </c>
      <c r="L285" s="7">
        <f>'1 datos preparados'!K278</f>
        <v/>
      </c>
      <c r="M285" s="7">
        <f>'1 datos preparados'!L278</f>
        <v/>
      </c>
      <c r="N285" s="7">
        <f>'1 datos preparados'!M278</f>
        <v/>
      </c>
      <c r="O285" s="7">
        <f>'1 datos preparados'!N278</f>
        <v/>
      </c>
      <c r="P285" s="7">
        <f>'1 datos preparados'!O278</f>
        <v/>
      </c>
      <c r="Q285" s="7">
        <f>'1 datos preparados'!P278</f>
        <v/>
      </c>
      <c r="R285" s="7">
        <f>'1 datos preparados'!Q278</f>
        <v/>
      </c>
      <c r="S285" s="7">
        <f>'1 datos preparados'!R278</f>
        <v/>
      </c>
      <c r="T285" s="7">
        <f>'1 datos preparados'!S278</f>
        <v/>
      </c>
      <c r="U285" s="7">
        <f>'1 datos preparados'!T278</f>
        <v/>
      </c>
      <c r="V285" s="8">
        <f>$AE$12+D285*$AE$13+E285*$AE$14+F285*$AE$15+G285*$AE$16+H285*$AE$17+I285*$AE$18+J285*$AE$19+K285*$AE$20+L285*$AE$21+M285*$AE$22+N285*$AE$23+O285*$AE$24+P285*$AE$25+Q285*$AE$26+R285*$AE$27+S285*$AE$28+T285*$AE$29+U285*$AE$30</f>
        <v/>
      </c>
      <c r="W285" s="8">
        <f>1/(1+EXP(-V285))</f>
        <v/>
      </c>
      <c r="X285" s="9">
        <f>-IF(C285=1,LN(W285),LN(1-W285))</f>
        <v/>
      </c>
      <c r="Y285" s="8">
        <f>'1 datos preparados'!V278</f>
        <v/>
      </c>
      <c r="Z285" s="9">
        <f>Y285*X285</f>
        <v/>
      </c>
      <c r="AA285" s="10">
        <f>IF(W285&gt;$AE$33,1,0)</f>
        <v/>
      </c>
      <c r="AB285">
        <f>IF(AA285=C285,1,0)</f>
        <v/>
      </c>
    </row>
    <row r="286">
      <c r="A286">
        <f>'1 datos preparados'!A279</f>
        <v/>
      </c>
      <c r="B286" s="5">
        <f>'1 datos preparados'!U279</f>
        <v/>
      </c>
      <c r="C286">
        <f>'1 datos preparados'!B279</f>
        <v/>
      </c>
      <c r="D286" s="7">
        <f>'1 datos preparados'!C279</f>
        <v/>
      </c>
      <c r="E286" s="7">
        <f>'1 datos preparados'!D279</f>
        <v/>
      </c>
      <c r="F286" s="7">
        <f>'1 datos preparados'!E279</f>
        <v/>
      </c>
      <c r="G286" s="7">
        <f>'1 datos preparados'!F279</f>
        <v/>
      </c>
      <c r="H286" s="7">
        <f>'1 datos preparados'!G279</f>
        <v/>
      </c>
      <c r="I286" s="7">
        <f>'1 datos preparados'!H279</f>
        <v/>
      </c>
      <c r="J286" s="7">
        <f>'1 datos preparados'!I279</f>
        <v/>
      </c>
      <c r="K286" s="7">
        <f>'1 datos preparados'!J279</f>
        <v/>
      </c>
      <c r="L286" s="7">
        <f>'1 datos preparados'!K279</f>
        <v/>
      </c>
      <c r="M286" s="7">
        <f>'1 datos preparados'!L279</f>
        <v/>
      </c>
      <c r="N286" s="7">
        <f>'1 datos preparados'!M279</f>
        <v/>
      </c>
      <c r="O286" s="7">
        <f>'1 datos preparados'!N279</f>
        <v/>
      </c>
      <c r="P286" s="7">
        <f>'1 datos preparados'!O279</f>
        <v/>
      </c>
      <c r="Q286" s="7">
        <f>'1 datos preparados'!P279</f>
        <v/>
      </c>
      <c r="R286" s="7">
        <f>'1 datos preparados'!Q279</f>
        <v/>
      </c>
      <c r="S286" s="7">
        <f>'1 datos preparados'!R279</f>
        <v/>
      </c>
      <c r="T286" s="7">
        <f>'1 datos preparados'!S279</f>
        <v/>
      </c>
      <c r="U286" s="7">
        <f>'1 datos preparados'!T279</f>
        <v/>
      </c>
      <c r="V286" s="8">
        <f>$AE$12+D286*$AE$13+E286*$AE$14+F286*$AE$15+G286*$AE$16+H286*$AE$17+I286*$AE$18+J286*$AE$19+K286*$AE$20+L286*$AE$21+M286*$AE$22+N286*$AE$23+O286*$AE$24+P286*$AE$25+Q286*$AE$26+R286*$AE$27+S286*$AE$28+T286*$AE$29+U286*$AE$30</f>
        <v/>
      </c>
      <c r="W286" s="8">
        <f>1/(1+EXP(-V286))</f>
        <v/>
      </c>
      <c r="X286" s="9">
        <f>-IF(C286=1,LN(W286),LN(1-W286))</f>
        <v/>
      </c>
      <c r="Y286" s="8">
        <f>'1 datos preparados'!V279</f>
        <v/>
      </c>
      <c r="Z286" s="9">
        <f>Y286*X286</f>
        <v/>
      </c>
      <c r="AA286" s="10">
        <f>IF(W286&gt;$AE$33,1,0)</f>
        <v/>
      </c>
      <c r="AB286">
        <f>IF(AA286=C286,1,0)</f>
        <v/>
      </c>
    </row>
    <row r="287">
      <c r="A287">
        <f>'1 datos preparados'!A280</f>
        <v/>
      </c>
      <c r="B287" s="5">
        <f>'1 datos preparados'!U280</f>
        <v/>
      </c>
      <c r="C287">
        <f>'1 datos preparados'!B280</f>
        <v/>
      </c>
      <c r="D287" s="7">
        <f>'1 datos preparados'!C280</f>
        <v/>
      </c>
      <c r="E287" s="7">
        <f>'1 datos preparados'!D280</f>
        <v/>
      </c>
      <c r="F287" s="7">
        <f>'1 datos preparados'!E280</f>
        <v/>
      </c>
      <c r="G287" s="7">
        <f>'1 datos preparados'!F280</f>
        <v/>
      </c>
      <c r="H287" s="7">
        <f>'1 datos preparados'!G280</f>
        <v/>
      </c>
      <c r="I287" s="7">
        <f>'1 datos preparados'!H280</f>
        <v/>
      </c>
      <c r="J287" s="7">
        <f>'1 datos preparados'!I280</f>
        <v/>
      </c>
      <c r="K287" s="7">
        <f>'1 datos preparados'!J280</f>
        <v/>
      </c>
      <c r="L287" s="7">
        <f>'1 datos preparados'!K280</f>
        <v/>
      </c>
      <c r="M287" s="7">
        <f>'1 datos preparados'!L280</f>
        <v/>
      </c>
      <c r="N287" s="7">
        <f>'1 datos preparados'!M280</f>
        <v/>
      </c>
      <c r="O287" s="7">
        <f>'1 datos preparados'!N280</f>
        <v/>
      </c>
      <c r="P287" s="7">
        <f>'1 datos preparados'!O280</f>
        <v/>
      </c>
      <c r="Q287" s="7">
        <f>'1 datos preparados'!P280</f>
        <v/>
      </c>
      <c r="R287" s="7">
        <f>'1 datos preparados'!Q280</f>
        <v/>
      </c>
      <c r="S287" s="7">
        <f>'1 datos preparados'!R280</f>
        <v/>
      </c>
      <c r="T287" s="7">
        <f>'1 datos preparados'!S280</f>
        <v/>
      </c>
      <c r="U287" s="7">
        <f>'1 datos preparados'!T280</f>
        <v/>
      </c>
      <c r="V287" s="8">
        <f>$AE$12+D287*$AE$13+E287*$AE$14+F287*$AE$15+G287*$AE$16+H287*$AE$17+I287*$AE$18+J287*$AE$19+K287*$AE$20+L287*$AE$21+M287*$AE$22+N287*$AE$23+O287*$AE$24+P287*$AE$25+Q287*$AE$26+R287*$AE$27+S287*$AE$28+T287*$AE$29+U287*$AE$30</f>
        <v/>
      </c>
      <c r="W287" s="8">
        <f>1/(1+EXP(-V287))</f>
        <v/>
      </c>
      <c r="X287" s="9">
        <f>-IF(C287=1,LN(W287),LN(1-W287))</f>
        <v/>
      </c>
      <c r="Y287" s="8">
        <f>'1 datos preparados'!V280</f>
        <v/>
      </c>
      <c r="Z287" s="9">
        <f>Y287*X287</f>
        <v/>
      </c>
      <c r="AA287" s="10">
        <f>IF(W287&gt;$AE$33,1,0)</f>
        <v/>
      </c>
      <c r="AB287">
        <f>IF(AA287=C287,1,0)</f>
        <v/>
      </c>
    </row>
    <row r="288">
      <c r="A288">
        <f>'1 datos preparados'!A281</f>
        <v/>
      </c>
      <c r="B288" s="5">
        <f>'1 datos preparados'!U281</f>
        <v/>
      </c>
      <c r="C288">
        <f>'1 datos preparados'!B281</f>
        <v/>
      </c>
      <c r="D288" s="7">
        <f>'1 datos preparados'!C281</f>
        <v/>
      </c>
      <c r="E288" s="7">
        <f>'1 datos preparados'!D281</f>
        <v/>
      </c>
      <c r="F288" s="7">
        <f>'1 datos preparados'!E281</f>
        <v/>
      </c>
      <c r="G288" s="7">
        <f>'1 datos preparados'!F281</f>
        <v/>
      </c>
      <c r="H288" s="7">
        <f>'1 datos preparados'!G281</f>
        <v/>
      </c>
      <c r="I288" s="7">
        <f>'1 datos preparados'!H281</f>
        <v/>
      </c>
      <c r="J288" s="7">
        <f>'1 datos preparados'!I281</f>
        <v/>
      </c>
      <c r="K288" s="7">
        <f>'1 datos preparados'!J281</f>
        <v/>
      </c>
      <c r="L288" s="7">
        <f>'1 datos preparados'!K281</f>
        <v/>
      </c>
      <c r="M288" s="7">
        <f>'1 datos preparados'!L281</f>
        <v/>
      </c>
      <c r="N288" s="7">
        <f>'1 datos preparados'!M281</f>
        <v/>
      </c>
      <c r="O288" s="7">
        <f>'1 datos preparados'!N281</f>
        <v/>
      </c>
      <c r="P288" s="7">
        <f>'1 datos preparados'!O281</f>
        <v/>
      </c>
      <c r="Q288" s="7">
        <f>'1 datos preparados'!P281</f>
        <v/>
      </c>
      <c r="R288" s="7">
        <f>'1 datos preparados'!Q281</f>
        <v/>
      </c>
      <c r="S288" s="7">
        <f>'1 datos preparados'!R281</f>
        <v/>
      </c>
      <c r="T288" s="7">
        <f>'1 datos preparados'!S281</f>
        <v/>
      </c>
      <c r="U288" s="7">
        <f>'1 datos preparados'!T281</f>
        <v/>
      </c>
      <c r="V288" s="8">
        <f>$AE$12+D288*$AE$13+E288*$AE$14+F288*$AE$15+G288*$AE$16+H288*$AE$17+I288*$AE$18+J288*$AE$19+K288*$AE$20+L288*$AE$21+M288*$AE$22+N288*$AE$23+O288*$AE$24+P288*$AE$25+Q288*$AE$26+R288*$AE$27+S288*$AE$28+T288*$AE$29+U288*$AE$30</f>
        <v/>
      </c>
      <c r="W288" s="8">
        <f>1/(1+EXP(-V288))</f>
        <v/>
      </c>
      <c r="X288" s="9">
        <f>-IF(C288=1,LN(W288),LN(1-W288))</f>
        <v/>
      </c>
      <c r="Y288" s="8">
        <f>'1 datos preparados'!V281</f>
        <v/>
      </c>
      <c r="Z288" s="9">
        <f>Y288*X288</f>
        <v/>
      </c>
      <c r="AA288" s="10">
        <f>IF(W288&gt;$AE$33,1,0)</f>
        <v/>
      </c>
      <c r="AB288">
        <f>IF(AA288=C288,1,0)</f>
        <v/>
      </c>
    </row>
    <row r="289">
      <c r="A289">
        <f>'1 datos preparados'!A282</f>
        <v/>
      </c>
      <c r="B289" s="5">
        <f>'1 datos preparados'!U282</f>
        <v/>
      </c>
      <c r="C289">
        <f>'1 datos preparados'!B282</f>
        <v/>
      </c>
      <c r="D289" s="7">
        <f>'1 datos preparados'!C282</f>
        <v/>
      </c>
      <c r="E289" s="7">
        <f>'1 datos preparados'!D282</f>
        <v/>
      </c>
      <c r="F289" s="7">
        <f>'1 datos preparados'!E282</f>
        <v/>
      </c>
      <c r="G289" s="7">
        <f>'1 datos preparados'!F282</f>
        <v/>
      </c>
      <c r="H289" s="7">
        <f>'1 datos preparados'!G282</f>
        <v/>
      </c>
      <c r="I289" s="7">
        <f>'1 datos preparados'!H282</f>
        <v/>
      </c>
      <c r="J289" s="7">
        <f>'1 datos preparados'!I282</f>
        <v/>
      </c>
      <c r="K289" s="7">
        <f>'1 datos preparados'!J282</f>
        <v/>
      </c>
      <c r="L289" s="7">
        <f>'1 datos preparados'!K282</f>
        <v/>
      </c>
      <c r="M289" s="7">
        <f>'1 datos preparados'!L282</f>
        <v/>
      </c>
      <c r="N289" s="7">
        <f>'1 datos preparados'!M282</f>
        <v/>
      </c>
      <c r="O289" s="7">
        <f>'1 datos preparados'!N282</f>
        <v/>
      </c>
      <c r="P289" s="7">
        <f>'1 datos preparados'!O282</f>
        <v/>
      </c>
      <c r="Q289" s="7">
        <f>'1 datos preparados'!P282</f>
        <v/>
      </c>
      <c r="R289" s="7">
        <f>'1 datos preparados'!Q282</f>
        <v/>
      </c>
      <c r="S289" s="7">
        <f>'1 datos preparados'!R282</f>
        <v/>
      </c>
      <c r="T289" s="7">
        <f>'1 datos preparados'!S282</f>
        <v/>
      </c>
      <c r="U289" s="7">
        <f>'1 datos preparados'!T282</f>
        <v/>
      </c>
      <c r="V289" s="8">
        <f>$AE$12+D289*$AE$13+E289*$AE$14+F289*$AE$15+G289*$AE$16+H289*$AE$17+I289*$AE$18+J289*$AE$19+K289*$AE$20+L289*$AE$21+M289*$AE$22+N289*$AE$23+O289*$AE$24+P289*$AE$25+Q289*$AE$26+R289*$AE$27+S289*$AE$28+T289*$AE$29+U289*$AE$30</f>
        <v/>
      </c>
      <c r="W289" s="8">
        <f>1/(1+EXP(-V289))</f>
        <v/>
      </c>
      <c r="X289" s="9">
        <f>-IF(C289=1,LN(W289),LN(1-W289))</f>
        <v/>
      </c>
      <c r="Y289" s="8">
        <f>'1 datos preparados'!V282</f>
        <v/>
      </c>
      <c r="Z289" s="9">
        <f>Y289*X289</f>
        <v/>
      </c>
      <c r="AA289" s="10">
        <f>IF(W289&gt;$AE$33,1,0)</f>
        <v/>
      </c>
      <c r="AB289">
        <f>IF(AA289=C289,1,0)</f>
        <v/>
      </c>
    </row>
    <row r="290">
      <c r="A290">
        <f>'1 datos preparados'!A283</f>
        <v/>
      </c>
      <c r="B290" s="5">
        <f>'1 datos preparados'!U283</f>
        <v/>
      </c>
      <c r="C290">
        <f>'1 datos preparados'!B283</f>
        <v/>
      </c>
      <c r="D290" s="7">
        <f>'1 datos preparados'!C283</f>
        <v/>
      </c>
      <c r="E290" s="7">
        <f>'1 datos preparados'!D283</f>
        <v/>
      </c>
      <c r="F290" s="7">
        <f>'1 datos preparados'!E283</f>
        <v/>
      </c>
      <c r="G290" s="7">
        <f>'1 datos preparados'!F283</f>
        <v/>
      </c>
      <c r="H290" s="7">
        <f>'1 datos preparados'!G283</f>
        <v/>
      </c>
      <c r="I290" s="7">
        <f>'1 datos preparados'!H283</f>
        <v/>
      </c>
      <c r="J290" s="7">
        <f>'1 datos preparados'!I283</f>
        <v/>
      </c>
      <c r="K290" s="7">
        <f>'1 datos preparados'!J283</f>
        <v/>
      </c>
      <c r="L290" s="7">
        <f>'1 datos preparados'!K283</f>
        <v/>
      </c>
      <c r="M290" s="7">
        <f>'1 datos preparados'!L283</f>
        <v/>
      </c>
      <c r="N290" s="7">
        <f>'1 datos preparados'!M283</f>
        <v/>
      </c>
      <c r="O290" s="7">
        <f>'1 datos preparados'!N283</f>
        <v/>
      </c>
      <c r="P290" s="7">
        <f>'1 datos preparados'!O283</f>
        <v/>
      </c>
      <c r="Q290" s="7">
        <f>'1 datos preparados'!P283</f>
        <v/>
      </c>
      <c r="R290" s="7">
        <f>'1 datos preparados'!Q283</f>
        <v/>
      </c>
      <c r="S290" s="7">
        <f>'1 datos preparados'!R283</f>
        <v/>
      </c>
      <c r="T290" s="7">
        <f>'1 datos preparados'!S283</f>
        <v/>
      </c>
      <c r="U290" s="7">
        <f>'1 datos preparados'!T283</f>
        <v/>
      </c>
      <c r="V290" s="8">
        <f>$AE$12+D290*$AE$13+E290*$AE$14+F290*$AE$15+G290*$AE$16+H290*$AE$17+I290*$AE$18+J290*$AE$19+K290*$AE$20+L290*$AE$21+M290*$AE$22+N290*$AE$23+O290*$AE$24+P290*$AE$25+Q290*$AE$26+R290*$AE$27+S290*$AE$28+T290*$AE$29+U290*$AE$30</f>
        <v/>
      </c>
      <c r="W290" s="8">
        <f>1/(1+EXP(-V290))</f>
        <v/>
      </c>
      <c r="X290" s="9">
        <f>-IF(C290=1,LN(W290),LN(1-W290))</f>
        <v/>
      </c>
      <c r="Y290" s="8">
        <f>'1 datos preparados'!V283</f>
        <v/>
      </c>
      <c r="Z290" s="9">
        <f>Y290*X290</f>
        <v/>
      </c>
      <c r="AA290" s="10">
        <f>IF(W290&gt;$AE$33,1,0)</f>
        <v/>
      </c>
      <c r="AB290">
        <f>IF(AA290=C290,1,0)</f>
        <v/>
      </c>
    </row>
    <row r="291">
      <c r="A291">
        <f>'1 datos preparados'!A284</f>
        <v/>
      </c>
      <c r="B291" s="5">
        <f>'1 datos preparados'!U284</f>
        <v/>
      </c>
      <c r="C291">
        <f>'1 datos preparados'!B284</f>
        <v/>
      </c>
      <c r="D291" s="7">
        <f>'1 datos preparados'!C284</f>
        <v/>
      </c>
      <c r="E291" s="7">
        <f>'1 datos preparados'!D284</f>
        <v/>
      </c>
      <c r="F291" s="7">
        <f>'1 datos preparados'!E284</f>
        <v/>
      </c>
      <c r="G291" s="7">
        <f>'1 datos preparados'!F284</f>
        <v/>
      </c>
      <c r="H291" s="7">
        <f>'1 datos preparados'!G284</f>
        <v/>
      </c>
      <c r="I291" s="7">
        <f>'1 datos preparados'!H284</f>
        <v/>
      </c>
      <c r="J291" s="7">
        <f>'1 datos preparados'!I284</f>
        <v/>
      </c>
      <c r="K291" s="7">
        <f>'1 datos preparados'!J284</f>
        <v/>
      </c>
      <c r="L291" s="7">
        <f>'1 datos preparados'!K284</f>
        <v/>
      </c>
      <c r="M291" s="7">
        <f>'1 datos preparados'!L284</f>
        <v/>
      </c>
      <c r="N291" s="7">
        <f>'1 datos preparados'!M284</f>
        <v/>
      </c>
      <c r="O291" s="7">
        <f>'1 datos preparados'!N284</f>
        <v/>
      </c>
      <c r="P291" s="7">
        <f>'1 datos preparados'!O284</f>
        <v/>
      </c>
      <c r="Q291" s="7">
        <f>'1 datos preparados'!P284</f>
        <v/>
      </c>
      <c r="R291" s="7">
        <f>'1 datos preparados'!Q284</f>
        <v/>
      </c>
      <c r="S291" s="7">
        <f>'1 datos preparados'!R284</f>
        <v/>
      </c>
      <c r="T291" s="7">
        <f>'1 datos preparados'!S284</f>
        <v/>
      </c>
      <c r="U291" s="7">
        <f>'1 datos preparados'!T284</f>
        <v/>
      </c>
      <c r="V291" s="8">
        <f>$AE$12+D291*$AE$13+E291*$AE$14+F291*$AE$15+G291*$AE$16+H291*$AE$17+I291*$AE$18+J291*$AE$19+K291*$AE$20+L291*$AE$21+M291*$AE$22+N291*$AE$23+O291*$AE$24+P291*$AE$25+Q291*$AE$26+R291*$AE$27+S291*$AE$28+T291*$AE$29+U291*$AE$30</f>
        <v/>
      </c>
      <c r="W291" s="8">
        <f>1/(1+EXP(-V291))</f>
        <v/>
      </c>
      <c r="X291" s="9">
        <f>-IF(C291=1,LN(W291),LN(1-W291))</f>
        <v/>
      </c>
      <c r="Y291" s="8">
        <f>'1 datos preparados'!V284</f>
        <v/>
      </c>
      <c r="Z291" s="9">
        <f>Y291*X291</f>
        <v/>
      </c>
      <c r="AA291" s="10">
        <f>IF(W291&gt;$AE$33,1,0)</f>
        <v/>
      </c>
      <c r="AB291">
        <f>IF(AA291=C291,1,0)</f>
        <v/>
      </c>
    </row>
    <row r="292">
      <c r="A292">
        <f>'1 datos preparados'!A285</f>
        <v/>
      </c>
      <c r="B292" s="5">
        <f>'1 datos preparados'!U285</f>
        <v/>
      </c>
      <c r="C292">
        <f>'1 datos preparados'!B285</f>
        <v/>
      </c>
      <c r="D292" s="7">
        <f>'1 datos preparados'!C285</f>
        <v/>
      </c>
      <c r="E292" s="7">
        <f>'1 datos preparados'!D285</f>
        <v/>
      </c>
      <c r="F292" s="7">
        <f>'1 datos preparados'!E285</f>
        <v/>
      </c>
      <c r="G292" s="7">
        <f>'1 datos preparados'!F285</f>
        <v/>
      </c>
      <c r="H292" s="7">
        <f>'1 datos preparados'!G285</f>
        <v/>
      </c>
      <c r="I292" s="7">
        <f>'1 datos preparados'!H285</f>
        <v/>
      </c>
      <c r="J292" s="7">
        <f>'1 datos preparados'!I285</f>
        <v/>
      </c>
      <c r="K292" s="7">
        <f>'1 datos preparados'!J285</f>
        <v/>
      </c>
      <c r="L292" s="7">
        <f>'1 datos preparados'!K285</f>
        <v/>
      </c>
      <c r="M292" s="7">
        <f>'1 datos preparados'!L285</f>
        <v/>
      </c>
      <c r="N292" s="7">
        <f>'1 datos preparados'!M285</f>
        <v/>
      </c>
      <c r="O292" s="7">
        <f>'1 datos preparados'!N285</f>
        <v/>
      </c>
      <c r="P292" s="7">
        <f>'1 datos preparados'!O285</f>
        <v/>
      </c>
      <c r="Q292" s="7">
        <f>'1 datos preparados'!P285</f>
        <v/>
      </c>
      <c r="R292" s="7">
        <f>'1 datos preparados'!Q285</f>
        <v/>
      </c>
      <c r="S292" s="7">
        <f>'1 datos preparados'!R285</f>
        <v/>
      </c>
      <c r="T292" s="7">
        <f>'1 datos preparados'!S285</f>
        <v/>
      </c>
      <c r="U292" s="7">
        <f>'1 datos preparados'!T285</f>
        <v/>
      </c>
      <c r="V292" s="8">
        <f>$AE$12+D292*$AE$13+E292*$AE$14+F292*$AE$15+G292*$AE$16+H292*$AE$17+I292*$AE$18+J292*$AE$19+K292*$AE$20+L292*$AE$21+M292*$AE$22+N292*$AE$23+O292*$AE$24+P292*$AE$25+Q292*$AE$26+R292*$AE$27+S292*$AE$28+T292*$AE$29+U292*$AE$30</f>
        <v/>
      </c>
      <c r="W292" s="8">
        <f>1/(1+EXP(-V292))</f>
        <v/>
      </c>
      <c r="X292" s="9">
        <f>-IF(C292=1,LN(W292),LN(1-W292))</f>
        <v/>
      </c>
      <c r="Y292" s="8">
        <f>'1 datos preparados'!V285</f>
        <v/>
      </c>
      <c r="Z292" s="9">
        <f>Y292*X292</f>
        <v/>
      </c>
      <c r="AA292" s="10">
        <f>IF(W292&gt;$AE$33,1,0)</f>
        <v/>
      </c>
      <c r="AB292">
        <f>IF(AA292=C292,1,0)</f>
        <v/>
      </c>
    </row>
    <row r="293">
      <c r="A293">
        <f>'1 datos preparados'!A286</f>
        <v/>
      </c>
      <c r="B293" s="5">
        <f>'1 datos preparados'!U286</f>
        <v/>
      </c>
      <c r="C293">
        <f>'1 datos preparados'!B286</f>
        <v/>
      </c>
      <c r="D293" s="7">
        <f>'1 datos preparados'!C286</f>
        <v/>
      </c>
      <c r="E293" s="7">
        <f>'1 datos preparados'!D286</f>
        <v/>
      </c>
      <c r="F293" s="7">
        <f>'1 datos preparados'!E286</f>
        <v/>
      </c>
      <c r="G293" s="7">
        <f>'1 datos preparados'!F286</f>
        <v/>
      </c>
      <c r="H293" s="7">
        <f>'1 datos preparados'!G286</f>
        <v/>
      </c>
      <c r="I293" s="7">
        <f>'1 datos preparados'!H286</f>
        <v/>
      </c>
      <c r="J293" s="7">
        <f>'1 datos preparados'!I286</f>
        <v/>
      </c>
      <c r="K293" s="7">
        <f>'1 datos preparados'!J286</f>
        <v/>
      </c>
      <c r="L293" s="7">
        <f>'1 datos preparados'!K286</f>
        <v/>
      </c>
      <c r="M293" s="7">
        <f>'1 datos preparados'!L286</f>
        <v/>
      </c>
      <c r="N293" s="7">
        <f>'1 datos preparados'!M286</f>
        <v/>
      </c>
      <c r="O293" s="7">
        <f>'1 datos preparados'!N286</f>
        <v/>
      </c>
      <c r="P293" s="7">
        <f>'1 datos preparados'!O286</f>
        <v/>
      </c>
      <c r="Q293" s="7">
        <f>'1 datos preparados'!P286</f>
        <v/>
      </c>
      <c r="R293" s="7">
        <f>'1 datos preparados'!Q286</f>
        <v/>
      </c>
      <c r="S293" s="7">
        <f>'1 datos preparados'!R286</f>
        <v/>
      </c>
      <c r="T293" s="7">
        <f>'1 datos preparados'!S286</f>
        <v/>
      </c>
      <c r="U293" s="7">
        <f>'1 datos preparados'!T286</f>
        <v/>
      </c>
      <c r="V293" s="8">
        <f>$AE$12+D293*$AE$13+E293*$AE$14+F293*$AE$15+G293*$AE$16+H293*$AE$17+I293*$AE$18+J293*$AE$19+K293*$AE$20+L293*$AE$21+M293*$AE$22+N293*$AE$23+O293*$AE$24+P293*$AE$25+Q293*$AE$26+R293*$AE$27+S293*$AE$28+T293*$AE$29+U293*$AE$30</f>
        <v/>
      </c>
      <c r="W293" s="8">
        <f>1/(1+EXP(-V293))</f>
        <v/>
      </c>
      <c r="X293" s="9">
        <f>-IF(C293=1,LN(W293),LN(1-W293))</f>
        <v/>
      </c>
      <c r="Y293" s="8">
        <f>'1 datos preparados'!V286</f>
        <v/>
      </c>
      <c r="Z293" s="9">
        <f>Y293*X293</f>
        <v/>
      </c>
      <c r="AA293" s="10">
        <f>IF(W293&gt;$AE$33,1,0)</f>
        <v/>
      </c>
      <c r="AB293">
        <f>IF(AA293=C293,1,0)</f>
        <v/>
      </c>
    </row>
    <row r="294">
      <c r="A294">
        <f>'1 datos preparados'!A287</f>
        <v/>
      </c>
      <c r="B294" s="5">
        <f>'1 datos preparados'!U287</f>
        <v/>
      </c>
      <c r="C294">
        <f>'1 datos preparados'!B287</f>
        <v/>
      </c>
      <c r="D294" s="7">
        <f>'1 datos preparados'!C287</f>
        <v/>
      </c>
      <c r="E294" s="7">
        <f>'1 datos preparados'!D287</f>
        <v/>
      </c>
      <c r="F294" s="7">
        <f>'1 datos preparados'!E287</f>
        <v/>
      </c>
      <c r="G294" s="7">
        <f>'1 datos preparados'!F287</f>
        <v/>
      </c>
      <c r="H294" s="7">
        <f>'1 datos preparados'!G287</f>
        <v/>
      </c>
      <c r="I294" s="7">
        <f>'1 datos preparados'!H287</f>
        <v/>
      </c>
      <c r="J294" s="7">
        <f>'1 datos preparados'!I287</f>
        <v/>
      </c>
      <c r="K294" s="7">
        <f>'1 datos preparados'!J287</f>
        <v/>
      </c>
      <c r="L294" s="7">
        <f>'1 datos preparados'!K287</f>
        <v/>
      </c>
      <c r="M294" s="7">
        <f>'1 datos preparados'!L287</f>
        <v/>
      </c>
      <c r="N294" s="7">
        <f>'1 datos preparados'!M287</f>
        <v/>
      </c>
      <c r="O294" s="7">
        <f>'1 datos preparados'!N287</f>
        <v/>
      </c>
      <c r="P294" s="7">
        <f>'1 datos preparados'!O287</f>
        <v/>
      </c>
      <c r="Q294" s="7">
        <f>'1 datos preparados'!P287</f>
        <v/>
      </c>
      <c r="R294" s="7">
        <f>'1 datos preparados'!Q287</f>
        <v/>
      </c>
      <c r="S294" s="7">
        <f>'1 datos preparados'!R287</f>
        <v/>
      </c>
      <c r="T294" s="7">
        <f>'1 datos preparados'!S287</f>
        <v/>
      </c>
      <c r="U294" s="7">
        <f>'1 datos preparados'!T287</f>
        <v/>
      </c>
      <c r="V294" s="8">
        <f>$AE$12+D294*$AE$13+E294*$AE$14+F294*$AE$15+G294*$AE$16+H294*$AE$17+I294*$AE$18+J294*$AE$19+K294*$AE$20+L294*$AE$21+M294*$AE$22+N294*$AE$23+O294*$AE$24+P294*$AE$25+Q294*$AE$26+R294*$AE$27+S294*$AE$28+T294*$AE$29+U294*$AE$30</f>
        <v/>
      </c>
      <c r="W294" s="8">
        <f>1/(1+EXP(-V294))</f>
        <v/>
      </c>
      <c r="X294" s="9">
        <f>-IF(C294=1,LN(W294),LN(1-W294))</f>
        <v/>
      </c>
      <c r="Y294" s="8">
        <f>'1 datos preparados'!V287</f>
        <v/>
      </c>
      <c r="Z294" s="9">
        <f>Y294*X294</f>
        <v/>
      </c>
      <c r="AA294" s="10">
        <f>IF(W294&gt;$AE$33,1,0)</f>
        <v/>
      </c>
      <c r="AB294">
        <f>IF(AA294=C294,1,0)</f>
        <v/>
      </c>
    </row>
    <row r="295">
      <c r="A295">
        <f>'1 datos preparados'!A288</f>
        <v/>
      </c>
      <c r="B295" s="5">
        <f>'1 datos preparados'!U288</f>
        <v/>
      </c>
      <c r="C295">
        <f>'1 datos preparados'!B288</f>
        <v/>
      </c>
      <c r="D295" s="7">
        <f>'1 datos preparados'!C288</f>
        <v/>
      </c>
      <c r="E295" s="7">
        <f>'1 datos preparados'!D288</f>
        <v/>
      </c>
      <c r="F295" s="7">
        <f>'1 datos preparados'!E288</f>
        <v/>
      </c>
      <c r="G295" s="7">
        <f>'1 datos preparados'!F288</f>
        <v/>
      </c>
      <c r="H295" s="7">
        <f>'1 datos preparados'!G288</f>
        <v/>
      </c>
      <c r="I295" s="7">
        <f>'1 datos preparados'!H288</f>
        <v/>
      </c>
      <c r="J295" s="7">
        <f>'1 datos preparados'!I288</f>
        <v/>
      </c>
      <c r="K295" s="7">
        <f>'1 datos preparados'!J288</f>
        <v/>
      </c>
      <c r="L295" s="7">
        <f>'1 datos preparados'!K288</f>
        <v/>
      </c>
      <c r="M295" s="7">
        <f>'1 datos preparados'!L288</f>
        <v/>
      </c>
      <c r="N295" s="7">
        <f>'1 datos preparados'!M288</f>
        <v/>
      </c>
      <c r="O295" s="7">
        <f>'1 datos preparados'!N288</f>
        <v/>
      </c>
      <c r="P295" s="7">
        <f>'1 datos preparados'!O288</f>
        <v/>
      </c>
      <c r="Q295" s="7">
        <f>'1 datos preparados'!P288</f>
        <v/>
      </c>
      <c r="R295" s="7">
        <f>'1 datos preparados'!Q288</f>
        <v/>
      </c>
      <c r="S295" s="7">
        <f>'1 datos preparados'!R288</f>
        <v/>
      </c>
      <c r="T295" s="7">
        <f>'1 datos preparados'!S288</f>
        <v/>
      </c>
      <c r="U295" s="7">
        <f>'1 datos preparados'!T288</f>
        <v/>
      </c>
      <c r="V295" s="8">
        <f>$AE$12+D295*$AE$13+E295*$AE$14+F295*$AE$15+G295*$AE$16+H295*$AE$17+I295*$AE$18+J295*$AE$19+K295*$AE$20+L295*$AE$21+M295*$AE$22+N295*$AE$23+O295*$AE$24+P295*$AE$25+Q295*$AE$26+R295*$AE$27+S295*$AE$28+T295*$AE$29+U295*$AE$30</f>
        <v/>
      </c>
      <c r="W295" s="8">
        <f>1/(1+EXP(-V295))</f>
        <v/>
      </c>
      <c r="X295" s="9">
        <f>-IF(C295=1,LN(W295),LN(1-W295))</f>
        <v/>
      </c>
      <c r="Y295" s="8">
        <f>'1 datos preparados'!V288</f>
        <v/>
      </c>
      <c r="Z295" s="9">
        <f>Y295*X295</f>
        <v/>
      </c>
      <c r="AA295" s="10">
        <f>IF(W295&gt;$AE$33,1,0)</f>
        <v/>
      </c>
      <c r="AB295">
        <f>IF(AA295=C295,1,0)</f>
        <v/>
      </c>
    </row>
    <row r="296">
      <c r="A296">
        <f>'1 datos preparados'!A289</f>
        <v/>
      </c>
      <c r="B296" s="5">
        <f>'1 datos preparados'!U289</f>
        <v/>
      </c>
      <c r="C296">
        <f>'1 datos preparados'!B289</f>
        <v/>
      </c>
      <c r="D296" s="7">
        <f>'1 datos preparados'!C289</f>
        <v/>
      </c>
      <c r="E296" s="7">
        <f>'1 datos preparados'!D289</f>
        <v/>
      </c>
      <c r="F296" s="7">
        <f>'1 datos preparados'!E289</f>
        <v/>
      </c>
      <c r="G296" s="7">
        <f>'1 datos preparados'!F289</f>
        <v/>
      </c>
      <c r="H296" s="7">
        <f>'1 datos preparados'!G289</f>
        <v/>
      </c>
      <c r="I296" s="7">
        <f>'1 datos preparados'!H289</f>
        <v/>
      </c>
      <c r="J296" s="7">
        <f>'1 datos preparados'!I289</f>
        <v/>
      </c>
      <c r="K296" s="7">
        <f>'1 datos preparados'!J289</f>
        <v/>
      </c>
      <c r="L296" s="7">
        <f>'1 datos preparados'!K289</f>
        <v/>
      </c>
      <c r="M296" s="7">
        <f>'1 datos preparados'!L289</f>
        <v/>
      </c>
      <c r="N296" s="7">
        <f>'1 datos preparados'!M289</f>
        <v/>
      </c>
      <c r="O296" s="7">
        <f>'1 datos preparados'!N289</f>
        <v/>
      </c>
      <c r="P296" s="7">
        <f>'1 datos preparados'!O289</f>
        <v/>
      </c>
      <c r="Q296" s="7">
        <f>'1 datos preparados'!P289</f>
        <v/>
      </c>
      <c r="R296" s="7">
        <f>'1 datos preparados'!Q289</f>
        <v/>
      </c>
      <c r="S296" s="7">
        <f>'1 datos preparados'!R289</f>
        <v/>
      </c>
      <c r="T296" s="7">
        <f>'1 datos preparados'!S289</f>
        <v/>
      </c>
      <c r="U296" s="7">
        <f>'1 datos preparados'!T289</f>
        <v/>
      </c>
      <c r="V296" s="8">
        <f>$AE$12+D296*$AE$13+E296*$AE$14+F296*$AE$15+G296*$AE$16+H296*$AE$17+I296*$AE$18+J296*$AE$19+K296*$AE$20+L296*$AE$21+M296*$AE$22+N296*$AE$23+O296*$AE$24+P296*$AE$25+Q296*$AE$26+R296*$AE$27+S296*$AE$28+T296*$AE$29+U296*$AE$30</f>
        <v/>
      </c>
      <c r="W296" s="8">
        <f>1/(1+EXP(-V296))</f>
        <v/>
      </c>
      <c r="X296" s="9">
        <f>-IF(C296=1,LN(W296),LN(1-W296))</f>
        <v/>
      </c>
      <c r="Y296" s="8">
        <f>'1 datos preparados'!V289</f>
        <v/>
      </c>
      <c r="Z296" s="9">
        <f>Y296*X296</f>
        <v/>
      </c>
      <c r="AA296" s="10">
        <f>IF(W296&gt;$AE$33,1,0)</f>
        <v/>
      </c>
      <c r="AB296">
        <f>IF(AA296=C296,1,0)</f>
        <v/>
      </c>
    </row>
    <row r="297">
      <c r="A297">
        <f>'1 datos preparados'!A290</f>
        <v/>
      </c>
      <c r="B297" s="5">
        <f>'1 datos preparados'!U290</f>
        <v/>
      </c>
      <c r="C297">
        <f>'1 datos preparados'!B290</f>
        <v/>
      </c>
      <c r="D297" s="7">
        <f>'1 datos preparados'!C290</f>
        <v/>
      </c>
      <c r="E297" s="7">
        <f>'1 datos preparados'!D290</f>
        <v/>
      </c>
      <c r="F297" s="7">
        <f>'1 datos preparados'!E290</f>
        <v/>
      </c>
      <c r="G297" s="7">
        <f>'1 datos preparados'!F290</f>
        <v/>
      </c>
      <c r="H297" s="7">
        <f>'1 datos preparados'!G290</f>
        <v/>
      </c>
      <c r="I297" s="7">
        <f>'1 datos preparados'!H290</f>
        <v/>
      </c>
      <c r="J297" s="7">
        <f>'1 datos preparados'!I290</f>
        <v/>
      </c>
      <c r="K297" s="7">
        <f>'1 datos preparados'!J290</f>
        <v/>
      </c>
      <c r="L297" s="7">
        <f>'1 datos preparados'!K290</f>
        <v/>
      </c>
      <c r="M297" s="7">
        <f>'1 datos preparados'!L290</f>
        <v/>
      </c>
      <c r="N297" s="7">
        <f>'1 datos preparados'!M290</f>
        <v/>
      </c>
      <c r="O297" s="7">
        <f>'1 datos preparados'!N290</f>
        <v/>
      </c>
      <c r="P297" s="7">
        <f>'1 datos preparados'!O290</f>
        <v/>
      </c>
      <c r="Q297" s="7">
        <f>'1 datos preparados'!P290</f>
        <v/>
      </c>
      <c r="R297" s="7">
        <f>'1 datos preparados'!Q290</f>
        <v/>
      </c>
      <c r="S297" s="7">
        <f>'1 datos preparados'!R290</f>
        <v/>
      </c>
      <c r="T297" s="7">
        <f>'1 datos preparados'!S290</f>
        <v/>
      </c>
      <c r="U297" s="7">
        <f>'1 datos preparados'!T290</f>
        <v/>
      </c>
      <c r="V297" s="8">
        <f>$AE$12+D297*$AE$13+E297*$AE$14+F297*$AE$15+G297*$AE$16+H297*$AE$17+I297*$AE$18+J297*$AE$19+K297*$AE$20+L297*$AE$21+M297*$AE$22+N297*$AE$23+O297*$AE$24+P297*$AE$25+Q297*$AE$26+R297*$AE$27+S297*$AE$28+T297*$AE$29+U297*$AE$30</f>
        <v/>
      </c>
      <c r="W297" s="8">
        <f>1/(1+EXP(-V297))</f>
        <v/>
      </c>
      <c r="X297" s="9">
        <f>-IF(C297=1,LN(W297),LN(1-W297))</f>
        <v/>
      </c>
      <c r="Y297" s="8">
        <f>'1 datos preparados'!V290</f>
        <v/>
      </c>
      <c r="Z297" s="9">
        <f>Y297*X297</f>
        <v/>
      </c>
      <c r="AA297" s="10">
        <f>IF(W297&gt;$AE$33,1,0)</f>
        <v/>
      </c>
      <c r="AB297">
        <f>IF(AA297=C297,1,0)</f>
        <v/>
      </c>
    </row>
    <row r="298">
      <c r="A298">
        <f>'1 datos preparados'!A291</f>
        <v/>
      </c>
      <c r="B298" s="5">
        <f>'1 datos preparados'!U291</f>
        <v/>
      </c>
      <c r="C298">
        <f>'1 datos preparados'!B291</f>
        <v/>
      </c>
      <c r="D298" s="7">
        <f>'1 datos preparados'!C291</f>
        <v/>
      </c>
      <c r="E298" s="7">
        <f>'1 datos preparados'!D291</f>
        <v/>
      </c>
      <c r="F298" s="7">
        <f>'1 datos preparados'!E291</f>
        <v/>
      </c>
      <c r="G298" s="7">
        <f>'1 datos preparados'!F291</f>
        <v/>
      </c>
      <c r="H298" s="7">
        <f>'1 datos preparados'!G291</f>
        <v/>
      </c>
      <c r="I298" s="7">
        <f>'1 datos preparados'!H291</f>
        <v/>
      </c>
      <c r="J298" s="7">
        <f>'1 datos preparados'!I291</f>
        <v/>
      </c>
      <c r="K298" s="7">
        <f>'1 datos preparados'!J291</f>
        <v/>
      </c>
      <c r="L298" s="7">
        <f>'1 datos preparados'!K291</f>
        <v/>
      </c>
      <c r="M298" s="7">
        <f>'1 datos preparados'!L291</f>
        <v/>
      </c>
      <c r="N298" s="7">
        <f>'1 datos preparados'!M291</f>
        <v/>
      </c>
      <c r="O298" s="7">
        <f>'1 datos preparados'!N291</f>
        <v/>
      </c>
      <c r="P298" s="7">
        <f>'1 datos preparados'!O291</f>
        <v/>
      </c>
      <c r="Q298" s="7">
        <f>'1 datos preparados'!P291</f>
        <v/>
      </c>
      <c r="R298" s="7">
        <f>'1 datos preparados'!Q291</f>
        <v/>
      </c>
      <c r="S298" s="7">
        <f>'1 datos preparados'!R291</f>
        <v/>
      </c>
      <c r="T298" s="7">
        <f>'1 datos preparados'!S291</f>
        <v/>
      </c>
      <c r="U298" s="7">
        <f>'1 datos preparados'!T291</f>
        <v/>
      </c>
      <c r="V298" s="8">
        <f>$AE$12+D298*$AE$13+E298*$AE$14+F298*$AE$15+G298*$AE$16+H298*$AE$17+I298*$AE$18+J298*$AE$19+K298*$AE$20+L298*$AE$21+M298*$AE$22+N298*$AE$23+O298*$AE$24+P298*$AE$25+Q298*$AE$26+R298*$AE$27+S298*$AE$28+T298*$AE$29+U298*$AE$30</f>
        <v/>
      </c>
      <c r="W298" s="8">
        <f>1/(1+EXP(-V298))</f>
        <v/>
      </c>
      <c r="X298" s="9">
        <f>-IF(C298=1,LN(W298),LN(1-W298))</f>
        <v/>
      </c>
      <c r="Y298" s="8">
        <f>'1 datos preparados'!V291</f>
        <v/>
      </c>
      <c r="Z298" s="9">
        <f>Y298*X298</f>
        <v/>
      </c>
      <c r="AA298" s="10">
        <f>IF(W298&gt;$AE$33,1,0)</f>
        <v/>
      </c>
      <c r="AB298">
        <f>IF(AA298=C298,1,0)</f>
        <v/>
      </c>
    </row>
    <row r="299">
      <c r="A299">
        <f>'1 datos preparados'!A292</f>
        <v/>
      </c>
      <c r="B299" s="5">
        <f>'1 datos preparados'!U292</f>
        <v/>
      </c>
      <c r="C299">
        <f>'1 datos preparados'!B292</f>
        <v/>
      </c>
      <c r="D299" s="7">
        <f>'1 datos preparados'!C292</f>
        <v/>
      </c>
      <c r="E299" s="7">
        <f>'1 datos preparados'!D292</f>
        <v/>
      </c>
      <c r="F299" s="7">
        <f>'1 datos preparados'!E292</f>
        <v/>
      </c>
      <c r="G299" s="7">
        <f>'1 datos preparados'!F292</f>
        <v/>
      </c>
      <c r="H299" s="7">
        <f>'1 datos preparados'!G292</f>
        <v/>
      </c>
      <c r="I299" s="7">
        <f>'1 datos preparados'!H292</f>
        <v/>
      </c>
      <c r="J299" s="7">
        <f>'1 datos preparados'!I292</f>
        <v/>
      </c>
      <c r="K299" s="7">
        <f>'1 datos preparados'!J292</f>
        <v/>
      </c>
      <c r="L299" s="7">
        <f>'1 datos preparados'!K292</f>
        <v/>
      </c>
      <c r="M299" s="7">
        <f>'1 datos preparados'!L292</f>
        <v/>
      </c>
      <c r="N299" s="7">
        <f>'1 datos preparados'!M292</f>
        <v/>
      </c>
      <c r="O299" s="7">
        <f>'1 datos preparados'!N292</f>
        <v/>
      </c>
      <c r="P299" s="7">
        <f>'1 datos preparados'!O292</f>
        <v/>
      </c>
      <c r="Q299" s="7">
        <f>'1 datos preparados'!P292</f>
        <v/>
      </c>
      <c r="R299" s="7">
        <f>'1 datos preparados'!Q292</f>
        <v/>
      </c>
      <c r="S299" s="7">
        <f>'1 datos preparados'!R292</f>
        <v/>
      </c>
      <c r="T299" s="7">
        <f>'1 datos preparados'!S292</f>
        <v/>
      </c>
      <c r="U299" s="7">
        <f>'1 datos preparados'!T292</f>
        <v/>
      </c>
      <c r="V299" s="8">
        <f>$AE$12+D299*$AE$13+E299*$AE$14+F299*$AE$15+G299*$AE$16+H299*$AE$17+I299*$AE$18+J299*$AE$19+K299*$AE$20+L299*$AE$21+M299*$AE$22+N299*$AE$23+O299*$AE$24+P299*$AE$25+Q299*$AE$26+R299*$AE$27+S299*$AE$28+T299*$AE$29+U299*$AE$30</f>
        <v/>
      </c>
      <c r="W299" s="8">
        <f>1/(1+EXP(-V299))</f>
        <v/>
      </c>
      <c r="X299" s="9">
        <f>-IF(C299=1,LN(W299),LN(1-W299))</f>
        <v/>
      </c>
      <c r="Y299" s="8">
        <f>'1 datos preparados'!V292</f>
        <v/>
      </c>
      <c r="Z299" s="9">
        <f>Y299*X299</f>
        <v/>
      </c>
      <c r="AA299" s="10">
        <f>IF(W299&gt;$AE$33,1,0)</f>
        <v/>
      </c>
      <c r="AB299">
        <f>IF(AA299=C299,1,0)</f>
        <v/>
      </c>
    </row>
    <row r="300">
      <c r="A300">
        <f>'1 datos preparados'!A293</f>
        <v/>
      </c>
      <c r="B300" s="5">
        <f>'1 datos preparados'!U293</f>
        <v/>
      </c>
      <c r="C300">
        <f>'1 datos preparados'!B293</f>
        <v/>
      </c>
      <c r="D300" s="7">
        <f>'1 datos preparados'!C293</f>
        <v/>
      </c>
      <c r="E300" s="7">
        <f>'1 datos preparados'!D293</f>
        <v/>
      </c>
      <c r="F300" s="7">
        <f>'1 datos preparados'!E293</f>
        <v/>
      </c>
      <c r="G300" s="7">
        <f>'1 datos preparados'!F293</f>
        <v/>
      </c>
      <c r="H300" s="7">
        <f>'1 datos preparados'!G293</f>
        <v/>
      </c>
      <c r="I300" s="7">
        <f>'1 datos preparados'!H293</f>
        <v/>
      </c>
      <c r="J300" s="7">
        <f>'1 datos preparados'!I293</f>
        <v/>
      </c>
      <c r="K300" s="7">
        <f>'1 datos preparados'!J293</f>
        <v/>
      </c>
      <c r="L300" s="7">
        <f>'1 datos preparados'!K293</f>
        <v/>
      </c>
      <c r="M300" s="7">
        <f>'1 datos preparados'!L293</f>
        <v/>
      </c>
      <c r="N300" s="7">
        <f>'1 datos preparados'!M293</f>
        <v/>
      </c>
      <c r="O300" s="7">
        <f>'1 datos preparados'!N293</f>
        <v/>
      </c>
      <c r="P300" s="7">
        <f>'1 datos preparados'!O293</f>
        <v/>
      </c>
      <c r="Q300" s="7">
        <f>'1 datos preparados'!P293</f>
        <v/>
      </c>
      <c r="R300" s="7">
        <f>'1 datos preparados'!Q293</f>
        <v/>
      </c>
      <c r="S300" s="7">
        <f>'1 datos preparados'!R293</f>
        <v/>
      </c>
      <c r="T300" s="7">
        <f>'1 datos preparados'!S293</f>
        <v/>
      </c>
      <c r="U300" s="7">
        <f>'1 datos preparados'!T293</f>
        <v/>
      </c>
      <c r="V300" s="8">
        <f>$AE$12+D300*$AE$13+E300*$AE$14+F300*$AE$15+G300*$AE$16+H300*$AE$17+I300*$AE$18+J300*$AE$19+K300*$AE$20+L300*$AE$21+M300*$AE$22+N300*$AE$23+O300*$AE$24+P300*$AE$25+Q300*$AE$26+R300*$AE$27+S300*$AE$28+T300*$AE$29+U300*$AE$30</f>
        <v/>
      </c>
      <c r="W300" s="8">
        <f>1/(1+EXP(-V300))</f>
        <v/>
      </c>
      <c r="X300" s="9">
        <f>-IF(C300=1,LN(W300),LN(1-W300))</f>
        <v/>
      </c>
      <c r="Y300" s="8">
        <f>'1 datos preparados'!V293</f>
        <v/>
      </c>
      <c r="Z300" s="9">
        <f>Y300*X300</f>
        <v/>
      </c>
      <c r="AA300" s="10">
        <f>IF(W300&gt;$AE$33,1,0)</f>
        <v/>
      </c>
      <c r="AB300">
        <f>IF(AA300=C300,1,0)</f>
        <v/>
      </c>
    </row>
    <row r="301">
      <c r="A301">
        <f>'1 datos preparados'!A294</f>
        <v/>
      </c>
      <c r="B301" s="5">
        <f>'1 datos preparados'!U294</f>
        <v/>
      </c>
      <c r="C301">
        <f>'1 datos preparados'!B294</f>
        <v/>
      </c>
      <c r="D301" s="7">
        <f>'1 datos preparados'!C294</f>
        <v/>
      </c>
      <c r="E301" s="7">
        <f>'1 datos preparados'!D294</f>
        <v/>
      </c>
      <c r="F301" s="7">
        <f>'1 datos preparados'!E294</f>
        <v/>
      </c>
      <c r="G301" s="7">
        <f>'1 datos preparados'!F294</f>
        <v/>
      </c>
      <c r="H301" s="7">
        <f>'1 datos preparados'!G294</f>
        <v/>
      </c>
      <c r="I301" s="7">
        <f>'1 datos preparados'!H294</f>
        <v/>
      </c>
      <c r="J301" s="7">
        <f>'1 datos preparados'!I294</f>
        <v/>
      </c>
      <c r="K301" s="7">
        <f>'1 datos preparados'!J294</f>
        <v/>
      </c>
      <c r="L301" s="7">
        <f>'1 datos preparados'!K294</f>
        <v/>
      </c>
      <c r="M301" s="7">
        <f>'1 datos preparados'!L294</f>
        <v/>
      </c>
      <c r="N301" s="7">
        <f>'1 datos preparados'!M294</f>
        <v/>
      </c>
      <c r="O301" s="7">
        <f>'1 datos preparados'!N294</f>
        <v/>
      </c>
      <c r="P301" s="7">
        <f>'1 datos preparados'!O294</f>
        <v/>
      </c>
      <c r="Q301" s="7">
        <f>'1 datos preparados'!P294</f>
        <v/>
      </c>
      <c r="R301" s="7">
        <f>'1 datos preparados'!Q294</f>
        <v/>
      </c>
      <c r="S301" s="7">
        <f>'1 datos preparados'!R294</f>
        <v/>
      </c>
      <c r="T301" s="7">
        <f>'1 datos preparados'!S294</f>
        <v/>
      </c>
      <c r="U301" s="7">
        <f>'1 datos preparados'!T294</f>
        <v/>
      </c>
      <c r="V301" s="8">
        <f>$AE$12+D301*$AE$13+E301*$AE$14+F301*$AE$15+G301*$AE$16+H301*$AE$17+I301*$AE$18+J301*$AE$19+K301*$AE$20+L301*$AE$21+M301*$AE$22+N301*$AE$23+O301*$AE$24+P301*$AE$25+Q301*$AE$26+R301*$AE$27+S301*$AE$28+T301*$AE$29+U301*$AE$30</f>
        <v/>
      </c>
      <c r="W301" s="8">
        <f>1/(1+EXP(-V301))</f>
        <v/>
      </c>
      <c r="X301" s="9">
        <f>-IF(C301=1,LN(W301),LN(1-W301))</f>
        <v/>
      </c>
      <c r="Y301" s="8">
        <f>'1 datos preparados'!V294</f>
        <v/>
      </c>
      <c r="Z301" s="9">
        <f>Y301*X301</f>
        <v/>
      </c>
      <c r="AA301" s="10">
        <f>IF(W301&gt;$AE$33,1,0)</f>
        <v/>
      </c>
      <c r="AB301">
        <f>IF(AA301=C301,1,0)</f>
        <v/>
      </c>
    </row>
    <row r="302">
      <c r="A302">
        <f>'1 datos preparados'!A295</f>
        <v/>
      </c>
      <c r="B302" s="5">
        <f>'1 datos preparados'!U295</f>
        <v/>
      </c>
      <c r="C302">
        <f>'1 datos preparados'!B295</f>
        <v/>
      </c>
      <c r="D302" s="7">
        <f>'1 datos preparados'!C295</f>
        <v/>
      </c>
      <c r="E302" s="7">
        <f>'1 datos preparados'!D295</f>
        <v/>
      </c>
      <c r="F302" s="7">
        <f>'1 datos preparados'!E295</f>
        <v/>
      </c>
      <c r="G302" s="7">
        <f>'1 datos preparados'!F295</f>
        <v/>
      </c>
      <c r="H302" s="7">
        <f>'1 datos preparados'!G295</f>
        <v/>
      </c>
      <c r="I302" s="7">
        <f>'1 datos preparados'!H295</f>
        <v/>
      </c>
      <c r="J302" s="7">
        <f>'1 datos preparados'!I295</f>
        <v/>
      </c>
      <c r="K302" s="7">
        <f>'1 datos preparados'!J295</f>
        <v/>
      </c>
      <c r="L302" s="7">
        <f>'1 datos preparados'!K295</f>
        <v/>
      </c>
      <c r="M302" s="7">
        <f>'1 datos preparados'!L295</f>
        <v/>
      </c>
      <c r="N302" s="7">
        <f>'1 datos preparados'!M295</f>
        <v/>
      </c>
      <c r="O302" s="7">
        <f>'1 datos preparados'!N295</f>
        <v/>
      </c>
      <c r="P302" s="7">
        <f>'1 datos preparados'!O295</f>
        <v/>
      </c>
      <c r="Q302" s="7">
        <f>'1 datos preparados'!P295</f>
        <v/>
      </c>
      <c r="R302" s="7">
        <f>'1 datos preparados'!Q295</f>
        <v/>
      </c>
      <c r="S302" s="7">
        <f>'1 datos preparados'!R295</f>
        <v/>
      </c>
      <c r="T302" s="7">
        <f>'1 datos preparados'!S295</f>
        <v/>
      </c>
      <c r="U302" s="7">
        <f>'1 datos preparados'!T295</f>
        <v/>
      </c>
      <c r="V302" s="8">
        <f>$AE$12+D302*$AE$13+E302*$AE$14+F302*$AE$15+G302*$AE$16+H302*$AE$17+I302*$AE$18+J302*$AE$19+K302*$AE$20+L302*$AE$21+M302*$AE$22+N302*$AE$23+O302*$AE$24+P302*$AE$25+Q302*$AE$26+R302*$AE$27+S302*$AE$28+T302*$AE$29+U302*$AE$30</f>
        <v/>
      </c>
      <c r="W302" s="8">
        <f>1/(1+EXP(-V302))</f>
        <v/>
      </c>
      <c r="X302" s="9">
        <f>-IF(C302=1,LN(W302),LN(1-W302))</f>
        <v/>
      </c>
      <c r="Y302" s="8">
        <f>'1 datos preparados'!V295</f>
        <v/>
      </c>
      <c r="Z302" s="9">
        <f>Y302*X302</f>
        <v/>
      </c>
      <c r="AA302" s="10">
        <f>IF(W302&gt;$AE$33,1,0)</f>
        <v/>
      </c>
      <c r="AB302">
        <f>IF(AA302=C302,1,0)</f>
        <v/>
      </c>
    </row>
    <row r="303">
      <c r="A303">
        <f>'1 datos preparados'!A296</f>
        <v/>
      </c>
      <c r="B303" s="5">
        <f>'1 datos preparados'!U296</f>
        <v/>
      </c>
      <c r="C303">
        <f>'1 datos preparados'!B296</f>
        <v/>
      </c>
      <c r="D303" s="7">
        <f>'1 datos preparados'!C296</f>
        <v/>
      </c>
      <c r="E303" s="7">
        <f>'1 datos preparados'!D296</f>
        <v/>
      </c>
      <c r="F303" s="7">
        <f>'1 datos preparados'!E296</f>
        <v/>
      </c>
      <c r="G303" s="7">
        <f>'1 datos preparados'!F296</f>
        <v/>
      </c>
      <c r="H303" s="7">
        <f>'1 datos preparados'!G296</f>
        <v/>
      </c>
      <c r="I303" s="7">
        <f>'1 datos preparados'!H296</f>
        <v/>
      </c>
      <c r="J303" s="7">
        <f>'1 datos preparados'!I296</f>
        <v/>
      </c>
      <c r="K303" s="7">
        <f>'1 datos preparados'!J296</f>
        <v/>
      </c>
      <c r="L303" s="7">
        <f>'1 datos preparados'!K296</f>
        <v/>
      </c>
      <c r="M303" s="7">
        <f>'1 datos preparados'!L296</f>
        <v/>
      </c>
      <c r="N303" s="7">
        <f>'1 datos preparados'!M296</f>
        <v/>
      </c>
      <c r="O303" s="7">
        <f>'1 datos preparados'!N296</f>
        <v/>
      </c>
      <c r="P303" s="7">
        <f>'1 datos preparados'!O296</f>
        <v/>
      </c>
      <c r="Q303" s="7">
        <f>'1 datos preparados'!P296</f>
        <v/>
      </c>
      <c r="R303" s="7">
        <f>'1 datos preparados'!Q296</f>
        <v/>
      </c>
      <c r="S303" s="7">
        <f>'1 datos preparados'!R296</f>
        <v/>
      </c>
      <c r="T303" s="7">
        <f>'1 datos preparados'!S296</f>
        <v/>
      </c>
      <c r="U303" s="7">
        <f>'1 datos preparados'!T296</f>
        <v/>
      </c>
      <c r="V303" s="8">
        <f>$AE$12+D303*$AE$13+E303*$AE$14+F303*$AE$15+G303*$AE$16+H303*$AE$17+I303*$AE$18+J303*$AE$19+K303*$AE$20+L303*$AE$21+M303*$AE$22+N303*$AE$23+O303*$AE$24+P303*$AE$25+Q303*$AE$26+R303*$AE$27+S303*$AE$28+T303*$AE$29+U303*$AE$30</f>
        <v/>
      </c>
      <c r="W303" s="8">
        <f>1/(1+EXP(-V303))</f>
        <v/>
      </c>
      <c r="X303" s="9">
        <f>-IF(C303=1,LN(W303),LN(1-W303))</f>
        <v/>
      </c>
      <c r="Y303" s="8">
        <f>'1 datos preparados'!V296</f>
        <v/>
      </c>
      <c r="Z303" s="9">
        <f>Y303*X303</f>
        <v/>
      </c>
      <c r="AA303" s="10">
        <f>IF(W303&gt;$AE$33,1,0)</f>
        <v/>
      </c>
      <c r="AB303">
        <f>IF(AA303=C303,1,0)</f>
        <v/>
      </c>
    </row>
    <row r="304">
      <c r="A304">
        <f>'1 datos preparados'!A297</f>
        <v/>
      </c>
      <c r="B304" s="5">
        <f>'1 datos preparados'!U297</f>
        <v/>
      </c>
      <c r="C304">
        <f>'1 datos preparados'!B297</f>
        <v/>
      </c>
      <c r="D304" s="7">
        <f>'1 datos preparados'!C297</f>
        <v/>
      </c>
      <c r="E304" s="7">
        <f>'1 datos preparados'!D297</f>
        <v/>
      </c>
      <c r="F304" s="7">
        <f>'1 datos preparados'!E297</f>
        <v/>
      </c>
      <c r="G304" s="7">
        <f>'1 datos preparados'!F297</f>
        <v/>
      </c>
      <c r="H304" s="7">
        <f>'1 datos preparados'!G297</f>
        <v/>
      </c>
      <c r="I304" s="7">
        <f>'1 datos preparados'!H297</f>
        <v/>
      </c>
      <c r="J304" s="7">
        <f>'1 datos preparados'!I297</f>
        <v/>
      </c>
      <c r="K304" s="7">
        <f>'1 datos preparados'!J297</f>
        <v/>
      </c>
      <c r="L304" s="7">
        <f>'1 datos preparados'!K297</f>
        <v/>
      </c>
      <c r="M304" s="7">
        <f>'1 datos preparados'!L297</f>
        <v/>
      </c>
      <c r="N304" s="7">
        <f>'1 datos preparados'!M297</f>
        <v/>
      </c>
      <c r="O304" s="7">
        <f>'1 datos preparados'!N297</f>
        <v/>
      </c>
      <c r="P304" s="7">
        <f>'1 datos preparados'!O297</f>
        <v/>
      </c>
      <c r="Q304" s="7">
        <f>'1 datos preparados'!P297</f>
        <v/>
      </c>
      <c r="R304" s="7">
        <f>'1 datos preparados'!Q297</f>
        <v/>
      </c>
      <c r="S304" s="7">
        <f>'1 datos preparados'!R297</f>
        <v/>
      </c>
      <c r="T304" s="7">
        <f>'1 datos preparados'!S297</f>
        <v/>
      </c>
      <c r="U304" s="7">
        <f>'1 datos preparados'!T297</f>
        <v/>
      </c>
      <c r="V304" s="8">
        <f>$AE$12+D304*$AE$13+E304*$AE$14+F304*$AE$15+G304*$AE$16+H304*$AE$17+I304*$AE$18+J304*$AE$19+K304*$AE$20+L304*$AE$21+M304*$AE$22+N304*$AE$23+O304*$AE$24+P304*$AE$25+Q304*$AE$26+R304*$AE$27+S304*$AE$28+T304*$AE$29+U304*$AE$30</f>
        <v/>
      </c>
      <c r="W304" s="8">
        <f>1/(1+EXP(-V304))</f>
        <v/>
      </c>
      <c r="X304" s="9">
        <f>-IF(C304=1,LN(W304),LN(1-W304))</f>
        <v/>
      </c>
      <c r="Y304" s="8">
        <f>'1 datos preparados'!V297</f>
        <v/>
      </c>
      <c r="Z304" s="9">
        <f>Y304*X304</f>
        <v/>
      </c>
      <c r="AA304" s="10">
        <f>IF(W304&gt;$AE$33,1,0)</f>
        <v/>
      </c>
      <c r="AB304">
        <f>IF(AA304=C304,1,0)</f>
        <v/>
      </c>
    </row>
    <row r="305">
      <c r="A305">
        <f>'1 datos preparados'!A298</f>
        <v/>
      </c>
      <c r="B305" s="5">
        <f>'1 datos preparados'!U298</f>
        <v/>
      </c>
      <c r="C305">
        <f>'1 datos preparados'!B298</f>
        <v/>
      </c>
      <c r="D305" s="7">
        <f>'1 datos preparados'!C298</f>
        <v/>
      </c>
      <c r="E305" s="7">
        <f>'1 datos preparados'!D298</f>
        <v/>
      </c>
      <c r="F305" s="7">
        <f>'1 datos preparados'!E298</f>
        <v/>
      </c>
      <c r="G305" s="7">
        <f>'1 datos preparados'!F298</f>
        <v/>
      </c>
      <c r="H305" s="7">
        <f>'1 datos preparados'!G298</f>
        <v/>
      </c>
      <c r="I305" s="7">
        <f>'1 datos preparados'!H298</f>
        <v/>
      </c>
      <c r="J305" s="7">
        <f>'1 datos preparados'!I298</f>
        <v/>
      </c>
      <c r="K305" s="7">
        <f>'1 datos preparados'!J298</f>
        <v/>
      </c>
      <c r="L305" s="7">
        <f>'1 datos preparados'!K298</f>
        <v/>
      </c>
      <c r="M305" s="7">
        <f>'1 datos preparados'!L298</f>
        <v/>
      </c>
      <c r="N305" s="7">
        <f>'1 datos preparados'!M298</f>
        <v/>
      </c>
      <c r="O305" s="7">
        <f>'1 datos preparados'!N298</f>
        <v/>
      </c>
      <c r="P305" s="7">
        <f>'1 datos preparados'!O298</f>
        <v/>
      </c>
      <c r="Q305" s="7">
        <f>'1 datos preparados'!P298</f>
        <v/>
      </c>
      <c r="R305" s="7">
        <f>'1 datos preparados'!Q298</f>
        <v/>
      </c>
      <c r="S305" s="7">
        <f>'1 datos preparados'!R298</f>
        <v/>
      </c>
      <c r="T305" s="7">
        <f>'1 datos preparados'!S298</f>
        <v/>
      </c>
      <c r="U305" s="7">
        <f>'1 datos preparados'!T298</f>
        <v/>
      </c>
      <c r="V305" s="8">
        <f>$AE$12+D305*$AE$13+E305*$AE$14+F305*$AE$15+G305*$AE$16+H305*$AE$17+I305*$AE$18+J305*$AE$19+K305*$AE$20+L305*$AE$21+M305*$AE$22+N305*$AE$23+O305*$AE$24+P305*$AE$25+Q305*$AE$26+R305*$AE$27+S305*$AE$28+T305*$AE$29+U305*$AE$30</f>
        <v/>
      </c>
      <c r="W305" s="8">
        <f>1/(1+EXP(-V305))</f>
        <v/>
      </c>
      <c r="X305" s="9">
        <f>-IF(C305=1,LN(W305),LN(1-W305))</f>
        <v/>
      </c>
      <c r="Y305" s="8">
        <f>'1 datos preparados'!V298</f>
        <v/>
      </c>
      <c r="Z305" s="9">
        <f>Y305*X305</f>
        <v/>
      </c>
      <c r="AA305" s="10">
        <f>IF(W305&gt;$AE$33,1,0)</f>
        <v/>
      </c>
      <c r="AB305">
        <f>IF(AA305=C305,1,0)</f>
        <v/>
      </c>
    </row>
    <row r="306">
      <c r="A306">
        <f>'1 datos preparados'!A299</f>
        <v/>
      </c>
      <c r="B306" s="5">
        <f>'1 datos preparados'!U299</f>
        <v/>
      </c>
      <c r="C306">
        <f>'1 datos preparados'!B299</f>
        <v/>
      </c>
      <c r="D306" s="7">
        <f>'1 datos preparados'!C299</f>
        <v/>
      </c>
      <c r="E306" s="7">
        <f>'1 datos preparados'!D299</f>
        <v/>
      </c>
      <c r="F306" s="7">
        <f>'1 datos preparados'!E299</f>
        <v/>
      </c>
      <c r="G306" s="7">
        <f>'1 datos preparados'!F299</f>
        <v/>
      </c>
      <c r="H306" s="7">
        <f>'1 datos preparados'!G299</f>
        <v/>
      </c>
      <c r="I306" s="7">
        <f>'1 datos preparados'!H299</f>
        <v/>
      </c>
      <c r="J306" s="7">
        <f>'1 datos preparados'!I299</f>
        <v/>
      </c>
      <c r="K306" s="7">
        <f>'1 datos preparados'!J299</f>
        <v/>
      </c>
      <c r="L306" s="7">
        <f>'1 datos preparados'!K299</f>
        <v/>
      </c>
      <c r="M306" s="7">
        <f>'1 datos preparados'!L299</f>
        <v/>
      </c>
      <c r="N306" s="7">
        <f>'1 datos preparados'!M299</f>
        <v/>
      </c>
      <c r="O306" s="7">
        <f>'1 datos preparados'!N299</f>
        <v/>
      </c>
      <c r="P306" s="7">
        <f>'1 datos preparados'!O299</f>
        <v/>
      </c>
      <c r="Q306" s="7">
        <f>'1 datos preparados'!P299</f>
        <v/>
      </c>
      <c r="R306" s="7">
        <f>'1 datos preparados'!Q299</f>
        <v/>
      </c>
      <c r="S306" s="7">
        <f>'1 datos preparados'!R299</f>
        <v/>
      </c>
      <c r="T306" s="7">
        <f>'1 datos preparados'!S299</f>
        <v/>
      </c>
      <c r="U306" s="7">
        <f>'1 datos preparados'!T299</f>
        <v/>
      </c>
      <c r="V306" s="8">
        <f>$AE$12+D306*$AE$13+E306*$AE$14+F306*$AE$15+G306*$AE$16+H306*$AE$17+I306*$AE$18+J306*$AE$19+K306*$AE$20+L306*$AE$21+M306*$AE$22+N306*$AE$23+O306*$AE$24+P306*$AE$25+Q306*$AE$26+R306*$AE$27+S306*$AE$28+T306*$AE$29+U306*$AE$30</f>
        <v/>
      </c>
      <c r="W306" s="8">
        <f>1/(1+EXP(-V306))</f>
        <v/>
      </c>
      <c r="X306" s="9">
        <f>-IF(C306=1,LN(W306),LN(1-W306))</f>
        <v/>
      </c>
      <c r="Y306" s="8">
        <f>'1 datos preparados'!V299</f>
        <v/>
      </c>
      <c r="Z306" s="9">
        <f>Y306*X306</f>
        <v/>
      </c>
      <c r="AA306" s="10">
        <f>IF(W306&gt;$AE$33,1,0)</f>
        <v/>
      </c>
      <c r="AB306">
        <f>IF(AA306=C306,1,0)</f>
        <v/>
      </c>
    </row>
    <row r="307">
      <c r="A307">
        <f>'1 datos preparados'!A300</f>
        <v/>
      </c>
      <c r="B307" s="5">
        <f>'1 datos preparados'!U300</f>
        <v/>
      </c>
      <c r="C307">
        <f>'1 datos preparados'!B300</f>
        <v/>
      </c>
      <c r="D307" s="7">
        <f>'1 datos preparados'!C300</f>
        <v/>
      </c>
      <c r="E307" s="7">
        <f>'1 datos preparados'!D300</f>
        <v/>
      </c>
      <c r="F307" s="7">
        <f>'1 datos preparados'!E300</f>
        <v/>
      </c>
      <c r="G307" s="7">
        <f>'1 datos preparados'!F300</f>
        <v/>
      </c>
      <c r="H307" s="7">
        <f>'1 datos preparados'!G300</f>
        <v/>
      </c>
      <c r="I307" s="7">
        <f>'1 datos preparados'!H300</f>
        <v/>
      </c>
      <c r="J307" s="7">
        <f>'1 datos preparados'!I300</f>
        <v/>
      </c>
      <c r="K307" s="7">
        <f>'1 datos preparados'!J300</f>
        <v/>
      </c>
      <c r="L307" s="7">
        <f>'1 datos preparados'!K300</f>
        <v/>
      </c>
      <c r="M307" s="7">
        <f>'1 datos preparados'!L300</f>
        <v/>
      </c>
      <c r="N307" s="7">
        <f>'1 datos preparados'!M300</f>
        <v/>
      </c>
      <c r="O307" s="7">
        <f>'1 datos preparados'!N300</f>
        <v/>
      </c>
      <c r="P307" s="7">
        <f>'1 datos preparados'!O300</f>
        <v/>
      </c>
      <c r="Q307" s="7">
        <f>'1 datos preparados'!P300</f>
        <v/>
      </c>
      <c r="R307" s="7">
        <f>'1 datos preparados'!Q300</f>
        <v/>
      </c>
      <c r="S307" s="7">
        <f>'1 datos preparados'!R300</f>
        <v/>
      </c>
      <c r="T307" s="7">
        <f>'1 datos preparados'!S300</f>
        <v/>
      </c>
      <c r="U307" s="7">
        <f>'1 datos preparados'!T300</f>
        <v/>
      </c>
      <c r="V307" s="8">
        <f>$AE$12+D307*$AE$13+E307*$AE$14+F307*$AE$15+G307*$AE$16+H307*$AE$17+I307*$AE$18+J307*$AE$19+K307*$AE$20+L307*$AE$21+M307*$AE$22+N307*$AE$23+O307*$AE$24+P307*$AE$25+Q307*$AE$26+R307*$AE$27+S307*$AE$28+T307*$AE$29+U307*$AE$30</f>
        <v/>
      </c>
      <c r="W307" s="8">
        <f>1/(1+EXP(-V307))</f>
        <v/>
      </c>
      <c r="X307" s="9">
        <f>-IF(C307=1,LN(W307),LN(1-W307))</f>
        <v/>
      </c>
      <c r="Y307" s="8">
        <f>'1 datos preparados'!V300</f>
        <v/>
      </c>
      <c r="Z307" s="9">
        <f>Y307*X307</f>
        <v/>
      </c>
      <c r="AA307" s="10">
        <f>IF(W307&gt;$AE$33,1,0)</f>
        <v/>
      </c>
      <c r="AB307">
        <f>IF(AA307=C307,1,0)</f>
        <v/>
      </c>
    </row>
    <row r="308">
      <c r="A308">
        <f>'1 datos preparados'!A301</f>
        <v/>
      </c>
      <c r="B308" s="5">
        <f>'1 datos preparados'!U301</f>
        <v/>
      </c>
      <c r="C308">
        <f>'1 datos preparados'!B301</f>
        <v/>
      </c>
      <c r="D308" s="7">
        <f>'1 datos preparados'!C301</f>
        <v/>
      </c>
      <c r="E308" s="7">
        <f>'1 datos preparados'!D301</f>
        <v/>
      </c>
      <c r="F308" s="7">
        <f>'1 datos preparados'!E301</f>
        <v/>
      </c>
      <c r="G308" s="7">
        <f>'1 datos preparados'!F301</f>
        <v/>
      </c>
      <c r="H308" s="7">
        <f>'1 datos preparados'!G301</f>
        <v/>
      </c>
      <c r="I308" s="7">
        <f>'1 datos preparados'!H301</f>
        <v/>
      </c>
      <c r="J308" s="7">
        <f>'1 datos preparados'!I301</f>
        <v/>
      </c>
      <c r="K308" s="7">
        <f>'1 datos preparados'!J301</f>
        <v/>
      </c>
      <c r="L308" s="7">
        <f>'1 datos preparados'!K301</f>
        <v/>
      </c>
      <c r="M308" s="7">
        <f>'1 datos preparados'!L301</f>
        <v/>
      </c>
      <c r="N308" s="7">
        <f>'1 datos preparados'!M301</f>
        <v/>
      </c>
      <c r="O308" s="7">
        <f>'1 datos preparados'!N301</f>
        <v/>
      </c>
      <c r="P308" s="7">
        <f>'1 datos preparados'!O301</f>
        <v/>
      </c>
      <c r="Q308" s="7">
        <f>'1 datos preparados'!P301</f>
        <v/>
      </c>
      <c r="R308" s="7">
        <f>'1 datos preparados'!Q301</f>
        <v/>
      </c>
      <c r="S308" s="7">
        <f>'1 datos preparados'!R301</f>
        <v/>
      </c>
      <c r="T308" s="7">
        <f>'1 datos preparados'!S301</f>
        <v/>
      </c>
      <c r="U308" s="7">
        <f>'1 datos preparados'!T301</f>
        <v/>
      </c>
      <c r="V308" s="8">
        <f>$AE$12+D308*$AE$13+E308*$AE$14+F308*$AE$15+G308*$AE$16+H308*$AE$17+I308*$AE$18+J308*$AE$19+K308*$AE$20+L308*$AE$21+M308*$AE$22+N308*$AE$23+O308*$AE$24+P308*$AE$25+Q308*$AE$26+R308*$AE$27+S308*$AE$28+T308*$AE$29+U308*$AE$30</f>
        <v/>
      </c>
      <c r="W308" s="8">
        <f>1/(1+EXP(-V308))</f>
        <v/>
      </c>
      <c r="X308" s="9">
        <f>-IF(C308=1,LN(W308),LN(1-W308))</f>
        <v/>
      </c>
      <c r="Y308" s="8">
        <f>'1 datos preparados'!V301</f>
        <v/>
      </c>
      <c r="Z308" s="9">
        <f>Y308*X308</f>
        <v/>
      </c>
      <c r="AA308" s="10">
        <f>IF(W308&gt;$AE$33,1,0)</f>
        <v/>
      </c>
      <c r="AB308">
        <f>IF(AA308=C308,1,0)</f>
        <v/>
      </c>
    </row>
    <row r="309">
      <c r="A309">
        <f>'1 datos preparados'!A302</f>
        <v/>
      </c>
      <c r="B309" s="5">
        <f>'1 datos preparados'!U302</f>
        <v/>
      </c>
      <c r="C309">
        <f>'1 datos preparados'!B302</f>
        <v/>
      </c>
      <c r="D309" s="7">
        <f>'1 datos preparados'!C302</f>
        <v/>
      </c>
      <c r="E309" s="7">
        <f>'1 datos preparados'!D302</f>
        <v/>
      </c>
      <c r="F309" s="7">
        <f>'1 datos preparados'!E302</f>
        <v/>
      </c>
      <c r="G309" s="7">
        <f>'1 datos preparados'!F302</f>
        <v/>
      </c>
      <c r="H309" s="7">
        <f>'1 datos preparados'!G302</f>
        <v/>
      </c>
      <c r="I309" s="7">
        <f>'1 datos preparados'!H302</f>
        <v/>
      </c>
      <c r="J309" s="7">
        <f>'1 datos preparados'!I302</f>
        <v/>
      </c>
      <c r="K309" s="7">
        <f>'1 datos preparados'!J302</f>
        <v/>
      </c>
      <c r="L309" s="7">
        <f>'1 datos preparados'!K302</f>
        <v/>
      </c>
      <c r="M309" s="7">
        <f>'1 datos preparados'!L302</f>
        <v/>
      </c>
      <c r="N309" s="7">
        <f>'1 datos preparados'!M302</f>
        <v/>
      </c>
      <c r="O309" s="7">
        <f>'1 datos preparados'!N302</f>
        <v/>
      </c>
      <c r="P309" s="7">
        <f>'1 datos preparados'!O302</f>
        <v/>
      </c>
      <c r="Q309" s="7">
        <f>'1 datos preparados'!P302</f>
        <v/>
      </c>
      <c r="R309" s="7">
        <f>'1 datos preparados'!Q302</f>
        <v/>
      </c>
      <c r="S309" s="7">
        <f>'1 datos preparados'!R302</f>
        <v/>
      </c>
      <c r="T309" s="7">
        <f>'1 datos preparados'!S302</f>
        <v/>
      </c>
      <c r="U309" s="7">
        <f>'1 datos preparados'!T302</f>
        <v/>
      </c>
      <c r="V309" s="8">
        <f>$AE$12+D309*$AE$13+E309*$AE$14+F309*$AE$15+G309*$AE$16+H309*$AE$17+I309*$AE$18+J309*$AE$19+K309*$AE$20+L309*$AE$21+M309*$AE$22+N309*$AE$23+O309*$AE$24+P309*$AE$25+Q309*$AE$26+R309*$AE$27+S309*$AE$28+T309*$AE$29+U309*$AE$30</f>
        <v/>
      </c>
      <c r="W309" s="8">
        <f>1/(1+EXP(-V309))</f>
        <v/>
      </c>
      <c r="X309" s="9">
        <f>-IF(C309=1,LN(W309),LN(1-W309))</f>
        <v/>
      </c>
      <c r="Y309" s="8">
        <f>'1 datos preparados'!V302</f>
        <v/>
      </c>
      <c r="Z309" s="9">
        <f>Y309*X309</f>
        <v/>
      </c>
      <c r="AA309" s="10">
        <f>IF(W309&gt;$AE$33,1,0)</f>
        <v/>
      </c>
      <c r="AB309">
        <f>IF(AA309=C309,1,0)</f>
        <v/>
      </c>
    </row>
    <row r="310">
      <c r="A310">
        <f>'1 datos preparados'!A303</f>
        <v/>
      </c>
      <c r="B310" s="5">
        <f>'1 datos preparados'!U303</f>
        <v/>
      </c>
      <c r="C310">
        <f>'1 datos preparados'!B303</f>
        <v/>
      </c>
      <c r="D310" s="7">
        <f>'1 datos preparados'!C303</f>
        <v/>
      </c>
      <c r="E310" s="7">
        <f>'1 datos preparados'!D303</f>
        <v/>
      </c>
      <c r="F310" s="7">
        <f>'1 datos preparados'!E303</f>
        <v/>
      </c>
      <c r="G310" s="7">
        <f>'1 datos preparados'!F303</f>
        <v/>
      </c>
      <c r="H310" s="7">
        <f>'1 datos preparados'!G303</f>
        <v/>
      </c>
      <c r="I310" s="7">
        <f>'1 datos preparados'!H303</f>
        <v/>
      </c>
      <c r="J310" s="7">
        <f>'1 datos preparados'!I303</f>
        <v/>
      </c>
      <c r="K310" s="7">
        <f>'1 datos preparados'!J303</f>
        <v/>
      </c>
      <c r="L310" s="7">
        <f>'1 datos preparados'!K303</f>
        <v/>
      </c>
      <c r="M310" s="7">
        <f>'1 datos preparados'!L303</f>
        <v/>
      </c>
      <c r="N310" s="7">
        <f>'1 datos preparados'!M303</f>
        <v/>
      </c>
      <c r="O310" s="7">
        <f>'1 datos preparados'!N303</f>
        <v/>
      </c>
      <c r="P310" s="7">
        <f>'1 datos preparados'!O303</f>
        <v/>
      </c>
      <c r="Q310" s="7">
        <f>'1 datos preparados'!P303</f>
        <v/>
      </c>
      <c r="R310" s="7">
        <f>'1 datos preparados'!Q303</f>
        <v/>
      </c>
      <c r="S310" s="7">
        <f>'1 datos preparados'!R303</f>
        <v/>
      </c>
      <c r="T310" s="7">
        <f>'1 datos preparados'!S303</f>
        <v/>
      </c>
      <c r="U310" s="7">
        <f>'1 datos preparados'!T303</f>
        <v/>
      </c>
      <c r="V310" s="8">
        <f>$AE$12+D310*$AE$13+E310*$AE$14+F310*$AE$15+G310*$AE$16+H310*$AE$17+I310*$AE$18+J310*$AE$19+K310*$AE$20+L310*$AE$21+M310*$AE$22+N310*$AE$23+O310*$AE$24+P310*$AE$25+Q310*$AE$26+R310*$AE$27+S310*$AE$28+T310*$AE$29+U310*$AE$30</f>
        <v/>
      </c>
      <c r="W310" s="8">
        <f>1/(1+EXP(-V310))</f>
        <v/>
      </c>
      <c r="X310" s="9">
        <f>-IF(C310=1,LN(W310),LN(1-W310))</f>
        <v/>
      </c>
      <c r="Y310" s="8">
        <f>'1 datos preparados'!V303</f>
        <v/>
      </c>
      <c r="Z310" s="9">
        <f>Y310*X310</f>
        <v/>
      </c>
      <c r="AA310" s="10">
        <f>IF(W310&gt;$AE$33,1,0)</f>
        <v/>
      </c>
      <c r="AB310">
        <f>IF(AA310=C310,1,0)</f>
        <v/>
      </c>
    </row>
    <row r="311">
      <c r="A311">
        <f>'1 datos preparados'!A304</f>
        <v/>
      </c>
      <c r="B311" s="5">
        <f>'1 datos preparados'!U304</f>
        <v/>
      </c>
      <c r="C311">
        <f>'1 datos preparados'!B304</f>
        <v/>
      </c>
      <c r="D311" s="7">
        <f>'1 datos preparados'!C304</f>
        <v/>
      </c>
      <c r="E311" s="7">
        <f>'1 datos preparados'!D304</f>
        <v/>
      </c>
      <c r="F311" s="7">
        <f>'1 datos preparados'!E304</f>
        <v/>
      </c>
      <c r="G311" s="7">
        <f>'1 datos preparados'!F304</f>
        <v/>
      </c>
      <c r="H311" s="7">
        <f>'1 datos preparados'!G304</f>
        <v/>
      </c>
      <c r="I311" s="7">
        <f>'1 datos preparados'!H304</f>
        <v/>
      </c>
      <c r="J311" s="7">
        <f>'1 datos preparados'!I304</f>
        <v/>
      </c>
      <c r="K311" s="7">
        <f>'1 datos preparados'!J304</f>
        <v/>
      </c>
      <c r="L311" s="7">
        <f>'1 datos preparados'!K304</f>
        <v/>
      </c>
      <c r="M311" s="7">
        <f>'1 datos preparados'!L304</f>
        <v/>
      </c>
      <c r="N311" s="7">
        <f>'1 datos preparados'!M304</f>
        <v/>
      </c>
      <c r="O311" s="7">
        <f>'1 datos preparados'!N304</f>
        <v/>
      </c>
      <c r="P311" s="7">
        <f>'1 datos preparados'!O304</f>
        <v/>
      </c>
      <c r="Q311" s="7">
        <f>'1 datos preparados'!P304</f>
        <v/>
      </c>
      <c r="R311" s="7">
        <f>'1 datos preparados'!Q304</f>
        <v/>
      </c>
      <c r="S311" s="7">
        <f>'1 datos preparados'!R304</f>
        <v/>
      </c>
      <c r="T311" s="7">
        <f>'1 datos preparados'!S304</f>
        <v/>
      </c>
      <c r="U311" s="7">
        <f>'1 datos preparados'!T304</f>
        <v/>
      </c>
      <c r="V311" s="8">
        <f>$AE$12+D311*$AE$13+E311*$AE$14+F311*$AE$15+G311*$AE$16+H311*$AE$17+I311*$AE$18+J311*$AE$19+K311*$AE$20+L311*$AE$21+M311*$AE$22+N311*$AE$23+O311*$AE$24+P311*$AE$25+Q311*$AE$26+R311*$AE$27+S311*$AE$28+T311*$AE$29+U311*$AE$30</f>
        <v/>
      </c>
      <c r="W311" s="8">
        <f>1/(1+EXP(-V311))</f>
        <v/>
      </c>
      <c r="X311" s="9">
        <f>-IF(C311=1,LN(W311),LN(1-W311))</f>
        <v/>
      </c>
      <c r="Y311" s="8">
        <f>'1 datos preparados'!V304</f>
        <v/>
      </c>
      <c r="Z311" s="9">
        <f>Y311*X311</f>
        <v/>
      </c>
      <c r="AA311" s="10">
        <f>IF(W311&gt;$AE$33,1,0)</f>
        <v/>
      </c>
      <c r="AB311">
        <f>IF(AA311=C311,1,0)</f>
        <v/>
      </c>
    </row>
    <row r="312">
      <c r="A312">
        <f>'1 datos preparados'!A305</f>
        <v/>
      </c>
      <c r="B312" s="5">
        <f>'1 datos preparados'!U305</f>
        <v/>
      </c>
      <c r="C312">
        <f>'1 datos preparados'!B305</f>
        <v/>
      </c>
      <c r="D312" s="7">
        <f>'1 datos preparados'!C305</f>
        <v/>
      </c>
      <c r="E312" s="7">
        <f>'1 datos preparados'!D305</f>
        <v/>
      </c>
      <c r="F312" s="7">
        <f>'1 datos preparados'!E305</f>
        <v/>
      </c>
      <c r="G312" s="7">
        <f>'1 datos preparados'!F305</f>
        <v/>
      </c>
      <c r="H312" s="7">
        <f>'1 datos preparados'!G305</f>
        <v/>
      </c>
      <c r="I312" s="7">
        <f>'1 datos preparados'!H305</f>
        <v/>
      </c>
      <c r="J312" s="7">
        <f>'1 datos preparados'!I305</f>
        <v/>
      </c>
      <c r="K312" s="7">
        <f>'1 datos preparados'!J305</f>
        <v/>
      </c>
      <c r="L312" s="7">
        <f>'1 datos preparados'!K305</f>
        <v/>
      </c>
      <c r="M312" s="7">
        <f>'1 datos preparados'!L305</f>
        <v/>
      </c>
      <c r="N312" s="7">
        <f>'1 datos preparados'!M305</f>
        <v/>
      </c>
      <c r="O312" s="7">
        <f>'1 datos preparados'!N305</f>
        <v/>
      </c>
      <c r="P312" s="7">
        <f>'1 datos preparados'!O305</f>
        <v/>
      </c>
      <c r="Q312" s="7">
        <f>'1 datos preparados'!P305</f>
        <v/>
      </c>
      <c r="R312" s="7">
        <f>'1 datos preparados'!Q305</f>
        <v/>
      </c>
      <c r="S312" s="7">
        <f>'1 datos preparados'!R305</f>
        <v/>
      </c>
      <c r="T312" s="7">
        <f>'1 datos preparados'!S305</f>
        <v/>
      </c>
      <c r="U312" s="7">
        <f>'1 datos preparados'!T305</f>
        <v/>
      </c>
      <c r="V312" s="8">
        <f>$AE$12+D312*$AE$13+E312*$AE$14+F312*$AE$15+G312*$AE$16+H312*$AE$17+I312*$AE$18+J312*$AE$19+K312*$AE$20+L312*$AE$21+M312*$AE$22+N312*$AE$23+O312*$AE$24+P312*$AE$25+Q312*$AE$26+R312*$AE$27+S312*$AE$28+T312*$AE$29+U312*$AE$30</f>
        <v/>
      </c>
      <c r="W312" s="8">
        <f>1/(1+EXP(-V312))</f>
        <v/>
      </c>
      <c r="X312" s="9">
        <f>-IF(C312=1,LN(W312),LN(1-W312))</f>
        <v/>
      </c>
      <c r="Y312" s="8">
        <f>'1 datos preparados'!V305</f>
        <v/>
      </c>
      <c r="Z312" s="9">
        <f>Y312*X312</f>
        <v/>
      </c>
      <c r="AA312" s="10">
        <f>IF(W312&gt;$AE$33,1,0)</f>
        <v/>
      </c>
      <c r="AB312">
        <f>IF(AA312=C312,1,0)</f>
        <v/>
      </c>
    </row>
    <row r="313">
      <c r="A313">
        <f>'1 datos preparados'!A306</f>
        <v/>
      </c>
      <c r="B313" s="5">
        <f>'1 datos preparados'!U306</f>
        <v/>
      </c>
      <c r="C313">
        <f>'1 datos preparados'!B306</f>
        <v/>
      </c>
      <c r="D313" s="7">
        <f>'1 datos preparados'!C306</f>
        <v/>
      </c>
      <c r="E313" s="7">
        <f>'1 datos preparados'!D306</f>
        <v/>
      </c>
      <c r="F313" s="7">
        <f>'1 datos preparados'!E306</f>
        <v/>
      </c>
      <c r="G313" s="7">
        <f>'1 datos preparados'!F306</f>
        <v/>
      </c>
      <c r="H313" s="7">
        <f>'1 datos preparados'!G306</f>
        <v/>
      </c>
      <c r="I313" s="7">
        <f>'1 datos preparados'!H306</f>
        <v/>
      </c>
      <c r="J313" s="7">
        <f>'1 datos preparados'!I306</f>
        <v/>
      </c>
      <c r="K313" s="7">
        <f>'1 datos preparados'!J306</f>
        <v/>
      </c>
      <c r="L313" s="7">
        <f>'1 datos preparados'!K306</f>
        <v/>
      </c>
      <c r="M313" s="7">
        <f>'1 datos preparados'!L306</f>
        <v/>
      </c>
      <c r="N313" s="7">
        <f>'1 datos preparados'!M306</f>
        <v/>
      </c>
      <c r="O313" s="7">
        <f>'1 datos preparados'!N306</f>
        <v/>
      </c>
      <c r="P313" s="7">
        <f>'1 datos preparados'!O306</f>
        <v/>
      </c>
      <c r="Q313" s="7">
        <f>'1 datos preparados'!P306</f>
        <v/>
      </c>
      <c r="R313" s="7">
        <f>'1 datos preparados'!Q306</f>
        <v/>
      </c>
      <c r="S313" s="7">
        <f>'1 datos preparados'!R306</f>
        <v/>
      </c>
      <c r="T313" s="7">
        <f>'1 datos preparados'!S306</f>
        <v/>
      </c>
      <c r="U313" s="7">
        <f>'1 datos preparados'!T306</f>
        <v/>
      </c>
      <c r="V313" s="8">
        <f>$AE$12+D313*$AE$13+E313*$AE$14+F313*$AE$15+G313*$AE$16+H313*$AE$17+I313*$AE$18+J313*$AE$19+K313*$AE$20+L313*$AE$21+M313*$AE$22+N313*$AE$23+O313*$AE$24+P313*$AE$25+Q313*$AE$26+R313*$AE$27+S313*$AE$28+T313*$AE$29+U313*$AE$30</f>
        <v/>
      </c>
      <c r="W313" s="8">
        <f>1/(1+EXP(-V313))</f>
        <v/>
      </c>
      <c r="X313" s="9">
        <f>-IF(C313=1,LN(W313),LN(1-W313))</f>
        <v/>
      </c>
      <c r="Y313" s="8">
        <f>'1 datos preparados'!V306</f>
        <v/>
      </c>
      <c r="Z313" s="9">
        <f>Y313*X313</f>
        <v/>
      </c>
      <c r="AA313" s="10">
        <f>IF(W313&gt;$AE$33,1,0)</f>
        <v/>
      </c>
      <c r="AB313">
        <f>IF(AA313=C313,1,0)</f>
        <v/>
      </c>
    </row>
    <row r="314">
      <c r="A314">
        <f>'1 datos preparados'!A307</f>
        <v/>
      </c>
      <c r="B314" s="5">
        <f>'1 datos preparados'!U307</f>
        <v/>
      </c>
      <c r="C314">
        <f>'1 datos preparados'!B307</f>
        <v/>
      </c>
      <c r="D314" s="7">
        <f>'1 datos preparados'!C307</f>
        <v/>
      </c>
      <c r="E314" s="7">
        <f>'1 datos preparados'!D307</f>
        <v/>
      </c>
      <c r="F314" s="7">
        <f>'1 datos preparados'!E307</f>
        <v/>
      </c>
      <c r="G314" s="7">
        <f>'1 datos preparados'!F307</f>
        <v/>
      </c>
      <c r="H314" s="7">
        <f>'1 datos preparados'!G307</f>
        <v/>
      </c>
      <c r="I314" s="7">
        <f>'1 datos preparados'!H307</f>
        <v/>
      </c>
      <c r="J314" s="7">
        <f>'1 datos preparados'!I307</f>
        <v/>
      </c>
      <c r="K314" s="7">
        <f>'1 datos preparados'!J307</f>
        <v/>
      </c>
      <c r="L314" s="7">
        <f>'1 datos preparados'!K307</f>
        <v/>
      </c>
      <c r="M314" s="7">
        <f>'1 datos preparados'!L307</f>
        <v/>
      </c>
      <c r="N314" s="7">
        <f>'1 datos preparados'!M307</f>
        <v/>
      </c>
      <c r="O314" s="7">
        <f>'1 datos preparados'!N307</f>
        <v/>
      </c>
      <c r="P314" s="7">
        <f>'1 datos preparados'!O307</f>
        <v/>
      </c>
      <c r="Q314" s="7">
        <f>'1 datos preparados'!P307</f>
        <v/>
      </c>
      <c r="R314" s="7">
        <f>'1 datos preparados'!Q307</f>
        <v/>
      </c>
      <c r="S314" s="7">
        <f>'1 datos preparados'!R307</f>
        <v/>
      </c>
      <c r="T314" s="7">
        <f>'1 datos preparados'!S307</f>
        <v/>
      </c>
      <c r="U314" s="7">
        <f>'1 datos preparados'!T307</f>
        <v/>
      </c>
      <c r="V314" s="8">
        <f>$AE$12+D314*$AE$13+E314*$AE$14+F314*$AE$15+G314*$AE$16+H314*$AE$17+I314*$AE$18+J314*$AE$19+K314*$AE$20+L314*$AE$21+M314*$AE$22+N314*$AE$23+O314*$AE$24+P314*$AE$25+Q314*$AE$26+R314*$AE$27+S314*$AE$28+T314*$AE$29+U314*$AE$30</f>
        <v/>
      </c>
      <c r="W314" s="8">
        <f>1/(1+EXP(-V314))</f>
        <v/>
      </c>
      <c r="X314" s="9">
        <f>-IF(C314=1,LN(W314),LN(1-W314))</f>
        <v/>
      </c>
      <c r="Y314" s="8">
        <f>'1 datos preparados'!V307</f>
        <v/>
      </c>
      <c r="Z314" s="9">
        <f>Y314*X314</f>
        <v/>
      </c>
      <c r="AA314" s="10">
        <f>IF(W314&gt;$AE$33,1,0)</f>
        <v/>
      </c>
      <c r="AB314">
        <f>IF(AA314=C314,1,0)</f>
        <v/>
      </c>
    </row>
    <row r="315">
      <c r="A315">
        <f>'1 datos preparados'!A308</f>
        <v/>
      </c>
      <c r="B315" s="5">
        <f>'1 datos preparados'!U308</f>
        <v/>
      </c>
      <c r="C315">
        <f>'1 datos preparados'!B308</f>
        <v/>
      </c>
      <c r="D315" s="7">
        <f>'1 datos preparados'!C308</f>
        <v/>
      </c>
      <c r="E315" s="7">
        <f>'1 datos preparados'!D308</f>
        <v/>
      </c>
      <c r="F315" s="7">
        <f>'1 datos preparados'!E308</f>
        <v/>
      </c>
      <c r="G315" s="7">
        <f>'1 datos preparados'!F308</f>
        <v/>
      </c>
      <c r="H315" s="7">
        <f>'1 datos preparados'!G308</f>
        <v/>
      </c>
      <c r="I315" s="7">
        <f>'1 datos preparados'!H308</f>
        <v/>
      </c>
      <c r="J315" s="7">
        <f>'1 datos preparados'!I308</f>
        <v/>
      </c>
      <c r="K315" s="7">
        <f>'1 datos preparados'!J308</f>
        <v/>
      </c>
      <c r="L315" s="7">
        <f>'1 datos preparados'!K308</f>
        <v/>
      </c>
      <c r="M315" s="7">
        <f>'1 datos preparados'!L308</f>
        <v/>
      </c>
      <c r="N315" s="7">
        <f>'1 datos preparados'!M308</f>
        <v/>
      </c>
      <c r="O315" s="7">
        <f>'1 datos preparados'!N308</f>
        <v/>
      </c>
      <c r="P315" s="7">
        <f>'1 datos preparados'!O308</f>
        <v/>
      </c>
      <c r="Q315" s="7">
        <f>'1 datos preparados'!P308</f>
        <v/>
      </c>
      <c r="R315" s="7">
        <f>'1 datos preparados'!Q308</f>
        <v/>
      </c>
      <c r="S315" s="7">
        <f>'1 datos preparados'!R308</f>
        <v/>
      </c>
      <c r="T315" s="7">
        <f>'1 datos preparados'!S308</f>
        <v/>
      </c>
      <c r="U315" s="7">
        <f>'1 datos preparados'!T308</f>
        <v/>
      </c>
      <c r="V315" s="8">
        <f>$AE$12+D315*$AE$13+E315*$AE$14+F315*$AE$15+G315*$AE$16+H315*$AE$17+I315*$AE$18+J315*$AE$19+K315*$AE$20+L315*$AE$21+M315*$AE$22+N315*$AE$23+O315*$AE$24+P315*$AE$25+Q315*$AE$26+R315*$AE$27+S315*$AE$28+T315*$AE$29+U315*$AE$30</f>
        <v/>
      </c>
      <c r="W315" s="8">
        <f>1/(1+EXP(-V315))</f>
        <v/>
      </c>
      <c r="X315" s="9">
        <f>-IF(C315=1,LN(W315),LN(1-W315))</f>
        <v/>
      </c>
      <c r="Y315" s="8">
        <f>'1 datos preparados'!V308</f>
        <v/>
      </c>
      <c r="Z315" s="9">
        <f>Y315*X315</f>
        <v/>
      </c>
      <c r="AA315" s="10">
        <f>IF(W315&gt;$AE$33,1,0)</f>
        <v/>
      </c>
      <c r="AB315">
        <f>IF(AA315=C315,1,0)</f>
        <v/>
      </c>
    </row>
    <row r="316">
      <c r="A316">
        <f>'1 datos preparados'!A309</f>
        <v/>
      </c>
      <c r="B316" s="5">
        <f>'1 datos preparados'!U309</f>
        <v/>
      </c>
      <c r="C316">
        <f>'1 datos preparados'!B309</f>
        <v/>
      </c>
      <c r="D316" s="7">
        <f>'1 datos preparados'!C309</f>
        <v/>
      </c>
      <c r="E316" s="7">
        <f>'1 datos preparados'!D309</f>
        <v/>
      </c>
      <c r="F316" s="7">
        <f>'1 datos preparados'!E309</f>
        <v/>
      </c>
      <c r="G316" s="7">
        <f>'1 datos preparados'!F309</f>
        <v/>
      </c>
      <c r="H316" s="7">
        <f>'1 datos preparados'!G309</f>
        <v/>
      </c>
      <c r="I316" s="7">
        <f>'1 datos preparados'!H309</f>
        <v/>
      </c>
      <c r="J316" s="7">
        <f>'1 datos preparados'!I309</f>
        <v/>
      </c>
      <c r="K316" s="7">
        <f>'1 datos preparados'!J309</f>
        <v/>
      </c>
      <c r="L316" s="7">
        <f>'1 datos preparados'!K309</f>
        <v/>
      </c>
      <c r="M316" s="7">
        <f>'1 datos preparados'!L309</f>
        <v/>
      </c>
      <c r="N316" s="7">
        <f>'1 datos preparados'!M309</f>
        <v/>
      </c>
      <c r="O316" s="7">
        <f>'1 datos preparados'!N309</f>
        <v/>
      </c>
      <c r="P316" s="7">
        <f>'1 datos preparados'!O309</f>
        <v/>
      </c>
      <c r="Q316" s="7">
        <f>'1 datos preparados'!P309</f>
        <v/>
      </c>
      <c r="R316" s="7">
        <f>'1 datos preparados'!Q309</f>
        <v/>
      </c>
      <c r="S316" s="7">
        <f>'1 datos preparados'!R309</f>
        <v/>
      </c>
      <c r="T316" s="7">
        <f>'1 datos preparados'!S309</f>
        <v/>
      </c>
      <c r="U316" s="7">
        <f>'1 datos preparados'!T309</f>
        <v/>
      </c>
      <c r="V316" s="8">
        <f>$AE$12+D316*$AE$13+E316*$AE$14+F316*$AE$15+G316*$AE$16+H316*$AE$17+I316*$AE$18+J316*$AE$19+K316*$AE$20+L316*$AE$21+M316*$AE$22+N316*$AE$23+O316*$AE$24+P316*$AE$25+Q316*$AE$26+R316*$AE$27+S316*$AE$28+T316*$AE$29+U316*$AE$30</f>
        <v/>
      </c>
      <c r="W316" s="8">
        <f>1/(1+EXP(-V316))</f>
        <v/>
      </c>
      <c r="X316" s="9">
        <f>-IF(C316=1,LN(W316),LN(1-W316))</f>
        <v/>
      </c>
      <c r="Y316" s="8">
        <f>'1 datos preparados'!V309</f>
        <v/>
      </c>
      <c r="Z316" s="9">
        <f>Y316*X316</f>
        <v/>
      </c>
      <c r="AA316" s="10">
        <f>IF(W316&gt;$AE$33,1,0)</f>
        <v/>
      </c>
      <c r="AB316">
        <f>IF(AA316=C316,1,0)</f>
        <v/>
      </c>
    </row>
    <row r="317">
      <c r="A317">
        <f>'1 datos preparados'!A310</f>
        <v/>
      </c>
      <c r="B317" s="5">
        <f>'1 datos preparados'!U310</f>
        <v/>
      </c>
      <c r="C317">
        <f>'1 datos preparados'!B310</f>
        <v/>
      </c>
      <c r="D317" s="7">
        <f>'1 datos preparados'!C310</f>
        <v/>
      </c>
      <c r="E317" s="7">
        <f>'1 datos preparados'!D310</f>
        <v/>
      </c>
      <c r="F317" s="7">
        <f>'1 datos preparados'!E310</f>
        <v/>
      </c>
      <c r="G317" s="7">
        <f>'1 datos preparados'!F310</f>
        <v/>
      </c>
      <c r="H317" s="7">
        <f>'1 datos preparados'!G310</f>
        <v/>
      </c>
      <c r="I317" s="7">
        <f>'1 datos preparados'!H310</f>
        <v/>
      </c>
      <c r="J317" s="7">
        <f>'1 datos preparados'!I310</f>
        <v/>
      </c>
      <c r="K317" s="7">
        <f>'1 datos preparados'!J310</f>
        <v/>
      </c>
      <c r="L317" s="7">
        <f>'1 datos preparados'!K310</f>
        <v/>
      </c>
      <c r="M317" s="7">
        <f>'1 datos preparados'!L310</f>
        <v/>
      </c>
      <c r="N317" s="7">
        <f>'1 datos preparados'!M310</f>
        <v/>
      </c>
      <c r="O317" s="7">
        <f>'1 datos preparados'!N310</f>
        <v/>
      </c>
      <c r="P317" s="7">
        <f>'1 datos preparados'!O310</f>
        <v/>
      </c>
      <c r="Q317" s="7">
        <f>'1 datos preparados'!P310</f>
        <v/>
      </c>
      <c r="R317" s="7">
        <f>'1 datos preparados'!Q310</f>
        <v/>
      </c>
      <c r="S317" s="7">
        <f>'1 datos preparados'!R310</f>
        <v/>
      </c>
      <c r="T317" s="7">
        <f>'1 datos preparados'!S310</f>
        <v/>
      </c>
      <c r="U317" s="7">
        <f>'1 datos preparados'!T310</f>
        <v/>
      </c>
      <c r="V317" s="8">
        <f>$AE$12+D317*$AE$13+E317*$AE$14+F317*$AE$15+G317*$AE$16+H317*$AE$17+I317*$AE$18+J317*$AE$19+K317*$AE$20+L317*$AE$21+M317*$AE$22+N317*$AE$23+O317*$AE$24+P317*$AE$25+Q317*$AE$26+R317*$AE$27+S317*$AE$28+T317*$AE$29+U317*$AE$30</f>
        <v/>
      </c>
      <c r="W317" s="8">
        <f>1/(1+EXP(-V317))</f>
        <v/>
      </c>
      <c r="X317" s="9">
        <f>-IF(C317=1,LN(W317),LN(1-W317))</f>
        <v/>
      </c>
      <c r="Y317" s="8">
        <f>'1 datos preparados'!V310</f>
        <v/>
      </c>
      <c r="Z317" s="9">
        <f>Y317*X317</f>
        <v/>
      </c>
      <c r="AA317" s="10">
        <f>IF(W317&gt;$AE$33,1,0)</f>
        <v/>
      </c>
      <c r="AB317">
        <f>IF(AA317=C317,1,0)</f>
        <v/>
      </c>
    </row>
    <row r="318">
      <c r="A318">
        <f>'1 datos preparados'!A311</f>
        <v/>
      </c>
      <c r="B318" s="5">
        <f>'1 datos preparados'!U311</f>
        <v/>
      </c>
      <c r="C318">
        <f>'1 datos preparados'!B311</f>
        <v/>
      </c>
      <c r="D318" s="7">
        <f>'1 datos preparados'!C311</f>
        <v/>
      </c>
      <c r="E318" s="7">
        <f>'1 datos preparados'!D311</f>
        <v/>
      </c>
      <c r="F318" s="7">
        <f>'1 datos preparados'!E311</f>
        <v/>
      </c>
      <c r="G318" s="7">
        <f>'1 datos preparados'!F311</f>
        <v/>
      </c>
      <c r="H318" s="7">
        <f>'1 datos preparados'!G311</f>
        <v/>
      </c>
      <c r="I318" s="7">
        <f>'1 datos preparados'!H311</f>
        <v/>
      </c>
      <c r="J318" s="7">
        <f>'1 datos preparados'!I311</f>
        <v/>
      </c>
      <c r="K318" s="7">
        <f>'1 datos preparados'!J311</f>
        <v/>
      </c>
      <c r="L318" s="7">
        <f>'1 datos preparados'!K311</f>
        <v/>
      </c>
      <c r="M318" s="7">
        <f>'1 datos preparados'!L311</f>
        <v/>
      </c>
      <c r="N318" s="7">
        <f>'1 datos preparados'!M311</f>
        <v/>
      </c>
      <c r="O318" s="7">
        <f>'1 datos preparados'!N311</f>
        <v/>
      </c>
      <c r="P318" s="7">
        <f>'1 datos preparados'!O311</f>
        <v/>
      </c>
      <c r="Q318" s="7">
        <f>'1 datos preparados'!P311</f>
        <v/>
      </c>
      <c r="R318" s="7">
        <f>'1 datos preparados'!Q311</f>
        <v/>
      </c>
      <c r="S318" s="7">
        <f>'1 datos preparados'!R311</f>
        <v/>
      </c>
      <c r="T318" s="7">
        <f>'1 datos preparados'!S311</f>
        <v/>
      </c>
      <c r="U318" s="7">
        <f>'1 datos preparados'!T311</f>
        <v/>
      </c>
      <c r="V318" s="8">
        <f>$AE$12+D318*$AE$13+E318*$AE$14+F318*$AE$15+G318*$AE$16+H318*$AE$17+I318*$AE$18+J318*$AE$19+K318*$AE$20+L318*$AE$21+M318*$AE$22+N318*$AE$23+O318*$AE$24+P318*$AE$25+Q318*$AE$26+R318*$AE$27+S318*$AE$28+T318*$AE$29+U318*$AE$30</f>
        <v/>
      </c>
      <c r="W318" s="8">
        <f>1/(1+EXP(-V318))</f>
        <v/>
      </c>
      <c r="X318" s="9">
        <f>-IF(C318=1,LN(W318),LN(1-W318))</f>
        <v/>
      </c>
      <c r="Y318" s="8">
        <f>'1 datos preparados'!V311</f>
        <v/>
      </c>
      <c r="Z318" s="9">
        <f>Y318*X318</f>
        <v/>
      </c>
      <c r="AA318" s="10">
        <f>IF(W318&gt;$AE$33,1,0)</f>
        <v/>
      </c>
      <c r="AB318">
        <f>IF(AA318=C318,1,0)</f>
        <v/>
      </c>
    </row>
    <row r="319">
      <c r="A319">
        <f>'1 datos preparados'!A312</f>
        <v/>
      </c>
      <c r="B319" s="5">
        <f>'1 datos preparados'!U312</f>
        <v/>
      </c>
      <c r="C319">
        <f>'1 datos preparados'!B312</f>
        <v/>
      </c>
      <c r="D319" s="7">
        <f>'1 datos preparados'!C312</f>
        <v/>
      </c>
      <c r="E319" s="7">
        <f>'1 datos preparados'!D312</f>
        <v/>
      </c>
      <c r="F319" s="7">
        <f>'1 datos preparados'!E312</f>
        <v/>
      </c>
      <c r="G319" s="7">
        <f>'1 datos preparados'!F312</f>
        <v/>
      </c>
      <c r="H319" s="7">
        <f>'1 datos preparados'!G312</f>
        <v/>
      </c>
      <c r="I319" s="7">
        <f>'1 datos preparados'!H312</f>
        <v/>
      </c>
      <c r="J319" s="7">
        <f>'1 datos preparados'!I312</f>
        <v/>
      </c>
      <c r="K319" s="7">
        <f>'1 datos preparados'!J312</f>
        <v/>
      </c>
      <c r="L319" s="7">
        <f>'1 datos preparados'!K312</f>
        <v/>
      </c>
      <c r="M319" s="7">
        <f>'1 datos preparados'!L312</f>
        <v/>
      </c>
      <c r="N319" s="7">
        <f>'1 datos preparados'!M312</f>
        <v/>
      </c>
      <c r="O319" s="7">
        <f>'1 datos preparados'!N312</f>
        <v/>
      </c>
      <c r="P319" s="7">
        <f>'1 datos preparados'!O312</f>
        <v/>
      </c>
      <c r="Q319" s="7">
        <f>'1 datos preparados'!P312</f>
        <v/>
      </c>
      <c r="R319" s="7">
        <f>'1 datos preparados'!Q312</f>
        <v/>
      </c>
      <c r="S319" s="7">
        <f>'1 datos preparados'!R312</f>
        <v/>
      </c>
      <c r="T319" s="7">
        <f>'1 datos preparados'!S312</f>
        <v/>
      </c>
      <c r="U319" s="7">
        <f>'1 datos preparados'!T312</f>
        <v/>
      </c>
      <c r="V319" s="8">
        <f>$AE$12+D319*$AE$13+E319*$AE$14+F319*$AE$15+G319*$AE$16+H319*$AE$17+I319*$AE$18+J319*$AE$19+K319*$AE$20+L319*$AE$21+M319*$AE$22+N319*$AE$23+O319*$AE$24+P319*$AE$25+Q319*$AE$26+R319*$AE$27+S319*$AE$28+T319*$AE$29+U319*$AE$30</f>
        <v/>
      </c>
      <c r="W319" s="8">
        <f>1/(1+EXP(-V319))</f>
        <v/>
      </c>
      <c r="X319" s="9">
        <f>-IF(C319=1,LN(W319),LN(1-W319))</f>
        <v/>
      </c>
      <c r="Y319" s="8">
        <f>'1 datos preparados'!V312</f>
        <v/>
      </c>
      <c r="Z319" s="9">
        <f>Y319*X319</f>
        <v/>
      </c>
      <c r="AA319" s="10">
        <f>IF(W319&gt;$AE$33,1,0)</f>
        <v/>
      </c>
      <c r="AB319">
        <f>IF(AA319=C319,1,0)</f>
        <v/>
      </c>
    </row>
    <row r="320">
      <c r="A320">
        <f>'1 datos preparados'!A313</f>
        <v/>
      </c>
      <c r="B320" s="5">
        <f>'1 datos preparados'!U313</f>
        <v/>
      </c>
      <c r="C320">
        <f>'1 datos preparados'!B313</f>
        <v/>
      </c>
      <c r="D320" s="7">
        <f>'1 datos preparados'!C313</f>
        <v/>
      </c>
      <c r="E320" s="7">
        <f>'1 datos preparados'!D313</f>
        <v/>
      </c>
      <c r="F320" s="7">
        <f>'1 datos preparados'!E313</f>
        <v/>
      </c>
      <c r="G320" s="7">
        <f>'1 datos preparados'!F313</f>
        <v/>
      </c>
      <c r="H320" s="7">
        <f>'1 datos preparados'!G313</f>
        <v/>
      </c>
      <c r="I320" s="7">
        <f>'1 datos preparados'!H313</f>
        <v/>
      </c>
      <c r="J320" s="7">
        <f>'1 datos preparados'!I313</f>
        <v/>
      </c>
      <c r="K320" s="7">
        <f>'1 datos preparados'!J313</f>
        <v/>
      </c>
      <c r="L320" s="7">
        <f>'1 datos preparados'!K313</f>
        <v/>
      </c>
      <c r="M320" s="7">
        <f>'1 datos preparados'!L313</f>
        <v/>
      </c>
      <c r="N320" s="7">
        <f>'1 datos preparados'!M313</f>
        <v/>
      </c>
      <c r="O320" s="7">
        <f>'1 datos preparados'!N313</f>
        <v/>
      </c>
      <c r="P320" s="7">
        <f>'1 datos preparados'!O313</f>
        <v/>
      </c>
      <c r="Q320" s="7">
        <f>'1 datos preparados'!P313</f>
        <v/>
      </c>
      <c r="R320" s="7">
        <f>'1 datos preparados'!Q313</f>
        <v/>
      </c>
      <c r="S320" s="7">
        <f>'1 datos preparados'!R313</f>
        <v/>
      </c>
      <c r="T320" s="7">
        <f>'1 datos preparados'!S313</f>
        <v/>
      </c>
      <c r="U320" s="7">
        <f>'1 datos preparados'!T313</f>
        <v/>
      </c>
      <c r="V320" s="8">
        <f>$AE$12+D320*$AE$13+E320*$AE$14+F320*$AE$15+G320*$AE$16+H320*$AE$17+I320*$AE$18+J320*$AE$19+K320*$AE$20+L320*$AE$21+M320*$AE$22+N320*$AE$23+O320*$AE$24+P320*$AE$25+Q320*$AE$26+R320*$AE$27+S320*$AE$28+T320*$AE$29+U320*$AE$30</f>
        <v/>
      </c>
      <c r="W320" s="8">
        <f>1/(1+EXP(-V320))</f>
        <v/>
      </c>
      <c r="X320" s="9">
        <f>-IF(C320=1,LN(W320),LN(1-W320))</f>
        <v/>
      </c>
      <c r="Y320" s="8">
        <f>'1 datos preparados'!V313</f>
        <v/>
      </c>
      <c r="Z320" s="9">
        <f>Y320*X320</f>
        <v/>
      </c>
      <c r="AA320" s="10">
        <f>IF(W320&gt;$AE$33,1,0)</f>
        <v/>
      </c>
      <c r="AB320">
        <f>IF(AA320=C320,1,0)</f>
        <v/>
      </c>
    </row>
    <row r="321">
      <c r="A321">
        <f>'1 datos preparados'!A314</f>
        <v/>
      </c>
      <c r="B321" s="5">
        <f>'1 datos preparados'!U314</f>
        <v/>
      </c>
      <c r="C321">
        <f>'1 datos preparados'!B314</f>
        <v/>
      </c>
      <c r="D321" s="7">
        <f>'1 datos preparados'!C314</f>
        <v/>
      </c>
      <c r="E321" s="7">
        <f>'1 datos preparados'!D314</f>
        <v/>
      </c>
      <c r="F321" s="7">
        <f>'1 datos preparados'!E314</f>
        <v/>
      </c>
      <c r="G321" s="7">
        <f>'1 datos preparados'!F314</f>
        <v/>
      </c>
      <c r="H321" s="7">
        <f>'1 datos preparados'!G314</f>
        <v/>
      </c>
      <c r="I321" s="7">
        <f>'1 datos preparados'!H314</f>
        <v/>
      </c>
      <c r="J321" s="7">
        <f>'1 datos preparados'!I314</f>
        <v/>
      </c>
      <c r="K321" s="7">
        <f>'1 datos preparados'!J314</f>
        <v/>
      </c>
      <c r="L321" s="7">
        <f>'1 datos preparados'!K314</f>
        <v/>
      </c>
      <c r="M321" s="7">
        <f>'1 datos preparados'!L314</f>
        <v/>
      </c>
      <c r="N321" s="7">
        <f>'1 datos preparados'!M314</f>
        <v/>
      </c>
      <c r="O321" s="7">
        <f>'1 datos preparados'!N314</f>
        <v/>
      </c>
      <c r="P321" s="7">
        <f>'1 datos preparados'!O314</f>
        <v/>
      </c>
      <c r="Q321" s="7">
        <f>'1 datos preparados'!P314</f>
        <v/>
      </c>
      <c r="R321" s="7">
        <f>'1 datos preparados'!Q314</f>
        <v/>
      </c>
      <c r="S321" s="7">
        <f>'1 datos preparados'!R314</f>
        <v/>
      </c>
      <c r="T321" s="7">
        <f>'1 datos preparados'!S314</f>
        <v/>
      </c>
      <c r="U321" s="7">
        <f>'1 datos preparados'!T314</f>
        <v/>
      </c>
      <c r="V321" s="8">
        <f>$AE$12+D321*$AE$13+E321*$AE$14+F321*$AE$15+G321*$AE$16+H321*$AE$17+I321*$AE$18+J321*$AE$19+K321*$AE$20+L321*$AE$21+M321*$AE$22+N321*$AE$23+O321*$AE$24+P321*$AE$25+Q321*$AE$26+R321*$AE$27+S321*$AE$28+T321*$AE$29+U321*$AE$30</f>
        <v/>
      </c>
      <c r="W321" s="8">
        <f>1/(1+EXP(-V321))</f>
        <v/>
      </c>
      <c r="X321" s="9">
        <f>-IF(C321=1,LN(W321),LN(1-W321))</f>
        <v/>
      </c>
      <c r="Y321" s="8">
        <f>'1 datos preparados'!V314</f>
        <v/>
      </c>
      <c r="Z321" s="9">
        <f>Y321*X321</f>
        <v/>
      </c>
      <c r="AA321" s="10">
        <f>IF(W321&gt;$AE$33,1,0)</f>
        <v/>
      </c>
      <c r="AB321">
        <f>IF(AA321=C321,1,0)</f>
        <v/>
      </c>
    </row>
    <row r="322">
      <c r="A322">
        <f>'1 datos preparados'!A315</f>
        <v/>
      </c>
      <c r="B322" s="5">
        <f>'1 datos preparados'!U315</f>
        <v/>
      </c>
      <c r="C322">
        <f>'1 datos preparados'!B315</f>
        <v/>
      </c>
      <c r="D322" s="7">
        <f>'1 datos preparados'!C315</f>
        <v/>
      </c>
      <c r="E322" s="7">
        <f>'1 datos preparados'!D315</f>
        <v/>
      </c>
      <c r="F322" s="7">
        <f>'1 datos preparados'!E315</f>
        <v/>
      </c>
      <c r="G322" s="7">
        <f>'1 datos preparados'!F315</f>
        <v/>
      </c>
      <c r="H322" s="7">
        <f>'1 datos preparados'!G315</f>
        <v/>
      </c>
      <c r="I322" s="7">
        <f>'1 datos preparados'!H315</f>
        <v/>
      </c>
      <c r="J322" s="7">
        <f>'1 datos preparados'!I315</f>
        <v/>
      </c>
      <c r="K322" s="7">
        <f>'1 datos preparados'!J315</f>
        <v/>
      </c>
      <c r="L322" s="7">
        <f>'1 datos preparados'!K315</f>
        <v/>
      </c>
      <c r="M322" s="7">
        <f>'1 datos preparados'!L315</f>
        <v/>
      </c>
      <c r="N322" s="7">
        <f>'1 datos preparados'!M315</f>
        <v/>
      </c>
      <c r="O322" s="7">
        <f>'1 datos preparados'!N315</f>
        <v/>
      </c>
      <c r="P322" s="7">
        <f>'1 datos preparados'!O315</f>
        <v/>
      </c>
      <c r="Q322" s="7">
        <f>'1 datos preparados'!P315</f>
        <v/>
      </c>
      <c r="R322" s="7">
        <f>'1 datos preparados'!Q315</f>
        <v/>
      </c>
      <c r="S322" s="7">
        <f>'1 datos preparados'!R315</f>
        <v/>
      </c>
      <c r="T322" s="7">
        <f>'1 datos preparados'!S315</f>
        <v/>
      </c>
      <c r="U322" s="7">
        <f>'1 datos preparados'!T315</f>
        <v/>
      </c>
      <c r="V322" s="8">
        <f>$AE$12+D322*$AE$13+E322*$AE$14+F322*$AE$15+G322*$AE$16+H322*$AE$17+I322*$AE$18+J322*$AE$19+K322*$AE$20+L322*$AE$21+M322*$AE$22+N322*$AE$23+O322*$AE$24+P322*$AE$25+Q322*$AE$26+R322*$AE$27+S322*$AE$28+T322*$AE$29+U322*$AE$30</f>
        <v/>
      </c>
      <c r="W322" s="8">
        <f>1/(1+EXP(-V322))</f>
        <v/>
      </c>
      <c r="X322" s="9">
        <f>-IF(C322=1,LN(W322),LN(1-W322))</f>
        <v/>
      </c>
      <c r="Y322" s="8">
        <f>'1 datos preparados'!V315</f>
        <v/>
      </c>
      <c r="Z322" s="9">
        <f>Y322*X322</f>
        <v/>
      </c>
      <c r="AA322" s="10">
        <f>IF(W322&gt;$AE$33,1,0)</f>
        <v/>
      </c>
      <c r="AB322">
        <f>IF(AA322=C322,1,0)</f>
        <v/>
      </c>
    </row>
    <row r="323">
      <c r="A323">
        <f>'1 datos preparados'!A316</f>
        <v/>
      </c>
      <c r="B323" s="5">
        <f>'1 datos preparados'!U316</f>
        <v/>
      </c>
      <c r="C323">
        <f>'1 datos preparados'!B316</f>
        <v/>
      </c>
      <c r="D323" s="7">
        <f>'1 datos preparados'!C316</f>
        <v/>
      </c>
      <c r="E323" s="7">
        <f>'1 datos preparados'!D316</f>
        <v/>
      </c>
      <c r="F323" s="7">
        <f>'1 datos preparados'!E316</f>
        <v/>
      </c>
      <c r="G323" s="7">
        <f>'1 datos preparados'!F316</f>
        <v/>
      </c>
      <c r="H323" s="7">
        <f>'1 datos preparados'!G316</f>
        <v/>
      </c>
      <c r="I323" s="7">
        <f>'1 datos preparados'!H316</f>
        <v/>
      </c>
      <c r="J323" s="7">
        <f>'1 datos preparados'!I316</f>
        <v/>
      </c>
      <c r="K323" s="7">
        <f>'1 datos preparados'!J316</f>
        <v/>
      </c>
      <c r="L323" s="7">
        <f>'1 datos preparados'!K316</f>
        <v/>
      </c>
      <c r="M323" s="7">
        <f>'1 datos preparados'!L316</f>
        <v/>
      </c>
      <c r="N323" s="7">
        <f>'1 datos preparados'!M316</f>
        <v/>
      </c>
      <c r="O323" s="7">
        <f>'1 datos preparados'!N316</f>
        <v/>
      </c>
      <c r="P323" s="7">
        <f>'1 datos preparados'!O316</f>
        <v/>
      </c>
      <c r="Q323" s="7">
        <f>'1 datos preparados'!P316</f>
        <v/>
      </c>
      <c r="R323" s="7">
        <f>'1 datos preparados'!Q316</f>
        <v/>
      </c>
      <c r="S323" s="7">
        <f>'1 datos preparados'!R316</f>
        <v/>
      </c>
      <c r="T323" s="7">
        <f>'1 datos preparados'!S316</f>
        <v/>
      </c>
      <c r="U323" s="7">
        <f>'1 datos preparados'!T316</f>
        <v/>
      </c>
      <c r="V323" s="8">
        <f>$AE$12+D323*$AE$13+E323*$AE$14+F323*$AE$15+G323*$AE$16+H323*$AE$17+I323*$AE$18+J323*$AE$19+K323*$AE$20+L323*$AE$21+M323*$AE$22+N323*$AE$23+O323*$AE$24+P323*$AE$25+Q323*$AE$26+R323*$AE$27+S323*$AE$28+T323*$AE$29+U323*$AE$30</f>
        <v/>
      </c>
      <c r="W323" s="8">
        <f>1/(1+EXP(-V323))</f>
        <v/>
      </c>
      <c r="X323" s="9">
        <f>-IF(C323=1,LN(W323),LN(1-W323))</f>
        <v/>
      </c>
      <c r="Y323" s="8">
        <f>'1 datos preparados'!V316</f>
        <v/>
      </c>
      <c r="Z323" s="9">
        <f>Y323*X323</f>
        <v/>
      </c>
      <c r="AA323" s="10">
        <f>IF(W323&gt;$AE$33,1,0)</f>
        <v/>
      </c>
      <c r="AB323">
        <f>IF(AA323=C323,1,0)</f>
        <v/>
      </c>
    </row>
    <row r="324">
      <c r="A324">
        <f>'1 datos preparados'!A317</f>
        <v/>
      </c>
      <c r="B324" s="5">
        <f>'1 datos preparados'!U317</f>
        <v/>
      </c>
      <c r="C324">
        <f>'1 datos preparados'!B317</f>
        <v/>
      </c>
      <c r="D324" s="7">
        <f>'1 datos preparados'!C317</f>
        <v/>
      </c>
      <c r="E324" s="7">
        <f>'1 datos preparados'!D317</f>
        <v/>
      </c>
      <c r="F324" s="7">
        <f>'1 datos preparados'!E317</f>
        <v/>
      </c>
      <c r="G324" s="7">
        <f>'1 datos preparados'!F317</f>
        <v/>
      </c>
      <c r="H324" s="7">
        <f>'1 datos preparados'!G317</f>
        <v/>
      </c>
      <c r="I324" s="7">
        <f>'1 datos preparados'!H317</f>
        <v/>
      </c>
      <c r="J324" s="7">
        <f>'1 datos preparados'!I317</f>
        <v/>
      </c>
      <c r="K324" s="7">
        <f>'1 datos preparados'!J317</f>
        <v/>
      </c>
      <c r="L324" s="7">
        <f>'1 datos preparados'!K317</f>
        <v/>
      </c>
      <c r="M324" s="7">
        <f>'1 datos preparados'!L317</f>
        <v/>
      </c>
      <c r="N324" s="7">
        <f>'1 datos preparados'!M317</f>
        <v/>
      </c>
      <c r="O324" s="7">
        <f>'1 datos preparados'!N317</f>
        <v/>
      </c>
      <c r="P324" s="7">
        <f>'1 datos preparados'!O317</f>
        <v/>
      </c>
      <c r="Q324" s="7">
        <f>'1 datos preparados'!P317</f>
        <v/>
      </c>
      <c r="R324" s="7">
        <f>'1 datos preparados'!Q317</f>
        <v/>
      </c>
      <c r="S324" s="7">
        <f>'1 datos preparados'!R317</f>
        <v/>
      </c>
      <c r="T324" s="7">
        <f>'1 datos preparados'!S317</f>
        <v/>
      </c>
      <c r="U324" s="7">
        <f>'1 datos preparados'!T317</f>
        <v/>
      </c>
      <c r="V324" s="8">
        <f>$AE$12+D324*$AE$13+E324*$AE$14+F324*$AE$15+G324*$AE$16+H324*$AE$17+I324*$AE$18+J324*$AE$19+K324*$AE$20+L324*$AE$21+M324*$AE$22+N324*$AE$23+O324*$AE$24+P324*$AE$25+Q324*$AE$26+R324*$AE$27+S324*$AE$28+T324*$AE$29+U324*$AE$30</f>
        <v/>
      </c>
      <c r="W324" s="8">
        <f>1/(1+EXP(-V324))</f>
        <v/>
      </c>
      <c r="X324" s="9">
        <f>-IF(C324=1,LN(W324),LN(1-W324))</f>
        <v/>
      </c>
      <c r="Y324" s="8">
        <f>'1 datos preparados'!V317</f>
        <v/>
      </c>
      <c r="Z324" s="9">
        <f>Y324*X324</f>
        <v/>
      </c>
      <c r="AA324" s="10">
        <f>IF(W324&gt;$AE$33,1,0)</f>
        <v/>
      </c>
      <c r="AB324">
        <f>IF(AA324=C324,1,0)</f>
        <v/>
      </c>
    </row>
    <row r="325">
      <c r="A325">
        <f>'1 datos preparados'!A318</f>
        <v/>
      </c>
      <c r="B325" s="5">
        <f>'1 datos preparados'!U318</f>
        <v/>
      </c>
      <c r="C325">
        <f>'1 datos preparados'!B318</f>
        <v/>
      </c>
      <c r="D325" s="7">
        <f>'1 datos preparados'!C318</f>
        <v/>
      </c>
      <c r="E325" s="7">
        <f>'1 datos preparados'!D318</f>
        <v/>
      </c>
      <c r="F325" s="7">
        <f>'1 datos preparados'!E318</f>
        <v/>
      </c>
      <c r="G325" s="7">
        <f>'1 datos preparados'!F318</f>
        <v/>
      </c>
      <c r="H325" s="7">
        <f>'1 datos preparados'!G318</f>
        <v/>
      </c>
      <c r="I325" s="7">
        <f>'1 datos preparados'!H318</f>
        <v/>
      </c>
      <c r="J325" s="7">
        <f>'1 datos preparados'!I318</f>
        <v/>
      </c>
      <c r="K325" s="7">
        <f>'1 datos preparados'!J318</f>
        <v/>
      </c>
      <c r="L325" s="7">
        <f>'1 datos preparados'!K318</f>
        <v/>
      </c>
      <c r="M325" s="7">
        <f>'1 datos preparados'!L318</f>
        <v/>
      </c>
      <c r="N325" s="7">
        <f>'1 datos preparados'!M318</f>
        <v/>
      </c>
      <c r="O325" s="7">
        <f>'1 datos preparados'!N318</f>
        <v/>
      </c>
      <c r="P325" s="7">
        <f>'1 datos preparados'!O318</f>
        <v/>
      </c>
      <c r="Q325" s="7">
        <f>'1 datos preparados'!P318</f>
        <v/>
      </c>
      <c r="R325" s="7">
        <f>'1 datos preparados'!Q318</f>
        <v/>
      </c>
      <c r="S325" s="7">
        <f>'1 datos preparados'!R318</f>
        <v/>
      </c>
      <c r="T325" s="7">
        <f>'1 datos preparados'!S318</f>
        <v/>
      </c>
      <c r="U325" s="7">
        <f>'1 datos preparados'!T318</f>
        <v/>
      </c>
      <c r="V325" s="8">
        <f>$AE$12+D325*$AE$13+E325*$AE$14+F325*$AE$15+G325*$AE$16+H325*$AE$17+I325*$AE$18+J325*$AE$19+K325*$AE$20+L325*$AE$21+M325*$AE$22+N325*$AE$23+O325*$AE$24+P325*$AE$25+Q325*$AE$26+R325*$AE$27+S325*$AE$28+T325*$AE$29+U325*$AE$30</f>
        <v/>
      </c>
      <c r="W325" s="8">
        <f>1/(1+EXP(-V325))</f>
        <v/>
      </c>
      <c r="X325" s="9">
        <f>-IF(C325=1,LN(W325),LN(1-W325))</f>
        <v/>
      </c>
      <c r="Y325" s="8">
        <f>'1 datos preparados'!V318</f>
        <v/>
      </c>
      <c r="Z325" s="9">
        <f>Y325*X325</f>
        <v/>
      </c>
      <c r="AA325" s="10">
        <f>IF(W325&gt;$AE$33,1,0)</f>
        <v/>
      </c>
      <c r="AB325">
        <f>IF(AA325=C325,1,0)</f>
        <v/>
      </c>
    </row>
    <row r="326">
      <c r="A326">
        <f>'1 datos preparados'!A319</f>
        <v/>
      </c>
      <c r="B326" s="5">
        <f>'1 datos preparados'!U319</f>
        <v/>
      </c>
      <c r="C326">
        <f>'1 datos preparados'!B319</f>
        <v/>
      </c>
      <c r="D326" s="7">
        <f>'1 datos preparados'!C319</f>
        <v/>
      </c>
      <c r="E326" s="7">
        <f>'1 datos preparados'!D319</f>
        <v/>
      </c>
      <c r="F326" s="7">
        <f>'1 datos preparados'!E319</f>
        <v/>
      </c>
      <c r="G326" s="7">
        <f>'1 datos preparados'!F319</f>
        <v/>
      </c>
      <c r="H326" s="7">
        <f>'1 datos preparados'!G319</f>
        <v/>
      </c>
      <c r="I326" s="7">
        <f>'1 datos preparados'!H319</f>
        <v/>
      </c>
      <c r="J326" s="7">
        <f>'1 datos preparados'!I319</f>
        <v/>
      </c>
      <c r="K326" s="7">
        <f>'1 datos preparados'!J319</f>
        <v/>
      </c>
      <c r="L326" s="7">
        <f>'1 datos preparados'!K319</f>
        <v/>
      </c>
      <c r="M326" s="7">
        <f>'1 datos preparados'!L319</f>
        <v/>
      </c>
      <c r="N326" s="7">
        <f>'1 datos preparados'!M319</f>
        <v/>
      </c>
      <c r="O326" s="7">
        <f>'1 datos preparados'!N319</f>
        <v/>
      </c>
      <c r="P326" s="7">
        <f>'1 datos preparados'!O319</f>
        <v/>
      </c>
      <c r="Q326" s="7">
        <f>'1 datos preparados'!P319</f>
        <v/>
      </c>
      <c r="R326" s="7">
        <f>'1 datos preparados'!Q319</f>
        <v/>
      </c>
      <c r="S326" s="7">
        <f>'1 datos preparados'!R319</f>
        <v/>
      </c>
      <c r="T326" s="7">
        <f>'1 datos preparados'!S319</f>
        <v/>
      </c>
      <c r="U326" s="7">
        <f>'1 datos preparados'!T319</f>
        <v/>
      </c>
      <c r="V326" s="8">
        <f>$AE$12+D326*$AE$13+E326*$AE$14+F326*$AE$15+G326*$AE$16+H326*$AE$17+I326*$AE$18+J326*$AE$19+K326*$AE$20+L326*$AE$21+M326*$AE$22+N326*$AE$23+O326*$AE$24+P326*$AE$25+Q326*$AE$26+R326*$AE$27+S326*$AE$28+T326*$AE$29+U326*$AE$30</f>
        <v/>
      </c>
      <c r="W326" s="8">
        <f>1/(1+EXP(-V326))</f>
        <v/>
      </c>
      <c r="X326" s="9">
        <f>-IF(C326=1,LN(W326),LN(1-W326))</f>
        <v/>
      </c>
      <c r="Y326" s="8">
        <f>'1 datos preparados'!V319</f>
        <v/>
      </c>
      <c r="Z326" s="9">
        <f>Y326*X326</f>
        <v/>
      </c>
      <c r="AA326" s="10">
        <f>IF(W326&gt;$AE$33,1,0)</f>
        <v/>
      </c>
      <c r="AB326">
        <f>IF(AA326=C326,1,0)</f>
        <v/>
      </c>
    </row>
    <row r="327">
      <c r="A327">
        <f>'1 datos preparados'!A320</f>
        <v/>
      </c>
      <c r="B327" s="5">
        <f>'1 datos preparados'!U320</f>
        <v/>
      </c>
      <c r="C327">
        <f>'1 datos preparados'!B320</f>
        <v/>
      </c>
      <c r="D327" s="7">
        <f>'1 datos preparados'!C320</f>
        <v/>
      </c>
      <c r="E327" s="7">
        <f>'1 datos preparados'!D320</f>
        <v/>
      </c>
      <c r="F327" s="7">
        <f>'1 datos preparados'!E320</f>
        <v/>
      </c>
      <c r="G327" s="7">
        <f>'1 datos preparados'!F320</f>
        <v/>
      </c>
      <c r="H327" s="7">
        <f>'1 datos preparados'!G320</f>
        <v/>
      </c>
      <c r="I327" s="7">
        <f>'1 datos preparados'!H320</f>
        <v/>
      </c>
      <c r="J327" s="7">
        <f>'1 datos preparados'!I320</f>
        <v/>
      </c>
      <c r="K327" s="7">
        <f>'1 datos preparados'!J320</f>
        <v/>
      </c>
      <c r="L327" s="7">
        <f>'1 datos preparados'!K320</f>
        <v/>
      </c>
      <c r="M327" s="7">
        <f>'1 datos preparados'!L320</f>
        <v/>
      </c>
      <c r="N327" s="7">
        <f>'1 datos preparados'!M320</f>
        <v/>
      </c>
      <c r="O327" s="7">
        <f>'1 datos preparados'!N320</f>
        <v/>
      </c>
      <c r="P327" s="7">
        <f>'1 datos preparados'!O320</f>
        <v/>
      </c>
      <c r="Q327" s="7">
        <f>'1 datos preparados'!P320</f>
        <v/>
      </c>
      <c r="R327" s="7">
        <f>'1 datos preparados'!Q320</f>
        <v/>
      </c>
      <c r="S327" s="7">
        <f>'1 datos preparados'!R320</f>
        <v/>
      </c>
      <c r="T327" s="7">
        <f>'1 datos preparados'!S320</f>
        <v/>
      </c>
      <c r="U327" s="7">
        <f>'1 datos preparados'!T320</f>
        <v/>
      </c>
      <c r="V327" s="8">
        <f>$AE$12+D327*$AE$13+E327*$AE$14+F327*$AE$15+G327*$AE$16+H327*$AE$17+I327*$AE$18+J327*$AE$19+K327*$AE$20+L327*$AE$21+M327*$AE$22+N327*$AE$23+O327*$AE$24+P327*$AE$25+Q327*$AE$26+R327*$AE$27+S327*$AE$28+T327*$AE$29+U327*$AE$30</f>
        <v/>
      </c>
      <c r="W327" s="8">
        <f>1/(1+EXP(-V327))</f>
        <v/>
      </c>
      <c r="X327" s="9">
        <f>-IF(C327=1,LN(W327),LN(1-W327))</f>
        <v/>
      </c>
      <c r="Y327" s="8">
        <f>'1 datos preparados'!V320</f>
        <v/>
      </c>
      <c r="Z327" s="9">
        <f>Y327*X327</f>
        <v/>
      </c>
      <c r="AA327" s="10">
        <f>IF(W327&gt;$AE$33,1,0)</f>
        <v/>
      </c>
      <c r="AB327">
        <f>IF(AA327=C327,1,0)</f>
        <v/>
      </c>
    </row>
    <row r="328">
      <c r="A328">
        <f>'1 datos preparados'!A321</f>
        <v/>
      </c>
      <c r="B328" s="5">
        <f>'1 datos preparados'!U321</f>
        <v/>
      </c>
      <c r="C328">
        <f>'1 datos preparados'!B321</f>
        <v/>
      </c>
      <c r="D328" s="7">
        <f>'1 datos preparados'!C321</f>
        <v/>
      </c>
      <c r="E328" s="7">
        <f>'1 datos preparados'!D321</f>
        <v/>
      </c>
      <c r="F328" s="7">
        <f>'1 datos preparados'!E321</f>
        <v/>
      </c>
      <c r="G328" s="7">
        <f>'1 datos preparados'!F321</f>
        <v/>
      </c>
      <c r="H328" s="7">
        <f>'1 datos preparados'!G321</f>
        <v/>
      </c>
      <c r="I328" s="7">
        <f>'1 datos preparados'!H321</f>
        <v/>
      </c>
      <c r="J328" s="7">
        <f>'1 datos preparados'!I321</f>
        <v/>
      </c>
      <c r="K328" s="7">
        <f>'1 datos preparados'!J321</f>
        <v/>
      </c>
      <c r="L328" s="7">
        <f>'1 datos preparados'!K321</f>
        <v/>
      </c>
      <c r="M328" s="7">
        <f>'1 datos preparados'!L321</f>
        <v/>
      </c>
      <c r="N328" s="7">
        <f>'1 datos preparados'!M321</f>
        <v/>
      </c>
      <c r="O328" s="7">
        <f>'1 datos preparados'!N321</f>
        <v/>
      </c>
      <c r="P328" s="7">
        <f>'1 datos preparados'!O321</f>
        <v/>
      </c>
      <c r="Q328" s="7">
        <f>'1 datos preparados'!P321</f>
        <v/>
      </c>
      <c r="R328" s="7">
        <f>'1 datos preparados'!Q321</f>
        <v/>
      </c>
      <c r="S328" s="7">
        <f>'1 datos preparados'!R321</f>
        <v/>
      </c>
      <c r="T328" s="7">
        <f>'1 datos preparados'!S321</f>
        <v/>
      </c>
      <c r="U328" s="7">
        <f>'1 datos preparados'!T321</f>
        <v/>
      </c>
      <c r="V328" s="8">
        <f>$AE$12+D328*$AE$13+E328*$AE$14+F328*$AE$15+G328*$AE$16+H328*$AE$17+I328*$AE$18+J328*$AE$19+K328*$AE$20+L328*$AE$21+M328*$AE$22+N328*$AE$23+O328*$AE$24+P328*$AE$25+Q328*$AE$26+R328*$AE$27+S328*$AE$28+T328*$AE$29+U328*$AE$30</f>
        <v/>
      </c>
      <c r="W328" s="8">
        <f>1/(1+EXP(-V328))</f>
        <v/>
      </c>
      <c r="X328" s="9">
        <f>-IF(C328=1,LN(W328),LN(1-W328))</f>
        <v/>
      </c>
      <c r="Y328" s="8">
        <f>'1 datos preparados'!V321</f>
        <v/>
      </c>
      <c r="Z328" s="9">
        <f>Y328*X328</f>
        <v/>
      </c>
      <c r="AA328" s="10">
        <f>IF(W328&gt;$AE$33,1,0)</f>
        <v/>
      </c>
      <c r="AB328">
        <f>IF(AA328=C328,1,0)</f>
        <v/>
      </c>
    </row>
    <row r="329">
      <c r="A329">
        <f>'1 datos preparados'!A322</f>
        <v/>
      </c>
      <c r="B329" s="5">
        <f>'1 datos preparados'!U322</f>
        <v/>
      </c>
      <c r="C329">
        <f>'1 datos preparados'!B322</f>
        <v/>
      </c>
      <c r="D329" s="7">
        <f>'1 datos preparados'!C322</f>
        <v/>
      </c>
      <c r="E329" s="7">
        <f>'1 datos preparados'!D322</f>
        <v/>
      </c>
      <c r="F329" s="7">
        <f>'1 datos preparados'!E322</f>
        <v/>
      </c>
      <c r="G329" s="7">
        <f>'1 datos preparados'!F322</f>
        <v/>
      </c>
      <c r="H329" s="7">
        <f>'1 datos preparados'!G322</f>
        <v/>
      </c>
      <c r="I329" s="7">
        <f>'1 datos preparados'!H322</f>
        <v/>
      </c>
      <c r="J329" s="7">
        <f>'1 datos preparados'!I322</f>
        <v/>
      </c>
      <c r="K329" s="7">
        <f>'1 datos preparados'!J322</f>
        <v/>
      </c>
      <c r="L329" s="7">
        <f>'1 datos preparados'!K322</f>
        <v/>
      </c>
      <c r="M329" s="7">
        <f>'1 datos preparados'!L322</f>
        <v/>
      </c>
      <c r="N329" s="7">
        <f>'1 datos preparados'!M322</f>
        <v/>
      </c>
      <c r="O329" s="7">
        <f>'1 datos preparados'!N322</f>
        <v/>
      </c>
      <c r="P329" s="7">
        <f>'1 datos preparados'!O322</f>
        <v/>
      </c>
      <c r="Q329" s="7">
        <f>'1 datos preparados'!P322</f>
        <v/>
      </c>
      <c r="R329" s="7">
        <f>'1 datos preparados'!Q322</f>
        <v/>
      </c>
      <c r="S329" s="7">
        <f>'1 datos preparados'!R322</f>
        <v/>
      </c>
      <c r="T329" s="7">
        <f>'1 datos preparados'!S322</f>
        <v/>
      </c>
      <c r="U329" s="7">
        <f>'1 datos preparados'!T322</f>
        <v/>
      </c>
      <c r="V329" s="8">
        <f>$AE$12+D329*$AE$13+E329*$AE$14+F329*$AE$15+G329*$AE$16+H329*$AE$17+I329*$AE$18+J329*$AE$19+K329*$AE$20+L329*$AE$21+M329*$AE$22+N329*$AE$23+O329*$AE$24+P329*$AE$25+Q329*$AE$26+R329*$AE$27+S329*$AE$28+T329*$AE$29+U329*$AE$30</f>
        <v/>
      </c>
      <c r="W329" s="8">
        <f>1/(1+EXP(-V329))</f>
        <v/>
      </c>
      <c r="X329" s="9">
        <f>-IF(C329=1,LN(W329),LN(1-W329))</f>
        <v/>
      </c>
      <c r="Y329" s="8">
        <f>'1 datos preparados'!V322</f>
        <v/>
      </c>
      <c r="Z329" s="9">
        <f>Y329*X329</f>
        <v/>
      </c>
      <c r="AA329" s="10">
        <f>IF(W329&gt;$AE$33,1,0)</f>
        <v/>
      </c>
      <c r="AB329">
        <f>IF(AA329=C329,1,0)</f>
        <v/>
      </c>
    </row>
    <row r="330">
      <c r="A330">
        <f>'1 datos preparados'!A323</f>
        <v/>
      </c>
      <c r="B330" s="5">
        <f>'1 datos preparados'!U323</f>
        <v/>
      </c>
      <c r="C330">
        <f>'1 datos preparados'!B323</f>
        <v/>
      </c>
      <c r="D330" s="7">
        <f>'1 datos preparados'!C323</f>
        <v/>
      </c>
      <c r="E330" s="7">
        <f>'1 datos preparados'!D323</f>
        <v/>
      </c>
      <c r="F330" s="7">
        <f>'1 datos preparados'!E323</f>
        <v/>
      </c>
      <c r="G330" s="7">
        <f>'1 datos preparados'!F323</f>
        <v/>
      </c>
      <c r="H330" s="7">
        <f>'1 datos preparados'!G323</f>
        <v/>
      </c>
      <c r="I330" s="7">
        <f>'1 datos preparados'!H323</f>
        <v/>
      </c>
      <c r="J330" s="7">
        <f>'1 datos preparados'!I323</f>
        <v/>
      </c>
      <c r="K330" s="7">
        <f>'1 datos preparados'!J323</f>
        <v/>
      </c>
      <c r="L330" s="7">
        <f>'1 datos preparados'!K323</f>
        <v/>
      </c>
      <c r="M330" s="7">
        <f>'1 datos preparados'!L323</f>
        <v/>
      </c>
      <c r="N330" s="7">
        <f>'1 datos preparados'!M323</f>
        <v/>
      </c>
      <c r="O330" s="7">
        <f>'1 datos preparados'!N323</f>
        <v/>
      </c>
      <c r="P330" s="7">
        <f>'1 datos preparados'!O323</f>
        <v/>
      </c>
      <c r="Q330" s="7">
        <f>'1 datos preparados'!P323</f>
        <v/>
      </c>
      <c r="R330" s="7">
        <f>'1 datos preparados'!Q323</f>
        <v/>
      </c>
      <c r="S330" s="7">
        <f>'1 datos preparados'!R323</f>
        <v/>
      </c>
      <c r="T330" s="7">
        <f>'1 datos preparados'!S323</f>
        <v/>
      </c>
      <c r="U330" s="7">
        <f>'1 datos preparados'!T323</f>
        <v/>
      </c>
      <c r="V330" s="8">
        <f>$AE$12+D330*$AE$13+E330*$AE$14+F330*$AE$15+G330*$AE$16+H330*$AE$17+I330*$AE$18+J330*$AE$19+K330*$AE$20+L330*$AE$21+M330*$AE$22+N330*$AE$23+O330*$AE$24+P330*$AE$25+Q330*$AE$26+R330*$AE$27+S330*$AE$28+T330*$AE$29+U330*$AE$30</f>
        <v/>
      </c>
      <c r="W330" s="8">
        <f>1/(1+EXP(-V330))</f>
        <v/>
      </c>
      <c r="X330" s="9">
        <f>-IF(C330=1,LN(W330),LN(1-W330))</f>
        <v/>
      </c>
      <c r="Y330" s="8">
        <f>'1 datos preparados'!V323</f>
        <v/>
      </c>
      <c r="Z330" s="9">
        <f>Y330*X330</f>
        <v/>
      </c>
      <c r="AA330" s="10">
        <f>IF(W330&gt;$AE$33,1,0)</f>
        <v/>
      </c>
      <c r="AB330">
        <f>IF(AA330=C330,1,0)</f>
        <v/>
      </c>
    </row>
    <row r="331">
      <c r="A331">
        <f>'1 datos preparados'!A324</f>
        <v/>
      </c>
      <c r="B331" s="5">
        <f>'1 datos preparados'!U324</f>
        <v/>
      </c>
      <c r="C331">
        <f>'1 datos preparados'!B324</f>
        <v/>
      </c>
      <c r="D331" s="7">
        <f>'1 datos preparados'!C324</f>
        <v/>
      </c>
      <c r="E331" s="7">
        <f>'1 datos preparados'!D324</f>
        <v/>
      </c>
      <c r="F331" s="7">
        <f>'1 datos preparados'!E324</f>
        <v/>
      </c>
      <c r="G331" s="7">
        <f>'1 datos preparados'!F324</f>
        <v/>
      </c>
      <c r="H331" s="7">
        <f>'1 datos preparados'!G324</f>
        <v/>
      </c>
      <c r="I331" s="7">
        <f>'1 datos preparados'!H324</f>
        <v/>
      </c>
      <c r="J331" s="7">
        <f>'1 datos preparados'!I324</f>
        <v/>
      </c>
      <c r="K331" s="7">
        <f>'1 datos preparados'!J324</f>
        <v/>
      </c>
      <c r="L331" s="7">
        <f>'1 datos preparados'!K324</f>
        <v/>
      </c>
      <c r="M331" s="7">
        <f>'1 datos preparados'!L324</f>
        <v/>
      </c>
      <c r="N331" s="7">
        <f>'1 datos preparados'!M324</f>
        <v/>
      </c>
      <c r="O331" s="7">
        <f>'1 datos preparados'!N324</f>
        <v/>
      </c>
      <c r="P331" s="7">
        <f>'1 datos preparados'!O324</f>
        <v/>
      </c>
      <c r="Q331" s="7">
        <f>'1 datos preparados'!P324</f>
        <v/>
      </c>
      <c r="R331" s="7">
        <f>'1 datos preparados'!Q324</f>
        <v/>
      </c>
      <c r="S331" s="7">
        <f>'1 datos preparados'!R324</f>
        <v/>
      </c>
      <c r="T331" s="7">
        <f>'1 datos preparados'!S324</f>
        <v/>
      </c>
      <c r="U331" s="7">
        <f>'1 datos preparados'!T324</f>
        <v/>
      </c>
      <c r="V331" s="8">
        <f>$AE$12+D331*$AE$13+E331*$AE$14+F331*$AE$15+G331*$AE$16+H331*$AE$17+I331*$AE$18+J331*$AE$19+K331*$AE$20+L331*$AE$21+M331*$AE$22+N331*$AE$23+O331*$AE$24+P331*$AE$25+Q331*$AE$26+R331*$AE$27+S331*$AE$28+T331*$AE$29+U331*$AE$30</f>
        <v/>
      </c>
      <c r="W331" s="8">
        <f>1/(1+EXP(-V331))</f>
        <v/>
      </c>
      <c r="X331" s="9">
        <f>-IF(C331=1,LN(W331),LN(1-W331))</f>
        <v/>
      </c>
      <c r="Y331" s="8">
        <f>'1 datos preparados'!V324</f>
        <v/>
      </c>
      <c r="Z331" s="9">
        <f>Y331*X331</f>
        <v/>
      </c>
      <c r="AA331" s="10">
        <f>IF(W331&gt;$AE$33,1,0)</f>
        <v/>
      </c>
      <c r="AB331">
        <f>IF(AA331=C331,1,0)</f>
        <v/>
      </c>
    </row>
    <row r="332">
      <c r="A332">
        <f>'1 datos preparados'!A325</f>
        <v/>
      </c>
      <c r="B332" s="5">
        <f>'1 datos preparados'!U325</f>
        <v/>
      </c>
      <c r="C332">
        <f>'1 datos preparados'!B325</f>
        <v/>
      </c>
      <c r="D332" s="7">
        <f>'1 datos preparados'!C325</f>
        <v/>
      </c>
      <c r="E332" s="7">
        <f>'1 datos preparados'!D325</f>
        <v/>
      </c>
      <c r="F332" s="7">
        <f>'1 datos preparados'!E325</f>
        <v/>
      </c>
      <c r="G332" s="7">
        <f>'1 datos preparados'!F325</f>
        <v/>
      </c>
      <c r="H332" s="7">
        <f>'1 datos preparados'!G325</f>
        <v/>
      </c>
      <c r="I332" s="7">
        <f>'1 datos preparados'!H325</f>
        <v/>
      </c>
      <c r="J332" s="7">
        <f>'1 datos preparados'!I325</f>
        <v/>
      </c>
      <c r="K332" s="7">
        <f>'1 datos preparados'!J325</f>
        <v/>
      </c>
      <c r="L332" s="7">
        <f>'1 datos preparados'!K325</f>
        <v/>
      </c>
      <c r="M332" s="7">
        <f>'1 datos preparados'!L325</f>
        <v/>
      </c>
      <c r="N332" s="7">
        <f>'1 datos preparados'!M325</f>
        <v/>
      </c>
      <c r="O332" s="7">
        <f>'1 datos preparados'!N325</f>
        <v/>
      </c>
      <c r="P332" s="7">
        <f>'1 datos preparados'!O325</f>
        <v/>
      </c>
      <c r="Q332" s="7">
        <f>'1 datos preparados'!P325</f>
        <v/>
      </c>
      <c r="R332" s="7">
        <f>'1 datos preparados'!Q325</f>
        <v/>
      </c>
      <c r="S332" s="7">
        <f>'1 datos preparados'!R325</f>
        <v/>
      </c>
      <c r="T332" s="7">
        <f>'1 datos preparados'!S325</f>
        <v/>
      </c>
      <c r="U332" s="7">
        <f>'1 datos preparados'!T325</f>
        <v/>
      </c>
      <c r="V332" s="8">
        <f>$AE$12+D332*$AE$13+E332*$AE$14+F332*$AE$15+G332*$AE$16+H332*$AE$17+I332*$AE$18+J332*$AE$19+K332*$AE$20+L332*$AE$21+M332*$AE$22+N332*$AE$23+O332*$AE$24+P332*$AE$25+Q332*$AE$26+R332*$AE$27+S332*$AE$28+T332*$AE$29+U332*$AE$30</f>
        <v/>
      </c>
      <c r="W332" s="8">
        <f>1/(1+EXP(-V332))</f>
        <v/>
      </c>
      <c r="X332" s="9">
        <f>-IF(C332=1,LN(W332),LN(1-W332))</f>
        <v/>
      </c>
      <c r="Y332" s="8">
        <f>'1 datos preparados'!V325</f>
        <v/>
      </c>
      <c r="Z332" s="9">
        <f>Y332*X332</f>
        <v/>
      </c>
      <c r="AA332" s="10">
        <f>IF(W332&gt;$AE$33,1,0)</f>
        <v/>
      </c>
      <c r="AB332">
        <f>IF(AA332=C332,1,0)</f>
        <v/>
      </c>
    </row>
    <row r="333">
      <c r="A333">
        <f>'1 datos preparados'!A326</f>
        <v/>
      </c>
      <c r="B333" s="5">
        <f>'1 datos preparados'!U326</f>
        <v/>
      </c>
      <c r="C333">
        <f>'1 datos preparados'!B326</f>
        <v/>
      </c>
      <c r="D333" s="7">
        <f>'1 datos preparados'!C326</f>
        <v/>
      </c>
      <c r="E333" s="7">
        <f>'1 datos preparados'!D326</f>
        <v/>
      </c>
      <c r="F333" s="7">
        <f>'1 datos preparados'!E326</f>
        <v/>
      </c>
      <c r="G333" s="7">
        <f>'1 datos preparados'!F326</f>
        <v/>
      </c>
      <c r="H333" s="7">
        <f>'1 datos preparados'!G326</f>
        <v/>
      </c>
      <c r="I333" s="7">
        <f>'1 datos preparados'!H326</f>
        <v/>
      </c>
      <c r="J333" s="7">
        <f>'1 datos preparados'!I326</f>
        <v/>
      </c>
      <c r="K333" s="7">
        <f>'1 datos preparados'!J326</f>
        <v/>
      </c>
      <c r="L333" s="7">
        <f>'1 datos preparados'!K326</f>
        <v/>
      </c>
      <c r="M333" s="7">
        <f>'1 datos preparados'!L326</f>
        <v/>
      </c>
      <c r="N333" s="7">
        <f>'1 datos preparados'!M326</f>
        <v/>
      </c>
      <c r="O333" s="7">
        <f>'1 datos preparados'!N326</f>
        <v/>
      </c>
      <c r="P333" s="7">
        <f>'1 datos preparados'!O326</f>
        <v/>
      </c>
      <c r="Q333" s="7">
        <f>'1 datos preparados'!P326</f>
        <v/>
      </c>
      <c r="R333" s="7">
        <f>'1 datos preparados'!Q326</f>
        <v/>
      </c>
      <c r="S333" s="7">
        <f>'1 datos preparados'!R326</f>
        <v/>
      </c>
      <c r="T333" s="7">
        <f>'1 datos preparados'!S326</f>
        <v/>
      </c>
      <c r="U333" s="7">
        <f>'1 datos preparados'!T326</f>
        <v/>
      </c>
      <c r="V333" s="8">
        <f>$AE$12+D333*$AE$13+E333*$AE$14+F333*$AE$15+G333*$AE$16+H333*$AE$17+I333*$AE$18+J333*$AE$19+K333*$AE$20+L333*$AE$21+M333*$AE$22+N333*$AE$23+O333*$AE$24+P333*$AE$25+Q333*$AE$26+R333*$AE$27+S333*$AE$28+T333*$AE$29+U333*$AE$30</f>
        <v/>
      </c>
      <c r="W333" s="8">
        <f>1/(1+EXP(-V333))</f>
        <v/>
      </c>
      <c r="X333" s="9">
        <f>-IF(C333=1,LN(W333),LN(1-W333))</f>
        <v/>
      </c>
      <c r="Y333" s="8">
        <f>'1 datos preparados'!V326</f>
        <v/>
      </c>
      <c r="Z333" s="9">
        <f>Y333*X333</f>
        <v/>
      </c>
      <c r="AA333" s="10">
        <f>IF(W333&gt;$AE$33,1,0)</f>
        <v/>
      </c>
      <c r="AB333">
        <f>IF(AA333=C333,1,0)</f>
        <v/>
      </c>
    </row>
    <row r="334">
      <c r="A334">
        <f>'1 datos preparados'!A327</f>
        <v/>
      </c>
      <c r="B334" s="5">
        <f>'1 datos preparados'!U327</f>
        <v/>
      </c>
      <c r="C334">
        <f>'1 datos preparados'!B327</f>
        <v/>
      </c>
      <c r="D334" s="7">
        <f>'1 datos preparados'!C327</f>
        <v/>
      </c>
      <c r="E334" s="7">
        <f>'1 datos preparados'!D327</f>
        <v/>
      </c>
      <c r="F334" s="7">
        <f>'1 datos preparados'!E327</f>
        <v/>
      </c>
      <c r="G334" s="7">
        <f>'1 datos preparados'!F327</f>
        <v/>
      </c>
      <c r="H334" s="7">
        <f>'1 datos preparados'!G327</f>
        <v/>
      </c>
      <c r="I334" s="7">
        <f>'1 datos preparados'!H327</f>
        <v/>
      </c>
      <c r="J334" s="7">
        <f>'1 datos preparados'!I327</f>
        <v/>
      </c>
      <c r="K334" s="7">
        <f>'1 datos preparados'!J327</f>
        <v/>
      </c>
      <c r="L334" s="7">
        <f>'1 datos preparados'!K327</f>
        <v/>
      </c>
      <c r="M334" s="7">
        <f>'1 datos preparados'!L327</f>
        <v/>
      </c>
      <c r="N334" s="7">
        <f>'1 datos preparados'!M327</f>
        <v/>
      </c>
      <c r="O334" s="7">
        <f>'1 datos preparados'!N327</f>
        <v/>
      </c>
      <c r="P334" s="7">
        <f>'1 datos preparados'!O327</f>
        <v/>
      </c>
      <c r="Q334" s="7">
        <f>'1 datos preparados'!P327</f>
        <v/>
      </c>
      <c r="R334" s="7">
        <f>'1 datos preparados'!Q327</f>
        <v/>
      </c>
      <c r="S334" s="7">
        <f>'1 datos preparados'!R327</f>
        <v/>
      </c>
      <c r="T334" s="7">
        <f>'1 datos preparados'!S327</f>
        <v/>
      </c>
      <c r="U334" s="7">
        <f>'1 datos preparados'!T327</f>
        <v/>
      </c>
      <c r="V334" s="8">
        <f>$AE$12+D334*$AE$13+E334*$AE$14+F334*$AE$15+G334*$AE$16+H334*$AE$17+I334*$AE$18+J334*$AE$19+K334*$AE$20+L334*$AE$21+M334*$AE$22+N334*$AE$23+O334*$AE$24+P334*$AE$25+Q334*$AE$26+R334*$AE$27+S334*$AE$28+T334*$AE$29+U334*$AE$30</f>
        <v/>
      </c>
      <c r="W334" s="8">
        <f>1/(1+EXP(-V334))</f>
        <v/>
      </c>
      <c r="X334" s="9">
        <f>-IF(C334=1,LN(W334),LN(1-W334))</f>
        <v/>
      </c>
      <c r="Y334" s="8">
        <f>'1 datos preparados'!V327</f>
        <v/>
      </c>
      <c r="Z334" s="9">
        <f>Y334*X334</f>
        <v/>
      </c>
      <c r="AA334" s="10">
        <f>IF(W334&gt;$AE$33,1,0)</f>
        <v/>
      </c>
      <c r="AB334">
        <f>IF(AA334=C334,1,0)</f>
        <v/>
      </c>
    </row>
    <row r="335">
      <c r="A335">
        <f>'1 datos preparados'!A328</f>
        <v/>
      </c>
      <c r="B335" s="5">
        <f>'1 datos preparados'!U328</f>
        <v/>
      </c>
      <c r="C335">
        <f>'1 datos preparados'!B328</f>
        <v/>
      </c>
      <c r="D335" s="7">
        <f>'1 datos preparados'!C328</f>
        <v/>
      </c>
      <c r="E335" s="7">
        <f>'1 datos preparados'!D328</f>
        <v/>
      </c>
      <c r="F335" s="7">
        <f>'1 datos preparados'!E328</f>
        <v/>
      </c>
      <c r="G335" s="7">
        <f>'1 datos preparados'!F328</f>
        <v/>
      </c>
      <c r="H335" s="7">
        <f>'1 datos preparados'!G328</f>
        <v/>
      </c>
      <c r="I335" s="7">
        <f>'1 datos preparados'!H328</f>
        <v/>
      </c>
      <c r="J335" s="7">
        <f>'1 datos preparados'!I328</f>
        <v/>
      </c>
      <c r="K335" s="7">
        <f>'1 datos preparados'!J328</f>
        <v/>
      </c>
      <c r="L335" s="7">
        <f>'1 datos preparados'!K328</f>
        <v/>
      </c>
      <c r="M335" s="7">
        <f>'1 datos preparados'!L328</f>
        <v/>
      </c>
      <c r="N335" s="7">
        <f>'1 datos preparados'!M328</f>
        <v/>
      </c>
      <c r="O335" s="7">
        <f>'1 datos preparados'!N328</f>
        <v/>
      </c>
      <c r="P335" s="7">
        <f>'1 datos preparados'!O328</f>
        <v/>
      </c>
      <c r="Q335" s="7">
        <f>'1 datos preparados'!P328</f>
        <v/>
      </c>
      <c r="R335" s="7">
        <f>'1 datos preparados'!Q328</f>
        <v/>
      </c>
      <c r="S335" s="7">
        <f>'1 datos preparados'!R328</f>
        <v/>
      </c>
      <c r="T335" s="7">
        <f>'1 datos preparados'!S328</f>
        <v/>
      </c>
      <c r="U335" s="7">
        <f>'1 datos preparados'!T328</f>
        <v/>
      </c>
      <c r="V335" s="8">
        <f>$AE$12+D335*$AE$13+E335*$AE$14+F335*$AE$15+G335*$AE$16+H335*$AE$17+I335*$AE$18+J335*$AE$19+K335*$AE$20+L335*$AE$21+M335*$AE$22+N335*$AE$23+O335*$AE$24+P335*$AE$25+Q335*$AE$26+R335*$AE$27+S335*$AE$28+T335*$AE$29+U335*$AE$30</f>
        <v/>
      </c>
      <c r="W335" s="8">
        <f>1/(1+EXP(-V335))</f>
        <v/>
      </c>
      <c r="X335" s="9">
        <f>-IF(C335=1,LN(W335),LN(1-W335))</f>
        <v/>
      </c>
      <c r="Y335" s="8">
        <f>'1 datos preparados'!V328</f>
        <v/>
      </c>
      <c r="Z335" s="9">
        <f>Y335*X335</f>
        <v/>
      </c>
      <c r="AA335" s="10">
        <f>IF(W335&gt;$AE$33,1,0)</f>
        <v/>
      </c>
      <c r="AB335">
        <f>IF(AA335=C335,1,0)</f>
        <v/>
      </c>
    </row>
    <row r="336">
      <c r="A336">
        <f>'1 datos preparados'!A329</f>
        <v/>
      </c>
      <c r="B336" s="5">
        <f>'1 datos preparados'!U329</f>
        <v/>
      </c>
      <c r="C336">
        <f>'1 datos preparados'!B329</f>
        <v/>
      </c>
      <c r="D336" s="7">
        <f>'1 datos preparados'!C329</f>
        <v/>
      </c>
      <c r="E336" s="7">
        <f>'1 datos preparados'!D329</f>
        <v/>
      </c>
      <c r="F336" s="7">
        <f>'1 datos preparados'!E329</f>
        <v/>
      </c>
      <c r="G336" s="7">
        <f>'1 datos preparados'!F329</f>
        <v/>
      </c>
      <c r="H336" s="7">
        <f>'1 datos preparados'!G329</f>
        <v/>
      </c>
      <c r="I336" s="7">
        <f>'1 datos preparados'!H329</f>
        <v/>
      </c>
      <c r="J336" s="7">
        <f>'1 datos preparados'!I329</f>
        <v/>
      </c>
      <c r="K336" s="7">
        <f>'1 datos preparados'!J329</f>
        <v/>
      </c>
      <c r="L336" s="7">
        <f>'1 datos preparados'!K329</f>
        <v/>
      </c>
      <c r="M336" s="7">
        <f>'1 datos preparados'!L329</f>
        <v/>
      </c>
      <c r="N336" s="7">
        <f>'1 datos preparados'!M329</f>
        <v/>
      </c>
      <c r="O336" s="7">
        <f>'1 datos preparados'!N329</f>
        <v/>
      </c>
      <c r="P336" s="7">
        <f>'1 datos preparados'!O329</f>
        <v/>
      </c>
      <c r="Q336" s="7">
        <f>'1 datos preparados'!P329</f>
        <v/>
      </c>
      <c r="R336" s="7">
        <f>'1 datos preparados'!Q329</f>
        <v/>
      </c>
      <c r="S336" s="7">
        <f>'1 datos preparados'!R329</f>
        <v/>
      </c>
      <c r="T336" s="7">
        <f>'1 datos preparados'!S329</f>
        <v/>
      </c>
      <c r="U336" s="7">
        <f>'1 datos preparados'!T329</f>
        <v/>
      </c>
      <c r="V336" s="8">
        <f>$AE$12+D336*$AE$13+E336*$AE$14+F336*$AE$15+G336*$AE$16+H336*$AE$17+I336*$AE$18+J336*$AE$19+K336*$AE$20+L336*$AE$21+M336*$AE$22+N336*$AE$23+O336*$AE$24+P336*$AE$25+Q336*$AE$26+R336*$AE$27+S336*$AE$28+T336*$AE$29+U336*$AE$30</f>
        <v/>
      </c>
      <c r="W336" s="8">
        <f>1/(1+EXP(-V336))</f>
        <v/>
      </c>
      <c r="X336" s="9">
        <f>-IF(C336=1,LN(W336),LN(1-W336))</f>
        <v/>
      </c>
      <c r="Y336" s="8">
        <f>'1 datos preparados'!V329</f>
        <v/>
      </c>
      <c r="Z336" s="9">
        <f>Y336*X336</f>
        <v/>
      </c>
      <c r="AA336" s="10">
        <f>IF(W336&gt;$AE$33,1,0)</f>
        <v/>
      </c>
      <c r="AB336">
        <f>IF(AA336=C336,1,0)</f>
        <v/>
      </c>
    </row>
    <row r="337">
      <c r="A337">
        <f>'1 datos preparados'!A330</f>
        <v/>
      </c>
      <c r="B337" s="5">
        <f>'1 datos preparados'!U330</f>
        <v/>
      </c>
      <c r="C337">
        <f>'1 datos preparados'!B330</f>
        <v/>
      </c>
      <c r="D337" s="7">
        <f>'1 datos preparados'!C330</f>
        <v/>
      </c>
      <c r="E337" s="7">
        <f>'1 datos preparados'!D330</f>
        <v/>
      </c>
      <c r="F337" s="7">
        <f>'1 datos preparados'!E330</f>
        <v/>
      </c>
      <c r="G337" s="7">
        <f>'1 datos preparados'!F330</f>
        <v/>
      </c>
      <c r="H337" s="7">
        <f>'1 datos preparados'!G330</f>
        <v/>
      </c>
      <c r="I337" s="7">
        <f>'1 datos preparados'!H330</f>
        <v/>
      </c>
      <c r="J337" s="7">
        <f>'1 datos preparados'!I330</f>
        <v/>
      </c>
      <c r="K337" s="7">
        <f>'1 datos preparados'!J330</f>
        <v/>
      </c>
      <c r="L337" s="7">
        <f>'1 datos preparados'!K330</f>
        <v/>
      </c>
      <c r="M337" s="7">
        <f>'1 datos preparados'!L330</f>
        <v/>
      </c>
      <c r="N337" s="7">
        <f>'1 datos preparados'!M330</f>
        <v/>
      </c>
      <c r="O337" s="7">
        <f>'1 datos preparados'!N330</f>
        <v/>
      </c>
      <c r="P337" s="7">
        <f>'1 datos preparados'!O330</f>
        <v/>
      </c>
      <c r="Q337" s="7">
        <f>'1 datos preparados'!P330</f>
        <v/>
      </c>
      <c r="R337" s="7">
        <f>'1 datos preparados'!Q330</f>
        <v/>
      </c>
      <c r="S337" s="7">
        <f>'1 datos preparados'!R330</f>
        <v/>
      </c>
      <c r="T337" s="7">
        <f>'1 datos preparados'!S330</f>
        <v/>
      </c>
      <c r="U337" s="7">
        <f>'1 datos preparados'!T330</f>
        <v/>
      </c>
      <c r="V337" s="8">
        <f>$AE$12+D337*$AE$13+E337*$AE$14+F337*$AE$15+G337*$AE$16+H337*$AE$17+I337*$AE$18+J337*$AE$19+K337*$AE$20+L337*$AE$21+M337*$AE$22+N337*$AE$23+O337*$AE$24+P337*$AE$25+Q337*$AE$26+R337*$AE$27+S337*$AE$28+T337*$AE$29+U337*$AE$30</f>
        <v/>
      </c>
      <c r="W337" s="8">
        <f>1/(1+EXP(-V337))</f>
        <v/>
      </c>
      <c r="X337" s="9">
        <f>-IF(C337=1,LN(W337),LN(1-W337))</f>
        <v/>
      </c>
      <c r="Y337" s="8">
        <f>'1 datos preparados'!V330</f>
        <v/>
      </c>
      <c r="Z337" s="9">
        <f>Y337*X337</f>
        <v/>
      </c>
      <c r="AA337" s="10">
        <f>IF(W337&gt;$AE$33,1,0)</f>
        <v/>
      </c>
      <c r="AB337">
        <f>IF(AA337=C337,1,0)</f>
        <v/>
      </c>
    </row>
    <row r="338">
      <c r="A338">
        <f>'1 datos preparados'!A331</f>
        <v/>
      </c>
      <c r="B338" s="5">
        <f>'1 datos preparados'!U331</f>
        <v/>
      </c>
      <c r="C338">
        <f>'1 datos preparados'!B331</f>
        <v/>
      </c>
      <c r="D338" s="7">
        <f>'1 datos preparados'!C331</f>
        <v/>
      </c>
      <c r="E338" s="7">
        <f>'1 datos preparados'!D331</f>
        <v/>
      </c>
      <c r="F338" s="7">
        <f>'1 datos preparados'!E331</f>
        <v/>
      </c>
      <c r="G338" s="7">
        <f>'1 datos preparados'!F331</f>
        <v/>
      </c>
      <c r="H338" s="7">
        <f>'1 datos preparados'!G331</f>
        <v/>
      </c>
      <c r="I338" s="7">
        <f>'1 datos preparados'!H331</f>
        <v/>
      </c>
      <c r="J338" s="7">
        <f>'1 datos preparados'!I331</f>
        <v/>
      </c>
      <c r="K338" s="7">
        <f>'1 datos preparados'!J331</f>
        <v/>
      </c>
      <c r="L338" s="7">
        <f>'1 datos preparados'!K331</f>
        <v/>
      </c>
      <c r="M338" s="7">
        <f>'1 datos preparados'!L331</f>
        <v/>
      </c>
      <c r="N338" s="7">
        <f>'1 datos preparados'!M331</f>
        <v/>
      </c>
      <c r="O338" s="7">
        <f>'1 datos preparados'!N331</f>
        <v/>
      </c>
      <c r="P338" s="7">
        <f>'1 datos preparados'!O331</f>
        <v/>
      </c>
      <c r="Q338" s="7">
        <f>'1 datos preparados'!P331</f>
        <v/>
      </c>
      <c r="R338" s="7">
        <f>'1 datos preparados'!Q331</f>
        <v/>
      </c>
      <c r="S338" s="7">
        <f>'1 datos preparados'!R331</f>
        <v/>
      </c>
      <c r="T338" s="7">
        <f>'1 datos preparados'!S331</f>
        <v/>
      </c>
      <c r="U338" s="7">
        <f>'1 datos preparados'!T331</f>
        <v/>
      </c>
      <c r="V338" s="8">
        <f>$AE$12+D338*$AE$13+E338*$AE$14+F338*$AE$15+G338*$AE$16+H338*$AE$17+I338*$AE$18+J338*$AE$19+K338*$AE$20+L338*$AE$21+M338*$AE$22+N338*$AE$23+O338*$AE$24+P338*$AE$25+Q338*$AE$26+R338*$AE$27+S338*$AE$28+T338*$AE$29+U338*$AE$30</f>
        <v/>
      </c>
      <c r="W338" s="8">
        <f>1/(1+EXP(-V338))</f>
        <v/>
      </c>
      <c r="X338" s="9">
        <f>-IF(C338=1,LN(W338),LN(1-W338))</f>
        <v/>
      </c>
      <c r="Y338" s="8">
        <f>'1 datos preparados'!V331</f>
        <v/>
      </c>
      <c r="Z338" s="9">
        <f>Y338*X338</f>
        <v/>
      </c>
      <c r="AA338" s="10">
        <f>IF(W338&gt;$AE$33,1,0)</f>
        <v/>
      </c>
      <c r="AB338">
        <f>IF(AA338=C338,1,0)</f>
        <v/>
      </c>
    </row>
    <row r="339">
      <c r="A339">
        <f>'1 datos preparados'!A332</f>
        <v/>
      </c>
      <c r="B339" s="5">
        <f>'1 datos preparados'!U332</f>
        <v/>
      </c>
      <c r="C339">
        <f>'1 datos preparados'!B332</f>
        <v/>
      </c>
      <c r="D339" s="7">
        <f>'1 datos preparados'!C332</f>
        <v/>
      </c>
      <c r="E339" s="7">
        <f>'1 datos preparados'!D332</f>
        <v/>
      </c>
      <c r="F339" s="7">
        <f>'1 datos preparados'!E332</f>
        <v/>
      </c>
      <c r="G339" s="7">
        <f>'1 datos preparados'!F332</f>
        <v/>
      </c>
      <c r="H339" s="7">
        <f>'1 datos preparados'!G332</f>
        <v/>
      </c>
      <c r="I339" s="7">
        <f>'1 datos preparados'!H332</f>
        <v/>
      </c>
      <c r="J339" s="7">
        <f>'1 datos preparados'!I332</f>
        <v/>
      </c>
      <c r="K339" s="7">
        <f>'1 datos preparados'!J332</f>
        <v/>
      </c>
      <c r="L339" s="7">
        <f>'1 datos preparados'!K332</f>
        <v/>
      </c>
      <c r="M339" s="7">
        <f>'1 datos preparados'!L332</f>
        <v/>
      </c>
      <c r="N339" s="7">
        <f>'1 datos preparados'!M332</f>
        <v/>
      </c>
      <c r="O339" s="7">
        <f>'1 datos preparados'!N332</f>
        <v/>
      </c>
      <c r="P339" s="7">
        <f>'1 datos preparados'!O332</f>
        <v/>
      </c>
      <c r="Q339" s="7">
        <f>'1 datos preparados'!P332</f>
        <v/>
      </c>
      <c r="R339" s="7">
        <f>'1 datos preparados'!Q332</f>
        <v/>
      </c>
      <c r="S339" s="7">
        <f>'1 datos preparados'!R332</f>
        <v/>
      </c>
      <c r="T339" s="7">
        <f>'1 datos preparados'!S332</f>
        <v/>
      </c>
      <c r="U339" s="7">
        <f>'1 datos preparados'!T332</f>
        <v/>
      </c>
      <c r="V339" s="8">
        <f>$AE$12+D339*$AE$13+E339*$AE$14+F339*$AE$15+G339*$AE$16+H339*$AE$17+I339*$AE$18+J339*$AE$19+K339*$AE$20+L339*$AE$21+M339*$AE$22+N339*$AE$23+O339*$AE$24+P339*$AE$25+Q339*$AE$26+R339*$AE$27+S339*$AE$28+T339*$AE$29+U339*$AE$30</f>
        <v/>
      </c>
      <c r="W339" s="8">
        <f>1/(1+EXP(-V339))</f>
        <v/>
      </c>
      <c r="X339" s="9">
        <f>-IF(C339=1,LN(W339),LN(1-W339))</f>
        <v/>
      </c>
      <c r="Y339" s="8">
        <f>'1 datos preparados'!V332</f>
        <v/>
      </c>
      <c r="Z339" s="9">
        <f>Y339*X339</f>
        <v/>
      </c>
      <c r="AA339" s="10">
        <f>IF(W339&gt;$AE$33,1,0)</f>
        <v/>
      </c>
      <c r="AB339">
        <f>IF(AA339=C339,1,0)</f>
        <v/>
      </c>
    </row>
    <row r="340">
      <c r="A340">
        <f>'1 datos preparados'!A333</f>
        <v/>
      </c>
      <c r="B340" s="5">
        <f>'1 datos preparados'!U333</f>
        <v/>
      </c>
      <c r="C340">
        <f>'1 datos preparados'!B333</f>
        <v/>
      </c>
      <c r="D340" s="7">
        <f>'1 datos preparados'!C333</f>
        <v/>
      </c>
      <c r="E340" s="7">
        <f>'1 datos preparados'!D333</f>
        <v/>
      </c>
      <c r="F340" s="7">
        <f>'1 datos preparados'!E333</f>
        <v/>
      </c>
      <c r="G340" s="7">
        <f>'1 datos preparados'!F333</f>
        <v/>
      </c>
      <c r="H340" s="7">
        <f>'1 datos preparados'!G333</f>
        <v/>
      </c>
      <c r="I340" s="7">
        <f>'1 datos preparados'!H333</f>
        <v/>
      </c>
      <c r="J340" s="7">
        <f>'1 datos preparados'!I333</f>
        <v/>
      </c>
      <c r="K340" s="7">
        <f>'1 datos preparados'!J333</f>
        <v/>
      </c>
      <c r="L340" s="7">
        <f>'1 datos preparados'!K333</f>
        <v/>
      </c>
      <c r="M340" s="7">
        <f>'1 datos preparados'!L333</f>
        <v/>
      </c>
      <c r="N340" s="7">
        <f>'1 datos preparados'!M333</f>
        <v/>
      </c>
      <c r="O340" s="7">
        <f>'1 datos preparados'!N333</f>
        <v/>
      </c>
      <c r="P340" s="7">
        <f>'1 datos preparados'!O333</f>
        <v/>
      </c>
      <c r="Q340" s="7">
        <f>'1 datos preparados'!P333</f>
        <v/>
      </c>
      <c r="R340" s="7">
        <f>'1 datos preparados'!Q333</f>
        <v/>
      </c>
      <c r="S340" s="7">
        <f>'1 datos preparados'!R333</f>
        <v/>
      </c>
      <c r="T340" s="7">
        <f>'1 datos preparados'!S333</f>
        <v/>
      </c>
      <c r="U340" s="7">
        <f>'1 datos preparados'!T333</f>
        <v/>
      </c>
      <c r="V340" s="8">
        <f>$AE$12+D340*$AE$13+E340*$AE$14+F340*$AE$15+G340*$AE$16+H340*$AE$17+I340*$AE$18+J340*$AE$19+K340*$AE$20+L340*$AE$21+M340*$AE$22+N340*$AE$23+O340*$AE$24+P340*$AE$25+Q340*$AE$26+R340*$AE$27+S340*$AE$28+T340*$AE$29+U340*$AE$30</f>
        <v/>
      </c>
      <c r="W340" s="8">
        <f>1/(1+EXP(-V340))</f>
        <v/>
      </c>
      <c r="X340" s="9">
        <f>-IF(C340=1,LN(W340),LN(1-W340))</f>
        <v/>
      </c>
      <c r="Y340" s="8">
        <f>'1 datos preparados'!V333</f>
        <v/>
      </c>
      <c r="Z340" s="9">
        <f>Y340*X340</f>
        <v/>
      </c>
      <c r="AA340" s="10">
        <f>IF(W340&gt;$AE$33,1,0)</f>
        <v/>
      </c>
      <c r="AB340">
        <f>IF(AA340=C340,1,0)</f>
        <v/>
      </c>
    </row>
    <row r="341">
      <c r="A341">
        <f>'1 datos preparados'!A334</f>
        <v/>
      </c>
      <c r="B341" s="5">
        <f>'1 datos preparados'!U334</f>
        <v/>
      </c>
      <c r="C341">
        <f>'1 datos preparados'!B334</f>
        <v/>
      </c>
      <c r="D341" s="7">
        <f>'1 datos preparados'!C334</f>
        <v/>
      </c>
      <c r="E341" s="7">
        <f>'1 datos preparados'!D334</f>
        <v/>
      </c>
      <c r="F341" s="7">
        <f>'1 datos preparados'!E334</f>
        <v/>
      </c>
      <c r="G341" s="7">
        <f>'1 datos preparados'!F334</f>
        <v/>
      </c>
      <c r="H341" s="7">
        <f>'1 datos preparados'!G334</f>
        <v/>
      </c>
      <c r="I341" s="7">
        <f>'1 datos preparados'!H334</f>
        <v/>
      </c>
      <c r="J341" s="7">
        <f>'1 datos preparados'!I334</f>
        <v/>
      </c>
      <c r="K341" s="7">
        <f>'1 datos preparados'!J334</f>
        <v/>
      </c>
      <c r="L341" s="7">
        <f>'1 datos preparados'!K334</f>
        <v/>
      </c>
      <c r="M341" s="7">
        <f>'1 datos preparados'!L334</f>
        <v/>
      </c>
      <c r="N341" s="7">
        <f>'1 datos preparados'!M334</f>
        <v/>
      </c>
      <c r="O341" s="7">
        <f>'1 datos preparados'!N334</f>
        <v/>
      </c>
      <c r="P341" s="7">
        <f>'1 datos preparados'!O334</f>
        <v/>
      </c>
      <c r="Q341" s="7">
        <f>'1 datos preparados'!P334</f>
        <v/>
      </c>
      <c r="R341" s="7">
        <f>'1 datos preparados'!Q334</f>
        <v/>
      </c>
      <c r="S341" s="7">
        <f>'1 datos preparados'!R334</f>
        <v/>
      </c>
      <c r="T341" s="7">
        <f>'1 datos preparados'!S334</f>
        <v/>
      </c>
      <c r="U341" s="7">
        <f>'1 datos preparados'!T334</f>
        <v/>
      </c>
      <c r="V341" s="8">
        <f>$AE$12+D341*$AE$13+E341*$AE$14+F341*$AE$15+G341*$AE$16+H341*$AE$17+I341*$AE$18+J341*$AE$19+K341*$AE$20+L341*$AE$21+M341*$AE$22+N341*$AE$23+O341*$AE$24+P341*$AE$25+Q341*$AE$26+R341*$AE$27+S341*$AE$28+T341*$AE$29+U341*$AE$30</f>
        <v/>
      </c>
      <c r="W341" s="8">
        <f>1/(1+EXP(-V341))</f>
        <v/>
      </c>
      <c r="X341" s="9">
        <f>-IF(C341=1,LN(W341),LN(1-W341))</f>
        <v/>
      </c>
      <c r="Y341" s="8">
        <f>'1 datos preparados'!V334</f>
        <v/>
      </c>
      <c r="Z341" s="9">
        <f>Y341*X341</f>
        <v/>
      </c>
      <c r="AA341" s="10">
        <f>IF(W341&gt;$AE$33,1,0)</f>
        <v/>
      </c>
      <c r="AB341">
        <f>IF(AA341=C341,1,0)</f>
        <v/>
      </c>
    </row>
    <row r="342">
      <c r="A342">
        <f>'1 datos preparados'!A335</f>
        <v/>
      </c>
      <c r="B342" s="5">
        <f>'1 datos preparados'!U335</f>
        <v/>
      </c>
      <c r="C342">
        <f>'1 datos preparados'!B335</f>
        <v/>
      </c>
      <c r="D342" s="7">
        <f>'1 datos preparados'!C335</f>
        <v/>
      </c>
      <c r="E342" s="7">
        <f>'1 datos preparados'!D335</f>
        <v/>
      </c>
      <c r="F342" s="7">
        <f>'1 datos preparados'!E335</f>
        <v/>
      </c>
      <c r="G342" s="7">
        <f>'1 datos preparados'!F335</f>
        <v/>
      </c>
      <c r="H342" s="7">
        <f>'1 datos preparados'!G335</f>
        <v/>
      </c>
      <c r="I342" s="7">
        <f>'1 datos preparados'!H335</f>
        <v/>
      </c>
      <c r="J342" s="7">
        <f>'1 datos preparados'!I335</f>
        <v/>
      </c>
      <c r="K342" s="7">
        <f>'1 datos preparados'!J335</f>
        <v/>
      </c>
      <c r="L342" s="7">
        <f>'1 datos preparados'!K335</f>
        <v/>
      </c>
      <c r="M342" s="7">
        <f>'1 datos preparados'!L335</f>
        <v/>
      </c>
      <c r="N342" s="7">
        <f>'1 datos preparados'!M335</f>
        <v/>
      </c>
      <c r="O342" s="7">
        <f>'1 datos preparados'!N335</f>
        <v/>
      </c>
      <c r="P342" s="7">
        <f>'1 datos preparados'!O335</f>
        <v/>
      </c>
      <c r="Q342" s="7">
        <f>'1 datos preparados'!P335</f>
        <v/>
      </c>
      <c r="R342" s="7">
        <f>'1 datos preparados'!Q335</f>
        <v/>
      </c>
      <c r="S342" s="7">
        <f>'1 datos preparados'!R335</f>
        <v/>
      </c>
      <c r="T342" s="7">
        <f>'1 datos preparados'!S335</f>
        <v/>
      </c>
      <c r="U342" s="7">
        <f>'1 datos preparados'!T335</f>
        <v/>
      </c>
      <c r="V342" s="8">
        <f>$AE$12+D342*$AE$13+E342*$AE$14+F342*$AE$15+G342*$AE$16+H342*$AE$17+I342*$AE$18+J342*$AE$19+K342*$AE$20+L342*$AE$21+M342*$AE$22+N342*$AE$23+O342*$AE$24+P342*$AE$25+Q342*$AE$26+R342*$AE$27+S342*$AE$28+T342*$AE$29+U342*$AE$30</f>
        <v/>
      </c>
      <c r="W342" s="8">
        <f>1/(1+EXP(-V342))</f>
        <v/>
      </c>
      <c r="X342" s="9">
        <f>-IF(C342=1,LN(W342),LN(1-W342))</f>
        <v/>
      </c>
      <c r="Y342" s="8">
        <f>'1 datos preparados'!V335</f>
        <v/>
      </c>
      <c r="Z342" s="9">
        <f>Y342*X342</f>
        <v/>
      </c>
      <c r="AA342" s="10">
        <f>IF(W342&gt;$AE$33,1,0)</f>
        <v/>
      </c>
      <c r="AB342">
        <f>IF(AA342=C342,1,0)</f>
        <v/>
      </c>
    </row>
    <row r="343">
      <c r="A343">
        <f>'1 datos preparados'!A336</f>
        <v/>
      </c>
      <c r="B343" s="5">
        <f>'1 datos preparados'!U336</f>
        <v/>
      </c>
      <c r="C343">
        <f>'1 datos preparados'!B336</f>
        <v/>
      </c>
      <c r="D343" s="7">
        <f>'1 datos preparados'!C336</f>
        <v/>
      </c>
      <c r="E343" s="7">
        <f>'1 datos preparados'!D336</f>
        <v/>
      </c>
      <c r="F343" s="7">
        <f>'1 datos preparados'!E336</f>
        <v/>
      </c>
      <c r="G343" s="7">
        <f>'1 datos preparados'!F336</f>
        <v/>
      </c>
      <c r="H343" s="7">
        <f>'1 datos preparados'!G336</f>
        <v/>
      </c>
      <c r="I343" s="7">
        <f>'1 datos preparados'!H336</f>
        <v/>
      </c>
      <c r="J343" s="7">
        <f>'1 datos preparados'!I336</f>
        <v/>
      </c>
      <c r="K343" s="7">
        <f>'1 datos preparados'!J336</f>
        <v/>
      </c>
      <c r="L343" s="7">
        <f>'1 datos preparados'!K336</f>
        <v/>
      </c>
      <c r="M343" s="7">
        <f>'1 datos preparados'!L336</f>
        <v/>
      </c>
      <c r="N343" s="7">
        <f>'1 datos preparados'!M336</f>
        <v/>
      </c>
      <c r="O343" s="7">
        <f>'1 datos preparados'!N336</f>
        <v/>
      </c>
      <c r="P343" s="7">
        <f>'1 datos preparados'!O336</f>
        <v/>
      </c>
      <c r="Q343" s="7">
        <f>'1 datos preparados'!P336</f>
        <v/>
      </c>
      <c r="R343" s="7">
        <f>'1 datos preparados'!Q336</f>
        <v/>
      </c>
      <c r="S343" s="7">
        <f>'1 datos preparados'!R336</f>
        <v/>
      </c>
      <c r="T343" s="7">
        <f>'1 datos preparados'!S336</f>
        <v/>
      </c>
      <c r="U343" s="7">
        <f>'1 datos preparados'!T336</f>
        <v/>
      </c>
      <c r="V343" s="8">
        <f>$AE$12+D343*$AE$13+E343*$AE$14+F343*$AE$15+G343*$AE$16+H343*$AE$17+I343*$AE$18+J343*$AE$19+K343*$AE$20+L343*$AE$21+M343*$AE$22+N343*$AE$23+O343*$AE$24+P343*$AE$25+Q343*$AE$26+R343*$AE$27+S343*$AE$28+T343*$AE$29+U343*$AE$30</f>
        <v/>
      </c>
      <c r="W343" s="8">
        <f>1/(1+EXP(-V343))</f>
        <v/>
      </c>
      <c r="X343" s="9">
        <f>-IF(C343=1,LN(W343),LN(1-W343))</f>
        <v/>
      </c>
      <c r="Y343" s="8">
        <f>'1 datos preparados'!V336</f>
        <v/>
      </c>
      <c r="Z343" s="9">
        <f>Y343*X343</f>
        <v/>
      </c>
      <c r="AA343" s="10">
        <f>IF(W343&gt;$AE$33,1,0)</f>
        <v/>
      </c>
      <c r="AB343">
        <f>IF(AA343=C343,1,0)</f>
        <v/>
      </c>
    </row>
    <row r="344">
      <c r="A344">
        <f>'1 datos preparados'!A337</f>
        <v/>
      </c>
      <c r="B344" s="5">
        <f>'1 datos preparados'!U337</f>
        <v/>
      </c>
      <c r="C344">
        <f>'1 datos preparados'!B337</f>
        <v/>
      </c>
      <c r="D344" s="7">
        <f>'1 datos preparados'!C337</f>
        <v/>
      </c>
      <c r="E344" s="7">
        <f>'1 datos preparados'!D337</f>
        <v/>
      </c>
      <c r="F344" s="7">
        <f>'1 datos preparados'!E337</f>
        <v/>
      </c>
      <c r="G344" s="7">
        <f>'1 datos preparados'!F337</f>
        <v/>
      </c>
      <c r="H344" s="7">
        <f>'1 datos preparados'!G337</f>
        <v/>
      </c>
      <c r="I344" s="7">
        <f>'1 datos preparados'!H337</f>
        <v/>
      </c>
      <c r="J344" s="7">
        <f>'1 datos preparados'!I337</f>
        <v/>
      </c>
      <c r="K344" s="7">
        <f>'1 datos preparados'!J337</f>
        <v/>
      </c>
      <c r="L344" s="7">
        <f>'1 datos preparados'!K337</f>
        <v/>
      </c>
      <c r="M344" s="7">
        <f>'1 datos preparados'!L337</f>
        <v/>
      </c>
      <c r="N344" s="7">
        <f>'1 datos preparados'!M337</f>
        <v/>
      </c>
      <c r="O344" s="7">
        <f>'1 datos preparados'!N337</f>
        <v/>
      </c>
      <c r="P344" s="7">
        <f>'1 datos preparados'!O337</f>
        <v/>
      </c>
      <c r="Q344" s="7">
        <f>'1 datos preparados'!P337</f>
        <v/>
      </c>
      <c r="R344" s="7">
        <f>'1 datos preparados'!Q337</f>
        <v/>
      </c>
      <c r="S344" s="7">
        <f>'1 datos preparados'!R337</f>
        <v/>
      </c>
      <c r="T344" s="7">
        <f>'1 datos preparados'!S337</f>
        <v/>
      </c>
      <c r="U344" s="7">
        <f>'1 datos preparados'!T337</f>
        <v/>
      </c>
      <c r="V344" s="8">
        <f>$AE$12+D344*$AE$13+E344*$AE$14+F344*$AE$15+G344*$AE$16+H344*$AE$17+I344*$AE$18+J344*$AE$19+K344*$AE$20+L344*$AE$21+M344*$AE$22+N344*$AE$23+O344*$AE$24+P344*$AE$25+Q344*$AE$26+R344*$AE$27+S344*$AE$28+T344*$AE$29+U344*$AE$30</f>
        <v/>
      </c>
      <c r="W344" s="8">
        <f>1/(1+EXP(-V344))</f>
        <v/>
      </c>
      <c r="X344" s="9">
        <f>-IF(C344=1,LN(W344),LN(1-W344))</f>
        <v/>
      </c>
      <c r="Y344" s="8">
        <f>'1 datos preparados'!V337</f>
        <v/>
      </c>
      <c r="Z344" s="9">
        <f>Y344*X344</f>
        <v/>
      </c>
      <c r="AA344" s="10">
        <f>IF(W344&gt;$AE$33,1,0)</f>
        <v/>
      </c>
      <c r="AB344">
        <f>IF(AA344=C344,1,0)</f>
        <v/>
      </c>
    </row>
    <row r="345">
      <c r="A345">
        <f>'1 datos preparados'!A338</f>
        <v/>
      </c>
      <c r="B345" s="5">
        <f>'1 datos preparados'!U338</f>
        <v/>
      </c>
      <c r="C345">
        <f>'1 datos preparados'!B338</f>
        <v/>
      </c>
      <c r="D345" s="7">
        <f>'1 datos preparados'!C338</f>
        <v/>
      </c>
      <c r="E345" s="7">
        <f>'1 datos preparados'!D338</f>
        <v/>
      </c>
      <c r="F345" s="7">
        <f>'1 datos preparados'!E338</f>
        <v/>
      </c>
      <c r="G345" s="7">
        <f>'1 datos preparados'!F338</f>
        <v/>
      </c>
      <c r="H345" s="7">
        <f>'1 datos preparados'!G338</f>
        <v/>
      </c>
      <c r="I345" s="7">
        <f>'1 datos preparados'!H338</f>
        <v/>
      </c>
      <c r="J345" s="7">
        <f>'1 datos preparados'!I338</f>
        <v/>
      </c>
      <c r="K345" s="7">
        <f>'1 datos preparados'!J338</f>
        <v/>
      </c>
      <c r="L345" s="7">
        <f>'1 datos preparados'!K338</f>
        <v/>
      </c>
      <c r="M345" s="7">
        <f>'1 datos preparados'!L338</f>
        <v/>
      </c>
      <c r="N345" s="7">
        <f>'1 datos preparados'!M338</f>
        <v/>
      </c>
      <c r="O345" s="7">
        <f>'1 datos preparados'!N338</f>
        <v/>
      </c>
      <c r="P345" s="7">
        <f>'1 datos preparados'!O338</f>
        <v/>
      </c>
      <c r="Q345" s="7">
        <f>'1 datos preparados'!P338</f>
        <v/>
      </c>
      <c r="R345" s="7">
        <f>'1 datos preparados'!Q338</f>
        <v/>
      </c>
      <c r="S345" s="7">
        <f>'1 datos preparados'!R338</f>
        <v/>
      </c>
      <c r="T345" s="7">
        <f>'1 datos preparados'!S338</f>
        <v/>
      </c>
      <c r="U345" s="7">
        <f>'1 datos preparados'!T338</f>
        <v/>
      </c>
      <c r="V345" s="8">
        <f>$AE$12+D345*$AE$13+E345*$AE$14+F345*$AE$15+G345*$AE$16+H345*$AE$17+I345*$AE$18+J345*$AE$19+K345*$AE$20+L345*$AE$21+M345*$AE$22+N345*$AE$23+O345*$AE$24+P345*$AE$25+Q345*$AE$26+R345*$AE$27+S345*$AE$28+T345*$AE$29+U345*$AE$30</f>
        <v/>
      </c>
      <c r="W345" s="8">
        <f>1/(1+EXP(-V345))</f>
        <v/>
      </c>
      <c r="X345" s="9">
        <f>-IF(C345=1,LN(W345),LN(1-W345))</f>
        <v/>
      </c>
      <c r="Y345" s="8">
        <f>'1 datos preparados'!V338</f>
        <v/>
      </c>
      <c r="Z345" s="9">
        <f>Y345*X345</f>
        <v/>
      </c>
      <c r="AA345" s="10">
        <f>IF(W345&gt;$AE$33,1,0)</f>
        <v/>
      </c>
      <c r="AB345">
        <f>IF(AA345=C345,1,0)</f>
        <v/>
      </c>
    </row>
    <row r="346">
      <c r="A346">
        <f>'1 datos preparados'!A339</f>
        <v/>
      </c>
      <c r="B346" s="5">
        <f>'1 datos preparados'!U339</f>
        <v/>
      </c>
      <c r="C346">
        <f>'1 datos preparados'!B339</f>
        <v/>
      </c>
      <c r="D346" s="7">
        <f>'1 datos preparados'!C339</f>
        <v/>
      </c>
      <c r="E346" s="7">
        <f>'1 datos preparados'!D339</f>
        <v/>
      </c>
      <c r="F346" s="7">
        <f>'1 datos preparados'!E339</f>
        <v/>
      </c>
      <c r="G346" s="7">
        <f>'1 datos preparados'!F339</f>
        <v/>
      </c>
      <c r="H346" s="7">
        <f>'1 datos preparados'!G339</f>
        <v/>
      </c>
      <c r="I346" s="7">
        <f>'1 datos preparados'!H339</f>
        <v/>
      </c>
      <c r="J346" s="7">
        <f>'1 datos preparados'!I339</f>
        <v/>
      </c>
      <c r="K346" s="7">
        <f>'1 datos preparados'!J339</f>
        <v/>
      </c>
      <c r="L346" s="7">
        <f>'1 datos preparados'!K339</f>
        <v/>
      </c>
      <c r="M346" s="7">
        <f>'1 datos preparados'!L339</f>
        <v/>
      </c>
      <c r="N346" s="7">
        <f>'1 datos preparados'!M339</f>
        <v/>
      </c>
      <c r="O346" s="7">
        <f>'1 datos preparados'!N339</f>
        <v/>
      </c>
      <c r="P346" s="7">
        <f>'1 datos preparados'!O339</f>
        <v/>
      </c>
      <c r="Q346" s="7">
        <f>'1 datos preparados'!P339</f>
        <v/>
      </c>
      <c r="R346" s="7">
        <f>'1 datos preparados'!Q339</f>
        <v/>
      </c>
      <c r="S346" s="7">
        <f>'1 datos preparados'!R339</f>
        <v/>
      </c>
      <c r="T346" s="7">
        <f>'1 datos preparados'!S339</f>
        <v/>
      </c>
      <c r="U346" s="7">
        <f>'1 datos preparados'!T339</f>
        <v/>
      </c>
      <c r="V346" s="8">
        <f>$AE$12+D346*$AE$13+E346*$AE$14+F346*$AE$15+G346*$AE$16+H346*$AE$17+I346*$AE$18+J346*$AE$19+K346*$AE$20+L346*$AE$21+M346*$AE$22+N346*$AE$23+O346*$AE$24+P346*$AE$25+Q346*$AE$26+R346*$AE$27+S346*$AE$28+T346*$AE$29+U346*$AE$30</f>
        <v/>
      </c>
      <c r="W346" s="8">
        <f>1/(1+EXP(-V346))</f>
        <v/>
      </c>
      <c r="X346" s="9">
        <f>-IF(C346=1,LN(W346),LN(1-W346))</f>
        <v/>
      </c>
      <c r="Y346" s="8">
        <f>'1 datos preparados'!V339</f>
        <v/>
      </c>
      <c r="Z346" s="9">
        <f>Y346*X346</f>
        <v/>
      </c>
      <c r="AA346" s="10">
        <f>IF(W346&gt;$AE$33,1,0)</f>
        <v/>
      </c>
      <c r="AB346">
        <f>IF(AA346=C346,1,0)</f>
        <v/>
      </c>
    </row>
    <row r="347">
      <c r="A347">
        <f>'1 datos preparados'!A340</f>
        <v/>
      </c>
      <c r="B347" s="5">
        <f>'1 datos preparados'!U340</f>
        <v/>
      </c>
      <c r="C347">
        <f>'1 datos preparados'!B340</f>
        <v/>
      </c>
      <c r="D347" s="7">
        <f>'1 datos preparados'!C340</f>
        <v/>
      </c>
      <c r="E347" s="7">
        <f>'1 datos preparados'!D340</f>
        <v/>
      </c>
      <c r="F347" s="7">
        <f>'1 datos preparados'!E340</f>
        <v/>
      </c>
      <c r="G347" s="7">
        <f>'1 datos preparados'!F340</f>
        <v/>
      </c>
      <c r="H347" s="7">
        <f>'1 datos preparados'!G340</f>
        <v/>
      </c>
      <c r="I347" s="7">
        <f>'1 datos preparados'!H340</f>
        <v/>
      </c>
      <c r="J347" s="7">
        <f>'1 datos preparados'!I340</f>
        <v/>
      </c>
      <c r="K347" s="7">
        <f>'1 datos preparados'!J340</f>
        <v/>
      </c>
      <c r="L347" s="7">
        <f>'1 datos preparados'!K340</f>
        <v/>
      </c>
      <c r="M347" s="7">
        <f>'1 datos preparados'!L340</f>
        <v/>
      </c>
      <c r="N347" s="7">
        <f>'1 datos preparados'!M340</f>
        <v/>
      </c>
      <c r="O347" s="7">
        <f>'1 datos preparados'!N340</f>
        <v/>
      </c>
      <c r="P347" s="7">
        <f>'1 datos preparados'!O340</f>
        <v/>
      </c>
      <c r="Q347" s="7">
        <f>'1 datos preparados'!P340</f>
        <v/>
      </c>
      <c r="R347" s="7">
        <f>'1 datos preparados'!Q340</f>
        <v/>
      </c>
      <c r="S347" s="7">
        <f>'1 datos preparados'!R340</f>
        <v/>
      </c>
      <c r="T347" s="7">
        <f>'1 datos preparados'!S340</f>
        <v/>
      </c>
      <c r="U347" s="7">
        <f>'1 datos preparados'!T340</f>
        <v/>
      </c>
      <c r="V347" s="8">
        <f>$AE$12+D347*$AE$13+E347*$AE$14+F347*$AE$15+G347*$AE$16+H347*$AE$17+I347*$AE$18+J347*$AE$19+K347*$AE$20+L347*$AE$21+M347*$AE$22+N347*$AE$23+O347*$AE$24+P347*$AE$25+Q347*$AE$26+R347*$AE$27+S347*$AE$28+T347*$AE$29+U347*$AE$30</f>
        <v/>
      </c>
      <c r="W347" s="8">
        <f>1/(1+EXP(-V347))</f>
        <v/>
      </c>
      <c r="X347" s="9">
        <f>-IF(C347=1,LN(W347),LN(1-W347))</f>
        <v/>
      </c>
      <c r="Y347" s="8">
        <f>'1 datos preparados'!V340</f>
        <v/>
      </c>
      <c r="Z347" s="9">
        <f>Y347*X347</f>
        <v/>
      </c>
      <c r="AA347" s="10">
        <f>IF(W347&gt;$AE$33,1,0)</f>
        <v/>
      </c>
      <c r="AB347">
        <f>IF(AA347=C347,1,0)</f>
        <v/>
      </c>
    </row>
    <row r="348">
      <c r="A348">
        <f>'1 datos preparados'!A341</f>
        <v/>
      </c>
      <c r="B348" s="5">
        <f>'1 datos preparados'!U341</f>
        <v/>
      </c>
      <c r="C348">
        <f>'1 datos preparados'!B341</f>
        <v/>
      </c>
      <c r="D348" s="7">
        <f>'1 datos preparados'!C341</f>
        <v/>
      </c>
      <c r="E348" s="7">
        <f>'1 datos preparados'!D341</f>
        <v/>
      </c>
      <c r="F348" s="7">
        <f>'1 datos preparados'!E341</f>
        <v/>
      </c>
      <c r="G348" s="7">
        <f>'1 datos preparados'!F341</f>
        <v/>
      </c>
      <c r="H348" s="7">
        <f>'1 datos preparados'!G341</f>
        <v/>
      </c>
      <c r="I348" s="7">
        <f>'1 datos preparados'!H341</f>
        <v/>
      </c>
      <c r="J348" s="7">
        <f>'1 datos preparados'!I341</f>
        <v/>
      </c>
      <c r="K348" s="7">
        <f>'1 datos preparados'!J341</f>
        <v/>
      </c>
      <c r="L348" s="7">
        <f>'1 datos preparados'!K341</f>
        <v/>
      </c>
      <c r="M348" s="7">
        <f>'1 datos preparados'!L341</f>
        <v/>
      </c>
      <c r="N348" s="7">
        <f>'1 datos preparados'!M341</f>
        <v/>
      </c>
      <c r="O348" s="7">
        <f>'1 datos preparados'!N341</f>
        <v/>
      </c>
      <c r="P348" s="7">
        <f>'1 datos preparados'!O341</f>
        <v/>
      </c>
      <c r="Q348" s="7">
        <f>'1 datos preparados'!P341</f>
        <v/>
      </c>
      <c r="R348" s="7">
        <f>'1 datos preparados'!Q341</f>
        <v/>
      </c>
      <c r="S348" s="7">
        <f>'1 datos preparados'!R341</f>
        <v/>
      </c>
      <c r="T348" s="7">
        <f>'1 datos preparados'!S341</f>
        <v/>
      </c>
      <c r="U348" s="7">
        <f>'1 datos preparados'!T341</f>
        <v/>
      </c>
      <c r="V348" s="8">
        <f>$AE$12+D348*$AE$13+E348*$AE$14+F348*$AE$15+G348*$AE$16+H348*$AE$17+I348*$AE$18+J348*$AE$19+K348*$AE$20+L348*$AE$21+M348*$AE$22+N348*$AE$23+O348*$AE$24+P348*$AE$25+Q348*$AE$26+R348*$AE$27+S348*$AE$28+T348*$AE$29+U348*$AE$30</f>
        <v/>
      </c>
      <c r="W348" s="8">
        <f>1/(1+EXP(-V348))</f>
        <v/>
      </c>
      <c r="X348" s="9">
        <f>-IF(C348=1,LN(W348),LN(1-W348))</f>
        <v/>
      </c>
      <c r="Y348" s="8">
        <f>'1 datos preparados'!V341</f>
        <v/>
      </c>
      <c r="Z348" s="9">
        <f>Y348*X348</f>
        <v/>
      </c>
      <c r="AA348" s="10">
        <f>IF(W348&gt;$AE$33,1,0)</f>
        <v/>
      </c>
      <c r="AB348">
        <f>IF(AA348=C348,1,0)</f>
        <v/>
      </c>
    </row>
    <row r="349">
      <c r="A349">
        <f>'1 datos preparados'!A342</f>
        <v/>
      </c>
      <c r="B349" s="5">
        <f>'1 datos preparados'!U342</f>
        <v/>
      </c>
      <c r="C349">
        <f>'1 datos preparados'!B342</f>
        <v/>
      </c>
      <c r="D349" s="7">
        <f>'1 datos preparados'!C342</f>
        <v/>
      </c>
      <c r="E349" s="7">
        <f>'1 datos preparados'!D342</f>
        <v/>
      </c>
      <c r="F349" s="7">
        <f>'1 datos preparados'!E342</f>
        <v/>
      </c>
      <c r="G349" s="7">
        <f>'1 datos preparados'!F342</f>
        <v/>
      </c>
      <c r="H349" s="7">
        <f>'1 datos preparados'!G342</f>
        <v/>
      </c>
      <c r="I349" s="7">
        <f>'1 datos preparados'!H342</f>
        <v/>
      </c>
      <c r="J349" s="7">
        <f>'1 datos preparados'!I342</f>
        <v/>
      </c>
      <c r="K349" s="7">
        <f>'1 datos preparados'!J342</f>
        <v/>
      </c>
      <c r="L349" s="7">
        <f>'1 datos preparados'!K342</f>
        <v/>
      </c>
      <c r="M349" s="7">
        <f>'1 datos preparados'!L342</f>
        <v/>
      </c>
      <c r="N349" s="7">
        <f>'1 datos preparados'!M342</f>
        <v/>
      </c>
      <c r="O349" s="7">
        <f>'1 datos preparados'!N342</f>
        <v/>
      </c>
      <c r="P349" s="7">
        <f>'1 datos preparados'!O342</f>
        <v/>
      </c>
      <c r="Q349" s="7">
        <f>'1 datos preparados'!P342</f>
        <v/>
      </c>
      <c r="R349" s="7">
        <f>'1 datos preparados'!Q342</f>
        <v/>
      </c>
      <c r="S349" s="7">
        <f>'1 datos preparados'!R342</f>
        <v/>
      </c>
      <c r="T349" s="7">
        <f>'1 datos preparados'!S342</f>
        <v/>
      </c>
      <c r="U349" s="7">
        <f>'1 datos preparados'!T342</f>
        <v/>
      </c>
      <c r="V349" s="8">
        <f>$AE$12+D349*$AE$13+E349*$AE$14+F349*$AE$15+G349*$AE$16+H349*$AE$17+I349*$AE$18+J349*$AE$19+K349*$AE$20+L349*$AE$21+M349*$AE$22+N349*$AE$23+O349*$AE$24+P349*$AE$25+Q349*$AE$26+R349*$AE$27+S349*$AE$28+T349*$AE$29+U349*$AE$30</f>
        <v/>
      </c>
      <c r="W349" s="8">
        <f>1/(1+EXP(-V349))</f>
        <v/>
      </c>
      <c r="X349" s="9">
        <f>-IF(C349=1,LN(W349),LN(1-W349))</f>
        <v/>
      </c>
      <c r="Y349" s="8">
        <f>'1 datos preparados'!V342</f>
        <v/>
      </c>
      <c r="Z349" s="9">
        <f>Y349*X349</f>
        <v/>
      </c>
      <c r="AA349" s="10">
        <f>IF(W349&gt;$AE$33,1,0)</f>
        <v/>
      </c>
      <c r="AB349">
        <f>IF(AA349=C349,1,0)</f>
        <v/>
      </c>
    </row>
    <row r="350">
      <c r="A350">
        <f>'1 datos preparados'!A343</f>
        <v/>
      </c>
      <c r="B350" s="5">
        <f>'1 datos preparados'!U343</f>
        <v/>
      </c>
      <c r="C350">
        <f>'1 datos preparados'!B343</f>
        <v/>
      </c>
      <c r="D350" s="7">
        <f>'1 datos preparados'!C343</f>
        <v/>
      </c>
      <c r="E350" s="7">
        <f>'1 datos preparados'!D343</f>
        <v/>
      </c>
      <c r="F350" s="7">
        <f>'1 datos preparados'!E343</f>
        <v/>
      </c>
      <c r="G350" s="7">
        <f>'1 datos preparados'!F343</f>
        <v/>
      </c>
      <c r="H350" s="7">
        <f>'1 datos preparados'!G343</f>
        <v/>
      </c>
      <c r="I350" s="7">
        <f>'1 datos preparados'!H343</f>
        <v/>
      </c>
      <c r="J350" s="7">
        <f>'1 datos preparados'!I343</f>
        <v/>
      </c>
      <c r="K350" s="7">
        <f>'1 datos preparados'!J343</f>
        <v/>
      </c>
      <c r="L350" s="7">
        <f>'1 datos preparados'!K343</f>
        <v/>
      </c>
      <c r="M350" s="7">
        <f>'1 datos preparados'!L343</f>
        <v/>
      </c>
      <c r="N350" s="7">
        <f>'1 datos preparados'!M343</f>
        <v/>
      </c>
      <c r="O350" s="7">
        <f>'1 datos preparados'!N343</f>
        <v/>
      </c>
      <c r="P350" s="7">
        <f>'1 datos preparados'!O343</f>
        <v/>
      </c>
      <c r="Q350" s="7">
        <f>'1 datos preparados'!P343</f>
        <v/>
      </c>
      <c r="R350" s="7">
        <f>'1 datos preparados'!Q343</f>
        <v/>
      </c>
      <c r="S350" s="7">
        <f>'1 datos preparados'!R343</f>
        <v/>
      </c>
      <c r="T350" s="7">
        <f>'1 datos preparados'!S343</f>
        <v/>
      </c>
      <c r="U350" s="7">
        <f>'1 datos preparados'!T343</f>
        <v/>
      </c>
      <c r="V350" s="8">
        <f>$AE$12+D350*$AE$13+E350*$AE$14+F350*$AE$15+G350*$AE$16+H350*$AE$17+I350*$AE$18+J350*$AE$19+K350*$AE$20+L350*$AE$21+M350*$AE$22+N350*$AE$23+O350*$AE$24+P350*$AE$25+Q350*$AE$26+R350*$AE$27+S350*$AE$28+T350*$AE$29+U350*$AE$30</f>
        <v/>
      </c>
      <c r="W350" s="8">
        <f>1/(1+EXP(-V350))</f>
        <v/>
      </c>
      <c r="X350" s="9">
        <f>-IF(C350=1,LN(W350),LN(1-W350))</f>
        <v/>
      </c>
      <c r="Y350" s="8">
        <f>'1 datos preparados'!V343</f>
        <v/>
      </c>
      <c r="Z350" s="9">
        <f>Y350*X350</f>
        <v/>
      </c>
      <c r="AA350" s="10">
        <f>IF(W350&gt;$AE$33,1,0)</f>
        <v/>
      </c>
      <c r="AB350">
        <f>IF(AA350=C350,1,0)</f>
        <v/>
      </c>
    </row>
    <row r="351">
      <c r="A351">
        <f>'1 datos preparados'!A344</f>
        <v/>
      </c>
      <c r="B351" s="5">
        <f>'1 datos preparados'!U344</f>
        <v/>
      </c>
      <c r="C351">
        <f>'1 datos preparados'!B344</f>
        <v/>
      </c>
      <c r="D351" s="7">
        <f>'1 datos preparados'!C344</f>
        <v/>
      </c>
      <c r="E351" s="7">
        <f>'1 datos preparados'!D344</f>
        <v/>
      </c>
      <c r="F351" s="7">
        <f>'1 datos preparados'!E344</f>
        <v/>
      </c>
      <c r="G351" s="7">
        <f>'1 datos preparados'!F344</f>
        <v/>
      </c>
      <c r="H351" s="7">
        <f>'1 datos preparados'!G344</f>
        <v/>
      </c>
      <c r="I351" s="7">
        <f>'1 datos preparados'!H344</f>
        <v/>
      </c>
      <c r="J351" s="7">
        <f>'1 datos preparados'!I344</f>
        <v/>
      </c>
      <c r="K351" s="7">
        <f>'1 datos preparados'!J344</f>
        <v/>
      </c>
      <c r="L351" s="7">
        <f>'1 datos preparados'!K344</f>
        <v/>
      </c>
      <c r="M351" s="7">
        <f>'1 datos preparados'!L344</f>
        <v/>
      </c>
      <c r="N351" s="7">
        <f>'1 datos preparados'!M344</f>
        <v/>
      </c>
      <c r="O351" s="7">
        <f>'1 datos preparados'!N344</f>
        <v/>
      </c>
      <c r="P351" s="7">
        <f>'1 datos preparados'!O344</f>
        <v/>
      </c>
      <c r="Q351" s="7">
        <f>'1 datos preparados'!P344</f>
        <v/>
      </c>
      <c r="R351" s="7">
        <f>'1 datos preparados'!Q344</f>
        <v/>
      </c>
      <c r="S351" s="7">
        <f>'1 datos preparados'!R344</f>
        <v/>
      </c>
      <c r="T351" s="7">
        <f>'1 datos preparados'!S344</f>
        <v/>
      </c>
      <c r="U351" s="7">
        <f>'1 datos preparados'!T344</f>
        <v/>
      </c>
      <c r="V351" s="8">
        <f>$AE$12+D351*$AE$13+E351*$AE$14+F351*$AE$15+G351*$AE$16+H351*$AE$17+I351*$AE$18+J351*$AE$19+K351*$AE$20+L351*$AE$21+M351*$AE$22+N351*$AE$23+O351*$AE$24+P351*$AE$25+Q351*$AE$26+R351*$AE$27+S351*$AE$28+T351*$AE$29+U351*$AE$30</f>
        <v/>
      </c>
      <c r="W351" s="8">
        <f>1/(1+EXP(-V351))</f>
        <v/>
      </c>
      <c r="X351" s="9">
        <f>-IF(C351=1,LN(W351),LN(1-W351))</f>
        <v/>
      </c>
      <c r="Y351" s="8">
        <f>'1 datos preparados'!V344</f>
        <v/>
      </c>
      <c r="Z351" s="9">
        <f>Y351*X351</f>
        <v/>
      </c>
      <c r="AA351" s="10">
        <f>IF(W351&gt;$AE$33,1,0)</f>
        <v/>
      </c>
      <c r="AB351">
        <f>IF(AA351=C351,1,0)</f>
        <v/>
      </c>
    </row>
    <row r="352">
      <c r="A352">
        <f>'1 datos preparados'!A345</f>
        <v/>
      </c>
      <c r="B352" s="5">
        <f>'1 datos preparados'!U345</f>
        <v/>
      </c>
      <c r="C352">
        <f>'1 datos preparados'!B345</f>
        <v/>
      </c>
      <c r="D352" s="7">
        <f>'1 datos preparados'!C345</f>
        <v/>
      </c>
      <c r="E352" s="7">
        <f>'1 datos preparados'!D345</f>
        <v/>
      </c>
      <c r="F352" s="7">
        <f>'1 datos preparados'!E345</f>
        <v/>
      </c>
      <c r="G352" s="7">
        <f>'1 datos preparados'!F345</f>
        <v/>
      </c>
      <c r="H352" s="7">
        <f>'1 datos preparados'!G345</f>
        <v/>
      </c>
      <c r="I352" s="7">
        <f>'1 datos preparados'!H345</f>
        <v/>
      </c>
      <c r="J352" s="7">
        <f>'1 datos preparados'!I345</f>
        <v/>
      </c>
      <c r="K352" s="7">
        <f>'1 datos preparados'!J345</f>
        <v/>
      </c>
      <c r="L352" s="7">
        <f>'1 datos preparados'!K345</f>
        <v/>
      </c>
      <c r="M352" s="7">
        <f>'1 datos preparados'!L345</f>
        <v/>
      </c>
      <c r="N352" s="7">
        <f>'1 datos preparados'!M345</f>
        <v/>
      </c>
      <c r="O352" s="7">
        <f>'1 datos preparados'!N345</f>
        <v/>
      </c>
      <c r="P352" s="7">
        <f>'1 datos preparados'!O345</f>
        <v/>
      </c>
      <c r="Q352" s="7">
        <f>'1 datos preparados'!P345</f>
        <v/>
      </c>
      <c r="R352" s="7">
        <f>'1 datos preparados'!Q345</f>
        <v/>
      </c>
      <c r="S352" s="7">
        <f>'1 datos preparados'!R345</f>
        <v/>
      </c>
      <c r="T352" s="7">
        <f>'1 datos preparados'!S345</f>
        <v/>
      </c>
      <c r="U352" s="7">
        <f>'1 datos preparados'!T345</f>
        <v/>
      </c>
      <c r="V352" s="8">
        <f>$AE$12+D352*$AE$13+E352*$AE$14+F352*$AE$15+G352*$AE$16+H352*$AE$17+I352*$AE$18+J352*$AE$19+K352*$AE$20+L352*$AE$21+M352*$AE$22+N352*$AE$23+O352*$AE$24+P352*$AE$25+Q352*$AE$26+R352*$AE$27+S352*$AE$28+T352*$AE$29+U352*$AE$30</f>
        <v/>
      </c>
      <c r="W352" s="8">
        <f>1/(1+EXP(-V352))</f>
        <v/>
      </c>
      <c r="X352" s="9">
        <f>-IF(C352=1,LN(W352),LN(1-W352))</f>
        <v/>
      </c>
      <c r="Y352" s="8">
        <f>'1 datos preparados'!V345</f>
        <v/>
      </c>
      <c r="Z352" s="9">
        <f>Y352*X352</f>
        <v/>
      </c>
      <c r="AA352" s="10">
        <f>IF(W352&gt;$AE$33,1,0)</f>
        <v/>
      </c>
      <c r="AB352">
        <f>IF(AA352=C352,1,0)</f>
        <v/>
      </c>
    </row>
    <row r="353">
      <c r="A353">
        <f>'1 datos preparados'!A346</f>
        <v/>
      </c>
      <c r="B353" s="5">
        <f>'1 datos preparados'!U346</f>
        <v/>
      </c>
      <c r="C353">
        <f>'1 datos preparados'!B346</f>
        <v/>
      </c>
      <c r="D353" s="7">
        <f>'1 datos preparados'!C346</f>
        <v/>
      </c>
      <c r="E353" s="7">
        <f>'1 datos preparados'!D346</f>
        <v/>
      </c>
      <c r="F353" s="7">
        <f>'1 datos preparados'!E346</f>
        <v/>
      </c>
      <c r="G353" s="7">
        <f>'1 datos preparados'!F346</f>
        <v/>
      </c>
      <c r="H353" s="7">
        <f>'1 datos preparados'!G346</f>
        <v/>
      </c>
      <c r="I353" s="7">
        <f>'1 datos preparados'!H346</f>
        <v/>
      </c>
      <c r="J353" s="7">
        <f>'1 datos preparados'!I346</f>
        <v/>
      </c>
      <c r="K353" s="7">
        <f>'1 datos preparados'!J346</f>
        <v/>
      </c>
      <c r="L353" s="7">
        <f>'1 datos preparados'!K346</f>
        <v/>
      </c>
      <c r="M353" s="7">
        <f>'1 datos preparados'!L346</f>
        <v/>
      </c>
      <c r="N353" s="7">
        <f>'1 datos preparados'!M346</f>
        <v/>
      </c>
      <c r="O353" s="7">
        <f>'1 datos preparados'!N346</f>
        <v/>
      </c>
      <c r="P353" s="7">
        <f>'1 datos preparados'!O346</f>
        <v/>
      </c>
      <c r="Q353" s="7">
        <f>'1 datos preparados'!P346</f>
        <v/>
      </c>
      <c r="R353" s="7">
        <f>'1 datos preparados'!Q346</f>
        <v/>
      </c>
      <c r="S353" s="7">
        <f>'1 datos preparados'!R346</f>
        <v/>
      </c>
      <c r="T353" s="7">
        <f>'1 datos preparados'!S346</f>
        <v/>
      </c>
      <c r="U353" s="7">
        <f>'1 datos preparados'!T346</f>
        <v/>
      </c>
      <c r="V353" s="8">
        <f>$AE$12+D353*$AE$13+E353*$AE$14+F353*$AE$15+G353*$AE$16+H353*$AE$17+I353*$AE$18+J353*$AE$19+K353*$AE$20+L353*$AE$21+M353*$AE$22+N353*$AE$23+O353*$AE$24+P353*$AE$25+Q353*$AE$26+R353*$AE$27+S353*$AE$28+T353*$AE$29+U353*$AE$30</f>
        <v/>
      </c>
      <c r="W353" s="8">
        <f>1/(1+EXP(-V353))</f>
        <v/>
      </c>
      <c r="X353" s="9">
        <f>-IF(C353=1,LN(W353),LN(1-W353))</f>
        <v/>
      </c>
      <c r="Y353" s="8">
        <f>'1 datos preparados'!V346</f>
        <v/>
      </c>
      <c r="Z353" s="9">
        <f>Y353*X353</f>
        <v/>
      </c>
      <c r="AA353" s="10">
        <f>IF(W353&gt;$AE$33,1,0)</f>
        <v/>
      </c>
      <c r="AB353">
        <f>IF(AA353=C353,1,0)</f>
        <v/>
      </c>
    </row>
    <row r="354">
      <c r="A354">
        <f>'1 datos preparados'!A347</f>
        <v/>
      </c>
      <c r="B354" s="5">
        <f>'1 datos preparados'!U347</f>
        <v/>
      </c>
      <c r="C354">
        <f>'1 datos preparados'!B347</f>
        <v/>
      </c>
      <c r="D354" s="7">
        <f>'1 datos preparados'!C347</f>
        <v/>
      </c>
      <c r="E354" s="7">
        <f>'1 datos preparados'!D347</f>
        <v/>
      </c>
      <c r="F354" s="7">
        <f>'1 datos preparados'!E347</f>
        <v/>
      </c>
      <c r="G354" s="7">
        <f>'1 datos preparados'!F347</f>
        <v/>
      </c>
      <c r="H354" s="7">
        <f>'1 datos preparados'!G347</f>
        <v/>
      </c>
      <c r="I354" s="7">
        <f>'1 datos preparados'!H347</f>
        <v/>
      </c>
      <c r="J354" s="7">
        <f>'1 datos preparados'!I347</f>
        <v/>
      </c>
      <c r="K354" s="7">
        <f>'1 datos preparados'!J347</f>
        <v/>
      </c>
      <c r="L354" s="7">
        <f>'1 datos preparados'!K347</f>
        <v/>
      </c>
      <c r="M354" s="7">
        <f>'1 datos preparados'!L347</f>
        <v/>
      </c>
      <c r="N354" s="7">
        <f>'1 datos preparados'!M347</f>
        <v/>
      </c>
      <c r="O354" s="7">
        <f>'1 datos preparados'!N347</f>
        <v/>
      </c>
      <c r="P354" s="7">
        <f>'1 datos preparados'!O347</f>
        <v/>
      </c>
      <c r="Q354" s="7">
        <f>'1 datos preparados'!P347</f>
        <v/>
      </c>
      <c r="R354" s="7">
        <f>'1 datos preparados'!Q347</f>
        <v/>
      </c>
      <c r="S354" s="7">
        <f>'1 datos preparados'!R347</f>
        <v/>
      </c>
      <c r="T354" s="7">
        <f>'1 datos preparados'!S347</f>
        <v/>
      </c>
      <c r="U354" s="7">
        <f>'1 datos preparados'!T347</f>
        <v/>
      </c>
      <c r="V354" s="8">
        <f>$AE$12+D354*$AE$13+E354*$AE$14+F354*$AE$15+G354*$AE$16+H354*$AE$17+I354*$AE$18+J354*$AE$19+K354*$AE$20+L354*$AE$21+M354*$AE$22+N354*$AE$23+O354*$AE$24+P354*$AE$25+Q354*$AE$26+R354*$AE$27+S354*$AE$28+T354*$AE$29+U354*$AE$30</f>
        <v/>
      </c>
      <c r="W354" s="8">
        <f>1/(1+EXP(-V354))</f>
        <v/>
      </c>
      <c r="X354" s="9">
        <f>-IF(C354=1,LN(W354),LN(1-W354))</f>
        <v/>
      </c>
      <c r="Y354" s="8">
        <f>'1 datos preparados'!V347</f>
        <v/>
      </c>
      <c r="Z354" s="9">
        <f>Y354*X354</f>
        <v/>
      </c>
      <c r="AA354" s="10">
        <f>IF(W354&gt;$AE$33,1,0)</f>
        <v/>
      </c>
      <c r="AB354">
        <f>IF(AA354=C354,1,0)</f>
        <v/>
      </c>
    </row>
    <row r="355">
      <c r="A355">
        <f>'1 datos preparados'!A348</f>
        <v/>
      </c>
      <c r="B355" s="5">
        <f>'1 datos preparados'!U348</f>
        <v/>
      </c>
      <c r="C355">
        <f>'1 datos preparados'!B348</f>
        <v/>
      </c>
      <c r="D355" s="7">
        <f>'1 datos preparados'!C348</f>
        <v/>
      </c>
      <c r="E355" s="7">
        <f>'1 datos preparados'!D348</f>
        <v/>
      </c>
      <c r="F355" s="7">
        <f>'1 datos preparados'!E348</f>
        <v/>
      </c>
      <c r="G355" s="7">
        <f>'1 datos preparados'!F348</f>
        <v/>
      </c>
      <c r="H355" s="7">
        <f>'1 datos preparados'!G348</f>
        <v/>
      </c>
      <c r="I355" s="7">
        <f>'1 datos preparados'!H348</f>
        <v/>
      </c>
      <c r="J355" s="7">
        <f>'1 datos preparados'!I348</f>
        <v/>
      </c>
      <c r="K355" s="7">
        <f>'1 datos preparados'!J348</f>
        <v/>
      </c>
      <c r="L355" s="7">
        <f>'1 datos preparados'!K348</f>
        <v/>
      </c>
      <c r="M355" s="7">
        <f>'1 datos preparados'!L348</f>
        <v/>
      </c>
      <c r="N355" s="7">
        <f>'1 datos preparados'!M348</f>
        <v/>
      </c>
      <c r="O355" s="7">
        <f>'1 datos preparados'!N348</f>
        <v/>
      </c>
      <c r="P355" s="7">
        <f>'1 datos preparados'!O348</f>
        <v/>
      </c>
      <c r="Q355" s="7">
        <f>'1 datos preparados'!P348</f>
        <v/>
      </c>
      <c r="R355" s="7">
        <f>'1 datos preparados'!Q348</f>
        <v/>
      </c>
      <c r="S355" s="7">
        <f>'1 datos preparados'!R348</f>
        <v/>
      </c>
      <c r="T355" s="7">
        <f>'1 datos preparados'!S348</f>
        <v/>
      </c>
      <c r="U355" s="7">
        <f>'1 datos preparados'!T348</f>
        <v/>
      </c>
      <c r="V355" s="8">
        <f>$AE$12+D355*$AE$13+E355*$AE$14+F355*$AE$15+G355*$AE$16+H355*$AE$17+I355*$AE$18+J355*$AE$19+K355*$AE$20+L355*$AE$21+M355*$AE$22+N355*$AE$23+O355*$AE$24+P355*$AE$25+Q355*$AE$26+R355*$AE$27+S355*$AE$28+T355*$AE$29+U355*$AE$30</f>
        <v/>
      </c>
      <c r="W355" s="8">
        <f>1/(1+EXP(-V355))</f>
        <v/>
      </c>
      <c r="X355" s="9">
        <f>-IF(C355=1,LN(W355),LN(1-W355))</f>
        <v/>
      </c>
      <c r="Y355" s="8">
        <f>'1 datos preparados'!V348</f>
        <v/>
      </c>
      <c r="Z355" s="9">
        <f>Y355*X355</f>
        <v/>
      </c>
      <c r="AA355" s="10">
        <f>IF(W355&gt;$AE$33,1,0)</f>
        <v/>
      </c>
      <c r="AB355">
        <f>IF(AA355=C355,1,0)</f>
        <v/>
      </c>
    </row>
    <row r="356">
      <c r="A356">
        <f>'1 datos preparados'!A349</f>
        <v/>
      </c>
      <c r="B356" s="5">
        <f>'1 datos preparados'!U349</f>
        <v/>
      </c>
      <c r="C356">
        <f>'1 datos preparados'!B349</f>
        <v/>
      </c>
      <c r="D356" s="7">
        <f>'1 datos preparados'!C349</f>
        <v/>
      </c>
      <c r="E356" s="7">
        <f>'1 datos preparados'!D349</f>
        <v/>
      </c>
      <c r="F356" s="7">
        <f>'1 datos preparados'!E349</f>
        <v/>
      </c>
      <c r="G356" s="7">
        <f>'1 datos preparados'!F349</f>
        <v/>
      </c>
      <c r="H356" s="7">
        <f>'1 datos preparados'!G349</f>
        <v/>
      </c>
      <c r="I356" s="7">
        <f>'1 datos preparados'!H349</f>
        <v/>
      </c>
      <c r="J356" s="7">
        <f>'1 datos preparados'!I349</f>
        <v/>
      </c>
      <c r="K356" s="7">
        <f>'1 datos preparados'!J349</f>
        <v/>
      </c>
      <c r="L356" s="7">
        <f>'1 datos preparados'!K349</f>
        <v/>
      </c>
      <c r="M356" s="7">
        <f>'1 datos preparados'!L349</f>
        <v/>
      </c>
      <c r="N356" s="7">
        <f>'1 datos preparados'!M349</f>
        <v/>
      </c>
      <c r="O356" s="7">
        <f>'1 datos preparados'!N349</f>
        <v/>
      </c>
      <c r="P356" s="7">
        <f>'1 datos preparados'!O349</f>
        <v/>
      </c>
      <c r="Q356" s="7">
        <f>'1 datos preparados'!P349</f>
        <v/>
      </c>
      <c r="R356" s="7">
        <f>'1 datos preparados'!Q349</f>
        <v/>
      </c>
      <c r="S356" s="7">
        <f>'1 datos preparados'!R349</f>
        <v/>
      </c>
      <c r="T356" s="7">
        <f>'1 datos preparados'!S349</f>
        <v/>
      </c>
      <c r="U356" s="7">
        <f>'1 datos preparados'!T349</f>
        <v/>
      </c>
      <c r="V356" s="8">
        <f>$AE$12+D356*$AE$13+E356*$AE$14+F356*$AE$15+G356*$AE$16+H356*$AE$17+I356*$AE$18+J356*$AE$19+K356*$AE$20+L356*$AE$21+M356*$AE$22+N356*$AE$23+O356*$AE$24+P356*$AE$25+Q356*$AE$26+R356*$AE$27+S356*$AE$28+T356*$AE$29+U356*$AE$30</f>
        <v/>
      </c>
      <c r="W356" s="8">
        <f>1/(1+EXP(-V356))</f>
        <v/>
      </c>
      <c r="X356" s="9">
        <f>-IF(C356=1,LN(W356),LN(1-W356))</f>
        <v/>
      </c>
      <c r="Y356" s="8">
        <f>'1 datos preparados'!V349</f>
        <v/>
      </c>
      <c r="Z356" s="9">
        <f>Y356*X356</f>
        <v/>
      </c>
      <c r="AA356" s="10">
        <f>IF(W356&gt;$AE$33,1,0)</f>
        <v/>
      </c>
      <c r="AB356">
        <f>IF(AA356=C356,1,0)</f>
        <v/>
      </c>
    </row>
    <row r="357">
      <c r="A357">
        <f>'1 datos preparados'!A350</f>
        <v/>
      </c>
      <c r="B357" s="5">
        <f>'1 datos preparados'!U350</f>
        <v/>
      </c>
      <c r="C357">
        <f>'1 datos preparados'!B350</f>
        <v/>
      </c>
      <c r="D357" s="7">
        <f>'1 datos preparados'!C350</f>
        <v/>
      </c>
      <c r="E357" s="7">
        <f>'1 datos preparados'!D350</f>
        <v/>
      </c>
      <c r="F357" s="7">
        <f>'1 datos preparados'!E350</f>
        <v/>
      </c>
      <c r="G357" s="7">
        <f>'1 datos preparados'!F350</f>
        <v/>
      </c>
      <c r="H357" s="7">
        <f>'1 datos preparados'!G350</f>
        <v/>
      </c>
      <c r="I357" s="7">
        <f>'1 datos preparados'!H350</f>
        <v/>
      </c>
      <c r="J357" s="7">
        <f>'1 datos preparados'!I350</f>
        <v/>
      </c>
      <c r="K357" s="7">
        <f>'1 datos preparados'!J350</f>
        <v/>
      </c>
      <c r="L357" s="7">
        <f>'1 datos preparados'!K350</f>
        <v/>
      </c>
      <c r="M357" s="7">
        <f>'1 datos preparados'!L350</f>
        <v/>
      </c>
      <c r="N357" s="7">
        <f>'1 datos preparados'!M350</f>
        <v/>
      </c>
      <c r="O357" s="7">
        <f>'1 datos preparados'!N350</f>
        <v/>
      </c>
      <c r="P357" s="7">
        <f>'1 datos preparados'!O350</f>
        <v/>
      </c>
      <c r="Q357" s="7">
        <f>'1 datos preparados'!P350</f>
        <v/>
      </c>
      <c r="R357" s="7">
        <f>'1 datos preparados'!Q350</f>
        <v/>
      </c>
      <c r="S357" s="7">
        <f>'1 datos preparados'!R350</f>
        <v/>
      </c>
      <c r="T357" s="7">
        <f>'1 datos preparados'!S350</f>
        <v/>
      </c>
      <c r="U357" s="7">
        <f>'1 datos preparados'!T350</f>
        <v/>
      </c>
      <c r="V357" s="8">
        <f>$AE$12+D357*$AE$13+E357*$AE$14+F357*$AE$15+G357*$AE$16+H357*$AE$17+I357*$AE$18+J357*$AE$19+K357*$AE$20+L357*$AE$21+M357*$AE$22+N357*$AE$23+O357*$AE$24+P357*$AE$25+Q357*$AE$26+R357*$AE$27+S357*$AE$28+T357*$AE$29+U357*$AE$30</f>
        <v/>
      </c>
      <c r="W357" s="8">
        <f>1/(1+EXP(-V357))</f>
        <v/>
      </c>
      <c r="X357" s="9">
        <f>-IF(C357=1,LN(W357),LN(1-W357))</f>
        <v/>
      </c>
      <c r="Y357" s="8">
        <f>'1 datos preparados'!V350</f>
        <v/>
      </c>
      <c r="Z357" s="9">
        <f>Y357*X357</f>
        <v/>
      </c>
      <c r="AA357" s="10">
        <f>IF(W357&gt;$AE$33,1,0)</f>
        <v/>
      </c>
      <c r="AB357">
        <f>IF(AA357=C357,1,0)</f>
        <v/>
      </c>
    </row>
    <row r="358">
      <c r="A358">
        <f>'1 datos preparados'!A351</f>
        <v/>
      </c>
      <c r="B358" s="5">
        <f>'1 datos preparados'!U351</f>
        <v/>
      </c>
      <c r="C358">
        <f>'1 datos preparados'!B351</f>
        <v/>
      </c>
      <c r="D358" s="7">
        <f>'1 datos preparados'!C351</f>
        <v/>
      </c>
      <c r="E358" s="7">
        <f>'1 datos preparados'!D351</f>
        <v/>
      </c>
      <c r="F358" s="7">
        <f>'1 datos preparados'!E351</f>
        <v/>
      </c>
      <c r="G358" s="7">
        <f>'1 datos preparados'!F351</f>
        <v/>
      </c>
      <c r="H358" s="7">
        <f>'1 datos preparados'!G351</f>
        <v/>
      </c>
      <c r="I358" s="7">
        <f>'1 datos preparados'!H351</f>
        <v/>
      </c>
      <c r="J358" s="7">
        <f>'1 datos preparados'!I351</f>
        <v/>
      </c>
      <c r="K358" s="7">
        <f>'1 datos preparados'!J351</f>
        <v/>
      </c>
      <c r="L358" s="7">
        <f>'1 datos preparados'!K351</f>
        <v/>
      </c>
      <c r="M358" s="7">
        <f>'1 datos preparados'!L351</f>
        <v/>
      </c>
      <c r="N358" s="7">
        <f>'1 datos preparados'!M351</f>
        <v/>
      </c>
      <c r="O358" s="7">
        <f>'1 datos preparados'!N351</f>
        <v/>
      </c>
      <c r="P358" s="7">
        <f>'1 datos preparados'!O351</f>
        <v/>
      </c>
      <c r="Q358" s="7">
        <f>'1 datos preparados'!P351</f>
        <v/>
      </c>
      <c r="R358" s="7">
        <f>'1 datos preparados'!Q351</f>
        <v/>
      </c>
      <c r="S358" s="7">
        <f>'1 datos preparados'!R351</f>
        <v/>
      </c>
      <c r="T358" s="7">
        <f>'1 datos preparados'!S351</f>
        <v/>
      </c>
      <c r="U358" s="7">
        <f>'1 datos preparados'!T351</f>
        <v/>
      </c>
      <c r="V358" s="8">
        <f>$AE$12+D358*$AE$13+E358*$AE$14+F358*$AE$15+G358*$AE$16+H358*$AE$17+I358*$AE$18+J358*$AE$19+K358*$AE$20+L358*$AE$21+M358*$AE$22+N358*$AE$23+O358*$AE$24+P358*$AE$25+Q358*$AE$26+R358*$AE$27+S358*$AE$28+T358*$AE$29+U358*$AE$30</f>
        <v/>
      </c>
      <c r="W358" s="8">
        <f>1/(1+EXP(-V358))</f>
        <v/>
      </c>
      <c r="X358" s="9">
        <f>-IF(C358=1,LN(W358),LN(1-W358))</f>
        <v/>
      </c>
      <c r="Y358" s="8">
        <f>'1 datos preparados'!V351</f>
        <v/>
      </c>
      <c r="Z358" s="9">
        <f>Y358*X358</f>
        <v/>
      </c>
      <c r="AA358" s="10">
        <f>IF(W358&gt;$AE$33,1,0)</f>
        <v/>
      </c>
      <c r="AB358">
        <f>IF(AA358=C358,1,0)</f>
        <v/>
      </c>
    </row>
    <row r="359">
      <c r="A359">
        <f>'1 datos preparados'!A352</f>
        <v/>
      </c>
      <c r="B359" s="5">
        <f>'1 datos preparados'!U352</f>
        <v/>
      </c>
      <c r="C359">
        <f>'1 datos preparados'!B352</f>
        <v/>
      </c>
      <c r="D359" s="7">
        <f>'1 datos preparados'!C352</f>
        <v/>
      </c>
      <c r="E359" s="7">
        <f>'1 datos preparados'!D352</f>
        <v/>
      </c>
      <c r="F359" s="7">
        <f>'1 datos preparados'!E352</f>
        <v/>
      </c>
      <c r="G359" s="7">
        <f>'1 datos preparados'!F352</f>
        <v/>
      </c>
      <c r="H359" s="7">
        <f>'1 datos preparados'!G352</f>
        <v/>
      </c>
      <c r="I359" s="7">
        <f>'1 datos preparados'!H352</f>
        <v/>
      </c>
      <c r="J359" s="7">
        <f>'1 datos preparados'!I352</f>
        <v/>
      </c>
      <c r="K359" s="7">
        <f>'1 datos preparados'!J352</f>
        <v/>
      </c>
      <c r="L359" s="7">
        <f>'1 datos preparados'!K352</f>
        <v/>
      </c>
      <c r="M359" s="7">
        <f>'1 datos preparados'!L352</f>
        <v/>
      </c>
      <c r="N359" s="7">
        <f>'1 datos preparados'!M352</f>
        <v/>
      </c>
      <c r="O359" s="7">
        <f>'1 datos preparados'!N352</f>
        <v/>
      </c>
      <c r="P359" s="7">
        <f>'1 datos preparados'!O352</f>
        <v/>
      </c>
      <c r="Q359" s="7">
        <f>'1 datos preparados'!P352</f>
        <v/>
      </c>
      <c r="R359" s="7">
        <f>'1 datos preparados'!Q352</f>
        <v/>
      </c>
      <c r="S359" s="7">
        <f>'1 datos preparados'!R352</f>
        <v/>
      </c>
      <c r="T359" s="7">
        <f>'1 datos preparados'!S352</f>
        <v/>
      </c>
      <c r="U359" s="7">
        <f>'1 datos preparados'!T352</f>
        <v/>
      </c>
      <c r="V359" s="8">
        <f>$AE$12+D359*$AE$13+E359*$AE$14+F359*$AE$15+G359*$AE$16+H359*$AE$17+I359*$AE$18+J359*$AE$19+K359*$AE$20+L359*$AE$21+M359*$AE$22+N359*$AE$23+O359*$AE$24+P359*$AE$25+Q359*$AE$26+R359*$AE$27+S359*$AE$28+T359*$AE$29+U359*$AE$30</f>
        <v/>
      </c>
      <c r="W359" s="8">
        <f>1/(1+EXP(-V359))</f>
        <v/>
      </c>
      <c r="X359" s="9">
        <f>-IF(C359=1,LN(W359),LN(1-W359))</f>
        <v/>
      </c>
      <c r="Y359" s="8">
        <f>'1 datos preparados'!V352</f>
        <v/>
      </c>
      <c r="Z359" s="9">
        <f>Y359*X359</f>
        <v/>
      </c>
      <c r="AA359" s="10">
        <f>IF(W359&gt;$AE$33,1,0)</f>
        <v/>
      </c>
      <c r="AB359">
        <f>IF(AA359=C359,1,0)</f>
        <v/>
      </c>
    </row>
    <row r="360">
      <c r="A360">
        <f>'1 datos preparados'!A353</f>
        <v/>
      </c>
      <c r="B360" s="5">
        <f>'1 datos preparados'!U353</f>
        <v/>
      </c>
      <c r="C360">
        <f>'1 datos preparados'!B353</f>
        <v/>
      </c>
      <c r="D360" s="7">
        <f>'1 datos preparados'!C353</f>
        <v/>
      </c>
      <c r="E360" s="7">
        <f>'1 datos preparados'!D353</f>
        <v/>
      </c>
      <c r="F360" s="7">
        <f>'1 datos preparados'!E353</f>
        <v/>
      </c>
      <c r="G360" s="7">
        <f>'1 datos preparados'!F353</f>
        <v/>
      </c>
      <c r="H360" s="7">
        <f>'1 datos preparados'!G353</f>
        <v/>
      </c>
      <c r="I360" s="7">
        <f>'1 datos preparados'!H353</f>
        <v/>
      </c>
      <c r="J360" s="7">
        <f>'1 datos preparados'!I353</f>
        <v/>
      </c>
      <c r="K360" s="7">
        <f>'1 datos preparados'!J353</f>
        <v/>
      </c>
      <c r="L360" s="7">
        <f>'1 datos preparados'!K353</f>
        <v/>
      </c>
      <c r="M360" s="7">
        <f>'1 datos preparados'!L353</f>
        <v/>
      </c>
      <c r="N360" s="7">
        <f>'1 datos preparados'!M353</f>
        <v/>
      </c>
      <c r="O360" s="7">
        <f>'1 datos preparados'!N353</f>
        <v/>
      </c>
      <c r="P360" s="7">
        <f>'1 datos preparados'!O353</f>
        <v/>
      </c>
      <c r="Q360" s="7">
        <f>'1 datos preparados'!P353</f>
        <v/>
      </c>
      <c r="R360" s="7">
        <f>'1 datos preparados'!Q353</f>
        <v/>
      </c>
      <c r="S360" s="7">
        <f>'1 datos preparados'!R353</f>
        <v/>
      </c>
      <c r="T360" s="7">
        <f>'1 datos preparados'!S353</f>
        <v/>
      </c>
      <c r="U360" s="7">
        <f>'1 datos preparados'!T353</f>
        <v/>
      </c>
      <c r="V360" s="8">
        <f>$AE$12+D360*$AE$13+E360*$AE$14+F360*$AE$15+G360*$AE$16+H360*$AE$17+I360*$AE$18+J360*$AE$19+K360*$AE$20+L360*$AE$21+M360*$AE$22+N360*$AE$23+O360*$AE$24+P360*$AE$25+Q360*$AE$26+R360*$AE$27+S360*$AE$28+T360*$AE$29+U360*$AE$30</f>
        <v/>
      </c>
      <c r="W360" s="8">
        <f>1/(1+EXP(-V360))</f>
        <v/>
      </c>
      <c r="X360" s="9">
        <f>-IF(C360=1,LN(W360),LN(1-W360))</f>
        <v/>
      </c>
      <c r="Y360" s="8">
        <f>'1 datos preparados'!V353</f>
        <v/>
      </c>
      <c r="Z360" s="9">
        <f>Y360*X360</f>
        <v/>
      </c>
      <c r="AA360" s="10">
        <f>IF(W360&gt;$AE$33,1,0)</f>
        <v/>
      </c>
      <c r="AB360">
        <f>IF(AA360=C360,1,0)</f>
        <v/>
      </c>
    </row>
    <row r="361">
      <c r="A361">
        <f>'1 datos preparados'!A354</f>
        <v/>
      </c>
      <c r="B361" s="5">
        <f>'1 datos preparados'!U354</f>
        <v/>
      </c>
      <c r="C361">
        <f>'1 datos preparados'!B354</f>
        <v/>
      </c>
      <c r="D361" s="7">
        <f>'1 datos preparados'!C354</f>
        <v/>
      </c>
      <c r="E361" s="7">
        <f>'1 datos preparados'!D354</f>
        <v/>
      </c>
      <c r="F361" s="7">
        <f>'1 datos preparados'!E354</f>
        <v/>
      </c>
      <c r="G361" s="7">
        <f>'1 datos preparados'!F354</f>
        <v/>
      </c>
      <c r="H361" s="7">
        <f>'1 datos preparados'!G354</f>
        <v/>
      </c>
      <c r="I361" s="7">
        <f>'1 datos preparados'!H354</f>
        <v/>
      </c>
      <c r="J361" s="7">
        <f>'1 datos preparados'!I354</f>
        <v/>
      </c>
      <c r="K361" s="7">
        <f>'1 datos preparados'!J354</f>
        <v/>
      </c>
      <c r="L361" s="7">
        <f>'1 datos preparados'!K354</f>
        <v/>
      </c>
      <c r="M361" s="7">
        <f>'1 datos preparados'!L354</f>
        <v/>
      </c>
      <c r="N361" s="7">
        <f>'1 datos preparados'!M354</f>
        <v/>
      </c>
      <c r="O361" s="7">
        <f>'1 datos preparados'!N354</f>
        <v/>
      </c>
      <c r="P361" s="7">
        <f>'1 datos preparados'!O354</f>
        <v/>
      </c>
      <c r="Q361" s="7">
        <f>'1 datos preparados'!P354</f>
        <v/>
      </c>
      <c r="R361" s="7">
        <f>'1 datos preparados'!Q354</f>
        <v/>
      </c>
      <c r="S361" s="7">
        <f>'1 datos preparados'!R354</f>
        <v/>
      </c>
      <c r="T361" s="7">
        <f>'1 datos preparados'!S354</f>
        <v/>
      </c>
      <c r="U361" s="7">
        <f>'1 datos preparados'!T354</f>
        <v/>
      </c>
      <c r="V361" s="8">
        <f>$AE$12+D361*$AE$13+E361*$AE$14+F361*$AE$15+G361*$AE$16+H361*$AE$17+I361*$AE$18+J361*$AE$19+K361*$AE$20+L361*$AE$21+M361*$AE$22+N361*$AE$23+O361*$AE$24+P361*$AE$25+Q361*$AE$26+R361*$AE$27+S361*$AE$28+T361*$AE$29+U361*$AE$30</f>
        <v/>
      </c>
      <c r="W361" s="8">
        <f>1/(1+EXP(-V361))</f>
        <v/>
      </c>
      <c r="X361" s="9">
        <f>-IF(C361=1,LN(W361),LN(1-W361))</f>
        <v/>
      </c>
      <c r="Y361" s="8">
        <f>'1 datos preparados'!V354</f>
        <v/>
      </c>
      <c r="Z361" s="9">
        <f>Y361*X361</f>
        <v/>
      </c>
      <c r="AA361" s="10">
        <f>IF(W361&gt;$AE$33,1,0)</f>
        <v/>
      </c>
      <c r="AB361">
        <f>IF(AA361=C361,1,0)</f>
        <v/>
      </c>
    </row>
    <row r="362">
      <c r="A362">
        <f>'1 datos preparados'!A355</f>
        <v/>
      </c>
      <c r="B362" s="5">
        <f>'1 datos preparados'!U355</f>
        <v/>
      </c>
      <c r="C362">
        <f>'1 datos preparados'!B355</f>
        <v/>
      </c>
      <c r="D362" s="7">
        <f>'1 datos preparados'!C355</f>
        <v/>
      </c>
      <c r="E362" s="7">
        <f>'1 datos preparados'!D355</f>
        <v/>
      </c>
      <c r="F362" s="7">
        <f>'1 datos preparados'!E355</f>
        <v/>
      </c>
      <c r="G362" s="7">
        <f>'1 datos preparados'!F355</f>
        <v/>
      </c>
      <c r="H362" s="7">
        <f>'1 datos preparados'!G355</f>
        <v/>
      </c>
      <c r="I362" s="7">
        <f>'1 datos preparados'!H355</f>
        <v/>
      </c>
      <c r="J362" s="7">
        <f>'1 datos preparados'!I355</f>
        <v/>
      </c>
      <c r="K362" s="7">
        <f>'1 datos preparados'!J355</f>
        <v/>
      </c>
      <c r="L362" s="7">
        <f>'1 datos preparados'!K355</f>
        <v/>
      </c>
      <c r="M362" s="7">
        <f>'1 datos preparados'!L355</f>
        <v/>
      </c>
      <c r="N362" s="7">
        <f>'1 datos preparados'!M355</f>
        <v/>
      </c>
      <c r="O362" s="7">
        <f>'1 datos preparados'!N355</f>
        <v/>
      </c>
      <c r="P362" s="7">
        <f>'1 datos preparados'!O355</f>
        <v/>
      </c>
      <c r="Q362" s="7">
        <f>'1 datos preparados'!P355</f>
        <v/>
      </c>
      <c r="R362" s="7">
        <f>'1 datos preparados'!Q355</f>
        <v/>
      </c>
      <c r="S362" s="7">
        <f>'1 datos preparados'!R355</f>
        <v/>
      </c>
      <c r="T362" s="7">
        <f>'1 datos preparados'!S355</f>
        <v/>
      </c>
      <c r="U362" s="7">
        <f>'1 datos preparados'!T355</f>
        <v/>
      </c>
      <c r="V362" s="8">
        <f>$AE$12+D362*$AE$13+E362*$AE$14+F362*$AE$15+G362*$AE$16+H362*$AE$17+I362*$AE$18+J362*$AE$19+K362*$AE$20+L362*$AE$21+M362*$AE$22+N362*$AE$23+O362*$AE$24+P362*$AE$25+Q362*$AE$26+R362*$AE$27+S362*$AE$28+T362*$AE$29+U362*$AE$30</f>
        <v/>
      </c>
      <c r="W362" s="8">
        <f>1/(1+EXP(-V362))</f>
        <v/>
      </c>
      <c r="X362" s="9">
        <f>-IF(C362=1,LN(W362),LN(1-W362))</f>
        <v/>
      </c>
      <c r="Y362" s="8">
        <f>'1 datos preparados'!V355</f>
        <v/>
      </c>
      <c r="Z362" s="9">
        <f>Y362*X362</f>
        <v/>
      </c>
      <c r="AA362" s="10">
        <f>IF(W362&gt;$AE$33,1,0)</f>
        <v/>
      </c>
      <c r="AB362">
        <f>IF(AA362=C362,1,0)</f>
        <v/>
      </c>
    </row>
    <row r="363">
      <c r="A363">
        <f>'1 datos preparados'!A356</f>
        <v/>
      </c>
      <c r="B363" s="5">
        <f>'1 datos preparados'!U356</f>
        <v/>
      </c>
      <c r="C363">
        <f>'1 datos preparados'!B356</f>
        <v/>
      </c>
      <c r="D363" s="7">
        <f>'1 datos preparados'!C356</f>
        <v/>
      </c>
      <c r="E363" s="7">
        <f>'1 datos preparados'!D356</f>
        <v/>
      </c>
      <c r="F363" s="7">
        <f>'1 datos preparados'!E356</f>
        <v/>
      </c>
      <c r="G363" s="7">
        <f>'1 datos preparados'!F356</f>
        <v/>
      </c>
      <c r="H363" s="7">
        <f>'1 datos preparados'!G356</f>
        <v/>
      </c>
      <c r="I363" s="7">
        <f>'1 datos preparados'!H356</f>
        <v/>
      </c>
      <c r="J363" s="7">
        <f>'1 datos preparados'!I356</f>
        <v/>
      </c>
      <c r="K363" s="7">
        <f>'1 datos preparados'!J356</f>
        <v/>
      </c>
      <c r="L363" s="7">
        <f>'1 datos preparados'!K356</f>
        <v/>
      </c>
      <c r="M363" s="7">
        <f>'1 datos preparados'!L356</f>
        <v/>
      </c>
      <c r="N363" s="7">
        <f>'1 datos preparados'!M356</f>
        <v/>
      </c>
      <c r="O363" s="7">
        <f>'1 datos preparados'!N356</f>
        <v/>
      </c>
      <c r="P363" s="7">
        <f>'1 datos preparados'!O356</f>
        <v/>
      </c>
      <c r="Q363" s="7">
        <f>'1 datos preparados'!P356</f>
        <v/>
      </c>
      <c r="R363" s="7">
        <f>'1 datos preparados'!Q356</f>
        <v/>
      </c>
      <c r="S363" s="7">
        <f>'1 datos preparados'!R356</f>
        <v/>
      </c>
      <c r="T363" s="7">
        <f>'1 datos preparados'!S356</f>
        <v/>
      </c>
      <c r="U363" s="7">
        <f>'1 datos preparados'!T356</f>
        <v/>
      </c>
      <c r="V363" s="8">
        <f>$AE$12+D363*$AE$13+E363*$AE$14+F363*$AE$15+G363*$AE$16+H363*$AE$17+I363*$AE$18+J363*$AE$19+K363*$AE$20+L363*$AE$21+M363*$AE$22+N363*$AE$23+O363*$AE$24+P363*$AE$25+Q363*$AE$26+R363*$AE$27+S363*$AE$28+T363*$AE$29+U363*$AE$30</f>
        <v/>
      </c>
      <c r="W363" s="8">
        <f>1/(1+EXP(-V363))</f>
        <v/>
      </c>
      <c r="X363" s="9">
        <f>-IF(C363=1,LN(W363),LN(1-W363))</f>
        <v/>
      </c>
      <c r="Y363" s="8">
        <f>'1 datos preparados'!V356</f>
        <v/>
      </c>
      <c r="Z363" s="9">
        <f>Y363*X363</f>
        <v/>
      </c>
      <c r="AA363" s="10">
        <f>IF(W363&gt;$AE$33,1,0)</f>
        <v/>
      </c>
      <c r="AB363">
        <f>IF(AA363=C363,1,0)</f>
        <v/>
      </c>
    </row>
    <row r="364">
      <c r="A364">
        <f>'1 datos preparados'!A357</f>
        <v/>
      </c>
      <c r="B364" s="5">
        <f>'1 datos preparados'!U357</f>
        <v/>
      </c>
      <c r="C364">
        <f>'1 datos preparados'!B357</f>
        <v/>
      </c>
      <c r="D364" s="7">
        <f>'1 datos preparados'!C357</f>
        <v/>
      </c>
      <c r="E364" s="7">
        <f>'1 datos preparados'!D357</f>
        <v/>
      </c>
      <c r="F364" s="7">
        <f>'1 datos preparados'!E357</f>
        <v/>
      </c>
      <c r="G364" s="7">
        <f>'1 datos preparados'!F357</f>
        <v/>
      </c>
      <c r="H364" s="7">
        <f>'1 datos preparados'!G357</f>
        <v/>
      </c>
      <c r="I364" s="7">
        <f>'1 datos preparados'!H357</f>
        <v/>
      </c>
      <c r="J364" s="7">
        <f>'1 datos preparados'!I357</f>
        <v/>
      </c>
      <c r="K364" s="7">
        <f>'1 datos preparados'!J357</f>
        <v/>
      </c>
      <c r="L364" s="7">
        <f>'1 datos preparados'!K357</f>
        <v/>
      </c>
      <c r="M364" s="7">
        <f>'1 datos preparados'!L357</f>
        <v/>
      </c>
      <c r="N364" s="7">
        <f>'1 datos preparados'!M357</f>
        <v/>
      </c>
      <c r="O364" s="7">
        <f>'1 datos preparados'!N357</f>
        <v/>
      </c>
      <c r="P364" s="7">
        <f>'1 datos preparados'!O357</f>
        <v/>
      </c>
      <c r="Q364" s="7">
        <f>'1 datos preparados'!P357</f>
        <v/>
      </c>
      <c r="R364" s="7">
        <f>'1 datos preparados'!Q357</f>
        <v/>
      </c>
      <c r="S364" s="7">
        <f>'1 datos preparados'!R357</f>
        <v/>
      </c>
      <c r="T364" s="7">
        <f>'1 datos preparados'!S357</f>
        <v/>
      </c>
      <c r="U364" s="7">
        <f>'1 datos preparados'!T357</f>
        <v/>
      </c>
      <c r="V364" s="8">
        <f>$AE$12+D364*$AE$13+E364*$AE$14+F364*$AE$15+G364*$AE$16+H364*$AE$17+I364*$AE$18+J364*$AE$19+K364*$AE$20+L364*$AE$21+M364*$AE$22+N364*$AE$23+O364*$AE$24+P364*$AE$25+Q364*$AE$26+R364*$AE$27+S364*$AE$28+T364*$AE$29+U364*$AE$30</f>
        <v/>
      </c>
      <c r="W364" s="8">
        <f>1/(1+EXP(-V364))</f>
        <v/>
      </c>
      <c r="X364" s="9">
        <f>-IF(C364=1,LN(W364),LN(1-W364))</f>
        <v/>
      </c>
      <c r="Y364" s="8">
        <f>'1 datos preparados'!V357</f>
        <v/>
      </c>
      <c r="Z364" s="9">
        <f>Y364*X364</f>
        <v/>
      </c>
      <c r="AA364" s="10">
        <f>IF(W364&gt;$AE$33,1,0)</f>
        <v/>
      </c>
      <c r="AB364">
        <f>IF(AA364=C364,1,0)</f>
        <v/>
      </c>
    </row>
    <row r="365">
      <c r="A365">
        <f>'1 datos preparados'!A358</f>
        <v/>
      </c>
      <c r="B365" s="5">
        <f>'1 datos preparados'!U358</f>
        <v/>
      </c>
      <c r="C365">
        <f>'1 datos preparados'!B358</f>
        <v/>
      </c>
      <c r="D365" s="7">
        <f>'1 datos preparados'!C358</f>
        <v/>
      </c>
      <c r="E365" s="7">
        <f>'1 datos preparados'!D358</f>
        <v/>
      </c>
      <c r="F365" s="7">
        <f>'1 datos preparados'!E358</f>
        <v/>
      </c>
      <c r="G365" s="7">
        <f>'1 datos preparados'!F358</f>
        <v/>
      </c>
      <c r="H365" s="7">
        <f>'1 datos preparados'!G358</f>
        <v/>
      </c>
      <c r="I365" s="7">
        <f>'1 datos preparados'!H358</f>
        <v/>
      </c>
      <c r="J365" s="7">
        <f>'1 datos preparados'!I358</f>
        <v/>
      </c>
      <c r="K365" s="7">
        <f>'1 datos preparados'!J358</f>
        <v/>
      </c>
      <c r="L365" s="7">
        <f>'1 datos preparados'!K358</f>
        <v/>
      </c>
      <c r="M365" s="7">
        <f>'1 datos preparados'!L358</f>
        <v/>
      </c>
      <c r="N365" s="7">
        <f>'1 datos preparados'!M358</f>
        <v/>
      </c>
      <c r="O365" s="7">
        <f>'1 datos preparados'!N358</f>
        <v/>
      </c>
      <c r="P365" s="7">
        <f>'1 datos preparados'!O358</f>
        <v/>
      </c>
      <c r="Q365" s="7">
        <f>'1 datos preparados'!P358</f>
        <v/>
      </c>
      <c r="R365" s="7">
        <f>'1 datos preparados'!Q358</f>
        <v/>
      </c>
      <c r="S365" s="7">
        <f>'1 datos preparados'!R358</f>
        <v/>
      </c>
      <c r="T365" s="7">
        <f>'1 datos preparados'!S358</f>
        <v/>
      </c>
      <c r="U365" s="7">
        <f>'1 datos preparados'!T358</f>
        <v/>
      </c>
      <c r="V365" s="8">
        <f>$AE$12+D365*$AE$13+E365*$AE$14+F365*$AE$15+G365*$AE$16+H365*$AE$17+I365*$AE$18+J365*$AE$19+K365*$AE$20+L365*$AE$21+M365*$AE$22+N365*$AE$23+O365*$AE$24+P365*$AE$25+Q365*$AE$26+R365*$AE$27+S365*$AE$28+T365*$AE$29+U365*$AE$30</f>
        <v/>
      </c>
      <c r="W365" s="8">
        <f>1/(1+EXP(-V365))</f>
        <v/>
      </c>
      <c r="X365" s="9">
        <f>-IF(C365=1,LN(W365),LN(1-W365))</f>
        <v/>
      </c>
      <c r="Y365" s="8">
        <f>'1 datos preparados'!V358</f>
        <v/>
      </c>
      <c r="Z365" s="9">
        <f>Y365*X365</f>
        <v/>
      </c>
      <c r="AA365" s="10">
        <f>IF(W365&gt;$AE$33,1,0)</f>
        <v/>
      </c>
      <c r="AB365">
        <f>IF(AA365=C365,1,0)</f>
        <v/>
      </c>
    </row>
    <row r="366">
      <c r="A366">
        <f>'1 datos preparados'!A359</f>
        <v/>
      </c>
      <c r="B366" s="5">
        <f>'1 datos preparados'!U359</f>
        <v/>
      </c>
      <c r="C366">
        <f>'1 datos preparados'!B359</f>
        <v/>
      </c>
      <c r="D366" s="7">
        <f>'1 datos preparados'!C359</f>
        <v/>
      </c>
      <c r="E366" s="7">
        <f>'1 datos preparados'!D359</f>
        <v/>
      </c>
      <c r="F366" s="7">
        <f>'1 datos preparados'!E359</f>
        <v/>
      </c>
      <c r="G366" s="7">
        <f>'1 datos preparados'!F359</f>
        <v/>
      </c>
      <c r="H366" s="7">
        <f>'1 datos preparados'!G359</f>
        <v/>
      </c>
      <c r="I366" s="7">
        <f>'1 datos preparados'!H359</f>
        <v/>
      </c>
      <c r="J366" s="7">
        <f>'1 datos preparados'!I359</f>
        <v/>
      </c>
      <c r="K366" s="7">
        <f>'1 datos preparados'!J359</f>
        <v/>
      </c>
      <c r="L366" s="7">
        <f>'1 datos preparados'!K359</f>
        <v/>
      </c>
      <c r="M366" s="7">
        <f>'1 datos preparados'!L359</f>
        <v/>
      </c>
      <c r="N366" s="7">
        <f>'1 datos preparados'!M359</f>
        <v/>
      </c>
      <c r="O366" s="7">
        <f>'1 datos preparados'!N359</f>
        <v/>
      </c>
      <c r="P366" s="7">
        <f>'1 datos preparados'!O359</f>
        <v/>
      </c>
      <c r="Q366" s="7">
        <f>'1 datos preparados'!P359</f>
        <v/>
      </c>
      <c r="R366" s="7">
        <f>'1 datos preparados'!Q359</f>
        <v/>
      </c>
      <c r="S366" s="7">
        <f>'1 datos preparados'!R359</f>
        <v/>
      </c>
      <c r="T366" s="7">
        <f>'1 datos preparados'!S359</f>
        <v/>
      </c>
      <c r="U366" s="7">
        <f>'1 datos preparados'!T359</f>
        <v/>
      </c>
      <c r="V366" s="8">
        <f>$AE$12+D366*$AE$13+E366*$AE$14+F366*$AE$15+G366*$AE$16+H366*$AE$17+I366*$AE$18+J366*$AE$19+K366*$AE$20+L366*$AE$21+M366*$AE$22+N366*$AE$23+O366*$AE$24+P366*$AE$25+Q366*$AE$26+R366*$AE$27+S366*$AE$28+T366*$AE$29+U366*$AE$30</f>
        <v/>
      </c>
      <c r="W366" s="8">
        <f>1/(1+EXP(-V366))</f>
        <v/>
      </c>
      <c r="X366" s="9">
        <f>-IF(C366=1,LN(W366),LN(1-W366))</f>
        <v/>
      </c>
      <c r="Y366" s="8">
        <f>'1 datos preparados'!V359</f>
        <v/>
      </c>
      <c r="Z366" s="9">
        <f>Y366*X366</f>
        <v/>
      </c>
      <c r="AA366" s="10">
        <f>IF(W366&gt;$AE$33,1,0)</f>
        <v/>
      </c>
      <c r="AB366">
        <f>IF(AA366=C366,1,0)</f>
        <v/>
      </c>
    </row>
    <row r="367">
      <c r="A367">
        <f>'1 datos preparados'!A360</f>
        <v/>
      </c>
      <c r="B367" s="5">
        <f>'1 datos preparados'!U360</f>
        <v/>
      </c>
      <c r="C367">
        <f>'1 datos preparados'!B360</f>
        <v/>
      </c>
      <c r="D367" s="7">
        <f>'1 datos preparados'!C360</f>
        <v/>
      </c>
      <c r="E367" s="7">
        <f>'1 datos preparados'!D360</f>
        <v/>
      </c>
      <c r="F367" s="7">
        <f>'1 datos preparados'!E360</f>
        <v/>
      </c>
      <c r="G367" s="7">
        <f>'1 datos preparados'!F360</f>
        <v/>
      </c>
      <c r="H367" s="7">
        <f>'1 datos preparados'!G360</f>
        <v/>
      </c>
      <c r="I367" s="7">
        <f>'1 datos preparados'!H360</f>
        <v/>
      </c>
      <c r="J367" s="7">
        <f>'1 datos preparados'!I360</f>
        <v/>
      </c>
      <c r="K367" s="7">
        <f>'1 datos preparados'!J360</f>
        <v/>
      </c>
      <c r="L367" s="7">
        <f>'1 datos preparados'!K360</f>
        <v/>
      </c>
      <c r="M367" s="7">
        <f>'1 datos preparados'!L360</f>
        <v/>
      </c>
      <c r="N367" s="7">
        <f>'1 datos preparados'!M360</f>
        <v/>
      </c>
      <c r="O367" s="7">
        <f>'1 datos preparados'!N360</f>
        <v/>
      </c>
      <c r="P367" s="7">
        <f>'1 datos preparados'!O360</f>
        <v/>
      </c>
      <c r="Q367" s="7">
        <f>'1 datos preparados'!P360</f>
        <v/>
      </c>
      <c r="R367" s="7">
        <f>'1 datos preparados'!Q360</f>
        <v/>
      </c>
      <c r="S367" s="7">
        <f>'1 datos preparados'!R360</f>
        <v/>
      </c>
      <c r="T367" s="7">
        <f>'1 datos preparados'!S360</f>
        <v/>
      </c>
      <c r="U367" s="7">
        <f>'1 datos preparados'!T360</f>
        <v/>
      </c>
      <c r="V367" s="8">
        <f>$AE$12+D367*$AE$13+E367*$AE$14+F367*$AE$15+G367*$AE$16+H367*$AE$17+I367*$AE$18+J367*$AE$19+K367*$AE$20+L367*$AE$21+M367*$AE$22+N367*$AE$23+O367*$AE$24+P367*$AE$25+Q367*$AE$26+R367*$AE$27+S367*$AE$28+T367*$AE$29+U367*$AE$30</f>
        <v/>
      </c>
      <c r="W367" s="8">
        <f>1/(1+EXP(-V367))</f>
        <v/>
      </c>
      <c r="X367" s="9">
        <f>-IF(C367=1,LN(W367),LN(1-W367))</f>
        <v/>
      </c>
      <c r="Y367" s="8">
        <f>'1 datos preparados'!V360</f>
        <v/>
      </c>
      <c r="Z367" s="9">
        <f>Y367*X367</f>
        <v/>
      </c>
      <c r="AA367" s="10">
        <f>IF(W367&gt;$AE$33,1,0)</f>
        <v/>
      </c>
      <c r="AB367">
        <f>IF(AA367=C367,1,0)</f>
        <v/>
      </c>
    </row>
    <row r="368">
      <c r="A368">
        <f>'1 datos preparados'!A361</f>
        <v/>
      </c>
      <c r="B368" s="5">
        <f>'1 datos preparados'!U361</f>
        <v/>
      </c>
      <c r="C368">
        <f>'1 datos preparados'!B361</f>
        <v/>
      </c>
      <c r="D368" s="7">
        <f>'1 datos preparados'!C361</f>
        <v/>
      </c>
      <c r="E368" s="7">
        <f>'1 datos preparados'!D361</f>
        <v/>
      </c>
      <c r="F368" s="7">
        <f>'1 datos preparados'!E361</f>
        <v/>
      </c>
      <c r="G368" s="7">
        <f>'1 datos preparados'!F361</f>
        <v/>
      </c>
      <c r="H368" s="7">
        <f>'1 datos preparados'!G361</f>
        <v/>
      </c>
      <c r="I368" s="7">
        <f>'1 datos preparados'!H361</f>
        <v/>
      </c>
      <c r="J368" s="7">
        <f>'1 datos preparados'!I361</f>
        <v/>
      </c>
      <c r="K368" s="7">
        <f>'1 datos preparados'!J361</f>
        <v/>
      </c>
      <c r="L368" s="7">
        <f>'1 datos preparados'!K361</f>
        <v/>
      </c>
      <c r="M368" s="7">
        <f>'1 datos preparados'!L361</f>
        <v/>
      </c>
      <c r="N368" s="7">
        <f>'1 datos preparados'!M361</f>
        <v/>
      </c>
      <c r="O368" s="7">
        <f>'1 datos preparados'!N361</f>
        <v/>
      </c>
      <c r="P368" s="7">
        <f>'1 datos preparados'!O361</f>
        <v/>
      </c>
      <c r="Q368" s="7">
        <f>'1 datos preparados'!P361</f>
        <v/>
      </c>
      <c r="R368" s="7">
        <f>'1 datos preparados'!Q361</f>
        <v/>
      </c>
      <c r="S368" s="7">
        <f>'1 datos preparados'!R361</f>
        <v/>
      </c>
      <c r="T368" s="7">
        <f>'1 datos preparados'!S361</f>
        <v/>
      </c>
      <c r="U368" s="7">
        <f>'1 datos preparados'!T361</f>
        <v/>
      </c>
      <c r="V368" s="8">
        <f>$AE$12+D368*$AE$13+E368*$AE$14+F368*$AE$15+G368*$AE$16+H368*$AE$17+I368*$AE$18+J368*$AE$19+K368*$AE$20+L368*$AE$21+M368*$AE$22+N368*$AE$23+O368*$AE$24+P368*$AE$25+Q368*$AE$26+R368*$AE$27+S368*$AE$28+T368*$AE$29+U368*$AE$30</f>
        <v/>
      </c>
      <c r="W368" s="8">
        <f>1/(1+EXP(-V368))</f>
        <v/>
      </c>
      <c r="X368" s="9">
        <f>-IF(C368=1,LN(W368),LN(1-W368))</f>
        <v/>
      </c>
      <c r="Y368" s="8">
        <f>'1 datos preparados'!V361</f>
        <v/>
      </c>
      <c r="Z368" s="9">
        <f>Y368*X368</f>
        <v/>
      </c>
      <c r="AA368" s="10">
        <f>IF(W368&gt;$AE$33,1,0)</f>
        <v/>
      </c>
      <c r="AB368">
        <f>IF(AA368=C368,1,0)</f>
        <v/>
      </c>
    </row>
    <row r="369">
      <c r="A369">
        <f>'1 datos preparados'!A362</f>
        <v/>
      </c>
      <c r="B369" s="5">
        <f>'1 datos preparados'!U362</f>
        <v/>
      </c>
      <c r="C369">
        <f>'1 datos preparados'!B362</f>
        <v/>
      </c>
      <c r="D369" s="7">
        <f>'1 datos preparados'!C362</f>
        <v/>
      </c>
      <c r="E369" s="7">
        <f>'1 datos preparados'!D362</f>
        <v/>
      </c>
      <c r="F369" s="7">
        <f>'1 datos preparados'!E362</f>
        <v/>
      </c>
      <c r="G369" s="7">
        <f>'1 datos preparados'!F362</f>
        <v/>
      </c>
      <c r="H369" s="7">
        <f>'1 datos preparados'!G362</f>
        <v/>
      </c>
      <c r="I369" s="7">
        <f>'1 datos preparados'!H362</f>
        <v/>
      </c>
      <c r="J369" s="7">
        <f>'1 datos preparados'!I362</f>
        <v/>
      </c>
      <c r="K369" s="7">
        <f>'1 datos preparados'!J362</f>
        <v/>
      </c>
      <c r="L369" s="7">
        <f>'1 datos preparados'!K362</f>
        <v/>
      </c>
      <c r="M369" s="7">
        <f>'1 datos preparados'!L362</f>
        <v/>
      </c>
      <c r="N369" s="7">
        <f>'1 datos preparados'!M362</f>
        <v/>
      </c>
      <c r="O369" s="7">
        <f>'1 datos preparados'!N362</f>
        <v/>
      </c>
      <c r="P369" s="7">
        <f>'1 datos preparados'!O362</f>
        <v/>
      </c>
      <c r="Q369" s="7">
        <f>'1 datos preparados'!P362</f>
        <v/>
      </c>
      <c r="R369" s="7">
        <f>'1 datos preparados'!Q362</f>
        <v/>
      </c>
      <c r="S369" s="7">
        <f>'1 datos preparados'!R362</f>
        <v/>
      </c>
      <c r="T369" s="7">
        <f>'1 datos preparados'!S362</f>
        <v/>
      </c>
      <c r="U369" s="7">
        <f>'1 datos preparados'!T362</f>
        <v/>
      </c>
      <c r="V369" s="8">
        <f>$AE$12+D369*$AE$13+E369*$AE$14+F369*$AE$15+G369*$AE$16+H369*$AE$17+I369*$AE$18+J369*$AE$19+K369*$AE$20+L369*$AE$21+M369*$AE$22+N369*$AE$23+O369*$AE$24+P369*$AE$25+Q369*$AE$26+R369*$AE$27+S369*$AE$28+T369*$AE$29+U369*$AE$30</f>
        <v/>
      </c>
      <c r="W369" s="8">
        <f>1/(1+EXP(-V369))</f>
        <v/>
      </c>
      <c r="X369" s="9">
        <f>-IF(C369=1,LN(W369),LN(1-W369))</f>
        <v/>
      </c>
      <c r="Y369" s="8">
        <f>'1 datos preparados'!V362</f>
        <v/>
      </c>
      <c r="Z369" s="9">
        <f>Y369*X369</f>
        <v/>
      </c>
      <c r="AA369" s="10">
        <f>IF(W369&gt;$AE$33,1,0)</f>
        <v/>
      </c>
      <c r="AB369">
        <f>IF(AA369=C369,1,0)</f>
        <v/>
      </c>
    </row>
    <row r="370">
      <c r="A370">
        <f>'1 datos preparados'!A363</f>
        <v/>
      </c>
      <c r="B370" s="5">
        <f>'1 datos preparados'!U363</f>
        <v/>
      </c>
      <c r="C370">
        <f>'1 datos preparados'!B363</f>
        <v/>
      </c>
      <c r="D370" s="7">
        <f>'1 datos preparados'!C363</f>
        <v/>
      </c>
      <c r="E370" s="7">
        <f>'1 datos preparados'!D363</f>
        <v/>
      </c>
      <c r="F370" s="7">
        <f>'1 datos preparados'!E363</f>
        <v/>
      </c>
      <c r="G370" s="7">
        <f>'1 datos preparados'!F363</f>
        <v/>
      </c>
      <c r="H370" s="7">
        <f>'1 datos preparados'!G363</f>
        <v/>
      </c>
      <c r="I370" s="7">
        <f>'1 datos preparados'!H363</f>
        <v/>
      </c>
      <c r="J370" s="7">
        <f>'1 datos preparados'!I363</f>
        <v/>
      </c>
      <c r="K370" s="7">
        <f>'1 datos preparados'!J363</f>
        <v/>
      </c>
      <c r="L370" s="7">
        <f>'1 datos preparados'!K363</f>
        <v/>
      </c>
      <c r="M370" s="7">
        <f>'1 datos preparados'!L363</f>
        <v/>
      </c>
      <c r="N370" s="7">
        <f>'1 datos preparados'!M363</f>
        <v/>
      </c>
      <c r="O370" s="7">
        <f>'1 datos preparados'!N363</f>
        <v/>
      </c>
      <c r="P370" s="7">
        <f>'1 datos preparados'!O363</f>
        <v/>
      </c>
      <c r="Q370" s="7">
        <f>'1 datos preparados'!P363</f>
        <v/>
      </c>
      <c r="R370" s="7">
        <f>'1 datos preparados'!Q363</f>
        <v/>
      </c>
      <c r="S370" s="7">
        <f>'1 datos preparados'!R363</f>
        <v/>
      </c>
      <c r="T370" s="7">
        <f>'1 datos preparados'!S363</f>
        <v/>
      </c>
      <c r="U370" s="7">
        <f>'1 datos preparados'!T363</f>
        <v/>
      </c>
      <c r="V370" s="8">
        <f>$AE$12+D370*$AE$13+E370*$AE$14+F370*$AE$15+G370*$AE$16+H370*$AE$17+I370*$AE$18+J370*$AE$19+K370*$AE$20+L370*$AE$21+M370*$AE$22+N370*$AE$23+O370*$AE$24+P370*$AE$25+Q370*$AE$26+R370*$AE$27+S370*$AE$28+T370*$AE$29+U370*$AE$30</f>
        <v/>
      </c>
      <c r="W370" s="8">
        <f>1/(1+EXP(-V370))</f>
        <v/>
      </c>
      <c r="X370" s="9">
        <f>-IF(C370=1,LN(W370),LN(1-W370))</f>
        <v/>
      </c>
      <c r="Y370" s="8">
        <f>'1 datos preparados'!V363</f>
        <v/>
      </c>
      <c r="Z370" s="9">
        <f>Y370*X370</f>
        <v/>
      </c>
      <c r="AA370" s="10">
        <f>IF(W370&gt;$AE$33,1,0)</f>
        <v/>
      </c>
      <c r="AB370">
        <f>IF(AA370=C370,1,0)</f>
        <v/>
      </c>
    </row>
    <row r="371">
      <c r="A371">
        <f>'1 datos preparados'!A364</f>
        <v/>
      </c>
      <c r="B371" s="5">
        <f>'1 datos preparados'!U364</f>
        <v/>
      </c>
      <c r="C371">
        <f>'1 datos preparados'!B364</f>
        <v/>
      </c>
      <c r="D371" s="7">
        <f>'1 datos preparados'!C364</f>
        <v/>
      </c>
      <c r="E371" s="7">
        <f>'1 datos preparados'!D364</f>
        <v/>
      </c>
      <c r="F371" s="7">
        <f>'1 datos preparados'!E364</f>
        <v/>
      </c>
      <c r="G371" s="7">
        <f>'1 datos preparados'!F364</f>
        <v/>
      </c>
      <c r="H371" s="7">
        <f>'1 datos preparados'!G364</f>
        <v/>
      </c>
      <c r="I371" s="7">
        <f>'1 datos preparados'!H364</f>
        <v/>
      </c>
      <c r="J371" s="7">
        <f>'1 datos preparados'!I364</f>
        <v/>
      </c>
      <c r="K371" s="7">
        <f>'1 datos preparados'!J364</f>
        <v/>
      </c>
      <c r="L371" s="7">
        <f>'1 datos preparados'!K364</f>
        <v/>
      </c>
      <c r="M371" s="7">
        <f>'1 datos preparados'!L364</f>
        <v/>
      </c>
      <c r="N371" s="7">
        <f>'1 datos preparados'!M364</f>
        <v/>
      </c>
      <c r="O371" s="7">
        <f>'1 datos preparados'!N364</f>
        <v/>
      </c>
      <c r="P371" s="7">
        <f>'1 datos preparados'!O364</f>
        <v/>
      </c>
      <c r="Q371" s="7">
        <f>'1 datos preparados'!P364</f>
        <v/>
      </c>
      <c r="R371" s="7">
        <f>'1 datos preparados'!Q364</f>
        <v/>
      </c>
      <c r="S371" s="7">
        <f>'1 datos preparados'!R364</f>
        <v/>
      </c>
      <c r="T371" s="7">
        <f>'1 datos preparados'!S364</f>
        <v/>
      </c>
      <c r="U371" s="7">
        <f>'1 datos preparados'!T364</f>
        <v/>
      </c>
      <c r="V371" s="8">
        <f>$AE$12+D371*$AE$13+E371*$AE$14+F371*$AE$15+G371*$AE$16+H371*$AE$17+I371*$AE$18+J371*$AE$19+K371*$AE$20+L371*$AE$21+M371*$AE$22+N371*$AE$23+O371*$AE$24+P371*$AE$25+Q371*$AE$26+R371*$AE$27+S371*$AE$28+T371*$AE$29+U371*$AE$30</f>
        <v/>
      </c>
      <c r="W371" s="8">
        <f>1/(1+EXP(-V371))</f>
        <v/>
      </c>
      <c r="X371" s="9">
        <f>-IF(C371=1,LN(W371),LN(1-W371))</f>
        <v/>
      </c>
      <c r="Y371" s="8">
        <f>'1 datos preparados'!V364</f>
        <v/>
      </c>
      <c r="Z371" s="9">
        <f>Y371*X371</f>
        <v/>
      </c>
      <c r="AA371" s="10">
        <f>IF(W371&gt;$AE$33,1,0)</f>
        <v/>
      </c>
      <c r="AB371">
        <f>IF(AA371=C371,1,0)</f>
        <v/>
      </c>
    </row>
    <row r="372">
      <c r="A372">
        <f>'1 datos preparados'!A365</f>
        <v/>
      </c>
      <c r="B372" s="5">
        <f>'1 datos preparados'!U365</f>
        <v/>
      </c>
      <c r="C372">
        <f>'1 datos preparados'!B365</f>
        <v/>
      </c>
      <c r="D372" s="7">
        <f>'1 datos preparados'!C365</f>
        <v/>
      </c>
      <c r="E372" s="7">
        <f>'1 datos preparados'!D365</f>
        <v/>
      </c>
      <c r="F372" s="7">
        <f>'1 datos preparados'!E365</f>
        <v/>
      </c>
      <c r="G372" s="7">
        <f>'1 datos preparados'!F365</f>
        <v/>
      </c>
      <c r="H372" s="7">
        <f>'1 datos preparados'!G365</f>
        <v/>
      </c>
      <c r="I372" s="7">
        <f>'1 datos preparados'!H365</f>
        <v/>
      </c>
      <c r="J372" s="7">
        <f>'1 datos preparados'!I365</f>
        <v/>
      </c>
      <c r="K372" s="7">
        <f>'1 datos preparados'!J365</f>
        <v/>
      </c>
      <c r="L372" s="7">
        <f>'1 datos preparados'!K365</f>
        <v/>
      </c>
      <c r="M372" s="7">
        <f>'1 datos preparados'!L365</f>
        <v/>
      </c>
      <c r="N372" s="7">
        <f>'1 datos preparados'!M365</f>
        <v/>
      </c>
      <c r="O372" s="7">
        <f>'1 datos preparados'!N365</f>
        <v/>
      </c>
      <c r="P372" s="7">
        <f>'1 datos preparados'!O365</f>
        <v/>
      </c>
      <c r="Q372" s="7">
        <f>'1 datos preparados'!P365</f>
        <v/>
      </c>
      <c r="R372" s="7">
        <f>'1 datos preparados'!Q365</f>
        <v/>
      </c>
      <c r="S372" s="7">
        <f>'1 datos preparados'!R365</f>
        <v/>
      </c>
      <c r="T372" s="7">
        <f>'1 datos preparados'!S365</f>
        <v/>
      </c>
      <c r="U372" s="7">
        <f>'1 datos preparados'!T365</f>
        <v/>
      </c>
      <c r="V372" s="8">
        <f>$AE$12+D372*$AE$13+E372*$AE$14+F372*$AE$15+G372*$AE$16+H372*$AE$17+I372*$AE$18+J372*$AE$19+K372*$AE$20+L372*$AE$21+M372*$AE$22+N372*$AE$23+O372*$AE$24+P372*$AE$25+Q372*$AE$26+R372*$AE$27+S372*$AE$28+T372*$AE$29+U372*$AE$30</f>
        <v/>
      </c>
      <c r="W372" s="8">
        <f>1/(1+EXP(-V372))</f>
        <v/>
      </c>
      <c r="X372" s="9">
        <f>-IF(C372=1,LN(W372),LN(1-W372))</f>
        <v/>
      </c>
      <c r="Y372" s="8">
        <f>'1 datos preparados'!V365</f>
        <v/>
      </c>
      <c r="Z372" s="9">
        <f>Y372*X372</f>
        <v/>
      </c>
      <c r="AA372" s="10">
        <f>IF(W372&gt;$AE$33,1,0)</f>
        <v/>
      </c>
      <c r="AB372">
        <f>IF(AA372=C372,1,0)</f>
        <v/>
      </c>
    </row>
    <row r="373">
      <c r="A373">
        <f>'1 datos preparados'!A366</f>
        <v/>
      </c>
      <c r="B373" s="5">
        <f>'1 datos preparados'!U366</f>
        <v/>
      </c>
      <c r="C373">
        <f>'1 datos preparados'!B366</f>
        <v/>
      </c>
      <c r="D373" s="7">
        <f>'1 datos preparados'!C366</f>
        <v/>
      </c>
      <c r="E373" s="7">
        <f>'1 datos preparados'!D366</f>
        <v/>
      </c>
      <c r="F373" s="7">
        <f>'1 datos preparados'!E366</f>
        <v/>
      </c>
      <c r="G373" s="7">
        <f>'1 datos preparados'!F366</f>
        <v/>
      </c>
      <c r="H373" s="7">
        <f>'1 datos preparados'!G366</f>
        <v/>
      </c>
      <c r="I373" s="7">
        <f>'1 datos preparados'!H366</f>
        <v/>
      </c>
      <c r="J373" s="7">
        <f>'1 datos preparados'!I366</f>
        <v/>
      </c>
      <c r="K373" s="7">
        <f>'1 datos preparados'!J366</f>
        <v/>
      </c>
      <c r="L373" s="7">
        <f>'1 datos preparados'!K366</f>
        <v/>
      </c>
      <c r="M373" s="7">
        <f>'1 datos preparados'!L366</f>
        <v/>
      </c>
      <c r="N373" s="7">
        <f>'1 datos preparados'!M366</f>
        <v/>
      </c>
      <c r="O373" s="7">
        <f>'1 datos preparados'!N366</f>
        <v/>
      </c>
      <c r="P373" s="7">
        <f>'1 datos preparados'!O366</f>
        <v/>
      </c>
      <c r="Q373" s="7">
        <f>'1 datos preparados'!P366</f>
        <v/>
      </c>
      <c r="R373" s="7">
        <f>'1 datos preparados'!Q366</f>
        <v/>
      </c>
      <c r="S373" s="7">
        <f>'1 datos preparados'!R366</f>
        <v/>
      </c>
      <c r="T373" s="7">
        <f>'1 datos preparados'!S366</f>
        <v/>
      </c>
      <c r="U373" s="7">
        <f>'1 datos preparados'!T366</f>
        <v/>
      </c>
      <c r="V373" s="8">
        <f>$AE$12+D373*$AE$13+E373*$AE$14+F373*$AE$15+G373*$AE$16+H373*$AE$17+I373*$AE$18+J373*$AE$19+K373*$AE$20+L373*$AE$21+M373*$AE$22+N373*$AE$23+O373*$AE$24+P373*$AE$25+Q373*$AE$26+R373*$AE$27+S373*$AE$28+T373*$AE$29+U373*$AE$30</f>
        <v/>
      </c>
      <c r="W373" s="8">
        <f>1/(1+EXP(-V373))</f>
        <v/>
      </c>
      <c r="X373" s="9">
        <f>-IF(C373=1,LN(W373),LN(1-W373))</f>
        <v/>
      </c>
      <c r="Y373" s="8">
        <f>'1 datos preparados'!V366</f>
        <v/>
      </c>
      <c r="Z373" s="9">
        <f>Y373*X373</f>
        <v/>
      </c>
      <c r="AA373" s="10">
        <f>IF(W373&gt;$AE$33,1,0)</f>
        <v/>
      </c>
      <c r="AB373">
        <f>IF(AA373=C373,1,0)</f>
        <v/>
      </c>
    </row>
    <row r="374">
      <c r="A374">
        <f>'1 datos preparados'!A367</f>
        <v/>
      </c>
      <c r="B374" s="5">
        <f>'1 datos preparados'!U367</f>
        <v/>
      </c>
      <c r="C374">
        <f>'1 datos preparados'!B367</f>
        <v/>
      </c>
      <c r="D374" s="7">
        <f>'1 datos preparados'!C367</f>
        <v/>
      </c>
      <c r="E374" s="7">
        <f>'1 datos preparados'!D367</f>
        <v/>
      </c>
      <c r="F374" s="7">
        <f>'1 datos preparados'!E367</f>
        <v/>
      </c>
      <c r="G374" s="7">
        <f>'1 datos preparados'!F367</f>
        <v/>
      </c>
      <c r="H374" s="7">
        <f>'1 datos preparados'!G367</f>
        <v/>
      </c>
      <c r="I374" s="7">
        <f>'1 datos preparados'!H367</f>
        <v/>
      </c>
      <c r="J374" s="7">
        <f>'1 datos preparados'!I367</f>
        <v/>
      </c>
      <c r="K374" s="7">
        <f>'1 datos preparados'!J367</f>
        <v/>
      </c>
      <c r="L374" s="7">
        <f>'1 datos preparados'!K367</f>
        <v/>
      </c>
      <c r="M374" s="7">
        <f>'1 datos preparados'!L367</f>
        <v/>
      </c>
      <c r="N374" s="7">
        <f>'1 datos preparados'!M367</f>
        <v/>
      </c>
      <c r="O374" s="7">
        <f>'1 datos preparados'!N367</f>
        <v/>
      </c>
      <c r="P374" s="7">
        <f>'1 datos preparados'!O367</f>
        <v/>
      </c>
      <c r="Q374" s="7">
        <f>'1 datos preparados'!P367</f>
        <v/>
      </c>
      <c r="R374" s="7">
        <f>'1 datos preparados'!Q367</f>
        <v/>
      </c>
      <c r="S374" s="7">
        <f>'1 datos preparados'!R367</f>
        <v/>
      </c>
      <c r="T374" s="7">
        <f>'1 datos preparados'!S367</f>
        <v/>
      </c>
      <c r="U374" s="7">
        <f>'1 datos preparados'!T367</f>
        <v/>
      </c>
      <c r="V374" s="8">
        <f>$AE$12+D374*$AE$13+E374*$AE$14+F374*$AE$15+G374*$AE$16+H374*$AE$17+I374*$AE$18+J374*$AE$19+K374*$AE$20+L374*$AE$21+M374*$AE$22+N374*$AE$23+O374*$AE$24+P374*$AE$25+Q374*$AE$26+R374*$AE$27+S374*$AE$28+T374*$AE$29+U374*$AE$30</f>
        <v/>
      </c>
      <c r="W374" s="8">
        <f>1/(1+EXP(-V374))</f>
        <v/>
      </c>
      <c r="X374" s="9">
        <f>-IF(C374=1,LN(W374),LN(1-W374))</f>
        <v/>
      </c>
      <c r="Y374" s="8">
        <f>'1 datos preparados'!V367</f>
        <v/>
      </c>
      <c r="Z374" s="9">
        <f>Y374*X374</f>
        <v/>
      </c>
      <c r="AA374" s="10">
        <f>IF(W374&gt;$AE$33,1,0)</f>
        <v/>
      </c>
      <c r="AB374">
        <f>IF(AA374=C374,1,0)</f>
        <v/>
      </c>
    </row>
    <row r="375">
      <c r="A375">
        <f>'1 datos preparados'!A368</f>
        <v/>
      </c>
      <c r="B375" s="5">
        <f>'1 datos preparados'!U368</f>
        <v/>
      </c>
      <c r="C375">
        <f>'1 datos preparados'!B368</f>
        <v/>
      </c>
      <c r="D375" s="7">
        <f>'1 datos preparados'!C368</f>
        <v/>
      </c>
      <c r="E375" s="7">
        <f>'1 datos preparados'!D368</f>
        <v/>
      </c>
      <c r="F375" s="7">
        <f>'1 datos preparados'!E368</f>
        <v/>
      </c>
      <c r="G375" s="7">
        <f>'1 datos preparados'!F368</f>
        <v/>
      </c>
      <c r="H375" s="7">
        <f>'1 datos preparados'!G368</f>
        <v/>
      </c>
      <c r="I375" s="7">
        <f>'1 datos preparados'!H368</f>
        <v/>
      </c>
      <c r="J375" s="7">
        <f>'1 datos preparados'!I368</f>
        <v/>
      </c>
      <c r="K375" s="7">
        <f>'1 datos preparados'!J368</f>
        <v/>
      </c>
      <c r="L375" s="7">
        <f>'1 datos preparados'!K368</f>
        <v/>
      </c>
      <c r="M375" s="7">
        <f>'1 datos preparados'!L368</f>
        <v/>
      </c>
      <c r="N375" s="7">
        <f>'1 datos preparados'!M368</f>
        <v/>
      </c>
      <c r="O375" s="7">
        <f>'1 datos preparados'!N368</f>
        <v/>
      </c>
      <c r="P375" s="7">
        <f>'1 datos preparados'!O368</f>
        <v/>
      </c>
      <c r="Q375" s="7">
        <f>'1 datos preparados'!P368</f>
        <v/>
      </c>
      <c r="R375" s="7">
        <f>'1 datos preparados'!Q368</f>
        <v/>
      </c>
      <c r="S375" s="7">
        <f>'1 datos preparados'!R368</f>
        <v/>
      </c>
      <c r="T375" s="7">
        <f>'1 datos preparados'!S368</f>
        <v/>
      </c>
      <c r="U375" s="7">
        <f>'1 datos preparados'!T368</f>
        <v/>
      </c>
      <c r="V375" s="8">
        <f>$AE$12+D375*$AE$13+E375*$AE$14+F375*$AE$15+G375*$AE$16+H375*$AE$17+I375*$AE$18+J375*$AE$19+K375*$AE$20+L375*$AE$21+M375*$AE$22+N375*$AE$23+O375*$AE$24+P375*$AE$25+Q375*$AE$26+R375*$AE$27+S375*$AE$28+T375*$AE$29+U375*$AE$30</f>
        <v/>
      </c>
      <c r="W375" s="8">
        <f>1/(1+EXP(-V375))</f>
        <v/>
      </c>
      <c r="X375" s="9">
        <f>-IF(C375=1,LN(W375),LN(1-W375))</f>
        <v/>
      </c>
      <c r="Y375" s="8">
        <f>'1 datos preparados'!V368</f>
        <v/>
      </c>
      <c r="Z375" s="9">
        <f>Y375*X375</f>
        <v/>
      </c>
      <c r="AA375" s="10">
        <f>IF(W375&gt;$AE$33,1,0)</f>
        <v/>
      </c>
      <c r="AB375">
        <f>IF(AA375=C375,1,0)</f>
        <v/>
      </c>
    </row>
    <row r="376">
      <c r="A376">
        <f>'1 datos preparados'!A369</f>
        <v/>
      </c>
      <c r="B376" s="5">
        <f>'1 datos preparados'!U369</f>
        <v/>
      </c>
      <c r="C376">
        <f>'1 datos preparados'!B369</f>
        <v/>
      </c>
      <c r="D376" s="7">
        <f>'1 datos preparados'!C369</f>
        <v/>
      </c>
      <c r="E376" s="7">
        <f>'1 datos preparados'!D369</f>
        <v/>
      </c>
      <c r="F376" s="7">
        <f>'1 datos preparados'!E369</f>
        <v/>
      </c>
      <c r="G376" s="7">
        <f>'1 datos preparados'!F369</f>
        <v/>
      </c>
      <c r="H376" s="7">
        <f>'1 datos preparados'!G369</f>
        <v/>
      </c>
      <c r="I376" s="7">
        <f>'1 datos preparados'!H369</f>
        <v/>
      </c>
      <c r="J376" s="7">
        <f>'1 datos preparados'!I369</f>
        <v/>
      </c>
      <c r="K376" s="7">
        <f>'1 datos preparados'!J369</f>
        <v/>
      </c>
      <c r="L376" s="7">
        <f>'1 datos preparados'!K369</f>
        <v/>
      </c>
      <c r="M376" s="7">
        <f>'1 datos preparados'!L369</f>
        <v/>
      </c>
      <c r="N376" s="7">
        <f>'1 datos preparados'!M369</f>
        <v/>
      </c>
      <c r="O376" s="7">
        <f>'1 datos preparados'!N369</f>
        <v/>
      </c>
      <c r="P376" s="7">
        <f>'1 datos preparados'!O369</f>
        <v/>
      </c>
      <c r="Q376" s="7">
        <f>'1 datos preparados'!P369</f>
        <v/>
      </c>
      <c r="R376" s="7">
        <f>'1 datos preparados'!Q369</f>
        <v/>
      </c>
      <c r="S376" s="7">
        <f>'1 datos preparados'!R369</f>
        <v/>
      </c>
      <c r="T376" s="7">
        <f>'1 datos preparados'!S369</f>
        <v/>
      </c>
      <c r="U376" s="7">
        <f>'1 datos preparados'!T369</f>
        <v/>
      </c>
      <c r="V376" s="8">
        <f>$AE$12+D376*$AE$13+E376*$AE$14+F376*$AE$15+G376*$AE$16+H376*$AE$17+I376*$AE$18+J376*$AE$19+K376*$AE$20+L376*$AE$21+M376*$AE$22+N376*$AE$23+O376*$AE$24+P376*$AE$25+Q376*$AE$26+R376*$AE$27+S376*$AE$28+T376*$AE$29+U376*$AE$30</f>
        <v/>
      </c>
      <c r="W376" s="8">
        <f>1/(1+EXP(-V376))</f>
        <v/>
      </c>
      <c r="X376" s="9">
        <f>-IF(C376=1,LN(W376),LN(1-W376))</f>
        <v/>
      </c>
      <c r="Y376" s="8">
        <f>'1 datos preparados'!V369</f>
        <v/>
      </c>
      <c r="Z376" s="9">
        <f>Y376*X376</f>
        <v/>
      </c>
      <c r="AA376" s="10">
        <f>IF(W376&gt;$AE$33,1,0)</f>
        <v/>
      </c>
      <c r="AB376">
        <f>IF(AA376=C376,1,0)</f>
        <v/>
      </c>
    </row>
    <row r="377">
      <c r="A377">
        <f>'1 datos preparados'!A370</f>
        <v/>
      </c>
      <c r="B377" s="5">
        <f>'1 datos preparados'!U370</f>
        <v/>
      </c>
      <c r="C377">
        <f>'1 datos preparados'!B370</f>
        <v/>
      </c>
      <c r="D377" s="7">
        <f>'1 datos preparados'!C370</f>
        <v/>
      </c>
      <c r="E377" s="7">
        <f>'1 datos preparados'!D370</f>
        <v/>
      </c>
      <c r="F377" s="7">
        <f>'1 datos preparados'!E370</f>
        <v/>
      </c>
      <c r="G377" s="7">
        <f>'1 datos preparados'!F370</f>
        <v/>
      </c>
      <c r="H377" s="7">
        <f>'1 datos preparados'!G370</f>
        <v/>
      </c>
      <c r="I377" s="7">
        <f>'1 datos preparados'!H370</f>
        <v/>
      </c>
      <c r="J377" s="7">
        <f>'1 datos preparados'!I370</f>
        <v/>
      </c>
      <c r="K377" s="7">
        <f>'1 datos preparados'!J370</f>
        <v/>
      </c>
      <c r="L377" s="7">
        <f>'1 datos preparados'!K370</f>
        <v/>
      </c>
      <c r="M377" s="7">
        <f>'1 datos preparados'!L370</f>
        <v/>
      </c>
      <c r="N377" s="7">
        <f>'1 datos preparados'!M370</f>
        <v/>
      </c>
      <c r="O377" s="7">
        <f>'1 datos preparados'!N370</f>
        <v/>
      </c>
      <c r="P377" s="7">
        <f>'1 datos preparados'!O370</f>
        <v/>
      </c>
      <c r="Q377" s="7">
        <f>'1 datos preparados'!P370</f>
        <v/>
      </c>
      <c r="R377" s="7">
        <f>'1 datos preparados'!Q370</f>
        <v/>
      </c>
      <c r="S377" s="7">
        <f>'1 datos preparados'!R370</f>
        <v/>
      </c>
      <c r="T377" s="7">
        <f>'1 datos preparados'!S370</f>
        <v/>
      </c>
      <c r="U377" s="7">
        <f>'1 datos preparados'!T370</f>
        <v/>
      </c>
      <c r="V377" s="8">
        <f>$AE$12+D377*$AE$13+E377*$AE$14+F377*$AE$15+G377*$AE$16+H377*$AE$17+I377*$AE$18+J377*$AE$19+K377*$AE$20+L377*$AE$21+M377*$AE$22+N377*$AE$23+O377*$AE$24+P377*$AE$25+Q377*$AE$26+R377*$AE$27+S377*$AE$28+T377*$AE$29+U377*$AE$30</f>
        <v/>
      </c>
      <c r="W377" s="8">
        <f>1/(1+EXP(-V377))</f>
        <v/>
      </c>
      <c r="X377" s="9">
        <f>-IF(C377=1,LN(W377),LN(1-W377))</f>
        <v/>
      </c>
      <c r="Y377" s="8">
        <f>'1 datos preparados'!V370</f>
        <v/>
      </c>
      <c r="Z377" s="9">
        <f>Y377*X377</f>
        <v/>
      </c>
      <c r="AA377" s="10">
        <f>IF(W377&gt;$AE$33,1,0)</f>
        <v/>
      </c>
      <c r="AB377">
        <f>IF(AA377=C377,1,0)</f>
        <v/>
      </c>
    </row>
    <row r="378">
      <c r="A378">
        <f>'1 datos preparados'!A371</f>
        <v/>
      </c>
      <c r="B378" s="5">
        <f>'1 datos preparados'!U371</f>
        <v/>
      </c>
      <c r="C378">
        <f>'1 datos preparados'!B371</f>
        <v/>
      </c>
      <c r="D378" s="7">
        <f>'1 datos preparados'!C371</f>
        <v/>
      </c>
      <c r="E378" s="7">
        <f>'1 datos preparados'!D371</f>
        <v/>
      </c>
      <c r="F378" s="7">
        <f>'1 datos preparados'!E371</f>
        <v/>
      </c>
      <c r="G378" s="7">
        <f>'1 datos preparados'!F371</f>
        <v/>
      </c>
      <c r="H378" s="7">
        <f>'1 datos preparados'!G371</f>
        <v/>
      </c>
      <c r="I378" s="7">
        <f>'1 datos preparados'!H371</f>
        <v/>
      </c>
      <c r="J378" s="7">
        <f>'1 datos preparados'!I371</f>
        <v/>
      </c>
      <c r="K378" s="7">
        <f>'1 datos preparados'!J371</f>
        <v/>
      </c>
      <c r="L378" s="7">
        <f>'1 datos preparados'!K371</f>
        <v/>
      </c>
      <c r="M378" s="7">
        <f>'1 datos preparados'!L371</f>
        <v/>
      </c>
      <c r="N378" s="7">
        <f>'1 datos preparados'!M371</f>
        <v/>
      </c>
      <c r="O378" s="7">
        <f>'1 datos preparados'!N371</f>
        <v/>
      </c>
      <c r="P378" s="7">
        <f>'1 datos preparados'!O371</f>
        <v/>
      </c>
      <c r="Q378" s="7">
        <f>'1 datos preparados'!P371</f>
        <v/>
      </c>
      <c r="R378" s="7">
        <f>'1 datos preparados'!Q371</f>
        <v/>
      </c>
      <c r="S378" s="7">
        <f>'1 datos preparados'!R371</f>
        <v/>
      </c>
      <c r="T378" s="7">
        <f>'1 datos preparados'!S371</f>
        <v/>
      </c>
      <c r="U378" s="7">
        <f>'1 datos preparados'!T371</f>
        <v/>
      </c>
      <c r="V378" s="8">
        <f>$AE$12+D378*$AE$13+E378*$AE$14+F378*$AE$15+G378*$AE$16+H378*$AE$17+I378*$AE$18+J378*$AE$19+K378*$AE$20+L378*$AE$21+M378*$AE$22+N378*$AE$23+O378*$AE$24+P378*$AE$25+Q378*$AE$26+R378*$AE$27+S378*$AE$28+T378*$AE$29+U378*$AE$30</f>
        <v/>
      </c>
      <c r="W378" s="8">
        <f>1/(1+EXP(-V378))</f>
        <v/>
      </c>
      <c r="X378" s="9">
        <f>-IF(C378=1,LN(W378),LN(1-W378))</f>
        <v/>
      </c>
      <c r="Y378" s="8">
        <f>'1 datos preparados'!V371</f>
        <v/>
      </c>
      <c r="Z378" s="9">
        <f>Y378*X378</f>
        <v/>
      </c>
      <c r="AA378" s="10">
        <f>IF(W378&gt;$AE$33,1,0)</f>
        <v/>
      </c>
      <c r="AB378">
        <f>IF(AA378=C378,1,0)</f>
        <v/>
      </c>
    </row>
    <row r="379">
      <c r="A379">
        <f>'1 datos preparados'!A372</f>
        <v/>
      </c>
      <c r="B379" s="5">
        <f>'1 datos preparados'!U372</f>
        <v/>
      </c>
      <c r="C379">
        <f>'1 datos preparados'!B372</f>
        <v/>
      </c>
      <c r="D379" s="7">
        <f>'1 datos preparados'!C372</f>
        <v/>
      </c>
      <c r="E379" s="7">
        <f>'1 datos preparados'!D372</f>
        <v/>
      </c>
      <c r="F379" s="7">
        <f>'1 datos preparados'!E372</f>
        <v/>
      </c>
      <c r="G379" s="7">
        <f>'1 datos preparados'!F372</f>
        <v/>
      </c>
      <c r="H379" s="7">
        <f>'1 datos preparados'!G372</f>
        <v/>
      </c>
      <c r="I379" s="7">
        <f>'1 datos preparados'!H372</f>
        <v/>
      </c>
      <c r="J379" s="7">
        <f>'1 datos preparados'!I372</f>
        <v/>
      </c>
      <c r="K379" s="7">
        <f>'1 datos preparados'!J372</f>
        <v/>
      </c>
      <c r="L379" s="7">
        <f>'1 datos preparados'!K372</f>
        <v/>
      </c>
      <c r="M379" s="7">
        <f>'1 datos preparados'!L372</f>
        <v/>
      </c>
      <c r="N379" s="7">
        <f>'1 datos preparados'!M372</f>
        <v/>
      </c>
      <c r="O379" s="7">
        <f>'1 datos preparados'!N372</f>
        <v/>
      </c>
      <c r="P379" s="7">
        <f>'1 datos preparados'!O372</f>
        <v/>
      </c>
      <c r="Q379" s="7">
        <f>'1 datos preparados'!P372</f>
        <v/>
      </c>
      <c r="R379" s="7">
        <f>'1 datos preparados'!Q372</f>
        <v/>
      </c>
      <c r="S379" s="7">
        <f>'1 datos preparados'!R372</f>
        <v/>
      </c>
      <c r="T379" s="7">
        <f>'1 datos preparados'!S372</f>
        <v/>
      </c>
      <c r="U379" s="7">
        <f>'1 datos preparados'!T372</f>
        <v/>
      </c>
      <c r="V379" s="8">
        <f>$AE$12+D379*$AE$13+E379*$AE$14+F379*$AE$15+G379*$AE$16+H379*$AE$17+I379*$AE$18+J379*$AE$19+K379*$AE$20+L379*$AE$21+M379*$AE$22+N379*$AE$23+O379*$AE$24+P379*$AE$25+Q379*$AE$26+R379*$AE$27+S379*$AE$28+T379*$AE$29+U379*$AE$30</f>
        <v/>
      </c>
      <c r="W379" s="8">
        <f>1/(1+EXP(-V379))</f>
        <v/>
      </c>
      <c r="X379" s="9">
        <f>-IF(C379=1,LN(W379),LN(1-W379))</f>
        <v/>
      </c>
      <c r="Y379" s="8">
        <f>'1 datos preparados'!V372</f>
        <v/>
      </c>
      <c r="Z379" s="9">
        <f>Y379*X379</f>
        <v/>
      </c>
      <c r="AA379" s="10">
        <f>IF(W379&gt;$AE$33,1,0)</f>
        <v/>
      </c>
      <c r="AB379">
        <f>IF(AA379=C379,1,0)</f>
        <v/>
      </c>
    </row>
    <row r="380">
      <c r="A380">
        <f>'1 datos preparados'!A373</f>
        <v/>
      </c>
      <c r="B380" s="5">
        <f>'1 datos preparados'!U373</f>
        <v/>
      </c>
      <c r="C380">
        <f>'1 datos preparados'!B373</f>
        <v/>
      </c>
      <c r="D380" s="7">
        <f>'1 datos preparados'!C373</f>
        <v/>
      </c>
      <c r="E380" s="7">
        <f>'1 datos preparados'!D373</f>
        <v/>
      </c>
      <c r="F380" s="7">
        <f>'1 datos preparados'!E373</f>
        <v/>
      </c>
      <c r="G380" s="7">
        <f>'1 datos preparados'!F373</f>
        <v/>
      </c>
      <c r="H380" s="7">
        <f>'1 datos preparados'!G373</f>
        <v/>
      </c>
      <c r="I380" s="7">
        <f>'1 datos preparados'!H373</f>
        <v/>
      </c>
      <c r="J380" s="7">
        <f>'1 datos preparados'!I373</f>
        <v/>
      </c>
      <c r="K380" s="7">
        <f>'1 datos preparados'!J373</f>
        <v/>
      </c>
      <c r="L380" s="7">
        <f>'1 datos preparados'!K373</f>
        <v/>
      </c>
      <c r="M380" s="7">
        <f>'1 datos preparados'!L373</f>
        <v/>
      </c>
      <c r="N380" s="7">
        <f>'1 datos preparados'!M373</f>
        <v/>
      </c>
      <c r="O380" s="7">
        <f>'1 datos preparados'!N373</f>
        <v/>
      </c>
      <c r="P380" s="7">
        <f>'1 datos preparados'!O373</f>
        <v/>
      </c>
      <c r="Q380" s="7">
        <f>'1 datos preparados'!P373</f>
        <v/>
      </c>
      <c r="R380" s="7">
        <f>'1 datos preparados'!Q373</f>
        <v/>
      </c>
      <c r="S380" s="7">
        <f>'1 datos preparados'!R373</f>
        <v/>
      </c>
      <c r="T380" s="7">
        <f>'1 datos preparados'!S373</f>
        <v/>
      </c>
      <c r="U380" s="7">
        <f>'1 datos preparados'!T373</f>
        <v/>
      </c>
      <c r="V380" s="8">
        <f>$AE$12+D380*$AE$13+E380*$AE$14+F380*$AE$15+G380*$AE$16+H380*$AE$17+I380*$AE$18+J380*$AE$19+K380*$AE$20+L380*$AE$21+M380*$AE$22+N380*$AE$23+O380*$AE$24+P380*$AE$25+Q380*$AE$26+R380*$AE$27+S380*$AE$28+T380*$AE$29+U380*$AE$30</f>
        <v/>
      </c>
      <c r="W380" s="8">
        <f>1/(1+EXP(-V380))</f>
        <v/>
      </c>
      <c r="X380" s="9">
        <f>-IF(C380=1,LN(W380),LN(1-W380))</f>
        <v/>
      </c>
      <c r="Y380" s="8">
        <f>'1 datos preparados'!V373</f>
        <v/>
      </c>
      <c r="Z380" s="9">
        <f>Y380*X380</f>
        <v/>
      </c>
      <c r="AA380" s="10">
        <f>IF(W380&gt;$AE$33,1,0)</f>
        <v/>
      </c>
      <c r="AB380">
        <f>IF(AA380=C380,1,0)</f>
        <v/>
      </c>
    </row>
    <row r="381">
      <c r="A381">
        <f>'1 datos preparados'!A374</f>
        <v/>
      </c>
      <c r="B381" s="5">
        <f>'1 datos preparados'!U374</f>
        <v/>
      </c>
      <c r="C381">
        <f>'1 datos preparados'!B374</f>
        <v/>
      </c>
      <c r="D381" s="7">
        <f>'1 datos preparados'!C374</f>
        <v/>
      </c>
      <c r="E381" s="7">
        <f>'1 datos preparados'!D374</f>
        <v/>
      </c>
      <c r="F381" s="7">
        <f>'1 datos preparados'!E374</f>
        <v/>
      </c>
      <c r="G381" s="7">
        <f>'1 datos preparados'!F374</f>
        <v/>
      </c>
      <c r="H381" s="7">
        <f>'1 datos preparados'!G374</f>
        <v/>
      </c>
      <c r="I381" s="7">
        <f>'1 datos preparados'!H374</f>
        <v/>
      </c>
      <c r="J381" s="7">
        <f>'1 datos preparados'!I374</f>
        <v/>
      </c>
      <c r="K381" s="7">
        <f>'1 datos preparados'!J374</f>
        <v/>
      </c>
      <c r="L381" s="7">
        <f>'1 datos preparados'!K374</f>
        <v/>
      </c>
      <c r="M381" s="7">
        <f>'1 datos preparados'!L374</f>
        <v/>
      </c>
      <c r="N381" s="7">
        <f>'1 datos preparados'!M374</f>
        <v/>
      </c>
      <c r="O381" s="7">
        <f>'1 datos preparados'!N374</f>
        <v/>
      </c>
      <c r="P381" s="7">
        <f>'1 datos preparados'!O374</f>
        <v/>
      </c>
      <c r="Q381" s="7">
        <f>'1 datos preparados'!P374</f>
        <v/>
      </c>
      <c r="R381" s="7">
        <f>'1 datos preparados'!Q374</f>
        <v/>
      </c>
      <c r="S381" s="7">
        <f>'1 datos preparados'!R374</f>
        <v/>
      </c>
      <c r="T381" s="7">
        <f>'1 datos preparados'!S374</f>
        <v/>
      </c>
      <c r="U381" s="7">
        <f>'1 datos preparados'!T374</f>
        <v/>
      </c>
      <c r="V381" s="8">
        <f>$AE$12+D381*$AE$13+E381*$AE$14+F381*$AE$15+G381*$AE$16+H381*$AE$17+I381*$AE$18+J381*$AE$19+K381*$AE$20+L381*$AE$21+M381*$AE$22+N381*$AE$23+O381*$AE$24+P381*$AE$25+Q381*$AE$26+R381*$AE$27+S381*$AE$28+T381*$AE$29+U381*$AE$30</f>
        <v/>
      </c>
      <c r="W381" s="8">
        <f>1/(1+EXP(-V381))</f>
        <v/>
      </c>
      <c r="X381" s="9">
        <f>-IF(C381=1,LN(W381),LN(1-W381))</f>
        <v/>
      </c>
      <c r="Y381" s="8">
        <f>'1 datos preparados'!V374</f>
        <v/>
      </c>
      <c r="Z381" s="9">
        <f>Y381*X381</f>
        <v/>
      </c>
      <c r="AA381" s="10">
        <f>IF(W381&gt;$AE$33,1,0)</f>
        <v/>
      </c>
      <c r="AB381">
        <f>IF(AA381=C381,1,0)</f>
        <v/>
      </c>
    </row>
    <row r="382">
      <c r="A382">
        <f>'1 datos preparados'!A375</f>
        <v/>
      </c>
      <c r="B382" s="5">
        <f>'1 datos preparados'!U375</f>
        <v/>
      </c>
      <c r="C382">
        <f>'1 datos preparados'!B375</f>
        <v/>
      </c>
      <c r="D382" s="7">
        <f>'1 datos preparados'!C375</f>
        <v/>
      </c>
      <c r="E382" s="7">
        <f>'1 datos preparados'!D375</f>
        <v/>
      </c>
      <c r="F382" s="7">
        <f>'1 datos preparados'!E375</f>
        <v/>
      </c>
      <c r="G382" s="7">
        <f>'1 datos preparados'!F375</f>
        <v/>
      </c>
      <c r="H382" s="7">
        <f>'1 datos preparados'!G375</f>
        <v/>
      </c>
      <c r="I382" s="7">
        <f>'1 datos preparados'!H375</f>
        <v/>
      </c>
      <c r="J382" s="7">
        <f>'1 datos preparados'!I375</f>
        <v/>
      </c>
      <c r="K382" s="7">
        <f>'1 datos preparados'!J375</f>
        <v/>
      </c>
      <c r="L382" s="7">
        <f>'1 datos preparados'!K375</f>
        <v/>
      </c>
      <c r="M382" s="7">
        <f>'1 datos preparados'!L375</f>
        <v/>
      </c>
      <c r="N382" s="7">
        <f>'1 datos preparados'!M375</f>
        <v/>
      </c>
      <c r="O382" s="7">
        <f>'1 datos preparados'!N375</f>
        <v/>
      </c>
      <c r="P382" s="7">
        <f>'1 datos preparados'!O375</f>
        <v/>
      </c>
      <c r="Q382" s="7">
        <f>'1 datos preparados'!P375</f>
        <v/>
      </c>
      <c r="R382" s="7">
        <f>'1 datos preparados'!Q375</f>
        <v/>
      </c>
      <c r="S382" s="7">
        <f>'1 datos preparados'!R375</f>
        <v/>
      </c>
      <c r="T382" s="7">
        <f>'1 datos preparados'!S375</f>
        <v/>
      </c>
      <c r="U382" s="7">
        <f>'1 datos preparados'!T375</f>
        <v/>
      </c>
      <c r="V382" s="8">
        <f>$AE$12+D382*$AE$13+E382*$AE$14+F382*$AE$15+G382*$AE$16+H382*$AE$17+I382*$AE$18+J382*$AE$19+K382*$AE$20+L382*$AE$21+M382*$AE$22+N382*$AE$23+O382*$AE$24+P382*$AE$25+Q382*$AE$26+R382*$AE$27+S382*$AE$28+T382*$AE$29+U382*$AE$30</f>
        <v/>
      </c>
      <c r="W382" s="8">
        <f>1/(1+EXP(-V382))</f>
        <v/>
      </c>
      <c r="X382" s="9">
        <f>-IF(C382=1,LN(W382),LN(1-W382))</f>
        <v/>
      </c>
      <c r="Y382" s="8">
        <f>'1 datos preparados'!V375</f>
        <v/>
      </c>
      <c r="Z382" s="9">
        <f>Y382*X382</f>
        <v/>
      </c>
      <c r="AA382" s="10">
        <f>IF(W382&gt;$AE$33,1,0)</f>
        <v/>
      </c>
      <c r="AB382">
        <f>IF(AA382=C382,1,0)</f>
        <v/>
      </c>
    </row>
    <row r="383">
      <c r="A383">
        <f>'1 datos preparados'!A376</f>
        <v/>
      </c>
      <c r="B383" s="5">
        <f>'1 datos preparados'!U376</f>
        <v/>
      </c>
      <c r="C383">
        <f>'1 datos preparados'!B376</f>
        <v/>
      </c>
      <c r="D383" s="7">
        <f>'1 datos preparados'!C376</f>
        <v/>
      </c>
      <c r="E383" s="7">
        <f>'1 datos preparados'!D376</f>
        <v/>
      </c>
      <c r="F383" s="7">
        <f>'1 datos preparados'!E376</f>
        <v/>
      </c>
      <c r="G383" s="7">
        <f>'1 datos preparados'!F376</f>
        <v/>
      </c>
      <c r="H383" s="7">
        <f>'1 datos preparados'!G376</f>
        <v/>
      </c>
      <c r="I383" s="7">
        <f>'1 datos preparados'!H376</f>
        <v/>
      </c>
      <c r="J383" s="7">
        <f>'1 datos preparados'!I376</f>
        <v/>
      </c>
      <c r="K383" s="7">
        <f>'1 datos preparados'!J376</f>
        <v/>
      </c>
      <c r="L383" s="7">
        <f>'1 datos preparados'!K376</f>
        <v/>
      </c>
      <c r="M383" s="7">
        <f>'1 datos preparados'!L376</f>
        <v/>
      </c>
      <c r="N383" s="7">
        <f>'1 datos preparados'!M376</f>
        <v/>
      </c>
      <c r="O383" s="7">
        <f>'1 datos preparados'!N376</f>
        <v/>
      </c>
      <c r="P383" s="7">
        <f>'1 datos preparados'!O376</f>
        <v/>
      </c>
      <c r="Q383" s="7">
        <f>'1 datos preparados'!P376</f>
        <v/>
      </c>
      <c r="R383" s="7">
        <f>'1 datos preparados'!Q376</f>
        <v/>
      </c>
      <c r="S383" s="7">
        <f>'1 datos preparados'!R376</f>
        <v/>
      </c>
      <c r="T383" s="7">
        <f>'1 datos preparados'!S376</f>
        <v/>
      </c>
      <c r="U383" s="7">
        <f>'1 datos preparados'!T376</f>
        <v/>
      </c>
      <c r="V383" s="8">
        <f>$AE$12+D383*$AE$13+E383*$AE$14+F383*$AE$15+G383*$AE$16+H383*$AE$17+I383*$AE$18+J383*$AE$19+K383*$AE$20+L383*$AE$21+M383*$AE$22+N383*$AE$23+O383*$AE$24+P383*$AE$25+Q383*$AE$26+R383*$AE$27+S383*$AE$28+T383*$AE$29+U383*$AE$30</f>
        <v/>
      </c>
      <c r="W383" s="8">
        <f>1/(1+EXP(-V383))</f>
        <v/>
      </c>
      <c r="X383" s="9">
        <f>-IF(C383=1,LN(W383),LN(1-W383))</f>
        <v/>
      </c>
      <c r="Y383" s="8">
        <f>'1 datos preparados'!V376</f>
        <v/>
      </c>
      <c r="Z383" s="9">
        <f>Y383*X383</f>
        <v/>
      </c>
      <c r="AA383" s="10">
        <f>IF(W383&gt;$AE$33,1,0)</f>
        <v/>
      </c>
      <c r="AB383">
        <f>IF(AA383=C383,1,0)</f>
        <v/>
      </c>
    </row>
    <row r="384">
      <c r="A384">
        <f>'1 datos preparados'!A377</f>
        <v/>
      </c>
      <c r="B384" s="5">
        <f>'1 datos preparados'!U377</f>
        <v/>
      </c>
      <c r="C384">
        <f>'1 datos preparados'!B377</f>
        <v/>
      </c>
      <c r="D384" s="7">
        <f>'1 datos preparados'!C377</f>
        <v/>
      </c>
      <c r="E384" s="7">
        <f>'1 datos preparados'!D377</f>
        <v/>
      </c>
      <c r="F384" s="7">
        <f>'1 datos preparados'!E377</f>
        <v/>
      </c>
      <c r="G384" s="7">
        <f>'1 datos preparados'!F377</f>
        <v/>
      </c>
      <c r="H384" s="7">
        <f>'1 datos preparados'!G377</f>
        <v/>
      </c>
      <c r="I384" s="7">
        <f>'1 datos preparados'!H377</f>
        <v/>
      </c>
      <c r="J384" s="7">
        <f>'1 datos preparados'!I377</f>
        <v/>
      </c>
      <c r="K384" s="7">
        <f>'1 datos preparados'!J377</f>
        <v/>
      </c>
      <c r="L384" s="7">
        <f>'1 datos preparados'!K377</f>
        <v/>
      </c>
      <c r="M384" s="7">
        <f>'1 datos preparados'!L377</f>
        <v/>
      </c>
      <c r="N384" s="7">
        <f>'1 datos preparados'!M377</f>
        <v/>
      </c>
      <c r="O384" s="7">
        <f>'1 datos preparados'!N377</f>
        <v/>
      </c>
      <c r="P384" s="7">
        <f>'1 datos preparados'!O377</f>
        <v/>
      </c>
      <c r="Q384" s="7">
        <f>'1 datos preparados'!P377</f>
        <v/>
      </c>
      <c r="R384" s="7">
        <f>'1 datos preparados'!Q377</f>
        <v/>
      </c>
      <c r="S384" s="7">
        <f>'1 datos preparados'!R377</f>
        <v/>
      </c>
      <c r="T384" s="7">
        <f>'1 datos preparados'!S377</f>
        <v/>
      </c>
      <c r="U384" s="7">
        <f>'1 datos preparados'!T377</f>
        <v/>
      </c>
      <c r="V384" s="8">
        <f>$AE$12+D384*$AE$13+E384*$AE$14+F384*$AE$15+G384*$AE$16+H384*$AE$17+I384*$AE$18+J384*$AE$19+K384*$AE$20+L384*$AE$21+M384*$AE$22+N384*$AE$23+O384*$AE$24+P384*$AE$25+Q384*$AE$26+R384*$AE$27+S384*$AE$28+T384*$AE$29+U384*$AE$30</f>
        <v/>
      </c>
      <c r="W384" s="8">
        <f>1/(1+EXP(-V384))</f>
        <v/>
      </c>
      <c r="X384" s="9">
        <f>-IF(C384=1,LN(W384),LN(1-W384))</f>
        <v/>
      </c>
      <c r="Y384" s="8">
        <f>'1 datos preparados'!V377</f>
        <v/>
      </c>
      <c r="Z384" s="9">
        <f>Y384*X384</f>
        <v/>
      </c>
      <c r="AA384" s="10">
        <f>IF(W384&gt;$AE$33,1,0)</f>
        <v/>
      </c>
      <c r="AB384">
        <f>IF(AA384=C384,1,0)</f>
        <v/>
      </c>
    </row>
    <row r="385">
      <c r="A385">
        <f>'1 datos preparados'!A378</f>
        <v/>
      </c>
      <c r="B385" s="5">
        <f>'1 datos preparados'!U378</f>
        <v/>
      </c>
      <c r="C385">
        <f>'1 datos preparados'!B378</f>
        <v/>
      </c>
      <c r="D385" s="7">
        <f>'1 datos preparados'!C378</f>
        <v/>
      </c>
      <c r="E385" s="7">
        <f>'1 datos preparados'!D378</f>
        <v/>
      </c>
      <c r="F385" s="7">
        <f>'1 datos preparados'!E378</f>
        <v/>
      </c>
      <c r="G385" s="7">
        <f>'1 datos preparados'!F378</f>
        <v/>
      </c>
      <c r="H385" s="7">
        <f>'1 datos preparados'!G378</f>
        <v/>
      </c>
      <c r="I385" s="7">
        <f>'1 datos preparados'!H378</f>
        <v/>
      </c>
      <c r="J385" s="7">
        <f>'1 datos preparados'!I378</f>
        <v/>
      </c>
      <c r="K385" s="7">
        <f>'1 datos preparados'!J378</f>
        <v/>
      </c>
      <c r="L385" s="7">
        <f>'1 datos preparados'!K378</f>
        <v/>
      </c>
      <c r="M385" s="7">
        <f>'1 datos preparados'!L378</f>
        <v/>
      </c>
      <c r="N385" s="7">
        <f>'1 datos preparados'!M378</f>
        <v/>
      </c>
      <c r="O385" s="7">
        <f>'1 datos preparados'!N378</f>
        <v/>
      </c>
      <c r="P385" s="7">
        <f>'1 datos preparados'!O378</f>
        <v/>
      </c>
      <c r="Q385" s="7">
        <f>'1 datos preparados'!P378</f>
        <v/>
      </c>
      <c r="R385" s="7">
        <f>'1 datos preparados'!Q378</f>
        <v/>
      </c>
      <c r="S385" s="7">
        <f>'1 datos preparados'!R378</f>
        <v/>
      </c>
      <c r="T385" s="7">
        <f>'1 datos preparados'!S378</f>
        <v/>
      </c>
      <c r="U385" s="7">
        <f>'1 datos preparados'!T378</f>
        <v/>
      </c>
      <c r="V385" s="8">
        <f>$AE$12+D385*$AE$13+E385*$AE$14+F385*$AE$15+G385*$AE$16+H385*$AE$17+I385*$AE$18+J385*$AE$19+K385*$AE$20+L385*$AE$21+M385*$AE$22+N385*$AE$23+O385*$AE$24+P385*$AE$25+Q385*$AE$26+R385*$AE$27+S385*$AE$28+T385*$AE$29+U385*$AE$30</f>
        <v/>
      </c>
      <c r="W385" s="8">
        <f>1/(1+EXP(-V385))</f>
        <v/>
      </c>
      <c r="X385" s="9">
        <f>-IF(C385=1,LN(W385),LN(1-W385))</f>
        <v/>
      </c>
      <c r="Y385" s="8">
        <f>'1 datos preparados'!V378</f>
        <v/>
      </c>
      <c r="Z385" s="9">
        <f>Y385*X385</f>
        <v/>
      </c>
      <c r="AA385" s="10">
        <f>IF(W385&gt;$AE$33,1,0)</f>
        <v/>
      </c>
      <c r="AB385">
        <f>IF(AA385=C385,1,0)</f>
        <v/>
      </c>
    </row>
    <row r="386">
      <c r="A386">
        <f>'1 datos preparados'!A379</f>
        <v/>
      </c>
      <c r="B386" s="5">
        <f>'1 datos preparados'!U379</f>
        <v/>
      </c>
      <c r="C386">
        <f>'1 datos preparados'!B379</f>
        <v/>
      </c>
      <c r="D386" s="7">
        <f>'1 datos preparados'!C379</f>
        <v/>
      </c>
      <c r="E386" s="7">
        <f>'1 datos preparados'!D379</f>
        <v/>
      </c>
      <c r="F386" s="7">
        <f>'1 datos preparados'!E379</f>
        <v/>
      </c>
      <c r="G386" s="7">
        <f>'1 datos preparados'!F379</f>
        <v/>
      </c>
      <c r="H386" s="7">
        <f>'1 datos preparados'!G379</f>
        <v/>
      </c>
      <c r="I386" s="7">
        <f>'1 datos preparados'!H379</f>
        <v/>
      </c>
      <c r="J386" s="7">
        <f>'1 datos preparados'!I379</f>
        <v/>
      </c>
      <c r="K386" s="7">
        <f>'1 datos preparados'!J379</f>
        <v/>
      </c>
      <c r="L386" s="7">
        <f>'1 datos preparados'!K379</f>
        <v/>
      </c>
      <c r="M386" s="7">
        <f>'1 datos preparados'!L379</f>
        <v/>
      </c>
      <c r="N386" s="7">
        <f>'1 datos preparados'!M379</f>
        <v/>
      </c>
      <c r="O386" s="7">
        <f>'1 datos preparados'!N379</f>
        <v/>
      </c>
      <c r="P386" s="7">
        <f>'1 datos preparados'!O379</f>
        <v/>
      </c>
      <c r="Q386" s="7">
        <f>'1 datos preparados'!P379</f>
        <v/>
      </c>
      <c r="R386" s="7">
        <f>'1 datos preparados'!Q379</f>
        <v/>
      </c>
      <c r="S386" s="7">
        <f>'1 datos preparados'!R379</f>
        <v/>
      </c>
      <c r="T386" s="7">
        <f>'1 datos preparados'!S379</f>
        <v/>
      </c>
      <c r="U386" s="7">
        <f>'1 datos preparados'!T379</f>
        <v/>
      </c>
      <c r="V386" s="8">
        <f>$AE$12+D386*$AE$13+E386*$AE$14+F386*$AE$15+G386*$AE$16+H386*$AE$17+I386*$AE$18+J386*$AE$19+K386*$AE$20+L386*$AE$21+M386*$AE$22+N386*$AE$23+O386*$AE$24+P386*$AE$25+Q386*$AE$26+R386*$AE$27+S386*$AE$28+T386*$AE$29+U386*$AE$30</f>
        <v/>
      </c>
      <c r="W386" s="8">
        <f>1/(1+EXP(-V386))</f>
        <v/>
      </c>
      <c r="X386" s="9">
        <f>-IF(C386=1,LN(W386),LN(1-W386))</f>
        <v/>
      </c>
      <c r="Y386" s="8">
        <f>'1 datos preparados'!V379</f>
        <v/>
      </c>
      <c r="Z386" s="9">
        <f>Y386*X386</f>
        <v/>
      </c>
      <c r="AA386" s="10">
        <f>IF(W386&gt;$AE$33,1,0)</f>
        <v/>
      </c>
      <c r="AB386">
        <f>IF(AA386=C386,1,0)</f>
        <v/>
      </c>
    </row>
    <row r="387">
      <c r="A387">
        <f>'1 datos preparados'!A380</f>
        <v/>
      </c>
      <c r="B387" s="5">
        <f>'1 datos preparados'!U380</f>
        <v/>
      </c>
      <c r="C387">
        <f>'1 datos preparados'!B380</f>
        <v/>
      </c>
      <c r="D387" s="7">
        <f>'1 datos preparados'!C380</f>
        <v/>
      </c>
      <c r="E387" s="7">
        <f>'1 datos preparados'!D380</f>
        <v/>
      </c>
      <c r="F387" s="7">
        <f>'1 datos preparados'!E380</f>
        <v/>
      </c>
      <c r="G387" s="7">
        <f>'1 datos preparados'!F380</f>
        <v/>
      </c>
      <c r="H387" s="7">
        <f>'1 datos preparados'!G380</f>
        <v/>
      </c>
      <c r="I387" s="7">
        <f>'1 datos preparados'!H380</f>
        <v/>
      </c>
      <c r="J387" s="7">
        <f>'1 datos preparados'!I380</f>
        <v/>
      </c>
      <c r="K387" s="7">
        <f>'1 datos preparados'!J380</f>
        <v/>
      </c>
      <c r="L387" s="7">
        <f>'1 datos preparados'!K380</f>
        <v/>
      </c>
      <c r="M387" s="7">
        <f>'1 datos preparados'!L380</f>
        <v/>
      </c>
      <c r="N387" s="7">
        <f>'1 datos preparados'!M380</f>
        <v/>
      </c>
      <c r="O387" s="7">
        <f>'1 datos preparados'!N380</f>
        <v/>
      </c>
      <c r="P387" s="7">
        <f>'1 datos preparados'!O380</f>
        <v/>
      </c>
      <c r="Q387" s="7">
        <f>'1 datos preparados'!P380</f>
        <v/>
      </c>
      <c r="R387" s="7">
        <f>'1 datos preparados'!Q380</f>
        <v/>
      </c>
      <c r="S387" s="7">
        <f>'1 datos preparados'!R380</f>
        <v/>
      </c>
      <c r="T387" s="7">
        <f>'1 datos preparados'!S380</f>
        <v/>
      </c>
      <c r="U387" s="7">
        <f>'1 datos preparados'!T380</f>
        <v/>
      </c>
      <c r="V387" s="8">
        <f>$AE$12+D387*$AE$13+E387*$AE$14+F387*$AE$15+G387*$AE$16+H387*$AE$17+I387*$AE$18+J387*$AE$19+K387*$AE$20+L387*$AE$21+M387*$AE$22+N387*$AE$23+O387*$AE$24+P387*$AE$25+Q387*$AE$26+R387*$AE$27+S387*$AE$28+T387*$AE$29+U387*$AE$30</f>
        <v/>
      </c>
      <c r="W387" s="8">
        <f>1/(1+EXP(-V387))</f>
        <v/>
      </c>
      <c r="X387" s="9">
        <f>-IF(C387=1,LN(W387),LN(1-W387))</f>
        <v/>
      </c>
      <c r="Y387" s="8">
        <f>'1 datos preparados'!V380</f>
        <v/>
      </c>
      <c r="Z387" s="9">
        <f>Y387*X387</f>
        <v/>
      </c>
      <c r="AA387" s="10">
        <f>IF(W387&gt;$AE$33,1,0)</f>
        <v/>
      </c>
      <c r="AB387">
        <f>IF(AA387=C387,1,0)</f>
        <v/>
      </c>
    </row>
    <row r="388">
      <c r="A388">
        <f>'1 datos preparados'!A381</f>
        <v/>
      </c>
      <c r="B388" s="5">
        <f>'1 datos preparados'!U381</f>
        <v/>
      </c>
      <c r="C388">
        <f>'1 datos preparados'!B381</f>
        <v/>
      </c>
      <c r="D388" s="7">
        <f>'1 datos preparados'!C381</f>
        <v/>
      </c>
      <c r="E388" s="7">
        <f>'1 datos preparados'!D381</f>
        <v/>
      </c>
      <c r="F388" s="7">
        <f>'1 datos preparados'!E381</f>
        <v/>
      </c>
      <c r="G388" s="7">
        <f>'1 datos preparados'!F381</f>
        <v/>
      </c>
      <c r="H388" s="7">
        <f>'1 datos preparados'!G381</f>
        <v/>
      </c>
      <c r="I388" s="7">
        <f>'1 datos preparados'!H381</f>
        <v/>
      </c>
      <c r="J388" s="7">
        <f>'1 datos preparados'!I381</f>
        <v/>
      </c>
      <c r="K388" s="7">
        <f>'1 datos preparados'!J381</f>
        <v/>
      </c>
      <c r="L388" s="7">
        <f>'1 datos preparados'!K381</f>
        <v/>
      </c>
      <c r="M388" s="7">
        <f>'1 datos preparados'!L381</f>
        <v/>
      </c>
      <c r="N388" s="7">
        <f>'1 datos preparados'!M381</f>
        <v/>
      </c>
      <c r="O388" s="7">
        <f>'1 datos preparados'!N381</f>
        <v/>
      </c>
      <c r="P388" s="7">
        <f>'1 datos preparados'!O381</f>
        <v/>
      </c>
      <c r="Q388" s="7">
        <f>'1 datos preparados'!P381</f>
        <v/>
      </c>
      <c r="R388" s="7">
        <f>'1 datos preparados'!Q381</f>
        <v/>
      </c>
      <c r="S388" s="7">
        <f>'1 datos preparados'!R381</f>
        <v/>
      </c>
      <c r="T388" s="7">
        <f>'1 datos preparados'!S381</f>
        <v/>
      </c>
      <c r="U388" s="7">
        <f>'1 datos preparados'!T381</f>
        <v/>
      </c>
      <c r="V388" s="8">
        <f>$AE$12+D388*$AE$13+E388*$AE$14+F388*$AE$15+G388*$AE$16+H388*$AE$17+I388*$AE$18+J388*$AE$19+K388*$AE$20+L388*$AE$21+M388*$AE$22+N388*$AE$23+O388*$AE$24+P388*$AE$25+Q388*$AE$26+R388*$AE$27+S388*$AE$28+T388*$AE$29+U388*$AE$30</f>
        <v/>
      </c>
      <c r="W388" s="8">
        <f>1/(1+EXP(-V388))</f>
        <v/>
      </c>
      <c r="X388" s="9">
        <f>-IF(C388=1,LN(W388),LN(1-W388))</f>
        <v/>
      </c>
      <c r="Y388" s="8">
        <f>'1 datos preparados'!V381</f>
        <v/>
      </c>
      <c r="Z388" s="9">
        <f>Y388*X388</f>
        <v/>
      </c>
      <c r="AA388" s="10">
        <f>IF(W388&gt;$AE$33,1,0)</f>
        <v/>
      </c>
      <c r="AB388">
        <f>IF(AA388=C388,1,0)</f>
        <v/>
      </c>
    </row>
    <row r="389">
      <c r="A389">
        <f>'1 datos preparados'!A382</f>
        <v/>
      </c>
      <c r="B389" s="5">
        <f>'1 datos preparados'!U382</f>
        <v/>
      </c>
      <c r="C389">
        <f>'1 datos preparados'!B382</f>
        <v/>
      </c>
      <c r="D389" s="7">
        <f>'1 datos preparados'!C382</f>
        <v/>
      </c>
      <c r="E389" s="7">
        <f>'1 datos preparados'!D382</f>
        <v/>
      </c>
      <c r="F389" s="7">
        <f>'1 datos preparados'!E382</f>
        <v/>
      </c>
      <c r="G389" s="7">
        <f>'1 datos preparados'!F382</f>
        <v/>
      </c>
      <c r="H389" s="7">
        <f>'1 datos preparados'!G382</f>
        <v/>
      </c>
      <c r="I389" s="7">
        <f>'1 datos preparados'!H382</f>
        <v/>
      </c>
      <c r="J389" s="7">
        <f>'1 datos preparados'!I382</f>
        <v/>
      </c>
      <c r="K389" s="7">
        <f>'1 datos preparados'!J382</f>
        <v/>
      </c>
      <c r="L389" s="7">
        <f>'1 datos preparados'!K382</f>
        <v/>
      </c>
      <c r="M389" s="7">
        <f>'1 datos preparados'!L382</f>
        <v/>
      </c>
      <c r="N389" s="7">
        <f>'1 datos preparados'!M382</f>
        <v/>
      </c>
      <c r="O389" s="7">
        <f>'1 datos preparados'!N382</f>
        <v/>
      </c>
      <c r="P389" s="7">
        <f>'1 datos preparados'!O382</f>
        <v/>
      </c>
      <c r="Q389" s="7">
        <f>'1 datos preparados'!P382</f>
        <v/>
      </c>
      <c r="R389" s="7">
        <f>'1 datos preparados'!Q382</f>
        <v/>
      </c>
      <c r="S389" s="7">
        <f>'1 datos preparados'!R382</f>
        <v/>
      </c>
      <c r="T389" s="7">
        <f>'1 datos preparados'!S382</f>
        <v/>
      </c>
      <c r="U389" s="7">
        <f>'1 datos preparados'!T382</f>
        <v/>
      </c>
      <c r="V389" s="8">
        <f>$AE$12+D389*$AE$13+E389*$AE$14+F389*$AE$15+G389*$AE$16+H389*$AE$17+I389*$AE$18+J389*$AE$19+K389*$AE$20+L389*$AE$21+M389*$AE$22+N389*$AE$23+O389*$AE$24+P389*$AE$25+Q389*$AE$26+R389*$AE$27+S389*$AE$28+T389*$AE$29+U389*$AE$30</f>
        <v/>
      </c>
      <c r="W389" s="8">
        <f>1/(1+EXP(-V389))</f>
        <v/>
      </c>
      <c r="X389" s="9">
        <f>-IF(C389=1,LN(W389),LN(1-W389))</f>
        <v/>
      </c>
      <c r="Y389" s="8">
        <f>'1 datos preparados'!V382</f>
        <v/>
      </c>
      <c r="Z389" s="9">
        <f>Y389*X389</f>
        <v/>
      </c>
      <c r="AA389" s="10">
        <f>IF(W389&gt;$AE$33,1,0)</f>
        <v/>
      </c>
      <c r="AB389">
        <f>IF(AA389=C389,1,0)</f>
        <v/>
      </c>
    </row>
    <row r="390">
      <c r="A390">
        <f>'1 datos preparados'!A383</f>
        <v/>
      </c>
      <c r="B390" s="5">
        <f>'1 datos preparados'!U383</f>
        <v/>
      </c>
      <c r="C390">
        <f>'1 datos preparados'!B383</f>
        <v/>
      </c>
      <c r="D390" s="7">
        <f>'1 datos preparados'!C383</f>
        <v/>
      </c>
      <c r="E390" s="7">
        <f>'1 datos preparados'!D383</f>
        <v/>
      </c>
      <c r="F390" s="7">
        <f>'1 datos preparados'!E383</f>
        <v/>
      </c>
      <c r="G390" s="7">
        <f>'1 datos preparados'!F383</f>
        <v/>
      </c>
      <c r="H390" s="7">
        <f>'1 datos preparados'!G383</f>
        <v/>
      </c>
      <c r="I390" s="7">
        <f>'1 datos preparados'!H383</f>
        <v/>
      </c>
      <c r="J390" s="7">
        <f>'1 datos preparados'!I383</f>
        <v/>
      </c>
      <c r="K390" s="7">
        <f>'1 datos preparados'!J383</f>
        <v/>
      </c>
      <c r="L390" s="7">
        <f>'1 datos preparados'!K383</f>
        <v/>
      </c>
      <c r="M390" s="7">
        <f>'1 datos preparados'!L383</f>
        <v/>
      </c>
      <c r="N390" s="7">
        <f>'1 datos preparados'!M383</f>
        <v/>
      </c>
      <c r="O390" s="7">
        <f>'1 datos preparados'!N383</f>
        <v/>
      </c>
      <c r="P390" s="7">
        <f>'1 datos preparados'!O383</f>
        <v/>
      </c>
      <c r="Q390" s="7">
        <f>'1 datos preparados'!P383</f>
        <v/>
      </c>
      <c r="R390" s="7">
        <f>'1 datos preparados'!Q383</f>
        <v/>
      </c>
      <c r="S390" s="7">
        <f>'1 datos preparados'!R383</f>
        <v/>
      </c>
      <c r="T390" s="7">
        <f>'1 datos preparados'!S383</f>
        <v/>
      </c>
      <c r="U390" s="7">
        <f>'1 datos preparados'!T383</f>
        <v/>
      </c>
      <c r="V390" s="8">
        <f>$AE$12+D390*$AE$13+E390*$AE$14+F390*$AE$15+G390*$AE$16+H390*$AE$17+I390*$AE$18+J390*$AE$19+K390*$AE$20+L390*$AE$21+M390*$AE$22+N390*$AE$23+O390*$AE$24+P390*$AE$25+Q390*$AE$26+R390*$AE$27+S390*$AE$28+T390*$AE$29+U390*$AE$30</f>
        <v/>
      </c>
      <c r="W390" s="8">
        <f>1/(1+EXP(-V390))</f>
        <v/>
      </c>
      <c r="X390" s="9">
        <f>-IF(C390=1,LN(W390),LN(1-W390))</f>
        <v/>
      </c>
      <c r="Y390" s="8">
        <f>'1 datos preparados'!V383</f>
        <v/>
      </c>
      <c r="Z390" s="9">
        <f>Y390*X390</f>
        <v/>
      </c>
      <c r="AA390" s="10">
        <f>IF(W390&gt;$AE$33,1,0)</f>
        <v/>
      </c>
      <c r="AB390">
        <f>IF(AA390=C390,1,0)</f>
        <v/>
      </c>
    </row>
    <row r="391">
      <c r="A391">
        <f>'1 datos preparados'!A384</f>
        <v/>
      </c>
      <c r="B391" s="5">
        <f>'1 datos preparados'!U384</f>
        <v/>
      </c>
      <c r="C391">
        <f>'1 datos preparados'!B384</f>
        <v/>
      </c>
      <c r="D391" s="7">
        <f>'1 datos preparados'!C384</f>
        <v/>
      </c>
      <c r="E391" s="7">
        <f>'1 datos preparados'!D384</f>
        <v/>
      </c>
      <c r="F391" s="7">
        <f>'1 datos preparados'!E384</f>
        <v/>
      </c>
      <c r="G391" s="7">
        <f>'1 datos preparados'!F384</f>
        <v/>
      </c>
      <c r="H391" s="7">
        <f>'1 datos preparados'!G384</f>
        <v/>
      </c>
      <c r="I391" s="7">
        <f>'1 datos preparados'!H384</f>
        <v/>
      </c>
      <c r="J391" s="7">
        <f>'1 datos preparados'!I384</f>
        <v/>
      </c>
      <c r="K391" s="7">
        <f>'1 datos preparados'!J384</f>
        <v/>
      </c>
      <c r="L391" s="7">
        <f>'1 datos preparados'!K384</f>
        <v/>
      </c>
      <c r="M391" s="7">
        <f>'1 datos preparados'!L384</f>
        <v/>
      </c>
      <c r="N391" s="7">
        <f>'1 datos preparados'!M384</f>
        <v/>
      </c>
      <c r="O391" s="7">
        <f>'1 datos preparados'!N384</f>
        <v/>
      </c>
      <c r="P391" s="7">
        <f>'1 datos preparados'!O384</f>
        <v/>
      </c>
      <c r="Q391" s="7">
        <f>'1 datos preparados'!P384</f>
        <v/>
      </c>
      <c r="R391" s="7">
        <f>'1 datos preparados'!Q384</f>
        <v/>
      </c>
      <c r="S391" s="7">
        <f>'1 datos preparados'!R384</f>
        <v/>
      </c>
      <c r="T391" s="7">
        <f>'1 datos preparados'!S384</f>
        <v/>
      </c>
      <c r="U391" s="7">
        <f>'1 datos preparados'!T384</f>
        <v/>
      </c>
      <c r="V391" s="8">
        <f>$AE$12+D391*$AE$13+E391*$AE$14+F391*$AE$15+G391*$AE$16+H391*$AE$17+I391*$AE$18+J391*$AE$19+K391*$AE$20+L391*$AE$21+M391*$AE$22+N391*$AE$23+O391*$AE$24+P391*$AE$25+Q391*$AE$26+R391*$AE$27+S391*$AE$28+T391*$AE$29+U391*$AE$30</f>
        <v/>
      </c>
      <c r="W391" s="8">
        <f>1/(1+EXP(-V391))</f>
        <v/>
      </c>
      <c r="X391" s="9">
        <f>-IF(C391=1,LN(W391),LN(1-W391))</f>
        <v/>
      </c>
      <c r="Y391" s="8">
        <f>'1 datos preparados'!V384</f>
        <v/>
      </c>
      <c r="Z391" s="9">
        <f>Y391*X391</f>
        <v/>
      </c>
      <c r="AA391" s="10">
        <f>IF(W391&gt;$AE$33,1,0)</f>
        <v/>
      </c>
      <c r="AB391">
        <f>IF(AA391=C391,1,0)</f>
        <v/>
      </c>
    </row>
    <row r="392">
      <c r="A392">
        <f>'1 datos preparados'!A385</f>
        <v/>
      </c>
      <c r="B392" s="5">
        <f>'1 datos preparados'!U385</f>
        <v/>
      </c>
      <c r="C392">
        <f>'1 datos preparados'!B385</f>
        <v/>
      </c>
      <c r="D392" s="7">
        <f>'1 datos preparados'!C385</f>
        <v/>
      </c>
      <c r="E392" s="7">
        <f>'1 datos preparados'!D385</f>
        <v/>
      </c>
      <c r="F392" s="7">
        <f>'1 datos preparados'!E385</f>
        <v/>
      </c>
      <c r="G392" s="7">
        <f>'1 datos preparados'!F385</f>
        <v/>
      </c>
      <c r="H392" s="7">
        <f>'1 datos preparados'!G385</f>
        <v/>
      </c>
      <c r="I392" s="7">
        <f>'1 datos preparados'!H385</f>
        <v/>
      </c>
      <c r="J392" s="7">
        <f>'1 datos preparados'!I385</f>
        <v/>
      </c>
      <c r="K392" s="7">
        <f>'1 datos preparados'!J385</f>
        <v/>
      </c>
      <c r="L392" s="7">
        <f>'1 datos preparados'!K385</f>
        <v/>
      </c>
      <c r="M392" s="7">
        <f>'1 datos preparados'!L385</f>
        <v/>
      </c>
      <c r="N392" s="7">
        <f>'1 datos preparados'!M385</f>
        <v/>
      </c>
      <c r="O392" s="7">
        <f>'1 datos preparados'!N385</f>
        <v/>
      </c>
      <c r="P392" s="7">
        <f>'1 datos preparados'!O385</f>
        <v/>
      </c>
      <c r="Q392" s="7">
        <f>'1 datos preparados'!P385</f>
        <v/>
      </c>
      <c r="R392" s="7">
        <f>'1 datos preparados'!Q385</f>
        <v/>
      </c>
      <c r="S392" s="7">
        <f>'1 datos preparados'!R385</f>
        <v/>
      </c>
      <c r="T392" s="7">
        <f>'1 datos preparados'!S385</f>
        <v/>
      </c>
      <c r="U392" s="7">
        <f>'1 datos preparados'!T385</f>
        <v/>
      </c>
      <c r="V392" s="8">
        <f>$AE$12+D392*$AE$13+E392*$AE$14+F392*$AE$15+G392*$AE$16+H392*$AE$17+I392*$AE$18+J392*$AE$19+K392*$AE$20+L392*$AE$21+M392*$AE$22+N392*$AE$23+O392*$AE$24+P392*$AE$25+Q392*$AE$26+R392*$AE$27+S392*$AE$28+T392*$AE$29+U392*$AE$30</f>
        <v/>
      </c>
      <c r="W392" s="8">
        <f>1/(1+EXP(-V392))</f>
        <v/>
      </c>
      <c r="X392" s="9">
        <f>-IF(C392=1,LN(W392),LN(1-W392))</f>
        <v/>
      </c>
      <c r="Y392" s="8">
        <f>'1 datos preparados'!V385</f>
        <v/>
      </c>
      <c r="Z392" s="9">
        <f>Y392*X392</f>
        <v/>
      </c>
      <c r="AA392" s="10">
        <f>IF(W392&gt;$AE$33,1,0)</f>
        <v/>
      </c>
      <c r="AB392">
        <f>IF(AA392=C392,1,0)</f>
        <v/>
      </c>
    </row>
    <row r="393">
      <c r="A393">
        <f>'1 datos preparados'!A386</f>
        <v/>
      </c>
      <c r="B393" s="5">
        <f>'1 datos preparados'!U386</f>
        <v/>
      </c>
      <c r="C393">
        <f>'1 datos preparados'!B386</f>
        <v/>
      </c>
      <c r="D393" s="7">
        <f>'1 datos preparados'!C386</f>
        <v/>
      </c>
      <c r="E393" s="7">
        <f>'1 datos preparados'!D386</f>
        <v/>
      </c>
      <c r="F393" s="7">
        <f>'1 datos preparados'!E386</f>
        <v/>
      </c>
      <c r="G393" s="7">
        <f>'1 datos preparados'!F386</f>
        <v/>
      </c>
      <c r="H393" s="7">
        <f>'1 datos preparados'!G386</f>
        <v/>
      </c>
      <c r="I393" s="7">
        <f>'1 datos preparados'!H386</f>
        <v/>
      </c>
      <c r="J393" s="7">
        <f>'1 datos preparados'!I386</f>
        <v/>
      </c>
      <c r="K393" s="7">
        <f>'1 datos preparados'!J386</f>
        <v/>
      </c>
      <c r="L393" s="7">
        <f>'1 datos preparados'!K386</f>
        <v/>
      </c>
      <c r="M393" s="7">
        <f>'1 datos preparados'!L386</f>
        <v/>
      </c>
      <c r="N393" s="7">
        <f>'1 datos preparados'!M386</f>
        <v/>
      </c>
      <c r="O393" s="7">
        <f>'1 datos preparados'!N386</f>
        <v/>
      </c>
      <c r="P393" s="7">
        <f>'1 datos preparados'!O386</f>
        <v/>
      </c>
      <c r="Q393" s="7">
        <f>'1 datos preparados'!P386</f>
        <v/>
      </c>
      <c r="R393" s="7">
        <f>'1 datos preparados'!Q386</f>
        <v/>
      </c>
      <c r="S393" s="7">
        <f>'1 datos preparados'!R386</f>
        <v/>
      </c>
      <c r="T393" s="7">
        <f>'1 datos preparados'!S386</f>
        <v/>
      </c>
      <c r="U393" s="7">
        <f>'1 datos preparados'!T386</f>
        <v/>
      </c>
      <c r="V393" s="8">
        <f>$AE$12+D393*$AE$13+E393*$AE$14+F393*$AE$15+G393*$AE$16+H393*$AE$17+I393*$AE$18+J393*$AE$19+K393*$AE$20+L393*$AE$21+M393*$AE$22+N393*$AE$23+O393*$AE$24+P393*$AE$25+Q393*$AE$26+R393*$AE$27+S393*$AE$28+T393*$AE$29+U393*$AE$30</f>
        <v/>
      </c>
      <c r="W393" s="8">
        <f>1/(1+EXP(-V393))</f>
        <v/>
      </c>
      <c r="X393" s="9">
        <f>-IF(C393=1,LN(W393),LN(1-W393))</f>
        <v/>
      </c>
      <c r="Y393" s="8">
        <f>'1 datos preparados'!V386</f>
        <v/>
      </c>
      <c r="Z393" s="9">
        <f>Y393*X393</f>
        <v/>
      </c>
      <c r="AA393" s="10">
        <f>IF(W393&gt;$AE$33,1,0)</f>
        <v/>
      </c>
      <c r="AB393">
        <f>IF(AA393=C393,1,0)</f>
        <v/>
      </c>
    </row>
    <row r="394">
      <c r="A394">
        <f>'1 datos preparados'!A387</f>
        <v/>
      </c>
      <c r="B394" s="5">
        <f>'1 datos preparados'!U387</f>
        <v/>
      </c>
      <c r="C394">
        <f>'1 datos preparados'!B387</f>
        <v/>
      </c>
      <c r="D394" s="7">
        <f>'1 datos preparados'!C387</f>
        <v/>
      </c>
      <c r="E394" s="7">
        <f>'1 datos preparados'!D387</f>
        <v/>
      </c>
      <c r="F394" s="7">
        <f>'1 datos preparados'!E387</f>
        <v/>
      </c>
      <c r="G394" s="7">
        <f>'1 datos preparados'!F387</f>
        <v/>
      </c>
      <c r="H394" s="7">
        <f>'1 datos preparados'!G387</f>
        <v/>
      </c>
      <c r="I394" s="7">
        <f>'1 datos preparados'!H387</f>
        <v/>
      </c>
      <c r="J394" s="7">
        <f>'1 datos preparados'!I387</f>
        <v/>
      </c>
      <c r="K394" s="7">
        <f>'1 datos preparados'!J387</f>
        <v/>
      </c>
      <c r="L394" s="7">
        <f>'1 datos preparados'!K387</f>
        <v/>
      </c>
      <c r="M394" s="7">
        <f>'1 datos preparados'!L387</f>
        <v/>
      </c>
      <c r="N394" s="7">
        <f>'1 datos preparados'!M387</f>
        <v/>
      </c>
      <c r="O394" s="7">
        <f>'1 datos preparados'!N387</f>
        <v/>
      </c>
      <c r="P394" s="7">
        <f>'1 datos preparados'!O387</f>
        <v/>
      </c>
      <c r="Q394" s="7">
        <f>'1 datos preparados'!P387</f>
        <v/>
      </c>
      <c r="R394" s="7">
        <f>'1 datos preparados'!Q387</f>
        <v/>
      </c>
      <c r="S394" s="7">
        <f>'1 datos preparados'!R387</f>
        <v/>
      </c>
      <c r="T394" s="7">
        <f>'1 datos preparados'!S387</f>
        <v/>
      </c>
      <c r="U394" s="7">
        <f>'1 datos preparados'!T387</f>
        <v/>
      </c>
      <c r="V394" s="8">
        <f>$AE$12+D394*$AE$13+E394*$AE$14+F394*$AE$15+G394*$AE$16+H394*$AE$17+I394*$AE$18+J394*$AE$19+K394*$AE$20+L394*$AE$21+M394*$AE$22+N394*$AE$23+O394*$AE$24+P394*$AE$25+Q394*$AE$26+R394*$AE$27+S394*$AE$28+T394*$AE$29+U394*$AE$30</f>
        <v/>
      </c>
      <c r="W394" s="8">
        <f>1/(1+EXP(-V394))</f>
        <v/>
      </c>
      <c r="X394" s="9">
        <f>-IF(C394=1,LN(W394),LN(1-W394))</f>
        <v/>
      </c>
      <c r="Y394" s="8">
        <f>'1 datos preparados'!V387</f>
        <v/>
      </c>
      <c r="Z394" s="9">
        <f>Y394*X394</f>
        <v/>
      </c>
      <c r="AA394" s="10">
        <f>IF(W394&gt;$AE$33,1,0)</f>
        <v/>
      </c>
      <c r="AB394">
        <f>IF(AA394=C394,1,0)</f>
        <v/>
      </c>
    </row>
    <row r="395">
      <c r="A395">
        <f>'1 datos preparados'!A388</f>
        <v/>
      </c>
      <c r="B395" s="5">
        <f>'1 datos preparados'!U388</f>
        <v/>
      </c>
      <c r="C395">
        <f>'1 datos preparados'!B388</f>
        <v/>
      </c>
      <c r="D395" s="7">
        <f>'1 datos preparados'!C388</f>
        <v/>
      </c>
      <c r="E395" s="7">
        <f>'1 datos preparados'!D388</f>
        <v/>
      </c>
      <c r="F395" s="7">
        <f>'1 datos preparados'!E388</f>
        <v/>
      </c>
      <c r="G395" s="7">
        <f>'1 datos preparados'!F388</f>
        <v/>
      </c>
      <c r="H395" s="7">
        <f>'1 datos preparados'!G388</f>
        <v/>
      </c>
      <c r="I395" s="7">
        <f>'1 datos preparados'!H388</f>
        <v/>
      </c>
      <c r="J395" s="7">
        <f>'1 datos preparados'!I388</f>
        <v/>
      </c>
      <c r="K395" s="7">
        <f>'1 datos preparados'!J388</f>
        <v/>
      </c>
      <c r="L395" s="7">
        <f>'1 datos preparados'!K388</f>
        <v/>
      </c>
      <c r="M395" s="7">
        <f>'1 datos preparados'!L388</f>
        <v/>
      </c>
      <c r="N395" s="7">
        <f>'1 datos preparados'!M388</f>
        <v/>
      </c>
      <c r="O395" s="7">
        <f>'1 datos preparados'!N388</f>
        <v/>
      </c>
      <c r="P395" s="7">
        <f>'1 datos preparados'!O388</f>
        <v/>
      </c>
      <c r="Q395" s="7">
        <f>'1 datos preparados'!P388</f>
        <v/>
      </c>
      <c r="R395" s="7">
        <f>'1 datos preparados'!Q388</f>
        <v/>
      </c>
      <c r="S395" s="7">
        <f>'1 datos preparados'!R388</f>
        <v/>
      </c>
      <c r="T395" s="7">
        <f>'1 datos preparados'!S388</f>
        <v/>
      </c>
      <c r="U395" s="7">
        <f>'1 datos preparados'!T388</f>
        <v/>
      </c>
      <c r="V395" s="8">
        <f>$AE$12+D395*$AE$13+E395*$AE$14+F395*$AE$15+G395*$AE$16+H395*$AE$17+I395*$AE$18+J395*$AE$19+K395*$AE$20+L395*$AE$21+M395*$AE$22+N395*$AE$23+O395*$AE$24+P395*$AE$25+Q395*$AE$26+R395*$AE$27+S395*$AE$28+T395*$AE$29+U395*$AE$30</f>
        <v/>
      </c>
      <c r="W395" s="8">
        <f>1/(1+EXP(-V395))</f>
        <v/>
      </c>
      <c r="X395" s="9">
        <f>-IF(C395=1,LN(W395),LN(1-W395))</f>
        <v/>
      </c>
      <c r="Y395" s="8">
        <f>'1 datos preparados'!V388</f>
        <v/>
      </c>
      <c r="Z395" s="9">
        <f>Y395*X395</f>
        <v/>
      </c>
      <c r="AA395" s="10">
        <f>IF(W395&gt;$AE$33,1,0)</f>
        <v/>
      </c>
      <c r="AB395">
        <f>IF(AA395=C395,1,0)</f>
        <v/>
      </c>
    </row>
    <row r="396">
      <c r="A396">
        <f>'1 datos preparados'!A389</f>
        <v/>
      </c>
      <c r="B396" s="5">
        <f>'1 datos preparados'!U389</f>
        <v/>
      </c>
      <c r="C396">
        <f>'1 datos preparados'!B389</f>
        <v/>
      </c>
      <c r="D396" s="7">
        <f>'1 datos preparados'!C389</f>
        <v/>
      </c>
      <c r="E396" s="7">
        <f>'1 datos preparados'!D389</f>
        <v/>
      </c>
      <c r="F396" s="7">
        <f>'1 datos preparados'!E389</f>
        <v/>
      </c>
      <c r="G396" s="7">
        <f>'1 datos preparados'!F389</f>
        <v/>
      </c>
      <c r="H396" s="7">
        <f>'1 datos preparados'!G389</f>
        <v/>
      </c>
      <c r="I396" s="7">
        <f>'1 datos preparados'!H389</f>
        <v/>
      </c>
      <c r="J396" s="7">
        <f>'1 datos preparados'!I389</f>
        <v/>
      </c>
      <c r="K396" s="7">
        <f>'1 datos preparados'!J389</f>
        <v/>
      </c>
      <c r="L396" s="7">
        <f>'1 datos preparados'!K389</f>
        <v/>
      </c>
      <c r="M396" s="7">
        <f>'1 datos preparados'!L389</f>
        <v/>
      </c>
      <c r="N396" s="7">
        <f>'1 datos preparados'!M389</f>
        <v/>
      </c>
      <c r="O396" s="7">
        <f>'1 datos preparados'!N389</f>
        <v/>
      </c>
      <c r="P396" s="7">
        <f>'1 datos preparados'!O389</f>
        <v/>
      </c>
      <c r="Q396" s="7">
        <f>'1 datos preparados'!P389</f>
        <v/>
      </c>
      <c r="R396" s="7">
        <f>'1 datos preparados'!Q389</f>
        <v/>
      </c>
      <c r="S396" s="7">
        <f>'1 datos preparados'!R389</f>
        <v/>
      </c>
      <c r="T396" s="7">
        <f>'1 datos preparados'!S389</f>
        <v/>
      </c>
      <c r="U396" s="7">
        <f>'1 datos preparados'!T389</f>
        <v/>
      </c>
      <c r="V396" s="8">
        <f>$AE$12+D396*$AE$13+E396*$AE$14+F396*$AE$15+G396*$AE$16+H396*$AE$17+I396*$AE$18+J396*$AE$19+K396*$AE$20+L396*$AE$21+M396*$AE$22+N396*$AE$23+O396*$AE$24+P396*$AE$25+Q396*$AE$26+R396*$AE$27+S396*$AE$28+T396*$AE$29+U396*$AE$30</f>
        <v/>
      </c>
      <c r="W396" s="8">
        <f>1/(1+EXP(-V396))</f>
        <v/>
      </c>
      <c r="X396" s="9">
        <f>-IF(C396=1,LN(W396),LN(1-W396))</f>
        <v/>
      </c>
      <c r="Y396" s="8">
        <f>'1 datos preparados'!V389</f>
        <v/>
      </c>
      <c r="Z396" s="9">
        <f>Y396*X396</f>
        <v/>
      </c>
      <c r="AA396" s="10">
        <f>IF(W396&gt;$AE$33,1,0)</f>
        <v/>
      </c>
      <c r="AB396">
        <f>IF(AA396=C396,1,0)</f>
        <v/>
      </c>
    </row>
    <row r="397">
      <c r="A397">
        <f>'1 datos preparados'!A390</f>
        <v/>
      </c>
      <c r="B397" s="5">
        <f>'1 datos preparados'!U390</f>
        <v/>
      </c>
      <c r="C397">
        <f>'1 datos preparados'!B390</f>
        <v/>
      </c>
      <c r="D397" s="7">
        <f>'1 datos preparados'!C390</f>
        <v/>
      </c>
      <c r="E397" s="7">
        <f>'1 datos preparados'!D390</f>
        <v/>
      </c>
      <c r="F397" s="7">
        <f>'1 datos preparados'!E390</f>
        <v/>
      </c>
      <c r="G397" s="7">
        <f>'1 datos preparados'!F390</f>
        <v/>
      </c>
      <c r="H397" s="7">
        <f>'1 datos preparados'!G390</f>
        <v/>
      </c>
      <c r="I397" s="7">
        <f>'1 datos preparados'!H390</f>
        <v/>
      </c>
      <c r="J397" s="7">
        <f>'1 datos preparados'!I390</f>
        <v/>
      </c>
      <c r="K397" s="7">
        <f>'1 datos preparados'!J390</f>
        <v/>
      </c>
      <c r="L397" s="7">
        <f>'1 datos preparados'!K390</f>
        <v/>
      </c>
      <c r="M397" s="7">
        <f>'1 datos preparados'!L390</f>
        <v/>
      </c>
      <c r="N397" s="7">
        <f>'1 datos preparados'!M390</f>
        <v/>
      </c>
      <c r="O397" s="7">
        <f>'1 datos preparados'!N390</f>
        <v/>
      </c>
      <c r="P397" s="7">
        <f>'1 datos preparados'!O390</f>
        <v/>
      </c>
      <c r="Q397" s="7">
        <f>'1 datos preparados'!P390</f>
        <v/>
      </c>
      <c r="R397" s="7">
        <f>'1 datos preparados'!Q390</f>
        <v/>
      </c>
      <c r="S397" s="7">
        <f>'1 datos preparados'!R390</f>
        <v/>
      </c>
      <c r="T397" s="7">
        <f>'1 datos preparados'!S390</f>
        <v/>
      </c>
      <c r="U397" s="7">
        <f>'1 datos preparados'!T390</f>
        <v/>
      </c>
      <c r="V397" s="8">
        <f>$AE$12+D397*$AE$13+E397*$AE$14+F397*$AE$15+G397*$AE$16+H397*$AE$17+I397*$AE$18+J397*$AE$19+K397*$AE$20+L397*$AE$21+M397*$AE$22+N397*$AE$23+O397*$AE$24+P397*$AE$25+Q397*$AE$26+R397*$AE$27+S397*$AE$28+T397*$AE$29+U397*$AE$30</f>
        <v/>
      </c>
      <c r="W397" s="8">
        <f>1/(1+EXP(-V397))</f>
        <v/>
      </c>
      <c r="X397" s="9">
        <f>-IF(C397=1,LN(W397),LN(1-W397))</f>
        <v/>
      </c>
      <c r="Y397" s="8">
        <f>'1 datos preparados'!V390</f>
        <v/>
      </c>
      <c r="Z397" s="9">
        <f>Y397*X397</f>
        <v/>
      </c>
      <c r="AA397" s="10">
        <f>IF(W397&gt;$AE$33,1,0)</f>
        <v/>
      </c>
      <c r="AB397">
        <f>IF(AA397=C397,1,0)</f>
        <v/>
      </c>
    </row>
    <row r="398">
      <c r="A398">
        <f>'1 datos preparados'!A391</f>
        <v/>
      </c>
      <c r="B398" s="5">
        <f>'1 datos preparados'!U391</f>
        <v/>
      </c>
      <c r="C398">
        <f>'1 datos preparados'!B391</f>
        <v/>
      </c>
      <c r="D398" s="7">
        <f>'1 datos preparados'!C391</f>
        <v/>
      </c>
      <c r="E398" s="7">
        <f>'1 datos preparados'!D391</f>
        <v/>
      </c>
      <c r="F398" s="7">
        <f>'1 datos preparados'!E391</f>
        <v/>
      </c>
      <c r="G398" s="7">
        <f>'1 datos preparados'!F391</f>
        <v/>
      </c>
      <c r="H398" s="7">
        <f>'1 datos preparados'!G391</f>
        <v/>
      </c>
      <c r="I398" s="7">
        <f>'1 datos preparados'!H391</f>
        <v/>
      </c>
      <c r="J398" s="7">
        <f>'1 datos preparados'!I391</f>
        <v/>
      </c>
      <c r="K398" s="7">
        <f>'1 datos preparados'!J391</f>
        <v/>
      </c>
      <c r="L398" s="7">
        <f>'1 datos preparados'!K391</f>
        <v/>
      </c>
      <c r="M398" s="7">
        <f>'1 datos preparados'!L391</f>
        <v/>
      </c>
      <c r="N398" s="7">
        <f>'1 datos preparados'!M391</f>
        <v/>
      </c>
      <c r="O398" s="7">
        <f>'1 datos preparados'!N391</f>
        <v/>
      </c>
      <c r="P398" s="7">
        <f>'1 datos preparados'!O391</f>
        <v/>
      </c>
      <c r="Q398" s="7">
        <f>'1 datos preparados'!P391</f>
        <v/>
      </c>
      <c r="R398" s="7">
        <f>'1 datos preparados'!Q391</f>
        <v/>
      </c>
      <c r="S398" s="7">
        <f>'1 datos preparados'!R391</f>
        <v/>
      </c>
      <c r="T398" s="7">
        <f>'1 datos preparados'!S391</f>
        <v/>
      </c>
      <c r="U398" s="7">
        <f>'1 datos preparados'!T391</f>
        <v/>
      </c>
      <c r="V398" s="8">
        <f>$AE$12+D398*$AE$13+E398*$AE$14+F398*$AE$15+G398*$AE$16+H398*$AE$17+I398*$AE$18+J398*$AE$19+K398*$AE$20+L398*$AE$21+M398*$AE$22+N398*$AE$23+O398*$AE$24+P398*$AE$25+Q398*$AE$26+R398*$AE$27+S398*$AE$28+T398*$AE$29+U398*$AE$30</f>
        <v/>
      </c>
      <c r="W398" s="8">
        <f>1/(1+EXP(-V398))</f>
        <v/>
      </c>
      <c r="X398" s="9">
        <f>-IF(C398=1,LN(W398),LN(1-W398))</f>
        <v/>
      </c>
      <c r="Y398" s="8">
        <f>'1 datos preparados'!V391</f>
        <v/>
      </c>
      <c r="Z398" s="9">
        <f>Y398*X398</f>
        <v/>
      </c>
      <c r="AA398" s="10">
        <f>IF(W398&gt;$AE$33,1,0)</f>
        <v/>
      </c>
      <c r="AB398">
        <f>IF(AA398=C398,1,0)</f>
        <v/>
      </c>
    </row>
    <row r="399">
      <c r="A399">
        <f>'1 datos preparados'!A392</f>
        <v/>
      </c>
      <c r="B399" s="5">
        <f>'1 datos preparados'!U392</f>
        <v/>
      </c>
      <c r="C399">
        <f>'1 datos preparados'!B392</f>
        <v/>
      </c>
      <c r="D399" s="7">
        <f>'1 datos preparados'!C392</f>
        <v/>
      </c>
      <c r="E399" s="7">
        <f>'1 datos preparados'!D392</f>
        <v/>
      </c>
      <c r="F399" s="7">
        <f>'1 datos preparados'!E392</f>
        <v/>
      </c>
      <c r="G399" s="7">
        <f>'1 datos preparados'!F392</f>
        <v/>
      </c>
      <c r="H399" s="7">
        <f>'1 datos preparados'!G392</f>
        <v/>
      </c>
      <c r="I399" s="7">
        <f>'1 datos preparados'!H392</f>
        <v/>
      </c>
      <c r="J399" s="7">
        <f>'1 datos preparados'!I392</f>
        <v/>
      </c>
      <c r="K399" s="7">
        <f>'1 datos preparados'!J392</f>
        <v/>
      </c>
      <c r="L399" s="7">
        <f>'1 datos preparados'!K392</f>
        <v/>
      </c>
      <c r="M399" s="7">
        <f>'1 datos preparados'!L392</f>
        <v/>
      </c>
      <c r="N399" s="7">
        <f>'1 datos preparados'!M392</f>
        <v/>
      </c>
      <c r="O399" s="7">
        <f>'1 datos preparados'!N392</f>
        <v/>
      </c>
      <c r="P399" s="7">
        <f>'1 datos preparados'!O392</f>
        <v/>
      </c>
      <c r="Q399" s="7">
        <f>'1 datos preparados'!P392</f>
        <v/>
      </c>
      <c r="R399" s="7">
        <f>'1 datos preparados'!Q392</f>
        <v/>
      </c>
      <c r="S399" s="7">
        <f>'1 datos preparados'!R392</f>
        <v/>
      </c>
      <c r="T399" s="7">
        <f>'1 datos preparados'!S392</f>
        <v/>
      </c>
      <c r="U399" s="7">
        <f>'1 datos preparados'!T392</f>
        <v/>
      </c>
      <c r="V399" s="8">
        <f>$AE$12+D399*$AE$13+E399*$AE$14+F399*$AE$15+G399*$AE$16+H399*$AE$17+I399*$AE$18+J399*$AE$19+K399*$AE$20+L399*$AE$21+M399*$AE$22+N399*$AE$23+O399*$AE$24+P399*$AE$25+Q399*$AE$26+R399*$AE$27+S399*$AE$28+T399*$AE$29+U399*$AE$30</f>
        <v/>
      </c>
      <c r="W399" s="8">
        <f>1/(1+EXP(-V399))</f>
        <v/>
      </c>
      <c r="X399" s="9">
        <f>-IF(C399=1,LN(W399),LN(1-W399))</f>
        <v/>
      </c>
      <c r="Y399" s="8">
        <f>'1 datos preparados'!V392</f>
        <v/>
      </c>
      <c r="Z399" s="9">
        <f>Y399*X399</f>
        <v/>
      </c>
      <c r="AA399" s="10">
        <f>IF(W399&gt;$AE$33,1,0)</f>
        <v/>
      </c>
      <c r="AB399">
        <f>IF(AA399=C399,1,0)</f>
        <v/>
      </c>
    </row>
    <row r="400">
      <c r="A400">
        <f>'1 datos preparados'!A393</f>
        <v/>
      </c>
      <c r="B400" s="5">
        <f>'1 datos preparados'!U393</f>
        <v/>
      </c>
      <c r="C400">
        <f>'1 datos preparados'!B393</f>
        <v/>
      </c>
      <c r="D400" s="7">
        <f>'1 datos preparados'!C393</f>
        <v/>
      </c>
      <c r="E400" s="7">
        <f>'1 datos preparados'!D393</f>
        <v/>
      </c>
      <c r="F400" s="7">
        <f>'1 datos preparados'!E393</f>
        <v/>
      </c>
      <c r="G400" s="7">
        <f>'1 datos preparados'!F393</f>
        <v/>
      </c>
      <c r="H400" s="7">
        <f>'1 datos preparados'!G393</f>
        <v/>
      </c>
      <c r="I400" s="7">
        <f>'1 datos preparados'!H393</f>
        <v/>
      </c>
      <c r="J400" s="7">
        <f>'1 datos preparados'!I393</f>
        <v/>
      </c>
      <c r="K400" s="7">
        <f>'1 datos preparados'!J393</f>
        <v/>
      </c>
      <c r="L400" s="7">
        <f>'1 datos preparados'!K393</f>
        <v/>
      </c>
      <c r="M400" s="7">
        <f>'1 datos preparados'!L393</f>
        <v/>
      </c>
      <c r="N400" s="7">
        <f>'1 datos preparados'!M393</f>
        <v/>
      </c>
      <c r="O400" s="7">
        <f>'1 datos preparados'!N393</f>
        <v/>
      </c>
      <c r="P400" s="7">
        <f>'1 datos preparados'!O393</f>
        <v/>
      </c>
      <c r="Q400" s="7">
        <f>'1 datos preparados'!P393</f>
        <v/>
      </c>
      <c r="R400" s="7">
        <f>'1 datos preparados'!Q393</f>
        <v/>
      </c>
      <c r="S400" s="7">
        <f>'1 datos preparados'!R393</f>
        <v/>
      </c>
      <c r="T400" s="7">
        <f>'1 datos preparados'!S393</f>
        <v/>
      </c>
      <c r="U400" s="7">
        <f>'1 datos preparados'!T393</f>
        <v/>
      </c>
      <c r="V400" s="8">
        <f>$AE$12+D400*$AE$13+E400*$AE$14+F400*$AE$15+G400*$AE$16+H400*$AE$17+I400*$AE$18+J400*$AE$19+K400*$AE$20+L400*$AE$21+M400*$AE$22+N400*$AE$23+O400*$AE$24+P400*$AE$25+Q400*$AE$26+R400*$AE$27+S400*$AE$28+T400*$AE$29+U400*$AE$30</f>
        <v/>
      </c>
      <c r="W400" s="8">
        <f>1/(1+EXP(-V400))</f>
        <v/>
      </c>
      <c r="X400" s="9">
        <f>-IF(C400=1,LN(W400),LN(1-W400))</f>
        <v/>
      </c>
      <c r="Y400" s="8">
        <f>'1 datos preparados'!V393</f>
        <v/>
      </c>
      <c r="Z400" s="9">
        <f>Y400*X400</f>
        <v/>
      </c>
      <c r="AA400" s="10">
        <f>IF(W400&gt;$AE$33,1,0)</f>
        <v/>
      </c>
      <c r="AB400">
        <f>IF(AA400=C400,1,0)</f>
        <v/>
      </c>
    </row>
    <row r="401">
      <c r="A401">
        <f>'1 datos preparados'!A394</f>
        <v/>
      </c>
      <c r="B401" s="5">
        <f>'1 datos preparados'!U394</f>
        <v/>
      </c>
      <c r="C401">
        <f>'1 datos preparados'!B394</f>
        <v/>
      </c>
      <c r="D401" s="7">
        <f>'1 datos preparados'!C394</f>
        <v/>
      </c>
      <c r="E401" s="7">
        <f>'1 datos preparados'!D394</f>
        <v/>
      </c>
      <c r="F401" s="7">
        <f>'1 datos preparados'!E394</f>
        <v/>
      </c>
      <c r="G401" s="7">
        <f>'1 datos preparados'!F394</f>
        <v/>
      </c>
      <c r="H401" s="7">
        <f>'1 datos preparados'!G394</f>
        <v/>
      </c>
      <c r="I401" s="7">
        <f>'1 datos preparados'!H394</f>
        <v/>
      </c>
      <c r="J401" s="7">
        <f>'1 datos preparados'!I394</f>
        <v/>
      </c>
      <c r="K401" s="7">
        <f>'1 datos preparados'!J394</f>
        <v/>
      </c>
      <c r="L401" s="7">
        <f>'1 datos preparados'!K394</f>
        <v/>
      </c>
      <c r="M401" s="7">
        <f>'1 datos preparados'!L394</f>
        <v/>
      </c>
      <c r="N401" s="7">
        <f>'1 datos preparados'!M394</f>
        <v/>
      </c>
      <c r="O401" s="7">
        <f>'1 datos preparados'!N394</f>
        <v/>
      </c>
      <c r="P401" s="7">
        <f>'1 datos preparados'!O394</f>
        <v/>
      </c>
      <c r="Q401" s="7">
        <f>'1 datos preparados'!P394</f>
        <v/>
      </c>
      <c r="R401" s="7">
        <f>'1 datos preparados'!Q394</f>
        <v/>
      </c>
      <c r="S401" s="7">
        <f>'1 datos preparados'!R394</f>
        <v/>
      </c>
      <c r="T401" s="7">
        <f>'1 datos preparados'!S394</f>
        <v/>
      </c>
      <c r="U401" s="7">
        <f>'1 datos preparados'!T394</f>
        <v/>
      </c>
      <c r="V401" s="8">
        <f>$AE$12+D401*$AE$13+E401*$AE$14+F401*$AE$15+G401*$AE$16+H401*$AE$17+I401*$AE$18+J401*$AE$19+K401*$AE$20+L401*$AE$21+M401*$AE$22+N401*$AE$23+O401*$AE$24+P401*$AE$25+Q401*$AE$26+R401*$AE$27+S401*$AE$28+T401*$AE$29+U401*$AE$30</f>
        <v/>
      </c>
      <c r="W401" s="8">
        <f>1/(1+EXP(-V401))</f>
        <v/>
      </c>
      <c r="X401" s="9">
        <f>-IF(C401=1,LN(W401),LN(1-W401))</f>
        <v/>
      </c>
      <c r="Y401" s="8">
        <f>'1 datos preparados'!V394</f>
        <v/>
      </c>
      <c r="Z401" s="9">
        <f>Y401*X401</f>
        <v/>
      </c>
      <c r="AA401" s="10">
        <f>IF(W401&gt;$AE$33,1,0)</f>
        <v/>
      </c>
      <c r="AB401">
        <f>IF(AA401=C401,1,0)</f>
        <v/>
      </c>
    </row>
    <row r="402">
      <c r="A402">
        <f>'1 datos preparados'!A395</f>
        <v/>
      </c>
      <c r="B402" s="5">
        <f>'1 datos preparados'!U395</f>
        <v/>
      </c>
      <c r="C402">
        <f>'1 datos preparados'!B395</f>
        <v/>
      </c>
      <c r="D402" s="7">
        <f>'1 datos preparados'!C395</f>
        <v/>
      </c>
      <c r="E402" s="7">
        <f>'1 datos preparados'!D395</f>
        <v/>
      </c>
      <c r="F402" s="7">
        <f>'1 datos preparados'!E395</f>
        <v/>
      </c>
      <c r="G402" s="7">
        <f>'1 datos preparados'!F395</f>
        <v/>
      </c>
      <c r="H402" s="7">
        <f>'1 datos preparados'!G395</f>
        <v/>
      </c>
      <c r="I402" s="7">
        <f>'1 datos preparados'!H395</f>
        <v/>
      </c>
      <c r="J402" s="7">
        <f>'1 datos preparados'!I395</f>
        <v/>
      </c>
      <c r="K402" s="7">
        <f>'1 datos preparados'!J395</f>
        <v/>
      </c>
      <c r="L402" s="7">
        <f>'1 datos preparados'!K395</f>
        <v/>
      </c>
      <c r="M402" s="7">
        <f>'1 datos preparados'!L395</f>
        <v/>
      </c>
      <c r="N402" s="7">
        <f>'1 datos preparados'!M395</f>
        <v/>
      </c>
      <c r="O402" s="7">
        <f>'1 datos preparados'!N395</f>
        <v/>
      </c>
      <c r="P402" s="7">
        <f>'1 datos preparados'!O395</f>
        <v/>
      </c>
      <c r="Q402" s="7">
        <f>'1 datos preparados'!P395</f>
        <v/>
      </c>
      <c r="R402" s="7">
        <f>'1 datos preparados'!Q395</f>
        <v/>
      </c>
      <c r="S402" s="7">
        <f>'1 datos preparados'!R395</f>
        <v/>
      </c>
      <c r="T402" s="7">
        <f>'1 datos preparados'!S395</f>
        <v/>
      </c>
      <c r="U402" s="7">
        <f>'1 datos preparados'!T395</f>
        <v/>
      </c>
      <c r="V402" s="8">
        <f>$AE$12+D402*$AE$13+E402*$AE$14+F402*$AE$15+G402*$AE$16+H402*$AE$17+I402*$AE$18+J402*$AE$19+K402*$AE$20+L402*$AE$21+M402*$AE$22+N402*$AE$23+O402*$AE$24+P402*$AE$25+Q402*$AE$26+R402*$AE$27+S402*$AE$28+T402*$AE$29+U402*$AE$30</f>
        <v/>
      </c>
      <c r="W402" s="8">
        <f>1/(1+EXP(-V402))</f>
        <v/>
      </c>
      <c r="X402" s="9">
        <f>-IF(C402=1,LN(W402),LN(1-W402))</f>
        <v/>
      </c>
      <c r="Y402" s="8">
        <f>'1 datos preparados'!V395</f>
        <v/>
      </c>
      <c r="Z402" s="9">
        <f>Y402*X402</f>
        <v/>
      </c>
      <c r="AA402" s="10">
        <f>IF(W402&gt;$AE$33,1,0)</f>
        <v/>
      </c>
      <c r="AB402">
        <f>IF(AA402=C402,1,0)</f>
        <v/>
      </c>
    </row>
    <row r="403">
      <c r="A403">
        <f>'1 datos preparados'!A396</f>
        <v/>
      </c>
      <c r="B403" s="5">
        <f>'1 datos preparados'!U396</f>
        <v/>
      </c>
      <c r="C403">
        <f>'1 datos preparados'!B396</f>
        <v/>
      </c>
      <c r="D403" s="7">
        <f>'1 datos preparados'!C396</f>
        <v/>
      </c>
      <c r="E403" s="7">
        <f>'1 datos preparados'!D396</f>
        <v/>
      </c>
      <c r="F403" s="7">
        <f>'1 datos preparados'!E396</f>
        <v/>
      </c>
      <c r="G403" s="7">
        <f>'1 datos preparados'!F396</f>
        <v/>
      </c>
      <c r="H403" s="7">
        <f>'1 datos preparados'!G396</f>
        <v/>
      </c>
      <c r="I403" s="7">
        <f>'1 datos preparados'!H396</f>
        <v/>
      </c>
      <c r="J403" s="7">
        <f>'1 datos preparados'!I396</f>
        <v/>
      </c>
      <c r="K403" s="7">
        <f>'1 datos preparados'!J396</f>
        <v/>
      </c>
      <c r="L403" s="7">
        <f>'1 datos preparados'!K396</f>
        <v/>
      </c>
      <c r="M403" s="7">
        <f>'1 datos preparados'!L396</f>
        <v/>
      </c>
      <c r="N403" s="7">
        <f>'1 datos preparados'!M396</f>
        <v/>
      </c>
      <c r="O403" s="7">
        <f>'1 datos preparados'!N396</f>
        <v/>
      </c>
      <c r="P403" s="7">
        <f>'1 datos preparados'!O396</f>
        <v/>
      </c>
      <c r="Q403" s="7">
        <f>'1 datos preparados'!P396</f>
        <v/>
      </c>
      <c r="R403" s="7">
        <f>'1 datos preparados'!Q396</f>
        <v/>
      </c>
      <c r="S403" s="7">
        <f>'1 datos preparados'!R396</f>
        <v/>
      </c>
      <c r="T403" s="7">
        <f>'1 datos preparados'!S396</f>
        <v/>
      </c>
      <c r="U403" s="7">
        <f>'1 datos preparados'!T396</f>
        <v/>
      </c>
      <c r="V403" s="8">
        <f>$AE$12+D403*$AE$13+E403*$AE$14+F403*$AE$15+G403*$AE$16+H403*$AE$17+I403*$AE$18+J403*$AE$19+K403*$AE$20+L403*$AE$21+M403*$AE$22+N403*$AE$23+O403*$AE$24+P403*$AE$25+Q403*$AE$26+R403*$AE$27+S403*$AE$28+T403*$AE$29+U403*$AE$30</f>
        <v/>
      </c>
      <c r="W403" s="8">
        <f>1/(1+EXP(-V403))</f>
        <v/>
      </c>
      <c r="X403" s="9">
        <f>-IF(C403=1,LN(W403),LN(1-W403))</f>
        <v/>
      </c>
      <c r="Y403" s="8">
        <f>'1 datos preparados'!V396</f>
        <v/>
      </c>
      <c r="Z403" s="9">
        <f>Y403*X403</f>
        <v/>
      </c>
      <c r="AA403" s="10">
        <f>IF(W403&gt;$AE$33,1,0)</f>
        <v/>
      </c>
      <c r="AB403">
        <f>IF(AA403=C403,1,0)</f>
        <v/>
      </c>
    </row>
    <row r="404">
      <c r="A404">
        <f>'1 datos preparados'!A397</f>
        <v/>
      </c>
      <c r="B404" s="5">
        <f>'1 datos preparados'!U397</f>
        <v/>
      </c>
      <c r="C404">
        <f>'1 datos preparados'!B397</f>
        <v/>
      </c>
      <c r="D404" s="7">
        <f>'1 datos preparados'!C397</f>
        <v/>
      </c>
      <c r="E404" s="7">
        <f>'1 datos preparados'!D397</f>
        <v/>
      </c>
      <c r="F404" s="7">
        <f>'1 datos preparados'!E397</f>
        <v/>
      </c>
      <c r="G404" s="7">
        <f>'1 datos preparados'!F397</f>
        <v/>
      </c>
      <c r="H404" s="7">
        <f>'1 datos preparados'!G397</f>
        <v/>
      </c>
      <c r="I404" s="7">
        <f>'1 datos preparados'!H397</f>
        <v/>
      </c>
      <c r="J404" s="7">
        <f>'1 datos preparados'!I397</f>
        <v/>
      </c>
      <c r="K404" s="7">
        <f>'1 datos preparados'!J397</f>
        <v/>
      </c>
      <c r="L404" s="7">
        <f>'1 datos preparados'!K397</f>
        <v/>
      </c>
      <c r="M404" s="7">
        <f>'1 datos preparados'!L397</f>
        <v/>
      </c>
      <c r="N404" s="7">
        <f>'1 datos preparados'!M397</f>
        <v/>
      </c>
      <c r="O404" s="7">
        <f>'1 datos preparados'!N397</f>
        <v/>
      </c>
      <c r="P404" s="7">
        <f>'1 datos preparados'!O397</f>
        <v/>
      </c>
      <c r="Q404" s="7">
        <f>'1 datos preparados'!P397</f>
        <v/>
      </c>
      <c r="R404" s="7">
        <f>'1 datos preparados'!Q397</f>
        <v/>
      </c>
      <c r="S404" s="7">
        <f>'1 datos preparados'!R397</f>
        <v/>
      </c>
      <c r="T404" s="7">
        <f>'1 datos preparados'!S397</f>
        <v/>
      </c>
      <c r="U404" s="7">
        <f>'1 datos preparados'!T397</f>
        <v/>
      </c>
      <c r="V404" s="8">
        <f>$AE$12+D404*$AE$13+E404*$AE$14+F404*$AE$15+G404*$AE$16+H404*$AE$17+I404*$AE$18+J404*$AE$19+K404*$AE$20+L404*$AE$21+M404*$AE$22+N404*$AE$23+O404*$AE$24+P404*$AE$25+Q404*$AE$26+R404*$AE$27+S404*$AE$28+T404*$AE$29+U404*$AE$30</f>
        <v/>
      </c>
      <c r="W404" s="8">
        <f>1/(1+EXP(-V404))</f>
        <v/>
      </c>
      <c r="X404" s="9">
        <f>-IF(C404=1,LN(W404),LN(1-W404))</f>
        <v/>
      </c>
      <c r="Y404" s="8">
        <f>'1 datos preparados'!V397</f>
        <v/>
      </c>
      <c r="Z404" s="9">
        <f>Y404*X404</f>
        <v/>
      </c>
      <c r="AA404" s="10">
        <f>IF(W404&gt;$AE$33,1,0)</f>
        <v/>
      </c>
      <c r="AB404">
        <f>IF(AA404=C404,1,0)</f>
        <v/>
      </c>
    </row>
    <row r="405">
      <c r="A405">
        <f>'1 datos preparados'!A398</f>
        <v/>
      </c>
      <c r="B405" s="5">
        <f>'1 datos preparados'!U398</f>
        <v/>
      </c>
      <c r="C405">
        <f>'1 datos preparados'!B398</f>
        <v/>
      </c>
      <c r="D405" s="7">
        <f>'1 datos preparados'!C398</f>
        <v/>
      </c>
      <c r="E405" s="7">
        <f>'1 datos preparados'!D398</f>
        <v/>
      </c>
      <c r="F405" s="7">
        <f>'1 datos preparados'!E398</f>
        <v/>
      </c>
      <c r="G405" s="7">
        <f>'1 datos preparados'!F398</f>
        <v/>
      </c>
      <c r="H405" s="7">
        <f>'1 datos preparados'!G398</f>
        <v/>
      </c>
      <c r="I405" s="7">
        <f>'1 datos preparados'!H398</f>
        <v/>
      </c>
      <c r="J405" s="7">
        <f>'1 datos preparados'!I398</f>
        <v/>
      </c>
      <c r="K405" s="7">
        <f>'1 datos preparados'!J398</f>
        <v/>
      </c>
      <c r="L405" s="7">
        <f>'1 datos preparados'!K398</f>
        <v/>
      </c>
      <c r="M405" s="7">
        <f>'1 datos preparados'!L398</f>
        <v/>
      </c>
      <c r="N405" s="7">
        <f>'1 datos preparados'!M398</f>
        <v/>
      </c>
      <c r="O405" s="7">
        <f>'1 datos preparados'!N398</f>
        <v/>
      </c>
      <c r="P405" s="7">
        <f>'1 datos preparados'!O398</f>
        <v/>
      </c>
      <c r="Q405" s="7">
        <f>'1 datos preparados'!P398</f>
        <v/>
      </c>
      <c r="R405" s="7">
        <f>'1 datos preparados'!Q398</f>
        <v/>
      </c>
      <c r="S405" s="7">
        <f>'1 datos preparados'!R398</f>
        <v/>
      </c>
      <c r="T405" s="7">
        <f>'1 datos preparados'!S398</f>
        <v/>
      </c>
      <c r="U405" s="7">
        <f>'1 datos preparados'!T398</f>
        <v/>
      </c>
      <c r="V405" s="8">
        <f>$AE$12+D405*$AE$13+E405*$AE$14+F405*$AE$15+G405*$AE$16+H405*$AE$17+I405*$AE$18+J405*$AE$19+K405*$AE$20+L405*$AE$21+M405*$AE$22+N405*$AE$23+O405*$AE$24+P405*$AE$25+Q405*$AE$26+R405*$AE$27+S405*$AE$28+T405*$AE$29+U405*$AE$30</f>
        <v/>
      </c>
      <c r="W405" s="8">
        <f>1/(1+EXP(-V405))</f>
        <v/>
      </c>
      <c r="X405" s="9">
        <f>-IF(C405=1,LN(W405),LN(1-W405))</f>
        <v/>
      </c>
      <c r="Y405" s="8">
        <f>'1 datos preparados'!V398</f>
        <v/>
      </c>
      <c r="Z405" s="9">
        <f>Y405*X405</f>
        <v/>
      </c>
      <c r="AA405" s="10">
        <f>IF(W405&gt;$AE$33,1,0)</f>
        <v/>
      </c>
      <c r="AB405">
        <f>IF(AA405=C405,1,0)</f>
        <v/>
      </c>
    </row>
    <row r="406">
      <c r="A406">
        <f>'1 datos preparados'!A399</f>
        <v/>
      </c>
      <c r="B406" s="5">
        <f>'1 datos preparados'!U399</f>
        <v/>
      </c>
      <c r="C406">
        <f>'1 datos preparados'!B399</f>
        <v/>
      </c>
      <c r="D406" s="7">
        <f>'1 datos preparados'!C399</f>
        <v/>
      </c>
      <c r="E406" s="7">
        <f>'1 datos preparados'!D399</f>
        <v/>
      </c>
      <c r="F406" s="7">
        <f>'1 datos preparados'!E399</f>
        <v/>
      </c>
      <c r="G406" s="7">
        <f>'1 datos preparados'!F399</f>
        <v/>
      </c>
      <c r="H406" s="7">
        <f>'1 datos preparados'!G399</f>
        <v/>
      </c>
      <c r="I406" s="7">
        <f>'1 datos preparados'!H399</f>
        <v/>
      </c>
      <c r="J406" s="7">
        <f>'1 datos preparados'!I399</f>
        <v/>
      </c>
      <c r="K406" s="7">
        <f>'1 datos preparados'!J399</f>
        <v/>
      </c>
      <c r="L406" s="7">
        <f>'1 datos preparados'!K399</f>
        <v/>
      </c>
      <c r="M406" s="7">
        <f>'1 datos preparados'!L399</f>
        <v/>
      </c>
      <c r="N406" s="7">
        <f>'1 datos preparados'!M399</f>
        <v/>
      </c>
      <c r="O406" s="7">
        <f>'1 datos preparados'!N399</f>
        <v/>
      </c>
      <c r="P406" s="7">
        <f>'1 datos preparados'!O399</f>
        <v/>
      </c>
      <c r="Q406" s="7">
        <f>'1 datos preparados'!P399</f>
        <v/>
      </c>
      <c r="R406" s="7">
        <f>'1 datos preparados'!Q399</f>
        <v/>
      </c>
      <c r="S406" s="7">
        <f>'1 datos preparados'!R399</f>
        <v/>
      </c>
      <c r="T406" s="7">
        <f>'1 datos preparados'!S399</f>
        <v/>
      </c>
      <c r="U406" s="7">
        <f>'1 datos preparados'!T399</f>
        <v/>
      </c>
      <c r="V406" s="8">
        <f>$AE$12+D406*$AE$13+E406*$AE$14+F406*$AE$15+G406*$AE$16+H406*$AE$17+I406*$AE$18+J406*$AE$19+K406*$AE$20+L406*$AE$21+M406*$AE$22+N406*$AE$23+O406*$AE$24+P406*$AE$25+Q406*$AE$26+R406*$AE$27+S406*$AE$28+T406*$AE$29+U406*$AE$30</f>
        <v/>
      </c>
      <c r="W406" s="8">
        <f>1/(1+EXP(-V406))</f>
        <v/>
      </c>
      <c r="X406" s="9">
        <f>-IF(C406=1,LN(W406),LN(1-W406))</f>
        <v/>
      </c>
      <c r="Y406" s="8">
        <f>'1 datos preparados'!V399</f>
        <v/>
      </c>
      <c r="Z406" s="9">
        <f>Y406*X406</f>
        <v/>
      </c>
      <c r="AA406" s="10">
        <f>IF(W406&gt;$AE$33,1,0)</f>
        <v/>
      </c>
      <c r="AB406">
        <f>IF(AA406=C406,1,0)</f>
        <v/>
      </c>
    </row>
    <row r="407">
      <c r="A407">
        <f>'1 datos preparados'!A400</f>
        <v/>
      </c>
      <c r="B407" s="5">
        <f>'1 datos preparados'!U400</f>
        <v/>
      </c>
      <c r="C407">
        <f>'1 datos preparados'!B400</f>
        <v/>
      </c>
      <c r="D407" s="7">
        <f>'1 datos preparados'!C400</f>
        <v/>
      </c>
      <c r="E407" s="7">
        <f>'1 datos preparados'!D400</f>
        <v/>
      </c>
      <c r="F407" s="7">
        <f>'1 datos preparados'!E400</f>
        <v/>
      </c>
      <c r="G407" s="7">
        <f>'1 datos preparados'!F400</f>
        <v/>
      </c>
      <c r="H407" s="7">
        <f>'1 datos preparados'!G400</f>
        <v/>
      </c>
      <c r="I407" s="7">
        <f>'1 datos preparados'!H400</f>
        <v/>
      </c>
      <c r="J407" s="7">
        <f>'1 datos preparados'!I400</f>
        <v/>
      </c>
      <c r="K407" s="7">
        <f>'1 datos preparados'!J400</f>
        <v/>
      </c>
      <c r="L407" s="7">
        <f>'1 datos preparados'!K400</f>
        <v/>
      </c>
      <c r="M407" s="7">
        <f>'1 datos preparados'!L400</f>
        <v/>
      </c>
      <c r="N407" s="7">
        <f>'1 datos preparados'!M400</f>
        <v/>
      </c>
      <c r="O407" s="7">
        <f>'1 datos preparados'!N400</f>
        <v/>
      </c>
      <c r="P407" s="7">
        <f>'1 datos preparados'!O400</f>
        <v/>
      </c>
      <c r="Q407" s="7">
        <f>'1 datos preparados'!P400</f>
        <v/>
      </c>
      <c r="R407" s="7">
        <f>'1 datos preparados'!Q400</f>
        <v/>
      </c>
      <c r="S407" s="7">
        <f>'1 datos preparados'!R400</f>
        <v/>
      </c>
      <c r="T407" s="7">
        <f>'1 datos preparados'!S400</f>
        <v/>
      </c>
      <c r="U407" s="7">
        <f>'1 datos preparados'!T400</f>
        <v/>
      </c>
      <c r="V407" s="8">
        <f>$AE$12+D407*$AE$13+E407*$AE$14+F407*$AE$15+G407*$AE$16+H407*$AE$17+I407*$AE$18+J407*$AE$19+K407*$AE$20+L407*$AE$21+M407*$AE$22+N407*$AE$23+O407*$AE$24+P407*$AE$25+Q407*$AE$26+R407*$AE$27+S407*$AE$28+T407*$AE$29+U407*$AE$30</f>
        <v/>
      </c>
      <c r="W407" s="8">
        <f>1/(1+EXP(-V407))</f>
        <v/>
      </c>
      <c r="X407" s="9">
        <f>-IF(C407=1,LN(W407),LN(1-W407))</f>
        <v/>
      </c>
      <c r="Y407" s="8">
        <f>'1 datos preparados'!V400</f>
        <v/>
      </c>
      <c r="Z407" s="9">
        <f>Y407*X407</f>
        <v/>
      </c>
      <c r="AA407" s="10">
        <f>IF(W407&gt;$AE$33,1,0)</f>
        <v/>
      </c>
      <c r="AB407">
        <f>IF(AA407=C407,1,0)</f>
        <v/>
      </c>
    </row>
    <row r="408">
      <c r="A408">
        <f>'1 datos preparados'!A401</f>
        <v/>
      </c>
      <c r="B408" s="5">
        <f>'1 datos preparados'!U401</f>
        <v/>
      </c>
      <c r="C408">
        <f>'1 datos preparados'!B401</f>
        <v/>
      </c>
      <c r="D408" s="7">
        <f>'1 datos preparados'!C401</f>
        <v/>
      </c>
      <c r="E408" s="7">
        <f>'1 datos preparados'!D401</f>
        <v/>
      </c>
      <c r="F408" s="7">
        <f>'1 datos preparados'!E401</f>
        <v/>
      </c>
      <c r="G408" s="7">
        <f>'1 datos preparados'!F401</f>
        <v/>
      </c>
      <c r="H408" s="7">
        <f>'1 datos preparados'!G401</f>
        <v/>
      </c>
      <c r="I408" s="7">
        <f>'1 datos preparados'!H401</f>
        <v/>
      </c>
      <c r="J408" s="7">
        <f>'1 datos preparados'!I401</f>
        <v/>
      </c>
      <c r="K408" s="7">
        <f>'1 datos preparados'!J401</f>
        <v/>
      </c>
      <c r="L408" s="7">
        <f>'1 datos preparados'!K401</f>
        <v/>
      </c>
      <c r="M408" s="7">
        <f>'1 datos preparados'!L401</f>
        <v/>
      </c>
      <c r="N408" s="7">
        <f>'1 datos preparados'!M401</f>
        <v/>
      </c>
      <c r="O408" s="7">
        <f>'1 datos preparados'!N401</f>
        <v/>
      </c>
      <c r="P408" s="7">
        <f>'1 datos preparados'!O401</f>
        <v/>
      </c>
      <c r="Q408" s="7">
        <f>'1 datos preparados'!P401</f>
        <v/>
      </c>
      <c r="R408" s="7">
        <f>'1 datos preparados'!Q401</f>
        <v/>
      </c>
      <c r="S408" s="7">
        <f>'1 datos preparados'!R401</f>
        <v/>
      </c>
      <c r="T408" s="7">
        <f>'1 datos preparados'!S401</f>
        <v/>
      </c>
      <c r="U408" s="7">
        <f>'1 datos preparados'!T401</f>
        <v/>
      </c>
      <c r="V408" s="8">
        <f>$AE$12+D408*$AE$13+E408*$AE$14+F408*$AE$15+G408*$AE$16+H408*$AE$17+I408*$AE$18+J408*$AE$19+K408*$AE$20+L408*$AE$21+M408*$AE$22+N408*$AE$23+O408*$AE$24+P408*$AE$25+Q408*$AE$26+R408*$AE$27+S408*$AE$28+T408*$AE$29+U408*$AE$30</f>
        <v/>
      </c>
      <c r="W408" s="8">
        <f>1/(1+EXP(-V408))</f>
        <v/>
      </c>
      <c r="X408" s="9">
        <f>-IF(C408=1,LN(W408),LN(1-W408))</f>
        <v/>
      </c>
      <c r="Y408" s="8">
        <f>'1 datos preparados'!V401</f>
        <v/>
      </c>
      <c r="Z408" s="9">
        <f>Y408*X408</f>
        <v/>
      </c>
      <c r="AA408" s="10">
        <f>IF(W408&gt;$AE$33,1,0)</f>
        <v/>
      </c>
      <c r="AB408">
        <f>IF(AA408=C408,1,0)</f>
        <v/>
      </c>
    </row>
    <row r="409">
      <c r="A409">
        <f>'1 datos preparados'!A402</f>
        <v/>
      </c>
      <c r="B409" s="5">
        <f>'1 datos preparados'!U402</f>
        <v/>
      </c>
      <c r="C409">
        <f>'1 datos preparados'!B402</f>
        <v/>
      </c>
      <c r="D409" s="7">
        <f>'1 datos preparados'!C402</f>
        <v/>
      </c>
      <c r="E409" s="7">
        <f>'1 datos preparados'!D402</f>
        <v/>
      </c>
      <c r="F409" s="7">
        <f>'1 datos preparados'!E402</f>
        <v/>
      </c>
      <c r="G409" s="7">
        <f>'1 datos preparados'!F402</f>
        <v/>
      </c>
      <c r="H409" s="7">
        <f>'1 datos preparados'!G402</f>
        <v/>
      </c>
      <c r="I409" s="7">
        <f>'1 datos preparados'!H402</f>
        <v/>
      </c>
      <c r="J409" s="7">
        <f>'1 datos preparados'!I402</f>
        <v/>
      </c>
      <c r="K409" s="7">
        <f>'1 datos preparados'!J402</f>
        <v/>
      </c>
      <c r="L409" s="7">
        <f>'1 datos preparados'!K402</f>
        <v/>
      </c>
      <c r="M409" s="7">
        <f>'1 datos preparados'!L402</f>
        <v/>
      </c>
      <c r="N409" s="7">
        <f>'1 datos preparados'!M402</f>
        <v/>
      </c>
      <c r="O409" s="7">
        <f>'1 datos preparados'!N402</f>
        <v/>
      </c>
      <c r="P409" s="7">
        <f>'1 datos preparados'!O402</f>
        <v/>
      </c>
      <c r="Q409" s="7">
        <f>'1 datos preparados'!P402</f>
        <v/>
      </c>
      <c r="R409" s="7">
        <f>'1 datos preparados'!Q402</f>
        <v/>
      </c>
      <c r="S409" s="7">
        <f>'1 datos preparados'!R402</f>
        <v/>
      </c>
      <c r="T409" s="7">
        <f>'1 datos preparados'!S402</f>
        <v/>
      </c>
      <c r="U409" s="7">
        <f>'1 datos preparados'!T402</f>
        <v/>
      </c>
      <c r="V409" s="8">
        <f>$AE$12+D409*$AE$13+E409*$AE$14+F409*$AE$15+G409*$AE$16+H409*$AE$17+I409*$AE$18+J409*$AE$19+K409*$AE$20+L409*$AE$21+M409*$AE$22+N409*$AE$23+O409*$AE$24+P409*$AE$25+Q409*$AE$26+R409*$AE$27+S409*$AE$28+T409*$AE$29+U409*$AE$30</f>
        <v/>
      </c>
      <c r="W409" s="8">
        <f>1/(1+EXP(-V409))</f>
        <v/>
      </c>
      <c r="X409" s="9">
        <f>-IF(C409=1,LN(W409),LN(1-W409))</f>
        <v/>
      </c>
      <c r="Y409" s="8">
        <f>'1 datos preparados'!V402</f>
        <v/>
      </c>
      <c r="Z409" s="9">
        <f>Y409*X409</f>
        <v/>
      </c>
      <c r="AA409" s="10">
        <f>IF(W409&gt;$AE$33,1,0)</f>
        <v/>
      </c>
      <c r="AB409">
        <f>IF(AA409=C409,1,0)</f>
        <v/>
      </c>
    </row>
    <row r="410">
      <c r="A410">
        <f>'1 datos preparados'!A403</f>
        <v/>
      </c>
      <c r="B410" s="5">
        <f>'1 datos preparados'!U403</f>
        <v/>
      </c>
      <c r="C410">
        <f>'1 datos preparados'!B403</f>
        <v/>
      </c>
      <c r="D410" s="7">
        <f>'1 datos preparados'!C403</f>
        <v/>
      </c>
      <c r="E410" s="7">
        <f>'1 datos preparados'!D403</f>
        <v/>
      </c>
      <c r="F410" s="7">
        <f>'1 datos preparados'!E403</f>
        <v/>
      </c>
      <c r="G410" s="7">
        <f>'1 datos preparados'!F403</f>
        <v/>
      </c>
      <c r="H410" s="7">
        <f>'1 datos preparados'!G403</f>
        <v/>
      </c>
      <c r="I410" s="7">
        <f>'1 datos preparados'!H403</f>
        <v/>
      </c>
      <c r="J410" s="7">
        <f>'1 datos preparados'!I403</f>
        <v/>
      </c>
      <c r="K410" s="7">
        <f>'1 datos preparados'!J403</f>
        <v/>
      </c>
      <c r="L410" s="7">
        <f>'1 datos preparados'!K403</f>
        <v/>
      </c>
      <c r="M410" s="7">
        <f>'1 datos preparados'!L403</f>
        <v/>
      </c>
      <c r="N410" s="7">
        <f>'1 datos preparados'!M403</f>
        <v/>
      </c>
      <c r="O410" s="7">
        <f>'1 datos preparados'!N403</f>
        <v/>
      </c>
      <c r="P410" s="7">
        <f>'1 datos preparados'!O403</f>
        <v/>
      </c>
      <c r="Q410" s="7">
        <f>'1 datos preparados'!P403</f>
        <v/>
      </c>
      <c r="R410" s="7">
        <f>'1 datos preparados'!Q403</f>
        <v/>
      </c>
      <c r="S410" s="7">
        <f>'1 datos preparados'!R403</f>
        <v/>
      </c>
      <c r="T410" s="7">
        <f>'1 datos preparados'!S403</f>
        <v/>
      </c>
      <c r="U410" s="7">
        <f>'1 datos preparados'!T403</f>
        <v/>
      </c>
      <c r="V410" s="8">
        <f>$AE$12+D410*$AE$13+E410*$AE$14+F410*$AE$15+G410*$AE$16+H410*$AE$17+I410*$AE$18+J410*$AE$19+K410*$AE$20+L410*$AE$21+M410*$AE$22+N410*$AE$23+O410*$AE$24+P410*$AE$25+Q410*$AE$26+R410*$AE$27+S410*$AE$28+T410*$AE$29+U410*$AE$30</f>
        <v/>
      </c>
      <c r="W410" s="8">
        <f>1/(1+EXP(-V410))</f>
        <v/>
      </c>
      <c r="X410" s="9">
        <f>-IF(C410=1,LN(W410),LN(1-W410))</f>
        <v/>
      </c>
      <c r="Y410" s="8">
        <f>'1 datos preparados'!V403</f>
        <v/>
      </c>
      <c r="Z410" s="9">
        <f>Y410*X410</f>
        <v/>
      </c>
      <c r="AA410" s="10">
        <f>IF(W410&gt;$AE$33,1,0)</f>
        <v/>
      </c>
      <c r="AB410">
        <f>IF(AA410=C410,1,0)</f>
        <v/>
      </c>
    </row>
    <row r="411">
      <c r="A411">
        <f>'1 datos preparados'!A404</f>
        <v/>
      </c>
      <c r="B411" s="5">
        <f>'1 datos preparados'!U404</f>
        <v/>
      </c>
      <c r="C411">
        <f>'1 datos preparados'!B404</f>
        <v/>
      </c>
      <c r="D411" s="7">
        <f>'1 datos preparados'!C404</f>
        <v/>
      </c>
      <c r="E411" s="7">
        <f>'1 datos preparados'!D404</f>
        <v/>
      </c>
      <c r="F411" s="7">
        <f>'1 datos preparados'!E404</f>
        <v/>
      </c>
      <c r="G411" s="7">
        <f>'1 datos preparados'!F404</f>
        <v/>
      </c>
      <c r="H411" s="7">
        <f>'1 datos preparados'!G404</f>
        <v/>
      </c>
      <c r="I411" s="7">
        <f>'1 datos preparados'!H404</f>
        <v/>
      </c>
      <c r="J411" s="7">
        <f>'1 datos preparados'!I404</f>
        <v/>
      </c>
      <c r="K411" s="7">
        <f>'1 datos preparados'!J404</f>
        <v/>
      </c>
      <c r="L411" s="7">
        <f>'1 datos preparados'!K404</f>
        <v/>
      </c>
      <c r="M411" s="7">
        <f>'1 datos preparados'!L404</f>
        <v/>
      </c>
      <c r="N411" s="7">
        <f>'1 datos preparados'!M404</f>
        <v/>
      </c>
      <c r="O411" s="7">
        <f>'1 datos preparados'!N404</f>
        <v/>
      </c>
      <c r="P411" s="7">
        <f>'1 datos preparados'!O404</f>
        <v/>
      </c>
      <c r="Q411" s="7">
        <f>'1 datos preparados'!P404</f>
        <v/>
      </c>
      <c r="R411" s="7">
        <f>'1 datos preparados'!Q404</f>
        <v/>
      </c>
      <c r="S411" s="7">
        <f>'1 datos preparados'!R404</f>
        <v/>
      </c>
      <c r="T411" s="7">
        <f>'1 datos preparados'!S404</f>
        <v/>
      </c>
      <c r="U411" s="7">
        <f>'1 datos preparados'!T404</f>
        <v/>
      </c>
      <c r="V411" s="8">
        <f>$AE$12+D411*$AE$13+E411*$AE$14+F411*$AE$15+G411*$AE$16+H411*$AE$17+I411*$AE$18+J411*$AE$19+K411*$AE$20+L411*$AE$21+M411*$AE$22+N411*$AE$23+O411*$AE$24+P411*$AE$25+Q411*$AE$26+R411*$AE$27+S411*$AE$28+T411*$AE$29+U411*$AE$30</f>
        <v/>
      </c>
      <c r="W411" s="8">
        <f>1/(1+EXP(-V411))</f>
        <v/>
      </c>
      <c r="X411" s="9">
        <f>-IF(C411=1,LN(W411),LN(1-W411))</f>
        <v/>
      </c>
      <c r="Y411" s="8">
        <f>'1 datos preparados'!V404</f>
        <v/>
      </c>
      <c r="Z411" s="9">
        <f>Y411*X411</f>
        <v/>
      </c>
      <c r="AA411" s="10">
        <f>IF(W411&gt;$AE$33,1,0)</f>
        <v/>
      </c>
      <c r="AB411">
        <f>IF(AA411=C411,1,0)</f>
        <v/>
      </c>
    </row>
    <row r="412">
      <c r="A412">
        <f>'1 datos preparados'!A405</f>
        <v/>
      </c>
      <c r="B412" s="5">
        <f>'1 datos preparados'!U405</f>
        <v/>
      </c>
      <c r="C412">
        <f>'1 datos preparados'!B405</f>
        <v/>
      </c>
      <c r="D412" s="7">
        <f>'1 datos preparados'!C405</f>
        <v/>
      </c>
      <c r="E412" s="7">
        <f>'1 datos preparados'!D405</f>
        <v/>
      </c>
      <c r="F412" s="7">
        <f>'1 datos preparados'!E405</f>
        <v/>
      </c>
      <c r="G412" s="7">
        <f>'1 datos preparados'!F405</f>
        <v/>
      </c>
      <c r="H412" s="7">
        <f>'1 datos preparados'!G405</f>
        <v/>
      </c>
      <c r="I412" s="7">
        <f>'1 datos preparados'!H405</f>
        <v/>
      </c>
      <c r="J412" s="7">
        <f>'1 datos preparados'!I405</f>
        <v/>
      </c>
      <c r="K412" s="7">
        <f>'1 datos preparados'!J405</f>
        <v/>
      </c>
      <c r="L412" s="7">
        <f>'1 datos preparados'!K405</f>
        <v/>
      </c>
      <c r="M412" s="7">
        <f>'1 datos preparados'!L405</f>
        <v/>
      </c>
      <c r="N412" s="7">
        <f>'1 datos preparados'!M405</f>
        <v/>
      </c>
      <c r="O412" s="7">
        <f>'1 datos preparados'!N405</f>
        <v/>
      </c>
      <c r="P412" s="7">
        <f>'1 datos preparados'!O405</f>
        <v/>
      </c>
      <c r="Q412" s="7">
        <f>'1 datos preparados'!P405</f>
        <v/>
      </c>
      <c r="R412" s="7">
        <f>'1 datos preparados'!Q405</f>
        <v/>
      </c>
      <c r="S412" s="7">
        <f>'1 datos preparados'!R405</f>
        <v/>
      </c>
      <c r="T412" s="7">
        <f>'1 datos preparados'!S405</f>
        <v/>
      </c>
      <c r="U412" s="7">
        <f>'1 datos preparados'!T405</f>
        <v/>
      </c>
      <c r="V412" s="8">
        <f>$AE$12+D412*$AE$13+E412*$AE$14+F412*$AE$15+G412*$AE$16+H412*$AE$17+I412*$AE$18+J412*$AE$19+K412*$AE$20+L412*$AE$21+M412*$AE$22+N412*$AE$23+O412*$AE$24+P412*$AE$25+Q412*$AE$26+R412*$AE$27+S412*$AE$28+T412*$AE$29+U412*$AE$30</f>
        <v/>
      </c>
      <c r="W412" s="8">
        <f>1/(1+EXP(-V412))</f>
        <v/>
      </c>
      <c r="X412" s="9">
        <f>-IF(C412=1,LN(W412),LN(1-W412))</f>
        <v/>
      </c>
      <c r="Y412" s="8">
        <f>'1 datos preparados'!V405</f>
        <v/>
      </c>
      <c r="Z412" s="9">
        <f>Y412*X412</f>
        <v/>
      </c>
      <c r="AA412" s="10">
        <f>IF(W412&gt;$AE$33,1,0)</f>
        <v/>
      </c>
      <c r="AB412">
        <f>IF(AA412=C412,1,0)</f>
        <v/>
      </c>
    </row>
    <row r="413">
      <c r="A413">
        <f>'1 datos preparados'!A406</f>
        <v/>
      </c>
      <c r="B413" s="5">
        <f>'1 datos preparados'!U406</f>
        <v/>
      </c>
      <c r="C413">
        <f>'1 datos preparados'!B406</f>
        <v/>
      </c>
      <c r="D413" s="7">
        <f>'1 datos preparados'!C406</f>
        <v/>
      </c>
      <c r="E413" s="7">
        <f>'1 datos preparados'!D406</f>
        <v/>
      </c>
      <c r="F413" s="7">
        <f>'1 datos preparados'!E406</f>
        <v/>
      </c>
      <c r="G413" s="7">
        <f>'1 datos preparados'!F406</f>
        <v/>
      </c>
      <c r="H413" s="7">
        <f>'1 datos preparados'!G406</f>
        <v/>
      </c>
      <c r="I413" s="7">
        <f>'1 datos preparados'!H406</f>
        <v/>
      </c>
      <c r="J413" s="7">
        <f>'1 datos preparados'!I406</f>
        <v/>
      </c>
      <c r="K413" s="7">
        <f>'1 datos preparados'!J406</f>
        <v/>
      </c>
      <c r="L413" s="7">
        <f>'1 datos preparados'!K406</f>
        <v/>
      </c>
      <c r="M413" s="7">
        <f>'1 datos preparados'!L406</f>
        <v/>
      </c>
      <c r="N413" s="7">
        <f>'1 datos preparados'!M406</f>
        <v/>
      </c>
      <c r="O413" s="7">
        <f>'1 datos preparados'!N406</f>
        <v/>
      </c>
      <c r="P413" s="7">
        <f>'1 datos preparados'!O406</f>
        <v/>
      </c>
      <c r="Q413" s="7">
        <f>'1 datos preparados'!P406</f>
        <v/>
      </c>
      <c r="R413" s="7">
        <f>'1 datos preparados'!Q406</f>
        <v/>
      </c>
      <c r="S413" s="7">
        <f>'1 datos preparados'!R406</f>
        <v/>
      </c>
      <c r="T413" s="7">
        <f>'1 datos preparados'!S406</f>
        <v/>
      </c>
      <c r="U413" s="7">
        <f>'1 datos preparados'!T406</f>
        <v/>
      </c>
      <c r="V413" s="8">
        <f>$AE$12+D413*$AE$13+E413*$AE$14+F413*$AE$15+G413*$AE$16+H413*$AE$17+I413*$AE$18+J413*$AE$19+K413*$AE$20+L413*$AE$21+M413*$AE$22+N413*$AE$23+O413*$AE$24+P413*$AE$25+Q413*$AE$26+R413*$AE$27+S413*$AE$28+T413*$AE$29+U413*$AE$30</f>
        <v/>
      </c>
      <c r="W413" s="8">
        <f>1/(1+EXP(-V413))</f>
        <v/>
      </c>
      <c r="X413" s="9">
        <f>-IF(C413=1,LN(W413),LN(1-W413))</f>
        <v/>
      </c>
      <c r="Y413" s="8">
        <f>'1 datos preparados'!V406</f>
        <v/>
      </c>
      <c r="Z413" s="9">
        <f>Y413*X413</f>
        <v/>
      </c>
      <c r="AA413" s="10">
        <f>IF(W413&gt;$AE$33,1,0)</f>
        <v/>
      </c>
      <c r="AB413">
        <f>IF(AA413=C413,1,0)</f>
        <v/>
      </c>
    </row>
    <row r="414">
      <c r="A414">
        <f>'1 datos preparados'!A407</f>
        <v/>
      </c>
      <c r="B414" s="5">
        <f>'1 datos preparados'!U407</f>
        <v/>
      </c>
      <c r="C414">
        <f>'1 datos preparados'!B407</f>
        <v/>
      </c>
      <c r="D414" s="7">
        <f>'1 datos preparados'!C407</f>
        <v/>
      </c>
      <c r="E414" s="7">
        <f>'1 datos preparados'!D407</f>
        <v/>
      </c>
      <c r="F414" s="7">
        <f>'1 datos preparados'!E407</f>
        <v/>
      </c>
      <c r="G414" s="7">
        <f>'1 datos preparados'!F407</f>
        <v/>
      </c>
      <c r="H414" s="7">
        <f>'1 datos preparados'!G407</f>
        <v/>
      </c>
      <c r="I414" s="7">
        <f>'1 datos preparados'!H407</f>
        <v/>
      </c>
      <c r="J414" s="7">
        <f>'1 datos preparados'!I407</f>
        <v/>
      </c>
      <c r="K414" s="7">
        <f>'1 datos preparados'!J407</f>
        <v/>
      </c>
      <c r="L414" s="7">
        <f>'1 datos preparados'!K407</f>
        <v/>
      </c>
      <c r="M414" s="7">
        <f>'1 datos preparados'!L407</f>
        <v/>
      </c>
      <c r="N414" s="7">
        <f>'1 datos preparados'!M407</f>
        <v/>
      </c>
      <c r="O414" s="7">
        <f>'1 datos preparados'!N407</f>
        <v/>
      </c>
      <c r="P414" s="7">
        <f>'1 datos preparados'!O407</f>
        <v/>
      </c>
      <c r="Q414" s="7">
        <f>'1 datos preparados'!P407</f>
        <v/>
      </c>
      <c r="R414" s="7">
        <f>'1 datos preparados'!Q407</f>
        <v/>
      </c>
      <c r="S414" s="7">
        <f>'1 datos preparados'!R407</f>
        <v/>
      </c>
      <c r="T414" s="7">
        <f>'1 datos preparados'!S407</f>
        <v/>
      </c>
      <c r="U414" s="7">
        <f>'1 datos preparados'!T407</f>
        <v/>
      </c>
      <c r="V414" s="8">
        <f>$AE$12+D414*$AE$13+E414*$AE$14+F414*$AE$15+G414*$AE$16+H414*$AE$17+I414*$AE$18+J414*$AE$19+K414*$AE$20+L414*$AE$21+M414*$AE$22+N414*$AE$23+O414*$AE$24+P414*$AE$25+Q414*$AE$26+R414*$AE$27+S414*$AE$28+T414*$AE$29+U414*$AE$30</f>
        <v/>
      </c>
      <c r="W414" s="8">
        <f>1/(1+EXP(-V414))</f>
        <v/>
      </c>
      <c r="X414" s="9">
        <f>-IF(C414=1,LN(W414),LN(1-W414))</f>
        <v/>
      </c>
      <c r="Y414" s="8">
        <f>'1 datos preparados'!V407</f>
        <v/>
      </c>
      <c r="Z414" s="9">
        <f>Y414*X414</f>
        <v/>
      </c>
      <c r="AA414" s="10">
        <f>IF(W414&gt;$AE$33,1,0)</f>
        <v/>
      </c>
      <c r="AB414">
        <f>IF(AA414=C414,1,0)</f>
        <v/>
      </c>
    </row>
    <row r="415">
      <c r="A415">
        <f>'1 datos preparados'!A408</f>
        <v/>
      </c>
      <c r="B415" s="5">
        <f>'1 datos preparados'!U408</f>
        <v/>
      </c>
      <c r="C415">
        <f>'1 datos preparados'!B408</f>
        <v/>
      </c>
      <c r="D415" s="7">
        <f>'1 datos preparados'!C408</f>
        <v/>
      </c>
      <c r="E415" s="7">
        <f>'1 datos preparados'!D408</f>
        <v/>
      </c>
      <c r="F415" s="7">
        <f>'1 datos preparados'!E408</f>
        <v/>
      </c>
      <c r="G415" s="7">
        <f>'1 datos preparados'!F408</f>
        <v/>
      </c>
      <c r="H415" s="7">
        <f>'1 datos preparados'!G408</f>
        <v/>
      </c>
      <c r="I415" s="7">
        <f>'1 datos preparados'!H408</f>
        <v/>
      </c>
      <c r="J415" s="7">
        <f>'1 datos preparados'!I408</f>
        <v/>
      </c>
      <c r="K415" s="7">
        <f>'1 datos preparados'!J408</f>
        <v/>
      </c>
      <c r="L415" s="7">
        <f>'1 datos preparados'!K408</f>
        <v/>
      </c>
      <c r="M415" s="7">
        <f>'1 datos preparados'!L408</f>
        <v/>
      </c>
      <c r="N415" s="7">
        <f>'1 datos preparados'!M408</f>
        <v/>
      </c>
      <c r="O415" s="7">
        <f>'1 datos preparados'!N408</f>
        <v/>
      </c>
      <c r="P415" s="7">
        <f>'1 datos preparados'!O408</f>
        <v/>
      </c>
      <c r="Q415" s="7">
        <f>'1 datos preparados'!P408</f>
        <v/>
      </c>
      <c r="R415" s="7">
        <f>'1 datos preparados'!Q408</f>
        <v/>
      </c>
      <c r="S415" s="7">
        <f>'1 datos preparados'!R408</f>
        <v/>
      </c>
      <c r="T415" s="7">
        <f>'1 datos preparados'!S408</f>
        <v/>
      </c>
      <c r="U415" s="7">
        <f>'1 datos preparados'!T408</f>
        <v/>
      </c>
      <c r="V415" s="8">
        <f>$AE$12+D415*$AE$13+E415*$AE$14+F415*$AE$15+G415*$AE$16+H415*$AE$17+I415*$AE$18+J415*$AE$19+K415*$AE$20+L415*$AE$21+M415*$AE$22+N415*$AE$23+O415*$AE$24+P415*$AE$25+Q415*$AE$26+R415*$AE$27+S415*$AE$28+T415*$AE$29+U415*$AE$30</f>
        <v/>
      </c>
      <c r="W415" s="8">
        <f>1/(1+EXP(-V415))</f>
        <v/>
      </c>
      <c r="X415" s="9">
        <f>-IF(C415=1,LN(W415),LN(1-W415))</f>
        <v/>
      </c>
      <c r="Y415" s="8">
        <f>'1 datos preparados'!V408</f>
        <v/>
      </c>
      <c r="Z415" s="9">
        <f>Y415*X415</f>
        <v/>
      </c>
      <c r="AA415" s="10">
        <f>IF(W415&gt;$AE$33,1,0)</f>
        <v/>
      </c>
      <c r="AB415">
        <f>IF(AA415=C415,1,0)</f>
        <v/>
      </c>
    </row>
    <row r="416">
      <c r="A416">
        <f>'1 datos preparados'!A409</f>
        <v/>
      </c>
      <c r="B416" s="5">
        <f>'1 datos preparados'!U409</f>
        <v/>
      </c>
      <c r="C416">
        <f>'1 datos preparados'!B409</f>
        <v/>
      </c>
      <c r="D416" s="7">
        <f>'1 datos preparados'!C409</f>
        <v/>
      </c>
      <c r="E416" s="7">
        <f>'1 datos preparados'!D409</f>
        <v/>
      </c>
      <c r="F416" s="7">
        <f>'1 datos preparados'!E409</f>
        <v/>
      </c>
      <c r="G416" s="7">
        <f>'1 datos preparados'!F409</f>
        <v/>
      </c>
      <c r="H416" s="7">
        <f>'1 datos preparados'!G409</f>
        <v/>
      </c>
      <c r="I416" s="7">
        <f>'1 datos preparados'!H409</f>
        <v/>
      </c>
      <c r="J416" s="7">
        <f>'1 datos preparados'!I409</f>
        <v/>
      </c>
      <c r="K416" s="7">
        <f>'1 datos preparados'!J409</f>
        <v/>
      </c>
      <c r="L416" s="7">
        <f>'1 datos preparados'!K409</f>
        <v/>
      </c>
      <c r="M416" s="7">
        <f>'1 datos preparados'!L409</f>
        <v/>
      </c>
      <c r="N416" s="7">
        <f>'1 datos preparados'!M409</f>
        <v/>
      </c>
      <c r="O416" s="7">
        <f>'1 datos preparados'!N409</f>
        <v/>
      </c>
      <c r="P416" s="7">
        <f>'1 datos preparados'!O409</f>
        <v/>
      </c>
      <c r="Q416" s="7">
        <f>'1 datos preparados'!P409</f>
        <v/>
      </c>
      <c r="R416" s="7">
        <f>'1 datos preparados'!Q409</f>
        <v/>
      </c>
      <c r="S416" s="7">
        <f>'1 datos preparados'!R409</f>
        <v/>
      </c>
      <c r="T416" s="7">
        <f>'1 datos preparados'!S409</f>
        <v/>
      </c>
      <c r="U416" s="7">
        <f>'1 datos preparados'!T409</f>
        <v/>
      </c>
      <c r="V416" s="8">
        <f>$AE$12+D416*$AE$13+E416*$AE$14+F416*$AE$15+G416*$AE$16+H416*$AE$17+I416*$AE$18+J416*$AE$19+K416*$AE$20+L416*$AE$21+M416*$AE$22+N416*$AE$23+O416*$AE$24+P416*$AE$25+Q416*$AE$26+R416*$AE$27+S416*$AE$28+T416*$AE$29+U416*$AE$30</f>
        <v/>
      </c>
      <c r="W416" s="8">
        <f>1/(1+EXP(-V416))</f>
        <v/>
      </c>
      <c r="X416" s="9">
        <f>-IF(C416=1,LN(W416),LN(1-W416))</f>
        <v/>
      </c>
      <c r="Y416" s="8">
        <f>'1 datos preparados'!V409</f>
        <v/>
      </c>
      <c r="Z416" s="9">
        <f>Y416*X416</f>
        <v/>
      </c>
      <c r="AA416" s="10">
        <f>IF(W416&gt;$AE$33,1,0)</f>
        <v/>
      </c>
      <c r="AB416">
        <f>IF(AA416=C416,1,0)</f>
        <v/>
      </c>
    </row>
    <row r="417">
      <c r="A417">
        <f>'1 datos preparados'!A410</f>
        <v/>
      </c>
      <c r="B417" s="5">
        <f>'1 datos preparados'!U410</f>
        <v/>
      </c>
      <c r="C417">
        <f>'1 datos preparados'!B410</f>
        <v/>
      </c>
      <c r="D417" s="7">
        <f>'1 datos preparados'!C410</f>
        <v/>
      </c>
      <c r="E417" s="7">
        <f>'1 datos preparados'!D410</f>
        <v/>
      </c>
      <c r="F417" s="7">
        <f>'1 datos preparados'!E410</f>
        <v/>
      </c>
      <c r="G417" s="7">
        <f>'1 datos preparados'!F410</f>
        <v/>
      </c>
      <c r="H417" s="7">
        <f>'1 datos preparados'!G410</f>
        <v/>
      </c>
      <c r="I417" s="7">
        <f>'1 datos preparados'!H410</f>
        <v/>
      </c>
      <c r="J417" s="7">
        <f>'1 datos preparados'!I410</f>
        <v/>
      </c>
      <c r="K417" s="7">
        <f>'1 datos preparados'!J410</f>
        <v/>
      </c>
      <c r="L417" s="7">
        <f>'1 datos preparados'!K410</f>
        <v/>
      </c>
      <c r="M417" s="7">
        <f>'1 datos preparados'!L410</f>
        <v/>
      </c>
      <c r="N417" s="7">
        <f>'1 datos preparados'!M410</f>
        <v/>
      </c>
      <c r="O417" s="7">
        <f>'1 datos preparados'!N410</f>
        <v/>
      </c>
      <c r="P417" s="7">
        <f>'1 datos preparados'!O410</f>
        <v/>
      </c>
      <c r="Q417" s="7">
        <f>'1 datos preparados'!P410</f>
        <v/>
      </c>
      <c r="R417" s="7">
        <f>'1 datos preparados'!Q410</f>
        <v/>
      </c>
      <c r="S417" s="7">
        <f>'1 datos preparados'!R410</f>
        <v/>
      </c>
      <c r="T417" s="7">
        <f>'1 datos preparados'!S410</f>
        <v/>
      </c>
      <c r="U417" s="7">
        <f>'1 datos preparados'!T410</f>
        <v/>
      </c>
      <c r="V417" s="8">
        <f>$AE$12+D417*$AE$13+E417*$AE$14+F417*$AE$15+G417*$AE$16+H417*$AE$17+I417*$AE$18+J417*$AE$19+K417*$AE$20+L417*$AE$21+M417*$AE$22+N417*$AE$23+O417*$AE$24+P417*$AE$25+Q417*$AE$26+R417*$AE$27+S417*$AE$28+T417*$AE$29+U417*$AE$30</f>
        <v/>
      </c>
      <c r="W417" s="8">
        <f>1/(1+EXP(-V417))</f>
        <v/>
      </c>
      <c r="X417" s="9">
        <f>-IF(C417=1,LN(W417),LN(1-W417))</f>
        <v/>
      </c>
      <c r="Y417" s="8">
        <f>'1 datos preparados'!V410</f>
        <v/>
      </c>
      <c r="Z417" s="9">
        <f>Y417*X417</f>
        <v/>
      </c>
      <c r="AA417" s="10">
        <f>IF(W417&gt;$AE$33,1,0)</f>
        <v/>
      </c>
      <c r="AB417">
        <f>IF(AA417=C417,1,0)</f>
        <v/>
      </c>
    </row>
    <row r="418">
      <c r="A418">
        <f>'1 datos preparados'!A411</f>
        <v/>
      </c>
      <c r="B418" s="5">
        <f>'1 datos preparados'!U411</f>
        <v/>
      </c>
      <c r="C418">
        <f>'1 datos preparados'!B411</f>
        <v/>
      </c>
      <c r="D418" s="7">
        <f>'1 datos preparados'!C411</f>
        <v/>
      </c>
      <c r="E418" s="7">
        <f>'1 datos preparados'!D411</f>
        <v/>
      </c>
      <c r="F418" s="7">
        <f>'1 datos preparados'!E411</f>
        <v/>
      </c>
      <c r="G418" s="7">
        <f>'1 datos preparados'!F411</f>
        <v/>
      </c>
      <c r="H418" s="7">
        <f>'1 datos preparados'!G411</f>
        <v/>
      </c>
      <c r="I418" s="7">
        <f>'1 datos preparados'!H411</f>
        <v/>
      </c>
      <c r="J418" s="7">
        <f>'1 datos preparados'!I411</f>
        <v/>
      </c>
      <c r="K418" s="7">
        <f>'1 datos preparados'!J411</f>
        <v/>
      </c>
      <c r="L418" s="7">
        <f>'1 datos preparados'!K411</f>
        <v/>
      </c>
      <c r="M418" s="7">
        <f>'1 datos preparados'!L411</f>
        <v/>
      </c>
      <c r="N418" s="7">
        <f>'1 datos preparados'!M411</f>
        <v/>
      </c>
      <c r="O418" s="7">
        <f>'1 datos preparados'!N411</f>
        <v/>
      </c>
      <c r="P418" s="7">
        <f>'1 datos preparados'!O411</f>
        <v/>
      </c>
      <c r="Q418" s="7">
        <f>'1 datos preparados'!P411</f>
        <v/>
      </c>
      <c r="R418" s="7">
        <f>'1 datos preparados'!Q411</f>
        <v/>
      </c>
      <c r="S418" s="7">
        <f>'1 datos preparados'!R411</f>
        <v/>
      </c>
      <c r="T418" s="7">
        <f>'1 datos preparados'!S411</f>
        <v/>
      </c>
      <c r="U418" s="7">
        <f>'1 datos preparados'!T411</f>
        <v/>
      </c>
      <c r="V418" s="8">
        <f>$AE$12+D418*$AE$13+E418*$AE$14+F418*$AE$15+G418*$AE$16+H418*$AE$17+I418*$AE$18+J418*$AE$19+K418*$AE$20+L418*$AE$21+M418*$AE$22+N418*$AE$23+O418*$AE$24+P418*$AE$25+Q418*$AE$26+R418*$AE$27+S418*$AE$28+T418*$AE$29+U418*$AE$30</f>
        <v/>
      </c>
      <c r="W418" s="8">
        <f>1/(1+EXP(-V418))</f>
        <v/>
      </c>
      <c r="X418" s="9">
        <f>-IF(C418=1,LN(W418),LN(1-W418))</f>
        <v/>
      </c>
      <c r="Y418" s="8">
        <f>'1 datos preparados'!V411</f>
        <v/>
      </c>
      <c r="Z418" s="9">
        <f>Y418*X418</f>
        <v/>
      </c>
      <c r="AA418" s="10">
        <f>IF(W418&gt;$AE$33,1,0)</f>
        <v/>
      </c>
      <c r="AB418">
        <f>IF(AA418=C418,1,0)</f>
        <v/>
      </c>
    </row>
    <row r="419">
      <c r="A419">
        <f>'1 datos preparados'!A412</f>
        <v/>
      </c>
      <c r="B419" s="5">
        <f>'1 datos preparados'!U412</f>
        <v/>
      </c>
      <c r="C419">
        <f>'1 datos preparados'!B412</f>
        <v/>
      </c>
      <c r="D419" s="7">
        <f>'1 datos preparados'!C412</f>
        <v/>
      </c>
      <c r="E419" s="7">
        <f>'1 datos preparados'!D412</f>
        <v/>
      </c>
      <c r="F419" s="7">
        <f>'1 datos preparados'!E412</f>
        <v/>
      </c>
      <c r="G419" s="7">
        <f>'1 datos preparados'!F412</f>
        <v/>
      </c>
      <c r="H419" s="7">
        <f>'1 datos preparados'!G412</f>
        <v/>
      </c>
      <c r="I419" s="7">
        <f>'1 datos preparados'!H412</f>
        <v/>
      </c>
      <c r="J419" s="7">
        <f>'1 datos preparados'!I412</f>
        <v/>
      </c>
      <c r="K419" s="7">
        <f>'1 datos preparados'!J412</f>
        <v/>
      </c>
      <c r="L419" s="7">
        <f>'1 datos preparados'!K412</f>
        <v/>
      </c>
      <c r="M419" s="7">
        <f>'1 datos preparados'!L412</f>
        <v/>
      </c>
      <c r="N419" s="7">
        <f>'1 datos preparados'!M412</f>
        <v/>
      </c>
      <c r="O419" s="7">
        <f>'1 datos preparados'!N412</f>
        <v/>
      </c>
      <c r="P419" s="7">
        <f>'1 datos preparados'!O412</f>
        <v/>
      </c>
      <c r="Q419" s="7">
        <f>'1 datos preparados'!P412</f>
        <v/>
      </c>
      <c r="R419" s="7">
        <f>'1 datos preparados'!Q412</f>
        <v/>
      </c>
      <c r="S419" s="7">
        <f>'1 datos preparados'!R412</f>
        <v/>
      </c>
      <c r="T419" s="7">
        <f>'1 datos preparados'!S412</f>
        <v/>
      </c>
      <c r="U419" s="7">
        <f>'1 datos preparados'!T412</f>
        <v/>
      </c>
      <c r="V419" s="8">
        <f>$AE$12+D419*$AE$13+E419*$AE$14+F419*$AE$15+G419*$AE$16+H419*$AE$17+I419*$AE$18+J419*$AE$19+K419*$AE$20+L419*$AE$21+M419*$AE$22+N419*$AE$23+O419*$AE$24+P419*$AE$25+Q419*$AE$26+R419*$AE$27+S419*$AE$28+T419*$AE$29+U419*$AE$30</f>
        <v/>
      </c>
      <c r="W419" s="8">
        <f>1/(1+EXP(-V419))</f>
        <v/>
      </c>
      <c r="X419" s="9">
        <f>-IF(C419=1,LN(W419),LN(1-W419))</f>
        <v/>
      </c>
      <c r="Y419" s="8">
        <f>'1 datos preparados'!V412</f>
        <v/>
      </c>
      <c r="Z419" s="9">
        <f>Y419*X419</f>
        <v/>
      </c>
      <c r="AA419" s="10">
        <f>IF(W419&gt;$AE$33,1,0)</f>
        <v/>
      </c>
      <c r="AB419">
        <f>IF(AA419=C419,1,0)</f>
        <v/>
      </c>
    </row>
    <row r="420">
      <c r="A420">
        <f>'1 datos preparados'!A413</f>
        <v/>
      </c>
      <c r="B420" s="5">
        <f>'1 datos preparados'!U413</f>
        <v/>
      </c>
      <c r="C420">
        <f>'1 datos preparados'!B413</f>
        <v/>
      </c>
      <c r="D420" s="7">
        <f>'1 datos preparados'!C413</f>
        <v/>
      </c>
      <c r="E420" s="7">
        <f>'1 datos preparados'!D413</f>
        <v/>
      </c>
      <c r="F420" s="7">
        <f>'1 datos preparados'!E413</f>
        <v/>
      </c>
      <c r="G420" s="7">
        <f>'1 datos preparados'!F413</f>
        <v/>
      </c>
      <c r="H420" s="7">
        <f>'1 datos preparados'!G413</f>
        <v/>
      </c>
      <c r="I420" s="7">
        <f>'1 datos preparados'!H413</f>
        <v/>
      </c>
      <c r="J420" s="7">
        <f>'1 datos preparados'!I413</f>
        <v/>
      </c>
      <c r="K420" s="7">
        <f>'1 datos preparados'!J413</f>
        <v/>
      </c>
      <c r="L420" s="7">
        <f>'1 datos preparados'!K413</f>
        <v/>
      </c>
      <c r="M420" s="7">
        <f>'1 datos preparados'!L413</f>
        <v/>
      </c>
      <c r="N420" s="7">
        <f>'1 datos preparados'!M413</f>
        <v/>
      </c>
      <c r="O420" s="7">
        <f>'1 datos preparados'!N413</f>
        <v/>
      </c>
      <c r="P420" s="7">
        <f>'1 datos preparados'!O413</f>
        <v/>
      </c>
      <c r="Q420" s="7">
        <f>'1 datos preparados'!P413</f>
        <v/>
      </c>
      <c r="R420" s="7">
        <f>'1 datos preparados'!Q413</f>
        <v/>
      </c>
      <c r="S420" s="7">
        <f>'1 datos preparados'!R413</f>
        <v/>
      </c>
      <c r="T420" s="7">
        <f>'1 datos preparados'!S413</f>
        <v/>
      </c>
      <c r="U420" s="7">
        <f>'1 datos preparados'!T413</f>
        <v/>
      </c>
      <c r="V420" s="8">
        <f>$AE$12+D420*$AE$13+E420*$AE$14+F420*$AE$15+G420*$AE$16+H420*$AE$17+I420*$AE$18+J420*$AE$19+K420*$AE$20+L420*$AE$21+M420*$AE$22+N420*$AE$23+O420*$AE$24+P420*$AE$25+Q420*$AE$26+R420*$AE$27+S420*$AE$28+T420*$AE$29+U420*$AE$30</f>
        <v/>
      </c>
      <c r="W420" s="8">
        <f>1/(1+EXP(-V420))</f>
        <v/>
      </c>
      <c r="X420" s="9">
        <f>-IF(C420=1,LN(W420),LN(1-W420))</f>
        <v/>
      </c>
      <c r="Y420" s="8">
        <f>'1 datos preparados'!V413</f>
        <v/>
      </c>
      <c r="Z420" s="9">
        <f>Y420*X420</f>
        <v/>
      </c>
      <c r="AA420" s="10">
        <f>IF(W420&gt;$AE$33,1,0)</f>
        <v/>
      </c>
      <c r="AB420">
        <f>IF(AA420=C420,1,0)</f>
        <v/>
      </c>
    </row>
    <row r="421">
      <c r="A421">
        <f>'1 datos preparados'!A414</f>
        <v/>
      </c>
      <c r="B421" s="5">
        <f>'1 datos preparados'!U414</f>
        <v/>
      </c>
      <c r="C421">
        <f>'1 datos preparados'!B414</f>
        <v/>
      </c>
      <c r="D421" s="7">
        <f>'1 datos preparados'!C414</f>
        <v/>
      </c>
      <c r="E421" s="7">
        <f>'1 datos preparados'!D414</f>
        <v/>
      </c>
      <c r="F421" s="7">
        <f>'1 datos preparados'!E414</f>
        <v/>
      </c>
      <c r="G421" s="7">
        <f>'1 datos preparados'!F414</f>
        <v/>
      </c>
      <c r="H421" s="7">
        <f>'1 datos preparados'!G414</f>
        <v/>
      </c>
      <c r="I421" s="7">
        <f>'1 datos preparados'!H414</f>
        <v/>
      </c>
      <c r="J421" s="7">
        <f>'1 datos preparados'!I414</f>
        <v/>
      </c>
      <c r="K421" s="7">
        <f>'1 datos preparados'!J414</f>
        <v/>
      </c>
      <c r="L421" s="7">
        <f>'1 datos preparados'!K414</f>
        <v/>
      </c>
      <c r="M421" s="7">
        <f>'1 datos preparados'!L414</f>
        <v/>
      </c>
      <c r="N421" s="7">
        <f>'1 datos preparados'!M414</f>
        <v/>
      </c>
      <c r="O421" s="7">
        <f>'1 datos preparados'!N414</f>
        <v/>
      </c>
      <c r="P421" s="7">
        <f>'1 datos preparados'!O414</f>
        <v/>
      </c>
      <c r="Q421" s="7">
        <f>'1 datos preparados'!P414</f>
        <v/>
      </c>
      <c r="R421" s="7">
        <f>'1 datos preparados'!Q414</f>
        <v/>
      </c>
      <c r="S421" s="7">
        <f>'1 datos preparados'!R414</f>
        <v/>
      </c>
      <c r="T421" s="7">
        <f>'1 datos preparados'!S414</f>
        <v/>
      </c>
      <c r="U421" s="7">
        <f>'1 datos preparados'!T414</f>
        <v/>
      </c>
      <c r="V421" s="8">
        <f>$AE$12+D421*$AE$13+E421*$AE$14+F421*$AE$15+G421*$AE$16+H421*$AE$17+I421*$AE$18+J421*$AE$19+K421*$AE$20+L421*$AE$21+M421*$AE$22+N421*$AE$23+O421*$AE$24+P421*$AE$25+Q421*$AE$26+R421*$AE$27+S421*$AE$28+T421*$AE$29+U421*$AE$30</f>
        <v/>
      </c>
      <c r="W421" s="8">
        <f>1/(1+EXP(-V421))</f>
        <v/>
      </c>
      <c r="X421" s="9">
        <f>-IF(C421=1,LN(W421),LN(1-W421))</f>
        <v/>
      </c>
      <c r="Y421" s="8">
        <f>'1 datos preparados'!V414</f>
        <v/>
      </c>
      <c r="Z421" s="9">
        <f>Y421*X421</f>
        <v/>
      </c>
      <c r="AA421" s="10">
        <f>IF(W421&gt;$AE$33,1,0)</f>
        <v/>
      </c>
      <c r="AB421">
        <f>IF(AA421=C421,1,0)</f>
        <v/>
      </c>
    </row>
    <row r="422">
      <c r="A422">
        <f>'1 datos preparados'!A415</f>
        <v/>
      </c>
      <c r="B422" s="5">
        <f>'1 datos preparados'!U415</f>
        <v/>
      </c>
      <c r="C422">
        <f>'1 datos preparados'!B415</f>
        <v/>
      </c>
      <c r="D422" s="7">
        <f>'1 datos preparados'!C415</f>
        <v/>
      </c>
      <c r="E422" s="7">
        <f>'1 datos preparados'!D415</f>
        <v/>
      </c>
      <c r="F422" s="7">
        <f>'1 datos preparados'!E415</f>
        <v/>
      </c>
      <c r="G422" s="7">
        <f>'1 datos preparados'!F415</f>
        <v/>
      </c>
      <c r="H422" s="7">
        <f>'1 datos preparados'!G415</f>
        <v/>
      </c>
      <c r="I422" s="7">
        <f>'1 datos preparados'!H415</f>
        <v/>
      </c>
      <c r="J422" s="7">
        <f>'1 datos preparados'!I415</f>
        <v/>
      </c>
      <c r="K422" s="7">
        <f>'1 datos preparados'!J415</f>
        <v/>
      </c>
      <c r="L422" s="7">
        <f>'1 datos preparados'!K415</f>
        <v/>
      </c>
      <c r="M422" s="7">
        <f>'1 datos preparados'!L415</f>
        <v/>
      </c>
      <c r="N422" s="7">
        <f>'1 datos preparados'!M415</f>
        <v/>
      </c>
      <c r="O422" s="7">
        <f>'1 datos preparados'!N415</f>
        <v/>
      </c>
      <c r="P422" s="7">
        <f>'1 datos preparados'!O415</f>
        <v/>
      </c>
      <c r="Q422" s="7">
        <f>'1 datos preparados'!P415</f>
        <v/>
      </c>
      <c r="R422" s="7">
        <f>'1 datos preparados'!Q415</f>
        <v/>
      </c>
      <c r="S422" s="7">
        <f>'1 datos preparados'!R415</f>
        <v/>
      </c>
      <c r="T422" s="7">
        <f>'1 datos preparados'!S415</f>
        <v/>
      </c>
      <c r="U422" s="7">
        <f>'1 datos preparados'!T415</f>
        <v/>
      </c>
      <c r="V422" s="8">
        <f>$AE$12+D422*$AE$13+E422*$AE$14+F422*$AE$15+G422*$AE$16+H422*$AE$17+I422*$AE$18+J422*$AE$19+K422*$AE$20+L422*$AE$21+M422*$AE$22+N422*$AE$23+O422*$AE$24+P422*$AE$25+Q422*$AE$26+R422*$AE$27+S422*$AE$28+T422*$AE$29+U422*$AE$30</f>
        <v/>
      </c>
      <c r="W422" s="8">
        <f>1/(1+EXP(-V422))</f>
        <v/>
      </c>
      <c r="X422" s="9">
        <f>-IF(C422=1,LN(W422),LN(1-W422))</f>
        <v/>
      </c>
      <c r="Y422" s="8">
        <f>'1 datos preparados'!V415</f>
        <v/>
      </c>
      <c r="Z422" s="9">
        <f>Y422*X422</f>
        <v/>
      </c>
      <c r="AA422" s="10">
        <f>IF(W422&gt;$AE$33,1,0)</f>
        <v/>
      </c>
      <c r="AB422">
        <f>IF(AA422=C422,1,0)</f>
        <v/>
      </c>
    </row>
    <row r="423">
      <c r="A423">
        <f>'1 datos preparados'!A416</f>
        <v/>
      </c>
      <c r="B423" s="5">
        <f>'1 datos preparados'!U416</f>
        <v/>
      </c>
      <c r="C423">
        <f>'1 datos preparados'!B416</f>
        <v/>
      </c>
      <c r="D423" s="7">
        <f>'1 datos preparados'!C416</f>
        <v/>
      </c>
      <c r="E423" s="7">
        <f>'1 datos preparados'!D416</f>
        <v/>
      </c>
      <c r="F423" s="7">
        <f>'1 datos preparados'!E416</f>
        <v/>
      </c>
      <c r="G423" s="7">
        <f>'1 datos preparados'!F416</f>
        <v/>
      </c>
      <c r="H423" s="7">
        <f>'1 datos preparados'!G416</f>
        <v/>
      </c>
      <c r="I423" s="7">
        <f>'1 datos preparados'!H416</f>
        <v/>
      </c>
      <c r="J423" s="7">
        <f>'1 datos preparados'!I416</f>
        <v/>
      </c>
      <c r="K423" s="7">
        <f>'1 datos preparados'!J416</f>
        <v/>
      </c>
      <c r="L423" s="7">
        <f>'1 datos preparados'!K416</f>
        <v/>
      </c>
      <c r="M423" s="7">
        <f>'1 datos preparados'!L416</f>
        <v/>
      </c>
      <c r="N423" s="7">
        <f>'1 datos preparados'!M416</f>
        <v/>
      </c>
      <c r="O423" s="7">
        <f>'1 datos preparados'!N416</f>
        <v/>
      </c>
      <c r="P423" s="7">
        <f>'1 datos preparados'!O416</f>
        <v/>
      </c>
      <c r="Q423" s="7">
        <f>'1 datos preparados'!P416</f>
        <v/>
      </c>
      <c r="R423" s="7">
        <f>'1 datos preparados'!Q416</f>
        <v/>
      </c>
      <c r="S423" s="7">
        <f>'1 datos preparados'!R416</f>
        <v/>
      </c>
      <c r="T423" s="7">
        <f>'1 datos preparados'!S416</f>
        <v/>
      </c>
      <c r="U423" s="7">
        <f>'1 datos preparados'!T416</f>
        <v/>
      </c>
      <c r="V423" s="8">
        <f>$AE$12+D423*$AE$13+E423*$AE$14+F423*$AE$15+G423*$AE$16+H423*$AE$17+I423*$AE$18+J423*$AE$19+K423*$AE$20+L423*$AE$21+M423*$AE$22+N423*$AE$23+O423*$AE$24+P423*$AE$25+Q423*$AE$26+R423*$AE$27+S423*$AE$28+T423*$AE$29+U423*$AE$30</f>
        <v/>
      </c>
      <c r="W423" s="8">
        <f>1/(1+EXP(-V423))</f>
        <v/>
      </c>
      <c r="X423" s="9">
        <f>-IF(C423=1,LN(W423),LN(1-W423))</f>
        <v/>
      </c>
      <c r="Y423" s="8">
        <f>'1 datos preparados'!V416</f>
        <v/>
      </c>
      <c r="Z423" s="9">
        <f>Y423*X423</f>
        <v/>
      </c>
      <c r="AA423" s="10">
        <f>IF(W423&gt;$AE$33,1,0)</f>
        <v/>
      </c>
      <c r="AB423">
        <f>IF(AA423=C423,1,0)</f>
        <v/>
      </c>
    </row>
    <row r="424">
      <c r="A424">
        <f>'1 datos preparados'!A417</f>
        <v/>
      </c>
      <c r="B424" s="5">
        <f>'1 datos preparados'!U417</f>
        <v/>
      </c>
      <c r="C424">
        <f>'1 datos preparados'!B417</f>
        <v/>
      </c>
      <c r="D424" s="7">
        <f>'1 datos preparados'!C417</f>
        <v/>
      </c>
      <c r="E424" s="7">
        <f>'1 datos preparados'!D417</f>
        <v/>
      </c>
      <c r="F424" s="7">
        <f>'1 datos preparados'!E417</f>
        <v/>
      </c>
      <c r="G424" s="7">
        <f>'1 datos preparados'!F417</f>
        <v/>
      </c>
      <c r="H424" s="7">
        <f>'1 datos preparados'!G417</f>
        <v/>
      </c>
      <c r="I424" s="7">
        <f>'1 datos preparados'!H417</f>
        <v/>
      </c>
      <c r="J424" s="7">
        <f>'1 datos preparados'!I417</f>
        <v/>
      </c>
      <c r="K424" s="7">
        <f>'1 datos preparados'!J417</f>
        <v/>
      </c>
      <c r="L424" s="7">
        <f>'1 datos preparados'!K417</f>
        <v/>
      </c>
      <c r="M424" s="7">
        <f>'1 datos preparados'!L417</f>
        <v/>
      </c>
      <c r="N424" s="7">
        <f>'1 datos preparados'!M417</f>
        <v/>
      </c>
      <c r="O424" s="7">
        <f>'1 datos preparados'!N417</f>
        <v/>
      </c>
      <c r="P424" s="7">
        <f>'1 datos preparados'!O417</f>
        <v/>
      </c>
      <c r="Q424" s="7">
        <f>'1 datos preparados'!P417</f>
        <v/>
      </c>
      <c r="R424" s="7">
        <f>'1 datos preparados'!Q417</f>
        <v/>
      </c>
      <c r="S424" s="7">
        <f>'1 datos preparados'!R417</f>
        <v/>
      </c>
      <c r="T424" s="7">
        <f>'1 datos preparados'!S417</f>
        <v/>
      </c>
      <c r="U424" s="7">
        <f>'1 datos preparados'!T417</f>
        <v/>
      </c>
      <c r="V424" s="8">
        <f>$AE$12+D424*$AE$13+E424*$AE$14+F424*$AE$15+G424*$AE$16+H424*$AE$17+I424*$AE$18+J424*$AE$19+K424*$AE$20+L424*$AE$21+M424*$AE$22+N424*$AE$23+O424*$AE$24+P424*$AE$25+Q424*$AE$26+R424*$AE$27+S424*$AE$28+T424*$AE$29+U424*$AE$30</f>
        <v/>
      </c>
      <c r="W424" s="8">
        <f>1/(1+EXP(-V424))</f>
        <v/>
      </c>
      <c r="X424" s="9">
        <f>-IF(C424=1,LN(W424),LN(1-W424))</f>
        <v/>
      </c>
      <c r="Y424" s="8">
        <f>'1 datos preparados'!V417</f>
        <v/>
      </c>
      <c r="Z424" s="9">
        <f>Y424*X424</f>
        <v/>
      </c>
      <c r="AA424" s="10">
        <f>IF(W424&gt;$AE$33,1,0)</f>
        <v/>
      </c>
      <c r="AB424">
        <f>IF(AA424=C424,1,0)</f>
        <v/>
      </c>
    </row>
    <row r="425">
      <c r="A425">
        <f>'1 datos preparados'!A418</f>
        <v/>
      </c>
      <c r="B425" s="5">
        <f>'1 datos preparados'!U418</f>
        <v/>
      </c>
      <c r="C425">
        <f>'1 datos preparados'!B418</f>
        <v/>
      </c>
      <c r="D425" s="7">
        <f>'1 datos preparados'!C418</f>
        <v/>
      </c>
      <c r="E425" s="7">
        <f>'1 datos preparados'!D418</f>
        <v/>
      </c>
      <c r="F425" s="7">
        <f>'1 datos preparados'!E418</f>
        <v/>
      </c>
      <c r="G425" s="7">
        <f>'1 datos preparados'!F418</f>
        <v/>
      </c>
      <c r="H425" s="7">
        <f>'1 datos preparados'!G418</f>
        <v/>
      </c>
      <c r="I425" s="7">
        <f>'1 datos preparados'!H418</f>
        <v/>
      </c>
      <c r="J425" s="7">
        <f>'1 datos preparados'!I418</f>
        <v/>
      </c>
      <c r="K425" s="7">
        <f>'1 datos preparados'!J418</f>
        <v/>
      </c>
      <c r="L425" s="7">
        <f>'1 datos preparados'!K418</f>
        <v/>
      </c>
      <c r="M425" s="7">
        <f>'1 datos preparados'!L418</f>
        <v/>
      </c>
      <c r="N425" s="7">
        <f>'1 datos preparados'!M418</f>
        <v/>
      </c>
      <c r="O425" s="7">
        <f>'1 datos preparados'!N418</f>
        <v/>
      </c>
      <c r="P425" s="7">
        <f>'1 datos preparados'!O418</f>
        <v/>
      </c>
      <c r="Q425" s="7">
        <f>'1 datos preparados'!P418</f>
        <v/>
      </c>
      <c r="R425" s="7">
        <f>'1 datos preparados'!Q418</f>
        <v/>
      </c>
      <c r="S425" s="7">
        <f>'1 datos preparados'!R418</f>
        <v/>
      </c>
      <c r="T425" s="7">
        <f>'1 datos preparados'!S418</f>
        <v/>
      </c>
      <c r="U425" s="7">
        <f>'1 datos preparados'!T418</f>
        <v/>
      </c>
      <c r="V425" s="8">
        <f>$AE$12+D425*$AE$13+E425*$AE$14+F425*$AE$15+G425*$AE$16+H425*$AE$17+I425*$AE$18+J425*$AE$19+K425*$AE$20+L425*$AE$21+M425*$AE$22+N425*$AE$23+O425*$AE$24+P425*$AE$25+Q425*$AE$26+R425*$AE$27+S425*$AE$28+T425*$AE$29+U425*$AE$30</f>
        <v/>
      </c>
      <c r="W425" s="8">
        <f>1/(1+EXP(-V425))</f>
        <v/>
      </c>
      <c r="X425" s="9">
        <f>-IF(C425=1,LN(W425),LN(1-W425))</f>
        <v/>
      </c>
      <c r="Y425" s="8">
        <f>'1 datos preparados'!V418</f>
        <v/>
      </c>
      <c r="Z425" s="9">
        <f>Y425*X425</f>
        <v/>
      </c>
      <c r="AA425" s="10">
        <f>IF(W425&gt;$AE$33,1,0)</f>
        <v/>
      </c>
      <c r="AB425">
        <f>IF(AA425=C425,1,0)</f>
        <v/>
      </c>
    </row>
    <row r="426">
      <c r="A426">
        <f>'1 datos preparados'!A419</f>
        <v/>
      </c>
      <c r="B426" s="5">
        <f>'1 datos preparados'!U419</f>
        <v/>
      </c>
      <c r="C426">
        <f>'1 datos preparados'!B419</f>
        <v/>
      </c>
      <c r="D426" s="7">
        <f>'1 datos preparados'!C419</f>
        <v/>
      </c>
      <c r="E426" s="7">
        <f>'1 datos preparados'!D419</f>
        <v/>
      </c>
      <c r="F426" s="7">
        <f>'1 datos preparados'!E419</f>
        <v/>
      </c>
      <c r="G426" s="7">
        <f>'1 datos preparados'!F419</f>
        <v/>
      </c>
      <c r="H426" s="7">
        <f>'1 datos preparados'!G419</f>
        <v/>
      </c>
      <c r="I426" s="7">
        <f>'1 datos preparados'!H419</f>
        <v/>
      </c>
      <c r="J426" s="7">
        <f>'1 datos preparados'!I419</f>
        <v/>
      </c>
      <c r="K426" s="7">
        <f>'1 datos preparados'!J419</f>
        <v/>
      </c>
      <c r="L426" s="7">
        <f>'1 datos preparados'!K419</f>
        <v/>
      </c>
      <c r="M426" s="7">
        <f>'1 datos preparados'!L419</f>
        <v/>
      </c>
      <c r="N426" s="7">
        <f>'1 datos preparados'!M419</f>
        <v/>
      </c>
      <c r="O426" s="7">
        <f>'1 datos preparados'!N419</f>
        <v/>
      </c>
      <c r="P426" s="7">
        <f>'1 datos preparados'!O419</f>
        <v/>
      </c>
      <c r="Q426" s="7">
        <f>'1 datos preparados'!P419</f>
        <v/>
      </c>
      <c r="R426" s="7">
        <f>'1 datos preparados'!Q419</f>
        <v/>
      </c>
      <c r="S426" s="7">
        <f>'1 datos preparados'!R419</f>
        <v/>
      </c>
      <c r="T426" s="7">
        <f>'1 datos preparados'!S419</f>
        <v/>
      </c>
      <c r="U426" s="7">
        <f>'1 datos preparados'!T419</f>
        <v/>
      </c>
      <c r="V426" s="8">
        <f>$AE$12+D426*$AE$13+E426*$AE$14+F426*$AE$15+G426*$AE$16+H426*$AE$17+I426*$AE$18+J426*$AE$19+K426*$AE$20+L426*$AE$21+M426*$AE$22+N426*$AE$23+O426*$AE$24+P426*$AE$25+Q426*$AE$26+R426*$AE$27+S426*$AE$28+T426*$AE$29+U426*$AE$30</f>
        <v/>
      </c>
      <c r="W426" s="8">
        <f>1/(1+EXP(-V426))</f>
        <v/>
      </c>
      <c r="X426" s="9">
        <f>-IF(C426=1,LN(W426),LN(1-W426))</f>
        <v/>
      </c>
      <c r="Y426" s="8">
        <f>'1 datos preparados'!V419</f>
        <v/>
      </c>
      <c r="Z426" s="9">
        <f>Y426*X426</f>
        <v/>
      </c>
      <c r="AA426" s="10">
        <f>IF(W426&gt;$AE$33,1,0)</f>
        <v/>
      </c>
      <c r="AB426">
        <f>IF(AA426=C426,1,0)</f>
        <v/>
      </c>
    </row>
    <row r="427">
      <c r="A427">
        <f>'1 datos preparados'!A420</f>
        <v/>
      </c>
      <c r="B427" s="5">
        <f>'1 datos preparados'!U420</f>
        <v/>
      </c>
      <c r="C427">
        <f>'1 datos preparados'!B420</f>
        <v/>
      </c>
      <c r="D427" s="7">
        <f>'1 datos preparados'!C420</f>
        <v/>
      </c>
      <c r="E427" s="7">
        <f>'1 datos preparados'!D420</f>
        <v/>
      </c>
      <c r="F427" s="7">
        <f>'1 datos preparados'!E420</f>
        <v/>
      </c>
      <c r="G427" s="7">
        <f>'1 datos preparados'!F420</f>
        <v/>
      </c>
      <c r="H427" s="7">
        <f>'1 datos preparados'!G420</f>
        <v/>
      </c>
      <c r="I427" s="7">
        <f>'1 datos preparados'!H420</f>
        <v/>
      </c>
      <c r="J427" s="7">
        <f>'1 datos preparados'!I420</f>
        <v/>
      </c>
      <c r="K427" s="7">
        <f>'1 datos preparados'!J420</f>
        <v/>
      </c>
      <c r="L427" s="7">
        <f>'1 datos preparados'!K420</f>
        <v/>
      </c>
      <c r="M427" s="7">
        <f>'1 datos preparados'!L420</f>
        <v/>
      </c>
      <c r="N427" s="7">
        <f>'1 datos preparados'!M420</f>
        <v/>
      </c>
      <c r="O427" s="7">
        <f>'1 datos preparados'!N420</f>
        <v/>
      </c>
      <c r="P427" s="7">
        <f>'1 datos preparados'!O420</f>
        <v/>
      </c>
      <c r="Q427" s="7">
        <f>'1 datos preparados'!P420</f>
        <v/>
      </c>
      <c r="R427" s="7">
        <f>'1 datos preparados'!Q420</f>
        <v/>
      </c>
      <c r="S427" s="7">
        <f>'1 datos preparados'!R420</f>
        <v/>
      </c>
      <c r="T427" s="7">
        <f>'1 datos preparados'!S420</f>
        <v/>
      </c>
      <c r="U427" s="7">
        <f>'1 datos preparados'!T420</f>
        <v/>
      </c>
      <c r="V427" s="8">
        <f>$AE$12+D427*$AE$13+E427*$AE$14+F427*$AE$15+G427*$AE$16+H427*$AE$17+I427*$AE$18+J427*$AE$19+K427*$AE$20+L427*$AE$21+M427*$AE$22+N427*$AE$23+O427*$AE$24+P427*$AE$25+Q427*$AE$26+R427*$AE$27+S427*$AE$28+T427*$AE$29+U427*$AE$30</f>
        <v/>
      </c>
      <c r="W427" s="8">
        <f>1/(1+EXP(-V427))</f>
        <v/>
      </c>
      <c r="X427" s="9">
        <f>-IF(C427=1,LN(W427),LN(1-W427))</f>
        <v/>
      </c>
      <c r="Y427" s="8">
        <f>'1 datos preparados'!V420</f>
        <v/>
      </c>
      <c r="Z427" s="9">
        <f>Y427*X427</f>
        <v/>
      </c>
      <c r="AA427" s="10">
        <f>IF(W427&gt;$AE$33,1,0)</f>
        <v/>
      </c>
      <c r="AB427">
        <f>IF(AA427=C427,1,0)</f>
        <v/>
      </c>
    </row>
    <row r="428">
      <c r="A428">
        <f>'1 datos preparados'!A421</f>
        <v/>
      </c>
      <c r="B428" s="5">
        <f>'1 datos preparados'!U421</f>
        <v/>
      </c>
      <c r="C428">
        <f>'1 datos preparados'!B421</f>
        <v/>
      </c>
      <c r="D428" s="7">
        <f>'1 datos preparados'!C421</f>
        <v/>
      </c>
      <c r="E428" s="7">
        <f>'1 datos preparados'!D421</f>
        <v/>
      </c>
      <c r="F428" s="7">
        <f>'1 datos preparados'!E421</f>
        <v/>
      </c>
      <c r="G428" s="7">
        <f>'1 datos preparados'!F421</f>
        <v/>
      </c>
      <c r="H428" s="7">
        <f>'1 datos preparados'!G421</f>
        <v/>
      </c>
      <c r="I428" s="7">
        <f>'1 datos preparados'!H421</f>
        <v/>
      </c>
      <c r="J428" s="7">
        <f>'1 datos preparados'!I421</f>
        <v/>
      </c>
      <c r="K428" s="7">
        <f>'1 datos preparados'!J421</f>
        <v/>
      </c>
      <c r="L428" s="7">
        <f>'1 datos preparados'!K421</f>
        <v/>
      </c>
      <c r="M428" s="7">
        <f>'1 datos preparados'!L421</f>
        <v/>
      </c>
      <c r="N428" s="7">
        <f>'1 datos preparados'!M421</f>
        <v/>
      </c>
      <c r="O428" s="7">
        <f>'1 datos preparados'!N421</f>
        <v/>
      </c>
      <c r="P428" s="7">
        <f>'1 datos preparados'!O421</f>
        <v/>
      </c>
      <c r="Q428" s="7">
        <f>'1 datos preparados'!P421</f>
        <v/>
      </c>
      <c r="R428" s="7">
        <f>'1 datos preparados'!Q421</f>
        <v/>
      </c>
      <c r="S428" s="7">
        <f>'1 datos preparados'!R421</f>
        <v/>
      </c>
      <c r="T428" s="7">
        <f>'1 datos preparados'!S421</f>
        <v/>
      </c>
      <c r="U428" s="7">
        <f>'1 datos preparados'!T421</f>
        <v/>
      </c>
      <c r="V428" s="8">
        <f>$AE$12+D428*$AE$13+E428*$AE$14+F428*$AE$15+G428*$AE$16+H428*$AE$17+I428*$AE$18+J428*$AE$19+K428*$AE$20+L428*$AE$21+M428*$AE$22+N428*$AE$23+O428*$AE$24+P428*$AE$25+Q428*$AE$26+R428*$AE$27+S428*$AE$28+T428*$AE$29+U428*$AE$30</f>
        <v/>
      </c>
      <c r="W428" s="8">
        <f>1/(1+EXP(-V428))</f>
        <v/>
      </c>
      <c r="X428" s="9">
        <f>-IF(C428=1,LN(W428),LN(1-W428))</f>
        <v/>
      </c>
      <c r="Y428" s="8">
        <f>'1 datos preparados'!V421</f>
        <v/>
      </c>
      <c r="Z428" s="9">
        <f>Y428*X428</f>
        <v/>
      </c>
      <c r="AA428" s="10">
        <f>IF(W428&gt;$AE$33,1,0)</f>
        <v/>
      </c>
      <c r="AB428">
        <f>IF(AA428=C428,1,0)</f>
        <v/>
      </c>
    </row>
    <row r="429">
      <c r="A429">
        <f>'1 datos preparados'!A422</f>
        <v/>
      </c>
      <c r="B429" s="5">
        <f>'1 datos preparados'!U422</f>
        <v/>
      </c>
      <c r="C429">
        <f>'1 datos preparados'!B422</f>
        <v/>
      </c>
      <c r="D429" s="7">
        <f>'1 datos preparados'!C422</f>
        <v/>
      </c>
      <c r="E429" s="7">
        <f>'1 datos preparados'!D422</f>
        <v/>
      </c>
      <c r="F429" s="7">
        <f>'1 datos preparados'!E422</f>
        <v/>
      </c>
      <c r="G429" s="7">
        <f>'1 datos preparados'!F422</f>
        <v/>
      </c>
      <c r="H429" s="7">
        <f>'1 datos preparados'!G422</f>
        <v/>
      </c>
      <c r="I429" s="7">
        <f>'1 datos preparados'!H422</f>
        <v/>
      </c>
      <c r="J429" s="7">
        <f>'1 datos preparados'!I422</f>
        <v/>
      </c>
      <c r="K429" s="7">
        <f>'1 datos preparados'!J422</f>
        <v/>
      </c>
      <c r="L429" s="7">
        <f>'1 datos preparados'!K422</f>
        <v/>
      </c>
      <c r="M429" s="7">
        <f>'1 datos preparados'!L422</f>
        <v/>
      </c>
      <c r="N429" s="7">
        <f>'1 datos preparados'!M422</f>
        <v/>
      </c>
      <c r="O429" s="7">
        <f>'1 datos preparados'!N422</f>
        <v/>
      </c>
      <c r="P429" s="7">
        <f>'1 datos preparados'!O422</f>
        <v/>
      </c>
      <c r="Q429" s="7">
        <f>'1 datos preparados'!P422</f>
        <v/>
      </c>
      <c r="R429" s="7">
        <f>'1 datos preparados'!Q422</f>
        <v/>
      </c>
      <c r="S429" s="7">
        <f>'1 datos preparados'!R422</f>
        <v/>
      </c>
      <c r="T429" s="7">
        <f>'1 datos preparados'!S422</f>
        <v/>
      </c>
      <c r="U429" s="7">
        <f>'1 datos preparados'!T422</f>
        <v/>
      </c>
      <c r="V429" s="8">
        <f>$AE$12+D429*$AE$13+E429*$AE$14+F429*$AE$15+G429*$AE$16+H429*$AE$17+I429*$AE$18+J429*$AE$19+K429*$AE$20+L429*$AE$21+M429*$AE$22+N429*$AE$23+O429*$AE$24+P429*$AE$25+Q429*$AE$26+R429*$AE$27+S429*$AE$28+T429*$AE$29+U429*$AE$30</f>
        <v/>
      </c>
      <c r="W429" s="8">
        <f>1/(1+EXP(-V429))</f>
        <v/>
      </c>
      <c r="X429" s="9">
        <f>-IF(C429=1,LN(W429),LN(1-W429))</f>
        <v/>
      </c>
      <c r="Y429" s="8">
        <f>'1 datos preparados'!V422</f>
        <v/>
      </c>
      <c r="Z429" s="9">
        <f>Y429*X429</f>
        <v/>
      </c>
      <c r="AA429" s="10">
        <f>IF(W429&gt;$AE$33,1,0)</f>
        <v/>
      </c>
      <c r="AB429">
        <f>IF(AA429=C429,1,0)</f>
        <v/>
      </c>
    </row>
    <row r="430">
      <c r="A430">
        <f>'1 datos preparados'!A423</f>
        <v/>
      </c>
      <c r="B430" s="5">
        <f>'1 datos preparados'!U423</f>
        <v/>
      </c>
      <c r="C430">
        <f>'1 datos preparados'!B423</f>
        <v/>
      </c>
      <c r="D430" s="7">
        <f>'1 datos preparados'!C423</f>
        <v/>
      </c>
      <c r="E430" s="7">
        <f>'1 datos preparados'!D423</f>
        <v/>
      </c>
      <c r="F430" s="7">
        <f>'1 datos preparados'!E423</f>
        <v/>
      </c>
      <c r="G430" s="7">
        <f>'1 datos preparados'!F423</f>
        <v/>
      </c>
      <c r="H430" s="7">
        <f>'1 datos preparados'!G423</f>
        <v/>
      </c>
      <c r="I430" s="7">
        <f>'1 datos preparados'!H423</f>
        <v/>
      </c>
      <c r="J430" s="7">
        <f>'1 datos preparados'!I423</f>
        <v/>
      </c>
      <c r="K430" s="7">
        <f>'1 datos preparados'!J423</f>
        <v/>
      </c>
      <c r="L430" s="7">
        <f>'1 datos preparados'!K423</f>
        <v/>
      </c>
      <c r="M430" s="7">
        <f>'1 datos preparados'!L423</f>
        <v/>
      </c>
      <c r="N430" s="7">
        <f>'1 datos preparados'!M423</f>
        <v/>
      </c>
      <c r="O430" s="7">
        <f>'1 datos preparados'!N423</f>
        <v/>
      </c>
      <c r="P430" s="7">
        <f>'1 datos preparados'!O423</f>
        <v/>
      </c>
      <c r="Q430" s="7">
        <f>'1 datos preparados'!P423</f>
        <v/>
      </c>
      <c r="R430" s="7">
        <f>'1 datos preparados'!Q423</f>
        <v/>
      </c>
      <c r="S430" s="7">
        <f>'1 datos preparados'!R423</f>
        <v/>
      </c>
      <c r="T430" s="7">
        <f>'1 datos preparados'!S423</f>
        <v/>
      </c>
      <c r="U430" s="7">
        <f>'1 datos preparados'!T423</f>
        <v/>
      </c>
      <c r="V430" s="8">
        <f>$AE$12+D430*$AE$13+E430*$AE$14+F430*$AE$15+G430*$AE$16+H430*$AE$17+I430*$AE$18+J430*$AE$19+K430*$AE$20+L430*$AE$21+M430*$AE$22+N430*$AE$23+O430*$AE$24+P430*$AE$25+Q430*$AE$26+R430*$AE$27+S430*$AE$28+T430*$AE$29+U430*$AE$30</f>
        <v/>
      </c>
      <c r="W430" s="8">
        <f>1/(1+EXP(-V430))</f>
        <v/>
      </c>
      <c r="X430" s="9">
        <f>-IF(C430=1,LN(W430),LN(1-W430))</f>
        <v/>
      </c>
      <c r="Y430" s="8">
        <f>'1 datos preparados'!V423</f>
        <v/>
      </c>
      <c r="Z430" s="9">
        <f>Y430*X430</f>
        <v/>
      </c>
      <c r="AA430" s="10">
        <f>IF(W430&gt;$AE$33,1,0)</f>
        <v/>
      </c>
      <c r="AB430">
        <f>IF(AA430=C430,1,0)</f>
        <v/>
      </c>
    </row>
    <row r="431">
      <c r="A431">
        <f>'1 datos preparados'!A424</f>
        <v/>
      </c>
      <c r="B431" s="5">
        <f>'1 datos preparados'!U424</f>
        <v/>
      </c>
      <c r="C431">
        <f>'1 datos preparados'!B424</f>
        <v/>
      </c>
      <c r="D431" s="7">
        <f>'1 datos preparados'!C424</f>
        <v/>
      </c>
      <c r="E431" s="7">
        <f>'1 datos preparados'!D424</f>
        <v/>
      </c>
      <c r="F431" s="7">
        <f>'1 datos preparados'!E424</f>
        <v/>
      </c>
      <c r="G431" s="7">
        <f>'1 datos preparados'!F424</f>
        <v/>
      </c>
      <c r="H431" s="7">
        <f>'1 datos preparados'!G424</f>
        <v/>
      </c>
      <c r="I431" s="7">
        <f>'1 datos preparados'!H424</f>
        <v/>
      </c>
      <c r="J431" s="7">
        <f>'1 datos preparados'!I424</f>
        <v/>
      </c>
      <c r="K431" s="7">
        <f>'1 datos preparados'!J424</f>
        <v/>
      </c>
      <c r="L431" s="7">
        <f>'1 datos preparados'!K424</f>
        <v/>
      </c>
      <c r="M431" s="7">
        <f>'1 datos preparados'!L424</f>
        <v/>
      </c>
      <c r="N431" s="7">
        <f>'1 datos preparados'!M424</f>
        <v/>
      </c>
      <c r="O431" s="7">
        <f>'1 datos preparados'!N424</f>
        <v/>
      </c>
      <c r="P431" s="7">
        <f>'1 datos preparados'!O424</f>
        <v/>
      </c>
      <c r="Q431" s="7">
        <f>'1 datos preparados'!P424</f>
        <v/>
      </c>
      <c r="R431" s="7">
        <f>'1 datos preparados'!Q424</f>
        <v/>
      </c>
      <c r="S431" s="7">
        <f>'1 datos preparados'!R424</f>
        <v/>
      </c>
      <c r="T431" s="7">
        <f>'1 datos preparados'!S424</f>
        <v/>
      </c>
      <c r="U431" s="7">
        <f>'1 datos preparados'!T424</f>
        <v/>
      </c>
      <c r="V431" s="8">
        <f>$AE$12+D431*$AE$13+E431*$AE$14+F431*$AE$15+G431*$AE$16+H431*$AE$17+I431*$AE$18+J431*$AE$19+K431*$AE$20+L431*$AE$21+M431*$AE$22+N431*$AE$23+O431*$AE$24+P431*$AE$25+Q431*$AE$26+R431*$AE$27+S431*$AE$28+T431*$AE$29+U431*$AE$30</f>
        <v/>
      </c>
      <c r="W431" s="8">
        <f>1/(1+EXP(-V431))</f>
        <v/>
      </c>
      <c r="X431" s="9">
        <f>-IF(C431=1,LN(W431),LN(1-W431))</f>
        <v/>
      </c>
      <c r="Y431" s="8">
        <f>'1 datos preparados'!V424</f>
        <v/>
      </c>
      <c r="Z431" s="9">
        <f>Y431*X431</f>
        <v/>
      </c>
      <c r="AA431" s="10">
        <f>IF(W431&gt;$AE$33,1,0)</f>
        <v/>
      </c>
      <c r="AB431">
        <f>IF(AA431=C431,1,0)</f>
        <v/>
      </c>
    </row>
    <row r="432">
      <c r="A432">
        <f>'1 datos preparados'!A425</f>
        <v/>
      </c>
      <c r="B432" s="5">
        <f>'1 datos preparados'!U425</f>
        <v/>
      </c>
      <c r="C432">
        <f>'1 datos preparados'!B425</f>
        <v/>
      </c>
      <c r="D432" s="7">
        <f>'1 datos preparados'!C425</f>
        <v/>
      </c>
      <c r="E432" s="7">
        <f>'1 datos preparados'!D425</f>
        <v/>
      </c>
      <c r="F432" s="7">
        <f>'1 datos preparados'!E425</f>
        <v/>
      </c>
      <c r="G432" s="7">
        <f>'1 datos preparados'!F425</f>
        <v/>
      </c>
      <c r="H432" s="7">
        <f>'1 datos preparados'!G425</f>
        <v/>
      </c>
      <c r="I432" s="7">
        <f>'1 datos preparados'!H425</f>
        <v/>
      </c>
      <c r="J432" s="7">
        <f>'1 datos preparados'!I425</f>
        <v/>
      </c>
      <c r="K432" s="7">
        <f>'1 datos preparados'!J425</f>
        <v/>
      </c>
      <c r="L432" s="7">
        <f>'1 datos preparados'!K425</f>
        <v/>
      </c>
      <c r="M432" s="7">
        <f>'1 datos preparados'!L425</f>
        <v/>
      </c>
      <c r="N432" s="7">
        <f>'1 datos preparados'!M425</f>
        <v/>
      </c>
      <c r="O432" s="7">
        <f>'1 datos preparados'!N425</f>
        <v/>
      </c>
      <c r="P432" s="7">
        <f>'1 datos preparados'!O425</f>
        <v/>
      </c>
      <c r="Q432" s="7">
        <f>'1 datos preparados'!P425</f>
        <v/>
      </c>
      <c r="R432" s="7">
        <f>'1 datos preparados'!Q425</f>
        <v/>
      </c>
      <c r="S432" s="7">
        <f>'1 datos preparados'!R425</f>
        <v/>
      </c>
      <c r="T432" s="7">
        <f>'1 datos preparados'!S425</f>
        <v/>
      </c>
      <c r="U432" s="7">
        <f>'1 datos preparados'!T425</f>
        <v/>
      </c>
      <c r="V432" s="8">
        <f>$AE$12+D432*$AE$13+E432*$AE$14+F432*$AE$15+G432*$AE$16+H432*$AE$17+I432*$AE$18+J432*$AE$19+K432*$AE$20+L432*$AE$21+M432*$AE$22+N432*$AE$23+O432*$AE$24+P432*$AE$25+Q432*$AE$26+R432*$AE$27+S432*$AE$28+T432*$AE$29+U432*$AE$30</f>
        <v/>
      </c>
      <c r="W432" s="8">
        <f>1/(1+EXP(-V432))</f>
        <v/>
      </c>
      <c r="X432" s="9">
        <f>-IF(C432=1,LN(W432),LN(1-W432))</f>
        <v/>
      </c>
      <c r="Y432" s="8">
        <f>'1 datos preparados'!V425</f>
        <v/>
      </c>
      <c r="Z432" s="9">
        <f>Y432*X432</f>
        <v/>
      </c>
      <c r="AA432" s="10">
        <f>IF(W432&gt;$AE$33,1,0)</f>
        <v/>
      </c>
      <c r="AB432">
        <f>IF(AA432=C432,1,0)</f>
        <v/>
      </c>
    </row>
    <row r="433">
      <c r="A433">
        <f>'1 datos preparados'!A426</f>
        <v/>
      </c>
      <c r="B433" s="5">
        <f>'1 datos preparados'!U426</f>
        <v/>
      </c>
      <c r="C433">
        <f>'1 datos preparados'!B426</f>
        <v/>
      </c>
      <c r="D433" s="7">
        <f>'1 datos preparados'!C426</f>
        <v/>
      </c>
      <c r="E433" s="7">
        <f>'1 datos preparados'!D426</f>
        <v/>
      </c>
      <c r="F433" s="7">
        <f>'1 datos preparados'!E426</f>
        <v/>
      </c>
      <c r="G433" s="7">
        <f>'1 datos preparados'!F426</f>
        <v/>
      </c>
      <c r="H433" s="7">
        <f>'1 datos preparados'!G426</f>
        <v/>
      </c>
      <c r="I433" s="7">
        <f>'1 datos preparados'!H426</f>
        <v/>
      </c>
      <c r="J433" s="7">
        <f>'1 datos preparados'!I426</f>
        <v/>
      </c>
      <c r="K433" s="7">
        <f>'1 datos preparados'!J426</f>
        <v/>
      </c>
      <c r="L433" s="7">
        <f>'1 datos preparados'!K426</f>
        <v/>
      </c>
      <c r="M433" s="7">
        <f>'1 datos preparados'!L426</f>
        <v/>
      </c>
      <c r="N433" s="7">
        <f>'1 datos preparados'!M426</f>
        <v/>
      </c>
      <c r="O433" s="7">
        <f>'1 datos preparados'!N426</f>
        <v/>
      </c>
      <c r="P433" s="7">
        <f>'1 datos preparados'!O426</f>
        <v/>
      </c>
      <c r="Q433" s="7">
        <f>'1 datos preparados'!P426</f>
        <v/>
      </c>
      <c r="R433" s="7">
        <f>'1 datos preparados'!Q426</f>
        <v/>
      </c>
      <c r="S433" s="7">
        <f>'1 datos preparados'!R426</f>
        <v/>
      </c>
      <c r="T433" s="7">
        <f>'1 datos preparados'!S426</f>
        <v/>
      </c>
      <c r="U433" s="7">
        <f>'1 datos preparados'!T426</f>
        <v/>
      </c>
      <c r="V433" s="8">
        <f>$AE$12+D433*$AE$13+E433*$AE$14+F433*$AE$15+G433*$AE$16+H433*$AE$17+I433*$AE$18+J433*$AE$19+K433*$AE$20+L433*$AE$21+M433*$AE$22+N433*$AE$23+O433*$AE$24+P433*$AE$25+Q433*$AE$26+R433*$AE$27+S433*$AE$28+T433*$AE$29+U433*$AE$30</f>
        <v/>
      </c>
      <c r="W433" s="8">
        <f>1/(1+EXP(-V433))</f>
        <v/>
      </c>
      <c r="X433" s="9">
        <f>-IF(C433=1,LN(W433),LN(1-W433))</f>
        <v/>
      </c>
      <c r="Y433" s="8">
        <f>'1 datos preparados'!V426</f>
        <v/>
      </c>
      <c r="Z433" s="9">
        <f>Y433*X433</f>
        <v/>
      </c>
      <c r="AA433" s="10">
        <f>IF(W433&gt;$AE$33,1,0)</f>
        <v/>
      </c>
      <c r="AB433">
        <f>IF(AA433=C433,1,0)</f>
        <v/>
      </c>
    </row>
    <row r="434">
      <c r="A434">
        <f>'1 datos preparados'!A427</f>
        <v/>
      </c>
      <c r="B434" s="5">
        <f>'1 datos preparados'!U427</f>
        <v/>
      </c>
      <c r="C434">
        <f>'1 datos preparados'!B427</f>
        <v/>
      </c>
      <c r="D434" s="7">
        <f>'1 datos preparados'!C427</f>
        <v/>
      </c>
      <c r="E434" s="7">
        <f>'1 datos preparados'!D427</f>
        <v/>
      </c>
      <c r="F434" s="7">
        <f>'1 datos preparados'!E427</f>
        <v/>
      </c>
      <c r="G434" s="7">
        <f>'1 datos preparados'!F427</f>
        <v/>
      </c>
      <c r="H434" s="7">
        <f>'1 datos preparados'!G427</f>
        <v/>
      </c>
      <c r="I434" s="7">
        <f>'1 datos preparados'!H427</f>
        <v/>
      </c>
      <c r="J434" s="7">
        <f>'1 datos preparados'!I427</f>
        <v/>
      </c>
      <c r="K434" s="7">
        <f>'1 datos preparados'!J427</f>
        <v/>
      </c>
      <c r="L434" s="7">
        <f>'1 datos preparados'!K427</f>
        <v/>
      </c>
      <c r="M434" s="7">
        <f>'1 datos preparados'!L427</f>
        <v/>
      </c>
      <c r="N434" s="7">
        <f>'1 datos preparados'!M427</f>
        <v/>
      </c>
      <c r="O434" s="7">
        <f>'1 datos preparados'!N427</f>
        <v/>
      </c>
      <c r="P434" s="7">
        <f>'1 datos preparados'!O427</f>
        <v/>
      </c>
      <c r="Q434" s="7">
        <f>'1 datos preparados'!P427</f>
        <v/>
      </c>
      <c r="R434" s="7">
        <f>'1 datos preparados'!Q427</f>
        <v/>
      </c>
      <c r="S434" s="7">
        <f>'1 datos preparados'!R427</f>
        <v/>
      </c>
      <c r="T434" s="7">
        <f>'1 datos preparados'!S427</f>
        <v/>
      </c>
      <c r="U434" s="7">
        <f>'1 datos preparados'!T427</f>
        <v/>
      </c>
      <c r="V434" s="8">
        <f>$AE$12+D434*$AE$13+E434*$AE$14+F434*$AE$15+G434*$AE$16+H434*$AE$17+I434*$AE$18+J434*$AE$19+K434*$AE$20+L434*$AE$21+M434*$AE$22+N434*$AE$23+O434*$AE$24+P434*$AE$25+Q434*$AE$26+R434*$AE$27+S434*$AE$28+T434*$AE$29+U434*$AE$30</f>
        <v/>
      </c>
      <c r="W434" s="8">
        <f>1/(1+EXP(-V434))</f>
        <v/>
      </c>
      <c r="X434" s="9">
        <f>-IF(C434=1,LN(W434),LN(1-W434))</f>
        <v/>
      </c>
      <c r="Y434" s="8">
        <f>'1 datos preparados'!V427</f>
        <v/>
      </c>
      <c r="Z434" s="9">
        <f>Y434*X434</f>
        <v/>
      </c>
      <c r="AA434" s="10">
        <f>IF(W434&gt;$AE$33,1,0)</f>
        <v/>
      </c>
      <c r="AB434">
        <f>IF(AA434=C434,1,0)</f>
        <v/>
      </c>
    </row>
    <row r="435">
      <c r="A435">
        <f>'1 datos preparados'!A428</f>
        <v/>
      </c>
      <c r="B435" s="5">
        <f>'1 datos preparados'!U428</f>
        <v/>
      </c>
      <c r="C435">
        <f>'1 datos preparados'!B428</f>
        <v/>
      </c>
      <c r="D435" s="7">
        <f>'1 datos preparados'!C428</f>
        <v/>
      </c>
      <c r="E435" s="7">
        <f>'1 datos preparados'!D428</f>
        <v/>
      </c>
      <c r="F435" s="7">
        <f>'1 datos preparados'!E428</f>
        <v/>
      </c>
      <c r="G435" s="7">
        <f>'1 datos preparados'!F428</f>
        <v/>
      </c>
      <c r="H435" s="7">
        <f>'1 datos preparados'!G428</f>
        <v/>
      </c>
      <c r="I435" s="7">
        <f>'1 datos preparados'!H428</f>
        <v/>
      </c>
      <c r="J435" s="7">
        <f>'1 datos preparados'!I428</f>
        <v/>
      </c>
      <c r="K435" s="7">
        <f>'1 datos preparados'!J428</f>
        <v/>
      </c>
      <c r="L435" s="7">
        <f>'1 datos preparados'!K428</f>
        <v/>
      </c>
      <c r="M435" s="7">
        <f>'1 datos preparados'!L428</f>
        <v/>
      </c>
      <c r="N435" s="7">
        <f>'1 datos preparados'!M428</f>
        <v/>
      </c>
      <c r="O435" s="7">
        <f>'1 datos preparados'!N428</f>
        <v/>
      </c>
      <c r="P435" s="7">
        <f>'1 datos preparados'!O428</f>
        <v/>
      </c>
      <c r="Q435" s="7">
        <f>'1 datos preparados'!P428</f>
        <v/>
      </c>
      <c r="R435" s="7">
        <f>'1 datos preparados'!Q428</f>
        <v/>
      </c>
      <c r="S435" s="7">
        <f>'1 datos preparados'!R428</f>
        <v/>
      </c>
      <c r="T435" s="7">
        <f>'1 datos preparados'!S428</f>
        <v/>
      </c>
      <c r="U435" s="7">
        <f>'1 datos preparados'!T428</f>
        <v/>
      </c>
      <c r="V435" s="8">
        <f>$AE$12+D435*$AE$13+E435*$AE$14+F435*$AE$15+G435*$AE$16+H435*$AE$17+I435*$AE$18+J435*$AE$19+K435*$AE$20+L435*$AE$21+M435*$AE$22+N435*$AE$23+O435*$AE$24+P435*$AE$25+Q435*$AE$26+R435*$AE$27+S435*$AE$28+T435*$AE$29+U435*$AE$30</f>
        <v/>
      </c>
      <c r="W435" s="8">
        <f>1/(1+EXP(-V435))</f>
        <v/>
      </c>
      <c r="X435" s="9">
        <f>-IF(C435=1,LN(W435),LN(1-W435))</f>
        <v/>
      </c>
      <c r="Y435" s="8">
        <f>'1 datos preparados'!V428</f>
        <v/>
      </c>
      <c r="Z435" s="9">
        <f>Y435*X435</f>
        <v/>
      </c>
      <c r="AA435" s="10">
        <f>IF(W435&gt;$AE$33,1,0)</f>
        <v/>
      </c>
      <c r="AB435">
        <f>IF(AA435=C435,1,0)</f>
        <v/>
      </c>
    </row>
    <row r="436">
      <c r="A436">
        <f>'1 datos preparados'!A429</f>
        <v/>
      </c>
      <c r="B436" s="5">
        <f>'1 datos preparados'!U429</f>
        <v/>
      </c>
      <c r="C436">
        <f>'1 datos preparados'!B429</f>
        <v/>
      </c>
      <c r="D436" s="7">
        <f>'1 datos preparados'!C429</f>
        <v/>
      </c>
      <c r="E436" s="7">
        <f>'1 datos preparados'!D429</f>
        <v/>
      </c>
      <c r="F436" s="7">
        <f>'1 datos preparados'!E429</f>
        <v/>
      </c>
      <c r="G436" s="7">
        <f>'1 datos preparados'!F429</f>
        <v/>
      </c>
      <c r="H436" s="7">
        <f>'1 datos preparados'!G429</f>
        <v/>
      </c>
      <c r="I436" s="7">
        <f>'1 datos preparados'!H429</f>
        <v/>
      </c>
      <c r="J436" s="7">
        <f>'1 datos preparados'!I429</f>
        <v/>
      </c>
      <c r="K436" s="7">
        <f>'1 datos preparados'!J429</f>
        <v/>
      </c>
      <c r="L436" s="7">
        <f>'1 datos preparados'!K429</f>
        <v/>
      </c>
      <c r="M436" s="7">
        <f>'1 datos preparados'!L429</f>
        <v/>
      </c>
      <c r="N436" s="7">
        <f>'1 datos preparados'!M429</f>
        <v/>
      </c>
      <c r="O436" s="7">
        <f>'1 datos preparados'!N429</f>
        <v/>
      </c>
      <c r="P436" s="7">
        <f>'1 datos preparados'!O429</f>
        <v/>
      </c>
      <c r="Q436" s="7">
        <f>'1 datos preparados'!P429</f>
        <v/>
      </c>
      <c r="R436" s="7">
        <f>'1 datos preparados'!Q429</f>
        <v/>
      </c>
      <c r="S436" s="7">
        <f>'1 datos preparados'!R429</f>
        <v/>
      </c>
      <c r="T436" s="7">
        <f>'1 datos preparados'!S429</f>
        <v/>
      </c>
      <c r="U436" s="7">
        <f>'1 datos preparados'!T429</f>
        <v/>
      </c>
      <c r="V436" s="8">
        <f>$AE$12+D436*$AE$13+E436*$AE$14+F436*$AE$15+G436*$AE$16+H436*$AE$17+I436*$AE$18+J436*$AE$19+K436*$AE$20+L436*$AE$21+M436*$AE$22+N436*$AE$23+O436*$AE$24+P436*$AE$25+Q436*$AE$26+R436*$AE$27+S436*$AE$28+T436*$AE$29+U436*$AE$30</f>
        <v/>
      </c>
      <c r="W436" s="8">
        <f>1/(1+EXP(-V436))</f>
        <v/>
      </c>
      <c r="X436" s="9">
        <f>-IF(C436=1,LN(W436),LN(1-W436))</f>
        <v/>
      </c>
      <c r="Y436" s="8">
        <f>'1 datos preparados'!V429</f>
        <v/>
      </c>
      <c r="Z436" s="9">
        <f>Y436*X436</f>
        <v/>
      </c>
      <c r="AA436" s="10">
        <f>IF(W436&gt;$AE$33,1,0)</f>
        <v/>
      </c>
      <c r="AB436">
        <f>IF(AA436=C436,1,0)</f>
        <v/>
      </c>
    </row>
    <row r="437">
      <c r="A437">
        <f>'1 datos preparados'!A430</f>
        <v/>
      </c>
      <c r="B437" s="5">
        <f>'1 datos preparados'!U430</f>
        <v/>
      </c>
      <c r="C437">
        <f>'1 datos preparados'!B430</f>
        <v/>
      </c>
      <c r="D437" s="7">
        <f>'1 datos preparados'!C430</f>
        <v/>
      </c>
      <c r="E437" s="7">
        <f>'1 datos preparados'!D430</f>
        <v/>
      </c>
      <c r="F437" s="7">
        <f>'1 datos preparados'!E430</f>
        <v/>
      </c>
      <c r="G437" s="7">
        <f>'1 datos preparados'!F430</f>
        <v/>
      </c>
      <c r="H437" s="7">
        <f>'1 datos preparados'!G430</f>
        <v/>
      </c>
      <c r="I437" s="7">
        <f>'1 datos preparados'!H430</f>
        <v/>
      </c>
      <c r="J437" s="7">
        <f>'1 datos preparados'!I430</f>
        <v/>
      </c>
      <c r="K437" s="7">
        <f>'1 datos preparados'!J430</f>
        <v/>
      </c>
      <c r="L437" s="7">
        <f>'1 datos preparados'!K430</f>
        <v/>
      </c>
      <c r="M437" s="7">
        <f>'1 datos preparados'!L430</f>
        <v/>
      </c>
      <c r="N437" s="7">
        <f>'1 datos preparados'!M430</f>
        <v/>
      </c>
      <c r="O437" s="7">
        <f>'1 datos preparados'!N430</f>
        <v/>
      </c>
      <c r="P437" s="7">
        <f>'1 datos preparados'!O430</f>
        <v/>
      </c>
      <c r="Q437" s="7">
        <f>'1 datos preparados'!P430</f>
        <v/>
      </c>
      <c r="R437" s="7">
        <f>'1 datos preparados'!Q430</f>
        <v/>
      </c>
      <c r="S437" s="7">
        <f>'1 datos preparados'!R430</f>
        <v/>
      </c>
      <c r="T437" s="7">
        <f>'1 datos preparados'!S430</f>
        <v/>
      </c>
      <c r="U437" s="7">
        <f>'1 datos preparados'!T430</f>
        <v/>
      </c>
      <c r="V437" s="8">
        <f>$AE$12+D437*$AE$13+E437*$AE$14+F437*$AE$15+G437*$AE$16+H437*$AE$17+I437*$AE$18+J437*$AE$19+K437*$AE$20+L437*$AE$21+M437*$AE$22+N437*$AE$23+O437*$AE$24+P437*$AE$25+Q437*$AE$26+R437*$AE$27+S437*$AE$28+T437*$AE$29+U437*$AE$30</f>
        <v/>
      </c>
      <c r="W437" s="8">
        <f>1/(1+EXP(-V437))</f>
        <v/>
      </c>
      <c r="X437" s="9">
        <f>-IF(C437=1,LN(W437),LN(1-W437))</f>
        <v/>
      </c>
      <c r="Y437" s="8">
        <f>'1 datos preparados'!V430</f>
        <v/>
      </c>
      <c r="Z437" s="9">
        <f>Y437*X437</f>
        <v/>
      </c>
      <c r="AA437" s="10">
        <f>IF(W437&gt;$AE$33,1,0)</f>
        <v/>
      </c>
      <c r="AB437">
        <f>IF(AA437=C437,1,0)</f>
        <v/>
      </c>
    </row>
    <row r="438">
      <c r="A438">
        <f>'1 datos preparados'!A431</f>
        <v/>
      </c>
      <c r="B438" s="5">
        <f>'1 datos preparados'!U431</f>
        <v/>
      </c>
      <c r="C438">
        <f>'1 datos preparados'!B431</f>
        <v/>
      </c>
      <c r="D438" s="7">
        <f>'1 datos preparados'!C431</f>
        <v/>
      </c>
      <c r="E438" s="7">
        <f>'1 datos preparados'!D431</f>
        <v/>
      </c>
      <c r="F438" s="7">
        <f>'1 datos preparados'!E431</f>
        <v/>
      </c>
      <c r="G438" s="7">
        <f>'1 datos preparados'!F431</f>
        <v/>
      </c>
      <c r="H438" s="7">
        <f>'1 datos preparados'!G431</f>
        <v/>
      </c>
      <c r="I438" s="7">
        <f>'1 datos preparados'!H431</f>
        <v/>
      </c>
      <c r="J438" s="7">
        <f>'1 datos preparados'!I431</f>
        <v/>
      </c>
      <c r="K438" s="7">
        <f>'1 datos preparados'!J431</f>
        <v/>
      </c>
      <c r="L438" s="7">
        <f>'1 datos preparados'!K431</f>
        <v/>
      </c>
      <c r="M438" s="7">
        <f>'1 datos preparados'!L431</f>
        <v/>
      </c>
      <c r="N438" s="7">
        <f>'1 datos preparados'!M431</f>
        <v/>
      </c>
      <c r="O438" s="7">
        <f>'1 datos preparados'!N431</f>
        <v/>
      </c>
      <c r="P438" s="7">
        <f>'1 datos preparados'!O431</f>
        <v/>
      </c>
      <c r="Q438" s="7">
        <f>'1 datos preparados'!P431</f>
        <v/>
      </c>
      <c r="R438" s="7">
        <f>'1 datos preparados'!Q431</f>
        <v/>
      </c>
      <c r="S438" s="7">
        <f>'1 datos preparados'!R431</f>
        <v/>
      </c>
      <c r="T438" s="7">
        <f>'1 datos preparados'!S431</f>
        <v/>
      </c>
      <c r="U438" s="7">
        <f>'1 datos preparados'!T431</f>
        <v/>
      </c>
      <c r="V438" s="8">
        <f>$AE$12+D438*$AE$13+E438*$AE$14+F438*$AE$15+G438*$AE$16+H438*$AE$17+I438*$AE$18+J438*$AE$19+K438*$AE$20+L438*$AE$21+M438*$AE$22+N438*$AE$23+O438*$AE$24+P438*$AE$25+Q438*$AE$26+R438*$AE$27+S438*$AE$28+T438*$AE$29+U438*$AE$30</f>
        <v/>
      </c>
      <c r="W438" s="8">
        <f>1/(1+EXP(-V438))</f>
        <v/>
      </c>
      <c r="X438" s="9">
        <f>-IF(C438=1,LN(W438),LN(1-W438))</f>
        <v/>
      </c>
      <c r="Y438" s="8">
        <f>'1 datos preparados'!V431</f>
        <v/>
      </c>
      <c r="Z438" s="9">
        <f>Y438*X438</f>
        <v/>
      </c>
      <c r="AA438" s="10">
        <f>IF(W438&gt;$AE$33,1,0)</f>
        <v/>
      </c>
      <c r="AB438">
        <f>IF(AA438=C438,1,0)</f>
        <v/>
      </c>
    </row>
    <row r="439">
      <c r="A439">
        <f>'1 datos preparados'!A432</f>
        <v/>
      </c>
      <c r="B439" s="5">
        <f>'1 datos preparados'!U432</f>
        <v/>
      </c>
      <c r="C439">
        <f>'1 datos preparados'!B432</f>
        <v/>
      </c>
      <c r="D439" s="7">
        <f>'1 datos preparados'!C432</f>
        <v/>
      </c>
      <c r="E439" s="7">
        <f>'1 datos preparados'!D432</f>
        <v/>
      </c>
      <c r="F439" s="7">
        <f>'1 datos preparados'!E432</f>
        <v/>
      </c>
      <c r="G439" s="7">
        <f>'1 datos preparados'!F432</f>
        <v/>
      </c>
      <c r="H439" s="7">
        <f>'1 datos preparados'!G432</f>
        <v/>
      </c>
      <c r="I439" s="7">
        <f>'1 datos preparados'!H432</f>
        <v/>
      </c>
      <c r="J439" s="7">
        <f>'1 datos preparados'!I432</f>
        <v/>
      </c>
      <c r="K439" s="7">
        <f>'1 datos preparados'!J432</f>
        <v/>
      </c>
      <c r="L439" s="7">
        <f>'1 datos preparados'!K432</f>
        <v/>
      </c>
      <c r="M439" s="7">
        <f>'1 datos preparados'!L432</f>
        <v/>
      </c>
      <c r="N439" s="7">
        <f>'1 datos preparados'!M432</f>
        <v/>
      </c>
      <c r="O439" s="7">
        <f>'1 datos preparados'!N432</f>
        <v/>
      </c>
      <c r="P439" s="7">
        <f>'1 datos preparados'!O432</f>
        <v/>
      </c>
      <c r="Q439" s="7">
        <f>'1 datos preparados'!P432</f>
        <v/>
      </c>
      <c r="R439" s="7">
        <f>'1 datos preparados'!Q432</f>
        <v/>
      </c>
      <c r="S439" s="7">
        <f>'1 datos preparados'!R432</f>
        <v/>
      </c>
      <c r="T439" s="7">
        <f>'1 datos preparados'!S432</f>
        <v/>
      </c>
      <c r="U439" s="7">
        <f>'1 datos preparados'!T432</f>
        <v/>
      </c>
      <c r="V439" s="8">
        <f>$AE$12+D439*$AE$13+E439*$AE$14+F439*$AE$15+G439*$AE$16+H439*$AE$17+I439*$AE$18+J439*$AE$19+K439*$AE$20+L439*$AE$21+M439*$AE$22+N439*$AE$23+O439*$AE$24+P439*$AE$25+Q439*$AE$26+R439*$AE$27+S439*$AE$28+T439*$AE$29+U439*$AE$30</f>
        <v/>
      </c>
      <c r="W439" s="8">
        <f>1/(1+EXP(-V439))</f>
        <v/>
      </c>
      <c r="X439" s="9">
        <f>-IF(C439=1,LN(W439),LN(1-W439))</f>
        <v/>
      </c>
      <c r="Y439" s="8">
        <f>'1 datos preparados'!V432</f>
        <v/>
      </c>
      <c r="Z439" s="9">
        <f>Y439*X439</f>
        <v/>
      </c>
      <c r="AA439" s="10">
        <f>IF(W439&gt;$AE$33,1,0)</f>
        <v/>
      </c>
      <c r="AB439">
        <f>IF(AA439=C439,1,0)</f>
        <v/>
      </c>
    </row>
    <row r="440">
      <c r="A440">
        <f>'1 datos preparados'!A433</f>
        <v/>
      </c>
      <c r="B440" s="5">
        <f>'1 datos preparados'!U433</f>
        <v/>
      </c>
      <c r="C440">
        <f>'1 datos preparados'!B433</f>
        <v/>
      </c>
      <c r="D440" s="7">
        <f>'1 datos preparados'!C433</f>
        <v/>
      </c>
      <c r="E440" s="7">
        <f>'1 datos preparados'!D433</f>
        <v/>
      </c>
      <c r="F440" s="7">
        <f>'1 datos preparados'!E433</f>
        <v/>
      </c>
      <c r="G440" s="7">
        <f>'1 datos preparados'!F433</f>
        <v/>
      </c>
      <c r="H440" s="7">
        <f>'1 datos preparados'!G433</f>
        <v/>
      </c>
      <c r="I440" s="7">
        <f>'1 datos preparados'!H433</f>
        <v/>
      </c>
      <c r="J440" s="7">
        <f>'1 datos preparados'!I433</f>
        <v/>
      </c>
      <c r="K440" s="7">
        <f>'1 datos preparados'!J433</f>
        <v/>
      </c>
      <c r="L440" s="7">
        <f>'1 datos preparados'!K433</f>
        <v/>
      </c>
      <c r="M440" s="7">
        <f>'1 datos preparados'!L433</f>
        <v/>
      </c>
      <c r="N440" s="7">
        <f>'1 datos preparados'!M433</f>
        <v/>
      </c>
      <c r="O440" s="7">
        <f>'1 datos preparados'!N433</f>
        <v/>
      </c>
      <c r="P440" s="7">
        <f>'1 datos preparados'!O433</f>
        <v/>
      </c>
      <c r="Q440" s="7">
        <f>'1 datos preparados'!P433</f>
        <v/>
      </c>
      <c r="R440" s="7">
        <f>'1 datos preparados'!Q433</f>
        <v/>
      </c>
      <c r="S440" s="7">
        <f>'1 datos preparados'!R433</f>
        <v/>
      </c>
      <c r="T440" s="7">
        <f>'1 datos preparados'!S433</f>
        <v/>
      </c>
      <c r="U440" s="7">
        <f>'1 datos preparados'!T433</f>
        <v/>
      </c>
      <c r="V440" s="8">
        <f>$AE$12+D440*$AE$13+E440*$AE$14+F440*$AE$15+G440*$AE$16+H440*$AE$17+I440*$AE$18+J440*$AE$19+K440*$AE$20+L440*$AE$21+M440*$AE$22+N440*$AE$23+O440*$AE$24+P440*$AE$25+Q440*$AE$26+R440*$AE$27+S440*$AE$28+T440*$AE$29+U440*$AE$30</f>
        <v/>
      </c>
      <c r="W440" s="8">
        <f>1/(1+EXP(-V440))</f>
        <v/>
      </c>
      <c r="X440" s="9">
        <f>-IF(C440=1,LN(W440),LN(1-W440))</f>
        <v/>
      </c>
      <c r="Y440" s="8">
        <f>'1 datos preparados'!V433</f>
        <v/>
      </c>
      <c r="Z440" s="9">
        <f>Y440*X440</f>
        <v/>
      </c>
      <c r="AA440" s="10">
        <f>IF(W440&gt;$AE$33,1,0)</f>
        <v/>
      </c>
      <c r="AB440">
        <f>IF(AA440=C440,1,0)</f>
        <v/>
      </c>
    </row>
    <row r="441">
      <c r="A441">
        <f>'1 datos preparados'!A434</f>
        <v/>
      </c>
      <c r="B441" s="5">
        <f>'1 datos preparados'!U434</f>
        <v/>
      </c>
      <c r="C441">
        <f>'1 datos preparados'!B434</f>
        <v/>
      </c>
      <c r="D441" s="7">
        <f>'1 datos preparados'!C434</f>
        <v/>
      </c>
      <c r="E441" s="7">
        <f>'1 datos preparados'!D434</f>
        <v/>
      </c>
      <c r="F441" s="7">
        <f>'1 datos preparados'!E434</f>
        <v/>
      </c>
      <c r="G441" s="7">
        <f>'1 datos preparados'!F434</f>
        <v/>
      </c>
      <c r="H441" s="7">
        <f>'1 datos preparados'!G434</f>
        <v/>
      </c>
      <c r="I441" s="7">
        <f>'1 datos preparados'!H434</f>
        <v/>
      </c>
      <c r="J441" s="7">
        <f>'1 datos preparados'!I434</f>
        <v/>
      </c>
      <c r="K441" s="7">
        <f>'1 datos preparados'!J434</f>
        <v/>
      </c>
      <c r="L441" s="7">
        <f>'1 datos preparados'!K434</f>
        <v/>
      </c>
      <c r="M441" s="7">
        <f>'1 datos preparados'!L434</f>
        <v/>
      </c>
      <c r="N441" s="7">
        <f>'1 datos preparados'!M434</f>
        <v/>
      </c>
      <c r="O441" s="7">
        <f>'1 datos preparados'!N434</f>
        <v/>
      </c>
      <c r="P441" s="7">
        <f>'1 datos preparados'!O434</f>
        <v/>
      </c>
      <c r="Q441" s="7">
        <f>'1 datos preparados'!P434</f>
        <v/>
      </c>
      <c r="R441" s="7">
        <f>'1 datos preparados'!Q434</f>
        <v/>
      </c>
      <c r="S441" s="7">
        <f>'1 datos preparados'!R434</f>
        <v/>
      </c>
      <c r="T441" s="7">
        <f>'1 datos preparados'!S434</f>
        <v/>
      </c>
      <c r="U441" s="7">
        <f>'1 datos preparados'!T434</f>
        <v/>
      </c>
      <c r="V441" s="8">
        <f>$AE$12+D441*$AE$13+E441*$AE$14+F441*$AE$15+G441*$AE$16+H441*$AE$17+I441*$AE$18+J441*$AE$19+K441*$AE$20+L441*$AE$21+M441*$AE$22+N441*$AE$23+O441*$AE$24+P441*$AE$25+Q441*$AE$26+R441*$AE$27+S441*$AE$28+T441*$AE$29+U441*$AE$30</f>
        <v/>
      </c>
      <c r="W441" s="8">
        <f>1/(1+EXP(-V441))</f>
        <v/>
      </c>
      <c r="X441" s="9">
        <f>-IF(C441=1,LN(W441),LN(1-W441))</f>
        <v/>
      </c>
      <c r="Y441" s="8">
        <f>'1 datos preparados'!V434</f>
        <v/>
      </c>
      <c r="Z441" s="9">
        <f>Y441*X441</f>
        <v/>
      </c>
      <c r="AA441" s="10">
        <f>IF(W441&gt;$AE$33,1,0)</f>
        <v/>
      </c>
      <c r="AB441">
        <f>IF(AA441=C441,1,0)</f>
        <v/>
      </c>
    </row>
    <row r="442">
      <c r="A442">
        <f>'1 datos preparados'!A435</f>
        <v/>
      </c>
      <c r="B442" s="5">
        <f>'1 datos preparados'!U435</f>
        <v/>
      </c>
      <c r="C442">
        <f>'1 datos preparados'!B435</f>
        <v/>
      </c>
      <c r="D442" s="7">
        <f>'1 datos preparados'!C435</f>
        <v/>
      </c>
      <c r="E442" s="7">
        <f>'1 datos preparados'!D435</f>
        <v/>
      </c>
      <c r="F442" s="7">
        <f>'1 datos preparados'!E435</f>
        <v/>
      </c>
      <c r="G442" s="7">
        <f>'1 datos preparados'!F435</f>
        <v/>
      </c>
      <c r="H442" s="7">
        <f>'1 datos preparados'!G435</f>
        <v/>
      </c>
      <c r="I442" s="7">
        <f>'1 datos preparados'!H435</f>
        <v/>
      </c>
      <c r="J442" s="7">
        <f>'1 datos preparados'!I435</f>
        <v/>
      </c>
      <c r="K442" s="7">
        <f>'1 datos preparados'!J435</f>
        <v/>
      </c>
      <c r="L442" s="7">
        <f>'1 datos preparados'!K435</f>
        <v/>
      </c>
      <c r="M442" s="7">
        <f>'1 datos preparados'!L435</f>
        <v/>
      </c>
      <c r="N442" s="7">
        <f>'1 datos preparados'!M435</f>
        <v/>
      </c>
      <c r="O442" s="7">
        <f>'1 datos preparados'!N435</f>
        <v/>
      </c>
      <c r="P442" s="7">
        <f>'1 datos preparados'!O435</f>
        <v/>
      </c>
      <c r="Q442" s="7">
        <f>'1 datos preparados'!P435</f>
        <v/>
      </c>
      <c r="R442" s="7">
        <f>'1 datos preparados'!Q435</f>
        <v/>
      </c>
      <c r="S442" s="7">
        <f>'1 datos preparados'!R435</f>
        <v/>
      </c>
      <c r="T442" s="7">
        <f>'1 datos preparados'!S435</f>
        <v/>
      </c>
      <c r="U442" s="7">
        <f>'1 datos preparados'!T435</f>
        <v/>
      </c>
      <c r="V442" s="8">
        <f>$AE$12+D442*$AE$13+E442*$AE$14+F442*$AE$15+G442*$AE$16+H442*$AE$17+I442*$AE$18+J442*$AE$19+K442*$AE$20+L442*$AE$21+M442*$AE$22+N442*$AE$23+O442*$AE$24+P442*$AE$25+Q442*$AE$26+R442*$AE$27+S442*$AE$28+T442*$AE$29+U442*$AE$30</f>
        <v/>
      </c>
      <c r="W442" s="8">
        <f>1/(1+EXP(-V442))</f>
        <v/>
      </c>
      <c r="X442" s="9">
        <f>-IF(C442=1,LN(W442),LN(1-W442))</f>
        <v/>
      </c>
      <c r="Y442" s="8">
        <f>'1 datos preparados'!V435</f>
        <v/>
      </c>
      <c r="Z442" s="9">
        <f>Y442*X442</f>
        <v/>
      </c>
      <c r="AA442" s="10">
        <f>IF(W442&gt;$AE$33,1,0)</f>
        <v/>
      </c>
      <c r="AB442">
        <f>IF(AA442=C442,1,0)</f>
        <v/>
      </c>
    </row>
    <row r="443">
      <c r="A443">
        <f>'1 datos preparados'!A436</f>
        <v/>
      </c>
      <c r="B443" s="5">
        <f>'1 datos preparados'!U436</f>
        <v/>
      </c>
      <c r="C443">
        <f>'1 datos preparados'!B436</f>
        <v/>
      </c>
      <c r="D443" s="7">
        <f>'1 datos preparados'!C436</f>
        <v/>
      </c>
      <c r="E443" s="7">
        <f>'1 datos preparados'!D436</f>
        <v/>
      </c>
      <c r="F443" s="7">
        <f>'1 datos preparados'!E436</f>
        <v/>
      </c>
      <c r="G443" s="7">
        <f>'1 datos preparados'!F436</f>
        <v/>
      </c>
      <c r="H443" s="7">
        <f>'1 datos preparados'!G436</f>
        <v/>
      </c>
      <c r="I443" s="7">
        <f>'1 datos preparados'!H436</f>
        <v/>
      </c>
      <c r="J443" s="7">
        <f>'1 datos preparados'!I436</f>
        <v/>
      </c>
      <c r="K443" s="7">
        <f>'1 datos preparados'!J436</f>
        <v/>
      </c>
      <c r="L443" s="7">
        <f>'1 datos preparados'!K436</f>
        <v/>
      </c>
      <c r="M443" s="7">
        <f>'1 datos preparados'!L436</f>
        <v/>
      </c>
      <c r="N443" s="7">
        <f>'1 datos preparados'!M436</f>
        <v/>
      </c>
      <c r="O443" s="7">
        <f>'1 datos preparados'!N436</f>
        <v/>
      </c>
      <c r="P443" s="7">
        <f>'1 datos preparados'!O436</f>
        <v/>
      </c>
      <c r="Q443" s="7">
        <f>'1 datos preparados'!P436</f>
        <v/>
      </c>
      <c r="R443" s="7">
        <f>'1 datos preparados'!Q436</f>
        <v/>
      </c>
      <c r="S443" s="7">
        <f>'1 datos preparados'!R436</f>
        <v/>
      </c>
      <c r="T443" s="7">
        <f>'1 datos preparados'!S436</f>
        <v/>
      </c>
      <c r="U443" s="7">
        <f>'1 datos preparados'!T436</f>
        <v/>
      </c>
      <c r="V443" s="8">
        <f>$AE$12+D443*$AE$13+E443*$AE$14+F443*$AE$15+G443*$AE$16+H443*$AE$17+I443*$AE$18+J443*$AE$19+K443*$AE$20+L443*$AE$21+M443*$AE$22+N443*$AE$23+O443*$AE$24+P443*$AE$25+Q443*$AE$26+R443*$AE$27+S443*$AE$28+T443*$AE$29+U443*$AE$30</f>
        <v/>
      </c>
      <c r="W443" s="8">
        <f>1/(1+EXP(-V443))</f>
        <v/>
      </c>
      <c r="X443" s="9">
        <f>-IF(C443=1,LN(W443),LN(1-W443))</f>
        <v/>
      </c>
      <c r="Y443" s="8">
        <f>'1 datos preparados'!V436</f>
        <v/>
      </c>
      <c r="Z443" s="9">
        <f>Y443*X443</f>
        <v/>
      </c>
      <c r="AA443" s="10">
        <f>IF(W443&gt;$AE$33,1,0)</f>
        <v/>
      </c>
      <c r="AB443">
        <f>IF(AA443=C443,1,0)</f>
        <v/>
      </c>
    </row>
    <row r="444">
      <c r="A444">
        <f>'1 datos preparados'!A437</f>
        <v/>
      </c>
      <c r="B444" s="5">
        <f>'1 datos preparados'!U437</f>
        <v/>
      </c>
      <c r="C444">
        <f>'1 datos preparados'!B437</f>
        <v/>
      </c>
      <c r="D444" s="7">
        <f>'1 datos preparados'!C437</f>
        <v/>
      </c>
      <c r="E444" s="7">
        <f>'1 datos preparados'!D437</f>
        <v/>
      </c>
      <c r="F444" s="7">
        <f>'1 datos preparados'!E437</f>
        <v/>
      </c>
      <c r="G444" s="7">
        <f>'1 datos preparados'!F437</f>
        <v/>
      </c>
      <c r="H444" s="7">
        <f>'1 datos preparados'!G437</f>
        <v/>
      </c>
      <c r="I444" s="7">
        <f>'1 datos preparados'!H437</f>
        <v/>
      </c>
      <c r="J444" s="7">
        <f>'1 datos preparados'!I437</f>
        <v/>
      </c>
      <c r="K444" s="7">
        <f>'1 datos preparados'!J437</f>
        <v/>
      </c>
      <c r="L444" s="7">
        <f>'1 datos preparados'!K437</f>
        <v/>
      </c>
      <c r="M444" s="7">
        <f>'1 datos preparados'!L437</f>
        <v/>
      </c>
      <c r="N444" s="7">
        <f>'1 datos preparados'!M437</f>
        <v/>
      </c>
      <c r="O444" s="7">
        <f>'1 datos preparados'!N437</f>
        <v/>
      </c>
      <c r="P444" s="7">
        <f>'1 datos preparados'!O437</f>
        <v/>
      </c>
      <c r="Q444" s="7">
        <f>'1 datos preparados'!P437</f>
        <v/>
      </c>
      <c r="R444" s="7">
        <f>'1 datos preparados'!Q437</f>
        <v/>
      </c>
      <c r="S444" s="7">
        <f>'1 datos preparados'!R437</f>
        <v/>
      </c>
      <c r="T444" s="7">
        <f>'1 datos preparados'!S437</f>
        <v/>
      </c>
      <c r="U444" s="7">
        <f>'1 datos preparados'!T437</f>
        <v/>
      </c>
      <c r="V444" s="8">
        <f>$AE$12+D444*$AE$13+E444*$AE$14+F444*$AE$15+G444*$AE$16+H444*$AE$17+I444*$AE$18+J444*$AE$19+K444*$AE$20+L444*$AE$21+M444*$AE$22+N444*$AE$23+O444*$AE$24+P444*$AE$25+Q444*$AE$26+R444*$AE$27+S444*$AE$28+T444*$AE$29+U444*$AE$30</f>
        <v/>
      </c>
      <c r="W444" s="8">
        <f>1/(1+EXP(-V444))</f>
        <v/>
      </c>
      <c r="X444" s="9">
        <f>-IF(C444=1,LN(W444),LN(1-W444))</f>
        <v/>
      </c>
      <c r="Y444" s="8">
        <f>'1 datos preparados'!V437</f>
        <v/>
      </c>
      <c r="Z444" s="9">
        <f>Y444*X444</f>
        <v/>
      </c>
      <c r="AA444" s="10">
        <f>IF(W444&gt;$AE$33,1,0)</f>
        <v/>
      </c>
      <c r="AB444">
        <f>IF(AA444=C444,1,0)</f>
        <v/>
      </c>
    </row>
    <row r="445">
      <c r="A445">
        <f>'1 datos preparados'!A438</f>
        <v/>
      </c>
      <c r="B445" s="5">
        <f>'1 datos preparados'!U438</f>
        <v/>
      </c>
      <c r="C445">
        <f>'1 datos preparados'!B438</f>
        <v/>
      </c>
      <c r="D445" s="7">
        <f>'1 datos preparados'!C438</f>
        <v/>
      </c>
      <c r="E445" s="7">
        <f>'1 datos preparados'!D438</f>
        <v/>
      </c>
      <c r="F445" s="7">
        <f>'1 datos preparados'!E438</f>
        <v/>
      </c>
      <c r="G445" s="7">
        <f>'1 datos preparados'!F438</f>
        <v/>
      </c>
      <c r="H445" s="7">
        <f>'1 datos preparados'!G438</f>
        <v/>
      </c>
      <c r="I445" s="7">
        <f>'1 datos preparados'!H438</f>
        <v/>
      </c>
      <c r="J445" s="7">
        <f>'1 datos preparados'!I438</f>
        <v/>
      </c>
      <c r="K445" s="7">
        <f>'1 datos preparados'!J438</f>
        <v/>
      </c>
      <c r="L445" s="7">
        <f>'1 datos preparados'!K438</f>
        <v/>
      </c>
      <c r="M445" s="7">
        <f>'1 datos preparados'!L438</f>
        <v/>
      </c>
      <c r="N445" s="7">
        <f>'1 datos preparados'!M438</f>
        <v/>
      </c>
      <c r="O445" s="7">
        <f>'1 datos preparados'!N438</f>
        <v/>
      </c>
      <c r="P445" s="7">
        <f>'1 datos preparados'!O438</f>
        <v/>
      </c>
      <c r="Q445" s="7">
        <f>'1 datos preparados'!P438</f>
        <v/>
      </c>
      <c r="R445" s="7">
        <f>'1 datos preparados'!Q438</f>
        <v/>
      </c>
      <c r="S445" s="7">
        <f>'1 datos preparados'!R438</f>
        <v/>
      </c>
      <c r="T445" s="7">
        <f>'1 datos preparados'!S438</f>
        <v/>
      </c>
      <c r="U445" s="7">
        <f>'1 datos preparados'!T438</f>
        <v/>
      </c>
      <c r="V445" s="8">
        <f>$AE$12+D445*$AE$13+E445*$AE$14+F445*$AE$15+G445*$AE$16+H445*$AE$17+I445*$AE$18+J445*$AE$19+K445*$AE$20+L445*$AE$21+M445*$AE$22+N445*$AE$23+O445*$AE$24+P445*$AE$25+Q445*$AE$26+R445*$AE$27+S445*$AE$28+T445*$AE$29+U445*$AE$30</f>
        <v/>
      </c>
      <c r="W445" s="8">
        <f>1/(1+EXP(-V445))</f>
        <v/>
      </c>
      <c r="X445" s="9">
        <f>-IF(C445=1,LN(W445),LN(1-W445))</f>
        <v/>
      </c>
      <c r="Y445" s="8">
        <f>'1 datos preparados'!V438</f>
        <v/>
      </c>
      <c r="Z445" s="9">
        <f>Y445*X445</f>
        <v/>
      </c>
      <c r="AA445" s="10">
        <f>IF(W445&gt;$AE$33,1,0)</f>
        <v/>
      </c>
      <c r="AB445">
        <f>IF(AA445=C445,1,0)</f>
        <v/>
      </c>
    </row>
    <row r="446">
      <c r="A446">
        <f>'1 datos preparados'!A439</f>
        <v/>
      </c>
      <c r="B446" s="5">
        <f>'1 datos preparados'!U439</f>
        <v/>
      </c>
      <c r="C446">
        <f>'1 datos preparados'!B439</f>
        <v/>
      </c>
      <c r="D446" s="7">
        <f>'1 datos preparados'!C439</f>
        <v/>
      </c>
      <c r="E446" s="7">
        <f>'1 datos preparados'!D439</f>
        <v/>
      </c>
      <c r="F446" s="7">
        <f>'1 datos preparados'!E439</f>
        <v/>
      </c>
      <c r="G446" s="7">
        <f>'1 datos preparados'!F439</f>
        <v/>
      </c>
      <c r="H446" s="7">
        <f>'1 datos preparados'!G439</f>
        <v/>
      </c>
      <c r="I446" s="7">
        <f>'1 datos preparados'!H439</f>
        <v/>
      </c>
      <c r="J446" s="7">
        <f>'1 datos preparados'!I439</f>
        <v/>
      </c>
      <c r="K446" s="7">
        <f>'1 datos preparados'!J439</f>
        <v/>
      </c>
      <c r="L446" s="7">
        <f>'1 datos preparados'!K439</f>
        <v/>
      </c>
      <c r="M446" s="7">
        <f>'1 datos preparados'!L439</f>
        <v/>
      </c>
      <c r="N446" s="7">
        <f>'1 datos preparados'!M439</f>
        <v/>
      </c>
      <c r="O446" s="7">
        <f>'1 datos preparados'!N439</f>
        <v/>
      </c>
      <c r="P446" s="7">
        <f>'1 datos preparados'!O439</f>
        <v/>
      </c>
      <c r="Q446" s="7">
        <f>'1 datos preparados'!P439</f>
        <v/>
      </c>
      <c r="R446" s="7">
        <f>'1 datos preparados'!Q439</f>
        <v/>
      </c>
      <c r="S446" s="7">
        <f>'1 datos preparados'!R439</f>
        <v/>
      </c>
      <c r="T446" s="7">
        <f>'1 datos preparados'!S439</f>
        <v/>
      </c>
      <c r="U446" s="7">
        <f>'1 datos preparados'!T439</f>
        <v/>
      </c>
      <c r="V446" s="8">
        <f>$AE$12+D446*$AE$13+E446*$AE$14+F446*$AE$15+G446*$AE$16+H446*$AE$17+I446*$AE$18+J446*$AE$19+K446*$AE$20+L446*$AE$21+M446*$AE$22+N446*$AE$23+O446*$AE$24+P446*$AE$25+Q446*$AE$26+R446*$AE$27+S446*$AE$28+T446*$AE$29+U446*$AE$30</f>
        <v/>
      </c>
      <c r="W446" s="8">
        <f>1/(1+EXP(-V446))</f>
        <v/>
      </c>
      <c r="X446" s="9">
        <f>-IF(C446=1,LN(W446),LN(1-W446))</f>
        <v/>
      </c>
      <c r="Y446" s="8">
        <f>'1 datos preparados'!V439</f>
        <v/>
      </c>
      <c r="Z446" s="9">
        <f>Y446*X446</f>
        <v/>
      </c>
      <c r="AA446" s="10">
        <f>IF(W446&gt;$AE$33,1,0)</f>
        <v/>
      </c>
      <c r="AB446">
        <f>IF(AA446=C446,1,0)</f>
        <v/>
      </c>
    </row>
    <row r="447">
      <c r="A447">
        <f>'1 datos preparados'!A440</f>
        <v/>
      </c>
      <c r="B447" s="5">
        <f>'1 datos preparados'!U440</f>
        <v/>
      </c>
      <c r="C447">
        <f>'1 datos preparados'!B440</f>
        <v/>
      </c>
      <c r="D447" s="7">
        <f>'1 datos preparados'!C440</f>
        <v/>
      </c>
      <c r="E447" s="7">
        <f>'1 datos preparados'!D440</f>
        <v/>
      </c>
      <c r="F447" s="7">
        <f>'1 datos preparados'!E440</f>
        <v/>
      </c>
      <c r="G447" s="7">
        <f>'1 datos preparados'!F440</f>
        <v/>
      </c>
      <c r="H447" s="7">
        <f>'1 datos preparados'!G440</f>
        <v/>
      </c>
      <c r="I447" s="7">
        <f>'1 datos preparados'!H440</f>
        <v/>
      </c>
      <c r="J447" s="7">
        <f>'1 datos preparados'!I440</f>
        <v/>
      </c>
      <c r="K447" s="7">
        <f>'1 datos preparados'!J440</f>
        <v/>
      </c>
      <c r="L447" s="7">
        <f>'1 datos preparados'!K440</f>
        <v/>
      </c>
      <c r="M447" s="7">
        <f>'1 datos preparados'!L440</f>
        <v/>
      </c>
      <c r="N447" s="7">
        <f>'1 datos preparados'!M440</f>
        <v/>
      </c>
      <c r="O447" s="7">
        <f>'1 datos preparados'!N440</f>
        <v/>
      </c>
      <c r="P447" s="7">
        <f>'1 datos preparados'!O440</f>
        <v/>
      </c>
      <c r="Q447" s="7">
        <f>'1 datos preparados'!P440</f>
        <v/>
      </c>
      <c r="R447" s="7">
        <f>'1 datos preparados'!Q440</f>
        <v/>
      </c>
      <c r="S447" s="7">
        <f>'1 datos preparados'!R440</f>
        <v/>
      </c>
      <c r="T447" s="7">
        <f>'1 datos preparados'!S440</f>
        <v/>
      </c>
      <c r="U447" s="7">
        <f>'1 datos preparados'!T440</f>
        <v/>
      </c>
      <c r="V447" s="8">
        <f>$AE$12+D447*$AE$13+E447*$AE$14+F447*$AE$15+G447*$AE$16+H447*$AE$17+I447*$AE$18+J447*$AE$19+K447*$AE$20+L447*$AE$21+M447*$AE$22+N447*$AE$23+O447*$AE$24+P447*$AE$25+Q447*$AE$26+R447*$AE$27+S447*$AE$28+T447*$AE$29+U447*$AE$30</f>
        <v/>
      </c>
      <c r="W447" s="8">
        <f>1/(1+EXP(-V447))</f>
        <v/>
      </c>
      <c r="X447" s="9">
        <f>-IF(C447=1,LN(W447),LN(1-W447))</f>
        <v/>
      </c>
      <c r="Y447" s="8">
        <f>'1 datos preparados'!V440</f>
        <v/>
      </c>
      <c r="Z447" s="9">
        <f>Y447*X447</f>
        <v/>
      </c>
      <c r="AA447" s="10">
        <f>IF(W447&gt;$AE$33,1,0)</f>
        <v/>
      </c>
      <c r="AB447">
        <f>IF(AA447=C447,1,0)</f>
        <v/>
      </c>
    </row>
    <row r="448">
      <c r="A448">
        <f>'1 datos preparados'!A441</f>
        <v/>
      </c>
      <c r="B448" s="5">
        <f>'1 datos preparados'!U441</f>
        <v/>
      </c>
      <c r="C448">
        <f>'1 datos preparados'!B441</f>
        <v/>
      </c>
      <c r="D448" s="7">
        <f>'1 datos preparados'!C441</f>
        <v/>
      </c>
      <c r="E448" s="7">
        <f>'1 datos preparados'!D441</f>
        <v/>
      </c>
      <c r="F448" s="7">
        <f>'1 datos preparados'!E441</f>
        <v/>
      </c>
      <c r="G448" s="7">
        <f>'1 datos preparados'!F441</f>
        <v/>
      </c>
      <c r="H448" s="7">
        <f>'1 datos preparados'!G441</f>
        <v/>
      </c>
      <c r="I448" s="7">
        <f>'1 datos preparados'!H441</f>
        <v/>
      </c>
      <c r="J448" s="7">
        <f>'1 datos preparados'!I441</f>
        <v/>
      </c>
      <c r="K448" s="7">
        <f>'1 datos preparados'!J441</f>
        <v/>
      </c>
      <c r="L448" s="7">
        <f>'1 datos preparados'!K441</f>
        <v/>
      </c>
      <c r="M448" s="7">
        <f>'1 datos preparados'!L441</f>
        <v/>
      </c>
      <c r="N448" s="7">
        <f>'1 datos preparados'!M441</f>
        <v/>
      </c>
      <c r="O448" s="7">
        <f>'1 datos preparados'!N441</f>
        <v/>
      </c>
      <c r="P448" s="7">
        <f>'1 datos preparados'!O441</f>
        <v/>
      </c>
      <c r="Q448" s="7">
        <f>'1 datos preparados'!P441</f>
        <v/>
      </c>
      <c r="R448" s="7">
        <f>'1 datos preparados'!Q441</f>
        <v/>
      </c>
      <c r="S448" s="7">
        <f>'1 datos preparados'!R441</f>
        <v/>
      </c>
      <c r="T448" s="7">
        <f>'1 datos preparados'!S441</f>
        <v/>
      </c>
      <c r="U448" s="7">
        <f>'1 datos preparados'!T441</f>
        <v/>
      </c>
      <c r="V448" s="8">
        <f>$AE$12+D448*$AE$13+E448*$AE$14+F448*$AE$15+G448*$AE$16+H448*$AE$17+I448*$AE$18+J448*$AE$19+K448*$AE$20+L448*$AE$21+M448*$AE$22+N448*$AE$23+O448*$AE$24+P448*$AE$25+Q448*$AE$26+R448*$AE$27+S448*$AE$28+T448*$AE$29+U448*$AE$30</f>
        <v/>
      </c>
      <c r="W448" s="8">
        <f>1/(1+EXP(-V448))</f>
        <v/>
      </c>
      <c r="X448" s="9">
        <f>-IF(C448=1,LN(W448),LN(1-W448))</f>
        <v/>
      </c>
      <c r="Y448" s="8">
        <f>'1 datos preparados'!V441</f>
        <v/>
      </c>
      <c r="Z448" s="9">
        <f>Y448*X448</f>
        <v/>
      </c>
      <c r="AA448" s="10">
        <f>IF(W448&gt;$AE$33,1,0)</f>
        <v/>
      </c>
      <c r="AB448">
        <f>IF(AA448=C448,1,0)</f>
        <v/>
      </c>
    </row>
    <row r="449">
      <c r="A449">
        <f>'1 datos preparados'!A442</f>
        <v/>
      </c>
      <c r="B449" s="5">
        <f>'1 datos preparados'!U442</f>
        <v/>
      </c>
      <c r="C449">
        <f>'1 datos preparados'!B442</f>
        <v/>
      </c>
      <c r="D449" s="7">
        <f>'1 datos preparados'!C442</f>
        <v/>
      </c>
      <c r="E449" s="7">
        <f>'1 datos preparados'!D442</f>
        <v/>
      </c>
      <c r="F449" s="7">
        <f>'1 datos preparados'!E442</f>
        <v/>
      </c>
      <c r="G449" s="7">
        <f>'1 datos preparados'!F442</f>
        <v/>
      </c>
      <c r="H449" s="7">
        <f>'1 datos preparados'!G442</f>
        <v/>
      </c>
      <c r="I449" s="7">
        <f>'1 datos preparados'!H442</f>
        <v/>
      </c>
      <c r="J449" s="7">
        <f>'1 datos preparados'!I442</f>
        <v/>
      </c>
      <c r="K449" s="7">
        <f>'1 datos preparados'!J442</f>
        <v/>
      </c>
      <c r="L449" s="7">
        <f>'1 datos preparados'!K442</f>
        <v/>
      </c>
      <c r="M449" s="7">
        <f>'1 datos preparados'!L442</f>
        <v/>
      </c>
      <c r="N449" s="7">
        <f>'1 datos preparados'!M442</f>
        <v/>
      </c>
      <c r="O449" s="7">
        <f>'1 datos preparados'!N442</f>
        <v/>
      </c>
      <c r="P449" s="7">
        <f>'1 datos preparados'!O442</f>
        <v/>
      </c>
      <c r="Q449" s="7">
        <f>'1 datos preparados'!P442</f>
        <v/>
      </c>
      <c r="R449" s="7">
        <f>'1 datos preparados'!Q442</f>
        <v/>
      </c>
      <c r="S449" s="7">
        <f>'1 datos preparados'!R442</f>
        <v/>
      </c>
      <c r="T449" s="7">
        <f>'1 datos preparados'!S442</f>
        <v/>
      </c>
      <c r="U449" s="7">
        <f>'1 datos preparados'!T442</f>
        <v/>
      </c>
      <c r="V449" s="8">
        <f>$AE$12+D449*$AE$13+E449*$AE$14+F449*$AE$15+G449*$AE$16+H449*$AE$17+I449*$AE$18+J449*$AE$19+K449*$AE$20+L449*$AE$21+M449*$AE$22+N449*$AE$23+O449*$AE$24+P449*$AE$25+Q449*$AE$26+R449*$AE$27+S449*$AE$28+T449*$AE$29+U449*$AE$30</f>
        <v/>
      </c>
      <c r="W449" s="8">
        <f>1/(1+EXP(-V449))</f>
        <v/>
      </c>
      <c r="X449" s="9">
        <f>-IF(C449=1,LN(W449),LN(1-W449))</f>
        <v/>
      </c>
      <c r="Y449" s="8">
        <f>'1 datos preparados'!V442</f>
        <v/>
      </c>
      <c r="Z449" s="9">
        <f>Y449*X449</f>
        <v/>
      </c>
      <c r="AA449" s="10">
        <f>IF(W449&gt;$AE$33,1,0)</f>
        <v/>
      </c>
      <c r="AB449">
        <f>IF(AA449=C449,1,0)</f>
        <v/>
      </c>
    </row>
    <row r="450">
      <c r="A450">
        <f>'1 datos preparados'!A443</f>
        <v/>
      </c>
      <c r="B450" s="5">
        <f>'1 datos preparados'!U443</f>
        <v/>
      </c>
      <c r="C450">
        <f>'1 datos preparados'!B443</f>
        <v/>
      </c>
      <c r="D450" s="7">
        <f>'1 datos preparados'!C443</f>
        <v/>
      </c>
      <c r="E450" s="7">
        <f>'1 datos preparados'!D443</f>
        <v/>
      </c>
      <c r="F450" s="7">
        <f>'1 datos preparados'!E443</f>
        <v/>
      </c>
      <c r="G450" s="7">
        <f>'1 datos preparados'!F443</f>
        <v/>
      </c>
      <c r="H450" s="7">
        <f>'1 datos preparados'!G443</f>
        <v/>
      </c>
      <c r="I450" s="7">
        <f>'1 datos preparados'!H443</f>
        <v/>
      </c>
      <c r="J450" s="7">
        <f>'1 datos preparados'!I443</f>
        <v/>
      </c>
      <c r="K450" s="7">
        <f>'1 datos preparados'!J443</f>
        <v/>
      </c>
      <c r="L450" s="7">
        <f>'1 datos preparados'!K443</f>
        <v/>
      </c>
      <c r="M450" s="7">
        <f>'1 datos preparados'!L443</f>
        <v/>
      </c>
      <c r="N450" s="7">
        <f>'1 datos preparados'!M443</f>
        <v/>
      </c>
      <c r="O450" s="7">
        <f>'1 datos preparados'!N443</f>
        <v/>
      </c>
      <c r="P450" s="7">
        <f>'1 datos preparados'!O443</f>
        <v/>
      </c>
      <c r="Q450" s="7">
        <f>'1 datos preparados'!P443</f>
        <v/>
      </c>
      <c r="R450" s="7">
        <f>'1 datos preparados'!Q443</f>
        <v/>
      </c>
      <c r="S450" s="7">
        <f>'1 datos preparados'!R443</f>
        <v/>
      </c>
      <c r="T450" s="7">
        <f>'1 datos preparados'!S443</f>
        <v/>
      </c>
      <c r="U450" s="7">
        <f>'1 datos preparados'!T443</f>
        <v/>
      </c>
      <c r="V450" s="8">
        <f>$AE$12+D450*$AE$13+E450*$AE$14+F450*$AE$15+G450*$AE$16+H450*$AE$17+I450*$AE$18+J450*$AE$19+K450*$AE$20+L450*$AE$21+M450*$AE$22+N450*$AE$23+O450*$AE$24+P450*$AE$25+Q450*$AE$26+R450*$AE$27+S450*$AE$28+T450*$AE$29+U450*$AE$30</f>
        <v/>
      </c>
      <c r="W450" s="8">
        <f>1/(1+EXP(-V450))</f>
        <v/>
      </c>
      <c r="X450" s="9">
        <f>-IF(C450=1,LN(W450),LN(1-W450))</f>
        <v/>
      </c>
      <c r="Y450" s="8">
        <f>'1 datos preparados'!V443</f>
        <v/>
      </c>
      <c r="Z450" s="9">
        <f>Y450*X450</f>
        <v/>
      </c>
      <c r="AA450" s="10">
        <f>IF(W450&gt;$AE$33,1,0)</f>
        <v/>
      </c>
      <c r="AB450">
        <f>IF(AA450=C450,1,0)</f>
        <v/>
      </c>
    </row>
    <row r="451">
      <c r="A451">
        <f>'1 datos preparados'!A444</f>
        <v/>
      </c>
      <c r="B451" s="5">
        <f>'1 datos preparados'!U444</f>
        <v/>
      </c>
      <c r="C451">
        <f>'1 datos preparados'!B444</f>
        <v/>
      </c>
      <c r="D451" s="7">
        <f>'1 datos preparados'!C444</f>
        <v/>
      </c>
      <c r="E451" s="7">
        <f>'1 datos preparados'!D444</f>
        <v/>
      </c>
      <c r="F451" s="7">
        <f>'1 datos preparados'!E444</f>
        <v/>
      </c>
      <c r="G451" s="7">
        <f>'1 datos preparados'!F444</f>
        <v/>
      </c>
      <c r="H451" s="7">
        <f>'1 datos preparados'!G444</f>
        <v/>
      </c>
      <c r="I451" s="7">
        <f>'1 datos preparados'!H444</f>
        <v/>
      </c>
      <c r="J451" s="7">
        <f>'1 datos preparados'!I444</f>
        <v/>
      </c>
      <c r="K451" s="7">
        <f>'1 datos preparados'!J444</f>
        <v/>
      </c>
      <c r="L451" s="7">
        <f>'1 datos preparados'!K444</f>
        <v/>
      </c>
      <c r="M451" s="7">
        <f>'1 datos preparados'!L444</f>
        <v/>
      </c>
      <c r="N451" s="7">
        <f>'1 datos preparados'!M444</f>
        <v/>
      </c>
      <c r="O451" s="7">
        <f>'1 datos preparados'!N444</f>
        <v/>
      </c>
      <c r="P451" s="7">
        <f>'1 datos preparados'!O444</f>
        <v/>
      </c>
      <c r="Q451" s="7">
        <f>'1 datos preparados'!P444</f>
        <v/>
      </c>
      <c r="R451" s="7">
        <f>'1 datos preparados'!Q444</f>
        <v/>
      </c>
      <c r="S451" s="7">
        <f>'1 datos preparados'!R444</f>
        <v/>
      </c>
      <c r="T451" s="7">
        <f>'1 datos preparados'!S444</f>
        <v/>
      </c>
      <c r="U451" s="7">
        <f>'1 datos preparados'!T444</f>
        <v/>
      </c>
      <c r="V451" s="8">
        <f>$AE$12+D451*$AE$13+E451*$AE$14+F451*$AE$15+G451*$AE$16+H451*$AE$17+I451*$AE$18+J451*$AE$19+K451*$AE$20+L451*$AE$21+M451*$AE$22+N451*$AE$23+O451*$AE$24+P451*$AE$25+Q451*$AE$26+R451*$AE$27+S451*$AE$28+T451*$AE$29+U451*$AE$30</f>
        <v/>
      </c>
      <c r="W451" s="8">
        <f>1/(1+EXP(-V451))</f>
        <v/>
      </c>
      <c r="X451" s="9">
        <f>-IF(C451=1,LN(W451),LN(1-W451))</f>
        <v/>
      </c>
      <c r="Y451" s="8">
        <f>'1 datos preparados'!V444</f>
        <v/>
      </c>
      <c r="Z451" s="9">
        <f>Y451*X451</f>
        <v/>
      </c>
      <c r="AA451" s="10">
        <f>IF(W451&gt;$AE$33,1,0)</f>
        <v/>
      </c>
      <c r="AB451">
        <f>IF(AA451=C451,1,0)</f>
        <v/>
      </c>
    </row>
    <row r="452">
      <c r="A452">
        <f>'1 datos preparados'!A445</f>
        <v/>
      </c>
      <c r="B452" s="5">
        <f>'1 datos preparados'!U445</f>
        <v/>
      </c>
      <c r="C452">
        <f>'1 datos preparados'!B445</f>
        <v/>
      </c>
      <c r="D452" s="7">
        <f>'1 datos preparados'!C445</f>
        <v/>
      </c>
      <c r="E452" s="7">
        <f>'1 datos preparados'!D445</f>
        <v/>
      </c>
      <c r="F452" s="7">
        <f>'1 datos preparados'!E445</f>
        <v/>
      </c>
      <c r="G452" s="7">
        <f>'1 datos preparados'!F445</f>
        <v/>
      </c>
      <c r="H452" s="7">
        <f>'1 datos preparados'!G445</f>
        <v/>
      </c>
      <c r="I452" s="7">
        <f>'1 datos preparados'!H445</f>
        <v/>
      </c>
      <c r="J452" s="7">
        <f>'1 datos preparados'!I445</f>
        <v/>
      </c>
      <c r="K452" s="7">
        <f>'1 datos preparados'!J445</f>
        <v/>
      </c>
      <c r="L452" s="7">
        <f>'1 datos preparados'!K445</f>
        <v/>
      </c>
      <c r="M452" s="7">
        <f>'1 datos preparados'!L445</f>
        <v/>
      </c>
      <c r="N452" s="7">
        <f>'1 datos preparados'!M445</f>
        <v/>
      </c>
      <c r="O452" s="7">
        <f>'1 datos preparados'!N445</f>
        <v/>
      </c>
      <c r="P452" s="7">
        <f>'1 datos preparados'!O445</f>
        <v/>
      </c>
      <c r="Q452" s="7">
        <f>'1 datos preparados'!P445</f>
        <v/>
      </c>
      <c r="R452" s="7">
        <f>'1 datos preparados'!Q445</f>
        <v/>
      </c>
      <c r="S452" s="7">
        <f>'1 datos preparados'!R445</f>
        <v/>
      </c>
      <c r="T452" s="7">
        <f>'1 datos preparados'!S445</f>
        <v/>
      </c>
      <c r="U452" s="7">
        <f>'1 datos preparados'!T445</f>
        <v/>
      </c>
      <c r="V452" s="8">
        <f>$AE$12+D452*$AE$13+E452*$AE$14+F452*$AE$15+G452*$AE$16+H452*$AE$17+I452*$AE$18+J452*$AE$19+K452*$AE$20+L452*$AE$21+M452*$AE$22+N452*$AE$23+O452*$AE$24+P452*$AE$25+Q452*$AE$26+R452*$AE$27+S452*$AE$28+T452*$AE$29+U452*$AE$30</f>
        <v/>
      </c>
      <c r="W452" s="8">
        <f>1/(1+EXP(-V452))</f>
        <v/>
      </c>
      <c r="X452" s="9">
        <f>-IF(C452=1,LN(W452),LN(1-W452))</f>
        <v/>
      </c>
      <c r="Y452" s="8">
        <f>'1 datos preparados'!V445</f>
        <v/>
      </c>
      <c r="Z452" s="9">
        <f>Y452*X452</f>
        <v/>
      </c>
      <c r="AA452" s="10">
        <f>IF(W452&gt;$AE$33,1,0)</f>
        <v/>
      </c>
      <c r="AB452">
        <f>IF(AA452=C452,1,0)</f>
        <v/>
      </c>
    </row>
    <row r="453">
      <c r="A453">
        <f>'1 datos preparados'!A446</f>
        <v/>
      </c>
      <c r="B453" s="5">
        <f>'1 datos preparados'!U446</f>
        <v/>
      </c>
      <c r="C453">
        <f>'1 datos preparados'!B446</f>
        <v/>
      </c>
      <c r="D453" s="7">
        <f>'1 datos preparados'!C446</f>
        <v/>
      </c>
      <c r="E453" s="7">
        <f>'1 datos preparados'!D446</f>
        <v/>
      </c>
      <c r="F453" s="7">
        <f>'1 datos preparados'!E446</f>
        <v/>
      </c>
      <c r="G453" s="7">
        <f>'1 datos preparados'!F446</f>
        <v/>
      </c>
      <c r="H453" s="7">
        <f>'1 datos preparados'!G446</f>
        <v/>
      </c>
      <c r="I453" s="7">
        <f>'1 datos preparados'!H446</f>
        <v/>
      </c>
      <c r="J453" s="7">
        <f>'1 datos preparados'!I446</f>
        <v/>
      </c>
      <c r="K453" s="7">
        <f>'1 datos preparados'!J446</f>
        <v/>
      </c>
      <c r="L453" s="7">
        <f>'1 datos preparados'!K446</f>
        <v/>
      </c>
      <c r="M453" s="7">
        <f>'1 datos preparados'!L446</f>
        <v/>
      </c>
      <c r="N453" s="7">
        <f>'1 datos preparados'!M446</f>
        <v/>
      </c>
      <c r="O453" s="7">
        <f>'1 datos preparados'!N446</f>
        <v/>
      </c>
      <c r="P453" s="7">
        <f>'1 datos preparados'!O446</f>
        <v/>
      </c>
      <c r="Q453" s="7">
        <f>'1 datos preparados'!P446</f>
        <v/>
      </c>
      <c r="R453" s="7">
        <f>'1 datos preparados'!Q446</f>
        <v/>
      </c>
      <c r="S453" s="7">
        <f>'1 datos preparados'!R446</f>
        <v/>
      </c>
      <c r="T453" s="7">
        <f>'1 datos preparados'!S446</f>
        <v/>
      </c>
      <c r="U453" s="7">
        <f>'1 datos preparados'!T446</f>
        <v/>
      </c>
      <c r="V453" s="8">
        <f>$AE$12+D453*$AE$13+E453*$AE$14+F453*$AE$15+G453*$AE$16+H453*$AE$17+I453*$AE$18+J453*$AE$19+K453*$AE$20+L453*$AE$21+M453*$AE$22+N453*$AE$23+O453*$AE$24+P453*$AE$25+Q453*$AE$26+R453*$AE$27+S453*$AE$28+T453*$AE$29+U453*$AE$30</f>
        <v/>
      </c>
      <c r="W453" s="8">
        <f>1/(1+EXP(-V453))</f>
        <v/>
      </c>
      <c r="X453" s="9">
        <f>-IF(C453=1,LN(W453),LN(1-W453))</f>
        <v/>
      </c>
      <c r="Y453" s="8">
        <f>'1 datos preparados'!V446</f>
        <v/>
      </c>
      <c r="Z453" s="9">
        <f>Y453*X453</f>
        <v/>
      </c>
      <c r="AA453" s="10">
        <f>IF(W453&gt;$AE$33,1,0)</f>
        <v/>
      </c>
      <c r="AB453">
        <f>IF(AA453=C453,1,0)</f>
        <v/>
      </c>
    </row>
    <row r="454">
      <c r="A454">
        <f>'1 datos preparados'!A447</f>
        <v/>
      </c>
      <c r="B454" s="5">
        <f>'1 datos preparados'!U447</f>
        <v/>
      </c>
      <c r="C454">
        <f>'1 datos preparados'!B447</f>
        <v/>
      </c>
      <c r="D454" s="7">
        <f>'1 datos preparados'!C447</f>
        <v/>
      </c>
      <c r="E454" s="7">
        <f>'1 datos preparados'!D447</f>
        <v/>
      </c>
      <c r="F454" s="7">
        <f>'1 datos preparados'!E447</f>
        <v/>
      </c>
      <c r="G454" s="7">
        <f>'1 datos preparados'!F447</f>
        <v/>
      </c>
      <c r="H454" s="7">
        <f>'1 datos preparados'!G447</f>
        <v/>
      </c>
      <c r="I454" s="7">
        <f>'1 datos preparados'!H447</f>
        <v/>
      </c>
      <c r="J454" s="7">
        <f>'1 datos preparados'!I447</f>
        <v/>
      </c>
      <c r="K454" s="7">
        <f>'1 datos preparados'!J447</f>
        <v/>
      </c>
      <c r="L454" s="7">
        <f>'1 datos preparados'!K447</f>
        <v/>
      </c>
      <c r="M454" s="7">
        <f>'1 datos preparados'!L447</f>
        <v/>
      </c>
      <c r="N454" s="7">
        <f>'1 datos preparados'!M447</f>
        <v/>
      </c>
      <c r="O454" s="7">
        <f>'1 datos preparados'!N447</f>
        <v/>
      </c>
      <c r="P454" s="7">
        <f>'1 datos preparados'!O447</f>
        <v/>
      </c>
      <c r="Q454" s="7">
        <f>'1 datos preparados'!P447</f>
        <v/>
      </c>
      <c r="R454" s="7">
        <f>'1 datos preparados'!Q447</f>
        <v/>
      </c>
      <c r="S454" s="7">
        <f>'1 datos preparados'!R447</f>
        <v/>
      </c>
      <c r="T454" s="7">
        <f>'1 datos preparados'!S447</f>
        <v/>
      </c>
      <c r="U454" s="7">
        <f>'1 datos preparados'!T447</f>
        <v/>
      </c>
      <c r="V454" s="8">
        <f>$AE$12+D454*$AE$13+E454*$AE$14+F454*$AE$15+G454*$AE$16+H454*$AE$17+I454*$AE$18+J454*$AE$19+K454*$AE$20+L454*$AE$21+M454*$AE$22+N454*$AE$23+O454*$AE$24+P454*$AE$25+Q454*$AE$26+R454*$AE$27+S454*$AE$28+T454*$AE$29+U454*$AE$30</f>
        <v/>
      </c>
      <c r="W454" s="8">
        <f>1/(1+EXP(-V454))</f>
        <v/>
      </c>
      <c r="X454" s="9">
        <f>-IF(C454=1,LN(W454),LN(1-W454))</f>
        <v/>
      </c>
      <c r="Y454" s="8">
        <f>'1 datos preparados'!V447</f>
        <v/>
      </c>
      <c r="Z454" s="9">
        <f>Y454*X454</f>
        <v/>
      </c>
      <c r="AA454" s="10">
        <f>IF(W454&gt;$AE$33,1,0)</f>
        <v/>
      </c>
      <c r="AB454">
        <f>IF(AA454=C454,1,0)</f>
        <v/>
      </c>
    </row>
    <row r="455">
      <c r="A455">
        <f>'1 datos preparados'!A448</f>
        <v/>
      </c>
      <c r="B455" s="5">
        <f>'1 datos preparados'!U448</f>
        <v/>
      </c>
      <c r="C455">
        <f>'1 datos preparados'!B448</f>
        <v/>
      </c>
      <c r="D455" s="7">
        <f>'1 datos preparados'!C448</f>
        <v/>
      </c>
      <c r="E455" s="7">
        <f>'1 datos preparados'!D448</f>
        <v/>
      </c>
      <c r="F455" s="7">
        <f>'1 datos preparados'!E448</f>
        <v/>
      </c>
      <c r="G455" s="7">
        <f>'1 datos preparados'!F448</f>
        <v/>
      </c>
      <c r="H455" s="7">
        <f>'1 datos preparados'!G448</f>
        <v/>
      </c>
      <c r="I455" s="7">
        <f>'1 datos preparados'!H448</f>
        <v/>
      </c>
      <c r="J455" s="7">
        <f>'1 datos preparados'!I448</f>
        <v/>
      </c>
      <c r="K455" s="7">
        <f>'1 datos preparados'!J448</f>
        <v/>
      </c>
      <c r="L455" s="7">
        <f>'1 datos preparados'!K448</f>
        <v/>
      </c>
      <c r="M455" s="7">
        <f>'1 datos preparados'!L448</f>
        <v/>
      </c>
      <c r="N455" s="7">
        <f>'1 datos preparados'!M448</f>
        <v/>
      </c>
      <c r="O455" s="7">
        <f>'1 datos preparados'!N448</f>
        <v/>
      </c>
      <c r="P455" s="7">
        <f>'1 datos preparados'!O448</f>
        <v/>
      </c>
      <c r="Q455" s="7">
        <f>'1 datos preparados'!P448</f>
        <v/>
      </c>
      <c r="R455" s="7">
        <f>'1 datos preparados'!Q448</f>
        <v/>
      </c>
      <c r="S455" s="7">
        <f>'1 datos preparados'!R448</f>
        <v/>
      </c>
      <c r="T455" s="7">
        <f>'1 datos preparados'!S448</f>
        <v/>
      </c>
      <c r="U455" s="7">
        <f>'1 datos preparados'!T448</f>
        <v/>
      </c>
      <c r="V455" s="8">
        <f>$AE$12+D455*$AE$13+E455*$AE$14+F455*$AE$15+G455*$AE$16+H455*$AE$17+I455*$AE$18+J455*$AE$19+K455*$AE$20+L455*$AE$21+M455*$AE$22+N455*$AE$23+O455*$AE$24+P455*$AE$25+Q455*$AE$26+R455*$AE$27+S455*$AE$28+T455*$AE$29+U455*$AE$30</f>
        <v/>
      </c>
      <c r="W455" s="8">
        <f>1/(1+EXP(-V455))</f>
        <v/>
      </c>
      <c r="X455" s="9">
        <f>-IF(C455=1,LN(W455),LN(1-W455))</f>
        <v/>
      </c>
      <c r="Y455" s="8">
        <f>'1 datos preparados'!V448</f>
        <v/>
      </c>
      <c r="Z455" s="9">
        <f>Y455*X455</f>
        <v/>
      </c>
      <c r="AA455" s="10">
        <f>IF(W455&gt;$AE$33,1,0)</f>
        <v/>
      </c>
      <c r="AB455">
        <f>IF(AA455=C455,1,0)</f>
        <v/>
      </c>
    </row>
    <row r="456">
      <c r="A456">
        <f>'1 datos preparados'!A449</f>
        <v/>
      </c>
      <c r="B456" s="5">
        <f>'1 datos preparados'!U449</f>
        <v/>
      </c>
      <c r="C456">
        <f>'1 datos preparados'!B449</f>
        <v/>
      </c>
      <c r="D456" s="7">
        <f>'1 datos preparados'!C449</f>
        <v/>
      </c>
      <c r="E456" s="7">
        <f>'1 datos preparados'!D449</f>
        <v/>
      </c>
      <c r="F456" s="7">
        <f>'1 datos preparados'!E449</f>
        <v/>
      </c>
      <c r="G456" s="7">
        <f>'1 datos preparados'!F449</f>
        <v/>
      </c>
      <c r="H456" s="7">
        <f>'1 datos preparados'!G449</f>
        <v/>
      </c>
      <c r="I456" s="7">
        <f>'1 datos preparados'!H449</f>
        <v/>
      </c>
      <c r="J456" s="7">
        <f>'1 datos preparados'!I449</f>
        <v/>
      </c>
      <c r="K456" s="7">
        <f>'1 datos preparados'!J449</f>
        <v/>
      </c>
      <c r="L456" s="7">
        <f>'1 datos preparados'!K449</f>
        <v/>
      </c>
      <c r="M456" s="7">
        <f>'1 datos preparados'!L449</f>
        <v/>
      </c>
      <c r="N456" s="7">
        <f>'1 datos preparados'!M449</f>
        <v/>
      </c>
      <c r="O456" s="7">
        <f>'1 datos preparados'!N449</f>
        <v/>
      </c>
      <c r="P456" s="7">
        <f>'1 datos preparados'!O449</f>
        <v/>
      </c>
      <c r="Q456" s="7">
        <f>'1 datos preparados'!P449</f>
        <v/>
      </c>
      <c r="R456" s="7">
        <f>'1 datos preparados'!Q449</f>
        <v/>
      </c>
      <c r="S456" s="7">
        <f>'1 datos preparados'!R449</f>
        <v/>
      </c>
      <c r="T456" s="7">
        <f>'1 datos preparados'!S449</f>
        <v/>
      </c>
      <c r="U456" s="7">
        <f>'1 datos preparados'!T449</f>
        <v/>
      </c>
      <c r="V456" s="8">
        <f>$AE$12+D456*$AE$13+E456*$AE$14+F456*$AE$15+G456*$AE$16+H456*$AE$17+I456*$AE$18+J456*$AE$19+K456*$AE$20+L456*$AE$21+M456*$AE$22+N456*$AE$23+O456*$AE$24+P456*$AE$25+Q456*$AE$26+R456*$AE$27+S456*$AE$28+T456*$AE$29+U456*$AE$30</f>
        <v/>
      </c>
      <c r="W456" s="8">
        <f>1/(1+EXP(-V456))</f>
        <v/>
      </c>
      <c r="X456" s="9">
        <f>-IF(C456=1,LN(W456),LN(1-W456))</f>
        <v/>
      </c>
      <c r="Y456" s="8">
        <f>'1 datos preparados'!V449</f>
        <v/>
      </c>
      <c r="Z456" s="9">
        <f>Y456*X456</f>
        <v/>
      </c>
      <c r="AA456" s="10">
        <f>IF(W456&gt;$AE$33,1,0)</f>
        <v/>
      </c>
      <c r="AB456">
        <f>IF(AA456=C456,1,0)</f>
        <v/>
      </c>
    </row>
    <row r="457">
      <c r="A457">
        <f>'1 datos preparados'!A450</f>
        <v/>
      </c>
      <c r="B457" s="5">
        <f>'1 datos preparados'!U450</f>
        <v/>
      </c>
      <c r="C457">
        <f>'1 datos preparados'!B450</f>
        <v/>
      </c>
      <c r="D457" s="7">
        <f>'1 datos preparados'!C450</f>
        <v/>
      </c>
      <c r="E457" s="7">
        <f>'1 datos preparados'!D450</f>
        <v/>
      </c>
      <c r="F457" s="7">
        <f>'1 datos preparados'!E450</f>
        <v/>
      </c>
      <c r="G457" s="7">
        <f>'1 datos preparados'!F450</f>
        <v/>
      </c>
      <c r="H457" s="7">
        <f>'1 datos preparados'!G450</f>
        <v/>
      </c>
      <c r="I457" s="7">
        <f>'1 datos preparados'!H450</f>
        <v/>
      </c>
      <c r="J457" s="7">
        <f>'1 datos preparados'!I450</f>
        <v/>
      </c>
      <c r="K457" s="7">
        <f>'1 datos preparados'!J450</f>
        <v/>
      </c>
      <c r="L457" s="7">
        <f>'1 datos preparados'!K450</f>
        <v/>
      </c>
      <c r="M457" s="7">
        <f>'1 datos preparados'!L450</f>
        <v/>
      </c>
      <c r="N457" s="7">
        <f>'1 datos preparados'!M450</f>
        <v/>
      </c>
      <c r="O457" s="7">
        <f>'1 datos preparados'!N450</f>
        <v/>
      </c>
      <c r="P457" s="7">
        <f>'1 datos preparados'!O450</f>
        <v/>
      </c>
      <c r="Q457" s="7">
        <f>'1 datos preparados'!P450</f>
        <v/>
      </c>
      <c r="R457" s="7">
        <f>'1 datos preparados'!Q450</f>
        <v/>
      </c>
      <c r="S457" s="7">
        <f>'1 datos preparados'!R450</f>
        <v/>
      </c>
      <c r="T457" s="7">
        <f>'1 datos preparados'!S450</f>
        <v/>
      </c>
      <c r="U457" s="7">
        <f>'1 datos preparados'!T450</f>
        <v/>
      </c>
      <c r="V457" s="8">
        <f>$AE$12+D457*$AE$13+E457*$AE$14+F457*$AE$15+G457*$AE$16+H457*$AE$17+I457*$AE$18+J457*$AE$19+K457*$AE$20+L457*$AE$21+M457*$AE$22+N457*$AE$23+O457*$AE$24+P457*$AE$25+Q457*$AE$26+R457*$AE$27+S457*$AE$28+T457*$AE$29+U457*$AE$30</f>
        <v/>
      </c>
      <c r="W457" s="8">
        <f>1/(1+EXP(-V457))</f>
        <v/>
      </c>
      <c r="X457" s="9">
        <f>-IF(C457=1,LN(W457),LN(1-W457))</f>
        <v/>
      </c>
      <c r="Y457" s="8">
        <f>'1 datos preparados'!V450</f>
        <v/>
      </c>
      <c r="Z457" s="9">
        <f>Y457*X457</f>
        <v/>
      </c>
      <c r="AA457" s="10">
        <f>IF(W457&gt;$AE$33,1,0)</f>
        <v/>
      </c>
      <c r="AB457">
        <f>IF(AA457=C457,1,0)</f>
        <v/>
      </c>
    </row>
    <row r="458">
      <c r="A458">
        <f>'1 datos preparados'!A451</f>
        <v/>
      </c>
      <c r="B458" s="5">
        <f>'1 datos preparados'!U451</f>
        <v/>
      </c>
      <c r="C458">
        <f>'1 datos preparados'!B451</f>
        <v/>
      </c>
      <c r="D458" s="7">
        <f>'1 datos preparados'!C451</f>
        <v/>
      </c>
      <c r="E458" s="7">
        <f>'1 datos preparados'!D451</f>
        <v/>
      </c>
      <c r="F458" s="7">
        <f>'1 datos preparados'!E451</f>
        <v/>
      </c>
      <c r="G458" s="7">
        <f>'1 datos preparados'!F451</f>
        <v/>
      </c>
      <c r="H458" s="7">
        <f>'1 datos preparados'!G451</f>
        <v/>
      </c>
      <c r="I458" s="7">
        <f>'1 datos preparados'!H451</f>
        <v/>
      </c>
      <c r="J458" s="7">
        <f>'1 datos preparados'!I451</f>
        <v/>
      </c>
      <c r="K458" s="7">
        <f>'1 datos preparados'!J451</f>
        <v/>
      </c>
      <c r="L458" s="7">
        <f>'1 datos preparados'!K451</f>
        <v/>
      </c>
      <c r="M458" s="7">
        <f>'1 datos preparados'!L451</f>
        <v/>
      </c>
      <c r="N458" s="7">
        <f>'1 datos preparados'!M451</f>
        <v/>
      </c>
      <c r="O458" s="7">
        <f>'1 datos preparados'!N451</f>
        <v/>
      </c>
      <c r="P458" s="7">
        <f>'1 datos preparados'!O451</f>
        <v/>
      </c>
      <c r="Q458" s="7">
        <f>'1 datos preparados'!P451</f>
        <v/>
      </c>
      <c r="R458" s="7">
        <f>'1 datos preparados'!Q451</f>
        <v/>
      </c>
      <c r="S458" s="7">
        <f>'1 datos preparados'!R451</f>
        <v/>
      </c>
      <c r="T458" s="7">
        <f>'1 datos preparados'!S451</f>
        <v/>
      </c>
      <c r="U458" s="7">
        <f>'1 datos preparados'!T451</f>
        <v/>
      </c>
      <c r="V458" s="8">
        <f>$AE$12+D458*$AE$13+E458*$AE$14+F458*$AE$15+G458*$AE$16+H458*$AE$17+I458*$AE$18+J458*$AE$19+K458*$AE$20+L458*$AE$21+M458*$AE$22+N458*$AE$23+O458*$AE$24+P458*$AE$25+Q458*$AE$26+R458*$AE$27+S458*$AE$28+T458*$AE$29+U458*$AE$30</f>
        <v/>
      </c>
      <c r="W458" s="8">
        <f>1/(1+EXP(-V458))</f>
        <v/>
      </c>
      <c r="X458" s="9">
        <f>-IF(C458=1,LN(W458),LN(1-W458))</f>
        <v/>
      </c>
      <c r="Y458" s="8">
        <f>'1 datos preparados'!V451</f>
        <v/>
      </c>
      <c r="Z458" s="9">
        <f>Y458*X458</f>
        <v/>
      </c>
      <c r="AA458" s="10">
        <f>IF(W458&gt;$AE$33,1,0)</f>
        <v/>
      </c>
      <c r="AB458">
        <f>IF(AA458=C458,1,0)</f>
        <v/>
      </c>
    </row>
    <row r="459">
      <c r="A459">
        <f>'1 datos preparados'!A452</f>
        <v/>
      </c>
      <c r="B459" s="5">
        <f>'1 datos preparados'!U452</f>
        <v/>
      </c>
      <c r="C459">
        <f>'1 datos preparados'!B452</f>
        <v/>
      </c>
      <c r="D459" s="7">
        <f>'1 datos preparados'!C452</f>
        <v/>
      </c>
      <c r="E459" s="7">
        <f>'1 datos preparados'!D452</f>
        <v/>
      </c>
      <c r="F459" s="7">
        <f>'1 datos preparados'!E452</f>
        <v/>
      </c>
      <c r="G459" s="7">
        <f>'1 datos preparados'!F452</f>
        <v/>
      </c>
      <c r="H459" s="7">
        <f>'1 datos preparados'!G452</f>
        <v/>
      </c>
      <c r="I459" s="7">
        <f>'1 datos preparados'!H452</f>
        <v/>
      </c>
      <c r="J459" s="7">
        <f>'1 datos preparados'!I452</f>
        <v/>
      </c>
      <c r="K459" s="7">
        <f>'1 datos preparados'!J452</f>
        <v/>
      </c>
      <c r="L459" s="7">
        <f>'1 datos preparados'!K452</f>
        <v/>
      </c>
      <c r="M459" s="7">
        <f>'1 datos preparados'!L452</f>
        <v/>
      </c>
      <c r="N459" s="7">
        <f>'1 datos preparados'!M452</f>
        <v/>
      </c>
      <c r="O459" s="7">
        <f>'1 datos preparados'!N452</f>
        <v/>
      </c>
      <c r="P459" s="7">
        <f>'1 datos preparados'!O452</f>
        <v/>
      </c>
      <c r="Q459" s="7">
        <f>'1 datos preparados'!P452</f>
        <v/>
      </c>
      <c r="R459" s="7">
        <f>'1 datos preparados'!Q452</f>
        <v/>
      </c>
      <c r="S459" s="7">
        <f>'1 datos preparados'!R452</f>
        <v/>
      </c>
      <c r="T459" s="7">
        <f>'1 datos preparados'!S452</f>
        <v/>
      </c>
      <c r="U459" s="7">
        <f>'1 datos preparados'!T452</f>
        <v/>
      </c>
      <c r="V459" s="8">
        <f>$AE$12+D459*$AE$13+E459*$AE$14+F459*$AE$15+G459*$AE$16+H459*$AE$17+I459*$AE$18+J459*$AE$19+K459*$AE$20+L459*$AE$21+M459*$AE$22+N459*$AE$23+O459*$AE$24+P459*$AE$25+Q459*$AE$26+R459*$AE$27+S459*$AE$28+T459*$AE$29+U459*$AE$30</f>
        <v/>
      </c>
      <c r="W459" s="8">
        <f>1/(1+EXP(-V459))</f>
        <v/>
      </c>
      <c r="X459" s="9">
        <f>-IF(C459=1,LN(W459),LN(1-W459))</f>
        <v/>
      </c>
      <c r="Y459" s="8">
        <f>'1 datos preparados'!V452</f>
        <v/>
      </c>
      <c r="Z459" s="9">
        <f>Y459*X459</f>
        <v/>
      </c>
      <c r="AA459" s="10">
        <f>IF(W459&gt;$AE$33,1,0)</f>
        <v/>
      </c>
      <c r="AB459">
        <f>IF(AA459=C459,1,0)</f>
        <v/>
      </c>
    </row>
    <row r="460">
      <c r="A460">
        <f>'1 datos preparados'!A453</f>
        <v/>
      </c>
      <c r="B460" s="5">
        <f>'1 datos preparados'!U453</f>
        <v/>
      </c>
      <c r="C460">
        <f>'1 datos preparados'!B453</f>
        <v/>
      </c>
      <c r="D460" s="7">
        <f>'1 datos preparados'!C453</f>
        <v/>
      </c>
      <c r="E460" s="7">
        <f>'1 datos preparados'!D453</f>
        <v/>
      </c>
      <c r="F460" s="7">
        <f>'1 datos preparados'!E453</f>
        <v/>
      </c>
      <c r="G460" s="7">
        <f>'1 datos preparados'!F453</f>
        <v/>
      </c>
      <c r="H460" s="7">
        <f>'1 datos preparados'!G453</f>
        <v/>
      </c>
      <c r="I460" s="7">
        <f>'1 datos preparados'!H453</f>
        <v/>
      </c>
      <c r="J460" s="7">
        <f>'1 datos preparados'!I453</f>
        <v/>
      </c>
      <c r="K460" s="7">
        <f>'1 datos preparados'!J453</f>
        <v/>
      </c>
      <c r="L460" s="7">
        <f>'1 datos preparados'!K453</f>
        <v/>
      </c>
      <c r="M460" s="7">
        <f>'1 datos preparados'!L453</f>
        <v/>
      </c>
      <c r="N460" s="7">
        <f>'1 datos preparados'!M453</f>
        <v/>
      </c>
      <c r="O460" s="7">
        <f>'1 datos preparados'!N453</f>
        <v/>
      </c>
      <c r="P460" s="7">
        <f>'1 datos preparados'!O453</f>
        <v/>
      </c>
      <c r="Q460" s="7">
        <f>'1 datos preparados'!P453</f>
        <v/>
      </c>
      <c r="R460" s="7">
        <f>'1 datos preparados'!Q453</f>
        <v/>
      </c>
      <c r="S460" s="7">
        <f>'1 datos preparados'!R453</f>
        <v/>
      </c>
      <c r="T460" s="7">
        <f>'1 datos preparados'!S453</f>
        <v/>
      </c>
      <c r="U460" s="7">
        <f>'1 datos preparados'!T453</f>
        <v/>
      </c>
      <c r="V460" s="8">
        <f>$AE$12+D460*$AE$13+E460*$AE$14+F460*$AE$15+G460*$AE$16+H460*$AE$17+I460*$AE$18+J460*$AE$19+K460*$AE$20+L460*$AE$21+M460*$AE$22+N460*$AE$23+O460*$AE$24+P460*$AE$25+Q460*$AE$26+R460*$AE$27+S460*$AE$28+T460*$AE$29+U460*$AE$30</f>
        <v/>
      </c>
      <c r="W460" s="8">
        <f>1/(1+EXP(-V460))</f>
        <v/>
      </c>
      <c r="X460" s="9">
        <f>-IF(C460=1,LN(W460),LN(1-W460))</f>
        <v/>
      </c>
      <c r="Y460" s="8">
        <f>'1 datos preparados'!V453</f>
        <v/>
      </c>
      <c r="Z460" s="9">
        <f>Y460*X460</f>
        <v/>
      </c>
      <c r="AA460" s="10">
        <f>IF(W460&gt;$AE$33,1,0)</f>
        <v/>
      </c>
      <c r="AB460">
        <f>IF(AA460=C460,1,0)</f>
        <v/>
      </c>
    </row>
    <row r="461">
      <c r="A461">
        <f>'1 datos preparados'!A454</f>
        <v/>
      </c>
      <c r="B461" s="5">
        <f>'1 datos preparados'!U454</f>
        <v/>
      </c>
      <c r="C461">
        <f>'1 datos preparados'!B454</f>
        <v/>
      </c>
      <c r="D461" s="7">
        <f>'1 datos preparados'!C454</f>
        <v/>
      </c>
      <c r="E461" s="7">
        <f>'1 datos preparados'!D454</f>
        <v/>
      </c>
      <c r="F461" s="7">
        <f>'1 datos preparados'!E454</f>
        <v/>
      </c>
      <c r="G461" s="7">
        <f>'1 datos preparados'!F454</f>
        <v/>
      </c>
      <c r="H461" s="7">
        <f>'1 datos preparados'!G454</f>
        <v/>
      </c>
      <c r="I461" s="7">
        <f>'1 datos preparados'!H454</f>
        <v/>
      </c>
      <c r="J461" s="7">
        <f>'1 datos preparados'!I454</f>
        <v/>
      </c>
      <c r="K461" s="7">
        <f>'1 datos preparados'!J454</f>
        <v/>
      </c>
      <c r="L461" s="7">
        <f>'1 datos preparados'!K454</f>
        <v/>
      </c>
      <c r="M461" s="7">
        <f>'1 datos preparados'!L454</f>
        <v/>
      </c>
      <c r="N461" s="7">
        <f>'1 datos preparados'!M454</f>
        <v/>
      </c>
      <c r="O461" s="7">
        <f>'1 datos preparados'!N454</f>
        <v/>
      </c>
      <c r="P461" s="7">
        <f>'1 datos preparados'!O454</f>
        <v/>
      </c>
      <c r="Q461" s="7">
        <f>'1 datos preparados'!P454</f>
        <v/>
      </c>
      <c r="R461" s="7">
        <f>'1 datos preparados'!Q454</f>
        <v/>
      </c>
      <c r="S461" s="7">
        <f>'1 datos preparados'!R454</f>
        <v/>
      </c>
      <c r="T461" s="7">
        <f>'1 datos preparados'!S454</f>
        <v/>
      </c>
      <c r="U461" s="7">
        <f>'1 datos preparados'!T454</f>
        <v/>
      </c>
      <c r="V461" s="8">
        <f>$AE$12+D461*$AE$13+E461*$AE$14+F461*$AE$15+G461*$AE$16+H461*$AE$17+I461*$AE$18+J461*$AE$19+K461*$AE$20+L461*$AE$21+M461*$AE$22+N461*$AE$23+O461*$AE$24+P461*$AE$25+Q461*$AE$26+R461*$AE$27+S461*$AE$28+T461*$AE$29+U461*$AE$30</f>
        <v/>
      </c>
      <c r="W461" s="8">
        <f>1/(1+EXP(-V461))</f>
        <v/>
      </c>
      <c r="X461" s="9">
        <f>-IF(C461=1,LN(W461),LN(1-W461))</f>
        <v/>
      </c>
      <c r="Y461" s="8">
        <f>'1 datos preparados'!V454</f>
        <v/>
      </c>
      <c r="Z461" s="9">
        <f>Y461*X461</f>
        <v/>
      </c>
      <c r="AA461" s="10">
        <f>IF(W461&gt;$AE$33,1,0)</f>
        <v/>
      </c>
      <c r="AB461">
        <f>IF(AA461=C461,1,0)</f>
        <v/>
      </c>
    </row>
    <row r="462">
      <c r="A462">
        <f>'1 datos preparados'!A455</f>
        <v/>
      </c>
      <c r="B462" s="5">
        <f>'1 datos preparados'!U455</f>
        <v/>
      </c>
      <c r="C462">
        <f>'1 datos preparados'!B455</f>
        <v/>
      </c>
      <c r="D462" s="7">
        <f>'1 datos preparados'!C455</f>
        <v/>
      </c>
      <c r="E462" s="7">
        <f>'1 datos preparados'!D455</f>
        <v/>
      </c>
      <c r="F462" s="7">
        <f>'1 datos preparados'!E455</f>
        <v/>
      </c>
      <c r="G462" s="7">
        <f>'1 datos preparados'!F455</f>
        <v/>
      </c>
      <c r="H462" s="7">
        <f>'1 datos preparados'!G455</f>
        <v/>
      </c>
      <c r="I462" s="7">
        <f>'1 datos preparados'!H455</f>
        <v/>
      </c>
      <c r="J462" s="7">
        <f>'1 datos preparados'!I455</f>
        <v/>
      </c>
      <c r="K462" s="7">
        <f>'1 datos preparados'!J455</f>
        <v/>
      </c>
      <c r="L462" s="7">
        <f>'1 datos preparados'!K455</f>
        <v/>
      </c>
      <c r="M462" s="7">
        <f>'1 datos preparados'!L455</f>
        <v/>
      </c>
      <c r="N462" s="7">
        <f>'1 datos preparados'!M455</f>
        <v/>
      </c>
      <c r="O462" s="7">
        <f>'1 datos preparados'!N455</f>
        <v/>
      </c>
      <c r="P462" s="7">
        <f>'1 datos preparados'!O455</f>
        <v/>
      </c>
      <c r="Q462" s="7">
        <f>'1 datos preparados'!P455</f>
        <v/>
      </c>
      <c r="R462" s="7">
        <f>'1 datos preparados'!Q455</f>
        <v/>
      </c>
      <c r="S462" s="7">
        <f>'1 datos preparados'!R455</f>
        <v/>
      </c>
      <c r="T462" s="7">
        <f>'1 datos preparados'!S455</f>
        <v/>
      </c>
      <c r="U462" s="7">
        <f>'1 datos preparados'!T455</f>
        <v/>
      </c>
      <c r="V462" s="8">
        <f>$AE$12+D462*$AE$13+E462*$AE$14+F462*$AE$15+G462*$AE$16+H462*$AE$17+I462*$AE$18+J462*$AE$19+K462*$AE$20+L462*$AE$21+M462*$AE$22+N462*$AE$23+O462*$AE$24+P462*$AE$25+Q462*$AE$26+R462*$AE$27+S462*$AE$28+T462*$AE$29+U462*$AE$30</f>
        <v/>
      </c>
      <c r="W462" s="8">
        <f>1/(1+EXP(-V462))</f>
        <v/>
      </c>
      <c r="X462" s="9">
        <f>-IF(C462=1,LN(W462),LN(1-W462))</f>
        <v/>
      </c>
      <c r="Y462" s="8">
        <f>'1 datos preparados'!V455</f>
        <v/>
      </c>
      <c r="Z462" s="9">
        <f>Y462*X462</f>
        <v/>
      </c>
      <c r="AA462" s="10">
        <f>IF(W462&gt;$AE$33,1,0)</f>
        <v/>
      </c>
      <c r="AB462">
        <f>IF(AA462=C462,1,0)</f>
        <v/>
      </c>
    </row>
    <row r="463">
      <c r="A463">
        <f>'1 datos preparados'!A456</f>
        <v/>
      </c>
      <c r="B463" s="5">
        <f>'1 datos preparados'!U456</f>
        <v/>
      </c>
      <c r="C463">
        <f>'1 datos preparados'!B456</f>
        <v/>
      </c>
      <c r="D463" s="7">
        <f>'1 datos preparados'!C456</f>
        <v/>
      </c>
      <c r="E463" s="7">
        <f>'1 datos preparados'!D456</f>
        <v/>
      </c>
      <c r="F463" s="7">
        <f>'1 datos preparados'!E456</f>
        <v/>
      </c>
      <c r="G463" s="7">
        <f>'1 datos preparados'!F456</f>
        <v/>
      </c>
      <c r="H463" s="7">
        <f>'1 datos preparados'!G456</f>
        <v/>
      </c>
      <c r="I463" s="7">
        <f>'1 datos preparados'!H456</f>
        <v/>
      </c>
      <c r="J463" s="7">
        <f>'1 datos preparados'!I456</f>
        <v/>
      </c>
      <c r="K463" s="7">
        <f>'1 datos preparados'!J456</f>
        <v/>
      </c>
      <c r="L463" s="7">
        <f>'1 datos preparados'!K456</f>
        <v/>
      </c>
      <c r="M463" s="7">
        <f>'1 datos preparados'!L456</f>
        <v/>
      </c>
      <c r="N463" s="7">
        <f>'1 datos preparados'!M456</f>
        <v/>
      </c>
      <c r="O463" s="7">
        <f>'1 datos preparados'!N456</f>
        <v/>
      </c>
      <c r="P463" s="7">
        <f>'1 datos preparados'!O456</f>
        <v/>
      </c>
      <c r="Q463" s="7">
        <f>'1 datos preparados'!P456</f>
        <v/>
      </c>
      <c r="R463" s="7">
        <f>'1 datos preparados'!Q456</f>
        <v/>
      </c>
      <c r="S463" s="7">
        <f>'1 datos preparados'!R456</f>
        <v/>
      </c>
      <c r="T463" s="7">
        <f>'1 datos preparados'!S456</f>
        <v/>
      </c>
      <c r="U463" s="7">
        <f>'1 datos preparados'!T456</f>
        <v/>
      </c>
      <c r="V463" s="8">
        <f>$AE$12+D463*$AE$13+E463*$AE$14+F463*$AE$15+G463*$AE$16+H463*$AE$17+I463*$AE$18+J463*$AE$19+K463*$AE$20+L463*$AE$21+M463*$AE$22+N463*$AE$23+O463*$AE$24+P463*$AE$25+Q463*$AE$26+R463*$AE$27+S463*$AE$28+T463*$AE$29+U463*$AE$30</f>
        <v/>
      </c>
      <c r="W463" s="8">
        <f>1/(1+EXP(-V463))</f>
        <v/>
      </c>
      <c r="X463" s="9">
        <f>-IF(C463=1,LN(W463),LN(1-W463))</f>
        <v/>
      </c>
      <c r="Y463" s="8">
        <f>'1 datos preparados'!V456</f>
        <v/>
      </c>
      <c r="Z463" s="9">
        <f>Y463*X463</f>
        <v/>
      </c>
      <c r="AA463" s="10">
        <f>IF(W463&gt;$AE$33,1,0)</f>
        <v/>
      </c>
      <c r="AB463">
        <f>IF(AA463=C463,1,0)</f>
        <v/>
      </c>
    </row>
    <row r="464">
      <c r="A464">
        <f>'1 datos preparados'!A457</f>
        <v/>
      </c>
      <c r="B464" s="5">
        <f>'1 datos preparados'!U457</f>
        <v/>
      </c>
      <c r="C464">
        <f>'1 datos preparados'!B457</f>
        <v/>
      </c>
      <c r="D464" s="7">
        <f>'1 datos preparados'!C457</f>
        <v/>
      </c>
      <c r="E464" s="7">
        <f>'1 datos preparados'!D457</f>
        <v/>
      </c>
      <c r="F464" s="7">
        <f>'1 datos preparados'!E457</f>
        <v/>
      </c>
      <c r="G464" s="7">
        <f>'1 datos preparados'!F457</f>
        <v/>
      </c>
      <c r="H464" s="7">
        <f>'1 datos preparados'!G457</f>
        <v/>
      </c>
      <c r="I464" s="7">
        <f>'1 datos preparados'!H457</f>
        <v/>
      </c>
      <c r="J464" s="7">
        <f>'1 datos preparados'!I457</f>
        <v/>
      </c>
      <c r="K464" s="7">
        <f>'1 datos preparados'!J457</f>
        <v/>
      </c>
      <c r="L464" s="7">
        <f>'1 datos preparados'!K457</f>
        <v/>
      </c>
      <c r="M464" s="7">
        <f>'1 datos preparados'!L457</f>
        <v/>
      </c>
      <c r="N464" s="7">
        <f>'1 datos preparados'!M457</f>
        <v/>
      </c>
      <c r="O464" s="7">
        <f>'1 datos preparados'!N457</f>
        <v/>
      </c>
      <c r="P464" s="7">
        <f>'1 datos preparados'!O457</f>
        <v/>
      </c>
      <c r="Q464" s="7">
        <f>'1 datos preparados'!P457</f>
        <v/>
      </c>
      <c r="R464" s="7">
        <f>'1 datos preparados'!Q457</f>
        <v/>
      </c>
      <c r="S464" s="7">
        <f>'1 datos preparados'!R457</f>
        <v/>
      </c>
      <c r="T464" s="7">
        <f>'1 datos preparados'!S457</f>
        <v/>
      </c>
      <c r="U464" s="7">
        <f>'1 datos preparados'!T457</f>
        <v/>
      </c>
      <c r="V464" s="8">
        <f>$AE$12+D464*$AE$13+E464*$AE$14+F464*$AE$15+G464*$AE$16+H464*$AE$17+I464*$AE$18+J464*$AE$19+K464*$AE$20+L464*$AE$21+M464*$AE$22+N464*$AE$23+O464*$AE$24+P464*$AE$25+Q464*$AE$26+R464*$AE$27+S464*$AE$28+T464*$AE$29+U464*$AE$30</f>
        <v/>
      </c>
      <c r="W464" s="8">
        <f>1/(1+EXP(-V464))</f>
        <v/>
      </c>
      <c r="X464" s="9">
        <f>-IF(C464=1,LN(W464),LN(1-W464))</f>
        <v/>
      </c>
      <c r="Y464" s="8">
        <f>'1 datos preparados'!V457</f>
        <v/>
      </c>
      <c r="Z464" s="9">
        <f>Y464*X464</f>
        <v/>
      </c>
      <c r="AA464" s="10">
        <f>IF(W464&gt;$AE$33,1,0)</f>
        <v/>
      </c>
      <c r="AB464">
        <f>IF(AA464=C464,1,0)</f>
        <v/>
      </c>
    </row>
    <row r="465">
      <c r="A465">
        <f>'1 datos preparados'!A458</f>
        <v/>
      </c>
      <c r="B465" s="5">
        <f>'1 datos preparados'!U458</f>
        <v/>
      </c>
      <c r="C465">
        <f>'1 datos preparados'!B458</f>
        <v/>
      </c>
      <c r="D465" s="7">
        <f>'1 datos preparados'!C458</f>
        <v/>
      </c>
      <c r="E465" s="7">
        <f>'1 datos preparados'!D458</f>
        <v/>
      </c>
      <c r="F465" s="7">
        <f>'1 datos preparados'!E458</f>
        <v/>
      </c>
      <c r="G465" s="7">
        <f>'1 datos preparados'!F458</f>
        <v/>
      </c>
      <c r="H465" s="7">
        <f>'1 datos preparados'!G458</f>
        <v/>
      </c>
      <c r="I465" s="7">
        <f>'1 datos preparados'!H458</f>
        <v/>
      </c>
      <c r="J465" s="7">
        <f>'1 datos preparados'!I458</f>
        <v/>
      </c>
      <c r="K465" s="7">
        <f>'1 datos preparados'!J458</f>
        <v/>
      </c>
      <c r="L465" s="7">
        <f>'1 datos preparados'!K458</f>
        <v/>
      </c>
      <c r="M465" s="7">
        <f>'1 datos preparados'!L458</f>
        <v/>
      </c>
      <c r="N465" s="7">
        <f>'1 datos preparados'!M458</f>
        <v/>
      </c>
      <c r="O465" s="7">
        <f>'1 datos preparados'!N458</f>
        <v/>
      </c>
      <c r="P465" s="7">
        <f>'1 datos preparados'!O458</f>
        <v/>
      </c>
      <c r="Q465" s="7">
        <f>'1 datos preparados'!P458</f>
        <v/>
      </c>
      <c r="R465" s="7">
        <f>'1 datos preparados'!Q458</f>
        <v/>
      </c>
      <c r="S465" s="7">
        <f>'1 datos preparados'!R458</f>
        <v/>
      </c>
      <c r="T465" s="7">
        <f>'1 datos preparados'!S458</f>
        <v/>
      </c>
      <c r="U465" s="7">
        <f>'1 datos preparados'!T458</f>
        <v/>
      </c>
      <c r="V465" s="8">
        <f>$AE$12+D465*$AE$13+E465*$AE$14+F465*$AE$15+G465*$AE$16+H465*$AE$17+I465*$AE$18+J465*$AE$19+K465*$AE$20+L465*$AE$21+M465*$AE$22+N465*$AE$23+O465*$AE$24+P465*$AE$25+Q465*$AE$26+R465*$AE$27+S465*$AE$28+T465*$AE$29+U465*$AE$30</f>
        <v/>
      </c>
      <c r="W465" s="8">
        <f>1/(1+EXP(-V465))</f>
        <v/>
      </c>
      <c r="X465" s="9">
        <f>-IF(C465=1,LN(W465),LN(1-W465))</f>
        <v/>
      </c>
      <c r="Y465" s="8">
        <f>'1 datos preparados'!V458</f>
        <v/>
      </c>
      <c r="Z465" s="9">
        <f>Y465*X465</f>
        <v/>
      </c>
      <c r="AA465" s="10">
        <f>IF(W465&gt;$AE$33,1,0)</f>
        <v/>
      </c>
      <c r="AB465">
        <f>IF(AA465=C465,1,0)</f>
        <v/>
      </c>
    </row>
    <row r="466">
      <c r="A466">
        <f>'1 datos preparados'!A459</f>
        <v/>
      </c>
      <c r="B466" s="5">
        <f>'1 datos preparados'!U459</f>
        <v/>
      </c>
      <c r="C466">
        <f>'1 datos preparados'!B459</f>
        <v/>
      </c>
      <c r="D466" s="7">
        <f>'1 datos preparados'!C459</f>
        <v/>
      </c>
      <c r="E466" s="7">
        <f>'1 datos preparados'!D459</f>
        <v/>
      </c>
      <c r="F466" s="7">
        <f>'1 datos preparados'!E459</f>
        <v/>
      </c>
      <c r="G466" s="7">
        <f>'1 datos preparados'!F459</f>
        <v/>
      </c>
      <c r="H466" s="7">
        <f>'1 datos preparados'!G459</f>
        <v/>
      </c>
      <c r="I466" s="7">
        <f>'1 datos preparados'!H459</f>
        <v/>
      </c>
      <c r="J466" s="7">
        <f>'1 datos preparados'!I459</f>
        <v/>
      </c>
      <c r="K466" s="7">
        <f>'1 datos preparados'!J459</f>
        <v/>
      </c>
      <c r="L466" s="7">
        <f>'1 datos preparados'!K459</f>
        <v/>
      </c>
      <c r="M466" s="7">
        <f>'1 datos preparados'!L459</f>
        <v/>
      </c>
      <c r="N466" s="7">
        <f>'1 datos preparados'!M459</f>
        <v/>
      </c>
      <c r="O466" s="7">
        <f>'1 datos preparados'!N459</f>
        <v/>
      </c>
      <c r="P466" s="7">
        <f>'1 datos preparados'!O459</f>
        <v/>
      </c>
      <c r="Q466" s="7">
        <f>'1 datos preparados'!P459</f>
        <v/>
      </c>
      <c r="R466" s="7">
        <f>'1 datos preparados'!Q459</f>
        <v/>
      </c>
      <c r="S466" s="7">
        <f>'1 datos preparados'!R459</f>
        <v/>
      </c>
      <c r="T466" s="7">
        <f>'1 datos preparados'!S459</f>
        <v/>
      </c>
      <c r="U466" s="7">
        <f>'1 datos preparados'!T459</f>
        <v/>
      </c>
      <c r="V466" s="8">
        <f>$AE$12+D466*$AE$13+E466*$AE$14+F466*$AE$15+G466*$AE$16+H466*$AE$17+I466*$AE$18+J466*$AE$19+K466*$AE$20+L466*$AE$21+M466*$AE$22+N466*$AE$23+O466*$AE$24+P466*$AE$25+Q466*$AE$26+R466*$AE$27+S466*$AE$28+T466*$AE$29+U466*$AE$30</f>
        <v/>
      </c>
      <c r="W466" s="8">
        <f>1/(1+EXP(-V466))</f>
        <v/>
      </c>
      <c r="X466" s="9">
        <f>-IF(C466=1,LN(W466),LN(1-W466))</f>
        <v/>
      </c>
      <c r="Y466" s="8">
        <f>'1 datos preparados'!V459</f>
        <v/>
      </c>
      <c r="Z466" s="9">
        <f>Y466*X466</f>
        <v/>
      </c>
      <c r="AA466" s="10">
        <f>IF(W466&gt;$AE$33,1,0)</f>
        <v/>
      </c>
      <c r="AB466">
        <f>IF(AA466=C466,1,0)</f>
        <v/>
      </c>
    </row>
    <row r="467">
      <c r="A467">
        <f>'1 datos preparados'!A460</f>
        <v/>
      </c>
      <c r="B467" s="5">
        <f>'1 datos preparados'!U460</f>
        <v/>
      </c>
      <c r="C467">
        <f>'1 datos preparados'!B460</f>
        <v/>
      </c>
      <c r="D467" s="7">
        <f>'1 datos preparados'!C460</f>
        <v/>
      </c>
      <c r="E467" s="7">
        <f>'1 datos preparados'!D460</f>
        <v/>
      </c>
      <c r="F467" s="7">
        <f>'1 datos preparados'!E460</f>
        <v/>
      </c>
      <c r="G467" s="7">
        <f>'1 datos preparados'!F460</f>
        <v/>
      </c>
      <c r="H467" s="7">
        <f>'1 datos preparados'!G460</f>
        <v/>
      </c>
      <c r="I467" s="7">
        <f>'1 datos preparados'!H460</f>
        <v/>
      </c>
      <c r="J467" s="7">
        <f>'1 datos preparados'!I460</f>
        <v/>
      </c>
      <c r="K467" s="7">
        <f>'1 datos preparados'!J460</f>
        <v/>
      </c>
      <c r="L467" s="7">
        <f>'1 datos preparados'!K460</f>
        <v/>
      </c>
      <c r="M467" s="7">
        <f>'1 datos preparados'!L460</f>
        <v/>
      </c>
      <c r="N467" s="7">
        <f>'1 datos preparados'!M460</f>
        <v/>
      </c>
      <c r="O467" s="7">
        <f>'1 datos preparados'!N460</f>
        <v/>
      </c>
      <c r="P467" s="7">
        <f>'1 datos preparados'!O460</f>
        <v/>
      </c>
      <c r="Q467" s="7">
        <f>'1 datos preparados'!P460</f>
        <v/>
      </c>
      <c r="R467" s="7">
        <f>'1 datos preparados'!Q460</f>
        <v/>
      </c>
      <c r="S467" s="7">
        <f>'1 datos preparados'!R460</f>
        <v/>
      </c>
      <c r="T467" s="7">
        <f>'1 datos preparados'!S460</f>
        <v/>
      </c>
      <c r="U467" s="7">
        <f>'1 datos preparados'!T460</f>
        <v/>
      </c>
      <c r="V467" s="8">
        <f>$AE$12+D467*$AE$13+E467*$AE$14+F467*$AE$15+G467*$AE$16+H467*$AE$17+I467*$AE$18+J467*$AE$19+K467*$AE$20+L467*$AE$21+M467*$AE$22+N467*$AE$23+O467*$AE$24+P467*$AE$25+Q467*$AE$26+R467*$AE$27+S467*$AE$28+T467*$AE$29+U467*$AE$30</f>
        <v/>
      </c>
      <c r="W467" s="8">
        <f>1/(1+EXP(-V467))</f>
        <v/>
      </c>
      <c r="X467" s="9">
        <f>-IF(C467=1,LN(W467),LN(1-W467))</f>
        <v/>
      </c>
      <c r="Y467" s="8">
        <f>'1 datos preparados'!V460</f>
        <v/>
      </c>
      <c r="Z467" s="9">
        <f>Y467*X467</f>
        <v/>
      </c>
      <c r="AA467" s="10">
        <f>IF(W467&gt;$AE$33,1,0)</f>
        <v/>
      </c>
      <c r="AB467">
        <f>IF(AA467=C467,1,0)</f>
        <v/>
      </c>
    </row>
    <row r="468">
      <c r="A468">
        <f>'1 datos preparados'!A461</f>
        <v/>
      </c>
      <c r="B468" s="5">
        <f>'1 datos preparados'!U461</f>
        <v/>
      </c>
      <c r="C468">
        <f>'1 datos preparados'!B461</f>
        <v/>
      </c>
      <c r="D468" s="7">
        <f>'1 datos preparados'!C461</f>
        <v/>
      </c>
      <c r="E468" s="7">
        <f>'1 datos preparados'!D461</f>
        <v/>
      </c>
      <c r="F468" s="7">
        <f>'1 datos preparados'!E461</f>
        <v/>
      </c>
      <c r="G468" s="7">
        <f>'1 datos preparados'!F461</f>
        <v/>
      </c>
      <c r="H468" s="7">
        <f>'1 datos preparados'!G461</f>
        <v/>
      </c>
      <c r="I468" s="7">
        <f>'1 datos preparados'!H461</f>
        <v/>
      </c>
      <c r="J468" s="7">
        <f>'1 datos preparados'!I461</f>
        <v/>
      </c>
      <c r="K468" s="7">
        <f>'1 datos preparados'!J461</f>
        <v/>
      </c>
      <c r="L468" s="7">
        <f>'1 datos preparados'!K461</f>
        <v/>
      </c>
      <c r="M468" s="7">
        <f>'1 datos preparados'!L461</f>
        <v/>
      </c>
      <c r="N468" s="7">
        <f>'1 datos preparados'!M461</f>
        <v/>
      </c>
      <c r="O468" s="7">
        <f>'1 datos preparados'!N461</f>
        <v/>
      </c>
      <c r="P468" s="7">
        <f>'1 datos preparados'!O461</f>
        <v/>
      </c>
      <c r="Q468" s="7">
        <f>'1 datos preparados'!P461</f>
        <v/>
      </c>
      <c r="R468" s="7">
        <f>'1 datos preparados'!Q461</f>
        <v/>
      </c>
      <c r="S468" s="7">
        <f>'1 datos preparados'!R461</f>
        <v/>
      </c>
      <c r="T468" s="7">
        <f>'1 datos preparados'!S461</f>
        <v/>
      </c>
      <c r="U468" s="7">
        <f>'1 datos preparados'!T461</f>
        <v/>
      </c>
      <c r="V468" s="8">
        <f>$AE$12+D468*$AE$13+E468*$AE$14+F468*$AE$15+G468*$AE$16+H468*$AE$17+I468*$AE$18+J468*$AE$19+K468*$AE$20+L468*$AE$21+M468*$AE$22+N468*$AE$23+O468*$AE$24+P468*$AE$25+Q468*$AE$26+R468*$AE$27+S468*$AE$28+T468*$AE$29+U468*$AE$30</f>
        <v/>
      </c>
      <c r="W468" s="8">
        <f>1/(1+EXP(-V468))</f>
        <v/>
      </c>
      <c r="X468" s="9">
        <f>-IF(C468=1,LN(W468),LN(1-W468))</f>
        <v/>
      </c>
      <c r="Y468" s="8">
        <f>'1 datos preparados'!V461</f>
        <v/>
      </c>
      <c r="Z468" s="9">
        <f>Y468*X468</f>
        <v/>
      </c>
      <c r="AA468" s="10">
        <f>IF(W468&gt;$AE$33,1,0)</f>
        <v/>
      </c>
      <c r="AB468">
        <f>IF(AA468=C468,1,0)</f>
        <v/>
      </c>
    </row>
    <row r="469">
      <c r="A469">
        <f>'1 datos preparados'!A462</f>
        <v/>
      </c>
      <c r="B469" s="5">
        <f>'1 datos preparados'!U462</f>
        <v/>
      </c>
      <c r="C469">
        <f>'1 datos preparados'!B462</f>
        <v/>
      </c>
      <c r="D469" s="7">
        <f>'1 datos preparados'!C462</f>
        <v/>
      </c>
      <c r="E469" s="7">
        <f>'1 datos preparados'!D462</f>
        <v/>
      </c>
      <c r="F469" s="7">
        <f>'1 datos preparados'!E462</f>
        <v/>
      </c>
      <c r="G469" s="7">
        <f>'1 datos preparados'!F462</f>
        <v/>
      </c>
      <c r="H469" s="7">
        <f>'1 datos preparados'!G462</f>
        <v/>
      </c>
      <c r="I469" s="7">
        <f>'1 datos preparados'!H462</f>
        <v/>
      </c>
      <c r="J469" s="7">
        <f>'1 datos preparados'!I462</f>
        <v/>
      </c>
      <c r="K469" s="7">
        <f>'1 datos preparados'!J462</f>
        <v/>
      </c>
      <c r="L469" s="7">
        <f>'1 datos preparados'!K462</f>
        <v/>
      </c>
      <c r="M469" s="7">
        <f>'1 datos preparados'!L462</f>
        <v/>
      </c>
      <c r="N469" s="7">
        <f>'1 datos preparados'!M462</f>
        <v/>
      </c>
      <c r="O469" s="7">
        <f>'1 datos preparados'!N462</f>
        <v/>
      </c>
      <c r="P469" s="7">
        <f>'1 datos preparados'!O462</f>
        <v/>
      </c>
      <c r="Q469" s="7">
        <f>'1 datos preparados'!P462</f>
        <v/>
      </c>
      <c r="R469" s="7">
        <f>'1 datos preparados'!Q462</f>
        <v/>
      </c>
      <c r="S469" s="7">
        <f>'1 datos preparados'!R462</f>
        <v/>
      </c>
      <c r="T469" s="7">
        <f>'1 datos preparados'!S462</f>
        <v/>
      </c>
      <c r="U469" s="7">
        <f>'1 datos preparados'!T462</f>
        <v/>
      </c>
      <c r="V469" s="8">
        <f>$AE$12+D469*$AE$13+E469*$AE$14+F469*$AE$15+G469*$AE$16+H469*$AE$17+I469*$AE$18+J469*$AE$19+K469*$AE$20+L469*$AE$21+M469*$AE$22+N469*$AE$23+O469*$AE$24+P469*$AE$25+Q469*$AE$26+R469*$AE$27+S469*$AE$28+T469*$AE$29+U469*$AE$30</f>
        <v/>
      </c>
      <c r="W469" s="8">
        <f>1/(1+EXP(-V469))</f>
        <v/>
      </c>
      <c r="X469" s="9">
        <f>-IF(C469=1,LN(W469),LN(1-W469))</f>
        <v/>
      </c>
      <c r="Y469" s="8">
        <f>'1 datos preparados'!V462</f>
        <v/>
      </c>
      <c r="Z469" s="9">
        <f>Y469*X469</f>
        <v/>
      </c>
      <c r="AA469" s="10">
        <f>IF(W469&gt;$AE$33,1,0)</f>
        <v/>
      </c>
      <c r="AB469">
        <f>IF(AA469=C469,1,0)</f>
        <v/>
      </c>
    </row>
    <row r="470">
      <c r="A470">
        <f>'1 datos preparados'!A463</f>
        <v/>
      </c>
      <c r="B470" s="5">
        <f>'1 datos preparados'!U463</f>
        <v/>
      </c>
      <c r="C470">
        <f>'1 datos preparados'!B463</f>
        <v/>
      </c>
      <c r="D470" s="7">
        <f>'1 datos preparados'!C463</f>
        <v/>
      </c>
      <c r="E470" s="7">
        <f>'1 datos preparados'!D463</f>
        <v/>
      </c>
      <c r="F470" s="7">
        <f>'1 datos preparados'!E463</f>
        <v/>
      </c>
      <c r="G470" s="7">
        <f>'1 datos preparados'!F463</f>
        <v/>
      </c>
      <c r="H470" s="7">
        <f>'1 datos preparados'!G463</f>
        <v/>
      </c>
      <c r="I470" s="7">
        <f>'1 datos preparados'!H463</f>
        <v/>
      </c>
      <c r="J470" s="7">
        <f>'1 datos preparados'!I463</f>
        <v/>
      </c>
      <c r="K470" s="7">
        <f>'1 datos preparados'!J463</f>
        <v/>
      </c>
      <c r="L470" s="7">
        <f>'1 datos preparados'!K463</f>
        <v/>
      </c>
      <c r="M470" s="7">
        <f>'1 datos preparados'!L463</f>
        <v/>
      </c>
      <c r="N470" s="7">
        <f>'1 datos preparados'!M463</f>
        <v/>
      </c>
      <c r="O470" s="7">
        <f>'1 datos preparados'!N463</f>
        <v/>
      </c>
      <c r="P470" s="7">
        <f>'1 datos preparados'!O463</f>
        <v/>
      </c>
      <c r="Q470" s="7">
        <f>'1 datos preparados'!P463</f>
        <v/>
      </c>
      <c r="R470" s="7">
        <f>'1 datos preparados'!Q463</f>
        <v/>
      </c>
      <c r="S470" s="7">
        <f>'1 datos preparados'!R463</f>
        <v/>
      </c>
      <c r="T470" s="7">
        <f>'1 datos preparados'!S463</f>
        <v/>
      </c>
      <c r="U470" s="7">
        <f>'1 datos preparados'!T463</f>
        <v/>
      </c>
      <c r="V470" s="8">
        <f>$AE$12+D470*$AE$13+E470*$AE$14+F470*$AE$15+G470*$AE$16+H470*$AE$17+I470*$AE$18+J470*$AE$19+K470*$AE$20+L470*$AE$21+M470*$AE$22+N470*$AE$23+O470*$AE$24+P470*$AE$25+Q470*$AE$26+R470*$AE$27+S470*$AE$28+T470*$AE$29+U470*$AE$30</f>
        <v/>
      </c>
      <c r="W470" s="8">
        <f>1/(1+EXP(-V470))</f>
        <v/>
      </c>
      <c r="X470" s="9">
        <f>-IF(C470=1,LN(W470),LN(1-W470))</f>
        <v/>
      </c>
      <c r="Y470" s="8">
        <f>'1 datos preparados'!V463</f>
        <v/>
      </c>
      <c r="Z470" s="9">
        <f>Y470*X470</f>
        <v/>
      </c>
      <c r="AA470" s="10">
        <f>IF(W470&gt;$AE$33,1,0)</f>
        <v/>
      </c>
      <c r="AB470">
        <f>IF(AA470=C470,1,0)</f>
        <v/>
      </c>
    </row>
    <row r="471">
      <c r="A471">
        <f>'1 datos preparados'!A464</f>
        <v/>
      </c>
      <c r="B471" s="5">
        <f>'1 datos preparados'!U464</f>
        <v/>
      </c>
      <c r="C471">
        <f>'1 datos preparados'!B464</f>
        <v/>
      </c>
      <c r="D471" s="7">
        <f>'1 datos preparados'!C464</f>
        <v/>
      </c>
      <c r="E471" s="7">
        <f>'1 datos preparados'!D464</f>
        <v/>
      </c>
      <c r="F471" s="7">
        <f>'1 datos preparados'!E464</f>
        <v/>
      </c>
      <c r="G471" s="7">
        <f>'1 datos preparados'!F464</f>
        <v/>
      </c>
      <c r="H471" s="7">
        <f>'1 datos preparados'!G464</f>
        <v/>
      </c>
      <c r="I471" s="7">
        <f>'1 datos preparados'!H464</f>
        <v/>
      </c>
      <c r="J471" s="7">
        <f>'1 datos preparados'!I464</f>
        <v/>
      </c>
      <c r="K471" s="7">
        <f>'1 datos preparados'!J464</f>
        <v/>
      </c>
      <c r="L471" s="7">
        <f>'1 datos preparados'!K464</f>
        <v/>
      </c>
      <c r="M471" s="7">
        <f>'1 datos preparados'!L464</f>
        <v/>
      </c>
      <c r="N471" s="7">
        <f>'1 datos preparados'!M464</f>
        <v/>
      </c>
      <c r="O471" s="7">
        <f>'1 datos preparados'!N464</f>
        <v/>
      </c>
      <c r="P471" s="7">
        <f>'1 datos preparados'!O464</f>
        <v/>
      </c>
      <c r="Q471" s="7">
        <f>'1 datos preparados'!P464</f>
        <v/>
      </c>
      <c r="R471" s="7">
        <f>'1 datos preparados'!Q464</f>
        <v/>
      </c>
      <c r="S471" s="7">
        <f>'1 datos preparados'!R464</f>
        <v/>
      </c>
      <c r="T471" s="7">
        <f>'1 datos preparados'!S464</f>
        <v/>
      </c>
      <c r="U471" s="7">
        <f>'1 datos preparados'!T464</f>
        <v/>
      </c>
      <c r="V471" s="8">
        <f>$AE$12+D471*$AE$13+E471*$AE$14+F471*$AE$15+G471*$AE$16+H471*$AE$17+I471*$AE$18+J471*$AE$19+K471*$AE$20+L471*$AE$21+M471*$AE$22+N471*$AE$23+O471*$AE$24+P471*$AE$25+Q471*$AE$26+R471*$AE$27+S471*$AE$28+T471*$AE$29+U471*$AE$30</f>
        <v/>
      </c>
      <c r="W471" s="8">
        <f>1/(1+EXP(-V471))</f>
        <v/>
      </c>
      <c r="X471" s="9">
        <f>-IF(C471=1,LN(W471),LN(1-W471))</f>
        <v/>
      </c>
      <c r="Y471" s="8">
        <f>'1 datos preparados'!V464</f>
        <v/>
      </c>
      <c r="Z471" s="9">
        <f>Y471*X471</f>
        <v/>
      </c>
      <c r="AA471" s="10">
        <f>IF(W471&gt;$AE$33,1,0)</f>
        <v/>
      </c>
      <c r="AB471">
        <f>IF(AA471=C471,1,0)</f>
        <v/>
      </c>
    </row>
    <row r="472">
      <c r="A472">
        <f>'1 datos preparados'!A465</f>
        <v/>
      </c>
      <c r="B472" s="5">
        <f>'1 datos preparados'!U465</f>
        <v/>
      </c>
      <c r="C472">
        <f>'1 datos preparados'!B465</f>
        <v/>
      </c>
      <c r="D472" s="7">
        <f>'1 datos preparados'!C465</f>
        <v/>
      </c>
      <c r="E472" s="7">
        <f>'1 datos preparados'!D465</f>
        <v/>
      </c>
      <c r="F472" s="7">
        <f>'1 datos preparados'!E465</f>
        <v/>
      </c>
      <c r="G472" s="7">
        <f>'1 datos preparados'!F465</f>
        <v/>
      </c>
      <c r="H472" s="7">
        <f>'1 datos preparados'!G465</f>
        <v/>
      </c>
      <c r="I472" s="7">
        <f>'1 datos preparados'!H465</f>
        <v/>
      </c>
      <c r="J472" s="7">
        <f>'1 datos preparados'!I465</f>
        <v/>
      </c>
      <c r="K472" s="7">
        <f>'1 datos preparados'!J465</f>
        <v/>
      </c>
      <c r="L472" s="7">
        <f>'1 datos preparados'!K465</f>
        <v/>
      </c>
      <c r="M472" s="7">
        <f>'1 datos preparados'!L465</f>
        <v/>
      </c>
      <c r="N472" s="7">
        <f>'1 datos preparados'!M465</f>
        <v/>
      </c>
      <c r="O472" s="7">
        <f>'1 datos preparados'!N465</f>
        <v/>
      </c>
      <c r="P472" s="7">
        <f>'1 datos preparados'!O465</f>
        <v/>
      </c>
      <c r="Q472" s="7">
        <f>'1 datos preparados'!P465</f>
        <v/>
      </c>
      <c r="R472" s="7">
        <f>'1 datos preparados'!Q465</f>
        <v/>
      </c>
      <c r="S472" s="7">
        <f>'1 datos preparados'!R465</f>
        <v/>
      </c>
      <c r="T472" s="7">
        <f>'1 datos preparados'!S465</f>
        <v/>
      </c>
      <c r="U472" s="7">
        <f>'1 datos preparados'!T465</f>
        <v/>
      </c>
      <c r="V472" s="8">
        <f>$AE$12+D472*$AE$13+E472*$AE$14+F472*$AE$15+G472*$AE$16+H472*$AE$17+I472*$AE$18+J472*$AE$19+K472*$AE$20+L472*$AE$21+M472*$AE$22+N472*$AE$23+O472*$AE$24+P472*$AE$25+Q472*$AE$26+R472*$AE$27+S472*$AE$28+T472*$AE$29+U472*$AE$30</f>
        <v/>
      </c>
      <c r="W472" s="8">
        <f>1/(1+EXP(-V472))</f>
        <v/>
      </c>
      <c r="X472" s="9">
        <f>-IF(C472=1,LN(W472),LN(1-W472))</f>
        <v/>
      </c>
      <c r="Y472" s="8">
        <f>'1 datos preparados'!V465</f>
        <v/>
      </c>
      <c r="Z472" s="9">
        <f>Y472*X472</f>
        <v/>
      </c>
      <c r="AA472" s="10">
        <f>IF(W472&gt;$AE$33,1,0)</f>
        <v/>
      </c>
      <c r="AB472">
        <f>IF(AA472=C472,1,0)</f>
        <v/>
      </c>
    </row>
    <row r="473">
      <c r="A473">
        <f>'1 datos preparados'!A466</f>
        <v/>
      </c>
      <c r="B473" s="5">
        <f>'1 datos preparados'!U466</f>
        <v/>
      </c>
      <c r="C473">
        <f>'1 datos preparados'!B466</f>
        <v/>
      </c>
      <c r="D473" s="7">
        <f>'1 datos preparados'!C466</f>
        <v/>
      </c>
      <c r="E473" s="7">
        <f>'1 datos preparados'!D466</f>
        <v/>
      </c>
      <c r="F473" s="7">
        <f>'1 datos preparados'!E466</f>
        <v/>
      </c>
      <c r="G473" s="7">
        <f>'1 datos preparados'!F466</f>
        <v/>
      </c>
      <c r="H473" s="7">
        <f>'1 datos preparados'!G466</f>
        <v/>
      </c>
      <c r="I473" s="7">
        <f>'1 datos preparados'!H466</f>
        <v/>
      </c>
      <c r="J473" s="7">
        <f>'1 datos preparados'!I466</f>
        <v/>
      </c>
      <c r="K473" s="7">
        <f>'1 datos preparados'!J466</f>
        <v/>
      </c>
      <c r="L473" s="7">
        <f>'1 datos preparados'!K466</f>
        <v/>
      </c>
      <c r="M473" s="7">
        <f>'1 datos preparados'!L466</f>
        <v/>
      </c>
      <c r="N473" s="7">
        <f>'1 datos preparados'!M466</f>
        <v/>
      </c>
      <c r="O473" s="7">
        <f>'1 datos preparados'!N466</f>
        <v/>
      </c>
      <c r="P473" s="7">
        <f>'1 datos preparados'!O466</f>
        <v/>
      </c>
      <c r="Q473" s="7">
        <f>'1 datos preparados'!P466</f>
        <v/>
      </c>
      <c r="R473" s="7">
        <f>'1 datos preparados'!Q466</f>
        <v/>
      </c>
      <c r="S473" s="7">
        <f>'1 datos preparados'!R466</f>
        <v/>
      </c>
      <c r="T473" s="7">
        <f>'1 datos preparados'!S466</f>
        <v/>
      </c>
      <c r="U473" s="7">
        <f>'1 datos preparados'!T466</f>
        <v/>
      </c>
      <c r="V473" s="8">
        <f>$AE$12+D473*$AE$13+E473*$AE$14+F473*$AE$15+G473*$AE$16+H473*$AE$17+I473*$AE$18+J473*$AE$19+K473*$AE$20+L473*$AE$21+M473*$AE$22+N473*$AE$23+O473*$AE$24+P473*$AE$25+Q473*$AE$26+R473*$AE$27+S473*$AE$28+T473*$AE$29+U473*$AE$30</f>
        <v/>
      </c>
      <c r="W473" s="8">
        <f>1/(1+EXP(-V473))</f>
        <v/>
      </c>
      <c r="X473" s="9">
        <f>-IF(C473=1,LN(W473),LN(1-W473))</f>
        <v/>
      </c>
      <c r="Y473" s="8">
        <f>'1 datos preparados'!V466</f>
        <v/>
      </c>
      <c r="Z473" s="9">
        <f>Y473*X473</f>
        <v/>
      </c>
      <c r="AA473" s="10">
        <f>IF(W473&gt;$AE$33,1,0)</f>
        <v/>
      </c>
      <c r="AB473">
        <f>IF(AA473=C473,1,0)</f>
        <v/>
      </c>
    </row>
    <row r="474">
      <c r="A474">
        <f>'1 datos preparados'!A467</f>
        <v/>
      </c>
      <c r="B474" s="5">
        <f>'1 datos preparados'!U467</f>
        <v/>
      </c>
      <c r="C474">
        <f>'1 datos preparados'!B467</f>
        <v/>
      </c>
      <c r="D474" s="7">
        <f>'1 datos preparados'!C467</f>
        <v/>
      </c>
      <c r="E474" s="7">
        <f>'1 datos preparados'!D467</f>
        <v/>
      </c>
      <c r="F474" s="7">
        <f>'1 datos preparados'!E467</f>
        <v/>
      </c>
      <c r="G474" s="7">
        <f>'1 datos preparados'!F467</f>
        <v/>
      </c>
      <c r="H474" s="7">
        <f>'1 datos preparados'!G467</f>
        <v/>
      </c>
      <c r="I474" s="7">
        <f>'1 datos preparados'!H467</f>
        <v/>
      </c>
      <c r="J474" s="7">
        <f>'1 datos preparados'!I467</f>
        <v/>
      </c>
      <c r="K474" s="7">
        <f>'1 datos preparados'!J467</f>
        <v/>
      </c>
      <c r="L474" s="7">
        <f>'1 datos preparados'!K467</f>
        <v/>
      </c>
      <c r="M474" s="7">
        <f>'1 datos preparados'!L467</f>
        <v/>
      </c>
      <c r="N474" s="7">
        <f>'1 datos preparados'!M467</f>
        <v/>
      </c>
      <c r="O474" s="7">
        <f>'1 datos preparados'!N467</f>
        <v/>
      </c>
      <c r="P474" s="7">
        <f>'1 datos preparados'!O467</f>
        <v/>
      </c>
      <c r="Q474" s="7">
        <f>'1 datos preparados'!P467</f>
        <v/>
      </c>
      <c r="R474" s="7">
        <f>'1 datos preparados'!Q467</f>
        <v/>
      </c>
      <c r="S474" s="7">
        <f>'1 datos preparados'!R467</f>
        <v/>
      </c>
      <c r="T474" s="7">
        <f>'1 datos preparados'!S467</f>
        <v/>
      </c>
      <c r="U474" s="7">
        <f>'1 datos preparados'!T467</f>
        <v/>
      </c>
      <c r="V474" s="8">
        <f>$AE$12+D474*$AE$13+E474*$AE$14+F474*$AE$15+G474*$AE$16+H474*$AE$17+I474*$AE$18+J474*$AE$19+K474*$AE$20+L474*$AE$21+M474*$AE$22+N474*$AE$23+O474*$AE$24+P474*$AE$25+Q474*$AE$26+R474*$AE$27+S474*$AE$28+T474*$AE$29+U474*$AE$30</f>
        <v/>
      </c>
      <c r="W474" s="8">
        <f>1/(1+EXP(-V474))</f>
        <v/>
      </c>
      <c r="X474" s="9">
        <f>-IF(C474=1,LN(W474),LN(1-W474))</f>
        <v/>
      </c>
      <c r="Y474" s="8">
        <f>'1 datos preparados'!V467</f>
        <v/>
      </c>
      <c r="Z474" s="9">
        <f>Y474*X474</f>
        <v/>
      </c>
      <c r="AA474" s="10">
        <f>IF(W474&gt;$AE$33,1,0)</f>
        <v/>
      </c>
      <c r="AB474">
        <f>IF(AA474=C474,1,0)</f>
        <v/>
      </c>
    </row>
    <row r="475">
      <c r="A475">
        <f>'1 datos preparados'!A468</f>
        <v/>
      </c>
      <c r="B475" s="5">
        <f>'1 datos preparados'!U468</f>
        <v/>
      </c>
      <c r="C475">
        <f>'1 datos preparados'!B468</f>
        <v/>
      </c>
      <c r="D475" s="7">
        <f>'1 datos preparados'!C468</f>
        <v/>
      </c>
      <c r="E475" s="7">
        <f>'1 datos preparados'!D468</f>
        <v/>
      </c>
      <c r="F475" s="7">
        <f>'1 datos preparados'!E468</f>
        <v/>
      </c>
      <c r="G475" s="7">
        <f>'1 datos preparados'!F468</f>
        <v/>
      </c>
      <c r="H475" s="7">
        <f>'1 datos preparados'!G468</f>
        <v/>
      </c>
      <c r="I475" s="7">
        <f>'1 datos preparados'!H468</f>
        <v/>
      </c>
      <c r="J475" s="7">
        <f>'1 datos preparados'!I468</f>
        <v/>
      </c>
      <c r="K475" s="7">
        <f>'1 datos preparados'!J468</f>
        <v/>
      </c>
      <c r="L475" s="7">
        <f>'1 datos preparados'!K468</f>
        <v/>
      </c>
      <c r="M475" s="7">
        <f>'1 datos preparados'!L468</f>
        <v/>
      </c>
      <c r="N475" s="7">
        <f>'1 datos preparados'!M468</f>
        <v/>
      </c>
      <c r="O475" s="7">
        <f>'1 datos preparados'!N468</f>
        <v/>
      </c>
      <c r="P475" s="7">
        <f>'1 datos preparados'!O468</f>
        <v/>
      </c>
      <c r="Q475" s="7">
        <f>'1 datos preparados'!P468</f>
        <v/>
      </c>
      <c r="R475" s="7">
        <f>'1 datos preparados'!Q468</f>
        <v/>
      </c>
      <c r="S475" s="7">
        <f>'1 datos preparados'!R468</f>
        <v/>
      </c>
      <c r="T475" s="7">
        <f>'1 datos preparados'!S468</f>
        <v/>
      </c>
      <c r="U475" s="7">
        <f>'1 datos preparados'!T468</f>
        <v/>
      </c>
      <c r="V475" s="8">
        <f>$AE$12+D475*$AE$13+E475*$AE$14+F475*$AE$15+G475*$AE$16+H475*$AE$17+I475*$AE$18+J475*$AE$19+K475*$AE$20+L475*$AE$21+M475*$AE$22+N475*$AE$23+O475*$AE$24+P475*$AE$25+Q475*$AE$26+R475*$AE$27+S475*$AE$28+T475*$AE$29+U475*$AE$30</f>
        <v/>
      </c>
      <c r="W475" s="8">
        <f>1/(1+EXP(-V475))</f>
        <v/>
      </c>
      <c r="X475" s="9">
        <f>-IF(C475=1,LN(W475),LN(1-W475))</f>
        <v/>
      </c>
      <c r="Y475" s="8">
        <f>'1 datos preparados'!V468</f>
        <v/>
      </c>
      <c r="Z475" s="9">
        <f>Y475*X475</f>
        <v/>
      </c>
      <c r="AA475" s="10">
        <f>IF(W475&gt;$AE$33,1,0)</f>
        <v/>
      </c>
      <c r="AB475">
        <f>IF(AA475=C475,1,0)</f>
        <v/>
      </c>
    </row>
    <row r="476">
      <c r="A476">
        <f>'1 datos preparados'!A469</f>
        <v/>
      </c>
      <c r="B476" s="5">
        <f>'1 datos preparados'!U469</f>
        <v/>
      </c>
      <c r="C476">
        <f>'1 datos preparados'!B469</f>
        <v/>
      </c>
      <c r="D476" s="7">
        <f>'1 datos preparados'!C469</f>
        <v/>
      </c>
      <c r="E476" s="7">
        <f>'1 datos preparados'!D469</f>
        <v/>
      </c>
      <c r="F476" s="7">
        <f>'1 datos preparados'!E469</f>
        <v/>
      </c>
      <c r="G476" s="7">
        <f>'1 datos preparados'!F469</f>
        <v/>
      </c>
      <c r="H476" s="7">
        <f>'1 datos preparados'!G469</f>
        <v/>
      </c>
      <c r="I476" s="7">
        <f>'1 datos preparados'!H469</f>
        <v/>
      </c>
      <c r="J476" s="7">
        <f>'1 datos preparados'!I469</f>
        <v/>
      </c>
      <c r="K476" s="7">
        <f>'1 datos preparados'!J469</f>
        <v/>
      </c>
      <c r="L476" s="7">
        <f>'1 datos preparados'!K469</f>
        <v/>
      </c>
      <c r="M476" s="7">
        <f>'1 datos preparados'!L469</f>
        <v/>
      </c>
      <c r="N476" s="7">
        <f>'1 datos preparados'!M469</f>
        <v/>
      </c>
      <c r="O476" s="7">
        <f>'1 datos preparados'!N469</f>
        <v/>
      </c>
      <c r="P476" s="7">
        <f>'1 datos preparados'!O469</f>
        <v/>
      </c>
      <c r="Q476" s="7">
        <f>'1 datos preparados'!P469</f>
        <v/>
      </c>
      <c r="R476" s="7">
        <f>'1 datos preparados'!Q469</f>
        <v/>
      </c>
      <c r="S476" s="7">
        <f>'1 datos preparados'!R469</f>
        <v/>
      </c>
      <c r="T476" s="7">
        <f>'1 datos preparados'!S469</f>
        <v/>
      </c>
      <c r="U476" s="7">
        <f>'1 datos preparados'!T469</f>
        <v/>
      </c>
      <c r="V476" s="8">
        <f>$AE$12+D476*$AE$13+E476*$AE$14+F476*$AE$15+G476*$AE$16+H476*$AE$17+I476*$AE$18+J476*$AE$19+K476*$AE$20+L476*$AE$21+M476*$AE$22+N476*$AE$23+O476*$AE$24+P476*$AE$25+Q476*$AE$26+R476*$AE$27+S476*$AE$28+T476*$AE$29+U476*$AE$30</f>
        <v/>
      </c>
      <c r="W476" s="8">
        <f>1/(1+EXP(-V476))</f>
        <v/>
      </c>
      <c r="X476" s="9">
        <f>-IF(C476=1,LN(W476),LN(1-W476))</f>
        <v/>
      </c>
      <c r="Y476" s="8">
        <f>'1 datos preparados'!V469</f>
        <v/>
      </c>
      <c r="Z476" s="9">
        <f>Y476*X476</f>
        <v/>
      </c>
      <c r="AA476" s="10">
        <f>IF(W476&gt;$AE$33,1,0)</f>
        <v/>
      </c>
      <c r="AB476">
        <f>IF(AA476=C476,1,0)</f>
        <v/>
      </c>
    </row>
    <row r="477">
      <c r="A477">
        <f>'1 datos preparados'!A470</f>
        <v/>
      </c>
      <c r="B477" s="5">
        <f>'1 datos preparados'!U470</f>
        <v/>
      </c>
      <c r="C477">
        <f>'1 datos preparados'!B470</f>
        <v/>
      </c>
      <c r="D477" s="7">
        <f>'1 datos preparados'!C470</f>
        <v/>
      </c>
      <c r="E477" s="7">
        <f>'1 datos preparados'!D470</f>
        <v/>
      </c>
      <c r="F477" s="7">
        <f>'1 datos preparados'!E470</f>
        <v/>
      </c>
      <c r="G477" s="7">
        <f>'1 datos preparados'!F470</f>
        <v/>
      </c>
      <c r="H477" s="7">
        <f>'1 datos preparados'!G470</f>
        <v/>
      </c>
      <c r="I477" s="7">
        <f>'1 datos preparados'!H470</f>
        <v/>
      </c>
      <c r="J477" s="7">
        <f>'1 datos preparados'!I470</f>
        <v/>
      </c>
      <c r="K477" s="7">
        <f>'1 datos preparados'!J470</f>
        <v/>
      </c>
      <c r="L477" s="7">
        <f>'1 datos preparados'!K470</f>
        <v/>
      </c>
      <c r="M477" s="7">
        <f>'1 datos preparados'!L470</f>
        <v/>
      </c>
      <c r="N477" s="7">
        <f>'1 datos preparados'!M470</f>
        <v/>
      </c>
      <c r="O477" s="7">
        <f>'1 datos preparados'!N470</f>
        <v/>
      </c>
      <c r="P477" s="7">
        <f>'1 datos preparados'!O470</f>
        <v/>
      </c>
      <c r="Q477" s="7">
        <f>'1 datos preparados'!P470</f>
        <v/>
      </c>
      <c r="R477" s="7">
        <f>'1 datos preparados'!Q470</f>
        <v/>
      </c>
      <c r="S477" s="7">
        <f>'1 datos preparados'!R470</f>
        <v/>
      </c>
      <c r="T477" s="7">
        <f>'1 datos preparados'!S470</f>
        <v/>
      </c>
      <c r="U477" s="7">
        <f>'1 datos preparados'!T470</f>
        <v/>
      </c>
      <c r="V477" s="8">
        <f>$AE$12+D477*$AE$13+E477*$AE$14+F477*$AE$15+G477*$AE$16+H477*$AE$17+I477*$AE$18+J477*$AE$19+K477*$AE$20+L477*$AE$21+M477*$AE$22+N477*$AE$23+O477*$AE$24+P477*$AE$25+Q477*$AE$26+R477*$AE$27+S477*$AE$28+T477*$AE$29+U477*$AE$30</f>
        <v/>
      </c>
      <c r="W477" s="8">
        <f>1/(1+EXP(-V477))</f>
        <v/>
      </c>
      <c r="X477" s="9">
        <f>-IF(C477=1,LN(W477),LN(1-W477))</f>
        <v/>
      </c>
      <c r="Y477" s="8">
        <f>'1 datos preparados'!V470</f>
        <v/>
      </c>
      <c r="Z477" s="9">
        <f>Y477*X477</f>
        <v/>
      </c>
      <c r="AA477" s="10">
        <f>IF(W477&gt;$AE$33,1,0)</f>
        <v/>
      </c>
      <c r="AB477">
        <f>IF(AA477=C477,1,0)</f>
        <v/>
      </c>
    </row>
    <row r="478">
      <c r="A478">
        <f>'1 datos preparados'!A471</f>
        <v/>
      </c>
      <c r="B478" s="5">
        <f>'1 datos preparados'!U471</f>
        <v/>
      </c>
      <c r="C478">
        <f>'1 datos preparados'!B471</f>
        <v/>
      </c>
      <c r="D478" s="7">
        <f>'1 datos preparados'!C471</f>
        <v/>
      </c>
      <c r="E478" s="7">
        <f>'1 datos preparados'!D471</f>
        <v/>
      </c>
      <c r="F478" s="7">
        <f>'1 datos preparados'!E471</f>
        <v/>
      </c>
      <c r="G478" s="7">
        <f>'1 datos preparados'!F471</f>
        <v/>
      </c>
      <c r="H478" s="7">
        <f>'1 datos preparados'!G471</f>
        <v/>
      </c>
      <c r="I478" s="7">
        <f>'1 datos preparados'!H471</f>
        <v/>
      </c>
      <c r="J478" s="7">
        <f>'1 datos preparados'!I471</f>
        <v/>
      </c>
      <c r="K478" s="7">
        <f>'1 datos preparados'!J471</f>
        <v/>
      </c>
      <c r="L478" s="7">
        <f>'1 datos preparados'!K471</f>
        <v/>
      </c>
      <c r="M478" s="7">
        <f>'1 datos preparados'!L471</f>
        <v/>
      </c>
      <c r="N478" s="7">
        <f>'1 datos preparados'!M471</f>
        <v/>
      </c>
      <c r="O478" s="7">
        <f>'1 datos preparados'!N471</f>
        <v/>
      </c>
      <c r="P478" s="7">
        <f>'1 datos preparados'!O471</f>
        <v/>
      </c>
      <c r="Q478" s="7">
        <f>'1 datos preparados'!P471</f>
        <v/>
      </c>
      <c r="R478" s="7">
        <f>'1 datos preparados'!Q471</f>
        <v/>
      </c>
      <c r="S478" s="7">
        <f>'1 datos preparados'!R471</f>
        <v/>
      </c>
      <c r="T478" s="7">
        <f>'1 datos preparados'!S471</f>
        <v/>
      </c>
      <c r="U478" s="7">
        <f>'1 datos preparados'!T471</f>
        <v/>
      </c>
      <c r="V478" s="8">
        <f>$AE$12+D478*$AE$13+E478*$AE$14+F478*$AE$15+G478*$AE$16+H478*$AE$17+I478*$AE$18+J478*$AE$19+K478*$AE$20+L478*$AE$21+M478*$AE$22+N478*$AE$23+O478*$AE$24+P478*$AE$25+Q478*$AE$26+R478*$AE$27+S478*$AE$28+T478*$AE$29+U478*$AE$30</f>
        <v/>
      </c>
      <c r="W478" s="8">
        <f>1/(1+EXP(-V478))</f>
        <v/>
      </c>
      <c r="X478" s="9">
        <f>-IF(C478=1,LN(W478),LN(1-W478))</f>
        <v/>
      </c>
      <c r="Y478" s="8">
        <f>'1 datos preparados'!V471</f>
        <v/>
      </c>
      <c r="Z478" s="9">
        <f>Y478*X478</f>
        <v/>
      </c>
      <c r="AA478" s="10">
        <f>IF(W478&gt;$AE$33,1,0)</f>
        <v/>
      </c>
      <c r="AB478">
        <f>IF(AA478=C478,1,0)</f>
        <v/>
      </c>
    </row>
    <row r="479">
      <c r="A479">
        <f>'1 datos preparados'!A472</f>
        <v/>
      </c>
      <c r="B479" s="5">
        <f>'1 datos preparados'!U472</f>
        <v/>
      </c>
      <c r="C479">
        <f>'1 datos preparados'!B472</f>
        <v/>
      </c>
      <c r="D479" s="7">
        <f>'1 datos preparados'!C472</f>
        <v/>
      </c>
      <c r="E479" s="7">
        <f>'1 datos preparados'!D472</f>
        <v/>
      </c>
      <c r="F479" s="7">
        <f>'1 datos preparados'!E472</f>
        <v/>
      </c>
      <c r="G479" s="7">
        <f>'1 datos preparados'!F472</f>
        <v/>
      </c>
      <c r="H479" s="7">
        <f>'1 datos preparados'!G472</f>
        <v/>
      </c>
      <c r="I479" s="7">
        <f>'1 datos preparados'!H472</f>
        <v/>
      </c>
      <c r="J479" s="7">
        <f>'1 datos preparados'!I472</f>
        <v/>
      </c>
      <c r="K479" s="7">
        <f>'1 datos preparados'!J472</f>
        <v/>
      </c>
      <c r="L479" s="7">
        <f>'1 datos preparados'!K472</f>
        <v/>
      </c>
      <c r="M479" s="7">
        <f>'1 datos preparados'!L472</f>
        <v/>
      </c>
      <c r="N479" s="7">
        <f>'1 datos preparados'!M472</f>
        <v/>
      </c>
      <c r="O479" s="7">
        <f>'1 datos preparados'!N472</f>
        <v/>
      </c>
      <c r="P479" s="7">
        <f>'1 datos preparados'!O472</f>
        <v/>
      </c>
      <c r="Q479" s="7">
        <f>'1 datos preparados'!P472</f>
        <v/>
      </c>
      <c r="R479" s="7">
        <f>'1 datos preparados'!Q472</f>
        <v/>
      </c>
      <c r="S479" s="7">
        <f>'1 datos preparados'!R472</f>
        <v/>
      </c>
      <c r="T479" s="7">
        <f>'1 datos preparados'!S472</f>
        <v/>
      </c>
      <c r="U479" s="7">
        <f>'1 datos preparados'!T472</f>
        <v/>
      </c>
      <c r="V479" s="8">
        <f>$AE$12+D479*$AE$13+E479*$AE$14+F479*$AE$15+G479*$AE$16+H479*$AE$17+I479*$AE$18+J479*$AE$19+K479*$AE$20+L479*$AE$21+M479*$AE$22+N479*$AE$23+O479*$AE$24+P479*$AE$25+Q479*$AE$26+R479*$AE$27+S479*$AE$28+T479*$AE$29+U479*$AE$30</f>
        <v/>
      </c>
      <c r="W479" s="8">
        <f>1/(1+EXP(-V479))</f>
        <v/>
      </c>
      <c r="X479" s="9">
        <f>-IF(C479=1,LN(W479),LN(1-W479))</f>
        <v/>
      </c>
      <c r="Y479" s="8">
        <f>'1 datos preparados'!V472</f>
        <v/>
      </c>
      <c r="Z479" s="9">
        <f>Y479*X479</f>
        <v/>
      </c>
      <c r="AA479" s="10">
        <f>IF(W479&gt;$AE$33,1,0)</f>
        <v/>
      </c>
      <c r="AB479">
        <f>IF(AA479=C479,1,0)</f>
        <v/>
      </c>
    </row>
    <row r="480">
      <c r="A480">
        <f>'1 datos preparados'!A473</f>
        <v/>
      </c>
      <c r="B480" s="5">
        <f>'1 datos preparados'!U473</f>
        <v/>
      </c>
      <c r="C480">
        <f>'1 datos preparados'!B473</f>
        <v/>
      </c>
      <c r="D480" s="7">
        <f>'1 datos preparados'!C473</f>
        <v/>
      </c>
      <c r="E480" s="7">
        <f>'1 datos preparados'!D473</f>
        <v/>
      </c>
      <c r="F480" s="7">
        <f>'1 datos preparados'!E473</f>
        <v/>
      </c>
      <c r="G480" s="7">
        <f>'1 datos preparados'!F473</f>
        <v/>
      </c>
      <c r="H480" s="7">
        <f>'1 datos preparados'!G473</f>
        <v/>
      </c>
      <c r="I480" s="7">
        <f>'1 datos preparados'!H473</f>
        <v/>
      </c>
      <c r="J480" s="7">
        <f>'1 datos preparados'!I473</f>
        <v/>
      </c>
      <c r="K480" s="7">
        <f>'1 datos preparados'!J473</f>
        <v/>
      </c>
      <c r="L480" s="7">
        <f>'1 datos preparados'!K473</f>
        <v/>
      </c>
      <c r="M480" s="7">
        <f>'1 datos preparados'!L473</f>
        <v/>
      </c>
      <c r="N480" s="7">
        <f>'1 datos preparados'!M473</f>
        <v/>
      </c>
      <c r="O480" s="7">
        <f>'1 datos preparados'!N473</f>
        <v/>
      </c>
      <c r="P480" s="7">
        <f>'1 datos preparados'!O473</f>
        <v/>
      </c>
      <c r="Q480" s="7">
        <f>'1 datos preparados'!P473</f>
        <v/>
      </c>
      <c r="R480" s="7">
        <f>'1 datos preparados'!Q473</f>
        <v/>
      </c>
      <c r="S480" s="7">
        <f>'1 datos preparados'!R473</f>
        <v/>
      </c>
      <c r="T480" s="7">
        <f>'1 datos preparados'!S473</f>
        <v/>
      </c>
      <c r="U480" s="7">
        <f>'1 datos preparados'!T473</f>
        <v/>
      </c>
      <c r="V480" s="8">
        <f>$AE$12+D480*$AE$13+E480*$AE$14+F480*$AE$15+G480*$AE$16+H480*$AE$17+I480*$AE$18+J480*$AE$19+K480*$AE$20+L480*$AE$21+M480*$AE$22+N480*$AE$23+O480*$AE$24+P480*$AE$25+Q480*$AE$26+R480*$AE$27+S480*$AE$28+T480*$AE$29+U480*$AE$30</f>
        <v/>
      </c>
      <c r="W480" s="8">
        <f>1/(1+EXP(-V480))</f>
        <v/>
      </c>
      <c r="X480" s="9">
        <f>-IF(C480=1,LN(W480),LN(1-W480))</f>
        <v/>
      </c>
      <c r="Y480" s="8">
        <f>'1 datos preparados'!V473</f>
        <v/>
      </c>
      <c r="Z480" s="9">
        <f>Y480*X480</f>
        <v/>
      </c>
      <c r="AA480" s="10">
        <f>IF(W480&gt;$AE$33,1,0)</f>
        <v/>
      </c>
      <c r="AB480">
        <f>IF(AA480=C480,1,0)</f>
        <v/>
      </c>
    </row>
    <row r="481">
      <c r="A481">
        <f>'1 datos preparados'!A474</f>
        <v/>
      </c>
      <c r="B481" s="5">
        <f>'1 datos preparados'!U474</f>
        <v/>
      </c>
      <c r="C481">
        <f>'1 datos preparados'!B474</f>
        <v/>
      </c>
      <c r="D481" s="7">
        <f>'1 datos preparados'!C474</f>
        <v/>
      </c>
      <c r="E481" s="7">
        <f>'1 datos preparados'!D474</f>
        <v/>
      </c>
      <c r="F481" s="7">
        <f>'1 datos preparados'!E474</f>
        <v/>
      </c>
      <c r="G481" s="7">
        <f>'1 datos preparados'!F474</f>
        <v/>
      </c>
      <c r="H481" s="7">
        <f>'1 datos preparados'!G474</f>
        <v/>
      </c>
      <c r="I481" s="7">
        <f>'1 datos preparados'!H474</f>
        <v/>
      </c>
      <c r="J481" s="7">
        <f>'1 datos preparados'!I474</f>
        <v/>
      </c>
      <c r="K481" s="7">
        <f>'1 datos preparados'!J474</f>
        <v/>
      </c>
      <c r="L481" s="7">
        <f>'1 datos preparados'!K474</f>
        <v/>
      </c>
      <c r="M481" s="7">
        <f>'1 datos preparados'!L474</f>
        <v/>
      </c>
      <c r="N481" s="7">
        <f>'1 datos preparados'!M474</f>
        <v/>
      </c>
      <c r="O481" s="7">
        <f>'1 datos preparados'!N474</f>
        <v/>
      </c>
      <c r="P481" s="7">
        <f>'1 datos preparados'!O474</f>
        <v/>
      </c>
      <c r="Q481" s="7">
        <f>'1 datos preparados'!P474</f>
        <v/>
      </c>
      <c r="R481" s="7">
        <f>'1 datos preparados'!Q474</f>
        <v/>
      </c>
      <c r="S481" s="7">
        <f>'1 datos preparados'!R474</f>
        <v/>
      </c>
      <c r="T481" s="7">
        <f>'1 datos preparados'!S474</f>
        <v/>
      </c>
      <c r="U481" s="7">
        <f>'1 datos preparados'!T474</f>
        <v/>
      </c>
      <c r="V481" s="8">
        <f>$AE$12+D481*$AE$13+E481*$AE$14+F481*$AE$15+G481*$AE$16+H481*$AE$17+I481*$AE$18+J481*$AE$19+K481*$AE$20+L481*$AE$21+M481*$AE$22+N481*$AE$23+O481*$AE$24+P481*$AE$25+Q481*$AE$26+R481*$AE$27+S481*$AE$28+T481*$AE$29+U481*$AE$30</f>
        <v/>
      </c>
      <c r="W481" s="8">
        <f>1/(1+EXP(-V481))</f>
        <v/>
      </c>
      <c r="X481" s="9">
        <f>-IF(C481=1,LN(W481),LN(1-W481))</f>
        <v/>
      </c>
      <c r="Y481" s="8">
        <f>'1 datos preparados'!V474</f>
        <v/>
      </c>
      <c r="Z481" s="9">
        <f>Y481*X481</f>
        <v/>
      </c>
      <c r="AA481" s="10">
        <f>IF(W481&gt;$AE$33,1,0)</f>
        <v/>
      </c>
      <c r="AB481">
        <f>IF(AA481=C481,1,0)</f>
        <v/>
      </c>
    </row>
    <row r="482">
      <c r="A482">
        <f>'1 datos preparados'!A475</f>
        <v/>
      </c>
      <c r="B482" s="5">
        <f>'1 datos preparados'!U475</f>
        <v/>
      </c>
      <c r="C482">
        <f>'1 datos preparados'!B475</f>
        <v/>
      </c>
      <c r="D482" s="7">
        <f>'1 datos preparados'!C475</f>
        <v/>
      </c>
      <c r="E482" s="7">
        <f>'1 datos preparados'!D475</f>
        <v/>
      </c>
      <c r="F482" s="7">
        <f>'1 datos preparados'!E475</f>
        <v/>
      </c>
      <c r="G482" s="7">
        <f>'1 datos preparados'!F475</f>
        <v/>
      </c>
      <c r="H482" s="7">
        <f>'1 datos preparados'!G475</f>
        <v/>
      </c>
      <c r="I482" s="7">
        <f>'1 datos preparados'!H475</f>
        <v/>
      </c>
      <c r="J482" s="7">
        <f>'1 datos preparados'!I475</f>
        <v/>
      </c>
      <c r="K482" s="7">
        <f>'1 datos preparados'!J475</f>
        <v/>
      </c>
      <c r="L482" s="7">
        <f>'1 datos preparados'!K475</f>
        <v/>
      </c>
      <c r="M482" s="7">
        <f>'1 datos preparados'!L475</f>
        <v/>
      </c>
      <c r="N482" s="7">
        <f>'1 datos preparados'!M475</f>
        <v/>
      </c>
      <c r="O482" s="7">
        <f>'1 datos preparados'!N475</f>
        <v/>
      </c>
      <c r="P482" s="7">
        <f>'1 datos preparados'!O475</f>
        <v/>
      </c>
      <c r="Q482" s="7">
        <f>'1 datos preparados'!P475</f>
        <v/>
      </c>
      <c r="R482" s="7">
        <f>'1 datos preparados'!Q475</f>
        <v/>
      </c>
      <c r="S482" s="7">
        <f>'1 datos preparados'!R475</f>
        <v/>
      </c>
      <c r="T482" s="7">
        <f>'1 datos preparados'!S475</f>
        <v/>
      </c>
      <c r="U482" s="7">
        <f>'1 datos preparados'!T475</f>
        <v/>
      </c>
      <c r="V482" s="8">
        <f>$AE$12+D482*$AE$13+E482*$AE$14+F482*$AE$15+G482*$AE$16+H482*$AE$17+I482*$AE$18+J482*$AE$19+K482*$AE$20+L482*$AE$21+M482*$AE$22+N482*$AE$23+O482*$AE$24+P482*$AE$25+Q482*$AE$26+R482*$AE$27+S482*$AE$28+T482*$AE$29+U482*$AE$30</f>
        <v/>
      </c>
      <c r="W482" s="8">
        <f>1/(1+EXP(-V482))</f>
        <v/>
      </c>
      <c r="X482" s="9">
        <f>-IF(C482=1,LN(W482),LN(1-W482))</f>
        <v/>
      </c>
      <c r="Y482" s="8">
        <f>'1 datos preparados'!V475</f>
        <v/>
      </c>
      <c r="Z482" s="9">
        <f>Y482*X482</f>
        <v/>
      </c>
      <c r="AA482" s="10">
        <f>IF(W482&gt;$AE$33,1,0)</f>
        <v/>
      </c>
      <c r="AB482">
        <f>IF(AA482=C482,1,0)</f>
        <v/>
      </c>
    </row>
    <row r="483">
      <c r="A483">
        <f>'1 datos preparados'!A476</f>
        <v/>
      </c>
      <c r="B483" s="5">
        <f>'1 datos preparados'!U476</f>
        <v/>
      </c>
      <c r="C483">
        <f>'1 datos preparados'!B476</f>
        <v/>
      </c>
      <c r="D483" s="7">
        <f>'1 datos preparados'!C476</f>
        <v/>
      </c>
      <c r="E483" s="7">
        <f>'1 datos preparados'!D476</f>
        <v/>
      </c>
      <c r="F483" s="7">
        <f>'1 datos preparados'!E476</f>
        <v/>
      </c>
      <c r="G483" s="7">
        <f>'1 datos preparados'!F476</f>
        <v/>
      </c>
      <c r="H483" s="7">
        <f>'1 datos preparados'!G476</f>
        <v/>
      </c>
      <c r="I483" s="7">
        <f>'1 datos preparados'!H476</f>
        <v/>
      </c>
      <c r="J483" s="7">
        <f>'1 datos preparados'!I476</f>
        <v/>
      </c>
      <c r="K483" s="7">
        <f>'1 datos preparados'!J476</f>
        <v/>
      </c>
      <c r="L483" s="7">
        <f>'1 datos preparados'!K476</f>
        <v/>
      </c>
      <c r="M483" s="7">
        <f>'1 datos preparados'!L476</f>
        <v/>
      </c>
      <c r="N483" s="7">
        <f>'1 datos preparados'!M476</f>
        <v/>
      </c>
      <c r="O483" s="7">
        <f>'1 datos preparados'!N476</f>
        <v/>
      </c>
      <c r="P483" s="7">
        <f>'1 datos preparados'!O476</f>
        <v/>
      </c>
      <c r="Q483" s="7">
        <f>'1 datos preparados'!P476</f>
        <v/>
      </c>
      <c r="R483" s="7">
        <f>'1 datos preparados'!Q476</f>
        <v/>
      </c>
      <c r="S483" s="7">
        <f>'1 datos preparados'!R476</f>
        <v/>
      </c>
      <c r="T483" s="7">
        <f>'1 datos preparados'!S476</f>
        <v/>
      </c>
      <c r="U483" s="7">
        <f>'1 datos preparados'!T476</f>
        <v/>
      </c>
      <c r="V483" s="8">
        <f>$AE$12+D483*$AE$13+E483*$AE$14+F483*$AE$15+G483*$AE$16+H483*$AE$17+I483*$AE$18+J483*$AE$19+K483*$AE$20+L483*$AE$21+M483*$AE$22+N483*$AE$23+O483*$AE$24+P483*$AE$25+Q483*$AE$26+R483*$AE$27+S483*$AE$28+T483*$AE$29+U483*$AE$30</f>
        <v/>
      </c>
      <c r="W483" s="8">
        <f>1/(1+EXP(-V483))</f>
        <v/>
      </c>
      <c r="X483" s="9">
        <f>-IF(C483=1,LN(W483),LN(1-W483))</f>
        <v/>
      </c>
      <c r="Y483" s="8">
        <f>'1 datos preparados'!V476</f>
        <v/>
      </c>
      <c r="Z483" s="9">
        <f>Y483*X483</f>
        <v/>
      </c>
      <c r="AA483" s="10">
        <f>IF(W483&gt;$AE$33,1,0)</f>
        <v/>
      </c>
      <c r="AB483">
        <f>IF(AA483=C483,1,0)</f>
        <v/>
      </c>
    </row>
    <row r="484">
      <c r="A484">
        <f>'1 datos preparados'!A477</f>
        <v/>
      </c>
      <c r="B484" s="5">
        <f>'1 datos preparados'!U477</f>
        <v/>
      </c>
      <c r="C484">
        <f>'1 datos preparados'!B477</f>
        <v/>
      </c>
      <c r="D484" s="7">
        <f>'1 datos preparados'!C477</f>
        <v/>
      </c>
      <c r="E484" s="7">
        <f>'1 datos preparados'!D477</f>
        <v/>
      </c>
      <c r="F484" s="7">
        <f>'1 datos preparados'!E477</f>
        <v/>
      </c>
      <c r="G484" s="7">
        <f>'1 datos preparados'!F477</f>
        <v/>
      </c>
      <c r="H484" s="7">
        <f>'1 datos preparados'!G477</f>
        <v/>
      </c>
      <c r="I484" s="7">
        <f>'1 datos preparados'!H477</f>
        <v/>
      </c>
      <c r="J484" s="7">
        <f>'1 datos preparados'!I477</f>
        <v/>
      </c>
      <c r="K484" s="7">
        <f>'1 datos preparados'!J477</f>
        <v/>
      </c>
      <c r="L484" s="7">
        <f>'1 datos preparados'!K477</f>
        <v/>
      </c>
      <c r="M484" s="7">
        <f>'1 datos preparados'!L477</f>
        <v/>
      </c>
      <c r="N484" s="7">
        <f>'1 datos preparados'!M477</f>
        <v/>
      </c>
      <c r="O484" s="7">
        <f>'1 datos preparados'!N477</f>
        <v/>
      </c>
      <c r="P484" s="7">
        <f>'1 datos preparados'!O477</f>
        <v/>
      </c>
      <c r="Q484" s="7">
        <f>'1 datos preparados'!P477</f>
        <v/>
      </c>
      <c r="R484" s="7">
        <f>'1 datos preparados'!Q477</f>
        <v/>
      </c>
      <c r="S484" s="7">
        <f>'1 datos preparados'!R477</f>
        <v/>
      </c>
      <c r="T484" s="7">
        <f>'1 datos preparados'!S477</f>
        <v/>
      </c>
      <c r="U484" s="7">
        <f>'1 datos preparados'!T477</f>
        <v/>
      </c>
      <c r="V484" s="8">
        <f>$AE$12+D484*$AE$13+E484*$AE$14+F484*$AE$15+G484*$AE$16+H484*$AE$17+I484*$AE$18+J484*$AE$19+K484*$AE$20+L484*$AE$21+M484*$AE$22+N484*$AE$23+O484*$AE$24+P484*$AE$25+Q484*$AE$26+R484*$AE$27+S484*$AE$28+T484*$AE$29+U484*$AE$30</f>
        <v/>
      </c>
      <c r="W484" s="8">
        <f>1/(1+EXP(-V484))</f>
        <v/>
      </c>
      <c r="X484" s="9">
        <f>-IF(C484=1,LN(W484),LN(1-W484))</f>
        <v/>
      </c>
      <c r="Y484" s="8">
        <f>'1 datos preparados'!V477</f>
        <v/>
      </c>
      <c r="Z484" s="9">
        <f>Y484*X484</f>
        <v/>
      </c>
      <c r="AA484" s="10">
        <f>IF(W484&gt;$AE$33,1,0)</f>
        <v/>
      </c>
      <c r="AB484">
        <f>IF(AA484=C484,1,0)</f>
        <v/>
      </c>
    </row>
    <row r="485">
      <c r="A485">
        <f>'1 datos preparados'!A478</f>
        <v/>
      </c>
      <c r="B485" s="5">
        <f>'1 datos preparados'!U478</f>
        <v/>
      </c>
      <c r="C485">
        <f>'1 datos preparados'!B478</f>
        <v/>
      </c>
      <c r="D485" s="7">
        <f>'1 datos preparados'!C478</f>
        <v/>
      </c>
      <c r="E485" s="7">
        <f>'1 datos preparados'!D478</f>
        <v/>
      </c>
      <c r="F485" s="7">
        <f>'1 datos preparados'!E478</f>
        <v/>
      </c>
      <c r="G485" s="7">
        <f>'1 datos preparados'!F478</f>
        <v/>
      </c>
      <c r="H485" s="7">
        <f>'1 datos preparados'!G478</f>
        <v/>
      </c>
      <c r="I485" s="7">
        <f>'1 datos preparados'!H478</f>
        <v/>
      </c>
      <c r="J485" s="7">
        <f>'1 datos preparados'!I478</f>
        <v/>
      </c>
      <c r="K485" s="7">
        <f>'1 datos preparados'!J478</f>
        <v/>
      </c>
      <c r="L485" s="7">
        <f>'1 datos preparados'!K478</f>
        <v/>
      </c>
      <c r="M485" s="7">
        <f>'1 datos preparados'!L478</f>
        <v/>
      </c>
      <c r="N485" s="7">
        <f>'1 datos preparados'!M478</f>
        <v/>
      </c>
      <c r="O485" s="7">
        <f>'1 datos preparados'!N478</f>
        <v/>
      </c>
      <c r="P485" s="7">
        <f>'1 datos preparados'!O478</f>
        <v/>
      </c>
      <c r="Q485" s="7">
        <f>'1 datos preparados'!P478</f>
        <v/>
      </c>
      <c r="R485" s="7">
        <f>'1 datos preparados'!Q478</f>
        <v/>
      </c>
      <c r="S485" s="7">
        <f>'1 datos preparados'!R478</f>
        <v/>
      </c>
      <c r="T485" s="7">
        <f>'1 datos preparados'!S478</f>
        <v/>
      </c>
      <c r="U485" s="7">
        <f>'1 datos preparados'!T478</f>
        <v/>
      </c>
      <c r="V485" s="8">
        <f>$AE$12+D485*$AE$13+E485*$AE$14+F485*$AE$15+G485*$AE$16+H485*$AE$17+I485*$AE$18+J485*$AE$19+K485*$AE$20+L485*$AE$21+M485*$AE$22+N485*$AE$23+O485*$AE$24+P485*$AE$25+Q485*$AE$26+R485*$AE$27+S485*$AE$28+T485*$AE$29+U485*$AE$30</f>
        <v/>
      </c>
      <c r="W485" s="8">
        <f>1/(1+EXP(-V485))</f>
        <v/>
      </c>
      <c r="X485" s="9">
        <f>-IF(C485=1,LN(W485),LN(1-W485))</f>
        <v/>
      </c>
      <c r="Y485" s="8">
        <f>'1 datos preparados'!V478</f>
        <v/>
      </c>
      <c r="Z485" s="9">
        <f>Y485*X485</f>
        <v/>
      </c>
      <c r="AA485" s="10">
        <f>IF(W485&gt;$AE$33,1,0)</f>
        <v/>
      </c>
      <c r="AB485">
        <f>IF(AA485=C485,1,0)</f>
        <v/>
      </c>
    </row>
    <row r="486">
      <c r="A486">
        <f>'1 datos preparados'!A479</f>
        <v/>
      </c>
      <c r="B486" s="5">
        <f>'1 datos preparados'!U479</f>
        <v/>
      </c>
      <c r="C486">
        <f>'1 datos preparados'!B479</f>
        <v/>
      </c>
      <c r="D486" s="7">
        <f>'1 datos preparados'!C479</f>
        <v/>
      </c>
      <c r="E486" s="7">
        <f>'1 datos preparados'!D479</f>
        <v/>
      </c>
      <c r="F486" s="7">
        <f>'1 datos preparados'!E479</f>
        <v/>
      </c>
      <c r="G486" s="7">
        <f>'1 datos preparados'!F479</f>
        <v/>
      </c>
      <c r="H486" s="7">
        <f>'1 datos preparados'!G479</f>
        <v/>
      </c>
      <c r="I486" s="7">
        <f>'1 datos preparados'!H479</f>
        <v/>
      </c>
      <c r="J486" s="7">
        <f>'1 datos preparados'!I479</f>
        <v/>
      </c>
      <c r="K486" s="7">
        <f>'1 datos preparados'!J479</f>
        <v/>
      </c>
      <c r="L486" s="7">
        <f>'1 datos preparados'!K479</f>
        <v/>
      </c>
      <c r="M486" s="7">
        <f>'1 datos preparados'!L479</f>
        <v/>
      </c>
      <c r="N486" s="7">
        <f>'1 datos preparados'!M479</f>
        <v/>
      </c>
      <c r="O486" s="7">
        <f>'1 datos preparados'!N479</f>
        <v/>
      </c>
      <c r="P486" s="7">
        <f>'1 datos preparados'!O479</f>
        <v/>
      </c>
      <c r="Q486" s="7">
        <f>'1 datos preparados'!P479</f>
        <v/>
      </c>
      <c r="R486" s="7">
        <f>'1 datos preparados'!Q479</f>
        <v/>
      </c>
      <c r="S486" s="7">
        <f>'1 datos preparados'!R479</f>
        <v/>
      </c>
      <c r="T486" s="7">
        <f>'1 datos preparados'!S479</f>
        <v/>
      </c>
      <c r="U486" s="7">
        <f>'1 datos preparados'!T479</f>
        <v/>
      </c>
      <c r="V486" s="8">
        <f>$AE$12+D486*$AE$13+E486*$AE$14+F486*$AE$15+G486*$AE$16+H486*$AE$17+I486*$AE$18+J486*$AE$19+K486*$AE$20+L486*$AE$21+M486*$AE$22+N486*$AE$23+O486*$AE$24+P486*$AE$25+Q486*$AE$26+R486*$AE$27+S486*$AE$28+T486*$AE$29+U486*$AE$30</f>
        <v/>
      </c>
      <c r="W486" s="8">
        <f>1/(1+EXP(-V486))</f>
        <v/>
      </c>
      <c r="X486" s="9">
        <f>-IF(C486=1,LN(W486),LN(1-W486))</f>
        <v/>
      </c>
      <c r="Y486" s="8">
        <f>'1 datos preparados'!V479</f>
        <v/>
      </c>
      <c r="Z486" s="9">
        <f>Y486*X486</f>
        <v/>
      </c>
      <c r="AA486" s="10">
        <f>IF(W486&gt;$AE$33,1,0)</f>
        <v/>
      </c>
      <c r="AB486">
        <f>IF(AA486=C486,1,0)</f>
        <v/>
      </c>
    </row>
    <row r="487">
      <c r="A487">
        <f>'1 datos preparados'!A480</f>
        <v/>
      </c>
      <c r="B487" s="5">
        <f>'1 datos preparados'!U480</f>
        <v/>
      </c>
      <c r="C487">
        <f>'1 datos preparados'!B480</f>
        <v/>
      </c>
      <c r="D487" s="7">
        <f>'1 datos preparados'!C480</f>
        <v/>
      </c>
      <c r="E487" s="7">
        <f>'1 datos preparados'!D480</f>
        <v/>
      </c>
      <c r="F487" s="7">
        <f>'1 datos preparados'!E480</f>
        <v/>
      </c>
      <c r="G487" s="7">
        <f>'1 datos preparados'!F480</f>
        <v/>
      </c>
      <c r="H487" s="7">
        <f>'1 datos preparados'!G480</f>
        <v/>
      </c>
      <c r="I487" s="7">
        <f>'1 datos preparados'!H480</f>
        <v/>
      </c>
      <c r="J487" s="7">
        <f>'1 datos preparados'!I480</f>
        <v/>
      </c>
      <c r="K487" s="7">
        <f>'1 datos preparados'!J480</f>
        <v/>
      </c>
      <c r="L487" s="7">
        <f>'1 datos preparados'!K480</f>
        <v/>
      </c>
      <c r="M487" s="7">
        <f>'1 datos preparados'!L480</f>
        <v/>
      </c>
      <c r="N487" s="7">
        <f>'1 datos preparados'!M480</f>
        <v/>
      </c>
      <c r="O487" s="7">
        <f>'1 datos preparados'!N480</f>
        <v/>
      </c>
      <c r="P487" s="7">
        <f>'1 datos preparados'!O480</f>
        <v/>
      </c>
      <c r="Q487" s="7">
        <f>'1 datos preparados'!P480</f>
        <v/>
      </c>
      <c r="R487" s="7">
        <f>'1 datos preparados'!Q480</f>
        <v/>
      </c>
      <c r="S487" s="7">
        <f>'1 datos preparados'!R480</f>
        <v/>
      </c>
      <c r="T487" s="7">
        <f>'1 datos preparados'!S480</f>
        <v/>
      </c>
      <c r="U487" s="7">
        <f>'1 datos preparados'!T480</f>
        <v/>
      </c>
      <c r="V487" s="8">
        <f>$AE$12+D487*$AE$13+E487*$AE$14+F487*$AE$15+G487*$AE$16+H487*$AE$17+I487*$AE$18+J487*$AE$19+K487*$AE$20+L487*$AE$21+M487*$AE$22+N487*$AE$23+O487*$AE$24+P487*$AE$25+Q487*$AE$26+R487*$AE$27+S487*$AE$28+T487*$AE$29+U487*$AE$30</f>
        <v/>
      </c>
      <c r="W487" s="8">
        <f>1/(1+EXP(-V487))</f>
        <v/>
      </c>
      <c r="X487" s="9">
        <f>-IF(C487=1,LN(W487),LN(1-W487))</f>
        <v/>
      </c>
      <c r="Y487" s="8">
        <f>'1 datos preparados'!V480</f>
        <v/>
      </c>
      <c r="Z487" s="9">
        <f>Y487*X487</f>
        <v/>
      </c>
      <c r="AA487" s="10">
        <f>IF(W487&gt;$AE$33,1,0)</f>
        <v/>
      </c>
      <c r="AB487">
        <f>IF(AA487=C487,1,0)</f>
        <v/>
      </c>
    </row>
    <row r="488">
      <c r="A488">
        <f>'1 datos preparados'!A481</f>
        <v/>
      </c>
      <c r="B488" s="5">
        <f>'1 datos preparados'!U481</f>
        <v/>
      </c>
      <c r="C488">
        <f>'1 datos preparados'!B481</f>
        <v/>
      </c>
      <c r="D488" s="7">
        <f>'1 datos preparados'!C481</f>
        <v/>
      </c>
      <c r="E488" s="7">
        <f>'1 datos preparados'!D481</f>
        <v/>
      </c>
      <c r="F488" s="7">
        <f>'1 datos preparados'!E481</f>
        <v/>
      </c>
      <c r="G488" s="7">
        <f>'1 datos preparados'!F481</f>
        <v/>
      </c>
      <c r="H488" s="7">
        <f>'1 datos preparados'!G481</f>
        <v/>
      </c>
      <c r="I488" s="7">
        <f>'1 datos preparados'!H481</f>
        <v/>
      </c>
      <c r="J488" s="7">
        <f>'1 datos preparados'!I481</f>
        <v/>
      </c>
      <c r="K488" s="7">
        <f>'1 datos preparados'!J481</f>
        <v/>
      </c>
      <c r="L488" s="7">
        <f>'1 datos preparados'!K481</f>
        <v/>
      </c>
      <c r="M488" s="7">
        <f>'1 datos preparados'!L481</f>
        <v/>
      </c>
      <c r="N488" s="7">
        <f>'1 datos preparados'!M481</f>
        <v/>
      </c>
      <c r="O488" s="7">
        <f>'1 datos preparados'!N481</f>
        <v/>
      </c>
      <c r="P488" s="7">
        <f>'1 datos preparados'!O481</f>
        <v/>
      </c>
      <c r="Q488" s="7">
        <f>'1 datos preparados'!P481</f>
        <v/>
      </c>
      <c r="R488" s="7">
        <f>'1 datos preparados'!Q481</f>
        <v/>
      </c>
      <c r="S488" s="7">
        <f>'1 datos preparados'!R481</f>
        <v/>
      </c>
      <c r="T488" s="7">
        <f>'1 datos preparados'!S481</f>
        <v/>
      </c>
      <c r="U488" s="7">
        <f>'1 datos preparados'!T481</f>
        <v/>
      </c>
      <c r="V488" s="8">
        <f>$AE$12+D488*$AE$13+E488*$AE$14+F488*$AE$15+G488*$AE$16+H488*$AE$17+I488*$AE$18+J488*$AE$19+K488*$AE$20+L488*$AE$21+M488*$AE$22+N488*$AE$23+O488*$AE$24+P488*$AE$25+Q488*$AE$26+R488*$AE$27+S488*$AE$28+T488*$AE$29+U488*$AE$30</f>
        <v/>
      </c>
      <c r="W488" s="8">
        <f>1/(1+EXP(-V488))</f>
        <v/>
      </c>
      <c r="X488" s="9">
        <f>-IF(C488=1,LN(W488),LN(1-W488))</f>
        <v/>
      </c>
      <c r="Y488" s="8">
        <f>'1 datos preparados'!V481</f>
        <v/>
      </c>
      <c r="Z488" s="9">
        <f>Y488*X488</f>
        <v/>
      </c>
      <c r="AA488" s="10">
        <f>IF(W488&gt;$AE$33,1,0)</f>
        <v/>
      </c>
      <c r="AB488">
        <f>IF(AA488=C488,1,0)</f>
        <v/>
      </c>
    </row>
    <row r="489">
      <c r="A489">
        <f>'1 datos preparados'!A482</f>
        <v/>
      </c>
      <c r="B489" s="5">
        <f>'1 datos preparados'!U482</f>
        <v/>
      </c>
      <c r="C489">
        <f>'1 datos preparados'!B482</f>
        <v/>
      </c>
      <c r="D489" s="7">
        <f>'1 datos preparados'!C482</f>
        <v/>
      </c>
      <c r="E489" s="7">
        <f>'1 datos preparados'!D482</f>
        <v/>
      </c>
      <c r="F489" s="7">
        <f>'1 datos preparados'!E482</f>
        <v/>
      </c>
      <c r="G489" s="7">
        <f>'1 datos preparados'!F482</f>
        <v/>
      </c>
      <c r="H489" s="7">
        <f>'1 datos preparados'!G482</f>
        <v/>
      </c>
      <c r="I489" s="7">
        <f>'1 datos preparados'!H482</f>
        <v/>
      </c>
      <c r="J489" s="7">
        <f>'1 datos preparados'!I482</f>
        <v/>
      </c>
      <c r="K489" s="7">
        <f>'1 datos preparados'!J482</f>
        <v/>
      </c>
      <c r="L489" s="7">
        <f>'1 datos preparados'!K482</f>
        <v/>
      </c>
      <c r="M489" s="7">
        <f>'1 datos preparados'!L482</f>
        <v/>
      </c>
      <c r="N489" s="7">
        <f>'1 datos preparados'!M482</f>
        <v/>
      </c>
      <c r="O489" s="7">
        <f>'1 datos preparados'!N482</f>
        <v/>
      </c>
      <c r="P489" s="7">
        <f>'1 datos preparados'!O482</f>
        <v/>
      </c>
      <c r="Q489" s="7">
        <f>'1 datos preparados'!P482</f>
        <v/>
      </c>
      <c r="R489" s="7">
        <f>'1 datos preparados'!Q482</f>
        <v/>
      </c>
      <c r="S489" s="7">
        <f>'1 datos preparados'!R482</f>
        <v/>
      </c>
      <c r="T489" s="7">
        <f>'1 datos preparados'!S482</f>
        <v/>
      </c>
      <c r="U489" s="7">
        <f>'1 datos preparados'!T482</f>
        <v/>
      </c>
      <c r="V489" s="8">
        <f>$AE$12+D489*$AE$13+E489*$AE$14+F489*$AE$15+G489*$AE$16+H489*$AE$17+I489*$AE$18+J489*$AE$19+K489*$AE$20+L489*$AE$21+M489*$AE$22+N489*$AE$23+O489*$AE$24+P489*$AE$25+Q489*$AE$26+R489*$AE$27+S489*$AE$28+T489*$AE$29+U489*$AE$30</f>
        <v/>
      </c>
      <c r="W489" s="8">
        <f>1/(1+EXP(-V489))</f>
        <v/>
      </c>
      <c r="X489" s="9">
        <f>-IF(C489=1,LN(W489),LN(1-W489))</f>
        <v/>
      </c>
      <c r="Y489" s="8">
        <f>'1 datos preparados'!V482</f>
        <v/>
      </c>
      <c r="Z489" s="9">
        <f>Y489*X489</f>
        <v/>
      </c>
      <c r="AA489" s="10">
        <f>IF(W489&gt;$AE$33,1,0)</f>
        <v/>
      </c>
      <c r="AB489">
        <f>IF(AA489=C489,1,0)</f>
        <v/>
      </c>
    </row>
    <row r="490">
      <c r="A490">
        <f>'1 datos preparados'!A483</f>
        <v/>
      </c>
      <c r="B490" s="5">
        <f>'1 datos preparados'!U483</f>
        <v/>
      </c>
      <c r="C490">
        <f>'1 datos preparados'!B483</f>
        <v/>
      </c>
      <c r="D490" s="7">
        <f>'1 datos preparados'!C483</f>
        <v/>
      </c>
      <c r="E490" s="7">
        <f>'1 datos preparados'!D483</f>
        <v/>
      </c>
      <c r="F490" s="7">
        <f>'1 datos preparados'!E483</f>
        <v/>
      </c>
      <c r="G490" s="7">
        <f>'1 datos preparados'!F483</f>
        <v/>
      </c>
      <c r="H490" s="7">
        <f>'1 datos preparados'!G483</f>
        <v/>
      </c>
      <c r="I490" s="7">
        <f>'1 datos preparados'!H483</f>
        <v/>
      </c>
      <c r="J490" s="7">
        <f>'1 datos preparados'!I483</f>
        <v/>
      </c>
      <c r="K490" s="7">
        <f>'1 datos preparados'!J483</f>
        <v/>
      </c>
      <c r="L490" s="7">
        <f>'1 datos preparados'!K483</f>
        <v/>
      </c>
      <c r="M490" s="7">
        <f>'1 datos preparados'!L483</f>
        <v/>
      </c>
      <c r="N490" s="7">
        <f>'1 datos preparados'!M483</f>
        <v/>
      </c>
      <c r="O490" s="7">
        <f>'1 datos preparados'!N483</f>
        <v/>
      </c>
      <c r="P490" s="7">
        <f>'1 datos preparados'!O483</f>
        <v/>
      </c>
      <c r="Q490" s="7">
        <f>'1 datos preparados'!P483</f>
        <v/>
      </c>
      <c r="R490" s="7">
        <f>'1 datos preparados'!Q483</f>
        <v/>
      </c>
      <c r="S490" s="7">
        <f>'1 datos preparados'!R483</f>
        <v/>
      </c>
      <c r="T490" s="7">
        <f>'1 datos preparados'!S483</f>
        <v/>
      </c>
      <c r="U490" s="7">
        <f>'1 datos preparados'!T483</f>
        <v/>
      </c>
      <c r="V490" s="8">
        <f>$AE$12+D490*$AE$13+E490*$AE$14+F490*$AE$15+G490*$AE$16+H490*$AE$17+I490*$AE$18+J490*$AE$19+K490*$AE$20+L490*$AE$21+M490*$AE$22+N490*$AE$23+O490*$AE$24+P490*$AE$25+Q490*$AE$26+R490*$AE$27+S490*$AE$28+T490*$AE$29+U490*$AE$30</f>
        <v/>
      </c>
      <c r="W490" s="8">
        <f>1/(1+EXP(-V490))</f>
        <v/>
      </c>
      <c r="X490" s="9">
        <f>-IF(C490=1,LN(W490),LN(1-W490))</f>
        <v/>
      </c>
      <c r="Y490" s="8">
        <f>'1 datos preparados'!V483</f>
        <v/>
      </c>
      <c r="Z490" s="9">
        <f>Y490*X490</f>
        <v/>
      </c>
      <c r="AA490" s="10">
        <f>IF(W490&gt;$AE$33,1,0)</f>
        <v/>
      </c>
      <c r="AB490">
        <f>IF(AA490=C490,1,0)</f>
        <v/>
      </c>
    </row>
    <row r="491">
      <c r="A491">
        <f>'1 datos preparados'!A484</f>
        <v/>
      </c>
      <c r="B491" s="5">
        <f>'1 datos preparados'!U484</f>
        <v/>
      </c>
      <c r="C491">
        <f>'1 datos preparados'!B484</f>
        <v/>
      </c>
      <c r="D491" s="7">
        <f>'1 datos preparados'!C484</f>
        <v/>
      </c>
      <c r="E491" s="7">
        <f>'1 datos preparados'!D484</f>
        <v/>
      </c>
      <c r="F491" s="7">
        <f>'1 datos preparados'!E484</f>
        <v/>
      </c>
      <c r="G491" s="7">
        <f>'1 datos preparados'!F484</f>
        <v/>
      </c>
      <c r="H491" s="7">
        <f>'1 datos preparados'!G484</f>
        <v/>
      </c>
      <c r="I491" s="7">
        <f>'1 datos preparados'!H484</f>
        <v/>
      </c>
      <c r="J491" s="7">
        <f>'1 datos preparados'!I484</f>
        <v/>
      </c>
      <c r="K491" s="7">
        <f>'1 datos preparados'!J484</f>
        <v/>
      </c>
      <c r="L491" s="7">
        <f>'1 datos preparados'!K484</f>
        <v/>
      </c>
      <c r="M491" s="7">
        <f>'1 datos preparados'!L484</f>
        <v/>
      </c>
      <c r="N491" s="7">
        <f>'1 datos preparados'!M484</f>
        <v/>
      </c>
      <c r="O491" s="7">
        <f>'1 datos preparados'!N484</f>
        <v/>
      </c>
      <c r="P491" s="7">
        <f>'1 datos preparados'!O484</f>
        <v/>
      </c>
      <c r="Q491" s="7">
        <f>'1 datos preparados'!P484</f>
        <v/>
      </c>
      <c r="R491" s="7">
        <f>'1 datos preparados'!Q484</f>
        <v/>
      </c>
      <c r="S491" s="7">
        <f>'1 datos preparados'!R484</f>
        <v/>
      </c>
      <c r="T491" s="7">
        <f>'1 datos preparados'!S484</f>
        <v/>
      </c>
      <c r="U491" s="7">
        <f>'1 datos preparados'!T484</f>
        <v/>
      </c>
      <c r="V491" s="8">
        <f>$AE$12+D491*$AE$13+E491*$AE$14+F491*$AE$15+G491*$AE$16+H491*$AE$17+I491*$AE$18+J491*$AE$19+K491*$AE$20+L491*$AE$21+M491*$AE$22+N491*$AE$23+O491*$AE$24+P491*$AE$25+Q491*$AE$26+R491*$AE$27+S491*$AE$28+T491*$AE$29+U491*$AE$30</f>
        <v/>
      </c>
      <c r="W491" s="8">
        <f>1/(1+EXP(-V491))</f>
        <v/>
      </c>
      <c r="X491" s="9">
        <f>-IF(C491=1,LN(W491),LN(1-W491))</f>
        <v/>
      </c>
      <c r="Y491" s="8">
        <f>'1 datos preparados'!V484</f>
        <v/>
      </c>
      <c r="Z491" s="9">
        <f>Y491*X491</f>
        <v/>
      </c>
      <c r="AA491" s="10">
        <f>IF(W491&gt;$AE$33,1,0)</f>
        <v/>
      </c>
      <c r="AB491">
        <f>IF(AA491=C491,1,0)</f>
        <v/>
      </c>
    </row>
    <row r="492">
      <c r="A492">
        <f>'1 datos preparados'!A485</f>
        <v/>
      </c>
      <c r="B492" s="5">
        <f>'1 datos preparados'!U485</f>
        <v/>
      </c>
      <c r="C492">
        <f>'1 datos preparados'!B485</f>
        <v/>
      </c>
      <c r="D492" s="7">
        <f>'1 datos preparados'!C485</f>
        <v/>
      </c>
      <c r="E492" s="7">
        <f>'1 datos preparados'!D485</f>
        <v/>
      </c>
      <c r="F492" s="7">
        <f>'1 datos preparados'!E485</f>
        <v/>
      </c>
      <c r="G492" s="7">
        <f>'1 datos preparados'!F485</f>
        <v/>
      </c>
      <c r="H492" s="7">
        <f>'1 datos preparados'!G485</f>
        <v/>
      </c>
      <c r="I492" s="7">
        <f>'1 datos preparados'!H485</f>
        <v/>
      </c>
      <c r="J492" s="7">
        <f>'1 datos preparados'!I485</f>
        <v/>
      </c>
      <c r="K492" s="7">
        <f>'1 datos preparados'!J485</f>
        <v/>
      </c>
      <c r="L492" s="7">
        <f>'1 datos preparados'!K485</f>
        <v/>
      </c>
      <c r="M492" s="7">
        <f>'1 datos preparados'!L485</f>
        <v/>
      </c>
      <c r="N492" s="7">
        <f>'1 datos preparados'!M485</f>
        <v/>
      </c>
      <c r="O492" s="7">
        <f>'1 datos preparados'!N485</f>
        <v/>
      </c>
      <c r="P492" s="7">
        <f>'1 datos preparados'!O485</f>
        <v/>
      </c>
      <c r="Q492" s="7">
        <f>'1 datos preparados'!P485</f>
        <v/>
      </c>
      <c r="R492" s="7">
        <f>'1 datos preparados'!Q485</f>
        <v/>
      </c>
      <c r="S492" s="7">
        <f>'1 datos preparados'!R485</f>
        <v/>
      </c>
      <c r="T492" s="7">
        <f>'1 datos preparados'!S485</f>
        <v/>
      </c>
      <c r="U492" s="7">
        <f>'1 datos preparados'!T485</f>
        <v/>
      </c>
      <c r="V492" s="8">
        <f>$AE$12+D492*$AE$13+E492*$AE$14+F492*$AE$15+G492*$AE$16+H492*$AE$17+I492*$AE$18+J492*$AE$19+K492*$AE$20+L492*$AE$21+M492*$AE$22+N492*$AE$23+O492*$AE$24+P492*$AE$25+Q492*$AE$26+R492*$AE$27+S492*$AE$28+T492*$AE$29+U492*$AE$30</f>
        <v/>
      </c>
      <c r="W492" s="8">
        <f>1/(1+EXP(-V492))</f>
        <v/>
      </c>
      <c r="X492" s="9">
        <f>-IF(C492=1,LN(W492),LN(1-W492))</f>
        <v/>
      </c>
      <c r="Y492" s="8">
        <f>'1 datos preparados'!V485</f>
        <v/>
      </c>
      <c r="Z492" s="9">
        <f>Y492*X492</f>
        <v/>
      </c>
      <c r="AA492" s="10">
        <f>IF(W492&gt;$AE$33,1,0)</f>
        <v/>
      </c>
      <c r="AB492">
        <f>IF(AA492=C492,1,0)</f>
        <v/>
      </c>
    </row>
    <row r="493">
      <c r="A493">
        <f>'1 datos preparados'!A486</f>
        <v/>
      </c>
      <c r="B493" s="5">
        <f>'1 datos preparados'!U486</f>
        <v/>
      </c>
      <c r="C493">
        <f>'1 datos preparados'!B486</f>
        <v/>
      </c>
      <c r="D493" s="7">
        <f>'1 datos preparados'!C486</f>
        <v/>
      </c>
      <c r="E493" s="7">
        <f>'1 datos preparados'!D486</f>
        <v/>
      </c>
      <c r="F493" s="7">
        <f>'1 datos preparados'!E486</f>
        <v/>
      </c>
      <c r="G493" s="7">
        <f>'1 datos preparados'!F486</f>
        <v/>
      </c>
      <c r="H493" s="7">
        <f>'1 datos preparados'!G486</f>
        <v/>
      </c>
      <c r="I493" s="7">
        <f>'1 datos preparados'!H486</f>
        <v/>
      </c>
      <c r="J493" s="7">
        <f>'1 datos preparados'!I486</f>
        <v/>
      </c>
      <c r="K493" s="7">
        <f>'1 datos preparados'!J486</f>
        <v/>
      </c>
      <c r="L493" s="7">
        <f>'1 datos preparados'!K486</f>
        <v/>
      </c>
      <c r="M493" s="7">
        <f>'1 datos preparados'!L486</f>
        <v/>
      </c>
      <c r="N493" s="7">
        <f>'1 datos preparados'!M486</f>
        <v/>
      </c>
      <c r="O493" s="7">
        <f>'1 datos preparados'!N486</f>
        <v/>
      </c>
      <c r="P493" s="7">
        <f>'1 datos preparados'!O486</f>
        <v/>
      </c>
      <c r="Q493" s="7">
        <f>'1 datos preparados'!P486</f>
        <v/>
      </c>
      <c r="R493" s="7">
        <f>'1 datos preparados'!Q486</f>
        <v/>
      </c>
      <c r="S493" s="7">
        <f>'1 datos preparados'!R486</f>
        <v/>
      </c>
      <c r="T493" s="7">
        <f>'1 datos preparados'!S486</f>
        <v/>
      </c>
      <c r="U493" s="7">
        <f>'1 datos preparados'!T486</f>
        <v/>
      </c>
      <c r="V493" s="8">
        <f>$AE$12+D493*$AE$13+E493*$AE$14+F493*$AE$15+G493*$AE$16+H493*$AE$17+I493*$AE$18+J493*$AE$19+K493*$AE$20+L493*$AE$21+M493*$AE$22+N493*$AE$23+O493*$AE$24+P493*$AE$25+Q493*$AE$26+R493*$AE$27+S493*$AE$28+T493*$AE$29+U493*$AE$30</f>
        <v/>
      </c>
      <c r="W493" s="8">
        <f>1/(1+EXP(-V493))</f>
        <v/>
      </c>
      <c r="X493" s="9">
        <f>-IF(C493=1,LN(W493),LN(1-W493))</f>
        <v/>
      </c>
      <c r="Y493" s="8">
        <f>'1 datos preparados'!V486</f>
        <v/>
      </c>
      <c r="Z493" s="9">
        <f>Y493*X493</f>
        <v/>
      </c>
      <c r="AA493" s="10">
        <f>IF(W493&gt;$AE$33,1,0)</f>
        <v/>
      </c>
      <c r="AB493">
        <f>IF(AA493=C493,1,0)</f>
        <v/>
      </c>
    </row>
    <row r="494">
      <c r="A494">
        <f>'1 datos preparados'!A487</f>
        <v/>
      </c>
      <c r="B494" s="5">
        <f>'1 datos preparados'!U487</f>
        <v/>
      </c>
      <c r="C494">
        <f>'1 datos preparados'!B487</f>
        <v/>
      </c>
      <c r="D494" s="7">
        <f>'1 datos preparados'!C487</f>
        <v/>
      </c>
      <c r="E494" s="7">
        <f>'1 datos preparados'!D487</f>
        <v/>
      </c>
      <c r="F494" s="7">
        <f>'1 datos preparados'!E487</f>
        <v/>
      </c>
      <c r="G494" s="7">
        <f>'1 datos preparados'!F487</f>
        <v/>
      </c>
      <c r="H494" s="7">
        <f>'1 datos preparados'!G487</f>
        <v/>
      </c>
      <c r="I494" s="7">
        <f>'1 datos preparados'!H487</f>
        <v/>
      </c>
      <c r="J494" s="7">
        <f>'1 datos preparados'!I487</f>
        <v/>
      </c>
      <c r="K494" s="7">
        <f>'1 datos preparados'!J487</f>
        <v/>
      </c>
      <c r="L494" s="7">
        <f>'1 datos preparados'!K487</f>
        <v/>
      </c>
      <c r="M494" s="7">
        <f>'1 datos preparados'!L487</f>
        <v/>
      </c>
      <c r="N494" s="7">
        <f>'1 datos preparados'!M487</f>
        <v/>
      </c>
      <c r="O494" s="7">
        <f>'1 datos preparados'!N487</f>
        <v/>
      </c>
      <c r="P494" s="7">
        <f>'1 datos preparados'!O487</f>
        <v/>
      </c>
      <c r="Q494" s="7">
        <f>'1 datos preparados'!P487</f>
        <v/>
      </c>
      <c r="R494" s="7">
        <f>'1 datos preparados'!Q487</f>
        <v/>
      </c>
      <c r="S494" s="7">
        <f>'1 datos preparados'!R487</f>
        <v/>
      </c>
      <c r="T494" s="7">
        <f>'1 datos preparados'!S487</f>
        <v/>
      </c>
      <c r="U494" s="7">
        <f>'1 datos preparados'!T487</f>
        <v/>
      </c>
      <c r="V494" s="8">
        <f>$AE$12+D494*$AE$13+E494*$AE$14+F494*$AE$15+G494*$AE$16+H494*$AE$17+I494*$AE$18+J494*$AE$19+K494*$AE$20+L494*$AE$21+M494*$AE$22+N494*$AE$23+O494*$AE$24+P494*$AE$25+Q494*$AE$26+R494*$AE$27+S494*$AE$28+T494*$AE$29+U494*$AE$30</f>
        <v/>
      </c>
      <c r="W494" s="8">
        <f>1/(1+EXP(-V494))</f>
        <v/>
      </c>
      <c r="X494" s="9">
        <f>-IF(C494=1,LN(W494),LN(1-W494))</f>
        <v/>
      </c>
      <c r="Y494" s="8">
        <f>'1 datos preparados'!V487</f>
        <v/>
      </c>
      <c r="Z494" s="9">
        <f>Y494*X494</f>
        <v/>
      </c>
      <c r="AA494" s="10">
        <f>IF(W494&gt;$AE$33,1,0)</f>
        <v/>
      </c>
      <c r="AB494">
        <f>IF(AA494=C494,1,0)</f>
        <v/>
      </c>
    </row>
    <row r="495">
      <c r="A495">
        <f>'1 datos preparados'!A488</f>
        <v/>
      </c>
      <c r="B495" s="5">
        <f>'1 datos preparados'!U488</f>
        <v/>
      </c>
      <c r="C495">
        <f>'1 datos preparados'!B488</f>
        <v/>
      </c>
      <c r="D495" s="7">
        <f>'1 datos preparados'!C488</f>
        <v/>
      </c>
      <c r="E495" s="7">
        <f>'1 datos preparados'!D488</f>
        <v/>
      </c>
      <c r="F495" s="7">
        <f>'1 datos preparados'!E488</f>
        <v/>
      </c>
      <c r="G495" s="7">
        <f>'1 datos preparados'!F488</f>
        <v/>
      </c>
      <c r="H495" s="7">
        <f>'1 datos preparados'!G488</f>
        <v/>
      </c>
      <c r="I495" s="7">
        <f>'1 datos preparados'!H488</f>
        <v/>
      </c>
      <c r="J495" s="7">
        <f>'1 datos preparados'!I488</f>
        <v/>
      </c>
      <c r="K495" s="7">
        <f>'1 datos preparados'!J488</f>
        <v/>
      </c>
      <c r="L495" s="7">
        <f>'1 datos preparados'!K488</f>
        <v/>
      </c>
      <c r="M495" s="7">
        <f>'1 datos preparados'!L488</f>
        <v/>
      </c>
      <c r="N495" s="7">
        <f>'1 datos preparados'!M488</f>
        <v/>
      </c>
      <c r="O495" s="7">
        <f>'1 datos preparados'!N488</f>
        <v/>
      </c>
      <c r="P495" s="7">
        <f>'1 datos preparados'!O488</f>
        <v/>
      </c>
      <c r="Q495" s="7">
        <f>'1 datos preparados'!P488</f>
        <v/>
      </c>
      <c r="R495" s="7">
        <f>'1 datos preparados'!Q488</f>
        <v/>
      </c>
      <c r="S495" s="7">
        <f>'1 datos preparados'!R488</f>
        <v/>
      </c>
      <c r="T495" s="7">
        <f>'1 datos preparados'!S488</f>
        <v/>
      </c>
      <c r="U495" s="7">
        <f>'1 datos preparados'!T488</f>
        <v/>
      </c>
      <c r="V495" s="8">
        <f>$AE$12+D495*$AE$13+E495*$AE$14+F495*$AE$15+G495*$AE$16+H495*$AE$17+I495*$AE$18+J495*$AE$19+K495*$AE$20+L495*$AE$21+M495*$AE$22+N495*$AE$23+O495*$AE$24+P495*$AE$25+Q495*$AE$26+R495*$AE$27+S495*$AE$28+T495*$AE$29+U495*$AE$30</f>
        <v/>
      </c>
      <c r="W495" s="8">
        <f>1/(1+EXP(-V495))</f>
        <v/>
      </c>
      <c r="X495" s="9">
        <f>-IF(C495=1,LN(W495),LN(1-W495))</f>
        <v/>
      </c>
      <c r="Y495" s="8">
        <f>'1 datos preparados'!V488</f>
        <v/>
      </c>
      <c r="Z495" s="9">
        <f>Y495*X495</f>
        <v/>
      </c>
      <c r="AA495" s="10">
        <f>IF(W495&gt;$AE$33,1,0)</f>
        <v/>
      </c>
      <c r="AB495">
        <f>IF(AA495=C495,1,0)</f>
        <v/>
      </c>
    </row>
    <row r="496">
      <c r="A496">
        <f>'1 datos preparados'!A489</f>
        <v/>
      </c>
      <c r="B496" s="5">
        <f>'1 datos preparados'!U489</f>
        <v/>
      </c>
      <c r="C496">
        <f>'1 datos preparados'!B489</f>
        <v/>
      </c>
      <c r="D496" s="7">
        <f>'1 datos preparados'!C489</f>
        <v/>
      </c>
      <c r="E496" s="7">
        <f>'1 datos preparados'!D489</f>
        <v/>
      </c>
      <c r="F496" s="7">
        <f>'1 datos preparados'!E489</f>
        <v/>
      </c>
      <c r="G496" s="7">
        <f>'1 datos preparados'!F489</f>
        <v/>
      </c>
      <c r="H496" s="7">
        <f>'1 datos preparados'!G489</f>
        <v/>
      </c>
      <c r="I496" s="7">
        <f>'1 datos preparados'!H489</f>
        <v/>
      </c>
      <c r="J496" s="7">
        <f>'1 datos preparados'!I489</f>
        <v/>
      </c>
      <c r="K496" s="7">
        <f>'1 datos preparados'!J489</f>
        <v/>
      </c>
      <c r="L496" s="7">
        <f>'1 datos preparados'!K489</f>
        <v/>
      </c>
      <c r="M496" s="7">
        <f>'1 datos preparados'!L489</f>
        <v/>
      </c>
      <c r="N496" s="7">
        <f>'1 datos preparados'!M489</f>
        <v/>
      </c>
      <c r="O496" s="7">
        <f>'1 datos preparados'!N489</f>
        <v/>
      </c>
      <c r="P496" s="7">
        <f>'1 datos preparados'!O489</f>
        <v/>
      </c>
      <c r="Q496" s="7">
        <f>'1 datos preparados'!P489</f>
        <v/>
      </c>
      <c r="R496" s="7">
        <f>'1 datos preparados'!Q489</f>
        <v/>
      </c>
      <c r="S496" s="7">
        <f>'1 datos preparados'!R489</f>
        <v/>
      </c>
      <c r="T496" s="7">
        <f>'1 datos preparados'!S489</f>
        <v/>
      </c>
      <c r="U496" s="7">
        <f>'1 datos preparados'!T489</f>
        <v/>
      </c>
      <c r="V496" s="8">
        <f>$AE$12+D496*$AE$13+E496*$AE$14+F496*$AE$15+G496*$AE$16+H496*$AE$17+I496*$AE$18+J496*$AE$19+K496*$AE$20+L496*$AE$21+M496*$AE$22+N496*$AE$23+O496*$AE$24+P496*$AE$25+Q496*$AE$26+R496*$AE$27+S496*$AE$28+T496*$AE$29+U496*$AE$30</f>
        <v/>
      </c>
      <c r="W496" s="8">
        <f>1/(1+EXP(-V496))</f>
        <v/>
      </c>
      <c r="X496" s="9">
        <f>-IF(C496=1,LN(W496),LN(1-W496))</f>
        <v/>
      </c>
      <c r="Y496" s="8">
        <f>'1 datos preparados'!V489</f>
        <v/>
      </c>
      <c r="Z496" s="9">
        <f>Y496*X496</f>
        <v/>
      </c>
      <c r="AA496" s="10">
        <f>IF(W496&gt;$AE$33,1,0)</f>
        <v/>
      </c>
      <c r="AB496">
        <f>IF(AA496=C496,1,0)</f>
        <v/>
      </c>
    </row>
    <row r="497">
      <c r="A497">
        <f>'1 datos preparados'!A490</f>
        <v/>
      </c>
      <c r="B497" s="5">
        <f>'1 datos preparados'!U490</f>
        <v/>
      </c>
      <c r="C497">
        <f>'1 datos preparados'!B490</f>
        <v/>
      </c>
      <c r="D497" s="7">
        <f>'1 datos preparados'!C490</f>
        <v/>
      </c>
      <c r="E497" s="7">
        <f>'1 datos preparados'!D490</f>
        <v/>
      </c>
      <c r="F497" s="7">
        <f>'1 datos preparados'!E490</f>
        <v/>
      </c>
      <c r="G497" s="7">
        <f>'1 datos preparados'!F490</f>
        <v/>
      </c>
      <c r="H497" s="7">
        <f>'1 datos preparados'!G490</f>
        <v/>
      </c>
      <c r="I497" s="7">
        <f>'1 datos preparados'!H490</f>
        <v/>
      </c>
      <c r="J497" s="7">
        <f>'1 datos preparados'!I490</f>
        <v/>
      </c>
      <c r="K497" s="7">
        <f>'1 datos preparados'!J490</f>
        <v/>
      </c>
      <c r="L497" s="7">
        <f>'1 datos preparados'!K490</f>
        <v/>
      </c>
      <c r="M497" s="7">
        <f>'1 datos preparados'!L490</f>
        <v/>
      </c>
      <c r="N497" s="7">
        <f>'1 datos preparados'!M490</f>
        <v/>
      </c>
      <c r="O497" s="7">
        <f>'1 datos preparados'!N490</f>
        <v/>
      </c>
      <c r="P497" s="7">
        <f>'1 datos preparados'!O490</f>
        <v/>
      </c>
      <c r="Q497" s="7">
        <f>'1 datos preparados'!P490</f>
        <v/>
      </c>
      <c r="R497" s="7">
        <f>'1 datos preparados'!Q490</f>
        <v/>
      </c>
      <c r="S497" s="7">
        <f>'1 datos preparados'!R490</f>
        <v/>
      </c>
      <c r="T497" s="7">
        <f>'1 datos preparados'!S490</f>
        <v/>
      </c>
      <c r="U497" s="7">
        <f>'1 datos preparados'!T490</f>
        <v/>
      </c>
      <c r="V497" s="8">
        <f>$AE$12+D497*$AE$13+E497*$AE$14+F497*$AE$15+G497*$AE$16+H497*$AE$17+I497*$AE$18+J497*$AE$19+K497*$AE$20+L497*$AE$21+M497*$AE$22+N497*$AE$23+O497*$AE$24+P497*$AE$25+Q497*$AE$26+R497*$AE$27+S497*$AE$28+T497*$AE$29+U497*$AE$30</f>
        <v/>
      </c>
      <c r="W497" s="8">
        <f>1/(1+EXP(-V497))</f>
        <v/>
      </c>
      <c r="X497" s="9">
        <f>-IF(C497=1,LN(W497),LN(1-W497))</f>
        <v/>
      </c>
      <c r="Y497" s="8">
        <f>'1 datos preparados'!V490</f>
        <v/>
      </c>
      <c r="Z497" s="9">
        <f>Y497*X497</f>
        <v/>
      </c>
      <c r="AA497" s="10">
        <f>IF(W497&gt;$AE$33,1,0)</f>
        <v/>
      </c>
      <c r="AB497">
        <f>IF(AA497=C497,1,0)</f>
        <v/>
      </c>
    </row>
    <row r="498">
      <c r="A498">
        <f>'1 datos preparados'!A491</f>
        <v/>
      </c>
      <c r="B498" s="5">
        <f>'1 datos preparados'!U491</f>
        <v/>
      </c>
      <c r="C498">
        <f>'1 datos preparados'!B491</f>
        <v/>
      </c>
      <c r="D498" s="7">
        <f>'1 datos preparados'!C491</f>
        <v/>
      </c>
      <c r="E498" s="7">
        <f>'1 datos preparados'!D491</f>
        <v/>
      </c>
      <c r="F498" s="7">
        <f>'1 datos preparados'!E491</f>
        <v/>
      </c>
      <c r="G498" s="7">
        <f>'1 datos preparados'!F491</f>
        <v/>
      </c>
      <c r="H498" s="7">
        <f>'1 datos preparados'!G491</f>
        <v/>
      </c>
      <c r="I498" s="7">
        <f>'1 datos preparados'!H491</f>
        <v/>
      </c>
      <c r="J498" s="7">
        <f>'1 datos preparados'!I491</f>
        <v/>
      </c>
      <c r="K498" s="7">
        <f>'1 datos preparados'!J491</f>
        <v/>
      </c>
      <c r="L498" s="7">
        <f>'1 datos preparados'!K491</f>
        <v/>
      </c>
      <c r="M498" s="7">
        <f>'1 datos preparados'!L491</f>
        <v/>
      </c>
      <c r="N498" s="7">
        <f>'1 datos preparados'!M491</f>
        <v/>
      </c>
      <c r="O498" s="7">
        <f>'1 datos preparados'!N491</f>
        <v/>
      </c>
      <c r="P498" s="7">
        <f>'1 datos preparados'!O491</f>
        <v/>
      </c>
      <c r="Q498" s="7">
        <f>'1 datos preparados'!P491</f>
        <v/>
      </c>
      <c r="R498" s="7">
        <f>'1 datos preparados'!Q491</f>
        <v/>
      </c>
      <c r="S498" s="7">
        <f>'1 datos preparados'!R491</f>
        <v/>
      </c>
      <c r="T498" s="7">
        <f>'1 datos preparados'!S491</f>
        <v/>
      </c>
      <c r="U498" s="7">
        <f>'1 datos preparados'!T491</f>
        <v/>
      </c>
      <c r="V498" s="8">
        <f>$AE$12+D498*$AE$13+E498*$AE$14+F498*$AE$15+G498*$AE$16+H498*$AE$17+I498*$AE$18+J498*$AE$19+K498*$AE$20+L498*$AE$21+M498*$AE$22+N498*$AE$23+O498*$AE$24+P498*$AE$25+Q498*$AE$26+R498*$AE$27+S498*$AE$28+T498*$AE$29+U498*$AE$30</f>
        <v/>
      </c>
      <c r="W498" s="8">
        <f>1/(1+EXP(-V498))</f>
        <v/>
      </c>
      <c r="X498" s="9">
        <f>-IF(C498=1,LN(W498),LN(1-W498))</f>
        <v/>
      </c>
      <c r="Y498" s="8">
        <f>'1 datos preparados'!V491</f>
        <v/>
      </c>
      <c r="Z498" s="9">
        <f>Y498*X498</f>
        <v/>
      </c>
      <c r="AA498" s="10">
        <f>IF(W498&gt;$AE$33,1,0)</f>
        <v/>
      </c>
      <c r="AB498">
        <f>IF(AA498=C498,1,0)</f>
        <v/>
      </c>
    </row>
    <row r="499">
      <c r="A499">
        <f>'1 datos preparados'!A492</f>
        <v/>
      </c>
      <c r="B499" s="5">
        <f>'1 datos preparados'!U492</f>
        <v/>
      </c>
      <c r="C499">
        <f>'1 datos preparados'!B492</f>
        <v/>
      </c>
      <c r="D499" s="7">
        <f>'1 datos preparados'!C492</f>
        <v/>
      </c>
      <c r="E499" s="7">
        <f>'1 datos preparados'!D492</f>
        <v/>
      </c>
      <c r="F499" s="7">
        <f>'1 datos preparados'!E492</f>
        <v/>
      </c>
      <c r="G499" s="7">
        <f>'1 datos preparados'!F492</f>
        <v/>
      </c>
      <c r="H499" s="7">
        <f>'1 datos preparados'!G492</f>
        <v/>
      </c>
      <c r="I499" s="7">
        <f>'1 datos preparados'!H492</f>
        <v/>
      </c>
      <c r="J499" s="7">
        <f>'1 datos preparados'!I492</f>
        <v/>
      </c>
      <c r="K499" s="7">
        <f>'1 datos preparados'!J492</f>
        <v/>
      </c>
      <c r="L499" s="7">
        <f>'1 datos preparados'!K492</f>
        <v/>
      </c>
      <c r="M499" s="7">
        <f>'1 datos preparados'!L492</f>
        <v/>
      </c>
      <c r="N499" s="7">
        <f>'1 datos preparados'!M492</f>
        <v/>
      </c>
      <c r="O499" s="7">
        <f>'1 datos preparados'!N492</f>
        <v/>
      </c>
      <c r="P499" s="7">
        <f>'1 datos preparados'!O492</f>
        <v/>
      </c>
      <c r="Q499" s="7">
        <f>'1 datos preparados'!P492</f>
        <v/>
      </c>
      <c r="R499" s="7">
        <f>'1 datos preparados'!Q492</f>
        <v/>
      </c>
      <c r="S499" s="7">
        <f>'1 datos preparados'!R492</f>
        <v/>
      </c>
      <c r="T499" s="7">
        <f>'1 datos preparados'!S492</f>
        <v/>
      </c>
      <c r="U499" s="7">
        <f>'1 datos preparados'!T492</f>
        <v/>
      </c>
      <c r="V499" s="8">
        <f>$AE$12+D499*$AE$13+E499*$AE$14+F499*$AE$15+G499*$AE$16+H499*$AE$17+I499*$AE$18+J499*$AE$19+K499*$AE$20+L499*$AE$21+M499*$AE$22+N499*$AE$23+O499*$AE$24+P499*$AE$25+Q499*$AE$26+R499*$AE$27+S499*$AE$28+T499*$AE$29+U499*$AE$30</f>
        <v/>
      </c>
      <c r="W499" s="8">
        <f>1/(1+EXP(-V499))</f>
        <v/>
      </c>
      <c r="X499" s="9">
        <f>-IF(C499=1,LN(W499),LN(1-W499))</f>
        <v/>
      </c>
      <c r="Y499" s="8">
        <f>'1 datos preparados'!V492</f>
        <v/>
      </c>
      <c r="Z499" s="9">
        <f>Y499*X499</f>
        <v/>
      </c>
      <c r="AA499" s="10">
        <f>IF(W499&gt;$AE$33,1,0)</f>
        <v/>
      </c>
      <c r="AB499">
        <f>IF(AA499=C499,1,0)</f>
        <v/>
      </c>
    </row>
    <row r="500">
      <c r="A500">
        <f>'1 datos preparados'!A493</f>
        <v/>
      </c>
      <c r="B500" s="5">
        <f>'1 datos preparados'!U493</f>
        <v/>
      </c>
      <c r="C500">
        <f>'1 datos preparados'!B493</f>
        <v/>
      </c>
      <c r="D500" s="7">
        <f>'1 datos preparados'!C493</f>
        <v/>
      </c>
      <c r="E500" s="7">
        <f>'1 datos preparados'!D493</f>
        <v/>
      </c>
      <c r="F500" s="7">
        <f>'1 datos preparados'!E493</f>
        <v/>
      </c>
      <c r="G500" s="7">
        <f>'1 datos preparados'!F493</f>
        <v/>
      </c>
      <c r="H500" s="7">
        <f>'1 datos preparados'!G493</f>
        <v/>
      </c>
      <c r="I500" s="7">
        <f>'1 datos preparados'!H493</f>
        <v/>
      </c>
      <c r="J500" s="7">
        <f>'1 datos preparados'!I493</f>
        <v/>
      </c>
      <c r="K500" s="7">
        <f>'1 datos preparados'!J493</f>
        <v/>
      </c>
      <c r="L500" s="7">
        <f>'1 datos preparados'!K493</f>
        <v/>
      </c>
      <c r="M500" s="7">
        <f>'1 datos preparados'!L493</f>
        <v/>
      </c>
      <c r="N500" s="7">
        <f>'1 datos preparados'!M493</f>
        <v/>
      </c>
      <c r="O500" s="7">
        <f>'1 datos preparados'!N493</f>
        <v/>
      </c>
      <c r="P500" s="7">
        <f>'1 datos preparados'!O493</f>
        <v/>
      </c>
      <c r="Q500" s="7">
        <f>'1 datos preparados'!P493</f>
        <v/>
      </c>
      <c r="R500" s="7">
        <f>'1 datos preparados'!Q493</f>
        <v/>
      </c>
      <c r="S500" s="7">
        <f>'1 datos preparados'!R493</f>
        <v/>
      </c>
      <c r="T500" s="7">
        <f>'1 datos preparados'!S493</f>
        <v/>
      </c>
      <c r="U500" s="7">
        <f>'1 datos preparados'!T493</f>
        <v/>
      </c>
      <c r="V500" s="8">
        <f>$AE$12+D500*$AE$13+E500*$AE$14+F500*$AE$15+G500*$AE$16+H500*$AE$17+I500*$AE$18+J500*$AE$19+K500*$AE$20+L500*$AE$21+M500*$AE$22+N500*$AE$23+O500*$AE$24+P500*$AE$25+Q500*$AE$26+R500*$AE$27+S500*$AE$28+T500*$AE$29+U500*$AE$30</f>
        <v/>
      </c>
      <c r="W500" s="8">
        <f>1/(1+EXP(-V500))</f>
        <v/>
      </c>
      <c r="X500" s="9">
        <f>-IF(C500=1,LN(W500),LN(1-W500))</f>
        <v/>
      </c>
      <c r="Y500" s="8">
        <f>'1 datos preparados'!V493</f>
        <v/>
      </c>
      <c r="Z500" s="9">
        <f>Y500*X500</f>
        <v/>
      </c>
      <c r="AA500" s="10">
        <f>IF(W500&gt;$AE$33,1,0)</f>
        <v/>
      </c>
      <c r="AB500">
        <f>IF(AA500=C500,1,0)</f>
        <v/>
      </c>
    </row>
    <row r="501">
      <c r="A501">
        <f>'1 datos preparados'!A494</f>
        <v/>
      </c>
      <c r="B501" s="5">
        <f>'1 datos preparados'!U494</f>
        <v/>
      </c>
      <c r="C501">
        <f>'1 datos preparados'!B494</f>
        <v/>
      </c>
      <c r="D501" s="7">
        <f>'1 datos preparados'!C494</f>
        <v/>
      </c>
      <c r="E501" s="7">
        <f>'1 datos preparados'!D494</f>
        <v/>
      </c>
      <c r="F501" s="7">
        <f>'1 datos preparados'!E494</f>
        <v/>
      </c>
      <c r="G501" s="7">
        <f>'1 datos preparados'!F494</f>
        <v/>
      </c>
      <c r="H501" s="7">
        <f>'1 datos preparados'!G494</f>
        <v/>
      </c>
      <c r="I501" s="7">
        <f>'1 datos preparados'!H494</f>
        <v/>
      </c>
      <c r="J501" s="7">
        <f>'1 datos preparados'!I494</f>
        <v/>
      </c>
      <c r="K501" s="7">
        <f>'1 datos preparados'!J494</f>
        <v/>
      </c>
      <c r="L501" s="7">
        <f>'1 datos preparados'!K494</f>
        <v/>
      </c>
      <c r="M501" s="7">
        <f>'1 datos preparados'!L494</f>
        <v/>
      </c>
      <c r="N501" s="7">
        <f>'1 datos preparados'!M494</f>
        <v/>
      </c>
      <c r="O501" s="7">
        <f>'1 datos preparados'!N494</f>
        <v/>
      </c>
      <c r="P501" s="7">
        <f>'1 datos preparados'!O494</f>
        <v/>
      </c>
      <c r="Q501" s="7">
        <f>'1 datos preparados'!P494</f>
        <v/>
      </c>
      <c r="R501" s="7">
        <f>'1 datos preparados'!Q494</f>
        <v/>
      </c>
      <c r="S501" s="7">
        <f>'1 datos preparados'!R494</f>
        <v/>
      </c>
      <c r="T501" s="7">
        <f>'1 datos preparados'!S494</f>
        <v/>
      </c>
      <c r="U501" s="7">
        <f>'1 datos preparados'!T494</f>
        <v/>
      </c>
      <c r="V501" s="8">
        <f>$AE$12+D501*$AE$13+E501*$AE$14+F501*$AE$15+G501*$AE$16+H501*$AE$17+I501*$AE$18+J501*$AE$19+K501*$AE$20+L501*$AE$21+M501*$AE$22+N501*$AE$23+O501*$AE$24+P501*$AE$25+Q501*$AE$26+R501*$AE$27+S501*$AE$28+T501*$AE$29+U501*$AE$30</f>
        <v/>
      </c>
      <c r="W501" s="8">
        <f>1/(1+EXP(-V501))</f>
        <v/>
      </c>
      <c r="X501" s="9">
        <f>-IF(C501=1,LN(W501),LN(1-W501))</f>
        <v/>
      </c>
      <c r="Y501" s="8">
        <f>'1 datos preparados'!V494</f>
        <v/>
      </c>
      <c r="Z501" s="9">
        <f>Y501*X501</f>
        <v/>
      </c>
      <c r="AA501" s="10">
        <f>IF(W501&gt;$AE$33,1,0)</f>
        <v/>
      </c>
      <c r="AB501">
        <f>IF(AA501=C501,1,0)</f>
        <v/>
      </c>
    </row>
    <row r="502">
      <c r="A502">
        <f>'1 datos preparados'!A495</f>
        <v/>
      </c>
      <c r="B502" s="5">
        <f>'1 datos preparados'!U495</f>
        <v/>
      </c>
      <c r="C502">
        <f>'1 datos preparados'!B495</f>
        <v/>
      </c>
      <c r="D502" s="7">
        <f>'1 datos preparados'!C495</f>
        <v/>
      </c>
      <c r="E502" s="7">
        <f>'1 datos preparados'!D495</f>
        <v/>
      </c>
      <c r="F502" s="7">
        <f>'1 datos preparados'!E495</f>
        <v/>
      </c>
      <c r="G502" s="7">
        <f>'1 datos preparados'!F495</f>
        <v/>
      </c>
      <c r="H502" s="7">
        <f>'1 datos preparados'!G495</f>
        <v/>
      </c>
      <c r="I502" s="7">
        <f>'1 datos preparados'!H495</f>
        <v/>
      </c>
      <c r="J502" s="7">
        <f>'1 datos preparados'!I495</f>
        <v/>
      </c>
      <c r="K502" s="7">
        <f>'1 datos preparados'!J495</f>
        <v/>
      </c>
      <c r="L502" s="7">
        <f>'1 datos preparados'!K495</f>
        <v/>
      </c>
      <c r="M502" s="7">
        <f>'1 datos preparados'!L495</f>
        <v/>
      </c>
      <c r="N502" s="7">
        <f>'1 datos preparados'!M495</f>
        <v/>
      </c>
      <c r="O502" s="7">
        <f>'1 datos preparados'!N495</f>
        <v/>
      </c>
      <c r="P502" s="7">
        <f>'1 datos preparados'!O495</f>
        <v/>
      </c>
      <c r="Q502" s="7">
        <f>'1 datos preparados'!P495</f>
        <v/>
      </c>
      <c r="R502" s="7">
        <f>'1 datos preparados'!Q495</f>
        <v/>
      </c>
      <c r="S502" s="7">
        <f>'1 datos preparados'!R495</f>
        <v/>
      </c>
      <c r="T502" s="7">
        <f>'1 datos preparados'!S495</f>
        <v/>
      </c>
      <c r="U502" s="7">
        <f>'1 datos preparados'!T495</f>
        <v/>
      </c>
      <c r="V502" s="8">
        <f>$AE$12+D502*$AE$13+E502*$AE$14+F502*$AE$15+G502*$AE$16+H502*$AE$17+I502*$AE$18+J502*$AE$19+K502*$AE$20+L502*$AE$21+M502*$AE$22+N502*$AE$23+O502*$AE$24+P502*$AE$25+Q502*$AE$26+R502*$AE$27+S502*$AE$28+T502*$AE$29+U502*$AE$30</f>
        <v/>
      </c>
      <c r="W502" s="8">
        <f>1/(1+EXP(-V502))</f>
        <v/>
      </c>
      <c r="X502" s="9">
        <f>-IF(C502=1,LN(W502),LN(1-W502))</f>
        <v/>
      </c>
      <c r="Y502" s="8">
        <f>'1 datos preparados'!V495</f>
        <v/>
      </c>
      <c r="Z502" s="9">
        <f>Y502*X502</f>
        <v/>
      </c>
      <c r="AA502" s="10">
        <f>IF(W502&gt;$AE$33,1,0)</f>
        <v/>
      </c>
      <c r="AB502">
        <f>IF(AA502=C502,1,0)</f>
        <v/>
      </c>
    </row>
    <row r="503">
      <c r="A503">
        <f>'1 datos preparados'!A496</f>
        <v/>
      </c>
      <c r="B503" s="5">
        <f>'1 datos preparados'!U496</f>
        <v/>
      </c>
      <c r="C503">
        <f>'1 datos preparados'!B496</f>
        <v/>
      </c>
      <c r="D503" s="7">
        <f>'1 datos preparados'!C496</f>
        <v/>
      </c>
      <c r="E503" s="7">
        <f>'1 datos preparados'!D496</f>
        <v/>
      </c>
      <c r="F503" s="7">
        <f>'1 datos preparados'!E496</f>
        <v/>
      </c>
      <c r="G503" s="7">
        <f>'1 datos preparados'!F496</f>
        <v/>
      </c>
      <c r="H503" s="7">
        <f>'1 datos preparados'!G496</f>
        <v/>
      </c>
      <c r="I503" s="7">
        <f>'1 datos preparados'!H496</f>
        <v/>
      </c>
      <c r="J503" s="7">
        <f>'1 datos preparados'!I496</f>
        <v/>
      </c>
      <c r="K503" s="7">
        <f>'1 datos preparados'!J496</f>
        <v/>
      </c>
      <c r="L503" s="7">
        <f>'1 datos preparados'!K496</f>
        <v/>
      </c>
      <c r="M503" s="7">
        <f>'1 datos preparados'!L496</f>
        <v/>
      </c>
      <c r="N503" s="7">
        <f>'1 datos preparados'!M496</f>
        <v/>
      </c>
      <c r="O503" s="7">
        <f>'1 datos preparados'!N496</f>
        <v/>
      </c>
      <c r="P503" s="7">
        <f>'1 datos preparados'!O496</f>
        <v/>
      </c>
      <c r="Q503" s="7">
        <f>'1 datos preparados'!P496</f>
        <v/>
      </c>
      <c r="R503" s="7">
        <f>'1 datos preparados'!Q496</f>
        <v/>
      </c>
      <c r="S503" s="7">
        <f>'1 datos preparados'!R496</f>
        <v/>
      </c>
      <c r="T503" s="7">
        <f>'1 datos preparados'!S496</f>
        <v/>
      </c>
      <c r="U503" s="7">
        <f>'1 datos preparados'!T496</f>
        <v/>
      </c>
      <c r="V503" s="8">
        <f>$AE$12+D503*$AE$13+E503*$AE$14+F503*$AE$15+G503*$AE$16+H503*$AE$17+I503*$AE$18+J503*$AE$19+K503*$AE$20+L503*$AE$21+M503*$AE$22+N503*$AE$23+O503*$AE$24+P503*$AE$25+Q503*$AE$26+R503*$AE$27+S503*$AE$28+T503*$AE$29+U503*$AE$30</f>
        <v/>
      </c>
      <c r="W503" s="8">
        <f>1/(1+EXP(-V503))</f>
        <v/>
      </c>
      <c r="X503" s="9">
        <f>-IF(C503=1,LN(W503),LN(1-W503))</f>
        <v/>
      </c>
      <c r="Y503" s="8">
        <f>'1 datos preparados'!V496</f>
        <v/>
      </c>
      <c r="Z503" s="9">
        <f>Y503*X503</f>
        <v/>
      </c>
      <c r="AA503" s="10">
        <f>IF(W503&gt;$AE$33,1,0)</f>
        <v/>
      </c>
      <c r="AB503">
        <f>IF(AA503=C503,1,0)</f>
        <v/>
      </c>
    </row>
    <row r="504">
      <c r="A504">
        <f>'1 datos preparados'!A497</f>
        <v/>
      </c>
      <c r="B504" s="5">
        <f>'1 datos preparados'!U497</f>
        <v/>
      </c>
      <c r="C504">
        <f>'1 datos preparados'!B497</f>
        <v/>
      </c>
      <c r="D504" s="7">
        <f>'1 datos preparados'!C497</f>
        <v/>
      </c>
      <c r="E504" s="7">
        <f>'1 datos preparados'!D497</f>
        <v/>
      </c>
      <c r="F504" s="7">
        <f>'1 datos preparados'!E497</f>
        <v/>
      </c>
      <c r="G504" s="7">
        <f>'1 datos preparados'!F497</f>
        <v/>
      </c>
      <c r="H504" s="7">
        <f>'1 datos preparados'!G497</f>
        <v/>
      </c>
      <c r="I504" s="7">
        <f>'1 datos preparados'!H497</f>
        <v/>
      </c>
      <c r="J504" s="7">
        <f>'1 datos preparados'!I497</f>
        <v/>
      </c>
      <c r="K504" s="7">
        <f>'1 datos preparados'!J497</f>
        <v/>
      </c>
      <c r="L504" s="7">
        <f>'1 datos preparados'!K497</f>
        <v/>
      </c>
      <c r="M504" s="7">
        <f>'1 datos preparados'!L497</f>
        <v/>
      </c>
      <c r="N504" s="7">
        <f>'1 datos preparados'!M497</f>
        <v/>
      </c>
      <c r="O504" s="7">
        <f>'1 datos preparados'!N497</f>
        <v/>
      </c>
      <c r="P504" s="7">
        <f>'1 datos preparados'!O497</f>
        <v/>
      </c>
      <c r="Q504" s="7">
        <f>'1 datos preparados'!P497</f>
        <v/>
      </c>
      <c r="R504" s="7">
        <f>'1 datos preparados'!Q497</f>
        <v/>
      </c>
      <c r="S504" s="7">
        <f>'1 datos preparados'!R497</f>
        <v/>
      </c>
      <c r="T504" s="7">
        <f>'1 datos preparados'!S497</f>
        <v/>
      </c>
      <c r="U504" s="7">
        <f>'1 datos preparados'!T497</f>
        <v/>
      </c>
      <c r="V504" s="8">
        <f>$AE$12+D504*$AE$13+E504*$AE$14+F504*$AE$15+G504*$AE$16+H504*$AE$17+I504*$AE$18+J504*$AE$19+K504*$AE$20+L504*$AE$21+M504*$AE$22+N504*$AE$23+O504*$AE$24+P504*$AE$25+Q504*$AE$26+R504*$AE$27+S504*$AE$28+T504*$AE$29+U504*$AE$30</f>
        <v/>
      </c>
      <c r="W504" s="8">
        <f>1/(1+EXP(-V504))</f>
        <v/>
      </c>
      <c r="X504" s="9">
        <f>-IF(C504=1,LN(W504),LN(1-W504))</f>
        <v/>
      </c>
      <c r="Y504" s="8">
        <f>'1 datos preparados'!V497</f>
        <v/>
      </c>
      <c r="Z504" s="9">
        <f>Y504*X504</f>
        <v/>
      </c>
      <c r="AA504" s="10">
        <f>IF(W504&gt;$AE$33,1,0)</f>
        <v/>
      </c>
      <c r="AB504">
        <f>IF(AA504=C504,1,0)</f>
        <v/>
      </c>
    </row>
    <row r="505">
      <c r="A505">
        <f>'1 datos preparados'!A498</f>
        <v/>
      </c>
      <c r="B505" s="5">
        <f>'1 datos preparados'!U498</f>
        <v/>
      </c>
      <c r="C505">
        <f>'1 datos preparados'!B498</f>
        <v/>
      </c>
      <c r="D505" s="7">
        <f>'1 datos preparados'!C498</f>
        <v/>
      </c>
      <c r="E505" s="7">
        <f>'1 datos preparados'!D498</f>
        <v/>
      </c>
      <c r="F505" s="7">
        <f>'1 datos preparados'!E498</f>
        <v/>
      </c>
      <c r="G505" s="7">
        <f>'1 datos preparados'!F498</f>
        <v/>
      </c>
      <c r="H505" s="7">
        <f>'1 datos preparados'!G498</f>
        <v/>
      </c>
      <c r="I505" s="7">
        <f>'1 datos preparados'!H498</f>
        <v/>
      </c>
      <c r="J505" s="7">
        <f>'1 datos preparados'!I498</f>
        <v/>
      </c>
      <c r="K505" s="7">
        <f>'1 datos preparados'!J498</f>
        <v/>
      </c>
      <c r="L505" s="7">
        <f>'1 datos preparados'!K498</f>
        <v/>
      </c>
      <c r="M505" s="7">
        <f>'1 datos preparados'!L498</f>
        <v/>
      </c>
      <c r="N505" s="7">
        <f>'1 datos preparados'!M498</f>
        <v/>
      </c>
      <c r="O505" s="7">
        <f>'1 datos preparados'!N498</f>
        <v/>
      </c>
      <c r="P505" s="7">
        <f>'1 datos preparados'!O498</f>
        <v/>
      </c>
      <c r="Q505" s="7">
        <f>'1 datos preparados'!P498</f>
        <v/>
      </c>
      <c r="R505" s="7">
        <f>'1 datos preparados'!Q498</f>
        <v/>
      </c>
      <c r="S505" s="7">
        <f>'1 datos preparados'!R498</f>
        <v/>
      </c>
      <c r="T505" s="7">
        <f>'1 datos preparados'!S498</f>
        <v/>
      </c>
      <c r="U505" s="7">
        <f>'1 datos preparados'!T498</f>
        <v/>
      </c>
      <c r="V505" s="8">
        <f>$AE$12+D505*$AE$13+E505*$AE$14+F505*$AE$15+G505*$AE$16+H505*$AE$17+I505*$AE$18+J505*$AE$19+K505*$AE$20+L505*$AE$21+M505*$AE$22+N505*$AE$23+O505*$AE$24+P505*$AE$25+Q505*$AE$26+R505*$AE$27+S505*$AE$28+T505*$AE$29+U505*$AE$30</f>
        <v/>
      </c>
      <c r="W505" s="8">
        <f>1/(1+EXP(-V505))</f>
        <v/>
      </c>
      <c r="X505" s="9">
        <f>-IF(C505=1,LN(W505),LN(1-W505))</f>
        <v/>
      </c>
      <c r="Y505" s="8">
        <f>'1 datos preparados'!V498</f>
        <v/>
      </c>
      <c r="Z505" s="9">
        <f>Y505*X505</f>
        <v/>
      </c>
      <c r="AA505" s="10">
        <f>IF(W505&gt;$AE$33,1,0)</f>
        <v/>
      </c>
      <c r="AB505">
        <f>IF(AA505=C505,1,0)</f>
        <v/>
      </c>
    </row>
    <row r="506">
      <c r="A506">
        <f>'1 datos preparados'!A499</f>
        <v/>
      </c>
      <c r="B506" s="5">
        <f>'1 datos preparados'!U499</f>
        <v/>
      </c>
      <c r="C506">
        <f>'1 datos preparados'!B499</f>
        <v/>
      </c>
      <c r="D506" s="7">
        <f>'1 datos preparados'!C499</f>
        <v/>
      </c>
      <c r="E506" s="7">
        <f>'1 datos preparados'!D499</f>
        <v/>
      </c>
      <c r="F506" s="7">
        <f>'1 datos preparados'!E499</f>
        <v/>
      </c>
      <c r="G506" s="7">
        <f>'1 datos preparados'!F499</f>
        <v/>
      </c>
      <c r="H506" s="7">
        <f>'1 datos preparados'!G499</f>
        <v/>
      </c>
      <c r="I506" s="7">
        <f>'1 datos preparados'!H499</f>
        <v/>
      </c>
      <c r="J506" s="7">
        <f>'1 datos preparados'!I499</f>
        <v/>
      </c>
      <c r="K506" s="7">
        <f>'1 datos preparados'!J499</f>
        <v/>
      </c>
      <c r="L506" s="7">
        <f>'1 datos preparados'!K499</f>
        <v/>
      </c>
      <c r="M506" s="7">
        <f>'1 datos preparados'!L499</f>
        <v/>
      </c>
      <c r="N506" s="7">
        <f>'1 datos preparados'!M499</f>
        <v/>
      </c>
      <c r="O506" s="7">
        <f>'1 datos preparados'!N499</f>
        <v/>
      </c>
      <c r="P506" s="7">
        <f>'1 datos preparados'!O499</f>
        <v/>
      </c>
      <c r="Q506" s="7">
        <f>'1 datos preparados'!P499</f>
        <v/>
      </c>
      <c r="R506" s="7">
        <f>'1 datos preparados'!Q499</f>
        <v/>
      </c>
      <c r="S506" s="7">
        <f>'1 datos preparados'!R499</f>
        <v/>
      </c>
      <c r="T506" s="7">
        <f>'1 datos preparados'!S499</f>
        <v/>
      </c>
      <c r="U506" s="7">
        <f>'1 datos preparados'!T499</f>
        <v/>
      </c>
      <c r="V506" s="8">
        <f>$AE$12+D506*$AE$13+E506*$AE$14+F506*$AE$15+G506*$AE$16+H506*$AE$17+I506*$AE$18+J506*$AE$19+K506*$AE$20+L506*$AE$21+M506*$AE$22+N506*$AE$23+O506*$AE$24+P506*$AE$25+Q506*$AE$26+R506*$AE$27+S506*$AE$28+T506*$AE$29+U506*$AE$30</f>
        <v/>
      </c>
      <c r="W506" s="8">
        <f>1/(1+EXP(-V506))</f>
        <v/>
      </c>
      <c r="X506" s="9">
        <f>-IF(C506=1,LN(W506),LN(1-W506))</f>
        <v/>
      </c>
      <c r="Y506" s="8">
        <f>'1 datos preparados'!V499</f>
        <v/>
      </c>
      <c r="Z506" s="9">
        <f>Y506*X506</f>
        <v/>
      </c>
      <c r="AA506" s="10">
        <f>IF(W506&gt;$AE$33,1,0)</f>
        <v/>
      </c>
      <c r="AB506">
        <f>IF(AA506=C506,1,0)</f>
        <v/>
      </c>
    </row>
    <row r="507">
      <c r="A507">
        <f>'1 datos preparados'!A500</f>
        <v/>
      </c>
      <c r="B507" s="5">
        <f>'1 datos preparados'!U500</f>
        <v/>
      </c>
      <c r="C507">
        <f>'1 datos preparados'!B500</f>
        <v/>
      </c>
      <c r="D507" s="7">
        <f>'1 datos preparados'!C500</f>
        <v/>
      </c>
      <c r="E507" s="7">
        <f>'1 datos preparados'!D500</f>
        <v/>
      </c>
      <c r="F507" s="7">
        <f>'1 datos preparados'!E500</f>
        <v/>
      </c>
      <c r="G507" s="7">
        <f>'1 datos preparados'!F500</f>
        <v/>
      </c>
      <c r="H507" s="7">
        <f>'1 datos preparados'!G500</f>
        <v/>
      </c>
      <c r="I507" s="7">
        <f>'1 datos preparados'!H500</f>
        <v/>
      </c>
      <c r="J507" s="7">
        <f>'1 datos preparados'!I500</f>
        <v/>
      </c>
      <c r="K507" s="7">
        <f>'1 datos preparados'!J500</f>
        <v/>
      </c>
      <c r="L507" s="7">
        <f>'1 datos preparados'!K500</f>
        <v/>
      </c>
      <c r="M507" s="7">
        <f>'1 datos preparados'!L500</f>
        <v/>
      </c>
      <c r="N507" s="7">
        <f>'1 datos preparados'!M500</f>
        <v/>
      </c>
      <c r="O507" s="7">
        <f>'1 datos preparados'!N500</f>
        <v/>
      </c>
      <c r="P507" s="7">
        <f>'1 datos preparados'!O500</f>
        <v/>
      </c>
      <c r="Q507" s="7">
        <f>'1 datos preparados'!P500</f>
        <v/>
      </c>
      <c r="R507" s="7">
        <f>'1 datos preparados'!Q500</f>
        <v/>
      </c>
      <c r="S507" s="7">
        <f>'1 datos preparados'!R500</f>
        <v/>
      </c>
      <c r="T507" s="7">
        <f>'1 datos preparados'!S500</f>
        <v/>
      </c>
      <c r="U507" s="7">
        <f>'1 datos preparados'!T500</f>
        <v/>
      </c>
      <c r="V507" s="8">
        <f>$AE$12+D507*$AE$13+E507*$AE$14+F507*$AE$15+G507*$AE$16+H507*$AE$17+I507*$AE$18+J507*$AE$19+K507*$AE$20+L507*$AE$21+M507*$AE$22+N507*$AE$23+O507*$AE$24+P507*$AE$25+Q507*$AE$26+R507*$AE$27+S507*$AE$28+T507*$AE$29+U507*$AE$30</f>
        <v/>
      </c>
      <c r="W507" s="8">
        <f>1/(1+EXP(-V507))</f>
        <v/>
      </c>
      <c r="X507" s="9">
        <f>-IF(C507=1,LN(W507),LN(1-W507))</f>
        <v/>
      </c>
      <c r="Y507" s="8">
        <f>'1 datos preparados'!V500</f>
        <v/>
      </c>
      <c r="Z507" s="9">
        <f>Y507*X507</f>
        <v/>
      </c>
      <c r="AA507" s="10">
        <f>IF(W507&gt;$AE$33,1,0)</f>
        <v/>
      </c>
      <c r="AB507">
        <f>IF(AA507=C507,1,0)</f>
        <v/>
      </c>
    </row>
    <row r="508">
      <c r="A508">
        <f>'1 datos preparados'!A501</f>
        <v/>
      </c>
      <c r="B508" s="5">
        <f>'1 datos preparados'!U501</f>
        <v/>
      </c>
      <c r="C508">
        <f>'1 datos preparados'!B501</f>
        <v/>
      </c>
      <c r="D508" s="7">
        <f>'1 datos preparados'!C501</f>
        <v/>
      </c>
      <c r="E508" s="7">
        <f>'1 datos preparados'!D501</f>
        <v/>
      </c>
      <c r="F508" s="7">
        <f>'1 datos preparados'!E501</f>
        <v/>
      </c>
      <c r="G508" s="7">
        <f>'1 datos preparados'!F501</f>
        <v/>
      </c>
      <c r="H508" s="7">
        <f>'1 datos preparados'!G501</f>
        <v/>
      </c>
      <c r="I508" s="7">
        <f>'1 datos preparados'!H501</f>
        <v/>
      </c>
      <c r="J508" s="7">
        <f>'1 datos preparados'!I501</f>
        <v/>
      </c>
      <c r="K508" s="7">
        <f>'1 datos preparados'!J501</f>
        <v/>
      </c>
      <c r="L508" s="7">
        <f>'1 datos preparados'!K501</f>
        <v/>
      </c>
      <c r="M508" s="7">
        <f>'1 datos preparados'!L501</f>
        <v/>
      </c>
      <c r="N508" s="7">
        <f>'1 datos preparados'!M501</f>
        <v/>
      </c>
      <c r="O508" s="7">
        <f>'1 datos preparados'!N501</f>
        <v/>
      </c>
      <c r="P508" s="7">
        <f>'1 datos preparados'!O501</f>
        <v/>
      </c>
      <c r="Q508" s="7">
        <f>'1 datos preparados'!P501</f>
        <v/>
      </c>
      <c r="R508" s="7">
        <f>'1 datos preparados'!Q501</f>
        <v/>
      </c>
      <c r="S508" s="7">
        <f>'1 datos preparados'!R501</f>
        <v/>
      </c>
      <c r="T508" s="7">
        <f>'1 datos preparados'!S501</f>
        <v/>
      </c>
      <c r="U508" s="7">
        <f>'1 datos preparados'!T501</f>
        <v/>
      </c>
      <c r="V508" s="8">
        <f>$AE$12+D508*$AE$13+E508*$AE$14+F508*$AE$15+G508*$AE$16+H508*$AE$17+I508*$AE$18+J508*$AE$19+K508*$AE$20+L508*$AE$21+M508*$AE$22+N508*$AE$23+O508*$AE$24+P508*$AE$25+Q508*$AE$26+R508*$AE$27+S508*$AE$28+T508*$AE$29+U508*$AE$30</f>
        <v/>
      </c>
      <c r="W508" s="8">
        <f>1/(1+EXP(-V508))</f>
        <v/>
      </c>
      <c r="X508" s="9">
        <f>-IF(C508=1,LN(W508),LN(1-W508))</f>
        <v/>
      </c>
      <c r="Y508" s="8">
        <f>'1 datos preparados'!V501</f>
        <v/>
      </c>
      <c r="Z508" s="9">
        <f>Y508*X508</f>
        <v/>
      </c>
      <c r="AA508" s="10">
        <f>IF(W508&gt;$AE$33,1,0)</f>
        <v/>
      </c>
      <c r="AB508">
        <f>IF(AA508=C508,1,0)</f>
        <v/>
      </c>
    </row>
    <row r="509">
      <c r="A509">
        <f>'1 datos preparados'!A502</f>
        <v/>
      </c>
      <c r="B509" s="5">
        <f>'1 datos preparados'!U502</f>
        <v/>
      </c>
      <c r="C509">
        <f>'1 datos preparados'!B502</f>
        <v/>
      </c>
      <c r="D509" s="7">
        <f>'1 datos preparados'!C502</f>
        <v/>
      </c>
      <c r="E509" s="7">
        <f>'1 datos preparados'!D502</f>
        <v/>
      </c>
      <c r="F509" s="7">
        <f>'1 datos preparados'!E502</f>
        <v/>
      </c>
      <c r="G509" s="7">
        <f>'1 datos preparados'!F502</f>
        <v/>
      </c>
      <c r="H509" s="7">
        <f>'1 datos preparados'!G502</f>
        <v/>
      </c>
      <c r="I509" s="7">
        <f>'1 datos preparados'!H502</f>
        <v/>
      </c>
      <c r="J509" s="7">
        <f>'1 datos preparados'!I502</f>
        <v/>
      </c>
      <c r="K509" s="7">
        <f>'1 datos preparados'!J502</f>
        <v/>
      </c>
      <c r="L509" s="7">
        <f>'1 datos preparados'!K502</f>
        <v/>
      </c>
      <c r="M509" s="7">
        <f>'1 datos preparados'!L502</f>
        <v/>
      </c>
      <c r="N509" s="7">
        <f>'1 datos preparados'!M502</f>
        <v/>
      </c>
      <c r="O509" s="7">
        <f>'1 datos preparados'!N502</f>
        <v/>
      </c>
      <c r="P509" s="7">
        <f>'1 datos preparados'!O502</f>
        <v/>
      </c>
      <c r="Q509" s="7">
        <f>'1 datos preparados'!P502</f>
        <v/>
      </c>
      <c r="R509" s="7">
        <f>'1 datos preparados'!Q502</f>
        <v/>
      </c>
      <c r="S509" s="7">
        <f>'1 datos preparados'!R502</f>
        <v/>
      </c>
      <c r="T509" s="7">
        <f>'1 datos preparados'!S502</f>
        <v/>
      </c>
      <c r="U509" s="7">
        <f>'1 datos preparados'!T502</f>
        <v/>
      </c>
      <c r="V509" s="8">
        <f>$AE$12+D509*$AE$13+E509*$AE$14+F509*$AE$15+G509*$AE$16+H509*$AE$17+I509*$AE$18+J509*$AE$19+K509*$AE$20+L509*$AE$21+M509*$AE$22+N509*$AE$23+O509*$AE$24+P509*$AE$25+Q509*$AE$26+R509*$AE$27+S509*$AE$28+T509*$AE$29+U509*$AE$30</f>
        <v/>
      </c>
      <c r="W509" s="8">
        <f>1/(1+EXP(-V509))</f>
        <v/>
      </c>
      <c r="X509" s="9">
        <f>-IF(C509=1,LN(W509),LN(1-W509))</f>
        <v/>
      </c>
      <c r="Y509" s="8">
        <f>'1 datos preparados'!V502</f>
        <v/>
      </c>
      <c r="Z509" s="9">
        <f>Y509*X509</f>
        <v/>
      </c>
      <c r="AA509" s="10">
        <f>IF(W509&gt;$AE$33,1,0)</f>
        <v/>
      </c>
      <c r="AB509">
        <f>IF(AA509=C509,1,0)</f>
        <v/>
      </c>
    </row>
    <row r="510">
      <c r="A510">
        <f>'1 datos preparados'!A503</f>
        <v/>
      </c>
      <c r="B510" s="5">
        <f>'1 datos preparados'!U503</f>
        <v/>
      </c>
      <c r="C510">
        <f>'1 datos preparados'!B503</f>
        <v/>
      </c>
      <c r="D510" s="7">
        <f>'1 datos preparados'!C503</f>
        <v/>
      </c>
      <c r="E510" s="7">
        <f>'1 datos preparados'!D503</f>
        <v/>
      </c>
      <c r="F510" s="7">
        <f>'1 datos preparados'!E503</f>
        <v/>
      </c>
      <c r="G510" s="7">
        <f>'1 datos preparados'!F503</f>
        <v/>
      </c>
      <c r="H510" s="7">
        <f>'1 datos preparados'!G503</f>
        <v/>
      </c>
      <c r="I510" s="7">
        <f>'1 datos preparados'!H503</f>
        <v/>
      </c>
      <c r="J510" s="7">
        <f>'1 datos preparados'!I503</f>
        <v/>
      </c>
      <c r="K510" s="7">
        <f>'1 datos preparados'!J503</f>
        <v/>
      </c>
      <c r="L510" s="7">
        <f>'1 datos preparados'!K503</f>
        <v/>
      </c>
      <c r="M510" s="7">
        <f>'1 datos preparados'!L503</f>
        <v/>
      </c>
      <c r="N510" s="7">
        <f>'1 datos preparados'!M503</f>
        <v/>
      </c>
      <c r="O510" s="7">
        <f>'1 datos preparados'!N503</f>
        <v/>
      </c>
      <c r="P510" s="7">
        <f>'1 datos preparados'!O503</f>
        <v/>
      </c>
      <c r="Q510" s="7">
        <f>'1 datos preparados'!P503</f>
        <v/>
      </c>
      <c r="R510" s="7">
        <f>'1 datos preparados'!Q503</f>
        <v/>
      </c>
      <c r="S510" s="7">
        <f>'1 datos preparados'!R503</f>
        <v/>
      </c>
      <c r="T510" s="7">
        <f>'1 datos preparados'!S503</f>
        <v/>
      </c>
      <c r="U510" s="7">
        <f>'1 datos preparados'!T503</f>
        <v/>
      </c>
      <c r="V510" s="8">
        <f>$AE$12+D510*$AE$13+E510*$AE$14+F510*$AE$15+G510*$AE$16+H510*$AE$17+I510*$AE$18+J510*$AE$19+K510*$AE$20+L510*$AE$21+M510*$AE$22+N510*$AE$23+O510*$AE$24+P510*$AE$25+Q510*$AE$26+R510*$AE$27+S510*$AE$28+T510*$AE$29+U510*$AE$30</f>
        <v/>
      </c>
      <c r="W510" s="8">
        <f>1/(1+EXP(-V510))</f>
        <v/>
      </c>
      <c r="X510" s="9">
        <f>-IF(C510=1,LN(W510),LN(1-W510))</f>
        <v/>
      </c>
      <c r="Y510" s="8">
        <f>'1 datos preparados'!V503</f>
        <v/>
      </c>
      <c r="Z510" s="9">
        <f>Y510*X510</f>
        <v/>
      </c>
      <c r="AA510" s="10">
        <f>IF(W510&gt;$AE$33,1,0)</f>
        <v/>
      </c>
      <c r="AB510">
        <f>IF(AA510=C510,1,0)</f>
        <v/>
      </c>
    </row>
    <row r="511">
      <c r="A511">
        <f>'1 datos preparados'!A504</f>
        <v/>
      </c>
      <c r="B511" s="5">
        <f>'1 datos preparados'!U504</f>
        <v/>
      </c>
      <c r="C511">
        <f>'1 datos preparados'!B504</f>
        <v/>
      </c>
      <c r="D511" s="7">
        <f>'1 datos preparados'!C504</f>
        <v/>
      </c>
      <c r="E511" s="7">
        <f>'1 datos preparados'!D504</f>
        <v/>
      </c>
      <c r="F511" s="7">
        <f>'1 datos preparados'!E504</f>
        <v/>
      </c>
      <c r="G511" s="7">
        <f>'1 datos preparados'!F504</f>
        <v/>
      </c>
      <c r="H511" s="7">
        <f>'1 datos preparados'!G504</f>
        <v/>
      </c>
      <c r="I511" s="7">
        <f>'1 datos preparados'!H504</f>
        <v/>
      </c>
      <c r="J511" s="7">
        <f>'1 datos preparados'!I504</f>
        <v/>
      </c>
      <c r="K511" s="7">
        <f>'1 datos preparados'!J504</f>
        <v/>
      </c>
      <c r="L511" s="7">
        <f>'1 datos preparados'!K504</f>
        <v/>
      </c>
      <c r="M511" s="7">
        <f>'1 datos preparados'!L504</f>
        <v/>
      </c>
      <c r="N511" s="7">
        <f>'1 datos preparados'!M504</f>
        <v/>
      </c>
      <c r="O511" s="7">
        <f>'1 datos preparados'!N504</f>
        <v/>
      </c>
      <c r="P511" s="7">
        <f>'1 datos preparados'!O504</f>
        <v/>
      </c>
      <c r="Q511" s="7">
        <f>'1 datos preparados'!P504</f>
        <v/>
      </c>
      <c r="R511" s="7">
        <f>'1 datos preparados'!Q504</f>
        <v/>
      </c>
      <c r="S511" s="7">
        <f>'1 datos preparados'!R504</f>
        <v/>
      </c>
      <c r="T511" s="7">
        <f>'1 datos preparados'!S504</f>
        <v/>
      </c>
      <c r="U511" s="7">
        <f>'1 datos preparados'!T504</f>
        <v/>
      </c>
      <c r="V511" s="8">
        <f>$AE$12+D511*$AE$13+E511*$AE$14+F511*$AE$15+G511*$AE$16+H511*$AE$17+I511*$AE$18+J511*$AE$19+K511*$AE$20+L511*$AE$21+M511*$AE$22+N511*$AE$23+O511*$AE$24+P511*$AE$25+Q511*$AE$26+R511*$AE$27+S511*$AE$28+T511*$AE$29+U511*$AE$30</f>
        <v/>
      </c>
      <c r="W511" s="8">
        <f>1/(1+EXP(-V511))</f>
        <v/>
      </c>
      <c r="X511" s="9">
        <f>-IF(C511=1,LN(W511),LN(1-W511))</f>
        <v/>
      </c>
      <c r="Y511" s="8">
        <f>'1 datos preparados'!V504</f>
        <v/>
      </c>
      <c r="Z511" s="9">
        <f>Y511*X511</f>
        <v/>
      </c>
      <c r="AA511" s="10">
        <f>IF(W511&gt;$AE$33,1,0)</f>
        <v/>
      </c>
      <c r="AB511">
        <f>IF(AA511=C511,1,0)</f>
        <v/>
      </c>
    </row>
    <row r="512">
      <c r="A512">
        <f>'1 datos preparados'!A505</f>
        <v/>
      </c>
      <c r="B512" s="5">
        <f>'1 datos preparados'!U505</f>
        <v/>
      </c>
      <c r="C512">
        <f>'1 datos preparados'!B505</f>
        <v/>
      </c>
      <c r="D512" s="7">
        <f>'1 datos preparados'!C505</f>
        <v/>
      </c>
      <c r="E512" s="7">
        <f>'1 datos preparados'!D505</f>
        <v/>
      </c>
      <c r="F512" s="7">
        <f>'1 datos preparados'!E505</f>
        <v/>
      </c>
      <c r="G512" s="7">
        <f>'1 datos preparados'!F505</f>
        <v/>
      </c>
      <c r="H512" s="7">
        <f>'1 datos preparados'!G505</f>
        <v/>
      </c>
      <c r="I512" s="7">
        <f>'1 datos preparados'!H505</f>
        <v/>
      </c>
      <c r="J512" s="7">
        <f>'1 datos preparados'!I505</f>
        <v/>
      </c>
      <c r="K512" s="7">
        <f>'1 datos preparados'!J505</f>
        <v/>
      </c>
      <c r="L512" s="7">
        <f>'1 datos preparados'!K505</f>
        <v/>
      </c>
      <c r="M512" s="7">
        <f>'1 datos preparados'!L505</f>
        <v/>
      </c>
      <c r="N512" s="7">
        <f>'1 datos preparados'!M505</f>
        <v/>
      </c>
      <c r="O512" s="7">
        <f>'1 datos preparados'!N505</f>
        <v/>
      </c>
      <c r="P512" s="7">
        <f>'1 datos preparados'!O505</f>
        <v/>
      </c>
      <c r="Q512" s="7">
        <f>'1 datos preparados'!P505</f>
        <v/>
      </c>
      <c r="R512" s="7">
        <f>'1 datos preparados'!Q505</f>
        <v/>
      </c>
      <c r="S512" s="7">
        <f>'1 datos preparados'!R505</f>
        <v/>
      </c>
      <c r="T512" s="7">
        <f>'1 datos preparados'!S505</f>
        <v/>
      </c>
      <c r="U512" s="7">
        <f>'1 datos preparados'!T505</f>
        <v/>
      </c>
      <c r="V512" s="8">
        <f>$AE$12+D512*$AE$13+E512*$AE$14+F512*$AE$15+G512*$AE$16+H512*$AE$17+I512*$AE$18+J512*$AE$19+K512*$AE$20+L512*$AE$21+M512*$AE$22+N512*$AE$23+O512*$AE$24+P512*$AE$25+Q512*$AE$26+R512*$AE$27+S512*$AE$28+T512*$AE$29+U512*$AE$30</f>
        <v/>
      </c>
      <c r="W512" s="8">
        <f>1/(1+EXP(-V512))</f>
        <v/>
      </c>
      <c r="X512" s="9">
        <f>-IF(C512=1,LN(W512),LN(1-W512))</f>
        <v/>
      </c>
      <c r="Y512" s="8">
        <f>'1 datos preparados'!V505</f>
        <v/>
      </c>
      <c r="Z512" s="9">
        <f>Y512*X512</f>
        <v/>
      </c>
      <c r="AA512" s="10">
        <f>IF(W512&gt;$AE$33,1,0)</f>
        <v/>
      </c>
      <c r="AB512">
        <f>IF(AA512=C512,1,0)</f>
        <v/>
      </c>
    </row>
    <row r="513">
      <c r="A513">
        <f>'1 datos preparados'!A506</f>
        <v/>
      </c>
      <c r="B513" s="5">
        <f>'1 datos preparados'!U506</f>
        <v/>
      </c>
      <c r="C513">
        <f>'1 datos preparados'!B506</f>
        <v/>
      </c>
      <c r="D513" s="7">
        <f>'1 datos preparados'!C506</f>
        <v/>
      </c>
      <c r="E513" s="7">
        <f>'1 datos preparados'!D506</f>
        <v/>
      </c>
      <c r="F513" s="7">
        <f>'1 datos preparados'!E506</f>
        <v/>
      </c>
      <c r="G513" s="7">
        <f>'1 datos preparados'!F506</f>
        <v/>
      </c>
      <c r="H513" s="7">
        <f>'1 datos preparados'!G506</f>
        <v/>
      </c>
      <c r="I513" s="7">
        <f>'1 datos preparados'!H506</f>
        <v/>
      </c>
      <c r="J513" s="7">
        <f>'1 datos preparados'!I506</f>
        <v/>
      </c>
      <c r="K513" s="7">
        <f>'1 datos preparados'!J506</f>
        <v/>
      </c>
      <c r="L513" s="7">
        <f>'1 datos preparados'!K506</f>
        <v/>
      </c>
      <c r="M513" s="7">
        <f>'1 datos preparados'!L506</f>
        <v/>
      </c>
      <c r="N513" s="7">
        <f>'1 datos preparados'!M506</f>
        <v/>
      </c>
      <c r="O513" s="7">
        <f>'1 datos preparados'!N506</f>
        <v/>
      </c>
      <c r="P513" s="7">
        <f>'1 datos preparados'!O506</f>
        <v/>
      </c>
      <c r="Q513" s="7">
        <f>'1 datos preparados'!P506</f>
        <v/>
      </c>
      <c r="R513" s="7">
        <f>'1 datos preparados'!Q506</f>
        <v/>
      </c>
      <c r="S513" s="7">
        <f>'1 datos preparados'!R506</f>
        <v/>
      </c>
      <c r="T513" s="7">
        <f>'1 datos preparados'!S506</f>
        <v/>
      </c>
      <c r="U513" s="7">
        <f>'1 datos preparados'!T506</f>
        <v/>
      </c>
      <c r="V513" s="8">
        <f>$AE$12+D513*$AE$13+E513*$AE$14+F513*$AE$15+G513*$AE$16+H513*$AE$17+I513*$AE$18+J513*$AE$19+K513*$AE$20+L513*$AE$21+M513*$AE$22+N513*$AE$23+O513*$AE$24+P513*$AE$25+Q513*$AE$26+R513*$AE$27+S513*$AE$28+T513*$AE$29+U513*$AE$30</f>
        <v/>
      </c>
      <c r="W513" s="8">
        <f>1/(1+EXP(-V513))</f>
        <v/>
      </c>
      <c r="X513" s="9">
        <f>-IF(C513=1,LN(W513),LN(1-W513))</f>
        <v/>
      </c>
      <c r="Y513" s="8">
        <f>'1 datos preparados'!V506</f>
        <v/>
      </c>
      <c r="Z513" s="9">
        <f>Y513*X513</f>
        <v/>
      </c>
      <c r="AA513" s="10">
        <f>IF(W513&gt;$AE$33,1,0)</f>
        <v/>
      </c>
      <c r="AB513">
        <f>IF(AA513=C513,1,0)</f>
        <v/>
      </c>
    </row>
    <row r="514">
      <c r="A514">
        <f>'1 datos preparados'!A507</f>
        <v/>
      </c>
      <c r="B514" s="5">
        <f>'1 datos preparados'!U507</f>
        <v/>
      </c>
      <c r="C514">
        <f>'1 datos preparados'!B507</f>
        <v/>
      </c>
      <c r="D514" s="7">
        <f>'1 datos preparados'!C507</f>
        <v/>
      </c>
      <c r="E514" s="7">
        <f>'1 datos preparados'!D507</f>
        <v/>
      </c>
      <c r="F514" s="7">
        <f>'1 datos preparados'!E507</f>
        <v/>
      </c>
      <c r="G514" s="7">
        <f>'1 datos preparados'!F507</f>
        <v/>
      </c>
      <c r="H514" s="7">
        <f>'1 datos preparados'!G507</f>
        <v/>
      </c>
      <c r="I514" s="7">
        <f>'1 datos preparados'!H507</f>
        <v/>
      </c>
      <c r="J514" s="7">
        <f>'1 datos preparados'!I507</f>
        <v/>
      </c>
      <c r="K514" s="7">
        <f>'1 datos preparados'!J507</f>
        <v/>
      </c>
      <c r="L514" s="7">
        <f>'1 datos preparados'!K507</f>
        <v/>
      </c>
      <c r="M514" s="7">
        <f>'1 datos preparados'!L507</f>
        <v/>
      </c>
      <c r="N514" s="7">
        <f>'1 datos preparados'!M507</f>
        <v/>
      </c>
      <c r="O514" s="7">
        <f>'1 datos preparados'!N507</f>
        <v/>
      </c>
      <c r="P514" s="7">
        <f>'1 datos preparados'!O507</f>
        <v/>
      </c>
      <c r="Q514" s="7">
        <f>'1 datos preparados'!P507</f>
        <v/>
      </c>
      <c r="R514" s="7">
        <f>'1 datos preparados'!Q507</f>
        <v/>
      </c>
      <c r="S514" s="7">
        <f>'1 datos preparados'!R507</f>
        <v/>
      </c>
      <c r="T514" s="7">
        <f>'1 datos preparados'!S507</f>
        <v/>
      </c>
      <c r="U514" s="7">
        <f>'1 datos preparados'!T507</f>
        <v/>
      </c>
      <c r="V514" s="8">
        <f>$AE$12+D514*$AE$13+E514*$AE$14+F514*$AE$15+G514*$AE$16+H514*$AE$17+I514*$AE$18+J514*$AE$19+K514*$AE$20+L514*$AE$21+M514*$AE$22+N514*$AE$23+O514*$AE$24+P514*$AE$25+Q514*$AE$26+R514*$AE$27+S514*$AE$28+T514*$AE$29+U514*$AE$30</f>
        <v/>
      </c>
      <c r="W514" s="8">
        <f>1/(1+EXP(-V514))</f>
        <v/>
      </c>
      <c r="X514" s="9">
        <f>-IF(C514=1,LN(W514),LN(1-W514))</f>
        <v/>
      </c>
      <c r="Y514" s="8">
        <f>'1 datos preparados'!V507</f>
        <v/>
      </c>
      <c r="Z514" s="9">
        <f>Y514*X514</f>
        <v/>
      </c>
      <c r="AA514" s="10">
        <f>IF(W514&gt;$AE$33,1,0)</f>
        <v/>
      </c>
      <c r="AB514">
        <f>IF(AA514=C514,1,0)</f>
        <v/>
      </c>
    </row>
    <row r="515">
      <c r="A515">
        <f>'1 datos preparados'!A508</f>
        <v/>
      </c>
      <c r="B515" s="5">
        <f>'1 datos preparados'!U508</f>
        <v/>
      </c>
      <c r="C515">
        <f>'1 datos preparados'!B508</f>
        <v/>
      </c>
      <c r="D515" s="7">
        <f>'1 datos preparados'!C508</f>
        <v/>
      </c>
      <c r="E515" s="7">
        <f>'1 datos preparados'!D508</f>
        <v/>
      </c>
      <c r="F515" s="7">
        <f>'1 datos preparados'!E508</f>
        <v/>
      </c>
      <c r="G515" s="7">
        <f>'1 datos preparados'!F508</f>
        <v/>
      </c>
      <c r="H515" s="7">
        <f>'1 datos preparados'!G508</f>
        <v/>
      </c>
      <c r="I515" s="7">
        <f>'1 datos preparados'!H508</f>
        <v/>
      </c>
      <c r="J515" s="7">
        <f>'1 datos preparados'!I508</f>
        <v/>
      </c>
      <c r="K515" s="7">
        <f>'1 datos preparados'!J508</f>
        <v/>
      </c>
      <c r="L515" s="7">
        <f>'1 datos preparados'!K508</f>
        <v/>
      </c>
      <c r="M515" s="7">
        <f>'1 datos preparados'!L508</f>
        <v/>
      </c>
      <c r="N515" s="7">
        <f>'1 datos preparados'!M508</f>
        <v/>
      </c>
      <c r="O515" s="7">
        <f>'1 datos preparados'!N508</f>
        <v/>
      </c>
      <c r="P515" s="7">
        <f>'1 datos preparados'!O508</f>
        <v/>
      </c>
      <c r="Q515" s="7">
        <f>'1 datos preparados'!P508</f>
        <v/>
      </c>
      <c r="R515" s="7">
        <f>'1 datos preparados'!Q508</f>
        <v/>
      </c>
      <c r="S515" s="7">
        <f>'1 datos preparados'!R508</f>
        <v/>
      </c>
      <c r="T515" s="7">
        <f>'1 datos preparados'!S508</f>
        <v/>
      </c>
      <c r="U515" s="7">
        <f>'1 datos preparados'!T508</f>
        <v/>
      </c>
      <c r="V515" s="8">
        <f>$AE$12+D515*$AE$13+E515*$AE$14+F515*$AE$15+G515*$AE$16+H515*$AE$17+I515*$AE$18+J515*$AE$19+K515*$AE$20+L515*$AE$21+M515*$AE$22+N515*$AE$23+O515*$AE$24+P515*$AE$25+Q515*$AE$26+R515*$AE$27+S515*$AE$28+T515*$AE$29+U515*$AE$30</f>
        <v/>
      </c>
      <c r="W515" s="8">
        <f>1/(1+EXP(-V515))</f>
        <v/>
      </c>
      <c r="X515" s="9">
        <f>-IF(C515=1,LN(W515),LN(1-W515))</f>
        <v/>
      </c>
      <c r="Y515" s="8">
        <f>'1 datos preparados'!V508</f>
        <v/>
      </c>
      <c r="Z515" s="9">
        <f>Y515*X515</f>
        <v/>
      </c>
      <c r="AA515" s="10">
        <f>IF(W515&gt;$AE$33,1,0)</f>
        <v/>
      </c>
      <c r="AB515">
        <f>IF(AA515=C515,1,0)</f>
        <v/>
      </c>
    </row>
    <row r="516">
      <c r="A516">
        <f>'1 datos preparados'!A509</f>
        <v/>
      </c>
      <c r="B516" s="5">
        <f>'1 datos preparados'!U509</f>
        <v/>
      </c>
      <c r="C516">
        <f>'1 datos preparados'!B509</f>
        <v/>
      </c>
      <c r="D516" s="7">
        <f>'1 datos preparados'!C509</f>
        <v/>
      </c>
      <c r="E516" s="7">
        <f>'1 datos preparados'!D509</f>
        <v/>
      </c>
      <c r="F516" s="7">
        <f>'1 datos preparados'!E509</f>
        <v/>
      </c>
      <c r="G516" s="7">
        <f>'1 datos preparados'!F509</f>
        <v/>
      </c>
      <c r="H516" s="7">
        <f>'1 datos preparados'!G509</f>
        <v/>
      </c>
      <c r="I516" s="7">
        <f>'1 datos preparados'!H509</f>
        <v/>
      </c>
      <c r="J516" s="7">
        <f>'1 datos preparados'!I509</f>
        <v/>
      </c>
      <c r="K516" s="7">
        <f>'1 datos preparados'!J509</f>
        <v/>
      </c>
      <c r="L516" s="7">
        <f>'1 datos preparados'!K509</f>
        <v/>
      </c>
      <c r="M516" s="7">
        <f>'1 datos preparados'!L509</f>
        <v/>
      </c>
      <c r="N516" s="7">
        <f>'1 datos preparados'!M509</f>
        <v/>
      </c>
      <c r="O516" s="7">
        <f>'1 datos preparados'!N509</f>
        <v/>
      </c>
      <c r="P516" s="7">
        <f>'1 datos preparados'!O509</f>
        <v/>
      </c>
      <c r="Q516" s="7">
        <f>'1 datos preparados'!P509</f>
        <v/>
      </c>
      <c r="R516" s="7">
        <f>'1 datos preparados'!Q509</f>
        <v/>
      </c>
      <c r="S516" s="7">
        <f>'1 datos preparados'!R509</f>
        <v/>
      </c>
      <c r="T516" s="7">
        <f>'1 datos preparados'!S509</f>
        <v/>
      </c>
      <c r="U516" s="7">
        <f>'1 datos preparados'!T509</f>
        <v/>
      </c>
      <c r="V516" s="8">
        <f>$AE$12+D516*$AE$13+E516*$AE$14+F516*$AE$15+G516*$AE$16+H516*$AE$17+I516*$AE$18+J516*$AE$19+K516*$AE$20+L516*$AE$21+M516*$AE$22+N516*$AE$23+O516*$AE$24+P516*$AE$25+Q516*$AE$26+R516*$AE$27+S516*$AE$28+T516*$AE$29+U516*$AE$30</f>
        <v/>
      </c>
      <c r="W516" s="8">
        <f>1/(1+EXP(-V516))</f>
        <v/>
      </c>
      <c r="X516" s="9">
        <f>-IF(C516=1,LN(W516),LN(1-W516))</f>
        <v/>
      </c>
      <c r="Y516" s="8">
        <f>'1 datos preparados'!V509</f>
        <v/>
      </c>
      <c r="Z516" s="9">
        <f>Y516*X516</f>
        <v/>
      </c>
      <c r="AA516" s="10">
        <f>IF(W516&gt;$AE$33,1,0)</f>
        <v/>
      </c>
      <c r="AB516">
        <f>IF(AA516=C516,1,0)</f>
        <v/>
      </c>
    </row>
    <row r="517">
      <c r="A517">
        <f>'1 datos preparados'!A510</f>
        <v/>
      </c>
      <c r="B517" s="5">
        <f>'1 datos preparados'!U510</f>
        <v/>
      </c>
      <c r="C517">
        <f>'1 datos preparados'!B510</f>
        <v/>
      </c>
      <c r="D517" s="7">
        <f>'1 datos preparados'!C510</f>
        <v/>
      </c>
      <c r="E517" s="7">
        <f>'1 datos preparados'!D510</f>
        <v/>
      </c>
      <c r="F517" s="7">
        <f>'1 datos preparados'!E510</f>
        <v/>
      </c>
      <c r="G517" s="7">
        <f>'1 datos preparados'!F510</f>
        <v/>
      </c>
      <c r="H517" s="7">
        <f>'1 datos preparados'!G510</f>
        <v/>
      </c>
      <c r="I517" s="7">
        <f>'1 datos preparados'!H510</f>
        <v/>
      </c>
      <c r="J517" s="7">
        <f>'1 datos preparados'!I510</f>
        <v/>
      </c>
      <c r="K517" s="7">
        <f>'1 datos preparados'!J510</f>
        <v/>
      </c>
      <c r="L517" s="7">
        <f>'1 datos preparados'!K510</f>
        <v/>
      </c>
      <c r="M517" s="7">
        <f>'1 datos preparados'!L510</f>
        <v/>
      </c>
      <c r="N517" s="7">
        <f>'1 datos preparados'!M510</f>
        <v/>
      </c>
      <c r="O517" s="7">
        <f>'1 datos preparados'!N510</f>
        <v/>
      </c>
      <c r="P517" s="7">
        <f>'1 datos preparados'!O510</f>
        <v/>
      </c>
      <c r="Q517" s="7">
        <f>'1 datos preparados'!P510</f>
        <v/>
      </c>
      <c r="R517" s="7">
        <f>'1 datos preparados'!Q510</f>
        <v/>
      </c>
      <c r="S517" s="7">
        <f>'1 datos preparados'!R510</f>
        <v/>
      </c>
      <c r="T517" s="7">
        <f>'1 datos preparados'!S510</f>
        <v/>
      </c>
      <c r="U517" s="7">
        <f>'1 datos preparados'!T510</f>
        <v/>
      </c>
      <c r="V517" s="8">
        <f>$AE$12+D517*$AE$13+E517*$AE$14+F517*$AE$15+G517*$AE$16+H517*$AE$17+I517*$AE$18+J517*$AE$19+K517*$AE$20+L517*$AE$21+M517*$AE$22+N517*$AE$23+O517*$AE$24+P517*$AE$25+Q517*$AE$26+R517*$AE$27+S517*$AE$28+T517*$AE$29+U517*$AE$30</f>
        <v/>
      </c>
      <c r="W517" s="8">
        <f>1/(1+EXP(-V517))</f>
        <v/>
      </c>
      <c r="X517" s="9">
        <f>-IF(C517=1,LN(W517),LN(1-W517))</f>
        <v/>
      </c>
      <c r="Y517" s="8">
        <f>'1 datos preparados'!V510</f>
        <v/>
      </c>
      <c r="Z517" s="9">
        <f>Y517*X517</f>
        <v/>
      </c>
      <c r="AA517" s="10">
        <f>IF(W517&gt;$AE$33,1,0)</f>
        <v/>
      </c>
      <c r="AB517">
        <f>IF(AA517=C517,1,0)</f>
        <v/>
      </c>
    </row>
    <row r="518">
      <c r="A518">
        <f>'1 datos preparados'!A511</f>
        <v/>
      </c>
      <c r="B518" s="5">
        <f>'1 datos preparados'!U511</f>
        <v/>
      </c>
      <c r="C518">
        <f>'1 datos preparados'!B511</f>
        <v/>
      </c>
      <c r="D518" s="7">
        <f>'1 datos preparados'!C511</f>
        <v/>
      </c>
      <c r="E518" s="7">
        <f>'1 datos preparados'!D511</f>
        <v/>
      </c>
      <c r="F518" s="7">
        <f>'1 datos preparados'!E511</f>
        <v/>
      </c>
      <c r="G518" s="7">
        <f>'1 datos preparados'!F511</f>
        <v/>
      </c>
      <c r="H518" s="7">
        <f>'1 datos preparados'!G511</f>
        <v/>
      </c>
      <c r="I518" s="7">
        <f>'1 datos preparados'!H511</f>
        <v/>
      </c>
      <c r="J518" s="7">
        <f>'1 datos preparados'!I511</f>
        <v/>
      </c>
      <c r="K518" s="7">
        <f>'1 datos preparados'!J511</f>
        <v/>
      </c>
      <c r="L518" s="7">
        <f>'1 datos preparados'!K511</f>
        <v/>
      </c>
      <c r="M518" s="7">
        <f>'1 datos preparados'!L511</f>
        <v/>
      </c>
      <c r="N518" s="7">
        <f>'1 datos preparados'!M511</f>
        <v/>
      </c>
      <c r="O518" s="7">
        <f>'1 datos preparados'!N511</f>
        <v/>
      </c>
      <c r="P518" s="7">
        <f>'1 datos preparados'!O511</f>
        <v/>
      </c>
      <c r="Q518" s="7">
        <f>'1 datos preparados'!P511</f>
        <v/>
      </c>
      <c r="R518" s="7">
        <f>'1 datos preparados'!Q511</f>
        <v/>
      </c>
      <c r="S518" s="7">
        <f>'1 datos preparados'!R511</f>
        <v/>
      </c>
      <c r="T518" s="7">
        <f>'1 datos preparados'!S511</f>
        <v/>
      </c>
      <c r="U518" s="7">
        <f>'1 datos preparados'!T511</f>
        <v/>
      </c>
      <c r="V518" s="8">
        <f>$AE$12+D518*$AE$13+E518*$AE$14+F518*$AE$15+G518*$AE$16+H518*$AE$17+I518*$AE$18+J518*$AE$19+K518*$AE$20+L518*$AE$21+M518*$AE$22+N518*$AE$23+O518*$AE$24+P518*$AE$25+Q518*$AE$26+R518*$AE$27+S518*$AE$28+T518*$AE$29+U518*$AE$30</f>
        <v/>
      </c>
      <c r="W518" s="8">
        <f>1/(1+EXP(-V518))</f>
        <v/>
      </c>
      <c r="X518" s="9">
        <f>-IF(C518=1,LN(W518),LN(1-W518))</f>
        <v/>
      </c>
      <c r="Y518" s="8">
        <f>'1 datos preparados'!V511</f>
        <v/>
      </c>
      <c r="Z518" s="9">
        <f>Y518*X518</f>
        <v/>
      </c>
      <c r="AA518" s="10">
        <f>IF(W518&gt;$AE$33,1,0)</f>
        <v/>
      </c>
      <c r="AB518">
        <f>IF(AA518=C518,1,0)</f>
        <v/>
      </c>
    </row>
    <row r="519">
      <c r="A519">
        <f>'1 datos preparados'!A512</f>
        <v/>
      </c>
      <c r="B519" s="5">
        <f>'1 datos preparados'!U512</f>
        <v/>
      </c>
      <c r="C519">
        <f>'1 datos preparados'!B512</f>
        <v/>
      </c>
      <c r="D519" s="7">
        <f>'1 datos preparados'!C512</f>
        <v/>
      </c>
      <c r="E519" s="7">
        <f>'1 datos preparados'!D512</f>
        <v/>
      </c>
      <c r="F519" s="7">
        <f>'1 datos preparados'!E512</f>
        <v/>
      </c>
      <c r="G519" s="7">
        <f>'1 datos preparados'!F512</f>
        <v/>
      </c>
      <c r="H519" s="7">
        <f>'1 datos preparados'!G512</f>
        <v/>
      </c>
      <c r="I519" s="7">
        <f>'1 datos preparados'!H512</f>
        <v/>
      </c>
      <c r="J519" s="7">
        <f>'1 datos preparados'!I512</f>
        <v/>
      </c>
      <c r="K519" s="7">
        <f>'1 datos preparados'!J512</f>
        <v/>
      </c>
      <c r="L519" s="7">
        <f>'1 datos preparados'!K512</f>
        <v/>
      </c>
      <c r="M519" s="7">
        <f>'1 datos preparados'!L512</f>
        <v/>
      </c>
      <c r="N519" s="7">
        <f>'1 datos preparados'!M512</f>
        <v/>
      </c>
      <c r="O519" s="7">
        <f>'1 datos preparados'!N512</f>
        <v/>
      </c>
      <c r="P519" s="7">
        <f>'1 datos preparados'!O512</f>
        <v/>
      </c>
      <c r="Q519" s="7">
        <f>'1 datos preparados'!P512</f>
        <v/>
      </c>
      <c r="R519" s="7">
        <f>'1 datos preparados'!Q512</f>
        <v/>
      </c>
      <c r="S519" s="7">
        <f>'1 datos preparados'!R512</f>
        <v/>
      </c>
      <c r="T519" s="7">
        <f>'1 datos preparados'!S512</f>
        <v/>
      </c>
      <c r="U519" s="7">
        <f>'1 datos preparados'!T512</f>
        <v/>
      </c>
      <c r="V519" s="8">
        <f>$AE$12+D519*$AE$13+E519*$AE$14+F519*$AE$15+G519*$AE$16+H519*$AE$17+I519*$AE$18+J519*$AE$19+K519*$AE$20+L519*$AE$21+M519*$AE$22+N519*$AE$23+O519*$AE$24+P519*$AE$25+Q519*$AE$26+R519*$AE$27+S519*$AE$28+T519*$AE$29+U519*$AE$30</f>
        <v/>
      </c>
      <c r="W519" s="8">
        <f>1/(1+EXP(-V519))</f>
        <v/>
      </c>
      <c r="X519" s="9">
        <f>-IF(C519=1,LN(W519),LN(1-W519))</f>
        <v/>
      </c>
      <c r="Y519" s="8">
        <f>'1 datos preparados'!V512</f>
        <v/>
      </c>
      <c r="Z519" s="9">
        <f>Y519*X519</f>
        <v/>
      </c>
      <c r="AA519" s="10">
        <f>IF(W519&gt;$AE$33,1,0)</f>
        <v/>
      </c>
      <c r="AB519">
        <f>IF(AA519=C519,1,0)</f>
        <v/>
      </c>
    </row>
    <row r="520">
      <c r="A520">
        <f>'1 datos preparados'!A513</f>
        <v/>
      </c>
      <c r="B520" s="5">
        <f>'1 datos preparados'!U513</f>
        <v/>
      </c>
      <c r="C520">
        <f>'1 datos preparados'!B513</f>
        <v/>
      </c>
      <c r="D520" s="7">
        <f>'1 datos preparados'!C513</f>
        <v/>
      </c>
      <c r="E520" s="7">
        <f>'1 datos preparados'!D513</f>
        <v/>
      </c>
      <c r="F520" s="7">
        <f>'1 datos preparados'!E513</f>
        <v/>
      </c>
      <c r="G520" s="7">
        <f>'1 datos preparados'!F513</f>
        <v/>
      </c>
      <c r="H520" s="7">
        <f>'1 datos preparados'!G513</f>
        <v/>
      </c>
      <c r="I520" s="7">
        <f>'1 datos preparados'!H513</f>
        <v/>
      </c>
      <c r="J520" s="7">
        <f>'1 datos preparados'!I513</f>
        <v/>
      </c>
      <c r="K520" s="7">
        <f>'1 datos preparados'!J513</f>
        <v/>
      </c>
      <c r="L520" s="7">
        <f>'1 datos preparados'!K513</f>
        <v/>
      </c>
      <c r="M520" s="7">
        <f>'1 datos preparados'!L513</f>
        <v/>
      </c>
      <c r="N520" s="7">
        <f>'1 datos preparados'!M513</f>
        <v/>
      </c>
      <c r="O520" s="7">
        <f>'1 datos preparados'!N513</f>
        <v/>
      </c>
      <c r="P520" s="7">
        <f>'1 datos preparados'!O513</f>
        <v/>
      </c>
      <c r="Q520" s="7">
        <f>'1 datos preparados'!P513</f>
        <v/>
      </c>
      <c r="R520" s="7">
        <f>'1 datos preparados'!Q513</f>
        <v/>
      </c>
      <c r="S520" s="7">
        <f>'1 datos preparados'!R513</f>
        <v/>
      </c>
      <c r="T520" s="7">
        <f>'1 datos preparados'!S513</f>
        <v/>
      </c>
      <c r="U520" s="7">
        <f>'1 datos preparados'!T513</f>
        <v/>
      </c>
      <c r="V520" s="8">
        <f>$AE$12+D520*$AE$13+E520*$AE$14+F520*$AE$15+G520*$AE$16+H520*$AE$17+I520*$AE$18+J520*$AE$19+K520*$AE$20+L520*$AE$21+M520*$AE$22+N520*$AE$23+O520*$AE$24+P520*$AE$25+Q520*$AE$26+R520*$AE$27+S520*$AE$28+T520*$AE$29+U520*$AE$30</f>
        <v/>
      </c>
      <c r="W520" s="8">
        <f>1/(1+EXP(-V520))</f>
        <v/>
      </c>
      <c r="X520" s="9">
        <f>-IF(C520=1,LN(W520),LN(1-W520))</f>
        <v/>
      </c>
      <c r="Y520" s="8">
        <f>'1 datos preparados'!V513</f>
        <v/>
      </c>
      <c r="Z520" s="9">
        <f>Y520*X520</f>
        <v/>
      </c>
      <c r="AA520" s="10">
        <f>IF(W520&gt;$AE$33,1,0)</f>
        <v/>
      </c>
      <c r="AB520">
        <f>IF(AA520=C520,1,0)</f>
        <v/>
      </c>
    </row>
    <row r="521">
      <c r="A521">
        <f>'1 datos preparados'!A514</f>
        <v/>
      </c>
      <c r="B521" s="5">
        <f>'1 datos preparados'!U514</f>
        <v/>
      </c>
      <c r="C521">
        <f>'1 datos preparados'!B514</f>
        <v/>
      </c>
      <c r="D521" s="7">
        <f>'1 datos preparados'!C514</f>
        <v/>
      </c>
      <c r="E521" s="7">
        <f>'1 datos preparados'!D514</f>
        <v/>
      </c>
      <c r="F521" s="7">
        <f>'1 datos preparados'!E514</f>
        <v/>
      </c>
      <c r="G521" s="7">
        <f>'1 datos preparados'!F514</f>
        <v/>
      </c>
      <c r="H521" s="7">
        <f>'1 datos preparados'!G514</f>
        <v/>
      </c>
      <c r="I521" s="7">
        <f>'1 datos preparados'!H514</f>
        <v/>
      </c>
      <c r="J521" s="7">
        <f>'1 datos preparados'!I514</f>
        <v/>
      </c>
      <c r="K521" s="7">
        <f>'1 datos preparados'!J514</f>
        <v/>
      </c>
      <c r="L521" s="7">
        <f>'1 datos preparados'!K514</f>
        <v/>
      </c>
      <c r="M521" s="7">
        <f>'1 datos preparados'!L514</f>
        <v/>
      </c>
      <c r="N521" s="7">
        <f>'1 datos preparados'!M514</f>
        <v/>
      </c>
      <c r="O521" s="7">
        <f>'1 datos preparados'!N514</f>
        <v/>
      </c>
      <c r="P521" s="7">
        <f>'1 datos preparados'!O514</f>
        <v/>
      </c>
      <c r="Q521" s="7">
        <f>'1 datos preparados'!P514</f>
        <v/>
      </c>
      <c r="R521" s="7">
        <f>'1 datos preparados'!Q514</f>
        <v/>
      </c>
      <c r="S521" s="7">
        <f>'1 datos preparados'!R514</f>
        <v/>
      </c>
      <c r="T521" s="7">
        <f>'1 datos preparados'!S514</f>
        <v/>
      </c>
      <c r="U521" s="7">
        <f>'1 datos preparados'!T514</f>
        <v/>
      </c>
      <c r="V521" s="8">
        <f>$AE$12+D521*$AE$13+E521*$AE$14+F521*$AE$15+G521*$AE$16+H521*$AE$17+I521*$AE$18+J521*$AE$19+K521*$AE$20+L521*$AE$21+M521*$AE$22+N521*$AE$23+O521*$AE$24+P521*$AE$25+Q521*$AE$26+R521*$AE$27+S521*$AE$28+T521*$AE$29+U521*$AE$30</f>
        <v/>
      </c>
      <c r="W521" s="8">
        <f>1/(1+EXP(-V521))</f>
        <v/>
      </c>
      <c r="X521" s="9">
        <f>-IF(C521=1,LN(W521),LN(1-W521))</f>
        <v/>
      </c>
      <c r="Y521" s="8">
        <f>'1 datos preparados'!V514</f>
        <v/>
      </c>
      <c r="Z521" s="9">
        <f>Y521*X521</f>
        <v/>
      </c>
      <c r="AA521" s="10">
        <f>IF(W521&gt;$AE$33,1,0)</f>
        <v/>
      </c>
      <c r="AB521">
        <f>IF(AA521=C521,1,0)</f>
        <v/>
      </c>
    </row>
    <row r="522">
      <c r="A522">
        <f>'1 datos preparados'!A515</f>
        <v/>
      </c>
      <c r="B522" s="5">
        <f>'1 datos preparados'!U515</f>
        <v/>
      </c>
      <c r="C522">
        <f>'1 datos preparados'!B515</f>
        <v/>
      </c>
      <c r="D522" s="7">
        <f>'1 datos preparados'!C515</f>
        <v/>
      </c>
      <c r="E522" s="7">
        <f>'1 datos preparados'!D515</f>
        <v/>
      </c>
      <c r="F522" s="7">
        <f>'1 datos preparados'!E515</f>
        <v/>
      </c>
      <c r="G522" s="7">
        <f>'1 datos preparados'!F515</f>
        <v/>
      </c>
      <c r="H522" s="7">
        <f>'1 datos preparados'!G515</f>
        <v/>
      </c>
      <c r="I522" s="7">
        <f>'1 datos preparados'!H515</f>
        <v/>
      </c>
      <c r="J522" s="7">
        <f>'1 datos preparados'!I515</f>
        <v/>
      </c>
      <c r="K522" s="7">
        <f>'1 datos preparados'!J515</f>
        <v/>
      </c>
      <c r="L522" s="7">
        <f>'1 datos preparados'!K515</f>
        <v/>
      </c>
      <c r="M522" s="7">
        <f>'1 datos preparados'!L515</f>
        <v/>
      </c>
      <c r="N522" s="7">
        <f>'1 datos preparados'!M515</f>
        <v/>
      </c>
      <c r="O522" s="7">
        <f>'1 datos preparados'!N515</f>
        <v/>
      </c>
      <c r="P522" s="7">
        <f>'1 datos preparados'!O515</f>
        <v/>
      </c>
      <c r="Q522" s="7">
        <f>'1 datos preparados'!P515</f>
        <v/>
      </c>
      <c r="R522" s="7">
        <f>'1 datos preparados'!Q515</f>
        <v/>
      </c>
      <c r="S522" s="7">
        <f>'1 datos preparados'!R515</f>
        <v/>
      </c>
      <c r="T522" s="7">
        <f>'1 datos preparados'!S515</f>
        <v/>
      </c>
      <c r="U522" s="7">
        <f>'1 datos preparados'!T515</f>
        <v/>
      </c>
      <c r="V522" s="8">
        <f>$AE$12+D522*$AE$13+E522*$AE$14+F522*$AE$15+G522*$AE$16+H522*$AE$17+I522*$AE$18+J522*$AE$19+K522*$AE$20+L522*$AE$21+M522*$AE$22+N522*$AE$23+O522*$AE$24+P522*$AE$25+Q522*$AE$26+R522*$AE$27+S522*$AE$28+T522*$AE$29+U522*$AE$30</f>
        <v/>
      </c>
      <c r="W522" s="8">
        <f>1/(1+EXP(-V522))</f>
        <v/>
      </c>
      <c r="X522" s="9">
        <f>-IF(C522=1,LN(W522),LN(1-W522))</f>
        <v/>
      </c>
      <c r="Y522" s="8">
        <f>'1 datos preparados'!V515</f>
        <v/>
      </c>
      <c r="Z522" s="9">
        <f>Y522*X522</f>
        <v/>
      </c>
      <c r="AA522" s="10">
        <f>IF(W522&gt;$AE$33,1,0)</f>
        <v/>
      </c>
      <c r="AB522">
        <f>IF(AA522=C522,1,0)</f>
        <v/>
      </c>
    </row>
    <row r="523">
      <c r="A523">
        <f>'1 datos preparados'!A516</f>
        <v/>
      </c>
      <c r="B523" s="5">
        <f>'1 datos preparados'!U516</f>
        <v/>
      </c>
      <c r="C523">
        <f>'1 datos preparados'!B516</f>
        <v/>
      </c>
      <c r="D523" s="7">
        <f>'1 datos preparados'!C516</f>
        <v/>
      </c>
      <c r="E523" s="7">
        <f>'1 datos preparados'!D516</f>
        <v/>
      </c>
      <c r="F523" s="7">
        <f>'1 datos preparados'!E516</f>
        <v/>
      </c>
      <c r="G523" s="7">
        <f>'1 datos preparados'!F516</f>
        <v/>
      </c>
      <c r="H523" s="7">
        <f>'1 datos preparados'!G516</f>
        <v/>
      </c>
      <c r="I523" s="7">
        <f>'1 datos preparados'!H516</f>
        <v/>
      </c>
      <c r="J523" s="7">
        <f>'1 datos preparados'!I516</f>
        <v/>
      </c>
      <c r="K523" s="7">
        <f>'1 datos preparados'!J516</f>
        <v/>
      </c>
      <c r="L523" s="7">
        <f>'1 datos preparados'!K516</f>
        <v/>
      </c>
      <c r="M523" s="7">
        <f>'1 datos preparados'!L516</f>
        <v/>
      </c>
      <c r="N523" s="7">
        <f>'1 datos preparados'!M516</f>
        <v/>
      </c>
      <c r="O523" s="7">
        <f>'1 datos preparados'!N516</f>
        <v/>
      </c>
      <c r="P523" s="7">
        <f>'1 datos preparados'!O516</f>
        <v/>
      </c>
      <c r="Q523" s="7">
        <f>'1 datos preparados'!P516</f>
        <v/>
      </c>
      <c r="R523" s="7">
        <f>'1 datos preparados'!Q516</f>
        <v/>
      </c>
      <c r="S523" s="7">
        <f>'1 datos preparados'!R516</f>
        <v/>
      </c>
      <c r="T523" s="7">
        <f>'1 datos preparados'!S516</f>
        <v/>
      </c>
      <c r="U523" s="7">
        <f>'1 datos preparados'!T516</f>
        <v/>
      </c>
      <c r="V523" s="8">
        <f>$AE$12+D523*$AE$13+E523*$AE$14+F523*$AE$15+G523*$AE$16+H523*$AE$17+I523*$AE$18+J523*$AE$19+K523*$AE$20+L523*$AE$21+M523*$AE$22+N523*$AE$23+O523*$AE$24+P523*$AE$25+Q523*$AE$26+R523*$AE$27+S523*$AE$28+T523*$AE$29+U523*$AE$30</f>
        <v/>
      </c>
      <c r="W523" s="8">
        <f>1/(1+EXP(-V523))</f>
        <v/>
      </c>
      <c r="X523" s="9">
        <f>-IF(C523=1,LN(W523),LN(1-W523))</f>
        <v/>
      </c>
      <c r="Y523" s="8">
        <f>'1 datos preparados'!V516</f>
        <v/>
      </c>
      <c r="Z523" s="9">
        <f>Y523*X523</f>
        <v/>
      </c>
      <c r="AA523" s="10">
        <f>IF(W523&gt;$AE$33,1,0)</f>
        <v/>
      </c>
      <c r="AB523">
        <f>IF(AA523=C523,1,0)</f>
        <v/>
      </c>
    </row>
    <row r="524">
      <c r="A524">
        <f>'1 datos preparados'!A517</f>
        <v/>
      </c>
      <c r="B524" s="5">
        <f>'1 datos preparados'!U517</f>
        <v/>
      </c>
      <c r="C524">
        <f>'1 datos preparados'!B517</f>
        <v/>
      </c>
      <c r="D524" s="7">
        <f>'1 datos preparados'!C517</f>
        <v/>
      </c>
      <c r="E524" s="7">
        <f>'1 datos preparados'!D517</f>
        <v/>
      </c>
      <c r="F524" s="7">
        <f>'1 datos preparados'!E517</f>
        <v/>
      </c>
      <c r="G524" s="7">
        <f>'1 datos preparados'!F517</f>
        <v/>
      </c>
      <c r="H524" s="7">
        <f>'1 datos preparados'!G517</f>
        <v/>
      </c>
      <c r="I524" s="7">
        <f>'1 datos preparados'!H517</f>
        <v/>
      </c>
      <c r="J524" s="7">
        <f>'1 datos preparados'!I517</f>
        <v/>
      </c>
      <c r="K524" s="7">
        <f>'1 datos preparados'!J517</f>
        <v/>
      </c>
      <c r="L524" s="7">
        <f>'1 datos preparados'!K517</f>
        <v/>
      </c>
      <c r="M524" s="7">
        <f>'1 datos preparados'!L517</f>
        <v/>
      </c>
      <c r="N524" s="7">
        <f>'1 datos preparados'!M517</f>
        <v/>
      </c>
      <c r="O524" s="7">
        <f>'1 datos preparados'!N517</f>
        <v/>
      </c>
      <c r="P524" s="7">
        <f>'1 datos preparados'!O517</f>
        <v/>
      </c>
      <c r="Q524" s="7">
        <f>'1 datos preparados'!P517</f>
        <v/>
      </c>
      <c r="R524" s="7">
        <f>'1 datos preparados'!Q517</f>
        <v/>
      </c>
      <c r="S524" s="7">
        <f>'1 datos preparados'!R517</f>
        <v/>
      </c>
      <c r="T524" s="7">
        <f>'1 datos preparados'!S517</f>
        <v/>
      </c>
      <c r="U524" s="7">
        <f>'1 datos preparados'!T517</f>
        <v/>
      </c>
      <c r="V524" s="8">
        <f>$AE$12+D524*$AE$13+E524*$AE$14+F524*$AE$15+G524*$AE$16+H524*$AE$17+I524*$AE$18+J524*$AE$19+K524*$AE$20+L524*$AE$21+M524*$AE$22+N524*$AE$23+O524*$AE$24+P524*$AE$25+Q524*$AE$26+R524*$AE$27+S524*$AE$28+T524*$AE$29+U524*$AE$30</f>
        <v/>
      </c>
      <c r="W524" s="8">
        <f>1/(1+EXP(-V524))</f>
        <v/>
      </c>
      <c r="X524" s="9">
        <f>-IF(C524=1,LN(W524),LN(1-W524))</f>
        <v/>
      </c>
      <c r="Y524" s="8">
        <f>'1 datos preparados'!V517</f>
        <v/>
      </c>
      <c r="Z524" s="9">
        <f>Y524*X524</f>
        <v/>
      </c>
      <c r="AA524" s="10">
        <f>IF(W524&gt;$AE$33,1,0)</f>
        <v/>
      </c>
      <c r="AB524">
        <f>IF(AA524=C524,1,0)</f>
        <v/>
      </c>
    </row>
    <row r="525">
      <c r="A525">
        <f>'1 datos preparados'!A518</f>
        <v/>
      </c>
      <c r="B525" s="5">
        <f>'1 datos preparados'!U518</f>
        <v/>
      </c>
      <c r="C525">
        <f>'1 datos preparados'!B518</f>
        <v/>
      </c>
      <c r="D525" s="7">
        <f>'1 datos preparados'!C518</f>
        <v/>
      </c>
      <c r="E525" s="7">
        <f>'1 datos preparados'!D518</f>
        <v/>
      </c>
      <c r="F525" s="7">
        <f>'1 datos preparados'!E518</f>
        <v/>
      </c>
      <c r="G525" s="7">
        <f>'1 datos preparados'!F518</f>
        <v/>
      </c>
      <c r="H525" s="7">
        <f>'1 datos preparados'!G518</f>
        <v/>
      </c>
      <c r="I525" s="7">
        <f>'1 datos preparados'!H518</f>
        <v/>
      </c>
      <c r="J525" s="7">
        <f>'1 datos preparados'!I518</f>
        <v/>
      </c>
      <c r="K525" s="7">
        <f>'1 datos preparados'!J518</f>
        <v/>
      </c>
      <c r="L525" s="7">
        <f>'1 datos preparados'!K518</f>
        <v/>
      </c>
      <c r="M525" s="7">
        <f>'1 datos preparados'!L518</f>
        <v/>
      </c>
      <c r="N525" s="7">
        <f>'1 datos preparados'!M518</f>
        <v/>
      </c>
      <c r="O525" s="7">
        <f>'1 datos preparados'!N518</f>
        <v/>
      </c>
      <c r="P525" s="7">
        <f>'1 datos preparados'!O518</f>
        <v/>
      </c>
      <c r="Q525" s="7">
        <f>'1 datos preparados'!P518</f>
        <v/>
      </c>
      <c r="R525" s="7">
        <f>'1 datos preparados'!Q518</f>
        <v/>
      </c>
      <c r="S525" s="7">
        <f>'1 datos preparados'!R518</f>
        <v/>
      </c>
      <c r="T525" s="7">
        <f>'1 datos preparados'!S518</f>
        <v/>
      </c>
      <c r="U525" s="7">
        <f>'1 datos preparados'!T518</f>
        <v/>
      </c>
      <c r="V525" s="8">
        <f>$AE$12+D525*$AE$13+E525*$AE$14+F525*$AE$15+G525*$AE$16+H525*$AE$17+I525*$AE$18+J525*$AE$19+K525*$AE$20+L525*$AE$21+M525*$AE$22+N525*$AE$23+O525*$AE$24+P525*$AE$25+Q525*$AE$26+R525*$AE$27+S525*$AE$28+T525*$AE$29+U525*$AE$30</f>
        <v/>
      </c>
      <c r="W525" s="8">
        <f>1/(1+EXP(-V525))</f>
        <v/>
      </c>
      <c r="X525" s="9">
        <f>-IF(C525=1,LN(W525),LN(1-W525))</f>
        <v/>
      </c>
      <c r="Y525" s="8">
        <f>'1 datos preparados'!V518</f>
        <v/>
      </c>
      <c r="Z525" s="9">
        <f>Y525*X525</f>
        <v/>
      </c>
      <c r="AA525" s="10">
        <f>IF(W525&gt;$AE$33,1,0)</f>
        <v/>
      </c>
      <c r="AB525">
        <f>IF(AA525=C525,1,0)</f>
        <v/>
      </c>
    </row>
    <row r="526">
      <c r="A526">
        <f>'1 datos preparados'!A519</f>
        <v/>
      </c>
      <c r="B526" s="5">
        <f>'1 datos preparados'!U519</f>
        <v/>
      </c>
      <c r="C526">
        <f>'1 datos preparados'!B519</f>
        <v/>
      </c>
      <c r="D526" s="7">
        <f>'1 datos preparados'!C519</f>
        <v/>
      </c>
      <c r="E526" s="7">
        <f>'1 datos preparados'!D519</f>
        <v/>
      </c>
      <c r="F526" s="7">
        <f>'1 datos preparados'!E519</f>
        <v/>
      </c>
      <c r="G526" s="7">
        <f>'1 datos preparados'!F519</f>
        <v/>
      </c>
      <c r="H526" s="7">
        <f>'1 datos preparados'!G519</f>
        <v/>
      </c>
      <c r="I526" s="7">
        <f>'1 datos preparados'!H519</f>
        <v/>
      </c>
      <c r="J526" s="7">
        <f>'1 datos preparados'!I519</f>
        <v/>
      </c>
      <c r="K526" s="7">
        <f>'1 datos preparados'!J519</f>
        <v/>
      </c>
      <c r="L526" s="7">
        <f>'1 datos preparados'!K519</f>
        <v/>
      </c>
      <c r="M526" s="7">
        <f>'1 datos preparados'!L519</f>
        <v/>
      </c>
      <c r="N526" s="7">
        <f>'1 datos preparados'!M519</f>
        <v/>
      </c>
      <c r="O526" s="7">
        <f>'1 datos preparados'!N519</f>
        <v/>
      </c>
      <c r="P526" s="7">
        <f>'1 datos preparados'!O519</f>
        <v/>
      </c>
      <c r="Q526" s="7">
        <f>'1 datos preparados'!P519</f>
        <v/>
      </c>
      <c r="R526" s="7">
        <f>'1 datos preparados'!Q519</f>
        <v/>
      </c>
      <c r="S526" s="7">
        <f>'1 datos preparados'!R519</f>
        <v/>
      </c>
      <c r="T526" s="7">
        <f>'1 datos preparados'!S519</f>
        <v/>
      </c>
      <c r="U526" s="7">
        <f>'1 datos preparados'!T519</f>
        <v/>
      </c>
      <c r="V526" s="8">
        <f>$AE$12+D526*$AE$13+E526*$AE$14+F526*$AE$15+G526*$AE$16+H526*$AE$17+I526*$AE$18+J526*$AE$19+K526*$AE$20+L526*$AE$21+M526*$AE$22+N526*$AE$23+O526*$AE$24+P526*$AE$25+Q526*$AE$26+R526*$AE$27+S526*$AE$28+T526*$AE$29+U526*$AE$30</f>
        <v/>
      </c>
      <c r="W526" s="8">
        <f>1/(1+EXP(-V526))</f>
        <v/>
      </c>
      <c r="X526" s="9">
        <f>-IF(C526=1,LN(W526),LN(1-W526))</f>
        <v/>
      </c>
      <c r="Y526" s="8">
        <f>'1 datos preparados'!V519</f>
        <v/>
      </c>
      <c r="Z526" s="9">
        <f>Y526*X526</f>
        <v/>
      </c>
      <c r="AA526" s="10">
        <f>IF(W526&gt;$AE$33,1,0)</f>
        <v/>
      </c>
      <c r="AB526">
        <f>IF(AA526=C526,1,0)</f>
        <v/>
      </c>
    </row>
    <row r="527">
      <c r="A527">
        <f>'1 datos preparados'!A520</f>
        <v/>
      </c>
      <c r="B527" s="5">
        <f>'1 datos preparados'!U520</f>
        <v/>
      </c>
      <c r="C527">
        <f>'1 datos preparados'!B520</f>
        <v/>
      </c>
      <c r="D527" s="7">
        <f>'1 datos preparados'!C520</f>
        <v/>
      </c>
      <c r="E527" s="7">
        <f>'1 datos preparados'!D520</f>
        <v/>
      </c>
      <c r="F527" s="7">
        <f>'1 datos preparados'!E520</f>
        <v/>
      </c>
      <c r="G527" s="7">
        <f>'1 datos preparados'!F520</f>
        <v/>
      </c>
      <c r="H527" s="7">
        <f>'1 datos preparados'!G520</f>
        <v/>
      </c>
      <c r="I527" s="7">
        <f>'1 datos preparados'!H520</f>
        <v/>
      </c>
      <c r="J527" s="7">
        <f>'1 datos preparados'!I520</f>
        <v/>
      </c>
      <c r="K527" s="7">
        <f>'1 datos preparados'!J520</f>
        <v/>
      </c>
      <c r="L527" s="7">
        <f>'1 datos preparados'!K520</f>
        <v/>
      </c>
      <c r="M527" s="7">
        <f>'1 datos preparados'!L520</f>
        <v/>
      </c>
      <c r="N527" s="7">
        <f>'1 datos preparados'!M520</f>
        <v/>
      </c>
      <c r="O527" s="7">
        <f>'1 datos preparados'!N520</f>
        <v/>
      </c>
      <c r="P527" s="7">
        <f>'1 datos preparados'!O520</f>
        <v/>
      </c>
      <c r="Q527" s="7">
        <f>'1 datos preparados'!P520</f>
        <v/>
      </c>
      <c r="R527" s="7">
        <f>'1 datos preparados'!Q520</f>
        <v/>
      </c>
      <c r="S527" s="7">
        <f>'1 datos preparados'!R520</f>
        <v/>
      </c>
      <c r="T527" s="7">
        <f>'1 datos preparados'!S520</f>
        <v/>
      </c>
      <c r="U527" s="7">
        <f>'1 datos preparados'!T520</f>
        <v/>
      </c>
      <c r="V527" s="8">
        <f>$AE$12+D527*$AE$13+E527*$AE$14+F527*$AE$15+G527*$AE$16+H527*$AE$17+I527*$AE$18+J527*$AE$19+K527*$AE$20+L527*$AE$21+M527*$AE$22+N527*$AE$23+O527*$AE$24+P527*$AE$25+Q527*$AE$26+R527*$AE$27+S527*$AE$28+T527*$AE$29+U527*$AE$30</f>
        <v/>
      </c>
      <c r="W527" s="8">
        <f>1/(1+EXP(-V527))</f>
        <v/>
      </c>
      <c r="X527" s="9">
        <f>-IF(C527=1,LN(W527),LN(1-W527))</f>
        <v/>
      </c>
      <c r="Y527" s="8">
        <f>'1 datos preparados'!V520</f>
        <v/>
      </c>
      <c r="Z527" s="9">
        <f>Y527*X527</f>
        <v/>
      </c>
      <c r="AA527" s="10">
        <f>IF(W527&gt;$AE$33,1,0)</f>
        <v/>
      </c>
      <c r="AB527">
        <f>IF(AA527=C527,1,0)</f>
        <v/>
      </c>
    </row>
    <row r="528">
      <c r="A528">
        <f>'1 datos preparados'!A521</f>
        <v/>
      </c>
      <c r="B528" s="5">
        <f>'1 datos preparados'!U521</f>
        <v/>
      </c>
      <c r="C528">
        <f>'1 datos preparados'!B521</f>
        <v/>
      </c>
      <c r="D528" s="7">
        <f>'1 datos preparados'!C521</f>
        <v/>
      </c>
      <c r="E528" s="7">
        <f>'1 datos preparados'!D521</f>
        <v/>
      </c>
      <c r="F528" s="7">
        <f>'1 datos preparados'!E521</f>
        <v/>
      </c>
      <c r="G528" s="7">
        <f>'1 datos preparados'!F521</f>
        <v/>
      </c>
      <c r="H528" s="7">
        <f>'1 datos preparados'!G521</f>
        <v/>
      </c>
      <c r="I528" s="7">
        <f>'1 datos preparados'!H521</f>
        <v/>
      </c>
      <c r="J528" s="7">
        <f>'1 datos preparados'!I521</f>
        <v/>
      </c>
      <c r="K528" s="7">
        <f>'1 datos preparados'!J521</f>
        <v/>
      </c>
      <c r="L528" s="7">
        <f>'1 datos preparados'!K521</f>
        <v/>
      </c>
      <c r="M528" s="7">
        <f>'1 datos preparados'!L521</f>
        <v/>
      </c>
      <c r="N528" s="7">
        <f>'1 datos preparados'!M521</f>
        <v/>
      </c>
      <c r="O528" s="7">
        <f>'1 datos preparados'!N521</f>
        <v/>
      </c>
      <c r="P528" s="7">
        <f>'1 datos preparados'!O521</f>
        <v/>
      </c>
      <c r="Q528" s="7">
        <f>'1 datos preparados'!P521</f>
        <v/>
      </c>
      <c r="R528" s="7">
        <f>'1 datos preparados'!Q521</f>
        <v/>
      </c>
      <c r="S528" s="7">
        <f>'1 datos preparados'!R521</f>
        <v/>
      </c>
      <c r="T528" s="7">
        <f>'1 datos preparados'!S521</f>
        <v/>
      </c>
      <c r="U528" s="7">
        <f>'1 datos preparados'!T521</f>
        <v/>
      </c>
      <c r="V528" s="8">
        <f>$AE$12+D528*$AE$13+E528*$AE$14+F528*$AE$15+G528*$AE$16+H528*$AE$17+I528*$AE$18+J528*$AE$19+K528*$AE$20+L528*$AE$21+M528*$AE$22+N528*$AE$23+O528*$AE$24+P528*$AE$25+Q528*$AE$26+R528*$AE$27+S528*$AE$28+T528*$AE$29+U528*$AE$30</f>
        <v/>
      </c>
      <c r="W528" s="8">
        <f>1/(1+EXP(-V528))</f>
        <v/>
      </c>
      <c r="X528" s="9">
        <f>-IF(C528=1,LN(W528),LN(1-W528))</f>
        <v/>
      </c>
      <c r="Y528" s="8">
        <f>'1 datos preparados'!V521</f>
        <v/>
      </c>
      <c r="Z528" s="9">
        <f>Y528*X528</f>
        <v/>
      </c>
      <c r="AA528" s="10">
        <f>IF(W528&gt;$AE$33,1,0)</f>
        <v/>
      </c>
      <c r="AB528">
        <f>IF(AA528=C528,1,0)</f>
        <v/>
      </c>
    </row>
    <row r="529">
      <c r="A529">
        <f>'1 datos preparados'!A522</f>
        <v/>
      </c>
      <c r="B529" s="5">
        <f>'1 datos preparados'!U522</f>
        <v/>
      </c>
      <c r="C529">
        <f>'1 datos preparados'!B522</f>
        <v/>
      </c>
      <c r="D529" s="7">
        <f>'1 datos preparados'!C522</f>
        <v/>
      </c>
      <c r="E529" s="7">
        <f>'1 datos preparados'!D522</f>
        <v/>
      </c>
      <c r="F529" s="7">
        <f>'1 datos preparados'!E522</f>
        <v/>
      </c>
      <c r="G529" s="7">
        <f>'1 datos preparados'!F522</f>
        <v/>
      </c>
      <c r="H529" s="7">
        <f>'1 datos preparados'!G522</f>
        <v/>
      </c>
      <c r="I529" s="7">
        <f>'1 datos preparados'!H522</f>
        <v/>
      </c>
      <c r="J529" s="7">
        <f>'1 datos preparados'!I522</f>
        <v/>
      </c>
      <c r="K529" s="7">
        <f>'1 datos preparados'!J522</f>
        <v/>
      </c>
      <c r="L529" s="7">
        <f>'1 datos preparados'!K522</f>
        <v/>
      </c>
      <c r="M529" s="7">
        <f>'1 datos preparados'!L522</f>
        <v/>
      </c>
      <c r="N529" s="7">
        <f>'1 datos preparados'!M522</f>
        <v/>
      </c>
      <c r="O529" s="7">
        <f>'1 datos preparados'!N522</f>
        <v/>
      </c>
      <c r="P529" s="7">
        <f>'1 datos preparados'!O522</f>
        <v/>
      </c>
      <c r="Q529" s="7">
        <f>'1 datos preparados'!P522</f>
        <v/>
      </c>
      <c r="R529" s="7">
        <f>'1 datos preparados'!Q522</f>
        <v/>
      </c>
      <c r="S529" s="7">
        <f>'1 datos preparados'!R522</f>
        <v/>
      </c>
      <c r="T529" s="7">
        <f>'1 datos preparados'!S522</f>
        <v/>
      </c>
      <c r="U529" s="7">
        <f>'1 datos preparados'!T522</f>
        <v/>
      </c>
      <c r="V529" s="8">
        <f>$AE$12+D529*$AE$13+E529*$AE$14+F529*$AE$15+G529*$AE$16+H529*$AE$17+I529*$AE$18+J529*$AE$19+K529*$AE$20+L529*$AE$21+M529*$AE$22+N529*$AE$23+O529*$AE$24+P529*$AE$25+Q529*$AE$26+R529*$AE$27+S529*$AE$28+T529*$AE$29+U529*$AE$30</f>
        <v/>
      </c>
      <c r="W529" s="8">
        <f>1/(1+EXP(-V529))</f>
        <v/>
      </c>
      <c r="X529" s="9">
        <f>-IF(C529=1,LN(W529),LN(1-W529))</f>
        <v/>
      </c>
      <c r="Y529" s="8">
        <f>'1 datos preparados'!V522</f>
        <v/>
      </c>
      <c r="Z529" s="9">
        <f>Y529*X529</f>
        <v/>
      </c>
      <c r="AA529" s="10">
        <f>IF(W529&gt;$AE$33,1,0)</f>
        <v/>
      </c>
      <c r="AB529">
        <f>IF(AA529=C529,1,0)</f>
        <v/>
      </c>
    </row>
    <row r="530">
      <c r="A530">
        <f>'1 datos preparados'!A523</f>
        <v/>
      </c>
      <c r="B530" s="5">
        <f>'1 datos preparados'!U523</f>
        <v/>
      </c>
      <c r="C530">
        <f>'1 datos preparados'!B523</f>
        <v/>
      </c>
      <c r="D530" s="7">
        <f>'1 datos preparados'!C523</f>
        <v/>
      </c>
      <c r="E530" s="7">
        <f>'1 datos preparados'!D523</f>
        <v/>
      </c>
      <c r="F530" s="7">
        <f>'1 datos preparados'!E523</f>
        <v/>
      </c>
      <c r="G530" s="7">
        <f>'1 datos preparados'!F523</f>
        <v/>
      </c>
      <c r="H530" s="7">
        <f>'1 datos preparados'!G523</f>
        <v/>
      </c>
      <c r="I530" s="7">
        <f>'1 datos preparados'!H523</f>
        <v/>
      </c>
      <c r="J530" s="7">
        <f>'1 datos preparados'!I523</f>
        <v/>
      </c>
      <c r="K530" s="7">
        <f>'1 datos preparados'!J523</f>
        <v/>
      </c>
      <c r="L530" s="7">
        <f>'1 datos preparados'!K523</f>
        <v/>
      </c>
      <c r="M530" s="7">
        <f>'1 datos preparados'!L523</f>
        <v/>
      </c>
      <c r="N530" s="7">
        <f>'1 datos preparados'!M523</f>
        <v/>
      </c>
      <c r="O530" s="7">
        <f>'1 datos preparados'!N523</f>
        <v/>
      </c>
      <c r="P530" s="7">
        <f>'1 datos preparados'!O523</f>
        <v/>
      </c>
      <c r="Q530" s="7">
        <f>'1 datos preparados'!P523</f>
        <v/>
      </c>
      <c r="R530" s="7">
        <f>'1 datos preparados'!Q523</f>
        <v/>
      </c>
      <c r="S530" s="7">
        <f>'1 datos preparados'!R523</f>
        <v/>
      </c>
      <c r="T530" s="7">
        <f>'1 datos preparados'!S523</f>
        <v/>
      </c>
      <c r="U530" s="7">
        <f>'1 datos preparados'!T523</f>
        <v/>
      </c>
      <c r="V530" s="8">
        <f>$AE$12+D530*$AE$13+E530*$AE$14+F530*$AE$15+G530*$AE$16+H530*$AE$17+I530*$AE$18+J530*$AE$19+K530*$AE$20+L530*$AE$21+M530*$AE$22+N530*$AE$23+O530*$AE$24+P530*$AE$25+Q530*$AE$26+R530*$AE$27+S530*$AE$28+T530*$AE$29+U530*$AE$30</f>
        <v/>
      </c>
      <c r="W530" s="8">
        <f>1/(1+EXP(-V530))</f>
        <v/>
      </c>
      <c r="X530" s="9">
        <f>-IF(C530=1,LN(W530),LN(1-W530))</f>
        <v/>
      </c>
      <c r="Y530" s="8">
        <f>'1 datos preparados'!V523</f>
        <v/>
      </c>
      <c r="Z530" s="9">
        <f>Y530*X530</f>
        <v/>
      </c>
      <c r="AA530" s="10">
        <f>IF(W530&gt;$AE$33,1,0)</f>
        <v/>
      </c>
      <c r="AB530">
        <f>IF(AA530=C530,1,0)</f>
        <v/>
      </c>
    </row>
    <row r="531">
      <c r="A531">
        <f>'1 datos preparados'!A524</f>
        <v/>
      </c>
      <c r="B531" s="5">
        <f>'1 datos preparados'!U524</f>
        <v/>
      </c>
      <c r="C531">
        <f>'1 datos preparados'!B524</f>
        <v/>
      </c>
      <c r="D531" s="7">
        <f>'1 datos preparados'!C524</f>
        <v/>
      </c>
      <c r="E531" s="7">
        <f>'1 datos preparados'!D524</f>
        <v/>
      </c>
      <c r="F531" s="7">
        <f>'1 datos preparados'!E524</f>
        <v/>
      </c>
      <c r="G531" s="7">
        <f>'1 datos preparados'!F524</f>
        <v/>
      </c>
      <c r="H531" s="7">
        <f>'1 datos preparados'!G524</f>
        <v/>
      </c>
      <c r="I531" s="7">
        <f>'1 datos preparados'!H524</f>
        <v/>
      </c>
      <c r="J531" s="7">
        <f>'1 datos preparados'!I524</f>
        <v/>
      </c>
      <c r="K531" s="7">
        <f>'1 datos preparados'!J524</f>
        <v/>
      </c>
      <c r="L531" s="7">
        <f>'1 datos preparados'!K524</f>
        <v/>
      </c>
      <c r="M531" s="7">
        <f>'1 datos preparados'!L524</f>
        <v/>
      </c>
      <c r="N531" s="7">
        <f>'1 datos preparados'!M524</f>
        <v/>
      </c>
      <c r="O531" s="7">
        <f>'1 datos preparados'!N524</f>
        <v/>
      </c>
      <c r="P531" s="7">
        <f>'1 datos preparados'!O524</f>
        <v/>
      </c>
      <c r="Q531" s="7">
        <f>'1 datos preparados'!P524</f>
        <v/>
      </c>
      <c r="R531" s="7">
        <f>'1 datos preparados'!Q524</f>
        <v/>
      </c>
      <c r="S531" s="7">
        <f>'1 datos preparados'!R524</f>
        <v/>
      </c>
      <c r="T531" s="7">
        <f>'1 datos preparados'!S524</f>
        <v/>
      </c>
      <c r="U531" s="7">
        <f>'1 datos preparados'!T524</f>
        <v/>
      </c>
      <c r="V531" s="8">
        <f>$AE$12+D531*$AE$13+E531*$AE$14+F531*$AE$15+G531*$AE$16+H531*$AE$17+I531*$AE$18+J531*$AE$19+K531*$AE$20+L531*$AE$21+M531*$AE$22+N531*$AE$23+O531*$AE$24+P531*$AE$25+Q531*$AE$26+R531*$AE$27+S531*$AE$28+T531*$AE$29+U531*$AE$30</f>
        <v/>
      </c>
      <c r="W531" s="8">
        <f>1/(1+EXP(-V531))</f>
        <v/>
      </c>
      <c r="X531" s="9">
        <f>-IF(C531=1,LN(W531),LN(1-W531))</f>
        <v/>
      </c>
      <c r="Y531" s="8">
        <f>'1 datos preparados'!V524</f>
        <v/>
      </c>
      <c r="Z531" s="9">
        <f>Y531*X531</f>
        <v/>
      </c>
      <c r="AA531" s="10">
        <f>IF(W531&gt;$AE$33,1,0)</f>
        <v/>
      </c>
      <c r="AB531">
        <f>IF(AA531=C531,1,0)</f>
        <v/>
      </c>
    </row>
    <row r="532">
      <c r="A532">
        <f>'1 datos preparados'!A525</f>
        <v/>
      </c>
      <c r="B532" s="5">
        <f>'1 datos preparados'!U525</f>
        <v/>
      </c>
      <c r="C532">
        <f>'1 datos preparados'!B525</f>
        <v/>
      </c>
      <c r="D532" s="7">
        <f>'1 datos preparados'!C525</f>
        <v/>
      </c>
      <c r="E532" s="7">
        <f>'1 datos preparados'!D525</f>
        <v/>
      </c>
      <c r="F532" s="7">
        <f>'1 datos preparados'!E525</f>
        <v/>
      </c>
      <c r="G532" s="7">
        <f>'1 datos preparados'!F525</f>
        <v/>
      </c>
      <c r="H532" s="7">
        <f>'1 datos preparados'!G525</f>
        <v/>
      </c>
      <c r="I532" s="7">
        <f>'1 datos preparados'!H525</f>
        <v/>
      </c>
      <c r="J532" s="7">
        <f>'1 datos preparados'!I525</f>
        <v/>
      </c>
      <c r="K532" s="7">
        <f>'1 datos preparados'!J525</f>
        <v/>
      </c>
      <c r="L532" s="7">
        <f>'1 datos preparados'!K525</f>
        <v/>
      </c>
      <c r="M532" s="7">
        <f>'1 datos preparados'!L525</f>
        <v/>
      </c>
      <c r="N532" s="7">
        <f>'1 datos preparados'!M525</f>
        <v/>
      </c>
      <c r="O532" s="7">
        <f>'1 datos preparados'!N525</f>
        <v/>
      </c>
      <c r="P532" s="7">
        <f>'1 datos preparados'!O525</f>
        <v/>
      </c>
      <c r="Q532" s="7">
        <f>'1 datos preparados'!P525</f>
        <v/>
      </c>
      <c r="R532" s="7">
        <f>'1 datos preparados'!Q525</f>
        <v/>
      </c>
      <c r="S532" s="7">
        <f>'1 datos preparados'!R525</f>
        <v/>
      </c>
      <c r="T532" s="7">
        <f>'1 datos preparados'!S525</f>
        <v/>
      </c>
      <c r="U532" s="7">
        <f>'1 datos preparados'!T525</f>
        <v/>
      </c>
      <c r="V532" s="8">
        <f>$AE$12+D532*$AE$13+E532*$AE$14+F532*$AE$15+G532*$AE$16+H532*$AE$17+I532*$AE$18+J532*$AE$19+K532*$AE$20+L532*$AE$21+M532*$AE$22+N532*$AE$23+O532*$AE$24+P532*$AE$25+Q532*$AE$26+R532*$AE$27+S532*$AE$28+T532*$AE$29+U532*$AE$30</f>
        <v/>
      </c>
      <c r="W532" s="8">
        <f>1/(1+EXP(-V532))</f>
        <v/>
      </c>
      <c r="X532" s="9">
        <f>-IF(C532=1,LN(W532),LN(1-W532))</f>
        <v/>
      </c>
      <c r="Y532" s="8">
        <f>'1 datos preparados'!V525</f>
        <v/>
      </c>
      <c r="Z532" s="9">
        <f>Y532*X532</f>
        <v/>
      </c>
      <c r="AA532" s="10">
        <f>IF(W532&gt;$AE$33,1,0)</f>
        <v/>
      </c>
      <c r="AB532">
        <f>IF(AA532=C532,1,0)</f>
        <v/>
      </c>
    </row>
    <row r="533">
      <c r="A533">
        <f>'1 datos preparados'!A526</f>
        <v/>
      </c>
      <c r="B533" s="5">
        <f>'1 datos preparados'!U526</f>
        <v/>
      </c>
      <c r="C533">
        <f>'1 datos preparados'!B526</f>
        <v/>
      </c>
      <c r="D533" s="7">
        <f>'1 datos preparados'!C526</f>
        <v/>
      </c>
      <c r="E533" s="7">
        <f>'1 datos preparados'!D526</f>
        <v/>
      </c>
      <c r="F533" s="7">
        <f>'1 datos preparados'!E526</f>
        <v/>
      </c>
      <c r="G533" s="7">
        <f>'1 datos preparados'!F526</f>
        <v/>
      </c>
      <c r="H533" s="7">
        <f>'1 datos preparados'!G526</f>
        <v/>
      </c>
      <c r="I533" s="7">
        <f>'1 datos preparados'!H526</f>
        <v/>
      </c>
      <c r="J533" s="7">
        <f>'1 datos preparados'!I526</f>
        <v/>
      </c>
      <c r="K533" s="7">
        <f>'1 datos preparados'!J526</f>
        <v/>
      </c>
      <c r="L533" s="7">
        <f>'1 datos preparados'!K526</f>
        <v/>
      </c>
      <c r="M533" s="7">
        <f>'1 datos preparados'!L526</f>
        <v/>
      </c>
      <c r="N533" s="7">
        <f>'1 datos preparados'!M526</f>
        <v/>
      </c>
      <c r="O533" s="7">
        <f>'1 datos preparados'!N526</f>
        <v/>
      </c>
      <c r="P533" s="7">
        <f>'1 datos preparados'!O526</f>
        <v/>
      </c>
      <c r="Q533" s="7">
        <f>'1 datos preparados'!P526</f>
        <v/>
      </c>
      <c r="R533" s="7">
        <f>'1 datos preparados'!Q526</f>
        <v/>
      </c>
      <c r="S533" s="7">
        <f>'1 datos preparados'!R526</f>
        <v/>
      </c>
      <c r="T533" s="7">
        <f>'1 datos preparados'!S526</f>
        <v/>
      </c>
      <c r="U533" s="7">
        <f>'1 datos preparados'!T526</f>
        <v/>
      </c>
      <c r="V533" s="8">
        <f>$AE$12+D533*$AE$13+E533*$AE$14+F533*$AE$15+G533*$AE$16+H533*$AE$17+I533*$AE$18+J533*$AE$19+K533*$AE$20+L533*$AE$21+M533*$AE$22+N533*$AE$23+O533*$AE$24+P533*$AE$25+Q533*$AE$26+R533*$AE$27+S533*$AE$28+T533*$AE$29+U533*$AE$30</f>
        <v/>
      </c>
      <c r="W533" s="8">
        <f>1/(1+EXP(-V533))</f>
        <v/>
      </c>
      <c r="X533" s="9">
        <f>-IF(C533=1,LN(W533),LN(1-W533))</f>
        <v/>
      </c>
      <c r="Y533" s="8">
        <f>'1 datos preparados'!V526</f>
        <v/>
      </c>
      <c r="Z533" s="9">
        <f>Y533*X533</f>
        <v/>
      </c>
      <c r="AA533" s="10">
        <f>IF(W533&gt;$AE$33,1,0)</f>
        <v/>
      </c>
      <c r="AB533">
        <f>IF(AA533=C533,1,0)</f>
        <v/>
      </c>
    </row>
    <row r="534">
      <c r="A534">
        <f>'1 datos preparados'!A527</f>
        <v/>
      </c>
      <c r="B534" s="5">
        <f>'1 datos preparados'!U527</f>
        <v/>
      </c>
      <c r="C534">
        <f>'1 datos preparados'!B527</f>
        <v/>
      </c>
      <c r="D534" s="7">
        <f>'1 datos preparados'!C527</f>
        <v/>
      </c>
      <c r="E534" s="7">
        <f>'1 datos preparados'!D527</f>
        <v/>
      </c>
      <c r="F534" s="7">
        <f>'1 datos preparados'!E527</f>
        <v/>
      </c>
      <c r="G534" s="7">
        <f>'1 datos preparados'!F527</f>
        <v/>
      </c>
      <c r="H534" s="7">
        <f>'1 datos preparados'!G527</f>
        <v/>
      </c>
      <c r="I534" s="7">
        <f>'1 datos preparados'!H527</f>
        <v/>
      </c>
      <c r="J534" s="7">
        <f>'1 datos preparados'!I527</f>
        <v/>
      </c>
      <c r="K534" s="7">
        <f>'1 datos preparados'!J527</f>
        <v/>
      </c>
      <c r="L534" s="7">
        <f>'1 datos preparados'!K527</f>
        <v/>
      </c>
      <c r="M534" s="7">
        <f>'1 datos preparados'!L527</f>
        <v/>
      </c>
      <c r="N534" s="7">
        <f>'1 datos preparados'!M527</f>
        <v/>
      </c>
      <c r="O534" s="7">
        <f>'1 datos preparados'!N527</f>
        <v/>
      </c>
      <c r="P534" s="7">
        <f>'1 datos preparados'!O527</f>
        <v/>
      </c>
      <c r="Q534" s="7">
        <f>'1 datos preparados'!P527</f>
        <v/>
      </c>
      <c r="R534" s="7">
        <f>'1 datos preparados'!Q527</f>
        <v/>
      </c>
      <c r="S534" s="7">
        <f>'1 datos preparados'!R527</f>
        <v/>
      </c>
      <c r="T534" s="7">
        <f>'1 datos preparados'!S527</f>
        <v/>
      </c>
      <c r="U534" s="7">
        <f>'1 datos preparados'!T527</f>
        <v/>
      </c>
      <c r="V534" s="8">
        <f>$AE$12+D534*$AE$13+E534*$AE$14+F534*$AE$15+G534*$AE$16+H534*$AE$17+I534*$AE$18+J534*$AE$19+K534*$AE$20+L534*$AE$21+M534*$AE$22+N534*$AE$23+O534*$AE$24+P534*$AE$25+Q534*$AE$26+R534*$AE$27+S534*$AE$28+T534*$AE$29+U534*$AE$30</f>
        <v/>
      </c>
      <c r="W534" s="8">
        <f>1/(1+EXP(-V534))</f>
        <v/>
      </c>
      <c r="X534" s="9">
        <f>-IF(C534=1,LN(W534),LN(1-W534))</f>
        <v/>
      </c>
      <c r="Y534" s="8">
        <f>'1 datos preparados'!V527</f>
        <v/>
      </c>
      <c r="Z534" s="9">
        <f>Y534*X534</f>
        <v/>
      </c>
      <c r="AA534" s="10">
        <f>IF(W534&gt;$AE$33,1,0)</f>
        <v/>
      </c>
      <c r="AB534">
        <f>IF(AA534=C534,1,0)</f>
        <v/>
      </c>
    </row>
    <row r="535">
      <c r="A535">
        <f>'1 datos preparados'!A528</f>
        <v/>
      </c>
      <c r="B535" s="5">
        <f>'1 datos preparados'!U528</f>
        <v/>
      </c>
      <c r="C535">
        <f>'1 datos preparados'!B528</f>
        <v/>
      </c>
      <c r="D535" s="7">
        <f>'1 datos preparados'!C528</f>
        <v/>
      </c>
      <c r="E535" s="7">
        <f>'1 datos preparados'!D528</f>
        <v/>
      </c>
      <c r="F535" s="7">
        <f>'1 datos preparados'!E528</f>
        <v/>
      </c>
      <c r="G535" s="7">
        <f>'1 datos preparados'!F528</f>
        <v/>
      </c>
      <c r="H535" s="7">
        <f>'1 datos preparados'!G528</f>
        <v/>
      </c>
      <c r="I535" s="7">
        <f>'1 datos preparados'!H528</f>
        <v/>
      </c>
      <c r="J535" s="7">
        <f>'1 datos preparados'!I528</f>
        <v/>
      </c>
      <c r="K535" s="7">
        <f>'1 datos preparados'!J528</f>
        <v/>
      </c>
      <c r="L535" s="7">
        <f>'1 datos preparados'!K528</f>
        <v/>
      </c>
      <c r="M535" s="7">
        <f>'1 datos preparados'!L528</f>
        <v/>
      </c>
      <c r="N535" s="7">
        <f>'1 datos preparados'!M528</f>
        <v/>
      </c>
      <c r="O535" s="7">
        <f>'1 datos preparados'!N528</f>
        <v/>
      </c>
      <c r="P535" s="7">
        <f>'1 datos preparados'!O528</f>
        <v/>
      </c>
      <c r="Q535" s="7">
        <f>'1 datos preparados'!P528</f>
        <v/>
      </c>
      <c r="R535" s="7">
        <f>'1 datos preparados'!Q528</f>
        <v/>
      </c>
      <c r="S535" s="7">
        <f>'1 datos preparados'!R528</f>
        <v/>
      </c>
      <c r="T535" s="7">
        <f>'1 datos preparados'!S528</f>
        <v/>
      </c>
      <c r="U535" s="7">
        <f>'1 datos preparados'!T528</f>
        <v/>
      </c>
      <c r="V535" s="8">
        <f>$AE$12+D535*$AE$13+E535*$AE$14+F535*$AE$15+G535*$AE$16+H535*$AE$17+I535*$AE$18+J535*$AE$19+K535*$AE$20+L535*$AE$21+M535*$AE$22+N535*$AE$23+O535*$AE$24+P535*$AE$25+Q535*$AE$26+R535*$AE$27+S535*$AE$28+T535*$AE$29+U535*$AE$30</f>
        <v/>
      </c>
      <c r="W535" s="8">
        <f>1/(1+EXP(-V535))</f>
        <v/>
      </c>
      <c r="X535" s="9">
        <f>-IF(C535=1,LN(W535),LN(1-W535))</f>
        <v/>
      </c>
      <c r="Y535" s="8">
        <f>'1 datos preparados'!V528</f>
        <v/>
      </c>
      <c r="Z535" s="9">
        <f>Y535*X535</f>
        <v/>
      </c>
      <c r="AA535" s="10">
        <f>IF(W535&gt;$AE$33,1,0)</f>
        <v/>
      </c>
      <c r="AB535">
        <f>IF(AA535=C535,1,0)</f>
        <v/>
      </c>
    </row>
    <row r="536">
      <c r="A536">
        <f>'1 datos preparados'!A529</f>
        <v/>
      </c>
      <c r="B536" s="5">
        <f>'1 datos preparados'!U529</f>
        <v/>
      </c>
      <c r="C536">
        <f>'1 datos preparados'!B529</f>
        <v/>
      </c>
      <c r="D536" s="7">
        <f>'1 datos preparados'!C529</f>
        <v/>
      </c>
      <c r="E536" s="7">
        <f>'1 datos preparados'!D529</f>
        <v/>
      </c>
      <c r="F536" s="7">
        <f>'1 datos preparados'!E529</f>
        <v/>
      </c>
      <c r="G536" s="7">
        <f>'1 datos preparados'!F529</f>
        <v/>
      </c>
      <c r="H536" s="7">
        <f>'1 datos preparados'!G529</f>
        <v/>
      </c>
      <c r="I536" s="7">
        <f>'1 datos preparados'!H529</f>
        <v/>
      </c>
      <c r="J536" s="7">
        <f>'1 datos preparados'!I529</f>
        <v/>
      </c>
      <c r="K536" s="7">
        <f>'1 datos preparados'!J529</f>
        <v/>
      </c>
      <c r="L536" s="7">
        <f>'1 datos preparados'!K529</f>
        <v/>
      </c>
      <c r="M536" s="7">
        <f>'1 datos preparados'!L529</f>
        <v/>
      </c>
      <c r="N536" s="7">
        <f>'1 datos preparados'!M529</f>
        <v/>
      </c>
      <c r="O536" s="7">
        <f>'1 datos preparados'!N529</f>
        <v/>
      </c>
      <c r="P536" s="7">
        <f>'1 datos preparados'!O529</f>
        <v/>
      </c>
      <c r="Q536" s="7">
        <f>'1 datos preparados'!P529</f>
        <v/>
      </c>
      <c r="R536" s="7">
        <f>'1 datos preparados'!Q529</f>
        <v/>
      </c>
      <c r="S536" s="7">
        <f>'1 datos preparados'!R529</f>
        <v/>
      </c>
      <c r="T536" s="7">
        <f>'1 datos preparados'!S529</f>
        <v/>
      </c>
      <c r="U536" s="7">
        <f>'1 datos preparados'!T529</f>
        <v/>
      </c>
      <c r="V536" s="8">
        <f>$AE$12+D536*$AE$13+E536*$AE$14+F536*$AE$15+G536*$AE$16+H536*$AE$17+I536*$AE$18+J536*$AE$19+K536*$AE$20+L536*$AE$21+M536*$AE$22+N536*$AE$23+O536*$AE$24+P536*$AE$25+Q536*$AE$26+R536*$AE$27+S536*$AE$28+T536*$AE$29+U536*$AE$30</f>
        <v/>
      </c>
      <c r="W536" s="8">
        <f>1/(1+EXP(-V536))</f>
        <v/>
      </c>
      <c r="X536" s="9">
        <f>-IF(C536=1,LN(W536),LN(1-W536))</f>
        <v/>
      </c>
      <c r="Y536" s="8">
        <f>'1 datos preparados'!V529</f>
        <v/>
      </c>
      <c r="Z536" s="9">
        <f>Y536*X536</f>
        <v/>
      </c>
      <c r="AA536" s="10">
        <f>IF(W536&gt;$AE$33,1,0)</f>
        <v/>
      </c>
      <c r="AB536">
        <f>IF(AA536=C536,1,0)</f>
        <v/>
      </c>
    </row>
    <row r="537">
      <c r="A537">
        <f>'1 datos preparados'!A530</f>
        <v/>
      </c>
      <c r="B537" s="5">
        <f>'1 datos preparados'!U530</f>
        <v/>
      </c>
      <c r="C537">
        <f>'1 datos preparados'!B530</f>
        <v/>
      </c>
      <c r="D537" s="7">
        <f>'1 datos preparados'!C530</f>
        <v/>
      </c>
      <c r="E537" s="7">
        <f>'1 datos preparados'!D530</f>
        <v/>
      </c>
      <c r="F537" s="7">
        <f>'1 datos preparados'!E530</f>
        <v/>
      </c>
      <c r="G537" s="7">
        <f>'1 datos preparados'!F530</f>
        <v/>
      </c>
      <c r="H537" s="7">
        <f>'1 datos preparados'!G530</f>
        <v/>
      </c>
      <c r="I537" s="7">
        <f>'1 datos preparados'!H530</f>
        <v/>
      </c>
      <c r="J537" s="7">
        <f>'1 datos preparados'!I530</f>
        <v/>
      </c>
      <c r="K537" s="7">
        <f>'1 datos preparados'!J530</f>
        <v/>
      </c>
      <c r="L537" s="7">
        <f>'1 datos preparados'!K530</f>
        <v/>
      </c>
      <c r="M537" s="7">
        <f>'1 datos preparados'!L530</f>
        <v/>
      </c>
      <c r="N537" s="7">
        <f>'1 datos preparados'!M530</f>
        <v/>
      </c>
      <c r="O537" s="7">
        <f>'1 datos preparados'!N530</f>
        <v/>
      </c>
      <c r="P537" s="7">
        <f>'1 datos preparados'!O530</f>
        <v/>
      </c>
      <c r="Q537" s="7">
        <f>'1 datos preparados'!P530</f>
        <v/>
      </c>
      <c r="R537" s="7">
        <f>'1 datos preparados'!Q530</f>
        <v/>
      </c>
      <c r="S537" s="7">
        <f>'1 datos preparados'!R530</f>
        <v/>
      </c>
      <c r="T537" s="7">
        <f>'1 datos preparados'!S530</f>
        <v/>
      </c>
      <c r="U537" s="7">
        <f>'1 datos preparados'!T530</f>
        <v/>
      </c>
      <c r="V537" s="8">
        <f>$AE$12+D537*$AE$13+E537*$AE$14+F537*$AE$15+G537*$AE$16+H537*$AE$17+I537*$AE$18+J537*$AE$19+K537*$AE$20+L537*$AE$21+M537*$AE$22+N537*$AE$23+O537*$AE$24+P537*$AE$25+Q537*$AE$26+R537*$AE$27+S537*$AE$28+T537*$AE$29+U537*$AE$30</f>
        <v/>
      </c>
      <c r="W537" s="8">
        <f>1/(1+EXP(-V537))</f>
        <v/>
      </c>
      <c r="X537" s="9">
        <f>-IF(C537=1,LN(W537),LN(1-W537))</f>
        <v/>
      </c>
      <c r="Y537" s="8">
        <f>'1 datos preparados'!V530</f>
        <v/>
      </c>
      <c r="Z537" s="9">
        <f>Y537*X537</f>
        <v/>
      </c>
      <c r="AA537" s="10">
        <f>IF(W537&gt;$AE$33,1,0)</f>
        <v/>
      </c>
      <c r="AB537">
        <f>IF(AA537=C537,1,0)</f>
        <v/>
      </c>
    </row>
    <row r="538">
      <c r="A538">
        <f>'1 datos preparados'!A531</f>
        <v/>
      </c>
      <c r="B538" s="5">
        <f>'1 datos preparados'!U531</f>
        <v/>
      </c>
      <c r="C538">
        <f>'1 datos preparados'!B531</f>
        <v/>
      </c>
      <c r="D538" s="7">
        <f>'1 datos preparados'!C531</f>
        <v/>
      </c>
      <c r="E538" s="7">
        <f>'1 datos preparados'!D531</f>
        <v/>
      </c>
      <c r="F538" s="7">
        <f>'1 datos preparados'!E531</f>
        <v/>
      </c>
      <c r="G538" s="7">
        <f>'1 datos preparados'!F531</f>
        <v/>
      </c>
      <c r="H538" s="7">
        <f>'1 datos preparados'!G531</f>
        <v/>
      </c>
      <c r="I538" s="7">
        <f>'1 datos preparados'!H531</f>
        <v/>
      </c>
      <c r="J538" s="7">
        <f>'1 datos preparados'!I531</f>
        <v/>
      </c>
      <c r="K538" s="7">
        <f>'1 datos preparados'!J531</f>
        <v/>
      </c>
      <c r="L538" s="7">
        <f>'1 datos preparados'!K531</f>
        <v/>
      </c>
      <c r="M538" s="7">
        <f>'1 datos preparados'!L531</f>
        <v/>
      </c>
      <c r="N538" s="7">
        <f>'1 datos preparados'!M531</f>
        <v/>
      </c>
      <c r="O538" s="7">
        <f>'1 datos preparados'!N531</f>
        <v/>
      </c>
      <c r="P538" s="7">
        <f>'1 datos preparados'!O531</f>
        <v/>
      </c>
      <c r="Q538" s="7">
        <f>'1 datos preparados'!P531</f>
        <v/>
      </c>
      <c r="R538" s="7">
        <f>'1 datos preparados'!Q531</f>
        <v/>
      </c>
      <c r="S538" s="7">
        <f>'1 datos preparados'!R531</f>
        <v/>
      </c>
      <c r="T538" s="7">
        <f>'1 datos preparados'!S531</f>
        <v/>
      </c>
      <c r="U538" s="7">
        <f>'1 datos preparados'!T531</f>
        <v/>
      </c>
      <c r="V538" s="8">
        <f>$AE$12+D538*$AE$13+E538*$AE$14+F538*$AE$15+G538*$AE$16+H538*$AE$17+I538*$AE$18+J538*$AE$19+K538*$AE$20+L538*$AE$21+M538*$AE$22+N538*$AE$23+O538*$AE$24+P538*$AE$25+Q538*$AE$26+R538*$AE$27+S538*$AE$28+T538*$AE$29+U538*$AE$30</f>
        <v/>
      </c>
      <c r="W538" s="8">
        <f>1/(1+EXP(-V538))</f>
        <v/>
      </c>
      <c r="X538" s="9">
        <f>-IF(C538=1,LN(W538),LN(1-W538))</f>
        <v/>
      </c>
      <c r="Y538" s="8">
        <f>'1 datos preparados'!V531</f>
        <v/>
      </c>
      <c r="Z538" s="9">
        <f>Y538*X538</f>
        <v/>
      </c>
      <c r="AA538" s="10">
        <f>IF(W538&gt;$AE$33,1,0)</f>
        <v/>
      </c>
      <c r="AB538">
        <f>IF(AA538=C538,1,0)</f>
        <v/>
      </c>
    </row>
    <row r="539">
      <c r="A539">
        <f>'1 datos preparados'!A532</f>
        <v/>
      </c>
      <c r="B539" s="5">
        <f>'1 datos preparados'!U532</f>
        <v/>
      </c>
      <c r="C539">
        <f>'1 datos preparados'!B532</f>
        <v/>
      </c>
      <c r="D539" s="7">
        <f>'1 datos preparados'!C532</f>
        <v/>
      </c>
      <c r="E539" s="7">
        <f>'1 datos preparados'!D532</f>
        <v/>
      </c>
      <c r="F539" s="7">
        <f>'1 datos preparados'!E532</f>
        <v/>
      </c>
      <c r="G539" s="7">
        <f>'1 datos preparados'!F532</f>
        <v/>
      </c>
      <c r="H539" s="7">
        <f>'1 datos preparados'!G532</f>
        <v/>
      </c>
      <c r="I539" s="7">
        <f>'1 datos preparados'!H532</f>
        <v/>
      </c>
      <c r="J539" s="7">
        <f>'1 datos preparados'!I532</f>
        <v/>
      </c>
      <c r="K539" s="7">
        <f>'1 datos preparados'!J532</f>
        <v/>
      </c>
      <c r="L539" s="7">
        <f>'1 datos preparados'!K532</f>
        <v/>
      </c>
      <c r="M539" s="7">
        <f>'1 datos preparados'!L532</f>
        <v/>
      </c>
      <c r="N539" s="7">
        <f>'1 datos preparados'!M532</f>
        <v/>
      </c>
      <c r="O539" s="7">
        <f>'1 datos preparados'!N532</f>
        <v/>
      </c>
      <c r="P539" s="7">
        <f>'1 datos preparados'!O532</f>
        <v/>
      </c>
      <c r="Q539" s="7">
        <f>'1 datos preparados'!P532</f>
        <v/>
      </c>
      <c r="R539" s="7">
        <f>'1 datos preparados'!Q532</f>
        <v/>
      </c>
      <c r="S539" s="7">
        <f>'1 datos preparados'!R532</f>
        <v/>
      </c>
      <c r="T539" s="7">
        <f>'1 datos preparados'!S532</f>
        <v/>
      </c>
      <c r="U539" s="7">
        <f>'1 datos preparados'!T532</f>
        <v/>
      </c>
      <c r="V539" s="8">
        <f>$AE$12+D539*$AE$13+E539*$AE$14+F539*$AE$15+G539*$AE$16+H539*$AE$17+I539*$AE$18+J539*$AE$19+K539*$AE$20+L539*$AE$21+M539*$AE$22+N539*$AE$23+O539*$AE$24+P539*$AE$25+Q539*$AE$26+R539*$AE$27+S539*$AE$28+T539*$AE$29+U539*$AE$30</f>
        <v/>
      </c>
      <c r="W539" s="8">
        <f>1/(1+EXP(-V539))</f>
        <v/>
      </c>
      <c r="X539" s="9">
        <f>-IF(C539=1,LN(W539),LN(1-W539))</f>
        <v/>
      </c>
      <c r="Y539" s="8">
        <f>'1 datos preparados'!V532</f>
        <v/>
      </c>
      <c r="Z539" s="9">
        <f>Y539*X539</f>
        <v/>
      </c>
      <c r="AA539" s="10">
        <f>IF(W539&gt;$AE$33,1,0)</f>
        <v/>
      </c>
      <c r="AB539">
        <f>IF(AA539=C539,1,0)</f>
        <v/>
      </c>
    </row>
    <row r="540">
      <c r="A540">
        <f>'1 datos preparados'!A533</f>
        <v/>
      </c>
      <c r="B540" s="5">
        <f>'1 datos preparados'!U533</f>
        <v/>
      </c>
      <c r="C540">
        <f>'1 datos preparados'!B533</f>
        <v/>
      </c>
      <c r="D540" s="7">
        <f>'1 datos preparados'!C533</f>
        <v/>
      </c>
      <c r="E540" s="7">
        <f>'1 datos preparados'!D533</f>
        <v/>
      </c>
      <c r="F540" s="7">
        <f>'1 datos preparados'!E533</f>
        <v/>
      </c>
      <c r="G540" s="7">
        <f>'1 datos preparados'!F533</f>
        <v/>
      </c>
      <c r="H540" s="7">
        <f>'1 datos preparados'!G533</f>
        <v/>
      </c>
      <c r="I540" s="7">
        <f>'1 datos preparados'!H533</f>
        <v/>
      </c>
      <c r="J540" s="7">
        <f>'1 datos preparados'!I533</f>
        <v/>
      </c>
      <c r="K540" s="7">
        <f>'1 datos preparados'!J533</f>
        <v/>
      </c>
      <c r="L540" s="7">
        <f>'1 datos preparados'!K533</f>
        <v/>
      </c>
      <c r="M540" s="7">
        <f>'1 datos preparados'!L533</f>
        <v/>
      </c>
      <c r="N540" s="7">
        <f>'1 datos preparados'!M533</f>
        <v/>
      </c>
      <c r="O540" s="7">
        <f>'1 datos preparados'!N533</f>
        <v/>
      </c>
      <c r="P540" s="7">
        <f>'1 datos preparados'!O533</f>
        <v/>
      </c>
      <c r="Q540" s="7">
        <f>'1 datos preparados'!P533</f>
        <v/>
      </c>
      <c r="R540" s="7">
        <f>'1 datos preparados'!Q533</f>
        <v/>
      </c>
      <c r="S540" s="7">
        <f>'1 datos preparados'!R533</f>
        <v/>
      </c>
      <c r="T540" s="7">
        <f>'1 datos preparados'!S533</f>
        <v/>
      </c>
      <c r="U540" s="7">
        <f>'1 datos preparados'!T533</f>
        <v/>
      </c>
      <c r="V540" s="8">
        <f>$AE$12+D540*$AE$13+E540*$AE$14+F540*$AE$15+G540*$AE$16+H540*$AE$17+I540*$AE$18+J540*$AE$19+K540*$AE$20+L540*$AE$21+M540*$AE$22+N540*$AE$23+O540*$AE$24+P540*$AE$25+Q540*$AE$26+R540*$AE$27+S540*$AE$28+T540*$AE$29+U540*$AE$30</f>
        <v/>
      </c>
      <c r="W540" s="8">
        <f>1/(1+EXP(-V540))</f>
        <v/>
      </c>
      <c r="X540" s="9">
        <f>-IF(C540=1,LN(W540),LN(1-W540))</f>
        <v/>
      </c>
      <c r="Y540" s="8">
        <f>'1 datos preparados'!V533</f>
        <v/>
      </c>
      <c r="Z540" s="9">
        <f>Y540*X540</f>
        <v/>
      </c>
      <c r="AA540" s="10">
        <f>IF(W540&gt;$AE$33,1,0)</f>
        <v/>
      </c>
      <c r="AB540">
        <f>IF(AA540=C540,1,0)</f>
        <v/>
      </c>
    </row>
    <row r="541">
      <c r="A541">
        <f>'1 datos preparados'!A534</f>
        <v/>
      </c>
      <c r="B541" s="5">
        <f>'1 datos preparados'!U534</f>
        <v/>
      </c>
      <c r="C541">
        <f>'1 datos preparados'!B534</f>
        <v/>
      </c>
      <c r="D541" s="7">
        <f>'1 datos preparados'!C534</f>
        <v/>
      </c>
      <c r="E541" s="7">
        <f>'1 datos preparados'!D534</f>
        <v/>
      </c>
      <c r="F541" s="7">
        <f>'1 datos preparados'!E534</f>
        <v/>
      </c>
      <c r="G541" s="7">
        <f>'1 datos preparados'!F534</f>
        <v/>
      </c>
      <c r="H541" s="7">
        <f>'1 datos preparados'!G534</f>
        <v/>
      </c>
      <c r="I541" s="7">
        <f>'1 datos preparados'!H534</f>
        <v/>
      </c>
      <c r="J541" s="7">
        <f>'1 datos preparados'!I534</f>
        <v/>
      </c>
      <c r="K541" s="7">
        <f>'1 datos preparados'!J534</f>
        <v/>
      </c>
      <c r="L541" s="7">
        <f>'1 datos preparados'!K534</f>
        <v/>
      </c>
      <c r="M541" s="7">
        <f>'1 datos preparados'!L534</f>
        <v/>
      </c>
      <c r="N541" s="7">
        <f>'1 datos preparados'!M534</f>
        <v/>
      </c>
      <c r="O541" s="7">
        <f>'1 datos preparados'!N534</f>
        <v/>
      </c>
      <c r="P541" s="7">
        <f>'1 datos preparados'!O534</f>
        <v/>
      </c>
      <c r="Q541" s="7">
        <f>'1 datos preparados'!P534</f>
        <v/>
      </c>
      <c r="R541" s="7">
        <f>'1 datos preparados'!Q534</f>
        <v/>
      </c>
      <c r="S541" s="7">
        <f>'1 datos preparados'!R534</f>
        <v/>
      </c>
      <c r="T541" s="7">
        <f>'1 datos preparados'!S534</f>
        <v/>
      </c>
      <c r="U541" s="7">
        <f>'1 datos preparados'!T534</f>
        <v/>
      </c>
      <c r="V541" s="8">
        <f>$AE$12+D541*$AE$13+E541*$AE$14+F541*$AE$15+G541*$AE$16+H541*$AE$17+I541*$AE$18+J541*$AE$19+K541*$AE$20+L541*$AE$21+M541*$AE$22+N541*$AE$23+O541*$AE$24+P541*$AE$25+Q541*$AE$26+R541*$AE$27+S541*$AE$28+T541*$AE$29+U541*$AE$30</f>
        <v/>
      </c>
      <c r="W541" s="8">
        <f>1/(1+EXP(-V541))</f>
        <v/>
      </c>
      <c r="X541" s="9">
        <f>-IF(C541=1,LN(W541),LN(1-W541))</f>
        <v/>
      </c>
      <c r="Y541" s="8">
        <f>'1 datos preparados'!V534</f>
        <v/>
      </c>
      <c r="Z541" s="9">
        <f>Y541*X541</f>
        <v/>
      </c>
      <c r="AA541" s="10">
        <f>IF(W541&gt;$AE$33,1,0)</f>
        <v/>
      </c>
      <c r="AB541">
        <f>IF(AA541=C541,1,0)</f>
        <v/>
      </c>
    </row>
    <row r="542">
      <c r="A542">
        <f>'1 datos preparados'!A535</f>
        <v/>
      </c>
      <c r="B542" s="5">
        <f>'1 datos preparados'!U535</f>
        <v/>
      </c>
      <c r="C542">
        <f>'1 datos preparados'!B535</f>
        <v/>
      </c>
      <c r="D542" s="7">
        <f>'1 datos preparados'!C535</f>
        <v/>
      </c>
      <c r="E542" s="7">
        <f>'1 datos preparados'!D535</f>
        <v/>
      </c>
      <c r="F542" s="7">
        <f>'1 datos preparados'!E535</f>
        <v/>
      </c>
      <c r="G542" s="7">
        <f>'1 datos preparados'!F535</f>
        <v/>
      </c>
      <c r="H542" s="7">
        <f>'1 datos preparados'!G535</f>
        <v/>
      </c>
      <c r="I542" s="7">
        <f>'1 datos preparados'!H535</f>
        <v/>
      </c>
      <c r="J542" s="7">
        <f>'1 datos preparados'!I535</f>
        <v/>
      </c>
      <c r="K542" s="7">
        <f>'1 datos preparados'!J535</f>
        <v/>
      </c>
      <c r="L542" s="7">
        <f>'1 datos preparados'!K535</f>
        <v/>
      </c>
      <c r="M542" s="7">
        <f>'1 datos preparados'!L535</f>
        <v/>
      </c>
      <c r="N542" s="7">
        <f>'1 datos preparados'!M535</f>
        <v/>
      </c>
      <c r="O542" s="7">
        <f>'1 datos preparados'!N535</f>
        <v/>
      </c>
      <c r="P542" s="7">
        <f>'1 datos preparados'!O535</f>
        <v/>
      </c>
      <c r="Q542" s="7">
        <f>'1 datos preparados'!P535</f>
        <v/>
      </c>
      <c r="R542" s="7">
        <f>'1 datos preparados'!Q535</f>
        <v/>
      </c>
      <c r="S542" s="7">
        <f>'1 datos preparados'!R535</f>
        <v/>
      </c>
      <c r="T542" s="7">
        <f>'1 datos preparados'!S535</f>
        <v/>
      </c>
      <c r="U542" s="7">
        <f>'1 datos preparados'!T535</f>
        <v/>
      </c>
      <c r="V542" s="8">
        <f>$AE$12+D542*$AE$13+E542*$AE$14+F542*$AE$15+G542*$AE$16+H542*$AE$17+I542*$AE$18+J542*$AE$19+K542*$AE$20+L542*$AE$21+M542*$AE$22+N542*$AE$23+O542*$AE$24+P542*$AE$25+Q542*$AE$26+R542*$AE$27+S542*$AE$28+T542*$AE$29+U542*$AE$30</f>
        <v/>
      </c>
      <c r="W542" s="8">
        <f>1/(1+EXP(-V542))</f>
        <v/>
      </c>
      <c r="X542" s="9">
        <f>-IF(C542=1,LN(W542),LN(1-W542))</f>
        <v/>
      </c>
      <c r="Y542" s="8">
        <f>'1 datos preparados'!V535</f>
        <v/>
      </c>
      <c r="Z542" s="9">
        <f>Y542*X542</f>
        <v/>
      </c>
      <c r="AA542" s="10">
        <f>IF(W542&gt;$AE$33,1,0)</f>
        <v/>
      </c>
      <c r="AB542">
        <f>IF(AA542=C542,1,0)</f>
        <v/>
      </c>
    </row>
    <row r="543">
      <c r="A543">
        <f>'1 datos preparados'!A536</f>
        <v/>
      </c>
      <c r="B543" s="5">
        <f>'1 datos preparados'!U536</f>
        <v/>
      </c>
      <c r="C543">
        <f>'1 datos preparados'!B536</f>
        <v/>
      </c>
      <c r="D543" s="7">
        <f>'1 datos preparados'!C536</f>
        <v/>
      </c>
      <c r="E543" s="7">
        <f>'1 datos preparados'!D536</f>
        <v/>
      </c>
      <c r="F543" s="7">
        <f>'1 datos preparados'!E536</f>
        <v/>
      </c>
      <c r="G543" s="7">
        <f>'1 datos preparados'!F536</f>
        <v/>
      </c>
      <c r="H543" s="7">
        <f>'1 datos preparados'!G536</f>
        <v/>
      </c>
      <c r="I543" s="7">
        <f>'1 datos preparados'!H536</f>
        <v/>
      </c>
      <c r="J543" s="7">
        <f>'1 datos preparados'!I536</f>
        <v/>
      </c>
      <c r="K543" s="7">
        <f>'1 datos preparados'!J536</f>
        <v/>
      </c>
      <c r="L543" s="7">
        <f>'1 datos preparados'!K536</f>
        <v/>
      </c>
      <c r="M543" s="7">
        <f>'1 datos preparados'!L536</f>
        <v/>
      </c>
      <c r="N543" s="7">
        <f>'1 datos preparados'!M536</f>
        <v/>
      </c>
      <c r="O543" s="7">
        <f>'1 datos preparados'!N536</f>
        <v/>
      </c>
      <c r="P543" s="7">
        <f>'1 datos preparados'!O536</f>
        <v/>
      </c>
      <c r="Q543" s="7">
        <f>'1 datos preparados'!P536</f>
        <v/>
      </c>
      <c r="R543" s="7">
        <f>'1 datos preparados'!Q536</f>
        <v/>
      </c>
      <c r="S543" s="7">
        <f>'1 datos preparados'!R536</f>
        <v/>
      </c>
      <c r="T543" s="7">
        <f>'1 datos preparados'!S536</f>
        <v/>
      </c>
      <c r="U543" s="7">
        <f>'1 datos preparados'!T536</f>
        <v/>
      </c>
      <c r="V543" s="8">
        <f>$AE$12+D543*$AE$13+E543*$AE$14+F543*$AE$15+G543*$AE$16+H543*$AE$17+I543*$AE$18+J543*$AE$19+K543*$AE$20+L543*$AE$21+M543*$AE$22+N543*$AE$23+O543*$AE$24+P543*$AE$25+Q543*$AE$26+R543*$AE$27+S543*$AE$28+T543*$AE$29+U543*$AE$30</f>
        <v/>
      </c>
      <c r="W543" s="8">
        <f>1/(1+EXP(-V543))</f>
        <v/>
      </c>
      <c r="X543" s="9">
        <f>-IF(C543=1,LN(W543),LN(1-W543))</f>
        <v/>
      </c>
      <c r="Y543" s="8">
        <f>'1 datos preparados'!V536</f>
        <v/>
      </c>
      <c r="Z543" s="9">
        <f>Y543*X543</f>
        <v/>
      </c>
      <c r="AA543" s="10">
        <f>IF(W543&gt;$AE$33,1,0)</f>
        <v/>
      </c>
      <c r="AB543">
        <f>IF(AA543=C543,1,0)</f>
        <v/>
      </c>
    </row>
    <row r="544">
      <c r="A544">
        <f>'1 datos preparados'!A537</f>
        <v/>
      </c>
      <c r="B544" s="5">
        <f>'1 datos preparados'!U537</f>
        <v/>
      </c>
      <c r="C544">
        <f>'1 datos preparados'!B537</f>
        <v/>
      </c>
      <c r="D544" s="7">
        <f>'1 datos preparados'!C537</f>
        <v/>
      </c>
      <c r="E544" s="7">
        <f>'1 datos preparados'!D537</f>
        <v/>
      </c>
      <c r="F544" s="7">
        <f>'1 datos preparados'!E537</f>
        <v/>
      </c>
      <c r="G544" s="7">
        <f>'1 datos preparados'!F537</f>
        <v/>
      </c>
      <c r="H544" s="7">
        <f>'1 datos preparados'!G537</f>
        <v/>
      </c>
      <c r="I544" s="7">
        <f>'1 datos preparados'!H537</f>
        <v/>
      </c>
      <c r="J544" s="7">
        <f>'1 datos preparados'!I537</f>
        <v/>
      </c>
      <c r="K544" s="7">
        <f>'1 datos preparados'!J537</f>
        <v/>
      </c>
      <c r="L544" s="7">
        <f>'1 datos preparados'!K537</f>
        <v/>
      </c>
      <c r="M544" s="7">
        <f>'1 datos preparados'!L537</f>
        <v/>
      </c>
      <c r="N544" s="7">
        <f>'1 datos preparados'!M537</f>
        <v/>
      </c>
      <c r="O544" s="7">
        <f>'1 datos preparados'!N537</f>
        <v/>
      </c>
      <c r="P544" s="7">
        <f>'1 datos preparados'!O537</f>
        <v/>
      </c>
      <c r="Q544" s="7">
        <f>'1 datos preparados'!P537</f>
        <v/>
      </c>
      <c r="R544" s="7">
        <f>'1 datos preparados'!Q537</f>
        <v/>
      </c>
      <c r="S544" s="7">
        <f>'1 datos preparados'!R537</f>
        <v/>
      </c>
      <c r="T544" s="7">
        <f>'1 datos preparados'!S537</f>
        <v/>
      </c>
      <c r="U544" s="7">
        <f>'1 datos preparados'!T537</f>
        <v/>
      </c>
      <c r="V544" s="8">
        <f>$AE$12+D544*$AE$13+E544*$AE$14+F544*$AE$15+G544*$AE$16+H544*$AE$17+I544*$AE$18+J544*$AE$19+K544*$AE$20+L544*$AE$21+M544*$AE$22+N544*$AE$23+O544*$AE$24+P544*$AE$25+Q544*$AE$26+R544*$AE$27+S544*$AE$28+T544*$AE$29+U544*$AE$30</f>
        <v/>
      </c>
      <c r="W544" s="8">
        <f>1/(1+EXP(-V544))</f>
        <v/>
      </c>
      <c r="X544" s="9">
        <f>-IF(C544=1,LN(W544),LN(1-W544))</f>
        <v/>
      </c>
      <c r="Y544" s="8">
        <f>'1 datos preparados'!V537</f>
        <v/>
      </c>
      <c r="Z544" s="9">
        <f>Y544*X544</f>
        <v/>
      </c>
      <c r="AA544" s="10">
        <f>IF(W544&gt;$AE$33,1,0)</f>
        <v/>
      </c>
      <c r="AB544">
        <f>IF(AA544=C544,1,0)</f>
        <v/>
      </c>
    </row>
    <row r="545">
      <c r="A545">
        <f>'1 datos preparados'!A538</f>
        <v/>
      </c>
      <c r="B545" s="5">
        <f>'1 datos preparados'!U538</f>
        <v/>
      </c>
      <c r="C545">
        <f>'1 datos preparados'!B538</f>
        <v/>
      </c>
      <c r="D545" s="7">
        <f>'1 datos preparados'!C538</f>
        <v/>
      </c>
      <c r="E545" s="7">
        <f>'1 datos preparados'!D538</f>
        <v/>
      </c>
      <c r="F545" s="7">
        <f>'1 datos preparados'!E538</f>
        <v/>
      </c>
      <c r="G545" s="7">
        <f>'1 datos preparados'!F538</f>
        <v/>
      </c>
      <c r="H545" s="7">
        <f>'1 datos preparados'!G538</f>
        <v/>
      </c>
      <c r="I545" s="7">
        <f>'1 datos preparados'!H538</f>
        <v/>
      </c>
      <c r="J545" s="7">
        <f>'1 datos preparados'!I538</f>
        <v/>
      </c>
      <c r="K545" s="7">
        <f>'1 datos preparados'!J538</f>
        <v/>
      </c>
      <c r="L545" s="7">
        <f>'1 datos preparados'!K538</f>
        <v/>
      </c>
      <c r="M545" s="7">
        <f>'1 datos preparados'!L538</f>
        <v/>
      </c>
      <c r="N545" s="7">
        <f>'1 datos preparados'!M538</f>
        <v/>
      </c>
      <c r="O545" s="7">
        <f>'1 datos preparados'!N538</f>
        <v/>
      </c>
      <c r="P545" s="7">
        <f>'1 datos preparados'!O538</f>
        <v/>
      </c>
      <c r="Q545" s="7">
        <f>'1 datos preparados'!P538</f>
        <v/>
      </c>
      <c r="R545" s="7">
        <f>'1 datos preparados'!Q538</f>
        <v/>
      </c>
      <c r="S545" s="7">
        <f>'1 datos preparados'!R538</f>
        <v/>
      </c>
      <c r="T545" s="7">
        <f>'1 datos preparados'!S538</f>
        <v/>
      </c>
      <c r="U545" s="7">
        <f>'1 datos preparados'!T538</f>
        <v/>
      </c>
      <c r="V545" s="8">
        <f>$AE$12+D545*$AE$13+E545*$AE$14+F545*$AE$15+G545*$AE$16+H545*$AE$17+I545*$AE$18+J545*$AE$19+K545*$AE$20+L545*$AE$21+M545*$AE$22+N545*$AE$23+O545*$AE$24+P545*$AE$25+Q545*$AE$26+R545*$AE$27+S545*$AE$28+T545*$AE$29+U545*$AE$30</f>
        <v/>
      </c>
      <c r="W545" s="8">
        <f>1/(1+EXP(-V545))</f>
        <v/>
      </c>
      <c r="X545" s="9">
        <f>-IF(C545=1,LN(W545),LN(1-W545))</f>
        <v/>
      </c>
      <c r="Y545" s="8">
        <f>'1 datos preparados'!V538</f>
        <v/>
      </c>
      <c r="Z545" s="9">
        <f>Y545*X545</f>
        <v/>
      </c>
      <c r="AA545" s="10">
        <f>IF(W545&gt;$AE$33,1,0)</f>
        <v/>
      </c>
      <c r="AB545">
        <f>IF(AA545=C545,1,0)</f>
        <v/>
      </c>
    </row>
    <row r="546">
      <c r="A546">
        <f>'1 datos preparados'!A539</f>
        <v/>
      </c>
      <c r="B546" s="5">
        <f>'1 datos preparados'!U539</f>
        <v/>
      </c>
      <c r="C546">
        <f>'1 datos preparados'!B539</f>
        <v/>
      </c>
      <c r="D546" s="7">
        <f>'1 datos preparados'!C539</f>
        <v/>
      </c>
      <c r="E546" s="7">
        <f>'1 datos preparados'!D539</f>
        <v/>
      </c>
      <c r="F546" s="7">
        <f>'1 datos preparados'!E539</f>
        <v/>
      </c>
      <c r="G546" s="7">
        <f>'1 datos preparados'!F539</f>
        <v/>
      </c>
      <c r="H546" s="7">
        <f>'1 datos preparados'!G539</f>
        <v/>
      </c>
      <c r="I546" s="7">
        <f>'1 datos preparados'!H539</f>
        <v/>
      </c>
      <c r="J546" s="7">
        <f>'1 datos preparados'!I539</f>
        <v/>
      </c>
      <c r="K546" s="7">
        <f>'1 datos preparados'!J539</f>
        <v/>
      </c>
      <c r="L546" s="7">
        <f>'1 datos preparados'!K539</f>
        <v/>
      </c>
      <c r="M546" s="7">
        <f>'1 datos preparados'!L539</f>
        <v/>
      </c>
      <c r="N546" s="7">
        <f>'1 datos preparados'!M539</f>
        <v/>
      </c>
      <c r="O546" s="7">
        <f>'1 datos preparados'!N539</f>
        <v/>
      </c>
      <c r="P546" s="7">
        <f>'1 datos preparados'!O539</f>
        <v/>
      </c>
      <c r="Q546" s="7">
        <f>'1 datos preparados'!P539</f>
        <v/>
      </c>
      <c r="R546" s="7">
        <f>'1 datos preparados'!Q539</f>
        <v/>
      </c>
      <c r="S546" s="7">
        <f>'1 datos preparados'!R539</f>
        <v/>
      </c>
      <c r="T546" s="7">
        <f>'1 datos preparados'!S539</f>
        <v/>
      </c>
      <c r="U546" s="7">
        <f>'1 datos preparados'!T539</f>
        <v/>
      </c>
      <c r="V546" s="8">
        <f>$AE$12+D546*$AE$13+E546*$AE$14+F546*$AE$15+G546*$AE$16+H546*$AE$17+I546*$AE$18+J546*$AE$19+K546*$AE$20+L546*$AE$21+M546*$AE$22+N546*$AE$23+O546*$AE$24+P546*$AE$25+Q546*$AE$26+R546*$AE$27+S546*$AE$28+T546*$AE$29+U546*$AE$30</f>
        <v/>
      </c>
      <c r="W546" s="8">
        <f>1/(1+EXP(-V546))</f>
        <v/>
      </c>
      <c r="X546" s="9">
        <f>-IF(C546=1,LN(W546),LN(1-W546))</f>
        <v/>
      </c>
      <c r="Y546" s="8">
        <f>'1 datos preparados'!V539</f>
        <v/>
      </c>
      <c r="Z546" s="9">
        <f>Y546*X546</f>
        <v/>
      </c>
      <c r="AA546" s="10">
        <f>IF(W546&gt;$AE$33,1,0)</f>
        <v/>
      </c>
      <c r="AB546">
        <f>IF(AA546=C546,1,0)</f>
        <v/>
      </c>
    </row>
    <row r="547">
      <c r="A547">
        <f>'1 datos preparados'!A540</f>
        <v/>
      </c>
      <c r="B547" s="5">
        <f>'1 datos preparados'!U540</f>
        <v/>
      </c>
      <c r="C547">
        <f>'1 datos preparados'!B540</f>
        <v/>
      </c>
      <c r="D547" s="7">
        <f>'1 datos preparados'!C540</f>
        <v/>
      </c>
      <c r="E547" s="7">
        <f>'1 datos preparados'!D540</f>
        <v/>
      </c>
      <c r="F547" s="7">
        <f>'1 datos preparados'!E540</f>
        <v/>
      </c>
      <c r="G547" s="7">
        <f>'1 datos preparados'!F540</f>
        <v/>
      </c>
      <c r="H547" s="7">
        <f>'1 datos preparados'!G540</f>
        <v/>
      </c>
      <c r="I547" s="7">
        <f>'1 datos preparados'!H540</f>
        <v/>
      </c>
      <c r="J547" s="7">
        <f>'1 datos preparados'!I540</f>
        <v/>
      </c>
      <c r="K547" s="7">
        <f>'1 datos preparados'!J540</f>
        <v/>
      </c>
      <c r="L547" s="7">
        <f>'1 datos preparados'!K540</f>
        <v/>
      </c>
      <c r="M547" s="7">
        <f>'1 datos preparados'!L540</f>
        <v/>
      </c>
      <c r="N547" s="7">
        <f>'1 datos preparados'!M540</f>
        <v/>
      </c>
      <c r="O547" s="7">
        <f>'1 datos preparados'!N540</f>
        <v/>
      </c>
      <c r="P547" s="7">
        <f>'1 datos preparados'!O540</f>
        <v/>
      </c>
      <c r="Q547" s="7">
        <f>'1 datos preparados'!P540</f>
        <v/>
      </c>
      <c r="R547" s="7">
        <f>'1 datos preparados'!Q540</f>
        <v/>
      </c>
      <c r="S547" s="7">
        <f>'1 datos preparados'!R540</f>
        <v/>
      </c>
      <c r="T547" s="7">
        <f>'1 datos preparados'!S540</f>
        <v/>
      </c>
      <c r="U547" s="7">
        <f>'1 datos preparados'!T540</f>
        <v/>
      </c>
      <c r="V547" s="8">
        <f>$AE$12+D547*$AE$13+E547*$AE$14+F547*$AE$15+G547*$AE$16+H547*$AE$17+I547*$AE$18+J547*$AE$19+K547*$AE$20+L547*$AE$21+M547*$AE$22+N547*$AE$23+O547*$AE$24+P547*$AE$25+Q547*$AE$26+R547*$AE$27+S547*$AE$28+T547*$AE$29+U547*$AE$30</f>
        <v/>
      </c>
      <c r="W547" s="8">
        <f>1/(1+EXP(-V547))</f>
        <v/>
      </c>
      <c r="X547" s="9">
        <f>-IF(C547=1,LN(W547),LN(1-W547))</f>
        <v/>
      </c>
      <c r="Y547" s="8">
        <f>'1 datos preparados'!V540</f>
        <v/>
      </c>
      <c r="Z547" s="9">
        <f>Y547*X547</f>
        <v/>
      </c>
      <c r="AA547" s="10">
        <f>IF(W547&gt;$AE$33,1,0)</f>
        <v/>
      </c>
      <c r="AB547">
        <f>IF(AA547=C547,1,0)</f>
        <v/>
      </c>
    </row>
    <row r="548">
      <c r="A548">
        <f>'1 datos preparados'!A541</f>
        <v/>
      </c>
      <c r="B548" s="5">
        <f>'1 datos preparados'!U541</f>
        <v/>
      </c>
      <c r="C548">
        <f>'1 datos preparados'!B541</f>
        <v/>
      </c>
      <c r="D548" s="7">
        <f>'1 datos preparados'!C541</f>
        <v/>
      </c>
      <c r="E548" s="7">
        <f>'1 datos preparados'!D541</f>
        <v/>
      </c>
      <c r="F548" s="7">
        <f>'1 datos preparados'!E541</f>
        <v/>
      </c>
      <c r="G548" s="7">
        <f>'1 datos preparados'!F541</f>
        <v/>
      </c>
      <c r="H548" s="7">
        <f>'1 datos preparados'!G541</f>
        <v/>
      </c>
      <c r="I548" s="7">
        <f>'1 datos preparados'!H541</f>
        <v/>
      </c>
      <c r="J548" s="7">
        <f>'1 datos preparados'!I541</f>
        <v/>
      </c>
      <c r="K548" s="7">
        <f>'1 datos preparados'!J541</f>
        <v/>
      </c>
      <c r="L548" s="7">
        <f>'1 datos preparados'!K541</f>
        <v/>
      </c>
      <c r="M548" s="7">
        <f>'1 datos preparados'!L541</f>
        <v/>
      </c>
      <c r="N548" s="7">
        <f>'1 datos preparados'!M541</f>
        <v/>
      </c>
      <c r="O548" s="7">
        <f>'1 datos preparados'!N541</f>
        <v/>
      </c>
      <c r="P548" s="7">
        <f>'1 datos preparados'!O541</f>
        <v/>
      </c>
      <c r="Q548" s="7">
        <f>'1 datos preparados'!P541</f>
        <v/>
      </c>
      <c r="R548" s="7">
        <f>'1 datos preparados'!Q541</f>
        <v/>
      </c>
      <c r="S548" s="7">
        <f>'1 datos preparados'!R541</f>
        <v/>
      </c>
      <c r="T548" s="7">
        <f>'1 datos preparados'!S541</f>
        <v/>
      </c>
      <c r="U548" s="7">
        <f>'1 datos preparados'!T541</f>
        <v/>
      </c>
      <c r="V548" s="8">
        <f>$AE$12+D548*$AE$13+E548*$AE$14+F548*$AE$15+G548*$AE$16+H548*$AE$17+I548*$AE$18+J548*$AE$19+K548*$AE$20+L548*$AE$21+M548*$AE$22+N548*$AE$23+O548*$AE$24+P548*$AE$25+Q548*$AE$26+R548*$AE$27+S548*$AE$28+T548*$AE$29+U548*$AE$30</f>
        <v/>
      </c>
      <c r="W548" s="8">
        <f>1/(1+EXP(-V548))</f>
        <v/>
      </c>
      <c r="X548" s="9">
        <f>-IF(C548=1,LN(W548),LN(1-W548))</f>
        <v/>
      </c>
      <c r="Y548" s="8">
        <f>'1 datos preparados'!V541</f>
        <v/>
      </c>
      <c r="Z548" s="9">
        <f>Y548*X548</f>
        <v/>
      </c>
      <c r="AA548" s="10">
        <f>IF(W548&gt;$AE$33,1,0)</f>
        <v/>
      </c>
      <c r="AB548">
        <f>IF(AA548=C548,1,0)</f>
        <v/>
      </c>
    </row>
    <row r="549">
      <c r="A549">
        <f>'1 datos preparados'!A542</f>
        <v/>
      </c>
      <c r="B549" s="5">
        <f>'1 datos preparados'!U542</f>
        <v/>
      </c>
      <c r="C549">
        <f>'1 datos preparados'!B542</f>
        <v/>
      </c>
      <c r="D549" s="7">
        <f>'1 datos preparados'!C542</f>
        <v/>
      </c>
      <c r="E549" s="7">
        <f>'1 datos preparados'!D542</f>
        <v/>
      </c>
      <c r="F549" s="7">
        <f>'1 datos preparados'!E542</f>
        <v/>
      </c>
      <c r="G549" s="7">
        <f>'1 datos preparados'!F542</f>
        <v/>
      </c>
      <c r="H549" s="7">
        <f>'1 datos preparados'!G542</f>
        <v/>
      </c>
      <c r="I549" s="7">
        <f>'1 datos preparados'!H542</f>
        <v/>
      </c>
      <c r="J549" s="7">
        <f>'1 datos preparados'!I542</f>
        <v/>
      </c>
      <c r="K549" s="7">
        <f>'1 datos preparados'!J542</f>
        <v/>
      </c>
      <c r="L549" s="7">
        <f>'1 datos preparados'!K542</f>
        <v/>
      </c>
      <c r="M549" s="7">
        <f>'1 datos preparados'!L542</f>
        <v/>
      </c>
      <c r="N549" s="7">
        <f>'1 datos preparados'!M542</f>
        <v/>
      </c>
      <c r="O549" s="7">
        <f>'1 datos preparados'!N542</f>
        <v/>
      </c>
      <c r="P549" s="7">
        <f>'1 datos preparados'!O542</f>
        <v/>
      </c>
      <c r="Q549" s="7">
        <f>'1 datos preparados'!P542</f>
        <v/>
      </c>
      <c r="R549" s="7">
        <f>'1 datos preparados'!Q542</f>
        <v/>
      </c>
      <c r="S549" s="7">
        <f>'1 datos preparados'!R542</f>
        <v/>
      </c>
      <c r="T549" s="7">
        <f>'1 datos preparados'!S542</f>
        <v/>
      </c>
      <c r="U549" s="7">
        <f>'1 datos preparados'!T542</f>
        <v/>
      </c>
      <c r="V549" s="8">
        <f>$AE$12+D549*$AE$13+E549*$AE$14+F549*$AE$15+G549*$AE$16+H549*$AE$17+I549*$AE$18+J549*$AE$19+K549*$AE$20+L549*$AE$21+M549*$AE$22+N549*$AE$23+O549*$AE$24+P549*$AE$25+Q549*$AE$26+R549*$AE$27+S549*$AE$28+T549*$AE$29+U549*$AE$30</f>
        <v/>
      </c>
      <c r="W549" s="8">
        <f>1/(1+EXP(-V549))</f>
        <v/>
      </c>
      <c r="X549" s="9">
        <f>-IF(C549=1,LN(W549),LN(1-W549))</f>
        <v/>
      </c>
      <c r="Y549" s="8">
        <f>'1 datos preparados'!V542</f>
        <v/>
      </c>
      <c r="Z549" s="9">
        <f>Y549*X549</f>
        <v/>
      </c>
      <c r="AA549" s="10">
        <f>IF(W549&gt;$AE$33,1,0)</f>
        <v/>
      </c>
      <c r="AB549">
        <f>IF(AA549=C549,1,0)</f>
        <v/>
      </c>
    </row>
    <row r="550">
      <c r="A550">
        <f>'1 datos preparados'!A543</f>
        <v/>
      </c>
      <c r="B550" s="5">
        <f>'1 datos preparados'!U543</f>
        <v/>
      </c>
      <c r="C550">
        <f>'1 datos preparados'!B543</f>
        <v/>
      </c>
      <c r="D550" s="7">
        <f>'1 datos preparados'!C543</f>
        <v/>
      </c>
      <c r="E550" s="7">
        <f>'1 datos preparados'!D543</f>
        <v/>
      </c>
      <c r="F550" s="7">
        <f>'1 datos preparados'!E543</f>
        <v/>
      </c>
      <c r="G550" s="7">
        <f>'1 datos preparados'!F543</f>
        <v/>
      </c>
      <c r="H550" s="7">
        <f>'1 datos preparados'!G543</f>
        <v/>
      </c>
      <c r="I550" s="7">
        <f>'1 datos preparados'!H543</f>
        <v/>
      </c>
      <c r="J550" s="7">
        <f>'1 datos preparados'!I543</f>
        <v/>
      </c>
      <c r="K550" s="7">
        <f>'1 datos preparados'!J543</f>
        <v/>
      </c>
      <c r="L550" s="7">
        <f>'1 datos preparados'!K543</f>
        <v/>
      </c>
      <c r="M550" s="7">
        <f>'1 datos preparados'!L543</f>
        <v/>
      </c>
      <c r="N550" s="7">
        <f>'1 datos preparados'!M543</f>
        <v/>
      </c>
      <c r="O550" s="7">
        <f>'1 datos preparados'!N543</f>
        <v/>
      </c>
      <c r="P550" s="7">
        <f>'1 datos preparados'!O543</f>
        <v/>
      </c>
      <c r="Q550" s="7">
        <f>'1 datos preparados'!P543</f>
        <v/>
      </c>
      <c r="R550" s="7">
        <f>'1 datos preparados'!Q543</f>
        <v/>
      </c>
      <c r="S550" s="7">
        <f>'1 datos preparados'!R543</f>
        <v/>
      </c>
      <c r="T550" s="7">
        <f>'1 datos preparados'!S543</f>
        <v/>
      </c>
      <c r="U550" s="7">
        <f>'1 datos preparados'!T543</f>
        <v/>
      </c>
      <c r="V550" s="8">
        <f>$AE$12+D550*$AE$13+E550*$AE$14+F550*$AE$15+G550*$AE$16+H550*$AE$17+I550*$AE$18+J550*$AE$19+K550*$AE$20+L550*$AE$21+M550*$AE$22+N550*$AE$23+O550*$AE$24+P550*$AE$25+Q550*$AE$26+R550*$AE$27+S550*$AE$28+T550*$AE$29+U550*$AE$30</f>
        <v/>
      </c>
      <c r="W550" s="8">
        <f>1/(1+EXP(-V550))</f>
        <v/>
      </c>
      <c r="X550" s="9">
        <f>-IF(C550=1,LN(W550),LN(1-W550))</f>
        <v/>
      </c>
      <c r="Y550" s="8">
        <f>'1 datos preparados'!V543</f>
        <v/>
      </c>
      <c r="Z550" s="9">
        <f>Y550*X550</f>
        <v/>
      </c>
      <c r="AA550" s="10">
        <f>IF(W550&gt;$AE$33,1,0)</f>
        <v/>
      </c>
      <c r="AB550">
        <f>IF(AA550=C550,1,0)</f>
        <v/>
      </c>
    </row>
    <row r="551">
      <c r="A551">
        <f>'1 datos preparados'!A544</f>
        <v/>
      </c>
      <c r="B551" s="5">
        <f>'1 datos preparados'!U544</f>
        <v/>
      </c>
      <c r="C551">
        <f>'1 datos preparados'!B544</f>
        <v/>
      </c>
      <c r="D551" s="7">
        <f>'1 datos preparados'!C544</f>
        <v/>
      </c>
      <c r="E551" s="7">
        <f>'1 datos preparados'!D544</f>
        <v/>
      </c>
      <c r="F551" s="7">
        <f>'1 datos preparados'!E544</f>
        <v/>
      </c>
      <c r="G551" s="7">
        <f>'1 datos preparados'!F544</f>
        <v/>
      </c>
      <c r="H551" s="7">
        <f>'1 datos preparados'!G544</f>
        <v/>
      </c>
      <c r="I551" s="7">
        <f>'1 datos preparados'!H544</f>
        <v/>
      </c>
      <c r="J551" s="7">
        <f>'1 datos preparados'!I544</f>
        <v/>
      </c>
      <c r="K551" s="7">
        <f>'1 datos preparados'!J544</f>
        <v/>
      </c>
      <c r="L551" s="7">
        <f>'1 datos preparados'!K544</f>
        <v/>
      </c>
      <c r="M551" s="7">
        <f>'1 datos preparados'!L544</f>
        <v/>
      </c>
      <c r="N551" s="7">
        <f>'1 datos preparados'!M544</f>
        <v/>
      </c>
      <c r="O551" s="7">
        <f>'1 datos preparados'!N544</f>
        <v/>
      </c>
      <c r="P551" s="7">
        <f>'1 datos preparados'!O544</f>
        <v/>
      </c>
      <c r="Q551" s="7">
        <f>'1 datos preparados'!P544</f>
        <v/>
      </c>
      <c r="R551" s="7">
        <f>'1 datos preparados'!Q544</f>
        <v/>
      </c>
      <c r="S551" s="7">
        <f>'1 datos preparados'!R544</f>
        <v/>
      </c>
      <c r="T551" s="7">
        <f>'1 datos preparados'!S544</f>
        <v/>
      </c>
      <c r="U551" s="7">
        <f>'1 datos preparados'!T544</f>
        <v/>
      </c>
      <c r="V551" s="8">
        <f>$AE$12+D551*$AE$13+E551*$AE$14+F551*$AE$15+G551*$AE$16+H551*$AE$17+I551*$AE$18+J551*$AE$19+K551*$AE$20+L551*$AE$21+M551*$AE$22+N551*$AE$23+O551*$AE$24+P551*$AE$25+Q551*$AE$26+R551*$AE$27+S551*$AE$28+T551*$AE$29+U551*$AE$30</f>
        <v/>
      </c>
      <c r="W551" s="8">
        <f>1/(1+EXP(-V551))</f>
        <v/>
      </c>
      <c r="X551" s="9">
        <f>-IF(C551=1,LN(W551),LN(1-W551))</f>
        <v/>
      </c>
      <c r="Y551" s="8">
        <f>'1 datos preparados'!V544</f>
        <v/>
      </c>
      <c r="Z551" s="9">
        <f>Y551*X551</f>
        <v/>
      </c>
      <c r="AA551" s="10">
        <f>IF(W551&gt;$AE$33,1,0)</f>
        <v/>
      </c>
      <c r="AB551">
        <f>IF(AA551=C551,1,0)</f>
        <v/>
      </c>
    </row>
    <row r="552">
      <c r="A552">
        <f>'1 datos preparados'!A545</f>
        <v/>
      </c>
      <c r="B552" s="5">
        <f>'1 datos preparados'!U545</f>
        <v/>
      </c>
      <c r="C552">
        <f>'1 datos preparados'!B545</f>
        <v/>
      </c>
      <c r="D552" s="7">
        <f>'1 datos preparados'!C545</f>
        <v/>
      </c>
      <c r="E552" s="7">
        <f>'1 datos preparados'!D545</f>
        <v/>
      </c>
      <c r="F552" s="7">
        <f>'1 datos preparados'!E545</f>
        <v/>
      </c>
      <c r="G552" s="7">
        <f>'1 datos preparados'!F545</f>
        <v/>
      </c>
      <c r="H552" s="7">
        <f>'1 datos preparados'!G545</f>
        <v/>
      </c>
      <c r="I552" s="7">
        <f>'1 datos preparados'!H545</f>
        <v/>
      </c>
      <c r="J552" s="7">
        <f>'1 datos preparados'!I545</f>
        <v/>
      </c>
      <c r="K552" s="7">
        <f>'1 datos preparados'!J545</f>
        <v/>
      </c>
      <c r="L552" s="7">
        <f>'1 datos preparados'!K545</f>
        <v/>
      </c>
      <c r="M552" s="7">
        <f>'1 datos preparados'!L545</f>
        <v/>
      </c>
      <c r="N552" s="7">
        <f>'1 datos preparados'!M545</f>
        <v/>
      </c>
      <c r="O552" s="7">
        <f>'1 datos preparados'!N545</f>
        <v/>
      </c>
      <c r="P552" s="7">
        <f>'1 datos preparados'!O545</f>
        <v/>
      </c>
      <c r="Q552" s="7">
        <f>'1 datos preparados'!P545</f>
        <v/>
      </c>
      <c r="R552" s="7">
        <f>'1 datos preparados'!Q545</f>
        <v/>
      </c>
      <c r="S552" s="7">
        <f>'1 datos preparados'!R545</f>
        <v/>
      </c>
      <c r="T552" s="7">
        <f>'1 datos preparados'!S545</f>
        <v/>
      </c>
      <c r="U552" s="7">
        <f>'1 datos preparados'!T545</f>
        <v/>
      </c>
      <c r="V552" s="8">
        <f>$AE$12+D552*$AE$13+E552*$AE$14+F552*$AE$15+G552*$AE$16+H552*$AE$17+I552*$AE$18+J552*$AE$19+K552*$AE$20+L552*$AE$21+M552*$AE$22+N552*$AE$23+O552*$AE$24+P552*$AE$25+Q552*$AE$26+R552*$AE$27+S552*$AE$28+T552*$AE$29+U552*$AE$30</f>
        <v/>
      </c>
      <c r="W552" s="8">
        <f>1/(1+EXP(-V552))</f>
        <v/>
      </c>
      <c r="X552" s="9">
        <f>-IF(C552=1,LN(W552),LN(1-W552))</f>
        <v/>
      </c>
      <c r="Y552" s="8">
        <f>'1 datos preparados'!V545</f>
        <v/>
      </c>
      <c r="Z552" s="9">
        <f>Y552*X552</f>
        <v/>
      </c>
      <c r="AA552" s="10">
        <f>IF(W552&gt;$AE$33,1,0)</f>
        <v/>
      </c>
      <c r="AB552">
        <f>IF(AA552=C552,1,0)</f>
        <v/>
      </c>
    </row>
    <row r="553">
      <c r="A553">
        <f>'1 datos preparados'!A546</f>
        <v/>
      </c>
      <c r="B553" s="5">
        <f>'1 datos preparados'!U546</f>
        <v/>
      </c>
      <c r="C553">
        <f>'1 datos preparados'!B546</f>
        <v/>
      </c>
      <c r="D553" s="7">
        <f>'1 datos preparados'!C546</f>
        <v/>
      </c>
      <c r="E553" s="7">
        <f>'1 datos preparados'!D546</f>
        <v/>
      </c>
      <c r="F553" s="7">
        <f>'1 datos preparados'!E546</f>
        <v/>
      </c>
      <c r="G553" s="7">
        <f>'1 datos preparados'!F546</f>
        <v/>
      </c>
      <c r="H553" s="7">
        <f>'1 datos preparados'!G546</f>
        <v/>
      </c>
      <c r="I553" s="7">
        <f>'1 datos preparados'!H546</f>
        <v/>
      </c>
      <c r="J553" s="7">
        <f>'1 datos preparados'!I546</f>
        <v/>
      </c>
      <c r="K553" s="7">
        <f>'1 datos preparados'!J546</f>
        <v/>
      </c>
      <c r="L553" s="7">
        <f>'1 datos preparados'!K546</f>
        <v/>
      </c>
      <c r="M553" s="7">
        <f>'1 datos preparados'!L546</f>
        <v/>
      </c>
      <c r="N553" s="7">
        <f>'1 datos preparados'!M546</f>
        <v/>
      </c>
      <c r="O553" s="7">
        <f>'1 datos preparados'!N546</f>
        <v/>
      </c>
      <c r="P553" s="7">
        <f>'1 datos preparados'!O546</f>
        <v/>
      </c>
      <c r="Q553" s="7">
        <f>'1 datos preparados'!P546</f>
        <v/>
      </c>
      <c r="R553" s="7">
        <f>'1 datos preparados'!Q546</f>
        <v/>
      </c>
      <c r="S553" s="7">
        <f>'1 datos preparados'!R546</f>
        <v/>
      </c>
      <c r="T553" s="7">
        <f>'1 datos preparados'!S546</f>
        <v/>
      </c>
      <c r="U553" s="7">
        <f>'1 datos preparados'!T546</f>
        <v/>
      </c>
      <c r="V553" s="8">
        <f>$AE$12+D553*$AE$13+E553*$AE$14+F553*$AE$15+G553*$AE$16+H553*$AE$17+I553*$AE$18+J553*$AE$19+K553*$AE$20+L553*$AE$21+M553*$AE$22+N553*$AE$23+O553*$AE$24+P553*$AE$25+Q553*$AE$26+R553*$AE$27+S553*$AE$28+T553*$AE$29+U553*$AE$30</f>
        <v/>
      </c>
      <c r="W553" s="8">
        <f>1/(1+EXP(-V553))</f>
        <v/>
      </c>
      <c r="X553" s="9">
        <f>-IF(C553=1,LN(W553),LN(1-W553))</f>
        <v/>
      </c>
      <c r="Y553" s="8">
        <f>'1 datos preparados'!V546</f>
        <v/>
      </c>
      <c r="Z553" s="9">
        <f>Y553*X553</f>
        <v/>
      </c>
      <c r="AA553" s="10">
        <f>IF(W553&gt;$AE$33,1,0)</f>
        <v/>
      </c>
      <c r="AB553">
        <f>IF(AA553=C553,1,0)</f>
        <v/>
      </c>
    </row>
    <row r="554">
      <c r="A554">
        <f>'1 datos preparados'!A547</f>
        <v/>
      </c>
      <c r="B554" s="5">
        <f>'1 datos preparados'!U547</f>
        <v/>
      </c>
      <c r="C554">
        <f>'1 datos preparados'!B547</f>
        <v/>
      </c>
      <c r="D554" s="7">
        <f>'1 datos preparados'!C547</f>
        <v/>
      </c>
      <c r="E554" s="7">
        <f>'1 datos preparados'!D547</f>
        <v/>
      </c>
      <c r="F554" s="7">
        <f>'1 datos preparados'!E547</f>
        <v/>
      </c>
      <c r="G554" s="7">
        <f>'1 datos preparados'!F547</f>
        <v/>
      </c>
      <c r="H554" s="7">
        <f>'1 datos preparados'!G547</f>
        <v/>
      </c>
      <c r="I554" s="7">
        <f>'1 datos preparados'!H547</f>
        <v/>
      </c>
      <c r="J554" s="7">
        <f>'1 datos preparados'!I547</f>
        <v/>
      </c>
      <c r="K554" s="7">
        <f>'1 datos preparados'!J547</f>
        <v/>
      </c>
      <c r="L554" s="7">
        <f>'1 datos preparados'!K547</f>
        <v/>
      </c>
      <c r="M554" s="7">
        <f>'1 datos preparados'!L547</f>
        <v/>
      </c>
      <c r="N554" s="7">
        <f>'1 datos preparados'!M547</f>
        <v/>
      </c>
      <c r="O554" s="7">
        <f>'1 datos preparados'!N547</f>
        <v/>
      </c>
      <c r="P554" s="7">
        <f>'1 datos preparados'!O547</f>
        <v/>
      </c>
      <c r="Q554" s="7">
        <f>'1 datos preparados'!P547</f>
        <v/>
      </c>
      <c r="R554" s="7">
        <f>'1 datos preparados'!Q547</f>
        <v/>
      </c>
      <c r="S554" s="7">
        <f>'1 datos preparados'!R547</f>
        <v/>
      </c>
      <c r="T554" s="7">
        <f>'1 datos preparados'!S547</f>
        <v/>
      </c>
      <c r="U554" s="7">
        <f>'1 datos preparados'!T547</f>
        <v/>
      </c>
      <c r="V554" s="8">
        <f>$AE$12+D554*$AE$13+E554*$AE$14+F554*$AE$15+G554*$AE$16+H554*$AE$17+I554*$AE$18+J554*$AE$19+K554*$AE$20+L554*$AE$21+M554*$AE$22+N554*$AE$23+O554*$AE$24+P554*$AE$25+Q554*$AE$26+R554*$AE$27+S554*$AE$28+T554*$AE$29+U554*$AE$30</f>
        <v/>
      </c>
      <c r="W554" s="8">
        <f>1/(1+EXP(-V554))</f>
        <v/>
      </c>
      <c r="X554" s="9">
        <f>-IF(C554=1,LN(W554),LN(1-W554))</f>
        <v/>
      </c>
      <c r="Y554" s="8">
        <f>'1 datos preparados'!V547</f>
        <v/>
      </c>
      <c r="Z554" s="9">
        <f>Y554*X554</f>
        <v/>
      </c>
      <c r="AA554" s="10">
        <f>IF(W554&gt;$AE$33,1,0)</f>
        <v/>
      </c>
      <c r="AB554">
        <f>IF(AA554=C554,1,0)</f>
        <v/>
      </c>
    </row>
    <row r="555">
      <c r="A555">
        <f>'1 datos preparados'!A548</f>
        <v/>
      </c>
      <c r="B555" s="5">
        <f>'1 datos preparados'!U548</f>
        <v/>
      </c>
      <c r="C555">
        <f>'1 datos preparados'!B548</f>
        <v/>
      </c>
      <c r="D555" s="7">
        <f>'1 datos preparados'!C548</f>
        <v/>
      </c>
      <c r="E555" s="7">
        <f>'1 datos preparados'!D548</f>
        <v/>
      </c>
      <c r="F555" s="7">
        <f>'1 datos preparados'!E548</f>
        <v/>
      </c>
      <c r="G555" s="7">
        <f>'1 datos preparados'!F548</f>
        <v/>
      </c>
      <c r="H555" s="7">
        <f>'1 datos preparados'!G548</f>
        <v/>
      </c>
      <c r="I555" s="7">
        <f>'1 datos preparados'!H548</f>
        <v/>
      </c>
      <c r="J555" s="7">
        <f>'1 datos preparados'!I548</f>
        <v/>
      </c>
      <c r="K555" s="7">
        <f>'1 datos preparados'!J548</f>
        <v/>
      </c>
      <c r="L555" s="7">
        <f>'1 datos preparados'!K548</f>
        <v/>
      </c>
      <c r="M555" s="7">
        <f>'1 datos preparados'!L548</f>
        <v/>
      </c>
      <c r="N555" s="7">
        <f>'1 datos preparados'!M548</f>
        <v/>
      </c>
      <c r="O555" s="7">
        <f>'1 datos preparados'!N548</f>
        <v/>
      </c>
      <c r="P555" s="7">
        <f>'1 datos preparados'!O548</f>
        <v/>
      </c>
      <c r="Q555" s="7">
        <f>'1 datos preparados'!P548</f>
        <v/>
      </c>
      <c r="R555" s="7">
        <f>'1 datos preparados'!Q548</f>
        <v/>
      </c>
      <c r="S555" s="7">
        <f>'1 datos preparados'!R548</f>
        <v/>
      </c>
      <c r="T555" s="7">
        <f>'1 datos preparados'!S548</f>
        <v/>
      </c>
      <c r="U555" s="7">
        <f>'1 datos preparados'!T548</f>
        <v/>
      </c>
      <c r="V555" s="8">
        <f>$AE$12+D555*$AE$13+E555*$AE$14+F555*$AE$15+G555*$AE$16+H555*$AE$17+I555*$AE$18+J555*$AE$19+K555*$AE$20+L555*$AE$21+M555*$AE$22+N555*$AE$23+O555*$AE$24+P555*$AE$25+Q555*$AE$26+R555*$AE$27+S555*$AE$28+T555*$AE$29+U555*$AE$30</f>
        <v/>
      </c>
      <c r="W555" s="8">
        <f>1/(1+EXP(-V555))</f>
        <v/>
      </c>
      <c r="X555" s="9">
        <f>-IF(C555=1,LN(W555),LN(1-W555))</f>
        <v/>
      </c>
      <c r="Y555" s="8">
        <f>'1 datos preparados'!V548</f>
        <v/>
      </c>
      <c r="Z555" s="9">
        <f>Y555*X555</f>
        <v/>
      </c>
      <c r="AA555" s="10">
        <f>IF(W555&gt;$AE$33,1,0)</f>
        <v/>
      </c>
      <c r="AB555">
        <f>IF(AA555=C555,1,0)</f>
        <v/>
      </c>
    </row>
    <row r="556">
      <c r="A556">
        <f>'1 datos preparados'!A549</f>
        <v/>
      </c>
      <c r="B556" s="5">
        <f>'1 datos preparados'!U549</f>
        <v/>
      </c>
      <c r="C556">
        <f>'1 datos preparados'!B549</f>
        <v/>
      </c>
      <c r="D556" s="7">
        <f>'1 datos preparados'!C549</f>
        <v/>
      </c>
      <c r="E556" s="7">
        <f>'1 datos preparados'!D549</f>
        <v/>
      </c>
      <c r="F556" s="7">
        <f>'1 datos preparados'!E549</f>
        <v/>
      </c>
      <c r="G556" s="7">
        <f>'1 datos preparados'!F549</f>
        <v/>
      </c>
      <c r="H556" s="7">
        <f>'1 datos preparados'!G549</f>
        <v/>
      </c>
      <c r="I556" s="7">
        <f>'1 datos preparados'!H549</f>
        <v/>
      </c>
      <c r="J556" s="7">
        <f>'1 datos preparados'!I549</f>
        <v/>
      </c>
      <c r="K556" s="7">
        <f>'1 datos preparados'!J549</f>
        <v/>
      </c>
      <c r="L556" s="7">
        <f>'1 datos preparados'!K549</f>
        <v/>
      </c>
      <c r="M556" s="7">
        <f>'1 datos preparados'!L549</f>
        <v/>
      </c>
      <c r="N556" s="7">
        <f>'1 datos preparados'!M549</f>
        <v/>
      </c>
      <c r="O556" s="7">
        <f>'1 datos preparados'!N549</f>
        <v/>
      </c>
      <c r="P556" s="7">
        <f>'1 datos preparados'!O549</f>
        <v/>
      </c>
      <c r="Q556" s="7">
        <f>'1 datos preparados'!P549</f>
        <v/>
      </c>
      <c r="R556" s="7">
        <f>'1 datos preparados'!Q549</f>
        <v/>
      </c>
      <c r="S556" s="7">
        <f>'1 datos preparados'!R549</f>
        <v/>
      </c>
      <c r="T556" s="7">
        <f>'1 datos preparados'!S549</f>
        <v/>
      </c>
      <c r="U556" s="7">
        <f>'1 datos preparados'!T549</f>
        <v/>
      </c>
      <c r="V556" s="8">
        <f>$AE$12+D556*$AE$13+E556*$AE$14+F556*$AE$15+G556*$AE$16+H556*$AE$17+I556*$AE$18+J556*$AE$19+K556*$AE$20+L556*$AE$21+M556*$AE$22+N556*$AE$23+O556*$AE$24+P556*$AE$25+Q556*$AE$26+R556*$AE$27+S556*$AE$28+T556*$AE$29+U556*$AE$30</f>
        <v/>
      </c>
      <c r="W556" s="8">
        <f>1/(1+EXP(-V556))</f>
        <v/>
      </c>
      <c r="X556" s="9">
        <f>-IF(C556=1,LN(W556),LN(1-W556))</f>
        <v/>
      </c>
      <c r="Y556" s="8">
        <f>'1 datos preparados'!V549</f>
        <v/>
      </c>
      <c r="Z556" s="9">
        <f>Y556*X556</f>
        <v/>
      </c>
      <c r="AA556" s="10">
        <f>IF(W556&gt;$AE$33,1,0)</f>
        <v/>
      </c>
      <c r="AB556">
        <f>IF(AA556=C556,1,0)</f>
        <v/>
      </c>
    </row>
    <row r="557">
      <c r="A557">
        <f>'1 datos preparados'!A550</f>
        <v/>
      </c>
      <c r="B557" s="5">
        <f>'1 datos preparados'!U550</f>
        <v/>
      </c>
      <c r="C557">
        <f>'1 datos preparados'!B550</f>
        <v/>
      </c>
      <c r="D557" s="7">
        <f>'1 datos preparados'!C550</f>
        <v/>
      </c>
      <c r="E557" s="7">
        <f>'1 datos preparados'!D550</f>
        <v/>
      </c>
      <c r="F557" s="7">
        <f>'1 datos preparados'!E550</f>
        <v/>
      </c>
      <c r="G557" s="7">
        <f>'1 datos preparados'!F550</f>
        <v/>
      </c>
      <c r="H557" s="7">
        <f>'1 datos preparados'!G550</f>
        <v/>
      </c>
      <c r="I557" s="7">
        <f>'1 datos preparados'!H550</f>
        <v/>
      </c>
      <c r="J557" s="7">
        <f>'1 datos preparados'!I550</f>
        <v/>
      </c>
      <c r="K557" s="7">
        <f>'1 datos preparados'!J550</f>
        <v/>
      </c>
      <c r="L557" s="7">
        <f>'1 datos preparados'!K550</f>
        <v/>
      </c>
      <c r="M557" s="7">
        <f>'1 datos preparados'!L550</f>
        <v/>
      </c>
      <c r="N557" s="7">
        <f>'1 datos preparados'!M550</f>
        <v/>
      </c>
      <c r="O557" s="7">
        <f>'1 datos preparados'!N550</f>
        <v/>
      </c>
      <c r="P557" s="7">
        <f>'1 datos preparados'!O550</f>
        <v/>
      </c>
      <c r="Q557" s="7">
        <f>'1 datos preparados'!P550</f>
        <v/>
      </c>
      <c r="R557" s="7">
        <f>'1 datos preparados'!Q550</f>
        <v/>
      </c>
      <c r="S557" s="7">
        <f>'1 datos preparados'!R550</f>
        <v/>
      </c>
      <c r="T557" s="7">
        <f>'1 datos preparados'!S550</f>
        <v/>
      </c>
      <c r="U557" s="7">
        <f>'1 datos preparados'!T550</f>
        <v/>
      </c>
      <c r="V557" s="8">
        <f>$AE$12+D557*$AE$13+E557*$AE$14+F557*$AE$15+G557*$AE$16+H557*$AE$17+I557*$AE$18+J557*$AE$19+K557*$AE$20+L557*$AE$21+M557*$AE$22+N557*$AE$23+O557*$AE$24+P557*$AE$25+Q557*$AE$26+R557*$AE$27+S557*$AE$28+T557*$AE$29+U557*$AE$30</f>
        <v/>
      </c>
      <c r="W557" s="8">
        <f>1/(1+EXP(-V557))</f>
        <v/>
      </c>
      <c r="X557" s="9">
        <f>-IF(C557=1,LN(W557),LN(1-W557))</f>
        <v/>
      </c>
      <c r="Y557" s="8">
        <f>'1 datos preparados'!V550</f>
        <v/>
      </c>
      <c r="Z557" s="9">
        <f>Y557*X557</f>
        <v/>
      </c>
      <c r="AA557" s="10">
        <f>IF(W557&gt;$AE$33,1,0)</f>
        <v/>
      </c>
      <c r="AB557">
        <f>IF(AA557=C557,1,0)</f>
        <v/>
      </c>
    </row>
    <row r="558">
      <c r="A558">
        <f>'1 datos preparados'!A551</f>
        <v/>
      </c>
      <c r="B558" s="5">
        <f>'1 datos preparados'!U551</f>
        <v/>
      </c>
      <c r="C558">
        <f>'1 datos preparados'!B551</f>
        <v/>
      </c>
      <c r="D558" s="7">
        <f>'1 datos preparados'!C551</f>
        <v/>
      </c>
      <c r="E558" s="7">
        <f>'1 datos preparados'!D551</f>
        <v/>
      </c>
      <c r="F558" s="7">
        <f>'1 datos preparados'!E551</f>
        <v/>
      </c>
      <c r="G558" s="7">
        <f>'1 datos preparados'!F551</f>
        <v/>
      </c>
      <c r="H558" s="7">
        <f>'1 datos preparados'!G551</f>
        <v/>
      </c>
      <c r="I558" s="7">
        <f>'1 datos preparados'!H551</f>
        <v/>
      </c>
      <c r="J558" s="7">
        <f>'1 datos preparados'!I551</f>
        <v/>
      </c>
      <c r="K558" s="7">
        <f>'1 datos preparados'!J551</f>
        <v/>
      </c>
      <c r="L558" s="7">
        <f>'1 datos preparados'!K551</f>
        <v/>
      </c>
      <c r="M558" s="7">
        <f>'1 datos preparados'!L551</f>
        <v/>
      </c>
      <c r="N558" s="7">
        <f>'1 datos preparados'!M551</f>
        <v/>
      </c>
      <c r="O558" s="7">
        <f>'1 datos preparados'!N551</f>
        <v/>
      </c>
      <c r="P558" s="7">
        <f>'1 datos preparados'!O551</f>
        <v/>
      </c>
      <c r="Q558" s="7">
        <f>'1 datos preparados'!P551</f>
        <v/>
      </c>
      <c r="R558" s="7">
        <f>'1 datos preparados'!Q551</f>
        <v/>
      </c>
      <c r="S558" s="7">
        <f>'1 datos preparados'!R551</f>
        <v/>
      </c>
      <c r="T558" s="7">
        <f>'1 datos preparados'!S551</f>
        <v/>
      </c>
      <c r="U558" s="7">
        <f>'1 datos preparados'!T551</f>
        <v/>
      </c>
      <c r="V558" s="8">
        <f>$AE$12+D558*$AE$13+E558*$AE$14+F558*$AE$15+G558*$AE$16+H558*$AE$17+I558*$AE$18+J558*$AE$19+K558*$AE$20+L558*$AE$21+M558*$AE$22+N558*$AE$23+O558*$AE$24+P558*$AE$25+Q558*$AE$26+R558*$AE$27+S558*$AE$28+T558*$AE$29+U558*$AE$30</f>
        <v/>
      </c>
      <c r="W558" s="8">
        <f>1/(1+EXP(-V558))</f>
        <v/>
      </c>
      <c r="X558" s="9">
        <f>-IF(C558=1,LN(W558),LN(1-W558))</f>
        <v/>
      </c>
      <c r="Y558" s="8">
        <f>'1 datos preparados'!V551</f>
        <v/>
      </c>
      <c r="Z558" s="9">
        <f>Y558*X558</f>
        <v/>
      </c>
      <c r="AA558" s="10">
        <f>IF(W558&gt;$AE$33,1,0)</f>
        <v/>
      </c>
      <c r="AB558">
        <f>IF(AA558=C558,1,0)</f>
        <v/>
      </c>
    </row>
    <row r="559">
      <c r="A559">
        <f>'1 datos preparados'!A552</f>
        <v/>
      </c>
      <c r="B559" s="5">
        <f>'1 datos preparados'!U552</f>
        <v/>
      </c>
      <c r="C559">
        <f>'1 datos preparados'!B552</f>
        <v/>
      </c>
      <c r="D559" s="7">
        <f>'1 datos preparados'!C552</f>
        <v/>
      </c>
      <c r="E559" s="7">
        <f>'1 datos preparados'!D552</f>
        <v/>
      </c>
      <c r="F559" s="7">
        <f>'1 datos preparados'!E552</f>
        <v/>
      </c>
      <c r="G559" s="7">
        <f>'1 datos preparados'!F552</f>
        <v/>
      </c>
      <c r="H559" s="7">
        <f>'1 datos preparados'!G552</f>
        <v/>
      </c>
      <c r="I559" s="7">
        <f>'1 datos preparados'!H552</f>
        <v/>
      </c>
      <c r="J559" s="7">
        <f>'1 datos preparados'!I552</f>
        <v/>
      </c>
      <c r="K559" s="7">
        <f>'1 datos preparados'!J552</f>
        <v/>
      </c>
      <c r="L559" s="7">
        <f>'1 datos preparados'!K552</f>
        <v/>
      </c>
      <c r="M559" s="7">
        <f>'1 datos preparados'!L552</f>
        <v/>
      </c>
      <c r="N559" s="7">
        <f>'1 datos preparados'!M552</f>
        <v/>
      </c>
      <c r="O559" s="7">
        <f>'1 datos preparados'!N552</f>
        <v/>
      </c>
      <c r="P559" s="7">
        <f>'1 datos preparados'!O552</f>
        <v/>
      </c>
      <c r="Q559" s="7">
        <f>'1 datos preparados'!P552</f>
        <v/>
      </c>
      <c r="R559" s="7">
        <f>'1 datos preparados'!Q552</f>
        <v/>
      </c>
      <c r="S559" s="7">
        <f>'1 datos preparados'!R552</f>
        <v/>
      </c>
      <c r="T559" s="7">
        <f>'1 datos preparados'!S552</f>
        <v/>
      </c>
      <c r="U559" s="7">
        <f>'1 datos preparados'!T552</f>
        <v/>
      </c>
      <c r="V559" s="8">
        <f>$AE$12+D559*$AE$13+E559*$AE$14+F559*$AE$15+G559*$AE$16+H559*$AE$17+I559*$AE$18+J559*$AE$19+K559*$AE$20+L559*$AE$21+M559*$AE$22+N559*$AE$23+O559*$AE$24+P559*$AE$25+Q559*$AE$26+R559*$AE$27+S559*$AE$28+T559*$AE$29+U559*$AE$30</f>
        <v/>
      </c>
      <c r="W559" s="8">
        <f>1/(1+EXP(-V559))</f>
        <v/>
      </c>
      <c r="X559" s="9">
        <f>-IF(C559=1,LN(W559),LN(1-W559))</f>
        <v/>
      </c>
      <c r="Y559" s="8">
        <f>'1 datos preparados'!V552</f>
        <v/>
      </c>
      <c r="Z559" s="9">
        <f>Y559*X559</f>
        <v/>
      </c>
      <c r="AA559" s="10">
        <f>IF(W559&gt;$AE$33,1,0)</f>
        <v/>
      </c>
      <c r="AB559">
        <f>IF(AA559=C559,1,0)</f>
        <v/>
      </c>
    </row>
    <row r="560">
      <c r="A560">
        <f>'1 datos preparados'!A553</f>
        <v/>
      </c>
      <c r="B560" s="5">
        <f>'1 datos preparados'!U553</f>
        <v/>
      </c>
      <c r="C560">
        <f>'1 datos preparados'!B553</f>
        <v/>
      </c>
      <c r="D560" s="7">
        <f>'1 datos preparados'!C553</f>
        <v/>
      </c>
      <c r="E560" s="7">
        <f>'1 datos preparados'!D553</f>
        <v/>
      </c>
      <c r="F560" s="7">
        <f>'1 datos preparados'!E553</f>
        <v/>
      </c>
      <c r="G560" s="7">
        <f>'1 datos preparados'!F553</f>
        <v/>
      </c>
      <c r="H560" s="7">
        <f>'1 datos preparados'!G553</f>
        <v/>
      </c>
      <c r="I560" s="7">
        <f>'1 datos preparados'!H553</f>
        <v/>
      </c>
      <c r="J560" s="7">
        <f>'1 datos preparados'!I553</f>
        <v/>
      </c>
      <c r="K560" s="7">
        <f>'1 datos preparados'!J553</f>
        <v/>
      </c>
      <c r="L560" s="7">
        <f>'1 datos preparados'!K553</f>
        <v/>
      </c>
      <c r="M560" s="7">
        <f>'1 datos preparados'!L553</f>
        <v/>
      </c>
      <c r="N560" s="7">
        <f>'1 datos preparados'!M553</f>
        <v/>
      </c>
      <c r="O560" s="7">
        <f>'1 datos preparados'!N553</f>
        <v/>
      </c>
      <c r="P560" s="7">
        <f>'1 datos preparados'!O553</f>
        <v/>
      </c>
      <c r="Q560" s="7">
        <f>'1 datos preparados'!P553</f>
        <v/>
      </c>
      <c r="R560" s="7">
        <f>'1 datos preparados'!Q553</f>
        <v/>
      </c>
      <c r="S560" s="7">
        <f>'1 datos preparados'!R553</f>
        <v/>
      </c>
      <c r="T560" s="7">
        <f>'1 datos preparados'!S553</f>
        <v/>
      </c>
      <c r="U560" s="7">
        <f>'1 datos preparados'!T553</f>
        <v/>
      </c>
      <c r="V560" s="8">
        <f>$AE$12+D560*$AE$13+E560*$AE$14+F560*$AE$15+G560*$AE$16+H560*$AE$17+I560*$AE$18+J560*$AE$19+K560*$AE$20+L560*$AE$21+M560*$AE$22+N560*$AE$23+O560*$AE$24+P560*$AE$25+Q560*$AE$26+R560*$AE$27+S560*$AE$28+T560*$AE$29+U560*$AE$30</f>
        <v/>
      </c>
      <c r="W560" s="8">
        <f>1/(1+EXP(-V560))</f>
        <v/>
      </c>
      <c r="X560" s="9">
        <f>-IF(C560=1,LN(W560),LN(1-W560))</f>
        <v/>
      </c>
      <c r="Y560" s="8">
        <f>'1 datos preparados'!V553</f>
        <v/>
      </c>
      <c r="Z560" s="9">
        <f>Y560*X560</f>
        <v/>
      </c>
      <c r="AA560" s="10">
        <f>IF(W560&gt;$AE$33,1,0)</f>
        <v/>
      </c>
      <c r="AB560">
        <f>IF(AA560=C560,1,0)</f>
        <v/>
      </c>
    </row>
    <row r="561">
      <c r="A561">
        <f>'1 datos preparados'!A554</f>
        <v/>
      </c>
      <c r="B561" s="5">
        <f>'1 datos preparados'!U554</f>
        <v/>
      </c>
      <c r="C561">
        <f>'1 datos preparados'!B554</f>
        <v/>
      </c>
      <c r="D561" s="7">
        <f>'1 datos preparados'!C554</f>
        <v/>
      </c>
      <c r="E561" s="7">
        <f>'1 datos preparados'!D554</f>
        <v/>
      </c>
      <c r="F561" s="7">
        <f>'1 datos preparados'!E554</f>
        <v/>
      </c>
      <c r="G561" s="7">
        <f>'1 datos preparados'!F554</f>
        <v/>
      </c>
      <c r="H561" s="7">
        <f>'1 datos preparados'!G554</f>
        <v/>
      </c>
      <c r="I561" s="7">
        <f>'1 datos preparados'!H554</f>
        <v/>
      </c>
      <c r="J561" s="7">
        <f>'1 datos preparados'!I554</f>
        <v/>
      </c>
      <c r="K561" s="7">
        <f>'1 datos preparados'!J554</f>
        <v/>
      </c>
      <c r="L561" s="7">
        <f>'1 datos preparados'!K554</f>
        <v/>
      </c>
      <c r="M561" s="7">
        <f>'1 datos preparados'!L554</f>
        <v/>
      </c>
      <c r="N561" s="7">
        <f>'1 datos preparados'!M554</f>
        <v/>
      </c>
      <c r="O561" s="7">
        <f>'1 datos preparados'!N554</f>
        <v/>
      </c>
      <c r="P561" s="7">
        <f>'1 datos preparados'!O554</f>
        <v/>
      </c>
      <c r="Q561" s="7">
        <f>'1 datos preparados'!P554</f>
        <v/>
      </c>
      <c r="R561" s="7">
        <f>'1 datos preparados'!Q554</f>
        <v/>
      </c>
      <c r="S561" s="7">
        <f>'1 datos preparados'!R554</f>
        <v/>
      </c>
      <c r="T561" s="7">
        <f>'1 datos preparados'!S554</f>
        <v/>
      </c>
      <c r="U561" s="7">
        <f>'1 datos preparados'!T554</f>
        <v/>
      </c>
      <c r="V561" s="8">
        <f>$AE$12+D561*$AE$13+E561*$AE$14+F561*$AE$15+G561*$AE$16+H561*$AE$17+I561*$AE$18+J561*$AE$19+K561*$AE$20+L561*$AE$21+M561*$AE$22+N561*$AE$23+O561*$AE$24+P561*$AE$25+Q561*$AE$26+R561*$AE$27+S561*$AE$28+T561*$AE$29+U561*$AE$30</f>
        <v/>
      </c>
      <c r="W561" s="8">
        <f>1/(1+EXP(-V561))</f>
        <v/>
      </c>
      <c r="X561" s="9">
        <f>-IF(C561=1,LN(W561),LN(1-W561))</f>
        <v/>
      </c>
      <c r="Y561" s="8">
        <f>'1 datos preparados'!V554</f>
        <v/>
      </c>
      <c r="Z561" s="9">
        <f>Y561*X561</f>
        <v/>
      </c>
      <c r="AA561" s="10">
        <f>IF(W561&gt;$AE$33,1,0)</f>
        <v/>
      </c>
      <c r="AB561">
        <f>IF(AA561=C561,1,0)</f>
        <v/>
      </c>
    </row>
    <row r="562">
      <c r="A562">
        <f>'1 datos preparados'!A555</f>
        <v/>
      </c>
      <c r="B562" s="5">
        <f>'1 datos preparados'!U555</f>
        <v/>
      </c>
      <c r="C562">
        <f>'1 datos preparados'!B555</f>
        <v/>
      </c>
      <c r="D562" s="7">
        <f>'1 datos preparados'!C555</f>
        <v/>
      </c>
      <c r="E562" s="7">
        <f>'1 datos preparados'!D555</f>
        <v/>
      </c>
      <c r="F562" s="7">
        <f>'1 datos preparados'!E555</f>
        <v/>
      </c>
      <c r="G562" s="7">
        <f>'1 datos preparados'!F555</f>
        <v/>
      </c>
      <c r="H562" s="7">
        <f>'1 datos preparados'!G555</f>
        <v/>
      </c>
      <c r="I562" s="7">
        <f>'1 datos preparados'!H555</f>
        <v/>
      </c>
      <c r="J562" s="7">
        <f>'1 datos preparados'!I555</f>
        <v/>
      </c>
      <c r="K562" s="7">
        <f>'1 datos preparados'!J555</f>
        <v/>
      </c>
      <c r="L562" s="7">
        <f>'1 datos preparados'!K555</f>
        <v/>
      </c>
      <c r="M562" s="7">
        <f>'1 datos preparados'!L555</f>
        <v/>
      </c>
      <c r="N562" s="7">
        <f>'1 datos preparados'!M555</f>
        <v/>
      </c>
      <c r="O562" s="7">
        <f>'1 datos preparados'!N555</f>
        <v/>
      </c>
      <c r="P562" s="7">
        <f>'1 datos preparados'!O555</f>
        <v/>
      </c>
      <c r="Q562" s="7">
        <f>'1 datos preparados'!P555</f>
        <v/>
      </c>
      <c r="R562" s="7">
        <f>'1 datos preparados'!Q555</f>
        <v/>
      </c>
      <c r="S562" s="7">
        <f>'1 datos preparados'!R555</f>
        <v/>
      </c>
      <c r="T562" s="7">
        <f>'1 datos preparados'!S555</f>
        <v/>
      </c>
      <c r="U562" s="7">
        <f>'1 datos preparados'!T555</f>
        <v/>
      </c>
      <c r="V562" s="8">
        <f>$AE$12+D562*$AE$13+E562*$AE$14+F562*$AE$15+G562*$AE$16+H562*$AE$17+I562*$AE$18+J562*$AE$19+K562*$AE$20+L562*$AE$21+M562*$AE$22+N562*$AE$23+O562*$AE$24+P562*$AE$25+Q562*$AE$26+R562*$AE$27+S562*$AE$28+T562*$AE$29+U562*$AE$30</f>
        <v/>
      </c>
      <c r="W562" s="8">
        <f>1/(1+EXP(-V562))</f>
        <v/>
      </c>
      <c r="X562" s="9">
        <f>-IF(C562=1,LN(W562),LN(1-W562))</f>
        <v/>
      </c>
      <c r="Y562" s="8">
        <f>'1 datos preparados'!V555</f>
        <v/>
      </c>
      <c r="Z562" s="9">
        <f>Y562*X562</f>
        <v/>
      </c>
      <c r="AA562" s="10">
        <f>IF(W562&gt;$AE$33,1,0)</f>
        <v/>
      </c>
      <c r="AB562">
        <f>IF(AA562=C562,1,0)</f>
        <v/>
      </c>
    </row>
    <row r="563">
      <c r="A563">
        <f>'1 datos preparados'!A556</f>
        <v/>
      </c>
      <c r="B563" s="5">
        <f>'1 datos preparados'!U556</f>
        <v/>
      </c>
      <c r="C563">
        <f>'1 datos preparados'!B556</f>
        <v/>
      </c>
      <c r="D563" s="7">
        <f>'1 datos preparados'!C556</f>
        <v/>
      </c>
      <c r="E563" s="7">
        <f>'1 datos preparados'!D556</f>
        <v/>
      </c>
      <c r="F563" s="7">
        <f>'1 datos preparados'!E556</f>
        <v/>
      </c>
      <c r="G563" s="7">
        <f>'1 datos preparados'!F556</f>
        <v/>
      </c>
      <c r="H563" s="7">
        <f>'1 datos preparados'!G556</f>
        <v/>
      </c>
      <c r="I563" s="7">
        <f>'1 datos preparados'!H556</f>
        <v/>
      </c>
      <c r="J563" s="7">
        <f>'1 datos preparados'!I556</f>
        <v/>
      </c>
      <c r="K563" s="7">
        <f>'1 datos preparados'!J556</f>
        <v/>
      </c>
      <c r="L563" s="7">
        <f>'1 datos preparados'!K556</f>
        <v/>
      </c>
      <c r="M563" s="7">
        <f>'1 datos preparados'!L556</f>
        <v/>
      </c>
      <c r="N563" s="7">
        <f>'1 datos preparados'!M556</f>
        <v/>
      </c>
      <c r="O563" s="7">
        <f>'1 datos preparados'!N556</f>
        <v/>
      </c>
      <c r="P563" s="7">
        <f>'1 datos preparados'!O556</f>
        <v/>
      </c>
      <c r="Q563" s="7">
        <f>'1 datos preparados'!P556</f>
        <v/>
      </c>
      <c r="R563" s="7">
        <f>'1 datos preparados'!Q556</f>
        <v/>
      </c>
      <c r="S563" s="7">
        <f>'1 datos preparados'!R556</f>
        <v/>
      </c>
      <c r="T563" s="7">
        <f>'1 datos preparados'!S556</f>
        <v/>
      </c>
      <c r="U563" s="7">
        <f>'1 datos preparados'!T556</f>
        <v/>
      </c>
      <c r="V563" s="8">
        <f>$AE$12+D563*$AE$13+E563*$AE$14+F563*$AE$15+G563*$AE$16+H563*$AE$17+I563*$AE$18+J563*$AE$19+K563*$AE$20+L563*$AE$21+M563*$AE$22+N563*$AE$23+O563*$AE$24+P563*$AE$25+Q563*$AE$26+R563*$AE$27+S563*$AE$28+T563*$AE$29+U563*$AE$30</f>
        <v/>
      </c>
      <c r="W563" s="8">
        <f>1/(1+EXP(-V563))</f>
        <v/>
      </c>
      <c r="X563" s="9">
        <f>-IF(C563=1,LN(W563),LN(1-W563))</f>
        <v/>
      </c>
      <c r="Y563" s="8">
        <f>'1 datos preparados'!V556</f>
        <v/>
      </c>
      <c r="Z563" s="9">
        <f>Y563*X563</f>
        <v/>
      </c>
      <c r="AA563" s="10">
        <f>IF(W563&gt;$AE$33,1,0)</f>
        <v/>
      </c>
      <c r="AB563">
        <f>IF(AA563=C563,1,0)</f>
        <v/>
      </c>
    </row>
    <row r="564">
      <c r="A564">
        <f>'1 datos preparados'!A557</f>
        <v/>
      </c>
      <c r="B564" s="5">
        <f>'1 datos preparados'!U557</f>
        <v/>
      </c>
      <c r="C564">
        <f>'1 datos preparados'!B557</f>
        <v/>
      </c>
      <c r="D564" s="7">
        <f>'1 datos preparados'!C557</f>
        <v/>
      </c>
      <c r="E564" s="7">
        <f>'1 datos preparados'!D557</f>
        <v/>
      </c>
      <c r="F564" s="7">
        <f>'1 datos preparados'!E557</f>
        <v/>
      </c>
      <c r="G564" s="7">
        <f>'1 datos preparados'!F557</f>
        <v/>
      </c>
      <c r="H564" s="7">
        <f>'1 datos preparados'!G557</f>
        <v/>
      </c>
      <c r="I564" s="7">
        <f>'1 datos preparados'!H557</f>
        <v/>
      </c>
      <c r="J564" s="7">
        <f>'1 datos preparados'!I557</f>
        <v/>
      </c>
      <c r="K564" s="7">
        <f>'1 datos preparados'!J557</f>
        <v/>
      </c>
      <c r="L564" s="7">
        <f>'1 datos preparados'!K557</f>
        <v/>
      </c>
      <c r="M564" s="7">
        <f>'1 datos preparados'!L557</f>
        <v/>
      </c>
      <c r="N564" s="7">
        <f>'1 datos preparados'!M557</f>
        <v/>
      </c>
      <c r="O564" s="7">
        <f>'1 datos preparados'!N557</f>
        <v/>
      </c>
      <c r="P564" s="7">
        <f>'1 datos preparados'!O557</f>
        <v/>
      </c>
      <c r="Q564" s="7">
        <f>'1 datos preparados'!P557</f>
        <v/>
      </c>
      <c r="R564" s="7">
        <f>'1 datos preparados'!Q557</f>
        <v/>
      </c>
      <c r="S564" s="7">
        <f>'1 datos preparados'!R557</f>
        <v/>
      </c>
      <c r="T564" s="7">
        <f>'1 datos preparados'!S557</f>
        <v/>
      </c>
      <c r="U564" s="7">
        <f>'1 datos preparados'!T557</f>
        <v/>
      </c>
      <c r="V564" s="8">
        <f>$AE$12+D564*$AE$13+E564*$AE$14+F564*$AE$15+G564*$AE$16+H564*$AE$17+I564*$AE$18+J564*$AE$19+K564*$AE$20+L564*$AE$21+M564*$AE$22+N564*$AE$23+O564*$AE$24+P564*$AE$25+Q564*$AE$26+R564*$AE$27+S564*$AE$28+T564*$AE$29+U564*$AE$30</f>
        <v/>
      </c>
      <c r="W564" s="8">
        <f>1/(1+EXP(-V564))</f>
        <v/>
      </c>
      <c r="X564" s="9">
        <f>-IF(C564=1,LN(W564),LN(1-W564))</f>
        <v/>
      </c>
      <c r="Y564" s="8">
        <f>'1 datos preparados'!V557</f>
        <v/>
      </c>
      <c r="Z564" s="9">
        <f>Y564*X564</f>
        <v/>
      </c>
      <c r="AA564" s="10">
        <f>IF(W564&gt;$AE$33,1,0)</f>
        <v/>
      </c>
      <c r="AB564">
        <f>IF(AA564=C564,1,0)</f>
        <v/>
      </c>
    </row>
    <row r="565">
      <c r="A565">
        <f>'1 datos preparados'!A558</f>
        <v/>
      </c>
      <c r="B565" s="5">
        <f>'1 datos preparados'!U558</f>
        <v/>
      </c>
      <c r="C565">
        <f>'1 datos preparados'!B558</f>
        <v/>
      </c>
      <c r="D565" s="7">
        <f>'1 datos preparados'!C558</f>
        <v/>
      </c>
      <c r="E565" s="7">
        <f>'1 datos preparados'!D558</f>
        <v/>
      </c>
      <c r="F565" s="7">
        <f>'1 datos preparados'!E558</f>
        <v/>
      </c>
      <c r="G565" s="7">
        <f>'1 datos preparados'!F558</f>
        <v/>
      </c>
      <c r="H565" s="7">
        <f>'1 datos preparados'!G558</f>
        <v/>
      </c>
      <c r="I565" s="7">
        <f>'1 datos preparados'!H558</f>
        <v/>
      </c>
      <c r="J565" s="7">
        <f>'1 datos preparados'!I558</f>
        <v/>
      </c>
      <c r="K565" s="7">
        <f>'1 datos preparados'!J558</f>
        <v/>
      </c>
      <c r="L565" s="7">
        <f>'1 datos preparados'!K558</f>
        <v/>
      </c>
      <c r="M565" s="7">
        <f>'1 datos preparados'!L558</f>
        <v/>
      </c>
      <c r="N565" s="7">
        <f>'1 datos preparados'!M558</f>
        <v/>
      </c>
      <c r="O565" s="7">
        <f>'1 datos preparados'!N558</f>
        <v/>
      </c>
      <c r="P565" s="7">
        <f>'1 datos preparados'!O558</f>
        <v/>
      </c>
      <c r="Q565" s="7">
        <f>'1 datos preparados'!P558</f>
        <v/>
      </c>
      <c r="R565" s="7">
        <f>'1 datos preparados'!Q558</f>
        <v/>
      </c>
      <c r="S565" s="7">
        <f>'1 datos preparados'!R558</f>
        <v/>
      </c>
      <c r="T565" s="7">
        <f>'1 datos preparados'!S558</f>
        <v/>
      </c>
      <c r="U565" s="7">
        <f>'1 datos preparados'!T558</f>
        <v/>
      </c>
      <c r="V565" s="8">
        <f>$AE$12+D565*$AE$13+E565*$AE$14+F565*$AE$15+G565*$AE$16+H565*$AE$17+I565*$AE$18+J565*$AE$19+K565*$AE$20+L565*$AE$21+M565*$AE$22+N565*$AE$23+O565*$AE$24+P565*$AE$25+Q565*$AE$26+R565*$AE$27+S565*$AE$28+T565*$AE$29+U565*$AE$30</f>
        <v/>
      </c>
      <c r="W565" s="8">
        <f>1/(1+EXP(-V565))</f>
        <v/>
      </c>
      <c r="X565" s="9">
        <f>-IF(C565=1,LN(W565),LN(1-W565))</f>
        <v/>
      </c>
      <c r="Y565" s="8">
        <f>'1 datos preparados'!V558</f>
        <v/>
      </c>
      <c r="Z565" s="9">
        <f>Y565*X565</f>
        <v/>
      </c>
      <c r="AA565" s="10">
        <f>IF(W565&gt;$AE$33,1,0)</f>
        <v/>
      </c>
      <c r="AB565">
        <f>IF(AA565=C565,1,0)</f>
        <v/>
      </c>
    </row>
    <row r="566">
      <c r="A566">
        <f>'1 datos preparados'!A559</f>
        <v/>
      </c>
      <c r="B566" s="5">
        <f>'1 datos preparados'!U559</f>
        <v/>
      </c>
      <c r="C566">
        <f>'1 datos preparados'!B559</f>
        <v/>
      </c>
      <c r="D566" s="7">
        <f>'1 datos preparados'!C559</f>
        <v/>
      </c>
      <c r="E566" s="7">
        <f>'1 datos preparados'!D559</f>
        <v/>
      </c>
      <c r="F566" s="7">
        <f>'1 datos preparados'!E559</f>
        <v/>
      </c>
      <c r="G566" s="7">
        <f>'1 datos preparados'!F559</f>
        <v/>
      </c>
      <c r="H566" s="7">
        <f>'1 datos preparados'!G559</f>
        <v/>
      </c>
      <c r="I566" s="7">
        <f>'1 datos preparados'!H559</f>
        <v/>
      </c>
      <c r="J566" s="7">
        <f>'1 datos preparados'!I559</f>
        <v/>
      </c>
      <c r="K566" s="7">
        <f>'1 datos preparados'!J559</f>
        <v/>
      </c>
      <c r="L566" s="7">
        <f>'1 datos preparados'!K559</f>
        <v/>
      </c>
      <c r="M566" s="7">
        <f>'1 datos preparados'!L559</f>
        <v/>
      </c>
      <c r="N566" s="7">
        <f>'1 datos preparados'!M559</f>
        <v/>
      </c>
      <c r="O566" s="7">
        <f>'1 datos preparados'!N559</f>
        <v/>
      </c>
      <c r="P566" s="7">
        <f>'1 datos preparados'!O559</f>
        <v/>
      </c>
      <c r="Q566" s="7">
        <f>'1 datos preparados'!P559</f>
        <v/>
      </c>
      <c r="R566" s="7">
        <f>'1 datos preparados'!Q559</f>
        <v/>
      </c>
      <c r="S566" s="7">
        <f>'1 datos preparados'!R559</f>
        <v/>
      </c>
      <c r="T566" s="7">
        <f>'1 datos preparados'!S559</f>
        <v/>
      </c>
      <c r="U566" s="7">
        <f>'1 datos preparados'!T559</f>
        <v/>
      </c>
      <c r="V566" s="8">
        <f>$AE$12+D566*$AE$13+E566*$AE$14+F566*$AE$15+G566*$AE$16+H566*$AE$17+I566*$AE$18+J566*$AE$19+K566*$AE$20+L566*$AE$21+M566*$AE$22+N566*$AE$23+O566*$AE$24+P566*$AE$25+Q566*$AE$26+R566*$AE$27+S566*$AE$28+T566*$AE$29+U566*$AE$30</f>
        <v/>
      </c>
      <c r="W566" s="8">
        <f>1/(1+EXP(-V566))</f>
        <v/>
      </c>
      <c r="X566" s="9">
        <f>-IF(C566=1,LN(W566),LN(1-W566))</f>
        <v/>
      </c>
      <c r="Y566" s="8">
        <f>'1 datos preparados'!V559</f>
        <v/>
      </c>
      <c r="Z566" s="9">
        <f>Y566*X566</f>
        <v/>
      </c>
      <c r="AA566" s="10">
        <f>IF(W566&gt;$AE$33,1,0)</f>
        <v/>
      </c>
      <c r="AB566">
        <f>IF(AA566=C566,1,0)</f>
        <v/>
      </c>
    </row>
    <row r="567">
      <c r="A567">
        <f>'1 datos preparados'!A560</f>
        <v/>
      </c>
      <c r="B567" s="5">
        <f>'1 datos preparados'!U560</f>
        <v/>
      </c>
      <c r="C567">
        <f>'1 datos preparados'!B560</f>
        <v/>
      </c>
      <c r="D567" s="7">
        <f>'1 datos preparados'!C560</f>
        <v/>
      </c>
      <c r="E567" s="7">
        <f>'1 datos preparados'!D560</f>
        <v/>
      </c>
      <c r="F567" s="7">
        <f>'1 datos preparados'!E560</f>
        <v/>
      </c>
      <c r="G567" s="7">
        <f>'1 datos preparados'!F560</f>
        <v/>
      </c>
      <c r="H567" s="7">
        <f>'1 datos preparados'!G560</f>
        <v/>
      </c>
      <c r="I567" s="7">
        <f>'1 datos preparados'!H560</f>
        <v/>
      </c>
      <c r="J567" s="7">
        <f>'1 datos preparados'!I560</f>
        <v/>
      </c>
      <c r="K567" s="7">
        <f>'1 datos preparados'!J560</f>
        <v/>
      </c>
      <c r="L567" s="7">
        <f>'1 datos preparados'!K560</f>
        <v/>
      </c>
      <c r="M567" s="7">
        <f>'1 datos preparados'!L560</f>
        <v/>
      </c>
      <c r="N567" s="7">
        <f>'1 datos preparados'!M560</f>
        <v/>
      </c>
      <c r="O567" s="7">
        <f>'1 datos preparados'!N560</f>
        <v/>
      </c>
      <c r="P567" s="7">
        <f>'1 datos preparados'!O560</f>
        <v/>
      </c>
      <c r="Q567" s="7">
        <f>'1 datos preparados'!P560</f>
        <v/>
      </c>
      <c r="R567" s="7">
        <f>'1 datos preparados'!Q560</f>
        <v/>
      </c>
      <c r="S567" s="7">
        <f>'1 datos preparados'!R560</f>
        <v/>
      </c>
      <c r="T567" s="7">
        <f>'1 datos preparados'!S560</f>
        <v/>
      </c>
      <c r="U567" s="7">
        <f>'1 datos preparados'!T560</f>
        <v/>
      </c>
      <c r="V567" s="8">
        <f>$AE$12+D567*$AE$13+E567*$AE$14+F567*$AE$15+G567*$AE$16+H567*$AE$17+I567*$AE$18+J567*$AE$19+K567*$AE$20+L567*$AE$21+M567*$AE$22+N567*$AE$23+O567*$AE$24+P567*$AE$25+Q567*$AE$26+R567*$AE$27+S567*$AE$28+T567*$AE$29+U567*$AE$30</f>
        <v/>
      </c>
      <c r="W567" s="8">
        <f>1/(1+EXP(-V567))</f>
        <v/>
      </c>
      <c r="X567" s="9">
        <f>-IF(C567=1,LN(W567),LN(1-W567))</f>
        <v/>
      </c>
      <c r="Y567" s="8">
        <f>'1 datos preparados'!V560</f>
        <v/>
      </c>
      <c r="Z567" s="9">
        <f>Y567*X567</f>
        <v/>
      </c>
      <c r="AA567" s="10">
        <f>IF(W567&gt;$AE$33,1,0)</f>
        <v/>
      </c>
      <c r="AB567">
        <f>IF(AA567=C567,1,0)</f>
        <v/>
      </c>
    </row>
    <row r="568">
      <c r="A568">
        <f>'1 datos preparados'!A561</f>
        <v/>
      </c>
      <c r="B568" s="5">
        <f>'1 datos preparados'!U561</f>
        <v/>
      </c>
      <c r="C568">
        <f>'1 datos preparados'!B561</f>
        <v/>
      </c>
      <c r="D568" s="7">
        <f>'1 datos preparados'!C561</f>
        <v/>
      </c>
      <c r="E568" s="7">
        <f>'1 datos preparados'!D561</f>
        <v/>
      </c>
      <c r="F568" s="7">
        <f>'1 datos preparados'!E561</f>
        <v/>
      </c>
      <c r="G568" s="7">
        <f>'1 datos preparados'!F561</f>
        <v/>
      </c>
      <c r="H568" s="7">
        <f>'1 datos preparados'!G561</f>
        <v/>
      </c>
      <c r="I568" s="7">
        <f>'1 datos preparados'!H561</f>
        <v/>
      </c>
      <c r="J568" s="7">
        <f>'1 datos preparados'!I561</f>
        <v/>
      </c>
      <c r="K568" s="7">
        <f>'1 datos preparados'!J561</f>
        <v/>
      </c>
      <c r="L568" s="7">
        <f>'1 datos preparados'!K561</f>
        <v/>
      </c>
      <c r="M568" s="7">
        <f>'1 datos preparados'!L561</f>
        <v/>
      </c>
      <c r="N568" s="7">
        <f>'1 datos preparados'!M561</f>
        <v/>
      </c>
      <c r="O568" s="7">
        <f>'1 datos preparados'!N561</f>
        <v/>
      </c>
      <c r="P568" s="7">
        <f>'1 datos preparados'!O561</f>
        <v/>
      </c>
      <c r="Q568" s="7">
        <f>'1 datos preparados'!P561</f>
        <v/>
      </c>
      <c r="R568" s="7">
        <f>'1 datos preparados'!Q561</f>
        <v/>
      </c>
      <c r="S568" s="7">
        <f>'1 datos preparados'!R561</f>
        <v/>
      </c>
      <c r="T568" s="7">
        <f>'1 datos preparados'!S561</f>
        <v/>
      </c>
      <c r="U568" s="7">
        <f>'1 datos preparados'!T561</f>
        <v/>
      </c>
      <c r="V568" s="8">
        <f>$AE$12+D568*$AE$13+E568*$AE$14+F568*$AE$15+G568*$AE$16+H568*$AE$17+I568*$AE$18+J568*$AE$19+K568*$AE$20+L568*$AE$21+M568*$AE$22+N568*$AE$23+O568*$AE$24+P568*$AE$25+Q568*$AE$26+R568*$AE$27+S568*$AE$28+T568*$AE$29+U568*$AE$30</f>
        <v/>
      </c>
      <c r="W568" s="8">
        <f>1/(1+EXP(-V568))</f>
        <v/>
      </c>
      <c r="X568" s="9">
        <f>-IF(C568=1,LN(W568),LN(1-W568))</f>
        <v/>
      </c>
      <c r="Y568" s="8">
        <f>'1 datos preparados'!V561</f>
        <v/>
      </c>
      <c r="Z568" s="9">
        <f>Y568*X568</f>
        <v/>
      </c>
      <c r="AA568" s="10">
        <f>IF(W568&gt;$AE$33,1,0)</f>
        <v/>
      </c>
      <c r="AB568">
        <f>IF(AA568=C568,1,0)</f>
        <v/>
      </c>
    </row>
    <row r="569">
      <c r="A569">
        <f>'1 datos preparados'!A562</f>
        <v/>
      </c>
      <c r="B569" s="5">
        <f>'1 datos preparados'!U562</f>
        <v/>
      </c>
      <c r="C569">
        <f>'1 datos preparados'!B562</f>
        <v/>
      </c>
      <c r="D569" s="7">
        <f>'1 datos preparados'!C562</f>
        <v/>
      </c>
      <c r="E569" s="7">
        <f>'1 datos preparados'!D562</f>
        <v/>
      </c>
      <c r="F569" s="7">
        <f>'1 datos preparados'!E562</f>
        <v/>
      </c>
      <c r="G569" s="7">
        <f>'1 datos preparados'!F562</f>
        <v/>
      </c>
      <c r="H569" s="7">
        <f>'1 datos preparados'!G562</f>
        <v/>
      </c>
      <c r="I569" s="7">
        <f>'1 datos preparados'!H562</f>
        <v/>
      </c>
      <c r="J569" s="7">
        <f>'1 datos preparados'!I562</f>
        <v/>
      </c>
      <c r="K569" s="7">
        <f>'1 datos preparados'!J562</f>
        <v/>
      </c>
      <c r="L569" s="7">
        <f>'1 datos preparados'!K562</f>
        <v/>
      </c>
      <c r="M569" s="7">
        <f>'1 datos preparados'!L562</f>
        <v/>
      </c>
      <c r="N569" s="7">
        <f>'1 datos preparados'!M562</f>
        <v/>
      </c>
      <c r="O569" s="7">
        <f>'1 datos preparados'!N562</f>
        <v/>
      </c>
      <c r="P569" s="7">
        <f>'1 datos preparados'!O562</f>
        <v/>
      </c>
      <c r="Q569" s="7">
        <f>'1 datos preparados'!P562</f>
        <v/>
      </c>
      <c r="R569" s="7">
        <f>'1 datos preparados'!Q562</f>
        <v/>
      </c>
      <c r="S569" s="7">
        <f>'1 datos preparados'!R562</f>
        <v/>
      </c>
      <c r="T569" s="7">
        <f>'1 datos preparados'!S562</f>
        <v/>
      </c>
      <c r="U569" s="7">
        <f>'1 datos preparados'!T562</f>
        <v/>
      </c>
      <c r="V569" s="8">
        <f>$AE$12+D569*$AE$13+E569*$AE$14+F569*$AE$15+G569*$AE$16+H569*$AE$17+I569*$AE$18+J569*$AE$19+K569*$AE$20+L569*$AE$21+M569*$AE$22+N569*$AE$23+O569*$AE$24+P569*$AE$25+Q569*$AE$26+R569*$AE$27+S569*$AE$28+T569*$AE$29+U569*$AE$30</f>
        <v/>
      </c>
      <c r="W569" s="8">
        <f>1/(1+EXP(-V569))</f>
        <v/>
      </c>
      <c r="X569" s="9">
        <f>-IF(C569=1,LN(W569),LN(1-W569))</f>
        <v/>
      </c>
      <c r="Y569" s="8">
        <f>'1 datos preparados'!V562</f>
        <v/>
      </c>
      <c r="Z569" s="9">
        <f>Y569*X569</f>
        <v/>
      </c>
      <c r="AA569" s="10">
        <f>IF(W569&gt;$AE$33,1,0)</f>
        <v/>
      </c>
      <c r="AB569">
        <f>IF(AA569=C569,1,0)</f>
        <v/>
      </c>
    </row>
    <row r="570">
      <c r="A570">
        <f>'1 datos preparados'!A563</f>
        <v/>
      </c>
      <c r="B570" s="5">
        <f>'1 datos preparados'!U563</f>
        <v/>
      </c>
      <c r="C570">
        <f>'1 datos preparados'!B563</f>
        <v/>
      </c>
      <c r="D570" s="7">
        <f>'1 datos preparados'!C563</f>
        <v/>
      </c>
      <c r="E570" s="7">
        <f>'1 datos preparados'!D563</f>
        <v/>
      </c>
      <c r="F570" s="7">
        <f>'1 datos preparados'!E563</f>
        <v/>
      </c>
      <c r="G570" s="7">
        <f>'1 datos preparados'!F563</f>
        <v/>
      </c>
      <c r="H570" s="7">
        <f>'1 datos preparados'!G563</f>
        <v/>
      </c>
      <c r="I570" s="7">
        <f>'1 datos preparados'!H563</f>
        <v/>
      </c>
      <c r="J570" s="7">
        <f>'1 datos preparados'!I563</f>
        <v/>
      </c>
      <c r="K570" s="7">
        <f>'1 datos preparados'!J563</f>
        <v/>
      </c>
      <c r="L570" s="7">
        <f>'1 datos preparados'!K563</f>
        <v/>
      </c>
      <c r="M570" s="7">
        <f>'1 datos preparados'!L563</f>
        <v/>
      </c>
      <c r="N570" s="7">
        <f>'1 datos preparados'!M563</f>
        <v/>
      </c>
      <c r="O570" s="7">
        <f>'1 datos preparados'!N563</f>
        <v/>
      </c>
      <c r="P570" s="7">
        <f>'1 datos preparados'!O563</f>
        <v/>
      </c>
      <c r="Q570" s="7">
        <f>'1 datos preparados'!P563</f>
        <v/>
      </c>
      <c r="R570" s="7">
        <f>'1 datos preparados'!Q563</f>
        <v/>
      </c>
      <c r="S570" s="7">
        <f>'1 datos preparados'!R563</f>
        <v/>
      </c>
      <c r="T570" s="7">
        <f>'1 datos preparados'!S563</f>
        <v/>
      </c>
      <c r="U570" s="7">
        <f>'1 datos preparados'!T563</f>
        <v/>
      </c>
      <c r="V570" s="8">
        <f>$AE$12+D570*$AE$13+E570*$AE$14+F570*$AE$15+G570*$AE$16+H570*$AE$17+I570*$AE$18+J570*$AE$19+K570*$AE$20+L570*$AE$21+M570*$AE$22+N570*$AE$23+O570*$AE$24+P570*$AE$25+Q570*$AE$26+R570*$AE$27+S570*$AE$28+T570*$AE$29+U570*$AE$30</f>
        <v/>
      </c>
      <c r="W570" s="8">
        <f>1/(1+EXP(-V570))</f>
        <v/>
      </c>
      <c r="X570" s="9">
        <f>-IF(C570=1,LN(W570),LN(1-W570))</f>
        <v/>
      </c>
      <c r="Y570" s="8">
        <f>'1 datos preparados'!V563</f>
        <v/>
      </c>
      <c r="Z570" s="9">
        <f>Y570*X570</f>
        <v/>
      </c>
      <c r="AA570" s="10">
        <f>IF(W570&gt;$AE$33,1,0)</f>
        <v/>
      </c>
      <c r="AB570">
        <f>IF(AA570=C570,1,0)</f>
        <v/>
      </c>
    </row>
    <row r="571">
      <c r="A571">
        <f>'1 datos preparados'!A564</f>
        <v/>
      </c>
      <c r="B571" s="5">
        <f>'1 datos preparados'!U564</f>
        <v/>
      </c>
      <c r="C571">
        <f>'1 datos preparados'!B564</f>
        <v/>
      </c>
      <c r="D571" s="7">
        <f>'1 datos preparados'!C564</f>
        <v/>
      </c>
      <c r="E571" s="7">
        <f>'1 datos preparados'!D564</f>
        <v/>
      </c>
      <c r="F571" s="7">
        <f>'1 datos preparados'!E564</f>
        <v/>
      </c>
      <c r="G571" s="7">
        <f>'1 datos preparados'!F564</f>
        <v/>
      </c>
      <c r="H571" s="7">
        <f>'1 datos preparados'!G564</f>
        <v/>
      </c>
      <c r="I571" s="7">
        <f>'1 datos preparados'!H564</f>
        <v/>
      </c>
      <c r="J571" s="7">
        <f>'1 datos preparados'!I564</f>
        <v/>
      </c>
      <c r="K571" s="7">
        <f>'1 datos preparados'!J564</f>
        <v/>
      </c>
      <c r="L571" s="7">
        <f>'1 datos preparados'!K564</f>
        <v/>
      </c>
      <c r="M571" s="7">
        <f>'1 datos preparados'!L564</f>
        <v/>
      </c>
      <c r="N571" s="7">
        <f>'1 datos preparados'!M564</f>
        <v/>
      </c>
      <c r="O571" s="7">
        <f>'1 datos preparados'!N564</f>
        <v/>
      </c>
      <c r="P571" s="7">
        <f>'1 datos preparados'!O564</f>
        <v/>
      </c>
      <c r="Q571" s="7">
        <f>'1 datos preparados'!P564</f>
        <v/>
      </c>
      <c r="R571" s="7">
        <f>'1 datos preparados'!Q564</f>
        <v/>
      </c>
      <c r="S571" s="7">
        <f>'1 datos preparados'!R564</f>
        <v/>
      </c>
      <c r="T571" s="7">
        <f>'1 datos preparados'!S564</f>
        <v/>
      </c>
      <c r="U571" s="7">
        <f>'1 datos preparados'!T564</f>
        <v/>
      </c>
      <c r="V571" s="8">
        <f>$AE$12+D571*$AE$13+E571*$AE$14+F571*$AE$15+G571*$AE$16+H571*$AE$17+I571*$AE$18+J571*$AE$19+K571*$AE$20+L571*$AE$21+M571*$AE$22+N571*$AE$23+O571*$AE$24+P571*$AE$25+Q571*$AE$26+R571*$AE$27+S571*$AE$28+T571*$AE$29+U571*$AE$30</f>
        <v/>
      </c>
      <c r="W571" s="8">
        <f>1/(1+EXP(-V571))</f>
        <v/>
      </c>
      <c r="X571" s="9">
        <f>-IF(C571=1,LN(W571),LN(1-W571))</f>
        <v/>
      </c>
      <c r="Y571" s="8">
        <f>'1 datos preparados'!V564</f>
        <v/>
      </c>
      <c r="Z571" s="9">
        <f>Y571*X571</f>
        <v/>
      </c>
      <c r="AA571" s="10">
        <f>IF(W571&gt;$AE$33,1,0)</f>
        <v/>
      </c>
      <c r="AB571">
        <f>IF(AA571=C571,1,0)</f>
        <v/>
      </c>
    </row>
    <row r="572">
      <c r="A572">
        <f>'1 datos preparados'!A565</f>
        <v/>
      </c>
      <c r="B572" s="5">
        <f>'1 datos preparados'!U565</f>
        <v/>
      </c>
      <c r="C572">
        <f>'1 datos preparados'!B565</f>
        <v/>
      </c>
      <c r="D572" s="7">
        <f>'1 datos preparados'!C565</f>
        <v/>
      </c>
      <c r="E572" s="7">
        <f>'1 datos preparados'!D565</f>
        <v/>
      </c>
      <c r="F572" s="7">
        <f>'1 datos preparados'!E565</f>
        <v/>
      </c>
      <c r="G572" s="7">
        <f>'1 datos preparados'!F565</f>
        <v/>
      </c>
      <c r="H572" s="7">
        <f>'1 datos preparados'!G565</f>
        <v/>
      </c>
      <c r="I572" s="7">
        <f>'1 datos preparados'!H565</f>
        <v/>
      </c>
      <c r="J572" s="7">
        <f>'1 datos preparados'!I565</f>
        <v/>
      </c>
      <c r="K572" s="7">
        <f>'1 datos preparados'!J565</f>
        <v/>
      </c>
      <c r="L572" s="7">
        <f>'1 datos preparados'!K565</f>
        <v/>
      </c>
      <c r="M572" s="7">
        <f>'1 datos preparados'!L565</f>
        <v/>
      </c>
      <c r="N572" s="7">
        <f>'1 datos preparados'!M565</f>
        <v/>
      </c>
      <c r="O572" s="7">
        <f>'1 datos preparados'!N565</f>
        <v/>
      </c>
      <c r="P572" s="7">
        <f>'1 datos preparados'!O565</f>
        <v/>
      </c>
      <c r="Q572" s="7">
        <f>'1 datos preparados'!P565</f>
        <v/>
      </c>
      <c r="R572" s="7">
        <f>'1 datos preparados'!Q565</f>
        <v/>
      </c>
      <c r="S572" s="7">
        <f>'1 datos preparados'!R565</f>
        <v/>
      </c>
      <c r="T572" s="7">
        <f>'1 datos preparados'!S565</f>
        <v/>
      </c>
      <c r="U572" s="7">
        <f>'1 datos preparados'!T565</f>
        <v/>
      </c>
      <c r="V572" s="8">
        <f>$AE$12+D572*$AE$13+E572*$AE$14+F572*$AE$15+G572*$AE$16+H572*$AE$17+I572*$AE$18+J572*$AE$19+K572*$AE$20+L572*$AE$21+M572*$AE$22+N572*$AE$23+O572*$AE$24+P572*$AE$25+Q572*$AE$26+R572*$AE$27+S572*$AE$28+T572*$AE$29+U572*$AE$30</f>
        <v/>
      </c>
      <c r="W572" s="8">
        <f>1/(1+EXP(-V572))</f>
        <v/>
      </c>
      <c r="X572" s="9">
        <f>-IF(C572=1,LN(W572),LN(1-W572))</f>
        <v/>
      </c>
      <c r="Y572" s="8">
        <f>'1 datos preparados'!V565</f>
        <v/>
      </c>
      <c r="Z572" s="9">
        <f>Y572*X572</f>
        <v/>
      </c>
      <c r="AA572" s="10">
        <f>IF(W572&gt;$AE$33,1,0)</f>
        <v/>
      </c>
      <c r="AB572">
        <f>IF(AA572=C572,1,0)</f>
        <v/>
      </c>
    </row>
    <row r="573">
      <c r="A573">
        <f>'1 datos preparados'!A566</f>
        <v/>
      </c>
      <c r="B573" s="5">
        <f>'1 datos preparados'!U566</f>
        <v/>
      </c>
      <c r="C573">
        <f>'1 datos preparados'!B566</f>
        <v/>
      </c>
      <c r="D573" s="7">
        <f>'1 datos preparados'!C566</f>
        <v/>
      </c>
      <c r="E573" s="7">
        <f>'1 datos preparados'!D566</f>
        <v/>
      </c>
      <c r="F573" s="7">
        <f>'1 datos preparados'!E566</f>
        <v/>
      </c>
      <c r="G573" s="7">
        <f>'1 datos preparados'!F566</f>
        <v/>
      </c>
      <c r="H573" s="7">
        <f>'1 datos preparados'!G566</f>
        <v/>
      </c>
      <c r="I573" s="7">
        <f>'1 datos preparados'!H566</f>
        <v/>
      </c>
      <c r="J573" s="7">
        <f>'1 datos preparados'!I566</f>
        <v/>
      </c>
      <c r="K573" s="7">
        <f>'1 datos preparados'!J566</f>
        <v/>
      </c>
      <c r="L573" s="7">
        <f>'1 datos preparados'!K566</f>
        <v/>
      </c>
      <c r="M573" s="7">
        <f>'1 datos preparados'!L566</f>
        <v/>
      </c>
      <c r="N573" s="7">
        <f>'1 datos preparados'!M566</f>
        <v/>
      </c>
      <c r="O573" s="7">
        <f>'1 datos preparados'!N566</f>
        <v/>
      </c>
      <c r="P573" s="7">
        <f>'1 datos preparados'!O566</f>
        <v/>
      </c>
      <c r="Q573" s="7">
        <f>'1 datos preparados'!P566</f>
        <v/>
      </c>
      <c r="R573" s="7">
        <f>'1 datos preparados'!Q566</f>
        <v/>
      </c>
      <c r="S573" s="7">
        <f>'1 datos preparados'!R566</f>
        <v/>
      </c>
      <c r="T573" s="7">
        <f>'1 datos preparados'!S566</f>
        <v/>
      </c>
      <c r="U573" s="7">
        <f>'1 datos preparados'!T566</f>
        <v/>
      </c>
      <c r="V573" s="8">
        <f>$AE$12+D573*$AE$13+E573*$AE$14+F573*$AE$15+G573*$AE$16+H573*$AE$17+I573*$AE$18+J573*$AE$19+K573*$AE$20+L573*$AE$21+M573*$AE$22+N573*$AE$23+O573*$AE$24+P573*$AE$25+Q573*$AE$26+R573*$AE$27+S573*$AE$28+T573*$AE$29+U573*$AE$30</f>
        <v/>
      </c>
      <c r="W573" s="8">
        <f>1/(1+EXP(-V573))</f>
        <v/>
      </c>
      <c r="X573" s="9">
        <f>-IF(C573=1,LN(W573),LN(1-W573))</f>
        <v/>
      </c>
      <c r="Y573" s="8">
        <f>'1 datos preparados'!V566</f>
        <v/>
      </c>
      <c r="Z573" s="9">
        <f>Y573*X573</f>
        <v/>
      </c>
      <c r="AA573" s="10">
        <f>IF(W573&gt;$AE$33,1,0)</f>
        <v/>
      </c>
      <c r="AB573">
        <f>IF(AA573=C573,1,0)</f>
        <v/>
      </c>
    </row>
    <row r="574">
      <c r="A574">
        <f>'1 datos preparados'!A567</f>
        <v/>
      </c>
      <c r="B574" s="5">
        <f>'1 datos preparados'!U567</f>
        <v/>
      </c>
      <c r="C574">
        <f>'1 datos preparados'!B567</f>
        <v/>
      </c>
      <c r="D574" s="7">
        <f>'1 datos preparados'!C567</f>
        <v/>
      </c>
      <c r="E574" s="7">
        <f>'1 datos preparados'!D567</f>
        <v/>
      </c>
      <c r="F574" s="7">
        <f>'1 datos preparados'!E567</f>
        <v/>
      </c>
      <c r="G574" s="7">
        <f>'1 datos preparados'!F567</f>
        <v/>
      </c>
      <c r="H574" s="7">
        <f>'1 datos preparados'!G567</f>
        <v/>
      </c>
      <c r="I574" s="7">
        <f>'1 datos preparados'!H567</f>
        <v/>
      </c>
      <c r="J574" s="7">
        <f>'1 datos preparados'!I567</f>
        <v/>
      </c>
      <c r="K574" s="7">
        <f>'1 datos preparados'!J567</f>
        <v/>
      </c>
      <c r="L574" s="7">
        <f>'1 datos preparados'!K567</f>
        <v/>
      </c>
      <c r="M574" s="7">
        <f>'1 datos preparados'!L567</f>
        <v/>
      </c>
      <c r="N574" s="7">
        <f>'1 datos preparados'!M567</f>
        <v/>
      </c>
      <c r="O574" s="7">
        <f>'1 datos preparados'!N567</f>
        <v/>
      </c>
      <c r="P574" s="7">
        <f>'1 datos preparados'!O567</f>
        <v/>
      </c>
      <c r="Q574" s="7">
        <f>'1 datos preparados'!P567</f>
        <v/>
      </c>
      <c r="R574" s="7">
        <f>'1 datos preparados'!Q567</f>
        <v/>
      </c>
      <c r="S574" s="7">
        <f>'1 datos preparados'!R567</f>
        <v/>
      </c>
      <c r="T574" s="7">
        <f>'1 datos preparados'!S567</f>
        <v/>
      </c>
      <c r="U574" s="7">
        <f>'1 datos preparados'!T567</f>
        <v/>
      </c>
      <c r="V574" s="8">
        <f>$AE$12+D574*$AE$13+E574*$AE$14+F574*$AE$15+G574*$AE$16+H574*$AE$17+I574*$AE$18+J574*$AE$19+K574*$AE$20+L574*$AE$21+M574*$AE$22+N574*$AE$23+O574*$AE$24+P574*$AE$25+Q574*$AE$26+R574*$AE$27+S574*$AE$28+T574*$AE$29+U574*$AE$30</f>
        <v/>
      </c>
      <c r="W574" s="8">
        <f>1/(1+EXP(-V574))</f>
        <v/>
      </c>
      <c r="X574" s="9">
        <f>-IF(C574=1,LN(W574),LN(1-W574))</f>
        <v/>
      </c>
      <c r="Y574" s="8">
        <f>'1 datos preparados'!V567</f>
        <v/>
      </c>
      <c r="Z574" s="9">
        <f>Y574*X574</f>
        <v/>
      </c>
      <c r="AA574" s="10">
        <f>IF(W574&gt;$AE$33,1,0)</f>
        <v/>
      </c>
      <c r="AB574">
        <f>IF(AA574=C574,1,0)</f>
        <v/>
      </c>
    </row>
    <row r="575">
      <c r="A575">
        <f>'1 datos preparados'!A568</f>
        <v/>
      </c>
      <c r="B575" s="5">
        <f>'1 datos preparados'!U568</f>
        <v/>
      </c>
      <c r="C575">
        <f>'1 datos preparados'!B568</f>
        <v/>
      </c>
      <c r="D575" s="7">
        <f>'1 datos preparados'!C568</f>
        <v/>
      </c>
      <c r="E575" s="7">
        <f>'1 datos preparados'!D568</f>
        <v/>
      </c>
      <c r="F575" s="7">
        <f>'1 datos preparados'!E568</f>
        <v/>
      </c>
      <c r="G575" s="7">
        <f>'1 datos preparados'!F568</f>
        <v/>
      </c>
      <c r="H575" s="7">
        <f>'1 datos preparados'!G568</f>
        <v/>
      </c>
      <c r="I575" s="7">
        <f>'1 datos preparados'!H568</f>
        <v/>
      </c>
      <c r="J575" s="7">
        <f>'1 datos preparados'!I568</f>
        <v/>
      </c>
      <c r="K575" s="7">
        <f>'1 datos preparados'!J568</f>
        <v/>
      </c>
      <c r="L575" s="7">
        <f>'1 datos preparados'!K568</f>
        <v/>
      </c>
      <c r="M575" s="7">
        <f>'1 datos preparados'!L568</f>
        <v/>
      </c>
      <c r="N575" s="7">
        <f>'1 datos preparados'!M568</f>
        <v/>
      </c>
      <c r="O575" s="7">
        <f>'1 datos preparados'!N568</f>
        <v/>
      </c>
      <c r="P575" s="7">
        <f>'1 datos preparados'!O568</f>
        <v/>
      </c>
      <c r="Q575" s="7">
        <f>'1 datos preparados'!P568</f>
        <v/>
      </c>
      <c r="R575" s="7">
        <f>'1 datos preparados'!Q568</f>
        <v/>
      </c>
      <c r="S575" s="7">
        <f>'1 datos preparados'!R568</f>
        <v/>
      </c>
      <c r="T575" s="7">
        <f>'1 datos preparados'!S568</f>
        <v/>
      </c>
      <c r="U575" s="7">
        <f>'1 datos preparados'!T568</f>
        <v/>
      </c>
      <c r="V575" s="8">
        <f>$AE$12+D575*$AE$13+E575*$AE$14+F575*$AE$15+G575*$AE$16+H575*$AE$17+I575*$AE$18+J575*$AE$19+K575*$AE$20+L575*$AE$21+M575*$AE$22+N575*$AE$23+O575*$AE$24+P575*$AE$25+Q575*$AE$26+R575*$AE$27+S575*$AE$28+T575*$AE$29+U575*$AE$30</f>
        <v/>
      </c>
      <c r="W575" s="8">
        <f>1/(1+EXP(-V575))</f>
        <v/>
      </c>
      <c r="X575" s="9">
        <f>-IF(C575=1,LN(W575),LN(1-W575))</f>
        <v/>
      </c>
      <c r="Y575" s="8">
        <f>'1 datos preparados'!V568</f>
        <v/>
      </c>
      <c r="Z575" s="9">
        <f>Y575*X575</f>
        <v/>
      </c>
      <c r="AA575" s="10">
        <f>IF(W575&gt;$AE$33,1,0)</f>
        <v/>
      </c>
      <c r="AB575">
        <f>IF(AA575=C575,1,0)</f>
        <v/>
      </c>
    </row>
    <row r="576">
      <c r="A576">
        <f>'1 datos preparados'!A569</f>
        <v/>
      </c>
      <c r="B576" s="5">
        <f>'1 datos preparados'!U569</f>
        <v/>
      </c>
      <c r="C576">
        <f>'1 datos preparados'!B569</f>
        <v/>
      </c>
      <c r="D576" s="7">
        <f>'1 datos preparados'!C569</f>
        <v/>
      </c>
      <c r="E576" s="7">
        <f>'1 datos preparados'!D569</f>
        <v/>
      </c>
      <c r="F576" s="7">
        <f>'1 datos preparados'!E569</f>
        <v/>
      </c>
      <c r="G576" s="7">
        <f>'1 datos preparados'!F569</f>
        <v/>
      </c>
      <c r="H576" s="7">
        <f>'1 datos preparados'!G569</f>
        <v/>
      </c>
      <c r="I576" s="7">
        <f>'1 datos preparados'!H569</f>
        <v/>
      </c>
      <c r="J576" s="7">
        <f>'1 datos preparados'!I569</f>
        <v/>
      </c>
      <c r="K576" s="7">
        <f>'1 datos preparados'!J569</f>
        <v/>
      </c>
      <c r="L576" s="7">
        <f>'1 datos preparados'!K569</f>
        <v/>
      </c>
      <c r="M576" s="7">
        <f>'1 datos preparados'!L569</f>
        <v/>
      </c>
      <c r="N576" s="7">
        <f>'1 datos preparados'!M569</f>
        <v/>
      </c>
      <c r="O576" s="7">
        <f>'1 datos preparados'!N569</f>
        <v/>
      </c>
      <c r="P576" s="7">
        <f>'1 datos preparados'!O569</f>
        <v/>
      </c>
      <c r="Q576" s="7">
        <f>'1 datos preparados'!P569</f>
        <v/>
      </c>
      <c r="R576" s="7">
        <f>'1 datos preparados'!Q569</f>
        <v/>
      </c>
      <c r="S576" s="7">
        <f>'1 datos preparados'!R569</f>
        <v/>
      </c>
      <c r="T576" s="7">
        <f>'1 datos preparados'!S569</f>
        <v/>
      </c>
      <c r="U576" s="7">
        <f>'1 datos preparados'!T569</f>
        <v/>
      </c>
      <c r="V576" s="8">
        <f>$AE$12+D576*$AE$13+E576*$AE$14+F576*$AE$15+G576*$AE$16+H576*$AE$17+I576*$AE$18+J576*$AE$19+K576*$AE$20+L576*$AE$21+M576*$AE$22+N576*$AE$23+O576*$AE$24+P576*$AE$25+Q576*$AE$26+R576*$AE$27+S576*$AE$28+T576*$AE$29+U576*$AE$30</f>
        <v/>
      </c>
      <c r="W576" s="8">
        <f>1/(1+EXP(-V576))</f>
        <v/>
      </c>
      <c r="X576" s="9">
        <f>-IF(C576=1,LN(W576),LN(1-W576))</f>
        <v/>
      </c>
      <c r="Y576" s="8">
        <f>'1 datos preparados'!V569</f>
        <v/>
      </c>
      <c r="Z576" s="9">
        <f>Y576*X576</f>
        <v/>
      </c>
      <c r="AA576" s="10">
        <f>IF(W576&gt;$AE$33,1,0)</f>
        <v/>
      </c>
      <c r="AB576">
        <f>IF(AA576=C576,1,0)</f>
        <v/>
      </c>
    </row>
    <row r="577">
      <c r="A577">
        <f>'1 datos preparados'!A570</f>
        <v/>
      </c>
      <c r="B577" s="5">
        <f>'1 datos preparados'!U570</f>
        <v/>
      </c>
      <c r="C577">
        <f>'1 datos preparados'!B570</f>
        <v/>
      </c>
      <c r="D577" s="7">
        <f>'1 datos preparados'!C570</f>
        <v/>
      </c>
      <c r="E577" s="7">
        <f>'1 datos preparados'!D570</f>
        <v/>
      </c>
      <c r="F577" s="7">
        <f>'1 datos preparados'!E570</f>
        <v/>
      </c>
      <c r="G577" s="7">
        <f>'1 datos preparados'!F570</f>
        <v/>
      </c>
      <c r="H577" s="7">
        <f>'1 datos preparados'!G570</f>
        <v/>
      </c>
      <c r="I577" s="7">
        <f>'1 datos preparados'!H570</f>
        <v/>
      </c>
      <c r="J577" s="7">
        <f>'1 datos preparados'!I570</f>
        <v/>
      </c>
      <c r="K577" s="7">
        <f>'1 datos preparados'!J570</f>
        <v/>
      </c>
      <c r="L577" s="7">
        <f>'1 datos preparados'!K570</f>
        <v/>
      </c>
      <c r="M577" s="7">
        <f>'1 datos preparados'!L570</f>
        <v/>
      </c>
      <c r="N577" s="7">
        <f>'1 datos preparados'!M570</f>
        <v/>
      </c>
      <c r="O577" s="7">
        <f>'1 datos preparados'!N570</f>
        <v/>
      </c>
      <c r="P577" s="7">
        <f>'1 datos preparados'!O570</f>
        <v/>
      </c>
      <c r="Q577" s="7">
        <f>'1 datos preparados'!P570</f>
        <v/>
      </c>
      <c r="R577" s="7">
        <f>'1 datos preparados'!Q570</f>
        <v/>
      </c>
      <c r="S577" s="7">
        <f>'1 datos preparados'!R570</f>
        <v/>
      </c>
      <c r="T577" s="7">
        <f>'1 datos preparados'!S570</f>
        <v/>
      </c>
      <c r="U577" s="7">
        <f>'1 datos preparados'!T570</f>
        <v/>
      </c>
      <c r="V577" s="8">
        <f>$AE$12+D577*$AE$13+E577*$AE$14+F577*$AE$15+G577*$AE$16+H577*$AE$17+I577*$AE$18+J577*$AE$19+K577*$AE$20+L577*$AE$21+M577*$AE$22+N577*$AE$23+O577*$AE$24+P577*$AE$25+Q577*$AE$26+R577*$AE$27+S577*$AE$28+T577*$AE$29+U577*$AE$30</f>
        <v/>
      </c>
      <c r="W577" s="8">
        <f>1/(1+EXP(-V577))</f>
        <v/>
      </c>
      <c r="X577" s="9">
        <f>-IF(C577=1,LN(W577),LN(1-W577))</f>
        <v/>
      </c>
      <c r="Y577" s="8">
        <f>'1 datos preparados'!V570</f>
        <v/>
      </c>
      <c r="Z577" s="9">
        <f>Y577*X577</f>
        <v/>
      </c>
      <c r="AA577" s="10">
        <f>IF(W577&gt;$AE$33,1,0)</f>
        <v/>
      </c>
      <c r="AB577">
        <f>IF(AA577=C577,1,0)</f>
        <v/>
      </c>
    </row>
    <row r="578">
      <c r="A578">
        <f>'1 datos preparados'!A571</f>
        <v/>
      </c>
      <c r="B578" s="5">
        <f>'1 datos preparados'!U571</f>
        <v/>
      </c>
      <c r="C578">
        <f>'1 datos preparados'!B571</f>
        <v/>
      </c>
      <c r="D578" s="7">
        <f>'1 datos preparados'!C571</f>
        <v/>
      </c>
      <c r="E578" s="7">
        <f>'1 datos preparados'!D571</f>
        <v/>
      </c>
      <c r="F578" s="7">
        <f>'1 datos preparados'!E571</f>
        <v/>
      </c>
      <c r="G578" s="7">
        <f>'1 datos preparados'!F571</f>
        <v/>
      </c>
      <c r="H578" s="7">
        <f>'1 datos preparados'!G571</f>
        <v/>
      </c>
      <c r="I578" s="7">
        <f>'1 datos preparados'!H571</f>
        <v/>
      </c>
      <c r="J578" s="7">
        <f>'1 datos preparados'!I571</f>
        <v/>
      </c>
      <c r="K578" s="7">
        <f>'1 datos preparados'!J571</f>
        <v/>
      </c>
      <c r="L578" s="7">
        <f>'1 datos preparados'!K571</f>
        <v/>
      </c>
      <c r="M578" s="7">
        <f>'1 datos preparados'!L571</f>
        <v/>
      </c>
      <c r="N578" s="7">
        <f>'1 datos preparados'!M571</f>
        <v/>
      </c>
      <c r="O578" s="7">
        <f>'1 datos preparados'!N571</f>
        <v/>
      </c>
      <c r="P578" s="7">
        <f>'1 datos preparados'!O571</f>
        <v/>
      </c>
      <c r="Q578" s="7">
        <f>'1 datos preparados'!P571</f>
        <v/>
      </c>
      <c r="R578" s="7">
        <f>'1 datos preparados'!Q571</f>
        <v/>
      </c>
      <c r="S578" s="7">
        <f>'1 datos preparados'!R571</f>
        <v/>
      </c>
      <c r="T578" s="7">
        <f>'1 datos preparados'!S571</f>
        <v/>
      </c>
      <c r="U578" s="7">
        <f>'1 datos preparados'!T571</f>
        <v/>
      </c>
      <c r="V578" s="8">
        <f>$AE$12+D578*$AE$13+E578*$AE$14+F578*$AE$15+G578*$AE$16+H578*$AE$17+I578*$AE$18+J578*$AE$19+K578*$AE$20+L578*$AE$21+M578*$AE$22+N578*$AE$23+O578*$AE$24+P578*$AE$25+Q578*$AE$26+R578*$AE$27+S578*$AE$28+T578*$AE$29+U578*$AE$30</f>
        <v/>
      </c>
      <c r="W578" s="8">
        <f>1/(1+EXP(-V578))</f>
        <v/>
      </c>
      <c r="X578" s="9">
        <f>-IF(C578=1,LN(W578),LN(1-W578))</f>
        <v/>
      </c>
      <c r="Y578" s="8">
        <f>'1 datos preparados'!V571</f>
        <v/>
      </c>
      <c r="Z578" s="9">
        <f>Y578*X578</f>
        <v/>
      </c>
      <c r="AA578" s="10">
        <f>IF(W578&gt;$AE$33,1,0)</f>
        <v/>
      </c>
      <c r="AB578">
        <f>IF(AA578=C578,1,0)</f>
        <v/>
      </c>
    </row>
    <row r="579">
      <c r="A579">
        <f>'1 datos preparados'!A572</f>
        <v/>
      </c>
      <c r="B579" s="5">
        <f>'1 datos preparados'!U572</f>
        <v/>
      </c>
      <c r="C579">
        <f>'1 datos preparados'!B572</f>
        <v/>
      </c>
      <c r="D579" s="7">
        <f>'1 datos preparados'!C572</f>
        <v/>
      </c>
      <c r="E579" s="7">
        <f>'1 datos preparados'!D572</f>
        <v/>
      </c>
      <c r="F579" s="7">
        <f>'1 datos preparados'!E572</f>
        <v/>
      </c>
      <c r="G579" s="7">
        <f>'1 datos preparados'!F572</f>
        <v/>
      </c>
      <c r="H579" s="7">
        <f>'1 datos preparados'!G572</f>
        <v/>
      </c>
      <c r="I579" s="7">
        <f>'1 datos preparados'!H572</f>
        <v/>
      </c>
      <c r="J579" s="7">
        <f>'1 datos preparados'!I572</f>
        <v/>
      </c>
      <c r="K579" s="7">
        <f>'1 datos preparados'!J572</f>
        <v/>
      </c>
      <c r="L579" s="7">
        <f>'1 datos preparados'!K572</f>
        <v/>
      </c>
      <c r="M579" s="7">
        <f>'1 datos preparados'!L572</f>
        <v/>
      </c>
      <c r="N579" s="7">
        <f>'1 datos preparados'!M572</f>
        <v/>
      </c>
      <c r="O579" s="7">
        <f>'1 datos preparados'!N572</f>
        <v/>
      </c>
      <c r="P579" s="7">
        <f>'1 datos preparados'!O572</f>
        <v/>
      </c>
      <c r="Q579" s="7">
        <f>'1 datos preparados'!P572</f>
        <v/>
      </c>
      <c r="R579" s="7">
        <f>'1 datos preparados'!Q572</f>
        <v/>
      </c>
      <c r="S579" s="7">
        <f>'1 datos preparados'!R572</f>
        <v/>
      </c>
      <c r="T579" s="7">
        <f>'1 datos preparados'!S572</f>
        <v/>
      </c>
      <c r="U579" s="7">
        <f>'1 datos preparados'!T572</f>
        <v/>
      </c>
      <c r="V579" s="8">
        <f>$AE$12+D579*$AE$13+E579*$AE$14+F579*$AE$15+G579*$AE$16+H579*$AE$17+I579*$AE$18+J579*$AE$19+K579*$AE$20+L579*$AE$21+M579*$AE$22+N579*$AE$23+O579*$AE$24+P579*$AE$25+Q579*$AE$26+R579*$AE$27+S579*$AE$28+T579*$AE$29+U579*$AE$30</f>
        <v/>
      </c>
      <c r="W579" s="8">
        <f>1/(1+EXP(-V579))</f>
        <v/>
      </c>
      <c r="X579" s="9">
        <f>-IF(C579=1,LN(W579),LN(1-W579))</f>
        <v/>
      </c>
      <c r="Y579" s="8">
        <f>'1 datos preparados'!V572</f>
        <v/>
      </c>
      <c r="Z579" s="9">
        <f>Y579*X579</f>
        <v/>
      </c>
      <c r="AA579" s="10">
        <f>IF(W579&gt;$AE$33,1,0)</f>
        <v/>
      </c>
      <c r="AB579">
        <f>IF(AA579=C579,1,0)</f>
        <v/>
      </c>
    </row>
    <row r="580">
      <c r="A580">
        <f>'1 datos preparados'!A573</f>
        <v/>
      </c>
      <c r="B580" s="5">
        <f>'1 datos preparados'!U573</f>
        <v/>
      </c>
      <c r="C580">
        <f>'1 datos preparados'!B573</f>
        <v/>
      </c>
      <c r="D580" s="7">
        <f>'1 datos preparados'!C573</f>
        <v/>
      </c>
      <c r="E580" s="7">
        <f>'1 datos preparados'!D573</f>
        <v/>
      </c>
      <c r="F580" s="7">
        <f>'1 datos preparados'!E573</f>
        <v/>
      </c>
      <c r="G580" s="7">
        <f>'1 datos preparados'!F573</f>
        <v/>
      </c>
      <c r="H580" s="7">
        <f>'1 datos preparados'!G573</f>
        <v/>
      </c>
      <c r="I580" s="7">
        <f>'1 datos preparados'!H573</f>
        <v/>
      </c>
      <c r="J580" s="7">
        <f>'1 datos preparados'!I573</f>
        <v/>
      </c>
      <c r="K580" s="7">
        <f>'1 datos preparados'!J573</f>
        <v/>
      </c>
      <c r="L580" s="7">
        <f>'1 datos preparados'!K573</f>
        <v/>
      </c>
      <c r="M580" s="7">
        <f>'1 datos preparados'!L573</f>
        <v/>
      </c>
      <c r="N580" s="7">
        <f>'1 datos preparados'!M573</f>
        <v/>
      </c>
      <c r="O580" s="7">
        <f>'1 datos preparados'!N573</f>
        <v/>
      </c>
      <c r="P580" s="7">
        <f>'1 datos preparados'!O573</f>
        <v/>
      </c>
      <c r="Q580" s="7">
        <f>'1 datos preparados'!P573</f>
        <v/>
      </c>
      <c r="R580" s="7">
        <f>'1 datos preparados'!Q573</f>
        <v/>
      </c>
      <c r="S580" s="7">
        <f>'1 datos preparados'!R573</f>
        <v/>
      </c>
      <c r="T580" s="7">
        <f>'1 datos preparados'!S573</f>
        <v/>
      </c>
      <c r="U580" s="7">
        <f>'1 datos preparados'!T573</f>
        <v/>
      </c>
      <c r="V580" s="8">
        <f>$AE$12+D580*$AE$13+E580*$AE$14+F580*$AE$15+G580*$AE$16+H580*$AE$17+I580*$AE$18+J580*$AE$19+K580*$AE$20+L580*$AE$21+M580*$AE$22+N580*$AE$23+O580*$AE$24+P580*$AE$25+Q580*$AE$26+R580*$AE$27+S580*$AE$28+T580*$AE$29+U580*$AE$30</f>
        <v/>
      </c>
      <c r="W580" s="8">
        <f>1/(1+EXP(-V580))</f>
        <v/>
      </c>
      <c r="X580" s="9">
        <f>-IF(C580=1,LN(W580),LN(1-W580))</f>
        <v/>
      </c>
      <c r="Y580" s="8">
        <f>'1 datos preparados'!V573</f>
        <v/>
      </c>
      <c r="Z580" s="9">
        <f>Y580*X580</f>
        <v/>
      </c>
      <c r="AA580" s="10">
        <f>IF(W580&gt;$AE$33,1,0)</f>
        <v/>
      </c>
      <c r="AB580">
        <f>IF(AA580=C580,1,0)</f>
        <v/>
      </c>
    </row>
    <row r="581">
      <c r="A581">
        <f>'1 datos preparados'!A574</f>
        <v/>
      </c>
      <c r="B581" s="5">
        <f>'1 datos preparados'!U574</f>
        <v/>
      </c>
      <c r="C581">
        <f>'1 datos preparados'!B574</f>
        <v/>
      </c>
      <c r="D581" s="7">
        <f>'1 datos preparados'!C574</f>
        <v/>
      </c>
      <c r="E581" s="7">
        <f>'1 datos preparados'!D574</f>
        <v/>
      </c>
      <c r="F581" s="7">
        <f>'1 datos preparados'!E574</f>
        <v/>
      </c>
      <c r="G581" s="7">
        <f>'1 datos preparados'!F574</f>
        <v/>
      </c>
      <c r="H581" s="7">
        <f>'1 datos preparados'!G574</f>
        <v/>
      </c>
      <c r="I581" s="7">
        <f>'1 datos preparados'!H574</f>
        <v/>
      </c>
      <c r="J581" s="7">
        <f>'1 datos preparados'!I574</f>
        <v/>
      </c>
      <c r="K581" s="7">
        <f>'1 datos preparados'!J574</f>
        <v/>
      </c>
      <c r="L581" s="7">
        <f>'1 datos preparados'!K574</f>
        <v/>
      </c>
      <c r="M581" s="7">
        <f>'1 datos preparados'!L574</f>
        <v/>
      </c>
      <c r="N581" s="7">
        <f>'1 datos preparados'!M574</f>
        <v/>
      </c>
      <c r="O581" s="7">
        <f>'1 datos preparados'!N574</f>
        <v/>
      </c>
      <c r="P581" s="7">
        <f>'1 datos preparados'!O574</f>
        <v/>
      </c>
      <c r="Q581" s="7">
        <f>'1 datos preparados'!P574</f>
        <v/>
      </c>
      <c r="R581" s="7">
        <f>'1 datos preparados'!Q574</f>
        <v/>
      </c>
      <c r="S581" s="7">
        <f>'1 datos preparados'!R574</f>
        <v/>
      </c>
      <c r="T581" s="7">
        <f>'1 datos preparados'!S574</f>
        <v/>
      </c>
      <c r="U581" s="7">
        <f>'1 datos preparados'!T574</f>
        <v/>
      </c>
      <c r="V581" s="8">
        <f>$AE$12+D581*$AE$13+E581*$AE$14+F581*$AE$15+G581*$AE$16+H581*$AE$17+I581*$AE$18+J581*$AE$19+K581*$AE$20+L581*$AE$21+M581*$AE$22+N581*$AE$23+O581*$AE$24+P581*$AE$25+Q581*$AE$26+R581*$AE$27+S581*$AE$28+T581*$AE$29+U581*$AE$30</f>
        <v/>
      </c>
      <c r="W581" s="8">
        <f>1/(1+EXP(-V581))</f>
        <v/>
      </c>
      <c r="X581" s="9">
        <f>-IF(C581=1,LN(W581),LN(1-W581))</f>
        <v/>
      </c>
      <c r="Y581" s="8">
        <f>'1 datos preparados'!V574</f>
        <v/>
      </c>
      <c r="Z581" s="9">
        <f>Y581*X581</f>
        <v/>
      </c>
      <c r="AA581" s="10">
        <f>IF(W581&gt;$AE$33,1,0)</f>
        <v/>
      </c>
      <c r="AB581">
        <f>IF(AA581=C581,1,0)</f>
        <v/>
      </c>
    </row>
    <row r="582">
      <c r="A582">
        <f>'1 datos preparados'!A575</f>
        <v/>
      </c>
      <c r="B582" s="5">
        <f>'1 datos preparados'!U575</f>
        <v/>
      </c>
      <c r="C582">
        <f>'1 datos preparados'!B575</f>
        <v/>
      </c>
      <c r="D582" s="7">
        <f>'1 datos preparados'!C575</f>
        <v/>
      </c>
      <c r="E582" s="7">
        <f>'1 datos preparados'!D575</f>
        <v/>
      </c>
      <c r="F582" s="7">
        <f>'1 datos preparados'!E575</f>
        <v/>
      </c>
      <c r="G582" s="7">
        <f>'1 datos preparados'!F575</f>
        <v/>
      </c>
      <c r="H582" s="7">
        <f>'1 datos preparados'!G575</f>
        <v/>
      </c>
      <c r="I582" s="7">
        <f>'1 datos preparados'!H575</f>
        <v/>
      </c>
      <c r="J582" s="7">
        <f>'1 datos preparados'!I575</f>
        <v/>
      </c>
      <c r="K582" s="7">
        <f>'1 datos preparados'!J575</f>
        <v/>
      </c>
      <c r="L582" s="7">
        <f>'1 datos preparados'!K575</f>
        <v/>
      </c>
      <c r="M582" s="7">
        <f>'1 datos preparados'!L575</f>
        <v/>
      </c>
      <c r="N582" s="7">
        <f>'1 datos preparados'!M575</f>
        <v/>
      </c>
      <c r="O582" s="7">
        <f>'1 datos preparados'!N575</f>
        <v/>
      </c>
      <c r="P582" s="7">
        <f>'1 datos preparados'!O575</f>
        <v/>
      </c>
      <c r="Q582" s="7">
        <f>'1 datos preparados'!P575</f>
        <v/>
      </c>
      <c r="R582" s="7">
        <f>'1 datos preparados'!Q575</f>
        <v/>
      </c>
      <c r="S582" s="7">
        <f>'1 datos preparados'!R575</f>
        <v/>
      </c>
      <c r="T582" s="7">
        <f>'1 datos preparados'!S575</f>
        <v/>
      </c>
      <c r="U582" s="7">
        <f>'1 datos preparados'!T575</f>
        <v/>
      </c>
      <c r="V582" s="8">
        <f>$AE$12+D582*$AE$13+E582*$AE$14+F582*$AE$15+G582*$AE$16+H582*$AE$17+I582*$AE$18+J582*$AE$19+K582*$AE$20+L582*$AE$21+M582*$AE$22+N582*$AE$23+O582*$AE$24+P582*$AE$25+Q582*$AE$26+R582*$AE$27+S582*$AE$28+T582*$AE$29+U582*$AE$30</f>
        <v/>
      </c>
      <c r="W582" s="8">
        <f>1/(1+EXP(-V582))</f>
        <v/>
      </c>
      <c r="X582" s="9">
        <f>-IF(C582=1,LN(W582),LN(1-W582))</f>
        <v/>
      </c>
      <c r="Y582" s="8">
        <f>'1 datos preparados'!V575</f>
        <v/>
      </c>
      <c r="Z582" s="9">
        <f>Y582*X582</f>
        <v/>
      </c>
      <c r="AA582" s="10">
        <f>IF(W582&gt;$AE$33,1,0)</f>
        <v/>
      </c>
      <c r="AB582">
        <f>IF(AA582=C582,1,0)</f>
        <v/>
      </c>
    </row>
    <row r="583">
      <c r="A583">
        <f>'1 datos preparados'!A576</f>
        <v/>
      </c>
      <c r="B583" s="5">
        <f>'1 datos preparados'!U576</f>
        <v/>
      </c>
      <c r="C583">
        <f>'1 datos preparados'!B576</f>
        <v/>
      </c>
      <c r="D583" s="7">
        <f>'1 datos preparados'!C576</f>
        <v/>
      </c>
      <c r="E583" s="7">
        <f>'1 datos preparados'!D576</f>
        <v/>
      </c>
      <c r="F583" s="7">
        <f>'1 datos preparados'!E576</f>
        <v/>
      </c>
      <c r="G583" s="7">
        <f>'1 datos preparados'!F576</f>
        <v/>
      </c>
      <c r="H583" s="7">
        <f>'1 datos preparados'!G576</f>
        <v/>
      </c>
      <c r="I583" s="7">
        <f>'1 datos preparados'!H576</f>
        <v/>
      </c>
      <c r="J583" s="7">
        <f>'1 datos preparados'!I576</f>
        <v/>
      </c>
      <c r="K583" s="7">
        <f>'1 datos preparados'!J576</f>
        <v/>
      </c>
      <c r="L583" s="7">
        <f>'1 datos preparados'!K576</f>
        <v/>
      </c>
      <c r="M583" s="7">
        <f>'1 datos preparados'!L576</f>
        <v/>
      </c>
      <c r="N583" s="7">
        <f>'1 datos preparados'!M576</f>
        <v/>
      </c>
      <c r="O583" s="7">
        <f>'1 datos preparados'!N576</f>
        <v/>
      </c>
      <c r="P583" s="7">
        <f>'1 datos preparados'!O576</f>
        <v/>
      </c>
      <c r="Q583" s="7">
        <f>'1 datos preparados'!P576</f>
        <v/>
      </c>
      <c r="R583" s="7">
        <f>'1 datos preparados'!Q576</f>
        <v/>
      </c>
      <c r="S583" s="7">
        <f>'1 datos preparados'!R576</f>
        <v/>
      </c>
      <c r="T583" s="7">
        <f>'1 datos preparados'!S576</f>
        <v/>
      </c>
      <c r="U583" s="7">
        <f>'1 datos preparados'!T576</f>
        <v/>
      </c>
      <c r="V583" s="8">
        <f>$AE$12+D583*$AE$13+E583*$AE$14+F583*$AE$15+G583*$AE$16+H583*$AE$17+I583*$AE$18+J583*$AE$19+K583*$AE$20+L583*$AE$21+M583*$AE$22+N583*$AE$23+O583*$AE$24+P583*$AE$25+Q583*$AE$26+R583*$AE$27+S583*$AE$28+T583*$AE$29+U583*$AE$30</f>
        <v/>
      </c>
      <c r="W583" s="8">
        <f>1/(1+EXP(-V583))</f>
        <v/>
      </c>
      <c r="X583" s="9">
        <f>-IF(C583=1,LN(W583),LN(1-W583))</f>
        <v/>
      </c>
      <c r="Y583" s="8">
        <f>'1 datos preparados'!V576</f>
        <v/>
      </c>
      <c r="Z583" s="9">
        <f>Y583*X583</f>
        <v/>
      </c>
      <c r="AA583" s="10">
        <f>IF(W583&gt;$AE$33,1,0)</f>
        <v/>
      </c>
      <c r="AB583">
        <f>IF(AA583=C583,1,0)</f>
        <v/>
      </c>
    </row>
    <row r="584">
      <c r="A584">
        <f>'1 datos preparados'!A577</f>
        <v/>
      </c>
      <c r="B584" s="5">
        <f>'1 datos preparados'!U577</f>
        <v/>
      </c>
      <c r="C584">
        <f>'1 datos preparados'!B577</f>
        <v/>
      </c>
      <c r="D584" s="7">
        <f>'1 datos preparados'!C577</f>
        <v/>
      </c>
      <c r="E584" s="7">
        <f>'1 datos preparados'!D577</f>
        <v/>
      </c>
      <c r="F584" s="7">
        <f>'1 datos preparados'!E577</f>
        <v/>
      </c>
      <c r="G584" s="7">
        <f>'1 datos preparados'!F577</f>
        <v/>
      </c>
      <c r="H584" s="7">
        <f>'1 datos preparados'!G577</f>
        <v/>
      </c>
      <c r="I584" s="7">
        <f>'1 datos preparados'!H577</f>
        <v/>
      </c>
      <c r="J584" s="7">
        <f>'1 datos preparados'!I577</f>
        <v/>
      </c>
      <c r="K584" s="7">
        <f>'1 datos preparados'!J577</f>
        <v/>
      </c>
      <c r="L584" s="7">
        <f>'1 datos preparados'!K577</f>
        <v/>
      </c>
      <c r="M584" s="7">
        <f>'1 datos preparados'!L577</f>
        <v/>
      </c>
      <c r="N584" s="7">
        <f>'1 datos preparados'!M577</f>
        <v/>
      </c>
      <c r="O584" s="7">
        <f>'1 datos preparados'!N577</f>
        <v/>
      </c>
      <c r="P584" s="7">
        <f>'1 datos preparados'!O577</f>
        <v/>
      </c>
      <c r="Q584" s="7">
        <f>'1 datos preparados'!P577</f>
        <v/>
      </c>
      <c r="R584" s="7">
        <f>'1 datos preparados'!Q577</f>
        <v/>
      </c>
      <c r="S584" s="7">
        <f>'1 datos preparados'!R577</f>
        <v/>
      </c>
      <c r="T584" s="7">
        <f>'1 datos preparados'!S577</f>
        <v/>
      </c>
      <c r="U584" s="7">
        <f>'1 datos preparados'!T577</f>
        <v/>
      </c>
      <c r="V584" s="8">
        <f>$AE$12+D584*$AE$13+E584*$AE$14+F584*$AE$15+G584*$AE$16+H584*$AE$17+I584*$AE$18+J584*$AE$19+K584*$AE$20+L584*$AE$21+M584*$AE$22+N584*$AE$23+O584*$AE$24+P584*$AE$25+Q584*$AE$26+R584*$AE$27+S584*$AE$28+T584*$AE$29+U584*$AE$30</f>
        <v/>
      </c>
      <c r="W584" s="8">
        <f>1/(1+EXP(-V584))</f>
        <v/>
      </c>
      <c r="X584" s="9">
        <f>-IF(C584=1,LN(W584),LN(1-W584))</f>
        <v/>
      </c>
      <c r="Y584" s="8">
        <f>'1 datos preparados'!V577</f>
        <v/>
      </c>
      <c r="Z584" s="9">
        <f>Y584*X584</f>
        <v/>
      </c>
      <c r="AA584" s="10">
        <f>IF(W584&gt;$AE$33,1,0)</f>
        <v/>
      </c>
      <c r="AB584">
        <f>IF(AA584=C584,1,0)</f>
        <v/>
      </c>
    </row>
    <row r="585">
      <c r="A585">
        <f>'1 datos preparados'!A578</f>
        <v/>
      </c>
      <c r="B585" s="5">
        <f>'1 datos preparados'!U578</f>
        <v/>
      </c>
      <c r="C585">
        <f>'1 datos preparados'!B578</f>
        <v/>
      </c>
      <c r="D585" s="7">
        <f>'1 datos preparados'!C578</f>
        <v/>
      </c>
      <c r="E585" s="7">
        <f>'1 datos preparados'!D578</f>
        <v/>
      </c>
      <c r="F585" s="7">
        <f>'1 datos preparados'!E578</f>
        <v/>
      </c>
      <c r="G585" s="7">
        <f>'1 datos preparados'!F578</f>
        <v/>
      </c>
      <c r="H585" s="7">
        <f>'1 datos preparados'!G578</f>
        <v/>
      </c>
      <c r="I585" s="7">
        <f>'1 datos preparados'!H578</f>
        <v/>
      </c>
      <c r="J585" s="7">
        <f>'1 datos preparados'!I578</f>
        <v/>
      </c>
      <c r="K585" s="7">
        <f>'1 datos preparados'!J578</f>
        <v/>
      </c>
      <c r="L585" s="7">
        <f>'1 datos preparados'!K578</f>
        <v/>
      </c>
      <c r="M585" s="7">
        <f>'1 datos preparados'!L578</f>
        <v/>
      </c>
      <c r="N585" s="7">
        <f>'1 datos preparados'!M578</f>
        <v/>
      </c>
      <c r="O585" s="7">
        <f>'1 datos preparados'!N578</f>
        <v/>
      </c>
      <c r="P585" s="7">
        <f>'1 datos preparados'!O578</f>
        <v/>
      </c>
      <c r="Q585" s="7">
        <f>'1 datos preparados'!P578</f>
        <v/>
      </c>
      <c r="R585" s="7">
        <f>'1 datos preparados'!Q578</f>
        <v/>
      </c>
      <c r="S585" s="7">
        <f>'1 datos preparados'!R578</f>
        <v/>
      </c>
      <c r="T585" s="7">
        <f>'1 datos preparados'!S578</f>
        <v/>
      </c>
      <c r="U585" s="7">
        <f>'1 datos preparados'!T578</f>
        <v/>
      </c>
      <c r="V585" s="8">
        <f>$AE$12+D585*$AE$13+E585*$AE$14+F585*$AE$15+G585*$AE$16+H585*$AE$17+I585*$AE$18+J585*$AE$19+K585*$AE$20+L585*$AE$21+M585*$AE$22+N585*$AE$23+O585*$AE$24+P585*$AE$25+Q585*$AE$26+R585*$AE$27+S585*$AE$28+T585*$AE$29+U585*$AE$30</f>
        <v/>
      </c>
      <c r="W585" s="8">
        <f>1/(1+EXP(-V585))</f>
        <v/>
      </c>
      <c r="X585" s="9">
        <f>-IF(C585=1,LN(W585),LN(1-W585))</f>
        <v/>
      </c>
      <c r="Y585" s="8">
        <f>'1 datos preparados'!V578</f>
        <v/>
      </c>
      <c r="Z585" s="9">
        <f>Y585*X585</f>
        <v/>
      </c>
      <c r="AA585" s="10">
        <f>IF(W585&gt;$AE$33,1,0)</f>
        <v/>
      </c>
      <c r="AB585">
        <f>IF(AA585=C585,1,0)</f>
        <v/>
      </c>
    </row>
    <row r="586">
      <c r="A586">
        <f>'1 datos preparados'!A579</f>
        <v/>
      </c>
      <c r="B586" s="5">
        <f>'1 datos preparados'!U579</f>
        <v/>
      </c>
      <c r="C586">
        <f>'1 datos preparados'!B579</f>
        <v/>
      </c>
      <c r="D586" s="7">
        <f>'1 datos preparados'!C579</f>
        <v/>
      </c>
      <c r="E586" s="7">
        <f>'1 datos preparados'!D579</f>
        <v/>
      </c>
      <c r="F586" s="7">
        <f>'1 datos preparados'!E579</f>
        <v/>
      </c>
      <c r="G586" s="7">
        <f>'1 datos preparados'!F579</f>
        <v/>
      </c>
      <c r="H586" s="7">
        <f>'1 datos preparados'!G579</f>
        <v/>
      </c>
      <c r="I586" s="7">
        <f>'1 datos preparados'!H579</f>
        <v/>
      </c>
      <c r="J586" s="7">
        <f>'1 datos preparados'!I579</f>
        <v/>
      </c>
      <c r="K586" s="7">
        <f>'1 datos preparados'!J579</f>
        <v/>
      </c>
      <c r="L586" s="7">
        <f>'1 datos preparados'!K579</f>
        <v/>
      </c>
      <c r="M586" s="7">
        <f>'1 datos preparados'!L579</f>
        <v/>
      </c>
      <c r="N586" s="7">
        <f>'1 datos preparados'!M579</f>
        <v/>
      </c>
      <c r="O586" s="7">
        <f>'1 datos preparados'!N579</f>
        <v/>
      </c>
      <c r="P586" s="7">
        <f>'1 datos preparados'!O579</f>
        <v/>
      </c>
      <c r="Q586" s="7">
        <f>'1 datos preparados'!P579</f>
        <v/>
      </c>
      <c r="R586" s="7">
        <f>'1 datos preparados'!Q579</f>
        <v/>
      </c>
      <c r="S586" s="7">
        <f>'1 datos preparados'!R579</f>
        <v/>
      </c>
      <c r="T586" s="7">
        <f>'1 datos preparados'!S579</f>
        <v/>
      </c>
      <c r="U586" s="7">
        <f>'1 datos preparados'!T579</f>
        <v/>
      </c>
      <c r="V586" s="8">
        <f>$AE$12+D586*$AE$13+E586*$AE$14+F586*$AE$15+G586*$AE$16+H586*$AE$17+I586*$AE$18+J586*$AE$19+K586*$AE$20+L586*$AE$21+M586*$AE$22+N586*$AE$23+O586*$AE$24+P586*$AE$25+Q586*$AE$26+R586*$AE$27+S586*$AE$28+T586*$AE$29+U586*$AE$30</f>
        <v/>
      </c>
      <c r="W586" s="8">
        <f>1/(1+EXP(-V586))</f>
        <v/>
      </c>
      <c r="X586" s="9">
        <f>-IF(C586=1,LN(W586),LN(1-W586))</f>
        <v/>
      </c>
      <c r="Y586" s="8">
        <f>'1 datos preparados'!V579</f>
        <v/>
      </c>
      <c r="Z586" s="9">
        <f>Y586*X586</f>
        <v/>
      </c>
      <c r="AA586" s="10">
        <f>IF(W586&gt;$AE$33,1,0)</f>
        <v/>
      </c>
      <c r="AB586">
        <f>IF(AA586=C586,1,0)</f>
        <v/>
      </c>
    </row>
    <row r="587">
      <c r="A587">
        <f>'1 datos preparados'!A580</f>
        <v/>
      </c>
      <c r="B587" s="5">
        <f>'1 datos preparados'!U580</f>
        <v/>
      </c>
      <c r="C587">
        <f>'1 datos preparados'!B580</f>
        <v/>
      </c>
      <c r="D587" s="7">
        <f>'1 datos preparados'!C580</f>
        <v/>
      </c>
      <c r="E587" s="7">
        <f>'1 datos preparados'!D580</f>
        <v/>
      </c>
      <c r="F587" s="7">
        <f>'1 datos preparados'!E580</f>
        <v/>
      </c>
      <c r="G587" s="7">
        <f>'1 datos preparados'!F580</f>
        <v/>
      </c>
      <c r="H587" s="7">
        <f>'1 datos preparados'!G580</f>
        <v/>
      </c>
      <c r="I587" s="7">
        <f>'1 datos preparados'!H580</f>
        <v/>
      </c>
      <c r="J587" s="7">
        <f>'1 datos preparados'!I580</f>
        <v/>
      </c>
      <c r="K587" s="7">
        <f>'1 datos preparados'!J580</f>
        <v/>
      </c>
      <c r="L587" s="7">
        <f>'1 datos preparados'!K580</f>
        <v/>
      </c>
      <c r="M587" s="7">
        <f>'1 datos preparados'!L580</f>
        <v/>
      </c>
      <c r="N587" s="7">
        <f>'1 datos preparados'!M580</f>
        <v/>
      </c>
      <c r="O587" s="7">
        <f>'1 datos preparados'!N580</f>
        <v/>
      </c>
      <c r="P587" s="7">
        <f>'1 datos preparados'!O580</f>
        <v/>
      </c>
      <c r="Q587" s="7">
        <f>'1 datos preparados'!P580</f>
        <v/>
      </c>
      <c r="R587" s="7">
        <f>'1 datos preparados'!Q580</f>
        <v/>
      </c>
      <c r="S587" s="7">
        <f>'1 datos preparados'!R580</f>
        <v/>
      </c>
      <c r="T587" s="7">
        <f>'1 datos preparados'!S580</f>
        <v/>
      </c>
      <c r="U587" s="7">
        <f>'1 datos preparados'!T580</f>
        <v/>
      </c>
      <c r="V587" s="8">
        <f>$AE$12+D587*$AE$13+E587*$AE$14+F587*$AE$15+G587*$AE$16+H587*$AE$17+I587*$AE$18+J587*$AE$19+K587*$AE$20+L587*$AE$21+M587*$AE$22+N587*$AE$23+O587*$AE$24+P587*$AE$25+Q587*$AE$26+R587*$AE$27+S587*$AE$28+T587*$AE$29+U587*$AE$30</f>
        <v/>
      </c>
      <c r="W587" s="8">
        <f>1/(1+EXP(-V587))</f>
        <v/>
      </c>
      <c r="X587" s="9">
        <f>-IF(C587=1,LN(W587),LN(1-W587))</f>
        <v/>
      </c>
      <c r="Y587" s="8">
        <f>'1 datos preparados'!V580</f>
        <v/>
      </c>
      <c r="Z587" s="9">
        <f>Y587*X587</f>
        <v/>
      </c>
      <c r="AA587" s="10">
        <f>IF(W587&gt;$AE$33,1,0)</f>
        <v/>
      </c>
      <c r="AB587">
        <f>IF(AA587=C587,1,0)</f>
        <v/>
      </c>
    </row>
    <row r="588">
      <c r="A588">
        <f>'1 datos preparados'!A581</f>
        <v/>
      </c>
      <c r="B588" s="5">
        <f>'1 datos preparados'!U581</f>
        <v/>
      </c>
      <c r="C588">
        <f>'1 datos preparados'!B581</f>
        <v/>
      </c>
      <c r="D588" s="7">
        <f>'1 datos preparados'!C581</f>
        <v/>
      </c>
      <c r="E588" s="7">
        <f>'1 datos preparados'!D581</f>
        <v/>
      </c>
      <c r="F588" s="7">
        <f>'1 datos preparados'!E581</f>
        <v/>
      </c>
      <c r="G588" s="7">
        <f>'1 datos preparados'!F581</f>
        <v/>
      </c>
      <c r="H588" s="7">
        <f>'1 datos preparados'!G581</f>
        <v/>
      </c>
      <c r="I588" s="7">
        <f>'1 datos preparados'!H581</f>
        <v/>
      </c>
      <c r="J588" s="7">
        <f>'1 datos preparados'!I581</f>
        <v/>
      </c>
      <c r="K588" s="7">
        <f>'1 datos preparados'!J581</f>
        <v/>
      </c>
      <c r="L588" s="7">
        <f>'1 datos preparados'!K581</f>
        <v/>
      </c>
      <c r="M588" s="7">
        <f>'1 datos preparados'!L581</f>
        <v/>
      </c>
      <c r="N588" s="7">
        <f>'1 datos preparados'!M581</f>
        <v/>
      </c>
      <c r="O588" s="7">
        <f>'1 datos preparados'!N581</f>
        <v/>
      </c>
      <c r="P588" s="7">
        <f>'1 datos preparados'!O581</f>
        <v/>
      </c>
      <c r="Q588" s="7">
        <f>'1 datos preparados'!P581</f>
        <v/>
      </c>
      <c r="R588" s="7">
        <f>'1 datos preparados'!Q581</f>
        <v/>
      </c>
      <c r="S588" s="7">
        <f>'1 datos preparados'!R581</f>
        <v/>
      </c>
      <c r="T588" s="7">
        <f>'1 datos preparados'!S581</f>
        <v/>
      </c>
      <c r="U588" s="7">
        <f>'1 datos preparados'!T581</f>
        <v/>
      </c>
      <c r="V588" s="8">
        <f>$AE$12+D588*$AE$13+E588*$AE$14+F588*$AE$15+G588*$AE$16+H588*$AE$17+I588*$AE$18+J588*$AE$19+K588*$AE$20+L588*$AE$21+M588*$AE$22+N588*$AE$23+O588*$AE$24+P588*$AE$25+Q588*$AE$26+R588*$AE$27+S588*$AE$28+T588*$AE$29+U588*$AE$30</f>
        <v/>
      </c>
      <c r="W588" s="8">
        <f>1/(1+EXP(-V588))</f>
        <v/>
      </c>
      <c r="X588" s="9">
        <f>-IF(C588=1,LN(W588),LN(1-W588))</f>
        <v/>
      </c>
      <c r="Y588" s="8">
        <f>'1 datos preparados'!V581</f>
        <v/>
      </c>
      <c r="Z588" s="9">
        <f>Y588*X588</f>
        <v/>
      </c>
      <c r="AA588" s="10">
        <f>IF(W588&gt;$AE$33,1,0)</f>
        <v/>
      </c>
      <c r="AB588">
        <f>IF(AA588=C588,1,0)</f>
        <v/>
      </c>
    </row>
    <row r="589">
      <c r="A589">
        <f>'1 datos preparados'!A582</f>
        <v/>
      </c>
      <c r="B589" s="5">
        <f>'1 datos preparados'!U582</f>
        <v/>
      </c>
      <c r="C589">
        <f>'1 datos preparados'!B582</f>
        <v/>
      </c>
      <c r="D589" s="7">
        <f>'1 datos preparados'!C582</f>
        <v/>
      </c>
      <c r="E589" s="7">
        <f>'1 datos preparados'!D582</f>
        <v/>
      </c>
      <c r="F589" s="7">
        <f>'1 datos preparados'!E582</f>
        <v/>
      </c>
      <c r="G589" s="7">
        <f>'1 datos preparados'!F582</f>
        <v/>
      </c>
      <c r="H589" s="7">
        <f>'1 datos preparados'!G582</f>
        <v/>
      </c>
      <c r="I589" s="7">
        <f>'1 datos preparados'!H582</f>
        <v/>
      </c>
      <c r="J589" s="7">
        <f>'1 datos preparados'!I582</f>
        <v/>
      </c>
      <c r="K589" s="7">
        <f>'1 datos preparados'!J582</f>
        <v/>
      </c>
      <c r="L589" s="7">
        <f>'1 datos preparados'!K582</f>
        <v/>
      </c>
      <c r="M589" s="7">
        <f>'1 datos preparados'!L582</f>
        <v/>
      </c>
      <c r="N589" s="7">
        <f>'1 datos preparados'!M582</f>
        <v/>
      </c>
      <c r="O589" s="7">
        <f>'1 datos preparados'!N582</f>
        <v/>
      </c>
      <c r="P589" s="7">
        <f>'1 datos preparados'!O582</f>
        <v/>
      </c>
      <c r="Q589" s="7">
        <f>'1 datos preparados'!P582</f>
        <v/>
      </c>
      <c r="R589" s="7">
        <f>'1 datos preparados'!Q582</f>
        <v/>
      </c>
      <c r="S589" s="7">
        <f>'1 datos preparados'!R582</f>
        <v/>
      </c>
      <c r="T589" s="7">
        <f>'1 datos preparados'!S582</f>
        <v/>
      </c>
      <c r="U589" s="7">
        <f>'1 datos preparados'!T582</f>
        <v/>
      </c>
      <c r="V589" s="8">
        <f>$AE$12+D589*$AE$13+E589*$AE$14+F589*$AE$15+G589*$AE$16+H589*$AE$17+I589*$AE$18+J589*$AE$19+K589*$AE$20+L589*$AE$21+M589*$AE$22+N589*$AE$23+O589*$AE$24+P589*$AE$25+Q589*$AE$26+R589*$AE$27+S589*$AE$28+T589*$AE$29+U589*$AE$30</f>
        <v/>
      </c>
      <c r="W589" s="8">
        <f>1/(1+EXP(-V589))</f>
        <v/>
      </c>
      <c r="X589" s="9">
        <f>-IF(C589=1,LN(W589),LN(1-W589))</f>
        <v/>
      </c>
      <c r="Y589" s="8">
        <f>'1 datos preparados'!V582</f>
        <v/>
      </c>
      <c r="Z589" s="9">
        <f>Y589*X589</f>
        <v/>
      </c>
      <c r="AA589" s="10">
        <f>IF(W589&gt;$AE$33,1,0)</f>
        <v/>
      </c>
      <c r="AB589">
        <f>IF(AA589=C589,1,0)</f>
        <v/>
      </c>
    </row>
    <row r="590">
      <c r="A590">
        <f>'1 datos preparados'!A583</f>
        <v/>
      </c>
      <c r="B590" s="5">
        <f>'1 datos preparados'!U583</f>
        <v/>
      </c>
      <c r="C590">
        <f>'1 datos preparados'!B583</f>
        <v/>
      </c>
      <c r="D590" s="7">
        <f>'1 datos preparados'!C583</f>
        <v/>
      </c>
      <c r="E590" s="7">
        <f>'1 datos preparados'!D583</f>
        <v/>
      </c>
      <c r="F590" s="7">
        <f>'1 datos preparados'!E583</f>
        <v/>
      </c>
      <c r="G590" s="7">
        <f>'1 datos preparados'!F583</f>
        <v/>
      </c>
      <c r="H590" s="7">
        <f>'1 datos preparados'!G583</f>
        <v/>
      </c>
      <c r="I590" s="7">
        <f>'1 datos preparados'!H583</f>
        <v/>
      </c>
      <c r="J590" s="7">
        <f>'1 datos preparados'!I583</f>
        <v/>
      </c>
      <c r="K590" s="7">
        <f>'1 datos preparados'!J583</f>
        <v/>
      </c>
      <c r="L590" s="7">
        <f>'1 datos preparados'!K583</f>
        <v/>
      </c>
      <c r="M590" s="7">
        <f>'1 datos preparados'!L583</f>
        <v/>
      </c>
      <c r="N590" s="7">
        <f>'1 datos preparados'!M583</f>
        <v/>
      </c>
      <c r="O590" s="7">
        <f>'1 datos preparados'!N583</f>
        <v/>
      </c>
      <c r="P590" s="7">
        <f>'1 datos preparados'!O583</f>
        <v/>
      </c>
      <c r="Q590" s="7">
        <f>'1 datos preparados'!P583</f>
        <v/>
      </c>
      <c r="R590" s="7">
        <f>'1 datos preparados'!Q583</f>
        <v/>
      </c>
      <c r="S590" s="7">
        <f>'1 datos preparados'!R583</f>
        <v/>
      </c>
      <c r="T590" s="7">
        <f>'1 datos preparados'!S583</f>
        <v/>
      </c>
      <c r="U590" s="7">
        <f>'1 datos preparados'!T583</f>
        <v/>
      </c>
      <c r="V590" s="8">
        <f>$AE$12+D590*$AE$13+E590*$AE$14+F590*$AE$15+G590*$AE$16+H590*$AE$17+I590*$AE$18+J590*$AE$19+K590*$AE$20+L590*$AE$21+M590*$AE$22+N590*$AE$23+O590*$AE$24+P590*$AE$25+Q590*$AE$26+R590*$AE$27+S590*$AE$28+T590*$AE$29+U590*$AE$30</f>
        <v/>
      </c>
      <c r="W590" s="8">
        <f>1/(1+EXP(-V590))</f>
        <v/>
      </c>
      <c r="X590" s="9">
        <f>-IF(C590=1,LN(W590),LN(1-W590))</f>
        <v/>
      </c>
      <c r="Y590" s="8">
        <f>'1 datos preparados'!V583</f>
        <v/>
      </c>
      <c r="Z590" s="9">
        <f>Y590*X590</f>
        <v/>
      </c>
      <c r="AA590" s="10">
        <f>IF(W590&gt;$AE$33,1,0)</f>
        <v/>
      </c>
      <c r="AB590">
        <f>IF(AA590=C590,1,0)</f>
        <v/>
      </c>
    </row>
    <row r="591">
      <c r="A591">
        <f>'1 datos preparados'!A584</f>
        <v/>
      </c>
      <c r="B591" s="5">
        <f>'1 datos preparados'!U584</f>
        <v/>
      </c>
      <c r="C591">
        <f>'1 datos preparados'!B584</f>
        <v/>
      </c>
      <c r="D591" s="7">
        <f>'1 datos preparados'!C584</f>
        <v/>
      </c>
      <c r="E591" s="7">
        <f>'1 datos preparados'!D584</f>
        <v/>
      </c>
      <c r="F591" s="7">
        <f>'1 datos preparados'!E584</f>
        <v/>
      </c>
      <c r="G591" s="7">
        <f>'1 datos preparados'!F584</f>
        <v/>
      </c>
      <c r="H591" s="7">
        <f>'1 datos preparados'!G584</f>
        <v/>
      </c>
      <c r="I591" s="7">
        <f>'1 datos preparados'!H584</f>
        <v/>
      </c>
      <c r="J591" s="7">
        <f>'1 datos preparados'!I584</f>
        <v/>
      </c>
      <c r="K591" s="7">
        <f>'1 datos preparados'!J584</f>
        <v/>
      </c>
      <c r="L591" s="7">
        <f>'1 datos preparados'!K584</f>
        <v/>
      </c>
      <c r="M591" s="7">
        <f>'1 datos preparados'!L584</f>
        <v/>
      </c>
      <c r="N591" s="7">
        <f>'1 datos preparados'!M584</f>
        <v/>
      </c>
      <c r="O591" s="7">
        <f>'1 datos preparados'!N584</f>
        <v/>
      </c>
      <c r="P591" s="7">
        <f>'1 datos preparados'!O584</f>
        <v/>
      </c>
      <c r="Q591" s="7">
        <f>'1 datos preparados'!P584</f>
        <v/>
      </c>
      <c r="R591" s="7">
        <f>'1 datos preparados'!Q584</f>
        <v/>
      </c>
      <c r="S591" s="7">
        <f>'1 datos preparados'!R584</f>
        <v/>
      </c>
      <c r="T591" s="7">
        <f>'1 datos preparados'!S584</f>
        <v/>
      </c>
      <c r="U591" s="7">
        <f>'1 datos preparados'!T584</f>
        <v/>
      </c>
      <c r="V591" s="8">
        <f>$AE$12+D591*$AE$13+E591*$AE$14+F591*$AE$15+G591*$AE$16+H591*$AE$17+I591*$AE$18+J591*$AE$19+K591*$AE$20+L591*$AE$21+M591*$AE$22+N591*$AE$23+O591*$AE$24+P591*$AE$25+Q591*$AE$26+R591*$AE$27+S591*$AE$28+T591*$AE$29+U591*$AE$30</f>
        <v/>
      </c>
      <c r="W591" s="8">
        <f>1/(1+EXP(-V591))</f>
        <v/>
      </c>
      <c r="X591" s="9">
        <f>-IF(C591=1,LN(W591),LN(1-W591))</f>
        <v/>
      </c>
      <c r="Y591" s="8">
        <f>'1 datos preparados'!V584</f>
        <v/>
      </c>
      <c r="Z591" s="9">
        <f>Y591*X591</f>
        <v/>
      </c>
      <c r="AA591" s="10">
        <f>IF(W591&gt;$AE$33,1,0)</f>
        <v/>
      </c>
      <c r="AB591">
        <f>IF(AA591=C591,1,0)</f>
        <v/>
      </c>
    </row>
    <row r="592">
      <c r="A592">
        <f>'1 datos preparados'!A585</f>
        <v/>
      </c>
      <c r="B592" s="5">
        <f>'1 datos preparados'!U585</f>
        <v/>
      </c>
      <c r="C592">
        <f>'1 datos preparados'!B585</f>
        <v/>
      </c>
      <c r="D592" s="7">
        <f>'1 datos preparados'!C585</f>
        <v/>
      </c>
      <c r="E592" s="7">
        <f>'1 datos preparados'!D585</f>
        <v/>
      </c>
      <c r="F592" s="7">
        <f>'1 datos preparados'!E585</f>
        <v/>
      </c>
      <c r="G592" s="7">
        <f>'1 datos preparados'!F585</f>
        <v/>
      </c>
      <c r="H592" s="7">
        <f>'1 datos preparados'!G585</f>
        <v/>
      </c>
      <c r="I592" s="7">
        <f>'1 datos preparados'!H585</f>
        <v/>
      </c>
      <c r="J592" s="7">
        <f>'1 datos preparados'!I585</f>
        <v/>
      </c>
      <c r="K592" s="7">
        <f>'1 datos preparados'!J585</f>
        <v/>
      </c>
      <c r="L592" s="7">
        <f>'1 datos preparados'!K585</f>
        <v/>
      </c>
      <c r="M592" s="7">
        <f>'1 datos preparados'!L585</f>
        <v/>
      </c>
      <c r="N592" s="7">
        <f>'1 datos preparados'!M585</f>
        <v/>
      </c>
      <c r="O592" s="7">
        <f>'1 datos preparados'!N585</f>
        <v/>
      </c>
      <c r="P592" s="7">
        <f>'1 datos preparados'!O585</f>
        <v/>
      </c>
      <c r="Q592" s="7">
        <f>'1 datos preparados'!P585</f>
        <v/>
      </c>
      <c r="R592" s="7">
        <f>'1 datos preparados'!Q585</f>
        <v/>
      </c>
      <c r="S592" s="7">
        <f>'1 datos preparados'!R585</f>
        <v/>
      </c>
      <c r="T592" s="7">
        <f>'1 datos preparados'!S585</f>
        <v/>
      </c>
      <c r="U592" s="7">
        <f>'1 datos preparados'!T585</f>
        <v/>
      </c>
      <c r="V592" s="8">
        <f>$AE$12+D592*$AE$13+E592*$AE$14+F592*$AE$15+G592*$AE$16+H592*$AE$17+I592*$AE$18+J592*$AE$19+K592*$AE$20+L592*$AE$21+M592*$AE$22+N592*$AE$23+O592*$AE$24+P592*$AE$25+Q592*$AE$26+R592*$AE$27+S592*$AE$28+T592*$AE$29+U592*$AE$30</f>
        <v/>
      </c>
      <c r="W592" s="8">
        <f>1/(1+EXP(-V592))</f>
        <v/>
      </c>
      <c r="X592" s="9">
        <f>-IF(C592=1,LN(W592),LN(1-W592))</f>
        <v/>
      </c>
      <c r="Y592" s="8">
        <f>'1 datos preparados'!V585</f>
        <v/>
      </c>
      <c r="Z592" s="9">
        <f>Y592*X592</f>
        <v/>
      </c>
      <c r="AA592" s="10">
        <f>IF(W592&gt;$AE$33,1,0)</f>
        <v/>
      </c>
      <c r="AB592">
        <f>IF(AA592=C592,1,0)</f>
        <v/>
      </c>
    </row>
    <row r="593">
      <c r="A593">
        <f>'1 datos preparados'!A586</f>
        <v/>
      </c>
      <c r="B593" s="5">
        <f>'1 datos preparados'!U586</f>
        <v/>
      </c>
      <c r="C593">
        <f>'1 datos preparados'!B586</f>
        <v/>
      </c>
      <c r="D593" s="7">
        <f>'1 datos preparados'!C586</f>
        <v/>
      </c>
      <c r="E593" s="7">
        <f>'1 datos preparados'!D586</f>
        <v/>
      </c>
      <c r="F593" s="7">
        <f>'1 datos preparados'!E586</f>
        <v/>
      </c>
      <c r="G593" s="7">
        <f>'1 datos preparados'!F586</f>
        <v/>
      </c>
      <c r="H593" s="7">
        <f>'1 datos preparados'!G586</f>
        <v/>
      </c>
      <c r="I593" s="7">
        <f>'1 datos preparados'!H586</f>
        <v/>
      </c>
      <c r="J593" s="7">
        <f>'1 datos preparados'!I586</f>
        <v/>
      </c>
      <c r="K593" s="7">
        <f>'1 datos preparados'!J586</f>
        <v/>
      </c>
      <c r="L593" s="7">
        <f>'1 datos preparados'!K586</f>
        <v/>
      </c>
      <c r="M593" s="7">
        <f>'1 datos preparados'!L586</f>
        <v/>
      </c>
      <c r="N593" s="7">
        <f>'1 datos preparados'!M586</f>
        <v/>
      </c>
      <c r="O593" s="7">
        <f>'1 datos preparados'!N586</f>
        <v/>
      </c>
      <c r="P593" s="7">
        <f>'1 datos preparados'!O586</f>
        <v/>
      </c>
      <c r="Q593" s="7">
        <f>'1 datos preparados'!P586</f>
        <v/>
      </c>
      <c r="R593" s="7">
        <f>'1 datos preparados'!Q586</f>
        <v/>
      </c>
      <c r="S593" s="7">
        <f>'1 datos preparados'!R586</f>
        <v/>
      </c>
      <c r="T593" s="7">
        <f>'1 datos preparados'!S586</f>
        <v/>
      </c>
      <c r="U593" s="7">
        <f>'1 datos preparados'!T586</f>
        <v/>
      </c>
      <c r="V593" s="8">
        <f>$AE$12+D593*$AE$13+E593*$AE$14+F593*$AE$15+G593*$AE$16+H593*$AE$17+I593*$AE$18+J593*$AE$19+K593*$AE$20+L593*$AE$21+M593*$AE$22+N593*$AE$23+O593*$AE$24+P593*$AE$25+Q593*$AE$26+R593*$AE$27+S593*$AE$28+T593*$AE$29+U593*$AE$30</f>
        <v/>
      </c>
      <c r="W593" s="8">
        <f>1/(1+EXP(-V593))</f>
        <v/>
      </c>
      <c r="X593" s="9">
        <f>-IF(C593=1,LN(W593),LN(1-W593))</f>
        <v/>
      </c>
      <c r="Y593" s="8">
        <f>'1 datos preparados'!V586</f>
        <v/>
      </c>
      <c r="Z593" s="9">
        <f>Y593*X593</f>
        <v/>
      </c>
      <c r="AA593" s="10">
        <f>IF(W593&gt;$AE$33,1,0)</f>
        <v/>
      </c>
      <c r="AB593">
        <f>IF(AA593=C593,1,0)</f>
        <v/>
      </c>
    </row>
    <row r="594">
      <c r="A594">
        <f>'1 datos preparados'!A587</f>
        <v/>
      </c>
      <c r="B594" s="5">
        <f>'1 datos preparados'!U587</f>
        <v/>
      </c>
      <c r="C594">
        <f>'1 datos preparados'!B587</f>
        <v/>
      </c>
      <c r="D594" s="7">
        <f>'1 datos preparados'!C587</f>
        <v/>
      </c>
      <c r="E594" s="7">
        <f>'1 datos preparados'!D587</f>
        <v/>
      </c>
      <c r="F594" s="7">
        <f>'1 datos preparados'!E587</f>
        <v/>
      </c>
      <c r="G594" s="7">
        <f>'1 datos preparados'!F587</f>
        <v/>
      </c>
      <c r="H594" s="7">
        <f>'1 datos preparados'!G587</f>
        <v/>
      </c>
      <c r="I594" s="7">
        <f>'1 datos preparados'!H587</f>
        <v/>
      </c>
      <c r="J594" s="7">
        <f>'1 datos preparados'!I587</f>
        <v/>
      </c>
      <c r="K594" s="7">
        <f>'1 datos preparados'!J587</f>
        <v/>
      </c>
      <c r="L594" s="7">
        <f>'1 datos preparados'!K587</f>
        <v/>
      </c>
      <c r="M594" s="7">
        <f>'1 datos preparados'!L587</f>
        <v/>
      </c>
      <c r="N594" s="7">
        <f>'1 datos preparados'!M587</f>
        <v/>
      </c>
      <c r="O594" s="7">
        <f>'1 datos preparados'!N587</f>
        <v/>
      </c>
      <c r="P594" s="7">
        <f>'1 datos preparados'!O587</f>
        <v/>
      </c>
      <c r="Q594" s="7">
        <f>'1 datos preparados'!P587</f>
        <v/>
      </c>
      <c r="R594" s="7">
        <f>'1 datos preparados'!Q587</f>
        <v/>
      </c>
      <c r="S594" s="7">
        <f>'1 datos preparados'!R587</f>
        <v/>
      </c>
      <c r="T594" s="7">
        <f>'1 datos preparados'!S587</f>
        <v/>
      </c>
      <c r="U594" s="7">
        <f>'1 datos preparados'!T587</f>
        <v/>
      </c>
      <c r="V594" s="8">
        <f>$AE$12+D594*$AE$13+E594*$AE$14+F594*$AE$15+G594*$AE$16+H594*$AE$17+I594*$AE$18+J594*$AE$19+K594*$AE$20+L594*$AE$21+M594*$AE$22+N594*$AE$23+O594*$AE$24+P594*$AE$25+Q594*$AE$26+R594*$AE$27+S594*$AE$28+T594*$AE$29+U594*$AE$30</f>
        <v/>
      </c>
      <c r="W594" s="8">
        <f>1/(1+EXP(-V594))</f>
        <v/>
      </c>
      <c r="X594" s="9">
        <f>-IF(C594=1,LN(W594),LN(1-W594))</f>
        <v/>
      </c>
      <c r="Y594" s="8">
        <f>'1 datos preparados'!V587</f>
        <v/>
      </c>
      <c r="Z594" s="9">
        <f>Y594*X594</f>
        <v/>
      </c>
      <c r="AA594" s="10">
        <f>IF(W594&gt;$AE$33,1,0)</f>
        <v/>
      </c>
      <c r="AB594">
        <f>IF(AA594=C594,1,0)</f>
        <v/>
      </c>
    </row>
    <row r="595">
      <c r="A595">
        <f>'1 datos preparados'!A588</f>
        <v/>
      </c>
      <c r="B595" s="5">
        <f>'1 datos preparados'!U588</f>
        <v/>
      </c>
      <c r="C595">
        <f>'1 datos preparados'!B588</f>
        <v/>
      </c>
      <c r="D595" s="7">
        <f>'1 datos preparados'!C588</f>
        <v/>
      </c>
      <c r="E595" s="7">
        <f>'1 datos preparados'!D588</f>
        <v/>
      </c>
      <c r="F595" s="7">
        <f>'1 datos preparados'!E588</f>
        <v/>
      </c>
      <c r="G595" s="7">
        <f>'1 datos preparados'!F588</f>
        <v/>
      </c>
      <c r="H595" s="7">
        <f>'1 datos preparados'!G588</f>
        <v/>
      </c>
      <c r="I595" s="7">
        <f>'1 datos preparados'!H588</f>
        <v/>
      </c>
      <c r="J595" s="7">
        <f>'1 datos preparados'!I588</f>
        <v/>
      </c>
      <c r="K595" s="7">
        <f>'1 datos preparados'!J588</f>
        <v/>
      </c>
      <c r="L595" s="7">
        <f>'1 datos preparados'!K588</f>
        <v/>
      </c>
      <c r="M595" s="7">
        <f>'1 datos preparados'!L588</f>
        <v/>
      </c>
      <c r="N595" s="7">
        <f>'1 datos preparados'!M588</f>
        <v/>
      </c>
      <c r="O595" s="7">
        <f>'1 datos preparados'!N588</f>
        <v/>
      </c>
      <c r="P595" s="7">
        <f>'1 datos preparados'!O588</f>
        <v/>
      </c>
      <c r="Q595" s="7">
        <f>'1 datos preparados'!P588</f>
        <v/>
      </c>
      <c r="R595" s="7">
        <f>'1 datos preparados'!Q588</f>
        <v/>
      </c>
      <c r="S595" s="7">
        <f>'1 datos preparados'!R588</f>
        <v/>
      </c>
      <c r="T595" s="7">
        <f>'1 datos preparados'!S588</f>
        <v/>
      </c>
      <c r="U595" s="7">
        <f>'1 datos preparados'!T588</f>
        <v/>
      </c>
      <c r="V595" s="8">
        <f>$AE$12+D595*$AE$13+E595*$AE$14+F595*$AE$15+G595*$AE$16+H595*$AE$17+I595*$AE$18+J595*$AE$19+K595*$AE$20+L595*$AE$21+M595*$AE$22+N595*$AE$23+O595*$AE$24+P595*$AE$25+Q595*$AE$26+R595*$AE$27+S595*$AE$28+T595*$AE$29+U595*$AE$30</f>
        <v/>
      </c>
      <c r="W595" s="8">
        <f>1/(1+EXP(-V595))</f>
        <v/>
      </c>
      <c r="X595" s="9">
        <f>-IF(C595=1,LN(W595),LN(1-W595))</f>
        <v/>
      </c>
      <c r="Y595" s="8">
        <f>'1 datos preparados'!V588</f>
        <v/>
      </c>
      <c r="Z595" s="9">
        <f>Y595*X595</f>
        <v/>
      </c>
      <c r="AA595" s="10">
        <f>IF(W595&gt;$AE$33,1,0)</f>
        <v/>
      </c>
      <c r="AB595">
        <f>IF(AA595=C595,1,0)</f>
        <v/>
      </c>
    </row>
    <row r="596">
      <c r="A596">
        <f>'1 datos preparados'!A589</f>
        <v/>
      </c>
      <c r="B596" s="5">
        <f>'1 datos preparados'!U589</f>
        <v/>
      </c>
      <c r="C596">
        <f>'1 datos preparados'!B589</f>
        <v/>
      </c>
      <c r="D596" s="7">
        <f>'1 datos preparados'!C589</f>
        <v/>
      </c>
      <c r="E596" s="7">
        <f>'1 datos preparados'!D589</f>
        <v/>
      </c>
      <c r="F596" s="7">
        <f>'1 datos preparados'!E589</f>
        <v/>
      </c>
      <c r="G596" s="7">
        <f>'1 datos preparados'!F589</f>
        <v/>
      </c>
      <c r="H596" s="7">
        <f>'1 datos preparados'!G589</f>
        <v/>
      </c>
      <c r="I596" s="7">
        <f>'1 datos preparados'!H589</f>
        <v/>
      </c>
      <c r="J596" s="7">
        <f>'1 datos preparados'!I589</f>
        <v/>
      </c>
      <c r="K596" s="7">
        <f>'1 datos preparados'!J589</f>
        <v/>
      </c>
      <c r="L596" s="7">
        <f>'1 datos preparados'!K589</f>
        <v/>
      </c>
      <c r="M596" s="7">
        <f>'1 datos preparados'!L589</f>
        <v/>
      </c>
      <c r="N596" s="7">
        <f>'1 datos preparados'!M589</f>
        <v/>
      </c>
      <c r="O596" s="7">
        <f>'1 datos preparados'!N589</f>
        <v/>
      </c>
      <c r="P596" s="7">
        <f>'1 datos preparados'!O589</f>
        <v/>
      </c>
      <c r="Q596" s="7">
        <f>'1 datos preparados'!P589</f>
        <v/>
      </c>
      <c r="R596" s="7">
        <f>'1 datos preparados'!Q589</f>
        <v/>
      </c>
      <c r="S596" s="7">
        <f>'1 datos preparados'!R589</f>
        <v/>
      </c>
      <c r="T596" s="7">
        <f>'1 datos preparados'!S589</f>
        <v/>
      </c>
      <c r="U596" s="7">
        <f>'1 datos preparados'!T589</f>
        <v/>
      </c>
      <c r="V596" s="8">
        <f>$AE$12+D596*$AE$13+E596*$AE$14+F596*$AE$15+G596*$AE$16+H596*$AE$17+I596*$AE$18+J596*$AE$19+K596*$AE$20+L596*$AE$21+M596*$AE$22+N596*$AE$23+O596*$AE$24+P596*$AE$25+Q596*$AE$26+R596*$AE$27+S596*$AE$28+T596*$AE$29+U596*$AE$30</f>
        <v/>
      </c>
      <c r="W596" s="8">
        <f>1/(1+EXP(-V596))</f>
        <v/>
      </c>
      <c r="X596" s="9">
        <f>-IF(C596=1,LN(W596),LN(1-W596))</f>
        <v/>
      </c>
      <c r="Y596" s="8">
        <f>'1 datos preparados'!V589</f>
        <v/>
      </c>
      <c r="Z596" s="9">
        <f>Y596*X596</f>
        <v/>
      </c>
      <c r="AA596" s="10">
        <f>IF(W596&gt;$AE$33,1,0)</f>
        <v/>
      </c>
      <c r="AB596">
        <f>IF(AA596=C596,1,0)</f>
        <v/>
      </c>
    </row>
    <row r="597">
      <c r="A597">
        <f>'1 datos preparados'!A590</f>
        <v/>
      </c>
      <c r="B597" s="5">
        <f>'1 datos preparados'!U590</f>
        <v/>
      </c>
      <c r="C597">
        <f>'1 datos preparados'!B590</f>
        <v/>
      </c>
      <c r="D597" s="7">
        <f>'1 datos preparados'!C590</f>
        <v/>
      </c>
      <c r="E597" s="7">
        <f>'1 datos preparados'!D590</f>
        <v/>
      </c>
      <c r="F597" s="7">
        <f>'1 datos preparados'!E590</f>
        <v/>
      </c>
      <c r="G597" s="7">
        <f>'1 datos preparados'!F590</f>
        <v/>
      </c>
      <c r="H597" s="7">
        <f>'1 datos preparados'!G590</f>
        <v/>
      </c>
      <c r="I597" s="7">
        <f>'1 datos preparados'!H590</f>
        <v/>
      </c>
      <c r="J597" s="7">
        <f>'1 datos preparados'!I590</f>
        <v/>
      </c>
      <c r="K597" s="7">
        <f>'1 datos preparados'!J590</f>
        <v/>
      </c>
      <c r="L597" s="7">
        <f>'1 datos preparados'!K590</f>
        <v/>
      </c>
      <c r="M597" s="7">
        <f>'1 datos preparados'!L590</f>
        <v/>
      </c>
      <c r="N597" s="7">
        <f>'1 datos preparados'!M590</f>
        <v/>
      </c>
      <c r="O597" s="7">
        <f>'1 datos preparados'!N590</f>
        <v/>
      </c>
      <c r="P597" s="7">
        <f>'1 datos preparados'!O590</f>
        <v/>
      </c>
      <c r="Q597" s="7">
        <f>'1 datos preparados'!P590</f>
        <v/>
      </c>
      <c r="R597" s="7">
        <f>'1 datos preparados'!Q590</f>
        <v/>
      </c>
      <c r="S597" s="7">
        <f>'1 datos preparados'!R590</f>
        <v/>
      </c>
      <c r="T597" s="7">
        <f>'1 datos preparados'!S590</f>
        <v/>
      </c>
      <c r="U597" s="7">
        <f>'1 datos preparados'!T590</f>
        <v/>
      </c>
      <c r="V597" s="8">
        <f>$AE$12+D597*$AE$13+E597*$AE$14+F597*$AE$15+G597*$AE$16+H597*$AE$17+I597*$AE$18+J597*$AE$19+K597*$AE$20+L597*$AE$21+M597*$AE$22+N597*$AE$23+O597*$AE$24+P597*$AE$25+Q597*$AE$26+R597*$AE$27+S597*$AE$28+T597*$AE$29+U597*$AE$30</f>
        <v/>
      </c>
      <c r="W597" s="8">
        <f>1/(1+EXP(-V597))</f>
        <v/>
      </c>
      <c r="X597" s="9">
        <f>-IF(C597=1,LN(W597),LN(1-W597))</f>
        <v/>
      </c>
      <c r="Y597" s="8">
        <f>'1 datos preparados'!V590</f>
        <v/>
      </c>
      <c r="Z597" s="9">
        <f>Y597*X597</f>
        <v/>
      </c>
      <c r="AA597" s="10">
        <f>IF(W597&gt;$AE$33,1,0)</f>
        <v/>
      </c>
      <c r="AB597">
        <f>IF(AA597=C597,1,0)</f>
        <v/>
      </c>
    </row>
    <row r="598">
      <c r="A598">
        <f>'1 datos preparados'!A591</f>
        <v/>
      </c>
      <c r="B598" s="5">
        <f>'1 datos preparados'!U591</f>
        <v/>
      </c>
      <c r="C598">
        <f>'1 datos preparados'!B591</f>
        <v/>
      </c>
      <c r="D598" s="7">
        <f>'1 datos preparados'!C591</f>
        <v/>
      </c>
      <c r="E598" s="7">
        <f>'1 datos preparados'!D591</f>
        <v/>
      </c>
      <c r="F598" s="7">
        <f>'1 datos preparados'!E591</f>
        <v/>
      </c>
      <c r="G598" s="7">
        <f>'1 datos preparados'!F591</f>
        <v/>
      </c>
      <c r="H598" s="7">
        <f>'1 datos preparados'!G591</f>
        <v/>
      </c>
      <c r="I598" s="7">
        <f>'1 datos preparados'!H591</f>
        <v/>
      </c>
      <c r="J598" s="7">
        <f>'1 datos preparados'!I591</f>
        <v/>
      </c>
      <c r="K598" s="7">
        <f>'1 datos preparados'!J591</f>
        <v/>
      </c>
      <c r="L598" s="7">
        <f>'1 datos preparados'!K591</f>
        <v/>
      </c>
      <c r="M598" s="7">
        <f>'1 datos preparados'!L591</f>
        <v/>
      </c>
      <c r="N598" s="7">
        <f>'1 datos preparados'!M591</f>
        <v/>
      </c>
      <c r="O598" s="7">
        <f>'1 datos preparados'!N591</f>
        <v/>
      </c>
      <c r="P598" s="7">
        <f>'1 datos preparados'!O591</f>
        <v/>
      </c>
      <c r="Q598" s="7">
        <f>'1 datos preparados'!P591</f>
        <v/>
      </c>
      <c r="R598" s="7">
        <f>'1 datos preparados'!Q591</f>
        <v/>
      </c>
      <c r="S598" s="7">
        <f>'1 datos preparados'!R591</f>
        <v/>
      </c>
      <c r="T598" s="7">
        <f>'1 datos preparados'!S591</f>
        <v/>
      </c>
      <c r="U598" s="7">
        <f>'1 datos preparados'!T591</f>
        <v/>
      </c>
      <c r="V598" s="8">
        <f>$AE$12+D598*$AE$13+E598*$AE$14+F598*$AE$15+G598*$AE$16+H598*$AE$17+I598*$AE$18+J598*$AE$19+K598*$AE$20+L598*$AE$21+M598*$AE$22+N598*$AE$23+O598*$AE$24+P598*$AE$25+Q598*$AE$26+R598*$AE$27+S598*$AE$28+T598*$AE$29+U598*$AE$30</f>
        <v/>
      </c>
      <c r="W598" s="8">
        <f>1/(1+EXP(-V598))</f>
        <v/>
      </c>
      <c r="X598" s="9">
        <f>-IF(C598=1,LN(W598),LN(1-W598))</f>
        <v/>
      </c>
      <c r="Y598" s="8">
        <f>'1 datos preparados'!V591</f>
        <v/>
      </c>
      <c r="Z598" s="9">
        <f>Y598*X598</f>
        <v/>
      </c>
      <c r="AA598" s="10">
        <f>IF(W598&gt;$AE$33,1,0)</f>
        <v/>
      </c>
      <c r="AB598">
        <f>IF(AA598=C598,1,0)</f>
        <v/>
      </c>
    </row>
    <row r="599">
      <c r="A599">
        <f>'1 datos preparados'!A592</f>
        <v/>
      </c>
      <c r="B599" s="5">
        <f>'1 datos preparados'!U592</f>
        <v/>
      </c>
      <c r="C599">
        <f>'1 datos preparados'!B592</f>
        <v/>
      </c>
      <c r="D599" s="7">
        <f>'1 datos preparados'!C592</f>
        <v/>
      </c>
      <c r="E599" s="7">
        <f>'1 datos preparados'!D592</f>
        <v/>
      </c>
      <c r="F599" s="7">
        <f>'1 datos preparados'!E592</f>
        <v/>
      </c>
      <c r="G599" s="7">
        <f>'1 datos preparados'!F592</f>
        <v/>
      </c>
      <c r="H599" s="7">
        <f>'1 datos preparados'!G592</f>
        <v/>
      </c>
      <c r="I599" s="7">
        <f>'1 datos preparados'!H592</f>
        <v/>
      </c>
      <c r="J599" s="7">
        <f>'1 datos preparados'!I592</f>
        <v/>
      </c>
      <c r="K599" s="7">
        <f>'1 datos preparados'!J592</f>
        <v/>
      </c>
      <c r="L599" s="7">
        <f>'1 datos preparados'!K592</f>
        <v/>
      </c>
      <c r="M599" s="7">
        <f>'1 datos preparados'!L592</f>
        <v/>
      </c>
      <c r="N599" s="7">
        <f>'1 datos preparados'!M592</f>
        <v/>
      </c>
      <c r="O599" s="7">
        <f>'1 datos preparados'!N592</f>
        <v/>
      </c>
      <c r="P599" s="7">
        <f>'1 datos preparados'!O592</f>
        <v/>
      </c>
      <c r="Q599" s="7">
        <f>'1 datos preparados'!P592</f>
        <v/>
      </c>
      <c r="R599" s="7">
        <f>'1 datos preparados'!Q592</f>
        <v/>
      </c>
      <c r="S599" s="7">
        <f>'1 datos preparados'!R592</f>
        <v/>
      </c>
      <c r="T599" s="7">
        <f>'1 datos preparados'!S592</f>
        <v/>
      </c>
      <c r="U599" s="7">
        <f>'1 datos preparados'!T592</f>
        <v/>
      </c>
      <c r="V599" s="8">
        <f>$AE$12+D599*$AE$13+E599*$AE$14+F599*$AE$15+G599*$AE$16+H599*$AE$17+I599*$AE$18+J599*$AE$19+K599*$AE$20+L599*$AE$21+M599*$AE$22+N599*$AE$23+O599*$AE$24+P599*$AE$25+Q599*$AE$26+R599*$AE$27+S599*$AE$28+T599*$AE$29+U599*$AE$30</f>
        <v/>
      </c>
      <c r="W599" s="8">
        <f>1/(1+EXP(-V599))</f>
        <v/>
      </c>
      <c r="X599" s="9">
        <f>-IF(C599=1,LN(W599),LN(1-W599))</f>
        <v/>
      </c>
      <c r="Y599" s="8">
        <f>'1 datos preparados'!V592</f>
        <v/>
      </c>
      <c r="Z599" s="9">
        <f>Y599*X599</f>
        <v/>
      </c>
      <c r="AA599" s="10">
        <f>IF(W599&gt;$AE$33,1,0)</f>
        <v/>
      </c>
      <c r="AB599">
        <f>IF(AA599=C599,1,0)</f>
        <v/>
      </c>
    </row>
    <row r="600">
      <c r="A600">
        <f>'1 datos preparados'!A593</f>
        <v/>
      </c>
      <c r="B600" s="5">
        <f>'1 datos preparados'!U593</f>
        <v/>
      </c>
      <c r="C600">
        <f>'1 datos preparados'!B593</f>
        <v/>
      </c>
      <c r="D600" s="7">
        <f>'1 datos preparados'!C593</f>
        <v/>
      </c>
      <c r="E600" s="7">
        <f>'1 datos preparados'!D593</f>
        <v/>
      </c>
      <c r="F600" s="7">
        <f>'1 datos preparados'!E593</f>
        <v/>
      </c>
      <c r="G600" s="7">
        <f>'1 datos preparados'!F593</f>
        <v/>
      </c>
      <c r="H600" s="7">
        <f>'1 datos preparados'!G593</f>
        <v/>
      </c>
      <c r="I600" s="7">
        <f>'1 datos preparados'!H593</f>
        <v/>
      </c>
      <c r="J600" s="7">
        <f>'1 datos preparados'!I593</f>
        <v/>
      </c>
      <c r="K600" s="7">
        <f>'1 datos preparados'!J593</f>
        <v/>
      </c>
      <c r="L600" s="7">
        <f>'1 datos preparados'!K593</f>
        <v/>
      </c>
      <c r="M600" s="7">
        <f>'1 datos preparados'!L593</f>
        <v/>
      </c>
      <c r="N600" s="7">
        <f>'1 datos preparados'!M593</f>
        <v/>
      </c>
      <c r="O600" s="7">
        <f>'1 datos preparados'!N593</f>
        <v/>
      </c>
      <c r="P600" s="7">
        <f>'1 datos preparados'!O593</f>
        <v/>
      </c>
      <c r="Q600" s="7">
        <f>'1 datos preparados'!P593</f>
        <v/>
      </c>
      <c r="R600" s="7">
        <f>'1 datos preparados'!Q593</f>
        <v/>
      </c>
      <c r="S600" s="7">
        <f>'1 datos preparados'!R593</f>
        <v/>
      </c>
      <c r="T600" s="7">
        <f>'1 datos preparados'!S593</f>
        <v/>
      </c>
      <c r="U600" s="7">
        <f>'1 datos preparados'!T593</f>
        <v/>
      </c>
      <c r="V600" s="8">
        <f>$AE$12+D600*$AE$13+E600*$AE$14+F600*$AE$15+G600*$AE$16+H600*$AE$17+I600*$AE$18+J600*$AE$19+K600*$AE$20+L600*$AE$21+M600*$AE$22+N600*$AE$23+O600*$AE$24+P600*$AE$25+Q600*$AE$26+R600*$AE$27+S600*$AE$28+T600*$AE$29+U600*$AE$30</f>
        <v/>
      </c>
      <c r="W600" s="8">
        <f>1/(1+EXP(-V600))</f>
        <v/>
      </c>
      <c r="X600" s="9">
        <f>-IF(C600=1,LN(W600),LN(1-W600))</f>
        <v/>
      </c>
      <c r="Y600" s="8">
        <f>'1 datos preparados'!V593</f>
        <v/>
      </c>
      <c r="Z600" s="9">
        <f>Y600*X600</f>
        <v/>
      </c>
      <c r="AA600" s="10">
        <f>IF(W600&gt;$AE$33,1,0)</f>
        <v/>
      </c>
      <c r="AB600">
        <f>IF(AA600=C600,1,0)</f>
        <v/>
      </c>
    </row>
    <row r="601">
      <c r="A601">
        <f>'1 datos preparados'!A594</f>
        <v/>
      </c>
      <c r="B601" s="5">
        <f>'1 datos preparados'!U594</f>
        <v/>
      </c>
      <c r="C601">
        <f>'1 datos preparados'!B594</f>
        <v/>
      </c>
      <c r="D601" s="7">
        <f>'1 datos preparados'!C594</f>
        <v/>
      </c>
      <c r="E601" s="7">
        <f>'1 datos preparados'!D594</f>
        <v/>
      </c>
      <c r="F601" s="7">
        <f>'1 datos preparados'!E594</f>
        <v/>
      </c>
      <c r="G601" s="7">
        <f>'1 datos preparados'!F594</f>
        <v/>
      </c>
      <c r="H601" s="7">
        <f>'1 datos preparados'!G594</f>
        <v/>
      </c>
      <c r="I601" s="7">
        <f>'1 datos preparados'!H594</f>
        <v/>
      </c>
      <c r="J601" s="7">
        <f>'1 datos preparados'!I594</f>
        <v/>
      </c>
      <c r="K601" s="7">
        <f>'1 datos preparados'!J594</f>
        <v/>
      </c>
      <c r="L601" s="7">
        <f>'1 datos preparados'!K594</f>
        <v/>
      </c>
      <c r="M601" s="7">
        <f>'1 datos preparados'!L594</f>
        <v/>
      </c>
      <c r="N601" s="7">
        <f>'1 datos preparados'!M594</f>
        <v/>
      </c>
      <c r="O601" s="7">
        <f>'1 datos preparados'!N594</f>
        <v/>
      </c>
      <c r="P601" s="7">
        <f>'1 datos preparados'!O594</f>
        <v/>
      </c>
      <c r="Q601" s="7">
        <f>'1 datos preparados'!P594</f>
        <v/>
      </c>
      <c r="R601" s="7">
        <f>'1 datos preparados'!Q594</f>
        <v/>
      </c>
      <c r="S601" s="7">
        <f>'1 datos preparados'!R594</f>
        <v/>
      </c>
      <c r="T601" s="7">
        <f>'1 datos preparados'!S594</f>
        <v/>
      </c>
      <c r="U601" s="7">
        <f>'1 datos preparados'!T594</f>
        <v/>
      </c>
      <c r="V601" s="8">
        <f>$AE$12+D601*$AE$13+E601*$AE$14+F601*$AE$15+G601*$AE$16+H601*$AE$17+I601*$AE$18+J601*$AE$19+K601*$AE$20+L601*$AE$21+M601*$AE$22+N601*$AE$23+O601*$AE$24+P601*$AE$25+Q601*$AE$26+R601*$AE$27+S601*$AE$28+T601*$AE$29+U601*$AE$30</f>
        <v/>
      </c>
      <c r="W601" s="8">
        <f>1/(1+EXP(-V601))</f>
        <v/>
      </c>
      <c r="X601" s="9">
        <f>-IF(C601=1,LN(W601),LN(1-W601))</f>
        <v/>
      </c>
      <c r="Y601" s="8">
        <f>'1 datos preparados'!V594</f>
        <v/>
      </c>
      <c r="Z601" s="9">
        <f>Y601*X601</f>
        <v/>
      </c>
      <c r="AA601" s="10">
        <f>IF(W601&gt;$AE$33,1,0)</f>
        <v/>
      </c>
      <c r="AB601">
        <f>IF(AA601=C601,1,0)</f>
        <v/>
      </c>
    </row>
    <row r="602">
      <c r="A602">
        <f>'1 datos preparados'!A595</f>
        <v/>
      </c>
      <c r="B602" s="5">
        <f>'1 datos preparados'!U595</f>
        <v/>
      </c>
      <c r="C602">
        <f>'1 datos preparados'!B595</f>
        <v/>
      </c>
      <c r="D602" s="7">
        <f>'1 datos preparados'!C595</f>
        <v/>
      </c>
      <c r="E602" s="7">
        <f>'1 datos preparados'!D595</f>
        <v/>
      </c>
      <c r="F602" s="7">
        <f>'1 datos preparados'!E595</f>
        <v/>
      </c>
      <c r="G602" s="7">
        <f>'1 datos preparados'!F595</f>
        <v/>
      </c>
      <c r="H602" s="7">
        <f>'1 datos preparados'!G595</f>
        <v/>
      </c>
      <c r="I602" s="7">
        <f>'1 datos preparados'!H595</f>
        <v/>
      </c>
      <c r="J602" s="7">
        <f>'1 datos preparados'!I595</f>
        <v/>
      </c>
      <c r="K602" s="7">
        <f>'1 datos preparados'!J595</f>
        <v/>
      </c>
      <c r="L602" s="7">
        <f>'1 datos preparados'!K595</f>
        <v/>
      </c>
      <c r="M602" s="7">
        <f>'1 datos preparados'!L595</f>
        <v/>
      </c>
      <c r="N602" s="7">
        <f>'1 datos preparados'!M595</f>
        <v/>
      </c>
      <c r="O602" s="7">
        <f>'1 datos preparados'!N595</f>
        <v/>
      </c>
      <c r="P602" s="7">
        <f>'1 datos preparados'!O595</f>
        <v/>
      </c>
      <c r="Q602" s="7">
        <f>'1 datos preparados'!P595</f>
        <v/>
      </c>
      <c r="R602" s="7">
        <f>'1 datos preparados'!Q595</f>
        <v/>
      </c>
      <c r="S602" s="7">
        <f>'1 datos preparados'!R595</f>
        <v/>
      </c>
      <c r="T602" s="7">
        <f>'1 datos preparados'!S595</f>
        <v/>
      </c>
      <c r="U602" s="7">
        <f>'1 datos preparados'!T595</f>
        <v/>
      </c>
      <c r="V602" s="8">
        <f>$AE$12+D602*$AE$13+E602*$AE$14+F602*$AE$15+G602*$AE$16+H602*$AE$17+I602*$AE$18+J602*$AE$19+K602*$AE$20+L602*$AE$21+M602*$AE$22+N602*$AE$23+O602*$AE$24+P602*$AE$25+Q602*$AE$26+R602*$AE$27+S602*$AE$28+T602*$AE$29+U602*$AE$30</f>
        <v/>
      </c>
      <c r="W602" s="8">
        <f>1/(1+EXP(-V602))</f>
        <v/>
      </c>
      <c r="X602" s="9">
        <f>-IF(C602=1,LN(W602),LN(1-W602))</f>
        <v/>
      </c>
      <c r="Y602" s="8">
        <f>'1 datos preparados'!V595</f>
        <v/>
      </c>
      <c r="Z602" s="9">
        <f>Y602*X602</f>
        <v/>
      </c>
      <c r="AA602" s="10">
        <f>IF(W602&gt;$AE$33,1,0)</f>
        <v/>
      </c>
      <c r="AB602">
        <f>IF(AA602=C602,1,0)</f>
        <v/>
      </c>
    </row>
    <row r="603">
      <c r="A603">
        <f>'1 datos preparados'!A596</f>
        <v/>
      </c>
      <c r="B603" s="5">
        <f>'1 datos preparados'!U596</f>
        <v/>
      </c>
      <c r="C603">
        <f>'1 datos preparados'!B596</f>
        <v/>
      </c>
      <c r="D603" s="7">
        <f>'1 datos preparados'!C596</f>
        <v/>
      </c>
      <c r="E603" s="7">
        <f>'1 datos preparados'!D596</f>
        <v/>
      </c>
      <c r="F603" s="7">
        <f>'1 datos preparados'!E596</f>
        <v/>
      </c>
      <c r="G603" s="7">
        <f>'1 datos preparados'!F596</f>
        <v/>
      </c>
      <c r="H603" s="7">
        <f>'1 datos preparados'!G596</f>
        <v/>
      </c>
      <c r="I603" s="7">
        <f>'1 datos preparados'!H596</f>
        <v/>
      </c>
      <c r="J603" s="7">
        <f>'1 datos preparados'!I596</f>
        <v/>
      </c>
      <c r="K603" s="7">
        <f>'1 datos preparados'!J596</f>
        <v/>
      </c>
      <c r="L603" s="7">
        <f>'1 datos preparados'!K596</f>
        <v/>
      </c>
      <c r="M603" s="7">
        <f>'1 datos preparados'!L596</f>
        <v/>
      </c>
      <c r="N603" s="7">
        <f>'1 datos preparados'!M596</f>
        <v/>
      </c>
      <c r="O603" s="7">
        <f>'1 datos preparados'!N596</f>
        <v/>
      </c>
      <c r="P603" s="7">
        <f>'1 datos preparados'!O596</f>
        <v/>
      </c>
      <c r="Q603" s="7">
        <f>'1 datos preparados'!P596</f>
        <v/>
      </c>
      <c r="R603" s="7">
        <f>'1 datos preparados'!Q596</f>
        <v/>
      </c>
      <c r="S603" s="7">
        <f>'1 datos preparados'!R596</f>
        <v/>
      </c>
      <c r="T603" s="7">
        <f>'1 datos preparados'!S596</f>
        <v/>
      </c>
      <c r="U603" s="7">
        <f>'1 datos preparados'!T596</f>
        <v/>
      </c>
      <c r="V603" s="8">
        <f>$AE$12+D603*$AE$13+E603*$AE$14+F603*$AE$15+G603*$AE$16+H603*$AE$17+I603*$AE$18+J603*$AE$19+K603*$AE$20+L603*$AE$21+M603*$AE$22+N603*$AE$23+O603*$AE$24+P603*$AE$25+Q603*$AE$26+R603*$AE$27+S603*$AE$28+T603*$AE$29+U603*$AE$30</f>
        <v/>
      </c>
      <c r="W603" s="8">
        <f>1/(1+EXP(-V603))</f>
        <v/>
      </c>
      <c r="X603" s="9">
        <f>-IF(C603=1,LN(W603),LN(1-W603))</f>
        <v/>
      </c>
      <c r="Y603" s="8">
        <f>'1 datos preparados'!V596</f>
        <v/>
      </c>
      <c r="Z603" s="9">
        <f>Y603*X603</f>
        <v/>
      </c>
      <c r="AA603" s="10">
        <f>IF(W603&gt;$AE$33,1,0)</f>
        <v/>
      </c>
      <c r="AB603">
        <f>IF(AA603=C603,1,0)</f>
        <v/>
      </c>
    </row>
    <row r="604">
      <c r="A604">
        <f>'1 datos preparados'!A597</f>
        <v/>
      </c>
      <c r="B604" s="5">
        <f>'1 datos preparados'!U597</f>
        <v/>
      </c>
      <c r="C604">
        <f>'1 datos preparados'!B597</f>
        <v/>
      </c>
      <c r="D604" s="7">
        <f>'1 datos preparados'!C597</f>
        <v/>
      </c>
      <c r="E604" s="7">
        <f>'1 datos preparados'!D597</f>
        <v/>
      </c>
      <c r="F604" s="7">
        <f>'1 datos preparados'!E597</f>
        <v/>
      </c>
      <c r="G604" s="7">
        <f>'1 datos preparados'!F597</f>
        <v/>
      </c>
      <c r="H604" s="7">
        <f>'1 datos preparados'!G597</f>
        <v/>
      </c>
      <c r="I604" s="7">
        <f>'1 datos preparados'!H597</f>
        <v/>
      </c>
      <c r="J604" s="7">
        <f>'1 datos preparados'!I597</f>
        <v/>
      </c>
      <c r="K604" s="7">
        <f>'1 datos preparados'!J597</f>
        <v/>
      </c>
      <c r="L604" s="7">
        <f>'1 datos preparados'!K597</f>
        <v/>
      </c>
      <c r="M604" s="7">
        <f>'1 datos preparados'!L597</f>
        <v/>
      </c>
      <c r="N604" s="7">
        <f>'1 datos preparados'!M597</f>
        <v/>
      </c>
      <c r="O604" s="7">
        <f>'1 datos preparados'!N597</f>
        <v/>
      </c>
      <c r="P604" s="7">
        <f>'1 datos preparados'!O597</f>
        <v/>
      </c>
      <c r="Q604" s="7">
        <f>'1 datos preparados'!P597</f>
        <v/>
      </c>
      <c r="R604" s="7">
        <f>'1 datos preparados'!Q597</f>
        <v/>
      </c>
      <c r="S604" s="7">
        <f>'1 datos preparados'!R597</f>
        <v/>
      </c>
      <c r="T604" s="7">
        <f>'1 datos preparados'!S597</f>
        <v/>
      </c>
      <c r="U604" s="7">
        <f>'1 datos preparados'!T597</f>
        <v/>
      </c>
      <c r="V604" s="8">
        <f>$AE$12+D604*$AE$13+E604*$AE$14+F604*$AE$15+G604*$AE$16+H604*$AE$17+I604*$AE$18+J604*$AE$19+K604*$AE$20+L604*$AE$21+M604*$AE$22+N604*$AE$23+O604*$AE$24+P604*$AE$25+Q604*$AE$26+R604*$AE$27+S604*$AE$28+T604*$AE$29+U604*$AE$30</f>
        <v/>
      </c>
      <c r="W604" s="8">
        <f>1/(1+EXP(-V604))</f>
        <v/>
      </c>
      <c r="X604" s="9">
        <f>-IF(C604=1,LN(W604),LN(1-W604))</f>
        <v/>
      </c>
      <c r="Y604" s="8">
        <f>'1 datos preparados'!V597</f>
        <v/>
      </c>
      <c r="Z604" s="9">
        <f>Y604*X604</f>
        <v/>
      </c>
      <c r="AA604" s="10">
        <f>IF(W604&gt;$AE$33,1,0)</f>
        <v/>
      </c>
      <c r="AB604">
        <f>IF(AA604=C604,1,0)</f>
        <v/>
      </c>
    </row>
    <row r="605">
      <c r="A605">
        <f>'1 datos preparados'!A598</f>
        <v/>
      </c>
      <c r="B605" s="5">
        <f>'1 datos preparados'!U598</f>
        <v/>
      </c>
      <c r="C605">
        <f>'1 datos preparados'!B598</f>
        <v/>
      </c>
      <c r="D605" s="7">
        <f>'1 datos preparados'!C598</f>
        <v/>
      </c>
      <c r="E605" s="7">
        <f>'1 datos preparados'!D598</f>
        <v/>
      </c>
      <c r="F605" s="7">
        <f>'1 datos preparados'!E598</f>
        <v/>
      </c>
      <c r="G605" s="7">
        <f>'1 datos preparados'!F598</f>
        <v/>
      </c>
      <c r="H605" s="7">
        <f>'1 datos preparados'!G598</f>
        <v/>
      </c>
      <c r="I605" s="7">
        <f>'1 datos preparados'!H598</f>
        <v/>
      </c>
      <c r="J605" s="7">
        <f>'1 datos preparados'!I598</f>
        <v/>
      </c>
      <c r="K605" s="7">
        <f>'1 datos preparados'!J598</f>
        <v/>
      </c>
      <c r="L605" s="7">
        <f>'1 datos preparados'!K598</f>
        <v/>
      </c>
      <c r="M605" s="7">
        <f>'1 datos preparados'!L598</f>
        <v/>
      </c>
      <c r="N605" s="7">
        <f>'1 datos preparados'!M598</f>
        <v/>
      </c>
      <c r="O605" s="7">
        <f>'1 datos preparados'!N598</f>
        <v/>
      </c>
      <c r="P605" s="7">
        <f>'1 datos preparados'!O598</f>
        <v/>
      </c>
      <c r="Q605" s="7">
        <f>'1 datos preparados'!P598</f>
        <v/>
      </c>
      <c r="R605" s="7">
        <f>'1 datos preparados'!Q598</f>
        <v/>
      </c>
      <c r="S605" s="7">
        <f>'1 datos preparados'!R598</f>
        <v/>
      </c>
      <c r="T605" s="7">
        <f>'1 datos preparados'!S598</f>
        <v/>
      </c>
      <c r="U605" s="7">
        <f>'1 datos preparados'!T598</f>
        <v/>
      </c>
      <c r="V605" s="8">
        <f>$AE$12+D605*$AE$13+E605*$AE$14+F605*$AE$15+G605*$AE$16+H605*$AE$17+I605*$AE$18+J605*$AE$19+K605*$AE$20+L605*$AE$21+M605*$AE$22+N605*$AE$23+O605*$AE$24+P605*$AE$25+Q605*$AE$26+R605*$AE$27+S605*$AE$28+T605*$AE$29+U605*$AE$30</f>
        <v/>
      </c>
      <c r="W605" s="8">
        <f>1/(1+EXP(-V605))</f>
        <v/>
      </c>
      <c r="X605" s="9">
        <f>-IF(C605=1,LN(W605),LN(1-W605))</f>
        <v/>
      </c>
      <c r="Y605" s="8">
        <f>'1 datos preparados'!V598</f>
        <v/>
      </c>
      <c r="Z605" s="9">
        <f>Y605*X605</f>
        <v/>
      </c>
      <c r="AA605" s="10">
        <f>IF(W605&gt;$AE$33,1,0)</f>
        <v/>
      </c>
      <c r="AB605">
        <f>IF(AA605=C605,1,0)</f>
        <v/>
      </c>
    </row>
    <row r="606">
      <c r="A606">
        <f>'1 datos preparados'!A599</f>
        <v/>
      </c>
      <c r="B606" s="5">
        <f>'1 datos preparados'!U599</f>
        <v/>
      </c>
      <c r="C606">
        <f>'1 datos preparados'!B599</f>
        <v/>
      </c>
      <c r="D606" s="7">
        <f>'1 datos preparados'!C599</f>
        <v/>
      </c>
      <c r="E606" s="7">
        <f>'1 datos preparados'!D599</f>
        <v/>
      </c>
      <c r="F606" s="7">
        <f>'1 datos preparados'!E599</f>
        <v/>
      </c>
      <c r="G606" s="7">
        <f>'1 datos preparados'!F599</f>
        <v/>
      </c>
      <c r="H606" s="7">
        <f>'1 datos preparados'!G599</f>
        <v/>
      </c>
      <c r="I606" s="7">
        <f>'1 datos preparados'!H599</f>
        <v/>
      </c>
      <c r="J606" s="7">
        <f>'1 datos preparados'!I599</f>
        <v/>
      </c>
      <c r="K606" s="7">
        <f>'1 datos preparados'!J599</f>
        <v/>
      </c>
      <c r="L606" s="7">
        <f>'1 datos preparados'!K599</f>
        <v/>
      </c>
      <c r="M606" s="7">
        <f>'1 datos preparados'!L599</f>
        <v/>
      </c>
      <c r="N606" s="7">
        <f>'1 datos preparados'!M599</f>
        <v/>
      </c>
      <c r="O606" s="7">
        <f>'1 datos preparados'!N599</f>
        <v/>
      </c>
      <c r="P606" s="7">
        <f>'1 datos preparados'!O599</f>
        <v/>
      </c>
      <c r="Q606" s="7">
        <f>'1 datos preparados'!P599</f>
        <v/>
      </c>
      <c r="R606" s="7">
        <f>'1 datos preparados'!Q599</f>
        <v/>
      </c>
      <c r="S606" s="7">
        <f>'1 datos preparados'!R599</f>
        <v/>
      </c>
      <c r="T606" s="7">
        <f>'1 datos preparados'!S599</f>
        <v/>
      </c>
      <c r="U606" s="7">
        <f>'1 datos preparados'!T599</f>
        <v/>
      </c>
      <c r="V606" s="8">
        <f>$AE$12+D606*$AE$13+E606*$AE$14+F606*$AE$15+G606*$AE$16+H606*$AE$17+I606*$AE$18+J606*$AE$19+K606*$AE$20+L606*$AE$21+M606*$AE$22+N606*$AE$23+O606*$AE$24+P606*$AE$25+Q606*$AE$26+R606*$AE$27+S606*$AE$28+T606*$AE$29+U606*$AE$30</f>
        <v/>
      </c>
      <c r="W606" s="8">
        <f>1/(1+EXP(-V606))</f>
        <v/>
      </c>
      <c r="X606" s="9">
        <f>-IF(C606=1,LN(W606),LN(1-W606))</f>
        <v/>
      </c>
      <c r="Y606" s="8">
        <f>'1 datos preparados'!V599</f>
        <v/>
      </c>
      <c r="Z606" s="9">
        <f>Y606*X606</f>
        <v/>
      </c>
      <c r="AA606" s="10">
        <f>IF(W606&gt;$AE$33,1,0)</f>
        <v/>
      </c>
      <c r="AB606">
        <f>IF(AA606=C606,1,0)</f>
        <v/>
      </c>
    </row>
    <row r="607">
      <c r="A607">
        <f>'1 datos preparados'!A600</f>
        <v/>
      </c>
      <c r="B607" s="5">
        <f>'1 datos preparados'!U600</f>
        <v/>
      </c>
      <c r="C607">
        <f>'1 datos preparados'!B600</f>
        <v/>
      </c>
      <c r="D607" s="7">
        <f>'1 datos preparados'!C600</f>
        <v/>
      </c>
      <c r="E607" s="7">
        <f>'1 datos preparados'!D600</f>
        <v/>
      </c>
      <c r="F607" s="7">
        <f>'1 datos preparados'!E600</f>
        <v/>
      </c>
      <c r="G607" s="7">
        <f>'1 datos preparados'!F600</f>
        <v/>
      </c>
      <c r="H607" s="7">
        <f>'1 datos preparados'!G600</f>
        <v/>
      </c>
      <c r="I607" s="7">
        <f>'1 datos preparados'!H600</f>
        <v/>
      </c>
      <c r="J607" s="7">
        <f>'1 datos preparados'!I600</f>
        <v/>
      </c>
      <c r="K607" s="7">
        <f>'1 datos preparados'!J600</f>
        <v/>
      </c>
      <c r="L607" s="7">
        <f>'1 datos preparados'!K600</f>
        <v/>
      </c>
      <c r="M607" s="7">
        <f>'1 datos preparados'!L600</f>
        <v/>
      </c>
      <c r="N607" s="7">
        <f>'1 datos preparados'!M600</f>
        <v/>
      </c>
      <c r="O607" s="7">
        <f>'1 datos preparados'!N600</f>
        <v/>
      </c>
      <c r="P607" s="7">
        <f>'1 datos preparados'!O600</f>
        <v/>
      </c>
      <c r="Q607" s="7">
        <f>'1 datos preparados'!P600</f>
        <v/>
      </c>
      <c r="R607" s="7">
        <f>'1 datos preparados'!Q600</f>
        <v/>
      </c>
      <c r="S607" s="7">
        <f>'1 datos preparados'!R600</f>
        <v/>
      </c>
      <c r="T607" s="7">
        <f>'1 datos preparados'!S600</f>
        <v/>
      </c>
      <c r="U607" s="7">
        <f>'1 datos preparados'!T600</f>
        <v/>
      </c>
      <c r="V607" s="8">
        <f>$AE$12+D607*$AE$13+E607*$AE$14+F607*$AE$15+G607*$AE$16+H607*$AE$17+I607*$AE$18+J607*$AE$19+K607*$AE$20+L607*$AE$21+M607*$AE$22+N607*$AE$23+O607*$AE$24+P607*$AE$25+Q607*$AE$26+R607*$AE$27+S607*$AE$28+T607*$AE$29+U607*$AE$30</f>
        <v/>
      </c>
      <c r="W607" s="8">
        <f>1/(1+EXP(-V607))</f>
        <v/>
      </c>
      <c r="X607" s="9">
        <f>-IF(C607=1,LN(W607),LN(1-W607))</f>
        <v/>
      </c>
      <c r="Y607" s="8">
        <f>'1 datos preparados'!V600</f>
        <v/>
      </c>
      <c r="Z607" s="9">
        <f>Y607*X607</f>
        <v/>
      </c>
      <c r="AA607" s="10">
        <f>IF(W607&gt;$AE$33,1,0)</f>
        <v/>
      </c>
      <c r="AB607">
        <f>IF(AA607=C607,1,0)</f>
        <v/>
      </c>
    </row>
    <row r="608">
      <c r="A608">
        <f>'1 datos preparados'!A601</f>
        <v/>
      </c>
      <c r="B608" s="5">
        <f>'1 datos preparados'!U601</f>
        <v/>
      </c>
      <c r="C608">
        <f>'1 datos preparados'!B601</f>
        <v/>
      </c>
      <c r="D608" s="7">
        <f>'1 datos preparados'!C601</f>
        <v/>
      </c>
      <c r="E608" s="7">
        <f>'1 datos preparados'!D601</f>
        <v/>
      </c>
      <c r="F608" s="7">
        <f>'1 datos preparados'!E601</f>
        <v/>
      </c>
      <c r="G608" s="7">
        <f>'1 datos preparados'!F601</f>
        <v/>
      </c>
      <c r="H608" s="7">
        <f>'1 datos preparados'!G601</f>
        <v/>
      </c>
      <c r="I608" s="7">
        <f>'1 datos preparados'!H601</f>
        <v/>
      </c>
      <c r="J608" s="7">
        <f>'1 datos preparados'!I601</f>
        <v/>
      </c>
      <c r="K608" s="7">
        <f>'1 datos preparados'!J601</f>
        <v/>
      </c>
      <c r="L608" s="7">
        <f>'1 datos preparados'!K601</f>
        <v/>
      </c>
      <c r="M608" s="7">
        <f>'1 datos preparados'!L601</f>
        <v/>
      </c>
      <c r="N608" s="7">
        <f>'1 datos preparados'!M601</f>
        <v/>
      </c>
      <c r="O608" s="7">
        <f>'1 datos preparados'!N601</f>
        <v/>
      </c>
      <c r="P608" s="7">
        <f>'1 datos preparados'!O601</f>
        <v/>
      </c>
      <c r="Q608" s="7">
        <f>'1 datos preparados'!P601</f>
        <v/>
      </c>
      <c r="R608" s="7">
        <f>'1 datos preparados'!Q601</f>
        <v/>
      </c>
      <c r="S608" s="7">
        <f>'1 datos preparados'!R601</f>
        <v/>
      </c>
      <c r="T608" s="7">
        <f>'1 datos preparados'!S601</f>
        <v/>
      </c>
      <c r="U608" s="7">
        <f>'1 datos preparados'!T601</f>
        <v/>
      </c>
      <c r="V608" s="8">
        <f>$AE$12+D608*$AE$13+E608*$AE$14+F608*$AE$15+G608*$AE$16+H608*$AE$17+I608*$AE$18+J608*$AE$19+K608*$AE$20+L608*$AE$21+M608*$AE$22+N608*$AE$23+O608*$AE$24+P608*$AE$25+Q608*$AE$26+R608*$AE$27+S608*$AE$28+T608*$AE$29+U608*$AE$30</f>
        <v/>
      </c>
      <c r="W608" s="8">
        <f>1/(1+EXP(-V608))</f>
        <v/>
      </c>
      <c r="X608" s="9">
        <f>-IF(C608=1,LN(W608),LN(1-W608))</f>
        <v/>
      </c>
      <c r="Y608" s="8">
        <f>'1 datos preparados'!V601</f>
        <v/>
      </c>
      <c r="Z608" s="9">
        <f>Y608*X608</f>
        <v/>
      </c>
      <c r="AA608" s="10">
        <f>IF(W608&gt;$AE$33,1,0)</f>
        <v/>
      </c>
      <c r="AB608">
        <f>IF(AA608=C608,1,0)</f>
        <v/>
      </c>
    </row>
    <row r="609">
      <c r="A609">
        <f>'1 datos preparados'!A602</f>
        <v/>
      </c>
      <c r="B609" s="5">
        <f>'1 datos preparados'!U602</f>
        <v/>
      </c>
      <c r="C609">
        <f>'1 datos preparados'!B602</f>
        <v/>
      </c>
      <c r="D609" s="7">
        <f>'1 datos preparados'!C602</f>
        <v/>
      </c>
      <c r="E609" s="7">
        <f>'1 datos preparados'!D602</f>
        <v/>
      </c>
      <c r="F609" s="7">
        <f>'1 datos preparados'!E602</f>
        <v/>
      </c>
      <c r="G609" s="7">
        <f>'1 datos preparados'!F602</f>
        <v/>
      </c>
      <c r="H609" s="7">
        <f>'1 datos preparados'!G602</f>
        <v/>
      </c>
      <c r="I609" s="7">
        <f>'1 datos preparados'!H602</f>
        <v/>
      </c>
      <c r="J609" s="7">
        <f>'1 datos preparados'!I602</f>
        <v/>
      </c>
      <c r="K609" s="7">
        <f>'1 datos preparados'!J602</f>
        <v/>
      </c>
      <c r="L609" s="7">
        <f>'1 datos preparados'!K602</f>
        <v/>
      </c>
      <c r="M609" s="7">
        <f>'1 datos preparados'!L602</f>
        <v/>
      </c>
      <c r="N609" s="7">
        <f>'1 datos preparados'!M602</f>
        <v/>
      </c>
      <c r="O609" s="7">
        <f>'1 datos preparados'!N602</f>
        <v/>
      </c>
      <c r="P609" s="7">
        <f>'1 datos preparados'!O602</f>
        <v/>
      </c>
      <c r="Q609" s="7">
        <f>'1 datos preparados'!P602</f>
        <v/>
      </c>
      <c r="R609" s="7">
        <f>'1 datos preparados'!Q602</f>
        <v/>
      </c>
      <c r="S609" s="7">
        <f>'1 datos preparados'!R602</f>
        <v/>
      </c>
      <c r="T609" s="7">
        <f>'1 datos preparados'!S602</f>
        <v/>
      </c>
      <c r="U609" s="7">
        <f>'1 datos preparados'!T602</f>
        <v/>
      </c>
      <c r="V609" s="8">
        <f>$AE$12+D609*$AE$13+E609*$AE$14+F609*$AE$15+G609*$AE$16+H609*$AE$17+I609*$AE$18+J609*$AE$19+K609*$AE$20+L609*$AE$21+M609*$AE$22+N609*$AE$23+O609*$AE$24+P609*$AE$25+Q609*$AE$26+R609*$AE$27+S609*$AE$28+T609*$AE$29+U609*$AE$30</f>
        <v/>
      </c>
      <c r="W609" s="8">
        <f>1/(1+EXP(-V609))</f>
        <v/>
      </c>
      <c r="X609" s="9">
        <f>-IF(C609=1,LN(W609),LN(1-W609))</f>
        <v/>
      </c>
      <c r="Y609" s="8">
        <f>'1 datos preparados'!V602</f>
        <v/>
      </c>
      <c r="Z609" s="9">
        <f>Y609*X609</f>
        <v/>
      </c>
      <c r="AA609" s="10">
        <f>IF(W609&gt;$AE$33,1,0)</f>
        <v/>
      </c>
      <c r="AB609">
        <f>IF(AA609=C609,1,0)</f>
        <v/>
      </c>
    </row>
    <row r="610">
      <c r="A610">
        <f>'1 datos preparados'!A603</f>
        <v/>
      </c>
      <c r="B610" s="5">
        <f>'1 datos preparados'!U603</f>
        <v/>
      </c>
      <c r="C610">
        <f>'1 datos preparados'!B603</f>
        <v/>
      </c>
      <c r="D610" s="7">
        <f>'1 datos preparados'!C603</f>
        <v/>
      </c>
      <c r="E610" s="7">
        <f>'1 datos preparados'!D603</f>
        <v/>
      </c>
      <c r="F610" s="7">
        <f>'1 datos preparados'!E603</f>
        <v/>
      </c>
      <c r="G610" s="7">
        <f>'1 datos preparados'!F603</f>
        <v/>
      </c>
      <c r="H610" s="7">
        <f>'1 datos preparados'!G603</f>
        <v/>
      </c>
      <c r="I610" s="7">
        <f>'1 datos preparados'!H603</f>
        <v/>
      </c>
      <c r="J610" s="7">
        <f>'1 datos preparados'!I603</f>
        <v/>
      </c>
      <c r="K610" s="7">
        <f>'1 datos preparados'!J603</f>
        <v/>
      </c>
      <c r="L610" s="7">
        <f>'1 datos preparados'!K603</f>
        <v/>
      </c>
      <c r="M610" s="7">
        <f>'1 datos preparados'!L603</f>
        <v/>
      </c>
      <c r="N610" s="7">
        <f>'1 datos preparados'!M603</f>
        <v/>
      </c>
      <c r="O610" s="7">
        <f>'1 datos preparados'!N603</f>
        <v/>
      </c>
      <c r="P610" s="7">
        <f>'1 datos preparados'!O603</f>
        <v/>
      </c>
      <c r="Q610" s="7">
        <f>'1 datos preparados'!P603</f>
        <v/>
      </c>
      <c r="R610" s="7">
        <f>'1 datos preparados'!Q603</f>
        <v/>
      </c>
      <c r="S610" s="7">
        <f>'1 datos preparados'!R603</f>
        <v/>
      </c>
      <c r="T610" s="7">
        <f>'1 datos preparados'!S603</f>
        <v/>
      </c>
      <c r="U610" s="7">
        <f>'1 datos preparados'!T603</f>
        <v/>
      </c>
      <c r="V610" s="8">
        <f>$AE$12+D610*$AE$13+E610*$AE$14+F610*$AE$15+G610*$AE$16+H610*$AE$17+I610*$AE$18+J610*$AE$19+K610*$AE$20+L610*$AE$21+M610*$AE$22+N610*$AE$23+O610*$AE$24+P610*$AE$25+Q610*$AE$26+R610*$AE$27+S610*$AE$28+T610*$AE$29+U610*$AE$30</f>
        <v/>
      </c>
      <c r="W610" s="8">
        <f>1/(1+EXP(-V610))</f>
        <v/>
      </c>
      <c r="X610" s="9">
        <f>-IF(C610=1,LN(W610),LN(1-W610))</f>
        <v/>
      </c>
      <c r="Y610" s="8">
        <f>'1 datos preparados'!V603</f>
        <v/>
      </c>
      <c r="Z610" s="9">
        <f>Y610*X610</f>
        <v/>
      </c>
      <c r="AA610" s="10">
        <f>IF(W610&gt;$AE$33,1,0)</f>
        <v/>
      </c>
      <c r="AB610">
        <f>IF(AA610=C610,1,0)</f>
        <v/>
      </c>
    </row>
    <row r="611">
      <c r="A611">
        <f>'1 datos preparados'!A604</f>
        <v/>
      </c>
      <c r="B611" s="5">
        <f>'1 datos preparados'!U604</f>
        <v/>
      </c>
      <c r="C611">
        <f>'1 datos preparados'!B604</f>
        <v/>
      </c>
      <c r="D611" s="7">
        <f>'1 datos preparados'!C604</f>
        <v/>
      </c>
      <c r="E611" s="7">
        <f>'1 datos preparados'!D604</f>
        <v/>
      </c>
      <c r="F611" s="7">
        <f>'1 datos preparados'!E604</f>
        <v/>
      </c>
      <c r="G611" s="7">
        <f>'1 datos preparados'!F604</f>
        <v/>
      </c>
      <c r="H611" s="7">
        <f>'1 datos preparados'!G604</f>
        <v/>
      </c>
      <c r="I611" s="7">
        <f>'1 datos preparados'!H604</f>
        <v/>
      </c>
      <c r="J611" s="7">
        <f>'1 datos preparados'!I604</f>
        <v/>
      </c>
      <c r="K611" s="7">
        <f>'1 datos preparados'!J604</f>
        <v/>
      </c>
      <c r="L611" s="7">
        <f>'1 datos preparados'!K604</f>
        <v/>
      </c>
      <c r="M611" s="7">
        <f>'1 datos preparados'!L604</f>
        <v/>
      </c>
      <c r="N611" s="7">
        <f>'1 datos preparados'!M604</f>
        <v/>
      </c>
      <c r="O611" s="7">
        <f>'1 datos preparados'!N604</f>
        <v/>
      </c>
      <c r="P611" s="7">
        <f>'1 datos preparados'!O604</f>
        <v/>
      </c>
      <c r="Q611" s="7">
        <f>'1 datos preparados'!P604</f>
        <v/>
      </c>
      <c r="R611" s="7">
        <f>'1 datos preparados'!Q604</f>
        <v/>
      </c>
      <c r="S611" s="7">
        <f>'1 datos preparados'!R604</f>
        <v/>
      </c>
      <c r="T611" s="7">
        <f>'1 datos preparados'!S604</f>
        <v/>
      </c>
      <c r="U611" s="7">
        <f>'1 datos preparados'!T604</f>
        <v/>
      </c>
      <c r="V611" s="8">
        <f>$AE$12+D611*$AE$13+E611*$AE$14+F611*$AE$15+G611*$AE$16+H611*$AE$17+I611*$AE$18+J611*$AE$19+K611*$AE$20+L611*$AE$21+M611*$AE$22+N611*$AE$23+O611*$AE$24+P611*$AE$25+Q611*$AE$26+R611*$AE$27+S611*$AE$28+T611*$AE$29+U611*$AE$30</f>
        <v/>
      </c>
      <c r="W611" s="8">
        <f>1/(1+EXP(-V611))</f>
        <v/>
      </c>
      <c r="X611" s="9">
        <f>-IF(C611=1,LN(W611),LN(1-W611))</f>
        <v/>
      </c>
      <c r="Y611" s="8">
        <f>'1 datos preparados'!V604</f>
        <v/>
      </c>
      <c r="Z611" s="9">
        <f>Y611*X611</f>
        <v/>
      </c>
      <c r="AA611" s="10">
        <f>IF(W611&gt;$AE$33,1,0)</f>
        <v/>
      </c>
      <c r="AB611">
        <f>IF(AA611=C611,1,0)</f>
        <v/>
      </c>
    </row>
    <row r="612">
      <c r="A612">
        <f>'1 datos preparados'!A605</f>
        <v/>
      </c>
      <c r="B612" s="5">
        <f>'1 datos preparados'!U605</f>
        <v/>
      </c>
      <c r="C612">
        <f>'1 datos preparados'!B605</f>
        <v/>
      </c>
      <c r="D612" s="7">
        <f>'1 datos preparados'!C605</f>
        <v/>
      </c>
      <c r="E612" s="7">
        <f>'1 datos preparados'!D605</f>
        <v/>
      </c>
      <c r="F612" s="7">
        <f>'1 datos preparados'!E605</f>
        <v/>
      </c>
      <c r="G612" s="7">
        <f>'1 datos preparados'!F605</f>
        <v/>
      </c>
      <c r="H612" s="7">
        <f>'1 datos preparados'!G605</f>
        <v/>
      </c>
      <c r="I612" s="7">
        <f>'1 datos preparados'!H605</f>
        <v/>
      </c>
      <c r="J612" s="7">
        <f>'1 datos preparados'!I605</f>
        <v/>
      </c>
      <c r="K612" s="7">
        <f>'1 datos preparados'!J605</f>
        <v/>
      </c>
      <c r="L612" s="7">
        <f>'1 datos preparados'!K605</f>
        <v/>
      </c>
      <c r="M612" s="7">
        <f>'1 datos preparados'!L605</f>
        <v/>
      </c>
      <c r="N612" s="7">
        <f>'1 datos preparados'!M605</f>
        <v/>
      </c>
      <c r="O612" s="7">
        <f>'1 datos preparados'!N605</f>
        <v/>
      </c>
      <c r="P612" s="7">
        <f>'1 datos preparados'!O605</f>
        <v/>
      </c>
      <c r="Q612" s="7">
        <f>'1 datos preparados'!P605</f>
        <v/>
      </c>
      <c r="R612" s="7">
        <f>'1 datos preparados'!Q605</f>
        <v/>
      </c>
      <c r="S612" s="7">
        <f>'1 datos preparados'!R605</f>
        <v/>
      </c>
      <c r="T612" s="7">
        <f>'1 datos preparados'!S605</f>
        <v/>
      </c>
      <c r="U612" s="7">
        <f>'1 datos preparados'!T605</f>
        <v/>
      </c>
      <c r="V612" s="8">
        <f>$AE$12+D612*$AE$13+E612*$AE$14+F612*$AE$15+G612*$AE$16+H612*$AE$17+I612*$AE$18+J612*$AE$19+K612*$AE$20+L612*$AE$21+M612*$AE$22+N612*$AE$23+O612*$AE$24+P612*$AE$25+Q612*$AE$26+R612*$AE$27+S612*$AE$28+T612*$AE$29+U612*$AE$30</f>
        <v/>
      </c>
      <c r="W612" s="8">
        <f>1/(1+EXP(-V612))</f>
        <v/>
      </c>
      <c r="X612" s="9">
        <f>-IF(C612=1,LN(W612),LN(1-W612))</f>
        <v/>
      </c>
      <c r="Y612" s="8">
        <f>'1 datos preparados'!V605</f>
        <v/>
      </c>
      <c r="Z612" s="9">
        <f>Y612*X612</f>
        <v/>
      </c>
      <c r="AA612" s="10">
        <f>IF(W612&gt;$AE$33,1,0)</f>
        <v/>
      </c>
      <c r="AB612">
        <f>IF(AA612=C612,1,0)</f>
        <v/>
      </c>
    </row>
    <row r="613">
      <c r="A613">
        <f>'1 datos preparados'!A606</f>
        <v/>
      </c>
      <c r="B613" s="5">
        <f>'1 datos preparados'!U606</f>
        <v/>
      </c>
      <c r="C613">
        <f>'1 datos preparados'!B606</f>
        <v/>
      </c>
      <c r="D613" s="7">
        <f>'1 datos preparados'!C606</f>
        <v/>
      </c>
      <c r="E613" s="7">
        <f>'1 datos preparados'!D606</f>
        <v/>
      </c>
      <c r="F613" s="7">
        <f>'1 datos preparados'!E606</f>
        <v/>
      </c>
      <c r="G613" s="7">
        <f>'1 datos preparados'!F606</f>
        <v/>
      </c>
      <c r="H613" s="7">
        <f>'1 datos preparados'!G606</f>
        <v/>
      </c>
      <c r="I613" s="7">
        <f>'1 datos preparados'!H606</f>
        <v/>
      </c>
      <c r="J613" s="7">
        <f>'1 datos preparados'!I606</f>
        <v/>
      </c>
      <c r="K613" s="7">
        <f>'1 datos preparados'!J606</f>
        <v/>
      </c>
      <c r="L613" s="7">
        <f>'1 datos preparados'!K606</f>
        <v/>
      </c>
      <c r="M613" s="7">
        <f>'1 datos preparados'!L606</f>
        <v/>
      </c>
      <c r="N613" s="7">
        <f>'1 datos preparados'!M606</f>
        <v/>
      </c>
      <c r="O613" s="7">
        <f>'1 datos preparados'!N606</f>
        <v/>
      </c>
      <c r="P613" s="7">
        <f>'1 datos preparados'!O606</f>
        <v/>
      </c>
      <c r="Q613" s="7">
        <f>'1 datos preparados'!P606</f>
        <v/>
      </c>
      <c r="R613" s="7">
        <f>'1 datos preparados'!Q606</f>
        <v/>
      </c>
      <c r="S613" s="7">
        <f>'1 datos preparados'!R606</f>
        <v/>
      </c>
      <c r="T613" s="7">
        <f>'1 datos preparados'!S606</f>
        <v/>
      </c>
      <c r="U613" s="7">
        <f>'1 datos preparados'!T606</f>
        <v/>
      </c>
      <c r="V613" s="8">
        <f>$AE$12+D613*$AE$13+E613*$AE$14+F613*$AE$15+G613*$AE$16+H613*$AE$17+I613*$AE$18+J613*$AE$19+K613*$AE$20+L613*$AE$21+M613*$AE$22+N613*$AE$23+O613*$AE$24+P613*$AE$25+Q613*$AE$26+R613*$AE$27+S613*$AE$28+T613*$AE$29+U613*$AE$30</f>
        <v/>
      </c>
      <c r="W613" s="8">
        <f>1/(1+EXP(-V613))</f>
        <v/>
      </c>
      <c r="X613" s="9">
        <f>-IF(C613=1,LN(W613),LN(1-W613))</f>
        <v/>
      </c>
      <c r="Y613" s="8">
        <f>'1 datos preparados'!V606</f>
        <v/>
      </c>
      <c r="Z613" s="9">
        <f>Y613*X613</f>
        <v/>
      </c>
      <c r="AA613" s="10">
        <f>IF(W613&gt;$AE$33,1,0)</f>
        <v/>
      </c>
      <c r="AB613">
        <f>IF(AA613=C613,1,0)</f>
        <v/>
      </c>
    </row>
    <row r="614">
      <c r="A614">
        <f>'1 datos preparados'!A607</f>
        <v/>
      </c>
      <c r="B614" s="5">
        <f>'1 datos preparados'!U607</f>
        <v/>
      </c>
      <c r="C614">
        <f>'1 datos preparados'!B607</f>
        <v/>
      </c>
      <c r="D614" s="7">
        <f>'1 datos preparados'!C607</f>
        <v/>
      </c>
      <c r="E614" s="7">
        <f>'1 datos preparados'!D607</f>
        <v/>
      </c>
      <c r="F614" s="7">
        <f>'1 datos preparados'!E607</f>
        <v/>
      </c>
      <c r="G614" s="7">
        <f>'1 datos preparados'!F607</f>
        <v/>
      </c>
      <c r="H614" s="7">
        <f>'1 datos preparados'!G607</f>
        <v/>
      </c>
      <c r="I614" s="7">
        <f>'1 datos preparados'!H607</f>
        <v/>
      </c>
      <c r="J614" s="7">
        <f>'1 datos preparados'!I607</f>
        <v/>
      </c>
      <c r="K614" s="7">
        <f>'1 datos preparados'!J607</f>
        <v/>
      </c>
      <c r="L614" s="7">
        <f>'1 datos preparados'!K607</f>
        <v/>
      </c>
      <c r="M614" s="7">
        <f>'1 datos preparados'!L607</f>
        <v/>
      </c>
      <c r="N614" s="7">
        <f>'1 datos preparados'!M607</f>
        <v/>
      </c>
      <c r="O614" s="7">
        <f>'1 datos preparados'!N607</f>
        <v/>
      </c>
      <c r="P614" s="7">
        <f>'1 datos preparados'!O607</f>
        <v/>
      </c>
      <c r="Q614" s="7">
        <f>'1 datos preparados'!P607</f>
        <v/>
      </c>
      <c r="R614" s="7">
        <f>'1 datos preparados'!Q607</f>
        <v/>
      </c>
      <c r="S614" s="7">
        <f>'1 datos preparados'!R607</f>
        <v/>
      </c>
      <c r="T614" s="7">
        <f>'1 datos preparados'!S607</f>
        <v/>
      </c>
      <c r="U614" s="7">
        <f>'1 datos preparados'!T607</f>
        <v/>
      </c>
      <c r="V614" s="8">
        <f>$AE$12+D614*$AE$13+E614*$AE$14+F614*$AE$15+G614*$AE$16+H614*$AE$17+I614*$AE$18+J614*$AE$19+K614*$AE$20+L614*$AE$21+M614*$AE$22+N614*$AE$23+O614*$AE$24+P614*$AE$25+Q614*$AE$26+R614*$AE$27+S614*$AE$28+T614*$AE$29+U614*$AE$30</f>
        <v/>
      </c>
      <c r="W614" s="8">
        <f>1/(1+EXP(-V614))</f>
        <v/>
      </c>
      <c r="X614" s="9">
        <f>-IF(C614=1,LN(W614),LN(1-W614))</f>
        <v/>
      </c>
      <c r="Y614" s="8">
        <f>'1 datos preparados'!V607</f>
        <v/>
      </c>
      <c r="Z614" s="9">
        <f>Y614*X614</f>
        <v/>
      </c>
      <c r="AA614" s="10">
        <f>IF(W614&gt;$AE$33,1,0)</f>
        <v/>
      </c>
      <c r="AB614">
        <f>IF(AA614=C614,1,0)</f>
        <v/>
      </c>
    </row>
    <row r="615">
      <c r="A615">
        <f>'1 datos preparados'!A608</f>
        <v/>
      </c>
      <c r="B615" s="5">
        <f>'1 datos preparados'!U608</f>
        <v/>
      </c>
      <c r="C615">
        <f>'1 datos preparados'!B608</f>
        <v/>
      </c>
      <c r="D615" s="7">
        <f>'1 datos preparados'!C608</f>
        <v/>
      </c>
      <c r="E615" s="7">
        <f>'1 datos preparados'!D608</f>
        <v/>
      </c>
      <c r="F615" s="7">
        <f>'1 datos preparados'!E608</f>
        <v/>
      </c>
      <c r="G615" s="7">
        <f>'1 datos preparados'!F608</f>
        <v/>
      </c>
      <c r="H615" s="7">
        <f>'1 datos preparados'!G608</f>
        <v/>
      </c>
      <c r="I615" s="7">
        <f>'1 datos preparados'!H608</f>
        <v/>
      </c>
      <c r="J615" s="7">
        <f>'1 datos preparados'!I608</f>
        <v/>
      </c>
      <c r="K615" s="7">
        <f>'1 datos preparados'!J608</f>
        <v/>
      </c>
      <c r="L615" s="7">
        <f>'1 datos preparados'!K608</f>
        <v/>
      </c>
      <c r="M615" s="7">
        <f>'1 datos preparados'!L608</f>
        <v/>
      </c>
      <c r="N615" s="7">
        <f>'1 datos preparados'!M608</f>
        <v/>
      </c>
      <c r="O615" s="7">
        <f>'1 datos preparados'!N608</f>
        <v/>
      </c>
      <c r="P615" s="7">
        <f>'1 datos preparados'!O608</f>
        <v/>
      </c>
      <c r="Q615" s="7">
        <f>'1 datos preparados'!P608</f>
        <v/>
      </c>
      <c r="R615" s="7">
        <f>'1 datos preparados'!Q608</f>
        <v/>
      </c>
      <c r="S615" s="7">
        <f>'1 datos preparados'!R608</f>
        <v/>
      </c>
      <c r="T615" s="7">
        <f>'1 datos preparados'!S608</f>
        <v/>
      </c>
      <c r="U615" s="7">
        <f>'1 datos preparados'!T608</f>
        <v/>
      </c>
      <c r="V615" s="8">
        <f>$AE$12+D615*$AE$13+E615*$AE$14+F615*$AE$15+G615*$AE$16+H615*$AE$17+I615*$AE$18+J615*$AE$19+K615*$AE$20+L615*$AE$21+M615*$AE$22+N615*$AE$23+O615*$AE$24+P615*$AE$25+Q615*$AE$26+R615*$AE$27+S615*$AE$28+T615*$AE$29+U615*$AE$30</f>
        <v/>
      </c>
      <c r="W615" s="8">
        <f>1/(1+EXP(-V615))</f>
        <v/>
      </c>
      <c r="X615" s="9">
        <f>-IF(C615=1,LN(W615),LN(1-W615))</f>
        <v/>
      </c>
      <c r="Y615" s="8">
        <f>'1 datos preparados'!V608</f>
        <v/>
      </c>
      <c r="Z615" s="9">
        <f>Y615*X615</f>
        <v/>
      </c>
      <c r="AA615" s="10">
        <f>IF(W615&gt;$AE$33,1,0)</f>
        <v/>
      </c>
      <c r="AB615">
        <f>IF(AA615=C615,1,0)</f>
        <v/>
      </c>
    </row>
    <row r="616">
      <c r="A616">
        <f>'1 datos preparados'!A609</f>
        <v/>
      </c>
      <c r="B616" s="5">
        <f>'1 datos preparados'!U609</f>
        <v/>
      </c>
      <c r="C616">
        <f>'1 datos preparados'!B609</f>
        <v/>
      </c>
      <c r="D616" s="7">
        <f>'1 datos preparados'!C609</f>
        <v/>
      </c>
      <c r="E616" s="7">
        <f>'1 datos preparados'!D609</f>
        <v/>
      </c>
      <c r="F616" s="7">
        <f>'1 datos preparados'!E609</f>
        <v/>
      </c>
      <c r="G616" s="7">
        <f>'1 datos preparados'!F609</f>
        <v/>
      </c>
      <c r="H616" s="7">
        <f>'1 datos preparados'!G609</f>
        <v/>
      </c>
      <c r="I616" s="7">
        <f>'1 datos preparados'!H609</f>
        <v/>
      </c>
      <c r="J616" s="7">
        <f>'1 datos preparados'!I609</f>
        <v/>
      </c>
      <c r="K616" s="7">
        <f>'1 datos preparados'!J609</f>
        <v/>
      </c>
      <c r="L616" s="7">
        <f>'1 datos preparados'!K609</f>
        <v/>
      </c>
      <c r="M616" s="7">
        <f>'1 datos preparados'!L609</f>
        <v/>
      </c>
      <c r="N616" s="7">
        <f>'1 datos preparados'!M609</f>
        <v/>
      </c>
      <c r="O616" s="7">
        <f>'1 datos preparados'!N609</f>
        <v/>
      </c>
      <c r="P616" s="7">
        <f>'1 datos preparados'!O609</f>
        <v/>
      </c>
      <c r="Q616" s="7">
        <f>'1 datos preparados'!P609</f>
        <v/>
      </c>
      <c r="R616" s="7">
        <f>'1 datos preparados'!Q609</f>
        <v/>
      </c>
      <c r="S616" s="7">
        <f>'1 datos preparados'!R609</f>
        <v/>
      </c>
      <c r="T616" s="7">
        <f>'1 datos preparados'!S609</f>
        <v/>
      </c>
      <c r="U616" s="7">
        <f>'1 datos preparados'!T609</f>
        <v/>
      </c>
      <c r="V616" s="8">
        <f>$AE$12+D616*$AE$13+E616*$AE$14+F616*$AE$15+G616*$AE$16+H616*$AE$17+I616*$AE$18+J616*$AE$19+K616*$AE$20+L616*$AE$21+M616*$AE$22+N616*$AE$23+O616*$AE$24+P616*$AE$25+Q616*$AE$26+R616*$AE$27+S616*$AE$28+T616*$AE$29+U616*$AE$30</f>
        <v/>
      </c>
      <c r="W616" s="8">
        <f>1/(1+EXP(-V616))</f>
        <v/>
      </c>
      <c r="X616" s="9">
        <f>-IF(C616=1,LN(W616),LN(1-W616))</f>
        <v/>
      </c>
      <c r="Y616" s="8">
        <f>'1 datos preparados'!V609</f>
        <v/>
      </c>
      <c r="Z616" s="9">
        <f>Y616*X616</f>
        <v/>
      </c>
      <c r="AA616" s="10">
        <f>IF(W616&gt;$AE$33,1,0)</f>
        <v/>
      </c>
      <c r="AB616">
        <f>IF(AA616=C616,1,0)</f>
        <v/>
      </c>
    </row>
    <row r="617">
      <c r="A617">
        <f>'1 datos preparados'!A610</f>
        <v/>
      </c>
      <c r="B617" s="5">
        <f>'1 datos preparados'!U610</f>
        <v/>
      </c>
      <c r="C617">
        <f>'1 datos preparados'!B610</f>
        <v/>
      </c>
      <c r="D617" s="7">
        <f>'1 datos preparados'!C610</f>
        <v/>
      </c>
      <c r="E617" s="7">
        <f>'1 datos preparados'!D610</f>
        <v/>
      </c>
      <c r="F617" s="7">
        <f>'1 datos preparados'!E610</f>
        <v/>
      </c>
      <c r="G617" s="7">
        <f>'1 datos preparados'!F610</f>
        <v/>
      </c>
      <c r="H617" s="7">
        <f>'1 datos preparados'!G610</f>
        <v/>
      </c>
      <c r="I617" s="7">
        <f>'1 datos preparados'!H610</f>
        <v/>
      </c>
      <c r="J617" s="7">
        <f>'1 datos preparados'!I610</f>
        <v/>
      </c>
      <c r="K617" s="7">
        <f>'1 datos preparados'!J610</f>
        <v/>
      </c>
      <c r="L617" s="7">
        <f>'1 datos preparados'!K610</f>
        <v/>
      </c>
      <c r="M617" s="7">
        <f>'1 datos preparados'!L610</f>
        <v/>
      </c>
      <c r="N617" s="7">
        <f>'1 datos preparados'!M610</f>
        <v/>
      </c>
      <c r="O617" s="7">
        <f>'1 datos preparados'!N610</f>
        <v/>
      </c>
      <c r="P617" s="7">
        <f>'1 datos preparados'!O610</f>
        <v/>
      </c>
      <c r="Q617" s="7">
        <f>'1 datos preparados'!P610</f>
        <v/>
      </c>
      <c r="R617" s="7">
        <f>'1 datos preparados'!Q610</f>
        <v/>
      </c>
      <c r="S617" s="7">
        <f>'1 datos preparados'!R610</f>
        <v/>
      </c>
      <c r="T617" s="7">
        <f>'1 datos preparados'!S610</f>
        <v/>
      </c>
      <c r="U617" s="7">
        <f>'1 datos preparados'!T610</f>
        <v/>
      </c>
      <c r="V617" s="8">
        <f>$AE$12+D617*$AE$13+E617*$AE$14+F617*$AE$15+G617*$AE$16+H617*$AE$17+I617*$AE$18+J617*$AE$19+K617*$AE$20+L617*$AE$21+M617*$AE$22+N617*$AE$23+O617*$AE$24+P617*$AE$25+Q617*$AE$26+R617*$AE$27+S617*$AE$28+T617*$AE$29+U617*$AE$30</f>
        <v/>
      </c>
      <c r="W617" s="8">
        <f>1/(1+EXP(-V617))</f>
        <v/>
      </c>
      <c r="X617" s="9">
        <f>-IF(C617=1,LN(W617),LN(1-W617))</f>
        <v/>
      </c>
      <c r="Y617" s="8">
        <f>'1 datos preparados'!V610</f>
        <v/>
      </c>
      <c r="Z617" s="9">
        <f>Y617*X617</f>
        <v/>
      </c>
      <c r="AA617" s="10">
        <f>IF(W617&gt;$AE$33,1,0)</f>
        <v/>
      </c>
      <c r="AB617">
        <f>IF(AA617=C617,1,0)</f>
        <v/>
      </c>
    </row>
    <row r="618">
      <c r="A618">
        <f>'1 datos preparados'!A611</f>
        <v/>
      </c>
      <c r="B618" s="5">
        <f>'1 datos preparados'!U611</f>
        <v/>
      </c>
      <c r="C618">
        <f>'1 datos preparados'!B611</f>
        <v/>
      </c>
      <c r="D618" s="7">
        <f>'1 datos preparados'!C611</f>
        <v/>
      </c>
      <c r="E618" s="7">
        <f>'1 datos preparados'!D611</f>
        <v/>
      </c>
      <c r="F618" s="7">
        <f>'1 datos preparados'!E611</f>
        <v/>
      </c>
      <c r="G618" s="7">
        <f>'1 datos preparados'!F611</f>
        <v/>
      </c>
      <c r="H618" s="7">
        <f>'1 datos preparados'!G611</f>
        <v/>
      </c>
      <c r="I618" s="7">
        <f>'1 datos preparados'!H611</f>
        <v/>
      </c>
      <c r="J618" s="7">
        <f>'1 datos preparados'!I611</f>
        <v/>
      </c>
      <c r="K618" s="7">
        <f>'1 datos preparados'!J611</f>
        <v/>
      </c>
      <c r="L618" s="7">
        <f>'1 datos preparados'!K611</f>
        <v/>
      </c>
      <c r="M618" s="7">
        <f>'1 datos preparados'!L611</f>
        <v/>
      </c>
      <c r="N618" s="7">
        <f>'1 datos preparados'!M611</f>
        <v/>
      </c>
      <c r="O618" s="7">
        <f>'1 datos preparados'!N611</f>
        <v/>
      </c>
      <c r="P618" s="7">
        <f>'1 datos preparados'!O611</f>
        <v/>
      </c>
      <c r="Q618" s="7">
        <f>'1 datos preparados'!P611</f>
        <v/>
      </c>
      <c r="R618" s="7">
        <f>'1 datos preparados'!Q611</f>
        <v/>
      </c>
      <c r="S618" s="7">
        <f>'1 datos preparados'!R611</f>
        <v/>
      </c>
      <c r="T618" s="7">
        <f>'1 datos preparados'!S611</f>
        <v/>
      </c>
      <c r="U618" s="7">
        <f>'1 datos preparados'!T611</f>
        <v/>
      </c>
      <c r="V618" s="8">
        <f>$AE$12+D618*$AE$13+E618*$AE$14+F618*$AE$15+G618*$AE$16+H618*$AE$17+I618*$AE$18+J618*$AE$19+K618*$AE$20+L618*$AE$21+M618*$AE$22+N618*$AE$23+O618*$AE$24+P618*$AE$25+Q618*$AE$26+R618*$AE$27+S618*$AE$28+T618*$AE$29+U618*$AE$30</f>
        <v/>
      </c>
      <c r="W618" s="8">
        <f>1/(1+EXP(-V618))</f>
        <v/>
      </c>
      <c r="X618" s="9">
        <f>-IF(C618=1,LN(W618),LN(1-W618))</f>
        <v/>
      </c>
      <c r="Y618" s="8">
        <f>'1 datos preparados'!V611</f>
        <v/>
      </c>
      <c r="Z618" s="9">
        <f>Y618*X618</f>
        <v/>
      </c>
      <c r="AA618" s="10">
        <f>IF(W618&gt;$AE$33,1,0)</f>
        <v/>
      </c>
      <c r="AB618">
        <f>IF(AA618=C618,1,0)</f>
        <v/>
      </c>
    </row>
    <row r="619">
      <c r="A619">
        <f>'1 datos preparados'!A612</f>
        <v/>
      </c>
      <c r="B619" s="5">
        <f>'1 datos preparados'!U612</f>
        <v/>
      </c>
      <c r="C619">
        <f>'1 datos preparados'!B612</f>
        <v/>
      </c>
      <c r="D619" s="7">
        <f>'1 datos preparados'!C612</f>
        <v/>
      </c>
      <c r="E619" s="7">
        <f>'1 datos preparados'!D612</f>
        <v/>
      </c>
      <c r="F619" s="7">
        <f>'1 datos preparados'!E612</f>
        <v/>
      </c>
      <c r="G619" s="7">
        <f>'1 datos preparados'!F612</f>
        <v/>
      </c>
      <c r="H619" s="7">
        <f>'1 datos preparados'!G612</f>
        <v/>
      </c>
      <c r="I619" s="7">
        <f>'1 datos preparados'!H612</f>
        <v/>
      </c>
      <c r="J619" s="7">
        <f>'1 datos preparados'!I612</f>
        <v/>
      </c>
      <c r="K619" s="7">
        <f>'1 datos preparados'!J612</f>
        <v/>
      </c>
      <c r="L619" s="7">
        <f>'1 datos preparados'!K612</f>
        <v/>
      </c>
      <c r="M619" s="7">
        <f>'1 datos preparados'!L612</f>
        <v/>
      </c>
      <c r="N619" s="7">
        <f>'1 datos preparados'!M612</f>
        <v/>
      </c>
      <c r="O619" s="7">
        <f>'1 datos preparados'!N612</f>
        <v/>
      </c>
      <c r="P619" s="7">
        <f>'1 datos preparados'!O612</f>
        <v/>
      </c>
      <c r="Q619" s="7">
        <f>'1 datos preparados'!P612</f>
        <v/>
      </c>
      <c r="R619" s="7">
        <f>'1 datos preparados'!Q612</f>
        <v/>
      </c>
      <c r="S619" s="7">
        <f>'1 datos preparados'!R612</f>
        <v/>
      </c>
      <c r="T619" s="7">
        <f>'1 datos preparados'!S612</f>
        <v/>
      </c>
      <c r="U619" s="7">
        <f>'1 datos preparados'!T612</f>
        <v/>
      </c>
      <c r="V619" s="8">
        <f>$AE$12+D619*$AE$13+E619*$AE$14+F619*$AE$15+G619*$AE$16+H619*$AE$17+I619*$AE$18+J619*$AE$19+K619*$AE$20+L619*$AE$21+M619*$AE$22+N619*$AE$23+O619*$AE$24+P619*$AE$25+Q619*$AE$26+R619*$AE$27+S619*$AE$28+T619*$AE$29+U619*$AE$30</f>
        <v/>
      </c>
      <c r="W619" s="8">
        <f>1/(1+EXP(-V619))</f>
        <v/>
      </c>
      <c r="X619" s="9">
        <f>-IF(C619=1,LN(W619),LN(1-W619))</f>
        <v/>
      </c>
      <c r="Y619" s="8">
        <f>'1 datos preparados'!V612</f>
        <v/>
      </c>
      <c r="Z619" s="9">
        <f>Y619*X619</f>
        <v/>
      </c>
      <c r="AA619" s="10">
        <f>IF(W619&gt;$AE$33,1,0)</f>
        <v/>
      </c>
      <c r="AB619">
        <f>IF(AA619=C619,1,0)</f>
        <v/>
      </c>
    </row>
    <row r="620">
      <c r="A620">
        <f>'1 datos preparados'!A613</f>
        <v/>
      </c>
      <c r="B620" s="5">
        <f>'1 datos preparados'!U613</f>
        <v/>
      </c>
      <c r="C620">
        <f>'1 datos preparados'!B613</f>
        <v/>
      </c>
      <c r="D620" s="7">
        <f>'1 datos preparados'!C613</f>
        <v/>
      </c>
      <c r="E620" s="7">
        <f>'1 datos preparados'!D613</f>
        <v/>
      </c>
      <c r="F620" s="7">
        <f>'1 datos preparados'!E613</f>
        <v/>
      </c>
      <c r="G620" s="7">
        <f>'1 datos preparados'!F613</f>
        <v/>
      </c>
      <c r="H620" s="7">
        <f>'1 datos preparados'!G613</f>
        <v/>
      </c>
      <c r="I620" s="7">
        <f>'1 datos preparados'!H613</f>
        <v/>
      </c>
      <c r="J620" s="7">
        <f>'1 datos preparados'!I613</f>
        <v/>
      </c>
      <c r="K620" s="7">
        <f>'1 datos preparados'!J613</f>
        <v/>
      </c>
      <c r="L620" s="7">
        <f>'1 datos preparados'!K613</f>
        <v/>
      </c>
      <c r="M620" s="7">
        <f>'1 datos preparados'!L613</f>
        <v/>
      </c>
      <c r="N620" s="7">
        <f>'1 datos preparados'!M613</f>
        <v/>
      </c>
      <c r="O620" s="7">
        <f>'1 datos preparados'!N613</f>
        <v/>
      </c>
      <c r="P620" s="7">
        <f>'1 datos preparados'!O613</f>
        <v/>
      </c>
      <c r="Q620" s="7">
        <f>'1 datos preparados'!P613</f>
        <v/>
      </c>
      <c r="R620" s="7">
        <f>'1 datos preparados'!Q613</f>
        <v/>
      </c>
      <c r="S620" s="7">
        <f>'1 datos preparados'!R613</f>
        <v/>
      </c>
      <c r="T620" s="7">
        <f>'1 datos preparados'!S613</f>
        <v/>
      </c>
      <c r="U620" s="7">
        <f>'1 datos preparados'!T613</f>
        <v/>
      </c>
      <c r="V620" s="8">
        <f>$AE$12+D620*$AE$13+E620*$AE$14+F620*$AE$15+G620*$AE$16+H620*$AE$17+I620*$AE$18+J620*$AE$19+K620*$AE$20+L620*$AE$21+M620*$AE$22+N620*$AE$23+O620*$AE$24+P620*$AE$25+Q620*$AE$26+R620*$AE$27+S620*$AE$28+T620*$AE$29+U620*$AE$30</f>
        <v/>
      </c>
      <c r="W620" s="8">
        <f>1/(1+EXP(-V620))</f>
        <v/>
      </c>
      <c r="X620" s="9">
        <f>-IF(C620=1,LN(W620),LN(1-W620))</f>
        <v/>
      </c>
      <c r="Y620" s="8">
        <f>'1 datos preparados'!V613</f>
        <v/>
      </c>
      <c r="Z620" s="9">
        <f>Y620*X620</f>
        <v/>
      </c>
      <c r="AA620" s="10">
        <f>IF(W620&gt;$AE$33,1,0)</f>
        <v/>
      </c>
      <c r="AB620">
        <f>IF(AA620=C620,1,0)</f>
        <v/>
      </c>
    </row>
    <row r="621">
      <c r="A621">
        <f>'1 datos preparados'!A614</f>
        <v/>
      </c>
      <c r="B621" s="5">
        <f>'1 datos preparados'!U614</f>
        <v/>
      </c>
      <c r="C621">
        <f>'1 datos preparados'!B614</f>
        <v/>
      </c>
      <c r="D621" s="7">
        <f>'1 datos preparados'!C614</f>
        <v/>
      </c>
      <c r="E621" s="7">
        <f>'1 datos preparados'!D614</f>
        <v/>
      </c>
      <c r="F621" s="7">
        <f>'1 datos preparados'!E614</f>
        <v/>
      </c>
      <c r="G621" s="7">
        <f>'1 datos preparados'!F614</f>
        <v/>
      </c>
      <c r="H621" s="7">
        <f>'1 datos preparados'!G614</f>
        <v/>
      </c>
      <c r="I621" s="7">
        <f>'1 datos preparados'!H614</f>
        <v/>
      </c>
      <c r="J621" s="7">
        <f>'1 datos preparados'!I614</f>
        <v/>
      </c>
      <c r="K621" s="7">
        <f>'1 datos preparados'!J614</f>
        <v/>
      </c>
      <c r="L621" s="7">
        <f>'1 datos preparados'!K614</f>
        <v/>
      </c>
      <c r="M621" s="7">
        <f>'1 datos preparados'!L614</f>
        <v/>
      </c>
      <c r="N621" s="7">
        <f>'1 datos preparados'!M614</f>
        <v/>
      </c>
      <c r="O621" s="7">
        <f>'1 datos preparados'!N614</f>
        <v/>
      </c>
      <c r="P621" s="7">
        <f>'1 datos preparados'!O614</f>
        <v/>
      </c>
      <c r="Q621" s="7">
        <f>'1 datos preparados'!P614</f>
        <v/>
      </c>
      <c r="R621" s="7">
        <f>'1 datos preparados'!Q614</f>
        <v/>
      </c>
      <c r="S621" s="7">
        <f>'1 datos preparados'!R614</f>
        <v/>
      </c>
      <c r="T621" s="7">
        <f>'1 datos preparados'!S614</f>
        <v/>
      </c>
      <c r="U621" s="7">
        <f>'1 datos preparados'!T614</f>
        <v/>
      </c>
      <c r="V621" s="8">
        <f>$AE$12+D621*$AE$13+E621*$AE$14+F621*$AE$15+G621*$AE$16+H621*$AE$17+I621*$AE$18+J621*$AE$19+K621*$AE$20+L621*$AE$21+M621*$AE$22+N621*$AE$23+O621*$AE$24+P621*$AE$25+Q621*$AE$26+R621*$AE$27+S621*$AE$28+T621*$AE$29+U621*$AE$30</f>
        <v/>
      </c>
      <c r="W621" s="8">
        <f>1/(1+EXP(-V621))</f>
        <v/>
      </c>
      <c r="X621" s="9">
        <f>-IF(C621=1,LN(W621),LN(1-W621))</f>
        <v/>
      </c>
      <c r="Y621" s="8">
        <f>'1 datos preparados'!V614</f>
        <v/>
      </c>
      <c r="Z621" s="9">
        <f>Y621*X621</f>
        <v/>
      </c>
      <c r="AA621" s="10">
        <f>IF(W621&gt;$AE$33,1,0)</f>
        <v/>
      </c>
      <c r="AB621">
        <f>IF(AA621=C621,1,0)</f>
        <v/>
      </c>
    </row>
    <row r="622">
      <c r="A622">
        <f>'1 datos preparados'!A615</f>
        <v/>
      </c>
      <c r="B622" s="5">
        <f>'1 datos preparados'!U615</f>
        <v/>
      </c>
      <c r="C622">
        <f>'1 datos preparados'!B615</f>
        <v/>
      </c>
      <c r="D622" s="7">
        <f>'1 datos preparados'!C615</f>
        <v/>
      </c>
      <c r="E622" s="7">
        <f>'1 datos preparados'!D615</f>
        <v/>
      </c>
      <c r="F622" s="7">
        <f>'1 datos preparados'!E615</f>
        <v/>
      </c>
      <c r="G622" s="7">
        <f>'1 datos preparados'!F615</f>
        <v/>
      </c>
      <c r="H622" s="7">
        <f>'1 datos preparados'!G615</f>
        <v/>
      </c>
      <c r="I622" s="7">
        <f>'1 datos preparados'!H615</f>
        <v/>
      </c>
      <c r="J622" s="7">
        <f>'1 datos preparados'!I615</f>
        <v/>
      </c>
      <c r="K622" s="7">
        <f>'1 datos preparados'!J615</f>
        <v/>
      </c>
      <c r="L622" s="7">
        <f>'1 datos preparados'!K615</f>
        <v/>
      </c>
      <c r="M622" s="7">
        <f>'1 datos preparados'!L615</f>
        <v/>
      </c>
      <c r="N622" s="7">
        <f>'1 datos preparados'!M615</f>
        <v/>
      </c>
      <c r="O622" s="7">
        <f>'1 datos preparados'!N615</f>
        <v/>
      </c>
      <c r="P622" s="7">
        <f>'1 datos preparados'!O615</f>
        <v/>
      </c>
      <c r="Q622" s="7">
        <f>'1 datos preparados'!P615</f>
        <v/>
      </c>
      <c r="R622" s="7">
        <f>'1 datos preparados'!Q615</f>
        <v/>
      </c>
      <c r="S622" s="7">
        <f>'1 datos preparados'!R615</f>
        <v/>
      </c>
      <c r="T622" s="7">
        <f>'1 datos preparados'!S615</f>
        <v/>
      </c>
      <c r="U622" s="7">
        <f>'1 datos preparados'!T615</f>
        <v/>
      </c>
      <c r="V622" s="8">
        <f>$AE$12+D622*$AE$13+E622*$AE$14+F622*$AE$15+G622*$AE$16+H622*$AE$17+I622*$AE$18+J622*$AE$19+K622*$AE$20+L622*$AE$21+M622*$AE$22+N622*$AE$23+O622*$AE$24+P622*$AE$25+Q622*$AE$26+R622*$AE$27+S622*$AE$28+T622*$AE$29+U622*$AE$30</f>
        <v/>
      </c>
      <c r="W622" s="8">
        <f>1/(1+EXP(-V622))</f>
        <v/>
      </c>
      <c r="X622" s="9">
        <f>-IF(C622=1,LN(W622),LN(1-W622))</f>
        <v/>
      </c>
      <c r="Y622" s="8">
        <f>'1 datos preparados'!V615</f>
        <v/>
      </c>
      <c r="Z622" s="9">
        <f>Y622*X622</f>
        <v/>
      </c>
      <c r="AA622" s="10">
        <f>IF(W622&gt;$AE$33,1,0)</f>
        <v/>
      </c>
      <c r="AB622">
        <f>IF(AA622=C622,1,0)</f>
        <v/>
      </c>
    </row>
    <row r="623">
      <c r="A623">
        <f>'1 datos preparados'!A616</f>
        <v/>
      </c>
      <c r="B623" s="5">
        <f>'1 datos preparados'!U616</f>
        <v/>
      </c>
      <c r="C623">
        <f>'1 datos preparados'!B616</f>
        <v/>
      </c>
      <c r="D623" s="7">
        <f>'1 datos preparados'!C616</f>
        <v/>
      </c>
      <c r="E623" s="7">
        <f>'1 datos preparados'!D616</f>
        <v/>
      </c>
      <c r="F623" s="7">
        <f>'1 datos preparados'!E616</f>
        <v/>
      </c>
      <c r="G623" s="7">
        <f>'1 datos preparados'!F616</f>
        <v/>
      </c>
      <c r="H623" s="7">
        <f>'1 datos preparados'!G616</f>
        <v/>
      </c>
      <c r="I623" s="7">
        <f>'1 datos preparados'!H616</f>
        <v/>
      </c>
      <c r="J623" s="7">
        <f>'1 datos preparados'!I616</f>
        <v/>
      </c>
      <c r="K623" s="7">
        <f>'1 datos preparados'!J616</f>
        <v/>
      </c>
      <c r="L623" s="7">
        <f>'1 datos preparados'!K616</f>
        <v/>
      </c>
      <c r="M623" s="7">
        <f>'1 datos preparados'!L616</f>
        <v/>
      </c>
      <c r="N623" s="7">
        <f>'1 datos preparados'!M616</f>
        <v/>
      </c>
      <c r="O623" s="7">
        <f>'1 datos preparados'!N616</f>
        <v/>
      </c>
      <c r="P623" s="7">
        <f>'1 datos preparados'!O616</f>
        <v/>
      </c>
      <c r="Q623" s="7">
        <f>'1 datos preparados'!P616</f>
        <v/>
      </c>
      <c r="R623" s="7">
        <f>'1 datos preparados'!Q616</f>
        <v/>
      </c>
      <c r="S623" s="7">
        <f>'1 datos preparados'!R616</f>
        <v/>
      </c>
      <c r="T623" s="7">
        <f>'1 datos preparados'!S616</f>
        <v/>
      </c>
      <c r="U623" s="7">
        <f>'1 datos preparados'!T616</f>
        <v/>
      </c>
      <c r="V623" s="8">
        <f>$AE$12+D623*$AE$13+E623*$AE$14+F623*$AE$15+G623*$AE$16+H623*$AE$17+I623*$AE$18+J623*$AE$19+K623*$AE$20+L623*$AE$21+M623*$AE$22+N623*$AE$23+O623*$AE$24+P623*$AE$25+Q623*$AE$26+R623*$AE$27+S623*$AE$28+T623*$AE$29+U623*$AE$30</f>
        <v/>
      </c>
      <c r="W623" s="8">
        <f>1/(1+EXP(-V623))</f>
        <v/>
      </c>
      <c r="X623" s="9">
        <f>-IF(C623=1,LN(W623),LN(1-W623))</f>
        <v/>
      </c>
      <c r="Y623" s="8">
        <f>'1 datos preparados'!V616</f>
        <v/>
      </c>
      <c r="Z623" s="9">
        <f>Y623*X623</f>
        <v/>
      </c>
      <c r="AA623" s="10">
        <f>IF(W623&gt;$AE$33,1,0)</f>
        <v/>
      </c>
      <c r="AB623">
        <f>IF(AA623=C623,1,0)</f>
        <v/>
      </c>
    </row>
    <row r="624">
      <c r="A624">
        <f>'1 datos preparados'!A617</f>
        <v/>
      </c>
      <c r="B624" s="5">
        <f>'1 datos preparados'!U617</f>
        <v/>
      </c>
      <c r="C624">
        <f>'1 datos preparados'!B617</f>
        <v/>
      </c>
      <c r="D624" s="7">
        <f>'1 datos preparados'!C617</f>
        <v/>
      </c>
      <c r="E624" s="7">
        <f>'1 datos preparados'!D617</f>
        <v/>
      </c>
      <c r="F624" s="7">
        <f>'1 datos preparados'!E617</f>
        <v/>
      </c>
      <c r="G624" s="7">
        <f>'1 datos preparados'!F617</f>
        <v/>
      </c>
      <c r="H624" s="7">
        <f>'1 datos preparados'!G617</f>
        <v/>
      </c>
      <c r="I624" s="7">
        <f>'1 datos preparados'!H617</f>
        <v/>
      </c>
      <c r="J624" s="7">
        <f>'1 datos preparados'!I617</f>
        <v/>
      </c>
      <c r="K624" s="7">
        <f>'1 datos preparados'!J617</f>
        <v/>
      </c>
      <c r="L624" s="7">
        <f>'1 datos preparados'!K617</f>
        <v/>
      </c>
      <c r="M624" s="7">
        <f>'1 datos preparados'!L617</f>
        <v/>
      </c>
      <c r="N624" s="7">
        <f>'1 datos preparados'!M617</f>
        <v/>
      </c>
      <c r="O624" s="7">
        <f>'1 datos preparados'!N617</f>
        <v/>
      </c>
      <c r="P624" s="7">
        <f>'1 datos preparados'!O617</f>
        <v/>
      </c>
      <c r="Q624" s="7">
        <f>'1 datos preparados'!P617</f>
        <v/>
      </c>
      <c r="R624" s="7">
        <f>'1 datos preparados'!Q617</f>
        <v/>
      </c>
      <c r="S624" s="7">
        <f>'1 datos preparados'!R617</f>
        <v/>
      </c>
      <c r="T624" s="7">
        <f>'1 datos preparados'!S617</f>
        <v/>
      </c>
      <c r="U624" s="7">
        <f>'1 datos preparados'!T617</f>
        <v/>
      </c>
      <c r="V624" s="8">
        <f>$AE$12+D624*$AE$13+E624*$AE$14+F624*$AE$15+G624*$AE$16+H624*$AE$17+I624*$AE$18+J624*$AE$19+K624*$AE$20+L624*$AE$21+M624*$AE$22+N624*$AE$23+O624*$AE$24+P624*$AE$25+Q624*$AE$26+R624*$AE$27+S624*$AE$28+T624*$AE$29+U624*$AE$30</f>
        <v/>
      </c>
      <c r="W624" s="8">
        <f>1/(1+EXP(-V624))</f>
        <v/>
      </c>
      <c r="X624" s="9">
        <f>-IF(C624=1,LN(W624),LN(1-W624))</f>
        <v/>
      </c>
      <c r="Y624" s="8">
        <f>'1 datos preparados'!V617</f>
        <v/>
      </c>
      <c r="Z624" s="9">
        <f>Y624*X624</f>
        <v/>
      </c>
      <c r="AA624" s="10">
        <f>IF(W624&gt;$AE$33,1,0)</f>
        <v/>
      </c>
      <c r="AB624">
        <f>IF(AA624=C624,1,0)</f>
        <v/>
      </c>
    </row>
    <row r="625">
      <c r="A625">
        <f>'1 datos preparados'!A618</f>
        <v/>
      </c>
      <c r="B625" s="5">
        <f>'1 datos preparados'!U618</f>
        <v/>
      </c>
      <c r="C625">
        <f>'1 datos preparados'!B618</f>
        <v/>
      </c>
      <c r="D625" s="7">
        <f>'1 datos preparados'!C618</f>
        <v/>
      </c>
      <c r="E625" s="7">
        <f>'1 datos preparados'!D618</f>
        <v/>
      </c>
      <c r="F625" s="7">
        <f>'1 datos preparados'!E618</f>
        <v/>
      </c>
      <c r="G625" s="7">
        <f>'1 datos preparados'!F618</f>
        <v/>
      </c>
      <c r="H625" s="7">
        <f>'1 datos preparados'!G618</f>
        <v/>
      </c>
      <c r="I625" s="7">
        <f>'1 datos preparados'!H618</f>
        <v/>
      </c>
      <c r="J625" s="7">
        <f>'1 datos preparados'!I618</f>
        <v/>
      </c>
      <c r="K625" s="7">
        <f>'1 datos preparados'!J618</f>
        <v/>
      </c>
      <c r="L625" s="7">
        <f>'1 datos preparados'!K618</f>
        <v/>
      </c>
      <c r="M625" s="7">
        <f>'1 datos preparados'!L618</f>
        <v/>
      </c>
      <c r="N625" s="7">
        <f>'1 datos preparados'!M618</f>
        <v/>
      </c>
      <c r="O625" s="7">
        <f>'1 datos preparados'!N618</f>
        <v/>
      </c>
      <c r="P625" s="7">
        <f>'1 datos preparados'!O618</f>
        <v/>
      </c>
      <c r="Q625" s="7">
        <f>'1 datos preparados'!P618</f>
        <v/>
      </c>
      <c r="R625" s="7">
        <f>'1 datos preparados'!Q618</f>
        <v/>
      </c>
      <c r="S625" s="7">
        <f>'1 datos preparados'!R618</f>
        <v/>
      </c>
      <c r="T625" s="7">
        <f>'1 datos preparados'!S618</f>
        <v/>
      </c>
      <c r="U625" s="7">
        <f>'1 datos preparados'!T618</f>
        <v/>
      </c>
      <c r="V625" s="8">
        <f>$AE$12+D625*$AE$13+E625*$AE$14+F625*$AE$15+G625*$AE$16+H625*$AE$17+I625*$AE$18+J625*$AE$19+K625*$AE$20+L625*$AE$21+M625*$AE$22+N625*$AE$23+O625*$AE$24+P625*$AE$25+Q625*$AE$26+R625*$AE$27+S625*$AE$28+T625*$AE$29+U625*$AE$30</f>
        <v/>
      </c>
      <c r="W625" s="8">
        <f>1/(1+EXP(-V625))</f>
        <v/>
      </c>
      <c r="X625" s="9">
        <f>-IF(C625=1,LN(W625),LN(1-W625))</f>
        <v/>
      </c>
      <c r="Y625" s="8">
        <f>'1 datos preparados'!V618</f>
        <v/>
      </c>
      <c r="Z625" s="9">
        <f>Y625*X625</f>
        <v/>
      </c>
      <c r="AA625" s="10">
        <f>IF(W625&gt;$AE$33,1,0)</f>
        <v/>
      </c>
      <c r="AB625">
        <f>IF(AA625=C625,1,0)</f>
        <v/>
      </c>
    </row>
    <row r="626">
      <c r="A626">
        <f>'1 datos preparados'!A619</f>
        <v/>
      </c>
      <c r="B626" s="5">
        <f>'1 datos preparados'!U619</f>
        <v/>
      </c>
      <c r="C626">
        <f>'1 datos preparados'!B619</f>
        <v/>
      </c>
      <c r="D626" s="7">
        <f>'1 datos preparados'!C619</f>
        <v/>
      </c>
      <c r="E626" s="7">
        <f>'1 datos preparados'!D619</f>
        <v/>
      </c>
      <c r="F626" s="7">
        <f>'1 datos preparados'!E619</f>
        <v/>
      </c>
      <c r="G626" s="7">
        <f>'1 datos preparados'!F619</f>
        <v/>
      </c>
      <c r="H626" s="7">
        <f>'1 datos preparados'!G619</f>
        <v/>
      </c>
      <c r="I626" s="7">
        <f>'1 datos preparados'!H619</f>
        <v/>
      </c>
      <c r="J626" s="7">
        <f>'1 datos preparados'!I619</f>
        <v/>
      </c>
      <c r="K626" s="7">
        <f>'1 datos preparados'!J619</f>
        <v/>
      </c>
      <c r="L626" s="7">
        <f>'1 datos preparados'!K619</f>
        <v/>
      </c>
      <c r="M626" s="7">
        <f>'1 datos preparados'!L619</f>
        <v/>
      </c>
      <c r="N626" s="7">
        <f>'1 datos preparados'!M619</f>
        <v/>
      </c>
      <c r="O626" s="7">
        <f>'1 datos preparados'!N619</f>
        <v/>
      </c>
      <c r="P626" s="7">
        <f>'1 datos preparados'!O619</f>
        <v/>
      </c>
      <c r="Q626" s="7">
        <f>'1 datos preparados'!P619</f>
        <v/>
      </c>
      <c r="R626" s="7">
        <f>'1 datos preparados'!Q619</f>
        <v/>
      </c>
      <c r="S626" s="7">
        <f>'1 datos preparados'!R619</f>
        <v/>
      </c>
      <c r="T626" s="7">
        <f>'1 datos preparados'!S619</f>
        <v/>
      </c>
      <c r="U626" s="7">
        <f>'1 datos preparados'!T619</f>
        <v/>
      </c>
      <c r="V626" s="8">
        <f>$AE$12+D626*$AE$13+E626*$AE$14+F626*$AE$15+G626*$AE$16+H626*$AE$17+I626*$AE$18+J626*$AE$19+K626*$AE$20+L626*$AE$21+M626*$AE$22+N626*$AE$23+O626*$AE$24+P626*$AE$25+Q626*$AE$26+R626*$AE$27+S626*$AE$28+T626*$AE$29+U626*$AE$30</f>
        <v/>
      </c>
      <c r="W626" s="8">
        <f>1/(1+EXP(-V626))</f>
        <v/>
      </c>
      <c r="X626" s="9">
        <f>-IF(C626=1,LN(W626),LN(1-W626))</f>
        <v/>
      </c>
      <c r="Y626" s="8">
        <f>'1 datos preparados'!V619</f>
        <v/>
      </c>
      <c r="Z626" s="9">
        <f>Y626*X626</f>
        <v/>
      </c>
      <c r="AA626" s="10">
        <f>IF(W626&gt;$AE$33,1,0)</f>
        <v/>
      </c>
      <c r="AB626">
        <f>IF(AA626=C626,1,0)</f>
        <v/>
      </c>
    </row>
    <row r="627">
      <c r="A627">
        <f>'1 datos preparados'!A620</f>
        <v/>
      </c>
      <c r="B627" s="5">
        <f>'1 datos preparados'!U620</f>
        <v/>
      </c>
      <c r="C627">
        <f>'1 datos preparados'!B620</f>
        <v/>
      </c>
      <c r="D627" s="7">
        <f>'1 datos preparados'!C620</f>
        <v/>
      </c>
      <c r="E627" s="7">
        <f>'1 datos preparados'!D620</f>
        <v/>
      </c>
      <c r="F627" s="7">
        <f>'1 datos preparados'!E620</f>
        <v/>
      </c>
      <c r="G627" s="7">
        <f>'1 datos preparados'!F620</f>
        <v/>
      </c>
      <c r="H627" s="7">
        <f>'1 datos preparados'!G620</f>
        <v/>
      </c>
      <c r="I627" s="7">
        <f>'1 datos preparados'!H620</f>
        <v/>
      </c>
      <c r="J627" s="7">
        <f>'1 datos preparados'!I620</f>
        <v/>
      </c>
      <c r="K627" s="7">
        <f>'1 datos preparados'!J620</f>
        <v/>
      </c>
      <c r="L627" s="7">
        <f>'1 datos preparados'!K620</f>
        <v/>
      </c>
      <c r="M627" s="7">
        <f>'1 datos preparados'!L620</f>
        <v/>
      </c>
      <c r="N627" s="7">
        <f>'1 datos preparados'!M620</f>
        <v/>
      </c>
      <c r="O627" s="7">
        <f>'1 datos preparados'!N620</f>
        <v/>
      </c>
      <c r="P627" s="7">
        <f>'1 datos preparados'!O620</f>
        <v/>
      </c>
      <c r="Q627" s="7">
        <f>'1 datos preparados'!P620</f>
        <v/>
      </c>
      <c r="R627" s="7">
        <f>'1 datos preparados'!Q620</f>
        <v/>
      </c>
      <c r="S627" s="7">
        <f>'1 datos preparados'!R620</f>
        <v/>
      </c>
      <c r="T627" s="7">
        <f>'1 datos preparados'!S620</f>
        <v/>
      </c>
      <c r="U627" s="7">
        <f>'1 datos preparados'!T620</f>
        <v/>
      </c>
      <c r="V627" s="8">
        <f>$AE$12+D627*$AE$13+E627*$AE$14+F627*$AE$15+G627*$AE$16+H627*$AE$17+I627*$AE$18+J627*$AE$19+K627*$AE$20+L627*$AE$21+M627*$AE$22+N627*$AE$23+O627*$AE$24+P627*$AE$25+Q627*$AE$26+R627*$AE$27+S627*$AE$28+T627*$AE$29+U627*$AE$30</f>
        <v/>
      </c>
      <c r="W627" s="8">
        <f>1/(1+EXP(-V627))</f>
        <v/>
      </c>
      <c r="X627" s="9">
        <f>-IF(C627=1,LN(W627),LN(1-W627))</f>
        <v/>
      </c>
      <c r="Y627" s="8">
        <f>'1 datos preparados'!V620</f>
        <v/>
      </c>
      <c r="Z627" s="9">
        <f>Y627*X627</f>
        <v/>
      </c>
      <c r="AA627" s="10">
        <f>IF(W627&gt;$AE$33,1,0)</f>
        <v/>
      </c>
      <c r="AB627">
        <f>IF(AA627=C627,1,0)</f>
        <v/>
      </c>
    </row>
    <row r="628">
      <c r="A628">
        <f>'1 datos preparados'!A621</f>
        <v/>
      </c>
      <c r="B628" s="5">
        <f>'1 datos preparados'!U621</f>
        <v/>
      </c>
      <c r="C628">
        <f>'1 datos preparados'!B621</f>
        <v/>
      </c>
      <c r="D628" s="7">
        <f>'1 datos preparados'!C621</f>
        <v/>
      </c>
      <c r="E628" s="7">
        <f>'1 datos preparados'!D621</f>
        <v/>
      </c>
      <c r="F628" s="7">
        <f>'1 datos preparados'!E621</f>
        <v/>
      </c>
      <c r="G628" s="7">
        <f>'1 datos preparados'!F621</f>
        <v/>
      </c>
      <c r="H628" s="7">
        <f>'1 datos preparados'!G621</f>
        <v/>
      </c>
      <c r="I628" s="7">
        <f>'1 datos preparados'!H621</f>
        <v/>
      </c>
      <c r="J628" s="7">
        <f>'1 datos preparados'!I621</f>
        <v/>
      </c>
      <c r="K628" s="7">
        <f>'1 datos preparados'!J621</f>
        <v/>
      </c>
      <c r="L628" s="7">
        <f>'1 datos preparados'!K621</f>
        <v/>
      </c>
      <c r="M628" s="7">
        <f>'1 datos preparados'!L621</f>
        <v/>
      </c>
      <c r="N628" s="7">
        <f>'1 datos preparados'!M621</f>
        <v/>
      </c>
      <c r="O628" s="7">
        <f>'1 datos preparados'!N621</f>
        <v/>
      </c>
      <c r="P628" s="7">
        <f>'1 datos preparados'!O621</f>
        <v/>
      </c>
      <c r="Q628" s="7">
        <f>'1 datos preparados'!P621</f>
        <v/>
      </c>
      <c r="R628" s="7">
        <f>'1 datos preparados'!Q621</f>
        <v/>
      </c>
      <c r="S628" s="7">
        <f>'1 datos preparados'!R621</f>
        <v/>
      </c>
      <c r="T628" s="7">
        <f>'1 datos preparados'!S621</f>
        <v/>
      </c>
      <c r="U628" s="7">
        <f>'1 datos preparados'!T621</f>
        <v/>
      </c>
      <c r="V628" s="8">
        <f>$AE$12+D628*$AE$13+E628*$AE$14+F628*$AE$15+G628*$AE$16+H628*$AE$17+I628*$AE$18+J628*$AE$19+K628*$AE$20+L628*$AE$21+M628*$AE$22+N628*$AE$23+O628*$AE$24+P628*$AE$25+Q628*$AE$26+R628*$AE$27+S628*$AE$28+T628*$AE$29+U628*$AE$30</f>
        <v/>
      </c>
      <c r="W628" s="8">
        <f>1/(1+EXP(-V628))</f>
        <v/>
      </c>
      <c r="X628" s="9">
        <f>-IF(C628=1,LN(W628),LN(1-W628))</f>
        <v/>
      </c>
      <c r="Y628" s="8">
        <f>'1 datos preparados'!V621</f>
        <v/>
      </c>
      <c r="Z628" s="9">
        <f>Y628*X628</f>
        <v/>
      </c>
      <c r="AA628" s="10">
        <f>IF(W628&gt;$AE$33,1,0)</f>
        <v/>
      </c>
      <c r="AB628">
        <f>IF(AA628=C628,1,0)</f>
        <v/>
      </c>
    </row>
    <row r="629">
      <c r="A629">
        <f>'1 datos preparados'!A622</f>
        <v/>
      </c>
      <c r="B629" s="5">
        <f>'1 datos preparados'!U622</f>
        <v/>
      </c>
      <c r="C629">
        <f>'1 datos preparados'!B622</f>
        <v/>
      </c>
      <c r="D629" s="7">
        <f>'1 datos preparados'!C622</f>
        <v/>
      </c>
      <c r="E629" s="7">
        <f>'1 datos preparados'!D622</f>
        <v/>
      </c>
      <c r="F629" s="7">
        <f>'1 datos preparados'!E622</f>
        <v/>
      </c>
      <c r="G629" s="7">
        <f>'1 datos preparados'!F622</f>
        <v/>
      </c>
      <c r="H629" s="7">
        <f>'1 datos preparados'!G622</f>
        <v/>
      </c>
      <c r="I629" s="7">
        <f>'1 datos preparados'!H622</f>
        <v/>
      </c>
      <c r="J629" s="7">
        <f>'1 datos preparados'!I622</f>
        <v/>
      </c>
      <c r="K629" s="7">
        <f>'1 datos preparados'!J622</f>
        <v/>
      </c>
      <c r="L629" s="7">
        <f>'1 datos preparados'!K622</f>
        <v/>
      </c>
      <c r="M629" s="7">
        <f>'1 datos preparados'!L622</f>
        <v/>
      </c>
      <c r="N629" s="7">
        <f>'1 datos preparados'!M622</f>
        <v/>
      </c>
      <c r="O629" s="7">
        <f>'1 datos preparados'!N622</f>
        <v/>
      </c>
      <c r="P629" s="7">
        <f>'1 datos preparados'!O622</f>
        <v/>
      </c>
      <c r="Q629" s="7">
        <f>'1 datos preparados'!P622</f>
        <v/>
      </c>
      <c r="R629" s="7">
        <f>'1 datos preparados'!Q622</f>
        <v/>
      </c>
      <c r="S629" s="7">
        <f>'1 datos preparados'!R622</f>
        <v/>
      </c>
      <c r="T629" s="7">
        <f>'1 datos preparados'!S622</f>
        <v/>
      </c>
      <c r="U629" s="7">
        <f>'1 datos preparados'!T622</f>
        <v/>
      </c>
      <c r="V629" s="8">
        <f>$AE$12+D629*$AE$13+E629*$AE$14+F629*$AE$15+G629*$AE$16+H629*$AE$17+I629*$AE$18+J629*$AE$19+K629*$AE$20+L629*$AE$21+M629*$AE$22+N629*$AE$23+O629*$AE$24+P629*$AE$25+Q629*$AE$26+R629*$AE$27+S629*$AE$28+T629*$AE$29+U629*$AE$30</f>
        <v/>
      </c>
      <c r="W629" s="8">
        <f>1/(1+EXP(-V629))</f>
        <v/>
      </c>
      <c r="X629" s="9">
        <f>-IF(C629=1,LN(W629),LN(1-W629))</f>
        <v/>
      </c>
      <c r="Y629" s="8">
        <f>'1 datos preparados'!V622</f>
        <v/>
      </c>
      <c r="Z629" s="9">
        <f>Y629*X629</f>
        <v/>
      </c>
      <c r="AA629" s="10">
        <f>IF(W629&gt;$AE$33,1,0)</f>
        <v/>
      </c>
      <c r="AB629">
        <f>IF(AA629=C629,1,0)</f>
        <v/>
      </c>
    </row>
    <row r="630">
      <c r="A630">
        <f>'1 datos preparados'!A623</f>
        <v/>
      </c>
      <c r="B630" s="5">
        <f>'1 datos preparados'!U623</f>
        <v/>
      </c>
      <c r="C630">
        <f>'1 datos preparados'!B623</f>
        <v/>
      </c>
      <c r="D630" s="7">
        <f>'1 datos preparados'!C623</f>
        <v/>
      </c>
      <c r="E630" s="7">
        <f>'1 datos preparados'!D623</f>
        <v/>
      </c>
      <c r="F630" s="7">
        <f>'1 datos preparados'!E623</f>
        <v/>
      </c>
      <c r="G630" s="7">
        <f>'1 datos preparados'!F623</f>
        <v/>
      </c>
      <c r="H630" s="7">
        <f>'1 datos preparados'!G623</f>
        <v/>
      </c>
      <c r="I630" s="7">
        <f>'1 datos preparados'!H623</f>
        <v/>
      </c>
      <c r="J630" s="7">
        <f>'1 datos preparados'!I623</f>
        <v/>
      </c>
      <c r="K630" s="7">
        <f>'1 datos preparados'!J623</f>
        <v/>
      </c>
      <c r="L630" s="7">
        <f>'1 datos preparados'!K623</f>
        <v/>
      </c>
      <c r="M630" s="7">
        <f>'1 datos preparados'!L623</f>
        <v/>
      </c>
      <c r="N630" s="7">
        <f>'1 datos preparados'!M623</f>
        <v/>
      </c>
      <c r="O630" s="7">
        <f>'1 datos preparados'!N623</f>
        <v/>
      </c>
      <c r="P630" s="7">
        <f>'1 datos preparados'!O623</f>
        <v/>
      </c>
      <c r="Q630" s="7">
        <f>'1 datos preparados'!P623</f>
        <v/>
      </c>
      <c r="R630" s="7">
        <f>'1 datos preparados'!Q623</f>
        <v/>
      </c>
      <c r="S630" s="7">
        <f>'1 datos preparados'!R623</f>
        <v/>
      </c>
      <c r="T630" s="7">
        <f>'1 datos preparados'!S623</f>
        <v/>
      </c>
      <c r="U630" s="7">
        <f>'1 datos preparados'!T623</f>
        <v/>
      </c>
      <c r="V630" s="8">
        <f>$AE$12+D630*$AE$13+E630*$AE$14+F630*$AE$15+G630*$AE$16+H630*$AE$17+I630*$AE$18+J630*$AE$19+K630*$AE$20+L630*$AE$21+M630*$AE$22+N630*$AE$23+O630*$AE$24+P630*$AE$25+Q630*$AE$26+R630*$AE$27+S630*$AE$28+T630*$AE$29+U630*$AE$30</f>
        <v/>
      </c>
      <c r="W630" s="8">
        <f>1/(1+EXP(-V630))</f>
        <v/>
      </c>
      <c r="X630" s="9">
        <f>-IF(C630=1,LN(W630),LN(1-W630))</f>
        <v/>
      </c>
      <c r="Y630" s="8">
        <f>'1 datos preparados'!V623</f>
        <v/>
      </c>
      <c r="Z630" s="9">
        <f>Y630*X630</f>
        <v/>
      </c>
      <c r="AA630" s="10">
        <f>IF(W630&gt;$AE$33,1,0)</f>
        <v/>
      </c>
      <c r="AB630">
        <f>IF(AA630=C630,1,0)</f>
        <v/>
      </c>
    </row>
    <row r="631">
      <c r="A631">
        <f>'1 datos preparados'!A624</f>
        <v/>
      </c>
      <c r="B631" s="5">
        <f>'1 datos preparados'!U624</f>
        <v/>
      </c>
      <c r="C631">
        <f>'1 datos preparados'!B624</f>
        <v/>
      </c>
      <c r="D631" s="7">
        <f>'1 datos preparados'!C624</f>
        <v/>
      </c>
      <c r="E631" s="7">
        <f>'1 datos preparados'!D624</f>
        <v/>
      </c>
      <c r="F631" s="7">
        <f>'1 datos preparados'!E624</f>
        <v/>
      </c>
      <c r="G631" s="7">
        <f>'1 datos preparados'!F624</f>
        <v/>
      </c>
      <c r="H631" s="7">
        <f>'1 datos preparados'!G624</f>
        <v/>
      </c>
      <c r="I631" s="7">
        <f>'1 datos preparados'!H624</f>
        <v/>
      </c>
      <c r="J631" s="7">
        <f>'1 datos preparados'!I624</f>
        <v/>
      </c>
      <c r="K631" s="7">
        <f>'1 datos preparados'!J624</f>
        <v/>
      </c>
      <c r="L631" s="7">
        <f>'1 datos preparados'!K624</f>
        <v/>
      </c>
      <c r="M631" s="7">
        <f>'1 datos preparados'!L624</f>
        <v/>
      </c>
      <c r="N631" s="7">
        <f>'1 datos preparados'!M624</f>
        <v/>
      </c>
      <c r="O631" s="7">
        <f>'1 datos preparados'!N624</f>
        <v/>
      </c>
      <c r="P631" s="7">
        <f>'1 datos preparados'!O624</f>
        <v/>
      </c>
      <c r="Q631" s="7">
        <f>'1 datos preparados'!P624</f>
        <v/>
      </c>
      <c r="R631" s="7">
        <f>'1 datos preparados'!Q624</f>
        <v/>
      </c>
      <c r="S631" s="7">
        <f>'1 datos preparados'!R624</f>
        <v/>
      </c>
      <c r="T631" s="7">
        <f>'1 datos preparados'!S624</f>
        <v/>
      </c>
      <c r="U631" s="7">
        <f>'1 datos preparados'!T624</f>
        <v/>
      </c>
      <c r="V631" s="8">
        <f>$AE$12+D631*$AE$13+E631*$AE$14+F631*$AE$15+G631*$AE$16+H631*$AE$17+I631*$AE$18+J631*$AE$19+K631*$AE$20+L631*$AE$21+M631*$AE$22+N631*$AE$23+O631*$AE$24+P631*$AE$25+Q631*$AE$26+R631*$AE$27+S631*$AE$28+T631*$AE$29+U631*$AE$30</f>
        <v/>
      </c>
      <c r="W631" s="8">
        <f>1/(1+EXP(-V631))</f>
        <v/>
      </c>
      <c r="X631" s="9">
        <f>-IF(C631=1,LN(W631),LN(1-W631))</f>
        <v/>
      </c>
      <c r="Y631" s="8">
        <f>'1 datos preparados'!V624</f>
        <v/>
      </c>
      <c r="Z631" s="9">
        <f>Y631*X631</f>
        <v/>
      </c>
      <c r="AA631" s="10">
        <f>IF(W631&gt;$AE$33,1,0)</f>
        <v/>
      </c>
      <c r="AB631">
        <f>IF(AA631=C631,1,0)</f>
        <v/>
      </c>
    </row>
    <row r="632">
      <c r="A632">
        <f>'1 datos preparados'!A625</f>
        <v/>
      </c>
      <c r="B632" s="5">
        <f>'1 datos preparados'!U625</f>
        <v/>
      </c>
      <c r="C632">
        <f>'1 datos preparados'!B625</f>
        <v/>
      </c>
      <c r="D632" s="7">
        <f>'1 datos preparados'!C625</f>
        <v/>
      </c>
      <c r="E632" s="7">
        <f>'1 datos preparados'!D625</f>
        <v/>
      </c>
      <c r="F632" s="7">
        <f>'1 datos preparados'!E625</f>
        <v/>
      </c>
      <c r="G632" s="7">
        <f>'1 datos preparados'!F625</f>
        <v/>
      </c>
      <c r="H632" s="7">
        <f>'1 datos preparados'!G625</f>
        <v/>
      </c>
      <c r="I632" s="7">
        <f>'1 datos preparados'!H625</f>
        <v/>
      </c>
      <c r="J632" s="7">
        <f>'1 datos preparados'!I625</f>
        <v/>
      </c>
      <c r="K632" s="7">
        <f>'1 datos preparados'!J625</f>
        <v/>
      </c>
      <c r="L632" s="7">
        <f>'1 datos preparados'!K625</f>
        <v/>
      </c>
      <c r="M632" s="7">
        <f>'1 datos preparados'!L625</f>
        <v/>
      </c>
      <c r="N632" s="7">
        <f>'1 datos preparados'!M625</f>
        <v/>
      </c>
      <c r="O632" s="7">
        <f>'1 datos preparados'!N625</f>
        <v/>
      </c>
      <c r="P632" s="7">
        <f>'1 datos preparados'!O625</f>
        <v/>
      </c>
      <c r="Q632" s="7">
        <f>'1 datos preparados'!P625</f>
        <v/>
      </c>
      <c r="R632" s="7">
        <f>'1 datos preparados'!Q625</f>
        <v/>
      </c>
      <c r="S632" s="7">
        <f>'1 datos preparados'!R625</f>
        <v/>
      </c>
      <c r="T632" s="7">
        <f>'1 datos preparados'!S625</f>
        <v/>
      </c>
      <c r="U632" s="7">
        <f>'1 datos preparados'!T625</f>
        <v/>
      </c>
      <c r="V632" s="8">
        <f>$AE$12+D632*$AE$13+E632*$AE$14+F632*$AE$15+G632*$AE$16+H632*$AE$17+I632*$AE$18+J632*$AE$19+K632*$AE$20+L632*$AE$21+M632*$AE$22+N632*$AE$23+O632*$AE$24+P632*$AE$25+Q632*$AE$26+R632*$AE$27+S632*$AE$28+T632*$AE$29+U632*$AE$30</f>
        <v/>
      </c>
      <c r="W632" s="8">
        <f>1/(1+EXP(-V632))</f>
        <v/>
      </c>
      <c r="X632" s="9">
        <f>-IF(C632=1,LN(W632),LN(1-W632))</f>
        <v/>
      </c>
      <c r="Y632" s="8">
        <f>'1 datos preparados'!V625</f>
        <v/>
      </c>
      <c r="Z632" s="9">
        <f>Y632*X632</f>
        <v/>
      </c>
      <c r="AA632" s="10">
        <f>IF(W632&gt;$AE$33,1,0)</f>
        <v/>
      </c>
      <c r="AB632">
        <f>IF(AA632=C632,1,0)</f>
        <v/>
      </c>
    </row>
    <row r="633">
      <c r="A633">
        <f>'1 datos preparados'!A626</f>
        <v/>
      </c>
      <c r="B633" s="5">
        <f>'1 datos preparados'!U626</f>
        <v/>
      </c>
      <c r="C633">
        <f>'1 datos preparados'!B626</f>
        <v/>
      </c>
      <c r="D633" s="7">
        <f>'1 datos preparados'!C626</f>
        <v/>
      </c>
      <c r="E633" s="7">
        <f>'1 datos preparados'!D626</f>
        <v/>
      </c>
      <c r="F633" s="7">
        <f>'1 datos preparados'!E626</f>
        <v/>
      </c>
      <c r="G633" s="7">
        <f>'1 datos preparados'!F626</f>
        <v/>
      </c>
      <c r="H633" s="7">
        <f>'1 datos preparados'!G626</f>
        <v/>
      </c>
      <c r="I633" s="7">
        <f>'1 datos preparados'!H626</f>
        <v/>
      </c>
      <c r="J633" s="7">
        <f>'1 datos preparados'!I626</f>
        <v/>
      </c>
      <c r="K633" s="7">
        <f>'1 datos preparados'!J626</f>
        <v/>
      </c>
      <c r="L633" s="7">
        <f>'1 datos preparados'!K626</f>
        <v/>
      </c>
      <c r="M633" s="7">
        <f>'1 datos preparados'!L626</f>
        <v/>
      </c>
      <c r="N633" s="7">
        <f>'1 datos preparados'!M626</f>
        <v/>
      </c>
      <c r="O633" s="7">
        <f>'1 datos preparados'!N626</f>
        <v/>
      </c>
      <c r="P633" s="7">
        <f>'1 datos preparados'!O626</f>
        <v/>
      </c>
      <c r="Q633" s="7">
        <f>'1 datos preparados'!P626</f>
        <v/>
      </c>
      <c r="R633" s="7">
        <f>'1 datos preparados'!Q626</f>
        <v/>
      </c>
      <c r="S633" s="7">
        <f>'1 datos preparados'!R626</f>
        <v/>
      </c>
      <c r="T633" s="7">
        <f>'1 datos preparados'!S626</f>
        <v/>
      </c>
      <c r="U633" s="7">
        <f>'1 datos preparados'!T626</f>
        <v/>
      </c>
      <c r="V633" s="8">
        <f>$AE$12+D633*$AE$13+E633*$AE$14+F633*$AE$15+G633*$AE$16+H633*$AE$17+I633*$AE$18+J633*$AE$19+K633*$AE$20+L633*$AE$21+M633*$AE$22+N633*$AE$23+O633*$AE$24+P633*$AE$25+Q633*$AE$26+R633*$AE$27+S633*$AE$28+T633*$AE$29+U633*$AE$30</f>
        <v/>
      </c>
      <c r="W633" s="8">
        <f>1/(1+EXP(-V633))</f>
        <v/>
      </c>
      <c r="X633" s="9">
        <f>-IF(C633=1,LN(W633),LN(1-W633))</f>
        <v/>
      </c>
      <c r="Y633" s="8">
        <f>'1 datos preparados'!V626</f>
        <v/>
      </c>
      <c r="Z633" s="9">
        <f>Y633*X633</f>
        <v/>
      </c>
      <c r="AA633" s="10">
        <f>IF(W633&gt;$AE$33,1,0)</f>
        <v/>
      </c>
      <c r="AB633">
        <f>IF(AA633=C633,1,0)</f>
        <v/>
      </c>
    </row>
    <row r="634">
      <c r="A634">
        <f>'1 datos preparados'!A627</f>
        <v/>
      </c>
      <c r="B634" s="5">
        <f>'1 datos preparados'!U627</f>
        <v/>
      </c>
      <c r="C634">
        <f>'1 datos preparados'!B627</f>
        <v/>
      </c>
      <c r="D634" s="7">
        <f>'1 datos preparados'!C627</f>
        <v/>
      </c>
      <c r="E634" s="7">
        <f>'1 datos preparados'!D627</f>
        <v/>
      </c>
      <c r="F634" s="7">
        <f>'1 datos preparados'!E627</f>
        <v/>
      </c>
      <c r="G634" s="7">
        <f>'1 datos preparados'!F627</f>
        <v/>
      </c>
      <c r="H634" s="7">
        <f>'1 datos preparados'!G627</f>
        <v/>
      </c>
      <c r="I634" s="7">
        <f>'1 datos preparados'!H627</f>
        <v/>
      </c>
      <c r="J634" s="7">
        <f>'1 datos preparados'!I627</f>
        <v/>
      </c>
      <c r="K634" s="7">
        <f>'1 datos preparados'!J627</f>
        <v/>
      </c>
      <c r="L634" s="7">
        <f>'1 datos preparados'!K627</f>
        <v/>
      </c>
      <c r="M634" s="7">
        <f>'1 datos preparados'!L627</f>
        <v/>
      </c>
      <c r="N634" s="7">
        <f>'1 datos preparados'!M627</f>
        <v/>
      </c>
      <c r="O634" s="7">
        <f>'1 datos preparados'!N627</f>
        <v/>
      </c>
      <c r="P634" s="7">
        <f>'1 datos preparados'!O627</f>
        <v/>
      </c>
      <c r="Q634" s="7">
        <f>'1 datos preparados'!P627</f>
        <v/>
      </c>
      <c r="R634" s="7">
        <f>'1 datos preparados'!Q627</f>
        <v/>
      </c>
      <c r="S634" s="7">
        <f>'1 datos preparados'!R627</f>
        <v/>
      </c>
      <c r="T634" s="7">
        <f>'1 datos preparados'!S627</f>
        <v/>
      </c>
      <c r="U634" s="7">
        <f>'1 datos preparados'!T627</f>
        <v/>
      </c>
      <c r="V634" s="8">
        <f>$AE$12+D634*$AE$13+E634*$AE$14+F634*$AE$15+G634*$AE$16+H634*$AE$17+I634*$AE$18+J634*$AE$19+K634*$AE$20+L634*$AE$21+M634*$AE$22+N634*$AE$23+O634*$AE$24+P634*$AE$25+Q634*$AE$26+R634*$AE$27+S634*$AE$28+T634*$AE$29+U634*$AE$30</f>
        <v/>
      </c>
      <c r="W634" s="8">
        <f>1/(1+EXP(-V634))</f>
        <v/>
      </c>
      <c r="X634" s="9">
        <f>-IF(C634=1,LN(W634),LN(1-W634))</f>
        <v/>
      </c>
      <c r="Y634" s="8">
        <f>'1 datos preparados'!V627</f>
        <v/>
      </c>
      <c r="Z634" s="9">
        <f>Y634*X634</f>
        <v/>
      </c>
      <c r="AA634" s="10">
        <f>IF(W634&gt;$AE$33,1,0)</f>
        <v/>
      </c>
      <c r="AB634">
        <f>IF(AA634=C634,1,0)</f>
        <v/>
      </c>
    </row>
    <row r="635">
      <c r="A635">
        <f>'1 datos preparados'!A628</f>
        <v/>
      </c>
      <c r="B635" s="5">
        <f>'1 datos preparados'!U628</f>
        <v/>
      </c>
      <c r="C635">
        <f>'1 datos preparados'!B628</f>
        <v/>
      </c>
      <c r="D635" s="7">
        <f>'1 datos preparados'!C628</f>
        <v/>
      </c>
      <c r="E635" s="7">
        <f>'1 datos preparados'!D628</f>
        <v/>
      </c>
      <c r="F635" s="7">
        <f>'1 datos preparados'!E628</f>
        <v/>
      </c>
      <c r="G635" s="7">
        <f>'1 datos preparados'!F628</f>
        <v/>
      </c>
      <c r="H635" s="7">
        <f>'1 datos preparados'!G628</f>
        <v/>
      </c>
      <c r="I635" s="7">
        <f>'1 datos preparados'!H628</f>
        <v/>
      </c>
      <c r="J635" s="7">
        <f>'1 datos preparados'!I628</f>
        <v/>
      </c>
      <c r="K635" s="7">
        <f>'1 datos preparados'!J628</f>
        <v/>
      </c>
      <c r="L635" s="7">
        <f>'1 datos preparados'!K628</f>
        <v/>
      </c>
      <c r="M635" s="7">
        <f>'1 datos preparados'!L628</f>
        <v/>
      </c>
      <c r="N635" s="7">
        <f>'1 datos preparados'!M628</f>
        <v/>
      </c>
      <c r="O635" s="7">
        <f>'1 datos preparados'!N628</f>
        <v/>
      </c>
      <c r="P635" s="7">
        <f>'1 datos preparados'!O628</f>
        <v/>
      </c>
      <c r="Q635" s="7">
        <f>'1 datos preparados'!P628</f>
        <v/>
      </c>
      <c r="R635" s="7">
        <f>'1 datos preparados'!Q628</f>
        <v/>
      </c>
      <c r="S635" s="7">
        <f>'1 datos preparados'!R628</f>
        <v/>
      </c>
      <c r="T635" s="7">
        <f>'1 datos preparados'!S628</f>
        <v/>
      </c>
      <c r="U635" s="7">
        <f>'1 datos preparados'!T628</f>
        <v/>
      </c>
      <c r="V635" s="8">
        <f>$AE$12+D635*$AE$13+E635*$AE$14+F635*$AE$15+G635*$AE$16+H635*$AE$17+I635*$AE$18+J635*$AE$19+K635*$AE$20+L635*$AE$21+M635*$AE$22+N635*$AE$23+O635*$AE$24+P635*$AE$25+Q635*$AE$26+R635*$AE$27+S635*$AE$28+T635*$AE$29+U635*$AE$30</f>
        <v/>
      </c>
      <c r="W635" s="8">
        <f>1/(1+EXP(-V635))</f>
        <v/>
      </c>
      <c r="X635" s="9">
        <f>-IF(C635=1,LN(W635),LN(1-W635))</f>
        <v/>
      </c>
      <c r="Y635" s="8">
        <f>'1 datos preparados'!V628</f>
        <v/>
      </c>
      <c r="Z635" s="9">
        <f>Y635*X635</f>
        <v/>
      </c>
      <c r="AA635" s="10">
        <f>IF(W635&gt;$AE$33,1,0)</f>
        <v/>
      </c>
      <c r="AB635">
        <f>IF(AA635=C635,1,0)</f>
        <v/>
      </c>
    </row>
    <row r="636">
      <c r="A636">
        <f>'1 datos preparados'!A629</f>
        <v/>
      </c>
      <c r="B636" s="5">
        <f>'1 datos preparados'!U629</f>
        <v/>
      </c>
      <c r="C636">
        <f>'1 datos preparados'!B629</f>
        <v/>
      </c>
      <c r="D636" s="7">
        <f>'1 datos preparados'!C629</f>
        <v/>
      </c>
      <c r="E636" s="7">
        <f>'1 datos preparados'!D629</f>
        <v/>
      </c>
      <c r="F636" s="7">
        <f>'1 datos preparados'!E629</f>
        <v/>
      </c>
      <c r="G636" s="7">
        <f>'1 datos preparados'!F629</f>
        <v/>
      </c>
      <c r="H636" s="7">
        <f>'1 datos preparados'!G629</f>
        <v/>
      </c>
      <c r="I636" s="7">
        <f>'1 datos preparados'!H629</f>
        <v/>
      </c>
      <c r="J636" s="7">
        <f>'1 datos preparados'!I629</f>
        <v/>
      </c>
      <c r="K636" s="7">
        <f>'1 datos preparados'!J629</f>
        <v/>
      </c>
      <c r="L636" s="7">
        <f>'1 datos preparados'!K629</f>
        <v/>
      </c>
      <c r="M636" s="7">
        <f>'1 datos preparados'!L629</f>
        <v/>
      </c>
      <c r="N636" s="7">
        <f>'1 datos preparados'!M629</f>
        <v/>
      </c>
      <c r="O636" s="7">
        <f>'1 datos preparados'!N629</f>
        <v/>
      </c>
      <c r="P636" s="7">
        <f>'1 datos preparados'!O629</f>
        <v/>
      </c>
      <c r="Q636" s="7">
        <f>'1 datos preparados'!P629</f>
        <v/>
      </c>
      <c r="R636" s="7">
        <f>'1 datos preparados'!Q629</f>
        <v/>
      </c>
      <c r="S636" s="7">
        <f>'1 datos preparados'!R629</f>
        <v/>
      </c>
      <c r="T636" s="7">
        <f>'1 datos preparados'!S629</f>
        <v/>
      </c>
      <c r="U636" s="7">
        <f>'1 datos preparados'!T629</f>
        <v/>
      </c>
      <c r="V636" s="8">
        <f>$AE$12+D636*$AE$13+E636*$AE$14+F636*$AE$15+G636*$AE$16+H636*$AE$17+I636*$AE$18+J636*$AE$19+K636*$AE$20+L636*$AE$21+M636*$AE$22+N636*$AE$23+O636*$AE$24+P636*$AE$25+Q636*$AE$26+R636*$AE$27+S636*$AE$28+T636*$AE$29+U636*$AE$30</f>
        <v/>
      </c>
      <c r="W636" s="8">
        <f>1/(1+EXP(-V636))</f>
        <v/>
      </c>
      <c r="X636" s="9">
        <f>-IF(C636=1,LN(W636),LN(1-W636))</f>
        <v/>
      </c>
      <c r="Y636" s="8">
        <f>'1 datos preparados'!V629</f>
        <v/>
      </c>
      <c r="Z636" s="9">
        <f>Y636*X636</f>
        <v/>
      </c>
      <c r="AA636" s="10">
        <f>IF(W636&gt;$AE$33,1,0)</f>
        <v/>
      </c>
      <c r="AB636">
        <f>IF(AA636=C636,1,0)</f>
        <v/>
      </c>
    </row>
    <row r="637">
      <c r="A637">
        <f>'1 datos preparados'!A630</f>
        <v/>
      </c>
      <c r="B637" s="5">
        <f>'1 datos preparados'!U630</f>
        <v/>
      </c>
      <c r="C637">
        <f>'1 datos preparados'!B630</f>
        <v/>
      </c>
      <c r="D637" s="7">
        <f>'1 datos preparados'!C630</f>
        <v/>
      </c>
      <c r="E637" s="7">
        <f>'1 datos preparados'!D630</f>
        <v/>
      </c>
      <c r="F637" s="7">
        <f>'1 datos preparados'!E630</f>
        <v/>
      </c>
      <c r="G637" s="7">
        <f>'1 datos preparados'!F630</f>
        <v/>
      </c>
      <c r="H637" s="7">
        <f>'1 datos preparados'!G630</f>
        <v/>
      </c>
      <c r="I637" s="7">
        <f>'1 datos preparados'!H630</f>
        <v/>
      </c>
      <c r="J637" s="7">
        <f>'1 datos preparados'!I630</f>
        <v/>
      </c>
      <c r="K637" s="7">
        <f>'1 datos preparados'!J630</f>
        <v/>
      </c>
      <c r="L637" s="7">
        <f>'1 datos preparados'!K630</f>
        <v/>
      </c>
      <c r="M637" s="7">
        <f>'1 datos preparados'!L630</f>
        <v/>
      </c>
      <c r="N637" s="7">
        <f>'1 datos preparados'!M630</f>
        <v/>
      </c>
      <c r="O637" s="7">
        <f>'1 datos preparados'!N630</f>
        <v/>
      </c>
      <c r="P637" s="7">
        <f>'1 datos preparados'!O630</f>
        <v/>
      </c>
      <c r="Q637" s="7">
        <f>'1 datos preparados'!P630</f>
        <v/>
      </c>
      <c r="R637" s="7">
        <f>'1 datos preparados'!Q630</f>
        <v/>
      </c>
      <c r="S637" s="7">
        <f>'1 datos preparados'!R630</f>
        <v/>
      </c>
      <c r="T637" s="7">
        <f>'1 datos preparados'!S630</f>
        <v/>
      </c>
      <c r="U637" s="7">
        <f>'1 datos preparados'!T630</f>
        <v/>
      </c>
      <c r="V637" s="8">
        <f>$AE$12+D637*$AE$13+E637*$AE$14+F637*$AE$15+G637*$AE$16+H637*$AE$17+I637*$AE$18+J637*$AE$19+K637*$AE$20+L637*$AE$21+M637*$AE$22+N637*$AE$23+O637*$AE$24+P637*$AE$25+Q637*$AE$26+R637*$AE$27+S637*$AE$28+T637*$AE$29+U637*$AE$30</f>
        <v/>
      </c>
      <c r="W637" s="8">
        <f>1/(1+EXP(-V637))</f>
        <v/>
      </c>
      <c r="X637" s="9">
        <f>-IF(C637=1,LN(W637),LN(1-W637))</f>
        <v/>
      </c>
      <c r="Y637" s="8">
        <f>'1 datos preparados'!V630</f>
        <v/>
      </c>
      <c r="Z637" s="9">
        <f>Y637*X637</f>
        <v/>
      </c>
      <c r="AA637" s="10">
        <f>IF(W637&gt;$AE$33,1,0)</f>
        <v/>
      </c>
      <c r="AB637">
        <f>IF(AA637=C637,1,0)</f>
        <v/>
      </c>
    </row>
    <row r="638">
      <c r="A638">
        <f>'1 datos preparados'!A631</f>
        <v/>
      </c>
      <c r="B638" s="5">
        <f>'1 datos preparados'!U631</f>
        <v/>
      </c>
      <c r="C638">
        <f>'1 datos preparados'!B631</f>
        <v/>
      </c>
      <c r="D638" s="7">
        <f>'1 datos preparados'!C631</f>
        <v/>
      </c>
      <c r="E638" s="7">
        <f>'1 datos preparados'!D631</f>
        <v/>
      </c>
      <c r="F638" s="7">
        <f>'1 datos preparados'!E631</f>
        <v/>
      </c>
      <c r="G638" s="7">
        <f>'1 datos preparados'!F631</f>
        <v/>
      </c>
      <c r="H638" s="7">
        <f>'1 datos preparados'!G631</f>
        <v/>
      </c>
      <c r="I638" s="7">
        <f>'1 datos preparados'!H631</f>
        <v/>
      </c>
      <c r="J638" s="7">
        <f>'1 datos preparados'!I631</f>
        <v/>
      </c>
      <c r="K638" s="7">
        <f>'1 datos preparados'!J631</f>
        <v/>
      </c>
      <c r="L638" s="7">
        <f>'1 datos preparados'!K631</f>
        <v/>
      </c>
      <c r="M638" s="7">
        <f>'1 datos preparados'!L631</f>
        <v/>
      </c>
      <c r="N638" s="7">
        <f>'1 datos preparados'!M631</f>
        <v/>
      </c>
      <c r="O638" s="7">
        <f>'1 datos preparados'!N631</f>
        <v/>
      </c>
      <c r="P638" s="7">
        <f>'1 datos preparados'!O631</f>
        <v/>
      </c>
      <c r="Q638" s="7">
        <f>'1 datos preparados'!P631</f>
        <v/>
      </c>
      <c r="R638" s="7">
        <f>'1 datos preparados'!Q631</f>
        <v/>
      </c>
      <c r="S638" s="7">
        <f>'1 datos preparados'!R631</f>
        <v/>
      </c>
      <c r="T638" s="7">
        <f>'1 datos preparados'!S631</f>
        <v/>
      </c>
      <c r="U638" s="7">
        <f>'1 datos preparados'!T631</f>
        <v/>
      </c>
      <c r="V638" s="8">
        <f>$AE$12+D638*$AE$13+E638*$AE$14+F638*$AE$15+G638*$AE$16+H638*$AE$17+I638*$AE$18+J638*$AE$19+K638*$AE$20+L638*$AE$21+M638*$AE$22+N638*$AE$23+O638*$AE$24+P638*$AE$25+Q638*$AE$26+R638*$AE$27+S638*$AE$28+T638*$AE$29+U638*$AE$30</f>
        <v/>
      </c>
      <c r="W638" s="8">
        <f>1/(1+EXP(-V638))</f>
        <v/>
      </c>
      <c r="X638" s="9">
        <f>-IF(C638=1,LN(W638),LN(1-W638))</f>
        <v/>
      </c>
      <c r="Y638" s="8">
        <f>'1 datos preparados'!V631</f>
        <v/>
      </c>
      <c r="Z638" s="9">
        <f>Y638*X638</f>
        <v/>
      </c>
      <c r="AA638" s="10">
        <f>IF(W638&gt;$AE$33,1,0)</f>
        <v/>
      </c>
      <c r="AB638">
        <f>IF(AA638=C638,1,0)</f>
        <v/>
      </c>
    </row>
    <row r="639">
      <c r="A639">
        <f>'1 datos preparados'!A632</f>
        <v/>
      </c>
      <c r="B639" s="5">
        <f>'1 datos preparados'!U632</f>
        <v/>
      </c>
      <c r="C639">
        <f>'1 datos preparados'!B632</f>
        <v/>
      </c>
      <c r="D639" s="7">
        <f>'1 datos preparados'!C632</f>
        <v/>
      </c>
      <c r="E639" s="7">
        <f>'1 datos preparados'!D632</f>
        <v/>
      </c>
      <c r="F639" s="7">
        <f>'1 datos preparados'!E632</f>
        <v/>
      </c>
      <c r="G639" s="7">
        <f>'1 datos preparados'!F632</f>
        <v/>
      </c>
      <c r="H639" s="7">
        <f>'1 datos preparados'!G632</f>
        <v/>
      </c>
      <c r="I639" s="7">
        <f>'1 datos preparados'!H632</f>
        <v/>
      </c>
      <c r="J639" s="7">
        <f>'1 datos preparados'!I632</f>
        <v/>
      </c>
      <c r="K639" s="7">
        <f>'1 datos preparados'!J632</f>
        <v/>
      </c>
      <c r="L639" s="7">
        <f>'1 datos preparados'!K632</f>
        <v/>
      </c>
      <c r="M639" s="7">
        <f>'1 datos preparados'!L632</f>
        <v/>
      </c>
      <c r="N639" s="7">
        <f>'1 datos preparados'!M632</f>
        <v/>
      </c>
      <c r="O639" s="7">
        <f>'1 datos preparados'!N632</f>
        <v/>
      </c>
      <c r="P639" s="7">
        <f>'1 datos preparados'!O632</f>
        <v/>
      </c>
      <c r="Q639" s="7">
        <f>'1 datos preparados'!P632</f>
        <v/>
      </c>
      <c r="R639" s="7">
        <f>'1 datos preparados'!Q632</f>
        <v/>
      </c>
      <c r="S639" s="7">
        <f>'1 datos preparados'!R632</f>
        <v/>
      </c>
      <c r="T639" s="7">
        <f>'1 datos preparados'!S632</f>
        <v/>
      </c>
      <c r="U639" s="7">
        <f>'1 datos preparados'!T632</f>
        <v/>
      </c>
      <c r="V639" s="8">
        <f>$AE$12+D639*$AE$13+E639*$AE$14+F639*$AE$15+G639*$AE$16+H639*$AE$17+I639*$AE$18+J639*$AE$19+K639*$AE$20+L639*$AE$21+M639*$AE$22+N639*$AE$23+O639*$AE$24+P639*$AE$25+Q639*$AE$26+R639*$AE$27+S639*$AE$28+T639*$AE$29+U639*$AE$30</f>
        <v/>
      </c>
      <c r="W639" s="8">
        <f>1/(1+EXP(-V639))</f>
        <v/>
      </c>
      <c r="X639" s="9">
        <f>-IF(C639=1,LN(W639),LN(1-W639))</f>
        <v/>
      </c>
      <c r="Y639" s="8">
        <f>'1 datos preparados'!V632</f>
        <v/>
      </c>
      <c r="Z639" s="9">
        <f>Y639*X639</f>
        <v/>
      </c>
      <c r="AA639" s="10">
        <f>IF(W639&gt;$AE$33,1,0)</f>
        <v/>
      </c>
      <c r="AB639">
        <f>IF(AA639=C639,1,0)</f>
        <v/>
      </c>
    </row>
    <row r="640">
      <c r="A640">
        <f>'1 datos preparados'!A633</f>
        <v/>
      </c>
      <c r="B640" s="5">
        <f>'1 datos preparados'!U633</f>
        <v/>
      </c>
      <c r="C640">
        <f>'1 datos preparados'!B633</f>
        <v/>
      </c>
      <c r="D640" s="7">
        <f>'1 datos preparados'!C633</f>
        <v/>
      </c>
      <c r="E640" s="7">
        <f>'1 datos preparados'!D633</f>
        <v/>
      </c>
      <c r="F640" s="7">
        <f>'1 datos preparados'!E633</f>
        <v/>
      </c>
      <c r="G640" s="7">
        <f>'1 datos preparados'!F633</f>
        <v/>
      </c>
      <c r="H640" s="7">
        <f>'1 datos preparados'!G633</f>
        <v/>
      </c>
      <c r="I640" s="7">
        <f>'1 datos preparados'!H633</f>
        <v/>
      </c>
      <c r="J640" s="7">
        <f>'1 datos preparados'!I633</f>
        <v/>
      </c>
      <c r="K640" s="7">
        <f>'1 datos preparados'!J633</f>
        <v/>
      </c>
      <c r="L640" s="7">
        <f>'1 datos preparados'!K633</f>
        <v/>
      </c>
      <c r="M640" s="7">
        <f>'1 datos preparados'!L633</f>
        <v/>
      </c>
      <c r="N640" s="7">
        <f>'1 datos preparados'!M633</f>
        <v/>
      </c>
      <c r="O640" s="7">
        <f>'1 datos preparados'!N633</f>
        <v/>
      </c>
      <c r="P640" s="7">
        <f>'1 datos preparados'!O633</f>
        <v/>
      </c>
      <c r="Q640" s="7">
        <f>'1 datos preparados'!P633</f>
        <v/>
      </c>
      <c r="R640" s="7">
        <f>'1 datos preparados'!Q633</f>
        <v/>
      </c>
      <c r="S640" s="7">
        <f>'1 datos preparados'!R633</f>
        <v/>
      </c>
      <c r="T640" s="7">
        <f>'1 datos preparados'!S633</f>
        <v/>
      </c>
      <c r="U640" s="7">
        <f>'1 datos preparados'!T633</f>
        <v/>
      </c>
      <c r="V640" s="8">
        <f>$AE$12+D640*$AE$13+E640*$AE$14+F640*$AE$15+G640*$AE$16+H640*$AE$17+I640*$AE$18+J640*$AE$19+K640*$AE$20+L640*$AE$21+M640*$AE$22+N640*$AE$23+O640*$AE$24+P640*$AE$25+Q640*$AE$26+R640*$AE$27+S640*$AE$28+T640*$AE$29+U640*$AE$30</f>
        <v/>
      </c>
      <c r="W640" s="8">
        <f>1/(1+EXP(-V640))</f>
        <v/>
      </c>
      <c r="X640" s="9">
        <f>-IF(C640=1,LN(W640),LN(1-W640))</f>
        <v/>
      </c>
      <c r="Y640" s="8">
        <f>'1 datos preparados'!V633</f>
        <v/>
      </c>
      <c r="Z640" s="9">
        <f>Y640*X640</f>
        <v/>
      </c>
      <c r="AA640" s="10">
        <f>IF(W640&gt;$AE$33,1,0)</f>
        <v/>
      </c>
      <c r="AB640">
        <f>IF(AA640=C640,1,0)</f>
        <v/>
      </c>
    </row>
    <row r="641">
      <c r="A641">
        <f>'1 datos preparados'!A634</f>
        <v/>
      </c>
      <c r="B641" s="5">
        <f>'1 datos preparados'!U634</f>
        <v/>
      </c>
      <c r="C641">
        <f>'1 datos preparados'!B634</f>
        <v/>
      </c>
      <c r="D641" s="7">
        <f>'1 datos preparados'!C634</f>
        <v/>
      </c>
      <c r="E641" s="7">
        <f>'1 datos preparados'!D634</f>
        <v/>
      </c>
      <c r="F641" s="7">
        <f>'1 datos preparados'!E634</f>
        <v/>
      </c>
      <c r="G641" s="7">
        <f>'1 datos preparados'!F634</f>
        <v/>
      </c>
      <c r="H641" s="7">
        <f>'1 datos preparados'!G634</f>
        <v/>
      </c>
      <c r="I641" s="7">
        <f>'1 datos preparados'!H634</f>
        <v/>
      </c>
      <c r="J641" s="7">
        <f>'1 datos preparados'!I634</f>
        <v/>
      </c>
      <c r="K641" s="7">
        <f>'1 datos preparados'!J634</f>
        <v/>
      </c>
      <c r="L641" s="7">
        <f>'1 datos preparados'!K634</f>
        <v/>
      </c>
      <c r="M641" s="7">
        <f>'1 datos preparados'!L634</f>
        <v/>
      </c>
      <c r="N641" s="7">
        <f>'1 datos preparados'!M634</f>
        <v/>
      </c>
      <c r="O641" s="7">
        <f>'1 datos preparados'!N634</f>
        <v/>
      </c>
      <c r="P641" s="7">
        <f>'1 datos preparados'!O634</f>
        <v/>
      </c>
      <c r="Q641" s="7">
        <f>'1 datos preparados'!P634</f>
        <v/>
      </c>
      <c r="R641" s="7">
        <f>'1 datos preparados'!Q634</f>
        <v/>
      </c>
      <c r="S641" s="7">
        <f>'1 datos preparados'!R634</f>
        <v/>
      </c>
      <c r="T641" s="7">
        <f>'1 datos preparados'!S634</f>
        <v/>
      </c>
      <c r="U641" s="7">
        <f>'1 datos preparados'!T634</f>
        <v/>
      </c>
      <c r="V641" s="8">
        <f>$AE$12+D641*$AE$13+E641*$AE$14+F641*$AE$15+G641*$AE$16+H641*$AE$17+I641*$AE$18+J641*$AE$19+K641*$AE$20+L641*$AE$21+M641*$AE$22+N641*$AE$23+O641*$AE$24+P641*$AE$25+Q641*$AE$26+R641*$AE$27+S641*$AE$28+T641*$AE$29+U641*$AE$30</f>
        <v/>
      </c>
      <c r="W641" s="8">
        <f>1/(1+EXP(-V641))</f>
        <v/>
      </c>
      <c r="X641" s="9">
        <f>-IF(C641=1,LN(W641),LN(1-W641))</f>
        <v/>
      </c>
      <c r="Y641" s="8">
        <f>'1 datos preparados'!V634</f>
        <v/>
      </c>
      <c r="Z641" s="9">
        <f>Y641*X641</f>
        <v/>
      </c>
      <c r="AA641" s="10">
        <f>IF(W641&gt;$AE$33,1,0)</f>
        <v/>
      </c>
      <c r="AB641">
        <f>IF(AA641=C641,1,0)</f>
        <v/>
      </c>
    </row>
    <row r="642">
      <c r="A642">
        <f>'1 datos preparados'!A635</f>
        <v/>
      </c>
      <c r="B642" s="5">
        <f>'1 datos preparados'!U635</f>
        <v/>
      </c>
      <c r="C642">
        <f>'1 datos preparados'!B635</f>
        <v/>
      </c>
      <c r="D642" s="7">
        <f>'1 datos preparados'!C635</f>
        <v/>
      </c>
      <c r="E642" s="7">
        <f>'1 datos preparados'!D635</f>
        <v/>
      </c>
      <c r="F642" s="7">
        <f>'1 datos preparados'!E635</f>
        <v/>
      </c>
      <c r="G642" s="7">
        <f>'1 datos preparados'!F635</f>
        <v/>
      </c>
      <c r="H642" s="7">
        <f>'1 datos preparados'!G635</f>
        <v/>
      </c>
      <c r="I642" s="7">
        <f>'1 datos preparados'!H635</f>
        <v/>
      </c>
      <c r="J642" s="7">
        <f>'1 datos preparados'!I635</f>
        <v/>
      </c>
      <c r="K642" s="7">
        <f>'1 datos preparados'!J635</f>
        <v/>
      </c>
      <c r="L642" s="7">
        <f>'1 datos preparados'!K635</f>
        <v/>
      </c>
      <c r="M642" s="7">
        <f>'1 datos preparados'!L635</f>
        <v/>
      </c>
      <c r="N642" s="7">
        <f>'1 datos preparados'!M635</f>
        <v/>
      </c>
      <c r="O642" s="7">
        <f>'1 datos preparados'!N635</f>
        <v/>
      </c>
      <c r="P642" s="7">
        <f>'1 datos preparados'!O635</f>
        <v/>
      </c>
      <c r="Q642" s="7">
        <f>'1 datos preparados'!P635</f>
        <v/>
      </c>
      <c r="R642" s="7">
        <f>'1 datos preparados'!Q635</f>
        <v/>
      </c>
      <c r="S642" s="7">
        <f>'1 datos preparados'!R635</f>
        <v/>
      </c>
      <c r="T642" s="7">
        <f>'1 datos preparados'!S635</f>
        <v/>
      </c>
      <c r="U642" s="7">
        <f>'1 datos preparados'!T635</f>
        <v/>
      </c>
      <c r="V642" s="8">
        <f>$AE$12+D642*$AE$13+E642*$AE$14+F642*$AE$15+G642*$AE$16+H642*$AE$17+I642*$AE$18+J642*$AE$19+K642*$AE$20+L642*$AE$21+M642*$AE$22+N642*$AE$23+O642*$AE$24+P642*$AE$25+Q642*$AE$26+R642*$AE$27+S642*$AE$28+T642*$AE$29+U642*$AE$30</f>
        <v/>
      </c>
      <c r="W642" s="8">
        <f>1/(1+EXP(-V642))</f>
        <v/>
      </c>
      <c r="X642" s="9">
        <f>-IF(C642=1,LN(W642),LN(1-W642))</f>
        <v/>
      </c>
      <c r="Y642" s="8">
        <f>'1 datos preparados'!V635</f>
        <v/>
      </c>
      <c r="Z642" s="9">
        <f>Y642*X642</f>
        <v/>
      </c>
      <c r="AA642" s="10">
        <f>IF(W642&gt;$AE$33,1,0)</f>
        <v/>
      </c>
      <c r="AB642">
        <f>IF(AA642=C642,1,0)</f>
        <v/>
      </c>
    </row>
    <row r="643">
      <c r="A643">
        <f>'1 datos preparados'!A636</f>
        <v/>
      </c>
      <c r="B643" s="5">
        <f>'1 datos preparados'!U636</f>
        <v/>
      </c>
      <c r="C643">
        <f>'1 datos preparados'!B636</f>
        <v/>
      </c>
      <c r="D643" s="7">
        <f>'1 datos preparados'!C636</f>
        <v/>
      </c>
      <c r="E643" s="7">
        <f>'1 datos preparados'!D636</f>
        <v/>
      </c>
      <c r="F643" s="7">
        <f>'1 datos preparados'!E636</f>
        <v/>
      </c>
      <c r="G643" s="7">
        <f>'1 datos preparados'!F636</f>
        <v/>
      </c>
      <c r="H643" s="7">
        <f>'1 datos preparados'!G636</f>
        <v/>
      </c>
      <c r="I643" s="7">
        <f>'1 datos preparados'!H636</f>
        <v/>
      </c>
      <c r="J643" s="7">
        <f>'1 datos preparados'!I636</f>
        <v/>
      </c>
      <c r="K643" s="7">
        <f>'1 datos preparados'!J636</f>
        <v/>
      </c>
      <c r="L643" s="7">
        <f>'1 datos preparados'!K636</f>
        <v/>
      </c>
      <c r="M643" s="7">
        <f>'1 datos preparados'!L636</f>
        <v/>
      </c>
      <c r="N643" s="7">
        <f>'1 datos preparados'!M636</f>
        <v/>
      </c>
      <c r="O643" s="7">
        <f>'1 datos preparados'!N636</f>
        <v/>
      </c>
      <c r="P643" s="7">
        <f>'1 datos preparados'!O636</f>
        <v/>
      </c>
      <c r="Q643" s="7">
        <f>'1 datos preparados'!P636</f>
        <v/>
      </c>
      <c r="R643" s="7">
        <f>'1 datos preparados'!Q636</f>
        <v/>
      </c>
      <c r="S643" s="7">
        <f>'1 datos preparados'!R636</f>
        <v/>
      </c>
      <c r="T643" s="7">
        <f>'1 datos preparados'!S636</f>
        <v/>
      </c>
      <c r="U643" s="7">
        <f>'1 datos preparados'!T636</f>
        <v/>
      </c>
      <c r="V643" s="8">
        <f>$AE$12+D643*$AE$13+E643*$AE$14+F643*$AE$15+G643*$AE$16+H643*$AE$17+I643*$AE$18+J643*$AE$19+K643*$AE$20+L643*$AE$21+M643*$AE$22+N643*$AE$23+O643*$AE$24+P643*$AE$25+Q643*$AE$26+R643*$AE$27+S643*$AE$28+T643*$AE$29+U643*$AE$30</f>
        <v/>
      </c>
      <c r="W643" s="8">
        <f>1/(1+EXP(-V643))</f>
        <v/>
      </c>
      <c r="X643" s="9">
        <f>-IF(C643=1,LN(W643),LN(1-W643))</f>
        <v/>
      </c>
      <c r="Y643" s="8">
        <f>'1 datos preparados'!V636</f>
        <v/>
      </c>
      <c r="Z643" s="9">
        <f>Y643*X643</f>
        <v/>
      </c>
      <c r="AA643" s="10">
        <f>IF(W643&gt;$AE$33,1,0)</f>
        <v/>
      </c>
      <c r="AB643">
        <f>IF(AA643=C643,1,0)</f>
        <v/>
      </c>
    </row>
    <row r="644">
      <c r="A644">
        <f>'1 datos preparados'!A637</f>
        <v/>
      </c>
      <c r="B644" s="5">
        <f>'1 datos preparados'!U637</f>
        <v/>
      </c>
      <c r="C644">
        <f>'1 datos preparados'!B637</f>
        <v/>
      </c>
      <c r="D644" s="7">
        <f>'1 datos preparados'!C637</f>
        <v/>
      </c>
      <c r="E644" s="7">
        <f>'1 datos preparados'!D637</f>
        <v/>
      </c>
      <c r="F644" s="7">
        <f>'1 datos preparados'!E637</f>
        <v/>
      </c>
      <c r="G644" s="7">
        <f>'1 datos preparados'!F637</f>
        <v/>
      </c>
      <c r="H644" s="7">
        <f>'1 datos preparados'!G637</f>
        <v/>
      </c>
      <c r="I644" s="7">
        <f>'1 datos preparados'!H637</f>
        <v/>
      </c>
      <c r="J644" s="7">
        <f>'1 datos preparados'!I637</f>
        <v/>
      </c>
      <c r="K644" s="7">
        <f>'1 datos preparados'!J637</f>
        <v/>
      </c>
      <c r="L644" s="7">
        <f>'1 datos preparados'!K637</f>
        <v/>
      </c>
      <c r="M644" s="7">
        <f>'1 datos preparados'!L637</f>
        <v/>
      </c>
      <c r="N644" s="7">
        <f>'1 datos preparados'!M637</f>
        <v/>
      </c>
      <c r="O644" s="7">
        <f>'1 datos preparados'!N637</f>
        <v/>
      </c>
      <c r="P644" s="7">
        <f>'1 datos preparados'!O637</f>
        <v/>
      </c>
      <c r="Q644" s="7">
        <f>'1 datos preparados'!P637</f>
        <v/>
      </c>
      <c r="R644" s="7">
        <f>'1 datos preparados'!Q637</f>
        <v/>
      </c>
      <c r="S644" s="7">
        <f>'1 datos preparados'!R637</f>
        <v/>
      </c>
      <c r="T644" s="7">
        <f>'1 datos preparados'!S637</f>
        <v/>
      </c>
      <c r="U644" s="7">
        <f>'1 datos preparados'!T637</f>
        <v/>
      </c>
      <c r="V644" s="8">
        <f>$AE$12+D644*$AE$13+E644*$AE$14+F644*$AE$15+G644*$AE$16+H644*$AE$17+I644*$AE$18+J644*$AE$19+K644*$AE$20+L644*$AE$21+M644*$AE$22+N644*$AE$23+O644*$AE$24+P644*$AE$25+Q644*$AE$26+R644*$AE$27+S644*$AE$28+T644*$AE$29+U644*$AE$30</f>
        <v/>
      </c>
      <c r="W644" s="8">
        <f>1/(1+EXP(-V644))</f>
        <v/>
      </c>
      <c r="X644" s="9">
        <f>-IF(C644=1,LN(W644),LN(1-W644))</f>
        <v/>
      </c>
      <c r="Y644" s="8">
        <f>'1 datos preparados'!V637</f>
        <v/>
      </c>
      <c r="Z644" s="9">
        <f>Y644*X644</f>
        <v/>
      </c>
      <c r="AA644" s="10">
        <f>IF(W644&gt;$AE$33,1,0)</f>
        <v/>
      </c>
      <c r="AB644">
        <f>IF(AA644=C644,1,0)</f>
        <v/>
      </c>
    </row>
    <row r="645">
      <c r="A645">
        <f>'1 datos preparados'!A638</f>
        <v/>
      </c>
      <c r="B645" s="5">
        <f>'1 datos preparados'!U638</f>
        <v/>
      </c>
      <c r="C645">
        <f>'1 datos preparados'!B638</f>
        <v/>
      </c>
      <c r="D645" s="7">
        <f>'1 datos preparados'!C638</f>
        <v/>
      </c>
      <c r="E645" s="7">
        <f>'1 datos preparados'!D638</f>
        <v/>
      </c>
      <c r="F645" s="7">
        <f>'1 datos preparados'!E638</f>
        <v/>
      </c>
      <c r="G645" s="7">
        <f>'1 datos preparados'!F638</f>
        <v/>
      </c>
      <c r="H645" s="7">
        <f>'1 datos preparados'!G638</f>
        <v/>
      </c>
      <c r="I645" s="7">
        <f>'1 datos preparados'!H638</f>
        <v/>
      </c>
      <c r="J645" s="7">
        <f>'1 datos preparados'!I638</f>
        <v/>
      </c>
      <c r="K645" s="7">
        <f>'1 datos preparados'!J638</f>
        <v/>
      </c>
      <c r="L645" s="7">
        <f>'1 datos preparados'!K638</f>
        <v/>
      </c>
      <c r="M645" s="7">
        <f>'1 datos preparados'!L638</f>
        <v/>
      </c>
      <c r="N645" s="7">
        <f>'1 datos preparados'!M638</f>
        <v/>
      </c>
      <c r="O645" s="7">
        <f>'1 datos preparados'!N638</f>
        <v/>
      </c>
      <c r="P645" s="7">
        <f>'1 datos preparados'!O638</f>
        <v/>
      </c>
      <c r="Q645" s="7">
        <f>'1 datos preparados'!P638</f>
        <v/>
      </c>
      <c r="R645" s="7">
        <f>'1 datos preparados'!Q638</f>
        <v/>
      </c>
      <c r="S645" s="7">
        <f>'1 datos preparados'!R638</f>
        <v/>
      </c>
      <c r="T645" s="7">
        <f>'1 datos preparados'!S638</f>
        <v/>
      </c>
      <c r="U645" s="7">
        <f>'1 datos preparados'!T638</f>
        <v/>
      </c>
      <c r="V645" s="8">
        <f>$AE$12+D645*$AE$13+E645*$AE$14+F645*$AE$15+G645*$AE$16+H645*$AE$17+I645*$AE$18+J645*$AE$19+K645*$AE$20+L645*$AE$21+M645*$AE$22+N645*$AE$23+O645*$AE$24+P645*$AE$25+Q645*$AE$26+R645*$AE$27+S645*$AE$28+T645*$AE$29+U645*$AE$30</f>
        <v/>
      </c>
      <c r="W645" s="8">
        <f>1/(1+EXP(-V645))</f>
        <v/>
      </c>
      <c r="X645" s="9">
        <f>-IF(C645=1,LN(W645),LN(1-W645))</f>
        <v/>
      </c>
      <c r="Y645" s="8">
        <f>'1 datos preparados'!V638</f>
        <v/>
      </c>
      <c r="Z645" s="9">
        <f>Y645*X645</f>
        <v/>
      </c>
      <c r="AA645" s="10">
        <f>IF(W645&gt;$AE$33,1,0)</f>
        <v/>
      </c>
      <c r="AB645">
        <f>IF(AA645=C645,1,0)</f>
        <v/>
      </c>
    </row>
    <row r="646">
      <c r="A646">
        <f>'1 datos preparados'!A639</f>
        <v/>
      </c>
      <c r="B646" s="5">
        <f>'1 datos preparados'!U639</f>
        <v/>
      </c>
      <c r="C646">
        <f>'1 datos preparados'!B639</f>
        <v/>
      </c>
      <c r="D646" s="7">
        <f>'1 datos preparados'!C639</f>
        <v/>
      </c>
      <c r="E646" s="7">
        <f>'1 datos preparados'!D639</f>
        <v/>
      </c>
      <c r="F646" s="7">
        <f>'1 datos preparados'!E639</f>
        <v/>
      </c>
      <c r="G646" s="7">
        <f>'1 datos preparados'!F639</f>
        <v/>
      </c>
      <c r="H646" s="7">
        <f>'1 datos preparados'!G639</f>
        <v/>
      </c>
      <c r="I646" s="7">
        <f>'1 datos preparados'!H639</f>
        <v/>
      </c>
      <c r="J646" s="7">
        <f>'1 datos preparados'!I639</f>
        <v/>
      </c>
      <c r="K646" s="7">
        <f>'1 datos preparados'!J639</f>
        <v/>
      </c>
      <c r="L646" s="7">
        <f>'1 datos preparados'!K639</f>
        <v/>
      </c>
      <c r="M646" s="7">
        <f>'1 datos preparados'!L639</f>
        <v/>
      </c>
      <c r="N646" s="7">
        <f>'1 datos preparados'!M639</f>
        <v/>
      </c>
      <c r="O646" s="7">
        <f>'1 datos preparados'!N639</f>
        <v/>
      </c>
      <c r="P646" s="7">
        <f>'1 datos preparados'!O639</f>
        <v/>
      </c>
      <c r="Q646" s="7">
        <f>'1 datos preparados'!P639</f>
        <v/>
      </c>
      <c r="R646" s="7">
        <f>'1 datos preparados'!Q639</f>
        <v/>
      </c>
      <c r="S646" s="7">
        <f>'1 datos preparados'!R639</f>
        <v/>
      </c>
      <c r="T646" s="7">
        <f>'1 datos preparados'!S639</f>
        <v/>
      </c>
      <c r="U646" s="7">
        <f>'1 datos preparados'!T639</f>
        <v/>
      </c>
      <c r="V646" s="8">
        <f>$AE$12+D646*$AE$13+E646*$AE$14+F646*$AE$15+G646*$AE$16+H646*$AE$17+I646*$AE$18+J646*$AE$19+K646*$AE$20+L646*$AE$21+M646*$AE$22+N646*$AE$23+O646*$AE$24+P646*$AE$25+Q646*$AE$26+R646*$AE$27+S646*$AE$28+T646*$AE$29+U646*$AE$30</f>
        <v/>
      </c>
      <c r="W646" s="8">
        <f>1/(1+EXP(-V646))</f>
        <v/>
      </c>
      <c r="X646" s="9">
        <f>-IF(C646=1,LN(W646),LN(1-W646))</f>
        <v/>
      </c>
      <c r="Y646" s="8">
        <f>'1 datos preparados'!V639</f>
        <v/>
      </c>
      <c r="Z646" s="9">
        <f>Y646*X646</f>
        <v/>
      </c>
      <c r="AA646" s="10">
        <f>IF(W646&gt;$AE$33,1,0)</f>
        <v/>
      </c>
      <c r="AB646">
        <f>IF(AA646=C646,1,0)</f>
        <v/>
      </c>
    </row>
    <row r="647">
      <c r="A647">
        <f>'1 datos preparados'!A640</f>
        <v/>
      </c>
      <c r="B647" s="5">
        <f>'1 datos preparados'!U640</f>
        <v/>
      </c>
      <c r="C647">
        <f>'1 datos preparados'!B640</f>
        <v/>
      </c>
      <c r="D647" s="7">
        <f>'1 datos preparados'!C640</f>
        <v/>
      </c>
      <c r="E647" s="7">
        <f>'1 datos preparados'!D640</f>
        <v/>
      </c>
      <c r="F647" s="7">
        <f>'1 datos preparados'!E640</f>
        <v/>
      </c>
      <c r="G647" s="7">
        <f>'1 datos preparados'!F640</f>
        <v/>
      </c>
      <c r="H647" s="7">
        <f>'1 datos preparados'!G640</f>
        <v/>
      </c>
      <c r="I647" s="7">
        <f>'1 datos preparados'!H640</f>
        <v/>
      </c>
      <c r="J647" s="7">
        <f>'1 datos preparados'!I640</f>
        <v/>
      </c>
      <c r="K647" s="7">
        <f>'1 datos preparados'!J640</f>
        <v/>
      </c>
      <c r="L647" s="7">
        <f>'1 datos preparados'!K640</f>
        <v/>
      </c>
      <c r="M647" s="7">
        <f>'1 datos preparados'!L640</f>
        <v/>
      </c>
      <c r="N647" s="7">
        <f>'1 datos preparados'!M640</f>
        <v/>
      </c>
      <c r="O647" s="7">
        <f>'1 datos preparados'!N640</f>
        <v/>
      </c>
      <c r="P647" s="7">
        <f>'1 datos preparados'!O640</f>
        <v/>
      </c>
      <c r="Q647" s="7">
        <f>'1 datos preparados'!P640</f>
        <v/>
      </c>
      <c r="R647" s="7">
        <f>'1 datos preparados'!Q640</f>
        <v/>
      </c>
      <c r="S647" s="7">
        <f>'1 datos preparados'!R640</f>
        <v/>
      </c>
      <c r="T647" s="7">
        <f>'1 datos preparados'!S640</f>
        <v/>
      </c>
      <c r="U647" s="7">
        <f>'1 datos preparados'!T640</f>
        <v/>
      </c>
      <c r="V647" s="8">
        <f>$AE$12+D647*$AE$13+E647*$AE$14+F647*$AE$15+G647*$AE$16+H647*$AE$17+I647*$AE$18+J647*$AE$19+K647*$AE$20+L647*$AE$21+M647*$AE$22+N647*$AE$23+O647*$AE$24+P647*$AE$25+Q647*$AE$26+R647*$AE$27+S647*$AE$28+T647*$AE$29+U647*$AE$30</f>
        <v/>
      </c>
      <c r="W647" s="8">
        <f>1/(1+EXP(-V647))</f>
        <v/>
      </c>
      <c r="X647" s="9">
        <f>-IF(C647=1,LN(W647),LN(1-W647))</f>
        <v/>
      </c>
      <c r="Y647" s="8">
        <f>'1 datos preparados'!V640</f>
        <v/>
      </c>
      <c r="Z647" s="9">
        <f>Y647*X647</f>
        <v/>
      </c>
      <c r="AA647" s="10">
        <f>IF(W647&gt;$AE$33,1,0)</f>
        <v/>
      </c>
      <c r="AB647">
        <f>IF(AA647=C647,1,0)</f>
        <v/>
      </c>
    </row>
    <row r="648">
      <c r="A648">
        <f>'1 datos preparados'!A641</f>
        <v/>
      </c>
      <c r="B648" s="5">
        <f>'1 datos preparados'!U641</f>
        <v/>
      </c>
      <c r="C648">
        <f>'1 datos preparados'!B641</f>
        <v/>
      </c>
      <c r="D648" s="7">
        <f>'1 datos preparados'!C641</f>
        <v/>
      </c>
      <c r="E648" s="7">
        <f>'1 datos preparados'!D641</f>
        <v/>
      </c>
      <c r="F648" s="7">
        <f>'1 datos preparados'!E641</f>
        <v/>
      </c>
      <c r="G648" s="7">
        <f>'1 datos preparados'!F641</f>
        <v/>
      </c>
      <c r="H648" s="7">
        <f>'1 datos preparados'!G641</f>
        <v/>
      </c>
      <c r="I648" s="7">
        <f>'1 datos preparados'!H641</f>
        <v/>
      </c>
      <c r="J648" s="7">
        <f>'1 datos preparados'!I641</f>
        <v/>
      </c>
      <c r="K648" s="7">
        <f>'1 datos preparados'!J641</f>
        <v/>
      </c>
      <c r="L648" s="7">
        <f>'1 datos preparados'!K641</f>
        <v/>
      </c>
      <c r="M648" s="7">
        <f>'1 datos preparados'!L641</f>
        <v/>
      </c>
      <c r="N648" s="7">
        <f>'1 datos preparados'!M641</f>
        <v/>
      </c>
      <c r="O648" s="7">
        <f>'1 datos preparados'!N641</f>
        <v/>
      </c>
      <c r="P648" s="7">
        <f>'1 datos preparados'!O641</f>
        <v/>
      </c>
      <c r="Q648" s="7">
        <f>'1 datos preparados'!P641</f>
        <v/>
      </c>
      <c r="R648" s="7">
        <f>'1 datos preparados'!Q641</f>
        <v/>
      </c>
      <c r="S648" s="7">
        <f>'1 datos preparados'!R641</f>
        <v/>
      </c>
      <c r="T648" s="7">
        <f>'1 datos preparados'!S641</f>
        <v/>
      </c>
      <c r="U648" s="7">
        <f>'1 datos preparados'!T641</f>
        <v/>
      </c>
      <c r="V648" s="8">
        <f>$AE$12+D648*$AE$13+E648*$AE$14+F648*$AE$15+G648*$AE$16+H648*$AE$17+I648*$AE$18+J648*$AE$19+K648*$AE$20+L648*$AE$21+M648*$AE$22+N648*$AE$23+O648*$AE$24+P648*$AE$25+Q648*$AE$26+R648*$AE$27+S648*$AE$28+T648*$AE$29+U648*$AE$30</f>
        <v/>
      </c>
      <c r="W648" s="8">
        <f>1/(1+EXP(-V648))</f>
        <v/>
      </c>
      <c r="X648" s="9">
        <f>-IF(C648=1,LN(W648),LN(1-W648))</f>
        <v/>
      </c>
      <c r="Y648" s="8">
        <f>'1 datos preparados'!V641</f>
        <v/>
      </c>
      <c r="Z648" s="9">
        <f>Y648*X648</f>
        <v/>
      </c>
      <c r="AA648" s="10">
        <f>IF(W648&gt;$AE$33,1,0)</f>
        <v/>
      </c>
      <c r="AB648">
        <f>IF(AA648=C648,1,0)</f>
        <v/>
      </c>
    </row>
    <row r="649">
      <c r="A649">
        <f>'1 datos preparados'!A642</f>
        <v/>
      </c>
      <c r="B649" s="5">
        <f>'1 datos preparados'!U642</f>
        <v/>
      </c>
      <c r="C649">
        <f>'1 datos preparados'!B642</f>
        <v/>
      </c>
      <c r="D649" s="7">
        <f>'1 datos preparados'!C642</f>
        <v/>
      </c>
      <c r="E649" s="7">
        <f>'1 datos preparados'!D642</f>
        <v/>
      </c>
      <c r="F649" s="7">
        <f>'1 datos preparados'!E642</f>
        <v/>
      </c>
      <c r="G649" s="7">
        <f>'1 datos preparados'!F642</f>
        <v/>
      </c>
      <c r="H649" s="7">
        <f>'1 datos preparados'!G642</f>
        <v/>
      </c>
      <c r="I649" s="7">
        <f>'1 datos preparados'!H642</f>
        <v/>
      </c>
      <c r="J649" s="7">
        <f>'1 datos preparados'!I642</f>
        <v/>
      </c>
      <c r="K649" s="7">
        <f>'1 datos preparados'!J642</f>
        <v/>
      </c>
      <c r="L649" s="7">
        <f>'1 datos preparados'!K642</f>
        <v/>
      </c>
      <c r="M649" s="7">
        <f>'1 datos preparados'!L642</f>
        <v/>
      </c>
      <c r="N649" s="7">
        <f>'1 datos preparados'!M642</f>
        <v/>
      </c>
      <c r="O649" s="7">
        <f>'1 datos preparados'!N642</f>
        <v/>
      </c>
      <c r="P649" s="7">
        <f>'1 datos preparados'!O642</f>
        <v/>
      </c>
      <c r="Q649" s="7">
        <f>'1 datos preparados'!P642</f>
        <v/>
      </c>
      <c r="R649" s="7">
        <f>'1 datos preparados'!Q642</f>
        <v/>
      </c>
      <c r="S649" s="7">
        <f>'1 datos preparados'!R642</f>
        <v/>
      </c>
      <c r="T649" s="7">
        <f>'1 datos preparados'!S642</f>
        <v/>
      </c>
      <c r="U649" s="7">
        <f>'1 datos preparados'!T642</f>
        <v/>
      </c>
      <c r="V649" s="8">
        <f>$AE$12+D649*$AE$13+E649*$AE$14+F649*$AE$15+G649*$AE$16+H649*$AE$17+I649*$AE$18+J649*$AE$19+K649*$AE$20+L649*$AE$21+M649*$AE$22+N649*$AE$23+O649*$AE$24+P649*$AE$25+Q649*$AE$26+R649*$AE$27+S649*$AE$28+T649*$AE$29+U649*$AE$30</f>
        <v/>
      </c>
      <c r="W649" s="8">
        <f>1/(1+EXP(-V649))</f>
        <v/>
      </c>
      <c r="X649" s="9">
        <f>-IF(C649=1,LN(W649),LN(1-W649))</f>
        <v/>
      </c>
      <c r="Y649" s="8">
        <f>'1 datos preparados'!V642</f>
        <v/>
      </c>
      <c r="Z649" s="9">
        <f>Y649*X649</f>
        <v/>
      </c>
      <c r="AA649" s="10">
        <f>IF(W649&gt;$AE$33,1,0)</f>
        <v/>
      </c>
      <c r="AB649">
        <f>IF(AA649=C649,1,0)</f>
        <v/>
      </c>
    </row>
    <row r="650">
      <c r="A650">
        <f>'1 datos preparados'!A643</f>
        <v/>
      </c>
      <c r="B650" s="5">
        <f>'1 datos preparados'!U643</f>
        <v/>
      </c>
      <c r="C650">
        <f>'1 datos preparados'!B643</f>
        <v/>
      </c>
      <c r="D650" s="7">
        <f>'1 datos preparados'!C643</f>
        <v/>
      </c>
      <c r="E650" s="7">
        <f>'1 datos preparados'!D643</f>
        <v/>
      </c>
      <c r="F650" s="7">
        <f>'1 datos preparados'!E643</f>
        <v/>
      </c>
      <c r="G650" s="7">
        <f>'1 datos preparados'!F643</f>
        <v/>
      </c>
      <c r="H650" s="7">
        <f>'1 datos preparados'!G643</f>
        <v/>
      </c>
      <c r="I650" s="7">
        <f>'1 datos preparados'!H643</f>
        <v/>
      </c>
      <c r="J650" s="7">
        <f>'1 datos preparados'!I643</f>
        <v/>
      </c>
      <c r="K650" s="7">
        <f>'1 datos preparados'!J643</f>
        <v/>
      </c>
      <c r="L650" s="7">
        <f>'1 datos preparados'!K643</f>
        <v/>
      </c>
      <c r="M650" s="7">
        <f>'1 datos preparados'!L643</f>
        <v/>
      </c>
      <c r="N650" s="7">
        <f>'1 datos preparados'!M643</f>
        <v/>
      </c>
      <c r="O650" s="7">
        <f>'1 datos preparados'!N643</f>
        <v/>
      </c>
      <c r="P650" s="7">
        <f>'1 datos preparados'!O643</f>
        <v/>
      </c>
      <c r="Q650" s="7">
        <f>'1 datos preparados'!P643</f>
        <v/>
      </c>
      <c r="R650" s="7">
        <f>'1 datos preparados'!Q643</f>
        <v/>
      </c>
      <c r="S650" s="7">
        <f>'1 datos preparados'!R643</f>
        <v/>
      </c>
      <c r="T650" s="7">
        <f>'1 datos preparados'!S643</f>
        <v/>
      </c>
      <c r="U650" s="7">
        <f>'1 datos preparados'!T643</f>
        <v/>
      </c>
      <c r="V650" s="8">
        <f>$AE$12+D650*$AE$13+E650*$AE$14+F650*$AE$15+G650*$AE$16+H650*$AE$17+I650*$AE$18+J650*$AE$19+K650*$AE$20+L650*$AE$21+M650*$AE$22+N650*$AE$23+O650*$AE$24+P650*$AE$25+Q650*$AE$26+R650*$AE$27+S650*$AE$28+T650*$AE$29+U650*$AE$30</f>
        <v/>
      </c>
      <c r="W650" s="8">
        <f>1/(1+EXP(-V650))</f>
        <v/>
      </c>
      <c r="X650" s="9">
        <f>-IF(C650=1,LN(W650),LN(1-W650))</f>
        <v/>
      </c>
      <c r="Y650" s="8">
        <f>'1 datos preparados'!V643</f>
        <v/>
      </c>
      <c r="Z650" s="9">
        <f>Y650*X650</f>
        <v/>
      </c>
      <c r="AA650" s="10">
        <f>IF(W650&gt;$AE$33,1,0)</f>
        <v/>
      </c>
      <c r="AB650">
        <f>IF(AA650=C650,1,0)</f>
        <v/>
      </c>
    </row>
    <row r="651">
      <c r="A651">
        <f>'1 datos preparados'!A644</f>
        <v/>
      </c>
      <c r="B651" s="5">
        <f>'1 datos preparados'!U644</f>
        <v/>
      </c>
      <c r="C651">
        <f>'1 datos preparados'!B644</f>
        <v/>
      </c>
      <c r="D651" s="7">
        <f>'1 datos preparados'!C644</f>
        <v/>
      </c>
      <c r="E651" s="7">
        <f>'1 datos preparados'!D644</f>
        <v/>
      </c>
      <c r="F651" s="7">
        <f>'1 datos preparados'!E644</f>
        <v/>
      </c>
      <c r="G651" s="7">
        <f>'1 datos preparados'!F644</f>
        <v/>
      </c>
      <c r="H651" s="7">
        <f>'1 datos preparados'!G644</f>
        <v/>
      </c>
      <c r="I651" s="7">
        <f>'1 datos preparados'!H644</f>
        <v/>
      </c>
      <c r="J651" s="7">
        <f>'1 datos preparados'!I644</f>
        <v/>
      </c>
      <c r="K651" s="7">
        <f>'1 datos preparados'!J644</f>
        <v/>
      </c>
      <c r="L651" s="7">
        <f>'1 datos preparados'!K644</f>
        <v/>
      </c>
      <c r="M651" s="7">
        <f>'1 datos preparados'!L644</f>
        <v/>
      </c>
      <c r="N651" s="7">
        <f>'1 datos preparados'!M644</f>
        <v/>
      </c>
      <c r="O651" s="7">
        <f>'1 datos preparados'!N644</f>
        <v/>
      </c>
      <c r="P651" s="7">
        <f>'1 datos preparados'!O644</f>
        <v/>
      </c>
      <c r="Q651" s="7">
        <f>'1 datos preparados'!P644</f>
        <v/>
      </c>
      <c r="R651" s="7">
        <f>'1 datos preparados'!Q644</f>
        <v/>
      </c>
      <c r="S651" s="7">
        <f>'1 datos preparados'!R644</f>
        <v/>
      </c>
      <c r="T651" s="7">
        <f>'1 datos preparados'!S644</f>
        <v/>
      </c>
      <c r="U651" s="7">
        <f>'1 datos preparados'!T644</f>
        <v/>
      </c>
      <c r="V651" s="8">
        <f>$AE$12+D651*$AE$13+E651*$AE$14+F651*$AE$15+G651*$AE$16+H651*$AE$17+I651*$AE$18+J651*$AE$19+K651*$AE$20+L651*$AE$21+M651*$AE$22+N651*$AE$23+O651*$AE$24+P651*$AE$25+Q651*$AE$26+R651*$AE$27+S651*$AE$28+T651*$AE$29+U651*$AE$30</f>
        <v/>
      </c>
      <c r="W651" s="8">
        <f>1/(1+EXP(-V651))</f>
        <v/>
      </c>
      <c r="X651" s="9">
        <f>-IF(C651=1,LN(W651),LN(1-W651))</f>
        <v/>
      </c>
      <c r="Y651" s="8">
        <f>'1 datos preparados'!V644</f>
        <v/>
      </c>
      <c r="Z651" s="9">
        <f>Y651*X651</f>
        <v/>
      </c>
      <c r="AA651" s="10">
        <f>IF(W651&gt;$AE$33,1,0)</f>
        <v/>
      </c>
      <c r="AB651">
        <f>IF(AA651=C651,1,0)</f>
        <v/>
      </c>
    </row>
    <row r="652">
      <c r="A652">
        <f>'1 datos preparados'!A645</f>
        <v/>
      </c>
      <c r="B652" s="5">
        <f>'1 datos preparados'!U645</f>
        <v/>
      </c>
      <c r="C652">
        <f>'1 datos preparados'!B645</f>
        <v/>
      </c>
      <c r="D652" s="7">
        <f>'1 datos preparados'!C645</f>
        <v/>
      </c>
      <c r="E652" s="7">
        <f>'1 datos preparados'!D645</f>
        <v/>
      </c>
      <c r="F652" s="7">
        <f>'1 datos preparados'!E645</f>
        <v/>
      </c>
      <c r="G652" s="7">
        <f>'1 datos preparados'!F645</f>
        <v/>
      </c>
      <c r="H652" s="7">
        <f>'1 datos preparados'!G645</f>
        <v/>
      </c>
      <c r="I652" s="7">
        <f>'1 datos preparados'!H645</f>
        <v/>
      </c>
      <c r="J652" s="7">
        <f>'1 datos preparados'!I645</f>
        <v/>
      </c>
      <c r="K652" s="7">
        <f>'1 datos preparados'!J645</f>
        <v/>
      </c>
      <c r="L652" s="7">
        <f>'1 datos preparados'!K645</f>
        <v/>
      </c>
      <c r="M652" s="7">
        <f>'1 datos preparados'!L645</f>
        <v/>
      </c>
      <c r="N652" s="7">
        <f>'1 datos preparados'!M645</f>
        <v/>
      </c>
      <c r="O652" s="7">
        <f>'1 datos preparados'!N645</f>
        <v/>
      </c>
      <c r="P652" s="7">
        <f>'1 datos preparados'!O645</f>
        <v/>
      </c>
      <c r="Q652" s="7">
        <f>'1 datos preparados'!P645</f>
        <v/>
      </c>
      <c r="R652" s="7">
        <f>'1 datos preparados'!Q645</f>
        <v/>
      </c>
      <c r="S652" s="7">
        <f>'1 datos preparados'!R645</f>
        <v/>
      </c>
      <c r="T652" s="7">
        <f>'1 datos preparados'!S645</f>
        <v/>
      </c>
      <c r="U652" s="7">
        <f>'1 datos preparados'!T645</f>
        <v/>
      </c>
      <c r="V652" s="8">
        <f>$AE$12+D652*$AE$13+E652*$AE$14+F652*$AE$15+G652*$AE$16+H652*$AE$17+I652*$AE$18+J652*$AE$19+K652*$AE$20+L652*$AE$21+M652*$AE$22+N652*$AE$23+O652*$AE$24+P652*$AE$25+Q652*$AE$26+R652*$AE$27+S652*$AE$28+T652*$AE$29+U652*$AE$30</f>
        <v/>
      </c>
      <c r="W652" s="8">
        <f>1/(1+EXP(-V652))</f>
        <v/>
      </c>
      <c r="X652" s="9">
        <f>-IF(C652=1,LN(W652),LN(1-W652))</f>
        <v/>
      </c>
      <c r="Y652" s="8">
        <f>'1 datos preparados'!V645</f>
        <v/>
      </c>
      <c r="Z652" s="9">
        <f>Y652*X652</f>
        <v/>
      </c>
      <c r="AA652" s="10">
        <f>IF(W652&gt;$AE$33,1,0)</f>
        <v/>
      </c>
      <c r="AB652">
        <f>IF(AA652=C652,1,0)</f>
        <v/>
      </c>
    </row>
    <row r="653">
      <c r="A653">
        <f>'1 datos preparados'!A646</f>
        <v/>
      </c>
      <c r="B653" s="5">
        <f>'1 datos preparados'!U646</f>
        <v/>
      </c>
      <c r="C653">
        <f>'1 datos preparados'!B646</f>
        <v/>
      </c>
      <c r="D653" s="7">
        <f>'1 datos preparados'!C646</f>
        <v/>
      </c>
      <c r="E653" s="7">
        <f>'1 datos preparados'!D646</f>
        <v/>
      </c>
      <c r="F653" s="7">
        <f>'1 datos preparados'!E646</f>
        <v/>
      </c>
      <c r="G653" s="7">
        <f>'1 datos preparados'!F646</f>
        <v/>
      </c>
      <c r="H653" s="7">
        <f>'1 datos preparados'!G646</f>
        <v/>
      </c>
      <c r="I653" s="7">
        <f>'1 datos preparados'!H646</f>
        <v/>
      </c>
      <c r="J653" s="7">
        <f>'1 datos preparados'!I646</f>
        <v/>
      </c>
      <c r="K653" s="7">
        <f>'1 datos preparados'!J646</f>
        <v/>
      </c>
      <c r="L653" s="7">
        <f>'1 datos preparados'!K646</f>
        <v/>
      </c>
      <c r="M653" s="7">
        <f>'1 datos preparados'!L646</f>
        <v/>
      </c>
      <c r="N653" s="7">
        <f>'1 datos preparados'!M646</f>
        <v/>
      </c>
      <c r="O653" s="7">
        <f>'1 datos preparados'!N646</f>
        <v/>
      </c>
      <c r="P653" s="7">
        <f>'1 datos preparados'!O646</f>
        <v/>
      </c>
      <c r="Q653" s="7">
        <f>'1 datos preparados'!P646</f>
        <v/>
      </c>
      <c r="R653" s="7">
        <f>'1 datos preparados'!Q646</f>
        <v/>
      </c>
      <c r="S653" s="7">
        <f>'1 datos preparados'!R646</f>
        <v/>
      </c>
      <c r="T653" s="7">
        <f>'1 datos preparados'!S646</f>
        <v/>
      </c>
      <c r="U653" s="7">
        <f>'1 datos preparados'!T646</f>
        <v/>
      </c>
      <c r="V653" s="8">
        <f>$AE$12+D653*$AE$13+E653*$AE$14+F653*$AE$15+G653*$AE$16+H653*$AE$17+I653*$AE$18+J653*$AE$19+K653*$AE$20+L653*$AE$21+M653*$AE$22+N653*$AE$23+O653*$AE$24+P653*$AE$25+Q653*$AE$26+R653*$AE$27+S653*$AE$28+T653*$AE$29+U653*$AE$30</f>
        <v/>
      </c>
      <c r="W653" s="8">
        <f>1/(1+EXP(-V653))</f>
        <v/>
      </c>
      <c r="X653" s="9">
        <f>-IF(C653=1,LN(W653),LN(1-W653))</f>
        <v/>
      </c>
      <c r="Y653" s="8">
        <f>'1 datos preparados'!V646</f>
        <v/>
      </c>
      <c r="Z653" s="9">
        <f>Y653*X653</f>
        <v/>
      </c>
      <c r="AA653" s="10">
        <f>IF(W653&gt;$AE$33,1,0)</f>
        <v/>
      </c>
      <c r="AB653">
        <f>IF(AA653=C653,1,0)</f>
        <v/>
      </c>
    </row>
    <row r="654">
      <c r="A654">
        <f>'1 datos preparados'!A647</f>
        <v/>
      </c>
      <c r="B654" s="5">
        <f>'1 datos preparados'!U647</f>
        <v/>
      </c>
      <c r="C654">
        <f>'1 datos preparados'!B647</f>
        <v/>
      </c>
      <c r="D654" s="7">
        <f>'1 datos preparados'!C647</f>
        <v/>
      </c>
      <c r="E654" s="7">
        <f>'1 datos preparados'!D647</f>
        <v/>
      </c>
      <c r="F654" s="7">
        <f>'1 datos preparados'!E647</f>
        <v/>
      </c>
      <c r="G654" s="7">
        <f>'1 datos preparados'!F647</f>
        <v/>
      </c>
      <c r="H654" s="7">
        <f>'1 datos preparados'!G647</f>
        <v/>
      </c>
      <c r="I654" s="7">
        <f>'1 datos preparados'!H647</f>
        <v/>
      </c>
      <c r="J654" s="7">
        <f>'1 datos preparados'!I647</f>
        <v/>
      </c>
      <c r="K654" s="7">
        <f>'1 datos preparados'!J647</f>
        <v/>
      </c>
      <c r="L654" s="7">
        <f>'1 datos preparados'!K647</f>
        <v/>
      </c>
      <c r="M654" s="7">
        <f>'1 datos preparados'!L647</f>
        <v/>
      </c>
      <c r="N654" s="7">
        <f>'1 datos preparados'!M647</f>
        <v/>
      </c>
      <c r="O654" s="7">
        <f>'1 datos preparados'!N647</f>
        <v/>
      </c>
      <c r="P654" s="7">
        <f>'1 datos preparados'!O647</f>
        <v/>
      </c>
      <c r="Q654" s="7">
        <f>'1 datos preparados'!P647</f>
        <v/>
      </c>
      <c r="R654" s="7">
        <f>'1 datos preparados'!Q647</f>
        <v/>
      </c>
      <c r="S654" s="7">
        <f>'1 datos preparados'!R647</f>
        <v/>
      </c>
      <c r="T654" s="7">
        <f>'1 datos preparados'!S647</f>
        <v/>
      </c>
      <c r="U654" s="7">
        <f>'1 datos preparados'!T647</f>
        <v/>
      </c>
      <c r="V654" s="8">
        <f>$AE$12+D654*$AE$13+E654*$AE$14+F654*$AE$15+G654*$AE$16+H654*$AE$17+I654*$AE$18+J654*$AE$19+K654*$AE$20+L654*$AE$21+M654*$AE$22+N654*$AE$23+O654*$AE$24+P654*$AE$25+Q654*$AE$26+R654*$AE$27+S654*$AE$28+T654*$AE$29+U654*$AE$30</f>
        <v/>
      </c>
      <c r="W654" s="8">
        <f>1/(1+EXP(-V654))</f>
        <v/>
      </c>
      <c r="X654" s="9">
        <f>-IF(C654=1,LN(W654),LN(1-W654))</f>
        <v/>
      </c>
      <c r="Y654" s="8">
        <f>'1 datos preparados'!V647</f>
        <v/>
      </c>
      <c r="Z654" s="9">
        <f>Y654*X654</f>
        <v/>
      </c>
      <c r="AA654" s="10">
        <f>IF(W654&gt;$AE$33,1,0)</f>
        <v/>
      </c>
      <c r="AB654">
        <f>IF(AA654=C654,1,0)</f>
        <v/>
      </c>
    </row>
    <row r="655">
      <c r="A655">
        <f>'1 datos preparados'!A648</f>
        <v/>
      </c>
      <c r="B655" s="5">
        <f>'1 datos preparados'!U648</f>
        <v/>
      </c>
      <c r="C655">
        <f>'1 datos preparados'!B648</f>
        <v/>
      </c>
      <c r="D655" s="7">
        <f>'1 datos preparados'!C648</f>
        <v/>
      </c>
      <c r="E655" s="7">
        <f>'1 datos preparados'!D648</f>
        <v/>
      </c>
      <c r="F655" s="7">
        <f>'1 datos preparados'!E648</f>
        <v/>
      </c>
      <c r="G655" s="7">
        <f>'1 datos preparados'!F648</f>
        <v/>
      </c>
      <c r="H655" s="7">
        <f>'1 datos preparados'!G648</f>
        <v/>
      </c>
      <c r="I655" s="7">
        <f>'1 datos preparados'!H648</f>
        <v/>
      </c>
      <c r="J655" s="7">
        <f>'1 datos preparados'!I648</f>
        <v/>
      </c>
      <c r="K655" s="7">
        <f>'1 datos preparados'!J648</f>
        <v/>
      </c>
      <c r="L655" s="7">
        <f>'1 datos preparados'!K648</f>
        <v/>
      </c>
      <c r="M655" s="7">
        <f>'1 datos preparados'!L648</f>
        <v/>
      </c>
      <c r="N655" s="7">
        <f>'1 datos preparados'!M648</f>
        <v/>
      </c>
      <c r="O655" s="7">
        <f>'1 datos preparados'!N648</f>
        <v/>
      </c>
      <c r="P655" s="7">
        <f>'1 datos preparados'!O648</f>
        <v/>
      </c>
      <c r="Q655" s="7">
        <f>'1 datos preparados'!P648</f>
        <v/>
      </c>
      <c r="R655" s="7">
        <f>'1 datos preparados'!Q648</f>
        <v/>
      </c>
      <c r="S655" s="7">
        <f>'1 datos preparados'!R648</f>
        <v/>
      </c>
      <c r="T655" s="7">
        <f>'1 datos preparados'!S648</f>
        <v/>
      </c>
      <c r="U655" s="7">
        <f>'1 datos preparados'!T648</f>
        <v/>
      </c>
      <c r="V655" s="8">
        <f>$AE$12+D655*$AE$13+E655*$AE$14+F655*$AE$15+G655*$AE$16+H655*$AE$17+I655*$AE$18+J655*$AE$19+K655*$AE$20+L655*$AE$21+M655*$AE$22+N655*$AE$23+O655*$AE$24+P655*$AE$25+Q655*$AE$26+R655*$AE$27+S655*$AE$28+T655*$AE$29+U655*$AE$30</f>
        <v/>
      </c>
      <c r="W655" s="8">
        <f>1/(1+EXP(-V655))</f>
        <v/>
      </c>
      <c r="X655" s="9">
        <f>-IF(C655=1,LN(W655),LN(1-W655))</f>
        <v/>
      </c>
      <c r="Y655" s="8">
        <f>'1 datos preparados'!V648</f>
        <v/>
      </c>
      <c r="Z655" s="9">
        <f>Y655*X655</f>
        <v/>
      </c>
      <c r="AA655" s="10">
        <f>IF(W655&gt;$AE$33,1,0)</f>
        <v/>
      </c>
      <c r="AB655">
        <f>IF(AA655=C655,1,0)</f>
        <v/>
      </c>
    </row>
    <row r="656">
      <c r="A656">
        <f>'1 datos preparados'!A649</f>
        <v/>
      </c>
      <c r="B656" s="5">
        <f>'1 datos preparados'!U649</f>
        <v/>
      </c>
      <c r="C656">
        <f>'1 datos preparados'!B649</f>
        <v/>
      </c>
      <c r="D656" s="7">
        <f>'1 datos preparados'!C649</f>
        <v/>
      </c>
      <c r="E656" s="7">
        <f>'1 datos preparados'!D649</f>
        <v/>
      </c>
      <c r="F656" s="7">
        <f>'1 datos preparados'!E649</f>
        <v/>
      </c>
      <c r="G656" s="7">
        <f>'1 datos preparados'!F649</f>
        <v/>
      </c>
      <c r="H656" s="7">
        <f>'1 datos preparados'!G649</f>
        <v/>
      </c>
      <c r="I656" s="7">
        <f>'1 datos preparados'!H649</f>
        <v/>
      </c>
      <c r="J656" s="7">
        <f>'1 datos preparados'!I649</f>
        <v/>
      </c>
      <c r="K656" s="7">
        <f>'1 datos preparados'!J649</f>
        <v/>
      </c>
      <c r="L656" s="7">
        <f>'1 datos preparados'!K649</f>
        <v/>
      </c>
      <c r="M656" s="7">
        <f>'1 datos preparados'!L649</f>
        <v/>
      </c>
      <c r="N656" s="7">
        <f>'1 datos preparados'!M649</f>
        <v/>
      </c>
      <c r="O656" s="7">
        <f>'1 datos preparados'!N649</f>
        <v/>
      </c>
      <c r="P656" s="7">
        <f>'1 datos preparados'!O649</f>
        <v/>
      </c>
      <c r="Q656" s="7">
        <f>'1 datos preparados'!P649</f>
        <v/>
      </c>
      <c r="R656" s="7">
        <f>'1 datos preparados'!Q649</f>
        <v/>
      </c>
      <c r="S656" s="7">
        <f>'1 datos preparados'!R649</f>
        <v/>
      </c>
      <c r="T656" s="7">
        <f>'1 datos preparados'!S649</f>
        <v/>
      </c>
      <c r="U656" s="7">
        <f>'1 datos preparados'!T649</f>
        <v/>
      </c>
      <c r="V656" s="8">
        <f>$AE$12+D656*$AE$13+E656*$AE$14+F656*$AE$15+G656*$AE$16+H656*$AE$17+I656*$AE$18+J656*$AE$19+K656*$AE$20+L656*$AE$21+M656*$AE$22+N656*$AE$23+O656*$AE$24+P656*$AE$25+Q656*$AE$26+R656*$AE$27+S656*$AE$28+T656*$AE$29+U656*$AE$30</f>
        <v/>
      </c>
      <c r="W656" s="8">
        <f>1/(1+EXP(-V656))</f>
        <v/>
      </c>
      <c r="X656" s="9">
        <f>-IF(C656=1,LN(W656),LN(1-W656))</f>
        <v/>
      </c>
      <c r="Y656" s="8">
        <f>'1 datos preparados'!V649</f>
        <v/>
      </c>
      <c r="Z656" s="9">
        <f>Y656*X656</f>
        <v/>
      </c>
      <c r="AA656" s="10">
        <f>IF(W656&gt;$AE$33,1,0)</f>
        <v/>
      </c>
      <c r="AB656">
        <f>IF(AA656=C656,1,0)</f>
        <v/>
      </c>
    </row>
    <row r="657">
      <c r="A657">
        <f>'1 datos preparados'!A650</f>
        <v/>
      </c>
      <c r="B657" s="5">
        <f>'1 datos preparados'!U650</f>
        <v/>
      </c>
      <c r="C657">
        <f>'1 datos preparados'!B650</f>
        <v/>
      </c>
      <c r="D657" s="7">
        <f>'1 datos preparados'!C650</f>
        <v/>
      </c>
      <c r="E657" s="7">
        <f>'1 datos preparados'!D650</f>
        <v/>
      </c>
      <c r="F657" s="7">
        <f>'1 datos preparados'!E650</f>
        <v/>
      </c>
      <c r="G657" s="7">
        <f>'1 datos preparados'!F650</f>
        <v/>
      </c>
      <c r="H657" s="7">
        <f>'1 datos preparados'!G650</f>
        <v/>
      </c>
      <c r="I657" s="7">
        <f>'1 datos preparados'!H650</f>
        <v/>
      </c>
      <c r="J657" s="7">
        <f>'1 datos preparados'!I650</f>
        <v/>
      </c>
      <c r="K657" s="7">
        <f>'1 datos preparados'!J650</f>
        <v/>
      </c>
      <c r="L657" s="7">
        <f>'1 datos preparados'!K650</f>
        <v/>
      </c>
      <c r="M657" s="7">
        <f>'1 datos preparados'!L650</f>
        <v/>
      </c>
      <c r="N657" s="7">
        <f>'1 datos preparados'!M650</f>
        <v/>
      </c>
      <c r="O657" s="7">
        <f>'1 datos preparados'!N650</f>
        <v/>
      </c>
      <c r="P657" s="7">
        <f>'1 datos preparados'!O650</f>
        <v/>
      </c>
      <c r="Q657" s="7">
        <f>'1 datos preparados'!P650</f>
        <v/>
      </c>
      <c r="R657" s="7">
        <f>'1 datos preparados'!Q650</f>
        <v/>
      </c>
      <c r="S657" s="7">
        <f>'1 datos preparados'!R650</f>
        <v/>
      </c>
      <c r="T657" s="7">
        <f>'1 datos preparados'!S650</f>
        <v/>
      </c>
      <c r="U657" s="7">
        <f>'1 datos preparados'!T650</f>
        <v/>
      </c>
      <c r="V657" s="8">
        <f>$AE$12+D657*$AE$13+E657*$AE$14+F657*$AE$15+G657*$AE$16+H657*$AE$17+I657*$AE$18+J657*$AE$19+K657*$AE$20+L657*$AE$21+M657*$AE$22+N657*$AE$23+O657*$AE$24+P657*$AE$25+Q657*$AE$26+R657*$AE$27+S657*$AE$28+T657*$AE$29+U657*$AE$30</f>
        <v/>
      </c>
      <c r="W657" s="8">
        <f>1/(1+EXP(-V657))</f>
        <v/>
      </c>
      <c r="X657" s="9">
        <f>-IF(C657=1,LN(W657),LN(1-W657))</f>
        <v/>
      </c>
      <c r="Y657" s="8">
        <f>'1 datos preparados'!V650</f>
        <v/>
      </c>
      <c r="Z657" s="9">
        <f>Y657*X657</f>
        <v/>
      </c>
      <c r="AA657" s="10">
        <f>IF(W657&gt;$AE$33,1,0)</f>
        <v/>
      </c>
      <c r="AB657">
        <f>IF(AA657=C657,1,0)</f>
        <v/>
      </c>
    </row>
    <row r="658">
      <c r="A658">
        <f>'1 datos preparados'!A651</f>
        <v/>
      </c>
      <c r="B658" s="5">
        <f>'1 datos preparados'!U651</f>
        <v/>
      </c>
      <c r="C658">
        <f>'1 datos preparados'!B651</f>
        <v/>
      </c>
      <c r="D658" s="7">
        <f>'1 datos preparados'!C651</f>
        <v/>
      </c>
      <c r="E658" s="7">
        <f>'1 datos preparados'!D651</f>
        <v/>
      </c>
      <c r="F658" s="7">
        <f>'1 datos preparados'!E651</f>
        <v/>
      </c>
      <c r="G658" s="7">
        <f>'1 datos preparados'!F651</f>
        <v/>
      </c>
      <c r="H658" s="7">
        <f>'1 datos preparados'!G651</f>
        <v/>
      </c>
      <c r="I658" s="7">
        <f>'1 datos preparados'!H651</f>
        <v/>
      </c>
      <c r="J658" s="7">
        <f>'1 datos preparados'!I651</f>
        <v/>
      </c>
      <c r="K658" s="7">
        <f>'1 datos preparados'!J651</f>
        <v/>
      </c>
      <c r="L658" s="7">
        <f>'1 datos preparados'!K651</f>
        <v/>
      </c>
      <c r="M658" s="7">
        <f>'1 datos preparados'!L651</f>
        <v/>
      </c>
      <c r="N658" s="7">
        <f>'1 datos preparados'!M651</f>
        <v/>
      </c>
      <c r="O658" s="7">
        <f>'1 datos preparados'!N651</f>
        <v/>
      </c>
      <c r="P658" s="7">
        <f>'1 datos preparados'!O651</f>
        <v/>
      </c>
      <c r="Q658" s="7">
        <f>'1 datos preparados'!P651</f>
        <v/>
      </c>
      <c r="R658" s="7">
        <f>'1 datos preparados'!Q651</f>
        <v/>
      </c>
      <c r="S658" s="7">
        <f>'1 datos preparados'!R651</f>
        <v/>
      </c>
      <c r="T658" s="7">
        <f>'1 datos preparados'!S651</f>
        <v/>
      </c>
      <c r="U658" s="7">
        <f>'1 datos preparados'!T651</f>
        <v/>
      </c>
      <c r="V658" s="8">
        <f>$AE$12+D658*$AE$13+E658*$AE$14+F658*$AE$15+G658*$AE$16+H658*$AE$17+I658*$AE$18+J658*$AE$19+K658*$AE$20+L658*$AE$21+M658*$AE$22+N658*$AE$23+O658*$AE$24+P658*$AE$25+Q658*$AE$26+R658*$AE$27+S658*$AE$28+T658*$AE$29+U658*$AE$30</f>
        <v/>
      </c>
      <c r="W658" s="8">
        <f>1/(1+EXP(-V658))</f>
        <v/>
      </c>
      <c r="X658" s="9">
        <f>-IF(C658=1,LN(W658),LN(1-W658))</f>
        <v/>
      </c>
      <c r="Y658" s="8">
        <f>'1 datos preparados'!V651</f>
        <v/>
      </c>
      <c r="Z658" s="9">
        <f>Y658*X658</f>
        <v/>
      </c>
      <c r="AA658" s="10">
        <f>IF(W658&gt;$AE$33,1,0)</f>
        <v/>
      </c>
      <c r="AB658">
        <f>IF(AA658=C658,1,0)</f>
        <v/>
      </c>
    </row>
    <row r="659">
      <c r="A659">
        <f>'1 datos preparados'!A652</f>
        <v/>
      </c>
      <c r="B659" s="5">
        <f>'1 datos preparados'!U652</f>
        <v/>
      </c>
      <c r="C659">
        <f>'1 datos preparados'!B652</f>
        <v/>
      </c>
      <c r="D659" s="7">
        <f>'1 datos preparados'!C652</f>
        <v/>
      </c>
      <c r="E659" s="7">
        <f>'1 datos preparados'!D652</f>
        <v/>
      </c>
      <c r="F659" s="7">
        <f>'1 datos preparados'!E652</f>
        <v/>
      </c>
      <c r="G659" s="7">
        <f>'1 datos preparados'!F652</f>
        <v/>
      </c>
      <c r="H659" s="7">
        <f>'1 datos preparados'!G652</f>
        <v/>
      </c>
      <c r="I659" s="7">
        <f>'1 datos preparados'!H652</f>
        <v/>
      </c>
      <c r="J659" s="7">
        <f>'1 datos preparados'!I652</f>
        <v/>
      </c>
      <c r="K659" s="7">
        <f>'1 datos preparados'!J652</f>
        <v/>
      </c>
      <c r="L659" s="7">
        <f>'1 datos preparados'!K652</f>
        <v/>
      </c>
      <c r="M659" s="7">
        <f>'1 datos preparados'!L652</f>
        <v/>
      </c>
      <c r="N659" s="7">
        <f>'1 datos preparados'!M652</f>
        <v/>
      </c>
      <c r="O659" s="7">
        <f>'1 datos preparados'!N652</f>
        <v/>
      </c>
      <c r="P659" s="7">
        <f>'1 datos preparados'!O652</f>
        <v/>
      </c>
      <c r="Q659" s="7">
        <f>'1 datos preparados'!P652</f>
        <v/>
      </c>
      <c r="R659" s="7">
        <f>'1 datos preparados'!Q652</f>
        <v/>
      </c>
      <c r="S659" s="7">
        <f>'1 datos preparados'!R652</f>
        <v/>
      </c>
      <c r="T659" s="7">
        <f>'1 datos preparados'!S652</f>
        <v/>
      </c>
      <c r="U659" s="7">
        <f>'1 datos preparados'!T652</f>
        <v/>
      </c>
      <c r="V659" s="8">
        <f>$AE$12+D659*$AE$13+E659*$AE$14+F659*$AE$15+G659*$AE$16+H659*$AE$17+I659*$AE$18+J659*$AE$19+K659*$AE$20+L659*$AE$21+M659*$AE$22+N659*$AE$23+O659*$AE$24+P659*$AE$25+Q659*$AE$26+R659*$AE$27+S659*$AE$28+T659*$AE$29+U659*$AE$30</f>
        <v/>
      </c>
      <c r="W659" s="8">
        <f>1/(1+EXP(-V659))</f>
        <v/>
      </c>
      <c r="X659" s="9">
        <f>-IF(C659=1,LN(W659),LN(1-W659))</f>
        <v/>
      </c>
      <c r="Y659" s="8">
        <f>'1 datos preparados'!V652</f>
        <v/>
      </c>
      <c r="Z659" s="9">
        <f>Y659*X659</f>
        <v/>
      </c>
      <c r="AA659" s="10">
        <f>IF(W659&gt;$AE$33,1,0)</f>
        <v/>
      </c>
      <c r="AB659">
        <f>IF(AA659=C659,1,0)</f>
        <v/>
      </c>
    </row>
    <row r="660">
      <c r="A660">
        <f>'1 datos preparados'!A653</f>
        <v/>
      </c>
      <c r="B660" s="5">
        <f>'1 datos preparados'!U653</f>
        <v/>
      </c>
      <c r="C660">
        <f>'1 datos preparados'!B653</f>
        <v/>
      </c>
      <c r="D660" s="7">
        <f>'1 datos preparados'!C653</f>
        <v/>
      </c>
      <c r="E660" s="7">
        <f>'1 datos preparados'!D653</f>
        <v/>
      </c>
      <c r="F660" s="7">
        <f>'1 datos preparados'!E653</f>
        <v/>
      </c>
      <c r="G660" s="7">
        <f>'1 datos preparados'!F653</f>
        <v/>
      </c>
      <c r="H660" s="7">
        <f>'1 datos preparados'!G653</f>
        <v/>
      </c>
      <c r="I660" s="7">
        <f>'1 datos preparados'!H653</f>
        <v/>
      </c>
      <c r="J660" s="7">
        <f>'1 datos preparados'!I653</f>
        <v/>
      </c>
      <c r="K660" s="7">
        <f>'1 datos preparados'!J653</f>
        <v/>
      </c>
      <c r="L660" s="7">
        <f>'1 datos preparados'!K653</f>
        <v/>
      </c>
      <c r="M660" s="7">
        <f>'1 datos preparados'!L653</f>
        <v/>
      </c>
      <c r="N660" s="7">
        <f>'1 datos preparados'!M653</f>
        <v/>
      </c>
      <c r="O660" s="7">
        <f>'1 datos preparados'!N653</f>
        <v/>
      </c>
      <c r="P660" s="7">
        <f>'1 datos preparados'!O653</f>
        <v/>
      </c>
      <c r="Q660" s="7">
        <f>'1 datos preparados'!P653</f>
        <v/>
      </c>
      <c r="R660" s="7">
        <f>'1 datos preparados'!Q653</f>
        <v/>
      </c>
      <c r="S660" s="7">
        <f>'1 datos preparados'!R653</f>
        <v/>
      </c>
      <c r="T660" s="7">
        <f>'1 datos preparados'!S653</f>
        <v/>
      </c>
      <c r="U660" s="7">
        <f>'1 datos preparados'!T653</f>
        <v/>
      </c>
      <c r="V660" s="8">
        <f>$AE$12+D660*$AE$13+E660*$AE$14+F660*$AE$15+G660*$AE$16+H660*$AE$17+I660*$AE$18+J660*$AE$19+K660*$AE$20+L660*$AE$21+M660*$AE$22+N660*$AE$23+O660*$AE$24+P660*$AE$25+Q660*$AE$26+R660*$AE$27+S660*$AE$28+T660*$AE$29+U660*$AE$30</f>
        <v/>
      </c>
      <c r="W660" s="8">
        <f>1/(1+EXP(-V660))</f>
        <v/>
      </c>
      <c r="X660" s="9">
        <f>-IF(C660=1,LN(W660),LN(1-W660))</f>
        <v/>
      </c>
      <c r="Y660" s="8">
        <f>'1 datos preparados'!V653</f>
        <v/>
      </c>
      <c r="Z660" s="9">
        <f>Y660*X660</f>
        <v/>
      </c>
      <c r="AA660" s="10">
        <f>IF(W660&gt;$AE$33,1,0)</f>
        <v/>
      </c>
      <c r="AB660">
        <f>IF(AA660=C660,1,0)</f>
        <v/>
      </c>
    </row>
    <row r="661">
      <c r="A661">
        <f>'1 datos preparados'!A654</f>
        <v/>
      </c>
      <c r="B661" s="5">
        <f>'1 datos preparados'!U654</f>
        <v/>
      </c>
      <c r="C661">
        <f>'1 datos preparados'!B654</f>
        <v/>
      </c>
      <c r="D661" s="7">
        <f>'1 datos preparados'!C654</f>
        <v/>
      </c>
      <c r="E661" s="7">
        <f>'1 datos preparados'!D654</f>
        <v/>
      </c>
      <c r="F661" s="7">
        <f>'1 datos preparados'!E654</f>
        <v/>
      </c>
      <c r="G661" s="7">
        <f>'1 datos preparados'!F654</f>
        <v/>
      </c>
      <c r="H661" s="7">
        <f>'1 datos preparados'!G654</f>
        <v/>
      </c>
      <c r="I661" s="7">
        <f>'1 datos preparados'!H654</f>
        <v/>
      </c>
      <c r="J661" s="7">
        <f>'1 datos preparados'!I654</f>
        <v/>
      </c>
      <c r="K661" s="7">
        <f>'1 datos preparados'!J654</f>
        <v/>
      </c>
      <c r="L661" s="7">
        <f>'1 datos preparados'!K654</f>
        <v/>
      </c>
      <c r="M661" s="7">
        <f>'1 datos preparados'!L654</f>
        <v/>
      </c>
      <c r="N661" s="7">
        <f>'1 datos preparados'!M654</f>
        <v/>
      </c>
      <c r="O661" s="7">
        <f>'1 datos preparados'!N654</f>
        <v/>
      </c>
      <c r="P661" s="7">
        <f>'1 datos preparados'!O654</f>
        <v/>
      </c>
      <c r="Q661" s="7">
        <f>'1 datos preparados'!P654</f>
        <v/>
      </c>
      <c r="R661" s="7">
        <f>'1 datos preparados'!Q654</f>
        <v/>
      </c>
      <c r="S661" s="7">
        <f>'1 datos preparados'!R654</f>
        <v/>
      </c>
      <c r="T661" s="7">
        <f>'1 datos preparados'!S654</f>
        <v/>
      </c>
      <c r="U661" s="7">
        <f>'1 datos preparados'!T654</f>
        <v/>
      </c>
      <c r="V661" s="8">
        <f>$AE$12+D661*$AE$13+E661*$AE$14+F661*$AE$15+G661*$AE$16+H661*$AE$17+I661*$AE$18+J661*$AE$19+K661*$AE$20+L661*$AE$21+M661*$AE$22+N661*$AE$23+O661*$AE$24+P661*$AE$25+Q661*$AE$26+R661*$AE$27+S661*$AE$28+T661*$AE$29+U661*$AE$30</f>
        <v/>
      </c>
      <c r="W661" s="8">
        <f>1/(1+EXP(-V661))</f>
        <v/>
      </c>
      <c r="X661" s="9">
        <f>-IF(C661=1,LN(W661),LN(1-W661))</f>
        <v/>
      </c>
      <c r="Y661" s="8">
        <f>'1 datos preparados'!V654</f>
        <v/>
      </c>
      <c r="Z661" s="9">
        <f>Y661*X661</f>
        <v/>
      </c>
      <c r="AA661" s="10">
        <f>IF(W661&gt;$AE$33,1,0)</f>
        <v/>
      </c>
      <c r="AB661">
        <f>IF(AA661=C661,1,0)</f>
        <v/>
      </c>
    </row>
    <row r="662">
      <c r="A662">
        <f>'1 datos preparados'!A655</f>
        <v/>
      </c>
      <c r="B662" s="5">
        <f>'1 datos preparados'!U655</f>
        <v/>
      </c>
      <c r="C662">
        <f>'1 datos preparados'!B655</f>
        <v/>
      </c>
      <c r="D662" s="7">
        <f>'1 datos preparados'!C655</f>
        <v/>
      </c>
      <c r="E662" s="7">
        <f>'1 datos preparados'!D655</f>
        <v/>
      </c>
      <c r="F662" s="7">
        <f>'1 datos preparados'!E655</f>
        <v/>
      </c>
      <c r="G662" s="7">
        <f>'1 datos preparados'!F655</f>
        <v/>
      </c>
      <c r="H662" s="7">
        <f>'1 datos preparados'!G655</f>
        <v/>
      </c>
      <c r="I662" s="7">
        <f>'1 datos preparados'!H655</f>
        <v/>
      </c>
      <c r="J662" s="7">
        <f>'1 datos preparados'!I655</f>
        <v/>
      </c>
      <c r="K662" s="7">
        <f>'1 datos preparados'!J655</f>
        <v/>
      </c>
      <c r="L662" s="7">
        <f>'1 datos preparados'!K655</f>
        <v/>
      </c>
      <c r="M662" s="7">
        <f>'1 datos preparados'!L655</f>
        <v/>
      </c>
      <c r="N662" s="7">
        <f>'1 datos preparados'!M655</f>
        <v/>
      </c>
      <c r="O662" s="7">
        <f>'1 datos preparados'!N655</f>
        <v/>
      </c>
      <c r="P662" s="7">
        <f>'1 datos preparados'!O655</f>
        <v/>
      </c>
      <c r="Q662" s="7">
        <f>'1 datos preparados'!P655</f>
        <v/>
      </c>
      <c r="R662" s="7">
        <f>'1 datos preparados'!Q655</f>
        <v/>
      </c>
      <c r="S662" s="7">
        <f>'1 datos preparados'!R655</f>
        <v/>
      </c>
      <c r="T662" s="7">
        <f>'1 datos preparados'!S655</f>
        <v/>
      </c>
      <c r="U662" s="7">
        <f>'1 datos preparados'!T655</f>
        <v/>
      </c>
      <c r="V662" s="8">
        <f>$AE$12+D662*$AE$13+E662*$AE$14+F662*$AE$15+G662*$AE$16+H662*$AE$17+I662*$AE$18+J662*$AE$19+K662*$AE$20+L662*$AE$21+M662*$AE$22+N662*$AE$23+O662*$AE$24+P662*$AE$25+Q662*$AE$26+R662*$AE$27+S662*$AE$28+T662*$AE$29+U662*$AE$30</f>
        <v/>
      </c>
      <c r="W662" s="8">
        <f>1/(1+EXP(-V662))</f>
        <v/>
      </c>
      <c r="X662" s="9">
        <f>-IF(C662=1,LN(W662),LN(1-W662))</f>
        <v/>
      </c>
      <c r="Y662" s="8">
        <f>'1 datos preparados'!V655</f>
        <v/>
      </c>
      <c r="Z662" s="9">
        <f>Y662*X662</f>
        <v/>
      </c>
      <c r="AA662" s="10">
        <f>IF(W662&gt;$AE$33,1,0)</f>
        <v/>
      </c>
      <c r="AB662">
        <f>IF(AA662=C662,1,0)</f>
        <v/>
      </c>
    </row>
    <row r="663">
      <c r="A663">
        <f>'1 datos preparados'!A656</f>
        <v/>
      </c>
      <c r="B663" s="5">
        <f>'1 datos preparados'!U656</f>
        <v/>
      </c>
      <c r="C663">
        <f>'1 datos preparados'!B656</f>
        <v/>
      </c>
      <c r="D663" s="7">
        <f>'1 datos preparados'!C656</f>
        <v/>
      </c>
      <c r="E663" s="7">
        <f>'1 datos preparados'!D656</f>
        <v/>
      </c>
      <c r="F663" s="7">
        <f>'1 datos preparados'!E656</f>
        <v/>
      </c>
      <c r="G663" s="7">
        <f>'1 datos preparados'!F656</f>
        <v/>
      </c>
      <c r="H663" s="7">
        <f>'1 datos preparados'!G656</f>
        <v/>
      </c>
      <c r="I663" s="7">
        <f>'1 datos preparados'!H656</f>
        <v/>
      </c>
      <c r="J663" s="7">
        <f>'1 datos preparados'!I656</f>
        <v/>
      </c>
      <c r="K663" s="7">
        <f>'1 datos preparados'!J656</f>
        <v/>
      </c>
      <c r="L663" s="7">
        <f>'1 datos preparados'!K656</f>
        <v/>
      </c>
      <c r="M663" s="7">
        <f>'1 datos preparados'!L656</f>
        <v/>
      </c>
      <c r="N663" s="7">
        <f>'1 datos preparados'!M656</f>
        <v/>
      </c>
      <c r="O663" s="7">
        <f>'1 datos preparados'!N656</f>
        <v/>
      </c>
      <c r="P663" s="7">
        <f>'1 datos preparados'!O656</f>
        <v/>
      </c>
      <c r="Q663" s="7">
        <f>'1 datos preparados'!P656</f>
        <v/>
      </c>
      <c r="R663" s="7">
        <f>'1 datos preparados'!Q656</f>
        <v/>
      </c>
      <c r="S663" s="7">
        <f>'1 datos preparados'!R656</f>
        <v/>
      </c>
      <c r="T663" s="7">
        <f>'1 datos preparados'!S656</f>
        <v/>
      </c>
      <c r="U663" s="7">
        <f>'1 datos preparados'!T656</f>
        <v/>
      </c>
      <c r="V663" s="8">
        <f>$AE$12+D663*$AE$13+E663*$AE$14+F663*$AE$15+G663*$AE$16+H663*$AE$17+I663*$AE$18+J663*$AE$19+K663*$AE$20+L663*$AE$21+M663*$AE$22+N663*$AE$23+O663*$AE$24+P663*$AE$25+Q663*$AE$26+R663*$AE$27+S663*$AE$28+T663*$AE$29+U663*$AE$30</f>
        <v/>
      </c>
      <c r="W663" s="8">
        <f>1/(1+EXP(-V663))</f>
        <v/>
      </c>
      <c r="X663" s="9">
        <f>-IF(C663=1,LN(W663),LN(1-W663))</f>
        <v/>
      </c>
      <c r="Y663" s="8">
        <f>'1 datos preparados'!V656</f>
        <v/>
      </c>
      <c r="Z663" s="9">
        <f>Y663*X663</f>
        <v/>
      </c>
      <c r="AA663" s="10">
        <f>IF(W663&gt;$AE$33,1,0)</f>
        <v/>
      </c>
      <c r="AB663">
        <f>IF(AA663=C663,1,0)</f>
        <v/>
      </c>
    </row>
    <row r="664">
      <c r="A664">
        <f>'1 datos preparados'!A657</f>
        <v/>
      </c>
      <c r="B664" s="5">
        <f>'1 datos preparados'!U657</f>
        <v/>
      </c>
      <c r="C664">
        <f>'1 datos preparados'!B657</f>
        <v/>
      </c>
      <c r="D664" s="7">
        <f>'1 datos preparados'!C657</f>
        <v/>
      </c>
      <c r="E664" s="7">
        <f>'1 datos preparados'!D657</f>
        <v/>
      </c>
      <c r="F664" s="7">
        <f>'1 datos preparados'!E657</f>
        <v/>
      </c>
      <c r="G664" s="7">
        <f>'1 datos preparados'!F657</f>
        <v/>
      </c>
      <c r="H664" s="7">
        <f>'1 datos preparados'!G657</f>
        <v/>
      </c>
      <c r="I664" s="7">
        <f>'1 datos preparados'!H657</f>
        <v/>
      </c>
      <c r="J664" s="7">
        <f>'1 datos preparados'!I657</f>
        <v/>
      </c>
      <c r="K664" s="7">
        <f>'1 datos preparados'!J657</f>
        <v/>
      </c>
      <c r="L664" s="7">
        <f>'1 datos preparados'!K657</f>
        <v/>
      </c>
      <c r="M664" s="7">
        <f>'1 datos preparados'!L657</f>
        <v/>
      </c>
      <c r="N664" s="7">
        <f>'1 datos preparados'!M657</f>
        <v/>
      </c>
      <c r="O664" s="7">
        <f>'1 datos preparados'!N657</f>
        <v/>
      </c>
      <c r="P664" s="7">
        <f>'1 datos preparados'!O657</f>
        <v/>
      </c>
      <c r="Q664" s="7">
        <f>'1 datos preparados'!P657</f>
        <v/>
      </c>
      <c r="R664" s="7">
        <f>'1 datos preparados'!Q657</f>
        <v/>
      </c>
      <c r="S664" s="7">
        <f>'1 datos preparados'!R657</f>
        <v/>
      </c>
      <c r="T664" s="7">
        <f>'1 datos preparados'!S657</f>
        <v/>
      </c>
      <c r="U664" s="7">
        <f>'1 datos preparados'!T657</f>
        <v/>
      </c>
      <c r="V664" s="8">
        <f>$AE$12+D664*$AE$13+E664*$AE$14+F664*$AE$15+G664*$AE$16+H664*$AE$17+I664*$AE$18+J664*$AE$19+K664*$AE$20+L664*$AE$21+M664*$AE$22+N664*$AE$23+O664*$AE$24+P664*$AE$25+Q664*$AE$26+R664*$AE$27+S664*$AE$28+T664*$AE$29+U664*$AE$30</f>
        <v/>
      </c>
      <c r="W664" s="8">
        <f>1/(1+EXP(-V664))</f>
        <v/>
      </c>
      <c r="X664" s="9">
        <f>-IF(C664=1,LN(W664),LN(1-W664))</f>
        <v/>
      </c>
      <c r="Y664" s="8">
        <f>'1 datos preparados'!V657</f>
        <v/>
      </c>
      <c r="Z664" s="9">
        <f>Y664*X664</f>
        <v/>
      </c>
      <c r="AA664" s="10">
        <f>IF(W664&gt;$AE$33,1,0)</f>
        <v/>
      </c>
      <c r="AB664">
        <f>IF(AA664=C664,1,0)</f>
        <v/>
      </c>
    </row>
    <row r="665">
      <c r="A665">
        <f>'1 datos preparados'!A658</f>
        <v/>
      </c>
      <c r="B665" s="5">
        <f>'1 datos preparados'!U658</f>
        <v/>
      </c>
      <c r="C665">
        <f>'1 datos preparados'!B658</f>
        <v/>
      </c>
      <c r="D665" s="7">
        <f>'1 datos preparados'!C658</f>
        <v/>
      </c>
      <c r="E665" s="7">
        <f>'1 datos preparados'!D658</f>
        <v/>
      </c>
      <c r="F665" s="7">
        <f>'1 datos preparados'!E658</f>
        <v/>
      </c>
      <c r="G665" s="7">
        <f>'1 datos preparados'!F658</f>
        <v/>
      </c>
      <c r="H665" s="7">
        <f>'1 datos preparados'!G658</f>
        <v/>
      </c>
      <c r="I665" s="7">
        <f>'1 datos preparados'!H658</f>
        <v/>
      </c>
      <c r="J665" s="7">
        <f>'1 datos preparados'!I658</f>
        <v/>
      </c>
      <c r="K665" s="7">
        <f>'1 datos preparados'!J658</f>
        <v/>
      </c>
      <c r="L665" s="7">
        <f>'1 datos preparados'!K658</f>
        <v/>
      </c>
      <c r="M665" s="7">
        <f>'1 datos preparados'!L658</f>
        <v/>
      </c>
      <c r="N665" s="7">
        <f>'1 datos preparados'!M658</f>
        <v/>
      </c>
      <c r="O665" s="7">
        <f>'1 datos preparados'!N658</f>
        <v/>
      </c>
      <c r="P665" s="7">
        <f>'1 datos preparados'!O658</f>
        <v/>
      </c>
      <c r="Q665" s="7">
        <f>'1 datos preparados'!P658</f>
        <v/>
      </c>
      <c r="R665" s="7">
        <f>'1 datos preparados'!Q658</f>
        <v/>
      </c>
      <c r="S665" s="7">
        <f>'1 datos preparados'!R658</f>
        <v/>
      </c>
      <c r="T665" s="7">
        <f>'1 datos preparados'!S658</f>
        <v/>
      </c>
      <c r="U665" s="7">
        <f>'1 datos preparados'!T658</f>
        <v/>
      </c>
      <c r="V665" s="8">
        <f>$AE$12+D665*$AE$13+E665*$AE$14+F665*$AE$15+G665*$AE$16+H665*$AE$17+I665*$AE$18+J665*$AE$19+K665*$AE$20+L665*$AE$21+M665*$AE$22+N665*$AE$23+O665*$AE$24+P665*$AE$25+Q665*$AE$26+R665*$AE$27+S665*$AE$28+T665*$AE$29+U665*$AE$30</f>
        <v/>
      </c>
      <c r="W665" s="8">
        <f>1/(1+EXP(-V665))</f>
        <v/>
      </c>
      <c r="X665" s="9">
        <f>-IF(C665=1,LN(W665),LN(1-W665))</f>
        <v/>
      </c>
      <c r="Y665" s="8">
        <f>'1 datos preparados'!V658</f>
        <v/>
      </c>
      <c r="Z665" s="9">
        <f>Y665*X665</f>
        <v/>
      </c>
      <c r="AA665" s="10">
        <f>IF(W665&gt;$AE$33,1,0)</f>
        <v/>
      </c>
      <c r="AB665">
        <f>IF(AA665=C665,1,0)</f>
        <v/>
      </c>
    </row>
    <row r="666">
      <c r="A666">
        <f>'1 datos preparados'!A659</f>
        <v/>
      </c>
      <c r="B666" s="5">
        <f>'1 datos preparados'!U659</f>
        <v/>
      </c>
      <c r="C666">
        <f>'1 datos preparados'!B659</f>
        <v/>
      </c>
      <c r="D666" s="7">
        <f>'1 datos preparados'!C659</f>
        <v/>
      </c>
      <c r="E666" s="7">
        <f>'1 datos preparados'!D659</f>
        <v/>
      </c>
      <c r="F666" s="7">
        <f>'1 datos preparados'!E659</f>
        <v/>
      </c>
      <c r="G666" s="7">
        <f>'1 datos preparados'!F659</f>
        <v/>
      </c>
      <c r="H666" s="7">
        <f>'1 datos preparados'!G659</f>
        <v/>
      </c>
      <c r="I666" s="7">
        <f>'1 datos preparados'!H659</f>
        <v/>
      </c>
      <c r="J666" s="7">
        <f>'1 datos preparados'!I659</f>
        <v/>
      </c>
      <c r="K666" s="7">
        <f>'1 datos preparados'!J659</f>
        <v/>
      </c>
      <c r="L666" s="7">
        <f>'1 datos preparados'!K659</f>
        <v/>
      </c>
      <c r="M666" s="7">
        <f>'1 datos preparados'!L659</f>
        <v/>
      </c>
      <c r="N666" s="7">
        <f>'1 datos preparados'!M659</f>
        <v/>
      </c>
      <c r="O666" s="7">
        <f>'1 datos preparados'!N659</f>
        <v/>
      </c>
      <c r="P666" s="7">
        <f>'1 datos preparados'!O659</f>
        <v/>
      </c>
      <c r="Q666" s="7">
        <f>'1 datos preparados'!P659</f>
        <v/>
      </c>
      <c r="R666" s="7">
        <f>'1 datos preparados'!Q659</f>
        <v/>
      </c>
      <c r="S666" s="7">
        <f>'1 datos preparados'!R659</f>
        <v/>
      </c>
      <c r="T666" s="7">
        <f>'1 datos preparados'!S659</f>
        <v/>
      </c>
      <c r="U666" s="7">
        <f>'1 datos preparados'!T659</f>
        <v/>
      </c>
      <c r="V666" s="8">
        <f>$AE$12+D666*$AE$13+E666*$AE$14+F666*$AE$15+G666*$AE$16+H666*$AE$17+I666*$AE$18+J666*$AE$19+K666*$AE$20+L666*$AE$21+M666*$AE$22+N666*$AE$23+O666*$AE$24+P666*$AE$25+Q666*$AE$26+R666*$AE$27+S666*$AE$28+T666*$AE$29+U666*$AE$30</f>
        <v/>
      </c>
      <c r="W666" s="8">
        <f>1/(1+EXP(-V666))</f>
        <v/>
      </c>
      <c r="X666" s="9">
        <f>-IF(C666=1,LN(W666),LN(1-W666))</f>
        <v/>
      </c>
      <c r="Y666" s="8">
        <f>'1 datos preparados'!V659</f>
        <v/>
      </c>
      <c r="Z666" s="9">
        <f>Y666*X666</f>
        <v/>
      </c>
      <c r="AA666" s="10">
        <f>IF(W666&gt;$AE$33,1,0)</f>
        <v/>
      </c>
      <c r="AB666">
        <f>IF(AA666=C666,1,0)</f>
        <v/>
      </c>
    </row>
    <row r="667">
      <c r="A667">
        <f>'1 datos preparados'!A660</f>
        <v/>
      </c>
      <c r="B667" s="5">
        <f>'1 datos preparados'!U660</f>
        <v/>
      </c>
      <c r="C667">
        <f>'1 datos preparados'!B660</f>
        <v/>
      </c>
      <c r="D667" s="7">
        <f>'1 datos preparados'!C660</f>
        <v/>
      </c>
      <c r="E667" s="7">
        <f>'1 datos preparados'!D660</f>
        <v/>
      </c>
      <c r="F667" s="7">
        <f>'1 datos preparados'!E660</f>
        <v/>
      </c>
      <c r="G667" s="7">
        <f>'1 datos preparados'!F660</f>
        <v/>
      </c>
      <c r="H667" s="7">
        <f>'1 datos preparados'!G660</f>
        <v/>
      </c>
      <c r="I667" s="7">
        <f>'1 datos preparados'!H660</f>
        <v/>
      </c>
      <c r="J667" s="7">
        <f>'1 datos preparados'!I660</f>
        <v/>
      </c>
      <c r="K667" s="7">
        <f>'1 datos preparados'!J660</f>
        <v/>
      </c>
      <c r="L667" s="7">
        <f>'1 datos preparados'!K660</f>
        <v/>
      </c>
      <c r="M667" s="7">
        <f>'1 datos preparados'!L660</f>
        <v/>
      </c>
      <c r="N667" s="7">
        <f>'1 datos preparados'!M660</f>
        <v/>
      </c>
      <c r="O667" s="7">
        <f>'1 datos preparados'!N660</f>
        <v/>
      </c>
      <c r="P667" s="7">
        <f>'1 datos preparados'!O660</f>
        <v/>
      </c>
      <c r="Q667" s="7">
        <f>'1 datos preparados'!P660</f>
        <v/>
      </c>
      <c r="R667" s="7">
        <f>'1 datos preparados'!Q660</f>
        <v/>
      </c>
      <c r="S667" s="7">
        <f>'1 datos preparados'!R660</f>
        <v/>
      </c>
      <c r="T667" s="7">
        <f>'1 datos preparados'!S660</f>
        <v/>
      </c>
      <c r="U667" s="7">
        <f>'1 datos preparados'!T660</f>
        <v/>
      </c>
      <c r="V667" s="8">
        <f>$AE$12+D667*$AE$13+E667*$AE$14+F667*$AE$15+G667*$AE$16+H667*$AE$17+I667*$AE$18+J667*$AE$19+K667*$AE$20+L667*$AE$21+M667*$AE$22+N667*$AE$23+O667*$AE$24+P667*$AE$25+Q667*$AE$26+R667*$AE$27+S667*$AE$28+T667*$AE$29+U667*$AE$30</f>
        <v/>
      </c>
      <c r="W667" s="8">
        <f>1/(1+EXP(-V667))</f>
        <v/>
      </c>
      <c r="X667" s="9">
        <f>-IF(C667=1,LN(W667),LN(1-W667))</f>
        <v/>
      </c>
      <c r="Y667" s="8">
        <f>'1 datos preparados'!V660</f>
        <v/>
      </c>
      <c r="Z667" s="9">
        <f>Y667*X667</f>
        <v/>
      </c>
      <c r="AA667" s="10">
        <f>IF(W667&gt;$AE$33,1,0)</f>
        <v/>
      </c>
      <c r="AB667">
        <f>IF(AA667=C667,1,0)</f>
        <v/>
      </c>
    </row>
    <row r="668">
      <c r="A668">
        <f>'1 datos preparados'!A661</f>
        <v/>
      </c>
      <c r="B668" s="5">
        <f>'1 datos preparados'!U661</f>
        <v/>
      </c>
      <c r="C668">
        <f>'1 datos preparados'!B661</f>
        <v/>
      </c>
      <c r="D668" s="7">
        <f>'1 datos preparados'!C661</f>
        <v/>
      </c>
      <c r="E668" s="7">
        <f>'1 datos preparados'!D661</f>
        <v/>
      </c>
      <c r="F668" s="7">
        <f>'1 datos preparados'!E661</f>
        <v/>
      </c>
      <c r="G668" s="7">
        <f>'1 datos preparados'!F661</f>
        <v/>
      </c>
      <c r="H668" s="7">
        <f>'1 datos preparados'!G661</f>
        <v/>
      </c>
      <c r="I668" s="7">
        <f>'1 datos preparados'!H661</f>
        <v/>
      </c>
      <c r="J668" s="7">
        <f>'1 datos preparados'!I661</f>
        <v/>
      </c>
      <c r="K668" s="7">
        <f>'1 datos preparados'!J661</f>
        <v/>
      </c>
      <c r="L668" s="7">
        <f>'1 datos preparados'!K661</f>
        <v/>
      </c>
      <c r="M668" s="7">
        <f>'1 datos preparados'!L661</f>
        <v/>
      </c>
      <c r="N668" s="7">
        <f>'1 datos preparados'!M661</f>
        <v/>
      </c>
      <c r="O668" s="7">
        <f>'1 datos preparados'!N661</f>
        <v/>
      </c>
      <c r="P668" s="7">
        <f>'1 datos preparados'!O661</f>
        <v/>
      </c>
      <c r="Q668" s="7">
        <f>'1 datos preparados'!P661</f>
        <v/>
      </c>
      <c r="R668" s="7">
        <f>'1 datos preparados'!Q661</f>
        <v/>
      </c>
      <c r="S668" s="7">
        <f>'1 datos preparados'!R661</f>
        <v/>
      </c>
      <c r="T668" s="7">
        <f>'1 datos preparados'!S661</f>
        <v/>
      </c>
      <c r="U668" s="7">
        <f>'1 datos preparados'!T661</f>
        <v/>
      </c>
      <c r="V668" s="8">
        <f>$AE$12+D668*$AE$13+E668*$AE$14+F668*$AE$15+G668*$AE$16+H668*$AE$17+I668*$AE$18+J668*$AE$19+K668*$AE$20+L668*$AE$21+M668*$AE$22+N668*$AE$23+O668*$AE$24+P668*$AE$25+Q668*$AE$26+R668*$AE$27+S668*$AE$28+T668*$AE$29+U668*$AE$30</f>
        <v/>
      </c>
      <c r="W668" s="8">
        <f>1/(1+EXP(-V668))</f>
        <v/>
      </c>
      <c r="X668" s="9">
        <f>-IF(C668=1,LN(W668),LN(1-W668))</f>
        <v/>
      </c>
      <c r="Y668" s="8">
        <f>'1 datos preparados'!V661</f>
        <v/>
      </c>
      <c r="Z668" s="9">
        <f>Y668*X668</f>
        <v/>
      </c>
      <c r="AA668" s="10">
        <f>IF(W668&gt;$AE$33,1,0)</f>
        <v/>
      </c>
      <c r="AB668">
        <f>IF(AA668=C668,1,0)</f>
        <v/>
      </c>
    </row>
    <row r="669">
      <c r="A669">
        <f>'1 datos preparados'!A662</f>
        <v/>
      </c>
      <c r="B669" s="5">
        <f>'1 datos preparados'!U662</f>
        <v/>
      </c>
      <c r="C669">
        <f>'1 datos preparados'!B662</f>
        <v/>
      </c>
      <c r="D669" s="7">
        <f>'1 datos preparados'!C662</f>
        <v/>
      </c>
      <c r="E669" s="7">
        <f>'1 datos preparados'!D662</f>
        <v/>
      </c>
      <c r="F669" s="7">
        <f>'1 datos preparados'!E662</f>
        <v/>
      </c>
      <c r="G669" s="7">
        <f>'1 datos preparados'!F662</f>
        <v/>
      </c>
      <c r="H669" s="7">
        <f>'1 datos preparados'!G662</f>
        <v/>
      </c>
      <c r="I669" s="7">
        <f>'1 datos preparados'!H662</f>
        <v/>
      </c>
      <c r="J669" s="7">
        <f>'1 datos preparados'!I662</f>
        <v/>
      </c>
      <c r="K669" s="7">
        <f>'1 datos preparados'!J662</f>
        <v/>
      </c>
      <c r="L669" s="7">
        <f>'1 datos preparados'!K662</f>
        <v/>
      </c>
      <c r="M669" s="7">
        <f>'1 datos preparados'!L662</f>
        <v/>
      </c>
      <c r="N669" s="7">
        <f>'1 datos preparados'!M662</f>
        <v/>
      </c>
      <c r="O669" s="7">
        <f>'1 datos preparados'!N662</f>
        <v/>
      </c>
      <c r="P669" s="7">
        <f>'1 datos preparados'!O662</f>
        <v/>
      </c>
      <c r="Q669" s="7">
        <f>'1 datos preparados'!P662</f>
        <v/>
      </c>
      <c r="R669" s="7">
        <f>'1 datos preparados'!Q662</f>
        <v/>
      </c>
      <c r="S669" s="7">
        <f>'1 datos preparados'!R662</f>
        <v/>
      </c>
      <c r="T669" s="7">
        <f>'1 datos preparados'!S662</f>
        <v/>
      </c>
      <c r="U669" s="7">
        <f>'1 datos preparados'!T662</f>
        <v/>
      </c>
      <c r="V669" s="8">
        <f>$AE$12+D669*$AE$13+E669*$AE$14+F669*$AE$15+G669*$AE$16+H669*$AE$17+I669*$AE$18+J669*$AE$19+K669*$AE$20+L669*$AE$21+M669*$AE$22+N669*$AE$23+O669*$AE$24+P669*$AE$25+Q669*$AE$26+R669*$AE$27+S669*$AE$28+T669*$AE$29+U669*$AE$30</f>
        <v/>
      </c>
      <c r="W669" s="8">
        <f>1/(1+EXP(-V669))</f>
        <v/>
      </c>
      <c r="X669" s="9">
        <f>-IF(C669=1,LN(W669),LN(1-W669))</f>
        <v/>
      </c>
      <c r="Y669" s="8">
        <f>'1 datos preparados'!V662</f>
        <v/>
      </c>
      <c r="Z669" s="9">
        <f>Y669*X669</f>
        <v/>
      </c>
      <c r="AA669" s="10">
        <f>IF(W669&gt;$AE$33,1,0)</f>
        <v/>
      </c>
      <c r="AB669">
        <f>IF(AA669=C669,1,0)</f>
        <v/>
      </c>
    </row>
    <row r="670">
      <c r="A670">
        <f>'1 datos preparados'!A663</f>
        <v/>
      </c>
      <c r="B670" s="5">
        <f>'1 datos preparados'!U663</f>
        <v/>
      </c>
      <c r="C670">
        <f>'1 datos preparados'!B663</f>
        <v/>
      </c>
      <c r="D670" s="7">
        <f>'1 datos preparados'!C663</f>
        <v/>
      </c>
      <c r="E670" s="7">
        <f>'1 datos preparados'!D663</f>
        <v/>
      </c>
      <c r="F670" s="7">
        <f>'1 datos preparados'!E663</f>
        <v/>
      </c>
      <c r="G670" s="7">
        <f>'1 datos preparados'!F663</f>
        <v/>
      </c>
      <c r="H670" s="7">
        <f>'1 datos preparados'!G663</f>
        <v/>
      </c>
      <c r="I670" s="7">
        <f>'1 datos preparados'!H663</f>
        <v/>
      </c>
      <c r="J670" s="7">
        <f>'1 datos preparados'!I663</f>
        <v/>
      </c>
      <c r="K670" s="7">
        <f>'1 datos preparados'!J663</f>
        <v/>
      </c>
      <c r="L670" s="7">
        <f>'1 datos preparados'!K663</f>
        <v/>
      </c>
      <c r="M670" s="7">
        <f>'1 datos preparados'!L663</f>
        <v/>
      </c>
      <c r="N670" s="7">
        <f>'1 datos preparados'!M663</f>
        <v/>
      </c>
      <c r="O670" s="7">
        <f>'1 datos preparados'!N663</f>
        <v/>
      </c>
      <c r="P670" s="7">
        <f>'1 datos preparados'!O663</f>
        <v/>
      </c>
      <c r="Q670" s="7">
        <f>'1 datos preparados'!P663</f>
        <v/>
      </c>
      <c r="R670" s="7">
        <f>'1 datos preparados'!Q663</f>
        <v/>
      </c>
      <c r="S670" s="7">
        <f>'1 datos preparados'!R663</f>
        <v/>
      </c>
      <c r="T670" s="7">
        <f>'1 datos preparados'!S663</f>
        <v/>
      </c>
      <c r="U670" s="7">
        <f>'1 datos preparados'!T663</f>
        <v/>
      </c>
      <c r="V670" s="8">
        <f>$AE$12+D670*$AE$13+E670*$AE$14+F670*$AE$15+G670*$AE$16+H670*$AE$17+I670*$AE$18+J670*$AE$19+K670*$AE$20+L670*$AE$21+M670*$AE$22+N670*$AE$23+O670*$AE$24+P670*$AE$25+Q670*$AE$26+R670*$AE$27+S670*$AE$28+T670*$AE$29+U670*$AE$30</f>
        <v/>
      </c>
      <c r="W670" s="8">
        <f>1/(1+EXP(-V670))</f>
        <v/>
      </c>
      <c r="X670" s="9">
        <f>-IF(C670=1,LN(W670),LN(1-W670))</f>
        <v/>
      </c>
      <c r="Y670" s="8">
        <f>'1 datos preparados'!V663</f>
        <v/>
      </c>
      <c r="Z670" s="9">
        <f>Y670*X670</f>
        <v/>
      </c>
      <c r="AA670" s="10">
        <f>IF(W670&gt;$AE$33,1,0)</f>
        <v/>
      </c>
      <c r="AB670">
        <f>IF(AA670=C670,1,0)</f>
        <v/>
      </c>
    </row>
    <row r="671">
      <c r="A671">
        <f>'1 datos preparados'!A664</f>
        <v/>
      </c>
      <c r="B671" s="5">
        <f>'1 datos preparados'!U664</f>
        <v/>
      </c>
      <c r="C671">
        <f>'1 datos preparados'!B664</f>
        <v/>
      </c>
      <c r="D671" s="7">
        <f>'1 datos preparados'!C664</f>
        <v/>
      </c>
      <c r="E671" s="7">
        <f>'1 datos preparados'!D664</f>
        <v/>
      </c>
      <c r="F671" s="7">
        <f>'1 datos preparados'!E664</f>
        <v/>
      </c>
      <c r="G671" s="7">
        <f>'1 datos preparados'!F664</f>
        <v/>
      </c>
      <c r="H671" s="7">
        <f>'1 datos preparados'!G664</f>
        <v/>
      </c>
      <c r="I671" s="7">
        <f>'1 datos preparados'!H664</f>
        <v/>
      </c>
      <c r="J671" s="7">
        <f>'1 datos preparados'!I664</f>
        <v/>
      </c>
      <c r="K671" s="7">
        <f>'1 datos preparados'!J664</f>
        <v/>
      </c>
      <c r="L671" s="7">
        <f>'1 datos preparados'!K664</f>
        <v/>
      </c>
      <c r="M671" s="7">
        <f>'1 datos preparados'!L664</f>
        <v/>
      </c>
      <c r="N671" s="7">
        <f>'1 datos preparados'!M664</f>
        <v/>
      </c>
      <c r="O671" s="7">
        <f>'1 datos preparados'!N664</f>
        <v/>
      </c>
      <c r="P671" s="7">
        <f>'1 datos preparados'!O664</f>
        <v/>
      </c>
      <c r="Q671" s="7">
        <f>'1 datos preparados'!P664</f>
        <v/>
      </c>
      <c r="R671" s="7">
        <f>'1 datos preparados'!Q664</f>
        <v/>
      </c>
      <c r="S671" s="7">
        <f>'1 datos preparados'!R664</f>
        <v/>
      </c>
      <c r="T671" s="7">
        <f>'1 datos preparados'!S664</f>
        <v/>
      </c>
      <c r="U671" s="7">
        <f>'1 datos preparados'!T664</f>
        <v/>
      </c>
      <c r="V671" s="8">
        <f>$AE$12+D671*$AE$13+E671*$AE$14+F671*$AE$15+G671*$AE$16+H671*$AE$17+I671*$AE$18+J671*$AE$19+K671*$AE$20+L671*$AE$21+M671*$AE$22+N671*$AE$23+O671*$AE$24+P671*$AE$25+Q671*$AE$26+R671*$AE$27+S671*$AE$28+T671*$AE$29+U671*$AE$30</f>
        <v/>
      </c>
      <c r="W671" s="8">
        <f>1/(1+EXP(-V671))</f>
        <v/>
      </c>
      <c r="X671" s="9">
        <f>-IF(C671=1,LN(W671),LN(1-W671))</f>
        <v/>
      </c>
      <c r="Y671" s="8">
        <f>'1 datos preparados'!V664</f>
        <v/>
      </c>
      <c r="Z671" s="9">
        <f>Y671*X671</f>
        <v/>
      </c>
      <c r="AA671" s="10">
        <f>IF(W671&gt;$AE$33,1,0)</f>
        <v/>
      </c>
      <c r="AB671">
        <f>IF(AA671=C671,1,0)</f>
        <v/>
      </c>
    </row>
    <row r="672">
      <c r="A672">
        <f>'1 datos preparados'!A665</f>
        <v/>
      </c>
      <c r="B672" s="5">
        <f>'1 datos preparados'!U665</f>
        <v/>
      </c>
      <c r="C672">
        <f>'1 datos preparados'!B665</f>
        <v/>
      </c>
      <c r="D672" s="7">
        <f>'1 datos preparados'!C665</f>
        <v/>
      </c>
      <c r="E672" s="7">
        <f>'1 datos preparados'!D665</f>
        <v/>
      </c>
      <c r="F672" s="7">
        <f>'1 datos preparados'!E665</f>
        <v/>
      </c>
      <c r="G672" s="7">
        <f>'1 datos preparados'!F665</f>
        <v/>
      </c>
      <c r="H672" s="7">
        <f>'1 datos preparados'!G665</f>
        <v/>
      </c>
      <c r="I672" s="7">
        <f>'1 datos preparados'!H665</f>
        <v/>
      </c>
      <c r="J672" s="7">
        <f>'1 datos preparados'!I665</f>
        <v/>
      </c>
      <c r="K672" s="7">
        <f>'1 datos preparados'!J665</f>
        <v/>
      </c>
      <c r="L672" s="7">
        <f>'1 datos preparados'!K665</f>
        <v/>
      </c>
      <c r="M672" s="7">
        <f>'1 datos preparados'!L665</f>
        <v/>
      </c>
      <c r="N672" s="7">
        <f>'1 datos preparados'!M665</f>
        <v/>
      </c>
      <c r="O672" s="7">
        <f>'1 datos preparados'!N665</f>
        <v/>
      </c>
      <c r="P672" s="7">
        <f>'1 datos preparados'!O665</f>
        <v/>
      </c>
      <c r="Q672" s="7">
        <f>'1 datos preparados'!P665</f>
        <v/>
      </c>
      <c r="R672" s="7">
        <f>'1 datos preparados'!Q665</f>
        <v/>
      </c>
      <c r="S672" s="7">
        <f>'1 datos preparados'!R665</f>
        <v/>
      </c>
      <c r="T672" s="7">
        <f>'1 datos preparados'!S665</f>
        <v/>
      </c>
      <c r="U672" s="7">
        <f>'1 datos preparados'!T665</f>
        <v/>
      </c>
      <c r="V672" s="8">
        <f>$AE$12+D672*$AE$13+E672*$AE$14+F672*$AE$15+G672*$AE$16+H672*$AE$17+I672*$AE$18+J672*$AE$19+K672*$AE$20+L672*$AE$21+M672*$AE$22+N672*$AE$23+O672*$AE$24+P672*$AE$25+Q672*$AE$26+R672*$AE$27+S672*$AE$28+T672*$AE$29+U672*$AE$30</f>
        <v/>
      </c>
      <c r="W672" s="8">
        <f>1/(1+EXP(-V672))</f>
        <v/>
      </c>
      <c r="X672" s="9">
        <f>-IF(C672=1,LN(W672),LN(1-W672))</f>
        <v/>
      </c>
      <c r="Y672" s="8">
        <f>'1 datos preparados'!V665</f>
        <v/>
      </c>
      <c r="Z672" s="9">
        <f>Y672*X672</f>
        <v/>
      </c>
      <c r="AA672" s="10">
        <f>IF(W672&gt;$AE$33,1,0)</f>
        <v/>
      </c>
      <c r="AB672">
        <f>IF(AA672=C672,1,0)</f>
        <v/>
      </c>
    </row>
    <row r="673">
      <c r="A673">
        <f>'1 datos preparados'!A666</f>
        <v/>
      </c>
      <c r="B673" s="5">
        <f>'1 datos preparados'!U666</f>
        <v/>
      </c>
      <c r="C673">
        <f>'1 datos preparados'!B666</f>
        <v/>
      </c>
      <c r="D673" s="7">
        <f>'1 datos preparados'!C666</f>
        <v/>
      </c>
      <c r="E673" s="7">
        <f>'1 datos preparados'!D666</f>
        <v/>
      </c>
      <c r="F673" s="7">
        <f>'1 datos preparados'!E666</f>
        <v/>
      </c>
      <c r="G673" s="7">
        <f>'1 datos preparados'!F666</f>
        <v/>
      </c>
      <c r="H673" s="7">
        <f>'1 datos preparados'!G666</f>
        <v/>
      </c>
      <c r="I673" s="7">
        <f>'1 datos preparados'!H666</f>
        <v/>
      </c>
      <c r="J673" s="7">
        <f>'1 datos preparados'!I666</f>
        <v/>
      </c>
      <c r="K673" s="7">
        <f>'1 datos preparados'!J666</f>
        <v/>
      </c>
      <c r="L673" s="7">
        <f>'1 datos preparados'!K666</f>
        <v/>
      </c>
      <c r="M673" s="7">
        <f>'1 datos preparados'!L666</f>
        <v/>
      </c>
      <c r="N673" s="7">
        <f>'1 datos preparados'!M666</f>
        <v/>
      </c>
      <c r="O673" s="7">
        <f>'1 datos preparados'!N666</f>
        <v/>
      </c>
      <c r="P673" s="7">
        <f>'1 datos preparados'!O666</f>
        <v/>
      </c>
      <c r="Q673" s="7">
        <f>'1 datos preparados'!P666</f>
        <v/>
      </c>
      <c r="R673" s="7">
        <f>'1 datos preparados'!Q666</f>
        <v/>
      </c>
      <c r="S673" s="7">
        <f>'1 datos preparados'!R666</f>
        <v/>
      </c>
      <c r="T673" s="7">
        <f>'1 datos preparados'!S666</f>
        <v/>
      </c>
      <c r="U673" s="7">
        <f>'1 datos preparados'!T666</f>
        <v/>
      </c>
      <c r="V673" s="8">
        <f>$AE$12+D673*$AE$13+E673*$AE$14+F673*$AE$15+G673*$AE$16+H673*$AE$17+I673*$AE$18+J673*$AE$19+K673*$AE$20+L673*$AE$21+M673*$AE$22+N673*$AE$23+O673*$AE$24+P673*$AE$25+Q673*$AE$26+R673*$AE$27+S673*$AE$28+T673*$AE$29+U673*$AE$30</f>
        <v/>
      </c>
      <c r="W673" s="8">
        <f>1/(1+EXP(-V673))</f>
        <v/>
      </c>
      <c r="X673" s="9">
        <f>-IF(C673=1,LN(W673),LN(1-W673))</f>
        <v/>
      </c>
      <c r="Y673" s="8">
        <f>'1 datos preparados'!V666</f>
        <v/>
      </c>
      <c r="Z673" s="9">
        <f>Y673*X673</f>
        <v/>
      </c>
      <c r="AA673" s="10">
        <f>IF(W673&gt;$AE$33,1,0)</f>
        <v/>
      </c>
      <c r="AB673">
        <f>IF(AA673=C673,1,0)</f>
        <v/>
      </c>
    </row>
    <row r="674">
      <c r="A674">
        <f>'1 datos preparados'!A667</f>
        <v/>
      </c>
      <c r="B674" s="5">
        <f>'1 datos preparados'!U667</f>
        <v/>
      </c>
      <c r="C674">
        <f>'1 datos preparados'!B667</f>
        <v/>
      </c>
      <c r="D674" s="7">
        <f>'1 datos preparados'!C667</f>
        <v/>
      </c>
      <c r="E674" s="7">
        <f>'1 datos preparados'!D667</f>
        <v/>
      </c>
      <c r="F674" s="7">
        <f>'1 datos preparados'!E667</f>
        <v/>
      </c>
      <c r="G674" s="7">
        <f>'1 datos preparados'!F667</f>
        <v/>
      </c>
      <c r="H674" s="7">
        <f>'1 datos preparados'!G667</f>
        <v/>
      </c>
      <c r="I674" s="7">
        <f>'1 datos preparados'!H667</f>
        <v/>
      </c>
      <c r="J674" s="7">
        <f>'1 datos preparados'!I667</f>
        <v/>
      </c>
      <c r="K674" s="7">
        <f>'1 datos preparados'!J667</f>
        <v/>
      </c>
      <c r="L674" s="7">
        <f>'1 datos preparados'!K667</f>
        <v/>
      </c>
      <c r="M674" s="7">
        <f>'1 datos preparados'!L667</f>
        <v/>
      </c>
      <c r="N674" s="7">
        <f>'1 datos preparados'!M667</f>
        <v/>
      </c>
      <c r="O674" s="7">
        <f>'1 datos preparados'!N667</f>
        <v/>
      </c>
      <c r="P674" s="7">
        <f>'1 datos preparados'!O667</f>
        <v/>
      </c>
      <c r="Q674" s="7">
        <f>'1 datos preparados'!P667</f>
        <v/>
      </c>
      <c r="R674" s="7">
        <f>'1 datos preparados'!Q667</f>
        <v/>
      </c>
      <c r="S674" s="7">
        <f>'1 datos preparados'!R667</f>
        <v/>
      </c>
      <c r="T674" s="7">
        <f>'1 datos preparados'!S667</f>
        <v/>
      </c>
      <c r="U674" s="7">
        <f>'1 datos preparados'!T667</f>
        <v/>
      </c>
      <c r="V674" s="8">
        <f>$AE$12+D674*$AE$13+E674*$AE$14+F674*$AE$15+G674*$AE$16+H674*$AE$17+I674*$AE$18+J674*$AE$19+K674*$AE$20+L674*$AE$21+M674*$AE$22+N674*$AE$23+O674*$AE$24+P674*$AE$25+Q674*$AE$26+R674*$AE$27+S674*$AE$28+T674*$AE$29+U674*$AE$30</f>
        <v/>
      </c>
      <c r="W674" s="8">
        <f>1/(1+EXP(-V674))</f>
        <v/>
      </c>
      <c r="X674" s="9">
        <f>-IF(C674=1,LN(W674),LN(1-W674))</f>
        <v/>
      </c>
      <c r="Y674" s="8">
        <f>'1 datos preparados'!V667</f>
        <v/>
      </c>
      <c r="Z674" s="9">
        <f>Y674*X674</f>
        <v/>
      </c>
      <c r="AA674" s="10">
        <f>IF(W674&gt;$AE$33,1,0)</f>
        <v/>
      </c>
      <c r="AB674">
        <f>IF(AA674=C674,1,0)</f>
        <v/>
      </c>
    </row>
    <row r="675">
      <c r="A675">
        <f>'1 datos preparados'!A668</f>
        <v/>
      </c>
      <c r="B675" s="5">
        <f>'1 datos preparados'!U668</f>
        <v/>
      </c>
      <c r="C675">
        <f>'1 datos preparados'!B668</f>
        <v/>
      </c>
      <c r="D675" s="7">
        <f>'1 datos preparados'!C668</f>
        <v/>
      </c>
      <c r="E675" s="7">
        <f>'1 datos preparados'!D668</f>
        <v/>
      </c>
      <c r="F675" s="7">
        <f>'1 datos preparados'!E668</f>
        <v/>
      </c>
      <c r="G675" s="7">
        <f>'1 datos preparados'!F668</f>
        <v/>
      </c>
      <c r="H675" s="7">
        <f>'1 datos preparados'!G668</f>
        <v/>
      </c>
      <c r="I675" s="7">
        <f>'1 datos preparados'!H668</f>
        <v/>
      </c>
      <c r="J675" s="7">
        <f>'1 datos preparados'!I668</f>
        <v/>
      </c>
      <c r="K675" s="7">
        <f>'1 datos preparados'!J668</f>
        <v/>
      </c>
      <c r="L675" s="7">
        <f>'1 datos preparados'!K668</f>
        <v/>
      </c>
      <c r="M675" s="7">
        <f>'1 datos preparados'!L668</f>
        <v/>
      </c>
      <c r="N675" s="7">
        <f>'1 datos preparados'!M668</f>
        <v/>
      </c>
      <c r="O675" s="7">
        <f>'1 datos preparados'!N668</f>
        <v/>
      </c>
      <c r="P675" s="7">
        <f>'1 datos preparados'!O668</f>
        <v/>
      </c>
      <c r="Q675" s="7">
        <f>'1 datos preparados'!P668</f>
        <v/>
      </c>
      <c r="R675" s="7">
        <f>'1 datos preparados'!Q668</f>
        <v/>
      </c>
      <c r="S675" s="7">
        <f>'1 datos preparados'!R668</f>
        <v/>
      </c>
      <c r="T675" s="7">
        <f>'1 datos preparados'!S668</f>
        <v/>
      </c>
      <c r="U675" s="7">
        <f>'1 datos preparados'!T668</f>
        <v/>
      </c>
      <c r="V675" s="8">
        <f>$AE$12+D675*$AE$13+E675*$AE$14+F675*$AE$15+G675*$AE$16+H675*$AE$17+I675*$AE$18+J675*$AE$19+K675*$AE$20+L675*$AE$21+M675*$AE$22+N675*$AE$23+O675*$AE$24+P675*$AE$25+Q675*$AE$26+R675*$AE$27+S675*$AE$28+T675*$AE$29+U675*$AE$30</f>
        <v/>
      </c>
      <c r="W675" s="8">
        <f>1/(1+EXP(-V675))</f>
        <v/>
      </c>
      <c r="X675" s="9">
        <f>-IF(C675=1,LN(W675),LN(1-W675))</f>
        <v/>
      </c>
      <c r="Y675" s="8">
        <f>'1 datos preparados'!V668</f>
        <v/>
      </c>
      <c r="Z675" s="9">
        <f>Y675*X675</f>
        <v/>
      </c>
      <c r="AA675" s="10">
        <f>IF(W675&gt;$AE$33,1,0)</f>
        <v/>
      </c>
      <c r="AB675">
        <f>IF(AA675=C675,1,0)</f>
        <v/>
      </c>
    </row>
    <row r="676">
      <c r="A676">
        <f>'1 datos preparados'!A669</f>
        <v/>
      </c>
      <c r="B676" s="5">
        <f>'1 datos preparados'!U669</f>
        <v/>
      </c>
      <c r="C676">
        <f>'1 datos preparados'!B669</f>
        <v/>
      </c>
      <c r="D676" s="7">
        <f>'1 datos preparados'!C669</f>
        <v/>
      </c>
      <c r="E676" s="7">
        <f>'1 datos preparados'!D669</f>
        <v/>
      </c>
      <c r="F676" s="7">
        <f>'1 datos preparados'!E669</f>
        <v/>
      </c>
      <c r="G676" s="7">
        <f>'1 datos preparados'!F669</f>
        <v/>
      </c>
      <c r="H676" s="7">
        <f>'1 datos preparados'!G669</f>
        <v/>
      </c>
      <c r="I676" s="7">
        <f>'1 datos preparados'!H669</f>
        <v/>
      </c>
      <c r="J676" s="7">
        <f>'1 datos preparados'!I669</f>
        <v/>
      </c>
      <c r="K676" s="7">
        <f>'1 datos preparados'!J669</f>
        <v/>
      </c>
      <c r="L676" s="7">
        <f>'1 datos preparados'!K669</f>
        <v/>
      </c>
      <c r="M676" s="7">
        <f>'1 datos preparados'!L669</f>
        <v/>
      </c>
      <c r="N676" s="7">
        <f>'1 datos preparados'!M669</f>
        <v/>
      </c>
      <c r="O676" s="7">
        <f>'1 datos preparados'!N669</f>
        <v/>
      </c>
      <c r="P676" s="7">
        <f>'1 datos preparados'!O669</f>
        <v/>
      </c>
      <c r="Q676" s="7">
        <f>'1 datos preparados'!P669</f>
        <v/>
      </c>
      <c r="R676" s="7">
        <f>'1 datos preparados'!Q669</f>
        <v/>
      </c>
      <c r="S676" s="7">
        <f>'1 datos preparados'!R669</f>
        <v/>
      </c>
      <c r="T676" s="7">
        <f>'1 datos preparados'!S669</f>
        <v/>
      </c>
      <c r="U676" s="7">
        <f>'1 datos preparados'!T669</f>
        <v/>
      </c>
      <c r="V676" s="8">
        <f>$AE$12+D676*$AE$13+E676*$AE$14+F676*$AE$15+G676*$AE$16+H676*$AE$17+I676*$AE$18+J676*$AE$19+K676*$AE$20+L676*$AE$21+M676*$AE$22+N676*$AE$23+O676*$AE$24+P676*$AE$25+Q676*$AE$26+R676*$AE$27+S676*$AE$28+T676*$AE$29+U676*$AE$30</f>
        <v/>
      </c>
      <c r="W676" s="8">
        <f>1/(1+EXP(-V676))</f>
        <v/>
      </c>
      <c r="X676" s="9">
        <f>-IF(C676=1,LN(W676),LN(1-W676))</f>
        <v/>
      </c>
      <c r="Y676" s="8">
        <f>'1 datos preparados'!V669</f>
        <v/>
      </c>
      <c r="Z676" s="9">
        <f>Y676*X676</f>
        <v/>
      </c>
      <c r="AA676" s="10">
        <f>IF(W676&gt;$AE$33,1,0)</f>
        <v/>
      </c>
      <c r="AB676">
        <f>IF(AA676=C676,1,0)</f>
        <v/>
      </c>
    </row>
    <row r="677">
      <c r="A677">
        <f>'1 datos preparados'!A670</f>
        <v/>
      </c>
      <c r="B677" s="5">
        <f>'1 datos preparados'!U670</f>
        <v/>
      </c>
      <c r="C677">
        <f>'1 datos preparados'!B670</f>
        <v/>
      </c>
      <c r="D677" s="7">
        <f>'1 datos preparados'!C670</f>
        <v/>
      </c>
      <c r="E677" s="7">
        <f>'1 datos preparados'!D670</f>
        <v/>
      </c>
      <c r="F677" s="7">
        <f>'1 datos preparados'!E670</f>
        <v/>
      </c>
      <c r="G677" s="7">
        <f>'1 datos preparados'!F670</f>
        <v/>
      </c>
      <c r="H677" s="7">
        <f>'1 datos preparados'!G670</f>
        <v/>
      </c>
      <c r="I677" s="7">
        <f>'1 datos preparados'!H670</f>
        <v/>
      </c>
      <c r="J677" s="7">
        <f>'1 datos preparados'!I670</f>
        <v/>
      </c>
      <c r="K677" s="7">
        <f>'1 datos preparados'!J670</f>
        <v/>
      </c>
      <c r="L677" s="7">
        <f>'1 datos preparados'!K670</f>
        <v/>
      </c>
      <c r="M677" s="7">
        <f>'1 datos preparados'!L670</f>
        <v/>
      </c>
      <c r="N677" s="7">
        <f>'1 datos preparados'!M670</f>
        <v/>
      </c>
      <c r="O677" s="7">
        <f>'1 datos preparados'!N670</f>
        <v/>
      </c>
      <c r="P677" s="7">
        <f>'1 datos preparados'!O670</f>
        <v/>
      </c>
      <c r="Q677" s="7">
        <f>'1 datos preparados'!P670</f>
        <v/>
      </c>
      <c r="R677" s="7">
        <f>'1 datos preparados'!Q670</f>
        <v/>
      </c>
      <c r="S677" s="7">
        <f>'1 datos preparados'!R670</f>
        <v/>
      </c>
      <c r="T677" s="7">
        <f>'1 datos preparados'!S670</f>
        <v/>
      </c>
      <c r="U677" s="7">
        <f>'1 datos preparados'!T670</f>
        <v/>
      </c>
      <c r="V677" s="8">
        <f>$AE$12+D677*$AE$13+E677*$AE$14+F677*$AE$15+G677*$AE$16+H677*$AE$17+I677*$AE$18+J677*$AE$19+K677*$AE$20+L677*$AE$21+M677*$AE$22+N677*$AE$23+O677*$AE$24+P677*$AE$25+Q677*$AE$26+R677*$AE$27+S677*$AE$28+T677*$AE$29+U677*$AE$30</f>
        <v/>
      </c>
      <c r="W677" s="8">
        <f>1/(1+EXP(-V677))</f>
        <v/>
      </c>
      <c r="X677" s="9">
        <f>-IF(C677=1,LN(W677),LN(1-W677))</f>
        <v/>
      </c>
      <c r="Y677" s="8">
        <f>'1 datos preparados'!V670</f>
        <v/>
      </c>
      <c r="Z677" s="9">
        <f>Y677*X677</f>
        <v/>
      </c>
      <c r="AA677" s="10">
        <f>IF(W677&gt;$AE$33,1,0)</f>
        <v/>
      </c>
      <c r="AB677">
        <f>IF(AA677=C677,1,0)</f>
        <v/>
      </c>
    </row>
    <row r="678">
      <c r="A678">
        <f>'1 datos preparados'!A671</f>
        <v/>
      </c>
      <c r="B678" s="5">
        <f>'1 datos preparados'!U671</f>
        <v/>
      </c>
      <c r="C678">
        <f>'1 datos preparados'!B671</f>
        <v/>
      </c>
      <c r="D678" s="7">
        <f>'1 datos preparados'!C671</f>
        <v/>
      </c>
      <c r="E678" s="7">
        <f>'1 datos preparados'!D671</f>
        <v/>
      </c>
      <c r="F678" s="7">
        <f>'1 datos preparados'!E671</f>
        <v/>
      </c>
      <c r="G678" s="7">
        <f>'1 datos preparados'!F671</f>
        <v/>
      </c>
      <c r="H678" s="7">
        <f>'1 datos preparados'!G671</f>
        <v/>
      </c>
      <c r="I678" s="7">
        <f>'1 datos preparados'!H671</f>
        <v/>
      </c>
      <c r="J678" s="7">
        <f>'1 datos preparados'!I671</f>
        <v/>
      </c>
      <c r="K678" s="7">
        <f>'1 datos preparados'!J671</f>
        <v/>
      </c>
      <c r="L678" s="7">
        <f>'1 datos preparados'!K671</f>
        <v/>
      </c>
      <c r="M678" s="7">
        <f>'1 datos preparados'!L671</f>
        <v/>
      </c>
      <c r="N678" s="7">
        <f>'1 datos preparados'!M671</f>
        <v/>
      </c>
      <c r="O678" s="7">
        <f>'1 datos preparados'!N671</f>
        <v/>
      </c>
      <c r="P678" s="7">
        <f>'1 datos preparados'!O671</f>
        <v/>
      </c>
      <c r="Q678" s="7">
        <f>'1 datos preparados'!P671</f>
        <v/>
      </c>
      <c r="R678" s="7">
        <f>'1 datos preparados'!Q671</f>
        <v/>
      </c>
      <c r="S678" s="7">
        <f>'1 datos preparados'!R671</f>
        <v/>
      </c>
      <c r="T678" s="7">
        <f>'1 datos preparados'!S671</f>
        <v/>
      </c>
      <c r="U678" s="7">
        <f>'1 datos preparados'!T671</f>
        <v/>
      </c>
      <c r="V678" s="8">
        <f>$AE$12+D678*$AE$13+E678*$AE$14+F678*$AE$15+G678*$AE$16+H678*$AE$17+I678*$AE$18+J678*$AE$19+K678*$AE$20+L678*$AE$21+M678*$AE$22+N678*$AE$23+O678*$AE$24+P678*$AE$25+Q678*$AE$26+R678*$AE$27+S678*$AE$28+T678*$AE$29+U678*$AE$30</f>
        <v/>
      </c>
      <c r="W678" s="8">
        <f>1/(1+EXP(-V678))</f>
        <v/>
      </c>
      <c r="X678" s="9">
        <f>-IF(C678=1,LN(W678),LN(1-W678))</f>
        <v/>
      </c>
      <c r="Y678" s="8">
        <f>'1 datos preparados'!V671</f>
        <v/>
      </c>
      <c r="Z678" s="9">
        <f>Y678*X678</f>
        <v/>
      </c>
      <c r="AA678" s="10">
        <f>IF(W678&gt;$AE$33,1,0)</f>
        <v/>
      </c>
      <c r="AB678">
        <f>IF(AA678=C678,1,0)</f>
        <v/>
      </c>
    </row>
    <row r="679">
      <c r="A679">
        <f>'1 datos preparados'!A672</f>
        <v/>
      </c>
      <c r="B679" s="5">
        <f>'1 datos preparados'!U672</f>
        <v/>
      </c>
      <c r="C679">
        <f>'1 datos preparados'!B672</f>
        <v/>
      </c>
      <c r="D679" s="7">
        <f>'1 datos preparados'!C672</f>
        <v/>
      </c>
      <c r="E679" s="7">
        <f>'1 datos preparados'!D672</f>
        <v/>
      </c>
      <c r="F679" s="7">
        <f>'1 datos preparados'!E672</f>
        <v/>
      </c>
      <c r="G679" s="7">
        <f>'1 datos preparados'!F672</f>
        <v/>
      </c>
      <c r="H679" s="7">
        <f>'1 datos preparados'!G672</f>
        <v/>
      </c>
      <c r="I679" s="7">
        <f>'1 datos preparados'!H672</f>
        <v/>
      </c>
      <c r="J679" s="7">
        <f>'1 datos preparados'!I672</f>
        <v/>
      </c>
      <c r="K679" s="7">
        <f>'1 datos preparados'!J672</f>
        <v/>
      </c>
      <c r="L679" s="7">
        <f>'1 datos preparados'!K672</f>
        <v/>
      </c>
      <c r="M679" s="7">
        <f>'1 datos preparados'!L672</f>
        <v/>
      </c>
      <c r="N679" s="7">
        <f>'1 datos preparados'!M672</f>
        <v/>
      </c>
      <c r="O679" s="7">
        <f>'1 datos preparados'!N672</f>
        <v/>
      </c>
      <c r="P679" s="7">
        <f>'1 datos preparados'!O672</f>
        <v/>
      </c>
      <c r="Q679" s="7">
        <f>'1 datos preparados'!P672</f>
        <v/>
      </c>
      <c r="R679" s="7">
        <f>'1 datos preparados'!Q672</f>
        <v/>
      </c>
      <c r="S679" s="7">
        <f>'1 datos preparados'!R672</f>
        <v/>
      </c>
      <c r="T679" s="7">
        <f>'1 datos preparados'!S672</f>
        <v/>
      </c>
      <c r="U679" s="7">
        <f>'1 datos preparados'!T672</f>
        <v/>
      </c>
      <c r="V679" s="8">
        <f>$AE$12+D679*$AE$13+E679*$AE$14+F679*$AE$15+G679*$AE$16+H679*$AE$17+I679*$AE$18+J679*$AE$19+K679*$AE$20+L679*$AE$21+M679*$AE$22+N679*$AE$23+O679*$AE$24+P679*$AE$25+Q679*$AE$26+R679*$AE$27+S679*$AE$28+T679*$AE$29+U679*$AE$30</f>
        <v/>
      </c>
      <c r="W679" s="8">
        <f>1/(1+EXP(-V679))</f>
        <v/>
      </c>
      <c r="X679" s="9">
        <f>-IF(C679=1,LN(W679),LN(1-W679))</f>
        <v/>
      </c>
      <c r="Y679" s="8">
        <f>'1 datos preparados'!V672</f>
        <v/>
      </c>
      <c r="Z679" s="9">
        <f>Y679*X679</f>
        <v/>
      </c>
      <c r="AA679" s="10">
        <f>IF(W679&gt;$AE$33,1,0)</f>
        <v/>
      </c>
      <c r="AB679">
        <f>IF(AA679=C679,1,0)</f>
        <v/>
      </c>
    </row>
    <row r="680">
      <c r="A680">
        <f>'1 datos preparados'!A673</f>
        <v/>
      </c>
      <c r="B680" s="5">
        <f>'1 datos preparados'!U673</f>
        <v/>
      </c>
      <c r="C680">
        <f>'1 datos preparados'!B673</f>
        <v/>
      </c>
      <c r="D680" s="7">
        <f>'1 datos preparados'!C673</f>
        <v/>
      </c>
      <c r="E680" s="7">
        <f>'1 datos preparados'!D673</f>
        <v/>
      </c>
      <c r="F680" s="7">
        <f>'1 datos preparados'!E673</f>
        <v/>
      </c>
      <c r="G680" s="7">
        <f>'1 datos preparados'!F673</f>
        <v/>
      </c>
      <c r="H680" s="7">
        <f>'1 datos preparados'!G673</f>
        <v/>
      </c>
      <c r="I680" s="7">
        <f>'1 datos preparados'!H673</f>
        <v/>
      </c>
      <c r="J680" s="7">
        <f>'1 datos preparados'!I673</f>
        <v/>
      </c>
      <c r="K680" s="7">
        <f>'1 datos preparados'!J673</f>
        <v/>
      </c>
      <c r="L680" s="7">
        <f>'1 datos preparados'!K673</f>
        <v/>
      </c>
      <c r="M680" s="7">
        <f>'1 datos preparados'!L673</f>
        <v/>
      </c>
      <c r="N680" s="7">
        <f>'1 datos preparados'!M673</f>
        <v/>
      </c>
      <c r="O680" s="7">
        <f>'1 datos preparados'!N673</f>
        <v/>
      </c>
      <c r="P680" s="7">
        <f>'1 datos preparados'!O673</f>
        <v/>
      </c>
      <c r="Q680" s="7">
        <f>'1 datos preparados'!P673</f>
        <v/>
      </c>
      <c r="R680" s="7">
        <f>'1 datos preparados'!Q673</f>
        <v/>
      </c>
      <c r="S680" s="7">
        <f>'1 datos preparados'!R673</f>
        <v/>
      </c>
      <c r="T680" s="7">
        <f>'1 datos preparados'!S673</f>
        <v/>
      </c>
      <c r="U680" s="7">
        <f>'1 datos preparados'!T673</f>
        <v/>
      </c>
      <c r="V680" s="8">
        <f>$AE$12+D680*$AE$13+E680*$AE$14+F680*$AE$15+G680*$AE$16+H680*$AE$17+I680*$AE$18+J680*$AE$19+K680*$AE$20+L680*$AE$21+M680*$AE$22+N680*$AE$23+O680*$AE$24+P680*$AE$25+Q680*$AE$26+R680*$AE$27+S680*$AE$28+T680*$AE$29+U680*$AE$30</f>
        <v/>
      </c>
      <c r="W680" s="8">
        <f>1/(1+EXP(-V680))</f>
        <v/>
      </c>
      <c r="X680" s="9">
        <f>-IF(C680=1,LN(W680),LN(1-W680))</f>
        <v/>
      </c>
      <c r="Y680" s="8">
        <f>'1 datos preparados'!V673</f>
        <v/>
      </c>
      <c r="Z680" s="9">
        <f>Y680*X680</f>
        <v/>
      </c>
      <c r="AA680" s="10">
        <f>IF(W680&gt;$AE$33,1,0)</f>
        <v/>
      </c>
      <c r="AB680">
        <f>IF(AA680=C680,1,0)</f>
        <v/>
      </c>
    </row>
    <row r="681">
      <c r="A681">
        <f>'1 datos preparados'!A674</f>
        <v/>
      </c>
      <c r="B681" s="5">
        <f>'1 datos preparados'!U674</f>
        <v/>
      </c>
      <c r="C681">
        <f>'1 datos preparados'!B674</f>
        <v/>
      </c>
      <c r="D681" s="7">
        <f>'1 datos preparados'!C674</f>
        <v/>
      </c>
      <c r="E681" s="7">
        <f>'1 datos preparados'!D674</f>
        <v/>
      </c>
      <c r="F681" s="7">
        <f>'1 datos preparados'!E674</f>
        <v/>
      </c>
      <c r="G681" s="7">
        <f>'1 datos preparados'!F674</f>
        <v/>
      </c>
      <c r="H681" s="7">
        <f>'1 datos preparados'!G674</f>
        <v/>
      </c>
      <c r="I681" s="7">
        <f>'1 datos preparados'!H674</f>
        <v/>
      </c>
      <c r="J681" s="7">
        <f>'1 datos preparados'!I674</f>
        <v/>
      </c>
      <c r="K681" s="7">
        <f>'1 datos preparados'!J674</f>
        <v/>
      </c>
      <c r="L681" s="7">
        <f>'1 datos preparados'!K674</f>
        <v/>
      </c>
      <c r="M681" s="7">
        <f>'1 datos preparados'!L674</f>
        <v/>
      </c>
      <c r="N681" s="7">
        <f>'1 datos preparados'!M674</f>
        <v/>
      </c>
      <c r="O681" s="7">
        <f>'1 datos preparados'!N674</f>
        <v/>
      </c>
      <c r="P681" s="7">
        <f>'1 datos preparados'!O674</f>
        <v/>
      </c>
      <c r="Q681" s="7">
        <f>'1 datos preparados'!P674</f>
        <v/>
      </c>
      <c r="R681" s="7">
        <f>'1 datos preparados'!Q674</f>
        <v/>
      </c>
      <c r="S681" s="7">
        <f>'1 datos preparados'!R674</f>
        <v/>
      </c>
      <c r="T681" s="7">
        <f>'1 datos preparados'!S674</f>
        <v/>
      </c>
      <c r="U681" s="7">
        <f>'1 datos preparados'!T674</f>
        <v/>
      </c>
      <c r="V681" s="8">
        <f>$AE$12+D681*$AE$13+E681*$AE$14+F681*$AE$15+G681*$AE$16+H681*$AE$17+I681*$AE$18+J681*$AE$19+K681*$AE$20+L681*$AE$21+M681*$AE$22+N681*$AE$23+O681*$AE$24+P681*$AE$25+Q681*$AE$26+R681*$AE$27+S681*$AE$28+T681*$AE$29+U681*$AE$30</f>
        <v/>
      </c>
      <c r="W681" s="8">
        <f>1/(1+EXP(-V681))</f>
        <v/>
      </c>
      <c r="X681" s="9">
        <f>-IF(C681=1,LN(W681),LN(1-W681))</f>
        <v/>
      </c>
      <c r="Y681" s="8">
        <f>'1 datos preparados'!V674</f>
        <v/>
      </c>
      <c r="Z681" s="9">
        <f>Y681*X681</f>
        <v/>
      </c>
      <c r="AA681" s="10">
        <f>IF(W681&gt;$AE$33,1,0)</f>
        <v/>
      </c>
      <c r="AB681">
        <f>IF(AA681=C681,1,0)</f>
        <v/>
      </c>
    </row>
    <row r="682">
      <c r="A682">
        <f>'1 datos preparados'!A675</f>
        <v/>
      </c>
      <c r="B682" s="5">
        <f>'1 datos preparados'!U675</f>
        <v/>
      </c>
      <c r="C682">
        <f>'1 datos preparados'!B675</f>
        <v/>
      </c>
      <c r="D682" s="7">
        <f>'1 datos preparados'!C675</f>
        <v/>
      </c>
      <c r="E682" s="7">
        <f>'1 datos preparados'!D675</f>
        <v/>
      </c>
      <c r="F682" s="7">
        <f>'1 datos preparados'!E675</f>
        <v/>
      </c>
      <c r="G682" s="7">
        <f>'1 datos preparados'!F675</f>
        <v/>
      </c>
      <c r="H682" s="7">
        <f>'1 datos preparados'!G675</f>
        <v/>
      </c>
      <c r="I682" s="7">
        <f>'1 datos preparados'!H675</f>
        <v/>
      </c>
      <c r="J682" s="7">
        <f>'1 datos preparados'!I675</f>
        <v/>
      </c>
      <c r="K682" s="7">
        <f>'1 datos preparados'!J675</f>
        <v/>
      </c>
      <c r="L682" s="7">
        <f>'1 datos preparados'!K675</f>
        <v/>
      </c>
      <c r="M682" s="7">
        <f>'1 datos preparados'!L675</f>
        <v/>
      </c>
      <c r="N682" s="7">
        <f>'1 datos preparados'!M675</f>
        <v/>
      </c>
      <c r="O682" s="7">
        <f>'1 datos preparados'!N675</f>
        <v/>
      </c>
      <c r="P682" s="7">
        <f>'1 datos preparados'!O675</f>
        <v/>
      </c>
      <c r="Q682" s="7">
        <f>'1 datos preparados'!P675</f>
        <v/>
      </c>
      <c r="R682" s="7">
        <f>'1 datos preparados'!Q675</f>
        <v/>
      </c>
      <c r="S682" s="7">
        <f>'1 datos preparados'!R675</f>
        <v/>
      </c>
      <c r="T682" s="7">
        <f>'1 datos preparados'!S675</f>
        <v/>
      </c>
      <c r="U682" s="7">
        <f>'1 datos preparados'!T675</f>
        <v/>
      </c>
      <c r="V682" s="8">
        <f>$AE$12+D682*$AE$13+E682*$AE$14+F682*$AE$15+G682*$AE$16+H682*$AE$17+I682*$AE$18+J682*$AE$19+K682*$AE$20+L682*$AE$21+M682*$AE$22+N682*$AE$23+O682*$AE$24+P682*$AE$25+Q682*$AE$26+R682*$AE$27+S682*$AE$28+T682*$AE$29+U682*$AE$30</f>
        <v/>
      </c>
      <c r="W682" s="8">
        <f>1/(1+EXP(-V682))</f>
        <v/>
      </c>
      <c r="X682" s="9">
        <f>-IF(C682=1,LN(W682),LN(1-W682))</f>
        <v/>
      </c>
      <c r="Y682" s="8">
        <f>'1 datos preparados'!V675</f>
        <v/>
      </c>
      <c r="Z682" s="9">
        <f>Y682*X682</f>
        <v/>
      </c>
      <c r="AA682" s="10">
        <f>IF(W682&gt;$AE$33,1,0)</f>
        <v/>
      </c>
      <c r="AB682">
        <f>IF(AA682=C682,1,0)</f>
        <v/>
      </c>
    </row>
    <row r="683">
      <c r="A683">
        <f>'1 datos preparados'!A676</f>
        <v/>
      </c>
      <c r="B683" s="5">
        <f>'1 datos preparados'!U676</f>
        <v/>
      </c>
      <c r="C683">
        <f>'1 datos preparados'!B676</f>
        <v/>
      </c>
      <c r="D683" s="7">
        <f>'1 datos preparados'!C676</f>
        <v/>
      </c>
      <c r="E683" s="7">
        <f>'1 datos preparados'!D676</f>
        <v/>
      </c>
      <c r="F683" s="7">
        <f>'1 datos preparados'!E676</f>
        <v/>
      </c>
      <c r="G683" s="7">
        <f>'1 datos preparados'!F676</f>
        <v/>
      </c>
      <c r="H683" s="7">
        <f>'1 datos preparados'!G676</f>
        <v/>
      </c>
      <c r="I683" s="7">
        <f>'1 datos preparados'!H676</f>
        <v/>
      </c>
      <c r="J683" s="7">
        <f>'1 datos preparados'!I676</f>
        <v/>
      </c>
      <c r="K683" s="7">
        <f>'1 datos preparados'!J676</f>
        <v/>
      </c>
      <c r="L683" s="7">
        <f>'1 datos preparados'!K676</f>
        <v/>
      </c>
      <c r="M683" s="7">
        <f>'1 datos preparados'!L676</f>
        <v/>
      </c>
      <c r="N683" s="7">
        <f>'1 datos preparados'!M676</f>
        <v/>
      </c>
      <c r="O683" s="7">
        <f>'1 datos preparados'!N676</f>
        <v/>
      </c>
      <c r="P683" s="7">
        <f>'1 datos preparados'!O676</f>
        <v/>
      </c>
      <c r="Q683" s="7">
        <f>'1 datos preparados'!P676</f>
        <v/>
      </c>
      <c r="R683" s="7">
        <f>'1 datos preparados'!Q676</f>
        <v/>
      </c>
      <c r="S683" s="7">
        <f>'1 datos preparados'!R676</f>
        <v/>
      </c>
      <c r="T683" s="7">
        <f>'1 datos preparados'!S676</f>
        <v/>
      </c>
      <c r="U683" s="7">
        <f>'1 datos preparados'!T676</f>
        <v/>
      </c>
      <c r="V683" s="8">
        <f>$AE$12+D683*$AE$13+E683*$AE$14+F683*$AE$15+G683*$AE$16+H683*$AE$17+I683*$AE$18+J683*$AE$19+K683*$AE$20+L683*$AE$21+M683*$AE$22+N683*$AE$23+O683*$AE$24+P683*$AE$25+Q683*$AE$26+R683*$AE$27+S683*$AE$28+T683*$AE$29+U683*$AE$30</f>
        <v/>
      </c>
      <c r="W683" s="8">
        <f>1/(1+EXP(-V683))</f>
        <v/>
      </c>
      <c r="X683" s="9">
        <f>-IF(C683=1,LN(W683),LN(1-W683))</f>
        <v/>
      </c>
      <c r="Y683" s="8">
        <f>'1 datos preparados'!V676</f>
        <v/>
      </c>
      <c r="Z683" s="9">
        <f>Y683*X683</f>
        <v/>
      </c>
      <c r="AA683" s="10">
        <f>IF(W683&gt;$AE$33,1,0)</f>
        <v/>
      </c>
      <c r="AB683">
        <f>IF(AA683=C683,1,0)</f>
        <v/>
      </c>
    </row>
    <row r="684">
      <c r="A684">
        <f>'1 datos preparados'!A677</f>
        <v/>
      </c>
      <c r="B684" s="5">
        <f>'1 datos preparados'!U677</f>
        <v/>
      </c>
      <c r="C684">
        <f>'1 datos preparados'!B677</f>
        <v/>
      </c>
      <c r="D684" s="7">
        <f>'1 datos preparados'!C677</f>
        <v/>
      </c>
      <c r="E684" s="7">
        <f>'1 datos preparados'!D677</f>
        <v/>
      </c>
      <c r="F684" s="7">
        <f>'1 datos preparados'!E677</f>
        <v/>
      </c>
      <c r="G684" s="7">
        <f>'1 datos preparados'!F677</f>
        <v/>
      </c>
      <c r="H684" s="7">
        <f>'1 datos preparados'!G677</f>
        <v/>
      </c>
      <c r="I684" s="7">
        <f>'1 datos preparados'!H677</f>
        <v/>
      </c>
      <c r="J684" s="7">
        <f>'1 datos preparados'!I677</f>
        <v/>
      </c>
      <c r="K684" s="7">
        <f>'1 datos preparados'!J677</f>
        <v/>
      </c>
      <c r="L684" s="7">
        <f>'1 datos preparados'!K677</f>
        <v/>
      </c>
      <c r="M684" s="7">
        <f>'1 datos preparados'!L677</f>
        <v/>
      </c>
      <c r="N684" s="7">
        <f>'1 datos preparados'!M677</f>
        <v/>
      </c>
      <c r="O684" s="7">
        <f>'1 datos preparados'!N677</f>
        <v/>
      </c>
      <c r="P684" s="7">
        <f>'1 datos preparados'!O677</f>
        <v/>
      </c>
      <c r="Q684" s="7">
        <f>'1 datos preparados'!P677</f>
        <v/>
      </c>
      <c r="R684" s="7">
        <f>'1 datos preparados'!Q677</f>
        <v/>
      </c>
      <c r="S684" s="7">
        <f>'1 datos preparados'!R677</f>
        <v/>
      </c>
      <c r="T684" s="7">
        <f>'1 datos preparados'!S677</f>
        <v/>
      </c>
      <c r="U684" s="7">
        <f>'1 datos preparados'!T677</f>
        <v/>
      </c>
      <c r="V684" s="8">
        <f>$AE$12+D684*$AE$13+E684*$AE$14+F684*$AE$15+G684*$AE$16+H684*$AE$17+I684*$AE$18+J684*$AE$19+K684*$AE$20+L684*$AE$21+M684*$AE$22+N684*$AE$23+O684*$AE$24+P684*$AE$25+Q684*$AE$26+R684*$AE$27+S684*$AE$28+T684*$AE$29+U684*$AE$30</f>
        <v/>
      </c>
      <c r="W684" s="8">
        <f>1/(1+EXP(-V684))</f>
        <v/>
      </c>
      <c r="X684" s="9">
        <f>-IF(C684=1,LN(W684),LN(1-W684))</f>
        <v/>
      </c>
      <c r="Y684" s="8">
        <f>'1 datos preparados'!V677</f>
        <v/>
      </c>
      <c r="Z684" s="9">
        <f>Y684*X684</f>
        <v/>
      </c>
      <c r="AA684" s="10">
        <f>IF(W684&gt;$AE$33,1,0)</f>
        <v/>
      </c>
      <c r="AB684">
        <f>IF(AA684=C684,1,0)</f>
        <v/>
      </c>
    </row>
    <row r="685">
      <c r="A685">
        <f>'1 datos preparados'!A678</f>
        <v/>
      </c>
      <c r="B685" s="5">
        <f>'1 datos preparados'!U678</f>
        <v/>
      </c>
      <c r="C685">
        <f>'1 datos preparados'!B678</f>
        <v/>
      </c>
      <c r="D685" s="7">
        <f>'1 datos preparados'!C678</f>
        <v/>
      </c>
      <c r="E685" s="7">
        <f>'1 datos preparados'!D678</f>
        <v/>
      </c>
      <c r="F685" s="7">
        <f>'1 datos preparados'!E678</f>
        <v/>
      </c>
      <c r="G685" s="7">
        <f>'1 datos preparados'!F678</f>
        <v/>
      </c>
      <c r="H685" s="7">
        <f>'1 datos preparados'!G678</f>
        <v/>
      </c>
      <c r="I685" s="7">
        <f>'1 datos preparados'!H678</f>
        <v/>
      </c>
      <c r="J685" s="7">
        <f>'1 datos preparados'!I678</f>
        <v/>
      </c>
      <c r="K685" s="7">
        <f>'1 datos preparados'!J678</f>
        <v/>
      </c>
      <c r="L685" s="7">
        <f>'1 datos preparados'!K678</f>
        <v/>
      </c>
      <c r="M685" s="7">
        <f>'1 datos preparados'!L678</f>
        <v/>
      </c>
      <c r="N685" s="7">
        <f>'1 datos preparados'!M678</f>
        <v/>
      </c>
      <c r="O685" s="7">
        <f>'1 datos preparados'!N678</f>
        <v/>
      </c>
      <c r="P685" s="7">
        <f>'1 datos preparados'!O678</f>
        <v/>
      </c>
      <c r="Q685" s="7">
        <f>'1 datos preparados'!P678</f>
        <v/>
      </c>
      <c r="R685" s="7">
        <f>'1 datos preparados'!Q678</f>
        <v/>
      </c>
      <c r="S685" s="7">
        <f>'1 datos preparados'!R678</f>
        <v/>
      </c>
      <c r="T685" s="7">
        <f>'1 datos preparados'!S678</f>
        <v/>
      </c>
      <c r="U685" s="7">
        <f>'1 datos preparados'!T678</f>
        <v/>
      </c>
      <c r="V685" s="8">
        <f>$AE$12+D685*$AE$13+E685*$AE$14+F685*$AE$15+G685*$AE$16+H685*$AE$17+I685*$AE$18+J685*$AE$19+K685*$AE$20+L685*$AE$21+M685*$AE$22+N685*$AE$23+O685*$AE$24+P685*$AE$25+Q685*$AE$26+R685*$AE$27+S685*$AE$28+T685*$AE$29+U685*$AE$30</f>
        <v/>
      </c>
      <c r="W685" s="8">
        <f>1/(1+EXP(-V685))</f>
        <v/>
      </c>
      <c r="X685" s="9">
        <f>-IF(C685=1,LN(W685),LN(1-W685))</f>
        <v/>
      </c>
      <c r="Y685" s="8">
        <f>'1 datos preparados'!V678</f>
        <v/>
      </c>
      <c r="Z685" s="9">
        <f>Y685*X685</f>
        <v/>
      </c>
      <c r="AA685" s="10">
        <f>IF(W685&gt;$AE$33,1,0)</f>
        <v/>
      </c>
      <c r="AB685">
        <f>IF(AA685=C685,1,0)</f>
        <v/>
      </c>
    </row>
    <row r="686">
      <c r="A686">
        <f>'1 datos preparados'!A679</f>
        <v/>
      </c>
      <c r="B686" s="5">
        <f>'1 datos preparados'!U679</f>
        <v/>
      </c>
      <c r="C686">
        <f>'1 datos preparados'!B679</f>
        <v/>
      </c>
      <c r="D686" s="7">
        <f>'1 datos preparados'!C679</f>
        <v/>
      </c>
      <c r="E686" s="7">
        <f>'1 datos preparados'!D679</f>
        <v/>
      </c>
      <c r="F686" s="7">
        <f>'1 datos preparados'!E679</f>
        <v/>
      </c>
      <c r="G686" s="7">
        <f>'1 datos preparados'!F679</f>
        <v/>
      </c>
      <c r="H686" s="7">
        <f>'1 datos preparados'!G679</f>
        <v/>
      </c>
      <c r="I686" s="7">
        <f>'1 datos preparados'!H679</f>
        <v/>
      </c>
      <c r="J686" s="7">
        <f>'1 datos preparados'!I679</f>
        <v/>
      </c>
      <c r="K686" s="7">
        <f>'1 datos preparados'!J679</f>
        <v/>
      </c>
      <c r="L686" s="7">
        <f>'1 datos preparados'!K679</f>
        <v/>
      </c>
      <c r="M686" s="7">
        <f>'1 datos preparados'!L679</f>
        <v/>
      </c>
      <c r="N686" s="7">
        <f>'1 datos preparados'!M679</f>
        <v/>
      </c>
      <c r="O686" s="7">
        <f>'1 datos preparados'!N679</f>
        <v/>
      </c>
      <c r="P686" s="7">
        <f>'1 datos preparados'!O679</f>
        <v/>
      </c>
      <c r="Q686" s="7">
        <f>'1 datos preparados'!P679</f>
        <v/>
      </c>
      <c r="R686" s="7">
        <f>'1 datos preparados'!Q679</f>
        <v/>
      </c>
      <c r="S686" s="7">
        <f>'1 datos preparados'!R679</f>
        <v/>
      </c>
      <c r="T686" s="7">
        <f>'1 datos preparados'!S679</f>
        <v/>
      </c>
      <c r="U686" s="7">
        <f>'1 datos preparados'!T679</f>
        <v/>
      </c>
      <c r="V686" s="8">
        <f>$AE$12+D686*$AE$13+E686*$AE$14+F686*$AE$15+G686*$AE$16+H686*$AE$17+I686*$AE$18+J686*$AE$19+K686*$AE$20+L686*$AE$21+M686*$AE$22+N686*$AE$23+O686*$AE$24+P686*$AE$25+Q686*$AE$26+R686*$AE$27+S686*$AE$28+T686*$AE$29+U686*$AE$30</f>
        <v/>
      </c>
      <c r="W686" s="8">
        <f>1/(1+EXP(-V686))</f>
        <v/>
      </c>
      <c r="X686" s="9">
        <f>-IF(C686=1,LN(W686),LN(1-W686))</f>
        <v/>
      </c>
      <c r="Y686" s="8">
        <f>'1 datos preparados'!V679</f>
        <v/>
      </c>
      <c r="Z686" s="9">
        <f>Y686*X686</f>
        <v/>
      </c>
      <c r="AA686" s="10">
        <f>IF(W686&gt;$AE$33,1,0)</f>
        <v/>
      </c>
      <c r="AB686">
        <f>IF(AA686=C686,1,0)</f>
        <v/>
      </c>
    </row>
    <row r="687">
      <c r="A687">
        <f>'1 datos preparados'!A680</f>
        <v/>
      </c>
      <c r="B687" s="5">
        <f>'1 datos preparados'!U680</f>
        <v/>
      </c>
      <c r="C687">
        <f>'1 datos preparados'!B680</f>
        <v/>
      </c>
      <c r="D687" s="7">
        <f>'1 datos preparados'!C680</f>
        <v/>
      </c>
      <c r="E687" s="7">
        <f>'1 datos preparados'!D680</f>
        <v/>
      </c>
      <c r="F687" s="7">
        <f>'1 datos preparados'!E680</f>
        <v/>
      </c>
      <c r="G687" s="7">
        <f>'1 datos preparados'!F680</f>
        <v/>
      </c>
      <c r="H687" s="7">
        <f>'1 datos preparados'!G680</f>
        <v/>
      </c>
      <c r="I687" s="7">
        <f>'1 datos preparados'!H680</f>
        <v/>
      </c>
      <c r="J687" s="7">
        <f>'1 datos preparados'!I680</f>
        <v/>
      </c>
      <c r="K687" s="7">
        <f>'1 datos preparados'!J680</f>
        <v/>
      </c>
      <c r="L687" s="7">
        <f>'1 datos preparados'!K680</f>
        <v/>
      </c>
      <c r="M687" s="7">
        <f>'1 datos preparados'!L680</f>
        <v/>
      </c>
      <c r="N687" s="7">
        <f>'1 datos preparados'!M680</f>
        <v/>
      </c>
      <c r="O687" s="7">
        <f>'1 datos preparados'!N680</f>
        <v/>
      </c>
      <c r="P687" s="7">
        <f>'1 datos preparados'!O680</f>
        <v/>
      </c>
      <c r="Q687" s="7">
        <f>'1 datos preparados'!P680</f>
        <v/>
      </c>
      <c r="R687" s="7">
        <f>'1 datos preparados'!Q680</f>
        <v/>
      </c>
      <c r="S687" s="7">
        <f>'1 datos preparados'!R680</f>
        <v/>
      </c>
      <c r="T687" s="7">
        <f>'1 datos preparados'!S680</f>
        <v/>
      </c>
      <c r="U687" s="7">
        <f>'1 datos preparados'!T680</f>
        <v/>
      </c>
      <c r="V687" s="8">
        <f>$AE$12+D687*$AE$13+E687*$AE$14+F687*$AE$15+G687*$AE$16+H687*$AE$17+I687*$AE$18+J687*$AE$19+K687*$AE$20+L687*$AE$21+M687*$AE$22+N687*$AE$23+O687*$AE$24+P687*$AE$25+Q687*$AE$26+R687*$AE$27+S687*$AE$28+T687*$AE$29+U687*$AE$30</f>
        <v/>
      </c>
      <c r="W687" s="8">
        <f>1/(1+EXP(-V687))</f>
        <v/>
      </c>
      <c r="X687" s="9">
        <f>-IF(C687=1,LN(W687),LN(1-W687))</f>
        <v/>
      </c>
      <c r="Y687" s="8">
        <f>'1 datos preparados'!V680</f>
        <v/>
      </c>
      <c r="Z687" s="9">
        <f>Y687*X687</f>
        <v/>
      </c>
      <c r="AA687" s="10">
        <f>IF(W687&gt;$AE$33,1,0)</f>
        <v/>
      </c>
      <c r="AB687">
        <f>IF(AA687=C687,1,0)</f>
        <v/>
      </c>
    </row>
    <row r="688">
      <c r="A688">
        <f>'1 datos preparados'!A681</f>
        <v/>
      </c>
      <c r="B688" s="5">
        <f>'1 datos preparados'!U681</f>
        <v/>
      </c>
      <c r="C688">
        <f>'1 datos preparados'!B681</f>
        <v/>
      </c>
      <c r="D688" s="7">
        <f>'1 datos preparados'!C681</f>
        <v/>
      </c>
      <c r="E688" s="7">
        <f>'1 datos preparados'!D681</f>
        <v/>
      </c>
      <c r="F688" s="7">
        <f>'1 datos preparados'!E681</f>
        <v/>
      </c>
      <c r="G688" s="7">
        <f>'1 datos preparados'!F681</f>
        <v/>
      </c>
      <c r="H688" s="7">
        <f>'1 datos preparados'!G681</f>
        <v/>
      </c>
      <c r="I688" s="7">
        <f>'1 datos preparados'!H681</f>
        <v/>
      </c>
      <c r="J688" s="7">
        <f>'1 datos preparados'!I681</f>
        <v/>
      </c>
      <c r="K688" s="7">
        <f>'1 datos preparados'!J681</f>
        <v/>
      </c>
      <c r="L688" s="7">
        <f>'1 datos preparados'!K681</f>
        <v/>
      </c>
      <c r="M688" s="7">
        <f>'1 datos preparados'!L681</f>
        <v/>
      </c>
      <c r="N688" s="7">
        <f>'1 datos preparados'!M681</f>
        <v/>
      </c>
      <c r="O688" s="7">
        <f>'1 datos preparados'!N681</f>
        <v/>
      </c>
      <c r="P688" s="7">
        <f>'1 datos preparados'!O681</f>
        <v/>
      </c>
      <c r="Q688" s="7">
        <f>'1 datos preparados'!P681</f>
        <v/>
      </c>
      <c r="R688" s="7">
        <f>'1 datos preparados'!Q681</f>
        <v/>
      </c>
      <c r="S688" s="7">
        <f>'1 datos preparados'!R681</f>
        <v/>
      </c>
      <c r="T688" s="7">
        <f>'1 datos preparados'!S681</f>
        <v/>
      </c>
      <c r="U688" s="7">
        <f>'1 datos preparados'!T681</f>
        <v/>
      </c>
      <c r="V688" s="8">
        <f>$AE$12+D688*$AE$13+E688*$AE$14+F688*$AE$15+G688*$AE$16+H688*$AE$17+I688*$AE$18+J688*$AE$19+K688*$AE$20+L688*$AE$21+M688*$AE$22+N688*$AE$23+O688*$AE$24+P688*$AE$25+Q688*$AE$26+R688*$AE$27+S688*$AE$28+T688*$AE$29+U688*$AE$30</f>
        <v/>
      </c>
      <c r="W688" s="8">
        <f>1/(1+EXP(-V688))</f>
        <v/>
      </c>
      <c r="X688" s="9">
        <f>-IF(C688=1,LN(W688),LN(1-W688))</f>
        <v/>
      </c>
      <c r="Y688" s="8">
        <f>'1 datos preparados'!V681</f>
        <v/>
      </c>
      <c r="Z688" s="9">
        <f>Y688*X688</f>
        <v/>
      </c>
      <c r="AA688" s="10">
        <f>IF(W688&gt;$AE$33,1,0)</f>
        <v/>
      </c>
      <c r="AB688">
        <f>IF(AA688=C688,1,0)</f>
        <v/>
      </c>
    </row>
    <row r="689">
      <c r="A689">
        <f>'1 datos preparados'!A682</f>
        <v/>
      </c>
      <c r="B689" s="5">
        <f>'1 datos preparados'!U682</f>
        <v/>
      </c>
      <c r="C689">
        <f>'1 datos preparados'!B682</f>
        <v/>
      </c>
      <c r="D689" s="7">
        <f>'1 datos preparados'!C682</f>
        <v/>
      </c>
      <c r="E689" s="7">
        <f>'1 datos preparados'!D682</f>
        <v/>
      </c>
      <c r="F689" s="7">
        <f>'1 datos preparados'!E682</f>
        <v/>
      </c>
      <c r="G689" s="7">
        <f>'1 datos preparados'!F682</f>
        <v/>
      </c>
      <c r="H689" s="7">
        <f>'1 datos preparados'!G682</f>
        <v/>
      </c>
      <c r="I689" s="7">
        <f>'1 datos preparados'!H682</f>
        <v/>
      </c>
      <c r="J689" s="7">
        <f>'1 datos preparados'!I682</f>
        <v/>
      </c>
      <c r="K689" s="7">
        <f>'1 datos preparados'!J682</f>
        <v/>
      </c>
      <c r="L689" s="7">
        <f>'1 datos preparados'!K682</f>
        <v/>
      </c>
      <c r="M689" s="7">
        <f>'1 datos preparados'!L682</f>
        <v/>
      </c>
      <c r="N689" s="7">
        <f>'1 datos preparados'!M682</f>
        <v/>
      </c>
      <c r="O689" s="7">
        <f>'1 datos preparados'!N682</f>
        <v/>
      </c>
      <c r="P689" s="7">
        <f>'1 datos preparados'!O682</f>
        <v/>
      </c>
      <c r="Q689" s="7">
        <f>'1 datos preparados'!P682</f>
        <v/>
      </c>
      <c r="R689" s="7">
        <f>'1 datos preparados'!Q682</f>
        <v/>
      </c>
      <c r="S689" s="7">
        <f>'1 datos preparados'!R682</f>
        <v/>
      </c>
      <c r="T689" s="7">
        <f>'1 datos preparados'!S682</f>
        <v/>
      </c>
      <c r="U689" s="7">
        <f>'1 datos preparados'!T682</f>
        <v/>
      </c>
      <c r="V689" s="8">
        <f>$AE$12+D689*$AE$13+E689*$AE$14+F689*$AE$15+G689*$AE$16+H689*$AE$17+I689*$AE$18+J689*$AE$19+K689*$AE$20+L689*$AE$21+M689*$AE$22+N689*$AE$23+O689*$AE$24+P689*$AE$25+Q689*$AE$26+R689*$AE$27+S689*$AE$28+T689*$AE$29+U689*$AE$30</f>
        <v/>
      </c>
      <c r="W689" s="8">
        <f>1/(1+EXP(-V689))</f>
        <v/>
      </c>
      <c r="X689" s="9">
        <f>-IF(C689=1,LN(W689),LN(1-W689))</f>
        <v/>
      </c>
      <c r="Y689" s="8">
        <f>'1 datos preparados'!V682</f>
        <v/>
      </c>
      <c r="Z689" s="9">
        <f>Y689*X689</f>
        <v/>
      </c>
      <c r="AA689" s="10">
        <f>IF(W689&gt;$AE$33,1,0)</f>
        <v/>
      </c>
      <c r="AB689">
        <f>IF(AA689=C689,1,0)</f>
        <v/>
      </c>
    </row>
    <row r="690">
      <c r="A690">
        <f>'1 datos preparados'!A683</f>
        <v/>
      </c>
      <c r="B690" s="5">
        <f>'1 datos preparados'!U683</f>
        <v/>
      </c>
      <c r="C690">
        <f>'1 datos preparados'!B683</f>
        <v/>
      </c>
      <c r="D690" s="7">
        <f>'1 datos preparados'!C683</f>
        <v/>
      </c>
      <c r="E690" s="7">
        <f>'1 datos preparados'!D683</f>
        <v/>
      </c>
      <c r="F690" s="7">
        <f>'1 datos preparados'!E683</f>
        <v/>
      </c>
      <c r="G690" s="7">
        <f>'1 datos preparados'!F683</f>
        <v/>
      </c>
      <c r="H690" s="7">
        <f>'1 datos preparados'!G683</f>
        <v/>
      </c>
      <c r="I690" s="7">
        <f>'1 datos preparados'!H683</f>
        <v/>
      </c>
      <c r="J690" s="7">
        <f>'1 datos preparados'!I683</f>
        <v/>
      </c>
      <c r="K690" s="7">
        <f>'1 datos preparados'!J683</f>
        <v/>
      </c>
      <c r="L690" s="7">
        <f>'1 datos preparados'!K683</f>
        <v/>
      </c>
      <c r="M690" s="7">
        <f>'1 datos preparados'!L683</f>
        <v/>
      </c>
      <c r="N690" s="7">
        <f>'1 datos preparados'!M683</f>
        <v/>
      </c>
      <c r="O690" s="7">
        <f>'1 datos preparados'!N683</f>
        <v/>
      </c>
      <c r="P690" s="7">
        <f>'1 datos preparados'!O683</f>
        <v/>
      </c>
      <c r="Q690" s="7">
        <f>'1 datos preparados'!P683</f>
        <v/>
      </c>
      <c r="R690" s="7">
        <f>'1 datos preparados'!Q683</f>
        <v/>
      </c>
      <c r="S690" s="7">
        <f>'1 datos preparados'!R683</f>
        <v/>
      </c>
      <c r="T690" s="7">
        <f>'1 datos preparados'!S683</f>
        <v/>
      </c>
      <c r="U690" s="7">
        <f>'1 datos preparados'!T683</f>
        <v/>
      </c>
      <c r="V690" s="8">
        <f>$AE$12+D690*$AE$13+E690*$AE$14+F690*$AE$15+G690*$AE$16+H690*$AE$17+I690*$AE$18+J690*$AE$19+K690*$AE$20+L690*$AE$21+M690*$AE$22+N690*$AE$23+O690*$AE$24+P690*$AE$25+Q690*$AE$26+R690*$AE$27+S690*$AE$28+T690*$AE$29+U690*$AE$30</f>
        <v/>
      </c>
      <c r="W690" s="8">
        <f>1/(1+EXP(-V690))</f>
        <v/>
      </c>
      <c r="X690" s="9">
        <f>-IF(C690=1,LN(W690),LN(1-W690))</f>
        <v/>
      </c>
      <c r="Y690" s="8">
        <f>'1 datos preparados'!V683</f>
        <v/>
      </c>
      <c r="Z690" s="9">
        <f>Y690*X690</f>
        <v/>
      </c>
      <c r="AA690" s="10">
        <f>IF(W690&gt;$AE$33,1,0)</f>
        <v/>
      </c>
      <c r="AB690">
        <f>IF(AA690=C690,1,0)</f>
        <v/>
      </c>
    </row>
    <row r="691">
      <c r="A691">
        <f>'1 datos preparados'!A684</f>
        <v/>
      </c>
      <c r="B691" s="5">
        <f>'1 datos preparados'!U684</f>
        <v/>
      </c>
      <c r="C691">
        <f>'1 datos preparados'!B684</f>
        <v/>
      </c>
      <c r="D691" s="7">
        <f>'1 datos preparados'!C684</f>
        <v/>
      </c>
      <c r="E691" s="7">
        <f>'1 datos preparados'!D684</f>
        <v/>
      </c>
      <c r="F691" s="7">
        <f>'1 datos preparados'!E684</f>
        <v/>
      </c>
      <c r="G691" s="7">
        <f>'1 datos preparados'!F684</f>
        <v/>
      </c>
      <c r="H691" s="7">
        <f>'1 datos preparados'!G684</f>
        <v/>
      </c>
      <c r="I691" s="7">
        <f>'1 datos preparados'!H684</f>
        <v/>
      </c>
      <c r="J691" s="7">
        <f>'1 datos preparados'!I684</f>
        <v/>
      </c>
      <c r="K691" s="7">
        <f>'1 datos preparados'!J684</f>
        <v/>
      </c>
      <c r="L691" s="7">
        <f>'1 datos preparados'!K684</f>
        <v/>
      </c>
      <c r="M691" s="7">
        <f>'1 datos preparados'!L684</f>
        <v/>
      </c>
      <c r="N691" s="7">
        <f>'1 datos preparados'!M684</f>
        <v/>
      </c>
      <c r="O691" s="7">
        <f>'1 datos preparados'!N684</f>
        <v/>
      </c>
      <c r="P691" s="7">
        <f>'1 datos preparados'!O684</f>
        <v/>
      </c>
      <c r="Q691" s="7">
        <f>'1 datos preparados'!P684</f>
        <v/>
      </c>
      <c r="R691" s="7">
        <f>'1 datos preparados'!Q684</f>
        <v/>
      </c>
      <c r="S691" s="7">
        <f>'1 datos preparados'!R684</f>
        <v/>
      </c>
      <c r="T691" s="7">
        <f>'1 datos preparados'!S684</f>
        <v/>
      </c>
      <c r="U691" s="7">
        <f>'1 datos preparados'!T684</f>
        <v/>
      </c>
      <c r="V691" s="8">
        <f>$AE$12+D691*$AE$13+E691*$AE$14+F691*$AE$15+G691*$AE$16+H691*$AE$17+I691*$AE$18+J691*$AE$19+K691*$AE$20+L691*$AE$21+M691*$AE$22+N691*$AE$23+O691*$AE$24+P691*$AE$25+Q691*$AE$26+R691*$AE$27+S691*$AE$28+T691*$AE$29+U691*$AE$30</f>
        <v/>
      </c>
      <c r="W691" s="8">
        <f>1/(1+EXP(-V691))</f>
        <v/>
      </c>
      <c r="X691" s="9">
        <f>-IF(C691=1,LN(W691),LN(1-W691))</f>
        <v/>
      </c>
      <c r="Y691" s="8">
        <f>'1 datos preparados'!V684</f>
        <v/>
      </c>
      <c r="Z691" s="9">
        <f>Y691*X691</f>
        <v/>
      </c>
      <c r="AA691" s="10">
        <f>IF(W691&gt;$AE$33,1,0)</f>
        <v/>
      </c>
      <c r="AB691">
        <f>IF(AA691=C691,1,0)</f>
        <v/>
      </c>
    </row>
    <row r="692">
      <c r="A692">
        <f>'1 datos preparados'!A685</f>
        <v/>
      </c>
      <c r="B692" s="5">
        <f>'1 datos preparados'!U685</f>
        <v/>
      </c>
      <c r="C692">
        <f>'1 datos preparados'!B685</f>
        <v/>
      </c>
      <c r="D692" s="7">
        <f>'1 datos preparados'!C685</f>
        <v/>
      </c>
      <c r="E692" s="7">
        <f>'1 datos preparados'!D685</f>
        <v/>
      </c>
      <c r="F692" s="7">
        <f>'1 datos preparados'!E685</f>
        <v/>
      </c>
      <c r="G692" s="7">
        <f>'1 datos preparados'!F685</f>
        <v/>
      </c>
      <c r="H692" s="7">
        <f>'1 datos preparados'!G685</f>
        <v/>
      </c>
      <c r="I692" s="7">
        <f>'1 datos preparados'!H685</f>
        <v/>
      </c>
      <c r="J692" s="7">
        <f>'1 datos preparados'!I685</f>
        <v/>
      </c>
      <c r="K692" s="7">
        <f>'1 datos preparados'!J685</f>
        <v/>
      </c>
      <c r="L692" s="7">
        <f>'1 datos preparados'!K685</f>
        <v/>
      </c>
      <c r="M692" s="7">
        <f>'1 datos preparados'!L685</f>
        <v/>
      </c>
      <c r="N692" s="7">
        <f>'1 datos preparados'!M685</f>
        <v/>
      </c>
      <c r="O692" s="7">
        <f>'1 datos preparados'!N685</f>
        <v/>
      </c>
      <c r="P692" s="7">
        <f>'1 datos preparados'!O685</f>
        <v/>
      </c>
      <c r="Q692" s="7">
        <f>'1 datos preparados'!P685</f>
        <v/>
      </c>
      <c r="R692" s="7">
        <f>'1 datos preparados'!Q685</f>
        <v/>
      </c>
      <c r="S692" s="7">
        <f>'1 datos preparados'!R685</f>
        <v/>
      </c>
      <c r="T692" s="7">
        <f>'1 datos preparados'!S685</f>
        <v/>
      </c>
      <c r="U692" s="7">
        <f>'1 datos preparados'!T685</f>
        <v/>
      </c>
      <c r="V692" s="8">
        <f>$AE$12+D692*$AE$13+E692*$AE$14+F692*$AE$15+G692*$AE$16+H692*$AE$17+I692*$AE$18+J692*$AE$19+K692*$AE$20+L692*$AE$21+M692*$AE$22+N692*$AE$23+O692*$AE$24+P692*$AE$25+Q692*$AE$26+R692*$AE$27+S692*$AE$28+T692*$AE$29+U692*$AE$30</f>
        <v/>
      </c>
      <c r="W692" s="8">
        <f>1/(1+EXP(-V692))</f>
        <v/>
      </c>
      <c r="X692" s="9">
        <f>-IF(C692=1,LN(W692),LN(1-W692))</f>
        <v/>
      </c>
      <c r="Y692" s="8">
        <f>'1 datos preparados'!V685</f>
        <v/>
      </c>
      <c r="Z692" s="9">
        <f>Y692*X692</f>
        <v/>
      </c>
      <c r="AA692" s="10">
        <f>IF(W692&gt;$AE$33,1,0)</f>
        <v/>
      </c>
      <c r="AB692">
        <f>IF(AA692=C692,1,0)</f>
        <v/>
      </c>
    </row>
    <row r="693">
      <c r="A693">
        <f>'1 datos preparados'!A686</f>
        <v/>
      </c>
      <c r="B693" s="5">
        <f>'1 datos preparados'!U686</f>
        <v/>
      </c>
      <c r="C693">
        <f>'1 datos preparados'!B686</f>
        <v/>
      </c>
      <c r="D693" s="7">
        <f>'1 datos preparados'!C686</f>
        <v/>
      </c>
      <c r="E693" s="7">
        <f>'1 datos preparados'!D686</f>
        <v/>
      </c>
      <c r="F693" s="7">
        <f>'1 datos preparados'!E686</f>
        <v/>
      </c>
      <c r="G693" s="7">
        <f>'1 datos preparados'!F686</f>
        <v/>
      </c>
      <c r="H693" s="7">
        <f>'1 datos preparados'!G686</f>
        <v/>
      </c>
      <c r="I693" s="7">
        <f>'1 datos preparados'!H686</f>
        <v/>
      </c>
      <c r="J693" s="7">
        <f>'1 datos preparados'!I686</f>
        <v/>
      </c>
      <c r="K693" s="7">
        <f>'1 datos preparados'!J686</f>
        <v/>
      </c>
      <c r="L693" s="7">
        <f>'1 datos preparados'!K686</f>
        <v/>
      </c>
      <c r="M693" s="7">
        <f>'1 datos preparados'!L686</f>
        <v/>
      </c>
      <c r="N693" s="7">
        <f>'1 datos preparados'!M686</f>
        <v/>
      </c>
      <c r="O693" s="7">
        <f>'1 datos preparados'!N686</f>
        <v/>
      </c>
      <c r="P693" s="7">
        <f>'1 datos preparados'!O686</f>
        <v/>
      </c>
      <c r="Q693" s="7">
        <f>'1 datos preparados'!P686</f>
        <v/>
      </c>
      <c r="R693" s="7">
        <f>'1 datos preparados'!Q686</f>
        <v/>
      </c>
      <c r="S693" s="7">
        <f>'1 datos preparados'!R686</f>
        <v/>
      </c>
      <c r="T693" s="7">
        <f>'1 datos preparados'!S686</f>
        <v/>
      </c>
      <c r="U693" s="7">
        <f>'1 datos preparados'!T686</f>
        <v/>
      </c>
      <c r="V693" s="8">
        <f>$AE$12+D693*$AE$13+E693*$AE$14+F693*$AE$15+G693*$AE$16+H693*$AE$17+I693*$AE$18+J693*$AE$19+K693*$AE$20+L693*$AE$21+M693*$AE$22+N693*$AE$23+O693*$AE$24+P693*$AE$25+Q693*$AE$26+R693*$AE$27+S693*$AE$28+T693*$AE$29+U693*$AE$30</f>
        <v/>
      </c>
      <c r="W693" s="8">
        <f>1/(1+EXP(-V693))</f>
        <v/>
      </c>
      <c r="X693" s="9">
        <f>-IF(C693=1,LN(W693),LN(1-W693))</f>
        <v/>
      </c>
      <c r="Y693" s="8">
        <f>'1 datos preparados'!V686</f>
        <v/>
      </c>
      <c r="Z693" s="9">
        <f>Y693*X693</f>
        <v/>
      </c>
      <c r="AA693" s="10">
        <f>IF(W693&gt;$AE$33,1,0)</f>
        <v/>
      </c>
      <c r="AB693">
        <f>IF(AA693=C693,1,0)</f>
        <v/>
      </c>
    </row>
    <row r="694">
      <c r="A694">
        <f>'1 datos preparados'!A687</f>
        <v/>
      </c>
      <c r="B694" s="5">
        <f>'1 datos preparados'!U687</f>
        <v/>
      </c>
      <c r="C694">
        <f>'1 datos preparados'!B687</f>
        <v/>
      </c>
      <c r="D694" s="7">
        <f>'1 datos preparados'!C687</f>
        <v/>
      </c>
      <c r="E694" s="7">
        <f>'1 datos preparados'!D687</f>
        <v/>
      </c>
      <c r="F694" s="7">
        <f>'1 datos preparados'!E687</f>
        <v/>
      </c>
      <c r="G694" s="7">
        <f>'1 datos preparados'!F687</f>
        <v/>
      </c>
      <c r="H694" s="7">
        <f>'1 datos preparados'!G687</f>
        <v/>
      </c>
      <c r="I694" s="7">
        <f>'1 datos preparados'!H687</f>
        <v/>
      </c>
      <c r="J694" s="7">
        <f>'1 datos preparados'!I687</f>
        <v/>
      </c>
      <c r="K694" s="7">
        <f>'1 datos preparados'!J687</f>
        <v/>
      </c>
      <c r="L694" s="7">
        <f>'1 datos preparados'!K687</f>
        <v/>
      </c>
      <c r="M694" s="7">
        <f>'1 datos preparados'!L687</f>
        <v/>
      </c>
      <c r="N694" s="7">
        <f>'1 datos preparados'!M687</f>
        <v/>
      </c>
      <c r="O694" s="7">
        <f>'1 datos preparados'!N687</f>
        <v/>
      </c>
      <c r="P694" s="7">
        <f>'1 datos preparados'!O687</f>
        <v/>
      </c>
      <c r="Q694" s="7">
        <f>'1 datos preparados'!P687</f>
        <v/>
      </c>
      <c r="R694" s="7">
        <f>'1 datos preparados'!Q687</f>
        <v/>
      </c>
      <c r="S694" s="7">
        <f>'1 datos preparados'!R687</f>
        <v/>
      </c>
      <c r="T694" s="7">
        <f>'1 datos preparados'!S687</f>
        <v/>
      </c>
      <c r="U694" s="7">
        <f>'1 datos preparados'!T687</f>
        <v/>
      </c>
      <c r="V694" s="8">
        <f>$AE$12+D694*$AE$13+E694*$AE$14+F694*$AE$15+G694*$AE$16+H694*$AE$17+I694*$AE$18+J694*$AE$19+K694*$AE$20+L694*$AE$21+M694*$AE$22+N694*$AE$23+O694*$AE$24+P694*$AE$25+Q694*$AE$26+R694*$AE$27+S694*$AE$28+T694*$AE$29+U694*$AE$30</f>
        <v/>
      </c>
      <c r="W694" s="8">
        <f>1/(1+EXP(-V694))</f>
        <v/>
      </c>
      <c r="X694" s="9">
        <f>-IF(C694=1,LN(W694),LN(1-W694))</f>
        <v/>
      </c>
      <c r="Y694" s="8">
        <f>'1 datos preparados'!V687</f>
        <v/>
      </c>
      <c r="Z694" s="9">
        <f>Y694*X694</f>
        <v/>
      </c>
      <c r="AA694" s="10">
        <f>IF(W694&gt;$AE$33,1,0)</f>
        <v/>
      </c>
      <c r="AB694">
        <f>IF(AA694=C694,1,0)</f>
        <v/>
      </c>
    </row>
    <row r="695">
      <c r="A695">
        <f>'1 datos preparados'!A688</f>
        <v/>
      </c>
      <c r="B695" s="5">
        <f>'1 datos preparados'!U688</f>
        <v/>
      </c>
      <c r="C695">
        <f>'1 datos preparados'!B688</f>
        <v/>
      </c>
      <c r="D695" s="7">
        <f>'1 datos preparados'!C688</f>
        <v/>
      </c>
      <c r="E695" s="7">
        <f>'1 datos preparados'!D688</f>
        <v/>
      </c>
      <c r="F695" s="7">
        <f>'1 datos preparados'!E688</f>
        <v/>
      </c>
      <c r="G695" s="7">
        <f>'1 datos preparados'!F688</f>
        <v/>
      </c>
      <c r="H695" s="7">
        <f>'1 datos preparados'!G688</f>
        <v/>
      </c>
      <c r="I695" s="7">
        <f>'1 datos preparados'!H688</f>
        <v/>
      </c>
      <c r="J695" s="7">
        <f>'1 datos preparados'!I688</f>
        <v/>
      </c>
      <c r="K695" s="7">
        <f>'1 datos preparados'!J688</f>
        <v/>
      </c>
      <c r="L695" s="7">
        <f>'1 datos preparados'!K688</f>
        <v/>
      </c>
      <c r="M695" s="7">
        <f>'1 datos preparados'!L688</f>
        <v/>
      </c>
      <c r="N695" s="7">
        <f>'1 datos preparados'!M688</f>
        <v/>
      </c>
      <c r="O695" s="7">
        <f>'1 datos preparados'!N688</f>
        <v/>
      </c>
      <c r="P695" s="7">
        <f>'1 datos preparados'!O688</f>
        <v/>
      </c>
      <c r="Q695" s="7">
        <f>'1 datos preparados'!P688</f>
        <v/>
      </c>
      <c r="R695" s="7">
        <f>'1 datos preparados'!Q688</f>
        <v/>
      </c>
      <c r="S695" s="7">
        <f>'1 datos preparados'!R688</f>
        <v/>
      </c>
      <c r="T695" s="7">
        <f>'1 datos preparados'!S688</f>
        <v/>
      </c>
      <c r="U695" s="7">
        <f>'1 datos preparados'!T688</f>
        <v/>
      </c>
      <c r="V695" s="8">
        <f>$AE$12+D695*$AE$13+E695*$AE$14+F695*$AE$15+G695*$AE$16+H695*$AE$17+I695*$AE$18+J695*$AE$19+K695*$AE$20+L695*$AE$21+M695*$AE$22+N695*$AE$23+O695*$AE$24+P695*$AE$25+Q695*$AE$26+R695*$AE$27+S695*$AE$28+T695*$AE$29+U695*$AE$30</f>
        <v/>
      </c>
      <c r="W695" s="8">
        <f>1/(1+EXP(-V695))</f>
        <v/>
      </c>
      <c r="X695" s="9">
        <f>-IF(C695=1,LN(W695),LN(1-W695))</f>
        <v/>
      </c>
      <c r="Y695" s="8">
        <f>'1 datos preparados'!V688</f>
        <v/>
      </c>
      <c r="Z695" s="9">
        <f>Y695*X695</f>
        <v/>
      </c>
      <c r="AA695" s="10">
        <f>IF(W695&gt;$AE$33,1,0)</f>
        <v/>
      </c>
      <c r="AB695">
        <f>IF(AA695=C695,1,0)</f>
        <v/>
      </c>
    </row>
    <row r="696">
      <c r="A696">
        <f>'1 datos preparados'!A689</f>
        <v/>
      </c>
      <c r="B696" s="5">
        <f>'1 datos preparados'!U689</f>
        <v/>
      </c>
      <c r="C696">
        <f>'1 datos preparados'!B689</f>
        <v/>
      </c>
      <c r="D696" s="7">
        <f>'1 datos preparados'!C689</f>
        <v/>
      </c>
      <c r="E696" s="7">
        <f>'1 datos preparados'!D689</f>
        <v/>
      </c>
      <c r="F696" s="7">
        <f>'1 datos preparados'!E689</f>
        <v/>
      </c>
      <c r="G696" s="7">
        <f>'1 datos preparados'!F689</f>
        <v/>
      </c>
      <c r="H696" s="7">
        <f>'1 datos preparados'!G689</f>
        <v/>
      </c>
      <c r="I696" s="7">
        <f>'1 datos preparados'!H689</f>
        <v/>
      </c>
      <c r="J696" s="7">
        <f>'1 datos preparados'!I689</f>
        <v/>
      </c>
      <c r="K696" s="7">
        <f>'1 datos preparados'!J689</f>
        <v/>
      </c>
      <c r="L696" s="7">
        <f>'1 datos preparados'!K689</f>
        <v/>
      </c>
      <c r="M696" s="7">
        <f>'1 datos preparados'!L689</f>
        <v/>
      </c>
      <c r="N696" s="7">
        <f>'1 datos preparados'!M689</f>
        <v/>
      </c>
      <c r="O696" s="7">
        <f>'1 datos preparados'!N689</f>
        <v/>
      </c>
      <c r="P696" s="7">
        <f>'1 datos preparados'!O689</f>
        <v/>
      </c>
      <c r="Q696" s="7">
        <f>'1 datos preparados'!P689</f>
        <v/>
      </c>
      <c r="R696" s="7">
        <f>'1 datos preparados'!Q689</f>
        <v/>
      </c>
      <c r="S696" s="7">
        <f>'1 datos preparados'!R689</f>
        <v/>
      </c>
      <c r="T696" s="7">
        <f>'1 datos preparados'!S689</f>
        <v/>
      </c>
      <c r="U696" s="7">
        <f>'1 datos preparados'!T689</f>
        <v/>
      </c>
      <c r="V696" s="8">
        <f>$AE$12+D696*$AE$13+E696*$AE$14+F696*$AE$15+G696*$AE$16+H696*$AE$17+I696*$AE$18+J696*$AE$19+K696*$AE$20+L696*$AE$21+M696*$AE$22+N696*$AE$23+O696*$AE$24+P696*$AE$25+Q696*$AE$26+R696*$AE$27+S696*$AE$28+T696*$AE$29+U696*$AE$30</f>
        <v/>
      </c>
      <c r="W696" s="8">
        <f>1/(1+EXP(-V696))</f>
        <v/>
      </c>
      <c r="X696" s="9">
        <f>-IF(C696=1,LN(W696),LN(1-W696))</f>
        <v/>
      </c>
      <c r="Y696" s="8">
        <f>'1 datos preparados'!V689</f>
        <v/>
      </c>
      <c r="Z696" s="9">
        <f>Y696*X696</f>
        <v/>
      </c>
      <c r="AA696" s="10">
        <f>IF(W696&gt;$AE$33,1,0)</f>
        <v/>
      </c>
      <c r="AB696">
        <f>IF(AA696=C696,1,0)</f>
        <v/>
      </c>
    </row>
    <row r="697">
      <c r="A697">
        <f>'1 datos preparados'!A690</f>
        <v/>
      </c>
      <c r="B697" s="5">
        <f>'1 datos preparados'!U690</f>
        <v/>
      </c>
      <c r="C697">
        <f>'1 datos preparados'!B690</f>
        <v/>
      </c>
      <c r="D697" s="7">
        <f>'1 datos preparados'!C690</f>
        <v/>
      </c>
      <c r="E697" s="7">
        <f>'1 datos preparados'!D690</f>
        <v/>
      </c>
      <c r="F697" s="7">
        <f>'1 datos preparados'!E690</f>
        <v/>
      </c>
      <c r="G697" s="7">
        <f>'1 datos preparados'!F690</f>
        <v/>
      </c>
      <c r="H697" s="7">
        <f>'1 datos preparados'!G690</f>
        <v/>
      </c>
      <c r="I697" s="7">
        <f>'1 datos preparados'!H690</f>
        <v/>
      </c>
      <c r="J697" s="7">
        <f>'1 datos preparados'!I690</f>
        <v/>
      </c>
      <c r="K697" s="7">
        <f>'1 datos preparados'!J690</f>
        <v/>
      </c>
      <c r="L697" s="7">
        <f>'1 datos preparados'!K690</f>
        <v/>
      </c>
      <c r="M697" s="7">
        <f>'1 datos preparados'!L690</f>
        <v/>
      </c>
      <c r="N697" s="7">
        <f>'1 datos preparados'!M690</f>
        <v/>
      </c>
      <c r="O697" s="7">
        <f>'1 datos preparados'!N690</f>
        <v/>
      </c>
      <c r="P697" s="7">
        <f>'1 datos preparados'!O690</f>
        <v/>
      </c>
      <c r="Q697" s="7">
        <f>'1 datos preparados'!P690</f>
        <v/>
      </c>
      <c r="R697" s="7">
        <f>'1 datos preparados'!Q690</f>
        <v/>
      </c>
      <c r="S697" s="7">
        <f>'1 datos preparados'!R690</f>
        <v/>
      </c>
      <c r="T697" s="7">
        <f>'1 datos preparados'!S690</f>
        <v/>
      </c>
      <c r="U697" s="7">
        <f>'1 datos preparados'!T690</f>
        <v/>
      </c>
      <c r="V697" s="8">
        <f>$AE$12+D697*$AE$13+E697*$AE$14+F697*$AE$15+G697*$AE$16+H697*$AE$17+I697*$AE$18+J697*$AE$19+K697*$AE$20+L697*$AE$21+M697*$AE$22+N697*$AE$23+O697*$AE$24+P697*$AE$25+Q697*$AE$26+R697*$AE$27+S697*$AE$28+T697*$AE$29+U697*$AE$30</f>
        <v/>
      </c>
      <c r="W697" s="8">
        <f>1/(1+EXP(-V697))</f>
        <v/>
      </c>
      <c r="X697" s="9">
        <f>-IF(C697=1,LN(W697),LN(1-W697))</f>
        <v/>
      </c>
      <c r="Y697" s="8">
        <f>'1 datos preparados'!V690</f>
        <v/>
      </c>
      <c r="Z697" s="9">
        <f>Y697*X697</f>
        <v/>
      </c>
      <c r="AA697" s="10">
        <f>IF(W697&gt;$AE$33,1,0)</f>
        <v/>
      </c>
      <c r="AB697">
        <f>IF(AA697=C697,1,0)</f>
        <v/>
      </c>
    </row>
    <row r="698">
      <c r="A698">
        <f>'1 datos preparados'!A691</f>
        <v/>
      </c>
      <c r="B698" s="5">
        <f>'1 datos preparados'!U691</f>
        <v/>
      </c>
      <c r="C698">
        <f>'1 datos preparados'!B691</f>
        <v/>
      </c>
      <c r="D698" s="7">
        <f>'1 datos preparados'!C691</f>
        <v/>
      </c>
      <c r="E698" s="7">
        <f>'1 datos preparados'!D691</f>
        <v/>
      </c>
      <c r="F698" s="7">
        <f>'1 datos preparados'!E691</f>
        <v/>
      </c>
      <c r="G698" s="7">
        <f>'1 datos preparados'!F691</f>
        <v/>
      </c>
      <c r="H698" s="7">
        <f>'1 datos preparados'!G691</f>
        <v/>
      </c>
      <c r="I698" s="7">
        <f>'1 datos preparados'!H691</f>
        <v/>
      </c>
      <c r="J698" s="7">
        <f>'1 datos preparados'!I691</f>
        <v/>
      </c>
      <c r="K698" s="7">
        <f>'1 datos preparados'!J691</f>
        <v/>
      </c>
      <c r="L698" s="7">
        <f>'1 datos preparados'!K691</f>
        <v/>
      </c>
      <c r="M698" s="7">
        <f>'1 datos preparados'!L691</f>
        <v/>
      </c>
      <c r="N698" s="7">
        <f>'1 datos preparados'!M691</f>
        <v/>
      </c>
      <c r="O698" s="7">
        <f>'1 datos preparados'!N691</f>
        <v/>
      </c>
      <c r="P698" s="7">
        <f>'1 datos preparados'!O691</f>
        <v/>
      </c>
      <c r="Q698" s="7">
        <f>'1 datos preparados'!P691</f>
        <v/>
      </c>
      <c r="R698" s="7">
        <f>'1 datos preparados'!Q691</f>
        <v/>
      </c>
      <c r="S698" s="7">
        <f>'1 datos preparados'!R691</f>
        <v/>
      </c>
      <c r="T698" s="7">
        <f>'1 datos preparados'!S691</f>
        <v/>
      </c>
      <c r="U698" s="7">
        <f>'1 datos preparados'!T691</f>
        <v/>
      </c>
      <c r="V698" s="8">
        <f>$AE$12+D698*$AE$13+E698*$AE$14+F698*$AE$15+G698*$AE$16+H698*$AE$17+I698*$AE$18+J698*$AE$19+K698*$AE$20+L698*$AE$21+M698*$AE$22+N698*$AE$23+O698*$AE$24+P698*$AE$25+Q698*$AE$26+R698*$AE$27+S698*$AE$28+T698*$AE$29+U698*$AE$30</f>
        <v/>
      </c>
      <c r="W698" s="8">
        <f>1/(1+EXP(-V698))</f>
        <v/>
      </c>
      <c r="X698" s="9">
        <f>-IF(C698=1,LN(W698),LN(1-W698))</f>
        <v/>
      </c>
      <c r="Y698" s="8">
        <f>'1 datos preparados'!V691</f>
        <v/>
      </c>
      <c r="Z698" s="9">
        <f>Y698*X698</f>
        <v/>
      </c>
      <c r="AA698" s="10">
        <f>IF(W698&gt;$AE$33,1,0)</f>
        <v/>
      </c>
      <c r="AB698">
        <f>IF(AA698=C698,1,0)</f>
        <v/>
      </c>
    </row>
    <row r="699">
      <c r="A699">
        <f>'1 datos preparados'!A692</f>
        <v/>
      </c>
      <c r="B699" s="5">
        <f>'1 datos preparados'!U692</f>
        <v/>
      </c>
      <c r="C699">
        <f>'1 datos preparados'!B692</f>
        <v/>
      </c>
      <c r="D699" s="7">
        <f>'1 datos preparados'!C692</f>
        <v/>
      </c>
      <c r="E699" s="7">
        <f>'1 datos preparados'!D692</f>
        <v/>
      </c>
      <c r="F699" s="7">
        <f>'1 datos preparados'!E692</f>
        <v/>
      </c>
      <c r="G699" s="7">
        <f>'1 datos preparados'!F692</f>
        <v/>
      </c>
      <c r="H699" s="7">
        <f>'1 datos preparados'!G692</f>
        <v/>
      </c>
      <c r="I699" s="7">
        <f>'1 datos preparados'!H692</f>
        <v/>
      </c>
      <c r="J699" s="7">
        <f>'1 datos preparados'!I692</f>
        <v/>
      </c>
      <c r="K699" s="7">
        <f>'1 datos preparados'!J692</f>
        <v/>
      </c>
      <c r="L699" s="7">
        <f>'1 datos preparados'!K692</f>
        <v/>
      </c>
      <c r="M699" s="7">
        <f>'1 datos preparados'!L692</f>
        <v/>
      </c>
      <c r="N699" s="7">
        <f>'1 datos preparados'!M692</f>
        <v/>
      </c>
      <c r="O699" s="7">
        <f>'1 datos preparados'!N692</f>
        <v/>
      </c>
      <c r="P699" s="7">
        <f>'1 datos preparados'!O692</f>
        <v/>
      </c>
      <c r="Q699" s="7">
        <f>'1 datos preparados'!P692</f>
        <v/>
      </c>
      <c r="R699" s="7">
        <f>'1 datos preparados'!Q692</f>
        <v/>
      </c>
      <c r="S699" s="7">
        <f>'1 datos preparados'!R692</f>
        <v/>
      </c>
      <c r="T699" s="7">
        <f>'1 datos preparados'!S692</f>
        <v/>
      </c>
      <c r="U699" s="7">
        <f>'1 datos preparados'!T692</f>
        <v/>
      </c>
      <c r="V699" s="8">
        <f>$AE$12+D699*$AE$13+E699*$AE$14+F699*$AE$15+G699*$AE$16+H699*$AE$17+I699*$AE$18+J699*$AE$19+K699*$AE$20+L699*$AE$21+M699*$AE$22+N699*$AE$23+O699*$AE$24+P699*$AE$25+Q699*$AE$26+R699*$AE$27+S699*$AE$28+T699*$AE$29+U699*$AE$30</f>
        <v/>
      </c>
      <c r="W699" s="8">
        <f>1/(1+EXP(-V699))</f>
        <v/>
      </c>
      <c r="X699" s="9">
        <f>-IF(C699=1,LN(W699),LN(1-W699))</f>
        <v/>
      </c>
      <c r="Y699" s="8">
        <f>'1 datos preparados'!V692</f>
        <v/>
      </c>
      <c r="Z699" s="9">
        <f>Y699*X699</f>
        <v/>
      </c>
      <c r="AA699" s="10">
        <f>IF(W699&gt;$AE$33,1,0)</f>
        <v/>
      </c>
      <c r="AB699">
        <f>IF(AA699=C699,1,0)</f>
        <v/>
      </c>
    </row>
    <row r="700">
      <c r="A700">
        <f>'1 datos preparados'!A693</f>
        <v/>
      </c>
      <c r="B700" s="5">
        <f>'1 datos preparados'!U693</f>
        <v/>
      </c>
      <c r="C700">
        <f>'1 datos preparados'!B693</f>
        <v/>
      </c>
      <c r="D700" s="7">
        <f>'1 datos preparados'!C693</f>
        <v/>
      </c>
      <c r="E700" s="7">
        <f>'1 datos preparados'!D693</f>
        <v/>
      </c>
      <c r="F700" s="7">
        <f>'1 datos preparados'!E693</f>
        <v/>
      </c>
      <c r="G700" s="7">
        <f>'1 datos preparados'!F693</f>
        <v/>
      </c>
      <c r="H700" s="7">
        <f>'1 datos preparados'!G693</f>
        <v/>
      </c>
      <c r="I700" s="7">
        <f>'1 datos preparados'!H693</f>
        <v/>
      </c>
      <c r="J700" s="7">
        <f>'1 datos preparados'!I693</f>
        <v/>
      </c>
      <c r="K700" s="7">
        <f>'1 datos preparados'!J693</f>
        <v/>
      </c>
      <c r="L700" s="7">
        <f>'1 datos preparados'!K693</f>
        <v/>
      </c>
      <c r="M700" s="7">
        <f>'1 datos preparados'!L693</f>
        <v/>
      </c>
      <c r="N700" s="7">
        <f>'1 datos preparados'!M693</f>
        <v/>
      </c>
      <c r="O700" s="7">
        <f>'1 datos preparados'!N693</f>
        <v/>
      </c>
      <c r="P700" s="7">
        <f>'1 datos preparados'!O693</f>
        <v/>
      </c>
      <c r="Q700" s="7">
        <f>'1 datos preparados'!P693</f>
        <v/>
      </c>
      <c r="R700" s="7">
        <f>'1 datos preparados'!Q693</f>
        <v/>
      </c>
      <c r="S700" s="7">
        <f>'1 datos preparados'!R693</f>
        <v/>
      </c>
      <c r="T700" s="7">
        <f>'1 datos preparados'!S693</f>
        <v/>
      </c>
      <c r="U700" s="7">
        <f>'1 datos preparados'!T693</f>
        <v/>
      </c>
      <c r="V700" s="8">
        <f>$AE$12+D700*$AE$13+E700*$AE$14+F700*$AE$15+G700*$AE$16+H700*$AE$17+I700*$AE$18+J700*$AE$19+K700*$AE$20+L700*$AE$21+M700*$AE$22+N700*$AE$23+O700*$AE$24+P700*$AE$25+Q700*$AE$26+R700*$AE$27+S700*$AE$28+T700*$AE$29+U700*$AE$30</f>
        <v/>
      </c>
      <c r="W700" s="8">
        <f>1/(1+EXP(-V700))</f>
        <v/>
      </c>
      <c r="X700" s="9">
        <f>-IF(C700=1,LN(W700),LN(1-W700))</f>
        <v/>
      </c>
      <c r="Y700" s="8">
        <f>'1 datos preparados'!V693</f>
        <v/>
      </c>
      <c r="Z700" s="9">
        <f>Y700*X700</f>
        <v/>
      </c>
      <c r="AA700" s="10">
        <f>IF(W700&gt;$AE$33,1,0)</f>
        <v/>
      </c>
      <c r="AB700">
        <f>IF(AA700=C700,1,0)</f>
        <v/>
      </c>
    </row>
    <row r="701">
      <c r="A701">
        <f>'1 datos preparados'!A694</f>
        <v/>
      </c>
      <c r="B701" s="5">
        <f>'1 datos preparados'!U694</f>
        <v/>
      </c>
      <c r="C701">
        <f>'1 datos preparados'!B694</f>
        <v/>
      </c>
      <c r="D701" s="7">
        <f>'1 datos preparados'!C694</f>
        <v/>
      </c>
      <c r="E701" s="7">
        <f>'1 datos preparados'!D694</f>
        <v/>
      </c>
      <c r="F701" s="7">
        <f>'1 datos preparados'!E694</f>
        <v/>
      </c>
      <c r="G701" s="7">
        <f>'1 datos preparados'!F694</f>
        <v/>
      </c>
      <c r="H701" s="7">
        <f>'1 datos preparados'!G694</f>
        <v/>
      </c>
      <c r="I701" s="7">
        <f>'1 datos preparados'!H694</f>
        <v/>
      </c>
      <c r="J701" s="7">
        <f>'1 datos preparados'!I694</f>
        <v/>
      </c>
      <c r="K701" s="7">
        <f>'1 datos preparados'!J694</f>
        <v/>
      </c>
      <c r="L701" s="7">
        <f>'1 datos preparados'!K694</f>
        <v/>
      </c>
      <c r="M701" s="7">
        <f>'1 datos preparados'!L694</f>
        <v/>
      </c>
      <c r="N701" s="7">
        <f>'1 datos preparados'!M694</f>
        <v/>
      </c>
      <c r="O701" s="7">
        <f>'1 datos preparados'!N694</f>
        <v/>
      </c>
      <c r="P701" s="7">
        <f>'1 datos preparados'!O694</f>
        <v/>
      </c>
      <c r="Q701" s="7">
        <f>'1 datos preparados'!P694</f>
        <v/>
      </c>
      <c r="R701" s="7">
        <f>'1 datos preparados'!Q694</f>
        <v/>
      </c>
      <c r="S701" s="7">
        <f>'1 datos preparados'!R694</f>
        <v/>
      </c>
      <c r="T701" s="7">
        <f>'1 datos preparados'!S694</f>
        <v/>
      </c>
      <c r="U701" s="7">
        <f>'1 datos preparados'!T694</f>
        <v/>
      </c>
      <c r="V701" s="8">
        <f>$AE$12+D701*$AE$13+E701*$AE$14+F701*$AE$15+G701*$AE$16+H701*$AE$17+I701*$AE$18+J701*$AE$19+K701*$AE$20+L701*$AE$21+M701*$AE$22+N701*$AE$23+O701*$AE$24+P701*$AE$25+Q701*$AE$26+R701*$AE$27+S701*$AE$28+T701*$AE$29+U701*$AE$30</f>
        <v/>
      </c>
      <c r="W701" s="8">
        <f>1/(1+EXP(-V701))</f>
        <v/>
      </c>
      <c r="X701" s="9">
        <f>-IF(C701=1,LN(W701),LN(1-W701))</f>
        <v/>
      </c>
      <c r="Y701" s="8">
        <f>'1 datos preparados'!V694</f>
        <v/>
      </c>
      <c r="Z701" s="9">
        <f>Y701*X701</f>
        <v/>
      </c>
      <c r="AA701" s="10">
        <f>IF(W701&gt;$AE$33,1,0)</f>
        <v/>
      </c>
      <c r="AB701">
        <f>IF(AA701=C701,1,0)</f>
        <v/>
      </c>
    </row>
    <row r="702">
      <c r="A702">
        <f>'1 datos preparados'!A695</f>
        <v/>
      </c>
      <c r="B702" s="5">
        <f>'1 datos preparados'!U695</f>
        <v/>
      </c>
      <c r="C702">
        <f>'1 datos preparados'!B695</f>
        <v/>
      </c>
      <c r="D702" s="7">
        <f>'1 datos preparados'!C695</f>
        <v/>
      </c>
      <c r="E702" s="7">
        <f>'1 datos preparados'!D695</f>
        <v/>
      </c>
      <c r="F702" s="7">
        <f>'1 datos preparados'!E695</f>
        <v/>
      </c>
      <c r="G702" s="7">
        <f>'1 datos preparados'!F695</f>
        <v/>
      </c>
      <c r="H702" s="7">
        <f>'1 datos preparados'!G695</f>
        <v/>
      </c>
      <c r="I702" s="7">
        <f>'1 datos preparados'!H695</f>
        <v/>
      </c>
      <c r="J702" s="7">
        <f>'1 datos preparados'!I695</f>
        <v/>
      </c>
      <c r="K702" s="7">
        <f>'1 datos preparados'!J695</f>
        <v/>
      </c>
      <c r="L702" s="7">
        <f>'1 datos preparados'!K695</f>
        <v/>
      </c>
      <c r="M702" s="7">
        <f>'1 datos preparados'!L695</f>
        <v/>
      </c>
      <c r="N702" s="7">
        <f>'1 datos preparados'!M695</f>
        <v/>
      </c>
      <c r="O702" s="7">
        <f>'1 datos preparados'!N695</f>
        <v/>
      </c>
      <c r="P702" s="7">
        <f>'1 datos preparados'!O695</f>
        <v/>
      </c>
      <c r="Q702" s="7">
        <f>'1 datos preparados'!P695</f>
        <v/>
      </c>
      <c r="R702" s="7">
        <f>'1 datos preparados'!Q695</f>
        <v/>
      </c>
      <c r="S702" s="7">
        <f>'1 datos preparados'!R695</f>
        <v/>
      </c>
      <c r="T702" s="7">
        <f>'1 datos preparados'!S695</f>
        <v/>
      </c>
      <c r="U702" s="7">
        <f>'1 datos preparados'!T695</f>
        <v/>
      </c>
      <c r="V702" s="8">
        <f>$AE$12+D702*$AE$13+E702*$AE$14+F702*$AE$15+G702*$AE$16+H702*$AE$17+I702*$AE$18+J702*$AE$19+K702*$AE$20+L702*$AE$21+M702*$AE$22+N702*$AE$23+O702*$AE$24+P702*$AE$25+Q702*$AE$26+R702*$AE$27+S702*$AE$28+T702*$AE$29+U702*$AE$30</f>
        <v/>
      </c>
      <c r="W702" s="8">
        <f>1/(1+EXP(-V702))</f>
        <v/>
      </c>
      <c r="X702" s="9">
        <f>-IF(C702=1,LN(W702),LN(1-W702))</f>
        <v/>
      </c>
      <c r="Y702" s="8">
        <f>'1 datos preparados'!V695</f>
        <v/>
      </c>
      <c r="Z702" s="9">
        <f>Y702*X702</f>
        <v/>
      </c>
      <c r="AA702" s="10">
        <f>IF(W702&gt;$AE$33,1,0)</f>
        <v/>
      </c>
      <c r="AB702">
        <f>IF(AA702=C702,1,0)</f>
        <v/>
      </c>
    </row>
    <row r="703">
      <c r="A703">
        <f>'1 datos preparados'!A696</f>
        <v/>
      </c>
      <c r="B703" s="5">
        <f>'1 datos preparados'!U696</f>
        <v/>
      </c>
      <c r="C703">
        <f>'1 datos preparados'!B696</f>
        <v/>
      </c>
      <c r="D703" s="7">
        <f>'1 datos preparados'!C696</f>
        <v/>
      </c>
      <c r="E703" s="7">
        <f>'1 datos preparados'!D696</f>
        <v/>
      </c>
      <c r="F703" s="7">
        <f>'1 datos preparados'!E696</f>
        <v/>
      </c>
      <c r="G703" s="7">
        <f>'1 datos preparados'!F696</f>
        <v/>
      </c>
      <c r="H703" s="7">
        <f>'1 datos preparados'!G696</f>
        <v/>
      </c>
      <c r="I703" s="7">
        <f>'1 datos preparados'!H696</f>
        <v/>
      </c>
      <c r="J703" s="7">
        <f>'1 datos preparados'!I696</f>
        <v/>
      </c>
      <c r="K703" s="7">
        <f>'1 datos preparados'!J696</f>
        <v/>
      </c>
      <c r="L703" s="7">
        <f>'1 datos preparados'!K696</f>
        <v/>
      </c>
      <c r="M703" s="7">
        <f>'1 datos preparados'!L696</f>
        <v/>
      </c>
      <c r="N703" s="7">
        <f>'1 datos preparados'!M696</f>
        <v/>
      </c>
      <c r="O703" s="7">
        <f>'1 datos preparados'!N696</f>
        <v/>
      </c>
      <c r="P703" s="7">
        <f>'1 datos preparados'!O696</f>
        <v/>
      </c>
      <c r="Q703" s="7">
        <f>'1 datos preparados'!P696</f>
        <v/>
      </c>
      <c r="R703" s="7">
        <f>'1 datos preparados'!Q696</f>
        <v/>
      </c>
      <c r="S703" s="7">
        <f>'1 datos preparados'!R696</f>
        <v/>
      </c>
      <c r="T703" s="7">
        <f>'1 datos preparados'!S696</f>
        <v/>
      </c>
      <c r="U703" s="7">
        <f>'1 datos preparados'!T696</f>
        <v/>
      </c>
      <c r="V703" s="8">
        <f>$AE$12+D703*$AE$13+E703*$AE$14+F703*$AE$15+G703*$AE$16+H703*$AE$17+I703*$AE$18+J703*$AE$19+K703*$AE$20+L703*$AE$21+M703*$AE$22+N703*$AE$23+O703*$AE$24+P703*$AE$25+Q703*$AE$26+R703*$AE$27+S703*$AE$28+T703*$AE$29+U703*$AE$30</f>
        <v/>
      </c>
      <c r="W703" s="8">
        <f>1/(1+EXP(-V703))</f>
        <v/>
      </c>
      <c r="X703" s="9">
        <f>-IF(C703=1,LN(W703),LN(1-W703))</f>
        <v/>
      </c>
      <c r="Y703" s="8">
        <f>'1 datos preparados'!V696</f>
        <v/>
      </c>
      <c r="Z703" s="9">
        <f>Y703*X703</f>
        <v/>
      </c>
      <c r="AA703" s="10">
        <f>IF(W703&gt;$AE$33,1,0)</f>
        <v/>
      </c>
      <c r="AB703">
        <f>IF(AA703=C703,1,0)</f>
        <v/>
      </c>
    </row>
    <row r="704">
      <c r="A704">
        <f>'1 datos preparados'!A697</f>
        <v/>
      </c>
      <c r="B704" s="5">
        <f>'1 datos preparados'!U697</f>
        <v/>
      </c>
      <c r="C704">
        <f>'1 datos preparados'!B697</f>
        <v/>
      </c>
      <c r="D704" s="7">
        <f>'1 datos preparados'!C697</f>
        <v/>
      </c>
      <c r="E704" s="7">
        <f>'1 datos preparados'!D697</f>
        <v/>
      </c>
      <c r="F704" s="7">
        <f>'1 datos preparados'!E697</f>
        <v/>
      </c>
      <c r="G704" s="7">
        <f>'1 datos preparados'!F697</f>
        <v/>
      </c>
      <c r="H704" s="7">
        <f>'1 datos preparados'!G697</f>
        <v/>
      </c>
      <c r="I704" s="7">
        <f>'1 datos preparados'!H697</f>
        <v/>
      </c>
      <c r="J704" s="7">
        <f>'1 datos preparados'!I697</f>
        <v/>
      </c>
      <c r="K704" s="7">
        <f>'1 datos preparados'!J697</f>
        <v/>
      </c>
      <c r="L704" s="7">
        <f>'1 datos preparados'!K697</f>
        <v/>
      </c>
      <c r="M704" s="7">
        <f>'1 datos preparados'!L697</f>
        <v/>
      </c>
      <c r="N704" s="7">
        <f>'1 datos preparados'!M697</f>
        <v/>
      </c>
      <c r="O704" s="7">
        <f>'1 datos preparados'!N697</f>
        <v/>
      </c>
      <c r="P704" s="7">
        <f>'1 datos preparados'!O697</f>
        <v/>
      </c>
      <c r="Q704" s="7">
        <f>'1 datos preparados'!P697</f>
        <v/>
      </c>
      <c r="R704" s="7">
        <f>'1 datos preparados'!Q697</f>
        <v/>
      </c>
      <c r="S704" s="7">
        <f>'1 datos preparados'!R697</f>
        <v/>
      </c>
      <c r="T704" s="7">
        <f>'1 datos preparados'!S697</f>
        <v/>
      </c>
      <c r="U704" s="7">
        <f>'1 datos preparados'!T697</f>
        <v/>
      </c>
      <c r="V704" s="8">
        <f>$AE$12+D704*$AE$13+E704*$AE$14+F704*$AE$15+G704*$AE$16+H704*$AE$17+I704*$AE$18+J704*$AE$19+K704*$AE$20+L704*$AE$21+M704*$AE$22+N704*$AE$23+O704*$AE$24+P704*$AE$25+Q704*$AE$26+R704*$AE$27+S704*$AE$28+T704*$AE$29+U704*$AE$30</f>
        <v/>
      </c>
      <c r="W704" s="8">
        <f>1/(1+EXP(-V704))</f>
        <v/>
      </c>
      <c r="X704" s="9">
        <f>-IF(C704=1,LN(W704),LN(1-W704))</f>
        <v/>
      </c>
      <c r="Y704" s="8">
        <f>'1 datos preparados'!V697</f>
        <v/>
      </c>
      <c r="Z704" s="9">
        <f>Y704*X704</f>
        <v/>
      </c>
      <c r="AA704" s="10">
        <f>IF(W704&gt;$AE$33,1,0)</f>
        <v/>
      </c>
      <c r="AB704">
        <f>IF(AA704=C704,1,0)</f>
        <v/>
      </c>
    </row>
    <row r="705">
      <c r="A705">
        <f>'1 datos preparados'!A698</f>
        <v/>
      </c>
      <c r="B705" s="5">
        <f>'1 datos preparados'!U698</f>
        <v/>
      </c>
      <c r="C705">
        <f>'1 datos preparados'!B698</f>
        <v/>
      </c>
      <c r="D705" s="7">
        <f>'1 datos preparados'!C698</f>
        <v/>
      </c>
      <c r="E705" s="7">
        <f>'1 datos preparados'!D698</f>
        <v/>
      </c>
      <c r="F705" s="7">
        <f>'1 datos preparados'!E698</f>
        <v/>
      </c>
      <c r="G705" s="7">
        <f>'1 datos preparados'!F698</f>
        <v/>
      </c>
      <c r="H705" s="7">
        <f>'1 datos preparados'!G698</f>
        <v/>
      </c>
      <c r="I705" s="7">
        <f>'1 datos preparados'!H698</f>
        <v/>
      </c>
      <c r="J705" s="7">
        <f>'1 datos preparados'!I698</f>
        <v/>
      </c>
      <c r="K705" s="7">
        <f>'1 datos preparados'!J698</f>
        <v/>
      </c>
      <c r="L705" s="7">
        <f>'1 datos preparados'!K698</f>
        <v/>
      </c>
      <c r="M705" s="7">
        <f>'1 datos preparados'!L698</f>
        <v/>
      </c>
      <c r="N705" s="7">
        <f>'1 datos preparados'!M698</f>
        <v/>
      </c>
      <c r="O705" s="7">
        <f>'1 datos preparados'!N698</f>
        <v/>
      </c>
      <c r="P705" s="7">
        <f>'1 datos preparados'!O698</f>
        <v/>
      </c>
      <c r="Q705" s="7">
        <f>'1 datos preparados'!P698</f>
        <v/>
      </c>
      <c r="R705" s="7">
        <f>'1 datos preparados'!Q698</f>
        <v/>
      </c>
      <c r="S705" s="7">
        <f>'1 datos preparados'!R698</f>
        <v/>
      </c>
      <c r="T705" s="7">
        <f>'1 datos preparados'!S698</f>
        <v/>
      </c>
      <c r="U705" s="7">
        <f>'1 datos preparados'!T698</f>
        <v/>
      </c>
      <c r="V705" s="8">
        <f>$AE$12+D705*$AE$13+E705*$AE$14+F705*$AE$15+G705*$AE$16+H705*$AE$17+I705*$AE$18+J705*$AE$19+K705*$AE$20+L705*$AE$21+M705*$AE$22+N705*$AE$23+O705*$AE$24+P705*$AE$25+Q705*$AE$26+R705*$AE$27+S705*$AE$28+T705*$AE$29+U705*$AE$30</f>
        <v/>
      </c>
      <c r="W705" s="8">
        <f>1/(1+EXP(-V705))</f>
        <v/>
      </c>
      <c r="X705" s="9">
        <f>-IF(C705=1,LN(W705),LN(1-W705))</f>
        <v/>
      </c>
      <c r="Y705" s="8">
        <f>'1 datos preparados'!V698</f>
        <v/>
      </c>
      <c r="Z705" s="9">
        <f>Y705*X705</f>
        <v/>
      </c>
      <c r="AA705" s="10">
        <f>IF(W705&gt;$AE$33,1,0)</f>
        <v/>
      </c>
      <c r="AB705">
        <f>IF(AA705=C705,1,0)</f>
        <v/>
      </c>
    </row>
    <row r="706">
      <c r="A706">
        <f>'1 datos preparados'!A699</f>
        <v/>
      </c>
      <c r="B706" s="5">
        <f>'1 datos preparados'!U699</f>
        <v/>
      </c>
      <c r="C706">
        <f>'1 datos preparados'!B699</f>
        <v/>
      </c>
      <c r="D706" s="7">
        <f>'1 datos preparados'!C699</f>
        <v/>
      </c>
      <c r="E706" s="7">
        <f>'1 datos preparados'!D699</f>
        <v/>
      </c>
      <c r="F706" s="7">
        <f>'1 datos preparados'!E699</f>
        <v/>
      </c>
      <c r="G706" s="7">
        <f>'1 datos preparados'!F699</f>
        <v/>
      </c>
      <c r="H706" s="7">
        <f>'1 datos preparados'!G699</f>
        <v/>
      </c>
      <c r="I706" s="7">
        <f>'1 datos preparados'!H699</f>
        <v/>
      </c>
      <c r="J706" s="7">
        <f>'1 datos preparados'!I699</f>
        <v/>
      </c>
      <c r="K706" s="7">
        <f>'1 datos preparados'!J699</f>
        <v/>
      </c>
      <c r="L706" s="7">
        <f>'1 datos preparados'!K699</f>
        <v/>
      </c>
      <c r="M706" s="7">
        <f>'1 datos preparados'!L699</f>
        <v/>
      </c>
      <c r="N706" s="7">
        <f>'1 datos preparados'!M699</f>
        <v/>
      </c>
      <c r="O706" s="7">
        <f>'1 datos preparados'!N699</f>
        <v/>
      </c>
      <c r="P706" s="7">
        <f>'1 datos preparados'!O699</f>
        <v/>
      </c>
      <c r="Q706" s="7">
        <f>'1 datos preparados'!P699</f>
        <v/>
      </c>
      <c r="R706" s="7">
        <f>'1 datos preparados'!Q699</f>
        <v/>
      </c>
      <c r="S706" s="7">
        <f>'1 datos preparados'!R699</f>
        <v/>
      </c>
      <c r="T706" s="7">
        <f>'1 datos preparados'!S699</f>
        <v/>
      </c>
      <c r="U706" s="7">
        <f>'1 datos preparados'!T699</f>
        <v/>
      </c>
      <c r="V706" s="8">
        <f>$AE$12+D706*$AE$13+E706*$AE$14+F706*$AE$15+G706*$AE$16+H706*$AE$17+I706*$AE$18+J706*$AE$19+K706*$AE$20+L706*$AE$21+M706*$AE$22+N706*$AE$23+O706*$AE$24+P706*$AE$25+Q706*$AE$26+R706*$AE$27+S706*$AE$28+T706*$AE$29+U706*$AE$30</f>
        <v/>
      </c>
      <c r="W706" s="8">
        <f>1/(1+EXP(-V706))</f>
        <v/>
      </c>
      <c r="X706" s="9">
        <f>-IF(C706=1,LN(W706),LN(1-W706))</f>
        <v/>
      </c>
      <c r="Y706" s="8">
        <f>'1 datos preparados'!V699</f>
        <v/>
      </c>
      <c r="Z706" s="9">
        <f>Y706*X706</f>
        <v/>
      </c>
      <c r="AA706" s="10">
        <f>IF(W706&gt;$AE$33,1,0)</f>
        <v/>
      </c>
      <c r="AB706">
        <f>IF(AA706=C706,1,0)</f>
        <v/>
      </c>
    </row>
    <row r="707">
      <c r="A707">
        <f>'1 datos preparados'!A700</f>
        <v/>
      </c>
      <c r="B707" s="5">
        <f>'1 datos preparados'!U700</f>
        <v/>
      </c>
      <c r="C707">
        <f>'1 datos preparados'!B700</f>
        <v/>
      </c>
      <c r="D707" s="7">
        <f>'1 datos preparados'!C700</f>
        <v/>
      </c>
      <c r="E707" s="7">
        <f>'1 datos preparados'!D700</f>
        <v/>
      </c>
      <c r="F707" s="7">
        <f>'1 datos preparados'!E700</f>
        <v/>
      </c>
      <c r="G707" s="7">
        <f>'1 datos preparados'!F700</f>
        <v/>
      </c>
      <c r="H707" s="7">
        <f>'1 datos preparados'!G700</f>
        <v/>
      </c>
      <c r="I707" s="7">
        <f>'1 datos preparados'!H700</f>
        <v/>
      </c>
      <c r="J707" s="7">
        <f>'1 datos preparados'!I700</f>
        <v/>
      </c>
      <c r="K707" s="7">
        <f>'1 datos preparados'!J700</f>
        <v/>
      </c>
      <c r="L707" s="7">
        <f>'1 datos preparados'!K700</f>
        <v/>
      </c>
      <c r="M707" s="7">
        <f>'1 datos preparados'!L700</f>
        <v/>
      </c>
      <c r="N707" s="7">
        <f>'1 datos preparados'!M700</f>
        <v/>
      </c>
      <c r="O707" s="7">
        <f>'1 datos preparados'!N700</f>
        <v/>
      </c>
      <c r="P707" s="7">
        <f>'1 datos preparados'!O700</f>
        <v/>
      </c>
      <c r="Q707" s="7">
        <f>'1 datos preparados'!P700</f>
        <v/>
      </c>
      <c r="R707" s="7">
        <f>'1 datos preparados'!Q700</f>
        <v/>
      </c>
      <c r="S707" s="7">
        <f>'1 datos preparados'!R700</f>
        <v/>
      </c>
      <c r="T707" s="7">
        <f>'1 datos preparados'!S700</f>
        <v/>
      </c>
      <c r="U707" s="7">
        <f>'1 datos preparados'!T700</f>
        <v/>
      </c>
      <c r="V707" s="8">
        <f>$AE$12+D707*$AE$13+E707*$AE$14+F707*$AE$15+G707*$AE$16+H707*$AE$17+I707*$AE$18+J707*$AE$19+K707*$AE$20+L707*$AE$21+M707*$AE$22+N707*$AE$23+O707*$AE$24+P707*$AE$25+Q707*$AE$26+R707*$AE$27+S707*$AE$28+T707*$AE$29+U707*$AE$30</f>
        <v/>
      </c>
      <c r="W707" s="8">
        <f>1/(1+EXP(-V707))</f>
        <v/>
      </c>
      <c r="X707" s="9">
        <f>-IF(C707=1,LN(W707),LN(1-W707))</f>
        <v/>
      </c>
      <c r="Y707" s="8">
        <f>'1 datos preparados'!V700</f>
        <v/>
      </c>
      <c r="Z707" s="9">
        <f>Y707*X707</f>
        <v/>
      </c>
      <c r="AA707" s="10">
        <f>IF(W707&gt;$AE$33,1,0)</f>
        <v/>
      </c>
      <c r="AB707">
        <f>IF(AA707=C707,1,0)</f>
        <v/>
      </c>
    </row>
    <row r="708">
      <c r="A708">
        <f>'1 datos preparados'!A701</f>
        <v/>
      </c>
      <c r="B708" s="5">
        <f>'1 datos preparados'!U701</f>
        <v/>
      </c>
      <c r="C708">
        <f>'1 datos preparados'!B701</f>
        <v/>
      </c>
      <c r="D708" s="7">
        <f>'1 datos preparados'!C701</f>
        <v/>
      </c>
      <c r="E708" s="7">
        <f>'1 datos preparados'!D701</f>
        <v/>
      </c>
      <c r="F708" s="7">
        <f>'1 datos preparados'!E701</f>
        <v/>
      </c>
      <c r="G708" s="7">
        <f>'1 datos preparados'!F701</f>
        <v/>
      </c>
      <c r="H708" s="7">
        <f>'1 datos preparados'!G701</f>
        <v/>
      </c>
      <c r="I708" s="7">
        <f>'1 datos preparados'!H701</f>
        <v/>
      </c>
      <c r="J708" s="7">
        <f>'1 datos preparados'!I701</f>
        <v/>
      </c>
      <c r="K708" s="7">
        <f>'1 datos preparados'!J701</f>
        <v/>
      </c>
      <c r="L708" s="7">
        <f>'1 datos preparados'!K701</f>
        <v/>
      </c>
      <c r="M708" s="7">
        <f>'1 datos preparados'!L701</f>
        <v/>
      </c>
      <c r="N708" s="7">
        <f>'1 datos preparados'!M701</f>
        <v/>
      </c>
      <c r="O708" s="7">
        <f>'1 datos preparados'!N701</f>
        <v/>
      </c>
      <c r="P708" s="7">
        <f>'1 datos preparados'!O701</f>
        <v/>
      </c>
      <c r="Q708" s="7">
        <f>'1 datos preparados'!P701</f>
        <v/>
      </c>
      <c r="R708" s="7">
        <f>'1 datos preparados'!Q701</f>
        <v/>
      </c>
      <c r="S708" s="7">
        <f>'1 datos preparados'!R701</f>
        <v/>
      </c>
      <c r="T708" s="7">
        <f>'1 datos preparados'!S701</f>
        <v/>
      </c>
      <c r="U708" s="7">
        <f>'1 datos preparados'!T701</f>
        <v/>
      </c>
      <c r="V708" s="8">
        <f>$AE$12+D708*$AE$13+E708*$AE$14+F708*$AE$15+G708*$AE$16+H708*$AE$17+I708*$AE$18+J708*$AE$19+K708*$AE$20+L708*$AE$21+M708*$AE$22+N708*$AE$23+O708*$AE$24+P708*$AE$25+Q708*$AE$26+R708*$AE$27+S708*$AE$28+T708*$AE$29+U708*$AE$30</f>
        <v/>
      </c>
      <c r="W708" s="8">
        <f>1/(1+EXP(-V708))</f>
        <v/>
      </c>
      <c r="X708" s="9">
        <f>-IF(C708=1,LN(W708),LN(1-W708))</f>
        <v/>
      </c>
      <c r="Y708" s="8">
        <f>'1 datos preparados'!V701</f>
        <v/>
      </c>
      <c r="Z708" s="9">
        <f>Y708*X708</f>
        <v/>
      </c>
      <c r="AA708" s="10">
        <f>IF(W708&gt;$AE$33,1,0)</f>
        <v/>
      </c>
      <c r="AB708">
        <f>IF(AA708=C708,1,0)</f>
        <v/>
      </c>
    </row>
    <row r="709">
      <c r="A709">
        <f>'1 datos preparados'!A702</f>
        <v/>
      </c>
      <c r="B709" s="5">
        <f>'1 datos preparados'!U702</f>
        <v/>
      </c>
      <c r="C709">
        <f>'1 datos preparados'!B702</f>
        <v/>
      </c>
      <c r="D709" s="7">
        <f>'1 datos preparados'!C702</f>
        <v/>
      </c>
      <c r="E709" s="7">
        <f>'1 datos preparados'!D702</f>
        <v/>
      </c>
      <c r="F709" s="7">
        <f>'1 datos preparados'!E702</f>
        <v/>
      </c>
      <c r="G709" s="7">
        <f>'1 datos preparados'!F702</f>
        <v/>
      </c>
      <c r="H709" s="7">
        <f>'1 datos preparados'!G702</f>
        <v/>
      </c>
      <c r="I709" s="7">
        <f>'1 datos preparados'!H702</f>
        <v/>
      </c>
      <c r="J709" s="7">
        <f>'1 datos preparados'!I702</f>
        <v/>
      </c>
      <c r="K709" s="7">
        <f>'1 datos preparados'!J702</f>
        <v/>
      </c>
      <c r="L709" s="7">
        <f>'1 datos preparados'!K702</f>
        <v/>
      </c>
      <c r="M709" s="7">
        <f>'1 datos preparados'!L702</f>
        <v/>
      </c>
      <c r="N709" s="7">
        <f>'1 datos preparados'!M702</f>
        <v/>
      </c>
      <c r="O709" s="7">
        <f>'1 datos preparados'!N702</f>
        <v/>
      </c>
      <c r="P709" s="7">
        <f>'1 datos preparados'!O702</f>
        <v/>
      </c>
      <c r="Q709" s="7">
        <f>'1 datos preparados'!P702</f>
        <v/>
      </c>
      <c r="R709" s="7">
        <f>'1 datos preparados'!Q702</f>
        <v/>
      </c>
      <c r="S709" s="7">
        <f>'1 datos preparados'!R702</f>
        <v/>
      </c>
      <c r="T709" s="7">
        <f>'1 datos preparados'!S702</f>
        <v/>
      </c>
      <c r="U709" s="7">
        <f>'1 datos preparados'!T702</f>
        <v/>
      </c>
      <c r="V709" s="8">
        <f>$AE$12+D709*$AE$13+E709*$AE$14+F709*$AE$15+G709*$AE$16+H709*$AE$17+I709*$AE$18+J709*$AE$19+K709*$AE$20+L709*$AE$21+M709*$AE$22+N709*$AE$23+O709*$AE$24+P709*$AE$25+Q709*$AE$26+R709*$AE$27+S709*$AE$28+T709*$AE$29+U709*$AE$30</f>
        <v/>
      </c>
      <c r="W709" s="8">
        <f>1/(1+EXP(-V709))</f>
        <v/>
      </c>
      <c r="X709" s="9">
        <f>-IF(C709=1,LN(W709),LN(1-W709))</f>
        <v/>
      </c>
      <c r="Y709" s="8">
        <f>'1 datos preparados'!V702</f>
        <v/>
      </c>
      <c r="Z709" s="9">
        <f>Y709*X709</f>
        <v/>
      </c>
      <c r="AA709" s="10">
        <f>IF(W709&gt;$AE$33,1,0)</f>
        <v/>
      </c>
      <c r="AB709">
        <f>IF(AA709=C709,1,0)</f>
        <v/>
      </c>
    </row>
    <row r="710">
      <c r="A710">
        <f>'1 datos preparados'!A703</f>
        <v/>
      </c>
      <c r="B710" s="5">
        <f>'1 datos preparados'!U703</f>
        <v/>
      </c>
      <c r="C710">
        <f>'1 datos preparados'!B703</f>
        <v/>
      </c>
      <c r="D710" s="7">
        <f>'1 datos preparados'!C703</f>
        <v/>
      </c>
      <c r="E710" s="7">
        <f>'1 datos preparados'!D703</f>
        <v/>
      </c>
      <c r="F710" s="7">
        <f>'1 datos preparados'!E703</f>
        <v/>
      </c>
      <c r="G710" s="7">
        <f>'1 datos preparados'!F703</f>
        <v/>
      </c>
      <c r="H710" s="7">
        <f>'1 datos preparados'!G703</f>
        <v/>
      </c>
      <c r="I710" s="7">
        <f>'1 datos preparados'!H703</f>
        <v/>
      </c>
      <c r="J710" s="7">
        <f>'1 datos preparados'!I703</f>
        <v/>
      </c>
      <c r="K710" s="7">
        <f>'1 datos preparados'!J703</f>
        <v/>
      </c>
      <c r="L710" s="7">
        <f>'1 datos preparados'!K703</f>
        <v/>
      </c>
      <c r="M710" s="7">
        <f>'1 datos preparados'!L703</f>
        <v/>
      </c>
      <c r="N710" s="7">
        <f>'1 datos preparados'!M703</f>
        <v/>
      </c>
      <c r="O710" s="7">
        <f>'1 datos preparados'!N703</f>
        <v/>
      </c>
      <c r="P710" s="7">
        <f>'1 datos preparados'!O703</f>
        <v/>
      </c>
      <c r="Q710" s="7">
        <f>'1 datos preparados'!P703</f>
        <v/>
      </c>
      <c r="R710" s="7">
        <f>'1 datos preparados'!Q703</f>
        <v/>
      </c>
      <c r="S710" s="7">
        <f>'1 datos preparados'!R703</f>
        <v/>
      </c>
      <c r="T710" s="7">
        <f>'1 datos preparados'!S703</f>
        <v/>
      </c>
      <c r="U710" s="7">
        <f>'1 datos preparados'!T703</f>
        <v/>
      </c>
      <c r="V710" s="8">
        <f>$AE$12+D710*$AE$13+E710*$AE$14+F710*$AE$15+G710*$AE$16+H710*$AE$17+I710*$AE$18+J710*$AE$19+K710*$AE$20+L710*$AE$21+M710*$AE$22+N710*$AE$23+O710*$AE$24+P710*$AE$25+Q710*$AE$26+R710*$AE$27+S710*$AE$28+T710*$AE$29+U710*$AE$30</f>
        <v/>
      </c>
      <c r="W710" s="8">
        <f>1/(1+EXP(-V710))</f>
        <v/>
      </c>
      <c r="X710" s="9">
        <f>-IF(C710=1,LN(W710),LN(1-W710))</f>
        <v/>
      </c>
      <c r="Y710" s="8">
        <f>'1 datos preparados'!V703</f>
        <v/>
      </c>
      <c r="Z710" s="9">
        <f>Y710*X710</f>
        <v/>
      </c>
      <c r="AA710" s="10">
        <f>IF(W710&gt;$AE$33,1,0)</f>
        <v/>
      </c>
      <c r="AB710">
        <f>IF(AA710=C710,1,0)</f>
        <v/>
      </c>
    </row>
    <row r="711">
      <c r="A711">
        <f>'1 datos preparados'!A704</f>
        <v/>
      </c>
      <c r="B711" s="5">
        <f>'1 datos preparados'!U704</f>
        <v/>
      </c>
      <c r="C711">
        <f>'1 datos preparados'!B704</f>
        <v/>
      </c>
      <c r="D711" s="7">
        <f>'1 datos preparados'!C704</f>
        <v/>
      </c>
      <c r="E711" s="7">
        <f>'1 datos preparados'!D704</f>
        <v/>
      </c>
      <c r="F711" s="7">
        <f>'1 datos preparados'!E704</f>
        <v/>
      </c>
      <c r="G711" s="7">
        <f>'1 datos preparados'!F704</f>
        <v/>
      </c>
      <c r="H711" s="7">
        <f>'1 datos preparados'!G704</f>
        <v/>
      </c>
      <c r="I711" s="7">
        <f>'1 datos preparados'!H704</f>
        <v/>
      </c>
      <c r="J711" s="7">
        <f>'1 datos preparados'!I704</f>
        <v/>
      </c>
      <c r="K711" s="7">
        <f>'1 datos preparados'!J704</f>
        <v/>
      </c>
      <c r="L711" s="7">
        <f>'1 datos preparados'!K704</f>
        <v/>
      </c>
      <c r="M711" s="7">
        <f>'1 datos preparados'!L704</f>
        <v/>
      </c>
      <c r="N711" s="7">
        <f>'1 datos preparados'!M704</f>
        <v/>
      </c>
      <c r="O711" s="7">
        <f>'1 datos preparados'!N704</f>
        <v/>
      </c>
      <c r="P711" s="7">
        <f>'1 datos preparados'!O704</f>
        <v/>
      </c>
      <c r="Q711" s="7">
        <f>'1 datos preparados'!P704</f>
        <v/>
      </c>
      <c r="R711" s="7">
        <f>'1 datos preparados'!Q704</f>
        <v/>
      </c>
      <c r="S711" s="7">
        <f>'1 datos preparados'!R704</f>
        <v/>
      </c>
      <c r="T711" s="7">
        <f>'1 datos preparados'!S704</f>
        <v/>
      </c>
      <c r="U711" s="7">
        <f>'1 datos preparados'!T704</f>
        <v/>
      </c>
      <c r="V711" s="8">
        <f>$AE$12+D711*$AE$13+E711*$AE$14+F711*$AE$15+G711*$AE$16+H711*$AE$17+I711*$AE$18+J711*$AE$19+K711*$AE$20+L711*$AE$21+M711*$AE$22+N711*$AE$23+O711*$AE$24+P711*$AE$25+Q711*$AE$26+R711*$AE$27+S711*$AE$28+T711*$AE$29+U711*$AE$30</f>
        <v/>
      </c>
      <c r="W711" s="8">
        <f>1/(1+EXP(-V711))</f>
        <v/>
      </c>
      <c r="X711" s="9">
        <f>-IF(C711=1,LN(W711),LN(1-W711))</f>
        <v/>
      </c>
      <c r="Y711" s="8">
        <f>'1 datos preparados'!V704</f>
        <v/>
      </c>
      <c r="Z711" s="9">
        <f>Y711*X711</f>
        <v/>
      </c>
      <c r="AA711" s="10">
        <f>IF(W711&gt;$AE$33,1,0)</f>
        <v/>
      </c>
      <c r="AB711">
        <f>IF(AA711=C711,1,0)</f>
        <v/>
      </c>
    </row>
    <row r="712">
      <c r="A712">
        <f>'1 datos preparados'!A705</f>
        <v/>
      </c>
      <c r="B712" s="5">
        <f>'1 datos preparados'!U705</f>
        <v/>
      </c>
      <c r="C712">
        <f>'1 datos preparados'!B705</f>
        <v/>
      </c>
      <c r="D712" s="7">
        <f>'1 datos preparados'!C705</f>
        <v/>
      </c>
      <c r="E712" s="7">
        <f>'1 datos preparados'!D705</f>
        <v/>
      </c>
      <c r="F712" s="7">
        <f>'1 datos preparados'!E705</f>
        <v/>
      </c>
      <c r="G712" s="7">
        <f>'1 datos preparados'!F705</f>
        <v/>
      </c>
      <c r="H712" s="7">
        <f>'1 datos preparados'!G705</f>
        <v/>
      </c>
      <c r="I712" s="7">
        <f>'1 datos preparados'!H705</f>
        <v/>
      </c>
      <c r="J712" s="7">
        <f>'1 datos preparados'!I705</f>
        <v/>
      </c>
      <c r="K712" s="7">
        <f>'1 datos preparados'!J705</f>
        <v/>
      </c>
      <c r="L712" s="7">
        <f>'1 datos preparados'!K705</f>
        <v/>
      </c>
      <c r="M712" s="7">
        <f>'1 datos preparados'!L705</f>
        <v/>
      </c>
      <c r="N712" s="7">
        <f>'1 datos preparados'!M705</f>
        <v/>
      </c>
      <c r="O712" s="7">
        <f>'1 datos preparados'!N705</f>
        <v/>
      </c>
      <c r="P712" s="7">
        <f>'1 datos preparados'!O705</f>
        <v/>
      </c>
      <c r="Q712" s="7">
        <f>'1 datos preparados'!P705</f>
        <v/>
      </c>
      <c r="R712" s="7">
        <f>'1 datos preparados'!Q705</f>
        <v/>
      </c>
      <c r="S712" s="7">
        <f>'1 datos preparados'!R705</f>
        <v/>
      </c>
      <c r="T712" s="7">
        <f>'1 datos preparados'!S705</f>
        <v/>
      </c>
      <c r="U712" s="7">
        <f>'1 datos preparados'!T705</f>
        <v/>
      </c>
      <c r="V712" s="8">
        <f>$AE$12+D712*$AE$13+E712*$AE$14+F712*$AE$15+G712*$AE$16+H712*$AE$17+I712*$AE$18+J712*$AE$19+K712*$AE$20+L712*$AE$21+M712*$AE$22+N712*$AE$23+O712*$AE$24+P712*$AE$25+Q712*$AE$26+R712*$AE$27+S712*$AE$28+T712*$AE$29+U712*$AE$30</f>
        <v/>
      </c>
      <c r="W712" s="8">
        <f>1/(1+EXP(-V712))</f>
        <v/>
      </c>
      <c r="X712" s="9">
        <f>-IF(C712=1,LN(W712),LN(1-W712))</f>
        <v/>
      </c>
      <c r="Y712" s="8">
        <f>'1 datos preparados'!V705</f>
        <v/>
      </c>
      <c r="Z712" s="9">
        <f>Y712*X712</f>
        <v/>
      </c>
      <c r="AA712" s="10">
        <f>IF(W712&gt;$AE$33,1,0)</f>
        <v/>
      </c>
      <c r="AB712">
        <f>IF(AA712=C712,1,0)</f>
        <v/>
      </c>
    </row>
    <row r="713">
      <c r="A713">
        <f>'1 datos preparados'!A706</f>
        <v/>
      </c>
      <c r="B713" s="5">
        <f>'1 datos preparados'!U706</f>
        <v/>
      </c>
      <c r="C713">
        <f>'1 datos preparados'!B706</f>
        <v/>
      </c>
      <c r="D713" s="7">
        <f>'1 datos preparados'!C706</f>
        <v/>
      </c>
      <c r="E713" s="7">
        <f>'1 datos preparados'!D706</f>
        <v/>
      </c>
      <c r="F713" s="7">
        <f>'1 datos preparados'!E706</f>
        <v/>
      </c>
      <c r="G713" s="7">
        <f>'1 datos preparados'!F706</f>
        <v/>
      </c>
      <c r="H713" s="7">
        <f>'1 datos preparados'!G706</f>
        <v/>
      </c>
      <c r="I713" s="7">
        <f>'1 datos preparados'!H706</f>
        <v/>
      </c>
      <c r="J713" s="7">
        <f>'1 datos preparados'!I706</f>
        <v/>
      </c>
      <c r="K713" s="7">
        <f>'1 datos preparados'!J706</f>
        <v/>
      </c>
      <c r="L713" s="7">
        <f>'1 datos preparados'!K706</f>
        <v/>
      </c>
      <c r="M713" s="7">
        <f>'1 datos preparados'!L706</f>
        <v/>
      </c>
      <c r="N713" s="7">
        <f>'1 datos preparados'!M706</f>
        <v/>
      </c>
      <c r="O713" s="7">
        <f>'1 datos preparados'!N706</f>
        <v/>
      </c>
      <c r="P713" s="7">
        <f>'1 datos preparados'!O706</f>
        <v/>
      </c>
      <c r="Q713" s="7">
        <f>'1 datos preparados'!P706</f>
        <v/>
      </c>
      <c r="R713" s="7">
        <f>'1 datos preparados'!Q706</f>
        <v/>
      </c>
      <c r="S713" s="7">
        <f>'1 datos preparados'!R706</f>
        <v/>
      </c>
      <c r="T713" s="7">
        <f>'1 datos preparados'!S706</f>
        <v/>
      </c>
      <c r="U713" s="7">
        <f>'1 datos preparados'!T706</f>
        <v/>
      </c>
      <c r="V713" s="8">
        <f>$AE$12+D713*$AE$13+E713*$AE$14+F713*$AE$15+G713*$AE$16+H713*$AE$17+I713*$AE$18+J713*$AE$19+K713*$AE$20+L713*$AE$21+M713*$AE$22+N713*$AE$23+O713*$AE$24+P713*$AE$25+Q713*$AE$26+R713*$AE$27+S713*$AE$28+T713*$AE$29+U713*$AE$30</f>
        <v/>
      </c>
      <c r="W713" s="8">
        <f>1/(1+EXP(-V713))</f>
        <v/>
      </c>
      <c r="X713" s="9">
        <f>-IF(C713=1,LN(W713),LN(1-W713))</f>
        <v/>
      </c>
      <c r="Y713" s="8">
        <f>'1 datos preparados'!V706</f>
        <v/>
      </c>
      <c r="Z713" s="9">
        <f>Y713*X713</f>
        <v/>
      </c>
      <c r="AA713" s="10">
        <f>IF(W713&gt;$AE$33,1,0)</f>
        <v/>
      </c>
      <c r="AB713">
        <f>IF(AA713=C713,1,0)</f>
        <v/>
      </c>
    </row>
    <row r="714">
      <c r="A714">
        <f>'1 datos preparados'!A707</f>
        <v/>
      </c>
      <c r="B714" s="5">
        <f>'1 datos preparados'!U707</f>
        <v/>
      </c>
      <c r="C714">
        <f>'1 datos preparados'!B707</f>
        <v/>
      </c>
      <c r="D714" s="7">
        <f>'1 datos preparados'!C707</f>
        <v/>
      </c>
      <c r="E714" s="7">
        <f>'1 datos preparados'!D707</f>
        <v/>
      </c>
      <c r="F714" s="7">
        <f>'1 datos preparados'!E707</f>
        <v/>
      </c>
      <c r="G714" s="7">
        <f>'1 datos preparados'!F707</f>
        <v/>
      </c>
      <c r="H714" s="7">
        <f>'1 datos preparados'!G707</f>
        <v/>
      </c>
      <c r="I714" s="7">
        <f>'1 datos preparados'!H707</f>
        <v/>
      </c>
      <c r="J714" s="7">
        <f>'1 datos preparados'!I707</f>
        <v/>
      </c>
      <c r="K714" s="7">
        <f>'1 datos preparados'!J707</f>
        <v/>
      </c>
      <c r="L714" s="7">
        <f>'1 datos preparados'!K707</f>
        <v/>
      </c>
      <c r="M714" s="7">
        <f>'1 datos preparados'!L707</f>
        <v/>
      </c>
      <c r="N714" s="7">
        <f>'1 datos preparados'!M707</f>
        <v/>
      </c>
      <c r="O714" s="7">
        <f>'1 datos preparados'!N707</f>
        <v/>
      </c>
      <c r="P714" s="7">
        <f>'1 datos preparados'!O707</f>
        <v/>
      </c>
      <c r="Q714" s="7">
        <f>'1 datos preparados'!P707</f>
        <v/>
      </c>
      <c r="R714" s="7">
        <f>'1 datos preparados'!Q707</f>
        <v/>
      </c>
      <c r="S714" s="7">
        <f>'1 datos preparados'!R707</f>
        <v/>
      </c>
      <c r="T714" s="7">
        <f>'1 datos preparados'!S707</f>
        <v/>
      </c>
      <c r="U714" s="7">
        <f>'1 datos preparados'!T707</f>
        <v/>
      </c>
      <c r="V714" s="8">
        <f>$AE$12+D714*$AE$13+E714*$AE$14+F714*$AE$15+G714*$AE$16+H714*$AE$17+I714*$AE$18+J714*$AE$19+K714*$AE$20+L714*$AE$21+M714*$AE$22+N714*$AE$23+O714*$AE$24+P714*$AE$25+Q714*$AE$26+R714*$AE$27+S714*$AE$28+T714*$AE$29+U714*$AE$30</f>
        <v/>
      </c>
      <c r="W714" s="8">
        <f>1/(1+EXP(-V714))</f>
        <v/>
      </c>
      <c r="X714" s="9">
        <f>-IF(C714=1,LN(W714),LN(1-W714))</f>
        <v/>
      </c>
      <c r="Y714" s="8">
        <f>'1 datos preparados'!V707</f>
        <v/>
      </c>
      <c r="Z714" s="9">
        <f>Y714*X714</f>
        <v/>
      </c>
      <c r="AA714" s="10">
        <f>IF(W714&gt;$AE$33,1,0)</f>
        <v/>
      </c>
      <c r="AB714">
        <f>IF(AA714=C714,1,0)</f>
        <v/>
      </c>
    </row>
    <row r="715">
      <c r="A715">
        <f>'1 datos preparados'!A708</f>
        <v/>
      </c>
      <c r="B715" s="5">
        <f>'1 datos preparados'!U708</f>
        <v/>
      </c>
      <c r="C715">
        <f>'1 datos preparados'!B708</f>
        <v/>
      </c>
      <c r="D715" s="7">
        <f>'1 datos preparados'!C708</f>
        <v/>
      </c>
      <c r="E715" s="7">
        <f>'1 datos preparados'!D708</f>
        <v/>
      </c>
      <c r="F715" s="7">
        <f>'1 datos preparados'!E708</f>
        <v/>
      </c>
      <c r="G715" s="7">
        <f>'1 datos preparados'!F708</f>
        <v/>
      </c>
      <c r="H715" s="7">
        <f>'1 datos preparados'!G708</f>
        <v/>
      </c>
      <c r="I715" s="7">
        <f>'1 datos preparados'!H708</f>
        <v/>
      </c>
      <c r="J715" s="7">
        <f>'1 datos preparados'!I708</f>
        <v/>
      </c>
      <c r="K715" s="7">
        <f>'1 datos preparados'!J708</f>
        <v/>
      </c>
      <c r="L715" s="7">
        <f>'1 datos preparados'!K708</f>
        <v/>
      </c>
      <c r="M715" s="7">
        <f>'1 datos preparados'!L708</f>
        <v/>
      </c>
      <c r="N715" s="7">
        <f>'1 datos preparados'!M708</f>
        <v/>
      </c>
      <c r="O715" s="7">
        <f>'1 datos preparados'!N708</f>
        <v/>
      </c>
      <c r="P715" s="7">
        <f>'1 datos preparados'!O708</f>
        <v/>
      </c>
      <c r="Q715" s="7">
        <f>'1 datos preparados'!P708</f>
        <v/>
      </c>
      <c r="R715" s="7">
        <f>'1 datos preparados'!Q708</f>
        <v/>
      </c>
      <c r="S715" s="7">
        <f>'1 datos preparados'!R708</f>
        <v/>
      </c>
      <c r="T715" s="7">
        <f>'1 datos preparados'!S708</f>
        <v/>
      </c>
      <c r="U715" s="7">
        <f>'1 datos preparados'!T708</f>
        <v/>
      </c>
      <c r="V715" s="8">
        <f>$AE$12+D715*$AE$13+E715*$AE$14+F715*$AE$15+G715*$AE$16+H715*$AE$17+I715*$AE$18+J715*$AE$19+K715*$AE$20+L715*$AE$21+M715*$AE$22+N715*$AE$23+O715*$AE$24+P715*$AE$25+Q715*$AE$26+R715*$AE$27+S715*$AE$28+T715*$AE$29+U715*$AE$30</f>
        <v/>
      </c>
      <c r="W715" s="8">
        <f>1/(1+EXP(-V715))</f>
        <v/>
      </c>
      <c r="X715" s="9">
        <f>-IF(C715=1,LN(W715),LN(1-W715))</f>
        <v/>
      </c>
      <c r="Y715" s="8">
        <f>'1 datos preparados'!V708</f>
        <v/>
      </c>
      <c r="Z715" s="9">
        <f>Y715*X715</f>
        <v/>
      </c>
      <c r="AA715" s="10">
        <f>IF(W715&gt;$AE$33,1,0)</f>
        <v/>
      </c>
      <c r="AB715">
        <f>IF(AA715=C715,1,0)</f>
        <v/>
      </c>
    </row>
    <row r="716">
      <c r="A716">
        <f>'1 datos preparados'!A709</f>
        <v/>
      </c>
      <c r="B716" s="5">
        <f>'1 datos preparados'!U709</f>
        <v/>
      </c>
      <c r="C716">
        <f>'1 datos preparados'!B709</f>
        <v/>
      </c>
      <c r="D716" s="7">
        <f>'1 datos preparados'!C709</f>
        <v/>
      </c>
      <c r="E716" s="7">
        <f>'1 datos preparados'!D709</f>
        <v/>
      </c>
      <c r="F716" s="7">
        <f>'1 datos preparados'!E709</f>
        <v/>
      </c>
      <c r="G716" s="7">
        <f>'1 datos preparados'!F709</f>
        <v/>
      </c>
      <c r="H716" s="7">
        <f>'1 datos preparados'!G709</f>
        <v/>
      </c>
      <c r="I716" s="7">
        <f>'1 datos preparados'!H709</f>
        <v/>
      </c>
      <c r="J716" s="7">
        <f>'1 datos preparados'!I709</f>
        <v/>
      </c>
      <c r="K716" s="7">
        <f>'1 datos preparados'!J709</f>
        <v/>
      </c>
      <c r="L716" s="7">
        <f>'1 datos preparados'!K709</f>
        <v/>
      </c>
      <c r="M716" s="7">
        <f>'1 datos preparados'!L709</f>
        <v/>
      </c>
      <c r="N716" s="7">
        <f>'1 datos preparados'!M709</f>
        <v/>
      </c>
      <c r="O716" s="7">
        <f>'1 datos preparados'!N709</f>
        <v/>
      </c>
      <c r="P716" s="7">
        <f>'1 datos preparados'!O709</f>
        <v/>
      </c>
      <c r="Q716" s="7">
        <f>'1 datos preparados'!P709</f>
        <v/>
      </c>
      <c r="R716" s="7">
        <f>'1 datos preparados'!Q709</f>
        <v/>
      </c>
      <c r="S716" s="7">
        <f>'1 datos preparados'!R709</f>
        <v/>
      </c>
      <c r="T716" s="7">
        <f>'1 datos preparados'!S709</f>
        <v/>
      </c>
      <c r="U716" s="7">
        <f>'1 datos preparados'!T709</f>
        <v/>
      </c>
      <c r="V716" s="8">
        <f>$AE$12+D716*$AE$13+E716*$AE$14+F716*$AE$15+G716*$AE$16+H716*$AE$17+I716*$AE$18+J716*$AE$19+K716*$AE$20+L716*$AE$21+M716*$AE$22+N716*$AE$23+O716*$AE$24+P716*$AE$25+Q716*$AE$26+R716*$AE$27+S716*$AE$28+T716*$AE$29+U716*$AE$30</f>
        <v/>
      </c>
      <c r="W716" s="8">
        <f>1/(1+EXP(-V716))</f>
        <v/>
      </c>
      <c r="X716" s="9">
        <f>-IF(C716=1,LN(W716),LN(1-W716))</f>
        <v/>
      </c>
      <c r="Y716" s="8">
        <f>'1 datos preparados'!V709</f>
        <v/>
      </c>
      <c r="Z716" s="9">
        <f>Y716*X716</f>
        <v/>
      </c>
      <c r="AA716" s="10">
        <f>IF(W716&gt;$AE$33,1,0)</f>
        <v/>
      </c>
      <c r="AB716">
        <f>IF(AA716=C716,1,0)</f>
        <v/>
      </c>
    </row>
    <row r="717">
      <c r="A717">
        <f>'1 datos preparados'!A710</f>
        <v/>
      </c>
      <c r="B717" s="5">
        <f>'1 datos preparados'!U710</f>
        <v/>
      </c>
      <c r="C717">
        <f>'1 datos preparados'!B710</f>
        <v/>
      </c>
      <c r="D717" s="7">
        <f>'1 datos preparados'!C710</f>
        <v/>
      </c>
      <c r="E717" s="7">
        <f>'1 datos preparados'!D710</f>
        <v/>
      </c>
      <c r="F717" s="7">
        <f>'1 datos preparados'!E710</f>
        <v/>
      </c>
      <c r="G717" s="7">
        <f>'1 datos preparados'!F710</f>
        <v/>
      </c>
      <c r="H717" s="7">
        <f>'1 datos preparados'!G710</f>
        <v/>
      </c>
      <c r="I717" s="7">
        <f>'1 datos preparados'!H710</f>
        <v/>
      </c>
      <c r="J717" s="7">
        <f>'1 datos preparados'!I710</f>
        <v/>
      </c>
      <c r="K717" s="7">
        <f>'1 datos preparados'!J710</f>
        <v/>
      </c>
      <c r="L717" s="7">
        <f>'1 datos preparados'!K710</f>
        <v/>
      </c>
      <c r="M717" s="7">
        <f>'1 datos preparados'!L710</f>
        <v/>
      </c>
      <c r="N717" s="7">
        <f>'1 datos preparados'!M710</f>
        <v/>
      </c>
      <c r="O717" s="7">
        <f>'1 datos preparados'!N710</f>
        <v/>
      </c>
      <c r="P717" s="7">
        <f>'1 datos preparados'!O710</f>
        <v/>
      </c>
      <c r="Q717" s="7">
        <f>'1 datos preparados'!P710</f>
        <v/>
      </c>
      <c r="R717" s="7">
        <f>'1 datos preparados'!Q710</f>
        <v/>
      </c>
      <c r="S717" s="7">
        <f>'1 datos preparados'!R710</f>
        <v/>
      </c>
      <c r="T717" s="7">
        <f>'1 datos preparados'!S710</f>
        <v/>
      </c>
      <c r="U717" s="7">
        <f>'1 datos preparados'!T710</f>
        <v/>
      </c>
      <c r="V717" s="8">
        <f>$AE$12+D717*$AE$13+E717*$AE$14+F717*$AE$15+G717*$AE$16+H717*$AE$17+I717*$AE$18+J717*$AE$19+K717*$AE$20+L717*$AE$21+M717*$AE$22+N717*$AE$23+O717*$AE$24+P717*$AE$25+Q717*$AE$26+R717*$AE$27+S717*$AE$28+T717*$AE$29+U717*$AE$30</f>
        <v/>
      </c>
      <c r="W717" s="8">
        <f>1/(1+EXP(-V717))</f>
        <v/>
      </c>
      <c r="X717" s="9">
        <f>-IF(C717=1,LN(W717),LN(1-W717))</f>
        <v/>
      </c>
      <c r="Y717" s="8">
        <f>'1 datos preparados'!V710</f>
        <v/>
      </c>
      <c r="Z717" s="9">
        <f>Y717*X717</f>
        <v/>
      </c>
      <c r="AA717" s="10">
        <f>IF(W717&gt;$AE$33,1,0)</f>
        <v/>
      </c>
      <c r="AB717">
        <f>IF(AA717=C717,1,0)</f>
        <v/>
      </c>
    </row>
    <row r="718">
      <c r="A718">
        <f>'1 datos preparados'!A711</f>
        <v/>
      </c>
      <c r="B718" s="5">
        <f>'1 datos preparados'!U711</f>
        <v/>
      </c>
      <c r="C718">
        <f>'1 datos preparados'!B711</f>
        <v/>
      </c>
      <c r="D718" s="7">
        <f>'1 datos preparados'!C711</f>
        <v/>
      </c>
      <c r="E718" s="7">
        <f>'1 datos preparados'!D711</f>
        <v/>
      </c>
      <c r="F718" s="7">
        <f>'1 datos preparados'!E711</f>
        <v/>
      </c>
      <c r="G718" s="7">
        <f>'1 datos preparados'!F711</f>
        <v/>
      </c>
      <c r="H718" s="7">
        <f>'1 datos preparados'!G711</f>
        <v/>
      </c>
      <c r="I718" s="7">
        <f>'1 datos preparados'!H711</f>
        <v/>
      </c>
      <c r="J718" s="7">
        <f>'1 datos preparados'!I711</f>
        <v/>
      </c>
      <c r="K718" s="7">
        <f>'1 datos preparados'!J711</f>
        <v/>
      </c>
      <c r="L718" s="7">
        <f>'1 datos preparados'!K711</f>
        <v/>
      </c>
      <c r="M718" s="7">
        <f>'1 datos preparados'!L711</f>
        <v/>
      </c>
      <c r="N718" s="7">
        <f>'1 datos preparados'!M711</f>
        <v/>
      </c>
      <c r="O718" s="7">
        <f>'1 datos preparados'!N711</f>
        <v/>
      </c>
      <c r="P718" s="7">
        <f>'1 datos preparados'!O711</f>
        <v/>
      </c>
      <c r="Q718" s="7">
        <f>'1 datos preparados'!P711</f>
        <v/>
      </c>
      <c r="R718" s="7">
        <f>'1 datos preparados'!Q711</f>
        <v/>
      </c>
      <c r="S718" s="7">
        <f>'1 datos preparados'!R711</f>
        <v/>
      </c>
      <c r="T718" s="7">
        <f>'1 datos preparados'!S711</f>
        <v/>
      </c>
      <c r="U718" s="7">
        <f>'1 datos preparados'!T711</f>
        <v/>
      </c>
      <c r="V718" s="8">
        <f>$AE$12+D718*$AE$13+E718*$AE$14+F718*$AE$15+G718*$AE$16+H718*$AE$17+I718*$AE$18+J718*$AE$19+K718*$AE$20+L718*$AE$21+M718*$AE$22+N718*$AE$23+O718*$AE$24+P718*$AE$25+Q718*$AE$26+R718*$AE$27+S718*$AE$28+T718*$AE$29+U718*$AE$30</f>
        <v/>
      </c>
      <c r="W718" s="8">
        <f>1/(1+EXP(-V718))</f>
        <v/>
      </c>
      <c r="X718" s="9">
        <f>-IF(C718=1,LN(W718),LN(1-W718))</f>
        <v/>
      </c>
      <c r="Y718" s="8">
        <f>'1 datos preparados'!V711</f>
        <v/>
      </c>
      <c r="Z718" s="9">
        <f>Y718*X718</f>
        <v/>
      </c>
      <c r="AA718" s="10">
        <f>IF(W718&gt;$AE$33,1,0)</f>
        <v/>
      </c>
      <c r="AB718">
        <f>IF(AA718=C718,1,0)</f>
        <v/>
      </c>
    </row>
    <row r="719">
      <c r="A719">
        <f>'1 datos preparados'!A712</f>
        <v/>
      </c>
      <c r="B719" s="5">
        <f>'1 datos preparados'!U712</f>
        <v/>
      </c>
      <c r="C719">
        <f>'1 datos preparados'!B712</f>
        <v/>
      </c>
      <c r="D719" s="7">
        <f>'1 datos preparados'!C712</f>
        <v/>
      </c>
      <c r="E719" s="7">
        <f>'1 datos preparados'!D712</f>
        <v/>
      </c>
      <c r="F719" s="7">
        <f>'1 datos preparados'!E712</f>
        <v/>
      </c>
      <c r="G719" s="7">
        <f>'1 datos preparados'!F712</f>
        <v/>
      </c>
      <c r="H719" s="7">
        <f>'1 datos preparados'!G712</f>
        <v/>
      </c>
      <c r="I719" s="7">
        <f>'1 datos preparados'!H712</f>
        <v/>
      </c>
      <c r="J719" s="7">
        <f>'1 datos preparados'!I712</f>
        <v/>
      </c>
      <c r="K719" s="7">
        <f>'1 datos preparados'!J712</f>
        <v/>
      </c>
      <c r="L719" s="7">
        <f>'1 datos preparados'!K712</f>
        <v/>
      </c>
      <c r="M719" s="7">
        <f>'1 datos preparados'!L712</f>
        <v/>
      </c>
      <c r="N719" s="7">
        <f>'1 datos preparados'!M712</f>
        <v/>
      </c>
      <c r="O719" s="7">
        <f>'1 datos preparados'!N712</f>
        <v/>
      </c>
      <c r="P719" s="7">
        <f>'1 datos preparados'!O712</f>
        <v/>
      </c>
      <c r="Q719" s="7">
        <f>'1 datos preparados'!P712</f>
        <v/>
      </c>
      <c r="R719" s="7">
        <f>'1 datos preparados'!Q712</f>
        <v/>
      </c>
      <c r="S719" s="7">
        <f>'1 datos preparados'!R712</f>
        <v/>
      </c>
      <c r="T719" s="7">
        <f>'1 datos preparados'!S712</f>
        <v/>
      </c>
      <c r="U719" s="7">
        <f>'1 datos preparados'!T712</f>
        <v/>
      </c>
      <c r="V719" s="8">
        <f>$AE$12+D719*$AE$13+E719*$AE$14+F719*$AE$15+G719*$AE$16+H719*$AE$17+I719*$AE$18+J719*$AE$19+K719*$AE$20+L719*$AE$21+M719*$AE$22+N719*$AE$23+O719*$AE$24+P719*$AE$25+Q719*$AE$26+R719*$AE$27+S719*$AE$28+T719*$AE$29+U719*$AE$30</f>
        <v/>
      </c>
      <c r="W719" s="8">
        <f>1/(1+EXP(-V719))</f>
        <v/>
      </c>
      <c r="X719" s="9">
        <f>-IF(C719=1,LN(W719),LN(1-W719))</f>
        <v/>
      </c>
      <c r="Y719" s="8">
        <f>'1 datos preparados'!V712</f>
        <v/>
      </c>
      <c r="Z719" s="9">
        <f>Y719*X719</f>
        <v/>
      </c>
      <c r="AA719" s="10">
        <f>IF(W719&gt;$AE$33,1,0)</f>
        <v/>
      </c>
      <c r="AB719">
        <f>IF(AA719=C719,1,0)</f>
        <v/>
      </c>
    </row>
    <row r="720">
      <c r="A720">
        <f>'1 datos preparados'!A713</f>
        <v/>
      </c>
      <c r="B720" s="5">
        <f>'1 datos preparados'!U713</f>
        <v/>
      </c>
      <c r="C720">
        <f>'1 datos preparados'!B713</f>
        <v/>
      </c>
      <c r="D720" s="7">
        <f>'1 datos preparados'!C713</f>
        <v/>
      </c>
      <c r="E720" s="7">
        <f>'1 datos preparados'!D713</f>
        <v/>
      </c>
      <c r="F720" s="7">
        <f>'1 datos preparados'!E713</f>
        <v/>
      </c>
      <c r="G720" s="7">
        <f>'1 datos preparados'!F713</f>
        <v/>
      </c>
      <c r="H720" s="7">
        <f>'1 datos preparados'!G713</f>
        <v/>
      </c>
      <c r="I720" s="7">
        <f>'1 datos preparados'!H713</f>
        <v/>
      </c>
      <c r="J720" s="7">
        <f>'1 datos preparados'!I713</f>
        <v/>
      </c>
      <c r="K720" s="7">
        <f>'1 datos preparados'!J713</f>
        <v/>
      </c>
      <c r="L720" s="7">
        <f>'1 datos preparados'!K713</f>
        <v/>
      </c>
      <c r="M720" s="7">
        <f>'1 datos preparados'!L713</f>
        <v/>
      </c>
      <c r="N720" s="7">
        <f>'1 datos preparados'!M713</f>
        <v/>
      </c>
      <c r="O720" s="7">
        <f>'1 datos preparados'!N713</f>
        <v/>
      </c>
      <c r="P720" s="7">
        <f>'1 datos preparados'!O713</f>
        <v/>
      </c>
      <c r="Q720" s="7">
        <f>'1 datos preparados'!P713</f>
        <v/>
      </c>
      <c r="R720" s="7">
        <f>'1 datos preparados'!Q713</f>
        <v/>
      </c>
      <c r="S720" s="7">
        <f>'1 datos preparados'!R713</f>
        <v/>
      </c>
      <c r="T720" s="7">
        <f>'1 datos preparados'!S713</f>
        <v/>
      </c>
      <c r="U720" s="7">
        <f>'1 datos preparados'!T713</f>
        <v/>
      </c>
      <c r="V720" s="8">
        <f>$AE$12+D720*$AE$13+E720*$AE$14+F720*$AE$15+G720*$AE$16+H720*$AE$17+I720*$AE$18+J720*$AE$19+K720*$AE$20+L720*$AE$21+M720*$AE$22+N720*$AE$23+O720*$AE$24+P720*$AE$25+Q720*$AE$26+R720*$AE$27+S720*$AE$28+T720*$AE$29+U720*$AE$30</f>
        <v/>
      </c>
      <c r="W720" s="8">
        <f>1/(1+EXP(-V720))</f>
        <v/>
      </c>
      <c r="X720" s="9">
        <f>-IF(C720=1,LN(W720),LN(1-W720))</f>
        <v/>
      </c>
      <c r="Y720" s="8">
        <f>'1 datos preparados'!V713</f>
        <v/>
      </c>
      <c r="Z720" s="9">
        <f>Y720*X720</f>
        <v/>
      </c>
      <c r="AA720" s="10">
        <f>IF(W720&gt;$AE$33,1,0)</f>
        <v/>
      </c>
      <c r="AB720">
        <f>IF(AA720=C720,1,0)</f>
        <v/>
      </c>
    </row>
    <row r="721">
      <c r="A721">
        <f>'1 datos preparados'!A714</f>
        <v/>
      </c>
      <c r="B721" s="5">
        <f>'1 datos preparados'!U714</f>
        <v/>
      </c>
      <c r="C721">
        <f>'1 datos preparados'!B714</f>
        <v/>
      </c>
      <c r="D721" s="7">
        <f>'1 datos preparados'!C714</f>
        <v/>
      </c>
      <c r="E721" s="7">
        <f>'1 datos preparados'!D714</f>
        <v/>
      </c>
      <c r="F721" s="7">
        <f>'1 datos preparados'!E714</f>
        <v/>
      </c>
      <c r="G721" s="7">
        <f>'1 datos preparados'!F714</f>
        <v/>
      </c>
      <c r="H721" s="7">
        <f>'1 datos preparados'!G714</f>
        <v/>
      </c>
      <c r="I721" s="7">
        <f>'1 datos preparados'!H714</f>
        <v/>
      </c>
      <c r="J721" s="7">
        <f>'1 datos preparados'!I714</f>
        <v/>
      </c>
      <c r="K721" s="7">
        <f>'1 datos preparados'!J714</f>
        <v/>
      </c>
      <c r="L721" s="7">
        <f>'1 datos preparados'!K714</f>
        <v/>
      </c>
      <c r="M721" s="7">
        <f>'1 datos preparados'!L714</f>
        <v/>
      </c>
      <c r="N721" s="7">
        <f>'1 datos preparados'!M714</f>
        <v/>
      </c>
      <c r="O721" s="7">
        <f>'1 datos preparados'!N714</f>
        <v/>
      </c>
      <c r="P721" s="7">
        <f>'1 datos preparados'!O714</f>
        <v/>
      </c>
      <c r="Q721" s="7">
        <f>'1 datos preparados'!P714</f>
        <v/>
      </c>
      <c r="R721" s="7">
        <f>'1 datos preparados'!Q714</f>
        <v/>
      </c>
      <c r="S721" s="7">
        <f>'1 datos preparados'!R714</f>
        <v/>
      </c>
      <c r="T721" s="7">
        <f>'1 datos preparados'!S714</f>
        <v/>
      </c>
      <c r="U721" s="7">
        <f>'1 datos preparados'!T714</f>
        <v/>
      </c>
      <c r="V721" s="8">
        <f>$AE$12+D721*$AE$13+E721*$AE$14+F721*$AE$15+G721*$AE$16+H721*$AE$17+I721*$AE$18+J721*$AE$19+K721*$AE$20+L721*$AE$21+M721*$AE$22+N721*$AE$23+O721*$AE$24+P721*$AE$25+Q721*$AE$26+R721*$AE$27+S721*$AE$28+T721*$AE$29+U721*$AE$30</f>
        <v/>
      </c>
      <c r="W721" s="8">
        <f>1/(1+EXP(-V721))</f>
        <v/>
      </c>
      <c r="X721" s="9">
        <f>-IF(C721=1,LN(W721),LN(1-W721))</f>
        <v/>
      </c>
      <c r="Y721" s="8">
        <f>'1 datos preparados'!V714</f>
        <v/>
      </c>
      <c r="Z721" s="9">
        <f>Y721*X721</f>
        <v/>
      </c>
      <c r="AA721" s="10">
        <f>IF(W721&gt;$AE$33,1,0)</f>
        <v/>
      </c>
      <c r="AB721">
        <f>IF(AA721=C721,1,0)</f>
        <v/>
      </c>
    </row>
    <row r="722">
      <c r="A722">
        <f>'1 datos preparados'!A715</f>
        <v/>
      </c>
      <c r="B722" s="5">
        <f>'1 datos preparados'!U715</f>
        <v/>
      </c>
      <c r="C722">
        <f>'1 datos preparados'!B715</f>
        <v/>
      </c>
      <c r="D722" s="7">
        <f>'1 datos preparados'!C715</f>
        <v/>
      </c>
      <c r="E722" s="7">
        <f>'1 datos preparados'!D715</f>
        <v/>
      </c>
      <c r="F722" s="7">
        <f>'1 datos preparados'!E715</f>
        <v/>
      </c>
      <c r="G722" s="7">
        <f>'1 datos preparados'!F715</f>
        <v/>
      </c>
      <c r="H722" s="7">
        <f>'1 datos preparados'!G715</f>
        <v/>
      </c>
      <c r="I722" s="7">
        <f>'1 datos preparados'!H715</f>
        <v/>
      </c>
      <c r="J722" s="7">
        <f>'1 datos preparados'!I715</f>
        <v/>
      </c>
      <c r="K722" s="7">
        <f>'1 datos preparados'!J715</f>
        <v/>
      </c>
      <c r="L722" s="7">
        <f>'1 datos preparados'!K715</f>
        <v/>
      </c>
      <c r="M722" s="7">
        <f>'1 datos preparados'!L715</f>
        <v/>
      </c>
      <c r="N722" s="7">
        <f>'1 datos preparados'!M715</f>
        <v/>
      </c>
      <c r="O722" s="7">
        <f>'1 datos preparados'!N715</f>
        <v/>
      </c>
      <c r="P722" s="7">
        <f>'1 datos preparados'!O715</f>
        <v/>
      </c>
      <c r="Q722" s="7">
        <f>'1 datos preparados'!P715</f>
        <v/>
      </c>
      <c r="R722" s="7">
        <f>'1 datos preparados'!Q715</f>
        <v/>
      </c>
      <c r="S722" s="7">
        <f>'1 datos preparados'!R715</f>
        <v/>
      </c>
      <c r="T722" s="7">
        <f>'1 datos preparados'!S715</f>
        <v/>
      </c>
      <c r="U722" s="7">
        <f>'1 datos preparados'!T715</f>
        <v/>
      </c>
      <c r="V722" s="8">
        <f>$AE$12+D722*$AE$13+E722*$AE$14+F722*$AE$15+G722*$AE$16+H722*$AE$17+I722*$AE$18+J722*$AE$19+K722*$AE$20+L722*$AE$21+M722*$AE$22+N722*$AE$23+O722*$AE$24+P722*$AE$25+Q722*$AE$26+R722*$AE$27+S722*$AE$28+T722*$AE$29+U722*$AE$30</f>
        <v/>
      </c>
      <c r="W722" s="8">
        <f>1/(1+EXP(-V722))</f>
        <v/>
      </c>
      <c r="X722" s="9">
        <f>-IF(C722=1,LN(W722),LN(1-W722))</f>
        <v/>
      </c>
      <c r="Y722" s="8">
        <f>'1 datos preparados'!V715</f>
        <v/>
      </c>
      <c r="Z722" s="9">
        <f>Y722*X722</f>
        <v/>
      </c>
      <c r="AA722" s="10">
        <f>IF(W722&gt;$AE$33,1,0)</f>
        <v/>
      </c>
      <c r="AB722">
        <f>IF(AA722=C722,1,0)</f>
        <v/>
      </c>
    </row>
    <row r="723">
      <c r="A723">
        <f>'1 datos preparados'!A716</f>
        <v/>
      </c>
      <c r="B723" s="5">
        <f>'1 datos preparados'!U716</f>
        <v/>
      </c>
      <c r="C723">
        <f>'1 datos preparados'!B716</f>
        <v/>
      </c>
      <c r="D723" s="7">
        <f>'1 datos preparados'!C716</f>
        <v/>
      </c>
      <c r="E723" s="7">
        <f>'1 datos preparados'!D716</f>
        <v/>
      </c>
      <c r="F723" s="7">
        <f>'1 datos preparados'!E716</f>
        <v/>
      </c>
      <c r="G723" s="7">
        <f>'1 datos preparados'!F716</f>
        <v/>
      </c>
      <c r="H723" s="7">
        <f>'1 datos preparados'!G716</f>
        <v/>
      </c>
      <c r="I723" s="7">
        <f>'1 datos preparados'!H716</f>
        <v/>
      </c>
      <c r="J723" s="7">
        <f>'1 datos preparados'!I716</f>
        <v/>
      </c>
      <c r="K723" s="7">
        <f>'1 datos preparados'!J716</f>
        <v/>
      </c>
      <c r="L723" s="7">
        <f>'1 datos preparados'!K716</f>
        <v/>
      </c>
      <c r="M723" s="7">
        <f>'1 datos preparados'!L716</f>
        <v/>
      </c>
      <c r="N723" s="7">
        <f>'1 datos preparados'!M716</f>
        <v/>
      </c>
      <c r="O723" s="7">
        <f>'1 datos preparados'!N716</f>
        <v/>
      </c>
      <c r="P723" s="7">
        <f>'1 datos preparados'!O716</f>
        <v/>
      </c>
      <c r="Q723" s="7">
        <f>'1 datos preparados'!P716</f>
        <v/>
      </c>
      <c r="R723" s="7">
        <f>'1 datos preparados'!Q716</f>
        <v/>
      </c>
      <c r="S723" s="7">
        <f>'1 datos preparados'!R716</f>
        <v/>
      </c>
      <c r="T723" s="7">
        <f>'1 datos preparados'!S716</f>
        <v/>
      </c>
      <c r="U723" s="7">
        <f>'1 datos preparados'!T716</f>
        <v/>
      </c>
      <c r="V723" s="8">
        <f>$AE$12+D723*$AE$13+E723*$AE$14+F723*$AE$15+G723*$AE$16+H723*$AE$17+I723*$AE$18+J723*$AE$19+K723*$AE$20+L723*$AE$21+M723*$AE$22+N723*$AE$23+O723*$AE$24+P723*$AE$25+Q723*$AE$26+R723*$AE$27+S723*$AE$28+T723*$AE$29+U723*$AE$30</f>
        <v/>
      </c>
      <c r="W723" s="8">
        <f>1/(1+EXP(-V723))</f>
        <v/>
      </c>
      <c r="X723" s="9">
        <f>-IF(C723=1,LN(W723),LN(1-W723))</f>
        <v/>
      </c>
      <c r="Y723" s="8">
        <f>'1 datos preparados'!V716</f>
        <v/>
      </c>
      <c r="Z723" s="9">
        <f>Y723*X723</f>
        <v/>
      </c>
      <c r="AA723" s="10">
        <f>IF(W723&gt;$AE$33,1,0)</f>
        <v/>
      </c>
      <c r="AB723">
        <f>IF(AA723=C723,1,0)</f>
        <v/>
      </c>
    </row>
    <row r="724">
      <c r="A724">
        <f>'1 datos preparados'!A717</f>
        <v/>
      </c>
      <c r="B724" s="5">
        <f>'1 datos preparados'!U717</f>
        <v/>
      </c>
      <c r="C724">
        <f>'1 datos preparados'!B717</f>
        <v/>
      </c>
      <c r="D724" s="7">
        <f>'1 datos preparados'!C717</f>
        <v/>
      </c>
      <c r="E724" s="7">
        <f>'1 datos preparados'!D717</f>
        <v/>
      </c>
      <c r="F724" s="7">
        <f>'1 datos preparados'!E717</f>
        <v/>
      </c>
      <c r="G724" s="7">
        <f>'1 datos preparados'!F717</f>
        <v/>
      </c>
      <c r="H724" s="7">
        <f>'1 datos preparados'!G717</f>
        <v/>
      </c>
      <c r="I724" s="7">
        <f>'1 datos preparados'!H717</f>
        <v/>
      </c>
      <c r="J724" s="7">
        <f>'1 datos preparados'!I717</f>
        <v/>
      </c>
      <c r="K724" s="7">
        <f>'1 datos preparados'!J717</f>
        <v/>
      </c>
      <c r="L724" s="7">
        <f>'1 datos preparados'!K717</f>
        <v/>
      </c>
      <c r="M724" s="7">
        <f>'1 datos preparados'!L717</f>
        <v/>
      </c>
      <c r="N724" s="7">
        <f>'1 datos preparados'!M717</f>
        <v/>
      </c>
      <c r="O724" s="7">
        <f>'1 datos preparados'!N717</f>
        <v/>
      </c>
      <c r="P724" s="7">
        <f>'1 datos preparados'!O717</f>
        <v/>
      </c>
      <c r="Q724" s="7">
        <f>'1 datos preparados'!P717</f>
        <v/>
      </c>
      <c r="R724" s="7">
        <f>'1 datos preparados'!Q717</f>
        <v/>
      </c>
      <c r="S724" s="7">
        <f>'1 datos preparados'!R717</f>
        <v/>
      </c>
      <c r="T724" s="7">
        <f>'1 datos preparados'!S717</f>
        <v/>
      </c>
      <c r="U724" s="7">
        <f>'1 datos preparados'!T717</f>
        <v/>
      </c>
      <c r="V724" s="8">
        <f>$AE$12+D724*$AE$13+E724*$AE$14+F724*$AE$15+G724*$AE$16+H724*$AE$17+I724*$AE$18+J724*$AE$19+K724*$AE$20+L724*$AE$21+M724*$AE$22+N724*$AE$23+O724*$AE$24+P724*$AE$25+Q724*$AE$26+R724*$AE$27+S724*$AE$28+T724*$AE$29+U724*$AE$30</f>
        <v/>
      </c>
      <c r="W724" s="8">
        <f>1/(1+EXP(-V724))</f>
        <v/>
      </c>
      <c r="X724" s="9">
        <f>-IF(C724=1,LN(W724),LN(1-W724))</f>
        <v/>
      </c>
      <c r="Y724" s="8">
        <f>'1 datos preparados'!V717</f>
        <v/>
      </c>
      <c r="Z724" s="9">
        <f>Y724*X724</f>
        <v/>
      </c>
      <c r="AA724" s="10">
        <f>IF(W724&gt;$AE$33,1,0)</f>
        <v/>
      </c>
      <c r="AB724">
        <f>IF(AA724=C724,1,0)</f>
        <v/>
      </c>
    </row>
    <row r="725">
      <c r="A725">
        <f>'1 datos preparados'!A718</f>
        <v/>
      </c>
      <c r="B725" s="5">
        <f>'1 datos preparados'!U718</f>
        <v/>
      </c>
      <c r="C725">
        <f>'1 datos preparados'!B718</f>
        <v/>
      </c>
      <c r="D725" s="7">
        <f>'1 datos preparados'!C718</f>
        <v/>
      </c>
      <c r="E725" s="7">
        <f>'1 datos preparados'!D718</f>
        <v/>
      </c>
      <c r="F725" s="7">
        <f>'1 datos preparados'!E718</f>
        <v/>
      </c>
      <c r="G725" s="7">
        <f>'1 datos preparados'!F718</f>
        <v/>
      </c>
      <c r="H725" s="7">
        <f>'1 datos preparados'!G718</f>
        <v/>
      </c>
      <c r="I725" s="7">
        <f>'1 datos preparados'!H718</f>
        <v/>
      </c>
      <c r="J725" s="7">
        <f>'1 datos preparados'!I718</f>
        <v/>
      </c>
      <c r="K725" s="7">
        <f>'1 datos preparados'!J718</f>
        <v/>
      </c>
      <c r="L725" s="7">
        <f>'1 datos preparados'!K718</f>
        <v/>
      </c>
      <c r="M725" s="7">
        <f>'1 datos preparados'!L718</f>
        <v/>
      </c>
      <c r="N725" s="7">
        <f>'1 datos preparados'!M718</f>
        <v/>
      </c>
      <c r="O725" s="7">
        <f>'1 datos preparados'!N718</f>
        <v/>
      </c>
      <c r="P725" s="7">
        <f>'1 datos preparados'!O718</f>
        <v/>
      </c>
      <c r="Q725" s="7">
        <f>'1 datos preparados'!P718</f>
        <v/>
      </c>
      <c r="R725" s="7">
        <f>'1 datos preparados'!Q718</f>
        <v/>
      </c>
      <c r="S725" s="7">
        <f>'1 datos preparados'!R718</f>
        <v/>
      </c>
      <c r="T725" s="7">
        <f>'1 datos preparados'!S718</f>
        <v/>
      </c>
      <c r="U725" s="7">
        <f>'1 datos preparados'!T718</f>
        <v/>
      </c>
      <c r="V725" s="8">
        <f>$AE$12+D725*$AE$13+E725*$AE$14+F725*$AE$15+G725*$AE$16+H725*$AE$17+I725*$AE$18+J725*$AE$19+K725*$AE$20+L725*$AE$21+M725*$AE$22+N725*$AE$23+O725*$AE$24+P725*$AE$25+Q725*$AE$26+R725*$AE$27+S725*$AE$28+T725*$AE$29+U725*$AE$30</f>
        <v/>
      </c>
      <c r="W725" s="8">
        <f>1/(1+EXP(-V725))</f>
        <v/>
      </c>
      <c r="X725" s="9">
        <f>-IF(C725=1,LN(W725),LN(1-W725))</f>
        <v/>
      </c>
      <c r="Y725" s="8">
        <f>'1 datos preparados'!V718</f>
        <v/>
      </c>
      <c r="Z725" s="9">
        <f>Y725*X725</f>
        <v/>
      </c>
      <c r="AA725" s="10">
        <f>IF(W725&gt;$AE$33,1,0)</f>
        <v/>
      </c>
      <c r="AB725">
        <f>IF(AA725=C725,1,0)</f>
        <v/>
      </c>
    </row>
    <row r="726">
      <c r="A726">
        <f>'1 datos preparados'!A719</f>
        <v/>
      </c>
      <c r="B726" s="5">
        <f>'1 datos preparados'!U719</f>
        <v/>
      </c>
      <c r="C726">
        <f>'1 datos preparados'!B719</f>
        <v/>
      </c>
      <c r="D726" s="7">
        <f>'1 datos preparados'!C719</f>
        <v/>
      </c>
      <c r="E726" s="7">
        <f>'1 datos preparados'!D719</f>
        <v/>
      </c>
      <c r="F726" s="7">
        <f>'1 datos preparados'!E719</f>
        <v/>
      </c>
      <c r="G726" s="7">
        <f>'1 datos preparados'!F719</f>
        <v/>
      </c>
      <c r="H726" s="7">
        <f>'1 datos preparados'!G719</f>
        <v/>
      </c>
      <c r="I726" s="7">
        <f>'1 datos preparados'!H719</f>
        <v/>
      </c>
      <c r="J726" s="7">
        <f>'1 datos preparados'!I719</f>
        <v/>
      </c>
      <c r="K726" s="7">
        <f>'1 datos preparados'!J719</f>
        <v/>
      </c>
      <c r="L726" s="7">
        <f>'1 datos preparados'!K719</f>
        <v/>
      </c>
      <c r="M726" s="7">
        <f>'1 datos preparados'!L719</f>
        <v/>
      </c>
      <c r="N726" s="7">
        <f>'1 datos preparados'!M719</f>
        <v/>
      </c>
      <c r="O726" s="7">
        <f>'1 datos preparados'!N719</f>
        <v/>
      </c>
      <c r="P726" s="7">
        <f>'1 datos preparados'!O719</f>
        <v/>
      </c>
      <c r="Q726" s="7">
        <f>'1 datos preparados'!P719</f>
        <v/>
      </c>
      <c r="R726" s="7">
        <f>'1 datos preparados'!Q719</f>
        <v/>
      </c>
      <c r="S726" s="7">
        <f>'1 datos preparados'!R719</f>
        <v/>
      </c>
      <c r="T726" s="7">
        <f>'1 datos preparados'!S719</f>
        <v/>
      </c>
      <c r="U726" s="7">
        <f>'1 datos preparados'!T719</f>
        <v/>
      </c>
      <c r="V726" s="8">
        <f>$AE$12+D726*$AE$13+E726*$AE$14+F726*$AE$15+G726*$AE$16+H726*$AE$17+I726*$AE$18+J726*$AE$19+K726*$AE$20+L726*$AE$21+M726*$AE$22+N726*$AE$23+O726*$AE$24+P726*$AE$25+Q726*$AE$26+R726*$AE$27+S726*$AE$28+T726*$AE$29+U726*$AE$30</f>
        <v/>
      </c>
      <c r="W726" s="8">
        <f>1/(1+EXP(-V726))</f>
        <v/>
      </c>
      <c r="X726" s="9">
        <f>-IF(C726=1,LN(W726),LN(1-W726))</f>
        <v/>
      </c>
      <c r="Y726" s="8">
        <f>'1 datos preparados'!V719</f>
        <v/>
      </c>
      <c r="Z726" s="9">
        <f>Y726*X726</f>
        <v/>
      </c>
      <c r="AA726" s="10">
        <f>IF(W726&gt;$AE$33,1,0)</f>
        <v/>
      </c>
      <c r="AB726">
        <f>IF(AA726=C726,1,0)</f>
        <v/>
      </c>
    </row>
    <row r="727">
      <c r="A727">
        <f>'1 datos preparados'!A720</f>
        <v/>
      </c>
      <c r="B727" s="5">
        <f>'1 datos preparados'!U720</f>
        <v/>
      </c>
      <c r="C727">
        <f>'1 datos preparados'!B720</f>
        <v/>
      </c>
      <c r="D727" s="7">
        <f>'1 datos preparados'!C720</f>
        <v/>
      </c>
      <c r="E727" s="7">
        <f>'1 datos preparados'!D720</f>
        <v/>
      </c>
      <c r="F727" s="7">
        <f>'1 datos preparados'!E720</f>
        <v/>
      </c>
      <c r="G727" s="7">
        <f>'1 datos preparados'!F720</f>
        <v/>
      </c>
      <c r="H727" s="7">
        <f>'1 datos preparados'!G720</f>
        <v/>
      </c>
      <c r="I727" s="7">
        <f>'1 datos preparados'!H720</f>
        <v/>
      </c>
      <c r="J727" s="7">
        <f>'1 datos preparados'!I720</f>
        <v/>
      </c>
      <c r="K727" s="7">
        <f>'1 datos preparados'!J720</f>
        <v/>
      </c>
      <c r="L727" s="7">
        <f>'1 datos preparados'!K720</f>
        <v/>
      </c>
      <c r="M727" s="7">
        <f>'1 datos preparados'!L720</f>
        <v/>
      </c>
      <c r="N727" s="7">
        <f>'1 datos preparados'!M720</f>
        <v/>
      </c>
      <c r="O727" s="7">
        <f>'1 datos preparados'!N720</f>
        <v/>
      </c>
      <c r="P727" s="7">
        <f>'1 datos preparados'!O720</f>
        <v/>
      </c>
      <c r="Q727" s="7">
        <f>'1 datos preparados'!P720</f>
        <v/>
      </c>
      <c r="R727" s="7">
        <f>'1 datos preparados'!Q720</f>
        <v/>
      </c>
      <c r="S727" s="7">
        <f>'1 datos preparados'!R720</f>
        <v/>
      </c>
      <c r="T727" s="7">
        <f>'1 datos preparados'!S720</f>
        <v/>
      </c>
      <c r="U727" s="7">
        <f>'1 datos preparados'!T720</f>
        <v/>
      </c>
      <c r="V727" s="8">
        <f>$AE$12+D727*$AE$13+E727*$AE$14+F727*$AE$15+G727*$AE$16+H727*$AE$17+I727*$AE$18+J727*$AE$19+K727*$AE$20+L727*$AE$21+M727*$AE$22+N727*$AE$23+O727*$AE$24+P727*$AE$25+Q727*$AE$26+R727*$AE$27+S727*$AE$28+T727*$AE$29+U727*$AE$30</f>
        <v/>
      </c>
      <c r="W727" s="8">
        <f>1/(1+EXP(-V727))</f>
        <v/>
      </c>
      <c r="X727" s="9">
        <f>-IF(C727=1,LN(W727),LN(1-W727))</f>
        <v/>
      </c>
      <c r="Y727" s="8">
        <f>'1 datos preparados'!V720</f>
        <v/>
      </c>
      <c r="Z727" s="9">
        <f>Y727*X727</f>
        <v/>
      </c>
      <c r="AA727" s="10">
        <f>IF(W727&gt;$AE$33,1,0)</f>
        <v/>
      </c>
      <c r="AB727">
        <f>IF(AA727=C727,1,0)</f>
        <v/>
      </c>
    </row>
    <row r="728">
      <c r="A728">
        <f>'1 datos preparados'!A721</f>
        <v/>
      </c>
      <c r="B728" s="5">
        <f>'1 datos preparados'!U721</f>
        <v/>
      </c>
      <c r="C728">
        <f>'1 datos preparados'!B721</f>
        <v/>
      </c>
      <c r="D728" s="7">
        <f>'1 datos preparados'!C721</f>
        <v/>
      </c>
      <c r="E728" s="7">
        <f>'1 datos preparados'!D721</f>
        <v/>
      </c>
      <c r="F728" s="7">
        <f>'1 datos preparados'!E721</f>
        <v/>
      </c>
      <c r="G728" s="7">
        <f>'1 datos preparados'!F721</f>
        <v/>
      </c>
      <c r="H728" s="7">
        <f>'1 datos preparados'!G721</f>
        <v/>
      </c>
      <c r="I728" s="7">
        <f>'1 datos preparados'!H721</f>
        <v/>
      </c>
      <c r="J728" s="7">
        <f>'1 datos preparados'!I721</f>
        <v/>
      </c>
      <c r="K728" s="7">
        <f>'1 datos preparados'!J721</f>
        <v/>
      </c>
      <c r="L728" s="7">
        <f>'1 datos preparados'!K721</f>
        <v/>
      </c>
      <c r="M728" s="7">
        <f>'1 datos preparados'!L721</f>
        <v/>
      </c>
      <c r="N728" s="7">
        <f>'1 datos preparados'!M721</f>
        <v/>
      </c>
      <c r="O728" s="7">
        <f>'1 datos preparados'!N721</f>
        <v/>
      </c>
      <c r="P728" s="7">
        <f>'1 datos preparados'!O721</f>
        <v/>
      </c>
      <c r="Q728" s="7">
        <f>'1 datos preparados'!P721</f>
        <v/>
      </c>
      <c r="R728" s="7">
        <f>'1 datos preparados'!Q721</f>
        <v/>
      </c>
      <c r="S728" s="7">
        <f>'1 datos preparados'!R721</f>
        <v/>
      </c>
      <c r="T728" s="7">
        <f>'1 datos preparados'!S721</f>
        <v/>
      </c>
      <c r="U728" s="7">
        <f>'1 datos preparados'!T721</f>
        <v/>
      </c>
      <c r="V728" s="8">
        <f>$AE$12+D728*$AE$13+E728*$AE$14+F728*$AE$15+G728*$AE$16+H728*$AE$17+I728*$AE$18+J728*$AE$19+K728*$AE$20+L728*$AE$21+M728*$AE$22+N728*$AE$23+O728*$AE$24+P728*$AE$25+Q728*$AE$26+R728*$AE$27+S728*$AE$28+T728*$AE$29+U728*$AE$30</f>
        <v/>
      </c>
      <c r="W728" s="8">
        <f>1/(1+EXP(-V728))</f>
        <v/>
      </c>
      <c r="X728" s="9">
        <f>-IF(C728=1,LN(W728),LN(1-W728))</f>
        <v/>
      </c>
      <c r="Y728" s="8">
        <f>'1 datos preparados'!V721</f>
        <v/>
      </c>
      <c r="Z728" s="9">
        <f>Y728*X728</f>
        <v/>
      </c>
      <c r="AA728" s="10">
        <f>IF(W728&gt;$AE$33,1,0)</f>
        <v/>
      </c>
      <c r="AB728">
        <f>IF(AA728=C728,1,0)</f>
        <v/>
      </c>
    </row>
    <row r="729">
      <c r="A729">
        <f>'1 datos preparados'!A722</f>
        <v/>
      </c>
      <c r="B729" s="5">
        <f>'1 datos preparados'!U722</f>
        <v/>
      </c>
      <c r="C729">
        <f>'1 datos preparados'!B722</f>
        <v/>
      </c>
      <c r="D729" s="7">
        <f>'1 datos preparados'!C722</f>
        <v/>
      </c>
      <c r="E729" s="7">
        <f>'1 datos preparados'!D722</f>
        <v/>
      </c>
      <c r="F729" s="7">
        <f>'1 datos preparados'!E722</f>
        <v/>
      </c>
      <c r="G729" s="7">
        <f>'1 datos preparados'!F722</f>
        <v/>
      </c>
      <c r="H729" s="7">
        <f>'1 datos preparados'!G722</f>
        <v/>
      </c>
      <c r="I729" s="7">
        <f>'1 datos preparados'!H722</f>
        <v/>
      </c>
      <c r="J729" s="7">
        <f>'1 datos preparados'!I722</f>
        <v/>
      </c>
      <c r="K729" s="7">
        <f>'1 datos preparados'!J722</f>
        <v/>
      </c>
      <c r="L729" s="7">
        <f>'1 datos preparados'!K722</f>
        <v/>
      </c>
      <c r="M729" s="7">
        <f>'1 datos preparados'!L722</f>
        <v/>
      </c>
      <c r="N729" s="7">
        <f>'1 datos preparados'!M722</f>
        <v/>
      </c>
      <c r="O729" s="7">
        <f>'1 datos preparados'!N722</f>
        <v/>
      </c>
      <c r="P729" s="7">
        <f>'1 datos preparados'!O722</f>
        <v/>
      </c>
      <c r="Q729" s="7">
        <f>'1 datos preparados'!P722</f>
        <v/>
      </c>
      <c r="R729" s="7">
        <f>'1 datos preparados'!Q722</f>
        <v/>
      </c>
      <c r="S729" s="7">
        <f>'1 datos preparados'!R722</f>
        <v/>
      </c>
      <c r="T729" s="7">
        <f>'1 datos preparados'!S722</f>
        <v/>
      </c>
      <c r="U729" s="7">
        <f>'1 datos preparados'!T722</f>
        <v/>
      </c>
      <c r="V729" s="8">
        <f>$AE$12+D729*$AE$13+E729*$AE$14+F729*$AE$15+G729*$AE$16+H729*$AE$17+I729*$AE$18+J729*$AE$19+K729*$AE$20+L729*$AE$21+M729*$AE$22+N729*$AE$23+O729*$AE$24+P729*$AE$25+Q729*$AE$26+R729*$AE$27+S729*$AE$28+T729*$AE$29+U729*$AE$30</f>
        <v/>
      </c>
      <c r="W729" s="8">
        <f>1/(1+EXP(-V729))</f>
        <v/>
      </c>
      <c r="X729" s="9">
        <f>-IF(C729=1,LN(W729),LN(1-W729))</f>
        <v/>
      </c>
      <c r="Y729" s="8">
        <f>'1 datos preparados'!V722</f>
        <v/>
      </c>
      <c r="Z729" s="9">
        <f>Y729*X729</f>
        <v/>
      </c>
      <c r="AA729" s="10">
        <f>IF(W729&gt;$AE$33,1,0)</f>
        <v/>
      </c>
      <c r="AB729">
        <f>IF(AA729=C729,1,0)</f>
        <v/>
      </c>
    </row>
    <row r="730">
      <c r="A730">
        <f>'1 datos preparados'!A723</f>
        <v/>
      </c>
      <c r="B730" s="5">
        <f>'1 datos preparados'!U723</f>
        <v/>
      </c>
      <c r="C730">
        <f>'1 datos preparados'!B723</f>
        <v/>
      </c>
      <c r="D730" s="7">
        <f>'1 datos preparados'!C723</f>
        <v/>
      </c>
      <c r="E730" s="7">
        <f>'1 datos preparados'!D723</f>
        <v/>
      </c>
      <c r="F730" s="7">
        <f>'1 datos preparados'!E723</f>
        <v/>
      </c>
      <c r="G730" s="7">
        <f>'1 datos preparados'!F723</f>
        <v/>
      </c>
      <c r="H730" s="7">
        <f>'1 datos preparados'!G723</f>
        <v/>
      </c>
      <c r="I730" s="7">
        <f>'1 datos preparados'!H723</f>
        <v/>
      </c>
      <c r="J730" s="7">
        <f>'1 datos preparados'!I723</f>
        <v/>
      </c>
      <c r="K730" s="7">
        <f>'1 datos preparados'!J723</f>
        <v/>
      </c>
      <c r="L730" s="7">
        <f>'1 datos preparados'!K723</f>
        <v/>
      </c>
      <c r="M730" s="7">
        <f>'1 datos preparados'!L723</f>
        <v/>
      </c>
      <c r="N730" s="7">
        <f>'1 datos preparados'!M723</f>
        <v/>
      </c>
      <c r="O730" s="7">
        <f>'1 datos preparados'!N723</f>
        <v/>
      </c>
      <c r="P730" s="7">
        <f>'1 datos preparados'!O723</f>
        <v/>
      </c>
      <c r="Q730" s="7">
        <f>'1 datos preparados'!P723</f>
        <v/>
      </c>
      <c r="R730" s="7">
        <f>'1 datos preparados'!Q723</f>
        <v/>
      </c>
      <c r="S730" s="7">
        <f>'1 datos preparados'!R723</f>
        <v/>
      </c>
      <c r="T730" s="7">
        <f>'1 datos preparados'!S723</f>
        <v/>
      </c>
      <c r="U730" s="7">
        <f>'1 datos preparados'!T723</f>
        <v/>
      </c>
      <c r="V730" s="8">
        <f>$AE$12+D730*$AE$13+E730*$AE$14+F730*$AE$15+G730*$AE$16+H730*$AE$17+I730*$AE$18+J730*$AE$19+K730*$AE$20+L730*$AE$21+M730*$AE$22+N730*$AE$23+O730*$AE$24+P730*$AE$25+Q730*$AE$26+R730*$AE$27+S730*$AE$28+T730*$AE$29+U730*$AE$30</f>
        <v/>
      </c>
      <c r="W730" s="8">
        <f>1/(1+EXP(-V730))</f>
        <v/>
      </c>
      <c r="X730" s="9">
        <f>-IF(C730=1,LN(W730),LN(1-W730))</f>
        <v/>
      </c>
      <c r="Y730" s="8">
        <f>'1 datos preparados'!V723</f>
        <v/>
      </c>
      <c r="Z730" s="9">
        <f>Y730*X730</f>
        <v/>
      </c>
      <c r="AA730" s="10">
        <f>IF(W730&gt;$AE$33,1,0)</f>
        <v/>
      </c>
      <c r="AB730">
        <f>IF(AA730=C730,1,0)</f>
        <v/>
      </c>
    </row>
    <row r="731">
      <c r="A731">
        <f>'1 datos preparados'!A724</f>
        <v/>
      </c>
      <c r="B731" s="5">
        <f>'1 datos preparados'!U724</f>
        <v/>
      </c>
      <c r="C731">
        <f>'1 datos preparados'!B724</f>
        <v/>
      </c>
      <c r="D731" s="7">
        <f>'1 datos preparados'!C724</f>
        <v/>
      </c>
      <c r="E731" s="7">
        <f>'1 datos preparados'!D724</f>
        <v/>
      </c>
      <c r="F731" s="7">
        <f>'1 datos preparados'!E724</f>
        <v/>
      </c>
      <c r="G731" s="7">
        <f>'1 datos preparados'!F724</f>
        <v/>
      </c>
      <c r="H731" s="7">
        <f>'1 datos preparados'!G724</f>
        <v/>
      </c>
      <c r="I731" s="7">
        <f>'1 datos preparados'!H724</f>
        <v/>
      </c>
      <c r="J731" s="7">
        <f>'1 datos preparados'!I724</f>
        <v/>
      </c>
      <c r="K731" s="7">
        <f>'1 datos preparados'!J724</f>
        <v/>
      </c>
      <c r="L731" s="7">
        <f>'1 datos preparados'!K724</f>
        <v/>
      </c>
      <c r="M731" s="7">
        <f>'1 datos preparados'!L724</f>
        <v/>
      </c>
      <c r="N731" s="7">
        <f>'1 datos preparados'!M724</f>
        <v/>
      </c>
      <c r="O731" s="7">
        <f>'1 datos preparados'!N724</f>
        <v/>
      </c>
      <c r="P731" s="7">
        <f>'1 datos preparados'!O724</f>
        <v/>
      </c>
      <c r="Q731" s="7">
        <f>'1 datos preparados'!P724</f>
        <v/>
      </c>
      <c r="R731" s="7">
        <f>'1 datos preparados'!Q724</f>
        <v/>
      </c>
      <c r="S731" s="7">
        <f>'1 datos preparados'!R724</f>
        <v/>
      </c>
      <c r="T731" s="7">
        <f>'1 datos preparados'!S724</f>
        <v/>
      </c>
      <c r="U731" s="7">
        <f>'1 datos preparados'!T724</f>
        <v/>
      </c>
      <c r="V731" s="8">
        <f>$AE$12+D731*$AE$13+E731*$AE$14+F731*$AE$15+G731*$AE$16+H731*$AE$17+I731*$AE$18+J731*$AE$19+K731*$AE$20+L731*$AE$21+M731*$AE$22+N731*$AE$23+O731*$AE$24+P731*$AE$25+Q731*$AE$26+R731*$AE$27+S731*$AE$28+T731*$AE$29+U731*$AE$30</f>
        <v/>
      </c>
      <c r="W731" s="8">
        <f>1/(1+EXP(-V731))</f>
        <v/>
      </c>
      <c r="X731" s="9">
        <f>-IF(C731=1,LN(W731),LN(1-W731))</f>
        <v/>
      </c>
      <c r="Y731" s="8">
        <f>'1 datos preparados'!V724</f>
        <v/>
      </c>
      <c r="Z731" s="9">
        <f>Y731*X731</f>
        <v/>
      </c>
      <c r="AA731" s="10">
        <f>IF(W731&gt;$AE$33,1,0)</f>
        <v/>
      </c>
      <c r="AB731">
        <f>IF(AA731=C731,1,0)</f>
        <v/>
      </c>
    </row>
    <row r="732">
      <c r="A732">
        <f>'1 datos preparados'!A725</f>
        <v/>
      </c>
      <c r="B732" s="5">
        <f>'1 datos preparados'!U725</f>
        <v/>
      </c>
      <c r="C732">
        <f>'1 datos preparados'!B725</f>
        <v/>
      </c>
      <c r="D732" s="7">
        <f>'1 datos preparados'!C725</f>
        <v/>
      </c>
      <c r="E732" s="7">
        <f>'1 datos preparados'!D725</f>
        <v/>
      </c>
      <c r="F732" s="7">
        <f>'1 datos preparados'!E725</f>
        <v/>
      </c>
      <c r="G732" s="7">
        <f>'1 datos preparados'!F725</f>
        <v/>
      </c>
      <c r="H732" s="7">
        <f>'1 datos preparados'!G725</f>
        <v/>
      </c>
      <c r="I732" s="7">
        <f>'1 datos preparados'!H725</f>
        <v/>
      </c>
      <c r="J732" s="7">
        <f>'1 datos preparados'!I725</f>
        <v/>
      </c>
      <c r="K732" s="7">
        <f>'1 datos preparados'!J725</f>
        <v/>
      </c>
      <c r="L732" s="7">
        <f>'1 datos preparados'!K725</f>
        <v/>
      </c>
      <c r="M732" s="7">
        <f>'1 datos preparados'!L725</f>
        <v/>
      </c>
      <c r="N732" s="7">
        <f>'1 datos preparados'!M725</f>
        <v/>
      </c>
      <c r="O732" s="7">
        <f>'1 datos preparados'!N725</f>
        <v/>
      </c>
      <c r="P732" s="7">
        <f>'1 datos preparados'!O725</f>
        <v/>
      </c>
      <c r="Q732" s="7">
        <f>'1 datos preparados'!P725</f>
        <v/>
      </c>
      <c r="R732" s="7">
        <f>'1 datos preparados'!Q725</f>
        <v/>
      </c>
      <c r="S732" s="7">
        <f>'1 datos preparados'!R725</f>
        <v/>
      </c>
      <c r="T732" s="7">
        <f>'1 datos preparados'!S725</f>
        <v/>
      </c>
      <c r="U732" s="7">
        <f>'1 datos preparados'!T725</f>
        <v/>
      </c>
      <c r="V732" s="8">
        <f>$AE$12+D732*$AE$13+E732*$AE$14+F732*$AE$15+G732*$AE$16+H732*$AE$17+I732*$AE$18+J732*$AE$19+K732*$AE$20+L732*$AE$21+M732*$AE$22+N732*$AE$23+O732*$AE$24+P732*$AE$25+Q732*$AE$26+R732*$AE$27+S732*$AE$28+T732*$AE$29+U732*$AE$30</f>
        <v/>
      </c>
      <c r="W732" s="8">
        <f>1/(1+EXP(-V732))</f>
        <v/>
      </c>
      <c r="X732" s="9">
        <f>-IF(C732=1,LN(W732),LN(1-W732))</f>
        <v/>
      </c>
      <c r="Y732" s="8">
        <f>'1 datos preparados'!V725</f>
        <v/>
      </c>
      <c r="Z732" s="9">
        <f>Y732*X732</f>
        <v/>
      </c>
      <c r="AA732" s="10">
        <f>IF(W732&gt;$AE$33,1,0)</f>
        <v/>
      </c>
      <c r="AB732">
        <f>IF(AA732=C732,1,0)</f>
        <v/>
      </c>
    </row>
    <row r="733">
      <c r="A733">
        <f>'1 datos preparados'!A726</f>
        <v/>
      </c>
      <c r="B733" s="5">
        <f>'1 datos preparados'!U726</f>
        <v/>
      </c>
      <c r="C733">
        <f>'1 datos preparados'!B726</f>
        <v/>
      </c>
      <c r="D733" s="7">
        <f>'1 datos preparados'!C726</f>
        <v/>
      </c>
      <c r="E733" s="7">
        <f>'1 datos preparados'!D726</f>
        <v/>
      </c>
      <c r="F733" s="7">
        <f>'1 datos preparados'!E726</f>
        <v/>
      </c>
      <c r="G733" s="7">
        <f>'1 datos preparados'!F726</f>
        <v/>
      </c>
      <c r="H733" s="7">
        <f>'1 datos preparados'!G726</f>
        <v/>
      </c>
      <c r="I733" s="7">
        <f>'1 datos preparados'!H726</f>
        <v/>
      </c>
      <c r="J733" s="7">
        <f>'1 datos preparados'!I726</f>
        <v/>
      </c>
      <c r="K733" s="7">
        <f>'1 datos preparados'!J726</f>
        <v/>
      </c>
      <c r="L733" s="7">
        <f>'1 datos preparados'!K726</f>
        <v/>
      </c>
      <c r="M733" s="7">
        <f>'1 datos preparados'!L726</f>
        <v/>
      </c>
      <c r="N733" s="7">
        <f>'1 datos preparados'!M726</f>
        <v/>
      </c>
      <c r="O733" s="7">
        <f>'1 datos preparados'!N726</f>
        <v/>
      </c>
      <c r="P733" s="7">
        <f>'1 datos preparados'!O726</f>
        <v/>
      </c>
      <c r="Q733" s="7">
        <f>'1 datos preparados'!P726</f>
        <v/>
      </c>
      <c r="R733" s="7">
        <f>'1 datos preparados'!Q726</f>
        <v/>
      </c>
      <c r="S733" s="7">
        <f>'1 datos preparados'!R726</f>
        <v/>
      </c>
      <c r="T733" s="7">
        <f>'1 datos preparados'!S726</f>
        <v/>
      </c>
      <c r="U733" s="7">
        <f>'1 datos preparados'!T726</f>
        <v/>
      </c>
      <c r="V733" s="8">
        <f>$AE$12+D733*$AE$13+E733*$AE$14+F733*$AE$15+G733*$AE$16+H733*$AE$17+I733*$AE$18+J733*$AE$19+K733*$AE$20+L733*$AE$21+M733*$AE$22+N733*$AE$23+O733*$AE$24+P733*$AE$25+Q733*$AE$26+R733*$AE$27+S733*$AE$28+T733*$AE$29+U733*$AE$30</f>
        <v/>
      </c>
      <c r="W733" s="8">
        <f>1/(1+EXP(-V733))</f>
        <v/>
      </c>
      <c r="X733" s="9">
        <f>-IF(C733=1,LN(W733),LN(1-W733))</f>
        <v/>
      </c>
      <c r="Y733" s="8">
        <f>'1 datos preparados'!V726</f>
        <v/>
      </c>
      <c r="Z733" s="9">
        <f>Y733*X733</f>
        <v/>
      </c>
      <c r="AA733" s="10">
        <f>IF(W733&gt;$AE$33,1,0)</f>
        <v/>
      </c>
      <c r="AB733">
        <f>IF(AA733=C733,1,0)</f>
        <v/>
      </c>
    </row>
    <row r="734">
      <c r="A734">
        <f>'1 datos preparados'!A727</f>
        <v/>
      </c>
      <c r="B734" s="5">
        <f>'1 datos preparados'!U727</f>
        <v/>
      </c>
      <c r="C734">
        <f>'1 datos preparados'!B727</f>
        <v/>
      </c>
      <c r="D734" s="7">
        <f>'1 datos preparados'!C727</f>
        <v/>
      </c>
      <c r="E734" s="7">
        <f>'1 datos preparados'!D727</f>
        <v/>
      </c>
      <c r="F734" s="7">
        <f>'1 datos preparados'!E727</f>
        <v/>
      </c>
      <c r="G734" s="7">
        <f>'1 datos preparados'!F727</f>
        <v/>
      </c>
      <c r="H734" s="7">
        <f>'1 datos preparados'!G727</f>
        <v/>
      </c>
      <c r="I734" s="7">
        <f>'1 datos preparados'!H727</f>
        <v/>
      </c>
      <c r="J734" s="7">
        <f>'1 datos preparados'!I727</f>
        <v/>
      </c>
      <c r="K734" s="7">
        <f>'1 datos preparados'!J727</f>
        <v/>
      </c>
      <c r="L734" s="7">
        <f>'1 datos preparados'!K727</f>
        <v/>
      </c>
      <c r="M734" s="7">
        <f>'1 datos preparados'!L727</f>
        <v/>
      </c>
      <c r="N734" s="7">
        <f>'1 datos preparados'!M727</f>
        <v/>
      </c>
      <c r="O734" s="7">
        <f>'1 datos preparados'!N727</f>
        <v/>
      </c>
      <c r="P734" s="7">
        <f>'1 datos preparados'!O727</f>
        <v/>
      </c>
      <c r="Q734" s="7">
        <f>'1 datos preparados'!P727</f>
        <v/>
      </c>
      <c r="R734" s="7">
        <f>'1 datos preparados'!Q727</f>
        <v/>
      </c>
      <c r="S734" s="7">
        <f>'1 datos preparados'!R727</f>
        <v/>
      </c>
      <c r="T734" s="7">
        <f>'1 datos preparados'!S727</f>
        <v/>
      </c>
      <c r="U734" s="7">
        <f>'1 datos preparados'!T727</f>
        <v/>
      </c>
      <c r="V734" s="8">
        <f>$AE$12+D734*$AE$13+E734*$AE$14+F734*$AE$15+G734*$AE$16+H734*$AE$17+I734*$AE$18+J734*$AE$19+K734*$AE$20+L734*$AE$21+M734*$AE$22+N734*$AE$23+O734*$AE$24+P734*$AE$25+Q734*$AE$26+R734*$AE$27+S734*$AE$28+T734*$AE$29+U734*$AE$30</f>
        <v/>
      </c>
      <c r="W734" s="8">
        <f>1/(1+EXP(-V734))</f>
        <v/>
      </c>
      <c r="X734" s="9">
        <f>-IF(C734=1,LN(W734),LN(1-W734))</f>
        <v/>
      </c>
      <c r="Y734" s="8">
        <f>'1 datos preparados'!V727</f>
        <v/>
      </c>
      <c r="Z734" s="9">
        <f>Y734*X734</f>
        <v/>
      </c>
      <c r="AA734" s="10">
        <f>IF(W734&gt;$AE$33,1,0)</f>
        <v/>
      </c>
      <c r="AB734">
        <f>IF(AA734=C734,1,0)</f>
        <v/>
      </c>
    </row>
    <row r="735">
      <c r="A735">
        <f>'1 datos preparados'!A728</f>
        <v/>
      </c>
      <c r="B735" s="5">
        <f>'1 datos preparados'!U728</f>
        <v/>
      </c>
      <c r="C735">
        <f>'1 datos preparados'!B728</f>
        <v/>
      </c>
      <c r="D735" s="7">
        <f>'1 datos preparados'!C728</f>
        <v/>
      </c>
      <c r="E735" s="7">
        <f>'1 datos preparados'!D728</f>
        <v/>
      </c>
      <c r="F735" s="7">
        <f>'1 datos preparados'!E728</f>
        <v/>
      </c>
      <c r="G735" s="7">
        <f>'1 datos preparados'!F728</f>
        <v/>
      </c>
      <c r="H735" s="7">
        <f>'1 datos preparados'!G728</f>
        <v/>
      </c>
      <c r="I735" s="7">
        <f>'1 datos preparados'!H728</f>
        <v/>
      </c>
      <c r="J735" s="7">
        <f>'1 datos preparados'!I728</f>
        <v/>
      </c>
      <c r="K735" s="7">
        <f>'1 datos preparados'!J728</f>
        <v/>
      </c>
      <c r="L735" s="7">
        <f>'1 datos preparados'!K728</f>
        <v/>
      </c>
      <c r="M735" s="7">
        <f>'1 datos preparados'!L728</f>
        <v/>
      </c>
      <c r="N735" s="7">
        <f>'1 datos preparados'!M728</f>
        <v/>
      </c>
      <c r="O735" s="7">
        <f>'1 datos preparados'!N728</f>
        <v/>
      </c>
      <c r="P735" s="7">
        <f>'1 datos preparados'!O728</f>
        <v/>
      </c>
      <c r="Q735" s="7">
        <f>'1 datos preparados'!P728</f>
        <v/>
      </c>
      <c r="R735" s="7">
        <f>'1 datos preparados'!Q728</f>
        <v/>
      </c>
      <c r="S735" s="7">
        <f>'1 datos preparados'!R728</f>
        <v/>
      </c>
      <c r="T735" s="7">
        <f>'1 datos preparados'!S728</f>
        <v/>
      </c>
      <c r="U735" s="7">
        <f>'1 datos preparados'!T728</f>
        <v/>
      </c>
      <c r="V735" s="8">
        <f>$AE$12+D735*$AE$13+E735*$AE$14+F735*$AE$15+G735*$AE$16+H735*$AE$17+I735*$AE$18+J735*$AE$19+K735*$AE$20+L735*$AE$21+M735*$AE$22+N735*$AE$23+O735*$AE$24+P735*$AE$25+Q735*$AE$26+R735*$AE$27+S735*$AE$28+T735*$AE$29+U735*$AE$30</f>
        <v/>
      </c>
      <c r="W735" s="8">
        <f>1/(1+EXP(-V735))</f>
        <v/>
      </c>
      <c r="X735" s="9">
        <f>-IF(C735=1,LN(W735),LN(1-W735))</f>
        <v/>
      </c>
      <c r="Y735" s="8">
        <f>'1 datos preparados'!V728</f>
        <v/>
      </c>
      <c r="Z735" s="9">
        <f>Y735*X735</f>
        <v/>
      </c>
      <c r="AA735" s="10">
        <f>IF(W735&gt;$AE$33,1,0)</f>
        <v/>
      </c>
      <c r="AB735">
        <f>IF(AA735=C735,1,0)</f>
        <v/>
      </c>
    </row>
    <row r="736">
      <c r="A736">
        <f>'1 datos preparados'!A729</f>
        <v/>
      </c>
      <c r="B736" s="5">
        <f>'1 datos preparados'!U729</f>
        <v/>
      </c>
      <c r="C736">
        <f>'1 datos preparados'!B729</f>
        <v/>
      </c>
      <c r="D736" s="7">
        <f>'1 datos preparados'!C729</f>
        <v/>
      </c>
      <c r="E736" s="7">
        <f>'1 datos preparados'!D729</f>
        <v/>
      </c>
      <c r="F736" s="7">
        <f>'1 datos preparados'!E729</f>
        <v/>
      </c>
      <c r="G736" s="7">
        <f>'1 datos preparados'!F729</f>
        <v/>
      </c>
      <c r="H736" s="7">
        <f>'1 datos preparados'!G729</f>
        <v/>
      </c>
      <c r="I736" s="7">
        <f>'1 datos preparados'!H729</f>
        <v/>
      </c>
      <c r="J736" s="7">
        <f>'1 datos preparados'!I729</f>
        <v/>
      </c>
      <c r="K736" s="7">
        <f>'1 datos preparados'!J729</f>
        <v/>
      </c>
      <c r="L736" s="7">
        <f>'1 datos preparados'!K729</f>
        <v/>
      </c>
      <c r="M736" s="7">
        <f>'1 datos preparados'!L729</f>
        <v/>
      </c>
      <c r="N736" s="7">
        <f>'1 datos preparados'!M729</f>
        <v/>
      </c>
      <c r="O736" s="7">
        <f>'1 datos preparados'!N729</f>
        <v/>
      </c>
      <c r="P736" s="7">
        <f>'1 datos preparados'!O729</f>
        <v/>
      </c>
      <c r="Q736" s="7">
        <f>'1 datos preparados'!P729</f>
        <v/>
      </c>
      <c r="R736" s="7">
        <f>'1 datos preparados'!Q729</f>
        <v/>
      </c>
      <c r="S736" s="7">
        <f>'1 datos preparados'!R729</f>
        <v/>
      </c>
      <c r="T736" s="7">
        <f>'1 datos preparados'!S729</f>
        <v/>
      </c>
      <c r="U736" s="7">
        <f>'1 datos preparados'!T729</f>
        <v/>
      </c>
      <c r="V736" s="8">
        <f>$AE$12+D736*$AE$13+E736*$AE$14+F736*$AE$15+G736*$AE$16+H736*$AE$17+I736*$AE$18+J736*$AE$19+K736*$AE$20+L736*$AE$21+M736*$AE$22+N736*$AE$23+O736*$AE$24+P736*$AE$25+Q736*$AE$26+R736*$AE$27+S736*$AE$28+T736*$AE$29+U736*$AE$30</f>
        <v/>
      </c>
      <c r="W736" s="8">
        <f>1/(1+EXP(-V736))</f>
        <v/>
      </c>
      <c r="X736" s="9">
        <f>-IF(C736=1,LN(W736),LN(1-W736))</f>
        <v/>
      </c>
      <c r="Y736" s="8">
        <f>'1 datos preparados'!V729</f>
        <v/>
      </c>
      <c r="Z736" s="9">
        <f>Y736*X736</f>
        <v/>
      </c>
      <c r="AA736" s="10">
        <f>IF(W736&gt;$AE$33,1,0)</f>
        <v/>
      </c>
      <c r="AB736">
        <f>IF(AA736=C736,1,0)</f>
        <v/>
      </c>
    </row>
    <row r="737">
      <c r="A737">
        <f>'1 datos preparados'!A730</f>
        <v/>
      </c>
      <c r="B737" s="5">
        <f>'1 datos preparados'!U730</f>
        <v/>
      </c>
      <c r="C737">
        <f>'1 datos preparados'!B730</f>
        <v/>
      </c>
      <c r="D737" s="7">
        <f>'1 datos preparados'!C730</f>
        <v/>
      </c>
      <c r="E737" s="7">
        <f>'1 datos preparados'!D730</f>
        <v/>
      </c>
      <c r="F737" s="7">
        <f>'1 datos preparados'!E730</f>
        <v/>
      </c>
      <c r="G737" s="7">
        <f>'1 datos preparados'!F730</f>
        <v/>
      </c>
      <c r="H737" s="7">
        <f>'1 datos preparados'!G730</f>
        <v/>
      </c>
      <c r="I737" s="7">
        <f>'1 datos preparados'!H730</f>
        <v/>
      </c>
      <c r="J737" s="7">
        <f>'1 datos preparados'!I730</f>
        <v/>
      </c>
      <c r="K737" s="7">
        <f>'1 datos preparados'!J730</f>
        <v/>
      </c>
      <c r="L737" s="7">
        <f>'1 datos preparados'!K730</f>
        <v/>
      </c>
      <c r="M737" s="7">
        <f>'1 datos preparados'!L730</f>
        <v/>
      </c>
      <c r="N737" s="7">
        <f>'1 datos preparados'!M730</f>
        <v/>
      </c>
      <c r="O737" s="7">
        <f>'1 datos preparados'!N730</f>
        <v/>
      </c>
      <c r="P737" s="7">
        <f>'1 datos preparados'!O730</f>
        <v/>
      </c>
      <c r="Q737" s="7">
        <f>'1 datos preparados'!P730</f>
        <v/>
      </c>
      <c r="R737" s="7">
        <f>'1 datos preparados'!Q730</f>
        <v/>
      </c>
      <c r="S737" s="7">
        <f>'1 datos preparados'!R730</f>
        <v/>
      </c>
      <c r="T737" s="7">
        <f>'1 datos preparados'!S730</f>
        <v/>
      </c>
      <c r="U737" s="7">
        <f>'1 datos preparados'!T730</f>
        <v/>
      </c>
      <c r="V737" s="8">
        <f>$AE$12+D737*$AE$13+E737*$AE$14+F737*$AE$15+G737*$AE$16+H737*$AE$17+I737*$AE$18+J737*$AE$19+K737*$AE$20+L737*$AE$21+M737*$AE$22+N737*$AE$23+O737*$AE$24+P737*$AE$25+Q737*$AE$26+R737*$AE$27+S737*$AE$28+T737*$AE$29+U737*$AE$30</f>
        <v/>
      </c>
      <c r="W737" s="8">
        <f>1/(1+EXP(-V737))</f>
        <v/>
      </c>
      <c r="X737" s="9">
        <f>-IF(C737=1,LN(W737),LN(1-W737))</f>
        <v/>
      </c>
      <c r="Y737" s="8">
        <f>'1 datos preparados'!V730</f>
        <v/>
      </c>
      <c r="Z737" s="9">
        <f>Y737*X737</f>
        <v/>
      </c>
      <c r="AA737" s="10">
        <f>IF(W737&gt;$AE$33,1,0)</f>
        <v/>
      </c>
      <c r="AB737">
        <f>IF(AA737=C737,1,0)</f>
        <v/>
      </c>
    </row>
    <row r="738">
      <c r="A738">
        <f>'1 datos preparados'!A731</f>
        <v/>
      </c>
      <c r="B738" s="5">
        <f>'1 datos preparados'!U731</f>
        <v/>
      </c>
      <c r="C738">
        <f>'1 datos preparados'!B731</f>
        <v/>
      </c>
      <c r="D738" s="7">
        <f>'1 datos preparados'!C731</f>
        <v/>
      </c>
      <c r="E738" s="7">
        <f>'1 datos preparados'!D731</f>
        <v/>
      </c>
      <c r="F738" s="7">
        <f>'1 datos preparados'!E731</f>
        <v/>
      </c>
      <c r="G738" s="7">
        <f>'1 datos preparados'!F731</f>
        <v/>
      </c>
      <c r="H738" s="7">
        <f>'1 datos preparados'!G731</f>
        <v/>
      </c>
      <c r="I738" s="7">
        <f>'1 datos preparados'!H731</f>
        <v/>
      </c>
      <c r="J738" s="7">
        <f>'1 datos preparados'!I731</f>
        <v/>
      </c>
      <c r="K738" s="7">
        <f>'1 datos preparados'!J731</f>
        <v/>
      </c>
      <c r="L738" s="7">
        <f>'1 datos preparados'!K731</f>
        <v/>
      </c>
      <c r="M738" s="7">
        <f>'1 datos preparados'!L731</f>
        <v/>
      </c>
      <c r="N738" s="7">
        <f>'1 datos preparados'!M731</f>
        <v/>
      </c>
      <c r="O738" s="7">
        <f>'1 datos preparados'!N731</f>
        <v/>
      </c>
      <c r="P738" s="7">
        <f>'1 datos preparados'!O731</f>
        <v/>
      </c>
      <c r="Q738" s="7">
        <f>'1 datos preparados'!P731</f>
        <v/>
      </c>
      <c r="R738" s="7">
        <f>'1 datos preparados'!Q731</f>
        <v/>
      </c>
      <c r="S738" s="7">
        <f>'1 datos preparados'!R731</f>
        <v/>
      </c>
      <c r="T738" s="7">
        <f>'1 datos preparados'!S731</f>
        <v/>
      </c>
      <c r="U738" s="7">
        <f>'1 datos preparados'!T731</f>
        <v/>
      </c>
      <c r="V738" s="8">
        <f>$AE$12+D738*$AE$13+E738*$AE$14+F738*$AE$15+G738*$AE$16+H738*$AE$17+I738*$AE$18+J738*$AE$19+K738*$AE$20+L738*$AE$21+M738*$AE$22+N738*$AE$23+O738*$AE$24+P738*$AE$25+Q738*$AE$26+R738*$AE$27+S738*$AE$28+T738*$AE$29+U738*$AE$30</f>
        <v/>
      </c>
      <c r="W738" s="8">
        <f>1/(1+EXP(-V738))</f>
        <v/>
      </c>
      <c r="X738" s="9">
        <f>-IF(C738=1,LN(W738),LN(1-W738))</f>
        <v/>
      </c>
      <c r="Y738" s="8">
        <f>'1 datos preparados'!V731</f>
        <v/>
      </c>
      <c r="Z738" s="9">
        <f>Y738*X738</f>
        <v/>
      </c>
      <c r="AA738" s="10">
        <f>IF(W738&gt;$AE$33,1,0)</f>
        <v/>
      </c>
      <c r="AB738">
        <f>IF(AA738=C738,1,0)</f>
        <v/>
      </c>
    </row>
    <row r="739">
      <c r="A739">
        <f>'1 datos preparados'!A732</f>
        <v/>
      </c>
      <c r="B739" s="5">
        <f>'1 datos preparados'!U732</f>
        <v/>
      </c>
      <c r="C739">
        <f>'1 datos preparados'!B732</f>
        <v/>
      </c>
      <c r="D739" s="7">
        <f>'1 datos preparados'!C732</f>
        <v/>
      </c>
      <c r="E739" s="7">
        <f>'1 datos preparados'!D732</f>
        <v/>
      </c>
      <c r="F739" s="7">
        <f>'1 datos preparados'!E732</f>
        <v/>
      </c>
      <c r="G739" s="7">
        <f>'1 datos preparados'!F732</f>
        <v/>
      </c>
      <c r="H739" s="7">
        <f>'1 datos preparados'!G732</f>
        <v/>
      </c>
      <c r="I739" s="7">
        <f>'1 datos preparados'!H732</f>
        <v/>
      </c>
      <c r="J739" s="7">
        <f>'1 datos preparados'!I732</f>
        <v/>
      </c>
      <c r="K739" s="7">
        <f>'1 datos preparados'!J732</f>
        <v/>
      </c>
      <c r="L739" s="7">
        <f>'1 datos preparados'!K732</f>
        <v/>
      </c>
      <c r="M739" s="7">
        <f>'1 datos preparados'!L732</f>
        <v/>
      </c>
      <c r="N739" s="7">
        <f>'1 datos preparados'!M732</f>
        <v/>
      </c>
      <c r="O739" s="7">
        <f>'1 datos preparados'!N732</f>
        <v/>
      </c>
      <c r="P739" s="7">
        <f>'1 datos preparados'!O732</f>
        <v/>
      </c>
      <c r="Q739" s="7">
        <f>'1 datos preparados'!P732</f>
        <v/>
      </c>
      <c r="R739" s="7">
        <f>'1 datos preparados'!Q732</f>
        <v/>
      </c>
      <c r="S739" s="7">
        <f>'1 datos preparados'!R732</f>
        <v/>
      </c>
      <c r="T739" s="7">
        <f>'1 datos preparados'!S732</f>
        <v/>
      </c>
      <c r="U739" s="7">
        <f>'1 datos preparados'!T732</f>
        <v/>
      </c>
      <c r="V739" s="8">
        <f>$AE$12+D739*$AE$13+E739*$AE$14+F739*$AE$15+G739*$AE$16+H739*$AE$17+I739*$AE$18+J739*$AE$19+K739*$AE$20+L739*$AE$21+M739*$AE$22+N739*$AE$23+O739*$AE$24+P739*$AE$25+Q739*$AE$26+R739*$AE$27+S739*$AE$28+T739*$AE$29+U739*$AE$30</f>
        <v/>
      </c>
      <c r="W739" s="8">
        <f>1/(1+EXP(-V739))</f>
        <v/>
      </c>
      <c r="X739" s="9">
        <f>-IF(C739=1,LN(W739),LN(1-W739))</f>
        <v/>
      </c>
      <c r="Y739" s="8">
        <f>'1 datos preparados'!V732</f>
        <v/>
      </c>
      <c r="Z739" s="9">
        <f>Y739*X739</f>
        <v/>
      </c>
      <c r="AA739" s="10">
        <f>IF(W739&gt;$AE$33,1,0)</f>
        <v/>
      </c>
      <c r="AB739">
        <f>IF(AA739=C739,1,0)</f>
        <v/>
      </c>
    </row>
    <row r="740">
      <c r="A740">
        <f>'1 datos preparados'!A733</f>
        <v/>
      </c>
      <c r="B740" s="5">
        <f>'1 datos preparados'!U733</f>
        <v/>
      </c>
      <c r="C740">
        <f>'1 datos preparados'!B733</f>
        <v/>
      </c>
      <c r="D740" s="7">
        <f>'1 datos preparados'!C733</f>
        <v/>
      </c>
      <c r="E740" s="7">
        <f>'1 datos preparados'!D733</f>
        <v/>
      </c>
      <c r="F740" s="7">
        <f>'1 datos preparados'!E733</f>
        <v/>
      </c>
      <c r="G740" s="7">
        <f>'1 datos preparados'!F733</f>
        <v/>
      </c>
      <c r="H740" s="7">
        <f>'1 datos preparados'!G733</f>
        <v/>
      </c>
      <c r="I740" s="7">
        <f>'1 datos preparados'!H733</f>
        <v/>
      </c>
      <c r="J740" s="7">
        <f>'1 datos preparados'!I733</f>
        <v/>
      </c>
      <c r="K740" s="7">
        <f>'1 datos preparados'!J733</f>
        <v/>
      </c>
      <c r="L740" s="7">
        <f>'1 datos preparados'!K733</f>
        <v/>
      </c>
      <c r="M740" s="7">
        <f>'1 datos preparados'!L733</f>
        <v/>
      </c>
      <c r="N740" s="7">
        <f>'1 datos preparados'!M733</f>
        <v/>
      </c>
      <c r="O740" s="7">
        <f>'1 datos preparados'!N733</f>
        <v/>
      </c>
      <c r="P740" s="7">
        <f>'1 datos preparados'!O733</f>
        <v/>
      </c>
      <c r="Q740" s="7">
        <f>'1 datos preparados'!P733</f>
        <v/>
      </c>
      <c r="R740" s="7">
        <f>'1 datos preparados'!Q733</f>
        <v/>
      </c>
      <c r="S740" s="7">
        <f>'1 datos preparados'!R733</f>
        <v/>
      </c>
      <c r="T740" s="7">
        <f>'1 datos preparados'!S733</f>
        <v/>
      </c>
      <c r="U740" s="7">
        <f>'1 datos preparados'!T733</f>
        <v/>
      </c>
      <c r="V740" s="8">
        <f>$AE$12+D740*$AE$13+E740*$AE$14+F740*$AE$15+G740*$AE$16+H740*$AE$17+I740*$AE$18+J740*$AE$19+K740*$AE$20+L740*$AE$21+M740*$AE$22+N740*$AE$23+O740*$AE$24+P740*$AE$25+Q740*$AE$26+R740*$AE$27+S740*$AE$28+T740*$AE$29+U740*$AE$30</f>
        <v/>
      </c>
      <c r="W740" s="8">
        <f>1/(1+EXP(-V740))</f>
        <v/>
      </c>
      <c r="X740" s="9">
        <f>-IF(C740=1,LN(W740),LN(1-W740))</f>
        <v/>
      </c>
      <c r="Y740" s="8">
        <f>'1 datos preparados'!V733</f>
        <v/>
      </c>
      <c r="Z740" s="9">
        <f>Y740*X740</f>
        <v/>
      </c>
      <c r="AA740" s="10">
        <f>IF(W740&gt;$AE$33,1,0)</f>
        <v/>
      </c>
      <c r="AB740">
        <f>IF(AA740=C740,1,0)</f>
        <v/>
      </c>
    </row>
    <row r="741">
      <c r="A741">
        <f>'1 datos preparados'!A734</f>
        <v/>
      </c>
      <c r="B741" s="5">
        <f>'1 datos preparados'!U734</f>
        <v/>
      </c>
      <c r="C741">
        <f>'1 datos preparados'!B734</f>
        <v/>
      </c>
      <c r="D741" s="7">
        <f>'1 datos preparados'!C734</f>
        <v/>
      </c>
      <c r="E741" s="7">
        <f>'1 datos preparados'!D734</f>
        <v/>
      </c>
      <c r="F741" s="7">
        <f>'1 datos preparados'!E734</f>
        <v/>
      </c>
      <c r="G741" s="7">
        <f>'1 datos preparados'!F734</f>
        <v/>
      </c>
      <c r="H741" s="7">
        <f>'1 datos preparados'!G734</f>
        <v/>
      </c>
      <c r="I741" s="7">
        <f>'1 datos preparados'!H734</f>
        <v/>
      </c>
      <c r="J741" s="7">
        <f>'1 datos preparados'!I734</f>
        <v/>
      </c>
      <c r="K741" s="7">
        <f>'1 datos preparados'!J734</f>
        <v/>
      </c>
      <c r="L741" s="7">
        <f>'1 datos preparados'!K734</f>
        <v/>
      </c>
      <c r="M741" s="7">
        <f>'1 datos preparados'!L734</f>
        <v/>
      </c>
      <c r="N741" s="7">
        <f>'1 datos preparados'!M734</f>
        <v/>
      </c>
      <c r="O741" s="7">
        <f>'1 datos preparados'!N734</f>
        <v/>
      </c>
      <c r="P741" s="7">
        <f>'1 datos preparados'!O734</f>
        <v/>
      </c>
      <c r="Q741" s="7">
        <f>'1 datos preparados'!P734</f>
        <v/>
      </c>
      <c r="R741" s="7">
        <f>'1 datos preparados'!Q734</f>
        <v/>
      </c>
      <c r="S741" s="7">
        <f>'1 datos preparados'!R734</f>
        <v/>
      </c>
      <c r="T741" s="7">
        <f>'1 datos preparados'!S734</f>
        <v/>
      </c>
      <c r="U741" s="7">
        <f>'1 datos preparados'!T734</f>
        <v/>
      </c>
      <c r="V741" s="8">
        <f>$AE$12+D741*$AE$13+E741*$AE$14+F741*$AE$15+G741*$AE$16+H741*$AE$17+I741*$AE$18+J741*$AE$19+K741*$AE$20+L741*$AE$21+M741*$AE$22+N741*$AE$23+O741*$AE$24+P741*$AE$25+Q741*$AE$26+R741*$AE$27+S741*$AE$28+T741*$AE$29+U741*$AE$30</f>
        <v/>
      </c>
      <c r="W741" s="8">
        <f>1/(1+EXP(-V741))</f>
        <v/>
      </c>
      <c r="X741" s="9">
        <f>-IF(C741=1,LN(W741),LN(1-W741))</f>
        <v/>
      </c>
      <c r="Y741" s="8">
        <f>'1 datos preparados'!V734</f>
        <v/>
      </c>
      <c r="Z741" s="9">
        <f>Y741*X741</f>
        <v/>
      </c>
      <c r="AA741" s="10">
        <f>IF(W741&gt;$AE$33,1,0)</f>
        <v/>
      </c>
      <c r="AB741">
        <f>IF(AA741=C741,1,0)</f>
        <v/>
      </c>
    </row>
    <row r="742">
      <c r="A742">
        <f>'1 datos preparados'!A735</f>
        <v/>
      </c>
      <c r="B742" s="5">
        <f>'1 datos preparados'!U735</f>
        <v/>
      </c>
      <c r="C742">
        <f>'1 datos preparados'!B735</f>
        <v/>
      </c>
      <c r="D742" s="7">
        <f>'1 datos preparados'!C735</f>
        <v/>
      </c>
      <c r="E742" s="7">
        <f>'1 datos preparados'!D735</f>
        <v/>
      </c>
      <c r="F742" s="7">
        <f>'1 datos preparados'!E735</f>
        <v/>
      </c>
      <c r="G742" s="7">
        <f>'1 datos preparados'!F735</f>
        <v/>
      </c>
      <c r="H742" s="7">
        <f>'1 datos preparados'!G735</f>
        <v/>
      </c>
      <c r="I742" s="7">
        <f>'1 datos preparados'!H735</f>
        <v/>
      </c>
      <c r="J742" s="7">
        <f>'1 datos preparados'!I735</f>
        <v/>
      </c>
      <c r="K742" s="7">
        <f>'1 datos preparados'!J735</f>
        <v/>
      </c>
      <c r="L742" s="7">
        <f>'1 datos preparados'!K735</f>
        <v/>
      </c>
      <c r="M742" s="7">
        <f>'1 datos preparados'!L735</f>
        <v/>
      </c>
      <c r="N742" s="7">
        <f>'1 datos preparados'!M735</f>
        <v/>
      </c>
      <c r="O742" s="7">
        <f>'1 datos preparados'!N735</f>
        <v/>
      </c>
      <c r="P742" s="7">
        <f>'1 datos preparados'!O735</f>
        <v/>
      </c>
      <c r="Q742" s="7">
        <f>'1 datos preparados'!P735</f>
        <v/>
      </c>
      <c r="R742" s="7">
        <f>'1 datos preparados'!Q735</f>
        <v/>
      </c>
      <c r="S742" s="7">
        <f>'1 datos preparados'!R735</f>
        <v/>
      </c>
      <c r="T742" s="7">
        <f>'1 datos preparados'!S735</f>
        <v/>
      </c>
      <c r="U742" s="7">
        <f>'1 datos preparados'!T735</f>
        <v/>
      </c>
      <c r="V742" s="8">
        <f>$AE$12+D742*$AE$13+E742*$AE$14+F742*$AE$15+G742*$AE$16+H742*$AE$17+I742*$AE$18+J742*$AE$19+K742*$AE$20+L742*$AE$21+M742*$AE$22+N742*$AE$23+O742*$AE$24+P742*$AE$25+Q742*$AE$26+R742*$AE$27+S742*$AE$28+T742*$AE$29+U742*$AE$30</f>
        <v/>
      </c>
      <c r="W742" s="8">
        <f>1/(1+EXP(-V742))</f>
        <v/>
      </c>
      <c r="X742" s="9">
        <f>-IF(C742=1,LN(W742),LN(1-W742))</f>
        <v/>
      </c>
      <c r="Y742" s="8">
        <f>'1 datos preparados'!V735</f>
        <v/>
      </c>
      <c r="Z742" s="9">
        <f>Y742*X742</f>
        <v/>
      </c>
      <c r="AA742" s="10">
        <f>IF(W742&gt;$AE$33,1,0)</f>
        <v/>
      </c>
      <c r="AB742">
        <f>IF(AA742=C742,1,0)</f>
        <v/>
      </c>
    </row>
    <row r="743">
      <c r="A743">
        <f>'1 datos preparados'!A736</f>
        <v/>
      </c>
      <c r="B743" s="5">
        <f>'1 datos preparados'!U736</f>
        <v/>
      </c>
      <c r="C743">
        <f>'1 datos preparados'!B736</f>
        <v/>
      </c>
      <c r="D743" s="7">
        <f>'1 datos preparados'!C736</f>
        <v/>
      </c>
      <c r="E743" s="7">
        <f>'1 datos preparados'!D736</f>
        <v/>
      </c>
      <c r="F743" s="7">
        <f>'1 datos preparados'!E736</f>
        <v/>
      </c>
      <c r="G743" s="7">
        <f>'1 datos preparados'!F736</f>
        <v/>
      </c>
      <c r="H743" s="7">
        <f>'1 datos preparados'!G736</f>
        <v/>
      </c>
      <c r="I743" s="7">
        <f>'1 datos preparados'!H736</f>
        <v/>
      </c>
      <c r="J743" s="7">
        <f>'1 datos preparados'!I736</f>
        <v/>
      </c>
      <c r="K743" s="7">
        <f>'1 datos preparados'!J736</f>
        <v/>
      </c>
      <c r="L743" s="7">
        <f>'1 datos preparados'!K736</f>
        <v/>
      </c>
      <c r="M743" s="7">
        <f>'1 datos preparados'!L736</f>
        <v/>
      </c>
      <c r="N743" s="7">
        <f>'1 datos preparados'!M736</f>
        <v/>
      </c>
      <c r="O743" s="7">
        <f>'1 datos preparados'!N736</f>
        <v/>
      </c>
      <c r="P743" s="7">
        <f>'1 datos preparados'!O736</f>
        <v/>
      </c>
      <c r="Q743" s="7">
        <f>'1 datos preparados'!P736</f>
        <v/>
      </c>
      <c r="R743" s="7">
        <f>'1 datos preparados'!Q736</f>
        <v/>
      </c>
      <c r="S743" s="7">
        <f>'1 datos preparados'!R736</f>
        <v/>
      </c>
      <c r="T743" s="7">
        <f>'1 datos preparados'!S736</f>
        <v/>
      </c>
      <c r="U743" s="7">
        <f>'1 datos preparados'!T736</f>
        <v/>
      </c>
      <c r="V743" s="8">
        <f>$AE$12+D743*$AE$13+E743*$AE$14+F743*$AE$15+G743*$AE$16+H743*$AE$17+I743*$AE$18+J743*$AE$19+K743*$AE$20+L743*$AE$21+M743*$AE$22+N743*$AE$23+O743*$AE$24+P743*$AE$25+Q743*$AE$26+R743*$AE$27+S743*$AE$28+T743*$AE$29+U743*$AE$30</f>
        <v/>
      </c>
      <c r="W743" s="8">
        <f>1/(1+EXP(-V743))</f>
        <v/>
      </c>
      <c r="X743" s="9">
        <f>-IF(C743=1,LN(W743),LN(1-W743))</f>
        <v/>
      </c>
      <c r="Y743" s="8">
        <f>'1 datos preparados'!V736</f>
        <v/>
      </c>
      <c r="Z743" s="9">
        <f>Y743*X743</f>
        <v/>
      </c>
      <c r="AA743" s="10">
        <f>IF(W743&gt;$AE$33,1,0)</f>
        <v/>
      </c>
      <c r="AB743">
        <f>IF(AA743=C743,1,0)</f>
        <v/>
      </c>
    </row>
    <row r="744">
      <c r="A744">
        <f>'1 datos preparados'!A737</f>
        <v/>
      </c>
      <c r="B744" s="5">
        <f>'1 datos preparados'!U737</f>
        <v/>
      </c>
      <c r="C744">
        <f>'1 datos preparados'!B737</f>
        <v/>
      </c>
      <c r="D744" s="7">
        <f>'1 datos preparados'!C737</f>
        <v/>
      </c>
      <c r="E744" s="7">
        <f>'1 datos preparados'!D737</f>
        <v/>
      </c>
      <c r="F744" s="7">
        <f>'1 datos preparados'!E737</f>
        <v/>
      </c>
      <c r="G744" s="7">
        <f>'1 datos preparados'!F737</f>
        <v/>
      </c>
      <c r="H744" s="7">
        <f>'1 datos preparados'!G737</f>
        <v/>
      </c>
      <c r="I744" s="7">
        <f>'1 datos preparados'!H737</f>
        <v/>
      </c>
      <c r="J744" s="7">
        <f>'1 datos preparados'!I737</f>
        <v/>
      </c>
      <c r="K744" s="7">
        <f>'1 datos preparados'!J737</f>
        <v/>
      </c>
      <c r="L744" s="7">
        <f>'1 datos preparados'!K737</f>
        <v/>
      </c>
      <c r="M744" s="7">
        <f>'1 datos preparados'!L737</f>
        <v/>
      </c>
      <c r="N744" s="7">
        <f>'1 datos preparados'!M737</f>
        <v/>
      </c>
      <c r="O744" s="7">
        <f>'1 datos preparados'!N737</f>
        <v/>
      </c>
      <c r="P744" s="7">
        <f>'1 datos preparados'!O737</f>
        <v/>
      </c>
      <c r="Q744" s="7">
        <f>'1 datos preparados'!P737</f>
        <v/>
      </c>
      <c r="R744" s="7">
        <f>'1 datos preparados'!Q737</f>
        <v/>
      </c>
      <c r="S744" s="7">
        <f>'1 datos preparados'!R737</f>
        <v/>
      </c>
      <c r="T744" s="7">
        <f>'1 datos preparados'!S737</f>
        <v/>
      </c>
      <c r="U744" s="7">
        <f>'1 datos preparados'!T737</f>
        <v/>
      </c>
      <c r="V744" s="8">
        <f>$AE$12+D744*$AE$13+E744*$AE$14+F744*$AE$15+G744*$AE$16+H744*$AE$17+I744*$AE$18+J744*$AE$19+K744*$AE$20+L744*$AE$21+M744*$AE$22+N744*$AE$23+O744*$AE$24+P744*$AE$25+Q744*$AE$26+R744*$AE$27+S744*$AE$28+T744*$AE$29+U744*$AE$30</f>
        <v/>
      </c>
      <c r="W744" s="8">
        <f>1/(1+EXP(-V744))</f>
        <v/>
      </c>
      <c r="X744" s="9">
        <f>-IF(C744=1,LN(W744),LN(1-W744))</f>
        <v/>
      </c>
      <c r="Y744" s="8">
        <f>'1 datos preparados'!V737</f>
        <v/>
      </c>
      <c r="Z744" s="9">
        <f>Y744*X744</f>
        <v/>
      </c>
      <c r="AA744" s="10">
        <f>IF(W744&gt;$AE$33,1,0)</f>
        <v/>
      </c>
      <c r="AB744">
        <f>IF(AA744=C744,1,0)</f>
        <v/>
      </c>
    </row>
    <row r="745">
      <c r="A745">
        <f>'1 datos preparados'!A738</f>
        <v/>
      </c>
      <c r="B745" s="5">
        <f>'1 datos preparados'!U738</f>
        <v/>
      </c>
      <c r="C745">
        <f>'1 datos preparados'!B738</f>
        <v/>
      </c>
      <c r="D745" s="7">
        <f>'1 datos preparados'!C738</f>
        <v/>
      </c>
      <c r="E745" s="7">
        <f>'1 datos preparados'!D738</f>
        <v/>
      </c>
      <c r="F745" s="7">
        <f>'1 datos preparados'!E738</f>
        <v/>
      </c>
      <c r="G745" s="7">
        <f>'1 datos preparados'!F738</f>
        <v/>
      </c>
      <c r="H745" s="7">
        <f>'1 datos preparados'!G738</f>
        <v/>
      </c>
      <c r="I745" s="7">
        <f>'1 datos preparados'!H738</f>
        <v/>
      </c>
      <c r="J745" s="7">
        <f>'1 datos preparados'!I738</f>
        <v/>
      </c>
      <c r="K745" s="7">
        <f>'1 datos preparados'!J738</f>
        <v/>
      </c>
      <c r="L745" s="7">
        <f>'1 datos preparados'!K738</f>
        <v/>
      </c>
      <c r="M745" s="7">
        <f>'1 datos preparados'!L738</f>
        <v/>
      </c>
      <c r="N745" s="7">
        <f>'1 datos preparados'!M738</f>
        <v/>
      </c>
      <c r="O745" s="7">
        <f>'1 datos preparados'!N738</f>
        <v/>
      </c>
      <c r="P745" s="7">
        <f>'1 datos preparados'!O738</f>
        <v/>
      </c>
      <c r="Q745" s="7">
        <f>'1 datos preparados'!P738</f>
        <v/>
      </c>
      <c r="R745" s="7">
        <f>'1 datos preparados'!Q738</f>
        <v/>
      </c>
      <c r="S745" s="7">
        <f>'1 datos preparados'!R738</f>
        <v/>
      </c>
      <c r="T745" s="7">
        <f>'1 datos preparados'!S738</f>
        <v/>
      </c>
      <c r="U745" s="7">
        <f>'1 datos preparados'!T738</f>
        <v/>
      </c>
      <c r="V745" s="8">
        <f>$AE$12+D745*$AE$13+E745*$AE$14+F745*$AE$15+G745*$AE$16+H745*$AE$17+I745*$AE$18+J745*$AE$19+K745*$AE$20+L745*$AE$21+M745*$AE$22+N745*$AE$23+O745*$AE$24+P745*$AE$25+Q745*$AE$26+R745*$AE$27+S745*$AE$28+T745*$AE$29+U745*$AE$30</f>
        <v/>
      </c>
      <c r="W745" s="8">
        <f>1/(1+EXP(-V745))</f>
        <v/>
      </c>
      <c r="X745" s="9">
        <f>-IF(C745=1,LN(W745),LN(1-W745))</f>
        <v/>
      </c>
      <c r="Y745" s="8">
        <f>'1 datos preparados'!V738</f>
        <v/>
      </c>
      <c r="Z745" s="9">
        <f>Y745*X745</f>
        <v/>
      </c>
      <c r="AA745" s="10">
        <f>IF(W745&gt;$AE$33,1,0)</f>
        <v/>
      </c>
      <c r="AB745">
        <f>IF(AA745=C745,1,0)</f>
        <v/>
      </c>
    </row>
    <row r="746">
      <c r="A746">
        <f>'1 datos preparados'!A739</f>
        <v/>
      </c>
      <c r="B746" s="5">
        <f>'1 datos preparados'!U739</f>
        <v/>
      </c>
      <c r="C746">
        <f>'1 datos preparados'!B739</f>
        <v/>
      </c>
      <c r="D746" s="7">
        <f>'1 datos preparados'!C739</f>
        <v/>
      </c>
      <c r="E746" s="7">
        <f>'1 datos preparados'!D739</f>
        <v/>
      </c>
      <c r="F746" s="7">
        <f>'1 datos preparados'!E739</f>
        <v/>
      </c>
      <c r="G746" s="7">
        <f>'1 datos preparados'!F739</f>
        <v/>
      </c>
      <c r="H746" s="7">
        <f>'1 datos preparados'!G739</f>
        <v/>
      </c>
      <c r="I746" s="7">
        <f>'1 datos preparados'!H739</f>
        <v/>
      </c>
      <c r="J746" s="7">
        <f>'1 datos preparados'!I739</f>
        <v/>
      </c>
      <c r="K746" s="7">
        <f>'1 datos preparados'!J739</f>
        <v/>
      </c>
      <c r="L746" s="7">
        <f>'1 datos preparados'!K739</f>
        <v/>
      </c>
      <c r="M746" s="7">
        <f>'1 datos preparados'!L739</f>
        <v/>
      </c>
      <c r="N746" s="7">
        <f>'1 datos preparados'!M739</f>
        <v/>
      </c>
      <c r="O746" s="7">
        <f>'1 datos preparados'!N739</f>
        <v/>
      </c>
      <c r="P746" s="7">
        <f>'1 datos preparados'!O739</f>
        <v/>
      </c>
      <c r="Q746" s="7">
        <f>'1 datos preparados'!P739</f>
        <v/>
      </c>
      <c r="R746" s="7">
        <f>'1 datos preparados'!Q739</f>
        <v/>
      </c>
      <c r="S746" s="7">
        <f>'1 datos preparados'!R739</f>
        <v/>
      </c>
      <c r="T746" s="7">
        <f>'1 datos preparados'!S739</f>
        <v/>
      </c>
      <c r="U746" s="7">
        <f>'1 datos preparados'!T739</f>
        <v/>
      </c>
      <c r="V746" s="8">
        <f>$AE$12+D746*$AE$13+E746*$AE$14+F746*$AE$15+G746*$AE$16+H746*$AE$17+I746*$AE$18+J746*$AE$19+K746*$AE$20+L746*$AE$21+M746*$AE$22+N746*$AE$23+O746*$AE$24+P746*$AE$25+Q746*$AE$26+R746*$AE$27+S746*$AE$28+T746*$AE$29+U746*$AE$30</f>
        <v/>
      </c>
      <c r="W746" s="8">
        <f>1/(1+EXP(-V746))</f>
        <v/>
      </c>
      <c r="X746" s="9">
        <f>-IF(C746=1,LN(W746),LN(1-W746))</f>
        <v/>
      </c>
      <c r="Y746" s="8">
        <f>'1 datos preparados'!V739</f>
        <v/>
      </c>
      <c r="Z746" s="9">
        <f>Y746*X746</f>
        <v/>
      </c>
      <c r="AA746" s="10">
        <f>IF(W746&gt;$AE$33,1,0)</f>
        <v/>
      </c>
      <c r="AB746">
        <f>IF(AA746=C746,1,0)</f>
        <v/>
      </c>
    </row>
    <row r="747">
      <c r="A747">
        <f>'1 datos preparados'!A740</f>
        <v/>
      </c>
      <c r="B747" s="5">
        <f>'1 datos preparados'!U740</f>
        <v/>
      </c>
      <c r="C747">
        <f>'1 datos preparados'!B740</f>
        <v/>
      </c>
      <c r="D747" s="7">
        <f>'1 datos preparados'!C740</f>
        <v/>
      </c>
      <c r="E747" s="7">
        <f>'1 datos preparados'!D740</f>
        <v/>
      </c>
      <c r="F747" s="7">
        <f>'1 datos preparados'!E740</f>
        <v/>
      </c>
      <c r="G747" s="7">
        <f>'1 datos preparados'!F740</f>
        <v/>
      </c>
      <c r="H747" s="7">
        <f>'1 datos preparados'!G740</f>
        <v/>
      </c>
      <c r="I747" s="7">
        <f>'1 datos preparados'!H740</f>
        <v/>
      </c>
      <c r="J747" s="7">
        <f>'1 datos preparados'!I740</f>
        <v/>
      </c>
      <c r="K747" s="7">
        <f>'1 datos preparados'!J740</f>
        <v/>
      </c>
      <c r="L747" s="7">
        <f>'1 datos preparados'!K740</f>
        <v/>
      </c>
      <c r="M747" s="7">
        <f>'1 datos preparados'!L740</f>
        <v/>
      </c>
      <c r="N747" s="7">
        <f>'1 datos preparados'!M740</f>
        <v/>
      </c>
      <c r="O747" s="7">
        <f>'1 datos preparados'!N740</f>
        <v/>
      </c>
      <c r="P747" s="7">
        <f>'1 datos preparados'!O740</f>
        <v/>
      </c>
      <c r="Q747" s="7">
        <f>'1 datos preparados'!P740</f>
        <v/>
      </c>
      <c r="R747" s="7">
        <f>'1 datos preparados'!Q740</f>
        <v/>
      </c>
      <c r="S747" s="7">
        <f>'1 datos preparados'!R740</f>
        <v/>
      </c>
      <c r="T747" s="7">
        <f>'1 datos preparados'!S740</f>
        <v/>
      </c>
      <c r="U747" s="7">
        <f>'1 datos preparados'!T740</f>
        <v/>
      </c>
      <c r="V747" s="8">
        <f>$AE$12+D747*$AE$13+E747*$AE$14+F747*$AE$15+G747*$AE$16+H747*$AE$17+I747*$AE$18+J747*$AE$19+K747*$AE$20+L747*$AE$21+M747*$AE$22+N747*$AE$23+O747*$AE$24+P747*$AE$25+Q747*$AE$26+R747*$AE$27+S747*$AE$28+T747*$AE$29+U747*$AE$30</f>
        <v/>
      </c>
      <c r="W747" s="8">
        <f>1/(1+EXP(-V747))</f>
        <v/>
      </c>
      <c r="X747" s="9">
        <f>-IF(C747=1,LN(W747),LN(1-W747))</f>
        <v/>
      </c>
      <c r="Y747" s="8">
        <f>'1 datos preparados'!V740</f>
        <v/>
      </c>
      <c r="Z747" s="9">
        <f>Y747*X747</f>
        <v/>
      </c>
      <c r="AA747" s="10">
        <f>IF(W747&gt;$AE$33,1,0)</f>
        <v/>
      </c>
      <c r="AB747">
        <f>IF(AA747=C747,1,0)</f>
        <v/>
      </c>
    </row>
    <row r="748">
      <c r="A748">
        <f>'1 datos preparados'!A741</f>
        <v/>
      </c>
      <c r="B748" s="5">
        <f>'1 datos preparados'!U741</f>
        <v/>
      </c>
      <c r="C748">
        <f>'1 datos preparados'!B741</f>
        <v/>
      </c>
      <c r="D748" s="7">
        <f>'1 datos preparados'!C741</f>
        <v/>
      </c>
      <c r="E748" s="7">
        <f>'1 datos preparados'!D741</f>
        <v/>
      </c>
      <c r="F748" s="7">
        <f>'1 datos preparados'!E741</f>
        <v/>
      </c>
      <c r="G748" s="7">
        <f>'1 datos preparados'!F741</f>
        <v/>
      </c>
      <c r="H748" s="7">
        <f>'1 datos preparados'!G741</f>
        <v/>
      </c>
      <c r="I748" s="7">
        <f>'1 datos preparados'!H741</f>
        <v/>
      </c>
      <c r="J748" s="7">
        <f>'1 datos preparados'!I741</f>
        <v/>
      </c>
      <c r="K748" s="7">
        <f>'1 datos preparados'!J741</f>
        <v/>
      </c>
      <c r="L748" s="7">
        <f>'1 datos preparados'!K741</f>
        <v/>
      </c>
      <c r="M748" s="7">
        <f>'1 datos preparados'!L741</f>
        <v/>
      </c>
      <c r="N748" s="7">
        <f>'1 datos preparados'!M741</f>
        <v/>
      </c>
      <c r="O748" s="7">
        <f>'1 datos preparados'!N741</f>
        <v/>
      </c>
      <c r="P748" s="7">
        <f>'1 datos preparados'!O741</f>
        <v/>
      </c>
      <c r="Q748" s="7">
        <f>'1 datos preparados'!P741</f>
        <v/>
      </c>
      <c r="R748" s="7">
        <f>'1 datos preparados'!Q741</f>
        <v/>
      </c>
      <c r="S748" s="7">
        <f>'1 datos preparados'!R741</f>
        <v/>
      </c>
      <c r="T748" s="7">
        <f>'1 datos preparados'!S741</f>
        <v/>
      </c>
      <c r="U748" s="7">
        <f>'1 datos preparados'!T741</f>
        <v/>
      </c>
      <c r="V748" s="8">
        <f>$AE$12+D748*$AE$13+E748*$AE$14+F748*$AE$15+G748*$AE$16+H748*$AE$17+I748*$AE$18+J748*$AE$19+K748*$AE$20+L748*$AE$21+M748*$AE$22+N748*$AE$23+O748*$AE$24+P748*$AE$25+Q748*$AE$26+R748*$AE$27+S748*$AE$28+T748*$AE$29+U748*$AE$30</f>
        <v/>
      </c>
      <c r="W748" s="8">
        <f>1/(1+EXP(-V748))</f>
        <v/>
      </c>
      <c r="X748" s="9">
        <f>-IF(C748=1,LN(W748),LN(1-W748))</f>
        <v/>
      </c>
      <c r="Y748" s="8">
        <f>'1 datos preparados'!V741</f>
        <v/>
      </c>
      <c r="Z748" s="9">
        <f>Y748*X748</f>
        <v/>
      </c>
      <c r="AA748" s="10">
        <f>IF(W748&gt;$AE$33,1,0)</f>
        <v/>
      </c>
      <c r="AB748">
        <f>IF(AA748=C748,1,0)</f>
        <v/>
      </c>
    </row>
    <row r="749">
      <c r="A749">
        <f>'1 datos preparados'!A742</f>
        <v/>
      </c>
      <c r="B749" s="5">
        <f>'1 datos preparados'!U742</f>
        <v/>
      </c>
      <c r="C749">
        <f>'1 datos preparados'!B742</f>
        <v/>
      </c>
      <c r="D749" s="7">
        <f>'1 datos preparados'!C742</f>
        <v/>
      </c>
      <c r="E749" s="7">
        <f>'1 datos preparados'!D742</f>
        <v/>
      </c>
      <c r="F749" s="7">
        <f>'1 datos preparados'!E742</f>
        <v/>
      </c>
      <c r="G749" s="7">
        <f>'1 datos preparados'!F742</f>
        <v/>
      </c>
      <c r="H749" s="7">
        <f>'1 datos preparados'!G742</f>
        <v/>
      </c>
      <c r="I749" s="7">
        <f>'1 datos preparados'!H742</f>
        <v/>
      </c>
      <c r="J749" s="7">
        <f>'1 datos preparados'!I742</f>
        <v/>
      </c>
      <c r="K749" s="7">
        <f>'1 datos preparados'!J742</f>
        <v/>
      </c>
      <c r="L749" s="7">
        <f>'1 datos preparados'!K742</f>
        <v/>
      </c>
      <c r="M749" s="7">
        <f>'1 datos preparados'!L742</f>
        <v/>
      </c>
      <c r="N749" s="7">
        <f>'1 datos preparados'!M742</f>
        <v/>
      </c>
      <c r="O749" s="7">
        <f>'1 datos preparados'!N742</f>
        <v/>
      </c>
      <c r="P749" s="7">
        <f>'1 datos preparados'!O742</f>
        <v/>
      </c>
      <c r="Q749" s="7">
        <f>'1 datos preparados'!P742</f>
        <v/>
      </c>
      <c r="R749" s="7">
        <f>'1 datos preparados'!Q742</f>
        <v/>
      </c>
      <c r="S749" s="7">
        <f>'1 datos preparados'!R742</f>
        <v/>
      </c>
      <c r="T749" s="7">
        <f>'1 datos preparados'!S742</f>
        <v/>
      </c>
      <c r="U749" s="7">
        <f>'1 datos preparados'!T742</f>
        <v/>
      </c>
      <c r="V749" s="8">
        <f>$AE$12+D749*$AE$13+E749*$AE$14+F749*$AE$15+G749*$AE$16+H749*$AE$17+I749*$AE$18+J749*$AE$19+K749*$AE$20+L749*$AE$21+M749*$AE$22+N749*$AE$23+O749*$AE$24+P749*$AE$25+Q749*$AE$26+R749*$AE$27+S749*$AE$28+T749*$AE$29+U749*$AE$30</f>
        <v/>
      </c>
      <c r="W749" s="8">
        <f>1/(1+EXP(-V749))</f>
        <v/>
      </c>
      <c r="X749" s="9">
        <f>-IF(C749=1,LN(W749),LN(1-W749))</f>
        <v/>
      </c>
      <c r="Y749" s="8">
        <f>'1 datos preparados'!V742</f>
        <v/>
      </c>
      <c r="Z749" s="9">
        <f>Y749*X749</f>
        <v/>
      </c>
      <c r="AA749" s="10">
        <f>IF(W749&gt;$AE$33,1,0)</f>
        <v/>
      </c>
      <c r="AB749">
        <f>IF(AA749=C749,1,0)</f>
        <v/>
      </c>
    </row>
    <row r="750">
      <c r="A750">
        <f>'1 datos preparados'!A743</f>
        <v/>
      </c>
      <c r="B750" s="5">
        <f>'1 datos preparados'!U743</f>
        <v/>
      </c>
      <c r="C750">
        <f>'1 datos preparados'!B743</f>
        <v/>
      </c>
      <c r="D750" s="7">
        <f>'1 datos preparados'!C743</f>
        <v/>
      </c>
      <c r="E750" s="7">
        <f>'1 datos preparados'!D743</f>
        <v/>
      </c>
      <c r="F750" s="7">
        <f>'1 datos preparados'!E743</f>
        <v/>
      </c>
      <c r="G750" s="7">
        <f>'1 datos preparados'!F743</f>
        <v/>
      </c>
      <c r="H750" s="7">
        <f>'1 datos preparados'!G743</f>
        <v/>
      </c>
      <c r="I750" s="7">
        <f>'1 datos preparados'!H743</f>
        <v/>
      </c>
      <c r="J750" s="7">
        <f>'1 datos preparados'!I743</f>
        <v/>
      </c>
      <c r="K750" s="7">
        <f>'1 datos preparados'!J743</f>
        <v/>
      </c>
      <c r="L750" s="7">
        <f>'1 datos preparados'!K743</f>
        <v/>
      </c>
      <c r="M750" s="7">
        <f>'1 datos preparados'!L743</f>
        <v/>
      </c>
      <c r="N750" s="7">
        <f>'1 datos preparados'!M743</f>
        <v/>
      </c>
      <c r="O750" s="7">
        <f>'1 datos preparados'!N743</f>
        <v/>
      </c>
      <c r="P750" s="7">
        <f>'1 datos preparados'!O743</f>
        <v/>
      </c>
      <c r="Q750" s="7">
        <f>'1 datos preparados'!P743</f>
        <v/>
      </c>
      <c r="R750" s="7">
        <f>'1 datos preparados'!Q743</f>
        <v/>
      </c>
      <c r="S750" s="7">
        <f>'1 datos preparados'!R743</f>
        <v/>
      </c>
      <c r="T750" s="7">
        <f>'1 datos preparados'!S743</f>
        <v/>
      </c>
      <c r="U750" s="7">
        <f>'1 datos preparados'!T743</f>
        <v/>
      </c>
      <c r="V750" s="8">
        <f>$AE$12+D750*$AE$13+E750*$AE$14+F750*$AE$15+G750*$AE$16+H750*$AE$17+I750*$AE$18+J750*$AE$19+K750*$AE$20+L750*$AE$21+M750*$AE$22+N750*$AE$23+O750*$AE$24+P750*$AE$25+Q750*$AE$26+R750*$AE$27+S750*$AE$28+T750*$AE$29+U750*$AE$30</f>
        <v/>
      </c>
      <c r="W750" s="8">
        <f>1/(1+EXP(-V750))</f>
        <v/>
      </c>
      <c r="X750" s="9">
        <f>-IF(C750=1,LN(W750),LN(1-W750))</f>
        <v/>
      </c>
      <c r="Y750" s="8">
        <f>'1 datos preparados'!V743</f>
        <v/>
      </c>
      <c r="Z750" s="9">
        <f>Y750*X750</f>
        <v/>
      </c>
      <c r="AA750" s="10">
        <f>IF(W750&gt;$AE$33,1,0)</f>
        <v/>
      </c>
      <c r="AB750">
        <f>IF(AA750=C750,1,0)</f>
        <v/>
      </c>
    </row>
    <row r="751">
      <c r="A751">
        <f>'1 datos preparados'!A744</f>
        <v/>
      </c>
      <c r="B751" s="5">
        <f>'1 datos preparados'!U744</f>
        <v/>
      </c>
      <c r="C751">
        <f>'1 datos preparados'!B744</f>
        <v/>
      </c>
      <c r="D751" s="7">
        <f>'1 datos preparados'!C744</f>
        <v/>
      </c>
      <c r="E751" s="7">
        <f>'1 datos preparados'!D744</f>
        <v/>
      </c>
      <c r="F751" s="7">
        <f>'1 datos preparados'!E744</f>
        <v/>
      </c>
      <c r="G751" s="7">
        <f>'1 datos preparados'!F744</f>
        <v/>
      </c>
      <c r="H751" s="7">
        <f>'1 datos preparados'!G744</f>
        <v/>
      </c>
      <c r="I751" s="7">
        <f>'1 datos preparados'!H744</f>
        <v/>
      </c>
      <c r="J751" s="7">
        <f>'1 datos preparados'!I744</f>
        <v/>
      </c>
      <c r="K751" s="7">
        <f>'1 datos preparados'!J744</f>
        <v/>
      </c>
      <c r="L751" s="7">
        <f>'1 datos preparados'!K744</f>
        <v/>
      </c>
      <c r="M751" s="7">
        <f>'1 datos preparados'!L744</f>
        <v/>
      </c>
      <c r="N751" s="7">
        <f>'1 datos preparados'!M744</f>
        <v/>
      </c>
      <c r="O751" s="7">
        <f>'1 datos preparados'!N744</f>
        <v/>
      </c>
      <c r="P751" s="7">
        <f>'1 datos preparados'!O744</f>
        <v/>
      </c>
      <c r="Q751" s="7">
        <f>'1 datos preparados'!P744</f>
        <v/>
      </c>
      <c r="R751" s="7">
        <f>'1 datos preparados'!Q744</f>
        <v/>
      </c>
      <c r="S751" s="7">
        <f>'1 datos preparados'!R744</f>
        <v/>
      </c>
      <c r="T751" s="7">
        <f>'1 datos preparados'!S744</f>
        <v/>
      </c>
      <c r="U751" s="7">
        <f>'1 datos preparados'!T744</f>
        <v/>
      </c>
      <c r="V751" s="8">
        <f>$AE$12+D751*$AE$13+E751*$AE$14+F751*$AE$15+G751*$AE$16+H751*$AE$17+I751*$AE$18+J751*$AE$19+K751*$AE$20+L751*$AE$21+M751*$AE$22+N751*$AE$23+O751*$AE$24+P751*$AE$25+Q751*$AE$26+R751*$AE$27+S751*$AE$28+T751*$AE$29+U751*$AE$30</f>
        <v/>
      </c>
      <c r="W751" s="8">
        <f>1/(1+EXP(-V751))</f>
        <v/>
      </c>
      <c r="X751" s="9">
        <f>-IF(C751=1,LN(W751),LN(1-W751))</f>
        <v/>
      </c>
      <c r="Y751" s="8">
        <f>'1 datos preparados'!V744</f>
        <v/>
      </c>
      <c r="Z751" s="9">
        <f>Y751*X751</f>
        <v/>
      </c>
      <c r="AA751" s="10">
        <f>IF(W751&gt;$AE$33,1,0)</f>
        <v/>
      </c>
      <c r="AB751">
        <f>IF(AA751=C751,1,0)</f>
        <v/>
      </c>
    </row>
    <row r="752">
      <c r="A752">
        <f>'1 datos preparados'!A745</f>
        <v/>
      </c>
      <c r="B752" s="5">
        <f>'1 datos preparados'!U745</f>
        <v/>
      </c>
      <c r="C752">
        <f>'1 datos preparados'!B745</f>
        <v/>
      </c>
      <c r="D752" s="7">
        <f>'1 datos preparados'!C745</f>
        <v/>
      </c>
      <c r="E752" s="7">
        <f>'1 datos preparados'!D745</f>
        <v/>
      </c>
      <c r="F752" s="7">
        <f>'1 datos preparados'!E745</f>
        <v/>
      </c>
      <c r="G752" s="7">
        <f>'1 datos preparados'!F745</f>
        <v/>
      </c>
      <c r="H752" s="7">
        <f>'1 datos preparados'!G745</f>
        <v/>
      </c>
      <c r="I752" s="7">
        <f>'1 datos preparados'!H745</f>
        <v/>
      </c>
      <c r="J752" s="7">
        <f>'1 datos preparados'!I745</f>
        <v/>
      </c>
      <c r="K752" s="7">
        <f>'1 datos preparados'!J745</f>
        <v/>
      </c>
      <c r="L752" s="7">
        <f>'1 datos preparados'!K745</f>
        <v/>
      </c>
      <c r="M752" s="7">
        <f>'1 datos preparados'!L745</f>
        <v/>
      </c>
      <c r="N752" s="7">
        <f>'1 datos preparados'!M745</f>
        <v/>
      </c>
      <c r="O752" s="7">
        <f>'1 datos preparados'!N745</f>
        <v/>
      </c>
      <c r="P752" s="7">
        <f>'1 datos preparados'!O745</f>
        <v/>
      </c>
      <c r="Q752" s="7">
        <f>'1 datos preparados'!P745</f>
        <v/>
      </c>
      <c r="R752" s="7">
        <f>'1 datos preparados'!Q745</f>
        <v/>
      </c>
      <c r="S752" s="7">
        <f>'1 datos preparados'!R745</f>
        <v/>
      </c>
      <c r="T752" s="7">
        <f>'1 datos preparados'!S745</f>
        <v/>
      </c>
      <c r="U752" s="7">
        <f>'1 datos preparados'!T745</f>
        <v/>
      </c>
      <c r="V752" s="8">
        <f>$AE$12+D752*$AE$13+E752*$AE$14+F752*$AE$15+G752*$AE$16+H752*$AE$17+I752*$AE$18+J752*$AE$19+K752*$AE$20+L752*$AE$21+M752*$AE$22+N752*$AE$23+O752*$AE$24+P752*$AE$25+Q752*$AE$26+R752*$AE$27+S752*$AE$28+T752*$AE$29+U752*$AE$30</f>
        <v/>
      </c>
      <c r="W752" s="8">
        <f>1/(1+EXP(-V752))</f>
        <v/>
      </c>
      <c r="X752" s="9">
        <f>-IF(C752=1,LN(W752),LN(1-W752))</f>
        <v/>
      </c>
      <c r="Y752" s="8">
        <f>'1 datos preparados'!V745</f>
        <v/>
      </c>
      <c r="Z752" s="9">
        <f>Y752*X752</f>
        <v/>
      </c>
      <c r="AA752" s="10">
        <f>IF(W752&gt;$AE$33,1,0)</f>
        <v/>
      </c>
      <c r="AB752">
        <f>IF(AA752=C752,1,0)</f>
        <v/>
      </c>
    </row>
    <row r="753">
      <c r="A753">
        <f>'1 datos preparados'!A746</f>
        <v/>
      </c>
      <c r="B753" s="5">
        <f>'1 datos preparados'!U746</f>
        <v/>
      </c>
      <c r="C753">
        <f>'1 datos preparados'!B746</f>
        <v/>
      </c>
      <c r="D753" s="7">
        <f>'1 datos preparados'!C746</f>
        <v/>
      </c>
      <c r="E753" s="7">
        <f>'1 datos preparados'!D746</f>
        <v/>
      </c>
      <c r="F753" s="7">
        <f>'1 datos preparados'!E746</f>
        <v/>
      </c>
      <c r="G753" s="7">
        <f>'1 datos preparados'!F746</f>
        <v/>
      </c>
      <c r="H753" s="7">
        <f>'1 datos preparados'!G746</f>
        <v/>
      </c>
      <c r="I753" s="7">
        <f>'1 datos preparados'!H746</f>
        <v/>
      </c>
      <c r="J753" s="7">
        <f>'1 datos preparados'!I746</f>
        <v/>
      </c>
      <c r="K753" s="7">
        <f>'1 datos preparados'!J746</f>
        <v/>
      </c>
      <c r="L753" s="7">
        <f>'1 datos preparados'!K746</f>
        <v/>
      </c>
      <c r="M753" s="7">
        <f>'1 datos preparados'!L746</f>
        <v/>
      </c>
      <c r="N753" s="7">
        <f>'1 datos preparados'!M746</f>
        <v/>
      </c>
      <c r="O753" s="7">
        <f>'1 datos preparados'!N746</f>
        <v/>
      </c>
      <c r="P753" s="7">
        <f>'1 datos preparados'!O746</f>
        <v/>
      </c>
      <c r="Q753" s="7">
        <f>'1 datos preparados'!P746</f>
        <v/>
      </c>
      <c r="R753" s="7">
        <f>'1 datos preparados'!Q746</f>
        <v/>
      </c>
      <c r="S753" s="7">
        <f>'1 datos preparados'!R746</f>
        <v/>
      </c>
      <c r="T753" s="7">
        <f>'1 datos preparados'!S746</f>
        <v/>
      </c>
      <c r="U753" s="7">
        <f>'1 datos preparados'!T746</f>
        <v/>
      </c>
      <c r="V753" s="8">
        <f>$AE$12+D753*$AE$13+E753*$AE$14+F753*$AE$15+G753*$AE$16+H753*$AE$17+I753*$AE$18+J753*$AE$19+K753*$AE$20+L753*$AE$21+M753*$AE$22+N753*$AE$23+O753*$AE$24+P753*$AE$25+Q753*$AE$26+R753*$AE$27+S753*$AE$28+T753*$AE$29+U753*$AE$30</f>
        <v/>
      </c>
      <c r="W753" s="8">
        <f>1/(1+EXP(-V753))</f>
        <v/>
      </c>
      <c r="X753" s="9">
        <f>-IF(C753=1,LN(W753),LN(1-W753))</f>
        <v/>
      </c>
      <c r="Y753" s="8">
        <f>'1 datos preparados'!V746</f>
        <v/>
      </c>
      <c r="Z753" s="9">
        <f>Y753*X753</f>
        <v/>
      </c>
      <c r="AA753" s="10">
        <f>IF(W753&gt;$AE$33,1,0)</f>
        <v/>
      </c>
      <c r="AB753">
        <f>IF(AA753=C753,1,0)</f>
        <v/>
      </c>
    </row>
    <row r="754">
      <c r="A754">
        <f>'1 datos preparados'!A747</f>
        <v/>
      </c>
      <c r="B754" s="5">
        <f>'1 datos preparados'!U747</f>
        <v/>
      </c>
      <c r="C754">
        <f>'1 datos preparados'!B747</f>
        <v/>
      </c>
      <c r="D754" s="7">
        <f>'1 datos preparados'!C747</f>
        <v/>
      </c>
      <c r="E754" s="7">
        <f>'1 datos preparados'!D747</f>
        <v/>
      </c>
      <c r="F754" s="7">
        <f>'1 datos preparados'!E747</f>
        <v/>
      </c>
      <c r="G754" s="7">
        <f>'1 datos preparados'!F747</f>
        <v/>
      </c>
      <c r="H754" s="7">
        <f>'1 datos preparados'!G747</f>
        <v/>
      </c>
      <c r="I754" s="7">
        <f>'1 datos preparados'!H747</f>
        <v/>
      </c>
      <c r="J754" s="7">
        <f>'1 datos preparados'!I747</f>
        <v/>
      </c>
      <c r="K754" s="7">
        <f>'1 datos preparados'!J747</f>
        <v/>
      </c>
      <c r="L754" s="7">
        <f>'1 datos preparados'!K747</f>
        <v/>
      </c>
      <c r="M754" s="7">
        <f>'1 datos preparados'!L747</f>
        <v/>
      </c>
      <c r="N754" s="7">
        <f>'1 datos preparados'!M747</f>
        <v/>
      </c>
      <c r="O754" s="7">
        <f>'1 datos preparados'!N747</f>
        <v/>
      </c>
      <c r="P754" s="7">
        <f>'1 datos preparados'!O747</f>
        <v/>
      </c>
      <c r="Q754" s="7">
        <f>'1 datos preparados'!P747</f>
        <v/>
      </c>
      <c r="R754" s="7">
        <f>'1 datos preparados'!Q747</f>
        <v/>
      </c>
      <c r="S754" s="7">
        <f>'1 datos preparados'!R747</f>
        <v/>
      </c>
      <c r="T754" s="7">
        <f>'1 datos preparados'!S747</f>
        <v/>
      </c>
      <c r="U754" s="7">
        <f>'1 datos preparados'!T747</f>
        <v/>
      </c>
      <c r="V754" s="8">
        <f>$AE$12+D754*$AE$13+E754*$AE$14+F754*$AE$15+G754*$AE$16+H754*$AE$17+I754*$AE$18+J754*$AE$19+K754*$AE$20+L754*$AE$21+M754*$AE$22+N754*$AE$23+O754*$AE$24+P754*$AE$25+Q754*$AE$26+R754*$AE$27+S754*$AE$28+T754*$AE$29+U754*$AE$30</f>
        <v/>
      </c>
      <c r="W754" s="8">
        <f>1/(1+EXP(-V754))</f>
        <v/>
      </c>
      <c r="X754" s="9">
        <f>-IF(C754=1,LN(W754),LN(1-W754))</f>
        <v/>
      </c>
      <c r="Y754" s="8">
        <f>'1 datos preparados'!V747</f>
        <v/>
      </c>
      <c r="Z754" s="9">
        <f>Y754*X754</f>
        <v/>
      </c>
      <c r="AA754" s="10">
        <f>IF(W754&gt;$AE$33,1,0)</f>
        <v/>
      </c>
      <c r="AB754">
        <f>IF(AA754=C754,1,0)</f>
        <v/>
      </c>
    </row>
    <row r="755">
      <c r="A755">
        <f>'1 datos preparados'!A748</f>
        <v/>
      </c>
      <c r="B755" s="5">
        <f>'1 datos preparados'!U748</f>
        <v/>
      </c>
      <c r="C755">
        <f>'1 datos preparados'!B748</f>
        <v/>
      </c>
      <c r="D755" s="7">
        <f>'1 datos preparados'!C748</f>
        <v/>
      </c>
      <c r="E755" s="7">
        <f>'1 datos preparados'!D748</f>
        <v/>
      </c>
      <c r="F755" s="7">
        <f>'1 datos preparados'!E748</f>
        <v/>
      </c>
      <c r="G755" s="7">
        <f>'1 datos preparados'!F748</f>
        <v/>
      </c>
      <c r="H755" s="7">
        <f>'1 datos preparados'!G748</f>
        <v/>
      </c>
      <c r="I755" s="7">
        <f>'1 datos preparados'!H748</f>
        <v/>
      </c>
      <c r="J755" s="7">
        <f>'1 datos preparados'!I748</f>
        <v/>
      </c>
      <c r="K755" s="7">
        <f>'1 datos preparados'!J748</f>
        <v/>
      </c>
      <c r="L755" s="7">
        <f>'1 datos preparados'!K748</f>
        <v/>
      </c>
      <c r="M755" s="7">
        <f>'1 datos preparados'!L748</f>
        <v/>
      </c>
      <c r="N755" s="7">
        <f>'1 datos preparados'!M748</f>
        <v/>
      </c>
      <c r="O755" s="7">
        <f>'1 datos preparados'!N748</f>
        <v/>
      </c>
      <c r="P755" s="7">
        <f>'1 datos preparados'!O748</f>
        <v/>
      </c>
      <c r="Q755" s="7">
        <f>'1 datos preparados'!P748</f>
        <v/>
      </c>
      <c r="R755" s="7">
        <f>'1 datos preparados'!Q748</f>
        <v/>
      </c>
      <c r="S755" s="7">
        <f>'1 datos preparados'!R748</f>
        <v/>
      </c>
      <c r="T755" s="7">
        <f>'1 datos preparados'!S748</f>
        <v/>
      </c>
      <c r="U755" s="7">
        <f>'1 datos preparados'!T748</f>
        <v/>
      </c>
      <c r="V755" s="8">
        <f>$AE$12+D755*$AE$13+E755*$AE$14+F755*$AE$15+G755*$AE$16+H755*$AE$17+I755*$AE$18+J755*$AE$19+K755*$AE$20+L755*$AE$21+M755*$AE$22+N755*$AE$23+O755*$AE$24+P755*$AE$25+Q755*$AE$26+R755*$AE$27+S755*$AE$28+T755*$AE$29+U755*$AE$30</f>
        <v/>
      </c>
      <c r="W755" s="8">
        <f>1/(1+EXP(-V755))</f>
        <v/>
      </c>
      <c r="X755" s="9">
        <f>-IF(C755=1,LN(W755),LN(1-W755))</f>
        <v/>
      </c>
      <c r="Y755" s="8">
        <f>'1 datos preparados'!V748</f>
        <v/>
      </c>
      <c r="Z755" s="9">
        <f>Y755*X755</f>
        <v/>
      </c>
      <c r="AA755" s="10">
        <f>IF(W755&gt;$AE$33,1,0)</f>
        <v/>
      </c>
      <c r="AB755">
        <f>IF(AA755=C755,1,0)</f>
        <v/>
      </c>
    </row>
    <row r="756">
      <c r="A756">
        <f>'1 datos preparados'!A749</f>
        <v/>
      </c>
      <c r="B756" s="5">
        <f>'1 datos preparados'!U749</f>
        <v/>
      </c>
      <c r="C756">
        <f>'1 datos preparados'!B749</f>
        <v/>
      </c>
      <c r="D756" s="7">
        <f>'1 datos preparados'!C749</f>
        <v/>
      </c>
      <c r="E756" s="7">
        <f>'1 datos preparados'!D749</f>
        <v/>
      </c>
      <c r="F756" s="7">
        <f>'1 datos preparados'!E749</f>
        <v/>
      </c>
      <c r="G756" s="7">
        <f>'1 datos preparados'!F749</f>
        <v/>
      </c>
      <c r="H756" s="7">
        <f>'1 datos preparados'!G749</f>
        <v/>
      </c>
      <c r="I756" s="7">
        <f>'1 datos preparados'!H749</f>
        <v/>
      </c>
      <c r="J756" s="7">
        <f>'1 datos preparados'!I749</f>
        <v/>
      </c>
      <c r="K756" s="7">
        <f>'1 datos preparados'!J749</f>
        <v/>
      </c>
      <c r="L756" s="7">
        <f>'1 datos preparados'!K749</f>
        <v/>
      </c>
      <c r="M756" s="7">
        <f>'1 datos preparados'!L749</f>
        <v/>
      </c>
      <c r="N756" s="7">
        <f>'1 datos preparados'!M749</f>
        <v/>
      </c>
      <c r="O756" s="7">
        <f>'1 datos preparados'!N749</f>
        <v/>
      </c>
      <c r="P756" s="7">
        <f>'1 datos preparados'!O749</f>
        <v/>
      </c>
      <c r="Q756" s="7">
        <f>'1 datos preparados'!P749</f>
        <v/>
      </c>
      <c r="R756" s="7">
        <f>'1 datos preparados'!Q749</f>
        <v/>
      </c>
      <c r="S756" s="7">
        <f>'1 datos preparados'!R749</f>
        <v/>
      </c>
      <c r="T756" s="7">
        <f>'1 datos preparados'!S749</f>
        <v/>
      </c>
      <c r="U756" s="7">
        <f>'1 datos preparados'!T749</f>
        <v/>
      </c>
      <c r="V756" s="8">
        <f>$AE$12+D756*$AE$13+E756*$AE$14+F756*$AE$15+G756*$AE$16+H756*$AE$17+I756*$AE$18+J756*$AE$19+K756*$AE$20+L756*$AE$21+M756*$AE$22+N756*$AE$23+O756*$AE$24+P756*$AE$25+Q756*$AE$26+R756*$AE$27+S756*$AE$28+T756*$AE$29+U756*$AE$30</f>
        <v/>
      </c>
      <c r="W756" s="8">
        <f>1/(1+EXP(-V756))</f>
        <v/>
      </c>
      <c r="X756" s="9">
        <f>-IF(C756=1,LN(W756),LN(1-W756))</f>
        <v/>
      </c>
      <c r="Y756" s="8">
        <f>'1 datos preparados'!V749</f>
        <v/>
      </c>
      <c r="Z756" s="9">
        <f>Y756*X756</f>
        <v/>
      </c>
      <c r="AA756" s="10">
        <f>IF(W756&gt;$AE$33,1,0)</f>
        <v/>
      </c>
      <c r="AB756">
        <f>IF(AA756=C756,1,0)</f>
        <v/>
      </c>
    </row>
    <row r="757">
      <c r="A757">
        <f>'1 datos preparados'!A750</f>
        <v/>
      </c>
      <c r="B757" s="5">
        <f>'1 datos preparados'!U750</f>
        <v/>
      </c>
      <c r="C757">
        <f>'1 datos preparados'!B750</f>
        <v/>
      </c>
      <c r="D757" s="7">
        <f>'1 datos preparados'!C750</f>
        <v/>
      </c>
      <c r="E757" s="7">
        <f>'1 datos preparados'!D750</f>
        <v/>
      </c>
      <c r="F757" s="7">
        <f>'1 datos preparados'!E750</f>
        <v/>
      </c>
      <c r="G757" s="7">
        <f>'1 datos preparados'!F750</f>
        <v/>
      </c>
      <c r="H757" s="7">
        <f>'1 datos preparados'!G750</f>
        <v/>
      </c>
      <c r="I757" s="7">
        <f>'1 datos preparados'!H750</f>
        <v/>
      </c>
      <c r="J757" s="7">
        <f>'1 datos preparados'!I750</f>
        <v/>
      </c>
      <c r="K757" s="7">
        <f>'1 datos preparados'!J750</f>
        <v/>
      </c>
      <c r="L757" s="7">
        <f>'1 datos preparados'!K750</f>
        <v/>
      </c>
      <c r="M757" s="7">
        <f>'1 datos preparados'!L750</f>
        <v/>
      </c>
      <c r="N757" s="7">
        <f>'1 datos preparados'!M750</f>
        <v/>
      </c>
      <c r="O757" s="7">
        <f>'1 datos preparados'!N750</f>
        <v/>
      </c>
      <c r="P757" s="7">
        <f>'1 datos preparados'!O750</f>
        <v/>
      </c>
      <c r="Q757" s="7">
        <f>'1 datos preparados'!P750</f>
        <v/>
      </c>
      <c r="R757" s="7">
        <f>'1 datos preparados'!Q750</f>
        <v/>
      </c>
      <c r="S757" s="7">
        <f>'1 datos preparados'!R750</f>
        <v/>
      </c>
      <c r="T757" s="7">
        <f>'1 datos preparados'!S750</f>
        <v/>
      </c>
      <c r="U757" s="7">
        <f>'1 datos preparados'!T750</f>
        <v/>
      </c>
      <c r="V757" s="8">
        <f>$AE$12+D757*$AE$13+E757*$AE$14+F757*$AE$15+G757*$AE$16+H757*$AE$17+I757*$AE$18+J757*$AE$19+K757*$AE$20+L757*$AE$21+M757*$AE$22+N757*$AE$23+O757*$AE$24+P757*$AE$25+Q757*$AE$26+R757*$AE$27+S757*$AE$28+T757*$AE$29+U757*$AE$30</f>
        <v/>
      </c>
      <c r="W757" s="8">
        <f>1/(1+EXP(-V757))</f>
        <v/>
      </c>
      <c r="X757" s="9">
        <f>-IF(C757=1,LN(W757),LN(1-W757))</f>
        <v/>
      </c>
      <c r="Y757" s="8">
        <f>'1 datos preparados'!V750</f>
        <v/>
      </c>
      <c r="Z757" s="9">
        <f>Y757*X757</f>
        <v/>
      </c>
      <c r="AA757" s="10">
        <f>IF(W757&gt;$AE$33,1,0)</f>
        <v/>
      </c>
      <c r="AB757">
        <f>IF(AA757=C757,1,0)</f>
        <v/>
      </c>
    </row>
    <row r="758">
      <c r="A758">
        <f>'1 datos preparados'!A751</f>
        <v/>
      </c>
      <c r="B758" s="5">
        <f>'1 datos preparados'!U751</f>
        <v/>
      </c>
      <c r="C758">
        <f>'1 datos preparados'!B751</f>
        <v/>
      </c>
      <c r="D758" s="7">
        <f>'1 datos preparados'!C751</f>
        <v/>
      </c>
      <c r="E758" s="7">
        <f>'1 datos preparados'!D751</f>
        <v/>
      </c>
      <c r="F758" s="7">
        <f>'1 datos preparados'!E751</f>
        <v/>
      </c>
      <c r="G758" s="7">
        <f>'1 datos preparados'!F751</f>
        <v/>
      </c>
      <c r="H758" s="7">
        <f>'1 datos preparados'!G751</f>
        <v/>
      </c>
      <c r="I758" s="7">
        <f>'1 datos preparados'!H751</f>
        <v/>
      </c>
      <c r="J758" s="7">
        <f>'1 datos preparados'!I751</f>
        <v/>
      </c>
      <c r="K758" s="7">
        <f>'1 datos preparados'!J751</f>
        <v/>
      </c>
      <c r="L758" s="7">
        <f>'1 datos preparados'!K751</f>
        <v/>
      </c>
      <c r="M758" s="7">
        <f>'1 datos preparados'!L751</f>
        <v/>
      </c>
      <c r="N758" s="7">
        <f>'1 datos preparados'!M751</f>
        <v/>
      </c>
      <c r="O758" s="7">
        <f>'1 datos preparados'!N751</f>
        <v/>
      </c>
      <c r="P758" s="7">
        <f>'1 datos preparados'!O751</f>
        <v/>
      </c>
      <c r="Q758" s="7">
        <f>'1 datos preparados'!P751</f>
        <v/>
      </c>
      <c r="R758" s="7">
        <f>'1 datos preparados'!Q751</f>
        <v/>
      </c>
      <c r="S758" s="7">
        <f>'1 datos preparados'!R751</f>
        <v/>
      </c>
      <c r="T758" s="7">
        <f>'1 datos preparados'!S751</f>
        <v/>
      </c>
      <c r="U758" s="7">
        <f>'1 datos preparados'!T751</f>
        <v/>
      </c>
      <c r="V758" s="8">
        <f>$AE$12+D758*$AE$13+E758*$AE$14+F758*$AE$15+G758*$AE$16+H758*$AE$17+I758*$AE$18+J758*$AE$19+K758*$AE$20+L758*$AE$21+M758*$AE$22+N758*$AE$23+O758*$AE$24+P758*$AE$25+Q758*$AE$26+R758*$AE$27+S758*$AE$28+T758*$AE$29+U758*$AE$30</f>
        <v/>
      </c>
      <c r="W758" s="8">
        <f>1/(1+EXP(-V758))</f>
        <v/>
      </c>
      <c r="X758" s="9">
        <f>-IF(C758=1,LN(W758),LN(1-W758))</f>
        <v/>
      </c>
      <c r="Y758" s="8">
        <f>'1 datos preparados'!V751</f>
        <v/>
      </c>
      <c r="Z758" s="9">
        <f>Y758*X758</f>
        <v/>
      </c>
      <c r="AA758" s="10">
        <f>IF(W758&gt;$AE$33,1,0)</f>
        <v/>
      </c>
      <c r="AB758">
        <f>IF(AA758=C758,1,0)</f>
        <v/>
      </c>
    </row>
    <row r="759">
      <c r="A759">
        <f>'1 datos preparados'!A752</f>
        <v/>
      </c>
      <c r="B759" s="5">
        <f>'1 datos preparados'!U752</f>
        <v/>
      </c>
      <c r="C759">
        <f>'1 datos preparados'!B752</f>
        <v/>
      </c>
      <c r="D759" s="7">
        <f>'1 datos preparados'!C752</f>
        <v/>
      </c>
      <c r="E759" s="7">
        <f>'1 datos preparados'!D752</f>
        <v/>
      </c>
      <c r="F759" s="7">
        <f>'1 datos preparados'!E752</f>
        <v/>
      </c>
      <c r="G759" s="7">
        <f>'1 datos preparados'!F752</f>
        <v/>
      </c>
      <c r="H759" s="7">
        <f>'1 datos preparados'!G752</f>
        <v/>
      </c>
      <c r="I759" s="7">
        <f>'1 datos preparados'!H752</f>
        <v/>
      </c>
      <c r="J759" s="7">
        <f>'1 datos preparados'!I752</f>
        <v/>
      </c>
      <c r="K759" s="7">
        <f>'1 datos preparados'!J752</f>
        <v/>
      </c>
      <c r="L759" s="7">
        <f>'1 datos preparados'!K752</f>
        <v/>
      </c>
      <c r="M759" s="7">
        <f>'1 datos preparados'!L752</f>
        <v/>
      </c>
      <c r="N759" s="7">
        <f>'1 datos preparados'!M752</f>
        <v/>
      </c>
      <c r="O759" s="7">
        <f>'1 datos preparados'!N752</f>
        <v/>
      </c>
      <c r="P759" s="7">
        <f>'1 datos preparados'!O752</f>
        <v/>
      </c>
      <c r="Q759" s="7">
        <f>'1 datos preparados'!P752</f>
        <v/>
      </c>
      <c r="R759" s="7">
        <f>'1 datos preparados'!Q752</f>
        <v/>
      </c>
      <c r="S759" s="7">
        <f>'1 datos preparados'!R752</f>
        <v/>
      </c>
      <c r="T759" s="7">
        <f>'1 datos preparados'!S752</f>
        <v/>
      </c>
      <c r="U759" s="7">
        <f>'1 datos preparados'!T752</f>
        <v/>
      </c>
      <c r="V759" s="8">
        <f>$AE$12+D759*$AE$13+E759*$AE$14+F759*$AE$15+G759*$AE$16+H759*$AE$17+I759*$AE$18+J759*$AE$19+K759*$AE$20+L759*$AE$21+M759*$AE$22+N759*$AE$23+O759*$AE$24+P759*$AE$25+Q759*$AE$26+R759*$AE$27+S759*$AE$28+T759*$AE$29+U759*$AE$30</f>
        <v/>
      </c>
      <c r="W759" s="8">
        <f>1/(1+EXP(-V759))</f>
        <v/>
      </c>
      <c r="X759" s="9">
        <f>-IF(C759=1,LN(W759),LN(1-W759))</f>
        <v/>
      </c>
      <c r="Y759" s="8">
        <f>'1 datos preparados'!V752</f>
        <v/>
      </c>
      <c r="Z759" s="9">
        <f>Y759*X759</f>
        <v/>
      </c>
      <c r="AA759" s="10">
        <f>IF(W759&gt;$AE$33,1,0)</f>
        <v/>
      </c>
      <c r="AB759">
        <f>IF(AA759=C759,1,0)</f>
        <v/>
      </c>
    </row>
    <row r="760">
      <c r="A760">
        <f>'1 datos preparados'!A753</f>
        <v/>
      </c>
      <c r="B760" s="5">
        <f>'1 datos preparados'!U753</f>
        <v/>
      </c>
      <c r="C760">
        <f>'1 datos preparados'!B753</f>
        <v/>
      </c>
      <c r="D760" s="7">
        <f>'1 datos preparados'!C753</f>
        <v/>
      </c>
      <c r="E760" s="7">
        <f>'1 datos preparados'!D753</f>
        <v/>
      </c>
      <c r="F760" s="7">
        <f>'1 datos preparados'!E753</f>
        <v/>
      </c>
      <c r="G760" s="7">
        <f>'1 datos preparados'!F753</f>
        <v/>
      </c>
      <c r="H760" s="7">
        <f>'1 datos preparados'!G753</f>
        <v/>
      </c>
      <c r="I760" s="7">
        <f>'1 datos preparados'!H753</f>
        <v/>
      </c>
      <c r="J760" s="7">
        <f>'1 datos preparados'!I753</f>
        <v/>
      </c>
      <c r="K760" s="7">
        <f>'1 datos preparados'!J753</f>
        <v/>
      </c>
      <c r="L760" s="7">
        <f>'1 datos preparados'!K753</f>
        <v/>
      </c>
      <c r="M760" s="7">
        <f>'1 datos preparados'!L753</f>
        <v/>
      </c>
      <c r="N760" s="7">
        <f>'1 datos preparados'!M753</f>
        <v/>
      </c>
      <c r="O760" s="7">
        <f>'1 datos preparados'!N753</f>
        <v/>
      </c>
      <c r="P760" s="7">
        <f>'1 datos preparados'!O753</f>
        <v/>
      </c>
      <c r="Q760" s="7">
        <f>'1 datos preparados'!P753</f>
        <v/>
      </c>
      <c r="R760" s="7">
        <f>'1 datos preparados'!Q753</f>
        <v/>
      </c>
      <c r="S760" s="7">
        <f>'1 datos preparados'!R753</f>
        <v/>
      </c>
      <c r="T760" s="7">
        <f>'1 datos preparados'!S753</f>
        <v/>
      </c>
      <c r="U760" s="7">
        <f>'1 datos preparados'!T753</f>
        <v/>
      </c>
      <c r="V760" s="8">
        <f>$AE$12+D760*$AE$13+E760*$AE$14+F760*$AE$15+G760*$AE$16+H760*$AE$17+I760*$AE$18+J760*$AE$19+K760*$AE$20+L760*$AE$21+M760*$AE$22+N760*$AE$23+O760*$AE$24+P760*$AE$25+Q760*$AE$26+R760*$AE$27+S760*$AE$28+T760*$AE$29+U760*$AE$30</f>
        <v/>
      </c>
      <c r="W760" s="8">
        <f>1/(1+EXP(-V760))</f>
        <v/>
      </c>
      <c r="X760" s="9">
        <f>-IF(C760=1,LN(W760),LN(1-W760))</f>
        <v/>
      </c>
      <c r="Y760" s="8">
        <f>'1 datos preparados'!V753</f>
        <v/>
      </c>
      <c r="Z760" s="9">
        <f>Y760*X760</f>
        <v/>
      </c>
      <c r="AA760" s="10">
        <f>IF(W760&gt;$AE$33,1,0)</f>
        <v/>
      </c>
      <c r="AB760">
        <f>IF(AA760=C760,1,0)</f>
        <v/>
      </c>
    </row>
    <row r="761">
      <c r="A761">
        <f>'1 datos preparados'!A754</f>
        <v/>
      </c>
      <c r="B761" s="5">
        <f>'1 datos preparados'!U754</f>
        <v/>
      </c>
      <c r="C761">
        <f>'1 datos preparados'!B754</f>
        <v/>
      </c>
      <c r="D761" s="7">
        <f>'1 datos preparados'!C754</f>
        <v/>
      </c>
      <c r="E761" s="7">
        <f>'1 datos preparados'!D754</f>
        <v/>
      </c>
      <c r="F761" s="7">
        <f>'1 datos preparados'!E754</f>
        <v/>
      </c>
      <c r="G761" s="7">
        <f>'1 datos preparados'!F754</f>
        <v/>
      </c>
      <c r="H761" s="7">
        <f>'1 datos preparados'!G754</f>
        <v/>
      </c>
      <c r="I761" s="7">
        <f>'1 datos preparados'!H754</f>
        <v/>
      </c>
      <c r="J761" s="7">
        <f>'1 datos preparados'!I754</f>
        <v/>
      </c>
      <c r="K761" s="7">
        <f>'1 datos preparados'!J754</f>
        <v/>
      </c>
      <c r="L761" s="7">
        <f>'1 datos preparados'!K754</f>
        <v/>
      </c>
      <c r="M761" s="7">
        <f>'1 datos preparados'!L754</f>
        <v/>
      </c>
      <c r="N761" s="7">
        <f>'1 datos preparados'!M754</f>
        <v/>
      </c>
      <c r="O761" s="7">
        <f>'1 datos preparados'!N754</f>
        <v/>
      </c>
      <c r="P761" s="7">
        <f>'1 datos preparados'!O754</f>
        <v/>
      </c>
      <c r="Q761" s="7">
        <f>'1 datos preparados'!P754</f>
        <v/>
      </c>
      <c r="R761" s="7">
        <f>'1 datos preparados'!Q754</f>
        <v/>
      </c>
      <c r="S761" s="7">
        <f>'1 datos preparados'!R754</f>
        <v/>
      </c>
      <c r="T761" s="7">
        <f>'1 datos preparados'!S754</f>
        <v/>
      </c>
      <c r="U761" s="7">
        <f>'1 datos preparados'!T754</f>
        <v/>
      </c>
      <c r="V761" s="8">
        <f>$AE$12+D761*$AE$13+E761*$AE$14+F761*$AE$15+G761*$AE$16+H761*$AE$17+I761*$AE$18+J761*$AE$19+K761*$AE$20+L761*$AE$21+M761*$AE$22+N761*$AE$23+O761*$AE$24+P761*$AE$25+Q761*$AE$26+R761*$AE$27+S761*$AE$28+T761*$AE$29+U761*$AE$30</f>
        <v/>
      </c>
      <c r="W761" s="8">
        <f>1/(1+EXP(-V761))</f>
        <v/>
      </c>
      <c r="X761" s="9">
        <f>-IF(C761=1,LN(W761),LN(1-W761))</f>
        <v/>
      </c>
      <c r="Y761" s="8">
        <f>'1 datos preparados'!V754</f>
        <v/>
      </c>
      <c r="Z761" s="9">
        <f>Y761*X761</f>
        <v/>
      </c>
      <c r="AA761" s="10">
        <f>IF(W761&gt;$AE$33,1,0)</f>
        <v/>
      </c>
      <c r="AB761">
        <f>IF(AA761=C761,1,0)</f>
        <v/>
      </c>
    </row>
    <row r="762">
      <c r="A762">
        <f>'1 datos preparados'!A755</f>
        <v/>
      </c>
      <c r="B762" s="5">
        <f>'1 datos preparados'!U755</f>
        <v/>
      </c>
      <c r="C762">
        <f>'1 datos preparados'!B755</f>
        <v/>
      </c>
      <c r="D762" s="7">
        <f>'1 datos preparados'!C755</f>
        <v/>
      </c>
      <c r="E762" s="7">
        <f>'1 datos preparados'!D755</f>
        <v/>
      </c>
      <c r="F762" s="7">
        <f>'1 datos preparados'!E755</f>
        <v/>
      </c>
      <c r="G762" s="7">
        <f>'1 datos preparados'!F755</f>
        <v/>
      </c>
      <c r="H762" s="7">
        <f>'1 datos preparados'!G755</f>
        <v/>
      </c>
      <c r="I762" s="7">
        <f>'1 datos preparados'!H755</f>
        <v/>
      </c>
      <c r="J762" s="7">
        <f>'1 datos preparados'!I755</f>
        <v/>
      </c>
      <c r="K762" s="7">
        <f>'1 datos preparados'!J755</f>
        <v/>
      </c>
      <c r="L762" s="7">
        <f>'1 datos preparados'!K755</f>
        <v/>
      </c>
      <c r="M762" s="7">
        <f>'1 datos preparados'!L755</f>
        <v/>
      </c>
      <c r="N762" s="7">
        <f>'1 datos preparados'!M755</f>
        <v/>
      </c>
      <c r="O762" s="7">
        <f>'1 datos preparados'!N755</f>
        <v/>
      </c>
      <c r="P762" s="7">
        <f>'1 datos preparados'!O755</f>
        <v/>
      </c>
      <c r="Q762" s="7">
        <f>'1 datos preparados'!P755</f>
        <v/>
      </c>
      <c r="R762" s="7">
        <f>'1 datos preparados'!Q755</f>
        <v/>
      </c>
      <c r="S762" s="7">
        <f>'1 datos preparados'!R755</f>
        <v/>
      </c>
      <c r="T762" s="7">
        <f>'1 datos preparados'!S755</f>
        <v/>
      </c>
      <c r="U762" s="7">
        <f>'1 datos preparados'!T755</f>
        <v/>
      </c>
      <c r="V762" s="8">
        <f>$AE$12+D762*$AE$13+E762*$AE$14+F762*$AE$15+G762*$AE$16+H762*$AE$17+I762*$AE$18+J762*$AE$19+K762*$AE$20+L762*$AE$21+M762*$AE$22+N762*$AE$23+O762*$AE$24+P762*$AE$25+Q762*$AE$26+R762*$AE$27+S762*$AE$28+T762*$AE$29+U762*$AE$30</f>
        <v/>
      </c>
      <c r="W762" s="8">
        <f>1/(1+EXP(-V762))</f>
        <v/>
      </c>
      <c r="X762" s="9">
        <f>-IF(C762=1,LN(W762),LN(1-W762))</f>
        <v/>
      </c>
      <c r="Y762" s="8">
        <f>'1 datos preparados'!V755</f>
        <v/>
      </c>
      <c r="Z762" s="9">
        <f>Y762*X762</f>
        <v/>
      </c>
      <c r="AA762" s="10">
        <f>IF(W762&gt;$AE$33,1,0)</f>
        <v/>
      </c>
      <c r="AB762">
        <f>IF(AA762=C762,1,0)</f>
        <v/>
      </c>
    </row>
    <row r="763">
      <c r="A763">
        <f>'1 datos preparados'!A756</f>
        <v/>
      </c>
      <c r="B763" s="5">
        <f>'1 datos preparados'!U756</f>
        <v/>
      </c>
      <c r="C763">
        <f>'1 datos preparados'!B756</f>
        <v/>
      </c>
      <c r="D763" s="7">
        <f>'1 datos preparados'!C756</f>
        <v/>
      </c>
      <c r="E763" s="7">
        <f>'1 datos preparados'!D756</f>
        <v/>
      </c>
      <c r="F763" s="7">
        <f>'1 datos preparados'!E756</f>
        <v/>
      </c>
      <c r="G763" s="7">
        <f>'1 datos preparados'!F756</f>
        <v/>
      </c>
      <c r="H763" s="7">
        <f>'1 datos preparados'!G756</f>
        <v/>
      </c>
      <c r="I763" s="7">
        <f>'1 datos preparados'!H756</f>
        <v/>
      </c>
      <c r="J763" s="7">
        <f>'1 datos preparados'!I756</f>
        <v/>
      </c>
      <c r="K763" s="7">
        <f>'1 datos preparados'!J756</f>
        <v/>
      </c>
      <c r="L763" s="7">
        <f>'1 datos preparados'!K756</f>
        <v/>
      </c>
      <c r="M763" s="7">
        <f>'1 datos preparados'!L756</f>
        <v/>
      </c>
      <c r="N763" s="7">
        <f>'1 datos preparados'!M756</f>
        <v/>
      </c>
      <c r="O763" s="7">
        <f>'1 datos preparados'!N756</f>
        <v/>
      </c>
      <c r="P763" s="7">
        <f>'1 datos preparados'!O756</f>
        <v/>
      </c>
      <c r="Q763" s="7">
        <f>'1 datos preparados'!P756</f>
        <v/>
      </c>
      <c r="R763" s="7">
        <f>'1 datos preparados'!Q756</f>
        <v/>
      </c>
      <c r="S763" s="7">
        <f>'1 datos preparados'!R756</f>
        <v/>
      </c>
      <c r="T763" s="7">
        <f>'1 datos preparados'!S756</f>
        <v/>
      </c>
      <c r="U763" s="7">
        <f>'1 datos preparados'!T756</f>
        <v/>
      </c>
      <c r="V763" s="8">
        <f>$AE$12+D763*$AE$13+E763*$AE$14+F763*$AE$15+G763*$AE$16+H763*$AE$17+I763*$AE$18+J763*$AE$19+K763*$AE$20+L763*$AE$21+M763*$AE$22+N763*$AE$23+O763*$AE$24+P763*$AE$25+Q763*$AE$26+R763*$AE$27+S763*$AE$28+T763*$AE$29+U763*$AE$30</f>
        <v/>
      </c>
      <c r="W763" s="8">
        <f>1/(1+EXP(-V763))</f>
        <v/>
      </c>
      <c r="X763" s="9">
        <f>-IF(C763=1,LN(W763),LN(1-W763))</f>
        <v/>
      </c>
      <c r="Y763" s="8">
        <f>'1 datos preparados'!V756</f>
        <v/>
      </c>
      <c r="Z763" s="9">
        <f>Y763*X763</f>
        <v/>
      </c>
      <c r="AA763" s="10">
        <f>IF(W763&gt;$AE$33,1,0)</f>
        <v/>
      </c>
      <c r="AB763">
        <f>IF(AA763=C763,1,0)</f>
        <v/>
      </c>
    </row>
    <row r="764">
      <c r="A764">
        <f>'1 datos preparados'!A757</f>
        <v/>
      </c>
      <c r="B764" s="5">
        <f>'1 datos preparados'!U757</f>
        <v/>
      </c>
      <c r="C764">
        <f>'1 datos preparados'!B757</f>
        <v/>
      </c>
      <c r="D764" s="7">
        <f>'1 datos preparados'!C757</f>
        <v/>
      </c>
      <c r="E764" s="7">
        <f>'1 datos preparados'!D757</f>
        <v/>
      </c>
      <c r="F764" s="7">
        <f>'1 datos preparados'!E757</f>
        <v/>
      </c>
      <c r="G764" s="7">
        <f>'1 datos preparados'!F757</f>
        <v/>
      </c>
      <c r="H764" s="7">
        <f>'1 datos preparados'!G757</f>
        <v/>
      </c>
      <c r="I764" s="7">
        <f>'1 datos preparados'!H757</f>
        <v/>
      </c>
      <c r="J764" s="7">
        <f>'1 datos preparados'!I757</f>
        <v/>
      </c>
      <c r="K764" s="7">
        <f>'1 datos preparados'!J757</f>
        <v/>
      </c>
      <c r="L764" s="7">
        <f>'1 datos preparados'!K757</f>
        <v/>
      </c>
      <c r="M764" s="7">
        <f>'1 datos preparados'!L757</f>
        <v/>
      </c>
      <c r="N764" s="7">
        <f>'1 datos preparados'!M757</f>
        <v/>
      </c>
      <c r="O764" s="7">
        <f>'1 datos preparados'!N757</f>
        <v/>
      </c>
      <c r="P764" s="7">
        <f>'1 datos preparados'!O757</f>
        <v/>
      </c>
      <c r="Q764" s="7">
        <f>'1 datos preparados'!P757</f>
        <v/>
      </c>
      <c r="R764" s="7">
        <f>'1 datos preparados'!Q757</f>
        <v/>
      </c>
      <c r="S764" s="7">
        <f>'1 datos preparados'!R757</f>
        <v/>
      </c>
      <c r="T764" s="7">
        <f>'1 datos preparados'!S757</f>
        <v/>
      </c>
      <c r="U764" s="7">
        <f>'1 datos preparados'!T757</f>
        <v/>
      </c>
      <c r="V764" s="8">
        <f>$AE$12+D764*$AE$13+E764*$AE$14+F764*$AE$15+G764*$AE$16+H764*$AE$17+I764*$AE$18+J764*$AE$19+K764*$AE$20+L764*$AE$21+M764*$AE$22+N764*$AE$23+O764*$AE$24+P764*$AE$25+Q764*$AE$26+R764*$AE$27+S764*$AE$28+T764*$AE$29+U764*$AE$30</f>
        <v/>
      </c>
      <c r="W764" s="8">
        <f>1/(1+EXP(-V764))</f>
        <v/>
      </c>
      <c r="X764" s="9">
        <f>-IF(C764=1,LN(W764),LN(1-W764))</f>
        <v/>
      </c>
      <c r="Y764" s="8">
        <f>'1 datos preparados'!V757</f>
        <v/>
      </c>
      <c r="Z764" s="9">
        <f>Y764*X764</f>
        <v/>
      </c>
      <c r="AA764" s="10">
        <f>IF(W764&gt;$AE$33,1,0)</f>
        <v/>
      </c>
      <c r="AB764">
        <f>IF(AA764=C764,1,0)</f>
        <v/>
      </c>
    </row>
    <row r="765">
      <c r="A765">
        <f>'1 datos preparados'!A758</f>
        <v/>
      </c>
      <c r="B765" s="5">
        <f>'1 datos preparados'!U758</f>
        <v/>
      </c>
      <c r="C765">
        <f>'1 datos preparados'!B758</f>
        <v/>
      </c>
      <c r="D765" s="7">
        <f>'1 datos preparados'!C758</f>
        <v/>
      </c>
      <c r="E765" s="7">
        <f>'1 datos preparados'!D758</f>
        <v/>
      </c>
      <c r="F765" s="7">
        <f>'1 datos preparados'!E758</f>
        <v/>
      </c>
      <c r="G765" s="7">
        <f>'1 datos preparados'!F758</f>
        <v/>
      </c>
      <c r="H765" s="7">
        <f>'1 datos preparados'!G758</f>
        <v/>
      </c>
      <c r="I765" s="7">
        <f>'1 datos preparados'!H758</f>
        <v/>
      </c>
      <c r="J765" s="7">
        <f>'1 datos preparados'!I758</f>
        <v/>
      </c>
      <c r="K765" s="7">
        <f>'1 datos preparados'!J758</f>
        <v/>
      </c>
      <c r="L765" s="7">
        <f>'1 datos preparados'!K758</f>
        <v/>
      </c>
      <c r="M765" s="7">
        <f>'1 datos preparados'!L758</f>
        <v/>
      </c>
      <c r="N765" s="7">
        <f>'1 datos preparados'!M758</f>
        <v/>
      </c>
      <c r="O765" s="7">
        <f>'1 datos preparados'!N758</f>
        <v/>
      </c>
      <c r="P765" s="7">
        <f>'1 datos preparados'!O758</f>
        <v/>
      </c>
      <c r="Q765" s="7">
        <f>'1 datos preparados'!P758</f>
        <v/>
      </c>
      <c r="R765" s="7">
        <f>'1 datos preparados'!Q758</f>
        <v/>
      </c>
      <c r="S765" s="7">
        <f>'1 datos preparados'!R758</f>
        <v/>
      </c>
      <c r="T765" s="7">
        <f>'1 datos preparados'!S758</f>
        <v/>
      </c>
      <c r="U765" s="7">
        <f>'1 datos preparados'!T758</f>
        <v/>
      </c>
      <c r="V765" s="8">
        <f>$AE$12+D765*$AE$13+E765*$AE$14+F765*$AE$15+G765*$AE$16+H765*$AE$17+I765*$AE$18+J765*$AE$19+K765*$AE$20+L765*$AE$21+M765*$AE$22+N765*$AE$23+O765*$AE$24+P765*$AE$25+Q765*$AE$26+R765*$AE$27+S765*$AE$28+T765*$AE$29+U765*$AE$30</f>
        <v/>
      </c>
      <c r="W765" s="8">
        <f>1/(1+EXP(-V765))</f>
        <v/>
      </c>
      <c r="X765" s="9">
        <f>-IF(C765=1,LN(W765),LN(1-W765))</f>
        <v/>
      </c>
      <c r="Y765" s="8">
        <f>'1 datos preparados'!V758</f>
        <v/>
      </c>
      <c r="Z765" s="9">
        <f>Y765*X765</f>
        <v/>
      </c>
      <c r="AA765" s="10">
        <f>IF(W765&gt;$AE$33,1,0)</f>
        <v/>
      </c>
      <c r="AB765">
        <f>IF(AA765=C765,1,0)</f>
        <v/>
      </c>
    </row>
    <row r="766">
      <c r="A766">
        <f>'1 datos preparados'!A759</f>
        <v/>
      </c>
      <c r="B766" s="5">
        <f>'1 datos preparados'!U759</f>
        <v/>
      </c>
      <c r="C766">
        <f>'1 datos preparados'!B759</f>
        <v/>
      </c>
      <c r="D766" s="7">
        <f>'1 datos preparados'!C759</f>
        <v/>
      </c>
      <c r="E766" s="7">
        <f>'1 datos preparados'!D759</f>
        <v/>
      </c>
      <c r="F766" s="7">
        <f>'1 datos preparados'!E759</f>
        <v/>
      </c>
      <c r="G766" s="7">
        <f>'1 datos preparados'!F759</f>
        <v/>
      </c>
      <c r="H766" s="7">
        <f>'1 datos preparados'!G759</f>
        <v/>
      </c>
      <c r="I766" s="7">
        <f>'1 datos preparados'!H759</f>
        <v/>
      </c>
      <c r="J766" s="7">
        <f>'1 datos preparados'!I759</f>
        <v/>
      </c>
      <c r="K766" s="7">
        <f>'1 datos preparados'!J759</f>
        <v/>
      </c>
      <c r="L766" s="7">
        <f>'1 datos preparados'!K759</f>
        <v/>
      </c>
      <c r="M766" s="7">
        <f>'1 datos preparados'!L759</f>
        <v/>
      </c>
      <c r="N766" s="7">
        <f>'1 datos preparados'!M759</f>
        <v/>
      </c>
      <c r="O766" s="7">
        <f>'1 datos preparados'!N759</f>
        <v/>
      </c>
      <c r="P766" s="7">
        <f>'1 datos preparados'!O759</f>
        <v/>
      </c>
      <c r="Q766" s="7">
        <f>'1 datos preparados'!P759</f>
        <v/>
      </c>
      <c r="R766" s="7">
        <f>'1 datos preparados'!Q759</f>
        <v/>
      </c>
      <c r="S766" s="7">
        <f>'1 datos preparados'!R759</f>
        <v/>
      </c>
      <c r="T766" s="7">
        <f>'1 datos preparados'!S759</f>
        <v/>
      </c>
      <c r="U766" s="7">
        <f>'1 datos preparados'!T759</f>
        <v/>
      </c>
      <c r="V766" s="8">
        <f>$AE$12+D766*$AE$13+E766*$AE$14+F766*$AE$15+G766*$AE$16+H766*$AE$17+I766*$AE$18+J766*$AE$19+K766*$AE$20+L766*$AE$21+M766*$AE$22+N766*$AE$23+O766*$AE$24+P766*$AE$25+Q766*$AE$26+R766*$AE$27+S766*$AE$28+T766*$AE$29+U766*$AE$30</f>
        <v/>
      </c>
      <c r="W766" s="8">
        <f>1/(1+EXP(-V766))</f>
        <v/>
      </c>
      <c r="X766" s="9">
        <f>-IF(C766=1,LN(W766),LN(1-W766))</f>
        <v/>
      </c>
      <c r="Y766" s="8">
        <f>'1 datos preparados'!V759</f>
        <v/>
      </c>
      <c r="Z766" s="9">
        <f>Y766*X766</f>
        <v/>
      </c>
      <c r="AA766" s="10">
        <f>IF(W766&gt;$AE$33,1,0)</f>
        <v/>
      </c>
      <c r="AB766">
        <f>IF(AA766=C766,1,0)</f>
        <v/>
      </c>
    </row>
    <row r="767">
      <c r="A767">
        <f>'1 datos preparados'!A760</f>
        <v/>
      </c>
      <c r="B767" s="5">
        <f>'1 datos preparados'!U760</f>
        <v/>
      </c>
      <c r="C767">
        <f>'1 datos preparados'!B760</f>
        <v/>
      </c>
      <c r="D767" s="7">
        <f>'1 datos preparados'!C760</f>
        <v/>
      </c>
      <c r="E767" s="7">
        <f>'1 datos preparados'!D760</f>
        <v/>
      </c>
      <c r="F767" s="7">
        <f>'1 datos preparados'!E760</f>
        <v/>
      </c>
      <c r="G767" s="7">
        <f>'1 datos preparados'!F760</f>
        <v/>
      </c>
      <c r="H767" s="7">
        <f>'1 datos preparados'!G760</f>
        <v/>
      </c>
      <c r="I767" s="7">
        <f>'1 datos preparados'!H760</f>
        <v/>
      </c>
      <c r="J767" s="7">
        <f>'1 datos preparados'!I760</f>
        <v/>
      </c>
      <c r="K767" s="7">
        <f>'1 datos preparados'!J760</f>
        <v/>
      </c>
      <c r="L767" s="7">
        <f>'1 datos preparados'!K760</f>
        <v/>
      </c>
      <c r="M767" s="7">
        <f>'1 datos preparados'!L760</f>
        <v/>
      </c>
      <c r="N767" s="7">
        <f>'1 datos preparados'!M760</f>
        <v/>
      </c>
      <c r="O767" s="7">
        <f>'1 datos preparados'!N760</f>
        <v/>
      </c>
      <c r="P767" s="7">
        <f>'1 datos preparados'!O760</f>
        <v/>
      </c>
      <c r="Q767" s="7">
        <f>'1 datos preparados'!P760</f>
        <v/>
      </c>
      <c r="R767" s="7">
        <f>'1 datos preparados'!Q760</f>
        <v/>
      </c>
      <c r="S767" s="7">
        <f>'1 datos preparados'!R760</f>
        <v/>
      </c>
      <c r="T767" s="7">
        <f>'1 datos preparados'!S760</f>
        <v/>
      </c>
      <c r="U767" s="7">
        <f>'1 datos preparados'!T760</f>
        <v/>
      </c>
      <c r="V767" s="8">
        <f>$AE$12+D767*$AE$13+E767*$AE$14+F767*$AE$15+G767*$AE$16+H767*$AE$17+I767*$AE$18+J767*$AE$19+K767*$AE$20+L767*$AE$21+M767*$AE$22+N767*$AE$23+O767*$AE$24+P767*$AE$25+Q767*$AE$26+R767*$AE$27+S767*$AE$28+T767*$AE$29+U767*$AE$30</f>
        <v/>
      </c>
      <c r="W767" s="8">
        <f>1/(1+EXP(-V767))</f>
        <v/>
      </c>
      <c r="X767" s="9">
        <f>-IF(C767=1,LN(W767),LN(1-W767))</f>
        <v/>
      </c>
      <c r="Y767" s="8">
        <f>'1 datos preparados'!V760</f>
        <v/>
      </c>
      <c r="Z767" s="9">
        <f>Y767*X767</f>
        <v/>
      </c>
      <c r="AA767" s="10">
        <f>IF(W767&gt;$AE$33,1,0)</f>
        <v/>
      </c>
      <c r="AB767">
        <f>IF(AA767=C767,1,0)</f>
        <v/>
      </c>
    </row>
    <row r="768">
      <c r="A768">
        <f>'1 datos preparados'!A761</f>
        <v/>
      </c>
      <c r="B768" s="5">
        <f>'1 datos preparados'!U761</f>
        <v/>
      </c>
      <c r="C768">
        <f>'1 datos preparados'!B761</f>
        <v/>
      </c>
      <c r="D768" s="7">
        <f>'1 datos preparados'!C761</f>
        <v/>
      </c>
      <c r="E768" s="7">
        <f>'1 datos preparados'!D761</f>
        <v/>
      </c>
      <c r="F768" s="7">
        <f>'1 datos preparados'!E761</f>
        <v/>
      </c>
      <c r="G768" s="7">
        <f>'1 datos preparados'!F761</f>
        <v/>
      </c>
      <c r="H768" s="7">
        <f>'1 datos preparados'!G761</f>
        <v/>
      </c>
      <c r="I768" s="7">
        <f>'1 datos preparados'!H761</f>
        <v/>
      </c>
      <c r="J768" s="7">
        <f>'1 datos preparados'!I761</f>
        <v/>
      </c>
      <c r="K768" s="7">
        <f>'1 datos preparados'!J761</f>
        <v/>
      </c>
      <c r="L768" s="7">
        <f>'1 datos preparados'!K761</f>
        <v/>
      </c>
      <c r="M768" s="7">
        <f>'1 datos preparados'!L761</f>
        <v/>
      </c>
      <c r="N768" s="7">
        <f>'1 datos preparados'!M761</f>
        <v/>
      </c>
      <c r="O768" s="7">
        <f>'1 datos preparados'!N761</f>
        <v/>
      </c>
      <c r="P768" s="7">
        <f>'1 datos preparados'!O761</f>
        <v/>
      </c>
      <c r="Q768" s="7">
        <f>'1 datos preparados'!P761</f>
        <v/>
      </c>
      <c r="R768" s="7">
        <f>'1 datos preparados'!Q761</f>
        <v/>
      </c>
      <c r="S768" s="7">
        <f>'1 datos preparados'!R761</f>
        <v/>
      </c>
      <c r="T768" s="7">
        <f>'1 datos preparados'!S761</f>
        <v/>
      </c>
      <c r="U768" s="7">
        <f>'1 datos preparados'!T761</f>
        <v/>
      </c>
      <c r="V768" s="8">
        <f>$AE$12+D768*$AE$13+E768*$AE$14+F768*$AE$15+G768*$AE$16+H768*$AE$17+I768*$AE$18+J768*$AE$19+K768*$AE$20+L768*$AE$21+M768*$AE$22+N768*$AE$23+O768*$AE$24+P768*$AE$25+Q768*$AE$26+R768*$AE$27+S768*$AE$28+T768*$AE$29+U768*$AE$30</f>
        <v/>
      </c>
      <c r="W768" s="8">
        <f>1/(1+EXP(-V768))</f>
        <v/>
      </c>
      <c r="X768" s="9">
        <f>-IF(C768=1,LN(W768),LN(1-W768))</f>
        <v/>
      </c>
      <c r="Y768" s="8">
        <f>'1 datos preparados'!V761</f>
        <v/>
      </c>
      <c r="Z768" s="9">
        <f>Y768*X768</f>
        <v/>
      </c>
      <c r="AA768" s="10">
        <f>IF(W768&gt;$AE$33,1,0)</f>
        <v/>
      </c>
      <c r="AB768">
        <f>IF(AA768=C768,1,0)</f>
        <v/>
      </c>
    </row>
    <row r="769">
      <c r="A769">
        <f>'1 datos preparados'!A762</f>
        <v/>
      </c>
      <c r="B769" s="5">
        <f>'1 datos preparados'!U762</f>
        <v/>
      </c>
      <c r="C769">
        <f>'1 datos preparados'!B762</f>
        <v/>
      </c>
      <c r="D769" s="7">
        <f>'1 datos preparados'!C762</f>
        <v/>
      </c>
      <c r="E769" s="7">
        <f>'1 datos preparados'!D762</f>
        <v/>
      </c>
      <c r="F769" s="7">
        <f>'1 datos preparados'!E762</f>
        <v/>
      </c>
      <c r="G769" s="7">
        <f>'1 datos preparados'!F762</f>
        <v/>
      </c>
      <c r="H769" s="7">
        <f>'1 datos preparados'!G762</f>
        <v/>
      </c>
      <c r="I769" s="7">
        <f>'1 datos preparados'!H762</f>
        <v/>
      </c>
      <c r="J769" s="7">
        <f>'1 datos preparados'!I762</f>
        <v/>
      </c>
      <c r="K769" s="7">
        <f>'1 datos preparados'!J762</f>
        <v/>
      </c>
      <c r="L769" s="7">
        <f>'1 datos preparados'!K762</f>
        <v/>
      </c>
      <c r="M769" s="7">
        <f>'1 datos preparados'!L762</f>
        <v/>
      </c>
      <c r="N769" s="7">
        <f>'1 datos preparados'!M762</f>
        <v/>
      </c>
      <c r="O769" s="7">
        <f>'1 datos preparados'!N762</f>
        <v/>
      </c>
      <c r="P769" s="7">
        <f>'1 datos preparados'!O762</f>
        <v/>
      </c>
      <c r="Q769" s="7">
        <f>'1 datos preparados'!P762</f>
        <v/>
      </c>
      <c r="R769" s="7">
        <f>'1 datos preparados'!Q762</f>
        <v/>
      </c>
      <c r="S769" s="7">
        <f>'1 datos preparados'!R762</f>
        <v/>
      </c>
      <c r="T769" s="7">
        <f>'1 datos preparados'!S762</f>
        <v/>
      </c>
      <c r="U769" s="7">
        <f>'1 datos preparados'!T762</f>
        <v/>
      </c>
      <c r="V769" s="8">
        <f>$AE$12+D769*$AE$13+E769*$AE$14+F769*$AE$15+G769*$AE$16+H769*$AE$17+I769*$AE$18+J769*$AE$19+K769*$AE$20+L769*$AE$21+M769*$AE$22+N769*$AE$23+O769*$AE$24+P769*$AE$25+Q769*$AE$26+R769*$AE$27+S769*$AE$28+T769*$AE$29+U769*$AE$30</f>
        <v/>
      </c>
      <c r="W769" s="8">
        <f>1/(1+EXP(-V769))</f>
        <v/>
      </c>
      <c r="X769" s="9">
        <f>-IF(C769=1,LN(W769),LN(1-W769))</f>
        <v/>
      </c>
      <c r="Y769" s="8">
        <f>'1 datos preparados'!V762</f>
        <v/>
      </c>
      <c r="Z769" s="9">
        <f>Y769*X769</f>
        <v/>
      </c>
      <c r="AA769" s="10">
        <f>IF(W769&gt;$AE$33,1,0)</f>
        <v/>
      </c>
      <c r="AB769">
        <f>IF(AA769=C769,1,0)</f>
        <v/>
      </c>
    </row>
    <row r="770">
      <c r="A770">
        <f>'1 datos preparados'!A763</f>
        <v/>
      </c>
      <c r="B770" s="5">
        <f>'1 datos preparados'!U763</f>
        <v/>
      </c>
      <c r="C770">
        <f>'1 datos preparados'!B763</f>
        <v/>
      </c>
      <c r="D770" s="7">
        <f>'1 datos preparados'!C763</f>
        <v/>
      </c>
      <c r="E770" s="7">
        <f>'1 datos preparados'!D763</f>
        <v/>
      </c>
      <c r="F770" s="7">
        <f>'1 datos preparados'!E763</f>
        <v/>
      </c>
      <c r="G770" s="7">
        <f>'1 datos preparados'!F763</f>
        <v/>
      </c>
      <c r="H770" s="7">
        <f>'1 datos preparados'!G763</f>
        <v/>
      </c>
      <c r="I770" s="7">
        <f>'1 datos preparados'!H763</f>
        <v/>
      </c>
      <c r="J770" s="7">
        <f>'1 datos preparados'!I763</f>
        <v/>
      </c>
      <c r="K770" s="7">
        <f>'1 datos preparados'!J763</f>
        <v/>
      </c>
      <c r="L770" s="7">
        <f>'1 datos preparados'!K763</f>
        <v/>
      </c>
      <c r="M770" s="7">
        <f>'1 datos preparados'!L763</f>
        <v/>
      </c>
      <c r="N770" s="7">
        <f>'1 datos preparados'!M763</f>
        <v/>
      </c>
      <c r="O770" s="7">
        <f>'1 datos preparados'!N763</f>
        <v/>
      </c>
      <c r="P770" s="7">
        <f>'1 datos preparados'!O763</f>
        <v/>
      </c>
      <c r="Q770" s="7">
        <f>'1 datos preparados'!P763</f>
        <v/>
      </c>
      <c r="R770" s="7">
        <f>'1 datos preparados'!Q763</f>
        <v/>
      </c>
      <c r="S770" s="7">
        <f>'1 datos preparados'!R763</f>
        <v/>
      </c>
      <c r="T770" s="7">
        <f>'1 datos preparados'!S763</f>
        <v/>
      </c>
      <c r="U770" s="7">
        <f>'1 datos preparados'!T763</f>
        <v/>
      </c>
      <c r="V770" s="8">
        <f>$AE$12+D770*$AE$13+E770*$AE$14+F770*$AE$15+G770*$AE$16+H770*$AE$17+I770*$AE$18+J770*$AE$19+K770*$AE$20+L770*$AE$21+M770*$AE$22+N770*$AE$23+O770*$AE$24+P770*$AE$25+Q770*$AE$26+R770*$AE$27+S770*$AE$28+T770*$AE$29+U770*$AE$30</f>
        <v/>
      </c>
      <c r="W770" s="8">
        <f>1/(1+EXP(-V770))</f>
        <v/>
      </c>
      <c r="X770" s="9">
        <f>-IF(C770=1,LN(W770),LN(1-W770))</f>
        <v/>
      </c>
      <c r="Y770" s="8">
        <f>'1 datos preparados'!V763</f>
        <v/>
      </c>
      <c r="Z770" s="9">
        <f>Y770*X770</f>
        <v/>
      </c>
      <c r="AA770" s="10">
        <f>IF(W770&gt;$AE$33,1,0)</f>
        <v/>
      </c>
      <c r="AB770">
        <f>IF(AA770=C770,1,0)</f>
        <v/>
      </c>
    </row>
    <row r="771">
      <c r="A771">
        <f>'1 datos preparados'!A764</f>
        <v/>
      </c>
      <c r="B771" s="5">
        <f>'1 datos preparados'!U764</f>
        <v/>
      </c>
      <c r="C771">
        <f>'1 datos preparados'!B764</f>
        <v/>
      </c>
      <c r="D771" s="7">
        <f>'1 datos preparados'!C764</f>
        <v/>
      </c>
      <c r="E771" s="7">
        <f>'1 datos preparados'!D764</f>
        <v/>
      </c>
      <c r="F771" s="7">
        <f>'1 datos preparados'!E764</f>
        <v/>
      </c>
      <c r="G771" s="7">
        <f>'1 datos preparados'!F764</f>
        <v/>
      </c>
      <c r="H771" s="7">
        <f>'1 datos preparados'!G764</f>
        <v/>
      </c>
      <c r="I771" s="7">
        <f>'1 datos preparados'!H764</f>
        <v/>
      </c>
      <c r="J771" s="7">
        <f>'1 datos preparados'!I764</f>
        <v/>
      </c>
      <c r="K771" s="7">
        <f>'1 datos preparados'!J764</f>
        <v/>
      </c>
      <c r="L771" s="7">
        <f>'1 datos preparados'!K764</f>
        <v/>
      </c>
      <c r="M771" s="7">
        <f>'1 datos preparados'!L764</f>
        <v/>
      </c>
      <c r="N771" s="7">
        <f>'1 datos preparados'!M764</f>
        <v/>
      </c>
      <c r="O771" s="7">
        <f>'1 datos preparados'!N764</f>
        <v/>
      </c>
      <c r="P771" s="7">
        <f>'1 datos preparados'!O764</f>
        <v/>
      </c>
      <c r="Q771" s="7">
        <f>'1 datos preparados'!P764</f>
        <v/>
      </c>
      <c r="R771" s="7">
        <f>'1 datos preparados'!Q764</f>
        <v/>
      </c>
      <c r="S771" s="7">
        <f>'1 datos preparados'!R764</f>
        <v/>
      </c>
      <c r="T771" s="7">
        <f>'1 datos preparados'!S764</f>
        <v/>
      </c>
      <c r="U771" s="7">
        <f>'1 datos preparados'!T764</f>
        <v/>
      </c>
      <c r="V771" s="8">
        <f>$AE$12+D771*$AE$13+E771*$AE$14+F771*$AE$15+G771*$AE$16+H771*$AE$17+I771*$AE$18+J771*$AE$19+K771*$AE$20+L771*$AE$21+M771*$AE$22+N771*$AE$23+O771*$AE$24+P771*$AE$25+Q771*$AE$26+R771*$AE$27+S771*$AE$28+T771*$AE$29+U771*$AE$30</f>
        <v/>
      </c>
      <c r="W771" s="8">
        <f>1/(1+EXP(-V771))</f>
        <v/>
      </c>
      <c r="X771" s="9">
        <f>-IF(C771=1,LN(W771),LN(1-W771))</f>
        <v/>
      </c>
      <c r="Y771" s="8">
        <f>'1 datos preparados'!V764</f>
        <v/>
      </c>
      <c r="Z771" s="9">
        <f>Y771*X771</f>
        <v/>
      </c>
      <c r="AA771" s="10">
        <f>IF(W771&gt;$AE$33,1,0)</f>
        <v/>
      </c>
      <c r="AB771">
        <f>IF(AA771=C771,1,0)</f>
        <v/>
      </c>
    </row>
    <row r="772">
      <c r="A772">
        <f>'1 datos preparados'!A765</f>
        <v/>
      </c>
      <c r="B772" s="5">
        <f>'1 datos preparados'!U765</f>
        <v/>
      </c>
      <c r="C772">
        <f>'1 datos preparados'!B765</f>
        <v/>
      </c>
      <c r="D772" s="7">
        <f>'1 datos preparados'!C765</f>
        <v/>
      </c>
      <c r="E772" s="7">
        <f>'1 datos preparados'!D765</f>
        <v/>
      </c>
      <c r="F772" s="7">
        <f>'1 datos preparados'!E765</f>
        <v/>
      </c>
      <c r="G772" s="7">
        <f>'1 datos preparados'!F765</f>
        <v/>
      </c>
      <c r="H772" s="7">
        <f>'1 datos preparados'!G765</f>
        <v/>
      </c>
      <c r="I772" s="7">
        <f>'1 datos preparados'!H765</f>
        <v/>
      </c>
      <c r="J772" s="7">
        <f>'1 datos preparados'!I765</f>
        <v/>
      </c>
      <c r="K772" s="7">
        <f>'1 datos preparados'!J765</f>
        <v/>
      </c>
      <c r="L772" s="7">
        <f>'1 datos preparados'!K765</f>
        <v/>
      </c>
      <c r="M772" s="7">
        <f>'1 datos preparados'!L765</f>
        <v/>
      </c>
      <c r="N772" s="7">
        <f>'1 datos preparados'!M765</f>
        <v/>
      </c>
      <c r="O772" s="7">
        <f>'1 datos preparados'!N765</f>
        <v/>
      </c>
      <c r="P772" s="7">
        <f>'1 datos preparados'!O765</f>
        <v/>
      </c>
      <c r="Q772" s="7">
        <f>'1 datos preparados'!P765</f>
        <v/>
      </c>
      <c r="R772" s="7">
        <f>'1 datos preparados'!Q765</f>
        <v/>
      </c>
      <c r="S772" s="7">
        <f>'1 datos preparados'!R765</f>
        <v/>
      </c>
      <c r="T772" s="7">
        <f>'1 datos preparados'!S765</f>
        <v/>
      </c>
      <c r="U772" s="7">
        <f>'1 datos preparados'!T765</f>
        <v/>
      </c>
      <c r="V772" s="8">
        <f>$AE$12+D772*$AE$13+E772*$AE$14+F772*$AE$15+G772*$AE$16+H772*$AE$17+I772*$AE$18+J772*$AE$19+K772*$AE$20+L772*$AE$21+M772*$AE$22+N772*$AE$23+O772*$AE$24+P772*$AE$25+Q772*$AE$26+R772*$AE$27+S772*$AE$28+T772*$AE$29+U772*$AE$30</f>
        <v/>
      </c>
      <c r="W772" s="8">
        <f>1/(1+EXP(-V772))</f>
        <v/>
      </c>
      <c r="X772" s="9">
        <f>-IF(C772=1,LN(W772),LN(1-W772))</f>
        <v/>
      </c>
      <c r="Y772" s="8">
        <f>'1 datos preparados'!V765</f>
        <v/>
      </c>
      <c r="Z772" s="9">
        <f>Y772*X772</f>
        <v/>
      </c>
      <c r="AA772" s="10">
        <f>IF(W772&gt;$AE$33,1,0)</f>
        <v/>
      </c>
      <c r="AB772">
        <f>IF(AA772=C772,1,0)</f>
        <v/>
      </c>
    </row>
    <row r="773">
      <c r="A773">
        <f>'1 datos preparados'!A766</f>
        <v/>
      </c>
      <c r="B773" s="5">
        <f>'1 datos preparados'!U766</f>
        <v/>
      </c>
      <c r="C773">
        <f>'1 datos preparados'!B766</f>
        <v/>
      </c>
      <c r="D773" s="7">
        <f>'1 datos preparados'!C766</f>
        <v/>
      </c>
      <c r="E773" s="7">
        <f>'1 datos preparados'!D766</f>
        <v/>
      </c>
      <c r="F773" s="7">
        <f>'1 datos preparados'!E766</f>
        <v/>
      </c>
      <c r="G773" s="7">
        <f>'1 datos preparados'!F766</f>
        <v/>
      </c>
      <c r="H773" s="7">
        <f>'1 datos preparados'!G766</f>
        <v/>
      </c>
      <c r="I773" s="7">
        <f>'1 datos preparados'!H766</f>
        <v/>
      </c>
      <c r="J773" s="7">
        <f>'1 datos preparados'!I766</f>
        <v/>
      </c>
      <c r="K773" s="7">
        <f>'1 datos preparados'!J766</f>
        <v/>
      </c>
      <c r="L773" s="7">
        <f>'1 datos preparados'!K766</f>
        <v/>
      </c>
      <c r="M773" s="7">
        <f>'1 datos preparados'!L766</f>
        <v/>
      </c>
      <c r="N773" s="7">
        <f>'1 datos preparados'!M766</f>
        <v/>
      </c>
      <c r="O773" s="7">
        <f>'1 datos preparados'!N766</f>
        <v/>
      </c>
      <c r="P773" s="7">
        <f>'1 datos preparados'!O766</f>
        <v/>
      </c>
      <c r="Q773" s="7">
        <f>'1 datos preparados'!P766</f>
        <v/>
      </c>
      <c r="R773" s="7">
        <f>'1 datos preparados'!Q766</f>
        <v/>
      </c>
      <c r="S773" s="7">
        <f>'1 datos preparados'!R766</f>
        <v/>
      </c>
      <c r="T773" s="7">
        <f>'1 datos preparados'!S766</f>
        <v/>
      </c>
      <c r="U773" s="7">
        <f>'1 datos preparados'!T766</f>
        <v/>
      </c>
      <c r="V773" s="8">
        <f>$AE$12+D773*$AE$13+E773*$AE$14+F773*$AE$15+G773*$AE$16+H773*$AE$17+I773*$AE$18+J773*$AE$19+K773*$AE$20+L773*$AE$21+M773*$AE$22+N773*$AE$23+O773*$AE$24+P773*$AE$25+Q773*$AE$26+R773*$AE$27+S773*$AE$28+T773*$AE$29+U773*$AE$30</f>
        <v/>
      </c>
      <c r="W773" s="8">
        <f>1/(1+EXP(-V773))</f>
        <v/>
      </c>
      <c r="X773" s="9">
        <f>-IF(C773=1,LN(W773),LN(1-W773))</f>
        <v/>
      </c>
      <c r="Y773" s="8">
        <f>'1 datos preparados'!V766</f>
        <v/>
      </c>
      <c r="Z773" s="9">
        <f>Y773*X773</f>
        <v/>
      </c>
      <c r="AA773" s="10">
        <f>IF(W773&gt;$AE$33,1,0)</f>
        <v/>
      </c>
      <c r="AB773">
        <f>IF(AA773=C773,1,0)</f>
        <v/>
      </c>
    </row>
    <row r="774">
      <c r="A774">
        <f>'1 datos preparados'!A767</f>
        <v/>
      </c>
      <c r="B774" s="5">
        <f>'1 datos preparados'!U767</f>
        <v/>
      </c>
      <c r="C774">
        <f>'1 datos preparados'!B767</f>
        <v/>
      </c>
      <c r="D774" s="7">
        <f>'1 datos preparados'!C767</f>
        <v/>
      </c>
      <c r="E774" s="7">
        <f>'1 datos preparados'!D767</f>
        <v/>
      </c>
      <c r="F774" s="7">
        <f>'1 datos preparados'!E767</f>
        <v/>
      </c>
      <c r="G774" s="7">
        <f>'1 datos preparados'!F767</f>
        <v/>
      </c>
      <c r="H774" s="7">
        <f>'1 datos preparados'!G767</f>
        <v/>
      </c>
      <c r="I774" s="7">
        <f>'1 datos preparados'!H767</f>
        <v/>
      </c>
      <c r="J774" s="7">
        <f>'1 datos preparados'!I767</f>
        <v/>
      </c>
      <c r="K774" s="7">
        <f>'1 datos preparados'!J767</f>
        <v/>
      </c>
      <c r="L774" s="7">
        <f>'1 datos preparados'!K767</f>
        <v/>
      </c>
      <c r="M774" s="7">
        <f>'1 datos preparados'!L767</f>
        <v/>
      </c>
      <c r="N774" s="7">
        <f>'1 datos preparados'!M767</f>
        <v/>
      </c>
      <c r="O774" s="7">
        <f>'1 datos preparados'!N767</f>
        <v/>
      </c>
      <c r="P774" s="7">
        <f>'1 datos preparados'!O767</f>
        <v/>
      </c>
      <c r="Q774" s="7">
        <f>'1 datos preparados'!P767</f>
        <v/>
      </c>
      <c r="R774" s="7">
        <f>'1 datos preparados'!Q767</f>
        <v/>
      </c>
      <c r="S774" s="7">
        <f>'1 datos preparados'!R767</f>
        <v/>
      </c>
      <c r="T774" s="7">
        <f>'1 datos preparados'!S767</f>
        <v/>
      </c>
      <c r="U774" s="7">
        <f>'1 datos preparados'!T767</f>
        <v/>
      </c>
      <c r="V774" s="8">
        <f>$AE$12+D774*$AE$13+E774*$AE$14+F774*$AE$15+G774*$AE$16+H774*$AE$17+I774*$AE$18+J774*$AE$19+K774*$AE$20+L774*$AE$21+M774*$AE$22+N774*$AE$23+O774*$AE$24+P774*$AE$25+Q774*$AE$26+R774*$AE$27+S774*$AE$28+T774*$AE$29+U774*$AE$30</f>
        <v/>
      </c>
      <c r="W774" s="8">
        <f>1/(1+EXP(-V774))</f>
        <v/>
      </c>
      <c r="X774" s="9">
        <f>-IF(C774=1,LN(W774),LN(1-W774))</f>
        <v/>
      </c>
      <c r="Y774" s="8">
        <f>'1 datos preparados'!V767</f>
        <v/>
      </c>
      <c r="Z774" s="9">
        <f>Y774*X774</f>
        <v/>
      </c>
      <c r="AA774" s="10">
        <f>IF(W774&gt;$AE$33,1,0)</f>
        <v/>
      </c>
      <c r="AB774">
        <f>IF(AA774=C774,1,0)</f>
        <v/>
      </c>
    </row>
    <row r="775">
      <c r="A775">
        <f>'1 datos preparados'!A768</f>
        <v/>
      </c>
      <c r="B775" s="5">
        <f>'1 datos preparados'!U768</f>
        <v/>
      </c>
      <c r="C775">
        <f>'1 datos preparados'!B768</f>
        <v/>
      </c>
      <c r="D775" s="7">
        <f>'1 datos preparados'!C768</f>
        <v/>
      </c>
      <c r="E775" s="7">
        <f>'1 datos preparados'!D768</f>
        <v/>
      </c>
      <c r="F775" s="7">
        <f>'1 datos preparados'!E768</f>
        <v/>
      </c>
      <c r="G775" s="7">
        <f>'1 datos preparados'!F768</f>
        <v/>
      </c>
      <c r="H775" s="7">
        <f>'1 datos preparados'!G768</f>
        <v/>
      </c>
      <c r="I775" s="7">
        <f>'1 datos preparados'!H768</f>
        <v/>
      </c>
      <c r="J775" s="7">
        <f>'1 datos preparados'!I768</f>
        <v/>
      </c>
      <c r="K775" s="7">
        <f>'1 datos preparados'!J768</f>
        <v/>
      </c>
      <c r="L775" s="7">
        <f>'1 datos preparados'!K768</f>
        <v/>
      </c>
      <c r="M775" s="7">
        <f>'1 datos preparados'!L768</f>
        <v/>
      </c>
      <c r="N775" s="7">
        <f>'1 datos preparados'!M768</f>
        <v/>
      </c>
      <c r="O775" s="7">
        <f>'1 datos preparados'!N768</f>
        <v/>
      </c>
      <c r="P775" s="7">
        <f>'1 datos preparados'!O768</f>
        <v/>
      </c>
      <c r="Q775" s="7">
        <f>'1 datos preparados'!P768</f>
        <v/>
      </c>
      <c r="R775" s="7">
        <f>'1 datos preparados'!Q768</f>
        <v/>
      </c>
      <c r="S775" s="7">
        <f>'1 datos preparados'!R768</f>
        <v/>
      </c>
      <c r="T775" s="7">
        <f>'1 datos preparados'!S768</f>
        <v/>
      </c>
      <c r="U775" s="7">
        <f>'1 datos preparados'!T768</f>
        <v/>
      </c>
      <c r="V775" s="8">
        <f>$AE$12+D775*$AE$13+E775*$AE$14+F775*$AE$15+G775*$AE$16+H775*$AE$17+I775*$AE$18+J775*$AE$19+K775*$AE$20+L775*$AE$21+M775*$AE$22+N775*$AE$23+O775*$AE$24+P775*$AE$25+Q775*$AE$26+R775*$AE$27+S775*$AE$28+T775*$AE$29+U775*$AE$30</f>
        <v/>
      </c>
      <c r="W775" s="8">
        <f>1/(1+EXP(-V775))</f>
        <v/>
      </c>
      <c r="X775" s="9">
        <f>-IF(C775=1,LN(W775),LN(1-W775))</f>
        <v/>
      </c>
      <c r="Y775" s="8">
        <f>'1 datos preparados'!V768</f>
        <v/>
      </c>
      <c r="Z775" s="9">
        <f>Y775*X775</f>
        <v/>
      </c>
      <c r="AA775" s="10">
        <f>IF(W775&gt;$AE$33,1,0)</f>
        <v/>
      </c>
      <c r="AB775">
        <f>IF(AA775=C775,1,0)</f>
        <v/>
      </c>
    </row>
    <row r="776">
      <c r="A776">
        <f>'1 datos preparados'!A769</f>
        <v/>
      </c>
      <c r="B776" s="5">
        <f>'1 datos preparados'!U769</f>
        <v/>
      </c>
      <c r="C776">
        <f>'1 datos preparados'!B769</f>
        <v/>
      </c>
      <c r="D776" s="7">
        <f>'1 datos preparados'!C769</f>
        <v/>
      </c>
      <c r="E776" s="7">
        <f>'1 datos preparados'!D769</f>
        <v/>
      </c>
      <c r="F776" s="7">
        <f>'1 datos preparados'!E769</f>
        <v/>
      </c>
      <c r="G776" s="7">
        <f>'1 datos preparados'!F769</f>
        <v/>
      </c>
      <c r="H776" s="7">
        <f>'1 datos preparados'!G769</f>
        <v/>
      </c>
      <c r="I776" s="7">
        <f>'1 datos preparados'!H769</f>
        <v/>
      </c>
      <c r="J776" s="7">
        <f>'1 datos preparados'!I769</f>
        <v/>
      </c>
      <c r="K776" s="7">
        <f>'1 datos preparados'!J769</f>
        <v/>
      </c>
      <c r="L776" s="7">
        <f>'1 datos preparados'!K769</f>
        <v/>
      </c>
      <c r="M776" s="7">
        <f>'1 datos preparados'!L769</f>
        <v/>
      </c>
      <c r="N776" s="7">
        <f>'1 datos preparados'!M769</f>
        <v/>
      </c>
      <c r="O776" s="7">
        <f>'1 datos preparados'!N769</f>
        <v/>
      </c>
      <c r="P776" s="7">
        <f>'1 datos preparados'!O769</f>
        <v/>
      </c>
      <c r="Q776" s="7">
        <f>'1 datos preparados'!P769</f>
        <v/>
      </c>
      <c r="R776" s="7">
        <f>'1 datos preparados'!Q769</f>
        <v/>
      </c>
      <c r="S776" s="7">
        <f>'1 datos preparados'!R769</f>
        <v/>
      </c>
      <c r="T776" s="7">
        <f>'1 datos preparados'!S769</f>
        <v/>
      </c>
      <c r="U776" s="7">
        <f>'1 datos preparados'!T769</f>
        <v/>
      </c>
      <c r="V776" s="8">
        <f>$AE$12+D776*$AE$13+E776*$AE$14+F776*$AE$15+G776*$AE$16+H776*$AE$17+I776*$AE$18+J776*$AE$19+K776*$AE$20+L776*$AE$21+M776*$AE$22+N776*$AE$23+O776*$AE$24+P776*$AE$25+Q776*$AE$26+R776*$AE$27+S776*$AE$28+T776*$AE$29+U776*$AE$30</f>
        <v/>
      </c>
      <c r="W776" s="8">
        <f>1/(1+EXP(-V776))</f>
        <v/>
      </c>
      <c r="X776" s="9">
        <f>-IF(C776=1,LN(W776),LN(1-W776))</f>
        <v/>
      </c>
      <c r="Y776" s="8">
        <f>'1 datos preparados'!V769</f>
        <v/>
      </c>
      <c r="Z776" s="9">
        <f>Y776*X776</f>
        <v/>
      </c>
      <c r="AA776" s="10">
        <f>IF(W776&gt;$AE$33,1,0)</f>
        <v/>
      </c>
      <c r="AB776">
        <f>IF(AA776=C776,1,0)</f>
        <v/>
      </c>
    </row>
    <row r="777">
      <c r="A777">
        <f>'1 datos preparados'!A770</f>
        <v/>
      </c>
      <c r="B777" s="5">
        <f>'1 datos preparados'!U770</f>
        <v/>
      </c>
      <c r="C777">
        <f>'1 datos preparados'!B770</f>
        <v/>
      </c>
      <c r="D777" s="7">
        <f>'1 datos preparados'!C770</f>
        <v/>
      </c>
      <c r="E777" s="7">
        <f>'1 datos preparados'!D770</f>
        <v/>
      </c>
      <c r="F777" s="7">
        <f>'1 datos preparados'!E770</f>
        <v/>
      </c>
      <c r="G777" s="7">
        <f>'1 datos preparados'!F770</f>
        <v/>
      </c>
      <c r="H777" s="7">
        <f>'1 datos preparados'!G770</f>
        <v/>
      </c>
      <c r="I777" s="7">
        <f>'1 datos preparados'!H770</f>
        <v/>
      </c>
      <c r="J777" s="7">
        <f>'1 datos preparados'!I770</f>
        <v/>
      </c>
      <c r="K777" s="7">
        <f>'1 datos preparados'!J770</f>
        <v/>
      </c>
      <c r="L777" s="7">
        <f>'1 datos preparados'!K770</f>
        <v/>
      </c>
      <c r="M777" s="7">
        <f>'1 datos preparados'!L770</f>
        <v/>
      </c>
      <c r="N777" s="7">
        <f>'1 datos preparados'!M770</f>
        <v/>
      </c>
      <c r="O777" s="7">
        <f>'1 datos preparados'!N770</f>
        <v/>
      </c>
      <c r="P777" s="7">
        <f>'1 datos preparados'!O770</f>
        <v/>
      </c>
      <c r="Q777" s="7">
        <f>'1 datos preparados'!P770</f>
        <v/>
      </c>
      <c r="R777" s="7">
        <f>'1 datos preparados'!Q770</f>
        <v/>
      </c>
      <c r="S777" s="7">
        <f>'1 datos preparados'!R770</f>
        <v/>
      </c>
      <c r="T777" s="7">
        <f>'1 datos preparados'!S770</f>
        <v/>
      </c>
      <c r="U777" s="7">
        <f>'1 datos preparados'!T770</f>
        <v/>
      </c>
      <c r="V777" s="8">
        <f>$AE$12+D777*$AE$13+E777*$AE$14+F777*$AE$15+G777*$AE$16+H777*$AE$17+I777*$AE$18+J777*$AE$19+K777*$AE$20+L777*$AE$21+M777*$AE$22+N777*$AE$23+O777*$AE$24+P777*$AE$25+Q777*$AE$26+R777*$AE$27+S777*$AE$28+T777*$AE$29+U777*$AE$30</f>
        <v/>
      </c>
      <c r="W777" s="8">
        <f>1/(1+EXP(-V777))</f>
        <v/>
      </c>
      <c r="X777" s="9">
        <f>-IF(C777=1,LN(W777),LN(1-W777))</f>
        <v/>
      </c>
      <c r="Y777" s="8">
        <f>'1 datos preparados'!V770</f>
        <v/>
      </c>
      <c r="Z777" s="9">
        <f>Y777*X777</f>
        <v/>
      </c>
      <c r="AA777" s="10">
        <f>IF(W777&gt;$AE$33,1,0)</f>
        <v/>
      </c>
      <c r="AB777">
        <f>IF(AA777=C777,1,0)</f>
        <v/>
      </c>
    </row>
    <row r="778">
      <c r="A778">
        <f>'1 datos preparados'!A771</f>
        <v/>
      </c>
      <c r="B778" s="5">
        <f>'1 datos preparados'!U771</f>
        <v/>
      </c>
      <c r="C778">
        <f>'1 datos preparados'!B771</f>
        <v/>
      </c>
      <c r="D778" s="7">
        <f>'1 datos preparados'!C771</f>
        <v/>
      </c>
      <c r="E778" s="7">
        <f>'1 datos preparados'!D771</f>
        <v/>
      </c>
      <c r="F778" s="7">
        <f>'1 datos preparados'!E771</f>
        <v/>
      </c>
      <c r="G778" s="7">
        <f>'1 datos preparados'!F771</f>
        <v/>
      </c>
      <c r="H778" s="7">
        <f>'1 datos preparados'!G771</f>
        <v/>
      </c>
      <c r="I778" s="7">
        <f>'1 datos preparados'!H771</f>
        <v/>
      </c>
      <c r="J778" s="7">
        <f>'1 datos preparados'!I771</f>
        <v/>
      </c>
      <c r="K778" s="7">
        <f>'1 datos preparados'!J771</f>
        <v/>
      </c>
      <c r="L778" s="7">
        <f>'1 datos preparados'!K771</f>
        <v/>
      </c>
      <c r="M778" s="7">
        <f>'1 datos preparados'!L771</f>
        <v/>
      </c>
      <c r="N778" s="7">
        <f>'1 datos preparados'!M771</f>
        <v/>
      </c>
      <c r="O778" s="7">
        <f>'1 datos preparados'!N771</f>
        <v/>
      </c>
      <c r="P778" s="7">
        <f>'1 datos preparados'!O771</f>
        <v/>
      </c>
      <c r="Q778" s="7">
        <f>'1 datos preparados'!P771</f>
        <v/>
      </c>
      <c r="R778" s="7">
        <f>'1 datos preparados'!Q771</f>
        <v/>
      </c>
      <c r="S778" s="7">
        <f>'1 datos preparados'!R771</f>
        <v/>
      </c>
      <c r="T778" s="7">
        <f>'1 datos preparados'!S771</f>
        <v/>
      </c>
      <c r="U778" s="7">
        <f>'1 datos preparados'!T771</f>
        <v/>
      </c>
      <c r="V778" s="8">
        <f>$AE$12+D778*$AE$13+E778*$AE$14+F778*$AE$15+G778*$AE$16+H778*$AE$17+I778*$AE$18+J778*$AE$19+K778*$AE$20+L778*$AE$21+M778*$AE$22+N778*$AE$23+O778*$AE$24+P778*$AE$25+Q778*$AE$26+R778*$AE$27+S778*$AE$28+T778*$AE$29+U778*$AE$30</f>
        <v/>
      </c>
      <c r="W778" s="8">
        <f>1/(1+EXP(-V778))</f>
        <v/>
      </c>
      <c r="X778" s="9">
        <f>-IF(C778=1,LN(W778),LN(1-W778))</f>
        <v/>
      </c>
      <c r="Y778" s="8">
        <f>'1 datos preparados'!V771</f>
        <v/>
      </c>
      <c r="Z778" s="9">
        <f>Y778*X778</f>
        <v/>
      </c>
      <c r="AA778" s="10">
        <f>IF(W778&gt;$AE$33,1,0)</f>
        <v/>
      </c>
      <c r="AB778">
        <f>IF(AA778=C778,1,0)</f>
        <v/>
      </c>
    </row>
    <row r="779">
      <c r="A779">
        <f>'1 datos preparados'!A772</f>
        <v/>
      </c>
      <c r="B779" s="5">
        <f>'1 datos preparados'!U772</f>
        <v/>
      </c>
      <c r="C779">
        <f>'1 datos preparados'!B772</f>
        <v/>
      </c>
      <c r="D779" s="7">
        <f>'1 datos preparados'!C772</f>
        <v/>
      </c>
      <c r="E779" s="7">
        <f>'1 datos preparados'!D772</f>
        <v/>
      </c>
      <c r="F779" s="7">
        <f>'1 datos preparados'!E772</f>
        <v/>
      </c>
      <c r="G779" s="7">
        <f>'1 datos preparados'!F772</f>
        <v/>
      </c>
      <c r="H779" s="7">
        <f>'1 datos preparados'!G772</f>
        <v/>
      </c>
      <c r="I779" s="7">
        <f>'1 datos preparados'!H772</f>
        <v/>
      </c>
      <c r="J779" s="7">
        <f>'1 datos preparados'!I772</f>
        <v/>
      </c>
      <c r="K779" s="7">
        <f>'1 datos preparados'!J772</f>
        <v/>
      </c>
      <c r="L779" s="7">
        <f>'1 datos preparados'!K772</f>
        <v/>
      </c>
      <c r="M779" s="7">
        <f>'1 datos preparados'!L772</f>
        <v/>
      </c>
      <c r="N779" s="7">
        <f>'1 datos preparados'!M772</f>
        <v/>
      </c>
      <c r="O779" s="7">
        <f>'1 datos preparados'!N772</f>
        <v/>
      </c>
      <c r="P779" s="7">
        <f>'1 datos preparados'!O772</f>
        <v/>
      </c>
      <c r="Q779" s="7">
        <f>'1 datos preparados'!P772</f>
        <v/>
      </c>
      <c r="R779" s="7">
        <f>'1 datos preparados'!Q772</f>
        <v/>
      </c>
      <c r="S779" s="7">
        <f>'1 datos preparados'!R772</f>
        <v/>
      </c>
      <c r="T779" s="7">
        <f>'1 datos preparados'!S772</f>
        <v/>
      </c>
      <c r="U779" s="7">
        <f>'1 datos preparados'!T772</f>
        <v/>
      </c>
      <c r="V779" s="8">
        <f>$AE$12+D779*$AE$13+E779*$AE$14+F779*$AE$15+G779*$AE$16+H779*$AE$17+I779*$AE$18+J779*$AE$19+K779*$AE$20+L779*$AE$21+M779*$AE$22+N779*$AE$23+O779*$AE$24+P779*$AE$25+Q779*$AE$26+R779*$AE$27+S779*$AE$28+T779*$AE$29+U779*$AE$30</f>
        <v/>
      </c>
      <c r="W779" s="8">
        <f>1/(1+EXP(-V779))</f>
        <v/>
      </c>
      <c r="X779" s="9">
        <f>-IF(C779=1,LN(W779),LN(1-W779))</f>
        <v/>
      </c>
      <c r="Y779" s="8">
        <f>'1 datos preparados'!V772</f>
        <v/>
      </c>
      <c r="Z779" s="9">
        <f>Y779*X779</f>
        <v/>
      </c>
      <c r="AA779" s="10">
        <f>IF(W779&gt;$AE$33,1,0)</f>
        <v/>
      </c>
      <c r="AB779">
        <f>IF(AA779=C779,1,0)</f>
        <v/>
      </c>
    </row>
    <row r="780">
      <c r="A780">
        <f>'1 datos preparados'!A773</f>
        <v/>
      </c>
      <c r="B780" s="5">
        <f>'1 datos preparados'!U773</f>
        <v/>
      </c>
      <c r="C780">
        <f>'1 datos preparados'!B773</f>
        <v/>
      </c>
      <c r="D780" s="7">
        <f>'1 datos preparados'!C773</f>
        <v/>
      </c>
      <c r="E780" s="7">
        <f>'1 datos preparados'!D773</f>
        <v/>
      </c>
      <c r="F780" s="7">
        <f>'1 datos preparados'!E773</f>
        <v/>
      </c>
      <c r="G780" s="7">
        <f>'1 datos preparados'!F773</f>
        <v/>
      </c>
      <c r="H780" s="7">
        <f>'1 datos preparados'!G773</f>
        <v/>
      </c>
      <c r="I780" s="7">
        <f>'1 datos preparados'!H773</f>
        <v/>
      </c>
      <c r="J780" s="7">
        <f>'1 datos preparados'!I773</f>
        <v/>
      </c>
      <c r="K780" s="7">
        <f>'1 datos preparados'!J773</f>
        <v/>
      </c>
      <c r="L780" s="7">
        <f>'1 datos preparados'!K773</f>
        <v/>
      </c>
      <c r="M780" s="7">
        <f>'1 datos preparados'!L773</f>
        <v/>
      </c>
      <c r="N780" s="7">
        <f>'1 datos preparados'!M773</f>
        <v/>
      </c>
      <c r="O780" s="7">
        <f>'1 datos preparados'!N773</f>
        <v/>
      </c>
      <c r="P780" s="7">
        <f>'1 datos preparados'!O773</f>
        <v/>
      </c>
      <c r="Q780" s="7">
        <f>'1 datos preparados'!P773</f>
        <v/>
      </c>
      <c r="R780" s="7">
        <f>'1 datos preparados'!Q773</f>
        <v/>
      </c>
      <c r="S780" s="7">
        <f>'1 datos preparados'!R773</f>
        <v/>
      </c>
      <c r="T780" s="7">
        <f>'1 datos preparados'!S773</f>
        <v/>
      </c>
      <c r="U780" s="7">
        <f>'1 datos preparados'!T773</f>
        <v/>
      </c>
      <c r="V780" s="8">
        <f>$AE$12+D780*$AE$13+E780*$AE$14+F780*$AE$15+G780*$AE$16+H780*$AE$17+I780*$AE$18+J780*$AE$19+K780*$AE$20+L780*$AE$21+M780*$AE$22+N780*$AE$23+O780*$AE$24+P780*$AE$25+Q780*$AE$26+R780*$AE$27+S780*$AE$28+T780*$AE$29+U780*$AE$30</f>
        <v/>
      </c>
      <c r="W780" s="8">
        <f>1/(1+EXP(-V780))</f>
        <v/>
      </c>
      <c r="X780" s="9">
        <f>-IF(C780=1,LN(W780),LN(1-W780))</f>
        <v/>
      </c>
      <c r="Y780" s="8">
        <f>'1 datos preparados'!V773</f>
        <v/>
      </c>
      <c r="Z780" s="9">
        <f>Y780*X780</f>
        <v/>
      </c>
      <c r="AA780" s="10">
        <f>IF(W780&gt;$AE$33,1,0)</f>
        <v/>
      </c>
      <c r="AB780">
        <f>IF(AA780=C780,1,0)</f>
        <v/>
      </c>
    </row>
    <row r="781">
      <c r="A781">
        <f>'1 datos preparados'!A774</f>
        <v/>
      </c>
      <c r="B781" s="5">
        <f>'1 datos preparados'!U774</f>
        <v/>
      </c>
      <c r="C781">
        <f>'1 datos preparados'!B774</f>
        <v/>
      </c>
      <c r="D781" s="7">
        <f>'1 datos preparados'!C774</f>
        <v/>
      </c>
      <c r="E781" s="7">
        <f>'1 datos preparados'!D774</f>
        <v/>
      </c>
      <c r="F781" s="7">
        <f>'1 datos preparados'!E774</f>
        <v/>
      </c>
      <c r="G781" s="7">
        <f>'1 datos preparados'!F774</f>
        <v/>
      </c>
      <c r="H781" s="7">
        <f>'1 datos preparados'!G774</f>
        <v/>
      </c>
      <c r="I781" s="7">
        <f>'1 datos preparados'!H774</f>
        <v/>
      </c>
      <c r="J781" s="7">
        <f>'1 datos preparados'!I774</f>
        <v/>
      </c>
      <c r="K781" s="7">
        <f>'1 datos preparados'!J774</f>
        <v/>
      </c>
      <c r="L781" s="7">
        <f>'1 datos preparados'!K774</f>
        <v/>
      </c>
      <c r="M781" s="7">
        <f>'1 datos preparados'!L774</f>
        <v/>
      </c>
      <c r="N781" s="7">
        <f>'1 datos preparados'!M774</f>
        <v/>
      </c>
      <c r="O781" s="7">
        <f>'1 datos preparados'!N774</f>
        <v/>
      </c>
      <c r="P781" s="7">
        <f>'1 datos preparados'!O774</f>
        <v/>
      </c>
      <c r="Q781" s="7">
        <f>'1 datos preparados'!P774</f>
        <v/>
      </c>
      <c r="R781" s="7">
        <f>'1 datos preparados'!Q774</f>
        <v/>
      </c>
      <c r="S781" s="7">
        <f>'1 datos preparados'!R774</f>
        <v/>
      </c>
      <c r="T781" s="7">
        <f>'1 datos preparados'!S774</f>
        <v/>
      </c>
      <c r="U781" s="7">
        <f>'1 datos preparados'!T774</f>
        <v/>
      </c>
      <c r="V781" s="8">
        <f>$AE$12+D781*$AE$13+E781*$AE$14+F781*$AE$15+G781*$AE$16+H781*$AE$17+I781*$AE$18+J781*$AE$19+K781*$AE$20+L781*$AE$21+M781*$AE$22+N781*$AE$23+O781*$AE$24+P781*$AE$25+Q781*$AE$26+R781*$AE$27+S781*$AE$28+T781*$AE$29+U781*$AE$30</f>
        <v/>
      </c>
      <c r="W781" s="8">
        <f>1/(1+EXP(-V781))</f>
        <v/>
      </c>
      <c r="X781" s="9">
        <f>-IF(C781=1,LN(W781),LN(1-W781))</f>
        <v/>
      </c>
      <c r="Y781" s="8">
        <f>'1 datos preparados'!V774</f>
        <v/>
      </c>
      <c r="Z781" s="9">
        <f>Y781*X781</f>
        <v/>
      </c>
      <c r="AA781" s="10">
        <f>IF(W781&gt;$AE$33,1,0)</f>
        <v/>
      </c>
      <c r="AB781">
        <f>IF(AA781=C781,1,0)</f>
        <v/>
      </c>
    </row>
    <row r="782">
      <c r="A782">
        <f>'1 datos preparados'!A775</f>
        <v/>
      </c>
      <c r="B782" s="5">
        <f>'1 datos preparados'!U775</f>
        <v/>
      </c>
      <c r="C782">
        <f>'1 datos preparados'!B775</f>
        <v/>
      </c>
      <c r="D782" s="7">
        <f>'1 datos preparados'!C775</f>
        <v/>
      </c>
      <c r="E782" s="7">
        <f>'1 datos preparados'!D775</f>
        <v/>
      </c>
      <c r="F782" s="7">
        <f>'1 datos preparados'!E775</f>
        <v/>
      </c>
      <c r="G782" s="7">
        <f>'1 datos preparados'!F775</f>
        <v/>
      </c>
      <c r="H782" s="7">
        <f>'1 datos preparados'!G775</f>
        <v/>
      </c>
      <c r="I782" s="7">
        <f>'1 datos preparados'!H775</f>
        <v/>
      </c>
      <c r="J782" s="7">
        <f>'1 datos preparados'!I775</f>
        <v/>
      </c>
      <c r="K782" s="7">
        <f>'1 datos preparados'!J775</f>
        <v/>
      </c>
      <c r="L782" s="7">
        <f>'1 datos preparados'!K775</f>
        <v/>
      </c>
      <c r="M782" s="7">
        <f>'1 datos preparados'!L775</f>
        <v/>
      </c>
      <c r="N782" s="7">
        <f>'1 datos preparados'!M775</f>
        <v/>
      </c>
      <c r="O782" s="7">
        <f>'1 datos preparados'!N775</f>
        <v/>
      </c>
      <c r="P782" s="7">
        <f>'1 datos preparados'!O775</f>
        <v/>
      </c>
      <c r="Q782" s="7">
        <f>'1 datos preparados'!P775</f>
        <v/>
      </c>
      <c r="R782" s="7">
        <f>'1 datos preparados'!Q775</f>
        <v/>
      </c>
      <c r="S782" s="7">
        <f>'1 datos preparados'!R775</f>
        <v/>
      </c>
      <c r="T782" s="7">
        <f>'1 datos preparados'!S775</f>
        <v/>
      </c>
      <c r="U782" s="7">
        <f>'1 datos preparados'!T775</f>
        <v/>
      </c>
      <c r="V782" s="8">
        <f>$AE$12+D782*$AE$13+E782*$AE$14+F782*$AE$15+G782*$AE$16+H782*$AE$17+I782*$AE$18+J782*$AE$19+K782*$AE$20+L782*$AE$21+M782*$AE$22+N782*$AE$23+O782*$AE$24+P782*$AE$25+Q782*$AE$26+R782*$AE$27+S782*$AE$28+T782*$AE$29+U782*$AE$30</f>
        <v/>
      </c>
      <c r="W782" s="8">
        <f>1/(1+EXP(-V782))</f>
        <v/>
      </c>
      <c r="X782" s="9">
        <f>-IF(C782=1,LN(W782),LN(1-W782))</f>
        <v/>
      </c>
      <c r="Y782" s="8">
        <f>'1 datos preparados'!V775</f>
        <v/>
      </c>
      <c r="Z782" s="9">
        <f>Y782*X782</f>
        <v/>
      </c>
      <c r="AA782" s="10">
        <f>IF(W782&gt;$AE$33,1,0)</f>
        <v/>
      </c>
      <c r="AB782">
        <f>IF(AA782=C782,1,0)</f>
        <v/>
      </c>
    </row>
    <row r="783">
      <c r="A783">
        <f>'1 datos preparados'!A776</f>
        <v/>
      </c>
      <c r="B783" s="5">
        <f>'1 datos preparados'!U776</f>
        <v/>
      </c>
      <c r="C783">
        <f>'1 datos preparados'!B776</f>
        <v/>
      </c>
      <c r="D783" s="7">
        <f>'1 datos preparados'!C776</f>
        <v/>
      </c>
      <c r="E783" s="7">
        <f>'1 datos preparados'!D776</f>
        <v/>
      </c>
      <c r="F783" s="7">
        <f>'1 datos preparados'!E776</f>
        <v/>
      </c>
      <c r="G783" s="7">
        <f>'1 datos preparados'!F776</f>
        <v/>
      </c>
      <c r="H783" s="7">
        <f>'1 datos preparados'!G776</f>
        <v/>
      </c>
      <c r="I783" s="7">
        <f>'1 datos preparados'!H776</f>
        <v/>
      </c>
      <c r="J783" s="7">
        <f>'1 datos preparados'!I776</f>
        <v/>
      </c>
      <c r="K783" s="7">
        <f>'1 datos preparados'!J776</f>
        <v/>
      </c>
      <c r="L783" s="7">
        <f>'1 datos preparados'!K776</f>
        <v/>
      </c>
      <c r="M783" s="7">
        <f>'1 datos preparados'!L776</f>
        <v/>
      </c>
      <c r="N783" s="7">
        <f>'1 datos preparados'!M776</f>
        <v/>
      </c>
      <c r="O783" s="7">
        <f>'1 datos preparados'!N776</f>
        <v/>
      </c>
      <c r="P783" s="7">
        <f>'1 datos preparados'!O776</f>
        <v/>
      </c>
      <c r="Q783" s="7">
        <f>'1 datos preparados'!P776</f>
        <v/>
      </c>
      <c r="R783" s="7">
        <f>'1 datos preparados'!Q776</f>
        <v/>
      </c>
      <c r="S783" s="7">
        <f>'1 datos preparados'!R776</f>
        <v/>
      </c>
      <c r="T783" s="7">
        <f>'1 datos preparados'!S776</f>
        <v/>
      </c>
      <c r="U783" s="7">
        <f>'1 datos preparados'!T776</f>
        <v/>
      </c>
      <c r="V783" s="8">
        <f>$AE$12+D783*$AE$13+E783*$AE$14+F783*$AE$15+G783*$AE$16+H783*$AE$17+I783*$AE$18+J783*$AE$19+K783*$AE$20+L783*$AE$21+M783*$AE$22+N783*$AE$23+O783*$AE$24+P783*$AE$25+Q783*$AE$26+R783*$AE$27+S783*$AE$28+T783*$AE$29+U783*$AE$30</f>
        <v/>
      </c>
      <c r="W783" s="8">
        <f>1/(1+EXP(-V783))</f>
        <v/>
      </c>
      <c r="X783" s="9">
        <f>-IF(C783=1,LN(W783),LN(1-W783))</f>
        <v/>
      </c>
      <c r="Y783" s="8">
        <f>'1 datos preparados'!V776</f>
        <v/>
      </c>
      <c r="Z783" s="9">
        <f>Y783*X783</f>
        <v/>
      </c>
      <c r="AA783" s="10">
        <f>IF(W783&gt;$AE$33,1,0)</f>
        <v/>
      </c>
      <c r="AB783">
        <f>IF(AA783=C783,1,0)</f>
        <v/>
      </c>
    </row>
    <row r="784">
      <c r="A784">
        <f>'1 datos preparados'!A777</f>
        <v/>
      </c>
      <c r="B784" s="5">
        <f>'1 datos preparados'!U777</f>
        <v/>
      </c>
      <c r="C784">
        <f>'1 datos preparados'!B777</f>
        <v/>
      </c>
      <c r="D784" s="7">
        <f>'1 datos preparados'!C777</f>
        <v/>
      </c>
      <c r="E784" s="7">
        <f>'1 datos preparados'!D777</f>
        <v/>
      </c>
      <c r="F784" s="7">
        <f>'1 datos preparados'!E777</f>
        <v/>
      </c>
      <c r="G784" s="7">
        <f>'1 datos preparados'!F777</f>
        <v/>
      </c>
      <c r="H784" s="7">
        <f>'1 datos preparados'!G777</f>
        <v/>
      </c>
      <c r="I784" s="7">
        <f>'1 datos preparados'!H777</f>
        <v/>
      </c>
      <c r="J784" s="7">
        <f>'1 datos preparados'!I777</f>
        <v/>
      </c>
      <c r="K784" s="7">
        <f>'1 datos preparados'!J777</f>
        <v/>
      </c>
      <c r="L784" s="7">
        <f>'1 datos preparados'!K777</f>
        <v/>
      </c>
      <c r="M784" s="7">
        <f>'1 datos preparados'!L777</f>
        <v/>
      </c>
      <c r="N784" s="7">
        <f>'1 datos preparados'!M777</f>
        <v/>
      </c>
      <c r="O784" s="7">
        <f>'1 datos preparados'!N777</f>
        <v/>
      </c>
      <c r="P784" s="7">
        <f>'1 datos preparados'!O777</f>
        <v/>
      </c>
      <c r="Q784" s="7">
        <f>'1 datos preparados'!P777</f>
        <v/>
      </c>
      <c r="R784" s="7">
        <f>'1 datos preparados'!Q777</f>
        <v/>
      </c>
      <c r="S784" s="7">
        <f>'1 datos preparados'!R777</f>
        <v/>
      </c>
      <c r="T784" s="7">
        <f>'1 datos preparados'!S777</f>
        <v/>
      </c>
      <c r="U784" s="7">
        <f>'1 datos preparados'!T777</f>
        <v/>
      </c>
      <c r="V784" s="8">
        <f>$AE$12+D784*$AE$13+E784*$AE$14+F784*$AE$15+G784*$AE$16+H784*$AE$17+I784*$AE$18+J784*$AE$19+K784*$AE$20+L784*$AE$21+M784*$AE$22+N784*$AE$23+O784*$AE$24+P784*$AE$25+Q784*$AE$26+R784*$AE$27+S784*$AE$28+T784*$AE$29+U784*$AE$30</f>
        <v/>
      </c>
      <c r="W784" s="8">
        <f>1/(1+EXP(-V784))</f>
        <v/>
      </c>
      <c r="X784" s="9">
        <f>-IF(C784=1,LN(W784),LN(1-W784))</f>
        <v/>
      </c>
      <c r="Y784" s="8">
        <f>'1 datos preparados'!V777</f>
        <v/>
      </c>
      <c r="Z784" s="9">
        <f>Y784*X784</f>
        <v/>
      </c>
      <c r="AA784" s="10">
        <f>IF(W784&gt;$AE$33,1,0)</f>
        <v/>
      </c>
      <c r="AB784">
        <f>IF(AA784=C784,1,0)</f>
        <v/>
      </c>
    </row>
    <row r="785">
      <c r="A785">
        <f>'1 datos preparados'!A778</f>
        <v/>
      </c>
      <c r="B785" s="5">
        <f>'1 datos preparados'!U778</f>
        <v/>
      </c>
      <c r="C785">
        <f>'1 datos preparados'!B778</f>
        <v/>
      </c>
      <c r="D785" s="7">
        <f>'1 datos preparados'!C778</f>
        <v/>
      </c>
      <c r="E785" s="7">
        <f>'1 datos preparados'!D778</f>
        <v/>
      </c>
      <c r="F785" s="7">
        <f>'1 datos preparados'!E778</f>
        <v/>
      </c>
      <c r="G785" s="7">
        <f>'1 datos preparados'!F778</f>
        <v/>
      </c>
      <c r="H785" s="7">
        <f>'1 datos preparados'!G778</f>
        <v/>
      </c>
      <c r="I785" s="7">
        <f>'1 datos preparados'!H778</f>
        <v/>
      </c>
      <c r="J785" s="7">
        <f>'1 datos preparados'!I778</f>
        <v/>
      </c>
      <c r="K785" s="7">
        <f>'1 datos preparados'!J778</f>
        <v/>
      </c>
      <c r="L785" s="7">
        <f>'1 datos preparados'!K778</f>
        <v/>
      </c>
      <c r="M785" s="7">
        <f>'1 datos preparados'!L778</f>
        <v/>
      </c>
      <c r="N785" s="7">
        <f>'1 datos preparados'!M778</f>
        <v/>
      </c>
      <c r="O785" s="7">
        <f>'1 datos preparados'!N778</f>
        <v/>
      </c>
      <c r="P785" s="7">
        <f>'1 datos preparados'!O778</f>
        <v/>
      </c>
      <c r="Q785" s="7">
        <f>'1 datos preparados'!P778</f>
        <v/>
      </c>
      <c r="R785" s="7">
        <f>'1 datos preparados'!Q778</f>
        <v/>
      </c>
      <c r="S785" s="7">
        <f>'1 datos preparados'!R778</f>
        <v/>
      </c>
      <c r="T785" s="7">
        <f>'1 datos preparados'!S778</f>
        <v/>
      </c>
      <c r="U785" s="7">
        <f>'1 datos preparados'!T778</f>
        <v/>
      </c>
      <c r="V785" s="8">
        <f>$AE$12+D785*$AE$13+E785*$AE$14+F785*$AE$15+G785*$AE$16+H785*$AE$17+I785*$AE$18+J785*$AE$19+K785*$AE$20+L785*$AE$21+M785*$AE$22+N785*$AE$23+O785*$AE$24+P785*$AE$25+Q785*$AE$26+R785*$AE$27+S785*$AE$28+T785*$AE$29+U785*$AE$30</f>
        <v/>
      </c>
      <c r="W785" s="8">
        <f>1/(1+EXP(-V785))</f>
        <v/>
      </c>
      <c r="X785" s="9">
        <f>-IF(C785=1,LN(W785),LN(1-W785))</f>
        <v/>
      </c>
      <c r="Y785" s="8">
        <f>'1 datos preparados'!V778</f>
        <v/>
      </c>
      <c r="Z785" s="9">
        <f>Y785*X785</f>
        <v/>
      </c>
      <c r="AA785" s="10">
        <f>IF(W785&gt;$AE$33,1,0)</f>
        <v/>
      </c>
      <c r="AB785">
        <f>IF(AA785=C785,1,0)</f>
        <v/>
      </c>
    </row>
    <row r="786">
      <c r="A786">
        <f>'1 datos preparados'!A779</f>
        <v/>
      </c>
      <c r="B786" s="5">
        <f>'1 datos preparados'!U779</f>
        <v/>
      </c>
      <c r="C786">
        <f>'1 datos preparados'!B779</f>
        <v/>
      </c>
      <c r="D786" s="7">
        <f>'1 datos preparados'!C779</f>
        <v/>
      </c>
      <c r="E786" s="7">
        <f>'1 datos preparados'!D779</f>
        <v/>
      </c>
      <c r="F786" s="7">
        <f>'1 datos preparados'!E779</f>
        <v/>
      </c>
      <c r="G786" s="7">
        <f>'1 datos preparados'!F779</f>
        <v/>
      </c>
      <c r="H786" s="7">
        <f>'1 datos preparados'!G779</f>
        <v/>
      </c>
      <c r="I786" s="7">
        <f>'1 datos preparados'!H779</f>
        <v/>
      </c>
      <c r="J786" s="7">
        <f>'1 datos preparados'!I779</f>
        <v/>
      </c>
      <c r="K786" s="7">
        <f>'1 datos preparados'!J779</f>
        <v/>
      </c>
      <c r="L786" s="7">
        <f>'1 datos preparados'!K779</f>
        <v/>
      </c>
      <c r="M786" s="7">
        <f>'1 datos preparados'!L779</f>
        <v/>
      </c>
      <c r="N786" s="7">
        <f>'1 datos preparados'!M779</f>
        <v/>
      </c>
      <c r="O786" s="7">
        <f>'1 datos preparados'!N779</f>
        <v/>
      </c>
      <c r="P786" s="7">
        <f>'1 datos preparados'!O779</f>
        <v/>
      </c>
      <c r="Q786" s="7">
        <f>'1 datos preparados'!P779</f>
        <v/>
      </c>
      <c r="R786" s="7">
        <f>'1 datos preparados'!Q779</f>
        <v/>
      </c>
      <c r="S786" s="7">
        <f>'1 datos preparados'!R779</f>
        <v/>
      </c>
      <c r="T786" s="7">
        <f>'1 datos preparados'!S779</f>
        <v/>
      </c>
      <c r="U786" s="7">
        <f>'1 datos preparados'!T779</f>
        <v/>
      </c>
      <c r="V786" s="8">
        <f>$AE$12+D786*$AE$13+E786*$AE$14+F786*$AE$15+G786*$AE$16+H786*$AE$17+I786*$AE$18+J786*$AE$19+K786*$AE$20+L786*$AE$21+M786*$AE$22+N786*$AE$23+O786*$AE$24+P786*$AE$25+Q786*$AE$26+R786*$AE$27+S786*$AE$28+T786*$AE$29+U786*$AE$30</f>
        <v/>
      </c>
      <c r="W786" s="8">
        <f>1/(1+EXP(-V786))</f>
        <v/>
      </c>
      <c r="X786" s="9">
        <f>-IF(C786=1,LN(W786),LN(1-W786))</f>
        <v/>
      </c>
      <c r="Y786" s="8">
        <f>'1 datos preparados'!V779</f>
        <v/>
      </c>
      <c r="Z786" s="9">
        <f>Y786*X786</f>
        <v/>
      </c>
      <c r="AA786" s="10">
        <f>IF(W786&gt;$AE$33,1,0)</f>
        <v/>
      </c>
      <c r="AB786">
        <f>IF(AA786=C786,1,0)</f>
        <v/>
      </c>
    </row>
    <row r="787">
      <c r="A787">
        <f>'1 datos preparados'!A780</f>
        <v/>
      </c>
      <c r="B787" s="5">
        <f>'1 datos preparados'!U780</f>
        <v/>
      </c>
      <c r="C787">
        <f>'1 datos preparados'!B780</f>
        <v/>
      </c>
      <c r="D787" s="7">
        <f>'1 datos preparados'!C780</f>
        <v/>
      </c>
      <c r="E787" s="7">
        <f>'1 datos preparados'!D780</f>
        <v/>
      </c>
      <c r="F787" s="7">
        <f>'1 datos preparados'!E780</f>
        <v/>
      </c>
      <c r="G787" s="7">
        <f>'1 datos preparados'!F780</f>
        <v/>
      </c>
      <c r="H787" s="7">
        <f>'1 datos preparados'!G780</f>
        <v/>
      </c>
      <c r="I787" s="7">
        <f>'1 datos preparados'!H780</f>
        <v/>
      </c>
      <c r="J787" s="7">
        <f>'1 datos preparados'!I780</f>
        <v/>
      </c>
      <c r="K787" s="7">
        <f>'1 datos preparados'!J780</f>
        <v/>
      </c>
      <c r="L787" s="7">
        <f>'1 datos preparados'!K780</f>
        <v/>
      </c>
      <c r="M787" s="7">
        <f>'1 datos preparados'!L780</f>
        <v/>
      </c>
      <c r="N787" s="7">
        <f>'1 datos preparados'!M780</f>
        <v/>
      </c>
      <c r="O787" s="7">
        <f>'1 datos preparados'!N780</f>
        <v/>
      </c>
      <c r="P787" s="7">
        <f>'1 datos preparados'!O780</f>
        <v/>
      </c>
      <c r="Q787" s="7">
        <f>'1 datos preparados'!P780</f>
        <v/>
      </c>
      <c r="R787" s="7">
        <f>'1 datos preparados'!Q780</f>
        <v/>
      </c>
      <c r="S787" s="7">
        <f>'1 datos preparados'!R780</f>
        <v/>
      </c>
      <c r="T787" s="7">
        <f>'1 datos preparados'!S780</f>
        <v/>
      </c>
      <c r="U787" s="7">
        <f>'1 datos preparados'!T780</f>
        <v/>
      </c>
      <c r="V787" s="8">
        <f>$AE$12+D787*$AE$13+E787*$AE$14+F787*$AE$15+G787*$AE$16+H787*$AE$17+I787*$AE$18+J787*$AE$19+K787*$AE$20+L787*$AE$21+M787*$AE$22+N787*$AE$23+O787*$AE$24+P787*$AE$25+Q787*$AE$26+R787*$AE$27+S787*$AE$28+T787*$AE$29+U787*$AE$30</f>
        <v/>
      </c>
      <c r="W787" s="8">
        <f>1/(1+EXP(-V787))</f>
        <v/>
      </c>
      <c r="X787" s="9">
        <f>-IF(C787=1,LN(W787),LN(1-W787))</f>
        <v/>
      </c>
      <c r="Y787" s="8">
        <f>'1 datos preparados'!V780</f>
        <v/>
      </c>
      <c r="Z787" s="9">
        <f>Y787*X787</f>
        <v/>
      </c>
      <c r="AA787" s="10">
        <f>IF(W787&gt;$AE$33,1,0)</f>
        <v/>
      </c>
      <c r="AB787">
        <f>IF(AA787=C787,1,0)</f>
        <v/>
      </c>
    </row>
    <row r="788">
      <c r="A788">
        <f>'1 datos preparados'!A781</f>
        <v/>
      </c>
      <c r="B788" s="5">
        <f>'1 datos preparados'!U781</f>
        <v/>
      </c>
      <c r="C788">
        <f>'1 datos preparados'!B781</f>
        <v/>
      </c>
      <c r="D788" s="7">
        <f>'1 datos preparados'!C781</f>
        <v/>
      </c>
      <c r="E788" s="7">
        <f>'1 datos preparados'!D781</f>
        <v/>
      </c>
      <c r="F788" s="7">
        <f>'1 datos preparados'!E781</f>
        <v/>
      </c>
      <c r="G788" s="7">
        <f>'1 datos preparados'!F781</f>
        <v/>
      </c>
      <c r="H788" s="7">
        <f>'1 datos preparados'!G781</f>
        <v/>
      </c>
      <c r="I788" s="7">
        <f>'1 datos preparados'!H781</f>
        <v/>
      </c>
      <c r="J788" s="7">
        <f>'1 datos preparados'!I781</f>
        <v/>
      </c>
      <c r="K788" s="7">
        <f>'1 datos preparados'!J781</f>
        <v/>
      </c>
      <c r="L788" s="7">
        <f>'1 datos preparados'!K781</f>
        <v/>
      </c>
      <c r="M788" s="7">
        <f>'1 datos preparados'!L781</f>
        <v/>
      </c>
      <c r="N788" s="7">
        <f>'1 datos preparados'!M781</f>
        <v/>
      </c>
      <c r="O788" s="7">
        <f>'1 datos preparados'!N781</f>
        <v/>
      </c>
      <c r="P788" s="7">
        <f>'1 datos preparados'!O781</f>
        <v/>
      </c>
      <c r="Q788" s="7">
        <f>'1 datos preparados'!P781</f>
        <v/>
      </c>
      <c r="R788" s="7">
        <f>'1 datos preparados'!Q781</f>
        <v/>
      </c>
      <c r="S788" s="7">
        <f>'1 datos preparados'!R781</f>
        <v/>
      </c>
      <c r="T788" s="7">
        <f>'1 datos preparados'!S781</f>
        <v/>
      </c>
      <c r="U788" s="7">
        <f>'1 datos preparados'!T781</f>
        <v/>
      </c>
      <c r="V788" s="8">
        <f>$AE$12+D788*$AE$13+E788*$AE$14+F788*$AE$15+G788*$AE$16+H788*$AE$17+I788*$AE$18+J788*$AE$19+K788*$AE$20+L788*$AE$21+M788*$AE$22+N788*$AE$23+O788*$AE$24+P788*$AE$25+Q788*$AE$26+R788*$AE$27+S788*$AE$28+T788*$AE$29+U788*$AE$30</f>
        <v/>
      </c>
      <c r="W788" s="8">
        <f>1/(1+EXP(-V788))</f>
        <v/>
      </c>
      <c r="X788" s="9">
        <f>-IF(C788=1,LN(W788),LN(1-W788))</f>
        <v/>
      </c>
      <c r="Y788" s="8">
        <f>'1 datos preparados'!V781</f>
        <v/>
      </c>
      <c r="Z788" s="9">
        <f>Y788*X788</f>
        <v/>
      </c>
      <c r="AA788" s="10">
        <f>IF(W788&gt;$AE$33,1,0)</f>
        <v/>
      </c>
      <c r="AB788">
        <f>IF(AA788=C788,1,0)</f>
        <v/>
      </c>
    </row>
    <row r="789">
      <c r="A789">
        <f>'1 datos preparados'!A782</f>
        <v/>
      </c>
      <c r="B789" s="5">
        <f>'1 datos preparados'!U782</f>
        <v/>
      </c>
      <c r="C789">
        <f>'1 datos preparados'!B782</f>
        <v/>
      </c>
      <c r="D789" s="7">
        <f>'1 datos preparados'!C782</f>
        <v/>
      </c>
      <c r="E789" s="7">
        <f>'1 datos preparados'!D782</f>
        <v/>
      </c>
      <c r="F789" s="7">
        <f>'1 datos preparados'!E782</f>
        <v/>
      </c>
      <c r="G789" s="7">
        <f>'1 datos preparados'!F782</f>
        <v/>
      </c>
      <c r="H789" s="7">
        <f>'1 datos preparados'!G782</f>
        <v/>
      </c>
      <c r="I789" s="7">
        <f>'1 datos preparados'!H782</f>
        <v/>
      </c>
      <c r="J789" s="7">
        <f>'1 datos preparados'!I782</f>
        <v/>
      </c>
      <c r="K789" s="7">
        <f>'1 datos preparados'!J782</f>
        <v/>
      </c>
      <c r="L789" s="7">
        <f>'1 datos preparados'!K782</f>
        <v/>
      </c>
      <c r="M789" s="7">
        <f>'1 datos preparados'!L782</f>
        <v/>
      </c>
      <c r="N789" s="7">
        <f>'1 datos preparados'!M782</f>
        <v/>
      </c>
      <c r="O789" s="7">
        <f>'1 datos preparados'!N782</f>
        <v/>
      </c>
      <c r="P789" s="7">
        <f>'1 datos preparados'!O782</f>
        <v/>
      </c>
      <c r="Q789" s="7">
        <f>'1 datos preparados'!P782</f>
        <v/>
      </c>
      <c r="R789" s="7">
        <f>'1 datos preparados'!Q782</f>
        <v/>
      </c>
      <c r="S789" s="7">
        <f>'1 datos preparados'!R782</f>
        <v/>
      </c>
      <c r="T789" s="7">
        <f>'1 datos preparados'!S782</f>
        <v/>
      </c>
      <c r="U789" s="7">
        <f>'1 datos preparados'!T782</f>
        <v/>
      </c>
      <c r="V789" s="8">
        <f>$AE$12+D789*$AE$13+E789*$AE$14+F789*$AE$15+G789*$AE$16+H789*$AE$17+I789*$AE$18+J789*$AE$19+K789*$AE$20+L789*$AE$21+M789*$AE$22+N789*$AE$23+O789*$AE$24+P789*$AE$25+Q789*$AE$26+R789*$AE$27+S789*$AE$28+T789*$AE$29+U789*$AE$30</f>
        <v/>
      </c>
      <c r="W789" s="8">
        <f>1/(1+EXP(-V789))</f>
        <v/>
      </c>
      <c r="X789" s="9">
        <f>-IF(C789=1,LN(W789),LN(1-W789))</f>
        <v/>
      </c>
      <c r="Y789" s="8">
        <f>'1 datos preparados'!V782</f>
        <v/>
      </c>
      <c r="Z789" s="9">
        <f>Y789*X789</f>
        <v/>
      </c>
      <c r="AA789" s="10">
        <f>IF(W789&gt;$AE$33,1,0)</f>
        <v/>
      </c>
      <c r="AB789">
        <f>IF(AA789=C789,1,0)</f>
        <v/>
      </c>
    </row>
    <row r="790">
      <c r="A790">
        <f>'1 datos preparados'!A783</f>
        <v/>
      </c>
      <c r="B790" s="5">
        <f>'1 datos preparados'!U783</f>
        <v/>
      </c>
      <c r="C790">
        <f>'1 datos preparados'!B783</f>
        <v/>
      </c>
      <c r="D790" s="7">
        <f>'1 datos preparados'!C783</f>
        <v/>
      </c>
      <c r="E790" s="7">
        <f>'1 datos preparados'!D783</f>
        <v/>
      </c>
      <c r="F790" s="7">
        <f>'1 datos preparados'!E783</f>
        <v/>
      </c>
      <c r="G790" s="7">
        <f>'1 datos preparados'!F783</f>
        <v/>
      </c>
      <c r="H790" s="7">
        <f>'1 datos preparados'!G783</f>
        <v/>
      </c>
      <c r="I790" s="7">
        <f>'1 datos preparados'!H783</f>
        <v/>
      </c>
      <c r="J790" s="7">
        <f>'1 datos preparados'!I783</f>
        <v/>
      </c>
      <c r="K790" s="7">
        <f>'1 datos preparados'!J783</f>
        <v/>
      </c>
      <c r="L790" s="7">
        <f>'1 datos preparados'!K783</f>
        <v/>
      </c>
      <c r="M790" s="7">
        <f>'1 datos preparados'!L783</f>
        <v/>
      </c>
      <c r="N790" s="7">
        <f>'1 datos preparados'!M783</f>
        <v/>
      </c>
      <c r="O790" s="7">
        <f>'1 datos preparados'!N783</f>
        <v/>
      </c>
      <c r="P790" s="7">
        <f>'1 datos preparados'!O783</f>
        <v/>
      </c>
      <c r="Q790" s="7">
        <f>'1 datos preparados'!P783</f>
        <v/>
      </c>
      <c r="R790" s="7">
        <f>'1 datos preparados'!Q783</f>
        <v/>
      </c>
      <c r="S790" s="7">
        <f>'1 datos preparados'!R783</f>
        <v/>
      </c>
      <c r="T790" s="7">
        <f>'1 datos preparados'!S783</f>
        <v/>
      </c>
      <c r="U790" s="7">
        <f>'1 datos preparados'!T783</f>
        <v/>
      </c>
      <c r="V790" s="8">
        <f>$AE$12+D790*$AE$13+E790*$AE$14+F790*$AE$15+G790*$AE$16+H790*$AE$17+I790*$AE$18+J790*$AE$19+K790*$AE$20+L790*$AE$21+M790*$AE$22+N790*$AE$23+O790*$AE$24+P790*$AE$25+Q790*$AE$26+R790*$AE$27+S790*$AE$28+T790*$AE$29+U790*$AE$30</f>
        <v/>
      </c>
      <c r="W790" s="8">
        <f>1/(1+EXP(-V790))</f>
        <v/>
      </c>
      <c r="X790" s="9">
        <f>-IF(C790=1,LN(W790),LN(1-W790))</f>
        <v/>
      </c>
      <c r="Y790" s="8">
        <f>'1 datos preparados'!V783</f>
        <v/>
      </c>
      <c r="Z790" s="9">
        <f>Y790*X790</f>
        <v/>
      </c>
      <c r="AA790" s="10">
        <f>IF(W790&gt;$AE$33,1,0)</f>
        <v/>
      </c>
      <c r="AB790">
        <f>IF(AA790=C790,1,0)</f>
        <v/>
      </c>
    </row>
    <row r="791">
      <c r="A791">
        <f>'1 datos preparados'!A784</f>
        <v/>
      </c>
      <c r="B791" s="5">
        <f>'1 datos preparados'!U784</f>
        <v/>
      </c>
      <c r="C791">
        <f>'1 datos preparados'!B784</f>
        <v/>
      </c>
      <c r="D791" s="7">
        <f>'1 datos preparados'!C784</f>
        <v/>
      </c>
      <c r="E791" s="7">
        <f>'1 datos preparados'!D784</f>
        <v/>
      </c>
      <c r="F791" s="7">
        <f>'1 datos preparados'!E784</f>
        <v/>
      </c>
      <c r="G791" s="7">
        <f>'1 datos preparados'!F784</f>
        <v/>
      </c>
      <c r="H791" s="7">
        <f>'1 datos preparados'!G784</f>
        <v/>
      </c>
      <c r="I791" s="7">
        <f>'1 datos preparados'!H784</f>
        <v/>
      </c>
      <c r="J791" s="7">
        <f>'1 datos preparados'!I784</f>
        <v/>
      </c>
      <c r="K791" s="7">
        <f>'1 datos preparados'!J784</f>
        <v/>
      </c>
      <c r="L791" s="7">
        <f>'1 datos preparados'!K784</f>
        <v/>
      </c>
      <c r="M791" s="7">
        <f>'1 datos preparados'!L784</f>
        <v/>
      </c>
      <c r="N791" s="7">
        <f>'1 datos preparados'!M784</f>
        <v/>
      </c>
      <c r="O791" s="7">
        <f>'1 datos preparados'!N784</f>
        <v/>
      </c>
      <c r="P791" s="7">
        <f>'1 datos preparados'!O784</f>
        <v/>
      </c>
      <c r="Q791" s="7">
        <f>'1 datos preparados'!P784</f>
        <v/>
      </c>
      <c r="R791" s="7">
        <f>'1 datos preparados'!Q784</f>
        <v/>
      </c>
      <c r="S791" s="7">
        <f>'1 datos preparados'!R784</f>
        <v/>
      </c>
      <c r="T791" s="7">
        <f>'1 datos preparados'!S784</f>
        <v/>
      </c>
      <c r="U791" s="7">
        <f>'1 datos preparados'!T784</f>
        <v/>
      </c>
      <c r="V791" s="8">
        <f>$AE$12+D791*$AE$13+E791*$AE$14+F791*$AE$15+G791*$AE$16+H791*$AE$17+I791*$AE$18+J791*$AE$19+K791*$AE$20+L791*$AE$21+M791*$AE$22+N791*$AE$23+O791*$AE$24+P791*$AE$25+Q791*$AE$26+R791*$AE$27+S791*$AE$28+T791*$AE$29+U791*$AE$30</f>
        <v/>
      </c>
      <c r="W791" s="8">
        <f>1/(1+EXP(-V791))</f>
        <v/>
      </c>
      <c r="X791" s="9">
        <f>-IF(C791=1,LN(W791),LN(1-W791))</f>
        <v/>
      </c>
      <c r="Y791" s="8">
        <f>'1 datos preparados'!V784</f>
        <v/>
      </c>
      <c r="Z791" s="9">
        <f>Y791*X791</f>
        <v/>
      </c>
      <c r="AA791" s="10">
        <f>IF(W791&gt;$AE$33,1,0)</f>
        <v/>
      </c>
      <c r="AB791">
        <f>IF(AA791=C791,1,0)</f>
        <v/>
      </c>
    </row>
    <row r="792">
      <c r="A792">
        <f>'1 datos preparados'!A785</f>
        <v/>
      </c>
      <c r="B792" s="5">
        <f>'1 datos preparados'!U785</f>
        <v/>
      </c>
      <c r="C792">
        <f>'1 datos preparados'!B785</f>
        <v/>
      </c>
      <c r="D792" s="7">
        <f>'1 datos preparados'!C785</f>
        <v/>
      </c>
      <c r="E792" s="7">
        <f>'1 datos preparados'!D785</f>
        <v/>
      </c>
      <c r="F792" s="7">
        <f>'1 datos preparados'!E785</f>
        <v/>
      </c>
      <c r="G792" s="7">
        <f>'1 datos preparados'!F785</f>
        <v/>
      </c>
      <c r="H792" s="7">
        <f>'1 datos preparados'!G785</f>
        <v/>
      </c>
      <c r="I792" s="7">
        <f>'1 datos preparados'!H785</f>
        <v/>
      </c>
      <c r="J792" s="7">
        <f>'1 datos preparados'!I785</f>
        <v/>
      </c>
      <c r="K792" s="7">
        <f>'1 datos preparados'!J785</f>
        <v/>
      </c>
      <c r="L792" s="7">
        <f>'1 datos preparados'!K785</f>
        <v/>
      </c>
      <c r="M792" s="7">
        <f>'1 datos preparados'!L785</f>
        <v/>
      </c>
      <c r="N792" s="7">
        <f>'1 datos preparados'!M785</f>
        <v/>
      </c>
      <c r="O792" s="7">
        <f>'1 datos preparados'!N785</f>
        <v/>
      </c>
      <c r="P792" s="7">
        <f>'1 datos preparados'!O785</f>
        <v/>
      </c>
      <c r="Q792" s="7">
        <f>'1 datos preparados'!P785</f>
        <v/>
      </c>
      <c r="R792" s="7">
        <f>'1 datos preparados'!Q785</f>
        <v/>
      </c>
      <c r="S792" s="7">
        <f>'1 datos preparados'!R785</f>
        <v/>
      </c>
      <c r="T792" s="7">
        <f>'1 datos preparados'!S785</f>
        <v/>
      </c>
      <c r="U792" s="7">
        <f>'1 datos preparados'!T785</f>
        <v/>
      </c>
      <c r="V792" s="8">
        <f>$AE$12+D792*$AE$13+E792*$AE$14+F792*$AE$15+G792*$AE$16+H792*$AE$17+I792*$AE$18+J792*$AE$19+K792*$AE$20+L792*$AE$21+M792*$AE$22+N792*$AE$23+O792*$AE$24+P792*$AE$25+Q792*$AE$26+R792*$AE$27+S792*$AE$28+T792*$AE$29+U792*$AE$30</f>
        <v/>
      </c>
      <c r="W792" s="8">
        <f>1/(1+EXP(-V792))</f>
        <v/>
      </c>
      <c r="X792" s="9">
        <f>-IF(C792=1,LN(W792),LN(1-W792))</f>
        <v/>
      </c>
      <c r="Y792" s="8">
        <f>'1 datos preparados'!V785</f>
        <v/>
      </c>
      <c r="Z792" s="9">
        <f>Y792*X792</f>
        <v/>
      </c>
      <c r="AA792" s="10">
        <f>IF(W792&gt;$AE$33,1,0)</f>
        <v/>
      </c>
      <c r="AB792">
        <f>IF(AA792=C792,1,0)</f>
        <v/>
      </c>
    </row>
    <row r="793">
      <c r="A793">
        <f>'1 datos preparados'!A786</f>
        <v/>
      </c>
      <c r="B793" s="5">
        <f>'1 datos preparados'!U786</f>
        <v/>
      </c>
      <c r="C793">
        <f>'1 datos preparados'!B786</f>
        <v/>
      </c>
      <c r="D793" s="7">
        <f>'1 datos preparados'!C786</f>
        <v/>
      </c>
      <c r="E793" s="7">
        <f>'1 datos preparados'!D786</f>
        <v/>
      </c>
      <c r="F793" s="7">
        <f>'1 datos preparados'!E786</f>
        <v/>
      </c>
      <c r="G793" s="7">
        <f>'1 datos preparados'!F786</f>
        <v/>
      </c>
      <c r="H793" s="7">
        <f>'1 datos preparados'!G786</f>
        <v/>
      </c>
      <c r="I793" s="7">
        <f>'1 datos preparados'!H786</f>
        <v/>
      </c>
      <c r="J793" s="7">
        <f>'1 datos preparados'!I786</f>
        <v/>
      </c>
      <c r="K793" s="7">
        <f>'1 datos preparados'!J786</f>
        <v/>
      </c>
      <c r="L793" s="7">
        <f>'1 datos preparados'!K786</f>
        <v/>
      </c>
      <c r="M793" s="7">
        <f>'1 datos preparados'!L786</f>
        <v/>
      </c>
      <c r="N793" s="7">
        <f>'1 datos preparados'!M786</f>
        <v/>
      </c>
      <c r="O793" s="7">
        <f>'1 datos preparados'!N786</f>
        <v/>
      </c>
      <c r="P793" s="7">
        <f>'1 datos preparados'!O786</f>
        <v/>
      </c>
      <c r="Q793" s="7">
        <f>'1 datos preparados'!P786</f>
        <v/>
      </c>
      <c r="R793" s="7">
        <f>'1 datos preparados'!Q786</f>
        <v/>
      </c>
      <c r="S793" s="7">
        <f>'1 datos preparados'!R786</f>
        <v/>
      </c>
      <c r="T793" s="7">
        <f>'1 datos preparados'!S786</f>
        <v/>
      </c>
      <c r="U793" s="7">
        <f>'1 datos preparados'!T786</f>
        <v/>
      </c>
      <c r="V793" s="8">
        <f>$AE$12+D793*$AE$13+E793*$AE$14+F793*$AE$15+G793*$AE$16+H793*$AE$17+I793*$AE$18+J793*$AE$19+K793*$AE$20+L793*$AE$21+M793*$AE$22+N793*$AE$23+O793*$AE$24+P793*$AE$25+Q793*$AE$26+R793*$AE$27+S793*$AE$28+T793*$AE$29+U793*$AE$30</f>
        <v/>
      </c>
      <c r="W793" s="8">
        <f>1/(1+EXP(-V793))</f>
        <v/>
      </c>
      <c r="X793" s="9">
        <f>-IF(C793=1,LN(W793),LN(1-W793))</f>
        <v/>
      </c>
      <c r="Y793" s="8">
        <f>'1 datos preparados'!V786</f>
        <v/>
      </c>
      <c r="Z793" s="9">
        <f>Y793*X793</f>
        <v/>
      </c>
      <c r="AA793" s="10">
        <f>IF(W793&gt;$AE$33,1,0)</f>
        <v/>
      </c>
      <c r="AB793">
        <f>IF(AA793=C793,1,0)</f>
        <v/>
      </c>
    </row>
    <row r="794">
      <c r="A794">
        <f>'1 datos preparados'!A787</f>
        <v/>
      </c>
      <c r="B794" s="5">
        <f>'1 datos preparados'!U787</f>
        <v/>
      </c>
      <c r="C794">
        <f>'1 datos preparados'!B787</f>
        <v/>
      </c>
      <c r="D794" s="7">
        <f>'1 datos preparados'!C787</f>
        <v/>
      </c>
      <c r="E794" s="7">
        <f>'1 datos preparados'!D787</f>
        <v/>
      </c>
      <c r="F794" s="7">
        <f>'1 datos preparados'!E787</f>
        <v/>
      </c>
      <c r="G794" s="7">
        <f>'1 datos preparados'!F787</f>
        <v/>
      </c>
      <c r="H794" s="7">
        <f>'1 datos preparados'!G787</f>
        <v/>
      </c>
      <c r="I794" s="7">
        <f>'1 datos preparados'!H787</f>
        <v/>
      </c>
      <c r="J794" s="7">
        <f>'1 datos preparados'!I787</f>
        <v/>
      </c>
      <c r="K794" s="7">
        <f>'1 datos preparados'!J787</f>
        <v/>
      </c>
      <c r="L794" s="7">
        <f>'1 datos preparados'!K787</f>
        <v/>
      </c>
      <c r="M794" s="7">
        <f>'1 datos preparados'!L787</f>
        <v/>
      </c>
      <c r="N794" s="7">
        <f>'1 datos preparados'!M787</f>
        <v/>
      </c>
      <c r="O794" s="7">
        <f>'1 datos preparados'!N787</f>
        <v/>
      </c>
      <c r="P794" s="7">
        <f>'1 datos preparados'!O787</f>
        <v/>
      </c>
      <c r="Q794" s="7">
        <f>'1 datos preparados'!P787</f>
        <v/>
      </c>
      <c r="R794" s="7">
        <f>'1 datos preparados'!Q787</f>
        <v/>
      </c>
      <c r="S794" s="7">
        <f>'1 datos preparados'!R787</f>
        <v/>
      </c>
      <c r="T794" s="7">
        <f>'1 datos preparados'!S787</f>
        <v/>
      </c>
      <c r="U794" s="7">
        <f>'1 datos preparados'!T787</f>
        <v/>
      </c>
      <c r="V794" s="8">
        <f>$AE$12+D794*$AE$13+E794*$AE$14+F794*$AE$15+G794*$AE$16+H794*$AE$17+I794*$AE$18+J794*$AE$19+K794*$AE$20+L794*$AE$21+M794*$AE$22+N794*$AE$23+O794*$AE$24+P794*$AE$25+Q794*$AE$26+R794*$AE$27+S794*$AE$28+T794*$AE$29+U794*$AE$30</f>
        <v/>
      </c>
      <c r="W794" s="8">
        <f>1/(1+EXP(-V794))</f>
        <v/>
      </c>
      <c r="X794" s="9">
        <f>-IF(C794=1,LN(W794),LN(1-W794))</f>
        <v/>
      </c>
      <c r="Y794" s="8">
        <f>'1 datos preparados'!V787</f>
        <v/>
      </c>
      <c r="Z794" s="9">
        <f>Y794*X794</f>
        <v/>
      </c>
      <c r="AA794" s="10">
        <f>IF(W794&gt;$AE$33,1,0)</f>
        <v/>
      </c>
      <c r="AB794">
        <f>IF(AA794=C794,1,0)</f>
        <v/>
      </c>
    </row>
    <row r="795">
      <c r="A795">
        <f>'1 datos preparados'!A788</f>
        <v/>
      </c>
      <c r="B795" s="5">
        <f>'1 datos preparados'!U788</f>
        <v/>
      </c>
      <c r="C795">
        <f>'1 datos preparados'!B788</f>
        <v/>
      </c>
      <c r="D795" s="7">
        <f>'1 datos preparados'!C788</f>
        <v/>
      </c>
      <c r="E795" s="7">
        <f>'1 datos preparados'!D788</f>
        <v/>
      </c>
      <c r="F795" s="7">
        <f>'1 datos preparados'!E788</f>
        <v/>
      </c>
      <c r="G795" s="7">
        <f>'1 datos preparados'!F788</f>
        <v/>
      </c>
      <c r="H795" s="7">
        <f>'1 datos preparados'!G788</f>
        <v/>
      </c>
      <c r="I795" s="7">
        <f>'1 datos preparados'!H788</f>
        <v/>
      </c>
      <c r="J795" s="7">
        <f>'1 datos preparados'!I788</f>
        <v/>
      </c>
      <c r="K795" s="7">
        <f>'1 datos preparados'!J788</f>
        <v/>
      </c>
      <c r="L795" s="7">
        <f>'1 datos preparados'!K788</f>
        <v/>
      </c>
      <c r="M795" s="7">
        <f>'1 datos preparados'!L788</f>
        <v/>
      </c>
      <c r="N795" s="7">
        <f>'1 datos preparados'!M788</f>
        <v/>
      </c>
      <c r="O795" s="7">
        <f>'1 datos preparados'!N788</f>
        <v/>
      </c>
      <c r="P795" s="7">
        <f>'1 datos preparados'!O788</f>
        <v/>
      </c>
      <c r="Q795" s="7">
        <f>'1 datos preparados'!P788</f>
        <v/>
      </c>
      <c r="R795" s="7">
        <f>'1 datos preparados'!Q788</f>
        <v/>
      </c>
      <c r="S795" s="7">
        <f>'1 datos preparados'!R788</f>
        <v/>
      </c>
      <c r="T795" s="7">
        <f>'1 datos preparados'!S788</f>
        <v/>
      </c>
      <c r="U795" s="7">
        <f>'1 datos preparados'!T788</f>
        <v/>
      </c>
      <c r="V795" s="8">
        <f>$AE$12+D795*$AE$13+E795*$AE$14+F795*$AE$15+G795*$AE$16+H795*$AE$17+I795*$AE$18+J795*$AE$19+K795*$AE$20+L795*$AE$21+M795*$AE$22+N795*$AE$23+O795*$AE$24+P795*$AE$25+Q795*$AE$26+R795*$AE$27+S795*$AE$28+T795*$AE$29+U795*$AE$30</f>
        <v/>
      </c>
      <c r="W795" s="8">
        <f>1/(1+EXP(-V795))</f>
        <v/>
      </c>
      <c r="X795" s="9">
        <f>-IF(C795=1,LN(W795),LN(1-W795))</f>
        <v/>
      </c>
      <c r="Y795" s="8">
        <f>'1 datos preparados'!V788</f>
        <v/>
      </c>
      <c r="Z795" s="9">
        <f>Y795*X795</f>
        <v/>
      </c>
      <c r="AA795" s="10">
        <f>IF(W795&gt;$AE$33,1,0)</f>
        <v/>
      </c>
      <c r="AB795">
        <f>IF(AA795=C795,1,0)</f>
        <v/>
      </c>
    </row>
    <row r="796">
      <c r="A796">
        <f>'1 datos preparados'!A789</f>
        <v/>
      </c>
      <c r="B796" s="5">
        <f>'1 datos preparados'!U789</f>
        <v/>
      </c>
      <c r="C796">
        <f>'1 datos preparados'!B789</f>
        <v/>
      </c>
      <c r="D796" s="7">
        <f>'1 datos preparados'!C789</f>
        <v/>
      </c>
      <c r="E796" s="7">
        <f>'1 datos preparados'!D789</f>
        <v/>
      </c>
      <c r="F796" s="7">
        <f>'1 datos preparados'!E789</f>
        <v/>
      </c>
      <c r="G796" s="7">
        <f>'1 datos preparados'!F789</f>
        <v/>
      </c>
      <c r="H796" s="7">
        <f>'1 datos preparados'!G789</f>
        <v/>
      </c>
      <c r="I796" s="7">
        <f>'1 datos preparados'!H789</f>
        <v/>
      </c>
      <c r="J796" s="7">
        <f>'1 datos preparados'!I789</f>
        <v/>
      </c>
      <c r="K796" s="7">
        <f>'1 datos preparados'!J789</f>
        <v/>
      </c>
      <c r="L796" s="7">
        <f>'1 datos preparados'!K789</f>
        <v/>
      </c>
      <c r="M796" s="7">
        <f>'1 datos preparados'!L789</f>
        <v/>
      </c>
      <c r="N796" s="7">
        <f>'1 datos preparados'!M789</f>
        <v/>
      </c>
      <c r="O796" s="7">
        <f>'1 datos preparados'!N789</f>
        <v/>
      </c>
      <c r="P796" s="7">
        <f>'1 datos preparados'!O789</f>
        <v/>
      </c>
      <c r="Q796" s="7">
        <f>'1 datos preparados'!P789</f>
        <v/>
      </c>
      <c r="R796" s="7">
        <f>'1 datos preparados'!Q789</f>
        <v/>
      </c>
      <c r="S796" s="7">
        <f>'1 datos preparados'!R789</f>
        <v/>
      </c>
      <c r="T796" s="7">
        <f>'1 datos preparados'!S789</f>
        <v/>
      </c>
      <c r="U796" s="7">
        <f>'1 datos preparados'!T789</f>
        <v/>
      </c>
      <c r="V796" s="8">
        <f>$AE$12+D796*$AE$13+E796*$AE$14+F796*$AE$15+G796*$AE$16+H796*$AE$17+I796*$AE$18+J796*$AE$19+K796*$AE$20+L796*$AE$21+M796*$AE$22+N796*$AE$23+O796*$AE$24+P796*$AE$25+Q796*$AE$26+R796*$AE$27+S796*$AE$28+T796*$AE$29+U796*$AE$30</f>
        <v/>
      </c>
      <c r="W796" s="8">
        <f>1/(1+EXP(-V796))</f>
        <v/>
      </c>
      <c r="X796" s="9">
        <f>-IF(C796=1,LN(W796),LN(1-W796))</f>
        <v/>
      </c>
      <c r="Y796" s="8">
        <f>'1 datos preparados'!V789</f>
        <v/>
      </c>
      <c r="Z796" s="9">
        <f>Y796*X796</f>
        <v/>
      </c>
      <c r="AA796" s="10">
        <f>IF(W796&gt;$AE$33,1,0)</f>
        <v/>
      </c>
      <c r="AB796">
        <f>IF(AA796=C796,1,0)</f>
        <v/>
      </c>
    </row>
    <row r="797">
      <c r="A797">
        <f>'1 datos preparados'!A790</f>
        <v/>
      </c>
      <c r="B797" s="5">
        <f>'1 datos preparados'!U790</f>
        <v/>
      </c>
      <c r="C797">
        <f>'1 datos preparados'!B790</f>
        <v/>
      </c>
      <c r="D797" s="7">
        <f>'1 datos preparados'!C790</f>
        <v/>
      </c>
      <c r="E797" s="7">
        <f>'1 datos preparados'!D790</f>
        <v/>
      </c>
      <c r="F797" s="7">
        <f>'1 datos preparados'!E790</f>
        <v/>
      </c>
      <c r="G797" s="7">
        <f>'1 datos preparados'!F790</f>
        <v/>
      </c>
      <c r="H797" s="7">
        <f>'1 datos preparados'!G790</f>
        <v/>
      </c>
      <c r="I797" s="7">
        <f>'1 datos preparados'!H790</f>
        <v/>
      </c>
      <c r="J797" s="7">
        <f>'1 datos preparados'!I790</f>
        <v/>
      </c>
      <c r="K797" s="7">
        <f>'1 datos preparados'!J790</f>
        <v/>
      </c>
      <c r="L797" s="7">
        <f>'1 datos preparados'!K790</f>
        <v/>
      </c>
      <c r="M797" s="7">
        <f>'1 datos preparados'!L790</f>
        <v/>
      </c>
      <c r="N797" s="7">
        <f>'1 datos preparados'!M790</f>
        <v/>
      </c>
      <c r="O797" s="7">
        <f>'1 datos preparados'!N790</f>
        <v/>
      </c>
      <c r="P797" s="7">
        <f>'1 datos preparados'!O790</f>
        <v/>
      </c>
      <c r="Q797" s="7">
        <f>'1 datos preparados'!P790</f>
        <v/>
      </c>
      <c r="R797" s="7">
        <f>'1 datos preparados'!Q790</f>
        <v/>
      </c>
      <c r="S797" s="7">
        <f>'1 datos preparados'!R790</f>
        <v/>
      </c>
      <c r="T797" s="7">
        <f>'1 datos preparados'!S790</f>
        <v/>
      </c>
      <c r="U797" s="7">
        <f>'1 datos preparados'!T790</f>
        <v/>
      </c>
      <c r="V797" s="8">
        <f>$AE$12+D797*$AE$13+E797*$AE$14+F797*$AE$15+G797*$AE$16+H797*$AE$17+I797*$AE$18+J797*$AE$19+K797*$AE$20+L797*$AE$21+M797*$AE$22+N797*$AE$23+O797*$AE$24+P797*$AE$25+Q797*$AE$26+R797*$AE$27+S797*$AE$28+T797*$AE$29+U797*$AE$30</f>
        <v/>
      </c>
      <c r="W797" s="8">
        <f>1/(1+EXP(-V797))</f>
        <v/>
      </c>
      <c r="X797" s="9">
        <f>-IF(C797=1,LN(W797),LN(1-W797))</f>
        <v/>
      </c>
      <c r="Y797" s="8">
        <f>'1 datos preparados'!V790</f>
        <v/>
      </c>
      <c r="Z797" s="9">
        <f>Y797*X797</f>
        <v/>
      </c>
      <c r="AA797" s="10">
        <f>IF(W797&gt;$AE$33,1,0)</f>
        <v/>
      </c>
      <c r="AB797">
        <f>IF(AA797=C797,1,0)</f>
        <v/>
      </c>
    </row>
    <row r="798">
      <c r="A798">
        <f>'1 datos preparados'!A791</f>
        <v/>
      </c>
      <c r="B798" s="5">
        <f>'1 datos preparados'!U791</f>
        <v/>
      </c>
      <c r="C798">
        <f>'1 datos preparados'!B791</f>
        <v/>
      </c>
      <c r="D798" s="7">
        <f>'1 datos preparados'!C791</f>
        <v/>
      </c>
      <c r="E798" s="7">
        <f>'1 datos preparados'!D791</f>
        <v/>
      </c>
      <c r="F798" s="7">
        <f>'1 datos preparados'!E791</f>
        <v/>
      </c>
      <c r="G798" s="7">
        <f>'1 datos preparados'!F791</f>
        <v/>
      </c>
      <c r="H798" s="7">
        <f>'1 datos preparados'!G791</f>
        <v/>
      </c>
      <c r="I798" s="7">
        <f>'1 datos preparados'!H791</f>
        <v/>
      </c>
      <c r="J798" s="7">
        <f>'1 datos preparados'!I791</f>
        <v/>
      </c>
      <c r="K798" s="7">
        <f>'1 datos preparados'!J791</f>
        <v/>
      </c>
      <c r="L798" s="7">
        <f>'1 datos preparados'!K791</f>
        <v/>
      </c>
      <c r="M798" s="7">
        <f>'1 datos preparados'!L791</f>
        <v/>
      </c>
      <c r="N798" s="7">
        <f>'1 datos preparados'!M791</f>
        <v/>
      </c>
      <c r="O798" s="7">
        <f>'1 datos preparados'!N791</f>
        <v/>
      </c>
      <c r="P798" s="7">
        <f>'1 datos preparados'!O791</f>
        <v/>
      </c>
      <c r="Q798" s="7">
        <f>'1 datos preparados'!P791</f>
        <v/>
      </c>
      <c r="R798" s="7">
        <f>'1 datos preparados'!Q791</f>
        <v/>
      </c>
      <c r="S798" s="7">
        <f>'1 datos preparados'!R791</f>
        <v/>
      </c>
      <c r="T798" s="7">
        <f>'1 datos preparados'!S791</f>
        <v/>
      </c>
      <c r="U798" s="7">
        <f>'1 datos preparados'!T791</f>
        <v/>
      </c>
      <c r="V798" s="8">
        <f>$AE$12+D798*$AE$13+E798*$AE$14+F798*$AE$15+G798*$AE$16+H798*$AE$17+I798*$AE$18+J798*$AE$19+K798*$AE$20+L798*$AE$21+M798*$AE$22+N798*$AE$23+O798*$AE$24+P798*$AE$25+Q798*$AE$26+R798*$AE$27+S798*$AE$28+T798*$AE$29+U798*$AE$30</f>
        <v/>
      </c>
      <c r="W798" s="8">
        <f>1/(1+EXP(-V798))</f>
        <v/>
      </c>
      <c r="X798" s="9">
        <f>-IF(C798=1,LN(W798),LN(1-W798))</f>
        <v/>
      </c>
      <c r="Y798" s="8">
        <f>'1 datos preparados'!V791</f>
        <v/>
      </c>
      <c r="Z798" s="9">
        <f>Y798*X798</f>
        <v/>
      </c>
      <c r="AA798" s="10">
        <f>IF(W798&gt;$AE$33,1,0)</f>
        <v/>
      </c>
      <c r="AB798">
        <f>IF(AA798=C798,1,0)</f>
        <v/>
      </c>
    </row>
    <row r="799">
      <c r="A799">
        <f>'1 datos preparados'!A792</f>
        <v/>
      </c>
      <c r="B799" s="5">
        <f>'1 datos preparados'!U792</f>
        <v/>
      </c>
      <c r="C799">
        <f>'1 datos preparados'!B792</f>
        <v/>
      </c>
      <c r="D799" s="7">
        <f>'1 datos preparados'!C792</f>
        <v/>
      </c>
      <c r="E799" s="7">
        <f>'1 datos preparados'!D792</f>
        <v/>
      </c>
      <c r="F799" s="7">
        <f>'1 datos preparados'!E792</f>
        <v/>
      </c>
      <c r="G799" s="7">
        <f>'1 datos preparados'!F792</f>
        <v/>
      </c>
      <c r="H799" s="7">
        <f>'1 datos preparados'!G792</f>
        <v/>
      </c>
      <c r="I799" s="7">
        <f>'1 datos preparados'!H792</f>
        <v/>
      </c>
      <c r="J799" s="7">
        <f>'1 datos preparados'!I792</f>
        <v/>
      </c>
      <c r="K799" s="7">
        <f>'1 datos preparados'!J792</f>
        <v/>
      </c>
      <c r="L799" s="7">
        <f>'1 datos preparados'!K792</f>
        <v/>
      </c>
      <c r="M799" s="7">
        <f>'1 datos preparados'!L792</f>
        <v/>
      </c>
      <c r="N799" s="7">
        <f>'1 datos preparados'!M792</f>
        <v/>
      </c>
      <c r="O799" s="7">
        <f>'1 datos preparados'!N792</f>
        <v/>
      </c>
      <c r="P799" s="7">
        <f>'1 datos preparados'!O792</f>
        <v/>
      </c>
      <c r="Q799" s="7">
        <f>'1 datos preparados'!P792</f>
        <v/>
      </c>
      <c r="R799" s="7">
        <f>'1 datos preparados'!Q792</f>
        <v/>
      </c>
      <c r="S799" s="7">
        <f>'1 datos preparados'!R792</f>
        <v/>
      </c>
      <c r="T799" s="7">
        <f>'1 datos preparados'!S792</f>
        <v/>
      </c>
      <c r="U799" s="7">
        <f>'1 datos preparados'!T792</f>
        <v/>
      </c>
      <c r="V799" s="8">
        <f>$AE$12+D799*$AE$13+E799*$AE$14+F799*$AE$15+G799*$AE$16+H799*$AE$17+I799*$AE$18+J799*$AE$19+K799*$AE$20+L799*$AE$21+M799*$AE$22+N799*$AE$23+O799*$AE$24+P799*$AE$25+Q799*$AE$26+R799*$AE$27+S799*$AE$28+T799*$AE$29+U799*$AE$30</f>
        <v/>
      </c>
      <c r="W799" s="8">
        <f>1/(1+EXP(-V799))</f>
        <v/>
      </c>
      <c r="X799" s="9">
        <f>-IF(C799=1,LN(W799),LN(1-W799))</f>
        <v/>
      </c>
      <c r="Y799" s="8">
        <f>'1 datos preparados'!V792</f>
        <v/>
      </c>
      <c r="Z799" s="9">
        <f>Y799*X799</f>
        <v/>
      </c>
      <c r="AA799" s="10">
        <f>IF(W799&gt;$AE$33,1,0)</f>
        <v/>
      </c>
      <c r="AB799">
        <f>IF(AA799=C799,1,0)</f>
        <v/>
      </c>
    </row>
    <row r="800">
      <c r="A800">
        <f>'1 datos preparados'!A793</f>
        <v/>
      </c>
      <c r="B800" s="5">
        <f>'1 datos preparados'!U793</f>
        <v/>
      </c>
      <c r="C800">
        <f>'1 datos preparados'!B793</f>
        <v/>
      </c>
      <c r="D800" s="7">
        <f>'1 datos preparados'!C793</f>
        <v/>
      </c>
      <c r="E800" s="7">
        <f>'1 datos preparados'!D793</f>
        <v/>
      </c>
      <c r="F800" s="7">
        <f>'1 datos preparados'!E793</f>
        <v/>
      </c>
      <c r="G800" s="7">
        <f>'1 datos preparados'!F793</f>
        <v/>
      </c>
      <c r="H800" s="7">
        <f>'1 datos preparados'!G793</f>
        <v/>
      </c>
      <c r="I800" s="7">
        <f>'1 datos preparados'!H793</f>
        <v/>
      </c>
      <c r="J800" s="7">
        <f>'1 datos preparados'!I793</f>
        <v/>
      </c>
      <c r="K800" s="7">
        <f>'1 datos preparados'!J793</f>
        <v/>
      </c>
      <c r="L800" s="7">
        <f>'1 datos preparados'!K793</f>
        <v/>
      </c>
      <c r="M800" s="7">
        <f>'1 datos preparados'!L793</f>
        <v/>
      </c>
      <c r="N800" s="7">
        <f>'1 datos preparados'!M793</f>
        <v/>
      </c>
      <c r="O800" s="7">
        <f>'1 datos preparados'!N793</f>
        <v/>
      </c>
      <c r="P800" s="7">
        <f>'1 datos preparados'!O793</f>
        <v/>
      </c>
      <c r="Q800" s="7">
        <f>'1 datos preparados'!P793</f>
        <v/>
      </c>
      <c r="R800" s="7">
        <f>'1 datos preparados'!Q793</f>
        <v/>
      </c>
      <c r="S800" s="7">
        <f>'1 datos preparados'!R793</f>
        <v/>
      </c>
      <c r="T800" s="7">
        <f>'1 datos preparados'!S793</f>
        <v/>
      </c>
      <c r="U800" s="7">
        <f>'1 datos preparados'!T793</f>
        <v/>
      </c>
      <c r="V800" s="8">
        <f>$AE$12+D800*$AE$13+E800*$AE$14+F800*$AE$15+G800*$AE$16+H800*$AE$17+I800*$AE$18+J800*$AE$19+K800*$AE$20+L800*$AE$21+M800*$AE$22+N800*$AE$23+O800*$AE$24+P800*$AE$25+Q800*$AE$26+R800*$AE$27+S800*$AE$28+T800*$AE$29+U800*$AE$30</f>
        <v/>
      </c>
      <c r="W800" s="8">
        <f>1/(1+EXP(-V800))</f>
        <v/>
      </c>
      <c r="X800" s="9">
        <f>-IF(C800=1,LN(W800),LN(1-W800))</f>
        <v/>
      </c>
      <c r="Y800" s="8">
        <f>'1 datos preparados'!V793</f>
        <v/>
      </c>
      <c r="Z800" s="9">
        <f>Y800*X800</f>
        <v/>
      </c>
      <c r="AA800" s="10">
        <f>IF(W800&gt;$AE$33,1,0)</f>
        <v/>
      </c>
      <c r="AB800">
        <f>IF(AA800=C800,1,0)</f>
        <v/>
      </c>
    </row>
    <row r="801">
      <c r="A801">
        <f>'1 datos preparados'!A794</f>
        <v/>
      </c>
      <c r="B801" s="5">
        <f>'1 datos preparados'!U794</f>
        <v/>
      </c>
      <c r="C801">
        <f>'1 datos preparados'!B794</f>
        <v/>
      </c>
      <c r="D801" s="7">
        <f>'1 datos preparados'!C794</f>
        <v/>
      </c>
      <c r="E801" s="7">
        <f>'1 datos preparados'!D794</f>
        <v/>
      </c>
      <c r="F801" s="7">
        <f>'1 datos preparados'!E794</f>
        <v/>
      </c>
      <c r="G801" s="7">
        <f>'1 datos preparados'!F794</f>
        <v/>
      </c>
      <c r="H801" s="7">
        <f>'1 datos preparados'!G794</f>
        <v/>
      </c>
      <c r="I801" s="7">
        <f>'1 datos preparados'!H794</f>
        <v/>
      </c>
      <c r="J801" s="7">
        <f>'1 datos preparados'!I794</f>
        <v/>
      </c>
      <c r="K801" s="7">
        <f>'1 datos preparados'!J794</f>
        <v/>
      </c>
      <c r="L801" s="7">
        <f>'1 datos preparados'!K794</f>
        <v/>
      </c>
      <c r="M801" s="7">
        <f>'1 datos preparados'!L794</f>
        <v/>
      </c>
      <c r="N801" s="7">
        <f>'1 datos preparados'!M794</f>
        <v/>
      </c>
      <c r="O801" s="7">
        <f>'1 datos preparados'!N794</f>
        <v/>
      </c>
      <c r="P801" s="7">
        <f>'1 datos preparados'!O794</f>
        <v/>
      </c>
      <c r="Q801" s="7">
        <f>'1 datos preparados'!P794</f>
        <v/>
      </c>
      <c r="R801" s="7">
        <f>'1 datos preparados'!Q794</f>
        <v/>
      </c>
      <c r="S801" s="7">
        <f>'1 datos preparados'!R794</f>
        <v/>
      </c>
      <c r="T801" s="7">
        <f>'1 datos preparados'!S794</f>
        <v/>
      </c>
      <c r="U801" s="7">
        <f>'1 datos preparados'!T794</f>
        <v/>
      </c>
      <c r="V801" s="8">
        <f>$AE$12+D801*$AE$13+E801*$AE$14+F801*$AE$15+G801*$AE$16+H801*$AE$17+I801*$AE$18+J801*$AE$19+K801*$AE$20+L801*$AE$21+M801*$AE$22+N801*$AE$23+O801*$AE$24+P801*$AE$25+Q801*$AE$26+R801*$AE$27+S801*$AE$28+T801*$AE$29+U801*$AE$30</f>
        <v/>
      </c>
      <c r="W801" s="8">
        <f>1/(1+EXP(-V801))</f>
        <v/>
      </c>
      <c r="X801" s="9">
        <f>-IF(C801=1,LN(W801),LN(1-W801))</f>
        <v/>
      </c>
      <c r="Y801" s="8">
        <f>'1 datos preparados'!V794</f>
        <v/>
      </c>
      <c r="Z801" s="9">
        <f>Y801*X801</f>
        <v/>
      </c>
      <c r="AA801" s="10">
        <f>IF(W801&gt;$AE$33,1,0)</f>
        <v/>
      </c>
      <c r="AB801">
        <f>IF(AA801=C801,1,0)</f>
        <v/>
      </c>
    </row>
    <row r="802">
      <c r="A802">
        <f>'1 datos preparados'!A795</f>
        <v/>
      </c>
      <c r="B802" s="5">
        <f>'1 datos preparados'!U795</f>
        <v/>
      </c>
      <c r="C802">
        <f>'1 datos preparados'!B795</f>
        <v/>
      </c>
      <c r="D802" s="7">
        <f>'1 datos preparados'!C795</f>
        <v/>
      </c>
      <c r="E802" s="7">
        <f>'1 datos preparados'!D795</f>
        <v/>
      </c>
      <c r="F802" s="7">
        <f>'1 datos preparados'!E795</f>
        <v/>
      </c>
      <c r="G802" s="7">
        <f>'1 datos preparados'!F795</f>
        <v/>
      </c>
      <c r="H802" s="7">
        <f>'1 datos preparados'!G795</f>
        <v/>
      </c>
      <c r="I802" s="7">
        <f>'1 datos preparados'!H795</f>
        <v/>
      </c>
      <c r="J802" s="7">
        <f>'1 datos preparados'!I795</f>
        <v/>
      </c>
      <c r="K802" s="7">
        <f>'1 datos preparados'!J795</f>
        <v/>
      </c>
      <c r="L802" s="7">
        <f>'1 datos preparados'!K795</f>
        <v/>
      </c>
      <c r="M802" s="7">
        <f>'1 datos preparados'!L795</f>
        <v/>
      </c>
      <c r="N802" s="7">
        <f>'1 datos preparados'!M795</f>
        <v/>
      </c>
      <c r="O802" s="7">
        <f>'1 datos preparados'!N795</f>
        <v/>
      </c>
      <c r="P802" s="7">
        <f>'1 datos preparados'!O795</f>
        <v/>
      </c>
      <c r="Q802" s="7">
        <f>'1 datos preparados'!P795</f>
        <v/>
      </c>
      <c r="R802" s="7">
        <f>'1 datos preparados'!Q795</f>
        <v/>
      </c>
      <c r="S802" s="7">
        <f>'1 datos preparados'!R795</f>
        <v/>
      </c>
      <c r="T802" s="7">
        <f>'1 datos preparados'!S795</f>
        <v/>
      </c>
      <c r="U802" s="7">
        <f>'1 datos preparados'!T795</f>
        <v/>
      </c>
      <c r="V802" s="8">
        <f>$AE$12+D802*$AE$13+E802*$AE$14+F802*$AE$15+G802*$AE$16+H802*$AE$17+I802*$AE$18+J802*$AE$19+K802*$AE$20+L802*$AE$21+M802*$AE$22+N802*$AE$23+O802*$AE$24+P802*$AE$25+Q802*$AE$26+R802*$AE$27+S802*$AE$28+T802*$AE$29+U802*$AE$30</f>
        <v/>
      </c>
      <c r="W802" s="8">
        <f>1/(1+EXP(-V802))</f>
        <v/>
      </c>
      <c r="X802" s="9">
        <f>-IF(C802=1,LN(W802),LN(1-W802))</f>
        <v/>
      </c>
      <c r="Y802" s="8">
        <f>'1 datos preparados'!V795</f>
        <v/>
      </c>
      <c r="Z802" s="9">
        <f>Y802*X802</f>
        <v/>
      </c>
      <c r="AA802" s="10">
        <f>IF(W802&gt;$AE$33,1,0)</f>
        <v/>
      </c>
      <c r="AB802">
        <f>IF(AA802=C802,1,0)</f>
        <v/>
      </c>
    </row>
    <row r="803">
      <c r="A803">
        <f>'1 datos preparados'!A796</f>
        <v/>
      </c>
      <c r="B803" s="5">
        <f>'1 datos preparados'!U796</f>
        <v/>
      </c>
      <c r="C803">
        <f>'1 datos preparados'!B796</f>
        <v/>
      </c>
      <c r="D803" s="7">
        <f>'1 datos preparados'!C796</f>
        <v/>
      </c>
      <c r="E803" s="7">
        <f>'1 datos preparados'!D796</f>
        <v/>
      </c>
      <c r="F803" s="7">
        <f>'1 datos preparados'!E796</f>
        <v/>
      </c>
      <c r="G803" s="7">
        <f>'1 datos preparados'!F796</f>
        <v/>
      </c>
      <c r="H803" s="7">
        <f>'1 datos preparados'!G796</f>
        <v/>
      </c>
      <c r="I803" s="7">
        <f>'1 datos preparados'!H796</f>
        <v/>
      </c>
      <c r="J803" s="7">
        <f>'1 datos preparados'!I796</f>
        <v/>
      </c>
      <c r="K803" s="7">
        <f>'1 datos preparados'!J796</f>
        <v/>
      </c>
      <c r="L803" s="7">
        <f>'1 datos preparados'!K796</f>
        <v/>
      </c>
      <c r="M803" s="7">
        <f>'1 datos preparados'!L796</f>
        <v/>
      </c>
      <c r="N803" s="7">
        <f>'1 datos preparados'!M796</f>
        <v/>
      </c>
      <c r="O803" s="7">
        <f>'1 datos preparados'!N796</f>
        <v/>
      </c>
      <c r="P803" s="7">
        <f>'1 datos preparados'!O796</f>
        <v/>
      </c>
      <c r="Q803" s="7">
        <f>'1 datos preparados'!P796</f>
        <v/>
      </c>
      <c r="R803" s="7">
        <f>'1 datos preparados'!Q796</f>
        <v/>
      </c>
      <c r="S803" s="7">
        <f>'1 datos preparados'!R796</f>
        <v/>
      </c>
      <c r="T803" s="7">
        <f>'1 datos preparados'!S796</f>
        <v/>
      </c>
      <c r="U803" s="7">
        <f>'1 datos preparados'!T796</f>
        <v/>
      </c>
      <c r="V803" s="8">
        <f>$AE$12+D803*$AE$13+E803*$AE$14+F803*$AE$15+G803*$AE$16+H803*$AE$17+I803*$AE$18+J803*$AE$19+K803*$AE$20+L803*$AE$21+M803*$AE$22+N803*$AE$23+O803*$AE$24+P803*$AE$25+Q803*$AE$26+R803*$AE$27+S803*$AE$28+T803*$AE$29+U803*$AE$30</f>
        <v/>
      </c>
      <c r="W803" s="8">
        <f>1/(1+EXP(-V803))</f>
        <v/>
      </c>
      <c r="X803" s="9">
        <f>-IF(C803=1,LN(W803),LN(1-W803))</f>
        <v/>
      </c>
      <c r="Y803" s="8">
        <f>'1 datos preparados'!V796</f>
        <v/>
      </c>
      <c r="Z803" s="9">
        <f>Y803*X803</f>
        <v/>
      </c>
      <c r="AA803" s="10">
        <f>IF(W803&gt;$AE$33,1,0)</f>
        <v/>
      </c>
      <c r="AB803">
        <f>IF(AA803=C803,1,0)</f>
        <v/>
      </c>
    </row>
    <row r="804">
      <c r="A804">
        <f>'1 datos preparados'!A797</f>
        <v/>
      </c>
      <c r="B804" s="5">
        <f>'1 datos preparados'!U797</f>
        <v/>
      </c>
      <c r="C804">
        <f>'1 datos preparados'!B797</f>
        <v/>
      </c>
      <c r="D804" s="7">
        <f>'1 datos preparados'!C797</f>
        <v/>
      </c>
      <c r="E804" s="7">
        <f>'1 datos preparados'!D797</f>
        <v/>
      </c>
      <c r="F804" s="7">
        <f>'1 datos preparados'!E797</f>
        <v/>
      </c>
      <c r="G804" s="7">
        <f>'1 datos preparados'!F797</f>
        <v/>
      </c>
      <c r="H804" s="7">
        <f>'1 datos preparados'!G797</f>
        <v/>
      </c>
      <c r="I804" s="7">
        <f>'1 datos preparados'!H797</f>
        <v/>
      </c>
      <c r="J804" s="7">
        <f>'1 datos preparados'!I797</f>
        <v/>
      </c>
      <c r="K804" s="7">
        <f>'1 datos preparados'!J797</f>
        <v/>
      </c>
      <c r="L804" s="7">
        <f>'1 datos preparados'!K797</f>
        <v/>
      </c>
      <c r="M804" s="7">
        <f>'1 datos preparados'!L797</f>
        <v/>
      </c>
      <c r="N804" s="7">
        <f>'1 datos preparados'!M797</f>
        <v/>
      </c>
      <c r="O804" s="7">
        <f>'1 datos preparados'!N797</f>
        <v/>
      </c>
      <c r="P804" s="7">
        <f>'1 datos preparados'!O797</f>
        <v/>
      </c>
      <c r="Q804" s="7">
        <f>'1 datos preparados'!P797</f>
        <v/>
      </c>
      <c r="R804" s="7">
        <f>'1 datos preparados'!Q797</f>
        <v/>
      </c>
      <c r="S804" s="7">
        <f>'1 datos preparados'!R797</f>
        <v/>
      </c>
      <c r="T804" s="7">
        <f>'1 datos preparados'!S797</f>
        <v/>
      </c>
      <c r="U804" s="7">
        <f>'1 datos preparados'!T797</f>
        <v/>
      </c>
      <c r="V804" s="8">
        <f>$AE$12+D804*$AE$13+E804*$AE$14+F804*$AE$15+G804*$AE$16+H804*$AE$17+I804*$AE$18+J804*$AE$19+K804*$AE$20+L804*$AE$21+M804*$AE$22+N804*$AE$23+O804*$AE$24+P804*$AE$25+Q804*$AE$26+R804*$AE$27+S804*$AE$28+T804*$AE$29+U804*$AE$30</f>
        <v/>
      </c>
      <c r="W804" s="8">
        <f>1/(1+EXP(-V804))</f>
        <v/>
      </c>
      <c r="X804" s="9">
        <f>-IF(C804=1,LN(W804),LN(1-W804))</f>
        <v/>
      </c>
      <c r="Y804" s="8">
        <f>'1 datos preparados'!V797</f>
        <v/>
      </c>
      <c r="Z804" s="9">
        <f>Y804*X804</f>
        <v/>
      </c>
      <c r="AA804" s="10">
        <f>IF(W804&gt;$AE$33,1,0)</f>
        <v/>
      </c>
      <c r="AB804">
        <f>IF(AA804=C804,1,0)</f>
        <v/>
      </c>
    </row>
    <row r="805">
      <c r="A805">
        <f>'1 datos preparados'!A798</f>
        <v/>
      </c>
      <c r="B805" s="5">
        <f>'1 datos preparados'!U798</f>
        <v/>
      </c>
      <c r="C805">
        <f>'1 datos preparados'!B798</f>
        <v/>
      </c>
      <c r="D805" s="7">
        <f>'1 datos preparados'!C798</f>
        <v/>
      </c>
      <c r="E805" s="7">
        <f>'1 datos preparados'!D798</f>
        <v/>
      </c>
      <c r="F805" s="7">
        <f>'1 datos preparados'!E798</f>
        <v/>
      </c>
      <c r="G805" s="7">
        <f>'1 datos preparados'!F798</f>
        <v/>
      </c>
      <c r="H805" s="7">
        <f>'1 datos preparados'!G798</f>
        <v/>
      </c>
      <c r="I805" s="7">
        <f>'1 datos preparados'!H798</f>
        <v/>
      </c>
      <c r="J805" s="7">
        <f>'1 datos preparados'!I798</f>
        <v/>
      </c>
      <c r="K805" s="7">
        <f>'1 datos preparados'!J798</f>
        <v/>
      </c>
      <c r="L805" s="7">
        <f>'1 datos preparados'!K798</f>
        <v/>
      </c>
      <c r="M805" s="7">
        <f>'1 datos preparados'!L798</f>
        <v/>
      </c>
      <c r="N805" s="7">
        <f>'1 datos preparados'!M798</f>
        <v/>
      </c>
      <c r="O805" s="7">
        <f>'1 datos preparados'!N798</f>
        <v/>
      </c>
      <c r="P805" s="7">
        <f>'1 datos preparados'!O798</f>
        <v/>
      </c>
      <c r="Q805" s="7">
        <f>'1 datos preparados'!P798</f>
        <v/>
      </c>
      <c r="R805" s="7">
        <f>'1 datos preparados'!Q798</f>
        <v/>
      </c>
      <c r="S805" s="7">
        <f>'1 datos preparados'!R798</f>
        <v/>
      </c>
      <c r="T805" s="7">
        <f>'1 datos preparados'!S798</f>
        <v/>
      </c>
      <c r="U805" s="7">
        <f>'1 datos preparados'!T798</f>
        <v/>
      </c>
      <c r="V805" s="8">
        <f>$AE$12+D805*$AE$13+E805*$AE$14+F805*$AE$15+G805*$AE$16+H805*$AE$17+I805*$AE$18+J805*$AE$19+K805*$AE$20+L805*$AE$21+M805*$AE$22+N805*$AE$23+O805*$AE$24+P805*$AE$25+Q805*$AE$26+R805*$AE$27+S805*$AE$28+T805*$AE$29+U805*$AE$30</f>
        <v/>
      </c>
      <c r="W805" s="8">
        <f>1/(1+EXP(-V805))</f>
        <v/>
      </c>
      <c r="X805" s="9">
        <f>-IF(C805=1,LN(W805),LN(1-W805))</f>
        <v/>
      </c>
      <c r="Y805" s="8">
        <f>'1 datos preparados'!V798</f>
        <v/>
      </c>
      <c r="Z805" s="9">
        <f>Y805*X805</f>
        <v/>
      </c>
      <c r="AA805" s="10">
        <f>IF(W805&gt;$AE$33,1,0)</f>
        <v/>
      </c>
      <c r="AB805">
        <f>IF(AA805=C805,1,0)</f>
        <v/>
      </c>
    </row>
    <row r="806">
      <c r="A806">
        <f>'1 datos preparados'!A799</f>
        <v/>
      </c>
      <c r="B806" s="5">
        <f>'1 datos preparados'!U799</f>
        <v/>
      </c>
      <c r="C806">
        <f>'1 datos preparados'!B799</f>
        <v/>
      </c>
      <c r="D806" s="7">
        <f>'1 datos preparados'!C799</f>
        <v/>
      </c>
      <c r="E806" s="7">
        <f>'1 datos preparados'!D799</f>
        <v/>
      </c>
      <c r="F806" s="7">
        <f>'1 datos preparados'!E799</f>
        <v/>
      </c>
      <c r="G806" s="7">
        <f>'1 datos preparados'!F799</f>
        <v/>
      </c>
      <c r="H806" s="7">
        <f>'1 datos preparados'!G799</f>
        <v/>
      </c>
      <c r="I806" s="7">
        <f>'1 datos preparados'!H799</f>
        <v/>
      </c>
      <c r="J806" s="7">
        <f>'1 datos preparados'!I799</f>
        <v/>
      </c>
      <c r="K806" s="7">
        <f>'1 datos preparados'!J799</f>
        <v/>
      </c>
      <c r="L806" s="7">
        <f>'1 datos preparados'!K799</f>
        <v/>
      </c>
      <c r="M806" s="7">
        <f>'1 datos preparados'!L799</f>
        <v/>
      </c>
      <c r="N806" s="7">
        <f>'1 datos preparados'!M799</f>
        <v/>
      </c>
      <c r="O806" s="7">
        <f>'1 datos preparados'!N799</f>
        <v/>
      </c>
      <c r="P806" s="7">
        <f>'1 datos preparados'!O799</f>
        <v/>
      </c>
      <c r="Q806" s="7">
        <f>'1 datos preparados'!P799</f>
        <v/>
      </c>
      <c r="R806" s="7">
        <f>'1 datos preparados'!Q799</f>
        <v/>
      </c>
      <c r="S806" s="7">
        <f>'1 datos preparados'!R799</f>
        <v/>
      </c>
      <c r="T806" s="7">
        <f>'1 datos preparados'!S799</f>
        <v/>
      </c>
      <c r="U806" s="7">
        <f>'1 datos preparados'!T799</f>
        <v/>
      </c>
      <c r="V806" s="8">
        <f>$AE$12+D806*$AE$13+E806*$AE$14+F806*$AE$15+G806*$AE$16+H806*$AE$17+I806*$AE$18+J806*$AE$19+K806*$AE$20+L806*$AE$21+M806*$AE$22+N806*$AE$23+O806*$AE$24+P806*$AE$25+Q806*$AE$26+R806*$AE$27+S806*$AE$28+T806*$AE$29+U806*$AE$30</f>
        <v/>
      </c>
      <c r="W806" s="8">
        <f>1/(1+EXP(-V806))</f>
        <v/>
      </c>
      <c r="X806" s="9">
        <f>-IF(C806=1,LN(W806),LN(1-W806))</f>
        <v/>
      </c>
      <c r="Y806" s="8">
        <f>'1 datos preparados'!V799</f>
        <v/>
      </c>
      <c r="Z806" s="9">
        <f>Y806*X806</f>
        <v/>
      </c>
      <c r="AA806" s="10">
        <f>IF(W806&gt;$AE$33,1,0)</f>
        <v/>
      </c>
      <c r="AB806">
        <f>IF(AA806=C806,1,0)</f>
        <v/>
      </c>
    </row>
    <row r="807">
      <c r="A807">
        <f>'1 datos preparados'!A800</f>
        <v/>
      </c>
      <c r="B807" s="5">
        <f>'1 datos preparados'!U800</f>
        <v/>
      </c>
      <c r="C807">
        <f>'1 datos preparados'!B800</f>
        <v/>
      </c>
      <c r="D807" s="7">
        <f>'1 datos preparados'!C800</f>
        <v/>
      </c>
      <c r="E807" s="7">
        <f>'1 datos preparados'!D800</f>
        <v/>
      </c>
      <c r="F807" s="7">
        <f>'1 datos preparados'!E800</f>
        <v/>
      </c>
      <c r="G807" s="7">
        <f>'1 datos preparados'!F800</f>
        <v/>
      </c>
      <c r="H807" s="7">
        <f>'1 datos preparados'!G800</f>
        <v/>
      </c>
      <c r="I807" s="7">
        <f>'1 datos preparados'!H800</f>
        <v/>
      </c>
      <c r="J807" s="7">
        <f>'1 datos preparados'!I800</f>
        <v/>
      </c>
      <c r="K807" s="7">
        <f>'1 datos preparados'!J800</f>
        <v/>
      </c>
      <c r="L807" s="7">
        <f>'1 datos preparados'!K800</f>
        <v/>
      </c>
      <c r="M807" s="7">
        <f>'1 datos preparados'!L800</f>
        <v/>
      </c>
      <c r="N807" s="7">
        <f>'1 datos preparados'!M800</f>
        <v/>
      </c>
      <c r="O807" s="7">
        <f>'1 datos preparados'!N800</f>
        <v/>
      </c>
      <c r="P807" s="7">
        <f>'1 datos preparados'!O800</f>
        <v/>
      </c>
      <c r="Q807" s="7">
        <f>'1 datos preparados'!P800</f>
        <v/>
      </c>
      <c r="R807" s="7">
        <f>'1 datos preparados'!Q800</f>
        <v/>
      </c>
      <c r="S807" s="7">
        <f>'1 datos preparados'!R800</f>
        <v/>
      </c>
      <c r="T807" s="7">
        <f>'1 datos preparados'!S800</f>
        <v/>
      </c>
      <c r="U807" s="7">
        <f>'1 datos preparados'!T800</f>
        <v/>
      </c>
      <c r="V807" s="8">
        <f>$AE$12+D807*$AE$13+E807*$AE$14+F807*$AE$15+G807*$AE$16+H807*$AE$17+I807*$AE$18+J807*$AE$19+K807*$AE$20+L807*$AE$21+M807*$AE$22+N807*$AE$23+O807*$AE$24+P807*$AE$25+Q807*$AE$26+R807*$AE$27+S807*$AE$28+T807*$AE$29+U807*$AE$30</f>
        <v/>
      </c>
      <c r="W807" s="8">
        <f>1/(1+EXP(-V807))</f>
        <v/>
      </c>
      <c r="X807" s="9">
        <f>-IF(C807=1,LN(W807),LN(1-W807))</f>
        <v/>
      </c>
      <c r="Y807" s="8">
        <f>'1 datos preparados'!V800</f>
        <v/>
      </c>
      <c r="Z807" s="9">
        <f>Y807*X807</f>
        <v/>
      </c>
      <c r="AA807" s="10">
        <f>IF(W807&gt;$AE$33,1,0)</f>
        <v/>
      </c>
      <c r="AB807">
        <f>IF(AA807=C807,1,0)</f>
        <v/>
      </c>
    </row>
    <row r="808">
      <c r="A808">
        <f>'1 datos preparados'!A801</f>
        <v/>
      </c>
      <c r="B808" s="5">
        <f>'1 datos preparados'!U801</f>
        <v/>
      </c>
      <c r="C808">
        <f>'1 datos preparados'!B801</f>
        <v/>
      </c>
      <c r="D808" s="7">
        <f>'1 datos preparados'!C801</f>
        <v/>
      </c>
      <c r="E808" s="7">
        <f>'1 datos preparados'!D801</f>
        <v/>
      </c>
      <c r="F808" s="7">
        <f>'1 datos preparados'!E801</f>
        <v/>
      </c>
      <c r="G808" s="7">
        <f>'1 datos preparados'!F801</f>
        <v/>
      </c>
      <c r="H808" s="7">
        <f>'1 datos preparados'!G801</f>
        <v/>
      </c>
      <c r="I808" s="7">
        <f>'1 datos preparados'!H801</f>
        <v/>
      </c>
      <c r="J808" s="7">
        <f>'1 datos preparados'!I801</f>
        <v/>
      </c>
      <c r="K808" s="7">
        <f>'1 datos preparados'!J801</f>
        <v/>
      </c>
      <c r="L808" s="7">
        <f>'1 datos preparados'!K801</f>
        <v/>
      </c>
      <c r="M808" s="7">
        <f>'1 datos preparados'!L801</f>
        <v/>
      </c>
      <c r="N808" s="7">
        <f>'1 datos preparados'!M801</f>
        <v/>
      </c>
      <c r="O808" s="7">
        <f>'1 datos preparados'!N801</f>
        <v/>
      </c>
      <c r="P808" s="7">
        <f>'1 datos preparados'!O801</f>
        <v/>
      </c>
      <c r="Q808" s="7">
        <f>'1 datos preparados'!P801</f>
        <v/>
      </c>
      <c r="R808" s="7">
        <f>'1 datos preparados'!Q801</f>
        <v/>
      </c>
      <c r="S808" s="7">
        <f>'1 datos preparados'!R801</f>
        <v/>
      </c>
      <c r="T808" s="7">
        <f>'1 datos preparados'!S801</f>
        <v/>
      </c>
      <c r="U808" s="7">
        <f>'1 datos preparados'!T801</f>
        <v/>
      </c>
      <c r="V808" s="8">
        <f>$AE$12+D808*$AE$13+E808*$AE$14+F808*$AE$15+G808*$AE$16+H808*$AE$17+I808*$AE$18+J808*$AE$19+K808*$AE$20+L808*$AE$21+M808*$AE$22+N808*$AE$23+O808*$AE$24+P808*$AE$25+Q808*$AE$26+R808*$AE$27+S808*$AE$28+T808*$AE$29+U808*$AE$30</f>
        <v/>
      </c>
      <c r="W808" s="8">
        <f>1/(1+EXP(-V808))</f>
        <v/>
      </c>
      <c r="X808" s="9">
        <f>-IF(C808=1,LN(W808),LN(1-W808))</f>
        <v/>
      </c>
      <c r="Y808" s="8">
        <f>'1 datos preparados'!V801</f>
        <v/>
      </c>
      <c r="Z808" s="9">
        <f>Y808*X808</f>
        <v/>
      </c>
      <c r="AA808" s="10">
        <f>IF(W808&gt;$AE$33,1,0)</f>
        <v/>
      </c>
      <c r="AB808">
        <f>IF(AA808=C808,1,0)</f>
        <v/>
      </c>
    </row>
    <row r="809">
      <c r="A809">
        <f>'1 datos preparados'!A802</f>
        <v/>
      </c>
      <c r="B809" s="5">
        <f>'1 datos preparados'!U802</f>
        <v/>
      </c>
      <c r="C809">
        <f>'1 datos preparados'!B802</f>
        <v/>
      </c>
      <c r="D809" s="7">
        <f>'1 datos preparados'!C802</f>
        <v/>
      </c>
      <c r="E809" s="7">
        <f>'1 datos preparados'!D802</f>
        <v/>
      </c>
      <c r="F809" s="7">
        <f>'1 datos preparados'!E802</f>
        <v/>
      </c>
      <c r="G809" s="7">
        <f>'1 datos preparados'!F802</f>
        <v/>
      </c>
      <c r="H809" s="7">
        <f>'1 datos preparados'!G802</f>
        <v/>
      </c>
      <c r="I809" s="7">
        <f>'1 datos preparados'!H802</f>
        <v/>
      </c>
      <c r="J809" s="7">
        <f>'1 datos preparados'!I802</f>
        <v/>
      </c>
      <c r="K809" s="7">
        <f>'1 datos preparados'!J802</f>
        <v/>
      </c>
      <c r="L809" s="7">
        <f>'1 datos preparados'!K802</f>
        <v/>
      </c>
      <c r="M809" s="7">
        <f>'1 datos preparados'!L802</f>
        <v/>
      </c>
      <c r="N809" s="7">
        <f>'1 datos preparados'!M802</f>
        <v/>
      </c>
      <c r="O809" s="7">
        <f>'1 datos preparados'!N802</f>
        <v/>
      </c>
      <c r="P809" s="7">
        <f>'1 datos preparados'!O802</f>
        <v/>
      </c>
      <c r="Q809" s="7">
        <f>'1 datos preparados'!P802</f>
        <v/>
      </c>
      <c r="R809" s="7">
        <f>'1 datos preparados'!Q802</f>
        <v/>
      </c>
      <c r="S809" s="7">
        <f>'1 datos preparados'!R802</f>
        <v/>
      </c>
      <c r="T809" s="7">
        <f>'1 datos preparados'!S802</f>
        <v/>
      </c>
      <c r="U809" s="7">
        <f>'1 datos preparados'!T802</f>
        <v/>
      </c>
      <c r="V809" s="8">
        <f>$AE$12+D809*$AE$13+E809*$AE$14+F809*$AE$15+G809*$AE$16+H809*$AE$17+I809*$AE$18+J809*$AE$19+K809*$AE$20+L809*$AE$21+M809*$AE$22+N809*$AE$23+O809*$AE$24+P809*$AE$25+Q809*$AE$26+R809*$AE$27+S809*$AE$28+T809*$AE$29+U809*$AE$30</f>
        <v/>
      </c>
      <c r="W809" s="8">
        <f>1/(1+EXP(-V809))</f>
        <v/>
      </c>
      <c r="X809" s="9">
        <f>-IF(C809=1,LN(W809),LN(1-W809))</f>
        <v/>
      </c>
      <c r="Y809" s="8">
        <f>'1 datos preparados'!V802</f>
        <v/>
      </c>
      <c r="Z809" s="9">
        <f>Y809*X809</f>
        <v/>
      </c>
      <c r="AA809" s="10">
        <f>IF(W809&gt;$AE$33,1,0)</f>
        <v/>
      </c>
      <c r="AB809">
        <f>IF(AA809=C809,1,0)</f>
        <v/>
      </c>
    </row>
    <row r="810">
      <c r="A810">
        <f>'1 datos preparados'!A803</f>
        <v/>
      </c>
      <c r="B810" s="5">
        <f>'1 datos preparados'!U803</f>
        <v/>
      </c>
      <c r="C810">
        <f>'1 datos preparados'!B803</f>
        <v/>
      </c>
      <c r="D810" s="7">
        <f>'1 datos preparados'!C803</f>
        <v/>
      </c>
      <c r="E810" s="7">
        <f>'1 datos preparados'!D803</f>
        <v/>
      </c>
      <c r="F810" s="7">
        <f>'1 datos preparados'!E803</f>
        <v/>
      </c>
      <c r="G810" s="7">
        <f>'1 datos preparados'!F803</f>
        <v/>
      </c>
      <c r="H810" s="7">
        <f>'1 datos preparados'!G803</f>
        <v/>
      </c>
      <c r="I810" s="7">
        <f>'1 datos preparados'!H803</f>
        <v/>
      </c>
      <c r="J810" s="7">
        <f>'1 datos preparados'!I803</f>
        <v/>
      </c>
      <c r="K810" s="7">
        <f>'1 datos preparados'!J803</f>
        <v/>
      </c>
      <c r="L810" s="7">
        <f>'1 datos preparados'!K803</f>
        <v/>
      </c>
      <c r="M810" s="7">
        <f>'1 datos preparados'!L803</f>
        <v/>
      </c>
      <c r="N810" s="7">
        <f>'1 datos preparados'!M803</f>
        <v/>
      </c>
      <c r="O810" s="7">
        <f>'1 datos preparados'!N803</f>
        <v/>
      </c>
      <c r="P810" s="7">
        <f>'1 datos preparados'!O803</f>
        <v/>
      </c>
      <c r="Q810" s="7">
        <f>'1 datos preparados'!P803</f>
        <v/>
      </c>
      <c r="R810" s="7">
        <f>'1 datos preparados'!Q803</f>
        <v/>
      </c>
      <c r="S810" s="7">
        <f>'1 datos preparados'!R803</f>
        <v/>
      </c>
      <c r="T810" s="7">
        <f>'1 datos preparados'!S803</f>
        <v/>
      </c>
      <c r="U810" s="7">
        <f>'1 datos preparados'!T803</f>
        <v/>
      </c>
      <c r="V810" s="8">
        <f>$AE$12+D810*$AE$13+E810*$AE$14+F810*$AE$15+G810*$AE$16+H810*$AE$17+I810*$AE$18+J810*$AE$19+K810*$AE$20+L810*$AE$21+M810*$AE$22+N810*$AE$23+O810*$AE$24+P810*$AE$25+Q810*$AE$26+R810*$AE$27+S810*$AE$28+T810*$AE$29+U810*$AE$30</f>
        <v/>
      </c>
      <c r="W810" s="8">
        <f>1/(1+EXP(-V810))</f>
        <v/>
      </c>
      <c r="X810" s="9">
        <f>-IF(C810=1,LN(W810),LN(1-W810))</f>
        <v/>
      </c>
      <c r="Y810" s="8">
        <f>'1 datos preparados'!V803</f>
        <v/>
      </c>
      <c r="Z810" s="9">
        <f>Y810*X810</f>
        <v/>
      </c>
      <c r="AA810" s="10">
        <f>IF(W810&gt;$AE$33,1,0)</f>
        <v/>
      </c>
      <c r="AB810">
        <f>IF(AA810=C810,1,0)</f>
        <v/>
      </c>
    </row>
    <row r="811">
      <c r="A811">
        <f>'1 datos preparados'!A804</f>
        <v/>
      </c>
      <c r="B811" s="5">
        <f>'1 datos preparados'!U804</f>
        <v/>
      </c>
      <c r="C811">
        <f>'1 datos preparados'!B804</f>
        <v/>
      </c>
      <c r="D811" s="7">
        <f>'1 datos preparados'!C804</f>
        <v/>
      </c>
      <c r="E811" s="7">
        <f>'1 datos preparados'!D804</f>
        <v/>
      </c>
      <c r="F811" s="7">
        <f>'1 datos preparados'!E804</f>
        <v/>
      </c>
      <c r="G811" s="7">
        <f>'1 datos preparados'!F804</f>
        <v/>
      </c>
      <c r="H811" s="7">
        <f>'1 datos preparados'!G804</f>
        <v/>
      </c>
      <c r="I811" s="7">
        <f>'1 datos preparados'!H804</f>
        <v/>
      </c>
      <c r="J811" s="7">
        <f>'1 datos preparados'!I804</f>
        <v/>
      </c>
      <c r="K811" s="7">
        <f>'1 datos preparados'!J804</f>
        <v/>
      </c>
      <c r="L811" s="7">
        <f>'1 datos preparados'!K804</f>
        <v/>
      </c>
      <c r="M811" s="7">
        <f>'1 datos preparados'!L804</f>
        <v/>
      </c>
      <c r="N811" s="7">
        <f>'1 datos preparados'!M804</f>
        <v/>
      </c>
      <c r="O811" s="7">
        <f>'1 datos preparados'!N804</f>
        <v/>
      </c>
      <c r="P811" s="7">
        <f>'1 datos preparados'!O804</f>
        <v/>
      </c>
      <c r="Q811" s="7">
        <f>'1 datos preparados'!P804</f>
        <v/>
      </c>
      <c r="R811" s="7">
        <f>'1 datos preparados'!Q804</f>
        <v/>
      </c>
      <c r="S811" s="7">
        <f>'1 datos preparados'!R804</f>
        <v/>
      </c>
      <c r="T811" s="7">
        <f>'1 datos preparados'!S804</f>
        <v/>
      </c>
      <c r="U811" s="7">
        <f>'1 datos preparados'!T804</f>
        <v/>
      </c>
      <c r="V811" s="8">
        <f>$AE$12+D811*$AE$13+E811*$AE$14+F811*$AE$15+G811*$AE$16+H811*$AE$17+I811*$AE$18+J811*$AE$19+K811*$AE$20+L811*$AE$21+M811*$AE$22+N811*$AE$23+O811*$AE$24+P811*$AE$25+Q811*$AE$26+R811*$AE$27+S811*$AE$28+T811*$AE$29+U811*$AE$30</f>
        <v/>
      </c>
      <c r="W811" s="8">
        <f>1/(1+EXP(-V811))</f>
        <v/>
      </c>
      <c r="X811" s="9">
        <f>-IF(C811=1,LN(W811),LN(1-W811))</f>
        <v/>
      </c>
      <c r="Y811" s="8">
        <f>'1 datos preparados'!V804</f>
        <v/>
      </c>
      <c r="Z811" s="9">
        <f>Y811*X811</f>
        <v/>
      </c>
      <c r="AA811" s="10">
        <f>IF(W811&gt;$AE$33,1,0)</f>
        <v/>
      </c>
      <c r="AB811">
        <f>IF(AA811=C811,1,0)</f>
        <v/>
      </c>
    </row>
    <row r="812">
      <c r="A812">
        <f>'1 datos preparados'!A805</f>
        <v/>
      </c>
      <c r="B812" s="5">
        <f>'1 datos preparados'!U805</f>
        <v/>
      </c>
      <c r="C812">
        <f>'1 datos preparados'!B805</f>
        <v/>
      </c>
      <c r="D812" s="7">
        <f>'1 datos preparados'!C805</f>
        <v/>
      </c>
      <c r="E812" s="7">
        <f>'1 datos preparados'!D805</f>
        <v/>
      </c>
      <c r="F812" s="7">
        <f>'1 datos preparados'!E805</f>
        <v/>
      </c>
      <c r="G812" s="7">
        <f>'1 datos preparados'!F805</f>
        <v/>
      </c>
      <c r="H812" s="7">
        <f>'1 datos preparados'!G805</f>
        <v/>
      </c>
      <c r="I812" s="7">
        <f>'1 datos preparados'!H805</f>
        <v/>
      </c>
      <c r="J812" s="7">
        <f>'1 datos preparados'!I805</f>
        <v/>
      </c>
      <c r="K812" s="7">
        <f>'1 datos preparados'!J805</f>
        <v/>
      </c>
      <c r="L812" s="7">
        <f>'1 datos preparados'!K805</f>
        <v/>
      </c>
      <c r="M812" s="7">
        <f>'1 datos preparados'!L805</f>
        <v/>
      </c>
      <c r="N812" s="7">
        <f>'1 datos preparados'!M805</f>
        <v/>
      </c>
      <c r="O812" s="7">
        <f>'1 datos preparados'!N805</f>
        <v/>
      </c>
      <c r="P812" s="7">
        <f>'1 datos preparados'!O805</f>
        <v/>
      </c>
      <c r="Q812" s="7">
        <f>'1 datos preparados'!P805</f>
        <v/>
      </c>
      <c r="R812" s="7">
        <f>'1 datos preparados'!Q805</f>
        <v/>
      </c>
      <c r="S812" s="7">
        <f>'1 datos preparados'!R805</f>
        <v/>
      </c>
      <c r="T812" s="7">
        <f>'1 datos preparados'!S805</f>
        <v/>
      </c>
      <c r="U812" s="7">
        <f>'1 datos preparados'!T805</f>
        <v/>
      </c>
      <c r="V812" s="8">
        <f>$AE$12+D812*$AE$13+E812*$AE$14+F812*$AE$15+G812*$AE$16+H812*$AE$17+I812*$AE$18+J812*$AE$19+K812*$AE$20+L812*$AE$21+M812*$AE$22+N812*$AE$23+O812*$AE$24+P812*$AE$25+Q812*$AE$26+R812*$AE$27+S812*$AE$28+T812*$AE$29+U812*$AE$30</f>
        <v/>
      </c>
      <c r="W812" s="8">
        <f>1/(1+EXP(-V812))</f>
        <v/>
      </c>
      <c r="X812" s="9">
        <f>-IF(C812=1,LN(W812),LN(1-W812))</f>
        <v/>
      </c>
      <c r="Y812" s="8">
        <f>'1 datos preparados'!V805</f>
        <v/>
      </c>
      <c r="Z812" s="9">
        <f>Y812*X812</f>
        <v/>
      </c>
      <c r="AA812" s="10">
        <f>IF(W812&gt;$AE$33,1,0)</f>
        <v/>
      </c>
      <c r="AB812">
        <f>IF(AA812=C812,1,0)</f>
        <v/>
      </c>
    </row>
    <row r="813">
      <c r="A813">
        <f>'1 datos preparados'!A806</f>
        <v/>
      </c>
      <c r="B813" s="5">
        <f>'1 datos preparados'!U806</f>
        <v/>
      </c>
      <c r="C813">
        <f>'1 datos preparados'!B806</f>
        <v/>
      </c>
      <c r="D813" s="7">
        <f>'1 datos preparados'!C806</f>
        <v/>
      </c>
      <c r="E813" s="7">
        <f>'1 datos preparados'!D806</f>
        <v/>
      </c>
      <c r="F813" s="7">
        <f>'1 datos preparados'!E806</f>
        <v/>
      </c>
      <c r="G813" s="7">
        <f>'1 datos preparados'!F806</f>
        <v/>
      </c>
      <c r="H813" s="7">
        <f>'1 datos preparados'!G806</f>
        <v/>
      </c>
      <c r="I813" s="7">
        <f>'1 datos preparados'!H806</f>
        <v/>
      </c>
      <c r="J813" s="7">
        <f>'1 datos preparados'!I806</f>
        <v/>
      </c>
      <c r="K813" s="7">
        <f>'1 datos preparados'!J806</f>
        <v/>
      </c>
      <c r="L813" s="7">
        <f>'1 datos preparados'!K806</f>
        <v/>
      </c>
      <c r="M813" s="7">
        <f>'1 datos preparados'!L806</f>
        <v/>
      </c>
      <c r="N813" s="7">
        <f>'1 datos preparados'!M806</f>
        <v/>
      </c>
      <c r="O813" s="7">
        <f>'1 datos preparados'!N806</f>
        <v/>
      </c>
      <c r="P813" s="7">
        <f>'1 datos preparados'!O806</f>
        <v/>
      </c>
      <c r="Q813" s="7">
        <f>'1 datos preparados'!P806</f>
        <v/>
      </c>
      <c r="R813" s="7">
        <f>'1 datos preparados'!Q806</f>
        <v/>
      </c>
      <c r="S813" s="7">
        <f>'1 datos preparados'!R806</f>
        <v/>
      </c>
      <c r="T813" s="7">
        <f>'1 datos preparados'!S806</f>
        <v/>
      </c>
      <c r="U813" s="7">
        <f>'1 datos preparados'!T806</f>
        <v/>
      </c>
      <c r="V813" s="8">
        <f>$AE$12+D813*$AE$13+E813*$AE$14+F813*$AE$15+G813*$AE$16+H813*$AE$17+I813*$AE$18+J813*$AE$19+K813*$AE$20+L813*$AE$21+M813*$AE$22+N813*$AE$23+O813*$AE$24+P813*$AE$25+Q813*$AE$26+R813*$AE$27+S813*$AE$28+T813*$AE$29+U813*$AE$30</f>
        <v/>
      </c>
      <c r="W813" s="8">
        <f>1/(1+EXP(-V813))</f>
        <v/>
      </c>
      <c r="X813" s="9">
        <f>-IF(C813=1,LN(W813),LN(1-W813))</f>
        <v/>
      </c>
      <c r="Y813" s="8">
        <f>'1 datos preparados'!V806</f>
        <v/>
      </c>
      <c r="Z813" s="9">
        <f>Y813*X813</f>
        <v/>
      </c>
      <c r="AA813" s="10">
        <f>IF(W813&gt;$AE$33,1,0)</f>
        <v/>
      </c>
      <c r="AB813">
        <f>IF(AA813=C813,1,0)</f>
        <v/>
      </c>
    </row>
    <row r="814">
      <c r="A814">
        <f>'1 datos preparados'!A807</f>
        <v/>
      </c>
      <c r="B814" s="5">
        <f>'1 datos preparados'!U807</f>
        <v/>
      </c>
      <c r="C814">
        <f>'1 datos preparados'!B807</f>
        <v/>
      </c>
      <c r="D814" s="7">
        <f>'1 datos preparados'!C807</f>
        <v/>
      </c>
      <c r="E814" s="7">
        <f>'1 datos preparados'!D807</f>
        <v/>
      </c>
      <c r="F814" s="7">
        <f>'1 datos preparados'!E807</f>
        <v/>
      </c>
      <c r="G814" s="7">
        <f>'1 datos preparados'!F807</f>
        <v/>
      </c>
      <c r="H814" s="7">
        <f>'1 datos preparados'!G807</f>
        <v/>
      </c>
      <c r="I814" s="7">
        <f>'1 datos preparados'!H807</f>
        <v/>
      </c>
      <c r="J814" s="7">
        <f>'1 datos preparados'!I807</f>
        <v/>
      </c>
      <c r="K814" s="7">
        <f>'1 datos preparados'!J807</f>
        <v/>
      </c>
      <c r="L814" s="7">
        <f>'1 datos preparados'!K807</f>
        <v/>
      </c>
      <c r="M814" s="7">
        <f>'1 datos preparados'!L807</f>
        <v/>
      </c>
      <c r="N814" s="7">
        <f>'1 datos preparados'!M807</f>
        <v/>
      </c>
      <c r="O814" s="7">
        <f>'1 datos preparados'!N807</f>
        <v/>
      </c>
      <c r="P814" s="7">
        <f>'1 datos preparados'!O807</f>
        <v/>
      </c>
      <c r="Q814" s="7">
        <f>'1 datos preparados'!P807</f>
        <v/>
      </c>
      <c r="R814" s="7">
        <f>'1 datos preparados'!Q807</f>
        <v/>
      </c>
      <c r="S814" s="7">
        <f>'1 datos preparados'!R807</f>
        <v/>
      </c>
      <c r="T814" s="7">
        <f>'1 datos preparados'!S807</f>
        <v/>
      </c>
      <c r="U814" s="7">
        <f>'1 datos preparados'!T807</f>
        <v/>
      </c>
      <c r="V814" s="8">
        <f>$AE$12+D814*$AE$13+E814*$AE$14+F814*$AE$15+G814*$AE$16+H814*$AE$17+I814*$AE$18+J814*$AE$19+K814*$AE$20+L814*$AE$21+M814*$AE$22+N814*$AE$23+O814*$AE$24+P814*$AE$25+Q814*$AE$26+R814*$AE$27+S814*$AE$28+T814*$AE$29+U814*$AE$30</f>
        <v/>
      </c>
      <c r="W814" s="8">
        <f>1/(1+EXP(-V814))</f>
        <v/>
      </c>
      <c r="X814" s="9">
        <f>-IF(C814=1,LN(W814),LN(1-W814))</f>
        <v/>
      </c>
      <c r="Y814" s="8">
        <f>'1 datos preparados'!V807</f>
        <v/>
      </c>
      <c r="Z814" s="9">
        <f>Y814*X814</f>
        <v/>
      </c>
      <c r="AA814" s="10">
        <f>IF(W814&gt;$AE$33,1,0)</f>
        <v/>
      </c>
      <c r="AB814">
        <f>IF(AA814=C814,1,0)</f>
        <v/>
      </c>
    </row>
    <row r="815">
      <c r="A815">
        <f>'1 datos preparados'!A808</f>
        <v/>
      </c>
      <c r="B815" s="5">
        <f>'1 datos preparados'!U808</f>
        <v/>
      </c>
      <c r="C815">
        <f>'1 datos preparados'!B808</f>
        <v/>
      </c>
      <c r="D815" s="7">
        <f>'1 datos preparados'!C808</f>
        <v/>
      </c>
      <c r="E815" s="7">
        <f>'1 datos preparados'!D808</f>
        <v/>
      </c>
      <c r="F815" s="7">
        <f>'1 datos preparados'!E808</f>
        <v/>
      </c>
      <c r="G815" s="7">
        <f>'1 datos preparados'!F808</f>
        <v/>
      </c>
      <c r="H815" s="7">
        <f>'1 datos preparados'!G808</f>
        <v/>
      </c>
      <c r="I815" s="7">
        <f>'1 datos preparados'!H808</f>
        <v/>
      </c>
      <c r="J815" s="7">
        <f>'1 datos preparados'!I808</f>
        <v/>
      </c>
      <c r="K815" s="7">
        <f>'1 datos preparados'!J808</f>
        <v/>
      </c>
      <c r="L815" s="7">
        <f>'1 datos preparados'!K808</f>
        <v/>
      </c>
      <c r="M815" s="7">
        <f>'1 datos preparados'!L808</f>
        <v/>
      </c>
      <c r="N815" s="7">
        <f>'1 datos preparados'!M808</f>
        <v/>
      </c>
      <c r="O815" s="7">
        <f>'1 datos preparados'!N808</f>
        <v/>
      </c>
      <c r="P815" s="7">
        <f>'1 datos preparados'!O808</f>
        <v/>
      </c>
      <c r="Q815" s="7">
        <f>'1 datos preparados'!P808</f>
        <v/>
      </c>
      <c r="R815" s="7">
        <f>'1 datos preparados'!Q808</f>
        <v/>
      </c>
      <c r="S815" s="7">
        <f>'1 datos preparados'!R808</f>
        <v/>
      </c>
      <c r="T815" s="7">
        <f>'1 datos preparados'!S808</f>
        <v/>
      </c>
      <c r="U815" s="7">
        <f>'1 datos preparados'!T808</f>
        <v/>
      </c>
      <c r="V815" s="8">
        <f>$AE$12+D815*$AE$13+E815*$AE$14+F815*$AE$15+G815*$AE$16+H815*$AE$17+I815*$AE$18+J815*$AE$19+K815*$AE$20+L815*$AE$21+M815*$AE$22+N815*$AE$23+O815*$AE$24+P815*$AE$25+Q815*$AE$26+R815*$AE$27+S815*$AE$28+T815*$AE$29+U815*$AE$30</f>
        <v/>
      </c>
      <c r="W815" s="8">
        <f>1/(1+EXP(-V815))</f>
        <v/>
      </c>
      <c r="X815" s="9">
        <f>-IF(C815=1,LN(W815),LN(1-W815))</f>
        <v/>
      </c>
      <c r="Y815" s="8">
        <f>'1 datos preparados'!V808</f>
        <v/>
      </c>
      <c r="Z815" s="9">
        <f>Y815*X815</f>
        <v/>
      </c>
      <c r="AA815" s="10">
        <f>IF(W815&gt;$AE$33,1,0)</f>
        <v/>
      </c>
      <c r="AB815">
        <f>IF(AA815=C815,1,0)</f>
        <v/>
      </c>
    </row>
    <row r="816">
      <c r="A816">
        <f>'1 datos preparados'!A809</f>
        <v/>
      </c>
      <c r="B816" s="5">
        <f>'1 datos preparados'!U809</f>
        <v/>
      </c>
      <c r="C816">
        <f>'1 datos preparados'!B809</f>
        <v/>
      </c>
      <c r="D816" s="7">
        <f>'1 datos preparados'!C809</f>
        <v/>
      </c>
      <c r="E816" s="7">
        <f>'1 datos preparados'!D809</f>
        <v/>
      </c>
      <c r="F816" s="7">
        <f>'1 datos preparados'!E809</f>
        <v/>
      </c>
      <c r="G816" s="7">
        <f>'1 datos preparados'!F809</f>
        <v/>
      </c>
      <c r="H816" s="7">
        <f>'1 datos preparados'!G809</f>
        <v/>
      </c>
      <c r="I816" s="7">
        <f>'1 datos preparados'!H809</f>
        <v/>
      </c>
      <c r="J816" s="7">
        <f>'1 datos preparados'!I809</f>
        <v/>
      </c>
      <c r="K816" s="7">
        <f>'1 datos preparados'!J809</f>
        <v/>
      </c>
      <c r="L816" s="7">
        <f>'1 datos preparados'!K809</f>
        <v/>
      </c>
      <c r="M816" s="7">
        <f>'1 datos preparados'!L809</f>
        <v/>
      </c>
      <c r="N816" s="7">
        <f>'1 datos preparados'!M809</f>
        <v/>
      </c>
      <c r="O816" s="7">
        <f>'1 datos preparados'!N809</f>
        <v/>
      </c>
      <c r="P816" s="7">
        <f>'1 datos preparados'!O809</f>
        <v/>
      </c>
      <c r="Q816" s="7">
        <f>'1 datos preparados'!P809</f>
        <v/>
      </c>
      <c r="R816" s="7">
        <f>'1 datos preparados'!Q809</f>
        <v/>
      </c>
      <c r="S816" s="7">
        <f>'1 datos preparados'!R809</f>
        <v/>
      </c>
      <c r="T816" s="7">
        <f>'1 datos preparados'!S809</f>
        <v/>
      </c>
      <c r="U816" s="7">
        <f>'1 datos preparados'!T809</f>
        <v/>
      </c>
      <c r="V816" s="8">
        <f>$AE$12+D816*$AE$13+E816*$AE$14+F816*$AE$15+G816*$AE$16+H816*$AE$17+I816*$AE$18+J816*$AE$19+K816*$AE$20+L816*$AE$21+M816*$AE$22+N816*$AE$23+O816*$AE$24+P816*$AE$25+Q816*$AE$26+R816*$AE$27+S816*$AE$28+T816*$AE$29+U816*$AE$30</f>
        <v/>
      </c>
      <c r="W816" s="8">
        <f>1/(1+EXP(-V816))</f>
        <v/>
      </c>
      <c r="X816" s="9">
        <f>-IF(C816=1,LN(W816),LN(1-W816))</f>
        <v/>
      </c>
      <c r="Y816" s="8">
        <f>'1 datos preparados'!V809</f>
        <v/>
      </c>
      <c r="Z816" s="9">
        <f>Y816*X816</f>
        <v/>
      </c>
      <c r="AA816" s="10">
        <f>IF(W816&gt;$AE$33,1,0)</f>
        <v/>
      </c>
      <c r="AB816">
        <f>IF(AA816=C816,1,0)</f>
        <v/>
      </c>
    </row>
    <row r="817">
      <c r="A817">
        <f>'1 datos preparados'!A810</f>
        <v/>
      </c>
      <c r="B817" s="5">
        <f>'1 datos preparados'!U810</f>
        <v/>
      </c>
      <c r="C817">
        <f>'1 datos preparados'!B810</f>
        <v/>
      </c>
      <c r="D817" s="7">
        <f>'1 datos preparados'!C810</f>
        <v/>
      </c>
      <c r="E817" s="7">
        <f>'1 datos preparados'!D810</f>
        <v/>
      </c>
      <c r="F817" s="7">
        <f>'1 datos preparados'!E810</f>
        <v/>
      </c>
      <c r="G817" s="7">
        <f>'1 datos preparados'!F810</f>
        <v/>
      </c>
      <c r="H817" s="7">
        <f>'1 datos preparados'!G810</f>
        <v/>
      </c>
      <c r="I817" s="7">
        <f>'1 datos preparados'!H810</f>
        <v/>
      </c>
      <c r="J817" s="7">
        <f>'1 datos preparados'!I810</f>
        <v/>
      </c>
      <c r="K817" s="7">
        <f>'1 datos preparados'!J810</f>
        <v/>
      </c>
      <c r="L817" s="7">
        <f>'1 datos preparados'!K810</f>
        <v/>
      </c>
      <c r="M817" s="7">
        <f>'1 datos preparados'!L810</f>
        <v/>
      </c>
      <c r="N817" s="7">
        <f>'1 datos preparados'!M810</f>
        <v/>
      </c>
      <c r="O817" s="7">
        <f>'1 datos preparados'!N810</f>
        <v/>
      </c>
      <c r="P817" s="7">
        <f>'1 datos preparados'!O810</f>
        <v/>
      </c>
      <c r="Q817" s="7">
        <f>'1 datos preparados'!P810</f>
        <v/>
      </c>
      <c r="R817" s="7">
        <f>'1 datos preparados'!Q810</f>
        <v/>
      </c>
      <c r="S817" s="7">
        <f>'1 datos preparados'!R810</f>
        <v/>
      </c>
      <c r="T817" s="7">
        <f>'1 datos preparados'!S810</f>
        <v/>
      </c>
      <c r="U817" s="7">
        <f>'1 datos preparados'!T810</f>
        <v/>
      </c>
      <c r="V817" s="8">
        <f>$AE$12+D817*$AE$13+E817*$AE$14+F817*$AE$15+G817*$AE$16+H817*$AE$17+I817*$AE$18+J817*$AE$19+K817*$AE$20+L817*$AE$21+M817*$AE$22+N817*$AE$23+O817*$AE$24+P817*$AE$25+Q817*$AE$26+R817*$AE$27+S817*$AE$28+T817*$AE$29+U817*$AE$30</f>
        <v/>
      </c>
      <c r="W817" s="8">
        <f>1/(1+EXP(-V817))</f>
        <v/>
      </c>
      <c r="X817" s="9">
        <f>-IF(C817=1,LN(W817),LN(1-W817))</f>
        <v/>
      </c>
      <c r="Y817" s="8">
        <f>'1 datos preparados'!V810</f>
        <v/>
      </c>
      <c r="Z817" s="9">
        <f>Y817*X817</f>
        <v/>
      </c>
      <c r="AA817" s="10">
        <f>IF(W817&gt;$AE$33,1,0)</f>
        <v/>
      </c>
      <c r="AB817">
        <f>IF(AA817=C817,1,0)</f>
        <v/>
      </c>
    </row>
    <row r="818">
      <c r="A818">
        <f>'1 datos preparados'!A811</f>
        <v/>
      </c>
      <c r="B818" s="5">
        <f>'1 datos preparados'!U811</f>
        <v/>
      </c>
      <c r="C818">
        <f>'1 datos preparados'!B811</f>
        <v/>
      </c>
      <c r="D818" s="7">
        <f>'1 datos preparados'!C811</f>
        <v/>
      </c>
      <c r="E818" s="7">
        <f>'1 datos preparados'!D811</f>
        <v/>
      </c>
      <c r="F818" s="7">
        <f>'1 datos preparados'!E811</f>
        <v/>
      </c>
      <c r="G818" s="7">
        <f>'1 datos preparados'!F811</f>
        <v/>
      </c>
      <c r="H818" s="7">
        <f>'1 datos preparados'!G811</f>
        <v/>
      </c>
      <c r="I818" s="7">
        <f>'1 datos preparados'!H811</f>
        <v/>
      </c>
      <c r="J818" s="7">
        <f>'1 datos preparados'!I811</f>
        <v/>
      </c>
      <c r="K818" s="7">
        <f>'1 datos preparados'!J811</f>
        <v/>
      </c>
      <c r="L818" s="7">
        <f>'1 datos preparados'!K811</f>
        <v/>
      </c>
      <c r="M818" s="7">
        <f>'1 datos preparados'!L811</f>
        <v/>
      </c>
      <c r="N818" s="7">
        <f>'1 datos preparados'!M811</f>
        <v/>
      </c>
      <c r="O818" s="7">
        <f>'1 datos preparados'!N811</f>
        <v/>
      </c>
      <c r="P818" s="7">
        <f>'1 datos preparados'!O811</f>
        <v/>
      </c>
      <c r="Q818" s="7">
        <f>'1 datos preparados'!P811</f>
        <v/>
      </c>
      <c r="R818" s="7">
        <f>'1 datos preparados'!Q811</f>
        <v/>
      </c>
      <c r="S818" s="7">
        <f>'1 datos preparados'!R811</f>
        <v/>
      </c>
      <c r="T818" s="7">
        <f>'1 datos preparados'!S811</f>
        <v/>
      </c>
      <c r="U818" s="7">
        <f>'1 datos preparados'!T811</f>
        <v/>
      </c>
      <c r="V818" s="8">
        <f>$AE$12+D818*$AE$13+E818*$AE$14+F818*$AE$15+G818*$AE$16+H818*$AE$17+I818*$AE$18+J818*$AE$19+K818*$AE$20+L818*$AE$21+M818*$AE$22+N818*$AE$23+O818*$AE$24+P818*$AE$25+Q818*$AE$26+R818*$AE$27+S818*$AE$28+T818*$AE$29+U818*$AE$30</f>
        <v/>
      </c>
      <c r="W818" s="8">
        <f>1/(1+EXP(-V818))</f>
        <v/>
      </c>
      <c r="X818" s="9">
        <f>-IF(C818=1,LN(W818),LN(1-W818))</f>
        <v/>
      </c>
      <c r="Y818" s="8">
        <f>'1 datos preparados'!V811</f>
        <v/>
      </c>
      <c r="Z818" s="9">
        <f>Y818*X818</f>
        <v/>
      </c>
      <c r="AA818" s="10">
        <f>IF(W818&gt;$AE$33,1,0)</f>
        <v/>
      </c>
      <c r="AB818">
        <f>IF(AA818=C818,1,0)</f>
        <v/>
      </c>
    </row>
    <row r="819">
      <c r="A819">
        <f>'1 datos preparados'!A812</f>
        <v/>
      </c>
      <c r="B819" s="5">
        <f>'1 datos preparados'!U812</f>
        <v/>
      </c>
      <c r="C819">
        <f>'1 datos preparados'!B812</f>
        <v/>
      </c>
      <c r="D819" s="7">
        <f>'1 datos preparados'!C812</f>
        <v/>
      </c>
      <c r="E819" s="7">
        <f>'1 datos preparados'!D812</f>
        <v/>
      </c>
      <c r="F819" s="7">
        <f>'1 datos preparados'!E812</f>
        <v/>
      </c>
      <c r="G819" s="7">
        <f>'1 datos preparados'!F812</f>
        <v/>
      </c>
      <c r="H819" s="7">
        <f>'1 datos preparados'!G812</f>
        <v/>
      </c>
      <c r="I819" s="7">
        <f>'1 datos preparados'!H812</f>
        <v/>
      </c>
      <c r="J819" s="7">
        <f>'1 datos preparados'!I812</f>
        <v/>
      </c>
      <c r="K819" s="7">
        <f>'1 datos preparados'!J812</f>
        <v/>
      </c>
      <c r="L819" s="7">
        <f>'1 datos preparados'!K812</f>
        <v/>
      </c>
      <c r="M819" s="7">
        <f>'1 datos preparados'!L812</f>
        <v/>
      </c>
      <c r="N819" s="7">
        <f>'1 datos preparados'!M812</f>
        <v/>
      </c>
      <c r="O819" s="7">
        <f>'1 datos preparados'!N812</f>
        <v/>
      </c>
      <c r="P819" s="7">
        <f>'1 datos preparados'!O812</f>
        <v/>
      </c>
      <c r="Q819" s="7">
        <f>'1 datos preparados'!P812</f>
        <v/>
      </c>
      <c r="R819" s="7">
        <f>'1 datos preparados'!Q812</f>
        <v/>
      </c>
      <c r="S819" s="7">
        <f>'1 datos preparados'!R812</f>
        <v/>
      </c>
      <c r="T819" s="7">
        <f>'1 datos preparados'!S812</f>
        <v/>
      </c>
      <c r="U819" s="7">
        <f>'1 datos preparados'!T812</f>
        <v/>
      </c>
      <c r="V819" s="8">
        <f>$AE$12+D819*$AE$13+E819*$AE$14+F819*$AE$15+G819*$AE$16+H819*$AE$17+I819*$AE$18+J819*$AE$19+K819*$AE$20+L819*$AE$21+M819*$AE$22+N819*$AE$23+O819*$AE$24+P819*$AE$25+Q819*$AE$26+R819*$AE$27+S819*$AE$28+T819*$AE$29+U819*$AE$30</f>
        <v/>
      </c>
      <c r="W819" s="8">
        <f>1/(1+EXP(-V819))</f>
        <v/>
      </c>
      <c r="X819" s="9">
        <f>-IF(C819=1,LN(W819),LN(1-W819))</f>
        <v/>
      </c>
      <c r="Y819" s="8">
        <f>'1 datos preparados'!V812</f>
        <v/>
      </c>
      <c r="Z819" s="9">
        <f>Y819*X819</f>
        <v/>
      </c>
      <c r="AA819" s="10">
        <f>IF(W819&gt;$AE$33,1,0)</f>
        <v/>
      </c>
      <c r="AB819">
        <f>IF(AA819=C819,1,0)</f>
        <v/>
      </c>
    </row>
    <row r="820">
      <c r="A820">
        <f>'1 datos preparados'!A813</f>
        <v/>
      </c>
      <c r="B820" s="5">
        <f>'1 datos preparados'!U813</f>
        <v/>
      </c>
      <c r="C820">
        <f>'1 datos preparados'!B813</f>
        <v/>
      </c>
      <c r="D820" s="7">
        <f>'1 datos preparados'!C813</f>
        <v/>
      </c>
      <c r="E820" s="7">
        <f>'1 datos preparados'!D813</f>
        <v/>
      </c>
      <c r="F820" s="7">
        <f>'1 datos preparados'!E813</f>
        <v/>
      </c>
      <c r="G820" s="7">
        <f>'1 datos preparados'!F813</f>
        <v/>
      </c>
      <c r="H820" s="7">
        <f>'1 datos preparados'!G813</f>
        <v/>
      </c>
      <c r="I820" s="7">
        <f>'1 datos preparados'!H813</f>
        <v/>
      </c>
      <c r="J820" s="7">
        <f>'1 datos preparados'!I813</f>
        <v/>
      </c>
      <c r="K820" s="7">
        <f>'1 datos preparados'!J813</f>
        <v/>
      </c>
      <c r="L820" s="7">
        <f>'1 datos preparados'!K813</f>
        <v/>
      </c>
      <c r="M820" s="7">
        <f>'1 datos preparados'!L813</f>
        <v/>
      </c>
      <c r="N820" s="7">
        <f>'1 datos preparados'!M813</f>
        <v/>
      </c>
      <c r="O820" s="7">
        <f>'1 datos preparados'!N813</f>
        <v/>
      </c>
      <c r="P820" s="7">
        <f>'1 datos preparados'!O813</f>
        <v/>
      </c>
      <c r="Q820" s="7">
        <f>'1 datos preparados'!P813</f>
        <v/>
      </c>
      <c r="R820" s="7">
        <f>'1 datos preparados'!Q813</f>
        <v/>
      </c>
      <c r="S820" s="7">
        <f>'1 datos preparados'!R813</f>
        <v/>
      </c>
      <c r="T820" s="7">
        <f>'1 datos preparados'!S813</f>
        <v/>
      </c>
      <c r="U820" s="7">
        <f>'1 datos preparados'!T813</f>
        <v/>
      </c>
      <c r="V820" s="8">
        <f>$AE$12+D820*$AE$13+E820*$AE$14+F820*$AE$15+G820*$AE$16+H820*$AE$17+I820*$AE$18+J820*$AE$19+K820*$AE$20+L820*$AE$21+M820*$AE$22+N820*$AE$23+O820*$AE$24+P820*$AE$25+Q820*$AE$26+R820*$AE$27+S820*$AE$28+T820*$AE$29+U820*$AE$30</f>
        <v/>
      </c>
      <c r="W820" s="8">
        <f>1/(1+EXP(-V820))</f>
        <v/>
      </c>
      <c r="X820" s="9">
        <f>-IF(C820=1,LN(W820),LN(1-W820))</f>
        <v/>
      </c>
      <c r="Y820" s="8">
        <f>'1 datos preparados'!V813</f>
        <v/>
      </c>
      <c r="Z820" s="9">
        <f>Y820*X820</f>
        <v/>
      </c>
      <c r="AA820" s="10">
        <f>IF(W820&gt;$AE$33,1,0)</f>
        <v/>
      </c>
      <c r="AB820">
        <f>IF(AA820=C820,1,0)</f>
        <v/>
      </c>
    </row>
    <row r="821">
      <c r="A821">
        <f>'1 datos preparados'!A814</f>
        <v/>
      </c>
      <c r="B821" s="5">
        <f>'1 datos preparados'!U814</f>
        <v/>
      </c>
      <c r="C821">
        <f>'1 datos preparados'!B814</f>
        <v/>
      </c>
      <c r="D821" s="7">
        <f>'1 datos preparados'!C814</f>
        <v/>
      </c>
      <c r="E821" s="7">
        <f>'1 datos preparados'!D814</f>
        <v/>
      </c>
      <c r="F821" s="7">
        <f>'1 datos preparados'!E814</f>
        <v/>
      </c>
      <c r="G821" s="7">
        <f>'1 datos preparados'!F814</f>
        <v/>
      </c>
      <c r="H821" s="7">
        <f>'1 datos preparados'!G814</f>
        <v/>
      </c>
      <c r="I821" s="7">
        <f>'1 datos preparados'!H814</f>
        <v/>
      </c>
      <c r="J821" s="7">
        <f>'1 datos preparados'!I814</f>
        <v/>
      </c>
      <c r="K821" s="7">
        <f>'1 datos preparados'!J814</f>
        <v/>
      </c>
      <c r="L821" s="7">
        <f>'1 datos preparados'!K814</f>
        <v/>
      </c>
      <c r="M821" s="7">
        <f>'1 datos preparados'!L814</f>
        <v/>
      </c>
      <c r="N821" s="7">
        <f>'1 datos preparados'!M814</f>
        <v/>
      </c>
      <c r="O821" s="7">
        <f>'1 datos preparados'!N814</f>
        <v/>
      </c>
      <c r="P821" s="7">
        <f>'1 datos preparados'!O814</f>
        <v/>
      </c>
      <c r="Q821" s="7">
        <f>'1 datos preparados'!P814</f>
        <v/>
      </c>
      <c r="R821" s="7">
        <f>'1 datos preparados'!Q814</f>
        <v/>
      </c>
      <c r="S821" s="7">
        <f>'1 datos preparados'!R814</f>
        <v/>
      </c>
      <c r="T821" s="7">
        <f>'1 datos preparados'!S814</f>
        <v/>
      </c>
      <c r="U821" s="7">
        <f>'1 datos preparados'!T814</f>
        <v/>
      </c>
      <c r="V821" s="8">
        <f>$AE$12+D821*$AE$13+E821*$AE$14+F821*$AE$15+G821*$AE$16+H821*$AE$17+I821*$AE$18+J821*$AE$19+K821*$AE$20+L821*$AE$21+M821*$AE$22+N821*$AE$23+O821*$AE$24+P821*$AE$25+Q821*$AE$26+R821*$AE$27+S821*$AE$28+T821*$AE$29+U821*$AE$30</f>
        <v/>
      </c>
      <c r="W821" s="8">
        <f>1/(1+EXP(-V821))</f>
        <v/>
      </c>
      <c r="X821" s="9">
        <f>-IF(C821=1,LN(W821),LN(1-W821))</f>
        <v/>
      </c>
      <c r="Y821" s="8">
        <f>'1 datos preparados'!V814</f>
        <v/>
      </c>
      <c r="Z821" s="9">
        <f>Y821*X821</f>
        <v/>
      </c>
      <c r="AA821" s="10">
        <f>IF(W821&gt;$AE$33,1,0)</f>
        <v/>
      </c>
      <c r="AB821">
        <f>IF(AA821=C821,1,0)</f>
        <v/>
      </c>
    </row>
    <row r="822">
      <c r="A822">
        <f>'1 datos preparados'!A815</f>
        <v/>
      </c>
      <c r="B822" s="5">
        <f>'1 datos preparados'!U815</f>
        <v/>
      </c>
      <c r="C822">
        <f>'1 datos preparados'!B815</f>
        <v/>
      </c>
      <c r="D822" s="7">
        <f>'1 datos preparados'!C815</f>
        <v/>
      </c>
      <c r="E822" s="7">
        <f>'1 datos preparados'!D815</f>
        <v/>
      </c>
      <c r="F822" s="7">
        <f>'1 datos preparados'!E815</f>
        <v/>
      </c>
      <c r="G822" s="7">
        <f>'1 datos preparados'!F815</f>
        <v/>
      </c>
      <c r="H822" s="7">
        <f>'1 datos preparados'!G815</f>
        <v/>
      </c>
      <c r="I822" s="7">
        <f>'1 datos preparados'!H815</f>
        <v/>
      </c>
      <c r="J822" s="7">
        <f>'1 datos preparados'!I815</f>
        <v/>
      </c>
      <c r="K822" s="7">
        <f>'1 datos preparados'!J815</f>
        <v/>
      </c>
      <c r="L822" s="7">
        <f>'1 datos preparados'!K815</f>
        <v/>
      </c>
      <c r="M822" s="7">
        <f>'1 datos preparados'!L815</f>
        <v/>
      </c>
      <c r="N822" s="7">
        <f>'1 datos preparados'!M815</f>
        <v/>
      </c>
      <c r="O822" s="7">
        <f>'1 datos preparados'!N815</f>
        <v/>
      </c>
      <c r="P822" s="7">
        <f>'1 datos preparados'!O815</f>
        <v/>
      </c>
      <c r="Q822" s="7">
        <f>'1 datos preparados'!P815</f>
        <v/>
      </c>
      <c r="R822" s="7">
        <f>'1 datos preparados'!Q815</f>
        <v/>
      </c>
      <c r="S822" s="7">
        <f>'1 datos preparados'!R815</f>
        <v/>
      </c>
      <c r="T822" s="7">
        <f>'1 datos preparados'!S815</f>
        <v/>
      </c>
      <c r="U822" s="7">
        <f>'1 datos preparados'!T815</f>
        <v/>
      </c>
      <c r="V822" s="8">
        <f>$AE$12+D822*$AE$13+E822*$AE$14+F822*$AE$15+G822*$AE$16+H822*$AE$17+I822*$AE$18+J822*$AE$19+K822*$AE$20+L822*$AE$21+M822*$AE$22+N822*$AE$23+O822*$AE$24+P822*$AE$25+Q822*$AE$26+R822*$AE$27+S822*$AE$28+T822*$AE$29+U822*$AE$30</f>
        <v/>
      </c>
      <c r="W822" s="8">
        <f>1/(1+EXP(-V822))</f>
        <v/>
      </c>
      <c r="X822" s="9">
        <f>-IF(C822=1,LN(W822),LN(1-W822))</f>
        <v/>
      </c>
      <c r="Y822" s="8">
        <f>'1 datos preparados'!V815</f>
        <v/>
      </c>
      <c r="Z822" s="9">
        <f>Y822*X822</f>
        <v/>
      </c>
      <c r="AA822" s="10">
        <f>IF(W822&gt;$AE$33,1,0)</f>
        <v/>
      </c>
      <c r="AB822">
        <f>IF(AA822=C822,1,0)</f>
        <v/>
      </c>
    </row>
    <row r="823">
      <c r="A823">
        <f>'1 datos preparados'!A816</f>
        <v/>
      </c>
      <c r="B823" s="5">
        <f>'1 datos preparados'!U816</f>
        <v/>
      </c>
      <c r="C823">
        <f>'1 datos preparados'!B816</f>
        <v/>
      </c>
      <c r="D823" s="7">
        <f>'1 datos preparados'!C816</f>
        <v/>
      </c>
      <c r="E823" s="7">
        <f>'1 datos preparados'!D816</f>
        <v/>
      </c>
      <c r="F823" s="7">
        <f>'1 datos preparados'!E816</f>
        <v/>
      </c>
      <c r="G823" s="7">
        <f>'1 datos preparados'!F816</f>
        <v/>
      </c>
      <c r="H823" s="7">
        <f>'1 datos preparados'!G816</f>
        <v/>
      </c>
      <c r="I823" s="7">
        <f>'1 datos preparados'!H816</f>
        <v/>
      </c>
      <c r="J823" s="7">
        <f>'1 datos preparados'!I816</f>
        <v/>
      </c>
      <c r="K823" s="7">
        <f>'1 datos preparados'!J816</f>
        <v/>
      </c>
      <c r="L823" s="7">
        <f>'1 datos preparados'!K816</f>
        <v/>
      </c>
      <c r="M823" s="7">
        <f>'1 datos preparados'!L816</f>
        <v/>
      </c>
      <c r="N823" s="7">
        <f>'1 datos preparados'!M816</f>
        <v/>
      </c>
      <c r="O823" s="7">
        <f>'1 datos preparados'!N816</f>
        <v/>
      </c>
      <c r="P823" s="7">
        <f>'1 datos preparados'!O816</f>
        <v/>
      </c>
      <c r="Q823" s="7">
        <f>'1 datos preparados'!P816</f>
        <v/>
      </c>
      <c r="R823" s="7">
        <f>'1 datos preparados'!Q816</f>
        <v/>
      </c>
      <c r="S823" s="7">
        <f>'1 datos preparados'!R816</f>
        <v/>
      </c>
      <c r="T823" s="7">
        <f>'1 datos preparados'!S816</f>
        <v/>
      </c>
      <c r="U823" s="7">
        <f>'1 datos preparados'!T816</f>
        <v/>
      </c>
      <c r="V823" s="8">
        <f>$AE$12+D823*$AE$13+E823*$AE$14+F823*$AE$15+G823*$AE$16+H823*$AE$17+I823*$AE$18+J823*$AE$19+K823*$AE$20+L823*$AE$21+M823*$AE$22+N823*$AE$23+O823*$AE$24+P823*$AE$25+Q823*$AE$26+R823*$AE$27+S823*$AE$28+T823*$AE$29+U823*$AE$30</f>
        <v/>
      </c>
      <c r="W823" s="8">
        <f>1/(1+EXP(-V823))</f>
        <v/>
      </c>
      <c r="X823" s="9">
        <f>-IF(C823=1,LN(W823),LN(1-W823))</f>
        <v/>
      </c>
      <c r="Y823" s="8">
        <f>'1 datos preparados'!V816</f>
        <v/>
      </c>
      <c r="Z823" s="9">
        <f>Y823*X823</f>
        <v/>
      </c>
      <c r="AA823" s="10">
        <f>IF(W823&gt;$AE$33,1,0)</f>
        <v/>
      </c>
      <c r="AB823">
        <f>IF(AA823=C823,1,0)</f>
        <v/>
      </c>
    </row>
    <row r="824">
      <c r="A824">
        <f>'1 datos preparados'!A817</f>
        <v/>
      </c>
      <c r="B824" s="5">
        <f>'1 datos preparados'!U817</f>
        <v/>
      </c>
      <c r="C824">
        <f>'1 datos preparados'!B817</f>
        <v/>
      </c>
      <c r="D824" s="7">
        <f>'1 datos preparados'!C817</f>
        <v/>
      </c>
      <c r="E824" s="7">
        <f>'1 datos preparados'!D817</f>
        <v/>
      </c>
      <c r="F824" s="7">
        <f>'1 datos preparados'!E817</f>
        <v/>
      </c>
      <c r="G824" s="7">
        <f>'1 datos preparados'!F817</f>
        <v/>
      </c>
      <c r="H824" s="7">
        <f>'1 datos preparados'!G817</f>
        <v/>
      </c>
      <c r="I824" s="7">
        <f>'1 datos preparados'!H817</f>
        <v/>
      </c>
      <c r="J824" s="7">
        <f>'1 datos preparados'!I817</f>
        <v/>
      </c>
      <c r="K824" s="7">
        <f>'1 datos preparados'!J817</f>
        <v/>
      </c>
      <c r="L824" s="7">
        <f>'1 datos preparados'!K817</f>
        <v/>
      </c>
      <c r="M824" s="7">
        <f>'1 datos preparados'!L817</f>
        <v/>
      </c>
      <c r="N824" s="7">
        <f>'1 datos preparados'!M817</f>
        <v/>
      </c>
      <c r="O824" s="7">
        <f>'1 datos preparados'!N817</f>
        <v/>
      </c>
      <c r="P824" s="7">
        <f>'1 datos preparados'!O817</f>
        <v/>
      </c>
      <c r="Q824" s="7">
        <f>'1 datos preparados'!P817</f>
        <v/>
      </c>
      <c r="R824" s="7">
        <f>'1 datos preparados'!Q817</f>
        <v/>
      </c>
      <c r="S824" s="7">
        <f>'1 datos preparados'!R817</f>
        <v/>
      </c>
      <c r="T824" s="7">
        <f>'1 datos preparados'!S817</f>
        <v/>
      </c>
      <c r="U824" s="7">
        <f>'1 datos preparados'!T817</f>
        <v/>
      </c>
      <c r="V824" s="8">
        <f>$AE$12+D824*$AE$13+E824*$AE$14+F824*$AE$15+G824*$AE$16+H824*$AE$17+I824*$AE$18+J824*$AE$19+K824*$AE$20+L824*$AE$21+M824*$AE$22+N824*$AE$23+O824*$AE$24+P824*$AE$25+Q824*$AE$26+R824*$AE$27+S824*$AE$28+T824*$AE$29+U824*$AE$30</f>
        <v/>
      </c>
      <c r="W824" s="8">
        <f>1/(1+EXP(-V824))</f>
        <v/>
      </c>
      <c r="X824" s="9">
        <f>-IF(C824=1,LN(W824),LN(1-W824))</f>
        <v/>
      </c>
      <c r="Y824" s="8">
        <f>'1 datos preparados'!V817</f>
        <v/>
      </c>
      <c r="Z824" s="9">
        <f>Y824*X824</f>
        <v/>
      </c>
      <c r="AA824" s="10">
        <f>IF(W824&gt;$AE$33,1,0)</f>
        <v/>
      </c>
      <c r="AB824">
        <f>IF(AA824=C824,1,0)</f>
        <v/>
      </c>
    </row>
    <row r="825">
      <c r="A825">
        <f>'1 datos preparados'!A818</f>
        <v/>
      </c>
      <c r="B825" s="5">
        <f>'1 datos preparados'!U818</f>
        <v/>
      </c>
      <c r="C825">
        <f>'1 datos preparados'!B818</f>
        <v/>
      </c>
      <c r="D825" s="7">
        <f>'1 datos preparados'!C818</f>
        <v/>
      </c>
      <c r="E825" s="7">
        <f>'1 datos preparados'!D818</f>
        <v/>
      </c>
      <c r="F825" s="7">
        <f>'1 datos preparados'!E818</f>
        <v/>
      </c>
      <c r="G825" s="7">
        <f>'1 datos preparados'!F818</f>
        <v/>
      </c>
      <c r="H825" s="7">
        <f>'1 datos preparados'!G818</f>
        <v/>
      </c>
      <c r="I825" s="7">
        <f>'1 datos preparados'!H818</f>
        <v/>
      </c>
      <c r="J825" s="7">
        <f>'1 datos preparados'!I818</f>
        <v/>
      </c>
      <c r="K825" s="7">
        <f>'1 datos preparados'!J818</f>
        <v/>
      </c>
      <c r="L825" s="7">
        <f>'1 datos preparados'!K818</f>
        <v/>
      </c>
      <c r="M825" s="7">
        <f>'1 datos preparados'!L818</f>
        <v/>
      </c>
      <c r="N825" s="7">
        <f>'1 datos preparados'!M818</f>
        <v/>
      </c>
      <c r="O825" s="7">
        <f>'1 datos preparados'!N818</f>
        <v/>
      </c>
      <c r="P825" s="7">
        <f>'1 datos preparados'!O818</f>
        <v/>
      </c>
      <c r="Q825" s="7">
        <f>'1 datos preparados'!P818</f>
        <v/>
      </c>
      <c r="R825" s="7">
        <f>'1 datos preparados'!Q818</f>
        <v/>
      </c>
      <c r="S825" s="7">
        <f>'1 datos preparados'!R818</f>
        <v/>
      </c>
      <c r="T825" s="7">
        <f>'1 datos preparados'!S818</f>
        <v/>
      </c>
      <c r="U825" s="7">
        <f>'1 datos preparados'!T818</f>
        <v/>
      </c>
      <c r="V825" s="8">
        <f>$AE$12+D825*$AE$13+E825*$AE$14+F825*$AE$15+G825*$AE$16+H825*$AE$17+I825*$AE$18+J825*$AE$19+K825*$AE$20+L825*$AE$21+M825*$AE$22+N825*$AE$23+O825*$AE$24+P825*$AE$25+Q825*$AE$26+R825*$AE$27+S825*$AE$28+T825*$AE$29+U825*$AE$30</f>
        <v/>
      </c>
      <c r="W825" s="8">
        <f>1/(1+EXP(-V825))</f>
        <v/>
      </c>
      <c r="X825" s="9">
        <f>-IF(C825=1,LN(W825),LN(1-W825))</f>
        <v/>
      </c>
      <c r="Y825" s="8">
        <f>'1 datos preparados'!V818</f>
        <v/>
      </c>
      <c r="Z825" s="9">
        <f>Y825*X825</f>
        <v/>
      </c>
      <c r="AA825" s="10">
        <f>IF(W825&gt;$AE$33,1,0)</f>
        <v/>
      </c>
      <c r="AB825">
        <f>IF(AA825=C825,1,0)</f>
        <v/>
      </c>
    </row>
    <row r="826">
      <c r="A826">
        <f>'1 datos preparados'!A819</f>
        <v/>
      </c>
      <c r="B826" s="5">
        <f>'1 datos preparados'!U819</f>
        <v/>
      </c>
      <c r="C826">
        <f>'1 datos preparados'!B819</f>
        <v/>
      </c>
      <c r="D826" s="7">
        <f>'1 datos preparados'!C819</f>
        <v/>
      </c>
      <c r="E826" s="7">
        <f>'1 datos preparados'!D819</f>
        <v/>
      </c>
      <c r="F826" s="7">
        <f>'1 datos preparados'!E819</f>
        <v/>
      </c>
      <c r="G826" s="7">
        <f>'1 datos preparados'!F819</f>
        <v/>
      </c>
      <c r="H826" s="7">
        <f>'1 datos preparados'!G819</f>
        <v/>
      </c>
      <c r="I826" s="7">
        <f>'1 datos preparados'!H819</f>
        <v/>
      </c>
      <c r="J826" s="7">
        <f>'1 datos preparados'!I819</f>
        <v/>
      </c>
      <c r="K826" s="7">
        <f>'1 datos preparados'!J819</f>
        <v/>
      </c>
      <c r="L826" s="7">
        <f>'1 datos preparados'!K819</f>
        <v/>
      </c>
      <c r="M826" s="7">
        <f>'1 datos preparados'!L819</f>
        <v/>
      </c>
      <c r="N826" s="7">
        <f>'1 datos preparados'!M819</f>
        <v/>
      </c>
      <c r="O826" s="7">
        <f>'1 datos preparados'!N819</f>
        <v/>
      </c>
      <c r="P826" s="7">
        <f>'1 datos preparados'!O819</f>
        <v/>
      </c>
      <c r="Q826" s="7">
        <f>'1 datos preparados'!P819</f>
        <v/>
      </c>
      <c r="R826" s="7">
        <f>'1 datos preparados'!Q819</f>
        <v/>
      </c>
      <c r="S826" s="7">
        <f>'1 datos preparados'!R819</f>
        <v/>
      </c>
      <c r="T826" s="7">
        <f>'1 datos preparados'!S819</f>
        <v/>
      </c>
      <c r="U826" s="7">
        <f>'1 datos preparados'!T819</f>
        <v/>
      </c>
      <c r="V826" s="8">
        <f>$AE$12+D826*$AE$13+E826*$AE$14+F826*$AE$15+G826*$AE$16+H826*$AE$17+I826*$AE$18+J826*$AE$19+K826*$AE$20+L826*$AE$21+M826*$AE$22+N826*$AE$23+O826*$AE$24+P826*$AE$25+Q826*$AE$26+R826*$AE$27+S826*$AE$28+T826*$AE$29+U826*$AE$30</f>
        <v/>
      </c>
      <c r="W826" s="8">
        <f>1/(1+EXP(-V826))</f>
        <v/>
      </c>
      <c r="X826" s="9">
        <f>-IF(C826=1,LN(W826),LN(1-W826))</f>
        <v/>
      </c>
      <c r="Y826" s="8">
        <f>'1 datos preparados'!V819</f>
        <v/>
      </c>
      <c r="Z826" s="9">
        <f>Y826*X826</f>
        <v/>
      </c>
      <c r="AA826" s="10">
        <f>IF(W826&gt;$AE$33,1,0)</f>
        <v/>
      </c>
      <c r="AB826">
        <f>IF(AA826=C826,1,0)</f>
        <v/>
      </c>
    </row>
    <row r="827">
      <c r="A827">
        <f>'1 datos preparados'!A820</f>
        <v/>
      </c>
      <c r="B827" s="5">
        <f>'1 datos preparados'!U820</f>
        <v/>
      </c>
      <c r="C827">
        <f>'1 datos preparados'!B820</f>
        <v/>
      </c>
      <c r="D827" s="7">
        <f>'1 datos preparados'!C820</f>
        <v/>
      </c>
      <c r="E827" s="7">
        <f>'1 datos preparados'!D820</f>
        <v/>
      </c>
      <c r="F827" s="7">
        <f>'1 datos preparados'!E820</f>
        <v/>
      </c>
      <c r="G827" s="7">
        <f>'1 datos preparados'!F820</f>
        <v/>
      </c>
      <c r="H827" s="7">
        <f>'1 datos preparados'!G820</f>
        <v/>
      </c>
      <c r="I827" s="7">
        <f>'1 datos preparados'!H820</f>
        <v/>
      </c>
      <c r="J827" s="7">
        <f>'1 datos preparados'!I820</f>
        <v/>
      </c>
      <c r="K827" s="7">
        <f>'1 datos preparados'!J820</f>
        <v/>
      </c>
      <c r="L827" s="7">
        <f>'1 datos preparados'!K820</f>
        <v/>
      </c>
      <c r="M827" s="7">
        <f>'1 datos preparados'!L820</f>
        <v/>
      </c>
      <c r="N827" s="7">
        <f>'1 datos preparados'!M820</f>
        <v/>
      </c>
      <c r="O827" s="7">
        <f>'1 datos preparados'!N820</f>
        <v/>
      </c>
      <c r="P827" s="7">
        <f>'1 datos preparados'!O820</f>
        <v/>
      </c>
      <c r="Q827" s="7">
        <f>'1 datos preparados'!P820</f>
        <v/>
      </c>
      <c r="R827" s="7">
        <f>'1 datos preparados'!Q820</f>
        <v/>
      </c>
      <c r="S827" s="7">
        <f>'1 datos preparados'!R820</f>
        <v/>
      </c>
      <c r="T827" s="7">
        <f>'1 datos preparados'!S820</f>
        <v/>
      </c>
      <c r="U827" s="7">
        <f>'1 datos preparados'!T820</f>
        <v/>
      </c>
      <c r="V827" s="8">
        <f>$AE$12+D827*$AE$13+E827*$AE$14+F827*$AE$15+G827*$AE$16+H827*$AE$17+I827*$AE$18+J827*$AE$19+K827*$AE$20+L827*$AE$21+M827*$AE$22+N827*$AE$23+O827*$AE$24+P827*$AE$25+Q827*$AE$26+R827*$AE$27+S827*$AE$28+T827*$AE$29+U827*$AE$30</f>
        <v/>
      </c>
      <c r="W827" s="8">
        <f>1/(1+EXP(-V827))</f>
        <v/>
      </c>
      <c r="X827" s="9">
        <f>-IF(C827=1,LN(W827),LN(1-W827))</f>
        <v/>
      </c>
      <c r="Y827" s="8">
        <f>'1 datos preparados'!V820</f>
        <v/>
      </c>
      <c r="Z827" s="9">
        <f>Y827*X827</f>
        <v/>
      </c>
      <c r="AA827" s="10">
        <f>IF(W827&gt;$AE$33,1,0)</f>
        <v/>
      </c>
      <c r="AB827">
        <f>IF(AA827=C827,1,0)</f>
        <v/>
      </c>
    </row>
    <row r="828">
      <c r="A828">
        <f>'1 datos preparados'!A821</f>
        <v/>
      </c>
      <c r="B828" s="5">
        <f>'1 datos preparados'!U821</f>
        <v/>
      </c>
      <c r="C828">
        <f>'1 datos preparados'!B821</f>
        <v/>
      </c>
      <c r="D828" s="7">
        <f>'1 datos preparados'!C821</f>
        <v/>
      </c>
      <c r="E828" s="7">
        <f>'1 datos preparados'!D821</f>
        <v/>
      </c>
      <c r="F828" s="7">
        <f>'1 datos preparados'!E821</f>
        <v/>
      </c>
      <c r="G828" s="7">
        <f>'1 datos preparados'!F821</f>
        <v/>
      </c>
      <c r="H828" s="7">
        <f>'1 datos preparados'!G821</f>
        <v/>
      </c>
      <c r="I828" s="7">
        <f>'1 datos preparados'!H821</f>
        <v/>
      </c>
      <c r="J828" s="7">
        <f>'1 datos preparados'!I821</f>
        <v/>
      </c>
      <c r="K828" s="7">
        <f>'1 datos preparados'!J821</f>
        <v/>
      </c>
      <c r="L828" s="7">
        <f>'1 datos preparados'!K821</f>
        <v/>
      </c>
      <c r="M828" s="7">
        <f>'1 datos preparados'!L821</f>
        <v/>
      </c>
      <c r="N828" s="7">
        <f>'1 datos preparados'!M821</f>
        <v/>
      </c>
      <c r="O828" s="7">
        <f>'1 datos preparados'!N821</f>
        <v/>
      </c>
      <c r="P828" s="7">
        <f>'1 datos preparados'!O821</f>
        <v/>
      </c>
      <c r="Q828" s="7">
        <f>'1 datos preparados'!P821</f>
        <v/>
      </c>
      <c r="R828" s="7">
        <f>'1 datos preparados'!Q821</f>
        <v/>
      </c>
      <c r="S828" s="7">
        <f>'1 datos preparados'!R821</f>
        <v/>
      </c>
      <c r="T828" s="7">
        <f>'1 datos preparados'!S821</f>
        <v/>
      </c>
      <c r="U828" s="7">
        <f>'1 datos preparados'!T821</f>
        <v/>
      </c>
      <c r="V828" s="8">
        <f>$AE$12+D828*$AE$13+E828*$AE$14+F828*$AE$15+G828*$AE$16+H828*$AE$17+I828*$AE$18+J828*$AE$19+K828*$AE$20+L828*$AE$21+M828*$AE$22+N828*$AE$23+O828*$AE$24+P828*$AE$25+Q828*$AE$26+R828*$AE$27+S828*$AE$28+T828*$AE$29+U828*$AE$30</f>
        <v/>
      </c>
      <c r="W828" s="8">
        <f>1/(1+EXP(-V828))</f>
        <v/>
      </c>
      <c r="X828" s="9">
        <f>-IF(C828=1,LN(W828),LN(1-W828))</f>
        <v/>
      </c>
      <c r="Y828" s="8">
        <f>'1 datos preparados'!V821</f>
        <v/>
      </c>
      <c r="Z828" s="9">
        <f>Y828*X828</f>
        <v/>
      </c>
      <c r="AA828" s="10">
        <f>IF(W828&gt;$AE$33,1,0)</f>
        <v/>
      </c>
      <c r="AB828">
        <f>IF(AA828=C828,1,0)</f>
        <v/>
      </c>
    </row>
    <row r="829">
      <c r="A829">
        <f>'1 datos preparados'!A822</f>
        <v/>
      </c>
      <c r="B829" s="5">
        <f>'1 datos preparados'!U822</f>
        <v/>
      </c>
      <c r="C829">
        <f>'1 datos preparados'!B822</f>
        <v/>
      </c>
      <c r="D829" s="7">
        <f>'1 datos preparados'!C822</f>
        <v/>
      </c>
      <c r="E829" s="7">
        <f>'1 datos preparados'!D822</f>
        <v/>
      </c>
      <c r="F829" s="7">
        <f>'1 datos preparados'!E822</f>
        <v/>
      </c>
      <c r="G829" s="7">
        <f>'1 datos preparados'!F822</f>
        <v/>
      </c>
      <c r="H829" s="7">
        <f>'1 datos preparados'!G822</f>
        <v/>
      </c>
      <c r="I829" s="7">
        <f>'1 datos preparados'!H822</f>
        <v/>
      </c>
      <c r="J829" s="7">
        <f>'1 datos preparados'!I822</f>
        <v/>
      </c>
      <c r="K829" s="7">
        <f>'1 datos preparados'!J822</f>
        <v/>
      </c>
      <c r="L829" s="7">
        <f>'1 datos preparados'!K822</f>
        <v/>
      </c>
      <c r="M829" s="7">
        <f>'1 datos preparados'!L822</f>
        <v/>
      </c>
      <c r="N829" s="7">
        <f>'1 datos preparados'!M822</f>
        <v/>
      </c>
      <c r="O829" s="7">
        <f>'1 datos preparados'!N822</f>
        <v/>
      </c>
      <c r="P829" s="7">
        <f>'1 datos preparados'!O822</f>
        <v/>
      </c>
      <c r="Q829" s="7">
        <f>'1 datos preparados'!P822</f>
        <v/>
      </c>
      <c r="R829" s="7">
        <f>'1 datos preparados'!Q822</f>
        <v/>
      </c>
      <c r="S829" s="7">
        <f>'1 datos preparados'!R822</f>
        <v/>
      </c>
      <c r="T829" s="7">
        <f>'1 datos preparados'!S822</f>
        <v/>
      </c>
      <c r="U829" s="7">
        <f>'1 datos preparados'!T822</f>
        <v/>
      </c>
      <c r="V829" s="8">
        <f>$AE$12+D829*$AE$13+E829*$AE$14+F829*$AE$15+G829*$AE$16+H829*$AE$17+I829*$AE$18+J829*$AE$19+K829*$AE$20+L829*$AE$21+M829*$AE$22+N829*$AE$23+O829*$AE$24+P829*$AE$25+Q829*$AE$26+R829*$AE$27+S829*$AE$28+T829*$AE$29+U829*$AE$30</f>
        <v/>
      </c>
      <c r="W829" s="8">
        <f>1/(1+EXP(-V829))</f>
        <v/>
      </c>
      <c r="X829" s="9">
        <f>-IF(C829=1,LN(W829),LN(1-W829))</f>
        <v/>
      </c>
      <c r="Y829" s="8">
        <f>'1 datos preparados'!V822</f>
        <v/>
      </c>
      <c r="Z829" s="9">
        <f>Y829*X829</f>
        <v/>
      </c>
      <c r="AA829" s="10">
        <f>IF(W829&gt;$AE$33,1,0)</f>
        <v/>
      </c>
      <c r="AB829">
        <f>IF(AA829=C829,1,0)</f>
        <v/>
      </c>
    </row>
    <row r="830">
      <c r="A830">
        <f>'1 datos preparados'!A823</f>
        <v/>
      </c>
      <c r="B830" s="5">
        <f>'1 datos preparados'!U823</f>
        <v/>
      </c>
      <c r="C830">
        <f>'1 datos preparados'!B823</f>
        <v/>
      </c>
      <c r="D830" s="7">
        <f>'1 datos preparados'!C823</f>
        <v/>
      </c>
      <c r="E830" s="7">
        <f>'1 datos preparados'!D823</f>
        <v/>
      </c>
      <c r="F830" s="7">
        <f>'1 datos preparados'!E823</f>
        <v/>
      </c>
      <c r="G830" s="7">
        <f>'1 datos preparados'!F823</f>
        <v/>
      </c>
      <c r="H830" s="7">
        <f>'1 datos preparados'!G823</f>
        <v/>
      </c>
      <c r="I830" s="7">
        <f>'1 datos preparados'!H823</f>
        <v/>
      </c>
      <c r="J830" s="7">
        <f>'1 datos preparados'!I823</f>
        <v/>
      </c>
      <c r="K830" s="7">
        <f>'1 datos preparados'!J823</f>
        <v/>
      </c>
      <c r="L830" s="7">
        <f>'1 datos preparados'!K823</f>
        <v/>
      </c>
      <c r="M830" s="7">
        <f>'1 datos preparados'!L823</f>
        <v/>
      </c>
      <c r="N830" s="7">
        <f>'1 datos preparados'!M823</f>
        <v/>
      </c>
      <c r="O830" s="7">
        <f>'1 datos preparados'!N823</f>
        <v/>
      </c>
      <c r="P830" s="7">
        <f>'1 datos preparados'!O823</f>
        <v/>
      </c>
      <c r="Q830" s="7">
        <f>'1 datos preparados'!P823</f>
        <v/>
      </c>
      <c r="R830" s="7">
        <f>'1 datos preparados'!Q823</f>
        <v/>
      </c>
      <c r="S830" s="7">
        <f>'1 datos preparados'!R823</f>
        <v/>
      </c>
      <c r="T830" s="7">
        <f>'1 datos preparados'!S823</f>
        <v/>
      </c>
      <c r="U830" s="7">
        <f>'1 datos preparados'!T823</f>
        <v/>
      </c>
      <c r="V830" s="8">
        <f>$AE$12+D830*$AE$13+E830*$AE$14+F830*$AE$15+G830*$AE$16+H830*$AE$17+I830*$AE$18+J830*$AE$19+K830*$AE$20+L830*$AE$21+M830*$AE$22+N830*$AE$23+O830*$AE$24+P830*$AE$25+Q830*$AE$26+R830*$AE$27+S830*$AE$28+T830*$AE$29+U830*$AE$30</f>
        <v/>
      </c>
      <c r="W830" s="8">
        <f>1/(1+EXP(-V830))</f>
        <v/>
      </c>
      <c r="X830" s="9">
        <f>-IF(C830=1,LN(W830),LN(1-W830))</f>
        <v/>
      </c>
      <c r="Y830" s="8">
        <f>'1 datos preparados'!V823</f>
        <v/>
      </c>
      <c r="Z830" s="9">
        <f>Y830*X830</f>
        <v/>
      </c>
      <c r="AA830" s="10">
        <f>IF(W830&gt;$AE$33,1,0)</f>
        <v/>
      </c>
      <c r="AB830">
        <f>IF(AA830=C830,1,0)</f>
        <v/>
      </c>
    </row>
    <row r="831">
      <c r="A831">
        <f>'1 datos preparados'!A824</f>
        <v/>
      </c>
      <c r="B831" s="5">
        <f>'1 datos preparados'!U824</f>
        <v/>
      </c>
      <c r="C831">
        <f>'1 datos preparados'!B824</f>
        <v/>
      </c>
      <c r="D831" s="7">
        <f>'1 datos preparados'!C824</f>
        <v/>
      </c>
      <c r="E831" s="7">
        <f>'1 datos preparados'!D824</f>
        <v/>
      </c>
      <c r="F831" s="7">
        <f>'1 datos preparados'!E824</f>
        <v/>
      </c>
      <c r="G831" s="7">
        <f>'1 datos preparados'!F824</f>
        <v/>
      </c>
      <c r="H831" s="7">
        <f>'1 datos preparados'!G824</f>
        <v/>
      </c>
      <c r="I831" s="7">
        <f>'1 datos preparados'!H824</f>
        <v/>
      </c>
      <c r="J831" s="7">
        <f>'1 datos preparados'!I824</f>
        <v/>
      </c>
      <c r="K831" s="7">
        <f>'1 datos preparados'!J824</f>
        <v/>
      </c>
      <c r="L831" s="7">
        <f>'1 datos preparados'!K824</f>
        <v/>
      </c>
      <c r="M831" s="7">
        <f>'1 datos preparados'!L824</f>
        <v/>
      </c>
      <c r="N831" s="7">
        <f>'1 datos preparados'!M824</f>
        <v/>
      </c>
      <c r="O831" s="7">
        <f>'1 datos preparados'!N824</f>
        <v/>
      </c>
      <c r="P831" s="7">
        <f>'1 datos preparados'!O824</f>
        <v/>
      </c>
      <c r="Q831" s="7">
        <f>'1 datos preparados'!P824</f>
        <v/>
      </c>
      <c r="R831" s="7">
        <f>'1 datos preparados'!Q824</f>
        <v/>
      </c>
      <c r="S831" s="7">
        <f>'1 datos preparados'!R824</f>
        <v/>
      </c>
      <c r="T831" s="7">
        <f>'1 datos preparados'!S824</f>
        <v/>
      </c>
      <c r="U831" s="7">
        <f>'1 datos preparados'!T824</f>
        <v/>
      </c>
      <c r="V831" s="8">
        <f>$AE$12+D831*$AE$13+E831*$AE$14+F831*$AE$15+G831*$AE$16+H831*$AE$17+I831*$AE$18+J831*$AE$19+K831*$AE$20+L831*$AE$21+M831*$AE$22+N831*$AE$23+O831*$AE$24+P831*$AE$25+Q831*$AE$26+R831*$AE$27+S831*$AE$28+T831*$AE$29+U831*$AE$30</f>
        <v/>
      </c>
      <c r="W831" s="8">
        <f>1/(1+EXP(-V831))</f>
        <v/>
      </c>
      <c r="X831" s="9">
        <f>-IF(C831=1,LN(W831),LN(1-W831))</f>
        <v/>
      </c>
      <c r="Y831" s="8">
        <f>'1 datos preparados'!V824</f>
        <v/>
      </c>
      <c r="Z831" s="9">
        <f>Y831*X831</f>
        <v/>
      </c>
      <c r="AA831" s="10">
        <f>IF(W831&gt;$AE$33,1,0)</f>
        <v/>
      </c>
      <c r="AB831">
        <f>IF(AA831=C831,1,0)</f>
        <v/>
      </c>
    </row>
    <row r="832">
      <c r="A832">
        <f>'1 datos preparados'!A825</f>
        <v/>
      </c>
      <c r="B832" s="5">
        <f>'1 datos preparados'!U825</f>
        <v/>
      </c>
      <c r="C832">
        <f>'1 datos preparados'!B825</f>
        <v/>
      </c>
      <c r="D832" s="7">
        <f>'1 datos preparados'!C825</f>
        <v/>
      </c>
      <c r="E832" s="7">
        <f>'1 datos preparados'!D825</f>
        <v/>
      </c>
      <c r="F832" s="7">
        <f>'1 datos preparados'!E825</f>
        <v/>
      </c>
      <c r="G832" s="7">
        <f>'1 datos preparados'!F825</f>
        <v/>
      </c>
      <c r="H832" s="7">
        <f>'1 datos preparados'!G825</f>
        <v/>
      </c>
      <c r="I832" s="7">
        <f>'1 datos preparados'!H825</f>
        <v/>
      </c>
      <c r="J832" s="7">
        <f>'1 datos preparados'!I825</f>
        <v/>
      </c>
      <c r="K832" s="7">
        <f>'1 datos preparados'!J825</f>
        <v/>
      </c>
      <c r="L832" s="7">
        <f>'1 datos preparados'!K825</f>
        <v/>
      </c>
      <c r="M832" s="7">
        <f>'1 datos preparados'!L825</f>
        <v/>
      </c>
      <c r="N832" s="7">
        <f>'1 datos preparados'!M825</f>
        <v/>
      </c>
      <c r="O832" s="7">
        <f>'1 datos preparados'!N825</f>
        <v/>
      </c>
      <c r="P832" s="7">
        <f>'1 datos preparados'!O825</f>
        <v/>
      </c>
      <c r="Q832" s="7">
        <f>'1 datos preparados'!P825</f>
        <v/>
      </c>
      <c r="R832" s="7">
        <f>'1 datos preparados'!Q825</f>
        <v/>
      </c>
      <c r="S832" s="7">
        <f>'1 datos preparados'!R825</f>
        <v/>
      </c>
      <c r="T832" s="7">
        <f>'1 datos preparados'!S825</f>
        <v/>
      </c>
      <c r="U832" s="7">
        <f>'1 datos preparados'!T825</f>
        <v/>
      </c>
      <c r="V832" s="8">
        <f>$AE$12+D832*$AE$13+E832*$AE$14+F832*$AE$15+G832*$AE$16+H832*$AE$17+I832*$AE$18+J832*$AE$19+K832*$AE$20+L832*$AE$21+M832*$AE$22+N832*$AE$23+O832*$AE$24+P832*$AE$25+Q832*$AE$26+R832*$AE$27+S832*$AE$28+T832*$AE$29+U832*$AE$30</f>
        <v/>
      </c>
      <c r="W832" s="8">
        <f>1/(1+EXP(-V832))</f>
        <v/>
      </c>
      <c r="X832" s="9">
        <f>-IF(C832=1,LN(W832),LN(1-W832))</f>
        <v/>
      </c>
      <c r="Y832" s="8">
        <f>'1 datos preparados'!V825</f>
        <v/>
      </c>
      <c r="Z832" s="9">
        <f>Y832*X832</f>
        <v/>
      </c>
      <c r="AA832" s="10">
        <f>IF(W832&gt;$AE$33,1,0)</f>
        <v/>
      </c>
      <c r="AB832">
        <f>IF(AA832=C832,1,0)</f>
        <v/>
      </c>
    </row>
    <row r="833">
      <c r="A833">
        <f>'1 datos preparados'!A826</f>
        <v/>
      </c>
      <c r="B833" s="5">
        <f>'1 datos preparados'!U826</f>
        <v/>
      </c>
      <c r="C833">
        <f>'1 datos preparados'!B826</f>
        <v/>
      </c>
      <c r="D833" s="7">
        <f>'1 datos preparados'!C826</f>
        <v/>
      </c>
      <c r="E833" s="7">
        <f>'1 datos preparados'!D826</f>
        <v/>
      </c>
      <c r="F833" s="7">
        <f>'1 datos preparados'!E826</f>
        <v/>
      </c>
      <c r="G833" s="7">
        <f>'1 datos preparados'!F826</f>
        <v/>
      </c>
      <c r="H833" s="7">
        <f>'1 datos preparados'!G826</f>
        <v/>
      </c>
      <c r="I833" s="7">
        <f>'1 datos preparados'!H826</f>
        <v/>
      </c>
      <c r="J833" s="7">
        <f>'1 datos preparados'!I826</f>
        <v/>
      </c>
      <c r="K833" s="7">
        <f>'1 datos preparados'!J826</f>
        <v/>
      </c>
      <c r="L833" s="7">
        <f>'1 datos preparados'!K826</f>
        <v/>
      </c>
      <c r="M833" s="7">
        <f>'1 datos preparados'!L826</f>
        <v/>
      </c>
      <c r="N833" s="7">
        <f>'1 datos preparados'!M826</f>
        <v/>
      </c>
      <c r="O833" s="7">
        <f>'1 datos preparados'!N826</f>
        <v/>
      </c>
      <c r="P833" s="7">
        <f>'1 datos preparados'!O826</f>
        <v/>
      </c>
      <c r="Q833" s="7">
        <f>'1 datos preparados'!P826</f>
        <v/>
      </c>
      <c r="R833" s="7">
        <f>'1 datos preparados'!Q826</f>
        <v/>
      </c>
      <c r="S833" s="7">
        <f>'1 datos preparados'!R826</f>
        <v/>
      </c>
      <c r="T833" s="7">
        <f>'1 datos preparados'!S826</f>
        <v/>
      </c>
      <c r="U833" s="7">
        <f>'1 datos preparados'!T826</f>
        <v/>
      </c>
      <c r="V833" s="8">
        <f>$AE$12+D833*$AE$13+E833*$AE$14+F833*$AE$15+G833*$AE$16+H833*$AE$17+I833*$AE$18+J833*$AE$19+K833*$AE$20+L833*$AE$21+M833*$AE$22+N833*$AE$23+O833*$AE$24+P833*$AE$25+Q833*$AE$26+R833*$AE$27+S833*$AE$28+T833*$AE$29+U833*$AE$30</f>
        <v/>
      </c>
      <c r="W833" s="8">
        <f>1/(1+EXP(-V833))</f>
        <v/>
      </c>
      <c r="X833" s="9">
        <f>-IF(C833=1,LN(W833),LN(1-W833))</f>
        <v/>
      </c>
      <c r="Y833" s="8">
        <f>'1 datos preparados'!V826</f>
        <v/>
      </c>
      <c r="Z833" s="9">
        <f>Y833*X833</f>
        <v/>
      </c>
      <c r="AA833" s="10">
        <f>IF(W833&gt;$AE$33,1,0)</f>
        <v/>
      </c>
      <c r="AB833">
        <f>IF(AA833=C833,1,0)</f>
        <v/>
      </c>
    </row>
    <row r="834">
      <c r="A834">
        <f>'1 datos preparados'!A827</f>
        <v/>
      </c>
      <c r="B834" s="5">
        <f>'1 datos preparados'!U827</f>
        <v/>
      </c>
      <c r="C834">
        <f>'1 datos preparados'!B827</f>
        <v/>
      </c>
      <c r="D834" s="7">
        <f>'1 datos preparados'!C827</f>
        <v/>
      </c>
      <c r="E834" s="7">
        <f>'1 datos preparados'!D827</f>
        <v/>
      </c>
      <c r="F834" s="7">
        <f>'1 datos preparados'!E827</f>
        <v/>
      </c>
      <c r="G834" s="7">
        <f>'1 datos preparados'!F827</f>
        <v/>
      </c>
      <c r="H834" s="7">
        <f>'1 datos preparados'!G827</f>
        <v/>
      </c>
      <c r="I834" s="7">
        <f>'1 datos preparados'!H827</f>
        <v/>
      </c>
      <c r="J834" s="7">
        <f>'1 datos preparados'!I827</f>
        <v/>
      </c>
      <c r="K834" s="7">
        <f>'1 datos preparados'!J827</f>
        <v/>
      </c>
      <c r="L834" s="7">
        <f>'1 datos preparados'!K827</f>
        <v/>
      </c>
      <c r="M834" s="7">
        <f>'1 datos preparados'!L827</f>
        <v/>
      </c>
      <c r="N834" s="7">
        <f>'1 datos preparados'!M827</f>
        <v/>
      </c>
      <c r="O834" s="7">
        <f>'1 datos preparados'!N827</f>
        <v/>
      </c>
      <c r="P834" s="7">
        <f>'1 datos preparados'!O827</f>
        <v/>
      </c>
      <c r="Q834" s="7">
        <f>'1 datos preparados'!P827</f>
        <v/>
      </c>
      <c r="R834" s="7">
        <f>'1 datos preparados'!Q827</f>
        <v/>
      </c>
      <c r="S834" s="7">
        <f>'1 datos preparados'!R827</f>
        <v/>
      </c>
      <c r="T834" s="7">
        <f>'1 datos preparados'!S827</f>
        <v/>
      </c>
      <c r="U834" s="7">
        <f>'1 datos preparados'!T827</f>
        <v/>
      </c>
      <c r="V834" s="8">
        <f>$AE$12+D834*$AE$13+E834*$AE$14+F834*$AE$15+G834*$AE$16+H834*$AE$17+I834*$AE$18+J834*$AE$19+K834*$AE$20+L834*$AE$21+M834*$AE$22+N834*$AE$23+O834*$AE$24+P834*$AE$25+Q834*$AE$26+R834*$AE$27+S834*$AE$28+T834*$AE$29+U834*$AE$30</f>
        <v/>
      </c>
      <c r="W834" s="8">
        <f>1/(1+EXP(-V834))</f>
        <v/>
      </c>
      <c r="X834" s="9">
        <f>-IF(C834=1,LN(W834),LN(1-W834))</f>
        <v/>
      </c>
      <c r="Y834" s="8">
        <f>'1 datos preparados'!V827</f>
        <v/>
      </c>
      <c r="Z834" s="9">
        <f>Y834*X834</f>
        <v/>
      </c>
      <c r="AA834" s="10">
        <f>IF(W834&gt;$AE$33,1,0)</f>
        <v/>
      </c>
      <c r="AB834">
        <f>IF(AA834=C834,1,0)</f>
        <v/>
      </c>
    </row>
    <row r="835">
      <c r="A835">
        <f>'1 datos preparados'!A828</f>
        <v/>
      </c>
      <c r="B835" s="5">
        <f>'1 datos preparados'!U828</f>
        <v/>
      </c>
      <c r="C835">
        <f>'1 datos preparados'!B828</f>
        <v/>
      </c>
      <c r="D835" s="7">
        <f>'1 datos preparados'!C828</f>
        <v/>
      </c>
      <c r="E835" s="7">
        <f>'1 datos preparados'!D828</f>
        <v/>
      </c>
      <c r="F835" s="7">
        <f>'1 datos preparados'!E828</f>
        <v/>
      </c>
      <c r="G835" s="7">
        <f>'1 datos preparados'!F828</f>
        <v/>
      </c>
      <c r="H835" s="7">
        <f>'1 datos preparados'!G828</f>
        <v/>
      </c>
      <c r="I835" s="7">
        <f>'1 datos preparados'!H828</f>
        <v/>
      </c>
      <c r="J835" s="7">
        <f>'1 datos preparados'!I828</f>
        <v/>
      </c>
      <c r="K835" s="7">
        <f>'1 datos preparados'!J828</f>
        <v/>
      </c>
      <c r="L835" s="7">
        <f>'1 datos preparados'!K828</f>
        <v/>
      </c>
      <c r="M835" s="7">
        <f>'1 datos preparados'!L828</f>
        <v/>
      </c>
      <c r="N835" s="7">
        <f>'1 datos preparados'!M828</f>
        <v/>
      </c>
      <c r="O835" s="7">
        <f>'1 datos preparados'!N828</f>
        <v/>
      </c>
      <c r="P835" s="7">
        <f>'1 datos preparados'!O828</f>
        <v/>
      </c>
      <c r="Q835" s="7">
        <f>'1 datos preparados'!P828</f>
        <v/>
      </c>
      <c r="R835" s="7">
        <f>'1 datos preparados'!Q828</f>
        <v/>
      </c>
      <c r="S835" s="7">
        <f>'1 datos preparados'!R828</f>
        <v/>
      </c>
      <c r="T835" s="7">
        <f>'1 datos preparados'!S828</f>
        <v/>
      </c>
      <c r="U835" s="7">
        <f>'1 datos preparados'!T828</f>
        <v/>
      </c>
      <c r="V835" s="8">
        <f>$AE$12+D835*$AE$13+E835*$AE$14+F835*$AE$15+G835*$AE$16+H835*$AE$17+I835*$AE$18+J835*$AE$19+K835*$AE$20+L835*$AE$21+M835*$AE$22+N835*$AE$23+O835*$AE$24+P835*$AE$25+Q835*$AE$26+R835*$AE$27+S835*$AE$28+T835*$AE$29+U835*$AE$30</f>
        <v/>
      </c>
      <c r="W835" s="8">
        <f>1/(1+EXP(-V835))</f>
        <v/>
      </c>
      <c r="X835" s="9">
        <f>-IF(C835=1,LN(W835),LN(1-W835))</f>
        <v/>
      </c>
      <c r="Y835" s="8">
        <f>'1 datos preparados'!V828</f>
        <v/>
      </c>
      <c r="Z835" s="9">
        <f>Y835*X835</f>
        <v/>
      </c>
      <c r="AA835" s="10">
        <f>IF(W835&gt;$AE$33,1,0)</f>
        <v/>
      </c>
      <c r="AB835">
        <f>IF(AA835=C835,1,0)</f>
        <v/>
      </c>
    </row>
    <row r="836">
      <c r="A836">
        <f>'1 datos preparados'!A829</f>
        <v/>
      </c>
      <c r="B836" s="5">
        <f>'1 datos preparados'!U829</f>
        <v/>
      </c>
      <c r="C836">
        <f>'1 datos preparados'!B829</f>
        <v/>
      </c>
      <c r="D836" s="7">
        <f>'1 datos preparados'!C829</f>
        <v/>
      </c>
      <c r="E836" s="7">
        <f>'1 datos preparados'!D829</f>
        <v/>
      </c>
      <c r="F836" s="7">
        <f>'1 datos preparados'!E829</f>
        <v/>
      </c>
      <c r="G836" s="7">
        <f>'1 datos preparados'!F829</f>
        <v/>
      </c>
      <c r="H836" s="7">
        <f>'1 datos preparados'!G829</f>
        <v/>
      </c>
      <c r="I836" s="7">
        <f>'1 datos preparados'!H829</f>
        <v/>
      </c>
      <c r="J836" s="7">
        <f>'1 datos preparados'!I829</f>
        <v/>
      </c>
      <c r="K836" s="7">
        <f>'1 datos preparados'!J829</f>
        <v/>
      </c>
      <c r="L836" s="7">
        <f>'1 datos preparados'!K829</f>
        <v/>
      </c>
      <c r="M836" s="7">
        <f>'1 datos preparados'!L829</f>
        <v/>
      </c>
      <c r="N836" s="7">
        <f>'1 datos preparados'!M829</f>
        <v/>
      </c>
      <c r="O836" s="7">
        <f>'1 datos preparados'!N829</f>
        <v/>
      </c>
      <c r="P836" s="7">
        <f>'1 datos preparados'!O829</f>
        <v/>
      </c>
      <c r="Q836" s="7">
        <f>'1 datos preparados'!P829</f>
        <v/>
      </c>
      <c r="R836" s="7">
        <f>'1 datos preparados'!Q829</f>
        <v/>
      </c>
      <c r="S836" s="7">
        <f>'1 datos preparados'!R829</f>
        <v/>
      </c>
      <c r="T836" s="7">
        <f>'1 datos preparados'!S829</f>
        <v/>
      </c>
      <c r="U836" s="7">
        <f>'1 datos preparados'!T829</f>
        <v/>
      </c>
      <c r="V836" s="8">
        <f>$AE$12+D836*$AE$13+E836*$AE$14+F836*$AE$15+G836*$AE$16+H836*$AE$17+I836*$AE$18+J836*$AE$19+K836*$AE$20+L836*$AE$21+M836*$AE$22+N836*$AE$23+O836*$AE$24+P836*$AE$25+Q836*$AE$26+R836*$AE$27+S836*$AE$28+T836*$AE$29+U836*$AE$30</f>
        <v/>
      </c>
      <c r="W836" s="8">
        <f>1/(1+EXP(-V836))</f>
        <v/>
      </c>
      <c r="X836" s="9">
        <f>-IF(C836=1,LN(W836),LN(1-W836))</f>
        <v/>
      </c>
      <c r="Y836" s="8">
        <f>'1 datos preparados'!V829</f>
        <v/>
      </c>
      <c r="Z836" s="9">
        <f>Y836*X836</f>
        <v/>
      </c>
      <c r="AA836" s="10">
        <f>IF(W836&gt;$AE$33,1,0)</f>
        <v/>
      </c>
      <c r="AB836">
        <f>IF(AA836=C836,1,0)</f>
        <v/>
      </c>
    </row>
    <row r="837">
      <c r="A837">
        <f>'1 datos preparados'!A830</f>
        <v/>
      </c>
      <c r="B837" s="5">
        <f>'1 datos preparados'!U830</f>
        <v/>
      </c>
      <c r="C837">
        <f>'1 datos preparados'!B830</f>
        <v/>
      </c>
      <c r="D837" s="7">
        <f>'1 datos preparados'!C830</f>
        <v/>
      </c>
      <c r="E837" s="7">
        <f>'1 datos preparados'!D830</f>
        <v/>
      </c>
      <c r="F837" s="7">
        <f>'1 datos preparados'!E830</f>
        <v/>
      </c>
      <c r="G837" s="7">
        <f>'1 datos preparados'!F830</f>
        <v/>
      </c>
      <c r="H837" s="7">
        <f>'1 datos preparados'!G830</f>
        <v/>
      </c>
      <c r="I837" s="7">
        <f>'1 datos preparados'!H830</f>
        <v/>
      </c>
      <c r="J837" s="7">
        <f>'1 datos preparados'!I830</f>
        <v/>
      </c>
      <c r="K837" s="7">
        <f>'1 datos preparados'!J830</f>
        <v/>
      </c>
      <c r="L837" s="7">
        <f>'1 datos preparados'!K830</f>
        <v/>
      </c>
      <c r="M837" s="7">
        <f>'1 datos preparados'!L830</f>
        <v/>
      </c>
      <c r="N837" s="7">
        <f>'1 datos preparados'!M830</f>
        <v/>
      </c>
      <c r="O837" s="7">
        <f>'1 datos preparados'!N830</f>
        <v/>
      </c>
      <c r="P837" s="7">
        <f>'1 datos preparados'!O830</f>
        <v/>
      </c>
      <c r="Q837" s="7">
        <f>'1 datos preparados'!P830</f>
        <v/>
      </c>
      <c r="R837" s="7">
        <f>'1 datos preparados'!Q830</f>
        <v/>
      </c>
      <c r="S837" s="7">
        <f>'1 datos preparados'!R830</f>
        <v/>
      </c>
      <c r="T837" s="7">
        <f>'1 datos preparados'!S830</f>
        <v/>
      </c>
      <c r="U837" s="7">
        <f>'1 datos preparados'!T830</f>
        <v/>
      </c>
      <c r="V837" s="8">
        <f>$AE$12+D837*$AE$13+E837*$AE$14+F837*$AE$15+G837*$AE$16+H837*$AE$17+I837*$AE$18+J837*$AE$19+K837*$AE$20+L837*$AE$21+M837*$AE$22+N837*$AE$23+O837*$AE$24+P837*$AE$25+Q837*$AE$26+R837*$AE$27+S837*$AE$28+T837*$AE$29+U837*$AE$30</f>
        <v/>
      </c>
      <c r="W837" s="8">
        <f>1/(1+EXP(-V837))</f>
        <v/>
      </c>
      <c r="X837" s="9">
        <f>-IF(C837=1,LN(W837),LN(1-W837))</f>
        <v/>
      </c>
      <c r="Y837" s="8">
        <f>'1 datos preparados'!V830</f>
        <v/>
      </c>
      <c r="Z837" s="9">
        <f>Y837*X837</f>
        <v/>
      </c>
      <c r="AA837" s="10">
        <f>IF(W837&gt;$AE$33,1,0)</f>
        <v/>
      </c>
      <c r="AB837">
        <f>IF(AA837=C837,1,0)</f>
        <v/>
      </c>
    </row>
    <row r="838">
      <c r="A838">
        <f>'1 datos preparados'!A831</f>
        <v/>
      </c>
      <c r="B838" s="5">
        <f>'1 datos preparados'!U831</f>
        <v/>
      </c>
      <c r="C838">
        <f>'1 datos preparados'!B831</f>
        <v/>
      </c>
      <c r="D838" s="7">
        <f>'1 datos preparados'!C831</f>
        <v/>
      </c>
      <c r="E838" s="7">
        <f>'1 datos preparados'!D831</f>
        <v/>
      </c>
      <c r="F838" s="7">
        <f>'1 datos preparados'!E831</f>
        <v/>
      </c>
      <c r="G838" s="7">
        <f>'1 datos preparados'!F831</f>
        <v/>
      </c>
      <c r="H838" s="7">
        <f>'1 datos preparados'!G831</f>
        <v/>
      </c>
      <c r="I838" s="7">
        <f>'1 datos preparados'!H831</f>
        <v/>
      </c>
      <c r="J838" s="7">
        <f>'1 datos preparados'!I831</f>
        <v/>
      </c>
      <c r="K838" s="7">
        <f>'1 datos preparados'!J831</f>
        <v/>
      </c>
      <c r="L838" s="7">
        <f>'1 datos preparados'!K831</f>
        <v/>
      </c>
      <c r="M838" s="7">
        <f>'1 datos preparados'!L831</f>
        <v/>
      </c>
      <c r="N838" s="7">
        <f>'1 datos preparados'!M831</f>
        <v/>
      </c>
      <c r="O838" s="7">
        <f>'1 datos preparados'!N831</f>
        <v/>
      </c>
      <c r="P838" s="7">
        <f>'1 datos preparados'!O831</f>
        <v/>
      </c>
      <c r="Q838" s="7">
        <f>'1 datos preparados'!P831</f>
        <v/>
      </c>
      <c r="R838" s="7">
        <f>'1 datos preparados'!Q831</f>
        <v/>
      </c>
      <c r="S838" s="7">
        <f>'1 datos preparados'!R831</f>
        <v/>
      </c>
      <c r="T838" s="7">
        <f>'1 datos preparados'!S831</f>
        <v/>
      </c>
      <c r="U838" s="7">
        <f>'1 datos preparados'!T831</f>
        <v/>
      </c>
      <c r="V838" s="8">
        <f>$AE$12+D838*$AE$13+E838*$AE$14+F838*$AE$15+G838*$AE$16+H838*$AE$17+I838*$AE$18+J838*$AE$19+K838*$AE$20+L838*$AE$21+M838*$AE$22+N838*$AE$23+O838*$AE$24+P838*$AE$25+Q838*$AE$26+R838*$AE$27+S838*$AE$28+T838*$AE$29+U838*$AE$30</f>
        <v/>
      </c>
      <c r="W838" s="8">
        <f>1/(1+EXP(-V838))</f>
        <v/>
      </c>
      <c r="X838" s="9">
        <f>-IF(C838=1,LN(W838),LN(1-W838))</f>
        <v/>
      </c>
      <c r="Y838" s="8">
        <f>'1 datos preparados'!V831</f>
        <v/>
      </c>
      <c r="Z838" s="9">
        <f>Y838*X838</f>
        <v/>
      </c>
      <c r="AA838" s="10">
        <f>IF(W838&gt;$AE$33,1,0)</f>
        <v/>
      </c>
      <c r="AB838">
        <f>IF(AA838=C838,1,0)</f>
        <v/>
      </c>
    </row>
    <row r="839">
      <c r="A839">
        <f>'1 datos preparados'!A832</f>
        <v/>
      </c>
      <c r="B839" s="5">
        <f>'1 datos preparados'!U832</f>
        <v/>
      </c>
      <c r="C839">
        <f>'1 datos preparados'!B832</f>
        <v/>
      </c>
      <c r="D839" s="7">
        <f>'1 datos preparados'!C832</f>
        <v/>
      </c>
      <c r="E839" s="7">
        <f>'1 datos preparados'!D832</f>
        <v/>
      </c>
      <c r="F839" s="7">
        <f>'1 datos preparados'!E832</f>
        <v/>
      </c>
      <c r="G839" s="7">
        <f>'1 datos preparados'!F832</f>
        <v/>
      </c>
      <c r="H839" s="7">
        <f>'1 datos preparados'!G832</f>
        <v/>
      </c>
      <c r="I839" s="7">
        <f>'1 datos preparados'!H832</f>
        <v/>
      </c>
      <c r="J839" s="7">
        <f>'1 datos preparados'!I832</f>
        <v/>
      </c>
      <c r="K839" s="7">
        <f>'1 datos preparados'!J832</f>
        <v/>
      </c>
      <c r="L839" s="7">
        <f>'1 datos preparados'!K832</f>
        <v/>
      </c>
      <c r="M839" s="7">
        <f>'1 datos preparados'!L832</f>
        <v/>
      </c>
      <c r="N839" s="7">
        <f>'1 datos preparados'!M832</f>
        <v/>
      </c>
      <c r="O839" s="7">
        <f>'1 datos preparados'!N832</f>
        <v/>
      </c>
      <c r="P839" s="7">
        <f>'1 datos preparados'!O832</f>
        <v/>
      </c>
      <c r="Q839" s="7">
        <f>'1 datos preparados'!P832</f>
        <v/>
      </c>
      <c r="R839" s="7">
        <f>'1 datos preparados'!Q832</f>
        <v/>
      </c>
      <c r="S839" s="7">
        <f>'1 datos preparados'!R832</f>
        <v/>
      </c>
      <c r="T839" s="7">
        <f>'1 datos preparados'!S832</f>
        <v/>
      </c>
      <c r="U839" s="7">
        <f>'1 datos preparados'!T832</f>
        <v/>
      </c>
      <c r="V839" s="8">
        <f>$AE$12+D839*$AE$13+E839*$AE$14+F839*$AE$15+G839*$AE$16+H839*$AE$17+I839*$AE$18+J839*$AE$19+K839*$AE$20+L839*$AE$21+M839*$AE$22+N839*$AE$23+O839*$AE$24+P839*$AE$25+Q839*$AE$26+R839*$AE$27+S839*$AE$28+T839*$AE$29+U839*$AE$30</f>
        <v/>
      </c>
      <c r="W839" s="8">
        <f>1/(1+EXP(-V839))</f>
        <v/>
      </c>
      <c r="X839" s="9">
        <f>-IF(C839=1,LN(W839),LN(1-W839))</f>
        <v/>
      </c>
      <c r="Y839" s="8">
        <f>'1 datos preparados'!V832</f>
        <v/>
      </c>
      <c r="Z839" s="9">
        <f>Y839*X839</f>
        <v/>
      </c>
      <c r="AA839" s="10">
        <f>IF(W839&gt;$AE$33,1,0)</f>
        <v/>
      </c>
      <c r="AB839">
        <f>IF(AA839=C839,1,0)</f>
        <v/>
      </c>
    </row>
    <row r="840">
      <c r="A840">
        <f>'1 datos preparados'!A833</f>
        <v/>
      </c>
      <c r="B840" s="5">
        <f>'1 datos preparados'!U833</f>
        <v/>
      </c>
      <c r="C840">
        <f>'1 datos preparados'!B833</f>
        <v/>
      </c>
      <c r="D840" s="7">
        <f>'1 datos preparados'!C833</f>
        <v/>
      </c>
      <c r="E840" s="7">
        <f>'1 datos preparados'!D833</f>
        <v/>
      </c>
      <c r="F840" s="7">
        <f>'1 datos preparados'!E833</f>
        <v/>
      </c>
      <c r="G840" s="7">
        <f>'1 datos preparados'!F833</f>
        <v/>
      </c>
      <c r="H840" s="7">
        <f>'1 datos preparados'!G833</f>
        <v/>
      </c>
      <c r="I840" s="7">
        <f>'1 datos preparados'!H833</f>
        <v/>
      </c>
      <c r="J840" s="7">
        <f>'1 datos preparados'!I833</f>
        <v/>
      </c>
      <c r="K840" s="7">
        <f>'1 datos preparados'!J833</f>
        <v/>
      </c>
      <c r="L840" s="7">
        <f>'1 datos preparados'!K833</f>
        <v/>
      </c>
      <c r="M840" s="7">
        <f>'1 datos preparados'!L833</f>
        <v/>
      </c>
      <c r="N840" s="7">
        <f>'1 datos preparados'!M833</f>
        <v/>
      </c>
      <c r="O840" s="7">
        <f>'1 datos preparados'!N833</f>
        <v/>
      </c>
      <c r="P840" s="7">
        <f>'1 datos preparados'!O833</f>
        <v/>
      </c>
      <c r="Q840" s="7">
        <f>'1 datos preparados'!P833</f>
        <v/>
      </c>
      <c r="R840" s="7">
        <f>'1 datos preparados'!Q833</f>
        <v/>
      </c>
      <c r="S840" s="7">
        <f>'1 datos preparados'!R833</f>
        <v/>
      </c>
      <c r="T840" s="7">
        <f>'1 datos preparados'!S833</f>
        <v/>
      </c>
      <c r="U840" s="7">
        <f>'1 datos preparados'!T833</f>
        <v/>
      </c>
      <c r="V840" s="8">
        <f>$AE$12+D840*$AE$13+E840*$AE$14+F840*$AE$15+G840*$AE$16+H840*$AE$17+I840*$AE$18+J840*$AE$19+K840*$AE$20+L840*$AE$21+M840*$AE$22+N840*$AE$23+O840*$AE$24+P840*$AE$25+Q840*$AE$26+R840*$AE$27+S840*$AE$28+T840*$AE$29+U840*$AE$30</f>
        <v/>
      </c>
      <c r="W840" s="8">
        <f>1/(1+EXP(-V840))</f>
        <v/>
      </c>
      <c r="X840" s="9">
        <f>-IF(C840=1,LN(W840),LN(1-W840))</f>
        <v/>
      </c>
      <c r="Y840" s="8">
        <f>'1 datos preparados'!V833</f>
        <v/>
      </c>
      <c r="Z840" s="9">
        <f>Y840*X840</f>
        <v/>
      </c>
      <c r="AA840" s="10">
        <f>IF(W840&gt;$AE$33,1,0)</f>
        <v/>
      </c>
      <c r="AB840">
        <f>IF(AA840=C840,1,0)</f>
        <v/>
      </c>
    </row>
    <row r="841">
      <c r="A841">
        <f>'1 datos preparados'!A834</f>
        <v/>
      </c>
      <c r="B841" s="5">
        <f>'1 datos preparados'!U834</f>
        <v/>
      </c>
      <c r="C841">
        <f>'1 datos preparados'!B834</f>
        <v/>
      </c>
      <c r="D841" s="7">
        <f>'1 datos preparados'!C834</f>
        <v/>
      </c>
      <c r="E841" s="7">
        <f>'1 datos preparados'!D834</f>
        <v/>
      </c>
      <c r="F841" s="7">
        <f>'1 datos preparados'!E834</f>
        <v/>
      </c>
      <c r="G841" s="7">
        <f>'1 datos preparados'!F834</f>
        <v/>
      </c>
      <c r="H841" s="7">
        <f>'1 datos preparados'!G834</f>
        <v/>
      </c>
      <c r="I841" s="7">
        <f>'1 datos preparados'!H834</f>
        <v/>
      </c>
      <c r="J841" s="7">
        <f>'1 datos preparados'!I834</f>
        <v/>
      </c>
      <c r="K841" s="7">
        <f>'1 datos preparados'!J834</f>
        <v/>
      </c>
      <c r="L841" s="7">
        <f>'1 datos preparados'!K834</f>
        <v/>
      </c>
      <c r="M841" s="7">
        <f>'1 datos preparados'!L834</f>
        <v/>
      </c>
      <c r="N841" s="7">
        <f>'1 datos preparados'!M834</f>
        <v/>
      </c>
      <c r="O841" s="7">
        <f>'1 datos preparados'!N834</f>
        <v/>
      </c>
      <c r="P841" s="7">
        <f>'1 datos preparados'!O834</f>
        <v/>
      </c>
      <c r="Q841" s="7">
        <f>'1 datos preparados'!P834</f>
        <v/>
      </c>
      <c r="R841" s="7">
        <f>'1 datos preparados'!Q834</f>
        <v/>
      </c>
      <c r="S841" s="7">
        <f>'1 datos preparados'!R834</f>
        <v/>
      </c>
      <c r="T841" s="7">
        <f>'1 datos preparados'!S834</f>
        <v/>
      </c>
      <c r="U841" s="7">
        <f>'1 datos preparados'!T834</f>
        <v/>
      </c>
      <c r="V841" s="8">
        <f>$AE$12+D841*$AE$13+E841*$AE$14+F841*$AE$15+G841*$AE$16+H841*$AE$17+I841*$AE$18+J841*$AE$19+K841*$AE$20+L841*$AE$21+M841*$AE$22+N841*$AE$23+O841*$AE$24+P841*$AE$25+Q841*$AE$26+R841*$AE$27+S841*$AE$28+T841*$AE$29+U841*$AE$30</f>
        <v/>
      </c>
      <c r="W841" s="8">
        <f>1/(1+EXP(-V841))</f>
        <v/>
      </c>
      <c r="X841" s="9">
        <f>-IF(C841=1,LN(W841),LN(1-W841))</f>
        <v/>
      </c>
      <c r="Y841" s="8">
        <f>'1 datos preparados'!V834</f>
        <v/>
      </c>
      <c r="Z841" s="9">
        <f>Y841*X841</f>
        <v/>
      </c>
      <c r="AA841" s="10">
        <f>IF(W841&gt;$AE$33,1,0)</f>
        <v/>
      </c>
      <c r="AB841">
        <f>IF(AA841=C841,1,0)</f>
        <v/>
      </c>
    </row>
    <row r="842">
      <c r="A842">
        <f>'1 datos preparados'!A835</f>
        <v/>
      </c>
      <c r="B842" s="5">
        <f>'1 datos preparados'!U835</f>
        <v/>
      </c>
      <c r="C842">
        <f>'1 datos preparados'!B835</f>
        <v/>
      </c>
      <c r="D842" s="7">
        <f>'1 datos preparados'!C835</f>
        <v/>
      </c>
      <c r="E842" s="7">
        <f>'1 datos preparados'!D835</f>
        <v/>
      </c>
      <c r="F842" s="7">
        <f>'1 datos preparados'!E835</f>
        <v/>
      </c>
      <c r="G842" s="7">
        <f>'1 datos preparados'!F835</f>
        <v/>
      </c>
      <c r="H842" s="7">
        <f>'1 datos preparados'!G835</f>
        <v/>
      </c>
      <c r="I842" s="7">
        <f>'1 datos preparados'!H835</f>
        <v/>
      </c>
      <c r="J842" s="7">
        <f>'1 datos preparados'!I835</f>
        <v/>
      </c>
      <c r="K842" s="7">
        <f>'1 datos preparados'!J835</f>
        <v/>
      </c>
      <c r="L842" s="7">
        <f>'1 datos preparados'!K835</f>
        <v/>
      </c>
      <c r="M842" s="7">
        <f>'1 datos preparados'!L835</f>
        <v/>
      </c>
      <c r="N842" s="7">
        <f>'1 datos preparados'!M835</f>
        <v/>
      </c>
      <c r="O842" s="7">
        <f>'1 datos preparados'!N835</f>
        <v/>
      </c>
      <c r="P842" s="7">
        <f>'1 datos preparados'!O835</f>
        <v/>
      </c>
      <c r="Q842" s="7">
        <f>'1 datos preparados'!P835</f>
        <v/>
      </c>
      <c r="R842" s="7">
        <f>'1 datos preparados'!Q835</f>
        <v/>
      </c>
      <c r="S842" s="7">
        <f>'1 datos preparados'!R835</f>
        <v/>
      </c>
      <c r="T842" s="7">
        <f>'1 datos preparados'!S835</f>
        <v/>
      </c>
      <c r="U842" s="7">
        <f>'1 datos preparados'!T835</f>
        <v/>
      </c>
      <c r="V842" s="8">
        <f>$AE$12+D842*$AE$13+E842*$AE$14+F842*$AE$15+G842*$AE$16+H842*$AE$17+I842*$AE$18+J842*$AE$19+K842*$AE$20+L842*$AE$21+M842*$AE$22+N842*$AE$23+O842*$AE$24+P842*$AE$25+Q842*$AE$26+R842*$AE$27+S842*$AE$28+T842*$AE$29+U842*$AE$30</f>
        <v/>
      </c>
      <c r="W842" s="8">
        <f>1/(1+EXP(-V842))</f>
        <v/>
      </c>
      <c r="X842" s="9">
        <f>-IF(C842=1,LN(W842),LN(1-W842))</f>
        <v/>
      </c>
      <c r="Y842" s="8">
        <f>'1 datos preparados'!V835</f>
        <v/>
      </c>
      <c r="Z842" s="9">
        <f>Y842*X842</f>
        <v/>
      </c>
      <c r="AA842" s="10">
        <f>IF(W842&gt;$AE$33,1,0)</f>
        <v/>
      </c>
      <c r="AB842">
        <f>IF(AA842=C842,1,0)</f>
        <v/>
      </c>
    </row>
    <row r="843">
      <c r="A843">
        <f>'1 datos preparados'!A836</f>
        <v/>
      </c>
      <c r="B843" s="5">
        <f>'1 datos preparados'!U836</f>
        <v/>
      </c>
      <c r="C843">
        <f>'1 datos preparados'!B836</f>
        <v/>
      </c>
      <c r="D843" s="7">
        <f>'1 datos preparados'!C836</f>
        <v/>
      </c>
      <c r="E843" s="7">
        <f>'1 datos preparados'!D836</f>
        <v/>
      </c>
      <c r="F843" s="7">
        <f>'1 datos preparados'!E836</f>
        <v/>
      </c>
      <c r="G843" s="7">
        <f>'1 datos preparados'!F836</f>
        <v/>
      </c>
      <c r="H843" s="7">
        <f>'1 datos preparados'!G836</f>
        <v/>
      </c>
      <c r="I843" s="7">
        <f>'1 datos preparados'!H836</f>
        <v/>
      </c>
      <c r="J843" s="7">
        <f>'1 datos preparados'!I836</f>
        <v/>
      </c>
      <c r="K843" s="7">
        <f>'1 datos preparados'!J836</f>
        <v/>
      </c>
      <c r="L843" s="7">
        <f>'1 datos preparados'!K836</f>
        <v/>
      </c>
      <c r="M843" s="7">
        <f>'1 datos preparados'!L836</f>
        <v/>
      </c>
      <c r="N843" s="7">
        <f>'1 datos preparados'!M836</f>
        <v/>
      </c>
      <c r="O843" s="7">
        <f>'1 datos preparados'!N836</f>
        <v/>
      </c>
      <c r="P843" s="7">
        <f>'1 datos preparados'!O836</f>
        <v/>
      </c>
      <c r="Q843" s="7">
        <f>'1 datos preparados'!P836</f>
        <v/>
      </c>
      <c r="R843" s="7">
        <f>'1 datos preparados'!Q836</f>
        <v/>
      </c>
      <c r="S843" s="7">
        <f>'1 datos preparados'!R836</f>
        <v/>
      </c>
      <c r="T843" s="7">
        <f>'1 datos preparados'!S836</f>
        <v/>
      </c>
      <c r="U843" s="7">
        <f>'1 datos preparados'!T836</f>
        <v/>
      </c>
      <c r="V843" s="8">
        <f>$AE$12+D843*$AE$13+E843*$AE$14+F843*$AE$15+G843*$AE$16+H843*$AE$17+I843*$AE$18+J843*$AE$19+K843*$AE$20+L843*$AE$21+M843*$AE$22+N843*$AE$23+O843*$AE$24+P843*$AE$25+Q843*$AE$26+R843*$AE$27+S843*$AE$28+T843*$AE$29+U843*$AE$30</f>
        <v/>
      </c>
      <c r="W843" s="8">
        <f>1/(1+EXP(-V843))</f>
        <v/>
      </c>
      <c r="X843" s="9">
        <f>-IF(C843=1,LN(W843),LN(1-W843))</f>
        <v/>
      </c>
      <c r="Y843" s="8">
        <f>'1 datos preparados'!V836</f>
        <v/>
      </c>
      <c r="Z843" s="9">
        <f>Y843*X843</f>
        <v/>
      </c>
      <c r="AA843" s="10">
        <f>IF(W843&gt;$AE$33,1,0)</f>
        <v/>
      </c>
      <c r="AB843">
        <f>IF(AA843=C843,1,0)</f>
        <v/>
      </c>
    </row>
    <row r="844">
      <c r="A844">
        <f>'1 datos preparados'!A837</f>
        <v/>
      </c>
      <c r="B844" s="5">
        <f>'1 datos preparados'!U837</f>
        <v/>
      </c>
      <c r="C844">
        <f>'1 datos preparados'!B837</f>
        <v/>
      </c>
      <c r="D844" s="7">
        <f>'1 datos preparados'!C837</f>
        <v/>
      </c>
      <c r="E844" s="7">
        <f>'1 datos preparados'!D837</f>
        <v/>
      </c>
      <c r="F844" s="7">
        <f>'1 datos preparados'!E837</f>
        <v/>
      </c>
      <c r="G844" s="7">
        <f>'1 datos preparados'!F837</f>
        <v/>
      </c>
      <c r="H844" s="7">
        <f>'1 datos preparados'!G837</f>
        <v/>
      </c>
      <c r="I844" s="7">
        <f>'1 datos preparados'!H837</f>
        <v/>
      </c>
      <c r="J844" s="7">
        <f>'1 datos preparados'!I837</f>
        <v/>
      </c>
      <c r="K844" s="7">
        <f>'1 datos preparados'!J837</f>
        <v/>
      </c>
      <c r="L844" s="7">
        <f>'1 datos preparados'!K837</f>
        <v/>
      </c>
      <c r="M844" s="7">
        <f>'1 datos preparados'!L837</f>
        <v/>
      </c>
      <c r="N844" s="7">
        <f>'1 datos preparados'!M837</f>
        <v/>
      </c>
      <c r="O844" s="7">
        <f>'1 datos preparados'!N837</f>
        <v/>
      </c>
      <c r="P844" s="7">
        <f>'1 datos preparados'!O837</f>
        <v/>
      </c>
      <c r="Q844" s="7">
        <f>'1 datos preparados'!P837</f>
        <v/>
      </c>
      <c r="R844" s="7">
        <f>'1 datos preparados'!Q837</f>
        <v/>
      </c>
      <c r="S844" s="7">
        <f>'1 datos preparados'!R837</f>
        <v/>
      </c>
      <c r="T844" s="7">
        <f>'1 datos preparados'!S837</f>
        <v/>
      </c>
      <c r="U844" s="7">
        <f>'1 datos preparados'!T837</f>
        <v/>
      </c>
      <c r="V844" s="8">
        <f>$AE$12+D844*$AE$13+E844*$AE$14+F844*$AE$15+G844*$AE$16+H844*$AE$17+I844*$AE$18+J844*$AE$19+K844*$AE$20+L844*$AE$21+M844*$AE$22+N844*$AE$23+O844*$AE$24+P844*$AE$25+Q844*$AE$26+R844*$AE$27+S844*$AE$28+T844*$AE$29+U844*$AE$30</f>
        <v/>
      </c>
      <c r="W844" s="8">
        <f>1/(1+EXP(-V844))</f>
        <v/>
      </c>
      <c r="X844" s="9">
        <f>-IF(C844=1,LN(W844),LN(1-W844))</f>
        <v/>
      </c>
      <c r="Y844" s="8">
        <f>'1 datos preparados'!V837</f>
        <v/>
      </c>
      <c r="Z844" s="9">
        <f>Y844*X844</f>
        <v/>
      </c>
      <c r="AA844" s="10">
        <f>IF(W844&gt;$AE$33,1,0)</f>
        <v/>
      </c>
      <c r="AB844">
        <f>IF(AA844=C844,1,0)</f>
        <v/>
      </c>
    </row>
    <row r="845">
      <c r="A845">
        <f>'1 datos preparados'!A838</f>
        <v/>
      </c>
      <c r="B845" s="5">
        <f>'1 datos preparados'!U838</f>
        <v/>
      </c>
      <c r="C845">
        <f>'1 datos preparados'!B838</f>
        <v/>
      </c>
      <c r="D845" s="7">
        <f>'1 datos preparados'!C838</f>
        <v/>
      </c>
      <c r="E845" s="7">
        <f>'1 datos preparados'!D838</f>
        <v/>
      </c>
      <c r="F845" s="7">
        <f>'1 datos preparados'!E838</f>
        <v/>
      </c>
      <c r="G845" s="7">
        <f>'1 datos preparados'!F838</f>
        <v/>
      </c>
      <c r="H845" s="7">
        <f>'1 datos preparados'!G838</f>
        <v/>
      </c>
      <c r="I845" s="7">
        <f>'1 datos preparados'!H838</f>
        <v/>
      </c>
      <c r="J845" s="7">
        <f>'1 datos preparados'!I838</f>
        <v/>
      </c>
      <c r="K845" s="7">
        <f>'1 datos preparados'!J838</f>
        <v/>
      </c>
      <c r="L845" s="7">
        <f>'1 datos preparados'!K838</f>
        <v/>
      </c>
      <c r="M845" s="7">
        <f>'1 datos preparados'!L838</f>
        <v/>
      </c>
      <c r="N845" s="7">
        <f>'1 datos preparados'!M838</f>
        <v/>
      </c>
      <c r="O845" s="7">
        <f>'1 datos preparados'!N838</f>
        <v/>
      </c>
      <c r="P845" s="7">
        <f>'1 datos preparados'!O838</f>
        <v/>
      </c>
      <c r="Q845" s="7">
        <f>'1 datos preparados'!P838</f>
        <v/>
      </c>
      <c r="R845" s="7">
        <f>'1 datos preparados'!Q838</f>
        <v/>
      </c>
      <c r="S845" s="7">
        <f>'1 datos preparados'!R838</f>
        <v/>
      </c>
      <c r="T845" s="7">
        <f>'1 datos preparados'!S838</f>
        <v/>
      </c>
      <c r="U845" s="7">
        <f>'1 datos preparados'!T838</f>
        <v/>
      </c>
      <c r="V845" s="8">
        <f>$AE$12+D845*$AE$13+E845*$AE$14+F845*$AE$15+G845*$AE$16+H845*$AE$17+I845*$AE$18+J845*$AE$19+K845*$AE$20+L845*$AE$21+M845*$AE$22+N845*$AE$23+O845*$AE$24+P845*$AE$25+Q845*$AE$26+R845*$AE$27+S845*$AE$28+T845*$AE$29+U845*$AE$30</f>
        <v/>
      </c>
      <c r="W845" s="8">
        <f>1/(1+EXP(-V845))</f>
        <v/>
      </c>
      <c r="X845" s="9">
        <f>-IF(C845=1,LN(W845),LN(1-W845))</f>
        <v/>
      </c>
      <c r="Y845" s="8">
        <f>'1 datos preparados'!V838</f>
        <v/>
      </c>
      <c r="Z845" s="9">
        <f>Y845*X845</f>
        <v/>
      </c>
      <c r="AA845" s="10">
        <f>IF(W845&gt;$AE$33,1,0)</f>
        <v/>
      </c>
      <c r="AB845">
        <f>IF(AA845=C845,1,0)</f>
        <v/>
      </c>
    </row>
    <row r="846">
      <c r="A846">
        <f>'1 datos preparados'!A839</f>
        <v/>
      </c>
      <c r="B846" s="5">
        <f>'1 datos preparados'!U839</f>
        <v/>
      </c>
      <c r="C846">
        <f>'1 datos preparados'!B839</f>
        <v/>
      </c>
      <c r="D846" s="7">
        <f>'1 datos preparados'!C839</f>
        <v/>
      </c>
      <c r="E846" s="7">
        <f>'1 datos preparados'!D839</f>
        <v/>
      </c>
      <c r="F846" s="7">
        <f>'1 datos preparados'!E839</f>
        <v/>
      </c>
      <c r="G846" s="7">
        <f>'1 datos preparados'!F839</f>
        <v/>
      </c>
      <c r="H846" s="7">
        <f>'1 datos preparados'!G839</f>
        <v/>
      </c>
      <c r="I846" s="7">
        <f>'1 datos preparados'!H839</f>
        <v/>
      </c>
      <c r="J846" s="7">
        <f>'1 datos preparados'!I839</f>
        <v/>
      </c>
      <c r="K846" s="7">
        <f>'1 datos preparados'!J839</f>
        <v/>
      </c>
      <c r="L846" s="7">
        <f>'1 datos preparados'!K839</f>
        <v/>
      </c>
      <c r="M846" s="7">
        <f>'1 datos preparados'!L839</f>
        <v/>
      </c>
      <c r="N846" s="7">
        <f>'1 datos preparados'!M839</f>
        <v/>
      </c>
      <c r="O846" s="7">
        <f>'1 datos preparados'!N839</f>
        <v/>
      </c>
      <c r="P846" s="7">
        <f>'1 datos preparados'!O839</f>
        <v/>
      </c>
      <c r="Q846" s="7">
        <f>'1 datos preparados'!P839</f>
        <v/>
      </c>
      <c r="R846" s="7">
        <f>'1 datos preparados'!Q839</f>
        <v/>
      </c>
      <c r="S846" s="7">
        <f>'1 datos preparados'!R839</f>
        <v/>
      </c>
      <c r="T846" s="7">
        <f>'1 datos preparados'!S839</f>
        <v/>
      </c>
      <c r="U846" s="7">
        <f>'1 datos preparados'!T839</f>
        <v/>
      </c>
      <c r="V846" s="8">
        <f>$AE$12+D846*$AE$13+E846*$AE$14+F846*$AE$15+G846*$AE$16+H846*$AE$17+I846*$AE$18+J846*$AE$19+K846*$AE$20+L846*$AE$21+M846*$AE$22+N846*$AE$23+O846*$AE$24+P846*$AE$25+Q846*$AE$26+R846*$AE$27+S846*$AE$28+T846*$AE$29+U846*$AE$30</f>
        <v/>
      </c>
      <c r="W846" s="8">
        <f>1/(1+EXP(-V846))</f>
        <v/>
      </c>
      <c r="X846" s="9">
        <f>-IF(C846=1,LN(W846),LN(1-W846))</f>
        <v/>
      </c>
      <c r="Y846" s="8">
        <f>'1 datos preparados'!V839</f>
        <v/>
      </c>
      <c r="Z846" s="9">
        <f>Y846*X846</f>
        <v/>
      </c>
      <c r="AA846" s="10">
        <f>IF(W846&gt;$AE$33,1,0)</f>
        <v/>
      </c>
      <c r="AB846">
        <f>IF(AA846=C846,1,0)</f>
        <v/>
      </c>
    </row>
    <row r="847">
      <c r="A847">
        <f>'1 datos preparados'!A840</f>
        <v/>
      </c>
      <c r="B847" s="5">
        <f>'1 datos preparados'!U840</f>
        <v/>
      </c>
      <c r="C847">
        <f>'1 datos preparados'!B840</f>
        <v/>
      </c>
      <c r="D847" s="7">
        <f>'1 datos preparados'!C840</f>
        <v/>
      </c>
      <c r="E847" s="7">
        <f>'1 datos preparados'!D840</f>
        <v/>
      </c>
      <c r="F847" s="7">
        <f>'1 datos preparados'!E840</f>
        <v/>
      </c>
      <c r="G847" s="7">
        <f>'1 datos preparados'!F840</f>
        <v/>
      </c>
      <c r="H847" s="7">
        <f>'1 datos preparados'!G840</f>
        <v/>
      </c>
      <c r="I847" s="7">
        <f>'1 datos preparados'!H840</f>
        <v/>
      </c>
      <c r="J847" s="7">
        <f>'1 datos preparados'!I840</f>
        <v/>
      </c>
      <c r="K847" s="7">
        <f>'1 datos preparados'!J840</f>
        <v/>
      </c>
      <c r="L847" s="7">
        <f>'1 datos preparados'!K840</f>
        <v/>
      </c>
      <c r="M847" s="7">
        <f>'1 datos preparados'!L840</f>
        <v/>
      </c>
      <c r="N847" s="7">
        <f>'1 datos preparados'!M840</f>
        <v/>
      </c>
      <c r="O847" s="7">
        <f>'1 datos preparados'!N840</f>
        <v/>
      </c>
      <c r="P847" s="7">
        <f>'1 datos preparados'!O840</f>
        <v/>
      </c>
      <c r="Q847" s="7">
        <f>'1 datos preparados'!P840</f>
        <v/>
      </c>
      <c r="R847" s="7">
        <f>'1 datos preparados'!Q840</f>
        <v/>
      </c>
      <c r="S847" s="7">
        <f>'1 datos preparados'!R840</f>
        <v/>
      </c>
      <c r="T847" s="7">
        <f>'1 datos preparados'!S840</f>
        <v/>
      </c>
      <c r="U847" s="7">
        <f>'1 datos preparados'!T840</f>
        <v/>
      </c>
      <c r="V847" s="8">
        <f>$AE$12+D847*$AE$13+E847*$AE$14+F847*$AE$15+G847*$AE$16+H847*$AE$17+I847*$AE$18+J847*$AE$19+K847*$AE$20+L847*$AE$21+M847*$AE$22+N847*$AE$23+O847*$AE$24+P847*$AE$25+Q847*$AE$26+R847*$AE$27+S847*$AE$28+T847*$AE$29+U847*$AE$30</f>
        <v/>
      </c>
      <c r="W847" s="8">
        <f>1/(1+EXP(-V847))</f>
        <v/>
      </c>
      <c r="X847" s="9">
        <f>-IF(C847=1,LN(W847),LN(1-W847))</f>
        <v/>
      </c>
      <c r="Y847" s="8">
        <f>'1 datos preparados'!V840</f>
        <v/>
      </c>
      <c r="Z847" s="9">
        <f>Y847*X847</f>
        <v/>
      </c>
      <c r="AA847" s="10">
        <f>IF(W847&gt;$AE$33,1,0)</f>
        <v/>
      </c>
      <c r="AB847">
        <f>IF(AA847=C847,1,0)</f>
        <v/>
      </c>
    </row>
    <row r="848">
      <c r="A848">
        <f>'1 datos preparados'!A841</f>
        <v/>
      </c>
      <c r="B848" s="5">
        <f>'1 datos preparados'!U841</f>
        <v/>
      </c>
      <c r="C848">
        <f>'1 datos preparados'!B841</f>
        <v/>
      </c>
      <c r="D848" s="7">
        <f>'1 datos preparados'!C841</f>
        <v/>
      </c>
      <c r="E848" s="7">
        <f>'1 datos preparados'!D841</f>
        <v/>
      </c>
      <c r="F848" s="7">
        <f>'1 datos preparados'!E841</f>
        <v/>
      </c>
      <c r="G848" s="7">
        <f>'1 datos preparados'!F841</f>
        <v/>
      </c>
      <c r="H848" s="7">
        <f>'1 datos preparados'!G841</f>
        <v/>
      </c>
      <c r="I848" s="7">
        <f>'1 datos preparados'!H841</f>
        <v/>
      </c>
      <c r="J848" s="7">
        <f>'1 datos preparados'!I841</f>
        <v/>
      </c>
      <c r="K848" s="7">
        <f>'1 datos preparados'!J841</f>
        <v/>
      </c>
      <c r="L848" s="7">
        <f>'1 datos preparados'!K841</f>
        <v/>
      </c>
      <c r="M848" s="7">
        <f>'1 datos preparados'!L841</f>
        <v/>
      </c>
      <c r="N848" s="7">
        <f>'1 datos preparados'!M841</f>
        <v/>
      </c>
      <c r="O848" s="7">
        <f>'1 datos preparados'!N841</f>
        <v/>
      </c>
      <c r="P848" s="7">
        <f>'1 datos preparados'!O841</f>
        <v/>
      </c>
      <c r="Q848" s="7">
        <f>'1 datos preparados'!P841</f>
        <v/>
      </c>
      <c r="R848" s="7">
        <f>'1 datos preparados'!Q841</f>
        <v/>
      </c>
      <c r="S848" s="7">
        <f>'1 datos preparados'!R841</f>
        <v/>
      </c>
      <c r="T848" s="7">
        <f>'1 datos preparados'!S841</f>
        <v/>
      </c>
      <c r="U848" s="7">
        <f>'1 datos preparados'!T841</f>
        <v/>
      </c>
      <c r="V848" s="8">
        <f>$AE$12+D848*$AE$13+E848*$AE$14+F848*$AE$15+G848*$AE$16+H848*$AE$17+I848*$AE$18+J848*$AE$19+K848*$AE$20+L848*$AE$21+M848*$AE$22+N848*$AE$23+O848*$AE$24+P848*$AE$25+Q848*$AE$26+R848*$AE$27+S848*$AE$28+T848*$AE$29+U848*$AE$30</f>
        <v/>
      </c>
      <c r="W848" s="8">
        <f>1/(1+EXP(-V848))</f>
        <v/>
      </c>
      <c r="X848" s="9">
        <f>-IF(C848=1,LN(W848),LN(1-W848))</f>
        <v/>
      </c>
      <c r="Y848" s="8">
        <f>'1 datos preparados'!V841</f>
        <v/>
      </c>
      <c r="Z848" s="9">
        <f>Y848*X848</f>
        <v/>
      </c>
      <c r="AA848" s="10">
        <f>IF(W848&gt;$AE$33,1,0)</f>
        <v/>
      </c>
      <c r="AB848">
        <f>IF(AA848=C848,1,0)</f>
        <v/>
      </c>
    </row>
    <row r="849">
      <c r="A849">
        <f>'1 datos preparados'!A842</f>
        <v/>
      </c>
      <c r="B849" s="5">
        <f>'1 datos preparados'!U842</f>
        <v/>
      </c>
      <c r="C849">
        <f>'1 datos preparados'!B842</f>
        <v/>
      </c>
      <c r="D849" s="7">
        <f>'1 datos preparados'!C842</f>
        <v/>
      </c>
      <c r="E849" s="7">
        <f>'1 datos preparados'!D842</f>
        <v/>
      </c>
      <c r="F849" s="7">
        <f>'1 datos preparados'!E842</f>
        <v/>
      </c>
      <c r="G849" s="7">
        <f>'1 datos preparados'!F842</f>
        <v/>
      </c>
      <c r="H849" s="7">
        <f>'1 datos preparados'!G842</f>
        <v/>
      </c>
      <c r="I849" s="7">
        <f>'1 datos preparados'!H842</f>
        <v/>
      </c>
      <c r="J849" s="7">
        <f>'1 datos preparados'!I842</f>
        <v/>
      </c>
      <c r="K849" s="7">
        <f>'1 datos preparados'!J842</f>
        <v/>
      </c>
      <c r="L849" s="7">
        <f>'1 datos preparados'!K842</f>
        <v/>
      </c>
      <c r="M849" s="7">
        <f>'1 datos preparados'!L842</f>
        <v/>
      </c>
      <c r="N849" s="7">
        <f>'1 datos preparados'!M842</f>
        <v/>
      </c>
      <c r="O849" s="7">
        <f>'1 datos preparados'!N842</f>
        <v/>
      </c>
      <c r="P849" s="7">
        <f>'1 datos preparados'!O842</f>
        <v/>
      </c>
      <c r="Q849" s="7">
        <f>'1 datos preparados'!P842</f>
        <v/>
      </c>
      <c r="R849" s="7">
        <f>'1 datos preparados'!Q842</f>
        <v/>
      </c>
      <c r="S849" s="7">
        <f>'1 datos preparados'!R842</f>
        <v/>
      </c>
      <c r="T849" s="7">
        <f>'1 datos preparados'!S842</f>
        <v/>
      </c>
      <c r="U849" s="7">
        <f>'1 datos preparados'!T842</f>
        <v/>
      </c>
      <c r="V849" s="8">
        <f>$AE$12+D849*$AE$13+E849*$AE$14+F849*$AE$15+G849*$AE$16+H849*$AE$17+I849*$AE$18+J849*$AE$19+K849*$AE$20+L849*$AE$21+M849*$AE$22+N849*$AE$23+O849*$AE$24+P849*$AE$25+Q849*$AE$26+R849*$AE$27+S849*$AE$28+T849*$AE$29+U849*$AE$30</f>
        <v/>
      </c>
      <c r="W849" s="8">
        <f>1/(1+EXP(-V849))</f>
        <v/>
      </c>
      <c r="X849" s="9">
        <f>-IF(C849=1,LN(W849),LN(1-W849))</f>
        <v/>
      </c>
      <c r="Y849" s="8">
        <f>'1 datos preparados'!V842</f>
        <v/>
      </c>
      <c r="Z849" s="9">
        <f>Y849*X849</f>
        <v/>
      </c>
      <c r="AA849" s="10">
        <f>IF(W849&gt;$AE$33,1,0)</f>
        <v/>
      </c>
      <c r="AB849">
        <f>IF(AA849=C849,1,0)</f>
        <v/>
      </c>
    </row>
    <row r="850">
      <c r="A850">
        <f>'1 datos preparados'!A843</f>
        <v/>
      </c>
      <c r="B850" s="5">
        <f>'1 datos preparados'!U843</f>
        <v/>
      </c>
      <c r="C850">
        <f>'1 datos preparados'!B843</f>
        <v/>
      </c>
      <c r="D850" s="7">
        <f>'1 datos preparados'!C843</f>
        <v/>
      </c>
      <c r="E850" s="7">
        <f>'1 datos preparados'!D843</f>
        <v/>
      </c>
      <c r="F850" s="7">
        <f>'1 datos preparados'!E843</f>
        <v/>
      </c>
      <c r="G850" s="7">
        <f>'1 datos preparados'!F843</f>
        <v/>
      </c>
      <c r="H850" s="7">
        <f>'1 datos preparados'!G843</f>
        <v/>
      </c>
      <c r="I850" s="7">
        <f>'1 datos preparados'!H843</f>
        <v/>
      </c>
      <c r="J850" s="7">
        <f>'1 datos preparados'!I843</f>
        <v/>
      </c>
      <c r="K850" s="7">
        <f>'1 datos preparados'!J843</f>
        <v/>
      </c>
      <c r="L850" s="7">
        <f>'1 datos preparados'!K843</f>
        <v/>
      </c>
      <c r="M850" s="7">
        <f>'1 datos preparados'!L843</f>
        <v/>
      </c>
      <c r="N850" s="7">
        <f>'1 datos preparados'!M843</f>
        <v/>
      </c>
      <c r="O850" s="7">
        <f>'1 datos preparados'!N843</f>
        <v/>
      </c>
      <c r="P850" s="7">
        <f>'1 datos preparados'!O843</f>
        <v/>
      </c>
      <c r="Q850" s="7">
        <f>'1 datos preparados'!P843</f>
        <v/>
      </c>
      <c r="R850" s="7">
        <f>'1 datos preparados'!Q843</f>
        <v/>
      </c>
      <c r="S850" s="7">
        <f>'1 datos preparados'!R843</f>
        <v/>
      </c>
      <c r="T850" s="7">
        <f>'1 datos preparados'!S843</f>
        <v/>
      </c>
      <c r="U850" s="7">
        <f>'1 datos preparados'!T843</f>
        <v/>
      </c>
      <c r="V850" s="8">
        <f>$AE$12+D850*$AE$13+E850*$AE$14+F850*$AE$15+G850*$AE$16+H850*$AE$17+I850*$AE$18+J850*$AE$19+K850*$AE$20+L850*$AE$21+M850*$AE$22+N850*$AE$23+O850*$AE$24+P850*$AE$25+Q850*$AE$26+R850*$AE$27+S850*$AE$28+T850*$AE$29+U850*$AE$30</f>
        <v/>
      </c>
      <c r="W850" s="8">
        <f>1/(1+EXP(-V850))</f>
        <v/>
      </c>
      <c r="X850" s="9">
        <f>-IF(C850=1,LN(W850),LN(1-W850))</f>
        <v/>
      </c>
      <c r="Y850" s="8">
        <f>'1 datos preparados'!V843</f>
        <v/>
      </c>
      <c r="Z850" s="9">
        <f>Y850*X850</f>
        <v/>
      </c>
      <c r="AA850" s="10">
        <f>IF(W850&gt;$AE$33,1,0)</f>
        <v/>
      </c>
      <c r="AB850">
        <f>IF(AA850=C850,1,0)</f>
        <v/>
      </c>
    </row>
    <row r="851">
      <c r="A851">
        <f>'1 datos preparados'!A844</f>
        <v/>
      </c>
      <c r="B851" s="5">
        <f>'1 datos preparados'!U844</f>
        <v/>
      </c>
      <c r="C851">
        <f>'1 datos preparados'!B844</f>
        <v/>
      </c>
      <c r="D851" s="7">
        <f>'1 datos preparados'!C844</f>
        <v/>
      </c>
      <c r="E851" s="7">
        <f>'1 datos preparados'!D844</f>
        <v/>
      </c>
      <c r="F851" s="7">
        <f>'1 datos preparados'!E844</f>
        <v/>
      </c>
      <c r="G851" s="7">
        <f>'1 datos preparados'!F844</f>
        <v/>
      </c>
      <c r="H851" s="7">
        <f>'1 datos preparados'!G844</f>
        <v/>
      </c>
      <c r="I851" s="7">
        <f>'1 datos preparados'!H844</f>
        <v/>
      </c>
      <c r="J851" s="7">
        <f>'1 datos preparados'!I844</f>
        <v/>
      </c>
      <c r="K851" s="7">
        <f>'1 datos preparados'!J844</f>
        <v/>
      </c>
      <c r="L851" s="7">
        <f>'1 datos preparados'!K844</f>
        <v/>
      </c>
      <c r="M851" s="7">
        <f>'1 datos preparados'!L844</f>
        <v/>
      </c>
      <c r="N851" s="7">
        <f>'1 datos preparados'!M844</f>
        <v/>
      </c>
      <c r="O851" s="7">
        <f>'1 datos preparados'!N844</f>
        <v/>
      </c>
      <c r="P851" s="7">
        <f>'1 datos preparados'!O844</f>
        <v/>
      </c>
      <c r="Q851" s="7">
        <f>'1 datos preparados'!P844</f>
        <v/>
      </c>
      <c r="R851" s="7">
        <f>'1 datos preparados'!Q844</f>
        <v/>
      </c>
      <c r="S851" s="7">
        <f>'1 datos preparados'!R844</f>
        <v/>
      </c>
      <c r="T851" s="7">
        <f>'1 datos preparados'!S844</f>
        <v/>
      </c>
      <c r="U851" s="7">
        <f>'1 datos preparados'!T844</f>
        <v/>
      </c>
      <c r="V851" s="8">
        <f>$AE$12+D851*$AE$13+E851*$AE$14+F851*$AE$15+G851*$AE$16+H851*$AE$17+I851*$AE$18+J851*$AE$19+K851*$AE$20+L851*$AE$21+M851*$AE$22+N851*$AE$23+O851*$AE$24+P851*$AE$25+Q851*$AE$26+R851*$AE$27+S851*$AE$28+T851*$AE$29+U851*$AE$30</f>
        <v/>
      </c>
      <c r="W851" s="8">
        <f>1/(1+EXP(-V851))</f>
        <v/>
      </c>
      <c r="X851" s="9">
        <f>-IF(C851=1,LN(W851),LN(1-W851))</f>
        <v/>
      </c>
      <c r="Y851" s="8">
        <f>'1 datos preparados'!V844</f>
        <v/>
      </c>
      <c r="Z851" s="9">
        <f>Y851*X851</f>
        <v/>
      </c>
      <c r="AA851" s="10">
        <f>IF(W851&gt;$AE$33,1,0)</f>
        <v/>
      </c>
      <c r="AB851">
        <f>IF(AA851=C851,1,0)</f>
        <v/>
      </c>
    </row>
    <row r="852">
      <c r="A852">
        <f>'1 datos preparados'!A845</f>
        <v/>
      </c>
      <c r="B852" s="5">
        <f>'1 datos preparados'!U845</f>
        <v/>
      </c>
      <c r="C852">
        <f>'1 datos preparados'!B845</f>
        <v/>
      </c>
      <c r="D852" s="7">
        <f>'1 datos preparados'!C845</f>
        <v/>
      </c>
      <c r="E852" s="7">
        <f>'1 datos preparados'!D845</f>
        <v/>
      </c>
      <c r="F852" s="7">
        <f>'1 datos preparados'!E845</f>
        <v/>
      </c>
      <c r="G852" s="7">
        <f>'1 datos preparados'!F845</f>
        <v/>
      </c>
      <c r="H852" s="7">
        <f>'1 datos preparados'!G845</f>
        <v/>
      </c>
      <c r="I852" s="7">
        <f>'1 datos preparados'!H845</f>
        <v/>
      </c>
      <c r="J852" s="7">
        <f>'1 datos preparados'!I845</f>
        <v/>
      </c>
      <c r="K852" s="7">
        <f>'1 datos preparados'!J845</f>
        <v/>
      </c>
      <c r="L852" s="7">
        <f>'1 datos preparados'!K845</f>
        <v/>
      </c>
      <c r="M852" s="7">
        <f>'1 datos preparados'!L845</f>
        <v/>
      </c>
      <c r="N852" s="7">
        <f>'1 datos preparados'!M845</f>
        <v/>
      </c>
      <c r="O852" s="7">
        <f>'1 datos preparados'!N845</f>
        <v/>
      </c>
      <c r="P852" s="7">
        <f>'1 datos preparados'!O845</f>
        <v/>
      </c>
      <c r="Q852" s="7">
        <f>'1 datos preparados'!P845</f>
        <v/>
      </c>
      <c r="R852" s="7">
        <f>'1 datos preparados'!Q845</f>
        <v/>
      </c>
      <c r="S852" s="7">
        <f>'1 datos preparados'!R845</f>
        <v/>
      </c>
      <c r="T852" s="7">
        <f>'1 datos preparados'!S845</f>
        <v/>
      </c>
      <c r="U852" s="7">
        <f>'1 datos preparados'!T845</f>
        <v/>
      </c>
      <c r="V852" s="8">
        <f>$AE$12+D852*$AE$13+E852*$AE$14+F852*$AE$15+G852*$AE$16+H852*$AE$17+I852*$AE$18+J852*$AE$19+K852*$AE$20+L852*$AE$21+M852*$AE$22+N852*$AE$23+O852*$AE$24+P852*$AE$25+Q852*$AE$26+R852*$AE$27+S852*$AE$28+T852*$AE$29+U852*$AE$30</f>
        <v/>
      </c>
      <c r="W852" s="8">
        <f>1/(1+EXP(-V852))</f>
        <v/>
      </c>
      <c r="X852" s="9">
        <f>-IF(C852=1,LN(W852),LN(1-W852))</f>
        <v/>
      </c>
      <c r="Y852" s="8">
        <f>'1 datos preparados'!V845</f>
        <v/>
      </c>
      <c r="Z852" s="9">
        <f>Y852*X852</f>
        <v/>
      </c>
      <c r="AA852" s="10">
        <f>IF(W852&gt;$AE$33,1,0)</f>
        <v/>
      </c>
      <c r="AB852">
        <f>IF(AA852=C852,1,0)</f>
        <v/>
      </c>
    </row>
    <row r="853">
      <c r="A853">
        <f>'1 datos preparados'!A846</f>
        <v/>
      </c>
      <c r="B853" s="5">
        <f>'1 datos preparados'!U846</f>
        <v/>
      </c>
      <c r="C853">
        <f>'1 datos preparados'!B846</f>
        <v/>
      </c>
      <c r="D853" s="7">
        <f>'1 datos preparados'!C846</f>
        <v/>
      </c>
      <c r="E853" s="7">
        <f>'1 datos preparados'!D846</f>
        <v/>
      </c>
      <c r="F853" s="7">
        <f>'1 datos preparados'!E846</f>
        <v/>
      </c>
      <c r="G853" s="7">
        <f>'1 datos preparados'!F846</f>
        <v/>
      </c>
      <c r="H853" s="7">
        <f>'1 datos preparados'!G846</f>
        <v/>
      </c>
      <c r="I853" s="7">
        <f>'1 datos preparados'!H846</f>
        <v/>
      </c>
      <c r="J853" s="7">
        <f>'1 datos preparados'!I846</f>
        <v/>
      </c>
      <c r="K853" s="7">
        <f>'1 datos preparados'!J846</f>
        <v/>
      </c>
      <c r="L853" s="7">
        <f>'1 datos preparados'!K846</f>
        <v/>
      </c>
      <c r="M853" s="7">
        <f>'1 datos preparados'!L846</f>
        <v/>
      </c>
      <c r="N853" s="7">
        <f>'1 datos preparados'!M846</f>
        <v/>
      </c>
      <c r="O853" s="7">
        <f>'1 datos preparados'!N846</f>
        <v/>
      </c>
      <c r="P853" s="7">
        <f>'1 datos preparados'!O846</f>
        <v/>
      </c>
      <c r="Q853" s="7">
        <f>'1 datos preparados'!P846</f>
        <v/>
      </c>
      <c r="R853" s="7">
        <f>'1 datos preparados'!Q846</f>
        <v/>
      </c>
      <c r="S853" s="7">
        <f>'1 datos preparados'!R846</f>
        <v/>
      </c>
      <c r="T853" s="7">
        <f>'1 datos preparados'!S846</f>
        <v/>
      </c>
      <c r="U853" s="7">
        <f>'1 datos preparados'!T846</f>
        <v/>
      </c>
      <c r="V853" s="8">
        <f>$AE$12+D853*$AE$13+E853*$AE$14+F853*$AE$15+G853*$AE$16+H853*$AE$17+I853*$AE$18+J853*$AE$19+K853*$AE$20+L853*$AE$21+M853*$AE$22+N853*$AE$23+O853*$AE$24+P853*$AE$25+Q853*$AE$26+R853*$AE$27+S853*$AE$28+T853*$AE$29+U853*$AE$30</f>
        <v/>
      </c>
      <c r="W853" s="8">
        <f>1/(1+EXP(-V853))</f>
        <v/>
      </c>
      <c r="X853" s="9">
        <f>-IF(C853=1,LN(W853),LN(1-W853))</f>
        <v/>
      </c>
      <c r="Y853" s="8">
        <f>'1 datos preparados'!V846</f>
        <v/>
      </c>
      <c r="Z853" s="9">
        <f>Y853*X853</f>
        <v/>
      </c>
      <c r="AA853" s="10">
        <f>IF(W853&gt;$AE$33,1,0)</f>
        <v/>
      </c>
      <c r="AB853">
        <f>IF(AA853=C853,1,0)</f>
        <v/>
      </c>
    </row>
    <row r="854">
      <c r="A854">
        <f>'1 datos preparados'!A847</f>
        <v/>
      </c>
      <c r="B854" s="5">
        <f>'1 datos preparados'!U847</f>
        <v/>
      </c>
      <c r="C854">
        <f>'1 datos preparados'!B847</f>
        <v/>
      </c>
      <c r="D854" s="7">
        <f>'1 datos preparados'!C847</f>
        <v/>
      </c>
      <c r="E854" s="7">
        <f>'1 datos preparados'!D847</f>
        <v/>
      </c>
      <c r="F854" s="7">
        <f>'1 datos preparados'!E847</f>
        <v/>
      </c>
      <c r="G854" s="7">
        <f>'1 datos preparados'!F847</f>
        <v/>
      </c>
      <c r="H854" s="7">
        <f>'1 datos preparados'!G847</f>
        <v/>
      </c>
      <c r="I854" s="7">
        <f>'1 datos preparados'!H847</f>
        <v/>
      </c>
      <c r="J854" s="7">
        <f>'1 datos preparados'!I847</f>
        <v/>
      </c>
      <c r="K854" s="7">
        <f>'1 datos preparados'!J847</f>
        <v/>
      </c>
      <c r="L854" s="7">
        <f>'1 datos preparados'!K847</f>
        <v/>
      </c>
      <c r="M854" s="7">
        <f>'1 datos preparados'!L847</f>
        <v/>
      </c>
      <c r="N854" s="7">
        <f>'1 datos preparados'!M847</f>
        <v/>
      </c>
      <c r="O854" s="7">
        <f>'1 datos preparados'!N847</f>
        <v/>
      </c>
      <c r="P854" s="7">
        <f>'1 datos preparados'!O847</f>
        <v/>
      </c>
      <c r="Q854" s="7">
        <f>'1 datos preparados'!P847</f>
        <v/>
      </c>
      <c r="R854" s="7">
        <f>'1 datos preparados'!Q847</f>
        <v/>
      </c>
      <c r="S854" s="7">
        <f>'1 datos preparados'!R847</f>
        <v/>
      </c>
      <c r="T854" s="7">
        <f>'1 datos preparados'!S847</f>
        <v/>
      </c>
      <c r="U854" s="7">
        <f>'1 datos preparados'!T847</f>
        <v/>
      </c>
      <c r="V854" s="8">
        <f>$AE$12+D854*$AE$13+E854*$AE$14+F854*$AE$15+G854*$AE$16+H854*$AE$17+I854*$AE$18+J854*$AE$19+K854*$AE$20+L854*$AE$21+M854*$AE$22+N854*$AE$23+O854*$AE$24+P854*$AE$25+Q854*$AE$26+R854*$AE$27+S854*$AE$28+T854*$AE$29+U854*$AE$30</f>
        <v/>
      </c>
      <c r="W854" s="8">
        <f>1/(1+EXP(-V854))</f>
        <v/>
      </c>
      <c r="X854" s="9">
        <f>-IF(C854=1,LN(W854),LN(1-W854))</f>
        <v/>
      </c>
      <c r="Y854" s="8">
        <f>'1 datos preparados'!V847</f>
        <v/>
      </c>
      <c r="Z854" s="9">
        <f>Y854*X854</f>
        <v/>
      </c>
      <c r="AA854" s="10">
        <f>IF(W854&gt;$AE$33,1,0)</f>
        <v/>
      </c>
      <c r="AB854">
        <f>IF(AA854=C854,1,0)</f>
        <v/>
      </c>
    </row>
    <row r="855">
      <c r="A855">
        <f>'1 datos preparados'!A848</f>
        <v/>
      </c>
      <c r="B855" s="5">
        <f>'1 datos preparados'!U848</f>
        <v/>
      </c>
      <c r="C855">
        <f>'1 datos preparados'!B848</f>
        <v/>
      </c>
      <c r="D855" s="7">
        <f>'1 datos preparados'!C848</f>
        <v/>
      </c>
      <c r="E855" s="7">
        <f>'1 datos preparados'!D848</f>
        <v/>
      </c>
      <c r="F855" s="7">
        <f>'1 datos preparados'!E848</f>
        <v/>
      </c>
      <c r="G855" s="7">
        <f>'1 datos preparados'!F848</f>
        <v/>
      </c>
      <c r="H855" s="7">
        <f>'1 datos preparados'!G848</f>
        <v/>
      </c>
      <c r="I855" s="7">
        <f>'1 datos preparados'!H848</f>
        <v/>
      </c>
      <c r="J855" s="7">
        <f>'1 datos preparados'!I848</f>
        <v/>
      </c>
      <c r="K855" s="7">
        <f>'1 datos preparados'!J848</f>
        <v/>
      </c>
      <c r="L855" s="7">
        <f>'1 datos preparados'!K848</f>
        <v/>
      </c>
      <c r="M855" s="7">
        <f>'1 datos preparados'!L848</f>
        <v/>
      </c>
      <c r="N855" s="7">
        <f>'1 datos preparados'!M848</f>
        <v/>
      </c>
      <c r="O855" s="7">
        <f>'1 datos preparados'!N848</f>
        <v/>
      </c>
      <c r="P855" s="7">
        <f>'1 datos preparados'!O848</f>
        <v/>
      </c>
      <c r="Q855" s="7">
        <f>'1 datos preparados'!P848</f>
        <v/>
      </c>
      <c r="R855" s="7">
        <f>'1 datos preparados'!Q848</f>
        <v/>
      </c>
      <c r="S855" s="7">
        <f>'1 datos preparados'!R848</f>
        <v/>
      </c>
      <c r="T855" s="7">
        <f>'1 datos preparados'!S848</f>
        <v/>
      </c>
      <c r="U855" s="7">
        <f>'1 datos preparados'!T848</f>
        <v/>
      </c>
      <c r="V855" s="8">
        <f>$AE$12+D855*$AE$13+E855*$AE$14+F855*$AE$15+G855*$AE$16+H855*$AE$17+I855*$AE$18+J855*$AE$19+K855*$AE$20+L855*$AE$21+M855*$AE$22+N855*$AE$23+O855*$AE$24+P855*$AE$25+Q855*$AE$26+R855*$AE$27+S855*$AE$28+T855*$AE$29+U855*$AE$30</f>
        <v/>
      </c>
      <c r="W855" s="8">
        <f>1/(1+EXP(-V855))</f>
        <v/>
      </c>
      <c r="X855" s="9">
        <f>-IF(C855=1,LN(W855),LN(1-W855))</f>
        <v/>
      </c>
      <c r="Y855" s="8">
        <f>'1 datos preparados'!V848</f>
        <v/>
      </c>
      <c r="Z855" s="9">
        <f>Y855*X855</f>
        <v/>
      </c>
      <c r="AA855" s="10">
        <f>IF(W855&gt;$AE$33,1,0)</f>
        <v/>
      </c>
      <c r="AB855">
        <f>IF(AA855=C855,1,0)</f>
        <v/>
      </c>
    </row>
    <row r="856">
      <c r="A856">
        <f>'1 datos preparados'!A849</f>
        <v/>
      </c>
      <c r="B856" s="5">
        <f>'1 datos preparados'!U849</f>
        <v/>
      </c>
      <c r="C856">
        <f>'1 datos preparados'!B849</f>
        <v/>
      </c>
      <c r="D856" s="7">
        <f>'1 datos preparados'!C849</f>
        <v/>
      </c>
      <c r="E856" s="7">
        <f>'1 datos preparados'!D849</f>
        <v/>
      </c>
      <c r="F856" s="7">
        <f>'1 datos preparados'!E849</f>
        <v/>
      </c>
      <c r="G856" s="7">
        <f>'1 datos preparados'!F849</f>
        <v/>
      </c>
      <c r="H856" s="7">
        <f>'1 datos preparados'!G849</f>
        <v/>
      </c>
      <c r="I856" s="7">
        <f>'1 datos preparados'!H849</f>
        <v/>
      </c>
      <c r="J856" s="7">
        <f>'1 datos preparados'!I849</f>
        <v/>
      </c>
      <c r="K856" s="7">
        <f>'1 datos preparados'!J849</f>
        <v/>
      </c>
      <c r="L856" s="7">
        <f>'1 datos preparados'!K849</f>
        <v/>
      </c>
      <c r="M856" s="7">
        <f>'1 datos preparados'!L849</f>
        <v/>
      </c>
      <c r="N856" s="7">
        <f>'1 datos preparados'!M849</f>
        <v/>
      </c>
      <c r="O856" s="7">
        <f>'1 datos preparados'!N849</f>
        <v/>
      </c>
      <c r="P856" s="7">
        <f>'1 datos preparados'!O849</f>
        <v/>
      </c>
      <c r="Q856" s="7">
        <f>'1 datos preparados'!P849</f>
        <v/>
      </c>
      <c r="R856" s="7">
        <f>'1 datos preparados'!Q849</f>
        <v/>
      </c>
      <c r="S856" s="7">
        <f>'1 datos preparados'!R849</f>
        <v/>
      </c>
      <c r="T856" s="7">
        <f>'1 datos preparados'!S849</f>
        <v/>
      </c>
      <c r="U856" s="7">
        <f>'1 datos preparados'!T849</f>
        <v/>
      </c>
      <c r="V856" s="8">
        <f>$AE$12+D856*$AE$13+E856*$AE$14+F856*$AE$15+G856*$AE$16+H856*$AE$17+I856*$AE$18+J856*$AE$19+K856*$AE$20+L856*$AE$21+M856*$AE$22+N856*$AE$23+O856*$AE$24+P856*$AE$25+Q856*$AE$26+R856*$AE$27+S856*$AE$28+T856*$AE$29+U856*$AE$30</f>
        <v/>
      </c>
      <c r="W856" s="8">
        <f>1/(1+EXP(-V856))</f>
        <v/>
      </c>
      <c r="X856" s="9">
        <f>-IF(C856=1,LN(W856),LN(1-W856))</f>
        <v/>
      </c>
      <c r="Y856" s="8">
        <f>'1 datos preparados'!V849</f>
        <v/>
      </c>
      <c r="Z856" s="9">
        <f>Y856*X856</f>
        <v/>
      </c>
      <c r="AA856" s="10">
        <f>IF(W856&gt;$AE$33,1,0)</f>
        <v/>
      </c>
      <c r="AB856">
        <f>IF(AA856=C856,1,0)</f>
        <v/>
      </c>
    </row>
    <row r="857">
      <c r="A857">
        <f>'1 datos preparados'!A850</f>
        <v/>
      </c>
      <c r="B857" s="5">
        <f>'1 datos preparados'!U850</f>
        <v/>
      </c>
      <c r="C857">
        <f>'1 datos preparados'!B850</f>
        <v/>
      </c>
      <c r="D857" s="7">
        <f>'1 datos preparados'!C850</f>
        <v/>
      </c>
      <c r="E857" s="7">
        <f>'1 datos preparados'!D850</f>
        <v/>
      </c>
      <c r="F857" s="7">
        <f>'1 datos preparados'!E850</f>
        <v/>
      </c>
      <c r="G857" s="7">
        <f>'1 datos preparados'!F850</f>
        <v/>
      </c>
      <c r="H857" s="7">
        <f>'1 datos preparados'!G850</f>
        <v/>
      </c>
      <c r="I857" s="7">
        <f>'1 datos preparados'!H850</f>
        <v/>
      </c>
      <c r="J857" s="7">
        <f>'1 datos preparados'!I850</f>
        <v/>
      </c>
      <c r="K857" s="7">
        <f>'1 datos preparados'!J850</f>
        <v/>
      </c>
      <c r="L857" s="7">
        <f>'1 datos preparados'!K850</f>
        <v/>
      </c>
      <c r="M857" s="7">
        <f>'1 datos preparados'!L850</f>
        <v/>
      </c>
      <c r="N857" s="7">
        <f>'1 datos preparados'!M850</f>
        <v/>
      </c>
      <c r="O857" s="7">
        <f>'1 datos preparados'!N850</f>
        <v/>
      </c>
      <c r="P857" s="7">
        <f>'1 datos preparados'!O850</f>
        <v/>
      </c>
      <c r="Q857" s="7">
        <f>'1 datos preparados'!P850</f>
        <v/>
      </c>
      <c r="R857" s="7">
        <f>'1 datos preparados'!Q850</f>
        <v/>
      </c>
      <c r="S857" s="7">
        <f>'1 datos preparados'!R850</f>
        <v/>
      </c>
      <c r="T857" s="7">
        <f>'1 datos preparados'!S850</f>
        <v/>
      </c>
      <c r="U857" s="7">
        <f>'1 datos preparados'!T850</f>
        <v/>
      </c>
      <c r="V857" s="8">
        <f>$AE$12+D857*$AE$13+E857*$AE$14+F857*$AE$15+G857*$AE$16+H857*$AE$17+I857*$AE$18+J857*$AE$19+K857*$AE$20+L857*$AE$21+M857*$AE$22+N857*$AE$23+O857*$AE$24+P857*$AE$25+Q857*$AE$26+R857*$AE$27+S857*$AE$28+T857*$AE$29+U857*$AE$30</f>
        <v/>
      </c>
      <c r="W857" s="8">
        <f>1/(1+EXP(-V857))</f>
        <v/>
      </c>
      <c r="X857" s="9">
        <f>-IF(C857=1,LN(W857),LN(1-W857))</f>
        <v/>
      </c>
      <c r="Y857" s="8">
        <f>'1 datos preparados'!V850</f>
        <v/>
      </c>
      <c r="Z857" s="9">
        <f>Y857*X857</f>
        <v/>
      </c>
      <c r="AA857" s="10">
        <f>IF(W857&gt;$AE$33,1,0)</f>
        <v/>
      </c>
      <c r="AB857">
        <f>IF(AA857=C857,1,0)</f>
        <v/>
      </c>
    </row>
    <row r="858">
      <c r="A858">
        <f>'1 datos preparados'!A851</f>
        <v/>
      </c>
      <c r="B858" s="5">
        <f>'1 datos preparados'!U851</f>
        <v/>
      </c>
      <c r="C858">
        <f>'1 datos preparados'!B851</f>
        <v/>
      </c>
      <c r="D858" s="7">
        <f>'1 datos preparados'!C851</f>
        <v/>
      </c>
      <c r="E858" s="7">
        <f>'1 datos preparados'!D851</f>
        <v/>
      </c>
      <c r="F858" s="7">
        <f>'1 datos preparados'!E851</f>
        <v/>
      </c>
      <c r="G858" s="7">
        <f>'1 datos preparados'!F851</f>
        <v/>
      </c>
      <c r="H858" s="7">
        <f>'1 datos preparados'!G851</f>
        <v/>
      </c>
      <c r="I858" s="7">
        <f>'1 datos preparados'!H851</f>
        <v/>
      </c>
      <c r="J858" s="7">
        <f>'1 datos preparados'!I851</f>
        <v/>
      </c>
      <c r="K858" s="7">
        <f>'1 datos preparados'!J851</f>
        <v/>
      </c>
      <c r="L858" s="7">
        <f>'1 datos preparados'!K851</f>
        <v/>
      </c>
      <c r="M858" s="7">
        <f>'1 datos preparados'!L851</f>
        <v/>
      </c>
      <c r="N858" s="7">
        <f>'1 datos preparados'!M851</f>
        <v/>
      </c>
      <c r="O858" s="7">
        <f>'1 datos preparados'!N851</f>
        <v/>
      </c>
      <c r="P858" s="7">
        <f>'1 datos preparados'!O851</f>
        <v/>
      </c>
      <c r="Q858" s="7">
        <f>'1 datos preparados'!P851</f>
        <v/>
      </c>
      <c r="R858" s="7">
        <f>'1 datos preparados'!Q851</f>
        <v/>
      </c>
      <c r="S858" s="7">
        <f>'1 datos preparados'!R851</f>
        <v/>
      </c>
      <c r="T858" s="7">
        <f>'1 datos preparados'!S851</f>
        <v/>
      </c>
      <c r="U858" s="7">
        <f>'1 datos preparados'!T851</f>
        <v/>
      </c>
      <c r="V858" s="8">
        <f>$AE$12+D858*$AE$13+E858*$AE$14+F858*$AE$15+G858*$AE$16+H858*$AE$17+I858*$AE$18+J858*$AE$19+K858*$AE$20+L858*$AE$21+M858*$AE$22+N858*$AE$23+O858*$AE$24+P858*$AE$25+Q858*$AE$26+R858*$AE$27+S858*$AE$28+T858*$AE$29+U858*$AE$30</f>
        <v/>
      </c>
      <c r="W858" s="8">
        <f>1/(1+EXP(-V858))</f>
        <v/>
      </c>
      <c r="X858" s="9">
        <f>-IF(C858=1,LN(W858),LN(1-W858))</f>
        <v/>
      </c>
      <c r="Y858" s="8">
        <f>'1 datos preparados'!V851</f>
        <v/>
      </c>
      <c r="Z858" s="9">
        <f>Y858*X858</f>
        <v/>
      </c>
      <c r="AA858" s="10">
        <f>IF(W858&gt;$AE$33,1,0)</f>
        <v/>
      </c>
      <c r="AB858">
        <f>IF(AA858=C858,1,0)</f>
        <v/>
      </c>
    </row>
    <row r="859">
      <c r="A859">
        <f>'1 datos preparados'!A852</f>
        <v/>
      </c>
      <c r="B859" s="5">
        <f>'1 datos preparados'!U852</f>
        <v/>
      </c>
      <c r="C859">
        <f>'1 datos preparados'!B852</f>
        <v/>
      </c>
      <c r="D859" s="7">
        <f>'1 datos preparados'!C852</f>
        <v/>
      </c>
      <c r="E859" s="7">
        <f>'1 datos preparados'!D852</f>
        <v/>
      </c>
      <c r="F859" s="7">
        <f>'1 datos preparados'!E852</f>
        <v/>
      </c>
      <c r="G859" s="7">
        <f>'1 datos preparados'!F852</f>
        <v/>
      </c>
      <c r="H859" s="7">
        <f>'1 datos preparados'!G852</f>
        <v/>
      </c>
      <c r="I859" s="7">
        <f>'1 datos preparados'!H852</f>
        <v/>
      </c>
      <c r="J859" s="7">
        <f>'1 datos preparados'!I852</f>
        <v/>
      </c>
      <c r="K859" s="7">
        <f>'1 datos preparados'!J852</f>
        <v/>
      </c>
      <c r="L859" s="7">
        <f>'1 datos preparados'!K852</f>
        <v/>
      </c>
      <c r="M859" s="7">
        <f>'1 datos preparados'!L852</f>
        <v/>
      </c>
      <c r="N859" s="7">
        <f>'1 datos preparados'!M852</f>
        <v/>
      </c>
      <c r="O859" s="7">
        <f>'1 datos preparados'!N852</f>
        <v/>
      </c>
      <c r="P859" s="7">
        <f>'1 datos preparados'!O852</f>
        <v/>
      </c>
      <c r="Q859" s="7">
        <f>'1 datos preparados'!P852</f>
        <v/>
      </c>
      <c r="R859" s="7">
        <f>'1 datos preparados'!Q852</f>
        <v/>
      </c>
      <c r="S859" s="7">
        <f>'1 datos preparados'!R852</f>
        <v/>
      </c>
      <c r="T859" s="7">
        <f>'1 datos preparados'!S852</f>
        <v/>
      </c>
      <c r="U859" s="7">
        <f>'1 datos preparados'!T852</f>
        <v/>
      </c>
      <c r="V859" s="8">
        <f>$AE$12+D859*$AE$13+E859*$AE$14+F859*$AE$15+G859*$AE$16+H859*$AE$17+I859*$AE$18+J859*$AE$19+K859*$AE$20+L859*$AE$21+M859*$AE$22+N859*$AE$23+O859*$AE$24+P859*$AE$25+Q859*$AE$26+R859*$AE$27+S859*$AE$28+T859*$AE$29+U859*$AE$30</f>
        <v/>
      </c>
      <c r="W859" s="8">
        <f>1/(1+EXP(-V859))</f>
        <v/>
      </c>
      <c r="X859" s="9">
        <f>-IF(C859=1,LN(W859),LN(1-W859))</f>
        <v/>
      </c>
      <c r="Y859" s="8">
        <f>'1 datos preparados'!V852</f>
        <v/>
      </c>
      <c r="Z859" s="9">
        <f>Y859*X859</f>
        <v/>
      </c>
      <c r="AA859" s="10">
        <f>IF(W859&gt;$AE$33,1,0)</f>
        <v/>
      </c>
      <c r="AB859">
        <f>IF(AA859=C859,1,0)</f>
        <v/>
      </c>
    </row>
    <row r="860">
      <c r="A860">
        <f>'1 datos preparados'!A853</f>
        <v/>
      </c>
      <c r="B860" s="5">
        <f>'1 datos preparados'!U853</f>
        <v/>
      </c>
      <c r="C860">
        <f>'1 datos preparados'!B853</f>
        <v/>
      </c>
      <c r="D860" s="7">
        <f>'1 datos preparados'!C853</f>
        <v/>
      </c>
      <c r="E860" s="7">
        <f>'1 datos preparados'!D853</f>
        <v/>
      </c>
      <c r="F860" s="7">
        <f>'1 datos preparados'!E853</f>
        <v/>
      </c>
      <c r="G860" s="7">
        <f>'1 datos preparados'!F853</f>
        <v/>
      </c>
      <c r="H860" s="7">
        <f>'1 datos preparados'!G853</f>
        <v/>
      </c>
      <c r="I860" s="7">
        <f>'1 datos preparados'!H853</f>
        <v/>
      </c>
      <c r="J860" s="7">
        <f>'1 datos preparados'!I853</f>
        <v/>
      </c>
      <c r="K860" s="7">
        <f>'1 datos preparados'!J853</f>
        <v/>
      </c>
      <c r="L860" s="7">
        <f>'1 datos preparados'!K853</f>
        <v/>
      </c>
      <c r="M860" s="7">
        <f>'1 datos preparados'!L853</f>
        <v/>
      </c>
      <c r="N860" s="7">
        <f>'1 datos preparados'!M853</f>
        <v/>
      </c>
      <c r="O860" s="7">
        <f>'1 datos preparados'!N853</f>
        <v/>
      </c>
      <c r="P860" s="7">
        <f>'1 datos preparados'!O853</f>
        <v/>
      </c>
      <c r="Q860" s="7">
        <f>'1 datos preparados'!P853</f>
        <v/>
      </c>
      <c r="R860" s="7">
        <f>'1 datos preparados'!Q853</f>
        <v/>
      </c>
      <c r="S860" s="7">
        <f>'1 datos preparados'!R853</f>
        <v/>
      </c>
      <c r="T860" s="7">
        <f>'1 datos preparados'!S853</f>
        <v/>
      </c>
      <c r="U860" s="7">
        <f>'1 datos preparados'!T853</f>
        <v/>
      </c>
      <c r="V860" s="8">
        <f>$AE$12+D860*$AE$13+E860*$AE$14+F860*$AE$15+G860*$AE$16+H860*$AE$17+I860*$AE$18+J860*$AE$19+K860*$AE$20+L860*$AE$21+M860*$AE$22+N860*$AE$23+O860*$AE$24+P860*$AE$25+Q860*$AE$26+R860*$AE$27+S860*$AE$28+T860*$AE$29+U860*$AE$30</f>
        <v/>
      </c>
      <c r="W860" s="8">
        <f>1/(1+EXP(-V860))</f>
        <v/>
      </c>
      <c r="X860" s="9">
        <f>-IF(C860=1,LN(W860),LN(1-W860))</f>
        <v/>
      </c>
      <c r="Y860" s="8">
        <f>'1 datos preparados'!V853</f>
        <v/>
      </c>
      <c r="Z860" s="9">
        <f>Y860*X860</f>
        <v/>
      </c>
      <c r="AA860" s="10">
        <f>IF(W860&gt;$AE$33,1,0)</f>
        <v/>
      </c>
      <c r="AB860">
        <f>IF(AA860=C860,1,0)</f>
        <v/>
      </c>
    </row>
    <row r="861">
      <c r="A861">
        <f>'1 datos preparados'!A854</f>
        <v/>
      </c>
      <c r="B861" s="5">
        <f>'1 datos preparados'!U854</f>
        <v/>
      </c>
      <c r="C861">
        <f>'1 datos preparados'!B854</f>
        <v/>
      </c>
      <c r="D861" s="7">
        <f>'1 datos preparados'!C854</f>
        <v/>
      </c>
      <c r="E861" s="7">
        <f>'1 datos preparados'!D854</f>
        <v/>
      </c>
      <c r="F861" s="7">
        <f>'1 datos preparados'!E854</f>
        <v/>
      </c>
      <c r="G861" s="7">
        <f>'1 datos preparados'!F854</f>
        <v/>
      </c>
      <c r="H861" s="7">
        <f>'1 datos preparados'!G854</f>
        <v/>
      </c>
      <c r="I861" s="7">
        <f>'1 datos preparados'!H854</f>
        <v/>
      </c>
      <c r="J861" s="7">
        <f>'1 datos preparados'!I854</f>
        <v/>
      </c>
      <c r="K861" s="7">
        <f>'1 datos preparados'!J854</f>
        <v/>
      </c>
      <c r="L861" s="7">
        <f>'1 datos preparados'!K854</f>
        <v/>
      </c>
      <c r="M861" s="7">
        <f>'1 datos preparados'!L854</f>
        <v/>
      </c>
      <c r="N861" s="7">
        <f>'1 datos preparados'!M854</f>
        <v/>
      </c>
      <c r="O861" s="7">
        <f>'1 datos preparados'!N854</f>
        <v/>
      </c>
      <c r="P861" s="7">
        <f>'1 datos preparados'!O854</f>
        <v/>
      </c>
      <c r="Q861" s="7">
        <f>'1 datos preparados'!P854</f>
        <v/>
      </c>
      <c r="R861" s="7">
        <f>'1 datos preparados'!Q854</f>
        <v/>
      </c>
      <c r="S861" s="7">
        <f>'1 datos preparados'!R854</f>
        <v/>
      </c>
      <c r="T861" s="7">
        <f>'1 datos preparados'!S854</f>
        <v/>
      </c>
      <c r="U861" s="7">
        <f>'1 datos preparados'!T854</f>
        <v/>
      </c>
      <c r="V861" s="8">
        <f>$AE$12+D861*$AE$13+E861*$AE$14+F861*$AE$15+G861*$AE$16+H861*$AE$17+I861*$AE$18+J861*$AE$19+K861*$AE$20+L861*$AE$21+M861*$AE$22+N861*$AE$23+O861*$AE$24+P861*$AE$25+Q861*$AE$26+R861*$AE$27+S861*$AE$28+T861*$AE$29+U861*$AE$30</f>
        <v/>
      </c>
      <c r="W861" s="8">
        <f>1/(1+EXP(-V861))</f>
        <v/>
      </c>
      <c r="X861" s="9">
        <f>-IF(C861=1,LN(W861),LN(1-W861))</f>
        <v/>
      </c>
      <c r="Y861" s="8">
        <f>'1 datos preparados'!V854</f>
        <v/>
      </c>
      <c r="Z861" s="9">
        <f>Y861*X861</f>
        <v/>
      </c>
      <c r="AA861" s="10">
        <f>IF(W861&gt;$AE$33,1,0)</f>
        <v/>
      </c>
      <c r="AB861">
        <f>IF(AA861=C861,1,0)</f>
        <v/>
      </c>
    </row>
    <row r="862">
      <c r="A862">
        <f>'1 datos preparados'!A855</f>
        <v/>
      </c>
      <c r="B862" s="5">
        <f>'1 datos preparados'!U855</f>
        <v/>
      </c>
      <c r="C862">
        <f>'1 datos preparados'!B855</f>
        <v/>
      </c>
      <c r="D862" s="7">
        <f>'1 datos preparados'!C855</f>
        <v/>
      </c>
      <c r="E862" s="7">
        <f>'1 datos preparados'!D855</f>
        <v/>
      </c>
      <c r="F862" s="7">
        <f>'1 datos preparados'!E855</f>
        <v/>
      </c>
      <c r="G862" s="7">
        <f>'1 datos preparados'!F855</f>
        <v/>
      </c>
      <c r="H862" s="7">
        <f>'1 datos preparados'!G855</f>
        <v/>
      </c>
      <c r="I862" s="7">
        <f>'1 datos preparados'!H855</f>
        <v/>
      </c>
      <c r="J862" s="7">
        <f>'1 datos preparados'!I855</f>
        <v/>
      </c>
      <c r="K862" s="7">
        <f>'1 datos preparados'!J855</f>
        <v/>
      </c>
      <c r="L862" s="7">
        <f>'1 datos preparados'!K855</f>
        <v/>
      </c>
      <c r="M862" s="7">
        <f>'1 datos preparados'!L855</f>
        <v/>
      </c>
      <c r="N862" s="7">
        <f>'1 datos preparados'!M855</f>
        <v/>
      </c>
      <c r="O862" s="7">
        <f>'1 datos preparados'!N855</f>
        <v/>
      </c>
      <c r="P862" s="7">
        <f>'1 datos preparados'!O855</f>
        <v/>
      </c>
      <c r="Q862" s="7">
        <f>'1 datos preparados'!P855</f>
        <v/>
      </c>
      <c r="R862" s="7">
        <f>'1 datos preparados'!Q855</f>
        <v/>
      </c>
      <c r="S862" s="7">
        <f>'1 datos preparados'!R855</f>
        <v/>
      </c>
      <c r="T862" s="7">
        <f>'1 datos preparados'!S855</f>
        <v/>
      </c>
      <c r="U862" s="7">
        <f>'1 datos preparados'!T855</f>
        <v/>
      </c>
      <c r="V862" s="8">
        <f>$AE$12+D862*$AE$13+E862*$AE$14+F862*$AE$15+G862*$AE$16+H862*$AE$17+I862*$AE$18+J862*$AE$19+K862*$AE$20+L862*$AE$21+M862*$AE$22+N862*$AE$23+O862*$AE$24+P862*$AE$25+Q862*$AE$26+R862*$AE$27+S862*$AE$28+T862*$AE$29+U862*$AE$30</f>
        <v/>
      </c>
      <c r="W862" s="8">
        <f>1/(1+EXP(-V862))</f>
        <v/>
      </c>
      <c r="X862" s="9">
        <f>-IF(C862=1,LN(W862),LN(1-W862))</f>
        <v/>
      </c>
      <c r="Y862" s="8">
        <f>'1 datos preparados'!V855</f>
        <v/>
      </c>
      <c r="Z862" s="9">
        <f>Y862*X862</f>
        <v/>
      </c>
      <c r="AA862" s="10">
        <f>IF(W862&gt;$AE$33,1,0)</f>
        <v/>
      </c>
      <c r="AB862">
        <f>IF(AA862=C862,1,0)</f>
        <v/>
      </c>
    </row>
    <row r="863">
      <c r="A863">
        <f>'1 datos preparados'!A856</f>
        <v/>
      </c>
      <c r="B863" s="5">
        <f>'1 datos preparados'!U856</f>
        <v/>
      </c>
      <c r="C863">
        <f>'1 datos preparados'!B856</f>
        <v/>
      </c>
      <c r="D863" s="7">
        <f>'1 datos preparados'!C856</f>
        <v/>
      </c>
      <c r="E863" s="7">
        <f>'1 datos preparados'!D856</f>
        <v/>
      </c>
      <c r="F863" s="7">
        <f>'1 datos preparados'!E856</f>
        <v/>
      </c>
      <c r="G863" s="7">
        <f>'1 datos preparados'!F856</f>
        <v/>
      </c>
      <c r="H863" s="7">
        <f>'1 datos preparados'!G856</f>
        <v/>
      </c>
      <c r="I863" s="7">
        <f>'1 datos preparados'!H856</f>
        <v/>
      </c>
      <c r="J863" s="7">
        <f>'1 datos preparados'!I856</f>
        <v/>
      </c>
      <c r="K863" s="7">
        <f>'1 datos preparados'!J856</f>
        <v/>
      </c>
      <c r="L863" s="7">
        <f>'1 datos preparados'!K856</f>
        <v/>
      </c>
      <c r="M863" s="7">
        <f>'1 datos preparados'!L856</f>
        <v/>
      </c>
      <c r="N863" s="7">
        <f>'1 datos preparados'!M856</f>
        <v/>
      </c>
      <c r="O863" s="7">
        <f>'1 datos preparados'!N856</f>
        <v/>
      </c>
      <c r="P863" s="7">
        <f>'1 datos preparados'!O856</f>
        <v/>
      </c>
      <c r="Q863" s="7">
        <f>'1 datos preparados'!P856</f>
        <v/>
      </c>
      <c r="R863" s="7">
        <f>'1 datos preparados'!Q856</f>
        <v/>
      </c>
      <c r="S863" s="7">
        <f>'1 datos preparados'!R856</f>
        <v/>
      </c>
      <c r="T863" s="7">
        <f>'1 datos preparados'!S856</f>
        <v/>
      </c>
      <c r="U863" s="7">
        <f>'1 datos preparados'!T856</f>
        <v/>
      </c>
      <c r="V863" s="8">
        <f>$AE$12+D863*$AE$13+E863*$AE$14+F863*$AE$15+G863*$AE$16+H863*$AE$17+I863*$AE$18+J863*$AE$19+K863*$AE$20+L863*$AE$21+M863*$AE$22+N863*$AE$23+O863*$AE$24+P863*$AE$25+Q863*$AE$26+R863*$AE$27+S863*$AE$28+T863*$AE$29+U863*$AE$30</f>
        <v/>
      </c>
      <c r="W863" s="8">
        <f>1/(1+EXP(-V863))</f>
        <v/>
      </c>
      <c r="X863" s="9">
        <f>-IF(C863=1,LN(W863),LN(1-W863))</f>
        <v/>
      </c>
      <c r="Y863" s="8">
        <f>'1 datos preparados'!V856</f>
        <v/>
      </c>
      <c r="Z863" s="9">
        <f>Y863*X863</f>
        <v/>
      </c>
      <c r="AA863" s="10">
        <f>IF(W863&gt;$AE$33,1,0)</f>
        <v/>
      </c>
      <c r="AB863">
        <f>IF(AA863=C863,1,0)</f>
        <v/>
      </c>
    </row>
    <row r="864">
      <c r="A864">
        <f>'1 datos preparados'!A857</f>
        <v/>
      </c>
      <c r="B864" s="5">
        <f>'1 datos preparados'!U857</f>
        <v/>
      </c>
      <c r="C864">
        <f>'1 datos preparados'!B857</f>
        <v/>
      </c>
      <c r="D864" s="7">
        <f>'1 datos preparados'!C857</f>
        <v/>
      </c>
      <c r="E864" s="7">
        <f>'1 datos preparados'!D857</f>
        <v/>
      </c>
      <c r="F864" s="7">
        <f>'1 datos preparados'!E857</f>
        <v/>
      </c>
      <c r="G864" s="7">
        <f>'1 datos preparados'!F857</f>
        <v/>
      </c>
      <c r="H864" s="7">
        <f>'1 datos preparados'!G857</f>
        <v/>
      </c>
      <c r="I864" s="7">
        <f>'1 datos preparados'!H857</f>
        <v/>
      </c>
      <c r="J864" s="7">
        <f>'1 datos preparados'!I857</f>
        <v/>
      </c>
      <c r="K864" s="7">
        <f>'1 datos preparados'!J857</f>
        <v/>
      </c>
      <c r="L864" s="7">
        <f>'1 datos preparados'!K857</f>
        <v/>
      </c>
      <c r="M864" s="7">
        <f>'1 datos preparados'!L857</f>
        <v/>
      </c>
      <c r="N864" s="7">
        <f>'1 datos preparados'!M857</f>
        <v/>
      </c>
      <c r="O864" s="7">
        <f>'1 datos preparados'!N857</f>
        <v/>
      </c>
      <c r="P864" s="7">
        <f>'1 datos preparados'!O857</f>
        <v/>
      </c>
      <c r="Q864" s="7">
        <f>'1 datos preparados'!P857</f>
        <v/>
      </c>
      <c r="R864" s="7">
        <f>'1 datos preparados'!Q857</f>
        <v/>
      </c>
      <c r="S864" s="7">
        <f>'1 datos preparados'!R857</f>
        <v/>
      </c>
      <c r="T864" s="7">
        <f>'1 datos preparados'!S857</f>
        <v/>
      </c>
      <c r="U864" s="7">
        <f>'1 datos preparados'!T857</f>
        <v/>
      </c>
      <c r="V864" s="8">
        <f>$AE$12+D864*$AE$13+E864*$AE$14+F864*$AE$15+G864*$AE$16+H864*$AE$17+I864*$AE$18+J864*$AE$19+K864*$AE$20+L864*$AE$21+M864*$AE$22+N864*$AE$23+O864*$AE$24+P864*$AE$25+Q864*$AE$26+R864*$AE$27+S864*$AE$28+T864*$AE$29+U864*$AE$30</f>
        <v/>
      </c>
      <c r="W864" s="8">
        <f>1/(1+EXP(-V864))</f>
        <v/>
      </c>
      <c r="X864" s="9">
        <f>-IF(C864=1,LN(W864),LN(1-W864))</f>
        <v/>
      </c>
      <c r="Y864" s="8">
        <f>'1 datos preparados'!V857</f>
        <v/>
      </c>
      <c r="Z864" s="9">
        <f>Y864*X864</f>
        <v/>
      </c>
      <c r="AA864" s="10">
        <f>IF(W864&gt;$AE$33,1,0)</f>
        <v/>
      </c>
      <c r="AB864">
        <f>IF(AA864=C864,1,0)</f>
        <v/>
      </c>
    </row>
    <row r="865">
      <c r="A865">
        <f>'1 datos preparados'!A858</f>
        <v/>
      </c>
      <c r="B865" s="5">
        <f>'1 datos preparados'!U858</f>
        <v/>
      </c>
      <c r="C865">
        <f>'1 datos preparados'!B858</f>
        <v/>
      </c>
      <c r="D865" s="7">
        <f>'1 datos preparados'!C858</f>
        <v/>
      </c>
      <c r="E865" s="7">
        <f>'1 datos preparados'!D858</f>
        <v/>
      </c>
      <c r="F865" s="7">
        <f>'1 datos preparados'!E858</f>
        <v/>
      </c>
      <c r="G865" s="7">
        <f>'1 datos preparados'!F858</f>
        <v/>
      </c>
      <c r="H865" s="7">
        <f>'1 datos preparados'!G858</f>
        <v/>
      </c>
      <c r="I865" s="7">
        <f>'1 datos preparados'!H858</f>
        <v/>
      </c>
      <c r="J865" s="7">
        <f>'1 datos preparados'!I858</f>
        <v/>
      </c>
      <c r="K865" s="7">
        <f>'1 datos preparados'!J858</f>
        <v/>
      </c>
      <c r="L865" s="7">
        <f>'1 datos preparados'!K858</f>
        <v/>
      </c>
      <c r="M865" s="7">
        <f>'1 datos preparados'!L858</f>
        <v/>
      </c>
      <c r="N865" s="7">
        <f>'1 datos preparados'!M858</f>
        <v/>
      </c>
      <c r="O865" s="7">
        <f>'1 datos preparados'!N858</f>
        <v/>
      </c>
      <c r="P865" s="7">
        <f>'1 datos preparados'!O858</f>
        <v/>
      </c>
      <c r="Q865" s="7">
        <f>'1 datos preparados'!P858</f>
        <v/>
      </c>
      <c r="R865" s="7">
        <f>'1 datos preparados'!Q858</f>
        <v/>
      </c>
      <c r="S865" s="7">
        <f>'1 datos preparados'!R858</f>
        <v/>
      </c>
      <c r="T865" s="7">
        <f>'1 datos preparados'!S858</f>
        <v/>
      </c>
      <c r="U865" s="7">
        <f>'1 datos preparados'!T858</f>
        <v/>
      </c>
      <c r="V865" s="8">
        <f>$AE$12+D865*$AE$13+E865*$AE$14+F865*$AE$15+G865*$AE$16+H865*$AE$17+I865*$AE$18+J865*$AE$19+K865*$AE$20+L865*$AE$21+M865*$AE$22+N865*$AE$23+O865*$AE$24+P865*$AE$25+Q865*$AE$26+R865*$AE$27+S865*$AE$28+T865*$AE$29+U865*$AE$30</f>
        <v/>
      </c>
      <c r="W865" s="8">
        <f>1/(1+EXP(-V865))</f>
        <v/>
      </c>
      <c r="X865" s="9">
        <f>-IF(C865=1,LN(W865),LN(1-W865))</f>
        <v/>
      </c>
      <c r="Y865" s="8">
        <f>'1 datos preparados'!V858</f>
        <v/>
      </c>
      <c r="Z865" s="9">
        <f>Y865*X865</f>
        <v/>
      </c>
      <c r="AA865" s="10">
        <f>IF(W865&gt;$AE$33,1,0)</f>
        <v/>
      </c>
      <c r="AB865">
        <f>IF(AA865=C865,1,0)</f>
        <v/>
      </c>
    </row>
    <row r="866">
      <c r="A866">
        <f>'1 datos preparados'!A859</f>
        <v/>
      </c>
      <c r="B866" s="5">
        <f>'1 datos preparados'!U859</f>
        <v/>
      </c>
      <c r="C866">
        <f>'1 datos preparados'!B859</f>
        <v/>
      </c>
      <c r="D866" s="7">
        <f>'1 datos preparados'!C859</f>
        <v/>
      </c>
      <c r="E866" s="7">
        <f>'1 datos preparados'!D859</f>
        <v/>
      </c>
      <c r="F866" s="7">
        <f>'1 datos preparados'!E859</f>
        <v/>
      </c>
      <c r="G866" s="7">
        <f>'1 datos preparados'!F859</f>
        <v/>
      </c>
      <c r="H866" s="7">
        <f>'1 datos preparados'!G859</f>
        <v/>
      </c>
      <c r="I866" s="7">
        <f>'1 datos preparados'!H859</f>
        <v/>
      </c>
      <c r="J866" s="7">
        <f>'1 datos preparados'!I859</f>
        <v/>
      </c>
      <c r="K866" s="7">
        <f>'1 datos preparados'!J859</f>
        <v/>
      </c>
      <c r="L866" s="7">
        <f>'1 datos preparados'!K859</f>
        <v/>
      </c>
      <c r="M866" s="7">
        <f>'1 datos preparados'!L859</f>
        <v/>
      </c>
      <c r="N866" s="7">
        <f>'1 datos preparados'!M859</f>
        <v/>
      </c>
      <c r="O866" s="7">
        <f>'1 datos preparados'!N859</f>
        <v/>
      </c>
      <c r="P866" s="7">
        <f>'1 datos preparados'!O859</f>
        <v/>
      </c>
      <c r="Q866" s="7">
        <f>'1 datos preparados'!P859</f>
        <v/>
      </c>
      <c r="R866" s="7">
        <f>'1 datos preparados'!Q859</f>
        <v/>
      </c>
      <c r="S866" s="7">
        <f>'1 datos preparados'!R859</f>
        <v/>
      </c>
      <c r="T866" s="7">
        <f>'1 datos preparados'!S859</f>
        <v/>
      </c>
      <c r="U866" s="7">
        <f>'1 datos preparados'!T859</f>
        <v/>
      </c>
      <c r="V866" s="8">
        <f>$AE$12+D866*$AE$13+E866*$AE$14+F866*$AE$15+G866*$AE$16+H866*$AE$17+I866*$AE$18+J866*$AE$19+K866*$AE$20+L866*$AE$21+M866*$AE$22+N866*$AE$23+O866*$AE$24+P866*$AE$25+Q866*$AE$26+R866*$AE$27+S866*$AE$28+T866*$AE$29+U866*$AE$30</f>
        <v/>
      </c>
      <c r="W866" s="8">
        <f>1/(1+EXP(-V866))</f>
        <v/>
      </c>
      <c r="X866" s="9">
        <f>-IF(C866=1,LN(W866),LN(1-W866))</f>
        <v/>
      </c>
      <c r="Y866" s="8">
        <f>'1 datos preparados'!V859</f>
        <v/>
      </c>
      <c r="Z866" s="9">
        <f>Y866*X866</f>
        <v/>
      </c>
      <c r="AA866" s="10">
        <f>IF(W866&gt;$AE$33,1,0)</f>
        <v/>
      </c>
      <c r="AB866">
        <f>IF(AA866=C866,1,0)</f>
        <v/>
      </c>
    </row>
    <row r="867">
      <c r="A867">
        <f>'1 datos preparados'!A860</f>
        <v/>
      </c>
      <c r="B867" s="5">
        <f>'1 datos preparados'!U860</f>
        <v/>
      </c>
      <c r="C867">
        <f>'1 datos preparados'!B860</f>
        <v/>
      </c>
      <c r="D867" s="7">
        <f>'1 datos preparados'!C860</f>
        <v/>
      </c>
      <c r="E867" s="7">
        <f>'1 datos preparados'!D860</f>
        <v/>
      </c>
      <c r="F867" s="7">
        <f>'1 datos preparados'!E860</f>
        <v/>
      </c>
      <c r="G867" s="7">
        <f>'1 datos preparados'!F860</f>
        <v/>
      </c>
      <c r="H867" s="7">
        <f>'1 datos preparados'!G860</f>
        <v/>
      </c>
      <c r="I867" s="7">
        <f>'1 datos preparados'!H860</f>
        <v/>
      </c>
      <c r="J867" s="7">
        <f>'1 datos preparados'!I860</f>
        <v/>
      </c>
      <c r="K867" s="7">
        <f>'1 datos preparados'!J860</f>
        <v/>
      </c>
      <c r="L867" s="7">
        <f>'1 datos preparados'!K860</f>
        <v/>
      </c>
      <c r="M867" s="7">
        <f>'1 datos preparados'!L860</f>
        <v/>
      </c>
      <c r="N867" s="7">
        <f>'1 datos preparados'!M860</f>
        <v/>
      </c>
      <c r="O867" s="7">
        <f>'1 datos preparados'!N860</f>
        <v/>
      </c>
      <c r="P867" s="7">
        <f>'1 datos preparados'!O860</f>
        <v/>
      </c>
      <c r="Q867" s="7">
        <f>'1 datos preparados'!P860</f>
        <v/>
      </c>
      <c r="R867" s="7">
        <f>'1 datos preparados'!Q860</f>
        <v/>
      </c>
      <c r="S867" s="7">
        <f>'1 datos preparados'!R860</f>
        <v/>
      </c>
      <c r="T867" s="7">
        <f>'1 datos preparados'!S860</f>
        <v/>
      </c>
      <c r="U867" s="7">
        <f>'1 datos preparados'!T860</f>
        <v/>
      </c>
      <c r="V867" s="8">
        <f>$AE$12+D867*$AE$13+E867*$AE$14+F867*$AE$15+G867*$AE$16+H867*$AE$17+I867*$AE$18+J867*$AE$19+K867*$AE$20+L867*$AE$21+M867*$AE$22+N867*$AE$23+O867*$AE$24+P867*$AE$25+Q867*$AE$26+R867*$AE$27+S867*$AE$28+T867*$AE$29+U867*$AE$30</f>
        <v/>
      </c>
      <c r="W867" s="8">
        <f>1/(1+EXP(-V867))</f>
        <v/>
      </c>
      <c r="X867" s="9">
        <f>-IF(C867=1,LN(W867),LN(1-W867))</f>
        <v/>
      </c>
      <c r="Y867" s="8">
        <f>'1 datos preparados'!V860</f>
        <v/>
      </c>
      <c r="Z867" s="9">
        <f>Y867*X867</f>
        <v/>
      </c>
      <c r="AA867" s="10">
        <f>IF(W867&gt;$AE$33,1,0)</f>
        <v/>
      </c>
      <c r="AB867">
        <f>IF(AA867=C867,1,0)</f>
        <v/>
      </c>
    </row>
    <row r="868">
      <c r="A868">
        <f>'1 datos preparados'!A861</f>
        <v/>
      </c>
      <c r="B868" s="5">
        <f>'1 datos preparados'!U861</f>
        <v/>
      </c>
      <c r="C868">
        <f>'1 datos preparados'!B861</f>
        <v/>
      </c>
      <c r="D868" s="7">
        <f>'1 datos preparados'!C861</f>
        <v/>
      </c>
      <c r="E868" s="7">
        <f>'1 datos preparados'!D861</f>
        <v/>
      </c>
      <c r="F868" s="7">
        <f>'1 datos preparados'!E861</f>
        <v/>
      </c>
      <c r="G868" s="7">
        <f>'1 datos preparados'!F861</f>
        <v/>
      </c>
      <c r="H868" s="7">
        <f>'1 datos preparados'!G861</f>
        <v/>
      </c>
      <c r="I868" s="7">
        <f>'1 datos preparados'!H861</f>
        <v/>
      </c>
      <c r="J868" s="7">
        <f>'1 datos preparados'!I861</f>
        <v/>
      </c>
      <c r="K868" s="7">
        <f>'1 datos preparados'!J861</f>
        <v/>
      </c>
      <c r="L868" s="7">
        <f>'1 datos preparados'!K861</f>
        <v/>
      </c>
      <c r="M868" s="7">
        <f>'1 datos preparados'!L861</f>
        <v/>
      </c>
      <c r="N868" s="7">
        <f>'1 datos preparados'!M861</f>
        <v/>
      </c>
      <c r="O868" s="7">
        <f>'1 datos preparados'!N861</f>
        <v/>
      </c>
      <c r="P868" s="7">
        <f>'1 datos preparados'!O861</f>
        <v/>
      </c>
      <c r="Q868" s="7">
        <f>'1 datos preparados'!P861</f>
        <v/>
      </c>
      <c r="R868" s="7">
        <f>'1 datos preparados'!Q861</f>
        <v/>
      </c>
      <c r="S868" s="7">
        <f>'1 datos preparados'!R861</f>
        <v/>
      </c>
      <c r="T868" s="7">
        <f>'1 datos preparados'!S861</f>
        <v/>
      </c>
      <c r="U868" s="7">
        <f>'1 datos preparados'!T861</f>
        <v/>
      </c>
      <c r="V868" s="8">
        <f>$AE$12+D868*$AE$13+E868*$AE$14+F868*$AE$15+G868*$AE$16+H868*$AE$17+I868*$AE$18+J868*$AE$19+K868*$AE$20+L868*$AE$21+M868*$AE$22+N868*$AE$23+O868*$AE$24+P868*$AE$25+Q868*$AE$26+R868*$AE$27+S868*$AE$28+T868*$AE$29+U868*$AE$30</f>
        <v/>
      </c>
      <c r="W868" s="8">
        <f>1/(1+EXP(-V868))</f>
        <v/>
      </c>
      <c r="X868" s="9">
        <f>-IF(C868=1,LN(W868),LN(1-W868))</f>
        <v/>
      </c>
      <c r="Y868" s="8">
        <f>'1 datos preparados'!V861</f>
        <v/>
      </c>
      <c r="Z868" s="9">
        <f>Y868*X868</f>
        <v/>
      </c>
      <c r="AA868" s="10">
        <f>IF(W868&gt;$AE$33,1,0)</f>
        <v/>
      </c>
      <c r="AB868">
        <f>IF(AA868=C868,1,0)</f>
        <v/>
      </c>
    </row>
    <row r="869">
      <c r="A869">
        <f>'1 datos preparados'!A862</f>
        <v/>
      </c>
      <c r="B869" s="5">
        <f>'1 datos preparados'!U862</f>
        <v/>
      </c>
      <c r="C869">
        <f>'1 datos preparados'!B862</f>
        <v/>
      </c>
      <c r="D869" s="7">
        <f>'1 datos preparados'!C862</f>
        <v/>
      </c>
      <c r="E869" s="7">
        <f>'1 datos preparados'!D862</f>
        <v/>
      </c>
      <c r="F869" s="7">
        <f>'1 datos preparados'!E862</f>
        <v/>
      </c>
      <c r="G869" s="7">
        <f>'1 datos preparados'!F862</f>
        <v/>
      </c>
      <c r="H869" s="7">
        <f>'1 datos preparados'!G862</f>
        <v/>
      </c>
      <c r="I869" s="7">
        <f>'1 datos preparados'!H862</f>
        <v/>
      </c>
      <c r="J869" s="7">
        <f>'1 datos preparados'!I862</f>
        <v/>
      </c>
      <c r="K869" s="7">
        <f>'1 datos preparados'!J862</f>
        <v/>
      </c>
      <c r="L869" s="7">
        <f>'1 datos preparados'!K862</f>
        <v/>
      </c>
      <c r="M869" s="7">
        <f>'1 datos preparados'!L862</f>
        <v/>
      </c>
      <c r="N869" s="7">
        <f>'1 datos preparados'!M862</f>
        <v/>
      </c>
      <c r="O869" s="7">
        <f>'1 datos preparados'!N862</f>
        <v/>
      </c>
      <c r="P869" s="7">
        <f>'1 datos preparados'!O862</f>
        <v/>
      </c>
      <c r="Q869" s="7">
        <f>'1 datos preparados'!P862</f>
        <v/>
      </c>
      <c r="R869" s="7">
        <f>'1 datos preparados'!Q862</f>
        <v/>
      </c>
      <c r="S869" s="7">
        <f>'1 datos preparados'!R862</f>
        <v/>
      </c>
      <c r="T869" s="7">
        <f>'1 datos preparados'!S862</f>
        <v/>
      </c>
      <c r="U869" s="7">
        <f>'1 datos preparados'!T862</f>
        <v/>
      </c>
      <c r="V869" s="8">
        <f>$AE$12+D869*$AE$13+E869*$AE$14+F869*$AE$15+G869*$AE$16+H869*$AE$17+I869*$AE$18+J869*$AE$19+K869*$AE$20+L869*$AE$21+M869*$AE$22+N869*$AE$23+O869*$AE$24+P869*$AE$25+Q869*$AE$26+R869*$AE$27+S869*$AE$28+T869*$AE$29+U869*$AE$30</f>
        <v/>
      </c>
      <c r="W869" s="8">
        <f>1/(1+EXP(-V869))</f>
        <v/>
      </c>
      <c r="X869" s="9">
        <f>-IF(C869=1,LN(W869),LN(1-W869))</f>
        <v/>
      </c>
      <c r="Y869" s="8">
        <f>'1 datos preparados'!V862</f>
        <v/>
      </c>
      <c r="Z869" s="9">
        <f>Y869*X869</f>
        <v/>
      </c>
      <c r="AA869" s="10">
        <f>IF(W869&gt;$AE$33,1,0)</f>
        <v/>
      </c>
      <c r="AB869">
        <f>IF(AA869=C869,1,0)</f>
        <v/>
      </c>
    </row>
    <row r="870">
      <c r="A870">
        <f>'1 datos preparados'!A863</f>
        <v/>
      </c>
      <c r="B870" s="5">
        <f>'1 datos preparados'!U863</f>
        <v/>
      </c>
      <c r="C870">
        <f>'1 datos preparados'!B863</f>
        <v/>
      </c>
      <c r="D870" s="7">
        <f>'1 datos preparados'!C863</f>
        <v/>
      </c>
      <c r="E870" s="7">
        <f>'1 datos preparados'!D863</f>
        <v/>
      </c>
      <c r="F870" s="7">
        <f>'1 datos preparados'!E863</f>
        <v/>
      </c>
      <c r="G870" s="7">
        <f>'1 datos preparados'!F863</f>
        <v/>
      </c>
      <c r="H870" s="7">
        <f>'1 datos preparados'!G863</f>
        <v/>
      </c>
      <c r="I870" s="7">
        <f>'1 datos preparados'!H863</f>
        <v/>
      </c>
      <c r="J870" s="7">
        <f>'1 datos preparados'!I863</f>
        <v/>
      </c>
      <c r="K870" s="7">
        <f>'1 datos preparados'!J863</f>
        <v/>
      </c>
      <c r="L870" s="7">
        <f>'1 datos preparados'!K863</f>
        <v/>
      </c>
      <c r="M870" s="7">
        <f>'1 datos preparados'!L863</f>
        <v/>
      </c>
      <c r="N870" s="7">
        <f>'1 datos preparados'!M863</f>
        <v/>
      </c>
      <c r="O870" s="7">
        <f>'1 datos preparados'!N863</f>
        <v/>
      </c>
      <c r="P870" s="7">
        <f>'1 datos preparados'!O863</f>
        <v/>
      </c>
      <c r="Q870" s="7">
        <f>'1 datos preparados'!P863</f>
        <v/>
      </c>
      <c r="R870" s="7">
        <f>'1 datos preparados'!Q863</f>
        <v/>
      </c>
      <c r="S870" s="7">
        <f>'1 datos preparados'!R863</f>
        <v/>
      </c>
      <c r="T870" s="7">
        <f>'1 datos preparados'!S863</f>
        <v/>
      </c>
      <c r="U870" s="7">
        <f>'1 datos preparados'!T863</f>
        <v/>
      </c>
      <c r="V870" s="8">
        <f>$AE$12+D870*$AE$13+E870*$AE$14+F870*$AE$15+G870*$AE$16+H870*$AE$17+I870*$AE$18+J870*$AE$19+K870*$AE$20+L870*$AE$21+M870*$AE$22+N870*$AE$23+O870*$AE$24+P870*$AE$25+Q870*$AE$26+R870*$AE$27+S870*$AE$28+T870*$AE$29+U870*$AE$30</f>
        <v/>
      </c>
      <c r="W870" s="8">
        <f>1/(1+EXP(-V870))</f>
        <v/>
      </c>
      <c r="X870" s="9">
        <f>-IF(C870=1,LN(W870),LN(1-W870))</f>
        <v/>
      </c>
      <c r="Y870" s="8">
        <f>'1 datos preparados'!V863</f>
        <v/>
      </c>
      <c r="Z870" s="9">
        <f>Y870*X870</f>
        <v/>
      </c>
      <c r="AA870" s="10">
        <f>IF(W870&gt;$AE$33,1,0)</f>
        <v/>
      </c>
      <c r="AB870">
        <f>IF(AA870=C870,1,0)</f>
        <v/>
      </c>
    </row>
    <row r="871">
      <c r="A871">
        <f>'1 datos preparados'!A864</f>
        <v/>
      </c>
      <c r="B871" s="5">
        <f>'1 datos preparados'!U864</f>
        <v/>
      </c>
      <c r="C871">
        <f>'1 datos preparados'!B864</f>
        <v/>
      </c>
      <c r="D871" s="7">
        <f>'1 datos preparados'!C864</f>
        <v/>
      </c>
      <c r="E871" s="7">
        <f>'1 datos preparados'!D864</f>
        <v/>
      </c>
      <c r="F871" s="7">
        <f>'1 datos preparados'!E864</f>
        <v/>
      </c>
      <c r="G871" s="7">
        <f>'1 datos preparados'!F864</f>
        <v/>
      </c>
      <c r="H871" s="7">
        <f>'1 datos preparados'!G864</f>
        <v/>
      </c>
      <c r="I871" s="7">
        <f>'1 datos preparados'!H864</f>
        <v/>
      </c>
      <c r="J871" s="7">
        <f>'1 datos preparados'!I864</f>
        <v/>
      </c>
      <c r="K871" s="7">
        <f>'1 datos preparados'!J864</f>
        <v/>
      </c>
      <c r="L871" s="7">
        <f>'1 datos preparados'!K864</f>
        <v/>
      </c>
      <c r="M871" s="7">
        <f>'1 datos preparados'!L864</f>
        <v/>
      </c>
      <c r="N871" s="7">
        <f>'1 datos preparados'!M864</f>
        <v/>
      </c>
      <c r="O871" s="7">
        <f>'1 datos preparados'!N864</f>
        <v/>
      </c>
      <c r="P871" s="7">
        <f>'1 datos preparados'!O864</f>
        <v/>
      </c>
      <c r="Q871" s="7">
        <f>'1 datos preparados'!P864</f>
        <v/>
      </c>
      <c r="R871" s="7">
        <f>'1 datos preparados'!Q864</f>
        <v/>
      </c>
      <c r="S871" s="7">
        <f>'1 datos preparados'!R864</f>
        <v/>
      </c>
      <c r="T871" s="7">
        <f>'1 datos preparados'!S864</f>
        <v/>
      </c>
      <c r="U871" s="7">
        <f>'1 datos preparados'!T864</f>
        <v/>
      </c>
      <c r="V871" s="8">
        <f>$AE$12+D871*$AE$13+E871*$AE$14+F871*$AE$15+G871*$AE$16+H871*$AE$17+I871*$AE$18+J871*$AE$19+K871*$AE$20+L871*$AE$21+M871*$AE$22+N871*$AE$23+O871*$AE$24+P871*$AE$25+Q871*$AE$26+R871*$AE$27+S871*$AE$28+T871*$AE$29+U871*$AE$30</f>
        <v/>
      </c>
      <c r="W871" s="8">
        <f>1/(1+EXP(-V871))</f>
        <v/>
      </c>
      <c r="X871" s="9">
        <f>-IF(C871=1,LN(W871),LN(1-W871))</f>
        <v/>
      </c>
      <c r="Y871" s="8">
        <f>'1 datos preparados'!V864</f>
        <v/>
      </c>
      <c r="Z871" s="9">
        <f>Y871*X871</f>
        <v/>
      </c>
      <c r="AA871" s="10">
        <f>IF(W871&gt;$AE$33,1,0)</f>
        <v/>
      </c>
      <c r="AB871">
        <f>IF(AA871=C871,1,0)</f>
        <v/>
      </c>
    </row>
    <row r="872">
      <c r="A872">
        <f>'1 datos preparados'!A865</f>
        <v/>
      </c>
      <c r="B872" s="5">
        <f>'1 datos preparados'!U865</f>
        <v/>
      </c>
      <c r="C872">
        <f>'1 datos preparados'!B865</f>
        <v/>
      </c>
      <c r="D872" s="7">
        <f>'1 datos preparados'!C865</f>
        <v/>
      </c>
      <c r="E872" s="7">
        <f>'1 datos preparados'!D865</f>
        <v/>
      </c>
      <c r="F872" s="7">
        <f>'1 datos preparados'!E865</f>
        <v/>
      </c>
      <c r="G872" s="7">
        <f>'1 datos preparados'!F865</f>
        <v/>
      </c>
      <c r="H872" s="7">
        <f>'1 datos preparados'!G865</f>
        <v/>
      </c>
      <c r="I872" s="7">
        <f>'1 datos preparados'!H865</f>
        <v/>
      </c>
      <c r="J872" s="7">
        <f>'1 datos preparados'!I865</f>
        <v/>
      </c>
      <c r="K872" s="7">
        <f>'1 datos preparados'!J865</f>
        <v/>
      </c>
      <c r="L872" s="7">
        <f>'1 datos preparados'!K865</f>
        <v/>
      </c>
      <c r="M872" s="7">
        <f>'1 datos preparados'!L865</f>
        <v/>
      </c>
      <c r="N872" s="7">
        <f>'1 datos preparados'!M865</f>
        <v/>
      </c>
      <c r="O872" s="7">
        <f>'1 datos preparados'!N865</f>
        <v/>
      </c>
      <c r="P872" s="7">
        <f>'1 datos preparados'!O865</f>
        <v/>
      </c>
      <c r="Q872" s="7">
        <f>'1 datos preparados'!P865</f>
        <v/>
      </c>
      <c r="R872" s="7">
        <f>'1 datos preparados'!Q865</f>
        <v/>
      </c>
      <c r="S872" s="7">
        <f>'1 datos preparados'!R865</f>
        <v/>
      </c>
      <c r="T872" s="7">
        <f>'1 datos preparados'!S865</f>
        <v/>
      </c>
      <c r="U872" s="7">
        <f>'1 datos preparados'!T865</f>
        <v/>
      </c>
      <c r="V872" s="8">
        <f>$AE$12+D872*$AE$13+E872*$AE$14+F872*$AE$15+G872*$AE$16+H872*$AE$17+I872*$AE$18+J872*$AE$19+K872*$AE$20+L872*$AE$21+M872*$AE$22+N872*$AE$23+O872*$AE$24+P872*$AE$25+Q872*$AE$26+R872*$AE$27+S872*$AE$28+T872*$AE$29+U872*$AE$30</f>
        <v/>
      </c>
      <c r="W872" s="8">
        <f>1/(1+EXP(-V872))</f>
        <v/>
      </c>
      <c r="X872" s="9">
        <f>-IF(C872=1,LN(W872),LN(1-W872))</f>
        <v/>
      </c>
      <c r="Y872" s="8">
        <f>'1 datos preparados'!V865</f>
        <v/>
      </c>
      <c r="Z872" s="9">
        <f>Y872*X872</f>
        <v/>
      </c>
      <c r="AA872" s="10">
        <f>IF(W872&gt;$AE$33,1,0)</f>
        <v/>
      </c>
      <c r="AB872">
        <f>IF(AA872=C872,1,0)</f>
        <v/>
      </c>
    </row>
    <row r="873">
      <c r="A873">
        <f>'1 datos preparados'!A866</f>
        <v/>
      </c>
      <c r="B873" s="5">
        <f>'1 datos preparados'!U866</f>
        <v/>
      </c>
      <c r="C873">
        <f>'1 datos preparados'!B866</f>
        <v/>
      </c>
      <c r="D873" s="7">
        <f>'1 datos preparados'!C866</f>
        <v/>
      </c>
      <c r="E873" s="7">
        <f>'1 datos preparados'!D866</f>
        <v/>
      </c>
      <c r="F873" s="7">
        <f>'1 datos preparados'!E866</f>
        <v/>
      </c>
      <c r="G873" s="7">
        <f>'1 datos preparados'!F866</f>
        <v/>
      </c>
      <c r="H873" s="7">
        <f>'1 datos preparados'!G866</f>
        <v/>
      </c>
      <c r="I873" s="7">
        <f>'1 datos preparados'!H866</f>
        <v/>
      </c>
      <c r="J873" s="7">
        <f>'1 datos preparados'!I866</f>
        <v/>
      </c>
      <c r="K873" s="7">
        <f>'1 datos preparados'!J866</f>
        <v/>
      </c>
      <c r="L873" s="7">
        <f>'1 datos preparados'!K866</f>
        <v/>
      </c>
      <c r="M873" s="7">
        <f>'1 datos preparados'!L866</f>
        <v/>
      </c>
      <c r="N873" s="7">
        <f>'1 datos preparados'!M866</f>
        <v/>
      </c>
      <c r="O873" s="7">
        <f>'1 datos preparados'!N866</f>
        <v/>
      </c>
      <c r="P873" s="7">
        <f>'1 datos preparados'!O866</f>
        <v/>
      </c>
      <c r="Q873" s="7">
        <f>'1 datos preparados'!P866</f>
        <v/>
      </c>
      <c r="R873" s="7">
        <f>'1 datos preparados'!Q866</f>
        <v/>
      </c>
      <c r="S873" s="7">
        <f>'1 datos preparados'!R866</f>
        <v/>
      </c>
      <c r="T873" s="7">
        <f>'1 datos preparados'!S866</f>
        <v/>
      </c>
      <c r="U873" s="7">
        <f>'1 datos preparados'!T866</f>
        <v/>
      </c>
      <c r="V873" s="8">
        <f>$AE$12+D873*$AE$13+E873*$AE$14+F873*$AE$15+G873*$AE$16+H873*$AE$17+I873*$AE$18+J873*$AE$19+K873*$AE$20+L873*$AE$21+M873*$AE$22+N873*$AE$23+O873*$AE$24+P873*$AE$25+Q873*$AE$26+R873*$AE$27+S873*$AE$28+T873*$AE$29+U873*$AE$30</f>
        <v/>
      </c>
      <c r="W873" s="8">
        <f>1/(1+EXP(-V873))</f>
        <v/>
      </c>
      <c r="X873" s="9">
        <f>-IF(C873=1,LN(W873),LN(1-W873))</f>
        <v/>
      </c>
      <c r="Y873" s="8">
        <f>'1 datos preparados'!V866</f>
        <v/>
      </c>
      <c r="Z873" s="9">
        <f>Y873*X873</f>
        <v/>
      </c>
      <c r="AA873" s="10">
        <f>IF(W873&gt;$AE$33,1,0)</f>
        <v/>
      </c>
      <c r="AB873">
        <f>IF(AA873=C873,1,0)</f>
        <v/>
      </c>
    </row>
    <row r="874">
      <c r="A874">
        <f>'1 datos preparados'!A867</f>
        <v/>
      </c>
      <c r="B874" s="5">
        <f>'1 datos preparados'!U867</f>
        <v/>
      </c>
      <c r="C874">
        <f>'1 datos preparados'!B867</f>
        <v/>
      </c>
      <c r="D874" s="7">
        <f>'1 datos preparados'!C867</f>
        <v/>
      </c>
      <c r="E874" s="7">
        <f>'1 datos preparados'!D867</f>
        <v/>
      </c>
      <c r="F874" s="7">
        <f>'1 datos preparados'!E867</f>
        <v/>
      </c>
      <c r="G874" s="7">
        <f>'1 datos preparados'!F867</f>
        <v/>
      </c>
      <c r="H874" s="7">
        <f>'1 datos preparados'!G867</f>
        <v/>
      </c>
      <c r="I874" s="7">
        <f>'1 datos preparados'!H867</f>
        <v/>
      </c>
      <c r="J874" s="7">
        <f>'1 datos preparados'!I867</f>
        <v/>
      </c>
      <c r="K874" s="7">
        <f>'1 datos preparados'!J867</f>
        <v/>
      </c>
      <c r="L874" s="7">
        <f>'1 datos preparados'!K867</f>
        <v/>
      </c>
      <c r="M874" s="7">
        <f>'1 datos preparados'!L867</f>
        <v/>
      </c>
      <c r="N874" s="7">
        <f>'1 datos preparados'!M867</f>
        <v/>
      </c>
      <c r="O874" s="7">
        <f>'1 datos preparados'!N867</f>
        <v/>
      </c>
      <c r="P874" s="7">
        <f>'1 datos preparados'!O867</f>
        <v/>
      </c>
      <c r="Q874" s="7">
        <f>'1 datos preparados'!P867</f>
        <v/>
      </c>
      <c r="R874" s="7">
        <f>'1 datos preparados'!Q867</f>
        <v/>
      </c>
      <c r="S874" s="7">
        <f>'1 datos preparados'!R867</f>
        <v/>
      </c>
      <c r="T874" s="7">
        <f>'1 datos preparados'!S867</f>
        <v/>
      </c>
      <c r="U874" s="7">
        <f>'1 datos preparados'!T867</f>
        <v/>
      </c>
      <c r="V874" s="8">
        <f>$AE$12+D874*$AE$13+E874*$AE$14+F874*$AE$15+G874*$AE$16+H874*$AE$17+I874*$AE$18+J874*$AE$19+K874*$AE$20+L874*$AE$21+M874*$AE$22+N874*$AE$23+O874*$AE$24+P874*$AE$25+Q874*$AE$26+R874*$AE$27+S874*$AE$28+T874*$AE$29+U874*$AE$30</f>
        <v/>
      </c>
      <c r="W874" s="8">
        <f>1/(1+EXP(-V874))</f>
        <v/>
      </c>
      <c r="X874" s="9">
        <f>-IF(C874=1,LN(W874),LN(1-W874))</f>
        <v/>
      </c>
      <c r="Y874" s="8">
        <f>'1 datos preparados'!V867</f>
        <v/>
      </c>
      <c r="Z874" s="9">
        <f>Y874*X874</f>
        <v/>
      </c>
      <c r="AA874" s="10">
        <f>IF(W874&gt;$AE$33,1,0)</f>
        <v/>
      </c>
      <c r="AB874">
        <f>IF(AA874=C874,1,0)</f>
        <v/>
      </c>
    </row>
    <row r="875">
      <c r="A875">
        <f>'1 datos preparados'!A868</f>
        <v/>
      </c>
      <c r="B875" s="5">
        <f>'1 datos preparados'!U868</f>
        <v/>
      </c>
      <c r="C875">
        <f>'1 datos preparados'!B868</f>
        <v/>
      </c>
      <c r="D875" s="7">
        <f>'1 datos preparados'!C868</f>
        <v/>
      </c>
      <c r="E875" s="7">
        <f>'1 datos preparados'!D868</f>
        <v/>
      </c>
      <c r="F875" s="7">
        <f>'1 datos preparados'!E868</f>
        <v/>
      </c>
      <c r="G875" s="7">
        <f>'1 datos preparados'!F868</f>
        <v/>
      </c>
      <c r="H875" s="7">
        <f>'1 datos preparados'!G868</f>
        <v/>
      </c>
      <c r="I875" s="7">
        <f>'1 datos preparados'!H868</f>
        <v/>
      </c>
      <c r="J875" s="7">
        <f>'1 datos preparados'!I868</f>
        <v/>
      </c>
      <c r="K875" s="7">
        <f>'1 datos preparados'!J868</f>
        <v/>
      </c>
      <c r="L875" s="7">
        <f>'1 datos preparados'!K868</f>
        <v/>
      </c>
      <c r="M875" s="7">
        <f>'1 datos preparados'!L868</f>
        <v/>
      </c>
      <c r="N875" s="7">
        <f>'1 datos preparados'!M868</f>
        <v/>
      </c>
      <c r="O875" s="7">
        <f>'1 datos preparados'!N868</f>
        <v/>
      </c>
      <c r="P875" s="7">
        <f>'1 datos preparados'!O868</f>
        <v/>
      </c>
      <c r="Q875" s="7">
        <f>'1 datos preparados'!P868</f>
        <v/>
      </c>
      <c r="R875" s="7">
        <f>'1 datos preparados'!Q868</f>
        <v/>
      </c>
      <c r="S875" s="7">
        <f>'1 datos preparados'!R868</f>
        <v/>
      </c>
      <c r="T875" s="7">
        <f>'1 datos preparados'!S868</f>
        <v/>
      </c>
      <c r="U875" s="7">
        <f>'1 datos preparados'!T868</f>
        <v/>
      </c>
      <c r="V875" s="8">
        <f>$AE$12+D875*$AE$13+E875*$AE$14+F875*$AE$15+G875*$AE$16+H875*$AE$17+I875*$AE$18+J875*$AE$19+K875*$AE$20+L875*$AE$21+M875*$AE$22+N875*$AE$23+O875*$AE$24+P875*$AE$25+Q875*$AE$26+R875*$AE$27+S875*$AE$28+T875*$AE$29+U875*$AE$30</f>
        <v/>
      </c>
      <c r="W875" s="8">
        <f>1/(1+EXP(-V875))</f>
        <v/>
      </c>
      <c r="X875" s="9">
        <f>-IF(C875=1,LN(W875),LN(1-W875))</f>
        <v/>
      </c>
      <c r="Y875" s="8">
        <f>'1 datos preparados'!V868</f>
        <v/>
      </c>
      <c r="Z875" s="9">
        <f>Y875*X875</f>
        <v/>
      </c>
      <c r="AA875" s="10">
        <f>IF(W875&gt;$AE$33,1,0)</f>
        <v/>
      </c>
      <c r="AB875">
        <f>IF(AA875=C875,1,0)</f>
        <v/>
      </c>
    </row>
    <row r="876">
      <c r="A876">
        <f>'1 datos preparados'!A869</f>
        <v/>
      </c>
      <c r="B876" s="5">
        <f>'1 datos preparados'!U869</f>
        <v/>
      </c>
      <c r="C876">
        <f>'1 datos preparados'!B869</f>
        <v/>
      </c>
      <c r="D876" s="7">
        <f>'1 datos preparados'!C869</f>
        <v/>
      </c>
      <c r="E876" s="7">
        <f>'1 datos preparados'!D869</f>
        <v/>
      </c>
      <c r="F876" s="7">
        <f>'1 datos preparados'!E869</f>
        <v/>
      </c>
      <c r="G876" s="7">
        <f>'1 datos preparados'!F869</f>
        <v/>
      </c>
      <c r="H876" s="7">
        <f>'1 datos preparados'!G869</f>
        <v/>
      </c>
      <c r="I876" s="7">
        <f>'1 datos preparados'!H869</f>
        <v/>
      </c>
      <c r="J876" s="7">
        <f>'1 datos preparados'!I869</f>
        <v/>
      </c>
      <c r="K876" s="7">
        <f>'1 datos preparados'!J869</f>
        <v/>
      </c>
      <c r="L876" s="7">
        <f>'1 datos preparados'!K869</f>
        <v/>
      </c>
      <c r="M876" s="7">
        <f>'1 datos preparados'!L869</f>
        <v/>
      </c>
      <c r="N876" s="7">
        <f>'1 datos preparados'!M869</f>
        <v/>
      </c>
      <c r="O876" s="7">
        <f>'1 datos preparados'!N869</f>
        <v/>
      </c>
      <c r="P876" s="7">
        <f>'1 datos preparados'!O869</f>
        <v/>
      </c>
      <c r="Q876" s="7">
        <f>'1 datos preparados'!P869</f>
        <v/>
      </c>
      <c r="R876" s="7">
        <f>'1 datos preparados'!Q869</f>
        <v/>
      </c>
      <c r="S876" s="7">
        <f>'1 datos preparados'!R869</f>
        <v/>
      </c>
      <c r="T876" s="7">
        <f>'1 datos preparados'!S869</f>
        <v/>
      </c>
      <c r="U876" s="7">
        <f>'1 datos preparados'!T869</f>
        <v/>
      </c>
      <c r="V876" s="8">
        <f>$AE$12+D876*$AE$13+E876*$AE$14+F876*$AE$15+G876*$AE$16+H876*$AE$17+I876*$AE$18+J876*$AE$19+K876*$AE$20+L876*$AE$21+M876*$AE$22+N876*$AE$23+O876*$AE$24+P876*$AE$25+Q876*$AE$26+R876*$AE$27+S876*$AE$28+T876*$AE$29+U876*$AE$30</f>
        <v/>
      </c>
      <c r="W876" s="8">
        <f>1/(1+EXP(-V876))</f>
        <v/>
      </c>
      <c r="X876" s="9">
        <f>-IF(C876=1,LN(W876),LN(1-W876))</f>
        <v/>
      </c>
      <c r="Y876" s="8">
        <f>'1 datos preparados'!V869</f>
        <v/>
      </c>
      <c r="Z876" s="9">
        <f>Y876*X876</f>
        <v/>
      </c>
      <c r="AA876" s="10">
        <f>IF(W876&gt;$AE$33,1,0)</f>
        <v/>
      </c>
      <c r="AB876">
        <f>IF(AA876=C876,1,0)</f>
        <v/>
      </c>
    </row>
    <row r="877">
      <c r="A877">
        <f>'1 datos preparados'!A870</f>
        <v/>
      </c>
      <c r="B877" s="5">
        <f>'1 datos preparados'!U870</f>
        <v/>
      </c>
      <c r="C877">
        <f>'1 datos preparados'!B870</f>
        <v/>
      </c>
      <c r="D877" s="7">
        <f>'1 datos preparados'!C870</f>
        <v/>
      </c>
      <c r="E877" s="7">
        <f>'1 datos preparados'!D870</f>
        <v/>
      </c>
      <c r="F877" s="7">
        <f>'1 datos preparados'!E870</f>
        <v/>
      </c>
      <c r="G877" s="7">
        <f>'1 datos preparados'!F870</f>
        <v/>
      </c>
      <c r="H877" s="7">
        <f>'1 datos preparados'!G870</f>
        <v/>
      </c>
      <c r="I877" s="7">
        <f>'1 datos preparados'!H870</f>
        <v/>
      </c>
      <c r="J877" s="7">
        <f>'1 datos preparados'!I870</f>
        <v/>
      </c>
      <c r="K877" s="7">
        <f>'1 datos preparados'!J870</f>
        <v/>
      </c>
      <c r="L877" s="7">
        <f>'1 datos preparados'!K870</f>
        <v/>
      </c>
      <c r="M877" s="7">
        <f>'1 datos preparados'!L870</f>
        <v/>
      </c>
      <c r="N877" s="7">
        <f>'1 datos preparados'!M870</f>
        <v/>
      </c>
      <c r="O877" s="7">
        <f>'1 datos preparados'!N870</f>
        <v/>
      </c>
      <c r="P877" s="7">
        <f>'1 datos preparados'!O870</f>
        <v/>
      </c>
      <c r="Q877" s="7">
        <f>'1 datos preparados'!P870</f>
        <v/>
      </c>
      <c r="R877" s="7">
        <f>'1 datos preparados'!Q870</f>
        <v/>
      </c>
      <c r="S877" s="7">
        <f>'1 datos preparados'!R870</f>
        <v/>
      </c>
      <c r="T877" s="7">
        <f>'1 datos preparados'!S870</f>
        <v/>
      </c>
      <c r="U877" s="7">
        <f>'1 datos preparados'!T870</f>
        <v/>
      </c>
      <c r="V877" s="8">
        <f>$AE$12+D877*$AE$13+E877*$AE$14+F877*$AE$15+G877*$AE$16+H877*$AE$17+I877*$AE$18+J877*$AE$19+K877*$AE$20+L877*$AE$21+M877*$AE$22+N877*$AE$23+O877*$AE$24+P877*$AE$25+Q877*$AE$26+R877*$AE$27+S877*$AE$28+T877*$AE$29+U877*$AE$30</f>
        <v/>
      </c>
      <c r="W877" s="8">
        <f>1/(1+EXP(-V877))</f>
        <v/>
      </c>
      <c r="X877" s="9">
        <f>-IF(C877=1,LN(W877),LN(1-W877))</f>
        <v/>
      </c>
      <c r="Y877" s="8">
        <f>'1 datos preparados'!V870</f>
        <v/>
      </c>
      <c r="Z877" s="9">
        <f>Y877*X877</f>
        <v/>
      </c>
      <c r="AA877" s="10">
        <f>IF(W877&gt;$AE$33,1,0)</f>
        <v/>
      </c>
      <c r="AB877">
        <f>IF(AA877=C877,1,0)</f>
        <v/>
      </c>
    </row>
    <row r="878">
      <c r="A878">
        <f>'1 datos preparados'!A871</f>
        <v/>
      </c>
      <c r="B878" s="5">
        <f>'1 datos preparados'!U871</f>
        <v/>
      </c>
      <c r="C878">
        <f>'1 datos preparados'!B871</f>
        <v/>
      </c>
      <c r="D878" s="7">
        <f>'1 datos preparados'!C871</f>
        <v/>
      </c>
      <c r="E878" s="7">
        <f>'1 datos preparados'!D871</f>
        <v/>
      </c>
      <c r="F878" s="7">
        <f>'1 datos preparados'!E871</f>
        <v/>
      </c>
      <c r="G878" s="7">
        <f>'1 datos preparados'!F871</f>
        <v/>
      </c>
      <c r="H878" s="7">
        <f>'1 datos preparados'!G871</f>
        <v/>
      </c>
      <c r="I878" s="7">
        <f>'1 datos preparados'!H871</f>
        <v/>
      </c>
      <c r="J878" s="7">
        <f>'1 datos preparados'!I871</f>
        <v/>
      </c>
      <c r="K878" s="7">
        <f>'1 datos preparados'!J871</f>
        <v/>
      </c>
      <c r="L878" s="7">
        <f>'1 datos preparados'!K871</f>
        <v/>
      </c>
      <c r="M878" s="7">
        <f>'1 datos preparados'!L871</f>
        <v/>
      </c>
      <c r="N878" s="7">
        <f>'1 datos preparados'!M871</f>
        <v/>
      </c>
      <c r="O878" s="7">
        <f>'1 datos preparados'!N871</f>
        <v/>
      </c>
      <c r="P878" s="7">
        <f>'1 datos preparados'!O871</f>
        <v/>
      </c>
      <c r="Q878" s="7">
        <f>'1 datos preparados'!P871</f>
        <v/>
      </c>
      <c r="R878" s="7">
        <f>'1 datos preparados'!Q871</f>
        <v/>
      </c>
      <c r="S878" s="7">
        <f>'1 datos preparados'!R871</f>
        <v/>
      </c>
      <c r="T878" s="7">
        <f>'1 datos preparados'!S871</f>
        <v/>
      </c>
      <c r="U878" s="7">
        <f>'1 datos preparados'!T871</f>
        <v/>
      </c>
      <c r="V878" s="8">
        <f>$AE$12+D878*$AE$13+E878*$AE$14+F878*$AE$15+G878*$AE$16+H878*$AE$17+I878*$AE$18+J878*$AE$19+K878*$AE$20+L878*$AE$21+M878*$AE$22+N878*$AE$23+O878*$AE$24+P878*$AE$25+Q878*$AE$26+R878*$AE$27+S878*$AE$28+T878*$AE$29+U878*$AE$30</f>
        <v/>
      </c>
      <c r="W878" s="8">
        <f>1/(1+EXP(-V878))</f>
        <v/>
      </c>
      <c r="X878" s="9">
        <f>-IF(C878=1,LN(W878),LN(1-W878))</f>
        <v/>
      </c>
      <c r="Y878" s="8">
        <f>'1 datos preparados'!V871</f>
        <v/>
      </c>
      <c r="Z878" s="9">
        <f>Y878*X878</f>
        <v/>
      </c>
      <c r="AA878" s="10">
        <f>IF(W878&gt;$AE$33,1,0)</f>
        <v/>
      </c>
      <c r="AB878">
        <f>IF(AA878=C878,1,0)</f>
        <v/>
      </c>
    </row>
    <row r="879">
      <c r="A879">
        <f>'1 datos preparados'!A872</f>
        <v/>
      </c>
      <c r="B879" s="5">
        <f>'1 datos preparados'!U872</f>
        <v/>
      </c>
      <c r="C879">
        <f>'1 datos preparados'!B872</f>
        <v/>
      </c>
      <c r="D879" s="7">
        <f>'1 datos preparados'!C872</f>
        <v/>
      </c>
      <c r="E879" s="7">
        <f>'1 datos preparados'!D872</f>
        <v/>
      </c>
      <c r="F879" s="7">
        <f>'1 datos preparados'!E872</f>
        <v/>
      </c>
      <c r="G879" s="7">
        <f>'1 datos preparados'!F872</f>
        <v/>
      </c>
      <c r="H879" s="7">
        <f>'1 datos preparados'!G872</f>
        <v/>
      </c>
      <c r="I879" s="7">
        <f>'1 datos preparados'!H872</f>
        <v/>
      </c>
      <c r="J879" s="7">
        <f>'1 datos preparados'!I872</f>
        <v/>
      </c>
      <c r="K879" s="7">
        <f>'1 datos preparados'!J872</f>
        <v/>
      </c>
      <c r="L879" s="7">
        <f>'1 datos preparados'!K872</f>
        <v/>
      </c>
      <c r="M879" s="7">
        <f>'1 datos preparados'!L872</f>
        <v/>
      </c>
      <c r="N879" s="7">
        <f>'1 datos preparados'!M872</f>
        <v/>
      </c>
      <c r="O879" s="7">
        <f>'1 datos preparados'!N872</f>
        <v/>
      </c>
      <c r="P879" s="7">
        <f>'1 datos preparados'!O872</f>
        <v/>
      </c>
      <c r="Q879" s="7">
        <f>'1 datos preparados'!P872</f>
        <v/>
      </c>
      <c r="R879" s="7">
        <f>'1 datos preparados'!Q872</f>
        <v/>
      </c>
      <c r="S879" s="7">
        <f>'1 datos preparados'!R872</f>
        <v/>
      </c>
      <c r="T879" s="7">
        <f>'1 datos preparados'!S872</f>
        <v/>
      </c>
      <c r="U879" s="7">
        <f>'1 datos preparados'!T872</f>
        <v/>
      </c>
      <c r="V879" s="8">
        <f>$AE$12+D879*$AE$13+E879*$AE$14+F879*$AE$15+G879*$AE$16+H879*$AE$17+I879*$AE$18+J879*$AE$19+K879*$AE$20+L879*$AE$21+M879*$AE$22+N879*$AE$23+O879*$AE$24+P879*$AE$25+Q879*$AE$26+R879*$AE$27+S879*$AE$28+T879*$AE$29+U879*$AE$30</f>
        <v/>
      </c>
      <c r="W879" s="8">
        <f>1/(1+EXP(-V879))</f>
        <v/>
      </c>
      <c r="X879" s="9">
        <f>-IF(C879=1,LN(W879),LN(1-W879))</f>
        <v/>
      </c>
      <c r="Y879" s="8">
        <f>'1 datos preparados'!V872</f>
        <v/>
      </c>
      <c r="Z879" s="9">
        <f>Y879*X879</f>
        <v/>
      </c>
      <c r="AA879" s="10">
        <f>IF(W879&gt;$AE$33,1,0)</f>
        <v/>
      </c>
      <c r="AB879">
        <f>IF(AA879=C879,1,0)</f>
        <v/>
      </c>
    </row>
    <row r="880">
      <c r="A880">
        <f>'1 datos preparados'!A873</f>
        <v/>
      </c>
      <c r="B880" s="5">
        <f>'1 datos preparados'!U873</f>
        <v/>
      </c>
      <c r="C880">
        <f>'1 datos preparados'!B873</f>
        <v/>
      </c>
      <c r="D880" s="7">
        <f>'1 datos preparados'!C873</f>
        <v/>
      </c>
      <c r="E880" s="7">
        <f>'1 datos preparados'!D873</f>
        <v/>
      </c>
      <c r="F880" s="7">
        <f>'1 datos preparados'!E873</f>
        <v/>
      </c>
      <c r="G880" s="7">
        <f>'1 datos preparados'!F873</f>
        <v/>
      </c>
      <c r="H880" s="7">
        <f>'1 datos preparados'!G873</f>
        <v/>
      </c>
      <c r="I880" s="7">
        <f>'1 datos preparados'!H873</f>
        <v/>
      </c>
      <c r="J880" s="7">
        <f>'1 datos preparados'!I873</f>
        <v/>
      </c>
      <c r="K880" s="7">
        <f>'1 datos preparados'!J873</f>
        <v/>
      </c>
      <c r="L880" s="7">
        <f>'1 datos preparados'!K873</f>
        <v/>
      </c>
      <c r="M880" s="7">
        <f>'1 datos preparados'!L873</f>
        <v/>
      </c>
      <c r="N880" s="7">
        <f>'1 datos preparados'!M873</f>
        <v/>
      </c>
      <c r="O880" s="7">
        <f>'1 datos preparados'!N873</f>
        <v/>
      </c>
      <c r="P880" s="7">
        <f>'1 datos preparados'!O873</f>
        <v/>
      </c>
      <c r="Q880" s="7">
        <f>'1 datos preparados'!P873</f>
        <v/>
      </c>
      <c r="R880" s="7">
        <f>'1 datos preparados'!Q873</f>
        <v/>
      </c>
      <c r="S880" s="7">
        <f>'1 datos preparados'!R873</f>
        <v/>
      </c>
      <c r="T880" s="7">
        <f>'1 datos preparados'!S873</f>
        <v/>
      </c>
      <c r="U880" s="7">
        <f>'1 datos preparados'!T873</f>
        <v/>
      </c>
      <c r="V880" s="8">
        <f>$AE$12+D880*$AE$13+E880*$AE$14+F880*$AE$15+G880*$AE$16+H880*$AE$17+I880*$AE$18+J880*$AE$19+K880*$AE$20+L880*$AE$21+M880*$AE$22+N880*$AE$23+O880*$AE$24+P880*$AE$25+Q880*$AE$26+R880*$AE$27+S880*$AE$28+T880*$AE$29+U880*$AE$30</f>
        <v/>
      </c>
      <c r="W880" s="8">
        <f>1/(1+EXP(-V880))</f>
        <v/>
      </c>
      <c r="X880" s="9">
        <f>-IF(C880=1,LN(W880),LN(1-W880))</f>
        <v/>
      </c>
      <c r="Y880" s="8">
        <f>'1 datos preparados'!V873</f>
        <v/>
      </c>
      <c r="Z880" s="9">
        <f>Y880*X880</f>
        <v/>
      </c>
      <c r="AA880" s="10">
        <f>IF(W880&gt;$AE$33,1,0)</f>
        <v/>
      </c>
      <c r="AB880">
        <f>IF(AA880=C880,1,0)</f>
        <v/>
      </c>
    </row>
    <row r="881">
      <c r="A881">
        <f>'1 datos preparados'!A874</f>
        <v/>
      </c>
      <c r="B881" s="5">
        <f>'1 datos preparados'!U874</f>
        <v/>
      </c>
      <c r="C881">
        <f>'1 datos preparados'!B874</f>
        <v/>
      </c>
      <c r="D881" s="7">
        <f>'1 datos preparados'!C874</f>
        <v/>
      </c>
      <c r="E881" s="7">
        <f>'1 datos preparados'!D874</f>
        <v/>
      </c>
      <c r="F881" s="7">
        <f>'1 datos preparados'!E874</f>
        <v/>
      </c>
      <c r="G881" s="7">
        <f>'1 datos preparados'!F874</f>
        <v/>
      </c>
      <c r="H881" s="7">
        <f>'1 datos preparados'!G874</f>
        <v/>
      </c>
      <c r="I881" s="7">
        <f>'1 datos preparados'!H874</f>
        <v/>
      </c>
      <c r="J881" s="7">
        <f>'1 datos preparados'!I874</f>
        <v/>
      </c>
      <c r="K881" s="7">
        <f>'1 datos preparados'!J874</f>
        <v/>
      </c>
      <c r="L881" s="7">
        <f>'1 datos preparados'!K874</f>
        <v/>
      </c>
      <c r="M881" s="7">
        <f>'1 datos preparados'!L874</f>
        <v/>
      </c>
      <c r="N881" s="7">
        <f>'1 datos preparados'!M874</f>
        <v/>
      </c>
      <c r="O881" s="7">
        <f>'1 datos preparados'!N874</f>
        <v/>
      </c>
      <c r="P881" s="7">
        <f>'1 datos preparados'!O874</f>
        <v/>
      </c>
      <c r="Q881" s="7">
        <f>'1 datos preparados'!P874</f>
        <v/>
      </c>
      <c r="R881" s="7">
        <f>'1 datos preparados'!Q874</f>
        <v/>
      </c>
      <c r="S881" s="7">
        <f>'1 datos preparados'!R874</f>
        <v/>
      </c>
      <c r="T881" s="7">
        <f>'1 datos preparados'!S874</f>
        <v/>
      </c>
      <c r="U881" s="7">
        <f>'1 datos preparados'!T874</f>
        <v/>
      </c>
      <c r="V881" s="8">
        <f>$AE$12+D881*$AE$13+E881*$AE$14+F881*$AE$15+G881*$AE$16+H881*$AE$17+I881*$AE$18+J881*$AE$19+K881*$AE$20+L881*$AE$21+M881*$AE$22+N881*$AE$23+O881*$AE$24+P881*$AE$25+Q881*$AE$26+R881*$AE$27+S881*$AE$28+T881*$AE$29+U881*$AE$30</f>
        <v/>
      </c>
      <c r="W881" s="8">
        <f>1/(1+EXP(-V881))</f>
        <v/>
      </c>
      <c r="X881" s="9">
        <f>-IF(C881=1,LN(W881),LN(1-W881))</f>
        <v/>
      </c>
      <c r="Y881" s="8">
        <f>'1 datos preparados'!V874</f>
        <v/>
      </c>
      <c r="Z881" s="9">
        <f>Y881*X881</f>
        <v/>
      </c>
      <c r="AA881" s="10">
        <f>IF(W881&gt;$AE$33,1,0)</f>
        <v/>
      </c>
      <c r="AB881">
        <f>IF(AA881=C881,1,0)</f>
        <v/>
      </c>
    </row>
    <row r="882">
      <c r="A882">
        <f>'1 datos preparados'!A875</f>
        <v/>
      </c>
      <c r="B882" s="5">
        <f>'1 datos preparados'!U875</f>
        <v/>
      </c>
      <c r="C882">
        <f>'1 datos preparados'!B875</f>
        <v/>
      </c>
      <c r="D882" s="7">
        <f>'1 datos preparados'!C875</f>
        <v/>
      </c>
      <c r="E882" s="7">
        <f>'1 datos preparados'!D875</f>
        <v/>
      </c>
      <c r="F882" s="7">
        <f>'1 datos preparados'!E875</f>
        <v/>
      </c>
      <c r="G882" s="7">
        <f>'1 datos preparados'!F875</f>
        <v/>
      </c>
      <c r="H882" s="7">
        <f>'1 datos preparados'!G875</f>
        <v/>
      </c>
      <c r="I882" s="7">
        <f>'1 datos preparados'!H875</f>
        <v/>
      </c>
      <c r="J882" s="7">
        <f>'1 datos preparados'!I875</f>
        <v/>
      </c>
      <c r="K882" s="7">
        <f>'1 datos preparados'!J875</f>
        <v/>
      </c>
      <c r="L882" s="7">
        <f>'1 datos preparados'!K875</f>
        <v/>
      </c>
      <c r="M882" s="7">
        <f>'1 datos preparados'!L875</f>
        <v/>
      </c>
      <c r="N882" s="7">
        <f>'1 datos preparados'!M875</f>
        <v/>
      </c>
      <c r="O882" s="7">
        <f>'1 datos preparados'!N875</f>
        <v/>
      </c>
      <c r="P882" s="7">
        <f>'1 datos preparados'!O875</f>
        <v/>
      </c>
      <c r="Q882" s="7">
        <f>'1 datos preparados'!P875</f>
        <v/>
      </c>
      <c r="R882" s="7">
        <f>'1 datos preparados'!Q875</f>
        <v/>
      </c>
      <c r="S882" s="7">
        <f>'1 datos preparados'!R875</f>
        <v/>
      </c>
      <c r="T882" s="7">
        <f>'1 datos preparados'!S875</f>
        <v/>
      </c>
      <c r="U882" s="7">
        <f>'1 datos preparados'!T875</f>
        <v/>
      </c>
      <c r="V882" s="8">
        <f>$AE$12+D882*$AE$13+E882*$AE$14+F882*$AE$15+G882*$AE$16+H882*$AE$17+I882*$AE$18+J882*$AE$19+K882*$AE$20+L882*$AE$21+M882*$AE$22+N882*$AE$23+O882*$AE$24+P882*$AE$25+Q882*$AE$26+R882*$AE$27+S882*$AE$28+T882*$AE$29+U882*$AE$30</f>
        <v/>
      </c>
      <c r="W882" s="8">
        <f>1/(1+EXP(-V882))</f>
        <v/>
      </c>
      <c r="X882" s="9">
        <f>-IF(C882=1,LN(W882),LN(1-W882))</f>
        <v/>
      </c>
      <c r="Y882" s="8">
        <f>'1 datos preparados'!V875</f>
        <v/>
      </c>
      <c r="Z882" s="9">
        <f>Y882*X882</f>
        <v/>
      </c>
      <c r="AA882" s="10">
        <f>IF(W882&gt;$AE$33,1,0)</f>
        <v/>
      </c>
      <c r="AB882">
        <f>IF(AA882=C882,1,0)</f>
        <v/>
      </c>
    </row>
    <row r="883">
      <c r="A883">
        <f>'1 datos preparados'!A876</f>
        <v/>
      </c>
      <c r="B883" s="5">
        <f>'1 datos preparados'!U876</f>
        <v/>
      </c>
      <c r="C883">
        <f>'1 datos preparados'!B876</f>
        <v/>
      </c>
      <c r="D883" s="7">
        <f>'1 datos preparados'!C876</f>
        <v/>
      </c>
      <c r="E883" s="7">
        <f>'1 datos preparados'!D876</f>
        <v/>
      </c>
      <c r="F883" s="7">
        <f>'1 datos preparados'!E876</f>
        <v/>
      </c>
      <c r="G883" s="7">
        <f>'1 datos preparados'!F876</f>
        <v/>
      </c>
      <c r="H883" s="7">
        <f>'1 datos preparados'!G876</f>
        <v/>
      </c>
      <c r="I883" s="7">
        <f>'1 datos preparados'!H876</f>
        <v/>
      </c>
      <c r="J883" s="7">
        <f>'1 datos preparados'!I876</f>
        <v/>
      </c>
      <c r="K883" s="7">
        <f>'1 datos preparados'!J876</f>
        <v/>
      </c>
      <c r="L883" s="7">
        <f>'1 datos preparados'!K876</f>
        <v/>
      </c>
      <c r="M883" s="7">
        <f>'1 datos preparados'!L876</f>
        <v/>
      </c>
      <c r="N883" s="7">
        <f>'1 datos preparados'!M876</f>
        <v/>
      </c>
      <c r="O883" s="7">
        <f>'1 datos preparados'!N876</f>
        <v/>
      </c>
      <c r="P883" s="7">
        <f>'1 datos preparados'!O876</f>
        <v/>
      </c>
      <c r="Q883" s="7">
        <f>'1 datos preparados'!P876</f>
        <v/>
      </c>
      <c r="R883" s="7">
        <f>'1 datos preparados'!Q876</f>
        <v/>
      </c>
      <c r="S883" s="7">
        <f>'1 datos preparados'!R876</f>
        <v/>
      </c>
      <c r="T883" s="7">
        <f>'1 datos preparados'!S876</f>
        <v/>
      </c>
      <c r="U883" s="7">
        <f>'1 datos preparados'!T876</f>
        <v/>
      </c>
      <c r="V883" s="8">
        <f>$AE$12+D883*$AE$13+E883*$AE$14+F883*$AE$15+G883*$AE$16+H883*$AE$17+I883*$AE$18+J883*$AE$19+K883*$AE$20+L883*$AE$21+M883*$AE$22+N883*$AE$23+O883*$AE$24+P883*$AE$25+Q883*$AE$26+R883*$AE$27+S883*$AE$28+T883*$AE$29+U883*$AE$30</f>
        <v/>
      </c>
      <c r="W883" s="8">
        <f>1/(1+EXP(-V883))</f>
        <v/>
      </c>
      <c r="X883" s="9">
        <f>-IF(C883=1,LN(W883),LN(1-W883))</f>
        <v/>
      </c>
      <c r="Y883" s="8">
        <f>'1 datos preparados'!V876</f>
        <v/>
      </c>
      <c r="Z883" s="9">
        <f>Y883*X883</f>
        <v/>
      </c>
      <c r="AA883" s="10">
        <f>IF(W883&gt;$AE$33,1,0)</f>
        <v/>
      </c>
      <c r="AB883">
        <f>IF(AA883=C883,1,0)</f>
        <v/>
      </c>
    </row>
    <row r="884">
      <c r="A884">
        <f>'1 datos preparados'!A877</f>
        <v/>
      </c>
      <c r="B884" s="5">
        <f>'1 datos preparados'!U877</f>
        <v/>
      </c>
      <c r="C884">
        <f>'1 datos preparados'!B877</f>
        <v/>
      </c>
      <c r="D884" s="7">
        <f>'1 datos preparados'!C877</f>
        <v/>
      </c>
      <c r="E884" s="7">
        <f>'1 datos preparados'!D877</f>
        <v/>
      </c>
      <c r="F884" s="7">
        <f>'1 datos preparados'!E877</f>
        <v/>
      </c>
      <c r="G884" s="7">
        <f>'1 datos preparados'!F877</f>
        <v/>
      </c>
      <c r="H884" s="7">
        <f>'1 datos preparados'!G877</f>
        <v/>
      </c>
      <c r="I884" s="7">
        <f>'1 datos preparados'!H877</f>
        <v/>
      </c>
      <c r="J884" s="7">
        <f>'1 datos preparados'!I877</f>
        <v/>
      </c>
      <c r="K884" s="7">
        <f>'1 datos preparados'!J877</f>
        <v/>
      </c>
      <c r="L884" s="7">
        <f>'1 datos preparados'!K877</f>
        <v/>
      </c>
      <c r="M884" s="7">
        <f>'1 datos preparados'!L877</f>
        <v/>
      </c>
      <c r="N884" s="7">
        <f>'1 datos preparados'!M877</f>
        <v/>
      </c>
      <c r="O884" s="7">
        <f>'1 datos preparados'!N877</f>
        <v/>
      </c>
      <c r="P884" s="7">
        <f>'1 datos preparados'!O877</f>
        <v/>
      </c>
      <c r="Q884" s="7">
        <f>'1 datos preparados'!P877</f>
        <v/>
      </c>
      <c r="R884" s="7">
        <f>'1 datos preparados'!Q877</f>
        <v/>
      </c>
      <c r="S884" s="7">
        <f>'1 datos preparados'!R877</f>
        <v/>
      </c>
      <c r="T884" s="7">
        <f>'1 datos preparados'!S877</f>
        <v/>
      </c>
      <c r="U884" s="7">
        <f>'1 datos preparados'!T877</f>
        <v/>
      </c>
      <c r="V884" s="8">
        <f>$AE$12+D884*$AE$13+E884*$AE$14+F884*$AE$15+G884*$AE$16+H884*$AE$17+I884*$AE$18+J884*$AE$19+K884*$AE$20+L884*$AE$21+M884*$AE$22+N884*$AE$23+O884*$AE$24+P884*$AE$25+Q884*$AE$26+R884*$AE$27+S884*$AE$28+T884*$AE$29+U884*$AE$30</f>
        <v/>
      </c>
      <c r="W884" s="8">
        <f>1/(1+EXP(-V884))</f>
        <v/>
      </c>
      <c r="X884" s="9">
        <f>-IF(C884=1,LN(W884),LN(1-W884))</f>
        <v/>
      </c>
      <c r="Y884" s="8">
        <f>'1 datos preparados'!V877</f>
        <v/>
      </c>
      <c r="Z884" s="9">
        <f>Y884*X884</f>
        <v/>
      </c>
      <c r="AA884" s="10">
        <f>IF(W884&gt;$AE$33,1,0)</f>
        <v/>
      </c>
      <c r="AB884">
        <f>IF(AA884=C884,1,0)</f>
        <v/>
      </c>
    </row>
    <row r="885">
      <c r="A885">
        <f>'1 datos preparados'!A878</f>
        <v/>
      </c>
      <c r="B885" s="5">
        <f>'1 datos preparados'!U878</f>
        <v/>
      </c>
      <c r="C885">
        <f>'1 datos preparados'!B878</f>
        <v/>
      </c>
      <c r="D885" s="7">
        <f>'1 datos preparados'!C878</f>
        <v/>
      </c>
      <c r="E885" s="7">
        <f>'1 datos preparados'!D878</f>
        <v/>
      </c>
      <c r="F885" s="7">
        <f>'1 datos preparados'!E878</f>
        <v/>
      </c>
      <c r="G885" s="7">
        <f>'1 datos preparados'!F878</f>
        <v/>
      </c>
      <c r="H885" s="7">
        <f>'1 datos preparados'!G878</f>
        <v/>
      </c>
      <c r="I885" s="7">
        <f>'1 datos preparados'!H878</f>
        <v/>
      </c>
      <c r="J885" s="7">
        <f>'1 datos preparados'!I878</f>
        <v/>
      </c>
      <c r="K885" s="7">
        <f>'1 datos preparados'!J878</f>
        <v/>
      </c>
      <c r="L885" s="7">
        <f>'1 datos preparados'!K878</f>
        <v/>
      </c>
      <c r="M885" s="7">
        <f>'1 datos preparados'!L878</f>
        <v/>
      </c>
      <c r="N885" s="7">
        <f>'1 datos preparados'!M878</f>
        <v/>
      </c>
      <c r="O885" s="7">
        <f>'1 datos preparados'!N878</f>
        <v/>
      </c>
      <c r="P885" s="7">
        <f>'1 datos preparados'!O878</f>
        <v/>
      </c>
      <c r="Q885" s="7">
        <f>'1 datos preparados'!P878</f>
        <v/>
      </c>
      <c r="R885" s="7">
        <f>'1 datos preparados'!Q878</f>
        <v/>
      </c>
      <c r="S885" s="7">
        <f>'1 datos preparados'!R878</f>
        <v/>
      </c>
      <c r="T885" s="7">
        <f>'1 datos preparados'!S878</f>
        <v/>
      </c>
      <c r="U885" s="7">
        <f>'1 datos preparados'!T878</f>
        <v/>
      </c>
      <c r="V885" s="8">
        <f>$AE$12+D885*$AE$13+E885*$AE$14+F885*$AE$15+G885*$AE$16+H885*$AE$17+I885*$AE$18+J885*$AE$19+K885*$AE$20+L885*$AE$21+M885*$AE$22+N885*$AE$23+O885*$AE$24+P885*$AE$25+Q885*$AE$26+R885*$AE$27+S885*$AE$28+T885*$AE$29+U885*$AE$30</f>
        <v/>
      </c>
      <c r="W885" s="8">
        <f>1/(1+EXP(-V885))</f>
        <v/>
      </c>
      <c r="X885" s="9">
        <f>-IF(C885=1,LN(W885),LN(1-W885))</f>
        <v/>
      </c>
      <c r="Y885" s="8">
        <f>'1 datos preparados'!V878</f>
        <v/>
      </c>
      <c r="Z885" s="9">
        <f>Y885*X885</f>
        <v/>
      </c>
      <c r="AA885" s="10">
        <f>IF(W885&gt;$AE$33,1,0)</f>
        <v/>
      </c>
      <c r="AB885">
        <f>IF(AA885=C885,1,0)</f>
        <v/>
      </c>
    </row>
    <row r="886">
      <c r="A886">
        <f>'1 datos preparados'!A879</f>
        <v/>
      </c>
      <c r="B886" s="5">
        <f>'1 datos preparados'!U879</f>
        <v/>
      </c>
      <c r="C886">
        <f>'1 datos preparados'!B879</f>
        <v/>
      </c>
      <c r="D886" s="7">
        <f>'1 datos preparados'!C879</f>
        <v/>
      </c>
      <c r="E886" s="7">
        <f>'1 datos preparados'!D879</f>
        <v/>
      </c>
      <c r="F886" s="7">
        <f>'1 datos preparados'!E879</f>
        <v/>
      </c>
      <c r="G886" s="7">
        <f>'1 datos preparados'!F879</f>
        <v/>
      </c>
      <c r="H886" s="7">
        <f>'1 datos preparados'!G879</f>
        <v/>
      </c>
      <c r="I886" s="7">
        <f>'1 datos preparados'!H879</f>
        <v/>
      </c>
      <c r="J886" s="7">
        <f>'1 datos preparados'!I879</f>
        <v/>
      </c>
      <c r="K886" s="7">
        <f>'1 datos preparados'!J879</f>
        <v/>
      </c>
      <c r="L886" s="7">
        <f>'1 datos preparados'!K879</f>
        <v/>
      </c>
      <c r="M886" s="7">
        <f>'1 datos preparados'!L879</f>
        <v/>
      </c>
      <c r="N886" s="7">
        <f>'1 datos preparados'!M879</f>
        <v/>
      </c>
      <c r="O886" s="7">
        <f>'1 datos preparados'!N879</f>
        <v/>
      </c>
      <c r="P886" s="7">
        <f>'1 datos preparados'!O879</f>
        <v/>
      </c>
      <c r="Q886" s="7">
        <f>'1 datos preparados'!P879</f>
        <v/>
      </c>
      <c r="R886" s="7">
        <f>'1 datos preparados'!Q879</f>
        <v/>
      </c>
      <c r="S886" s="7">
        <f>'1 datos preparados'!R879</f>
        <v/>
      </c>
      <c r="T886" s="7">
        <f>'1 datos preparados'!S879</f>
        <v/>
      </c>
      <c r="U886" s="7">
        <f>'1 datos preparados'!T879</f>
        <v/>
      </c>
      <c r="V886" s="8">
        <f>$AE$12+D886*$AE$13+E886*$AE$14+F886*$AE$15+G886*$AE$16+H886*$AE$17+I886*$AE$18+J886*$AE$19+K886*$AE$20+L886*$AE$21+M886*$AE$22+N886*$AE$23+O886*$AE$24+P886*$AE$25+Q886*$AE$26+R886*$AE$27+S886*$AE$28+T886*$AE$29+U886*$AE$30</f>
        <v/>
      </c>
      <c r="W886" s="8">
        <f>1/(1+EXP(-V886))</f>
        <v/>
      </c>
      <c r="X886" s="9">
        <f>-IF(C886=1,LN(W886),LN(1-W886))</f>
        <v/>
      </c>
      <c r="Y886" s="8">
        <f>'1 datos preparados'!V879</f>
        <v/>
      </c>
      <c r="Z886" s="9">
        <f>Y886*X886</f>
        <v/>
      </c>
      <c r="AA886" s="10">
        <f>IF(W886&gt;$AE$33,1,0)</f>
        <v/>
      </c>
      <c r="AB886">
        <f>IF(AA886=C886,1,0)</f>
        <v/>
      </c>
    </row>
    <row r="887">
      <c r="A887">
        <f>'1 datos preparados'!A880</f>
        <v/>
      </c>
      <c r="B887" s="5">
        <f>'1 datos preparados'!U880</f>
        <v/>
      </c>
      <c r="C887">
        <f>'1 datos preparados'!B880</f>
        <v/>
      </c>
      <c r="D887" s="7">
        <f>'1 datos preparados'!C880</f>
        <v/>
      </c>
      <c r="E887" s="7">
        <f>'1 datos preparados'!D880</f>
        <v/>
      </c>
      <c r="F887" s="7">
        <f>'1 datos preparados'!E880</f>
        <v/>
      </c>
      <c r="G887" s="7">
        <f>'1 datos preparados'!F880</f>
        <v/>
      </c>
      <c r="H887" s="7">
        <f>'1 datos preparados'!G880</f>
        <v/>
      </c>
      <c r="I887" s="7">
        <f>'1 datos preparados'!H880</f>
        <v/>
      </c>
      <c r="J887" s="7">
        <f>'1 datos preparados'!I880</f>
        <v/>
      </c>
      <c r="K887" s="7">
        <f>'1 datos preparados'!J880</f>
        <v/>
      </c>
      <c r="L887" s="7">
        <f>'1 datos preparados'!K880</f>
        <v/>
      </c>
      <c r="M887" s="7">
        <f>'1 datos preparados'!L880</f>
        <v/>
      </c>
      <c r="N887" s="7">
        <f>'1 datos preparados'!M880</f>
        <v/>
      </c>
      <c r="O887" s="7">
        <f>'1 datos preparados'!N880</f>
        <v/>
      </c>
      <c r="P887" s="7">
        <f>'1 datos preparados'!O880</f>
        <v/>
      </c>
      <c r="Q887" s="7">
        <f>'1 datos preparados'!P880</f>
        <v/>
      </c>
      <c r="R887" s="7">
        <f>'1 datos preparados'!Q880</f>
        <v/>
      </c>
      <c r="S887" s="7">
        <f>'1 datos preparados'!R880</f>
        <v/>
      </c>
      <c r="T887" s="7">
        <f>'1 datos preparados'!S880</f>
        <v/>
      </c>
      <c r="U887" s="7">
        <f>'1 datos preparados'!T880</f>
        <v/>
      </c>
      <c r="V887" s="8">
        <f>$AE$12+D887*$AE$13+E887*$AE$14+F887*$AE$15+G887*$AE$16+H887*$AE$17+I887*$AE$18+J887*$AE$19+K887*$AE$20+L887*$AE$21+M887*$AE$22+N887*$AE$23+O887*$AE$24+P887*$AE$25+Q887*$AE$26+R887*$AE$27+S887*$AE$28+T887*$AE$29+U887*$AE$30</f>
        <v/>
      </c>
      <c r="W887" s="8">
        <f>1/(1+EXP(-V887))</f>
        <v/>
      </c>
      <c r="X887" s="9">
        <f>-IF(C887=1,LN(W887),LN(1-W887))</f>
        <v/>
      </c>
      <c r="Y887" s="8">
        <f>'1 datos preparados'!V880</f>
        <v/>
      </c>
      <c r="Z887" s="9">
        <f>Y887*X887</f>
        <v/>
      </c>
      <c r="AA887" s="10">
        <f>IF(W887&gt;$AE$33,1,0)</f>
        <v/>
      </c>
      <c r="AB887">
        <f>IF(AA887=C887,1,0)</f>
        <v/>
      </c>
    </row>
    <row r="888">
      <c r="A888">
        <f>'1 datos preparados'!A881</f>
        <v/>
      </c>
      <c r="B888" s="5">
        <f>'1 datos preparados'!U881</f>
        <v/>
      </c>
      <c r="C888">
        <f>'1 datos preparados'!B881</f>
        <v/>
      </c>
      <c r="D888" s="7">
        <f>'1 datos preparados'!C881</f>
        <v/>
      </c>
      <c r="E888" s="7">
        <f>'1 datos preparados'!D881</f>
        <v/>
      </c>
      <c r="F888" s="7">
        <f>'1 datos preparados'!E881</f>
        <v/>
      </c>
      <c r="G888" s="7">
        <f>'1 datos preparados'!F881</f>
        <v/>
      </c>
      <c r="H888" s="7">
        <f>'1 datos preparados'!G881</f>
        <v/>
      </c>
      <c r="I888" s="7">
        <f>'1 datos preparados'!H881</f>
        <v/>
      </c>
      <c r="J888" s="7">
        <f>'1 datos preparados'!I881</f>
        <v/>
      </c>
      <c r="K888" s="7">
        <f>'1 datos preparados'!J881</f>
        <v/>
      </c>
      <c r="L888" s="7">
        <f>'1 datos preparados'!K881</f>
        <v/>
      </c>
      <c r="M888" s="7">
        <f>'1 datos preparados'!L881</f>
        <v/>
      </c>
      <c r="N888" s="7">
        <f>'1 datos preparados'!M881</f>
        <v/>
      </c>
      <c r="O888" s="7">
        <f>'1 datos preparados'!N881</f>
        <v/>
      </c>
      <c r="P888" s="7">
        <f>'1 datos preparados'!O881</f>
        <v/>
      </c>
      <c r="Q888" s="7">
        <f>'1 datos preparados'!P881</f>
        <v/>
      </c>
      <c r="R888" s="7">
        <f>'1 datos preparados'!Q881</f>
        <v/>
      </c>
      <c r="S888" s="7">
        <f>'1 datos preparados'!R881</f>
        <v/>
      </c>
      <c r="T888" s="7">
        <f>'1 datos preparados'!S881</f>
        <v/>
      </c>
      <c r="U888" s="7">
        <f>'1 datos preparados'!T881</f>
        <v/>
      </c>
      <c r="V888" s="8">
        <f>$AE$12+D888*$AE$13+E888*$AE$14+F888*$AE$15+G888*$AE$16+H888*$AE$17+I888*$AE$18+J888*$AE$19+K888*$AE$20+L888*$AE$21+M888*$AE$22+N888*$AE$23+O888*$AE$24+P888*$AE$25+Q888*$AE$26+R888*$AE$27+S888*$AE$28+T888*$AE$29+U888*$AE$30</f>
        <v/>
      </c>
      <c r="W888" s="8">
        <f>1/(1+EXP(-V888))</f>
        <v/>
      </c>
      <c r="X888" s="9">
        <f>-IF(C888=1,LN(W888),LN(1-W888))</f>
        <v/>
      </c>
      <c r="Y888" s="8">
        <f>'1 datos preparados'!V881</f>
        <v/>
      </c>
      <c r="Z888" s="9">
        <f>Y888*X888</f>
        <v/>
      </c>
      <c r="AA888" s="10">
        <f>IF(W888&gt;$AE$33,1,0)</f>
        <v/>
      </c>
      <c r="AB888">
        <f>IF(AA888=C888,1,0)</f>
        <v/>
      </c>
    </row>
    <row r="889">
      <c r="A889">
        <f>'1 datos preparados'!A882</f>
        <v/>
      </c>
      <c r="B889" s="5">
        <f>'1 datos preparados'!U882</f>
        <v/>
      </c>
      <c r="C889">
        <f>'1 datos preparados'!B882</f>
        <v/>
      </c>
      <c r="D889" s="7">
        <f>'1 datos preparados'!C882</f>
        <v/>
      </c>
      <c r="E889" s="7">
        <f>'1 datos preparados'!D882</f>
        <v/>
      </c>
      <c r="F889" s="7">
        <f>'1 datos preparados'!E882</f>
        <v/>
      </c>
      <c r="G889" s="7">
        <f>'1 datos preparados'!F882</f>
        <v/>
      </c>
      <c r="H889" s="7">
        <f>'1 datos preparados'!G882</f>
        <v/>
      </c>
      <c r="I889" s="7">
        <f>'1 datos preparados'!H882</f>
        <v/>
      </c>
      <c r="J889" s="7">
        <f>'1 datos preparados'!I882</f>
        <v/>
      </c>
      <c r="K889" s="7">
        <f>'1 datos preparados'!J882</f>
        <v/>
      </c>
      <c r="L889" s="7">
        <f>'1 datos preparados'!K882</f>
        <v/>
      </c>
      <c r="M889" s="7">
        <f>'1 datos preparados'!L882</f>
        <v/>
      </c>
      <c r="N889" s="7">
        <f>'1 datos preparados'!M882</f>
        <v/>
      </c>
      <c r="O889" s="7">
        <f>'1 datos preparados'!N882</f>
        <v/>
      </c>
      <c r="P889" s="7">
        <f>'1 datos preparados'!O882</f>
        <v/>
      </c>
      <c r="Q889" s="7">
        <f>'1 datos preparados'!P882</f>
        <v/>
      </c>
      <c r="R889" s="7">
        <f>'1 datos preparados'!Q882</f>
        <v/>
      </c>
      <c r="S889" s="7">
        <f>'1 datos preparados'!R882</f>
        <v/>
      </c>
      <c r="T889" s="7">
        <f>'1 datos preparados'!S882</f>
        <v/>
      </c>
      <c r="U889" s="7">
        <f>'1 datos preparados'!T882</f>
        <v/>
      </c>
      <c r="V889" s="8">
        <f>$AE$12+D889*$AE$13+E889*$AE$14+F889*$AE$15+G889*$AE$16+H889*$AE$17+I889*$AE$18+J889*$AE$19+K889*$AE$20+L889*$AE$21+M889*$AE$22+N889*$AE$23+O889*$AE$24+P889*$AE$25+Q889*$AE$26+R889*$AE$27+S889*$AE$28+T889*$AE$29+U889*$AE$30</f>
        <v/>
      </c>
      <c r="W889" s="8">
        <f>1/(1+EXP(-V889))</f>
        <v/>
      </c>
      <c r="X889" s="9">
        <f>-IF(C889=1,LN(W889),LN(1-W889))</f>
        <v/>
      </c>
      <c r="Y889" s="8">
        <f>'1 datos preparados'!V882</f>
        <v/>
      </c>
      <c r="Z889" s="9">
        <f>Y889*X889</f>
        <v/>
      </c>
      <c r="AA889" s="10">
        <f>IF(W889&gt;$AE$33,1,0)</f>
        <v/>
      </c>
      <c r="AB889">
        <f>IF(AA889=C889,1,0)</f>
        <v/>
      </c>
    </row>
    <row r="890">
      <c r="A890">
        <f>'1 datos preparados'!A883</f>
        <v/>
      </c>
      <c r="B890" s="5">
        <f>'1 datos preparados'!U883</f>
        <v/>
      </c>
      <c r="C890">
        <f>'1 datos preparados'!B883</f>
        <v/>
      </c>
      <c r="D890" s="7">
        <f>'1 datos preparados'!C883</f>
        <v/>
      </c>
      <c r="E890" s="7">
        <f>'1 datos preparados'!D883</f>
        <v/>
      </c>
      <c r="F890" s="7">
        <f>'1 datos preparados'!E883</f>
        <v/>
      </c>
      <c r="G890" s="7">
        <f>'1 datos preparados'!F883</f>
        <v/>
      </c>
      <c r="H890" s="7">
        <f>'1 datos preparados'!G883</f>
        <v/>
      </c>
      <c r="I890" s="7">
        <f>'1 datos preparados'!H883</f>
        <v/>
      </c>
      <c r="J890" s="7">
        <f>'1 datos preparados'!I883</f>
        <v/>
      </c>
      <c r="K890" s="7">
        <f>'1 datos preparados'!J883</f>
        <v/>
      </c>
      <c r="L890" s="7">
        <f>'1 datos preparados'!K883</f>
        <v/>
      </c>
      <c r="M890" s="7">
        <f>'1 datos preparados'!L883</f>
        <v/>
      </c>
      <c r="N890" s="7">
        <f>'1 datos preparados'!M883</f>
        <v/>
      </c>
      <c r="O890" s="7">
        <f>'1 datos preparados'!N883</f>
        <v/>
      </c>
      <c r="P890" s="7">
        <f>'1 datos preparados'!O883</f>
        <v/>
      </c>
      <c r="Q890" s="7">
        <f>'1 datos preparados'!P883</f>
        <v/>
      </c>
      <c r="R890" s="7">
        <f>'1 datos preparados'!Q883</f>
        <v/>
      </c>
      <c r="S890" s="7">
        <f>'1 datos preparados'!R883</f>
        <v/>
      </c>
      <c r="T890" s="7">
        <f>'1 datos preparados'!S883</f>
        <v/>
      </c>
      <c r="U890" s="7">
        <f>'1 datos preparados'!T883</f>
        <v/>
      </c>
      <c r="V890" s="8">
        <f>$AE$12+D890*$AE$13+E890*$AE$14+F890*$AE$15+G890*$AE$16+H890*$AE$17+I890*$AE$18+J890*$AE$19+K890*$AE$20+L890*$AE$21+M890*$AE$22+N890*$AE$23+O890*$AE$24+P890*$AE$25+Q890*$AE$26+R890*$AE$27+S890*$AE$28+T890*$AE$29+U890*$AE$30</f>
        <v/>
      </c>
      <c r="W890" s="8">
        <f>1/(1+EXP(-V890))</f>
        <v/>
      </c>
      <c r="X890" s="9">
        <f>-IF(C890=1,LN(W890),LN(1-W890))</f>
        <v/>
      </c>
      <c r="Y890" s="8">
        <f>'1 datos preparados'!V883</f>
        <v/>
      </c>
      <c r="Z890" s="9">
        <f>Y890*X890</f>
        <v/>
      </c>
      <c r="AA890" s="10">
        <f>IF(W890&gt;$AE$33,1,0)</f>
        <v/>
      </c>
      <c r="AB890">
        <f>IF(AA890=C890,1,0)</f>
        <v/>
      </c>
    </row>
    <row r="891">
      <c r="A891">
        <f>'1 datos preparados'!A884</f>
        <v/>
      </c>
      <c r="B891" s="5">
        <f>'1 datos preparados'!U884</f>
        <v/>
      </c>
      <c r="C891">
        <f>'1 datos preparados'!B884</f>
        <v/>
      </c>
      <c r="D891" s="7">
        <f>'1 datos preparados'!C884</f>
        <v/>
      </c>
      <c r="E891" s="7">
        <f>'1 datos preparados'!D884</f>
        <v/>
      </c>
      <c r="F891" s="7">
        <f>'1 datos preparados'!E884</f>
        <v/>
      </c>
      <c r="G891" s="7">
        <f>'1 datos preparados'!F884</f>
        <v/>
      </c>
      <c r="H891" s="7">
        <f>'1 datos preparados'!G884</f>
        <v/>
      </c>
      <c r="I891" s="7">
        <f>'1 datos preparados'!H884</f>
        <v/>
      </c>
      <c r="J891" s="7">
        <f>'1 datos preparados'!I884</f>
        <v/>
      </c>
      <c r="K891" s="7">
        <f>'1 datos preparados'!J884</f>
        <v/>
      </c>
      <c r="L891" s="7">
        <f>'1 datos preparados'!K884</f>
        <v/>
      </c>
      <c r="M891" s="7">
        <f>'1 datos preparados'!L884</f>
        <v/>
      </c>
      <c r="N891" s="7">
        <f>'1 datos preparados'!M884</f>
        <v/>
      </c>
      <c r="O891" s="7">
        <f>'1 datos preparados'!N884</f>
        <v/>
      </c>
      <c r="P891" s="7">
        <f>'1 datos preparados'!O884</f>
        <v/>
      </c>
      <c r="Q891" s="7">
        <f>'1 datos preparados'!P884</f>
        <v/>
      </c>
      <c r="R891" s="7">
        <f>'1 datos preparados'!Q884</f>
        <v/>
      </c>
      <c r="S891" s="7">
        <f>'1 datos preparados'!R884</f>
        <v/>
      </c>
      <c r="T891" s="7">
        <f>'1 datos preparados'!S884</f>
        <v/>
      </c>
      <c r="U891" s="7">
        <f>'1 datos preparados'!T884</f>
        <v/>
      </c>
      <c r="V891" s="8">
        <f>$AE$12+D891*$AE$13+E891*$AE$14+F891*$AE$15+G891*$AE$16+H891*$AE$17+I891*$AE$18+J891*$AE$19+K891*$AE$20+L891*$AE$21+M891*$AE$22+N891*$AE$23+O891*$AE$24+P891*$AE$25+Q891*$AE$26+R891*$AE$27+S891*$AE$28+T891*$AE$29+U891*$AE$30</f>
        <v/>
      </c>
      <c r="W891" s="8">
        <f>1/(1+EXP(-V891))</f>
        <v/>
      </c>
      <c r="X891" s="9">
        <f>-IF(C891=1,LN(W891),LN(1-W891))</f>
        <v/>
      </c>
      <c r="Y891" s="8">
        <f>'1 datos preparados'!V884</f>
        <v/>
      </c>
      <c r="Z891" s="9">
        <f>Y891*X891</f>
        <v/>
      </c>
      <c r="AA891" s="10">
        <f>IF(W891&gt;$AE$33,1,0)</f>
        <v/>
      </c>
      <c r="AB891">
        <f>IF(AA891=C891,1,0)</f>
        <v/>
      </c>
    </row>
    <row r="892">
      <c r="A892">
        <f>'1 datos preparados'!A885</f>
        <v/>
      </c>
      <c r="B892" s="5">
        <f>'1 datos preparados'!U885</f>
        <v/>
      </c>
      <c r="C892">
        <f>'1 datos preparados'!B885</f>
        <v/>
      </c>
      <c r="D892" s="7">
        <f>'1 datos preparados'!C885</f>
        <v/>
      </c>
      <c r="E892" s="7">
        <f>'1 datos preparados'!D885</f>
        <v/>
      </c>
      <c r="F892" s="7">
        <f>'1 datos preparados'!E885</f>
        <v/>
      </c>
      <c r="G892" s="7">
        <f>'1 datos preparados'!F885</f>
        <v/>
      </c>
      <c r="H892" s="7">
        <f>'1 datos preparados'!G885</f>
        <v/>
      </c>
      <c r="I892" s="7">
        <f>'1 datos preparados'!H885</f>
        <v/>
      </c>
      <c r="J892" s="7">
        <f>'1 datos preparados'!I885</f>
        <v/>
      </c>
      <c r="K892" s="7">
        <f>'1 datos preparados'!J885</f>
        <v/>
      </c>
      <c r="L892" s="7">
        <f>'1 datos preparados'!K885</f>
        <v/>
      </c>
      <c r="M892" s="7">
        <f>'1 datos preparados'!L885</f>
        <v/>
      </c>
      <c r="N892" s="7">
        <f>'1 datos preparados'!M885</f>
        <v/>
      </c>
      <c r="O892" s="7">
        <f>'1 datos preparados'!N885</f>
        <v/>
      </c>
      <c r="P892" s="7">
        <f>'1 datos preparados'!O885</f>
        <v/>
      </c>
      <c r="Q892" s="7">
        <f>'1 datos preparados'!P885</f>
        <v/>
      </c>
      <c r="R892" s="7">
        <f>'1 datos preparados'!Q885</f>
        <v/>
      </c>
      <c r="S892" s="7">
        <f>'1 datos preparados'!R885</f>
        <v/>
      </c>
      <c r="T892" s="7">
        <f>'1 datos preparados'!S885</f>
        <v/>
      </c>
      <c r="U892" s="7">
        <f>'1 datos preparados'!T885</f>
        <v/>
      </c>
      <c r="V892" s="8">
        <f>$AE$12+D892*$AE$13+E892*$AE$14+F892*$AE$15+G892*$AE$16+H892*$AE$17+I892*$AE$18+J892*$AE$19+K892*$AE$20+L892*$AE$21+M892*$AE$22+N892*$AE$23+O892*$AE$24+P892*$AE$25+Q892*$AE$26+R892*$AE$27+S892*$AE$28+T892*$AE$29+U892*$AE$30</f>
        <v/>
      </c>
      <c r="W892" s="8">
        <f>1/(1+EXP(-V892))</f>
        <v/>
      </c>
      <c r="X892" s="9">
        <f>-IF(C892=1,LN(W892),LN(1-W892))</f>
        <v/>
      </c>
      <c r="Y892" s="8">
        <f>'1 datos preparados'!V885</f>
        <v/>
      </c>
      <c r="Z892" s="9">
        <f>Y892*X892</f>
        <v/>
      </c>
      <c r="AA892" s="10">
        <f>IF(W892&gt;$AE$33,1,0)</f>
        <v/>
      </c>
      <c r="AB892">
        <f>IF(AA892=C892,1,0)</f>
        <v/>
      </c>
    </row>
    <row r="893">
      <c r="A893">
        <f>'1 datos preparados'!A886</f>
        <v/>
      </c>
      <c r="B893" s="5">
        <f>'1 datos preparados'!U886</f>
        <v/>
      </c>
      <c r="C893">
        <f>'1 datos preparados'!B886</f>
        <v/>
      </c>
      <c r="D893" s="7">
        <f>'1 datos preparados'!C886</f>
        <v/>
      </c>
      <c r="E893" s="7">
        <f>'1 datos preparados'!D886</f>
        <v/>
      </c>
      <c r="F893" s="7">
        <f>'1 datos preparados'!E886</f>
        <v/>
      </c>
      <c r="G893" s="7">
        <f>'1 datos preparados'!F886</f>
        <v/>
      </c>
      <c r="H893" s="7">
        <f>'1 datos preparados'!G886</f>
        <v/>
      </c>
      <c r="I893" s="7">
        <f>'1 datos preparados'!H886</f>
        <v/>
      </c>
      <c r="J893" s="7">
        <f>'1 datos preparados'!I886</f>
        <v/>
      </c>
      <c r="K893" s="7">
        <f>'1 datos preparados'!J886</f>
        <v/>
      </c>
      <c r="L893" s="7">
        <f>'1 datos preparados'!K886</f>
        <v/>
      </c>
      <c r="M893" s="7">
        <f>'1 datos preparados'!L886</f>
        <v/>
      </c>
      <c r="N893" s="7">
        <f>'1 datos preparados'!M886</f>
        <v/>
      </c>
      <c r="O893" s="7">
        <f>'1 datos preparados'!N886</f>
        <v/>
      </c>
      <c r="P893" s="7">
        <f>'1 datos preparados'!O886</f>
        <v/>
      </c>
      <c r="Q893" s="7">
        <f>'1 datos preparados'!P886</f>
        <v/>
      </c>
      <c r="R893" s="7">
        <f>'1 datos preparados'!Q886</f>
        <v/>
      </c>
      <c r="S893" s="7">
        <f>'1 datos preparados'!R886</f>
        <v/>
      </c>
      <c r="T893" s="7">
        <f>'1 datos preparados'!S886</f>
        <v/>
      </c>
      <c r="U893" s="7">
        <f>'1 datos preparados'!T886</f>
        <v/>
      </c>
      <c r="V893" s="8">
        <f>$AE$12+D893*$AE$13+E893*$AE$14+F893*$AE$15+G893*$AE$16+H893*$AE$17+I893*$AE$18+J893*$AE$19+K893*$AE$20+L893*$AE$21+M893*$AE$22+N893*$AE$23+O893*$AE$24+P893*$AE$25+Q893*$AE$26+R893*$AE$27+S893*$AE$28+T893*$AE$29+U893*$AE$30</f>
        <v/>
      </c>
      <c r="W893" s="8">
        <f>1/(1+EXP(-V893))</f>
        <v/>
      </c>
      <c r="X893" s="9">
        <f>-IF(C893=1,LN(W893),LN(1-W893))</f>
        <v/>
      </c>
      <c r="Y893" s="8">
        <f>'1 datos preparados'!V886</f>
        <v/>
      </c>
      <c r="Z893" s="9">
        <f>Y893*X893</f>
        <v/>
      </c>
      <c r="AA893" s="10">
        <f>IF(W893&gt;$AE$33,1,0)</f>
        <v/>
      </c>
      <c r="AB893">
        <f>IF(AA893=C893,1,0)</f>
        <v/>
      </c>
    </row>
    <row r="894">
      <c r="A894">
        <f>'1 datos preparados'!A887</f>
        <v/>
      </c>
      <c r="B894" s="5">
        <f>'1 datos preparados'!U887</f>
        <v/>
      </c>
      <c r="C894">
        <f>'1 datos preparados'!B887</f>
        <v/>
      </c>
      <c r="D894" s="7">
        <f>'1 datos preparados'!C887</f>
        <v/>
      </c>
      <c r="E894" s="7">
        <f>'1 datos preparados'!D887</f>
        <v/>
      </c>
      <c r="F894" s="7">
        <f>'1 datos preparados'!E887</f>
        <v/>
      </c>
      <c r="G894" s="7">
        <f>'1 datos preparados'!F887</f>
        <v/>
      </c>
      <c r="H894" s="7">
        <f>'1 datos preparados'!G887</f>
        <v/>
      </c>
      <c r="I894" s="7">
        <f>'1 datos preparados'!H887</f>
        <v/>
      </c>
      <c r="J894" s="7">
        <f>'1 datos preparados'!I887</f>
        <v/>
      </c>
      <c r="K894" s="7">
        <f>'1 datos preparados'!J887</f>
        <v/>
      </c>
      <c r="L894" s="7">
        <f>'1 datos preparados'!K887</f>
        <v/>
      </c>
      <c r="M894" s="7">
        <f>'1 datos preparados'!L887</f>
        <v/>
      </c>
      <c r="N894" s="7">
        <f>'1 datos preparados'!M887</f>
        <v/>
      </c>
      <c r="O894" s="7">
        <f>'1 datos preparados'!N887</f>
        <v/>
      </c>
      <c r="P894" s="7">
        <f>'1 datos preparados'!O887</f>
        <v/>
      </c>
      <c r="Q894" s="7">
        <f>'1 datos preparados'!P887</f>
        <v/>
      </c>
      <c r="R894" s="7">
        <f>'1 datos preparados'!Q887</f>
        <v/>
      </c>
      <c r="S894" s="7">
        <f>'1 datos preparados'!R887</f>
        <v/>
      </c>
      <c r="T894" s="7">
        <f>'1 datos preparados'!S887</f>
        <v/>
      </c>
      <c r="U894" s="7">
        <f>'1 datos preparados'!T887</f>
        <v/>
      </c>
      <c r="V894" s="8">
        <f>$AE$12+D894*$AE$13+E894*$AE$14+F894*$AE$15+G894*$AE$16+H894*$AE$17+I894*$AE$18+J894*$AE$19+K894*$AE$20+L894*$AE$21+M894*$AE$22+N894*$AE$23+O894*$AE$24+P894*$AE$25+Q894*$AE$26+R894*$AE$27+S894*$AE$28+T894*$AE$29+U894*$AE$30</f>
        <v/>
      </c>
      <c r="W894" s="8">
        <f>1/(1+EXP(-V894))</f>
        <v/>
      </c>
      <c r="X894" s="9">
        <f>-IF(C894=1,LN(W894),LN(1-W894))</f>
        <v/>
      </c>
      <c r="Y894" s="8">
        <f>'1 datos preparados'!V887</f>
        <v/>
      </c>
      <c r="Z894" s="9">
        <f>Y894*X894</f>
        <v/>
      </c>
      <c r="AA894" s="10">
        <f>IF(W894&gt;$AE$33,1,0)</f>
        <v/>
      </c>
      <c r="AB894">
        <f>IF(AA894=C894,1,0)</f>
        <v/>
      </c>
    </row>
    <row r="895">
      <c r="A895">
        <f>'1 datos preparados'!A888</f>
        <v/>
      </c>
      <c r="B895" s="5">
        <f>'1 datos preparados'!U888</f>
        <v/>
      </c>
      <c r="C895">
        <f>'1 datos preparados'!B888</f>
        <v/>
      </c>
      <c r="D895" s="7">
        <f>'1 datos preparados'!C888</f>
        <v/>
      </c>
      <c r="E895" s="7">
        <f>'1 datos preparados'!D888</f>
        <v/>
      </c>
      <c r="F895" s="7">
        <f>'1 datos preparados'!E888</f>
        <v/>
      </c>
      <c r="G895" s="7">
        <f>'1 datos preparados'!F888</f>
        <v/>
      </c>
      <c r="H895" s="7">
        <f>'1 datos preparados'!G888</f>
        <v/>
      </c>
      <c r="I895" s="7">
        <f>'1 datos preparados'!H888</f>
        <v/>
      </c>
      <c r="J895" s="7">
        <f>'1 datos preparados'!I888</f>
        <v/>
      </c>
      <c r="K895" s="7">
        <f>'1 datos preparados'!J888</f>
        <v/>
      </c>
      <c r="L895" s="7">
        <f>'1 datos preparados'!K888</f>
        <v/>
      </c>
      <c r="M895" s="7">
        <f>'1 datos preparados'!L888</f>
        <v/>
      </c>
      <c r="N895" s="7">
        <f>'1 datos preparados'!M888</f>
        <v/>
      </c>
      <c r="O895" s="7">
        <f>'1 datos preparados'!N888</f>
        <v/>
      </c>
      <c r="P895" s="7">
        <f>'1 datos preparados'!O888</f>
        <v/>
      </c>
      <c r="Q895" s="7">
        <f>'1 datos preparados'!P888</f>
        <v/>
      </c>
      <c r="R895" s="7">
        <f>'1 datos preparados'!Q888</f>
        <v/>
      </c>
      <c r="S895" s="7">
        <f>'1 datos preparados'!R888</f>
        <v/>
      </c>
      <c r="T895" s="7">
        <f>'1 datos preparados'!S888</f>
        <v/>
      </c>
      <c r="U895" s="7">
        <f>'1 datos preparados'!T888</f>
        <v/>
      </c>
      <c r="V895" s="8">
        <f>$AE$12+D895*$AE$13+E895*$AE$14+F895*$AE$15+G895*$AE$16+H895*$AE$17+I895*$AE$18+J895*$AE$19+K895*$AE$20+L895*$AE$21+M895*$AE$22+N895*$AE$23+O895*$AE$24+P895*$AE$25+Q895*$AE$26+R895*$AE$27+S895*$AE$28+T895*$AE$29+U895*$AE$30</f>
        <v/>
      </c>
      <c r="W895" s="8">
        <f>1/(1+EXP(-V895))</f>
        <v/>
      </c>
      <c r="X895" s="9">
        <f>-IF(C895=1,LN(W895),LN(1-W895))</f>
        <v/>
      </c>
      <c r="Y895" s="8">
        <f>'1 datos preparados'!V888</f>
        <v/>
      </c>
      <c r="Z895" s="9">
        <f>Y895*X895</f>
        <v/>
      </c>
      <c r="AA895" s="10">
        <f>IF(W895&gt;$AE$33,1,0)</f>
        <v/>
      </c>
      <c r="AB895">
        <f>IF(AA895=C895,1,0)</f>
        <v/>
      </c>
    </row>
    <row r="896">
      <c r="A896">
        <f>'1 datos preparados'!A889</f>
        <v/>
      </c>
      <c r="B896" s="5">
        <f>'1 datos preparados'!U889</f>
        <v/>
      </c>
      <c r="C896">
        <f>'1 datos preparados'!B889</f>
        <v/>
      </c>
      <c r="D896" s="7">
        <f>'1 datos preparados'!C889</f>
        <v/>
      </c>
      <c r="E896" s="7">
        <f>'1 datos preparados'!D889</f>
        <v/>
      </c>
      <c r="F896" s="7">
        <f>'1 datos preparados'!E889</f>
        <v/>
      </c>
      <c r="G896" s="7">
        <f>'1 datos preparados'!F889</f>
        <v/>
      </c>
      <c r="H896" s="7">
        <f>'1 datos preparados'!G889</f>
        <v/>
      </c>
      <c r="I896" s="7">
        <f>'1 datos preparados'!H889</f>
        <v/>
      </c>
      <c r="J896" s="7">
        <f>'1 datos preparados'!I889</f>
        <v/>
      </c>
      <c r="K896" s="7">
        <f>'1 datos preparados'!J889</f>
        <v/>
      </c>
      <c r="L896" s="7">
        <f>'1 datos preparados'!K889</f>
        <v/>
      </c>
      <c r="M896" s="7">
        <f>'1 datos preparados'!L889</f>
        <v/>
      </c>
      <c r="N896" s="7">
        <f>'1 datos preparados'!M889</f>
        <v/>
      </c>
      <c r="O896" s="7">
        <f>'1 datos preparados'!N889</f>
        <v/>
      </c>
      <c r="P896" s="7">
        <f>'1 datos preparados'!O889</f>
        <v/>
      </c>
      <c r="Q896" s="7">
        <f>'1 datos preparados'!P889</f>
        <v/>
      </c>
      <c r="R896" s="7">
        <f>'1 datos preparados'!Q889</f>
        <v/>
      </c>
      <c r="S896" s="7">
        <f>'1 datos preparados'!R889</f>
        <v/>
      </c>
      <c r="T896" s="7">
        <f>'1 datos preparados'!S889</f>
        <v/>
      </c>
      <c r="U896" s="7">
        <f>'1 datos preparados'!T889</f>
        <v/>
      </c>
      <c r="V896" s="8">
        <f>$AE$12+D896*$AE$13+E896*$AE$14+F896*$AE$15+G896*$AE$16+H896*$AE$17+I896*$AE$18+J896*$AE$19+K896*$AE$20+L896*$AE$21+M896*$AE$22+N896*$AE$23+O896*$AE$24+P896*$AE$25+Q896*$AE$26+R896*$AE$27+S896*$AE$28+T896*$AE$29+U896*$AE$30</f>
        <v/>
      </c>
      <c r="W896" s="8">
        <f>1/(1+EXP(-V896))</f>
        <v/>
      </c>
      <c r="X896" s="9">
        <f>-IF(C896=1,LN(W896),LN(1-W896))</f>
        <v/>
      </c>
      <c r="Y896" s="8">
        <f>'1 datos preparados'!V889</f>
        <v/>
      </c>
      <c r="Z896" s="9">
        <f>Y896*X896</f>
        <v/>
      </c>
      <c r="AA896" s="10">
        <f>IF(W896&gt;$AE$33,1,0)</f>
        <v/>
      </c>
      <c r="AB896">
        <f>IF(AA896=C896,1,0)</f>
        <v/>
      </c>
    </row>
    <row r="897">
      <c r="A897">
        <f>'1 datos preparados'!A890</f>
        <v/>
      </c>
      <c r="B897" s="5">
        <f>'1 datos preparados'!U890</f>
        <v/>
      </c>
      <c r="C897">
        <f>'1 datos preparados'!B890</f>
        <v/>
      </c>
      <c r="D897" s="7">
        <f>'1 datos preparados'!C890</f>
        <v/>
      </c>
      <c r="E897" s="7">
        <f>'1 datos preparados'!D890</f>
        <v/>
      </c>
      <c r="F897" s="7">
        <f>'1 datos preparados'!E890</f>
        <v/>
      </c>
      <c r="G897" s="7">
        <f>'1 datos preparados'!F890</f>
        <v/>
      </c>
      <c r="H897" s="7">
        <f>'1 datos preparados'!G890</f>
        <v/>
      </c>
      <c r="I897" s="7">
        <f>'1 datos preparados'!H890</f>
        <v/>
      </c>
      <c r="J897" s="7">
        <f>'1 datos preparados'!I890</f>
        <v/>
      </c>
      <c r="K897" s="7">
        <f>'1 datos preparados'!J890</f>
        <v/>
      </c>
      <c r="L897" s="7">
        <f>'1 datos preparados'!K890</f>
        <v/>
      </c>
      <c r="M897" s="7">
        <f>'1 datos preparados'!L890</f>
        <v/>
      </c>
      <c r="N897" s="7">
        <f>'1 datos preparados'!M890</f>
        <v/>
      </c>
      <c r="O897" s="7">
        <f>'1 datos preparados'!N890</f>
        <v/>
      </c>
      <c r="P897" s="7">
        <f>'1 datos preparados'!O890</f>
        <v/>
      </c>
      <c r="Q897" s="7">
        <f>'1 datos preparados'!P890</f>
        <v/>
      </c>
      <c r="R897" s="7">
        <f>'1 datos preparados'!Q890</f>
        <v/>
      </c>
      <c r="S897" s="7">
        <f>'1 datos preparados'!R890</f>
        <v/>
      </c>
      <c r="T897" s="7">
        <f>'1 datos preparados'!S890</f>
        <v/>
      </c>
      <c r="U897" s="7">
        <f>'1 datos preparados'!T890</f>
        <v/>
      </c>
      <c r="V897" s="8">
        <f>$AE$12+D897*$AE$13+E897*$AE$14+F897*$AE$15+G897*$AE$16+H897*$AE$17+I897*$AE$18+J897*$AE$19+K897*$AE$20+L897*$AE$21+M897*$AE$22+N897*$AE$23+O897*$AE$24+P897*$AE$25+Q897*$AE$26+R897*$AE$27+S897*$AE$28+T897*$AE$29+U897*$AE$30</f>
        <v/>
      </c>
      <c r="W897" s="8">
        <f>1/(1+EXP(-V897))</f>
        <v/>
      </c>
      <c r="X897" s="9">
        <f>-IF(C897=1,LN(W897),LN(1-W897))</f>
        <v/>
      </c>
      <c r="Y897" s="8">
        <f>'1 datos preparados'!V890</f>
        <v/>
      </c>
      <c r="Z897" s="9">
        <f>Y897*X897</f>
        <v/>
      </c>
      <c r="AA897" s="10">
        <f>IF(W897&gt;$AE$33,1,0)</f>
        <v/>
      </c>
      <c r="AB897">
        <f>IF(AA897=C897,1,0)</f>
        <v/>
      </c>
    </row>
    <row r="898">
      <c r="A898">
        <f>'1 datos preparados'!A891</f>
        <v/>
      </c>
      <c r="B898" s="5">
        <f>'1 datos preparados'!U891</f>
        <v/>
      </c>
      <c r="C898">
        <f>'1 datos preparados'!B891</f>
        <v/>
      </c>
      <c r="D898" s="7">
        <f>'1 datos preparados'!C891</f>
        <v/>
      </c>
      <c r="E898" s="7">
        <f>'1 datos preparados'!D891</f>
        <v/>
      </c>
      <c r="F898" s="7">
        <f>'1 datos preparados'!E891</f>
        <v/>
      </c>
      <c r="G898" s="7">
        <f>'1 datos preparados'!F891</f>
        <v/>
      </c>
      <c r="H898" s="7">
        <f>'1 datos preparados'!G891</f>
        <v/>
      </c>
      <c r="I898" s="7">
        <f>'1 datos preparados'!H891</f>
        <v/>
      </c>
      <c r="J898" s="7">
        <f>'1 datos preparados'!I891</f>
        <v/>
      </c>
      <c r="K898" s="7">
        <f>'1 datos preparados'!J891</f>
        <v/>
      </c>
      <c r="L898" s="7">
        <f>'1 datos preparados'!K891</f>
        <v/>
      </c>
      <c r="M898" s="7">
        <f>'1 datos preparados'!L891</f>
        <v/>
      </c>
      <c r="N898" s="7">
        <f>'1 datos preparados'!M891</f>
        <v/>
      </c>
      <c r="O898" s="7">
        <f>'1 datos preparados'!N891</f>
        <v/>
      </c>
      <c r="P898" s="7">
        <f>'1 datos preparados'!O891</f>
        <v/>
      </c>
      <c r="Q898" s="7">
        <f>'1 datos preparados'!P891</f>
        <v/>
      </c>
      <c r="R898" s="7">
        <f>'1 datos preparados'!Q891</f>
        <v/>
      </c>
      <c r="S898" s="7">
        <f>'1 datos preparados'!R891</f>
        <v/>
      </c>
      <c r="T898" s="7">
        <f>'1 datos preparados'!S891</f>
        <v/>
      </c>
      <c r="U898" s="7">
        <f>'1 datos preparados'!T891</f>
        <v/>
      </c>
      <c r="V898" s="8">
        <f>$AE$12+D898*$AE$13+E898*$AE$14+F898*$AE$15+G898*$AE$16+H898*$AE$17+I898*$AE$18+J898*$AE$19+K898*$AE$20+L898*$AE$21+M898*$AE$22+N898*$AE$23+O898*$AE$24+P898*$AE$25+Q898*$AE$26+R898*$AE$27+S898*$AE$28+T898*$AE$29+U898*$AE$30</f>
        <v/>
      </c>
      <c r="W898" s="8">
        <f>1/(1+EXP(-V898))</f>
        <v/>
      </c>
      <c r="X898" s="9">
        <f>-IF(C898=1,LN(W898),LN(1-W898))</f>
        <v/>
      </c>
      <c r="Y898" s="8">
        <f>'1 datos preparados'!V891</f>
        <v/>
      </c>
      <c r="Z898" s="9">
        <f>Y898*X898</f>
        <v/>
      </c>
      <c r="AA898" s="10">
        <f>IF(W898&gt;$AE$33,1,0)</f>
        <v/>
      </c>
      <c r="AB898">
        <f>IF(AA898=C898,1,0)</f>
        <v/>
      </c>
    </row>
    <row r="899">
      <c r="A899">
        <f>'1 datos preparados'!A892</f>
        <v/>
      </c>
      <c r="B899" s="5">
        <f>'1 datos preparados'!U892</f>
        <v/>
      </c>
      <c r="C899">
        <f>'1 datos preparados'!B892</f>
        <v/>
      </c>
      <c r="D899" s="7">
        <f>'1 datos preparados'!C892</f>
        <v/>
      </c>
      <c r="E899" s="7">
        <f>'1 datos preparados'!D892</f>
        <v/>
      </c>
      <c r="F899" s="7">
        <f>'1 datos preparados'!E892</f>
        <v/>
      </c>
      <c r="G899" s="7">
        <f>'1 datos preparados'!F892</f>
        <v/>
      </c>
      <c r="H899" s="7">
        <f>'1 datos preparados'!G892</f>
        <v/>
      </c>
      <c r="I899" s="7">
        <f>'1 datos preparados'!H892</f>
        <v/>
      </c>
      <c r="J899" s="7">
        <f>'1 datos preparados'!I892</f>
        <v/>
      </c>
      <c r="K899" s="7">
        <f>'1 datos preparados'!J892</f>
        <v/>
      </c>
      <c r="L899" s="7">
        <f>'1 datos preparados'!K892</f>
        <v/>
      </c>
      <c r="M899" s="7">
        <f>'1 datos preparados'!L892</f>
        <v/>
      </c>
      <c r="N899" s="7">
        <f>'1 datos preparados'!M892</f>
        <v/>
      </c>
      <c r="O899" s="7">
        <f>'1 datos preparados'!N892</f>
        <v/>
      </c>
      <c r="P899" s="7">
        <f>'1 datos preparados'!O892</f>
        <v/>
      </c>
      <c r="Q899" s="7">
        <f>'1 datos preparados'!P892</f>
        <v/>
      </c>
      <c r="R899" s="7">
        <f>'1 datos preparados'!Q892</f>
        <v/>
      </c>
      <c r="S899" s="7">
        <f>'1 datos preparados'!R892</f>
        <v/>
      </c>
      <c r="T899" s="7">
        <f>'1 datos preparados'!S892</f>
        <v/>
      </c>
      <c r="U899" s="7">
        <f>'1 datos preparados'!T892</f>
        <v/>
      </c>
      <c r="V899" s="8">
        <f>$AE$12+D899*$AE$13+E899*$AE$14+F899*$AE$15+G899*$AE$16+H899*$AE$17+I899*$AE$18+J899*$AE$19+K899*$AE$20+L899*$AE$21+M899*$AE$22+N899*$AE$23+O899*$AE$24+P899*$AE$25+Q899*$AE$26+R899*$AE$27+S899*$AE$28+T899*$AE$29+U899*$AE$30</f>
        <v/>
      </c>
      <c r="W899" s="8">
        <f>1/(1+EXP(-V899))</f>
        <v/>
      </c>
      <c r="X899" s="9">
        <f>-IF(C899=1,LN(W899),LN(1-W899))</f>
        <v/>
      </c>
      <c r="Y899" s="8">
        <f>'1 datos preparados'!V892</f>
        <v/>
      </c>
      <c r="Z899" s="9">
        <f>Y899*X899</f>
        <v/>
      </c>
      <c r="AA899" s="10">
        <f>IF(W899&gt;$AE$33,1,0)</f>
        <v/>
      </c>
      <c r="AB899">
        <f>IF(AA899=C899,1,0)</f>
        <v/>
      </c>
    </row>
    <row r="900">
      <c r="A900">
        <f>'1 datos preparados'!A893</f>
        <v/>
      </c>
      <c r="B900" s="5">
        <f>'1 datos preparados'!U893</f>
        <v/>
      </c>
      <c r="C900">
        <f>'1 datos preparados'!B893</f>
        <v/>
      </c>
      <c r="D900" s="7">
        <f>'1 datos preparados'!C893</f>
        <v/>
      </c>
      <c r="E900" s="7">
        <f>'1 datos preparados'!D893</f>
        <v/>
      </c>
      <c r="F900" s="7">
        <f>'1 datos preparados'!E893</f>
        <v/>
      </c>
      <c r="G900" s="7">
        <f>'1 datos preparados'!F893</f>
        <v/>
      </c>
      <c r="H900" s="7">
        <f>'1 datos preparados'!G893</f>
        <v/>
      </c>
      <c r="I900" s="7">
        <f>'1 datos preparados'!H893</f>
        <v/>
      </c>
      <c r="J900" s="7">
        <f>'1 datos preparados'!I893</f>
        <v/>
      </c>
      <c r="K900" s="7">
        <f>'1 datos preparados'!J893</f>
        <v/>
      </c>
      <c r="L900" s="7">
        <f>'1 datos preparados'!K893</f>
        <v/>
      </c>
      <c r="M900" s="7">
        <f>'1 datos preparados'!L893</f>
        <v/>
      </c>
      <c r="N900" s="7">
        <f>'1 datos preparados'!M893</f>
        <v/>
      </c>
      <c r="O900" s="7">
        <f>'1 datos preparados'!N893</f>
        <v/>
      </c>
      <c r="P900" s="7">
        <f>'1 datos preparados'!O893</f>
        <v/>
      </c>
      <c r="Q900" s="7">
        <f>'1 datos preparados'!P893</f>
        <v/>
      </c>
      <c r="R900" s="7">
        <f>'1 datos preparados'!Q893</f>
        <v/>
      </c>
      <c r="S900" s="7">
        <f>'1 datos preparados'!R893</f>
        <v/>
      </c>
      <c r="T900" s="7">
        <f>'1 datos preparados'!S893</f>
        <v/>
      </c>
      <c r="U900" s="7">
        <f>'1 datos preparados'!T893</f>
        <v/>
      </c>
      <c r="V900" s="8">
        <f>$AE$12+D900*$AE$13+E900*$AE$14+F900*$AE$15+G900*$AE$16+H900*$AE$17+I900*$AE$18+J900*$AE$19+K900*$AE$20+L900*$AE$21+M900*$AE$22+N900*$AE$23+O900*$AE$24+P900*$AE$25+Q900*$AE$26+R900*$AE$27+S900*$AE$28+T900*$AE$29+U900*$AE$30</f>
        <v/>
      </c>
      <c r="W900" s="8">
        <f>1/(1+EXP(-V900))</f>
        <v/>
      </c>
      <c r="X900" s="9">
        <f>-IF(C900=1,LN(W900),LN(1-W900))</f>
        <v/>
      </c>
      <c r="Y900" s="8">
        <f>'1 datos preparados'!V893</f>
        <v/>
      </c>
      <c r="Z900" s="9">
        <f>Y900*X900</f>
        <v/>
      </c>
      <c r="AA900" s="10">
        <f>IF(W900&gt;$AE$33,1,0)</f>
        <v/>
      </c>
      <c r="AB900">
        <f>IF(AA900=C900,1,0)</f>
        <v/>
      </c>
    </row>
    <row r="901">
      <c r="A901">
        <f>'1 datos preparados'!A894</f>
        <v/>
      </c>
      <c r="B901" s="5">
        <f>'1 datos preparados'!U894</f>
        <v/>
      </c>
      <c r="C901">
        <f>'1 datos preparados'!B894</f>
        <v/>
      </c>
      <c r="D901" s="7">
        <f>'1 datos preparados'!C894</f>
        <v/>
      </c>
      <c r="E901" s="7">
        <f>'1 datos preparados'!D894</f>
        <v/>
      </c>
      <c r="F901" s="7">
        <f>'1 datos preparados'!E894</f>
        <v/>
      </c>
      <c r="G901" s="7">
        <f>'1 datos preparados'!F894</f>
        <v/>
      </c>
      <c r="H901" s="7">
        <f>'1 datos preparados'!G894</f>
        <v/>
      </c>
      <c r="I901" s="7">
        <f>'1 datos preparados'!H894</f>
        <v/>
      </c>
      <c r="J901" s="7">
        <f>'1 datos preparados'!I894</f>
        <v/>
      </c>
      <c r="K901" s="7">
        <f>'1 datos preparados'!J894</f>
        <v/>
      </c>
      <c r="L901" s="7">
        <f>'1 datos preparados'!K894</f>
        <v/>
      </c>
      <c r="M901" s="7">
        <f>'1 datos preparados'!L894</f>
        <v/>
      </c>
      <c r="N901" s="7">
        <f>'1 datos preparados'!M894</f>
        <v/>
      </c>
      <c r="O901" s="7">
        <f>'1 datos preparados'!N894</f>
        <v/>
      </c>
      <c r="P901" s="7">
        <f>'1 datos preparados'!O894</f>
        <v/>
      </c>
      <c r="Q901" s="7">
        <f>'1 datos preparados'!P894</f>
        <v/>
      </c>
      <c r="R901" s="7">
        <f>'1 datos preparados'!Q894</f>
        <v/>
      </c>
      <c r="S901" s="7">
        <f>'1 datos preparados'!R894</f>
        <v/>
      </c>
      <c r="T901" s="7">
        <f>'1 datos preparados'!S894</f>
        <v/>
      </c>
      <c r="U901" s="7">
        <f>'1 datos preparados'!T894</f>
        <v/>
      </c>
      <c r="V901" s="8">
        <f>$AE$12+D901*$AE$13+E901*$AE$14+F901*$AE$15+G901*$AE$16+H901*$AE$17+I901*$AE$18+J901*$AE$19+K901*$AE$20+L901*$AE$21+M901*$AE$22+N901*$AE$23+O901*$AE$24+P901*$AE$25+Q901*$AE$26+R901*$AE$27+S901*$AE$28+T901*$AE$29+U901*$AE$30</f>
        <v/>
      </c>
      <c r="W901" s="8">
        <f>1/(1+EXP(-V901))</f>
        <v/>
      </c>
      <c r="X901" s="9">
        <f>-IF(C901=1,LN(W901),LN(1-W901))</f>
        <v/>
      </c>
      <c r="Y901" s="8">
        <f>'1 datos preparados'!V894</f>
        <v/>
      </c>
      <c r="Z901" s="9">
        <f>Y901*X901</f>
        <v/>
      </c>
      <c r="AA901" s="10">
        <f>IF(W901&gt;$AE$33,1,0)</f>
        <v/>
      </c>
      <c r="AB901">
        <f>IF(AA901=C901,1,0)</f>
        <v/>
      </c>
    </row>
    <row r="902">
      <c r="A902">
        <f>'1 datos preparados'!A895</f>
        <v/>
      </c>
      <c r="B902" s="5">
        <f>'1 datos preparados'!U895</f>
        <v/>
      </c>
      <c r="C902">
        <f>'1 datos preparados'!B895</f>
        <v/>
      </c>
      <c r="D902" s="7">
        <f>'1 datos preparados'!C895</f>
        <v/>
      </c>
      <c r="E902" s="7">
        <f>'1 datos preparados'!D895</f>
        <v/>
      </c>
      <c r="F902" s="7">
        <f>'1 datos preparados'!E895</f>
        <v/>
      </c>
      <c r="G902" s="7">
        <f>'1 datos preparados'!F895</f>
        <v/>
      </c>
      <c r="H902" s="7">
        <f>'1 datos preparados'!G895</f>
        <v/>
      </c>
      <c r="I902" s="7">
        <f>'1 datos preparados'!H895</f>
        <v/>
      </c>
      <c r="J902" s="7">
        <f>'1 datos preparados'!I895</f>
        <v/>
      </c>
      <c r="K902" s="7">
        <f>'1 datos preparados'!J895</f>
        <v/>
      </c>
      <c r="L902" s="7">
        <f>'1 datos preparados'!K895</f>
        <v/>
      </c>
      <c r="M902" s="7">
        <f>'1 datos preparados'!L895</f>
        <v/>
      </c>
      <c r="N902" s="7">
        <f>'1 datos preparados'!M895</f>
        <v/>
      </c>
      <c r="O902" s="7">
        <f>'1 datos preparados'!N895</f>
        <v/>
      </c>
      <c r="P902" s="7">
        <f>'1 datos preparados'!O895</f>
        <v/>
      </c>
      <c r="Q902" s="7">
        <f>'1 datos preparados'!P895</f>
        <v/>
      </c>
      <c r="R902" s="7">
        <f>'1 datos preparados'!Q895</f>
        <v/>
      </c>
      <c r="S902" s="7">
        <f>'1 datos preparados'!R895</f>
        <v/>
      </c>
      <c r="T902" s="7">
        <f>'1 datos preparados'!S895</f>
        <v/>
      </c>
      <c r="U902" s="7">
        <f>'1 datos preparados'!T895</f>
        <v/>
      </c>
      <c r="V902" s="8">
        <f>$AE$12+D902*$AE$13+E902*$AE$14+F902*$AE$15+G902*$AE$16+H902*$AE$17+I902*$AE$18+J902*$AE$19+K902*$AE$20+L902*$AE$21+M902*$AE$22+N902*$AE$23+O902*$AE$24+P902*$AE$25+Q902*$AE$26+R902*$AE$27+S902*$AE$28+T902*$AE$29+U902*$AE$30</f>
        <v/>
      </c>
      <c r="W902" s="8">
        <f>1/(1+EXP(-V902))</f>
        <v/>
      </c>
      <c r="X902" s="9">
        <f>-IF(C902=1,LN(W902),LN(1-W902))</f>
        <v/>
      </c>
      <c r="Y902" s="8">
        <f>'1 datos preparados'!V895</f>
        <v/>
      </c>
      <c r="Z902" s="9">
        <f>Y902*X902</f>
        <v/>
      </c>
      <c r="AA902" s="10">
        <f>IF(W902&gt;$AE$33,1,0)</f>
        <v/>
      </c>
      <c r="AB902">
        <f>IF(AA902=C902,1,0)</f>
        <v/>
      </c>
    </row>
    <row r="903">
      <c r="A903">
        <f>'1 datos preparados'!A896</f>
        <v/>
      </c>
      <c r="B903" s="5">
        <f>'1 datos preparados'!U896</f>
        <v/>
      </c>
      <c r="C903">
        <f>'1 datos preparados'!B896</f>
        <v/>
      </c>
      <c r="D903" s="7">
        <f>'1 datos preparados'!C896</f>
        <v/>
      </c>
      <c r="E903" s="7">
        <f>'1 datos preparados'!D896</f>
        <v/>
      </c>
      <c r="F903" s="7">
        <f>'1 datos preparados'!E896</f>
        <v/>
      </c>
      <c r="G903" s="7">
        <f>'1 datos preparados'!F896</f>
        <v/>
      </c>
      <c r="H903" s="7">
        <f>'1 datos preparados'!G896</f>
        <v/>
      </c>
      <c r="I903" s="7">
        <f>'1 datos preparados'!H896</f>
        <v/>
      </c>
      <c r="J903" s="7">
        <f>'1 datos preparados'!I896</f>
        <v/>
      </c>
      <c r="K903" s="7">
        <f>'1 datos preparados'!J896</f>
        <v/>
      </c>
      <c r="L903" s="7">
        <f>'1 datos preparados'!K896</f>
        <v/>
      </c>
      <c r="M903" s="7">
        <f>'1 datos preparados'!L896</f>
        <v/>
      </c>
      <c r="N903" s="7">
        <f>'1 datos preparados'!M896</f>
        <v/>
      </c>
      <c r="O903" s="7">
        <f>'1 datos preparados'!N896</f>
        <v/>
      </c>
      <c r="P903" s="7">
        <f>'1 datos preparados'!O896</f>
        <v/>
      </c>
      <c r="Q903" s="7">
        <f>'1 datos preparados'!P896</f>
        <v/>
      </c>
      <c r="R903" s="7">
        <f>'1 datos preparados'!Q896</f>
        <v/>
      </c>
      <c r="S903" s="7">
        <f>'1 datos preparados'!R896</f>
        <v/>
      </c>
      <c r="T903" s="7">
        <f>'1 datos preparados'!S896</f>
        <v/>
      </c>
      <c r="U903" s="7">
        <f>'1 datos preparados'!T896</f>
        <v/>
      </c>
      <c r="V903" s="8">
        <f>$AE$12+D903*$AE$13+E903*$AE$14+F903*$AE$15+G903*$AE$16+H903*$AE$17+I903*$AE$18+J903*$AE$19+K903*$AE$20+L903*$AE$21+M903*$AE$22+N903*$AE$23+O903*$AE$24+P903*$AE$25+Q903*$AE$26+R903*$AE$27+S903*$AE$28+T903*$AE$29+U903*$AE$30</f>
        <v/>
      </c>
      <c r="W903" s="8">
        <f>1/(1+EXP(-V903))</f>
        <v/>
      </c>
      <c r="X903" s="9">
        <f>-IF(C903=1,LN(W903),LN(1-W903))</f>
        <v/>
      </c>
      <c r="Y903" s="8">
        <f>'1 datos preparados'!V896</f>
        <v/>
      </c>
      <c r="Z903" s="9">
        <f>Y903*X903</f>
        <v/>
      </c>
      <c r="AA903" s="10">
        <f>IF(W903&gt;$AE$33,1,0)</f>
        <v/>
      </c>
      <c r="AB903">
        <f>IF(AA903=C903,1,0)</f>
        <v/>
      </c>
    </row>
    <row r="904">
      <c r="A904">
        <f>'1 datos preparados'!A897</f>
        <v/>
      </c>
      <c r="B904" s="5">
        <f>'1 datos preparados'!U897</f>
        <v/>
      </c>
      <c r="C904">
        <f>'1 datos preparados'!B897</f>
        <v/>
      </c>
      <c r="D904" s="7">
        <f>'1 datos preparados'!C897</f>
        <v/>
      </c>
      <c r="E904" s="7">
        <f>'1 datos preparados'!D897</f>
        <v/>
      </c>
      <c r="F904" s="7">
        <f>'1 datos preparados'!E897</f>
        <v/>
      </c>
      <c r="G904" s="7">
        <f>'1 datos preparados'!F897</f>
        <v/>
      </c>
      <c r="H904" s="7">
        <f>'1 datos preparados'!G897</f>
        <v/>
      </c>
      <c r="I904" s="7">
        <f>'1 datos preparados'!H897</f>
        <v/>
      </c>
      <c r="J904" s="7">
        <f>'1 datos preparados'!I897</f>
        <v/>
      </c>
      <c r="K904" s="7">
        <f>'1 datos preparados'!J897</f>
        <v/>
      </c>
      <c r="L904" s="7">
        <f>'1 datos preparados'!K897</f>
        <v/>
      </c>
      <c r="M904" s="7">
        <f>'1 datos preparados'!L897</f>
        <v/>
      </c>
      <c r="N904" s="7">
        <f>'1 datos preparados'!M897</f>
        <v/>
      </c>
      <c r="O904" s="7">
        <f>'1 datos preparados'!N897</f>
        <v/>
      </c>
      <c r="P904" s="7">
        <f>'1 datos preparados'!O897</f>
        <v/>
      </c>
      <c r="Q904" s="7">
        <f>'1 datos preparados'!P897</f>
        <v/>
      </c>
      <c r="R904" s="7">
        <f>'1 datos preparados'!Q897</f>
        <v/>
      </c>
      <c r="S904" s="7">
        <f>'1 datos preparados'!R897</f>
        <v/>
      </c>
      <c r="T904" s="7">
        <f>'1 datos preparados'!S897</f>
        <v/>
      </c>
      <c r="U904" s="7">
        <f>'1 datos preparados'!T897</f>
        <v/>
      </c>
      <c r="V904" s="8">
        <f>$AE$12+D904*$AE$13+E904*$AE$14+F904*$AE$15+G904*$AE$16+H904*$AE$17+I904*$AE$18+J904*$AE$19+K904*$AE$20+L904*$AE$21+M904*$AE$22+N904*$AE$23+O904*$AE$24+P904*$AE$25+Q904*$AE$26+R904*$AE$27+S904*$AE$28+T904*$AE$29+U904*$AE$30</f>
        <v/>
      </c>
      <c r="W904" s="8">
        <f>1/(1+EXP(-V904))</f>
        <v/>
      </c>
      <c r="X904" s="9">
        <f>-IF(C904=1,LN(W904),LN(1-W904))</f>
        <v/>
      </c>
      <c r="Y904" s="8">
        <f>'1 datos preparados'!V897</f>
        <v/>
      </c>
      <c r="Z904" s="9">
        <f>Y904*X904</f>
        <v/>
      </c>
      <c r="AA904" s="10">
        <f>IF(W904&gt;$AE$33,1,0)</f>
        <v/>
      </c>
      <c r="AB904">
        <f>IF(AA904=C904,1,0)</f>
        <v/>
      </c>
    </row>
    <row r="905">
      <c r="A905">
        <f>'1 datos preparados'!A898</f>
        <v/>
      </c>
      <c r="B905" s="5">
        <f>'1 datos preparados'!U898</f>
        <v/>
      </c>
      <c r="C905">
        <f>'1 datos preparados'!B898</f>
        <v/>
      </c>
      <c r="D905" s="7">
        <f>'1 datos preparados'!C898</f>
        <v/>
      </c>
      <c r="E905" s="7">
        <f>'1 datos preparados'!D898</f>
        <v/>
      </c>
      <c r="F905" s="7">
        <f>'1 datos preparados'!E898</f>
        <v/>
      </c>
      <c r="G905" s="7">
        <f>'1 datos preparados'!F898</f>
        <v/>
      </c>
      <c r="H905" s="7">
        <f>'1 datos preparados'!G898</f>
        <v/>
      </c>
      <c r="I905" s="7">
        <f>'1 datos preparados'!H898</f>
        <v/>
      </c>
      <c r="J905" s="7">
        <f>'1 datos preparados'!I898</f>
        <v/>
      </c>
      <c r="K905" s="7">
        <f>'1 datos preparados'!J898</f>
        <v/>
      </c>
      <c r="L905" s="7">
        <f>'1 datos preparados'!K898</f>
        <v/>
      </c>
      <c r="M905" s="7">
        <f>'1 datos preparados'!L898</f>
        <v/>
      </c>
      <c r="N905" s="7">
        <f>'1 datos preparados'!M898</f>
        <v/>
      </c>
      <c r="O905" s="7">
        <f>'1 datos preparados'!N898</f>
        <v/>
      </c>
      <c r="P905" s="7">
        <f>'1 datos preparados'!O898</f>
        <v/>
      </c>
      <c r="Q905" s="7">
        <f>'1 datos preparados'!P898</f>
        <v/>
      </c>
      <c r="R905" s="7">
        <f>'1 datos preparados'!Q898</f>
        <v/>
      </c>
      <c r="S905" s="7">
        <f>'1 datos preparados'!R898</f>
        <v/>
      </c>
      <c r="T905" s="7">
        <f>'1 datos preparados'!S898</f>
        <v/>
      </c>
      <c r="U905" s="7">
        <f>'1 datos preparados'!T898</f>
        <v/>
      </c>
      <c r="V905" s="8">
        <f>$AE$12+D905*$AE$13+E905*$AE$14+F905*$AE$15+G905*$AE$16+H905*$AE$17+I905*$AE$18+J905*$AE$19+K905*$AE$20+L905*$AE$21+M905*$AE$22+N905*$AE$23+O905*$AE$24+P905*$AE$25+Q905*$AE$26+R905*$AE$27+S905*$AE$28+T905*$AE$29+U905*$AE$30</f>
        <v/>
      </c>
      <c r="W905" s="8">
        <f>1/(1+EXP(-V905))</f>
        <v/>
      </c>
      <c r="X905" s="9">
        <f>-IF(C905=1,LN(W905),LN(1-W905))</f>
        <v/>
      </c>
      <c r="Y905" s="8">
        <f>'1 datos preparados'!V898</f>
        <v/>
      </c>
      <c r="Z905" s="9">
        <f>Y905*X905</f>
        <v/>
      </c>
      <c r="AA905" s="10">
        <f>IF(W905&gt;$AE$33,1,0)</f>
        <v/>
      </c>
      <c r="AB905">
        <f>IF(AA905=C905,1,0)</f>
        <v/>
      </c>
    </row>
    <row r="906">
      <c r="A906">
        <f>'1 datos preparados'!A899</f>
        <v/>
      </c>
      <c r="B906" s="5">
        <f>'1 datos preparados'!U899</f>
        <v/>
      </c>
      <c r="C906">
        <f>'1 datos preparados'!B899</f>
        <v/>
      </c>
      <c r="D906" s="7">
        <f>'1 datos preparados'!C899</f>
        <v/>
      </c>
      <c r="E906" s="7">
        <f>'1 datos preparados'!D899</f>
        <v/>
      </c>
      <c r="F906" s="7">
        <f>'1 datos preparados'!E899</f>
        <v/>
      </c>
      <c r="G906" s="7">
        <f>'1 datos preparados'!F899</f>
        <v/>
      </c>
      <c r="H906" s="7">
        <f>'1 datos preparados'!G899</f>
        <v/>
      </c>
      <c r="I906" s="7">
        <f>'1 datos preparados'!H899</f>
        <v/>
      </c>
      <c r="J906" s="7">
        <f>'1 datos preparados'!I899</f>
        <v/>
      </c>
      <c r="K906" s="7">
        <f>'1 datos preparados'!J899</f>
        <v/>
      </c>
      <c r="L906" s="7">
        <f>'1 datos preparados'!K899</f>
        <v/>
      </c>
      <c r="M906" s="7">
        <f>'1 datos preparados'!L899</f>
        <v/>
      </c>
      <c r="N906" s="7">
        <f>'1 datos preparados'!M899</f>
        <v/>
      </c>
      <c r="O906" s="7">
        <f>'1 datos preparados'!N899</f>
        <v/>
      </c>
      <c r="P906" s="7">
        <f>'1 datos preparados'!O899</f>
        <v/>
      </c>
      <c r="Q906" s="7">
        <f>'1 datos preparados'!P899</f>
        <v/>
      </c>
      <c r="R906" s="7">
        <f>'1 datos preparados'!Q899</f>
        <v/>
      </c>
      <c r="S906" s="7">
        <f>'1 datos preparados'!R899</f>
        <v/>
      </c>
      <c r="T906" s="7">
        <f>'1 datos preparados'!S899</f>
        <v/>
      </c>
      <c r="U906" s="7">
        <f>'1 datos preparados'!T899</f>
        <v/>
      </c>
      <c r="V906" s="8">
        <f>$AE$12+D906*$AE$13+E906*$AE$14+F906*$AE$15+G906*$AE$16+H906*$AE$17+I906*$AE$18+J906*$AE$19+K906*$AE$20+L906*$AE$21+M906*$AE$22+N906*$AE$23+O906*$AE$24+P906*$AE$25+Q906*$AE$26+R906*$AE$27+S906*$AE$28+T906*$AE$29+U906*$AE$30</f>
        <v/>
      </c>
      <c r="W906" s="8">
        <f>1/(1+EXP(-V906))</f>
        <v/>
      </c>
      <c r="X906" s="9">
        <f>-IF(C906=1,LN(W906),LN(1-W906))</f>
        <v/>
      </c>
      <c r="Y906" s="8">
        <f>'1 datos preparados'!V899</f>
        <v/>
      </c>
      <c r="Z906" s="9">
        <f>Y906*X906</f>
        <v/>
      </c>
      <c r="AA906" s="10">
        <f>IF(W906&gt;$AE$33,1,0)</f>
        <v/>
      </c>
      <c r="AB906">
        <f>IF(AA906=C906,1,0)</f>
        <v/>
      </c>
    </row>
    <row r="907">
      <c r="A907">
        <f>'1 datos preparados'!A900</f>
        <v/>
      </c>
      <c r="B907" s="5">
        <f>'1 datos preparados'!U900</f>
        <v/>
      </c>
      <c r="C907">
        <f>'1 datos preparados'!B900</f>
        <v/>
      </c>
      <c r="D907" s="7">
        <f>'1 datos preparados'!C900</f>
        <v/>
      </c>
      <c r="E907" s="7">
        <f>'1 datos preparados'!D900</f>
        <v/>
      </c>
      <c r="F907" s="7">
        <f>'1 datos preparados'!E900</f>
        <v/>
      </c>
      <c r="G907" s="7">
        <f>'1 datos preparados'!F900</f>
        <v/>
      </c>
      <c r="H907" s="7">
        <f>'1 datos preparados'!G900</f>
        <v/>
      </c>
      <c r="I907" s="7">
        <f>'1 datos preparados'!H900</f>
        <v/>
      </c>
      <c r="J907" s="7">
        <f>'1 datos preparados'!I900</f>
        <v/>
      </c>
      <c r="K907" s="7">
        <f>'1 datos preparados'!J900</f>
        <v/>
      </c>
      <c r="L907" s="7">
        <f>'1 datos preparados'!K900</f>
        <v/>
      </c>
      <c r="M907" s="7">
        <f>'1 datos preparados'!L900</f>
        <v/>
      </c>
      <c r="N907" s="7">
        <f>'1 datos preparados'!M900</f>
        <v/>
      </c>
      <c r="O907" s="7">
        <f>'1 datos preparados'!N900</f>
        <v/>
      </c>
      <c r="P907" s="7">
        <f>'1 datos preparados'!O900</f>
        <v/>
      </c>
      <c r="Q907" s="7">
        <f>'1 datos preparados'!P900</f>
        <v/>
      </c>
      <c r="R907" s="7">
        <f>'1 datos preparados'!Q900</f>
        <v/>
      </c>
      <c r="S907" s="7">
        <f>'1 datos preparados'!R900</f>
        <v/>
      </c>
      <c r="T907" s="7">
        <f>'1 datos preparados'!S900</f>
        <v/>
      </c>
      <c r="U907" s="7">
        <f>'1 datos preparados'!T900</f>
        <v/>
      </c>
      <c r="V907" s="8">
        <f>$AE$12+D907*$AE$13+E907*$AE$14+F907*$AE$15+G907*$AE$16+H907*$AE$17+I907*$AE$18+J907*$AE$19+K907*$AE$20+L907*$AE$21+M907*$AE$22+N907*$AE$23+O907*$AE$24+P907*$AE$25+Q907*$AE$26+R907*$AE$27+S907*$AE$28+T907*$AE$29+U907*$AE$30</f>
        <v/>
      </c>
      <c r="W907" s="8">
        <f>1/(1+EXP(-V907))</f>
        <v/>
      </c>
      <c r="X907" s="9">
        <f>-IF(C907=1,LN(W907),LN(1-W907))</f>
        <v/>
      </c>
      <c r="Y907" s="8">
        <f>'1 datos preparados'!V900</f>
        <v/>
      </c>
      <c r="Z907" s="9">
        <f>Y907*X907</f>
        <v/>
      </c>
      <c r="AA907" s="10">
        <f>IF(W907&gt;$AE$33,1,0)</f>
        <v/>
      </c>
      <c r="AB907">
        <f>IF(AA907=C907,1,0)</f>
        <v/>
      </c>
    </row>
    <row r="908">
      <c r="A908">
        <f>'1 datos preparados'!A901</f>
        <v/>
      </c>
      <c r="B908" s="5">
        <f>'1 datos preparados'!U901</f>
        <v/>
      </c>
      <c r="C908">
        <f>'1 datos preparados'!B901</f>
        <v/>
      </c>
      <c r="D908" s="7">
        <f>'1 datos preparados'!C901</f>
        <v/>
      </c>
      <c r="E908" s="7">
        <f>'1 datos preparados'!D901</f>
        <v/>
      </c>
      <c r="F908" s="7">
        <f>'1 datos preparados'!E901</f>
        <v/>
      </c>
      <c r="G908" s="7">
        <f>'1 datos preparados'!F901</f>
        <v/>
      </c>
      <c r="H908" s="7">
        <f>'1 datos preparados'!G901</f>
        <v/>
      </c>
      <c r="I908" s="7">
        <f>'1 datos preparados'!H901</f>
        <v/>
      </c>
      <c r="J908" s="7">
        <f>'1 datos preparados'!I901</f>
        <v/>
      </c>
      <c r="K908" s="7">
        <f>'1 datos preparados'!J901</f>
        <v/>
      </c>
      <c r="L908" s="7">
        <f>'1 datos preparados'!K901</f>
        <v/>
      </c>
      <c r="M908" s="7">
        <f>'1 datos preparados'!L901</f>
        <v/>
      </c>
      <c r="N908" s="7">
        <f>'1 datos preparados'!M901</f>
        <v/>
      </c>
      <c r="O908" s="7">
        <f>'1 datos preparados'!N901</f>
        <v/>
      </c>
      <c r="P908" s="7">
        <f>'1 datos preparados'!O901</f>
        <v/>
      </c>
      <c r="Q908" s="7">
        <f>'1 datos preparados'!P901</f>
        <v/>
      </c>
      <c r="R908" s="7">
        <f>'1 datos preparados'!Q901</f>
        <v/>
      </c>
      <c r="S908" s="7">
        <f>'1 datos preparados'!R901</f>
        <v/>
      </c>
      <c r="T908" s="7">
        <f>'1 datos preparados'!S901</f>
        <v/>
      </c>
      <c r="U908" s="7">
        <f>'1 datos preparados'!T901</f>
        <v/>
      </c>
      <c r="V908" s="8">
        <f>$AE$12+D908*$AE$13+E908*$AE$14+F908*$AE$15+G908*$AE$16+H908*$AE$17+I908*$AE$18+J908*$AE$19+K908*$AE$20+L908*$AE$21+M908*$AE$22+N908*$AE$23+O908*$AE$24+P908*$AE$25+Q908*$AE$26+R908*$AE$27+S908*$AE$28+T908*$AE$29+U908*$AE$30</f>
        <v/>
      </c>
      <c r="W908" s="8">
        <f>1/(1+EXP(-V908))</f>
        <v/>
      </c>
      <c r="X908" s="9">
        <f>-IF(C908=1,LN(W908),LN(1-W908))</f>
        <v/>
      </c>
      <c r="Y908" s="8">
        <f>'1 datos preparados'!V901</f>
        <v/>
      </c>
      <c r="Z908" s="9">
        <f>Y908*X908</f>
        <v/>
      </c>
      <c r="AA908" s="10">
        <f>IF(W908&gt;$AE$33,1,0)</f>
        <v/>
      </c>
      <c r="AB908">
        <f>IF(AA908=C908,1,0)</f>
        <v/>
      </c>
    </row>
    <row r="909">
      <c r="A909">
        <f>'1 datos preparados'!A902</f>
        <v/>
      </c>
      <c r="B909" s="5">
        <f>'1 datos preparados'!U902</f>
        <v/>
      </c>
      <c r="C909">
        <f>'1 datos preparados'!B902</f>
        <v/>
      </c>
      <c r="D909" s="7">
        <f>'1 datos preparados'!C902</f>
        <v/>
      </c>
      <c r="E909" s="7">
        <f>'1 datos preparados'!D902</f>
        <v/>
      </c>
      <c r="F909" s="7">
        <f>'1 datos preparados'!E902</f>
        <v/>
      </c>
      <c r="G909" s="7">
        <f>'1 datos preparados'!F902</f>
        <v/>
      </c>
      <c r="H909" s="7">
        <f>'1 datos preparados'!G902</f>
        <v/>
      </c>
      <c r="I909" s="7">
        <f>'1 datos preparados'!H902</f>
        <v/>
      </c>
      <c r="J909" s="7">
        <f>'1 datos preparados'!I902</f>
        <v/>
      </c>
      <c r="K909" s="7">
        <f>'1 datos preparados'!J902</f>
        <v/>
      </c>
      <c r="L909" s="7">
        <f>'1 datos preparados'!K902</f>
        <v/>
      </c>
      <c r="M909" s="7">
        <f>'1 datos preparados'!L902</f>
        <v/>
      </c>
      <c r="N909" s="7">
        <f>'1 datos preparados'!M902</f>
        <v/>
      </c>
      <c r="O909" s="7">
        <f>'1 datos preparados'!N902</f>
        <v/>
      </c>
      <c r="P909" s="7">
        <f>'1 datos preparados'!O902</f>
        <v/>
      </c>
      <c r="Q909" s="7">
        <f>'1 datos preparados'!P902</f>
        <v/>
      </c>
      <c r="R909" s="7">
        <f>'1 datos preparados'!Q902</f>
        <v/>
      </c>
      <c r="S909" s="7">
        <f>'1 datos preparados'!R902</f>
        <v/>
      </c>
      <c r="T909" s="7">
        <f>'1 datos preparados'!S902</f>
        <v/>
      </c>
      <c r="U909" s="7">
        <f>'1 datos preparados'!T902</f>
        <v/>
      </c>
      <c r="V909" s="8">
        <f>$AE$12+D909*$AE$13+E909*$AE$14+F909*$AE$15+G909*$AE$16+H909*$AE$17+I909*$AE$18+J909*$AE$19+K909*$AE$20+L909*$AE$21+M909*$AE$22+N909*$AE$23+O909*$AE$24+P909*$AE$25+Q909*$AE$26+R909*$AE$27+S909*$AE$28+T909*$AE$29+U909*$AE$30</f>
        <v/>
      </c>
      <c r="W909" s="8">
        <f>1/(1+EXP(-V909))</f>
        <v/>
      </c>
      <c r="X909" s="9">
        <f>-IF(C909=1,LN(W909),LN(1-W909))</f>
        <v/>
      </c>
      <c r="Y909" s="8">
        <f>'1 datos preparados'!V902</f>
        <v/>
      </c>
      <c r="Z909" s="9">
        <f>Y909*X909</f>
        <v/>
      </c>
      <c r="AA909" s="10">
        <f>IF(W909&gt;$AE$33,1,0)</f>
        <v/>
      </c>
      <c r="AB909">
        <f>IF(AA909=C909,1,0)</f>
        <v/>
      </c>
    </row>
    <row r="910">
      <c r="A910">
        <f>'1 datos preparados'!A903</f>
        <v/>
      </c>
      <c r="B910" s="5">
        <f>'1 datos preparados'!U903</f>
        <v/>
      </c>
      <c r="C910">
        <f>'1 datos preparados'!B903</f>
        <v/>
      </c>
      <c r="D910" s="7">
        <f>'1 datos preparados'!C903</f>
        <v/>
      </c>
      <c r="E910" s="7">
        <f>'1 datos preparados'!D903</f>
        <v/>
      </c>
      <c r="F910" s="7">
        <f>'1 datos preparados'!E903</f>
        <v/>
      </c>
      <c r="G910" s="7">
        <f>'1 datos preparados'!F903</f>
        <v/>
      </c>
      <c r="H910" s="7">
        <f>'1 datos preparados'!G903</f>
        <v/>
      </c>
      <c r="I910" s="7">
        <f>'1 datos preparados'!H903</f>
        <v/>
      </c>
      <c r="J910" s="7">
        <f>'1 datos preparados'!I903</f>
        <v/>
      </c>
      <c r="K910" s="7">
        <f>'1 datos preparados'!J903</f>
        <v/>
      </c>
      <c r="L910" s="7">
        <f>'1 datos preparados'!K903</f>
        <v/>
      </c>
      <c r="M910" s="7">
        <f>'1 datos preparados'!L903</f>
        <v/>
      </c>
      <c r="N910" s="7">
        <f>'1 datos preparados'!M903</f>
        <v/>
      </c>
      <c r="O910" s="7">
        <f>'1 datos preparados'!N903</f>
        <v/>
      </c>
      <c r="P910" s="7">
        <f>'1 datos preparados'!O903</f>
        <v/>
      </c>
      <c r="Q910" s="7">
        <f>'1 datos preparados'!P903</f>
        <v/>
      </c>
      <c r="R910" s="7">
        <f>'1 datos preparados'!Q903</f>
        <v/>
      </c>
      <c r="S910" s="7">
        <f>'1 datos preparados'!R903</f>
        <v/>
      </c>
      <c r="T910" s="7">
        <f>'1 datos preparados'!S903</f>
        <v/>
      </c>
      <c r="U910" s="7">
        <f>'1 datos preparados'!T903</f>
        <v/>
      </c>
      <c r="V910" s="8">
        <f>$AE$12+D910*$AE$13+E910*$AE$14+F910*$AE$15+G910*$AE$16+H910*$AE$17+I910*$AE$18+J910*$AE$19+K910*$AE$20+L910*$AE$21+M910*$AE$22+N910*$AE$23+O910*$AE$24+P910*$AE$25+Q910*$AE$26+R910*$AE$27+S910*$AE$28+T910*$AE$29+U910*$AE$30</f>
        <v/>
      </c>
      <c r="W910" s="8">
        <f>1/(1+EXP(-V910))</f>
        <v/>
      </c>
      <c r="X910" s="9">
        <f>-IF(C910=1,LN(W910),LN(1-W910))</f>
        <v/>
      </c>
      <c r="Y910" s="8">
        <f>'1 datos preparados'!V903</f>
        <v/>
      </c>
      <c r="Z910" s="9">
        <f>Y910*X910</f>
        <v/>
      </c>
      <c r="AA910" s="10">
        <f>IF(W910&gt;$AE$33,1,0)</f>
        <v/>
      </c>
      <c r="AB910">
        <f>IF(AA910=C910,1,0)</f>
        <v/>
      </c>
    </row>
    <row r="911">
      <c r="A911">
        <f>'1 datos preparados'!A904</f>
        <v/>
      </c>
      <c r="B911" s="5">
        <f>'1 datos preparados'!U904</f>
        <v/>
      </c>
      <c r="C911">
        <f>'1 datos preparados'!B904</f>
        <v/>
      </c>
      <c r="D911" s="7">
        <f>'1 datos preparados'!C904</f>
        <v/>
      </c>
      <c r="E911" s="7">
        <f>'1 datos preparados'!D904</f>
        <v/>
      </c>
      <c r="F911" s="7">
        <f>'1 datos preparados'!E904</f>
        <v/>
      </c>
      <c r="G911" s="7">
        <f>'1 datos preparados'!F904</f>
        <v/>
      </c>
      <c r="H911" s="7">
        <f>'1 datos preparados'!G904</f>
        <v/>
      </c>
      <c r="I911" s="7">
        <f>'1 datos preparados'!H904</f>
        <v/>
      </c>
      <c r="J911" s="7">
        <f>'1 datos preparados'!I904</f>
        <v/>
      </c>
      <c r="K911" s="7">
        <f>'1 datos preparados'!J904</f>
        <v/>
      </c>
      <c r="L911" s="7">
        <f>'1 datos preparados'!K904</f>
        <v/>
      </c>
      <c r="M911" s="7">
        <f>'1 datos preparados'!L904</f>
        <v/>
      </c>
      <c r="N911" s="7">
        <f>'1 datos preparados'!M904</f>
        <v/>
      </c>
      <c r="O911" s="7">
        <f>'1 datos preparados'!N904</f>
        <v/>
      </c>
      <c r="P911" s="7">
        <f>'1 datos preparados'!O904</f>
        <v/>
      </c>
      <c r="Q911" s="7">
        <f>'1 datos preparados'!P904</f>
        <v/>
      </c>
      <c r="R911" s="7">
        <f>'1 datos preparados'!Q904</f>
        <v/>
      </c>
      <c r="S911" s="7">
        <f>'1 datos preparados'!R904</f>
        <v/>
      </c>
      <c r="T911" s="7">
        <f>'1 datos preparados'!S904</f>
        <v/>
      </c>
      <c r="U911" s="7">
        <f>'1 datos preparados'!T904</f>
        <v/>
      </c>
      <c r="V911" s="8">
        <f>$AE$12+D911*$AE$13+E911*$AE$14+F911*$AE$15+G911*$AE$16+H911*$AE$17+I911*$AE$18+J911*$AE$19+K911*$AE$20+L911*$AE$21+M911*$AE$22+N911*$AE$23+O911*$AE$24+P911*$AE$25+Q911*$AE$26+R911*$AE$27+S911*$AE$28+T911*$AE$29+U911*$AE$30</f>
        <v/>
      </c>
      <c r="W911" s="8">
        <f>1/(1+EXP(-V911))</f>
        <v/>
      </c>
      <c r="X911" s="9">
        <f>-IF(C911=1,LN(W911),LN(1-W911))</f>
        <v/>
      </c>
      <c r="Y911" s="8">
        <f>'1 datos preparados'!V904</f>
        <v/>
      </c>
      <c r="Z911" s="9">
        <f>Y911*X911</f>
        <v/>
      </c>
      <c r="AA911" s="10">
        <f>IF(W911&gt;$AE$33,1,0)</f>
        <v/>
      </c>
      <c r="AB911">
        <f>IF(AA911=C911,1,0)</f>
        <v/>
      </c>
    </row>
    <row r="912">
      <c r="A912">
        <f>'1 datos preparados'!A905</f>
        <v/>
      </c>
      <c r="B912" s="5">
        <f>'1 datos preparados'!U905</f>
        <v/>
      </c>
      <c r="C912">
        <f>'1 datos preparados'!B905</f>
        <v/>
      </c>
      <c r="D912" s="7">
        <f>'1 datos preparados'!C905</f>
        <v/>
      </c>
      <c r="E912" s="7">
        <f>'1 datos preparados'!D905</f>
        <v/>
      </c>
      <c r="F912" s="7">
        <f>'1 datos preparados'!E905</f>
        <v/>
      </c>
      <c r="G912" s="7">
        <f>'1 datos preparados'!F905</f>
        <v/>
      </c>
      <c r="H912" s="7">
        <f>'1 datos preparados'!G905</f>
        <v/>
      </c>
      <c r="I912" s="7">
        <f>'1 datos preparados'!H905</f>
        <v/>
      </c>
      <c r="J912" s="7">
        <f>'1 datos preparados'!I905</f>
        <v/>
      </c>
      <c r="K912" s="7">
        <f>'1 datos preparados'!J905</f>
        <v/>
      </c>
      <c r="L912" s="7">
        <f>'1 datos preparados'!K905</f>
        <v/>
      </c>
      <c r="M912" s="7">
        <f>'1 datos preparados'!L905</f>
        <v/>
      </c>
      <c r="N912" s="7">
        <f>'1 datos preparados'!M905</f>
        <v/>
      </c>
      <c r="O912" s="7">
        <f>'1 datos preparados'!N905</f>
        <v/>
      </c>
      <c r="P912" s="7">
        <f>'1 datos preparados'!O905</f>
        <v/>
      </c>
      <c r="Q912" s="7">
        <f>'1 datos preparados'!P905</f>
        <v/>
      </c>
      <c r="R912" s="7">
        <f>'1 datos preparados'!Q905</f>
        <v/>
      </c>
      <c r="S912" s="7">
        <f>'1 datos preparados'!R905</f>
        <v/>
      </c>
      <c r="T912" s="7">
        <f>'1 datos preparados'!S905</f>
        <v/>
      </c>
      <c r="U912" s="7">
        <f>'1 datos preparados'!T905</f>
        <v/>
      </c>
      <c r="V912" s="8">
        <f>$AE$12+D912*$AE$13+E912*$AE$14+F912*$AE$15+G912*$AE$16+H912*$AE$17+I912*$AE$18+J912*$AE$19+K912*$AE$20+L912*$AE$21+M912*$AE$22+N912*$AE$23+O912*$AE$24+P912*$AE$25+Q912*$AE$26+R912*$AE$27+S912*$AE$28+T912*$AE$29+U912*$AE$30</f>
        <v/>
      </c>
      <c r="W912" s="8">
        <f>1/(1+EXP(-V912))</f>
        <v/>
      </c>
      <c r="X912" s="9">
        <f>-IF(C912=1,LN(W912),LN(1-W912))</f>
        <v/>
      </c>
      <c r="Y912" s="8">
        <f>'1 datos preparados'!V905</f>
        <v/>
      </c>
      <c r="Z912" s="9">
        <f>Y912*X912</f>
        <v/>
      </c>
      <c r="AA912" s="10">
        <f>IF(W912&gt;$AE$33,1,0)</f>
        <v/>
      </c>
      <c r="AB912">
        <f>IF(AA912=C912,1,0)</f>
        <v/>
      </c>
    </row>
    <row r="913">
      <c r="A913">
        <f>'1 datos preparados'!A906</f>
        <v/>
      </c>
      <c r="B913" s="5">
        <f>'1 datos preparados'!U906</f>
        <v/>
      </c>
      <c r="C913">
        <f>'1 datos preparados'!B906</f>
        <v/>
      </c>
      <c r="D913" s="7">
        <f>'1 datos preparados'!C906</f>
        <v/>
      </c>
      <c r="E913" s="7">
        <f>'1 datos preparados'!D906</f>
        <v/>
      </c>
      <c r="F913" s="7">
        <f>'1 datos preparados'!E906</f>
        <v/>
      </c>
      <c r="G913" s="7">
        <f>'1 datos preparados'!F906</f>
        <v/>
      </c>
      <c r="H913" s="7">
        <f>'1 datos preparados'!G906</f>
        <v/>
      </c>
      <c r="I913" s="7">
        <f>'1 datos preparados'!H906</f>
        <v/>
      </c>
      <c r="J913" s="7">
        <f>'1 datos preparados'!I906</f>
        <v/>
      </c>
      <c r="K913" s="7">
        <f>'1 datos preparados'!J906</f>
        <v/>
      </c>
      <c r="L913" s="7">
        <f>'1 datos preparados'!K906</f>
        <v/>
      </c>
      <c r="M913" s="7">
        <f>'1 datos preparados'!L906</f>
        <v/>
      </c>
      <c r="N913" s="7">
        <f>'1 datos preparados'!M906</f>
        <v/>
      </c>
      <c r="O913" s="7">
        <f>'1 datos preparados'!N906</f>
        <v/>
      </c>
      <c r="P913" s="7">
        <f>'1 datos preparados'!O906</f>
        <v/>
      </c>
      <c r="Q913" s="7">
        <f>'1 datos preparados'!P906</f>
        <v/>
      </c>
      <c r="R913" s="7">
        <f>'1 datos preparados'!Q906</f>
        <v/>
      </c>
      <c r="S913" s="7">
        <f>'1 datos preparados'!R906</f>
        <v/>
      </c>
      <c r="T913" s="7">
        <f>'1 datos preparados'!S906</f>
        <v/>
      </c>
      <c r="U913" s="7">
        <f>'1 datos preparados'!T906</f>
        <v/>
      </c>
      <c r="V913" s="8">
        <f>$AE$12+D913*$AE$13+E913*$AE$14+F913*$AE$15+G913*$AE$16+H913*$AE$17+I913*$AE$18+J913*$AE$19+K913*$AE$20+L913*$AE$21+M913*$AE$22+N913*$AE$23+O913*$AE$24+P913*$AE$25+Q913*$AE$26+R913*$AE$27+S913*$AE$28+T913*$AE$29+U913*$AE$30</f>
        <v/>
      </c>
      <c r="W913" s="8">
        <f>1/(1+EXP(-V913))</f>
        <v/>
      </c>
      <c r="X913" s="9">
        <f>-IF(C913=1,LN(W913),LN(1-W913))</f>
        <v/>
      </c>
      <c r="Y913" s="8">
        <f>'1 datos preparados'!V906</f>
        <v/>
      </c>
      <c r="Z913" s="9">
        <f>Y913*X913</f>
        <v/>
      </c>
      <c r="AA913" s="10">
        <f>IF(W913&gt;$AE$33,1,0)</f>
        <v/>
      </c>
      <c r="AB913">
        <f>IF(AA913=C913,1,0)</f>
        <v/>
      </c>
    </row>
    <row r="914">
      <c r="A914">
        <f>'1 datos preparados'!A907</f>
        <v/>
      </c>
      <c r="B914" s="5">
        <f>'1 datos preparados'!U907</f>
        <v/>
      </c>
      <c r="C914">
        <f>'1 datos preparados'!B907</f>
        <v/>
      </c>
      <c r="D914" s="7">
        <f>'1 datos preparados'!C907</f>
        <v/>
      </c>
      <c r="E914" s="7">
        <f>'1 datos preparados'!D907</f>
        <v/>
      </c>
      <c r="F914" s="7">
        <f>'1 datos preparados'!E907</f>
        <v/>
      </c>
      <c r="G914" s="7">
        <f>'1 datos preparados'!F907</f>
        <v/>
      </c>
      <c r="H914" s="7">
        <f>'1 datos preparados'!G907</f>
        <v/>
      </c>
      <c r="I914" s="7">
        <f>'1 datos preparados'!H907</f>
        <v/>
      </c>
      <c r="J914" s="7">
        <f>'1 datos preparados'!I907</f>
        <v/>
      </c>
      <c r="K914" s="7">
        <f>'1 datos preparados'!J907</f>
        <v/>
      </c>
      <c r="L914" s="7">
        <f>'1 datos preparados'!K907</f>
        <v/>
      </c>
      <c r="M914" s="7">
        <f>'1 datos preparados'!L907</f>
        <v/>
      </c>
      <c r="N914" s="7">
        <f>'1 datos preparados'!M907</f>
        <v/>
      </c>
      <c r="O914" s="7">
        <f>'1 datos preparados'!N907</f>
        <v/>
      </c>
      <c r="P914" s="7">
        <f>'1 datos preparados'!O907</f>
        <v/>
      </c>
      <c r="Q914" s="7">
        <f>'1 datos preparados'!P907</f>
        <v/>
      </c>
      <c r="R914" s="7">
        <f>'1 datos preparados'!Q907</f>
        <v/>
      </c>
      <c r="S914" s="7">
        <f>'1 datos preparados'!R907</f>
        <v/>
      </c>
      <c r="T914" s="7">
        <f>'1 datos preparados'!S907</f>
        <v/>
      </c>
      <c r="U914" s="7">
        <f>'1 datos preparados'!T907</f>
        <v/>
      </c>
      <c r="V914" s="8">
        <f>$AE$12+D914*$AE$13+E914*$AE$14+F914*$AE$15+G914*$AE$16+H914*$AE$17+I914*$AE$18+J914*$AE$19+K914*$AE$20+L914*$AE$21+M914*$AE$22+N914*$AE$23+O914*$AE$24+P914*$AE$25+Q914*$AE$26+R914*$AE$27+S914*$AE$28+T914*$AE$29+U914*$AE$30</f>
        <v/>
      </c>
      <c r="W914" s="8">
        <f>1/(1+EXP(-V914))</f>
        <v/>
      </c>
      <c r="X914" s="9">
        <f>-IF(C914=1,LN(W914),LN(1-W914))</f>
        <v/>
      </c>
      <c r="Y914" s="8">
        <f>'1 datos preparados'!V907</f>
        <v/>
      </c>
      <c r="Z914" s="9">
        <f>Y914*X914</f>
        <v/>
      </c>
      <c r="AA914" s="10">
        <f>IF(W914&gt;$AE$33,1,0)</f>
        <v/>
      </c>
      <c r="AB914">
        <f>IF(AA914=C914,1,0)</f>
        <v/>
      </c>
    </row>
    <row r="915">
      <c r="A915">
        <f>'1 datos preparados'!A908</f>
        <v/>
      </c>
      <c r="B915" s="5">
        <f>'1 datos preparados'!U908</f>
        <v/>
      </c>
      <c r="C915">
        <f>'1 datos preparados'!B908</f>
        <v/>
      </c>
      <c r="D915" s="7">
        <f>'1 datos preparados'!C908</f>
        <v/>
      </c>
      <c r="E915" s="7">
        <f>'1 datos preparados'!D908</f>
        <v/>
      </c>
      <c r="F915" s="7">
        <f>'1 datos preparados'!E908</f>
        <v/>
      </c>
      <c r="G915" s="7">
        <f>'1 datos preparados'!F908</f>
        <v/>
      </c>
      <c r="H915" s="7">
        <f>'1 datos preparados'!G908</f>
        <v/>
      </c>
      <c r="I915" s="7">
        <f>'1 datos preparados'!H908</f>
        <v/>
      </c>
      <c r="J915" s="7">
        <f>'1 datos preparados'!I908</f>
        <v/>
      </c>
      <c r="K915" s="7">
        <f>'1 datos preparados'!J908</f>
        <v/>
      </c>
      <c r="L915" s="7">
        <f>'1 datos preparados'!K908</f>
        <v/>
      </c>
      <c r="M915" s="7">
        <f>'1 datos preparados'!L908</f>
        <v/>
      </c>
      <c r="N915" s="7">
        <f>'1 datos preparados'!M908</f>
        <v/>
      </c>
      <c r="O915" s="7">
        <f>'1 datos preparados'!N908</f>
        <v/>
      </c>
      <c r="P915" s="7">
        <f>'1 datos preparados'!O908</f>
        <v/>
      </c>
      <c r="Q915" s="7">
        <f>'1 datos preparados'!P908</f>
        <v/>
      </c>
      <c r="R915" s="7">
        <f>'1 datos preparados'!Q908</f>
        <v/>
      </c>
      <c r="S915" s="7">
        <f>'1 datos preparados'!R908</f>
        <v/>
      </c>
      <c r="T915" s="7">
        <f>'1 datos preparados'!S908</f>
        <v/>
      </c>
      <c r="U915" s="7">
        <f>'1 datos preparados'!T908</f>
        <v/>
      </c>
      <c r="V915" s="8">
        <f>$AE$12+D915*$AE$13+E915*$AE$14+F915*$AE$15+G915*$AE$16+H915*$AE$17+I915*$AE$18+J915*$AE$19+K915*$AE$20+L915*$AE$21+M915*$AE$22+N915*$AE$23+O915*$AE$24+P915*$AE$25+Q915*$AE$26+R915*$AE$27+S915*$AE$28+T915*$AE$29+U915*$AE$30</f>
        <v/>
      </c>
      <c r="W915" s="8">
        <f>1/(1+EXP(-V915))</f>
        <v/>
      </c>
      <c r="X915" s="9">
        <f>-IF(C915=1,LN(W915),LN(1-W915))</f>
        <v/>
      </c>
      <c r="Y915" s="8">
        <f>'1 datos preparados'!V908</f>
        <v/>
      </c>
      <c r="Z915" s="9">
        <f>Y915*X915</f>
        <v/>
      </c>
      <c r="AA915" s="10">
        <f>IF(W915&gt;$AE$33,1,0)</f>
        <v/>
      </c>
      <c r="AB915">
        <f>IF(AA915=C915,1,0)</f>
        <v/>
      </c>
    </row>
    <row r="916">
      <c r="A916">
        <f>'1 datos preparados'!A909</f>
        <v/>
      </c>
      <c r="B916" s="5">
        <f>'1 datos preparados'!U909</f>
        <v/>
      </c>
      <c r="C916">
        <f>'1 datos preparados'!B909</f>
        <v/>
      </c>
      <c r="D916" s="7">
        <f>'1 datos preparados'!C909</f>
        <v/>
      </c>
      <c r="E916" s="7">
        <f>'1 datos preparados'!D909</f>
        <v/>
      </c>
      <c r="F916" s="7">
        <f>'1 datos preparados'!E909</f>
        <v/>
      </c>
      <c r="G916" s="7">
        <f>'1 datos preparados'!F909</f>
        <v/>
      </c>
      <c r="H916" s="7">
        <f>'1 datos preparados'!G909</f>
        <v/>
      </c>
      <c r="I916" s="7">
        <f>'1 datos preparados'!H909</f>
        <v/>
      </c>
      <c r="J916" s="7">
        <f>'1 datos preparados'!I909</f>
        <v/>
      </c>
      <c r="K916" s="7">
        <f>'1 datos preparados'!J909</f>
        <v/>
      </c>
      <c r="L916" s="7">
        <f>'1 datos preparados'!K909</f>
        <v/>
      </c>
      <c r="M916" s="7">
        <f>'1 datos preparados'!L909</f>
        <v/>
      </c>
      <c r="N916" s="7">
        <f>'1 datos preparados'!M909</f>
        <v/>
      </c>
      <c r="O916" s="7">
        <f>'1 datos preparados'!N909</f>
        <v/>
      </c>
      <c r="P916" s="7">
        <f>'1 datos preparados'!O909</f>
        <v/>
      </c>
      <c r="Q916" s="7">
        <f>'1 datos preparados'!P909</f>
        <v/>
      </c>
      <c r="R916" s="7">
        <f>'1 datos preparados'!Q909</f>
        <v/>
      </c>
      <c r="S916" s="7">
        <f>'1 datos preparados'!R909</f>
        <v/>
      </c>
      <c r="T916" s="7">
        <f>'1 datos preparados'!S909</f>
        <v/>
      </c>
      <c r="U916" s="7">
        <f>'1 datos preparados'!T909</f>
        <v/>
      </c>
      <c r="V916" s="8">
        <f>$AE$12+D916*$AE$13+E916*$AE$14+F916*$AE$15+G916*$AE$16+H916*$AE$17+I916*$AE$18+J916*$AE$19+K916*$AE$20+L916*$AE$21+M916*$AE$22+N916*$AE$23+O916*$AE$24+P916*$AE$25+Q916*$AE$26+R916*$AE$27+S916*$AE$28+T916*$AE$29+U916*$AE$30</f>
        <v/>
      </c>
      <c r="W916" s="8">
        <f>1/(1+EXP(-V916))</f>
        <v/>
      </c>
      <c r="X916" s="9">
        <f>-IF(C916=1,LN(W916),LN(1-W916))</f>
        <v/>
      </c>
      <c r="Y916" s="8">
        <f>'1 datos preparados'!V909</f>
        <v/>
      </c>
      <c r="Z916" s="9">
        <f>Y916*X916</f>
        <v/>
      </c>
      <c r="AA916" s="10">
        <f>IF(W916&gt;$AE$33,1,0)</f>
        <v/>
      </c>
      <c r="AB916">
        <f>IF(AA916=C916,1,0)</f>
        <v/>
      </c>
    </row>
    <row r="917">
      <c r="A917">
        <f>'1 datos preparados'!A910</f>
        <v/>
      </c>
      <c r="B917" s="5">
        <f>'1 datos preparados'!U910</f>
        <v/>
      </c>
      <c r="C917">
        <f>'1 datos preparados'!B910</f>
        <v/>
      </c>
      <c r="D917" s="7">
        <f>'1 datos preparados'!C910</f>
        <v/>
      </c>
      <c r="E917" s="7">
        <f>'1 datos preparados'!D910</f>
        <v/>
      </c>
      <c r="F917" s="7">
        <f>'1 datos preparados'!E910</f>
        <v/>
      </c>
      <c r="G917" s="7">
        <f>'1 datos preparados'!F910</f>
        <v/>
      </c>
      <c r="H917" s="7">
        <f>'1 datos preparados'!G910</f>
        <v/>
      </c>
      <c r="I917" s="7">
        <f>'1 datos preparados'!H910</f>
        <v/>
      </c>
      <c r="J917" s="7">
        <f>'1 datos preparados'!I910</f>
        <v/>
      </c>
      <c r="K917" s="7">
        <f>'1 datos preparados'!J910</f>
        <v/>
      </c>
      <c r="L917" s="7">
        <f>'1 datos preparados'!K910</f>
        <v/>
      </c>
      <c r="M917" s="7">
        <f>'1 datos preparados'!L910</f>
        <v/>
      </c>
      <c r="N917" s="7">
        <f>'1 datos preparados'!M910</f>
        <v/>
      </c>
      <c r="O917" s="7">
        <f>'1 datos preparados'!N910</f>
        <v/>
      </c>
      <c r="P917" s="7">
        <f>'1 datos preparados'!O910</f>
        <v/>
      </c>
      <c r="Q917" s="7">
        <f>'1 datos preparados'!P910</f>
        <v/>
      </c>
      <c r="R917" s="7">
        <f>'1 datos preparados'!Q910</f>
        <v/>
      </c>
      <c r="S917" s="7">
        <f>'1 datos preparados'!R910</f>
        <v/>
      </c>
      <c r="T917" s="7">
        <f>'1 datos preparados'!S910</f>
        <v/>
      </c>
      <c r="U917" s="7">
        <f>'1 datos preparados'!T910</f>
        <v/>
      </c>
      <c r="V917" s="8">
        <f>$AE$12+D917*$AE$13+E917*$AE$14+F917*$AE$15+G917*$AE$16+H917*$AE$17+I917*$AE$18+J917*$AE$19+K917*$AE$20+L917*$AE$21+M917*$AE$22+N917*$AE$23+O917*$AE$24+P917*$AE$25+Q917*$AE$26+R917*$AE$27+S917*$AE$28+T917*$AE$29+U917*$AE$30</f>
        <v/>
      </c>
      <c r="W917" s="8">
        <f>1/(1+EXP(-V917))</f>
        <v/>
      </c>
      <c r="X917" s="9">
        <f>-IF(C917=1,LN(W917),LN(1-W917))</f>
        <v/>
      </c>
      <c r="Y917" s="8">
        <f>'1 datos preparados'!V910</f>
        <v/>
      </c>
      <c r="Z917" s="9">
        <f>Y917*X917</f>
        <v/>
      </c>
      <c r="AA917" s="10">
        <f>IF(W917&gt;$AE$33,1,0)</f>
        <v/>
      </c>
      <c r="AB917">
        <f>IF(AA917=C917,1,0)</f>
        <v/>
      </c>
    </row>
    <row r="918">
      <c r="A918">
        <f>'1 datos preparados'!A911</f>
        <v/>
      </c>
      <c r="B918" s="5">
        <f>'1 datos preparados'!U911</f>
        <v/>
      </c>
      <c r="C918">
        <f>'1 datos preparados'!B911</f>
        <v/>
      </c>
      <c r="D918" s="7">
        <f>'1 datos preparados'!C911</f>
        <v/>
      </c>
      <c r="E918" s="7">
        <f>'1 datos preparados'!D911</f>
        <v/>
      </c>
      <c r="F918" s="7">
        <f>'1 datos preparados'!E911</f>
        <v/>
      </c>
      <c r="G918" s="7">
        <f>'1 datos preparados'!F911</f>
        <v/>
      </c>
      <c r="H918" s="7">
        <f>'1 datos preparados'!G911</f>
        <v/>
      </c>
      <c r="I918" s="7">
        <f>'1 datos preparados'!H911</f>
        <v/>
      </c>
      <c r="J918" s="7">
        <f>'1 datos preparados'!I911</f>
        <v/>
      </c>
      <c r="K918" s="7">
        <f>'1 datos preparados'!J911</f>
        <v/>
      </c>
      <c r="L918" s="7">
        <f>'1 datos preparados'!K911</f>
        <v/>
      </c>
      <c r="M918" s="7">
        <f>'1 datos preparados'!L911</f>
        <v/>
      </c>
      <c r="N918" s="7">
        <f>'1 datos preparados'!M911</f>
        <v/>
      </c>
      <c r="O918" s="7">
        <f>'1 datos preparados'!N911</f>
        <v/>
      </c>
      <c r="P918" s="7">
        <f>'1 datos preparados'!O911</f>
        <v/>
      </c>
      <c r="Q918" s="7">
        <f>'1 datos preparados'!P911</f>
        <v/>
      </c>
      <c r="R918" s="7">
        <f>'1 datos preparados'!Q911</f>
        <v/>
      </c>
      <c r="S918" s="7">
        <f>'1 datos preparados'!R911</f>
        <v/>
      </c>
      <c r="T918" s="7">
        <f>'1 datos preparados'!S911</f>
        <v/>
      </c>
      <c r="U918" s="7">
        <f>'1 datos preparados'!T911</f>
        <v/>
      </c>
      <c r="V918" s="8">
        <f>$AE$12+D918*$AE$13+E918*$AE$14+F918*$AE$15+G918*$AE$16+H918*$AE$17+I918*$AE$18+J918*$AE$19+K918*$AE$20+L918*$AE$21+M918*$AE$22+N918*$AE$23+O918*$AE$24+P918*$AE$25+Q918*$AE$26+R918*$AE$27+S918*$AE$28+T918*$AE$29+U918*$AE$30</f>
        <v/>
      </c>
      <c r="W918" s="8">
        <f>1/(1+EXP(-V918))</f>
        <v/>
      </c>
      <c r="X918" s="9">
        <f>-IF(C918=1,LN(W918),LN(1-W918))</f>
        <v/>
      </c>
      <c r="Y918" s="8">
        <f>'1 datos preparados'!V911</f>
        <v/>
      </c>
      <c r="Z918" s="9">
        <f>Y918*X918</f>
        <v/>
      </c>
      <c r="AA918" s="10">
        <f>IF(W918&gt;$AE$33,1,0)</f>
        <v/>
      </c>
      <c r="AB918">
        <f>IF(AA918=C918,1,0)</f>
        <v/>
      </c>
    </row>
    <row r="919">
      <c r="A919">
        <f>'1 datos preparados'!A912</f>
        <v/>
      </c>
      <c r="B919" s="5">
        <f>'1 datos preparados'!U912</f>
        <v/>
      </c>
      <c r="C919">
        <f>'1 datos preparados'!B912</f>
        <v/>
      </c>
      <c r="D919" s="7">
        <f>'1 datos preparados'!C912</f>
        <v/>
      </c>
      <c r="E919" s="7">
        <f>'1 datos preparados'!D912</f>
        <v/>
      </c>
      <c r="F919" s="7">
        <f>'1 datos preparados'!E912</f>
        <v/>
      </c>
      <c r="G919" s="7">
        <f>'1 datos preparados'!F912</f>
        <v/>
      </c>
      <c r="H919" s="7">
        <f>'1 datos preparados'!G912</f>
        <v/>
      </c>
      <c r="I919" s="7">
        <f>'1 datos preparados'!H912</f>
        <v/>
      </c>
      <c r="J919" s="7">
        <f>'1 datos preparados'!I912</f>
        <v/>
      </c>
      <c r="K919" s="7">
        <f>'1 datos preparados'!J912</f>
        <v/>
      </c>
      <c r="L919" s="7">
        <f>'1 datos preparados'!K912</f>
        <v/>
      </c>
      <c r="M919" s="7">
        <f>'1 datos preparados'!L912</f>
        <v/>
      </c>
      <c r="N919" s="7">
        <f>'1 datos preparados'!M912</f>
        <v/>
      </c>
      <c r="O919" s="7">
        <f>'1 datos preparados'!N912</f>
        <v/>
      </c>
      <c r="P919" s="7">
        <f>'1 datos preparados'!O912</f>
        <v/>
      </c>
      <c r="Q919" s="7">
        <f>'1 datos preparados'!P912</f>
        <v/>
      </c>
      <c r="R919" s="7">
        <f>'1 datos preparados'!Q912</f>
        <v/>
      </c>
      <c r="S919" s="7">
        <f>'1 datos preparados'!R912</f>
        <v/>
      </c>
      <c r="T919" s="7">
        <f>'1 datos preparados'!S912</f>
        <v/>
      </c>
      <c r="U919" s="7">
        <f>'1 datos preparados'!T912</f>
        <v/>
      </c>
      <c r="V919" s="8">
        <f>$AE$12+D919*$AE$13+E919*$AE$14+F919*$AE$15+G919*$AE$16+H919*$AE$17+I919*$AE$18+J919*$AE$19+K919*$AE$20+L919*$AE$21+M919*$AE$22+N919*$AE$23+O919*$AE$24+P919*$AE$25+Q919*$AE$26+R919*$AE$27+S919*$AE$28+T919*$AE$29+U919*$AE$30</f>
        <v/>
      </c>
      <c r="W919" s="8">
        <f>1/(1+EXP(-V919))</f>
        <v/>
      </c>
      <c r="X919" s="9">
        <f>-IF(C919=1,LN(W919),LN(1-W919))</f>
        <v/>
      </c>
      <c r="Y919" s="8">
        <f>'1 datos preparados'!V912</f>
        <v/>
      </c>
      <c r="Z919" s="9">
        <f>Y919*X919</f>
        <v/>
      </c>
      <c r="AA919" s="10">
        <f>IF(W919&gt;$AE$33,1,0)</f>
        <v/>
      </c>
      <c r="AB919">
        <f>IF(AA919=C919,1,0)</f>
        <v/>
      </c>
    </row>
    <row r="920">
      <c r="A920">
        <f>'1 datos preparados'!A913</f>
        <v/>
      </c>
      <c r="B920" s="5">
        <f>'1 datos preparados'!U913</f>
        <v/>
      </c>
      <c r="C920">
        <f>'1 datos preparados'!B913</f>
        <v/>
      </c>
      <c r="D920" s="7">
        <f>'1 datos preparados'!C913</f>
        <v/>
      </c>
      <c r="E920" s="7">
        <f>'1 datos preparados'!D913</f>
        <v/>
      </c>
      <c r="F920" s="7">
        <f>'1 datos preparados'!E913</f>
        <v/>
      </c>
      <c r="G920" s="7">
        <f>'1 datos preparados'!F913</f>
        <v/>
      </c>
      <c r="H920" s="7">
        <f>'1 datos preparados'!G913</f>
        <v/>
      </c>
      <c r="I920" s="7">
        <f>'1 datos preparados'!H913</f>
        <v/>
      </c>
      <c r="J920" s="7">
        <f>'1 datos preparados'!I913</f>
        <v/>
      </c>
      <c r="K920" s="7">
        <f>'1 datos preparados'!J913</f>
        <v/>
      </c>
      <c r="L920" s="7">
        <f>'1 datos preparados'!K913</f>
        <v/>
      </c>
      <c r="M920" s="7">
        <f>'1 datos preparados'!L913</f>
        <v/>
      </c>
      <c r="N920" s="7">
        <f>'1 datos preparados'!M913</f>
        <v/>
      </c>
      <c r="O920" s="7">
        <f>'1 datos preparados'!N913</f>
        <v/>
      </c>
      <c r="P920" s="7">
        <f>'1 datos preparados'!O913</f>
        <v/>
      </c>
      <c r="Q920" s="7">
        <f>'1 datos preparados'!P913</f>
        <v/>
      </c>
      <c r="R920" s="7">
        <f>'1 datos preparados'!Q913</f>
        <v/>
      </c>
      <c r="S920" s="7">
        <f>'1 datos preparados'!R913</f>
        <v/>
      </c>
      <c r="T920" s="7">
        <f>'1 datos preparados'!S913</f>
        <v/>
      </c>
      <c r="U920" s="7">
        <f>'1 datos preparados'!T913</f>
        <v/>
      </c>
      <c r="V920" s="8">
        <f>$AE$12+D920*$AE$13+E920*$AE$14+F920*$AE$15+G920*$AE$16+H920*$AE$17+I920*$AE$18+J920*$AE$19+K920*$AE$20+L920*$AE$21+M920*$AE$22+N920*$AE$23+O920*$AE$24+P920*$AE$25+Q920*$AE$26+R920*$AE$27+S920*$AE$28+T920*$AE$29+U920*$AE$30</f>
        <v/>
      </c>
      <c r="W920" s="8">
        <f>1/(1+EXP(-V920))</f>
        <v/>
      </c>
      <c r="X920" s="9">
        <f>-IF(C920=1,LN(W920),LN(1-W920))</f>
        <v/>
      </c>
      <c r="Y920" s="8">
        <f>'1 datos preparados'!V913</f>
        <v/>
      </c>
      <c r="Z920" s="9">
        <f>Y920*X920</f>
        <v/>
      </c>
      <c r="AA920" s="10">
        <f>IF(W920&gt;$AE$33,1,0)</f>
        <v/>
      </c>
      <c r="AB920">
        <f>IF(AA920=C920,1,0)</f>
        <v/>
      </c>
    </row>
    <row r="921">
      <c r="A921">
        <f>'1 datos preparados'!A914</f>
        <v/>
      </c>
      <c r="B921" s="5">
        <f>'1 datos preparados'!U914</f>
        <v/>
      </c>
      <c r="C921">
        <f>'1 datos preparados'!B914</f>
        <v/>
      </c>
      <c r="D921" s="7">
        <f>'1 datos preparados'!C914</f>
        <v/>
      </c>
      <c r="E921" s="7">
        <f>'1 datos preparados'!D914</f>
        <v/>
      </c>
      <c r="F921" s="7">
        <f>'1 datos preparados'!E914</f>
        <v/>
      </c>
      <c r="G921" s="7">
        <f>'1 datos preparados'!F914</f>
        <v/>
      </c>
      <c r="H921" s="7">
        <f>'1 datos preparados'!G914</f>
        <v/>
      </c>
      <c r="I921" s="7">
        <f>'1 datos preparados'!H914</f>
        <v/>
      </c>
      <c r="J921" s="7">
        <f>'1 datos preparados'!I914</f>
        <v/>
      </c>
      <c r="K921" s="7">
        <f>'1 datos preparados'!J914</f>
        <v/>
      </c>
      <c r="L921" s="7">
        <f>'1 datos preparados'!K914</f>
        <v/>
      </c>
      <c r="M921" s="7">
        <f>'1 datos preparados'!L914</f>
        <v/>
      </c>
      <c r="N921" s="7">
        <f>'1 datos preparados'!M914</f>
        <v/>
      </c>
      <c r="O921" s="7">
        <f>'1 datos preparados'!N914</f>
        <v/>
      </c>
      <c r="P921" s="7">
        <f>'1 datos preparados'!O914</f>
        <v/>
      </c>
      <c r="Q921" s="7">
        <f>'1 datos preparados'!P914</f>
        <v/>
      </c>
      <c r="R921" s="7">
        <f>'1 datos preparados'!Q914</f>
        <v/>
      </c>
      <c r="S921" s="7">
        <f>'1 datos preparados'!R914</f>
        <v/>
      </c>
      <c r="T921" s="7">
        <f>'1 datos preparados'!S914</f>
        <v/>
      </c>
      <c r="U921" s="7">
        <f>'1 datos preparados'!T914</f>
        <v/>
      </c>
      <c r="V921" s="8">
        <f>$AE$12+D921*$AE$13+E921*$AE$14+F921*$AE$15+G921*$AE$16+H921*$AE$17+I921*$AE$18+J921*$AE$19+K921*$AE$20+L921*$AE$21+M921*$AE$22+N921*$AE$23+O921*$AE$24+P921*$AE$25+Q921*$AE$26+R921*$AE$27+S921*$AE$28+T921*$AE$29+U921*$AE$30</f>
        <v/>
      </c>
      <c r="W921" s="8">
        <f>1/(1+EXP(-V921))</f>
        <v/>
      </c>
      <c r="X921" s="9">
        <f>-IF(C921=1,LN(W921),LN(1-W921))</f>
        <v/>
      </c>
      <c r="Y921" s="8">
        <f>'1 datos preparados'!V914</f>
        <v/>
      </c>
      <c r="Z921" s="9">
        <f>Y921*X921</f>
        <v/>
      </c>
      <c r="AA921" s="10">
        <f>IF(W921&gt;$AE$33,1,0)</f>
        <v/>
      </c>
      <c r="AB921">
        <f>IF(AA921=C921,1,0)</f>
        <v/>
      </c>
    </row>
    <row r="922">
      <c r="A922">
        <f>'1 datos preparados'!A915</f>
        <v/>
      </c>
      <c r="B922" s="5">
        <f>'1 datos preparados'!U915</f>
        <v/>
      </c>
      <c r="C922">
        <f>'1 datos preparados'!B915</f>
        <v/>
      </c>
      <c r="D922" s="7">
        <f>'1 datos preparados'!C915</f>
        <v/>
      </c>
      <c r="E922" s="7">
        <f>'1 datos preparados'!D915</f>
        <v/>
      </c>
      <c r="F922" s="7">
        <f>'1 datos preparados'!E915</f>
        <v/>
      </c>
      <c r="G922" s="7">
        <f>'1 datos preparados'!F915</f>
        <v/>
      </c>
      <c r="H922" s="7">
        <f>'1 datos preparados'!G915</f>
        <v/>
      </c>
      <c r="I922" s="7">
        <f>'1 datos preparados'!H915</f>
        <v/>
      </c>
      <c r="J922" s="7">
        <f>'1 datos preparados'!I915</f>
        <v/>
      </c>
      <c r="K922" s="7">
        <f>'1 datos preparados'!J915</f>
        <v/>
      </c>
      <c r="L922" s="7">
        <f>'1 datos preparados'!K915</f>
        <v/>
      </c>
      <c r="M922" s="7">
        <f>'1 datos preparados'!L915</f>
        <v/>
      </c>
      <c r="N922" s="7">
        <f>'1 datos preparados'!M915</f>
        <v/>
      </c>
      <c r="O922" s="7">
        <f>'1 datos preparados'!N915</f>
        <v/>
      </c>
      <c r="P922" s="7">
        <f>'1 datos preparados'!O915</f>
        <v/>
      </c>
      <c r="Q922" s="7">
        <f>'1 datos preparados'!P915</f>
        <v/>
      </c>
      <c r="R922" s="7">
        <f>'1 datos preparados'!Q915</f>
        <v/>
      </c>
      <c r="S922" s="7">
        <f>'1 datos preparados'!R915</f>
        <v/>
      </c>
      <c r="T922" s="7">
        <f>'1 datos preparados'!S915</f>
        <v/>
      </c>
      <c r="U922" s="7">
        <f>'1 datos preparados'!T915</f>
        <v/>
      </c>
      <c r="V922" s="8">
        <f>$AE$12+D922*$AE$13+E922*$AE$14+F922*$AE$15+G922*$AE$16+H922*$AE$17+I922*$AE$18+J922*$AE$19+K922*$AE$20+L922*$AE$21+M922*$AE$22+N922*$AE$23+O922*$AE$24+P922*$AE$25+Q922*$AE$26+R922*$AE$27+S922*$AE$28+T922*$AE$29+U922*$AE$30</f>
        <v/>
      </c>
      <c r="W922" s="8">
        <f>1/(1+EXP(-V922))</f>
        <v/>
      </c>
      <c r="X922" s="9">
        <f>-IF(C922=1,LN(W922),LN(1-W922))</f>
        <v/>
      </c>
      <c r="Y922" s="8">
        <f>'1 datos preparados'!V915</f>
        <v/>
      </c>
      <c r="Z922" s="9">
        <f>Y922*X922</f>
        <v/>
      </c>
      <c r="AA922" s="10">
        <f>IF(W922&gt;$AE$33,1,0)</f>
        <v/>
      </c>
      <c r="AB922">
        <f>IF(AA922=C922,1,0)</f>
        <v/>
      </c>
    </row>
    <row r="923">
      <c r="A923">
        <f>'1 datos preparados'!A916</f>
        <v/>
      </c>
      <c r="B923" s="5">
        <f>'1 datos preparados'!U916</f>
        <v/>
      </c>
      <c r="C923">
        <f>'1 datos preparados'!B916</f>
        <v/>
      </c>
      <c r="D923" s="7">
        <f>'1 datos preparados'!C916</f>
        <v/>
      </c>
      <c r="E923" s="7">
        <f>'1 datos preparados'!D916</f>
        <v/>
      </c>
      <c r="F923" s="7">
        <f>'1 datos preparados'!E916</f>
        <v/>
      </c>
      <c r="G923" s="7">
        <f>'1 datos preparados'!F916</f>
        <v/>
      </c>
      <c r="H923" s="7">
        <f>'1 datos preparados'!G916</f>
        <v/>
      </c>
      <c r="I923" s="7">
        <f>'1 datos preparados'!H916</f>
        <v/>
      </c>
      <c r="J923" s="7">
        <f>'1 datos preparados'!I916</f>
        <v/>
      </c>
      <c r="K923" s="7">
        <f>'1 datos preparados'!J916</f>
        <v/>
      </c>
      <c r="L923" s="7">
        <f>'1 datos preparados'!K916</f>
        <v/>
      </c>
      <c r="M923" s="7">
        <f>'1 datos preparados'!L916</f>
        <v/>
      </c>
      <c r="N923" s="7">
        <f>'1 datos preparados'!M916</f>
        <v/>
      </c>
      <c r="O923" s="7">
        <f>'1 datos preparados'!N916</f>
        <v/>
      </c>
      <c r="P923" s="7">
        <f>'1 datos preparados'!O916</f>
        <v/>
      </c>
      <c r="Q923" s="7">
        <f>'1 datos preparados'!P916</f>
        <v/>
      </c>
      <c r="R923" s="7">
        <f>'1 datos preparados'!Q916</f>
        <v/>
      </c>
      <c r="S923" s="7">
        <f>'1 datos preparados'!R916</f>
        <v/>
      </c>
      <c r="T923" s="7">
        <f>'1 datos preparados'!S916</f>
        <v/>
      </c>
      <c r="U923" s="7">
        <f>'1 datos preparados'!T916</f>
        <v/>
      </c>
      <c r="V923" s="8">
        <f>$AE$12+D923*$AE$13+E923*$AE$14+F923*$AE$15+G923*$AE$16+H923*$AE$17+I923*$AE$18+J923*$AE$19+K923*$AE$20+L923*$AE$21+M923*$AE$22+N923*$AE$23+O923*$AE$24+P923*$AE$25+Q923*$AE$26+R923*$AE$27+S923*$AE$28+T923*$AE$29+U923*$AE$30</f>
        <v/>
      </c>
      <c r="W923" s="8">
        <f>1/(1+EXP(-V923))</f>
        <v/>
      </c>
      <c r="X923" s="9">
        <f>-IF(C923=1,LN(W923),LN(1-W923))</f>
        <v/>
      </c>
      <c r="Y923" s="8">
        <f>'1 datos preparados'!V916</f>
        <v/>
      </c>
      <c r="Z923" s="9">
        <f>Y923*X923</f>
        <v/>
      </c>
      <c r="AA923" s="10">
        <f>IF(W923&gt;$AE$33,1,0)</f>
        <v/>
      </c>
      <c r="AB923">
        <f>IF(AA923=C923,1,0)</f>
        <v/>
      </c>
    </row>
    <row r="924">
      <c r="A924">
        <f>'1 datos preparados'!A917</f>
        <v/>
      </c>
      <c r="B924" s="5">
        <f>'1 datos preparados'!U917</f>
        <v/>
      </c>
      <c r="C924">
        <f>'1 datos preparados'!B917</f>
        <v/>
      </c>
      <c r="D924" s="7">
        <f>'1 datos preparados'!C917</f>
        <v/>
      </c>
      <c r="E924" s="7">
        <f>'1 datos preparados'!D917</f>
        <v/>
      </c>
      <c r="F924" s="7">
        <f>'1 datos preparados'!E917</f>
        <v/>
      </c>
      <c r="G924" s="7">
        <f>'1 datos preparados'!F917</f>
        <v/>
      </c>
      <c r="H924" s="7">
        <f>'1 datos preparados'!G917</f>
        <v/>
      </c>
      <c r="I924" s="7">
        <f>'1 datos preparados'!H917</f>
        <v/>
      </c>
      <c r="J924" s="7">
        <f>'1 datos preparados'!I917</f>
        <v/>
      </c>
      <c r="K924" s="7">
        <f>'1 datos preparados'!J917</f>
        <v/>
      </c>
      <c r="L924" s="7">
        <f>'1 datos preparados'!K917</f>
        <v/>
      </c>
      <c r="M924" s="7">
        <f>'1 datos preparados'!L917</f>
        <v/>
      </c>
      <c r="N924" s="7">
        <f>'1 datos preparados'!M917</f>
        <v/>
      </c>
      <c r="O924" s="7">
        <f>'1 datos preparados'!N917</f>
        <v/>
      </c>
      <c r="P924" s="7">
        <f>'1 datos preparados'!O917</f>
        <v/>
      </c>
      <c r="Q924" s="7">
        <f>'1 datos preparados'!P917</f>
        <v/>
      </c>
      <c r="R924" s="7">
        <f>'1 datos preparados'!Q917</f>
        <v/>
      </c>
      <c r="S924" s="7">
        <f>'1 datos preparados'!R917</f>
        <v/>
      </c>
      <c r="T924" s="7">
        <f>'1 datos preparados'!S917</f>
        <v/>
      </c>
      <c r="U924" s="7">
        <f>'1 datos preparados'!T917</f>
        <v/>
      </c>
      <c r="V924" s="8">
        <f>$AE$12+D924*$AE$13+E924*$AE$14+F924*$AE$15+G924*$AE$16+H924*$AE$17+I924*$AE$18+J924*$AE$19+K924*$AE$20+L924*$AE$21+M924*$AE$22+N924*$AE$23+O924*$AE$24+P924*$AE$25+Q924*$AE$26+R924*$AE$27+S924*$AE$28+T924*$AE$29+U924*$AE$30</f>
        <v/>
      </c>
      <c r="W924" s="8">
        <f>1/(1+EXP(-V924))</f>
        <v/>
      </c>
      <c r="X924" s="9">
        <f>-IF(C924=1,LN(W924),LN(1-W924))</f>
        <v/>
      </c>
      <c r="Y924" s="8">
        <f>'1 datos preparados'!V917</f>
        <v/>
      </c>
      <c r="Z924" s="9">
        <f>Y924*X924</f>
        <v/>
      </c>
      <c r="AA924" s="10">
        <f>IF(W924&gt;$AE$33,1,0)</f>
        <v/>
      </c>
      <c r="AB924">
        <f>IF(AA924=C924,1,0)</f>
        <v/>
      </c>
    </row>
    <row r="925">
      <c r="A925">
        <f>'1 datos preparados'!A918</f>
        <v/>
      </c>
      <c r="B925" s="5">
        <f>'1 datos preparados'!U918</f>
        <v/>
      </c>
      <c r="C925">
        <f>'1 datos preparados'!B918</f>
        <v/>
      </c>
      <c r="D925" s="7">
        <f>'1 datos preparados'!C918</f>
        <v/>
      </c>
      <c r="E925" s="7">
        <f>'1 datos preparados'!D918</f>
        <v/>
      </c>
      <c r="F925" s="7">
        <f>'1 datos preparados'!E918</f>
        <v/>
      </c>
      <c r="G925" s="7">
        <f>'1 datos preparados'!F918</f>
        <v/>
      </c>
      <c r="H925" s="7">
        <f>'1 datos preparados'!G918</f>
        <v/>
      </c>
      <c r="I925" s="7">
        <f>'1 datos preparados'!H918</f>
        <v/>
      </c>
      <c r="J925" s="7">
        <f>'1 datos preparados'!I918</f>
        <v/>
      </c>
      <c r="K925" s="7">
        <f>'1 datos preparados'!J918</f>
        <v/>
      </c>
      <c r="L925" s="7">
        <f>'1 datos preparados'!K918</f>
        <v/>
      </c>
      <c r="M925" s="7">
        <f>'1 datos preparados'!L918</f>
        <v/>
      </c>
      <c r="N925" s="7">
        <f>'1 datos preparados'!M918</f>
        <v/>
      </c>
      <c r="O925" s="7">
        <f>'1 datos preparados'!N918</f>
        <v/>
      </c>
      <c r="P925" s="7">
        <f>'1 datos preparados'!O918</f>
        <v/>
      </c>
      <c r="Q925" s="7">
        <f>'1 datos preparados'!P918</f>
        <v/>
      </c>
      <c r="R925" s="7">
        <f>'1 datos preparados'!Q918</f>
        <v/>
      </c>
      <c r="S925" s="7">
        <f>'1 datos preparados'!R918</f>
        <v/>
      </c>
      <c r="T925" s="7">
        <f>'1 datos preparados'!S918</f>
        <v/>
      </c>
      <c r="U925" s="7">
        <f>'1 datos preparados'!T918</f>
        <v/>
      </c>
      <c r="V925" s="8">
        <f>$AE$12+D925*$AE$13+E925*$AE$14+F925*$AE$15+G925*$AE$16+H925*$AE$17+I925*$AE$18+J925*$AE$19+K925*$AE$20+L925*$AE$21+M925*$AE$22+N925*$AE$23+O925*$AE$24+P925*$AE$25+Q925*$AE$26+R925*$AE$27+S925*$AE$28+T925*$AE$29+U925*$AE$30</f>
        <v/>
      </c>
      <c r="W925" s="8">
        <f>1/(1+EXP(-V925))</f>
        <v/>
      </c>
      <c r="X925" s="9">
        <f>-IF(C925=1,LN(W925),LN(1-W925))</f>
        <v/>
      </c>
      <c r="Y925" s="8">
        <f>'1 datos preparados'!V918</f>
        <v/>
      </c>
      <c r="Z925" s="9">
        <f>Y925*X925</f>
        <v/>
      </c>
      <c r="AA925" s="10">
        <f>IF(W925&gt;$AE$33,1,0)</f>
        <v/>
      </c>
      <c r="AB925">
        <f>IF(AA925=C925,1,0)</f>
        <v/>
      </c>
    </row>
    <row r="926">
      <c r="A926">
        <f>'1 datos preparados'!A919</f>
        <v/>
      </c>
      <c r="B926" s="5">
        <f>'1 datos preparados'!U919</f>
        <v/>
      </c>
      <c r="C926">
        <f>'1 datos preparados'!B919</f>
        <v/>
      </c>
      <c r="D926" s="7">
        <f>'1 datos preparados'!C919</f>
        <v/>
      </c>
      <c r="E926" s="7">
        <f>'1 datos preparados'!D919</f>
        <v/>
      </c>
      <c r="F926" s="7">
        <f>'1 datos preparados'!E919</f>
        <v/>
      </c>
      <c r="G926" s="7">
        <f>'1 datos preparados'!F919</f>
        <v/>
      </c>
      <c r="H926" s="7">
        <f>'1 datos preparados'!G919</f>
        <v/>
      </c>
      <c r="I926" s="7">
        <f>'1 datos preparados'!H919</f>
        <v/>
      </c>
      <c r="J926" s="7">
        <f>'1 datos preparados'!I919</f>
        <v/>
      </c>
      <c r="K926" s="7">
        <f>'1 datos preparados'!J919</f>
        <v/>
      </c>
      <c r="L926" s="7">
        <f>'1 datos preparados'!K919</f>
        <v/>
      </c>
      <c r="M926" s="7">
        <f>'1 datos preparados'!L919</f>
        <v/>
      </c>
      <c r="N926" s="7">
        <f>'1 datos preparados'!M919</f>
        <v/>
      </c>
      <c r="O926" s="7">
        <f>'1 datos preparados'!N919</f>
        <v/>
      </c>
      <c r="P926" s="7">
        <f>'1 datos preparados'!O919</f>
        <v/>
      </c>
      <c r="Q926" s="7">
        <f>'1 datos preparados'!P919</f>
        <v/>
      </c>
      <c r="R926" s="7">
        <f>'1 datos preparados'!Q919</f>
        <v/>
      </c>
      <c r="S926" s="7">
        <f>'1 datos preparados'!R919</f>
        <v/>
      </c>
      <c r="T926" s="7">
        <f>'1 datos preparados'!S919</f>
        <v/>
      </c>
      <c r="U926" s="7">
        <f>'1 datos preparados'!T919</f>
        <v/>
      </c>
      <c r="V926" s="8">
        <f>$AE$12+D926*$AE$13+E926*$AE$14+F926*$AE$15+G926*$AE$16+H926*$AE$17+I926*$AE$18+J926*$AE$19+K926*$AE$20+L926*$AE$21+M926*$AE$22+N926*$AE$23+O926*$AE$24+P926*$AE$25+Q926*$AE$26+R926*$AE$27+S926*$AE$28+T926*$AE$29+U926*$AE$30</f>
        <v/>
      </c>
      <c r="W926" s="8">
        <f>1/(1+EXP(-V926))</f>
        <v/>
      </c>
      <c r="X926" s="9">
        <f>-IF(C926=1,LN(W926),LN(1-W926))</f>
        <v/>
      </c>
      <c r="Y926" s="8">
        <f>'1 datos preparados'!V919</f>
        <v/>
      </c>
      <c r="Z926" s="9">
        <f>Y926*X926</f>
        <v/>
      </c>
      <c r="AA926" s="10">
        <f>IF(W926&gt;$AE$33,1,0)</f>
        <v/>
      </c>
      <c r="AB926">
        <f>IF(AA926=C926,1,0)</f>
        <v/>
      </c>
    </row>
    <row r="927">
      <c r="A927">
        <f>'1 datos preparados'!A920</f>
        <v/>
      </c>
      <c r="B927" s="5">
        <f>'1 datos preparados'!U920</f>
        <v/>
      </c>
      <c r="C927">
        <f>'1 datos preparados'!B920</f>
        <v/>
      </c>
      <c r="D927" s="7">
        <f>'1 datos preparados'!C920</f>
        <v/>
      </c>
      <c r="E927" s="7">
        <f>'1 datos preparados'!D920</f>
        <v/>
      </c>
      <c r="F927" s="7">
        <f>'1 datos preparados'!E920</f>
        <v/>
      </c>
      <c r="G927" s="7">
        <f>'1 datos preparados'!F920</f>
        <v/>
      </c>
      <c r="H927" s="7">
        <f>'1 datos preparados'!G920</f>
        <v/>
      </c>
      <c r="I927" s="7">
        <f>'1 datos preparados'!H920</f>
        <v/>
      </c>
      <c r="J927" s="7">
        <f>'1 datos preparados'!I920</f>
        <v/>
      </c>
      <c r="K927" s="7">
        <f>'1 datos preparados'!J920</f>
        <v/>
      </c>
      <c r="L927" s="7">
        <f>'1 datos preparados'!K920</f>
        <v/>
      </c>
      <c r="M927" s="7">
        <f>'1 datos preparados'!L920</f>
        <v/>
      </c>
      <c r="N927" s="7">
        <f>'1 datos preparados'!M920</f>
        <v/>
      </c>
      <c r="O927" s="7">
        <f>'1 datos preparados'!N920</f>
        <v/>
      </c>
      <c r="P927" s="7">
        <f>'1 datos preparados'!O920</f>
        <v/>
      </c>
      <c r="Q927" s="7">
        <f>'1 datos preparados'!P920</f>
        <v/>
      </c>
      <c r="R927" s="7">
        <f>'1 datos preparados'!Q920</f>
        <v/>
      </c>
      <c r="S927" s="7">
        <f>'1 datos preparados'!R920</f>
        <v/>
      </c>
      <c r="T927" s="7">
        <f>'1 datos preparados'!S920</f>
        <v/>
      </c>
      <c r="U927" s="7">
        <f>'1 datos preparados'!T920</f>
        <v/>
      </c>
      <c r="V927" s="8">
        <f>$AE$12+D927*$AE$13+E927*$AE$14+F927*$AE$15+G927*$AE$16+H927*$AE$17+I927*$AE$18+J927*$AE$19+K927*$AE$20+L927*$AE$21+M927*$AE$22+N927*$AE$23+O927*$AE$24+P927*$AE$25+Q927*$AE$26+R927*$AE$27+S927*$AE$28+T927*$AE$29+U927*$AE$30</f>
        <v/>
      </c>
      <c r="W927" s="8">
        <f>1/(1+EXP(-V927))</f>
        <v/>
      </c>
      <c r="X927" s="9">
        <f>-IF(C927=1,LN(W927),LN(1-W927))</f>
        <v/>
      </c>
      <c r="Y927" s="8">
        <f>'1 datos preparados'!V920</f>
        <v/>
      </c>
      <c r="Z927" s="9">
        <f>Y927*X927</f>
        <v/>
      </c>
      <c r="AA927" s="10">
        <f>IF(W927&gt;$AE$33,1,0)</f>
        <v/>
      </c>
      <c r="AB927">
        <f>IF(AA927=C927,1,0)</f>
        <v/>
      </c>
    </row>
    <row r="928">
      <c r="A928">
        <f>'1 datos preparados'!A921</f>
        <v/>
      </c>
      <c r="B928" s="5">
        <f>'1 datos preparados'!U921</f>
        <v/>
      </c>
      <c r="C928">
        <f>'1 datos preparados'!B921</f>
        <v/>
      </c>
      <c r="D928" s="7">
        <f>'1 datos preparados'!C921</f>
        <v/>
      </c>
      <c r="E928" s="7">
        <f>'1 datos preparados'!D921</f>
        <v/>
      </c>
      <c r="F928" s="7">
        <f>'1 datos preparados'!E921</f>
        <v/>
      </c>
      <c r="G928" s="7">
        <f>'1 datos preparados'!F921</f>
        <v/>
      </c>
      <c r="H928" s="7">
        <f>'1 datos preparados'!G921</f>
        <v/>
      </c>
      <c r="I928" s="7">
        <f>'1 datos preparados'!H921</f>
        <v/>
      </c>
      <c r="J928" s="7">
        <f>'1 datos preparados'!I921</f>
        <v/>
      </c>
      <c r="K928" s="7">
        <f>'1 datos preparados'!J921</f>
        <v/>
      </c>
      <c r="L928" s="7">
        <f>'1 datos preparados'!K921</f>
        <v/>
      </c>
      <c r="M928" s="7">
        <f>'1 datos preparados'!L921</f>
        <v/>
      </c>
      <c r="N928" s="7">
        <f>'1 datos preparados'!M921</f>
        <v/>
      </c>
      <c r="O928" s="7">
        <f>'1 datos preparados'!N921</f>
        <v/>
      </c>
      <c r="P928" s="7">
        <f>'1 datos preparados'!O921</f>
        <v/>
      </c>
      <c r="Q928" s="7">
        <f>'1 datos preparados'!P921</f>
        <v/>
      </c>
      <c r="R928" s="7">
        <f>'1 datos preparados'!Q921</f>
        <v/>
      </c>
      <c r="S928" s="7">
        <f>'1 datos preparados'!R921</f>
        <v/>
      </c>
      <c r="T928" s="7">
        <f>'1 datos preparados'!S921</f>
        <v/>
      </c>
      <c r="U928" s="7">
        <f>'1 datos preparados'!T921</f>
        <v/>
      </c>
      <c r="V928" s="8">
        <f>$AE$12+D928*$AE$13+E928*$AE$14+F928*$AE$15+G928*$AE$16+H928*$AE$17+I928*$AE$18+J928*$AE$19+K928*$AE$20+L928*$AE$21+M928*$AE$22+N928*$AE$23+O928*$AE$24+P928*$AE$25+Q928*$AE$26+R928*$AE$27+S928*$AE$28+T928*$AE$29+U928*$AE$30</f>
        <v/>
      </c>
      <c r="W928" s="8">
        <f>1/(1+EXP(-V928))</f>
        <v/>
      </c>
      <c r="X928" s="9">
        <f>-IF(C928=1,LN(W928),LN(1-W928))</f>
        <v/>
      </c>
      <c r="Y928" s="8">
        <f>'1 datos preparados'!V921</f>
        <v/>
      </c>
      <c r="Z928" s="9">
        <f>Y928*X928</f>
        <v/>
      </c>
      <c r="AA928" s="10">
        <f>IF(W928&gt;$AE$33,1,0)</f>
        <v/>
      </c>
      <c r="AB928">
        <f>IF(AA928=C928,1,0)</f>
        <v/>
      </c>
    </row>
    <row r="929">
      <c r="A929">
        <f>'1 datos preparados'!A922</f>
        <v/>
      </c>
      <c r="B929" s="5">
        <f>'1 datos preparados'!U922</f>
        <v/>
      </c>
      <c r="C929">
        <f>'1 datos preparados'!B922</f>
        <v/>
      </c>
      <c r="D929" s="7">
        <f>'1 datos preparados'!C922</f>
        <v/>
      </c>
      <c r="E929" s="7">
        <f>'1 datos preparados'!D922</f>
        <v/>
      </c>
      <c r="F929" s="7">
        <f>'1 datos preparados'!E922</f>
        <v/>
      </c>
      <c r="G929" s="7">
        <f>'1 datos preparados'!F922</f>
        <v/>
      </c>
      <c r="H929" s="7">
        <f>'1 datos preparados'!G922</f>
        <v/>
      </c>
      <c r="I929" s="7">
        <f>'1 datos preparados'!H922</f>
        <v/>
      </c>
      <c r="J929" s="7">
        <f>'1 datos preparados'!I922</f>
        <v/>
      </c>
      <c r="K929" s="7">
        <f>'1 datos preparados'!J922</f>
        <v/>
      </c>
      <c r="L929" s="7">
        <f>'1 datos preparados'!K922</f>
        <v/>
      </c>
      <c r="M929" s="7">
        <f>'1 datos preparados'!L922</f>
        <v/>
      </c>
      <c r="N929" s="7">
        <f>'1 datos preparados'!M922</f>
        <v/>
      </c>
      <c r="O929" s="7">
        <f>'1 datos preparados'!N922</f>
        <v/>
      </c>
      <c r="P929" s="7">
        <f>'1 datos preparados'!O922</f>
        <v/>
      </c>
      <c r="Q929" s="7">
        <f>'1 datos preparados'!P922</f>
        <v/>
      </c>
      <c r="R929" s="7">
        <f>'1 datos preparados'!Q922</f>
        <v/>
      </c>
      <c r="S929" s="7">
        <f>'1 datos preparados'!R922</f>
        <v/>
      </c>
      <c r="T929" s="7">
        <f>'1 datos preparados'!S922</f>
        <v/>
      </c>
      <c r="U929" s="7">
        <f>'1 datos preparados'!T922</f>
        <v/>
      </c>
      <c r="V929" s="8">
        <f>$AE$12+D929*$AE$13+E929*$AE$14+F929*$AE$15+G929*$AE$16+H929*$AE$17+I929*$AE$18+J929*$AE$19+K929*$AE$20+L929*$AE$21+M929*$AE$22+N929*$AE$23+O929*$AE$24+P929*$AE$25+Q929*$AE$26+R929*$AE$27+S929*$AE$28+T929*$AE$29+U929*$AE$30</f>
        <v/>
      </c>
      <c r="W929" s="8">
        <f>1/(1+EXP(-V929))</f>
        <v/>
      </c>
      <c r="X929" s="9">
        <f>-IF(C929=1,LN(W929),LN(1-W929))</f>
        <v/>
      </c>
      <c r="Y929" s="8">
        <f>'1 datos preparados'!V922</f>
        <v/>
      </c>
      <c r="Z929" s="9">
        <f>Y929*X929</f>
        <v/>
      </c>
      <c r="AA929" s="10">
        <f>IF(W929&gt;$AE$33,1,0)</f>
        <v/>
      </c>
      <c r="AB929">
        <f>IF(AA929=C929,1,0)</f>
        <v/>
      </c>
    </row>
    <row r="930">
      <c r="A930">
        <f>'1 datos preparados'!A923</f>
        <v/>
      </c>
      <c r="B930" s="5">
        <f>'1 datos preparados'!U923</f>
        <v/>
      </c>
      <c r="C930">
        <f>'1 datos preparados'!B923</f>
        <v/>
      </c>
      <c r="D930" s="7">
        <f>'1 datos preparados'!C923</f>
        <v/>
      </c>
      <c r="E930" s="7">
        <f>'1 datos preparados'!D923</f>
        <v/>
      </c>
      <c r="F930" s="7">
        <f>'1 datos preparados'!E923</f>
        <v/>
      </c>
      <c r="G930" s="7">
        <f>'1 datos preparados'!F923</f>
        <v/>
      </c>
      <c r="H930" s="7">
        <f>'1 datos preparados'!G923</f>
        <v/>
      </c>
      <c r="I930" s="7">
        <f>'1 datos preparados'!H923</f>
        <v/>
      </c>
      <c r="J930" s="7">
        <f>'1 datos preparados'!I923</f>
        <v/>
      </c>
      <c r="K930" s="7">
        <f>'1 datos preparados'!J923</f>
        <v/>
      </c>
      <c r="L930" s="7">
        <f>'1 datos preparados'!K923</f>
        <v/>
      </c>
      <c r="M930" s="7">
        <f>'1 datos preparados'!L923</f>
        <v/>
      </c>
      <c r="N930" s="7">
        <f>'1 datos preparados'!M923</f>
        <v/>
      </c>
      <c r="O930" s="7">
        <f>'1 datos preparados'!N923</f>
        <v/>
      </c>
      <c r="P930" s="7">
        <f>'1 datos preparados'!O923</f>
        <v/>
      </c>
      <c r="Q930" s="7">
        <f>'1 datos preparados'!P923</f>
        <v/>
      </c>
      <c r="R930" s="7">
        <f>'1 datos preparados'!Q923</f>
        <v/>
      </c>
      <c r="S930" s="7">
        <f>'1 datos preparados'!R923</f>
        <v/>
      </c>
      <c r="T930" s="7">
        <f>'1 datos preparados'!S923</f>
        <v/>
      </c>
      <c r="U930" s="7">
        <f>'1 datos preparados'!T923</f>
        <v/>
      </c>
      <c r="V930" s="8">
        <f>$AE$12+D930*$AE$13+E930*$AE$14+F930*$AE$15+G930*$AE$16+H930*$AE$17+I930*$AE$18+J930*$AE$19+K930*$AE$20+L930*$AE$21+M930*$AE$22+N930*$AE$23+O930*$AE$24+P930*$AE$25+Q930*$AE$26+R930*$AE$27+S930*$AE$28+T930*$AE$29+U930*$AE$30</f>
        <v/>
      </c>
      <c r="W930" s="8">
        <f>1/(1+EXP(-V930))</f>
        <v/>
      </c>
      <c r="X930" s="9">
        <f>-IF(C930=1,LN(W930),LN(1-W930))</f>
        <v/>
      </c>
      <c r="Y930" s="8">
        <f>'1 datos preparados'!V923</f>
        <v/>
      </c>
      <c r="Z930" s="9">
        <f>Y930*X930</f>
        <v/>
      </c>
      <c r="AA930" s="10">
        <f>IF(W930&gt;$AE$33,1,0)</f>
        <v/>
      </c>
      <c r="AB930">
        <f>IF(AA930=C930,1,0)</f>
        <v/>
      </c>
    </row>
    <row r="931">
      <c r="A931">
        <f>'1 datos preparados'!A924</f>
        <v/>
      </c>
      <c r="B931" s="5">
        <f>'1 datos preparados'!U924</f>
        <v/>
      </c>
      <c r="C931">
        <f>'1 datos preparados'!B924</f>
        <v/>
      </c>
      <c r="D931" s="7">
        <f>'1 datos preparados'!C924</f>
        <v/>
      </c>
      <c r="E931" s="7">
        <f>'1 datos preparados'!D924</f>
        <v/>
      </c>
      <c r="F931" s="7">
        <f>'1 datos preparados'!E924</f>
        <v/>
      </c>
      <c r="G931" s="7">
        <f>'1 datos preparados'!F924</f>
        <v/>
      </c>
      <c r="H931" s="7">
        <f>'1 datos preparados'!G924</f>
        <v/>
      </c>
      <c r="I931" s="7">
        <f>'1 datos preparados'!H924</f>
        <v/>
      </c>
      <c r="J931" s="7">
        <f>'1 datos preparados'!I924</f>
        <v/>
      </c>
      <c r="K931" s="7">
        <f>'1 datos preparados'!J924</f>
        <v/>
      </c>
      <c r="L931" s="7">
        <f>'1 datos preparados'!K924</f>
        <v/>
      </c>
      <c r="M931" s="7">
        <f>'1 datos preparados'!L924</f>
        <v/>
      </c>
      <c r="N931" s="7">
        <f>'1 datos preparados'!M924</f>
        <v/>
      </c>
      <c r="O931" s="7">
        <f>'1 datos preparados'!N924</f>
        <v/>
      </c>
      <c r="P931" s="7">
        <f>'1 datos preparados'!O924</f>
        <v/>
      </c>
      <c r="Q931" s="7">
        <f>'1 datos preparados'!P924</f>
        <v/>
      </c>
      <c r="R931" s="7">
        <f>'1 datos preparados'!Q924</f>
        <v/>
      </c>
      <c r="S931" s="7">
        <f>'1 datos preparados'!R924</f>
        <v/>
      </c>
      <c r="T931" s="7">
        <f>'1 datos preparados'!S924</f>
        <v/>
      </c>
      <c r="U931" s="7">
        <f>'1 datos preparados'!T924</f>
        <v/>
      </c>
      <c r="V931" s="8">
        <f>$AE$12+D931*$AE$13+E931*$AE$14+F931*$AE$15+G931*$AE$16+H931*$AE$17+I931*$AE$18+J931*$AE$19+K931*$AE$20+L931*$AE$21+M931*$AE$22+N931*$AE$23+O931*$AE$24+P931*$AE$25+Q931*$AE$26+R931*$AE$27+S931*$AE$28+T931*$AE$29+U931*$AE$30</f>
        <v/>
      </c>
      <c r="W931" s="8">
        <f>1/(1+EXP(-V931))</f>
        <v/>
      </c>
      <c r="X931" s="9">
        <f>-IF(C931=1,LN(W931),LN(1-W931))</f>
        <v/>
      </c>
      <c r="Y931" s="8">
        <f>'1 datos preparados'!V924</f>
        <v/>
      </c>
      <c r="Z931" s="9">
        <f>Y931*X931</f>
        <v/>
      </c>
      <c r="AA931" s="10">
        <f>IF(W931&gt;$AE$33,1,0)</f>
        <v/>
      </c>
      <c r="AB931">
        <f>IF(AA931=C931,1,0)</f>
        <v/>
      </c>
    </row>
    <row r="932">
      <c r="A932">
        <f>'1 datos preparados'!A925</f>
        <v/>
      </c>
      <c r="B932" s="5">
        <f>'1 datos preparados'!U925</f>
        <v/>
      </c>
      <c r="C932">
        <f>'1 datos preparados'!B925</f>
        <v/>
      </c>
      <c r="D932" s="7">
        <f>'1 datos preparados'!C925</f>
        <v/>
      </c>
      <c r="E932" s="7">
        <f>'1 datos preparados'!D925</f>
        <v/>
      </c>
      <c r="F932" s="7">
        <f>'1 datos preparados'!E925</f>
        <v/>
      </c>
      <c r="G932" s="7">
        <f>'1 datos preparados'!F925</f>
        <v/>
      </c>
      <c r="H932" s="7">
        <f>'1 datos preparados'!G925</f>
        <v/>
      </c>
      <c r="I932" s="7">
        <f>'1 datos preparados'!H925</f>
        <v/>
      </c>
      <c r="J932" s="7">
        <f>'1 datos preparados'!I925</f>
        <v/>
      </c>
      <c r="K932" s="7">
        <f>'1 datos preparados'!J925</f>
        <v/>
      </c>
      <c r="L932" s="7">
        <f>'1 datos preparados'!K925</f>
        <v/>
      </c>
      <c r="M932" s="7">
        <f>'1 datos preparados'!L925</f>
        <v/>
      </c>
      <c r="N932" s="7">
        <f>'1 datos preparados'!M925</f>
        <v/>
      </c>
      <c r="O932" s="7">
        <f>'1 datos preparados'!N925</f>
        <v/>
      </c>
      <c r="P932" s="7">
        <f>'1 datos preparados'!O925</f>
        <v/>
      </c>
      <c r="Q932" s="7">
        <f>'1 datos preparados'!P925</f>
        <v/>
      </c>
      <c r="R932" s="7">
        <f>'1 datos preparados'!Q925</f>
        <v/>
      </c>
      <c r="S932" s="7">
        <f>'1 datos preparados'!R925</f>
        <v/>
      </c>
      <c r="T932" s="7">
        <f>'1 datos preparados'!S925</f>
        <v/>
      </c>
      <c r="U932" s="7">
        <f>'1 datos preparados'!T925</f>
        <v/>
      </c>
      <c r="V932" s="8">
        <f>$AE$12+D932*$AE$13+E932*$AE$14+F932*$AE$15+G932*$AE$16+H932*$AE$17+I932*$AE$18+J932*$AE$19+K932*$AE$20+L932*$AE$21+M932*$AE$22+N932*$AE$23+O932*$AE$24+P932*$AE$25+Q932*$AE$26+R932*$AE$27+S932*$AE$28+T932*$AE$29+U932*$AE$30</f>
        <v/>
      </c>
      <c r="W932" s="8">
        <f>1/(1+EXP(-V932))</f>
        <v/>
      </c>
      <c r="X932" s="9">
        <f>-IF(C932=1,LN(W932),LN(1-W932))</f>
        <v/>
      </c>
      <c r="Y932" s="8">
        <f>'1 datos preparados'!V925</f>
        <v/>
      </c>
      <c r="Z932" s="9">
        <f>Y932*X932</f>
        <v/>
      </c>
      <c r="AA932" s="10">
        <f>IF(W932&gt;$AE$33,1,0)</f>
        <v/>
      </c>
      <c r="AB932">
        <f>IF(AA932=C932,1,0)</f>
        <v/>
      </c>
    </row>
    <row r="933">
      <c r="A933">
        <f>'1 datos preparados'!A926</f>
        <v/>
      </c>
      <c r="B933" s="5">
        <f>'1 datos preparados'!U926</f>
        <v/>
      </c>
      <c r="C933">
        <f>'1 datos preparados'!B926</f>
        <v/>
      </c>
      <c r="D933" s="7">
        <f>'1 datos preparados'!C926</f>
        <v/>
      </c>
      <c r="E933" s="7">
        <f>'1 datos preparados'!D926</f>
        <v/>
      </c>
      <c r="F933" s="7">
        <f>'1 datos preparados'!E926</f>
        <v/>
      </c>
      <c r="G933" s="7">
        <f>'1 datos preparados'!F926</f>
        <v/>
      </c>
      <c r="H933" s="7">
        <f>'1 datos preparados'!G926</f>
        <v/>
      </c>
      <c r="I933" s="7">
        <f>'1 datos preparados'!H926</f>
        <v/>
      </c>
      <c r="J933" s="7">
        <f>'1 datos preparados'!I926</f>
        <v/>
      </c>
      <c r="K933" s="7">
        <f>'1 datos preparados'!J926</f>
        <v/>
      </c>
      <c r="L933" s="7">
        <f>'1 datos preparados'!K926</f>
        <v/>
      </c>
      <c r="M933" s="7">
        <f>'1 datos preparados'!L926</f>
        <v/>
      </c>
      <c r="N933" s="7">
        <f>'1 datos preparados'!M926</f>
        <v/>
      </c>
      <c r="O933" s="7">
        <f>'1 datos preparados'!N926</f>
        <v/>
      </c>
      <c r="P933" s="7">
        <f>'1 datos preparados'!O926</f>
        <v/>
      </c>
      <c r="Q933" s="7">
        <f>'1 datos preparados'!P926</f>
        <v/>
      </c>
      <c r="R933" s="7">
        <f>'1 datos preparados'!Q926</f>
        <v/>
      </c>
      <c r="S933" s="7">
        <f>'1 datos preparados'!R926</f>
        <v/>
      </c>
      <c r="T933" s="7">
        <f>'1 datos preparados'!S926</f>
        <v/>
      </c>
      <c r="U933" s="7">
        <f>'1 datos preparados'!T926</f>
        <v/>
      </c>
      <c r="V933" s="8">
        <f>$AE$12+D933*$AE$13+E933*$AE$14+F933*$AE$15+G933*$AE$16+H933*$AE$17+I933*$AE$18+J933*$AE$19+K933*$AE$20+L933*$AE$21+M933*$AE$22+N933*$AE$23+O933*$AE$24+P933*$AE$25+Q933*$AE$26+R933*$AE$27+S933*$AE$28+T933*$AE$29+U933*$AE$30</f>
        <v/>
      </c>
      <c r="W933" s="8">
        <f>1/(1+EXP(-V933))</f>
        <v/>
      </c>
      <c r="X933" s="9">
        <f>-IF(C933=1,LN(W933),LN(1-W933))</f>
        <v/>
      </c>
      <c r="Y933" s="8">
        <f>'1 datos preparados'!V926</f>
        <v/>
      </c>
      <c r="Z933" s="9">
        <f>Y933*X933</f>
        <v/>
      </c>
      <c r="AA933" s="10">
        <f>IF(W933&gt;$AE$33,1,0)</f>
        <v/>
      </c>
      <c r="AB933">
        <f>IF(AA933=C933,1,0)</f>
        <v/>
      </c>
    </row>
    <row r="934">
      <c r="A934">
        <f>'1 datos preparados'!A927</f>
        <v/>
      </c>
      <c r="B934" s="5">
        <f>'1 datos preparados'!U927</f>
        <v/>
      </c>
      <c r="C934">
        <f>'1 datos preparados'!B927</f>
        <v/>
      </c>
      <c r="D934" s="7">
        <f>'1 datos preparados'!C927</f>
        <v/>
      </c>
      <c r="E934" s="7">
        <f>'1 datos preparados'!D927</f>
        <v/>
      </c>
      <c r="F934" s="7">
        <f>'1 datos preparados'!E927</f>
        <v/>
      </c>
      <c r="G934" s="7">
        <f>'1 datos preparados'!F927</f>
        <v/>
      </c>
      <c r="H934" s="7">
        <f>'1 datos preparados'!G927</f>
        <v/>
      </c>
      <c r="I934" s="7">
        <f>'1 datos preparados'!H927</f>
        <v/>
      </c>
      <c r="J934" s="7">
        <f>'1 datos preparados'!I927</f>
        <v/>
      </c>
      <c r="K934" s="7">
        <f>'1 datos preparados'!J927</f>
        <v/>
      </c>
      <c r="L934" s="7">
        <f>'1 datos preparados'!K927</f>
        <v/>
      </c>
      <c r="M934" s="7">
        <f>'1 datos preparados'!L927</f>
        <v/>
      </c>
      <c r="N934" s="7">
        <f>'1 datos preparados'!M927</f>
        <v/>
      </c>
      <c r="O934" s="7">
        <f>'1 datos preparados'!N927</f>
        <v/>
      </c>
      <c r="P934" s="7">
        <f>'1 datos preparados'!O927</f>
        <v/>
      </c>
      <c r="Q934" s="7">
        <f>'1 datos preparados'!P927</f>
        <v/>
      </c>
      <c r="R934" s="7">
        <f>'1 datos preparados'!Q927</f>
        <v/>
      </c>
      <c r="S934" s="7">
        <f>'1 datos preparados'!R927</f>
        <v/>
      </c>
      <c r="T934" s="7">
        <f>'1 datos preparados'!S927</f>
        <v/>
      </c>
      <c r="U934" s="7">
        <f>'1 datos preparados'!T927</f>
        <v/>
      </c>
      <c r="V934" s="8">
        <f>$AE$12+D934*$AE$13+E934*$AE$14+F934*$AE$15+G934*$AE$16+H934*$AE$17+I934*$AE$18+J934*$AE$19+K934*$AE$20+L934*$AE$21+M934*$AE$22+N934*$AE$23+O934*$AE$24+P934*$AE$25+Q934*$AE$26+R934*$AE$27+S934*$AE$28+T934*$AE$29+U934*$AE$30</f>
        <v/>
      </c>
      <c r="W934" s="8">
        <f>1/(1+EXP(-V934))</f>
        <v/>
      </c>
      <c r="X934" s="9">
        <f>-IF(C934=1,LN(W934),LN(1-W934))</f>
        <v/>
      </c>
      <c r="Y934" s="8">
        <f>'1 datos preparados'!V927</f>
        <v/>
      </c>
      <c r="Z934" s="9">
        <f>Y934*X934</f>
        <v/>
      </c>
      <c r="AA934" s="10">
        <f>IF(W934&gt;$AE$33,1,0)</f>
        <v/>
      </c>
      <c r="AB934">
        <f>IF(AA934=C934,1,0)</f>
        <v/>
      </c>
    </row>
    <row r="935">
      <c r="A935">
        <f>'1 datos preparados'!A928</f>
        <v/>
      </c>
      <c r="B935" s="5">
        <f>'1 datos preparados'!U928</f>
        <v/>
      </c>
      <c r="C935">
        <f>'1 datos preparados'!B928</f>
        <v/>
      </c>
      <c r="D935" s="7">
        <f>'1 datos preparados'!C928</f>
        <v/>
      </c>
      <c r="E935" s="7">
        <f>'1 datos preparados'!D928</f>
        <v/>
      </c>
      <c r="F935" s="7">
        <f>'1 datos preparados'!E928</f>
        <v/>
      </c>
      <c r="G935" s="7">
        <f>'1 datos preparados'!F928</f>
        <v/>
      </c>
      <c r="H935" s="7">
        <f>'1 datos preparados'!G928</f>
        <v/>
      </c>
      <c r="I935" s="7">
        <f>'1 datos preparados'!H928</f>
        <v/>
      </c>
      <c r="J935" s="7">
        <f>'1 datos preparados'!I928</f>
        <v/>
      </c>
      <c r="K935" s="7">
        <f>'1 datos preparados'!J928</f>
        <v/>
      </c>
      <c r="L935" s="7">
        <f>'1 datos preparados'!K928</f>
        <v/>
      </c>
      <c r="M935" s="7">
        <f>'1 datos preparados'!L928</f>
        <v/>
      </c>
      <c r="N935" s="7">
        <f>'1 datos preparados'!M928</f>
        <v/>
      </c>
      <c r="O935" s="7">
        <f>'1 datos preparados'!N928</f>
        <v/>
      </c>
      <c r="P935" s="7">
        <f>'1 datos preparados'!O928</f>
        <v/>
      </c>
      <c r="Q935" s="7">
        <f>'1 datos preparados'!P928</f>
        <v/>
      </c>
      <c r="R935" s="7">
        <f>'1 datos preparados'!Q928</f>
        <v/>
      </c>
      <c r="S935" s="7">
        <f>'1 datos preparados'!R928</f>
        <v/>
      </c>
      <c r="T935" s="7">
        <f>'1 datos preparados'!S928</f>
        <v/>
      </c>
      <c r="U935" s="7">
        <f>'1 datos preparados'!T928</f>
        <v/>
      </c>
      <c r="V935" s="8">
        <f>$AE$12+D935*$AE$13+E935*$AE$14+F935*$AE$15+G935*$AE$16+H935*$AE$17+I935*$AE$18+J935*$AE$19+K935*$AE$20+L935*$AE$21+M935*$AE$22+N935*$AE$23+O935*$AE$24+P935*$AE$25+Q935*$AE$26+R935*$AE$27+S935*$AE$28+T935*$AE$29+U935*$AE$30</f>
        <v/>
      </c>
      <c r="W935" s="8">
        <f>1/(1+EXP(-V935))</f>
        <v/>
      </c>
      <c r="X935" s="9">
        <f>-IF(C935=1,LN(W935),LN(1-W935))</f>
        <v/>
      </c>
      <c r="Y935" s="8">
        <f>'1 datos preparados'!V928</f>
        <v/>
      </c>
      <c r="Z935" s="9">
        <f>Y935*X935</f>
        <v/>
      </c>
      <c r="AA935" s="10">
        <f>IF(W935&gt;$AE$33,1,0)</f>
        <v/>
      </c>
      <c r="AB935">
        <f>IF(AA935=C935,1,0)</f>
        <v/>
      </c>
    </row>
    <row r="936">
      <c r="A936">
        <f>'1 datos preparados'!A929</f>
        <v/>
      </c>
      <c r="B936" s="5">
        <f>'1 datos preparados'!U929</f>
        <v/>
      </c>
      <c r="C936">
        <f>'1 datos preparados'!B929</f>
        <v/>
      </c>
      <c r="D936" s="7">
        <f>'1 datos preparados'!C929</f>
        <v/>
      </c>
      <c r="E936" s="7">
        <f>'1 datos preparados'!D929</f>
        <v/>
      </c>
      <c r="F936" s="7">
        <f>'1 datos preparados'!E929</f>
        <v/>
      </c>
      <c r="G936" s="7">
        <f>'1 datos preparados'!F929</f>
        <v/>
      </c>
      <c r="H936" s="7">
        <f>'1 datos preparados'!G929</f>
        <v/>
      </c>
      <c r="I936" s="7">
        <f>'1 datos preparados'!H929</f>
        <v/>
      </c>
      <c r="J936" s="7">
        <f>'1 datos preparados'!I929</f>
        <v/>
      </c>
      <c r="K936" s="7">
        <f>'1 datos preparados'!J929</f>
        <v/>
      </c>
      <c r="L936" s="7">
        <f>'1 datos preparados'!K929</f>
        <v/>
      </c>
      <c r="M936" s="7">
        <f>'1 datos preparados'!L929</f>
        <v/>
      </c>
      <c r="N936" s="7">
        <f>'1 datos preparados'!M929</f>
        <v/>
      </c>
      <c r="O936" s="7">
        <f>'1 datos preparados'!N929</f>
        <v/>
      </c>
      <c r="P936" s="7">
        <f>'1 datos preparados'!O929</f>
        <v/>
      </c>
      <c r="Q936" s="7">
        <f>'1 datos preparados'!P929</f>
        <v/>
      </c>
      <c r="R936" s="7">
        <f>'1 datos preparados'!Q929</f>
        <v/>
      </c>
      <c r="S936" s="7">
        <f>'1 datos preparados'!R929</f>
        <v/>
      </c>
      <c r="T936" s="7">
        <f>'1 datos preparados'!S929</f>
        <v/>
      </c>
      <c r="U936" s="7">
        <f>'1 datos preparados'!T929</f>
        <v/>
      </c>
      <c r="V936" s="8">
        <f>$AE$12+D936*$AE$13+E936*$AE$14+F936*$AE$15+G936*$AE$16+H936*$AE$17+I936*$AE$18+J936*$AE$19+K936*$AE$20+L936*$AE$21+M936*$AE$22+N936*$AE$23+O936*$AE$24+P936*$AE$25+Q936*$AE$26+R936*$AE$27+S936*$AE$28+T936*$AE$29+U936*$AE$30</f>
        <v/>
      </c>
      <c r="W936" s="8">
        <f>1/(1+EXP(-V936))</f>
        <v/>
      </c>
      <c r="X936" s="9">
        <f>-IF(C936=1,LN(W936),LN(1-W936))</f>
        <v/>
      </c>
      <c r="Y936" s="8">
        <f>'1 datos preparados'!V929</f>
        <v/>
      </c>
      <c r="Z936" s="9">
        <f>Y936*X936</f>
        <v/>
      </c>
      <c r="AA936" s="10">
        <f>IF(W936&gt;$AE$33,1,0)</f>
        <v/>
      </c>
      <c r="AB936">
        <f>IF(AA936=C936,1,0)</f>
        <v/>
      </c>
    </row>
    <row r="937">
      <c r="A937">
        <f>'1 datos preparados'!A930</f>
        <v/>
      </c>
      <c r="B937" s="5">
        <f>'1 datos preparados'!U930</f>
        <v/>
      </c>
      <c r="C937">
        <f>'1 datos preparados'!B930</f>
        <v/>
      </c>
      <c r="D937" s="7">
        <f>'1 datos preparados'!C930</f>
        <v/>
      </c>
      <c r="E937" s="7">
        <f>'1 datos preparados'!D930</f>
        <v/>
      </c>
      <c r="F937" s="7">
        <f>'1 datos preparados'!E930</f>
        <v/>
      </c>
      <c r="G937" s="7">
        <f>'1 datos preparados'!F930</f>
        <v/>
      </c>
      <c r="H937" s="7">
        <f>'1 datos preparados'!G930</f>
        <v/>
      </c>
      <c r="I937" s="7">
        <f>'1 datos preparados'!H930</f>
        <v/>
      </c>
      <c r="J937" s="7">
        <f>'1 datos preparados'!I930</f>
        <v/>
      </c>
      <c r="K937" s="7">
        <f>'1 datos preparados'!J930</f>
        <v/>
      </c>
      <c r="L937" s="7">
        <f>'1 datos preparados'!K930</f>
        <v/>
      </c>
      <c r="M937" s="7">
        <f>'1 datos preparados'!L930</f>
        <v/>
      </c>
      <c r="N937" s="7">
        <f>'1 datos preparados'!M930</f>
        <v/>
      </c>
      <c r="O937" s="7">
        <f>'1 datos preparados'!N930</f>
        <v/>
      </c>
      <c r="P937" s="7">
        <f>'1 datos preparados'!O930</f>
        <v/>
      </c>
      <c r="Q937" s="7">
        <f>'1 datos preparados'!P930</f>
        <v/>
      </c>
      <c r="R937" s="7">
        <f>'1 datos preparados'!Q930</f>
        <v/>
      </c>
      <c r="S937" s="7">
        <f>'1 datos preparados'!R930</f>
        <v/>
      </c>
      <c r="T937" s="7">
        <f>'1 datos preparados'!S930</f>
        <v/>
      </c>
      <c r="U937" s="7">
        <f>'1 datos preparados'!T930</f>
        <v/>
      </c>
      <c r="V937" s="8">
        <f>$AE$12+D937*$AE$13+E937*$AE$14+F937*$AE$15+G937*$AE$16+H937*$AE$17+I937*$AE$18+J937*$AE$19+K937*$AE$20+L937*$AE$21+M937*$AE$22+N937*$AE$23+O937*$AE$24+P937*$AE$25+Q937*$AE$26+R937*$AE$27+S937*$AE$28+T937*$AE$29+U937*$AE$30</f>
        <v/>
      </c>
      <c r="W937" s="8">
        <f>1/(1+EXP(-V937))</f>
        <v/>
      </c>
      <c r="X937" s="9">
        <f>-IF(C937=1,LN(W937),LN(1-W937))</f>
        <v/>
      </c>
      <c r="Y937" s="8">
        <f>'1 datos preparados'!V930</f>
        <v/>
      </c>
      <c r="Z937" s="9">
        <f>Y937*X937</f>
        <v/>
      </c>
      <c r="AA937" s="10">
        <f>IF(W937&gt;$AE$33,1,0)</f>
        <v/>
      </c>
      <c r="AB937">
        <f>IF(AA937=C937,1,0)</f>
        <v/>
      </c>
    </row>
    <row r="938">
      <c r="A938">
        <f>'1 datos preparados'!A931</f>
        <v/>
      </c>
      <c r="B938" s="5">
        <f>'1 datos preparados'!U931</f>
        <v/>
      </c>
      <c r="C938">
        <f>'1 datos preparados'!B931</f>
        <v/>
      </c>
      <c r="D938" s="7">
        <f>'1 datos preparados'!C931</f>
        <v/>
      </c>
      <c r="E938" s="7">
        <f>'1 datos preparados'!D931</f>
        <v/>
      </c>
      <c r="F938" s="7">
        <f>'1 datos preparados'!E931</f>
        <v/>
      </c>
      <c r="G938" s="7">
        <f>'1 datos preparados'!F931</f>
        <v/>
      </c>
      <c r="H938" s="7">
        <f>'1 datos preparados'!G931</f>
        <v/>
      </c>
      <c r="I938" s="7">
        <f>'1 datos preparados'!H931</f>
        <v/>
      </c>
      <c r="J938" s="7">
        <f>'1 datos preparados'!I931</f>
        <v/>
      </c>
      <c r="K938" s="7">
        <f>'1 datos preparados'!J931</f>
        <v/>
      </c>
      <c r="L938" s="7">
        <f>'1 datos preparados'!K931</f>
        <v/>
      </c>
      <c r="M938" s="7">
        <f>'1 datos preparados'!L931</f>
        <v/>
      </c>
      <c r="N938" s="7">
        <f>'1 datos preparados'!M931</f>
        <v/>
      </c>
      <c r="O938" s="7">
        <f>'1 datos preparados'!N931</f>
        <v/>
      </c>
      <c r="P938" s="7">
        <f>'1 datos preparados'!O931</f>
        <v/>
      </c>
      <c r="Q938" s="7">
        <f>'1 datos preparados'!P931</f>
        <v/>
      </c>
      <c r="R938" s="7">
        <f>'1 datos preparados'!Q931</f>
        <v/>
      </c>
      <c r="S938" s="7">
        <f>'1 datos preparados'!R931</f>
        <v/>
      </c>
      <c r="T938" s="7">
        <f>'1 datos preparados'!S931</f>
        <v/>
      </c>
      <c r="U938" s="7">
        <f>'1 datos preparados'!T931</f>
        <v/>
      </c>
      <c r="V938" s="8">
        <f>$AE$12+D938*$AE$13+E938*$AE$14+F938*$AE$15+G938*$AE$16+H938*$AE$17+I938*$AE$18+J938*$AE$19+K938*$AE$20+L938*$AE$21+M938*$AE$22+N938*$AE$23+O938*$AE$24+P938*$AE$25+Q938*$AE$26+R938*$AE$27+S938*$AE$28+T938*$AE$29+U938*$AE$30</f>
        <v/>
      </c>
      <c r="W938" s="8">
        <f>1/(1+EXP(-V938))</f>
        <v/>
      </c>
      <c r="X938" s="9">
        <f>-IF(C938=1,LN(W938),LN(1-W938))</f>
        <v/>
      </c>
      <c r="Y938" s="8">
        <f>'1 datos preparados'!V931</f>
        <v/>
      </c>
      <c r="Z938" s="9">
        <f>Y938*X938</f>
        <v/>
      </c>
      <c r="AA938" s="10">
        <f>IF(W938&gt;$AE$33,1,0)</f>
        <v/>
      </c>
      <c r="AB938">
        <f>IF(AA938=C938,1,0)</f>
        <v/>
      </c>
    </row>
    <row r="939">
      <c r="A939">
        <f>'1 datos preparados'!A932</f>
        <v/>
      </c>
      <c r="B939" s="5">
        <f>'1 datos preparados'!U932</f>
        <v/>
      </c>
      <c r="C939">
        <f>'1 datos preparados'!B932</f>
        <v/>
      </c>
      <c r="D939" s="7">
        <f>'1 datos preparados'!C932</f>
        <v/>
      </c>
      <c r="E939" s="7">
        <f>'1 datos preparados'!D932</f>
        <v/>
      </c>
      <c r="F939" s="7">
        <f>'1 datos preparados'!E932</f>
        <v/>
      </c>
      <c r="G939" s="7">
        <f>'1 datos preparados'!F932</f>
        <v/>
      </c>
      <c r="H939" s="7">
        <f>'1 datos preparados'!G932</f>
        <v/>
      </c>
      <c r="I939" s="7">
        <f>'1 datos preparados'!H932</f>
        <v/>
      </c>
      <c r="J939" s="7">
        <f>'1 datos preparados'!I932</f>
        <v/>
      </c>
      <c r="K939" s="7">
        <f>'1 datos preparados'!J932</f>
        <v/>
      </c>
      <c r="L939" s="7">
        <f>'1 datos preparados'!K932</f>
        <v/>
      </c>
      <c r="M939" s="7">
        <f>'1 datos preparados'!L932</f>
        <v/>
      </c>
      <c r="N939" s="7">
        <f>'1 datos preparados'!M932</f>
        <v/>
      </c>
      <c r="O939" s="7">
        <f>'1 datos preparados'!N932</f>
        <v/>
      </c>
      <c r="P939" s="7">
        <f>'1 datos preparados'!O932</f>
        <v/>
      </c>
      <c r="Q939" s="7">
        <f>'1 datos preparados'!P932</f>
        <v/>
      </c>
      <c r="R939" s="7">
        <f>'1 datos preparados'!Q932</f>
        <v/>
      </c>
      <c r="S939" s="7">
        <f>'1 datos preparados'!R932</f>
        <v/>
      </c>
      <c r="T939" s="7">
        <f>'1 datos preparados'!S932</f>
        <v/>
      </c>
      <c r="U939" s="7">
        <f>'1 datos preparados'!T932</f>
        <v/>
      </c>
      <c r="V939" s="8">
        <f>$AE$12+D939*$AE$13+E939*$AE$14+F939*$AE$15+G939*$AE$16+H939*$AE$17+I939*$AE$18+J939*$AE$19+K939*$AE$20+L939*$AE$21+M939*$AE$22+N939*$AE$23+O939*$AE$24+P939*$AE$25+Q939*$AE$26+R939*$AE$27+S939*$AE$28+T939*$AE$29+U939*$AE$30</f>
        <v/>
      </c>
      <c r="W939" s="8">
        <f>1/(1+EXP(-V939))</f>
        <v/>
      </c>
      <c r="X939" s="9">
        <f>-IF(C939=1,LN(W939),LN(1-W939))</f>
        <v/>
      </c>
      <c r="Y939" s="8">
        <f>'1 datos preparados'!V932</f>
        <v/>
      </c>
      <c r="Z939" s="9">
        <f>Y939*X939</f>
        <v/>
      </c>
      <c r="AA939" s="10">
        <f>IF(W939&gt;$AE$33,1,0)</f>
        <v/>
      </c>
      <c r="AB939">
        <f>IF(AA939=C939,1,0)</f>
        <v/>
      </c>
    </row>
    <row r="940">
      <c r="A940">
        <f>'1 datos preparados'!A933</f>
        <v/>
      </c>
      <c r="B940" s="5">
        <f>'1 datos preparados'!U933</f>
        <v/>
      </c>
      <c r="C940">
        <f>'1 datos preparados'!B933</f>
        <v/>
      </c>
      <c r="D940" s="7">
        <f>'1 datos preparados'!C933</f>
        <v/>
      </c>
      <c r="E940" s="7">
        <f>'1 datos preparados'!D933</f>
        <v/>
      </c>
      <c r="F940" s="7">
        <f>'1 datos preparados'!E933</f>
        <v/>
      </c>
      <c r="G940" s="7">
        <f>'1 datos preparados'!F933</f>
        <v/>
      </c>
      <c r="H940" s="7">
        <f>'1 datos preparados'!G933</f>
        <v/>
      </c>
      <c r="I940" s="7">
        <f>'1 datos preparados'!H933</f>
        <v/>
      </c>
      <c r="J940" s="7">
        <f>'1 datos preparados'!I933</f>
        <v/>
      </c>
      <c r="K940" s="7">
        <f>'1 datos preparados'!J933</f>
        <v/>
      </c>
      <c r="L940" s="7">
        <f>'1 datos preparados'!K933</f>
        <v/>
      </c>
      <c r="M940" s="7">
        <f>'1 datos preparados'!L933</f>
        <v/>
      </c>
      <c r="N940" s="7">
        <f>'1 datos preparados'!M933</f>
        <v/>
      </c>
      <c r="O940" s="7">
        <f>'1 datos preparados'!N933</f>
        <v/>
      </c>
      <c r="P940" s="7">
        <f>'1 datos preparados'!O933</f>
        <v/>
      </c>
      <c r="Q940" s="7">
        <f>'1 datos preparados'!P933</f>
        <v/>
      </c>
      <c r="R940" s="7">
        <f>'1 datos preparados'!Q933</f>
        <v/>
      </c>
      <c r="S940" s="7">
        <f>'1 datos preparados'!R933</f>
        <v/>
      </c>
      <c r="T940" s="7">
        <f>'1 datos preparados'!S933</f>
        <v/>
      </c>
      <c r="U940" s="7">
        <f>'1 datos preparados'!T933</f>
        <v/>
      </c>
      <c r="V940" s="8">
        <f>$AE$12+D940*$AE$13+E940*$AE$14+F940*$AE$15+G940*$AE$16+H940*$AE$17+I940*$AE$18+J940*$AE$19+K940*$AE$20+L940*$AE$21+M940*$AE$22+N940*$AE$23+O940*$AE$24+P940*$AE$25+Q940*$AE$26+R940*$AE$27+S940*$AE$28+T940*$AE$29+U940*$AE$30</f>
        <v/>
      </c>
      <c r="W940" s="8">
        <f>1/(1+EXP(-V940))</f>
        <v/>
      </c>
      <c r="X940" s="9">
        <f>-IF(C940=1,LN(W940),LN(1-W940))</f>
        <v/>
      </c>
      <c r="Y940" s="8">
        <f>'1 datos preparados'!V933</f>
        <v/>
      </c>
      <c r="Z940" s="9">
        <f>Y940*X940</f>
        <v/>
      </c>
      <c r="AA940" s="10">
        <f>IF(W940&gt;$AE$33,1,0)</f>
        <v/>
      </c>
      <c r="AB940">
        <f>IF(AA940=C940,1,0)</f>
        <v/>
      </c>
    </row>
    <row r="941">
      <c r="A941">
        <f>'1 datos preparados'!A934</f>
        <v/>
      </c>
      <c r="B941" s="5">
        <f>'1 datos preparados'!U934</f>
        <v/>
      </c>
      <c r="C941">
        <f>'1 datos preparados'!B934</f>
        <v/>
      </c>
      <c r="D941" s="7">
        <f>'1 datos preparados'!C934</f>
        <v/>
      </c>
      <c r="E941" s="7">
        <f>'1 datos preparados'!D934</f>
        <v/>
      </c>
      <c r="F941" s="7">
        <f>'1 datos preparados'!E934</f>
        <v/>
      </c>
      <c r="G941" s="7">
        <f>'1 datos preparados'!F934</f>
        <v/>
      </c>
      <c r="H941" s="7">
        <f>'1 datos preparados'!G934</f>
        <v/>
      </c>
      <c r="I941" s="7">
        <f>'1 datos preparados'!H934</f>
        <v/>
      </c>
      <c r="J941" s="7">
        <f>'1 datos preparados'!I934</f>
        <v/>
      </c>
      <c r="K941" s="7">
        <f>'1 datos preparados'!J934</f>
        <v/>
      </c>
      <c r="L941" s="7">
        <f>'1 datos preparados'!K934</f>
        <v/>
      </c>
      <c r="M941" s="7">
        <f>'1 datos preparados'!L934</f>
        <v/>
      </c>
      <c r="N941" s="7">
        <f>'1 datos preparados'!M934</f>
        <v/>
      </c>
      <c r="O941" s="7">
        <f>'1 datos preparados'!N934</f>
        <v/>
      </c>
      <c r="P941" s="7">
        <f>'1 datos preparados'!O934</f>
        <v/>
      </c>
      <c r="Q941" s="7">
        <f>'1 datos preparados'!P934</f>
        <v/>
      </c>
      <c r="R941" s="7">
        <f>'1 datos preparados'!Q934</f>
        <v/>
      </c>
      <c r="S941" s="7">
        <f>'1 datos preparados'!R934</f>
        <v/>
      </c>
      <c r="T941" s="7">
        <f>'1 datos preparados'!S934</f>
        <v/>
      </c>
      <c r="U941" s="7">
        <f>'1 datos preparados'!T934</f>
        <v/>
      </c>
      <c r="V941" s="8">
        <f>$AE$12+D941*$AE$13+E941*$AE$14+F941*$AE$15+G941*$AE$16+H941*$AE$17+I941*$AE$18+J941*$AE$19+K941*$AE$20+L941*$AE$21+M941*$AE$22+N941*$AE$23+O941*$AE$24+P941*$AE$25+Q941*$AE$26+R941*$AE$27+S941*$AE$28+T941*$AE$29+U941*$AE$30</f>
        <v/>
      </c>
      <c r="W941" s="8">
        <f>1/(1+EXP(-V941))</f>
        <v/>
      </c>
      <c r="X941" s="9">
        <f>-IF(C941=1,LN(W941),LN(1-W941))</f>
        <v/>
      </c>
      <c r="Y941" s="8">
        <f>'1 datos preparados'!V934</f>
        <v/>
      </c>
      <c r="Z941" s="9">
        <f>Y941*X941</f>
        <v/>
      </c>
      <c r="AA941" s="10">
        <f>IF(W941&gt;$AE$33,1,0)</f>
        <v/>
      </c>
      <c r="AB941">
        <f>IF(AA941=C941,1,0)</f>
        <v/>
      </c>
    </row>
    <row r="942">
      <c r="A942">
        <f>'1 datos preparados'!A935</f>
        <v/>
      </c>
      <c r="B942" s="5">
        <f>'1 datos preparados'!U935</f>
        <v/>
      </c>
      <c r="C942">
        <f>'1 datos preparados'!B935</f>
        <v/>
      </c>
      <c r="D942" s="7">
        <f>'1 datos preparados'!C935</f>
        <v/>
      </c>
      <c r="E942" s="7">
        <f>'1 datos preparados'!D935</f>
        <v/>
      </c>
      <c r="F942" s="7">
        <f>'1 datos preparados'!E935</f>
        <v/>
      </c>
      <c r="G942" s="7">
        <f>'1 datos preparados'!F935</f>
        <v/>
      </c>
      <c r="H942" s="7">
        <f>'1 datos preparados'!G935</f>
        <v/>
      </c>
      <c r="I942" s="7">
        <f>'1 datos preparados'!H935</f>
        <v/>
      </c>
      <c r="J942" s="7">
        <f>'1 datos preparados'!I935</f>
        <v/>
      </c>
      <c r="K942" s="7">
        <f>'1 datos preparados'!J935</f>
        <v/>
      </c>
      <c r="L942" s="7">
        <f>'1 datos preparados'!K935</f>
        <v/>
      </c>
      <c r="M942" s="7">
        <f>'1 datos preparados'!L935</f>
        <v/>
      </c>
      <c r="N942" s="7">
        <f>'1 datos preparados'!M935</f>
        <v/>
      </c>
      <c r="O942" s="7">
        <f>'1 datos preparados'!N935</f>
        <v/>
      </c>
      <c r="P942" s="7">
        <f>'1 datos preparados'!O935</f>
        <v/>
      </c>
      <c r="Q942" s="7">
        <f>'1 datos preparados'!P935</f>
        <v/>
      </c>
      <c r="R942" s="7">
        <f>'1 datos preparados'!Q935</f>
        <v/>
      </c>
      <c r="S942" s="7">
        <f>'1 datos preparados'!R935</f>
        <v/>
      </c>
      <c r="T942" s="7">
        <f>'1 datos preparados'!S935</f>
        <v/>
      </c>
      <c r="U942" s="7">
        <f>'1 datos preparados'!T935</f>
        <v/>
      </c>
      <c r="V942" s="8">
        <f>$AE$12+D942*$AE$13+E942*$AE$14+F942*$AE$15+G942*$AE$16+H942*$AE$17+I942*$AE$18+J942*$AE$19+K942*$AE$20+L942*$AE$21+M942*$AE$22+N942*$AE$23+O942*$AE$24+P942*$AE$25+Q942*$AE$26+R942*$AE$27+S942*$AE$28+T942*$AE$29+U942*$AE$30</f>
        <v/>
      </c>
      <c r="W942" s="8">
        <f>1/(1+EXP(-V942))</f>
        <v/>
      </c>
      <c r="X942" s="9">
        <f>-IF(C942=1,LN(W942),LN(1-W942))</f>
        <v/>
      </c>
      <c r="Y942" s="8">
        <f>'1 datos preparados'!V935</f>
        <v/>
      </c>
      <c r="Z942" s="9">
        <f>Y942*X942</f>
        <v/>
      </c>
      <c r="AA942" s="10">
        <f>IF(W942&gt;$AE$33,1,0)</f>
        <v/>
      </c>
      <c r="AB942">
        <f>IF(AA942=C942,1,0)</f>
        <v/>
      </c>
    </row>
    <row r="943">
      <c r="A943">
        <f>'1 datos preparados'!A936</f>
        <v/>
      </c>
      <c r="B943" s="5">
        <f>'1 datos preparados'!U936</f>
        <v/>
      </c>
      <c r="C943">
        <f>'1 datos preparados'!B936</f>
        <v/>
      </c>
      <c r="D943" s="7">
        <f>'1 datos preparados'!C936</f>
        <v/>
      </c>
      <c r="E943" s="7">
        <f>'1 datos preparados'!D936</f>
        <v/>
      </c>
      <c r="F943" s="7">
        <f>'1 datos preparados'!E936</f>
        <v/>
      </c>
      <c r="G943" s="7">
        <f>'1 datos preparados'!F936</f>
        <v/>
      </c>
      <c r="H943" s="7">
        <f>'1 datos preparados'!G936</f>
        <v/>
      </c>
      <c r="I943" s="7">
        <f>'1 datos preparados'!H936</f>
        <v/>
      </c>
      <c r="J943" s="7">
        <f>'1 datos preparados'!I936</f>
        <v/>
      </c>
      <c r="K943" s="7">
        <f>'1 datos preparados'!J936</f>
        <v/>
      </c>
      <c r="L943" s="7">
        <f>'1 datos preparados'!K936</f>
        <v/>
      </c>
      <c r="M943" s="7">
        <f>'1 datos preparados'!L936</f>
        <v/>
      </c>
      <c r="N943" s="7">
        <f>'1 datos preparados'!M936</f>
        <v/>
      </c>
      <c r="O943" s="7">
        <f>'1 datos preparados'!N936</f>
        <v/>
      </c>
      <c r="P943" s="7">
        <f>'1 datos preparados'!O936</f>
        <v/>
      </c>
      <c r="Q943" s="7">
        <f>'1 datos preparados'!P936</f>
        <v/>
      </c>
      <c r="R943" s="7">
        <f>'1 datos preparados'!Q936</f>
        <v/>
      </c>
      <c r="S943" s="7">
        <f>'1 datos preparados'!R936</f>
        <v/>
      </c>
      <c r="T943" s="7">
        <f>'1 datos preparados'!S936</f>
        <v/>
      </c>
      <c r="U943" s="7">
        <f>'1 datos preparados'!T936</f>
        <v/>
      </c>
      <c r="V943" s="8">
        <f>$AE$12+D943*$AE$13+E943*$AE$14+F943*$AE$15+G943*$AE$16+H943*$AE$17+I943*$AE$18+J943*$AE$19+K943*$AE$20+L943*$AE$21+M943*$AE$22+N943*$AE$23+O943*$AE$24+P943*$AE$25+Q943*$AE$26+R943*$AE$27+S943*$AE$28+T943*$AE$29+U943*$AE$30</f>
        <v/>
      </c>
      <c r="W943" s="8">
        <f>1/(1+EXP(-V943))</f>
        <v/>
      </c>
      <c r="X943" s="9">
        <f>-IF(C943=1,LN(W943),LN(1-W943))</f>
        <v/>
      </c>
      <c r="Y943" s="8">
        <f>'1 datos preparados'!V936</f>
        <v/>
      </c>
      <c r="Z943" s="9">
        <f>Y943*X943</f>
        <v/>
      </c>
      <c r="AA943" s="10">
        <f>IF(W943&gt;$AE$33,1,0)</f>
        <v/>
      </c>
      <c r="AB943">
        <f>IF(AA943=C943,1,0)</f>
        <v/>
      </c>
    </row>
    <row r="944">
      <c r="A944">
        <f>'1 datos preparados'!A937</f>
        <v/>
      </c>
      <c r="B944" s="5">
        <f>'1 datos preparados'!U937</f>
        <v/>
      </c>
      <c r="C944">
        <f>'1 datos preparados'!B937</f>
        <v/>
      </c>
      <c r="D944" s="7">
        <f>'1 datos preparados'!C937</f>
        <v/>
      </c>
      <c r="E944" s="7">
        <f>'1 datos preparados'!D937</f>
        <v/>
      </c>
      <c r="F944" s="7">
        <f>'1 datos preparados'!E937</f>
        <v/>
      </c>
      <c r="G944" s="7">
        <f>'1 datos preparados'!F937</f>
        <v/>
      </c>
      <c r="H944" s="7">
        <f>'1 datos preparados'!G937</f>
        <v/>
      </c>
      <c r="I944" s="7">
        <f>'1 datos preparados'!H937</f>
        <v/>
      </c>
      <c r="J944" s="7">
        <f>'1 datos preparados'!I937</f>
        <v/>
      </c>
      <c r="K944" s="7">
        <f>'1 datos preparados'!J937</f>
        <v/>
      </c>
      <c r="L944" s="7">
        <f>'1 datos preparados'!K937</f>
        <v/>
      </c>
      <c r="M944" s="7">
        <f>'1 datos preparados'!L937</f>
        <v/>
      </c>
      <c r="N944" s="7">
        <f>'1 datos preparados'!M937</f>
        <v/>
      </c>
      <c r="O944" s="7">
        <f>'1 datos preparados'!N937</f>
        <v/>
      </c>
      <c r="P944" s="7">
        <f>'1 datos preparados'!O937</f>
        <v/>
      </c>
      <c r="Q944" s="7">
        <f>'1 datos preparados'!P937</f>
        <v/>
      </c>
      <c r="R944" s="7">
        <f>'1 datos preparados'!Q937</f>
        <v/>
      </c>
      <c r="S944" s="7">
        <f>'1 datos preparados'!R937</f>
        <v/>
      </c>
      <c r="T944" s="7">
        <f>'1 datos preparados'!S937</f>
        <v/>
      </c>
      <c r="U944" s="7">
        <f>'1 datos preparados'!T937</f>
        <v/>
      </c>
      <c r="V944" s="8">
        <f>$AE$12+D944*$AE$13+E944*$AE$14+F944*$AE$15+G944*$AE$16+H944*$AE$17+I944*$AE$18+J944*$AE$19+K944*$AE$20+L944*$AE$21+M944*$AE$22+N944*$AE$23+O944*$AE$24+P944*$AE$25+Q944*$AE$26+R944*$AE$27+S944*$AE$28+T944*$AE$29+U944*$AE$30</f>
        <v/>
      </c>
      <c r="W944" s="8">
        <f>1/(1+EXP(-V944))</f>
        <v/>
      </c>
      <c r="X944" s="9">
        <f>-IF(C944=1,LN(W944),LN(1-W944))</f>
        <v/>
      </c>
      <c r="Y944" s="8">
        <f>'1 datos preparados'!V937</f>
        <v/>
      </c>
      <c r="Z944" s="9">
        <f>Y944*X944</f>
        <v/>
      </c>
      <c r="AA944" s="10">
        <f>IF(W944&gt;$AE$33,1,0)</f>
        <v/>
      </c>
      <c r="AB944">
        <f>IF(AA944=C944,1,0)</f>
        <v/>
      </c>
    </row>
    <row r="945">
      <c r="A945">
        <f>'1 datos preparados'!A938</f>
        <v/>
      </c>
      <c r="B945" s="5">
        <f>'1 datos preparados'!U938</f>
        <v/>
      </c>
      <c r="C945">
        <f>'1 datos preparados'!B938</f>
        <v/>
      </c>
      <c r="D945" s="7">
        <f>'1 datos preparados'!C938</f>
        <v/>
      </c>
      <c r="E945" s="7">
        <f>'1 datos preparados'!D938</f>
        <v/>
      </c>
      <c r="F945" s="7">
        <f>'1 datos preparados'!E938</f>
        <v/>
      </c>
      <c r="G945" s="7">
        <f>'1 datos preparados'!F938</f>
        <v/>
      </c>
      <c r="H945" s="7">
        <f>'1 datos preparados'!G938</f>
        <v/>
      </c>
      <c r="I945" s="7">
        <f>'1 datos preparados'!H938</f>
        <v/>
      </c>
      <c r="J945" s="7">
        <f>'1 datos preparados'!I938</f>
        <v/>
      </c>
      <c r="K945" s="7">
        <f>'1 datos preparados'!J938</f>
        <v/>
      </c>
      <c r="L945" s="7">
        <f>'1 datos preparados'!K938</f>
        <v/>
      </c>
      <c r="M945" s="7">
        <f>'1 datos preparados'!L938</f>
        <v/>
      </c>
      <c r="N945" s="7">
        <f>'1 datos preparados'!M938</f>
        <v/>
      </c>
      <c r="O945" s="7">
        <f>'1 datos preparados'!N938</f>
        <v/>
      </c>
      <c r="P945" s="7">
        <f>'1 datos preparados'!O938</f>
        <v/>
      </c>
      <c r="Q945" s="7">
        <f>'1 datos preparados'!P938</f>
        <v/>
      </c>
      <c r="R945" s="7">
        <f>'1 datos preparados'!Q938</f>
        <v/>
      </c>
      <c r="S945" s="7">
        <f>'1 datos preparados'!R938</f>
        <v/>
      </c>
      <c r="T945" s="7">
        <f>'1 datos preparados'!S938</f>
        <v/>
      </c>
      <c r="U945" s="7">
        <f>'1 datos preparados'!T938</f>
        <v/>
      </c>
      <c r="V945" s="8">
        <f>$AE$12+D945*$AE$13+E945*$AE$14+F945*$AE$15+G945*$AE$16+H945*$AE$17+I945*$AE$18+J945*$AE$19+K945*$AE$20+L945*$AE$21+M945*$AE$22+N945*$AE$23+O945*$AE$24+P945*$AE$25+Q945*$AE$26+R945*$AE$27+S945*$AE$28+T945*$AE$29+U945*$AE$30</f>
        <v/>
      </c>
      <c r="W945" s="8">
        <f>1/(1+EXP(-V945))</f>
        <v/>
      </c>
      <c r="X945" s="9">
        <f>-IF(C945=1,LN(W945),LN(1-W945))</f>
        <v/>
      </c>
      <c r="Y945" s="8">
        <f>'1 datos preparados'!V938</f>
        <v/>
      </c>
      <c r="Z945" s="9">
        <f>Y945*X945</f>
        <v/>
      </c>
      <c r="AA945" s="10">
        <f>IF(W945&gt;$AE$33,1,0)</f>
        <v/>
      </c>
      <c r="AB945">
        <f>IF(AA945=C945,1,0)</f>
        <v/>
      </c>
    </row>
    <row r="946">
      <c r="A946">
        <f>'1 datos preparados'!A939</f>
        <v/>
      </c>
      <c r="B946" s="5">
        <f>'1 datos preparados'!U939</f>
        <v/>
      </c>
      <c r="C946">
        <f>'1 datos preparados'!B939</f>
        <v/>
      </c>
      <c r="D946" s="7">
        <f>'1 datos preparados'!C939</f>
        <v/>
      </c>
      <c r="E946" s="7">
        <f>'1 datos preparados'!D939</f>
        <v/>
      </c>
      <c r="F946" s="7">
        <f>'1 datos preparados'!E939</f>
        <v/>
      </c>
      <c r="G946" s="7">
        <f>'1 datos preparados'!F939</f>
        <v/>
      </c>
      <c r="H946" s="7">
        <f>'1 datos preparados'!G939</f>
        <v/>
      </c>
      <c r="I946" s="7">
        <f>'1 datos preparados'!H939</f>
        <v/>
      </c>
      <c r="J946" s="7">
        <f>'1 datos preparados'!I939</f>
        <v/>
      </c>
      <c r="K946" s="7">
        <f>'1 datos preparados'!J939</f>
        <v/>
      </c>
      <c r="L946" s="7">
        <f>'1 datos preparados'!K939</f>
        <v/>
      </c>
      <c r="M946" s="7">
        <f>'1 datos preparados'!L939</f>
        <v/>
      </c>
      <c r="N946" s="7">
        <f>'1 datos preparados'!M939</f>
        <v/>
      </c>
      <c r="O946" s="7">
        <f>'1 datos preparados'!N939</f>
        <v/>
      </c>
      <c r="P946" s="7">
        <f>'1 datos preparados'!O939</f>
        <v/>
      </c>
      <c r="Q946" s="7">
        <f>'1 datos preparados'!P939</f>
        <v/>
      </c>
      <c r="R946" s="7">
        <f>'1 datos preparados'!Q939</f>
        <v/>
      </c>
      <c r="S946" s="7">
        <f>'1 datos preparados'!R939</f>
        <v/>
      </c>
      <c r="T946" s="7">
        <f>'1 datos preparados'!S939</f>
        <v/>
      </c>
      <c r="U946" s="7">
        <f>'1 datos preparados'!T939</f>
        <v/>
      </c>
      <c r="V946" s="8">
        <f>$AE$12+D946*$AE$13+E946*$AE$14+F946*$AE$15+G946*$AE$16+H946*$AE$17+I946*$AE$18+J946*$AE$19+K946*$AE$20+L946*$AE$21+M946*$AE$22+N946*$AE$23+O946*$AE$24+P946*$AE$25+Q946*$AE$26+R946*$AE$27+S946*$AE$28+T946*$AE$29+U946*$AE$30</f>
        <v/>
      </c>
      <c r="W946" s="8">
        <f>1/(1+EXP(-V946))</f>
        <v/>
      </c>
      <c r="X946" s="9">
        <f>-IF(C946=1,LN(W946),LN(1-W946))</f>
        <v/>
      </c>
      <c r="Y946" s="8">
        <f>'1 datos preparados'!V939</f>
        <v/>
      </c>
      <c r="Z946" s="9">
        <f>Y946*X946</f>
        <v/>
      </c>
      <c r="AA946" s="10">
        <f>IF(W946&gt;$AE$33,1,0)</f>
        <v/>
      </c>
      <c r="AB946">
        <f>IF(AA946=C946,1,0)</f>
        <v/>
      </c>
    </row>
    <row r="947">
      <c r="A947">
        <f>'1 datos preparados'!A940</f>
        <v/>
      </c>
      <c r="B947" s="5">
        <f>'1 datos preparados'!U940</f>
        <v/>
      </c>
      <c r="C947">
        <f>'1 datos preparados'!B940</f>
        <v/>
      </c>
      <c r="D947" s="7">
        <f>'1 datos preparados'!C940</f>
        <v/>
      </c>
      <c r="E947" s="7">
        <f>'1 datos preparados'!D940</f>
        <v/>
      </c>
      <c r="F947" s="7">
        <f>'1 datos preparados'!E940</f>
        <v/>
      </c>
      <c r="G947" s="7">
        <f>'1 datos preparados'!F940</f>
        <v/>
      </c>
      <c r="H947" s="7">
        <f>'1 datos preparados'!G940</f>
        <v/>
      </c>
      <c r="I947" s="7">
        <f>'1 datos preparados'!H940</f>
        <v/>
      </c>
      <c r="J947" s="7">
        <f>'1 datos preparados'!I940</f>
        <v/>
      </c>
      <c r="K947" s="7">
        <f>'1 datos preparados'!J940</f>
        <v/>
      </c>
      <c r="L947" s="7">
        <f>'1 datos preparados'!K940</f>
        <v/>
      </c>
      <c r="M947" s="7">
        <f>'1 datos preparados'!L940</f>
        <v/>
      </c>
      <c r="N947" s="7">
        <f>'1 datos preparados'!M940</f>
        <v/>
      </c>
      <c r="O947" s="7">
        <f>'1 datos preparados'!N940</f>
        <v/>
      </c>
      <c r="P947" s="7">
        <f>'1 datos preparados'!O940</f>
        <v/>
      </c>
      <c r="Q947" s="7">
        <f>'1 datos preparados'!P940</f>
        <v/>
      </c>
      <c r="R947" s="7">
        <f>'1 datos preparados'!Q940</f>
        <v/>
      </c>
      <c r="S947" s="7">
        <f>'1 datos preparados'!R940</f>
        <v/>
      </c>
      <c r="T947" s="7">
        <f>'1 datos preparados'!S940</f>
        <v/>
      </c>
      <c r="U947" s="7">
        <f>'1 datos preparados'!T940</f>
        <v/>
      </c>
      <c r="V947" s="8">
        <f>$AE$12+D947*$AE$13+E947*$AE$14+F947*$AE$15+G947*$AE$16+H947*$AE$17+I947*$AE$18+J947*$AE$19+K947*$AE$20+L947*$AE$21+M947*$AE$22+N947*$AE$23+O947*$AE$24+P947*$AE$25+Q947*$AE$26+R947*$AE$27+S947*$AE$28+T947*$AE$29+U947*$AE$30</f>
        <v/>
      </c>
      <c r="W947" s="8">
        <f>1/(1+EXP(-V947))</f>
        <v/>
      </c>
      <c r="X947" s="9">
        <f>-IF(C947=1,LN(W947),LN(1-W947))</f>
        <v/>
      </c>
      <c r="Y947" s="8">
        <f>'1 datos preparados'!V940</f>
        <v/>
      </c>
      <c r="Z947" s="9">
        <f>Y947*X947</f>
        <v/>
      </c>
      <c r="AA947" s="10">
        <f>IF(W947&gt;$AE$33,1,0)</f>
        <v/>
      </c>
      <c r="AB947">
        <f>IF(AA947=C947,1,0)</f>
        <v/>
      </c>
    </row>
    <row r="948">
      <c r="A948">
        <f>'1 datos preparados'!A941</f>
        <v/>
      </c>
      <c r="B948" s="5">
        <f>'1 datos preparados'!U941</f>
        <v/>
      </c>
      <c r="C948">
        <f>'1 datos preparados'!B941</f>
        <v/>
      </c>
      <c r="D948" s="7">
        <f>'1 datos preparados'!C941</f>
        <v/>
      </c>
      <c r="E948" s="7">
        <f>'1 datos preparados'!D941</f>
        <v/>
      </c>
      <c r="F948" s="7">
        <f>'1 datos preparados'!E941</f>
        <v/>
      </c>
      <c r="G948" s="7">
        <f>'1 datos preparados'!F941</f>
        <v/>
      </c>
      <c r="H948" s="7">
        <f>'1 datos preparados'!G941</f>
        <v/>
      </c>
      <c r="I948" s="7">
        <f>'1 datos preparados'!H941</f>
        <v/>
      </c>
      <c r="J948" s="7">
        <f>'1 datos preparados'!I941</f>
        <v/>
      </c>
      <c r="K948" s="7">
        <f>'1 datos preparados'!J941</f>
        <v/>
      </c>
      <c r="L948" s="7">
        <f>'1 datos preparados'!K941</f>
        <v/>
      </c>
      <c r="M948" s="7">
        <f>'1 datos preparados'!L941</f>
        <v/>
      </c>
      <c r="N948" s="7">
        <f>'1 datos preparados'!M941</f>
        <v/>
      </c>
      <c r="O948" s="7">
        <f>'1 datos preparados'!N941</f>
        <v/>
      </c>
      <c r="P948" s="7">
        <f>'1 datos preparados'!O941</f>
        <v/>
      </c>
      <c r="Q948" s="7">
        <f>'1 datos preparados'!P941</f>
        <v/>
      </c>
      <c r="R948" s="7">
        <f>'1 datos preparados'!Q941</f>
        <v/>
      </c>
      <c r="S948" s="7">
        <f>'1 datos preparados'!R941</f>
        <v/>
      </c>
      <c r="T948" s="7">
        <f>'1 datos preparados'!S941</f>
        <v/>
      </c>
      <c r="U948" s="7">
        <f>'1 datos preparados'!T941</f>
        <v/>
      </c>
      <c r="V948" s="8">
        <f>$AE$12+D948*$AE$13+E948*$AE$14+F948*$AE$15+G948*$AE$16+H948*$AE$17+I948*$AE$18+J948*$AE$19+K948*$AE$20+L948*$AE$21+M948*$AE$22+N948*$AE$23+O948*$AE$24+P948*$AE$25+Q948*$AE$26+R948*$AE$27+S948*$AE$28+T948*$AE$29+U948*$AE$30</f>
        <v/>
      </c>
      <c r="W948" s="8">
        <f>1/(1+EXP(-V948))</f>
        <v/>
      </c>
      <c r="X948" s="9">
        <f>-IF(C948=1,LN(W948),LN(1-W948))</f>
        <v/>
      </c>
      <c r="Y948" s="8">
        <f>'1 datos preparados'!V941</f>
        <v/>
      </c>
      <c r="Z948" s="9">
        <f>Y948*X948</f>
        <v/>
      </c>
      <c r="AA948" s="10">
        <f>IF(W948&gt;$AE$33,1,0)</f>
        <v/>
      </c>
      <c r="AB948">
        <f>IF(AA948=C948,1,0)</f>
        <v/>
      </c>
    </row>
    <row r="949">
      <c r="A949">
        <f>'1 datos preparados'!A942</f>
        <v/>
      </c>
      <c r="B949" s="5">
        <f>'1 datos preparados'!U942</f>
        <v/>
      </c>
      <c r="C949">
        <f>'1 datos preparados'!B942</f>
        <v/>
      </c>
      <c r="D949" s="7">
        <f>'1 datos preparados'!C942</f>
        <v/>
      </c>
      <c r="E949" s="7">
        <f>'1 datos preparados'!D942</f>
        <v/>
      </c>
      <c r="F949" s="7">
        <f>'1 datos preparados'!E942</f>
        <v/>
      </c>
      <c r="G949" s="7">
        <f>'1 datos preparados'!F942</f>
        <v/>
      </c>
      <c r="H949" s="7">
        <f>'1 datos preparados'!G942</f>
        <v/>
      </c>
      <c r="I949" s="7">
        <f>'1 datos preparados'!H942</f>
        <v/>
      </c>
      <c r="J949" s="7">
        <f>'1 datos preparados'!I942</f>
        <v/>
      </c>
      <c r="K949" s="7">
        <f>'1 datos preparados'!J942</f>
        <v/>
      </c>
      <c r="L949" s="7">
        <f>'1 datos preparados'!K942</f>
        <v/>
      </c>
      <c r="M949" s="7">
        <f>'1 datos preparados'!L942</f>
        <v/>
      </c>
      <c r="N949" s="7">
        <f>'1 datos preparados'!M942</f>
        <v/>
      </c>
      <c r="O949" s="7">
        <f>'1 datos preparados'!N942</f>
        <v/>
      </c>
      <c r="P949" s="7">
        <f>'1 datos preparados'!O942</f>
        <v/>
      </c>
      <c r="Q949" s="7">
        <f>'1 datos preparados'!P942</f>
        <v/>
      </c>
      <c r="R949" s="7">
        <f>'1 datos preparados'!Q942</f>
        <v/>
      </c>
      <c r="S949" s="7">
        <f>'1 datos preparados'!R942</f>
        <v/>
      </c>
      <c r="T949" s="7">
        <f>'1 datos preparados'!S942</f>
        <v/>
      </c>
      <c r="U949" s="7">
        <f>'1 datos preparados'!T942</f>
        <v/>
      </c>
      <c r="V949" s="8">
        <f>$AE$12+D949*$AE$13+E949*$AE$14+F949*$AE$15+G949*$AE$16+H949*$AE$17+I949*$AE$18+J949*$AE$19+K949*$AE$20+L949*$AE$21+M949*$AE$22+N949*$AE$23+O949*$AE$24+P949*$AE$25+Q949*$AE$26+R949*$AE$27+S949*$AE$28+T949*$AE$29+U949*$AE$30</f>
        <v/>
      </c>
      <c r="W949" s="8">
        <f>1/(1+EXP(-V949))</f>
        <v/>
      </c>
      <c r="X949" s="9">
        <f>-IF(C949=1,LN(W949),LN(1-W949))</f>
        <v/>
      </c>
      <c r="Y949" s="8">
        <f>'1 datos preparados'!V942</f>
        <v/>
      </c>
      <c r="Z949" s="9">
        <f>Y949*X949</f>
        <v/>
      </c>
      <c r="AA949" s="10">
        <f>IF(W949&gt;$AE$33,1,0)</f>
        <v/>
      </c>
      <c r="AB949">
        <f>IF(AA949=C949,1,0)</f>
        <v/>
      </c>
    </row>
    <row r="950">
      <c r="A950">
        <f>'1 datos preparados'!A943</f>
        <v/>
      </c>
      <c r="B950" s="5">
        <f>'1 datos preparados'!U943</f>
        <v/>
      </c>
      <c r="C950">
        <f>'1 datos preparados'!B943</f>
        <v/>
      </c>
      <c r="D950" s="7">
        <f>'1 datos preparados'!C943</f>
        <v/>
      </c>
      <c r="E950" s="7">
        <f>'1 datos preparados'!D943</f>
        <v/>
      </c>
      <c r="F950" s="7">
        <f>'1 datos preparados'!E943</f>
        <v/>
      </c>
      <c r="G950" s="7">
        <f>'1 datos preparados'!F943</f>
        <v/>
      </c>
      <c r="H950" s="7">
        <f>'1 datos preparados'!G943</f>
        <v/>
      </c>
      <c r="I950" s="7">
        <f>'1 datos preparados'!H943</f>
        <v/>
      </c>
      <c r="J950" s="7">
        <f>'1 datos preparados'!I943</f>
        <v/>
      </c>
      <c r="K950" s="7">
        <f>'1 datos preparados'!J943</f>
        <v/>
      </c>
      <c r="L950" s="7">
        <f>'1 datos preparados'!K943</f>
        <v/>
      </c>
      <c r="M950" s="7">
        <f>'1 datos preparados'!L943</f>
        <v/>
      </c>
      <c r="N950" s="7">
        <f>'1 datos preparados'!M943</f>
        <v/>
      </c>
      <c r="O950" s="7">
        <f>'1 datos preparados'!N943</f>
        <v/>
      </c>
      <c r="P950" s="7">
        <f>'1 datos preparados'!O943</f>
        <v/>
      </c>
      <c r="Q950" s="7">
        <f>'1 datos preparados'!P943</f>
        <v/>
      </c>
      <c r="R950" s="7">
        <f>'1 datos preparados'!Q943</f>
        <v/>
      </c>
      <c r="S950" s="7">
        <f>'1 datos preparados'!R943</f>
        <v/>
      </c>
      <c r="T950" s="7">
        <f>'1 datos preparados'!S943</f>
        <v/>
      </c>
      <c r="U950" s="7">
        <f>'1 datos preparados'!T943</f>
        <v/>
      </c>
      <c r="V950" s="8">
        <f>$AE$12+D950*$AE$13+E950*$AE$14+F950*$AE$15+G950*$AE$16+H950*$AE$17+I950*$AE$18+J950*$AE$19+K950*$AE$20+L950*$AE$21+M950*$AE$22+N950*$AE$23+O950*$AE$24+P950*$AE$25+Q950*$AE$26+R950*$AE$27+S950*$AE$28+T950*$AE$29+U950*$AE$30</f>
        <v/>
      </c>
      <c r="W950" s="8">
        <f>1/(1+EXP(-V950))</f>
        <v/>
      </c>
      <c r="X950" s="9">
        <f>-IF(C950=1,LN(W950),LN(1-W950))</f>
        <v/>
      </c>
      <c r="Y950" s="8">
        <f>'1 datos preparados'!V943</f>
        <v/>
      </c>
      <c r="Z950" s="9">
        <f>Y950*X950</f>
        <v/>
      </c>
      <c r="AA950" s="10">
        <f>IF(W950&gt;$AE$33,1,0)</f>
        <v/>
      </c>
      <c r="AB950">
        <f>IF(AA950=C950,1,0)</f>
        <v/>
      </c>
    </row>
    <row r="951">
      <c r="A951">
        <f>'1 datos preparados'!A944</f>
        <v/>
      </c>
      <c r="B951" s="5">
        <f>'1 datos preparados'!U944</f>
        <v/>
      </c>
      <c r="C951">
        <f>'1 datos preparados'!B944</f>
        <v/>
      </c>
      <c r="D951" s="7">
        <f>'1 datos preparados'!C944</f>
        <v/>
      </c>
      <c r="E951" s="7">
        <f>'1 datos preparados'!D944</f>
        <v/>
      </c>
      <c r="F951" s="7">
        <f>'1 datos preparados'!E944</f>
        <v/>
      </c>
      <c r="G951" s="7">
        <f>'1 datos preparados'!F944</f>
        <v/>
      </c>
      <c r="H951" s="7">
        <f>'1 datos preparados'!G944</f>
        <v/>
      </c>
      <c r="I951" s="7">
        <f>'1 datos preparados'!H944</f>
        <v/>
      </c>
      <c r="J951" s="7">
        <f>'1 datos preparados'!I944</f>
        <v/>
      </c>
      <c r="K951" s="7">
        <f>'1 datos preparados'!J944</f>
        <v/>
      </c>
      <c r="L951" s="7">
        <f>'1 datos preparados'!K944</f>
        <v/>
      </c>
      <c r="M951" s="7">
        <f>'1 datos preparados'!L944</f>
        <v/>
      </c>
      <c r="N951" s="7">
        <f>'1 datos preparados'!M944</f>
        <v/>
      </c>
      <c r="O951" s="7">
        <f>'1 datos preparados'!N944</f>
        <v/>
      </c>
      <c r="P951" s="7">
        <f>'1 datos preparados'!O944</f>
        <v/>
      </c>
      <c r="Q951" s="7">
        <f>'1 datos preparados'!P944</f>
        <v/>
      </c>
      <c r="R951" s="7">
        <f>'1 datos preparados'!Q944</f>
        <v/>
      </c>
      <c r="S951" s="7">
        <f>'1 datos preparados'!R944</f>
        <v/>
      </c>
      <c r="T951" s="7">
        <f>'1 datos preparados'!S944</f>
        <v/>
      </c>
      <c r="U951" s="7">
        <f>'1 datos preparados'!T944</f>
        <v/>
      </c>
      <c r="V951" s="8">
        <f>$AE$12+D951*$AE$13+E951*$AE$14+F951*$AE$15+G951*$AE$16+H951*$AE$17+I951*$AE$18+J951*$AE$19+K951*$AE$20+L951*$AE$21+M951*$AE$22+N951*$AE$23+O951*$AE$24+P951*$AE$25+Q951*$AE$26+R951*$AE$27+S951*$AE$28+T951*$AE$29+U951*$AE$30</f>
        <v/>
      </c>
      <c r="W951" s="8">
        <f>1/(1+EXP(-V951))</f>
        <v/>
      </c>
      <c r="X951" s="9">
        <f>-IF(C951=1,LN(W951),LN(1-W951))</f>
        <v/>
      </c>
      <c r="Y951" s="8">
        <f>'1 datos preparados'!V944</f>
        <v/>
      </c>
      <c r="Z951" s="9">
        <f>Y951*X951</f>
        <v/>
      </c>
      <c r="AA951" s="10">
        <f>IF(W951&gt;$AE$33,1,0)</f>
        <v/>
      </c>
      <c r="AB951">
        <f>IF(AA951=C951,1,0)</f>
        <v/>
      </c>
    </row>
    <row r="952">
      <c r="A952">
        <f>'1 datos preparados'!A945</f>
        <v/>
      </c>
      <c r="B952" s="5">
        <f>'1 datos preparados'!U945</f>
        <v/>
      </c>
      <c r="C952">
        <f>'1 datos preparados'!B945</f>
        <v/>
      </c>
      <c r="D952" s="7">
        <f>'1 datos preparados'!C945</f>
        <v/>
      </c>
      <c r="E952" s="7">
        <f>'1 datos preparados'!D945</f>
        <v/>
      </c>
      <c r="F952" s="7">
        <f>'1 datos preparados'!E945</f>
        <v/>
      </c>
      <c r="G952" s="7">
        <f>'1 datos preparados'!F945</f>
        <v/>
      </c>
      <c r="H952" s="7">
        <f>'1 datos preparados'!G945</f>
        <v/>
      </c>
      <c r="I952" s="7">
        <f>'1 datos preparados'!H945</f>
        <v/>
      </c>
      <c r="J952" s="7">
        <f>'1 datos preparados'!I945</f>
        <v/>
      </c>
      <c r="K952" s="7">
        <f>'1 datos preparados'!J945</f>
        <v/>
      </c>
      <c r="L952" s="7">
        <f>'1 datos preparados'!K945</f>
        <v/>
      </c>
      <c r="M952" s="7">
        <f>'1 datos preparados'!L945</f>
        <v/>
      </c>
      <c r="N952" s="7">
        <f>'1 datos preparados'!M945</f>
        <v/>
      </c>
      <c r="O952" s="7">
        <f>'1 datos preparados'!N945</f>
        <v/>
      </c>
      <c r="P952" s="7">
        <f>'1 datos preparados'!O945</f>
        <v/>
      </c>
      <c r="Q952" s="7">
        <f>'1 datos preparados'!P945</f>
        <v/>
      </c>
      <c r="R952" s="7">
        <f>'1 datos preparados'!Q945</f>
        <v/>
      </c>
      <c r="S952" s="7">
        <f>'1 datos preparados'!R945</f>
        <v/>
      </c>
      <c r="T952" s="7">
        <f>'1 datos preparados'!S945</f>
        <v/>
      </c>
      <c r="U952" s="7">
        <f>'1 datos preparados'!T945</f>
        <v/>
      </c>
      <c r="V952" s="8">
        <f>$AE$12+D952*$AE$13+E952*$AE$14+F952*$AE$15+G952*$AE$16+H952*$AE$17+I952*$AE$18+J952*$AE$19+K952*$AE$20+L952*$AE$21+M952*$AE$22+N952*$AE$23+O952*$AE$24+P952*$AE$25+Q952*$AE$26+R952*$AE$27+S952*$AE$28+T952*$AE$29+U952*$AE$30</f>
        <v/>
      </c>
      <c r="W952" s="8">
        <f>1/(1+EXP(-V952))</f>
        <v/>
      </c>
      <c r="X952" s="9">
        <f>-IF(C952=1,LN(W952),LN(1-W952))</f>
        <v/>
      </c>
      <c r="Y952" s="8">
        <f>'1 datos preparados'!V945</f>
        <v/>
      </c>
      <c r="Z952" s="9">
        <f>Y952*X952</f>
        <v/>
      </c>
      <c r="AA952" s="10">
        <f>IF(W952&gt;$AE$33,1,0)</f>
        <v/>
      </c>
      <c r="AB952">
        <f>IF(AA952=C952,1,0)</f>
        <v/>
      </c>
    </row>
    <row r="953">
      <c r="A953">
        <f>'1 datos preparados'!A946</f>
        <v/>
      </c>
      <c r="B953" s="5">
        <f>'1 datos preparados'!U946</f>
        <v/>
      </c>
      <c r="C953">
        <f>'1 datos preparados'!B946</f>
        <v/>
      </c>
      <c r="D953" s="7">
        <f>'1 datos preparados'!C946</f>
        <v/>
      </c>
      <c r="E953" s="7">
        <f>'1 datos preparados'!D946</f>
        <v/>
      </c>
      <c r="F953" s="7">
        <f>'1 datos preparados'!E946</f>
        <v/>
      </c>
      <c r="G953" s="7">
        <f>'1 datos preparados'!F946</f>
        <v/>
      </c>
      <c r="H953" s="7">
        <f>'1 datos preparados'!G946</f>
        <v/>
      </c>
      <c r="I953" s="7">
        <f>'1 datos preparados'!H946</f>
        <v/>
      </c>
      <c r="J953" s="7">
        <f>'1 datos preparados'!I946</f>
        <v/>
      </c>
      <c r="K953" s="7">
        <f>'1 datos preparados'!J946</f>
        <v/>
      </c>
      <c r="L953" s="7">
        <f>'1 datos preparados'!K946</f>
        <v/>
      </c>
      <c r="M953" s="7">
        <f>'1 datos preparados'!L946</f>
        <v/>
      </c>
      <c r="N953" s="7">
        <f>'1 datos preparados'!M946</f>
        <v/>
      </c>
      <c r="O953" s="7">
        <f>'1 datos preparados'!N946</f>
        <v/>
      </c>
      <c r="P953" s="7">
        <f>'1 datos preparados'!O946</f>
        <v/>
      </c>
      <c r="Q953" s="7">
        <f>'1 datos preparados'!P946</f>
        <v/>
      </c>
      <c r="R953" s="7">
        <f>'1 datos preparados'!Q946</f>
        <v/>
      </c>
      <c r="S953" s="7">
        <f>'1 datos preparados'!R946</f>
        <v/>
      </c>
      <c r="T953" s="7">
        <f>'1 datos preparados'!S946</f>
        <v/>
      </c>
      <c r="U953" s="7">
        <f>'1 datos preparados'!T946</f>
        <v/>
      </c>
      <c r="V953" s="8">
        <f>$AE$12+D953*$AE$13+E953*$AE$14+F953*$AE$15+G953*$AE$16+H953*$AE$17+I953*$AE$18+J953*$AE$19+K953*$AE$20+L953*$AE$21+M953*$AE$22+N953*$AE$23+O953*$AE$24+P953*$AE$25+Q953*$AE$26+R953*$AE$27+S953*$AE$28+T953*$AE$29+U953*$AE$30</f>
        <v/>
      </c>
      <c r="W953" s="8">
        <f>1/(1+EXP(-V953))</f>
        <v/>
      </c>
      <c r="X953" s="9">
        <f>-IF(C953=1,LN(W953),LN(1-W953))</f>
        <v/>
      </c>
      <c r="Y953" s="8">
        <f>'1 datos preparados'!V946</f>
        <v/>
      </c>
      <c r="Z953" s="9">
        <f>Y953*X953</f>
        <v/>
      </c>
      <c r="AA953" s="10">
        <f>IF(W953&gt;$AE$33,1,0)</f>
        <v/>
      </c>
      <c r="AB953">
        <f>IF(AA953=C953,1,0)</f>
        <v/>
      </c>
    </row>
    <row r="954">
      <c r="A954">
        <f>'1 datos preparados'!A947</f>
        <v/>
      </c>
      <c r="B954" s="5">
        <f>'1 datos preparados'!U947</f>
        <v/>
      </c>
      <c r="C954">
        <f>'1 datos preparados'!B947</f>
        <v/>
      </c>
      <c r="D954" s="7">
        <f>'1 datos preparados'!C947</f>
        <v/>
      </c>
      <c r="E954" s="7">
        <f>'1 datos preparados'!D947</f>
        <v/>
      </c>
      <c r="F954" s="7">
        <f>'1 datos preparados'!E947</f>
        <v/>
      </c>
      <c r="G954" s="7">
        <f>'1 datos preparados'!F947</f>
        <v/>
      </c>
      <c r="H954" s="7">
        <f>'1 datos preparados'!G947</f>
        <v/>
      </c>
      <c r="I954" s="7">
        <f>'1 datos preparados'!H947</f>
        <v/>
      </c>
      <c r="J954" s="7">
        <f>'1 datos preparados'!I947</f>
        <v/>
      </c>
      <c r="K954" s="7">
        <f>'1 datos preparados'!J947</f>
        <v/>
      </c>
      <c r="L954" s="7">
        <f>'1 datos preparados'!K947</f>
        <v/>
      </c>
      <c r="M954" s="7">
        <f>'1 datos preparados'!L947</f>
        <v/>
      </c>
      <c r="N954" s="7">
        <f>'1 datos preparados'!M947</f>
        <v/>
      </c>
      <c r="O954" s="7">
        <f>'1 datos preparados'!N947</f>
        <v/>
      </c>
      <c r="P954" s="7">
        <f>'1 datos preparados'!O947</f>
        <v/>
      </c>
      <c r="Q954" s="7">
        <f>'1 datos preparados'!P947</f>
        <v/>
      </c>
      <c r="R954" s="7">
        <f>'1 datos preparados'!Q947</f>
        <v/>
      </c>
      <c r="S954" s="7">
        <f>'1 datos preparados'!R947</f>
        <v/>
      </c>
      <c r="T954" s="7">
        <f>'1 datos preparados'!S947</f>
        <v/>
      </c>
      <c r="U954" s="7">
        <f>'1 datos preparados'!T947</f>
        <v/>
      </c>
      <c r="V954" s="8">
        <f>$AE$12+D954*$AE$13+E954*$AE$14+F954*$AE$15+G954*$AE$16+H954*$AE$17+I954*$AE$18+J954*$AE$19+K954*$AE$20+L954*$AE$21+M954*$AE$22+N954*$AE$23+O954*$AE$24+P954*$AE$25+Q954*$AE$26+R954*$AE$27+S954*$AE$28+T954*$AE$29+U954*$AE$30</f>
        <v/>
      </c>
      <c r="W954" s="8">
        <f>1/(1+EXP(-V954))</f>
        <v/>
      </c>
      <c r="X954" s="9">
        <f>-IF(C954=1,LN(W954),LN(1-W954))</f>
        <v/>
      </c>
      <c r="Y954" s="8">
        <f>'1 datos preparados'!V947</f>
        <v/>
      </c>
      <c r="Z954" s="9">
        <f>Y954*X954</f>
        <v/>
      </c>
      <c r="AA954" s="10">
        <f>IF(W954&gt;$AE$33,1,0)</f>
        <v/>
      </c>
      <c r="AB954">
        <f>IF(AA954=C954,1,0)</f>
        <v/>
      </c>
    </row>
    <row r="955">
      <c r="A955">
        <f>'1 datos preparados'!A948</f>
        <v/>
      </c>
      <c r="B955" s="5">
        <f>'1 datos preparados'!U948</f>
        <v/>
      </c>
      <c r="C955">
        <f>'1 datos preparados'!B948</f>
        <v/>
      </c>
      <c r="D955" s="7">
        <f>'1 datos preparados'!C948</f>
        <v/>
      </c>
      <c r="E955" s="7">
        <f>'1 datos preparados'!D948</f>
        <v/>
      </c>
      <c r="F955" s="7">
        <f>'1 datos preparados'!E948</f>
        <v/>
      </c>
      <c r="G955" s="7">
        <f>'1 datos preparados'!F948</f>
        <v/>
      </c>
      <c r="H955" s="7">
        <f>'1 datos preparados'!G948</f>
        <v/>
      </c>
      <c r="I955" s="7">
        <f>'1 datos preparados'!H948</f>
        <v/>
      </c>
      <c r="J955" s="7">
        <f>'1 datos preparados'!I948</f>
        <v/>
      </c>
      <c r="K955" s="7">
        <f>'1 datos preparados'!J948</f>
        <v/>
      </c>
      <c r="L955" s="7">
        <f>'1 datos preparados'!K948</f>
        <v/>
      </c>
      <c r="M955" s="7">
        <f>'1 datos preparados'!L948</f>
        <v/>
      </c>
      <c r="N955" s="7">
        <f>'1 datos preparados'!M948</f>
        <v/>
      </c>
      <c r="O955" s="7">
        <f>'1 datos preparados'!N948</f>
        <v/>
      </c>
      <c r="P955" s="7">
        <f>'1 datos preparados'!O948</f>
        <v/>
      </c>
      <c r="Q955" s="7">
        <f>'1 datos preparados'!P948</f>
        <v/>
      </c>
      <c r="R955" s="7">
        <f>'1 datos preparados'!Q948</f>
        <v/>
      </c>
      <c r="S955" s="7">
        <f>'1 datos preparados'!R948</f>
        <v/>
      </c>
      <c r="T955" s="7">
        <f>'1 datos preparados'!S948</f>
        <v/>
      </c>
      <c r="U955" s="7">
        <f>'1 datos preparados'!T948</f>
        <v/>
      </c>
      <c r="V955" s="8">
        <f>$AE$12+D955*$AE$13+E955*$AE$14+F955*$AE$15+G955*$AE$16+H955*$AE$17+I955*$AE$18+J955*$AE$19+K955*$AE$20+L955*$AE$21+M955*$AE$22+N955*$AE$23+O955*$AE$24+P955*$AE$25+Q955*$AE$26+R955*$AE$27+S955*$AE$28+T955*$AE$29+U955*$AE$30</f>
        <v/>
      </c>
      <c r="W955" s="8">
        <f>1/(1+EXP(-V955))</f>
        <v/>
      </c>
      <c r="X955" s="9">
        <f>-IF(C955=1,LN(W955),LN(1-W955))</f>
        <v/>
      </c>
      <c r="Y955" s="8">
        <f>'1 datos preparados'!V948</f>
        <v/>
      </c>
      <c r="Z955" s="9">
        <f>Y955*X955</f>
        <v/>
      </c>
      <c r="AA955" s="10">
        <f>IF(W955&gt;$AE$33,1,0)</f>
        <v/>
      </c>
      <c r="AB955">
        <f>IF(AA955=C955,1,0)</f>
        <v/>
      </c>
    </row>
    <row r="956">
      <c r="A956">
        <f>'1 datos preparados'!A949</f>
        <v/>
      </c>
      <c r="B956" s="5">
        <f>'1 datos preparados'!U949</f>
        <v/>
      </c>
      <c r="C956">
        <f>'1 datos preparados'!B949</f>
        <v/>
      </c>
      <c r="D956" s="7">
        <f>'1 datos preparados'!C949</f>
        <v/>
      </c>
      <c r="E956" s="7">
        <f>'1 datos preparados'!D949</f>
        <v/>
      </c>
      <c r="F956" s="7">
        <f>'1 datos preparados'!E949</f>
        <v/>
      </c>
      <c r="G956" s="7">
        <f>'1 datos preparados'!F949</f>
        <v/>
      </c>
      <c r="H956" s="7">
        <f>'1 datos preparados'!G949</f>
        <v/>
      </c>
      <c r="I956" s="7">
        <f>'1 datos preparados'!H949</f>
        <v/>
      </c>
      <c r="J956" s="7">
        <f>'1 datos preparados'!I949</f>
        <v/>
      </c>
      <c r="K956" s="7">
        <f>'1 datos preparados'!J949</f>
        <v/>
      </c>
      <c r="L956" s="7">
        <f>'1 datos preparados'!K949</f>
        <v/>
      </c>
      <c r="M956" s="7">
        <f>'1 datos preparados'!L949</f>
        <v/>
      </c>
      <c r="N956" s="7">
        <f>'1 datos preparados'!M949</f>
        <v/>
      </c>
      <c r="O956" s="7">
        <f>'1 datos preparados'!N949</f>
        <v/>
      </c>
      <c r="P956" s="7">
        <f>'1 datos preparados'!O949</f>
        <v/>
      </c>
      <c r="Q956" s="7">
        <f>'1 datos preparados'!P949</f>
        <v/>
      </c>
      <c r="R956" s="7">
        <f>'1 datos preparados'!Q949</f>
        <v/>
      </c>
      <c r="S956" s="7">
        <f>'1 datos preparados'!R949</f>
        <v/>
      </c>
      <c r="T956" s="7">
        <f>'1 datos preparados'!S949</f>
        <v/>
      </c>
      <c r="U956" s="7">
        <f>'1 datos preparados'!T949</f>
        <v/>
      </c>
      <c r="V956" s="8">
        <f>$AE$12+D956*$AE$13+E956*$AE$14+F956*$AE$15+G956*$AE$16+H956*$AE$17+I956*$AE$18+J956*$AE$19+K956*$AE$20+L956*$AE$21+M956*$AE$22+N956*$AE$23+O956*$AE$24+P956*$AE$25+Q956*$AE$26+R956*$AE$27+S956*$AE$28+T956*$AE$29+U956*$AE$30</f>
        <v/>
      </c>
      <c r="W956" s="8">
        <f>1/(1+EXP(-V956))</f>
        <v/>
      </c>
      <c r="X956" s="9">
        <f>-IF(C956=1,LN(W956),LN(1-W956))</f>
        <v/>
      </c>
      <c r="Y956" s="8">
        <f>'1 datos preparados'!V949</f>
        <v/>
      </c>
      <c r="Z956" s="9">
        <f>Y956*X956</f>
        <v/>
      </c>
      <c r="AA956" s="10">
        <f>IF(W956&gt;$AE$33,1,0)</f>
        <v/>
      </c>
      <c r="AB956">
        <f>IF(AA956=C956,1,0)</f>
        <v/>
      </c>
    </row>
    <row r="957">
      <c r="A957">
        <f>'1 datos preparados'!A950</f>
        <v/>
      </c>
      <c r="B957" s="5">
        <f>'1 datos preparados'!U950</f>
        <v/>
      </c>
      <c r="C957">
        <f>'1 datos preparados'!B950</f>
        <v/>
      </c>
      <c r="D957" s="7">
        <f>'1 datos preparados'!C950</f>
        <v/>
      </c>
      <c r="E957" s="7">
        <f>'1 datos preparados'!D950</f>
        <v/>
      </c>
      <c r="F957" s="7">
        <f>'1 datos preparados'!E950</f>
        <v/>
      </c>
      <c r="G957" s="7">
        <f>'1 datos preparados'!F950</f>
        <v/>
      </c>
      <c r="H957" s="7">
        <f>'1 datos preparados'!G950</f>
        <v/>
      </c>
      <c r="I957" s="7">
        <f>'1 datos preparados'!H950</f>
        <v/>
      </c>
      <c r="J957" s="7">
        <f>'1 datos preparados'!I950</f>
        <v/>
      </c>
      <c r="K957" s="7">
        <f>'1 datos preparados'!J950</f>
        <v/>
      </c>
      <c r="L957" s="7">
        <f>'1 datos preparados'!K950</f>
        <v/>
      </c>
      <c r="M957" s="7">
        <f>'1 datos preparados'!L950</f>
        <v/>
      </c>
      <c r="N957" s="7">
        <f>'1 datos preparados'!M950</f>
        <v/>
      </c>
      <c r="O957" s="7">
        <f>'1 datos preparados'!N950</f>
        <v/>
      </c>
      <c r="P957" s="7">
        <f>'1 datos preparados'!O950</f>
        <v/>
      </c>
      <c r="Q957" s="7">
        <f>'1 datos preparados'!P950</f>
        <v/>
      </c>
      <c r="R957" s="7">
        <f>'1 datos preparados'!Q950</f>
        <v/>
      </c>
      <c r="S957" s="7">
        <f>'1 datos preparados'!R950</f>
        <v/>
      </c>
      <c r="T957" s="7">
        <f>'1 datos preparados'!S950</f>
        <v/>
      </c>
      <c r="U957" s="7">
        <f>'1 datos preparados'!T950</f>
        <v/>
      </c>
      <c r="V957" s="8">
        <f>$AE$12+D957*$AE$13+E957*$AE$14+F957*$AE$15+G957*$AE$16+H957*$AE$17+I957*$AE$18+J957*$AE$19+K957*$AE$20+L957*$AE$21+M957*$AE$22+N957*$AE$23+O957*$AE$24+P957*$AE$25+Q957*$AE$26+R957*$AE$27+S957*$AE$28+T957*$AE$29+U957*$AE$30</f>
        <v/>
      </c>
      <c r="W957" s="8">
        <f>1/(1+EXP(-V957))</f>
        <v/>
      </c>
      <c r="X957" s="9">
        <f>-IF(C957=1,LN(W957),LN(1-W957))</f>
        <v/>
      </c>
      <c r="Y957" s="8">
        <f>'1 datos preparados'!V950</f>
        <v/>
      </c>
      <c r="Z957" s="9">
        <f>Y957*X957</f>
        <v/>
      </c>
      <c r="AA957" s="10">
        <f>IF(W957&gt;$AE$33,1,0)</f>
        <v/>
      </c>
      <c r="AB957">
        <f>IF(AA957=C957,1,0)</f>
        <v/>
      </c>
    </row>
    <row r="958">
      <c r="A958">
        <f>'1 datos preparados'!A951</f>
        <v/>
      </c>
      <c r="B958" s="5">
        <f>'1 datos preparados'!U951</f>
        <v/>
      </c>
      <c r="C958">
        <f>'1 datos preparados'!B951</f>
        <v/>
      </c>
      <c r="D958" s="7">
        <f>'1 datos preparados'!C951</f>
        <v/>
      </c>
      <c r="E958" s="7">
        <f>'1 datos preparados'!D951</f>
        <v/>
      </c>
      <c r="F958" s="7">
        <f>'1 datos preparados'!E951</f>
        <v/>
      </c>
      <c r="G958" s="7">
        <f>'1 datos preparados'!F951</f>
        <v/>
      </c>
      <c r="H958" s="7">
        <f>'1 datos preparados'!G951</f>
        <v/>
      </c>
      <c r="I958" s="7">
        <f>'1 datos preparados'!H951</f>
        <v/>
      </c>
      <c r="J958" s="7">
        <f>'1 datos preparados'!I951</f>
        <v/>
      </c>
      <c r="K958" s="7">
        <f>'1 datos preparados'!J951</f>
        <v/>
      </c>
      <c r="L958" s="7">
        <f>'1 datos preparados'!K951</f>
        <v/>
      </c>
      <c r="M958" s="7">
        <f>'1 datos preparados'!L951</f>
        <v/>
      </c>
      <c r="N958" s="7">
        <f>'1 datos preparados'!M951</f>
        <v/>
      </c>
      <c r="O958" s="7">
        <f>'1 datos preparados'!N951</f>
        <v/>
      </c>
      <c r="P958" s="7">
        <f>'1 datos preparados'!O951</f>
        <v/>
      </c>
      <c r="Q958" s="7">
        <f>'1 datos preparados'!P951</f>
        <v/>
      </c>
      <c r="R958" s="7">
        <f>'1 datos preparados'!Q951</f>
        <v/>
      </c>
      <c r="S958" s="7">
        <f>'1 datos preparados'!R951</f>
        <v/>
      </c>
      <c r="T958" s="7">
        <f>'1 datos preparados'!S951</f>
        <v/>
      </c>
      <c r="U958" s="7">
        <f>'1 datos preparados'!T951</f>
        <v/>
      </c>
      <c r="V958" s="8">
        <f>$AE$12+D958*$AE$13+E958*$AE$14+F958*$AE$15+G958*$AE$16+H958*$AE$17+I958*$AE$18+J958*$AE$19+K958*$AE$20+L958*$AE$21+M958*$AE$22+N958*$AE$23+O958*$AE$24+P958*$AE$25+Q958*$AE$26+R958*$AE$27+S958*$AE$28+T958*$AE$29+U958*$AE$30</f>
        <v/>
      </c>
      <c r="W958" s="8">
        <f>1/(1+EXP(-V958))</f>
        <v/>
      </c>
      <c r="X958" s="9">
        <f>-IF(C958=1,LN(W958),LN(1-W958))</f>
        <v/>
      </c>
      <c r="Y958" s="8">
        <f>'1 datos preparados'!V951</f>
        <v/>
      </c>
      <c r="Z958" s="9">
        <f>Y958*X958</f>
        <v/>
      </c>
      <c r="AA958" s="10">
        <f>IF(W958&gt;$AE$33,1,0)</f>
        <v/>
      </c>
      <c r="AB958">
        <f>IF(AA958=C958,1,0)</f>
        <v/>
      </c>
    </row>
    <row r="959">
      <c r="A959">
        <f>'1 datos preparados'!A952</f>
        <v/>
      </c>
      <c r="B959" s="5">
        <f>'1 datos preparados'!U952</f>
        <v/>
      </c>
      <c r="C959">
        <f>'1 datos preparados'!B952</f>
        <v/>
      </c>
      <c r="D959" s="7">
        <f>'1 datos preparados'!C952</f>
        <v/>
      </c>
      <c r="E959" s="7">
        <f>'1 datos preparados'!D952</f>
        <v/>
      </c>
      <c r="F959" s="7">
        <f>'1 datos preparados'!E952</f>
        <v/>
      </c>
      <c r="G959" s="7">
        <f>'1 datos preparados'!F952</f>
        <v/>
      </c>
      <c r="H959" s="7">
        <f>'1 datos preparados'!G952</f>
        <v/>
      </c>
      <c r="I959" s="7">
        <f>'1 datos preparados'!H952</f>
        <v/>
      </c>
      <c r="J959" s="7">
        <f>'1 datos preparados'!I952</f>
        <v/>
      </c>
      <c r="K959" s="7">
        <f>'1 datos preparados'!J952</f>
        <v/>
      </c>
      <c r="L959" s="7">
        <f>'1 datos preparados'!K952</f>
        <v/>
      </c>
      <c r="M959" s="7">
        <f>'1 datos preparados'!L952</f>
        <v/>
      </c>
      <c r="N959" s="7">
        <f>'1 datos preparados'!M952</f>
        <v/>
      </c>
      <c r="O959" s="7">
        <f>'1 datos preparados'!N952</f>
        <v/>
      </c>
      <c r="P959" s="7">
        <f>'1 datos preparados'!O952</f>
        <v/>
      </c>
      <c r="Q959" s="7">
        <f>'1 datos preparados'!P952</f>
        <v/>
      </c>
      <c r="R959" s="7">
        <f>'1 datos preparados'!Q952</f>
        <v/>
      </c>
      <c r="S959" s="7">
        <f>'1 datos preparados'!R952</f>
        <v/>
      </c>
      <c r="T959" s="7">
        <f>'1 datos preparados'!S952</f>
        <v/>
      </c>
      <c r="U959" s="7">
        <f>'1 datos preparados'!T952</f>
        <v/>
      </c>
      <c r="V959" s="8">
        <f>$AE$12+D959*$AE$13+E959*$AE$14+F959*$AE$15+G959*$AE$16+H959*$AE$17+I959*$AE$18+J959*$AE$19+K959*$AE$20+L959*$AE$21+M959*$AE$22+N959*$AE$23+O959*$AE$24+P959*$AE$25+Q959*$AE$26+R959*$AE$27+S959*$AE$28+T959*$AE$29+U959*$AE$30</f>
        <v/>
      </c>
      <c r="W959" s="8">
        <f>1/(1+EXP(-V959))</f>
        <v/>
      </c>
      <c r="X959" s="9">
        <f>-IF(C959=1,LN(W959),LN(1-W959))</f>
        <v/>
      </c>
      <c r="Y959" s="8">
        <f>'1 datos preparados'!V952</f>
        <v/>
      </c>
      <c r="Z959" s="9">
        <f>Y959*X959</f>
        <v/>
      </c>
      <c r="AA959" s="10">
        <f>IF(W959&gt;$AE$33,1,0)</f>
        <v/>
      </c>
      <c r="AB959">
        <f>IF(AA959=C959,1,0)</f>
        <v/>
      </c>
    </row>
    <row r="960">
      <c r="A960">
        <f>'1 datos preparados'!A953</f>
        <v/>
      </c>
      <c r="B960" s="5">
        <f>'1 datos preparados'!U953</f>
        <v/>
      </c>
      <c r="C960">
        <f>'1 datos preparados'!B953</f>
        <v/>
      </c>
      <c r="D960" s="7">
        <f>'1 datos preparados'!C953</f>
        <v/>
      </c>
      <c r="E960" s="7">
        <f>'1 datos preparados'!D953</f>
        <v/>
      </c>
      <c r="F960" s="7">
        <f>'1 datos preparados'!E953</f>
        <v/>
      </c>
      <c r="G960" s="7">
        <f>'1 datos preparados'!F953</f>
        <v/>
      </c>
      <c r="H960" s="7">
        <f>'1 datos preparados'!G953</f>
        <v/>
      </c>
      <c r="I960" s="7">
        <f>'1 datos preparados'!H953</f>
        <v/>
      </c>
      <c r="J960" s="7">
        <f>'1 datos preparados'!I953</f>
        <v/>
      </c>
      <c r="K960" s="7">
        <f>'1 datos preparados'!J953</f>
        <v/>
      </c>
      <c r="L960" s="7">
        <f>'1 datos preparados'!K953</f>
        <v/>
      </c>
      <c r="M960" s="7">
        <f>'1 datos preparados'!L953</f>
        <v/>
      </c>
      <c r="N960" s="7">
        <f>'1 datos preparados'!M953</f>
        <v/>
      </c>
      <c r="O960" s="7">
        <f>'1 datos preparados'!N953</f>
        <v/>
      </c>
      <c r="P960" s="7">
        <f>'1 datos preparados'!O953</f>
        <v/>
      </c>
      <c r="Q960" s="7">
        <f>'1 datos preparados'!P953</f>
        <v/>
      </c>
      <c r="R960" s="7">
        <f>'1 datos preparados'!Q953</f>
        <v/>
      </c>
      <c r="S960" s="7">
        <f>'1 datos preparados'!R953</f>
        <v/>
      </c>
      <c r="T960" s="7">
        <f>'1 datos preparados'!S953</f>
        <v/>
      </c>
      <c r="U960" s="7">
        <f>'1 datos preparados'!T953</f>
        <v/>
      </c>
      <c r="V960" s="8">
        <f>$AE$12+D960*$AE$13+E960*$AE$14+F960*$AE$15+G960*$AE$16+H960*$AE$17+I960*$AE$18+J960*$AE$19+K960*$AE$20+L960*$AE$21+M960*$AE$22+N960*$AE$23+O960*$AE$24+P960*$AE$25+Q960*$AE$26+R960*$AE$27+S960*$AE$28+T960*$AE$29+U960*$AE$30</f>
        <v/>
      </c>
      <c r="W960" s="8">
        <f>1/(1+EXP(-V960))</f>
        <v/>
      </c>
      <c r="X960" s="9">
        <f>-IF(C960=1,LN(W960),LN(1-W960))</f>
        <v/>
      </c>
      <c r="Y960" s="8">
        <f>'1 datos preparados'!V953</f>
        <v/>
      </c>
      <c r="Z960" s="9">
        <f>Y960*X960</f>
        <v/>
      </c>
      <c r="AA960" s="10">
        <f>IF(W960&gt;$AE$33,1,0)</f>
        <v/>
      </c>
      <c r="AB960">
        <f>IF(AA960=C960,1,0)</f>
        <v/>
      </c>
    </row>
    <row r="961">
      <c r="A961">
        <f>'1 datos preparados'!A954</f>
        <v/>
      </c>
      <c r="B961" s="5">
        <f>'1 datos preparados'!U954</f>
        <v/>
      </c>
      <c r="C961">
        <f>'1 datos preparados'!B954</f>
        <v/>
      </c>
      <c r="D961" s="7">
        <f>'1 datos preparados'!C954</f>
        <v/>
      </c>
      <c r="E961" s="7">
        <f>'1 datos preparados'!D954</f>
        <v/>
      </c>
      <c r="F961" s="7">
        <f>'1 datos preparados'!E954</f>
        <v/>
      </c>
      <c r="G961" s="7">
        <f>'1 datos preparados'!F954</f>
        <v/>
      </c>
      <c r="H961" s="7">
        <f>'1 datos preparados'!G954</f>
        <v/>
      </c>
      <c r="I961" s="7">
        <f>'1 datos preparados'!H954</f>
        <v/>
      </c>
      <c r="J961" s="7">
        <f>'1 datos preparados'!I954</f>
        <v/>
      </c>
      <c r="K961" s="7">
        <f>'1 datos preparados'!J954</f>
        <v/>
      </c>
      <c r="L961" s="7">
        <f>'1 datos preparados'!K954</f>
        <v/>
      </c>
      <c r="M961" s="7">
        <f>'1 datos preparados'!L954</f>
        <v/>
      </c>
      <c r="N961" s="7">
        <f>'1 datos preparados'!M954</f>
        <v/>
      </c>
      <c r="O961" s="7">
        <f>'1 datos preparados'!N954</f>
        <v/>
      </c>
      <c r="P961" s="7">
        <f>'1 datos preparados'!O954</f>
        <v/>
      </c>
      <c r="Q961" s="7">
        <f>'1 datos preparados'!P954</f>
        <v/>
      </c>
      <c r="R961" s="7">
        <f>'1 datos preparados'!Q954</f>
        <v/>
      </c>
      <c r="S961" s="7">
        <f>'1 datos preparados'!R954</f>
        <v/>
      </c>
      <c r="T961" s="7">
        <f>'1 datos preparados'!S954</f>
        <v/>
      </c>
      <c r="U961" s="7">
        <f>'1 datos preparados'!T954</f>
        <v/>
      </c>
      <c r="V961" s="8">
        <f>$AE$12+D961*$AE$13+E961*$AE$14+F961*$AE$15+G961*$AE$16+H961*$AE$17+I961*$AE$18+J961*$AE$19+K961*$AE$20+L961*$AE$21+M961*$AE$22+N961*$AE$23+O961*$AE$24+P961*$AE$25+Q961*$AE$26+R961*$AE$27+S961*$AE$28+T961*$AE$29+U961*$AE$30</f>
        <v/>
      </c>
      <c r="W961" s="8">
        <f>1/(1+EXP(-V961))</f>
        <v/>
      </c>
      <c r="X961" s="9">
        <f>-IF(C961=1,LN(W961),LN(1-W961))</f>
        <v/>
      </c>
      <c r="Y961" s="8">
        <f>'1 datos preparados'!V954</f>
        <v/>
      </c>
      <c r="Z961" s="9">
        <f>Y961*X961</f>
        <v/>
      </c>
      <c r="AA961" s="10">
        <f>IF(W961&gt;$AE$33,1,0)</f>
        <v/>
      </c>
      <c r="AB961">
        <f>IF(AA961=C961,1,0)</f>
        <v/>
      </c>
    </row>
    <row r="962">
      <c r="A962">
        <f>'1 datos preparados'!A955</f>
        <v/>
      </c>
      <c r="B962" s="5">
        <f>'1 datos preparados'!U955</f>
        <v/>
      </c>
      <c r="C962">
        <f>'1 datos preparados'!B955</f>
        <v/>
      </c>
      <c r="D962" s="7">
        <f>'1 datos preparados'!C955</f>
        <v/>
      </c>
      <c r="E962" s="7">
        <f>'1 datos preparados'!D955</f>
        <v/>
      </c>
      <c r="F962" s="7">
        <f>'1 datos preparados'!E955</f>
        <v/>
      </c>
      <c r="G962" s="7">
        <f>'1 datos preparados'!F955</f>
        <v/>
      </c>
      <c r="H962" s="7">
        <f>'1 datos preparados'!G955</f>
        <v/>
      </c>
      <c r="I962" s="7">
        <f>'1 datos preparados'!H955</f>
        <v/>
      </c>
      <c r="J962" s="7">
        <f>'1 datos preparados'!I955</f>
        <v/>
      </c>
      <c r="K962" s="7">
        <f>'1 datos preparados'!J955</f>
        <v/>
      </c>
      <c r="L962" s="7">
        <f>'1 datos preparados'!K955</f>
        <v/>
      </c>
      <c r="M962" s="7">
        <f>'1 datos preparados'!L955</f>
        <v/>
      </c>
      <c r="N962" s="7">
        <f>'1 datos preparados'!M955</f>
        <v/>
      </c>
      <c r="O962" s="7">
        <f>'1 datos preparados'!N955</f>
        <v/>
      </c>
      <c r="P962" s="7">
        <f>'1 datos preparados'!O955</f>
        <v/>
      </c>
      <c r="Q962" s="7">
        <f>'1 datos preparados'!P955</f>
        <v/>
      </c>
      <c r="R962" s="7">
        <f>'1 datos preparados'!Q955</f>
        <v/>
      </c>
      <c r="S962" s="7">
        <f>'1 datos preparados'!R955</f>
        <v/>
      </c>
      <c r="T962" s="7">
        <f>'1 datos preparados'!S955</f>
        <v/>
      </c>
      <c r="U962" s="7">
        <f>'1 datos preparados'!T955</f>
        <v/>
      </c>
      <c r="V962" s="8">
        <f>$AE$12+D962*$AE$13+E962*$AE$14+F962*$AE$15+G962*$AE$16+H962*$AE$17+I962*$AE$18+J962*$AE$19+K962*$AE$20+L962*$AE$21+M962*$AE$22+N962*$AE$23+O962*$AE$24+P962*$AE$25+Q962*$AE$26+R962*$AE$27+S962*$AE$28+T962*$AE$29+U962*$AE$30</f>
        <v/>
      </c>
      <c r="W962" s="8">
        <f>1/(1+EXP(-V962))</f>
        <v/>
      </c>
      <c r="X962" s="9">
        <f>-IF(C962=1,LN(W962),LN(1-W962))</f>
        <v/>
      </c>
      <c r="Y962" s="8">
        <f>'1 datos preparados'!V955</f>
        <v/>
      </c>
      <c r="Z962" s="9">
        <f>Y962*X962</f>
        <v/>
      </c>
      <c r="AA962" s="10">
        <f>IF(W962&gt;$AE$33,1,0)</f>
        <v/>
      </c>
      <c r="AB962">
        <f>IF(AA962=C962,1,0)</f>
        <v/>
      </c>
    </row>
    <row r="963">
      <c r="A963">
        <f>'1 datos preparados'!A956</f>
        <v/>
      </c>
      <c r="B963" s="5">
        <f>'1 datos preparados'!U956</f>
        <v/>
      </c>
      <c r="C963">
        <f>'1 datos preparados'!B956</f>
        <v/>
      </c>
      <c r="D963" s="7">
        <f>'1 datos preparados'!C956</f>
        <v/>
      </c>
      <c r="E963" s="7">
        <f>'1 datos preparados'!D956</f>
        <v/>
      </c>
      <c r="F963" s="7">
        <f>'1 datos preparados'!E956</f>
        <v/>
      </c>
      <c r="G963" s="7">
        <f>'1 datos preparados'!F956</f>
        <v/>
      </c>
      <c r="H963" s="7">
        <f>'1 datos preparados'!G956</f>
        <v/>
      </c>
      <c r="I963" s="7">
        <f>'1 datos preparados'!H956</f>
        <v/>
      </c>
      <c r="J963" s="7">
        <f>'1 datos preparados'!I956</f>
        <v/>
      </c>
      <c r="K963" s="7">
        <f>'1 datos preparados'!J956</f>
        <v/>
      </c>
      <c r="L963" s="7">
        <f>'1 datos preparados'!K956</f>
        <v/>
      </c>
      <c r="M963" s="7">
        <f>'1 datos preparados'!L956</f>
        <v/>
      </c>
      <c r="N963" s="7">
        <f>'1 datos preparados'!M956</f>
        <v/>
      </c>
      <c r="O963" s="7">
        <f>'1 datos preparados'!N956</f>
        <v/>
      </c>
      <c r="P963" s="7">
        <f>'1 datos preparados'!O956</f>
        <v/>
      </c>
      <c r="Q963" s="7">
        <f>'1 datos preparados'!P956</f>
        <v/>
      </c>
      <c r="R963" s="7">
        <f>'1 datos preparados'!Q956</f>
        <v/>
      </c>
      <c r="S963" s="7">
        <f>'1 datos preparados'!R956</f>
        <v/>
      </c>
      <c r="T963" s="7">
        <f>'1 datos preparados'!S956</f>
        <v/>
      </c>
      <c r="U963" s="7">
        <f>'1 datos preparados'!T956</f>
        <v/>
      </c>
      <c r="V963" s="8">
        <f>$AE$12+D963*$AE$13+E963*$AE$14+F963*$AE$15+G963*$AE$16+H963*$AE$17+I963*$AE$18+J963*$AE$19+K963*$AE$20+L963*$AE$21+M963*$AE$22+N963*$AE$23+O963*$AE$24+P963*$AE$25+Q963*$AE$26+R963*$AE$27+S963*$AE$28+T963*$AE$29+U963*$AE$30</f>
        <v/>
      </c>
      <c r="W963" s="8">
        <f>1/(1+EXP(-V963))</f>
        <v/>
      </c>
      <c r="X963" s="9">
        <f>-IF(C963=1,LN(W963),LN(1-W963))</f>
        <v/>
      </c>
      <c r="Y963" s="8">
        <f>'1 datos preparados'!V956</f>
        <v/>
      </c>
      <c r="Z963" s="9">
        <f>Y963*X963</f>
        <v/>
      </c>
      <c r="AA963" s="10">
        <f>IF(W963&gt;$AE$33,1,0)</f>
        <v/>
      </c>
      <c r="AB963">
        <f>IF(AA963=C963,1,0)</f>
        <v/>
      </c>
    </row>
    <row r="964">
      <c r="A964">
        <f>'1 datos preparados'!A957</f>
        <v/>
      </c>
      <c r="B964" s="5">
        <f>'1 datos preparados'!U957</f>
        <v/>
      </c>
      <c r="C964">
        <f>'1 datos preparados'!B957</f>
        <v/>
      </c>
      <c r="D964" s="7">
        <f>'1 datos preparados'!C957</f>
        <v/>
      </c>
      <c r="E964" s="7">
        <f>'1 datos preparados'!D957</f>
        <v/>
      </c>
      <c r="F964" s="7">
        <f>'1 datos preparados'!E957</f>
        <v/>
      </c>
      <c r="G964" s="7">
        <f>'1 datos preparados'!F957</f>
        <v/>
      </c>
      <c r="H964" s="7">
        <f>'1 datos preparados'!G957</f>
        <v/>
      </c>
      <c r="I964" s="7">
        <f>'1 datos preparados'!H957</f>
        <v/>
      </c>
      <c r="J964" s="7">
        <f>'1 datos preparados'!I957</f>
        <v/>
      </c>
      <c r="K964" s="7">
        <f>'1 datos preparados'!J957</f>
        <v/>
      </c>
      <c r="L964" s="7">
        <f>'1 datos preparados'!K957</f>
        <v/>
      </c>
      <c r="M964" s="7">
        <f>'1 datos preparados'!L957</f>
        <v/>
      </c>
      <c r="N964" s="7">
        <f>'1 datos preparados'!M957</f>
        <v/>
      </c>
      <c r="O964" s="7">
        <f>'1 datos preparados'!N957</f>
        <v/>
      </c>
      <c r="P964" s="7">
        <f>'1 datos preparados'!O957</f>
        <v/>
      </c>
      <c r="Q964" s="7">
        <f>'1 datos preparados'!P957</f>
        <v/>
      </c>
      <c r="R964" s="7">
        <f>'1 datos preparados'!Q957</f>
        <v/>
      </c>
      <c r="S964" s="7">
        <f>'1 datos preparados'!R957</f>
        <v/>
      </c>
      <c r="T964" s="7">
        <f>'1 datos preparados'!S957</f>
        <v/>
      </c>
      <c r="U964" s="7">
        <f>'1 datos preparados'!T957</f>
        <v/>
      </c>
      <c r="V964" s="8">
        <f>$AE$12+D964*$AE$13+E964*$AE$14+F964*$AE$15+G964*$AE$16+H964*$AE$17+I964*$AE$18+J964*$AE$19+K964*$AE$20+L964*$AE$21+M964*$AE$22+N964*$AE$23+O964*$AE$24+P964*$AE$25+Q964*$AE$26+R964*$AE$27+S964*$AE$28+T964*$AE$29+U964*$AE$30</f>
        <v/>
      </c>
      <c r="W964" s="8">
        <f>1/(1+EXP(-V964))</f>
        <v/>
      </c>
      <c r="X964" s="9">
        <f>-IF(C964=1,LN(W964),LN(1-W964))</f>
        <v/>
      </c>
      <c r="Y964" s="8">
        <f>'1 datos preparados'!V957</f>
        <v/>
      </c>
      <c r="Z964" s="9">
        <f>Y964*X964</f>
        <v/>
      </c>
      <c r="AA964" s="10">
        <f>IF(W964&gt;$AE$33,1,0)</f>
        <v/>
      </c>
      <c r="AB964">
        <f>IF(AA964=C964,1,0)</f>
        <v/>
      </c>
    </row>
    <row r="965">
      <c r="A965">
        <f>'1 datos preparados'!A958</f>
        <v/>
      </c>
      <c r="B965" s="5">
        <f>'1 datos preparados'!U958</f>
        <v/>
      </c>
      <c r="C965">
        <f>'1 datos preparados'!B958</f>
        <v/>
      </c>
      <c r="D965" s="7">
        <f>'1 datos preparados'!C958</f>
        <v/>
      </c>
      <c r="E965" s="7">
        <f>'1 datos preparados'!D958</f>
        <v/>
      </c>
      <c r="F965" s="7">
        <f>'1 datos preparados'!E958</f>
        <v/>
      </c>
      <c r="G965" s="7">
        <f>'1 datos preparados'!F958</f>
        <v/>
      </c>
      <c r="H965" s="7">
        <f>'1 datos preparados'!G958</f>
        <v/>
      </c>
      <c r="I965" s="7">
        <f>'1 datos preparados'!H958</f>
        <v/>
      </c>
      <c r="J965" s="7">
        <f>'1 datos preparados'!I958</f>
        <v/>
      </c>
      <c r="K965" s="7">
        <f>'1 datos preparados'!J958</f>
        <v/>
      </c>
      <c r="L965" s="7">
        <f>'1 datos preparados'!K958</f>
        <v/>
      </c>
      <c r="M965" s="7">
        <f>'1 datos preparados'!L958</f>
        <v/>
      </c>
      <c r="N965" s="7">
        <f>'1 datos preparados'!M958</f>
        <v/>
      </c>
      <c r="O965" s="7">
        <f>'1 datos preparados'!N958</f>
        <v/>
      </c>
      <c r="P965" s="7">
        <f>'1 datos preparados'!O958</f>
        <v/>
      </c>
      <c r="Q965" s="7">
        <f>'1 datos preparados'!P958</f>
        <v/>
      </c>
      <c r="R965" s="7">
        <f>'1 datos preparados'!Q958</f>
        <v/>
      </c>
      <c r="S965" s="7">
        <f>'1 datos preparados'!R958</f>
        <v/>
      </c>
      <c r="T965" s="7">
        <f>'1 datos preparados'!S958</f>
        <v/>
      </c>
      <c r="U965" s="7">
        <f>'1 datos preparados'!T958</f>
        <v/>
      </c>
      <c r="V965" s="8">
        <f>$AE$12+D965*$AE$13+E965*$AE$14+F965*$AE$15+G965*$AE$16+H965*$AE$17+I965*$AE$18+J965*$AE$19+K965*$AE$20+L965*$AE$21+M965*$AE$22+N965*$AE$23+O965*$AE$24+P965*$AE$25+Q965*$AE$26+R965*$AE$27+S965*$AE$28+T965*$AE$29+U965*$AE$30</f>
        <v/>
      </c>
      <c r="W965" s="8">
        <f>1/(1+EXP(-V965))</f>
        <v/>
      </c>
      <c r="X965" s="9">
        <f>-IF(C965=1,LN(W965),LN(1-W965))</f>
        <v/>
      </c>
      <c r="Y965" s="8">
        <f>'1 datos preparados'!V958</f>
        <v/>
      </c>
      <c r="Z965" s="9">
        <f>Y965*X965</f>
        <v/>
      </c>
      <c r="AA965" s="10">
        <f>IF(W965&gt;$AE$33,1,0)</f>
        <v/>
      </c>
      <c r="AB965">
        <f>IF(AA965=C965,1,0)</f>
        <v/>
      </c>
    </row>
    <row r="966">
      <c r="A966">
        <f>'1 datos preparados'!A959</f>
        <v/>
      </c>
      <c r="B966" s="5">
        <f>'1 datos preparados'!U959</f>
        <v/>
      </c>
      <c r="C966">
        <f>'1 datos preparados'!B959</f>
        <v/>
      </c>
      <c r="D966" s="7">
        <f>'1 datos preparados'!C959</f>
        <v/>
      </c>
      <c r="E966" s="7">
        <f>'1 datos preparados'!D959</f>
        <v/>
      </c>
      <c r="F966" s="7">
        <f>'1 datos preparados'!E959</f>
        <v/>
      </c>
      <c r="G966" s="7">
        <f>'1 datos preparados'!F959</f>
        <v/>
      </c>
      <c r="H966" s="7">
        <f>'1 datos preparados'!G959</f>
        <v/>
      </c>
      <c r="I966" s="7">
        <f>'1 datos preparados'!H959</f>
        <v/>
      </c>
      <c r="J966" s="7">
        <f>'1 datos preparados'!I959</f>
        <v/>
      </c>
      <c r="K966" s="7">
        <f>'1 datos preparados'!J959</f>
        <v/>
      </c>
      <c r="L966" s="7">
        <f>'1 datos preparados'!K959</f>
        <v/>
      </c>
      <c r="M966" s="7">
        <f>'1 datos preparados'!L959</f>
        <v/>
      </c>
      <c r="N966" s="7">
        <f>'1 datos preparados'!M959</f>
        <v/>
      </c>
      <c r="O966" s="7">
        <f>'1 datos preparados'!N959</f>
        <v/>
      </c>
      <c r="P966" s="7">
        <f>'1 datos preparados'!O959</f>
        <v/>
      </c>
      <c r="Q966" s="7">
        <f>'1 datos preparados'!P959</f>
        <v/>
      </c>
      <c r="R966" s="7">
        <f>'1 datos preparados'!Q959</f>
        <v/>
      </c>
      <c r="S966" s="7">
        <f>'1 datos preparados'!R959</f>
        <v/>
      </c>
      <c r="T966" s="7">
        <f>'1 datos preparados'!S959</f>
        <v/>
      </c>
      <c r="U966" s="7">
        <f>'1 datos preparados'!T959</f>
        <v/>
      </c>
      <c r="V966" s="8">
        <f>$AE$12+D966*$AE$13+E966*$AE$14+F966*$AE$15+G966*$AE$16+H966*$AE$17+I966*$AE$18+J966*$AE$19+K966*$AE$20+L966*$AE$21+M966*$AE$22+N966*$AE$23+O966*$AE$24+P966*$AE$25+Q966*$AE$26+R966*$AE$27+S966*$AE$28+T966*$AE$29+U966*$AE$30</f>
        <v/>
      </c>
      <c r="W966" s="8">
        <f>1/(1+EXP(-V966))</f>
        <v/>
      </c>
      <c r="X966" s="9">
        <f>-IF(C966=1,LN(W966),LN(1-W966))</f>
        <v/>
      </c>
      <c r="Y966" s="8">
        <f>'1 datos preparados'!V959</f>
        <v/>
      </c>
      <c r="Z966" s="9">
        <f>Y966*X966</f>
        <v/>
      </c>
      <c r="AA966" s="10">
        <f>IF(W966&gt;$AE$33,1,0)</f>
        <v/>
      </c>
      <c r="AB966">
        <f>IF(AA966=C966,1,0)</f>
        <v/>
      </c>
    </row>
    <row r="967">
      <c r="A967">
        <f>'1 datos preparados'!A960</f>
        <v/>
      </c>
      <c r="B967" s="5">
        <f>'1 datos preparados'!U960</f>
        <v/>
      </c>
      <c r="C967">
        <f>'1 datos preparados'!B960</f>
        <v/>
      </c>
      <c r="D967" s="7">
        <f>'1 datos preparados'!C960</f>
        <v/>
      </c>
      <c r="E967" s="7">
        <f>'1 datos preparados'!D960</f>
        <v/>
      </c>
      <c r="F967" s="7">
        <f>'1 datos preparados'!E960</f>
        <v/>
      </c>
      <c r="G967" s="7">
        <f>'1 datos preparados'!F960</f>
        <v/>
      </c>
      <c r="H967" s="7">
        <f>'1 datos preparados'!G960</f>
        <v/>
      </c>
      <c r="I967" s="7">
        <f>'1 datos preparados'!H960</f>
        <v/>
      </c>
      <c r="J967" s="7">
        <f>'1 datos preparados'!I960</f>
        <v/>
      </c>
      <c r="K967" s="7">
        <f>'1 datos preparados'!J960</f>
        <v/>
      </c>
      <c r="L967" s="7">
        <f>'1 datos preparados'!K960</f>
        <v/>
      </c>
      <c r="M967" s="7">
        <f>'1 datos preparados'!L960</f>
        <v/>
      </c>
      <c r="N967" s="7">
        <f>'1 datos preparados'!M960</f>
        <v/>
      </c>
      <c r="O967" s="7">
        <f>'1 datos preparados'!N960</f>
        <v/>
      </c>
      <c r="P967" s="7">
        <f>'1 datos preparados'!O960</f>
        <v/>
      </c>
      <c r="Q967" s="7">
        <f>'1 datos preparados'!P960</f>
        <v/>
      </c>
      <c r="R967" s="7">
        <f>'1 datos preparados'!Q960</f>
        <v/>
      </c>
      <c r="S967" s="7">
        <f>'1 datos preparados'!R960</f>
        <v/>
      </c>
      <c r="T967" s="7">
        <f>'1 datos preparados'!S960</f>
        <v/>
      </c>
      <c r="U967" s="7">
        <f>'1 datos preparados'!T960</f>
        <v/>
      </c>
      <c r="V967" s="8">
        <f>$AE$12+D967*$AE$13+E967*$AE$14+F967*$AE$15+G967*$AE$16+H967*$AE$17+I967*$AE$18+J967*$AE$19+K967*$AE$20+L967*$AE$21+M967*$AE$22+N967*$AE$23+O967*$AE$24+P967*$AE$25+Q967*$AE$26+R967*$AE$27+S967*$AE$28+T967*$AE$29+U967*$AE$30</f>
        <v/>
      </c>
      <c r="W967" s="8">
        <f>1/(1+EXP(-V967))</f>
        <v/>
      </c>
      <c r="X967" s="9">
        <f>-IF(C967=1,LN(W967),LN(1-W967))</f>
        <v/>
      </c>
      <c r="Y967" s="8">
        <f>'1 datos preparados'!V960</f>
        <v/>
      </c>
      <c r="Z967" s="9">
        <f>Y967*X967</f>
        <v/>
      </c>
      <c r="AA967" s="10">
        <f>IF(W967&gt;$AE$33,1,0)</f>
        <v/>
      </c>
      <c r="AB967">
        <f>IF(AA967=C967,1,0)</f>
        <v/>
      </c>
    </row>
    <row r="968">
      <c r="A968">
        <f>'1 datos preparados'!A961</f>
        <v/>
      </c>
      <c r="B968" s="5">
        <f>'1 datos preparados'!U961</f>
        <v/>
      </c>
      <c r="C968">
        <f>'1 datos preparados'!B961</f>
        <v/>
      </c>
      <c r="D968" s="7">
        <f>'1 datos preparados'!C961</f>
        <v/>
      </c>
      <c r="E968" s="7">
        <f>'1 datos preparados'!D961</f>
        <v/>
      </c>
      <c r="F968" s="7">
        <f>'1 datos preparados'!E961</f>
        <v/>
      </c>
      <c r="G968" s="7">
        <f>'1 datos preparados'!F961</f>
        <v/>
      </c>
      <c r="H968" s="7">
        <f>'1 datos preparados'!G961</f>
        <v/>
      </c>
      <c r="I968" s="7">
        <f>'1 datos preparados'!H961</f>
        <v/>
      </c>
      <c r="J968" s="7">
        <f>'1 datos preparados'!I961</f>
        <v/>
      </c>
      <c r="K968" s="7">
        <f>'1 datos preparados'!J961</f>
        <v/>
      </c>
      <c r="L968" s="7">
        <f>'1 datos preparados'!K961</f>
        <v/>
      </c>
      <c r="M968" s="7">
        <f>'1 datos preparados'!L961</f>
        <v/>
      </c>
      <c r="N968" s="7">
        <f>'1 datos preparados'!M961</f>
        <v/>
      </c>
      <c r="O968" s="7">
        <f>'1 datos preparados'!N961</f>
        <v/>
      </c>
      <c r="P968" s="7">
        <f>'1 datos preparados'!O961</f>
        <v/>
      </c>
      <c r="Q968" s="7">
        <f>'1 datos preparados'!P961</f>
        <v/>
      </c>
      <c r="R968" s="7">
        <f>'1 datos preparados'!Q961</f>
        <v/>
      </c>
      <c r="S968" s="7">
        <f>'1 datos preparados'!R961</f>
        <v/>
      </c>
      <c r="T968" s="7">
        <f>'1 datos preparados'!S961</f>
        <v/>
      </c>
      <c r="U968" s="7">
        <f>'1 datos preparados'!T961</f>
        <v/>
      </c>
      <c r="V968" s="8">
        <f>$AE$12+D968*$AE$13+E968*$AE$14+F968*$AE$15+G968*$AE$16+H968*$AE$17+I968*$AE$18+J968*$AE$19+K968*$AE$20+L968*$AE$21+M968*$AE$22+N968*$AE$23+O968*$AE$24+P968*$AE$25+Q968*$AE$26+R968*$AE$27+S968*$AE$28+T968*$AE$29+U968*$AE$30</f>
        <v/>
      </c>
      <c r="W968" s="8">
        <f>1/(1+EXP(-V968))</f>
        <v/>
      </c>
      <c r="X968" s="9">
        <f>-IF(C968=1,LN(W968),LN(1-W968))</f>
        <v/>
      </c>
      <c r="Y968" s="8">
        <f>'1 datos preparados'!V961</f>
        <v/>
      </c>
      <c r="Z968" s="9">
        <f>Y968*X968</f>
        <v/>
      </c>
      <c r="AA968" s="10">
        <f>IF(W968&gt;$AE$33,1,0)</f>
        <v/>
      </c>
      <c r="AB968">
        <f>IF(AA968=C968,1,0)</f>
        <v/>
      </c>
    </row>
    <row r="969">
      <c r="A969">
        <f>'1 datos preparados'!A962</f>
        <v/>
      </c>
      <c r="B969" s="5">
        <f>'1 datos preparados'!U962</f>
        <v/>
      </c>
      <c r="C969">
        <f>'1 datos preparados'!B962</f>
        <v/>
      </c>
      <c r="D969" s="7">
        <f>'1 datos preparados'!C962</f>
        <v/>
      </c>
      <c r="E969" s="7">
        <f>'1 datos preparados'!D962</f>
        <v/>
      </c>
      <c r="F969" s="7">
        <f>'1 datos preparados'!E962</f>
        <v/>
      </c>
      <c r="G969" s="7">
        <f>'1 datos preparados'!F962</f>
        <v/>
      </c>
      <c r="H969" s="7">
        <f>'1 datos preparados'!G962</f>
        <v/>
      </c>
      <c r="I969" s="7">
        <f>'1 datos preparados'!H962</f>
        <v/>
      </c>
      <c r="J969" s="7">
        <f>'1 datos preparados'!I962</f>
        <v/>
      </c>
      <c r="K969" s="7">
        <f>'1 datos preparados'!J962</f>
        <v/>
      </c>
      <c r="L969" s="7">
        <f>'1 datos preparados'!K962</f>
        <v/>
      </c>
      <c r="M969" s="7">
        <f>'1 datos preparados'!L962</f>
        <v/>
      </c>
      <c r="N969" s="7">
        <f>'1 datos preparados'!M962</f>
        <v/>
      </c>
      <c r="O969" s="7">
        <f>'1 datos preparados'!N962</f>
        <v/>
      </c>
      <c r="P969" s="7">
        <f>'1 datos preparados'!O962</f>
        <v/>
      </c>
      <c r="Q969" s="7">
        <f>'1 datos preparados'!P962</f>
        <v/>
      </c>
      <c r="R969" s="7">
        <f>'1 datos preparados'!Q962</f>
        <v/>
      </c>
      <c r="S969" s="7">
        <f>'1 datos preparados'!R962</f>
        <v/>
      </c>
      <c r="T969" s="7">
        <f>'1 datos preparados'!S962</f>
        <v/>
      </c>
      <c r="U969" s="7">
        <f>'1 datos preparados'!T962</f>
        <v/>
      </c>
      <c r="V969" s="8">
        <f>$AE$12+D969*$AE$13+E969*$AE$14+F969*$AE$15+G969*$AE$16+H969*$AE$17+I969*$AE$18+J969*$AE$19+K969*$AE$20+L969*$AE$21+M969*$AE$22+N969*$AE$23+O969*$AE$24+P969*$AE$25+Q969*$AE$26+R969*$AE$27+S969*$AE$28+T969*$AE$29+U969*$AE$30</f>
        <v/>
      </c>
      <c r="W969" s="8">
        <f>1/(1+EXP(-V969))</f>
        <v/>
      </c>
      <c r="X969" s="9">
        <f>-IF(C969=1,LN(W969),LN(1-W969))</f>
        <v/>
      </c>
      <c r="Y969" s="8">
        <f>'1 datos preparados'!V962</f>
        <v/>
      </c>
      <c r="Z969" s="9">
        <f>Y969*X969</f>
        <v/>
      </c>
      <c r="AA969" s="10">
        <f>IF(W969&gt;$AE$33,1,0)</f>
        <v/>
      </c>
      <c r="AB969">
        <f>IF(AA969=C969,1,0)</f>
        <v/>
      </c>
    </row>
    <row r="970">
      <c r="A970">
        <f>'1 datos preparados'!A963</f>
        <v/>
      </c>
      <c r="B970" s="5">
        <f>'1 datos preparados'!U963</f>
        <v/>
      </c>
      <c r="C970">
        <f>'1 datos preparados'!B963</f>
        <v/>
      </c>
      <c r="D970" s="7">
        <f>'1 datos preparados'!C963</f>
        <v/>
      </c>
      <c r="E970" s="7">
        <f>'1 datos preparados'!D963</f>
        <v/>
      </c>
      <c r="F970" s="7">
        <f>'1 datos preparados'!E963</f>
        <v/>
      </c>
      <c r="G970" s="7">
        <f>'1 datos preparados'!F963</f>
        <v/>
      </c>
      <c r="H970" s="7">
        <f>'1 datos preparados'!G963</f>
        <v/>
      </c>
      <c r="I970" s="7">
        <f>'1 datos preparados'!H963</f>
        <v/>
      </c>
      <c r="J970" s="7">
        <f>'1 datos preparados'!I963</f>
        <v/>
      </c>
      <c r="K970" s="7">
        <f>'1 datos preparados'!J963</f>
        <v/>
      </c>
      <c r="L970" s="7">
        <f>'1 datos preparados'!K963</f>
        <v/>
      </c>
      <c r="M970" s="7">
        <f>'1 datos preparados'!L963</f>
        <v/>
      </c>
      <c r="N970" s="7">
        <f>'1 datos preparados'!M963</f>
        <v/>
      </c>
      <c r="O970" s="7">
        <f>'1 datos preparados'!N963</f>
        <v/>
      </c>
      <c r="P970" s="7">
        <f>'1 datos preparados'!O963</f>
        <v/>
      </c>
      <c r="Q970" s="7">
        <f>'1 datos preparados'!P963</f>
        <v/>
      </c>
      <c r="R970" s="7">
        <f>'1 datos preparados'!Q963</f>
        <v/>
      </c>
      <c r="S970" s="7">
        <f>'1 datos preparados'!R963</f>
        <v/>
      </c>
      <c r="T970" s="7">
        <f>'1 datos preparados'!S963</f>
        <v/>
      </c>
      <c r="U970" s="7">
        <f>'1 datos preparados'!T963</f>
        <v/>
      </c>
      <c r="V970" s="8">
        <f>$AE$12+D970*$AE$13+E970*$AE$14+F970*$AE$15+G970*$AE$16+H970*$AE$17+I970*$AE$18+J970*$AE$19+K970*$AE$20+L970*$AE$21+M970*$AE$22+N970*$AE$23+O970*$AE$24+P970*$AE$25+Q970*$AE$26+R970*$AE$27+S970*$AE$28+T970*$AE$29+U970*$AE$30</f>
        <v/>
      </c>
      <c r="W970" s="8">
        <f>1/(1+EXP(-V970))</f>
        <v/>
      </c>
      <c r="X970" s="9">
        <f>-IF(C970=1,LN(W970),LN(1-W970))</f>
        <v/>
      </c>
      <c r="Y970" s="8">
        <f>'1 datos preparados'!V963</f>
        <v/>
      </c>
      <c r="Z970" s="9">
        <f>Y970*X970</f>
        <v/>
      </c>
      <c r="AA970" s="10">
        <f>IF(W970&gt;$AE$33,1,0)</f>
        <v/>
      </c>
      <c r="AB970">
        <f>IF(AA970=C970,1,0)</f>
        <v/>
      </c>
    </row>
    <row r="971">
      <c r="A971">
        <f>'1 datos preparados'!A964</f>
        <v/>
      </c>
      <c r="B971" s="5">
        <f>'1 datos preparados'!U964</f>
        <v/>
      </c>
      <c r="C971">
        <f>'1 datos preparados'!B964</f>
        <v/>
      </c>
      <c r="D971" s="7">
        <f>'1 datos preparados'!C964</f>
        <v/>
      </c>
      <c r="E971" s="7">
        <f>'1 datos preparados'!D964</f>
        <v/>
      </c>
      <c r="F971" s="7">
        <f>'1 datos preparados'!E964</f>
        <v/>
      </c>
      <c r="G971" s="7">
        <f>'1 datos preparados'!F964</f>
        <v/>
      </c>
      <c r="H971" s="7">
        <f>'1 datos preparados'!G964</f>
        <v/>
      </c>
      <c r="I971" s="7">
        <f>'1 datos preparados'!H964</f>
        <v/>
      </c>
      <c r="J971" s="7">
        <f>'1 datos preparados'!I964</f>
        <v/>
      </c>
      <c r="K971" s="7">
        <f>'1 datos preparados'!J964</f>
        <v/>
      </c>
      <c r="L971" s="7">
        <f>'1 datos preparados'!K964</f>
        <v/>
      </c>
      <c r="M971" s="7">
        <f>'1 datos preparados'!L964</f>
        <v/>
      </c>
      <c r="N971" s="7">
        <f>'1 datos preparados'!M964</f>
        <v/>
      </c>
      <c r="O971" s="7">
        <f>'1 datos preparados'!N964</f>
        <v/>
      </c>
      <c r="P971" s="7">
        <f>'1 datos preparados'!O964</f>
        <v/>
      </c>
      <c r="Q971" s="7">
        <f>'1 datos preparados'!P964</f>
        <v/>
      </c>
      <c r="R971" s="7">
        <f>'1 datos preparados'!Q964</f>
        <v/>
      </c>
      <c r="S971" s="7">
        <f>'1 datos preparados'!R964</f>
        <v/>
      </c>
      <c r="T971" s="7">
        <f>'1 datos preparados'!S964</f>
        <v/>
      </c>
      <c r="U971" s="7">
        <f>'1 datos preparados'!T964</f>
        <v/>
      </c>
      <c r="V971" s="8">
        <f>$AE$12+D971*$AE$13+E971*$AE$14+F971*$AE$15+G971*$AE$16+H971*$AE$17+I971*$AE$18+J971*$AE$19+K971*$AE$20+L971*$AE$21+M971*$AE$22+N971*$AE$23+O971*$AE$24+P971*$AE$25+Q971*$AE$26+R971*$AE$27+S971*$AE$28+T971*$AE$29+U971*$AE$30</f>
        <v/>
      </c>
      <c r="W971" s="8">
        <f>1/(1+EXP(-V971))</f>
        <v/>
      </c>
      <c r="X971" s="9">
        <f>-IF(C971=1,LN(W971),LN(1-W971))</f>
        <v/>
      </c>
      <c r="Y971" s="8">
        <f>'1 datos preparados'!V964</f>
        <v/>
      </c>
      <c r="Z971" s="9">
        <f>Y971*X971</f>
        <v/>
      </c>
      <c r="AA971" s="10">
        <f>IF(W971&gt;$AE$33,1,0)</f>
        <v/>
      </c>
      <c r="AB971">
        <f>IF(AA971=C971,1,0)</f>
        <v/>
      </c>
    </row>
    <row r="972">
      <c r="A972">
        <f>'1 datos preparados'!A965</f>
        <v/>
      </c>
      <c r="B972" s="5">
        <f>'1 datos preparados'!U965</f>
        <v/>
      </c>
      <c r="C972">
        <f>'1 datos preparados'!B965</f>
        <v/>
      </c>
      <c r="D972" s="7">
        <f>'1 datos preparados'!C965</f>
        <v/>
      </c>
      <c r="E972" s="7">
        <f>'1 datos preparados'!D965</f>
        <v/>
      </c>
      <c r="F972" s="7">
        <f>'1 datos preparados'!E965</f>
        <v/>
      </c>
      <c r="G972" s="7">
        <f>'1 datos preparados'!F965</f>
        <v/>
      </c>
      <c r="H972" s="7">
        <f>'1 datos preparados'!G965</f>
        <v/>
      </c>
      <c r="I972" s="7">
        <f>'1 datos preparados'!H965</f>
        <v/>
      </c>
      <c r="J972" s="7">
        <f>'1 datos preparados'!I965</f>
        <v/>
      </c>
      <c r="K972" s="7">
        <f>'1 datos preparados'!J965</f>
        <v/>
      </c>
      <c r="L972" s="7">
        <f>'1 datos preparados'!K965</f>
        <v/>
      </c>
      <c r="M972" s="7">
        <f>'1 datos preparados'!L965</f>
        <v/>
      </c>
      <c r="N972" s="7">
        <f>'1 datos preparados'!M965</f>
        <v/>
      </c>
      <c r="O972" s="7">
        <f>'1 datos preparados'!N965</f>
        <v/>
      </c>
      <c r="P972" s="7">
        <f>'1 datos preparados'!O965</f>
        <v/>
      </c>
      <c r="Q972" s="7">
        <f>'1 datos preparados'!P965</f>
        <v/>
      </c>
      <c r="R972" s="7">
        <f>'1 datos preparados'!Q965</f>
        <v/>
      </c>
      <c r="S972" s="7">
        <f>'1 datos preparados'!R965</f>
        <v/>
      </c>
      <c r="T972" s="7">
        <f>'1 datos preparados'!S965</f>
        <v/>
      </c>
      <c r="U972" s="7">
        <f>'1 datos preparados'!T965</f>
        <v/>
      </c>
      <c r="V972" s="8">
        <f>$AE$12+D972*$AE$13+E972*$AE$14+F972*$AE$15+G972*$AE$16+H972*$AE$17+I972*$AE$18+J972*$AE$19+K972*$AE$20+L972*$AE$21+M972*$AE$22+N972*$AE$23+O972*$AE$24+P972*$AE$25+Q972*$AE$26+R972*$AE$27+S972*$AE$28+T972*$AE$29+U972*$AE$30</f>
        <v/>
      </c>
      <c r="W972" s="8">
        <f>1/(1+EXP(-V972))</f>
        <v/>
      </c>
      <c r="X972" s="9">
        <f>-IF(C972=1,LN(W972),LN(1-W972))</f>
        <v/>
      </c>
      <c r="Y972" s="8">
        <f>'1 datos preparados'!V965</f>
        <v/>
      </c>
      <c r="Z972" s="9">
        <f>Y972*X972</f>
        <v/>
      </c>
      <c r="AA972" s="10">
        <f>IF(W972&gt;$AE$33,1,0)</f>
        <v/>
      </c>
      <c r="AB972">
        <f>IF(AA972=C972,1,0)</f>
        <v/>
      </c>
    </row>
    <row r="973">
      <c r="A973">
        <f>'1 datos preparados'!A966</f>
        <v/>
      </c>
      <c r="B973" s="5">
        <f>'1 datos preparados'!U966</f>
        <v/>
      </c>
      <c r="C973">
        <f>'1 datos preparados'!B966</f>
        <v/>
      </c>
      <c r="D973" s="7">
        <f>'1 datos preparados'!C966</f>
        <v/>
      </c>
      <c r="E973" s="7">
        <f>'1 datos preparados'!D966</f>
        <v/>
      </c>
      <c r="F973" s="7">
        <f>'1 datos preparados'!E966</f>
        <v/>
      </c>
      <c r="G973" s="7">
        <f>'1 datos preparados'!F966</f>
        <v/>
      </c>
      <c r="H973" s="7">
        <f>'1 datos preparados'!G966</f>
        <v/>
      </c>
      <c r="I973" s="7">
        <f>'1 datos preparados'!H966</f>
        <v/>
      </c>
      <c r="J973" s="7">
        <f>'1 datos preparados'!I966</f>
        <v/>
      </c>
      <c r="K973" s="7">
        <f>'1 datos preparados'!J966</f>
        <v/>
      </c>
      <c r="L973" s="7">
        <f>'1 datos preparados'!K966</f>
        <v/>
      </c>
      <c r="M973" s="7">
        <f>'1 datos preparados'!L966</f>
        <v/>
      </c>
      <c r="N973" s="7">
        <f>'1 datos preparados'!M966</f>
        <v/>
      </c>
      <c r="O973" s="7">
        <f>'1 datos preparados'!N966</f>
        <v/>
      </c>
      <c r="P973" s="7">
        <f>'1 datos preparados'!O966</f>
        <v/>
      </c>
      <c r="Q973" s="7">
        <f>'1 datos preparados'!P966</f>
        <v/>
      </c>
      <c r="R973" s="7">
        <f>'1 datos preparados'!Q966</f>
        <v/>
      </c>
      <c r="S973" s="7">
        <f>'1 datos preparados'!R966</f>
        <v/>
      </c>
      <c r="T973" s="7">
        <f>'1 datos preparados'!S966</f>
        <v/>
      </c>
      <c r="U973" s="7">
        <f>'1 datos preparados'!T966</f>
        <v/>
      </c>
      <c r="V973" s="8">
        <f>$AE$12+D973*$AE$13+E973*$AE$14+F973*$AE$15+G973*$AE$16+H973*$AE$17+I973*$AE$18+J973*$AE$19+K973*$AE$20+L973*$AE$21+M973*$AE$22+N973*$AE$23+O973*$AE$24+P973*$AE$25+Q973*$AE$26+R973*$AE$27+S973*$AE$28+T973*$AE$29+U973*$AE$30</f>
        <v/>
      </c>
      <c r="W973" s="8">
        <f>1/(1+EXP(-V973))</f>
        <v/>
      </c>
      <c r="X973" s="9">
        <f>-IF(C973=1,LN(W973),LN(1-W973))</f>
        <v/>
      </c>
      <c r="Y973" s="8">
        <f>'1 datos preparados'!V966</f>
        <v/>
      </c>
      <c r="Z973" s="9">
        <f>Y973*X973</f>
        <v/>
      </c>
      <c r="AA973" s="10">
        <f>IF(W973&gt;$AE$33,1,0)</f>
        <v/>
      </c>
      <c r="AB973">
        <f>IF(AA973=C973,1,0)</f>
        <v/>
      </c>
    </row>
    <row r="974">
      <c r="A974">
        <f>'1 datos preparados'!A967</f>
        <v/>
      </c>
      <c r="B974" s="5">
        <f>'1 datos preparados'!U967</f>
        <v/>
      </c>
      <c r="C974">
        <f>'1 datos preparados'!B967</f>
        <v/>
      </c>
      <c r="D974" s="7">
        <f>'1 datos preparados'!C967</f>
        <v/>
      </c>
      <c r="E974" s="7">
        <f>'1 datos preparados'!D967</f>
        <v/>
      </c>
      <c r="F974" s="7">
        <f>'1 datos preparados'!E967</f>
        <v/>
      </c>
      <c r="G974" s="7">
        <f>'1 datos preparados'!F967</f>
        <v/>
      </c>
      <c r="H974" s="7">
        <f>'1 datos preparados'!G967</f>
        <v/>
      </c>
      <c r="I974" s="7">
        <f>'1 datos preparados'!H967</f>
        <v/>
      </c>
      <c r="J974" s="7">
        <f>'1 datos preparados'!I967</f>
        <v/>
      </c>
      <c r="K974" s="7">
        <f>'1 datos preparados'!J967</f>
        <v/>
      </c>
      <c r="L974" s="7">
        <f>'1 datos preparados'!K967</f>
        <v/>
      </c>
      <c r="M974" s="7">
        <f>'1 datos preparados'!L967</f>
        <v/>
      </c>
      <c r="N974" s="7">
        <f>'1 datos preparados'!M967</f>
        <v/>
      </c>
      <c r="O974" s="7">
        <f>'1 datos preparados'!N967</f>
        <v/>
      </c>
      <c r="P974" s="7">
        <f>'1 datos preparados'!O967</f>
        <v/>
      </c>
      <c r="Q974" s="7">
        <f>'1 datos preparados'!P967</f>
        <v/>
      </c>
      <c r="R974" s="7">
        <f>'1 datos preparados'!Q967</f>
        <v/>
      </c>
      <c r="S974" s="7">
        <f>'1 datos preparados'!R967</f>
        <v/>
      </c>
      <c r="T974" s="7">
        <f>'1 datos preparados'!S967</f>
        <v/>
      </c>
      <c r="U974" s="7">
        <f>'1 datos preparados'!T967</f>
        <v/>
      </c>
      <c r="V974" s="8">
        <f>$AE$12+D974*$AE$13+E974*$AE$14+F974*$AE$15+G974*$AE$16+H974*$AE$17+I974*$AE$18+J974*$AE$19+K974*$AE$20+L974*$AE$21+M974*$AE$22+N974*$AE$23+O974*$AE$24+P974*$AE$25+Q974*$AE$26+R974*$AE$27+S974*$AE$28+T974*$AE$29+U974*$AE$30</f>
        <v/>
      </c>
      <c r="W974" s="8">
        <f>1/(1+EXP(-V974))</f>
        <v/>
      </c>
      <c r="X974" s="9">
        <f>-IF(C974=1,LN(W974),LN(1-W974))</f>
        <v/>
      </c>
      <c r="Y974" s="8">
        <f>'1 datos preparados'!V967</f>
        <v/>
      </c>
      <c r="Z974" s="9">
        <f>Y974*X974</f>
        <v/>
      </c>
      <c r="AA974" s="10">
        <f>IF(W974&gt;$AE$33,1,0)</f>
        <v/>
      </c>
      <c r="AB974">
        <f>IF(AA974=C974,1,0)</f>
        <v/>
      </c>
    </row>
    <row r="975">
      <c r="A975">
        <f>'1 datos preparados'!A968</f>
        <v/>
      </c>
      <c r="B975" s="5">
        <f>'1 datos preparados'!U968</f>
        <v/>
      </c>
      <c r="C975">
        <f>'1 datos preparados'!B968</f>
        <v/>
      </c>
      <c r="D975" s="7">
        <f>'1 datos preparados'!C968</f>
        <v/>
      </c>
      <c r="E975" s="7">
        <f>'1 datos preparados'!D968</f>
        <v/>
      </c>
      <c r="F975" s="7">
        <f>'1 datos preparados'!E968</f>
        <v/>
      </c>
      <c r="G975" s="7">
        <f>'1 datos preparados'!F968</f>
        <v/>
      </c>
      <c r="H975" s="7">
        <f>'1 datos preparados'!G968</f>
        <v/>
      </c>
      <c r="I975" s="7">
        <f>'1 datos preparados'!H968</f>
        <v/>
      </c>
      <c r="J975" s="7">
        <f>'1 datos preparados'!I968</f>
        <v/>
      </c>
      <c r="K975" s="7">
        <f>'1 datos preparados'!J968</f>
        <v/>
      </c>
      <c r="L975" s="7">
        <f>'1 datos preparados'!K968</f>
        <v/>
      </c>
      <c r="M975" s="7">
        <f>'1 datos preparados'!L968</f>
        <v/>
      </c>
      <c r="N975" s="7">
        <f>'1 datos preparados'!M968</f>
        <v/>
      </c>
      <c r="O975" s="7">
        <f>'1 datos preparados'!N968</f>
        <v/>
      </c>
      <c r="P975" s="7">
        <f>'1 datos preparados'!O968</f>
        <v/>
      </c>
      <c r="Q975" s="7">
        <f>'1 datos preparados'!P968</f>
        <v/>
      </c>
      <c r="R975" s="7">
        <f>'1 datos preparados'!Q968</f>
        <v/>
      </c>
      <c r="S975" s="7">
        <f>'1 datos preparados'!R968</f>
        <v/>
      </c>
      <c r="T975" s="7">
        <f>'1 datos preparados'!S968</f>
        <v/>
      </c>
      <c r="U975" s="7">
        <f>'1 datos preparados'!T968</f>
        <v/>
      </c>
      <c r="V975" s="8">
        <f>$AE$12+D975*$AE$13+E975*$AE$14+F975*$AE$15+G975*$AE$16+H975*$AE$17+I975*$AE$18+J975*$AE$19+K975*$AE$20+L975*$AE$21+M975*$AE$22+N975*$AE$23+O975*$AE$24+P975*$AE$25+Q975*$AE$26+R975*$AE$27+S975*$AE$28+T975*$AE$29+U975*$AE$30</f>
        <v/>
      </c>
      <c r="W975" s="8">
        <f>1/(1+EXP(-V975))</f>
        <v/>
      </c>
      <c r="X975" s="9">
        <f>-IF(C975=1,LN(W975),LN(1-W975))</f>
        <v/>
      </c>
      <c r="Y975" s="8">
        <f>'1 datos preparados'!V968</f>
        <v/>
      </c>
      <c r="Z975" s="9">
        <f>Y975*X975</f>
        <v/>
      </c>
      <c r="AA975" s="10">
        <f>IF(W975&gt;$AE$33,1,0)</f>
        <v/>
      </c>
      <c r="AB975">
        <f>IF(AA975=C975,1,0)</f>
        <v/>
      </c>
    </row>
    <row r="976">
      <c r="A976">
        <f>'1 datos preparados'!A969</f>
        <v/>
      </c>
      <c r="B976" s="5">
        <f>'1 datos preparados'!U969</f>
        <v/>
      </c>
      <c r="C976">
        <f>'1 datos preparados'!B969</f>
        <v/>
      </c>
      <c r="D976" s="7">
        <f>'1 datos preparados'!C969</f>
        <v/>
      </c>
      <c r="E976" s="7">
        <f>'1 datos preparados'!D969</f>
        <v/>
      </c>
      <c r="F976" s="7">
        <f>'1 datos preparados'!E969</f>
        <v/>
      </c>
      <c r="G976" s="7">
        <f>'1 datos preparados'!F969</f>
        <v/>
      </c>
      <c r="H976" s="7">
        <f>'1 datos preparados'!G969</f>
        <v/>
      </c>
      <c r="I976" s="7">
        <f>'1 datos preparados'!H969</f>
        <v/>
      </c>
      <c r="J976" s="7">
        <f>'1 datos preparados'!I969</f>
        <v/>
      </c>
      <c r="K976" s="7">
        <f>'1 datos preparados'!J969</f>
        <v/>
      </c>
      <c r="L976" s="7">
        <f>'1 datos preparados'!K969</f>
        <v/>
      </c>
      <c r="M976" s="7">
        <f>'1 datos preparados'!L969</f>
        <v/>
      </c>
      <c r="N976" s="7">
        <f>'1 datos preparados'!M969</f>
        <v/>
      </c>
      <c r="O976" s="7">
        <f>'1 datos preparados'!N969</f>
        <v/>
      </c>
      <c r="P976" s="7">
        <f>'1 datos preparados'!O969</f>
        <v/>
      </c>
      <c r="Q976" s="7">
        <f>'1 datos preparados'!P969</f>
        <v/>
      </c>
      <c r="R976" s="7">
        <f>'1 datos preparados'!Q969</f>
        <v/>
      </c>
      <c r="S976" s="7">
        <f>'1 datos preparados'!R969</f>
        <v/>
      </c>
      <c r="T976" s="7">
        <f>'1 datos preparados'!S969</f>
        <v/>
      </c>
      <c r="U976" s="7">
        <f>'1 datos preparados'!T969</f>
        <v/>
      </c>
      <c r="V976" s="8">
        <f>$AE$12+D976*$AE$13+E976*$AE$14+F976*$AE$15+G976*$AE$16+H976*$AE$17+I976*$AE$18+J976*$AE$19+K976*$AE$20+L976*$AE$21+M976*$AE$22+N976*$AE$23+O976*$AE$24+P976*$AE$25+Q976*$AE$26+R976*$AE$27+S976*$AE$28+T976*$AE$29+U976*$AE$30</f>
        <v/>
      </c>
      <c r="W976" s="8">
        <f>1/(1+EXP(-V976))</f>
        <v/>
      </c>
      <c r="X976" s="9">
        <f>-IF(C976=1,LN(W976),LN(1-W976))</f>
        <v/>
      </c>
      <c r="Y976" s="8">
        <f>'1 datos preparados'!V969</f>
        <v/>
      </c>
      <c r="Z976" s="9">
        <f>Y976*X976</f>
        <v/>
      </c>
      <c r="AA976" s="10">
        <f>IF(W976&gt;$AE$33,1,0)</f>
        <v/>
      </c>
      <c r="AB976">
        <f>IF(AA976=C976,1,0)</f>
        <v/>
      </c>
    </row>
    <row r="977">
      <c r="A977">
        <f>'1 datos preparados'!A970</f>
        <v/>
      </c>
      <c r="B977" s="5">
        <f>'1 datos preparados'!U970</f>
        <v/>
      </c>
      <c r="C977">
        <f>'1 datos preparados'!B970</f>
        <v/>
      </c>
      <c r="D977" s="7">
        <f>'1 datos preparados'!C970</f>
        <v/>
      </c>
      <c r="E977" s="7">
        <f>'1 datos preparados'!D970</f>
        <v/>
      </c>
      <c r="F977" s="7">
        <f>'1 datos preparados'!E970</f>
        <v/>
      </c>
      <c r="G977" s="7">
        <f>'1 datos preparados'!F970</f>
        <v/>
      </c>
      <c r="H977" s="7">
        <f>'1 datos preparados'!G970</f>
        <v/>
      </c>
      <c r="I977" s="7">
        <f>'1 datos preparados'!H970</f>
        <v/>
      </c>
      <c r="J977" s="7">
        <f>'1 datos preparados'!I970</f>
        <v/>
      </c>
      <c r="K977" s="7">
        <f>'1 datos preparados'!J970</f>
        <v/>
      </c>
      <c r="L977" s="7">
        <f>'1 datos preparados'!K970</f>
        <v/>
      </c>
      <c r="M977" s="7">
        <f>'1 datos preparados'!L970</f>
        <v/>
      </c>
      <c r="N977" s="7">
        <f>'1 datos preparados'!M970</f>
        <v/>
      </c>
      <c r="O977" s="7">
        <f>'1 datos preparados'!N970</f>
        <v/>
      </c>
      <c r="P977" s="7">
        <f>'1 datos preparados'!O970</f>
        <v/>
      </c>
      <c r="Q977" s="7">
        <f>'1 datos preparados'!P970</f>
        <v/>
      </c>
      <c r="R977" s="7">
        <f>'1 datos preparados'!Q970</f>
        <v/>
      </c>
      <c r="S977" s="7">
        <f>'1 datos preparados'!R970</f>
        <v/>
      </c>
      <c r="T977" s="7">
        <f>'1 datos preparados'!S970</f>
        <v/>
      </c>
      <c r="U977" s="7">
        <f>'1 datos preparados'!T970</f>
        <v/>
      </c>
      <c r="V977" s="8">
        <f>$AE$12+D977*$AE$13+E977*$AE$14+F977*$AE$15+G977*$AE$16+H977*$AE$17+I977*$AE$18+J977*$AE$19+K977*$AE$20+L977*$AE$21+M977*$AE$22+N977*$AE$23+O977*$AE$24+P977*$AE$25+Q977*$AE$26+R977*$AE$27+S977*$AE$28+T977*$AE$29+U977*$AE$30</f>
        <v/>
      </c>
      <c r="W977" s="8">
        <f>1/(1+EXP(-V977))</f>
        <v/>
      </c>
      <c r="X977" s="9">
        <f>-IF(C977=1,LN(W977),LN(1-W977))</f>
        <v/>
      </c>
      <c r="Y977" s="8">
        <f>'1 datos preparados'!V970</f>
        <v/>
      </c>
      <c r="Z977" s="9">
        <f>Y977*X977</f>
        <v/>
      </c>
      <c r="AA977" s="10">
        <f>IF(W977&gt;$AE$33,1,0)</f>
        <v/>
      </c>
      <c r="AB977">
        <f>IF(AA977=C977,1,0)</f>
        <v/>
      </c>
    </row>
    <row r="978">
      <c r="A978">
        <f>'1 datos preparados'!A971</f>
        <v/>
      </c>
      <c r="B978" s="5">
        <f>'1 datos preparados'!U971</f>
        <v/>
      </c>
      <c r="C978">
        <f>'1 datos preparados'!B971</f>
        <v/>
      </c>
      <c r="D978" s="7">
        <f>'1 datos preparados'!C971</f>
        <v/>
      </c>
      <c r="E978" s="7">
        <f>'1 datos preparados'!D971</f>
        <v/>
      </c>
      <c r="F978" s="7">
        <f>'1 datos preparados'!E971</f>
        <v/>
      </c>
      <c r="G978" s="7">
        <f>'1 datos preparados'!F971</f>
        <v/>
      </c>
      <c r="H978" s="7">
        <f>'1 datos preparados'!G971</f>
        <v/>
      </c>
      <c r="I978" s="7">
        <f>'1 datos preparados'!H971</f>
        <v/>
      </c>
      <c r="J978" s="7">
        <f>'1 datos preparados'!I971</f>
        <v/>
      </c>
      <c r="K978" s="7">
        <f>'1 datos preparados'!J971</f>
        <v/>
      </c>
      <c r="L978" s="7">
        <f>'1 datos preparados'!K971</f>
        <v/>
      </c>
      <c r="M978" s="7">
        <f>'1 datos preparados'!L971</f>
        <v/>
      </c>
      <c r="N978" s="7">
        <f>'1 datos preparados'!M971</f>
        <v/>
      </c>
      <c r="O978" s="7">
        <f>'1 datos preparados'!N971</f>
        <v/>
      </c>
      <c r="P978" s="7">
        <f>'1 datos preparados'!O971</f>
        <v/>
      </c>
      <c r="Q978" s="7">
        <f>'1 datos preparados'!P971</f>
        <v/>
      </c>
      <c r="R978" s="7">
        <f>'1 datos preparados'!Q971</f>
        <v/>
      </c>
      <c r="S978" s="7">
        <f>'1 datos preparados'!R971</f>
        <v/>
      </c>
      <c r="T978" s="7">
        <f>'1 datos preparados'!S971</f>
        <v/>
      </c>
      <c r="U978" s="7">
        <f>'1 datos preparados'!T971</f>
        <v/>
      </c>
      <c r="V978" s="8">
        <f>$AE$12+D978*$AE$13+E978*$AE$14+F978*$AE$15+G978*$AE$16+H978*$AE$17+I978*$AE$18+J978*$AE$19+K978*$AE$20+L978*$AE$21+M978*$AE$22+N978*$AE$23+O978*$AE$24+P978*$AE$25+Q978*$AE$26+R978*$AE$27+S978*$AE$28+T978*$AE$29+U978*$AE$30</f>
        <v/>
      </c>
      <c r="W978" s="8">
        <f>1/(1+EXP(-V978))</f>
        <v/>
      </c>
      <c r="X978" s="9">
        <f>-IF(C978=1,LN(W978),LN(1-W978))</f>
        <v/>
      </c>
      <c r="Y978" s="8">
        <f>'1 datos preparados'!V971</f>
        <v/>
      </c>
      <c r="Z978" s="9">
        <f>Y978*X978</f>
        <v/>
      </c>
      <c r="AA978" s="10">
        <f>IF(W978&gt;$AE$33,1,0)</f>
        <v/>
      </c>
      <c r="AB978">
        <f>IF(AA978=C978,1,0)</f>
        <v/>
      </c>
    </row>
    <row r="979">
      <c r="A979">
        <f>'1 datos preparados'!A972</f>
        <v/>
      </c>
      <c r="B979" s="5">
        <f>'1 datos preparados'!U972</f>
        <v/>
      </c>
      <c r="C979">
        <f>'1 datos preparados'!B972</f>
        <v/>
      </c>
      <c r="D979" s="7">
        <f>'1 datos preparados'!C972</f>
        <v/>
      </c>
      <c r="E979" s="7">
        <f>'1 datos preparados'!D972</f>
        <v/>
      </c>
      <c r="F979" s="7">
        <f>'1 datos preparados'!E972</f>
        <v/>
      </c>
      <c r="G979" s="7">
        <f>'1 datos preparados'!F972</f>
        <v/>
      </c>
      <c r="H979" s="7">
        <f>'1 datos preparados'!G972</f>
        <v/>
      </c>
      <c r="I979" s="7">
        <f>'1 datos preparados'!H972</f>
        <v/>
      </c>
      <c r="J979" s="7">
        <f>'1 datos preparados'!I972</f>
        <v/>
      </c>
      <c r="K979" s="7">
        <f>'1 datos preparados'!J972</f>
        <v/>
      </c>
      <c r="L979" s="7">
        <f>'1 datos preparados'!K972</f>
        <v/>
      </c>
      <c r="M979" s="7">
        <f>'1 datos preparados'!L972</f>
        <v/>
      </c>
      <c r="N979" s="7">
        <f>'1 datos preparados'!M972</f>
        <v/>
      </c>
      <c r="O979" s="7">
        <f>'1 datos preparados'!N972</f>
        <v/>
      </c>
      <c r="P979" s="7">
        <f>'1 datos preparados'!O972</f>
        <v/>
      </c>
      <c r="Q979" s="7">
        <f>'1 datos preparados'!P972</f>
        <v/>
      </c>
      <c r="R979" s="7">
        <f>'1 datos preparados'!Q972</f>
        <v/>
      </c>
      <c r="S979" s="7">
        <f>'1 datos preparados'!R972</f>
        <v/>
      </c>
      <c r="T979" s="7">
        <f>'1 datos preparados'!S972</f>
        <v/>
      </c>
      <c r="U979" s="7">
        <f>'1 datos preparados'!T972</f>
        <v/>
      </c>
      <c r="V979" s="8">
        <f>$AE$12+D979*$AE$13+E979*$AE$14+F979*$AE$15+G979*$AE$16+H979*$AE$17+I979*$AE$18+J979*$AE$19+K979*$AE$20+L979*$AE$21+M979*$AE$22+N979*$AE$23+O979*$AE$24+P979*$AE$25+Q979*$AE$26+R979*$AE$27+S979*$AE$28+T979*$AE$29+U979*$AE$30</f>
        <v/>
      </c>
      <c r="W979" s="8">
        <f>1/(1+EXP(-V979))</f>
        <v/>
      </c>
      <c r="X979" s="9">
        <f>-IF(C979=1,LN(W979),LN(1-W979))</f>
        <v/>
      </c>
      <c r="Y979" s="8">
        <f>'1 datos preparados'!V972</f>
        <v/>
      </c>
      <c r="Z979" s="9">
        <f>Y979*X979</f>
        <v/>
      </c>
      <c r="AA979" s="10">
        <f>IF(W979&gt;$AE$33,1,0)</f>
        <v/>
      </c>
      <c r="AB979">
        <f>IF(AA979=C979,1,0)</f>
        <v/>
      </c>
    </row>
    <row r="980">
      <c r="A980">
        <f>'1 datos preparados'!A973</f>
        <v/>
      </c>
      <c r="B980" s="5">
        <f>'1 datos preparados'!U973</f>
        <v/>
      </c>
      <c r="C980">
        <f>'1 datos preparados'!B973</f>
        <v/>
      </c>
      <c r="D980" s="7">
        <f>'1 datos preparados'!C973</f>
        <v/>
      </c>
      <c r="E980" s="7">
        <f>'1 datos preparados'!D973</f>
        <v/>
      </c>
      <c r="F980" s="7">
        <f>'1 datos preparados'!E973</f>
        <v/>
      </c>
      <c r="G980" s="7">
        <f>'1 datos preparados'!F973</f>
        <v/>
      </c>
      <c r="H980" s="7">
        <f>'1 datos preparados'!G973</f>
        <v/>
      </c>
      <c r="I980" s="7">
        <f>'1 datos preparados'!H973</f>
        <v/>
      </c>
      <c r="J980" s="7">
        <f>'1 datos preparados'!I973</f>
        <v/>
      </c>
      <c r="K980" s="7">
        <f>'1 datos preparados'!J973</f>
        <v/>
      </c>
      <c r="L980" s="7">
        <f>'1 datos preparados'!K973</f>
        <v/>
      </c>
      <c r="M980" s="7">
        <f>'1 datos preparados'!L973</f>
        <v/>
      </c>
      <c r="N980" s="7">
        <f>'1 datos preparados'!M973</f>
        <v/>
      </c>
      <c r="O980" s="7">
        <f>'1 datos preparados'!N973</f>
        <v/>
      </c>
      <c r="P980" s="7">
        <f>'1 datos preparados'!O973</f>
        <v/>
      </c>
      <c r="Q980" s="7">
        <f>'1 datos preparados'!P973</f>
        <v/>
      </c>
      <c r="R980" s="7">
        <f>'1 datos preparados'!Q973</f>
        <v/>
      </c>
      <c r="S980" s="7">
        <f>'1 datos preparados'!R973</f>
        <v/>
      </c>
      <c r="T980" s="7">
        <f>'1 datos preparados'!S973</f>
        <v/>
      </c>
      <c r="U980" s="7">
        <f>'1 datos preparados'!T973</f>
        <v/>
      </c>
      <c r="V980" s="8">
        <f>$AE$12+D980*$AE$13+E980*$AE$14+F980*$AE$15+G980*$AE$16+H980*$AE$17+I980*$AE$18+J980*$AE$19+K980*$AE$20+L980*$AE$21+M980*$AE$22+N980*$AE$23+O980*$AE$24+P980*$AE$25+Q980*$AE$26+R980*$AE$27+S980*$AE$28+T980*$AE$29+U980*$AE$30</f>
        <v/>
      </c>
      <c r="W980" s="8">
        <f>1/(1+EXP(-V980))</f>
        <v/>
      </c>
      <c r="X980" s="9">
        <f>-IF(C980=1,LN(W980),LN(1-W980))</f>
        <v/>
      </c>
      <c r="Y980" s="8">
        <f>'1 datos preparados'!V973</f>
        <v/>
      </c>
      <c r="Z980" s="9">
        <f>Y980*X980</f>
        <v/>
      </c>
      <c r="AA980" s="10">
        <f>IF(W980&gt;$AE$33,1,0)</f>
        <v/>
      </c>
      <c r="AB980">
        <f>IF(AA980=C980,1,0)</f>
        <v/>
      </c>
    </row>
    <row r="981">
      <c r="A981">
        <f>'1 datos preparados'!A974</f>
        <v/>
      </c>
      <c r="B981" s="5">
        <f>'1 datos preparados'!U974</f>
        <v/>
      </c>
      <c r="C981">
        <f>'1 datos preparados'!B974</f>
        <v/>
      </c>
      <c r="D981" s="7">
        <f>'1 datos preparados'!C974</f>
        <v/>
      </c>
      <c r="E981" s="7">
        <f>'1 datos preparados'!D974</f>
        <v/>
      </c>
      <c r="F981" s="7">
        <f>'1 datos preparados'!E974</f>
        <v/>
      </c>
      <c r="G981" s="7">
        <f>'1 datos preparados'!F974</f>
        <v/>
      </c>
      <c r="H981" s="7">
        <f>'1 datos preparados'!G974</f>
        <v/>
      </c>
      <c r="I981" s="7">
        <f>'1 datos preparados'!H974</f>
        <v/>
      </c>
      <c r="J981" s="7">
        <f>'1 datos preparados'!I974</f>
        <v/>
      </c>
      <c r="K981" s="7">
        <f>'1 datos preparados'!J974</f>
        <v/>
      </c>
      <c r="L981" s="7">
        <f>'1 datos preparados'!K974</f>
        <v/>
      </c>
      <c r="M981" s="7">
        <f>'1 datos preparados'!L974</f>
        <v/>
      </c>
      <c r="N981" s="7">
        <f>'1 datos preparados'!M974</f>
        <v/>
      </c>
      <c r="O981" s="7">
        <f>'1 datos preparados'!N974</f>
        <v/>
      </c>
      <c r="P981" s="7">
        <f>'1 datos preparados'!O974</f>
        <v/>
      </c>
      <c r="Q981" s="7">
        <f>'1 datos preparados'!P974</f>
        <v/>
      </c>
      <c r="R981" s="7">
        <f>'1 datos preparados'!Q974</f>
        <v/>
      </c>
      <c r="S981" s="7">
        <f>'1 datos preparados'!R974</f>
        <v/>
      </c>
      <c r="T981" s="7">
        <f>'1 datos preparados'!S974</f>
        <v/>
      </c>
      <c r="U981" s="7">
        <f>'1 datos preparados'!T974</f>
        <v/>
      </c>
      <c r="V981" s="8">
        <f>$AE$12+D981*$AE$13+E981*$AE$14+F981*$AE$15+G981*$AE$16+H981*$AE$17+I981*$AE$18+J981*$AE$19+K981*$AE$20+L981*$AE$21+M981*$AE$22+N981*$AE$23+O981*$AE$24+P981*$AE$25+Q981*$AE$26+R981*$AE$27+S981*$AE$28+T981*$AE$29+U981*$AE$30</f>
        <v/>
      </c>
      <c r="W981" s="8">
        <f>1/(1+EXP(-V981))</f>
        <v/>
      </c>
      <c r="X981" s="9">
        <f>-IF(C981=1,LN(W981),LN(1-W981))</f>
        <v/>
      </c>
      <c r="Y981" s="8">
        <f>'1 datos preparados'!V974</f>
        <v/>
      </c>
      <c r="Z981" s="9">
        <f>Y981*X981</f>
        <v/>
      </c>
      <c r="AA981" s="10">
        <f>IF(W981&gt;$AE$33,1,0)</f>
        <v/>
      </c>
      <c r="AB981">
        <f>IF(AA981=C981,1,0)</f>
        <v/>
      </c>
    </row>
    <row r="982">
      <c r="A982">
        <f>'1 datos preparados'!A975</f>
        <v/>
      </c>
      <c r="B982" s="5">
        <f>'1 datos preparados'!U975</f>
        <v/>
      </c>
      <c r="C982">
        <f>'1 datos preparados'!B975</f>
        <v/>
      </c>
      <c r="D982" s="7">
        <f>'1 datos preparados'!C975</f>
        <v/>
      </c>
      <c r="E982" s="7">
        <f>'1 datos preparados'!D975</f>
        <v/>
      </c>
      <c r="F982" s="7">
        <f>'1 datos preparados'!E975</f>
        <v/>
      </c>
      <c r="G982" s="7">
        <f>'1 datos preparados'!F975</f>
        <v/>
      </c>
      <c r="H982" s="7">
        <f>'1 datos preparados'!G975</f>
        <v/>
      </c>
      <c r="I982" s="7">
        <f>'1 datos preparados'!H975</f>
        <v/>
      </c>
      <c r="J982" s="7">
        <f>'1 datos preparados'!I975</f>
        <v/>
      </c>
      <c r="K982" s="7">
        <f>'1 datos preparados'!J975</f>
        <v/>
      </c>
      <c r="L982" s="7">
        <f>'1 datos preparados'!K975</f>
        <v/>
      </c>
      <c r="M982" s="7">
        <f>'1 datos preparados'!L975</f>
        <v/>
      </c>
      <c r="N982" s="7">
        <f>'1 datos preparados'!M975</f>
        <v/>
      </c>
      <c r="O982" s="7">
        <f>'1 datos preparados'!N975</f>
        <v/>
      </c>
      <c r="P982" s="7">
        <f>'1 datos preparados'!O975</f>
        <v/>
      </c>
      <c r="Q982" s="7">
        <f>'1 datos preparados'!P975</f>
        <v/>
      </c>
      <c r="R982" s="7">
        <f>'1 datos preparados'!Q975</f>
        <v/>
      </c>
      <c r="S982" s="7">
        <f>'1 datos preparados'!R975</f>
        <v/>
      </c>
      <c r="T982" s="7">
        <f>'1 datos preparados'!S975</f>
        <v/>
      </c>
      <c r="U982" s="7">
        <f>'1 datos preparados'!T975</f>
        <v/>
      </c>
      <c r="V982" s="8">
        <f>$AE$12+D982*$AE$13+E982*$AE$14+F982*$AE$15+G982*$AE$16+H982*$AE$17+I982*$AE$18+J982*$AE$19+K982*$AE$20+L982*$AE$21+M982*$AE$22+N982*$AE$23+O982*$AE$24+P982*$AE$25+Q982*$AE$26+R982*$AE$27+S982*$AE$28+T982*$AE$29+U982*$AE$30</f>
        <v/>
      </c>
      <c r="W982" s="8">
        <f>1/(1+EXP(-V982))</f>
        <v/>
      </c>
      <c r="X982" s="9">
        <f>-IF(C982=1,LN(W982),LN(1-W982))</f>
        <v/>
      </c>
      <c r="Y982" s="8">
        <f>'1 datos preparados'!V975</f>
        <v/>
      </c>
      <c r="Z982" s="9">
        <f>Y982*X982</f>
        <v/>
      </c>
      <c r="AA982" s="10">
        <f>IF(W982&gt;$AE$33,1,0)</f>
        <v/>
      </c>
      <c r="AB982">
        <f>IF(AA982=C982,1,0)</f>
        <v/>
      </c>
    </row>
    <row r="983">
      <c r="A983">
        <f>'1 datos preparados'!A976</f>
        <v/>
      </c>
      <c r="B983" s="5">
        <f>'1 datos preparados'!U976</f>
        <v/>
      </c>
      <c r="C983">
        <f>'1 datos preparados'!B976</f>
        <v/>
      </c>
      <c r="D983" s="7">
        <f>'1 datos preparados'!C976</f>
        <v/>
      </c>
      <c r="E983" s="7">
        <f>'1 datos preparados'!D976</f>
        <v/>
      </c>
      <c r="F983" s="7">
        <f>'1 datos preparados'!E976</f>
        <v/>
      </c>
      <c r="G983" s="7">
        <f>'1 datos preparados'!F976</f>
        <v/>
      </c>
      <c r="H983" s="7">
        <f>'1 datos preparados'!G976</f>
        <v/>
      </c>
      <c r="I983" s="7">
        <f>'1 datos preparados'!H976</f>
        <v/>
      </c>
      <c r="J983" s="7">
        <f>'1 datos preparados'!I976</f>
        <v/>
      </c>
      <c r="K983" s="7">
        <f>'1 datos preparados'!J976</f>
        <v/>
      </c>
      <c r="L983" s="7">
        <f>'1 datos preparados'!K976</f>
        <v/>
      </c>
      <c r="M983" s="7">
        <f>'1 datos preparados'!L976</f>
        <v/>
      </c>
      <c r="N983" s="7">
        <f>'1 datos preparados'!M976</f>
        <v/>
      </c>
      <c r="O983" s="7">
        <f>'1 datos preparados'!N976</f>
        <v/>
      </c>
      <c r="P983" s="7">
        <f>'1 datos preparados'!O976</f>
        <v/>
      </c>
      <c r="Q983" s="7">
        <f>'1 datos preparados'!P976</f>
        <v/>
      </c>
      <c r="R983" s="7">
        <f>'1 datos preparados'!Q976</f>
        <v/>
      </c>
      <c r="S983" s="7">
        <f>'1 datos preparados'!R976</f>
        <v/>
      </c>
      <c r="T983" s="7">
        <f>'1 datos preparados'!S976</f>
        <v/>
      </c>
      <c r="U983" s="7">
        <f>'1 datos preparados'!T976</f>
        <v/>
      </c>
      <c r="V983" s="8">
        <f>$AE$12+D983*$AE$13+E983*$AE$14+F983*$AE$15+G983*$AE$16+H983*$AE$17+I983*$AE$18+J983*$AE$19+K983*$AE$20+L983*$AE$21+M983*$AE$22+N983*$AE$23+O983*$AE$24+P983*$AE$25+Q983*$AE$26+R983*$AE$27+S983*$AE$28+T983*$AE$29+U983*$AE$30</f>
        <v/>
      </c>
      <c r="W983" s="8">
        <f>1/(1+EXP(-V983))</f>
        <v/>
      </c>
      <c r="X983" s="9">
        <f>-IF(C983=1,LN(W983),LN(1-W983))</f>
        <v/>
      </c>
      <c r="Y983" s="8">
        <f>'1 datos preparados'!V976</f>
        <v/>
      </c>
      <c r="Z983" s="9">
        <f>Y983*X983</f>
        <v/>
      </c>
      <c r="AA983" s="10">
        <f>IF(W983&gt;$AE$33,1,0)</f>
        <v/>
      </c>
      <c r="AB983">
        <f>IF(AA983=C983,1,0)</f>
        <v/>
      </c>
    </row>
    <row r="984">
      <c r="A984">
        <f>'1 datos preparados'!A977</f>
        <v/>
      </c>
      <c r="B984" s="5">
        <f>'1 datos preparados'!U977</f>
        <v/>
      </c>
      <c r="C984">
        <f>'1 datos preparados'!B977</f>
        <v/>
      </c>
      <c r="D984" s="7">
        <f>'1 datos preparados'!C977</f>
        <v/>
      </c>
      <c r="E984" s="7">
        <f>'1 datos preparados'!D977</f>
        <v/>
      </c>
      <c r="F984" s="7">
        <f>'1 datos preparados'!E977</f>
        <v/>
      </c>
      <c r="G984" s="7">
        <f>'1 datos preparados'!F977</f>
        <v/>
      </c>
      <c r="H984" s="7">
        <f>'1 datos preparados'!G977</f>
        <v/>
      </c>
      <c r="I984" s="7">
        <f>'1 datos preparados'!H977</f>
        <v/>
      </c>
      <c r="J984" s="7">
        <f>'1 datos preparados'!I977</f>
        <v/>
      </c>
      <c r="K984" s="7">
        <f>'1 datos preparados'!J977</f>
        <v/>
      </c>
      <c r="L984" s="7">
        <f>'1 datos preparados'!K977</f>
        <v/>
      </c>
      <c r="M984" s="7">
        <f>'1 datos preparados'!L977</f>
        <v/>
      </c>
      <c r="N984" s="7">
        <f>'1 datos preparados'!M977</f>
        <v/>
      </c>
      <c r="O984" s="7">
        <f>'1 datos preparados'!N977</f>
        <v/>
      </c>
      <c r="P984" s="7">
        <f>'1 datos preparados'!O977</f>
        <v/>
      </c>
      <c r="Q984" s="7">
        <f>'1 datos preparados'!P977</f>
        <v/>
      </c>
      <c r="R984" s="7">
        <f>'1 datos preparados'!Q977</f>
        <v/>
      </c>
      <c r="S984" s="7">
        <f>'1 datos preparados'!R977</f>
        <v/>
      </c>
      <c r="T984" s="7">
        <f>'1 datos preparados'!S977</f>
        <v/>
      </c>
      <c r="U984" s="7">
        <f>'1 datos preparados'!T977</f>
        <v/>
      </c>
      <c r="V984" s="8">
        <f>$AE$12+D984*$AE$13+E984*$AE$14+F984*$AE$15+G984*$AE$16+H984*$AE$17+I984*$AE$18+J984*$AE$19+K984*$AE$20+L984*$AE$21+M984*$AE$22+N984*$AE$23+O984*$AE$24+P984*$AE$25+Q984*$AE$26+R984*$AE$27+S984*$AE$28+T984*$AE$29+U984*$AE$30</f>
        <v/>
      </c>
      <c r="W984" s="8">
        <f>1/(1+EXP(-V984))</f>
        <v/>
      </c>
      <c r="X984" s="9">
        <f>-IF(C984=1,LN(W984),LN(1-W984))</f>
        <v/>
      </c>
      <c r="Y984" s="8">
        <f>'1 datos preparados'!V977</f>
        <v/>
      </c>
      <c r="Z984" s="9">
        <f>Y984*X984</f>
        <v/>
      </c>
      <c r="AA984" s="10">
        <f>IF(W984&gt;$AE$33,1,0)</f>
        <v/>
      </c>
      <c r="AB984">
        <f>IF(AA984=C984,1,0)</f>
        <v/>
      </c>
    </row>
    <row r="985">
      <c r="A985">
        <f>'1 datos preparados'!A978</f>
        <v/>
      </c>
      <c r="B985" s="5">
        <f>'1 datos preparados'!U978</f>
        <v/>
      </c>
      <c r="C985">
        <f>'1 datos preparados'!B978</f>
        <v/>
      </c>
      <c r="D985" s="7">
        <f>'1 datos preparados'!C978</f>
        <v/>
      </c>
      <c r="E985" s="7">
        <f>'1 datos preparados'!D978</f>
        <v/>
      </c>
      <c r="F985" s="7">
        <f>'1 datos preparados'!E978</f>
        <v/>
      </c>
      <c r="G985" s="7">
        <f>'1 datos preparados'!F978</f>
        <v/>
      </c>
      <c r="H985" s="7">
        <f>'1 datos preparados'!G978</f>
        <v/>
      </c>
      <c r="I985" s="7">
        <f>'1 datos preparados'!H978</f>
        <v/>
      </c>
      <c r="J985" s="7">
        <f>'1 datos preparados'!I978</f>
        <v/>
      </c>
      <c r="K985" s="7">
        <f>'1 datos preparados'!J978</f>
        <v/>
      </c>
      <c r="L985" s="7">
        <f>'1 datos preparados'!K978</f>
        <v/>
      </c>
      <c r="M985" s="7">
        <f>'1 datos preparados'!L978</f>
        <v/>
      </c>
      <c r="N985" s="7">
        <f>'1 datos preparados'!M978</f>
        <v/>
      </c>
      <c r="O985" s="7">
        <f>'1 datos preparados'!N978</f>
        <v/>
      </c>
      <c r="P985" s="7">
        <f>'1 datos preparados'!O978</f>
        <v/>
      </c>
      <c r="Q985" s="7">
        <f>'1 datos preparados'!P978</f>
        <v/>
      </c>
      <c r="R985" s="7">
        <f>'1 datos preparados'!Q978</f>
        <v/>
      </c>
      <c r="S985" s="7">
        <f>'1 datos preparados'!R978</f>
        <v/>
      </c>
      <c r="T985" s="7">
        <f>'1 datos preparados'!S978</f>
        <v/>
      </c>
      <c r="U985" s="7">
        <f>'1 datos preparados'!T978</f>
        <v/>
      </c>
      <c r="V985" s="8">
        <f>$AE$12+D985*$AE$13+E985*$AE$14+F985*$AE$15+G985*$AE$16+H985*$AE$17+I985*$AE$18+J985*$AE$19+K985*$AE$20+L985*$AE$21+M985*$AE$22+N985*$AE$23+O985*$AE$24+P985*$AE$25+Q985*$AE$26+R985*$AE$27+S985*$AE$28+T985*$AE$29+U985*$AE$30</f>
        <v/>
      </c>
      <c r="W985" s="8">
        <f>1/(1+EXP(-V985))</f>
        <v/>
      </c>
      <c r="X985" s="9">
        <f>-IF(C985=1,LN(W985),LN(1-W985))</f>
        <v/>
      </c>
      <c r="Y985" s="8">
        <f>'1 datos preparados'!V978</f>
        <v/>
      </c>
      <c r="Z985" s="9">
        <f>Y985*X985</f>
        <v/>
      </c>
      <c r="AA985" s="10">
        <f>IF(W985&gt;$AE$33,1,0)</f>
        <v/>
      </c>
      <c r="AB985">
        <f>IF(AA985=C985,1,0)</f>
        <v/>
      </c>
    </row>
    <row r="986">
      <c r="A986">
        <f>'1 datos preparados'!A979</f>
        <v/>
      </c>
      <c r="B986" s="5">
        <f>'1 datos preparados'!U979</f>
        <v/>
      </c>
      <c r="C986">
        <f>'1 datos preparados'!B979</f>
        <v/>
      </c>
      <c r="D986" s="7">
        <f>'1 datos preparados'!C979</f>
        <v/>
      </c>
      <c r="E986" s="7">
        <f>'1 datos preparados'!D979</f>
        <v/>
      </c>
      <c r="F986" s="7">
        <f>'1 datos preparados'!E979</f>
        <v/>
      </c>
      <c r="G986" s="7">
        <f>'1 datos preparados'!F979</f>
        <v/>
      </c>
      <c r="H986" s="7">
        <f>'1 datos preparados'!G979</f>
        <v/>
      </c>
      <c r="I986" s="7">
        <f>'1 datos preparados'!H979</f>
        <v/>
      </c>
      <c r="J986" s="7">
        <f>'1 datos preparados'!I979</f>
        <v/>
      </c>
      <c r="K986" s="7">
        <f>'1 datos preparados'!J979</f>
        <v/>
      </c>
      <c r="L986" s="7">
        <f>'1 datos preparados'!K979</f>
        <v/>
      </c>
      <c r="M986" s="7">
        <f>'1 datos preparados'!L979</f>
        <v/>
      </c>
      <c r="N986" s="7">
        <f>'1 datos preparados'!M979</f>
        <v/>
      </c>
      <c r="O986" s="7">
        <f>'1 datos preparados'!N979</f>
        <v/>
      </c>
      <c r="P986" s="7">
        <f>'1 datos preparados'!O979</f>
        <v/>
      </c>
      <c r="Q986" s="7">
        <f>'1 datos preparados'!P979</f>
        <v/>
      </c>
      <c r="R986" s="7">
        <f>'1 datos preparados'!Q979</f>
        <v/>
      </c>
      <c r="S986" s="7">
        <f>'1 datos preparados'!R979</f>
        <v/>
      </c>
      <c r="T986" s="7">
        <f>'1 datos preparados'!S979</f>
        <v/>
      </c>
      <c r="U986" s="7">
        <f>'1 datos preparados'!T979</f>
        <v/>
      </c>
      <c r="V986" s="8">
        <f>$AE$12+D986*$AE$13+E986*$AE$14+F986*$AE$15+G986*$AE$16+H986*$AE$17+I986*$AE$18+J986*$AE$19+K986*$AE$20+L986*$AE$21+M986*$AE$22+N986*$AE$23+O986*$AE$24+P986*$AE$25+Q986*$AE$26+R986*$AE$27+S986*$AE$28+T986*$AE$29+U986*$AE$30</f>
        <v/>
      </c>
      <c r="W986" s="8">
        <f>1/(1+EXP(-V986))</f>
        <v/>
      </c>
      <c r="X986" s="9">
        <f>-IF(C986=1,LN(W986),LN(1-W986))</f>
        <v/>
      </c>
      <c r="Y986" s="8">
        <f>'1 datos preparados'!V979</f>
        <v/>
      </c>
      <c r="Z986" s="9">
        <f>Y986*X986</f>
        <v/>
      </c>
      <c r="AA986" s="10">
        <f>IF(W986&gt;$AE$33,1,0)</f>
        <v/>
      </c>
      <c r="AB986">
        <f>IF(AA986=C986,1,0)</f>
        <v/>
      </c>
    </row>
    <row r="987">
      <c r="A987">
        <f>'1 datos preparados'!A980</f>
        <v/>
      </c>
      <c r="B987" s="5">
        <f>'1 datos preparados'!U980</f>
        <v/>
      </c>
      <c r="C987">
        <f>'1 datos preparados'!B980</f>
        <v/>
      </c>
      <c r="D987" s="7">
        <f>'1 datos preparados'!C980</f>
        <v/>
      </c>
      <c r="E987" s="7">
        <f>'1 datos preparados'!D980</f>
        <v/>
      </c>
      <c r="F987" s="7">
        <f>'1 datos preparados'!E980</f>
        <v/>
      </c>
      <c r="G987" s="7">
        <f>'1 datos preparados'!F980</f>
        <v/>
      </c>
      <c r="H987" s="7">
        <f>'1 datos preparados'!G980</f>
        <v/>
      </c>
      <c r="I987" s="7">
        <f>'1 datos preparados'!H980</f>
        <v/>
      </c>
      <c r="J987" s="7">
        <f>'1 datos preparados'!I980</f>
        <v/>
      </c>
      <c r="K987" s="7">
        <f>'1 datos preparados'!J980</f>
        <v/>
      </c>
      <c r="L987" s="7">
        <f>'1 datos preparados'!K980</f>
        <v/>
      </c>
      <c r="M987" s="7">
        <f>'1 datos preparados'!L980</f>
        <v/>
      </c>
      <c r="N987" s="7">
        <f>'1 datos preparados'!M980</f>
        <v/>
      </c>
      <c r="O987" s="7">
        <f>'1 datos preparados'!N980</f>
        <v/>
      </c>
      <c r="P987" s="7">
        <f>'1 datos preparados'!O980</f>
        <v/>
      </c>
      <c r="Q987" s="7">
        <f>'1 datos preparados'!P980</f>
        <v/>
      </c>
      <c r="R987" s="7">
        <f>'1 datos preparados'!Q980</f>
        <v/>
      </c>
      <c r="S987" s="7">
        <f>'1 datos preparados'!R980</f>
        <v/>
      </c>
      <c r="T987" s="7">
        <f>'1 datos preparados'!S980</f>
        <v/>
      </c>
      <c r="U987" s="7">
        <f>'1 datos preparados'!T980</f>
        <v/>
      </c>
      <c r="V987" s="8">
        <f>$AE$12+D987*$AE$13+E987*$AE$14+F987*$AE$15+G987*$AE$16+H987*$AE$17+I987*$AE$18+J987*$AE$19+K987*$AE$20+L987*$AE$21+M987*$AE$22+N987*$AE$23+O987*$AE$24+P987*$AE$25+Q987*$AE$26+R987*$AE$27+S987*$AE$28+T987*$AE$29+U987*$AE$30</f>
        <v/>
      </c>
      <c r="W987" s="8">
        <f>1/(1+EXP(-V987))</f>
        <v/>
      </c>
      <c r="X987" s="9">
        <f>-IF(C987=1,LN(W987),LN(1-W987))</f>
        <v/>
      </c>
      <c r="Y987" s="8">
        <f>'1 datos preparados'!V980</f>
        <v/>
      </c>
      <c r="Z987" s="9">
        <f>Y987*X987</f>
        <v/>
      </c>
      <c r="AA987" s="10">
        <f>IF(W987&gt;$AE$33,1,0)</f>
        <v/>
      </c>
      <c r="AB987">
        <f>IF(AA987=C987,1,0)</f>
        <v/>
      </c>
    </row>
    <row r="988">
      <c r="A988">
        <f>'1 datos preparados'!A981</f>
        <v/>
      </c>
      <c r="B988" s="5">
        <f>'1 datos preparados'!U981</f>
        <v/>
      </c>
      <c r="C988">
        <f>'1 datos preparados'!B981</f>
        <v/>
      </c>
      <c r="D988" s="7">
        <f>'1 datos preparados'!C981</f>
        <v/>
      </c>
      <c r="E988" s="7">
        <f>'1 datos preparados'!D981</f>
        <v/>
      </c>
      <c r="F988" s="7">
        <f>'1 datos preparados'!E981</f>
        <v/>
      </c>
      <c r="G988" s="7">
        <f>'1 datos preparados'!F981</f>
        <v/>
      </c>
      <c r="H988" s="7">
        <f>'1 datos preparados'!G981</f>
        <v/>
      </c>
      <c r="I988" s="7">
        <f>'1 datos preparados'!H981</f>
        <v/>
      </c>
      <c r="J988" s="7">
        <f>'1 datos preparados'!I981</f>
        <v/>
      </c>
      <c r="K988" s="7">
        <f>'1 datos preparados'!J981</f>
        <v/>
      </c>
      <c r="L988" s="7">
        <f>'1 datos preparados'!K981</f>
        <v/>
      </c>
      <c r="M988" s="7">
        <f>'1 datos preparados'!L981</f>
        <v/>
      </c>
      <c r="N988" s="7">
        <f>'1 datos preparados'!M981</f>
        <v/>
      </c>
      <c r="O988" s="7">
        <f>'1 datos preparados'!N981</f>
        <v/>
      </c>
      <c r="P988" s="7">
        <f>'1 datos preparados'!O981</f>
        <v/>
      </c>
      <c r="Q988" s="7">
        <f>'1 datos preparados'!P981</f>
        <v/>
      </c>
      <c r="R988" s="7">
        <f>'1 datos preparados'!Q981</f>
        <v/>
      </c>
      <c r="S988" s="7">
        <f>'1 datos preparados'!R981</f>
        <v/>
      </c>
      <c r="T988" s="7">
        <f>'1 datos preparados'!S981</f>
        <v/>
      </c>
      <c r="U988" s="7">
        <f>'1 datos preparados'!T981</f>
        <v/>
      </c>
      <c r="V988" s="8">
        <f>$AE$12+D988*$AE$13+E988*$AE$14+F988*$AE$15+G988*$AE$16+H988*$AE$17+I988*$AE$18+J988*$AE$19+K988*$AE$20+L988*$AE$21+M988*$AE$22+N988*$AE$23+O988*$AE$24+P988*$AE$25+Q988*$AE$26+R988*$AE$27+S988*$AE$28+T988*$AE$29+U988*$AE$30</f>
        <v/>
      </c>
      <c r="W988" s="8">
        <f>1/(1+EXP(-V988))</f>
        <v/>
      </c>
      <c r="X988" s="9">
        <f>-IF(C988=1,LN(W988),LN(1-W988))</f>
        <v/>
      </c>
      <c r="Y988" s="8">
        <f>'1 datos preparados'!V981</f>
        <v/>
      </c>
      <c r="Z988" s="9">
        <f>Y988*X988</f>
        <v/>
      </c>
      <c r="AA988" s="10">
        <f>IF(W988&gt;$AE$33,1,0)</f>
        <v/>
      </c>
      <c r="AB988">
        <f>IF(AA988=C988,1,0)</f>
        <v/>
      </c>
    </row>
    <row r="989">
      <c r="A989">
        <f>'1 datos preparados'!A982</f>
        <v/>
      </c>
      <c r="B989" s="5">
        <f>'1 datos preparados'!U982</f>
        <v/>
      </c>
      <c r="C989">
        <f>'1 datos preparados'!B982</f>
        <v/>
      </c>
      <c r="D989" s="7">
        <f>'1 datos preparados'!C982</f>
        <v/>
      </c>
      <c r="E989" s="7">
        <f>'1 datos preparados'!D982</f>
        <v/>
      </c>
      <c r="F989" s="7">
        <f>'1 datos preparados'!E982</f>
        <v/>
      </c>
      <c r="G989" s="7">
        <f>'1 datos preparados'!F982</f>
        <v/>
      </c>
      <c r="H989" s="7">
        <f>'1 datos preparados'!G982</f>
        <v/>
      </c>
      <c r="I989" s="7">
        <f>'1 datos preparados'!H982</f>
        <v/>
      </c>
      <c r="J989" s="7">
        <f>'1 datos preparados'!I982</f>
        <v/>
      </c>
      <c r="K989" s="7">
        <f>'1 datos preparados'!J982</f>
        <v/>
      </c>
      <c r="L989" s="7">
        <f>'1 datos preparados'!K982</f>
        <v/>
      </c>
      <c r="M989" s="7">
        <f>'1 datos preparados'!L982</f>
        <v/>
      </c>
      <c r="N989" s="7">
        <f>'1 datos preparados'!M982</f>
        <v/>
      </c>
      <c r="O989" s="7">
        <f>'1 datos preparados'!N982</f>
        <v/>
      </c>
      <c r="P989" s="7">
        <f>'1 datos preparados'!O982</f>
        <v/>
      </c>
      <c r="Q989" s="7">
        <f>'1 datos preparados'!P982</f>
        <v/>
      </c>
      <c r="R989" s="7">
        <f>'1 datos preparados'!Q982</f>
        <v/>
      </c>
      <c r="S989" s="7">
        <f>'1 datos preparados'!R982</f>
        <v/>
      </c>
      <c r="T989" s="7">
        <f>'1 datos preparados'!S982</f>
        <v/>
      </c>
      <c r="U989" s="7">
        <f>'1 datos preparados'!T982</f>
        <v/>
      </c>
      <c r="V989" s="8">
        <f>$AE$12+D989*$AE$13+E989*$AE$14+F989*$AE$15+G989*$AE$16+H989*$AE$17+I989*$AE$18+J989*$AE$19+K989*$AE$20+L989*$AE$21+M989*$AE$22+N989*$AE$23+O989*$AE$24+P989*$AE$25+Q989*$AE$26+R989*$AE$27+S989*$AE$28+T989*$AE$29+U989*$AE$30</f>
        <v/>
      </c>
      <c r="W989" s="8">
        <f>1/(1+EXP(-V989))</f>
        <v/>
      </c>
      <c r="X989" s="9">
        <f>-IF(C989=1,LN(W989),LN(1-W989))</f>
        <v/>
      </c>
      <c r="Y989" s="8">
        <f>'1 datos preparados'!V982</f>
        <v/>
      </c>
      <c r="Z989" s="9">
        <f>Y989*X989</f>
        <v/>
      </c>
      <c r="AA989" s="10">
        <f>IF(W989&gt;$AE$33,1,0)</f>
        <v/>
      </c>
      <c r="AB989">
        <f>IF(AA989=C989,1,0)</f>
        <v/>
      </c>
    </row>
    <row r="990">
      <c r="A990">
        <f>'1 datos preparados'!A983</f>
        <v/>
      </c>
      <c r="B990" s="5">
        <f>'1 datos preparados'!U983</f>
        <v/>
      </c>
      <c r="C990">
        <f>'1 datos preparados'!B983</f>
        <v/>
      </c>
      <c r="D990" s="7">
        <f>'1 datos preparados'!C983</f>
        <v/>
      </c>
      <c r="E990" s="7">
        <f>'1 datos preparados'!D983</f>
        <v/>
      </c>
      <c r="F990" s="7">
        <f>'1 datos preparados'!E983</f>
        <v/>
      </c>
      <c r="G990" s="7">
        <f>'1 datos preparados'!F983</f>
        <v/>
      </c>
      <c r="H990" s="7">
        <f>'1 datos preparados'!G983</f>
        <v/>
      </c>
      <c r="I990" s="7">
        <f>'1 datos preparados'!H983</f>
        <v/>
      </c>
      <c r="J990" s="7">
        <f>'1 datos preparados'!I983</f>
        <v/>
      </c>
      <c r="K990" s="7">
        <f>'1 datos preparados'!J983</f>
        <v/>
      </c>
      <c r="L990" s="7">
        <f>'1 datos preparados'!K983</f>
        <v/>
      </c>
      <c r="M990" s="7">
        <f>'1 datos preparados'!L983</f>
        <v/>
      </c>
      <c r="N990" s="7">
        <f>'1 datos preparados'!M983</f>
        <v/>
      </c>
      <c r="O990" s="7">
        <f>'1 datos preparados'!N983</f>
        <v/>
      </c>
      <c r="P990" s="7">
        <f>'1 datos preparados'!O983</f>
        <v/>
      </c>
      <c r="Q990" s="7">
        <f>'1 datos preparados'!P983</f>
        <v/>
      </c>
      <c r="R990" s="7">
        <f>'1 datos preparados'!Q983</f>
        <v/>
      </c>
      <c r="S990" s="7">
        <f>'1 datos preparados'!R983</f>
        <v/>
      </c>
      <c r="T990" s="7">
        <f>'1 datos preparados'!S983</f>
        <v/>
      </c>
      <c r="U990" s="7">
        <f>'1 datos preparados'!T983</f>
        <v/>
      </c>
      <c r="V990" s="8">
        <f>$AE$12+D990*$AE$13+E990*$AE$14+F990*$AE$15+G990*$AE$16+H990*$AE$17+I990*$AE$18+J990*$AE$19+K990*$AE$20+L990*$AE$21+M990*$AE$22+N990*$AE$23+O990*$AE$24+P990*$AE$25+Q990*$AE$26+R990*$AE$27+S990*$AE$28+T990*$AE$29+U990*$AE$30</f>
        <v/>
      </c>
      <c r="W990" s="8">
        <f>1/(1+EXP(-V990))</f>
        <v/>
      </c>
      <c r="X990" s="9">
        <f>-IF(C990=1,LN(W990),LN(1-W990))</f>
        <v/>
      </c>
      <c r="Y990" s="8">
        <f>'1 datos preparados'!V983</f>
        <v/>
      </c>
      <c r="Z990" s="9">
        <f>Y990*X990</f>
        <v/>
      </c>
      <c r="AA990" s="10">
        <f>IF(W990&gt;$AE$33,1,0)</f>
        <v/>
      </c>
      <c r="AB990">
        <f>IF(AA990=C990,1,0)</f>
        <v/>
      </c>
    </row>
    <row r="991">
      <c r="A991">
        <f>'1 datos preparados'!A984</f>
        <v/>
      </c>
      <c r="B991" s="5">
        <f>'1 datos preparados'!U984</f>
        <v/>
      </c>
      <c r="C991">
        <f>'1 datos preparados'!B984</f>
        <v/>
      </c>
      <c r="D991" s="7">
        <f>'1 datos preparados'!C984</f>
        <v/>
      </c>
      <c r="E991" s="7">
        <f>'1 datos preparados'!D984</f>
        <v/>
      </c>
      <c r="F991" s="7">
        <f>'1 datos preparados'!E984</f>
        <v/>
      </c>
      <c r="G991" s="7">
        <f>'1 datos preparados'!F984</f>
        <v/>
      </c>
      <c r="H991" s="7">
        <f>'1 datos preparados'!G984</f>
        <v/>
      </c>
      <c r="I991" s="7">
        <f>'1 datos preparados'!H984</f>
        <v/>
      </c>
      <c r="J991" s="7">
        <f>'1 datos preparados'!I984</f>
        <v/>
      </c>
      <c r="K991" s="7">
        <f>'1 datos preparados'!J984</f>
        <v/>
      </c>
      <c r="L991" s="7">
        <f>'1 datos preparados'!K984</f>
        <v/>
      </c>
      <c r="M991" s="7">
        <f>'1 datos preparados'!L984</f>
        <v/>
      </c>
      <c r="N991" s="7">
        <f>'1 datos preparados'!M984</f>
        <v/>
      </c>
      <c r="O991" s="7">
        <f>'1 datos preparados'!N984</f>
        <v/>
      </c>
      <c r="P991" s="7">
        <f>'1 datos preparados'!O984</f>
        <v/>
      </c>
      <c r="Q991" s="7">
        <f>'1 datos preparados'!P984</f>
        <v/>
      </c>
      <c r="R991" s="7">
        <f>'1 datos preparados'!Q984</f>
        <v/>
      </c>
      <c r="S991" s="7">
        <f>'1 datos preparados'!R984</f>
        <v/>
      </c>
      <c r="T991" s="7">
        <f>'1 datos preparados'!S984</f>
        <v/>
      </c>
      <c r="U991" s="7">
        <f>'1 datos preparados'!T984</f>
        <v/>
      </c>
      <c r="V991" s="8">
        <f>$AE$12+D991*$AE$13+E991*$AE$14+F991*$AE$15+G991*$AE$16+H991*$AE$17+I991*$AE$18+J991*$AE$19+K991*$AE$20+L991*$AE$21+M991*$AE$22+N991*$AE$23+O991*$AE$24+P991*$AE$25+Q991*$AE$26+R991*$AE$27+S991*$AE$28+T991*$AE$29+U991*$AE$30</f>
        <v/>
      </c>
      <c r="W991" s="8">
        <f>1/(1+EXP(-V991))</f>
        <v/>
      </c>
      <c r="X991" s="9">
        <f>-IF(C991=1,LN(W991),LN(1-W991))</f>
        <v/>
      </c>
      <c r="Y991" s="8">
        <f>'1 datos preparados'!V984</f>
        <v/>
      </c>
      <c r="Z991" s="9">
        <f>Y991*X991</f>
        <v/>
      </c>
      <c r="AA991" s="10">
        <f>IF(W991&gt;$AE$33,1,0)</f>
        <v/>
      </c>
      <c r="AB991">
        <f>IF(AA991=C991,1,0)</f>
        <v/>
      </c>
    </row>
    <row r="992">
      <c r="A992">
        <f>'1 datos preparados'!A985</f>
        <v/>
      </c>
      <c r="B992" s="5">
        <f>'1 datos preparados'!U985</f>
        <v/>
      </c>
      <c r="C992">
        <f>'1 datos preparados'!B985</f>
        <v/>
      </c>
      <c r="D992" s="7">
        <f>'1 datos preparados'!C985</f>
        <v/>
      </c>
      <c r="E992" s="7">
        <f>'1 datos preparados'!D985</f>
        <v/>
      </c>
      <c r="F992" s="7">
        <f>'1 datos preparados'!E985</f>
        <v/>
      </c>
      <c r="G992" s="7">
        <f>'1 datos preparados'!F985</f>
        <v/>
      </c>
      <c r="H992" s="7">
        <f>'1 datos preparados'!G985</f>
        <v/>
      </c>
      <c r="I992" s="7">
        <f>'1 datos preparados'!H985</f>
        <v/>
      </c>
      <c r="J992" s="7">
        <f>'1 datos preparados'!I985</f>
        <v/>
      </c>
      <c r="K992" s="7">
        <f>'1 datos preparados'!J985</f>
        <v/>
      </c>
      <c r="L992" s="7">
        <f>'1 datos preparados'!K985</f>
        <v/>
      </c>
      <c r="M992" s="7">
        <f>'1 datos preparados'!L985</f>
        <v/>
      </c>
      <c r="N992" s="7">
        <f>'1 datos preparados'!M985</f>
        <v/>
      </c>
      <c r="O992" s="7">
        <f>'1 datos preparados'!N985</f>
        <v/>
      </c>
      <c r="P992" s="7">
        <f>'1 datos preparados'!O985</f>
        <v/>
      </c>
      <c r="Q992" s="7">
        <f>'1 datos preparados'!P985</f>
        <v/>
      </c>
      <c r="R992" s="7">
        <f>'1 datos preparados'!Q985</f>
        <v/>
      </c>
      <c r="S992" s="7">
        <f>'1 datos preparados'!R985</f>
        <v/>
      </c>
      <c r="T992" s="7">
        <f>'1 datos preparados'!S985</f>
        <v/>
      </c>
      <c r="U992" s="7">
        <f>'1 datos preparados'!T985</f>
        <v/>
      </c>
      <c r="V992" s="8">
        <f>$AE$12+D992*$AE$13+E992*$AE$14+F992*$AE$15+G992*$AE$16+H992*$AE$17+I992*$AE$18+J992*$AE$19+K992*$AE$20+L992*$AE$21+M992*$AE$22+N992*$AE$23+O992*$AE$24+P992*$AE$25+Q992*$AE$26+R992*$AE$27+S992*$AE$28+T992*$AE$29+U992*$AE$30</f>
        <v/>
      </c>
      <c r="W992" s="8">
        <f>1/(1+EXP(-V992))</f>
        <v/>
      </c>
      <c r="X992" s="9">
        <f>-IF(C992=1,LN(W992),LN(1-W992))</f>
        <v/>
      </c>
      <c r="Y992" s="8">
        <f>'1 datos preparados'!V985</f>
        <v/>
      </c>
      <c r="Z992" s="9">
        <f>Y992*X992</f>
        <v/>
      </c>
      <c r="AA992" s="10">
        <f>IF(W992&gt;$AE$33,1,0)</f>
        <v/>
      </c>
      <c r="AB992">
        <f>IF(AA992=C992,1,0)</f>
        <v/>
      </c>
    </row>
    <row r="993">
      <c r="A993">
        <f>'1 datos preparados'!A986</f>
        <v/>
      </c>
      <c r="B993" s="5">
        <f>'1 datos preparados'!U986</f>
        <v/>
      </c>
      <c r="C993">
        <f>'1 datos preparados'!B986</f>
        <v/>
      </c>
      <c r="D993" s="7">
        <f>'1 datos preparados'!C986</f>
        <v/>
      </c>
      <c r="E993" s="7">
        <f>'1 datos preparados'!D986</f>
        <v/>
      </c>
      <c r="F993" s="7">
        <f>'1 datos preparados'!E986</f>
        <v/>
      </c>
      <c r="G993" s="7">
        <f>'1 datos preparados'!F986</f>
        <v/>
      </c>
      <c r="H993" s="7">
        <f>'1 datos preparados'!G986</f>
        <v/>
      </c>
      <c r="I993" s="7">
        <f>'1 datos preparados'!H986</f>
        <v/>
      </c>
      <c r="J993" s="7">
        <f>'1 datos preparados'!I986</f>
        <v/>
      </c>
      <c r="K993" s="7">
        <f>'1 datos preparados'!J986</f>
        <v/>
      </c>
      <c r="L993" s="7">
        <f>'1 datos preparados'!K986</f>
        <v/>
      </c>
      <c r="M993" s="7">
        <f>'1 datos preparados'!L986</f>
        <v/>
      </c>
      <c r="N993" s="7">
        <f>'1 datos preparados'!M986</f>
        <v/>
      </c>
      <c r="O993" s="7">
        <f>'1 datos preparados'!N986</f>
        <v/>
      </c>
      <c r="P993" s="7">
        <f>'1 datos preparados'!O986</f>
        <v/>
      </c>
      <c r="Q993" s="7">
        <f>'1 datos preparados'!P986</f>
        <v/>
      </c>
      <c r="R993" s="7">
        <f>'1 datos preparados'!Q986</f>
        <v/>
      </c>
      <c r="S993" s="7">
        <f>'1 datos preparados'!R986</f>
        <v/>
      </c>
      <c r="T993" s="7">
        <f>'1 datos preparados'!S986</f>
        <v/>
      </c>
      <c r="U993" s="7">
        <f>'1 datos preparados'!T986</f>
        <v/>
      </c>
      <c r="V993" s="8">
        <f>$AE$12+D993*$AE$13+E993*$AE$14+F993*$AE$15+G993*$AE$16+H993*$AE$17+I993*$AE$18+J993*$AE$19+K993*$AE$20+L993*$AE$21+M993*$AE$22+N993*$AE$23+O993*$AE$24+P993*$AE$25+Q993*$AE$26+R993*$AE$27+S993*$AE$28+T993*$AE$29+U993*$AE$30</f>
        <v/>
      </c>
      <c r="W993" s="8">
        <f>1/(1+EXP(-V993))</f>
        <v/>
      </c>
      <c r="X993" s="9">
        <f>-IF(C993=1,LN(W993),LN(1-W993))</f>
        <v/>
      </c>
      <c r="Y993" s="8">
        <f>'1 datos preparados'!V986</f>
        <v/>
      </c>
      <c r="Z993" s="9">
        <f>Y993*X993</f>
        <v/>
      </c>
      <c r="AA993" s="10">
        <f>IF(W993&gt;$AE$33,1,0)</f>
        <v/>
      </c>
      <c r="AB993">
        <f>IF(AA993=C993,1,0)</f>
        <v/>
      </c>
    </row>
    <row r="994">
      <c r="A994">
        <f>'1 datos preparados'!A987</f>
        <v/>
      </c>
      <c r="B994" s="5">
        <f>'1 datos preparados'!U987</f>
        <v/>
      </c>
      <c r="C994">
        <f>'1 datos preparados'!B987</f>
        <v/>
      </c>
      <c r="D994" s="7">
        <f>'1 datos preparados'!C987</f>
        <v/>
      </c>
      <c r="E994" s="7">
        <f>'1 datos preparados'!D987</f>
        <v/>
      </c>
      <c r="F994" s="7">
        <f>'1 datos preparados'!E987</f>
        <v/>
      </c>
      <c r="G994" s="7">
        <f>'1 datos preparados'!F987</f>
        <v/>
      </c>
      <c r="H994" s="7">
        <f>'1 datos preparados'!G987</f>
        <v/>
      </c>
      <c r="I994" s="7">
        <f>'1 datos preparados'!H987</f>
        <v/>
      </c>
      <c r="J994" s="7">
        <f>'1 datos preparados'!I987</f>
        <v/>
      </c>
      <c r="K994" s="7">
        <f>'1 datos preparados'!J987</f>
        <v/>
      </c>
      <c r="L994" s="7">
        <f>'1 datos preparados'!K987</f>
        <v/>
      </c>
      <c r="M994" s="7">
        <f>'1 datos preparados'!L987</f>
        <v/>
      </c>
      <c r="N994" s="7">
        <f>'1 datos preparados'!M987</f>
        <v/>
      </c>
      <c r="O994" s="7">
        <f>'1 datos preparados'!N987</f>
        <v/>
      </c>
      <c r="P994" s="7">
        <f>'1 datos preparados'!O987</f>
        <v/>
      </c>
      <c r="Q994" s="7">
        <f>'1 datos preparados'!P987</f>
        <v/>
      </c>
      <c r="R994" s="7">
        <f>'1 datos preparados'!Q987</f>
        <v/>
      </c>
      <c r="S994" s="7">
        <f>'1 datos preparados'!R987</f>
        <v/>
      </c>
      <c r="T994" s="7">
        <f>'1 datos preparados'!S987</f>
        <v/>
      </c>
      <c r="U994" s="7">
        <f>'1 datos preparados'!T987</f>
        <v/>
      </c>
      <c r="V994" s="8">
        <f>$AE$12+D994*$AE$13+E994*$AE$14+F994*$AE$15+G994*$AE$16+H994*$AE$17+I994*$AE$18+J994*$AE$19+K994*$AE$20+L994*$AE$21+M994*$AE$22+N994*$AE$23+O994*$AE$24+P994*$AE$25+Q994*$AE$26+R994*$AE$27+S994*$AE$28+T994*$AE$29+U994*$AE$30</f>
        <v/>
      </c>
      <c r="W994" s="8">
        <f>1/(1+EXP(-V994))</f>
        <v/>
      </c>
      <c r="X994" s="9">
        <f>-IF(C994=1,LN(W994),LN(1-W994))</f>
        <v/>
      </c>
      <c r="Y994" s="8">
        <f>'1 datos preparados'!V987</f>
        <v/>
      </c>
      <c r="Z994" s="9">
        <f>Y994*X994</f>
        <v/>
      </c>
      <c r="AA994" s="10">
        <f>IF(W994&gt;$AE$33,1,0)</f>
        <v/>
      </c>
      <c r="AB994">
        <f>IF(AA994=C994,1,0)</f>
        <v/>
      </c>
    </row>
    <row r="995">
      <c r="A995">
        <f>'1 datos preparados'!A988</f>
        <v/>
      </c>
      <c r="B995" s="5">
        <f>'1 datos preparados'!U988</f>
        <v/>
      </c>
      <c r="C995">
        <f>'1 datos preparados'!B988</f>
        <v/>
      </c>
      <c r="D995" s="7">
        <f>'1 datos preparados'!C988</f>
        <v/>
      </c>
      <c r="E995" s="7">
        <f>'1 datos preparados'!D988</f>
        <v/>
      </c>
      <c r="F995" s="7">
        <f>'1 datos preparados'!E988</f>
        <v/>
      </c>
      <c r="G995" s="7">
        <f>'1 datos preparados'!F988</f>
        <v/>
      </c>
      <c r="H995" s="7">
        <f>'1 datos preparados'!G988</f>
        <v/>
      </c>
      <c r="I995" s="7">
        <f>'1 datos preparados'!H988</f>
        <v/>
      </c>
      <c r="J995" s="7">
        <f>'1 datos preparados'!I988</f>
        <v/>
      </c>
      <c r="K995" s="7">
        <f>'1 datos preparados'!J988</f>
        <v/>
      </c>
      <c r="L995" s="7">
        <f>'1 datos preparados'!K988</f>
        <v/>
      </c>
      <c r="M995" s="7">
        <f>'1 datos preparados'!L988</f>
        <v/>
      </c>
      <c r="N995" s="7">
        <f>'1 datos preparados'!M988</f>
        <v/>
      </c>
      <c r="O995" s="7">
        <f>'1 datos preparados'!N988</f>
        <v/>
      </c>
      <c r="P995" s="7">
        <f>'1 datos preparados'!O988</f>
        <v/>
      </c>
      <c r="Q995" s="7">
        <f>'1 datos preparados'!P988</f>
        <v/>
      </c>
      <c r="R995" s="7">
        <f>'1 datos preparados'!Q988</f>
        <v/>
      </c>
      <c r="S995" s="7">
        <f>'1 datos preparados'!R988</f>
        <v/>
      </c>
      <c r="T995" s="7">
        <f>'1 datos preparados'!S988</f>
        <v/>
      </c>
      <c r="U995" s="7">
        <f>'1 datos preparados'!T988</f>
        <v/>
      </c>
      <c r="V995" s="8">
        <f>$AE$12+D995*$AE$13+E995*$AE$14+F995*$AE$15+G995*$AE$16+H995*$AE$17+I995*$AE$18+J995*$AE$19+K995*$AE$20+L995*$AE$21+M995*$AE$22+N995*$AE$23+O995*$AE$24+P995*$AE$25+Q995*$AE$26+R995*$AE$27+S995*$AE$28+T995*$AE$29+U995*$AE$30</f>
        <v/>
      </c>
      <c r="W995" s="8">
        <f>1/(1+EXP(-V995))</f>
        <v/>
      </c>
      <c r="X995" s="9">
        <f>-IF(C995=1,LN(W995),LN(1-W995))</f>
        <v/>
      </c>
      <c r="Y995" s="8">
        <f>'1 datos preparados'!V988</f>
        <v/>
      </c>
      <c r="Z995" s="9">
        <f>Y995*X995</f>
        <v/>
      </c>
      <c r="AA995" s="10">
        <f>IF(W995&gt;$AE$33,1,0)</f>
        <v/>
      </c>
      <c r="AB995">
        <f>IF(AA995=C995,1,0)</f>
        <v/>
      </c>
    </row>
    <row r="996">
      <c r="A996">
        <f>'1 datos preparados'!A989</f>
        <v/>
      </c>
      <c r="B996" s="5">
        <f>'1 datos preparados'!U989</f>
        <v/>
      </c>
      <c r="C996">
        <f>'1 datos preparados'!B989</f>
        <v/>
      </c>
      <c r="D996" s="7">
        <f>'1 datos preparados'!C989</f>
        <v/>
      </c>
      <c r="E996" s="7">
        <f>'1 datos preparados'!D989</f>
        <v/>
      </c>
      <c r="F996" s="7">
        <f>'1 datos preparados'!E989</f>
        <v/>
      </c>
      <c r="G996" s="7">
        <f>'1 datos preparados'!F989</f>
        <v/>
      </c>
      <c r="H996" s="7">
        <f>'1 datos preparados'!G989</f>
        <v/>
      </c>
      <c r="I996" s="7">
        <f>'1 datos preparados'!H989</f>
        <v/>
      </c>
      <c r="J996" s="7">
        <f>'1 datos preparados'!I989</f>
        <v/>
      </c>
      <c r="K996" s="7">
        <f>'1 datos preparados'!J989</f>
        <v/>
      </c>
      <c r="L996" s="7">
        <f>'1 datos preparados'!K989</f>
        <v/>
      </c>
      <c r="M996" s="7">
        <f>'1 datos preparados'!L989</f>
        <v/>
      </c>
      <c r="N996" s="7">
        <f>'1 datos preparados'!M989</f>
        <v/>
      </c>
      <c r="O996" s="7">
        <f>'1 datos preparados'!N989</f>
        <v/>
      </c>
      <c r="P996" s="7">
        <f>'1 datos preparados'!O989</f>
        <v/>
      </c>
      <c r="Q996" s="7">
        <f>'1 datos preparados'!P989</f>
        <v/>
      </c>
      <c r="R996" s="7">
        <f>'1 datos preparados'!Q989</f>
        <v/>
      </c>
      <c r="S996" s="7">
        <f>'1 datos preparados'!R989</f>
        <v/>
      </c>
      <c r="T996" s="7">
        <f>'1 datos preparados'!S989</f>
        <v/>
      </c>
      <c r="U996" s="7">
        <f>'1 datos preparados'!T989</f>
        <v/>
      </c>
      <c r="V996" s="8">
        <f>$AE$12+D996*$AE$13+E996*$AE$14+F996*$AE$15+G996*$AE$16+H996*$AE$17+I996*$AE$18+J996*$AE$19+K996*$AE$20+L996*$AE$21+M996*$AE$22+N996*$AE$23+O996*$AE$24+P996*$AE$25+Q996*$AE$26+R996*$AE$27+S996*$AE$28+T996*$AE$29+U996*$AE$30</f>
        <v/>
      </c>
      <c r="W996" s="8">
        <f>1/(1+EXP(-V996))</f>
        <v/>
      </c>
      <c r="X996" s="9">
        <f>-IF(C996=1,LN(W996),LN(1-W996))</f>
        <v/>
      </c>
      <c r="Y996" s="8">
        <f>'1 datos preparados'!V989</f>
        <v/>
      </c>
      <c r="Z996" s="9">
        <f>Y996*X996</f>
        <v/>
      </c>
      <c r="AA996" s="10">
        <f>IF(W996&gt;$AE$33,1,0)</f>
        <v/>
      </c>
      <c r="AB996">
        <f>IF(AA996=C996,1,0)</f>
        <v/>
      </c>
    </row>
    <row r="997">
      <c r="A997">
        <f>'1 datos preparados'!A990</f>
        <v/>
      </c>
      <c r="B997" s="5">
        <f>'1 datos preparados'!U990</f>
        <v/>
      </c>
      <c r="C997">
        <f>'1 datos preparados'!B990</f>
        <v/>
      </c>
      <c r="D997" s="7">
        <f>'1 datos preparados'!C990</f>
        <v/>
      </c>
      <c r="E997" s="7">
        <f>'1 datos preparados'!D990</f>
        <v/>
      </c>
      <c r="F997" s="7">
        <f>'1 datos preparados'!E990</f>
        <v/>
      </c>
      <c r="G997" s="7">
        <f>'1 datos preparados'!F990</f>
        <v/>
      </c>
      <c r="H997" s="7">
        <f>'1 datos preparados'!G990</f>
        <v/>
      </c>
      <c r="I997" s="7">
        <f>'1 datos preparados'!H990</f>
        <v/>
      </c>
      <c r="J997" s="7">
        <f>'1 datos preparados'!I990</f>
        <v/>
      </c>
      <c r="K997" s="7">
        <f>'1 datos preparados'!J990</f>
        <v/>
      </c>
      <c r="L997" s="7">
        <f>'1 datos preparados'!K990</f>
        <v/>
      </c>
      <c r="M997" s="7">
        <f>'1 datos preparados'!L990</f>
        <v/>
      </c>
      <c r="N997" s="7">
        <f>'1 datos preparados'!M990</f>
        <v/>
      </c>
      <c r="O997" s="7">
        <f>'1 datos preparados'!N990</f>
        <v/>
      </c>
      <c r="P997" s="7">
        <f>'1 datos preparados'!O990</f>
        <v/>
      </c>
      <c r="Q997" s="7">
        <f>'1 datos preparados'!P990</f>
        <v/>
      </c>
      <c r="R997" s="7">
        <f>'1 datos preparados'!Q990</f>
        <v/>
      </c>
      <c r="S997" s="7">
        <f>'1 datos preparados'!R990</f>
        <v/>
      </c>
      <c r="T997" s="7">
        <f>'1 datos preparados'!S990</f>
        <v/>
      </c>
      <c r="U997" s="7">
        <f>'1 datos preparados'!T990</f>
        <v/>
      </c>
      <c r="V997" s="8">
        <f>$AE$12+D997*$AE$13+E997*$AE$14+F997*$AE$15+G997*$AE$16+H997*$AE$17+I997*$AE$18+J997*$AE$19+K997*$AE$20+L997*$AE$21+M997*$AE$22+N997*$AE$23+O997*$AE$24+P997*$AE$25+Q997*$AE$26+R997*$AE$27+S997*$AE$28+T997*$AE$29+U997*$AE$30</f>
        <v/>
      </c>
      <c r="W997" s="8">
        <f>1/(1+EXP(-V997))</f>
        <v/>
      </c>
      <c r="X997" s="9">
        <f>-IF(C997=1,LN(W997),LN(1-W997))</f>
        <v/>
      </c>
      <c r="Y997" s="8">
        <f>'1 datos preparados'!V990</f>
        <v/>
      </c>
      <c r="Z997" s="9">
        <f>Y997*X997</f>
        <v/>
      </c>
      <c r="AA997" s="10">
        <f>IF(W997&gt;$AE$33,1,0)</f>
        <v/>
      </c>
      <c r="AB997">
        <f>IF(AA997=C997,1,0)</f>
        <v/>
      </c>
    </row>
    <row r="998">
      <c r="A998">
        <f>'1 datos preparados'!A991</f>
        <v/>
      </c>
      <c r="B998" s="5">
        <f>'1 datos preparados'!U991</f>
        <v/>
      </c>
      <c r="C998">
        <f>'1 datos preparados'!B991</f>
        <v/>
      </c>
      <c r="D998" s="7">
        <f>'1 datos preparados'!C991</f>
        <v/>
      </c>
      <c r="E998" s="7">
        <f>'1 datos preparados'!D991</f>
        <v/>
      </c>
      <c r="F998" s="7">
        <f>'1 datos preparados'!E991</f>
        <v/>
      </c>
      <c r="G998" s="7">
        <f>'1 datos preparados'!F991</f>
        <v/>
      </c>
      <c r="H998" s="7">
        <f>'1 datos preparados'!G991</f>
        <v/>
      </c>
      <c r="I998" s="7">
        <f>'1 datos preparados'!H991</f>
        <v/>
      </c>
      <c r="J998" s="7">
        <f>'1 datos preparados'!I991</f>
        <v/>
      </c>
      <c r="K998" s="7">
        <f>'1 datos preparados'!J991</f>
        <v/>
      </c>
      <c r="L998" s="7">
        <f>'1 datos preparados'!K991</f>
        <v/>
      </c>
      <c r="M998" s="7">
        <f>'1 datos preparados'!L991</f>
        <v/>
      </c>
      <c r="N998" s="7">
        <f>'1 datos preparados'!M991</f>
        <v/>
      </c>
      <c r="O998" s="7">
        <f>'1 datos preparados'!N991</f>
        <v/>
      </c>
      <c r="P998" s="7">
        <f>'1 datos preparados'!O991</f>
        <v/>
      </c>
      <c r="Q998" s="7">
        <f>'1 datos preparados'!P991</f>
        <v/>
      </c>
      <c r="R998" s="7">
        <f>'1 datos preparados'!Q991</f>
        <v/>
      </c>
      <c r="S998" s="7">
        <f>'1 datos preparados'!R991</f>
        <v/>
      </c>
      <c r="T998" s="7">
        <f>'1 datos preparados'!S991</f>
        <v/>
      </c>
      <c r="U998" s="7">
        <f>'1 datos preparados'!T991</f>
        <v/>
      </c>
      <c r="V998" s="8">
        <f>$AE$12+D998*$AE$13+E998*$AE$14+F998*$AE$15+G998*$AE$16+H998*$AE$17+I998*$AE$18+J998*$AE$19+K998*$AE$20+L998*$AE$21+M998*$AE$22+N998*$AE$23+O998*$AE$24+P998*$AE$25+Q998*$AE$26+R998*$AE$27+S998*$AE$28+T998*$AE$29+U998*$AE$30</f>
        <v/>
      </c>
      <c r="W998" s="8">
        <f>1/(1+EXP(-V998))</f>
        <v/>
      </c>
      <c r="X998" s="9">
        <f>-IF(C998=1,LN(W998),LN(1-W998))</f>
        <v/>
      </c>
      <c r="Y998" s="8">
        <f>'1 datos preparados'!V991</f>
        <v/>
      </c>
      <c r="Z998" s="9">
        <f>Y998*X998</f>
        <v/>
      </c>
      <c r="AA998" s="10">
        <f>IF(W998&gt;$AE$33,1,0)</f>
        <v/>
      </c>
      <c r="AB998">
        <f>IF(AA998=C998,1,0)</f>
        <v/>
      </c>
    </row>
    <row r="999">
      <c r="A999">
        <f>'1 datos preparados'!A992</f>
        <v/>
      </c>
      <c r="B999" s="5">
        <f>'1 datos preparados'!U992</f>
        <v/>
      </c>
      <c r="C999">
        <f>'1 datos preparados'!B992</f>
        <v/>
      </c>
      <c r="D999" s="7">
        <f>'1 datos preparados'!C992</f>
        <v/>
      </c>
      <c r="E999" s="7">
        <f>'1 datos preparados'!D992</f>
        <v/>
      </c>
      <c r="F999" s="7">
        <f>'1 datos preparados'!E992</f>
        <v/>
      </c>
      <c r="G999" s="7">
        <f>'1 datos preparados'!F992</f>
        <v/>
      </c>
      <c r="H999" s="7">
        <f>'1 datos preparados'!G992</f>
        <v/>
      </c>
      <c r="I999" s="7">
        <f>'1 datos preparados'!H992</f>
        <v/>
      </c>
      <c r="J999" s="7">
        <f>'1 datos preparados'!I992</f>
        <v/>
      </c>
      <c r="K999" s="7">
        <f>'1 datos preparados'!J992</f>
        <v/>
      </c>
      <c r="L999" s="7">
        <f>'1 datos preparados'!K992</f>
        <v/>
      </c>
      <c r="M999" s="7">
        <f>'1 datos preparados'!L992</f>
        <v/>
      </c>
      <c r="N999" s="7">
        <f>'1 datos preparados'!M992</f>
        <v/>
      </c>
      <c r="O999" s="7">
        <f>'1 datos preparados'!N992</f>
        <v/>
      </c>
      <c r="P999" s="7">
        <f>'1 datos preparados'!O992</f>
        <v/>
      </c>
      <c r="Q999" s="7">
        <f>'1 datos preparados'!P992</f>
        <v/>
      </c>
      <c r="R999" s="7">
        <f>'1 datos preparados'!Q992</f>
        <v/>
      </c>
      <c r="S999" s="7">
        <f>'1 datos preparados'!R992</f>
        <v/>
      </c>
      <c r="T999" s="7">
        <f>'1 datos preparados'!S992</f>
        <v/>
      </c>
      <c r="U999" s="7">
        <f>'1 datos preparados'!T992</f>
        <v/>
      </c>
      <c r="V999" s="8">
        <f>$AE$12+D999*$AE$13+E999*$AE$14+F999*$AE$15+G999*$AE$16+H999*$AE$17+I999*$AE$18+J999*$AE$19+K999*$AE$20+L999*$AE$21+M999*$AE$22+N999*$AE$23+O999*$AE$24+P999*$AE$25+Q999*$AE$26+R999*$AE$27+S999*$AE$28+T999*$AE$29+U999*$AE$30</f>
        <v/>
      </c>
      <c r="W999" s="8">
        <f>1/(1+EXP(-V999))</f>
        <v/>
      </c>
      <c r="X999" s="9">
        <f>-IF(C999=1,LN(W999),LN(1-W999))</f>
        <v/>
      </c>
      <c r="Y999" s="8">
        <f>'1 datos preparados'!V992</f>
        <v/>
      </c>
      <c r="Z999" s="9">
        <f>Y999*X999</f>
        <v/>
      </c>
      <c r="AA999" s="10">
        <f>IF(W999&gt;$AE$33,1,0)</f>
        <v/>
      </c>
      <c r="AB999">
        <f>IF(AA999=C999,1,0)</f>
        <v/>
      </c>
    </row>
    <row r="1000">
      <c r="A1000">
        <f>'1 datos preparados'!A993</f>
        <v/>
      </c>
      <c r="B1000" s="5">
        <f>'1 datos preparados'!U993</f>
        <v/>
      </c>
      <c r="C1000">
        <f>'1 datos preparados'!B993</f>
        <v/>
      </c>
      <c r="D1000" s="7">
        <f>'1 datos preparados'!C993</f>
        <v/>
      </c>
      <c r="E1000" s="7">
        <f>'1 datos preparados'!D993</f>
        <v/>
      </c>
      <c r="F1000" s="7">
        <f>'1 datos preparados'!E993</f>
        <v/>
      </c>
      <c r="G1000" s="7">
        <f>'1 datos preparados'!F993</f>
        <v/>
      </c>
      <c r="H1000" s="7">
        <f>'1 datos preparados'!G993</f>
        <v/>
      </c>
      <c r="I1000" s="7">
        <f>'1 datos preparados'!H993</f>
        <v/>
      </c>
      <c r="J1000" s="7">
        <f>'1 datos preparados'!I993</f>
        <v/>
      </c>
      <c r="K1000" s="7">
        <f>'1 datos preparados'!J993</f>
        <v/>
      </c>
      <c r="L1000" s="7">
        <f>'1 datos preparados'!K993</f>
        <v/>
      </c>
      <c r="M1000" s="7">
        <f>'1 datos preparados'!L993</f>
        <v/>
      </c>
      <c r="N1000" s="7">
        <f>'1 datos preparados'!M993</f>
        <v/>
      </c>
      <c r="O1000" s="7">
        <f>'1 datos preparados'!N993</f>
        <v/>
      </c>
      <c r="P1000" s="7">
        <f>'1 datos preparados'!O993</f>
        <v/>
      </c>
      <c r="Q1000" s="7">
        <f>'1 datos preparados'!P993</f>
        <v/>
      </c>
      <c r="R1000" s="7">
        <f>'1 datos preparados'!Q993</f>
        <v/>
      </c>
      <c r="S1000" s="7">
        <f>'1 datos preparados'!R993</f>
        <v/>
      </c>
      <c r="T1000" s="7">
        <f>'1 datos preparados'!S993</f>
        <v/>
      </c>
      <c r="U1000" s="7">
        <f>'1 datos preparados'!T993</f>
        <v/>
      </c>
      <c r="V1000" s="8">
        <f>$AE$12+D1000*$AE$13+E1000*$AE$14+F1000*$AE$15+G1000*$AE$16+H1000*$AE$17+I1000*$AE$18+J1000*$AE$19+K1000*$AE$20+L1000*$AE$21+M1000*$AE$22+N1000*$AE$23+O1000*$AE$24+P1000*$AE$25+Q1000*$AE$26+R1000*$AE$27+S1000*$AE$28+T1000*$AE$29+U1000*$AE$30</f>
        <v/>
      </c>
      <c r="W1000" s="8">
        <f>1/(1+EXP(-V1000))</f>
        <v/>
      </c>
      <c r="X1000" s="9">
        <f>-IF(C1000=1,LN(W1000),LN(1-W1000))</f>
        <v/>
      </c>
      <c r="Y1000" s="8">
        <f>'1 datos preparados'!V993</f>
        <v/>
      </c>
      <c r="Z1000" s="9">
        <f>Y1000*X1000</f>
        <v/>
      </c>
      <c r="AA1000" s="10">
        <f>IF(W1000&gt;$AE$33,1,0)</f>
        <v/>
      </c>
      <c r="AB1000">
        <f>IF(AA1000=C1000,1,0)</f>
        <v/>
      </c>
    </row>
    <row r="1001">
      <c r="A1001">
        <f>'1 datos preparados'!A994</f>
        <v/>
      </c>
      <c r="B1001" s="5">
        <f>'1 datos preparados'!U994</f>
        <v/>
      </c>
      <c r="C1001">
        <f>'1 datos preparados'!B994</f>
        <v/>
      </c>
      <c r="D1001" s="7">
        <f>'1 datos preparados'!C994</f>
        <v/>
      </c>
      <c r="E1001" s="7">
        <f>'1 datos preparados'!D994</f>
        <v/>
      </c>
      <c r="F1001" s="7">
        <f>'1 datos preparados'!E994</f>
        <v/>
      </c>
      <c r="G1001" s="7">
        <f>'1 datos preparados'!F994</f>
        <v/>
      </c>
      <c r="H1001" s="7">
        <f>'1 datos preparados'!G994</f>
        <v/>
      </c>
      <c r="I1001" s="7">
        <f>'1 datos preparados'!H994</f>
        <v/>
      </c>
      <c r="J1001" s="7">
        <f>'1 datos preparados'!I994</f>
        <v/>
      </c>
      <c r="K1001" s="7">
        <f>'1 datos preparados'!J994</f>
        <v/>
      </c>
      <c r="L1001" s="7">
        <f>'1 datos preparados'!K994</f>
        <v/>
      </c>
      <c r="M1001" s="7">
        <f>'1 datos preparados'!L994</f>
        <v/>
      </c>
      <c r="N1001" s="7">
        <f>'1 datos preparados'!M994</f>
        <v/>
      </c>
      <c r="O1001" s="7">
        <f>'1 datos preparados'!N994</f>
        <v/>
      </c>
      <c r="P1001" s="7">
        <f>'1 datos preparados'!O994</f>
        <v/>
      </c>
      <c r="Q1001" s="7">
        <f>'1 datos preparados'!P994</f>
        <v/>
      </c>
      <c r="R1001" s="7">
        <f>'1 datos preparados'!Q994</f>
        <v/>
      </c>
      <c r="S1001" s="7">
        <f>'1 datos preparados'!R994</f>
        <v/>
      </c>
      <c r="T1001" s="7">
        <f>'1 datos preparados'!S994</f>
        <v/>
      </c>
      <c r="U1001" s="7">
        <f>'1 datos preparados'!T994</f>
        <v/>
      </c>
      <c r="V1001" s="8">
        <f>$AE$12+D1001*$AE$13+E1001*$AE$14+F1001*$AE$15+G1001*$AE$16+H1001*$AE$17+I1001*$AE$18+J1001*$AE$19+K1001*$AE$20+L1001*$AE$21+M1001*$AE$22+N1001*$AE$23+O1001*$AE$24+P1001*$AE$25+Q1001*$AE$26+R1001*$AE$27+S1001*$AE$28+T1001*$AE$29+U1001*$AE$30</f>
        <v/>
      </c>
      <c r="W1001" s="8">
        <f>1/(1+EXP(-V1001))</f>
        <v/>
      </c>
      <c r="X1001" s="9">
        <f>-IF(C1001=1,LN(W1001),LN(1-W1001))</f>
        <v/>
      </c>
      <c r="Y1001" s="8">
        <f>'1 datos preparados'!V994</f>
        <v/>
      </c>
      <c r="Z1001" s="9">
        <f>Y1001*X1001</f>
        <v/>
      </c>
      <c r="AA1001" s="10">
        <f>IF(W1001&gt;$AE$33,1,0)</f>
        <v/>
      </c>
      <c r="AB1001">
        <f>IF(AA1001=C1001,1,0)</f>
        <v/>
      </c>
    </row>
    <row r="1002">
      <c r="A1002">
        <f>'1 datos preparados'!A995</f>
        <v/>
      </c>
      <c r="B1002" s="5">
        <f>'1 datos preparados'!U995</f>
        <v/>
      </c>
      <c r="C1002">
        <f>'1 datos preparados'!B995</f>
        <v/>
      </c>
      <c r="D1002" s="7">
        <f>'1 datos preparados'!C995</f>
        <v/>
      </c>
      <c r="E1002" s="7">
        <f>'1 datos preparados'!D995</f>
        <v/>
      </c>
      <c r="F1002" s="7">
        <f>'1 datos preparados'!E995</f>
        <v/>
      </c>
      <c r="G1002" s="7">
        <f>'1 datos preparados'!F995</f>
        <v/>
      </c>
      <c r="H1002" s="7">
        <f>'1 datos preparados'!G995</f>
        <v/>
      </c>
      <c r="I1002" s="7">
        <f>'1 datos preparados'!H995</f>
        <v/>
      </c>
      <c r="J1002" s="7">
        <f>'1 datos preparados'!I995</f>
        <v/>
      </c>
      <c r="K1002" s="7">
        <f>'1 datos preparados'!J995</f>
        <v/>
      </c>
      <c r="L1002" s="7">
        <f>'1 datos preparados'!K995</f>
        <v/>
      </c>
      <c r="M1002" s="7">
        <f>'1 datos preparados'!L995</f>
        <v/>
      </c>
      <c r="N1002" s="7">
        <f>'1 datos preparados'!M995</f>
        <v/>
      </c>
      <c r="O1002" s="7">
        <f>'1 datos preparados'!N995</f>
        <v/>
      </c>
      <c r="P1002" s="7">
        <f>'1 datos preparados'!O995</f>
        <v/>
      </c>
      <c r="Q1002" s="7">
        <f>'1 datos preparados'!P995</f>
        <v/>
      </c>
      <c r="R1002" s="7">
        <f>'1 datos preparados'!Q995</f>
        <v/>
      </c>
      <c r="S1002" s="7">
        <f>'1 datos preparados'!R995</f>
        <v/>
      </c>
      <c r="T1002" s="7">
        <f>'1 datos preparados'!S995</f>
        <v/>
      </c>
      <c r="U1002" s="7">
        <f>'1 datos preparados'!T995</f>
        <v/>
      </c>
      <c r="V1002" s="8">
        <f>$AE$12+D1002*$AE$13+E1002*$AE$14+F1002*$AE$15+G1002*$AE$16+H1002*$AE$17+I1002*$AE$18+J1002*$AE$19+K1002*$AE$20+L1002*$AE$21+M1002*$AE$22+N1002*$AE$23+O1002*$AE$24+P1002*$AE$25+Q1002*$AE$26+R1002*$AE$27+S1002*$AE$28+T1002*$AE$29+U1002*$AE$30</f>
        <v/>
      </c>
      <c r="W1002" s="8">
        <f>1/(1+EXP(-V1002))</f>
        <v/>
      </c>
      <c r="X1002" s="9">
        <f>-IF(C1002=1,LN(W1002),LN(1-W1002))</f>
        <v/>
      </c>
      <c r="Y1002" s="8">
        <f>'1 datos preparados'!V995</f>
        <v/>
      </c>
      <c r="Z1002" s="9">
        <f>Y1002*X1002</f>
        <v/>
      </c>
      <c r="AA1002" s="10">
        <f>IF(W1002&gt;$AE$33,1,0)</f>
        <v/>
      </c>
      <c r="AB1002">
        <f>IF(AA1002=C1002,1,0)</f>
        <v/>
      </c>
    </row>
    <row r="1003">
      <c r="A1003">
        <f>'1 datos preparados'!A996</f>
        <v/>
      </c>
      <c r="B1003" s="5">
        <f>'1 datos preparados'!U996</f>
        <v/>
      </c>
      <c r="C1003">
        <f>'1 datos preparados'!B996</f>
        <v/>
      </c>
      <c r="D1003" s="7">
        <f>'1 datos preparados'!C996</f>
        <v/>
      </c>
      <c r="E1003" s="7">
        <f>'1 datos preparados'!D996</f>
        <v/>
      </c>
      <c r="F1003" s="7">
        <f>'1 datos preparados'!E996</f>
        <v/>
      </c>
      <c r="G1003" s="7">
        <f>'1 datos preparados'!F996</f>
        <v/>
      </c>
      <c r="H1003" s="7">
        <f>'1 datos preparados'!G996</f>
        <v/>
      </c>
      <c r="I1003" s="7">
        <f>'1 datos preparados'!H996</f>
        <v/>
      </c>
      <c r="J1003" s="7">
        <f>'1 datos preparados'!I996</f>
        <v/>
      </c>
      <c r="K1003" s="7">
        <f>'1 datos preparados'!J996</f>
        <v/>
      </c>
      <c r="L1003" s="7">
        <f>'1 datos preparados'!K996</f>
        <v/>
      </c>
      <c r="M1003" s="7">
        <f>'1 datos preparados'!L996</f>
        <v/>
      </c>
      <c r="N1003" s="7">
        <f>'1 datos preparados'!M996</f>
        <v/>
      </c>
      <c r="O1003" s="7">
        <f>'1 datos preparados'!N996</f>
        <v/>
      </c>
      <c r="P1003" s="7">
        <f>'1 datos preparados'!O996</f>
        <v/>
      </c>
      <c r="Q1003" s="7">
        <f>'1 datos preparados'!P996</f>
        <v/>
      </c>
      <c r="R1003" s="7">
        <f>'1 datos preparados'!Q996</f>
        <v/>
      </c>
      <c r="S1003" s="7">
        <f>'1 datos preparados'!R996</f>
        <v/>
      </c>
      <c r="T1003" s="7">
        <f>'1 datos preparados'!S996</f>
        <v/>
      </c>
      <c r="U1003" s="7">
        <f>'1 datos preparados'!T996</f>
        <v/>
      </c>
      <c r="V1003" s="8">
        <f>$AE$12+D1003*$AE$13+E1003*$AE$14+F1003*$AE$15+G1003*$AE$16+H1003*$AE$17+I1003*$AE$18+J1003*$AE$19+K1003*$AE$20+L1003*$AE$21+M1003*$AE$22+N1003*$AE$23+O1003*$AE$24+P1003*$AE$25+Q1003*$AE$26+R1003*$AE$27+S1003*$AE$28+T1003*$AE$29+U1003*$AE$30</f>
        <v/>
      </c>
      <c r="W1003" s="8">
        <f>1/(1+EXP(-V1003))</f>
        <v/>
      </c>
      <c r="X1003" s="9">
        <f>-IF(C1003=1,LN(W1003),LN(1-W1003))</f>
        <v/>
      </c>
      <c r="Y1003" s="8">
        <f>'1 datos preparados'!V996</f>
        <v/>
      </c>
      <c r="Z1003" s="9">
        <f>Y1003*X1003</f>
        <v/>
      </c>
      <c r="AA1003" s="10">
        <f>IF(W1003&gt;$AE$33,1,0)</f>
        <v/>
      </c>
      <c r="AB1003">
        <f>IF(AA1003=C1003,1,0)</f>
        <v/>
      </c>
    </row>
    <row r="1004">
      <c r="A1004">
        <f>'1 datos preparados'!A997</f>
        <v/>
      </c>
      <c r="B1004" s="5">
        <f>'1 datos preparados'!U997</f>
        <v/>
      </c>
      <c r="C1004">
        <f>'1 datos preparados'!B997</f>
        <v/>
      </c>
      <c r="D1004" s="7">
        <f>'1 datos preparados'!C997</f>
        <v/>
      </c>
      <c r="E1004" s="7">
        <f>'1 datos preparados'!D997</f>
        <v/>
      </c>
      <c r="F1004" s="7">
        <f>'1 datos preparados'!E997</f>
        <v/>
      </c>
      <c r="G1004" s="7">
        <f>'1 datos preparados'!F997</f>
        <v/>
      </c>
      <c r="H1004" s="7">
        <f>'1 datos preparados'!G997</f>
        <v/>
      </c>
      <c r="I1004" s="7">
        <f>'1 datos preparados'!H997</f>
        <v/>
      </c>
      <c r="J1004" s="7">
        <f>'1 datos preparados'!I997</f>
        <v/>
      </c>
      <c r="K1004" s="7">
        <f>'1 datos preparados'!J997</f>
        <v/>
      </c>
      <c r="L1004" s="7">
        <f>'1 datos preparados'!K997</f>
        <v/>
      </c>
      <c r="M1004" s="7">
        <f>'1 datos preparados'!L997</f>
        <v/>
      </c>
      <c r="N1004" s="7">
        <f>'1 datos preparados'!M997</f>
        <v/>
      </c>
      <c r="O1004" s="7">
        <f>'1 datos preparados'!N997</f>
        <v/>
      </c>
      <c r="P1004" s="7">
        <f>'1 datos preparados'!O997</f>
        <v/>
      </c>
      <c r="Q1004" s="7">
        <f>'1 datos preparados'!P997</f>
        <v/>
      </c>
      <c r="R1004" s="7">
        <f>'1 datos preparados'!Q997</f>
        <v/>
      </c>
      <c r="S1004" s="7">
        <f>'1 datos preparados'!R997</f>
        <v/>
      </c>
      <c r="T1004" s="7">
        <f>'1 datos preparados'!S997</f>
        <v/>
      </c>
      <c r="U1004" s="7">
        <f>'1 datos preparados'!T997</f>
        <v/>
      </c>
      <c r="V1004" s="8">
        <f>$AE$12+D1004*$AE$13+E1004*$AE$14+F1004*$AE$15+G1004*$AE$16+H1004*$AE$17+I1004*$AE$18+J1004*$AE$19+K1004*$AE$20+L1004*$AE$21+M1004*$AE$22+N1004*$AE$23+O1004*$AE$24+P1004*$AE$25+Q1004*$AE$26+R1004*$AE$27+S1004*$AE$28+T1004*$AE$29+U1004*$AE$30</f>
        <v/>
      </c>
      <c r="W1004" s="8">
        <f>1/(1+EXP(-V1004))</f>
        <v/>
      </c>
      <c r="X1004" s="9">
        <f>-IF(C1004=1,LN(W1004),LN(1-W1004))</f>
        <v/>
      </c>
      <c r="Y1004" s="8">
        <f>'1 datos preparados'!V997</f>
        <v/>
      </c>
      <c r="Z1004" s="9">
        <f>Y1004*X1004</f>
        <v/>
      </c>
      <c r="AA1004" s="10">
        <f>IF(W1004&gt;$AE$33,1,0)</f>
        <v/>
      </c>
      <c r="AB1004">
        <f>IF(AA1004=C1004,1,0)</f>
        <v/>
      </c>
    </row>
    <row r="1005">
      <c r="A1005">
        <f>'1 datos preparados'!A998</f>
        <v/>
      </c>
      <c r="B1005" s="5">
        <f>'1 datos preparados'!U998</f>
        <v/>
      </c>
      <c r="C1005">
        <f>'1 datos preparados'!B998</f>
        <v/>
      </c>
      <c r="D1005" s="7">
        <f>'1 datos preparados'!C998</f>
        <v/>
      </c>
      <c r="E1005" s="7">
        <f>'1 datos preparados'!D998</f>
        <v/>
      </c>
      <c r="F1005" s="7">
        <f>'1 datos preparados'!E998</f>
        <v/>
      </c>
      <c r="G1005" s="7">
        <f>'1 datos preparados'!F998</f>
        <v/>
      </c>
      <c r="H1005" s="7">
        <f>'1 datos preparados'!G998</f>
        <v/>
      </c>
      <c r="I1005" s="7">
        <f>'1 datos preparados'!H998</f>
        <v/>
      </c>
      <c r="J1005" s="7">
        <f>'1 datos preparados'!I998</f>
        <v/>
      </c>
      <c r="K1005" s="7">
        <f>'1 datos preparados'!J998</f>
        <v/>
      </c>
      <c r="L1005" s="7">
        <f>'1 datos preparados'!K998</f>
        <v/>
      </c>
      <c r="M1005" s="7">
        <f>'1 datos preparados'!L998</f>
        <v/>
      </c>
      <c r="N1005" s="7">
        <f>'1 datos preparados'!M998</f>
        <v/>
      </c>
      <c r="O1005" s="7">
        <f>'1 datos preparados'!N998</f>
        <v/>
      </c>
      <c r="P1005" s="7">
        <f>'1 datos preparados'!O998</f>
        <v/>
      </c>
      <c r="Q1005" s="7">
        <f>'1 datos preparados'!P998</f>
        <v/>
      </c>
      <c r="R1005" s="7">
        <f>'1 datos preparados'!Q998</f>
        <v/>
      </c>
      <c r="S1005" s="7">
        <f>'1 datos preparados'!R998</f>
        <v/>
      </c>
      <c r="T1005" s="7">
        <f>'1 datos preparados'!S998</f>
        <v/>
      </c>
      <c r="U1005" s="7">
        <f>'1 datos preparados'!T998</f>
        <v/>
      </c>
      <c r="V1005" s="8">
        <f>$AE$12+D1005*$AE$13+E1005*$AE$14+F1005*$AE$15+G1005*$AE$16+H1005*$AE$17+I1005*$AE$18+J1005*$AE$19+K1005*$AE$20+L1005*$AE$21+M1005*$AE$22+N1005*$AE$23+O1005*$AE$24+P1005*$AE$25+Q1005*$AE$26+R1005*$AE$27+S1005*$AE$28+T1005*$AE$29+U1005*$AE$30</f>
        <v/>
      </c>
      <c r="W1005" s="8">
        <f>1/(1+EXP(-V1005))</f>
        <v/>
      </c>
      <c r="X1005" s="9">
        <f>-IF(C1005=1,LN(W1005),LN(1-W1005))</f>
        <v/>
      </c>
      <c r="Y1005" s="8">
        <f>'1 datos preparados'!V998</f>
        <v/>
      </c>
      <c r="Z1005" s="9">
        <f>Y1005*X1005</f>
        <v/>
      </c>
      <c r="AA1005" s="10">
        <f>IF(W1005&gt;$AE$33,1,0)</f>
        <v/>
      </c>
      <c r="AB1005">
        <f>IF(AA1005=C1005,1,0)</f>
        <v/>
      </c>
    </row>
    <row r="1006">
      <c r="A1006">
        <f>'1 datos preparados'!A999</f>
        <v/>
      </c>
      <c r="B1006" s="5">
        <f>'1 datos preparados'!U999</f>
        <v/>
      </c>
      <c r="C1006">
        <f>'1 datos preparados'!B999</f>
        <v/>
      </c>
      <c r="D1006" s="7">
        <f>'1 datos preparados'!C999</f>
        <v/>
      </c>
      <c r="E1006" s="7">
        <f>'1 datos preparados'!D999</f>
        <v/>
      </c>
      <c r="F1006" s="7">
        <f>'1 datos preparados'!E999</f>
        <v/>
      </c>
      <c r="G1006" s="7">
        <f>'1 datos preparados'!F999</f>
        <v/>
      </c>
      <c r="H1006" s="7">
        <f>'1 datos preparados'!G999</f>
        <v/>
      </c>
      <c r="I1006" s="7">
        <f>'1 datos preparados'!H999</f>
        <v/>
      </c>
      <c r="J1006" s="7">
        <f>'1 datos preparados'!I999</f>
        <v/>
      </c>
      <c r="K1006" s="7">
        <f>'1 datos preparados'!J999</f>
        <v/>
      </c>
      <c r="L1006" s="7">
        <f>'1 datos preparados'!K999</f>
        <v/>
      </c>
      <c r="M1006" s="7">
        <f>'1 datos preparados'!L999</f>
        <v/>
      </c>
      <c r="N1006" s="7">
        <f>'1 datos preparados'!M999</f>
        <v/>
      </c>
      <c r="O1006" s="7">
        <f>'1 datos preparados'!N999</f>
        <v/>
      </c>
      <c r="P1006" s="7">
        <f>'1 datos preparados'!O999</f>
        <v/>
      </c>
      <c r="Q1006" s="7">
        <f>'1 datos preparados'!P999</f>
        <v/>
      </c>
      <c r="R1006" s="7">
        <f>'1 datos preparados'!Q999</f>
        <v/>
      </c>
      <c r="S1006" s="7">
        <f>'1 datos preparados'!R999</f>
        <v/>
      </c>
      <c r="T1006" s="7">
        <f>'1 datos preparados'!S999</f>
        <v/>
      </c>
      <c r="U1006" s="7">
        <f>'1 datos preparados'!T999</f>
        <v/>
      </c>
      <c r="V1006" s="8">
        <f>$AE$12+D1006*$AE$13+E1006*$AE$14+F1006*$AE$15+G1006*$AE$16+H1006*$AE$17+I1006*$AE$18+J1006*$AE$19+K1006*$AE$20+L1006*$AE$21+M1006*$AE$22+N1006*$AE$23+O1006*$AE$24+P1006*$AE$25+Q1006*$AE$26+R1006*$AE$27+S1006*$AE$28+T1006*$AE$29+U1006*$AE$30</f>
        <v/>
      </c>
      <c r="W1006" s="8">
        <f>1/(1+EXP(-V1006))</f>
        <v/>
      </c>
      <c r="X1006" s="9">
        <f>-IF(C1006=1,LN(W1006),LN(1-W1006))</f>
        <v/>
      </c>
      <c r="Y1006" s="8">
        <f>'1 datos preparados'!V999</f>
        <v/>
      </c>
      <c r="Z1006" s="9">
        <f>Y1006*X1006</f>
        <v/>
      </c>
      <c r="AA1006" s="10">
        <f>IF(W1006&gt;$AE$33,1,0)</f>
        <v/>
      </c>
      <c r="AB1006">
        <f>IF(AA1006=C1006,1,0)</f>
        <v/>
      </c>
    </row>
    <row r="1007">
      <c r="A1007">
        <f>'1 datos preparados'!A1000</f>
        <v/>
      </c>
      <c r="B1007" s="5">
        <f>'1 datos preparados'!U1000</f>
        <v/>
      </c>
      <c r="C1007">
        <f>'1 datos preparados'!B1000</f>
        <v/>
      </c>
      <c r="D1007" s="7">
        <f>'1 datos preparados'!C1000</f>
        <v/>
      </c>
      <c r="E1007" s="7">
        <f>'1 datos preparados'!D1000</f>
        <v/>
      </c>
      <c r="F1007" s="7">
        <f>'1 datos preparados'!E1000</f>
        <v/>
      </c>
      <c r="G1007" s="7">
        <f>'1 datos preparados'!F1000</f>
        <v/>
      </c>
      <c r="H1007" s="7">
        <f>'1 datos preparados'!G1000</f>
        <v/>
      </c>
      <c r="I1007" s="7">
        <f>'1 datos preparados'!H1000</f>
        <v/>
      </c>
      <c r="J1007" s="7">
        <f>'1 datos preparados'!I1000</f>
        <v/>
      </c>
      <c r="K1007" s="7">
        <f>'1 datos preparados'!J1000</f>
        <v/>
      </c>
      <c r="L1007" s="7">
        <f>'1 datos preparados'!K1000</f>
        <v/>
      </c>
      <c r="M1007" s="7">
        <f>'1 datos preparados'!L1000</f>
        <v/>
      </c>
      <c r="N1007" s="7">
        <f>'1 datos preparados'!M1000</f>
        <v/>
      </c>
      <c r="O1007" s="7">
        <f>'1 datos preparados'!N1000</f>
        <v/>
      </c>
      <c r="P1007" s="7">
        <f>'1 datos preparados'!O1000</f>
        <v/>
      </c>
      <c r="Q1007" s="7">
        <f>'1 datos preparados'!P1000</f>
        <v/>
      </c>
      <c r="R1007" s="7">
        <f>'1 datos preparados'!Q1000</f>
        <v/>
      </c>
      <c r="S1007" s="7">
        <f>'1 datos preparados'!R1000</f>
        <v/>
      </c>
      <c r="T1007" s="7">
        <f>'1 datos preparados'!S1000</f>
        <v/>
      </c>
      <c r="U1007" s="7">
        <f>'1 datos preparados'!T1000</f>
        <v/>
      </c>
      <c r="V1007" s="8">
        <f>$AE$12+D1007*$AE$13+E1007*$AE$14+F1007*$AE$15+G1007*$AE$16+H1007*$AE$17+I1007*$AE$18+J1007*$AE$19+K1007*$AE$20+L1007*$AE$21+M1007*$AE$22+N1007*$AE$23+O1007*$AE$24+P1007*$AE$25+Q1007*$AE$26+R1007*$AE$27+S1007*$AE$28+T1007*$AE$29+U1007*$AE$30</f>
        <v/>
      </c>
      <c r="W1007" s="8">
        <f>1/(1+EXP(-V1007))</f>
        <v/>
      </c>
      <c r="X1007" s="9">
        <f>-IF(C1007=1,LN(W1007),LN(1-W1007))</f>
        <v/>
      </c>
      <c r="Y1007" s="8">
        <f>'1 datos preparados'!V1000</f>
        <v/>
      </c>
      <c r="Z1007" s="9">
        <f>Y1007*X1007</f>
        <v/>
      </c>
      <c r="AA1007" s="10">
        <f>IF(W1007&gt;$AE$33,1,0)</f>
        <v/>
      </c>
      <c r="AB1007">
        <f>IF(AA1007=C1007,1,0)</f>
        <v/>
      </c>
    </row>
    <row r="1008">
      <c r="A1008">
        <f>'1 datos preparados'!A1001</f>
        <v/>
      </c>
      <c r="B1008" s="5">
        <f>'1 datos preparados'!U1001</f>
        <v/>
      </c>
      <c r="C1008">
        <f>'1 datos preparados'!B1001</f>
        <v/>
      </c>
      <c r="D1008" s="7">
        <f>'1 datos preparados'!C1001</f>
        <v/>
      </c>
      <c r="E1008" s="7">
        <f>'1 datos preparados'!D1001</f>
        <v/>
      </c>
      <c r="F1008" s="7">
        <f>'1 datos preparados'!E1001</f>
        <v/>
      </c>
      <c r="G1008" s="7">
        <f>'1 datos preparados'!F1001</f>
        <v/>
      </c>
      <c r="H1008" s="7">
        <f>'1 datos preparados'!G1001</f>
        <v/>
      </c>
      <c r="I1008" s="7">
        <f>'1 datos preparados'!H1001</f>
        <v/>
      </c>
      <c r="J1008" s="7">
        <f>'1 datos preparados'!I1001</f>
        <v/>
      </c>
      <c r="K1008" s="7">
        <f>'1 datos preparados'!J1001</f>
        <v/>
      </c>
      <c r="L1008" s="7">
        <f>'1 datos preparados'!K1001</f>
        <v/>
      </c>
      <c r="M1008" s="7">
        <f>'1 datos preparados'!L1001</f>
        <v/>
      </c>
      <c r="N1008" s="7">
        <f>'1 datos preparados'!M1001</f>
        <v/>
      </c>
      <c r="O1008" s="7">
        <f>'1 datos preparados'!N1001</f>
        <v/>
      </c>
      <c r="P1008" s="7">
        <f>'1 datos preparados'!O1001</f>
        <v/>
      </c>
      <c r="Q1008" s="7">
        <f>'1 datos preparados'!P1001</f>
        <v/>
      </c>
      <c r="R1008" s="7">
        <f>'1 datos preparados'!Q1001</f>
        <v/>
      </c>
      <c r="S1008" s="7">
        <f>'1 datos preparados'!R1001</f>
        <v/>
      </c>
      <c r="T1008" s="7">
        <f>'1 datos preparados'!S1001</f>
        <v/>
      </c>
      <c r="U1008" s="7">
        <f>'1 datos preparados'!T1001</f>
        <v/>
      </c>
      <c r="V1008" s="8">
        <f>$AE$12+D1008*$AE$13+E1008*$AE$14+F1008*$AE$15+G1008*$AE$16+H1008*$AE$17+I1008*$AE$18+J1008*$AE$19+K1008*$AE$20+L1008*$AE$21+M1008*$AE$22+N1008*$AE$23+O1008*$AE$24+P1008*$AE$25+Q1008*$AE$26+R1008*$AE$27+S1008*$AE$28+T1008*$AE$29+U1008*$AE$30</f>
        <v/>
      </c>
      <c r="W1008" s="8">
        <f>1/(1+EXP(-V1008))</f>
        <v/>
      </c>
      <c r="X1008" s="9">
        <f>-IF(C1008=1,LN(W1008),LN(1-W1008))</f>
        <v/>
      </c>
      <c r="Y1008" s="8">
        <f>'1 datos preparados'!V1001</f>
        <v/>
      </c>
      <c r="Z1008" s="9">
        <f>Y1008*X1008</f>
        <v/>
      </c>
      <c r="AA1008" s="10">
        <f>IF(W1008&gt;$AE$33,1,0)</f>
        <v/>
      </c>
      <c r="AB1008">
        <f>IF(AA1008=C1008,1,0)</f>
        <v/>
      </c>
    </row>
    <row r="1009">
      <c r="A1009">
        <f>'1 datos preparados'!A1002</f>
        <v/>
      </c>
      <c r="B1009" s="5">
        <f>'1 datos preparados'!U1002</f>
        <v/>
      </c>
      <c r="C1009">
        <f>'1 datos preparados'!B1002</f>
        <v/>
      </c>
      <c r="D1009" s="7">
        <f>'1 datos preparados'!C1002</f>
        <v/>
      </c>
      <c r="E1009" s="7">
        <f>'1 datos preparados'!D1002</f>
        <v/>
      </c>
      <c r="F1009" s="7">
        <f>'1 datos preparados'!E1002</f>
        <v/>
      </c>
      <c r="G1009" s="7">
        <f>'1 datos preparados'!F1002</f>
        <v/>
      </c>
      <c r="H1009" s="7">
        <f>'1 datos preparados'!G1002</f>
        <v/>
      </c>
      <c r="I1009" s="7">
        <f>'1 datos preparados'!H1002</f>
        <v/>
      </c>
      <c r="J1009" s="7">
        <f>'1 datos preparados'!I1002</f>
        <v/>
      </c>
      <c r="K1009" s="7">
        <f>'1 datos preparados'!J1002</f>
        <v/>
      </c>
      <c r="L1009" s="7">
        <f>'1 datos preparados'!K1002</f>
        <v/>
      </c>
      <c r="M1009" s="7">
        <f>'1 datos preparados'!L1002</f>
        <v/>
      </c>
      <c r="N1009" s="7">
        <f>'1 datos preparados'!M1002</f>
        <v/>
      </c>
      <c r="O1009" s="7">
        <f>'1 datos preparados'!N1002</f>
        <v/>
      </c>
      <c r="P1009" s="7">
        <f>'1 datos preparados'!O1002</f>
        <v/>
      </c>
      <c r="Q1009" s="7">
        <f>'1 datos preparados'!P1002</f>
        <v/>
      </c>
      <c r="R1009" s="7">
        <f>'1 datos preparados'!Q1002</f>
        <v/>
      </c>
      <c r="S1009" s="7">
        <f>'1 datos preparados'!R1002</f>
        <v/>
      </c>
      <c r="T1009" s="7">
        <f>'1 datos preparados'!S1002</f>
        <v/>
      </c>
      <c r="U1009" s="7">
        <f>'1 datos preparados'!T1002</f>
        <v/>
      </c>
      <c r="V1009" s="8">
        <f>$AE$12+D1009*$AE$13+E1009*$AE$14+F1009*$AE$15+G1009*$AE$16+H1009*$AE$17+I1009*$AE$18+J1009*$AE$19+K1009*$AE$20+L1009*$AE$21+M1009*$AE$22+N1009*$AE$23+O1009*$AE$24+P1009*$AE$25+Q1009*$AE$26+R1009*$AE$27+S1009*$AE$28+T1009*$AE$29+U1009*$AE$30</f>
        <v/>
      </c>
      <c r="W1009" s="8">
        <f>1/(1+EXP(-V1009))</f>
        <v/>
      </c>
      <c r="X1009" s="9">
        <f>-IF(C1009=1,LN(W1009),LN(1-W1009))</f>
        <v/>
      </c>
      <c r="Y1009" s="8">
        <f>'1 datos preparados'!V1002</f>
        <v/>
      </c>
      <c r="Z1009" s="9">
        <f>Y1009*X1009</f>
        <v/>
      </c>
      <c r="AA1009" s="10">
        <f>IF(W1009&gt;$AE$33,1,0)</f>
        <v/>
      </c>
      <c r="AB1009">
        <f>IF(AA1009=C1009,1,0)</f>
        <v/>
      </c>
    </row>
    <row r="1010">
      <c r="A1010">
        <f>'1 datos preparados'!A1003</f>
        <v/>
      </c>
      <c r="B1010" s="5">
        <f>'1 datos preparados'!U1003</f>
        <v/>
      </c>
      <c r="C1010">
        <f>'1 datos preparados'!B1003</f>
        <v/>
      </c>
      <c r="D1010" s="7">
        <f>'1 datos preparados'!C1003</f>
        <v/>
      </c>
      <c r="E1010" s="7">
        <f>'1 datos preparados'!D1003</f>
        <v/>
      </c>
      <c r="F1010" s="7">
        <f>'1 datos preparados'!E1003</f>
        <v/>
      </c>
      <c r="G1010" s="7">
        <f>'1 datos preparados'!F1003</f>
        <v/>
      </c>
      <c r="H1010" s="7">
        <f>'1 datos preparados'!G1003</f>
        <v/>
      </c>
      <c r="I1010" s="7">
        <f>'1 datos preparados'!H1003</f>
        <v/>
      </c>
      <c r="J1010" s="7">
        <f>'1 datos preparados'!I1003</f>
        <v/>
      </c>
      <c r="K1010" s="7">
        <f>'1 datos preparados'!J1003</f>
        <v/>
      </c>
      <c r="L1010" s="7">
        <f>'1 datos preparados'!K1003</f>
        <v/>
      </c>
      <c r="M1010" s="7">
        <f>'1 datos preparados'!L1003</f>
        <v/>
      </c>
      <c r="N1010" s="7">
        <f>'1 datos preparados'!M1003</f>
        <v/>
      </c>
      <c r="O1010" s="7">
        <f>'1 datos preparados'!N1003</f>
        <v/>
      </c>
      <c r="P1010" s="7">
        <f>'1 datos preparados'!O1003</f>
        <v/>
      </c>
      <c r="Q1010" s="7">
        <f>'1 datos preparados'!P1003</f>
        <v/>
      </c>
      <c r="R1010" s="7">
        <f>'1 datos preparados'!Q1003</f>
        <v/>
      </c>
      <c r="S1010" s="7">
        <f>'1 datos preparados'!R1003</f>
        <v/>
      </c>
      <c r="T1010" s="7">
        <f>'1 datos preparados'!S1003</f>
        <v/>
      </c>
      <c r="U1010" s="7">
        <f>'1 datos preparados'!T1003</f>
        <v/>
      </c>
      <c r="V1010" s="8">
        <f>$AE$12+D1010*$AE$13+E1010*$AE$14+F1010*$AE$15+G1010*$AE$16+H1010*$AE$17+I1010*$AE$18+J1010*$AE$19+K1010*$AE$20+L1010*$AE$21+M1010*$AE$22+N1010*$AE$23+O1010*$AE$24+P1010*$AE$25+Q1010*$AE$26+R1010*$AE$27+S1010*$AE$28+T1010*$AE$29+U1010*$AE$30</f>
        <v/>
      </c>
      <c r="W1010" s="8">
        <f>1/(1+EXP(-V1010))</f>
        <v/>
      </c>
      <c r="X1010" s="9">
        <f>-IF(C1010=1,LN(W1010),LN(1-W1010))</f>
        <v/>
      </c>
      <c r="Y1010" s="8">
        <f>'1 datos preparados'!V1003</f>
        <v/>
      </c>
      <c r="Z1010" s="9">
        <f>Y1010*X1010</f>
        <v/>
      </c>
      <c r="AA1010" s="10">
        <f>IF(W1010&gt;$AE$33,1,0)</f>
        <v/>
      </c>
      <c r="AB1010">
        <f>IF(AA1010=C1010,1,0)</f>
        <v/>
      </c>
    </row>
    <row r="1011">
      <c r="A1011">
        <f>'1 datos preparados'!A1004</f>
        <v/>
      </c>
      <c r="B1011" s="5">
        <f>'1 datos preparados'!U1004</f>
        <v/>
      </c>
      <c r="C1011">
        <f>'1 datos preparados'!B1004</f>
        <v/>
      </c>
      <c r="D1011" s="7">
        <f>'1 datos preparados'!C1004</f>
        <v/>
      </c>
      <c r="E1011" s="7">
        <f>'1 datos preparados'!D1004</f>
        <v/>
      </c>
      <c r="F1011" s="7">
        <f>'1 datos preparados'!E1004</f>
        <v/>
      </c>
      <c r="G1011" s="7">
        <f>'1 datos preparados'!F1004</f>
        <v/>
      </c>
      <c r="H1011" s="7">
        <f>'1 datos preparados'!G1004</f>
        <v/>
      </c>
      <c r="I1011" s="7">
        <f>'1 datos preparados'!H1004</f>
        <v/>
      </c>
      <c r="J1011" s="7">
        <f>'1 datos preparados'!I1004</f>
        <v/>
      </c>
      <c r="K1011" s="7">
        <f>'1 datos preparados'!J1004</f>
        <v/>
      </c>
      <c r="L1011" s="7">
        <f>'1 datos preparados'!K1004</f>
        <v/>
      </c>
      <c r="M1011" s="7">
        <f>'1 datos preparados'!L1004</f>
        <v/>
      </c>
      <c r="N1011" s="7">
        <f>'1 datos preparados'!M1004</f>
        <v/>
      </c>
      <c r="O1011" s="7">
        <f>'1 datos preparados'!N1004</f>
        <v/>
      </c>
      <c r="P1011" s="7">
        <f>'1 datos preparados'!O1004</f>
        <v/>
      </c>
      <c r="Q1011" s="7">
        <f>'1 datos preparados'!P1004</f>
        <v/>
      </c>
      <c r="R1011" s="7">
        <f>'1 datos preparados'!Q1004</f>
        <v/>
      </c>
      <c r="S1011" s="7">
        <f>'1 datos preparados'!R1004</f>
        <v/>
      </c>
      <c r="T1011" s="7">
        <f>'1 datos preparados'!S1004</f>
        <v/>
      </c>
      <c r="U1011" s="7">
        <f>'1 datos preparados'!T1004</f>
        <v/>
      </c>
      <c r="V1011" s="8">
        <f>$AE$12+D1011*$AE$13+E1011*$AE$14+F1011*$AE$15+G1011*$AE$16+H1011*$AE$17+I1011*$AE$18+J1011*$AE$19+K1011*$AE$20+L1011*$AE$21+M1011*$AE$22+N1011*$AE$23+O1011*$AE$24+P1011*$AE$25+Q1011*$AE$26+R1011*$AE$27+S1011*$AE$28+T1011*$AE$29+U1011*$AE$30</f>
        <v/>
      </c>
      <c r="W1011" s="8">
        <f>1/(1+EXP(-V1011))</f>
        <v/>
      </c>
      <c r="X1011" s="9">
        <f>-IF(C1011=1,LN(W1011),LN(1-W1011))</f>
        <v/>
      </c>
      <c r="Y1011" s="8">
        <f>'1 datos preparados'!V1004</f>
        <v/>
      </c>
      <c r="Z1011" s="9">
        <f>Y1011*X1011</f>
        <v/>
      </c>
      <c r="AA1011" s="10">
        <f>IF(W1011&gt;$AE$33,1,0)</f>
        <v/>
      </c>
      <c r="AB1011">
        <f>IF(AA1011=C1011,1,0)</f>
        <v/>
      </c>
    </row>
  </sheetData>
  <mergeCells count="3">
    <mergeCell ref="A3:R3"/>
    <mergeCell ref="A2:R2"/>
    <mergeCell ref="AD47:AF47"/>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M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18" customWidth="1" min="7" max="7"/>
    <col width="13" customWidth="1" min="8" max="8"/>
    <col width="10" customWidth="1" min="9" max="9"/>
    <col width="14" customWidth="1" min="10" max="10"/>
    <col width="13" customWidth="1" min="11" max="11"/>
    <col width="13" customWidth="1" min="12" max="12"/>
    <col width="18" customWidth="1" min="13" max="13"/>
    <col width="16" customWidth="1" min="14" max="14"/>
    <col width="18" customWidth="1" min="15" max="15"/>
    <col width="19" customWidth="1" min="16" max="16"/>
    <col width="18" customWidth="1" min="17" max="17"/>
    <col width="16" customWidth="1" min="18" max="18"/>
    <col width="15" customWidth="1" min="19" max="19"/>
    <col width="19" customWidth="1" min="20" max="20"/>
    <col width="18" customWidth="1" min="21" max="21"/>
    <col width="10" customWidth="1" min="22" max="22"/>
    <col width="14" customWidth="1" min="23" max="23"/>
    <col width="10" customWidth="1" min="24" max="24"/>
    <col width="13" customWidth="1" min="25" max="25"/>
    <col width="18" customWidth="1" min="26" max="26"/>
    <col width="11" customWidth="1" min="27" max="27"/>
    <col width="10" customWidth="1" min="28" max="28"/>
    <col width="56" customWidth="1" min="30" max="30"/>
    <col width="21" customWidth="1" min="31" max="31"/>
    <col width="27" customWidth="1" min="32" max="32"/>
    <col width="24" customWidth="1" min="35" max="35"/>
    <col width="10" customWidth="1" min="36" max="36"/>
    <col width="11" customWidth="1" min="37" max="37"/>
    <col width="11" customWidth="1" min="38" max="38"/>
    <col width="10" customWidth="1" min="39" max="39"/>
  </cols>
  <sheetData>
    <row r="1">
      <c r="A1" s="3" t="inlineStr">
        <is>
          <t>Sobremuestreo: repetir a los malos pagadores</t>
        </is>
      </c>
    </row>
    <row r="2" ht="49.5" customHeight="1">
      <c r="A2" s="2" t="inlineStr">
        <is>
          <t>La corrección espejo: en vez de sacar buenos, se repiten los malos. Cada mal pagador aparece dos veces en training (420 contra 490). No hace falta pegar filas: repetir una fila k veces es exactamente lo mismo que multiplicar su pérdida por k, que es lo que hace la columna 'peso de fila'. Eso también muestra que sobremuestreo y class weights son la misma idea con distinta ropa: con repeticiones 1,667 y 0,714 esta hoja es idéntica a la hoja 3.</t>
        </is>
      </c>
    </row>
    <row r="3" ht="49.5" customHeight="1">
      <c r="A3" s="2" t="inlineStr">
        <is>
          <t>El sobremuestreo por repetición tiene un riesgo con modelos flexibles (árboles, redes): la misma fila repetida se memoriza. Con una logística no pasa nada grave, porque la recta no puede memorizar filas. Por eso, para la logística, la recomendación es class weights, que hace lo mismo sin duplicar datos.</t>
        </is>
      </c>
    </row>
    <row r="4"/>
    <row r="5"/>
    <row r="6"/>
    <row r="7"/>
    <row r="8"/>
    <row r="9"/>
    <row r="10">
      <c r="AD10" s="3" t="inlineStr">
        <is>
          <t>Pesos del modelo (theta): parten de la solución sin balancear</t>
        </is>
      </c>
      <c r="AI10" s="3" t="inlineStr">
        <is>
          <t>EVALUACIÓN EN TESTING (con el umbral celeste)</t>
        </is>
      </c>
    </row>
    <row r="11">
      <c r="A11" s="4" t="inlineStr">
        <is>
          <t>id</t>
        </is>
      </c>
      <c r="B11" s="4" t="inlineStr">
        <is>
          <t>conjunto</t>
        </is>
      </c>
      <c r="C11" s="4" t="inlineStr">
        <is>
          <t>y</t>
        </is>
      </c>
      <c r="D11" s="4" t="inlineStr">
        <is>
          <t>duracion</t>
        </is>
      </c>
      <c r="E11" s="4" t="inlineStr">
        <is>
          <t>monto</t>
        </is>
      </c>
      <c r="F11" s="4" t="inlineStr">
        <is>
          <t>edad</t>
        </is>
      </c>
      <c r="G11" s="4" t="inlineStr">
        <is>
          <t>cuota_pct_ingreso</t>
        </is>
      </c>
      <c r="H11" s="4" t="inlineStr">
        <is>
          <t>cta_negativa</t>
        </is>
      </c>
      <c r="I11" s="4" t="inlineStr">
        <is>
          <t>cta_0_200</t>
        </is>
      </c>
      <c r="J11" s="4" t="inlineStr">
        <is>
          <t>cta_sobre_200</t>
        </is>
      </c>
      <c r="K11" s="4" t="inlineStr">
        <is>
          <t>hist_critico</t>
        </is>
      </c>
      <c r="L11" s="4" t="inlineStr">
        <is>
          <t>hist_atrasos</t>
        </is>
      </c>
      <c r="M11" s="4" t="inlineStr">
        <is>
          <t>hist_sin_creditos</t>
        </is>
      </c>
      <c r="N11" s="4" t="inlineStr">
        <is>
          <t>ahorro_100_1000</t>
        </is>
      </c>
      <c r="O11" s="4" t="inlineStr">
        <is>
          <t>ahorro_sobre_1000</t>
        </is>
      </c>
      <c r="P11" s="4" t="inlineStr">
        <is>
          <t>ahorro_desconocido</t>
        </is>
      </c>
      <c r="Q11" s="4" t="inlineStr">
        <is>
          <t>vivienda_arriendo</t>
        </is>
      </c>
      <c r="R11" s="4" t="inlineStr">
        <is>
          <t>vivienda_gratis</t>
        </is>
      </c>
      <c r="S11" s="4" t="inlineStr">
        <is>
          <t>proposito_auto</t>
        </is>
      </c>
      <c r="T11" s="4" t="inlineStr">
        <is>
          <t>proposito_radio_tv</t>
        </is>
      </c>
      <c r="U11" s="4" t="inlineStr">
        <is>
          <t>proposito_muebles</t>
        </is>
      </c>
      <c r="V11" s="4" t="inlineStr">
        <is>
          <t>Z (recta)</t>
        </is>
      </c>
      <c r="W11" s="4" t="inlineStr">
        <is>
          <t>p (logística)</t>
        </is>
      </c>
      <c r="X11" s="4" t="inlineStr">
        <is>
          <t>pérdida</t>
        </is>
      </c>
      <c r="Y11" s="4" t="inlineStr">
        <is>
          <t>peso de fila</t>
        </is>
      </c>
      <c r="Z11" s="4" t="inlineStr">
        <is>
          <t>pérdida ponderada</t>
        </is>
      </c>
      <c r="AA11" s="4" t="inlineStr">
        <is>
          <t>predicción</t>
        </is>
      </c>
      <c r="AB11" s="4" t="inlineStr">
        <is>
          <t>acierto</t>
        </is>
      </c>
      <c r="AD11" s="4" t="inlineStr">
        <is>
          <t>variable</t>
        </is>
      </c>
      <c r="AE11" s="4" t="inlineStr">
        <is>
          <t>theta (celeste)</t>
        </is>
      </c>
      <c r="AF11" s="4" t="inlineStr">
        <is>
          <t>referencia scikit-learn para esta variante</t>
        </is>
      </c>
    </row>
    <row r="12">
      <c r="A12">
        <f>'1 datos preparados'!A5</f>
        <v/>
      </c>
      <c r="B12" s="5">
        <f>'1 datos preparados'!U5</f>
        <v/>
      </c>
      <c r="C12">
        <f>'1 datos preparados'!B5</f>
        <v/>
      </c>
      <c r="D12" s="7">
        <f>'1 datos preparados'!C5</f>
        <v/>
      </c>
      <c r="E12" s="7">
        <f>'1 datos preparados'!D5</f>
        <v/>
      </c>
      <c r="F12" s="7">
        <f>'1 datos preparados'!E5</f>
        <v/>
      </c>
      <c r="G12" s="7">
        <f>'1 datos preparados'!F5</f>
        <v/>
      </c>
      <c r="H12" s="7">
        <f>'1 datos preparados'!G5</f>
        <v/>
      </c>
      <c r="I12" s="7">
        <f>'1 datos preparados'!H5</f>
        <v/>
      </c>
      <c r="J12" s="7">
        <f>'1 datos preparados'!I5</f>
        <v/>
      </c>
      <c r="K12" s="7">
        <f>'1 datos preparados'!J5</f>
        <v/>
      </c>
      <c r="L12" s="7">
        <f>'1 datos preparados'!K5</f>
        <v/>
      </c>
      <c r="M12" s="7">
        <f>'1 datos preparados'!L5</f>
        <v/>
      </c>
      <c r="N12" s="7">
        <f>'1 datos preparados'!M5</f>
        <v/>
      </c>
      <c r="O12" s="7">
        <f>'1 datos preparados'!N5</f>
        <v/>
      </c>
      <c r="P12" s="7">
        <f>'1 datos preparados'!O5</f>
        <v/>
      </c>
      <c r="Q12" s="7">
        <f>'1 datos preparados'!P5</f>
        <v/>
      </c>
      <c r="R12" s="7">
        <f>'1 datos preparados'!Q5</f>
        <v/>
      </c>
      <c r="S12" s="7">
        <f>'1 datos preparados'!R5</f>
        <v/>
      </c>
      <c r="T12" s="7">
        <f>'1 datos preparados'!S5</f>
        <v/>
      </c>
      <c r="U12" s="7">
        <f>'1 datos preparados'!T5</f>
        <v/>
      </c>
      <c r="V12" s="8">
        <f>$AE$12+D12*$AE$13+E12*$AE$14+F12*$AE$15+G12*$AE$16+H12*$AE$17+I12*$AE$18+J12*$AE$19+K12*$AE$20+L12*$AE$21+M12*$AE$22+N12*$AE$23+O12*$AE$24+P12*$AE$25+Q12*$AE$26+R12*$AE$27+S12*$AE$28+T12*$AE$29+U12*$AE$30</f>
        <v/>
      </c>
      <c r="W12" s="8">
        <f>1/(1+EXP(-V12))</f>
        <v/>
      </c>
      <c r="X12" s="9">
        <f>-IF(C12=1,LN(W12),LN(1-W12))</f>
        <v/>
      </c>
      <c r="Y12" s="8">
        <f>IF(C12=1,$AE$32,$AE$33)</f>
        <v/>
      </c>
      <c r="Z12" s="9">
        <f>Y12*X12</f>
        <v/>
      </c>
      <c r="AA12" s="10">
        <f>IF(W12&gt;$AE$34,1,0)</f>
        <v/>
      </c>
      <c r="AB12">
        <f>IF(AA12=C12,1,0)</f>
        <v/>
      </c>
      <c r="AD12" t="inlineStr">
        <is>
          <t>intercepto</t>
        </is>
      </c>
      <c r="AE12" s="11" t="n">
        <v>-1.341270962110326</v>
      </c>
      <c r="AF12" s="12" t="n">
        <v>-0.6414173122027131</v>
      </c>
    </row>
    <row r="13">
      <c r="A13">
        <f>'1 datos preparados'!A6</f>
        <v/>
      </c>
      <c r="B13" s="5">
        <f>'1 datos preparados'!U6</f>
        <v/>
      </c>
      <c r="C13">
        <f>'1 datos preparados'!B6</f>
        <v/>
      </c>
      <c r="D13" s="7">
        <f>'1 datos preparados'!C6</f>
        <v/>
      </c>
      <c r="E13" s="7">
        <f>'1 datos preparados'!D6</f>
        <v/>
      </c>
      <c r="F13" s="7">
        <f>'1 datos preparados'!E6</f>
        <v/>
      </c>
      <c r="G13" s="7">
        <f>'1 datos preparados'!F6</f>
        <v/>
      </c>
      <c r="H13" s="7">
        <f>'1 datos preparados'!G6</f>
        <v/>
      </c>
      <c r="I13" s="7">
        <f>'1 datos preparados'!H6</f>
        <v/>
      </c>
      <c r="J13" s="7">
        <f>'1 datos preparados'!I6</f>
        <v/>
      </c>
      <c r="K13" s="7">
        <f>'1 datos preparados'!J6</f>
        <v/>
      </c>
      <c r="L13" s="7">
        <f>'1 datos preparados'!K6</f>
        <v/>
      </c>
      <c r="M13" s="7">
        <f>'1 datos preparados'!L6</f>
        <v/>
      </c>
      <c r="N13" s="7">
        <f>'1 datos preparados'!M6</f>
        <v/>
      </c>
      <c r="O13" s="7">
        <f>'1 datos preparados'!N6</f>
        <v/>
      </c>
      <c r="P13" s="7">
        <f>'1 datos preparados'!O6</f>
        <v/>
      </c>
      <c r="Q13" s="7">
        <f>'1 datos preparados'!P6</f>
        <v/>
      </c>
      <c r="R13" s="7">
        <f>'1 datos preparados'!Q6</f>
        <v/>
      </c>
      <c r="S13" s="7">
        <f>'1 datos preparados'!R6</f>
        <v/>
      </c>
      <c r="T13" s="7">
        <f>'1 datos preparados'!S6</f>
        <v/>
      </c>
      <c r="U13" s="7">
        <f>'1 datos preparados'!T6</f>
        <v/>
      </c>
      <c r="V13" s="8">
        <f>$AE$12+D13*$AE$13+E13*$AE$14+F13*$AE$15+G13*$AE$16+H13*$AE$17+I13*$AE$18+J13*$AE$19+K13*$AE$20+L13*$AE$21+M13*$AE$22+N13*$AE$23+O13*$AE$24+P13*$AE$25+Q13*$AE$26+R13*$AE$27+S13*$AE$28+T13*$AE$29+U13*$AE$30</f>
        <v/>
      </c>
      <c r="W13" s="8">
        <f>1/(1+EXP(-V13))</f>
        <v/>
      </c>
      <c r="X13" s="9">
        <f>-IF(C13=1,LN(W13),LN(1-W13))</f>
        <v/>
      </c>
      <c r="Y13" s="8">
        <f>IF(C13=1,$AE$32,$AE$33)</f>
        <v/>
      </c>
      <c r="Z13" s="9">
        <f>Y13*X13</f>
        <v/>
      </c>
      <c r="AA13" s="10">
        <f>IF(W13&gt;$AE$34,1,0)</f>
        <v/>
      </c>
      <c r="AB13">
        <f>IF(AA13=C13,1,0)</f>
        <v/>
      </c>
      <c r="AD13" t="inlineStr">
        <is>
          <t>duracion</t>
        </is>
      </c>
      <c r="AE13" s="11" t="n">
        <v>0.3247012549391071</v>
      </c>
      <c r="AF13" s="12" t="n">
        <v>0.2972255055849982</v>
      </c>
      <c r="AK13" s="3" t="inlineStr">
        <is>
          <t>predicho 0</t>
        </is>
      </c>
      <c r="AL13" s="3" t="inlineStr">
        <is>
          <t>predicho 1</t>
        </is>
      </c>
      <c r="AM13" s="3" t="inlineStr">
        <is>
          <t>total</t>
        </is>
      </c>
    </row>
    <row r="14">
      <c r="A14">
        <f>'1 datos preparados'!A7</f>
        <v/>
      </c>
      <c r="B14" s="5">
        <f>'1 datos preparados'!U7</f>
        <v/>
      </c>
      <c r="C14">
        <f>'1 datos preparados'!B7</f>
        <v/>
      </c>
      <c r="D14" s="7">
        <f>'1 datos preparados'!C7</f>
        <v/>
      </c>
      <c r="E14" s="7">
        <f>'1 datos preparados'!D7</f>
        <v/>
      </c>
      <c r="F14" s="7">
        <f>'1 datos preparados'!E7</f>
        <v/>
      </c>
      <c r="G14" s="7">
        <f>'1 datos preparados'!F7</f>
        <v/>
      </c>
      <c r="H14" s="7">
        <f>'1 datos preparados'!G7</f>
        <v/>
      </c>
      <c r="I14" s="7">
        <f>'1 datos preparados'!H7</f>
        <v/>
      </c>
      <c r="J14" s="7">
        <f>'1 datos preparados'!I7</f>
        <v/>
      </c>
      <c r="K14" s="7">
        <f>'1 datos preparados'!J7</f>
        <v/>
      </c>
      <c r="L14" s="7">
        <f>'1 datos preparados'!K7</f>
        <v/>
      </c>
      <c r="M14" s="7">
        <f>'1 datos preparados'!L7</f>
        <v/>
      </c>
      <c r="N14" s="7">
        <f>'1 datos preparados'!M7</f>
        <v/>
      </c>
      <c r="O14" s="7">
        <f>'1 datos preparados'!N7</f>
        <v/>
      </c>
      <c r="P14" s="7">
        <f>'1 datos preparados'!O7</f>
        <v/>
      </c>
      <c r="Q14" s="7">
        <f>'1 datos preparados'!P7</f>
        <v/>
      </c>
      <c r="R14" s="7">
        <f>'1 datos preparados'!Q7</f>
        <v/>
      </c>
      <c r="S14" s="7">
        <f>'1 datos preparados'!R7</f>
        <v/>
      </c>
      <c r="T14" s="7">
        <f>'1 datos preparados'!S7</f>
        <v/>
      </c>
      <c r="U14" s="7">
        <f>'1 datos preparados'!T7</f>
        <v/>
      </c>
      <c r="V14" s="8">
        <f>$AE$12+D14*$AE$13+E14*$AE$14+F14*$AE$15+G14*$AE$16+H14*$AE$17+I14*$AE$18+J14*$AE$19+K14*$AE$20+L14*$AE$21+M14*$AE$22+N14*$AE$23+O14*$AE$24+P14*$AE$25+Q14*$AE$26+R14*$AE$27+S14*$AE$28+T14*$AE$29+U14*$AE$30</f>
        <v/>
      </c>
      <c r="W14" s="8">
        <f>1/(1+EXP(-V14))</f>
        <v/>
      </c>
      <c r="X14" s="9">
        <f>-IF(C14=1,LN(W14),LN(1-W14))</f>
        <v/>
      </c>
      <c r="Y14" s="8">
        <f>IF(C14=1,$AE$32,$AE$33)</f>
        <v/>
      </c>
      <c r="Z14" s="9">
        <f>Y14*X14</f>
        <v/>
      </c>
      <c r="AA14" s="10">
        <f>IF(W14&gt;$AE$34,1,0)</f>
        <v/>
      </c>
      <c r="AB14">
        <f>IF(AA14=C14,1,0)</f>
        <v/>
      </c>
      <c r="AD14" t="inlineStr">
        <is>
          <t>monto</t>
        </is>
      </c>
      <c r="AE14" s="11" t="n">
        <v>0.1163535941884676</v>
      </c>
      <c r="AF14" s="12" t="n">
        <v>0.1525946765631302</v>
      </c>
      <c r="AI14" s="3" t="inlineStr">
        <is>
          <t>real 0 (buen pagador)</t>
        </is>
      </c>
      <c r="AJ14" t="inlineStr">
        <is>
          <t>TN | FP</t>
        </is>
      </c>
      <c r="AK14" s="13">
        <f>COUNTIFS($B$12:$B$1011,"testing",$C$12:$C$1011,0,$AA$12:$AA$1011,0)</f>
        <v/>
      </c>
      <c r="AL14" s="13">
        <f>COUNTIFS($B$12:$B$1011,"testing",$C$12:$C$1011,0,$AA$12:$AA$1011,1)</f>
        <v/>
      </c>
      <c r="AM14">
        <f>AK14+AL14</f>
        <v/>
      </c>
    </row>
    <row r="15">
      <c r="A15">
        <f>'1 datos preparados'!A8</f>
        <v/>
      </c>
      <c r="B15" s="5">
        <f>'1 datos preparados'!U8</f>
        <v/>
      </c>
      <c r="C15">
        <f>'1 datos preparados'!B8</f>
        <v/>
      </c>
      <c r="D15" s="7">
        <f>'1 datos preparados'!C8</f>
        <v/>
      </c>
      <c r="E15" s="7">
        <f>'1 datos preparados'!D8</f>
        <v/>
      </c>
      <c r="F15" s="7">
        <f>'1 datos preparados'!E8</f>
        <v/>
      </c>
      <c r="G15" s="7">
        <f>'1 datos preparados'!F8</f>
        <v/>
      </c>
      <c r="H15" s="7">
        <f>'1 datos preparados'!G8</f>
        <v/>
      </c>
      <c r="I15" s="7">
        <f>'1 datos preparados'!H8</f>
        <v/>
      </c>
      <c r="J15" s="7">
        <f>'1 datos preparados'!I8</f>
        <v/>
      </c>
      <c r="K15" s="7">
        <f>'1 datos preparados'!J8</f>
        <v/>
      </c>
      <c r="L15" s="7">
        <f>'1 datos preparados'!K8</f>
        <v/>
      </c>
      <c r="M15" s="7">
        <f>'1 datos preparados'!L8</f>
        <v/>
      </c>
      <c r="N15" s="7">
        <f>'1 datos preparados'!M8</f>
        <v/>
      </c>
      <c r="O15" s="7">
        <f>'1 datos preparados'!N8</f>
        <v/>
      </c>
      <c r="P15" s="7">
        <f>'1 datos preparados'!O8</f>
        <v/>
      </c>
      <c r="Q15" s="7">
        <f>'1 datos preparados'!P8</f>
        <v/>
      </c>
      <c r="R15" s="7">
        <f>'1 datos preparados'!Q8</f>
        <v/>
      </c>
      <c r="S15" s="7">
        <f>'1 datos preparados'!R8</f>
        <v/>
      </c>
      <c r="T15" s="7">
        <f>'1 datos preparados'!S8</f>
        <v/>
      </c>
      <c r="U15" s="7">
        <f>'1 datos preparados'!T8</f>
        <v/>
      </c>
      <c r="V15" s="8">
        <f>$AE$12+D15*$AE$13+E15*$AE$14+F15*$AE$15+G15*$AE$16+H15*$AE$17+I15*$AE$18+J15*$AE$19+K15*$AE$20+L15*$AE$21+M15*$AE$22+N15*$AE$23+O15*$AE$24+P15*$AE$25+Q15*$AE$26+R15*$AE$27+S15*$AE$28+T15*$AE$29+U15*$AE$30</f>
        <v/>
      </c>
      <c r="W15" s="8">
        <f>1/(1+EXP(-V15))</f>
        <v/>
      </c>
      <c r="X15" s="9">
        <f>-IF(C15=1,LN(W15),LN(1-W15))</f>
        <v/>
      </c>
      <c r="Y15" s="8">
        <f>IF(C15=1,$AE$32,$AE$33)</f>
        <v/>
      </c>
      <c r="Z15" s="9">
        <f>Y15*X15</f>
        <v/>
      </c>
      <c r="AA15" s="10">
        <f>IF(W15&gt;$AE$34,1,0)</f>
        <v/>
      </c>
      <c r="AB15">
        <f>IF(AA15=C15,1,0)</f>
        <v/>
      </c>
      <c r="AD15" t="inlineStr">
        <is>
          <t>edad</t>
        </is>
      </c>
      <c r="AE15" s="11" t="n">
        <v>-0.09914522482627074</v>
      </c>
      <c r="AF15" s="12" t="n">
        <v>-0.1219667838490076</v>
      </c>
      <c r="AI15" s="3" t="inlineStr">
        <is>
          <t>real 1 (mal pagador)</t>
        </is>
      </c>
      <c r="AJ15" t="inlineStr">
        <is>
          <t>FN | TP</t>
        </is>
      </c>
      <c r="AK15" s="13">
        <f>COUNTIFS($B$12:$B$1011,"testing",$C$12:$C$1011,1,$AA$12:$AA$1011,0)</f>
        <v/>
      </c>
      <c r="AL15" s="13">
        <f>COUNTIFS($B$12:$B$1011,"testing",$C$12:$C$1011,1,$AA$12:$AA$1011,1)</f>
        <v/>
      </c>
      <c r="AM15">
        <f>AK15+AL15</f>
        <v/>
      </c>
    </row>
    <row r="16">
      <c r="A16">
        <f>'1 datos preparados'!A9</f>
        <v/>
      </c>
      <c r="B16" s="5">
        <f>'1 datos preparados'!U9</f>
        <v/>
      </c>
      <c r="C16">
        <f>'1 datos preparados'!B9</f>
        <v/>
      </c>
      <c r="D16" s="7">
        <f>'1 datos preparados'!C9</f>
        <v/>
      </c>
      <c r="E16" s="7">
        <f>'1 datos preparados'!D9</f>
        <v/>
      </c>
      <c r="F16" s="7">
        <f>'1 datos preparados'!E9</f>
        <v/>
      </c>
      <c r="G16" s="7">
        <f>'1 datos preparados'!F9</f>
        <v/>
      </c>
      <c r="H16" s="7">
        <f>'1 datos preparados'!G9</f>
        <v/>
      </c>
      <c r="I16" s="7">
        <f>'1 datos preparados'!H9</f>
        <v/>
      </c>
      <c r="J16" s="7">
        <f>'1 datos preparados'!I9</f>
        <v/>
      </c>
      <c r="K16" s="7">
        <f>'1 datos preparados'!J9</f>
        <v/>
      </c>
      <c r="L16" s="7">
        <f>'1 datos preparados'!K9</f>
        <v/>
      </c>
      <c r="M16" s="7">
        <f>'1 datos preparados'!L9</f>
        <v/>
      </c>
      <c r="N16" s="7">
        <f>'1 datos preparados'!M9</f>
        <v/>
      </c>
      <c r="O16" s="7">
        <f>'1 datos preparados'!N9</f>
        <v/>
      </c>
      <c r="P16" s="7">
        <f>'1 datos preparados'!O9</f>
        <v/>
      </c>
      <c r="Q16" s="7">
        <f>'1 datos preparados'!P9</f>
        <v/>
      </c>
      <c r="R16" s="7">
        <f>'1 datos preparados'!Q9</f>
        <v/>
      </c>
      <c r="S16" s="7">
        <f>'1 datos preparados'!R9</f>
        <v/>
      </c>
      <c r="T16" s="7">
        <f>'1 datos preparados'!S9</f>
        <v/>
      </c>
      <c r="U16" s="7">
        <f>'1 datos preparados'!T9</f>
        <v/>
      </c>
      <c r="V16" s="8">
        <f>$AE$12+D16*$AE$13+E16*$AE$14+F16*$AE$15+G16*$AE$16+H16*$AE$17+I16*$AE$18+J16*$AE$19+K16*$AE$20+L16*$AE$21+M16*$AE$22+N16*$AE$23+O16*$AE$24+P16*$AE$25+Q16*$AE$26+R16*$AE$27+S16*$AE$28+T16*$AE$29+U16*$AE$30</f>
        <v/>
      </c>
      <c r="W16" s="8">
        <f>1/(1+EXP(-V16))</f>
        <v/>
      </c>
      <c r="X16" s="9">
        <f>-IF(C16=1,LN(W16),LN(1-W16))</f>
        <v/>
      </c>
      <c r="Y16" s="8">
        <f>IF(C16=1,$AE$32,$AE$33)</f>
        <v/>
      </c>
      <c r="Z16" s="9">
        <f>Y16*X16</f>
        <v/>
      </c>
      <c r="AA16" s="10">
        <f>IF(W16&gt;$AE$34,1,0)</f>
        <v/>
      </c>
      <c r="AB16">
        <f>IF(AA16=C16,1,0)</f>
        <v/>
      </c>
      <c r="AD16" t="inlineStr">
        <is>
          <t>cuota_pct_ingreso</t>
        </is>
      </c>
      <c r="AE16" s="11" t="n">
        <v>0.2872157655933926</v>
      </c>
      <c r="AF16" s="12" t="n">
        <v>0.2862819507122343</v>
      </c>
      <c r="AI16" s="3" t="inlineStr">
        <is>
          <t>total</t>
        </is>
      </c>
      <c r="AK16">
        <f>AK14+AK15</f>
        <v/>
      </c>
      <c r="AL16">
        <f>AL14+AL15</f>
        <v/>
      </c>
      <c r="AM16">
        <f>AM14+AM15</f>
        <v/>
      </c>
    </row>
    <row r="17">
      <c r="A17">
        <f>'1 datos preparados'!A10</f>
        <v/>
      </c>
      <c r="B17" s="5">
        <f>'1 datos preparados'!U10</f>
        <v/>
      </c>
      <c r="C17">
        <f>'1 datos preparados'!B10</f>
        <v/>
      </c>
      <c r="D17" s="7">
        <f>'1 datos preparados'!C10</f>
        <v/>
      </c>
      <c r="E17" s="7">
        <f>'1 datos preparados'!D10</f>
        <v/>
      </c>
      <c r="F17" s="7">
        <f>'1 datos preparados'!E10</f>
        <v/>
      </c>
      <c r="G17" s="7">
        <f>'1 datos preparados'!F10</f>
        <v/>
      </c>
      <c r="H17" s="7">
        <f>'1 datos preparados'!G10</f>
        <v/>
      </c>
      <c r="I17" s="7">
        <f>'1 datos preparados'!H10</f>
        <v/>
      </c>
      <c r="J17" s="7">
        <f>'1 datos preparados'!I10</f>
        <v/>
      </c>
      <c r="K17" s="7">
        <f>'1 datos preparados'!J10</f>
        <v/>
      </c>
      <c r="L17" s="7">
        <f>'1 datos preparados'!K10</f>
        <v/>
      </c>
      <c r="M17" s="7">
        <f>'1 datos preparados'!L10</f>
        <v/>
      </c>
      <c r="N17" s="7">
        <f>'1 datos preparados'!M10</f>
        <v/>
      </c>
      <c r="O17" s="7">
        <f>'1 datos preparados'!N10</f>
        <v/>
      </c>
      <c r="P17" s="7">
        <f>'1 datos preparados'!O10</f>
        <v/>
      </c>
      <c r="Q17" s="7">
        <f>'1 datos preparados'!P10</f>
        <v/>
      </c>
      <c r="R17" s="7">
        <f>'1 datos preparados'!Q10</f>
        <v/>
      </c>
      <c r="S17" s="7">
        <f>'1 datos preparados'!R10</f>
        <v/>
      </c>
      <c r="T17" s="7">
        <f>'1 datos preparados'!S10</f>
        <v/>
      </c>
      <c r="U17" s="7">
        <f>'1 datos preparados'!T10</f>
        <v/>
      </c>
      <c r="V17" s="8">
        <f>$AE$12+D17*$AE$13+E17*$AE$14+F17*$AE$15+G17*$AE$16+H17*$AE$17+I17*$AE$18+J17*$AE$19+K17*$AE$20+L17*$AE$21+M17*$AE$22+N17*$AE$23+O17*$AE$24+P17*$AE$25+Q17*$AE$26+R17*$AE$27+S17*$AE$28+T17*$AE$29+U17*$AE$30</f>
        <v/>
      </c>
      <c r="W17" s="8">
        <f>1/(1+EXP(-V17))</f>
        <v/>
      </c>
      <c r="X17" s="9">
        <f>-IF(C17=1,LN(W17),LN(1-W17))</f>
        <v/>
      </c>
      <c r="Y17" s="8">
        <f>IF(C17=1,$AE$32,$AE$33)</f>
        <v/>
      </c>
      <c r="Z17" s="9">
        <f>Y17*X17</f>
        <v/>
      </c>
      <c r="AA17" s="10">
        <f>IF(W17&gt;$AE$34,1,0)</f>
        <v/>
      </c>
      <c r="AB17">
        <f>IF(AA17=C17,1,0)</f>
        <v/>
      </c>
      <c r="AD17" t="inlineStr">
        <is>
          <t>cta_negativa</t>
        </is>
      </c>
      <c r="AE17" s="11" t="n">
        <v>1.546402670396991</v>
      </c>
      <c r="AF17" s="12" t="n">
        <v>1.567057482146466</v>
      </c>
    </row>
    <row r="18">
      <c r="A18">
        <f>'1 datos preparados'!A11</f>
        <v/>
      </c>
      <c r="B18" s="5">
        <f>'1 datos preparados'!U11</f>
        <v/>
      </c>
      <c r="C18">
        <f>'1 datos preparados'!B11</f>
        <v/>
      </c>
      <c r="D18" s="7">
        <f>'1 datos preparados'!C11</f>
        <v/>
      </c>
      <c r="E18" s="7">
        <f>'1 datos preparados'!D11</f>
        <v/>
      </c>
      <c r="F18" s="7">
        <f>'1 datos preparados'!E11</f>
        <v/>
      </c>
      <c r="G18" s="7">
        <f>'1 datos preparados'!F11</f>
        <v/>
      </c>
      <c r="H18" s="7">
        <f>'1 datos preparados'!G11</f>
        <v/>
      </c>
      <c r="I18" s="7">
        <f>'1 datos preparados'!H11</f>
        <v/>
      </c>
      <c r="J18" s="7">
        <f>'1 datos preparados'!I11</f>
        <v/>
      </c>
      <c r="K18" s="7">
        <f>'1 datos preparados'!J11</f>
        <v/>
      </c>
      <c r="L18" s="7">
        <f>'1 datos preparados'!K11</f>
        <v/>
      </c>
      <c r="M18" s="7">
        <f>'1 datos preparados'!L11</f>
        <v/>
      </c>
      <c r="N18" s="7">
        <f>'1 datos preparados'!M11</f>
        <v/>
      </c>
      <c r="O18" s="7">
        <f>'1 datos preparados'!N11</f>
        <v/>
      </c>
      <c r="P18" s="7">
        <f>'1 datos preparados'!O11</f>
        <v/>
      </c>
      <c r="Q18" s="7">
        <f>'1 datos preparados'!P11</f>
        <v/>
      </c>
      <c r="R18" s="7">
        <f>'1 datos preparados'!Q11</f>
        <v/>
      </c>
      <c r="S18" s="7">
        <f>'1 datos preparados'!R11</f>
        <v/>
      </c>
      <c r="T18" s="7">
        <f>'1 datos preparados'!S11</f>
        <v/>
      </c>
      <c r="U18" s="7">
        <f>'1 datos preparados'!T11</f>
        <v/>
      </c>
      <c r="V18" s="8">
        <f>$AE$12+D18*$AE$13+E18*$AE$14+F18*$AE$15+G18*$AE$16+H18*$AE$17+I18*$AE$18+J18*$AE$19+K18*$AE$20+L18*$AE$21+M18*$AE$22+N18*$AE$23+O18*$AE$24+P18*$AE$25+Q18*$AE$26+R18*$AE$27+S18*$AE$28+T18*$AE$29+U18*$AE$30</f>
        <v/>
      </c>
      <c r="W18" s="8">
        <f>1/(1+EXP(-V18))</f>
        <v/>
      </c>
      <c r="X18" s="9">
        <f>-IF(C18=1,LN(W18),LN(1-W18))</f>
        <v/>
      </c>
      <c r="Y18" s="8">
        <f>IF(C18=1,$AE$32,$AE$33)</f>
        <v/>
      </c>
      <c r="Z18" s="9">
        <f>Y18*X18</f>
        <v/>
      </c>
      <c r="AA18" s="10">
        <f>IF(W18&gt;$AE$34,1,0)</f>
        <v/>
      </c>
      <c r="AB18">
        <f>IF(AA18=C18,1,0)</f>
        <v/>
      </c>
      <c r="AD18" t="inlineStr">
        <is>
          <t>cta_0_200</t>
        </is>
      </c>
      <c r="AE18" s="11" t="n">
        <v>1.294997779791349</v>
      </c>
      <c r="AF18" s="12" t="n">
        <v>1.328643318250187</v>
      </c>
      <c r="AI18" s="4" t="inlineStr"/>
      <c r="AJ18" s="4" t="inlineStr">
        <is>
          <t>precision</t>
        </is>
      </c>
      <c r="AK18" s="4" t="inlineStr">
        <is>
          <t>recall</t>
        </is>
      </c>
      <c r="AL18" s="4" t="inlineStr">
        <is>
          <t>f1-score</t>
        </is>
      </c>
      <c r="AM18" s="4" t="inlineStr">
        <is>
          <t>support</t>
        </is>
      </c>
    </row>
    <row r="19">
      <c r="A19">
        <f>'1 datos preparados'!A12</f>
        <v/>
      </c>
      <c r="B19" s="5">
        <f>'1 datos preparados'!U12</f>
        <v/>
      </c>
      <c r="C19">
        <f>'1 datos preparados'!B12</f>
        <v/>
      </c>
      <c r="D19" s="7">
        <f>'1 datos preparados'!C12</f>
        <v/>
      </c>
      <c r="E19" s="7">
        <f>'1 datos preparados'!D12</f>
        <v/>
      </c>
      <c r="F19" s="7">
        <f>'1 datos preparados'!E12</f>
        <v/>
      </c>
      <c r="G19" s="7">
        <f>'1 datos preparados'!F12</f>
        <v/>
      </c>
      <c r="H19" s="7">
        <f>'1 datos preparados'!G12</f>
        <v/>
      </c>
      <c r="I19" s="7">
        <f>'1 datos preparados'!H12</f>
        <v/>
      </c>
      <c r="J19" s="7">
        <f>'1 datos preparados'!I12</f>
        <v/>
      </c>
      <c r="K19" s="7">
        <f>'1 datos preparados'!J12</f>
        <v/>
      </c>
      <c r="L19" s="7">
        <f>'1 datos preparados'!K12</f>
        <v/>
      </c>
      <c r="M19" s="7">
        <f>'1 datos preparados'!L12</f>
        <v/>
      </c>
      <c r="N19" s="7">
        <f>'1 datos preparados'!M12</f>
        <v/>
      </c>
      <c r="O19" s="7">
        <f>'1 datos preparados'!N12</f>
        <v/>
      </c>
      <c r="P19" s="7">
        <f>'1 datos preparados'!O12</f>
        <v/>
      </c>
      <c r="Q19" s="7">
        <f>'1 datos preparados'!P12</f>
        <v/>
      </c>
      <c r="R19" s="7">
        <f>'1 datos preparados'!Q12</f>
        <v/>
      </c>
      <c r="S19" s="7">
        <f>'1 datos preparados'!R12</f>
        <v/>
      </c>
      <c r="T19" s="7">
        <f>'1 datos preparados'!S12</f>
        <v/>
      </c>
      <c r="U19" s="7">
        <f>'1 datos preparados'!T12</f>
        <v/>
      </c>
      <c r="V19" s="8">
        <f>$AE$12+D19*$AE$13+E19*$AE$14+F19*$AE$15+G19*$AE$16+H19*$AE$17+I19*$AE$18+J19*$AE$19+K19*$AE$20+L19*$AE$21+M19*$AE$22+N19*$AE$23+O19*$AE$24+P19*$AE$25+Q19*$AE$26+R19*$AE$27+S19*$AE$28+T19*$AE$29+U19*$AE$30</f>
        <v/>
      </c>
      <c r="W19" s="8">
        <f>1/(1+EXP(-V19))</f>
        <v/>
      </c>
      <c r="X19" s="9">
        <f>-IF(C19=1,LN(W19),LN(1-W19))</f>
        <v/>
      </c>
      <c r="Y19" s="8">
        <f>IF(C19=1,$AE$32,$AE$33)</f>
        <v/>
      </c>
      <c r="Z19" s="9">
        <f>Y19*X19</f>
        <v/>
      </c>
      <c r="AA19" s="10">
        <f>IF(W19&gt;$AE$34,1,0)</f>
        <v/>
      </c>
      <c r="AB19">
        <f>IF(AA19=C19,1,0)</f>
        <v/>
      </c>
      <c r="AD19" t="inlineStr">
        <is>
          <t>cta_sobre_200</t>
        </is>
      </c>
      <c r="AE19" s="11" t="n">
        <v>0.6683615861023957</v>
      </c>
      <c r="AF19" s="12" t="n">
        <v>0.728389050598395</v>
      </c>
      <c r="AI19" s="3" t="inlineStr">
        <is>
          <t>clase 0 (paga)</t>
        </is>
      </c>
      <c r="AJ19" s="14">
        <f>IF(AK14+AK15=0,0,AK14/(AK14+AK15))</f>
        <v/>
      </c>
      <c r="AK19" s="14">
        <f>IF(AK14+AL14=0,0,AK14/(AK14+AL14))</f>
        <v/>
      </c>
      <c r="AL19" s="14">
        <f>IF(AJ19+AK19=0,0,2*AJ19*AK19/(AJ19+AK19))</f>
        <v/>
      </c>
      <c r="AM19">
        <f>AM14</f>
        <v/>
      </c>
    </row>
    <row r="20">
      <c r="A20">
        <f>'1 datos preparados'!A13</f>
        <v/>
      </c>
      <c r="B20" s="5">
        <f>'1 datos preparados'!U13</f>
        <v/>
      </c>
      <c r="C20">
        <f>'1 datos preparados'!B13</f>
        <v/>
      </c>
      <c r="D20" s="7">
        <f>'1 datos preparados'!C13</f>
        <v/>
      </c>
      <c r="E20" s="7">
        <f>'1 datos preparados'!D13</f>
        <v/>
      </c>
      <c r="F20" s="7">
        <f>'1 datos preparados'!E13</f>
        <v/>
      </c>
      <c r="G20" s="7">
        <f>'1 datos preparados'!F13</f>
        <v/>
      </c>
      <c r="H20" s="7">
        <f>'1 datos preparados'!G13</f>
        <v/>
      </c>
      <c r="I20" s="7">
        <f>'1 datos preparados'!H13</f>
        <v/>
      </c>
      <c r="J20" s="7">
        <f>'1 datos preparados'!I13</f>
        <v/>
      </c>
      <c r="K20" s="7">
        <f>'1 datos preparados'!J13</f>
        <v/>
      </c>
      <c r="L20" s="7">
        <f>'1 datos preparados'!K13</f>
        <v/>
      </c>
      <c r="M20" s="7">
        <f>'1 datos preparados'!L13</f>
        <v/>
      </c>
      <c r="N20" s="7">
        <f>'1 datos preparados'!M13</f>
        <v/>
      </c>
      <c r="O20" s="7">
        <f>'1 datos preparados'!N13</f>
        <v/>
      </c>
      <c r="P20" s="7">
        <f>'1 datos preparados'!O13</f>
        <v/>
      </c>
      <c r="Q20" s="7">
        <f>'1 datos preparados'!P13</f>
        <v/>
      </c>
      <c r="R20" s="7">
        <f>'1 datos preparados'!Q13</f>
        <v/>
      </c>
      <c r="S20" s="7">
        <f>'1 datos preparados'!R13</f>
        <v/>
      </c>
      <c r="T20" s="7">
        <f>'1 datos preparados'!S13</f>
        <v/>
      </c>
      <c r="U20" s="7">
        <f>'1 datos preparados'!T13</f>
        <v/>
      </c>
      <c r="V20" s="8">
        <f>$AE$12+D20*$AE$13+E20*$AE$14+F20*$AE$15+G20*$AE$16+H20*$AE$17+I20*$AE$18+J20*$AE$19+K20*$AE$20+L20*$AE$21+M20*$AE$22+N20*$AE$23+O20*$AE$24+P20*$AE$25+Q20*$AE$26+R20*$AE$27+S20*$AE$28+T20*$AE$29+U20*$AE$30</f>
        <v/>
      </c>
      <c r="W20" s="8">
        <f>1/(1+EXP(-V20))</f>
        <v/>
      </c>
      <c r="X20" s="9">
        <f>-IF(C20=1,LN(W20),LN(1-W20))</f>
        <v/>
      </c>
      <c r="Y20" s="8">
        <f>IF(C20=1,$AE$32,$AE$33)</f>
        <v/>
      </c>
      <c r="Z20" s="9">
        <f>Y20*X20</f>
        <v/>
      </c>
      <c r="AA20" s="10">
        <f>IF(W20&gt;$AE$34,1,0)</f>
        <v/>
      </c>
      <c r="AB20">
        <f>IF(AA20=C20,1,0)</f>
        <v/>
      </c>
      <c r="AD20" t="inlineStr">
        <is>
          <t>hist_critico</t>
        </is>
      </c>
      <c r="AE20" s="11" t="n">
        <v>-0.6573449373610837</v>
      </c>
      <c r="AF20" s="12" t="n">
        <v>-0.6573934435017298</v>
      </c>
      <c r="AI20" s="3" t="inlineStr">
        <is>
          <t>clase 1 (no paga)</t>
        </is>
      </c>
      <c r="AJ20" s="14">
        <f>IF(AL15+AL14=0,0,AL15/(AL15+AL14))</f>
        <v/>
      </c>
      <c r="AK20" s="14">
        <f>IF(AL15+AK15=0,0,AL15/(AL15+AK15))</f>
        <v/>
      </c>
      <c r="AL20" s="14">
        <f>IF(AJ20+AK20=0,0,2*AJ20*AK20/(AJ20+AK20))</f>
        <v/>
      </c>
      <c r="AM20">
        <f>AM15</f>
        <v/>
      </c>
    </row>
    <row r="21">
      <c r="A21">
        <f>'1 datos preparados'!A14</f>
        <v/>
      </c>
      <c r="B21" s="5">
        <f>'1 datos preparados'!U14</f>
        <v/>
      </c>
      <c r="C21">
        <f>'1 datos preparados'!B14</f>
        <v/>
      </c>
      <c r="D21" s="7">
        <f>'1 datos preparados'!C14</f>
        <v/>
      </c>
      <c r="E21" s="7">
        <f>'1 datos preparados'!D14</f>
        <v/>
      </c>
      <c r="F21" s="7">
        <f>'1 datos preparados'!E14</f>
        <v/>
      </c>
      <c r="G21" s="7">
        <f>'1 datos preparados'!F14</f>
        <v/>
      </c>
      <c r="H21" s="7">
        <f>'1 datos preparados'!G14</f>
        <v/>
      </c>
      <c r="I21" s="7">
        <f>'1 datos preparados'!H14</f>
        <v/>
      </c>
      <c r="J21" s="7">
        <f>'1 datos preparados'!I14</f>
        <v/>
      </c>
      <c r="K21" s="7">
        <f>'1 datos preparados'!J14</f>
        <v/>
      </c>
      <c r="L21" s="7">
        <f>'1 datos preparados'!K14</f>
        <v/>
      </c>
      <c r="M21" s="7">
        <f>'1 datos preparados'!L14</f>
        <v/>
      </c>
      <c r="N21" s="7">
        <f>'1 datos preparados'!M14</f>
        <v/>
      </c>
      <c r="O21" s="7">
        <f>'1 datos preparados'!N14</f>
        <v/>
      </c>
      <c r="P21" s="7">
        <f>'1 datos preparados'!O14</f>
        <v/>
      </c>
      <c r="Q21" s="7">
        <f>'1 datos preparados'!P14</f>
        <v/>
      </c>
      <c r="R21" s="7">
        <f>'1 datos preparados'!Q14</f>
        <v/>
      </c>
      <c r="S21" s="7">
        <f>'1 datos preparados'!R14</f>
        <v/>
      </c>
      <c r="T21" s="7">
        <f>'1 datos preparados'!S14</f>
        <v/>
      </c>
      <c r="U21" s="7">
        <f>'1 datos preparados'!T14</f>
        <v/>
      </c>
      <c r="V21" s="8">
        <f>$AE$12+D21*$AE$13+E21*$AE$14+F21*$AE$15+G21*$AE$16+H21*$AE$17+I21*$AE$18+J21*$AE$19+K21*$AE$20+L21*$AE$21+M21*$AE$22+N21*$AE$23+O21*$AE$24+P21*$AE$25+Q21*$AE$26+R21*$AE$27+S21*$AE$28+T21*$AE$29+U21*$AE$30</f>
        <v/>
      </c>
      <c r="W21" s="8">
        <f>1/(1+EXP(-V21))</f>
        <v/>
      </c>
      <c r="X21" s="9">
        <f>-IF(C21=1,LN(W21),LN(1-W21))</f>
        <v/>
      </c>
      <c r="Y21" s="8">
        <f>IF(C21=1,$AE$32,$AE$33)</f>
        <v/>
      </c>
      <c r="Z21" s="9">
        <f>Y21*X21</f>
        <v/>
      </c>
      <c r="AA21" s="10">
        <f>IF(W21&gt;$AE$34,1,0)</f>
        <v/>
      </c>
      <c r="AB21">
        <f>IF(AA21=C21,1,0)</f>
        <v/>
      </c>
      <c r="AD21" t="inlineStr">
        <is>
          <t>hist_atrasos</t>
        </is>
      </c>
      <c r="AE21" s="11" t="n">
        <v>-0.04019551911120235</v>
      </c>
      <c r="AF21" s="12" t="n">
        <v>-0.02118260773371437</v>
      </c>
      <c r="AI21" s="3" t="inlineStr">
        <is>
          <t>accuracy</t>
        </is>
      </c>
      <c r="AL21" s="14">
        <f>(AL15+AK14)/AM16</f>
        <v/>
      </c>
    </row>
    <row r="22">
      <c r="A22">
        <f>'1 datos preparados'!A15</f>
        <v/>
      </c>
      <c r="B22" s="5">
        <f>'1 datos preparados'!U15</f>
        <v/>
      </c>
      <c r="C22">
        <f>'1 datos preparados'!B15</f>
        <v/>
      </c>
      <c r="D22" s="7">
        <f>'1 datos preparados'!C15</f>
        <v/>
      </c>
      <c r="E22" s="7">
        <f>'1 datos preparados'!D15</f>
        <v/>
      </c>
      <c r="F22" s="7">
        <f>'1 datos preparados'!E15</f>
        <v/>
      </c>
      <c r="G22" s="7">
        <f>'1 datos preparados'!F15</f>
        <v/>
      </c>
      <c r="H22" s="7">
        <f>'1 datos preparados'!G15</f>
        <v/>
      </c>
      <c r="I22" s="7">
        <f>'1 datos preparados'!H15</f>
        <v/>
      </c>
      <c r="J22" s="7">
        <f>'1 datos preparados'!I15</f>
        <v/>
      </c>
      <c r="K22" s="7">
        <f>'1 datos preparados'!J15</f>
        <v/>
      </c>
      <c r="L22" s="7">
        <f>'1 datos preparados'!K15</f>
        <v/>
      </c>
      <c r="M22" s="7">
        <f>'1 datos preparados'!L15</f>
        <v/>
      </c>
      <c r="N22" s="7">
        <f>'1 datos preparados'!M15</f>
        <v/>
      </c>
      <c r="O22" s="7">
        <f>'1 datos preparados'!N15</f>
        <v/>
      </c>
      <c r="P22" s="7">
        <f>'1 datos preparados'!O15</f>
        <v/>
      </c>
      <c r="Q22" s="7">
        <f>'1 datos preparados'!P15</f>
        <v/>
      </c>
      <c r="R22" s="7">
        <f>'1 datos preparados'!Q15</f>
        <v/>
      </c>
      <c r="S22" s="7">
        <f>'1 datos preparados'!R15</f>
        <v/>
      </c>
      <c r="T22" s="7">
        <f>'1 datos preparados'!S15</f>
        <v/>
      </c>
      <c r="U22" s="7">
        <f>'1 datos preparados'!T15</f>
        <v/>
      </c>
      <c r="V22" s="8">
        <f>$AE$12+D22*$AE$13+E22*$AE$14+F22*$AE$15+G22*$AE$16+H22*$AE$17+I22*$AE$18+J22*$AE$19+K22*$AE$20+L22*$AE$21+M22*$AE$22+N22*$AE$23+O22*$AE$24+P22*$AE$25+Q22*$AE$26+R22*$AE$27+S22*$AE$28+T22*$AE$29+U22*$AE$30</f>
        <v/>
      </c>
      <c r="W22" s="8">
        <f>1/(1+EXP(-V22))</f>
        <v/>
      </c>
      <c r="X22" s="9">
        <f>-IF(C22=1,LN(W22),LN(1-W22))</f>
        <v/>
      </c>
      <c r="Y22" s="8">
        <f>IF(C22=1,$AE$32,$AE$33)</f>
        <v/>
      </c>
      <c r="Z22" s="9">
        <f>Y22*X22</f>
        <v/>
      </c>
      <c r="AA22" s="10">
        <f>IF(W22&gt;$AE$34,1,0)</f>
        <v/>
      </c>
      <c r="AB22">
        <f>IF(AA22=C22,1,0)</f>
        <v/>
      </c>
      <c r="AD22" t="inlineStr">
        <is>
          <t>hist_sin_creditos</t>
        </is>
      </c>
      <c r="AE22" s="11" t="n">
        <v>0.6690656278784681</v>
      </c>
      <c r="AF22" s="12" t="n">
        <v>0.6246750547943719</v>
      </c>
    </row>
    <row r="23">
      <c r="A23">
        <f>'1 datos preparados'!A16</f>
        <v/>
      </c>
      <c r="B23" s="5">
        <f>'1 datos preparados'!U16</f>
        <v/>
      </c>
      <c r="C23">
        <f>'1 datos preparados'!B16</f>
        <v/>
      </c>
      <c r="D23" s="7">
        <f>'1 datos preparados'!C16</f>
        <v/>
      </c>
      <c r="E23" s="7">
        <f>'1 datos preparados'!D16</f>
        <v/>
      </c>
      <c r="F23" s="7">
        <f>'1 datos preparados'!E16</f>
        <v/>
      </c>
      <c r="G23" s="7">
        <f>'1 datos preparados'!F16</f>
        <v/>
      </c>
      <c r="H23" s="7">
        <f>'1 datos preparados'!G16</f>
        <v/>
      </c>
      <c r="I23" s="7">
        <f>'1 datos preparados'!H16</f>
        <v/>
      </c>
      <c r="J23" s="7">
        <f>'1 datos preparados'!I16</f>
        <v/>
      </c>
      <c r="K23" s="7">
        <f>'1 datos preparados'!J16</f>
        <v/>
      </c>
      <c r="L23" s="7">
        <f>'1 datos preparados'!K16</f>
        <v/>
      </c>
      <c r="M23" s="7">
        <f>'1 datos preparados'!L16</f>
        <v/>
      </c>
      <c r="N23" s="7">
        <f>'1 datos preparados'!M16</f>
        <v/>
      </c>
      <c r="O23" s="7">
        <f>'1 datos preparados'!N16</f>
        <v/>
      </c>
      <c r="P23" s="7">
        <f>'1 datos preparados'!O16</f>
        <v/>
      </c>
      <c r="Q23" s="7">
        <f>'1 datos preparados'!P16</f>
        <v/>
      </c>
      <c r="R23" s="7">
        <f>'1 datos preparados'!Q16</f>
        <v/>
      </c>
      <c r="S23" s="7">
        <f>'1 datos preparados'!R16</f>
        <v/>
      </c>
      <c r="T23" s="7">
        <f>'1 datos preparados'!S16</f>
        <v/>
      </c>
      <c r="U23" s="7">
        <f>'1 datos preparados'!T16</f>
        <v/>
      </c>
      <c r="V23" s="8">
        <f>$AE$12+D23*$AE$13+E23*$AE$14+F23*$AE$15+G23*$AE$16+H23*$AE$17+I23*$AE$18+J23*$AE$19+K23*$AE$20+L23*$AE$21+M23*$AE$22+N23*$AE$23+O23*$AE$24+P23*$AE$25+Q23*$AE$26+R23*$AE$27+S23*$AE$28+T23*$AE$29+U23*$AE$30</f>
        <v/>
      </c>
      <c r="W23" s="8">
        <f>1/(1+EXP(-V23))</f>
        <v/>
      </c>
      <c r="X23" s="9">
        <f>-IF(C23=1,LN(W23),LN(1-W23))</f>
        <v/>
      </c>
      <c r="Y23" s="8">
        <f>IF(C23=1,$AE$32,$AE$33)</f>
        <v/>
      </c>
      <c r="Z23" s="9">
        <f>Y23*X23</f>
        <v/>
      </c>
      <c r="AA23" s="10">
        <f>IF(W23&gt;$AE$34,1,0)</f>
        <v/>
      </c>
      <c r="AB23">
        <f>IF(AA23=C23,1,0)</f>
        <v/>
      </c>
      <c r="AD23" t="inlineStr">
        <is>
          <t>ahorro_100_1000</t>
        </is>
      </c>
      <c r="AE23" s="11" t="n">
        <v>-0.3895834298458181</v>
      </c>
      <c r="AF23" s="12" t="n">
        <v>-0.344166196457791</v>
      </c>
    </row>
    <row r="24">
      <c r="A24">
        <f>'1 datos preparados'!A17</f>
        <v/>
      </c>
      <c r="B24" s="5">
        <f>'1 datos preparados'!U17</f>
        <v/>
      </c>
      <c r="C24">
        <f>'1 datos preparados'!B17</f>
        <v/>
      </c>
      <c r="D24" s="7">
        <f>'1 datos preparados'!C17</f>
        <v/>
      </c>
      <c r="E24" s="7">
        <f>'1 datos preparados'!D17</f>
        <v/>
      </c>
      <c r="F24" s="7">
        <f>'1 datos preparados'!E17</f>
        <v/>
      </c>
      <c r="G24" s="7">
        <f>'1 datos preparados'!F17</f>
        <v/>
      </c>
      <c r="H24" s="7">
        <f>'1 datos preparados'!G17</f>
        <v/>
      </c>
      <c r="I24" s="7">
        <f>'1 datos preparados'!H17</f>
        <v/>
      </c>
      <c r="J24" s="7">
        <f>'1 datos preparados'!I17</f>
        <v/>
      </c>
      <c r="K24" s="7">
        <f>'1 datos preparados'!J17</f>
        <v/>
      </c>
      <c r="L24" s="7">
        <f>'1 datos preparados'!K17</f>
        <v/>
      </c>
      <c r="M24" s="7">
        <f>'1 datos preparados'!L17</f>
        <v/>
      </c>
      <c r="N24" s="7">
        <f>'1 datos preparados'!M17</f>
        <v/>
      </c>
      <c r="O24" s="7">
        <f>'1 datos preparados'!N17</f>
        <v/>
      </c>
      <c r="P24" s="7">
        <f>'1 datos preparados'!O17</f>
        <v/>
      </c>
      <c r="Q24" s="7">
        <f>'1 datos preparados'!P17</f>
        <v/>
      </c>
      <c r="R24" s="7">
        <f>'1 datos preparados'!Q17</f>
        <v/>
      </c>
      <c r="S24" s="7">
        <f>'1 datos preparados'!R17</f>
        <v/>
      </c>
      <c r="T24" s="7">
        <f>'1 datos preparados'!S17</f>
        <v/>
      </c>
      <c r="U24" s="7">
        <f>'1 datos preparados'!T17</f>
        <v/>
      </c>
      <c r="V24" s="8">
        <f>$AE$12+D24*$AE$13+E24*$AE$14+F24*$AE$15+G24*$AE$16+H24*$AE$17+I24*$AE$18+J24*$AE$19+K24*$AE$20+L24*$AE$21+M24*$AE$22+N24*$AE$23+O24*$AE$24+P24*$AE$25+Q24*$AE$26+R24*$AE$27+S24*$AE$28+T24*$AE$29+U24*$AE$30</f>
        <v/>
      </c>
      <c r="W24" s="8">
        <f>1/(1+EXP(-V24))</f>
        <v/>
      </c>
      <c r="X24" s="9">
        <f>-IF(C24=1,LN(W24),LN(1-W24))</f>
        <v/>
      </c>
      <c r="Y24" s="8">
        <f>IF(C24=1,$AE$32,$AE$33)</f>
        <v/>
      </c>
      <c r="Z24" s="9">
        <f>Y24*X24</f>
        <v/>
      </c>
      <c r="AA24" s="10">
        <f>IF(W24&gt;$AE$34,1,0)</f>
        <v/>
      </c>
      <c r="AB24">
        <f>IF(AA24=C24,1,0)</f>
        <v/>
      </c>
      <c r="AD24" t="inlineStr">
        <is>
          <t>ahorro_sobre_1000</t>
        </is>
      </c>
      <c r="AE24" s="11" t="n">
        <v>-0.8892238593761824</v>
      </c>
      <c r="AF24" s="12" t="n">
        <v>-0.7978380503563232</v>
      </c>
    </row>
    <row r="25">
      <c r="A25">
        <f>'1 datos preparados'!A18</f>
        <v/>
      </c>
      <c r="B25" s="5">
        <f>'1 datos preparados'!U18</f>
        <v/>
      </c>
      <c r="C25">
        <f>'1 datos preparados'!B18</f>
        <v/>
      </c>
      <c r="D25" s="7">
        <f>'1 datos preparados'!C18</f>
        <v/>
      </c>
      <c r="E25" s="7">
        <f>'1 datos preparados'!D18</f>
        <v/>
      </c>
      <c r="F25" s="7">
        <f>'1 datos preparados'!E18</f>
        <v/>
      </c>
      <c r="G25" s="7">
        <f>'1 datos preparados'!F18</f>
        <v/>
      </c>
      <c r="H25" s="7">
        <f>'1 datos preparados'!G18</f>
        <v/>
      </c>
      <c r="I25" s="7">
        <f>'1 datos preparados'!H18</f>
        <v/>
      </c>
      <c r="J25" s="7">
        <f>'1 datos preparados'!I18</f>
        <v/>
      </c>
      <c r="K25" s="7">
        <f>'1 datos preparados'!J18</f>
        <v/>
      </c>
      <c r="L25" s="7">
        <f>'1 datos preparados'!K18</f>
        <v/>
      </c>
      <c r="M25" s="7">
        <f>'1 datos preparados'!L18</f>
        <v/>
      </c>
      <c r="N25" s="7">
        <f>'1 datos preparados'!M18</f>
        <v/>
      </c>
      <c r="O25" s="7">
        <f>'1 datos preparados'!N18</f>
        <v/>
      </c>
      <c r="P25" s="7">
        <f>'1 datos preparados'!O18</f>
        <v/>
      </c>
      <c r="Q25" s="7">
        <f>'1 datos preparados'!P18</f>
        <v/>
      </c>
      <c r="R25" s="7">
        <f>'1 datos preparados'!Q18</f>
        <v/>
      </c>
      <c r="S25" s="7">
        <f>'1 datos preparados'!R18</f>
        <v/>
      </c>
      <c r="T25" s="7">
        <f>'1 datos preparados'!S18</f>
        <v/>
      </c>
      <c r="U25" s="7">
        <f>'1 datos preparados'!T18</f>
        <v/>
      </c>
      <c r="V25" s="8">
        <f>$AE$12+D25*$AE$13+E25*$AE$14+F25*$AE$15+G25*$AE$16+H25*$AE$17+I25*$AE$18+J25*$AE$19+K25*$AE$20+L25*$AE$21+M25*$AE$22+N25*$AE$23+O25*$AE$24+P25*$AE$25+Q25*$AE$26+R25*$AE$27+S25*$AE$28+T25*$AE$29+U25*$AE$30</f>
        <v/>
      </c>
      <c r="W25" s="8">
        <f>1/(1+EXP(-V25))</f>
        <v/>
      </c>
      <c r="X25" s="9">
        <f>-IF(C25=1,LN(W25),LN(1-W25))</f>
        <v/>
      </c>
      <c r="Y25" s="8">
        <f>IF(C25=1,$AE$32,$AE$33)</f>
        <v/>
      </c>
      <c r="Z25" s="9">
        <f>Y25*X25</f>
        <v/>
      </c>
      <c r="AA25" s="10">
        <f>IF(W25&gt;$AE$34,1,0)</f>
        <v/>
      </c>
      <c r="AB25">
        <f>IF(AA25=C25,1,0)</f>
        <v/>
      </c>
      <c r="AD25" t="inlineStr">
        <is>
          <t>ahorro_desconocido</t>
        </is>
      </c>
      <c r="AE25" s="11" t="n">
        <v>-1.076092926242446</v>
      </c>
      <c r="AF25" s="12" t="n">
        <v>-0.9941460709185315</v>
      </c>
    </row>
    <row r="26">
      <c r="A26">
        <f>'1 datos preparados'!A19</f>
        <v/>
      </c>
      <c r="B26" s="5">
        <f>'1 datos preparados'!U19</f>
        <v/>
      </c>
      <c r="C26">
        <f>'1 datos preparados'!B19</f>
        <v/>
      </c>
      <c r="D26" s="7">
        <f>'1 datos preparados'!C19</f>
        <v/>
      </c>
      <c r="E26" s="7">
        <f>'1 datos preparados'!D19</f>
        <v/>
      </c>
      <c r="F26" s="7">
        <f>'1 datos preparados'!E19</f>
        <v/>
      </c>
      <c r="G26" s="7">
        <f>'1 datos preparados'!F19</f>
        <v/>
      </c>
      <c r="H26" s="7">
        <f>'1 datos preparados'!G19</f>
        <v/>
      </c>
      <c r="I26" s="7">
        <f>'1 datos preparados'!H19</f>
        <v/>
      </c>
      <c r="J26" s="7">
        <f>'1 datos preparados'!I19</f>
        <v/>
      </c>
      <c r="K26" s="7">
        <f>'1 datos preparados'!J19</f>
        <v/>
      </c>
      <c r="L26" s="7">
        <f>'1 datos preparados'!K19</f>
        <v/>
      </c>
      <c r="M26" s="7">
        <f>'1 datos preparados'!L19</f>
        <v/>
      </c>
      <c r="N26" s="7">
        <f>'1 datos preparados'!M19</f>
        <v/>
      </c>
      <c r="O26" s="7">
        <f>'1 datos preparados'!N19</f>
        <v/>
      </c>
      <c r="P26" s="7">
        <f>'1 datos preparados'!O19</f>
        <v/>
      </c>
      <c r="Q26" s="7">
        <f>'1 datos preparados'!P19</f>
        <v/>
      </c>
      <c r="R26" s="7">
        <f>'1 datos preparados'!Q19</f>
        <v/>
      </c>
      <c r="S26" s="7">
        <f>'1 datos preparados'!R19</f>
        <v/>
      </c>
      <c r="T26" s="7">
        <f>'1 datos preparados'!S19</f>
        <v/>
      </c>
      <c r="U26" s="7">
        <f>'1 datos preparados'!T19</f>
        <v/>
      </c>
      <c r="V26" s="8">
        <f>$AE$12+D26*$AE$13+E26*$AE$14+F26*$AE$15+G26*$AE$16+H26*$AE$17+I26*$AE$18+J26*$AE$19+K26*$AE$20+L26*$AE$21+M26*$AE$22+N26*$AE$23+O26*$AE$24+P26*$AE$25+Q26*$AE$26+R26*$AE$27+S26*$AE$28+T26*$AE$29+U26*$AE$30</f>
        <v/>
      </c>
      <c r="W26" s="8">
        <f>1/(1+EXP(-V26))</f>
        <v/>
      </c>
      <c r="X26" s="9">
        <f>-IF(C26=1,LN(W26),LN(1-W26))</f>
        <v/>
      </c>
      <c r="Y26" s="8">
        <f>IF(C26=1,$AE$32,$AE$33)</f>
        <v/>
      </c>
      <c r="Z26" s="9">
        <f>Y26*X26</f>
        <v/>
      </c>
      <c r="AA26" s="10">
        <f>IF(W26&gt;$AE$34,1,0)</f>
        <v/>
      </c>
      <c r="AB26">
        <f>IF(AA26=C26,1,0)</f>
        <v/>
      </c>
      <c r="AD26" t="inlineStr">
        <is>
          <t>vivienda_arriendo</t>
        </is>
      </c>
      <c r="AE26" s="11" t="n">
        <v>0.6538371780658356</v>
      </c>
      <c r="AF26" s="12" t="n">
        <v>0.623039891647007</v>
      </c>
    </row>
    <row r="27">
      <c r="A27">
        <f>'1 datos preparados'!A20</f>
        <v/>
      </c>
      <c r="B27" s="5">
        <f>'1 datos preparados'!U20</f>
        <v/>
      </c>
      <c r="C27">
        <f>'1 datos preparados'!B20</f>
        <v/>
      </c>
      <c r="D27" s="7">
        <f>'1 datos preparados'!C20</f>
        <v/>
      </c>
      <c r="E27" s="7">
        <f>'1 datos preparados'!D20</f>
        <v/>
      </c>
      <c r="F27" s="7">
        <f>'1 datos preparados'!E20</f>
        <v/>
      </c>
      <c r="G27" s="7">
        <f>'1 datos preparados'!F20</f>
        <v/>
      </c>
      <c r="H27" s="7">
        <f>'1 datos preparados'!G20</f>
        <v/>
      </c>
      <c r="I27" s="7">
        <f>'1 datos preparados'!H20</f>
        <v/>
      </c>
      <c r="J27" s="7">
        <f>'1 datos preparados'!I20</f>
        <v/>
      </c>
      <c r="K27" s="7">
        <f>'1 datos preparados'!J20</f>
        <v/>
      </c>
      <c r="L27" s="7">
        <f>'1 datos preparados'!K20</f>
        <v/>
      </c>
      <c r="M27" s="7">
        <f>'1 datos preparados'!L20</f>
        <v/>
      </c>
      <c r="N27" s="7">
        <f>'1 datos preparados'!M20</f>
        <v/>
      </c>
      <c r="O27" s="7">
        <f>'1 datos preparados'!N20</f>
        <v/>
      </c>
      <c r="P27" s="7">
        <f>'1 datos preparados'!O20</f>
        <v/>
      </c>
      <c r="Q27" s="7">
        <f>'1 datos preparados'!P20</f>
        <v/>
      </c>
      <c r="R27" s="7">
        <f>'1 datos preparados'!Q20</f>
        <v/>
      </c>
      <c r="S27" s="7">
        <f>'1 datos preparados'!R20</f>
        <v/>
      </c>
      <c r="T27" s="7">
        <f>'1 datos preparados'!S20</f>
        <v/>
      </c>
      <c r="U27" s="7">
        <f>'1 datos preparados'!T20</f>
        <v/>
      </c>
      <c r="V27" s="8">
        <f>$AE$12+D27*$AE$13+E27*$AE$14+F27*$AE$15+G27*$AE$16+H27*$AE$17+I27*$AE$18+J27*$AE$19+K27*$AE$20+L27*$AE$21+M27*$AE$22+N27*$AE$23+O27*$AE$24+P27*$AE$25+Q27*$AE$26+R27*$AE$27+S27*$AE$28+T27*$AE$29+U27*$AE$30</f>
        <v/>
      </c>
      <c r="W27" s="8">
        <f>1/(1+EXP(-V27))</f>
        <v/>
      </c>
      <c r="X27" s="9">
        <f>-IF(C27=1,LN(W27),LN(1-W27))</f>
        <v/>
      </c>
      <c r="Y27" s="8">
        <f>IF(C27=1,$AE$32,$AE$33)</f>
        <v/>
      </c>
      <c r="Z27" s="9">
        <f>Y27*X27</f>
        <v/>
      </c>
      <c r="AA27" s="10">
        <f>IF(W27&gt;$AE$34,1,0)</f>
        <v/>
      </c>
      <c r="AB27">
        <f>IF(AA27=C27,1,0)</f>
        <v/>
      </c>
      <c r="AD27" t="inlineStr">
        <is>
          <t>vivienda_gratis</t>
        </is>
      </c>
      <c r="AE27" s="11" t="n">
        <v>0.1953653579159878</v>
      </c>
      <c r="AF27" s="12" t="n">
        <v>0.2218712446814394</v>
      </c>
    </row>
    <row r="28">
      <c r="A28">
        <f>'1 datos preparados'!A21</f>
        <v/>
      </c>
      <c r="B28" s="5">
        <f>'1 datos preparados'!U21</f>
        <v/>
      </c>
      <c r="C28">
        <f>'1 datos preparados'!B21</f>
        <v/>
      </c>
      <c r="D28" s="7">
        <f>'1 datos preparados'!C21</f>
        <v/>
      </c>
      <c r="E28" s="7">
        <f>'1 datos preparados'!D21</f>
        <v/>
      </c>
      <c r="F28" s="7">
        <f>'1 datos preparados'!E21</f>
        <v/>
      </c>
      <c r="G28" s="7">
        <f>'1 datos preparados'!F21</f>
        <v/>
      </c>
      <c r="H28" s="7">
        <f>'1 datos preparados'!G21</f>
        <v/>
      </c>
      <c r="I28" s="7">
        <f>'1 datos preparados'!H21</f>
        <v/>
      </c>
      <c r="J28" s="7">
        <f>'1 datos preparados'!I21</f>
        <v/>
      </c>
      <c r="K28" s="7">
        <f>'1 datos preparados'!J21</f>
        <v/>
      </c>
      <c r="L28" s="7">
        <f>'1 datos preparados'!K21</f>
        <v/>
      </c>
      <c r="M28" s="7">
        <f>'1 datos preparados'!L21</f>
        <v/>
      </c>
      <c r="N28" s="7">
        <f>'1 datos preparados'!M21</f>
        <v/>
      </c>
      <c r="O28" s="7">
        <f>'1 datos preparados'!N21</f>
        <v/>
      </c>
      <c r="P28" s="7">
        <f>'1 datos preparados'!O21</f>
        <v/>
      </c>
      <c r="Q28" s="7">
        <f>'1 datos preparados'!P21</f>
        <v/>
      </c>
      <c r="R28" s="7">
        <f>'1 datos preparados'!Q21</f>
        <v/>
      </c>
      <c r="S28" s="7">
        <f>'1 datos preparados'!R21</f>
        <v/>
      </c>
      <c r="T28" s="7">
        <f>'1 datos preparados'!S21</f>
        <v/>
      </c>
      <c r="U28" s="7">
        <f>'1 datos preparados'!T21</f>
        <v/>
      </c>
      <c r="V28" s="8">
        <f>$AE$12+D28*$AE$13+E28*$AE$14+F28*$AE$15+G28*$AE$16+H28*$AE$17+I28*$AE$18+J28*$AE$19+K28*$AE$20+L28*$AE$21+M28*$AE$22+N28*$AE$23+O28*$AE$24+P28*$AE$25+Q28*$AE$26+R28*$AE$27+S28*$AE$28+T28*$AE$29+U28*$AE$30</f>
        <v/>
      </c>
      <c r="W28" s="8">
        <f>1/(1+EXP(-V28))</f>
        <v/>
      </c>
      <c r="X28" s="9">
        <f>-IF(C28=1,LN(W28),LN(1-W28))</f>
        <v/>
      </c>
      <c r="Y28" s="8">
        <f>IF(C28=1,$AE$32,$AE$33)</f>
        <v/>
      </c>
      <c r="Z28" s="9">
        <f>Y28*X28</f>
        <v/>
      </c>
      <c r="AA28" s="10">
        <f>IF(W28&gt;$AE$34,1,0)</f>
        <v/>
      </c>
      <c r="AB28">
        <f>IF(AA28=C28,1,0)</f>
        <v/>
      </c>
      <c r="AD28" t="inlineStr">
        <is>
          <t>proposito_auto</t>
        </is>
      </c>
      <c r="AE28" s="11" t="n">
        <v>-0.08016547581790479</v>
      </c>
      <c r="AF28" s="12" t="n">
        <v>-0.1491804764296379</v>
      </c>
    </row>
    <row r="29">
      <c r="A29">
        <f>'1 datos preparados'!A22</f>
        <v/>
      </c>
      <c r="B29" s="5">
        <f>'1 datos preparados'!U22</f>
        <v/>
      </c>
      <c r="C29">
        <f>'1 datos preparados'!B22</f>
        <v/>
      </c>
      <c r="D29" s="7">
        <f>'1 datos preparados'!C22</f>
        <v/>
      </c>
      <c r="E29" s="7">
        <f>'1 datos preparados'!D22</f>
        <v/>
      </c>
      <c r="F29" s="7">
        <f>'1 datos preparados'!E22</f>
        <v/>
      </c>
      <c r="G29" s="7">
        <f>'1 datos preparados'!F22</f>
        <v/>
      </c>
      <c r="H29" s="7">
        <f>'1 datos preparados'!G22</f>
        <v/>
      </c>
      <c r="I29" s="7">
        <f>'1 datos preparados'!H22</f>
        <v/>
      </c>
      <c r="J29" s="7">
        <f>'1 datos preparados'!I22</f>
        <v/>
      </c>
      <c r="K29" s="7">
        <f>'1 datos preparados'!J22</f>
        <v/>
      </c>
      <c r="L29" s="7">
        <f>'1 datos preparados'!K22</f>
        <v/>
      </c>
      <c r="M29" s="7">
        <f>'1 datos preparados'!L22</f>
        <v/>
      </c>
      <c r="N29" s="7">
        <f>'1 datos preparados'!M22</f>
        <v/>
      </c>
      <c r="O29" s="7">
        <f>'1 datos preparados'!N22</f>
        <v/>
      </c>
      <c r="P29" s="7">
        <f>'1 datos preparados'!O22</f>
        <v/>
      </c>
      <c r="Q29" s="7">
        <f>'1 datos preparados'!P22</f>
        <v/>
      </c>
      <c r="R29" s="7">
        <f>'1 datos preparados'!Q22</f>
        <v/>
      </c>
      <c r="S29" s="7">
        <f>'1 datos preparados'!R22</f>
        <v/>
      </c>
      <c r="T29" s="7">
        <f>'1 datos preparados'!S22</f>
        <v/>
      </c>
      <c r="U29" s="7">
        <f>'1 datos preparados'!T22</f>
        <v/>
      </c>
      <c r="V29" s="8">
        <f>$AE$12+D29*$AE$13+E29*$AE$14+F29*$AE$15+G29*$AE$16+H29*$AE$17+I29*$AE$18+J29*$AE$19+K29*$AE$20+L29*$AE$21+M29*$AE$22+N29*$AE$23+O29*$AE$24+P29*$AE$25+Q29*$AE$26+R29*$AE$27+S29*$AE$28+T29*$AE$29+U29*$AE$30</f>
        <v/>
      </c>
      <c r="W29" s="8">
        <f>1/(1+EXP(-V29))</f>
        <v/>
      </c>
      <c r="X29" s="9">
        <f>-IF(C29=1,LN(W29),LN(1-W29))</f>
        <v/>
      </c>
      <c r="Y29" s="8">
        <f>IF(C29=1,$AE$32,$AE$33)</f>
        <v/>
      </c>
      <c r="Z29" s="9">
        <f>Y29*X29</f>
        <v/>
      </c>
      <c r="AA29" s="10">
        <f>IF(W29&gt;$AE$34,1,0)</f>
        <v/>
      </c>
      <c r="AB29">
        <f>IF(AA29=C29,1,0)</f>
        <v/>
      </c>
      <c r="AD29" t="inlineStr">
        <is>
          <t>proposito_radio_tv</t>
        </is>
      </c>
      <c r="AE29" s="11" t="n">
        <v>-0.5202106472417524</v>
      </c>
      <c r="AF29" s="12" t="n">
        <v>-0.5838407234643852</v>
      </c>
    </row>
    <row r="30">
      <c r="A30">
        <f>'1 datos preparados'!A23</f>
        <v/>
      </c>
      <c r="B30" s="5">
        <f>'1 datos preparados'!U23</f>
        <v/>
      </c>
      <c r="C30">
        <f>'1 datos preparados'!B23</f>
        <v/>
      </c>
      <c r="D30" s="7">
        <f>'1 datos preparados'!C23</f>
        <v/>
      </c>
      <c r="E30" s="7">
        <f>'1 datos preparados'!D23</f>
        <v/>
      </c>
      <c r="F30" s="7">
        <f>'1 datos preparados'!E23</f>
        <v/>
      </c>
      <c r="G30" s="7">
        <f>'1 datos preparados'!F23</f>
        <v/>
      </c>
      <c r="H30" s="7">
        <f>'1 datos preparados'!G23</f>
        <v/>
      </c>
      <c r="I30" s="7">
        <f>'1 datos preparados'!H23</f>
        <v/>
      </c>
      <c r="J30" s="7">
        <f>'1 datos preparados'!I23</f>
        <v/>
      </c>
      <c r="K30" s="7">
        <f>'1 datos preparados'!J23</f>
        <v/>
      </c>
      <c r="L30" s="7">
        <f>'1 datos preparados'!K23</f>
        <v/>
      </c>
      <c r="M30" s="7">
        <f>'1 datos preparados'!L23</f>
        <v/>
      </c>
      <c r="N30" s="7">
        <f>'1 datos preparados'!M23</f>
        <v/>
      </c>
      <c r="O30" s="7">
        <f>'1 datos preparados'!N23</f>
        <v/>
      </c>
      <c r="P30" s="7">
        <f>'1 datos preparados'!O23</f>
        <v/>
      </c>
      <c r="Q30" s="7">
        <f>'1 datos preparados'!P23</f>
        <v/>
      </c>
      <c r="R30" s="7">
        <f>'1 datos preparados'!Q23</f>
        <v/>
      </c>
      <c r="S30" s="7">
        <f>'1 datos preparados'!R23</f>
        <v/>
      </c>
      <c r="T30" s="7">
        <f>'1 datos preparados'!S23</f>
        <v/>
      </c>
      <c r="U30" s="7">
        <f>'1 datos preparados'!T23</f>
        <v/>
      </c>
      <c r="V30" s="8">
        <f>$AE$12+D30*$AE$13+E30*$AE$14+F30*$AE$15+G30*$AE$16+H30*$AE$17+I30*$AE$18+J30*$AE$19+K30*$AE$20+L30*$AE$21+M30*$AE$22+N30*$AE$23+O30*$AE$24+P30*$AE$25+Q30*$AE$26+R30*$AE$27+S30*$AE$28+T30*$AE$29+U30*$AE$30</f>
        <v/>
      </c>
      <c r="W30" s="8">
        <f>1/(1+EXP(-V30))</f>
        <v/>
      </c>
      <c r="X30" s="9">
        <f>-IF(C30=1,LN(W30),LN(1-W30))</f>
        <v/>
      </c>
      <c r="Y30" s="8">
        <f>IF(C30=1,$AE$32,$AE$33)</f>
        <v/>
      </c>
      <c r="Z30" s="9">
        <f>Y30*X30</f>
        <v/>
      </c>
      <c r="AA30" s="10">
        <f>IF(W30&gt;$AE$34,1,0)</f>
        <v/>
      </c>
      <c r="AB30">
        <f>IF(AA30=C30,1,0)</f>
        <v/>
      </c>
      <c r="AD30" t="inlineStr">
        <is>
          <t>proposito_muebles</t>
        </is>
      </c>
      <c r="AE30" s="11" t="n">
        <v>-0.2818027438096851</v>
      </c>
      <c r="AF30" s="12" t="n">
        <v>-0.3042255001022922</v>
      </c>
    </row>
    <row r="31">
      <c r="A31">
        <f>'1 datos preparados'!A24</f>
        <v/>
      </c>
      <c r="B31" s="5">
        <f>'1 datos preparados'!U24</f>
        <v/>
      </c>
      <c r="C31">
        <f>'1 datos preparados'!B24</f>
        <v/>
      </c>
      <c r="D31" s="7">
        <f>'1 datos preparados'!C24</f>
        <v/>
      </c>
      <c r="E31" s="7">
        <f>'1 datos preparados'!D24</f>
        <v/>
      </c>
      <c r="F31" s="7">
        <f>'1 datos preparados'!E24</f>
        <v/>
      </c>
      <c r="G31" s="7">
        <f>'1 datos preparados'!F24</f>
        <v/>
      </c>
      <c r="H31" s="7">
        <f>'1 datos preparados'!G24</f>
        <v/>
      </c>
      <c r="I31" s="7">
        <f>'1 datos preparados'!H24</f>
        <v/>
      </c>
      <c r="J31" s="7">
        <f>'1 datos preparados'!I24</f>
        <v/>
      </c>
      <c r="K31" s="7">
        <f>'1 datos preparados'!J24</f>
        <v/>
      </c>
      <c r="L31" s="7">
        <f>'1 datos preparados'!K24</f>
        <v/>
      </c>
      <c r="M31" s="7">
        <f>'1 datos preparados'!L24</f>
        <v/>
      </c>
      <c r="N31" s="7">
        <f>'1 datos preparados'!M24</f>
        <v/>
      </c>
      <c r="O31" s="7">
        <f>'1 datos preparados'!N24</f>
        <v/>
      </c>
      <c r="P31" s="7">
        <f>'1 datos preparados'!O24</f>
        <v/>
      </c>
      <c r="Q31" s="7">
        <f>'1 datos preparados'!P24</f>
        <v/>
      </c>
      <c r="R31" s="7">
        <f>'1 datos preparados'!Q24</f>
        <v/>
      </c>
      <c r="S31" s="7">
        <f>'1 datos preparados'!R24</f>
        <v/>
      </c>
      <c r="T31" s="7">
        <f>'1 datos preparados'!S24</f>
        <v/>
      </c>
      <c r="U31" s="7">
        <f>'1 datos preparados'!T24</f>
        <v/>
      </c>
      <c r="V31" s="8">
        <f>$AE$12+D31*$AE$13+E31*$AE$14+F31*$AE$15+G31*$AE$16+H31*$AE$17+I31*$AE$18+J31*$AE$19+K31*$AE$20+L31*$AE$21+M31*$AE$22+N31*$AE$23+O31*$AE$24+P31*$AE$25+Q31*$AE$26+R31*$AE$27+S31*$AE$28+T31*$AE$29+U31*$AE$30</f>
        <v/>
      </c>
      <c r="W31" s="8">
        <f>1/(1+EXP(-V31))</f>
        <v/>
      </c>
      <c r="X31" s="9">
        <f>-IF(C31=1,LN(W31),LN(1-W31))</f>
        <v/>
      </c>
      <c r="Y31" s="8">
        <f>IF(C31=1,$AE$32,$AE$33)</f>
        <v/>
      </c>
      <c r="Z31" s="9">
        <f>Y31*X31</f>
        <v/>
      </c>
      <c r="AA31" s="10">
        <f>IF(W31&gt;$AE$34,1,0)</f>
        <v/>
      </c>
      <c r="AB31">
        <f>IF(AA31=C31,1,0)</f>
        <v/>
      </c>
    </row>
    <row r="32">
      <c r="A32">
        <f>'1 datos preparados'!A25</f>
        <v/>
      </c>
      <c r="B32" s="5">
        <f>'1 datos preparados'!U25</f>
        <v/>
      </c>
      <c r="C32">
        <f>'1 datos preparados'!B25</f>
        <v/>
      </c>
      <c r="D32" s="7">
        <f>'1 datos preparados'!C25</f>
        <v/>
      </c>
      <c r="E32" s="7">
        <f>'1 datos preparados'!D25</f>
        <v/>
      </c>
      <c r="F32" s="7">
        <f>'1 datos preparados'!E25</f>
        <v/>
      </c>
      <c r="G32" s="7">
        <f>'1 datos preparados'!F25</f>
        <v/>
      </c>
      <c r="H32" s="7">
        <f>'1 datos preparados'!G25</f>
        <v/>
      </c>
      <c r="I32" s="7">
        <f>'1 datos preparados'!H25</f>
        <v/>
      </c>
      <c r="J32" s="7">
        <f>'1 datos preparados'!I25</f>
        <v/>
      </c>
      <c r="K32" s="7">
        <f>'1 datos preparados'!J25</f>
        <v/>
      </c>
      <c r="L32" s="7">
        <f>'1 datos preparados'!K25</f>
        <v/>
      </c>
      <c r="M32" s="7">
        <f>'1 datos preparados'!L25</f>
        <v/>
      </c>
      <c r="N32" s="7">
        <f>'1 datos preparados'!M25</f>
        <v/>
      </c>
      <c r="O32" s="7">
        <f>'1 datos preparados'!N25</f>
        <v/>
      </c>
      <c r="P32" s="7">
        <f>'1 datos preparados'!O25</f>
        <v/>
      </c>
      <c r="Q32" s="7">
        <f>'1 datos preparados'!P25</f>
        <v/>
      </c>
      <c r="R32" s="7">
        <f>'1 datos preparados'!Q25</f>
        <v/>
      </c>
      <c r="S32" s="7">
        <f>'1 datos preparados'!R25</f>
        <v/>
      </c>
      <c r="T32" s="7">
        <f>'1 datos preparados'!S25</f>
        <v/>
      </c>
      <c r="U32" s="7">
        <f>'1 datos preparados'!T25</f>
        <v/>
      </c>
      <c r="V32" s="8">
        <f>$AE$12+D32*$AE$13+E32*$AE$14+F32*$AE$15+G32*$AE$16+H32*$AE$17+I32*$AE$18+J32*$AE$19+K32*$AE$20+L32*$AE$21+M32*$AE$22+N32*$AE$23+O32*$AE$24+P32*$AE$25+Q32*$AE$26+R32*$AE$27+S32*$AE$28+T32*$AE$29+U32*$AE$30</f>
        <v/>
      </c>
      <c r="W32" s="8">
        <f>1/(1+EXP(-V32))</f>
        <v/>
      </c>
      <c r="X32" s="9">
        <f>-IF(C32=1,LN(W32),LN(1-W32))</f>
        <v/>
      </c>
      <c r="Y32" s="8">
        <f>IF(C32=1,$AE$32,$AE$33)</f>
        <v/>
      </c>
      <c r="Z32" s="9">
        <f>Y32*X32</f>
        <v/>
      </c>
      <c r="AA32" s="10">
        <f>IF(W32&gt;$AE$34,1,0)</f>
        <v/>
      </c>
      <c r="AB32">
        <f>IF(AA32=C32,1,0)</f>
        <v/>
      </c>
      <c r="AD32" s="3" t="inlineStr">
        <is>
          <t>repeticiones de cada mal pagador</t>
        </is>
      </c>
      <c r="AE32" s="21" t="n">
        <v>2</v>
      </c>
    </row>
    <row r="33">
      <c r="A33">
        <f>'1 datos preparados'!A26</f>
        <v/>
      </c>
      <c r="B33" s="5">
        <f>'1 datos preparados'!U26</f>
        <v/>
      </c>
      <c r="C33">
        <f>'1 datos preparados'!B26</f>
        <v/>
      </c>
      <c r="D33" s="7">
        <f>'1 datos preparados'!C26</f>
        <v/>
      </c>
      <c r="E33" s="7">
        <f>'1 datos preparados'!D26</f>
        <v/>
      </c>
      <c r="F33" s="7">
        <f>'1 datos preparados'!E26</f>
        <v/>
      </c>
      <c r="G33" s="7">
        <f>'1 datos preparados'!F26</f>
        <v/>
      </c>
      <c r="H33" s="7">
        <f>'1 datos preparados'!G26</f>
        <v/>
      </c>
      <c r="I33" s="7">
        <f>'1 datos preparados'!H26</f>
        <v/>
      </c>
      <c r="J33" s="7">
        <f>'1 datos preparados'!I26</f>
        <v/>
      </c>
      <c r="K33" s="7">
        <f>'1 datos preparados'!J26</f>
        <v/>
      </c>
      <c r="L33" s="7">
        <f>'1 datos preparados'!K26</f>
        <v/>
      </c>
      <c r="M33" s="7">
        <f>'1 datos preparados'!L26</f>
        <v/>
      </c>
      <c r="N33" s="7">
        <f>'1 datos preparados'!M26</f>
        <v/>
      </c>
      <c r="O33" s="7">
        <f>'1 datos preparados'!N26</f>
        <v/>
      </c>
      <c r="P33" s="7">
        <f>'1 datos preparados'!O26</f>
        <v/>
      </c>
      <c r="Q33" s="7">
        <f>'1 datos preparados'!P26</f>
        <v/>
      </c>
      <c r="R33" s="7">
        <f>'1 datos preparados'!Q26</f>
        <v/>
      </c>
      <c r="S33" s="7">
        <f>'1 datos preparados'!R26</f>
        <v/>
      </c>
      <c r="T33" s="7">
        <f>'1 datos preparados'!S26</f>
        <v/>
      </c>
      <c r="U33" s="7">
        <f>'1 datos preparados'!T26</f>
        <v/>
      </c>
      <c r="V33" s="8">
        <f>$AE$12+D33*$AE$13+E33*$AE$14+F33*$AE$15+G33*$AE$16+H33*$AE$17+I33*$AE$18+J33*$AE$19+K33*$AE$20+L33*$AE$21+M33*$AE$22+N33*$AE$23+O33*$AE$24+P33*$AE$25+Q33*$AE$26+R33*$AE$27+S33*$AE$28+T33*$AE$29+U33*$AE$30</f>
        <v/>
      </c>
      <c r="W33" s="8">
        <f>1/(1+EXP(-V33))</f>
        <v/>
      </c>
      <c r="X33" s="9">
        <f>-IF(C33=1,LN(W33),LN(1-W33))</f>
        <v/>
      </c>
      <c r="Y33" s="8">
        <f>IF(C33=1,$AE$32,$AE$33)</f>
        <v/>
      </c>
      <c r="Z33" s="9">
        <f>Y33*X33</f>
        <v/>
      </c>
      <c r="AA33" s="10">
        <f>IF(W33&gt;$AE$34,1,0)</f>
        <v/>
      </c>
      <c r="AB33">
        <f>IF(AA33=C33,1,0)</f>
        <v/>
      </c>
      <c r="AD33" s="3" t="inlineStr">
        <is>
          <t>repeticiones de cada buen pagador</t>
        </is>
      </c>
      <c r="AE33" s="21" t="n">
        <v>1</v>
      </c>
    </row>
    <row r="34">
      <c r="A34">
        <f>'1 datos preparados'!A27</f>
        <v/>
      </c>
      <c r="B34" s="5">
        <f>'1 datos preparados'!U27</f>
        <v/>
      </c>
      <c r="C34">
        <f>'1 datos preparados'!B27</f>
        <v/>
      </c>
      <c r="D34" s="7">
        <f>'1 datos preparados'!C27</f>
        <v/>
      </c>
      <c r="E34" s="7">
        <f>'1 datos preparados'!D27</f>
        <v/>
      </c>
      <c r="F34" s="7">
        <f>'1 datos preparados'!E27</f>
        <v/>
      </c>
      <c r="G34" s="7">
        <f>'1 datos preparados'!F27</f>
        <v/>
      </c>
      <c r="H34" s="7">
        <f>'1 datos preparados'!G27</f>
        <v/>
      </c>
      <c r="I34" s="7">
        <f>'1 datos preparados'!H27</f>
        <v/>
      </c>
      <c r="J34" s="7">
        <f>'1 datos preparados'!I27</f>
        <v/>
      </c>
      <c r="K34" s="7">
        <f>'1 datos preparados'!J27</f>
        <v/>
      </c>
      <c r="L34" s="7">
        <f>'1 datos preparados'!K27</f>
        <v/>
      </c>
      <c r="M34" s="7">
        <f>'1 datos preparados'!L27</f>
        <v/>
      </c>
      <c r="N34" s="7">
        <f>'1 datos preparados'!M27</f>
        <v/>
      </c>
      <c r="O34" s="7">
        <f>'1 datos preparados'!N27</f>
        <v/>
      </c>
      <c r="P34" s="7">
        <f>'1 datos preparados'!O27</f>
        <v/>
      </c>
      <c r="Q34" s="7">
        <f>'1 datos preparados'!P27</f>
        <v/>
      </c>
      <c r="R34" s="7">
        <f>'1 datos preparados'!Q27</f>
        <v/>
      </c>
      <c r="S34" s="7">
        <f>'1 datos preparados'!R27</f>
        <v/>
      </c>
      <c r="T34" s="7">
        <f>'1 datos preparados'!S27</f>
        <v/>
      </c>
      <c r="U34" s="7">
        <f>'1 datos preparados'!T27</f>
        <v/>
      </c>
      <c r="V34" s="8">
        <f>$AE$12+D34*$AE$13+E34*$AE$14+F34*$AE$15+G34*$AE$16+H34*$AE$17+I34*$AE$18+J34*$AE$19+K34*$AE$20+L34*$AE$21+M34*$AE$22+N34*$AE$23+O34*$AE$24+P34*$AE$25+Q34*$AE$26+R34*$AE$27+S34*$AE$28+T34*$AE$29+U34*$AE$30</f>
        <v/>
      </c>
      <c r="W34" s="8">
        <f>1/(1+EXP(-V34))</f>
        <v/>
      </c>
      <c r="X34" s="9">
        <f>-IF(C34=1,LN(W34),LN(1-W34))</f>
        <v/>
      </c>
      <c r="Y34" s="8">
        <f>IF(C34=1,$AE$32,$AE$33)</f>
        <v/>
      </c>
      <c r="Z34" s="9">
        <f>Y34*X34</f>
        <v/>
      </c>
      <c r="AA34" s="10">
        <f>IF(W34&gt;$AE$34,1,0)</f>
        <v/>
      </c>
      <c r="AB34">
        <f>IF(AA34=C34,1,0)</f>
        <v/>
      </c>
      <c r="AD34" s="3" t="inlineStr">
        <is>
          <t>umbral</t>
        </is>
      </c>
      <c r="AE34" s="15" t="n">
        <v>0.5</v>
      </c>
    </row>
    <row r="35">
      <c r="A35">
        <f>'1 datos preparados'!A28</f>
        <v/>
      </c>
      <c r="B35" s="5">
        <f>'1 datos preparados'!U28</f>
        <v/>
      </c>
      <c r="C35">
        <f>'1 datos preparados'!B28</f>
        <v/>
      </c>
      <c r="D35" s="7">
        <f>'1 datos preparados'!C28</f>
        <v/>
      </c>
      <c r="E35" s="7">
        <f>'1 datos preparados'!D28</f>
        <v/>
      </c>
      <c r="F35" s="7">
        <f>'1 datos preparados'!E28</f>
        <v/>
      </c>
      <c r="G35" s="7">
        <f>'1 datos preparados'!F28</f>
        <v/>
      </c>
      <c r="H35" s="7">
        <f>'1 datos preparados'!G28</f>
        <v/>
      </c>
      <c r="I35" s="7">
        <f>'1 datos preparados'!H28</f>
        <v/>
      </c>
      <c r="J35" s="7">
        <f>'1 datos preparados'!I28</f>
        <v/>
      </c>
      <c r="K35" s="7">
        <f>'1 datos preparados'!J28</f>
        <v/>
      </c>
      <c r="L35" s="7">
        <f>'1 datos preparados'!K28</f>
        <v/>
      </c>
      <c r="M35" s="7">
        <f>'1 datos preparados'!L28</f>
        <v/>
      </c>
      <c r="N35" s="7">
        <f>'1 datos preparados'!M28</f>
        <v/>
      </c>
      <c r="O35" s="7">
        <f>'1 datos preparados'!N28</f>
        <v/>
      </c>
      <c r="P35" s="7">
        <f>'1 datos preparados'!O28</f>
        <v/>
      </c>
      <c r="Q35" s="7">
        <f>'1 datos preparados'!P28</f>
        <v/>
      </c>
      <c r="R35" s="7">
        <f>'1 datos preparados'!Q28</f>
        <v/>
      </c>
      <c r="S35" s="7">
        <f>'1 datos preparados'!R28</f>
        <v/>
      </c>
      <c r="T35" s="7">
        <f>'1 datos preparados'!S28</f>
        <v/>
      </c>
      <c r="U35" s="7">
        <f>'1 datos preparados'!T28</f>
        <v/>
      </c>
      <c r="V35" s="8">
        <f>$AE$12+D35*$AE$13+E35*$AE$14+F35*$AE$15+G35*$AE$16+H35*$AE$17+I35*$AE$18+J35*$AE$19+K35*$AE$20+L35*$AE$21+M35*$AE$22+N35*$AE$23+O35*$AE$24+P35*$AE$25+Q35*$AE$26+R35*$AE$27+S35*$AE$28+T35*$AE$29+U35*$AE$30</f>
        <v/>
      </c>
      <c r="W35" s="8">
        <f>1/(1+EXP(-V35))</f>
        <v/>
      </c>
      <c r="X35" s="9">
        <f>-IF(C35=1,LN(W35),LN(1-W35))</f>
        <v/>
      </c>
      <c r="Y35" s="8">
        <f>IF(C35=1,$AE$32,$AE$33)</f>
        <v/>
      </c>
      <c r="Z35" s="9">
        <f>Y35*X35</f>
        <v/>
      </c>
      <c r="AA35" s="10">
        <f>IF(W35&gt;$AE$34,1,0)</f>
        <v/>
      </c>
      <c r="AB35">
        <f>IF(AA35=C35,1,0)</f>
        <v/>
      </c>
    </row>
    <row r="36">
      <c r="A36">
        <f>'1 datos preparados'!A29</f>
        <v/>
      </c>
      <c r="B36" s="5">
        <f>'1 datos preparados'!U29</f>
        <v/>
      </c>
      <c r="C36">
        <f>'1 datos preparados'!B29</f>
        <v/>
      </c>
      <c r="D36" s="7">
        <f>'1 datos preparados'!C29</f>
        <v/>
      </c>
      <c r="E36" s="7">
        <f>'1 datos preparados'!D29</f>
        <v/>
      </c>
      <c r="F36" s="7">
        <f>'1 datos preparados'!E29</f>
        <v/>
      </c>
      <c r="G36" s="7">
        <f>'1 datos preparados'!F29</f>
        <v/>
      </c>
      <c r="H36" s="7">
        <f>'1 datos preparados'!G29</f>
        <v/>
      </c>
      <c r="I36" s="7">
        <f>'1 datos preparados'!H29</f>
        <v/>
      </c>
      <c r="J36" s="7">
        <f>'1 datos preparados'!I29</f>
        <v/>
      </c>
      <c r="K36" s="7">
        <f>'1 datos preparados'!J29</f>
        <v/>
      </c>
      <c r="L36" s="7">
        <f>'1 datos preparados'!K29</f>
        <v/>
      </c>
      <c r="M36" s="7">
        <f>'1 datos preparados'!L29</f>
        <v/>
      </c>
      <c r="N36" s="7">
        <f>'1 datos preparados'!M29</f>
        <v/>
      </c>
      <c r="O36" s="7">
        <f>'1 datos preparados'!N29</f>
        <v/>
      </c>
      <c r="P36" s="7">
        <f>'1 datos preparados'!O29</f>
        <v/>
      </c>
      <c r="Q36" s="7">
        <f>'1 datos preparados'!P29</f>
        <v/>
      </c>
      <c r="R36" s="7">
        <f>'1 datos preparados'!Q29</f>
        <v/>
      </c>
      <c r="S36" s="7">
        <f>'1 datos preparados'!R29</f>
        <v/>
      </c>
      <c r="T36" s="7">
        <f>'1 datos preparados'!S29</f>
        <v/>
      </c>
      <c r="U36" s="7">
        <f>'1 datos preparados'!T29</f>
        <v/>
      </c>
      <c r="V36" s="8">
        <f>$AE$12+D36*$AE$13+E36*$AE$14+F36*$AE$15+G36*$AE$16+H36*$AE$17+I36*$AE$18+J36*$AE$19+K36*$AE$20+L36*$AE$21+M36*$AE$22+N36*$AE$23+O36*$AE$24+P36*$AE$25+Q36*$AE$26+R36*$AE$27+S36*$AE$28+T36*$AE$29+U36*$AE$30</f>
        <v/>
      </c>
      <c r="W36" s="8">
        <f>1/(1+EXP(-V36))</f>
        <v/>
      </c>
      <c r="X36" s="9">
        <f>-IF(C36=1,LN(W36),LN(1-W36))</f>
        <v/>
      </c>
      <c r="Y36" s="8">
        <f>IF(C36=1,$AE$32,$AE$33)</f>
        <v/>
      </c>
      <c r="Z36" s="9">
        <f>Y36*X36</f>
        <v/>
      </c>
      <c r="AA36" s="10">
        <f>IF(W36&gt;$AE$34,1,0)</f>
        <v/>
      </c>
      <c r="AB36">
        <f>IF(AA36=C36,1,0)</f>
        <v/>
      </c>
      <c r="AD36" s="3" t="inlineStr">
        <is>
          <t>RESULTADOS</t>
        </is>
      </c>
    </row>
    <row r="37">
      <c r="A37">
        <f>'1 datos preparados'!A30</f>
        <v/>
      </c>
      <c r="B37" s="5">
        <f>'1 datos preparados'!U30</f>
        <v/>
      </c>
      <c r="C37">
        <f>'1 datos preparados'!B30</f>
        <v/>
      </c>
      <c r="D37" s="7">
        <f>'1 datos preparados'!C30</f>
        <v/>
      </c>
      <c r="E37" s="7">
        <f>'1 datos preparados'!D30</f>
        <v/>
      </c>
      <c r="F37" s="7">
        <f>'1 datos preparados'!E30</f>
        <v/>
      </c>
      <c r="G37" s="7">
        <f>'1 datos preparados'!F30</f>
        <v/>
      </c>
      <c r="H37" s="7">
        <f>'1 datos preparados'!G30</f>
        <v/>
      </c>
      <c r="I37" s="7">
        <f>'1 datos preparados'!H30</f>
        <v/>
      </c>
      <c r="J37" s="7">
        <f>'1 datos preparados'!I30</f>
        <v/>
      </c>
      <c r="K37" s="7">
        <f>'1 datos preparados'!J30</f>
        <v/>
      </c>
      <c r="L37" s="7">
        <f>'1 datos preparados'!K30</f>
        <v/>
      </c>
      <c r="M37" s="7">
        <f>'1 datos preparados'!L30</f>
        <v/>
      </c>
      <c r="N37" s="7">
        <f>'1 datos preparados'!M30</f>
        <v/>
      </c>
      <c r="O37" s="7">
        <f>'1 datos preparados'!N30</f>
        <v/>
      </c>
      <c r="P37" s="7">
        <f>'1 datos preparados'!O30</f>
        <v/>
      </c>
      <c r="Q37" s="7">
        <f>'1 datos preparados'!P30</f>
        <v/>
      </c>
      <c r="R37" s="7">
        <f>'1 datos preparados'!Q30</f>
        <v/>
      </c>
      <c r="S37" s="7">
        <f>'1 datos preparados'!R30</f>
        <v/>
      </c>
      <c r="T37" s="7">
        <f>'1 datos preparados'!S30</f>
        <v/>
      </c>
      <c r="U37" s="7">
        <f>'1 datos preparados'!T30</f>
        <v/>
      </c>
      <c r="V37" s="8">
        <f>$AE$12+D37*$AE$13+E37*$AE$14+F37*$AE$15+G37*$AE$16+H37*$AE$17+I37*$AE$18+J37*$AE$19+K37*$AE$20+L37*$AE$21+M37*$AE$22+N37*$AE$23+O37*$AE$24+P37*$AE$25+Q37*$AE$26+R37*$AE$27+S37*$AE$28+T37*$AE$29+U37*$AE$30</f>
        <v/>
      </c>
      <c r="W37" s="8">
        <f>1/(1+EXP(-V37))</f>
        <v/>
      </c>
      <c r="X37" s="9">
        <f>-IF(C37=1,LN(W37),LN(1-W37))</f>
        <v/>
      </c>
      <c r="Y37" s="8">
        <f>IF(C37=1,$AE$32,$AE$33)</f>
        <v/>
      </c>
      <c r="Z37" s="9">
        <f>Y37*X37</f>
        <v/>
      </c>
      <c r="AA37" s="10">
        <f>IF(W37&gt;$AE$34,1,0)</f>
        <v/>
      </c>
      <c r="AB37">
        <f>IF(AA37=C37,1,0)</f>
        <v/>
      </c>
      <c r="AD37" t="inlineStr">
        <is>
          <t>J = suma de pérdidas ponderadas en training (OBJETIVO DE SOLVER)</t>
        </is>
      </c>
      <c r="AE37" s="16">
        <f>SUMPRODUCT(($B$12:$B$1011="training")*$Z$12:$Z$1011)</f>
        <v/>
      </c>
    </row>
    <row r="38">
      <c r="A38">
        <f>'1 datos preparados'!A31</f>
        <v/>
      </c>
      <c r="B38" s="5">
        <f>'1 datos preparados'!U31</f>
        <v/>
      </c>
      <c r="C38">
        <f>'1 datos preparados'!B31</f>
        <v/>
      </c>
      <c r="D38" s="7">
        <f>'1 datos preparados'!C31</f>
        <v/>
      </c>
      <c r="E38" s="7">
        <f>'1 datos preparados'!D31</f>
        <v/>
      </c>
      <c r="F38" s="7">
        <f>'1 datos preparados'!E31</f>
        <v/>
      </c>
      <c r="G38" s="7">
        <f>'1 datos preparados'!F31</f>
        <v/>
      </c>
      <c r="H38" s="7">
        <f>'1 datos preparados'!G31</f>
        <v/>
      </c>
      <c r="I38" s="7">
        <f>'1 datos preparados'!H31</f>
        <v/>
      </c>
      <c r="J38" s="7">
        <f>'1 datos preparados'!I31</f>
        <v/>
      </c>
      <c r="K38" s="7">
        <f>'1 datos preparados'!J31</f>
        <v/>
      </c>
      <c r="L38" s="7">
        <f>'1 datos preparados'!K31</f>
        <v/>
      </c>
      <c r="M38" s="7">
        <f>'1 datos preparados'!L31</f>
        <v/>
      </c>
      <c r="N38" s="7">
        <f>'1 datos preparados'!M31</f>
        <v/>
      </c>
      <c r="O38" s="7">
        <f>'1 datos preparados'!N31</f>
        <v/>
      </c>
      <c r="P38" s="7">
        <f>'1 datos preparados'!O31</f>
        <v/>
      </c>
      <c r="Q38" s="7">
        <f>'1 datos preparados'!P31</f>
        <v/>
      </c>
      <c r="R38" s="7">
        <f>'1 datos preparados'!Q31</f>
        <v/>
      </c>
      <c r="S38" s="7">
        <f>'1 datos preparados'!R31</f>
        <v/>
      </c>
      <c r="T38" s="7">
        <f>'1 datos preparados'!S31</f>
        <v/>
      </c>
      <c r="U38" s="7">
        <f>'1 datos preparados'!T31</f>
        <v/>
      </c>
      <c r="V38" s="8">
        <f>$AE$12+D38*$AE$13+E38*$AE$14+F38*$AE$15+G38*$AE$16+H38*$AE$17+I38*$AE$18+J38*$AE$19+K38*$AE$20+L38*$AE$21+M38*$AE$22+N38*$AE$23+O38*$AE$24+P38*$AE$25+Q38*$AE$26+R38*$AE$27+S38*$AE$28+T38*$AE$29+U38*$AE$30</f>
        <v/>
      </c>
      <c r="W38" s="8">
        <f>1/(1+EXP(-V38))</f>
        <v/>
      </c>
      <c r="X38" s="9">
        <f>-IF(C38=1,LN(W38),LN(1-W38))</f>
        <v/>
      </c>
      <c r="Y38" s="8">
        <f>IF(C38=1,$AE$32,$AE$33)</f>
        <v/>
      </c>
      <c r="Z38" s="9">
        <f>Y38*X38</f>
        <v/>
      </c>
      <c r="AA38" s="10">
        <f>IF(W38&gt;$AE$34,1,0)</f>
        <v/>
      </c>
      <c r="AB38">
        <f>IF(AA38=C38,1,0)</f>
        <v/>
      </c>
      <c r="AD38" t="inlineStr">
        <is>
          <t>suma de pesos de fila en training</t>
        </is>
      </c>
      <c r="AE38" s="17">
        <f>SUMPRODUCT(($B$12:$B$1011="training")*$Y$12:$Y$1011)</f>
        <v/>
      </c>
    </row>
    <row r="39">
      <c r="A39">
        <f>'1 datos preparados'!A32</f>
        <v/>
      </c>
      <c r="B39" s="5">
        <f>'1 datos preparados'!U32</f>
        <v/>
      </c>
      <c r="C39">
        <f>'1 datos preparados'!B32</f>
        <v/>
      </c>
      <c r="D39" s="7">
        <f>'1 datos preparados'!C32</f>
        <v/>
      </c>
      <c r="E39" s="7">
        <f>'1 datos preparados'!D32</f>
        <v/>
      </c>
      <c r="F39" s="7">
        <f>'1 datos preparados'!E32</f>
        <v/>
      </c>
      <c r="G39" s="7">
        <f>'1 datos preparados'!F32</f>
        <v/>
      </c>
      <c r="H39" s="7">
        <f>'1 datos preparados'!G32</f>
        <v/>
      </c>
      <c r="I39" s="7">
        <f>'1 datos preparados'!H32</f>
        <v/>
      </c>
      <c r="J39" s="7">
        <f>'1 datos preparados'!I32</f>
        <v/>
      </c>
      <c r="K39" s="7">
        <f>'1 datos preparados'!J32</f>
        <v/>
      </c>
      <c r="L39" s="7">
        <f>'1 datos preparados'!K32</f>
        <v/>
      </c>
      <c r="M39" s="7">
        <f>'1 datos preparados'!L32</f>
        <v/>
      </c>
      <c r="N39" s="7">
        <f>'1 datos preparados'!M32</f>
        <v/>
      </c>
      <c r="O39" s="7">
        <f>'1 datos preparados'!N32</f>
        <v/>
      </c>
      <c r="P39" s="7">
        <f>'1 datos preparados'!O32</f>
        <v/>
      </c>
      <c r="Q39" s="7">
        <f>'1 datos preparados'!P32</f>
        <v/>
      </c>
      <c r="R39" s="7">
        <f>'1 datos preparados'!Q32</f>
        <v/>
      </c>
      <c r="S39" s="7">
        <f>'1 datos preparados'!R32</f>
        <v/>
      </c>
      <c r="T39" s="7">
        <f>'1 datos preparados'!S32</f>
        <v/>
      </c>
      <c r="U39" s="7">
        <f>'1 datos preparados'!T32</f>
        <v/>
      </c>
      <c r="V39" s="8">
        <f>$AE$12+D39*$AE$13+E39*$AE$14+F39*$AE$15+G39*$AE$16+H39*$AE$17+I39*$AE$18+J39*$AE$19+K39*$AE$20+L39*$AE$21+M39*$AE$22+N39*$AE$23+O39*$AE$24+P39*$AE$25+Q39*$AE$26+R39*$AE$27+S39*$AE$28+T39*$AE$29+U39*$AE$30</f>
        <v/>
      </c>
      <c r="W39" s="8">
        <f>1/(1+EXP(-V39))</f>
        <v/>
      </c>
      <c r="X39" s="9">
        <f>-IF(C39=1,LN(W39),LN(1-W39))</f>
        <v/>
      </c>
      <c r="Y39" s="8">
        <f>IF(C39=1,$AE$32,$AE$33)</f>
        <v/>
      </c>
      <c r="Z39" s="9">
        <f>Y39*X39</f>
        <v/>
      </c>
      <c r="AA39" s="10">
        <f>IF(W39&gt;$AE$34,1,0)</f>
        <v/>
      </c>
      <c r="AB39">
        <f>IF(AA39=C39,1,0)</f>
        <v/>
      </c>
      <c r="AD39" t="inlineStr">
        <is>
          <t>de la cual, clase 1</t>
        </is>
      </c>
      <c r="AE39" s="17">
        <f>SUMPRODUCT(($B$12:$B$1011="training")*($C$12:$C$1011=1)*$Y$12:$Y$1011)</f>
        <v/>
      </c>
    </row>
    <row r="40">
      <c r="A40">
        <f>'1 datos preparados'!A33</f>
        <v/>
      </c>
      <c r="B40" s="5">
        <f>'1 datos preparados'!U33</f>
        <v/>
      </c>
      <c r="C40">
        <f>'1 datos preparados'!B33</f>
        <v/>
      </c>
      <c r="D40" s="7">
        <f>'1 datos preparados'!C33</f>
        <v/>
      </c>
      <c r="E40" s="7">
        <f>'1 datos preparados'!D33</f>
        <v/>
      </c>
      <c r="F40" s="7">
        <f>'1 datos preparados'!E33</f>
        <v/>
      </c>
      <c r="G40" s="7">
        <f>'1 datos preparados'!F33</f>
        <v/>
      </c>
      <c r="H40" s="7">
        <f>'1 datos preparados'!G33</f>
        <v/>
      </c>
      <c r="I40" s="7">
        <f>'1 datos preparados'!H33</f>
        <v/>
      </c>
      <c r="J40" s="7">
        <f>'1 datos preparados'!I33</f>
        <v/>
      </c>
      <c r="K40" s="7">
        <f>'1 datos preparados'!J33</f>
        <v/>
      </c>
      <c r="L40" s="7">
        <f>'1 datos preparados'!K33</f>
        <v/>
      </c>
      <c r="M40" s="7">
        <f>'1 datos preparados'!L33</f>
        <v/>
      </c>
      <c r="N40" s="7">
        <f>'1 datos preparados'!M33</f>
        <v/>
      </c>
      <c r="O40" s="7">
        <f>'1 datos preparados'!N33</f>
        <v/>
      </c>
      <c r="P40" s="7">
        <f>'1 datos preparados'!O33</f>
        <v/>
      </c>
      <c r="Q40" s="7">
        <f>'1 datos preparados'!P33</f>
        <v/>
      </c>
      <c r="R40" s="7">
        <f>'1 datos preparados'!Q33</f>
        <v/>
      </c>
      <c r="S40" s="7">
        <f>'1 datos preparados'!R33</f>
        <v/>
      </c>
      <c r="T40" s="7">
        <f>'1 datos preparados'!S33</f>
        <v/>
      </c>
      <c r="U40" s="7">
        <f>'1 datos preparados'!T33</f>
        <v/>
      </c>
      <c r="V40" s="8">
        <f>$AE$12+D40*$AE$13+E40*$AE$14+F40*$AE$15+G40*$AE$16+H40*$AE$17+I40*$AE$18+J40*$AE$19+K40*$AE$20+L40*$AE$21+M40*$AE$22+N40*$AE$23+O40*$AE$24+P40*$AE$25+Q40*$AE$26+R40*$AE$27+S40*$AE$28+T40*$AE$29+U40*$AE$30</f>
        <v/>
      </c>
      <c r="W40" s="8">
        <f>1/(1+EXP(-V40))</f>
        <v/>
      </c>
      <c r="X40" s="9">
        <f>-IF(C40=1,LN(W40),LN(1-W40))</f>
        <v/>
      </c>
      <c r="Y40" s="8">
        <f>IF(C40=1,$AE$32,$AE$33)</f>
        <v/>
      </c>
      <c r="Z40" s="9">
        <f>Y40*X40</f>
        <v/>
      </c>
      <c r="AA40" s="10">
        <f>IF(W40&gt;$AE$34,1,0)</f>
        <v/>
      </c>
      <c r="AB40">
        <f>IF(AA40=C40,1,0)</f>
        <v/>
      </c>
      <c r="AD40" t="inlineStr">
        <is>
          <t>de la cual, clase 0</t>
        </is>
      </c>
      <c r="AE40" s="17">
        <f>SUMPRODUCT(($B$12:$B$1011="training")*($C$12:$C$1011=0)*$Y$12:$Y$1011)</f>
        <v/>
      </c>
    </row>
    <row r="41">
      <c r="A41">
        <f>'1 datos preparados'!A34</f>
        <v/>
      </c>
      <c r="B41" s="5">
        <f>'1 datos preparados'!U34</f>
        <v/>
      </c>
      <c r="C41">
        <f>'1 datos preparados'!B34</f>
        <v/>
      </c>
      <c r="D41" s="7">
        <f>'1 datos preparados'!C34</f>
        <v/>
      </c>
      <c r="E41" s="7">
        <f>'1 datos preparados'!D34</f>
        <v/>
      </c>
      <c r="F41" s="7">
        <f>'1 datos preparados'!E34</f>
        <v/>
      </c>
      <c r="G41" s="7">
        <f>'1 datos preparados'!F34</f>
        <v/>
      </c>
      <c r="H41" s="7">
        <f>'1 datos preparados'!G34</f>
        <v/>
      </c>
      <c r="I41" s="7">
        <f>'1 datos preparados'!H34</f>
        <v/>
      </c>
      <c r="J41" s="7">
        <f>'1 datos preparados'!I34</f>
        <v/>
      </c>
      <c r="K41" s="7">
        <f>'1 datos preparados'!J34</f>
        <v/>
      </c>
      <c r="L41" s="7">
        <f>'1 datos preparados'!K34</f>
        <v/>
      </c>
      <c r="M41" s="7">
        <f>'1 datos preparados'!L34</f>
        <v/>
      </c>
      <c r="N41" s="7">
        <f>'1 datos preparados'!M34</f>
        <v/>
      </c>
      <c r="O41" s="7">
        <f>'1 datos preparados'!N34</f>
        <v/>
      </c>
      <c r="P41" s="7">
        <f>'1 datos preparados'!O34</f>
        <v/>
      </c>
      <c r="Q41" s="7">
        <f>'1 datos preparados'!P34</f>
        <v/>
      </c>
      <c r="R41" s="7">
        <f>'1 datos preparados'!Q34</f>
        <v/>
      </c>
      <c r="S41" s="7">
        <f>'1 datos preparados'!R34</f>
        <v/>
      </c>
      <c r="T41" s="7">
        <f>'1 datos preparados'!S34</f>
        <v/>
      </c>
      <c r="U41" s="7">
        <f>'1 datos preparados'!T34</f>
        <v/>
      </c>
      <c r="V41" s="8">
        <f>$AE$12+D41*$AE$13+E41*$AE$14+F41*$AE$15+G41*$AE$16+H41*$AE$17+I41*$AE$18+J41*$AE$19+K41*$AE$20+L41*$AE$21+M41*$AE$22+N41*$AE$23+O41*$AE$24+P41*$AE$25+Q41*$AE$26+R41*$AE$27+S41*$AE$28+T41*$AE$29+U41*$AE$30</f>
        <v/>
      </c>
      <c r="W41" s="8">
        <f>1/(1+EXP(-V41))</f>
        <v/>
      </c>
      <c r="X41" s="9">
        <f>-IF(C41=1,LN(W41),LN(1-W41))</f>
        <v/>
      </c>
      <c r="Y41" s="8">
        <f>IF(C41=1,$AE$32,$AE$33)</f>
        <v/>
      </c>
      <c r="Z41" s="9">
        <f>Y41*X41</f>
        <v/>
      </c>
      <c r="AA41" s="10">
        <f>IF(W41&gt;$AE$34,1,0)</f>
        <v/>
      </c>
      <c r="AB41">
        <f>IF(AA41=C41,1,0)</f>
        <v/>
      </c>
      <c r="AD41" t="inlineStr">
        <is>
          <t>pérdida promedio testing (sin ponderar)</t>
        </is>
      </c>
      <c r="AE41" s="18">
        <f>SUMPRODUCT(($B$12:$B$1011="testing")*$X$12:$X$1011)/COUNTIF($B$12:$B$1011,"testing")</f>
        <v/>
      </c>
    </row>
    <row r="42">
      <c r="A42">
        <f>'1 datos preparados'!A35</f>
        <v/>
      </c>
      <c r="B42" s="5">
        <f>'1 datos preparados'!U35</f>
        <v/>
      </c>
      <c r="C42">
        <f>'1 datos preparados'!B35</f>
        <v/>
      </c>
      <c r="D42" s="7">
        <f>'1 datos preparados'!C35</f>
        <v/>
      </c>
      <c r="E42" s="7">
        <f>'1 datos preparados'!D35</f>
        <v/>
      </c>
      <c r="F42" s="7">
        <f>'1 datos preparados'!E35</f>
        <v/>
      </c>
      <c r="G42" s="7">
        <f>'1 datos preparados'!F35</f>
        <v/>
      </c>
      <c r="H42" s="7">
        <f>'1 datos preparados'!G35</f>
        <v/>
      </c>
      <c r="I42" s="7">
        <f>'1 datos preparados'!H35</f>
        <v/>
      </c>
      <c r="J42" s="7">
        <f>'1 datos preparados'!I35</f>
        <v/>
      </c>
      <c r="K42" s="7">
        <f>'1 datos preparados'!J35</f>
        <v/>
      </c>
      <c r="L42" s="7">
        <f>'1 datos preparados'!K35</f>
        <v/>
      </c>
      <c r="M42" s="7">
        <f>'1 datos preparados'!L35</f>
        <v/>
      </c>
      <c r="N42" s="7">
        <f>'1 datos preparados'!M35</f>
        <v/>
      </c>
      <c r="O42" s="7">
        <f>'1 datos preparados'!N35</f>
        <v/>
      </c>
      <c r="P42" s="7">
        <f>'1 datos preparados'!O35</f>
        <v/>
      </c>
      <c r="Q42" s="7">
        <f>'1 datos preparados'!P35</f>
        <v/>
      </c>
      <c r="R42" s="7">
        <f>'1 datos preparados'!Q35</f>
        <v/>
      </c>
      <c r="S42" s="7">
        <f>'1 datos preparados'!R35</f>
        <v/>
      </c>
      <c r="T42" s="7">
        <f>'1 datos preparados'!S35</f>
        <v/>
      </c>
      <c r="U42" s="7">
        <f>'1 datos preparados'!T35</f>
        <v/>
      </c>
      <c r="V42" s="8">
        <f>$AE$12+D42*$AE$13+E42*$AE$14+F42*$AE$15+G42*$AE$16+H42*$AE$17+I42*$AE$18+J42*$AE$19+K42*$AE$20+L42*$AE$21+M42*$AE$22+N42*$AE$23+O42*$AE$24+P42*$AE$25+Q42*$AE$26+R42*$AE$27+S42*$AE$28+T42*$AE$29+U42*$AE$30</f>
        <v/>
      </c>
      <c r="W42" s="8">
        <f>1/(1+EXP(-V42))</f>
        <v/>
      </c>
      <c r="X42" s="9">
        <f>-IF(C42=1,LN(W42),LN(1-W42))</f>
        <v/>
      </c>
      <c r="Y42" s="8">
        <f>IF(C42=1,$AE$32,$AE$33)</f>
        <v/>
      </c>
      <c r="Z42" s="9">
        <f>Y42*X42</f>
        <v/>
      </c>
      <c r="AA42" s="10">
        <f>IF(W42&gt;$AE$34,1,0)</f>
        <v/>
      </c>
      <c r="AB42">
        <f>IF(AA42=C42,1,0)</f>
        <v/>
      </c>
      <c r="AD42" t="inlineStr">
        <is>
          <t>p promedio en testing (la tasa real es 0,300)</t>
        </is>
      </c>
      <c r="AE42" s="14">
        <f>SUMPRODUCT(($B$12:$B$1011="testing")*$W$12:$W$1011)/COUNTIF($B$12:$B$1011,"testing")</f>
        <v/>
      </c>
    </row>
    <row r="43">
      <c r="A43">
        <f>'1 datos preparados'!A36</f>
        <v/>
      </c>
      <c r="B43" s="5">
        <f>'1 datos preparados'!U36</f>
        <v/>
      </c>
      <c r="C43">
        <f>'1 datos preparados'!B36</f>
        <v/>
      </c>
      <c r="D43" s="7">
        <f>'1 datos preparados'!C36</f>
        <v/>
      </c>
      <c r="E43" s="7">
        <f>'1 datos preparados'!D36</f>
        <v/>
      </c>
      <c r="F43" s="7">
        <f>'1 datos preparados'!E36</f>
        <v/>
      </c>
      <c r="G43" s="7">
        <f>'1 datos preparados'!F36</f>
        <v/>
      </c>
      <c r="H43" s="7">
        <f>'1 datos preparados'!G36</f>
        <v/>
      </c>
      <c r="I43" s="7">
        <f>'1 datos preparados'!H36</f>
        <v/>
      </c>
      <c r="J43" s="7">
        <f>'1 datos preparados'!I36</f>
        <v/>
      </c>
      <c r="K43" s="7">
        <f>'1 datos preparados'!J36</f>
        <v/>
      </c>
      <c r="L43" s="7">
        <f>'1 datos preparados'!K36</f>
        <v/>
      </c>
      <c r="M43" s="7">
        <f>'1 datos preparados'!L36</f>
        <v/>
      </c>
      <c r="N43" s="7">
        <f>'1 datos preparados'!M36</f>
        <v/>
      </c>
      <c r="O43" s="7">
        <f>'1 datos preparados'!N36</f>
        <v/>
      </c>
      <c r="P43" s="7">
        <f>'1 datos preparados'!O36</f>
        <v/>
      </c>
      <c r="Q43" s="7">
        <f>'1 datos preparados'!P36</f>
        <v/>
      </c>
      <c r="R43" s="7">
        <f>'1 datos preparados'!Q36</f>
        <v/>
      </c>
      <c r="S43" s="7">
        <f>'1 datos preparados'!R36</f>
        <v/>
      </c>
      <c r="T43" s="7">
        <f>'1 datos preparados'!S36</f>
        <v/>
      </c>
      <c r="U43" s="7">
        <f>'1 datos preparados'!T36</f>
        <v/>
      </c>
      <c r="V43" s="8">
        <f>$AE$12+D43*$AE$13+E43*$AE$14+F43*$AE$15+G43*$AE$16+H43*$AE$17+I43*$AE$18+J43*$AE$19+K43*$AE$20+L43*$AE$21+M43*$AE$22+N43*$AE$23+O43*$AE$24+P43*$AE$25+Q43*$AE$26+R43*$AE$27+S43*$AE$28+T43*$AE$29+U43*$AE$30</f>
        <v/>
      </c>
      <c r="W43" s="8">
        <f>1/(1+EXP(-V43))</f>
        <v/>
      </c>
      <c r="X43" s="9">
        <f>-IF(C43=1,LN(W43),LN(1-W43))</f>
        <v/>
      </c>
      <c r="Y43" s="8">
        <f>IF(C43=1,$AE$32,$AE$33)</f>
        <v/>
      </c>
      <c r="Z43" s="9">
        <f>Y43*X43</f>
        <v/>
      </c>
      <c r="AA43" s="10">
        <f>IF(W43&gt;$AE$34,1,0)</f>
        <v/>
      </c>
      <c r="AB43">
        <f>IF(AA43=C43,1,0)</f>
        <v/>
      </c>
      <c r="AD43" t="inlineStr">
        <is>
          <t>acierto testing</t>
        </is>
      </c>
      <c r="AE43" s="19">
        <f>SUMPRODUCT(($B$12:$B$1011="testing")*$AB$12:$AB$1011)/COUNTIF($B$12:$B$1011,"testing")</f>
        <v/>
      </c>
    </row>
    <row r="44">
      <c r="A44">
        <f>'1 datos preparados'!A37</f>
        <v/>
      </c>
      <c r="B44" s="5">
        <f>'1 datos preparados'!U37</f>
        <v/>
      </c>
      <c r="C44">
        <f>'1 datos preparados'!B37</f>
        <v/>
      </c>
      <c r="D44" s="7">
        <f>'1 datos preparados'!C37</f>
        <v/>
      </c>
      <c r="E44" s="7">
        <f>'1 datos preparados'!D37</f>
        <v/>
      </c>
      <c r="F44" s="7">
        <f>'1 datos preparados'!E37</f>
        <v/>
      </c>
      <c r="G44" s="7">
        <f>'1 datos preparados'!F37</f>
        <v/>
      </c>
      <c r="H44" s="7">
        <f>'1 datos preparados'!G37</f>
        <v/>
      </c>
      <c r="I44" s="7">
        <f>'1 datos preparados'!H37</f>
        <v/>
      </c>
      <c r="J44" s="7">
        <f>'1 datos preparados'!I37</f>
        <v/>
      </c>
      <c r="K44" s="7">
        <f>'1 datos preparados'!J37</f>
        <v/>
      </c>
      <c r="L44" s="7">
        <f>'1 datos preparados'!K37</f>
        <v/>
      </c>
      <c r="M44" s="7">
        <f>'1 datos preparados'!L37</f>
        <v/>
      </c>
      <c r="N44" s="7">
        <f>'1 datos preparados'!M37</f>
        <v/>
      </c>
      <c r="O44" s="7">
        <f>'1 datos preparados'!N37</f>
        <v/>
      </c>
      <c r="P44" s="7">
        <f>'1 datos preparados'!O37</f>
        <v/>
      </c>
      <c r="Q44" s="7">
        <f>'1 datos preparados'!P37</f>
        <v/>
      </c>
      <c r="R44" s="7">
        <f>'1 datos preparados'!Q37</f>
        <v/>
      </c>
      <c r="S44" s="7">
        <f>'1 datos preparados'!R37</f>
        <v/>
      </c>
      <c r="T44" s="7">
        <f>'1 datos preparados'!S37</f>
        <v/>
      </c>
      <c r="U44" s="7">
        <f>'1 datos preparados'!T37</f>
        <v/>
      </c>
      <c r="V44" s="8">
        <f>$AE$12+D44*$AE$13+E44*$AE$14+F44*$AE$15+G44*$AE$16+H44*$AE$17+I44*$AE$18+J44*$AE$19+K44*$AE$20+L44*$AE$21+M44*$AE$22+N44*$AE$23+O44*$AE$24+P44*$AE$25+Q44*$AE$26+R44*$AE$27+S44*$AE$28+T44*$AE$29+U44*$AE$30</f>
        <v/>
      </c>
      <c r="W44" s="8">
        <f>1/(1+EXP(-V44))</f>
        <v/>
      </c>
      <c r="X44" s="9">
        <f>-IF(C44=1,LN(W44),LN(1-W44))</f>
        <v/>
      </c>
      <c r="Y44" s="8">
        <f>IF(C44=1,$AE$32,$AE$33)</f>
        <v/>
      </c>
      <c r="Z44" s="9">
        <f>Y44*X44</f>
        <v/>
      </c>
      <c r="AA44" s="10">
        <f>IF(W44&gt;$AE$34,1,0)</f>
        <v/>
      </c>
      <c r="AB44">
        <f>IF(AA44=C44,1,0)</f>
        <v/>
      </c>
      <c r="AD44" t="inlineStr">
        <is>
          <t>referencia scikit-learn: recall clase 1 en testing (umbral 0,5)</t>
        </is>
      </c>
      <c r="AE44" s="6" t="n">
        <v>0.8333333333333334</v>
      </c>
    </row>
    <row r="45">
      <c r="A45">
        <f>'1 datos preparados'!A38</f>
        <v/>
      </c>
      <c r="B45" s="5">
        <f>'1 datos preparados'!U38</f>
        <v/>
      </c>
      <c r="C45">
        <f>'1 datos preparados'!B38</f>
        <v/>
      </c>
      <c r="D45" s="7">
        <f>'1 datos preparados'!C38</f>
        <v/>
      </c>
      <c r="E45" s="7">
        <f>'1 datos preparados'!D38</f>
        <v/>
      </c>
      <c r="F45" s="7">
        <f>'1 datos preparados'!E38</f>
        <v/>
      </c>
      <c r="G45" s="7">
        <f>'1 datos preparados'!F38</f>
        <v/>
      </c>
      <c r="H45" s="7">
        <f>'1 datos preparados'!G38</f>
        <v/>
      </c>
      <c r="I45" s="7">
        <f>'1 datos preparados'!H38</f>
        <v/>
      </c>
      <c r="J45" s="7">
        <f>'1 datos preparados'!I38</f>
        <v/>
      </c>
      <c r="K45" s="7">
        <f>'1 datos preparados'!J38</f>
        <v/>
      </c>
      <c r="L45" s="7">
        <f>'1 datos preparados'!K38</f>
        <v/>
      </c>
      <c r="M45" s="7">
        <f>'1 datos preparados'!L38</f>
        <v/>
      </c>
      <c r="N45" s="7">
        <f>'1 datos preparados'!M38</f>
        <v/>
      </c>
      <c r="O45" s="7">
        <f>'1 datos preparados'!N38</f>
        <v/>
      </c>
      <c r="P45" s="7">
        <f>'1 datos preparados'!O38</f>
        <v/>
      </c>
      <c r="Q45" s="7">
        <f>'1 datos preparados'!P38</f>
        <v/>
      </c>
      <c r="R45" s="7">
        <f>'1 datos preparados'!Q38</f>
        <v/>
      </c>
      <c r="S45" s="7">
        <f>'1 datos preparados'!R38</f>
        <v/>
      </c>
      <c r="T45" s="7">
        <f>'1 datos preparados'!S38</f>
        <v/>
      </c>
      <c r="U45" s="7">
        <f>'1 datos preparados'!T38</f>
        <v/>
      </c>
      <c r="V45" s="8">
        <f>$AE$12+D45*$AE$13+E45*$AE$14+F45*$AE$15+G45*$AE$16+H45*$AE$17+I45*$AE$18+J45*$AE$19+K45*$AE$20+L45*$AE$21+M45*$AE$22+N45*$AE$23+O45*$AE$24+P45*$AE$25+Q45*$AE$26+R45*$AE$27+S45*$AE$28+T45*$AE$29+U45*$AE$30</f>
        <v/>
      </c>
      <c r="W45" s="8">
        <f>1/(1+EXP(-V45))</f>
        <v/>
      </c>
      <c r="X45" s="9">
        <f>-IF(C45=1,LN(W45),LN(1-W45))</f>
        <v/>
      </c>
      <c r="Y45" s="8">
        <f>IF(C45=1,$AE$32,$AE$33)</f>
        <v/>
      </c>
      <c r="Z45" s="9">
        <f>Y45*X45</f>
        <v/>
      </c>
      <c r="AA45" s="10">
        <f>IF(W45&gt;$AE$34,1,0)</f>
        <v/>
      </c>
      <c r="AB45">
        <f>IF(AA45=C45,1,0)</f>
        <v/>
      </c>
      <c r="AD45" t="inlineStr">
        <is>
          <t>referencia scikit-learn: precision clase 1 en testing</t>
        </is>
      </c>
      <c r="AE45" s="6" t="n">
        <v>0.5597014925373134</v>
      </c>
    </row>
    <row r="46">
      <c r="A46">
        <f>'1 datos preparados'!A39</f>
        <v/>
      </c>
      <c r="B46" s="5">
        <f>'1 datos preparados'!U39</f>
        <v/>
      </c>
      <c r="C46">
        <f>'1 datos preparados'!B39</f>
        <v/>
      </c>
      <c r="D46" s="7">
        <f>'1 datos preparados'!C39</f>
        <v/>
      </c>
      <c r="E46" s="7">
        <f>'1 datos preparados'!D39</f>
        <v/>
      </c>
      <c r="F46" s="7">
        <f>'1 datos preparados'!E39</f>
        <v/>
      </c>
      <c r="G46" s="7">
        <f>'1 datos preparados'!F39</f>
        <v/>
      </c>
      <c r="H46" s="7">
        <f>'1 datos preparados'!G39</f>
        <v/>
      </c>
      <c r="I46" s="7">
        <f>'1 datos preparados'!H39</f>
        <v/>
      </c>
      <c r="J46" s="7">
        <f>'1 datos preparados'!I39</f>
        <v/>
      </c>
      <c r="K46" s="7">
        <f>'1 datos preparados'!J39</f>
        <v/>
      </c>
      <c r="L46" s="7">
        <f>'1 datos preparados'!K39</f>
        <v/>
      </c>
      <c r="M46" s="7">
        <f>'1 datos preparados'!L39</f>
        <v/>
      </c>
      <c r="N46" s="7">
        <f>'1 datos preparados'!M39</f>
        <v/>
      </c>
      <c r="O46" s="7">
        <f>'1 datos preparados'!N39</f>
        <v/>
      </c>
      <c r="P46" s="7">
        <f>'1 datos preparados'!O39</f>
        <v/>
      </c>
      <c r="Q46" s="7">
        <f>'1 datos preparados'!P39</f>
        <v/>
      </c>
      <c r="R46" s="7">
        <f>'1 datos preparados'!Q39</f>
        <v/>
      </c>
      <c r="S46" s="7">
        <f>'1 datos preparados'!R39</f>
        <v/>
      </c>
      <c r="T46" s="7">
        <f>'1 datos preparados'!S39</f>
        <v/>
      </c>
      <c r="U46" s="7">
        <f>'1 datos preparados'!T39</f>
        <v/>
      </c>
      <c r="V46" s="8">
        <f>$AE$12+D46*$AE$13+E46*$AE$14+F46*$AE$15+G46*$AE$16+H46*$AE$17+I46*$AE$18+J46*$AE$19+K46*$AE$20+L46*$AE$21+M46*$AE$22+N46*$AE$23+O46*$AE$24+P46*$AE$25+Q46*$AE$26+R46*$AE$27+S46*$AE$28+T46*$AE$29+U46*$AE$30</f>
        <v/>
      </c>
      <c r="W46" s="8">
        <f>1/(1+EXP(-V46))</f>
        <v/>
      </c>
      <c r="X46" s="9">
        <f>-IF(C46=1,LN(W46),LN(1-W46))</f>
        <v/>
      </c>
      <c r="Y46" s="8">
        <f>IF(C46=1,$AE$32,$AE$33)</f>
        <v/>
      </c>
      <c r="Z46" s="9">
        <f>Y46*X46</f>
        <v/>
      </c>
      <c r="AA46" s="10">
        <f>IF(W46&gt;$AE$34,1,0)</f>
        <v/>
      </c>
      <c r="AB46">
        <f>IF(AA46=C46,1,0)</f>
        <v/>
      </c>
      <c r="AD46" t="inlineStr">
        <is>
          <t>referencia scikit-learn: AUC testing</t>
        </is>
      </c>
      <c r="AE46" s="6" t="n">
        <v>0.8234920634920635</v>
      </c>
    </row>
    <row r="47">
      <c r="A47">
        <f>'1 datos preparados'!A40</f>
        <v/>
      </c>
      <c r="B47" s="5">
        <f>'1 datos preparados'!U40</f>
        <v/>
      </c>
      <c r="C47">
        <f>'1 datos preparados'!B40</f>
        <v/>
      </c>
      <c r="D47" s="7">
        <f>'1 datos preparados'!C40</f>
        <v/>
      </c>
      <c r="E47" s="7">
        <f>'1 datos preparados'!D40</f>
        <v/>
      </c>
      <c r="F47" s="7">
        <f>'1 datos preparados'!E40</f>
        <v/>
      </c>
      <c r="G47" s="7">
        <f>'1 datos preparados'!F40</f>
        <v/>
      </c>
      <c r="H47" s="7">
        <f>'1 datos preparados'!G40</f>
        <v/>
      </c>
      <c r="I47" s="7">
        <f>'1 datos preparados'!H40</f>
        <v/>
      </c>
      <c r="J47" s="7">
        <f>'1 datos preparados'!I40</f>
        <v/>
      </c>
      <c r="K47" s="7">
        <f>'1 datos preparados'!J40</f>
        <v/>
      </c>
      <c r="L47" s="7">
        <f>'1 datos preparados'!K40</f>
        <v/>
      </c>
      <c r="M47" s="7">
        <f>'1 datos preparados'!L40</f>
        <v/>
      </c>
      <c r="N47" s="7">
        <f>'1 datos preparados'!M40</f>
        <v/>
      </c>
      <c r="O47" s="7">
        <f>'1 datos preparados'!N40</f>
        <v/>
      </c>
      <c r="P47" s="7">
        <f>'1 datos preparados'!O40</f>
        <v/>
      </c>
      <c r="Q47" s="7">
        <f>'1 datos preparados'!P40</f>
        <v/>
      </c>
      <c r="R47" s="7">
        <f>'1 datos preparados'!Q40</f>
        <v/>
      </c>
      <c r="S47" s="7">
        <f>'1 datos preparados'!R40</f>
        <v/>
      </c>
      <c r="T47" s="7">
        <f>'1 datos preparados'!S40</f>
        <v/>
      </c>
      <c r="U47" s="7">
        <f>'1 datos preparados'!T40</f>
        <v/>
      </c>
      <c r="V47" s="8">
        <f>$AE$12+D47*$AE$13+E47*$AE$14+F47*$AE$15+G47*$AE$16+H47*$AE$17+I47*$AE$18+J47*$AE$19+K47*$AE$20+L47*$AE$21+M47*$AE$22+N47*$AE$23+O47*$AE$24+P47*$AE$25+Q47*$AE$26+R47*$AE$27+S47*$AE$28+T47*$AE$29+U47*$AE$30</f>
        <v/>
      </c>
      <c r="W47" s="8">
        <f>1/(1+EXP(-V47))</f>
        <v/>
      </c>
      <c r="X47" s="9">
        <f>-IF(C47=1,LN(W47),LN(1-W47))</f>
        <v/>
      </c>
      <c r="Y47" s="8">
        <f>IF(C47=1,$AE$32,$AE$33)</f>
        <v/>
      </c>
      <c r="Z47" s="9">
        <f>Y47*X47</f>
        <v/>
      </c>
      <c r="AA47" s="10">
        <f>IF(W47&gt;$AE$34,1,0)</f>
        <v/>
      </c>
      <c r="AB47">
        <f>IF(AA47=C47,1,0)</f>
        <v/>
      </c>
    </row>
    <row r="48" ht="62" customHeight="1">
      <c r="A48">
        <f>'1 datos preparados'!A41</f>
        <v/>
      </c>
      <c r="B48" s="5">
        <f>'1 datos preparados'!U41</f>
        <v/>
      </c>
      <c r="C48">
        <f>'1 datos preparados'!B41</f>
        <v/>
      </c>
      <c r="D48" s="7">
        <f>'1 datos preparados'!C41</f>
        <v/>
      </c>
      <c r="E48" s="7">
        <f>'1 datos preparados'!D41</f>
        <v/>
      </c>
      <c r="F48" s="7">
        <f>'1 datos preparados'!E41</f>
        <v/>
      </c>
      <c r="G48" s="7">
        <f>'1 datos preparados'!F41</f>
        <v/>
      </c>
      <c r="H48" s="7">
        <f>'1 datos preparados'!G41</f>
        <v/>
      </c>
      <c r="I48" s="7">
        <f>'1 datos preparados'!H41</f>
        <v/>
      </c>
      <c r="J48" s="7">
        <f>'1 datos preparados'!I41</f>
        <v/>
      </c>
      <c r="K48" s="7">
        <f>'1 datos preparados'!J41</f>
        <v/>
      </c>
      <c r="L48" s="7">
        <f>'1 datos preparados'!K41</f>
        <v/>
      </c>
      <c r="M48" s="7">
        <f>'1 datos preparados'!L41</f>
        <v/>
      </c>
      <c r="N48" s="7">
        <f>'1 datos preparados'!M41</f>
        <v/>
      </c>
      <c r="O48" s="7">
        <f>'1 datos preparados'!N41</f>
        <v/>
      </c>
      <c r="P48" s="7">
        <f>'1 datos preparados'!O41</f>
        <v/>
      </c>
      <c r="Q48" s="7">
        <f>'1 datos preparados'!P41</f>
        <v/>
      </c>
      <c r="R48" s="7">
        <f>'1 datos preparados'!Q41</f>
        <v/>
      </c>
      <c r="S48" s="7">
        <f>'1 datos preparados'!R41</f>
        <v/>
      </c>
      <c r="T48" s="7">
        <f>'1 datos preparados'!S41</f>
        <v/>
      </c>
      <c r="U48" s="7">
        <f>'1 datos preparados'!T41</f>
        <v/>
      </c>
      <c r="V48" s="8">
        <f>$AE$12+D48*$AE$13+E48*$AE$14+F48*$AE$15+G48*$AE$16+H48*$AE$17+I48*$AE$18+J48*$AE$19+K48*$AE$20+L48*$AE$21+M48*$AE$22+N48*$AE$23+O48*$AE$24+P48*$AE$25+Q48*$AE$26+R48*$AE$27+S48*$AE$28+T48*$AE$29+U48*$AE$30</f>
        <v/>
      </c>
      <c r="W48" s="8">
        <f>1/(1+EXP(-V48))</f>
        <v/>
      </c>
      <c r="X48" s="9">
        <f>-IF(C48=1,LN(W48),LN(1-W48))</f>
        <v/>
      </c>
      <c r="Y48" s="8">
        <f>IF(C48=1,$AE$32,$AE$33)</f>
        <v/>
      </c>
      <c r="Z48" s="9">
        <f>Y48*X48</f>
        <v/>
      </c>
      <c r="AA48" s="10">
        <f>IF(W48&gt;$AE$34,1,0)</f>
        <v/>
      </c>
      <c r="AB48">
        <f>IF(AA48=C48,1,0)</f>
        <v/>
      </c>
      <c r="AD48" s="2" t="inlineStr">
        <is>
          <t>Solver: minimizar J cambiando las celdas celestes de los pesos del modelo (no las de clase), GRG no lineal, derivadas centrales, convergencia 0,000001, sin restricciones y con 'Convertir variables sin restricciones en no negativas' DESMARCADA. Correr dos veces si se detiene antes.</t>
        </is>
      </c>
    </row>
    <row r="49">
      <c r="A49">
        <f>'1 datos preparados'!A42</f>
        <v/>
      </c>
      <c r="B49" s="5">
        <f>'1 datos preparados'!U42</f>
        <v/>
      </c>
      <c r="C49">
        <f>'1 datos preparados'!B42</f>
        <v/>
      </c>
      <c r="D49" s="7">
        <f>'1 datos preparados'!C42</f>
        <v/>
      </c>
      <c r="E49" s="7">
        <f>'1 datos preparados'!D42</f>
        <v/>
      </c>
      <c r="F49" s="7">
        <f>'1 datos preparados'!E42</f>
        <v/>
      </c>
      <c r="G49" s="7">
        <f>'1 datos preparados'!F42</f>
        <v/>
      </c>
      <c r="H49" s="7">
        <f>'1 datos preparados'!G42</f>
        <v/>
      </c>
      <c r="I49" s="7">
        <f>'1 datos preparados'!H42</f>
        <v/>
      </c>
      <c r="J49" s="7">
        <f>'1 datos preparados'!I42</f>
        <v/>
      </c>
      <c r="K49" s="7">
        <f>'1 datos preparados'!J42</f>
        <v/>
      </c>
      <c r="L49" s="7">
        <f>'1 datos preparados'!K42</f>
        <v/>
      </c>
      <c r="M49" s="7">
        <f>'1 datos preparados'!L42</f>
        <v/>
      </c>
      <c r="N49" s="7">
        <f>'1 datos preparados'!M42</f>
        <v/>
      </c>
      <c r="O49" s="7">
        <f>'1 datos preparados'!N42</f>
        <v/>
      </c>
      <c r="P49" s="7">
        <f>'1 datos preparados'!O42</f>
        <v/>
      </c>
      <c r="Q49" s="7">
        <f>'1 datos preparados'!P42</f>
        <v/>
      </c>
      <c r="R49" s="7">
        <f>'1 datos preparados'!Q42</f>
        <v/>
      </c>
      <c r="S49" s="7">
        <f>'1 datos preparados'!R42</f>
        <v/>
      </c>
      <c r="T49" s="7">
        <f>'1 datos preparados'!S42</f>
        <v/>
      </c>
      <c r="U49" s="7">
        <f>'1 datos preparados'!T42</f>
        <v/>
      </c>
      <c r="V49" s="8">
        <f>$AE$12+D49*$AE$13+E49*$AE$14+F49*$AE$15+G49*$AE$16+H49*$AE$17+I49*$AE$18+J49*$AE$19+K49*$AE$20+L49*$AE$21+M49*$AE$22+N49*$AE$23+O49*$AE$24+P49*$AE$25+Q49*$AE$26+R49*$AE$27+S49*$AE$28+T49*$AE$29+U49*$AE$30</f>
        <v/>
      </c>
      <c r="W49" s="8">
        <f>1/(1+EXP(-V49))</f>
        <v/>
      </c>
      <c r="X49" s="9">
        <f>-IF(C49=1,LN(W49),LN(1-W49))</f>
        <v/>
      </c>
      <c r="Y49" s="8">
        <f>IF(C49=1,$AE$32,$AE$33)</f>
        <v/>
      </c>
      <c r="Z49" s="9">
        <f>Y49*X49</f>
        <v/>
      </c>
      <c r="AA49" s="10">
        <f>IF(W49&gt;$AE$34,1,0)</f>
        <v/>
      </c>
      <c r="AB49">
        <f>IF(AA49=C49,1,0)</f>
        <v/>
      </c>
    </row>
    <row r="50">
      <c r="A50">
        <f>'1 datos preparados'!A43</f>
        <v/>
      </c>
      <c r="B50" s="5">
        <f>'1 datos preparados'!U43</f>
        <v/>
      </c>
      <c r="C50">
        <f>'1 datos preparados'!B43</f>
        <v/>
      </c>
      <c r="D50" s="7">
        <f>'1 datos preparados'!C43</f>
        <v/>
      </c>
      <c r="E50" s="7">
        <f>'1 datos preparados'!D43</f>
        <v/>
      </c>
      <c r="F50" s="7">
        <f>'1 datos preparados'!E43</f>
        <v/>
      </c>
      <c r="G50" s="7">
        <f>'1 datos preparados'!F43</f>
        <v/>
      </c>
      <c r="H50" s="7">
        <f>'1 datos preparados'!G43</f>
        <v/>
      </c>
      <c r="I50" s="7">
        <f>'1 datos preparados'!H43</f>
        <v/>
      </c>
      <c r="J50" s="7">
        <f>'1 datos preparados'!I43</f>
        <v/>
      </c>
      <c r="K50" s="7">
        <f>'1 datos preparados'!J43</f>
        <v/>
      </c>
      <c r="L50" s="7">
        <f>'1 datos preparados'!K43</f>
        <v/>
      </c>
      <c r="M50" s="7">
        <f>'1 datos preparados'!L43</f>
        <v/>
      </c>
      <c r="N50" s="7">
        <f>'1 datos preparados'!M43</f>
        <v/>
      </c>
      <c r="O50" s="7">
        <f>'1 datos preparados'!N43</f>
        <v/>
      </c>
      <c r="P50" s="7">
        <f>'1 datos preparados'!O43</f>
        <v/>
      </c>
      <c r="Q50" s="7">
        <f>'1 datos preparados'!P43</f>
        <v/>
      </c>
      <c r="R50" s="7">
        <f>'1 datos preparados'!Q43</f>
        <v/>
      </c>
      <c r="S50" s="7">
        <f>'1 datos preparados'!R43</f>
        <v/>
      </c>
      <c r="T50" s="7">
        <f>'1 datos preparados'!S43</f>
        <v/>
      </c>
      <c r="U50" s="7">
        <f>'1 datos preparados'!T43</f>
        <v/>
      </c>
      <c r="V50" s="8">
        <f>$AE$12+D50*$AE$13+E50*$AE$14+F50*$AE$15+G50*$AE$16+H50*$AE$17+I50*$AE$18+J50*$AE$19+K50*$AE$20+L50*$AE$21+M50*$AE$22+N50*$AE$23+O50*$AE$24+P50*$AE$25+Q50*$AE$26+R50*$AE$27+S50*$AE$28+T50*$AE$29+U50*$AE$30</f>
        <v/>
      </c>
      <c r="W50" s="8">
        <f>1/(1+EXP(-V50))</f>
        <v/>
      </c>
      <c r="X50" s="9">
        <f>-IF(C50=1,LN(W50),LN(1-W50))</f>
        <v/>
      </c>
      <c r="Y50" s="8">
        <f>IF(C50=1,$AE$32,$AE$33)</f>
        <v/>
      </c>
      <c r="Z50" s="9">
        <f>Y50*X50</f>
        <v/>
      </c>
      <c r="AA50" s="10">
        <f>IF(W50&gt;$AE$34,1,0)</f>
        <v/>
      </c>
      <c r="AB50">
        <f>IF(AA50=C50,1,0)</f>
        <v/>
      </c>
    </row>
    <row r="51">
      <c r="A51">
        <f>'1 datos preparados'!A44</f>
        <v/>
      </c>
      <c r="B51" s="5">
        <f>'1 datos preparados'!U44</f>
        <v/>
      </c>
      <c r="C51">
        <f>'1 datos preparados'!B44</f>
        <v/>
      </c>
      <c r="D51" s="7">
        <f>'1 datos preparados'!C44</f>
        <v/>
      </c>
      <c r="E51" s="7">
        <f>'1 datos preparados'!D44</f>
        <v/>
      </c>
      <c r="F51" s="7">
        <f>'1 datos preparados'!E44</f>
        <v/>
      </c>
      <c r="G51" s="7">
        <f>'1 datos preparados'!F44</f>
        <v/>
      </c>
      <c r="H51" s="7">
        <f>'1 datos preparados'!G44</f>
        <v/>
      </c>
      <c r="I51" s="7">
        <f>'1 datos preparados'!H44</f>
        <v/>
      </c>
      <c r="J51" s="7">
        <f>'1 datos preparados'!I44</f>
        <v/>
      </c>
      <c r="K51" s="7">
        <f>'1 datos preparados'!J44</f>
        <v/>
      </c>
      <c r="L51" s="7">
        <f>'1 datos preparados'!K44</f>
        <v/>
      </c>
      <c r="M51" s="7">
        <f>'1 datos preparados'!L44</f>
        <v/>
      </c>
      <c r="N51" s="7">
        <f>'1 datos preparados'!M44</f>
        <v/>
      </c>
      <c r="O51" s="7">
        <f>'1 datos preparados'!N44</f>
        <v/>
      </c>
      <c r="P51" s="7">
        <f>'1 datos preparados'!O44</f>
        <v/>
      </c>
      <c r="Q51" s="7">
        <f>'1 datos preparados'!P44</f>
        <v/>
      </c>
      <c r="R51" s="7">
        <f>'1 datos preparados'!Q44</f>
        <v/>
      </c>
      <c r="S51" s="7">
        <f>'1 datos preparados'!R44</f>
        <v/>
      </c>
      <c r="T51" s="7">
        <f>'1 datos preparados'!S44</f>
        <v/>
      </c>
      <c r="U51" s="7">
        <f>'1 datos preparados'!T44</f>
        <v/>
      </c>
      <c r="V51" s="8">
        <f>$AE$12+D51*$AE$13+E51*$AE$14+F51*$AE$15+G51*$AE$16+H51*$AE$17+I51*$AE$18+J51*$AE$19+K51*$AE$20+L51*$AE$21+M51*$AE$22+N51*$AE$23+O51*$AE$24+P51*$AE$25+Q51*$AE$26+R51*$AE$27+S51*$AE$28+T51*$AE$29+U51*$AE$30</f>
        <v/>
      </c>
      <c r="W51" s="8">
        <f>1/(1+EXP(-V51))</f>
        <v/>
      </c>
      <c r="X51" s="9">
        <f>-IF(C51=1,LN(W51),LN(1-W51))</f>
        <v/>
      </c>
      <c r="Y51" s="8">
        <f>IF(C51=1,$AE$32,$AE$33)</f>
        <v/>
      </c>
      <c r="Z51" s="9">
        <f>Y51*X51</f>
        <v/>
      </c>
      <c r="AA51" s="10">
        <f>IF(W51&gt;$AE$34,1,0)</f>
        <v/>
      </c>
      <c r="AB51">
        <f>IF(AA51=C51,1,0)</f>
        <v/>
      </c>
    </row>
    <row r="52">
      <c r="A52">
        <f>'1 datos preparados'!A45</f>
        <v/>
      </c>
      <c r="B52" s="5">
        <f>'1 datos preparados'!U45</f>
        <v/>
      </c>
      <c r="C52">
        <f>'1 datos preparados'!B45</f>
        <v/>
      </c>
      <c r="D52" s="7">
        <f>'1 datos preparados'!C45</f>
        <v/>
      </c>
      <c r="E52" s="7">
        <f>'1 datos preparados'!D45</f>
        <v/>
      </c>
      <c r="F52" s="7">
        <f>'1 datos preparados'!E45</f>
        <v/>
      </c>
      <c r="G52" s="7">
        <f>'1 datos preparados'!F45</f>
        <v/>
      </c>
      <c r="H52" s="7">
        <f>'1 datos preparados'!G45</f>
        <v/>
      </c>
      <c r="I52" s="7">
        <f>'1 datos preparados'!H45</f>
        <v/>
      </c>
      <c r="J52" s="7">
        <f>'1 datos preparados'!I45</f>
        <v/>
      </c>
      <c r="K52" s="7">
        <f>'1 datos preparados'!J45</f>
        <v/>
      </c>
      <c r="L52" s="7">
        <f>'1 datos preparados'!K45</f>
        <v/>
      </c>
      <c r="M52" s="7">
        <f>'1 datos preparados'!L45</f>
        <v/>
      </c>
      <c r="N52" s="7">
        <f>'1 datos preparados'!M45</f>
        <v/>
      </c>
      <c r="O52" s="7">
        <f>'1 datos preparados'!N45</f>
        <v/>
      </c>
      <c r="P52" s="7">
        <f>'1 datos preparados'!O45</f>
        <v/>
      </c>
      <c r="Q52" s="7">
        <f>'1 datos preparados'!P45</f>
        <v/>
      </c>
      <c r="R52" s="7">
        <f>'1 datos preparados'!Q45</f>
        <v/>
      </c>
      <c r="S52" s="7">
        <f>'1 datos preparados'!R45</f>
        <v/>
      </c>
      <c r="T52" s="7">
        <f>'1 datos preparados'!S45</f>
        <v/>
      </c>
      <c r="U52" s="7">
        <f>'1 datos preparados'!T45</f>
        <v/>
      </c>
      <c r="V52" s="8">
        <f>$AE$12+D52*$AE$13+E52*$AE$14+F52*$AE$15+G52*$AE$16+H52*$AE$17+I52*$AE$18+J52*$AE$19+K52*$AE$20+L52*$AE$21+M52*$AE$22+N52*$AE$23+O52*$AE$24+P52*$AE$25+Q52*$AE$26+R52*$AE$27+S52*$AE$28+T52*$AE$29+U52*$AE$30</f>
        <v/>
      </c>
      <c r="W52" s="8">
        <f>1/(1+EXP(-V52))</f>
        <v/>
      </c>
      <c r="X52" s="9">
        <f>-IF(C52=1,LN(W52),LN(1-W52))</f>
        <v/>
      </c>
      <c r="Y52" s="8">
        <f>IF(C52=1,$AE$32,$AE$33)</f>
        <v/>
      </c>
      <c r="Z52" s="9">
        <f>Y52*X52</f>
        <v/>
      </c>
      <c r="AA52" s="10">
        <f>IF(W52&gt;$AE$34,1,0)</f>
        <v/>
      </c>
      <c r="AB52">
        <f>IF(AA52=C52,1,0)</f>
        <v/>
      </c>
    </row>
    <row r="53">
      <c r="A53">
        <f>'1 datos preparados'!A46</f>
        <v/>
      </c>
      <c r="B53" s="5">
        <f>'1 datos preparados'!U46</f>
        <v/>
      </c>
      <c r="C53">
        <f>'1 datos preparados'!B46</f>
        <v/>
      </c>
      <c r="D53" s="7">
        <f>'1 datos preparados'!C46</f>
        <v/>
      </c>
      <c r="E53" s="7">
        <f>'1 datos preparados'!D46</f>
        <v/>
      </c>
      <c r="F53" s="7">
        <f>'1 datos preparados'!E46</f>
        <v/>
      </c>
      <c r="G53" s="7">
        <f>'1 datos preparados'!F46</f>
        <v/>
      </c>
      <c r="H53" s="7">
        <f>'1 datos preparados'!G46</f>
        <v/>
      </c>
      <c r="I53" s="7">
        <f>'1 datos preparados'!H46</f>
        <v/>
      </c>
      <c r="J53" s="7">
        <f>'1 datos preparados'!I46</f>
        <v/>
      </c>
      <c r="K53" s="7">
        <f>'1 datos preparados'!J46</f>
        <v/>
      </c>
      <c r="L53" s="7">
        <f>'1 datos preparados'!K46</f>
        <v/>
      </c>
      <c r="M53" s="7">
        <f>'1 datos preparados'!L46</f>
        <v/>
      </c>
      <c r="N53" s="7">
        <f>'1 datos preparados'!M46</f>
        <v/>
      </c>
      <c r="O53" s="7">
        <f>'1 datos preparados'!N46</f>
        <v/>
      </c>
      <c r="P53" s="7">
        <f>'1 datos preparados'!O46</f>
        <v/>
      </c>
      <c r="Q53" s="7">
        <f>'1 datos preparados'!P46</f>
        <v/>
      </c>
      <c r="R53" s="7">
        <f>'1 datos preparados'!Q46</f>
        <v/>
      </c>
      <c r="S53" s="7">
        <f>'1 datos preparados'!R46</f>
        <v/>
      </c>
      <c r="T53" s="7">
        <f>'1 datos preparados'!S46</f>
        <v/>
      </c>
      <c r="U53" s="7">
        <f>'1 datos preparados'!T46</f>
        <v/>
      </c>
      <c r="V53" s="8">
        <f>$AE$12+D53*$AE$13+E53*$AE$14+F53*$AE$15+G53*$AE$16+H53*$AE$17+I53*$AE$18+J53*$AE$19+K53*$AE$20+L53*$AE$21+M53*$AE$22+N53*$AE$23+O53*$AE$24+P53*$AE$25+Q53*$AE$26+R53*$AE$27+S53*$AE$28+T53*$AE$29+U53*$AE$30</f>
        <v/>
      </c>
      <c r="W53" s="8">
        <f>1/(1+EXP(-V53))</f>
        <v/>
      </c>
      <c r="X53" s="9">
        <f>-IF(C53=1,LN(W53),LN(1-W53))</f>
        <v/>
      </c>
      <c r="Y53" s="8">
        <f>IF(C53=1,$AE$32,$AE$33)</f>
        <v/>
      </c>
      <c r="Z53" s="9">
        <f>Y53*X53</f>
        <v/>
      </c>
      <c r="AA53" s="10">
        <f>IF(W53&gt;$AE$34,1,0)</f>
        <v/>
      </c>
      <c r="AB53">
        <f>IF(AA53=C53,1,0)</f>
        <v/>
      </c>
    </row>
    <row r="54">
      <c r="A54">
        <f>'1 datos preparados'!A47</f>
        <v/>
      </c>
      <c r="B54" s="5">
        <f>'1 datos preparados'!U47</f>
        <v/>
      </c>
      <c r="C54">
        <f>'1 datos preparados'!B47</f>
        <v/>
      </c>
      <c r="D54" s="7">
        <f>'1 datos preparados'!C47</f>
        <v/>
      </c>
      <c r="E54" s="7">
        <f>'1 datos preparados'!D47</f>
        <v/>
      </c>
      <c r="F54" s="7">
        <f>'1 datos preparados'!E47</f>
        <v/>
      </c>
      <c r="G54" s="7">
        <f>'1 datos preparados'!F47</f>
        <v/>
      </c>
      <c r="H54" s="7">
        <f>'1 datos preparados'!G47</f>
        <v/>
      </c>
      <c r="I54" s="7">
        <f>'1 datos preparados'!H47</f>
        <v/>
      </c>
      <c r="J54" s="7">
        <f>'1 datos preparados'!I47</f>
        <v/>
      </c>
      <c r="K54" s="7">
        <f>'1 datos preparados'!J47</f>
        <v/>
      </c>
      <c r="L54" s="7">
        <f>'1 datos preparados'!K47</f>
        <v/>
      </c>
      <c r="M54" s="7">
        <f>'1 datos preparados'!L47</f>
        <v/>
      </c>
      <c r="N54" s="7">
        <f>'1 datos preparados'!M47</f>
        <v/>
      </c>
      <c r="O54" s="7">
        <f>'1 datos preparados'!N47</f>
        <v/>
      </c>
      <c r="P54" s="7">
        <f>'1 datos preparados'!O47</f>
        <v/>
      </c>
      <c r="Q54" s="7">
        <f>'1 datos preparados'!P47</f>
        <v/>
      </c>
      <c r="R54" s="7">
        <f>'1 datos preparados'!Q47</f>
        <v/>
      </c>
      <c r="S54" s="7">
        <f>'1 datos preparados'!R47</f>
        <v/>
      </c>
      <c r="T54" s="7">
        <f>'1 datos preparados'!S47</f>
        <v/>
      </c>
      <c r="U54" s="7">
        <f>'1 datos preparados'!T47</f>
        <v/>
      </c>
      <c r="V54" s="8">
        <f>$AE$12+D54*$AE$13+E54*$AE$14+F54*$AE$15+G54*$AE$16+H54*$AE$17+I54*$AE$18+J54*$AE$19+K54*$AE$20+L54*$AE$21+M54*$AE$22+N54*$AE$23+O54*$AE$24+P54*$AE$25+Q54*$AE$26+R54*$AE$27+S54*$AE$28+T54*$AE$29+U54*$AE$30</f>
        <v/>
      </c>
      <c r="W54" s="8">
        <f>1/(1+EXP(-V54))</f>
        <v/>
      </c>
      <c r="X54" s="9">
        <f>-IF(C54=1,LN(W54),LN(1-W54))</f>
        <v/>
      </c>
      <c r="Y54" s="8">
        <f>IF(C54=1,$AE$32,$AE$33)</f>
        <v/>
      </c>
      <c r="Z54" s="9">
        <f>Y54*X54</f>
        <v/>
      </c>
      <c r="AA54" s="10">
        <f>IF(W54&gt;$AE$34,1,0)</f>
        <v/>
      </c>
      <c r="AB54">
        <f>IF(AA54=C54,1,0)</f>
        <v/>
      </c>
    </row>
    <row r="55">
      <c r="A55">
        <f>'1 datos preparados'!A48</f>
        <v/>
      </c>
      <c r="B55" s="5">
        <f>'1 datos preparados'!U48</f>
        <v/>
      </c>
      <c r="C55">
        <f>'1 datos preparados'!B48</f>
        <v/>
      </c>
      <c r="D55" s="7">
        <f>'1 datos preparados'!C48</f>
        <v/>
      </c>
      <c r="E55" s="7">
        <f>'1 datos preparados'!D48</f>
        <v/>
      </c>
      <c r="F55" s="7">
        <f>'1 datos preparados'!E48</f>
        <v/>
      </c>
      <c r="G55" s="7">
        <f>'1 datos preparados'!F48</f>
        <v/>
      </c>
      <c r="H55" s="7">
        <f>'1 datos preparados'!G48</f>
        <v/>
      </c>
      <c r="I55" s="7">
        <f>'1 datos preparados'!H48</f>
        <v/>
      </c>
      <c r="J55" s="7">
        <f>'1 datos preparados'!I48</f>
        <v/>
      </c>
      <c r="K55" s="7">
        <f>'1 datos preparados'!J48</f>
        <v/>
      </c>
      <c r="L55" s="7">
        <f>'1 datos preparados'!K48</f>
        <v/>
      </c>
      <c r="M55" s="7">
        <f>'1 datos preparados'!L48</f>
        <v/>
      </c>
      <c r="N55" s="7">
        <f>'1 datos preparados'!M48</f>
        <v/>
      </c>
      <c r="O55" s="7">
        <f>'1 datos preparados'!N48</f>
        <v/>
      </c>
      <c r="P55" s="7">
        <f>'1 datos preparados'!O48</f>
        <v/>
      </c>
      <c r="Q55" s="7">
        <f>'1 datos preparados'!P48</f>
        <v/>
      </c>
      <c r="R55" s="7">
        <f>'1 datos preparados'!Q48</f>
        <v/>
      </c>
      <c r="S55" s="7">
        <f>'1 datos preparados'!R48</f>
        <v/>
      </c>
      <c r="T55" s="7">
        <f>'1 datos preparados'!S48</f>
        <v/>
      </c>
      <c r="U55" s="7">
        <f>'1 datos preparados'!T48</f>
        <v/>
      </c>
      <c r="V55" s="8">
        <f>$AE$12+D55*$AE$13+E55*$AE$14+F55*$AE$15+G55*$AE$16+H55*$AE$17+I55*$AE$18+J55*$AE$19+K55*$AE$20+L55*$AE$21+M55*$AE$22+N55*$AE$23+O55*$AE$24+P55*$AE$25+Q55*$AE$26+R55*$AE$27+S55*$AE$28+T55*$AE$29+U55*$AE$30</f>
        <v/>
      </c>
      <c r="W55" s="8">
        <f>1/(1+EXP(-V55))</f>
        <v/>
      </c>
      <c r="X55" s="9">
        <f>-IF(C55=1,LN(W55),LN(1-W55))</f>
        <v/>
      </c>
      <c r="Y55" s="8">
        <f>IF(C55=1,$AE$32,$AE$33)</f>
        <v/>
      </c>
      <c r="Z55" s="9">
        <f>Y55*X55</f>
        <v/>
      </c>
      <c r="AA55" s="10">
        <f>IF(W55&gt;$AE$34,1,0)</f>
        <v/>
      </c>
      <c r="AB55">
        <f>IF(AA55=C55,1,0)</f>
        <v/>
      </c>
    </row>
    <row r="56">
      <c r="A56">
        <f>'1 datos preparados'!A49</f>
        <v/>
      </c>
      <c r="B56" s="5">
        <f>'1 datos preparados'!U49</f>
        <v/>
      </c>
      <c r="C56">
        <f>'1 datos preparados'!B49</f>
        <v/>
      </c>
      <c r="D56" s="7">
        <f>'1 datos preparados'!C49</f>
        <v/>
      </c>
      <c r="E56" s="7">
        <f>'1 datos preparados'!D49</f>
        <v/>
      </c>
      <c r="F56" s="7">
        <f>'1 datos preparados'!E49</f>
        <v/>
      </c>
      <c r="G56" s="7">
        <f>'1 datos preparados'!F49</f>
        <v/>
      </c>
      <c r="H56" s="7">
        <f>'1 datos preparados'!G49</f>
        <v/>
      </c>
      <c r="I56" s="7">
        <f>'1 datos preparados'!H49</f>
        <v/>
      </c>
      <c r="J56" s="7">
        <f>'1 datos preparados'!I49</f>
        <v/>
      </c>
      <c r="K56" s="7">
        <f>'1 datos preparados'!J49</f>
        <v/>
      </c>
      <c r="L56" s="7">
        <f>'1 datos preparados'!K49</f>
        <v/>
      </c>
      <c r="M56" s="7">
        <f>'1 datos preparados'!L49</f>
        <v/>
      </c>
      <c r="N56" s="7">
        <f>'1 datos preparados'!M49</f>
        <v/>
      </c>
      <c r="O56" s="7">
        <f>'1 datos preparados'!N49</f>
        <v/>
      </c>
      <c r="P56" s="7">
        <f>'1 datos preparados'!O49</f>
        <v/>
      </c>
      <c r="Q56" s="7">
        <f>'1 datos preparados'!P49</f>
        <v/>
      </c>
      <c r="R56" s="7">
        <f>'1 datos preparados'!Q49</f>
        <v/>
      </c>
      <c r="S56" s="7">
        <f>'1 datos preparados'!R49</f>
        <v/>
      </c>
      <c r="T56" s="7">
        <f>'1 datos preparados'!S49</f>
        <v/>
      </c>
      <c r="U56" s="7">
        <f>'1 datos preparados'!T49</f>
        <v/>
      </c>
      <c r="V56" s="8">
        <f>$AE$12+D56*$AE$13+E56*$AE$14+F56*$AE$15+G56*$AE$16+H56*$AE$17+I56*$AE$18+J56*$AE$19+K56*$AE$20+L56*$AE$21+M56*$AE$22+N56*$AE$23+O56*$AE$24+P56*$AE$25+Q56*$AE$26+R56*$AE$27+S56*$AE$28+T56*$AE$29+U56*$AE$30</f>
        <v/>
      </c>
      <c r="W56" s="8">
        <f>1/(1+EXP(-V56))</f>
        <v/>
      </c>
      <c r="X56" s="9">
        <f>-IF(C56=1,LN(W56),LN(1-W56))</f>
        <v/>
      </c>
      <c r="Y56" s="8">
        <f>IF(C56=1,$AE$32,$AE$33)</f>
        <v/>
      </c>
      <c r="Z56" s="9">
        <f>Y56*X56</f>
        <v/>
      </c>
      <c r="AA56" s="10">
        <f>IF(W56&gt;$AE$34,1,0)</f>
        <v/>
      </c>
      <c r="AB56">
        <f>IF(AA56=C56,1,0)</f>
        <v/>
      </c>
    </row>
    <row r="57">
      <c r="A57">
        <f>'1 datos preparados'!A50</f>
        <v/>
      </c>
      <c r="B57" s="5">
        <f>'1 datos preparados'!U50</f>
        <v/>
      </c>
      <c r="C57">
        <f>'1 datos preparados'!B50</f>
        <v/>
      </c>
      <c r="D57" s="7">
        <f>'1 datos preparados'!C50</f>
        <v/>
      </c>
      <c r="E57" s="7">
        <f>'1 datos preparados'!D50</f>
        <v/>
      </c>
      <c r="F57" s="7">
        <f>'1 datos preparados'!E50</f>
        <v/>
      </c>
      <c r="G57" s="7">
        <f>'1 datos preparados'!F50</f>
        <v/>
      </c>
      <c r="H57" s="7">
        <f>'1 datos preparados'!G50</f>
        <v/>
      </c>
      <c r="I57" s="7">
        <f>'1 datos preparados'!H50</f>
        <v/>
      </c>
      <c r="J57" s="7">
        <f>'1 datos preparados'!I50</f>
        <v/>
      </c>
      <c r="K57" s="7">
        <f>'1 datos preparados'!J50</f>
        <v/>
      </c>
      <c r="L57" s="7">
        <f>'1 datos preparados'!K50</f>
        <v/>
      </c>
      <c r="M57" s="7">
        <f>'1 datos preparados'!L50</f>
        <v/>
      </c>
      <c r="N57" s="7">
        <f>'1 datos preparados'!M50</f>
        <v/>
      </c>
      <c r="O57" s="7">
        <f>'1 datos preparados'!N50</f>
        <v/>
      </c>
      <c r="P57" s="7">
        <f>'1 datos preparados'!O50</f>
        <v/>
      </c>
      <c r="Q57" s="7">
        <f>'1 datos preparados'!P50</f>
        <v/>
      </c>
      <c r="R57" s="7">
        <f>'1 datos preparados'!Q50</f>
        <v/>
      </c>
      <c r="S57" s="7">
        <f>'1 datos preparados'!R50</f>
        <v/>
      </c>
      <c r="T57" s="7">
        <f>'1 datos preparados'!S50</f>
        <v/>
      </c>
      <c r="U57" s="7">
        <f>'1 datos preparados'!T50</f>
        <v/>
      </c>
      <c r="V57" s="8">
        <f>$AE$12+D57*$AE$13+E57*$AE$14+F57*$AE$15+G57*$AE$16+H57*$AE$17+I57*$AE$18+J57*$AE$19+K57*$AE$20+L57*$AE$21+M57*$AE$22+N57*$AE$23+O57*$AE$24+P57*$AE$25+Q57*$AE$26+R57*$AE$27+S57*$AE$28+T57*$AE$29+U57*$AE$30</f>
        <v/>
      </c>
      <c r="W57" s="8">
        <f>1/(1+EXP(-V57))</f>
        <v/>
      </c>
      <c r="X57" s="9">
        <f>-IF(C57=1,LN(W57),LN(1-W57))</f>
        <v/>
      </c>
      <c r="Y57" s="8">
        <f>IF(C57=1,$AE$32,$AE$33)</f>
        <v/>
      </c>
      <c r="Z57" s="9">
        <f>Y57*X57</f>
        <v/>
      </c>
      <c r="AA57" s="10">
        <f>IF(W57&gt;$AE$34,1,0)</f>
        <v/>
      </c>
      <c r="AB57">
        <f>IF(AA57=C57,1,0)</f>
        <v/>
      </c>
    </row>
    <row r="58">
      <c r="A58">
        <f>'1 datos preparados'!A51</f>
        <v/>
      </c>
      <c r="B58" s="5">
        <f>'1 datos preparados'!U51</f>
        <v/>
      </c>
      <c r="C58">
        <f>'1 datos preparados'!B51</f>
        <v/>
      </c>
      <c r="D58" s="7">
        <f>'1 datos preparados'!C51</f>
        <v/>
      </c>
      <c r="E58" s="7">
        <f>'1 datos preparados'!D51</f>
        <v/>
      </c>
      <c r="F58" s="7">
        <f>'1 datos preparados'!E51</f>
        <v/>
      </c>
      <c r="G58" s="7">
        <f>'1 datos preparados'!F51</f>
        <v/>
      </c>
      <c r="H58" s="7">
        <f>'1 datos preparados'!G51</f>
        <v/>
      </c>
      <c r="I58" s="7">
        <f>'1 datos preparados'!H51</f>
        <v/>
      </c>
      <c r="J58" s="7">
        <f>'1 datos preparados'!I51</f>
        <v/>
      </c>
      <c r="K58" s="7">
        <f>'1 datos preparados'!J51</f>
        <v/>
      </c>
      <c r="L58" s="7">
        <f>'1 datos preparados'!K51</f>
        <v/>
      </c>
      <c r="M58" s="7">
        <f>'1 datos preparados'!L51</f>
        <v/>
      </c>
      <c r="N58" s="7">
        <f>'1 datos preparados'!M51</f>
        <v/>
      </c>
      <c r="O58" s="7">
        <f>'1 datos preparados'!N51</f>
        <v/>
      </c>
      <c r="P58" s="7">
        <f>'1 datos preparados'!O51</f>
        <v/>
      </c>
      <c r="Q58" s="7">
        <f>'1 datos preparados'!P51</f>
        <v/>
      </c>
      <c r="R58" s="7">
        <f>'1 datos preparados'!Q51</f>
        <v/>
      </c>
      <c r="S58" s="7">
        <f>'1 datos preparados'!R51</f>
        <v/>
      </c>
      <c r="T58" s="7">
        <f>'1 datos preparados'!S51</f>
        <v/>
      </c>
      <c r="U58" s="7">
        <f>'1 datos preparados'!T51</f>
        <v/>
      </c>
      <c r="V58" s="8">
        <f>$AE$12+D58*$AE$13+E58*$AE$14+F58*$AE$15+G58*$AE$16+H58*$AE$17+I58*$AE$18+J58*$AE$19+K58*$AE$20+L58*$AE$21+M58*$AE$22+N58*$AE$23+O58*$AE$24+P58*$AE$25+Q58*$AE$26+R58*$AE$27+S58*$AE$28+T58*$AE$29+U58*$AE$30</f>
        <v/>
      </c>
      <c r="W58" s="8">
        <f>1/(1+EXP(-V58))</f>
        <v/>
      </c>
      <c r="X58" s="9">
        <f>-IF(C58=1,LN(W58),LN(1-W58))</f>
        <v/>
      </c>
      <c r="Y58" s="8">
        <f>IF(C58=1,$AE$32,$AE$33)</f>
        <v/>
      </c>
      <c r="Z58" s="9">
        <f>Y58*X58</f>
        <v/>
      </c>
      <c r="AA58" s="10">
        <f>IF(W58&gt;$AE$34,1,0)</f>
        <v/>
      </c>
      <c r="AB58">
        <f>IF(AA58=C58,1,0)</f>
        <v/>
      </c>
    </row>
    <row r="59">
      <c r="A59">
        <f>'1 datos preparados'!A52</f>
        <v/>
      </c>
      <c r="B59" s="5">
        <f>'1 datos preparados'!U52</f>
        <v/>
      </c>
      <c r="C59">
        <f>'1 datos preparados'!B52</f>
        <v/>
      </c>
      <c r="D59" s="7">
        <f>'1 datos preparados'!C52</f>
        <v/>
      </c>
      <c r="E59" s="7">
        <f>'1 datos preparados'!D52</f>
        <v/>
      </c>
      <c r="F59" s="7">
        <f>'1 datos preparados'!E52</f>
        <v/>
      </c>
      <c r="G59" s="7">
        <f>'1 datos preparados'!F52</f>
        <v/>
      </c>
      <c r="H59" s="7">
        <f>'1 datos preparados'!G52</f>
        <v/>
      </c>
      <c r="I59" s="7">
        <f>'1 datos preparados'!H52</f>
        <v/>
      </c>
      <c r="J59" s="7">
        <f>'1 datos preparados'!I52</f>
        <v/>
      </c>
      <c r="K59" s="7">
        <f>'1 datos preparados'!J52</f>
        <v/>
      </c>
      <c r="L59" s="7">
        <f>'1 datos preparados'!K52</f>
        <v/>
      </c>
      <c r="M59" s="7">
        <f>'1 datos preparados'!L52</f>
        <v/>
      </c>
      <c r="N59" s="7">
        <f>'1 datos preparados'!M52</f>
        <v/>
      </c>
      <c r="O59" s="7">
        <f>'1 datos preparados'!N52</f>
        <v/>
      </c>
      <c r="P59" s="7">
        <f>'1 datos preparados'!O52</f>
        <v/>
      </c>
      <c r="Q59" s="7">
        <f>'1 datos preparados'!P52</f>
        <v/>
      </c>
      <c r="R59" s="7">
        <f>'1 datos preparados'!Q52</f>
        <v/>
      </c>
      <c r="S59" s="7">
        <f>'1 datos preparados'!R52</f>
        <v/>
      </c>
      <c r="T59" s="7">
        <f>'1 datos preparados'!S52</f>
        <v/>
      </c>
      <c r="U59" s="7">
        <f>'1 datos preparados'!T52</f>
        <v/>
      </c>
      <c r="V59" s="8">
        <f>$AE$12+D59*$AE$13+E59*$AE$14+F59*$AE$15+G59*$AE$16+H59*$AE$17+I59*$AE$18+J59*$AE$19+K59*$AE$20+L59*$AE$21+M59*$AE$22+N59*$AE$23+O59*$AE$24+P59*$AE$25+Q59*$AE$26+R59*$AE$27+S59*$AE$28+T59*$AE$29+U59*$AE$30</f>
        <v/>
      </c>
      <c r="W59" s="8">
        <f>1/(1+EXP(-V59))</f>
        <v/>
      </c>
      <c r="X59" s="9">
        <f>-IF(C59=1,LN(W59),LN(1-W59))</f>
        <v/>
      </c>
      <c r="Y59" s="8">
        <f>IF(C59=1,$AE$32,$AE$33)</f>
        <v/>
      </c>
      <c r="Z59" s="9">
        <f>Y59*X59</f>
        <v/>
      </c>
      <c r="AA59" s="10">
        <f>IF(W59&gt;$AE$34,1,0)</f>
        <v/>
      </c>
      <c r="AB59">
        <f>IF(AA59=C59,1,0)</f>
        <v/>
      </c>
    </row>
    <row r="60">
      <c r="A60">
        <f>'1 datos preparados'!A53</f>
        <v/>
      </c>
      <c r="B60" s="5">
        <f>'1 datos preparados'!U53</f>
        <v/>
      </c>
      <c r="C60">
        <f>'1 datos preparados'!B53</f>
        <v/>
      </c>
      <c r="D60" s="7">
        <f>'1 datos preparados'!C53</f>
        <v/>
      </c>
      <c r="E60" s="7">
        <f>'1 datos preparados'!D53</f>
        <v/>
      </c>
      <c r="F60" s="7">
        <f>'1 datos preparados'!E53</f>
        <v/>
      </c>
      <c r="G60" s="7">
        <f>'1 datos preparados'!F53</f>
        <v/>
      </c>
      <c r="H60" s="7">
        <f>'1 datos preparados'!G53</f>
        <v/>
      </c>
      <c r="I60" s="7">
        <f>'1 datos preparados'!H53</f>
        <v/>
      </c>
      <c r="J60" s="7">
        <f>'1 datos preparados'!I53</f>
        <v/>
      </c>
      <c r="K60" s="7">
        <f>'1 datos preparados'!J53</f>
        <v/>
      </c>
      <c r="L60" s="7">
        <f>'1 datos preparados'!K53</f>
        <v/>
      </c>
      <c r="M60" s="7">
        <f>'1 datos preparados'!L53</f>
        <v/>
      </c>
      <c r="N60" s="7">
        <f>'1 datos preparados'!M53</f>
        <v/>
      </c>
      <c r="O60" s="7">
        <f>'1 datos preparados'!N53</f>
        <v/>
      </c>
      <c r="P60" s="7">
        <f>'1 datos preparados'!O53</f>
        <v/>
      </c>
      <c r="Q60" s="7">
        <f>'1 datos preparados'!P53</f>
        <v/>
      </c>
      <c r="R60" s="7">
        <f>'1 datos preparados'!Q53</f>
        <v/>
      </c>
      <c r="S60" s="7">
        <f>'1 datos preparados'!R53</f>
        <v/>
      </c>
      <c r="T60" s="7">
        <f>'1 datos preparados'!S53</f>
        <v/>
      </c>
      <c r="U60" s="7">
        <f>'1 datos preparados'!T53</f>
        <v/>
      </c>
      <c r="V60" s="8">
        <f>$AE$12+D60*$AE$13+E60*$AE$14+F60*$AE$15+G60*$AE$16+H60*$AE$17+I60*$AE$18+J60*$AE$19+K60*$AE$20+L60*$AE$21+M60*$AE$22+N60*$AE$23+O60*$AE$24+P60*$AE$25+Q60*$AE$26+R60*$AE$27+S60*$AE$28+T60*$AE$29+U60*$AE$30</f>
        <v/>
      </c>
      <c r="W60" s="8">
        <f>1/(1+EXP(-V60))</f>
        <v/>
      </c>
      <c r="X60" s="9">
        <f>-IF(C60=1,LN(W60),LN(1-W60))</f>
        <v/>
      </c>
      <c r="Y60" s="8">
        <f>IF(C60=1,$AE$32,$AE$33)</f>
        <v/>
      </c>
      <c r="Z60" s="9">
        <f>Y60*X60</f>
        <v/>
      </c>
      <c r="AA60" s="10">
        <f>IF(W60&gt;$AE$34,1,0)</f>
        <v/>
      </c>
      <c r="AB60">
        <f>IF(AA60=C60,1,0)</f>
        <v/>
      </c>
    </row>
    <row r="61">
      <c r="A61">
        <f>'1 datos preparados'!A54</f>
        <v/>
      </c>
      <c r="B61" s="5">
        <f>'1 datos preparados'!U54</f>
        <v/>
      </c>
      <c r="C61">
        <f>'1 datos preparados'!B54</f>
        <v/>
      </c>
      <c r="D61" s="7">
        <f>'1 datos preparados'!C54</f>
        <v/>
      </c>
      <c r="E61" s="7">
        <f>'1 datos preparados'!D54</f>
        <v/>
      </c>
      <c r="F61" s="7">
        <f>'1 datos preparados'!E54</f>
        <v/>
      </c>
      <c r="G61" s="7">
        <f>'1 datos preparados'!F54</f>
        <v/>
      </c>
      <c r="H61" s="7">
        <f>'1 datos preparados'!G54</f>
        <v/>
      </c>
      <c r="I61" s="7">
        <f>'1 datos preparados'!H54</f>
        <v/>
      </c>
      <c r="J61" s="7">
        <f>'1 datos preparados'!I54</f>
        <v/>
      </c>
      <c r="K61" s="7">
        <f>'1 datos preparados'!J54</f>
        <v/>
      </c>
      <c r="L61" s="7">
        <f>'1 datos preparados'!K54</f>
        <v/>
      </c>
      <c r="M61" s="7">
        <f>'1 datos preparados'!L54</f>
        <v/>
      </c>
      <c r="N61" s="7">
        <f>'1 datos preparados'!M54</f>
        <v/>
      </c>
      <c r="O61" s="7">
        <f>'1 datos preparados'!N54</f>
        <v/>
      </c>
      <c r="P61" s="7">
        <f>'1 datos preparados'!O54</f>
        <v/>
      </c>
      <c r="Q61" s="7">
        <f>'1 datos preparados'!P54</f>
        <v/>
      </c>
      <c r="R61" s="7">
        <f>'1 datos preparados'!Q54</f>
        <v/>
      </c>
      <c r="S61" s="7">
        <f>'1 datos preparados'!R54</f>
        <v/>
      </c>
      <c r="T61" s="7">
        <f>'1 datos preparados'!S54</f>
        <v/>
      </c>
      <c r="U61" s="7">
        <f>'1 datos preparados'!T54</f>
        <v/>
      </c>
      <c r="V61" s="8">
        <f>$AE$12+D61*$AE$13+E61*$AE$14+F61*$AE$15+G61*$AE$16+H61*$AE$17+I61*$AE$18+J61*$AE$19+K61*$AE$20+L61*$AE$21+M61*$AE$22+N61*$AE$23+O61*$AE$24+P61*$AE$25+Q61*$AE$26+R61*$AE$27+S61*$AE$28+T61*$AE$29+U61*$AE$30</f>
        <v/>
      </c>
      <c r="W61" s="8">
        <f>1/(1+EXP(-V61))</f>
        <v/>
      </c>
      <c r="X61" s="9">
        <f>-IF(C61=1,LN(W61),LN(1-W61))</f>
        <v/>
      </c>
      <c r="Y61" s="8">
        <f>IF(C61=1,$AE$32,$AE$33)</f>
        <v/>
      </c>
      <c r="Z61" s="9">
        <f>Y61*X61</f>
        <v/>
      </c>
      <c r="AA61" s="10">
        <f>IF(W61&gt;$AE$34,1,0)</f>
        <v/>
      </c>
      <c r="AB61">
        <f>IF(AA61=C61,1,0)</f>
        <v/>
      </c>
    </row>
    <row r="62">
      <c r="A62">
        <f>'1 datos preparados'!A55</f>
        <v/>
      </c>
      <c r="B62" s="5">
        <f>'1 datos preparados'!U55</f>
        <v/>
      </c>
      <c r="C62">
        <f>'1 datos preparados'!B55</f>
        <v/>
      </c>
      <c r="D62" s="7">
        <f>'1 datos preparados'!C55</f>
        <v/>
      </c>
      <c r="E62" s="7">
        <f>'1 datos preparados'!D55</f>
        <v/>
      </c>
      <c r="F62" s="7">
        <f>'1 datos preparados'!E55</f>
        <v/>
      </c>
      <c r="G62" s="7">
        <f>'1 datos preparados'!F55</f>
        <v/>
      </c>
      <c r="H62" s="7">
        <f>'1 datos preparados'!G55</f>
        <v/>
      </c>
      <c r="I62" s="7">
        <f>'1 datos preparados'!H55</f>
        <v/>
      </c>
      <c r="J62" s="7">
        <f>'1 datos preparados'!I55</f>
        <v/>
      </c>
      <c r="K62" s="7">
        <f>'1 datos preparados'!J55</f>
        <v/>
      </c>
      <c r="L62" s="7">
        <f>'1 datos preparados'!K55</f>
        <v/>
      </c>
      <c r="M62" s="7">
        <f>'1 datos preparados'!L55</f>
        <v/>
      </c>
      <c r="N62" s="7">
        <f>'1 datos preparados'!M55</f>
        <v/>
      </c>
      <c r="O62" s="7">
        <f>'1 datos preparados'!N55</f>
        <v/>
      </c>
      <c r="P62" s="7">
        <f>'1 datos preparados'!O55</f>
        <v/>
      </c>
      <c r="Q62" s="7">
        <f>'1 datos preparados'!P55</f>
        <v/>
      </c>
      <c r="R62" s="7">
        <f>'1 datos preparados'!Q55</f>
        <v/>
      </c>
      <c r="S62" s="7">
        <f>'1 datos preparados'!R55</f>
        <v/>
      </c>
      <c r="T62" s="7">
        <f>'1 datos preparados'!S55</f>
        <v/>
      </c>
      <c r="U62" s="7">
        <f>'1 datos preparados'!T55</f>
        <v/>
      </c>
      <c r="V62" s="8">
        <f>$AE$12+D62*$AE$13+E62*$AE$14+F62*$AE$15+G62*$AE$16+H62*$AE$17+I62*$AE$18+J62*$AE$19+K62*$AE$20+L62*$AE$21+M62*$AE$22+N62*$AE$23+O62*$AE$24+P62*$AE$25+Q62*$AE$26+R62*$AE$27+S62*$AE$28+T62*$AE$29+U62*$AE$30</f>
        <v/>
      </c>
      <c r="W62" s="8">
        <f>1/(1+EXP(-V62))</f>
        <v/>
      </c>
      <c r="X62" s="9">
        <f>-IF(C62=1,LN(W62),LN(1-W62))</f>
        <v/>
      </c>
      <c r="Y62" s="8">
        <f>IF(C62=1,$AE$32,$AE$33)</f>
        <v/>
      </c>
      <c r="Z62" s="9">
        <f>Y62*X62</f>
        <v/>
      </c>
      <c r="AA62" s="10">
        <f>IF(W62&gt;$AE$34,1,0)</f>
        <v/>
      </c>
      <c r="AB62">
        <f>IF(AA62=C62,1,0)</f>
        <v/>
      </c>
    </row>
    <row r="63">
      <c r="A63">
        <f>'1 datos preparados'!A56</f>
        <v/>
      </c>
      <c r="B63" s="5">
        <f>'1 datos preparados'!U56</f>
        <v/>
      </c>
      <c r="C63">
        <f>'1 datos preparados'!B56</f>
        <v/>
      </c>
      <c r="D63" s="7">
        <f>'1 datos preparados'!C56</f>
        <v/>
      </c>
      <c r="E63" s="7">
        <f>'1 datos preparados'!D56</f>
        <v/>
      </c>
      <c r="F63" s="7">
        <f>'1 datos preparados'!E56</f>
        <v/>
      </c>
      <c r="G63" s="7">
        <f>'1 datos preparados'!F56</f>
        <v/>
      </c>
      <c r="H63" s="7">
        <f>'1 datos preparados'!G56</f>
        <v/>
      </c>
      <c r="I63" s="7">
        <f>'1 datos preparados'!H56</f>
        <v/>
      </c>
      <c r="J63" s="7">
        <f>'1 datos preparados'!I56</f>
        <v/>
      </c>
      <c r="K63" s="7">
        <f>'1 datos preparados'!J56</f>
        <v/>
      </c>
      <c r="L63" s="7">
        <f>'1 datos preparados'!K56</f>
        <v/>
      </c>
      <c r="M63" s="7">
        <f>'1 datos preparados'!L56</f>
        <v/>
      </c>
      <c r="N63" s="7">
        <f>'1 datos preparados'!M56</f>
        <v/>
      </c>
      <c r="O63" s="7">
        <f>'1 datos preparados'!N56</f>
        <v/>
      </c>
      <c r="P63" s="7">
        <f>'1 datos preparados'!O56</f>
        <v/>
      </c>
      <c r="Q63" s="7">
        <f>'1 datos preparados'!P56</f>
        <v/>
      </c>
      <c r="R63" s="7">
        <f>'1 datos preparados'!Q56</f>
        <v/>
      </c>
      <c r="S63" s="7">
        <f>'1 datos preparados'!R56</f>
        <v/>
      </c>
      <c r="T63" s="7">
        <f>'1 datos preparados'!S56</f>
        <v/>
      </c>
      <c r="U63" s="7">
        <f>'1 datos preparados'!T56</f>
        <v/>
      </c>
      <c r="V63" s="8">
        <f>$AE$12+D63*$AE$13+E63*$AE$14+F63*$AE$15+G63*$AE$16+H63*$AE$17+I63*$AE$18+J63*$AE$19+K63*$AE$20+L63*$AE$21+M63*$AE$22+N63*$AE$23+O63*$AE$24+P63*$AE$25+Q63*$AE$26+R63*$AE$27+S63*$AE$28+T63*$AE$29+U63*$AE$30</f>
        <v/>
      </c>
      <c r="W63" s="8">
        <f>1/(1+EXP(-V63))</f>
        <v/>
      </c>
      <c r="X63" s="9">
        <f>-IF(C63=1,LN(W63),LN(1-W63))</f>
        <v/>
      </c>
      <c r="Y63" s="8">
        <f>IF(C63=1,$AE$32,$AE$33)</f>
        <v/>
      </c>
      <c r="Z63" s="9">
        <f>Y63*X63</f>
        <v/>
      </c>
      <c r="AA63" s="10">
        <f>IF(W63&gt;$AE$34,1,0)</f>
        <v/>
      </c>
      <c r="AB63">
        <f>IF(AA63=C63,1,0)</f>
        <v/>
      </c>
    </row>
    <row r="64">
      <c r="A64">
        <f>'1 datos preparados'!A57</f>
        <v/>
      </c>
      <c r="B64" s="5">
        <f>'1 datos preparados'!U57</f>
        <v/>
      </c>
      <c r="C64">
        <f>'1 datos preparados'!B57</f>
        <v/>
      </c>
      <c r="D64" s="7">
        <f>'1 datos preparados'!C57</f>
        <v/>
      </c>
      <c r="E64" s="7">
        <f>'1 datos preparados'!D57</f>
        <v/>
      </c>
      <c r="F64" s="7">
        <f>'1 datos preparados'!E57</f>
        <v/>
      </c>
      <c r="G64" s="7">
        <f>'1 datos preparados'!F57</f>
        <v/>
      </c>
      <c r="H64" s="7">
        <f>'1 datos preparados'!G57</f>
        <v/>
      </c>
      <c r="I64" s="7">
        <f>'1 datos preparados'!H57</f>
        <v/>
      </c>
      <c r="J64" s="7">
        <f>'1 datos preparados'!I57</f>
        <v/>
      </c>
      <c r="K64" s="7">
        <f>'1 datos preparados'!J57</f>
        <v/>
      </c>
      <c r="L64" s="7">
        <f>'1 datos preparados'!K57</f>
        <v/>
      </c>
      <c r="M64" s="7">
        <f>'1 datos preparados'!L57</f>
        <v/>
      </c>
      <c r="N64" s="7">
        <f>'1 datos preparados'!M57</f>
        <v/>
      </c>
      <c r="O64" s="7">
        <f>'1 datos preparados'!N57</f>
        <v/>
      </c>
      <c r="P64" s="7">
        <f>'1 datos preparados'!O57</f>
        <v/>
      </c>
      <c r="Q64" s="7">
        <f>'1 datos preparados'!P57</f>
        <v/>
      </c>
      <c r="R64" s="7">
        <f>'1 datos preparados'!Q57</f>
        <v/>
      </c>
      <c r="S64" s="7">
        <f>'1 datos preparados'!R57</f>
        <v/>
      </c>
      <c r="T64" s="7">
        <f>'1 datos preparados'!S57</f>
        <v/>
      </c>
      <c r="U64" s="7">
        <f>'1 datos preparados'!T57</f>
        <v/>
      </c>
      <c r="V64" s="8">
        <f>$AE$12+D64*$AE$13+E64*$AE$14+F64*$AE$15+G64*$AE$16+H64*$AE$17+I64*$AE$18+J64*$AE$19+K64*$AE$20+L64*$AE$21+M64*$AE$22+N64*$AE$23+O64*$AE$24+P64*$AE$25+Q64*$AE$26+R64*$AE$27+S64*$AE$28+T64*$AE$29+U64*$AE$30</f>
        <v/>
      </c>
      <c r="W64" s="8">
        <f>1/(1+EXP(-V64))</f>
        <v/>
      </c>
      <c r="X64" s="9">
        <f>-IF(C64=1,LN(W64),LN(1-W64))</f>
        <v/>
      </c>
      <c r="Y64" s="8">
        <f>IF(C64=1,$AE$32,$AE$33)</f>
        <v/>
      </c>
      <c r="Z64" s="9">
        <f>Y64*X64</f>
        <v/>
      </c>
      <c r="AA64" s="10">
        <f>IF(W64&gt;$AE$34,1,0)</f>
        <v/>
      </c>
      <c r="AB64">
        <f>IF(AA64=C64,1,0)</f>
        <v/>
      </c>
    </row>
    <row r="65">
      <c r="A65">
        <f>'1 datos preparados'!A58</f>
        <v/>
      </c>
      <c r="B65" s="5">
        <f>'1 datos preparados'!U58</f>
        <v/>
      </c>
      <c r="C65">
        <f>'1 datos preparados'!B58</f>
        <v/>
      </c>
      <c r="D65" s="7">
        <f>'1 datos preparados'!C58</f>
        <v/>
      </c>
      <c r="E65" s="7">
        <f>'1 datos preparados'!D58</f>
        <v/>
      </c>
      <c r="F65" s="7">
        <f>'1 datos preparados'!E58</f>
        <v/>
      </c>
      <c r="G65" s="7">
        <f>'1 datos preparados'!F58</f>
        <v/>
      </c>
      <c r="H65" s="7">
        <f>'1 datos preparados'!G58</f>
        <v/>
      </c>
      <c r="I65" s="7">
        <f>'1 datos preparados'!H58</f>
        <v/>
      </c>
      <c r="J65" s="7">
        <f>'1 datos preparados'!I58</f>
        <v/>
      </c>
      <c r="K65" s="7">
        <f>'1 datos preparados'!J58</f>
        <v/>
      </c>
      <c r="L65" s="7">
        <f>'1 datos preparados'!K58</f>
        <v/>
      </c>
      <c r="M65" s="7">
        <f>'1 datos preparados'!L58</f>
        <v/>
      </c>
      <c r="N65" s="7">
        <f>'1 datos preparados'!M58</f>
        <v/>
      </c>
      <c r="O65" s="7">
        <f>'1 datos preparados'!N58</f>
        <v/>
      </c>
      <c r="P65" s="7">
        <f>'1 datos preparados'!O58</f>
        <v/>
      </c>
      <c r="Q65" s="7">
        <f>'1 datos preparados'!P58</f>
        <v/>
      </c>
      <c r="R65" s="7">
        <f>'1 datos preparados'!Q58</f>
        <v/>
      </c>
      <c r="S65" s="7">
        <f>'1 datos preparados'!R58</f>
        <v/>
      </c>
      <c r="T65" s="7">
        <f>'1 datos preparados'!S58</f>
        <v/>
      </c>
      <c r="U65" s="7">
        <f>'1 datos preparados'!T58</f>
        <v/>
      </c>
      <c r="V65" s="8">
        <f>$AE$12+D65*$AE$13+E65*$AE$14+F65*$AE$15+G65*$AE$16+H65*$AE$17+I65*$AE$18+J65*$AE$19+K65*$AE$20+L65*$AE$21+M65*$AE$22+N65*$AE$23+O65*$AE$24+P65*$AE$25+Q65*$AE$26+R65*$AE$27+S65*$AE$28+T65*$AE$29+U65*$AE$30</f>
        <v/>
      </c>
      <c r="W65" s="8">
        <f>1/(1+EXP(-V65))</f>
        <v/>
      </c>
      <c r="X65" s="9">
        <f>-IF(C65=1,LN(W65),LN(1-W65))</f>
        <v/>
      </c>
      <c r="Y65" s="8">
        <f>IF(C65=1,$AE$32,$AE$33)</f>
        <v/>
      </c>
      <c r="Z65" s="9">
        <f>Y65*X65</f>
        <v/>
      </c>
      <c r="AA65" s="10">
        <f>IF(W65&gt;$AE$34,1,0)</f>
        <v/>
      </c>
      <c r="AB65">
        <f>IF(AA65=C65,1,0)</f>
        <v/>
      </c>
    </row>
    <row r="66">
      <c r="A66">
        <f>'1 datos preparados'!A59</f>
        <v/>
      </c>
      <c r="B66" s="5">
        <f>'1 datos preparados'!U59</f>
        <v/>
      </c>
      <c r="C66">
        <f>'1 datos preparados'!B59</f>
        <v/>
      </c>
      <c r="D66" s="7">
        <f>'1 datos preparados'!C59</f>
        <v/>
      </c>
      <c r="E66" s="7">
        <f>'1 datos preparados'!D59</f>
        <v/>
      </c>
      <c r="F66" s="7">
        <f>'1 datos preparados'!E59</f>
        <v/>
      </c>
      <c r="G66" s="7">
        <f>'1 datos preparados'!F59</f>
        <v/>
      </c>
      <c r="H66" s="7">
        <f>'1 datos preparados'!G59</f>
        <v/>
      </c>
      <c r="I66" s="7">
        <f>'1 datos preparados'!H59</f>
        <v/>
      </c>
      <c r="J66" s="7">
        <f>'1 datos preparados'!I59</f>
        <v/>
      </c>
      <c r="K66" s="7">
        <f>'1 datos preparados'!J59</f>
        <v/>
      </c>
      <c r="L66" s="7">
        <f>'1 datos preparados'!K59</f>
        <v/>
      </c>
      <c r="M66" s="7">
        <f>'1 datos preparados'!L59</f>
        <v/>
      </c>
      <c r="N66" s="7">
        <f>'1 datos preparados'!M59</f>
        <v/>
      </c>
      <c r="O66" s="7">
        <f>'1 datos preparados'!N59</f>
        <v/>
      </c>
      <c r="P66" s="7">
        <f>'1 datos preparados'!O59</f>
        <v/>
      </c>
      <c r="Q66" s="7">
        <f>'1 datos preparados'!P59</f>
        <v/>
      </c>
      <c r="R66" s="7">
        <f>'1 datos preparados'!Q59</f>
        <v/>
      </c>
      <c r="S66" s="7">
        <f>'1 datos preparados'!R59</f>
        <v/>
      </c>
      <c r="T66" s="7">
        <f>'1 datos preparados'!S59</f>
        <v/>
      </c>
      <c r="U66" s="7">
        <f>'1 datos preparados'!T59</f>
        <v/>
      </c>
      <c r="V66" s="8">
        <f>$AE$12+D66*$AE$13+E66*$AE$14+F66*$AE$15+G66*$AE$16+H66*$AE$17+I66*$AE$18+J66*$AE$19+K66*$AE$20+L66*$AE$21+M66*$AE$22+N66*$AE$23+O66*$AE$24+P66*$AE$25+Q66*$AE$26+R66*$AE$27+S66*$AE$28+T66*$AE$29+U66*$AE$30</f>
        <v/>
      </c>
      <c r="W66" s="8">
        <f>1/(1+EXP(-V66))</f>
        <v/>
      </c>
      <c r="X66" s="9">
        <f>-IF(C66=1,LN(W66),LN(1-W66))</f>
        <v/>
      </c>
      <c r="Y66" s="8">
        <f>IF(C66=1,$AE$32,$AE$33)</f>
        <v/>
      </c>
      <c r="Z66" s="9">
        <f>Y66*X66</f>
        <v/>
      </c>
      <c r="AA66" s="10">
        <f>IF(W66&gt;$AE$34,1,0)</f>
        <v/>
      </c>
      <c r="AB66">
        <f>IF(AA66=C66,1,0)</f>
        <v/>
      </c>
    </row>
    <row r="67">
      <c r="A67">
        <f>'1 datos preparados'!A60</f>
        <v/>
      </c>
      <c r="B67" s="5">
        <f>'1 datos preparados'!U60</f>
        <v/>
      </c>
      <c r="C67">
        <f>'1 datos preparados'!B60</f>
        <v/>
      </c>
      <c r="D67" s="7">
        <f>'1 datos preparados'!C60</f>
        <v/>
      </c>
      <c r="E67" s="7">
        <f>'1 datos preparados'!D60</f>
        <v/>
      </c>
      <c r="F67" s="7">
        <f>'1 datos preparados'!E60</f>
        <v/>
      </c>
      <c r="G67" s="7">
        <f>'1 datos preparados'!F60</f>
        <v/>
      </c>
      <c r="H67" s="7">
        <f>'1 datos preparados'!G60</f>
        <v/>
      </c>
      <c r="I67" s="7">
        <f>'1 datos preparados'!H60</f>
        <v/>
      </c>
      <c r="J67" s="7">
        <f>'1 datos preparados'!I60</f>
        <v/>
      </c>
      <c r="K67" s="7">
        <f>'1 datos preparados'!J60</f>
        <v/>
      </c>
      <c r="L67" s="7">
        <f>'1 datos preparados'!K60</f>
        <v/>
      </c>
      <c r="M67" s="7">
        <f>'1 datos preparados'!L60</f>
        <v/>
      </c>
      <c r="N67" s="7">
        <f>'1 datos preparados'!M60</f>
        <v/>
      </c>
      <c r="O67" s="7">
        <f>'1 datos preparados'!N60</f>
        <v/>
      </c>
      <c r="P67" s="7">
        <f>'1 datos preparados'!O60</f>
        <v/>
      </c>
      <c r="Q67" s="7">
        <f>'1 datos preparados'!P60</f>
        <v/>
      </c>
      <c r="R67" s="7">
        <f>'1 datos preparados'!Q60</f>
        <v/>
      </c>
      <c r="S67" s="7">
        <f>'1 datos preparados'!R60</f>
        <v/>
      </c>
      <c r="T67" s="7">
        <f>'1 datos preparados'!S60</f>
        <v/>
      </c>
      <c r="U67" s="7">
        <f>'1 datos preparados'!T60</f>
        <v/>
      </c>
      <c r="V67" s="8">
        <f>$AE$12+D67*$AE$13+E67*$AE$14+F67*$AE$15+G67*$AE$16+H67*$AE$17+I67*$AE$18+J67*$AE$19+K67*$AE$20+L67*$AE$21+M67*$AE$22+N67*$AE$23+O67*$AE$24+P67*$AE$25+Q67*$AE$26+R67*$AE$27+S67*$AE$28+T67*$AE$29+U67*$AE$30</f>
        <v/>
      </c>
      <c r="W67" s="8">
        <f>1/(1+EXP(-V67))</f>
        <v/>
      </c>
      <c r="X67" s="9">
        <f>-IF(C67=1,LN(W67),LN(1-W67))</f>
        <v/>
      </c>
      <c r="Y67" s="8">
        <f>IF(C67=1,$AE$32,$AE$33)</f>
        <v/>
      </c>
      <c r="Z67" s="9">
        <f>Y67*X67</f>
        <v/>
      </c>
      <c r="AA67" s="10">
        <f>IF(W67&gt;$AE$34,1,0)</f>
        <v/>
      </c>
      <c r="AB67">
        <f>IF(AA67=C67,1,0)</f>
        <v/>
      </c>
    </row>
    <row r="68">
      <c r="A68">
        <f>'1 datos preparados'!A61</f>
        <v/>
      </c>
      <c r="B68" s="5">
        <f>'1 datos preparados'!U61</f>
        <v/>
      </c>
      <c r="C68">
        <f>'1 datos preparados'!B61</f>
        <v/>
      </c>
      <c r="D68" s="7">
        <f>'1 datos preparados'!C61</f>
        <v/>
      </c>
      <c r="E68" s="7">
        <f>'1 datos preparados'!D61</f>
        <v/>
      </c>
      <c r="F68" s="7">
        <f>'1 datos preparados'!E61</f>
        <v/>
      </c>
      <c r="G68" s="7">
        <f>'1 datos preparados'!F61</f>
        <v/>
      </c>
      <c r="H68" s="7">
        <f>'1 datos preparados'!G61</f>
        <v/>
      </c>
      <c r="I68" s="7">
        <f>'1 datos preparados'!H61</f>
        <v/>
      </c>
      <c r="J68" s="7">
        <f>'1 datos preparados'!I61</f>
        <v/>
      </c>
      <c r="K68" s="7">
        <f>'1 datos preparados'!J61</f>
        <v/>
      </c>
      <c r="L68" s="7">
        <f>'1 datos preparados'!K61</f>
        <v/>
      </c>
      <c r="M68" s="7">
        <f>'1 datos preparados'!L61</f>
        <v/>
      </c>
      <c r="N68" s="7">
        <f>'1 datos preparados'!M61</f>
        <v/>
      </c>
      <c r="O68" s="7">
        <f>'1 datos preparados'!N61</f>
        <v/>
      </c>
      <c r="P68" s="7">
        <f>'1 datos preparados'!O61</f>
        <v/>
      </c>
      <c r="Q68" s="7">
        <f>'1 datos preparados'!P61</f>
        <v/>
      </c>
      <c r="R68" s="7">
        <f>'1 datos preparados'!Q61</f>
        <v/>
      </c>
      <c r="S68" s="7">
        <f>'1 datos preparados'!R61</f>
        <v/>
      </c>
      <c r="T68" s="7">
        <f>'1 datos preparados'!S61</f>
        <v/>
      </c>
      <c r="U68" s="7">
        <f>'1 datos preparados'!T61</f>
        <v/>
      </c>
      <c r="V68" s="8">
        <f>$AE$12+D68*$AE$13+E68*$AE$14+F68*$AE$15+G68*$AE$16+H68*$AE$17+I68*$AE$18+J68*$AE$19+K68*$AE$20+L68*$AE$21+M68*$AE$22+N68*$AE$23+O68*$AE$24+P68*$AE$25+Q68*$AE$26+R68*$AE$27+S68*$AE$28+T68*$AE$29+U68*$AE$30</f>
        <v/>
      </c>
      <c r="W68" s="8">
        <f>1/(1+EXP(-V68))</f>
        <v/>
      </c>
      <c r="X68" s="9">
        <f>-IF(C68=1,LN(W68),LN(1-W68))</f>
        <v/>
      </c>
      <c r="Y68" s="8">
        <f>IF(C68=1,$AE$32,$AE$33)</f>
        <v/>
      </c>
      <c r="Z68" s="9">
        <f>Y68*X68</f>
        <v/>
      </c>
      <c r="AA68" s="10">
        <f>IF(W68&gt;$AE$34,1,0)</f>
        <v/>
      </c>
      <c r="AB68">
        <f>IF(AA68=C68,1,0)</f>
        <v/>
      </c>
    </row>
    <row r="69">
      <c r="A69">
        <f>'1 datos preparados'!A62</f>
        <v/>
      </c>
      <c r="B69" s="5">
        <f>'1 datos preparados'!U62</f>
        <v/>
      </c>
      <c r="C69">
        <f>'1 datos preparados'!B62</f>
        <v/>
      </c>
      <c r="D69" s="7">
        <f>'1 datos preparados'!C62</f>
        <v/>
      </c>
      <c r="E69" s="7">
        <f>'1 datos preparados'!D62</f>
        <v/>
      </c>
      <c r="F69" s="7">
        <f>'1 datos preparados'!E62</f>
        <v/>
      </c>
      <c r="G69" s="7">
        <f>'1 datos preparados'!F62</f>
        <v/>
      </c>
      <c r="H69" s="7">
        <f>'1 datos preparados'!G62</f>
        <v/>
      </c>
      <c r="I69" s="7">
        <f>'1 datos preparados'!H62</f>
        <v/>
      </c>
      <c r="J69" s="7">
        <f>'1 datos preparados'!I62</f>
        <v/>
      </c>
      <c r="K69" s="7">
        <f>'1 datos preparados'!J62</f>
        <v/>
      </c>
      <c r="L69" s="7">
        <f>'1 datos preparados'!K62</f>
        <v/>
      </c>
      <c r="M69" s="7">
        <f>'1 datos preparados'!L62</f>
        <v/>
      </c>
      <c r="N69" s="7">
        <f>'1 datos preparados'!M62</f>
        <v/>
      </c>
      <c r="O69" s="7">
        <f>'1 datos preparados'!N62</f>
        <v/>
      </c>
      <c r="P69" s="7">
        <f>'1 datos preparados'!O62</f>
        <v/>
      </c>
      <c r="Q69" s="7">
        <f>'1 datos preparados'!P62</f>
        <v/>
      </c>
      <c r="R69" s="7">
        <f>'1 datos preparados'!Q62</f>
        <v/>
      </c>
      <c r="S69" s="7">
        <f>'1 datos preparados'!R62</f>
        <v/>
      </c>
      <c r="T69" s="7">
        <f>'1 datos preparados'!S62</f>
        <v/>
      </c>
      <c r="U69" s="7">
        <f>'1 datos preparados'!T62</f>
        <v/>
      </c>
      <c r="V69" s="8">
        <f>$AE$12+D69*$AE$13+E69*$AE$14+F69*$AE$15+G69*$AE$16+H69*$AE$17+I69*$AE$18+J69*$AE$19+K69*$AE$20+L69*$AE$21+M69*$AE$22+N69*$AE$23+O69*$AE$24+P69*$AE$25+Q69*$AE$26+R69*$AE$27+S69*$AE$28+T69*$AE$29+U69*$AE$30</f>
        <v/>
      </c>
      <c r="W69" s="8">
        <f>1/(1+EXP(-V69))</f>
        <v/>
      </c>
      <c r="X69" s="9">
        <f>-IF(C69=1,LN(W69),LN(1-W69))</f>
        <v/>
      </c>
      <c r="Y69" s="8">
        <f>IF(C69=1,$AE$32,$AE$33)</f>
        <v/>
      </c>
      <c r="Z69" s="9">
        <f>Y69*X69</f>
        <v/>
      </c>
      <c r="AA69" s="10">
        <f>IF(W69&gt;$AE$34,1,0)</f>
        <v/>
      </c>
      <c r="AB69">
        <f>IF(AA69=C69,1,0)</f>
        <v/>
      </c>
    </row>
    <row r="70">
      <c r="A70">
        <f>'1 datos preparados'!A63</f>
        <v/>
      </c>
      <c r="B70" s="5">
        <f>'1 datos preparados'!U63</f>
        <v/>
      </c>
      <c r="C70">
        <f>'1 datos preparados'!B63</f>
        <v/>
      </c>
      <c r="D70" s="7">
        <f>'1 datos preparados'!C63</f>
        <v/>
      </c>
      <c r="E70" s="7">
        <f>'1 datos preparados'!D63</f>
        <v/>
      </c>
      <c r="F70" s="7">
        <f>'1 datos preparados'!E63</f>
        <v/>
      </c>
      <c r="G70" s="7">
        <f>'1 datos preparados'!F63</f>
        <v/>
      </c>
      <c r="H70" s="7">
        <f>'1 datos preparados'!G63</f>
        <v/>
      </c>
      <c r="I70" s="7">
        <f>'1 datos preparados'!H63</f>
        <v/>
      </c>
      <c r="J70" s="7">
        <f>'1 datos preparados'!I63</f>
        <v/>
      </c>
      <c r="K70" s="7">
        <f>'1 datos preparados'!J63</f>
        <v/>
      </c>
      <c r="L70" s="7">
        <f>'1 datos preparados'!K63</f>
        <v/>
      </c>
      <c r="M70" s="7">
        <f>'1 datos preparados'!L63</f>
        <v/>
      </c>
      <c r="N70" s="7">
        <f>'1 datos preparados'!M63</f>
        <v/>
      </c>
      <c r="O70" s="7">
        <f>'1 datos preparados'!N63</f>
        <v/>
      </c>
      <c r="P70" s="7">
        <f>'1 datos preparados'!O63</f>
        <v/>
      </c>
      <c r="Q70" s="7">
        <f>'1 datos preparados'!P63</f>
        <v/>
      </c>
      <c r="R70" s="7">
        <f>'1 datos preparados'!Q63</f>
        <v/>
      </c>
      <c r="S70" s="7">
        <f>'1 datos preparados'!R63</f>
        <v/>
      </c>
      <c r="T70" s="7">
        <f>'1 datos preparados'!S63</f>
        <v/>
      </c>
      <c r="U70" s="7">
        <f>'1 datos preparados'!T63</f>
        <v/>
      </c>
      <c r="V70" s="8">
        <f>$AE$12+D70*$AE$13+E70*$AE$14+F70*$AE$15+G70*$AE$16+H70*$AE$17+I70*$AE$18+J70*$AE$19+K70*$AE$20+L70*$AE$21+M70*$AE$22+N70*$AE$23+O70*$AE$24+P70*$AE$25+Q70*$AE$26+R70*$AE$27+S70*$AE$28+T70*$AE$29+U70*$AE$30</f>
        <v/>
      </c>
      <c r="W70" s="8">
        <f>1/(1+EXP(-V70))</f>
        <v/>
      </c>
      <c r="X70" s="9">
        <f>-IF(C70=1,LN(W70),LN(1-W70))</f>
        <v/>
      </c>
      <c r="Y70" s="8">
        <f>IF(C70=1,$AE$32,$AE$33)</f>
        <v/>
      </c>
      <c r="Z70" s="9">
        <f>Y70*X70</f>
        <v/>
      </c>
      <c r="AA70" s="10">
        <f>IF(W70&gt;$AE$34,1,0)</f>
        <v/>
      </c>
      <c r="AB70">
        <f>IF(AA70=C70,1,0)</f>
        <v/>
      </c>
    </row>
    <row r="71">
      <c r="A71">
        <f>'1 datos preparados'!A64</f>
        <v/>
      </c>
      <c r="B71" s="5">
        <f>'1 datos preparados'!U64</f>
        <v/>
      </c>
      <c r="C71">
        <f>'1 datos preparados'!B64</f>
        <v/>
      </c>
      <c r="D71" s="7">
        <f>'1 datos preparados'!C64</f>
        <v/>
      </c>
      <c r="E71" s="7">
        <f>'1 datos preparados'!D64</f>
        <v/>
      </c>
      <c r="F71" s="7">
        <f>'1 datos preparados'!E64</f>
        <v/>
      </c>
      <c r="G71" s="7">
        <f>'1 datos preparados'!F64</f>
        <v/>
      </c>
      <c r="H71" s="7">
        <f>'1 datos preparados'!G64</f>
        <v/>
      </c>
      <c r="I71" s="7">
        <f>'1 datos preparados'!H64</f>
        <v/>
      </c>
      <c r="J71" s="7">
        <f>'1 datos preparados'!I64</f>
        <v/>
      </c>
      <c r="K71" s="7">
        <f>'1 datos preparados'!J64</f>
        <v/>
      </c>
      <c r="L71" s="7">
        <f>'1 datos preparados'!K64</f>
        <v/>
      </c>
      <c r="M71" s="7">
        <f>'1 datos preparados'!L64</f>
        <v/>
      </c>
      <c r="N71" s="7">
        <f>'1 datos preparados'!M64</f>
        <v/>
      </c>
      <c r="O71" s="7">
        <f>'1 datos preparados'!N64</f>
        <v/>
      </c>
      <c r="P71" s="7">
        <f>'1 datos preparados'!O64</f>
        <v/>
      </c>
      <c r="Q71" s="7">
        <f>'1 datos preparados'!P64</f>
        <v/>
      </c>
      <c r="R71" s="7">
        <f>'1 datos preparados'!Q64</f>
        <v/>
      </c>
      <c r="S71" s="7">
        <f>'1 datos preparados'!R64</f>
        <v/>
      </c>
      <c r="T71" s="7">
        <f>'1 datos preparados'!S64</f>
        <v/>
      </c>
      <c r="U71" s="7">
        <f>'1 datos preparados'!T64</f>
        <v/>
      </c>
      <c r="V71" s="8">
        <f>$AE$12+D71*$AE$13+E71*$AE$14+F71*$AE$15+G71*$AE$16+H71*$AE$17+I71*$AE$18+J71*$AE$19+K71*$AE$20+L71*$AE$21+M71*$AE$22+N71*$AE$23+O71*$AE$24+P71*$AE$25+Q71*$AE$26+R71*$AE$27+S71*$AE$28+T71*$AE$29+U71*$AE$30</f>
        <v/>
      </c>
      <c r="W71" s="8">
        <f>1/(1+EXP(-V71))</f>
        <v/>
      </c>
      <c r="X71" s="9">
        <f>-IF(C71=1,LN(W71),LN(1-W71))</f>
        <v/>
      </c>
      <c r="Y71" s="8">
        <f>IF(C71=1,$AE$32,$AE$33)</f>
        <v/>
      </c>
      <c r="Z71" s="9">
        <f>Y71*X71</f>
        <v/>
      </c>
      <c r="AA71" s="10">
        <f>IF(W71&gt;$AE$34,1,0)</f>
        <v/>
      </c>
      <c r="AB71">
        <f>IF(AA71=C71,1,0)</f>
        <v/>
      </c>
    </row>
    <row r="72">
      <c r="A72">
        <f>'1 datos preparados'!A65</f>
        <v/>
      </c>
      <c r="B72" s="5">
        <f>'1 datos preparados'!U65</f>
        <v/>
      </c>
      <c r="C72">
        <f>'1 datos preparados'!B65</f>
        <v/>
      </c>
      <c r="D72" s="7">
        <f>'1 datos preparados'!C65</f>
        <v/>
      </c>
      <c r="E72" s="7">
        <f>'1 datos preparados'!D65</f>
        <v/>
      </c>
      <c r="F72" s="7">
        <f>'1 datos preparados'!E65</f>
        <v/>
      </c>
      <c r="G72" s="7">
        <f>'1 datos preparados'!F65</f>
        <v/>
      </c>
      <c r="H72" s="7">
        <f>'1 datos preparados'!G65</f>
        <v/>
      </c>
      <c r="I72" s="7">
        <f>'1 datos preparados'!H65</f>
        <v/>
      </c>
      <c r="J72" s="7">
        <f>'1 datos preparados'!I65</f>
        <v/>
      </c>
      <c r="K72" s="7">
        <f>'1 datos preparados'!J65</f>
        <v/>
      </c>
      <c r="L72" s="7">
        <f>'1 datos preparados'!K65</f>
        <v/>
      </c>
      <c r="M72" s="7">
        <f>'1 datos preparados'!L65</f>
        <v/>
      </c>
      <c r="N72" s="7">
        <f>'1 datos preparados'!M65</f>
        <v/>
      </c>
      <c r="O72" s="7">
        <f>'1 datos preparados'!N65</f>
        <v/>
      </c>
      <c r="P72" s="7">
        <f>'1 datos preparados'!O65</f>
        <v/>
      </c>
      <c r="Q72" s="7">
        <f>'1 datos preparados'!P65</f>
        <v/>
      </c>
      <c r="R72" s="7">
        <f>'1 datos preparados'!Q65</f>
        <v/>
      </c>
      <c r="S72" s="7">
        <f>'1 datos preparados'!R65</f>
        <v/>
      </c>
      <c r="T72" s="7">
        <f>'1 datos preparados'!S65</f>
        <v/>
      </c>
      <c r="U72" s="7">
        <f>'1 datos preparados'!T65</f>
        <v/>
      </c>
      <c r="V72" s="8">
        <f>$AE$12+D72*$AE$13+E72*$AE$14+F72*$AE$15+G72*$AE$16+H72*$AE$17+I72*$AE$18+J72*$AE$19+K72*$AE$20+L72*$AE$21+M72*$AE$22+N72*$AE$23+O72*$AE$24+P72*$AE$25+Q72*$AE$26+R72*$AE$27+S72*$AE$28+T72*$AE$29+U72*$AE$30</f>
        <v/>
      </c>
      <c r="W72" s="8">
        <f>1/(1+EXP(-V72))</f>
        <v/>
      </c>
      <c r="X72" s="9">
        <f>-IF(C72=1,LN(W72),LN(1-W72))</f>
        <v/>
      </c>
      <c r="Y72" s="8">
        <f>IF(C72=1,$AE$32,$AE$33)</f>
        <v/>
      </c>
      <c r="Z72" s="9">
        <f>Y72*X72</f>
        <v/>
      </c>
      <c r="AA72" s="10">
        <f>IF(W72&gt;$AE$34,1,0)</f>
        <v/>
      </c>
      <c r="AB72">
        <f>IF(AA72=C72,1,0)</f>
        <v/>
      </c>
    </row>
    <row r="73">
      <c r="A73">
        <f>'1 datos preparados'!A66</f>
        <v/>
      </c>
      <c r="B73" s="5">
        <f>'1 datos preparados'!U66</f>
        <v/>
      </c>
      <c r="C73">
        <f>'1 datos preparados'!B66</f>
        <v/>
      </c>
      <c r="D73" s="7">
        <f>'1 datos preparados'!C66</f>
        <v/>
      </c>
      <c r="E73" s="7">
        <f>'1 datos preparados'!D66</f>
        <v/>
      </c>
      <c r="F73" s="7">
        <f>'1 datos preparados'!E66</f>
        <v/>
      </c>
      <c r="G73" s="7">
        <f>'1 datos preparados'!F66</f>
        <v/>
      </c>
      <c r="H73" s="7">
        <f>'1 datos preparados'!G66</f>
        <v/>
      </c>
      <c r="I73" s="7">
        <f>'1 datos preparados'!H66</f>
        <v/>
      </c>
      <c r="J73" s="7">
        <f>'1 datos preparados'!I66</f>
        <v/>
      </c>
      <c r="K73" s="7">
        <f>'1 datos preparados'!J66</f>
        <v/>
      </c>
      <c r="L73" s="7">
        <f>'1 datos preparados'!K66</f>
        <v/>
      </c>
      <c r="M73" s="7">
        <f>'1 datos preparados'!L66</f>
        <v/>
      </c>
      <c r="N73" s="7">
        <f>'1 datos preparados'!M66</f>
        <v/>
      </c>
      <c r="O73" s="7">
        <f>'1 datos preparados'!N66</f>
        <v/>
      </c>
      <c r="P73" s="7">
        <f>'1 datos preparados'!O66</f>
        <v/>
      </c>
      <c r="Q73" s="7">
        <f>'1 datos preparados'!P66</f>
        <v/>
      </c>
      <c r="R73" s="7">
        <f>'1 datos preparados'!Q66</f>
        <v/>
      </c>
      <c r="S73" s="7">
        <f>'1 datos preparados'!R66</f>
        <v/>
      </c>
      <c r="T73" s="7">
        <f>'1 datos preparados'!S66</f>
        <v/>
      </c>
      <c r="U73" s="7">
        <f>'1 datos preparados'!T66</f>
        <v/>
      </c>
      <c r="V73" s="8">
        <f>$AE$12+D73*$AE$13+E73*$AE$14+F73*$AE$15+G73*$AE$16+H73*$AE$17+I73*$AE$18+J73*$AE$19+K73*$AE$20+L73*$AE$21+M73*$AE$22+N73*$AE$23+O73*$AE$24+P73*$AE$25+Q73*$AE$26+R73*$AE$27+S73*$AE$28+T73*$AE$29+U73*$AE$30</f>
        <v/>
      </c>
      <c r="W73" s="8">
        <f>1/(1+EXP(-V73))</f>
        <v/>
      </c>
      <c r="X73" s="9">
        <f>-IF(C73=1,LN(W73),LN(1-W73))</f>
        <v/>
      </c>
      <c r="Y73" s="8">
        <f>IF(C73=1,$AE$32,$AE$33)</f>
        <v/>
      </c>
      <c r="Z73" s="9">
        <f>Y73*X73</f>
        <v/>
      </c>
      <c r="AA73" s="10">
        <f>IF(W73&gt;$AE$34,1,0)</f>
        <v/>
      </c>
      <c r="AB73">
        <f>IF(AA73=C73,1,0)</f>
        <v/>
      </c>
    </row>
    <row r="74">
      <c r="A74">
        <f>'1 datos preparados'!A67</f>
        <v/>
      </c>
      <c r="B74" s="5">
        <f>'1 datos preparados'!U67</f>
        <v/>
      </c>
      <c r="C74">
        <f>'1 datos preparados'!B67</f>
        <v/>
      </c>
      <c r="D74" s="7">
        <f>'1 datos preparados'!C67</f>
        <v/>
      </c>
      <c r="E74" s="7">
        <f>'1 datos preparados'!D67</f>
        <v/>
      </c>
      <c r="F74" s="7">
        <f>'1 datos preparados'!E67</f>
        <v/>
      </c>
      <c r="G74" s="7">
        <f>'1 datos preparados'!F67</f>
        <v/>
      </c>
      <c r="H74" s="7">
        <f>'1 datos preparados'!G67</f>
        <v/>
      </c>
      <c r="I74" s="7">
        <f>'1 datos preparados'!H67</f>
        <v/>
      </c>
      <c r="J74" s="7">
        <f>'1 datos preparados'!I67</f>
        <v/>
      </c>
      <c r="K74" s="7">
        <f>'1 datos preparados'!J67</f>
        <v/>
      </c>
      <c r="L74" s="7">
        <f>'1 datos preparados'!K67</f>
        <v/>
      </c>
      <c r="M74" s="7">
        <f>'1 datos preparados'!L67</f>
        <v/>
      </c>
      <c r="N74" s="7">
        <f>'1 datos preparados'!M67</f>
        <v/>
      </c>
      <c r="O74" s="7">
        <f>'1 datos preparados'!N67</f>
        <v/>
      </c>
      <c r="P74" s="7">
        <f>'1 datos preparados'!O67</f>
        <v/>
      </c>
      <c r="Q74" s="7">
        <f>'1 datos preparados'!P67</f>
        <v/>
      </c>
      <c r="R74" s="7">
        <f>'1 datos preparados'!Q67</f>
        <v/>
      </c>
      <c r="S74" s="7">
        <f>'1 datos preparados'!R67</f>
        <v/>
      </c>
      <c r="T74" s="7">
        <f>'1 datos preparados'!S67</f>
        <v/>
      </c>
      <c r="U74" s="7">
        <f>'1 datos preparados'!T67</f>
        <v/>
      </c>
      <c r="V74" s="8">
        <f>$AE$12+D74*$AE$13+E74*$AE$14+F74*$AE$15+G74*$AE$16+H74*$AE$17+I74*$AE$18+J74*$AE$19+K74*$AE$20+L74*$AE$21+M74*$AE$22+N74*$AE$23+O74*$AE$24+P74*$AE$25+Q74*$AE$26+R74*$AE$27+S74*$AE$28+T74*$AE$29+U74*$AE$30</f>
        <v/>
      </c>
      <c r="W74" s="8">
        <f>1/(1+EXP(-V74))</f>
        <v/>
      </c>
      <c r="X74" s="9">
        <f>-IF(C74=1,LN(W74),LN(1-W74))</f>
        <v/>
      </c>
      <c r="Y74" s="8">
        <f>IF(C74=1,$AE$32,$AE$33)</f>
        <v/>
      </c>
      <c r="Z74" s="9">
        <f>Y74*X74</f>
        <v/>
      </c>
      <c r="AA74" s="10">
        <f>IF(W74&gt;$AE$34,1,0)</f>
        <v/>
      </c>
      <c r="AB74">
        <f>IF(AA74=C74,1,0)</f>
        <v/>
      </c>
    </row>
    <row r="75">
      <c r="A75">
        <f>'1 datos preparados'!A68</f>
        <v/>
      </c>
      <c r="B75" s="5">
        <f>'1 datos preparados'!U68</f>
        <v/>
      </c>
      <c r="C75">
        <f>'1 datos preparados'!B68</f>
        <v/>
      </c>
      <c r="D75" s="7">
        <f>'1 datos preparados'!C68</f>
        <v/>
      </c>
      <c r="E75" s="7">
        <f>'1 datos preparados'!D68</f>
        <v/>
      </c>
      <c r="F75" s="7">
        <f>'1 datos preparados'!E68</f>
        <v/>
      </c>
      <c r="G75" s="7">
        <f>'1 datos preparados'!F68</f>
        <v/>
      </c>
      <c r="H75" s="7">
        <f>'1 datos preparados'!G68</f>
        <v/>
      </c>
      <c r="I75" s="7">
        <f>'1 datos preparados'!H68</f>
        <v/>
      </c>
      <c r="J75" s="7">
        <f>'1 datos preparados'!I68</f>
        <v/>
      </c>
      <c r="K75" s="7">
        <f>'1 datos preparados'!J68</f>
        <v/>
      </c>
      <c r="L75" s="7">
        <f>'1 datos preparados'!K68</f>
        <v/>
      </c>
      <c r="M75" s="7">
        <f>'1 datos preparados'!L68</f>
        <v/>
      </c>
      <c r="N75" s="7">
        <f>'1 datos preparados'!M68</f>
        <v/>
      </c>
      <c r="O75" s="7">
        <f>'1 datos preparados'!N68</f>
        <v/>
      </c>
      <c r="P75" s="7">
        <f>'1 datos preparados'!O68</f>
        <v/>
      </c>
      <c r="Q75" s="7">
        <f>'1 datos preparados'!P68</f>
        <v/>
      </c>
      <c r="R75" s="7">
        <f>'1 datos preparados'!Q68</f>
        <v/>
      </c>
      <c r="S75" s="7">
        <f>'1 datos preparados'!R68</f>
        <v/>
      </c>
      <c r="T75" s="7">
        <f>'1 datos preparados'!S68</f>
        <v/>
      </c>
      <c r="U75" s="7">
        <f>'1 datos preparados'!T68</f>
        <v/>
      </c>
      <c r="V75" s="8">
        <f>$AE$12+D75*$AE$13+E75*$AE$14+F75*$AE$15+G75*$AE$16+H75*$AE$17+I75*$AE$18+J75*$AE$19+K75*$AE$20+L75*$AE$21+M75*$AE$22+N75*$AE$23+O75*$AE$24+P75*$AE$25+Q75*$AE$26+R75*$AE$27+S75*$AE$28+T75*$AE$29+U75*$AE$30</f>
        <v/>
      </c>
      <c r="W75" s="8">
        <f>1/(1+EXP(-V75))</f>
        <v/>
      </c>
      <c r="X75" s="9">
        <f>-IF(C75=1,LN(W75),LN(1-W75))</f>
        <v/>
      </c>
      <c r="Y75" s="8">
        <f>IF(C75=1,$AE$32,$AE$33)</f>
        <v/>
      </c>
      <c r="Z75" s="9">
        <f>Y75*X75</f>
        <v/>
      </c>
      <c r="AA75" s="10">
        <f>IF(W75&gt;$AE$34,1,0)</f>
        <v/>
      </c>
      <c r="AB75">
        <f>IF(AA75=C75,1,0)</f>
        <v/>
      </c>
    </row>
    <row r="76">
      <c r="A76">
        <f>'1 datos preparados'!A69</f>
        <v/>
      </c>
      <c r="B76" s="5">
        <f>'1 datos preparados'!U69</f>
        <v/>
      </c>
      <c r="C76">
        <f>'1 datos preparados'!B69</f>
        <v/>
      </c>
      <c r="D76" s="7">
        <f>'1 datos preparados'!C69</f>
        <v/>
      </c>
      <c r="E76" s="7">
        <f>'1 datos preparados'!D69</f>
        <v/>
      </c>
      <c r="F76" s="7">
        <f>'1 datos preparados'!E69</f>
        <v/>
      </c>
      <c r="G76" s="7">
        <f>'1 datos preparados'!F69</f>
        <v/>
      </c>
      <c r="H76" s="7">
        <f>'1 datos preparados'!G69</f>
        <v/>
      </c>
      <c r="I76" s="7">
        <f>'1 datos preparados'!H69</f>
        <v/>
      </c>
      <c r="J76" s="7">
        <f>'1 datos preparados'!I69</f>
        <v/>
      </c>
      <c r="K76" s="7">
        <f>'1 datos preparados'!J69</f>
        <v/>
      </c>
      <c r="L76" s="7">
        <f>'1 datos preparados'!K69</f>
        <v/>
      </c>
      <c r="M76" s="7">
        <f>'1 datos preparados'!L69</f>
        <v/>
      </c>
      <c r="N76" s="7">
        <f>'1 datos preparados'!M69</f>
        <v/>
      </c>
      <c r="O76" s="7">
        <f>'1 datos preparados'!N69</f>
        <v/>
      </c>
      <c r="P76" s="7">
        <f>'1 datos preparados'!O69</f>
        <v/>
      </c>
      <c r="Q76" s="7">
        <f>'1 datos preparados'!P69</f>
        <v/>
      </c>
      <c r="R76" s="7">
        <f>'1 datos preparados'!Q69</f>
        <v/>
      </c>
      <c r="S76" s="7">
        <f>'1 datos preparados'!R69</f>
        <v/>
      </c>
      <c r="T76" s="7">
        <f>'1 datos preparados'!S69</f>
        <v/>
      </c>
      <c r="U76" s="7">
        <f>'1 datos preparados'!T69</f>
        <v/>
      </c>
      <c r="V76" s="8">
        <f>$AE$12+D76*$AE$13+E76*$AE$14+F76*$AE$15+G76*$AE$16+H76*$AE$17+I76*$AE$18+J76*$AE$19+K76*$AE$20+L76*$AE$21+M76*$AE$22+N76*$AE$23+O76*$AE$24+P76*$AE$25+Q76*$AE$26+R76*$AE$27+S76*$AE$28+T76*$AE$29+U76*$AE$30</f>
        <v/>
      </c>
      <c r="W76" s="8">
        <f>1/(1+EXP(-V76))</f>
        <v/>
      </c>
      <c r="X76" s="9">
        <f>-IF(C76=1,LN(W76),LN(1-W76))</f>
        <v/>
      </c>
      <c r="Y76" s="8">
        <f>IF(C76=1,$AE$32,$AE$33)</f>
        <v/>
      </c>
      <c r="Z76" s="9">
        <f>Y76*X76</f>
        <v/>
      </c>
      <c r="AA76" s="10">
        <f>IF(W76&gt;$AE$34,1,0)</f>
        <v/>
      </c>
      <c r="AB76">
        <f>IF(AA76=C76,1,0)</f>
        <v/>
      </c>
    </row>
    <row r="77">
      <c r="A77">
        <f>'1 datos preparados'!A70</f>
        <v/>
      </c>
      <c r="B77" s="5">
        <f>'1 datos preparados'!U70</f>
        <v/>
      </c>
      <c r="C77">
        <f>'1 datos preparados'!B70</f>
        <v/>
      </c>
      <c r="D77" s="7">
        <f>'1 datos preparados'!C70</f>
        <v/>
      </c>
      <c r="E77" s="7">
        <f>'1 datos preparados'!D70</f>
        <v/>
      </c>
      <c r="F77" s="7">
        <f>'1 datos preparados'!E70</f>
        <v/>
      </c>
      <c r="G77" s="7">
        <f>'1 datos preparados'!F70</f>
        <v/>
      </c>
      <c r="H77" s="7">
        <f>'1 datos preparados'!G70</f>
        <v/>
      </c>
      <c r="I77" s="7">
        <f>'1 datos preparados'!H70</f>
        <v/>
      </c>
      <c r="J77" s="7">
        <f>'1 datos preparados'!I70</f>
        <v/>
      </c>
      <c r="K77" s="7">
        <f>'1 datos preparados'!J70</f>
        <v/>
      </c>
      <c r="L77" s="7">
        <f>'1 datos preparados'!K70</f>
        <v/>
      </c>
      <c r="M77" s="7">
        <f>'1 datos preparados'!L70</f>
        <v/>
      </c>
      <c r="N77" s="7">
        <f>'1 datos preparados'!M70</f>
        <v/>
      </c>
      <c r="O77" s="7">
        <f>'1 datos preparados'!N70</f>
        <v/>
      </c>
      <c r="P77" s="7">
        <f>'1 datos preparados'!O70</f>
        <v/>
      </c>
      <c r="Q77" s="7">
        <f>'1 datos preparados'!P70</f>
        <v/>
      </c>
      <c r="R77" s="7">
        <f>'1 datos preparados'!Q70</f>
        <v/>
      </c>
      <c r="S77" s="7">
        <f>'1 datos preparados'!R70</f>
        <v/>
      </c>
      <c r="T77" s="7">
        <f>'1 datos preparados'!S70</f>
        <v/>
      </c>
      <c r="U77" s="7">
        <f>'1 datos preparados'!T70</f>
        <v/>
      </c>
      <c r="V77" s="8">
        <f>$AE$12+D77*$AE$13+E77*$AE$14+F77*$AE$15+G77*$AE$16+H77*$AE$17+I77*$AE$18+J77*$AE$19+K77*$AE$20+L77*$AE$21+M77*$AE$22+N77*$AE$23+O77*$AE$24+P77*$AE$25+Q77*$AE$26+R77*$AE$27+S77*$AE$28+T77*$AE$29+U77*$AE$30</f>
        <v/>
      </c>
      <c r="W77" s="8">
        <f>1/(1+EXP(-V77))</f>
        <v/>
      </c>
      <c r="X77" s="9">
        <f>-IF(C77=1,LN(W77),LN(1-W77))</f>
        <v/>
      </c>
      <c r="Y77" s="8">
        <f>IF(C77=1,$AE$32,$AE$33)</f>
        <v/>
      </c>
      <c r="Z77" s="9">
        <f>Y77*X77</f>
        <v/>
      </c>
      <c r="AA77" s="10">
        <f>IF(W77&gt;$AE$34,1,0)</f>
        <v/>
      </c>
      <c r="AB77">
        <f>IF(AA77=C77,1,0)</f>
        <v/>
      </c>
    </row>
    <row r="78">
      <c r="A78">
        <f>'1 datos preparados'!A71</f>
        <v/>
      </c>
      <c r="B78" s="5">
        <f>'1 datos preparados'!U71</f>
        <v/>
      </c>
      <c r="C78">
        <f>'1 datos preparados'!B71</f>
        <v/>
      </c>
      <c r="D78" s="7">
        <f>'1 datos preparados'!C71</f>
        <v/>
      </c>
      <c r="E78" s="7">
        <f>'1 datos preparados'!D71</f>
        <v/>
      </c>
      <c r="F78" s="7">
        <f>'1 datos preparados'!E71</f>
        <v/>
      </c>
      <c r="G78" s="7">
        <f>'1 datos preparados'!F71</f>
        <v/>
      </c>
      <c r="H78" s="7">
        <f>'1 datos preparados'!G71</f>
        <v/>
      </c>
      <c r="I78" s="7">
        <f>'1 datos preparados'!H71</f>
        <v/>
      </c>
      <c r="J78" s="7">
        <f>'1 datos preparados'!I71</f>
        <v/>
      </c>
      <c r="K78" s="7">
        <f>'1 datos preparados'!J71</f>
        <v/>
      </c>
      <c r="L78" s="7">
        <f>'1 datos preparados'!K71</f>
        <v/>
      </c>
      <c r="M78" s="7">
        <f>'1 datos preparados'!L71</f>
        <v/>
      </c>
      <c r="N78" s="7">
        <f>'1 datos preparados'!M71</f>
        <v/>
      </c>
      <c r="O78" s="7">
        <f>'1 datos preparados'!N71</f>
        <v/>
      </c>
      <c r="P78" s="7">
        <f>'1 datos preparados'!O71</f>
        <v/>
      </c>
      <c r="Q78" s="7">
        <f>'1 datos preparados'!P71</f>
        <v/>
      </c>
      <c r="R78" s="7">
        <f>'1 datos preparados'!Q71</f>
        <v/>
      </c>
      <c r="S78" s="7">
        <f>'1 datos preparados'!R71</f>
        <v/>
      </c>
      <c r="T78" s="7">
        <f>'1 datos preparados'!S71</f>
        <v/>
      </c>
      <c r="U78" s="7">
        <f>'1 datos preparados'!T71</f>
        <v/>
      </c>
      <c r="V78" s="8">
        <f>$AE$12+D78*$AE$13+E78*$AE$14+F78*$AE$15+G78*$AE$16+H78*$AE$17+I78*$AE$18+J78*$AE$19+K78*$AE$20+L78*$AE$21+M78*$AE$22+N78*$AE$23+O78*$AE$24+P78*$AE$25+Q78*$AE$26+R78*$AE$27+S78*$AE$28+T78*$AE$29+U78*$AE$30</f>
        <v/>
      </c>
      <c r="W78" s="8">
        <f>1/(1+EXP(-V78))</f>
        <v/>
      </c>
      <c r="X78" s="9">
        <f>-IF(C78=1,LN(W78),LN(1-W78))</f>
        <v/>
      </c>
      <c r="Y78" s="8">
        <f>IF(C78=1,$AE$32,$AE$33)</f>
        <v/>
      </c>
      <c r="Z78" s="9">
        <f>Y78*X78</f>
        <v/>
      </c>
      <c r="AA78" s="10">
        <f>IF(W78&gt;$AE$34,1,0)</f>
        <v/>
      </c>
      <c r="AB78">
        <f>IF(AA78=C78,1,0)</f>
        <v/>
      </c>
    </row>
    <row r="79">
      <c r="A79">
        <f>'1 datos preparados'!A72</f>
        <v/>
      </c>
      <c r="B79" s="5">
        <f>'1 datos preparados'!U72</f>
        <v/>
      </c>
      <c r="C79">
        <f>'1 datos preparados'!B72</f>
        <v/>
      </c>
      <c r="D79" s="7">
        <f>'1 datos preparados'!C72</f>
        <v/>
      </c>
      <c r="E79" s="7">
        <f>'1 datos preparados'!D72</f>
        <v/>
      </c>
      <c r="F79" s="7">
        <f>'1 datos preparados'!E72</f>
        <v/>
      </c>
      <c r="G79" s="7">
        <f>'1 datos preparados'!F72</f>
        <v/>
      </c>
      <c r="H79" s="7">
        <f>'1 datos preparados'!G72</f>
        <v/>
      </c>
      <c r="I79" s="7">
        <f>'1 datos preparados'!H72</f>
        <v/>
      </c>
      <c r="J79" s="7">
        <f>'1 datos preparados'!I72</f>
        <v/>
      </c>
      <c r="K79" s="7">
        <f>'1 datos preparados'!J72</f>
        <v/>
      </c>
      <c r="L79" s="7">
        <f>'1 datos preparados'!K72</f>
        <v/>
      </c>
      <c r="M79" s="7">
        <f>'1 datos preparados'!L72</f>
        <v/>
      </c>
      <c r="N79" s="7">
        <f>'1 datos preparados'!M72</f>
        <v/>
      </c>
      <c r="O79" s="7">
        <f>'1 datos preparados'!N72</f>
        <v/>
      </c>
      <c r="P79" s="7">
        <f>'1 datos preparados'!O72</f>
        <v/>
      </c>
      <c r="Q79" s="7">
        <f>'1 datos preparados'!P72</f>
        <v/>
      </c>
      <c r="R79" s="7">
        <f>'1 datos preparados'!Q72</f>
        <v/>
      </c>
      <c r="S79" s="7">
        <f>'1 datos preparados'!R72</f>
        <v/>
      </c>
      <c r="T79" s="7">
        <f>'1 datos preparados'!S72</f>
        <v/>
      </c>
      <c r="U79" s="7">
        <f>'1 datos preparados'!T72</f>
        <v/>
      </c>
      <c r="V79" s="8">
        <f>$AE$12+D79*$AE$13+E79*$AE$14+F79*$AE$15+G79*$AE$16+H79*$AE$17+I79*$AE$18+J79*$AE$19+K79*$AE$20+L79*$AE$21+M79*$AE$22+N79*$AE$23+O79*$AE$24+P79*$AE$25+Q79*$AE$26+R79*$AE$27+S79*$AE$28+T79*$AE$29+U79*$AE$30</f>
        <v/>
      </c>
      <c r="W79" s="8">
        <f>1/(1+EXP(-V79))</f>
        <v/>
      </c>
      <c r="X79" s="9">
        <f>-IF(C79=1,LN(W79),LN(1-W79))</f>
        <v/>
      </c>
      <c r="Y79" s="8">
        <f>IF(C79=1,$AE$32,$AE$33)</f>
        <v/>
      </c>
      <c r="Z79" s="9">
        <f>Y79*X79</f>
        <v/>
      </c>
      <c r="AA79" s="10">
        <f>IF(W79&gt;$AE$34,1,0)</f>
        <v/>
      </c>
      <c r="AB79">
        <f>IF(AA79=C79,1,0)</f>
        <v/>
      </c>
    </row>
    <row r="80">
      <c r="A80">
        <f>'1 datos preparados'!A73</f>
        <v/>
      </c>
      <c r="B80" s="5">
        <f>'1 datos preparados'!U73</f>
        <v/>
      </c>
      <c r="C80">
        <f>'1 datos preparados'!B73</f>
        <v/>
      </c>
      <c r="D80" s="7">
        <f>'1 datos preparados'!C73</f>
        <v/>
      </c>
      <c r="E80" s="7">
        <f>'1 datos preparados'!D73</f>
        <v/>
      </c>
      <c r="F80" s="7">
        <f>'1 datos preparados'!E73</f>
        <v/>
      </c>
      <c r="G80" s="7">
        <f>'1 datos preparados'!F73</f>
        <v/>
      </c>
      <c r="H80" s="7">
        <f>'1 datos preparados'!G73</f>
        <v/>
      </c>
      <c r="I80" s="7">
        <f>'1 datos preparados'!H73</f>
        <v/>
      </c>
      <c r="J80" s="7">
        <f>'1 datos preparados'!I73</f>
        <v/>
      </c>
      <c r="K80" s="7">
        <f>'1 datos preparados'!J73</f>
        <v/>
      </c>
      <c r="L80" s="7">
        <f>'1 datos preparados'!K73</f>
        <v/>
      </c>
      <c r="M80" s="7">
        <f>'1 datos preparados'!L73</f>
        <v/>
      </c>
      <c r="N80" s="7">
        <f>'1 datos preparados'!M73</f>
        <v/>
      </c>
      <c r="O80" s="7">
        <f>'1 datos preparados'!N73</f>
        <v/>
      </c>
      <c r="P80" s="7">
        <f>'1 datos preparados'!O73</f>
        <v/>
      </c>
      <c r="Q80" s="7">
        <f>'1 datos preparados'!P73</f>
        <v/>
      </c>
      <c r="R80" s="7">
        <f>'1 datos preparados'!Q73</f>
        <v/>
      </c>
      <c r="S80" s="7">
        <f>'1 datos preparados'!R73</f>
        <v/>
      </c>
      <c r="T80" s="7">
        <f>'1 datos preparados'!S73</f>
        <v/>
      </c>
      <c r="U80" s="7">
        <f>'1 datos preparados'!T73</f>
        <v/>
      </c>
      <c r="V80" s="8">
        <f>$AE$12+D80*$AE$13+E80*$AE$14+F80*$AE$15+G80*$AE$16+H80*$AE$17+I80*$AE$18+J80*$AE$19+K80*$AE$20+L80*$AE$21+M80*$AE$22+N80*$AE$23+O80*$AE$24+P80*$AE$25+Q80*$AE$26+R80*$AE$27+S80*$AE$28+T80*$AE$29+U80*$AE$30</f>
        <v/>
      </c>
      <c r="W80" s="8">
        <f>1/(1+EXP(-V80))</f>
        <v/>
      </c>
      <c r="X80" s="9">
        <f>-IF(C80=1,LN(W80),LN(1-W80))</f>
        <v/>
      </c>
      <c r="Y80" s="8">
        <f>IF(C80=1,$AE$32,$AE$33)</f>
        <v/>
      </c>
      <c r="Z80" s="9">
        <f>Y80*X80</f>
        <v/>
      </c>
      <c r="AA80" s="10">
        <f>IF(W80&gt;$AE$34,1,0)</f>
        <v/>
      </c>
      <c r="AB80">
        <f>IF(AA80=C80,1,0)</f>
        <v/>
      </c>
    </row>
    <row r="81">
      <c r="A81">
        <f>'1 datos preparados'!A74</f>
        <v/>
      </c>
      <c r="B81" s="5">
        <f>'1 datos preparados'!U74</f>
        <v/>
      </c>
      <c r="C81">
        <f>'1 datos preparados'!B74</f>
        <v/>
      </c>
      <c r="D81" s="7">
        <f>'1 datos preparados'!C74</f>
        <v/>
      </c>
      <c r="E81" s="7">
        <f>'1 datos preparados'!D74</f>
        <v/>
      </c>
      <c r="F81" s="7">
        <f>'1 datos preparados'!E74</f>
        <v/>
      </c>
      <c r="G81" s="7">
        <f>'1 datos preparados'!F74</f>
        <v/>
      </c>
      <c r="H81" s="7">
        <f>'1 datos preparados'!G74</f>
        <v/>
      </c>
      <c r="I81" s="7">
        <f>'1 datos preparados'!H74</f>
        <v/>
      </c>
      <c r="J81" s="7">
        <f>'1 datos preparados'!I74</f>
        <v/>
      </c>
      <c r="K81" s="7">
        <f>'1 datos preparados'!J74</f>
        <v/>
      </c>
      <c r="L81" s="7">
        <f>'1 datos preparados'!K74</f>
        <v/>
      </c>
      <c r="M81" s="7">
        <f>'1 datos preparados'!L74</f>
        <v/>
      </c>
      <c r="N81" s="7">
        <f>'1 datos preparados'!M74</f>
        <v/>
      </c>
      <c r="O81" s="7">
        <f>'1 datos preparados'!N74</f>
        <v/>
      </c>
      <c r="P81" s="7">
        <f>'1 datos preparados'!O74</f>
        <v/>
      </c>
      <c r="Q81" s="7">
        <f>'1 datos preparados'!P74</f>
        <v/>
      </c>
      <c r="R81" s="7">
        <f>'1 datos preparados'!Q74</f>
        <v/>
      </c>
      <c r="S81" s="7">
        <f>'1 datos preparados'!R74</f>
        <v/>
      </c>
      <c r="T81" s="7">
        <f>'1 datos preparados'!S74</f>
        <v/>
      </c>
      <c r="U81" s="7">
        <f>'1 datos preparados'!T74</f>
        <v/>
      </c>
      <c r="V81" s="8">
        <f>$AE$12+D81*$AE$13+E81*$AE$14+F81*$AE$15+G81*$AE$16+H81*$AE$17+I81*$AE$18+J81*$AE$19+K81*$AE$20+L81*$AE$21+M81*$AE$22+N81*$AE$23+O81*$AE$24+P81*$AE$25+Q81*$AE$26+R81*$AE$27+S81*$AE$28+T81*$AE$29+U81*$AE$30</f>
        <v/>
      </c>
      <c r="W81" s="8">
        <f>1/(1+EXP(-V81))</f>
        <v/>
      </c>
      <c r="X81" s="9">
        <f>-IF(C81=1,LN(W81),LN(1-W81))</f>
        <v/>
      </c>
      <c r="Y81" s="8">
        <f>IF(C81=1,$AE$32,$AE$33)</f>
        <v/>
      </c>
      <c r="Z81" s="9">
        <f>Y81*X81</f>
        <v/>
      </c>
      <c r="AA81" s="10">
        <f>IF(W81&gt;$AE$34,1,0)</f>
        <v/>
      </c>
      <c r="AB81">
        <f>IF(AA81=C81,1,0)</f>
        <v/>
      </c>
    </row>
    <row r="82">
      <c r="A82">
        <f>'1 datos preparados'!A75</f>
        <v/>
      </c>
      <c r="B82" s="5">
        <f>'1 datos preparados'!U75</f>
        <v/>
      </c>
      <c r="C82">
        <f>'1 datos preparados'!B75</f>
        <v/>
      </c>
      <c r="D82" s="7">
        <f>'1 datos preparados'!C75</f>
        <v/>
      </c>
      <c r="E82" s="7">
        <f>'1 datos preparados'!D75</f>
        <v/>
      </c>
      <c r="F82" s="7">
        <f>'1 datos preparados'!E75</f>
        <v/>
      </c>
      <c r="G82" s="7">
        <f>'1 datos preparados'!F75</f>
        <v/>
      </c>
      <c r="H82" s="7">
        <f>'1 datos preparados'!G75</f>
        <v/>
      </c>
      <c r="I82" s="7">
        <f>'1 datos preparados'!H75</f>
        <v/>
      </c>
      <c r="J82" s="7">
        <f>'1 datos preparados'!I75</f>
        <v/>
      </c>
      <c r="K82" s="7">
        <f>'1 datos preparados'!J75</f>
        <v/>
      </c>
      <c r="L82" s="7">
        <f>'1 datos preparados'!K75</f>
        <v/>
      </c>
      <c r="M82" s="7">
        <f>'1 datos preparados'!L75</f>
        <v/>
      </c>
      <c r="N82" s="7">
        <f>'1 datos preparados'!M75</f>
        <v/>
      </c>
      <c r="O82" s="7">
        <f>'1 datos preparados'!N75</f>
        <v/>
      </c>
      <c r="P82" s="7">
        <f>'1 datos preparados'!O75</f>
        <v/>
      </c>
      <c r="Q82" s="7">
        <f>'1 datos preparados'!P75</f>
        <v/>
      </c>
      <c r="R82" s="7">
        <f>'1 datos preparados'!Q75</f>
        <v/>
      </c>
      <c r="S82" s="7">
        <f>'1 datos preparados'!R75</f>
        <v/>
      </c>
      <c r="T82" s="7">
        <f>'1 datos preparados'!S75</f>
        <v/>
      </c>
      <c r="U82" s="7">
        <f>'1 datos preparados'!T75</f>
        <v/>
      </c>
      <c r="V82" s="8">
        <f>$AE$12+D82*$AE$13+E82*$AE$14+F82*$AE$15+G82*$AE$16+H82*$AE$17+I82*$AE$18+J82*$AE$19+K82*$AE$20+L82*$AE$21+M82*$AE$22+N82*$AE$23+O82*$AE$24+P82*$AE$25+Q82*$AE$26+R82*$AE$27+S82*$AE$28+T82*$AE$29+U82*$AE$30</f>
        <v/>
      </c>
      <c r="W82" s="8">
        <f>1/(1+EXP(-V82))</f>
        <v/>
      </c>
      <c r="X82" s="9">
        <f>-IF(C82=1,LN(W82),LN(1-W82))</f>
        <v/>
      </c>
      <c r="Y82" s="8">
        <f>IF(C82=1,$AE$32,$AE$33)</f>
        <v/>
      </c>
      <c r="Z82" s="9">
        <f>Y82*X82</f>
        <v/>
      </c>
      <c r="AA82" s="10">
        <f>IF(W82&gt;$AE$34,1,0)</f>
        <v/>
      </c>
      <c r="AB82">
        <f>IF(AA82=C82,1,0)</f>
        <v/>
      </c>
    </row>
    <row r="83">
      <c r="A83">
        <f>'1 datos preparados'!A76</f>
        <v/>
      </c>
      <c r="B83" s="5">
        <f>'1 datos preparados'!U76</f>
        <v/>
      </c>
      <c r="C83">
        <f>'1 datos preparados'!B76</f>
        <v/>
      </c>
      <c r="D83" s="7">
        <f>'1 datos preparados'!C76</f>
        <v/>
      </c>
      <c r="E83" s="7">
        <f>'1 datos preparados'!D76</f>
        <v/>
      </c>
      <c r="F83" s="7">
        <f>'1 datos preparados'!E76</f>
        <v/>
      </c>
      <c r="G83" s="7">
        <f>'1 datos preparados'!F76</f>
        <v/>
      </c>
      <c r="H83" s="7">
        <f>'1 datos preparados'!G76</f>
        <v/>
      </c>
      <c r="I83" s="7">
        <f>'1 datos preparados'!H76</f>
        <v/>
      </c>
      <c r="J83" s="7">
        <f>'1 datos preparados'!I76</f>
        <v/>
      </c>
      <c r="K83" s="7">
        <f>'1 datos preparados'!J76</f>
        <v/>
      </c>
      <c r="L83" s="7">
        <f>'1 datos preparados'!K76</f>
        <v/>
      </c>
      <c r="M83" s="7">
        <f>'1 datos preparados'!L76</f>
        <v/>
      </c>
      <c r="N83" s="7">
        <f>'1 datos preparados'!M76</f>
        <v/>
      </c>
      <c r="O83" s="7">
        <f>'1 datos preparados'!N76</f>
        <v/>
      </c>
      <c r="P83" s="7">
        <f>'1 datos preparados'!O76</f>
        <v/>
      </c>
      <c r="Q83" s="7">
        <f>'1 datos preparados'!P76</f>
        <v/>
      </c>
      <c r="R83" s="7">
        <f>'1 datos preparados'!Q76</f>
        <v/>
      </c>
      <c r="S83" s="7">
        <f>'1 datos preparados'!R76</f>
        <v/>
      </c>
      <c r="T83" s="7">
        <f>'1 datos preparados'!S76</f>
        <v/>
      </c>
      <c r="U83" s="7">
        <f>'1 datos preparados'!T76</f>
        <v/>
      </c>
      <c r="V83" s="8">
        <f>$AE$12+D83*$AE$13+E83*$AE$14+F83*$AE$15+G83*$AE$16+H83*$AE$17+I83*$AE$18+J83*$AE$19+K83*$AE$20+L83*$AE$21+M83*$AE$22+N83*$AE$23+O83*$AE$24+P83*$AE$25+Q83*$AE$26+R83*$AE$27+S83*$AE$28+T83*$AE$29+U83*$AE$30</f>
        <v/>
      </c>
      <c r="W83" s="8">
        <f>1/(1+EXP(-V83))</f>
        <v/>
      </c>
      <c r="X83" s="9">
        <f>-IF(C83=1,LN(W83),LN(1-W83))</f>
        <v/>
      </c>
      <c r="Y83" s="8">
        <f>IF(C83=1,$AE$32,$AE$33)</f>
        <v/>
      </c>
      <c r="Z83" s="9">
        <f>Y83*X83</f>
        <v/>
      </c>
      <c r="AA83" s="10">
        <f>IF(W83&gt;$AE$34,1,0)</f>
        <v/>
      </c>
      <c r="AB83">
        <f>IF(AA83=C83,1,0)</f>
        <v/>
      </c>
    </row>
    <row r="84">
      <c r="A84">
        <f>'1 datos preparados'!A77</f>
        <v/>
      </c>
      <c r="B84" s="5">
        <f>'1 datos preparados'!U77</f>
        <v/>
      </c>
      <c r="C84">
        <f>'1 datos preparados'!B77</f>
        <v/>
      </c>
      <c r="D84" s="7">
        <f>'1 datos preparados'!C77</f>
        <v/>
      </c>
      <c r="E84" s="7">
        <f>'1 datos preparados'!D77</f>
        <v/>
      </c>
      <c r="F84" s="7">
        <f>'1 datos preparados'!E77</f>
        <v/>
      </c>
      <c r="G84" s="7">
        <f>'1 datos preparados'!F77</f>
        <v/>
      </c>
      <c r="H84" s="7">
        <f>'1 datos preparados'!G77</f>
        <v/>
      </c>
      <c r="I84" s="7">
        <f>'1 datos preparados'!H77</f>
        <v/>
      </c>
      <c r="J84" s="7">
        <f>'1 datos preparados'!I77</f>
        <v/>
      </c>
      <c r="K84" s="7">
        <f>'1 datos preparados'!J77</f>
        <v/>
      </c>
      <c r="L84" s="7">
        <f>'1 datos preparados'!K77</f>
        <v/>
      </c>
      <c r="M84" s="7">
        <f>'1 datos preparados'!L77</f>
        <v/>
      </c>
      <c r="N84" s="7">
        <f>'1 datos preparados'!M77</f>
        <v/>
      </c>
      <c r="O84" s="7">
        <f>'1 datos preparados'!N77</f>
        <v/>
      </c>
      <c r="P84" s="7">
        <f>'1 datos preparados'!O77</f>
        <v/>
      </c>
      <c r="Q84" s="7">
        <f>'1 datos preparados'!P77</f>
        <v/>
      </c>
      <c r="R84" s="7">
        <f>'1 datos preparados'!Q77</f>
        <v/>
      </c>
      <c r="S84" s="7">
        <f>'1 datos preparados'!R77</f>
        <v/>
      </c>
      <c r="T84" s="7">
        <f>'1 datos preparados'!S77</f>
        <v/>
      </c>
      <c r="U84" s="7">
        <f>'1 datos preparados'!T77</f>
        <v/>
      </c>
      <c r="V84" s="8">
        <f>$AE$12+D84*$AE$13+E84*$AE$14+F84*$AE$15+G84*$AE$16+H84*$AE$17+I84*$AE$18+J84*$AE$19+K84*$AE$20+L84*$AE$21+M84*$AE$22+N84*$AE$23+O84*$AE$24+P84*$AE$25+Q84*$AE$26+R84*$AE$27+S84*$AE$28+T84*$AE$29+U84*$AE$30</f>
        <v/>
      </c>
      <c r="W84" s="8">
        <f>1/(1+EXP(-V84))</f>
        <v/>
      </c>
      <c r="X84" s="9">
        <f>-IF(C84=1,LN(W84),LN(1-W84))</f>
        <v/>
      </c>
      <c r="Y84" s="8">
        <f>IF(C84=1,$AE$32,$AE$33)</f>
        <v/>
      </c>
      <c r="Z84" s="9">
        <f>Y84*X84</f>
        <v/>
      </c>
      <c r="AA84" s="10">
        <f>IF(W84&gt;$AE$34,1,0)</f>
        <v/>
      </c>
      <c r="AB84">
        <f>IF(AA84=C84,1,0)</f>
        <v/>
      </c>
    </row>
    <row r="85">
      <c r="A85">
        <f>'1 datos preparados'!A78</f>
        <v/>
      </c>
      <c r="B85" s="5">
        <f>'1 datos preparados'!U78</f>
        <v/>
      </c>
      <c r="C85">
        <f>'1 datos preparados'!B78</f>
        <v/>
      </c>
      <c r="D85" s="7">
        <f>'1 datos preparados'!C78</f>
        <v/>
      </c>
      <c r="E85" s="7">
        <f>'1 datos preparados'!D78</f>
        <v/>
      </c>
      <c r="F85" s="7">
        <f>'1 datos preparados'!E78</f>
        <v/>
      </c>
      <c r="G85" s="7">
        <f>'1 datos preparados'!F78</f>
        <v/>
      </c>
      <c r="H85" s="7">
        <f>'1 datos preparados'!G78</f>
        <v/>
      </c>
      <c r="I85" s="7">
        <f>'1 datos preparados'!H78</f>
        <v/>
      </c>
      <c r="J85" s="7">
        <f>'1 datos preparados'!I78</f>
        <v/>
      </c>
      <c r="K85" s="7">
        <f>'1 datos preparados'!J78</f>
        <v/>
      </c>
      <c r="L85" s="7">
        <f>'1 datos preparados'!K78</f>
        <v/>
      </c>
      <c r="M85" s="7">
        <f>'1 datos preparados'!L78</f>
        <v/>
      </c>
      <c r="N85" s="7">
        <f>'1 datos preparados'!M78</f>
        <v/>
      </c>
      <c r="O85" s="7">
        <f>'1 datos preparados'!N78</f>
        <v/>
      </c>
      <c r="P85" s="7">
        <f>'1 datos preparados'!O78</f>
        <v/>
      </c>
      <c r="Q85" s="7">
        <f>'1 datos preparados'!P78</f>
        <v/>
      </c>
      <c r="R85" s="7">
        <f>'1 datos preparados'!Q78</f>
        <v/>
      </c>
      <c r="S85" s="7">
        <f>'1 datos preparados'!R78</f>
        <v/>
      </c>
      <c r="T85" s="7">
        <f>'1 datos preparados'!S78</f>
        <v/>
      </c>
      <c r="U85" s="7">
        <f>'1 datos preparados'!T78</f>
        <v/>
      </c>
      <c r="V85" s="8">
        <f>$AE$12+D85*$AE$13+E85*$AE$14+F85*$AE$15+G85*$AE$16+H85*$AE$17+I85*$AE$18+J85*$AE$19+K85*$AE$20+L85*$AE$21+M85*$AE$22+N85*$AE$23+O85*$AE$24+P85*$AE$25+Q85*$AE$26+R85*$AE$27+S85*$AE$28+T85*$AE$29+U85*$AE$30</f>
        <v/>
      </c>
      <c r="W85" s="8">
        <f>1/(1+EXP(-V85))</f>
        <v/>
      </c>
      <c r="X85" s="9">
        <f>-IF(C85=1,LN(W85),LN(1-W85))</f>
        <v/>
      </c>
      <c r="Y85" s="8">
        <f>IF(C85=1,$AE$32,$AE$33)</f>
        <v/>
      </c>
      <c r="Z85" s="9">
        <f>Y85*X85</f>
        <v/>
      </c>
      <c r="AA85" s="10">
        <f>IF(W85&gt;$AE$34,1,0)</f>
        <v/>
      </c>
      <c r="AB85">
        <f>IF(AA85=C85,1,0)</f>
        <v/>
      </c>
    </row>
    <row r="86">
      <c r="A86">
        <f>'1 datos preparados'!A79</f>
        <v/>
      </c>
      <c r="B86" s="5">
        <f>'1 datos preparados'!U79</f>
        <v/>
      </c>
      <c r="C86">
        <f>'1 datos preparados'!B79</f>
        <v/>
      </c>
      <c r="D86" s="7">
        <f>'1 datos preparados'!C79</f>
        <v/>
      </c>
      <c r="E86" s="7">
        <f>'1 datos preparados'!D79</f>
        <v/>
      </c>
      <c r="F86" s="7">
        <f>'1 datos preparados'!E79</f>
        <v/>
      </c>
      <c r="G86" s="7">
        <f>'1 datos preparados'!F79</f>
        <v/>
      </c>
      <c r="H86" s="7">
        <f>'1 datos preparados'!G79</f>
        <v/>
      </c>
      <c r="I86" s="7">
        <f>'1 datos preparados'!H79</f>
        <v/>
      </c>
      <c r="J86" s="7">
        <f>'1 datos preparados'!I79</f>
        <v/>
      </c>
      <c r="K86" s="7">
        <f>'1 datos preparados'!J79</f>
        <v/>
      </c>
      <c r="L86" s="7">
        <f>'1 datos preparados'!K79</f>
        <v/>
      </c>
      <c r="M86" s="7">
        <f>'1 datos preparados'!L79</f>
        <v/>
      </c>
      <c r="N86" s="7">
        <f>'1 datos preparados'!M79</f>
        <v/>
      </c>
      <c r="O86" s="7">
        <f>'1 datos preparados'!N79</f>
        <v/>
      </c>
      <c r="P86" s="7">
        <f>'1 datos preparados'!O79</f>
        <v/>
      </c>
      <c r="Q86" s="7">
        <f>'1 datos preparados'!P79</f>
        <v/>
      </c>
      <c r="R86" s="7">
        <f>'1 datos preparados'!Q79</f>
        <v/>
      </c>
      <c r="S86" s="7">
        <f>'1 datos preparados'!R79</f>
        <v/>
      </c>
      <c r="T86" s="7">
        <f>'1 datos preparados'!S79</f>
        <v/>
      </c>
      <c r="U86" s="7">
        <f>'1 datos preparados'!T79</f>
        <v/>
      </c>
      <c r="V86" s="8">
        <f>$AE$12+D86*$AE$13+E86*$AE$14+F86*$AE$15+G86*$AE$16+H86*$AE$17+I86*$AE$18+J86*$AE$19+K86*$AE$20+L86*$AE$21+M86*$AE$22+N86*$AE$23+O86*$AE$24+P86*$AE$25+Q86*$AE$26+R86*$AE$27+S86*$AE$28+T86*$AE$29+U86*$AE$30</f>
        <v/>
      </c>
      <c r="W86" s="8">
        <f>1/(1+EXP(-V86))</f>
        <v/>
      </c>
      <c r="X86" s="9">
        <f>-IF(C86=1,LN(W86),LN(1-W86))</f>
        <v/>
      </c>
      <c r="Y86" s="8">
        <f>IF(C86=1,$AE$32,$AE$33)</f>
        <v/>
      </c>
      <c r="Z86" s="9">
        <f>Y86*X86</f>
        <v/>
      </c>
      <c r="AA86" s="10">
        <f>IF(W86&gt;$AE$34,1,0)</f>
        <v/>
      </c>
      <c r="AB86">
        <f>IF(AA86=C86,1,0)</f>
        <v/>
      </c>
    </row>
    <row r="87">
      <c r="A87">
        <f>'1 datos preparados'!A80</f>
        <v/>
      </c>
      <c r="B87" s="5">
        <f>'1 datos preparados'!U80</f>
        <v/>
      </c>
      <c r="C87">
        <f>'1 datos preparados'!B80</f>
        <v/>
      </c>
      <c r="D87" s="7">
        <f>'1 datos preparados'!C80</f>
        <v/>
      </c>
      <c r="E87" s="7">
        <f>'1 datos preparados'!D80</f>
        <v/>
      </c>
      <c r="F87" s="7">
        <f>'1 datos preparados'!E80</f>
        <v/>
      </c>
      <c r="G87" s="7">
        <f>'1 datos preparados'!F80</f>
        <v/>
      </c>
      <c r="H87" s="7">
        <f>'1 datos preparados'!G80</f>
        <v/>
      </c>
      <c r="I87" s="7">
        <f>'1 datos preparados'!H80</f>
        <v/>
      </c>
      <c r="J87" s="7">
        <f>'1 datos preparados'!I80</f>
        <v/>
      </c>
      <c r="K87" s="7">
        <f>'1 datos preparados'!J80</f>
        <v/>
      </c>
      <c r="L87" s="7">
        <f>'1 datos preparados'!K80</f>
        <v/>
      </c>
      <c r="M87" s="7">
        <f>'1 datos preparados'!L80</f>
        <v/>
      </c>
      <c r="N87" s="7">
        <f>'1 datos preparados'!M80</f>
        <v/>
      </c>
      <c r="O87" s="7">
        <f>'1 datos preparados'!N80</f>
        <v/>
      </c>
      <c r="P87" s="7">
        <f>'1 datos preparados'!O80</f>
        <v/>
      </c>
      <c r="Q87" s="7">
        <f>'1 datos preparados'!P80</f>
        <v/>
      </c>
      <c r="R87" s="7">
        <f>'1 datos preparados'!Q80</f>
        <v/>
      </c>
      <c r="S87" s="7">
        <f>'1 datos preparados'!R80</f>
        <v/>
      </c>
      <c r="T87" s="7">
        <f>'1 datos preparados'!S80</f>
        <v/>
      </c>
      <c r="U87" s="7">
        <f>'1 datos preparados'!T80</f>
        <v/>
      </c>
      <c r="V87" s="8">
        <f>$AE$12+D87*$AE$13+E87*$AE$14+F87*$AE$15+G87*$AE$16+H87*$AE$17+I87*$AE$18+J87*$AE$19+K87*$AE$20+L87*$AE$21+M87*$AE$22+N87*$AE$23+O87*$AE$24+P87*$AE$25+Q87*$AE$26+R87*$AE$27+S87*$AE$28+T87*$AE$29+U87*$AE$30</f>
        <v/>
      </c>
      <c r="W87" s="8">
        <f>1/(1+EXP(-V87))</f>
        <v/>
      </c>
      <c r="X87" s="9">
        <f>-IF(C87=1,LN(W87),LN(1-W87))</f>
        <v/>
      </c>
      <c r="Y87" s="8">
        <f>IF(C87=1,$AE$32,$AE$33)</f>
        <v/>
      </c>
      <c r="Z87" s="9">
        <f>Y87*X87</f>
        <v/>
      </c>
      <c r="AA87" s="10">
        <f>IF(W87&gt;$AE$34,1,0)</f>
        <v/>
      </c>
      <c r="AB87">
        <f>IF(AA87=C87,1,0)</f>
        <v/>
      </c>
    </row>
    <row r="88">
      <c r="A88">
        <f>'1 datos preparados'!A81</f>
        <v/>
      </c>
      <c r="B88" s="5">
        <f>'1 datos preparados'!U81</f>
        <v/>
      </c>
      <c r="C88">
        <f>'1 datos preparados'!B81</f>
        <v/>
      </c>
      <c r="D88" s="7">
        <f>'1 datos preparados'!C81</f>
        <v/>
      </c>
      <c r="E88" s="7">
        <f>'1 datos preparados'!D81</f>
        <v/>
      </c>
      <c r="F88" s="7">
        <f>'1 datos preparados'!E81</f>
        <v/>
      </c>
      <c r="G88" s="7">
        <f>'1 datos preparados'!F81</f>
        <v/>
      </c>
      <c r="H88" s="7">
        <f>'1 datos preparados'!G81</f>
        <v/>
      </c>
      <c r="I88" s="7">
        <f>'1 datos preparados'!H81</f>
        <v/>
      </c>
      <c r="J88" s="7">
        <f>'1 datos preparados'!I81</f>
        <v/>
      </c>
      <c r="K88" s="7">
        <f>'1 datos preparados'!J81</f>
        <v/>
      </c>
      <c r="L88" s="7">
        <f>'1 datos preparados'!K81</f>
        <v/>
      </c>
      <c r="M88" s="7">
        <f>'1 datos preparados'!L81</f>
        <v/>
      </c>
      <c r="N88" s="7">
        <f>'1 datos preparados'!M81</f>
        <v/>
      </c>
      <c r="O88" s="7">
        <f>'1 datos preparados'!N81</f>
        <v/>
      </c>
      <c r="P88" s="7">
        <f>'1 datos preparados'!O81</f>
        <v/>
      </c>
      <c r="Q88" s="7">
        <f>'1 datos preparados'!P81</f>
        <v/>
      </c>
      <c r="R88" s="7">
        <f>'1 datos preparados'!Q81</f>
        <v/>
      </c>
      <c r="S88" s="7">
        <f>'1 datos preparados'!R81</f>
        <v/>
      </c>
      <c r="T88" s="7">
        <f>'1 datos preparados'!S81</f>
        <v/>
      </c>
      <c r="U88" s="7">
        <f>'1 datos preparados'!T81</f>
        <v/>
      </c>
      <c r="V88" s="8">
        <f>$AE$12+D88*$AE$13+E88*$AE$14+F88*$AE$15+G88*$AE$16+H88*$AE$17+I88*$AE$18+J88*$AE$19+K88*$AE$20+L88*$AE$21+M88*$AE$22+N88*$AE$23+O88*$AE$24+P88*$AE$25+Q88*$AE$26+R88*$AE$27+S88*$AE$28+T88*$AE$29+U88*$AE$30</f>
        <v/>
      </c>
      <c r="W88" s="8">
        <f>1/(1+EXP(-V88))</f>
        <v/>
      </c>
      <c r="X88" s="9">
        <f>-IF(C88=1,LN(W88),LN(1-W88))</f>
        <v/>
      </c>
      <c r="Y88" s="8">
        <f>IF(C88=1,$AE$32,$AE$33)</f>
        <v/>
      </c>
      <c r="Z88" s="9">
        <f>Y88*X88</f>
        <v/>
      </c>
      <c r="AA88" s="10">
        <f>IF(W88&gt;$AE$34,1,0)</f>
        <v/>
      </c>
      <c r="AB88">
        <f>IF(AA88=C88,1,0)</f>
        <v/>
      </c>
    </row>
    <row r="89">
      <c r="A89">
        <f>'1 datos preparados'!A82</f>
        <v/>
      </c>
      <c r="B89" s="5">
        <f>'1 datos preparados'!U82</f>
        <v/>
      </c>
      <c r="C89">
        <f>'1 datos preparados'!B82</f>
        <v/>
      </c>
      <c r="D89" s="7">
        <f>'1 datos preparados'!C82</f>
        <v/>
      </c>
      <c r="E89" s="7">
        <f>'1 datos preparados'!D82</f>
        <v/>
      </c>
      <c r="F89" s="7">
        <f>'1 datos preparados'!E82</f>
        <v/>
      </c>
      <c r="G89" s="7">
        <f>'1 datos preparados'!F82</f>
        <v/>
      </c>
      <c r="H89" s="7">
        <f>'1 datos preparados'!G82</f>
        <v/>
      </c>
      <c r="I89" s="7">
        <f>'1 datos preparados'!H82</f>
        <v/>
      </c>
      <c r="J89" s="7">
        <f>'1 datos preparados'!I82</f>
        <v/>
      </c>
      <c r="K89" s="7">
        <f>'1 datos preparados'!J82</f>
        <v/>
      </c>
      <c r="L89" s="7">
        <f>'1 datos preparados'!K82</f>
        <v/>
      </c>
      <c r="M89" s="7">
        <f>'1 datos preparados'!L82</f>
        <v/>
      </c>
      <c r="N89" s="7">
        <f>'1 datos preparados'!M82</f>
        <v/>
      </c>
      <c r="O89" s="7">
        <f>'1 datos preparados'!N82</f>
        <v/>
      </c>
      <c r="P89" s="7">
        <f>'1 datos preparados'!O82</f>
        <v/>
      </c>
      <c r="Q89" s="7">
        <f>'1 datos preparados'!P82</f>
        <v/>
      </c>
      <c r="R89" s="7">
        <f>'1 datos preparados'!Q82</f>
        <v/>
      </c>
      <c r="S89" s="7">
        <f>'1 datos preparados'!R82</f>
        <v/>
      </c>
      <c r="T89" s="7">
        <f>'1 datos preparados'!S82</f>
        <v/>
      </c>
      <c r="U89" s="7">
        <f>'1 datos preparados'!T82</f>
        <v/>
      </c>
      <c r="V89" s="8">
        <f>$AE$12+D89*$AE$13+E89*$AE$14+F89*$AE$15+G89*$AE$16+H89*$AE$17+I89*$AE$18+J89*$AE$19+K89*$AE$20+L89*$AE$21+M89*$AE$22+N89*$AE$23+O89*$AE$24+P89*$AE$25+Q89*$AE$26+R89*$AE$27+S89*$AE$28+T89*$AE$29+U89*$AE$30</f>
        <v/>
      </c>
      <c r="W89" s="8">
        <f>1/(1+EXP(-V89))</f>
        <v/>
      </c>
      <c r="X89" s="9">
        <f>-IF(C89=1,LN(W89),LN(1-W89))</f>
        <v/>
      </c>
      <c r="Y89" s="8">
        <f>IF(C89=1,$AE$32,$AE$33)</f>
        <v/>
      </c>
      <c r="Z89" s="9">
        <f>Y89*X89</f>
        <v/>
      </c>
      <c r="AA89" s="10">
        <f>IF(W89&gt;$AE$34,1,0)</f>
        <v/>
      </c>
      <c r="AB89">
        <f>IF(AA89=C89,1,0)</f>
        <v/>
      </c>
    </row>
    <row r="90">
      <c r="A90">
        <f>'1 datos preparados'!A83</f>
        <v/>
      </c>
      <c r="B90" s="5">
        <f>'1 datos preparados'!U83</f>
        <v/>
      </c>
      <c r="C90">
        <f>'1 datos preparados'!B83</f>
        <v/>
      </c>
      <c r="D90" s="7">
        <f>'1 datos preparados'!C83</f>
        <v/>
      </c>
      <c r="E90" s="7">
        <f>'1 datos preparados'!D83</f>
        <v/>
      </c>
      <c r="F90" s="7">
        <f>'1 datos preparados'!E83</f>
        <v/>
      </c>
      <c r="G90" s="7">
        <f>'1 datos preparados'!F83</f>
        <v/>
      </c>
      <c r="H90" s="7">
        <f>'1 datos preparados'!G83</f>
        <v/>
      </c>
      <c r="I90" s="7">
        <f>'1 datos preparados'!H83</f>
        <v/>
      </c>
      <c r="J90" s="7">
        <f>'1 datos preparados'!I83</f>
        <v/>
      </c>
      <c r="K90" s="7">
        <f>'1 datos preparados'!J83</f>
        <v/>
      </c>
      <c r="L90" s="7">
        <f>'1 datos preparados'!K83</f>
        <v/>
      </c>
      <c r="M90" s="7">
        <f>'1 datos preparados'!L83</f>
        <v/>
      </c>
      <c r="N90" s="7">
        <f>'1 datos preparados'!M83</f>
        <v/>
      </c>
      <c r="O90" s="7">
        <f>'1 datos preparados'!N83</f>
        <v/>
      </c>
      <c r="P90" s="7">
        <f>'1 datos preparados'!O83</f>
        <v/>
      </c>
      <c r="Q90" s="7">
        <f>'1 datos preparados'!P83</f>
        <v/>
      </c>
      <c r="R90" s="7">
        <f>'1 datos preparados'!Q83</f>
        <v/>
      </c>
      <c r="S90" s="7">
        <f>'1 datos preparados'!R83</f>
        <v/>
      </c>
      <c r="T90" s="7">
        <f>'1 datos preparados'!S83</f>
        <v/>
      </c>
      <c r="U90" s="7">
        <f>'1 datos preparados'!T83</f>
        <v/>
      </c>
      <c r="V90" s="8">
        <f>$AE$12+D90*$AE$13+E90*$AE$14+F90*$AE$15+G90*$AE$16+H90*$AE$17+I90*$AE$18+J90*$AE$19+K90*$AE$20+L90*$AE$21+M90*$AE$22+N90*$AE$23+O90*$AE$24+P90*$AE$25+Q90*$AE$26+R90*$AE$27+S90*$AE$28+T90*$AE$29+U90*$AE$30</f>
        <v/>
      </c>
      <c r="W90" s="8">
        <f>1/(1+EXP(-V90))</f>
        <v/>
      </c>
      <c r="X90" s="9">
        <f>-IF(C90=1,LN(W90),LN(1-W90))</f>
        <v/>
      </c>
      <c r="Y90" s="8">
        <f>IF(C90=1,$AE$32,$AE$33)</f>
        <v/>
      </c>
      <c r="Z90" s="9">
        <f>Y90*X90</f>
        <v/>
      </c>
      <c r="AA90" s="10">
        <f>IF(W90&gt;$AE$34,1,0)</f>
        <v/>
      </c>
      <c r="AB90">
        <f>IF(AA90=C90,1,0)</f>
        <v/>
      </c>
    </row>
    <row r="91">
      <c r="A91">
        <f>'1 datos preparados'!A84</f>
        <v/>
      </c>
      <c r="B91" s="5">
        <f>'1 datos preparados'!U84</f>
        <v/>
      </c>
      <c r="C91">
        <f>'1 datos preparados'!B84</f>
        <v/>
      </c>
      <c r="D91" s="7">
        <f>'1 datos preparados'!C84</f>
        <v/>
      </c>
      <c r="E91" s="7">
        <f>'1 datos preparados'!D84</f>
        <v/>
      </c>
      <c r="F91" s="7">
        <f>'1 datos preparados'!E84</f>
        <v/>
      </c>
      <c r="G91" s="7">
        <f>'1 datos preparados'!F84</f>
        <v/>
      </c>
      <c r="H91" s="7">
        <f>'1 datos preparados'!G84</f>
        <v/>
      </c>
      <c r="I91" s="7">
        <f>'1 datos preparados'!H84</f>
        <v/>
      </c>
      <c r="J91" s="7">
        <f>'1 datos preparados'!I84</f>
        <v/>
      </c>
      <c r="K91" s="7">
        <f>'1 datos preparados'!J84</f>
        <v/>
      </c>
      <c r="L91" s="7">
        <f>'1 datos preparados'!K84</f>
        <v/>
      </c>
      <c r="M91" s="7">
        <f>'1 datos preparados'!L84</f>
        <v/>
      </c>
      <c r="N91" s="7">
        <f>'1 datos preparados'!M84</f>
        <v/>
      </c>
      <c r="O91" s="7">
        <f>'1 datos preparados'!N84</f>
        <v/>
      </c>
      <c r="P91" s="7">
        <f>'1 datos preparados'!O84</f>
        <v/>
      </c>
      <c r="Q91" s="7">
        <f>'1 datos preparados'!P84</f>
        <v/>
      </c>
      <c r="R91" s="7">
        <f>'1 datos preparados'!Q84</f>
        <v/>
      </c>
      <c r="S91" s="7">
        <f>'1 datos preparados'!R84</f>
        <v/>
      </c>
      <c r="T91" s="7">
        <f>'1 datos preparados'!S84</f>
        <v/>
      </c>
      <c r="U91" s="7">
        <f>'1 datos preparados'!T84</f>
        <v/>
      </c>
      <c r="V91" s="8">
        <f>$AE$12+D91*$AE$13+E91*$AE$14+F91*$AE$15+G91*$AE$16+H91*$AE$17+I91*$AE$18+J91*$AE$19+K91*$AE$20+L91*$AE$21+M91*$AE$22+N91*$AE$23+O91*$AE$24+P91*$AE$25+Q91*$AE$26+R91*$AE$27+S91*$AE$28+T91*$AE$29+U91*$AE$30</f>
        <v/>
      </c>
      <c r="W91" s="8">
        <f>1/(1+EXP(-V91))</f>
        <v/>
      </c>
      <c r="X91" s="9">
        <f>-IF(C91=1,LN(W91),LN(1-W91))</f>
        <v/>
      </c>
      <c r="Y91" s="8">
        <f>IF(C91=1,$AE$32,$AE$33)</f>
        <v/>
      </c>
      <c r="Z91" s="9">
        <f>Y91*X91</f>
        <v/>
      </c>
      <c r="AA91" s="10">
        <f>IF(W91&gt;$AE$34,1,0)</f>
        <v/>
      </c>
      <c r="AB91">
        <f>IF(AA91=C91,1,0)</f>
        <v/>
      </c>
    </row>
    <row r="92">
      <c r="A92">
        <f>'1 datos preparados'!A85</f>
        <v/>
      </c>
      <c r="B92" s="5">
        <f>'1 datos preparados'!U85</f>
        <v/>
      </c>
      <c r="C92">
        <f>'1 datos preparados'!B85</f>
        <v/>
      </c>
      <c r="D92" s="7">
        <f>'1 datos preparados'!C85</f>
        <v/>
      </c>
      <c r="E92" s="7">
        <f>'1 datos preparados'!D85</f>
        <v/>
      </c>
      <c r="F92" s="7">
        <f>'1 datos preparados'!E85</f>
        <v/>
      </c>
      <c r="G92" s="7">
        <f>'1 datos preparados'!F85</f>
        <v/>
      </c>
      <c r="H92" s="7">
        <f>'1 datos preparados'!G85</f>
        <v/>
      </c>
      <c r="I92" s="7">
        <f>'1 datos preparados'!H85</f>
        <v/>
      </c>
      <c r="J92" s="7">
        <f>'1 datos preparados'!I85</f>
        <v/>
      </c>
      <c r="K92" s="7">
        <f>'1 datos preparados'!J85</f>
        <v/>
      </c>
      <c r="L92" s="7">
        <f>'1 datos preparados'!K85</f>
        <v/>
      </c>
      <c r="M92" s="7">
        <f>'1 datos preparados'!L85</f>
        <v/>
      </c>
      <c r="N92" s="7">
        <f>'1 datos preparados'!M85</f>
        <v/>
      </c>
      <c r="O92" s="7">
        <f>'1 datos preparados'!N85</f>
        <v/>
      </c>
      <c r="P92" s="7">
        <f>'1 datos preparados'!O85</f>
        <v/>
      </c>
      <c r="Q92" s="7">
        <f>'1 datos preparados'!P85</f>
        <v/>
      </c>
      <c r="R92" s="7">
        <f>'1 datos preparados'!Q85</f>
        <v/>
      </c>
      <c r="S92" s="7">
        <f>'1 datos preparados'!R85</f>
        <v/>
      </c>
      <c r="T92" s="7">
        <f>'1 datos preparados'!S85</f>
        <v/>
      </c>
      <c r="U92" s="7">
        <f>'1 datos preparados'!T85</f>
        <v/>
      </c>
      <c r="V92" s="8">
        <f>$AE$12+D92*$AE$13+E92*$AE$14+F92*$AE$15+G92*$AE$16+H92*$AE$17+I92*$AE$18+J92*$AE$19+K92*$AE$20+L92*$AE$21+M92*$AE$22+N92*$AE$23+O92*$AE$24+P92*$AE$25+Q92*$AE$26+R92*$AE$27+S92*$AE$28+T92*$AE$29+U92*$AE$30</f>
        <v/>
      </c>
      <c r="W92" s="8">
        <f>1/(1+EXP(-V92))</f>
        <v/>
      </c>
      <c r="X92" s="9">
        <f>-IF(C92=1,LN(W92),LN(1-W92))</f>
        <v/>
      </c>
      <c r="Y92" s="8">
        <f>IF(C92=1,$AE$32,$AE$33)</f>
        <v/>
      </c>
      <c r="Z92" s="9">
        <f>Y92*X92</f>
        <v/>
      </c>
      <c r="AA92" s="10">
        <f>IF(W92&gt;$AE$34,1,0)</f>
        <v/>
      </c>
      <c r="AB92">
        <f>IF(AA92=C92,1,0)</f>
        <v/>
      </c>
    </row>
    <row r="93">
      <c r="A93">
        <f>'1 datos preparados'!A86</f>
        <v/>
      </c>
      <c r="B93" s="5">
        <f>'1 datos preparados'!U86</f>
        <v/>
      </c>
      <c r="C93">
        <f>'1 datos preparados'!B86</f>
        <v/>
      </c>
      <c r="D93" s="7">
        <f>'1 datos preparados'!C86</f>
        <v/>
      </c>
      <c r="E93" s="7">
        <f>'1 datos preparados'!D86</f>
        <v/>
      </c>
      <c r="F93" s="7">
        <f>'1 datos preparados'!E86</f>
        <v/>
      </c>
      <c r="G93" s="7">
        <f>'1 datos preparados'!F86</f>
        <v/>
      </c>
      <c r="H93" s="7">
        <f>'1 datos preparados'!G86</f>
        <v/>
      </c>
      <c r="I93" s="7">
        <f>'1 datos preparados'!H86</f>
        <v/>
      </c>
      <c r="J93" s="7">
        <f>'1 datos preparados'!I86</f>
        <v/>
      </c>
      <c r="K93" s="7">
        <f>'1 datos preparados'!J86</f>
        <v/>
      </c>
      <c r="L93" s="7">
        <f>'1 datos preparados'!K86</f>
        <v/>
      </c>
      <c r="M93" s="7">
        <f>'1 datos preparados'!L86</f>
        <v/>
      </c>
      <c r="N93" s="7">
        <f>'1 datos preparados'!M86</f>
        <v/>
      </c>
      <c r="O93" s="7">
        <f>'1 datos preparados'!N86</f>
        <v/>
      </c>
      <c r="P93" s="7">
        <f>'1 datos preparados'!O86</f>
        <v/>
      </c>
      <c r="Q93" s="7">
        <f>'1 datos preparados'!P86</f>
        <v/>
      </c>
      <c r="R93" s="7">
        <f>'1 datos preparados'!Q86</f>
        <v/>
      </c>
      <c r="S93" s="7">
        <f>'1 datos preparados'!R86</f>
        <v/>
      </c>
      <c r="T93" s="7">
        <f>'1 datos preparados'!S86</f>
        <v/>
      </c>
      <c r="U93" s="7">
        <f>'1 datos preparados'!T86</f>
        <v/>
      </c>
      <c r="V93" s="8">
        <f>$AE$12+D93*$AE$13+E93*$AE$14+F93*$AE$15+G93*$AE$16+H93*$AE$17+I93*$AE$18+J93*$AE$19+K93*$AE$20+L93*$AE$21+M93*$AE$22+N93*$AE$23+O93*$AE$24+P93*$AE$25+Q93*$AE$26+R93*$AE$27+S93*$AE$28+T93*$AE$29+U93*$AE$30</f>
        <v/>
      </c>
      <c r="W93" s="8">
        <f>1/(1+EXP(-V93))</f>
        <v/>
      </c>
      <c r="X93" s="9">
        <f>-IF(C93=1,LN(W93),LN(1-W93))</f>
        <v/>
      </c>
      <c r="Y93" s="8">
        <f>IF(C93=1,$AE$32,$AE$33)</f>
        <v/>
      </c>
      <c r="Z93" s="9">
        <f>Y93*X93</f>
        <v/>
      </c>
      <c r="AA93" s="10">
        <f>IF(W93&gt;$AE$34,1,0)</f>
        <v/>
      </c>
      <c r="AB93">
        <f>IF(AA93=C93,1,0)</f>
        <v/>
      </c>
    </row>
    <row r="94">
      <c r="A94">
        <f>'1 datos preparados'!A87</f>
        <v/>
      </c>
      <c r="B94" s="5">
        <f>'1 datos preparados'!U87</f>
        <v/>
      </c>
      <c r="C94">
        <f>'1 datos preparados'!B87</f>
        <v/>
      </c>
      <c r="D94" s="7">
        <f>'1 datos preparados'!C87</f>
        <v/>
      </c>
      <c r="E94" s="7">
        <f>'1 datos preparados'!D87</f>
        <v/>
      </c>
      <c r="F94" s="7">
        <f>'1 datos preparados'!E87</f>
        <v/>
      </c>
      <c r="G94" s="7">
        <f>'1 datos preparados'!F87</f>
        <v/>
      </c>
      <c r="H94" s="7">
        <f>'1 datos preparados'!G87</f>
        <v/>
      </c>
      <c r="I94" s="7">
        <f>'1 datos preparados'!H87</f>
        <v/>
      </c>
      <c r="J94" s="7">
        <f>'1 datos preparados'!I87</f>
        <v/>
      </c>
      <c r="K94" s="7">
        <f>'1 datos preparados'!J87</f>
        <v/>
      </c>
      <c r="L94" s="7">
        <f>'1 datos preparados'!K87</f>
        <v/>
      </c>
      <c r="M94" s="7">
        <f>'1 datos preparados'!L87</f>
        <v/>
      </c>
      <c r="N94" s="7">
        <f>'1 datos preparados'!M87</f>
        <v/>
      </c>
      <c r="O94" s="7">
        <f>'1 datos preparados'!N87</f>
        <v/>
      </c>
      <c r="P94" s="7">
        <f>'1 datos preparados'!O87</f>
        <v/>
      </c>
      <c r="Q94" s="7">
        <f>'1 datos preparados'!P87</f>
        <v/>
      </c>
      <c r="R94" s="7">
        <f>'1 datos preparados'!Q87</f>
        <v/>
      </c>
      <c r="S94" s="7">
        <f>'1 datos preparados'!R87</f>
        <v/>
      </c>
      <c r="T94" s="7">
        <f>'1 datos preparados'!S87</f>
        <v/>
      </c>
      <c r="U94" s="7">
        <f>'1 datos preparados'!T87</f>
        <v/>
      </c>
      <c r="V94" s="8">
        <f>$AE$12+D94*$AE$13+E94*$AE$14+F94*$AE$15+G94*$AE$16+H94*$AE$17+I94*$AE$18+J94*$AE$19+K94*$AE$20+L94*$AE$21+M94*$AE$22+N94*$AE$23+O94*$AE$24+P94*$AE$25+Q94*$AE$26+R94*$AE$27+S94*$AE$28+T94*$AE$29+U94*$AE$30</f>
        <v/>
      </c>
      <c r="W94" s="8">
        <f>1/(1+EXP(-V94))</f>
        <v/>
      </c>
      <c r="X94" s="9">
        <f>-IF(C94=1,LN(W94),LN(1-W94))</f>
        <v/>
      </c>
      <c r="Y94" s="8">
        <f>IF(C94=1,$AE$32,$AE$33)</f>
        <v/>
      </c>
      <c r="Z94" s="9">
        <f>Y94*X94</f>
        <v/>
      </c>
      <c r="AA94" s="10">
        <f>IF(W94&gt;$AE$34,1,0)</f>
        <v/>
      </c>
      <c r="AB94">
        <f>IF(AA94=C94,1,0)</f>
        <v/>
      </c>
    </row>
    <row r="95">
      <c r="A95">
        <f>'1 datos preparados'!A88</f>
        <v/>
      </c>
      <c r="B95" s="5">
        <f>'1 datos preparados'!U88</f>
        <v/>
      </c>
      <c r="C95">
        <f>'1 datos preparados'!B88</f>
        <v/>
      </c>
      <c r="D95" s="7">
        <f>'1 datos preparados'!C88</f>
        <v/>
      </c>
      <c r="E95" s="7">
        <f>'1 datos preparados'!D88</f>
        <v/>
      </c>
      <c r="F95" s="7">
        <f>'1 datos preparados'!E88</f>
        <v/>
      </c>
      <c r="G95" s="7">
        <f>'1 datos preparados'!F88</f>
        <v/>
      </c>
      <c r="H95" s="7">
        <f>'1 datos preparados'!G88</f>
        <v/>
      </c>
      <c r="I95" s="7">
        <f>'1 datos preparados'!H88</f>
        <v/>
      </c>
      <c r="J95" s="7">
        <f>'1 datos preparados'!I88</f>
        <v/>
      </c>
      <c r="K95" s="7">
        <f>'1 datos preparados'!J88</f>
        <v/>
      </c>
      <c r="L95" s="7">
        <f>'1 datos preparados'!K88</f>
        <v/>
      </c>
      <c r="M95" s="7">
        <f>'1 datos preparados'!L88</f>
        <v/>
      </c>
      <c r="N95" s="7">
        <f>'1 datos preparados'!M88</f>
        <v/>
      </c>
      <c r="O95" s="7">
        <f>'1 datos preparados'!N88</f>
        <v/>
      </c>
      <c r="P95" s="7">
        <f>'1 datos preparados'!O88</f>
        <v/>
      </c>
      <c r="Q95" s="7">
        <f>'1 datos preparados'!P88</f>
        <v/>
      </c>
      <c r="R95" s="7">
        <f>'1 datos preparados'!Q88</f>
        <v/>
      </c>
      <c r="S95" s="7">
        <f>'1 datos preparados'!R88</f>
        <v/>
      </c>
      <c r="T95" s="7">
        <f>'1 datos preparados'!S88</f>
        <v/>
      </c>
      <c r="U95" s="7">
        <f>'1 datos preparados'!T88</f>
        <v/>
      </c>
      <c r="V95" s="8">
        <f>$AE$12+D95*$AE$13+E95*$AE$14+F95*$AE$15+G95*$AE$16+H95*$AE$17+I95*$AE$18+J95*$AE$19+K95*$AE$20+L95*$AE$21+M95*$AE$22+N95*$AE$23+O95*$AE$24+P95*$AE$25+Q95*$AE$26+R95*$AE$27+S95*$AE$28+T95*$AE$29+U95*$AE$30</f>
        <v/>
      </c>
      <c r="W95" s="8">
        <f>1/(1+EXP(-V95))</f>
        <v/>
      </c>
      <c r="X95" s="9">
        <f>-IF(C95=1,LN(W95),LN(1-W95))</f>
        <v/>
      </c>
      <c r="Y95" s="8">
        <f>IF(C95=1,$AE$32,$AE$33)</f>
        <v/>
      </c>
      <c r="Z95" s="9">
        <f>Y95*X95</f>
        <v/>
      </c>
      <c r="AA95" s="10">
        <f>IF(W95&gt;$AE$34,1,0)</f>
        <v/>
      </c>
      <c r="AB95">
        <f>IF(AA95=C95,1,0)</f>
        <v/>
      </c>
    </row>
    <row r="96">
      <c r="A96">
        <f>'1 datos preparados'!A89</f>
        <v/>
      </c>
      <c r="B96" s="5">
        <f>'1 datos preparados'!U89</f>
        <v/>
      </c>
      <c r="C96">
        <f>'1 datos preparados'!B89</f>
        <v/>
      </c>
      <c r="D96" s="7">
        <f>'1 datos preparados'!C89</f>
        <v/>
      </c>
      <c r="E96" s="7">
        <f>'1 datos preparados'!D89</f>
        <v/>
      </c>
      <c r="F96" s="7">
        <f>'1 datos preparados'!E89</f>
        <v/>
      </c>
      <c r="G96" s="7">
        <f>'1 datos preparados'!F89</f>
        <v/>
      </c>
      <c r="H96" s="7">
        <f>'1 datos preparados'!G89</f>
        <v/>
      </c>
      <c r="I96" s="7">
        <f>'1 datos preparados'!H89</f>
        <v/>
      </c>
      <c r="J96" s="7">
        <f>'1 datos preparados'!I89</f>
        <v/>
      </c>
      <c r="K96" s="7">
        <f>'1 datos preparados'!J89</f>
        <v/>
      </c>
      <c r="L96" s="7">
        <f>'1 datos preparados'!K89</f>
        <v/>
      </c>
      <c r="M96" s="7">
        <f>'1 datos preparados'!L89</f>
        <v/>
      </c>
      <c r="N96" s="7">
        <f>'1 datos preparados'!M89</f>
        <v/>
      </c>
      <c r="O96" s="7">
        <f>'1 datos preparados'!N89</f>
        <v/>
      </c>
      <c r="P96" s="7">
        <f>'1 datos preparados'!O89</f>
        <v/>
      </c>
      <c r="Q96" s="7">
        <f>'1 datos preparados'!P89</f>
        <v/>
      </c>
      <c r="R96" s="7">
        <f>'1 datos preparados'!Q89</f>
        <v/>
      </c>
      <c r="S96" s="7">
        <f>'1 datos preparados'!R89</f>
        <v/>
      </c>
      <c r="T96" s="7">
        <f>'1 datos preparados'!S89</f>
        <v/>
      </c>
      <c r="U96" s="7">
        <f>'1 datos preparados'!T89</f>
        <v/>
      </c>
      <c r="V96" s="8">
        <f>$AE$12+D96*$AE$13+E96*$AE$14+F96*$AE$15+G96*$AE$16+H96*$AE$17+I96*$AE$18+J96*$AE$19+K96*$AE$20+L96*$AE$21+M96*$AE$22+N96*$AE$23+O96*$AE$24+P96*$AE$25+Q96*$AE$26+R96*$AE$27+S96*$AE$28+T96*$AE$29+U96*$AE$30</f>
        <v/>
      </c>
      <c r="W96" s="8">
        <f>1/(1+EXP(-V96))</f>
        <v/>
      </c>
      <c r="X96" s="9">
        <f>-IF(C96=1,LN(W96),LN(1-W96))</f>
        <v/>
      </c>
      <c r="Y96" s="8">
        <f>IF(C96=1,$AE$32,$AE$33)</f>
        <v/>
      </c>
      <c r="Z96" s="9">
        <f>Y96*X96</f>
        <v/>
      </c>
      <c r="AA96" s="10">
        <f>IF(W96&gt;$AE$34,1,0)</f>
        <v/>
      </c>
      <c r="AB96">
        <f>IF(AA96=C96,1,0)</f>
        <v/>
      </c>
    </row>
    <row r="97">
      <c r="A97">
        <f>'1 datos preparados'!A90</f>
        <v/>
      </c>
      <c r="B97" s="5">
        <f>'1 datos preparados'!U90</f>
        <v/>
      </c>
      <c r="C97">
        <f>'1 datos preparados'!B90</f>
        <v/>
      </c>
      <c r="D97" s="7">
        <f>'1 datos preparados'!C90</f>
        <v/>
      </c>
      <c r="E97" s="7">
        <f>'1 datos preparados'!D90</f>
        <v/>
      </c>
      <c r="F97" s="7">
        <f>'1 datos preparados'!E90</f>
        <v/>
      </c>
      <c r="G97" s="7">
        <f>'1 datos preparados'!F90</f>
        <v/>
      </c>
      <c r="H97" s="7">
        <f>'1 datos preparados'!G90</f>
        <v/>
      </c>
      <c r="I97" s="7">
        <f>'1 datos preparados'!H90</f>
        <v/>
      </c>
      <c r="J97" s="7">
        <f>'1 datos preparados'!I90</f>
        <v/>
      </c>
      <c r="K97" s="7">
        <f>'1 datos preparados'!J90</f>
        <v/>
      </c>
      <c r="L97" s="7">
        <f>'1 datos preparados'!K90</f>
        <v/>
      </c>
      <c r="M97" s="7">
        <f>'1 datos preparados'!L90</f>
        <v/>
      </c>
      <c r="N97" s="7">
        <f>'1 datos preparados'!M90</f>
        <v/>
      </c>
      <c r="O97" s="7">
        <f>'1 datos preparados'!N90</f>
        <v/>
      </c>
      <c r="P97" s="7">
        <f>'1 datos preparados'!O90</f>
        <v/>
      </c>
      <c r="Q97" s="7">
        <f>'1 datos preparados'!P90</f>
        <v/>
      </c>
      <c r="R97" s="7">
        <f>'1 datos preparados'!Q90</f>
        <v/>
      </c>
      <c r="S97" s="7">
        <f>'1 datos preparados'!R90</f>
        <v/>
      </c>
      <c r="T97" s="7">
        <f>'1 datos preparados'!S90</f>
        <v/>
      </c>
      <c r="U97" s="7">
        <f>'1 datos preparados'!T90</f>
        <v/>
      </c>
      <c r="V97" s="8">
        <f>$AE$12+D97*$AE$13+E97*$AE$14+F97*$AE$15+G97*$AE$16+H97*$AE$17+I97*$AE$18+J97*$AE$19+K97*$AE$20+L97*$AE$21+M97*$AE$22+N97*$AE$23+O97*$AE$24+P97*$AE$25+Q97*$AE$26+R97*$AE$27+S97*$AE$28+T97*$AE$29+U97*$AE$30</f>
        <v/>
      </c>
      <c r="W97" s="8">
        <f>1/(1+EXP(-V97))</f>
        <v/>
      </c>
      <c r="X97" s="9">
        <f>-IF(C97=1,LN(W97),LN(1-W97))</f>
        <v/>
      </c>
      <c r="Y97" s="8">
        <f>IF(C97=1,$AE$32,$AE$33)</f>
        <v/>
      </c>
      <c r="Z97" s="9">
        <f>Y97*X97</f>
        <v/>
      </c>
      <c r="AA97" s="10">
        <f>IF(W97&gt;$AE$34,1,0)</f>
        <v/>
      </c>
      <c r="AB97">
        <f>IF(AA97=C97,1,0)</f>
        <v/>
      </c>
    </row>
    <row r="98">
      <c r="A98">
        <f>'1 datos preparados'!A91</f>
        <v/>
      </c>
      <c r="B98" s="5">
        <f>'1 datos preparados'!U91</f>
        <v/>
      </c>
      <c r="C98">
        <f>'1 datos preparados'!B91</f>
        <v/>
      </c>
      <c r="D98" s="7">
        <f>'1 datos preparados'!C91</f>
        <v/>
      </c>
      <c r="E98" s="7">
        <f>'1 datos preparados'!D91</f>
        <v/>
      </c>
      <c r="F98" s="7">
        <f>'1 datos preparados'!E91</f>
        <v/>
      </c>
      <c r="G98" s="7">
        <f>'1 datos preparados'!F91</f>
        <v/>
      </c>
      <c r="H98" s="7">
        <f>'1 datos preparados'!G91</f>
        <v/>
      </c>
      <c r="I98" s="7">
        <f>'1 datos preparados'!H91</f>
        <v/>
      </c>
      <c r="J98" s="7">
        <f>'1 datos preparados'!I91</f>
        <v/>
      </c>
      <c r="K98" s="7">
        <f>'1 datos preparados'!J91</f>
        <v/>
      </c>
      <c r="L98" s="7">
        <f>'1 datos preparados'!K91</f>
        <v/>
      </c>
      <c r="M98" s="7">
        <f>'1 datos preparados'!L91</f>
        <v/>
      </c>
      <c r="N98" s="7">
        <f>'1 datos preparados'!M91</f>
        <v/>
      </c>
      <c r="O98" s="7">
        <f>'1 datos preparados'!N91</f>
        <v/>
      </c>
      <c r="P98" s="7">
        <f>'1 datos preparados'!O91</f>
        <v/>
      </c>
      <c r="Q98" s="7">
        <f>'1 datos preparados'!P91</f>
        <v/>
      </c>
      <c r="R98" s="7">
        <f>'1 datos preparados'!Q91</f>
        <v/>
      </c>
      <c r="S98" s="7">
        <f>'1 datos preparados'!R91</f>
        <v/>
      </c>
      <c r="T98" s="7">
        <f>'1 datos preparados'!S91</f>
        <v/>
      </c>
      <c r="U98" s="7">
        <f>'1 datos preparados'!T91</f>
        <v/>
      </c>
      <c r="V98" s="8">
        <f>$AE$12+D98*$AE$13+E98*$AE$14+F98*$AE$15+G98*$AE$16+H98*$AE$17+I98*$AE$18+J98*$AE$19+K98*$AE$20+L98*$AE$21+M98*$AE$22+N98*$AE$23+O98*$AE$24+P98*$AE$25+Q98*$AE$26+R98*$AE$27+S98*$AE$28+T98*$AE$29+U98*$AE$30</f>
        <v/>
      </c>
      <c r="W98" s="8">
        <f>1/(1+EXP(-V98))</f>
        <v/>
      </c>
      <c r="X98" s="9">
        <f>-IF(C98=1,LN(W98),LN(1-W98))</f>
        <v/>
      </c>
      <c r="Y98" s="8">
        <f>IF(C98=1,$AE$32,$AE$33)</f>
        <v/>
      </c>
      <c r="Z98" s="9">
        <f>Y98*X98</f>
        <v/>
      </c>
      <c r="AA98" s="10">
        <f>IF(W98&gt;$AE$34,1,0)</f>
        <v/>
      </c>
      <c r="AB98">
        <f>IF(AA98=C98,1,0)</f>
        <v/>
      </c>
    </row>
    <row r="99">
      <c r="A99">
        <f>'1 datos preparados'!A92</f>
        <v/>
      </c>
      <c r="B99" s="5">
        <f>'1 datos preparados'!U92</f>
        <v/>
      </c>
      <c r="C99">
        <f>'1 datos preparados'!B92</f>
        <v/>
      </c>
      <c r="D99" s="7">
        <f>'1 datos preparados'!C92</f>
        <v/>
      </c>
      <c r="E99" s="7">
        <f>'1 datos preparados'!D92</f>
        <v/>
      </c>
      <c r="F99" s="7">
        <f>'1 datos preparados'!E92</f>
        <v/>
      </c>
      <c r="G99" s="7">
        <f>'1 datos preparados'!F92</f>
        <v/>
      </c>
      <c r="H99" s="7">
        <f>'1 datos preparados'!G92</f>
        <v/>
      </c>
      <c r="I99" s="7">
        <f>'1 datos preparados'!H92</f>
        <v/>
      </c>
      <c r="J99" s="7">
        <f>'1 datos preparados'!I92</f>
        <v/>
      </c>
      <c r="K99" s="7">
        <f>'1 datos preparados'!J92</f>
        <v/>
      </c>
      <c r="L99" s="7">
        <f>'1 datos preparados'!K92</f>
        <v/>
      </c>
      <c r="M99" s="7">
        <f>'1 datos preparados'!L92</f>
        <v/>
      </c>
      <c r="N99" s="7">
        <f>'1 datos preparados'!M92</f>
        <v/>
      </c>
      <c r="O99" s="7">
        <f>'1 datos preparados'!N92</f>
        <v/>
      </c>
      <c r="P99" s="7">
        <f>'1 datos preparados'!O92</f>
        <v/>
      </c>
      <c r="Q99" s="7">
        <f>'1 datos preparados'!P92</f>
        <v/>
      </c>
      <c r="R99" s="7">
        <f>'1 datos preparados'!Q92</f>
        <v/>
      </c>
      <c r="S99" s="7">
        <f>'1 datos preparados'!R92</f>
        <v/>
      </c>
      <c r="T99" s="7">
        <f>'1 datos preparados'!S92</f>
        <v/>
      </c>
      <c r="U99" s="7">
        <f>'1 datos preparados'!T92</f>
        <v/>
      </c>
      <c r="V99" s="8">
        <f>$AE$12+D99*$AE$13+E99*$AE$14+F99*$AE$15+G99*$AE$16+H99*$AE$17+I99*$AE$18+J99*$AE$19+K99*$AE$20+L99*$AE$21+M99*$AE$22+N99*$AE$23+O99*$AE$24+P99*$AE$25+Q99*$AE$26+R99*$AE$27+S99*$AE$28+T99*$AE$29+U99*$AE$30</f>
        <v/>
      </c>
      <c r="W99" s="8">
        <f>1/(1+EXP(-V99))</f>
        <v/>
      </c>
      <c r="X99" s="9">
        <f>-IF(C99=1,LN(W99),LN(1-W99))</f>
        <v/>
      </c>
      <c r="Y99" s="8">
        <f>IF(C99=1,$AE$32,$AE$33)</f>
        <v/>
      </c>
      <c r="Z99" s="9">
        <f>Y99*X99</f>
        <v/>
      </c>
      <c r="AA99" s="10">
        <f>IF(W99&gt;$AE$34,1,0)</f>
        <v/>
      </c>
      <c r="AB99">
        <f>IF(AA99=C99,1,0)</f>
        <v/>
      </c>
    </row>
    <row r="100">
      <c r="A100">
        <f>'1 datos preparados'!A93</f>
        <v/>
      </c>
      <c r="B100" s="5">
        <f>'1 datos preparados'!U93</f>
        <v/>
      </c>
      <c r="C100">
        <f>'1 datos preparados'!B93</f>
        <v/>
      </c>
      <c r="D100" s="7">
        <f>'1 datos preparados'!C93</f>
        <v/>
      </c>
      <c r="E100" s="7">
        <f>'1 datos preparados'!D93</f>
        <v/>
      </c>
      <c r="F100" s="7">
        <f>'1 datos preparados'!E93</f>
        <v/>
      </c>
      <c r="G100" s="7">
        <f>'1 datos preparados'!F93</f>
        <v/>
      </c>
      <c r="H100" s="7">
        <f>'1 datos preparados'!G93</f>
        <v/>
      </c>
      <c r="I100" s="7">
        <f>'1 datos preparados'!H93</f>
        <v/>
      </c>
      <c r="J100" s="7">
        <f>'1 datos preparados'!I93</f>
        <v/>
      </c>
      <c r="K100" s="7">
        <f>'1 datos preparados'!J93</f>
        <v/>
      </c>
      <c r="L100" s="7">
        <f>'1 datos preparados'!K93</f>
        <v/>
      </c>
      <c r="M100" s="7">
        <f>'1 datos preparados'!L93</f>
        <v/>
      </c>
      <c r="N100" s="7">
        <f>'1 datos preparados'!M93</f>
        <v/>
      </c>
      <c r="O100" s="7">
        <f>'1 datos preparados'!N93</f>
        <v/>
      </c>
      <c r="P100" s="7">
        <f>'1 datos preparados'!O93</f>
        <v/>
      </c>
      <c r="Q100" s="7">
        <f>'1 datos preparados'!P93</f>
        <v/>
      </c>
      <c r="R100" s="7">
        <f>'1 datos preparados'!Q93</f>
        <v/>
      </c>
      <c r="S100" s="7">
        <f>'1 datos preparados'!R93</f>
        <v/>
      </c>
      <c r="T100" s="7">
        <f>'1 datos preparados'!S93</f>
        <v/>
      </c>
      <c r="U100" s="7">
        <f>'1 datos preparados'!T93</f>
        <v/>
      </c>
      <c r="V100" s="8">
        <f>$AE$12+D100*$AE$13+E100*$AE$14+F100*$AE$15+G100*$AE$16+H100*$AE$17+I100*$AE$18+J100*$AE$19+K100*$AE$20+L100*$AE$21+M100*$AE$22+N100*$AE$23+O100*$AE$24+P100*$AE$25+Q100*$AE$26+R100*$AE$27+S100*$AE$28+T100*$AE$29+U100*$AE$30</f>
        <v/>
      </c>
      <c r="W100" s="8">
        <f>1/(1+EXP(-V100))</f>
        <v/>
      </c>
      <c r="X100" s="9">
        <f>-IF(C100=1,LN(W100),LN(1-W100))</f>
        <v/>
      </c>
      <c r="Y100" s="8">
        <f>IF(C100=1,$AE$32,$AE$33)</f>
        <v/>
      </c>
      <c r="Z100" s="9">
        <f>Y100*X100</f>
        <v/>
      </c>
      <c r="AA100" s="10">
        <f>IF(W100&gt;$AE$34,1,0)</f>
        <v/>
      </c>
      <c r="AB100">
        <f>IF(AA100=C100,1,0)</f>
        <v/>
      </c>
    </row>
    <row r="101">
      <c r="A101">
        <f>'1 datos preparados'!A94</f>
        <v/>
      </c>
      <c r="B101" s="5">
        <f>'1 datos preparados'!U94</f>
        <v/>
      </c>
      <c r="C101">
        <f>'1 datos preparados'!B94</f>
        <v/>
      </c>
      <c r="D101" s="7">
        <f>'1 datos preparados'!C94</f>
        <v/>
      </c>
      <c r="E101" s="7">
        <f>'1 datos preparados'!D94</f>
        <v/>
      </c>
      <c r="F101" s="7">
        <f>'1 datos preparados'!E94</f>
        <v/>
      </c>
      <c r="G101" s="7">
        <f>'1 datos preparados'!F94</f>
        <v/>
      </c>
      <c r="H101" s="7">
        <f>'1 datos preparados'!G94</f>
        <v/>
      </c>
      <c r="I101" s="7">
        <f>'1 datos preparados'!H94</f>
        <v/>
      </c>
      <c r="J101" s="7">
        <f>'1 datos preparados'!I94</f>
        <v/>
      </c>
      <c r="K101" s="7">
        <f>'1 datos preparados'!J94</f>
        <v/>
      </c>
      <c r="L101" s="7">
        <f>'1 datos preparados'!K94</f>
        <v/>
      </c>
      <c r="M101" s="7">
        <f>'1 datos preparados'!L94</f>
        <v/>
      </c>
      <c r="N101" s="7">
        <f>'1 datos preparados'!M94</f>
        <v/>
      </c>
      <c r="O101" s="7">
        <f>'1 datos preparados'!N94</f>
        <v/>
      </c>
      <c r="P101" s="7">
        <f>'1 datos preparados'!O94</f>
        <v/>
      </c>
      <c r="Q101" s="7">
        <f>'1 datos preparados'!P94</f>
        <v/>
      </c>
      <c r="R101" s="7">
        <f>'1 datos preparados'!Q94</f>
        <v/>
      </c>
      <c r="S101" s="7">
        <f>'1 datos preparados'!R94</f>
        <v/>
      </c>
      <c r="T101" s="7">
        <f>'1 datos preparados'!S94</f>
        <v/>
      </c>
      <c r="U101" s="7">
        <f>'1 datos preparados'!T94</f>
        <v/>
      </c>
      <c r="V101" s="8">
        <f>$AE$12+D101*$AE$13+E101*$AE$14+F101*$AE$15+G101*$AE$16+H101*$AE$17+I101*$AE$18+J101*$AE$19+K101*$AE$20+L101*$AE$21+M101*$AE$22+N101*$AE$23+O101*$AE$24+P101*$AE$25+Q101*$AE$26+R101*$AE$27+S101*$AE$28+T101*$AE$29+U101*$AE$30</f>
        <v/>
      </c>
      <c r="W101" s="8">
        <f>1/(1+EXP(-V101))</f>
        <v/>
      </c>
      <c r="X101" s="9">
        <f>-IF(C101=1,LN(W101),LN(1-W101))</f>
        <v/>
      </c>
      <c r="Y101" s="8">
        <f>IF(C101=1,$AE$32,$AE$33)</f>
        <v/>
      </c>
      <c r="Z101" s="9">
        <f>Y101*X101</f>
        <v/>
      </c>
      <c r="AA101" s="10">
        <f>IF(W101&gt;$AE$34,1,0)</f>
        <v/>
      </c>
      <c r="AB101">
        <f>IF(AA101=C101,1,0)</f>
        <v/>
      </c>
    </row>
    <row r="102">
      <c r="A102">
        <f>'1 datos preparados'!A95</f>
        <v/>
      </c>
      <c r="B102" s="5">
        <f>'1 datos preparados'!U95</f>
        <v/>
      </c>
      <c r="C102">
        <f>'1 datos preparados'!B95</f>
        <v/>
      </c>
      <c r="D102" s="7">
        <f>'1 datos preparados'!C95</f>
        <v/>
      </c>
      <c r="E102" s="7">
        <f>'1 datos preparados'!D95</f>
        <v/>
      </c>
      <c r="F102" s="7">
        <f>'1 datos preparados'!E95</f>
        <v/>
      </c>
      <c r="G102" s="7">
        <f>'1 datos preparados'!F95</f>
        <v/>
      </c>
      <c r="H102" s="7">
        <f>'1 datos preparados'!G95</f>
        <v/>
      </c>
      <c r="I102" s="7">
        <f>'1 datos preparados'!H95</f>
        <v/>
      </c>
      <c r="J102" s="7">
        <f>'1 datos preparados'!I95</f>
        <v/>
      </c>
      <c r="K102" s="7">
        <f>'1 datos preparados'!J95</f>
        <v/>
      </c>
      <c r="L102" s="7">
        <f>'1 datos preparados'!K95</f>
        <v/>
      </c>
      <c r="M102" s="7">
        <f>'1 datos preparados'!L95</f>
        <v/>
      </c>
      <c r="N102" s="7">
        <f>'1 datos preparados'!M95</f>
        <v/>
      </c>
      <c r="O102" s="7">
        <f>'1 datos preparados'!N95</f>
        <v/>
      </c>
      <c r="P102" s="7">
        <f>'1 datos preparados'!O95</f>
        <v/>
      </c>
      <c r="Q102" s="7">
        <f>'1 datos preparados'!P95</f>
        <v/>
      </c>
      <c r="R102" s="7">
        <f>'1 datos preparados'!Q95</f>
        <v/>
      </c>
      <c r="S102" s="7">
        <f>'1 datos preparados'!R95</f>
        <v/>
      </c>
      <c r="T102" s="7">
        <f>'1 datos preparados'!S95</f>
        <v/>
      </c>
      <c r="U102" s="7">
        <f>'1 datos preparados'!T95</f>
        <v/>
      </c>
      <c r="V102" s="8">
        <f>$AE$12+D102*$AE$13+E102*$AE$14+F102*$AE$15+G102*$AE$16+H102*$AE$17+I102*$AE$18+J102*$AE$19+K102*$AE$20+L102*$AE$21+M102*$AE$22+N102*$AE$23+O102*$AE$24+P102*$AE$25+Q102*$AE$26+R102*$AE$27+S102*$AE$28+T102*$AE$29+U102*$AE$30</f>
        <v/>
      </c>
      <c r="W102" s="8">
        <f>1/(1+EXP(-V102))</f>
        <v/>
      </c>
      <c r="X102" s="9">
        <f>-IF(C102=1,LN(W102),LN(1-W102))</f>
        <v/>
      </c>
      <c r="Y102" s="8">
        <f>IF(C102=1,$AE$32,$AE$33)</f>
        <v/>
      </c>
      <c r="Z102" s="9">
        <f>Y102*X102</f>
        <v/>
      </c>
      <c r="AA102" s="10">
        <f>IF(W102&gt;$AE$34,1,0)</f>
        <v/>
      </c>
      <c r="AB102">
        <f>IF(AA102=C102,1,0)</f>
        <v/>
      </c>
    </row>
    <row r="103">
      <c r="A103">
        <f>'1 datos preparados'!A96</f>
        <v/>
      </c>
      <c r="B103" s="5">
        <f>'1 datos preparados'!U96</f>
        <v/>
      </c>
      <c r="C103">
        <f>'1 datos preparados'!B96</f>
        <v/>
      </c>
      <c r="D103" s="7">
        <f>'1 datos preparados'!C96</f>
        <v/>
      </c>
      <c r="E103" s="7">
        <f>'1 datos preparados'!D96</f>
        <v/>
      </c>
      <c r="F103" s="7">
        <f>'1 datos preparados'!E96</f>
        <v/>
      </c>
      <c r="G103" s="7">
        <f>'1 datos preparados'!F96</f>
        <v/>
      </c>
      <c r="H103" s="7">
        <f>'1 datos preparados'!G96</f>
        <v/>
      </c>
      <c r="I103" s="7">
        <f>'1 datos preparados'!H96</f>
        <v/>
      </c>
      <c r="J103" s="7">
        <f>'1 datos preparados'!I96</f>
        <v/>
      </c>
      <c r="K103" s="7">
        <f>'1 datos preparados'!J96</f>
        <v/>
      </c>
      <c r="L103" s="7">
        <f>'1 datos preparados'!K96</f>
        <v/>
      </c>
      <c r="M103" s="7">
        <f>'1 datos preparados'!L96</f>
        <v/>
      </c>
      <c r="N103" s="7">
        <f>'1 datos preparados'!M96</f>
        <v/>
      </c>
      <c r="O103" s="7">
        <f>'1 datos preparados'!N96</f>
        <v/>
      </c>
      <c r="P103" s="7">
        <f>'1 datos preparados'!O96</f>
        <v/>
      </c>
      <c r="Q103" s="7">
        <f>'1 datos preparados'!P96</f>
        <v/>
      </c>
      <c r="R103" s="7">
        <f>'1 datos preparados'!Q96</f>
        <v/>
      </c>
      <c r="S103" s="7">
        <f>'1 datos preparados'!R96</f>
        <v/>
      </c>
      <c r="T103" s="7">
        <f>'1 datos preparados'!S96</f>
        <v/>
      </c>
      <c r="U103" s="7">
        <f>'1 datos preparados'!T96</f>
        <v/>
      </c>
      <c r="V103" s="8">
        <f>$AE$12+D103*$AE$13+E103*$AE$14+F103*$AE$15+G103*$AE$16+H103*$AE$17+I103*$AE$18+J103*$AE$19+K103*$AE$20+L103*$AE$21+M103*$AE$22+N103*$AE$23+O103*$AE$24+P103*$AE$25+Q103*$AE$26+R103*$AE$27+S103*$AE$28+T103*$AE$29+U103*$AE$30</f>
        <v/>
      </c>
      <c r="W103" s="8">
        <f>1/(1+EXP(-V103))</f>
        <v/>
      </c>
      <c r="X103" s="9">
        <f>-IF(C103=1,LN(W103),LN(1-W103))</f>
        <v/>
      </c>
      <c r="Y103" s="8">
        <f>IF(C103=1,$AE$32,$AE$33)</f>
        <v/>
      </c>
      <c r="Z103" s="9">
        <f>Y103*X103</f>
        <v/>
      </c>
      <c r="AA103" s="10">
        <f>IF(W103&gt;$AE$34,1,0)</f>
        <v/>
      </c>
      <c r="AB103">
        <f>IF(AA103=C103,1,0)</f>
        <v/>
      </c>
    </row>
    <row r="104">
      <c r="A104">
        <f>'1 datos preparados'!A97</f>
        <v/>
      </c>
      <c r="B104" s="5">
        <f>'1 datos preparados'!U97</f>
        <v/>
      </c>
      <c r="C104">
        <f>'1 datos preparados'!B97</f>
        <v/>
      </c>
      <c r="D104" s="7">
        <f>'1 datos preparados'!C97</f>
        <v/>
      </c>
      <c r="E104" s="7">
        <f>'1 datos preparados'!D97</f>
        <v/>
      </c>
      <c r="F104" s="7">
        <f>'1 datos preparados'!E97</f>
        <v/>
      </c>
      <c r="G104" s="7">
        <f>'1 datos preparados'!F97</f>
        <v/>
      </c>
      <c r="H104" s="7">
        <f>'1 datos preparados'!G97</f>
        <v/>
      </c>
      <c r="I104" s="7">
        <f>'1 datos preparados'!H97</f>
        <v/>
      </c>
      <c r="J104" s="7">
        <f>'1 datos preparados'!I97</f>
        <v/>
      </c>
      <c r="K104" s="7">
        <f>'1 datos preparados'!J97</f>
        <v/>
      </c>
      <c r="L104" s="7">
        <f>'1 datos preparados'!K97</f>
        <v/>
      </c>
      <c r="M104" s="7">
        <f>'1 datos preparados'!L97</f>
        <v/>
      </c>
      <c r="N104" s="7">
        <f>'1 datos preparados'!M97</f>
        <v/>
      </c>
      <c r="O104" s="7">
        <f>'1 datos preparados'!N97</f>
        <v/>
      </c>
      <c r="P104" s="7">
        <f>'1 datos preparados'!O97</f>
        <v/>
      </c>
      <c r="Q104" s="7">
        <f>'1 datos preparados'!P97</f>
        <v/>
      </c>
      <c r="R104" s="7">
        <f>'1 datos preparados'!Q97</f>
        <v/>
      </c>
      <c r="S104" s="7">
        <f>'1 datos preparados'!R97</f>
        <v/>
      </c>
      <c r="T104" s="7">
        <f>'1 datos preparados'!S97</f>
        <v/>
      </c>
      <c r="U104" s="7">
        <f>'1 datos preparados'!T97</f>
        <v/>
      </c>
      <c r="V104" s="8">
        <f>$AE$12+D104*$AE$13+E104*$AE$14+F104*$AE$15+G104*$AE$16+H104*$AE$17+I104*$AE$18+J104*$AE$19+K104*$AE$20+L104*$AE$21+M104*$AE$22+N104*$AE$23+O104*$AE$24+P104*$AE$25+Q104*$AE$26+R104*$AE$27+S104*$AE$28+T104*$AE$29+U104*$AE$30</f>
        <v/>
      </c>
      <c r="W104" s="8">
        <f>1/(1+EXP(-V104))</f>
        <v/>
      </c>
      <c r="X104" s="9">
        <f>-IF(C104=1,LN(W104),LN(1-W104))</f>
        <v/>
      </c>
      <c r="Y104" s="8">
        <f>IF(C104=1,$AE$32,$AE$33)</f>
        <v/>
      </c>
      <c r="Z104" s="9">
        <f>Y104*X104</f>
        <v/>
      </c>
      <c r="AA104" s="10">
        <f>IF(W104&gt;$AE$34,1,0)</f>
        <v/>
      </c>
      <c r="AB104">
        <f>IF(AA104=C104,1,0)</f>
        <v/>
      </c>
    </row>
    <row r="105">
      <c r="A105">
        <f>'1 datos preparados'!A98</f>
        <v/>
      </c>
      <c r="B105" s="5">
        <f>'1 datos preparados'!U98</f>
        <v/>
      </c>
      <c r="C105">
        <f>'1 datos preparados'!B98</f>
        <v/>
      </c>
      <c r="D105" s="7">
        <f>'1 datos preparados'!C98</f>
        <v/>
      </c>
      <c r="E105" s="7">
        <f>'1 datos preparados'!D98</f>
        <v/>
      </c>
      <c r="F105" s="7">
        <f>'1 datos preparados'!E98</f>
        <v/>
      </c>
      <c r="G105" s="7">
        <f>'1 datos preparados'!F98</f>
        <v/>
      </c>
      <c r="H105" s="7">
        <f>'1 datos preparados'!G98</f>
        <v/>
      </c>
      <c r="I105" s="7">
        <f>'1 datos preparados'!H98</f>
        <v/>
      </c>
      <c r="J105" s="7">
        <f>'1 datos preparados'!I98</f>
        <v/>
      </c>
      <c r="K105" s="7">
        <f>'1 datos preparados'!J98</f>
        <v/>
      </c>
      <c r="L105" s="7">
        <f>'1 datos preparados'!K98</f>
        <v/>
      </c>
      <c r="M105" s="7">
        <f>'1 datos preparados'!L98</f>
        <v/>
      </c>
      <c r="N105" s="7">
        <f>'1 datos preparados'!M98</f>
        <v/>
      </c>
      <c r="O105" s="7">
        <f>'1 datos preparados'!N98</f>
        <v/>
      </c>
      <c r="P105" s="7">
        <f>'1 datos preparados'!O98</f>
        <v/>
      </c>
      <c r="Q105" s="7">
        <f>'1 datos preparados'!P98</f>
        <v/>
      </c>
      <c r="R105" s="7">
        <f>'1 datos preparados'!Q98</f>
        <v/>
      </c>
      <c r="S105" s="7">
        <f>'1 datos preparados'!R98</f>
        <v/>
      </c>
      <c r="T105" s="7">
        <f>'1 datos preparados'!S98</f>
        <v/>
      </c>
      <c r="U105" s="7">
        <f>'1 datos preparados'!T98</f>
        <v/>
      </c>
      <c r="V105" s="8">
        <f>$AE$12+D105*$AE$13+E105*$AE$14+F105*$AE$15+G105*$AE$16+H105*$AE$17+I105*$AE$18+J105*$AE$19+K105*$AE$20+L105*$AE$21+M105*$AE$22+N105*$AE$23+O105*$AE$24+P105*$AE$25+Q105*$AE$26+R105*$AE$27+S105*$AE$28+T105*$AE$29+U105*$AE$30</f>
        <v/>
      </c>
      <c r="W105" s="8">
        <f>1/(1+EXP(-V105))</f>
        <v/>
      </c>
      <c r="X105" s="9">
        <f>-IF(C105=1,LN(W105),LN(1-W105))</f>
        <v/>
      </c>
      <c r="Y105" s="8">
        <f>IF(C105=1,$AE$32,$AE$33)</f>
        <v/>
      </c>
      <c r="Z105" s="9">
        <f>Y105*X105</f>
        <v/>
      </c>
      <c r="AA105" s="10">
        <f>IF(W105&gt;$AE$34,1,0)</f>
        <v/>
      </c>
      <c r="AB105">
        <f>IF(AA105=C105,1,0)</f>
        <v/>
      </c>
    </row>
    <row r="106">
      <c r="A106">
        <f>'1 datos preparados'!A99</f>
        <v/>
      </c>
      <c r="B106" s="5">
        <f>'1 datos preparados'!U99</f>
        <v/>
      </c>
      <c r="C106">
        <f>'1 datos preparados'!B99</f>
        <v/>
      </c>
      <c r="D106" s="7">
        <f>'1 datos preparados'!C99</f>
        <v/>
      </c>
      <c r="E106" s="7">
        <f>'1 datos preparados'!D99</f>
        <v/>
      </c>
      <c r="F106" s="7">
        <f>'1 datos preparados'!E99</f>
        <v/>
      </c>
      <c r="G106" s="7">
        <f>'1 datos preparados'!F99</f>
        <v/>
      </c>
      <c r="H106" s="7">
        <f>'1 datos preparados'!G99</f>
        <v/>
      </c>
      <c r="I106" s="7">
        <f>'1 datos preparados'!H99</f>
        <v/>
      </c>
      <c r="J106" s="7">
        <f>'1 datos preparados'!I99</f>
        <v/>
      </c>
      <c r="K106" s="7">
        <f>'1 datos preparados'!J99</f>
        <v/>
      </c>
      <c r="L106" s="7">
        <f>'1 datos preparados'!K99</f>
        <v/>
      </c>
      <c r="M106" s="7">
        <f>'1 datos preparados'!L99</f>
        <v/>
      </c>
      <c r="N106" s="7">
        <f>'1 datos preparados'!M99</f>
        <v/>
      </c>
      <c r="O106" s="7">
        <f>'1 datos preparados'!N99</f>
        <v/>
      </c>
      <c r="P106" s="7">
        <f>'1 datos preparados'!O99</f>
        <v/>
      </c>
      <c r="Q106" s="7">
        <f>'1 datos preparados'!P99</f>
        <v/>
      </c>
      <c r="R106" s="7">
        <f>'1 datos preparados'!Q99</f>
        <v/>
      </c>
      <c r="S106" s="7">
        <f>'1 datos preparados'!R99</f>
        <v/>
      </c>
      <c r="T106" s="7">
        <f>'1 datos preparados'!S99</f>
        <v/>
      </c>
      <c r="U106" s="7">
        <f>'1 datos preparados'!T99</f>
        <v/>
      </c>
      <c r="V106" s="8">
        <f>$AE$12+D106*$AE$13+E106*$AE$14+F106*$AE$15+G106*$AE$16+H106*$AE$17+I106*$AE$18+J106*$AE$19+K106*$AE$20+L106*$AE$21+M106*$AE$22+N106*$AE$23+O106*$AE$24+P106*$AE$25+Q106*$AE$26+R106*$AE$27+S106*$AE$28+T106*$AE$29+U106*$AE$30</f>
        <v/>
      </c>
      <c r="W106" s="8">
        <f>1/(1+EXP(-V106))</f>
        <v/>
      </c>
      <c r="X106" s="9">
        <f>-IF(C106=1,LN(W106),LN(1-W106))</f>
        <v/>
      </c>
      <c r="Y106" s="8">
        <f>IF(C106=1,$AE$32,$AE$33)</f>
        <v/>
      </c>
      <c r="Z106" s="9">
        <f>Y106*X106</f>
        <v/>
      </c>
      <c r="AA106" s="10">
        <f>IF(W106&gt;$AE$34,1,0)</f>
        <v/>
      </c>
      <c r="AB106">
        <f>IF(AA106=C106,1,0)</f>
        <v/>
      </c>
    </row>
    <row r="107">
      <c r="A107">
        <f>'1 datos preparados'!A100</f>
        <v/>
      </c>
      <c r="B107" s="5">
        <f>'1 datos preparados'!U100</f>
        <v/>
      </c>
      <c r="C107">
        <f>'1 datos preparados'!B100</f>
        <v/>
      </c>
      <c r="D107" s="7">
        <f>'1 datos preparados'!C100</f>
        <v/>
      </c>
      <c r="E107" s="7">
        <f>'1 datos preparados'!D100</f>
        <v/>
      </c>
      <c r="F107" s="7">
        <f>'1 datos preparados'!E100</f>
        <v/>
      </c>
      <c r="G107" s="7">
        <f>'1 datos preparados'!F100</f>
        <v/>
      </c>
      <c r="H107" s="7">
        <f>'1 datos preparados'!G100</f>
        <v/>
      </c>
      <c r="I107" s="7">
        <f>'1 datos preparados'!H100</f>
        <v/>
      </c>
      <c r="J107" s="7">
        <f>'1 datos preparados'!I100</f>
        <v/>
      </c>
      <c r="K107" s="7">
        <f>'1 datos preparados'!J100</f>
        <v/>
      </c>
      <c r="L107" s="7">
        <f>'1 datos preparados'!K100</f>
        <v/>
      </c>
      <c r="M107" s="7">
        <f>'1 datos preparados'!L100</f>
        <v/>
      </c>
      <c r="N107" s="7">
        <f>'1 datos preparados'!M100</f>
        <v/>
      </c>
      <c r="O107" s="7">
        <f>'1 datos preparados'!N100</f>
        <v/>
      </c>
      <c r="P107" s="7">
        <f>'1 datos preparados'!O100</f>
        <v/>
      </c>
      <c r="Q107" s="7">
        <f>'1 datos preparados'!P100</f>
        <v/>
      </c>
      <c r="R107" s="7">
        <f>'1 datos preparados'!Q100</f>
        <v/>
      </c>
      <c r="S107" s="7">
        <f>'1 datos preparados'!R100</f>
        <v/>
      </c>
      <c r="T107" s="7">
        <f>'1 datos preparados'!S100</f>
        <v/>
      </c>
      <c r="U107" s="7">
        <f>'1 datos preparados'!T100</f>
        <v/>
      </c>
      <c r="V107" s="8">
        <f>$AE$12+D107*$AE$13+E107*$AE$14+F107*$AE$15+G107*$AE$16+H107*$AE$17+I107*$AE$18+J107*$AE$19+K107*$AE$20+L107*$AE$21+M107*$AE$22+N107*$AE$23+O107*$AE$24+P107*$AE$25+Q107*$AE$26+R107*$AE$27+S107*$AE$28+T107*$AE$29+U107*$AE$30</f>
        <v/>
      </c>
      <c r="W107" s="8">
        <f>1/(1+EXP(-V107))</f>
        <v/>
      </c>
      <c r="X107" s="9">
        <f>-IF(C107=1,LN(W107),LN(1-W107))</f>
        <v/>
      </c>
      <c r="Y107" s="8">
        <f>IF(C107=1,$AE$32,$AE$33)</f>
        <v/>
      </c>
      <c r="Z107" s="9">
        <f>Y107*X107</f>
        <v/>
      </c>
      <c r="AA107" s="10">
        <f>IF(W107&gt;$AE$34,1,0)</f>
        <v/>
      </c>
      <c r="AB107">
        <f>IF(AA107=C107,1,0)</f>
        <v/>
      </c>
    </row>
    <row r="108">
      <c r="A108">
        <f>'1 datos preparados'!A101</f>
        <v/>
      </c>
      <c r="B108" s="5">
        <f>'1 datos preparados'!U101</f>
        <v/>
      </c>
      <c r="C108">
        <f>'1 datos preparados'!B101</f>
        <v/>
      </c>
      <c r="D108" s="7">
        <f>'1 datos preparados'!C101</f>
        <v/>
      </c>
      <c r="E108" s="7">
        <f>'1 datos preparados'!D101</f>
        <v/>
      </c>
      <c r="F108" s="7">
        <f>'1 datos preparados'!E101</f>
        <v/>
      </c>
      <c r="G108" s="7">
        <f>'1 datos preparados'!F101</f>
        <v/>
      </c>
      <c r="H108" s="7">
        <f>'1 datos preparados'!G101</f>
        <v/>
      </c>
      <c r="I108" s="7">
        <f>'1 datos preparados'!H101</f>
        <v/>
      </c>
      <c r="J108" s="7">
        <f>'1 datos preparados'!I101</f>
        <v/>
      </c>
      <c r="K108" s="7">
        <f>'1 datos preparados'!J101</f>
        <v/>
      </c>
      <c r="L108" s="7">
        <f>'1 datos preparados'!K101</f>
        <v/>
      </c>
      <c r="M108" s="7">
        <f>'1 datos preparados'!L101</f>
        <v/>
      </c>
      <c r="N108" s="7">
        <f>'1 datos preparados'!M101</f>
        <v/>
      </c>
      <c r="O108" s="7">
        <f>'1 datos preparados'!N101</f>
        <v/>
      </c>
      <c r="P108" s="7">
        <f>'1 datos preparados'!O101</f>
        <v/>
      </c>
      <c r="Q108" s="7">
        <f>'1 datos preparados'!P101</f>
        <v/>
      </c>
      <c r="R108" s="7">
        <f>'1 datos preparados'!Q101</f>
        <v/>
      </c>
      <c r="S108" s="7">
        <f>'1 datos preparados'!R101</f>
        <v/>
      </c>
      <c r="T108" s="7">
        <f>'1 datos preparados'!S101</f>
        <v/>
      </c>
      <c r="U108" s="7">
        <f>'1 datos preparados'!T101</f>
        <v/>
      </c>
      <c r="V108" s="8">
        <f>$AE$12+D108*$AE$13+E108*$AE$14+F108*$AE$15+G108*$AE$16+H108*$AE$17+I108*$AE$18+J108*$AE$19+K108*$AE$20+L108*$AE$21+M108*$AE$22+N108*$AE$23+O108*$AE$24+P108*$AE$25+Q108*$AE$26+R108*$AE$27+S108*$AE$28+T108*$AE$29+U108*$AE$30</f>
        <v/>
      </c>
      <c r="W108" s="8">
        <f>1/(1+EXP(-V108))</f>
        <v/>
      </c>
      <c r="X108" s="9">
        <f>-IF(C108=1,LN(W108),LN(1-W108))</f>
        <v/>
      </c>
      <c r="Y108" s="8">
        <f>IF(C108=1,$AE$32,$AE$33)</f>
        <v/>
      </c>
      <c r="Z108" s="9">
        <f>Y108*X108</f>
        <v/>
      </c>
      <c r="AA108" s="10">
        <f>IF(W108&gt;$AE$34,1,0)</f>
        <v/>
      </c>
      <c r="AB108">
        <f>IF(AA108=C108,1,0)</f>
        <v/>
      </c>
    </row>
    <row r="109">
      <c r="A109">
        <f>'1 datos preparados'!A102</f>
        <v/>
      </c>
      <c r="B109" s="5">
        <f>'1 datos preparados'!U102</f>
        <v/>
      </c>
      <c r="C109">
        <f>'1 datos preparados'!B102</f>
        <v/>
      </c>
      <c r="D109" s="7">
        <f>'1 datos preparados'!C102</f>
        <v/>
      </c>
      <c r="E109" s="7">
        <f>'1 datos preparados'!D102</f>
        <v/>
      </c>
      <c r="F109" s="7">
        <f>'1 datos preparados'!E102</f>
        <v/>
      </c>
      <c r="G109" s="7">
        <f>'1 datos preparados'!F102</f>
        <v/>
      </c>
      <c r="H109" s="7">
        <f>'1 datos preparados'!G102</f>
        <v/>
      </c>
      <c r="I109" s="7">
        <f>'1 datos preparados'!H102</f>
        <v/>
      </c>
      <c r="J109" s="7">
        <f>'1 datos preparados'!I102</f>
        <v/>
      </c>
      <c r="K109" s="7">
        <f>'1 datos preparados'!J102</f>
        <v/>
      </c>
      <c r="L109" s="7">
        <f>'1 datos preparados'!K102</f>
        <v/>
      </c>
      <c r="M109" s="7">
        <f>'1 datos preparados'!L102</f>
        <v/>
      </c>
      <c r="N109" s="7">
        <f>'1 datos preparados'!M102</f>
        <v/>
      </c>
      <c r="O109" s="7">
        <f>'1 datos preparados'!N102</f>
        <v/>
      </c>
      <c r="P109" s="7">
        <f>'1 datos preparados'!O102</f>
        <v/>
      </c>
      <c r="Q109" s="7">
        <f>'1 datos preparados'!P102</f>
        <v/>
      </c>
      <c r="R109" s="7">
        <f>'1 datos preparados'!Q102</f>
        <v/>
      </c>
      <c r="S109" s="7">
        <f>'1 datos preparados'!R102</f>
        <v/>
      </c>
      <c r="T109" s="7">
        <f>'1 datos preparados'!S102</f>
        <v/>
      </c>
      <c r="U109" s="7">
        <f>'1 datos preparados'!T102</f>
        <v/>
      </c>
      <c r="V109" s="8">
        <f>$AE$12+D109*$AE$13+E109*$AE$14+F109*$AE$15+G109*$AE$16+H109*$AE$17+I109*$AE$18+J109*$AE$19+K109*$AE$20+L109*$AE$21+M109*$AE$22+N109*$AE$23+O109*$AE$24+P109*$AE$25+Q109*$AE$26+R109*$AE$27+S109*$AE$28+T109*$AE$29+U109*$AE$30</f>
        <v/>
      </c>
      <c r="W109" s="8">
        <f>1/(1+EXP(-V109))</f>
        <v/>
      </c>
      <c r="X109" s="9">
        <f>-IF(C109=1,LN(W109),LN(1-W109))</f>
        <v/>
      </c>
      <c r="Y109" s="8">
        <f>IF(C109=1,$AE$32,$AE$33)</f>
        <v/>
      </c>
      <c r="Z109" s="9">
        <f>Y109*X109</f>
        <v/>
      </c>
      <c r="AA109" s="10">
        <f>IF(W109&gt;$AE$34,1,0)</f>
        <v/>
      </c>
      <c r="AB109">
        <f>IF(AA109=C109,1,0)</f>
        <v/>
      </c>
    </row>
    <row r="110">
      <c r="A110">
        <f>'1 datos preparados'!A103</f>
        <v/>
      </c>
      <c r="B110" s="5">
        <f>'1 datos preparados'!U103</f>
        <v/>
      </c>
      <c r="C110">
        <f>'1 datos preparados'!B103</f>
        <v/>
      </c>
      <c r="D110" s="7">
        <f>'1 datos preparados'!C103</f>
        <v/>
      </c>
      <c r="E110" s="7">
        <f>'1 datos preparados'!D103</f>
        <v/>
      </c>
      <c r="F110" s="7">
        <f>'1 datos preparados'!E103</f>
        <v/>
      </c>
      <c r="G110" s="7">
        <f>'1 datos preparados'!F103</f>
        <v/>
      </c>
      <c r="H110" s="7">
        <f>'1 datos preparados'!G103</f>
        <v/>
      </c>
      <c r="I110" s="7">
        <f>'1 datos preparados'!H103</f>
        <v/>
      </c>
      <c r="J110" s="7">
        <f>'1 datos preparados'!I103</f>
        <v/>
      </c>
      <c r="K110" s="7">
        <f>'1 datos preparados'!J103</f>
        <v/>
      </c>
      <c r="L110" s="7">
        <f>'1 datos preparados'!K103</f>
        <v/>
      </c>
      <c r="M110" s="7">
        <f>'1 datos preparados'!L103</f>
        <v/>
      </c>
      <c r="N110" s="7">
        <f>'1 datos preparados'!M103</f>
        <v/>
      </c>
      <c r="O110" s="7">
        <f>'1 datos preparados'!N103</f>
        <v/>
      </c>
      <c r="P110" s="7">
        <f>'1 datos preparados'!O103</f>
        <v/>
      </c>
      <c r="Q110" s="7">
        <f>'1 datos preparados'!P103</f>
        <v/>
      </c>
      <c r="R110" s="7">
        <f>'1 datos preparados'!Q103</f>
        <v/>
      </c>
      <c r="S110" s="7">
        <f>'1 datos preparados'!R103</f>
        <v/>
      </c>
      <c r="T110" s="7">
        <f>'1 datos preparados'!S103</f>
        <v/>
      </c>
      <c r="U110" s="7">
        <f>'1 datos preparados'!T103</f>
        <v/>
      </c>
      <c r="V110" s="8">
        <f>$AE$12+D110*$AE$13+E110*$AE$14+F110*$AE$15+G110*$AE$16+H110*$AE$17+I110*$AE$18+J110*$AE$19+K110*$AE$20+L110*$AE$21+M110*$AE$22+N110*$AE$23+O110*$AE$24+P110*$AE$25+Q110*$AE$26+R110*$AE$27+S110*$AE$28+T110*$AE$29+U110*$AE$30</f>
        <v/>
      </c>
      <c r="W110" s="8">
        <f>1/(1+EXP(-V110))</f>
        <v/>
      </c>
      <c r="X110" s="9">
        <f>-IF(C110=1,LN(W110),LN(1-W110))</f>
        <v/>
      </c>
      <c r="Y110" s="8">
        <f>IF(C110=1,$AE$32,$AE$33)</f>
        <v/>
      </c>
      <c r="Z110" s="9">
        <f>Y110*X110</f>
        <v/>
      </c>
      <c r="AA110" s="10">
        <f>IF(W110&gt;$AE$34,1,0)</f>
        <v/>
      </c>
      <c r="AB110">
        <f>IF(AA110=C110,1,0)</f>
        <v/>
      </c>
    </row>
    <row r="111">
      <c r="A111">
        <f>'1 datos preparados'!A104</f>
        <v/>
      </c>
      <c r="B111" s="5">
        <f>'1 datos preparados'!U104</f>
        <v/>
      </c>
      <c r="C111">
        <f>'1 datos preparados'!B104</f>
        <v/>
      </c>
      <c r="D111" s="7">
        <f>'1 datos preparados'!C104</f>
        <v/>
      </c>
      <c r="E111" s="7">
        <f>'1 datos preparados'!D104</f>
        <v/>
      </c>
      <c r="F111" s="7">
        <f>'1 datos preparados'!E104</f>
        <v/>
      </c>
      <c r="G111" s="7">
        <f>'1 datos preparados'!F104</f>
        <v/>
      </c>
      <c r="H111" s="7">
        <f>'1 datos preparados'!G104</f>
        <v/>
      </c>
      <c r="I111" s="7">
        <f>'1 datos preparados'!H104</f>
        <v/>
      </c>
      <c r="J111" s="7">
        <f>'1 datos preparados'!I104</f>
        <v/>
      </c>
      <c r="K111" s="7">
        <f>'1 datos preparados'!J104</f>
        <v/>
      </c>
      <c r="L111" s="7">
        <f>'1 datos preparados'!K104</f>
        <v/>
      </c>
      <c r="M111" s="7">
        <f>'1 datos preparados'!L104</f>
        <v/>
      </c>
      <c r="N111" s="7">
        <f>'1 datos preparados'!M104</f>
        <v/>
      </c>
      <c r="O111" s="7">
        <f>'1 datos preparados'!N104</f>
        <v/>
      </c>
      <c r="P111" s="7">
        <f>'1 datos preparados'!O104</f>
        <v/>
      </c>
      <c r="Q111" s="7">
        <f>'1 datos preparados'!P104</f>
        <v/>
      </c>
      <c r="R111" s="7">
        <f>'1 datos preparados'!Q104</f>
        <v/>
      </c>
      <c r="S111" s="7">
        <f>'1 datos preparados'!R104</f>
        <v/>
      </c>
      <c r="T111" s="7">
        <f>'1 datos preparados'!S104</f>
        <v/>
      </c>
      <c r="U111" s="7">
        <f>'1 datos preparados'!T104</f>
        <v/>
      </c>
      <c r="V111" s="8">
        <f>$AE$12+D111*$AE$13+E111*$AE$14+F111*$AE$15+G111*$AE$16+H111*$AE$17+I111*$AE$18+J111*$AE$19+K111*$AE$20+L111*$AE$21+M111*$AE$22+N111*$AE$23+O111*$AE$24+P111*$AE$25+Q111*$AE$26+R111*$AE$27+S111*$AE$28+T111*$AE$29+U111*$AE$30</f>
        <v/>
      </c>
      <c r="W111" s="8">
        <f>1/(1+EXP(-V111))</f>
        <v/>
      </c>
      <c r="X111" s="9">
        <f>-IF(C111=1,LN(W111),LN(1-W111))</f>
        <v/>
      </c>
      <c r="Y111" s="8">
        <f>IF(C111=1,$AE$32,$AE$33)</f>
        <v/>
      </c>
      <c r="Z111" s="9">
        <f>Y111*X111</f>
        <v/>
      </c>
      <c r="AA111" s="10">
        <f>IF(W111&gt;$AE$34,1,0)</f>
        <v/>
      </c>
      <c r="AB111">
        <f>IF(AA111=C111,1,0)</f>
        <v/>
      </c>
    </row>
    <row r="112">
      <c r="A112">
        <f>'1 datos preparados'!A105</f>
        <v/>
      </c>
      <c r="B112" s="5">
        <f>'1 datos preparados'!U105</f>
        <v/>
      </c>
      <c r="C112">
        <f>'1 datos preparados'!B105</f>
        <v/>
      </c>
      <c r="D112" s="7">
        <f>'1 datos preparados'!C105</f>
        <v/>
      </c>
      <c r="E112" s="7">
        <f>'1 datos preparados'!D105</f>
        <v/>
      </c>
      <c r="F112" s="7">
        <f>'1 datos preparados'!E105</f>
        <v/>
      </c>
      <c r="G112" s="7">
        <f>'1 datos preparados'!F105</f>
        <v/>
      </c>
      <c r="H112" s="7">
        <f>'1 datos preparados'!G105</f>
        <v/>
      </c>
      <c r="I112" s="7">
        <f>'1 datos preparados'!H105</f>
        <v/>
      </c>
      <c r="J112" s="7">
        <f>'1 datos preparados'!I105</f>
        <v/>
      </c>
      <c r="K112" s="7">
        <f>'1 datos preparados'!J105</f>
        <v/>
      </c>
      <c r="L112" s="7">
        <f>'1 datos preparados'!K105</f>
        <v/>
      </c>
      <c r="M112" s="7">
        <f>'1 datos preparados'!L105</f>
        <v/>
      </c>
      <c r="N112" s="7">
        <f>'1 datos preparados'!M105</f>
        <v/>
      </c>
      <c r="O112" s="7">
        <f>'1 datos preparados'!N105</f>
        <v/>
      </c>
      <c r="P112" s="7">
        <f>'1 datos preparados'!O105</f>
        <v/>
      </c>
      <c r="Q112" s="7">
        <f>'1 datos preparados'!P105</f>
        <v/>
      </c>
      <c r="R112" s="7">
        <f>'1 datos preparados'!Q105</f>
        <v/>
      </c>
      <c r="S112" s="7">
        <f>'1 datos preparados'!R105</f>
        <v/>
      </c>
      <c r="T112" s="7">
        <f>'1 datos preparados'!S105</f>
        <v/>
      </c>
      <c r="U112" s="7">
        <f>'1 datos preparados'!T105</f>
        <v/>
      </c>
      <c r="V112" s="8">
        <f>$AE$12+D112*$AE$13+E112*$AE$14+F112*$AE$15+G112*$AE$16+H112*$AE$17+I112*$AE$18+J112*$AE$19+K112*$AE$20+L112*$AE$21+M112*$AE$22+N112*$AE$23+O112*$AE$24+P112*$AE$25+Q112*$AE$26+R112*$AE$27+S112*$AE$28+T112*$AE$29+U112*$AE$30</f>
        <v/>
      </c>
      <c r="W112" s="8">
        <f>1/(1+EXP(-V112))</f>
        <v/>
      </c>
      <c r="X112" s="9">
        <f>-IF(C112=1,LN(W112),LN(1-W112))</f>
        <v/>
      </c>
      <c r="Y112" s="8">
        <f>IF(C112=1,$AE$32,$AE$33)</f>
        <v/>
      </c>
      <c r="Z112" s="9">
        <f>Y112*X112</f>
        <v/>
      </c>
      <c r="AA112" s="10">
        <f>IF(W112&gt;$AE$34,1,0)</f>
        <v/>
      </c>
      <c r="AB112">
        <f>IF(AA112=C112,1,0)</f>
        <v/>
      </c>
    </row>
    <row r="113">
      <c r="A113">
        <f>'1 datos preparados'!A106</f>
        <v/>
      </c>
      <c r="B113" s="5">
        <f>'1 datos preparados'!U106</f>
        <v/>
      </c>
      <c r="C113">
        <f>'1 datos preparados'!B106</f>
        <v/>
      </c>
      <c r="D113" s="7">
        <f>'1 datos preparados'!C106</f>
        <v/>
      </c>
      <c r="E113" s="7">
        <f>'1 datos preparados'!D106</f>
        <v/>
      </c>
      <c r="F113" s="7">
        <f>'1 datos preparados'!E106</f>
        <v/>
      </c>
      <c r="G113" s="7">
        <f>'1 datos preparados'!F106</f>
        <v/>
      </c>
      <c r="H113" s="7">
        <f>'1 datos preparados'!G106</f>
        <v/>
      </c>
      <c r="I113" s="7">
        <f>'1 datos preparados'!H106</f>
        <v/>
      </c>
      <c r="J113" s="7">
        <f>'1 datos preparados'!I106</f>
        <v/>
      </c>
      <c r="K113" s="7">
        <f>'1 datos preparados'!J106</f>
        <v/>
      </c>
      <c r="L113" s="7">
        <f>'1 datos preparados'!K106</f>
        <v/>
      </c>
      <c r="M113" s="7">
        <f>'1 datos preparados'!L106</f>
        <v/>
      </c>
      <c r="N113" s="7">
        <f>'1 datos preparados'!M106</f>
        <v/>
      </c>
      <c r="O113" s="7">
        <f>'1 datos preparados'!N106</f>
        <v/>
      </c>
      <c r="P113" s="7">
        <f>'1 datos preparados'!O106</f>
        <v/>
      </c>
      <c r="Q113" s="7">
        <f>'1 datos preparados'!P106</f>
        <v/>
      </c>
      <c r="R113" s="7">
        <f>'1 datos preparados'!Q106</f>
        <v/>
      </c>
      <c r="S113" s="7">
        <f>'1 datos preparados'!R106</f>
        <v/>
      </c>
      <c r="T113" s="7">
        <f>'1 datos preparados'!S106</f>
        <v/>
      </c>
      <c r="U113" s="7">
        <f>'1 datos preparados'!T106</f>
        <v/>
      </c>
      <c r="V113" s="8">
        <f>$AE$12+D113*$AE$13+E113*$AE$14+F113*$AE$15+G113*$AE$16+H113*$AE$17+I113*$AE$18+J113*$AE$19+K113*$AE$20+L113*$AE$21+M113*$AE$22+N113*$AE$23+O113*$AE$24+P113*$AE$25+Q113*$AE$26+R113*$AE$27+S113*$AE$28+T113*$AE$29+U113*$AE$30</f>
        <v/>
      </c>
      <c r="W113" s="8">
        <f>1/(1+EXP(-V113))</f>
        <v/>
      </c>
      <c r="X113" s="9">
        <f>-IF(C113=1,LN(W113),LN(1-W113))</f>
        <v/>
      </c>
      <c r="Y113" s="8">
        <f>IF(C113=1,$AE$32,$AE$33)</f>
        <v/>
      </c>
      <c r="Z113" s="9">
        <f>Y113*X113</f>
        <v/>
      </c>
      <c r="AA113" s="10">
        <f>IF(W113&gt;$AE$34,1,0)</f>
        <v/>
      </c>
      <c r="AB113">
        <f>IF(AA113=C113,1,0)</f>
        <v/>
      </c>
    </row>
    <row r="114">
      <c r="A114">
        <f>'1 datos preparados'!A107</f>
        <v/>
      </c>
      <c r="B114" s="5">
        <f>'1 datos preparados'!U107</f>
        <v/>
      </c>
      <c r="C114">
        <f>'1 datos preparados'!B107</f>
        <v/>
      </c>
      <c r="D114" s="7">
        <f>'1 datos preparados'!C107</f>
        <v/>
      </c>
      <c r="E114" s="7">
        <f>'1 datos preparados'!D107</f>
        <v/>
      </c>
      <c r="F114" s="7">
        <f>'1 datos preparados'!E107</f>
        <v/>
      </c>
      <c r="G114" s="7">
        <f>'1 datos preparados'!F107</f>
        <v/>
      </c>
      <c r="H114" s="7">
        <f>'1 datos preparados'!G107</f>
        <v/>
      </c>
      <c r="I114" s="7">
        <f>'1 datos preparados'!H107</f>
        <v/>
      </c>
      <c r="J114" s="7">
        <f>'1 datos preparados'!I107</f>
        <v/>
      </c>
      <c r="K114" s="7">
        <f>'1 datos preparados'!J107</f>
        <v/>
      </c>
      <c r="L114" s="7">
        <f>'1 datos preparados'!K107</f>
        <v/>
      </c>
      <c r="M114" s="7">
        <f>'1 datos preparados'!L107</f>
        <v/>
      </c>
      <c r="N114" s="7">
        <f>'1 datos preparados'!M107</f>
        <v/>
      </c>
      <c r="O114" s="7">
        <f>'1 datos preparados'!N107</f>
        <v/>
      </c>
      <c r="P114" s="7">
        <f>'1 datos preparados'!O107</f>
        <v/>
      </c>
      <c r="Q114" s="7">
        <f>'1 datos preparados'!P107</f>
        <v/>
      </c>
      <c r="R114" s="7">
        <f>'1 datos preparados'!Q107</f>
        <v/>
      </c>
      <c r="S114" s="7">
        <f>'1 datos preparados'!R107</f>
        <v/>
      </c>
      <c r="T114" s="7">
        <f>'1 datos preparados'!S107</f>
        <v/>
      </c>
      <c r="U114" s="7">
        <f>'1 datos preparados'!T107</f>
        <v/>
      </c>
      <c r="V114" s="8">
        <f>$AE$12+D114*$AE$13+E114*$AE$14+F114*$AE$15+G114*$AE$16+H114*$AE$17+I114*$AE$18+J114*$AE$19+K114*$AE$20+L114*$AE$21+M114*$AE$22+N114*$AE$23+O114*$AE$24+P114*$AE$25+Q114*$AE$26+R114*$AE$27+S114*$AE$28+T114*$AE$29+U114*$AE$30</f>
        <v/>
      </c>
      <c r="W114" s="8">
        <f>1/(1+EXP(-V114))</f>
        <v/>
      </c>
      <c r="X114" s="9">
        <f>-IF(C114=1,LN(W114),LN(1-W114))</f>
        <v/>
      </c>
      <c r="Y114" s="8">
        <f>IF(C114=1,$AE$32,$AE$33)</f>
        <v/>
      </c>
      <c r="Z114" s="9">
        <f>Y114*X114</f>
        <v/>
      </c>
      <c r="AA114" s="10">
        <f>IF(W114&gt;$AE$34,1,0)</f>
        <v/>
      </c>
      <c r="AB114">
        <f>IF(AA114=C114,1,0)</f>
        <v/>
      </c>
    </row>
    <row r="115">
      <c r="A115">
        <f>'1 datos preparados'!A108</f>
        <v/>
      </c>
      <c r="B115" s="5">
        <f>'1 datos preparados'!U108</f>
        <v/>
      </c>
      <c r="C115">
        <f>'1 datos preparados'!B108</f>
        <v/>
      </c>
      <c r="D115" s="7">
        <f>'1 datos preparados'!C108</f>
        <v/>
      </c>
      <c r="E115" s="7">
        <f>'1 datos preparados'!D108</f>
        <v/>
      </c>
      <c r="F115" s="7">
        <f>'1 datos preparados'!E108</f>
        <v/>
      </c>
      <c r="G115" s="7">
        <f>'1 datos preparados'!F108</f>
        <v/>
      </c>
      <c r="H115" s="7">
        <f>'1 datos preparados'!G108</f>
        <v/>
      </c>
      <c r="I115" s="7">
        <f>'1 datos preparados'!H108</f>
        <v/>
      </c>
      <c r="J115" s="7">
        <f>'1 datos preparados'!I108</f>
        <v/>
      </c>
      <c r="K115" s="7">
        <f>'1 datos preparados'!J108</f>
        <v/>
      </c>
      <c r="L115" s="7">
        <f>'1 datos preparados'!K108</f>
        <v/>
      </c>
      <c r="M115" s="7">
        <f>'1 datos preparados'!L108</f>
        <v/>
      </c>
      <c r="N115" s="7">
        <f>'1 datos preparados'!M108</f>
        <v/>
      </c>
      <c r="O115" s="7">
        <f>'1 datos preparados'!N108</f>
        <v/>
      </c>
      <c r="P115" s="7">
        <f>'1 datos preparados'!O108</f>
        <v/>
      </c>
      <c r="Q115" s="7">
        <f>'1 datos preparados'!P108</f>
        <v/>
      </c>
      <c r="R115" s="7">
        <f>'1 datos preparados'!Q108</f>
        <v/>
      </c>
      <c r="S115" s="7">
        <f>'1 datos preparados'!R108</f>
        <v/>
      </c>
      <c r="T115" s="7">
        <f>'1 datos preparados'!S108</f>
        <v/>
      </c>
      <c r="U115" s="7">
        <f>'1 datos preparados'!T108</f>
        <v/>
      </c>
      <c r="V115" s="8">
        <f>$AE$12+D115*$AE$13+E115*$AE$14+F115*$AE$15+G115*$AE$16+H115*$AE$17+I115*$AE$18+J115*$AE$19+K115*$AE$20+L115*$AE$21+M115*$AE$22+N115*$AE$23+O115*$AE$24+P115*$AE$25+Q115*$AE$26+R115*$AE$27+S115*$AE$28+T115*$AE$29+U115*$AE$30</f>
        <v/>
      </c>
      <c r="W115" s="8">
        <f>1/(1+EXP(-V115))</f>
        <v/>
      </c>
      <c r="X115" s="9">
        <f>-IF(C115=1,LN(W115),LN(1-W115))</f>
        <v/>
      </c>
      <c r="Y115" s="8">
        <f>IF(C115=1,$AE$32,$AE$33)</f>
        <v/>
      </c>
      <c r="Z115" s="9">
        <f>Y115*X115</f>
        <v/>
      </c>
      <c r="AA115" s="10">
        <f>IF(W115&gt;$AE$34,1,0)</f>
        <v/>
      </c>
      <c r="AB115">
        <f>IF(AA115=C115,1,0)</f>
        <v/>
      </c>
    </row>
    <row r="116">
      <c r="A116">
        <f>'1 datos preparados'!A109</f>
        <v/>
      </c>
      <c r="B116" s="5">
        <f>'1 datos preparados'!U109</f>
        <v/>
      </c>
      <c r="C116">
        <f>'1 datos preparados'!B109</f>
        <v/>
      </c>
      <c r="D116" s="7">
        <f>'1 datos preparados'!C109</f>
        <v/>
      </c>
      <c r="E116" s="7">
        <f>'1 datos preparados'!D109</f>
        <v/>
      </c>
      <c r="F116" s="7">
        <f>'1 datos preparados'!E109</f>
        <v/>
      </c>
      <c r="G116" s="7">
        <f>'1 datos preparados'!F109</f>
        <v/>
      </c>
      <c r="H116" s="7">
        <f>'1 datos preparados'!G109</f>
        <v/>
      </c>
      <c r="I116" s="7">
        <f>'1 datos preparados'!H109</f>
        <v/>
      </c>
      <c r="J116" s="7">
        <f>'1 datos preparados'!I109</f>
        <v/>
      </c>
      <c r="K116" s="7">
        <f>'1 datos preparados'!J109</f>
        <v/>
      </c>
      <c r="L116" s="7">
        <f>'1 datos preparados'!K109</f>
        <v/>
      </c>
      <c r="M116" s="7">
        <f>'1 datos preparados'!L109</f>
        <v/>
      </c>
      <c r="N116" s="7">
        <f>'1 datos preparados'!M109</f>
        <v/>
      </c>
      <c r="O116" s="7">
        <f>'1 datos preparados'!N109</f>
        <v/>
      </c>
      <c r="P116" s="7">
        <f>'1 datos preparados'!O109</f>
        <v/>
      </c>
      <c r="Q116" s="7">
        <f>'1 datos preparados'!P109</f>
        <v/>
      </c>
      <c r="R116" s="7">
        <f>'1 datos preparados'!Q109</f>
        <v/>
      </c>
      <c r="S116" s="7">
        <f>'1 datos preparados'!R109</f>
        <v/>
      </c>
      <c r="T116" s="7">
        <f>'1 datos preparados'!S109</f>
        <v/>
      </c>
      <c r="U116" s="7">
        <f>'1 datos preparados'!T109</f>
        <v/>
      </c>
      <c r="V116" s="8">
        <f>$AE$12+D116*$AE$13+E116*$AE$14+F116*$AE$15+G116*$AE$16+H116*$AE$17+I116*$AE$18+J116*$AE$19+K116*$AE$20+L116*$AE$21+M116*$AE$22+N116*$AE$23+O116*$AE$24+P116*$AE$25+Q116*$AE$26+R116*$AE$27+S116*$AE$28+T116*$AE$29+U116*$AE$30</f>
        <v/>
      </c>
      <c r="W116" s="8">
        <f>1/(1+EXP(-V116))</f>
        <v/>
      </c>
      <c r="X116" s="9">
        <f>-IF(C116=1,LN(W116),LN(1-W116))</f>
        <v/>
      </c>
      <c r="Y116" s="8">
        <f>IF(C116=1,$AE$32,$AE$33)</f>
        <v/>
      </c>
      <c r="Z116" s="9">
        <f>Y116*X116</f>
        <v/>
      </c>
      <c r="AA116" s="10">
        <f>IF(W116&gt;$AE$34,1,0)</f>
        <v/>
      </c>
      <c r="AB116">
        <f>IF(AA116=C116,1,0)</f>
        <v/>
      </c>
    </row>
    <row r="117">
      <c r="A117">
        <f>'1 datos preparados'!A110</f>
        <v/>
      </c>
      <c r="B117" s="5">
        <f>'1 datos preparados'!U110</f>
        <v/>
      </c>
      <c r="C117">
        <f>'1 datos preparados'!B110</f>
        <v/>
      </c>
      <c r="D117" s="7">
        <f>'1 datos preparados'!C110</f>
        <v/>
      </c>
      <c r="E117" s="7">
        <f>'1 datos preparados'!D110</f>
        <v/>
      </c>
      <c r="F117" s="7">
        <f>'1 datos preparados'!E110</f>
        <v/>
      </c>
      <c r="G117" s="7">
        <f>'1 datos preparados'!F110</f>
        <v/>
      </c>
      <c r="H117" s="7">
        <f>'1 datos preparados'!G110</f>
        <v/>
      </c>
      <c r="I117" s="7">
        <f>'1 datos preparados'!H110</f>
        <v/>
      </c>
      <c r="J117" s="7">
        <f>'1 datos preparados'!I110</f>
        <v/>
      </c>
      <c r="K117" s="7">
        <f>'1 datos preparados'!J110</f>
        <v/>
      </c>
      <c r="L117" s="7">
        <f>'1 datos preparados'!K110</f>
        <v/>
      </c>
      <c r="M117" s="7">
        <f>'1 datos preparados'!L110</f>
        <v/>
      </c>
      <c r="N117" s="7">
        <f>'1 datos preparados'!M110</f>
        <v/>
      </c>
      <c r="O117" s="7">
        <f>'1 datos preparados'!N110</f>
        <v/>
      </c>
      <c r="P117" s="7">
        <f>'1 datos preparados'!O110</f>
        <v/>
      </c>
      <c r="Q117" s="7">
        <f>'1 datos preparados'!P110</f>
        <v/>
      </c>
      <c r="R117" s="7">
        <f>'1 datos preparados'!Q110</f>
        <v/>
      </c>
      <c r="S117" s="7">
        <f>'1 datos preparados'!R110</f>
        <v/>
      </c>
      <c r="T117" s="7">
        <f>'1 datos preparados'!S110</f>
        <v/>
      </c>
      <c r="U117" s="7">
        <f>'1 datos preparados'!T110</f>
        <v/>
      </c>
      <c r="V117" s="8">
        <f>$AE$12+D117*$AE$13+E117*$AE$14+F117*$AE$15+G117*$AE$16+H117*$AE$17+I117*$AE$18+J117*$AE$19+K117*$AE$20+L117*$AE$21+M117*$AE$22+N117*$AE$23+O117*$AE$24+P117*$AE$25+Q117*$AE$26+R117*$AE$27+S117*$AE$28+T117*$AE$29+U117*$AE$30</f>
        <v/>
      </c>
      <c r="W117" s="8">
        <f>1/(1+EXP(-V117))</f>
        <v/>
      </c>
      <c r="X117" s="9">
        <f>-IF(C117=1,LN(W117),LN(1-W117))</f>
        <v/>
      </c>
      <c r="Y117" s="8">
        <f>IF(C117=1,$AE$32,$AE$33)</f>
        <v/>
      </c>
      <c r="Z117" s="9">
        <f>Y117*X117</f>
        <v/>
      </c>
      <c r="AA117" s="10">
        <f>IF(W117&gt;$AE$34,1,0)</f>
        <v/>
      </c>
      <c r="AB117">
        <f>IF(AA117=C117,1,0)</f>
        <v/>
      </c>
    </row>
    <row r="118">
      <c r="A118">
        <f>'1 datos preparados'!A111</f>
        <v/>
      </c>
      <c r="B118" s="5">
        <f>'1 datos preparados'!U111</f>
        <v/>
      </c>
      <c r="C118">
        <f>'1 datos preparados'!B111</f>
        <v/>
      </c>
      <c r="D118" s="7">
        <f>'1 datos preparados'!C111</f>
        <v/>
      </c>
      <c r="E118" s="7">
        <f>'1 datos preparados'!D111</f>
        <v/>
      </c>
      <c r="F118" s="7">
        <f>'1 datos preparados'!E111</f>
        <v/>
      </c>
      <c r="G118" s="7">
        <f>'1 datos preparados'!F111</f>
        <v/>
      </c>
      <c r="H118" s="7">
        <f>'1 datos preparados'!G111</f>
        <v/>
      </c>
      <c r="I118" s="7">
        <f>'1 datos preparados'!H111</f>
        <v/>
      </c>
      <c r="J118" s="7">
        <f>'1 datos preparados'!I111</f>
        <v/>
      </c>
      <c r="K118" s="7">
        <f>'1 datos preparados'!J111</f>
        <v/>
      </c>
      <c r="L118" s="7">
        <f>'1 datos preparados'!K111</f>
        <v/>
      </c>
      <c r="M118" s="7">
        <f>'1 datos preparados'!L111</f>
        <v/>
      </c>
      <c r="N118" s="7">
        <f>'1 datos preparados'!M111</f>
        <v/>
      </c>
      <c r="O118" s="7">
        <f>'1 datos preparados'!N111</f>
        <v/>
      </c>
      <c r="P118" s="7">
        <f>'1 datos preparados'!O111</f>
        <v/>
      </c>
      <c r="Q118" s="7">
        <f>'1 datos preparados'!P111</f>
        <v/>
      </c>
      <c r="R118" s="7">
        <f>'1 datos preparados'!Q111</f>
        <v/>
      </c>
      <c r="S118" s="7">
        <f>'1 datos preparados'!R111</f>
        <v/>
      </c>
      <c r="T118" s="7">
        <f>'1 datos preparados'!S111</f>
        <v/>
      </c>
      <c r="U118" s="7">
        <f>'1 datos preparados'!T111</f>
        <v/>
      </c>
      <c r="V118" s="8">
        <f>$AE$12+D118*$AE$13+E118*$AE$14+F118*$AE$15+G118*$AE$16+H118*$AE$17+I118*$AE$18+J118*$AE$19+K118*$AE$20+L118*$AE$21+M118*$AE$22+N118*$AE$23+O118*$AE$24+P118*$AE$25+Q118*$AE$26+R118*$AE$27+S118*$AE$28+T118*$AE$29+U118*$AE$30</f>
        <v/>
      </c>
      <c r="W118" s="8">
        <f>1/(1+EXP(-V118))</f>
        <v/>
      </c>
      <c r="X118" s="9">
        <f>-IF(C118=1,LN(W118),LN(1-W118))</f>
        <v/>
      </c>
      <c r="Y118" s="8">
        <f>IF(C118=1,$AE$32,$AE$33)</f>
        <v/>
      </c>
      <c r="Z118" s="9">
        <f>Y118*X118</f>
        <v/>
      </c>
      <c r="AA118" s="10">
        <f>IF(W118&gt;$AE$34,1,0)</f>
        <v/>
      </c>
      <c r="AB118">
        <f>IF(AA118=C118,1,0)</f>
        <v/>
      </c>
    </row>
    <row r="119">
      <c r="A119">
        <f>'1 datos preparados'!A112</f>
        <v/>
      </c>
      <c r="B119" s="5">
        <f>'1 datos preparados'!U112</f>
        <v/>
      </c>
      <c r="C119">
        <f>'1 datos preparados'!B112</f>
        <v/>
      </c>
      <c r="D119" s="7">
        <f>'1 datos preparados'!C112</f>
        <v/>
      </c>
      <c r="E119" s="7">
        <f>'1 datos preparados'!D112</f>
        <v/>
      </c>
      <c r="F119" s="7">
        <f>'1 datos preparados'!E112</f>
        <v/>
      </c>
      <c r="G119" s="7">
        <f>'1 datos preparados'!F112</f>
        <v/>
      </c>
      <c r="H119" s="7">
        <f>'1 datos preparados'!G112</f>
        <v/>
      </c>
      <c r="I119" s="7">
        <f>'1 datos preparados'!H112</f>
        <v/>
      </c>
      <c r="J119" s="7">
        <f>'1 datos preparados'!I112</f>
        <v/>
      </c>
      <c r="K119" s="7">
        <f>'1 datos preparados'!J112</f>
        <v/>
      </c>
      <c r="L119" s="7">
        <f>'1 datos preparados'!K112</f>
        <v/>
      </c>
      <c r="M119" s="7">
        <f>'1 datos preparados'!L112</f>
        <v/>
      </c>
      <c r="N119" s="7">
        <f>'1 datos preparados'!M112</f>
        <v/>
      </c>
      <c r="O119" s="7">
        <f>'1 datos preparados'!N112</f>
        <v/>
      </c>
      <c r="P119" s="7">
        <f>'1 datos preparados'!O112</f>
        <v/>
      </c>
      <c r="Q119" s="7">
        <f>'1 datos preparados'!P112</f>
        <v/>
      </c>
      <c r="R119" s="7">
        <f>'1 datos preparados'!Q112</f>
        <v/>
      </c>
      <c r="S119" s="7">
        <f>'1 datos preparados'!R112</f>
        <v/>
      </c>
      <c r="T119" s="7">
        <f>'1 datos preparados'!S112</f>
        <v/>
      </c>
      <c r="U119" s="7">
        <f>'1 datos preparados'!T112</f>
        <v/>
      </c>
      <c r="V119" s="8">
        <f>$AE$12+D119*$AE$13+E119*$AE$14+F119*$AE$15+G119*$AE$16+H119*$AE$17+I119*$AE$18+J119*$AE$19+K119*$AE$20+L119*$AE$21+M119*$AE$22+N119*$AE$23+O119*$AE$24+P119*$AE$25+Q119*$AE$26+R119*$AE$27+S119*$AE$28+T119*$AE$29+U119*$AE$30</f>
        <v/>
      </c>
      <c r="W119" s="8">
        <f>1/(1+EXP(-V119))</f>
        <v/>
      </c>
      <c r="X119" s="9">
        <f>-IF(C119=1,LN(W119),LN(1-W119))</f>
        <v/>
      </c>
      <c r="Y119" s="8">
        <f>IF(C119=1,$AE$32,$AE$33)</f>
        <v/>
      </c>
      <c r="Z119" s="9">
        <f>Y119*X119</f>
        <v/>
      </c>
      <c r="AA119" s="10">
        <f>IF(W119&gt;$AE$34,1,0)</f>
        <v/>
      </c>
      <c r="AB119">
        <f>IF(AA119=C119,1,0)</f>
        <v/>
      </c>
    </row>
    <row r="120">
      <c r="A120">
        <f>'1 datos preparados'!A113</f>
        <v/>
      </c>
      <c r="B120" s="5">
        <f>'1 datos preparados'!U113</f>
        <v/>
      </c>
      <c r="C120">
        <f>'1 datos preparados'!B113</f>
        <v/>
      </c>
      <c r="D120" s="7">
        <f>'1 datos preparados'!C113</f>
        <v/>
      </c>
      <c r="E120" s="7">
        <f>'1 datos preparados'!D113</f>
        <v/>
      </c>
      <c r="F120" s="7">
        <f>'1 datos preparados'!E113</f>
        <v/>
      </c>
      <c r="G120" s="7">
        <f>'1 datos preparados'!F113</f>
        <v/>
      </c>
      <c r="H120" s="7">
        <f>'1 datos preparados'!G113</f>
        <v/>
      </c>
      <c r="I120" s="7">
        <f>'1 datos preparados'!H113</f>
        <v/>
      </c>
      <c r="J120" s="7">
        <f>'1 datos preparados'!I113</f>
        <v/>
      </c>
      <c r="K120" s="7">
        <f>'1 datos preparados'!J113</f>
        <v/>
      </c>
      <c r="L120" s="7">
        <f>'1 datos preparados'!K113</f>
        <v/>
      </c>
      <c r="M120" s="7">
        <f>'1 datos preparados'!L113</f>
        <v/>
      </c>
      <c r="N120" s="7">
        <f>'1 datos preparados'!M113</f>
        <v/>
      </c>
      <c r="O120" s="7">
        <f>'1 datos preparados'!N113</f>
        <v/>
      </c>
      <c r="P120" s="7">
        <f>'1 datos preparados'!O113</f>
        <v/>
      </c>
      <c r="Q120" s="7">
        <f>'1 datos preparados'!P113</f>
        <v/>
      </c>
      <c r="R120" s="7">
        <f>'1 datos preparados'!Q113</f>
        <v/>
      </c>
      <c r="S120" s="7">
        <f>'1 datos preparados'!R113</f>
        <v/>
      </c>
      <c r="T120" s="7">
        <f>'1 datos preparados'!S113</f>
        <v/>
      </c>
      <c r="U120" s="7">
        <f>'1 datos preparados'!T113</f>
        <v/>
      </c>
      <c r="V120" s="8">
        <f>$AE$12+D120*$AE$13+E120*$AE$14+F120*$AE$15+G120*$AE$16+H120*$AE$17+I120*$AE$18+J120*$AE$19+K120*$AE$20+L120*$AE$21+M120*$AE$22+N120*$AE$23+O120*$AE$24+P120*$AE$25+Q120*$AE$26+R120*$AE$27+S120*$AE$28+T120*$AE$29+U120*$AE$30</f>
        <v/>
      </c>
      <c r="W120" s="8">
        <f>1/(1+EXP(-V120))</f>
        <v/>
      </c>
      <c r="X120" s="9">
        <f>-IF(C120=1,LN(W120),LN(1-W120))</f>
        <v/>
      </c>
      <c r="Y120" s="8">
        <f>IF(C120=1,$AE$32,$AE$33)</f>
        <v/>
      </c>
      <c r="Z120" s="9">
        <f>Y120*X120</f>
        <v/>
      </c>
      <c r="AA120" s="10">
        <f>IF(W120&gt;$AE$34,1,0)</f>
        <v/>
      </c>
      <c r="AB120">
        <f>IF(AA120=C120,1,0)</f>
        <v/>
      </c>
    </row>
    <row r="121">
      <c r="A121">
        <f>'1 datos preparados'!A114</f>
        <v/>
      </c>
      <c r="B121" s="5">
        <f>'1 datos preparados'!U114</f>
        <v/>
      </c>
      <c r="C121">
        <f>'1 datos preparados'!B114</f>
        <v/>
      </c>
      <c r="D121" s="7">
        <f>'1 datos preparados'!C114</f>
        <v/>
      </c>
      <c r="E121" s="7">
        <f>'1 datos preparados'!D114</f>
        <v/>
      </c>
      <c r="F121" s="7">
        <f>'1 datos preparados'!E114</f>
        <v/>
      </c>
      <c r="G121" s="7">
        <f>'1 datos preparados'!F114</f>
        <v/>
      </c>
      <c r="H121" s="7">
        <f>'1 datos preparados'!G114</f>
        <v/>
      </c>
      <c r="I121" s="7">
        <f>'1 datos preparados'!H114</f>
        <v/>
      </c>
      <c r="J121" s="7">
        <f>'1 datos preparados'!I114</f>
        <v/>
      </c>
      <c r="K121" s="7">
        <f>'1 datos preparados'!J114</f>
        <v/>
      </c>
      <c r="L121" s="7">
        <f>'1 datos preparados'!K114</f>
        <v/>
      </c>
      <c r="M121" s="7">
        <f>'1 datos preparados'!L114</f>
        <v/>
      </c>
      <c r="N121" s="7">
        <f>'1 datos preparados'!M114</f>
        <v/>
      </c>
      <c r="O121" s="7">
        <f>'1 datos preparados'!N114</f>
        <v/>
      </c>
      <c r="P121" s="7">
        <f>'1 datos preparados'!O114</f>
        <v/>
      </c>
      <c r="Q121" s="7">
        <f>'1 datos preparados'!P114</f>
        <v/>
      </c>
      <c r="R121" s="7">
        <f>'1 datos preparados'!Q114</f>
        <v/>
      </c>
      <c r="S121" s="7">
        <f>'1 datos preparados'!R114</f>
        <v/>
      </c>
      <c r="T121" s="7">
        <f>'1 datos preparados'!S114</f>
        <v/>
      </c>
      <c r="U121" s="7">
        <f>'1 datos preparados'!T114</f>
        <v/>
      </c>
      <c r="V121" s="8">
        <f>$AE$12+D121*$AE$13+E121*$AE$14+F121*$AE$15+G121*$AE$16+H121*$AE$17+I121*$AE$18+J121*$AE$19+K121*$AE$20+L121*$AE$21+M121*$AE$22+N121*$AE$23+O121*$AE$24+P121*$AE$25+Q121*$AE$26+R121*$AE$27+S121*$AE$28+T121*$AE$29+U121*$AE$30</f>
        <v/>
      </c>
      <c r="W121" s="8">
        <f>1/(1+EXP(-V121))</f>
        <v/>
      </c>
      <c r="X121" s="9">
        <f>-IF(C121=1,LN(W121),LN(1-W121))</f>
        <v/>
      </c>
      <c r="Y121" s="8">
        <f>IF(C121=1,$AE$32,$AE$33)</f>
        <v/>
      </c>
      <c r="Z121" s="9">
        <f>Y121*X121</f>
        <v/>
      </c>
      <c r="AA121" s="10">
        <f>IF(W121&gt;$AE$34,1,0)</f>
        <v/>
      </c>
      <c r="AB121">
        <f>IF(AA121=C121,1,0)</f>
        <v/>
      </c>
    </row>
    <row r="122">
      <c r="A122">
        <f>'1 datos preparados'!A115</f>
        <v/>
      </c>
      <c r="B122" s="5">
        <f>'1 datos preparados'!U115</f>
        <v/>
      </c>
      <c r="C122">
        <f>'1 datos preparados'!B115</f>
        <v/>
      </c>
      <c r="D122" s="7">
        <f>'1 datos preparados'!C115</f>
        <v/>
      </c>
      <c r="E122" s="7">
        <f>'1 datos preparados'!D115</f>
        <v/>
      </c>
      <c r="F122" s="7">
        <f>'1 datos preparados'!E115</f>
        <v/>
      </c>
      <c r="G122" s="7">
        <f>'1 datos preparados'!F115</f>
        <v/>
      </c>
      <c r="H122" s="7">
        <f>'1 datos preparados'!G115</f>
        <v/>
      </c>
      <c r="I122" s="7">
        <f>'1 datos preparados'!H115</f>
        <v/>
      </c>
      <c r="J122" s="7">
        <f>'1 datos preparados'!I115</f>
        <v/>
      </c>
      <c r="K122" s="7">
        <f>'1 datos preparados'!J115</f>
        <v/>
      </c>
      <c r="L122" s="7">
        <f>'1 datos preparados'!K115</f>
        <v/>
      </c>
      <c r="M122" s="7">
        <f>'1 datos preparados'!L115</f>
        <v/>
      </c>
      <c r="N122" s="7">
        <f>'1 datos preparados'!M115</f>
        <v/>
      </c>
      <c r="O122" s="7">
        <f>'1 datos preparados'!N115</f>
        <v/>
      </c>
      <c r="P122" s="7">
        <f>'1 datos preparados'!O115</f>
        <v/>
      </c>
      <c r="Q122" s="7">
        <f>'1 datos preparados'!P115</f>
        <v/>
      </c>
      <c r="R122" s="7">
        <f>'1 datos preparados'!Q115</f>
        <v/>
      </c>
      <c r="S122" s="7">
        <f>'1 datos preparados'!R115</f>
        <v/>
      </c>
      <c r="T122" s="7">
        <f>'1 datos preparados'!S115</f>
        <v/>
      </c>
      <c r="U122" s="7">
        <f>'1 datos preparados'!T115</f>
        <v/>
      </c>
      <c r="V122" s="8">
        <f>$AE$12+D122*$AE$13+E122*$AE$14+F122*$AE$15+G122*$AE$16+H122*$AE$17+I122*$AE$18+J122*$AE$19+K122*$AE$20+L122*$AE$21+M122*$AE$22+N122*$AE$23+O122*$AE$24+P122*$AE$25+Q122*$AE$26+R122*$AE$27+S122*$AE$28+T122*$AE$29+U122*$AE$30</f>
        <v/>
      </c>
      <c r="W122" s="8">
        <f>1/(1+EXP(-V122))</f>
        <v/>
      </c>
      <c r="X122" s="9">
        <f>-IF(C122=1,LN(W122),LN(1-W122))</f>
        <v/>
      </c>
      <c r="Y122" s="8">
        <f>IF(C122=1,$AE$32,$AE$33)</f>
        <v/>
      </c>
      <c r="Z122" s="9">
        <f>Y122*X122</f>
        <v/>
      </c>
      <c r="AA122" s="10">
        <f>IF(W122&gt;$AE$34,1,0)</f>
        <v/>
      </c>
      <c r="AB122">
        <f>IF(AA122=C122,1,0)</f>
        <v/>
      </c>
    </row>
    <row r="123">
      <c r="A123">
        <f>'1 datos preparados'!A116</f>
        <v/>
      </c>
      <c r="B123" s="5">
        <f>'1 datos preparados'!U116</f>
        <v/>
      </c>
      <c r="C123">
        <f>'1 datos preparados'!B116</f>
        <v/>
      </c>
      <c r="D123" s="7">
        <f>'1 datos preparados'!C116</f>
        <v/>
      </c>
      <c r="E123" s="7">
        <f>'1 datos preparados'!D116</f>
        <v/>
      </c>
      <c r="F123" s="7">
        <f>'1 datos preparados'!E116</f>
        <v/>
      </c>
      <c r="G123" s="7">
        <f>'1 datos preparados'!F116</f>
        <v/>
      </c>
      <c r="H123" s="7">
        <f>'1 datos preparados'!G116</f>
        <v/>
      </c>
      <c r="I123" s="7">
        <f>'1 datos preparados'!H116</f>
        <v/>
      </c>
      <c r="J123" s="7">
        <f>'1 datos preparados'!I116</f>
        <v/>
      </c>
      <c r="K123" s="7">
        <f>'1 datos preparados'!J116</f>
        <v/>
      </c>
      <c r="L123" s="7">
        <f>'1 datos preparados'!K116</f>
        <v/>
      </c>
      <c r="M123" s="7">
        <f>'1 datos preparados'!L116</f>
        <v/>
      </c>
      <c r="N123" s="7">
        <f>'1 datos preparados'!M116</f>
        <v/>
      </c>
      <c r="O123" s="7">
        <f>'1 datos preparados'!N116</f>
        <v/>
      </c>
      <c r="P123" s="7">
        <f>'1 datos preparados'!O116</f>
        <v/>
      </c>
      <c r="Q123" s="7">
        <f>'1 datos preparados'!P116</f>
        <v/>
      </c>
      <c r="R123" s="7">
        <f>'1 datos preparados'!Q116</f>
        <v/>
      </c>
      <c r="S123" s="7">
        <f>'1 datos preparados'!R116</f>
        <v/>
      </c>
      <c r="T123" s="7">
        <f>'1 datos preparados'!S116</f>
        <v/>
      </c>
      <c r="U123" s="7">
        <f>'1 datos preparados'!T116</f>
        <v/>
      </c>
      <c r="V123" s="8">
        <f>$AE$12+D123*$AE$13+E123*$AE$14+F123*$AE$15+G123*$AE$16+H123*$AE$17+I123*$AE$18+J123*$AE$19+K123*$AE$20+L123*$AE$21+M123*$AE$22+N123*$AE$23+O123*$AE$24+P123*$AE$25+Q123*$AE$26+R123*$AE$27+S123*$AE$28+T123*$AE$29+U123*$AE$30</f>
        <v/>
      </c>
      <c r="W123" s="8">
        <f>1/(1+EXP(-V123))</f>
        <v/>
      </c>
      <c r="X123" s="9">
        <f>-IF(C123=1,LN(W123),LN(1-W123))</f>
        <v/>
      </c>
      <c r="Y123" s="8">
        <f>IF(C123=1,$AE$32,$AE$33)</f>
        <v/>
      </c>
      <c r="Z123" s="9">
        <f>Y123*X123</f>
        <v/>
      </c>
      <c r="AA123" s="10">
        <f>IF(W123&gt;$AE$34,1,0)</f>
        <v/>
      </c>
      <c r="AB123">
        <f>IF(AA123=C123,1,0)</f>
        <v/>
      </c>
    </row>
    <row r="124">
      <c r="A124">
        <f>'1 datos preparados'!A117</f>
        <v/>
      </c>
      <c r="B124" s="5">
        <f>'1 datos preparados'!U117</f>
        <v/>
      </c>
      <c r="C124">
        <f>'1 datos preparados'!B117</f>
        <v/>
      </c>
      <c r="D124" s="7">
        <f>'1 datos preparados'!C117</f>
        <v/>
      </c>
      <c r="E124" s="7">
        <f>'1 datos preparados'!D117</f>
        <v/>
      </c>
      <c r="F124" s="7">
        <f>'1 datos preparados'!E117</f>
        <v/>
      </c>
      <c r="G124" s="7">
        <f>'1 datos preparados'!F117</f>
        <v/>
      </c>
      <c r="H124" s="7">
        <f>'1 datos preparados'!G117</f>
        <v/>
      </c>
      <c r="I124" s="7">
        <f>'1 datos preparados'!H117</f>
        <v/>
      </c>
      <c r="J124" s="7">
        <f>'1 datos preparados'!I117</f>
        <v/>
      </c>
      <c r="K124" s="7">
        <f>'1 datos preparados'!J117</f>
        <v/>
      </c>
      <c r="L124" s="7">
        <f>'1 datos preparados'!K117</f>
        <v/>
      </c>
      <c r="M124" s="7">
        <f>'1 datos preparados'!L117</f>
        <v/>
      </c>
      <c r="N124" s="7">
        <f>'1 datos preparados'!M117</f>
        <v/>
      </c>
      <c r="O124" s="7">
        <f>'1 datos preparados'!N117</f>
        <v/>
      </c>
      <c r="P124" s="7">
        <f>'1 datos preparados'!O117</f>
        <v/>
      </c>
      <c r="Q124" s="7">
        <f>'1 datos preparados'!P117</f>
        <v/>
      </c>
      <c r="R124" s="7">
        <f>'1 datos preparados'!Q117</f>
        <v/>
      </c>
      <c r="S124" s="7">
        <f>'1 datos preparados'!R117</f>
        <v/>
      </c>
      <c r="T124" s="7">
        <f>'1 datos preparados'!S117</f>
        <v/>
      </c>
      <c r="U124" s="7">
        <f>'1 datos preparados'!T117</f>
        <v/>
      </c>
      <c r="V124" s="8">
        <f>$AE$12+D124*$AE$13+E124*$AE$14+F124*$AE$15+G124*$AE$16+H124*$AE$17+I124*$AE$18+J124*$AE$19+K124*$AE$20+L124*$AE$21+M124*$AE$22+N124*$AE$23+O124*$AE$24+P124*$AE$25+Q124*$AE$26+R124*$AE$27+S124*$AE$28+T124*$AE$29+U124*$AE$30</f>
        <v/>
      </c>
      <c r="W124" s="8">
        <f>1/(1+EXP(-V124))</f>
        <v/>
      </c>
      <c r="X124" s="9">
        <f>-IF(C124=1,LN(W124),LN(1-W124))</f>
        <v/>
      </c>
      <c r="Y124" s="8">
        <f>IF(C124=1,$AE$32,$AE$33)</f>
        <v/>
      </c>
      <c r="Z124" s="9">
        <f>Y124*X124</f>
        <v/>
      </c>
      <c r="AA124" s="10">
        <f>IF(W124&gt;$AE$34,1,0)</f>
        <v/>
      </c>
      <c r="AB124">
        <f>IF(AA124=C124,1,0)</f>
        <v/>
      </c>
    </row>
    <row r="125">
      <c r="A125">
        <f>'1 datos preparados'!A118</f>
        <v/>
      </c>
      <c r="B125" s="5">
        <f>'1 datos preparados'!U118</f>
        <v/>
      </c>
      <c r="C125">
        <f>'1 datos preparados'!B118</f>
        <v/>
      </c>
      <c r="D125" s="7">
        <f>'1 datos preparados'!C118</f>
        <v/>
      </c>
      <c r="E125" s="7">
        <f>'1 datos preparados'!D118</f>
        <v/>
      </c>
      <c r="F125" s="7">
        <f>'1 datos preparados'!E118</f>
        <v/>
      </c>
      <c r="G125" s="7">
        <f>'1 datos preparados'!F118</f>
        <v/>
      </c>
      <c r="H125" s="7">
        <f>'1 datos preparados'!G118</f>
        <v/>
      </c>
      <c r="I125" s="7">
        <f>'1 datos preparados'!H118</f>
        <v/>
      </c>
      <c r="J125" s="7">
        <f>'1 datos preparados'!I118</f>
        <v/>
      </c>
      <c r="K125" s="7">
        <f>'1 datos preparados'!J118</f>
        <v/>
      </c>
      <c r="L125" s="7">
        <f>'1 datos preparados'!K118</f>
        <v/>
      </c>
      <c r="M125" s="7">
        <f>'1 datos preparados'!L118</f>
        <v/>
      </c>
      <c r="N125" s="7">
        <f>'1 datos preparados'!M118</f>
        <v/>
      </c>
      <c r="O125" s="7">
        <f>'1 datos preparados'!N118</f>
        <v/>
      </c>
      <c r="P125" s="7">
        <f>'1 datos preparados'!O118</f>
        <v/>
      </c>
      <c r="Q125" s="7">
        <f>'1 datos preparados'!P118</f>
        <v/>
      </c>
      <c r="R125" s="7">
        <f>'1 datos preparados'!Q118</f>
        <v/>
      </c>
      <c r="S125" s="7">
        <f>'1 datos preparados'!R118</f>
        <v/>
      </c>
      <c r="T125" s="7">
        <f>'1 datos preparados'!S118</f>
        <v/>
      </c>
      <c r="U125" s="7">
        <f>'1 datos preparados'!T118</f>
        <v/>
      </c>
      <c r="V125" s="8">
        <f>$AE$12+D125*$AE$13+E125*$AE$14+F125*$AE$15+G125*$AE$16+H125*$AE$17+I125*$AE$18+J125*$AE$19+K125*$AE$20+L125*$AE$21+M125*$AE$22+N125*$AE$23+O125*$AE$24+P125*$AE$25+Q125*$AE$26+R125*$AE$27+S125*$AE$28+T125*$AE$29+U125*$AE$30</f>
        <v/>
      </c>
      <c r="W125" s="8">
        <f>1/(1+EXP(-V125))</f>
        <v/>
      </c>
      <c r="X125" s="9">
        <f>-IF(C125=1,LN(W125),LN(1-W125))</f>
        <v/>
      </c>
      <c r="Y125" s="8">
        <f>IF(C125=1,$AE$32,$AE$33)</f>
        <v/>
      </c>
      <c r="Z125" s="9">
        <f>Y125*X125</f>
        <v/>
      </c>
      <c r="AA125" s="10">
        <f>IF(W125&gt;$AE$34,1,0)</f>
        <v/>
      </c>
      <c r="AB125">
        <f>IF(AA125=C125,1,0)</f>
        <v/>
      </c>
    </row>
    <row r="126">
      <c r="A126">
        <f>'1 datos preparados'!A119</f>
        <v/>
      </c>
      <c r="B126" s="5">
        <f>'1 datos preparados'!U119</f>
        <v/>
      </c>
      <c r="C126">
        <f>'1 datos preparados'!B119</f>
        <v/>
      </c>
      <c r="D126" s="7">
        <f>'1 datos preparados'!C119</f>
        <v/>
      </c>
      <c r="E126" s="7">
        <f>'1 datos preparados'!D119</f>
        <v/>
      </c>
      <c r="F126" s="7">
        <f>'1 datos preparados'!E119</f>
        <v/>
      </c>
      <c r="G126" s="7">
        <f>'1 datos preparados'!F119</f>
        <v/>
      </c>
      <c r="H126" s="7">
        <f>'1 datos preparados'!G119</f>
        <v/>
      </c>
      <c r="I126" s="7">
        <f>'1 datos preparados'!H119</f>
        <v/>
      </c>
      <c r="J126" s="7">
        <f>'1 datos preparados'!I119</f>
        <v/>
      </c>
      <c r="K126" s="7">
        <f>'1 datos preparados'!J119</f>
        <v/>
      </c>
      <c r="L126" s="7">
        <f>'1 datos preparados'!K119</f>
        <v/>
      </c>
      <c r="M126" s="7">
        <f>'1 datos preparados'!L119</f>
        <v/>
      </c>
      <c r="N126" s="7">
        <f>'1 datos preparados'!M119</f>
        <v/>
      </c>
      <c r="O126" s="7">
        <f>'1 datos preparados'!N119</f>
        <v/>
      </c>
      <c r="P126" s="7">
        <f>'1 datos preparados'!O119</f>
        <v/>
      </c>
      <c r="Q126" s="7">
        <f>'1 datos preparados'!P119</f>
        <v/>
      </c>
      <c r="R126" s="7">
        <f>'1 datos preparados'!Q119</f>
        <v/>
      </c>
      <c r="S126" s="7">
        <f>'1 datos preparados'!R119</f>
        <v/>
      </c>
      <c r="T126" s="7">
        <f>'1 datos preparados'!S119</f>
        <v/>
      </c>
      <c r="U126" s="7">
        <f>'1 datos preparados'!T119</f>
        <v/>
      </c>
      <c r="V126" s="8">
        <f>$AE$12+D126*$AE$13+E126*$AE$14+F126*$AE$15+G126*$AE$16+H126*$AE$17+I126*$AE$18+J126*$AE$19+K126*$AE$20+L126*$AE$21+M126*$AE$22+N126*$AE$23+O126*$AE$24+P126*$AE$25+Q126*$AE$26+R126*$AE$27+S126*$AE$28+T126*$AE$29+U126*$AE$30</f>
        <v/>
      </c>
      <c r="W126" s="8">
        <f>1/(1+EXP(-V126))</f>
        <v/>
      </c>
      <c r="X126" s="9">
        <f>-IF(C126=1,LN(W126),LN(1-W126))</f>
        <v/>
      </c>
      <c r="Y126" s="8">
        <f>IF(C126=1,$AE$32,$AE$33)</f>
        <v/>
      </c>
      <c r="Z126" s="9">
        <f>Y126*X126</f>
        <v/>
      </c>
      <c r="AA126" s="10">
        <f>IF(W126&gt;$AE$34,1,0)</f>
        <v/>
      </c>
      <c r="AB126">
        <f>IF(AA126=C126,1,0)</f>
        <v/>
      </c>
    </row>
    <row r="127">
      <c r="A127">
        <f>'1 datos preparados'!A120</f>
        <v/>
      </c>
      <c r="B127" s="5">
        <f>'1 datos preparados'!U120</f>
        <v/>
      </c>
      <c r="C127">
        <f>'1 datos preparados'!B120</f>
        <v/>
      </c>
      <c r="D127" s="7">
        <f>'1 datos preparados'!C120</f>
        <v/>
      </c>
      <c r="E127" s="7">
        <f>'1 datos preparados'!D120</f>
        <v/>
      </c>
      <c r="F127" s="7">
        <f>'1 datos preparados'!E120</f>
        <v/>
      </c>
      <c r="G127" s="7">
        <f>'1 datos preparados'!F120</f>
        <v/>
      </c>
      <c r="H127" s="7">
        <f>'1 datos preparados'!G120</f>
        <v/>
      </c>
      <c r="I127" s="7">
        <f>'1 datos preparados'!H120</f>
        <v/>
      </c>
      <c r="J127" s="7">
        <f>'1 datos preparados'!I120</f>
        <v/>
      </c>
      <c r="K127" s="7">
        <f>'1 datos preparados'!J120</f>
        <v/>
      </c>
      <c r="L127" s="7">
        <f>'1 datos preparados'!K120</f>
        <v/>
      </c>
      <c r="M127" s="7">
        <f>'1 datos preparados'!L120</f>
        <v/>
      </c>
      <c r="N127" s="7">
        <f>'1 datos preparados'!M120</f>
        <v/>
      </c>
      <c r="O127" s="7">
        <f>'1 datos preparados'!N120</f>
        <v/>
      </c>
      <c r="P127" s="7">
        <f>'1 datos preparados'!O120</f>
        <v/>
      </c>
      <c r="Q127" s="7">
        <f>'1 datos preparados'!P120</f>
        <v/>
      </c>
      <c r="R127" s="7">
        <f>'1 datos preparados'!Q120</f>
        <v/>
      </c>
      <c r="S127" s="7">
        <f>'1 datos preparados'!R120</f>
        <v/>
      </c>
      <c r="T127" s="7">
        <f>'1 datos preparados'!S120</f>
        <v/>
      </c>
      <c r="U127" s="7">
        <f>'1 datos preparados'!T120</f>
        <v/>
      </c>
      <c r="V127" s="8">
        <f>$AE$12+D127*$AE$13+E127*$AE$14+F127*$AE$15+G127*$AE$16+H127*$AE$17+I127*$AE$18+J127*$AE$19+K127*$AE$20+L127*$AE$21+M127*$AE$22+N127*$AE$23+O127*$AE$24+P127*$AE$25+Q127*$AE$26+R127*$AE$27+S127*$AE$28+T127*$AE$29+U127*$AE$30</f>
        <v/>
      </c>
      <c r="W127" s="8">
        <f>1/(1+EXP(-V127))</f>
        <v/>
      </c>
      <c r="X127" s="9">
        <f>-IF(C127=1,LN(W127),LN(1-W127))</f>
        <v/>
      </c>
      <c r="Y127" s="8">
        <f>IF(C127=1,$AE$32,$AE$33)</f>
        <v/>
      </c>
      <c r="Z127" s="9">
        <f>Y127*X127</f>
        <v/>
      </c>
      <c r="AA127" s="10">
        <f>IF(W127&gt;$AE$34,1,0)</f>
        <v/>
      </c>
      <c r="AB127">
        <f>IF(AA127=C127,1,0)</f>
        <v/>
      </c>
    </row>
    <row r="128">
      <c r="A128">
        <f>'1 datos preparados'!A121</f>
        <v/>
      </c>
      <c r="B128" s="5">
        <f>'1 datos preparados'!U121</f>
        <v/>
      </c>
      <c r="C128">
        <f>'1 datos preparados'!B121</f>
        <v/>
      </c>
      <c r="D128" s="7">
        <f>'1 datos preparados'!C121</f>
        <v/>
      </c>
      <c r="E128" s="7">
        <f>'1 datos preparados'!D121</f>
        <v/>
      </c>
      <c r="F128" s="7">
        <f>'1 datos preparados'!E121</f>
        <v/>
      </c>
      <c r="G128" s="7">
        <f>'1 datos preparados'!F121</f>
        <v/>
      </c>
      <c r="H128" s="7">
        <f>'1 datos preparados'!G121</f>
        <v/>
      </c>
      <c r="I128" s="7">
        <f>'1 datos preparados'!H121</f>
        <v/>
      </c>
      <c r="J128" s="7">
        <f>'1 datos preparados'!I121</f>
        <v/>
      </c>
      <c r="K128" s="7">
        <f>'1 datos preparados'!J121</f>
        <v/>
      </c>
      <c r="L128" s="7">
        <f>'1 datos preparados'!K121</f>
        <v/>
      </c>
      <c r="M128" s="7">
        <f>'1 datos preparados'!L121</f>
        <v/>
      </c>
      <c r="N128" s="7">
        <f>'1 datos preparados'!M121</f>
        <v/>
      </c>
      <c r="O128" s="7">
        <f>'1 datos preparados'!N121</f>
        <v/>
      </c>
      <c r="P128" s="7">
        <f>'1 datos preparados'!O121</f>
        <v/>
      </c>
      <c r="Q128" s="7">
        <f>'1 datos preparados'!P121</f>
        <v/>
      </c>
      <c r="R128" s="7">
        <f>'1 datos preparados'!Q121</f>
        <v/>
      </c>
      <c r="S128" s="7">
        <f>'1 datos preparados'!R121</f>
        <v/>
      </c>
      <c r="T128" s="7">
        <f>'1 datos preparados'!S121</f>
        <v/>
      </c>
      <c r="U128" s="7">
        <f>'1 datos preparados'!T121</f>
        <v/>
      </c>
      <c r="V128" s="8">
        <f>$AE$12+D128*$AE$13+E128*$AE$14+F128*$AE$15+G128*$AE$16+H128*$AE$17+I128*$AE$18+J128*$AE$19+K128*$AE$20+L128*$AE$21+M128*$AE$22+N128*$AE$23+O128*$AE$24+P128*$AE$25+Q128*$AE$26+R128*$AE$27+S128*$AE$28+T128*$AE$29+U128*$AE$30</f>
        <v/>
      </c>
      <c r="W128" s="8">
        <f>1/(1+EXP(-V128))</f>
        <v/>
      </c>
      <c r="X128" s="9">
        <f>-IF(C128=1,LN(W128),LN(1-W128))</f>
        <v/>
      </c>
      <c r="Y128" s="8">
        <f>IF(C128=1,$AE$32,$AE$33)</f>
        <v/>
      </c>
      <c r="Z128" s="9">
        <f>Y128*X128</f>
        <v/>
      </c>
      <c r="AA128" s="10">
        <f>IF(W128&gt;$AE$34,1,0)</f>
        <v/>
      </c>
      <c r="AB128">
        <f>IF(AA128=C128,1,0)</f>
        <v/>
      </c>
    </row>
    <row r="129">
      <c r="A129">
        <f>'1 datos preparados'!A122</f>
        <v/>
      </c>
      <c r="B129" s="5">
        <f>'1 datos preparados'!U122</f>
        <v/>
      </c>
      <c r="C129">
        <f>'1 datos preparados'!B122</f>
        <v/>
      </c>
      <c r="D129" s="7">
        <f>'1 datos preparados'!C122</f>
        <v/>
      </c>
      <c r="E129" s="7">
        <f>'1 datos preparados'!D122</f>
        <v/>
      </c>
      <c r="F129" s="7">
        <f>'1 datos preparados'!E122</f>
        <v/>
      </c>
      <c r="G129" s="7">
        <f>'1 datos preparados'!F122</f>
        <v/>
      </c>
      <c r="H129" s="7">
        <f>'1 datos preparados'!G122</f>
        <v/>
      </c>
      <c r="I129" s="7">
        <f>'1 datos preparados'!H122</f>
        <v/>
      </c>
      <c r="J129" s="7">
        <f>'1 datos preparados'!I122</f>
        <v/>
      </c>
      <c r="K129" s="7">
        <f>'1 datos preparados'!J122</f>
        <v/>
      </c>
      <c r="L129" s="7">
        <f>'1 datos preparados'!K122</f>
        <v/>
      </c>
      <c r="M129" s="7">
        <f>'1 datos preparados'!L122</f>
        <v/>
      </c>
      <c r="N129" s="7">
        <f>'1 datos preparados'!M122</f>
        <v/>
      </c>
      <c r="O129" s="7">
        <f>'1 datos preparados'!N122</f>
        <v/>
      </c>
      <c r="P129" s="7">
        <f>'1 datos preparados'!O122</f>
        <v/>
      </c>
      <c r="Q129" s="7">
        <f>'1 datos preparados'!P122</f>
        <v/>
      </c>
      <c r="R129" s="7">
        <f>'1 datos preparados'!Q122</f>
        <v/>
      </c>
      <c r="S129" s="7">
        <f>'1 datos preparados'!R122</f>
        <v/>
      </c>
      <c r="T129" s="7">
        <f>'1 datos preparados'!S122</f>
        <v/>
      </c>
      <c r="U129" s="7">
        <f>'1 datos preparados'!T122</f>
        <v/>
      </c>
      <c r="V129" s="8">
        <f>$AE$12+D129*$AE$13+E129*$AE$14+F129*$AE$15+G129*$AE$16+H129*$AE$17+I129*$AE$18+J129*$AE$19+K129*$AE$20+L129*$AE$21+M129*$AE$22+N129*$AE$23+O129*$AE$24+P129*$AE$25+Q129*$AE$26+R129*$AE$27+S129*$AE$28+T129*$AE$29+U129*$AE$30</f>
        <v/>
      </c>
      <c r="W129" s="8">
        <f>1/(1+EXP(-V129))</f>
        <v/>
      </c>
      <c r="X129" s="9">
        <f>-IF(C129=1,LN(W129),LN(1-W129))</f>
        <v/>
      </c>
      <c r="Y129" s="8">
        <f>IF(C129=1,$AE$32,$AE$33)</f>
        <v/>
      </c>
      <c r="Z129" s="9">
        <f>Y129*X129</f>
        <v/>
      </c>
      <c r="AA129" s="10">
        <f>IF(W129&gt;$AE$34,1,0)</f>
        <v/>
      </c>
      <c r="AB129">
        <f>IF(AA129=C129,1,0)</f>
        <v/>
      </c>
    </row>
    <row r="130">
      <c r="A130">
        <f>'1 datos preparados'!A123</f>
        <v/>
      </c>
      <c r="B130" s="5">
        <f>'1 datos preparados'!U123</f>
        <v/>
      </c>
      <c r="C130">
        <f>'1 datos preparados'!B123</f>
        <v/>
      </c>
      <c r="D130" s="7">
        <f>'1 datos preparados'!C123</f>
        <v/>
      </c>
      <c r="E130" s="7">
        <f>'1 datos preparados'!D123</f>
        <v/>
      </c>
      <c r="F130" s="7">
        <f>'1 datos preparados'!E123</f>
        <v/>
      </c>
      <c r="G130" s="7">
        <f>'1 datos preparados'!F123</f>
        <v/>
      </c>
      <c r="H130" s="7">
        <f>'1 datos preparados'!G123</f>
        <v/>
      </c>
      <c r="I130" s="7">
        <f>'1 datos preparados'!H123</f>
        <v/>
      </c>
      <c r="J130" s="7">
        <f>'1 datos preparados'!I123</f>
        <v/>
      </c>
      <c r="K130" s="7">
        <f>'1 datos preparados'!J123</f>
        <v/>
      </c>
      <c r="L130" s="7">
        <f>'1 datos preparados'!K123</f>
        <v/>
      </c>
      <c r="M130" s="7">
        <f>'1 datos preparados'!L123</f>
        <v/>
      </c>
      <c r="N130" s="7">
        <f>'1 datos preparados'!M123</f>
        <v/>
      </c>
      <c r="O130" s="7">
        <f>'1 datos preparados'!N123</f>
        <v/>
      </c>
      <c r="P130" s="7">
        <f>'1 datos preparados'!O123</f>
        <v/>
      </c>
      <c r="Q130" s="7">
        <f>'1 datos preparados'!P123</f>
        <v/>
      </c>
      <c r="R130" s="7">
        <f>'1 datos preparados'!Q123</f>
        <v/>
      </c>
      <c r="S130" s="7">
        <f>'1 datos preparados'!R123</f>
        <v/>
      </c>
      <c r="T130" s="7">
        <f>'1 datos preparados'!S123</f>
        <v/>
      </c>
      <c r="U130" s="7">
        <f>'1 datos preparados'!T123</f>
        <v/>
      </c>
      <c r="V130" s="8">
        <f>$AE$12+D130*$AE$13+E130*$AE$14+F130*$AE$15+G130*$AE$16+H130*$AE$17+I130*$AE$18+J130*$AE$19+K130*$AE$20+L130*$AE$21+M130*$AE$22+N130*$AE$23+O130*$AE$24+P130*$AE$25+Q130*$AE$26+R130*$AE$27+S130*$AE$28+T130*$AE$29+U130*$AE$30</f>
        <v/>
      </c>
      <c r="W130" s="8">
        <f>1/(1+EXP(-V130))</f>
        <v/>
      </c>
      <c r="X130" s="9">
        <f>-IF(C130=1,LN(W130),LN(1-W130))</f>
        <v/>
      </c>
      <c r="Y130" s="8">
        <f>IF(C130=1,$AE$32,$AE$33)</f>
        <v/>
      </c>
      <c r="Z130" s="9">
        <f>Y130*X130</f>
        <v/>
      </c>
      <c r="AA130" s="10">
        <f>IF(W130&gt;$AE$34,1,0)</f>
        <v/>
      </c>
      <c r="AB130">
        <f>IF(AA130=C130,1,0)</f>
        <v/>
      </c>
    </row>
    <row r="131">
      <c r="A131">
        <f>'1 datos preparados'!A124</f>
        <v/>
      </c>
      <c r="B131" s="5">
        <f>'1 datos preparados'!U124</f>
        <v/>
      </c>
      <c r="C131">
        <f>'1 datos preparados'!B124</f>
        <v/>
      </c>
      <c r="D131" s="7">
        <f>'1 datos preparados'!C124</f>
        <v/>
      </c>
      <c r="E131" s="7">
        <f>'1 datos preparados'!D124</f>
        <v/>
      </c>
      <c r="F131" s="7">
        <f>'1 datos preparados'!E124</f>
        <v/>
      </c>
      <c r="G131" s="7">
        <f>'1 datos preparados'!F124</f>
        <v/>
      </c>
      <c r="H131" s="7">
        <f>'1 datos preparados'!G124</f>
        <v/>
      </c>
      <c r="I131" s="7">
        <f>'1 datos preparados'!H124</f>
        <v/>
      </c>
      <c r="J131" s="7">
        <f>'1 datos preparados'!I124</f>
        <v/>
      </c>
      <c r="K131" s="7">
        <f>'1 datos preparados'!J124</f>
        <v/>
      </c>
      <c r="L131" s="7">
        <f>'1 datos preparados'!K124</f>
        <v/>
      </c>
      <c r="M131" s="7">
        <f>'1 datos preparados'!L124</f>
        <v/>
      </c>
      <c r="N131" s="7">
        <f>'1 datos preparados'!M124</f>
        <v/>
      </c>
      <c r="O131" s="7">
        <f>'1 datos preparados'!N124</f>
        <v/>
      </c>
      <c r="P131" s="7">
        <f>'1 datos preparados'!O124</f>
        <v/>
      </c>
      <c r="Q131" s="7">
        <f>'1 datos preparados'!P124</f>
        <v/>
      </c>
      <c r="R131" s="7">
        <f>'1 datos preparados'!Q124</f>
        <v/>
      </c>
      <c r="S131" s="7">
        <f>'1 datos preparados'!R124</f>
        <v/>
      </c>
      <c r="T131" s="7">
        <f>'1 datos preparados'!S124</f>
        <v/>
      </c>
      <c r="U131" s="7">
        <f>'1 datos preparados'!T124</f>
        <v/>
      </c>
      <c r="V131" s="8">
        <f>$AE$12+D131*$AE$13+E131*$AE$14+F131*$AE$15+G131*$AE$16+H131*$AE$17+I131*$AE$18+J131*$AE$19+K131*$AE$20+L131*$AE$21+M131*$AE$22+N131*$AE$23+O131*$AE$24+P131*$AE$25+Q131*$AE$26+R131*$AE$27+S131*$AE$28+T131*$AE$29+U131*$AE$30</f>
        <v/>
      </c>
      <c r="W131" s="8">
        <f>1/(1+EXP(-V131))</f>
        <v/>
      </c>
      <c r="X131" s="9">
        <f>-IF(C131=1,LN(W131),LN(1-W131))</f>
        <v/>
      </c>
      <c r="Y131" s="8">
        <f>IF(C131=1,$AE$32,$AE$33)</f>
        <v/>
      </c>
      <c r="Z131" s="9">
        <f>Y131*X131</f>
        <v/>
      </c>
      <c r="AA131" s="10">
        <f>IF(W131&gt;$AE$34,1,0)</f>
        <v/>
      </c>
      <c r="AB131">
        <f>IF(AA131=C131,1,0)</f>
        <v/>
      </c>
    </row>
    <row r="132">
      <c r="A132">
        <f>'1 datos preparados'!A125</f>
        <v/>
      </c>
      <c r="B132" s="5">
        <f>'1 datos preparados'!U125</f>
        <v/>
      </c>
      <c r="C132">
        <f>'1 datos preparados'!B125</f>
        <v/>
      </c>
      <c r="D132" s="7">
        <f>'1 datos preparados'!C125</f>
        <v/>
      </c>
      <c r="E132" s="7">
        <f>'1 datos preparados'!D125</f>
        <v/>
      </c>
      <c r="F132" s="7">
        <f>'1 datos preparados'!E125</f>
        <v/>
      </c>
      <c r="G132" s="7">
        <f>'1 datos preparados'!F125</f>
        <v/>
      </c>
      <c r="H132" s="7">
        <f>'1 datos preparados'!G125</f>
        <v/>
      </c>
      <c r="I132" s="7">
        <f>'1 datos preparados'!H125</f>
        <v/>
      </c>
      <c r="J132" s="7">
        <f>'1 datos preparados'!I125</f>
        <v/>
      </c>
      <c r="K132" s="7">
        <f>'1 datos preparados'!J125</f>
        <v/>
      </c>
      <c r="L132" s="7">
        <f>'1 datos preparados'!K125</f>
        <v/>
      </c>
      <c r="M132" s="7">
        <f>'1 datos preparados'!L125</f>
        <v/>
      </c>
      <c r="N132" s="7">
        <f>'1 datos preparados'!M125</f>
        <v/>
      </c>
      <c r="O132" s="7">
        <f>'1 datos preparados'!N125</f>
        <v/>
      </c>
      <c r="P132" s="7">
        <f>'1 datos preparados'!O125</f>
        <v/>
      </c>
      <c r="Q132" s="7">
        <f>'1 datos preparados'!P125</f>
        <v/>
      </c>
      <c r="R132" s="7">
        <f>'1 datos preparados'!Q125</f>
        <v/>
      </c>
      <c r="S132" s="7">
        <f>'1 datos preparados'!R125</f>
        <v/>
      </c>
      <c r="T132" s="7">
        <f>'1 datos preparados'!S125</f>
        <v/>
      </c>
      <c r="U132" s="7">
        <f>'1 datos preparados'!T125</f>
        <v/>
      </c>
      <c r="V132" s="8">
        <f>$AE$12+D132*$AE$13+E132*$AE$14+F132*$AE$15+G132*$AE$16+H132*$AE$17+I132*$AE$18+J132*$AE$19+K132*$AE$20+L132*$AE$21+M132*$AE$22+N132*$AE$23+O132*$AE$24+P132*$AE$25+Q132*$AE$26+R132*$AE$27+S132*$AE$28+T132*$AE$29+U132*$AE$30</f>
        <v/>
      </c>
      <c r="W132" s="8">
        <f>1/(1+EXP(-V132))</f>
        <v/>
      </c>
      <c r="X132" s="9">
        <f>-IF(C132=1,LN(W132),LN(1-W132))</f>
        <v/>
      </c>
      <c r="Y132" s="8">
        <f>IF(C132=1,$AE$32,$AE$33)</f>
        <v/>
      </c>
      <c r="Z132" s="9">
        <f>Y132*X132</f>
        <v/>
      </c>
      <c r="AA132" s="10">
        <f>IF(W132&gt;$AE$34,1,0)</f>
        <v/>
      </c>
      <c r="AB132">
        <f>IF(AA132=C132,1,0)</f>
        <v/>
      </c>
    </row>
    <row r="133">
      <c r="A133">
        <f>'1 datos preparados'!A126</f>
        <v/>
      </c>
      <c r="B133" s="5">
        <f>'1 datos preparados'!U126</f>
        <v/>
      </c>
      <c r="C133">
        <f>'1 datos preparados'!B126</f>
        <v/>
      </c>
      <c r="D133" s="7">
        <f>'1 datos preparados'!C126</f>
        <v/>
      </c>
      <c r="E133" s="7">
        <f>'1 datos preparados'!D126</f>
        <v/>
      </c>
      <c r="F133" s="7">
        <f>'1 datos preparados'!E126</f>
        <v/>
      </c>
      <c r="G133" s="7">
        <f>'1 datos preparados'!F126</f>
        <v/>
      </c>
      <c r="H133" s="7">
        <f>'1 datos preparados'!G126</f>
        <v/>
      </c>
      <c r="I133" s="7">
        <f>'1 datos preparados'!H126</f>
        <v/>
      </c>
      <c r="J133" s="7">
        <f>'1 datos preparados'!I126</f>
        <v/>
      </c>
      <c r="K133" s="7">
        <f>'1 datos preparados'!J126</f>
        <v/>
      </c>
      <c r="L133" s="7">
        <f>'1 datos preparados'!K126</f>
        <v/>
      </c>
      <c r="M133" s="7">
        <f>'1 datos preparados'!L126</f>
        <v/>
      </c>
      <c r="N133" s="7">
        <f>'1 datos preparados'!M126</f>
        <v/>
      </c>
      <c r="O133" s="7">
        <f>'1 datos preparados'!N126</f>
        <v/>
      </c>
      <c r="P133" s="7">
        <f>'1 datos preparados'!O126</f>
        <v/>
      </c>
      <c r="Q133" s="7">
        <f>'1 datos preparados'!P126</f>
        <v/>
      </c>
      <c r="R133" s="7">
        <f>'1 datos preparados'!Q126</f>
        <v/>
      </c>
      <c r="S133" s="7">
        <f>'1 datos preparados'!R126</f>
        <v/>
      </c>
      <c r="T133" s="7">
        <f>'1 datos preparados'!S126</f>
        <v/>
      </c>
      <c r="U133" s="7">
        <f>'1 datos preparados'!T126</f>
        <v/>
      </c>
      <c r="V133" s="8">
        <f>$AE$12+D133*$AE$13+E133*$AE$14+F133*$AE$15+G133*$AE$16+H133*$AE$17+I133*$AE$18+J133*$AE$19+K133*$AE$20+L133*$AE$21+M133*$AE$22+N133*$AE$23+O133*$AE$24+P133*$AE$25+Q133*$AE$26+R133*$AE$27+S133*$AE$28+T133*$AE$29+U133*$AE$30</f>
        <v/>
      </c>
      <c r="W133" s="8">
        <f>1/(1+EXP(-V133))</f>
        <v/>
      </c>
      <c r="X133" s="9">
        <f>-IF(C133=1,LN(W133),LN(1-W133))</f>
        <v/>
      </c>
      <c r="Y133" s="8">
        <f>IF(C133=1,$AE$32,$AE$33)</f>
        <v/>
      </c>
      <c r="Z133" s="9">
        <f>Y133*X133</f>
        <v/>
      </c>
      <c r="AA133" s="10">
        <f>IF(W133&gt;$AE$34,1,0)</f>
        <v/>
      </c>
      <c r="AB133">
        <f>IF(AA133=C133,1,0)</f>
        <v/>
      </c>
    </row>
    <row r="134">
      <c r="A134">
        <f>'1 datos preparados'!A127</f>
        <v/>
      </c>
      <c r="B134" s="5">
        <f>'1 datos preparados'!U127</f>
        <v/>
      </c>
      <c r="C134">
        <f>'1 datos preparados'!B127</f>
        <v/>
      </c>
      <c r="D134" s="7">
        <f>'1 datos preparados'!C127</f>
        <v/>
      </c>
      <c r="E134" s="7">
        <f>'1 datos preparados'!D127</f>
        <v/>
      </c>
      <c r="F134" s="7">
        <f>'1 datos preparados'!E127</f>
        <v/>
      </c>
      <c r="G134" s="7">
        <f>'1 datos preparados'!F127</f>
        <v/>
      </c>
      <c r="H134" s="7">
        <f>'1 datos preparados'!G127</f>
        <v/>
      </c>
      <c r="I134" s="7">
        <f>'1 datos preparados'!H127</f>
        <v/>
      </c>
      <c r="J134" s="7">
        <f>'1 datos preparados'!I127</f>
        <v/>
      </c>
      <c r="K134" s="7">
        <f>'1 datos preparados'!J127</f>
        <v/>
      </c>
      <c r="L134" s="7">
        <f>'1 datos preparados'!K127</f>
        <v/>
      </c>
      <c r="M134" s="7">
        <f>'1 datos preparados'!L127</f>
        <v/>
      </c>
      <c r="N134" s="7">
        <f>'1 datos preparados'!M127</f>
        <v/>
      </c>
      <c r="O134" s="7">
        <f>'1 datos preparados'!N127</f>
        <v/>
      </c>
      <c r="P134" s="7">
        <f>'1 datos preparados'!O127</f>
        <v/>
      </c>
      <c r="Q134" s="7">
        <f>'1 datos preparados'!P127</f>
        <v/>
      </c>
      <c r="R134" s="7">
        <f>'1 datos preparados'!Q127</f>
        <v/>
      </c>
      <c r="S134" s="7">
        <f>'1 datos preparados'!R127</f>
        <v/>
      </c>
      <c r="T134" s="7">
        <f>'1 datos preparados'!S127</f>
        <v/>
      </c>
      <c r="U134" s="7">
        <f>'1 datos preparados'!T127</f>
        <v/>
      </c>
      <c r="V134" s="8">
        <f>$AE$12+D134*$AE$13+E134*$AE$14+F134*$AE$15+G134*$AE$16+H134*$AE$17+I134*$AE$18+J134*$AE$19+K134*$AE$20+L134*$AE$21+M134*$AE$22+N134*$AE$23+O134*$AE$24+P134*$AE$25+Q134*$AE$26+R134*$AE$27+S134*$AE$28+T134*$AE$29+U134*$AE$30</f>
        <v/>
      </c>
      <c r="W134" s="8">
        <f>1/(1+EXP(-V134))</f>
        <v/>
      </c>
      <c r="X134" s="9">
        <f>-IF(C134=1,LN(W134),LN(1-W134))</f>
        <v/>
      </c>
      <c r="Y134" s="8">
        <f>IF(C134=1,$AE$32,$AE$33)</f>
        <v/>
      </c>
      <c r="Z134" s="9">
        <f>Y134*X134</f>
        <v/>
      </c>
      <c r="AA134" s="10">
        <f>IF(W134&gt;$AE$34,1,0)</f>
        <v/>
      </c>
      <c r="AB134">
        <f>IF(AA134=C134,1,0)</f>
        <v/>
      </c>
    </row>
    <row r="135">
      <c r="A135">
        <f>'1 datos preparados'!A128</f>
        <v/>
      </c>
      <c r="B135" s="5">
        <f>'1 datos preparados'!U128</f>
        <v/>
      </c>
      <c r="C135">
        <f>'1 datos preparados'!B128</f>
        <v/>
      </c>
      <c r="D135" s="7">
        <f>'1 datos preparados'!C128</f>
        <v/>
      </c>
      <c r="E135" s="7">
        <f>'1 datos preparados'!D128</f>
        <v/>
      </c>
      <c r="F135" s="7">
        <f>'1 datos preparados'!E128</f>
        <v/>
      </c>
      <c r="G135" s="7">
        <f>'1 datos preparados'!F128</f>
        <v/>
      </c>
      <c r="H135" s="7">
        <f>'1 datos preparados'!G128</f>
        <v/>
      </c>
      <c r="I135" s="7">
        <f>'1 datos preparados'!H128</f>
        <v/>
      </c>
      <c r="J135" s="7">
        <f>'1 datos preparados'!I128</f>
        <v/>
      </c>
      <c r="K135" s="7">
        <f>'1 datos preparados'!J128</f>
        <v/>
      </c>
      <c r="L135" s="7">
        <f>'1 datos preparados'!K128</f>
        <v/>
      </c>
      <c r="M135" s="7">
        <f>'1 datos preparados'!L128</f>
        <v/>
      </c>
      <c r="N135" s="7">
        <f>'1 datos preparados'!M128</f>
        <v/>
      </c>
      <c r="O135" s="7">
        <f>'1 datos preparados'!N128</f>
        <v/>
      </c>
      <c r="P135" s="7">
        <f>'1 datos preparados'!O128</f>
        <v/>
      </c>
      <c r="Q135" s="7">
        <f>'1 datos preparados'!P128</f>
        <v/>
      </c>
      <c r="R135" s="7">
        <f>'1 datos preparados'!Q128</f>
        <v/>
      </c>
      <c r="S135" s="7">
        <f>'1 datos preparados'!R128</f>
        <v/>
      </c>
      <c r="T135" s="7">
        <f>'1 datos preparados'!S128</f>
        <v/>
      </c>
      <c r="U135" s="7">
        <f>'1 datos preparados'!T128</f>
        <v/>
      </c>
      <c r="V135" s="8">
        <f>$AE$12+D135*$AE$13+E135*$AE$14+F135*$AE$15+G135*$AE$16+H135*$AE$17+I135*$AE$18+J135*$AE$19+K135*$AE$20+L135*$AE$21+M135*$AE$22+N135*$AE$23+O135*$AE$24+P135*$AE$25+Q135*$AE$26+R135*$AE$27+S135*$AE$28+T135*$AE$29+U135*$AE$30</f>
        <v/>
      </c>
      <c r="W135" s="8">
        <f>1/(1+EXP(-V135))</f>
        <v/>
      </c>
      <c r="X135" s="9">
        <f>-IF(C135=1,LN(W135),LN(1-W135))</f>
        <v/>
      </c>
      <c r="Y135" s="8">
        <f>IF(C135=1,$AE$32,$AE$33)</f>
        <v/>
      </c>
      <c r="Z135" s="9">
        <f>Y135*X135</f>
        <v/>
      </c>
      <c r="AA135" s="10">
        <f>IF(W135&gt;$AE$34,1,0)</f>
        <v/>
      </c>
      <c r="AB135">
        <f>IF(AA135=C135,1,0)</f>
        <v/>
      </c>
    </row>
    <row r="136">
      <c r="A136">
        <f>'1 datos preparados'!A129</f>
        <v/>
      </c>
      <c r="B136" s="5">
        <f>'1 datos preparados'!U129</f>
        <v/>
      </c>
      <c r="C136">
        <f>'1 datos preparados'!B129</f>
        <v/>
      </c>
      <c r="D136" s="7">
        <f>'1 datos preparados'!C129</f>
        <v/>
      </c>
      <c r="E136" s="7">
        <f>'1 datos preparados'!D129</f>
        <v/>
      </c>
      <c r="F136" s="7">
        <f>'1 datos preparados'!E129</f>
        <v/>
      </c>
      <c r="G136" s="7">
        <f>'1 datos preparados'!F129</f>
        <v/>
      </c>
      <c r="H136" s="7">
        <f>'1 datos preparados'!G129</f>
        <v/>
      </c>
      <c r="I136" s="7">
        <f>'1 datos preparados'!H129</f>
        <v/>
      </c>
      <c r="J136" s="7">
        <f>'1 datos preparados'!I129</f>
        <v/>
      </c>
      <c r="K136" s="7">
        <f>'1 datos preparados'!J129</f>
        <v/>
      </c>
      <c r="L136" s="7">
        <f>'1 datos preparados'!K129</f>
        <v/>
      </c>
      <c r="M136" s="7">
        <f>'1 datos preparados'!L129</f>
        <v/>
      </c>
      <c r="N136" s="7">
        <f>'1 datos preparados'!M129</f>
        <v/>
      </c>
      <c r="O136" s="7">
        <f>'1 datos preparados'!N129</f>
        <v/>
      </c>
      <c r="P136" s="7">
        <f>'1 datos preparados'!O129</f>
        <v/>
      </c>
      <c r="Q136" s="7">
        <f>'1 datos preparados'!P129</f>
        <v/>
      </c>
      <c r="R136" s="7">
        <f>'1 datos preparados'!Q129</f>
        <v/>
      </c>
      <c r="S136" s="7">
        <f>'1 datos preparados'!R129</f>
        <v/>
      </c>
      <c r="T136" s="7">
        <f>'1 datos preparados'!S129</f>
        <v/>
      </c>
      <c r="U136" s="7">
        <f>'1 datos preparados'!T129</f>
        <v/>
      </c>
      <c r="V136" s="8">
        <f>$AE$12+D136*$AE$13+E136*$AE$14+F136*$AE$15+G136*$AE$16+H136*$AE$17+I136*$AE$18+J136*$AE$19+K136*$AE$20+L136*$AE$21+M136*$AE$22+N136*$AE$23+O136*$AE$24+P136*$AE$25+Q136*$AE$26+R136*$AE$27+S136*$AE$28+T136*$AE$29+U136*$AE$30</f>
        <v/>
      </c>
      <c r="W136" s="8">
        <f>1/(1+EXP(-V136))</f>
        <v/>
      </c>
      <c r="X136" s="9">
        <f>-IF(C136=1,LN(W136),LN(1-W136))</f>
        <v/>
      </c>
      <c r="Y136" s="8">
        <f>IF(C136=1,$AE$32,$AE$33)</f>
        <v/>
      </c>
      <c r="Z136" s="9">
        <f>Y136*X136</f>
        <v/>
      </c>
      <c r="AA136" s="10">
        <f>IF(W136&gt;$AE$34,1,0)</f>
        <v/>
      </c>
      <c r="AB136">
        <f>IF(AA136=C136,1,0)</f>
        <v/>
      </c>
    </row>
    <row r="137">
      <c r="A137">
        <f>'1 datos preparados'!A130</f>
        <v/>
      </c>
      <c r="B137" s="5">
        <f>'1 datos preparados'!U130</f>
        <v/>
      </c>
      <c r="C137">
        <f>'1 datos preparados'!B130</f>
        <v/>
      </c>
      <c r="D137" s="7">
        <f>'1 datos preparados'!C130</f>
        <v/>
      </c>
      <c r="E137" s="7">
        <f>'1 datos preparados'!D130</f>
        <v/>
      </c>
      <c r="F137" s="7">
        <f>'1 datos preparados'!E130</f>
        <v/>
      </c>
      <c r="G137" s="7">
        <f>'1 datos preparados'!F130</f>
        <v/>
      </c>
      <c r="H137" s="7">
        <f>'1 datos preparados'!G130</f>
        <v/>
      </c>
      <c r="I137" s="7">
        <f>'1 datos preparados'!H130</f>
        <v/>
      </c>
      <c r="J137" s="7">
        <f>'1 datos preparados'!I130</f>
        <v/>
      </c>
      <c r="K137" s="7">
        <f>'1 datos preparados'!J130</f>
        <v/>
      </c>
      <c r="L137" s="7">
        <f>'1 datos preparados'!K130</f>
        <v/>
      </c>
      <c r="M137" s="7">
        <f>'1 datos preparados'!L130</f>
        <v/>
      </c>
      <c r="N137" s="7">
        <f>'1 datos preparados'!M130</f>
        <v/>
      </c>
      <c r="O137" s="7">
        <f>'1 datos preparados'!N130</f>
        <v/>
      </c>
      <c r="P137" s="7">
        <f>'1 datos preparados'!O130</f>
        <v/>
      </c>
      <c r="Q137" s="7">
        <f>'1 datos preparados'!P130</f>
        <v/>
      </c>
      <c r="R137" s="7">
        <f>'1 datos preparados'!Q130</f>
        <v/>
      </c>
      <c r="S137" s="7">
        <f>'1 datos preparados'!R130</f>
        <v/>
      </c>
      <c r="T137" s="7">
        <f>'1 datos preparados'!S130</f>
        <v/>
      </c>
      <c r="U137" s="7">
        <f>'1 datos preparados'!T130</f>
        <v/>
      </c>
      <c r="V137" s="8">
        <f>$AE$12+D137*$AE$13+E137*$AE$14+F137*$AE$15+G137*$AE$16+H137*$AE$17+I137*$AE$18+J137*$AE$19+K137*$AE$20+L137*$AE$21+M137*$AE$22+N137*$AE$23+O137*$AE$24+P137*$AE$25+Q137*$AE$26+R137*$AE$27+S137*$AE$28+T137*$AE$29+U137*$AE$30</f>
        <v/>
      </c>
      <c r="W137" s="8">
        <f>1/(1+EXP(-V137))</f>
        <v/>
      </c>
      <c r="X137" s="9">
        <f>-IF(C137=1,LN(W137),LN(1-W137))</f>
        <v/>
      </c>
      <c r="Y137" s="8">
        <f>IF(C137=1,$AE$32,$AE$33)</f>
        <v/>
      </c>
      <c r="Z137" s="9">
        <f>Y137*X137</f>
        <v/>
      </c>
      <c r="AA137" s="10">
        <f>IF(W137&gt;$AE$34,1,0)</f>
        <v/>
      </c>
      <c r="AB137">
        <f>IF(AA137=C137,1,0)</f>
        <v/>
      </c>
    </row>
    <row r="138">
      <c r="A138">
        <f>'1 datos preparados'!A131</f>
        <v/>
      </c>
      <c r="B138" s="5">
        <f>'1 datos preparados'!U131</f>
        <v/>
      </c>
      <c r="C138">
        <f>'1 datos preparados'!B131</f>
        <v/>
      </c>
      <c r="D138" s="7">
        <f>'1 datos preparados'!C131</f>
        <v/>
      </c>
      <c r="E138" s="7">
        <f>'1 datos preparados'!D131</f>
        <v/>
      </c>
      <c r="F138" s="7">
        <f>'1 datos preparados'!E131</f>
        <v/>
      </c>
      <c r="G138" s="7">
        <f>'1 datos preparados'!F131</f>
        <v/>
      </c>
      <c r="H138" s="7">
        <f>'1 datos preparados'!G131</f>
        <v/>
      </c>
      <c r="I138" s="7">
        <f>'1 datos preparados'!H131</f>
        <v/>
      </c>
      <c r="J138" s="7">
        <f>'1 datos preparados'!I131</f>
        <v/>
      </c>
      <c r="K138" s="7">
        <f>'1 datos preparados'!J131</f>
        <v/>
      </c>
      <c r="L138" s="7">
        <f>'1 datos preparados'!K131</f>
        <v/>
      </c>
      <c r="M138" s="7">
        <f>'1 datos preparados'!L131</f>
        <v/>
      </c>
      <c r="N138" s="7">
        <f>'1 datos preparados'!M131</f>
        <v/>
      </c>
      <c r="O138" s="7">
        <f>'1 datos preparados'!N131</f>
        <v/>
      </c>
      <c r="P138" s="7">
        <f>'1 datos preparados'!O131</f>
        <v/>
      </c>
      <c r="Q138" s="7">
        <f>'1 datos preparados'!P131</f>
        <v/>
      </c>
      <c r="R138" s="7">
        <f>'1 datos preparados'!Q131</f>
        <v/>
      </c>
      <c r="S138" s="7">
        <f>'1 datos preparados'!R131</f>
        <v/>
      </c>
      <c r="T138" s="7">
        <f>'1 datos preparados'!S131</f>
        <v/>
      </c>
      <c r="U138" s="7">
        <f>'1 datos preparados'!T131</f>
        <v/>
      </c>
      <c r="V138" s="8">
        <f>$AE$12+D138*$AE$13+E138*$AE$14+F138*$AE$15+G138*$AE$16+H138*$AE$17+I138*$AE$18+J138*$AE$19+K138*$AE$20+L138*$AE$21+M138*$AE$22+N138*$AE$23+O138*$AE$24+P138*$AE$25+Q138*$AE$26+R138*$AE$27+S138*$AE$28+T138*$AE$29+U138*$AE$30</f>
        <v/>
      </c>
      <c r="W138" s="8">
        <f>1/(1+EXP(-V138))</f>
        <v/>
      </c>
      <c r="X138" s="9">
        <f>-IF(C138=1,LN(W138),LN(1-W138))</f>
        <v/>
      </c>
      <c r="Y138" s="8">
        <f>IF(C138=1,$AE$32,$AE$33)</f>
        <v/>
      </c>
      <c r="Z138" s="9">
        <f>Y138*X138</f>
        <v/>
      </c>
      <c r="AA138" s="10">
        <f>IF(W138&gt;$AE$34,1,0)</f>
        <v/>
      </c>
      <c r="AB138">
        <f>IF(AA138=C138,1,0)</f>
        <v/>
      </c>
    </row>
    <row r="139">
      <c r="A139">
        <f>'1 datos preparados'!A132</f>
        <v/>
      </c>
      <c r="B139" s="5">
        <f>'1 datos preparados'!U132</f>
        <v/>
      </c>
      <c r="C139">
        <f>'1 datos preparados'!B132</f>
        <v/>
      </c>
      <c r="D139" s="7">
        <f>'1 datos preparados'!C132</f>
        <v/>
      </c>
      <c r="E139" s="7">
        <f>'1 datos preparados'!D132</f>
        <v/>
      </c>
      <c r="F139" s="7">
        <f>'1 datos preparados'!E132</f>
        <v/>
      </c>
      <c r="G139" s="7">
        <f>'1 datos preparados'!F132</f>
        <v/>
      </c>
      <c r="H139" s="7">
        <f>'1 datos preparados'!G132</f>
        <v/>
      </c>
      <c r="I139" s="7">
        <f>'1 datos preparados'!H132</f>
        <v/>
      </c>
      <c r="J139" s="7">
        <f>'1 datos preparados'!I132</f>
        <v/>
      </c>
      <c r="K139" s="7">
        <f>'1 datos preparados'!J132</f>
        <v/>
      </c>
      <c r="L139" s="7">
        <f>'1 datos preparados'!K132</f>
        <v/>
      </c>
      <c r="M139" s="7">
        <f>'1 datos preparados'!L132</f>
        <v/>
      </c>
      <c r="N139" s="7">
        <f>'1 datos preparados'!M132</f>
        <v/>
      </c>
      <c r="O139" s="7">
        <f>'1 datos preparados'!N132</f>
        <v/>
      </c>
      <c r="P139" s="7">
        <f>'1 datos preparados'!O132</f>
        <v/>
      </c>
      <c r="Q139" s="7">
        <f>'1 datos preparados'!P132</f>
        <v/>
      </c>
      <c r="R139" s="7">
        <f>'1 datos preparados'!Q132</f>
        <v/>
      </c>
      <c r="S139" s="7">
        <f>'1 datos preparados'!R132</f>
        <v/>
      </c>
      <c r="T139" s="7">
        <f>'1 datos preparados'!S132</f>
        <v/>
      </c>
      <c r="U139" s="7">
        <f>'1 datos preparados'!T132</f>
        <v/>
      </c>
      <c r="V139" s="8">
        <f>$AE$12+D139*$AE$13+E139*$AE$14+F139*$AE$15+G139*$AE$16+H139*$AE$17+I139*$AE$18+J139*$AE$19+K139*$AE$20+L139*$AE$21+M139*$AE$22+N139*$AE$23+O139*$AE$24+P139*$AE$25+Q139*$AE$26+R139*$AE$27+S139*$AE$28+T139*$AE$29+U139*$AE$30</f>
        <v/>
      </c>
      <c r="W139" s="8">
        <f>1/(1+EXP(-V139))</f>
        <v/>
      </c>
      <c r="X139" s="9">
        <f>-IF(C139=1,LN(W139),LN(1-W139))</f>
        <v/>
      </c>
      <c r="Y139" s="8">
        <f>IF(C139=1,$AE$32,$AE$33)</f>
        <v/>
      </c>
      <c r="Z139" s="9">
        <f>Y139*X139</f>
        <v/>
      </c>
      <c r="AA139" s="10">
        <f>IF(W139&gt;$AE$34,1,0)</f>
        <v/>
      </c>
      <c r="AB139">
        <f>IF(AA139=C139,1,0)</f>
        <v/>
      </c>
    </row>
    <row r="140">
      <c r="A140">
        <f>'1 datos preparados'!A133</f>
        <v/>
      </c>
      <c r="B140" s="5">
        <f>'1 datos preparados'!U133</f>
        <v/>
      </c>
      <c r="C140">
        <f>'1 datos preparados'!B133</f>
        <v/>
      </c>
      <c r="D140" s="7">
        <f>'1 datos preparados'!C133</f>
        <v/>
      </c>
      <c r="E140" s="7">
        <f>'1 datos preparados'!D133</f>
        <v/>
      </c>
      <c r="F140" s="7">
        <f>'1 datos preparados'!E133</f>
        <v/>
      </c>
      <c r="G140" s="7">
        <f>'1 datos preparados'!F133</f>
        <v/>
      </c>
      <c r="H140" s="7">
        <f>'1 datos preparados'!G133</f>
        <v/>
      </c>
      <c r="I140" s="7">
        <f>'1 datos preparados'!H133</f>
        <v/>
      </c>
      <c r="J140" s="7">
        <f>'1 datos preparados'!I133</f>
        <v/>
      </c>
      <c r="K140" s="7">
        <f>'1 datos preparados'!J133</f>
        <v/>
      </c>
      <c r="L140" s="7">
        <f>'1 datos preparados'!K133</f>
        <v/>
      </c>
      <c r="M140" s="7">
        <f>'1 datos preparados'!L133</f>
        <v/>
      </c>
      <c r="N140" s="7">
        <f>'1 datos preparados'!M133</f>
        <v/>
      </c>
      <c r="O140" s="7">
        <f>'1 datos preparados'!N133</f>
        <v/>
      </c>
      <c r="P140" s="7">
        <f>'1 datos preparados'!O133</f>
        <v/>
      </c>
      <c r="Q140" s="7">
        <f>'1 datos preparados'!P133</f>
        <v/>
      </c>
      <c r="R140" s="7">
        <f>'1 datos preparados'!Q133</f>
        <v/>
      </c>
      <c r="S140" s="7">
        <f>'1 datos preparados'!R133</f>
        <v/>
      </c>
      <c r="T140" s="7">
        <f>'1 datos preparados'!S133</f>
        <v/>
      </c>
      <c r="U140" s="7">
        <f>'1 datos preparados'!T133</f>
        <v/>
      </c>
      <c r="V140" s="8">
        <f>$AE$12+D140*$AE$13+E140*$AE$14+F140*$AE$15+G140*$AE$16+H140*$AE$17+I140*$AE$18+J140*$AE$19+K140*$AE$20+L140*$AE$21+M140*$AE$22+N140*$AE$23+O140*$AE$24+P140*$AE$25+Q140*$AE$26+R140*$AE$27+S140*$AE$28+T140*$AE$29+U140*$AE$30</f>
        <v/>
      </c>
      <c r="W140" s="8">
        <f>1/(1+EXP(-V140))</f>
        <v/>
      </c>
      <c r="X140" s="9">
        <f>-IF(C140=1,LN(W140),LN(1-W140))</f>
        <v/>
      </c>
      <c r="Y140" s="8">
        <f>IF(C140=1,$AE$32,$AE$33)</f>
        <v/>
      </c>
      <c r="Z140" s="9">
        <f>Y140*X140</f>
        <v/>
      </c>
      <c r="AA140" s="10">
        <f>IF(W140&gt;$AE$34,1,0)</f>
        <v/>
      </c>
      <c r="AB140">
        <f>IF(AA140=C140,1,0)</f>
        <v/>
      </c>
    </row>
    <row r="141">
      <c r="A141">
        <f>'1 datos preparados'!A134</f>
        <v/>
      </c>
      <c r="B141" s="5">
        <f>'1 datos preparados'!U134</f>
        <v/>
      </c>
      <c r="C141">
        <f>'1 datos preparados'!B134</f>
        <v/>
      </c>
      <c r="D141" s="7">
        <f>'1 datos preparados'!C134</f>
        <v/>
      </c>
      <c r="E141" s="7">
        <f>'1 datos preparados'!D134</f>
        <v/>
      </c>
      <c r="F141" s="7">
        <f>'1 datos preparados'!E134</f>
        <v/>
      </c>
      <c r="G141" s="7">
        <f>'1 datos preparados'!F134</f>
        <v/>
      </c>
      <c r="H141" s="7">
        <f>'1 datos preparados'!G134</f>
        <v/>
      </c>
      <c r="I141" s="7">
        <f>'1 datos preparados'!H134</f>
        <v/>
      </c>
      <c r="J141" s="7">
        <f>'1 datos preparados'!I134</f>
        <v/>
      </c>
      <c r="K141" s="7">
        <f>'1 datos preparados'!J134</f>
        <v/>
      </c>
      <c r="L141" s="7">
        <f>'1 datos preparados'!K134</f>
        <v/>
      </c>
      <c r="M141" s="7">
        <f>'1 datos preparados'!L134</f>
        <v/>
      </c>
      <c r="N141" s="7">
        <f>'1 datos preparados'!M134</f>
        <v/>
      </c>
      <c r="O141" s="7">
        <f>'1 datos preparados'!N134</f>
        <v/>
      </c>
      <c r="P141" s="7">
        <f>'1 datos preparados'!O134</f>
        <v/>
      </c>
      <c r="Q141" s="7">
        <f>'1 datos preparados'!P134</f>
        <v/>
      </c>
      <c r="R141" s="7">
        <f>'1 datos preparados'!Q134</f>
        <v/>
      </c>
      <c r="S141" s="7">
        <f>'1 datos preparados'!R134</f>
        <v/>
      </c>
      <c r="T141" s="7">
        <f>'1 datos preparados'!S134</f>
        <v/>
      </c>
      <c r="U141" s="7">
        <f>'1 datos preparados'!T134</f>
        <v/>
      </c>
      <c r="V141" s="8">
        <f>$AE$12+D141*$AE$13+E141*$AE$14+F141*$AE$15+G141*$AE$16+H141*$AE$17+I141*$AE$18+J141*$AE$19+K141*$AE$20+L141*$AE$21+M141*$AE$22+N141*$AE$23+O141*$AE$24+P141*$AE$25+Q141*$AE$26+R141*$AE$27+S141*$AE$28+T141*$AE$29+U141*$AE$30</f>
        <v/>
      </c>
      <c r="W141" s="8">
        <f>1/(1+EXP(-V141))</f>
        <v/>
      </c>
      <c r="X141" s="9">
        <f>-IF(C141=1,LN(W141),LN(1-W141))</f>
        <v/>
      </c>
      <c r="Y141" s="8">
        <f>IF(C141=1,$AE$32,$AE$33)</f>
        <v/>
      </c>
      <c r="Z141" s="9">
        <f>Y141*X141</f>
        <v/>
      </c>
      <c r="AA141" s="10">
        <f>IF(W141&gt;$AE$34,1,0)</f>
        <v/>
      </c>
      <c r="AB141">
        <f>IF(AA141=C141,1,0)</f>
        <v/>
      </c>
    </row>
    <row r="142">
      <c r="A142">
        <f>'1 datos preparados'!A135</f>
        <v/>
      </c>
      <c r="B142" s="5">
        <f>'1 datos preparados'!U135</f>
        <v/>
      </c>
      <c r="C142">
        <f>'1 datos preparados'!B135</f>
        <v/>
      </c>
      <c r="D142" s="7">
        <f>'1 datos preparados'!C135</f>
        <v/>
      </c>
      <c r="E142" s="7">
        <f>'1 datos preparados'!D135</f>
        <v/>
      </c>
      <c r="F142" s="7">
        <f>'1 datos preparados'!E135</f>
        <v/>
      </c>
      <c r="G142" s="7">
        <f>'1 datos preparados'!F135</f>
        <v/>
      </c>
      <c r="H142" s="7">
        <f>'1 datos preparados'!G135</f>
        <v/>
      </c>
      <c r="I142" s="7">
        <f>'1 datos preparados'!H135</f>
        <v/>
      </c>
      <c r="J142" s="7">
        <f>'1 datos preparados'!I135</f>
        <v/>
      </c>
      <c r="K142" s="7">
        <f>'1 datos preparados'!J135</f>
        <v/>
      </c>
      <c r="L142" s="7">
        <f>'1 datos preparados'!K135</f>
        <v/>
      </c>
      <c r="M142" s="7">
        <f>'1 datos preparados'!L135</f>
        <v/>
      </c>
      <c r="N142" s="7">
        <f>'1 datos preparados'!M135</f>
        <v/>
      </c>
      <c r="O142" s="7">
        <f>'1 datos preparados'!N135</f>
        <v/>
      </c>
      <c r="P142" s="7">
        <f>'1 datos preparados'!O135</f>
        <v/>
      </c>
      <c r="Q142" s="7">
        <f>'1 datos preparados'!P135</f>
        <v/>
      </c>
      <c r="R142" s="7">
        <f>'1 datos preparados'!Q135</f>
        <v/>
      </c>
      <c r="S142" s="7">
        <f>'1 datos preparados'!R135</f>
        <v/>
      </c>
      <c r="T142" s="7">
        <f>'1 datos preparados'!S135</f>
        <v/>
      </c>
      <c r="U142" s="7">
        <f>'1 datos preparados'!T135</f>
        <v/>
      </c>
      <c r="V142" s="8">
        <f>$AE$12+D142*$AE$13+E142*$AE$14+F142*$AE$15+G142*$AE$16+H142*$AE$17+I142*$AE$18+J142*$AE$19+K142*$AE$20+L142*$AE$21+M142*$AE$22+N142*$AE$23+O142*$AE$24+P142*$AE$25+Q142*$AE$26+R142*$AE$27+S142*$AE$28+T142*$AE$29+U142*$AE$30</f>
        <v/>
      </c>
      <c r="W142" s="8">
        <f>1/(1+EXP(-V142))</f>
        <v/>
      </c>
      <c r="X142" s="9">
        <f>-IF(C142=1,LN(W142),LN(1-W142))</f>
        <v/>
      </c>
      <c r="Y142" s="8">
        <f>IF(C142=1,$AE$32,$AE$33)</f>
        <v/>
      </c>
      <c r="Z142" s="9">
        <f>Y142*X142</f>
        <v/>
      </c>
      <c r="AA142" s="10">
        <f>IF(W142&gt;$AE$34,1,0)</f>
        <v/>
      </c>
      <c r="AB142">
        <f>IF(AA142=C142,1,0)</f>
        <v/>
      </c>
    </row>
    <row r="143">
      <c r="A143">
        <f>'1 datos preparados'!A136</f>
        <v/>
      </c>
      <c r="B143" s="5">
        <f>'1 datos preparados'!U136</f>
        <v/>
      </c>
      <c r="C143">
        <f>'1 datos preparados'!B136</f>
        <v/>
      </c>
      <c r="D143" s="7">
        <f>'1 datos preparados'!C136</f>
        <v/>
      </c>
      <c r="E143" s="7">
        <f>'1 datos preparados'!D136</f>
        <v/>
      </c>
      <c r="F143" s="7">
        <f>'1 datos preparados'!E136</f>
        <v/>
      </c>
      <c r="G143" s="7">
        <f>'1 datos preparados'!F136</f>
        <v/>
      </c>
      <c r="H143" s="7">
        <f>'1 datos preparados'!G136</f>
        <v/>
      </c>
      <c r="I143" s="7">
        <f>'1 datos preparados'!H136</f>
        <v/>
      </c>
      <c r="J143" s="7">
        <f>'1 datos preparados'!I136</f>
        <v/>
      </c>
      <c r="K143" s="7">
        <f>'1 datos preparados'!J136</f>
        <v/>
      </c>
      <c r="L143" s="7">
        <f>'1 datos preparados'!K136</f>
        <v/>
      </c>
      <c r="M143" s="7">
        <f>'1 datos preparados'!L136</f>
        <v/>
      </c>
      <c r="N143" s="7">
        <f>'1 datos preparados'!M136</f>
        <v/>
      </c>
      <c r="O143" s="7">
        <f>'1 datos preparados'!N136</f>
        <v/>
      </c>
      <c r="P143" s="7">
        <f>'1 datos preparados'!O136</f>
        <v/>
      </c>
      <c r="Q143" s="7">
        <f>'1 datos preparados'!P136</f>
        <v/>
      </c>
      <c r="R143" s="7">
        <f>'1 datos preparados'!Q136</f>
        <v/>
      </c>
      <c r="S143" s="7">
        <f>'1 datos preparados'!R136</f>
        <v/>
      </c>
      <c r="T143" s="7">
        <f>'1 datos preparados'!S136</f>
        <v/>
      </c>
      <c r="U143" s="7">
        <f>'1 datos preparados'!T136</f>
        <v/>
      </c>
      <c r="V143" s="8">
        <f>$AE$12+D143*$AE$13+E143*$AE$14+F143*$AE$15+G143*$AE$16+H143*$AE$17+I143*$AE$18+J143*$AE$19+K143*$AE$20+L143*$AE$21+M143*$AE$22+N143*$AE$23+O143*$AE$24+P143*$AE$25+Q143*$AE$26+R143*$AE$27+S143*$AE$28+T143*$AE$29+U143*$AE$30</f>
        <v/>
      </c>
      <c r="W143" s="8">
        <f>1/(1+EXP(-V143))</f>
        <v/>
      </c>
      <c r="X143" s="9">
        <f>-IF(C143=1,LN(W143),LN(1-W143))</f>
        <v/>
      </c>
      <c r="Y143" s="8">
        <f>IF(C143=1,$AE$32,$AE$33)</f>
        <v/>
      </c>
      <c r="Z143" s="9">
        <f>Y143*X143</f>
        <v/>
      </c>
      <c r="AA143" s="10">
        <f>IF(W143&gt;$AE$34,1,0)</f>
        <v/>
      </c>
      <c r="AB143">
        <f>IF(AA143=C143,1,0)</f>
        <v/>
      </c>
    </row>
    <row r="144">
      <c r="A144">
        <f>'1 datos preparados'!A137</f>
        <v/>
      </c>
      <c r="B144" s="5">
        <f>'1 datos preparados'!U137</f>
        <v/>
      </c>
      <c r="C144">
        <f>'1 datos preparados'!B137</f>
        <v/>
      </c>
      <c r="D144" s="7">
        <f>'1 datos preparados'!C137</f>
        <v/>
      </c>
      <c r="E144" s="7">
        <f>'1 datos preparados'!D137</f>
        <v/>
      </c>
      <c r="F144" s="7">
        <f>'1 datos preparados'!E137</f>
        <v/>
      </c>
      <c r="G144" s="7">
        <f>'1 datos preparados'!F137</f>
        <v/>
      </c>
      <c r="H144" s="7">
        <f>'1 datos preparados'!G137</f>
        <v/>
      </c>
      <c r="I144" s="7">
        <f>'1 datos preparados'!H137</f>
        <v/>
      </c>
      <c r="J144" s="7">
        <f>'1 datos preparados'!I137</f>
        <v/>
      </c>
      <c r="K144" s="7">
        <f>'1 datos preparados'!J137</f>
        <v/>
      </c>
      <c r="L144" s="7">
        <f>'1 datos preparados'!K137</f>
        <v/>
      </c>
      <c r="M144" s="7">
        <f>'1 datos preparados'!L137</f>
        <v/>
      </c>
      <c r="N144" s="7">
        <f>'1 datos preparados'!M137</f>
        <v/>
      </c>
      <c r="O144" s="7">
        <f>'1 datos preparados'!N137</f>
        <v/>
      </c>
      <c r="P144" s="7">
        <f>'1 datos preparados'!O137</f>
        <v/>
      </c>
      <c r="Q144" s="7">
        <f>'1 datos preparados'!P137</f>
        <v/>
      </c>
      <c r="R144" s="7">
        <f>'1 datos preparados'!Q137</f>
        <v/>
      </c>
      <c r="S144" s="7">
        <f>'1 datos preparados'!R137</f>
        <v/>
      </c>
      <c r="T144" s="7">
        <f>'1 datos preparados'!S137</f>
        <v/>
      </c>
      <c r="U144" s="7">
        <f>'1 datos preparados'!T137</f>
        <v/>
      </c>
      <c r="V144" s="8">
        <f>$AE$12+D144*$AE$13+E144*$AE$14+F144*$AE$15+G144*$AE$16+H144*$AE$17+I144*$AE$18+J144*$AE$19+K144*$AE$20+L144*$AE$21+M144*$AE$22+N144*$AE$23+O144*$AE$24+P144*$AE$25+Q144*$AE$26+R144*$AE$27+S144*$AE$28+T144*$AE$29+U144*$AE$30</f>
        <v/>
      </c>
      <c r="W144" s="8">
        <f>1/(1+EXP(-V144))</f>
        <v/>
      </c>
      <c r="X144" s="9">
        <f>-IF(C144=1,LN(W144),LN(1-W144))</f>
        <v/>
      </c>
      <c r="Y144" s="8">
        <f>IF(C144=1,$AE$32,$AE$33)</f>
        <v/>
      </c>
      <c r="Z144" s="9">
        <f>Y144*X144</f>
        <v/>
      </c>
      <c r="AA144" s="10">
        <f>IF(W144&gt;$AE$34,1,0)</f>
        <v/>
      </c>
      <c r="AB144">
        <f>IF(AA144=C144,1,0)</f>
        <v/>
      </c>
    </row>
    <row r="145">
      <c r="A145">
        <f>'1 datos preparados'!A138</f>
        <v/>
      </c>
      <c r="B145" s="5">
        <f>'1 datos preparados'!U138</f>
        <v/>
      </c>
      <c r="C145">
        <f>'1 datos preparados'!B138</f>
        <v/>
      </c>
      <c r="D145" s="7">
        <f>'1 datos preparados'!C138</f>
        <v/>
      </c>
      <c r="E145" s="7">
        <f>'1 datos preparados'!D138</f>
        <v/>
      </c>
      <c r="F145" s="7">
        <f>'1 datos preparados'!E138</f>
        <v/>
      </c>
      <c r="G145" s="7">
        <f>'1 datos preparados'!F138</f>
        <v/>
      </c>
      <c r="H145" s="7">
        <f>'1 datos preparados'!G138</f>
        <v/>
      </c>
      <c r="I145" s="7">
        <f>'1 datos preparados'!H138</f>
        <v/>
      </c>
      <c r="J145" s="7">
        <f>'1 datos preparados'!I138</f>
        <v/>
      </c>
      <c r="K145" s="7">
        <f>'1 datos preparados'!J138</f>
        <v/>
      </c>
      <c r="L145" s="7">
        <f>'1 datos preparados'!K138</f>
        <v/>
      </c>
      <c r="M145" s="7">
        <f>'1 datos preparados'!L138</f>
        <v/>
      </c>
      <c r="N145" s="7">
        <f>'1 datos preparados'!M138</f>
        <v/>
      </c>
      <c r="O145" s="7">
        <f>'1 datos preparados'!N138</f>
        <v/>
      </c>
      <c r="P145" s="7">
        <f>'1 datos preparados'!O138</f>
        <v/>
      </c>
      <c r="Q145" s="7">
        <f>'1 datos preparados'!P138</f>
        <v/>
      </c>
      <c r="R145" s="7">
        <f>'1 datos preparados'!Q138</f>
        <v/>
      </c>
      <c r="S145" s="7">
        <f>'1 datos preparados'!R138</f>
        <v/>
      </c>
      <c r="T145" s="7">
        <f>'1 datos preparados'!S138</f>
        <v/>
      </c>
      <c r="U145" s="7">
        <f>'1 datos preparados'!T138</f>
        <v/>
      </c>
      <c r="V145" s="8">
        <f>$AE$12+D145*$AE$13+E145*$AE$14+F145*$AE$15+G145*$AE$16+H145*$AE$17+I145*$AE$18+J145*$AE$19+K145*$AE$20+L145*$AE$21+M145*$AE$22+N145*$AE$23+O145*$AE$24+P145*$AE$25+Q145*$AE$26+R145*$AE$27+S145*$AE$28+T145*$AE$29+U145*$AE$30</f>
        <v/>
      </c>
      <c r="W145" s="8">
        <f>1/(1+EXP(-V145))</f>
        <v/>
      </c>
      <c r="X145" s="9">
        <f>-IF(C145=1,LN(W145),LN(1-W145))</f>
        <v/>
      </c>
      <c r="Y145" s="8">
        <f>IF(C145=1,$AE$32,$AE$33)</f>
        <v/>
      </c>
      <c r="Z145" s="9">
        <f>Y145*X145</f>
        <v/>
      </c>
      <c r="AA145" s="10">
        <f>IF(W145&gt;$AE$34,1,0)</f>
        <v/>
      </c>
      <c r="AB145">
        <f>IF(AA145=C145,1,0)</f>
        <v/>
      </c>
    </row>
    <row r="146">
      <c r="A146">
        <f>'1 datos preparados'!A139</f>
        <v/>
      </c>
      <c r="B146" s="5">
        <f>'1 datos preparados'!U139</f>
        <v/>
      </c>
      <c r="C146">
        <f>'1 datos preparados'!B139</f>
        <v/>
      </c>
      <c r="D146" s="7">
        <f>'1 datos preparados'!C139</f>
        <v/>
      </c>
      <c r="E146" s="7">
        <f>'1 datos preparados'!D139</f>
        <v/>
      </c>
      <c r="F146" s="7">
        <f>'1 datos preparados'!E139</f>
        <v/>
      </c>
      <c r="G146" s="7">
        <f>'1 datos preparados'!F139</f>
        <v/>
      </c>
      <c r="H146" s="7">
        <f>'1 datos preparados'!G139</f>
        <v/>
      </c>
      <c r="I146" s="7">
        <f>'1 datos preparados'!H139</f>
        <v/>
      </c>
      <c r="J146" s="7">
        <f>'1 datos preparados'!I139</f>
        <v/>
      </c>
      <c r="K146" s="7">
        <f>'1 datos preparados'!J139</f>
        <v/>
      </c>
      <c r="L146" s="7">
        <f>'1 datos preparados'!K139</f>
        <v/>
      </c>
      <c r="M146" s="7">
        <f>'1 datos preparados'!L139</f>
        <v/>
      </c>
      <c r="N146" s="7">
        <f>'1 datos preparados'!M139</f>
        <v/>
      </c>
      <c r="O146" s="7">
        <f>'1 datos preparados'!N139</f>
        <v/>
      </c>
      <c r="P146" s="7">
        <f>'1 datos preparados'!O139</f>
        <v/>
      </c>
      <c r="Q146" s="7">
        <f>'1 datos preparados'!P139</f>
        <v/>
      </c>
      <c r="R146" s="7">
        <f>'1 datos preparados'!Q139</f>
        <v/>
      </c>
      <c r="S146" s="7">
        <f>'1 datos preparados'!R139</f>
        <v/>
      </c>
      <c r="T146" s="7">
        <f>'1 datos preparados'!S139</f>
        <v/>
      </c>
      <c r="U146" s="7">
        <f>'1 datos preparados'!T139</f>
        <v/>
      </c>
      <c r="V146" s="8">
        <f>$AE$12+D146*$AE$13+E146*$AE$14+F146*$AE$15+G146*$AE$16+H146*$AE$17+I146*$AE$18+J146*$AE$19+K146*$AE$20+L146*$AE$21+M146*$AE$22+N146*$AE$23+O146*$AE$24+P146*$AE$25+Q146*$AE$26+R146*$AE$27+S146*$AE$28+T146*$AE$29+U146*$AE$30</f>
        <v/>
      </c>
      <c r="W146" s="8">
        <f>1/(1+EXP(-V146))</f>
        <v/>
      </c>
      <c r="X146" s="9">
        <f>-IF(C146=1,LN(W146),LN(1-W146))</f>
        <v/>
      </c>
      <c r="Y146" s="8">
        <f>IF(C146=1,$AE$32,$AE$33)</f>
        <v/>
      </c>
      <c r="Z146" s="9">
        <f>Y146*X146</f>
        <v/>
      </c>
      <c r="AA146" s="10">
        <f>IF(W146&gt;$AE$34,1,0)</f>
        <v/>
      </c>
      <c r="AB146">
        <f>IF(AA146=C146,1,0)</f>
        <v/>
      </c>
    </row>
    <row r="147">
      <c r="A147">
        <f>'1 datos preparados'!A140</f>
        <v/>
      </c>
      <c r="B147" s="5">
        <f>'1 datos preparados'!U140</f>
        <v/>
      </c>
      <c r="C147">
        <f>'1 datos preparados'!B140</f>
        <v/>
      </c>
      <c r="D147" s="7">
        <f>'1 datos preparados'!C140</f>
        <v/>
      </c>
      <c r="E147" s="7">
        <f>'1 datos preparados'!D140</f>
        <v/>
      </c>
      <c r="F147" s="7">
        <f>'1 datos preparados'!E140</f>
        <v/>
      </c>
      <c r="G147" s="7">
        <f>'1 datos preparados'!F140</f>
        <v/>
      </c>
      <c r="H147" s="7">
        <f>'1 datos preparados'!G140</f>
        <v/>
      </c>
      <c r="I147" s="7">
        <f>'1 datos preparados'!H140</f>
        <v/>
      </c>
      <c r="J147" s="7">
        <f>'1 datos preparados'!I140</f>
        <v/>
      </c>
      <c r="K147" s="7">
        <f>'1 datos preparados'!J140</f>
        <v/>
      </c>
      <c r="L147" s="7">
        <f>'1 datos preparados'!K140</f>
        <v/>
      </c>
      <c r="M147" s="7">
        <f>'1 datos preparados'!L140</f>
        <v/>
      </c>
      <c r="N147" s="7">
        <f>'1 datos preparados'!M140</f>
        <v/>
      </c>
      <c r="O147" s="7">
        <f>'1 datos preparados'!N140</f>
        <v/>
      </c>
      <c r="P147" s="7">
        <f>'1 datos preparados'!O140</f>
        <v/>
      </c>
      <c r="Q147" s="7">
        <f>'1 datos preparados'!P140</f>
        <v/>
      </c>
      <c r="R147" s="7">
        <f>'1 datos preparados'!Q140</f>
        <v/>
      </c>
      <c r="S147" s="7">
        <f>'1 datos preparados'!R140</f>
        <v/>
      </c>
      <c r="T147" s="7">
        <f>'1 datos preparados'!S140</f>
        <v/>
      </c>
      <c r="U147" s="7">
        <f>'1 datos preparados'!T140</f>
        <v/>
      </c>
      <c r="V147" s="8">
        <f>$AE$12+D147*$AE$13+E147*$AE$14+F147*$AE$15+G147*$AE$16+H147*$AE$17+I147*$AE$18+J147*$AE$19+K147*$AE$20+L147*$AE$21+M147*$AE$22+N147*$AE$23+O147*$AE$24+P147*$AE$25+Q147*$AE$26+R147*$AE$27+S147*$AE$28+T147*$AE$29+U147*$AE$30</f>
        <v/>
      </c>
      <c r="W147" s="8">
        <f>1/(1+EXP(-V147))</f>
        <v/>
      </c>
      <c r="X147" s="9">
        <f>-IF(C147=1,LN(W147),LN(1-W147))</f>
        <v/>
      </c>
      <c r="Y147" s="8">
        <f>IF(C147=1,$AE$32,$AE$33)</f>
        <v/>
      </c>
      <c r="Z147" s="9">
        <f>Y147*X147</f>
        <v/>
      </c>
      <c r="AA147" s="10">
        <f>IF(W147&gt;$AE$34,1,0)</f>
        <v/>
      </c>
      <c r="AB147">
        <f>IF(AA147=C147,1,0)</f>
        <v/>
      </c>
    </row>
    <row r="148">
      <c r="A148">
        <f>'1 datos preparados'!A141</f>
        <v/>
      </c>
      <c r="B148" s="5">
        <f>'1 datos preparados'!U141</f>
        <v/>
      </c>
      <c r="C148">
        <f>'1 datos preparados'!B141</f>
        <v/>
      </c>
      <c r="D148" s="7">
        <f>'1 datos preparados'!C141</f>
        <v/>
      </c>
      <c r="E148" s="7">
        <f>'1 datos preparados'!D141</f>
        <v/>
      </c>
      <c r="F148" s="7">
        <f>'1 datos preparados'!E141</f>
        <v/>
      </c>
      <c r="G148" s="7">
        <f>'1 datos preparados'!F141</f>
        <v/>
      </c>
      <c r="H148" s="7">
        <f>'1 datos preparados'!G141</f>
        <v/>
      </c>
      <c r="I148" s="7">
        <f>'1 datos preparados'!H141</f>
        <v/>
      </c>
      <c r="J148" s="7">
        <f>'1 datos preparados'!I141</f>
        <v/>
      </c>
      <c r="K148" s="7">
        <f>'1 datos preparados'!J141</f>
        <v/>
      </c>
      <c r="L148" s="7">
        <f>'1 datos preparados'!K141</f>
        <v/>
      </c>
      <c r="M148" s="7">
        <f>'1 datos preparados'!L141</f>
        <v/>
      </c>
      <c r="N148" s="7">
        <f>'1 datos preparados'!M141</f>
        <v/>
      </c>
      <c r="O148" s="7">
        <f>'1 datos preparados'!N141</f>
        <v/>
      </c>
      <c r="P148" s="7">
        <f>'1 datos preparados'!O141</f>
        <v/>
      </c>
      <c r="Q148" s="7">
        <f>'1 datos preparados'!P141</f>
        <v/>
      </c>
      <c r="R148" s="7">
        <f>'1 datos preparados'!Q141</f>
        <v/>
      </c>
      <c r="S148" s="7">
        <f>'1 datos preparados'!R141</f>
        <v/>
      </c>
      <c r="T148" s="7">
        <f>'1 datos preparados'!S141</f>
        <v/>
      </c>
      <c r="U148" s="7">
        <f>'1 datos preparados'!T141</f>
        <v/>
      </c>
      <c r="V148" s="8">
        <f>$AE$12+D148*$AE$13+E148*$AE$14+F148*$AE$15+G148*$AE$16+H148*$AE$17+I148*$AE$18+J148*$AE$19+K148*$AE$20+L148*$AE$21+M148*$AE$22+N148*$AE$23+O148*$AE$24+P148*$AE$25+Q148*$AE$26+R148*$AE$27+S148*$AE$28+T148*$AE$29+U148*$AE$30</f>
        <v/>
      </c>
      <c r="W148" s="8">
        <f>1/(1+EXP(-V148))</f>
        <v/>
      </c>
      <c r="X148" s="9">
        <f>-IF(C148=1,LN(W148),LN(1-W148))</f>
        <v/>
      </c>
      <c r="Y148" s="8">
        <f>IF(C148=1,$AE$32,$AE$33)</f>
        <v/>
      </c>
      <c r="Z148" s="9">
        <f>Y148*X148</f>
        <v/>
      </c>
      <c r="AA148" s="10">
        <f>IF(W148&gt;$AE$34,1,0)</f>
        <v/>
      </c>
      <c r="AB148">
        <f>IF(AA148=C148,1,0)</f>
        <v/>
      </c>
    </row>
    <row r="149">
      <c r="A149">
        <f>'1 datos preparados'!A142</f>
        <v/>
      </c>
      <c r="B149" s="5">
        <f>'1 datos preparados'!U142</f>
        <v/>
      </c>
      <c r="C149">
        <f>'1 datos preparados'!B142</f>
        <v/>
      </c>
      <c r="D149" s="7">
        <f>'1 datos preparados'!C142</f>
        <v/>
      </c>
      <c r="E149" s="7">
        <f>'1 datos preparados'!D142</f>
        <v/>
      </c>
      <c r="F149" s="7">
        <f>'1 datos preparados'!E142</f>
        <v/>
      </c>
      <c r="G149" s="7">
        <f>'1 datos preparados'!F142</f>
        <v/>
      </c>
      <c r="H149" s="7">
        <f>'1 datos preparados'!G142</f>
        <v/>
      </c>
      <c r="I149" s="7">
        <f>'1 datos preparados'!H142</f>
        <v/>
      </c>
      <c r="J149" s="7">
        <f>'1 datos preparados'!I142</f>
        <v/>
      </c>
      <c r="K149" s="7">
        <f>'1 datos preparados'!J142</f>
        <v/>
      </c>
      <c r="L149" s="7">
        <f>'1 datos preparados'!K142</f>
        <v/>
      </c>
      <c r="M149" s="7">
        <f>'1 datos preparados'!L142</f>
        <v/>
      </c>
      <c r="N149" s="7">
        <f>'1 datos preparados'!M142</f>
        <v/>
      </c>
      <c r="O149" s="7">
        <f>'1 datos preparados'!N142</f>
        <v/>
      </c>
      <c r="P149" s="7">
        <f>'1 datos preparados'!O142</f>
        <v/>
      </c>
      <c r="Q149" s="7">
        <f>'1 datos preparados'!P142</f>
        <v/>
      </c>
      <c r="R149" s="7">
        <f>'1 datos preparados'!Q142</f>
        <v/>
      </c>
      <c r="S149" s="7">
        <f>'1 datos preparados'!R142</f>
        <v/>
      </c>
      <c r="T149" s="7">
        <f>'1 datos preparados'!S142</f>
        <v/>
      </c>
      <c r="U149" s="7">
        <f>'1 datos preparados'!T142</f>
        <v/>
      </c>
      <c r="V149" s="8">
        <f>$AE$12+D149*$AE$13+E149*$AE$14+F149*$AE$15+G149*$AE$16+H149*$AE$17+I149*$AE$18+J149*$AE$19+K149*$AE$20+L149*$AE$21+M149*$AE$22+N149*$AE$23+O149*$AE$24+P149*$AE$25+Q149*$AE$26+R149*$AE$27+S149*$AE$28+T149*$AE$29+U149*$AE$30</f>
        <v/>
      </c>
      <c r="W149" s="8">
        <f>1/(1+EXP(-V149))</f>
        <v/>
      </c>
      <c r="X149" s="9">
        <f>-IF(C149=1,LN(W149),LN(1-W149))</f>
        <v/>
      </c>
      <c r="Y149" s="8">
        <f>IF(C149=1,$AE$32,$AE$33)</f>
        <v/>
      </c>
      <c r="Z149" s="9">
        <f>Y149*X149</f>
        <v/>
      </c>
      <c r="AA149" s="10">
        <f>IF(W149&gt;$AE$34,1,0)</f>
        <v/>
      </c>
      <c r="AB149">
        <f>IF(AA149=C149,1,0)</f>
        <v/>
      </c>
    </row>
    <row r="150">
      <c r="A150">
        <f>'1 datos preparados'!A143</f>
        <v/>
      </c>
      <c r="B150" s="5">
        <f>'1 datos preparados'!U143</f>
        <v/>
      </c>
      <c r="C150">
        <f>'1 datos preparados'!B143</f>
        <v/>
      </c>
      <c r="D150" s="7">
        <f>'1 datos preparados'!C143</f>
        <v/>
      </c>
      <c r="E150" s="7">
        <f>'1 datos preparados'!D143</f>
        <v/>
      </c>
      <c r="F150" s="7">
        <f>'1 datos preparados'!E143</f>
        <v/>
      </c>
      <c r="G150" s="7">
        <f>'1 datos preparados'!F143</f>
        <v/>
      </c>
      <c r="H150" s="7">
        <f>'1 datos preparados'!G143</f>
        <v/>
      </c>
      <c r="I150" s="7">
        <f>'1 datos preparados'!H143</f>
        <v/>
      </c>
      <c r="J150" s="7">
        <f>'1 datos preparados'!I143</f>
        <v/>
      </c>
      <c r="K150" s="7">
        <f>'1 datos preparados'!J143</f>
        <v/>
      </c>
      <c r="L150" s="7">
        <f>'1 datos preparados'!K143</f>
        <v/>
      </c>
      <c r="M150" s="7">
        <f>'1 datos preparados'!L143</f>
        <v/>
      </c>
      <c r="N150" s="7">
        <f>'1 datos preparados'!M143</f>
        <v/>
      </c>
      <c r="O150" s="7">
        <f>'1 datos preparados'!N143</f>
        <v/>
      </c>
      <c r="P150" s="7">
        <f>'1 datos preparados'!O143</f>
        <v/>
      </c>
      <c r="Q150" s="7">
        <f>'1 datos preparados'!P143</f>
        <v/>
      </c>
      <c r="R150" s="7">
        <f>'1 datos preparados'!Q143</f>
        <v/>
      </c>
      <c r="S150" s="7">
        <f>'1 datos preparados'!R143</f>
        <v/>
      </c>
      <c r="T150" s="7">
        <f>'1 datos preparados'!S143</f>
        <v/>
      </c>
      <c r="U150" s="7">
        <f>'1 datos preparados'!T143</f>
        <v/>
      </c>
      <c r="V150" s="8">
        <f>$AE$12+D150*$AE$13+E150*$AE$14+F150*$AE$15+G150*$AE$16+H150*$AE$17+I150*$AE$18+J150*$AE$19+K150*$AE$20+L150*$AE$21+M150*$AE$22+N150*$AE$23+O150*$AE$24+P150*$AE$25+Q150*$AE$26+R150*$AE$27+S150*$AE$28+T150*$AE$29+U150*$AE$30</f>
        <v/>
      </c>
      <c r="W150" s="8">
        <f>1/(1+EXP(-V150))</f>
        <v/>
      </c>
      <c r="X150" s="9">
        <f>-IF(C150=1,LN(W150),LN(1-W150))</f>
        <v/>
      </c>
      <c r="Y150" s="8">
        <f>IF(C150=1,$AE$32,$AE$33)</f>
        <v/>
      </c>
      <c r="Z150" s="9">
        <f>Y150*X150</f>
        <v/>
      </c>
      <c r="AA150" s="10">
        <f>IF(W150&gt;$AE$34,1,0)</f>
        <v/>
      </c>
      <c r="AB150">
        <f>IF(AA150=C150,1,0)</f>
        <v/>
      </c>
    </row>
    <row r="151">
      <c r="A151">
        <f>'1 datos preparados'!A144</f>
        <v/>
      </c>
      <c r="B151" s="5">
        <f>'1 datos preparados'!U144</f>
        <v/>
      </c>
      <c r="C151">
        <f>'1 datos preparados'!B144</f>
        <v/>
      </c>
      <c r="D151" s="7">
        <f>'1 datos preparados'!C144</f>
        <v/>
      </c>
      <c r="E151" s="7">
        <f>'1 datos preparados'!D144</f>
        <v/>
      </c>
      <c r="F151" s="7">
        <f>'1 datos preparados'!E144</f>
        <v/>
      </c>
      <c r="G151" s="7">
        <f>'1 datos preparados'!F144</f>
        <v/>
      </c>
      <c r="H151" s="7">
        <f>'1 datos preparados'!G144</f>
        <v/>
      </c>
      <c r="I151" s="7">
        <f>'1 datos preparados'!H144</f>
        <v/>
      </c>
      <c r="J151" s="7">
        <f>'1 datos preparados'!I144</f>
        <v/>
      </c>
      <c r="K151" s="7">
        <f>'1 datos preparados'!J144</f>
        <v/>
      </c>
      <c r="L151" s="7">
        <f>'1 datos preparados'!K144</f>
        <v/>
      </c>
      <c r="M151" s="7">
        <f>'1 datos preparados'!L144</f>
        <v/>
      </c>
      <c r="N151" s="7">
        <f>'1 datos preparados'!M144</f>
        <v/>
      </c>
      <c r="O151" s="7">
        <f>'1 datos preparados'!N144</f>
        <v/>
      </c>
      <c r="P151" s="7">
        <f>'1 datos preparados'!O144</f>
        <v/>
      </c>
      <c r="Q151" s="7">
        <f>'1 datos preparados'!P144</f>
        <v/>
      </c>
      <c r="R151" s="7">
        <f>'1 datos preparados'!Q144</f>
        <v/>
      </c>
      <c r="S151" s="7">
        <f>'1 datos preparados'!R144</f>
        <v/>
      </c>
      <c r="T151" s="7">
        <f>'1 datos preparados'!S144</f>
        <v/>
      </c>
      <c r="U151" s="7">
        <f>'1 datos preparados'!T144</f>
        <v/>
      </c>
      <c r="V151" s="8">
        <f>$AE$12+D151*$AE$13+E151*$AE$14+F151*$AE$15+G151*$AE$16+H151*$AE$17+I151*$AE$18+J151*$AE$19+K151*$AE$20+L151*$AE$21+M151*$AE$22+N151*$AE$23+O151*$AE$24+P151*$AE$25+Q151*$AE$26+R151*$AE$27+S151*$AE$28+T151*$AE$29+U151*$AE$30</f>
        <v/>
      </c>
      <c r="W151" s="8">
        <f>1/(1+EXP(-V151))</f>
        <v/>
      </c>
      <c r="X151" s="9">
        <f>-IF(C151=1,LN(W151),LN(1-W151))</f>
        <v/>
      </c>
      <c r="Y151" s="8">
        <f>IF(C151=1,$AE$32,$AE$33)</f>
        <v/>
      </c>
      <c r="Z151" s="9">
        <f>Y151*X151</f>
        <v/>
      </c>
      <c r="AA151" s="10">
        <f>IF(W151&gt;$AE$34,1,0)</f>
        <v/>
      </c>
      <c r="AB151">
        <f>IF(AA151=C151,1,0)</f>
        <v/>
      </c>
    </row>
    <row r="152">
      <c r="A152">
        <f>'1 datos preparados'!A145</f>
        <v/>
      </c>
      <c r="B152" s="5">
        <f>'1 datos preparados'!U145</f>
        <v/>
      </c>
      <c r="C152">
        <f>'1 datos preparados'!B145</f>
        <v/>
      </c>
      <c r="D152" s="7">
        <f>'1 datos preparados'!C145</f>
        <v/>
      </c>
      <c r="E152" s="7">
        <f>'1 datos preparados'!D145</f>
        <v/>
      </c>
      <c r="F152" s="7">
        <f>'1 datos preparados'!E145</f>
        <v/>
      </c>
      <c r="G152" s="7">
        <f>'1 datos preparados'!F145</f>
        <v/>
      </c>
      <c r="H152" s="7">
        <f>'1 datos preparados'!G145</f>
        <v/>
      </c>
      <c r="I152" s="7">
        <f>'1 datos preparados'!H145</f>
        <v/>
      </c>
      <c r="J152" s="7">
        <f>'1 datos preparados'!I145</f>
        <v/>
      </c>
      <c r="K152" s="7">
        <f>'1 datos preparados'!J145</f>
        <v/>
      </c>
      <c r="L152" s="7">
        <f>'1 datos preparados'!K145</f>
        <v/>
      </c>
      <c r="M152" s="7">
        <f>'1 datos preparados'!L145</f>
        <v/>
      </c>
      <c r="N152" s="7">
        <f>'1 datos preparados'!M145</f>
        <v/>
      </c>
      <c r="O152" s="7">
        <f>'1 datos preparados'!N145</f>
        <v/>
      </c>
      <c r="P152" s="7">
        <f>'1 datos preparados'!O145</f>
        <v/>
      </c>
      <c r="Q152" s="7">
        <f>'1 datos preparados'!P145</f>
        <v/>
      </c>
      <c r="R152" s="7">
        <f>'1 datos preparados'!Q145</f>
        <v/>
      </c>
      <c r="S152" s="7">
        <f>'1 datos preparados'!R145</f>
        <v/>
      </c>
      <c r="T152" s="7">
        <f>'1 datos preparados'!S145</f>
        <v/>
      </c>
      <c r="U152" s="7">
        <f>'1 datos preparados'!T145</f>
        <v/>
      </c>
      <c r="V152" s="8">
        <f>$AE$12+D152*$AE$13+E152*$AE$14+F152*$AE$15+G152*$AE$16+H152*$AE$17+I152*$AE$18+J152*$AE$19+K152*$AE$20+L152*$AE$21+M152*$AE$22+N152*$AE$23+O152*$AE$24+P152*$AE$25+Q152*$AE$26+R152*$AE$27+S152*$AE$28+T152*$AE$29+U152*$AE$30</f>
        <v/>
      </c>
      <c r="W152" s="8">
        <f>1/(1+EXP(-V152))</f>
        <v/>
      </c>
      <c r="X152" s="9">
        <f>-IF(C152=1,LN(W152),LN(1-W152))</f>
        <v/>
      </c>
      <c r="Y152" s="8">
        <f>IF(C152=1,$AE$32,$AE$33)</f>
        <v/>
      </c>
      <c r="Z152" s="9">
        <f>Y152*X152</f>
        <v/>
      </c>
      <c r="AA152" s="10">
        <f>IF(W152&gt;$AE$34,1,0)</f>
        <v/>
      </c>
      <c r="AB152">
        <f>IF(AA152=C152,1,0)</f>
        <v/>
      </c>
    </row>
    <row r="153">
      <c r="A153">
        <f>'1 datos preparados'!A146</f>
        <v/>
      </c>
      <c r="B153" s="5">
        <f>'1 datos preparados'!U146</f>
        <v/>
      </c>
      <c r="C153">
        <f>'1 datos preparados'!B146</f>
        <v/>
      </c>
      <c r="D153" s="7">
        <f>'1 datos preparados'!C146</f>
        <v/>
      </c>
      <c r="E153" s="7">
        <f>'1 datos preparados'!D146</f>
        <v/>
      </c>
      <c r="F153" s="7">
        <f>'1 datos preparados'!E146</f>
        <v/>
      </c>
      <c r="G153" s="7">
        <f>'1 datos preparados'!F146</f>
        <v/>
      </c>
      <c r="H153" s="7">
        <f>'1 datos preparados'!G146</f>
        <v/>
      </c>
      <c r="I153" s="7">
        <f>'1 datos preparados'!H146</f>
        <v/>
      </c>
      <c r="J153" s="7">
        <f>'1 datos preparados'!I146</f>
        <v/>
      </c>
      <c r="K153" s="7">
        <f>'1 datos preparados'!J146</f>
        <v/>
      </c>
      <c r="L153" s="7">
        <f>'1 datos preparados'!K146</f>
        <v/>
      </c>
      <c r="M153" s="7">
        <f>'1 datos preparados'!L146</f>
        <v/>
      </c>
      <c r="N153" s="7">
        <f>'1 datos preparados'!M146</f>
        <v/>
      </c>
      <c r="O153" s="7">
        <f>'1 datos preparados'!N146</f>
        <v/>
      </c>
      <c r="P153" s="7">
        <f>'1 datos preparados'!O146</f>
        <v/>
      </c>
      <c r="Q153" s="7">
        <f>'1 datos preparados'!P146</f>
        <v/>
      </c>
      <c r="R153" s="7">
        <f>'1 datos preparados'!Q146</f>
        <v/>
      </c>
      <c r="S153" s="7">
        <f>'1 datos preparados'!R146</f>
        <v/>
      </c>
      <c r="T153" s="7">
        <f>'1 datos preparados'!S146</f>
        <v/>
      </c>
      <c r="U153" s="7">
        <f>'1 datos preparados'!T146</f>
        <v/>
      </c>
      <c r="V153" s="8">
        <f>$AE$12+D153*$AE$13+E153*$AE$14+F153*$AE$15+G153*$AE$16+H153*$AE$17+I153*$AE$18+J153*$AE$19+K153*$AE$20+L153*$AE$21+M153*$AE$22+N153*$AE$23+O153*$AE$24+P153*$AE$25+Q153*$AE$26+R153*$AE$27+S153*$AE$28+T153*$AE$29+U153*$AE$30</f>
        <v/>
      </c>
      <c r="W153" s="8">
        <f>1/(1+EXP(-V153))</f>
        <v/>
      </c>
      <c r="X153" s="9">
        <f>-IF(C153=1,LN(W153),LN(1-W153))</f>
        <v/>
      </c>
      <c r="Y153" s="8">
        <f>IF(C153=1,$AE$32,$AE$33)</f>
        <v/>
      </c>
      <c r="Z153" s="9">
        <f>Y153*X153</f>
        <v/>
      </c>
      <c r="AA153" s="10">
        <f>IF(W153&gt;$AE$34,1,0)</f>
        <v/>
      </c>
      <c r="AB153">
        <f>IF(AA153=C153,1,0)</f>
        <v/>
      </c>
    </row>
    <row r="154">
      <c r="A154">
        <f>'1 datos preparados'!A147</f>
        <v/>
      </c>
      <c r="B154" s="5">
        <f>'1 datos preparados'!U147</f>
        <v/>
      </c>
      <c r="C154">
        <f>'1 datos preparados'!B147</f>
        <v/>
      </c>
      <c r="D154" s="7">
        <f>'1 datos preparados'!C147</f>
        <v/>
      </c>
      <c r="E154" s="7">
        <f>'1 datos preparados'!D147</f>
        <v/>
      </c>
      <c r="F154" s="7">
        <f>'1 datos preparados'!E147</f>
        <v/>
      </c>
      <c r="G154" s="7">
        <f>'1 datos preparados'!F147</f>
        <v/>
      </c>
      <c r="H154" s="7">
        <f>'1 datos preparados'!G147</f>
        <v/>
      </c>
      <c r="I154" s="7">
        <f>'1 datos preparados'!H147</f>
        <v/>
      </c>
      <c r="J154" s="7">
        <f>'1 datos preparados'!I147</f>
        <v/>
      </c>
      <c r="K154" s="7">
        <f>'1 datos preparados'!J147</f>
        <v/>
      </c>
      <c r="L154" s="7">
        <f>'1 datos preparados'!K147</f>
        <v/>
      </c>
      <c r="M154" s="7">
        <f>'1 datos preparados'!L147</f>
        <v/>
      </c>
      <c r="N154" s="7">
        <f>'1 datos preparados'!M147</f>
        <v/>
      </c>
      <c r="O154" s="7">
        <f>'1 datos preparados'!N147</f>
        <v/>
      </c>
      <c r="P154" s="7">
        <f>'1 datos preparados'!O147</f>
        <v/>
      </c>
      <c r="Q154" s="7">
        <f>'1 datos preparados'!P147</f>
        <v/>
      </c>
      <c r="R154" s="7">
        <f>'1 datos preparados'!Q147</f>
        <v/>
      </c>
      <c r="S154" s="7">
        <f>'1 datos preparados'!R147</f>
        <v/>
      </c>
      <c r="T154" s="7">
        <f>'1 datos preparados'!S147</f>
        <v/>
      </c>
      <c r="U154" s="7">
        <f>'1 datos preparados'!T147</f>
        <v/>
      </c>
      <c r="V154" s="8">
        <f>$AE$12+D154*$AE$13+E154*$AE$14+F154*$AE$15+G154*$AE$16+H154*$AE$17+I154*$AE$18+J154*$AE$19+K154*$AE$20+L154*$AE$21+M154*$AE$22+N154*$AE$23+O154*$AE$24+P154*$AE$25+Q154*$AE$26+R154*$AE$27+S154*$AE$28+T154*$AE$29+U154*$AE$30</f>
        <v/>
      </c>
      <c r="W154" s="8">
        <f>1/(1+EXP(-V154))</f>
        <v/>
      </c>
      <c r="X154" s="9">
        <f>-IF(C154=1,LN(W154),LN(1-W154))</f>
        <v/>
      </c>
      <c r="Y154" s="8">
        <f>IF(C154=1,$AE$32,$AE$33)</f>
        <v/>
      </c>
      <c r="Z154" s="9">
        <f>Y154*X154</f>
        <v/>
      </c>
      <c r="AA154" s="10">
        <f>IF(W154&gt;$AE$34,1,0)</f>
        <v/>
      </c>
      <c r="AB154">
        <f>IF(AA154=C154,1,0)</f>
        <v/>
      </c>
    </row>
    <row r="155">
      <c r="A155">
        <f>'1 datos preparados'!A148</f>
        <v/>
      </c>
      <c r="B155" s="5">
        <f>'1 datos preparados'!U148</f>
        <v/>
      </c>
      <c r="C155">
        <f>'1 datos preparados'!B148</f>
        <v/>
      </c>
      <c r="D155" s="7">
        <f>'1 datos preparados'!C148</f>
        <v/>
      </c>
      <c r="E155" s="7">
        <f>'1 datos preparados'!D148</f>
        <v/>
      </c>
      <c r="F155" s="7">
        <f>'1 datos preparados'!E148</f>
        <v/>
      </c>
      <c r="G155" s="7">
        <f>'1 datos preparados'!F148</f>
        <v/>
      </c>
      <c r="H155" s="7">
        <f>'1 datos preparados'!G148</f>
        <v/>
      </c>
      <c r="I155" s="7">
        <f>'1 datos preparados'!H148</f>
        <v/>
      </c>
      <c r="J155" s="7">
        <f>'1 datos preparados'!I148</f>
        <v/>
      </c>
      <c r="K155" s="7">
        <f>'1 datos preparados'!J148</f>
        <v/>
      </c>
      <c r="L155" s="7">
        <f>'1 datos preparados'!K148</f>
        <v/>
      </c>
      <c r="M155" s="7">
        <f>'1 datos preparados'!L148</f>
        <v/>
      </c>
      <c r="N155" s="7">
        <f>'1 datos preparados'!M148</f>
        <v/>
      </c>
      <c r="O155" s="7">
        <f>'1 datos preparados'!N148</f>
        <v/>
      </c>
      <c r="P155" s="7">
        <f>'1 datos preparados'!O148</f>
        <v/>
      </c>
      <c r="Q155" s="7">
        <f>'1 datos preparados'!P148</f>
        <v/>
      </c>
      <c r="R155" s="7">
        <f>'1 datos preparados'!Q148</f>
        <v/>
      </c>
      <c r="S155" s="7">
        <f>'1 datos preparados'!R148</f>
        <v/>
      </c>
      <c r="T155" s="7">
        <f>'1 datos preparados'!S148</f>
        <v/>
      </c>
      <c r="U155" s="7">
        <f>'1 datos preparados'!T148</f>
        <v/>
      </c>
      <c r="V155" s="8">
        <f>$AE$12+D155*$AE$13+E155*$AE$14+F155*$AE$15+G155*$AE$16+H155*$AE$17+I155*$AE$18+J155*$AE$19+K155*$AE$20+L155*$AE$21+M155*$AE$22+N155*$AE$23+O155*$AE$24+P155*$AE$25+Q155*$AE$26+R155*$AE$27+S155*$AE$28+T155*$AE$29+U155*$AE$30</f>
        <v/>
      </c>
      <c r="W155" s="8">
        <f>1/(1+EXP(-V155))</f>
        <v/>
      </c>
      <c r="X155" s="9">
        <f>-IF(C155=1,LN(W155),LN(1-W155))</f>
        <v/>
      </c>
      <c r="Y155" s="8">
        <f>IF(C155=1,$AE$32,$AE$33)</f>
        <v/>
      </c>
      <c r="Z155" s="9">
        <f>Y155*X155</f>
        <v/>
      </c>
      <c r="AA155" s="10">
        <f>IF(W155&gt;$AE$34,1,0)</f>
        <v/>
      </c>
      <c r="AB155">
        <f>IF(AA155=C155,1,0)</f>
        <v/>
      </c>
    </row>
    <row r="156">
      <c r="A156">
        <f>'1 datos preparados'!A149</f>
        <v/>
      </c>
      <c r="B156" s="5">
        <f>'1 datos preparados'!U149</f>
        <v/>
      </c>
      <c r="C156">
        <f>'1 datos preparados'!B149</f>
        <v/>
      </c>
      <c r="D156" s="7">
        <f>'1 datos preparados'!C149</f>
        <v/>
      </c>
      <c r="E156" s="7">
        <f>'1 datos preparados'!D149</f>
        <v/>
      </c>
      <c r="F156" s="7">
        <f>'1 datos preparados'!E149</f>
        <v/>
      </c>
      <c r="G156" s="7">
        <f>'1 datos preparados'!F149</f>
        <v/>
      </c>
      <c r="H156" s="7">
        <f>'1 datos preparados'!G149</f>
        <v/>
      </c>
      <c r="I156" s="7">
        <f>'1 datos preparados'!H149</f>
        <v/>
      </c>
      <c r="J156" s="7">
        <f>'1 datos preparados'!I149</f>
        <v/>
      </c>
      <c r="K156" s="7">
        <f>'1 datos preparados'!J149</f>
        <v/>
      </c>
      <c r="L156" s="7">
        <f>'1 datos preparados'!K149</f>
        <v/>
      </c>
      <c r="M156" s="7">
        <f>'1 datos preparados'!L149</f>
        <v/>
      </c>
      <c r="N156" s="7">
        <f>'1 datos preparados'!M149</f>
        <v/>
      </c>
      <c r="O156" s="7">
        <f>'1 datos preparados'!N149</f>
        <v/>
      </c>
      <c r="P156" s="7">
        <f>'1 datos preparados'!O149</f>
        <v/>
      </c>
      <c r="Q156" s="7">
        <f>'1 datos preparados'!P149</f>
        <v/>
      </c>
      <c r="R156" s="7">
        <f>'1 datos preparados'!Q149</f>
        <v/>
      </c>
      <c r="S156" s="7">
        <f>'1 datos preparados'!R149</f>
        <v/>
      </c>
      <c r="T156" s="7">
        <f>'1 datos preparados'!S149</f>
        <v/>
      </c>
      <c r="U156" s="7">
        <f>'1 datos preparados'!T149</f>
        <v/>
      </c>
      <c r="V156" s="8">
        <f>$AE$12+D156*$AE$13+E156*$AE$14+F156*$AE$15+G156*$AE$16+H156*$AE$17+I156*$AE$18+J156*$AE$19+K156*$AE$20+L156*$AE$21+M156*$AE$22+N156*$AE$23+O156*$AE$24+P156*$AE$25+Q156*$AE$26+R156*$AE$27+S156*$AE$28+T156*$AE$29+U156*$AE$30</f>
        <v/>
      </c>
      <c r="W156" s="8">
        <f>1/(1+EXP(-V156))</f>
        <v/>
      </c>
      <c r="X156" s="9">
        <f>-IF(C156=1,LN(W156),LN(1-W156))</f>
        <v/>
      </c>
      <c r="Y156" s="8">
        <f>IF(C156=1,$AE$32,$AE$33)</f>
        <v/>
      </c>
      <c r="Z156" s="9">
        <f>Y156*X156</f>
        <v/>
      </c>
      <c r="AA156" s="10">
        <f>IF(W156&gt;$AE$34,1,0)</f>
        <v/>
      </c>
      <c r="AB156">
        <f>IF(AA156=C156,1,0)</f>
        <v/>
      </c>
    </row>
    <row r="157">
      <c r="A157">
        <f>'1 datos preparados'!A150</f>
        <v/>
      </c>
      <c r="B157" s="5">
        <f>'1 datos preparados'!U150</f>
        <v/>
      </c>
      <c r="C157">
        <f>'1 datos preparados'!B150</f>
        <v/>
      </c>
      <c r="D157" s="7">
        <f>'1 datos preparados'!C150</f>
        <v/>
      </c>
      <c r="E157" s="7">
        <f>'1 datos preparados'!D150</f>
        <v/>
      </c>
      <c r="F157" s="7">
        <f>'1 datos preparados'!E150</f>
        <v/>
      </c>
      <c r="G157" s="7">
        <f>'1 datos preparados'!F150</f>
        <v/>
      </c>
      <c r="H157" s="7">
        <f>'1 datos preparados'!G150</f>
        <v/>
      </c>
      <c r="I157" s="7">
        <f>'1 datos preparados'!H150</f>
        <v/>
      </c>
      <c r="J157" s="7">
        <f>'1 datos preparados'!I150</f>
        <v/>
      </c>
      <c r="K157" s="7">
        <f>'1 datos preparados'!J150</f>
        <v/>
      </c>
      <c r="L157" s="7">
        <f>'1 datos preparados'!K150</f>
        <v/>
      </c>
      <c r="M157" s="7">
        <f>'1 datos preparados'!L150</f>
        <v/>
      </c>
      <c r="N157" s="7">
        <f>'1 datos preparados'!M150</f>
        <v/>
      </c>
      <c r="O157" s="7">
        <f>'1 datos preparados'!N150</f>
        <v/>
      </c>
      <c r="P157" s="7">
        <f>'1 datos preparados'!O150</f>
        <v/>
      </c>
      <c r="Q157" s="7">
        <f>'1 datos preparados'!P150</f>
        <v/>
      </c>
      <c r="R157" s="7">
        <f>'1 datos preparados'!Q150</f>
        <v/>
      </c>
      <c r="S157" s="7">
        <f>'1 datos preparados'!R150</f>
        <v/>
      </c>
      <c r="T157" s="7">
        <f>'1 datos preparados'!S150</f>
        <v/>
      </c>
      <c r="U157" s="7">
        <f>'1 datos preparados'!T150</f>
        <v/>
      </c>
      <c r="V157" s="8">
        <f>$AE$12+D157*$AE$13+E157*$AE$14+F157*$AE$15+G157*$AE$16+H157*$AE$17+I157*$AE$18+J157*$AE$19+K157*$AE$20+L157*$AE$21+M157*$AE$22+N157*$AE$23+O157*$AE$24+P157*$AE$25+Q157*$AE$26+R157*$AE$27+S157*$AE$28+T157*$AE$29+U157*$AE$30</f>
        <v/>
      </c>
      <c r="W157" s="8">
        <f>1/(1+EXP(-V157))</f>
        <v/>
      </c>
      <c r="X157" s="9">
        <f>-IF(C157=1,LN(W157),LN(1-W157))</f>
        <v/>
      </c>
      <c r="Y157" s="8">
        <f>IF(C157=1,$AE$32,$AE$33)</f>
        <v/>
      </c>
      <c r="Z157" s="9">
        <f>Y157*X157</f>
        <v/>
      </c>
      <c r="AA157" s="10">
        <f>IF(W157&gt;$AE$34,1,0)</f>
        <v/>
      </c>
      <c r="AB157">
        <f>IF(AA157=C157,1,0)</f>
        <v/>
      </c>
    </row>
    <row r="158">
      <c r="A158">
        <f>'1 datos preparados'!A151</f>
        <v/>
      </c>
      <c r="B158" s="5">
        <f>'1 datos preparados'!U151</f>
        <v/>
      </c>
      <c r="C158">
        <f>'1 datos preparados'!B151</f>
        <v/>
      </c>
      <c r="D158" s="7">
        <f>'1 datos preparados'!C151</f>
        <v/>
      </c>
      <c r="E158" s="7">
        <f>'1 datos preparados'!D151</f>
        <v/>
      </c>
      <c r="F158" s="7">
        <f>'1 datos preparados'!E151</f>
        <v/>
      </c>
      <c r="G158" s="7">
        <f>'1 datos preparados'!F151</f>
        <v/>
      </c>
      <c r="H158" s="7">
        <f>'1 datos preparados'!G151</f>
        <v/>
      </c>
      <c r="I158" s="7">
        <f>'1 datos preparados'!H151</f>
        <v/>
      </c>
      <c r="J158" s="7">
        <f>'1 datos preparados'!I151</f>
        <v/>
      </c>
      <c r="K158" s="7">
        <f>'1 datos preparados'!J151</f>
        <v/>
      </c>
      <c r="L158" s="7">
        <f>'1 datos preparados'!K151</f>
        <v/>
      </c>
      <c r="M158" s="7">
        <f>'1 datos preparados'!L151</f>
        <v/>
      </c>
      <c r="N158" s="7">
        <f>'1 datos preparados'!M151</f>
        <v/>
      </c>
      <c r="O158" s="7">
        <f>'1 datos preparados'!N151</f>
        <v/>
      </c>
      <c r="P158" s="7">
        <f>'1 datos preparados'!O151</f>
        <v/>
      </c>
      <c r="Q158" s="7">
        <f>'1 datos preparados'!P151</f>
        <v/>
      </c>
      <c r="R158" s="7">
        <f>'1 datos preparados'!Q151</f>
        <v/>
      </c>
      <c r="S158" s="7">
        <f>'1 datos preparados'!R151</f>
        <v/>
      </c>
      <c r="T158" s="7">
        <f>'1 datos preparados'!S151</f>
        <v/>
      </c>
      <c r="U158" s="7">
        <f>'1 datos preparados'!T151</f>
        <v/>
      </c>
      <c r="V158" s="8">
        <f>$AE$12+D158*$AE$13+E158*$AE$14+F158*$AE$15+G158*$AE$16+H158*$AE$17+I158*$AE$18+J158*$AE$19+K158*$AE$20+L158*$AE$21+M158*$AE$22+N158*$AE$23+O158*$AE$24+P158*$AE$25+Q158*$AE$26+R158*$AE$27+S158*$AE$28+T158*$AE$29+U158*$AE$30</f>
        <v/>
      </c>
      <c r="W158" s="8">
        <f>1/(1+EXP(-V158))</f>
        <v/>
      </c>
      <c r="X158" s="9">
        <f>-IF(C158=1,LN(W158),LN(1-W158))</f>
        <v/>
      </c>
      <c r="Y158" s="8">
        <f>IF(C158=1,$AE$32,$AE$33)</f>
        <v/>
      </c>
      <c r="Z158" s="9">
        <f>Y158*X158</f>
        <v/>
      </c>
      <c r="AA158" s="10">
        <f>IF(W158&gt;$AE$34,1,0)</f>
        <v/>
      </c>
      <c r="AB158">
        <f>IF(AA158=C158,1,0)</f>
        <v/>
      </c>
    </row>
    <row r="159">
      <c r="A159">
        <f>'1 datos preparados'!A152</f>
        <v/>
      </c>
      <c r="B159" s="5">
        <f>'1 datos preparados'!U152</f>
        <v/>
      </c>
      <c r="C159">
        <f>'1 datos preparados'!B152</f>
        <v/>
      </c>
      <c r="D159" s="7">
        <f>'1 datos preparados'!C152</f>
        <v/>
      </c>
      <c r="E159" s="7">
        <f>'1 datos preparados'!D152</f>
        <v/>
      </c>
      <c r="F159" s="7">
        <f>'1 datos preparados'!E152</f>
        <v/>
      </c>
      <c r="G159" s="7">
        <f>'1 datos preparados'!F152</f>
        <v/>
      </c>
      <c r="H159" s="7">
        <f>'1 datos preparados'!G152</f>
        <v/>
      </c>
      <c r="I159" s="7">
        <f>'1 datos preparados'!H152</f>
        <v/>
      </c>
      <c r="J159" s="7">
        <f>'1 datos preparados'!I152</f>
        <v/>
      </c>
      <c r="K159" s="7">
        <f>'1 datos preparados'!J152</f>
        <v/>
      </c>
      <c r="L159" s="7">
        <f>'1 datos preparados'!K152</f>
        <v/>
      </c>
      <c r="M159" s="7">
        <f>'1 datos preparados'!L152</f>
        <v/>
      </c>
      <c r="N159" s="7">
        <f>'1 datos preparados'!M152</f>
        <v/>
      </c>
      <c r="O159" s="7">
        <f>'1 datos preparados'!N152</f>
        <v/>
      </c>
      <c r="P159" s="7">
        <f>'1 datos preparados'!O152</f>
        <v/>
      </c>
      <c r="Q159" s="7">
        <f>'1 datos preparados'!P152</f>
        <v/>
      </c>
      <c r="R159" s="7">
        <f>'1 datos preparados'!Q152</f>
        <v/>
      </c>
      <c r="S159" s="7">
        <f>'1 datos preparados'!R152</f>
        <v/>
      </c>
      <c r="T159" s="7">
        <f>'1 datos preparados'!S152</f>
        <v/>
      </c>
      <c r="U159" s="7">
        <f>'1 datos preparados'!T152</f>
        <v/>
      </c>
      <c r="V159" s="8">
        <f>$AE$12+D159*$AE$13+E159*$AE$14+F159*$AE$15+G159*$AE$16+H159*$AE$17+I159*$AE$18+J159*$AE$19+K159*$AE$20+L159*$AE$21+M159*$AE$22+N159*$AE$23+O159*$AE$24+P159*$AE$25+Q159*$AE$26+R159*$AE$27+S159*$AE$28+T159*$AE$29+U159*$AE$30</f>
        <v/>
      </c>
      <c r="W159" s="8">
        <f>1/(1+EXP(-V159))</f>
        <v/>
      </c>
      <c r="X159" s="9">
        <f>-IF(C159=1,LN(W159),LN(1-W159))</f>
        <v/>
      </c>
      <c r="Y159" s="8">
        <f>IF(C159=1,$AE$32,$AE$33)</f>
        <v/>
      </c>
      <c r="Z159" s="9">
        <f>Y159*X159</f>
        <v/>
      </c>
      <c r="AA159" s="10">
        <f>IF(W159&gt;$AE$34,1,0)</f>
        <v/>
      </c>
      <c r="AB159">
        <f>IF(AA159=C159,1,0)</f>
        <v/>
      </c>
    </row>
    <row r="160">
      <c r="A160">
        <f>'1 datos preparados'!A153</f>
        <v/>
      </c>
      <c r="B160" s="5">
        <f>'1 datos preparados'!U153</f>
        <v/>
      </c>
      <c r="C160">
        <f>'1 datos preparados'!B153</f>
        <v/>
      </c>
      <c r="D160" s="7">
        <f>'1 datos preparados'!C153</f>
        <v/>
      </c>
      <c r="E160" s="7">
        <f>'1 datos preparados'!D153</f>
        <v/>
      </c>
      <c r="F160" s="7">
        <f>'1 datos preparados'!E153</f>
        <v/>
      </c>
      <c r="G160" s="7">
        <f>'1 datos preparados'!F153</f>
        <v/>
      </c>
      <c r="H160" s="7">
        <f>'1 datos preparados'!G153</f>
        <v/>
      </c>
      <c r="I160" s="7">
        <f>'1 datos preparados'!H153</f>
        <v/>
      </c>
      <c r="J160" s="7">
        <f>'1 datos preparados'!I153</f>
        <v/>
      </c>
      <c r="K160" s="7">
        <f>'1 datos preparados'!J153</f>
        <v/>
      </c>
      <c r="L160" s="7">
        <f>'1 datos preparados'!K153</f>
        <v/>
      </c>
      <c r="M160" s="7">
        <f>'1 datos preparados'!L153</f>
        <v/>
      </c>
      <c r="N160" s="7">
        <f>'1 datos preparados'!M153</f>
        <v/>
      </c>
      <c r="O160" s="7">
        <f>'1 datos preparados'!N153</f>
        <v/>
      </c>
      <c r="P160" s="7">
        <f>'1 datos preparados'!O153</f>
        <v/>
      </c>
      <c r="Q160" s="7">
        <f>'1 datos preparados'!P153</f>
        <v/>
      </c>
      <c r="R160" s="7">
        <f>'1 datos preparados'!Q153</f>
        <v/>
      </c>
      <c r="S160" s="7">
        <f>'1 datos preparados'!R153</f>
        <v/>
      </c>
      <c r="T160" s="7">
        <f>'1 datos preparados'!S153</f>
        <v/>
      </c>
      <c r="U160" s="7">
        <f>'1 datos preparados'!T153</f>
        <v/>
      </c>
      <c r="V160" s="8">
        <f>$AE$12+D160*$AE$13+E160*$AE$14+F160*$AE$15+G160*$AE$16+H160*$AE$17+I160*$AE$18+J160*$AE$19+K160*$AE$20+L160*$AE$21+M160*$AE$22+N160*$AE$23+O160*$AE$24+P160*$AE$25+Q160*$AE$26+R160*$AE$27+S160*$AE$28+T160*$AE$29+U160*$AE$30</f>
        <v/>
      </c>
      <c r="W160" s="8">
        <f>1/(1+EXP(-V160))</f>
        <v/>
      </c>
      <c r="X160" s="9">
        <f>-IF(C160=1,LN(W160),LN(1-W160))</f>
        <v/>
      </c>
      <c r="Y160" s="8">
        <f>IF(C160=1,$AE$32,$AE$33)</f>
        <v/>
      </c>
      <c r="Z160" s="9">
        <f>Y160*X160</f>
        <v/>
      </c>
      <c r="AA160" s="10">
        <f>IF(W160&gt;$AE$34,1,0)</f>
        <v/>
      </c>
      <c r="AB160">
        <f>IF(AA160=C160,1,0)</f>
        <v/>
      </c>
    </row>
    <row r="161">
      <c r="A161">
        <f>'1 datos preparados'!A154</f>
        <v/>
      </c>
      <c r="B161" s="5">
        <f>'1 datos preparados'!U154</f>
        <v/>
      </c>
      <c r="C161">
        <f>'1 datos preparados'!B154</f>
        <v/>
      </c>
      <c r="D161" s="7">
        <f>'1 datos preparados'!C154</f>
        <v/>
      </c>
      <c r="E161" s="7">
        <f>'1 datos preparados'!D154</f>
        <v/>
      </c>
      <c r="F161" s="7">
        <f>'1 datos preparados'!E154</f>
        <v/>
      </c>
      <c r="G161" s="7">
        <f>'1 datos preparados'!F154</f>
        <v/>
      </c>
      <c r="H161" s="7">
        <f>'1 datos preparados'!G154</f>
        <v/>
      </c>
      <c r="I161" s="7">
        <f>'1 datos preparados'!H154</f>
        <v/>
      </c>
      <c r="J161" s="7">
        <f>'1 datos preparados'!I154</f>
        <v/>
      </c>
      <c r="K161" s="7">
        <f>'1 datos preparados'!J154</f>
        <v/>
      </c>
      <c r="L161" s="7">
        <f>'1 datos preparados'!K154</f>
        <v/>
      </c>
      <c r="M161" s="7">
        <f>'1 datos preparados'!L154</f>
        <v/>
      </c>
      <c r="N161" s="7">
        <f>'1 datos preparados'!M154</f>
        <v/>
      </c>
      <c r="O161" s="7">
        <f>'1 datos preparados'!N154</f>
        <v/>
      </c>
      <c r="P161" s="7">
        <f>'1 datos preparados'!O154</f>
        <v/>
      </c>
      <c r="Q161" s="7">
        <f>'1 datos preparados'!P154</f>
        <v/>
      </c>
      <c r="R161" s="7">
        <f>'1 datos preparados'!Q154</f>
        <v/>
      </c>
      <c r="S161" s="7">
        <f>'1 datos preparados'!R154</f>
        <v/>
      </c>
      <c r="T161" s="7">
        <f>'1 datos preparados'!S154</f>
        <v/>
      </c>
      <c r="U161" s="7">
        <f>'1 datos preparados'!T154</f>
        <v/>
      </c>
      <c r="V161" s="8">
        <f>$AE$12+D161*$AE$13+E161*$AE$14+F161*$AE$15+G161*$AE$16+H161*$AE$17+I161*$AE$18+J161*$AE$19+K161*$AE$20+L161*$AE$21+M161*$AE$22+N161*$AE$23+O161*$AE$24+P161*$AE$25+Q161*$AE$26+R161*$AE$27+S161*$AE$28+T161*$AE$29+U161*$AE$30</f>
        <v/>
      </c>
      <c r="W161" s="8">
        <f>1/(1+EXP(-V161))</f>
        <v/>
      </c>
      <c r="X161" s="9">
        <f>-IF(C161=1,LN(W161),LN(1-W161))</f>
        <v/>
      </c>
      <c r="Y161" s="8">
        <f>IF(C161=1,$AE$32,$AE$33)</f>
        <v/>
      </c>
      <c r="Z161" s="9">
        <f>Y161*X161</f>
        <v/>
      </c>
      <c r="AA161" s="10">
        <f>IF(W161&gt;$AE$34,1,0)</f>
        <v/>
      </c>
      <c r="AB161">
        <f>IF(AA161=C161,1,0)</f>
        <v/>
      </c>
    </row>
    <row r="162">
      <c r="A162">
        <f>'1 datos preparados'!A155</f>
        <v/>
      </c>
      <c r="B162" s="5">
        <f>'1 datos preparados'!U155</f>
        <v/>
      </c>
      <c r="C162">
        <f>'1 datos preparados'!B155</f>
        <v/>
      </c>
      <c r="D162" s="7">
        <f>'1 datos preparados'!C155</f>
        <v/>
      </c>
      <c r="E162" s="7">
        <f>'1 datos preparados'!D155</f>
        <v/>
      </c>
      <c r="F162" s="7">
        <f>'1 datos preparados'!E155</f>
        <v/>
      </c>
      <c r="G162" s="7">
        <f>'1 datos preparados'!F155</f>
        <v/>
      </c>
      <c r="H162" s="7">
        <f>'1 datos preparados'!G155</f>
        <v/>
      </c>
      <c r="I162" s="7">
        <f>'1 datos preparados'!H155</f>
        <v/>
      </c>
      <c r="J162" s="7">
        <f>'1 datos preparados'!I155</f>
        <v/>
      </c>
      <c r="K162" s="7">
        <f>'1 datos preparados'!J155</f>
        <v/>
      </c>
      <c r="L162" s="7">
        <f>'1 datos preparados'!K155</f>
        <v/>
      </c>
      <c r="M162" s="7">
        <f>'1 datos preparados'!L155</f>
        <v/>
      </c>
      <c r="N162" s="7">
        <f>'1 datos preparados'!M155</f>
        <v/>
      </c>
      <c r="O162" s="7">
        <f>'1 datos preparados'!N155</f>
        <v/>
      </c>
      <c r="P162" s="7">
        <f>'1 datos preparados'!O155</f>
        <v/>
      </c>
      <c r="Q162" s="7">
        <f>'1 datos preparados'!P155</f>
        <v/>
      </c>
      <c r="R162" s="7">
        <f>'1 datos preparados'!Q155</f>
        <v/>
      </c>
      <c r="S162" s="7">
        <f>'1 datos preparados'!R155</f>
        <v/>
      </c>
      <c r="T162" s="7">
        <f>'1 datos preparados'!S155</f>
        <v/>
      </c>
      <c r="U162" s="7">
        <f>'1 datos preparados'!T155</f>
        <v/>
      </c>
      <c r="V162" s="8">
        <f>$AE$12+D162*$AE$13+E162*$AE$14+F162*$AE$15+G162*$AE$16+H162*$AE$17+I162*$AE$18+J162*$AE$19+K162*$AE$20+L162*$AE$21+M162*$AE$22+N162*$AE$23+O162*$AE$24+P162*$AE$25+Q162*$AE$26+R162*$AE$27+S162*$AE$28+T162*$AE$29+U162*$AE$30</f>
        <v/>
      </c>
      <c r="W162" s="8">
        <f>1/(1+EXP(-V162))</f>
        <v/>
      </c>
      <c r="X162" s="9">
        <f>-IF(C162=1,LN(W162),LN(1-W162))</f>
        <v/>
      </c>
      <c r="Y162" s="8">
        <f>IF(C162=1,$AE$32,$AE$33)</f>
        <v/>
      </c>
      <c r="Z162" s="9">
        <f>Y162*X162</f>
        <v/>
      </c>
      <c r="AA162" s="10">
        <f>IF(W162&gt;$AE$34,1,0)</f>
        <v/>
      </c>
      <c r="AB162">
        <f>IF(AA162=C162,1,0)</f>
        <v/>
      </c>
    </row>
    <row r="163">
      <c r="A163">
        <f>'1 datos preparados'!A156</f>
        <v/>
      </c>
      <c r="B163" s="5">
        <f>'1 datos preparados'!U156</f>
        <v/>
      </c>
      <c r="C163">
        <f>'1 datos preparados'!B156</f>
        <v/>
      </c>
      <c r="D163" s="7">
        <f>'1 datos preparados'!C156</f>
        <v/>
      </c>
      <c r="E163" s="7">
        <f>'1 datos preparados'!D156</f>
        <v/>
      </c>
      <c r="F163" s="7">
        <f>'1 datos preparados'!E156</f>
        <v/>
      </c>
      <c r="G163" s="7">
        <f>'1 datos preparados'!F156</f>
        <v/>
      </c>
      <c r="H163" s="7">
        <f>'1 datos preparados'!G156</f>
        <v/>
      </c>
      <c r="I163" s="7">
        <f>'1 datos preparados'!H156</f>
        <v/>
      </c>
      <c r="J163" s="7">
        <f>'1 datos preparados'!I156</f>
        <v/>
      </c>
      <c r="K163" s="7">
        <f>'1 datos preparados'!J156</f>
        <v/>
      </c>
      <c r="L163" s="7">
        <f>'1 datos preparados'!K156</f>
        <v/>
      </c>
      <c r="M163" s="7">
        <f>'1 datos preparados'!L156</f>
        <v/>
      </c>
      <c r="N163" s="7">
        <f>'1 datos preparados'!M156</f>
        <v/>
      </c>
      <c r="O163" s="7">
        <f>'1 datos preparados'!N156</f>
        <v/>
      </c>
      <c r="P163" s="7">
        <f>'1 datos preparados'!O156</f>
        <v/>
      </c>
      <c r="Q163" s="7">
        <f>'1 datos preparados'!P156</f>
        <v/>
      </c>
      <c r="R163" s="7">
        <f>'1 datos preparados'!Q156</f>
        <v/>
      </c>
      <c r="S163" s="7">
        <f>'1 datos preparados'!R156</f>
        <v/>
      </c>
      <c r="T163" s="7">
        <f>'1 datos preparados'!S156</f>
        <v/>
      </c>
      <c r="U163" s="7">
        <f>'1 datos preparados'!T156</f>
        <v/>
      </c>
      <c r="V163" s="8">
        <f>$AE$12+D163*$AE$13+E163*$AE$14+F163*$AE$15+G163*$AE$16+H163*$AE$17+I163*$AE$18+J163*$AE$19+K163*$AE$20+L163*$AE$21+M163*$AE$22+N163*$AE$23+O163*$AE$24+P163*$AE$25+Q163*$AE$26+R163*$AE$27+S163*$AE$28+T163*$AE$29+U163*$AE$30</f>
        <v/>
      </c>
      <c r="W163" s="8">
        <f>1/(1+EXP(-V163))</f>
        <v/>
      </c>
      <c r="X163" s="9">
        <f>-IF(C163=1,LN(W163),LN(1-W163))</f>
        <v/>
      </c>
      <c r="Y163" s="8">
        <f>IF(C163=1,$AE$32,$AE$33)</f>
        <v/>
      </c>
      <c r="Z163" s="9">
        <f>Y163*X163</f>
        <v/>
      </c>
      <c r="AA163" s="10">
        <f>IF(W163&gt;$AE$34,1,0)</f>
        <v/>
      </c>
      <c r="AB163">
        <f>IF(AA163=C163,1,0)</f>
        <v/>
      </c>
    </row>
    <row r="164">
      <c r="A164">
        <f>'1 datos preparados'!A157</f>
        <v/>
      </c>
      <c r="B164" s="5">
        <f>'1 datos preparados'!U157</f>
        <v/>
      </c>
      <c r="C164">
        <f>'1 datos preparados'!B157</f>
        <v/>
      </c>
      <c r="D164" s="7">
        <f>'1 datos preparados'!C157</f>
        <v/>
      </c>
      <c r="E164" s="7">
        <f>'1 datos preparados'!D157</f>
        <v/>
      </c>
      <c r="F164" s="7">
        <f>'1 datos preparados'!E157</f>
        <v/>
      </c>
      <c r="G164" s="7">
        <f>'1 datos preparados'!F157</f>
        <v/>
      </c>
      <c r="H164" s="7">
        <f>'1 datos preparados'!G157</f>
        <v/>
      </c>
      <c r="I164" s="7">
        <f>'1 datos preparados'!H157</f>
        <v/>
      </c>
      <c r="J164" s="7">
        <f>'1 datos preparados'!I157</f>
        <v/>
      </c>
      <c r="K164" s="7">
        <f>'1 datos preparados'!J157</f>
        <v/>
      </c>
      <c r="L164" s="7">
        <f>'1 datos preparados'!K157</f>
        <v/>
      </c>
      <c r="M164" s="7">
        <f>'1 datos preparados'!L157</f>
        <v/>
      </c>
      <c r="N164" s="7">
        <f>'1 datos preparados'!M157</f>
        <v/>
      </c>
      <c r="O164" s="7">
        <f>'1 datos preparados'!N157</f>
        <v/>
      </c>
      <c r="P164" s="7">
        <f>'1 datos preparados'!O157</f>
        <v/>
      </c>
      <c r="Q164" s="7">
        <f>'1 datos preparados'!P157</f>
        <v/>
      </c>
      <c r="R164" s="7">
        <f>'1 datos preparados'!Q157</f>
        <v/>
      </c>
      <c r="S164" s="7">
        <f>'1 datos preparados'!R157</f>
        <v/>
      </c>
      <c r="T164" s="7">
        <f>'1 datos preparados'!S157</f>
        <v/>
      </c>
      <c r="U164" s="7">
        <f>'1 datos preparados'!T157</f>
        <v/>
      </c>
      <c r="V164" s="8">
        <f>$AE$12+D164*$AE$13+E164*$AE$14+F164*$AE$15+G164*$AE$16+H164*$AE$17+I164*$AE$18+J164*$AE$19+K164*$AE$20+L164*$AE$21+M164*$AE$22+N164*$AE$23+O164*$AE$24+P164*$AE$25+Q164*$AE$26+R164*$AE$27+S164*$AE$28+T164*$AE$29+U164*$AE$30</f>
        <v/>
      </c>
      <c r="W164" s="8">
        <f>1/(1+EXP(-V164))</f>
        <v/>
      </c>
      <c r="X164" s="9">
        <f>-IF(C164=1,LN(W164),LN(1-W164))</f>
        <v/>
      </c>
      <c r="Y164" s="8">
        <f>IF(C164=1,$AE$32,$AE$33)</f>
        <v/>
      </c>
      <c r="Z164" s="9">
        <f>Y164*X164</f>
        <v/>
      </c>
      <c r="AA164" s="10">
        <f>IF(W164&gt;$AE$34,1,0)</f>
        <v/>
      </c>
      <c r="AB164">
        <f>IF(AA164=C164,1,0)</f>
        <v/>
      </c>
    </row>
    <row r="165">
      <c r="A165">
        <f>'1 datos preparados'!A158</f>
        <v/>
      </c>
      <c r="B165" s="5">
        <f>'1 datos preparados'!U158</f>
        <v/>
      </c>
      <c r="C165">
        <f>'1 datos preparados'!B158</f>
        <v/>
      </c>
      <c r="D165" s="7">
        <f>'1 datos preparados'!C158</f>
        <v/>
      </c>
      <c r="E165" s="7">
        <f>'1 datos preparados'!D158</f>
        <v/>
      </c>
      <c r="F165" s="7">
        <f>'1 datos preparados'!E158</f>
        <v/>
      </c>
      <c r="G165" s="7">
        <f>'1 datos preparados'!F158</f>
        <v/>
      </c>
      <c r="H165" s="7">
        <f>'1 datos preparados'!G158</f>
        <v/>
      </c>
      <c r="I165" s="7">
        <f>'1 datos preparados'!H158</f>
        <v/>
      </c>
      <c r="J165" s="7">
        <f>'1 datos preparados'!I158</f>
        <v/>
      </c>
      <c r="K165" s="7">
        <f>'1 datos preparados'!J158</f>
        <v/>
      </c>
      <c r="L165" s="7">
        <f>'1 datos preparados'!K158</f>
        <v/>
      </c>
      <c r="M165" s="7">
        <f>'1 datos preparados'!L158</f>
        <v/>
      </c>
      <c r="N165" s="7">
        <f>'1 datos preparados'!M158</f>
        <v/>
      </c>
      <c r="O165" s="7">
        <f>'1 datos preparados'!N158</f>
        <v/>
      </c>
      <c r="P165" s="7">
        <f>'1 datos preparados'!O158</f>
        <v/>
      </c>
      <c r="Q165" s="7">
        <f>'1 datos preparados'!P158</f>
        <v/>
      </c>
      <c r="R165" s="7">
        <f>'1 datos preparados'!Q158</f>
        <v/>
      </c>
      <c r="S165" s="7">
        <f>'1 datos preparados'!R158</f>
        <v/>
      </c>
      <c r="T165" s="7">
        <f>'1 datos preparados'!S158</f>
        <v/>
      </c>
      <c r="U165" s="7">
        <f>'1 datos preparados'!T158</f>
        <v/>
      </c>
      <c r="V165" s="8">
        <f>$AE$12+D165*$AE$13+E165*$AE$14+F165*$AE$15+G165*$AE$16+H165*$AE$17+I165*$AE$18+J165*$AE$19+K165*$AE$20+L165*$AE$21+M165*$AE$22+N165*$AE$23+O165*$AE$24+P165*$AE$25+Q165*$AE$26+R165*$AE$27+S165*$AE$28+T165*$AE$29+U165*$AE$30</f>
        <v/>
      </c>
      <c r="W165" s="8">
        <f>1/(1+EXP(-V165))</f>
        <v/>
      </c>
      <c r="X165" s="9">
        <f>-IF(C165=1,LN(W165),LN(1-W165))</f>
        <v/>
      </c>
      <c r="Y165" s="8">
        <f>IF(C165=1,$AE$32,$AE$33)</f>
        <v/>
      </c>
      <c r="Z165" s="9">
        <f>Y165*X165</f>
        <v/>
      </c>
      <c r="AA165" s="10">
        <f>IF(W165&gt;$AE$34,1,0)</f>
        <v/>
      </c>
      <c r="AB165">
        <f>IF(AA165=C165,1,0)</f>
        <v/>
      </c>
    </row>
    <row r="166">
      <c r="A166">
        <f>'1 datos preparados'!A159</f>
        <v/>
      </c>
      <c r="B166" s="5">
        <f>'1 datos preparados'!U159</f>
        <v/>
      </c>
      <c r="C166">
        <f>'1 datos preparados'!B159</f>
        <v/>
      </c>
      <c r="D166" s="7">
        <f>'1 datos preparados'!C159</f>
        <v/>
      </c>
      <c r="E166" s="7">
        <f>'1 datos preparados'!D159</f>
        <v/>
      </c>
      <c r="F166" s="7">
        <f>'1 datos preparados'!E159</f>
        <v/>
      </c>
      <c r="G166" s="7">
        <f>'1 datos preparados'!F159</f>
        <v/>
      </c>
      <c r="H166" s="7">
        <f>'1 datos preparados'!G159</f>
        <v/>
      </c>
      <c r="I166" s="7">
        <f>'1 datos preparados'!H159</f>
        <v/>
      </c>
      <c r="J166" s="7">
        <f>'1 datos preparados'!I159</f>
        <v/>
      </c>
      <c r="K166" s="7">
        <f>'1 datos preparados'!J159</f>
        <v/>
      </c>
      <c r="L166" s="7">
        <f>'1 datos preparados'!K159</f>
        <v/>
      </c>
      <c r="M166" s="7">
        <f>'1 datos preparados'!L159</f>
        <v/>
      </c>
      <c r="N166" s="7">
        <f>'1 datos preparados'!M159</f>
        <v/>
      </c>
      <c r="O166" s="7">
        <f>'1 datos preparados'!N159</f>
        <v/>
      </c>
      <c r="P166" s="7">
        <f>'1 datos preparados'!O159</f>
        <v/>
      </c>
      <c r="Q166" s="7">
        <f>'1 datos preparados'!P159</f>
        <v/>
      </c>
      <c r="R166" s="7">
        <f>'1 datos preparados'!Q159</f>
        <v/>
      </c>
      <c r="S166" s="7">
        <f>'1 datos preparados'!R159</f>
        <v/>
      </c>
      <c r="T166" s="7">
        <f>'1 datos preparados'!S159</f>
        <v/>
      </c>
      <c r="U166" s="7">
        <f>'1 datos preparados'!T159</f>
        <v/>
      </c>
      <c r="V166" s="8">
        <f>$AE$12+D166*$AE$13+E166*$AE$14+F166*$AE$15+G166*$AE$16+H166*$AE$17+I166*$AE$18+J166*$AE$19+K166*$AE$20+L166*$AE$21+M166*$AE$22+N166*$AE$23+O166*$AE$24+P166*$AE$25+Q166*$AE$26+R166*$AE$27+S166*$AE$28+T166*$AE$29+U166*$AE$30</f>
        <v/>
      </c>
      <c r="W166" s="8">
        <f>1/(1+EXP(-V166))</f>
        <v/>
      </c>
      <c r="X166" s="9">
        <f>-IF(C166=1,LN(W166),LN(1-W166))</f>
        <v/>
      </c>
      <c r="Y166" s="8">
        <f>IF(C166=1,$AE$32,$AE$33)</f>
        <v/>
      </c>
      <c r="Z166" s="9">
        <f>Y166*X166</f>
        <v/>
      </c>
      <c r="AA166" s="10">
        <f>IF(W166&gt;$AE$34,1,0)</f>
        <v/>
      </c>
      <c r="AB166">
        <f>IF(AA166=C166,1,0)</f>
        <v/>
      </c>
    </row>
    <row r="167">
      <c r="A167">
        <f>'1 datos preparados'!A160</f>
        <v/>
      </c>
      <c r="B167" s="5">
        <f>'1 datos preparados'!U160</f>
        <v/>
      </c>
      <c r="C167">
        <f>'1 datos preparados'!B160</f>
        <v/>
      </c>
      <c r="D167" s="7">
        <f>'1 datos preparados'!C160</f>
        <v/>
      </c>
      <c r="E167" s="7">
        <f>'1 datos preparados'!D160</f>
        <v/>
      </c>
      <c r="F167" s="7">
        <f>'1 datos preparados'!E160</f>
        <v/>
      </c>
      <c r="G167" s="7">
        <f>'1 datos preparados'!F160</f>
        <v/>
      </c>
      <c r="H167" s="7">
        <f>'1 datos preparados'!G160</f>
        <v/>
      </c>
      <c r="I167" s="7">
        <f>'1 datos preparados'!H160</f>
        <v/>
      </c>
      <c r="J167" s="7">
        <f>'1 datos preparados'!I160</f>
        <v/>
      </c>
      <c r="K167" s="7">
        <f>'1 datos preparados'!J160</f>
        <v/>
      </c>
      <c r="L167" s="7">
        <f>'1 datos preparados'!K160</f>
        <v/>
      </c>
      <c r="M167" s="7">
        <f>'1 datos preparados'!L160</f>
        <v/>
      </c>
      <c r="N167" s="7">
        <f>'1 datos preparados'!M160</f>
        <v/>
      </c>
      <c r="O167" s="7">
        <f>'1 datos preparados'!N160</f>
        <v/>
      </c>
      <c r="P167" s="7">
        <f>'1 datos preparados'!O160</f>
        <v/>
      </c>
      <c r="Q167" s="7">
        <f>'1 datos preparados'!P160</f>
        <v/>
      </c>
      <c r="R167" s="7">
        <f>'1 datos preparados'!Q160</f>
        <v/>
      </c>
      <c r="S167" s="7">
        <f>'1 datos preparados'!R160</f>
        <v/>
      </c>
      <c r="T167" s="7">
        <f>'1 datos preparados'!S160</f>
        <v/>
      </c>
      <c r="U167" s="7">
        <f>'1 datos preparados'!T160</f>
        <v/>
      </c>
      <c r="V167" s="8">
        <f>$AE$12+D167*$AE$13+E167*$AE$14+F167*$AE$15+G167*$AE$16+H167*$AE$17+I167*$AE$18+J167*$AE$19+K167*$AE$20+L167*$AE$21+M167*$AE$22+N167*$AE$23+O167*$AE$24+P167*$AE$25+Q167*$AE$26+R167*$AE$27+S167*$AE$28+T167*$AE$29+U167*$AE$30</f>
        <v/>
      </c>
      <c r="W167" s="8">
        <f>1/(1+EXP(-V167))</f>
        <v/>
      </c>
      <c r="X167" s="9">
        <f>-IF(C167=1,LN(W167),LN(1-W167))</f>
        <v/>
      </c>
      <c r="Y167" s="8">
        <f>IF(C167=1,$AE$32,$AE$33)</f>
        <v/>
      </c>
      <c r="Z167" s="9">
        <f>Y167*X167</f>
        <v/>
      </c>
      <c r="AA167" s="10">
        <f>IF(W167&gt;$AE$34,1,0)</f>
        <v/>
      </c>
      <c r="AB167">
        <f>IF(AA167=C167,1,0)</f>
        <v/>
      </c>
    </row>
    <row r="168">
      <c r="A168">
        <f>'1 datos preparados'!A161</f>
        <v/>
      </c>
      <c r="B168" s="5">
        <f>'1 datos preparados'!U161</f>
        <v/>
      </c>
      <c r="C168">
        <f>'1 datos preparados'!B161</f>
        <v/>
      </c>
      <c r="D168" s="7">
        <f>'1 datos preparados'!C161</f>
        <v/>
      </c>
      <c r="E168" s="7">
        <f>'1 datos preparados'!D161</f>
        <v/>
      </c>
      <c r="F168" s="7">
        <f>'1 datos preparados'!E161</f>
        <v/>
      </c>
      <c r="G168" s="7">
        <f>'1 datos preparados'!F161</f>
        <v/>
      </c>
      <c r="H168" s="7">
        <f>'1 datos preparados'!G161</f>
        <v/>
      </c>
      <c r="I168" s="7">
        <f>'1 datos preparados'!H161</f>
        <v/>
      </c>
      <c r="J168" s="7">
        <f>'1 datos preparados'!I161</f>
        <v/>
      </c>
      <c r="K168" s="7">
        <f>'1 datos preparados'!J161</f>
        <v/>
      </c>
      <c r="L168" s="7">
        <f>'1 datos preparados'!K161</f>
        <v/>
      </c>
      <c r="M168" s="7">
        <f>'1 datos preparados'!L161</f>
        <v/>
      </c>
      <c r="N168" s="7">
        <f>'1 datos preparados'!M161</f>
        <v/>
      </c>
      <c r="O168" s="7">
        <f>'1 datos preparados'!N161</f>
        <v/>
      </c>
      <c r="P168" s="7">
        <f>'1 datos preparados'!O161</f>
        <v/>
      </c>
      <c r="Q168" s="7">
        <f>'1 datos preparados'!P161</f>
        <v/>
      </c>
      <c r="R168" s="7">
        <f>'1 datos preparados'!Q161</f>
        <v/>
      </c>
      <c r="S168" s="7">
        <f>'1 datos preparados'!R161</f>
        <v/>
      </c>
      <c r="T168" s="7">
        <f>'1 datos preparados'!S161</f>
        <v/>
      </c>
      <c r="U168" s="7">
        <f>'1 datos preparados'!T161</f>
        <v/>
      </c>
      <c r="V168" s="8">
        <f>$AE$12+D168*$AE$13+E168*$AE$14+F168*$AE$15+G168*$AE$16+H168*$AE$17+I168*$AE$18+J168*$AE$19+K168*$AE$20+L168*$AE$21+M168*$AE$22+N168*$AE$23+O168*$AE$24+P168*$AE$25+Q168*$AE$26+R168*$AE$27+S168*$AE$28+T168*$AE$29+U168*$AE$30</f>
        <v/>
      </c>
      <c r="W168" s="8">
        <f>1/(1+EXP(-V168))</f>
        <v/>
      </c>
      <c r="X168" s="9">
        <f>-IF(C168=1,LN(W168),LN(1-W168))</f>
        <v/>
      </c>
      <c r="Y168" s="8">
        <f>IF(C168=1,$AE$32,$AE$33)</f>
        <v/>
      </c>
      <c r="Z168" s="9">
        <f>Y168*X168</f>
        <v/>
      </c>
      <c r="AA168" s="10">
        <f>IF(W168&gt;$AE$34,1,0)</f>
        <v/>
      </c>
      <c r="AB168">
        <f>IF(AA168=C168,1,0)</f>
        <v/>
      </c>
    </row>
    <row r="169">
      <c r="A169">
        <f>'1 datos preparados'!A162</f>
        <v/>
      </c>
      <c r="B169" s="5">
        <f>'1 datos preparados'!U162</f>
        <v/>
      </c>
      <c r="C169">
        <f>'1 datos preparados'!B162</f>
        <v/>
      </c>
      <c r="D169" s="7">
        <f>'1 datos preparados'!C162</f>
        <v/>
      </c>
      <c r="E169" s="7">
        <f>'1 datos preparados'!D162</f>
        <v/>
      </c>
      <c r="F169" s="7">
        <f>'1 datos preparados'!E162</f>
        <v/>
      </c>
      <c r="G169" s="7">
        <f>'1 datos preparados'!F162</f>
        <v/>
      </c>
      <c r="H169" s="7">
        <f>'1 datos preparados'!G162</f>
        <v/>
      </c>
      <c r="I169" s="7">
        <f>'1 datos preparados'!H162</f>
        <v/>
      </c>
      <c r="J169" s="7">
        <f>'1 datos preparados'!I162</f>
        <v/>
      </c>
      <c r="K169" s="7">
        <f>'1 datos preparados'!J162</f>
        <v/>
      </c>
      <c r="L169" s="7">
        <f>'1 datos preparados'!K162</f>
        <v/>
      </c>
      <c r="M169" s="7">
        <f>'1 datos preparados'!L162</f>
        <v/>
      </c>
      <c r="N169" s="7">
        <f>'1 datos preparados'!M162</f>
        <v/>
      </c>
      <c r="O169" s="7">
        <f>'1 datos preparados'!N162</f>
        <v/>
      </c>
      <c r="P169" s="7">
        <f>'1 datos preparados'!O162</f>
        <v/>
      </c>
      <c r="Q169" s="7">
        <f>'1 datos preparados'!P162</f>
        <v/>
      </c>
      <c r="R169" s="7">
        <f>'1 datos preparados'!Q162</f>
        <v/>
      </c>
      <c r="S169" s="7">
        <f>'1 datos preparados'!R162</f>
        <v/>
      </c>
      <c r="T169" s="7">
        <f>'1 datos preparados'!S162</f>
        <v/>
      </c>
      <c r="U169" s="7">
        <f>'1 datos preparados'!T162</f>
        <v/>
      </c>
      <c r="V169" s="8">
        <f>$AE$12+D169*$AE$13+E169*$AE$14+F169*$AE$15+G169*$AE$16+H169*$AE$17+I169*$AE$18+J169*$AE$19+K169*$AE$20+L169*$AE$21+M169*$AE$22+N169*$AE$23+O169*$AE$24+P169*$AE$25+Q169*$AE$26+R169*$AE$27+S169*$AE$28+T169*$AE$29+U169*$AE$30</f>
        <v/>
      </c>
      <c r="W169" s="8">
        <f>1/(1+EXP(-V169))</f>
        <v/>
      </c>
      <c r="X169" s="9">
        <f>-IF(C169=1,LN(W169),LN(1-W169))</f>
        <v/>
      </c>
      <c r="Y169" s="8">
        <f>IF(C169=1,$AE$32,$AE$33)</f>
        <v/>
      </c>
      <c r="Z169" s="9">
        <f>Y169*X169</f>
        <v/>
      </c>
      <c r="AA169" s="10">
        <f>IF(W169&gt;$AE$34,1,0)</f>
        <v/>
      </c>
      <c r="AB169">
        <f>IF(AA169=C169,1,0)</f>
        <v/>
      </c>
    </row>
    <row r="170">
      <c r="A170">
        <f>'1 datos preparados'!A163</f>
        <v/>
      </c>
      <c r="B170" s="5">
        <f>'1 datos preparados'!U163</f>
        <v/>
      </c>
      <c r="C170">
        <f>'1 datos preparados'!B163</f>
        <v/>
      </c>
      <c r="D170" s="7">
        <f>'1 datos preparados'!C163</f>
        <v/>
      </c>
      <c r="E170" s="7">
        <f>'1 datos preparados'!D163</f>
        <v/>
      </c>
      <c r="F170" s="7">
        <f>'1 datos preparados'!E163</f>
        <v/>
      </c>
      <c r="G170" s="7">
        <f>'1 datos preparados'!F163</f>
        <v/>
      </c>
      <c r="H170" s="7">
        <f>'1 datos preparados'!G163</f>
        <v/>
      </c>
      <c r="I170" s="7">
        <f>'1 datos preparados'!H163</f>
        <v/>
      </c>
      <c r="J170" s="7">
        <f>'1 datos preparados'!I163</f>
        <v/>
      </c>
      <c r="K170" s="7">
        <f>'1 datos preparados'!J163</f>
        <v/>
      </c>
      <c r="L170" s="7">
        <f>'1 datos preparados'!K163</f>
        <v/>
      </c>
      <c r="M170" s="7">
        <f>'1 datos preparados'!L163</f>
        <v/>
      </c>
      <c r="N170" s="7">
        <f>'1 datos preparados'!M163</f>
        <v/>
      </c>
      <c r="O170" s="7">
        <f>'1 datos preparados'!N163</f>
        <v/>
      </c>
      <c r="P170" s="7">
        <f>'1 datos preparados'!O163</f>
        <v/>
      </c>
      <c r="Q170" s="7">
        <f>'1 datos preparados'!P163</f>
        <v/>
      </c>
      <c r="R170" s="7">
        <f>'1 datos preparados'!Q163</f>
        <v/>
      </c>
      <c r="S170" s="7">
        <f>'1 datos preparados'!R163</f>
        <v/>
      </c>
      <c r="T170" s="7">
        <f>'1 datos preparados'!S163</f>
        <v/>
      </c>
      <c r="U170" s="7">
        <f>'1 datos preparados'!T163</f>
        <v/>
      </c>
      <c r="V170" s="8">
        <f>$AE$12+D170*$AE$13+E170*$AE$14+F170*$AE$15+G170*$AE$16+H170*$AE$17+I170*$AE$18+J170*$AE$19+K170*$AE$20+L170*$AE$21+M170*$AE$22+N170*$AE$23+O170*$AE$24+P170*$AE$25+Q170*$AE$26+R170*$AE$27+S170*$AE$28+T170*$AE$29+U170*$AE$30</f>
        <v/>
      </c>
      <c r="W170" s="8">
        <f>1/(1+EXP(-V170))</f>
        <v/>
      </c>
      <c r="X170" s="9">
        <f>-IF(C170=1,LN(W170),LN(1-W170))</f>
        <v/>
      </c>
      <c r="Y170" s="8">
        <f>IF(C170=1,$AE$32,$AE$33)</f>
        <v/>
      </c>
      <c r="Z170" s="9">
        <f>Y170*X170</f>
        <v/>
      </c>
      <c r="AA170" s="10">
        <f>IF(W170&gt;$AE$34,1,0)</f>
        <v/>
      </c>
      <c r="AB170">
        <f>IF(AA170=C170,1,0)</f>
        <v/>
      </c>
    </row>
    <row r="171">
      <c r="A171">
        <f>'1 datos preparados'!A164</f>
        <v/>
      </c>
      <c r="B171" s="5">
        <f>'1 datos preparados'!U164</f>
        <v/>
      </c>
      <c r="C171">
        <f>'1 datos preparados'!B164</f>
        <v/>
      </c>
      <c r="D171" s="7">
        <f>'1 datos preparados'!C164</f>
        <v/>
      </c>
      <c r="E171" s="7">
        <f>'1 datos preparados'!D164</f>
        <v/>
      </c>
      <c r="F171" s="7">
        <f>'1 datos preparados'!E164</f>
        <v/>
      </c>
      <c r="G171" s="7">
        <f>'1 datos preparados'!F164</f>
        <v/>
      </c>
      <c r="H171" s="7">
        <f>'1 datos preparados'!G164</f>
        <v/>
      </c>
      <c r="I171" s="7">
        <f>'1 datos preparados'!H164</f>
        <v/>
      </c>
      <c r="J171" s="7">
        <f>'1 datos preparados'!I164</f>
        <v/>
      </c>
      <c r="K171" s="7">
        <f>'1 datos preparados'!J164</f>
        <v/>
      </c>
      <c r="L171" s="7">
        <f>'1 datos preparados'!K164</f>
        <v/>
      </c>
      <c r="M171" s="7">
        <f>'1 datos preparados'!L164</f>
        <v/>
      </c>
      <c r="N171" s="7">
        <f>'1 datos preparados'!M164</f>
        <v/>
      </c>
      <c r="O171" s="7">
        <f>'1 datos preparados'!N164</f>
        <v/>
      </c>
      <c r="P171" s="7">
        <f>'1 datos preparados'!O164</f>
        <v/>
      </c>
      <c r="Q171" s="7">
        <f>'1 datos preparados'!P164</f>
        <v/>
      </c>
      <c r="R171" s="7">
        <f>'1 datos preparados'!Q164</f>
        <v/>
      </c>
      <c r="S171" s="7">
        <f>'1 datos preparados'!R164</f>
        <v/>
      </c>
      <c r="T171" s="7">
        <f>'1 datos preparados'!S164</f>
        <v/>
      </c>
      <c r="U171" s="7">
        <f>'1 datos preparados'!T164</f>
        <v/>
      </c>
      <c r="V171" s="8">
        <f>$AE$12+D171*$AE$13+E171*$AE$14+F171*$AE$15+G171*$AE$16+H171*$AE$17+I171*$AE$18+J171*$AE$19+K171*$AE$20+L171*$AE$21+M171*$AE$22+N171*$AE$23+O171*$AE$24+P171*$AE$25+Q171*$AE$26+R171*$AE$27+S171*$AE$28+T171*$AE$29+U171*$AE$30</f>
        <v/>
      </c>
      <c r="W171" s="8">
        <f>1/(1+EXP(-V171))</f>
        <v/>
      </c>
      <c r="X171" s="9">
        <f>-IF(C171=1,LN(W171),LN(1-W171))</f>
        <v/>
      </c>
      <c r="Y171" s="8">
        <f>IF(C171=1,$AE$32,$AE$33)</f>
        <v/>
      </c>
      <c r="Z171" s="9">
        <f>Y171*X171</f>
        <v/>
      </c>
      <c r="AA171" s="10">
        <f>IF(W171&gt;$AE$34,1,0)</f>
        <v/>
      </c>
      <c r="AB171">
        <f>IF(AA171=C171,1,0)</f>
        <v/>
      </c>
    </row>
    <row r="172">
      <c r="A172">
        <f>'1 datos preparados'!A165</f>
        <v/>
      </c>
      <c r="B172" s="5">
        <f>'1 datos preparados'!U165</f>
        <v/>
      </c>
      <c r="C172">
        <f>'1 datos preparados'!B165</f>
        <v/>
      </c>
      <c r="D172" s="7">
        <f>'1 datos preparados'!C165</f>
        <v/>
      </c>
      <c r="E172" s="7">
        <f>'1 datos preparados'!D165</f>
        <v/>
      </c>
      <c r="F172" s="7">
        <f>'1 datos preparados'!E165</f>
        <v/>
      </c>
      <c r="G172" s="7">
        <f>'1 datos preparados'!F165</f>
        <v/>
      </c>
      <c r="H172" s="7">
        <f>'1 datos preparados'!G165</f>
        <v/>
      </c>
      <c r="I172" s="7">
        <f>'1 datos preparados'!H165</f>
        <v/>
      </c>
      <c r="J172" s="7">
        <f>'1 datos preparados'!I165</f>
        <v/>
      </c>
      <c r="K172" s="7">
        <f>'1 datos preparados'!J165</f>
        <v/>
      </c>
      <c r="L172" s="7">
        <f>'1 datos preparados'!K165</f>
        <v/>
      </c>
      <c r="M172" s="7">
        <f>'1 datos preparados'!L165</f>
        <v/>
      </c>
      <c r="N172" s="7">
        <f>'1 datos preparados'!M165</f>
        <v/>
      </c>
      <c r="O172" s="7">
        <f>'1 datos preparados'!N165</f>
        <v/>
      </c>
      <c r="P172" s="7">
        <f>'1 datos preparados'!O165</f>
        <v/>
      </c>
      <c r="Q172" s="7">
        <f>'1 datos preparados'!P165</f>
        <v/>
      </c>
      <c r="R172" s="7">
        <f>'1 datos preparados'!Q165</f>
        <v/>
      </c>
      <c r="S172" s="7">
        <f>'1 datos preparados'!R165</f>
        <v/>
      </c>
      <c r="T172" s="7">
        <f>'1 datos preparados'!S165</f>
        <v/>
      </c>
      <c r="U172" s="7">
        <f>'1 datos preparados'!T165</f>
        <v/>
      </c>
      <c r="V172" s="8">
        <f>$AE$12+D172*$AE$13+E172*$AE$14+F172*$AE$15+G172*$AE$16+H172*$AE$17+I172*$AE$18+J172*$AE$19+K172*$AE$20+L172*$AE$21+M172*$AE$22+N172*$AE$23+O172*$AE$24+P172*$AE$25+Q172*$AE$26+R172*$AE$27+S172*$AE$28+T172*$AE$29+U172*$AE$30</f>
        <v/>
      </c>
      <c r="W172" s="8">
        <f>1/(1+EXP(-V172))</f>
        <v/>
      </c>
      <c r="X172" s="9">
        <f>-IF(C172=1,LN(W172),LN(1-W172))</f>
        <v/>
      </c>
      <c r="Y172" s="8">
        <f>IF(C172=1,$AE$32,$AE$33)</f>
        <v/>
      </c>
      <c r="Z172" s="9">
        <f>Y172*X172</f>
        <v/>
      </c>
      <c r="AA172" s="10">
        <f>IF(W172&gt;$AE$34,1,0)</f>
        <v/>
      </c>
      <c r="AB172">
        <f>IF(AA172=C172,1,0)</f>
        <v/>
      </c>
    </row>
    <row r="173">
      <c r="A173">
        <f>'1 datos preparados'!A166</f>
        <v/>
      </c>
      <c r="B173" s="5">
        <f>'1 datos preparados'!U166</f>
        <v/>
      </c>
      <c r="C173">
        <f>'1 datos preparados'!B166</f>
        <v/>
      </c>
      <c r="D173" s="7">
        <f>'1 datos preparados'!C166</f>
        <v/>
      </c>
      <c r="E173" s="7">
        <f>'1 datos preparados'!D166</f>
        <v/>
      </c>
      <c r="F173" s="7">
        <f>'1 datos preparados'!E166</f>
        <v/>
      </c>
      <c r="G173" s="7">
        <f>'1 datos preparados'!F166</f>
        <v/>
      </c>
      <c r="H173" s="7">
        <f>'1 datos preparados'!G166</f>
        <v/>
      </c>
      <c r="I173" s="7">
        <f>'1 datos preparados'!H166</f>
        <v/>
      </c>
      <c r="J173" s="7">
        <f>'1 datos preparados'!I166</f>
        <v/>
      </c>
      <c r="K173" s="7">
        <f>'1 datos preparados'!J166</f>
        <v/>
      </c>
      <c r="L173" s="7">
        <f>'1 datos preparados'!K166</f>
        <v/>
      </c>
      <c r="M173" s="7">
        <f>'1 datos preparados'!L166</f>
        <v/>
      </c>
      <c r="N173" s="7">
        <f>'1 datos preparados'!M166</f>
        <v/>
      </c>
      <c r="O173" s="7">
        <f>'1 datos preparados'!N166</f>
        <v/>
      </c>
      <c r="P173" s="7">
        <f>'1 datos preparados'!O166</f>
        <v/>
      </c>
      <c r="Q173" s="7">
        <f>'1 datos preparados'!P166</f>
        <v/>
      </c>
      <c r="R173" s="7">
        <f>'1 datos preparados'!Q166</f>
        <v/>
      </c>
      <c r="S173" s="7">
        <f>'1 datos preparados'!R166</f>
        <v/>
      </c>
      <c r="T173" s="7">
        <f>'1 datos preparados'!S166</f>
        <v/>
      </c>
      <c r="U173" s="7">
        <f>'1 datos preparados'!T166</f>
        <v/>
      </c>
      <c r="V173" s="8">
        <f>$AE$12+D173*$AE$13+E173*$AE$14+F173*$AE$15+G173*$AE$16+H173*$AE$17+I173*$AE$18+J173*$AE$19+K173*$AE$20+L173*$AE$21+M173*$AE$22+N173*$AE$23+O173*$AE$24+P173*$AE$25+Q173*$AE$26+R173*$AE$27+S173*$AE$28+T173*$AE$29+U173*$AE$30</f>
        <v/>
      </c>
      <c r="W173" s="8">
        <f>1/(1+EXP(-V173))</f>
        <v/>
      </c>
      <c r="X173" s="9">
        <f>-IF(C173=1,LN(W173),LN(1-W173))</f>
        <v/>
      </c>
      <c r="Y173" s="8">
        <f>IF(C173=1,$AE$32,$AE$33)</f>
        <v/>
      </c>
      <c r="Z173" s="9">
        <f>Y173*X173</f>
        <v/>
      </c>
      <c r="AA173" s="10">
        <f>IF(W173&gt;$AE$34,1,0)</f>
        <v/>
      </c>
      <c r="AB173">
        <f>IF(AA173=C173,1,0)</f>
        <v/>
      </c>
    </row>
    <row r="174">
      <c r="A174">
        <f>'1 datos preparados'!A167</f>
        <v/>
      </c>
      <c r="B174" s="5">
        <f>'1 datos preparados'!U167</f>
        <v/>
      </c>
      <c r="C174">
        <f>'1 datos preparados'!B167</f>
        <v/>
      </c>
      <c r="D174" s="7">
        <f>'1 datos preparados'!C167</f>
        <v/>
      </c>
      <c r="E174" s="7">
        <f>'1 datos preparados'!D167</f>
        <v/>
      </c>
      <c r="F174" s="7">
        <f>'1 datos preparados'!E167</f>
        <v/>
      </c>
      <c r="G174" s="7">
        <f>'1 datos preparados'!F167</f>
        <v/>
      </c>
      <c r="H174" s="7">
        <f>'1 datos preparados'!G167</f>
        <v/>
      </c>
      <c r="I174" s="7">
        <f>'1 datos preparados'!H167</f>
        <v/>
      </c>
      <c r="J174" s="7">
        <f>'1 datos preparados'!I167</f>
        <v/>
      </c>
      <c r="K174" s="7">
        <f>'1 datos preparados'!J167</f>
        <v/>
      </c>
      <c r="L174" s="7">
        <f>'1 datos preparados'!K167</f>
        <v/>
      </c>
      <c r="M174" s="7">
        <f>'1 datos preparados'!L167</f>
        <v/>
      </c>
      <c r="N174" s="7">
        <f>'1 datos preparados'!M167</f>
        <v/>
      </c>
      <c r="O174" s="7">
        <f>'1 datos preparados'!N167</f>
        <v/>
      </c>
      <c r="P174" s="7">
        <f>'1 datos preparados'!O167</f>
        <v/>
      </c>
      <c r="Q174" s="7">
        <f>'1 datos preparados'!P167</f>
        <v/>
      </c>
      <c r="R174" s="7">
        <f>'1 datos preparados'!Q167</f>
        <v/>
      </c>
      <c r="S174" s="7">
        <f>'1 datos preparados'!R167</f>
        <v/>
      </c>
      <c r="T174" s="7">
        <f>'1 datos preparados'!S167</f>
        <v/>
      </c>
      <c r="U174" s="7">
        <f>'1 datos preparados'!T167</f>
        <v/>
      </c>
      <c r="V174" s="8">
        <f>$AE$12+D174*$AE$13+E174*$AE$14+F174*$AE$15+G174*$AE$16+H174*$AE$17+I174*$AE$18+J174*$AE$19+K174*$AE$20+L174*$AE$21+M174*$AE$22+N174*$AE$23+O174*$AE$24+P174*$AE$25+Q174*$AE$26+R174*$AE$27+S174*$AE$28+T174*$AE$29+U174*$AE$30</f>
        <v/>
      </c>
      <c r="W174" s="8">
        <f>1/(1+EXP(-V174))</f>
        <v/>
      </c>
      <c r="X174" s="9">
        <f>-IF(C174=1,LN(W174),LN(1-W174))</f>
        <v/>
      </c>
      <c r="Y174" s="8">
        <f>IF(C174=1,$AE$32,$AE$33)</f>
        <v/>
      </c>
      <c r="Z174" s="9">
        <f>Y174*X174</f>
        <v/>
      </c>
      <c r="AA174" s="10">
        <f>IF(W174&gt;$AE$34,1,0)</f>
        <v/>
      </c>
      <c r="AB174">
        <f>IF(AA174=C174,1,0)</f>
        <v/>
      </c>
    </row>
    <row r="175">
      <c r="A175">
        <f>'1 datos preparados'!A168</f>
        <v/>
      </c>
      <c r="B175" s="5">
        <f>'1 datos preparados'!U168</f>
        <v/>
      </c>
      <c r="C175">
        <f>'1 datos preparados'!B168</f>
        <v/>
      </c>
      <c r="D175" s="7">
        <f>'1 datos preparados'!C168</f>
        <v/>
      </c>
      <c r="E175" s="7">
        <f>'1 datos preparados'!D168</f>
        <v/>
      </c>
      <c r="F175" s="7">
        <f>'1 datos preparados'!E168</f>
        <v/>
      </c>
      <c r="G175" s="7">
        <f>'1 datos preparados'!F168</f>
        <v/>
      </c>
      <c r="H175" s="7">
        <f>'1 datos preparados'!G168</f>
        <v/>
      </c>
      <c r="I175" s="7">
        <f>'1 datos preparados'!H168</f>
        <v/>
      </c>
      <c r="J175" s="7">
        <f>'1 datos preparados'!I168</f>
        <v/>
      </c>
      <c r="K175" s="7">
        <f>'1 datos preparados'!J168</f>
        <v/>
      </c>
      <c r="L175" s="7">
        <f>'1 datos preparados'!K168</f>
        <v/>
      </c>
      <c r="M175" s="7">
        <f>'1 datos preparados'!L168</f>
        <v/>
      </c>
      <c r="N175" s="7">
        <f>'1 datos preparados'!M168</f>
        <v/>
      </c>
      <c r="O175" s="7">
        <f>'1 datos preparados'!N168</f>
        <v/>
      </c>
      <c r="P175" s="7">
        <f>'1 datos preparados'!O168</f>
        <v/>
      </c>
      <c r="Q175" s="7">
        <f>'1 datos preparados'!P168</f>
        <v/>
      </c>
      <c r="R175" s="7">
        <f>'1 datos preparados'!Q168</f>
        <v/>
      </c>
      <c r="S175" s="7">
        <f>'1 datos preparados'!R168</f>
        <v/>
      </c>
      <c r="T175" s="7">
        <f>'1 datos preparados'!S168</f>
        <v/>
      </c>
      <c r="U175" s="7">
        <f>'1 datos preparados'!T168</f>
        <v/>
      </c>
      <c r="V175" s="8">
        <f>$AE$12+D175*$AE$13+E175*$AE$14+F175*$AE$15+G175*$AE$16+H175*$AE$17+I175*$AE$18+J175*$AE$19+K175*$AE$20+L175*$AE$21+M175*$AE$22+N175*$AE$23+O175*$AE$24+P175*$AE$25+Q175*$AE$26+R175*$AE$27+S175*$AE$28+T175*$AE$29+U175*$AE$30</f>
        <v/>
      </c>
      <c r="W175" s="8">
        <f>1/(1+EXP(-V175))</f>
        <v/>
      </c>
      <c r="X175" s="9">
        <f>-IF(C175=1,LN(W175),LN(1-W175))</f>
        <v/>
      </c>
      <c r="Y175" s="8">
        <f>IF(C175=1,$AE$32,$AE$33)</f>
        <v/>
      </c>
      <c r="Z175" s="9">
        <f>Y175*X175</f>
        <v/>
      </c>
      <c r="AA175" s="10">
        <f>IF(W175&gt;$AE$34,1,0)</f>
        <v/>
      </c>
      <c r="AB175">
        <f>IF(AA175=C175,1,0)</f>
        <v/>
      </c>
    </row>
    <row r="176">
      <c r="A176">
        <f>'1 datos preparados'!A169</f>
        <v/>
      </c>
      <c r="B176" s="5">
        <f>'1 datos preparados'!U169</f>
        <v/>
      </c>
      <c r="C176">
        <f>'1 datos preparados'!B169</f>
        <v/>
      </c>
      <c r="D176" s="7">
        <f>'1 datos preparados'!C169</f>
        <v/>
      </c>
      <c r="E176" s="7">
        <f>'1 datos preparados'!D169</f>
        <v/>
      </c>
      <c r="F176" s="7">
        <f>'1 datos preparados'!E169</f>
        <v/>
      </c>
      <c r="G176" s="7">
        <f>'1 datos preparados'!F169</f>
        <v/>
      </c>
      <c r="H176" s="7">
        <f>'1 datos preparados'!G169</f>
        <v/>
      </c>
      <c r="I176" s="7">
        <f>'1 datos preparados'!H169</f>
        <v/>
      </c>
      <c r="J176" s="7">
        <f>'1 datos preparados'!I169</f>
        <v/>
      </c>
      <c r="K176" s="7">
        <f>'1 datos preparados'!J169</f>
        <v/>
      </c>
      <c r="L176" s="7">
        <f>'1 datos preparados'!K169</f>
        <v/>
      </c>
      <c r="M176" s="7">
        <f>'1 datos preparados'!L169</f>
        <v/>
      </c>
      <c r="N176" s="7">
        <f>'1 datos preparados'!M169</f>
        <v/>
      </c>
      <c r="O176" s="7">
        <f>'1 datos preparados'!N169</f>
        <v/>
      </c>
      <c r="P176" s="7">
        <f>'1 datos preparados'!O169</f>
        <v/>
      </c>
      <c r="Q176" s="7">
        <f>'1 datos preparados'!P169</f>
        <v/>
      </c>
      <c r="R176" s="7">
        <f>'1 datos preparados'!Q169</f>
        <v/>
      </c>
      <c r="S176" s="7">
        <f>'1 datos preparados'!R169</f>
        <v/>
      </c>
      <c r="T176" s="7">
        <f>'1 datos preparados'!S169</f>
        <v/>
      </c>
      <c r="U176" s="7">
        <f>'1 datos preparados'!T169</f>
        <v/>
      </c>
      <c r="V176" s="8">
        <f>$AE$12+D176*$AE$13+E176*$AE$14+F176*$AE$15+G176*$AE$16+H176*$AE$17+I176*$AE$18+J176*$AE$19+K176*$AE$20+L176*$AE$21+M176*$AE$22+N176*$AE$23+O176*$AE$24+P176*$AE$25+Q176*$AE$26+R176*$AE$27+S176*$AE$28+T176*$AE$29+U176*$AE$30</f>
        <v/>
      </c>
      <c r="W176" s="8">
        <f>1/(1+EXP(-V176))</f>
        <v/>
      </c>
      <c r="X176" s="9">
        <f>-IF(C176=1,LN(W176),LN(1-W176))</f>
        <v/>
      </c>
      <c r="Y176" s="8">
        <f>IF(C176=1,$AE$32,$AE$33)</f>
        <v/>
      </c>
      <c r="Z176" s="9">
        <f>Y176*X176</f>
        <v/>
      </c>
      <c r="AA176" s="10">
        <f>IF(W176&gt;$AE$34,1,0)</f>
        <v/>
      </c>
      <c r="AB176">
        <f>IF(AA176=C176,1,0)</f>
        <v/>
      </c>
    </row>
    <row r="177">
      <c r="A177">
        <f>'1 datos preparados'!A170</f>
        <v/>
      </c>
      <c r="B177" s="5">
        <f>'1 datos preparados'!U170</f>
        <v/>
      </c>
      <c r="C177">
        <f>'1 datos preparados'!B170</f>
        <v/>
      </c>
      <c r="D177" s="7">
        <f>'1 datos preparados'!C170</f>
        <v/>
      </c>
      <c r="E177" s="7">
        <f>'1 datos preparados'!D170</f>
        <v/>
      </c>
      <c r="F177" s="7">
        <f>'1 datos preparados'!E170</f>
        <v/>
      </c>
      <c r="G177" s="7">
        <f>'1 datos preparados'!F170</f>
        <v/>
      </c>
      <c r="H177" s="7">
        <f>'1 datos preparados'!G170</f>
        <v/>
      </c>
      <c r="I177" s="7">
        <f>'1 datos preparados'!H170</f>
        <v/>
      </c>
      <c r="J177" s="7">
        <f>'1 datos preparados'!I170</f>
        <v/>
      </c>
      <c r="K177" s="7">
        <f>'1 datos preparados'!J170</f>
        <v/>
      </c>
      <c r="L177" s="7">
        <f>'1 datos preparados'!K170</f>
        <v/>
      </c>
      <c r="M177" s="7">
        <f>'1 datos preparados'!L170</f>
        <v/>
      </c>
      <c r="N177" s="7">
        <f>'1 datos preparados'!M170</f>
        <v/>
      </c>
      <c r="O177" s="7">
        <f>'1 datos preparados'!N170</f>
        <v/>
      </c>
      <c r="P177" s="7">
        <f>'1 datos preparados'!O170</f>
        <v/>
      </c>
      <c r="Q177" s="7">
        <f>'1 datos preparados'!P170</f>
        <v/>
      </c>
      <c r="R177" s="7">
        <f>'1 datos preparados'!Q170</f>
        <v/>
      </c>
      <c r="S177" s="7">
        <f>'1 datos preparados'!R170</f>
        <v/>
      </c>
      <c r="T177" s="7">
        <f>'1 datos preparados'!S170</f>
        <v/>
      </c>
      <c r="U177" s="7">
        <f>'1 datos preparados'!T170</f>
        <v/>
      </c>
      <c r="V177" s="8">
        <f>$AE$12+D177*$AE$13+E177*$AE$14+F177*$AE$15+G177*$AE$16+H177*$AE$17+I177*$AE$18+J177*$AE$19+K177*$AE$20+L177*$AE$21+M177*$AE$22+N177*$AE$23+O177*$AE$24+P177*$AE$25+Q177*$AE$26+R177*$AE$27+S177*$AE$28+T177*$AE$29+U177*$AE$30</f>
        <v/>
      </c>
      <c r="W177" s="8">
        <f>1/(1+EXP(-V177))</f>
        <v/>
      </c>
      <c r="X177" s="9">
        <f>-IF(C177=1,LN(W177),LN(1-W177))</f>
        <v/>
      </c>
      <c r="Y177" s="8">
        <f>IF(C177=1,$AE$32,$AE$33)</f>
        <v/>
      </c>
      <c r="Z177" s="9">
        <f>Y177*X177</f>
        <v/>
      </c>
      <c r="AA177" s="10">
        <f>IF(W177&gt;$AE$34,1,0)</f>
        <v/>
      </c>
      <c r="AB177">
        <f>IF(AA177=C177,1,0)</f>
        <v/>
      </c>
    </row>
    <row r="178">
      <c r="A178">
        <f>'1 datos preparados'!A171</f>
        <v/>
      </c>
      <c r="B178" s="5">
        <f>'1 datos preparados'!U171</f>
        <v/>
      </c>
      <c r="C178">
        <f>'1 datos preparados'!B171</f>
        <v/>
      </c>
      <c r="D178" s="7">
        <f>'1 datos preparados'!C171</f>
        <v/>
      </c>
      <c r="E178" s="7">
        <f>'1 datos preparados'!D171</f>
        <v/>
      </c>
      <c r="F178" s="7">
        <f>'1 datos preparados'!E171</f>
        <v/>
      </c>
      <c r="G178" s="7">
        <f>'1 datos preparados'!F171</f>
        <v/>
      </c>
      <c r="H178" s="7">
        <f>'1 datos preparados'!G171</f>
        <v/>
      </c>
      <c r="I178" s="7">
        <f>'1 datos preparados'!H171</f>
        <v/>
      </c>
      <c r="J178" s="7">
        <f>'1 datos preparados'!I171</f>
        <v/>
      </c>
      <c r="K178" s="7">
        <f>'1 datos preparados'!J171</f>
        <v/>
      </c>
      <c r="L178" s="7">
        <f>'1 datos preparados'!K171</f>
        <v/>
      </c>
      <c r="M178" s="7">
        <f>'1 datos preparados'!L171</f>
        <v/>
      </c>
      <c r="N178" s="7">
        <f>'1 datos preparados'!M171</f>
        <v/>
      </c>
      <c r="O178" s="7">
        <f>'1 datos preparados'!N171</f>
        <v/>
      </c>
      <c r="P178" s="7">
        <f>'1 datos preparados'!O171</f>
        <v/>
      </c>
      <c r="Q178" s="7">
        <f>'1 datos preparados'!P171</f>
        <v/>
      </c>
      <c r="R178" s="7">
        <f>'1 datos preparados'!Q171</f>
        <v/>
      </c>
      <c r="S178" s="7">
        <f>'1 datos preparados'!R171</f>
        <v/>
      </c>
      <c r="T178" s="7">
        <f>'1 datos preparados'!S171</f>
        <v/>
      </c>
      <c r="U178" s="7">
        <f>'1 datos preparados'!T171</f>
        <v/>
      </c>
      <c r="V178" s="8">
        <f>$AE$12+D178*$AE$13+E178*$AE$14+F178*$AE$15+G178*$AE$16+H178*$AE$17+I178*$AE$18+J178*$AE$19+K178*$AE$20+L178*$AE$21+M178*$AE$22+N178*$AE$23+O178*$AE$24+P178*$AE$25+Q178*$AE$26+R178*$AE$27+S178*$AE$28+T178*$AE$29+U178*$AE$30</f>
        <v/>
      </c>
      <c r="W178" s="8">
        <f>1/(1+EXP(-V178))</f>
        <v/>
      </c>
      <c r="X178" s="9">
        <f>-IF(C178=1,LN(W178),LN(1-W178))</f>
        <v/>
      </c>
      <c r="Y178" s="8">
        <f>IF(C178=1,$AE$32,$AE$33)</f>
        <v/>
      </c>
      <c r="Z178" s="9">
        <f>Y178*X178</f>
        <v/>
      </c>
      <c r="AA178" s="10">
        <f>IF(W178&gt;$AE$34,1,0)</f>
        <v/>
      </c>
      <c r="AB178">
        <f>IF(AA178=C178,1,0)</f>
        <v/>
      </c>
    </row>
    <row r="179">
      <c r="A179">
        <f>'1 datos preparados'!A172</f>
        <v/>
      </c>
      <c r="B179" s="5">
        <f>'1 datos preparados'!U172</f>
        <v/>
      </c>
      <c r="C179">
        <f>'1 datos preparados'!B172</f>
        <v/>
      </c>
      <c r="D179" s="7">
        <f>'1 datos preparados'!C172</f>
        <v/>
      </c>
      <c r="E179" s="7">
        <f>'1 datos preparados'!D172</f>
        <v/>
      </c>
      <c r="F179" s="7">
        <f>'1 datos preparados'!E172</f>
        <v/>
      </c>
      <c r="G179" s="7">
        <f>'1 datos preparados'!F172</f>
        <v/>
      </c>
      <c r="H179" s="7">
        <f>'1 datos preparados'!G172</f>
        <v/>
      </c>
      <c r="I179" s="7">
        <f>'1 datos preparados'!H172</f>
        <v/>
      </c>
      <c r="J179" s="7">
        <f>'1 datos preparados'!I172</f>
        <v/>
      </c>
      <c r="K179" s="7">
        <f>'1 datos preparados'!J172</f>
        <v/>
      </c>
      <c r="L179" s="7">
        <f>'1 datos preparados'!K172</f>
        <v/>
      </c>
      <c r="M179" s="7">
        <f>'1 datos preparados'!L172</f>
        <v/>
      </c>
      <c r="N179" s="7">
        <f>'1 datos preparados'!M172</f>
        <v/>
      </c>
      <c r="O179" s="7">
        <f>'1 datos preparados'!N172</f>
        <v/>
      </c>
      <c r="P179" s="7">
        <f>'1 datos preparados'!O172</f>
        <v/>
      </c>
      <c r="Q179" s="7">
        <f>'1 datos preparados'!P172</f>
        <v/>
      </c>
      <c r="R179" s="7">
        <f>'1 datos preparados'!Q172</f>
        <v/>
      </c>
      <c r="S179" s="7">
        <f>'1 datos preparados'!R172</f>
        <v/>
      </c>
      <c r="T179" s="7">
        <f>'1 datos preparados'!S172</f>
        <v/>
      </c>
      <c r="U179" s="7">
        <f>'1 datos preparados'!T172</f>
        <v/>
      </c>
      <c r="V179" s="8">
        <f>$AE$12+D179*$AE$13+E179*$AE$14+F179*$AE$15+G179*$AE$16+H179*$AE$17+I179*$AE$18+J179*$AE$19+K179*$AE$20+L179*$AE$21+M179*$AE$22+N179*$AE$23+O179*$AE$24+P179*$AE$25+Q179*$AE$26+R179*$AE$27+S179*$AE$28+T179*$AE$29+U179*$AE$30</f>
        <v/>
      </c>
      <c r="W179" s="8">
        <f>1/(1+EXP(-V179))</f>
        <v/>
      </c>
      <c r="X179" s="9">
        <f>-IF(C179=1,LN(W179),LN(1-W179))</f>
        <v/>
      </c>
      <c r="Y179" s="8">
        <f>IF(C179=1,$AE$32,$AE$33)</f>
        <v/>
      </c>
      <c r="Z179" s="9">
        <f>Y179*X179</f>
        <v/>
      </c>
      <c r="AA179" s="10">
        <f>IF(W179&gt;$AE$34,1,0)</f>
        <v/>
      </c>
      <c r="AB179">
        <f>IF(AA179=C179,1,0)</f>
        <v/>
      </c>
    </row>
    <row r="180">
      <c r="A180">
        <f>'1 datos preparados'!A173</f>
        <v/>
      </c>
      <c r="B180" s="5">
        <f>'1 datos preparados'!U173</f>
        <v/>
      </c>
      <c r="C180">
        <f>'1 datos preparados'!B173</f>
        <v/>
      </c>
      <c r="D180" s="7">
        <f>'1 datos preparados'!C173</f>
        <v/>
      </c>
      <c r="E180" s="7">
        <f>'1 datos preparados'!D173</f>
        <v/>
      </c>
      <c r="F180" s="7">
        <f>'1 datos preparados'!E173</f>
        <v/>
      </c>
      <c r="G180" s="7">
        <f>'1 datos preparados'!F173</f>
        <v/>
      </c>
      <c r="H180" s="7">
        <f>'1 datos preparados'!G173</f>
        <v/>
      </c>
      <c r="I180" s="7">
        <f>'1 datos preparados'!H173</f>
        <v/>
      </c>
      <c r="J180" s="7">
        <f>'1 datos preparados'!I173</f>
        <v/>
      </c>
      <c r="K180" s="7">
        <f>'1 datos preparados'!J173</f>
        <v/>
      </c>
      <c r="L180" s="7">
        <f>'1 datos preparados'!K173</f>
        <v/>
      </c>
      <c r="M180" s="7">
        <f>'1 datos preparados'!L173</f>
        <v/>
      </c>
      <c r="N180" s="7">
        <f>'1 datos preparados'!M173</f>
        <v/>
      </c>
      <c r="O180" s="7">
        <f>'1 datos preparados'!N173</f>
        <v/>
      </c>
      <c r="P180" s="7">
        <f>'1 datos preparados'!O173</f>
        <v/>
      </c>
      <c r="Q180" s="7">
        <f>'1 datos preparados'!P173</f>
        <v/>
      </c>
      <c r="R180" s="7">
        <f>'1 datos preparados'!Q173</f>
        <v/>
      </c>
      <c r="S180" s="7">
        <f>'1 datos preparados'!R173</f>
        <v/>
      </c>
      <c r="T180" s="7">
        <f>'1 datos preparados'!S173</f>
        <v/>
      </c>
      <c r="U180" s="7">
        <f>'1 datos preparados'!T173</f>
        <v/>
      </c>
      <c r="V180" s="8">
        <f>$AE$12+D180*$AE$13+E180*$AE$14+F180*$AE$15+G180*$AE$16+H180*$AE$17+I180*$AE$18+J180*$AE$19+K180*$AE$20+L180*$AE$21+M180*$AE$22+N180*$AE$23+O180*$AE$24+P180*$AE$25+Q180*$AE$26+R180*$AE$27+S180*$AE$28+T180*$AE$29+U180*$AE$30</f>
        <v/>
      </c>
      <c r="W180" s="8">
        <f>1/(1+EXP(-V180))</f>
        <v/>
      </c>
      <c r="X180" s="9">
        <f>-IF(C180=1,LN(W180),LN(1-W180))</f>
        <v/>
      </c>
      <c r="Y180" s="8">
        <f>IF(C180=1,$AE$32,$AE$33)</f>
        <v/>
      </c>
      <c r="Z180" s="9">
        <f>Y180*X180</f>
        <v/>
      </c>
      <c r="AA180" s="10">
        <f>IF(W180&gt;$AE$34,1,0)</f>
        <v/>
      </c>
      <c r="AB180">
        <f>IF(AA180=C180,1,0)</f>
        <v/>
      </c>
    </row>
    <row r="181">
      <c r="A181">
        <f>'1 datos preparados'!A174</f>
        <v/>
      </c>
      <c r="B181" s="5">
        <f>'1 datos preparados'!U174</f>
        <v/>
      </c>
      <c r="C181">
        <f>'1 datos preparados'!B174</f>
        <v/>
      </c>
      <c r="D181" s="7">
        <f>'1 datos preparados'!C174</f>
        <v/>
      </c>
      <c r="E181" s="7">
        <f>'1 datos preparados'!D174</f>
        <v/>
      </c>
      <c r="F181" s="7">
        <f>'1 datos preparados'!E174</f>
        <v/>
      </c>
      <c r="G181" s="7">
        <f>'1 datos preparados'!F174</f>
        <v/>
      </c>
      <c r="H181" s="7">
        <f>'1 datos preparados'!G174</f>
        <v/>
      </c>
      <c r="I181" s="7">
        <f>'1 datos preparados'!H174</f>
        <v/>
      </c>
      <c r="J181" s="7">
        <f>'1 datos preparados'!I174</f>
        <v/>
      </c>
      <c r="K181" s="7">
        <f>'1 datos preparados'!J174</f>
        <v/>
      </c>
      <c r="L181" s="7">
        <f>'1 datos preparados'!K174</f>
        <v/>
      </c>
      <c r="M181" s="7">
        <f>'1 datos preparados'!L174</f>
        <v/>
      </c>
      <c r="N181" s="7">
        <f>'1 datos preparados'!M174</f>
        <v/>
      </c>
      <c r="O181" s="7">
        <f>'1 datos preparados'!N174</f>
        <v/>
      </c>
      <c r="P181" s="7">
        <f>'1 datos preparados'!O174</f>
        <v/>
      </c>
      <c r="Q181" s="7">
        <f>'1 datos preparados'!P174</f>
        <v/>
      </c>
      <c r="R181" s="7">
        <f>'1 datos preparados'!Q174</f>
        <v/>
      </c>
      <c r="S181" s="7">
        <f>'1 datos preparados'!R174</f>
        <v/>
      </c>
      <c r="T181" s="7">
        <f>'1 datos preparados'!S174</f>
        <v/>
      </c>
      <c r="U181" s="7">
        <f>'1 datos preparados'!T174</f>
        <v/>
      </c>
      <c r="V181" s="8">
        <f>$AE$12+D181*$AE$13+E181*$AE$14+F181*$AE$15+G181*$AE$16+H181*$AE$17+I181*$AE$18+J181*$AE$19+K181*$AE$20+L181*$AE$21+M181*$AE$22+N181*$AE$23+O181*$AE$24+P181*$AE$25+Q181*$AE$26+R181*$AE$27+S181*$AE$28+T181*$AE$29+U181*$AE$30</f>
        <v/>
      </c>
      <c r="W181" s="8">
        <f>1/(1+EXP(-V181))</f>
        <v/>
      </c>
      <c r="X181" s="9">
        <f>-IF(C181=1,LN(W181),LN(1-W181))</f>
        <v/>
      </c>
      <c r="Y181" s="8">
        <f>IF(C181=1,$AE$32,$AE$33)</f>
        <v/>
      </c>
      <c r="Z181" s="9">
        <f>Y181*X181</f>
        <v/>
      </c>
      <c r="AA181" s="10">
        <f>IF(W181&gt;$AE$34,1,0)</f>
        <v/>
      </c>
      <c r="AB181">
        <f>IF(AA181=C181,1,0)</f>
        <v/>
      </c>
    </row>
    <row r="182">
      <c r="A182">
        <f>'1 datos preparados'!A175</f>
        <v/>
      </c>
      <c r="B182" s="5">
        <f>'1 datos preparados'!U175</f>
        <v/>
      </c>
      <c r="C182">
        <f>'1 datos preparados'!B175</f>
        <v/>
      </c>
      <c r="D182" s="7">
        <f>'1 datos preparados'!C175</f>
        <v/>
      </c>
      <c r="E182" s="7">
        <f>'1 datos preparados'!D175</f>
        <v/>
      </c>
      <c r="F182" s="7">
        <f>'1 datos preparados'!E175</f>
        <v/>
      </c>
      <c r="G182" s="7">
        <f>'1 datos preparados'!F175</f>
        <v/>
      </c>
      <c r="H182" s="7">
        <f>'1 datos preparados'!G175</f>
        <v/>
      </c>
      <c r="I182" s="7">
        <f>'1 datos preparados'!H175</f>
        <v/>
      </c>
      <c r="J182" s="7">
        <f>'1 datos preparados'!I175</f>
        <v/>
      </c>
      <c r="K182" s="7">
        <f>'1 datos preparados'!J175</f>
        <v/>
      </c>
      <c r="L182" s="7">
        <f>'1 datos preparados'!K175</f>
        <v/>
      </c>
      <c r="M182" s="7">
        <f>'1 datos preparados'!L175</f>
        <v/>
      </c>
      <c r="N182" s="7">
        <f>'1 datos preparados'!M175</f>
        <v/>
      </c>
      <c r="O182" s="7">
        <f>'1 datos preparados'!N175</f>
        <v/>
      </c>
      <c r="P182" s="7">
        <f>'1 datos preparados'!O175</f>
        <v/>
      </c>
      <c r="Q182" s="7">
        <f>'1 datos preparados'!P175</f>
        <v/>
      </c>
      <c r="R182" s="7">
        <f>'1 datos preparados'!Q175</f>
        <v/>
      </c>
      <c r="S182" s="7">
        <f>'1 datos preparados'!R175</f>
        <v/>
      </c>
      <c r="T182" s="7">
        <f>'1 datos preparados'!S175</f>
        <v/>
      </c>
      <c r="U182" s="7">
        <f>'1 datos preparados'!T175</f>
        <v/>
      </c>
      <c r="V182" s="8">
        <f>$AE$12+D182*$AE$13+E182*$AE$14+F182*$AE$15+G182*$AE$16+H182*$AE$17+I182*$AE$18+J182*$AE$19+K182*$AE$20+L182*$AE$21+M182*$AE$22+N182*$AE$23+O182*$AE$24+P182*$AE$25+Q182*$AE$26+R182*$AE$27+S182*$AE$28+T182*$AE$29+U182*$AE$30</f>
        <v/>
      </c>
      <c r="W182" s="8">
        <f>1/(1+EXP(-V182))</f>
        <v/>
      </c>
      <c r="X182" s="9">
        <f>-IF(C182=1,LN(W182),LN(1-W182))</f>
        <v/>
      </c>
      <c r="Y182" s="8">
        <f>IF(C182=1,$AE$32,$AE$33)</f>
        <v/>
      </c>
      <c r="Z182" s="9">
        <f>Y182*X182</f>
        <v/>
      </c>
      <c r="AA182" s="10">
        <f>IF(W182&gt;$AE$34,1,0)</f>
        <v/>
      </c>
      <c r="AB182">
        <f>IF(AA182=C182,1,0)</f>
        <v/>
      </c>
    </row>
    <row r="183">
      <c r="A183">
        <f>'1 datos preparados'!A176</f>
        <v/>
      </c>
      <c r="B183" s="5">
        <f>'1 datos preparados'!U176</f>
        <v/>
      </c>
      <c r="C183">
        <f>'1 datos preparados'!B176</f>
        <v/>
      </c>
      <c r="D183" s="7">
        <f>'1 datos preparados'!C176</f>
        <v/>
      </c>
      <c r="E183" s="7">
        <f>'1 datos preparados'!D176</f>
        <v/>
      </c>
      <c r="F183" s="7">
        <f>'1 datos preparados'!E176</f>
        <v/>
      </c>
      <c r="G183" s="7">
        <f>'1 datos preparados'!F176</f>
        <v/>
      </c>
      <c r="H183" s="7">
        <f>'1 datos preparados'!G176</f>
        <v/>
      </c>
      <c r="I183" s="7">
        <f>'1 datos preparados'!H176</f>
        <v/>
      </c>
      <c r="J183" s="7">
        <f>'1 datos preparados'!I176</f>
        <v/>
      </c>
      <c r="K183" s="7">
        <f>'1 datos preparados'!J176</f>
        <v/>
      </c>
      <c r="L183" s="7">
        <f>'1 datos preparados'!K176</f>
        <v/>
      </c>
      <c r="M183" s="7">
        <f>'1 datos preparados'!L176</f>
        <v/>
      </c>
      <c r="N183" s="7">
        <f>'1 datos preparados'!M176</f>
        <v/>
      </c>
      <c r="O183" s="7">
        <f>'1 datos preparados'!N176</f>
        <v/>
      </c>
      <c r="P183" s="7">
        <f>'1 datos preparados'!O176</f>
        <v/>
      </c>
      <c r="Q183" s="7">
        <f>'1 datos preparados'!P176</f>
        <v/>
      </c>
      <c r="R183" s="7">
        <f>'1 datos preparados'!Q176</f>
        <v/>
      </c>
      <c r="S183" s="7">
        <f>'1 datos preparados'!R176</f>
        <v/>
      </c>
      <c r="T183" s="7">
        <f>'1 datos preparados'!S176</f>
        <v/>
      </c>
      <c r="U183" s="7">
        <f>'1 datos preparados'!T176</f>
        <v/>
      </c>
      <c r="V183" s="8">
        <f>$AE$12+D183*$AE$13+E183*$AE$14+F183*$AE$15+G183*$AE$16+H183*$AE$17+I183*$AE$18+J183*$AE$19+K183*$AE$20+L183*$AE$21+M183*$AE$22+N183*$AE$23+O183*$AE$24+P183*$AE$25+Q183*$AE$26+R183*$AE$27+S183*$AE$28+T183*$AE$29+U183*$AE$30</f>
        <v/>
      </c>
      <c r="W183" s="8">
        <f>1/(1+EXP(-V183))</f>
        <v/>
      </c>
      <c r="X183" s="9">
        <f>-IF(C183=1,LN(W183),LN(1-W183))</f>
        <v/>
      </c>
      <c r="Y183" s="8">
        <f>IF(C183=1,$AE$32,$AE$33)</f>
        <v/>
      </c>
      <c r="Z183" s="9">
        <f>Y183*X183</f>
        <v/>
      </c>
      <c r="AA183" s="10">
        <f>IF(W183&gt;$AE$34,1,0)</f>
        <v/>
      </c>
      <c r="AB183">
        <f>IF(AA183=C183,1,0)</f>
        <v/>
      </c>
    </row>
    <row r="184">
      <c r="A184">
        <f>'1 datos preparados'!A177</f>
        <v/>
      </c>
      <c r="B184" s="5">
        <f>'1 datos preparados'!U177</f>
        <v/>
      </c>
      <c r="C184">
        <f>'1 datos preparados'!B177</f>
        <v/>
      </c>
      <c r="D184" s="7">
        <f>'1 datos preparados'!C177</f>
        <v/>
      </c>
      <c r="E184" s="7">
        <f>'1 datos preparados'!D177</f>
        <v/>
      </c>
      <c r="F184" s="7">
        <f>'1 datos preparados'!E177</f>
        <v/>
      </c>
      <c r="G184" s="7">
        <f>'1 datos preparados'!F177</f>
        <v/>
      </c>
      <c r="H184" s="7">
        <f>'1 datos preparados'!G177</f>
        <v/>
      </c>
      <c r="I184" s="7">
        <f>'1 datos preparados'!H177</f>
        <v/>
      </c>
      <c r="J184" s="7">
        <f>'1 datos preparados'!I177</f>
        <v/>
      </c>
      <c r="K184" s="7">
        <f>'1 datos preparados'!J177</f>
        <v/>
      </c>
      <c r="L184" s="7">
        <f>'1 datos preparados'!K177</f>
        <v/>
      </c>
      <c r="M184" s="7">
        <f>'1 datos preparados'!L177</f>
        <v/>
      </c>
      <c r="N184" s="7">
        <f>'1 datos preparados'!M177</f>
        <v/>
      </c>
      <c r="O184" s="7">
        <f>'1 datos preparados'!N177</f>
        <v/>
      </c>
      <c r="P184" s="7">
        <f>'1 datos preparados'!O177</f>
        <v/>
      </c>
      <c r="Q184" s="7">
        <f>'1 datos preparados'!P177</f>
        <v/>
      </c>
      <c r="R184" s="7">
        <f>'1 datos preparados'!Q177</f>
        <v/>
      </c>
      <c r="S184" s="7">
        <f>'1 datos preparados'!R177</f>
        <v/>
      </c>
      <c r="T184" s="7">
        <f>'1 datos preparados'!S177</f>
        <v/>
      </c>
      <c r="U184" s="7">
        <f>'1 datos preparados'!T177</f>
        <v/>
      </c>
      <c r="V184" s="8">
        <f>$AE$12+D184*$AE$13+E184*$AE$14+F184*$AE$15+G184*$AE$16+H184*$AE$17+I184*$AE$18+J184*$AE$19+K184*$AE$20+L184*$AE$21+M184*$AE$22+N184*$AE$23+O184*$AE$24+P184*$AE$25+Q184*$AE$26+R184*$AE$27+S184*$AE$28+T184*$AE$29+U184*$AE$30</f>
        <v/>
      </c>
      <c r="W184" s="8">
        <f>1/(1+EXP(-V184))</f>
        <v/>
      </c>
      <c r="X184" s="9">
        <f>-IF(C184=1,LN(W184),LN(1-W184))</f>
        <v/>
      </c>
      <c r="Y184" s="8">
        <f>IF(C184=1,$AE$32,$AE$33)</f>
        <v/>
      </c>
      <c r="Z184" s="9">
        <f>Y184*X184</f>
        <v/>
      </c>
      <c r="AA184" s="10">
        <f>IF(W184&gt;$AE$34,1,0)</f>
        <v/>
      </c>
      <c r="AB184">
        <f>IF(AA184=C184,1,0)</f>
        <v/>
      </c>
    </row>
    <row r="185">
      <c r="A185">
        <f>'1 datos preparados'!A178</f>
        <v/>
      </c>
      <c r="B185" s="5">
        <f>'1 datos preparados'!U178</f>
        <v/>
      </c>
      <c r="C185">
        <f>'1 datos preparados'!B178</f>
        <v/>
      </c>
      <c r="D185" s="7">
        <f>'1 datos preparados'!C178</f>
        <v/>
      </c>
      <c r="E185" s="7">
        <f>'1 datos preparados'!D178</f>
        <v/>
      </c>
      <c r="F185" s="7">
        <f>'1 datos preparados'!E178</f>
        <v/>
      </c>
      <c r="G185" s="7">
        <f>'1 datos preparados'!F178</f>
        <v/>
      </c>
      <c r="H185" s="7">
        <f>'1 datos preparados'!G178</f>
        <v/>
      </c>
      <c r="I185" s="7">
        <f>'1 datos preparados'!H178</f>
        <v/>
      </c>
      <c r="J185" s="7">
        <f>'1 datos preparados'!I178</f>
        <v/>
      </c>
      <c r="K185" s="7">
        <f>'1 datos preparados'!J178</f>
        <v/>
      </c>
      <c r="L185" s="7">
        <f>'1 datos preparados'!K178</f>
        <v/>
      </c>
      <c r="M185" s="7">
        <f>'1 datos preparados'!L178</f>
        <v/>
      </c>
      <c r="N185" s="7">
        <f>'1 datos preparados'!M178</f>
        <v/>
      </c>
      <c r="O185" s="7">
        <f>'1 datos preparados'!N178</f>
        <v/>
      </c>
      <c r="P185" s="7">
        <f>'1 datos preparados'!O178</f>
        <v/>
      </c>
      <c r="Q185" s="7">
        <f>'1 datos preparados'!P178</f>
        <v/>
      </c>
      <c r="R185" s="7">
        <f>'1 datos preparados'!Q178</f>
        <v/>
      </c>
      <c r="S185" s="7">
        <f>'1 datos preparados'!R178</f>
        <v/>
      </c>
      <c r="T185" s="7">
        <f>'1 datos preparados'!S178</f>
        <v/>
      </c>
      <c r="U185" s="7">
        <f>'1 datos preparados'!T178</f>
        <v/>
      </c>
      <c r="V185" s="8">
        <f>$AE$12+D185*$AE$13+E185*$AE$14+F185*$AE$15+G185*$AE$16+H185*$AE$17+I185*$AE$18+J185*$AE$19+K185*$AE$20+L185*$AE$21+M185*$AE$22+N185*$AE$23+O185*$AE$24+P185*$AE$25+Q185*$AE$26+R185*$AE$27+S185*$AE$28+T185*$AE$29+U185*$AE$30</f>
        <v/>
      </c>
      <c r="W185" s="8">
        <f>1/(1+EXP(-V185))</f>
        <v/>
      </c>
      <c r="X185" s="9">
        <f>-IF(C185=1,LN(W185),LN(1-W185))</f>
        <v/>
      </c>
      <c r="Y185" s="8">
        <f>IF(C185=1,$AE$32,$AE$33)</f>
        <v/>
      </c>
      <c r="Z185" s="9">
        <f>Y185*X185</f>
        <v/>
      </c>
      <c r="AA185" s="10">
        <f>IF(W185&gt;$AE$34,1,0)</f>
        <v/>
      </c>
      <c r="AB185">
        <f>IF(AA185=C185,1,0)</f>
        <v/>
      </c>
    </row>
    <row r="186">
      <c r="A186">
        <f>'1 datos preparados'!A179</f>
        <v/>
      </c>
      <c r="B186" s="5">
        <f>'1 datos preparados'!U179</f>
        <v/>
      </c>
      <c r="C186">
        <f>'1 datos preparados'!B179</f>
        <v/>
      </c>
      <c r="D186" s="7">
        <f>'1 datos preparados'!C179</f>
        <v/>
      </c>
      <c r="E186" s="7">
        <f>'1 datos preparados'!D179</f>
        <v/>
      </c>
      <c r="F186" s="7">
        <f>'1 datos preparados'!E179</f>
        <v/>
      </c>
      <c r="G186" s="7">
        <f>'1 datos preparados'!F179</f>
        <v/>
      </c>
      <c r="H186" s="7">
        <f>'1 datos preparados'!G179</f>
        <v/>
      </c>
      <c r="I186" s="7">
        <f>'1 datos preparados'!H179</f>
        <v/>
      </c>
      <c r="J186" s="7">
        <f>'1 datos preparados'!I179</f>
        <v/>
      </c>
      <c r="K186" s="7">
        <f>'1 datos preparados'!J179</f>
        <v/>
      </c>
      <c r="L186" s="7">
        <f>'1 datos preparados'!K179</f>
        <v/>
      </c>
      <c r="M186" s="7">
        <f>'1 datos preparados'!L179</f>
        <v/>
      </c>
      <c r="N186" s="7">
        <f>'1 datos preparados'!M179</f>
        <v/>
      </c>
      <c r="O186" s="7">
        <f>'1 datos preparados'!N179</f>
        <v/>
      </c>
      <c r="P186" s="7">
        <f>'1 datos preparados'!O179</f>
        <v/>
      </c>
      <c r="Q186" s="7">
        <f>'1 datos preparados'!P179</f>
        <v/>
      </c>
      <c r="R186" s="7">
        <f>'1 datos preparados'!Q179</f>
        <v/>
      </c>
      <c r="S186" s="7">
        <f>'1 datos preparados'!R179</f>
        <v/>
      </c>
      <c r="T186" s="7">
        <f>'1 datos preparados'!S179</f>
        <v/>
      </c>
      <c r="U186" s="7">
        <f>'1 datos preparados'!T179</f>
        <v/>
      </c>
      <c r="V186" s="8">
        <f>$AE$12+D186*$AE$13+E186*$AE$14+F186*$AE$15+G186*$AE$16+H186*$AE$17+I186*$AE$18+J186*$AE$19+K186*$AE$20+L186*$AE$21+M186*$AE$22+N186*$AE$23+O186*$AE$24+P186*$AE$25+Q186*$AE$26+R186*$AE$27+S186*$AE$28+T186*$AE$29+U186*$AE$30</f>
        <v/>
      </c>
      <c r="W186" s="8">
        <f>1/(1+EXP(-V186))</f>
        <v/>
      </c>
      <c r="X186" s="9">
        <f>-IF(C186=1,LN(W186),LN(1-W186))</f>
        <v/>
      </c>
      <c r="Y186" s="8">
        <f>IF(C186=1,$AE$32,$AE$33)</f>
        <v/>
      </c>
      <c r="Z186" s="9">
        <f>Y186*X186</f>
        <v/>
      </c>
      <c r="AA186" s="10">
        <f>IF(W186&gt;$AE$34,1,0)</f>
        <v/>
      </c>
      <c r="AB186">
        <f>IF(AA186=C186,1,0)</f>
        <v/>
      </c>
    </row>
    <row r="187">
      <c r="A187">
        <f>'1 datos preparados'!A180</f>
        <v/>
      </c>
      <c r="B187" s="5">
        <f>'1 datos preparados'!U180</f>
        <v/>
      </c>
      <c r="C187">
        <f>'1 datos preparados'!B180</f>
        <v/>
      </c>
      <c r="D187" s="7">
        <f>'1 datos preparados'!C180</f>
        <v/>
      </c>
      <c r="E187" s="7">
        <f>'1 datos preparados'!D180</f>
        <v/>
      </c>
      <c r="F187" s="7">
        <f>'1 datos preparados'!E180</f>
        <v/>
      </c>
      <c r="G187" s="7">
        <f>'1 datos preparados'!F180</f>
        <v/>
      </c>
      <c r="H187" s="7">
        <f>'1 datos preparados'!G180</f>
        <v/>
      </c>
      <c r="I187" s="7">
        <f>'1 datos preparados'!H180</f>
        <v/>
      </c>
      <c r="J187" s="7">
        <f>'1 datos preparados'!I180</f>
        <v/>
      </c>
      <c r="K187" s="7">
        <f>'1 datos preparados'!J180</f>
        <v/>
      </c>
      <c r="L187" s="7">
        <f>'1 datos preparados'!K180</f>
        <v/>
      </c>
      <c r="M187" s="7">
        <f>'1 datos preparados'!L180</f>
        <v/>
      </c>
      <c r="N187" s="7">
        <f>'1 datos preparados'!M180</f>
        <v/>
      </c>
      <c r="O187" s="7">
        <f>'1 datos preparados'!N180</f>
        <v/>
      </c>
      <c r="P187" s="7">
        <f>'1 datos preparados'!O180</f>
        <v/>
      </c>
      <c r="Q187" s="7">
        <f>'1 datos preparados'!P180</f>
        <v/>
      </c>
      <c r="R187" s="7">
        <f>'1 datos preparados'!Q180</f>
        <v/>
      </c>
      <c r="S187" s="7">
        <f>'1 datos preparados'!R180</f>
        <v/>
      </c>
      <c r="T187" s="7">
        <f>'1 datos preparados'!S180</f>
        <v/>
      </c>
      <c r="U187" s="7">
        <f>'1 datos preparados'!T180</f>
        <v/>
      </c>
      <c r="V187" s="8">
        <f>$AE$12+D187*$AE$13+E187*$AE$14+F187*$AE$15+G187*$AE$16+H187*$AE$17+I187*$AE$18+J187*$AE$19+K187*$AE$20+L187*$AE$21+M187*$AE$22+N187*$AE$23+O187*$AE$24+P187*$AE$25+Q187*$AE$26+R187*$AE$27+S187*$AE$28+T187*$AE$29+U187*$AE$30</f>
        <v/>
      </c>
      <c r="W187" s="8">
        <f>1/(1+EXP(-V187))</f>
        <v/>
      </c>
      <c r="X187" s="9">
        <f>-IF(C187=1,LN(W187),LN(1-W187))</f>
        <v/>
      </c>
      <c r="Y187" s="8">
        <f>IF(C187=1,$AE$32,$AE$33)</f>
        <v/>
      </c>
      <c r="Z187" s="9">
        <f>Y187*X187</f>
        <v/>
      </c>
      <c r="AA187" s="10">
        <f>IF(W187&gt;$AE$34,1,0)</f>
        <v/>
      </c>
      <c r="AB187">
        <f>IF(AA187=C187,1,0)</f>
        <v/>
      </c>
    </row>
    <row r="188">
      <c r="A188">
        <f>'1 datos preparados'!A181</f>
        <v/>
      </c>
      <c r="B188" s="5">
        <f>'1 datos preparados'!U181</f>
        <v/>
      </c>
      <c r="C188">
        <f>'1 datos preparados'!B181</f>
        <v/>
      </c>
      <c r="D188" s="7">
        <f>'1 datos preparados'!C181</f>
        <v/>
      </c>
      <c r="E188" s="7">
        <f>'1 datos preparados'!D181</f>
        <v/>
      </c>
      <c r="F188" s="7">
        <f>'1 datos preparados'!E181</f>
        <v/>
      </c>
      <c r="G188" s="7">
        <f>'1 datos preparados'!F181</f>
        <v/>
      </c>
      <c r="H188" s="7">
        <f>'1 datos preparados'!G181</f>
        <v/>
      </c>
      <c r="I188" s="7">
        <f>'1 datos preparados'!H181</f>
        <v/>
      </c>
      <c r="J188" s="7">
        <f>'1 datos preparados'!I181</f>
        <v/>
      </c>
      <c r="K188" s="7">
        <f>'1 datos preparados'!J181</f>
        <v/>
      </c>
      <c r="L188" s="7">
        <f>'1 datos preparados'!K181</f>
        <v/>
      </c>
      <c r="M188" s="7">
        <f>'1 datos preparados'!L181</f>
        <v/>
      </c>
      <c r="N188" s="7">
        <f>'1 datos preparados'!M181</f>
        <v/>
      </c>
      <c r="O188" s="7">
        <f>'1 datos preparados'!N181</f>
        <v/>
      </c>
      <c r="P188" s="7">
        <f>'1 datos preparados'!O181</f>
        <v/>
      </c>
      <c r="Q188" s="7">
        <f>'1 datos preparados'!P181</f>
        <v/>
      </c>
      <c r="R188" s="7">
        <f>'1 datos preparados'!Q181</f>
        <v/>
      </c>
      <c r="S188" s="7">
        <f>'1 datos preparados'!R181</f>
        <v/>
      </c>
      <c r="T188" s="7">
        <f>'1 datos preparados'!S181</f>
        <v/>
      </c>
      <c r="U188" s="7">
        <f>'1 datos preparados'!T181</f>
        <v/>
      </c>
      <c r="V188" s="8">
        <f>$AE$12+D188*$AE$13+E188*$AE$14+F188*$AE$15+G188*$AE$16+H188*$AE$17+I188*$AE$18+J188*$AE$19+K188*$AE$20+L188*$AE$21+M188*$AE$22+N188*$AE$23+O188*$AE$24+P188*$AE$25+Q188*$AE$26+R188*$AE$27+S188*$AE$28+T188*$AE$29+U188*$AE$30</f>
        <v/>
      </c>
      <c r="W188" s="8">
        <f>1/(1+EXP(-V188))</f>
        <v/>
      </c>
      <c r="X188" s="9">
        <f>-IF(C188=1,LN(W188),LN(1-W188))</f>
        <v/>
      </c>
      <c r="Y188" s="8">
        <f>IF(C188=1,$AE$32,$AE$33)</f>
        <v/>
      </c>
      <c r="Z188" s="9">
        <f>Y188*X188</f>
        <v/>
      </c>
      <c r="AA188" s="10">
        <f>IF(W188&gt;$AE$34,1,0)</f>
        <v/>
      </c>
      <c r="AB188">
        <f>IF(AA188=C188,1,0)</f>
        <v/>
      </c>
    </row>
    <row r="189">
      <c r="A189">
        <f>'1 datos preparados'!A182</f>
        <v/>
      </c>
      <c r="B189" s="5">
        <f>'1 datos preparados'!U182</f>
        <v/>
      </c>
      <c r="C189">
        <f>'1 datos preparados'!B182</f>
        <v/>
      </c>
      <c r="D189" s="7">
        <f>'1 datos preparados'!C182</f>
        <v/>
      </c>
      <c r="E189" s="7">
        <f>'1 datos preparados'!D182</f>
        <v/>
      </c>
      <c r="F189" s="7">
        <f>'1 datos preparados'!E182</f>
        <v/>
      </c>
      <c r="G189" s="7">
        <f>'1 datos preparados'!F182</f>
        <v/>
      </c>
      <c r="H189" s="7">
        <f>'1 datos preparados'!G182</f>
        <v/>
      </c>
      <c r="I189" s="7">
        <f>'1 datos preparados'!H182</f>
        <v/>
      </c>
      <c r="J189" s="7">
        <f>'1 datos preparados'!I182</f>
        <v/>
      </c>
      <c r="K189" s="7">
        <f>'1 datos preparados'!J182</f>
        <v/>
      </c>
      <c r="L189" s="7">
        <f>'1 datos preparados'!K182</f>
        <v/>
      </c>
      <c r="M189" s="7">
        <f>'1 datos preparados'!L182</f>
        <v/>
      </c>
      <c r="N189" s="7">
        <f>'1 datos preparados'!M182</f>
        <v/>
      </c>
      <c r="O189" s="7">
        <f>'1 datos preparados'!N182</f>
        <v/>
      </c>
      <c r="P189" s="7">
        <f>'1 datos preparados'!O182</f>
        <v/>
      </c>
      <c r="Q189" s="7">
        <f>'1 datos preparados'!P182</f>
        <v/>
      </c>
      <c r="R189" s="7">
        <f>'1 datos preparados'!Q182</f>
        <v/>
      </c>
      <c r="S189" s="7">
        <f>'1 datos preparados'!R182</f>
        <v/>
      </c>
      <c r="T189" s="7">
        <f>'1 datos preparados'!S182</f>
        <v/>
      </c>
      <c r="U189" s="7">
        <f>'1 datos preparados'!T182</f>
        <v/>
      </c>
      <c r="V189" s="8">
        <f>$AE$12+D189*$AE$13+E189*$AE$14+F189*$AE$15+G189*$AE$16+H189*$AE$17+I189*$AE$18+J189*$AE$19+K189*$AE$20+L189*$AE$21+M189*$AE$22+N189*$AE$23+O189*$AE$24+P189*$AE$25+Q189*$AE$26+R189*$AE$27+S189*$AE$28+T189*$AE$29+U189*$AE$30</f>
        <v/>
      </c>
      <c r="W189" s="8">
        <f>1/(1+EXP(-V189))</f>
        <v/>
      </c>
      <c r="X189" s="9">
        <f>-IF(C189=1,LN(W189),LN(1-W189))</f>
        <v/>
      </c>
      <c r="Y189" s="8">
        <f>IF(C189=1,$AE$32,$AE$33)</f>
        <v/>
      </c>
      <c r="Z189" s="9">
        <f>Y189*X189</f>
        <v/>
      </c>
      <c r="AA189" s="10">
        <f>IF(W189&gt;$AE$34,1,0)</f>
        <v/>
      </c>
      <c r="AB189">
        <f>IF(AA189=C189,1,0)</f>
        <v/>
      </c>
    </row>
    <row r="190">
      <c r="A190">
        <f>'1 datos preparados'!A183</f>
        <v/>
      </c>
      <c r="B190" s="5">
        <f>'1 datos preparados'!U183</f>
        <v/>
      </c>
      <c r="C190">
        <f>'1 datos preparados'!B183</f>
        <v/>
      </c>
      <c r="D190" s="7">
        <f>'1 datos preparados'!C183</f>
        <v/>
      </c>
      <c r="E190" s="7">
        <f>'1 datos preparados'!D183</f>
        <v/>
      </c>
      <c r="F190" s="7">
        <f>'1 datos preparados'!E183</f>
        <v/>
      </c>
      <c r="G190" s="7">
        <f>'1 datos preparados'!F183</f>
        <v/>
      </c>
      <c r="H190" s="7">
        <f>'1 datos preparados'!G183</f>
        <v/>
      </c>
      <c r="I190" s="7">
        <f>'1 datos preparados'!H183</f>
        <v/>
      </c>
      <c r="J190" s="7">
        <f>'1 datos preparados'!I183</f>
        <v/>
      </c>
      <c r="K190" s="7">
        <f>'1 datos preparados'!J183</f>
        <v/>
      </c>
      <c r="L190" s="7">
        <f>'1 datos preparados'!K183</f>
        <v/>
      </c>
      <c r="M190" s="7">
        <f>'1 datos preparados'!L183</f>
        <v/>
      </c>
      <c r="N190" s="7">
        <f>'1 datos preparados'!M183</f>
        <v/>
      </c>
      <c r="O190" s="7">
        <f>'1 datos preparados'!N183</f>
        <v/>
      </c>
      <c r="P190" s="7">
        <f>'1 datos preparados'!O183</f>
        <v/>
      </c>
      <c r="Q190" s="7">
        <f>'1 datos preparados'!P183</f>
        <v/>
      </c>
      <c r="R190" s="7">
        <f>'1 datos preparados'!Q183</f>
        <v/>
      </c>
      <c r="S190" s="7">
        <f>'1 datos preparados'!R183</f>
        <v/>
      </c>
      <c r="T190" s="7">
        <f>'1 datos preparados'!S183</f>
        <v/>
      </c>
      <c r="U190" s="7">
        <f>'1 datos preparados'!T183</f>
        <v/>
      </c>
      <c r="V190" s="8">
        <f>$AE$12+D190*$AE$13+E190*$AE$14+F190*$AE$15+G190*$AE$16+H190*$AE$17+I190*$AE$18+J190*$AE$19+K190*$AE$20+L190*$AE$21+M190*$AE$22+N190*$AE$23+O190*$AE$24+P190*$AE$25+Q190*$AE$26+R190*$AE$27+S190*$AE$28+T190*$AE$29+U190*$AE$30</f>
        <v/>
      </c>
      <c r="W190" s="8">
        <f>1/(1+EXP(-V190))</f>
        <v/>
      </c>
      <c r="X190" s="9">
        <f>-IF(C190=1,LN(W190),LN(1-W190))</f>
        <v/>
      </c>
      <c r="Y190" s="8">
        <f>IF(C190=1,$AE$32,$AE$33)</f>
        <v/>
      </c>
      <c r="Z190" s="9">
        <f>Y190*X190</f>
        <v/>
      </c>
      <c r="AA190" s="10">
        <f>IF(W190&gt;$AE$34,1,0)</f>
        <v/>
      </c>
      <c r="AB190">
        <f>IF(AA190=C190,1,0)</f>
        <v/>
      </c>
    </row>
    <row r="191">
      <c r="A191">
        <f>'1 datos preparados'!A184</f>
        <v/>
      </c>
      <c r="B191" s="5">
        <f>'1 datos preparados'!U184</f>
        <v/>
      </c>
      <c r="C191">
        <f>'1 datos preparados'!B184</f>
        <v/>
      </c>
      <c r="D191" s="7">
        <f>'1 datos preparados'!C184</f>
        <v/>
      </c>
      <c r="E191" s="7">
        <f>'1 datos preparados'!D184</f>
        <v/>
      </c>
      <c r="F191" s="7">
        <f>'1 datos preparados'!E184</f>
        <v/>
      </c>
      <c r="G191" s="7">
        <f>'1 datos preparados'!F184</f>
        <v/>
      </c>
      <c r="H191" s="7">
        <f>'1 datos preparados'!G184</f>
        <v/>
      </c>
      <c r="I191" s="7">
        <f>'1 datos preparados'!H184</f>
        <v/>
      </c>
      <c r="J191" s="7">
        <f>'1 datos preparados'!I184</f>
        <v/>
      </c>
      <c r="K191" s="7">
        <f>'1 datos preparados'!J184</f>
        <v/>
      </c>
      <c r="L191" s="7">
        <f>'1 datos preparados'!K184</f>
        <v/>
      </c>
      <c r="M191" s="7">
        <f>'1 datos preparados'!L184</f>
        <v/>
      </c>
      <c r="N191" s="7">
        <f>'1 datos preparados'!M184</f>
        <v/>
      </c>
      <c r="O191" s="7">
        <f>'1 datos preparados'!N184</f>
        <v/>
      </c>
      <c r="P191" s="7">
        <f>'1 datos preparados'!O184</f>
        <v/>
      </c>
      <c r="Q191" s="7">
        <f>'1 datos preparados'!P184</f>
        <v/>
      </c>
      <c r="R191" s="7">
        <f>'1 datos preparados'!Q184</f>
        <v/>
      </c>
      <c r="S191" s="7">
        <f>'1 datos preparados'!R184</f>
        <v/>
      </c>
      <c r="T191" s="7">
        <f>'1 datos preparados'!S184</f>
        <v/>
      </c>
      <c r="U191" s="7">
        <f>'1 datos preparados'!T184</f>
        <v/>
      </c>
      <c r="V191" s="8">
        <f>$AE$12+D191*$AE$13+E191*$AE$14+F191*$AE$15+G191*$AE$16+H191*$AE$17+I191*$AE$18+J191*$AE$19+K191*$AE$20+L191*$AE$21+M191*$AE$22+N191*$AE$23+O191*$AE$24+P191*$AE$25+Q191*$AE$26+R191*$AE$27+S191*$AE$28+T191*$AE$29+U191*$AE$30</f>
        <v/>
      </c>
      <c r="W191" s="8">
        <f>1/(1+EXP(-V191))</f>
        <v/>
      </c>
      <c r="X191" s="9">
        <f>-IF(C191=1,LN(W191),LN(1-W191))</f>
        <v/>
      </c>
      <c r="Y191" s="8">
        <f>IF(C191=1,$AE$32,$AE$33)</f>
        <v/>
      </c>
      <c r="Z191" s="9">
        <f>Y191*X191</f>
        <v/>
      </c>
      <c r="AA191" s="10">
        <f>IF(W191&gt;$AE$34,1,0)</f>
        <v/>
      </c>
      <c r="AB191">
        <f>IF(AA191=C191,1,0)</f>
        <v/>
      </c>
    </row>
    <row r="192">
      <c r="A192">
        <f>'1 datos preparados'!A185</f>
        <v/>
      </c>
      <c r="B192" s="5">
        <f>'1 datos preparados'!U185</f>
        <v/>
      </c>
      <c r="C192">
        <f>'1 datos preparados'!B185</f>
        <v/>
      </c>
      <c r="D192" s="7">
        <f>'1 datos preparados'!C185</f>
        <v/>
      </c>
      <c r="E192" s="7">
        <f>'1 datos preparados'!D185</f>
        <v/>
      </c>
      <c r="F192" s="7">
        <f>'1 datos preparados'!E185</f>
        <v/>
      </c>
      <c r="G192" s="7">
        <f>'1 datos preparados'!F185</f>
        <v/>
      </c>
      <c r="H192" s="7">
        <f>'1 datos preparados'!G185</f>
        <v/>
      </c>
      <c r="I192" s="7">
        <f>'1 datos preparados'!H185</f>
        <v/>
      </c>
      <c r="J192" s="7">
        <f>'1 datos preparados'!I185</f>
        <v/>
      </c>
      <c r="K192" s="7">
        <f>'1 datos preparados'!J185</f>
        <v/>
      </c>
      <c r="L192" s="7">
        <f>'1 datos preparados'!K185</f>
        <v/>
      </c>
      <c r="M192" s="7">
        <f>'1 datos preparados'!L185</f>
        <v/>
      </c>
      <c r="N192" s="7">
        <f>'1 datos preparados'!M185</f>
        <v/>
      </c>
      <c r="O192" s="7">
        <f>'1 datos preparados'!N185</f>
        <v/>
      </c>
      <c r="P192" s="7">
        <f>'1 datos preparados'!O185</f>
        <v/>
      </c>
      <c r="Q192" s="7">
        <f>'1 datos preparados'!P185</f>
        <v/>
      </c>
      <c r="R192" s="7">
        <f>'1 datos preparados'!Q185</f>
        <v/>
      </c>
      <c r="S192" s="7">
        <f>'1 datos preparados'!R185</f>
        <v/>
      </c>
      <c r="T192" s="7">
        <f>'1 datos preparados'!S185</f>
        <v/>
      </c>
      <c r="U192" s="7">
        <f>'1 datos preparados'!T185</f>
        <v/>
      </c>
      <c r="V192" s="8">
        <f>$AE$12+D192*$AE$13+E192*$AE$14+F192*$AE$15+G192*$AE$16+H192*$AE$17+I192*$AE$18+J192*$AE$19+K192*$AE$20+L192*$AE$21+M192*$AE$22+N192*$AE$23+O192*$AE$24+P192*$AE$25+Q192*$AE$26+R192*$AE$27+S192*$AE$28+T192*$AE$29+U192*$AE$30</f>
        <v/>
      </c>
      <c r="W192" s="8">
        <f>1/(1+EXP(-V192))</f>
        <v/>
      </c>
      <c r="X192" s="9">
        <f>-IF(C192=1,LN(W192),LN(1-W192))</f>
        <v/>
      </c>
      <c r="Y192" s="8">
        <f>IF(C192=1,$AE$32,$AE$33)</f>
        <v/>
      </c>
      <c r="Z192" s="9">
        <f>Y192*X192</f>
        <v/>
      </c>
      <c r="AA192" s="10">
        <f>IF(W192&gt;$AE$34,1,0)</f>
        <v/>
      </c>
      <c r="AB192">
        <f>IF(AA192=C192,1,0)</f>
        <v/>
      </c>
    </row>
    <row r="193">
      <c r="A193">
        <f>'1 datos preparados'!A186</f>
        <v/>
      </c>
      <c r="B193" s="5">
        <f>'1 datos preparados'!U186</f>
        <v/>
      </c>
      <c r="C193">
        <f>'1 datos preparados'!B186</f>
        <v/>
      </c>
      <c r="D193" s="7">
        <f>'1 datos preparados'!C186</f>
        <v/>
      </c>
      <c r="E193" s="7">
        <f>'1 datos preparados'!D186</f>
        <v/>
      </c>
      <c r="F193" s="7">
        <f>'1 datos preparados'!E186</f>
        <v/>
      </c>
      <c r="G193" s="7">
        <f>'1 datos preparados'!F186</f>
        <v/>
      </c>
      <c r="H193" s="7">
        <f>'1 datos preparados'!G186</f>
        <v/>
      </c>
      <c r="I193" s="7">
        <f>'1 datos preparados'!H186</f>
        <v/>
      </c>
      <c r="J193" s="7">
        <f>'1 datos preparados'!I186</f>
        <v/>
      </c>
      <c r="K193" s="7">
        <f>'1 datos preparados'!J186</f>
        <v/>
      </c>
      <c r="L193" s="7">
        <f>'1 datos preparados'!K186</f>
        <v/>
      </c>
      <c r="M193" s="7">
        <f>'1 datos preparados'!L186</f>
        <v/>
      </c>
      <c r="N193" s="7">
        <f>'1 datos preparados'!M186</f>
        <v/>
      </c>
      <c r="O193" s="7">
        <f>'1 datos preparados'!N186</f>
        <v/>
      </c>
      <c r="P193" s="7">
        <f>'1 datos preparados'!O186</f>
        <v/>
      </c>
      <c r="Q193" s="7">
        <f>'1 datos preparados'!P186</f>
        <v/>
      </c>
      <c r="R193" s="7">
        <f>'1 datos preparados'!Q186</f>
        <v/>
      </c>
      <c r="S193" s="7">
        <f>'1 datos preparados'!R186</f>
        <v/>
      </c>
      <c r="T193" s="7">
        <f>'1 datos preparados'!S186</f>
        <v/>
      </c>
      <c r="U193" s="7">
        <f>'1 datos preparados'!T186</f>
        <v/>
      </c>
      <c r="V193" s="8">
        <f>$AE$12+D193*$AE$13+E193*$AE$14+F193*$AE$15+G193*$AE$16+H193*$AE$17+I193*$AE$18+J193*$AE$19+K193*$AE$20+L193*$AE$21+M193*$AE$22+N193*$AE$23+O193*$AE$24+P193*$AE$25+Q193*$AE$26+R193*$AE$27+S193*$AE$28+T193*$AE$29+U193*$AE$30</f>
        <v/>
      </c>
      <c r="W193" s="8">
        <f>1/(1+EXP(-V193))</f>
        <v/>
      </c>
      <c r="X193" s="9">
        <f>-IF(C193=1,LN(W193),LN(1-W193))</f>
        <v/>
      </c>
      <c r="Y193" s="8">
        <f>IF(C193=1,$AE$32,$AE$33)</f>
        <v/>
      </c>
      <c r="Z193" s="9">
        <f>Y193*X193</f>
        <v/>
      </c>
      <c r="AA193" s="10">
        <f>IF(W193&gt;$AE$34,1,0)</f>
        <v/>
      </c>
      <c r="AB193">
        <f>IF(AA193=C193,1,0)</f>
        <v/>
      </c>
    </row>
    <row r="194">
      <c r="A194">
        <f>'1 datos preparados'!A187</f>
        <v/>
      </c>
      <c r="B194" s="5">
        <f>'1 datos preparados'!U187</f>
        <v/>
      </c>
      <c r="C194">
        <f>'1 datos preparados'!B187</f>
        <v/>
      </c>
      <c r="D194" s="7">
        <f>'1 datos preparados'!C187</f>
        <v/>
      </c>
      <c r="E194" s="7">
        <f>'1 datos preparados'!D187</f>
        <v/>
      </c>
      <c r="F194" s="7">
        <f>'1 datos preparados'!E187</f>
        <v/>
      </c>
      <c r="G194" s="7">
        <f>'1 datos preparados'!F187</f>
        <v/>
      </c>
      <c r="H194" s="7">
        <f>'1 datos preparados'!G187</f>
        <v/>
      </c>
      <c r="I194" s="7">
        <f>'1 datos preparados'!H187</f>
        <v/>
      </c>
      <c r="J194" s="7">
        <f>'1 datos preparados'!I187</f>
        <v/>
      </c>
      <c r="K194" s="7">
        <f>'1 datos preparados'!J187</f>
        <v/>
      </c>
      <c r="L194" s="7">
        <f>'1 datos preparados'!K187</f>
        <v/>
      </c>
      <c r="M194" s="7">
        <f>'1 datos preparados'!L187</f>
        <v/>
      </c>
      <c r="N194" s="7">
        <f>'1 datos preparados'!M187</f>
        <v/>
      </c>
      <c r="O194" s="7">
        <f>'1 datos preparados'!N187</f>
        <v/>
      </c>
      <c r="P194" s="7">
        <f>'1 datos preparados'!O187</f>
        <v/>
      </c>
      <c r="Q194" s="7">
        <f>'1 datos preparados'!P187</f>
        <v/>
      </c>
      <c r="R194" s="7">
        <f>'1 datos preparados'!Q187</f>
        <v/>
      </c>
      <c r="S194" s="7">
        <f>'1 datos preparados'!R187</f>
        <v/>
      </c>
      <c r="T194" s="7">
        <f>'1 datos preparados'!S187</f>
        <v/>
      </c>
      <c r="U194" s="7">
        <f>'1 datos preparados'!T187</f>
        <v/>
      </c>
      <c r="V194" s="8">
        <f>$AE$12+D194*$AE$13+E194*$AE$14+F194*$AE$15+G194*$AE$16+H194*$AE$17+I194*$AE$18+J194*$AE$19+K194*$AE$20+L194*$AE$21+M194*$AE$22+N194*$AE$23+O194*$AE$24+P194*$AE$25+Q194*$AE$26+R194*$AE$27+S194*$AE$28+T194*$AE$29+U194*$AE$30</f>
        <v/>
      </c>
      <c r="W194" s="8">
        <f>1/(1+EXP(-V194))</f>
        <v/>
      </c>
      <c r="X194" s="9">
        <f>-IF(C194=1,LN(W194),LN(1-W194))</f>
        <v/>
      </c>
      <c r="Y194" s="8">
        <f>IF(C194=1,$AE$32,$AE$33)</f>
        <v/>
      </c>
      <c r="Z194" s="9">
        <f>Y194*X194</f>
        <v/>
      </c>
      <c r="AA194" s="10">
        <f>IF(W194&gt;$AE$34,1,0)</f>
        <v/>
      </c>
      <c r="AB194">
        <f>IF(AA194=C194,1,0)</f>
        <v/>
      </c>
    </row>
    <row r="195">
      <c r="A195">
        <f>'1 datos preparados'!A188</f>
        <v/>
      </c>
      <c r="B195" s="5">
        <f>'1 datos preparados'!U188</f>
        <v/>
      </c>
      <c r="C195">
        <f>'1 datos preparados'!B188</f>
        <v/>
      </c>
      <c r="D195" s="7">
        <f>'1 datos preparados'!C188</f>
        <v/>
      </c>
      <c r="E195" s="7">
        <f>'1 datos preparados'!D188</f>
        <v/>
      </c>
      <c r="F195" s="7">
        <f>'1 datos preparados'!E188</f>
        <v/>
      </c>
      <c r="G195" s="7">
        <f>'1 datos preparados'!F188</f>
        <v/>
      </c>
      <c r="H195" s="7">
        <f>'1 datos preparados'!G188</f>
        <v/>
      </c>
      <c r="I195" s="7">
        <f>'1 datos preparados'!H188</f>
        <v/>
      </c>
      <c r="J195" s="7">
        <f>'1 datos preparados'!I188</f>
        <v/>
      </c>
      <c r="K195" s="7">
        <f>'1 datos preparados'!J188</f>
        <v/>
      </c>
      <c r="L195" s="7">
        <f>'1 datos preparados'!K188</f>
        <v/>
      </c>
      <c r="M195" s="7">
        <f>'1 datos preparados'!L188</f>
        <v/>
      </c>
      <c r="N195" s="7">
        <f>'1 datos preparados'!M188</f>
        <v/>
      </c>
      <c r="O195" s="7">
        <f>'1 datos preparados'!N188</f>
        <v/>
      </c>
      <c r="P195" s="7">
        <f>'1 datos preparados'!O188</f>
        <v/>
      </c>
      <c r="Q195" s="7">
        <f>'1 datos preparados'!P188</f>
        <v/>
      </c>
      <c r="R195" s="7">
        <f>'1 datos preparados'!Q188</f>
        <v/>
      </c>
      <c r="S195" s="7">
        <f>'1 datos preparados'!R188</f>
        <v/>
      </c>
      <c r="T195" s="7">
        <f>'1 datos preparados'!S188</f>
        <v/>
      </c>
      <c r="U195" s="7">
        <f>'1 datos preparados'!T188</f>
        <v/>
      </c>
      <c r="V195" s="8">
        <f>$AE$12+D195*$AE$13+E195*$AE$14+F195*$AE$15+G195*$AE$16+H195*$AE$17+I195*$AE$18+J195*$AE$19+K195*$AE$20+L195*$AE$21+M195*$AE$22+N195*$AE$23+O195*$AE$24+P195*$AE$25+Q195*$AE$26+R195*$AE$27+S195*$AE$28+T195*$AE$29+U195*$AE$30</f>
        <v/>
      </c>
      <c r="W195" s="8">
        <f>1/(1+EXP(-V195))</f>
        <v/>
      </c>
      <c r="X195" s="9">
        <f>-IF(C195=1,LN(W195),LN(1-W195))</f>
        <v/>
      </c>
      <c r="Y195" s="8">
        <f>IF(C195=1,$AE$32,$AE$33)</f>
        <v/>
      </c>
      <c r="Z195" s="9">
        <f>Y195*X195</f>
        <v/>
      </c>
      <c r="AA195" s="10">
        <f>IF(W195&gt;$AE$34,1,0)</f>
        <v/>
      </c>
      <c r="AB195">
        <f>IF(AA195=C195,1,0)</f>
        <v/>
      </c>
    </row>
    <row r="196">
      <c r="A196">
        <f>'1 datos preparados'!A189</f>
        <v/>
      </c>
      <c r="B196" s="5">
        <f>'1 datos preparados'!U189</f>
        <v/>
      </c>
      <c r="C196">
        <f>'1 datos preparados'!B189</f>
        <v/>
      </c>
      <c r="D196" s="7">
        <f>'1 datos preparados'!C189</f>
        <v/>
      </c>
      <c r="E196" s="7">
        <f>'1 datos preparados'!D189</f>
        <v/>
      </c>
      <c r="F196" s="7">
        <f>'1 datos preparados'!E189</f>
        <v/>
      </c>
      <c r="G196" s="7">
        <f>'1 datos preparados'!F189</f>
        <v/>
      </c>
      <c r="H196" s="7">
        <f>'1 datos preparados'!G189</f>
        <v/>
      </c>
      <c r="I196" s="7">
        <f>'1 datos preparados'!H189</f>
        <v/>
      </c>
      <c r="J196" s="7">
        <f>'1 datos preparados'!I189</f>
        <v/>
      </c>
      <c r="K196" s="7">
        <f>'1 datos preparados'!J189</f>
        <v/>
      </c>
      <c r="L196" s="7">
        <f>'1 datos preparados'!K189</f>
        <v/>
      </c>
      <c r="M196" s="7">
        <f>'1 datos preparados'!L189</f>
        <v/>
      </c>
      <c r="N196" s="7">
        <f>'1 datos preparados'!M189</f>
        <v/>
      </c>
      <c r="O196" s="7">
        <f>'1 datos preparados'!N189</f>
        <v/>
      </c>
      <c r="P196" s="7">
        <f>'1 datos preparados'!O189</f>
        <v/>
      </c>
      <c r="Q196" s="7">
        <f>'1 datos preparados'!P189</f>
        <v/>
      </c>
      <c r="R196" s="7">
        <f>'1 datos preparados'!Q189</f>
        <v/>
      </c>
      <c r="S196" s="7">
        <f>'1 datos preparados'!R189</f>
        <v/>
      </c>
      <c r="T196" s="7">
        <f>'1 datos preparados'!S189</f>
        <v/>
      </c>
      <c r="U196" s="7">
        <f>'1 datos preparados'!T189</f>
        <v/>
      </c>
      <c r="V196" s="8">
        <f>$AE$12+D196*$AE$13+E196*$AE$14+F196*$AE$15+G196*$AE$16+H196*$AE$17+I196*$AE$18+J196*$AE$19+K196*$AE$20+L196*$AE$21+M196*$AE$22+N196*$AE$23+O196*$AE$24+P196*$AE$25+Q196*$AE$26+R196*$AE$27+S196*$AE$28+T196*$AE$29+U196*$AE$30</f>
        <v/>
      </c>
      <c r="W196" s="8">
        <f>1/(1+EXP(-V196))</f>
        <v/>
      </c>
      <c r="X196" s="9">
        <f>-IF(C196=1,LN(W196),LN(1-W196))</f>
        <v/>
      </c>
      <c r="Y196" s="8">
        <f>IF(C196=1,$AE$32,$AE$33)</f>
        <v/>
      </c>
      <c r="Z196" s="9">
        <f>Y196*X196</f>
        <v/>
      </c>
      <c r="AA196" s="10">
        <f>IF(W196&gt;$AE$34,1,0)</f>
        <v/>
      </c>
      <c r="AB196">
        <f>IF(AA196=C196,1,0)</f>
        <v/>
      </c>
    </row>
    <row r="197">
      <c r="A197">
        <f>'1 datos preparados'!A190</f>
        <v/>
      </c>
      <c r="B197" s="5">
        <f>'1 datos preparados'!U190</f>
        <v/>
      </c>
      <c r="C197">
        <f>'1 datos preparados'!B190</f>
        <v/>
      </c>
      <c r="D197" s="7">
        <f>'1 datos preparados'!C190</f>
        <v/>
      </c>
      <c r="E197" s="7">
        <f>'1 datos preparados'!D190</f>
        <v/>
      </c>
      <c r="F197" s="7">
        <f>'1 datos preparados'!E190</f>
        <v/>
      </c>
      <c r="G197" s="7">
        <f>'1 datos preparados'!F190</f>
        <v/>
      </c>
      <c r="H197" s="7">
        <f>'1 datos preparados'!G190</f>
        <v/>
      </c>
      <c r="I197" s="7">
        <f>'1 datos preparados'!H190</f>
        <v/>
      </c>
      <c r="J197" s="7">
        <f>'1 datos preparados'!I190</f>
        <v/>
      </c>
      <c r="K197" s="7">
        <f>'1 datos preparados'!J190</f>
        <v/>
      </c>
      <c r="L197" s="7">
        <f>'1 datos preparados'!K190</f>
        <v/>
      </c>
      <c r="M197" s="7">
        <f>'1 datos preparados'!L190</f>
        <v/>
      </c>
      <c r="N197" s="7">
        <f>'1 datos preparados'!M190</f>
        <v/>
      </c>
      <c r="O197" s="7">
        <f>'1 datos preparados'!N190</f>
        <v/>
      </c>
      <c r="P197" s="7">
        <f>'1 datos preparados'!O190</f>
        <v/>
      </c>
      <c r="Q197" s="7">
        <f>'1 datos preparados'!P190</f>
        <v/>
      </c>
      <c r="R197" s="7">
        <f>'1 datos preparados'!Q190</f>
        <v/>
      </c>
      <c r="S197" s="7">
        <f>'1 datos preparados'!R190</f>
        <v/>
      </c>
      <c r="T197" s="7">
        <f>'1 datos preparados'!S190</f>
        <v/>
      </c>
      <c r="U197" s="7">
        <f>'1 datos preparados'!T190</f>
        <v/>
      </c>
      <c r="V197" s="8">
        <f>$AE$12+D197*$AE$13+E197*$AE$14+F197*$AE$15+G197*$AE$16+H197*$AE$17+I197*$AE$18+J197*$AE$19+K197*$AE$20+L197*$AE$21+M197*$AE$22+N197*$AE$23+O197*$AE$24+P197*$AE$25+Q197*$AE$26+R197*$AE$27+S197*$AE$28+T197*$AE$29+U197*$AE$30</f>
        <v/>
      </c>
      <c r="W197" s="8">
        <f>1/(1+EXP(-V197))</f>
        <v/>
      </c>
      <c r="X197" s="9">
        <f>-IF(C197=1,LN(W197),LN(1-W197))</f>
        <v/>
      </c>
      <c r="Y197" s="8">
        <f>IF(C197=1,$AE$32,$AE$33)</f>
        <v/>
      </c>
      <c r="Z197" s="9">
        <f>Y197*X197</f>
        <v/>
      </c>
      <c r="AA197" s="10">
        <f>IF(W197&gt;$AE$34,1,0)</f>
        <v/>
      </c>
      <c r="AB197">
        <f>IF(AA197=C197,1,0)</f>
        <v/>
      </c>
    </row>
    <row r="198">
      <c r="A198">
        <f>'1 datos preparados'!A191</f>
        <v/>
      </c>
      <c r="B198" s="5">
        <f>'1 datos preparados'!U191</f>
        <v/>
      </c>
      <c r="C198">
        <f>'1 datos preparados'!B191</f>
        <v/>
      </c>
      <c r="D198" s="7">
        <f>'1 datos preparados'!C191</f>
        <v/>
      </c>
      <c r="E198" s="7">
        <f>'1 datos preparados'!D191</f>
        <v/>
      </c>
      <c r="F198" s="7">
        <f>'1 datos preparados'!E191</f>
        <v/>
      </c>
      <c r="G198" s="7">
        <f>'1 datos preparados'!F191</f>
        <v/>
      </c>
      <c r="H198" s="7">
        <f>'1 datos preparados'!G191</f>
        <v/>
      </c>
      <c r="I198" s="7">
        <f>'1 datos preparados'!H191</f>
        <v/>
      </c>
      <c r="J198" s="7">
        <f>'1 datos preparados'!I191</f>
        <v/>
      </c>
      <c r="K198" s="7">
        <f>'1 datos preparados'!J191</f>
        <v/>
      </c>
      <c r="L198" s="7">
        <f>'1 datos preparados'!K191</f>
        <v/>
      </c>
      <c r="M198" s="7">
        <f>'1 datos preparados'!L191</f>
        <v/>
      </c>
      <c r="N198" s="7">
        <f>'1 datos preparados'!M191</f>
        <v/>
      </c>
      <c r="O198" s="7">
        <f>'1 datos preparados'!N191</f>
        <v/>
      </c>
      <c r="P198" s="7">
        <f>'1 datos preparados'!O191</f>
        <v/>
      </c>
      <c r="Q198" s="7">
        <f>'1 datos preparados'!P191</f>
        <v/>
      </c>
      <c r="R198" s="7">
        <f>'1 datos preparados'!Q191</f>
        <v/>
      </c>
      <c r="S198" s="7">
        <f>'1 datos preparados'!R191</f>
        <v/>
      </c>
      <c r="T198" s="7">
        <f>'1 datos preparados'!S191</f>
        <v/>
      </c>
      <c r="U198" s="7">
        <f>'1 datos preparados'!T191</f>
        <v/>
      </c>
      <c r="V198" s="8">
        <f>$AE$12+D198*$AE$13+E198*$AE$14+F198*$AE$15+G198*$AE$16+H198*$AE$17+I198*$AE$18+J198*$AE$19+K198*$AE$20+L198*$AE$21+M198*$AE$22+N198*$AE$23+O198*$AE$24+P198*$AE$25+Q198*$AE$26+R198*$AE$27+S198*$AE$28+T198*$AE$29+U198*$AE$30</f>
        <v/>
      </c>
      <c r="W198" s="8">
        <f>1/(1+EXP(-V198))</f>
        <v/>
      </c>
      <c r="X198" s="9">
        <f>-IF(C198=1,LN(W198),LN(1-W198))</f>
        <v/>
      </c>
      <c r="Y198" s="8">
        <f>IF(C198=1,$AE$32,$AE$33)</f>
        <v/>
      </c>
      <c r="Z198" s="9">
        <f>Y198*X198</f>
        <v/>
      </c>
      <c r="AA198" s="10">
        <f>IF(W198&gt;$AE$34,1,0)</f>
        <v/>
      </c>
      <c r="AB198">
        <f>IF(AA198=C198,1,0)</f>
        <v/>
      </c>
    </row>
    <row r="199">
      <c r="A199">
        <f>'1 datos preparados'!A192</f>
        <v/>
      </c>
      <c r="B199" s="5">
        <f>'1 datos preparados'!U192</f>
        <v/>
      </c>
      <c r="C199">
        <f>'1 datos preparados'!B192</f>
        <v/>
      </c>
      <c r="D199" s="7">
        <f>'1 datos preparados'!C192</f>
        <v/>
      </c>
      <c r="E199" s="7">
        <f>'1 datos preparados'!D192</f>
        <v/>
      </c>
      <c r="F199" s="7">
        <f>'1 datos preparados'!E192</f>
        <v/>
      </c>
      <c r="G199" s="7">
        <f>'1 datos preparados'!F192</f>
        <v/>
      </c>
      <c r="H199" s="7">
        <f>'1 datos preparados'!G192</f>
        <v/>
      </c>
      <c r="I199" s="7">
        <f>'1 datos preparados'!H192</f>
        <v/>
      </c>
      <c r="J199" s="7">
        <f>'1 datos preparados'!I192</f>
        <v/>
      </c>
      <c r="K199" s="7">
        <f>'1 datos preparados'!J192</f>
        <v/>
      </c>
      <c r="L199" s="7">
        <f>'1 datos preparados'!K192</f>
        <v/>
      </c>
      <c r="M199" s="7">
        <f>'1 datos preparados'!L192</f>
        <v/>
      </c>
      <c r="N199" s="7">
        <f>'1 datos preparados'!M192</f>
        <v/>
      </c>
      <c r="O199" s="7">
        <f>'1 datos preparados'!N192</f>
        <v/>
      </c>
      <c r="P199" s="7">
        <f>'1 datos preparados'!O192</f>
        <v/>
      </c>
      <c r="Q199" s="7">
        <f>'1 datos preparados'!P192</f>
        <v/>
      </c>
      <c r="R199" s="7">
        <f>'1 datos preparados'!Q192</f>
        <v/>
      </c>
      <c r="S199" s="7">
        <f>'1 datos preparados'!R192</f>
        <v/>
      </c>
      <c r="T199" s="7">
        <f>'1 datos preparados'!S192</f>
        <v/>
      </c>
      <c r="U199" s="7">
        <f>'1 datos preparados'!T192</f>
        <v/>
      </c>
      <c r="V199" s="8">
        <f>$AE$12+D199*$AE$13+E199*$AE$14+F199*$AE$15+G199*$AE$16+H199*$AE$17+I199*$AE$18+J199*$AE$19+K199*$AE$20+L199*$AE$21+M199*$AE$22+N199*$AE$23+O199*$AE$24+P199*$AE$25+Q199*$AE$26+R199*$AE$27+S199*$AE$28+T199*$AE$29+U199*$AE$30</f>
        <v/>
      </c>
      <c r="W199" s="8">
        <f>1/(1+EXP(-V199))</f>
        <v/>
      </c>
      <c r="X199" s="9">
        <f>-IF(C199=1,LN(W199),LN(1-W199))</f>
        <v/>
      </c>
      <c r="Y199" s="8">
        <f>IF(C199=1,$AE$32,$AE$33)</f>
        <v/>
      </c>
      <c r="Z199" s="9">
        <f>Y199*X199</f>
        <v/>
      </c>
      <c r="AA199" s="10">
        <f>IF(W199&gt;$AE$34,1,0)</f>
        <v/>
      </c>
      <c r="AB199">
        <f>IF(AA199=C199,1,0)</f>
        <v/>
      </c>
    </row>
    <row r="200">
      <c r="A200">
        <f>'1 datos preparados'!A193</f>
        <v/>
      </c>
      <c r="B200" s="5">
        <f>'1 datos preparados'!U193</f>
        <v/>
      </c>
      <c r="C200">
        <f>'1 datos preparados'!B193</f>
        <v/>
      </c>
      <c r="D200" s="7">
        <f>'1 datos preparados'!C193</f>
        <v/>
      </c>
      <c r="E200" s="7">
        <f>'1 datos preparados'!D193</f>
        <v/>
      </c>
      <c r="F200" s="7">
        <f>'1 datos preparados'!E193</f>
        <v/>
      </c>
      <c r="G200" s="7">
        <f>'1 datos preparados'!F193</f>
        <v/>
      </c>
      <c r="H200" s="7">
        <f>'1 datos preparados'!G193</f>
        <v/>
      </c>
      <c r="I200" s="7">
        <f>'1 datos preparados'!H193</f>
        <v/>
      </c>
      <c r="J200" s="7">
        <f>'1 datos preparados'!I193</f>
        <v/>
      </c>
      <c r="K200" s="7">
        <f>'1 datos preparados'!J193</f>
        <v/>
      </c>
      <c r="L200" s="7">
        <f>'1 datos preparados'!K193</f>
        <v/>
      </c>
      <c r="M200" s="7">
        <f>'1 datos preparados'!L193</f>
        <v/>
      </c>
      <c r="N200" s="7">
        <f>'1 datos preparados'!M193</f>
        <v/>
      </c>
      <c r="O200" s="7">
        <f>'1 datos preparados'!N193</f>
        <v/>
      </c>
      <c r="P200" s="7">
        <f>'1 datos preparados'!O193</f>
        <v/>
      </c>
      <c r="Q200" s="7">
        <f>'1 datos preparados'!P193</f>
        <v/>
      </c>
      <c r="R200" s="7">
        <f>'1 datos preparados'!Q193</f>
        <v/>
      </c>
      <c r="S200" s="7">
        <f>'1 datos preparados'!R193</f>
        <v/>
      </c>
      <c r="T200" s="7">
        <f>'1 datos preparados'!S193</f>
        <v/>
      </c>
      <c r="U200" s="7">
        <f>'1 datos preparados'!T193</f>
        <v/>
      </c>
      <c r="V200" s="8">
        <f>$AE$12+D200*$AE$13+E200*$AE$14+F200*$AE$15+G200*$AE$16+H200*$AE$17+I200*$AE$18+J200*$AE$19+K200*$AE$20+L200*$AE$21+M200*$AE$22+N200*$AE$23+O200*$AE$24+P200*$AE$25+Q200*$AE$26+R200*$AE$27+S200*$AE$28+T200*$AE$29+U200*$AE$30</f>
        <v/>
      </c>
      <c r="W200" s="8">
        <f>1/(1+EXP(-V200))</f>
        <v/>
      </c>
      <c r="X200" s="9">
        <f>-IF(C200=1,LN(W200),LN(1-W200))</f>
        <v/>
      </c>
      <c r="Y200" s="8">
        <f>IF(C200=1,$AE$32,$AE$33)</f>
        <v/>
      </c>
      <c r="Z200" s="9">
        <f>Y200*X200</f>
        <v/>
      </c>
      <c r="AA200" s="10">
        <f>IF(W200&gt;$AE$34,1,0)</f>
        <v/>
      </c>
      <c r="AB200">
        <f>IF(AA200=C200,1,0)</f>
        <v/>
      </c>
    </row>
    <row r="201">
      <c r="A201">
        <f>'1 datos preparados'!A194</f>
        <v/>
      </c>
      <c r="B201" s="5">
        <f>'1 datos preparados'!U194</f>
        <v/>
      </c>
      <c r="C201">
        <f>'1 datos preparados'!B194</f>
        <v/>
      </c>
      <c r="D201" s="7">
        <f>'1 datos preparados'!C194</f>
        <v/>
      </c>
      <c r="E201" s="7">
        <f>'1 datos preparados'!D194</f>
        <v/>
      </c>
      <c r="F201" s="7">
        <f>'1 datos preparados'!E194</f>
        <v/>
      </c>
      <c r="G201" s="7">
        <f>'1 datos preparados'!F194</f>
        <v/>
      </c>
      <c r="H201" s="7">
        <f>'1 datos preparados'!G194</f>
        <v/>
      </c>
      <c r="I201" s="7">
        <f>'1 datos preparados'!H194</f>
        <v/>
      </c>
      <c r="J201" s="7">
        <f>'1 datos preparados'!I194</f>
        <v/>
      </c>
      <c r="K201" s="7">
        <f>'1 datos preparados'!J194</f>
        <v/>
      </c>
      <c r="L201" s="7">
        <f>'1 datos preparados'!K194</f>
        <v/>
      </c>
      <c r="M201" s="7">
        <f>'1 datos preparados'!L194</f>
        <v/>
      </c>
      <c r="N201" s="7">
        <f>'1 datos preparados'!M194</f>
        <v/>
      </c>
      <c r="O201" s="7">
        <f>'1 datos preparados'!N194</f>
        <v/>
      </c>
      <c r="P201" s="7">
        <f>'1 datos preparados'!O194</f>
        <v/>
      </c>
      <c r="Q201" s="7">
        <f>'1 datos preparados'!P194</f>
        <v/>
      </c>
      <c r="R201" s="7">
        <f>'1 datos preparados'!Q194</f>
        <v/>
      </c>
      <c r="S201" s="7">
        <f>'1 datos preparados'!R194</f>
        <v/>
      </c>
      <c r="T201" s="7">
        <f>'1 datos preparados'!S194</f>
        <v/>
      </c>
      <c r="U201" s="7">
        <f>'1 datos preparados'!T194</f>
        <v/>
      </c>
      <c r="V201" s="8">
        <f>$AE$12+D201*$AE$13+E201*$AE$14+F201*$AE$15+G201*$AE$16+H201*$AE$17+I201*$AE$18+J201*$AE$19+K201*$AE$20+L201*$AE$21+M201*$AE$22+N201*$AE$23+O201*$AE$24+P201*$AE$25+Q201*$AE$26+R201*$AE$27+S201*$AE$28+T201*$AE$29+U201*$AE$30</f>
        <v/>
      </c>
      <c r="W201" s="8">
        <f>1/(1+EXP(-V201))</f>
        <v/>
      </c>
      <c r="X201" s="9">
        <f>-IF(C201=1,LN(W201),LN(1-W201))</f>
        <v/>
      </c>
      <c r="Y201" s="8">
        <f>IF(C201=1,$AE$32,$AE$33)</f>
        <v/>
      </c>
      <c r="Z201" s="9">
        <f>Y201*X201</f>
        <v/>
      </c>
      <c r="AA201" s="10">
        <f>IF(W201&gt;$AE$34,1,0)</f>
        <v/>
      </c>
      <c r="AB201">
        <f>IF(AA201=C201,1,0)</f>
        <v/>
      </c>
    </row>
    <row r="202">
      <c r="A202">
        <f>'1 datos preparados'!A195</f>
        <v/>
      </c>
      <c r="B202" s="5">
        <f>'1 datos preparados'!U195</f>
        <v/>
      </c>
      <c r="C202">
        <f>'1 datos preparados'!B195</f>
        <v/>
      </c>
      <c r="D202" s="7">
        <f>'1 datos preparados'!C195</f>
        <v/>
      </c>
      <c r="E202" s="7">
        <f>'1 datos preparados'!D195</f>
        <v/>
      </c>
      <c r="F202" s="7">
        <f>'1 datos preparados'!E195</f>
        <v/>
      </c>
      <c r="G202" s="7">
        <f>'1 datos preparados'!F195</f>
        <v/>
      </c>
      <c r="H202" s="7">
        <f>'1 datos preparados'!G195</f>
        <v/>
      </c>
      <c r="I202" s="7">
        <f>'1 datos preparados'!H195</f>
        <v/>
      </c>
      <c r="J202" s="7">
        <f>'1 datos preparados'!I195</f>
        <v/>
      </c>
      <c r="K202" s="7">
        <f>'1 datos preparados'!J195</f>
        <v/>
      </c>
      <c r="L202" s="7">
        <f>'1 datos preparados'!K195</f>
        <v/>
      </c>
      <c r="M202" s="7">
        <f>'1 datos preparados'!L195</f>
        <v/>
      </c>
      <c r="N202" s="7">
        <f>'1 datos preparados'!M195</f>
        <v/>
      </c>
      <c r="O202" s="7">
        <f>'1 datos preparados'!N195</f>
        <v/>
      </c>
      <c r="P202" s="7">
        <f>'1 datos preparados'!O195</f>
        <v/>
      </c>
      <c r="Q202" s="7">
        <f>'1 datos preparados'!P195</f>
        <v/>
      </c>
      <c r="R202" s="7">
        <f>'1 datos preparados'!Q195</f>
        <v/>
      </c>
      <c r="S202" s="7">
        <f>'1 datos preparados'!R195</f>
        <v/>
      </c>
      <c r="T202" s="7">
        <f>'1 datos preparados'!S195</f>
        <v/>
      </c>
      <c r="U202" s="7">
        <f>'1 datos preparados'!T195</f>
        <v/>
      </c>
      <c r="V202" s="8">
        <f>$AE$12+D202*$AE$13+E202*$AE$14+F202*$AE$15+G202*$AE$16+H202*$AE$17+I202*$AE$18+J202*$AE$19+K202*$AE$20+L202*$AE$21+M202*$AE$22+N202*$AE$23+O202*$AE$24+P202*$AE$25+Q202*$AE$26+R202*$AE$27+S202*$AE$28+T202*$AE$29+U202*$AE$30</f>
        <v/>
      </c>
      <c r="W202" s="8">
        <f>1/(1+EXP(-V202))</f>
        <v/>
      </c>
      <c r="X202" s="9">
        <f>-IF(C202=1,LN(W202),LN(1-W202))</f>
        <v/>
      </c>
      <c r="Y202" s="8">
        <f>IF(C202=1,$AE$32,$AE$33)</f>
        <v/>
      </c>
      <c r="Z202" s="9">
        <f>Y202*X202</f>
        <v/>
      </c>
      <c r="AA202" s="10">
        <f>IF(W202&gt;$AE$34,1,0)</f>
        <v/>
      </c>
      <c r="AB202">
        <f>IF(AA202=C202,1,0)</f>
        <v/>
      </c>
    </row>
    <row r="203">
      <c r="A203">
        <f>'1 datos preparados'!A196</f>
        <v/>
      </c>
      <c r="B203" s="5">
        <f>'1 datos preparados'!U196</f>
        <v/>
      </c>
      <c r="C203">
        <f>'1 datos preparados'!B196</f>
        <v/>
      </c>
      <c r="D203" s="7">
        <f>'1 datos preparados'!C196</f>
        <v/>
      </c>
      <c r="E203" s="7">
        <f>'1 datos preparados'!D196</f>
        <v/>
      </c>
      <c r="F203" s="7">
        <f>'1 datos preparados'!E196</f>
        <v/>
      </c>
      <c r="G203" s="7">
        <f>'1 datos preparados'!F196</f>
        <v/>
      </c>
      <c r="H203" s="7">
        <f>'1 datos preparados'!G196</f>
        <v/>
      </c>
      <c r="I203" s="7">
        <f>'1 datos preparados'!H196</f>
        <v/>
      </c>
      <c r="J203" s="7">
        <f>'1 datos preparados'!I196</f>
        <v/>
      </c>
      <c r="K203" s="7">
        <f>'1 datos preparados'!J196</f>
        <v/>
      </c>
      <c r="L203" s="7">
        <f>'1 datos preparados'!K196</f>
        <v/>
      </c>
      <c r="M203" s="7">
        <f>'1 datos preparados'!L196</f>
        <v/>
      </c>
      <c r="N203" s="7">
        <f>'1 datos preparados'!M196</f>
        <v/>
      </c>
      <c r="O203" s="7">
        <f>'1 datos preparados'!N196</f>
        <v/>
      </c>
      <c r="P203" s="7">
        <f>'1 datos preparados'!O196</f>
        <v/>
      </c>
      <c r="Q203" s="7">
        <f>'1 datos preparados'!P196</f>
        <v/>
      </c>
      <c r="R203" s="7">
        <f>'1 datos preparados'!Q196</f>
        <v/>
      </c>
      <c r="S203" s="7">
        <f>'1 datos preparados'!R196</f>
        <v/>
      </c>
      <c r="T203" s="7">
        <f>'1 datos preparados'!S196</f>
        <v/>
      </c>
      <c r="U203" s="7">
        <f>'1 datos preparados'!T196</f>
        <v/>
      </c>
      <c r="V203" s="8">
        <f>$AE$12+D203*$AE$13+E203*$AE$14+F203*$AE$15+G203*$AE$16+H203*$AE$17+I203*$AE$18+J203*$AE$19+K203*$AE$20+L203*$AE$21+M203*$AE$22+N203*$AE$23+O203*$AE$24+P203*$AE$25+Q203*$AE$26+R203*$AE$27+S203*$AE$28+T203*$AE$29+U203*$AE$30</f>
        <v/>
      </c>
      <c r="W203" s="8">
        <f>1/(1+EXP(-V203))</f>
        <v/>
      </c>
      <c r="X203" s="9">
        <f>-IF(C203=1,LN(W203),LN(1-W203))</f>
        <v/>
      </c>
      <c r="Y203" s="8">
        <f>IF(C203=1,$AE$32,$AE$33)</f>
        <v/>
      </c>
      <c r="Z203" s="9">
        <f>Y203*X203</f>
        <v/>
      </c>
      <c r="AA203" s="10">
        <f>IF(W203&gt;$AE$34,1,0)</f>
        <v/>
      </c>
      <c r="AB203">
        <f>IF(AA203=C203,1,0)</f>
        <v/>
      </c>
    </row>
    <row r="204">
      <c r="A204">
        <f>'1 datos preparados'!A197</f>
        <v/>
      </c>
      <c r="B204" s="5">
        <f>'1 datos preparados'!U197</f>
        <v/>
      </c>
      <c r="C204">
        <f>'1 datos preparados'!B197</f>
        <v/>
      </c>
      <c r="D204" s="7">
        <f>'1 datos preparados'!C197</f>
        <v/>
      </c>
      <c r="E204" s="7">
        <f>'1 datos preparados'!D197</f>
        <v/>
      </c>
      <c r="F204" s="7">
        <f>'1 datos preparados'!E197</f>
        <v/>
      </c>
      <c r="G204" s="7">
        <f>'1 datos preparados'!F197</f>
        <v/>
      </c>
      <c r="H204" s="7">
        <f>'1 datos preparados'!G197</f>
        <v/>
      </c>
      <c r="I204" s="7">
        <f>'1 datos preparados'!H197</f>
        <v/>
      </c>
      <c r="J204" s="7">
        <f>'1 datos preparados'!I197</f>
        <v/>
      </c>
      <c r="K204" s="7">
        <f>'1 datos preparados'!J197</f>
        <v/>
      </c>
      <c r="L204" s="7">
        <f>'1 datos preparados'!K197</f>
        <v/>
      </c>
      <c r="M204" s="7">
        <f>'1 datos preparados'!L197</f>
        <v/>
      </c>
      <c r="N204" s="7">
        <f>'1 datos preparados'!M197</f>
        <v/>
      </c>
      <c r="O204" s="7">
        <f>'1 datos preparados'!N197</f>
        <v/>
      </c>
      <c r="P204" s="7">
        <f>'1 datos preparados'!O197</f>
        <v/>
      </c>
      <c r="Q204" s="7">
        <f>'1 datos preparados'!P197</f>
        <v/>
      </c>
      <c r="R204" s="7">
        <f>'1 datos preparados'!Q197</f>
        <v/>
      </c>
      <c r="S204" s="7">
        <f>'1 datos preparados'!R197</f>
        <v/>
      </c>
      <c r="T204" s="7">
        <f>'1 datos preparados'!S197</f>
        <v/>
      </c>
      <c r="U204" s="7">
        <f>'1 datos preparados'!T197</f>
        <v/>
      </c>
      <c r="V204" s="8">
        <f>$AE$12+D204*$AE$13+E204*$AE$14+F204*$AE$15+G204*$AE$16+H204*$AE$17+I204*$AE$18+J204*$AE$19+K204*$AE$20+L204*$AE$21+M204*$AE$22+N204*$AE$23+O204*$AE$24+P204*$AE$25+Q204*$AE$26+R204*$AE$27+S204*$AE$28+T204*$AE$29+U204*$AE$30</f>
        <v/>
      </c>
      <c r="W204" s="8">
        <f>1/(1+EXP(-V204))</f>
        <v/>
      </c>
      <c r="X204" s="9">
        <f>-IF(C204=1,LN(W204),LN(1-W204))</f>
        <v/>
      </c>
      <c r="Y204" s="8">
        <f>IF(C204=1,$AE$32,$AE$33)</f>
        <v/>
      </c>
      <c r="Z204" s="9">
        <f>Y204*X204</f>
        <v/>
      </c>
      <c r="AA204" s="10">
        <f>IF(W204&gt;$AE$34,1,0)</f>
        <v/>
      </c>
      <c r="AB204">
        <f>IF(AA204=C204,1,0)</f>
        <v/>
      </c>
    </row>
    <row r="205">
      <c r="A205">
        <f>'1 datos preparados'!A198</f>
        <v/>
      </c>
      <c r="B205" s="5">
        <f>'1 datos preparados'!U198</f>
        <v/>
      </c>
      <c r="C205">
        <f>'1 datos preparados'!B198</f>
        <v/>
      </c>
      <c r="D205" s="7">
        <f>'1 datos preparados'!C198</f>
        <v/>
      </c>
      <c r="E205" s="7">
        <f>'1 datos preparados'!D198</f>
        <v/>
      </c>
      <c r="F205" s="7">
        <f>'1 datos preparados'!E198</f>
        <v/>
      </c>
      <c r="G205" s="7">
        <f>'1 datos preparados'!F198</f>
        <v/>
      </c>
      <c r="H205" s="7">
        <f>'1 datos preparados'!G198</f>
        <v/>
      </c>
      <c r="I205" s="7">
        <f>'1 datos preparados'!H198</f>
        <v/>
      </c>
      <c r="J205" s="7">
        <f>'1 datos preparados'!I198</f>
        <v/>
      </c>
      <c r="K205" s="7">
        <f>'1 datos preparados'!J198</f>
        <v/>
      </c>
      <c r="L205" s="7">
        <f>'1 datos preparados'!K198</f>
        <v/>
      </c>
      <c r="M205" s="7">
        <f>'1 datos preparados'!L198</f>
        <v/>
      </c>
      <c r="N205" s="7">
        <f>'1 datos preparados'!M198</f>
        <v/>
      </c>
      <c r="O205" s="7">
        <f>'1 datos preparados'!N198</f>
        <v/>
      </c>
      <c r="P205" s="7">
        <f>'1 datos preparados'!O198</f>
        <v/>
      </c>
      <c r="Q205" s="7">
        <f>'1 datos preparados'!P198</f>
        <v/>
      </c>
      <c r="R205" s="7">
        <f>'1 datos preparados'!Q198</f>
        <v/>
      </c>
      <c r="S205" s="7">
        <f>'1 datos preparados'!R198</f>
        <v/>
      </c>
      <c r="T205" s="7">
        <f>'1 datos preparados'!S198</f>
        <v/>
      </c>
      <c r="U205" s="7">
        <f>'1 datos preparados'!T198</f>
        <v/>
      </c>
      <c r="V205" s="8">
        <f>$AE$12+D205*$AE$13+E205*$AE$14+F205*$AE$15+G205*$AE$16+H205*$AE$17+I205*$AE$18+J205*$AE$19+K205*$AE$20+L205*$AE$21+M205*$AE$22+N205*$AE$23+O205*$AE$24+P205*$AE$25+Q205*$AE$26+R205*$AE$27+S205*$AE$28+T205*$AE$29+U205*$AE$30</f>
        <v/>
      </c>
      <c r="W205" s="8">
        <f>1/(1+EXP(-V205))</f>
        <v/>
      </c>
      <c r="X205" s="9">
        <f>-IF(C205=1,LN(W205),LN(1-W205))</f>
        <v/>
      </c>
      <c r="Y205" s="8">
        <f>IF(C205=1,$AE$32,$AE$33)</f>
        <v/>
      </c>
      <c r="Z205" s="9">
        <f>Y205*X205</f>
        <v/>
      </c>
      <c r="AA205" s="10">
        <f>IF(W205&gt;$AE$34,1,0)</f>
        <v/>
      </c>
      <c r="AB205">
        <f>IF(AA205=C205,1,0)</f>
        <v/>
      </c>
    </row>
    <row r="206">
      <c r="A206">
        <f>'1 datos preparados'!A199</f>
        <v/>
      </c>
      <c r="B206" s="5">
        <f>'1 datos preparados'!U199</f>
        <v/>
      </c>
      <c r="C206">
        <f>'1 datos preparados'!B199</f>
        <v/>
      </c>
      <c r="D206" s="7">
        <f>'1 datos preparados'!C199</f>
        <v/>
      </c>
      <c r="E206" s="7">
        <f>'1 datos preparados'!D199</f>
        <v/>
      </c>
      <c r="F206" s="7">
        <f>'1 datos preparados'!E199</f>
        <v/>
      </c>
      <c r="G206" s="7">
        <f>'1 datos preparados'!F199</f>
        <v/>
      </c>
      <c r="H206" s="7">
        <f>'1 datos preparados'!G199</f>
        <v/>
      </c>
      <c r="I206" s="7">
        <f>'1 datos preparados'!H199</f>
        <v/>
      </c>
      <c r="J206" s="7">
        <f>'1 datos preparados'!I199</f>
        <v/>
      </c>
      <c r="K206" s="7">
        <f>'1 datos preparados'!J199</f>
        <v/>
      </c>
      <c r="L206" s="7">
        <f>'1 datos preparados'!K199</f>
        <v/>
      </c>
      <c r="M206" s="7">
        <f>'1 datos preparados'!L199</f>
        <v/>
      </c>
      <c r="N206" s="7">
        <f>'1 datos preparados'!M199</f>
        <v/>
      </c>
      <c r="O206" s="7">
        <f>'1 datos preparados'!N199</f>
        <v/>
      </c>
      <c r="P206" s="7">
        <f>'1 datos preparados'!O199</f>
        <v/>
      </c>
      <c r="Q206" s="7">
        <f>'1 datos preparados'!P199</f>
        <v/>
      </c>
      <c r="R206" s="7">
        <f>'1 datos preparados'!Q199</f>
        <v/>
      </c>
      <c r="S206" s="7">
        <f>'1 datos preparados'!R199</f>
        <v/>
      </c>
      <c r="T206" s="7">
        <f>'1 datos preparados'!S199</f>
        <v/>
      </c>
      <c r="U206" s="7">
        <f>'1 datos preparados'!T199</f>
        <v/>
      </c>
      <c r="V206" s="8">
        <f>$AE$12+D206*$AE$13+E206*$AE$14+F206*$AE$15+G206*$AE$16+H206*$AE$17+I206*$AE$18+J206*$AE$19+K206*$AE$20+L206*$AE$21+M206*$AE$22+N206*$AE$23+O206*$AE$24+P206*$AE$25+Q206*$AE$26+R206*$AE$27+S206*$AE$28+T206*$AE$29+U206*$AE$30</f>
        <v/>
      </c>
      <c r="W206" s="8">
        <f>1/(1+EXP(-V206))</f>
        <v/>
      </c>
      <c r="X206" s="9">
        <f>-IF(C206=1,LN(W206),LN(1-W206))</f>
        <v/>
      </c>
      <c r="Y206" s="8">
        <f>IF(C206=1,$AE$32,$AE$33)</f>
        <v/>
      </c>
      <c r="Z206" s="9">
        <f>Y206*X206</f>
        <v/>
      </c>
      <c r="AA206" s="10">
        <f>IF(W206&gt;$AE$34,1,0)</f>
        <v/>
      </c>
      <c r="AB206">
        <f>IF(AA206=C206,1,0)</f>
        <v/>
      </c>
    </row>
    <row r="207">
      <c r="A207">
        <f>'1 datos preparados'!A200</f>
        <v/>
      </c>
      <c r="B207" s="5">
        <f>'1 datos preparados'!U200</f>
        <v/>
      </c>
      <c r="C207">
        <f>'1 datos preparados'!B200</f>
        <v/>
      </c>
      <c r="D207" s="7">
        <f>'1 datos preparados'!C200</f>
        <v/>
      </c>
      <c r="E207" s="7">
        <f>'1 datos preparados'!D200</f>
        <v/>
      </c>
      <c r="F207" s="7">
        <f>'1 datos preparados'!E200</f>
        <v/>
      </c>
      <c r="G207" s="7">
        <f>'1 datos preparados'!F200</f>
        <v/>
      </c>
      <c r="H207" s="7">
        <f>'1 datos preparados'!G200</f>
        <v/>
      </c>
      <c r="I207" s="7">
        <f>'1 datos preparados'!H200</f>
        <v/>
      </c>
      <c r="J207" s="7">
        <f>'1 datos preparados'!I200</f>
        <v/>
      </c>
      <c r="K207" s="7">
        <f>'1 datos preparados'!J200</f>
        <v/>
      </c>
      <c r="L207" s="7">
        <f>'1 datos preparados'!K200</f>
        <v/>
      </c>
      <c r="M207" s="7">
        <f>'1 datos preparados'!L200</f>
        <v/>
      </c>
      <c r="N207" s="7">
        <f>'1 datos preparados'!M200</f>
        <v/>
      </c>
      <c r="O207" s="7">
        <f>'1 datos preparados'!N200</f>
        <v/>
      </c>
      <c r="P207" s="7">
        <f>'1 datos preparados'!O200</f>
        <v/>
      </c>
      <c r="Q207" s="7">
        <f>'1 datos preparados'!P200</f>
        <v/>
      </c>
      <c r="R207" s="7">
        <f>'1 datos preparados'!Q200</f>
        <v/>
      </c>
      <c r="S207" s="7">
        <f>'1 datos preparados'!R200</f>
        <v/>
      </c>
      <c r="T207" s="7">
        <f>'1 datos preparados'!S200</f>
        <v/>
      </c>
      <c r="U207" s="7">
        <f>'1 datos preparados'!T200</f>
        <v/>
      </c>
      <c r="V207" s="8">
        <f>$AE$12+D207*$AE$13+E207*$AE$14+F207*$AE$15+G207*$AE$16+H207*$AE$17+I207*$AE$18+J207*$AE$19+K207*$AE$20+L207*$AE$21+M207*$AE$22+N207*$AE$23+O207*$AE$24+P207*$AE$25+Q207*$AE$26+R207*$AE$27+S207*$AE$28+T207*$AE$29+U207*$AE$30</f>
        <v/>
      </c>
      <c r="W207" s="8">
        <f>1/(1+EXP(-V207))</f>
        <v/>
      </c>
      <c r="X207" s="9">
        <f>-IF(C207=1,LN(W207),LN(1-W207))</f>
        <v/>
      </c>
      <c r="Y207" s="8">
        <f>IF(C207=1,$AE$32,$AE$33)</f>
        <v/>
      </c>
      <c r="Z207" s="9">
        <f>Y207*X207</f>
        <v/>
      </c>
      <c r="AA207" s="10">
        <f>IF(W207&gt;$AE$34,1,0)</f>
        <v/>
      </c>
      <c r="AB207">
        <f>IF(AA207=C207,1,0)</f>
        <v/>
      </c>
    </row>
    <row r="208">
      <c r="A208">
        <f>'1 datos preparados'!A201</f>
        <v/>
      </c>
      <c r="B208" s="5">
        <f>'1 datos preparados'!U201</f>
        <v/>
      </c>
      <c r="C208">
        <f>'1 datos preparados'!B201</f>
        <v/>
      </c>
      <c r="D208" s="7">
        <f>'1 datos preparados'!C201</f>
        <v/>
      </c>
      <c r="E208" s="7">
        <f>'1 datos preparados'!D201</f>
        <v/>
      </c>
      <c r="F208" s="7">
        <f>'1 datos preparados'!E201</f>
        <v/>
      </c>
      <c r="G208" s="7">
        <f>'1 datos preparados'!F201</f>
        <v/>
      </c>
      <c r="H208" s="7">
        <f>'1 datos preparados'!G201</f>
        <v/>
      </c>
      <c r="I208" s="7">
        <f>'1 datos preparados'!H201</f>
        <v/>
      </c>
      <c r="J208" s="7">
        <f>'1 datos preparados'!I201</f>
        <v/>
      </c>
      <c r="K208" s="7">
        <f>'1 datos preparados'!J201</f>
        <v/>
      </c>
      <c r="L208" s="7">
        <f>'1 datos preparados'!K201</f>
        <v/>
      </c>
      <c r="M208" s="7">
        <f>'1 datos preparados'!L201</f>
        <v/>
      </c>
      <c r="N208" s="7">
        <f>'1 datos preparados'!M201</f>
        <v/>
      </c>
      <c r="O208" s="7">
        <f>'1 datos preparados'!N201</f>
        <v/>
      </c>
      <c r="P208" s="7">
        <f>'1 datos preparados'!O201</f>
        <v/>
      </c>
      <c r="Q208" s="7">
        <f>'1 datos preparados'!P201</f>
        <v/>
      </c>
      <c r="R208" s="7">
        <f>'1 datos preparados'!Q201</f>
        <v/>
      </c>
      <c r="S208" s="7">
        <f>'1 datos preparados'!R201</f>
        <v/>
      </c>
      <c r="T208" s="7">
        <f>'1 datos preparados'!S201</f>
        <v/>
      </c>
      <c r="U208" s="7">
        <f>'1 datos preparados'!T201</f>
        <v/>
      </c>
      <c r="V208" s="8">
        <f>$AE$12+D208*$AE$13+E208*$AE$14+F208*$AE$15+G208*$AE$16+H208*$AE$17+I208*$AE$18+J208*$AE$19+K208*$AE$20+L208*$AE$21+M208*$AE$22+N208*$AE$23+O208*$AE$24+P208*$AE$25+Q208*$AE$26+R208*$AE$27+S208*$AE$28+T208*$AE$29+U208*$AE$30</f>
        <v/>
      </c>
      <c r="W208" s="8">
        <f>1/(1+EXP(-V208))</f>
        <v/>
      </c>
      <c r="X208" s="9">
        <f>-IF(C208=1,LN(W208),LN(1-W208))</f>
        <v/>
      </c>
      <c r="Y208" s="8">
        <f>IF(C208=1,$AE$32,$AE$33)</f>
        <v/>
      </c>
      <c r="Z208" s="9">
        <f>Y208*X208</f>
        <v/>
      </c>
      <c r="AA208" s="10">
        <f>IF(W208&gt;$AE$34,1,0)</f>
        <v/>
      </c>
      <c r="AB208">
        <f>IF(AA208=C208,1,0)</f>
        <v/>
      </c>
    </row>
    <row r="209">
      <c r="A209">
        <f>'1 datos preparados'!A202</f>
        <v/>
      </c>
      <c r="B209" s="5">
        <f>'1 datos preparados'!U202</f>
        <v/>
      </c>
      <c r="C209">
        <f>'1 datos preparados'!B202</f>
        <v/>
      </c>
      <c r="D209" s="7">
        <f>'1 datos preparados'!C202</f>
        <v/>
      </c>
      <c r="E209" s="7">
        <f>'1 datos preparados'!D202</f>
        <v/>
      </c>
      <c r="F209" s="7">
        <f>'1 datos preparados'!E202</f>
        <v/>
      </c>
      <c r="G209" s="7">
        <f>'1 datos preparados'!F202</f>
        <v/>
      </c>
      <c r="H209" s="7">
        <f>'1 datos preparados'!G202</f>
        <v/>
      </c>
      <c r="I209" s="7">
        <f>'1 datos preparados'!H202</f>
        <v/>
      </c>
      <c r="J209" s="7">
        <f>'1 datos preparados'!I202</f>
        <v/>
      </c>
      <c r="K209" s="7">
        <f>'1 datos preparados'!J202</f>
        <v/>
      </c>
      <c r="L209" s="7">
        <f>'1 datos preparados'!K202</f>
        <v/>
      </c>
      <c r="M209" s="7">
        <f>'1 datos preparados'!L202</f>
        <v/>
      </c>
      <c r="N209" s="7">
        <f>'1 datos preparados'!M202</f>
        <v/>
      </c>
      <c r="O209" s="7">
        <f>'1 datos preparados'!N202</f>
        <v/>
      </c>
      <c r="P209" s="7">
        <f>'1 datos preparados'!O202</f>
        <v/>
      </c>
      <c r="Q209" s="7">
        <f>'1 datos preparados'!P202</f>
        <v/>
      </c>
      <c r="R209" s="7">
        <f>'1 datos preparados'!Q202</f>
        <v/>
      </c>
      <c r="S209" s="7">
        <f>'1 datos preparados'!R202</f>
        <v/>
      </c>
      <c r="T209" s="7">
        <f>'1 datos preparados'!S202</f>
        <v/>
      </c>
      <c r="U209" s="7">
        <f>'1 datos preparados'!T202</f>
        <v/>
      </c>
      <c r="V209" s="8">
        <f>$AE$12+D209*$AE$13+E209*$AE$14+F209*$AE$15+G209*$AE$16+H209*$AE$17+I209*$AE$18+J209*$AE$19+K209*$AE$20+L209*$AE$21+M209*$AE$22+N209*$AE$23+O209*$AE$24+P209*$AE$25+Q209*$AE$26+R209*$AE$27+S209*$AE$28+T209*$AE$29+U209*$AE$30</f>
        <v/>
      </c>
      <c r="W209" s="8">
        <f>1/(1+EXP(-V209))</f>
        <v/>
      </c>
      <c r="X209" s="9">
        <f>-IF(C209=1,LN(W209),LN(1-W209))</f>
        <v/>
      </c>
      <c r="Y209" s="8">
        <f>IF(C209=1,$AE$32,$AE$33)</f>
        <v/>
      </c>
      <c r="Z209" s="9">
        <f>Y209*X209</f>
        <v/>
      </c>
      <c r="AA209" s="10">
        <f>IF(W209&gt;$AE$34,1,0)</f>
        <v/>
      </c>
      <c r="AB209">
        <f>IF(AA209=C209,1,0)</f>
        <v/>
      </c>
    </row>
    <row r="210">
      <c r="A210">
        <f>'1 datos preparados'!A203</f>
        <v/>
      </c>
      <c r="B210" s="5">
        <f>'1 datos preparados'!U203</f>
        <v/>
      </c>
      <c r="C210">
        <f>'1 datos preparados'!B203</f>
        <v/>
      </c>
      <c r="D210" s="7">
        <f>'1 datos preparados'!C203</f>
        <v/>
      </c>
      <c r="E210" s="7">
        <f>'1 datos preparados'!D203</f>
        <v/>
      </c>
      <c r="F210" s="7">
        <f>'1 datos preparados'!E203</f>
        <v/>
      </c>
      <c r="G210" s="7">
        <f>'1 datos preparados'!F203</f>
        <v/>
      </c>
      <c r="H210" s="7">
        <f>'1 datos preparados'!G203</f>
        <v/>
      </c>
      <c r="I210" s="7">
        <f>'1 datos preparados'!H203</f>
        <v/>
      </c>
      <c r="J210" s="7">
        <f>'1 datos preparados'!I203</f>
        <v/>
      </c>
      <c r="K210" s="7">
        <f>'1 datos preparados'!J203</f>
        <v/>
      </c>
      <c r="L210" s="7">
        <f>'1 datos preparados'!K203</f>
        <v/>
      </c>
      <c r="M210" s="7">
        <f>'1 datos preparados'!L203</f>
        <v/>
      </c>
      <c r="N210" s="7">
        <f>'1 datos preparados'!M203</f>
        <v/>
      </c>
      <c r="O210" s="7">
        <f>'1 datos preparados'!N203</f>
        <v/>
      </c>
      <c r="P210" s="7">
        <f>'1 datos preparados'!O203</f>
        <v/>
      </c>
      <c r="Q210" s="7">
        <f>'1 datos preparados'!P203</f>
        <v/>
      </c>
      <c r="R210" s="7">
        <f>'1 datos preparados'!Q203</f>
        <v/>
      </c>
      <c r="S210" s="7">
        <f>'1 datos preparados'!R203</f>
        <v/>
      </c>
      <c r="T210" s="7">
        <f>'1 datos preparados'!S203</f>
        <v/>
      </c>
      <c r="U210" s="7">
        <f>'1 datos preparados'!T203</f>
        <v/>
      </c>
      <c r="V210" s="8">
        <f>$AE$12+D210*$AE$13+E210*$AE$14+F210*$AE$15+G210*$AE$16+H210*$AE$17+I210*$AE$18+J210*$AE$19+K210*$AE$20+L210*$AE$21+M210*$AE$22+N210*$AE$23+O210*$AE$24+P210*$AE$25+Q210*$AE$26+R210*$AE$27+S210*$AE$28+T210*$AE$29+U210*$AE$30</f>
        <v/>
      </c>
      <c r="W210" s="8">
        <f>1/(1+EXP(-V210))</f>
        <v/>
      </c>
      <c r="X210" s="9">
        <f>-IF(C210=1,LN(W210),LN(1-W210))</f>
        <v/>
      </c>
      <c r="Y210" s="8">
        <f>IF(C210=1,$AE$32,$AE$33)</f>
        <v/>
      </c>
      <c r="Z210" s="9">
        <f>Y210*X210</f>
        <v/>
      </c>
      <c r="AA210" s="10">
        <f>IF(W210&gt;$AE$34,1,0)</f>
        <v/>
      </c>
      <c r="AB210">
        <f>IF(AA210=C210,1,0)</f>
        <v/>
      </c>
    </row>
    <row r="211">
      <c r="A211">
        <f>'1 datos preparados'!A204</f>
        <v/>
      </c>
      <c r="B211" s="5">
        <f>'1 datos preparados'!U204</f>
        <v/>
      </c>
      <c r="C211">
        <f>'1 datos preparados'!B204</f>
        <v/>
      </c>
      <c r="D211" s="7">
        <f>'1 datos preparados'!C204</f>
        <v/>
      </c>
      <c r="E211" s="7">
        <f>'1 datos preparados'!D204</f>
        <v/>
      </c>
      <c r="F211" s="7">
        <f>'1 datos preparados'!E204</f>
        <v/>
      </c>
      <c r="G211" s="7">
        <f>'1 datos preparados'!F204</f>
        <v/>
      </c>
      <c r="H211" s="7">
        <f>'1 datos preparados'!G204</f>
        <v/>
      </c>
      <c r="I211" s="7">
        <f>'1 datos preparados'!H204</f>
        <v/>
      </c>
      <c r="J211" s="7">
        <f>'1 datos preparados'!I204</f>
        <v/>
      </c>
      <c r="K211" s="7">
        <f>'1 datos preparados'!J204</f>
        <v/>
      </c>
      <c r="L211" s="7">
        <f>'1 datos preparados'!K204</f>
        <v/>
      </c>
      <c r="M211" s="7">
        <f>'1 datos preparados'!L204</f>
        <v/>
      </c>
      <c r="N211" s="7">
        <f>'1 datos preparados'!M204</f>
        <v/>
      </c>
      <c r="O211" s="7">
        <f>'1 datos preparados'!N204</f>
        <v/>
      </c>
      <c r="P211" s="7">
        <f>'1 datos preparados'!O204</f>
        <v/>
      </c>
      <c r="Q211" s="7">
        <f>'1 datos preparados'!P204</f>
        <v/>
      </c>
      <c r="R211" s="7">
        <f>'1 datos preparados'!Q204</f>
        <v/>
      </c>
      <c r="S211" s="7">
        <f>'1 datos preparados'!R204</f>
        <v/>
      </c>
      <c r="T211" s="7">
        <f>'1 datos preparados'!S204</f>
        <v/>
      </c>
      <c r="U211" s="7">
        <f>'1 datos preparados'!T204</f>
        <v/>
      </c>
      <c r="V211" s="8">
        <f>$AE$12+D211*$AE$13+E211*$AE$14+F211*$AE$15+G211*$AE$16+H211*$AE$17+I211*$AE$18+J211*$AE$19+K211*$AE$20+L211*$AE$21+M211*$AE$22+N211*$AE$23+O211*$AE$24+P211*$AE$25+Q211*$AE$26+R211*$AE$27+S211*$AE$28+T211*$AE$29+U211*$AE$30</f>
        <v/>
      </c>
      <c r="W211" s="8">
        <f>1/(1+EXP(-V211))</f>
        <v/>
      </c>
      <c r="X211" s="9">
        <f>-IF(C211=1,LN(W211),LN(1-W211))</f>
        <v/>
      </c>
      <c r="Y211" s="8">
        <f>IF(C211=1,$AE$32,$AE$33)</f>
        <v/>
      </c>
      <c r="Z211" s="9">
        <f>Y211*X211</f>
        <v/>
      </c>
      <c r="AA211" s="10">
        <f>IF(W211&gt;$AE$34,1,0)</f>
        <v/>
      </c>
      <c r="AB211">
        <f>IF(AA211=C211,1,0)</f>
        <v/>
      </c>
    </row>
    <row r="212">
      <c r="A212">
        <f>'1 datos preparados'!A205</f>
        <v/>
      </c>
      <c r="B212" s="5">
        <f>'1 datos preparados'!U205</f>
        <v/>
      </c>
      <c r="C212">
        <f>'1 datos preparados'!B205</f>
        <v/>
      </c>
      <c r="D212" s="7">
        <f>'1 datos preparados'!C205</f>
        <v/>
      </c>
      <c r="E212" s="7">
        <f>'1 datos preparados'!D205</f>
        <v/>
      </c>
      <c r="F212" s="7">
        <f>'1 datos preparados'!E205</f>
        <v/>
      </c>
      <c r="G212" s="7">
        <f>'1 datos preparados'!F205</f>
        <v/>
      </c>
      <c r="H212" s="7">
        <f>'1 datos preparados'!G205</f>
        <v/>
      </c>
      <c r="I212" s="7">
        <f>'1 datos preparados'!H205</f>
        <v/>
      </c>
      <c r="J212" s="7">
        <f>'1 datos preparados'!I205</f>
        <v/>
      </c>
      <c r="K212" s="7">
        <f>'1 datos preparados'!J205</f>
        <v/>
      </c>
      <c r="L212" s="7">
        <f>'1 datos preparados'!K205</f>
        <v/>
      </c>
      <c r="M212" s="7">
        <f>'1 datos preparados'!L205</f>
        <v/>
      </c>
      <c r="N212" s="7">
        <f>'1 datos preparados'!M205</f>
        <v/>
      </c>
      <c r="O212" s="7">
        <f>'1 datos preparados'!N205</f>
        <v/>
      </c>
      <c r="P212" s="7">
        <f>'1 datos preparados'!O205</f>
        <v/>
      </c>
      <c r="Q212" s="7">
        <f>'1 datos preparados'!P205</f>
        <v/>
      </c>
      <c r="R212" s="7">
        <f>'1 datos preparados'!Q205</f>
        <v/>
      </c>
      <c r="S212" s="7">
        <f>'1 datos preparados'!R205</f>
        <v/>
      </c>
      <c r="T212" s="7">
        <f>'1 datos preparados'!S205</f>
        <v/>
      </c>
      <c r="U212" s="7">
        <f>'1 datos preparados'!T205</f>
        <v/>
      </c>
      <c r="V212" s="8">
        <f>$AE$12+D212*$AE$13+E212*$AE$14+F212*$AE$15+G212*$AE$16+H212*$AE$17+I212*$AE$18+J212*$AE$19+K212*$AE$20+L212*$AE$21+M212*$AE$22+N212*$AE$23+O212*$AE$24+P212*$AE$25+Q212*$AE$26+R212*$AE$27+S212*$AE$28+T212*$AE$29+U212*$AE$30</f>
        <v/>
      </c>
      <c r="W212" s="8">
        <f>1/(1+EXP(-V212))</f>
        <v/>
      </c>
      <c r="X212" s="9">
        <f>-IF(C212=1,LN(W212),LN(1-W212))</f>
        <v/>
      </c>
      <c r="Y212" s="8">
        <f>IF(C212=1,$AE$32,$AE$33)</f>
        <v/>
      </c>
      <c r="Z212" s="9">
        <f>Y212*X212</f>
        <v/>
      </c>
      <c r="AA212" s="10">
        <f>IF(W212&gt;$AE$34,1,0)</f>
        <v/>
      </c>
      <c r="AB212">
        <f>IF(AA212=C212,1,0)</f>
        <v/>
      </c>
    </row>
    <row r="213">
      <c r="A213">
        <f>'1 datos preparados'!A206</f>
        <v/>
      </c>
      <c r="B213" s="5">
        <f>'1 datos preparados'!U206</f>
        <v/>
      </c>
      <c r="C213">
        <f>'1 datos preparados'!B206</f>
        <v/>
      </c>
      <c r="D213" s="7">
        <f>'1 datos preparados'!C206</f>
        <v/>
      </c>
      <c r="E213" s="7">
        <f>'1 datos preparados'!D206</f>
        <v/>
      </c>
      <c r="F213" s="7">
        <f>'1 datos preparados'!E206</f>
        <v/>
      </c>
      <c r="G213" s="7">
        <f>'1 datos preparados'!F206</f>
        <v/>
      </c>
      <c r="H213" s="7">
        <f>'1 datos preparados'!G206</f>
        <v/>
      </c>
      <c r="I213" s="7">
        <f>'1 datos preparados'!H206</f>
        <v/>
      </c>
      <c r="J213" s="7">
        <f>'1 datos preparados'!I206</f>
        <v/>
      </c>
      <c r="K213" s="7">
        <f>'1 datos preparados'!J206</f>
        <v/>
      </c>
      <c r="L213" s="7">
        <f>'1 datos preparados'!K206</f>
        <v/>
      </c>
      <c r="M213" s="7">
        <f>'1 datos preparados'!L206</f>
        <v/>
      </c>
      <c r="N213" s="7">
        <f>'1 datos preparados'!M206</f>
        <v/>
      </c>
      <c r="O213" s="7">
        <f>'1 datos preparados'!N206</f>
        <v/>
      </c>
      <c r="P213" s="7">
        <f>'1 datos preparados'!O206</f>
        <v/>
      </c>
      <c r="Q213" s="7">
        <f>'1 datos preparados'!P206</f>
        <v/>
      </c>
      <c r="R213" s="7">
        <f>'1 datos preparados'!Q206</f>
        <v/>
      </c>
      <c r="S213" s="7">
        <f>'1 datos preparados'!R206</f>
        <v/>
      </c>
      <c r="T213" s="7">
        <f>'1 datos preparados'!S206</f>
        <v/>
      </c>
      <c r="U213" s="7">
        <f>'1 datos preparados'!T206</f>
        <v/>
      </c>
      <c r="V213" s="8">
        <f>$AE$12+D213*$AE$13+E213*$AE$14+F213*$AE$15+G213*$AE$16+H213*$AE$17+I213*$AE$18+J213*$AE$19+K213*$AE$20+L213*$AE$21+M213*$AE$22+N213*$AE$23+O213*$AE$24+P213*$AE$25+Q213*$AE$26+R213*$AE$27+S213*$AE$28+T213*$AE$29+U213*$AE$30</f>
        <v/>
      </c>
      <c r="W213" s="8">
        <f>1/(1+EXP(-V213))</f>
        <v/>
      </c>
      <c r="X213" s="9">
        <f>-IF(C213=1,LN(W213),LN(1-W213))</f>
        <v/>
      </c>
      <c r="Y213" s="8">
        <f>IF(C213=1,$AE$32,$AE$33)</f>
        <v/>
      </c>
      <c r="Z213" s="9">
        <f>Y213*X213</f>
        <v/>
      </c>
      <c r="AA213" s="10">
        <f>IF(W213&gt;$AE$34,1,0)</f>
        <v/>
      </c>
      <c r="AB213">
        <f>IF(AA213=C213,1,0)</f>
        <v/>
      </c>
    </row>
    <row r="214">
      <c r="A214">
        <f>'1 datos preparados'!A207</f>
        <v/>
      </c>
      <c r="B214" s="5">
        <f>'1 datos preparados'!U207</f>
        <v/>
      </c>
      <c r="C214">
        <f>'1 datos preparados'!B207</f>
        <v/>
      </c>
      <c r="D214" s="7">
        <f>'1 datos preparados'!C207</f>
        <v/>
      </c>
      <c r="E214" s="7">
        <f>'1 datos preparados'!D207</f>
        <v/>
      </c>
      <c r="F214" s="7">
        <f>'1 datos preparados'!E207</f>
        <v/>
      </c>
      <c r="G214" s="7">
        <f>'1 datos preparados'!F207</f>
        <v/>
      </c>
      <c r="H214" s="7">
        <f>'1 datos preparados'!G207</f>
        <v/>
      </c>
      <c r="I214" s="7">
        <f>'1 datos preparados'!H207</f>
        <v/>
      </c>
      <c r="J214" s="7">
        <f>'1 datos preparados'!I207</f>
        <v/>
      </c>
      <c r="K214" s="7">
        <f>'1 datos preparados'!J207</f>
        <v/>
      </c>
      <c r="L214" s="7">
        <f>'1 datos preparados'!K207</f>
        <v/>
      </c>
      <c r="M214" s="7">
        <f>'1 datos preparados'!L207</f>
        <v/>
      </c>
      <c r="N214" s="7">
        <f>'1 datos preparados'!M207</f>
        <v/>
      </c>
      <c r="O214" s="7">
        <f>'1 datos preparados'!N207</f>
        <v/>
      </c>
      <c r="P214" s="7">
        <f>'1 datos preparados'!O207</f>
        <v/>
      </c>
      <c r="Q214" s="7">
        <f>'1 datos preparados'!P207</f>
        <v/>
      </c>
      <c r="R214" s="7">
        <f>'1 datos preparados'!Q207</f>
        <v/>
      </c>
      <c r="S214" s="7">
        <f>'1 datos preparados'!R207</f>
        <v/>
      </c>
      <c r="T214" s="7">
        <f>'1 datos preparados'!S207</f>
        <v/>
      </c>
      <c r="U214" s="7">
        <f>'1 datos preparados'!T207</f>
        <v/>
      </c>
      <c r="V214" s="8">
        <f>$AE$12+D214*$AE$13+E214*$AE$14+F214*$AE$15+G214*$AE$16+H214*$AE$17+I214*$AE$18+J214*$AE$19+K214*$AE$20+L214*$AE$21+M214*$AE$22+N214*$AE$23+O214*$AE$24+P214*$AE$25+Q214*$AE$26+R214*$AE$27+S214*$AE$28+T214*$AE$29+U214*$AE$30</f>
        <v/>
      </c>
      <c r="W214" s="8">
        <f>1/(1+EXP(-V214))</f>
        <v/>
      </c>
      <c r="X214" s="9">
        <f>-IF(C214=1,LN(W214),LN(1-W214))</f>
        <v/>
      </c>
      <c r="Y214" s="8">
        <f>IF(C214=1,$AE$32,$AE$33)</f>
        <v/>
      </c>
      <c r="Z214" s="9">
        <f>Y214*X214</f>
        <v/>
      </c>
      <c r="AA214" s="10">
        <f>IF(W214&gt;$AE$34,1,0)</f>
        <v/>
      </c>
      <c r="AB214">
        <f>IF(AA214=C214,1,0)</f>
        <v/>
      </c>
    </row>
    <row r="215">
      <c r="A215">
        <f>'1 datos preparados'!A208</f>
        <v/>
      </c>
      <c r="B215" s="5">
        <f>'1 datos preparados'!U208</f>
        <v/>
      </c>
      <c r="C215">
        <f>'1 datos preparados'!B208</f>
        <v/>
      </c>
      <c r="D215" s="7">
        <f>'1 datos preparados'!C208</f>
        <v/>
      </c>
      <c r="E215" s="7">
        <f>'1 datos preparados'!D208</f>
        <v/>
      </c>
      <c r="F215" s="7">
        <f>'1 datos preparados'!E208</f>
        <v/>
      </c>
      <c r="G215" s="7">
        <f>'1 datos preparados'!F208</f>
        <v/>
      </c>
      <c r="H215" s="7">
        <f>'1 datos preparados'!G208</f>
        <v/>
      </c>
      <c r="I215" s="7">
        <f>'1 datos preparados'!H208</f>
        <v/>
      </c>
      <c r="J215" s="7">
        <f>'1 datos preparados'!I208</f>
        <v/>
      </c>
      <c r="K215" s="7">
        <f>'1 datos preparados'!J208</f>
        <v/>
      </c>
      <c r="L215" s="7">
        <f>'1 datos preparados'!K208</f>
        <v/>
      </c>
      <c r="M215" s="7">
        <f>'1 datos preparados'!L208</f>
        <v/>
      </c>
      <c r="N215" s="7">
        <f>'1 datos preparados'!M208</f>
        <v/>
      </c>
      <c r="O215" s="7">
        <f>'1 datos preparados'!N208</f>
        <v/>
      </c>
      <c r="P215" s="7">
        <f>'1 datos preparados'!O208</f>
        <v/>
      </c>
      <c r="Q215" s="7">
        <f>'1 datos preparados'!P208</f>
        <v/>
      </c>
      <c r="R215" s="7">
        <f>'1 datos preparados'!Q208</f>
        <v/>
      </c>
      <c r="S215" s="7">
        <f>'1 datos preparados'!R208</f>
        <v/>
      </c>
      <c r="T215" s="7">
        <f>'1 datos preparados'!S208</f>
        <v/>
      </c>
      <c r="U215" s="7">
        <f>'1 datos preparados'!T208</f>
        <v/>
      </c>
      <c r="V215" s="8">
        <f>$AE$12+D215*$AE$13+E215*$AE$14+F215*$AE$15+G215*$AE$16+H215*$AE$17+I215*$AE$18+J215*$AE$19+K215*$AE$20+L215*$AE$21+M215*$AE$22+N215*$AE$23+O215*$AE$24+P215*$AE$25+Q215*$AE$26+R215*$AE$27+S215*$AE$28+T215*$AE$29+U215*$AE$30</f>
        <v/>
      </c>
      <c r="W215" s="8">
        <f>1/(1+EXP(-V215))</f>
        <v/>
      </c>
      <c r="X215" s="9">
        <f>-IF(C215=1,LN(W215),LN(1-W215))</f>
        <v/>
      </c>
      <c r="Y215" s="8">
        <f>IF(C215=1,$AE$32,$AE$33)</f>
        <v/>
      </c>
      <c r="Z215" s="9">
        <f>Y215*X215</f>
        <v/>
      </c>
      <c r="AA215" s="10">
        <f>IF(W215&gt;$AE$34,1,0)</f>
        <v/>
      </c>
      <c r="AB215">
        <f>IF(AA215=C215,1,0)</f>
        <v/>
      </c>
    </row>
    <row r="216">
      <c r="A216">
        <f>'1 datos preparados'!A209</f>
        <v/>
      </c>
      <c r="B216" s="5">
        <f>'1 datos preparados'!U209</f>
        <v/>
      </c>
      <c r="C216">
        <f>'1 datos preparados'!B209</f>
        <v/>
      </c>
      <c r="D216" s="7">
        <f>'1 datos preparados'!C209</f>
        <v/>
      </c>
      <c r="E216" s="7">
        <f>'1 datos preparados'!D209</f>
        <v/>
      </c>
      <c r="F216" s="7">
        <f>'1 datos preparados'!E209</f>
        <v/>
      </c>
      <c r="G216" s="7">
        <f>'1 datos preparados'!F209</f>
        <v/>
      </c>
      <c r="H216" s="7">
        <f>'1 datos preparados'!G209</f>
        <v/>
      </c>
      <c r="I216" s="7">
        <f>'1 datos preparados'!H209</f>
        <v/>
      </c>
      <c r="J216" s="7">
        <f>'1 datos preparados'!I209</f>
        <v/>
      </c>
      <c r="K216" s="7">
        <f>'1 datos preparados'!J209</f>
        <v/>
      </c>
      <c r="L216" s="7">
        <f>'1 datos preparados'!K209</f>
        <v/>
      </c>
      <c r="M216" s="7">
        <f>'1 datos preparados'!L209</f>
        <v/>
      </c>
      <c r="N216" s="7">
        <f>'1 datos preparados'!M209</f>
        <v/>
      </c>
      <c r="O216" s="7">
        <f>'1 datos preparados'!N209</f>
        <v/>
      </c>
      <c r="P216" s="7">
        <f>'1 datos preparados'!O209</f>
        <v/>
      </c>
      <c r="Q216" s="7">
        <f>'1 datos preparados'!P209</f>
        <v/>
      </c>
      <c r="R216" s="7">
        <f>'1 datos preparados'!Q209</f>
        <v/>
      </c>
      <c r="S216" s="7">
        <f>'1 datos preparados'!R209</f>
        <v/>
      </c>
      <c r="T216" s="7">
        <f>'1 datos preparados'!S209</f>
        <v/>
      </c>
      <c r="U216" s="7">
        <f>'1 datos preparados'!T209</f>
        <v/>
      </c>
      <c r="V216" s="8">
        <f>$AE$12+D216*$AE$13+E216*$AE$14+F216*$AE$15+G216*$AE$16+H216*$AE$17+I216*$AE$18+J216*$AE$19+K216*$AE$20+L216*$AE$21+M216*$AE$22+N216*$AE$23+O216*$AE$24+P216*$AE$25+Q216*$AE$26+R216*$AE$27+S216*$AE$28+T216*$AE$29+U216*$AE$30</f>
        <v/>
      </c>
      <c r="W216" s="8">
        <f>1/(1+EXP(-V216))</f>
        <v/>
      </c>
      <c r="X216" s="9">
        <f>-IF(C216=1,LN(W216),LN(1-W216))</f>
        <v/>
      </c>
      <c r="Y216" s="8">
        <f>IF(C216=1,$AE$32,$AE$33)</f>
        <v/>
      </c>
      <c r="Z216" s="9">
        <f>Y216*X216</f>
        <v/>
      </c>
      <c r="AA216" s="10">
        <f>IF(W216&gt;$AE$34,1,0)</f>
        <v/>
      </c>
      <c r="AB216">
        <f>IF(AA216=C216,1,0)</f>
        <v/>
      </c>
    </row>
    <row r="217">
      <c r="A217">
        <f>'1 datos preparados'!A210</f>
        <v/>
      </c>
      <c r="B217" s="5">
        <f>'1 datos preparados'!U210</f>
        <v/>
      </c>
      <c r="C217">
        <f>'1 datos preparados'!B210</f>
        <v/>
      </c>
      <c r="D217" s="7">
        <f>'1 datos preparados'!C210</f>
        <v/>
      </c>
      <c r="E217" s="7">
        <f>'1 datos preparados'!D210</f>
        <v/>
      </c>
      <c r="F217" s="7">
        <f>'1 datos preparados'!E210</f>
        <v/>
      </c>
      <c r="G217" s="7">
        <f>'1 datos preparados'!F210</f>
        <v/>
      </c>
      <c r="H217" s="7">
        <f>'1 datos preparados'!G210</f>
        <v/>
      </c>
      <c r="I217" s="7">
        <f>'1 datos preparados'!H210</f>
        <v/>
      </c>
      <c r="J217" s="7">
        <f>'1 datos preparados'!I210</f>
        <v/>
      </c>
      <c r="K217" s="7">
        <f>'1 datos preparados'!J210</f>
        <v/>
      </c>
      <c r="L217" s="7">
        <f>'1 datos preparados'!K210</f>
        <v/>
      </c>
      <c r="M217" s="7">
        <f>'1 datos preparados'!L210</f>
        <v/>
      </c>
      <c r="N217" s="7">
        <f>'1 datos preparados'!M210</f>
        <v/>
      </c>
      <c r="O217" s="7">
        <f>'1 datos preparados'!N210</f>
        <v/>
      </c>
      <c r="P217" s="7">
        <f>'1 datos preparados'!O210</f>
        <v/>
      </c>
      <c r="Q217" s="7">
        <f>'1 datos preparados'!P210</f>
        <v/>
      </c>
      <c r="R217" s="7">
        <f>'1 datos preparados'!Q210</f>
        <v/>
      </c>
      <c r="S217" s="7">
        <f>'1 datos preparados'!R210</f>
        <v/>
      </c>
      <c r="T217" s="7">
        <f>'1 datos preparados'!S210</f>
        <v/>
      </c>
      <c r="U217" s="7">
        <f>'1 datos preparados'!T210</f>
        <v/>
      </c>
      <c r="V217" s="8">
        <f>$AE$12+D217*$AE$13+E217*$AE$14+F217*$AE$15+G217*$AE$16+H217*$AE$17+I217*$AE$18+J217*$AE$19+K217*$AE$20+L217*$AE$21+M217*$AE$22+N217*$AE$23+O217*$AE$24+P217*$AE$25+Q217*$AE$26+R217*$AE$27+S217*$AE$28+T217*$AE$29+U217*$AE$30</f>
        <v/>
      </c>
      <c r="W217" s="8">
        <f>1/(1+EXP(-V217))</f>
        <v/>
      </c>
      <c r="X217" s="9">
        <f>-IF(C217=1,LN(W217),LN(1-W217))</f>
        <v/>
      </c>
      <c r="Y217" s="8">
        <f>IF(C217=1,$AE$32,$AE$33)</f>
        <v/>
      </c>
      <c r="Z217" s="9">
        <f>Y217*X217</f>
        <v/>
      </c>
      <c r="AA217" s="10">
        <f>IF(W217&gt;$AE$34,1,0)</f>
        <v/>
      </c>
      <c r="AB217">
        <f>IF(AA217=C217,1,0)</f>
        <v/>
      </c>
    </row>
    <row r="218">
      <c r="A218">
        <f>'1 datos preparados'!A211</f>
        <v/>
      </c>
      <c r="B218" s="5">
        <f>'1 datos preparados'!U211</f>
        <v/>
      </c>
      <c r="C218">
        <f>'1 datos preparados'!B211</f>
        <v/>
      </c>
      <c r="D218" s="7">
        <f>'1 datos preparados'!C211</f>
        <v/>
      </c>
      <c r="E218" s="7">
        <f>'1 datos preparados'!D211</f>
        <v/>
      </c>
      <c r="F218" s="7">
        <f>'1 datos preparados'!E211</f>
        <v/>
      </c>
      <c r="G218" s="7">
        <f>'1 datos preparados'!F211</f>
        <v/>
      </c>
      <c r="H218" s="7">
        <f>'1 datos preparados'!G211</f>
        <v/>
      </c>
      <c r="I218" s="7">
        <f>'1 datos preparados'!H211</f>
        <v/>
      </c>
      <c r="J218" s="7">
        <f>'1 datos preparados'!I211</f>
        <v/>
      </c>
      <c r="K218" s="7">
        <f>'1 datos preparados'!J211</f>
        <v/>
      </c>
      <c r="L218" s="7">
        <f>'1 datos preparados'!K211</f>
        <v/>
      </c>
      <c r="M218" s="7">
        <f>'1 datos preparados'!L211</f>
        <v/>
      </c>
      <c r="N218" s="7">
        <f>'1 datos preparados'!M211</f>
        <v/>
      </c>
      <c r="O218" s="7">
        <f>'1 datos preparados'!N211</f>
        <v/>
      </c>
      <c r="P218" s="7">
        <f>'1 datos preparados'!O211</f>
        <v/>
      </c>
      <c r="Q218" s="7">
        <f>'1 datos preparados'!P211</f>
        <v/>
      </c>
      <c r="R218" s="7">
        <f>'1 datos preparados'!Q211</f>
        <v/>
      </c>
      <c r="S218" s="7">
        <f>'1 datos preparados'!R211</f>
        <v/>
      </c>
      <c r="T218" s="7">
        <f>'1 datos preparados'!S211</f>
        <v/>
      </c>
      <c r="U218" s="7">
        <f>'1 datos preparados'!T211</f>
        <v/>
      </c>
      <c r="V218" s="8">
        <f>$AE$12+D218*$AE$13+E218*$AE$14+F218*$AE$15+G218*$AE$16+H218*$AE$17+I218*$AE$18+J218*$AE$19+K218*$AE$20+L218*$AE$21+M218*$AE$22+N218*$AE$23+O218*$AE$24+P218*$AE$25+Q218*$AE$26+R218*$AE$27+S218*$AE$28+T218*$AE$29+U218*$AE$30</f>
        <v/>
      </c>
      <c r="W218" s="8">
        <f>1/(1+EXP(-V218))</f>
        <v/>
      </c>
      <c r="X218" s="9">
        <f>-IF(C218=1,LN(W218),LN(1-W218))</f>
        <v/>
      </c>
      <c r="Y218" s="8">
        <f>IF(C218=1,$AE$32,$AE$33)</f>
        <v/>
      </c>
      <c r="Z218" s="9">
        <f>Y218*X218</f>
        <v/>
      </c>
      <c r="AA218" s="10">
        <f>IF(W218&gt;$AE$34,1,0)</f>
        <v/>
      </c>
      <c r="AB218">
        <f>IF(AA218=C218,1,0)</f>
        <v/>
      </c>
    </row>
    <row r="219">
      <c r="A219">
        <f>'1 datos preparados'!A212</f>
        <v/>
      </c>
      <c r="B219" s="5">
        <f>'1 datos preparados'!U212</f>
        <v/>
      </c>
      <c r="C219">
        <f>'1 datos preparados'!B212</f>
        <v/>
      </c>
      <c r="D219" s="7">
        <f>'1 datos preparados'!C212</f>
        <v/>
      </c>
      <c r="E219" s="7">
        <f>'1 datos preparados'!D212</f>
        <v/>
      </c>
      <c r="F219" s="7">
        <f>'1 datos preparados'!E212</f>
        <v/>
      </c>
      <c r="G219" s="7">
        <f>'1 datos preparados'!F212</f>
        <v/>
      </c>
      <c r="H219" s="7">
        <f>'1 datos preparados'!G212</f>
        <v/>
      </c>
      <c r="I219" s="7">
        <f>'1 datos preparados'!H212</f>
        <v/>
      </c>
      <c r="J219" s="7">
        <f>'1 datos preparados'!I212</f>
        <v/>
      </c>
      <c r="K219" s="7">
        <f>'1 datos preparados'!J212</f>
        <v/>
      </c>
      <c r="L219" s="7">
        <f>'1 datos preparados'!K212</f>
        <v/>
      </c>
      <c r="M219" s="7">
        <f>'1 datos preparados'!L212</f>
        <v/>
      </c>
      <c r="N219" s="7">
        <f>'1 datos preparados'!M212</f>
        <v/>
      </c>
      <c r="O219" s="7">
        <f>'1 datos preparados'!N212</f>
        <v/>
      </c>
      <c r="P219" s="7">
        <f>'1 datos preparados'!O212</f>
        <v/>
      </c>
      <c r="Q219" s="7">
        <f>'1 datos preparados'!P212</f>
        <v/>
      </c>
      <c r="R219" s="7">
        <f>'1 datos preparados'!Q212</f>
        <v/>
      </c>
      <c r="S219" s="7">
        <f>'1 datos preparados'!R212</f>
        <v/>
      </c>
      <c r="T219" s="7">
        <f>'1 datos preparados'!S212</f>
        <v/>
      </c>
      <c r="U219" s="7">
        <f>'1 datos preparados'!T212</f>
        <v/>
      </c>
      <c r="V219" s="8">
        <f>$AE$12+D219*$AE$13+E219*$AE$14+F219*$AE$15+G219*$AE$16+H219*$AE$17+I219*$AE$18+J219*$AE$19+K219*$AE$20+L219*$AE$21+M219*$AE$22+N219*$AE$23+O219*$AE$24+P219*$AE$25+Q219*$AE$26+R219*$AE$27+S219*$AE$28+T219*$AE$29+U219*$AE$30</f>
        <v/>
      </c>
      <c r="W219" s="8">
        <f>1/(1+EXP(-V219))</f>
        <v/>
      </c>
      <c r="X219" s="9">
        <f>-IF(C219=1,LN(W219),LN(1-W219))</f>
        <v/>
      </c>
      <c r="Y219" s="8">
        <f>IF(C219=1,$AE$32,$AE$33)</f>
        <v/>
      </c>
      <c r="Z219" s="9">
        <f>Y219*X219</f>
        <v/>
      </c>
      <c r="AA219" s="10">
        <f>IF(W219&gt;$AE$34,1,0)</f>
        <v/>
      </c>
      <c r="AB219">
        <f>IF(AA219=C219,1,0)</f>
        <v/>
      </c>
    </row>
    <row r="220">
      <c r="A220">
        <f>'1 datos preparados'!A213</f>
        <v/>
      </c>
      <c r="B220" s="5">
        <f>'1 datos preparados'!U213</f>
        <v/>
      </c>
      <c r="C220">
        <f>'1 datos preparados'!B213</f>
        <v/>
      </c>
      <c r="D220" s="7">
        <f>'1 datos preparados'!C213</f>
        <v/>
      </c>
      <c r="E220" s="7">
        <f>'1 datos preparados'!D213</f>
        <v/>
      </c>
      <c r="F220" s="7">
        <f>'1 datos preparados'!E213</f>
        <v/>
      </c>
      <c r="G220" s="7">
        <f>'1 datos preparados'!F213</f>
        <v/>
      </c>
      <c r="H220" s="7">
        <f>'1 datos preparados'!G213</f>
        <v/>
      </c>
      <c r="I220" s="7">
        <f>'1 datos preparados'!H213</f>
        <v/>
      </c>
      <c r="J220" s="7">
        <f>'1 datos preparados'!I213</f>
        <v/>
      </c>
      <c r="K220" s="7">
        <f>'1 datos preparados'!J213</f>
        <v/>
      </c>
      <c r="L220" s="7">
        <f>'1 datos preparados'!K213</f>
        <v/>
      </c>
      <c r="M220" s="7">
        <f>'1 datos preparados'!L213</f>
        <v/>
      </c>
      <c r="N220" s="7">
        <f>'1 datos preparados'!M213</f>
        <v/>
      </c>
      <c r="O220" s="7">
        <f>'1 datos preparados'!N213</f>
        <v/>
      </c>
      <c r="P220" s="7">
        <f>'1 datos preparados'!O213</f>
        <v/>
      </c>
      <c r="Q220" s="7">
        <f>'1 datos preparados'!P213</f>
        <v/>
      </c>
      <c r="R220" s="7">
        <f>'1 datos preparados'!Q213</f>
        <v/>
      </c>
      <c r="S220" s="7">
        <f>'1 datos preparados'!R213</f>
        <v/>
      </c>
      <c r="T220" s="7">
        <f>'1 datos preparados'!S213</f>
        <v/>
      </c>
      <c r="U220" s="7">
        <f>'1 datos preparados'!T213</f>
        <v/>
      </c>
      <c r="V220" s="8">
        <f>$AE$12+D220*$AE$13+E220*$AE$14+F220*$AE$15+G220*$AE$16+H220*$AE$17+I220*$AE$18+J220*$AE$19+K220*$AE$20+L220*$AE$21+M220*$AE$22+N220*$AE$23+O220*$AE$24+P220*$AE$25+Q220*$AE$26+R220*$AE$27+S220*$AE$28+T220*$AE$29+U220*$AE$30</f>
        <v/>
      </c>
      <c r="W220" s="8">
        <f>1/(1+EXP(-V220))</f>
        <v/>
      </c>
      <c r="X220" s="9">
        <f>-IF(C220=1,LN(W220),LN(1-W220))</f>
        <v/>
      </c>
      <c r="Y220" s="8">
        <f>IF(C220=1,$AE$32,$AE$33)</f>
        <v/>
      </c>
      <c r="Z220" s="9">
        <f>Y220*X220</f>
        <v/>
      </c>
      <c r="AA220" s="10">
        <f>IF(W220&gt;$AE$34,1,0)</f>
        <v/>
      </c>
      <c r="AB220">
        <f>IF(AA220=C220,1,0)</f>
        <v/>
      </c>
    </row>
    <row r="221">
      <c r="A221">
        <f>'1 datos preparados'!A214</f>
        <v/>
      </c>
      <c r="B221" s="5">
        <f>'1 datos preparados'!U214</f>
        <v/>
      </c>
      <c r="C221">
        <f>'1 datos preparados'!B214</f>
        <v/>
      </c>
      <c r="D221" s="7">
        <f>'1 datos preparados'!C214</f>
        <v/>
      </c>
      <c r="E221" s="7">
        <f>'1 datos preparados'!D214</f>
        <v/>
      </c>
      <c r="F221" s="7">
        <f>'1 datos preparados'!E214</f>
        <v/>
      </c>
      <c r="G221" s="7">
        <f>'1 datos preparados'!F214</f>
        <v/>
      </c>
      <c r="H221" s="7">
        <f>'1 datos preparados'!G214</f>
        <v/>
      </c>
      <c r="I221" s="7">
        <f>'1 datos preparados'!H214</f>
        <v/>
      </c>
      <c r="J221" s="7">
        <f>'1 datos preparados'!I214</f>
        <v/>
      </c>
      <c r="K221" s="7">
        <f>'1 datos preparados'!J214</f>
        <v/>
      </c>
      <c r="L221" s="7">
        <f>'1 datos preparados'!K214</f>
        <v/>
      </c>
      <c r="M221" s="7">
        <f>'1 datos preparados'!L214</f>
        <v/>
      </c>
      <c r="N221" s="7">
        <f>'1 datos preparados'!M214</f>
        <v/>
      </c>
      <c r="O221" s="7">
        <f>'1 datos preparados'!N214</f>
        <v/>
      </c>
      <c r="P221" s="7">
        <f>'1 datos preparados'!O214</f>
        <v/>
      </c>
      <c r="Q221" s="7">
        <f>'1 datos preparados'!P214</f>
        <v/>
      </c>
      <c r="R221" s="7">
        <f>'1 datos preparados'!Q214</f>
        <v/>
      </c>
      <c r="S221" s="7">
        <f>'1 datos preparados'!R214</f>
        <v/>
      </c>
      <c r="T221" s="7">
        <f>'1 datos preparados'!S214</f>
        <v/>
      </c>
      <c r="U221" s="7">
        <f>'1 datos preparados'!T214</f>
        <v/>
      </c>
      <c r="V221" s="8">
        <f>$AE$12+D221*$AE$13+E221*$AE$14+F221*$AE$15+G221*$AE$16+H221*$AE$17+I221*$AE$18+J221*$AE$19+K221*$AE$20+L221*$AE$21+M221*$AE$22+N221*$AE$23+O221*$AE$24+P221*$AE$25+Q221*$AE$26+R221*$AE$27+S221*$AE$28+T221*$AE$29+U221*$AE$30</f>
        <v/>
      </c>
      <c r="W221" s="8">
        <f>1/(1+EXP(-V221))</f>
        <v/>
      </c>
      <c r="X221" s="9">
        <f>-IF(C221=1,LN(W221),LN(1-W221))</f>
        <v/>
      </c>
      <c r="Y221" s="8">
        <f>IF(C221=1,$AE$32,$AE$33)</f>
        <v/>
      </c>
      <c r="Z221" s="9">
        <f>Y221*X221</f>
        <v/>
      </c>
      <c r="AA221" s="10">
        <f>IF(W221&gt;$AE$34,1,0)</f>
        <v/>
      </c>
      <c r="AB221">
        <f>IF(AA221=C221,1,0)</f>
        <v/>
      </c>
    </row>
    <row r="222">
      <c r="A222">
        <f>'1 datos preparados'!A215</f>
        <v/>
      </c>
      <c r="B222" s="5">
        <f>'1 datos preparados'!U215</f>
        <v/>
      </c>
      <c r="C222">
        <f>'1 datos preparados'!B215</f>
        <v/>
      </c>
      <c r="D222" s="7">
        <f>'1 datos preparados'!C215</f>
        <v/>
      </c>
      <c r="E222" s="7">
        <f>'1 datos preparados'!D215</f>
        <v/>
      </c>
      <c r="F222" s="7">
        <f>'1 datos preparados'!E215</f>
        <v/>
      </c>
      <c r="G222" s="7">
        <f>'1 datos preparados'!F215</f>
        <v/>
      </c>
      <c r="H222" s="7">
        <f>'1 datos preparados'!G215</f>
        <v/>
      </c>
      <c r="I222" s="7">
        <f>'1 datos preparados'!H215</f>
        <v/>
      </c>
      <c r="J222" s="7">
        <f>'1 datos preparados'!I215</f>
        <v/>
      </c>
      <c r="K222" s="7">
        <f>'1 datos preparados'!J215</f>
        <v/>
      </c>
      <c r="L222" s="7">
        <f>'1 datos preparados'!K215</f>
        <v/>
      </c>
      <c r="M222" s="7">
        <f>'1 datos preparados'!L215</f>
        <v/>
      </c>
      <c r="N222" s="7">
        <f>'1 datos preparados'!M215</f>
        <v/>
      </c>
      <c r="O222" s="7">
        <f>'1 datos preparados'!N215</f>
        <v/>
      </c>
      <c r="P222" s="7">
        <f>'1 datos preparados'!O215</f>
        <v/>
      </c>
      <c r="Q222" s="7">
        <f>'1 datos preparados'!P215</f>
        <v/>
      </c>
      <c r="R222" s="7">
        <f>'1 datos preparados'!Q215</f>
        <v/>
      </c>
      <c r="S222" s="7">
        <f>'1 datos preparados'!R215</f>
        <v/>
      </c>
      <c r="T222" s="7">
        <f>'1 datos preparados'!S215</f>
        <v/>
      </c>
      <c r="U222" s="7">
        <f>'1 datos preparados'!T215</f>
        <v/>
      </c>
      <c r="V222" s="8">
        <f>$AE$12+D222*$AE$13+E222*$AE$14+F222*$AE$15+G222*$AE$16+H222*$AE$17+I222*$AE$18+J222*$AE$19+K222*$AE$20+L222*$AE$21+M222*$AE$22+N222*$AE$23+O222*$AE$24+P222*$AE$25+Q222*$AE$26+R222*$AE$27+S222*$AE$28+T222*$AE$29+U222*$AE$30</f>
        <v/>
      </c>
      <c r="W222" s="8">
        <f>1/(1+EXP(-V222))</f>
        <v/>
      </c>
      <c r="X222" s="9">
        <f>-IF(C222=1,LN(W222),LN(1-W222))</f>
        <v/>
      </c>
      <c r="Y222" s="8">
        <f>IF(C222=1,$AE$32,$AE$33)</f>
        <v/>
      </c>
      <c r="Z222" s="9">
        <f>Y222*X222</f>
        <v/>
      </c>
      <c r="AA222" s="10">
        <f>IF(W222&gt;$AE$34,1,0)</f>
        <v/>
      </c>
      <c r="AB222">
        <f>IF(AA222=C222,1,0)</f>
        <v/>
      </c>
    </row>
    <row r="223">
      <c r="A223">
        <f>'1 datos preparados'!A216</f>
        <v/>
      </c>
      <c r="B223" s="5">
        <f>'1 datos preparados'!U216</f>
        <v/>
      </c>
      <c r="C223">
        <f>'1 datos preparados'!B216</f>
        <v/>
      </c>
      <c r="D223" s="7">
        <f>'1 datos preparados'!C216</f>
        <v/>
      </c>
      <c r="E223" s="7">
        <f>'1 datos preparados'!D216</f>
        <v/>
      </c>
      <c r="F223" s="7">
        <f>'1 datos preparados'!E216</f>
        <v/>
      </c>
      <c r="G223" s="7">
        <f>'1 datos preparados'!F216</f>
        <v/>
      </c>
      <c r="H223" s="7">
        <f>'1 datos preparados'!G216</f>
        <v/>
      </c>
      <c r="I223" s="7">
        <f>'1 datos preparados'!H216</f>
        <v/>
      </c>
      <c r="J223" s="7">
        <f>'1 datos preparados'!I216</f>
        <v/>
      </c>
      <c r="K223" s="7">
        <f>'1 datos preparados'!J216</f>
        <v/>
      </c>
      <c r="L223" s="7">
        <f>'1 datos preparados'!K216</f>
        <v/>
      </c>
      <c r="M223" s="7">
        <f>'1 datos preparados'!L216</f>
        <v/>
      </c>
      <c r="N223" s="7">
        <f>'1 datos preparados'!M216</f>
        <v/>
      </c>
      <c r="O223" s="7">
        <f>'1 datos preparados'!N216</f>
        <v/>
      </c>
      <c r="P223" s="7">
        <f>'1 datos preparados'!O216</f>
        <v/>
      </c>
      <c r="Q223" s="7">
        <f>'1 datos preparados'!P216</f>
        <v/>
      </c>
      <c r="R223" s="7">
        <f>'1 datos preparados'!Q216</f>
        <v/>
      </c>
      <c r="S223" s="7">
        <f>'1 datos preparados'!R216</f>
        <v/>
      </c>
      <c r="T223" s="7">
        <f>'1 datos preparados'!S216</f>
        <v/>
      </c>
      <c r="U223" s="7">
        <f>'1 datos preparados'!T216</f>
        <v/>
      </c>
      <c r="V223" s="8">
        <f>$AE$12+D223*$AE$13+E223*$AE$14+F223*$AE$15+G223*$AE$16+H223*$AE$17+I223*$AE$18+J223*$AE$19+K223*$AE$20+L223*$AE$21+M223*$AE$22+N223*$AE$23+O223*$AE$24+P223*$AE$25+Q223*$AE$26+R223*$AE$27+S223*$AE$28+T223*$AE$29+U223*$AE$30</f>
        <v/>
      </c>
      <c r="W223" s="8">
        <f>1/(1+EXP(-V223))</f>
        <v/>
      </c>
      <c r="X223" s="9">
        <f>-IF(C223=1,LN(W223),LN(1-W223))</f>
        <v/>
      </c>
      <c r="Y223" s="8">
        <f>IF(C223=1,$AE$32,$AE$33)</f>
        <v/>
      </c>
      <c r="Z223" s="9">
        <f>Y223*X223</f>
        <v/>
      </c>
      <c r="AA223" s="10">
        <f>IF(W223&gt;$AE$34,1,0)</f>
        <v/>
      </c>
      <c r="AB223">
        <f>IF(AA223=C223,1,0)</f>
        <v/>
      </c>
    </row>
    <row r="224">
      <c r="A224">
        <f>'1 datos preparados'!A217</f>
        <v/>
      </c>
      <c r="B224" s="5">
        <f>'1 datos preparados'!U217</f>
        <v/>
      </c>
      <c r="C224">
        <f>'1 datos preparados'!B217</f>
        <v/>
      </c>
      <c r="D224" s="7">
        <f>'1 datos preparados'!C217</f>
        <v/>
      </c>
      <c r="E224" s="7">
        <f>'1 datos preparados'!D217</f>
        <v/>
      </c>
      <c r="F224" s="7">
        <f>'1 datos preparados'!E217</f>
        <v/>
      </c>
      <c r="G224" s="7">
        <f>'1 datos preparados'!F217</f>
        <v/>
      </c>
      <c r="H224" s="7">
        <f>'1 datos preparados'!G217</f>
        <v/>
      </c>
      <c r="I224" s="7">
        <f>'1 datos preparados'!H217</f>
        <v/>
      </c>
      <c r="J224" s="7">
        <f>'1 datos preparados'!I217</f>
        <v/>
      </c>
      <c r="K224" s="7">
        <f>'1 datos preparados'!J217</f>
        <v/>
      </c>
      <c r="L224" s="7">
        <f>'1 datos preparados'!K217</f>
        <v/>
      </c>
      <c r="M224" s="7">
        <f>'1 datos preparados'!L217</f>
        <v/>
      </c>
      <c r="N224" s="7">
        <f>'1 datos preparados'!M217</f>
        <v/>
      </c>
      <c r="O224" s="7">
        <f>'1 datos preparados'!N217</f>
        <v/>
      </c>
      <c r="P224" s="7">
        <f>'1 datos preparados'!O217</f>
        <v/>
      </c>
      <c r="Q224" s="7">
        <f>'1 datos preparados'!P217</f>
        <v/>
      </c>
      <c r="R224" s="7">
        <f>'1 datos preparados'!Q217</f>
        <v/>
      </c>
      <c r="S224" s="7">
        <f>'1 datos preparados'!R217</f>
        <v/>
      </c>
      <c r="T224" s="7">
        <f>'1 datos preparados'!S217</f>
        <v/>
      </c>
      <c r="U224" s="7">
        <f>'1 datos preparados'!T217</f>
        <v/>
      </c>
      <c r="V224" s="8">
        <f>$AE$12+D224*$AE$13+E224*$AE$14+F224*$AE$15+G224*$AE$16+H224*$AE$17+I224*$AE$18+J224*$AE$19+K224*$AE$20+L224*$AE$21+M224*$AE$22+N224*$AE$23+O224*$AE$24+P224*$AE$25+Q224*$AE$26+R224*$AE$27+S224*$AE$28+T224*$AE$29+U224*$AE$30</f>
        <v/>
      </c>
      <c r="W224" s="8">
        <f>1/(1+EXP(-V224))</f>
        <v/>
      </c>
      <c r="X224" s="9">
        <f>-IF(C224=1,LN(W224),LN(1-W224))</f>
        <v/>
      </c>
      <c r="Y224" s="8">
        <f>IF(C224=1,$AE$32,$AE$33)</f>
        <v/>
      </c>
      <c r="Z224" s="9">
        <f>Y224*X224</f>
        <v/>
      </c>
      <c r="AA224" s="10">
        <f>IF(W224&gt;$AE$34,1,0)</f>
        <v/>
      </c>
      <c r="AB224">
        <f>IF(AA224=C224,1,0)</f>
        <v/>
      </c>
    </row>
    <row r="225">
      <c r="A225">
        <f>'1 datos preparados'!A218</f>
        <v/>
      </c>
      <c r="B225" s="5">
        <f>'1 datos preparados'!U218</f>
        <v/>
      </c>
      <c r="C225">
        <f>'1 datos preparados'!B218</f>
        <v/>
      </c>
      <c r="D225" s="7">
        <f>'1 datos preparados'!C218</f>
        <v/>
      </c>
      <c r="E225" s="7">
        <f>'1 datos preparados'!D218</f>
        <v/>
      </c>
      <c r="F225" s="7">
        <f>'1 datos preparados'!E218</f>
        <v/>
      </c>
      <c r="G225" s="7">
        <f>'1 datos preparados'!F218</f>
        <v/>
      </c>
      <c r="H225" s="7">
        <f>'1 datos preparados'!G218</f>
        <v/>
      </c>
      <c r="I225" s="7">
        <f>'1 datos preparados'!H218</f>
        <v/>
      </c>
      <c r="J225" s="7">
        <f>'1 datos preparados'!I218</f>
        <v/>
      </c>
      <c r="K225" s="7">
        <f>'1 datos preparados'!J218</f>
        <v/>
      </c>
      <c r="L225" s="7">
        <f>'1 datos preparados'!K218</f>
        <v/>
      </c>
      <c r="M225" s="7">
        <f>'1 datos preparados'!L218</f>
        <v/>
      </c>
      <c r="N225" s="7">
        <f>'1 datos preparados'!M218</f>
        <v/>
      </c>
      <c r="O225" s="7">
        <f>'1 datos preparados'!N218</f>
        <v/>
      </c>
      <c r="P225" s="7">
        <f>'1 datos preparados'!O218</f>
        <v/>
      </c>
      <c r="Q225" s="7">
        <f>'1 datos preparados'!P218</f>
        <v/>
      </c>
      <c r="R225" s="7">
        <f>'1 datos preparados'!Q218</f>
        <v/>
      </c>
      <c r="S225" s="7">
        <f>'1 datos preparados'!R218</f>
        <v/>
      </c>
      <c r="T225" s="7">
        <f>'1 datos preparados'!S218</f>
        <v/>
      </c>
      <c r="U225" s="7">
        <f>'1 datos preparados'!T218</f>
        <v/>
      </c>
      <c r="V225" s="8">
        <f>$AE$12+D225*$AE$13+E225*$AE$14+F225*$AE$15+G225*$AE$16+H225*$AE$17+I225*$AE$18+J225*$AE$19+K225*$AE$20+L225*$AE$21+M225*$AE$22+N225*$AE$23+O225*$AE$24+P225*$AE$25+Q225*$AE$26+R225*$AE$27+S225*$AE$28+T225*$AE$29+U225*$AE$30</f>
        <v/>
      </c>
      <c r="W225" s="8">
        <f>1/(1+EXP(-V225))</f>
        <v/>
      </c>
      <c r="X225" s="9">
        <f>-IF(C225=1,LN(W225),LN(1-W225))</f>
        <v/>
      </c>
      <c r="Y225" s="8">
        <f>IF(C225=1,$AE$32,$AE$33)</f>
        <v/>
      </c>
      <c r="Z225" s="9">
        <f>Y225*X225</f>
        <v/>
      </c>
      <c r="AA225" s="10">
        <f>IF(W225&gt;$AE$34,1,0)</f>
        <v/>
      </c>
      <c r="AB225">
        <f>IF(AA225=C225,1,0)</f>
        <v/>
      </c>
    </row>
    <row r="226">
      <c r="A226">
        <f>'1 datos preparados'!A219</f>
        <v/>
      </c>
      <c r="B226" s="5">
        <f>'1 datos preparados'!U219</f>
        <v/>
      </c>
      <c r="C226">
        <f>'1 datos preparados'!B219</f>
        <v/>
      </c>
      <c r="D226" s="7">
        <f>'1 datos preparados'!C219</f>
        <v/>
      </c>
      <c r="E226" s="7">
        <f>'1 datos preparados'!D219</f>
        <v/>
      </c>
      <c r="F226" s="7">
        <f>'1 datos preparados'!E219</f>
        <v/>
      </c>
      <c r="G226" s="7">
        <f>'1 datos preparados'!F219</f>
        <v/>
      </c>
      <c r="H226" s="7">
        <f>'1 datos preparados'!G219</f>
        <v/>
      </c>
      <c r="I226" s="7">
        <f>'1 datos preparados'!H219</f>
        <v/>
      </c>
      <c r="J226" s="7">
        <f>'1 datos preparados'!I219</f>
        <v/>
      </c>
      <c r="K226" s="7">
        <f>'1 datos preparados'!J219</f>
        <v/>
      </c>
      <c r="L226" s="7">
        <f>'1 datos preparados'!K219</f>
        <v/>
      </c>
      <c r="M226" s="7">
        <f>'1 datos preparados'!L219</f>
        <v/>
      </c>
      <c r="N226" s="7">
        <f>'1 datos preparados'!M219</f>
        <v/>
      </c>
      <c r="O226" s="7">
        <f>'1 datos preparados'!N219</f>
        <v/>
      </c>
      <c r="P226" s="7">
        <f>'1 datos preparados'!O219</f>
        <v/>
      </c>
      <c r="Q226" s="7">
        <f>'1 datos preparados'!P219</f>
        <v/>
      </c>
      <c r="R226" s="7">
        <f>'1 datos preparados'!Q219</f>
        <v/>
      </c>
      <c r="S226" s="7">
        <f>'1 datos preparados'!R219</f>
        <v/>
      </c>
      <c r="T226" s="7">
        <f>'1 datos preparados'!S219</f>
        <v/>
      </c>
      <c r="U226" s="7">
        <f>'1 datos preparados'!T219</f>
        <v/>
      </c>
      <c r="V226" s="8">
        <f>$AE$12+D226*$AE$13+E226*$AE$14+F226*$AE$15+G226*$AE$16+H226*$AE$17+I226*$AE$18+J226*$AE$19+K226*$AE$20+L226*$AE$21+M226*$AE$22+N226*$AE$23+O226*$AE$24+P226*$AE$25+Q226*$AE$26+R226*$AE$27+S226*$AE$28+T226*$AE$29+U226*$AE$30</f>
        <v/>
      </c>
      <c r="W226" s="8">
        <f>1/(1+EXP(-V226))</f>
        <v/>
      </c>
      <c r="X226" s="9">
        <f>-IF(C226=1,LN(W226),LN(1-W226))</f>
        <v/>
      </c>
      <c r="Y226" s="8">
        <f>IF(C226=1,$AE$32,$AE$33)</f>
        <v/>
      </c>
      <c r="Z226" s="9">
        <f>Y226*X226</f>
        <v/>
      </c>
      <c r="AA226" s="10">
        <f>IF(W226&gt;$AE$34,1,0)</f>
        <v/>
      </c>
      <c r="AB226">
        <f>IF(AA226=C226,1,0)</f>
        <v/>
      </c>
    </row>
    <row r="227">
      <c r="A227">
        <f>'1 datos preparados'!A220</f>
        <v/>
      </c>
      <c r="B227" s="5">
        <f>'1 datos preparados'!U220</f>
        <v/>
      </c>
      <c r="C227">
        <f>'1 datos preparados'!B220</f>
        <v/>
      </c>
      <c r="D227" s="7">
        <f>'1 datos preparados'!C220</f>
        <v/>
      </c>
      <c r="E227" s="7">
        <f>'1 datos preparados'!D220</f>
        <v/>
      </c>
      <c r="F227" s="7">
        <f>'1 datos preparados'!E220</f>
        <v/>
      </c>
      <c r="G227" s="7">
        <f>'1 datos preparados'!F220</f>
        <v/>
      </c>
      <c r="H227" s="7">
        <f>'1 datos preparados'!G220</f>
        <v/>
      </c>
      <c r="I227" s="7">
        <f>'1 datos preparados'!H220</f>
        <v/>
      </c>
      <c r="J227" s="7">
        <f>'1 datos preparados'!I220</f>
        <v/>
      </c>
      <c r="K227" s="7">
        <f>'1 datos preparados'!J220</f>
        <v/>
      </c>
      <c r="L227" s="7">
        <f>'1 datos preparados'!K220</f>
        <v/>
      </c>
      <c r="M227" s="7">
        <f>'1 datos preparados'!L220</f>
        <v/>
      </c>
      <c r="N227" s="7">
        <f>'1 datos preparados'!M220</f>
        <v/>
      </c>
      <c r="O227" s="7">
        <f>'1 datos preparados'!N220</f>
        <v/>
      </c>
      <c r="P227" s="7">
        <f>'1 datos preparados'!O220</f>
        <v/>
      </c>
      <c r="Q227" s="7">
        <f>'1 datos preparados'!P220</f>
        <v/>
      </c>
      <c r="R227" s="7">
        <f>'1 datos preparados'!Q220</f>
        <v/>
      </c>
      <c r="S227" s="7">
        <f>'1 datos preparados'!R220</f>
        <v/>
      </c>
      <c r="T227" s="7">
        <f>'1 datos preparados'!S220</f>
        <v/>
      </c>
      <c r="U227" s="7">
        <f>'1 datos preparados'!T220</f>
        <v/>
      </c>
      <c r="V227" s="8">
        <f>$AE$12+D227*$AE$13+E227*$AE$14+F227*$AE$15+G227*$AE$16+H227*$AE$17+I227*$AE$18+J227*$AE$19+K227*$AE$20+L227*$AE$21+M227*$AE$22+N227*$AE$23+O227*$AE$24+P227*$AE$25+Q227*$AE$26+R227*$AE$27+S227*$AE$28+T227*$AE$29+U227*$AE$30</f>
        <v/>
      </c>
      <c r="W227" s="8">
        <f>1/(1+EXP(-V227))</f>
        <v/>
      </c>
      <c r="X227" s="9">
        <f>-IF(C227=1,LN(W227),LN(1-W227))</f>
        <v/>
      </c>
      <c r="Y227" s="8">
        <f>IF(C227=1,$AE$32,$AE$33)</f>
        <v/>
      </c>
      <c r="Z227" s="9">
        <f>Y227*X227</f>
        <v/>
      </c>
      <c r="AA227" s="10">
        <f>IF(W227&gt;$AE$34,1,0)</f>
        <v/>
      </c>
      <c r="AB227">
        <f>IF(AA227=C227,1,0)</f>
        <v/>
      </c>
    </row>
    <row r="228">
      <c r="A228">
        <f>'1 datos preparados'!A221</f>
        <v/>
      </c>
      <c r="B228" s="5">
        <f>'1 datos preparados'!U221</f>
        <v/>
      </c>
      <c r="C228">
        <f>'1 datos preparados'!B221</f>
        <v/>
      </c>
      <c r="D228" s="7">
        <f>'1 datos preparados'!C221</f>
        <v/>
      </c>
      <c r="E228" s="7">
        <f>'1 datos preparados'!D221</f>
        <v/>
      </c>
      <c r="F228" s="7">
        <f>'1 datos preparados'!E221</f>
        <v/>
      </c>
      <c r="G228" s="7">
        <f>'1 datos preparados'!F221</f>
        <v/>
      </c>
      <c r="H228" s="7">
        <f>'1 datos preparados'!G221</f>
        <v/>
      </c>
      <c r="I228" s="7">
        <f>'1 datos preparados'!H221</f>
        <v/>
      </c>
      <c r="J228" s="7">
        <f>'1 datos preparados'!I221</f>
        <v/>
      </c>
      <c r="K228" s="7">
        <f>'1 datos preparados'!J221</f>
        <v/>
      </c>
      <c r="L228" s="7">
        <f>'1 datos preparados'!K221</f>
        <v/>
      </c>
      <c r="M228" s="7">
        <f>'1 datos preparados'!L221</f>
        <v/>
      </c>
      <c r="N228" s="7">
        <f>'1 datos preparados'!M221</f>
        <v/>
      </c>
      <c r="O228" s="7">
        <f>'1 datos preparados'!N221</f>
        <v/>
      </c>
      <c r="P228" s="7">
        <f>'1 datos preparados'!O221</f>
        <v/>
      </c>
      <c r="Q228" s="7">
        <f>'1 datos preparados'!P221</f>
        <v/>
      </c>
      <c r="R228" s="7">
        <f>'1 datos preparados'!Q221</f>
        <v/>
      </c>
      <c r="S228" s="7">
        <f>'1 datos preparados'!R221</f>
        <v/>
      </c>
      <c r="T228" s="7">
        <f>'1 datos preparados'!S221</f>
        <v/>
      </c>
      <c r="U228" s="7">
        <f>'1 datos preparados'!T221</f>
        <v/>
      </c>
      <c r="V228" s="8">
        <f>$AE$12+D228*$AE$13+E228*$AE$14+F228*$AE$15+G228*$AE$16+H228*$AE$17+I228*$AE$18+J228*$AE$19+K228*$AE$20+L228*$AE$21+M228*$AE$22+N228*$AE$23+O228*$AE$24+P228*$AE$25+Q228*$AE$26+R228*$AE$27+S228*$AE$28+T228*$AE$29+U228*$AE$30</f>
        <v/>
      </c>
      <c r="W228" s="8">
        <f>1/(1+EXP(-V228))</f>
        <v/>
      </c>
      <c r="X228" s="9">
        <f>-IF(C228=1,LN(W228),LN(1-W228))</f>
        <v/>
      </c>
      <c r="Y228" s="8">
        <f>IF(C228=1,$AE$32,$AE$33)</f>
        <v/>
      </c>
      <c r="Z228" s="9">
        <f>Y228*X228</f>
        <v/>
      </c>
      <c r="AA228" s="10">
        <f>IF(W228&gt;$AE$34,1,0)</f>
        <v/>
      </c>
      <c r="AB228">
        <f>IF(AA228=C228,1,0)</f>
        <v/>
      </c>
    </row>
    <row r="229">
      <c r="A229">
        <f>'1 datos preparados'!A222</f>
        <v/>
      </c>
      <c r="B229" s="5">
        <f>'1 datos preparados'!U222</f>
        <v/>
      </c>
      <c r="C229">
        <f>'1 datos preparados'!B222</f>
        <v/>
      </c>
      <c r="D229" s="7">
        <f>'1 datos preparados'!C222</f>
        <v/>
      </c>
      <c r="E229" s="7">
        <f>'1 datos preparados'!D222</f>
        <v/>
      </c>
      <c r="F229" s="7">
        <f>'1 datos preparados'!E222</f>
        <v/>
      </c>
      <c r="G229" s="7">
        <f>'1 datos preparados'!F222</f>
        <v/>
      </c>
      <c r="H229" s="7">
        <f>'1 datos preparados'!G222</f>
        <v/>
      </c>
      <c r="I229" s="7">
        <f>'1 datos preparados'!H222</f>
        <v/>
      </c>
      <c r="J229" s="7">
        <f>'1 datos preparados'!I222</f>
        <v/>
      </c>
      <c r="K229" s="7">
        <f>'1 datos preparados'!J222</f>
        <v/>
      </c>
      <c r="L229" s="7">
        <f>'1 datos preparados'!K222</f>
        <v/>
      </c>
      <c r="M229" s="7">
        <f>'1 datos preparados'!L222</f>
        <v/>
      </c>
      <c r="N229" s="7">
        <f>'1 datos preparados'!M222</f>
        <v/>
      </c>
      <c r="O229" s="7">
        <f>'1 datos preparados'!N222</f>
        <v/>
      </c>
      <c r="P229" s="7">
        <f>'1 datos preparados'!O222</f>
        <v/>
      </c>
      <c r="Q229" s="7">
        <f>'1 datos preparados'!P222</f>
        <v/>
      </c>
      <c r="R229" s="7">
        <f>'1 datos preparados'!Q222</f>
        <v/>
      </c>
      <c r="S229" s="7">
        <f>'1 datos preparados'!R222</f>
        <v/>
      </c>
      <c r="T229" s="7">
        <f>'1 datos preparados'!S222</f>
        <v/>
      </c>
      <c r="U229" s="7">
        <f>'1 datos preparados'!T222</f>
        <v/>
      </c>
      <c r="V229" s="8">
        <f>$AE$12+D229*$AE$13+E229*$AE$14+F229*$AE$15+G229*$AE$16+H229*$AE$17+I229*$AE$18+J229*$AE$19+K229*$AE$20+L229*$AE$21+M229*$AE$22+N229*$AE$23+O229*$AE$24+P229*$AE$25+Q229*$AE$26+R229*$AE$27+S229*$AE$28+T229*$AE$29+U229*$AE$30</f>
        <v/>
      </c>
      <c r="W229" s="8">
        <f>1/(1+EXP(-V229))</f>
        <v/>
      </c>
      <c r="X229" s="9">
        <f>-IF(C229=1,LN(W229),LN(1-W229))</f>
        <v/>
      </c>
      <c r="Y229" s="8">
        <f>IF(C229=1,$AE$32,$AE$33)</f>
        <v/>
      </c>
      <c r="Z229" s="9">
        <f>Y229*X229</f>
        <v/>
      </c>
      <c r="AA229" s="10">
        <f>IF(W229&gt;$AE$34,1,0)</f>
        <v/>
      </c>
      <c r="AB229">
        <f>IF(AA229=C229,1,0)</f>
        <v/>
      </c>
    </row>
    <row r="230">
      <c r="A230">
        <f>'1 datos preparados'!A223</f>
        <v/>
      </c>
      <c r="B230" s="5">
        <f>'1 datos preparados'!U223</f>
        <v/>
      </c>
      <c r="C230">
        <f>'1 datos preparados'!B223</f>
        <v/>
      </c>
      <c r="D230" s="7">
        <f>'1 datos preparados'!C223</f>
        <v/>
      </c>
      <c r="E230" s="7">
        <f>'1 datos preparados'!D223</f>
        <v/>
      </c>
      <c r="F230" s="7">
        <f>'1 datos preparados'!E223</f>
        <v/>
      </c>
      <c r="G230" s="7">
        <f>'1 datos preparados'!F223</f>
        <v/>
      </c>
      <c r="H230" s="7">
        <f>'1 datos preparados'!G223</f>
        <v/>
      </c>
      <c r="I230" s="7">
        <f>'1 datos preparados'!H223</f>
        <v/>
      </c>
      <c r="J230" s="7">
        <f>'1 datos preparados'!I223</f>
        <v/>
      </c>
      <c r="K230" s="7">
        <f>'1 datos preparados'!J223</f>
        <v/>
      </c>
      <c r="L230" s="7">
        <f>'1 datos preparados'!K223</f>
        <v/>
      </c>
      <c r="M230" s="7">
        <f>'1 datos preparados'!L223</f>
        <v/>
      </c>
      <c r="N230" s="7">
        <f>'1 datos preparados'!M223</f>
        <v/>
      </c>
      <c r="O230" s="7">
        <f>'1 datos preparados'!N223</f>
        <v/>
      </c>
      <c r="P230" s="7">
        <f>'1 datos preparados'!O223</f>
        <v/>
      </c>
      <c r="Q230" s="7">
        <f>'1 datos preparados'!P223</f>
        <v/>
      </c>
      <c r="R230" s="7">
        <f>'1 datos preparados'!Q223</f>
        <v/>
      </c>
      <c r="S230" s="7">
        <f>'1 datos preparados'!R223</f>
        <v/>
      </c>
      <c r="T230" s="7">
        <f>'1 datos preparados'!S223</f>
        <v/>
      </c>
      <c r="U230" s="7">
        <f>'1 datos preparados'!T223</f>
        <v/>
      </c>
      <c r="V230" s="8">
        <f>$AE$12+D230*$AE$13+E230*$AE$14+F230*$AE$15+G230*$AE$16+H230*$AE$17+I230*$AE$18+J230*$AE$19+K230*$AE$20+L230*$AE$21+M230*$AE$22+N230*$AE$23+O230*$AE$24+P230*$AE$25+Q230*$AE$26+R230*$AE$27+S230*$AE$28+T230*$AE$29+U230*$AE$30</f>
        <v/>
      </c>
      <c r="W230" s="8">
        <f>1/(1+EXP(-V230))</f>
        <v/>
      </c>
      <c r="X230" s="9">
        <f>-IF(C230=1,LN(W230),LN(1-W230))</f>
        <v/>
      </c>
      <c r="Y230" s="8">
        <f>IF(C230=1,$AE$32,$AE$33)</f>
        <v/>
      </c>
      <c r="Z230" s="9">
        <f>Y230*X230</f>
        <v/>
      </c>
      <c r="AA230" s="10">
        <f>IF(W230&gt;$AE$34,1,0)</f>
        <v/>
      </c>
      <c r="AB230">
        <f>IF(AA230=C230,1,0)</f>
        <v/>
      </c>
    </row>
    <row r="231">
      <c r="A231">
        <f>'1 datos preparados'!A224</f>
        <v/>
      </c>
      <c r="B231" s="5">
        <f>'1 datos preparados'!U224</f>
        <v/>
      </c>
      <c r="C231">
        <f>'1 datos preparados'!B224</f>
        <v/>
      </c>
      <c r="D231" s="7">
        <f>'1 datos preparados'!C224</f>
        <v/>
      </c>
      <c r="E231" s="7">
        <f>'1 datos preparados'!D224</f>
        <v/>
      </c>
      <c r="F231" s="7">
        <f>'1 datos preparados'!E224</f>
        <v/>
      </c>
      <c r="G231" s="7">
        <f>'1 datos preparados'!F224</f>
        <v/>
      </c>
      <c r="H231" s="7">
        <f>'1 datos preparados'!G224</f>
        <v/>
      </c>
      <c r="I231" s="7">
        <f>'1 datos preparados'!H224</f>
        <v/>
      </c>
      <c r="J231" s="7">
        <f>'1 datos preparados'!I224</f>
        <v/>
      </c>
      <c r="K231" s="7">
        <f>'1 datos preparados'!J224</f>
        <v/>
      </c>
      <c r="L231" s="7">
        <f>'1 datos preparados'!K224</f>
        <v/>
      </c>
      <c r="M231" s="7">
        <f>'1 datos preparados'!L224</f>
        <v/>
      </c>
      <c r="N231" s="7">
        <f>'1 datos preparados'!M224</f>
        <v/>
      </c>
      <c r="O231" s="7">
        <f>'1 datos preparados'!N224</f>
        <v/>
      </c>
      <c r="P231" s="7">
        <f>'1 datos preparados'!O224</f>
        <v/>
      </c>
      <c r="Q231" s="7">
        <f>'1 datos preparados'!P224</f>
        <v/>
      </c>
      <c r="R231" s="7">
        <f>'1 datos preparados'!Q224</f>
        <v/>
      </c>
      <c r="S231" s="7">
        <f>'1 datos preparados'!R224</f>
        <v/>
      </c>
      <c r="T231" s="7">
        <f>'1 datos preparados'!S224</f>
        <v/>
      </c>
      <c r="U231" s="7">
        <f>'1 datos preparados'!T224</f>
        <v/>
      </c>
      <c r="V231" s="8">
        <f>$AE$12+D231*$AE$13+E231*$AE$14+F231*$AE$15+G231*$AE$16+H231*$AE$17+I231*$AE$18+J231*$AE$19+K231*$AE$20+L231*$AE$21+M231*$AE$22+N231*$AE$23+O231*$AE$24+P231*$AE$25+Q231*$AE$26+R231*$AE$27+S231*$AE$28+T231*$AE$29+U231*$AE$30</f>
        <v/>
      </c>
      <c r="W231" s="8">
        <f>1/(1+EXP(-V231))</f>
        <v/>
      </c>
      <c r="X231" s="9">
        <f>-IF(C231=1,LN(W231),LN(1-W231))</f>
        <v/>
      </c>
      <c r="Y231" s="8">
        <f>IF(C231=1,$AE$32,$AE$33)</f>
        <v/>
      </c>
      <c r="Z231" s="9">
        <f>Y231*X231</f>
        <v/>
      </c>
      <c r="AA231" s="10">
        <f>IF(W231&gt;$AE$34,1,0)</f>
        <v/>
      </c>
      <c r="AB231">
        <f>IF(AA231=C231,1,0)</f>
        <v/>
      </c>
    </row>
    <row r="232">
      <c r="A232">
        <f>'1 datos preparados'!A225</f>
        <v/>
      </c>
      <c r="B232" s="5">
        <f>'1 datos preparados'!U225</f>
        <v/>
      </c>
      <c r="C232">
        <f>'1 datos preparados'!B225</f>
        <v/>
      </c>
      <c r="D232" s="7">
        <f>'1 datos preparados'!C225</f>
        <v/>
      </c>
      <c r="E232" s="7">
        <f>'1 datos preparados'!D225</f>
        <v/>
      </c>
      <c r="F232" s="7">
        <f>'1 datos preparados'!E225</f>
        <v/>
      </c>
      <c r="G232" s="7">
        <f>'1 datos preparados'!F225</f>
        <v/>
      </c>
      <c r="H232" s="7">
        <f>'1 datos preparados'!G225</f>
        <v/>
      </c>
      <c r="I232" s="7">
        <f>'1 datos preparados'!H225</f>
        <v/>
      </c>
      <c r="J232" s="7">
        <f>'1 datos preparados'!I225</f>
        <v/>
      </c>
      <c r="K232" s="7">
        <f>'1 datos preparados'!J225</f>
        <v/>
      </c>
      <c r="L232" s="7">
        <f>'1 datos preparados'!K225</f>
        <v/>
      </c>
      <c r="M232" s="7">
        <f>'1 datos preparados'!L225</f>
        <v/>
      </c>
      <c r="N232" s="7">
        <f>'1 datos preparados'!M225</f>
        <v/>
      </c>
      <c r="O232" s="7">
        <f>'1 datos preparados'!N225</f>
        <v/>
      </c>
      <c r="P232" s="7">
        <f>'1 datos preparados'!O225</f>
        <v/>
      </c>
      <c r="Q232" s="7">
        <f>'1 datos preparados'!P225</f>
        <v/>
      </c>
      <c r="R232" s="7">
        <f>'1 datos preparados'!Q225</f>
        <v/>
      </c>
      <c r="S232" s="7">
        <f>'1 datos preparados'!R225</f>
        <v/>
      </c>
      <c r="T232" s="7">
        <f>'1 datos preparados'!S225</f>
        <v/>
      </c>
      <c r="U232" s="7">
        <f>'1 datos preparados'!T225</f>
        <v/>
      </c>
      <c r="V232" s="8">
        <f>$AE$12+D232*$AE$13+E232*$AE$14+F232*$AE$15+G232*$AE$16+H232*$AE$17+I232*$AE$18+J232*$AE$19+K232*$AE$20+L232*$AE$21+M232*$AE$22+N232*$AE$23+O232*$AE$24+P232*$AE$25+Q232*$AE$26+R232*$AE$27+S232*$AE$28+T232*$AE$29+U232*$AE$30</f>
        <v/>
      </c>
      <c r="W232" s="8">
        <f>1/(1+EXP(-V232))</f>
        <v/>
      </c>
      <c r="X232" s="9">
        <f>-IF(C232=1,LN(W232),LN(1-W232))</f>
        <v/>
      </c>
      <c r="Y232" s="8">
        <f>IF(C232=1,$AE$32,$AE$33)</f>
        <v/>
      </c>
      <c r="Z232" s="9">
        <f>Y232*X232</f>
        <v/>
      </c>
      <c r="AA232" s="10">
        <f>IF(W232&gt;$AE$34,1,0)</f>
        <v/>
      </c>
      <c r="AB232">
        <f>IF(AA232=C232,1,0)</f>
        <v/>
      </c>
    </row>
    <row r="233">
      <c r="A233">
        <f>'1 datos preparados'!A226</f>
        <v/>
      </c>
      <c r="B233" s="5">
        <f>'1 datos preparados'!U226</f>
        <v/>
      </c>
      <c r="C233">
        <f>'1 datos preparados'!B226</f>
        <v/>
      </c>
      <c r="D233" s="7">
        <f>'1 datos preparados'!C226</f>
        <v/>
      </c>
      <c r="E233" s="7">
        <f>'1 datos preparados'!D226</f>
        <v/>
      </c>
      <c r="F233" s="7">
        <f>'1 datos preparados'!E226</f>
        <v/>
      </c>
      <c r="G233" s="7">
        <f>'1 datos preparados'!F226</f>
        <v/>
      </c>
      <c r="H233" s="7">
        <f>'1 datos preparados'!G226</f>
        <v/>
      </c>
      <c r="I233" s="7">
        <f>'1 datos preparados'!H226</f>
        <v/>
      </c>
      <c r="J233" s="7">
        <f>'1 datos preparados'!I226</f>
        <v/>
      </c>
      <c r="K233" s="7">
        <f>'1 datos preparados'!J226</f>
        <v/>
      </c>
      <c r="L233" s="7">
        <f>'1 datos preparados'!K226</f>
        <v/>
      </c>
      <c r="M233" s="7">
        <f>'1 datos preparados'!L226</f>
        <v/>
      </c>
      <c r="N233" s="7">
        <f>'1 datos preparados'!M226</f>
        <v/>
      </c>
      <c r="O233" s="7">
        <f>'1 datos preparados'!N226</f>
        <v/>
      </c>
      <c r="P233" s="7">
        <f>'1 datos preparados'!O226</f>
        <v/>
      </c>
      <c r="Q233" s="7">
        <f>'1 datos preparados'!P226</f>
        <v/>
      </c>
      <c r="R233" s="7">
        <f>'1 datos preparados'!Q226</f>
        <v/>
      </c>
      <c r="S233" s="7">
        <f>'1 datos preparados'!R226</f>
        <v/>
      </c>
      <c r="T233" s="7">
        <f>'1 datos preparados'!S226</f>
        <v/>
      </c>
      <c r="U233" s="7">
        <f>'1 datos preparados'!T226</f>
        <v/>
      </c>
      <c r="V233" s="8">
        <f>$AE$12+D233*$AE$13+E233*$AE$14+F233*$AE$15+G233*$AE$16+H233*$AE$17+I233*$AE$18+J233*$AE$19+K233*$AE$20+L233*$AE$21+M233*$AE$22+N233*$AE$23+O233*$AE$24+P233*$AE$25+Q233*$AE$26+R233*$AE$27+S233*$AE$28+T233*$AE$29+U233*$AE$30</f>
        <v/>
      </c>
      <c r="W233" s="8">
        <f>1/(1+EXP(-V233))</f>
        <v/>
      </c>
      <c r="X233" s="9">
        <f>-IF(C233=1,LN(W233),LN(1-W233))</f>
        <v/>
      </c>
      <c r="Y233" s="8">
        <f>IF(C233=1,$AE$32,$AE$33)</f>
        <v/>
      </c>
      <c r="Z233" s="9">
        <f>Y233*X233</f>
        <v/>
      </c>
      <c r="AA233" s="10">
        <f>IF(W233&gt;$AE$34,1,0)</f>
        <v/>
      </c>
      <c r="AB233">
        <f>IF(AA233=C233,1,0)</f>
        <v/>
      </c>
    </row>
    <row r="234">
      <c r="A234">
        <f>'1 datos preparados'!A227</f>
        <v/>
      </c>
      <c r="B234" s="5">
        <f>'1 datos preparados'!U227</f>
        <v/>
      </c>
      <c r="C234">
        <f>'1 datos preparados'!B227</f>
        <v/>
      </c>
      <c r="D234" s="7">
        <f>'1 datos preparados'!C227</f>
        <v/>
      </c>
      <c r="E234" s="7">
        <f>'1 datos preparados'!D227</f>
        <v/>
      </c>
      <c r="F234" s="7">
        <f>'1 datos preparados'!E227</f>
        <v/>
      </c>
      <c r="G234" s="7">
        <f>'1 datos preparados'!F227</f>
        <v/>
      </c>
      <c r="H234" s="7">
        <f>'1 datos preparados'!G227</f>
        <v/>
      </c>
      <c r="I234" s="7">
        <f>'1 datos preparados'!H227</f>
        <v/>
      </c>
      <c r="J234" s="7">
        <f>'1 datos preparados'!I227</f>
        <v/>
      </c>
      <c r="K234" s="7">
        <f>'1 datos preparados'!J227</f>
        <v/>
      </c>
      <c r="L234" s="7">
        <f>'1 datos preparados'!K227</f>
        <v/>
      </c>
      <c r="M234" s="7">
        <f>'1 datos preparados'!L227</f>
        <v/>
      </c>
      <c r="N234" s="7">
        <f>'1 datos preparados'!M227</f>
        <v/>
      </c>
      <c r="O234" s="7">
        <f>'1 datos preparados'!N227</f>
        <v/>
      </c>
      <c r="P234" s="7">
        <f>'1 datos preparados'!O227</f>
        <v/>
      </c>
      <c r="Q234" s="7">
        <f>'1 datos preparados'!P227</f>
        <v/>
      </c>
      <c r="R234" s="7">
        <f>'1 datos preparados'!Q227</f>
        <v/>
      </c>
      <c r="S234" s="7">
        <f>'1 datos preparados'!R227</f>
        <v/>
      </c>
      <c r="T234" s="7">
        <f>'1 datos preparados'!S227</f>
        <v/>
      </c>
      <c r="U234" s="7">
        <f>'1 datos preparados'!T227</f>
        <v/>
      </c>
      <c r="V234" s="8">
        <f>$AE$12+D234*$AE$13+E234*$AE$14+F234*$AE$15+G234*$AE$16+H234*$AE$17+I234*$AE$18+J234*$AE$19+K234*$AE$20+L234*$AE$21+M234*$AE$22+N234*$AE$23+O234*$AE$24+P234*$AE$25+Q234*$AE$26+R234*$AE$27+S234*$AE$28+T234*$AE$29+U234*$AE$30</f>
        <v/>
      </c>
      <c r="W234" s="8">
        <f>1/(1+EXP(-V234))</f>
        <v/>
      </c>
      <c r="X234" s="9">
        <f>-IF(C234=1,LN(W234),LN(1-W234))</f>
        <v/>
      </c>
      <c r="Y234" s="8">
        <f>IF(C234=1,$AE$32,$AE$33)</f>
        <v/>
      </c>
      <c r="Z234" s="9">
        <f>Y234*X234</f>
        <v/>
      </c>
      <c r="AA234" s="10">
        <f>IF(W234&gt;$AE$34,1,0)</f>
        <v/>
      </c>
      <c r="AB234">
        <f>IF(AA234=C234,1,0)</f>
        <v/>
      </c>
    </row>
    <row r="235">
      <c r="A235">
        <f>'1 datos preparados'!A228</f>
        <v/>
      </c>
      <c r="B235" s="5">
        <f>'1 datos preparados'!U228</f>
        <v/>
      </c>
      <c r="C235">
        <f>'1 datos preparados'!B228</f>
        <v/>
      </c>
      <c r="D235" s="7">
        <f>'1 datos preparados'!C228</f>
        <v/>
      </c>
      <c r="E235" s="7">
        <f>'1 datos preparados'!D228</f>
        <v/>
      </c>
      <c r="F235" s="7">
        <f>'1 datos preparados'!E228</f>
        <v/>
      </c>
      <c r="G235" s="7">
        <f>'1 datos preparados'!F228</f>
        <v/>
      </c>
      <c r="H235" s="7">
        <f>'1 datos preparados'!G228</f>
        <v/>
      </c>
      <c r="I235" s="7">
        <f>'1 datos preparados'!H228</f>
        <v/>
      </c>
      <c r="J235" s="7">
        <f>'1 datos preparados'!I228</f>
        <v/>
      </c>
      <c r="K235" s="7">
        <f>'1 datos preparados'!J228</f>
        <v/>
      </c>
      <c r="L235" s="7">
        <f>'1 datos preparados'!K228</f>
        <v/>
      </c>
      <c r="M235" s="7">
        <f>'1 datos preparados'!L228</f>
        <v/>
      </c>
      <c r="N235" s="7">
        <f>'1 datos preparados'!M228</f>
        <v/>
      </c>
      <c r="O235" s="7">
        <f>'1 datos preparados'!N228</f>
        <v/>
      </c>
      <c r="P235" s="7">
        <f>'1 datos preparados'!O228</f>
        <v/>
      </c>
      <c r="Q235" s="7">
        <f>'1 datos preparados'!P228</f>
        <v/>
      </c>
      <c r="R235" s="7">
        <f>'1 datos preparados'!Q228</f>
        <v/>
      </c>
      <c r="S235" s="7">
        <f>'1 datos preparados'!R228</f>
        <v/>
      </c>
      <c r="T235" s="7">
        <f>'1 datos preparados'!S228</f>
        <v/>
      </c>
      <c r="U235" s="7">
        <f>'1 datos preparados'!T228</f>
        <v/>
      </c>
      <c r="V235" s="8">
        <f>$AE$12+D235*$AE$13+E235*$AE$14+F235*$AE$15+G235*$AE$16+H235*$AE$17+I235*$AE$18+J235*$AE$19+K235*$AE$20+L235*$AE$21+M235*$AE$22+N235*$AE$23+O235*$AE$24+P235*$AE$25+Q235*$AE$26+R235*$AE$27+S235*$AE$28+T235*$AE$29+U235*$AE$30</f>
        <v/>
      </c>
      <c r="W235" s="8">
        <f>1/(1+EXP(-V235))</f>
        <v/>
      </c>
      <c r="X235" s="9">
        <f>-IF(C235=1,LN(W235),LN(1-W235))</f>
        <v/>
      </c>
      <c r="Y235" s="8">
        <f>IF(C235=1,$AE$32,$AE$33)</f>
        <v/>
      </c>
      <c r="Z235" s="9">
        <f>Y235*X235</f>
        <v/>
      </c>
      <c r="AA235" s="10">
        <f>IF(W235&gt;$AE$34,1,0)</f>
        <v/>
      </c>
      <c r="AB235">
        <f>IF(AA235=C235,1,0)</f>
        <v/>
      </c>
    </row>
    <row r="236">
      <c r="A236">
        <f>'1 datos preparados'!A229</f>
        <v/>
      </c>
      <c r="B236" s="5">
        <f>'1 datos preparados'!U229</f>
        <v/>
      </c>
      <c r="C236">
        <f>'1 datos preparados'!B229</f>
        <v/>
      </c>
      <c r="D236" s="7">
        <f>'1 datos preparados'!C229</f>
        <v/>
      </c>
      <c r="E236" s="7">
        <f>'1 datos preparados'!D229</f>
        <v/>
      </c>
      <c r="F236" s="7">
        <f>'1 datos preparados'!E229</f>
        <v/>
      </c>
      <c r="G236" s="7">
        <f>'1 datos preparados'!F229</f>
        <v/>
      </c>
      <c r="H236" s="7">
        <f>'1 datos preparados'!G229</f>
        <v/>
      </c>
      <c r="I236" s="7">
        <f>'1 datos preparados'!H229</f>
        <v/>
      </c>
      <c r="J236" s="7">
        <f>'1 datos preparados'!I229</f>
        <v/>
      </c>
      <c r="K236" s="7">
        <f>'1 datos preparados'!J229</f>
        <v/>
      </c>
      <c r="L236" s="7">
        <f>'1 datos preparados'!K229</f>
        <v/>
      </c>
      <c r="M236" s="7">
        <f>'1 datos preparados'!L229</f>
        <v/>
      </c>
      <c r="N236" s="7">
        <f>'1 datos preparados'!M229</f>
        <v/>
      </c>
      <c r="O236" s="7">
        <f>'1 datos preparados'!N229</f>
        <v/>
      </c>
      <c r="P236" s="7">
        <f>'1 datos preparados'!O229</f>
        <v/>
      </c>
      <c r="Q236" s="7">
        <f>'1 datos preparados'!P229</f>
        <v/>
      </c>
      <c r="R236" s="7">
        <f>'1 datos preparados'!Q229</f>
        <v/>
      </c>
      <c r="S236" s="7">
        <f>'1 datos preparados'!R229</f>
        <v/>
      </c>
      <c r="T236" s="7">
        <f>'1 datos preparados'!S229</f>
        <v/>
      </c>
      <c r="U236" s="7">
        <f>'1 datos preparados'!T229</f>
        <v/>
      </c>
      <c r="V236" s="8">
        <f>$AE$12+D236*$AE$13+E236*$AE$14+F236*$AE$15+G236*$AE$16+H236*$AE$17+I236*$AE$18+J236*$AE$19+K236*$AE$20+L236*$AE$21+M236*$AE$22+N236*$AE$23+O236*$AE$24+P236*$AE$25+Q236*$AE$26+R236*$AE$27+S236*$AE$28+T236*$AE$29+U236*$AE$30</f>
        <v/>
      </c>
      <c r="W236" s="8">
        <f>1/(1+EXP(-V236))</f>
        <v/>
      </c>
      <c r="X236" s="9">
        <f>-IF(C236=1,LN(W236),LN(1-W236))</f>
        <v/>
      </c>
      <c r="Y236" s="8">
        <f>IF(C236=1,$AE$32,$AE$33)</f>
        <v/>
      </c>
      <c r="Z236" s="9">
        <f>Y236*X236</f>
        <v/>
      </c>
      <c r="AA236" s="10">
        <f>IF(W236&gt;$AE$34,1,0)</f>
        <v/>
      </c>
      <c r="AB236">
        <f>IF(AA236=C236,1,0)</f>
        <v/>
      </c>
    </row>
    <row r="237">
      <c r="A237">
        <f>'1 datos preparados'!A230</f>
        <v/>
      </c>
      <c r="B237" s="5">
        <f>'1 datos preparados'!U230</f>
        <v/>
      </c>
      <c r="C237">
        <f>'1 datos preparados'!B230</f>
        <v/>
      </c>
      <c r="D237" s="7">
        <f>'1 datos preparados'!C230</f>
        <v/>
      </c>
      <c r="E237" s="7">
        <f>'1 datos preparados'!D230</f>
        <v/>
      </c>
      <c r="F237" s="7">
        <f>'1 datos preparados'!E230</f>
        <v/>
      </c>
      <c r="G237" s="7">
        <f>'1 datos preparados'!F230</f>
        <v/>
      </c>
      <c r="H237" s="7">
        <f>'1 datos preparados'!G230</f>
        <v/>
      </c>
      <c r="I237" s="7">
        <f>'1 datos preparados'!H230</f>
        <v/>
      </c>
      <c r="J237" s="7">
        <f>'1 datos preparados'!I230</f>
        <v/>
      </c>
      <c r="K237" s="7">
        <f>'1 datos preparados'!J230</f>
        <v/>
      </c>
      <c r="L237" s="7">
        <f>'1 datos preparados'!K230</f>
        <v/>
      </c>
      <c r="M237" s="7">
        <f>'1 datos preparados'!L230</f>
        <v/>
      </c>
      <c r="N237" s="7">
        <f>'1 datos preparados'!M230</f>
        <v/>
      </c>
      <c r="O237" s="7">
        <f>'1 datos preparados'!N230</f>
        <v/>
      </c>
      <c r="P237" s="7">
        <f>'1 datos preparados'!O230</f>
        <v/>
      </c>
      <c r="Q237" s="7">
        <f>'1 datos preparados'!P230</f>
        <v/>
      </c>
      <c r="R237" s="7">
        <f>'1 datos preparados'!Q230</f>
        <v/>
      </c>
      <c r="S237" s="7">
        <f>'1 datos preparados'!R230</f>
        <v/>
      </c>
      <c r="T237" s="7">
        <f>'1 datos preparados'!S230</f>
        <v/>
      </c>
      <c r="U237" s="7">
        <f>'1 datos preparados'!T230</f>
        <v/>
      </c>
      <c r="V237" s="8">
        <f>$AE$12+D237*$AE$13+E237*$AE$14+F237*$AE$15+G237*$AE$16+H237*$AE$17+I237*$AE$18+J237*$AE$19+K237*$AE$20+L237*$AE$21+M237*$AE$22+N237*$AE$23+O237*$AE$24+P237*$AE$25+Q237*$AE$26+R237*$AE$27+S237*$AE$28+T237*$AE$29+U237*$AE$30</f>
        <v/>
      </c>
      <c r="W237" s="8">
        <f>1/(1+EXP(-V237))</f>
        <v/>
      </c>
      <c r="X237" s="9">
        <f>-IF(C237=1,LN(W237),LN(1-W237))</f>
        <v/>
      </c>
      <c r="Y237" s="8">
        <f>IF(C237=1,$AE$32,$AE$33)</f>
        <v/>
      </c>
      <c r="Z237" s="9">
        <f>Y237*X237</f>
        <v/>
      </c>
      <c r="AA237" s="10">
        <f>IF(W237&gt;$AE$34,1,0)</f>
        <v/>
      </c>
      <c r="AB237">
        <f>IF(AA237=C237,1,0)</f>
        <v/>
      </c>
    </row>
    <row r="238">
      <c r="A238">
        <f>'1 datos preparados'!A231</f>
        <v/>
      </c>
      <c r="B238" s="5">
        <f>'1 datos preparados'!U231</f>
        <v/>
      </c>
      <c r="C238">
        <f>'1 datos preparados'!B231</f>
        <v/>
      </c>
      <c r="D238" s="7">
        <f>'1 datos preparados'!C231</f>
        <v/>
      </c>
      <c r="E238" s="7">
        <f>'1 datos preparados'!D231</f>
        <v/>
      </c>
      <c r="F238" s="7">
        <f>'1 datos preparados'!E231</f>
        <v/>
      </c>
      <c r="G238" s="7">
        <f>'1 datos preparados'!F231</f>
        <v/>
      </c>
      <c r="H238" s="7">
        <f>'1 datos preparados'!G231</f>
        <v/>
      </c>
      <c r="I238" s="7">
        <f>'1 datos preparados'!H231</f>
        <v/>
      </c>
      <c r="J238" s="7">
        <f>'1 datos preparados'!I231</f>
        <v/>
      </c>
      <c r="K238" s="7">
        <f>'1 datos preparados'!J231</f>
        <v/>
      </c>
      <c r="L238" s="7">
        <f>'1 datos preparados'!K231</f>
        <v/>
      </c>
      <c r="M238" s="7">
        <f>'1 datos preparados'!L231</f>
        <v/>
      </c>
      <c r="N238" s="7">
        <f>'1 datos preparados'!M231</f>
        <v/>
      </c>
      <c r="O238" s="7">
        <f>'1 datos preparados'!N231</f>
        <v/>
      </c>
      <c r="P238" s="7">
        <f>'1 datos preparados'!O231</f>
        <v/>
      </c>
      <c r="Q238" s="7">
        <f>'1 datos preparados'!P231</f>
        <v/>
      </c>
      <c r="R238" s="7">
        <f>'1 datos preparados'!Q231</f>
        <v/>
      </c>
      <c r="S238" s="7">
        <f>'1 datos preparados'!R231</f>
        <v/>
      </c>
      <c r="T238" s="7">
        <f>'1 datos preparados'!S231</f>
        <v/>
      </c>
      <c r="U238" s="7">
        <f>'1 datos preparados'!T231</f>
        <v/>
      </c>
      <c r="V238" s="8">
        <f>$AE$12+D238*$AE$13+E238*$AE$14+F238*$AE$15+G238*$AE$16+H238*$AE$17+I238*$AE$18+J238*$AE$19+K238*$AE$20+L238*$AE$21+M238*$AE$22+N238*$AE$23+O238*$AE$24+P238*$AE$25+Q238*$AE$26+R238*$AE$27+S238*$AE$28+T238*$AE$29+U238*$AE$30</f>
        <v/>
      </c>
      <c r="W238" s="8">
        <f>1/(1+EXP(-V238))</f>
        <v/>
      </c>
      <c r="X238" s="9">
        <f>-IF(C238=1,LN(W238),LN(1-W238))</f>
        <v/>
      </c>
      <c r="Y238" s="8">
        <f>IF(C238=1,$AE$32,$AE$33)</f>
        <v/>
      </c>
      <c r="Z238" s="9">
        <f>Y238*X238</f>
        <v/>
      </c>
      <c r="AA238" s="10">
        <f>IF(W238&gt;$AE$34,1,0)</f>
        <v/>
      </c>
      <c r="AB238">
        <f>IF(AA238=C238,1,0)</f>
        <v/>
      </c>
    </row>
    <row r="239">
      <c r="A239">
        <f>'1 datos preparados'!A232</f>
        <v/>
      </c>
      <c r="B239" s="5">
        <f>'1 datos preparados'!U232</f>
        <v/>
      </c>
      <c r="C239">
        <f>'1 datos preparados'!B232</f>
        <v/>
      </c>
      <c r="D239" s="7">
        <f>'1 datos preparados'!C232</f>
        <v/>
      </c>
      <c r="E239" s="7">
        <f>'1 datos preparados'!D232</f>
        <v/>
      </c>
      <c r="F239" s="7">
        <f>'1 datos preparados'!E232</f>
        <v/>
      </c>
      <c r="G239" s="7">
        <f>'1 datos preparados'!F232</f>
        <v/>
      </c>
      <c r="H239" s="7">
        <f>'1 datos preparados'!G232</f>
        <v/>
      </c>
      <c r="I239" s="7">
        <f>'1 datos preparados'!H232</f>
        <v/>
      </c>
      <c r="J239" s="7">
        <f>'1 datos preparados'!I232</f>
        <v/>
      </c>
      <c r="K239" s="7">
        <f>'1 datos preparados'!J232</f>
        <v/>
      </c>
      <c r="L239" s="7">
        <f>'1 datos preparados'!K232</f>
        <v/>
      </c>
      <c r="M239" s="7">
        <f>'1 datos preparados'!L232</f>
        <v/>
      </c>
      <c r="N239" s="7">
        <f>'1 datos preparados'!M232</f>
        <v/>
      </c>
      <c r="O239" s="7">
        <f>'1 datos preparados'!N232</f>
        <v/>
      </c>
      <c r="P239" s="7">
        <f>'1 datos preparados'!O232</f>
        <v/>
      </c>
      <c r="Q239" s="7">
        <f>'1 datos preparados'!P232</f>
        <v/>
      </c>
      <c r="R239" s="7">
        <f>'1 datos preparados'!Q232</f>
        <v/>
      </c>
      <c r="S239" s="7">
        <f>'1 datos preparados'!R232</f>
        <v/>
      </c>
      <c r="T239" s="7">
        <f>'1 datos preparados'!S232</f>
        <v/>
      </c>
      <c r="U239" s="7">
        <f>'1 datos preparados'!T232</f>
        <v/>
      </c>
      <c r="V239" s="8">
        <f>$AE$12+D239*$AE$13+E239*$AE$14+F239*$AE$15+G239*$AE$16+H239*$AE$17+I239*$AE$18+J239*$AE$19+K239*$AE$20+L239*$AE$21+M239*$AE$22+N239*$AE$23+O239*$AE$24+P239*$AE$25+Q239*$AE$26+R239*$AE$27+S239*$AE$28+T239*$AE$29+U239*$AE$30</f>
        <v/>
      </c>
      <c r="W239" s="8">
        <f>1/(1+EXP(-V239))</f>
        <v/>
      </c>
      <c r="X239" s="9">
        <f>-IF(C239=1,LN(W239),LN(1-W239))</f>
        <v/>
      </c>
      <c r="Y239" s="8">
        <f>IF(C239=1,$AE$32,$AE$33)</f>
        <v/>
      </c>
      <c r="Z239" s="9">
        <f>Y239*X239</f>
        <v/>
      </c>
      <c r="AA239" s="10">
        <f>IF(W239&gt;$AE$34,1,0)</f>
        <v/>
      </c>
      <c r="AB239">
        <f>IF(AA239=C239,1,0)</f>
        <v/>
      </c>
    </row>
    <row r="240">
      <c r="A240">
        <f>'1 datos preparados'!A233</f>
        <v/>
      </c>
      <c r="B240" s="5">
        <f>'1 datos preparados'!U233</f>
        <v/>
      </c>
      <c r="C240">
        <f>'1 datos preparados'!B233</f>
        <v/>
      </c>
      <c r="D240" s="7">
        <f>'1 datos preparados'!C233</f>
        <v/>
      </c>
      <c r="E240" s="7">
        <f>'1 datos preparados'!D233</f>
        <v/>
      </c>
      <c r="F240" s="7">
        <f>'1 datos preparados'!E233</f>
        <v/>
      </c>
      <c r="G240" s="7">
        <f>'1 datos preparados'!F233</f>
        <v/>
      </c>
      <c r="H240" s="7">
        <f>'1 datos preparados'!G233</f>
        <v/>
      </c>
      <c r="I240" s="7">
        <f>'1 datos preparados'!H233</f>
        <v/>
      </c>
      <c r="J240" s="7">
        <f>'1 datos preparados'!I233</f>
        <v/>
      </c>
      <c r="K240" s="7">
        <f>'1 datos preparados'!J233</f>
        <v/>
      </c>
      <c r="L240" s="7">
        <f>'1 datos preparados'!K233</f>
        <v/>
      </c>
      <c r="M240" s="7">
        <f>'1 datos preparados'!L233</f>
        <v/>
      </c>
      <c r="N240" s="7">
        <f>'1 datos preparados'!M233</f>
        <v/>
      </c>
      <c r="O240" s="7">
        <f>'1 datos preparados'!N233</f>
        <v/>
      </c>
      <c r="P240" s="7">
        <f>'1 datos preparados'!O233</f>
        <v/>
      </c>
      <c r="Q240" s="7">
        <f>'1 datos preparados'!P233</f>
        <v/>
      </c>
      <c r="R240" s="7">
        <f>'1 datos preparados'!Q233</f>
        <v/>
      </c>
      <c r="S240" s="7">
        <f>'1 datos preparados'!R233</f>
        <v/>
      </c>
      <c r="T240" s="7">
        <f>'1 datos preparados'!S233</f>
        <v/>
      </c>
      <c r="U240" s="7">
        <f>'1 datos preparados'!T233</f>
        <v/>
      </c>
      <c r="V240" s="8">
        <f>$AE$12+D240*$AE$13+E240*$AE$14+F240*$AE$15+G240*$AE$16+H240*$AE$17+I240*$AE$18+J240*$AE$19+K240*$AE$20+L240*$AE$21+M240*$AE$22+N240*$AE$23+O240*$AE$24+P240*$AE$25+Q240*$AE$26+R240*$AE$27+S240*$AE$28+T240*$AE$29+U240*$AE$30</f>
        <v/>
      </c>
      <c r="W240" s="8">
        <f>1/(1+EXP(-V240))</f>
        <v/>
      </c>
      <c r="X240" s="9">
        <f>-IF(C240=1,LN(W240),LN(1-W240))</f>
        <v/>
      </c>
      <c r="Y240" s="8">
        <f>IF(C240=1,$AE$32,$AE$33)</f>
        <v/>
      </c>
      <c r="Z240" s="9">
        <f>Y240*X240</f>
        <v/>
      </c>
      <c r="AA240" s="10">
        <f>IF(W240&gt;$AE$34,1,0)</f>
        <v/>
      </c>
      <c r="AB240">
        <f>IF(AA240=C240,1,0)</f>
        <v/>
      </c>
    </row>
    <row r="241">
      <c r="A241">
        <f>'1 datos preparados'!A234</f>
        <v/>
      </c>
      <c r="B241" s="5">
        <f>'1 datos preparados'!U234</f>
        <v/>
      </c>
      <c r="C241">
        <f>'1 datos preparados'!B234</f>
        <v/>
      </c>
      <c r="D241" s="7">
        <f>'1 datos preparados'!C234</f>
        <v/>
      </c>
      <c r="E241" s="7">
        <f>'1 datos preparados'!D234</f>
        <v/>
      </c>
      <c r="F241" s="7">
        <f>'1 datos preparados'!E234</f>
        <v/>
      </c>
      <c r="G241" s="7">
        <f>'1 datos preparados'!F234</f>
        <v/>
      </c>
      <c r="H241" s="7">
        <f>'1 datos preparados'!G234</f>
        <v/>
      </c>
      <c r="I241" s="7">
        <f>'1 datos preparados'!H234</f>
        <v/>
      </c>
      <c r="J241" s="7">
        <f>'1 datos preparados'!I234</f>
        <v/>
      </c>
      <c r="K241" s="7">
        <f>'1 datos preparados'!J234</f>
        <v/>
      </c>
      <c r="L241" s="7">
        <f>'1 datos preparados'!K234</f>
        <v/>
      </c>
      <c r="M241" s="7">
        <f>'1 datos preparados'!L234</f>
        <v/>
      </c>
      <c r="N241" s="7">
        <f>'1 datos preparados'!M234</f>
        <v/>
      </c>
      <c r="O241" s="7">
        <f>'1 datos preparados'!N234</f>
        <v/>
      </c>
      <c r="P241" s="7">
        <f>'1 datos preparados'!O234</f>
        <v/>
      </c>
      <c r="Q241" s="7">
        <f>'1 datos preparados'!P234</f>
        <v/>
      </c>
      <c r="R241" s="7">
        <f>'1 datos preparados'!Q234</f>
        <v/>
      </c>
      <c r="S241" s="7">
        <f>'1 datos preparados'!R234</f>
        <v/>
      </c>
      <c r="T241" s="7">
        <f>'1 datos preparados'!S234</f>
        <v/>
      </c>
      <c r="U241" s="7">
        <f>'1 datos preparados'!T234</f>
        <v/>
      </c>
      <c r="V241" s="8">
        <f>$AE$12+D241*$AE$13+E241*$AE$14+F241*$AE$15+G241*$AE$16+H241*$AE$17+I241*$AE$18+J241*$AE$19+K241*$AE$20+L241*$AE$21+M241*$AE$22+N241*$AE$23+O241*$AE$24+P241*$AE$25+Q241*$AE$26+R241*$AE$27+S241*$AE$28+T241*$AE$29+U241*$AE$30</f>
        <v/>
      </c>
      <c r="W241" s="8">
        <f>1/(1+EXP(-V241))</f>
        <v/>
      </c>
      <c r="X241" s="9">
        <f>-IF(C241=1,LN(W241),LN(1-W241))</f>
        <v/>
      </c>
      <c r="Y241" s="8">
        <f>IF(C241=1,$AE$32,$AE$33)</f>
        <v/>
      </c>
      <c r="Z241" s="9">
        <f>Y241*X241</f>
        <v/>
      </c>
      <c r="AA241" s="10">
        <f>IF(W241&gt;$AE$34,1,0)</f>
        <v/>
      </c>
      <c r="AB241">
        <f>IF(AA241=C241,1,0)</f>
        <v/>
      </c>
    </row>
    <row r="242">
      <c r="A242">
        <f>'1 datos preparados'!A235</f>
        <v/>
      </c>
      <c r="B242" s="5">
        <f>'1 datos preparados'!U235</f>
        <v/>
      </c>
      <c r="C242">
        <f>'1 datos preparados'!B235</f>
        <v/>
      </c>
      <c r="D242" s="7">
        <f>'1 datos preparados'!C235</f>
        <v/>
      </c>
      <c r="E242" s="7">
        <f>'1 datos preparados'!D235</f>
        <v/>
      </c>
      <c r="F242" s="7">
        <f>'1 datos preparados'!E235</f>
        <v/>
      </c>
      <c r="G242" s="7">
        <f>'1 datos preparados'!F235</f>
        <v/>
      </c>
      <c r="H242" s="7">
        <f>'1 datos preparados'!G235</f>
        <v/>
      </c>
      <c r="I242" s="7">
        <f>'1 datos preparados'!H235</f>
        <v/>
      </c>
      <c r="J242" s="7">
        <f>'1 datos preparados'!I235</f>
        <v/>
      </c>
      <c r="K242" s="7">
        <f>'1 datos preparados'!J235</f>
        <v/>
      </c>
      <c r="L242" s="7">
        <f>'1 datos preparados'!K235</f>
        <v/>
      </c>
      <c r="M242" s="7">
        <f>'1 datos preparados'!L235</f>
        <v/>
      </c>
      <c r="N242" s="7">
        <f>'1 datos preparados'!M235</f>
        <v/>
      </c>
      <c r="O242" s="7">
        <f>'1 datos preparados'!N235</f>
        <v/>
      </c>
      <c r="P242" s="7">
        <f>'1 datos preparados'!O235</f>
        <v/>
      </c>
      <c r="Q242" s="7">
        <f>'1 datos preparados'!P235</f>
        <v/>
      </c>
      <c r="R242" s="7">
        <f>'1 datos preparados'!Q235</f>
        <v/>
      </c>
      <c r="S242" s="7">
        <f>'1 datos preparados'!R235</f>
        <v/>
      </c>
      <c r="T242" s="7">
        <f>'1 datos preparados'!S235</f>
        <v/>
      </c>
      <c r="U242" s="7">
        <f>'1 datos preparados'!T235</f>
        <v/>
      </c>
      <c r="V242" s="8">
        <f>$AE$12+D242*$AE$13+E242*$AE$14+F242*$AE$15+G242*$AE$16+H242*$AE$17+I242*$AE$18+J242*$AE$19+K242*$AE$20+L242*$AE$21+M242*$AE$22+N242*$AE$23+O242*$AE$24+P242*$AE$25+Q242*$AE$26+R242*$AE$27+S242*$AE$28+T242*$AE$29+U242*$AE$30</f>
        <v/>
      </c>
      <c r="W242" s="8">
        <f>1/(1+EXP(-V242))</f>
        <v/>
      </c>
      <c r="X242" s="9">
        <f>-IF(C242=1,LN(W242),LN(1-W242))</f>
        <v/>
      </c>
      <c r="Y242" s="8">
        <f>IF(C242=1,$AE$32,$AE$33)</f>
        <v/>
      </c>
      <c r="Z242" s="9">
        <f>Y242*X242</f>
        <v/>
      </c>
      <c r="AA242" s="10">
        <f>IF(W242&gt;$AE$34,1,0)</f>
        <v/>
      </c>
      <c r="AB242">
        <f>IF(AA242=C242,1,0)</f>
        <v/>
      </c>
    </row>
    <row r="243">
      <c r="A243">
        <f>'1 datos preparados'!A236</f>
        <v/>
      </c>
      <c r="B243" s="5">
        <f>'1 datos preparados'!U236</f>
        <v/>
      </c>
      <c r="C243">
        <f>'1 datos preparados'!B236</f>
        <v/>
      </c>
      <c r="D243" s="7">
        <f>'1 datos preparados'!C236</f>
        <v/>
      </c>
      <c r="E243" s="7">
        <f>'1 datos preparados'!D236</f>
        <v/>
      </c>
      <c r="F243" s="7">
        <f>'1 datos preparados'!E236</f>
        <v/>
      </c>
      <c r="G243" s="7">
        <f>'1 datos preparados'!F236</f>
        <v/>
      </c>
      <c r="H243" s="7">
        <f>'1 datos preparados'!G236</f>
        <v/>
      </c>
      <c r="I243" s="7">
        <f>'1 datos preparados'!H236</f>
        <v/>
      </c>
      <c r="J243" s="7">
        <f>'1 datos preparados'!I236</f>
        <v/>
      </c>
      <c r="K243" s="7">
        <f>'1 datos preparados'!J236</f>
        <v/>
      </c>
      <c r="L243" s="7">
        <f>'1 datos preparados'!K236</f>
        <v/>
      </c>
      <c r="M243" s="7">
        <f>'1 datos preparados'!L236</f>
        <v/>
      </c>
      <c r="N243" s="7">
        <f>'1 datos preparados'!M236</f>
        <v/>
      </c>
      <c r="O243" s="7">
        <f>'1 datos preparados'!N236</f>
        <v/>
      </c>
      <c r="P243" s="7">
        <f>'1 datos preparados'!O236</f>
        <v/>
      </c>
      <c r="Q243" s="7">
        <f>'1 datos preparados'!P236</f>
        <v/>
      </c>
      <c r="R243" s="7">
        <f>'1 datos preparados'!Q236</f>
        <v/>
      </c>
      <c r="S243" s="7">
        <f>'1 datos preparados'!R236</f>
        <v/>
      </c>
      <c r="T243" s="7">
        <f>'1 datos preparados'!S236</f>
        <v/>
      </c>
      <c r="U243" s="7">
        <f>'1 datos preparados'!T236</f>
        <v/>
      </c>
      <c r="V243" s="8">
        <f>$AE$12+D243*$AE$13+E243*$AE$14+F243*$AE$15+G243*$AE$16+H243*$AE$17+I243*$AE$18+J243*$AE$19+K243*$AE$20+L243*$AE$21+M243*$AE$22+N243*$AE$23+O243*$AE$24+P243*$AE$25+Q243*$AE$26+R243*$AE$27+S243*$AE$28+T243*$AE$29+U243*$AE$30</f>
        <v/>
      </c>
      <c r="W243" s="8">
        <f>1/(1+EXP(-V243))</f>
        <v/>
      </c>
      <c r="X243" s="9">
        <f>-IF(C243=1,LN(W243),LN(1-W243))</f>
        <v/>
      </c>
      <c r="Y243" s="8">
        <f>IF(C243=1,$AE$32,$AE$33)</f>
        <v/>
      </c>
      <c r="Z243" s="9">
        <f>Y243*X243</f>
        <v/>
      </c>
      <c r="AA243" s="10">
        <f>IF(W243&gt;$AE$34,1,0)</f>
        <v/>
      </c>
      <c r="AB243">
        <f>IF(AA243=C243,1,0)</f>
        <v/>
      </c>
    </row>
    <row r="244">
      <c r="A244">
        <f>'1 datos preparados'!A237</f>
        <v/>
      </c>
      <c r="B244" s="5">
        <f>'1 datos preparados'!U237</f>
        <v/>
      </c>
      <c r="C244">
        <f>'1 datos preparados'!B237</f>
        <v/>
      </c>
      <c r="D244" s="7">
        <f>'1 datos preparados'!C237</f>
        <v/>
      </c>
      <c r="E244" s="7">
        <f>'1 datos preparados'!D237</f>
        <v/>
      </c>
      <c r="F244" s="7">
        <f>'1 datos preparados'!E237</f>
        <v/>
      </c>
      <c r="G244" s="7">
        <f>'1 datos preparados'!F237</f>
        <v/>
      </c>
      <c r="H244" s="7">
        <f>'1 datos preparados'!G237</f>
        <v/>
      </c>
      <c r="I244" s="7">
        <f>'1 datos preparados'!H237</f>
        <v/>
      </c>
      <c r="J244" s="7">
        <f>'1 datos preparados'!I237</f>
        <v/>
      </c>
      <c r="K244" s="7">
        <f>'1 datos preparados'!J237</f>
        <v/>
      </c>
      <c r="L244" s="7">
        <f>'1 datos preparados'!K237</f>
        <v/>
      </c>
      <c r="M244" s="7">
        <f>'1 datos preparados'!L237</f>
        <v/>
      </c>
      <c r="N244" s="7">
        <f>'1 datos preparados'!M237</f>
        <v/>
      </c>
      <c r="O244" s="7">
        <f>'1 datos preparados'!N237</f>
        <v/>
      </c>
      <c r="P244" s="7">
        <f>'1 datos preparados'!O237</f>
        <v/>
      </c>
      <c r="Q244" s="7">
        <f>'1 datos preparados'!P237</f>
        <v/>
      </c>
      <c r="R244" s="7">
        <f>'1 datos preparados'!Q237</f>
        <v/>
      </c>
      <c r="S244" s="7">
        <f>'1 datos preparados'!R237</f>
        <v/>
      </c>
      <c r="T244" s="7">
        <f>'1 datos preparados'!S237</f>
        <v/>
      </c>
      <c r="U244" s="7">
        <f>'1 datos preparados'!T237</f>
        <v/>
      </c>
      <c r="V244" s="8">
        <f>$AE$12+D244*$AE$13+E244*$AE$14+F244*$AE$15+G244*$AE$16+H244*$AE$17+I244*$AE$18+J244*$AE$19+K244*$AE$20+L244*$AE$21+M244*$AE$22+N244*$AE$23+O244*$AE$24+P244*$AE$25+Q244*$AE$26+R244*$AE$27+S244*$AE$28+T244*$AE$29+U244*$AE$30</f>
        <v/>
      </c>
      <c r="W244" s="8">
        <f>1/(1+EXP(-V244))</f>
        <v/>
      </c>
      <c r="X244" s="9">
        <f>-IF(C244=1,LN(W244),LN(1-W244))</f>
        <v/>
      </c>
      <c r="Y244" s="8">
        <f>IF(C244=1,$AE$32,$AE$33)</f>
        <v/>
      </c>
      <c r="Z244" s="9">
        <f>Y244*X244</f>
        <v/>
      </c>
      <c r="AA244" s="10">
        <f>IF(W244&gt;$AE$34,1,0)</f>
        <v/>
      </c>
      <c r="AB244">
        <f>IF(AA244=C244,1,0)</f>
        <v/>
      </c>
    </row>
    <row r="245">
      <c r="A245">
        <f>'1 datos preparados'!A238</f>
        <v/>
      </c>
      <c r="B245" s="5">
        <f>'1 datos preparados'!U238</f>
        <v/>
      </c>
      <c r="C245">
        <f>'1 datos preparados'!B238</f>
        <v/>
      </c>
      <c r="D245" s="7">
        <f>'1 datos preparados'!C238</f>
        <v/>
      </c>
      <c r="E245" s="7">
        <f>'1 datos preparados'!D238</f>
        <v/>
      </c>
      <c r="F245" s="7">
        <f>'1 datos preparados'!E238</f>
        <v/>
      </c>
      <c r="G245" s="7">
        <f>'1 datos preparados'!F238</f>
        <v/>
      </c>
      <c r="H245" s="7">
        <f>'1 datos preparados'!G238</f>
        <v/>
      </c>
      <c r="I245" s="7">
        <f>'1 datos preparados'!H238</f>
        <v/>
      </c>
      <c r="J245" s="7">
        <f>'1 datos preparados'!I238</f>
        <v/>
      </c>
      <c r="K245" s="7">
        <f>'1 datos preparados'!J238</f>
        <v/>
      </c>
      <c r="L245" s="7">
        <f>'1 datos preparados'!K238</f>
        <v/>
      </c>
      <c r="M245" s="7">
        <f>'1 datos preparados'!L238</f>
        <v/>
      </c>
      <c r="N245" s="7">
        <f>'1 datos preparados'!M238</f>
        <v/>
      </c>
      <c r="O245" s="7">
        <f>'1 datos preparados'!N238</f>
        <v/>
      </c>
      <c r="P245" s="7">
        <f>'1 datos preparados'!O238</f>
        <v/>
      </c>
      <c r="Q245" s="7">
        <f>'1 datos preparados'!P238</f>
        <v/>
      </c>
      <c r="R245" s="7">
        <f>'1 datos preparados'!Q238</f>
        <v/>
      </c>
      <c r="S245" s="7">
        <f>'1 datos preparados'!R238</f>
        <v/>
      </c>
      <c r="T245" s="7">
        <f>'1 datos preparados'!S238</f>
        <v/>
      </c>
      <c r="U245" s="7">
        <f>'1 datos preparados'!T238</f>
        <v/>
      </c>
      <c r="V245" s="8">
        <f>$AE$12+D245*$AE$13+E245*$AE$14+F245*$AE$15+G245*$AE$16+H245*$AE$17+I245*$AE$18+J245*$AE$19+K245*$AE$20+L245*$AE$21+M245*$AE$22+N245*$AE$23+O245*$AE$24+P245*$AE$25+Q245*$AE$26+R245*$AE$27+S245*$AE$28+T245*$AE$29+U245*$AE$30</f>
        <v/>
      </c>
      <c r="W245" s="8">
        <f>1/(1+EXP(-V245))</f>
        <v/>
      </c>
      <c r="X245" s="9">
        <f>-IF(C245=1,LN(W245),LN(1-W245))</f>
        <v/>
      </c>
      <c r="Y245" s="8">
        <f>IF(C245=1,$AE$32,$AE$33)</f>
        <v/>
      </c>
      <c r="Z245" s="9">
        <f>Y245*X245</f>
        <v/>
      </c>
      <c r="AA245" s="10">
        <f>IF(W245&gt;$AE$34,1,0)</f>
        <v/>
      </c>
      <c r="AB245">
        <f>IF(AA245=C245,1,0)</f>
        <v/>
      </c>
    </row>
    <row r="246">
      <c r="A246">
        <f>'1 datos preparados'!A239</f>
        <v/>
      </c>
      <c r="B246" s="5">
        <f>'1 datos preparados'!U239</f>
        <v/>
      </c>
      <c r="C246">
        <f>'1 datos preparados'!B239</f>
        <v/>
      </c>
      <c r="D246" s="7">
        <f>'1 datos preparados'!C239</f>
        <v/>
      </c>
      <c r="E246" s="7">
        <f>'1 datos preparados'!D239</f>
        <v/>
      </c>
      <c r="F246" s="7">
        <f>'1 datos preparados'!E239</f>
        <v/>
      </c>
      <c r="G246" s="7">
        <f>'1 datos preparados'!F239</f>
        <v/>
      </c>
      <c r="H246" s="7">
        <f>'1 datos preparados'!G239</f>
        <v/>
      </c>
      <c r="I246" s="7">
        <f>'1 datos preparados'!H239</f>
        <v/>
      </c>
      <c r="J246" s="7">
        <f>'1 datos preparados'!I239</f>
        <v/>
      </c>
      <c r="K246" s="7">
        <f>'1 datos preparados'!J239</f>
        <v/>
      </c>
      <c r="L246" s="7">
        <f>'1 datos preparados'!K239</f>
        <v/>
      </c>
      <c r="M246" s="7">
        <f>'1 datos preparados'!L239</f>
        <v/>
      </c>
      <c r="N246" s="7">
        <f>'1 datos preparados'!M239</f>
        <v/>
      </c>
      <c r="O246" s="7">
        <f>'1 datos preparados'!N239</f>
        <v/>
      </c>
      <c r="P246" s="7">
        <f>'1 datos preparados'!O239</f>
        <v/>
      </c>
      <c r="Q246" s="7">
        <f>'1 datos preparados'!P239</f>
        <v/>
      </c>
      <c r="R246" s="7">
        <f>'1 datos preparados'!Q239</f>
        <v/>
      </c>
      <c r="S246" s="7">
        <f>'1 datos preparados'!R239</f>
        <v/>
      </c>
      <c r="T246" s="7">
        <f>'1 datos preparados'!S239</f>
        <v/>
      </c>
      <c r="U246" s="7">
        <f>'1 datos preparados'!T239</f>
        <v/>
      </c>
      <c r="V246" s="8">
        <f>$AE$12+D246*$AE$13+E246*$AE$14+F246*$AE$15+G246*$AE$16+H246*$AE$17+I246*$AE$18+J246*$AE$19+K246*$AE$20+L246*$AE$21+M246*$AE$22+N246*$AE$23+O246*$AE$24+P246*$AE$25+Q246*$AE$26+R246*$AE$27+S246*$AE$28+T246*$AE$29+U246*$AE$30</f>
        <v/>
      </c>
      <c r="W246" s="8">
        <f>1/(1+EXP(-V246))</f>
        <v/>
      </c>
      <c r="X246" s="9">
        <f>-IF(C246=1,LN(W246),LN(1-W246))</f>
        <v/>
      </c>
      <c r="Y246" s="8">
        <f>IF(C246=1,$AE$32,$AE$33)</f>
        <v/>
      </c>
      <c r="Z246" s="9">
        <f>Y246*X246</f>
        <v/>
      </c>
      <c r="AA246" s="10">
        <f>IF(W246&gt;$AE$34,1,0)</f>
        <v/>
      </c>
      <c r="AB246">
        <f>IF(AA246=C246,1,0)</f>
        <v/>
      </c>
    </row>
    <row r="247">
      <c r="A247">
        <f>'1 datos preparados'!A240</f>
        <v/>
      </c>
      <c r="B247" s="5">
        <f>'1 datos preparados'!U240</f>
        <v/>
      </c>
      <c r="C247">
        <f>'1 datos preparados'!B240</f>
        <v/>
      </c>
      <c r="D247" s="7">
        <f>'1 datos preparados'!C240</f>
        <v/>
      </c>
      <c r="E247" s="7">
        <f>'1 datos preparados'!D240</f>
        <v/>
      </c>
      <c r="F247" s="7">
        <f>'1 datos preparados'!E240</f>
        <v/>
      </c>
      <c r="G247" s="7">
        <f>'1 datos preparados'!F240</f>
        <v/>
      </c>
      <c r="H247" s="7">
        <f>'1 datos preparados'!G240</f>
        <v/>
      </c>
      <c r="I247" s="7">
        <f>'1 datos preparados'!H240</f>
        <v/>
      </c>
      <c r="J247" s="7">
        <f>'1 datos preparados'!I240</f>
        <v/>
      </c>
      <c r="K247" s="7">
        <f>'1 datos preparados'!J240</f>
        <v/>
      </c>
      <c r="L247" s="7">
        <f>'1 datos preparados'!K240</f>
        <v/>
      </c>
      <c r="M247" s="7">
        <f>'1 datos preparados'!L240</f>
        <v/>
      </c>
      <c r="N247" s="7">
        <f>'1 datos preparados'!M240</f>
        <v/>
      </c>
      <c r="O247" s="7">
        <f>'1 datos preparados'!N240</f>
        <v/>
      </c>
      <c r="P247" s="7">
        <f>'1 datos preparados'!O240</f>
        <v/>
      </c>
      <c r="Q247" s="7">
        <f>'1 datos preparados'!P240</f>
        <v/>
      </c>
      <c r="R247" s="7">
        <f>'1 datos preparados'!Q240</f>
        <v/>
      </c>
      <c r="S247" s="7">
        <f>'1 datos preparados'!R240</f>
        <v/>
      </c>
      <c r="T247" s="7">
        <f>'1 datos preparados'!S240</f>
        <v/>
      </c>
      <c r="U247" s="7">
        <f>'1 datos preparados'!T240</f>
        <v/>
      </c>
      <c r="V247" s="8">
        <f>$AE$12+D247*$AE$13+E247*$AE$14+F247*$AE$15+G247*$AE$16+H247*$AE$17+I247*$AE$18+J247*$AE$19+K247*$AE$20+L247*$AE$21+M247*$AE$22+N247*$AE$23+O247*$AE$24+P247*$AE$25+Q247*$AE$26+R247*$AE$27+S247*$AE$28+T247*$AE$29+U247*$AE$30</f>
        <v/>
      </c>
      <c r="W247" s="8">
        <f>1/(1+EXP(-V247))</f>
        <v/>
      </c>
      <c r="X247" s="9">
        <f>-IF(C247=1,LN(W247),LN(1-W247))</f>
        <v/>
      </c>
      <c r="Y247" s="8">
        <f>IF(C247=1,$AE$32,$AE$33)</f>
        <v/>
      </c>
      <c r="Z247" s="9">
        <f>Y247*X247</f>
        <v/>
      </c>
      <c r="AA247" s="10">
        <f>IF(W247&gt;$AE$34,1,0)</f>
        <v/>
      </c>
      <c r="AB247">
        <f>IF(AA247=C247,1,0)</f>
        <v/>
      </c>
    </row>
    <row r="248">
      <c r="A248">
        <f>'1 datos preparados'!A241</f>
        <v/>
      </c>
      <c r="B248" s="5">
        <f>'1 datos preparados'!U241</f>
        <v/>
      </c>
      <c r="C248">
        <f>'1 datos preparados'!B241</f>
        <v/>
      </c>
      <c r="D248" s="7">
        <f>'1 datos preparados'!C241</f>
        <v/>
      </c>
      <c r="E248" s="7">
        <f>'1 datos preparados'!D241</f>
        <v/>
      </c>
      <c r="F248" s="7">
        <f>'1 datos preparados'!E241</f>
        <v/>
      </c>
      <c r="G248" s="7">
        <f>'1 datos preparados'!F241</f>
        <v/>
      </c>
      <c r="H248" s="7">
        <f>'1 datos preparados'!G241</f>
        <v/>
      </c>
      <c r="I248" s="7">
        <f>'1 datos preparados'!H241</f>
        <v/>
      </c>
      <c r="J248" s="7">
        <f>'1 datos preparados'!I241</f>
        <v/>
      </c>
      <c r="K248" s="7">
        <f>'1 datos preparados'!J241</f>
        <v/>
      </c>
      <c r="L248" s="7">
        <f>'1 datos preparados'!K241</f>
        <v/>
      </c>
      <c r="M248" s="7">
        <f>'1 datos preparados'!L241</f>
        <v/>
      </c>
      <c r="N248" s="7">
        <f>'1 datos preparados'!M241</f>
        <v/>
      </c>
      <c r="O248" s="7">
        <f>'1 datos preparados'!N241</f>
        <v/>
      </c>
      <c r="P248" s="7">
        <f>'1 datos preparados'!O241</f>
        <v/>
      </c>
      <c r="Q248" s="7">
        <f>'1 datos preparados'!P241</f>
        <v/>
      </c>
      <c r="R248" s="7">
        <f>'1 datos preparados'!Q241</f>
        <v/>
      </c>
      <c r="S248" s="7">
        <f>'1 datos preparados'!R241</f>
        <v/>
      </c>
      <c r="T248" s="7">
        <f>'1 datos preparados'!S241</f>
        <v/>
      </c>
      <c r="U248" s="7">
        <f>'1 datos preparados'!T241</f>
        <v/>
      </c>
      <c r="V248" s="8">
        <f>$AE$12+D248*$AE$13+E248*$AE$14+F248*$AE$15+G248*$AE$16+H248*$AE$17+I248*$AE$18+J248*$AE$19+K248*$AE$20+L248*$AE$21+M248*$AE$22+N248*$AE$23+O248*$AE$24+P248*$AE$25+Q248*$AE$26+R248*$AE$27+S248*$AE$28+T248*$AE$29+U248*$AE$30</f>
        <v/>
      </c>
      <c r="W248" s="8">
        <f>1/(1+EXP(-V248))</f>
        <v/>
      </c>
      <c r="X248" s="9">
        <f>-IF(C248=1,LN(W248),LN(1-W248))</f>
        <v/>
      </c>
      <c r="Y248" s="8">
        <f>IF(C248=1,$AE$32,$AE$33)</f>
        <v/>
      </c>
      <c r="Z248" s="9">
        <f>Y248*X248</f>
        <v/>
      </c>
      <c r="AA248" s="10">
        <f>IF(W248&gt;$AE$34,1,0)</f>
        <v/>
      </c>
      <c r="AB248">
        <f>IF(AA248=C248,1,0)</f>
        <v/>
      </c>
    </row>
    <row r="249">
      <c r="A249">
        <f>'1 datos preparados'!A242</f>
        <v/>
      </c>
      <c r="B249" s="5">
        <f>'1 datos preparados'!U242</f>
        <v/>
      </c>
      <c r="C249">
        <f>'1 datos preparados'!B242</f>
        <v/>
      </c>
      <c r="D249" s="7">
        <f>'1 datos preparados'!C242</f>
        <v/>
      </c>
      <c r="E249" s="7">
        <f>'1 datos preparados'!D242</f>
        <v/>
      </c>
      <c r="F249" s="7">
        <f>'1 datos preparados'!E242</f>
        <v/>
      </c>
      <c r="G249" s="7">
        <f>'1 datos preparados'!F242</f>
        <v/>
      </c>
      <c r="H249" s="7">
        <f>'1 datos preparados'!G242</f>
        <v/>
      </c>
      <c r="I249" s="7">
        <f>'1 datos preparados'!H242</f>
        <v/>
      </c>
      <c r="J249" s="7">
        <f>'1 datos preparados'!I242</f>
        <v/>
      </c>
      <c r="K249" s="7">
        <f>'1 datos preparados'!J242</f>
        <v/>
      </c>
      <c r="L249" s="7">
        <f>'1 datos preparados'!K242</f>
        <v/>
      </c>
      <c r="M249" s="7">
        <f>'1 datos preparados'!L242</f>
        <v/>
      </c>
      <c r="N249" s="7">
        <f>'1 datos preparados'!M242</f>
        <v/>
      </c>
      <c r="O249" s="7">
        <f>'1 datos preparados'!N242</f>
        <v/>
      </c>
      <c r="P249" s="7">
        <f>'1 datos preparados'!O242</f>
        <v/>
      </c>
      <c r="Q249" s="7">
        <f>'1 datos preparados'!P242</f>
        <v/>
      </c>
      <c r="R249" s="7">
        <f>'1 datos preparados'!Q242</f>
        <v/>
      </c>
      <c r="S249" s="7">
        <f>'1 datos preparados'!R242</f>
        <v/>
      </c>
      <c r="T249" s="7">
        <f>'1 datos preparados'!S242</f>
        <v/>
      </c>
      <c r="U249" s="7">
        <f>'1 datos preparados'!T242</f>
        <v/>
      </c>
      <c r="V249" s="8">
        <f>$AE$12+D249*$AE$13+E249*$AE$14+F249*$AE$15+G249*$AE$16+H249*$AE$17+I249*$AE$18+J249*$AE$19+K249*$AE$20+L249*$AE$21+M249*$AE$22+N249*$AE$23+O249*$AE$24+P249*$AE$25+Q249*$AE$26+R249*$AE$27+S249*$AE$28+T249*$AE$29+U249*$AE$30</f>
        <v/>
      </c>
      <c r="W249" s="8">
        <f>1/(1+EXP(-V249))</f>
        <v/>
      </c>
      <c r="X249" s="9">
        <f>-IF(C249=1,LN(W249),LN(1-W249))</f>
        <v/>
      </c>
      <c r="Y249" s="8">
        <f>IF(C249=1,$AE$32,$AE$33)</f>
        <v/>
      </c>
      <c r="Z249" s="9">
        <f>Y249*X249</f>
        <v/>
      </c>
      <c r="AA249" s="10">
        <f>IF(W249&gt;$AE$34,1,0)</f>
        <v/>
      </c>
      <c r="AB249">
        <f>IF(AA249=C249,1,0)</f>
        <v/>
      </c>
    </row>
    <row r="250">
      <c r="A250">
        <f>'1 datos preparados'!A243</f>
        <v/>
      </c>
      <c r="B250" s="5">
        <f>'1 datos preparados'!U243</f>
        <v/>
      </c>
      <c r="C250">
        <f>'1 datos preparados'!B243</f>
        <v/>
      </c>
      <c r="D250" s="7">
        <f>'1 datos preparados'!C243</f>
        <v/>
      </c>
      <c r="E250" s="7">
        <f>'1 datos preparados'!D243</f>
        <v/>
      </c>
      <c r="F250" s="7">
        <f>'1 datos preparados'!E243</f>
        <v/>
      </c>
      <c r="G250" s="7">
        <f>'1 datos preparados'!F243</f>
        <v/>
      </c>
      <c r="H250" s="7">
        <f>'1 datos preparados'!G243</f>
        <v/>
      </c>
      <c r="I250" s="7">
        <f>'1 datos preparados'!H243</f>
        <v/>
      </c>
      <c r="J250" s="7">
        <f>'1 datos preparados'!I243</f>
        <v/>
      </c>
      <c r="K250" s="7">
        <f>'1 datos preparados'!J243</f>
        <v/>
      </c>
      <c r="L250" s="7">
        <f>'1 datos preparados'!K243</f>
        <v/>
      </c>
      <c r="M250" s="7">
        <f>'1 datos preparados'!L243</f>
        <v/>
      </c>
      <c r="N250" s="7">
        <f>'1 datos preparados'!M243</f>
        <v/>
      </c>
      <c r="O250" s="7">
        <f>'1 datos preparados'!N243</f>
        <v/>
      </c>
      <c r="P250" s="7">
        <f>'1 datos preparados'!O243</f>
        <v/>
      </c>
      <c r="Q250" s="7">
        <f>'1 datos preparados'!P243</f>
        <v/>
      </c>
      <c r="R250" s="7">
        <f>'1 datos preparados'!Q243</f>
        <v/>
      </c>
      <c r="S250" s="7">
        <f>'1 datos preparados'!R243</f>
        <v/>
      </c>
      <c r="T250" s="7">
        <f>'1 datos preparados'!S243</f>
        <v/>
      </c>
      <c r="U250" s="7">
        <f>'1 datos preparados'!T243</f>
        <v/>
      </c>
      <c r="V250" s="8">
        <f>$AE$12+D250*$AE$13+E250*$AE$14+F250*$AE$15+G250*$AE$16+H250*$AE$17+I250*$AE$18+J250*$AE$19+K250*$AE$20+L250*$AE$21+M250*$AE$22+N250*$AE$23+O250*$AE$24+P250*$AE$25+Q250*$AE$26+R250*$AE$27+S250*$AE$28+T250*$AE$29+U250*$AE$30</f>
        <v/>
      </c>
      <c r="W250" s="8">
        <f>1/(1+EXP(-V250))</f>
        <v/>
      </c>
      <c r="X250" s="9">
        <f>-IF(C250=1,LN(W250),LN(1-W250))</f>
        <v/>
      </c>
      <c r="Y250" s="8">
        <f>IF(C250=1,$AE$32,$AE$33)</f>
        <v/>
      </c>
      <c r="Z250" s="9">
        <f>Y250*X250</f>
        <v/>
      </c>
      <c r="AA250" s="10">
        <f>IF(W250&gt;$AE$34,1,0)</f>
        <v/>
      </c>
      <c r="AB250">
        <f>IF(AA250=C250,1,0)</f>
        <v/>
      </c>
    </row>
    <row r="251">
      <c r="A251">
        <f>'1 datos preparados'!A244</f>
        <v/>
      </c>
      <c r="B251" s="5">
        <f>'1 datos preparados'!U244</f>
        <v/>
      </c>
      <c r="C251">
        <f>'1 datos preparados'!B244</f>
        <v/>
      </c>
      <c r="D251" s="7">
        <f>'1 datos preparados'!C244</f>
        <v/>
      </c>
      <c r="E251" s="7">
        <f>'1 datos preparados'!D244</f>
        <v/>
      </c>
      <c r="F251" s="7">
        <f>'1 datos preparados'!E244</f>
        <v/>
      </c>
      <c r="G251" s="7">
        <f>'1 datos preparados'!F244</f>
        <v/>
      </c>
      <c r="H251" s="7">
        <f>'1 datos preparados'!G244</f>
        <v/>
      </c>
      <c r="I251" s="7">
        <f>'1 datos preparados'!H244</f>
        <v/>
      </c>
      <c r="J251" s="7">
        <f>'1 datos preparados'!I244</f>
        <v/>
      </c>
      <c r="K251" s="7">
        <f>'1 datos preparados'!J244</f>
        <v/>
      </c>
      <c r="L251" s="7">
        <f>'1 datos preparados'!K244</f>
        <v/>
      </c>
      <c r="M251" s="7">
        <f>'1 datos preparados'!L244</f>
        <v/>
      </c>
      <c r="N251" s="7">
        <f>'1 datos preparados'!M244</f>
        <v/>
      </c>
      <c r="O251" s="7">
        <f>'1 datos preparados'!N244</f>
        <v/>
      </c>
      <c r="P251" s="7">
        <f>'1 datos preparados'!O244</f>
        <v/>
      </c>
      <c r="Q251" s="7">
        <f>'1 datos preparados'!P244</f>
        <v/>
      </c>
      <c r="R251" s="7">
        <f>'1 datos preparados'!Q244</f>
        <v/>
      </c>
      <c r="S251" s="7">
        <f>'1 datos preparados'!R244</f>
        <v/>
      </c>
      <c r="T251" s="7">
        <f>'1 datos preparados'!S244</f>
        <v/>
      </c>
      <c r="U251" s="7">
        <f>'1 datos preparados'!T244</f>
        <v/>
      </c>
      <c r="V251" s="8">
        <f>$AE$12+D251*$AE$13+E251*$AE$14+F251*$AE$15+G251*$AE$16+H251*$AE$17+I251*$AE$18+J251*$AE$19+K251*$AE$20+L251*$AE$21+M251*$AE$22+N251*$AE$23+O251*$AE$24+P251*$AE$25+Q251*$AE$26+R251*$AE$27+S251*$AE$28+T251*$AE$29+U251*$AE$30</f>
        <v/>
      </c>
      <c r="W251" s="8">
        <f>1/(1+EXP(-V251))</f>
        <v/>
      </c>
      <c r="X251" s="9">
        <f>-IF(C251=1,LN(W251),LN(1-W251))</f>
        <v/>
      </c>
      <c r="Y251" s="8">
        <f>IF(C251=1,$AE$32,$AE$33)</f>
        <v/>
      </c>
      <c r="Z251" s="9">
        <f>Y251*X251</f>
        <v/>
      </c>
      <c r="AA251" s="10">
        <f>IF(W251&gt;$AE$34,1,0)</f>
        <v/>
      </c>
      <c r="AB251">
        <f>IF(AA251=C251,1,0)</f>
        <v/>
      </c>
    </row>
    <row r="252">
      <c r="A252">
        <f>'1 datos preparados'!A245</f>
        <v/>
      </c>
      <c r="B252" s="5">
        <f>'1 datos preparados'!U245</f>
        <v/>
      </c>
      <c r="C252">
        <f>'1 datos preparados'!B245</f>
        <v/>
      </c>
      <c r="D252" s="7">
        <f>'1 datos preparados'!C245</f>
        <v/>
      </c>
      <c r="E252" s="7">
        <f>'1 datos preparados'!D245</f>
        <v/>
      </c>
      <c r="F252" s="7">
        <f>'1 datos preparados'!E245</f>
        <v/>
      </c>
      <c r="G252" s="7">
        <f>'1 datos preparados'!F245</f>
        <v/>
      </c>
      <c r="H252" s="7">
        <f>'1 datos preparados'!G245</f>
        <v/>
      </c>
      <c r="I252" s="7">
        <f>'1 datos preparados'!H245</f>
        <v/>
      </c>
      <c r="J252" s="7">
        <f>'1 datos preparados'!I245</f>
        <v/>
      </c>
      <c r="K252" s="7">
        <f>'1 datos preparados'!J245</f>
        <v/>
      </c>
      <c r="L252" s="7">
        <f>'1 datos preparados'!K245</f>
        <v/>
      </c>
      <c r="M252" s="7">
        <f>'1 datos preparados'!L245</f>
        <v/>
      </c>
      <c r="N252" s="7">
        <f>'1 datos preparados'!M245</f>
        <v/>
      </c>
      <c r="O252" s="7">
        <f>'1 datos preparados'!N245</f>
        <v/>
      </c>
      <c r="P252" s="7">
        <f>'1 datos preparados'!O245</f>
        <v/>
      </c>
      <c r="Q252" s="7">
        <f>'1 datos preparados'!P245</f>
        <v/>
      </c>
      <c r="R252" s="7">
        <f>'1 datos preparados'!Q245</f>
        <v/>
      </c>
      <c r="S252" s="7">
        <f>'1 datos preparados'!R245</f>
        <v/>
      </c>
      <c r="T252" s="7">
        <f>'1 datos preparados'!S245</f>
        <v/>
      </c>
      <c r="U252" s="7">
        <f>'1 datos preparados'!T245</f>
        <v/>
      </c>
      <c r="V252" s="8">
        <f>$AE$12+D252*$AE$13+E252*$AE$14+F252*$AE$15+G252*$AE$16+H252*$AE$17+I252*$AE$18+J252*$AE$19+K252*$AE$20+L252*$AE$21+M252*$AE$22+N252*$AE$23+O252*$AE$24+P252*$AE$25+Q252*$AE$26+R252*$AE$27+S252*$AE$28+T252*$AE$29+U252*$AE$30</f>
        <v/>
      </c>
      <c r="W252" s="8">
        <f>1/(1+EXP(-V252))</f>
        <v/>
      </c>
      <c r="X252" s="9">
        <f>-IF(C252=1,LN(W252),LN(1-W252))</f>
        <v/>
      </c>
      <c r="Y252" s="8">
        <f>IF(C252=1,$AE$32,$AE$33)</f>
        <v/>
      </c>
      <c r="Z252" s="9">
        <f>Y252*X252</f>
        <v/>
      </c>
      <c r="AA252" s="10">
        <f>IF(W252&gt;$AE$34,1,0)</f>
        <v/>
      </c>
      <c r="AB252">
        <f>IF(AA252=C252,1,0)</f>
        <v/>
      </c>
    </row>
    <row r="253">
      <c r="A253">
        <f>'1 datos preparados'!A246</f>
        <v/>
      </c>
      <c r="B253" s="5">
        <f>'1 datos preparados'!U246</f>
        <v/>
      </c>
      <c r="C253">
        <f>'1 datos preparados'!B246</f>
        <v/>
      </c>
      <c r="D253" s="7">
        <f>'1 datos preparados'!C246</f>
        <v/>
      </c>
      <c r="E253" s="7">
        <f>'1 datos preparados'!D246</f>
        <v/>
      </c>
      <c r="F253" s="7">
        <f>'1 datos preparados'!E246</f>
        <v/>
      </c>
      <c r="G253" s="7">
        <f>'1 datos preparados'!F246</f>
        <v/>
      </c>
      <c r="H253" s="7">
        <f>'1 datos preparados'!G246</f>
        <v/>
      </c>
      <c r="I253" s="7">
        <f>'1 datos preparados'!H246</f>
        <v/>
      </c>
      <c r="J253" s="7">
        <f>'1 datos preparados'!I246</f>
        <v/>
      </c>
      <c r="K253" s="7">
        <f>'1 datos preparados'!J246</f>
        <v/>
      </c>
      <c r="L253" s="7">
        <f>'1 datos preparados'!K246</f>
        <v/>
      </c>
      <c r="M253" s="7">
        <f>'1 datos preparados'!L246</f>
        <v/>
      </c>
      <c r="N253" s="7">
        <f>'1 datos preparados'!M246</f>
        <v/>
      </c>
      <c r="O253" s="7">
        <f>'1 datos preparados'!N246</f>
        <v/>
      </c>
      <c r="P253" s="7">
        <f>'1 datos preparados'!O246</f>
        <v/>
      </c>
      <c r="Q253" s="7">
        <f>'1 datos preparados'!P246</f>
        <v/>
      </c>
      <c r="R253" s="7">
        <f>'1 datos preparados'!Q246</f>
        <v/>
      </c>
      <c r="S253" s="7">
        <f>'1 datos preparados'!R246</f>
        <v/>
      </c>
      <c r="T253" s="7">
        <f>'1 datos preparados'!S246</f>
        <v/>
      </c>
      <c r="U253" s="7">
        <f>'1 datos preparados'!T246</f>
        <v/>
      </c>
      <c r="V253" s="8">
        <f>$AE$12+D253*$AE$13+E253*$AE$14+F253*$AE$15+G253*$AE$16+H253*$AE$17+I253*$AE$18+J253*$AE$19+K253*$AE$20+L253*$AE$21+M253*$AE$22+N253*$AE$23+O253*$AE$24+P253*$AE$25+Q253*$AE$26+R253*$AE$27+S253*$AE$28+T253*$AE$29+U253*$AE$30</f>
        <v/>
      </c>
      <c r="W253" s="8">
        <f>1/(1+EXP(-V253))</f>
        <v/>
      </c>
      <c r="X253" s="9">
        <f>-IF(C253=1,LN(W253),LN(1-W253))</f>
        <v/>
      </c>
      <c r="Y253" s="8">
        <f>IF(C253=1,$AE$32,$AE$33)</f>
        <v/>
      </c>
      <c r="Z253" s="9">
        <f>Y253*X253</f>
        <v/>
      </c>
      <c r="AA253" s="10">
        <f>IF(W253&gt;$AE$34,1,0)</f>
        <v/>
      </c>
      <c r="AB253">
        <f>IF(AA253=C253,1,0)</f>
        <v/>
      </c>
    </row>
    <row r="254">
      <c r="A254">
        <f>'1 datos preparados'!A247</f>
        <v/>
      </c>
      <c r="B254" s="5">
        <f>'1 datos preparados'!U247</f>
        <v/>
      </c>
      <c r="C254">
        <f>'1 datos preparados'!B247</f>
        <v/>
      </c>
      <c r="D254" s="7">
        <f>'1 datos preparados'!C247</f>
        <v/>
      </c>
      <c r="E254" s="7">
        <f>'1 datos preparados'!D247</f>
        <v/>
      </c>
      <c r="F254" s="7">
        <f>'1 datos preparados'!E247</f>
        <v/>
      </c>
      <c r="G254" s="7">
        <f>'1 datos preparados'!F247</f>
        <v/>
      </c>
      <c r="H254" s="7">
        <f>'1 datos preparados'!G247</f>
        <v/>
      </c>
      <c r="I254" s="7">
        <f>'1 datos preparados'!H247</f>
        <v/>
      </c>
      <c r="J254" s="7">
        <f>'1 datos preparados'!I247</f>
        <v/>
      </c>
      <c r="K254" s="7">
        <f>'1 datos preparados'!J247</f>
        <v/>
      </c>
      <c r="L254" s="7">
        <f>'1 datos preparados'!K247</f>
        <v/>
      </c>
      <c r="M254" s="7">
        <f>'1 datos preparados'!L247</f>
        <v/>
      </c>
      <c r="N254" s="7">
        <f>'1 datos preparados'!M247</f>
        <v/>
      </c>
      <c r="O254" s="7">
        <f>'1 datos preparados'!N247</f>
        <v/>
      </c>
      <c r="P254" s="7">
        <f>'1 datos preparados'!O247</f>
        <v/>
      </c>
      <c r="Q254" s="7">
        <f>'1 datos preparados'!P247</f>
        <v/>
      </c>
      <c r="R254" s="7">
        <f>'1 datos preparados'!Q247</f>
        <v/>
      </c>
      <c r="S254" s="7">
        <f>'1 datos preparados'!R247</f>
        <v/>
      </c>
      <c r="T254" s="7">
        <f>'1 datos preparados'!S247</f>
        <v/>
      </c>
      <c r="U254" s="7">
        <f>'1 datos preparados'!T247</f>
        <v/>
      </c>
      <c r="V254" s="8">
        <f>$AE$12+D254*$AE$13+E254*$AE$14+F254*$AE$15+G254*$AE$16+H254*$AE$17+I254*$AE$18+J254*$AE$19+K254*$AE$20+L254*$AE$21+M254*$AE$22+N254*$AE$23+O254*$AE$24+P254*$AE$25+Q254*$AE$26+R254*$AE$27+S254*$AE$28+T254*$AE$29+U254*$AE$30</f>
        <v/>
      </c>
      <c r="W254" s="8">
        <f>1/(1+EXP(-V254))</f>
        <v/>
      </c>
      <c r="X254" s="9">
        <f>-IF(C254=1,LN(W254),LN(1-W254))</f>
        <v/>
      </c>
      <c r="Y254" s="8">
        <f>IF(C254=1,$AE$32,$AE$33)</f>
        <v/>
      </c>
      <c r="Z254" s="9">
        <f>Y254*X254</f>
        <v/>
      </c>
      <c r="AA254" s="10">
        <f>IF(W254&gt;$AE$34,1,0)</f>
        <v/>
      </c>
      <c r="AB254">
        <f>IF(AA254=C254,1,0)</f>
        <v/>
      </c>
    </row>
    <row r="255">
      <c r="A255">
        <f>'1 datos preparados'!A248</f>
        <v/>
      </c>
      <c r="B255" s="5">
        <f>'1 datos preparados'!U248</f>
        <v/>
      </c>
      <c r="C255">
        <f>'1 datos preparados'!B248</f>
        <v/>
      </c>
      <c r="D255" s="7">
        <f>'1 datos preparados'!C248</f>
        <v/>
      </c>
      <c r="E255" s="7">
        <f>'1 datos preparados'!D248</f>
        <v/>
      </c>
      <c r="F255" s="7">
        <f>'1 datos preparados'!E248</f>
        <v/>
      </c>
      <c r="G255" s="7">
        <f>'1 datos preparados'!F248</f>
        <v/>
      </c>
      <c r="H255" s="7">
        <f>'1 datos preparados'!G248</f>
        <v/>
      </c>
      <c r="I255" s="7">
        <f>'1 datos preparados'!H248</f>
        <v/>
      </c>
      <c r="J255" s="7">
        <f>'1 datos preparados'!I248</f>
        <v/>
      </c>
      <c r="K255" s="7">
        <f>'1 datos preparados'!J248</f>
        <v/>
      </c>
      <c r="L255" s="7">
        <f>'1 datos preparados'!K248</f>
        <v/>
      </c>
      <c r="M255" s="7">
        <f>'1 datos preparados'!L248</f>
        <v/>
      </c>
      <c r="N255" s="7">
        <f>'1 datos preparados'!M248</f>
        <v/>
      </c>
      <c r="O255" s="7">
        <f>'1 datos preparados'!N248</f>
        <v/>
      </c>
      <c r="P255" s="7">
        <f>'1 datos preparados'!O248</f>
        <v/>
      </c>
      <c r="Q255" s="7">
        <f>'1 datos preparados'!P248</f>
        <v/>
      </c>
      <c r="R255" s="7">
        <f>'1 datos preparados'!Q248</f>
        <v/>
      </c>
      <c r="S255" s="7">
        <f>'1 datos preparados'!R248</f>
        <v/>
      </c>
      <c r="T255" s="7">
        <f>'1 datos preparados'!S248</f>
        <v/>
      </c>
      <c r="U255" s="7">
        <f>'1 datos preparados'!T248</f>
        <v/>
      </c>
      <c r="V255" s="8">
        <f>$AE$12+D255*$AE$13+E255*$AE$14+F255*$AE$15+G255*$AE$16+H255*$AE$17+I255*$AE$18+J255*$AE$19+K255*$AE$20+L255*$AE$21+M255*$AE$22+N255*$AE$23+O255*$AE$24+P255*$AE$25+Q255*$AE$26+R255*$AE$27+S255*$AE$28+T255*$AE$29+U255*$AE$30</f>
        <v/>
      </c>
      <c r="W255" s="8">
        <f>1/(1+EXP(-V255))</f>
        <v/>
      </c>
      <c r="X255" s="9">
        <f>-IF(C255=1,LN(W255),LN(1-W255))</f>
        <v/>
      </c>
      <c r="Y255" s="8">
        <f>IF(C255=1,$AE$32,$AE$33)</f>
        <v/>
      </c>
      <c r="Z255" s="9">
        <f>Y255*X255</f>
        <v/>
      </c>
      <c r="AA255" s="10">
        <f>IF(W255&gt;$AE$34,1,0)</f>
        <v/>
      </c>
      <c r="AB255">
        <f>IF(AA255=C255,1,0)</f>
        <v/>
      </c>
    </row>
    <row r="256">
      <c r="A256">
        <f>'1 datos preparados'!A249</f>
        <v/>
      </c>
      <c r="B256" s="5">
        <f>'1 datos preparados'!U249</f>
        <v/>
      </c>
      <c r="C256">
        <f>'1 datos preparados'!B249</f>
        <v/>
      </c>
      <c r="D256" s="7">
        <f>'1 datos preparados'!C249</f>
        <v/>
      </c>
      <c r="E256" s="7">
        <f>'1 datos preparados'!D249</f>
        <v/>
      </c>
      <c r="F256" s="7">
        <f>'1 datos preparados'!E249</f>
        <v/>
      </c>
      <c r="G256" s="7">
        <f>'1 datos preparados'!F249</f>
        <v/>
      </c>
      <c r="H256" s="7">
        <f>'1 datos preparados'!G249</f>
        <v/>
      </c>
      <c r="I256" s="7">
        <f>'1 datos preparados'!H249</f>
        <v/>
      </c>
      <c r="J256" s="7">
        <f>'1 datos preparados'!I249</f>
        <v/>
      </c>
      <c r="K256" s="7">
        <f>'1 datos preparados'!J249</f>
        <v/>
      </c>
      <c r="L256" s="7">
        <f>'1 datos preparados'!K249</f>
        <v/>
      </c>
      <c r="M256" s="7">
        <f>'1 datos preparados'!L249</f>
        <v/>
      </c>
      <c r="N256" s="7">
        <f>'1 datos preparados'!M249</f>
        <v/>
      </c>
      <c r="O256" s="7">
        <f>'1 datos preparados'!N249</f>
        <v/>
      </c>
      <c r="P256" s="7">
        <f>'1 datos preparados'!O249</f>
        <v/>
      </c>
      <c r="Q256" s="7">
        <f>'1 datos preparados'!P249</f>
        <v/>
      </c>
      <c r="R256" s="7">
        <f>'1 datos preparados'!Q249</f>
        <v/>
      </c>
      <c r="S256" s="7">
        <f>'1 datos preparados'!R249</f>
        <v/>
      </c>
      <c r="T256" s="7">
        <f>'1 datos preparados'!S249</f>
        <v/>
      </c>
      <c r="U256" s="7">
        <f>'1 datos preparados'!T249</f>
        <v/>
      </c>
      <c r="V256" s="8">
        <f>$AE$12+D256*$AE$13+E256*$AE$14+F256*$AE$15+G256*$AE$16+H256*$AE$17+I256*$AE$18+J256*$AE$19+K256*$AE$20+L256*$AE$21+M256*$AE$22+N256*$AE$23+O256*$AE$24+P256*$AE$25+Q256*$AE$26+R256*$AE$27+S256*$AE$28+T256*$AE$29+U256*$AE$30</f>
        <v/>
      </c>
      <c r="W256" s="8">
        <f>1/(1+EXP(-V256))</f>
        <v/>
      </c>
      <c r="X256" s="9">
        <f>-IF(C256=1,LN(W256),LN(1-W256))</f>
        <v/>
      </c>
      <c r="Y256" s="8">
        <f>IF(C256=1,$AE$32,$AE$33)</f>
        <v/>
      </c>
      <c r="Z256" s="9">
        <f>Y256*X256</f>
        <v/>
      </c>
      <c r="AA256" s="10">
        <f>IF(W256&gt;$AE$34,1,0)</f>
        <v/>
      </c>
      <c r="AB256">
        <f>IF(AA256=C256,1,0)</f>
        <v/>
      </c>
    </row>
    <row r="257">
      <c r="A257">
        <f>'1 datos preparados'!A250</f>
        <v/>
      </c>
      <c r="B257" s="5">
        <f>'1 datos preparados'!U250</f>
        <v/>
      </c>
      <c r="C257">
        <f>'1 datos preparados'!B250</f>
        <v/>
      </c>
      <c r="D257" s="7">
        <f>'1 datos preparados'!C250</f>
        <v/>
      </c>
      <c r="E257" s="7">
        <f>'1 datos preparados'!D250</f>
        <v/>
      </c>
      <c r="F257" s="7">
        <f>'1 datos preparados'!E250</f>
        <v/>
      </c>
      <c r="G257" s="7">
        <f>'1 datos preparados'!F250</f>
        <v/>
      </c>
      <c r="H257" s="7">
        <f>'1 datos preparados'!G250</f>
        <v/>
      </c>
      <c r="I257" s="7">
        <f>'1 datos preparados'!H250</f>
        <v/>
      </c>
      <c r="J257" s="7">
        <f>'1 datos preparados'!I250</f>
        <v/>
      </c>
      <c r="K257" s="7">
        <f>'1 datos preparados'!J250</f>
        <v/>
      </c>
      <c r="L257" s="7">
        <f>'1 datos preparados'!K250</f>
        <v/>
      </c>
      <c r="M257" s="7">
        <f>'1 datos preparados'!L250</f>
        <v/>
      </c>
      <c r="N257" s="7">
        <f>'1 datos preparados'!M250</f>
        <v/>
      </c>
      <c r="O257" s="7">
        <f>'1 datos preparados'!N250</f>
        <v/>
      </c>
      <c r="P257" s="7">
        <f>'1 datos preparados'!O250</f>
        <v/>
      </c>
      <c r="Q257" s="7">
        <f>'1 datos preparados'!P250</f>
        <v/>
      </c>
      <c r="R257" s="7">
        <f>'1 datos preparados'!Q250</f>
        <v/>
      </c>
      <c r="S257" s="7">
        <f>'1 datos preparados'!R250</f>
        <v/>
      </c>
      <c r="T257" s="7">
        <f>'1 datos preparados'!S250</f>
        <v/>
      </c>
      <c r="U257" s="7">
        <f>'1 datos preparados'!T250</f>
        <v/>
      </c>
      <c r="V257" s="8">
        <f>$AE$12+D257*$AE$13+E257*$AE$14+F257*$AE$15+G257*$AE$16+H257*$AE$17+I257*$AE$18+J257*$AE$19+K257*$AE$20+L257*$AE$21+M257*$AE$22+N257*$AE$23+O257*$AE$24+P257*$AE$25+Q257*$AE$26+R257*$AE$27+S257*$AE$28+T257*$AE$29+U257*$AE$30</f>
        <v/>
      </c>
      <c r="W257" s="8">
        <f>1/(1+EXP(-V257))</f>
        <v/>
      </c>
      <c r="X257" s="9">
        <f>-IF(C257=1,LN(W257),LN(1-W257))</f>
        <v/>
      </c>
      <c r="Y257" s="8">
        <f>IF(C257=1,$AE$32,$AE$33)</f>
        <v/>
      </c>
      <c r="Z257" s="9">
        <f>Y257*X257</f>
        <v/>
      </c>
      <c r="AA257" s="10">
        <f>IF(W257&gt;$AE$34,1,0)</f>
        <v/>
      </c>
      <c r="AB257">
        <f>IF(AA257=C257,1,0)</f>
        <v/>
      </c>
    </row>
    <row r="258">
      <c r="A258">
        <f>'1 datos preparados'!A251</f>
        <v/>
      </c>
      <c r="B258" s="5">
        <f>'1 datos preparados'!U251</f>
        <v/>
      </c>
      <c r="C258">
        <f>'1 datos preparados'!B251</f>
        <v/>
      </c>
      <c r="D258" s="7">
        <f>'1 datos preparados'!C251</f>
        <v/>
      </c>
      <c r="E258" s="7">
        <f>'1 datos preparados'!D251</f>
        <v/>
      </c>
      <c r="F258" s="7">
        <f>'1 datos preparados'!E251</f>
        <v/>
      </c>
      <c r="G258" s="7">
        <f>'1 datos preparados'!F251</f>
        <v/>
      </c>
      <c r="H258" s="7">
        <f>'1 datos preparados'!G251</f>
        <v/>
      </c>
      <c r="I258" s="7">
        <f>'1 datos preparados'!H251</f>
        <v/>
      </c>
      <c r="J258" s="7">
        <f>'1 datos preparados'!I251</f>
        <v/>
      </c>
      <c r="K258" s="7">
        <f>'1 datos preparados'!J251</f>
        <v/>
      </c>
      <c r="L258" s="7">
        <f>'1 datos preparados'!K251</f>
        <v/>
      </c>
      <c r="M258" s="7">
        <f>'1 datos preparados'!L251</f>
        <v/>
      </c>
      <c r="N258" s="7">
        <f>'1 datos preparados'!M251</f>
        <v/>
      </c>
      <c r="O258" s="7">
        <f>'1 datos preparados'!N251</f>
        <v/>
      </c>
      <c r="P258" s="7">
        <f>'1 datos preparados'!O251</f>
        <v/>
      </c>
      <c r="Q258" s="7">
        <f>'1 datos preparados'!P251</f>
        <v/>
      </c>
      <c r="R258" s="7">
        <f>'1 datos preparados'!Q251</f>
        <v/>
      </c>
      <c r="S258" s="7">
        <f>'1 datos preparados'!R251</f>
        <v/>
      </c>
      <c r="T258" s="7">
        <f>'1 datos preparados'!S251</f>
        <v/>
      </c>
      <c r="U258" s="7">
        <f>'1 datos preparados'!T251</f>
        <v/>
      </c>
      <c r="V258" s="8">
        <f>$AE$12+D258*$AE$13+E258*$AE$14+F258*$AE$15+G258*$AE$16+H258*$AE$17+I258*$AE$18+J258*$AE$19+K258*$AE$20+L258*$AE$21+M258*$AE$22+N258*$AE$23+O258*$AE$24+P258*$AE$25+Q258*$AE$26+R258*$AE$27+S258*$AE$28+T258*$AE$29+U258*$AE$30</f>
        <v/>
      </c>
      <c r="W258" s="8">
        <f>1/(1+EXP(-V258))</f>
        <v/>
      </c>
      <c r="X258" s="9">
        <f>-IF(C258=1,LN(W258),LN(1-W258))</f>
        <v/>
      </c>
      <c r="Y258" s="8">
        <f>IF(C258=1,$AE$32,$AE$33)</f>
        <v/>
      </c>
      <c r="Z258" s="9">
        <f>Y258*X258</f>
        <v/>
      </c>
      <c r="AA258" s="10">
        <f>IF(W258&gt;$AE$34,1,0)</f>
        <v/>
      </c>
      <c r="AB258">
        <f>IF(AA258=C258,1,0)</f>
        <v/>
      </c>
    </row>
    <row r="259">
      <c r="A259">
        <f>'1 datos preparados'!A252</f>
        <v/>
      </c>
      <c r="B259" s="5">
        <f>'1 datos preparados'!U252</f>
        <v/>
      </c>
      <c r="C259">
        <f>'1 datos preparados'!B252</f>
        <v/>
      </c>
      <c r="D259" s="7">
        <f>'1 datos preparados'!C252</f>
        <v/>
      </c>
      <c r="E259" s="7">
        <f>'1 datos preparados'!D252</f>
        <v/>
      </c>
      <c r="F259" s="7">
        <f>'1 datos preparados'!E252</f>
        <v/>
      </c>
      <c r="G259" s="7">
        <f>'1 datos preparados'!F252</f>
        <v/>
      </c>
      <c r="H259" s="7">
        <f>'1 datos preparados'!G252</f>
        <v/>
      </c>
      <c r="I259" s="7">
        <f>'1 datos preparados'!H252</f>
        <v/>
      </c>
      <c r="J259" s="7">
        <f>'1 datos preparados'!I252</f>
        <v/>
      </c>
      <c r="K259" s="7">
        <f>'1 datos preparados'!J252</f>
        <v/>
      </c>
      <c r="L259" s="7">
        <f>'1 datos preparados'!K252</f>
        <v/>
      </c>
      <c r="M259" s="7">
        <f>'1 datos preparados'!L252</f>
        <v/>
      </c>
      <c r="N259" s="7">
        <f>'1 datos preparados'!M252</f>
        <v/>
      </c>
      <c r="O259" s="7">
        <f>'1 datos preparados'!N252</f>
        <v/>
      </c>
      <c r="P259" s="7">
        <f>'1 datos preparados'!O252</f>
        <v/>
      </c>
      <c r="Q259" s="7">
        <f>'1 datos preparados'!P252</f>
        <v/>
      </c>
      <c r="R259" s="7">
        <f>'1 datos preparados'!Q252</f>
        <v/>
      </c>
      <c r="S259" s="7">
        <f>'1 datos preparados'!R252</f>
        <v/>
      </c>
      <c r="T259" s="7">
        <f>'1 datos preparados'!S252</f>
        <v/>
      </c>
      <c r="U259" s="7">
        <f>'1 datos preparados'!T252</f>
        <v/>
      </c>
      <c r="V259" s="8">
        <f>$AE$12+D259*$AE$13+E259*$AE$14+F259*$AE$15+G259*$AE$16+H259*$AE$17+I259*$AE$18+J259*$AE$19+K259*$AE$20+L259*$AE$21+M259*$AE$22+N259*$AE$23+O259*$AE$24+P259*$AE$25+Q259*$AE$26+R259*$AE$27+S259*$AE$28+T259*$AE$29+U259*$AE$30</f>
        <v/>
      </c>
      <c r="W259" s="8">
        <f>1/(1+EXP(-V259))</f>
        <v/>
      </c>
      <c r="X259" s="9">
        <f>-IF(C259=1,LN(W259),LN(1-W259))</f>
        <v/>
      </c>
      <c r="Y259" s="8">
        <f>IF(C259=1,$AE$32,$AE$33)</f>
        <v/>
      </c>
      <c r="Z259" s="9">
        <f>Y259*X259</f>
        <v/>
      </c>
      <c r="AA259" s="10">
        <f>IF(W259&gt;$AE$34,1,0)</f>
        <v/>
      </c>
      <c r="AB259">
        <f>IF(AA259=C259,1,0)</f>
        <v/>
      </c>
    </row>
    <row r="260">
      <c r="A260">
        <f>'1 datos preparados'!A253</f>
        <v/>
      </c>
      <c r="B260" s="5">
        <f>'1 datos preparados'!U253</f>
        <v/>
      </c>
      <c r="C260">
        <f>'1 datos preparados'!B253</f>
        <v/>
      </c>
      <c r="D260" s="7">
        <f>'1 datos preparados'!C253</f>
        <v/>
      </c>
      <c r="E260" s="7">
        <f>'1 datos preparados'!D253</f>
        <v/>
      </c>
      <c r="F260" s="7">
        <f>'1 datos preparados'!E253</f>
        <v/>
      </c>
      <c r="G260" s="7">
        <f>'1 datos preparados'!F253</f>
        <v/>
      </c>
      <c r="H260" s="7">
        <f>'1 datos preparados'!G253</f>
        <v/>
      </c>
      <c r="I260" s="7">
        <f>'1 datos preparados'!H253</f>
        <v/>
      </c>
      <c r="J260" s="7">
        <f>'1 datos preparados'!I253</f>
        <v/>
      </c>
      <c r="K260" s="7">
        <f>'1 datos preparados'!J253</f>
        <v/>
      </c>
      <c r="L260" s="7">
        <f>'1 datos preparados'!K253</f>
        <v/>
      </c>
      <c r="M260" s="7">
        <f>'1 datos preparados'!L253</f>
        <v/>
      </c>
      <c r="N260" s="7">
        <f>'1 datos preparados'!M253</f>
        <v/>
      </c>
      <c r="O260" s="7">
        <f>'1 datos preparados'!N253</f>
        <v/>
      </c>
      <c r="P260" s="7">
        <f>'1 datos preparados'!O253</f>
        <v/>
      </c>
      <c r="Q260" s="7">
        <f>'1 datos preparados'!P253</f>
        <v/>
      </c>
      <c r="R260" s="7">
        <f>'1 datos preparados'!Q253</f>
        <v/>
      </c>
      <c r="S260" s="7">
        <f>'1 datos preparados'!R253</f>
        <v/>
      </c>
      <c r="T260" s="7">
        <f>'1 datos preparados'!S253</f>
        <v/>
      </c>
      <c r="U260" s="7">
        <f>'1 datos preparados'!T253</f>
        <v/>
      </c>
      <c r="V260" s="8">
        <f>$AE$12+D260*$AE$13+E260*$AE$14+F260*$AE$15+G260*$AE$16+H260*$AE$17+I260*$AE$18+J260*$AE$19+K260*$AE$20+L260*$AE$21+M260*$AE$22+N260*$AE$23+O260*$AE$24+P260*$AE$25+Q260*$AE$26+R260*$AE$27+S260*$AE$28+T260*$AE$29+U260*$AE$30</f>
        <v/>
      </c>
      <c r="W260" s="8">
        <f>1/(1+EXP(-V260))</f>
        <v/>
      </c>
      <c r="X260" s="9">
        <f>-IF(C260=1,LN(W260),LN(1-W260))</f>
        <v/>
      </c>
      <c r="Y260" s="8">
        <f>IF(C260=1,$AE$32,$AE$33)</f>
        <v/>
      </c>
      <c r="Z260" s="9">
        <f>Y260*X260</f>
        <v/>
      </c>
      <c r="AA260" s="10">
        <f>IF(W260&gt;$AE$34,1,0)</f>
        <v/>
      </c>
      <c r="AB260">
        <f>IF(AA260=C260,1,0)</f>
        <v/>
      </c>
    </row>
    <row r="261">
      <c r="A261">
        <f>'1 datos preparados'!A254</f>
        <v/>
      </c>
      <c r="B261" s="5">
        <f>'1 datos preparados'!U254</f>
        <v/>
      </c>
      <c r="C261">
        <f>'1 datos preparados'!B254</f>
        <v/>
      </c>
      <c r="D261" s="7">
        <f>'1 datos preparados'!C254</f>
        <v/>
      </c>
      <c r="E261" s="7">
        <f>'1 datos preparados'!D254</f>
        <v/>
      </c>
      <c r="F261" s="7">
        <f>'1 datos preparados'!E254</f>
        <v/>
      </c>
      <c r="G261" s="7">
        <f>'1 datos preparados'!F254</f>
        <v/>
      </c>
      <c r="H261" s="7">
        <f>'1 datos preparados'!G254</f>
        <v/>
      </c>
      <c r="I261" s="7">
        <f>'1 datos preparados'!H254</f>
        <v/>
      </c>
      <c r="J261" s="7">
        <f>'1 datos preparados'!I254</f>
        <v/>
      </c>
      <c r="K261" s="7">
        <f>'1 datos preparados'!J254</f>
        <v/>
      </c>
      <c r="L261" s="7">
        <f>'1 datos preparados'!K254</f>
        <v/>
      </c>
      <c r="M261" s="7">
        <f>'1 datos preparados'!L254</f>
        <v/>
      </c>
      <c r="N261" s="7">
        <f>'1 datos preparados'!M254</f>
        <v/>
      </c>
      <c r="O261" s="7">
        <f>'1 datos preparados'!N254</f>
        <v/>
      </c>
      <c r="P261" s="7">
        <f>'1 datos preparados'!O254</f>
        <v/>
      </c>
      <c r="Q261" s="7">
        <f>'1 datos preparados'!P254</f>
        <v/>
      </c>
      <c r="R261" s="7">
        <f>'1 datos preparados'!Q254</f>
        <v/>
      </c>
      <c r="S261" s="7">
        <f>'1 datos preparados'!R254</f>
        <v/>
      </c>
      <c r="T261" s="7">
        <f>'1 datos preparados'!S254</f>
        <v/>
      </c>
      <c r="U261" s="7">
        <f>'1 datos preparados'!T254</f>
        <v/>
      </c>
      <c r="V261" s="8">
        <f>$AE$12+D261*$AE$13+E261*$AE$14+F261*$AE$15+G261*$AE$16+H261*$AE$17+I261*$AE$18+J261*$AE$19+K261*$AE$20+L261*$AE$21+M261*$AE$22+N261*$AE$23+O261*$AE$24+P261*$AE$25+Q261*$AE$26+R261*$AE$27+S261*$AE$28+T261*$AE$29+U261*$AE$30</f>
        <v/>
      </c>
      <c r="W261" s="8">
        <f>1/(1+EXP(-V261))</f>
        <v/>
      </c>
      <c r="X261" s="9">
        <f>-IF(C261=1,LN(W261),LN(1-W261))</f>
        <v/>
      </c>
      <c r="Y261" s="8">
        <f>IF(C261=1,$AE$32,$AE$33)</f>
        <v/>
      </c>
      <c r="Z261" s="9">
        <f>Y261*X261</f>
        <v/>
      </c>
      <c r="AA261" s="10">
        <f>IF(W261&gt;$AE$34,1,0)</f>
        <v/>
      </c>
      <c r="AB261">
        <f>IF(AA261=C261,1,0)</f>
        <v/>
      </c>
    </row>
    <row r="262">
      <c r="A262">
        <f>'1 datos preparados'!A255</f>
        <v/>
      </c>
      <c r="B262" s="5">
        <f>'1 datos preparados'!U255</f>
        <v/>
      </c>
      <c r="C262">
        <f>'1 datos preparados'!B255</f>
        <v/>
      </c>
      <c r="D262" s="7">
        <f>'1 datos preparados'!C255</f>
        <v/>
      </c>
      <c r="E262" s="7">
        <f>'1 datos preparados'!D255</f>
        <v/>
      </c>
      <c r="F262" s="7">
        <f>'1 datos preparados'!E255</f>
        <v/>
      </c>
      <c r="G262" s="7">
        <f>'1 datos preparados'!F255</f>
        <v/>
      </c>
      <c r="H262" s="7">
        <f>'1 datos preparados'!G255</f>
        <v/>
      </c>
      <c r="I262" s="7">
        <f>'1 datos preparados'!H255</f>
        <v/>
      </c>
      <c r="J262" s="7">
        <f>'1 datos preparados'!I255</f>
        <v/>
      </c>
      <c r="K262" s="7">
        <f>'1 datos preparados'!J255</f>
        <v/>
      </c>
      <c r="L262" s="7">
        <f>'1 datos preparados'!K255</f>
        <v/>
      </c>
      <c r="M262" s="7">
        <f>'1 datos preparados'!L255</f>
        <v/>
      </c>
      <c r="N262" s="7">
        <f>'1 datos preparados'!M255</f>
        <v/>
      </c>
      <c r="O262" s="7">
        <f>'1 datos preparados'!N255</f>
        <v/>
      </c>
      <c r="P262" s="7">
        <f>'1 datos preparados'!O255</f>
        <v/>
      </c>
      <c r="Q262" s="7">
        <f>'1 datos preparados'!P255</f>
        <v/>
      </c>
      <c r="R262" s="7">
        <f>'1 datos preparados'!Q255</f>
        <v/>
      </c>
      <c r="S262" s="7">
        <f>'1 datos preparados'!R255</f>
        <v/>
      </c>
      <c r="T262" s="7">
        <f>'1 datos preparados'!S255</f>
        <v/>
      </c>
      <c r="U262" s="7">
        <f>'1 datos preparados'!T255</f>
        <v/>
      </c>
      <c r="V262" s="8">
        <f>$AE$12+D262*$AE$13+E262*$AE$14+F262*$AE$15+G262*$AE$16+H262*$AE$17+I262*$AE$18+J262*$AE$19+K262*$AE$20+L262*$AE$21+M262*$AE$22+N262*$AE$23+O262*$AE$24+P262*$AE$25+Q262*$AE$26+R262*$AE$27+S262*$AE$28+T262*$AE$29+U262*$AE$30</f>
        <v/>
      </c>
      <c r="W262" s="8">
        <f>1/(1+EXP(-V262))</f>
        <v/>
      </c>
      <c r="X262" s="9">
        <f>-IF(C262=1,LN(W262),LN(1-W262))</f>
        <v/>
      </c>
      <c r="Y262" s="8">
        <f>IF(C262=1,$AE$32,$AE$33)</f>
        <v/>
      </c>
      <c r="Z262" s="9">
        <f>Y262*X262</f>
        <v/>
      </c>
      <c r="AA262" s="10">
        <f>IF(W262&gt;$AE$34,1,0)</f>
        <v/>
      </c>
      <c r="AB262">
        <f>IF(AA262=C262,1,0)</f>
        <v/>
      </c>
    </row>
    <row r="263">
      <c r="A263">
        <f>'1 datos preparados'!A256</f>
        <v/>
      </c>
      <c r="B263" s="5">
        <f>'1 datos preparados'!U256</f>
        <v/>
      </c>
      <c r="C263">
        <f>'1 datos preparados'!B256</f>
        <v/>
      </c>
      <c r="D263" s="7">
        <f>'1 datos preparados'!C256</f>
        <v/>
      </c>
      <c r="E263" s="7">
        <f>'1 datos preparados'!D256</f>
        <v/>
      </c>
      <c r="F263" s="7">
        <f>'1 datos preparados'!E256</f>
        <v/>
      </c>
      <c r="G263" s="7">
        <f>'1 datos preparados'!F256</f>
        <v/>
      </c>
      <c r="H263" s="7">
        <f>'1 datos preparados'!G256</f>
        <v/>
      </c>
      <c r="I263" s="7">
        <f>'1 datos preparados'!H256</f>
        <v/>
      </c>
      <c r="J263" s="7">
        <f>'1 datos preparados'!I256</f>
        <v/>
      </c>
      <c r="K263" s="7">
        <f>'1 datos preparados'!J256</f>
        <v/>
      </c>
      <c r="L263" s="7">
        <f>'1 datos preparados'!K256</f>
        <v/>
      </c>
      <c r="M263" s="7">
        <f>'1 datos preparados'!L256</f>
        <v/>
      </c>
      <c r="N263" s="7">
        <f>'1 datos preparados'!M256</f>
        <v/>
      </c>
      <c r="O263" s="7">
        <f>'1 datos preparados'!N256</f>
        <v/>
      </c>
      <c r="P263" s="7">
        <f>'1 datos preparados'!O256</f>
        <v/>
      </c>
      <c r="Q263" s="7">
        <f>'1 datos preparados'!P256</f>
        <v/>
      </c>
      <c r="R263" s="7">
        <f>'1 datos preparados'!Q256</f>
        <v/>
      </c>
      <c r="S263" s="7">
        <f>'1 datos preparados'!R256</f>
        <v/>
      </c>
      <c r="T263" s="7">
        <f>'1 datos preparados'!S256</f>
        <v/>
      </c>
      <c r="U263" s="7">
        <f>'1 datos preparados'!T256</f>
        <v/>
      </c>
      <c r="V263" s="8">
        <f>$AE$12+D263*$AE$13+E263*$AE$14+F263*$AE$15+G263*$AE$16+H263*$AE$17+I263*$AE$18+J263*$AE$19+K263*$AE$20+L263*$AE$21+M263*$AE$22+N263*$AE$23+O263*$AE$24+P263*$AE$25+Q263*$AE$26+R263*$AE$27+S263*$AE$28+T263*$AE$29+U263*$AE$30</f>
        <v/>
      </c>
      <c r="W263" s="8">
        <f>1/(1+EXP(-V263))</f>
        <v/>
      </c>
      <c r="X263" s="9">
        <f>-IF(C263=1,LN(W263),LN(1-W263))</f>
        <v/>
      </c>
      <c r="Y263" s="8">
        <f>IF(C263=1,$AE$32,$AE$33)</f>
        <v/>
      </c>
      <c r="Z263" s="9">
        <f>Y263*X263</f>
        <v/>
      </c>
      <c r="AA263" s="10">
        <f>IF(W263&gt;$AE$34,1,0)</f>
        <v/>
      </c>
      <c r="AB263">
        <f>IF(AA263=C263,1,0)</f>
        <v/>
      </c>
    </row>
    <row r="264">
      <c r="A264">
        <f>'1 datos preparados'!A257</f>
        <v/>
      </c>
      <c r="B264" s="5">
        <f>'1 datos preparados'!U257</f>
        <v/>
      </c>
      <c r="C264">
        <f>'1 datos preparados'!B257</f>
        <v/>
      </c>
      <c r="D264" s="7">
        <f>'1 datos preparados'!C257</f>
        <v/>
      </c>
      <c r="E264" s="7">
        <f>'1 datos preparados'!D257</f>
        <v/>
      </c>
      <c r="F264" s="7">
        <f>'1 datos preparados'!E257</f>
        <v/>
      </c>
      <c r="G264" s="7">
        <f>'1 datos preparados'!F257</f>
        <v/>
      </c>
      <c r="H264" s="7">
        <f>'1 datos preparados'!G257</f>
        <v/>
      </c>
      <c r="I264" s="7">
        <f>'1 datos preparados'!H257</f>
        <v/>
      </c>
      <c r="J264" s="7">
        <f>'1 datos preparados'!I257</f>
        <v/>
      </c>
      <c r="K264" s="7">
        <f>'1 datos preparados'!J257</f>
        <v/>
      </c>
      <c r="L264" s="7">
        <f>'1 datos preparados'!K257</f>
        <v/>
      </c>
      <c r="M264" s="7">
        <f>'1 datos preparados'!L257</f>
        <v/>
      </c>
      <c r="N264" s="7">
        <f>'1 datos preparados'!M257</f>
        <v/>
      </c>
      <c r="O264" s="7">
        <f>'1 datos preparados'!N257</f>
        <v/>
      </c>
      <c r="P264" s="7">
        <f>'1 datos preparados'!O257</f>
        <v/>
      </c>
      <c r="Q264" s="7">
        <f>'1 datos preparados'!P257</f>
        <v/>
      </c>
      <c r="R264" s="7">
        <f>'1 datos preparados'!Q257</f>
        <v/>
      </c>
      <c r="S264" s="7">
        <f>'1 datos preparados'!R257</f>
        <v/>
      </c>
      <c r="T264" s="7">
        <f>'1 datos preparados'!S257</f>
        <v/>
      </c>
      <c r="U264" s="7">
        <f>'1 datos preparados'!T257</f>
        <v/>
      </c>
      <c r="V264" s="8">
        <f>$AE$12+D264*$AE$13+E264*$AE$14+F264*$AE$15+G264*$AE$16+H264*$AE$17+I264*$AE$18+J264*$AE$19+K264*$AE$20+L264*$AE$21+M264*$AE$22+N264*$AE$23+O264*$AE$24+P264*$AE$25+Q264*$AE$26+R264*$AE$27+S264*$AE$28+T264*$AE$29+U264*$AE$30</f>
        <v/>
      </c>
      <c r="W264" s="8">
        <f>1/(1+EXP(-V264))</f>
        <v/>
      </c>
      <c r="X264" s="9">
        <f>-IF(C264=1,LN(W264),LN(1-W264))</f>
        <v/>
      </c>
      <c r="Y264" s="8">
        <f>IF(C264=1,$AE$32,$AE$33)</f>
        <v/>
      </c>
      <c r="Z264" s="9">
        <f>Y264*X264</f>
        <v/>
      </c>
      <c r="AA264" s="10">
        <f>IF(W264&gt;$AE$34,1,0)</f>
        <v/>
      </c>
      <c r="AB264">
        <f>IF(AA264=C264,1,0)</f>
        <v/>
      </c>
    </row>
    <row r="265">
      <c r="A265">
        <f>'1 datos preparados'!A258</f>
        <v/>
      </c>
      <c r="B265" s="5">
        <f>'1 datos preparados'!U258</f>
        <v/>
      </c>
      <c r="C265">
        <f>'1 datos preparados'!B258</f>
        <v/>
      </c>
      <c r="D265" s="7">
        <f>'1 datos preparados'!C258</f>
        <v/>
      </c>
      <c r="E265" s="7">
        <f>'1 datos preparados'!D258</f>
        <v/>
      </c>
      <c r="F265" s="7">
        <f>'1 datos preparados'!E258</f>
        <v/>
      </c>
      <c r="G265" s="7">
        <f>'1 datos preparados'!F258</f>
        <v/>
      </c>
      <c r="H265" s="7">
        <f>'1 datos preparados'!G258</f>
        <v/>
      </c>
      <c r="I265" s="7">
        <f>'1 datos preparados'!H258</f>
        <v/>
      </c>
      <c r="J265" s="7">
        <f>'1 datos preparados'!I258</f>
        <v/>
      </c>
      <c r="K265" s="7">
        <f>'1 datos preparados'!J258</f>
        <v/>
      </c>
      <c r="L265" s="7">
        <f>'1 datos preparados'!K258</f>
        <v/>
      </c>
      <c r="M265" s="7">
        <f>'1 datos preparados'!L258</f>
        <v/>
      </c>
      <c r="N265" s="7">
        <f>'1 datos preparados'!M258</f>
        <v/>
      </c>
      <c r="O265" s="7">
        <f>'1 datos preparados'!N258</f>
        <v/>
      </c>
      <c r="P265" s="7">
        <f>'1 datos preparados'!O258</f>
        <v/>
      </c>
      <c r="Q265" s="7">
        <f>'1 datos preparados'!P258</f>
        <v/>
      </c>
      <c r="R265" s="7">
        <f>'1 datos preparados'!Q258</f>
        <v/>
      </c>
      <c r="S265" s="7">
        <f>'1 datos preparados'!R258</f>
        <v/>
      </c>
      <c r="T265" s="7">
        <f>'1 datos preparados'!S258</f>
        <v/>
      </c>
      <c r="U265" s="7">
        <f>'1 datos preparados'!T258</f>
        <v/>
      </c>
      <c r="V265" s="8">
        <f>$AE$12+D265*$AE$13+E265*$AE$14+F265*$AE$15+G265*$AE$16+H265*$AE$17+I265*$AE$18+J265*$AE$19+K265*$AE$20+L265*$AE$21+M265*$AE$22+N265*$AE$23+O265*$AE$24+P265*$AE$25+Q265*$AE$26+R265*$AE$27+S265*$AE$28+T265*$AE$29+U265*$AE$30</f>
        <v/>
      </c>
      <c r="W265" s="8">
        <f>1/(1+EXP(-V265))</f>
        <v/>
      </c>
      <c r="X265" s="9">
        <f>-IF(C265=1,LN(W265),LN(1-W265))</f>
        <v/>
      </c>
      <c r="Y265" s="8">
        <f>IF(C265=1,$AE$32,$AE$33)</f>
        <v/>
      </c>
      <c r="Z265" s="9">
        <f>Y265*X265</f>
        <v/>
      </c>
      <c r="AA265" s="10">
        <f>IF(W265&gt;$AE$34,1,0)</f>
        <v/>
      </c>
      <c r="AB265">
        <f>IF(AA265=C265,1,0)</f>
        <v/>
      </c>
    </row>
    <row r="266">
      <c r="A266">
        <f>'1 datos preparados'!A259</f>
        <v/>
      </c>
      <c r="B266" s="5">
        <f>'1 datos preparados'!U259</f>
        <v/>
      </c>
      <c r="C266">
        <f>'1 datos preparados'!B259</f>
        <v/>
      </c>
      <c r="D266" s="7">
        <f>'1 datos preparados'!C259</f>
        <v/>
      </c>
      <c r="E266" s="7">
        <f>'1 datos preparados'!D259</f>
        <v/>
      </c>
      <c r="F266" s="7">
        <f>'1 datos preparados'!E259</f>
        <v/>
      </c>
      <c r="G266" s="7">
        <f>'1 datos preparados'!F259</f>
        <v/>
      </c>
      <c r="H266" s="7">
        <f>'1 datos preparados'!G259</f>
        <v/>
      </c>
      <c r="I266" s="7">
        <f>'1 datos preparados'!H259</f>
        <v/>
      </c>
      <c r="J266" s="7">
        <f>'1 datos preparados'!I259</f>
        <v/>
      </c>
      <c r="K266" s="7">
        <f>'1 datos preparados'!J259</f>
        <v/>
      </c>
      <c r="L266" s="7">
        <f>'1 datos preparados'!K259</f>
        <v/>
      </c>
      <c r="M266" s="7">
        <f>'1 datos preparados'!L259</f>
        <v/>
      </c>
      <c r="N266" s="7">
        <f>'1 datos preparados'!M259</f>
        <v/>
      </c>
      <c r="O266" s="7">
        <f>'1 datos preparados'!N259</f>
        <v/>
      </c>
      <c r="P266" s="7">
        <f>'1 datos preparados'!O259</f>
        <v/>
      </c>
      <c r="Q266" s="7">
        <f>'1 datos preparados'!P259</f>
        <v/>
      </c>
      <c r="R266" s="7">
        <f>'1 datos preparados'!Q259</f>
        <v/>
      </c>
      <c r="S266" s="7">
        <f>'1 datos preparados'!R259</f>
        <v/>
      </c>
      <c r="T266" s="7">
        <f>'1 datos preparados'!S259</f>
        <v/>
      </c>
      <c r="U266" s="7">
        <f>'1 datos preparados'!T259</f>
        <v/>
      </c>
      <c r="V266" s="8">
        <f>$AE$12+D266*$AE$13+E266*$AE$14+F266*$AE$15+G266*$AE$16+H266*$AE$17+I266*$AE$18+J266*$AE$19+K266*$AE$20+L266*$AE$21+M266*$AE$22+N266*$AE$23+O266*$AE$24+P266*$AE$25+Q266*$AE$26+R266*$AE$27+S266*$AE$28+T266*$AE$29+U266*$AE$30</f>
        <v/>
      </c>
      <c r="W266" s="8">
        <f>1/(1+EXP(-V266))</f>
        <v/>
      </c>
      <c r="X266" s="9">
        <f>-IF(C266=1,LN(W266),LN(1-W266))</f>
        <v/>
      </c>
      <c r="Y266" s="8">
        <f>IF(C266=1,$AE$32,$AE$33)</f>
        <v/>
      </c>
      <c r="Z266" s="9">
        <f>Y266*X266</f>
        <v/>
      </c>
      <c r="AA266" s="10">
        <f>IF(W266&gt;$AE$34,1,0)</f>
        <v/>
      </c>
      <c r="AB266">
        <f>IF(AA266=C266,1,0)</f>
        <v/>
      </c>
    </row>
    <row r="267">
      <c r="A267">
        <f>'1 datos preparados'!A260</f>
        <v/>
      </c>
      <c r="B267" s="5">
        <f>'1 datos preparados'!U260</f>
        <v/>
      </c>
      <c r="C267">
        <f>'1 datos preparados'!B260</f>
        <v/>
      </c>
      <c r="D267" s="7">
        <f>'1 datos preparados'!C260</f>
        <v/>
      </c>
      <c r="E267" s="7">
        <f>'1 datos preparados'!D260</f>
        <v/>
      </c>
      <c r="F267" s="7">
        <f>'1 datos preparados'!E260</f>
        <v/>
      </c>
      <c r="G267" s="7">
        <f>'1 datos preparados'!F260</f>
        <v/>
      </c>
      <c r="H267" s="7">
        <f>'1 datos preparados'!G260</f>
        <v/>
      </c>
      <c r="I267" s="7">
        <f>'1 datos preparados'!H260</f>
        <v/>
      </c>
      <c r="J267" s="7">
        <f>'1 datos preparados'!I260</f>
        <v/>
      </c>
      <c r="K267" s="7">
        <f>'1 datos preparados'!J260</f>
        <v/>
      </c>
      <c r="L267" s="7">
        <f>'1 datos preparados'!K260</f>
        <v/>
      </c>
      <c r="M267" s="7">
        <f>'1 datos preparados'!L260</f>
        <v/>
      </c>
      <c r="N267" s="7">
        <f>'1 datos preparados'!M260</f>
        <v/>
      </c>
      <c r="O267" s="7">
        <f>'1 datos preparados'!N260</f>
        <v/>
      </c>
      <c r="P267" s="7">
        <f>'1 datos preparados'!O260</f>
        <v/>
      </c>
      <c r="Q267" s="7">
        <f>'1 datos preparados'!P260</f>
        <v/>
      </c>
      <c r="R267" s="7">
        <f>'1 datos preparados'!Q260</f>
        <v/>
      </c>
      <c r="S267" s="7">
        <f>'1 datos preparados'!R260</f>
        <v/>
      </c>
      <c r="T267" s="7">
        <f>'1 datos preparados'!S260</f>
        <v/>
      </c>
      <c r="U267" s="7">
        <f>'1 datos preparados'!T260</f>
        <v/>
      </c>
      <c r="V267" s="8">
        <f>$AE$12+D267*$AE$13+E267*$AE$14+F267*$AE$15+G267*$AE$16+H267*$AE$17+I267*$AE$18+J267*$AE$19+K267*$AE$20+L267*$AE$21+M267*$AE$22+N267*$AE$23+O267*$AE$24+P267*$AE$25+Q267*$AE$26+R267*$AE$27+S267*$AE$28+T267*$AE$29+U267*$AE$30</f>
        <v/>
      </c>
      <c r="W267" s="8">
        <f>1/(1+EXP(-V267))</f>
        <v/>
      </c>
      <c r="X267" s="9">
        <f>-IF(C267=1,LN(W267),LN(1-W267))</f>
        <v/>
      </c>
      <c r="Y267" s="8">
        <f>IF(C267=1,$AE$32,$AE$33)</f>
        <v/>
      </c>
      <c r="Z267" s="9">
        <f>Y267*X267</f>
        <v/>
      </c>
      <c r="AA267" s="10">
        <f>IF(W267&gt;$AE$34,1,0)</f>
        <v/>
      </c>
      <c r="AB267">
        <f>IF(AA267=C267,1,0)</f>
        <v/>
      </c>
    </row>
    <row r="268">
      <c r="A268">
        <f>'1 datos preparados'!A261</f>
        <v/>
      </c>
      <c r="B268" s="5">
        <f>'1 datos preparados'!U261</f>
        <v/>
      </c>
      <c r="C268">
        <f>'1 datos preparados'!B261</f>
        <v/>
      </c>
      <c r="D268" s="7">
        <f>'1 datos preparados'!C261</f>
        <v/>
      </c>
      <c r="E268" s="7">
        <f>'1 datos preparados'!D261</f>
        <v/>
      </c>
      <c r="F268" s="7">
        <f>'1 datos preparados'!E261</f>
        <v/>
      </c>
      <c r="G268" s="7">
        <f>'1 datos preparados'!F261</f>
        <v/>
      </c>
      <c r="H268" s="7">
        <f>'1 datos preparados'!G261</f>
        <v/>
      </c>
      <c r="I268" s="7">
        <f>'1 datos preparados'!H261</f>
        <v/>
      </c>
      <c r="J268" s="7">
        <f>'1 datos preparados'!I261</f>
        <v/>
      </c>
      <c r="K268" s="7">
        <f>'1 datos preparados'!J261</f>
        <v/>
      </c>
      <c r="L268" s="7">
        <f>'1 datos preparados'!K261</f>
        <v/>
      </c>
      <c r="M268" s="7">
        <f>'1 datos preparados'!L261</f>
        <v/>
      </c>
      <c r="N268" s="7">
        <f>'1 datos preparados'!M261</f>
        <v/>
      </c>
      <c r="O268" s="7">
        <f>'1 datos preparados'!N261</f>
        <v/>
      </c>
      <c r="P268" s="7">
        <f>'1 datos preparados'!O261</f>
        <v/>
      </c>
      <c r="Q268" s="7">
        <f>'1 datos preparados'!P261</f>
        <v/>
      </c>
      <c r="R268" s="7">
        <f>'1 datos preparados'!Q261</f>
        <v/>
      </c>
      <c r="S268" s="7">
        <f>'1 datos preparados'!R261</f>
        <v/>
      </c>
      <c r="T268" s="7">
        <f>'1 datos preparados'!S261</f>
        <v/>
      </c>
      <c r="U268" s="7">
        <f>'1 datos preparados'!T261</f>
        <v/>
      </c>
      <c r="V268" s="8">
        <f>$AE$12+D268*$AE$13+E268*$AE$14+F268*$AE$15+G268*$AE$16+H268*$AE$17+I268*$AE$18+J268*$AE$19+K268*$AE$20+L268*$AE$21+M268*$AE$22+N268*$AE$23+O268*$AE$24+P268*$AE$25+Q268*$AE$26+R268*$AE$27+S268*$AE$28+T268*$AE$29+U268*$AE$30</f>
        <v/>
      </c>
      <c r="W268" s="8">
        <f>1/(1+EXP(-V268))</f>
        <v/>
      </c>
      <c r="X268" s="9">
        <f>-IF(C268=1,LN(W268),LN(1-W268))</f>
        <v/>
      </c>
      <c r="Y268" s="8">
        <f>IF(C268=1,$AE$32,$AE$33)</f>
        <v/>
      </c>
      <c r="Z268" s="9">
        <f>Y268*X268</f>
        <v/>
      </c>
      <c r="AA268" s="10">
        <f>IF(W268&gt;$AE$34,1,0)</f>
        <v/>
      </c>
      <c r="AB268">
        <f>IF(AA268=C268,1,0)</f>
        <v/>
      </c>
    </row>
    <row r="269">
      <c r="A269">
        <f>'1 datos preparados'!A262</f>
        <v/>
      </c>
      <c r="B269" s="5">
        <f>'1 datos preparados'!U262</f>
        <v/>
      </c>
      <c r="C269">
        <f>'1 datos preparados'!B262</f>
        <v/>
      </c>
      <c r="D269" s="7">
        <f>'1 datos preparados'!C262</f>
        <v/>
      </c>
      <c r="E269" s="7">
        <f>'1 datos preparados'!D262</f>
        <v/>
      </c>
      <c r="F269" s="7">
        <f>'1 datos preparados'!E262</f>
        <v/>
      </c>
      <c r="G269" s="7">
        <f>'1 datos preparados'!F262</f>
        <v/>
      </c>
      <c r="H269" s="7">
        <f>'1 datos preparados'!G262</f>
        <v/>
      </c>
      <c r="I269" s="7">
        <f>'1 datos preparados'!H262</f>
        <v/>
      </c>
      <c r="J269" s="7">
        <f>'1 datos preparados'!I262</f>
        <v/>
      </c>
      <c r="K269" s="7">
        <f>'1 datos preparados'!J262</f>
        <v/>
      </c>
      <c r="L269" s="7">
        <f>'1 datos preparados'!K262</f>
        <v/>
      </c>
      <c r="M269" s="7">
        <f>'1 datos preparados'!L262</f>
        <v/>
      </c>
      <c r="N269" s="7">
        <f>'1 datos preparados'!M262</f>
        <v/>
      </c>
      <c r="O269" s="7">
        <f>'1 datos preparados'!N262</f>
        <v/>
      </c>
      <c r="P269" s="7">
        <f>'1 datos preparados'!O262</f>
        <v/>
      </c>
      <c r="Q269" s="7">
        <f>'1 datos preparados'!P262</f>
        <v/>
      </c>
      <c r="R269" s="7">
        <f>'1 datos preparados'!Q262</f>
        <v/>
      </c>
      <c r="S269" s="7">
        <f>'1 datos preparados'!R262</f>
        <v/>
      </c>
      <c r="T269" s="7">
        <f>'1 datos preparados'!S262</f>
        <v/>
      </c>
      <c r="U269" s="7">
        <f>'1 datos preparados'!T262</f>
        <v/>
      </c>
      <c r="V269" s="8">
        <f>$AE$12+D269*$AE$13+E269*$AE$14+F269*$AE$15+G269*$AE$16+H269*$AE$17+I269*$AE$18+J269*$AE$19+K269*$AE$20+L269*$AE$21+M269*$AE$22+N269*$AE$23+O269*$AE$24+P269*$AE$25+Q269*$AE$26+R269*$AE$27+S269*$AE$28+T269*$AE$29+U269*$AE$30</f>
        <v/>
      </c>
      <c r="W269" s="8">
        <f>1/(1+EXP(-V269))</f>
        <v/>
      </c>
      <c r="X269" s="9">
        <f>-IF(C269=1,LN(W269),LN(1-W269))</f>
        <v/>
      </c>
      <c r="Y269" s="8">
        <f>IF(C269=1,$AE$32,$AE$33)</f>
        <v/>
      </c>
      <c r="Z269" s="9">
        <f>Y269*X269</f>
        <v/>
      </c>
      <c r="AA269" s="10">
        <f>IF(W269&gt;$AE$34,1,0)</f>
        <v/>
      </c>
      <c r="AB269">
        <f>IF(AA269=C269,1,0)</f>
        <v/>
      </c>
    </row>
    <row r="270">
      <c r="A270">
        <f>'1 datos preparados'!A263</f>
        <v/>
      </c>
      <c r="B270" s="5">
        <f>'1 datos preparados'!U263</f>
        <v/>
      </c>
      <c r="C270">
        <f>'1 datos preparados'!B263</f>
        <v/>
      </c>
      <c r="D270" s="7">
        <f>'1 datos preparados'!C263</f>
        <v/>
      </c>
      <c r="E270" s="7">
        <f>'1 datos preparados'!D263</f>
        <v/>
      </c>
      <c r="F270" s="7">
        <f>'1 datos preparados'!E263</f>
        <v/>
      </c>
      <c r="G270" s="7">
        <f>'1 datos preparados'!F263</f>
        <v/>
      </c>
      <c r="H270" s="7">
        <f>'1 datos preparados'!G263</f>
        <v/>
      </c>
      <c r="I270" s="7">
        <f>'1 datos preparados'!H263</f>
        <v/>
      </c>
      <c r="J270" s="7">
        <f>'1 datos preparados'!I263</f>
        <v/>
      </c>
      <c r="K270" s="7">
        <f>'1 datos preparados'!J263</f>
        <v/>
      </c>
      <c r="L270" s="7">
        <f>'1 datos preparados'!K263</f>
        <v/>
      </c>
      <c r="M270" s="7">
        <f>'1 datos preparados'!L263</f>
        <v/>
      </c>
      <c r="N270" s="7">
        <f>'1 datos preparados'!M263</f>
        <v/>
      </c>
      <c r="O270" s="7">
        <f>'1 datos preparados'!N263</f>
        <v/>
      </c>
      <c r="P270" s="7">
        <f>'1 datos preparados'!O263</f>
        <v/>
      </c>
      <c r="Q270" s="7">
        <f>'1 datos preparados'!P263</f>
        <v/>
      </c>
      <c r="R270" s="7">
        <f>'1 datos preparados'!Q263</f>
        <v/>
      </c>
      <c r="S270" s="7">
        <f>'1 datos preparados'!R263</f>
        <v/>
      </c>
      <c r="T270" s="7">
        <f>'1 datos preparados'!S263</f>
        <v/>
      </c>
      <c r="U270" s="7">
        <f>'1 datos preparados'!T263</f>
        <v/>
      </c>
      <c r="V270" s="8">
        <f>$AE$12+D270*$AE$13+E270*$AE$14+F270*$AE$15+G270*$AE$16+H270*$AE$17+I270*$AE$18+J270*$AE$19+K270*$AE$20+L270*$AE$21+M270*$AE$22+N270*$AE$23+O270*$AE$24+P270*$AE$25+Q270*$AE$26+R270*$AE$27+S270*$AE$28+T270*$AE$29+U270*$AE$30</f>
        <v/>
      </c>
      <c r="W270" s="8">
        <f>1/(1+EXP(-V270))</f>
        <v/>
      </c>
      <c r="X270" s="9">
        <f>-IF(C270=1,LN(W270),LN(1-W270))</f>
        <v/>
      </c>
      <c r="Y270" s="8">
        <f>IF(C270=1,$AE$32,$AE$33)</f>
        <v/>
      </c>
      <c r="Z270" s="9">
        <f>Y270*X270</f>
        <v/>
      </c>
      <c r="AA270" s="10">
        <f>IF(W270&gt;$AE$34,1,0)</f>
        <v/>
      </c>
      <c r="AB270">
        <f>IF(AA270=C270,1,0)</f>
        <v/>
      </c>
    </row>
    <row r="271">
      <c r="A271">
        <f>'1 datos preparados'!A264</f>
        <v/>
      </c>
      <c r="B271" s="5">
        <f>'1 datos preparados'!U264</f>
        <v/>
      </c>
      <c r="C271">
        <f>'1 datos preparados'!B264</f>
        <v/>
      </c>
      <c r="D271" s="7">
        <f>'1 datos preparados'!C264</f>
        <v/>
      </c>
      <c r="E271" s="7">
        <f>'1 datos preparados'!D264</f>
        <v/>
      </c>
      <c r="F271" s="7">
        <f>'1 datos preparados'!E264</f>
        <v/>
      </c>
      <c r="G271" s="7">
        <f>'1 datos preparados'!F264</f>
        <v/>
      </c>
      <c r="H271" s="7">
        <f>'1 datos preparados'!G264</f>
        <v/>
      </c>
      <c r="I271" s="7">
        <f>'1 datos preparados'!H264</f>
        <v/>
      </c>
      <c r="J271" s="7">
        <f>'1 datos preparados'!I264</f>
        <v/>
      </c>
      <c r="K271" s="7">
        <f>'1 datos preparados'!J264</f>
        <v/>
      </c>
      <c r="L271" s="7">
        <f>'1 datos preparados'!K264</f>
        <v/>
      </c>
      <c r="M271" s="7">
        <f>'1 datos preparados'!L264</f>
        <v/>
      </c>
      <c r="N271" s="7">
        <f>'1 datos preparados'!M264</f>
        <v/>
      </c>
      <c r="O271" s="7">
        <f>'1 datos preparados'!N264</f>
        <v/>
      </c>
      <c r="P271" s="7">
        <f>'1 datos preparados'!O264</f>
        <v/>
      </c>
      <c r="Q271" s="7">
        <f>'1 datos preparados'!P264</f>
        <v/>
      </c>
      <c r="R271" s="7">
        <f>'1 datos preparados'!Q264</f>
        <v/>
      </c>
      <c r="S271" s="7">
        <f>'1 datos preparados'!R264</f>
        <v/>
      </c>
      <c r="T271" s="7">
        <f>'1 datos preparados'!S264</f>
        <v/>
      </c>
      <c r="U271" s="7">
        <f>'1 datos preparados'!T264</f>
        <v/>
      </c>
      <c r="V271" s="8">
        <f>$AE$12+D271*$AE$13+E271*$AE$14+F271*$AE$15+G271*$AE$16+H271*$AE$17+I271*$AE$18+J271*$AE$19+K271*$AE$20+L271*$AE$21+M271*$AE$22+N271*$AE$23+O271*$AE$24+P271*$AE$25+Q271*$AE$26+R271*$AE$27+S271*$AE$28+T271*$AE$29+U271*$AE$30</f>
        <v/>
      </c>
      <c r="W271" s="8">
        <f>1/(1+EXP(-V271))</f>
        <v/>
      </c>
      <c r="X271" s="9">
        <f>-IF(C271=1,LN(W271),LN(1-W271))</f>
        <v/>
      </c>
      <c r="Y271" s="8">
        <f>IF(C271=1,$AE$32,$AE$33)</f>
        <v/>
      </c>
      <c r="Z271" s="9">
        <f>Y271*X271</f>
        <v/>
      </c>
      <c r="AA271" s="10">
        <f>IF(W271&gt;$AE$34,1,0)</f>
        <v/>
      </c>
      <c r="AB271">
        <f>IF(AA271=C271,1,0)</f>
        <v/>
      </c>
    </row>
    <row r="272">
      <c r="A272">
        <f>'1 datos preparados'!A265</f>
        <v/>
      </c>
      <c r="B272" s="5">
        <f>'1 datos preparados'!U265</f>
        <v/>
      </c>
      <c r="C272">
        <f>'1 datos preparados'!B265</f>
        <v/>
      </c>
      <c r="D272" s="7">
        <f>'1 datos preparados'!C265</f>
        <v/>
      </c>
      <c r="E272" s="7">
        <f>'1 datos preparados'!D265</f>
        <v/>
      </c>
      <c r="F272" s="7">
        <f>'1 datos preparados'!E265</f>
        <v/>
      </c>
      <c r="G272" s="7">
        <f>'1 datos preparados'!F265</f>
        <v/>
      </c>
      <c r="H272" s="7">
        <f>'1 datos preparados'!G265</f>
        <v/>
      </c>
      <c r="I272" s="7">
        <f>'1 datos preparados'!H265</f>
        <v/>
      </c>
      <c r="J272" s="7">
        <f>'1 datos preparados'!I265</f>
        <v/>
      </c>
      <c r="K272" s="7">
        <f>'1 datos preparados'!J265</f>
        <v/>
      </c>
      <c r="L272" s="7">
        <f>'1 datos preparados'!K265</f>
        <v/>
      </c>
      <c r="M272" s="7">
        <f>'1 datos preparados'!L265</f>
        <v/>
      </c>
      <c r="N272" s="7">
        <f>'1 datos preparados'!M265</f>
        <v/>
      </c>
      <c r="O272" s="7">
        <f>'1 datos preparados'!N265</f>
        <v/>
      </c>
      <c r="P272" s="7">
        <f>'1 datos preparados'!O265</f>
        <v/>
      </c>
      <c r="Q272" s="7">
        <f>'1 datos preparados'!P265</f>
        <v/>
      </c>
      <c r="R272" s="7">
        <f>'1 datos preparados'!Q265</f>
        <v/>
      </c>
      <c r="S272" s="7">
        <f>'1 datos preparados'!R265</f>
        <v/>
      </c>
      <c r="T272" s="7">
        <f>'1 datos preparados'!S265</f>
        <v/>
      </c>
      <c r="U272" s="7">
        <f>'1 datos preparados'!T265</f>
        <v/>
      </c>
      <c r="V272" s="8">
        <f>$AE$12+D272*$AE$13+E272*$AE$14+F272*$AE$15+G272*$AE$16+H272*$AE$17+I272*$AE$18+J272*$AE$19+K272*$AE$20+L272*$AE$21+M272*$AE$22+N272*$AE$23+O272*$AE$24+P272*$AE$25+Q272*$AE$26+R272*$AE$27+S272*$AE$28+T272*$AE$29+U272*$AE$30</f>
        <v/>
      </c>
      <c r="W272" s="8">
        <f>1/(1+EXP(-V272))</f>
        <v/>
      </c>
      <c r="X272" s="9">
        <f>-IF(C272=1,LN(W272),LN(1-W272))</f>
        <v/>
      </c>
      <c r="Y272" s="8">
        <f>IF(C272=1,$AE$32,$AE$33)</f>
        <v/>
      </c>
      <c r="Z272" s="9">
        <f>Y272*X272</f>
        <v/>
      </c>
      <c r="AA272" s="10">
        <f>IF(W272&gt;$AE$34,1,0)</f>
        <v/>
      </c>
      <c r="AB272">
        <f>IF(AA272=C272,1,0)</f>
        <v/>
      </c>
    </row>
    <row r="273">
      <c r="A273">
        <f>'1 datos preparados'!A266</f>
        <v/>
      </c>
      <c r="B273" s="5">
        <f>'1 datos preparados'!U266</f>
        <v/>
      </c>
      <c r="C273">
        <f>'1 datos preparados'!B266</f>
        <v/>
      </c>
      <c r="D273" s="7">
        <f>'1 datos preparados'!C266</f>
        <v/>
      </c>
      <c r="E273" s="7">
        <f>'1 datos preparados'!D266</f>
        <v/>
      </c>
      <c r="F273" s="7">
        <f>'1 datos preparados'!E266</f>
        <v/>
      </c>
      <c r="G273" s="7">
        <f>'1 datos preparados'!F266</f>
        <v/>
      </c>
      <c r="H273" s="7">
        <f>'1 datos preparados'!G266</f>
        <v/>
      </c>
      <c r="I273" s="7">
        <f>'1 datos preparados'!H266</f>
        <v/>
      </c>
      <c r="J273" s="7">
        <f>'1 datos preparados'!I266</f>
        <v/>
      </c>
      <c r="K273" s="7">
        <f>'1 datos preparados'!J266</f>
        <v/>
      </c>
      <c r="L273" s="7">
        <f>'1 datos preparados'!K266</f>
        <v/>
      </c>
      <c r="M273" s="7">
        <f>'1 datos preparados'!L266</f>
        <v/>
      </c>
      <c r="N273" s="7">
        <f>'1 datos preparados'!M266</f>
        <v/>
      </c>
      <c r="O273" s="7">
        <f>'1 datos preparados'!N266</f>
        <v/>
      </c>
      <c r="P273" s="7">
        <f>'1 datos preparados'!O266</f>
        <v/>
      </c>
      <c r="Q273" s="7">
        <f>'1 datos preparados'!P266</f>
        <v/>
      </c>
      <c r="R273" s="7">
        <f>'1 datos preparados'!Q266</f>
        <v/>
      </c>
      <c r="S273" s="7">
        <f>'1 datos preparados'!R266</f>
        <v/>
      </c>
      <c r="T273" s="7">
        <f>'1 datos preparados'!S266</f>
        <v/>
      </c>
      <c r="U273" s="7">
        <f>'1 datos preparados'!T266</f>
        <v/>
      </c>
      <c r="V273" s="8">
        <f>$AE$12+D273*$AE$13+E273*$AE$14+F273*$AE$15+G273*$AE$16+H273*$AE$17+I273*$AE$18+J273*$AE$19+K273*$AE$20+L273*$AE$21+M273*$AE$22+N273*$AE$23+O273*$AE$24+P273*$AE$25+Q273*$AE$26+R273*$AE$27+S273*$AE$28+T273*$AE$29+U273*$AE$30</f>
        <v/>
      </c>
      <c r="W273" s="8">
        <f>1/(1+EXP(-V273))</f>
        <v/>
      </c>
      <c r="X273" s="9">
        <f>-IF(C273=1,LN(W273),LN(1-W273))</f>
        <v/>
      </c>
      <c r="Y273" s="8">
        <f>IF(C273=1,$AE$32,$AE$33)</f>
        <v/>
      </c>
      <c r="Z273" s="9">
        <f>Y273*X273</f>
        <v/>
      </c>
      <c r="AA273" s="10">
        <f>IF(W273&gt;$AE$34,1,0)</f>
        <v/>
      </c>
      <c r="AB273">
        <f>IF(AA273=C273,1,0)</f>
        <v/>
      </c>
    </row>
    <row r="274">
      <c r="A274">
        <f>'1 datos preparados'!A267</f>
        <v/>
      </c>
      <c r="B274" s="5">
        <f>'1 datos preparados'!U267</f>
        <v/>
      </c>
      <c r="C274">
        <f>'1 datos preparados'!B267</f>
        <v/>
      </c>
      <c r="D274" s="7">
        <f>'1 datos preparados'!C267</f>
        <v/>
      </c>
      <c r="E274" s="7">
        <f>'1 datos preparados'!D267</f>
        <v/>
      </c>
      <c r="F274" s="7">
        <f>'1 datos preparados'!E267</f>
        <v/>
      </c>
      <c r="G274" s="7">
        <f>'1 datos preparados'!F267</f>
        <v/>
      </c>
      <c r="H274" s="7">
        <f>'1 datos preparados'!G267</f>
        <v/>
      </c>
      <c r="I274" s="7">
        <f>'1 datos preparados'!H267</f>
        <v/>
      </c>
      <c r="J274" s="7">
        <f>'1 datos preparados'!I267</f>
        <v/>
      </c>
      <c r="K274" s="7">
        <f>'1 datos preparados'!J267</f>
        <v/>
      </c>
      <c r="L274" s="7">
        <f>'1 datos preparados'!K267</f>
        <v/>
      </c>
      <c r="M274" s="7">
        <f>'1 datos preparados'!L267</f>
        <v/>
      </c>
      <c r="N274" s="7">
        <f>'1 datos preparados'!M267</f>
        <v/>
      </c>
      <c r="O274" s="7">
        <f>'1 datos preparados'!N267</f>
        <v/>
      </c>
      <c r="P274" s="7">
        <f>'1 datos preparados'!O267</f>
        <v/>
      </c>
      <c r="Q274" s="7">
        <f>'1 datos preparados'!P267</f>
        <v/>
      </c>
      <c r="R274" s="7">
        <f>'1 datos preparados'!Q267</f>
        <v/>
      </c>
      <c r="S274" s="7">
        <f>'1 datos preparados'!R267</f>
        <v/>
      </c>
      <c r="T274" s="7">
        <f>'1 datos preparados'!S267</f>
        <v/>
      </c>
      <c r="U274" s="7">
        <f>'1 datos preparados'!T267</f>
        <v/>
      </c>
      <c r="V274" s="8">
        <f>$AE$12+D274*$AE$13+E274*$AE$14+F274*$AE$15+G274*$AE$16+H274*$AE$17+I274*$AE$18+J274*$AE$19+K274*$AE$20+L274*$AE$21+M274*$AE$22+N274*$AE$23+O274*$AE$24+P274*$AE$25+Q274*$AE$26+R274*$AE$27+S274*$AE$28+T274*$AE$29+U274*$AE$30</f>
        <v/>
      </c>
      <c r="W274" s="8">
        <f>1/(1+EXP(-V274))</f>
        <v/>
      </c>
      <c r="X274" s="9">
        <f>-IF(C274=1,LN(W274),LN(1-W274))</f>
        <v/>
      </c>
      <c r="Y274" s="8">
        <f>IF(C274=1,$AE$32,$AE$33)</f>
        <v/>
      </c>
      <c r="Z274" s="9">
        <f>Y274*X274</f>
        <v/>
      </c>
      <c r="AA274" s="10">
        <f>IF(W274&gt;$AE$34,1,0)</f>
        <v/>
      </c>
      <c r="AB274">
        <f>IF(AA274=C274,1,0)</f>
        <v/>
      </c>
    </row>
    <row r="275">
      <c r="A275">
        <f>'1 datos preparados'!A268</f>
        <v/>
      </c>
      <c r="B275" s="5">
        <f>'1 datos preparados'!U268</f>
        <v/>
      </c>
      <c r="C275">
        <f>'1 datos preparados'!B268</f>
        <v/>
      </c>
      <c r="D275" s="7">
        <f>'1 datos preparados'!C268</f>
        <v/>
      </c>
      <c r="E275" s="7">
        <f>'1 datos preparados'!D268</f>
        <v/>
      </c>
      <c r="F275" s="7">
        <f>'1 datos preparados'!E268</f>
        <v/>
      </c>
      <c r="G275" s="7">
        <f>'1 datos preparados'!F268</f>
        <v/>
      </c>
      <c r="H275" s="7">
        <f>'1 datos preparados'!G268</f>
        <v/>
      </c>
      <c r="I275" s="7">
        <f>'1 datos preparados'!H268</f>
        <v/>
      </c>
      <c r="J275" s="7">
        <f>'1 datos preparados'!I268</f>
        <v/>
      </c>
      <c r="K275" s="7">
        <f>'1 datos preparados'!J268</f>
        <v/>
      </c>
      <c r="L275" s="7">
        <f>'1 datos preparados'!K268</f>
        <v/>
      </c>
      <c r="M275" s="7">
        <f>'1 datos preparados'!L268</f>
        <v/>
      </c>
      <c r="N275" s="7">
        <f>'1 datos preparados'!M268</f>
        <v/>
      </c>
      <c r="O275" s="7">
        <f>'1 datos preparados'!N268</f>
        <v/>
      </c>
      <c r="P275" s="7">
        <f>'1 datos preparados'!O268</f>
        <v/>
      </c>
      <c r="Q275" s="7">
        <f>'1 datos preparados'!P268</f>
        <v/>
      </c>
      <c r="R275" s="7">
        <f>'1 datos preparados'!Q268</f>
        <v/>
      </c>
      <c r="S275" s="7">
        <f>'1 datos preparados'!R268</f>
        <v/>
      </c>
      <c r="T275" s="7">
        <f>'1 datos preparados'!S268</f>
        <v/>
      </c>
      <c r="U275" s="7">
        <f>'1 datos preparados'!T268</f>
        <v/>
      </c>
      <c r="V275" s="8">
        <f>$AE$12+D275*$AE$13+E275*$AE$14+F275*$AE$15+G275*$AE$16+H275*$AE$17+I275*$AE$18+J275*$AE$19+K275*$AE$20+L275*$AE$21+M275*$AE$22+N275*$AE$23+O275*$AE$24+P275*$AE$25+Q275*$AE$26+R275*$AE$27+S275*$AE$28+T275*$AE$29+U275*$AE$30</f>
        <v/>
      </c>
      <c r="W275" s="8">
        <f>1/(1+EXP(-V275))</f>
        <v/>
      </c>
      <c r="X275" s="9">
        <f>-IF(C275=1,LN(W275),LN(1-W275))</f>
        <v/>
      </c>
      <c r="Y275" s="8">
        <f>IF(C275=1,$AE$32,$AE$33)</f>
        <v/>
      </c>
      <c r="Z275" s="9">
        <f>Y275*X275</f>
        <v/>
      </c>
      <c r="AA275" s="10">
        <f>IF(W275&gt;$AE$34,1,0)</f>
        <v/>
      </c>
      <c r="AB275">
        <f>IF(AA275=C275,1,0)</f>
        <v/>
      </c>
    </row>
    <row r="276">
      <c r="A276">
        <f>'1 datos preparados'!A269</f>
        <v/>
      </c>
      <c r="B276" s="5">
        <f>'1 datos preparados'!U269</f>
        <v/>
      </c>
      <c r="C276">
        <f>'1 datos preparados'!B269</f>
        <v/>
      </c>
      <c r="D276" s="7">
        <f>'1 datos preparados'!C269</f>
        <v/>
      </c>
      <c r="E276" s="7">
        <f>'1 datos preparados'!D269</f>
        <v/>
      </c>
      <c r="F276" s="7">
        <f>'1 datos preparados'!E269</f>
        <v/>
      </c>
      <c r="G276" s="7">
        <f>'1 datos preparados'!F269</f>
        <v/>
      </c>
      <c r="H276" s="7">
        <f>'1 datos preparados'!G269</f>
        <v/>
      </c>
      <c r="I276" s="7">
        <f>'1 datos preparados'!H269</f>
        <v/>
      </c>
      <c r="J276" s="7">
        <f>'1 datos preparados'!I269</f>
        <v/>
      </c>
      <c r="K276" s="7">
        <f>'1 datos preparados'!J269</f>
        <v/>
      </c>
      <c r="L276" s="7">
        <f>'1 datos preparados'!K269</f>
        <v/>
      </c>
      <c r="M276" s="7">
        <f>'1 datos preparados'!L269</f>
        <v/>
      </c>
      <c r="N276" s="7">
        <f>'1 datos preparados'!M269</f>
        <v/>
      </c>
      <c r="O276" s="7">
        <f>'1 datos preparados'!N269</f>
        <v/>
      </c>
      <c r="P276" s="7">
        <f>'1 datos preparados'!O269</f>
        <v/>
      </c>
      <c r="Q276" s="7">
        <f>'1 datos preparados'!P269</f>
        <v/>
      </c>
      <c r="R276" s="7">
        <f>'1 datos preparados'!Q269</f>
        <v/>
      </c>
      <c r="S276" s="7">
        <f>'1 datos preparados'!R269</f>
        <v/>
      </c>
      <c r="T276" s="7">
        <f>'1 datos preparados'!S269</f>
        <v/>
      </c>
      <c r="U276" s="7">
        <f>'1 datos preparados'!T269</f>
        <v/>
      </c>
      <c r="V276" s="8">
        <f>$AE$12+D276*$AE$13+E276*$AE$14+F276*$AE$15+G276*$AE$16+H276*$AE$17+I276*$AE$18+J276*$AE$19+K276*$AE$20+L276*$AE$21+M276*$AE$22+N276*$AE$23+O276*$AE$24+P276*$AE$25+Q276*$AE$26+R276*$AE$27+S276*$AE$28+T276*$AE$29+U276*$AE$30</f>
        <v/>
      </c>
      <c r="W276" s="8">
        <f>1/(1+EXP(-V276))</f>
        <v/>
      </c>
      <c r="X276" s="9">
        <f>-IF(C276=1,LN(W276),LN(1-W276))</f>
        <v/>
      </c>
      <c r="Y276" s="8">
        <f>IF(C276=1,$AE$32,$AE$33)</f>
        <v/>
      </c>
      <c r="Z276" s="9">
        <f>Y276*X276</f>
        <v/>
      </c>
      <c r="AA276" s="10">
        <f>IF(W276&gt;$AE$34,1,0)</f>
        <v/>
      </c>
      <c r="AB276">
        <f>IF(AA276=C276,1,0)</f>
        <v/>
      </c>
    </row>
    <row r="277">
      <c r="A277">
        <f>'1 datos preparados'!A270</f>
        <v/>
      </c>
      <c r="B277" s="5">
        <f>'1 datos preparados'!U270</f>
        <v/>
      </c>
      <c r="C277">
        <f>'1 datos preparados'!B270</f>
        <v/>
      </c>
      <c r="D277" s="7">
        <f>'1 datos preparados'!C270</f>
        <v/>
      </c>
      <c r="E277" s="7">
        <f>'1 datos preparados'!D270</f>
        <v/>
      </c>
      <c r="F277" s="7">
        <f>'1 datos preparados'!E270</f>
        <v/>
      </c>
      <c r="G277" s="7">
        <f>'1 datos preparados'!F270</f>
        <v/>
      </c>
      <c r="H277" s="7">
        <f>'1 datos preparados'!G270</f>
        <v/>
      </c>
      <c r="I277" s="7">
        <f>'1 datos preparados'!H270</f>
        <v/>
      </c>
      <c r="J277" s="7">
        <f>'1 datos preparados'!I270</f>
        <v/>
      </c>
      <c r="K277" s="7">
        <f>'1 datos preparados'!J270</f>
        <v/>
      </c>
      <c r="L277" s="7">
        <f>'1 datos preparados'!K270</f>
        <v/>
      </c>
      <c r="M277" s="7">
        <f>'1 datos preparados'!L270</f>
        <v/>
      </c>
      <c r="N277" s="7">
        <f>'1 datos preparados'!M270</f>
        <v/>
      </c>
      <c r="O277" s="7">
        <f>'1 datos preparados'!N270</f>
        <v/>
      </c>
      <c r="P277" s="7">
        <f>'1 datos preparados'!O270</f>
        <v/>
      </c>
      <c r="Q277" s="7">
        <f>'1 datos preparados'!P270</f>
        <v/>
      </c>
      <c r="R277" s="7">
        <f>'1 datos preparados'!Q270</f>
        <v/>
      </c>
      <c r="S277" s="7">
        <f>'1 datos preparados'!R270</f>
        <v/>
      </c>
      <c r="T277" s="7">
        <f>'1 datos preparados'!S270</f>
        <v/>
      </c>
      <c r="U277" s="7">
        <f>'1 datos preparados'!T270</f>
        <v/>
      </c>
      <c r="V277" s="8">
        <f>$AE$12+D277*$AE$13+E277*$AE$14+F277*$AE$15+G277*$AE$16+H277*$AE$17+I277*$AE$18+J277*$AE$19+K277*$AE$20+L277*$AE$21+M277*$AE$22+N277*$AE$23+O277*$AE$24+P277*$AE$25+Q277*$AE$26+R277*$AE$27+S277*$AE$28+T277*$AE$29+U277*$AE$30</f>
        <v/>
      </c>
      <c r="W277" s="8">
        <f>1/(1+EXP(-V277))</f>
        <v/>
      </c>
      <c r="X277" s="9">
        <f>-IF(C277=1,LN(W277),LN(1-W277))</f>
        <v/>
      </c>
      <c r="Y277" s="8">
        <f>IF(C277=1,$AE$32,$AE$33)</f>
        <v/>
      </c>
      <c r="Z277" s="9">
        <f>Y277*X277</f>
        <v/>
      </c>
      <c r="AA277" s="10">
        <f>IF(W277&gt;$AE$34,1,0)</f>
        <v/>
      </c>
      <c r="AB277">
        <f>IF(AA277=C277,1,0)</f>
        <v/>
      </c>
    </row>
    <row r="278">
      <c r="A278">
        <f>'1 datos preparados'!A271</f>
        <v/>
      </c>
      <c r="B278" s="5">
        <f>'1 datos preparados'!U271</f>
        <v/>
      </c>
      <c r="C278">
        <f>'1 datos preparados'!B271</f>
        <v/>
      </c>
      <c r="D278" s="7">
        <f>'1 datos preparados'!C271</f>
        <v/>
      </c>
      <c r="E278" s="7">
        <f>'1 datos preparados'!D271</f>
        <v/>
      </c>
      <c r="F278" s="7">
        <f>'1 datos preparados'!E271</f>
        <v/>
      </c>
      <c r="G278" s="7">
        <f>'1 datos preparados'!F271</f>
        <v/>
      </c>
      <c r="H278" s="7">
        <f>'1 datos preparados'!G271</f>
        <v/>
      </c>
      <c r="I278" s="7">
        <f>'1 datos preparados'!H271</f>
        <v/>
      </c>
      <c r="J278" s="7">
        <f>'1 datos preparados'!I271</f>
        <v/>
      </c>
      <c r="K278" s="7">
        <f>'1 datos preparados'!J271</f>
        <v/>
      </c>
      <c r="L278" s="7">
        <f>'1 datos preparados'!K271</f>
        <v/>
      </c>
      <c r="M278" s="7">
        <f>'1 datos preparados'!L271</f>
        <v/>
      </c>
      <c r="N278" s="7">
        <f>'1 datos preparados'!M271</f>
        <v/>
      </c>
      <c r="O278" s="7">
        <f>'1 datos preparados'!N271</f>
        <v/>
      </c>
      <c r="P278" s="7">
        <f>'1 datos preparados'!O271</f>
        <v/>
      </c>
      <c r="Q278" s="7">
        <f>'1 datos preparados'!P271</f>
        <v/>
      </c>
      <c r="R278" s="7">
        <f>'1 datos preparados'!Q271</f>
        <v/>
      </c>
      <c r="S278" s="7">
        <f>'1 datos preparados'!R271</f>
        <v/>
      </c>
      <c r="T278" s="7">
        <f>'1 datos preparados'!S271</f>
        <v/>
      </c>
      <c r="U278" s="7">
        <f>'1 datos preparados'!T271</f>
        <v/>
      </c>
      <c r="V278" s="8">
        <f>$AE$12+D278*$AE$13+E278*$AE$14+F278*$AE$15+G278*$AE$16+H278*$AE$17+I278*$AE$18+J278*$AE$19+K278*$AE$20+L278*$AE$21+M278*$AE$22+N278*$AE$23+O278*$AE$24+P278*$AE$25+Q278*$AE$26+R278*$AE$27+S278*$AE$28+T278*$AE$29+U278*$AE$30</f>
        <v/>
      </c>
      <c r="W278" s="8">
        <f>1/(1+EXP(-V278))</f>
        <v/>
      </c>
      <c r="X278" s="9">
        <f>-IF(C278=1,LN(W278),LN(1-W278))</f>
        <v/>
      </c>
      <c r="Y278" s="8">
        <f>IF(C278=1,$AE$32,$AE$33)</f>
        <v/>
      </c>
      <c r="Z278" s="9">
        <f>Y278*X278</f>
        <v/>
      </c>
      <c r="AA278" s="10">
        <f>IF(W278&gt;$AE$34,1,0)</f>
        <v/>
      </c>
      <c r="AB278">
        <f>IF(AA278=C278,1,0)</f>
        <v/>
      </c>
    </row>
    <row r="279">
      <c r="A279">
        <f>'1 datos preparados'!A272</f>
        <v/>
      </c>
      <c r="B279" s="5">
        <f>'1 datos preparados'!U272</f>
        <v/>
      </c>
      <c r="C279">
        <f>'1 datos preparados'!B272</f>
        <v/>
      </c>
      <c r="D279" s="7">
        <f>'1 datos preparados'!C272</f>
        <v/>
      </c>
      <c r="E279" s="7">
        <f>'1 datos preparados'!D272</f>
        <v/>
      </c>
      <c r="F279" s="7">
        <f>'1 datos preparados'!E272</f>
        <v/>
      </c>
      <c r="G279" s="7">
        <f>'1 datos preparados'!F272</f>
        <v/>
      </c>
      <c r="H279" s="7">
        <f>'1 datos preparados'!G272</f>
        <v/>
      </c>
      <c r="I279" s="7">
        <f>'1 datos preparados'!H272</f>
        <v/>
      </c>
      <c r="J279" s="7">
        <f>'1 datos preparados'!I272</f>
        <v/>
      </c>
      <c r="K279" s="7">
        <f>'1 datos preparados'!J272</f>
        <v/>
      </c>
      <c r="L279" s="7">
        <f>'1 datos preparados'!K272</f>
        <v/>
      </c>
      <c r="M279" s="7">
        <f>'1 datos preparados'!L272</f>
        <v/>
      </c>
      <c r="N279" s="7">
        <f>'1 datos preparados'!M272</f>
        <v/>
      </c>
      <c r="O279" s="7">
        <f>'1 datos preparados'!N272</f>
        <v/>
      </c>
      <c r="P279" s="7">
        <f>'1 datos preparados'!O272</f>
        <v/>
      </c>
      <c r="Q279" s="7">
        <f>'1 datos preparados'!P272</f>
        <v/>
      </c>
      <c r="R279" s="7">
        <f>'1 datos preparados'!Q272</f>
        <v/>
      </c>
      <c r="S279" s="7">
        <f>'1 datos preparados'!R272</f>
        <v/>
      </c>
      <c r="T279" s="7">
        <f>'1 datos preparados'!S272</f>
        <v/>
      </c>
      <c r="U279" s="7">
        <f>'1 datos preparados'!T272</f>
        <v/>
      </c>
      <c r="V279" s="8">
        <f>$AE$12+D279*$AE$13+E279*$AE$14+F279*$AE$15+G279*$AE$16+H279*$AE$17+I279*$AE$18+J279*$AE$19+K279*$AE$20+L279*$AE$21+M279*$AE$22+N279*$AE$23+O279*$AE$24+P279*$AE$25+Q279*$AE$26+R279*$AE$27+S279*$AE$28+T279*$AE$29+U279*$AE$30</f>
        <v/>
      </c>
      <c r="W279" s="8">
        <f>1/(1+EXP(-V279))</f>
        <v/>
      </c>
      <c r="X279" s="9">
        <f>-IF(C279=1,LN(W279),LN(1-W279))</f>
        <v/>
      </c>
      <c r="Y279" s="8">
        <f>IF(C279=1,$AE$32,$AE$33)</f>
        <v/>
      </c>
      <c r="Z279" s="9">
        <f>Y279*X279</f>
        <v/>
      </c>
      <c r="AA279" s="10">
        <f>IF(W279&gt;$AE$34,1,0)</f>
        <v/>
      </c>
      <c r="AB279">
        <f>IF(AA279=C279,1,0)</f>
        <v/>
      </c>
    </row>
    <row r="280">
      <c r="A280">
        <f>'1 datos preparados'!A273</f>
        <v/>
      </c>
      <c r="B280" s="5">
        <f>'1 datos preparados'!U273</f>
        <v/>
      </c>
      <c r="C280">
        <f>'1 datos preparados'!B273</f>
        <v/>
      </c>
      <c r="D280" s="7">
        <f>'1 datos preparados'!C273</f>
        <v/>
      </c>
      <c r="E280" s="7">
        <f>'1 datos preparados'!D273</f>
        <v/>
      </c>
      <c r="F280" s="7">
        <f>'1 datos preparados'!E273</f>
        <v/>
      </c>
      <c r="G280" s="7">
        <f>'1 datos preparados'!F273</f>
        <v/>
      </c>
      <c r="H280" s="7">
        <f>'1 datos preparados'!G273</f>
        <v/>
      </c>
      <c r="I280" s="7">
        <f>'1 datos preparados'!H273</f>
        <v/>
      </c>
      <c r="J280" s="7">
        <f>'1 datos preparados'!I273</f>
        <v/>
      </c>
      <c r="K280" s="7">
        <f>'1 datos preparados'!J273</f>
        <v/>
      </c>
      <c r="L280" s="7">
        <f>'1 datos preparados'!K273</f>
        <v/>
      </c>
      <c r="M280" s="7">
        <f>'1 datos preparados'!L273</f>
        <v/>
      </c>
      <c r="N280" s="7">
        <f>'1 datos preparados'!M273</f>
        <v/>
      </c>
      <c r="O280" s="7">
        <f>'1 datos preparados'!N273</f>
        <v/>
      </c>
      <c r="P280" s="7">
        <f>'1 datos preparados'!O273</f>
        <v/>
      </c>
      <c r="Q280" s="7">
        <f>'1 datos preparados'!P273</f>
        <v/>
      </c>
      <c r="R280" s="7">
        <f>'1 datos preparados'!Q273</f>
        <v/>
      </c>
      <c r="S280" s="7">
        <f>'1 datos preparados'!R273</f>
        <v/>
      </c>
      <c r="T280" s="7">
        <f>'1 datos preparados'!S273</f>
        <v/>
      </c>
      <c r="U280" s="7">
        <f>'1 datos preparados'!T273</f>
        <v/>
      </c>
      <c r="V280" s="8">
        <f>$AE$12+D280*$AE$13+E280*$AE$14+F280*$AE$15+G280*$AE$16+H280*$AE$17+I280*$AE$18+J280*$AE$19+K280*$AE$20+L280*$AE$21+M280*$AE$22+N280*$AE$23+O280*$AE$24+P280*$AE$25+Q280*$AE$26+R280*$AE$27+S280*$AE$28+T280*$AE$29+U280*$AE$30</f>
        <v/>
      </c>
      <c r="W280" s="8">
        <f>1/(1+EXP(-V280))</f>
        <v/>
      </c>
      <c r="X280" s="9">
        <f>-IF(C280=1,LN(W280),LN(1-W280))</f>
        <v/>
      </c>
      <c r="Y280" s="8">
        <f>IF(C280=1,$AE$32,$AE$33)</f>
        <v/>
      </c>
      <c r="Z280" s="9">
        <f>Y280*X280</f>
        <v/>
      </c>
      <c r="AA280" s="10">
        <f>IF(W280&gt;$AE$34,1,0)</f>
        <v/>
      </c>
      <c r="AB280">
        <f>IF(AA280=C280,1,0)</f>
        <v/>
      </c>
    </row>
    <row r="281">
      <c r="A281">
        <f>'1 datos preparados'!A274</f>
        <v/>
      </c>
      <c r="B281" s="5">
        <f>'1 datos preparados'!U274</f>
        <v/>
      </c>
      <c r="C281">
        <f>'1 datos preparados'!B274</f>
        <v/>
      </c>
      <c r="D281" s="7">
        <f>'1 datos preparados'!C274</f>
        <v/>
      </c>
      <c r="E281" s="7">
        <f>'1 datos preparados'!D274</f>
        <v/>
      </c>
      <c r="F281" s="7">
        <f>'1 datos preparados'!E274</f>
        <v/>
      </c>
      <c r="G281" s="7">
        <f>'1 datos preparados'!F274</f>
        <v/>
      </c>
      <c r="H281" s="7">
        <f>'1 datos preparados'!G274</f>
        <v/>
      </c>
      <c r="I281" s="7">
        <f>'1 datos preparados'!H274</f>
        <v/>
      </c>
      <c r="J281" s="7">
        <f>'1 datos preparados'!I274</f>
        <v/>
      </c>
      <c r="K281" s="7">
        <f>'1 datos preparados'!J274</f>
        <v/>
      </c>
      <c r="L281" s="7">
        <f>'1 datos preparados'!K274</f>
        <v/>
      </c>
      <c r="M281" s="7">
        <f>'1 datos preparados'!L274</f>
        <v/>
      </c>
      <c r="N281" s="7">
        <f>'1 datos preparados'!M274</f>
        <v/>
      </c>
      <c r="O281" s="7">
        <f>'1 datos preparados'!N274</f>
        <v/>
      </c>
      <c r="P281" s="7">
        <f>'1 datos preparados'!O274</f>
        <v/>
      </c>
      <c r="Q281" s="7">
        <f>'1 datos preparados'!P274</f>
        <v/>
      </c>
      <c r="R281" s="7">
        <f>'1 datos preparados'!Q274</f>
        <v/>
      </c>
      <c r="S281" s="7">
        <f>'1 datos preparados'!R274</f>
        <v/>
      </c>
      <c r="T281" s="7">
        <f>'1 datos preparados'!S274</f>
        <v/>
      </c>
      <c r="U281" s="7">
        <f>'1 datos preparados'!T274</f>
        <v/>
      </c>
      <c r="V281" s="8">
        <f>$AE$12+D281*$AE$13+E281*$AE$14+F281*$AE$15+G281*$AE$16+H281*$AE$17+I281*$AE$18+J281*$AE$19+K281*$AE$20+L281*$AE$21+M281*$AE$22+N281*$AE$23+O281*$AE$24+P281*$AE$25+Q281*$AE$26+R281*$AE$27+S281*$AE$28+T281*$AE$29+U281*$AE$30</f>
        <v/>
      </c>
      <c r="W281" s="8">
        <f>1/(1+EXP(-V281))</f>
        <v/>
      </c>
      <c r="X281" s="9">
        <f>-IF(C281=1,LN(W281),LN(1-W281))</f>
        <v/>
      </c>
      <c r="Y281" s="8">
        <f>IF(C281=1,$AE$32,$AE$33)</f>
        <v/>
      </c>
      <c r="Z281" s="9">
        <f>Y281*X281</f>
        <v/>
      </c>
      <c r="AA281" s="10">
        <f>IF(W281&gt;$AE$34,1,0)</f>
        <v/>
      </c>
      <c r="AB281">
        <f>IF(AA281=C281,1,0)</f>
        <v/>
      </c>
    </row>
    <row r="282">
      <c r="A282">
        <f>'1 datos preparados'!A275</f>
        <v/>
      </c>
      <c r="B282" s="5">
        <f>'1 datos preparados'!U275</f>
        <v/>
      </c>
      <c r="C282">
        <f>'1 datos preparados'!B275</f>
        <v/>
      </c>
      <c r="D282" s="7">
        <f>'1 datos preparados'!C275</f>
        <v/>
      </c>
      <c r="E282" s="7">
        <f>'1 datos preparados'!D275</f>
        <v/>
      </c>
      <c r="F282" s="7">
        <f>'1 datos preparados'!E275</f>
        <v/>
      </c>
      <c r="G282" s="7">
        <f>'1 datos preparados'!F275</f>
        <v/>
      </c>
      <c r="H282" s="7">
        <f>'1 datos preparados'!G275</f>
        <v/>
      </c>
      <c r="I282" s="7">
        <f>'1 datos preparados'!H275</f>
        <v/>
      </c>
      <c r="J282" s="7">
        <f>'1 datos preparados'!I275</f>
        <v/>
      </c>
      <c r="K282" s="7">
        <f>'1 datos preparados'!J275</f>
        <v/>
      </c>
      <c r="L282" s="7">
        <f>'1 datos preparados'!K275</f>
        <v/>
      </c>
      <c r="M282" s="7">
        <f>'1 datos preparados'!L275</f>
        <v/>
      </c>
      <c r="N282" s="7">
        <f>'1 datos preparados'!M275</f>
        <v/>
      </c>
      <c r="O282" s="7">
        <f>'1 datos preparados'!N275</f>
        <v/>
      </c>
      <c r="P282" s="7">
        <f>'1 datos preparados'!O275</f>
        <v/>
      </c>
      <c r="Q282" s="7">
        <f>'1 datos preparados'!P275</f>
        <v/>
      </c>
      <c r="R282" s="7">
        <f>'1 datos preparados'!Q275</f>
        <v/>
      </c>
      <c r="S282" s="7">
        <f>'1 datos preparados'!R275</f>
        <v/>
      </c>
      <c r="T282" s="7">
        <f>'1 datos preparados'!S275</f>
        <v/>
      </c>
      <c r="U282" s="7">
        <f>'1 datos preparados'!T275</f>
        <v/>
      </c>
      <c r="V282" s="8">
        <f>$AE$12+D282*$AE$13+E282*$AE$14+F282*$AE$15+G282*$AE$16+H282*$AE$17+I282*$AE$18+J282*$AE$19+K282*$AE$20+L282*$AE$21+M282*$AE$22+N282*$AE$23+O282*$AE$24+P282*$AE$25+Q282*$AE$26+R282*$AE$27+S282*$AE$28+T282*$AE$29+U282*$AE$30</f>
        <v/>
      </c>
      <c r="W282" s="8">
        <f>1/(1+EXP(-V282))</f>
        <v/>
      </c>
      <c r="X282" s="9">
        <f>-IF(C282=1,LN(W282),LN(1-W282))</f>
        <v/>
      </c>
      <c r="Y282" s="8">
        <f>IF(C282=1,$AE$32,$AE$33)</f>
        <v/>
      </c>
      <c r="Z282" s="9">
        <f>Y282*X282</f>
        <v/>
      </c>
      <c r="AA282" s="10">
        <f>IF(W282&gt;$AE$34,1,0)</f>
        <v/>
      </c>
      <c r="AB282">
        <f>IF(AA282=C282,1,0)</f>
        <v/>
      </c>
    </row>
    <row r="283">
      <c r="A283">
        <f>'1 datos preparados'!A276</f>
        <v/>
      </c>
      <c r="B283" s="5">
        <f>'1 datos preparados'!U276</f>
        <v/>
      </c>
      <c r="C283">
        <f>'1 datos preparados'!B276</f>
        <v/>
      </c>
      <c r="D283" s="7">
        <f>'1 datos preparados'!C276</f>
        <v/>
      </c>
      <c r="E283" s="7">
        <f>'1 datos preparados'!D276</f>
        <v/>
      </c>
      <c r="F283" s="7">
        <f>'1 datos preparados'!E276</f>
        <v/>
      </c>
      <c r="G283" s="7">
        <f>'1 datos preparados'!F276</f>
        <v/>
      </c>
      <c r="H283" s="7">
        <f>'1 datos preparados'!G276</f>
        <v/>
      </c>
      <c r="I283" s="7">
        <f>'1 datos preparados'!H276</f>
        <v/>
      </c>
      <c r="J283" s="7">
        <f>'1 datos preparados'!I276</f>
        <v/>
      </c>
      <c r="K283" s="7">
        <f>'1 datos preparados'!J276</f>
        <v/>
      </c>
      <c r="L283" s="7">
        <f>'1 datos preparados'!K276</f>
        <v/>
      </c>
      <c r="M283" s="7">
        <f>'1 datos preparados'!L276</f>
        <v/>
      </c>
      <c r="N283" s="7">
        <f>'1 datos preparados'!M276</f>
        <v/>
      </c>
      <c r="O283" s="7">
        <f>'1 datos preparados'!N276</f>
        <v/>
      </c>
      <c r="P283" s="7">
        <f>'1 datos preparados'!O276</f>
        <v/>
      </c>
      <c r="Q283" s="7">
        <f>'1 datos preparados'!P276</f>
        <v/>
      </c>
      <c r="R283" s="7">
        <f>'1 datos preparados'!Q276</f>
        <v/>
      </c>
      <c r="S283" s="7">
        <f>'1 datos preparados'!R276</f>
        <v/>
      </c>
      <c r="T283" s="7">
        <f>'1 datos preparados'!S276</f>
        <v/>
      </c>
      <c r="U283" s="7">
        <f>'1 datos preparados'!T276</f>
        <v/>
      </c>
      <c r="V283" s="8">
        <f>$AE$12+D283*$AE$13+E283*$AE$14+F283*$AE$15+G283*$AE$16+H283*$AE$17+I283*$AE$18+J283*$AE$19+K283*$AE$20+L283*$AE$21+M283*$AE$22+N283*$AE$23+O283*$AE$24+P283*$AE$25+Q283*$AE$26+R283*$AE$27+S283*$AE$28+T283*$AE$29+U283*$AE$30</f>
        <v/>
      </c>
      <c r="W283" s="8">
        <f>1/(1+EXP(-V283))</f>
        <v/>
      </c>
      <c r="X283" s="9">
        <f>-IF(C283=1,LN(W283),LN(1-W283))</f>
        <v/>
      </c>
      <c r="Y283" s="8">
        <f>IF(C283=1,$AE$32,$AE$33)</f>
        <v/>
      </c>
      <c r="Z283" s="9">
        <f>Y283*X283</f>
        <v/>
      </c>
      <c r="AA283" s="10">
        <f>IF(W283&gt;$AE$34,1,0)</f>
        <v/>
      </c>
      <c r="AB283">
        <f>IF(AA283=C283,1,0)</f>
        <v/>
      </c>
    </row>
    <row r="284">
      <c r="A284">
        <f>'1 datos preparados'!A277</f>
        <v/>
      </c>
      <c r="B284" s="5">
        <f>'1 datos preparados'!U277</f>
        <v/>
      </c>
      <c r="C284">
        <f>'1 datos preparados'!B277</f>
        <v/>
      </c>
      <c r="D284" s="7">
        <f>'1 datos preparados'!C277</f>
        <v/>
      </c>
      <c r="E284" s="7">
        <f>'1 datos preparados'!D277</f>
        <v/>
      </c>
      <c r="F284" s="7">
        <f>'1 datos preparados'!E277</f>
        <v/>
      </c>
      <c r="G284" s="7">
        <f>'1 datos preparados'!F277</f>
        <v/>
      </c>
      <c r="H284" s="7">
        <f>'1 datos preparados'!G277</f>
        <v/>
      </c>
      <c r="I284" s="7">
        <f>'1 datos preparados'!H277</f>
        <v/>
      </c>
      <c r="J284" s="7">
        <f>'1 datos preparados'!I277</f>
        <v/>
      </c>
      <c r="K284" s="7">
        <f>'1 datos preparados'!J277</f>
        <v/>
      </c>
      <c r="L284" s="7">
        <f>'1 datos preparados'!K277</f>
        <v/>
      </c>
      <c r="M284" s="7">
        <f>'1 datos preparados'!L277</f>
        <v/>
      </c>
      <c r="N284" s="7">
        <f>'1 datos preparados'!M277</f>
        <v/>
      </c>
      <c r="O284" s="7">
        <f>'1 datos preparados'!N277</f>
        <v/>
      </c>
      <c r="P284" s="7">
        <f>'1 datos preparados'!O277</f>
        <v/>
      </c>
      <c r="Q284" s="7">
        <f>'1 datos preparados'!P277</f>
        <v/>
      </c>
      <c r="R284" s="7">
        <f>'1 datos preparados'!Q277</f>
        <v/>
      </c>
      <c r="S284" s="7">
        <f>'1 datos preparados'!R277</f>
        <v/>
      </c>
      <c r="T284" s="7">
        <f>'1 datos preparados'!S277</f>
        <v/>
      </c>
      <c r="U284" s="7">
        <f>'1 datos preparados'!T277</f>
        <v/>
      </c>
      <c r="V284" s="8">
        <f>$AE$12+D284*$AE$13+E284*$AE$14+F284*$AE$15+G284*$AE$16+H284*$AE$17+I284*$AE$18+J284*$AE$19+K284*$AE$20+L284*$AE$21+M284*$AE$22+N284*$AE$23+O284*$AE$24+P284*$AE$25+Q284*$AE$26+R284*$AE$27+S284*$AE$28+T284*$AE$29+U284*$AE$30</f>
        <v/>
      </c>
      <c r="W284" s="8">
        <f>1/(1+EXP(-V284))</f>
        <v/>
      </c>
      <c r="X284" s="9">
        <f>-IF(C284=1,LN(W284),LN(1-W284))</f>
        <v/>
      </c>
      <c r="Y284" s="8">
        <f>IF(C284=1,$AE$32,$AE$33)</f>
        <v/>
      </c>
      <c r="Z284" s="9">
        <f>Y284*X284</f>
        <v/>
      </c>
      <c r="AA284" s="10">
        <f>IF(W284&gt;$AE$34,1,0)</f>
        <v/>
      </c>
      <c r="AB284">
        <f>IF(AA284=C284,1,0)</f>
        <v/>
      </c>
    </row>
    <row r="285">
      <c r="A285">
        <f>'1 datos preparados'!A278</f>
        <v/>
      </c>
      <c r="B285" s="5">
        <f>'1 datos preparados'!U278</f>
        <v/>
      </c>
      <c r="C285">
        <f>'1 datos preparados'!B278</f>
        <v/>
      </c>
      <c r="D285" s="7">
        <f>'1 datos preparados'!C278</f>
        <v/>
      </c>
      <c r="E285" s="7">
        <f>'1 datos preparados'!D278</f>
        <v/>
      </c>
      <c r="F285" s="7">
        <f>'1 datos preparados'!E278</f>
        <v/>
      </c>
      <c r="G285" s="7">
        <f>'1 datos preparados'!F278</f>
        <v/>
      </c>
      <c r="H285" s="7">
        <f>'1 datos preparados'!G278</f>
        <v/>
      </c>
      <c r="I285" s="7">
        <f>'1 datos preparados'!H278</f>
        <v/>
      </c>
      <c r="J285" s="7">
        <f>'1 datos preparados'!I278</f>
        <v/>
      </c>
      <c r="K285" s="7">
        <f>'1 datos preparados'!J278</f>
        <v/>
      </c>
      <c r="L285" s="7">
        <f>'1 datos preparados'!K278</f>
        <v/>
      </c>
      <c r="M285" s="7">
        <f>'1 datos preparados'!L278</f>
        <v/>
      </c>
      <c r="N285" s="7">
        <f>'1 datos preparados'!M278</f>
        <v/>
      </c>
      <c r="O285" s="7">
        <f>'1 datos preparados'!N278</f>
        <v/>
      </c>
      <c r="P285" s="7">
        <f>'1 datos preparados'!O278</f>
        <v/>
      </c>
      <c r="Q285" s="7">
        <f>'1 datos preparados'!P278</f>
        <v/>
      </c>
      <c r="R285" s="7">
        <f>'1 datos preparados'!Q278</f>
        <v/>
      </c>
      <c r="S285" s="7">
        <f>'1 datos preparados'!R278</f>
        <v/>
      </c>
      <c r="T285" s="7">
        <f>'1 datos preparados'!S278</f>
        <v/>
      </c>
      <c r="U285" s="7">
        <f>'1 datos preparados'!T278</f>
        <v/>
      </c>
      <c r="V285" s="8">
        <f>$AE$12+D285*$AE$13+E285*$AE$14+F285*$AE$15+G285*$AE$16+H285*$AE$17+I285*$AE$18+J285*$AE$19+K285*$AE$20+L285*$AE$21+M285*$AE$22+N285*$AE$23+O285*$AE$24+P285*$AE$25+Q285*$AE$26+R285*$AE$27+S285*$AE$28+T285*$AE$29+U285*$AE$30</f>
        <v/>
      </c>
      <c r="W285" s="8">
        <f>1/(1+EXP(-V285))</f>
        <v/>
      </c>
      <c r="X285" s="9">
        <f>-IF(C285=1,LN(W285),LN(1-W285))</f>
        <v/>
      </c>
      <c r="Y285" s="8">
        <f>IF(C285=1,$AE$32,$AE$33)</f>
        <v/>
      </c>
      <c r="Z285" s="9">
        <f>Y285*X285</f>
        <v/>
      </c>
      <c r="AA285" s="10">
        <f>IF(W285&gt;$AE$34,1,0)</f>
        <v/>
      </c>
      <c r="AB285">
        <f>IF(AA285=C285,1,0)</f>
        <v/>
      </c>
    </row>
    <row r="286">
      <c r="A286">
        <f>'1 datos preparados'!A279</f>
        <v/>
      </c>
      <c r="B286" s="5">
        <f>'1 datos preparados'!U279</f>
        <v/>
      </c>
      <c r="C286">
        <f>'1 datos preparados'!B279</f>
        <v/>
      </c>
      <c r="D286" s="7">
        <f>'1 datos preparados'!C279</f>
        <v/>
      </c>
      <c r="E286" s="7">
        <f>'1 datos preparados'!D279</f>
        <v/>
      </c>
      <c r="F286" s="7">
        <f>'1 datos preparados'!E279</f>
        <v/>
      </c>
      <c r="G286" s="7">
        <f>'1 datos preparados'!F279</f>
        <v/>
      </c>
      <c r="H286" s="7">
        <f>'1 datos preparados'!G279</f>
        <v/>
      </c>
      <c r="I286" s="7">
        <f>'1 datos preparados'!H279</f>
        <v/>
      </c>
      <c r="J286" s="7">
        <f>'1 datos preparados'!I279</f>
        <v/>
      </c>
      <c r="K286" s="7">
        <f>'1 datos preparados'!J279</f>
        <v/>
      </c>
      <c r="L286" s="7">
        <f>'1 datos preparados'!K279</f>
        <v/>
      </c>
      <c r="M286" s="7">
        <f>'1 datos preparados'!L279</f>
        <v/>
      </c>
      <c r="N286" s="7">
        <f>'1 datos preparados'!M279</f>
        <v/>
      </c>
      <c r="O286" s="7">
        <f>'1 datos preparados'!N279</f>
        <v/>
      </c>
      <c r="P286" s="7">
        <f>'1 datos preparados'!O279</f>
        <v/>
      </c>
      <c r="Q286" s="7">
        <f>'1 datos preparados'!P279</f>
        <v/>
      </c>
      <c r="R286" s="7">
        <f>'1 datos preparados'!Q279</f>
        <v/>
      </c>
      <c r="S286" s="7">
        <f>'1 datos preparados'!R279</f>
        <v/>
      </c>
      <c r="T286" s="7">
        <f>'1 datos preparados'!S279</f>
        <v/>
      </c>
      <c r="U286" s="7">
        <f>'1 datos preparados'!T279</f>
        <v/>
      </c>
      <c r="V286" s="8">
        <f>$AE$12+D286*$AE$13+E286*$AE$14+F286*$AE$15+G286*$AE$16+H286*$AE$17+I286*$AE$18+J286*$AE$19+K286*$AE$20+L286*$AE$21+M286*$AE$22+N286*$AE$23+O286*$AE$24+P286*$AE$25+Q286*$AE$26+R286*$AE$27+S286*$AE$28+T286*$AE$29+U286*$AE$30</f>
        <v/>
      </c>
      <c r="W286" s="8">
        <f>1/(1+EXP(-V286))</f>
        <v/>
      </c>
      <c r="X286" s="9">
        <f>-IF(C286=1,LN(W286),LN(1-W286))</f>
        <v/>
      </c>
      <c r="Y286" s="8">
        <f>IF(C286=1,$AE$32,$AE$33)</f>
        <v/>
      </c>
      <c r="Z286" s="9">
        <f>Y286*X286</f>
        <v/>
      </c>
      <c r="AA286" s="10">
        <f>IF(W286&gt;$AE$34,1,0)</f>
        <v/>
      </c>
      <c r="AB286">
        <f>IF(AA286=C286,1,0)</f>
        <v/>
      </c>
    </row>
    <row r="287">
      <c r="A287">
        <f>'1 datos preparados'!A280</f>
        <v/>
      </c>
      <c r="B287" s="5">
        <f>'1 datos preparados'!U280</f>
        <v/>
      </c>
      <c r="C287">
        <f>'1 datos preparados'!B280</f>
        <v/>
      </c>
      <c r="D287" s="7">
        <f>'1 datos preparados'!C280</f>
        <v/>
      </c>
      <c r="E287" s="7">
        <f>'1 datos preparados'!D280</f>
        <v/>
      </c>
      <c r="F287" s="7">
        <f>'1 datos preparados'!E280</f>
        <v/>
      </c>
      <c r="G287" s="7">
        <f>'1 datos preparados'!F280</f>
        <v/>
      </c>
      <c r="H287" s="7">
        <f>'1 datos preparados'!G280</f>
        <v/>
      </c>
      <c r="I287" s="7">
        <f>'1 datos preparados'!H280</f>
        <v/>
      </c>
      <c r="J287" s="7">
        <f>'1 datos preparados'!I280</f>
        <v/>
      </c>
      <c r="K287" s="7">
        <f>'1 datos preparados'!J280</f>
        <v/>
      </c>
      <c r="L287" s="7">
        <f>'1 datos preparados'!K280</f>
        <v/>
      </c>
      <c r="M287" s="7">
        <f>'1 datos preparados'!L280</f>
        <v/>
      </c>
      <c r="N287" s="7">
        <f>'1 datos preparados'!M280</f>
        <v/>
      </c>
      <c r="O287" s="7">
        <f>'1 datos preparados'!N280</f>
        <v/>
      </c>
      <c r="P287" s="7">
        <f>'1 datos preparados'!O280</f>
        <v/>
      </c>
      <c r="Q287" s="7">
        <f>'1 datos preparados'!P280</f>
        <v/>
      </c>
      <c r="R287" s="7">
        <f>'1 datos preparados'!Q280</f>
        <v/>
      </c>
      <c r="S287" s="7">
        <f>'1 datos preparados'!R280</f>
        <v/>
      </c>
      <c r="T287" s="7">
        <f>'1 datos preparados'!S280</f>
        <v/>
      </c>
      <c r="U287" s="7">
        <f>'1 datos preparados'!T280</f>
        <v/>
      </c>
      <c r="V287" s="8">
        <f>$AE$12+D287*$AE$13+E287*$AE$14+F287*$AE$15+G287*$AE$16+H287*$AE$17+I287*$AE$18+J287*$AE$19+K287*$AE$20+L287*$AE$21+M287*$AE$22+N287*$AE$23+O287*$AE$24+P287*$AE$25+Q287*$AE$26+R287*$AE$27+S287*$AE$28+T287*$AE$29+U287*$AE$30</f>
        <v/>
      </c>
      <c r="W287" s="8">
        <f>1/(1+EXP(-V287))</f>
        <v/>
      </c>
      <c r="X287" s="9">
        <f>-IF(C287=1,LN(W287),LN(1-W287))</f>
        <v/>
      </c>
      <c r="Y287" s="8">
        <f>IF(C287=1,$AE$32,$AE$33)</f>
        <v/>
      </c>
      <c r="Z287" s="9">
        <f>Y287*X287</f>
        <v/>
      </c>
      <c r="AA287" s="10">
        <f>IF(W287&gt;$AE$34,1,0)</f>
        <v/>
      </c>
      <c r="AB287">
        <f>IF(AA287=C287,1,0)</f>
        <v/>
      </c>
    </row>
    <row r="288">
      <c r="A288">
        <f>'1 datos preparados'!A281</f>
        <v/>
      </c>
      <c r="B288" s="5">
        <f>'1 datos preparados'!U281</f>
        <v/>
      </c>
      <c r="C288">
        <f>'1 datos preparados'!B281</f>
        <v/>
      </c>
      <c r="D288" s="7">
        <f>'1 datos preparados'!C281</f>
        <v/>
      </c>
      <c r="E288" s="7">
        <f>'1 datos preparados'!D281</f>
        <v/>
      </c>
      <c r="F288" s="7">
        <f>'1 datos preparados'!E281</f>
        <v/>
      </c>
      <c r="G288" s="7">
        <f>'1 datos preparados'!F281</f>
        <v/>
      </c>
      <c r="H288" s="7">
        <f>'1 datos preparados'!G281</f>
        <v/>
      </c>
      <c r="I288" s="7">
        <f>'1 datos preparados'!H281</f>
        <v/>
      </c>
      <c r="J288" s="7">
        <f>'1 datos preparados'!I281</f>
        <v/>
      </c>
      <c r="K288" s="7">
        <f>'1 datos preparados'!J281</f>
        <v/>
      </c>
      <c r="L288" s="7">
        <f>'1 datos preparados'!K281</f>
        <v/>
      </c>
      <c r="M288" s="7">
        <f>'1 datos preparados'!L281</f>
        <v/>
      </c>
      <c r="N288" s="7">
        <f>'1 datos preparados'!M281</f>
        <v/>
      </c>
      <c r="O288" s="7">
        <f>'1 datos preparados'!N281</f>
        <v/>
      </c>
      <c r="P288" s="7">
        <f>'1 datos preparados'!O281</f>
        <v/>
      </c>
      <c r="Q288" s="7">
        <f>'1 datos preparados'!P281</f>
        <v/>
      </c>
      <c r="R288" s="7">
        <f>'1 datos preparados'!Q281</f>
        <v/>
      </c>
      <c r="S288" s="7">
        <f>'1 datos preparados'!R281</f>
        <v/>
      </c>
      <c r="T288" s="7">
        <f>'1 datos preparados'!S281</f>
        <v/>
      </c>
      <c r="U288" s="7">
        <f>'1 datos preparados'!T281</f>
        <v/>
      </c>
      <c r="V288" s="8">
        <f>$AE$12+D288*$AE$13+E288*$AE$14+F288*$AE$15+G288*$AE$16+H288*$AE$17+I288*$AE$18+J288*$AE$19+K288*$AE$20+L288*$AE$21+M288*$AE$22+N288*$AE$23+O288*$AE$24+P288*$AE$25+Q288*$AE$26+R288*$AE$27+S288*$AE$28+T288*$AE$29+U288*$AE$30</f>
        <v/>
      </c>
      <c r="W288" s="8">
        <f>1/(1+EXP(-V288))</f>
        <v/>
      </c>
      <c r="X288" s="9">
        <f>-IF(C288=1,LN(W288),LN(1-W288))</f>
        <v/>
      </c>
      <c r="Y288" s="8">
        <f>IF(C288=1,$AE$32,$AE$33)</f>
        <v/>
      </c>
      <c r="Z288" s="9">
        <f>Y288*X288</f>
        <v/>
      </c>
      <c r="AA288" s="10">
        <f>IF(W288&gt;$AE$34,1,0)</f>
        <v/>
      </c>
      <c r="AB288">
        <f>IF(AA288=C288,1,0)</f>
        <v/>
      </c>
    </row>
    <row r="289">
      <c r="A289">
        <f>'1 datos preparados'!A282</f>
        <v/>
      </c>
      <c r="B289" s="5">
        <f>'1 datos preparados'!U282</f>
        <v/>
      </c>
      <c r="C289">
        <f>'1 datos preparados'!B282</f>
        <v/>
      </c>
      <c r="D289" s="7">
        <f>'1 datos preparados'!C282</f>
        <v/>
      </c>
      <c r="E289" s="7">
        <f>'1 datos preparados'!D282</f>
        <v/>
      </c>
      <c r="F289" s="7">
        <f>'1 datos preparados'!E282</f>
        <v/>
      </c>
      <c r="G289" s="7">
        <f>'1 datos preparados'!F282</f>
        <v/>
      </c>
      <c r="H289" s="7">
        <f>'1 datos preparados'!G282</f>
        <v/>
      </c>
      <c r="I289" s="7">
        <f>'1 datos preparados'!H282</f>
        <v/>
      </c>
      <c r="J289" s="7">
        <f>'1 datos preparados'!I282</f>
        <v/>
      </c>
      <c r="K289" s="7">
        <f>'1 datos preparados'!J282</f>
        <v/>
      </c>
      <c r="L289" s="7">
        <f>'1 datos preparados'!K282</f>
        <v/>
      </c>
      <c r="M289" s="7">
        <f>'1 datos preparados'!L282</f>
        <v/>
      </c>
      <c r="N289" s="7">
        <f>'1 datos preparados'!M282</f>
        <v/>
      </c>
      <c r="O289" s="7">
        <f>'1 datos preparados'!N282</f>
        <v/>
      </c>
      <c r="P289" s="7">
        <f>'1 datos preparados'!O282</f>
        <v/>
      </c>
      <c r="Q289" s="7">
        <f>'1 datos preparados'!P282</f>
        <v/>
      </c>
      <c r="R289" s="7">
        <f>'1 datos preparados'!Q282</f>
        <v/>
      </c>
      <c r="S289" s="7">
        <f>'1 datos preparados'!R282</f>
        <v/>
      </c>
      <c r="T289" s="7">
        <f>'1 datos preparados'!S282</f>
        <v/>
      </c>
      <c r="U289" s="7">
        <f>'1 datos preparados'!T282</f>
        <v/>
      </c>
      <c r="V289" s="8">
        <f>$AE$12+D289*$AE$13+E289*$AE$14+F289*$AE$15+G289*$AE$16+H289*$AE$17+I289*$AE$18+J289*$AE$19+K289*$AE$20+L289*$AE$21+M289*$AE$22+N289*$AE$23+O289*$AE$24+P289*$AE$25+Q289*$AE$26+R289*$AE$27+S289*$AE$28+T289*$AE$29+U289*$AE$30</f>
        <v/>
      </c>
      <c r="W289" s="8">
        <f>1/(1+EXP(-V289))</f>
        <v/>
      </c>
      <c r="X289" s="9">
        <f>-IF(C289=1,LN(W289),LN(1-W289))</f>
        <v/>
      </c>
      <c r="Y289" s="8">
        <f>IF(C289=1,$AE$32,$AE$33)</f>
        <v/>
      </c>
      <c r="Z289" s="9">
        <f>Y289*X289</f>
        <v/>
      </c>
      <c r="AA289" s="10">
        <f>IF(W289&gt;$AE$34,1,0)</f>
        <v/>
      </c>
      <c r="AB289">
        <f>IF(AA289=C289,1,0)</f>
        <v/>
      </c>
    </row>
    <row r="290">
      <c r="A290">
        <f>'1 datos preparados'!A283</f>
        <v/>
      </c>
      <c r="B290" s="5">
        <f>'1 datos preparados'!U283</f>
        <v/>
      </c>
      <c r="C290">
        <f>'1 datos preparados'!B283</f>
        <v/>
      </c>
      <c r="D290" s="7">
        <f>'1 datos preparados'!C283</f>
        <v/>
      </c>
      <c r="E290" s="7">
        <f>'1 datos preparados'!D283</f>
        <v/>
      </c>
      <c r="F290" s="7">
        <f>'1 datos preparados'!E283</f>
        <v/>
      </c>
      <c r="G290" s="7">
        <f>'1 datos preparados'!F283</f>
        <v/>
      </c>
      <c r="H290" s="7">
        <f>'1 datos preparados'!G283</f>
        <v/>
      </c>
      <c r="I290" s="7">
        <f>'1 datos preparados'!H283</f>
        <v/>
      </c>
      <c r="J290" s="7">
        <f>'1 datos preparados'!I283</f>
        <v/>
      </c>
      <c r="K290" s="7">
        <f>'1 datos preparados'!J283</f>
        <v/>
      </c>
      <c r="L290" s="7">
        <f>'1 datos preparados'!K283</f>
        <v/>
      </c>
      <c r="M290" s="7">
        <f>'1 datos preparados'!L283</f>
        <v/>
      </c>
      <c r="N290" s="7">
        <f>'1 datos preparados'!M283</f>
        <v/>
      </c>
      <c r="O290" s="7">
        <f>'1 datos preparados'!N283</f>
        <v/>
      </c>
      <c r="P290" s="7">
        <f>'1 datos preparados'!O283</f>
        <v/>
      </c>
      <c r="Q290" s="7">
        <f>'1 datos preparados'!P283</f>
        <v/>
      </c>
      <c r="R290" s="7">
        <f>'1 datos preparados'!Q283</f>
        <v/>
      </c>
      <c r="S290" s="7">
        <f>'1 datos preparados'!R283</f>
        <v/>
      </c>
      <c r="T290" s="7">
        <f>'1 datos preparados'!S283</f>
        <v/>
      </c>
      <c r="U290" s="7">
        <f>'1 datos preparados'!T283</f>
        <v/>
      </c>
      <c r="V290" s="8">
        <f>$AE$12+D290*$AE$13+E290*$AE$14+F290*$AE$15+G290*$AE$16+H290*$AE$17+I290*$AE$18+J290*$AE$19+K290*$AE$20+L290*$AE$21+M290*$AE$22+N290*$AE$23+O290*$AE$24+P290*$AE$25+Q290*$AE$26+R290*$AE$27+S290*$AE$28+T290*$AE$29+U290*$AE$30</f>
        <v/>
      </c>
      <c r="W290" s="8">
        <f>1/(1+EXP(-V290))</f>
        <v/>
      </c>
      <c r="X290" s="9">
        <f>-IF(C290=1,LN(W290),LN(1-W290))</f>
        <v/>
      </c>
      <c r="Y290" s="8">
        <f>IF(C290=1,$AE$32,$AE$33)</f>
        <v/>
      </c>
      <c r="Z290" s="9">
        <f>Y290*X290</f>
        <v/>
      </c>
      <c r="AA290" s="10">
        <f>IF(W290&gt;$AE$34,1,0)</f>
        <v/>
      </c>
      <c r="AB290">
        <f>IF(AA290=C290,1,0)</f>
        <v/>
      </c>
    </row>
    <row r="291">
      <c r="A291">
        <f>'1 datos preparados'!A284</f>
        <v/>
      </c>
      <c r="B291" s="5">
        <f>'1 datos preparados'!U284</f>
        <v/>
      </c>
      <c r="C291">
        <f>'1 datos preparados'!B284</f>
        <v/>
      </c>
      <c r="D291" s="7">
        <f>'1 datos preparados'!C284</f>
        <v/>
      </c>
      <c r="E291" s="7">
        <f>'1 datos preparados'!D284</f>
        <v/>
      </c>
      <c r="F291" s="7">
        <f>'1 datos preparados'!E284</f>
        <v/>
      </c>
      <c r="G291" s="7">
        <f>'1 datos preparados'!F284</f>
        <v/>
      </c>
      <c r="H291" s="7">
        <f>'1 datos preparados'!G284</f>
        <v/>
      </c>
      <c r="I291" s="7">
        <f>'1 datos preparados'!H284</f>
        <v/>
      </c>
      <c r="J291" s="7">
        <f>'1 datos preparados'!I284</f>
        <v/>
      </c>
      <c r="K291" s="7">
        <f>'1 datos preparados'!J284</f>
        <v/>
      </c>
      <c r="L291" s="7">
        <f>'1 datos preparados'!K284</f>
        <v/>
      </c>
      <c r="M291" s="7">
        <f>'1 datos preparados'!L284</f>
        <v/>
      </c>
      <c r="N291" s="7">
        <f>'1 datos preparados'!M284</f>
        <v/>
      </c>
      <c r="O291" s="7">
        <f>'1 datos preparados'!N284</f>
        <v/>
      </c>
      <c r="P291" s="7">
        <f>'1 datos preparados'!O284</f>
        <v/>
      </c>
      <c r="Q291" s="7">
        <f>'1 datos preparados'!P284</f>
        <v/>
      </c>
      <c r="R291" s="7">
        <f>'1 datos preparados'!Q284</f>
        <v/>
      </c>
      <c r="S291" s="7">
        <f>'1 datos preparados'!R284</f>
        <v/>
      </c>
      <c r="T291" s="7">
        <f>'1 datos preparados'!S284</f>
        <v/>
      </c>
      <c r="U291" s="7">
        <f>'1 datos preparados'!T284</f>
        <v/>
      </c>
      <c r="V291" s="8">
        <f>$AE$12+D291*$AE$13+E291*$AE$14+F291*$AE$15+G291*$AE$16+H291*$AE$17+I291*$AE$18+J291*$AE$19+K291*$AE$20+L291*$AE$21+M291*$AE$22+N291*$AE$23+O291*$AE$24+P291*$AE$25+Q291*$AE$26+R291*$AE$27+S291*$AE$28+T291*$AE$29+U291*$AE$30</f>
        <v/>
      </c>
      <c r="W291" s="8">
        <f>1/(1+EXP(-V291))</f>
        <v/>
      </c>
      <c r="X291" s="9">
        <f>-IF(C291=1,LN(W291),LN(1-W291))</f>
        <v/>
      </c>
      <c r="Y291" s="8">
        <f>IF(C291=1,$AE$32,$AE$33)</f>
        <v/>
      </c>
      <c r="Z291" s="9">
        <f>Y291*X291</f>
        <v/>
      </c>
      <c r="AA291" s="10">
        <f>IF(W291&gt;$AE$34,1,0)</f>
        <v/>
      </c>
      <c r="AB291">
        <f>IF(AA291=C291,1,0)</f>
        <v/>
      </c>
    </row>
    <row r="292">
      <c r="A292">
        <f>'1 datos preparados'!A285</f>
        <v/>
      </c>
      <c r="B292" s="5">
        <f>'1 datos preparados'!U285</f>
        <v/>
      </c>
      <c r="C292">
        <f>'1 datos preparados'!B285</f>
        <v/>
      </c>
      <c r="D292" s="7">
        <f>'1 datos preparados'!C285</f>
        <v/>
      </c>
      <c r="E292" s="7">
        <f>'1 datos preparados'!D285</f>
        <v/>
      </c>
      <c r="F292" s="7">
        <f>'1 datos preparados'!E285</f>
        <v/>
      </c>
      <c r="G292" s="7">
        <f>'1 datos preparados'!F285</f>
        <v/>
      </c>
      <c r="H292" s="7">
        <f>'1 datos preparados'!G285</f>
        <v/>
      </c>
      <c r="I292" s="7">
        <f>'1 datos preparados'!H285</f>
        <v/>
      </c>
      <c r="J292" s="7">
        <f>'1 datos preparados'!I285</f>
        <v/>
      </c>
      <c r="K292" s="7">
        <f>'1 datos preparados'!J285</f>
        <v/>
      </c>
      <c r="L292" s="7">
        <f>'1 datos preparados'!K285</f>
        <v/>
      </c>
      <c r="M292" s="7">
        <f>'1 datos preparados'!L285</f>
        <v/>
      </c>
      <c r="N292" s="7">
        <f>'1 datos preparados'!M285</f>
        <v/>
      </c>
      <c r="O292" s="7">
        <f>'1 datos preparados'!N285</f>
        <v/>
      </c>
      <c r="P292" s="7">
        <f>'1 datos preparados'!O285</f>
        <v/>
      </c>
      <c r="Q292" s="7">
        <f>'1 datos preparados'!P285</f>
        <v/>
      </c>
      <c r="R292" s="7">
        <f>'1 datos preparados'!Q285</f>
        <v/>
      </c>
      <c r="S292" s="7">
        <f>'1 datos preparados'!R285</f>
        <v/>
      </c>
      <c r="T292" s="7">
        <f>'1 datos preparados'!S285</f>
        <v/>
      </c>
      <c r="U292" s="7">
        <f>'1 datos preparados'!T285</f>
        <v/>
      </c>
      <c r="V292" s="8">
        <f>$AE$12+D292*$AE$13+E292*$AE$14+F292*$AE$15+G292*$AE$16+H292*$AE$17+I292*$AE$18+J292*$AE$19+K292*$AE$20+L292*$AE$21+M292*$AE$22+N292*$AE$23+O292*$AE$24+P292*$AE$25+Q292*$AE$26+R292*$AE$27+S292*$AE$28+T292*$AE$29+U292*$AE$30</f>
        <v/>
      </c>
      <c r="W292" s="8">
        <f>1/(1+EXP(-V292))</f>
        <v/>
      </c>
      <c r="X292" s="9">
        <f>-IF(C292=1,LN(W292),LN(1-W292))</f>
        <v/>
      </c>
      <c r="Y292" s="8">
        <f>IF(C292=1,$AE$32,$AE$33)</f>
        <v/>
      </c>
      <c r="Z292" s="9">
        <f>Y292*X292</f>
        <v/>
      </c>
      <c r="AA292" s="10">
        <f>IF(W292&gt;$AE$34,1,0)</f>
        <v/>
      </c>
      <c r="AB292">
        <f>IF(AA292=C292,1,0)</f>
        <v/>
      </c>
    </row>
    <row r="293">
      <c r="A293">
        <f>'1 datos preparados'!A286</f>
        <v/>
      </c>
      <c r="B293" s="5">
        <f>'1 datos preparados'!U286</f>
        <v/>
      </c>
      <c r="C293">
        <f>'1 datos preparados'!B286</f>
        <v/>
      </c>
      <c r="D293" s="7">
        <f>'1 datos preparados'!C286</f>
        <v/>
      </c>
      <c r="E293" s="7">
        <f>'1 datos preparados'!D286</f>
        <v/>
      </c>
      <c r="F293" s="7">
        <f>'1 datos preparados'!E286</f>
        <v/>
      </c>
      <c r="G293" s="7">
        <f>'1 datos preparados'!F286</f>
        <v/>
      </c>
      <c r="H293" s="7">
        <f>'1 datos preparados'!G286</f>
        <v/>
      </c>
      <c r="I293" s="7">
        <f>'1 datos preparados'!H286</f>
        <v/>
      </c>
      <c r="J293" s="7">
        <f>'1 datos preparados'!I286</f>
        <v/>
      </c>
      <c r="K293" s="7">
        <f>'1 datos preparados'!J286</f>
        <v/>
      </c>
      <c r="L293" s="7">
        <f>'1 datos preparados'!K286</f>
        <v/>
      </c>
      <c r="M293" s="7">
        <f>'1 datos preparados'!L286</f>
        <v/>
      </c>
      <c r="N293" s="7">
        <f>'1 datos preparados'!M286</f>
        <v/>
      </c>
      <c r="O293" s="7">
        <f>'1 datos preparados'!N286</f>
        <v/>
      </c>
      <c r="P293" s="7">
        <f>'1 datos preparados'!O286</f>
        <v/>
      </c>
      <c r="Q293" s="7">
        <f>'1 datos preparados'!P286</f>
        <v/>
      </c>
      <c r="R293" s="7">
        <f>'1 datos preparados'!Q286</f>
        <v/>
      </c>
      <c r="S293" s="7">
        <f>'1 datos preparados'!R286</f>
        <v/>
      </c>
      <c r="T293" s="7">
        <f>'1 datos preparados'!S286</f>
        <v/>
      </c>
      <c r="U293" s="7">
        <f>'1 datos preparados'!T286</f>
        <v/>
      </c>
      <c r="V293" s="8">
        <f>$AE$12+D293*$AE$13+E293*$AE$14+F293*$AE$15+G293*$AE$16+H293*$AE$17+I293*$AE$18+J293*$AE$19+K293*$AE$20+L293*$AE$21+M293*$AE$22+N293*$AE$23+O293*$AE$24+P293*$AE$25+Q293*$AE$26+R293*$AE$27+S293*$AE$28+T293*$AE$29+U293*$AE$30</f>
        <v/>
      </c>
      <c r="W293" s="8">
        <f>1/(1+EXP(-V293))</f>
        <v/>
      </c>
      <c r="X293" s="9">
        <f>-IF(C293=1,LN(W293),LN(1-W293))</f>
        <v/>
      </c>
      <c r="Y293" s="8">
        <f>IF(C293=1,$AE$32,$AE$33)</f>
        <v/>
      </c>
      <c r="Z293" s="9">
        <f>Y293*X293</f>
        <v/>
      </c>
      <c r="AA293" s="10">
        <f>IF(W293&gt;$AE$34,1,0)</f>
        <v/>
      </c>
      <c r="AB293">
        <f>IF(AA293=C293,1,0)</f>
        <v/>
      </c>
    </row>
    <row r="294">
      <c r="A294">
        <f>'1 datos preparados'!A287</f>
        <v/>
      </c>
      <c r="B294" s="5">
        <f>'1 datos preparados'!U287</f>
        <v/>
      </c>
      <c r="C294">
        <f>'1 datos preparados'!B287</f>
        <v/>
      </c>
      <c r="D294" s="7">
        <f>'1 datos preparados'!C287</f>
        <v/>
      </c>
      <c r="E294" s="7">
        <f>'1 datos preparados'!D287</f>
        <v/>
      </c>
      <c r="F294" s="7">
        <f>'1 datos preparados'!E287</f>
        <v/>
      </c>
      <c r="G294" s="7">
        <f>'1 datos preparados'!F287</f>
        <v/>
      </c>
      <c r="H294" s="7">
        <f>'1 datos preparados'!G287</f>
        <v/>
      </c>
      <c r="I294" s="7">
        <f>'1 datos preparados'!H287</f>
        <v/>
      </c>
      <c r="J294" s="7">
        <f>'1 datos preparados'!I287</f>
        <v/>
      </c>
      <c r="K294" s="7">
        <f>'1 datos preparados'!J287</f>
        <v/>
      </c>
      <c r="L294" s="7">
        <f>'1 datos preparados'!K287</f>
        <v/>
      </c>
      <c r="M294" s="7">
        <f>'1 datos preparados'!L287</f>
        <v/>
      </c>
      <c r="N294" s="7">
        <f>'1 datos preparados'!M287</f>
        <v/>
      </c>
      <c r="O294" s="7">
        <f>'1 datos preparados'!N287</f>
        <v/>
      </c>
      <c r="P294" s="7">
        <f>'1 datos preparados'!O287</f>
        <v/>
      </c>
      <c r="Q294" s="7">
        <f>'1 datos preparados'!P287</f>
        <v/>
      </c>
      <c r="R294" s="7">
        <f>'1 datos preparados'!Q287</f>
        <v/>
      </c>
      <c r="S294" s="7">
        <f>'1 datos preparados'!R287</f>
        <v/>
      </c>
      <c r="T294" s="7">
        <f>'1 datos preparados'!S287</f>
        <v/>
      </c>
      <c r="U294" s="7">
        <f>'1 datos preparados'!T287</f>
        <v/>
      </c>
      <c r="V294" s="8">
        <f>$AE$12+D294*$AE$13+E294*$AE$14+F294*$AE$15+G294*$AE$16+H294*$AE$17+I294*$AE$18+J294*$AE$19+K294*$AE$20+L294*$AE$21+M294*$AE$22+N294*$AE$23+O294*$AE$24+P294*$AE$25+Q294*$AE$26+R294*$AE$27+S294*$AE$28+T294*$AE$29+U294*$AE$30</f>
        <v/>
      </c>
      <c r="W294" s="8">
        <f>1/(1+EXP(-V294))</f>
        <v/>
      </c>
      <c r="X294" s="9">
        <f>-IF(C294=1,LN(W294),LN(1-W294))</f>
        <v/>
      </c>
      <c r="Y294" s="8">
        <f>IF(C294=1,$AE$32,$AE$33)</f>
        <v/>
      </c>
      <c r="Z294" s="9">
        <f>Y294*X294</f>
        <v/>
      </c>
      <c r="AA294" s="10">
        <f>IF(W294&gt;$AE$34,1,0)</f>
        <v/>
      </c>
      <c r="AB294">
        <f>IF(AA294=C294,1,0)</f>
        <v/>
      </c>
    </row>
    <row r="295">
      <c r="A295">
        <f>'1 datos preparados'!A288</f>
        <v/>
      </c>
      <c r="B295" s="5">
        <f>'1 datos preparados'!U288</f>
        <v/>
      </c>
      <c r="C295">
        <f>'1 datos preparados'!B288</f>
        <v/>
      </c>
      <c r="D295" s="7">
        <f>'1 datos preparados'!C288</f>
        <v/>
      </c>
      <c r="E295" s="7">
        <f>'1 datos preparados'!D288</f>
        <v/>
      </c>
      <c r="F295" s="7">
        <f>'1 datos preparados'!E288</f>
        <v/>
      </c>
      <c r="G295" s="7">
        <f>'1 datos preparados'!F288</f>
        <v/>
      </c>
      <c r="H295" s="7">
        <f>'1 datos preparados'!G288</f>
        <v/>
      </c>
      <c r="I295" s="7">
        <f>'1 datos preparados'!H288</f>
        <v/>
      </c>
      <c r="J295" s="7">
        <f>'1 datos preparados'!I288</f>
        <v/>
      </c>
      <c r="K295" s="7">
        <f>'1 datos preparados'!J288</f>
        <v/>
      </c>
      <c r="L295" s="7">
        <f>'1 datos preparados'!K288</f>
        <v/>
      </c>
      <c r="M295" s="7">
        <f>'1 datos preparados'!L288</f>
        <v/>
      </c>
      <c r="N295" s="7">
        <f>'1 datos preparados'!M288</f>
        <v/>
      </c>
      <c r="O295" s="7">
        <f>'1 datos preparados'!N288</f>
        <v/>
      </c>
      <c r="P295" s="7">
        <f>'1 datos preparados'!O288</f>
        <v/>
      </c>
      <c r="Q295" s="7">
        <f>'1 datos preparados'!P288</f>
        <v/>
      </c>
      <c r="R295" s="7">
        <f>'1 datos preparados'!Q288</f>
        <v/>
      </c>
      <c r="S295" s="7">
        <f>'1 datos preparados'!R288</f>
        <v/>
      </c>
      <c r="T295" s="7">
        <f>'1 datos preparados'!S288</f>
        <v/>
      </c>
      <c r="U295" s="7">
        <f>'1 datos preparados'!T288</f>
        <v/>
      </c>
      <c r="V295" s="8">
        <f>$AE$12+D295*$AE$13+E295*$AE$14+F295*$AE$15+G295*$AE$16+H295*$AE$17+I295*$AE$18+J295*$AE$19+K295*$AE$20+L295*$AE$21+M295*$AE$22+N295*$AE$23+O295*$AE$24+P295*$AE$25+Q295*$AE$26+R295*$AE$27+S295*$AE$28+T295*$AE$29+U295*$AE$30</f>
        <v/>
      </c>
      <c r="W295" s="8">
        <f>1/(1+EXP(-V295))</f>
        <v/>
      </c>
      <c r="X295" s="9">
        <f>-IF(C295=1,LN(W295),LN(1-W295))</f>
        <v/>
      </c>
      <c r="Y295" s="8">
        <f>IF(C295=1,$AE$32,$AE$33)</f>
        <v/>
      </c>
      <c r="Z295" s="9">
        <f>Y295*X295</f>
        <v/>
      </c>
      <c r="AA295" s="10">
        <f>IF(W295&gt;$AE$34,1,0)</f>
        <v/>
      </c>
      <c r="AB295">
        <f>IF(AA295=C295,1,0)</f>
        <v/>
      </c>
    </row>
    <row r="296">
      <c r="A296">
        <f>'1 datos preparados'!A289</f>
        <v/>
      </c>
      <c r="B296" s="5">
        <f>'1 datos preparados'!U289</f>
        <v/>
      </c>
      <c r="C296">
        <f>'1 datos preparados'!B289</f>
        <v/>
      </c>
      <c r="D296" s="7">
        <f>'1 datos preparados'!C289</f>
        <v/>
      </c>
      <c r="E296" s="7">
        <f>'1 datos preparados'!D289</f>
        <v/>
      </c>
      <c r="F296" s="7">
        <f>'1 datos preparados'!E289</f>
        <v/>
      </c>
      <c r="G296" s="7">
        <f>'1 datos preparados'!F289</f>
        <v/>
      </c>
      <c r="H296" s="7">
        <f>'1 datos preparados'!G289</f>
        <v/>
      </c>
      <c r="I296" s="7">
        <f>'1 datos preparados'!H289</f>
        <v/>
      </c>
      <c r="J296" s="7">
        <f>'1 datos preparados'!I289</f>
        <v/>
      </c>
      <c r="K296" s="7">
        <f>'1 datos preparados'!J289</f>
        <v/>
      </c>
      <c r="L296" s="7">
        <f>'1 datos preparados'!K289</f>
        <v/>
      </c>
      <c r="M296" s="7">
        <f>'1 datos preparados'!L289</f>
        <v/>
      </c>
      <c r="N296" s="7">
        <f>'1 datos preparados'!M289</f>
        <v/>
      </c>
      <c r="O296" s="7">
        <f>'1 datos preparados'!N289</f>
        <v/>
      </c>
      <c r="P296" s="7">
        <f>'1 datos preparados'!O289</f>
        <v/>
      </c>
      <c r="Q296" s="7">
        <f>'1 datos preparados'!P289</f>
        <v/>
      </c>
      <c r="R296" s="7">
        <f>'1 datos preparados'!Q289</f>
        <v/>
      </c>
      <c r="S296" s="7">
        <f>'1 datos preparados'!R289</f>
        <v/>
      </c>
      <c r="T296" s="7">
        <f>'1 datos preparados'!S289</f>
        <v/>
      </c>
      <c r="U296" s="7">
        <f>'1 datos preparados'!T289</f>
        <v/>
      </c>
      <c r="V296" s="8">
        <f>$AE$12+D296*$AE$13+E296*$AE$14+F296*$AE$15+G296*$AE$16+H296*$AE$17+I296*$AE$18+J296*$AE$19+K296*$AE$20+L296*$AE$21+M296*$AE$22+N296*$AE$23+O296*$AE$24+P296*$AE$25+Q296*$AE$26+R296*$AE$27+S296*$AE$28+T296*$AE$29+U296*$AE$30</f>
        <v/>
      </c>
      <c r="W296" s="8">
        <f>1/(1+EXP(-V296))</f>
        <v/>
      </c>
      <c r="X296" s="9">
        <f>-IF(C296=1,LN(W296),LN(1-W296))</f>
        <v/>
      </c>
      <c r="Y296" s="8">
        <f>IF(C296=1,$AE$32,$AE$33)</f>
        <v/>
      </c>
      <c r="Z296" s="9">
        <f>Y296*X296</f>
        <v/>
      </c>
      <c r="AA296" s="10">
        <f>IF(W296&gt;$AE$34,1,0)</f>
        <v/>
      </c>
      <c r="AB296">
        <f>IF(AA296=C296,1,0)</f>
        <v/>
      </c>
    </row>
    <row r="297">
      <c r="A297">
        <f>'1 datos preparados'!A290</f>
        <v/>
      </c>
      <c r="B297" s="5">
        <f>'1 datos preparados'!U290</f>
        <v/>
      </c>
      <c r="C297">
        <f>'1 datos preparados'!B290</f>
        <v/>
      </c>
      <c r="D297" s="7">
        <f>'1 datos preparados'!C290</f>
        <v/>
      </c>
      <c r="E297" s="7">
        <f>'1 datos preparados'!D290</f>
        <v/>
      </c>
      <c r="F297" s="7">
        <f>'1 datos preparados'!E290</f>
        <v/>
      </c>
      <c r="G297" s="7">
        <f>'1 datos preparados'!F290</f>
        <v/>
      </c>
      <c r="H297" s="7">
        <f>'1 datos preparados'!G290</f>
        <v/>
      </c>
      <c r="I297" s="7">
        <f>'1 datos preparados'!H290</f>
        <v/>
      </c>
      <c r="J297" s="7">
        <f>'1 datos preparados'!I290</f>
        <v/>
      </c>
      <c r="K297" s="7">
        <f>'1 datos preparados'!J290</f>
        <v/>
      </c>
      <c r="L297" s="7">
        <f>'1 datos preparados'!K290</f>
        <v/>
      </c>
      <c r="M297" s="7">
        <f>'1 datos preparados'!L290</f>
        <v/>
      </c>
      <c r="N297" s="7">
        <f>'1 datos preparados'!M290</f>
        <v/>
      </c>
      <c r="O297" s="7">
        <f>'1 datos preparados'!N290</f>
        <v/>
      </c>
      <c r="P297" s="7">
        <f>'1 datos preparados'!O290</f>
        <v/>
      </c>
      <c r="Q297" s="7">
        <f>'1 datos preparados'!P290</f>
        <v/>
      </c>
      <c r="R297" s="7">
        <f>'1 datos preparados'!Q290</f>
        <v/>
      </c>
      <c r="S297" s="7">
        <f>'1 datos preparados'!R290</f>
        <v/>
      </c>
      <c r="T297" s="7">
        <f>'1 datos preparados'!S290</f>
        <v/>
      </c>
      <c r="U297" s="7">
        <f>'1 datos preparados'!T290</f>
        <v/>
      </c>
      <c r="V297" s="8">
        <f>$AE$12+D297*$AE$13+E297*$AE$14+F297*$AE$15+G297*$AE$16+H297*$AE$17+I297*$AE$18+J297*$AE$19+K297*$AE$20+L297*$AE$21+M297*$AE$22+N297*$AE$23+O297*$AE$24+P297*$AE$25+Q297*$AE$26+R297*$AE$27+S297*$AE$28+T297*$AE$29+U297*$AE$30</f>
        <v/>
      </c>
      <c r="W297" s="8">
        <f>1/(1+EXP(-V297))</f>
        <v/>
      </c>
      <c r="X297" s="9">
        <f>-IF(C297=1,LN(W297),LN(1-W297))</f>
        <v/>
      </c>
      <c r="Y297" s="8">
        <f>IF(C297=1,$AE$32,$AE$33)</f>
        <v/>
      </c>
      <c r="Z297" s="9">
        <f>Y297*X297</f>
        <v/>
      </c>
      <c r="AA297" s="10">
        <f>IF(W297&gt;$AE$34,1,0)</f>
        <v/>
      </c>
      <c r="AB297">
        <f>IF(AA297=C297,1,0)</f>
        <v/>
      </c>
    </row>
    <row r="298">
      <c r="A298">
        <f>'1 datos preparados'!A291</f>
        <v/>
      </c>
      <c r="B298" s="5">
        <f>'1 datos preparados'!U291</f>
        <v/>
      </c>
      <c r="C298">
        <f>'1 datos preparados'!B291</f>
        <v/>
      </c>
      <c r="D298" s="7">
        <f>'1 datos preparados'!C291</f>
        <v/>
      </c>
      <c r="E298" s="7">
        <f>'1 datos preparados'!D291</f>
        <v/>
      </c>
      <c r="F298" s="7">
        <f>'1 datos preparados'!E291</f>
        <v/>
      </c>
      <c r="G298" s="7">
        <f>'1 datos preparados'!F291</f>
        <v/>
      </c>
      <c r="H298" s="7">
        <f>'1 datos preparados'!G291</f>
        <v/>
      </c>
      <c r="I298" s="7">
        <f>'1 datos preparados'!H291</f>
        <v/>
      </c>
      <c r="J298" s="7">
        <f>'1 datos preparados'!I291</f>
        <v/>
      </c>
      <c r="K298" s="7">
        <f>'1 datos preparados'!J291</f>
        <v/>
      </c>
      <c r="L298" s="7">
        <f>'1 datos preparados'!K291</f>
        <v/>
      </c>
      <c r="M298" s="7">
        <f>'1 datos preparados'!L291</f>
        <v/>
      </c>
      <c r="N298" s="7">
        <f>'1 datos preparados'!M291</f>
        <v/>
      </c>
      <c r="O298" s="7">
        <f>'1 datos preparados'!N291</f>
        <v/>
      </c>
      <c r="P298" s="7">
        <f>'1 datos preparados'!O291</f>
        <v/>
      </c>
      <c r="Q298" s="7">
        <f>'1 datos preparados'!P291</f>
        <v/>
      </c>
      <c r="R298" s="7">
        <f>'1 datos preparados'!Q291</f>
        <v/>
      </c>
      <c r="S298" s="7">
        <f>'1 datos preparados'!R291</f>
        <v/>
      </c>
      <c r="T298" s="7">
        <f>'1 datos preparados'!S291</f>
        <v/>
      </c>
      <c r="U298" s="7">
        <f>'1 datos preparados'!T291</f>
        <v/>
      </c>
      <c r="V298" s="8">
        <f>$AE$12+D298*$AE$13+E298*$AE$14+F298*$AE$15+G298*$AE$16+H298*$AE$17+I298*$AE$18+J298*$AE$19+K298*$AE$20+L298*$AE$21+M298*$AE$22+N298*$AE$23+O298*$AE$24+P298*$AE$25+Q298*$AE$26+R298*$AE$27+S298*$AE$28+T298*$AE$29+U298*$AE$30</f>
        <v/>
      </c>
      <c r="W298" s="8">
        <f>1/(1+EXP(-V298))</f>
        <v/>
      </c>
      <c r="X298" s="9">
        <f>-IF(C298=1,LN(W298),LN(1-W298))</f>
        <v/>
      </c>
      <c r="Y298" s="8">
        <f>IF(C298=1,$AE$32,$AE$33)</f>
        <v/>
      </c>
      <c r="Z298" s="9">
        <f>Y298*X298</f>
        <v/>
      </c>
      <c r="AA298" s="10">
        <f>IF(W298&gt;$AE$34,1,0)</f>
        <v/>
      </c>
      <c r="AB298">
        <f>IF(AA298=C298,1,0)</f>
        <v/>
      </c>
    </row>
    <row r="299">
      <c r="A299">
        <f>'1 datos preparados'!A292</f>
        <v/>
      </c>
      <c r="B299" s="5">
        <f>'1 datos preparados'!U292</f>
        <v/>
      </c>
      <c r="C299">
        <f>'1 datos preparados'!B292</f>
        <v/>
      </c>
      <c r="D299" s="7">
        <f>'1 datos preparados'!C292</f>
        <v/>
      </c>
      <c r="E299" s="7">
        <f>'1 datos preparados'!D292</f>
        <v/>
      </c>
      <c r="F299" s="7">
        <f>'1 datos preparados'!E292</f>
        <v/>
      </c>
      <c r="G299" s="7">
        <f>'1 datos preparados'!F292</f>
        <v/>
      </c>
      <c r="H299" s="7">
        <f>'1 datos preparados'!G292</f>
        <v/>
      </c>
      <c r="I299" s="7">
        <f>'1 datos preparados'!H292</f>
        <v/>
      </c>
      <c r="J299" s="7">
        <f>'1 datos preparados'!I292</f>
        <v/>
      </c>
      <c r="K299" s="7">
        <f>'1 datos preparados'!J292</f>
        <v/>
      </c>
      <c r="L299" s="7">
        <f>'1 datos preparados'!K292</f>
        <v/>
      </c>
      <c r="M299" s="7">
        <f>'1 datos preparados'!L292</f>
        <v/>
      </c>
      <c r="N299" s="7">
        <f>'1 datos preparados'!M292</f>
        <v/>
      </c>
      <c r="O299" s="7">
        <f>'1 datos preparados'!N292</f>
        <v/>
      </c>
      <c r="P299" s="7">
        <f>'1 datos preparados'!O292</f>
        <v/>
      </c>
      <c r="Q299" s="7">
        <f>'1 datos preparados'!P292</f>
        <v/>
      </c>
      <c r="R299" s="7">
        <f>'1 datos preparados'!Q292</f>
        <v/>
      </c>
      <c r="S299" s="7">
        <f>'1 datos preparados'!R292</f>
        <v/>
      </c>
      <c r="T299" s="7">
        <f>'1 datos preparados'!S292</f>
        <v/>
      </c>
      <c r="U299" s="7">
        <f>'1 datos preparados'!T292</f>
        <v/>
      </c>
      <c r="V299" s="8">
        <f>$AE$12+D299*$AE$13+E299*$AE$14+F299*$AE$15+G299*$AE$16+H299*$AE$17+I299*$AE$18+J299*$AE$19+K299*$AE$20+L299*$AE$21+M299*$AE$22+N299*$AE$23+O299*$AE$24+P299*$AE$25+Q299*$AE$26+R299*$AE$27+S299*$AE$28+T299*$AE$29+U299*$AE$30</f>
        <v/>
      </c>
      <c r="W299" s="8">
        <f>1/(1+EXP(-V299))</f>
        <v/>
      </c>
      <c r="X299" s="9">
        <f>-IF(C299=1,LN(W299),LN(1-W299))</f>
        <v/>
      </c>
      <c r="Y299" s="8">
        <f>IF(C299=1,$AE$32,$AE$33)</f>
        <v/>
      </c>
      <c r="Z299" s="9">
        <f>Y299*X299</f>
        <v/>
      </c>
      <c r="AA299" s="10">
        <f>IF(W299&gt;$AE$34,1,0)</f>
        <v/>
      </c>
      <c r="AB299">
        <f>IF(AA299=C299,1,0)</f>
        <v/>
      </c>
    </row>
    <row r="300">
      <c r="A300">
        <f>'1 datos preparados'!A293</f>
        <v/>
      </c>
      <c r="B300" s="5">
        <f>'1 datos preparados'!U293</f>
        <v/>
      </c>
      <c r="C300">
        <f>'1 datos preparados'!B293</f>
        <v/>
      </c>
      <c r="D300" s="7">
        <f>'1 datos preparados'!C293</f>
        <v/>
      </c>
      <c r="E300" s="7">
        <f>'1 datos preparados'!D293</f>
        <v/>
      </c>
      <c r="F300" s="7">
        <f>'1 datos preparados'!E293</f>
        <v/>
      </c>
      <c r="G300" s="7">
        <f>'1 datos preparados'!F293</f>
        <v/>
      </c>
      <c r="H300" s="7">
        <f>'1 datos preparados'!G293</f>
        <v/>
      </c>
      <c r="I300" s="7">
        <f>'1 datos preparados'!H293</f>
        <v/>
      </c>
      <c r="J300" s="7">
        <f>'1 datos preparados'!I293</f>
        <v/>
      </c>
      <c r="K300" s="7">
        <f>'1 datos preparados'!J293</f>
        <v/>
      </c>
      <c r="L300" s="7">
        <f>'1 datos preparados'!K293</f>
        <v/>
      </c>
      <c r="M300" s="7">
        <f>'1 datos preparados'!L293</f>
        <v/>
      </c>
      <c r="N300" s="7">
        <f>'1 datos preparados'!M293</f>
        <v/>
      </c>
      <c r="O300" s="7">
        <f>'1 datos preparados'!N293</f>
        <v/>
      </c>
      <c r="P300" s="7">
        <f>'1 datos preparados'!O293</f>
        <v/>
      </c>
      <c r="Q300" s="7">
        <f>'1 datos preparados'!P293</f>
        <v/>
      </c>
      <c r="R300" s="7">
        <f>'1 datos preparados'!Q293</f>
        <v/>
      </c>
      <c r="S300" s="7">
        <f>'1 datos preparados'!R293</f>
        <v/>
      </c>
      <c r="T300" s="7">
        <f>'1 datos preparados'!S293</f>
        <v/>
      </c>
      <c r="U300" s="7">
        <f>'1 datos preparados'!T293</f>
        <v/>
      </c>
      <c r="V300" s="8">
        <f>$AE$12+D300*$AE$13+E300*$AE$14+F300*$AE$15+G300*$AE$16+H300*$AE$17+I300*$AE$18+J300*$AE$19+K300*$AE$20+L300*$AE$21+M300*$AE$22+N300*$AE$23+O300*$AE$24+P300*$AE$25+Q300*$AE$26+R300*$AE$27+S300*$AE$28+T300*$AE$29+U300*$AE$30</f>
        <v/>
      </c>
      <c r="W300" s="8">
        <f>1/(1+EXP(-V300))</f>
        <v/>
      </c>
      <c r="X300" s="9">
        <f>-IF(C300=1,LN(W300),LN(1-W300))</f>
        <v/>
      </c>
      <c r="Y300" s="8">
        <f>IF(C300=1,$AE$32,$AE$33)</f>
        <v/>
      </c>
      <c r="Z300" s="9">
        <f>Y300*X300</f>
        <v/>
      </c>
      <c r="AA300" s="10">
        <f>IF(W300&gt;$AE$34,1,0)</f>
        <v/>
      </c>
      <c r="AB300">
        <f>IF(AA300=C300,1,0)</f>
        <v/>
      </c>
    </row>
    <row r="301">
      <c r="A301">
        <f>'1 datos preparados'!A294</f>
        <v/>
      </c>
      <c r="B301" s="5">
        <f>'1 datos preparados'!U294</f>
        <v/>
      </c>
      <c r="C301">
        <f>'1 datos preparados'!B294</f>
        <v/>
      </c>
      <c r="D301" s="7">
        <f>'1 datos preparados'!C294</f>
        <v/>
      </c>
      <c r="E301" s="7">
        <f>'1 datos preparados'!D294</f>
        <v/>
      </c>
      <c r="F301" s="7">
        <f>'1 datos preparados'!E294</f>
        <v/>
      </c>
      <c r="G301" s="7">
        <f>'1 datos preparados'!F294</f>
        <v/>
      </c>
      <c r="H301" s="7">
        <f>'1 datos preparados'!G294</f>
        <v/>
      </c>
      <c r="I301" s="7">
        <f>'1 datos preparados'!H294</f>
        <v/>
      </c>
      <c r="J301" s="7">
        <f>'1 datos preparados'!I294</f>
        <v/>
      </c>
      <c r="K301" s="7">
        <f>'1 datos preparados'!J294</f>
        <v/>
      </c>
      <c r="L301" s="7">
        <f>'1 datos preparados'!K294</f>
        <v/>
      </c>
      <c r="M301" s="7">
        <f>'1 datos preparados'!L294</f>
        <v/>
      </c>
      <c r="N301" s="7">
        <f>'1 datos preparados'!M294</f>
        <v/>
      </c>
      <c r="O301" s="7">
        <f>'1 datos preparados'!N294</f>
        <v/>
      </c>
      <c r="P301" s="7">
        <f>'1 datos preparados'!O294</f>
        <v/>
      </c>
      <c r="Q301" s="7">
        <f>'1 datos preparados'!P294</f>
        <v/>
      </c>
      <c r="R301" s="7">
        <f>'1 datos preparados'!Q294</f>
        <v/>
      </c>
      <c r="S301" s="7">
        <f>'1 datos preparados'!R294</f>
        <v/>
      </c>
      <c r="T301" s="7">
        <f>'1 datos preparados'!S294</f>
        <v/>
      </c>
      <c r="U301" s="7">
        <f>'1 datos preparados'!T294</f>
        <v/>
      </c>
      <c r="V301" s="8">
        <f>$AE$12+D301*$AE$13+E301*$AE$14+F301*$AE$15+G301*$AE$16+H301*$AE$17+I301*$AE$18+J301*$AE$19+K301*$AE$20+L301*$AE$21+M301*$AE$22+N301*$AE$23+O301*$AE$24+P301*$AE$25+Q301*$AE$26+R301*$AE$27+S301*$AE$28+T301*$AE$29+U301*$AE$30</f>
        <v/>
      </c>
      <c r="W301" s="8">
        <f>1/(1+EXP(-V301))</f>
        <v/>
      </c>
      <c r="X301" s="9">
        <f>-IF(C301=1,LN(W301),LN(1-W301))</f>
        <v/>
      </c>
      <c r="Y301" s="8">
        <f>IF(C301=1,$AE$32,$AE$33)</f>
        <v/>
      </c>
      <c r="Z301" s="9">
        <f>Y301*X301</f>
        <v/>
      </c>
      <c r="AA301" s="10">
        <f>IF(W301&gt;$AE$34,1,0)</f>
        <v/>
      </c>
      <c r="AB301">
        <f>IF(AA301=C301,1,0)</f>
        <v/>
      </c>
    </row>
    <row r="302">
      <c r="A302">
        <f>'1 datos preparados'!A295</f>
        <v/>
      </c>
      <c r="B302" s="5">
        <f>'1 datos preparados'!U295</f>
        <v/>
      </c>
      <c r="C302">
        <f>'1 datos preparados'!B295</f>
        <v/>
      </c>
      <c r="D302" s="7">
        <f>'1 datos preparados'!C295</f>
        <v/>
      </c>
      <c r="E302" s="7">
        <f>'1 datos preparados'!D295</f>
        <v/>
      </c>
      <c r="F302" s="7">
        <f>'1 datos preparados'!E295</f>
        <v/>
      </c>
      <c r="G302" s="7">
        <f>'1 datos preparados'!F295</f>
        <v/>
      </c>
      <c r="H302" s="7">
        <f>'1 datos preparados'!G295</f>
        <v/>
      </c>
      <c r="I302" s="7">
        <f>'1 datos preparados'!H295</f>
        <v/>
      </c>
      <c r="J302" s="7">
        <f>'1 datos preparados'!I295</f>
        <v/>
      </c>
      <c r="K302" s="7">
        <f>'1 datos preparados'!J295</f>
        <v/>
      </c>
      <c r="L302" s="7">
        <f>'1 datos preparados'!K295</f>
        <v/>
      </c>
      <c r="M302" s="7">
        <f>'1 datos preparados'!L295</f>
        <v/>
      </c>
      <c r="N302" s="7">
        <f>'1 datos preparados'!M295</f>
        <v/>
      </c>
      <c r="O302" s="7">
        <f>'1 datos preparados'!N295</f>
        <v/>
      </c>
      <c r="P302" s="7">
        <f>'1 datos preparados'!O295</f>
        <v/>
      </c>
      <c r="Q302" s="7">
        <f>'1 datos preparados'!P295</f>
        <v/>
      </c>
      <c r="R302" s="7">
        <f>'1 datos preparados'!Q295</f>
        <v/>
      </c>
      <c r="S302" s="7">
        <f>'1 datos preparados'!R295</f>
        <v/>
      </c>
      <c r="T302" s="7">
        <f>'1 datos preparados'!S295</f>
        <v/>
      </c>
      <c r="U302" s="7">
        <f>'1 datos preparados'!T295</f>
        <v/>
      </c>
      <c r="V302" s="8">
        <f>$AE$12+D302*$AE$13+E302*$AE$14+F302*$AE$15+G302*$AE$16+H302*$AE$17+I302*$AE$18+J302*$AE$19+K302*$AE$20+L302*$AE$21+M302*$AE$22+N302*$AE$23+O302*$AE$24+P302*$AE$25+Q302*$AE$26+R302*$AE$27+S302*$AE$28+T302*$AE$29+U302*$AE$30</f>
        <v/>
      </c>
      <c r="W302" s="8">
        <f>1/(1+EXP(-V302))</f>
        <v/>
      </c>
      <c r="X302" s="9">
        <f>-IF(C302=1,LN(W302),LN(1-W302))</f>
        <v/>
      </c>
      <c r="Y302" s="8">
        <f>IF(C302=1,$AE$32,$AE$33)</f>
        <v/>
      </c>
      <c r="Z302" s="9">
        <f>Y302*X302</f>
        <v/>
      </c>
      <c r="AA302" s="10">
        <f>IF(W302&gt;$AE$34,1,0)</f>
        <v/>
      </c>
      <c r="AB302">
        <f>IF(AA302=C302,1,0)</f>
        <v/>
      </c>
    </row>
    <row r="303">
      <c r="A303">
        <f>'1 datos preparados'!A296</f>
        <v/>
      </c>
      <c r="B303" s="5">
        <f>'1 datos preparados'!U296</f>
        <v/>
      </c>
      <c r="C303">
        <f>'1 datos preparados'!B296</f>
        <v/>
      </c>
      <c r="D303" s="7">
        <f>'1 datos preparados'!C296</f>
        <v/>
      </c>
      <c r="E303" s="7">
        <f>'1 datos preparados'!D296</f>
        <v/>
      </c>
      <c r="F303" s="7">
        <f>'1 datos preparados'!E296</f>
        <v/>
      </c>
      <c r="G303" s="7">
        <f>'1 datos preparados'!F296</f>
        <v/>
      </c>
      <c r="H303" s="7">
        <f>'1 datos preparados'!G296</f>
        <v/>
      </c>
      <c r="I303" s="7">
        <f>'1 datos preparados'!H296</f>
        <v/>
      </c>
      <c r="J303" s="7">
        <f>'1 datos preparados'!I296</f>
        <v/>
      </c>
      <c r="K303" s="7">
        <f>'1 datos preparados'!J296</f>
        <v/>
      </c>
      <c r="L303" s="7">
        <f>'1 datos preparados'!K296</f>
        <v/>
      </c>
      <c r="M303" s="7">
        <f>'1 datos preparados'!L296</f>
        <v/>
      </c>
      <c r="N303" s="7">
        <f>'1 datos preparados'!M296</f>
        <v/>
      </c>
      <c r="O303" s="7">
        <f>'1 datos preparados'!N296</f>
        <v/>
      </c>
      <c r="P303" s="7">
        <f>'1 datos preparados'!O296</f>
        <v/>
      </c>
      <c r="Q303" s="7">
        <f>'1 datos preparados'!P296</f>
        <v/>
      </c>
      <c r="R303" s="7">
        <f>'1 datos preparados'!Q296</f>
        <v/>
      </c>
      <c r="S303" s="7">
        <f>'1 datos preparados'!R296</f>
        <v/>
      </c>
      <c r="T303" s="7">
        <f>'1 datos preparados'!S296</f>
        <v/>
      </c>
      <c r="U303" s="7">
        <f>'1 datos preparados'!T296</f>
        <v/>
      </c>
      <c r="V303" s="8">
        <f>$AE$12+D303*$AE$13+E303*$AE$14+F303*$AE$15+G303*$AE$16+H303*$AE$17+I303*$AE$18+J303*$AE$19+K303*$AE$20+L303*$AE$21+M303*$AE$22+N303*$AE$23+O303*$AE$24+P303*$AE$25+Q303*$AE$26+R303*$AE$27+S303*$AE$28+T303*$AE$29+U303*$AE$30</f>
        <v/>
      </c>
      <c r="W303" s="8">
        <f>1/(1+EXP(-V303))</f>
        <v/>
      </c>
      <c r="X303" s="9">
        <f>-IF(C303=1,LN(W303),LN(1-W303))</f>
        <v/>
      </c>
      <c r="Y303" s="8">
        <f>IF(C303=1,$AE$32,$AE$33)</f>
        <v/>
      </c>
      <c r="Z303" s="9">
        <f>Y303*X303</f>
        <v/>
      </c>
      <c r="AA303" s="10">
        <f>IF(W303&gt;$AE$34,1,0)</f>
        <v/>
      </c>
      <c r="AB303">
        <f>IF(AA303=C303,1,0)</f>
        <v/>
      </c>
    </row>
    <row r="304">
      <c r="A304">
        <f>'1 datos preparados'!A297</f>
        <v/>
      </c>
      <c r="B304" s="5">
        <f>'1 datos preparados'!U297</f>
        <v/>
      </c>
      <c r="C304">
        <f>'1 datos preparados'!B297</f>
        <v/>
      </c>
      <c r="D304" s="7">
        <f>'1 datos preparados'!C297</f>
        <v/>
      </c>
      <c r="E304" s="7">
        <f>'1 datos preparados'!D297</f>
        <v/>
      </c>
      <c r="F304" s="7">
        <f>'1 datos preparados'!E297</f>
        <v/>
      </c>
      <c r="G304" s="7">
        <f>'1 datos preparados'!F297</f>
        <v/>
      </c>
      <c r="H304" s="7">
        <f>'1 datos preparados'!G297</f>
        <v/>
      </c>
      <c r="I304" s="7">
        <f>'1 datos preparados'!H297</f>
        <v/>
      </c>
      <c r="J304" s="7">
        <f>'1 datos preparados'!I297</f>
        <v/>
      </c>
      <c r="K304" s="7">
        <f>'1 datos preparados'!J297</f>
        <v/>
      </c>
      <c r="L304" s="7">
        <f>'1 datos preparados'!K297</f>
        <v/>
      </c>
      <c r="M304" s="7">
        <f>'1 datos preparados'!L297</f>
        <v/>
      </c>
      <c r="N304" s="7">
        <f>'1 datos preparados'!M297</f>
        <v/>
      </c>
      <c r="O304" s="7">
        <f>'1 datos preparados'!N297</f>
        <v/>
      </c>
      <c r="P304" s="7">
        <f>'1 datos preparados'!O297</f>
        <v/>
      </c>
      <c r="Q304" s="7">
        <f>'1 datos preparados'!P297</f>
        <v/>
      </c>
      <c r="R304" s="7">
        <f>'1 datos preparados'!Q297</f>
        <v/>
      </c>
      <c r="S304" s="7">
        <f>'1 datos preparados'!R297</f>
        <v/>
      </c>
      <c r="T304" s="7">
        <f>'1 datos preparados'!S297</f>
        <v/>
      </c>
      <c r="U304" s="7">
        <f>'1 datos preparados'!T297</f>
        <v/>
      </c>
      <c r="V304" s="8">
        <f>$AE$12+D304*$AE$13+E304*$AE$14+F304*$AE$15+G304*$AE$16+H304*$AE$17+I304*$AE$18+J304*$AE$19+K304*$AE$20+L304*$AE$21+M304*$AE$22+N304*$AE$23+O304*$AE$24+P304*$AE$25+Q304*$AE$26+R304*$AE$27+S304*$AE$28+T304*$AE$29+U304*$AE$30</f>
        <v/>
      </c>
      <c r="W304" s="8">
        <f>1/(1+EXP(-V304))</f>
        <v/>
      </c>
      <c r="X304" s="9">
        <f>-IF(C304=1,LN(W304),LN(1-W304))</f>
        <v/>
      </c>
      <c r="Y304" s="8">
        <f>IF(C304=1,$AE$32,$AE$33)</f>
        <v/>
      </c>
      <c r="Z304" s="9">
        <f>Y304*X304</f>
        <v/>
      </c>
      <c r="AA304" s="10">
        <f>IF(W304&gt;$AE$34,1,0)</f>
        <v/>
      </c>
      <c r="AB304">
        <f>IF(AA304=C304,1,0)</f>
        <v/>
      </c>
    </row>
    <row r="305">
      <c r="A305">
        <f>'1 datos preparados'!A298</f>
        <v/>
      </c>
      <c r="B305" s="5">
        <f>'1 datos preparados'!U298</f>
        <v/>
      </c>
      <c r="C305">
        <f>'1 datos preparados'!B298</f>
        <v/>
      </c>
      <c r="D305" s="7">
        <f>'1 datos preparados'!C298</f>
        <v/>
      </c>
      <c r="E305" s="7">
        <f>'1 datos preparados'!D298</f>
        <v/>
      </c>
      <c r="F305" s="7">
        <f>'1 datos preparados'!E298</f>
        <v/>
      </c>
      <c r="G305" s="7">
        <f>'1 datos preparados'!F298</f>
        <v/>
      </c>
      <c r="H305" s="7">
        <f>'1 datos preparados'!G298</f>
        <v/>
      </c>
      <c r="I305" s="7">
        <f>'1 datos preparados'!H298</f>
        <v/>
      </c>
      <c r="J305" s="7">
        <f>'1 datos preparados'!I298</f>
        <v/>
      </c>
      <c r="K305" s="7">
        <f>'1 datos preparados'!J298</f>
        <v/>
      </c>
      <c r="L305" s="7">
        <f>'1 datos preparados'!K298</f>
        <v/>
      </c>
      <c r="M305" s="7">
        <f>'1 datos preparados'!L298</f>
        <v/>
      </c>
      <c r="N305" s="7">
        <f>'1 datos preparados'!M298</f>
        <v/>
      </c>
      <c r="O305" s="7">
        <f>'1 datos preparados'!N298</f>
        <v/>
      </c>
      <c r="P305" s="7">
        <f>'1 datos preparados'!O298</f>
        <v/>
      </c>
      <c r="Q305" s="7">
        <f>'1 datos preparados'!P298</f>
        <v/>
      </c>
      <c r="R305" s="7">
        <f>'1 datos preparados'!Q298</f>
        <v/>
      </c>
      <c r="S305" s="7">
        <f>'1 datos preparados'!R298</f>
        <v/>
      </c>
      <c r="T305" s="7">
        <f>'1 datos preparados'!S298</f>
        <v/>
      </c>
      <c r="U305" s="7">
        <f>'1 datos preparados'!T298</f>
        <v/>
      </c>
      <c r="V305" s="8">
        <f>$AE$12+D305*$AE$13+E305*$AE$14+F305*$AE$15+G305*$AE$16+H305*$AE$17+I305*$AE$18+J305*$AE$19+K305*$AE$20+L305*$AE$21+M305*$AE$22+N305*$AE$23+O305*$AE$24+P305*$AE$25+Q305*$AE$26+R305*$AE$27+S305*$AE$28+T305*$AE$29+U305*$AE$30</f>
        <v/>
      </c>
      <c r="W305" s="8">
        <f>1/(1+EXP(-V305))</f>
        <v/>
      </c>
      <c r="X305" s="9">
        <f>-IF(C305=1,LN(W305),LN(1-W305))</f>
        <v/>
      </c>
      <c r="Y305" s="8">
        <f>IF(C305=1,$AE$32,$AE$33)</f>
        <v/>
      </c>
      <c r="Z305" s="9">
        <f>Y305*X305</f>
        <v/>
      </c>
      <c r="AA305" s="10">
        <f>IF(W305&gt;$AE$34,1,0)</f>
        <v/>
      </c>
      <c r="AB305">
        <f>IF(AA305=C305,1,0)</f>
        <v/>
      </c>
    </row>
    <row r="306">
      <c r="A306">
        <f>'1 datos preparados'!A299</f>
        <v/>
      </c>
      <c r="B306" s="5">
        <f>'1 datos preparados'!U299</f>
        <v/>
      </c>
      <c r="C306">
        <f>'1 datos preparados'!B299</f>
        <v/>
      </c>
      <c r="D306" s="7">
        <f>'1 datos preparados'!C299</f>
        <v/>
      </c>
      <c r="E306" s="7">
        <f>'1 datos preparados'!D299</f>
        <v/>
      </c>
      <c r="F306" s="7">
        <f>'1 datos preparados'!E299</f>
        <v/>
      </c>
      <c r="G306" s="7">
        <f>'1 datos preparados'!F299</f>
        <v/>
      </c>
      <c r="H306" s="7">
        <f>'1 datos preparados'!G299</f>
        <v/>
      </c>
      <c r="I306" s="7">
        <f>'1 datos preparados'!H299</f>
        <v/>
      </c>
      <c r="J306" s="7">
        <f>'1 datos preparados'!I299</f>
        <v/>
      </c>
      <c r="K306" s="7">
        <f>'1 datos preparados'!J299</f>
        <v/>
      </c>
      <c r="L306" s="7">
        <f>'1 datos preparados'!K299</f>
        <v/>
      </c>
      <c r="M306" s="7">
        <f>'1 datos preparados'!L299</f>
        <v/>
      </c>
      <c r="N306" s="7">
        <f>'1 datos preparados'!M299</f>
        <v/>
      </c>
      <c r="O306" s="7">
        <f>'1 datos preparados'!N299</f>
        <v/>
      </c>
      <c r="P306" s="7">
        <f>'1 datos preparados'!O299</f>
        <v/>
      </c>
      <c r="Q306" s="7">
        <f>'1 datos preparados'!P299</f>
        <v/>
      </c>
      <c r="R306" s="7">
        <f>'1 datos preparados'!Q299</f>
        <v/>
      </c>
      <c r="S306" s="7">
        <f>'1 datos preparados'!R299</f>
        <v/>
      </c>
      <c r="T306" s="7">
        <f>'1 datos preparados'!S299</f>
        <v/>
      </c>
      <c r="U306" s="7">
        <f>'1 datos preparados'!T299</f>
        <v/>
      </c>
      <c r="V306" s="8">
        <f>$AE$12+D306*$AE$13+E306*$AE$14+F306*$AE$15+G306*$AE$16+H306*$AE$17+I306*$AE$18+J306*$AE$19+K306*$AE$20+L306*$AE$21+M306*$AE$22+N306*$AE$23+O306*$AE$24+P306*$AE$25+Q306*$AE$26+R306*$AE$27+S306*$AE$28+T306*$AE$29+U306*$AE$30</f>
        <v/>
      </c>
      <c r="W306" s="8">
        <f>1/(1+EXP(-V306))</f>
        <v/>
      </c>
      <c r="X306" s="9">
        <f>-IF(C306=1,LN(W306),LN(1-W306))</f>
        <v/>
      </c>
      <c r="Y306" s="8">
        <f>IF(C306=1,$AE$32,$AE$33)</f>
        <v/>
      </c>
      <c r="Z306" s="9">
        <f>Y306*X306</f>
        <v/>
      </c>
      <c r="AA306" s="10">
        <f>IF(W306&gt;$AE$34,1,0)</f>
        <v/>
      </c>
      <c r="AB306">
        <f>IF(AA306=C306,1,0)</f>
        <v/>
      </c>
    </row>
    <row r="307">
      <c r="A307">
        <f>'1 datos preparados'!A300</f>
        <v/>
      </c>
      <c r="B307" s="5">
        <f>'1 datos preparados'!U300</f>
        <v/>
      </c>
      <c r="C307">
        <f>'1 datos preparados'!B300</f>
        <v/>
      </c>
      <c r="D307" s="7">
        <f>'1 datos preparados'!C300</f>
        <v/>
      </c>
      <c r="E307" s="7">
        <f>'1 datos preparados'!D300</f>
        <v/>
      </c>
      <c r="F307" s="7">
        <f>'1 datos preparados'!E300</f>
        <v/>
      </c>
      <c r="G307" s="7">
        <f>'1 datos preparados'!F300</f>
        <v/>
      </c>
      <c r="H307" s="7">
        <f>'1 datos preparados'!G300</f>
        <v/>
      </c>
      <c r="I307" s="7">
        <f>'1 datos preparados'!H300</f>
        <v/>
      </c>
      <c r="J307" s="7">
        <f>'1 datos preparados'!I300</f>
        <v/>
      </c>
      <c r="K307" s="7">
        <f>'1 datos preparados'!J300</f>
        <v/>
      </c>
      <c r="L307" s="7">
        <f>'1 datos preparados'!K300</f>
        <v/>
      </c>
      <c r="M307" s="7">
        <f>'1 datos preparados'!L300</f>
        <v/>
      </c>
      <c r="N307" s="7">
        <f>'1 datos preparados'!M300</f>
        <v/>
      </c>
      <c r="O307" s="7">
        <f>'1 datos preparados'!N300</f>
        <v/>
      </c>
      <c r="P307" s="7">
        <f>'1 datos preparados'!O300</f>
        <v/>
      </c>
      <c r="Q307" s="7">
        <f>'1 datos preparados'!P300</f>
        <v/>
      </c>
      <c r="R307" s="7">
        <f>'1 datos preparados'!Q300</f>
        <v/>
      </c>
      <c r="S307" s="7">
        <f>'1 datos preparados'!R300</f>
        <v/>
      </c>
      <c r="T307" s="7">
        <f>'1 datos preparados'!S300</f>
        <v/>
      </c>
      <c r="U307" s="7">
        <f>'1 datos preparados'!T300</f>
        <v/>
      </c>
      <c r="V307" s="8">
        <f>$AE$12+D307*$AE$13+E307*$AE$14+F307*$AE$15+G307*$AE$16+H307*$AE$17+I307*$AE$18+J307*$AE$19+K307*$AE$20+L307*$AE$21+M307*$AE$22+N307*$AE$23+O307*$AE$24+P307*$AE$25+Q307*$AE$26+R307*$AE$27+S307*$AE$28+T307*$AE$29+U307*$AE$30</f>
        <v/>
      </c>
      <c r="W307" s="8">
        <f>1/(1+EXP(-V307))</f>
        <v/>
      </c>
      <c r="X307" s="9">
        <f>-IF(C307=1,LN(W307),LN(1-W307))</f>
        <v/>
      </c>
      <c r="Y307" s="8">
        <f>IF(C307=1,$AE$32,$AE$33)</f>
        <v/>
      </c>
      <c r="Z307" s="9">
        <f>Y307*X307</f>
        <v/>
      </c>
      <c r="AA307" s="10">
        <f>IF(W307&gt;$AE$34,1,0)</f>
        <v/>
      </c>
      <c r="AB307">
        <f>IF(AA307=C307,1,0)</f>
        <v/>
      </c>
    </row>
    <row r="308">
      <c r="A308">
        <f>'1 datos preparados'!A301</f>
        <v/>
      </c>
      <c r="B308" s="5">
        <f>'1 datos preparados'!U301</f>
        <v/>
      </c>
      <c r="C308">
        <f>'1 datos preparados'!B301</f>
        <v/>
      </c>
      <c r="D308" s="7">
        <f>'1 datos preparados'!C301</f>
        <v/>
      </c>
      <c r="E308" s="7">
        <f>'1 datos preparados'!D301</f>
        <v/>
      </c>
      <c r="F308" s="7">
        <f>'1 datos preparados'!E301</f>
        <v/>
      </c>
      <c r="G308" s="7">
        <f>'1 datos preparados'!F301</f>
        <v/>
      </c>
      <c r="H308" s="7">
        <f>'1 datos preparados'!G301</f>
        <v/>
      </c>
      <c r="I308" s="7">
        <f>'1 datos preparados'!H301</f>
        <v/>
      </c>
      <c r="J308" s="7">
        <f>'1 datos preparados'!I301</f>
        <v/>
      </c>
      <c r="K308" s="7">
        <f>'1 datos preparados'!J301</f>
        <v/>
      </c>
      <c r="L308" s="7">
        <f>'1 datos preparados'!K301</f>
        <v/>
      </c>
      <c r="M308" s="7">
        <f>'1 datos preparados'!L301</f>
        <v/>
      </c>
      <c r="N308" s="7">
        <f>'1 datos preparados'!M301</f>
        <v/>
      </c>
      <c r="O308" s="7">
        <f>'1 datos preparados'!N301</f>
        <v/>
      </c>
      <c r="P308" s="7">
        <f>'1 datos preparados'!O301</f>
        <v/>
      </c>
      <c r="Q308" s="7">
        <f>'1 datos preparados'!P301</f>
        <v/>
      </c>
      <c r="R308" s="7">
        <f>'1 datos preparados'!Q301</f>
        <v/>
      </c>
      <c r="S308" s="7">
        <f>'1 datos preparados'!R301</f>
        <v/>
      </c>
      <c r="T308" s="7">
        <f>'1 datos preparados'!S301</f>
        <v/>
      </c>
      <c r="U308" s="7">
        <f>'1 datos preparados'!T301</f>
        <v/>
      </c>
      <c r="V308" s="8">
        <f>$AE$12+D308*$AE$13+E308*$AE$14+F308*$AE$15+G308*$AE$16+H308*$AE$17+I308*$AE$18+J308*$AE$19+K308*$AE$20+L308*$AE$21+M308*$AE$22+N308*$AE$23+O308*$AE$24+P308*$AE$25+Q308*$AE$26+R308*$AE$27+S308*$AE$28+T308*$AE$29+U308*$AE$30</f>
        <v/>
      </c>
      <c r="W308" s="8">
        <f>1/(1+EXP(-V308))</f>
        <v/>
      </c>
      <c r="X308" s="9">
        <f>-IF(C308=1,LN(W308),LN(1-W308))</f>
        <v/>
      </c>
      <c r="Y308" s="8">
        <f>IF(C308=1,$AE$32,$AE$33)</f>
        <v/>
      </c>
      <c r="Z308" s="9">
        <f>Y308*X308</f>
        <v/>
      </c>
      <c r="AA308" s="10">
        <f>IF(W308&gt;$AE$34,1,0)</f>
        <v/>
      </c>
      <c r="AB308">
        <f>IF(AA308=C308,1,0)</f>
        <v/>
      </c>
    </row>
    <row r="309">
      <c r="A309">
        <f>'1 datos preparados'!A302</f>
        <v/>
      </c>
      <c r="B309" s="5">
        <f>'1 datos preparados'!U302</f>
        <v/>
      </c>
      <c r="C309">
        <f>'1 datos preparados'!B302</f>
        <v/>
      </c>
      <c r="D309" s="7">
        <f>'1 datos preparados'!C302</f>
        <v/>
      </c>
      <c r="E309" s="7">
        <f>'1 datos preparados'!D302</f>
        <v/>
      </c>
      <c r="F309" s="7">
        <f>'1 datos preparados'!E302</f>
        <v/>
      </c>
      <c r="G309" s="7">
        <f>'1 datos preparados'!F302</f>
        <v/>
      </c>
      <c r="H309" s="7">
        <f>'1 datos preparados'!G302</f>
        <v/>
      </c>
      <c r="I309" s="7">
        <f>'1 datos preparados'!H302</f>
        <v/>
      </c>
      <c r="J309" s="7">
        <f>'1 datos preparados'!I302</f>
        <v/>
      </c>
      <c r="K309" s="7">
        <f>'1 datos preparados'!J302</f>
        <v/>
      </c>
      <c r="L309" s="7">
        <f>'1 datos preparados'!K302</f>
        <v/>
      </c>
      <c r="M309" s="7">
        <f>'1 datos preparados'!L302</f>
        <v/>
      </c>
      <c r="N309" s="7">
        <f>'1 datos preparados'!M302</f>
        <v/>
      </c>
      <c r="O309" s="7">
        <f>'1 datos preparados'!N302</f>
        <v/>
      </c>
      <c r="P309" s="7">
        <f>'1 datos preparados'!O302</f>
        <v/>
      </c>
      <c r="Q309" s="7">
        <f>'1 datos preparados'!P302</f>
        <v/>
      </c>
      <c r="R309" s="7">
        <f>'1 datos preparados'!Q302</f>
        <v/>
      </c>
      <c r="S309" s="7">
        <f>'1 datos preparados'!R302</f>
        <v/>
      </c>
      <c r="T309" s="7">
        <f>'1 datos preparados'!S302</f>
        <v/>
      </c>
      <c r="U309" s="7">
        <f>'1 datos preparados'!T302</f>
        <v/>
      </c>
      <c r="V309" s="8">
        <f>$AE$12+D309*$AE$13+E309*$AE$14+F309*$AE$15+G309*$AE$16+H309*$AE$17+I309*$AE$18+J309*$AE$19+K309*$AE$20+L309*$AE$21+M309*$AE$22+N309*$AE$23+O309*$AE$24+P309*$AE$25+Q309*$AE$26+R309*$AE$27+S309*$AE$28+T309*$AE$29+U309*$AE$30</f>
        <v/>
      </c>
      <c r="W309" s="8">
        <f>1/(1+EXP(-V309))</f>
        <v/>
      </c>
      <c r="X309" s="9">
        <f>-IF(C309=1,LN(W309),LN(1-W309))</f>
        <v/>
      </c>
      <c r="Y309" s="8">
        <f>IF(C309=1,$AE$32,$AE$33)</f>
        <v/>
      </c>
      <c r="Z309" s="9">
        <f>Y309*X309</f>
        <v/>
      </c>
      <c r="AA309" s="10">
        <f>IF(W309&gt;$AE$34,1,0)</f>
        <v/>
      </c>
      <c r="AB309">
        <f>IF(AA309=C309,1,0)</f>
        <v/>
      </c>
    </row>
    <row r="310">
      <c r="A310">
        <f>'1 datos preparados'!A303</f>
        <v/>
      </c>
      <c r="B310" s="5">
        <f>'1 datos preparados'!U303</f>
        <v/>
      </c>
      <c r="C310">
        <f>'1 datos preparados'!B303</f>
        <v/>
      </c>
      <c r="D310" s="7">
        <f>'1 datos preparados'!C303</f>
        <v/>
      </c>
      <c r="E310" s="7">
        <f>'1 datos preparados'!D303</f>
        <v/>
      </c>
      <c r="F310" s="7">
        <f>'1 datos preparados'!E303</f>
        <v/>
      </c>
      <c r="G310" s="7">
        <f>'1 datos preparados'!F303</f>
        <v/>
      </c>
      <c r="H310" s="7">
        <f>'1 datos preparados'!G303</f>
        <v/>
      </c>
      <c r="I310" s="7">
        <f>'1 datos preparados'!H303</f>
        <v/>
      </c>
      <c r="J310" s="7">
        <f>'1 datos preparados'!I303</f>
        <v/>
      </c>
      <c r="K310" s="7">
        <f>'1 datos preparados'!J303</f>
        <v/>
      </c>
      <c r="L310" s="7">
        <f>'1 datos preparados'!K303</f>
        <v/>
      </c>
      <c r="M310" s="7">
        <f>'1 datos preparados'!L303</f>
        <v/>
      </c>
      <c r="N310" s="7">
        <f>'1 datos preparados'!M303</f>
        <v/>
      </c>
      <c r="O310" s="7">
        <f>'1 datos preparados'!N303</f>
        <v/>
      </c>
      <c r="P310" s="7">
        <f>'1 datos preparados'!O303</f>
        <v/>
      </c>
      <c r="Q310" s="7">
        <f>'1 datos preparados'!P303</f>
        <v/>
      </c>
      <c r="R310" s="7">
        <f>'1 datos preparados'!Q303</f>
        <v/>
      </c>
      <c r="S310" s="7">
        <f>'1 datos preparados'!R303</f>
        <v/>
      </c>
      <c r="T310" s="7">
        <f>'1 datos preparados'!S303</f>
        <v/>
      </c>
      <c r="U310" s="7">
        <f>'1 datos preparados'!T303</f>
        <v/>
      </c>
      <c r="V310" s="8">
        <f>$AE$12+D310*$AE$13+E310*$AE$14+F310*$AE$15+G310*$AE$16+H310*$AE$17+I310*$AE$18+J310*$AE$19+K310*$AE$20+L310*$AE$21+M310*$AE$22+N310*$AE$23+O310*$AE$24+P310*$AE$25+Q310*$AE$26+R310*$AE$27+S310*$AE$28+T310*$AE$29+U310*$AE$30</f>
        <v/>
      </c>
      <c r="W310" s="8">
        <f>1/(1+EXP(-V310))</f>
        <v/>
      </c>
      <c r="X310" s="9">
        <f>-IF(C310=1,LN(W310),LN(1-W310))</f>
        <v/>
      </c>
      <c r="Y310" s="8">
        <f>IF(C310=1,$AE$32,$AE$33)</f>
        <v/>
      </c>
      <c r="Z310" s="9">
        <f>Y310*X310</f>
        <v/>
      </c>
      <c r="AA310" s="10">
        <f>IF(W310&gt;$AE$34,1,0)</f>
        <v/>
      </c>
      <c r="AB310">
        <f>IF(AA310=C310,1,0)</f>
        <v/>
      </c>
    </row>
    <row r="311">
      <c r="A311">
        <f>'1 datos preparados'!A304</f>
        <v/>
      </c>
      <c r="B311" s="5">
        <f>'1 datos preparados'!U304</f>
        <v/>
      </c>
      <c r="C311">
        <f>'1 datos preparados'!B304</f>
        <v/>
      </c>
      <c r="D311" s="7">
        <f>'1 datos preparados'!C304</f>
        <v/>
      </c>
      <c r="E311" s="7">
        <f>'1 datos preparados'!D304</f>
        <v/>
      </c>
      <c r="F311" s="7">
        <f>'1 datos preparados'!E304</f>
        <v/>
      </c>
      <c r="G311" s="7">
        <f>'1 datos preparados'!F304</f>
        <v/>
      </c>
      <c r="H311" s="7">
        <f>'1 datos preparados'!G304</f>
        <v/>
      </c>
      <c r="I311" s="7">
        <f>'1 datos preparados'!H304</f>
        <v/>
      </c>
      <c r="J311" s="7">
        <f>'1 datos preparados'!I304</f>
        <v/>
      </c>
      <c r="K311" s="7">
        <f>'1 datos preparados'!J304</f>
        <v/>
      </c>
      <c r="L311" s="7">
        <f>'1 datos preparados'!K304</f>
        <v/>
      </c>
      <c r="M311" s="7">
        <f>'1 datos preparados'!L304</f>
        <v/>
      </c>
      <c r="N311" s="7">
        <f>'1 datos preparados'!M304</f>
        <v/>
      </c>
      <c r="O311" s="7">
        <f>'1 datos preparados'!N304</f>
        <v/>
      </c>
      <c r="P311" s="7">
        <f>'1 datos preparados'!O304</f>
        <v/>
      </c>
      <c r="Q311" s="7">
        <f>'1 datos preparados'!P304</f>
        <v/>
      </c>
      <c r="R311" s="7">
        <f>'1 datos preparados'!Q304</f>
        <v/>
      </c>
      <c r="S311" s="7">
        <f>'1 datos preparados'!R304</f>
        <v/>
      </c>
      <c r="T311" s="7">
        <f>'1 datos preparados'!S304</f>
        <v/>
      </c>
      <c r="U311" s="7">
        <f>'1 datos preparados'!T304</f>
        <v/>
      </c>
      <c r="V311" s="8">
        <f>$AE$12+D311*$AE$13+E311*$AE$14+F311*$AE$15+G311*$AE$16+H311*$AE$17+I311*$AE$18+J311*$AE$19+K311*$AE$20+L311*$AE$21+M311*$AE$22+N311*$AE$23+O311*$AE$24+P311*$AE$25+Q311*$AE$26+R311*$AE$27+S311*$AE$28+T311*$AE$29+U311*$AE$30</f>
        <v/>
      </c>
      <c r="W311" s="8">
        <f>1/(1+EXP(-V311))</f>
        <v/>
      </c>
      <c r="X311" s="9">
        <f>-IF(C311=1,LN(W311),LN(1-W311))</f>
        <v/>
      </c>
      <c r="Y311" s="8">
        <f>IF(C311=1,$AE$32,$AE$33)</f>
        <v/>
      </c>
      <c r="Z311" s="9">
        <f>Y311*X311</f>
        <v/>
      </c>
      <c r="AA311" s="10">
        <f>IF(W311&gt;$AE$34,1,0)</f>
        <v/>
      </c>
      <c r="AB311">
        <f>IF(AA311=C311,1,0)</f>
        <v/>
      </c>
    </row>
    <row r="312">
      <c r="A312">
        <f>'1 datos preparados'!A305</f>
        <v/>
      </c>
      <c r="B312" s="5">
        <f>'1 datos preparados'!U305</f>
        <v/>
      </c>
      <c r="C312">
        <f>'1 datos preparados'!B305</f>
        <v/>
      </c>
      <c r="D312" s="7">
        <f>'1 datos preparados'!C305</f>
        <v/>
      </c>
      <c r="E312" s="7">
        <f>'1 datos preparados'!D305</f>
        <v/>
      </c>
      <c r="F312" s="7">
        <f>'1 datos preparados'!E305</f>
        <v/>
      </c>
      <c r="G312" s="7">
        <f>'1 datos preparados'!F305</f>
        <v/>
      </c>
      <c r="H312" s="7">
        <f>'1 datos preparados'!G305</f>
        <v/>
      </c>
      <c r="I312" s="7">
        <f>'1 datos preparados'!H305</f>
        <v/>
      </c>
      <c r="J312" s="7">
        <f>'1 datos preparados'!I305</f>
        <v/>
      </c>
      <c r="K312" s="7">
        <f>'1 datos preparados'!J305</f>
        <v/>
      </c>
      <c r="L312" s="7">
        <f>'1 datos preparados'!K305</f>
        <v/>
      </c>
      <c r="M312" s="7">
        <f>'1 datos preparados'!L305</f>
        <v/>
      </c>
      <c r="N312" s="7">
        <f>'1 datos preparados'!M305</f>
        <v/>
      </c>
      <c r="O312" s="7">
        <f>'1 datos preparados'!N305</f>
        <v/>
      </c>
      <c r="P312" s="7">
        <f>'1 datos preparados'!O305</f>
        <v/>
      </c>
      <c r="Q312" s="7">
        <f>'1 datos preparados'!P305</f>
        <v/>
      </c>
      <c r="R312" s="7">
        <f>'1 datos preparados'!Q305</f>
        <v/>
      </c>
      <c r="S312" s="7">
        <f>'1 datos preparados'!R305</f>
        <v/>
      </c>
      <c r="T312" s="7">
        <f>'1 datos preparados'!S305</f>
        <v/>
      </c>
      <c r="U312" s="7">
        <f>'1 datos preparados'!T305</f>
        <v/>
      </c>
      <c r="V312" s="8">
        <f>$AE$12+D312*$AE$13+E312*$AE$14+F312*$AE$15+G312*$AE$16+H312*$AE$17+I312*$AE$18+J312*$AE$19+K312*$AE$20+L312*$AE$21+M312*$AE$22+N312*$AE$23+O312*$AE$24+P312*$AE$25+Q312*$AE$26+R312*$AE$27+S312*$AE$28+T312*$AE$29+U312*$AE$30</f>
        <v/>
      </c>
      <c r="W312" s="8">
        <f>1/(1+EXP(-V312))</f>
        <v/>
      </c>
      <c r="X312" s="9">
        <f>-IF(C312=1,LN(W312),LN(1-W312))</f>
        <v/>
      </c>
      <c r="Y312" s="8">
        <f>IF(C312=1,$AE$32,$AE$33)</f>
        <v/>
      </c>
      <c r="Z312" s="9">
        <f>Y312*X312</f>
        <v/>
      </c>
      <c r="AA312" s="10">
        <f>IF(W312&gt;$AE$34,1,0)</f>
        <v/>
      </c>
      <c r="AB312">
        <f>IF(AA312=C312,1,0)</f>
        <v/>
      </c>
    </row>
    <row r="313">
      <c r="A313">
        <f>'1 datos preparados'!A306</f>
        <v/>
      </c>
      <c r="B313" s="5">
        <f>'1 datos preparados'!U306</f>
        <v/>
      </c>
      <c r="C313">
        <f>'1 datos preparados'!B306</f>
        <v/>
      </c>
      <c r="D313" s="7">
        <f>'1 datos preparados'!C306</f>
        <v/>
      </c>
      <c r="E313" s="7">
        <f>'1 datos preparados'!D306</f>
        <v/>
      </c>
      <c r="F313" s="7">
        <f>'1 datos preparados'!E306</f>
        <v/>
      </c>
      <c r="G313" s="7">
        <f>'1 datos preparados'!F306</f>
        <v/>
      </c>
      <c r="H313" s="7">
        <f>'1 datos preparados'!G306</f>
        <v/>
      </c>
      <c r="I313" s="7">
        <f>'1 datos preparados'!H306</f>
        <v/>
      </c>
      <c r="J313" s="7">
        <f>'1 datos preparados'!I306</f>
        <v/>
      </c>
      <c r="K313" s="7">
        <f>'1 datos preparados'!J306</f>
        <v/>
      </c>
      <c r="L313" s="7">
        <f>'1 datos preparados'!K306</f>
        <v/>
      </c>
      <c r="M313" s="7">
        <f>'1 datos preparados'!L306</f>
        <v/>
      </c>
      <c r="N313" s="7">
        <f>'1 datos preparados'!M306</f>
        <v/>
      </c>
      <c r="O313" s="7">
        <f>'1 datos preparados'!N306</f>
        <v/>
      </c>
      <c r="P313" s="7">
        <f>'1 datos preparados'!O306</f>
        <v/>
      </c>
      <c r="Q313" s="7">
        <f>'1 datos preparados'!P306</f>
        <v/>
      </c>
      <c r="R313" s="7">
        <f>'1 datos preparados'!Q306</f>
        <v/>
      </c>
      <c r="S313" s="7">
        <f>'1 datos preparados'!R306</f>
        <v/>
      </c>
      <c r="T313" s="7">
        <f>'1 datos preparados'!S306</f>
        <v/>
      </c>
      <c r="U313" s="7">
        <f>'1 datos preparados'!T306</f>
        <v/>
      </c>
      <c r="V313" s="8">
        <f>$AE$12+D313*$AE$13+E313*$AE$14+F313*$AE$15+G313*$AE$16+H313*$AE$17+I313*$AE$18+J313*$AE$19+K313*$AE$20+L313*$AE$21+M313*$AE$22+N313*$AE$23+O313*$AE$24+P313*$AE$25+Q313*$AE$26+R313*$AE$27+S313*$AE$28+T313*$AE$29+U313*$AE$30</f>
        <v/>
      </c>
      <c r="W313" s="8">
        <f>1/(1+EXP(-V313))</f>
        <v/>
      </c>
      <c r="X313" s="9">
        <f>-IF(C313=1,LN(W313),LN(1-W313))</f>
        <v/>
      </c>
      <c r="Y313" s="8">
        <f>IF(C313=1,$AE$32,$AE$33)</f>
        <v/>
      </c>
      <c r="Z313" s="9">
        <f>Y313*X313</f>
        <v/>
      </c>
      <c r="AA313" s="10">
        <f>IF(W313&gt;$AE$34,1,0)</f>
        <v/>
      </c>
      <c r="AB313">
        <f>IF(AA313=C313,1,0)</f>
        <v/>
      </c>
    </row>
    <row r="314">
      <c r="A314">
        <f>'1 datos preparados'!A307</f>
        <v/>
      </c>
      <c r="B314" s="5">
        <f>'1 datos preparados'!U307</f>
        <v/>
      </c>
      <c r="C314">
        <f>'1 datos preparados'!B307</f>
        <v/>
      </c>
      <c r="D314" s="7">
        <f>'1 datos preparados'!C307</f>
        <v/>
      </c>
      <c r="E314" s="7">
        <f>'1 datos preparados'!D307</f>
        <v/>
      </c>
      <c r="F314" s="7">
        <f>'1 datos preparados'!E307</f>
        <v/>
      </c>
      <c r="G314" s="7">
        <f>'1 datos preparados'!F307</f>
        <v/>
      </c>
      <c r="H314" s="7">
        <f>'1 datos preparados'!G307</f>
        <v/>
      </c>
      <c r="I314" s="7">
        <f>'1 datos preparados'!H307</f>
        <v/>
      </c>
      <c r="J314" s="7">
        <f>'1 datos preparados'!I307</f>
        <v/>
      </c>
      <c r="K314" s="7">
        <f>'1 datos preparados'!J307</f>
        <v/>
      </c>
      <c r="L314" s="7">
        <f>'1 datos preparados'!K307</f>
        <v/>
      </c>
      <c r="M314" s="7">
        <f>'1 datos preparados'!L307</f>
        <v/>
      </c>
      <c r="N314" s="7">
        <f>'1 datos preparados'!M307</f>
        <v/>
      </c>
      <c r="O314" s="7">
        <f>'1 datos preparados'!N307</f>
        <v/>
      </c>
      <c r="P314" s="7">
        <f>'1 datos preparados'!O307</f>
        <v/>
      </c>
      <c r="Q314" s="7">
        <f>'1 datos preparados'!P307</f>
        <v/>
      </c>
      <c r="R314" s="7">
        <f>'1 datos preparados'!Q307</f>
        <v/>
      </c>
      <c r="S314" s="7">
        <f>'1 datos preparados'!R307</f>
        <v/>
      </c>
      <c r="T314" s="7">
        <f>'1 datos preparados'!S307</f>
        <v/>
      </c>
      <c r="U314" s="7">
        <f>'1 datos preparados'!T307</f>
        <v/>
      </c>
      <c r="V314" s="8">
        <f>$AE$12+D314*$AE$13+E314*$AE$14+F314*$AE$15+G314*$AE$16+H314*$AE$17+I314*$AE$18+J314*$AE$19+K314*$AE$20+L314*$AE$21+M314*$AE$22+N314*$AE$23+O314*$AE$24+P314*$AE$25+Q314*$AE$26+R314*$AE$27+S314*$AE$28+T314*$AE$29+U314*$AE$30</f>
        <v/>
      </c>
      <c r="W314" s="8">
        <f>1/(1+EXP(-V314))</f>
        <v/>
      </c>
      <c r="X314" s="9">
        <f>-IF(C314=1,LN(W314),LN(1-W314))</f>
        <v/>
      </c>
      <c r="Y314" s="8">
        <f>IF(C314=1,$AE$32,$AE$33)</f>
        <v/>
      </c>
      <c r="Z314" s="9">
        <f>Y314*X314</f>
        <v/>
      </c>
      <c r="AA314" s="10">
        <f>IF(W314&gt;$AE$34,1,0)</f>
        <v/>
      </c>
      <c r="AB314">
        <f>IF(AA314=C314,1,0)</f>
        <v/>
      </c>
    </row>
    <row r="315">
      <c r="A315">
        <f>'1 datos preparados'!A308</f>
        <v/>
      </c>
      <c r="B315" s="5">
        <f>'1 datos preparados'!U308</f>
        <v/>
      </c>
      <c r="C315">
        <f>'1 datos preparados'!B308</f>
        <v/>
      </c>
      <c r="D315" s="7">
        <f>'1 datos preparados'!C308</f>
        <v/>
      </c>
      <c r="E315" s="7">
        <f>'1 datos preparados'!D308</f>
        <v/>
      </c>
      <c r="F315" s="7">
        <f>'1 datos preparados'!E308</f>
        <v/>
      </c>
      <c r="G315" s="7">
        <f>'1 datos preparados'!F308</f>
        <v/>
      </c>
      <c r="H315" s="7">
        <f>'1 datos preparados'!G308</f>
        <v/>
      </c>
      <c r="I315" s="7">
        <f>'1 datos preparados'!H308</f>
        <v/>
      </c>
      <c r="J315" s="7">
        <f>'1 datos preparados'!I308</f>
        <v/>
      </c>
      <c r="K315" s="7">
        <f>'1 datos preparados'!J308</f>
        <v/>
      </c>
      <c r="L315" s="7">
        <f>'1 datos preparados'!K308</f>
        <v/>
      </c>
      <c r="M315" s="7">
        <f>'1 datos preparados'!L308</f>
        <v/>
      </c>
      <c r="N315" s="7">
        <f>'1 datos preparados'!M308</f>
        <v/>
      </c>
      <c r="O315" s="7">
        <f>'1 datos preparados'!N308</f>
        <v/>
      </c>
      <c r="P315" s="7">
        <f>'1 datos preparados'!O308</f>
        <v/>
      </c>
      <c r="Q315" s="7">
        <f>'1 datos preparados'!P308</f>
        <v/>
      </c>
      <c r="R315" s="7">
        <f>'1 datos preparados'!Q308</f>
        <v/>
      </c>
      <c r="S315" s="7">
        <f>'1 datos preparados'!R308</f>
        <v/>
      </c>
      <c r="T315" s="7">
        <f>'1 datos preparados'!S308</f>
        <v/>
      </c>
      <c r="U315" s="7">
        <f>'1 datos preparados'!T308</f>
        <v/>
      </c>
      <c r="V315" s="8">
        <f>$AE$12+D315*$AE$13+E315*$AE$14+F315*$AE$15+G315*$AE$16+H315*$AE$17+I315*$AE$18+J315*$AE$19+K315*$AE$20+L315*$AE$21+M315*$AE$22+N315*$AE$23+O315*$AE$24+P315*$AE$25+Q315*$AE$26+R315*$AE$27+S315*$AE$28+T315*$AE$29+U315*$AE$30</f>
        <v/>
      </c>
      <c r="W315" s="8">
        <f>1/(1+EXP(-V315))</f>
        <v/>
      </c>
      <c r="X315" s="9">
        <f>-IF(C315=1,LN(W315),LN(1-W315))</f>
        <v/>
      </c>
      <c r="Y315" s="8">
        <f>IF(C315=1,$AE$32,$AE$33)</f>
        <v/>
      </c>
      <c r="Z315" s="9">
        <f>Y315*X315</f>
        <v/>
      </c>
      <c r="AA315" s="10">
        <f>IF(W315&gt;$AE$34,1,0)</f>
        <v/>
      </c>
      <c r="AB315">
        <f>IF(AA315=C315,1,0)</f>
        <v/>
      </c>
    </row>
    <row r="316">
      <c r="A316">
        <f>'1 datos preparados'!A309</f>
        <v/>
      </c>
      <c r="B316" s="5">
        <f>'1 datos preparados'!U309</f>
        <v/>
      </c>
      <c r="C316">
        <f>'1 datos preparados'!B309</f>
        <v/>
      </c>
      <c r="D316" s="7">
        <f>'1 datos preparados'!C309</f>
        <v/>
      </c>
      <c r="E316" s="7">
        <f>'1 datos preparados'!D309</f>
        <v/>
      </c>
      <c r="F316" s="7">
        <f>'1 datos preparados'!E309</f>
        <v/>
      </c>
      <c r="G316" s="7">
        <f>'1 datos preparados'!F309</f>
        <v/>
      </c>
      <c r="H316" s="7">
        <f>'1 datos preparados'!G309</f>
        <v/>
      </c>
      <c r="I316" s="7">
        <f>'1 datos preparados'!H309</f>
        <v/>
      </c>
      <c r="J316" s="7">
        <f>'1 datos preparados'!I309</f>
        <v/>
      </c>
      <c r="K316" s="7">
        <f>'1 datos preparados'!J309</f>
        <v/>
      </c>
      <c r="L316" s="7">
        <f>'1 datos preparados'!K309</f>
        <v/>
      </c>
      <c r="M316" s="7">
        <f>'1 datos preparados'!L309</f>
        <v/>
      </c>
      <c r="N316" s="7">
        <f>'1 datos preparados'!M309</f>
        <v/>
      </c>
      <c r="O316" s="7">
        <f>'1 datos preparados'!N309</f>
        <v/>
      </c>
      <c r="P316" s="7">
        <f>'1 datos preparados'!O309</f>
        <v/>
      </c>
      <c r="Q316" s="7">
        <f>'1 datos preparados'!P309</f>
        <v/>
      </c>
      <c r="R316" s="7">
        <f>'1 datos preparados'!Q309</f>
        <v/>
      </c>
      <c r="S316" s="7">
        <f>'1 datos preparados'!R309</f>
        <v/>
      </c>
      <c r="T316" s="7">
        <f>'1 datos preparados'!S309</f>
        <v/>
      </c>
      <c r="U316" s="7">
        <f>'1 datos preparados'!T309</f>
        <v/>
      </c>
      <c r="V316" s="8">
        <f>$AE$12+D316*$AE$13+E316*$AE$14+F316*$AE$15+G316*$AE$16+H316*$AE$17+I316*$AE$18+J316*$AE$19+K316*$AE$20+L316*$AE$21+M316*$AE$22+N316*$AE$23+O316*$AE$24+P316*$AE$25+Q316*$AE$26+R316*$AE$27+S316*$AE$28+T316*$AE$29+U316*$AE$30</f>
        <v/>
      </c>
      <c r="W316" s="8">
        <f>1/(1+EXP(-V316))</f>
        <v/>
      </c>
      <c r="X316" s="9">
        <f>-IF(C316=1,LN(W316),LN(1-W316))</f>
        <v/>
      </c>
      <c r="Y316" s="8">
        <f>IF(C316=1,$AE$32,$AE$33)</f>
        <v/>
      </c>
      <c r="Z316" s="9">
        <f>Y316*X316</f>
        <v/>
      </c>
      <c r="AA316" s="10">
        <f>IF(W316&gt;$AE$34,1,0)</f>
        <v/>
      </c>
      <c r="AB316">
        <f>IF(AA316=C316,1,0)</f>
        <v/>
      </c>
    </row>
    <row r="317">
      <c r="A317">
        <f>'1 datos preparados'!A310</f>
        <v/>
      </c>
      <c r="B317" s="5">
        <f>'1 datos preparados'!U310</f>
        <v/>
      </c>
      <c r="C317">
        <f>'1 datos preparados'!B310</f>
        <v/>
      </c>
      <c r="D317" s="7">
        <f>'1 datos preparados'!C310</f>
        <v/>
      </c>
      <c r="E317" s="7">
        <f>'1 datos preparados'!D310</f>
        <v/>
      </c>
      <c r="F317" s="7">
        <f>'1 datos preparados'!E310</f>
        <v/>
      </c>
      <c r="G317" s="7">
        <f>'1 datos preparados'!F310</f>
        <v/>
      </c>
      <c r="H317" s="7">
        <f>'1 datos preparados'!G310</f>
        <v/>
      </c>
      <c r="I317" s="7">
        <f>'1 datos preparados'!H310</f>
        <v/>
      </c>
      <c r="J317" s="7">
        <f>'1 datos preparados'!I310</f>
        <v/>
      </c>
      <c r="K317" s="7">
        <f>'1 datos preparados'!J310</f>
        <v/>
      </c>
      <c r="L317" s="7">
        <f>'1 datos preparados'!K310</f>
        <v/>
      </c>
      <c r="M317" s="7">
        <f>'1 datos preparados'!L310</f>
        <v/>
      </c>
      <c r="N317" s="7">
        <f>'1 datos preparados'!M310</f>
        <v/>
      </c>
      <c r="O317" s="7">
        <f>'1 datos preparados'!N310</f>
        <v/>
      </c>
      <c r="P317" s="7">
        <f>'1 datos preparados'!O310</f>
        <v/>
      </c>
      <c r="Q317" s="7">
        <f>'1 datos preparados'!P310</f>
        <v/>
      </c>
      <c r="R317" s="7">
        <f>'1 datos preparados'!Q310</f>
        <v/>
      </c>
      <c r="S317" s="7">
        <f>'1 datos preparados'!R310</f>
        <v/>
      </c>
      <c r="T317" s="7">
        <f>'1 datos preparados'!S310</f>
        <v/>
      </c>
      <c r="U317" s="7">
        <f>'1 datos preparados'!T310</f>
        <v/>
      </c>
      <c r="V317" s="8">
        <f>$AE$12+D317*$AE$13+E317*$AE$14+F317*$AE$15+G317*$AE$16+H317*$AE$17+I317*$AE$18+J317*$AE$19+K317*$AE$20+L317*$AE$21+M317*$AE$22+N317*$AE$23+O317*$AE$24+P317*$AE$25+Q317*$AE$26+R317*$AE$27+S317*$AE$28+T317*$AE$29+U317*$AE$30</f>
        <v/>
      </c>
      <c r="W317" s="8">
        <f>1/(1+EXP(-V317))</f>
        <v/>
      </c>
      <c r="X317" s="9">
        <f>-IF(C317=1,LN(W317),LN(1-W317))</f>
        <v/>
      </c>
      <c r="Y317" s="8">
        <f>IF(C317=1,$AE$32,$AE$33)</f>
        <v/>
      </c>
      <c r="Z317" s="9">
        <f>Y317*X317</f>
        <v/>
      </c>
      <c r="AA317" s="10">
        <f>IF(W317&gt;$AE$34,1,0)</f>
        <v/>
      </c>
      <c r="AB317">
        <f>IF(AA317=C317,1,0)</f>
        <v/>
      </c>
    </row>
    <row r="318">
      <c r="A318">
        <f>'1 datos preparados'!A311</f>
        <v/>
      </c>
      <c r="B318" s="5">
        <f>'1 datos preparados'!U311</f>
        <v/>
      </c>
      <c r="C318">
        <f>'1 datos preparados'!B311</f>
        <v/>
      </c>
      <c r="D318" s="7">
        <f>'1 datos preparados'!C311</f>
        <v/>
      </c>
      <c r="E318" s="7">
        <f>'1 datos preparados'!D311</f>
        <v/>
      </c>
      <c r="F318" s="7">
        <f>'1 datos preparados'!E311</f>
        <v/>
      </c>
      <c r="G318" s="7">
        <f>'1 datos preparados'!F311</f>
        <v/>
      </c>
      <c r="H318" s="7">
        <f>'1 datos preparados'!G311</f>
        <v/>
      </c>
      <c r="I318" s="7">
        <f>'1 datos preparados'!H311</f>
        <v/>
      </c>
      <c r="J318" s="7">
        <f>'1 datos preparados'!I311</f>
        <v/>
      </c>
      <c r="K318" s="7">
        <f>'1 datos preparados'!J311</f>
        <v/>
      </c>
      <c r="L318" s="7">
        <f>'1 datos preparados'!K311</f>
        <v/>
      </c>
      <c r="M318" s="7">
        <f>'1 datos preparados'!L311</f>
        <v/>
      </c>
      <c r="N318" s="7">
        <f>'1 datos preparados'!M311</f>
        <v/>
      </c>
      <c r="O318" s="7">
        <f>'1 datos preparados'!N311</f>
        <v/>
      </c>
      <c r="P318" s="7">
        <f>'1 datos preparados'!O311</f>
        <v/>
      </c>
      <c r="Q318" s="7">
        <f>'1 datos preparados'!P311</f>
        <v/>
      </c>
      <c r="R318" s="7">
        <f>'1 datos preparados'!Q311</f>
        <v/>
      </c>
      <c r="S318" s="7">
        <f>'1 datos preparados'!R311</f>
        <v/>
      </c>
      <c r="T318" s="7">
        <f>'1 datos preparados'!S311</f>
        <v/>
      </c>
      <c r="U318" s="7">
        <f>'1 datos preparados'!T311</f>
        <v/>
      </c>
      <c r="V318" s="8">
        <f>$AE$12+D318*$AE$13+E318*$AE$14+F318*$AE$15+G318*$AE$16+H318*$AE$17+I318*$AE$18+J318*$AE$19+K318*$AE$20+L318*$AE$21+M318*$AE$22+N318*$AE$23+O318*$AE$24+P318*$AE$25+Q318*$AE$26+R318*$AE$27+S318*$AE$28+T318*$AE$29+U318*$AE$30</f>
        <v/>
      </c>
      <c r="W318" s="8">
        <f>1/(1+EXP(-V318))</f>
        <v/>
      </c>
      <c r="X318" s="9">
        <f>-IF(C318=1,LN(W318),LN(1-W318))</f>
        <v/>
      </c>
      <c r="Y318" s="8">
        <f>IF(C318=1,$AE$32,$AE$33)</f>
        <v/>
      </c>
      <c r="Z318" s="9">
        <f>Y318*X318</f>
        <v/>
      </c>
      <c r="AA318" s="10">
        <f>IF(W318&gt;$AE$34,1,0)</f>
        <v/>
      </c>
      <c r="AB318">
        <f>IF(AA318=C318,1,0)</f>
        <v/>
      </c>
    </row>
    <row r="319">
      <c r="A319">
        <f>'1 datos preparados'!A312</f>
        <v/>
      </c>
      <c r="B319" s="5">
        <f>'1 datos preparados'!U312</f>
        <v/>
      </c>
      <c r="C319">
        <f>'1 datos preparados'!B312</f>
        <v/>
      </c>
      <c r="D319" s="7">
        <f>'1 datos preparados'!C312</f>
        <v/>
      </c>
      <c r="E319" s="7">
        <f>'1 datos preparados'!D312</f>
        <v/>
      </c>
      <c r="F319" s="7">
        <f>'1 datos preparados'!E312</f>
        <v/>
      </c>
      <c r="G319" s="7">
        <f>'1 datos preparados'!F312</f>
        <v/>
      </c>
      <c r="H319" s="7">
        <f>'1 datos preparados'!G312</f>
        <v/>
      </c>
      <c r="I319" s="7">
        <f>'1 datos preparados'!H312</f>
        <v/>
      </c>
      <c r="J319" s="7">
        <f>'1 datos preparados'!I312</f>
        <v/>
      </c>
      <c r="K319" s="7">
        <f>'1 datos preparados'!J312</f>
        <v/>
      </c>
      <c r="L319" s="7">
        <f>'1 datos preparados'!K312</f>
        <v/>
      </c>
      <c r="M319" s="7">
        <f>'1 datos preparados'!L312</f>
        <v/>
      </c>
      <c r="N319" s="7">
        <f>'1 datos preparados'!M312</f>
        <v/>
      </c>
      <c r="O319" s="7">
        <f>'1 datos preparados'!N312</f>
        <v/>
      </c>
      <c r="P319" s="7">
        <f>'1 datos preparados'!O312</f>
        <v/>
      </c>
      <c r="Q319" s="7">
        <f>'1 datos preparados'!P312</f>
        <v/>
      </c>
      <c r="R319" s="7">
        <f>'1 datos preparados'!Q312</f>
        <v/>
      </c>
      <c r="S319" s="7">
        <f>'1 datos preparados'!R312</f>
        <v/>
      </c>
      <c r="T319" s="7">
        <f>'1 datos preparados'!S312</f>
        <v/>
      </c>
      <c r="U319" s="7">
        <f>'1 datos preparados'!T312</f>
        <v/>
      </c>
      <c r="V319" s="8">
        <f>$AE$12+D319*$AE$13+E319*$AE$14+F319*$AE$15+G319*$AE$16+H319*$AE$17+I319*$AE$18+J319*$AE$19+K319*$AE$20+L319*$AE$21+M319*$AE$22+N319*$AE$23+O319*$AE$24+P319*$AE$25+Q319*$AE$26+R319*$AE$27+S319*$AE$28+T319*$AE$29+U319*$AE$30</f>
        <v/>
      </c>
      <c r="W319" s="8">
        <f>1/(1+EXP(-V319))</f>
        <v/>
      </c>
      <c r="X319" s="9">
        <f>-IF(C319=1,LN(W319),LN(1-W319))</f>
        <v/>
      </c>
      <c r="Y319" s="8">
        <f>IF(C319=1,$AE$32,$AE$33)</f>
        <v/>
      </c>
      <c r="Z319" s="9">
        <f>Y319*X319</f>
        <v/>
      </c>
      <c r="AA319" s="10">
        <f>IF(W319&gt;$AE$34,1,0)</f>
        <v/>
      </c>
      <c r="AB319">
        <f>IF(AA319=C319,1,0)</f>
        <v/>
      </c>
    </row>
    <row r="320">
      <c r="A320">
        <f>'1 datos preparados'!A313</f>
        <v/>
      </c>
      <c r="B320" s="5">
        <f>'1 datos preparados'!U313</f>
        <v/>
      </c>
      <c r="C320">
        <f>'1 datos preparados'!B313</f>
        <v/>
      </c>
      <c r="D320" s="7">
        <f>'1 datos preparados'!C313</f>
        <v/>
      </c>
      <c r="E320" s="7">
        <f>'1 datos preparados'!D313</f>
        <v/>
      </c>
      <c r="F320" s="7">
        <f>'1 datos preparados'!E313</f>
        <v/>
      </c>
      <c r="G320" s="7">
        <f>'1 datos preparados'!F313</f>
        <v/>
      </c>
      <c r="H320" s="7">
        <f>'1 datos preparados'!G313</f>
        <v/>
      </c>
      <c r="I320" s="7">
        <f>'1 datos preparados'!H313</f>
        <v/>
      </c>
      <c r="J320" s="7">
        <f>'1 datos preparados'!I313</f>
        <v/>
      </c>
      <c r="K320" s="7">
        <f>'1 datos preparados'!J313</f>
        <v/>
      </c>
      <c r="L320" s="7">
        <f>'1 datos preparados'!K313</f>
        <v/>
      </c>
      <c r="M320" s="7">
        <f>'1 datos preparados'!L313</f>
        <v/>
      </c>
      <c r="N320" s="7">
        <f>'1 datos preparados'!M313</f>
        <v/>
      </c>
      <c r="O320" s="7">
        <f>'1 datos preparados'!N313</f>
        <v/>
      </c>
      <c r="P320" s="7">
        <f>'1 datos preparados'!O313</f>
        <v/>
      </c>
      <c r="Q320" s="7">
        <f>'1 datos preparados'!P313</f>
        <v/>
      </c>
      <c r="R320" s="7">
        <f>'1 datos preparados'!Q313</f>
        <v/>
      </c>
      <c r="S320" s="7">
        <f>'1 datos preparados'!R313</f>
        <v/>
      </c>
      <c r="T320" s="7">
        <f>'1 datos preparados'!S313</f>
        <v/>
      </c>
      <c r="U320" s="7">
        <f>'1 datos preparados'!T313</f>
        <v/>
      </c>
      <c r="V320" s="8">
        <f>$AE$12+D320*$AE$13+E320*$AE$14+F320*$AE$15+G320*$AE$16+H320*$AE$17+I320*$AE$18+J320*$AE$19+K320*$AE$20+L320*$AE$21+M320*$AE$22+N320*$AE$23+O320*$AE$24+P320*$AE$25+Q320*$AE$26+R320*$AE$27+S320*$AE$28+T320*$AE$29+U320*$AE$30</f>
        <v/>
      </c>
      <c r="W320" s="8">
        <f>1/(1+EXP(-V320))</f>
        <v/>
      </c>
      <c r="X320" s="9">
        <f>-IF(C320=1,LN(W320),LN(1-W320))</f>
        <v/>
      </c>
      <c r="Y320" s="8">
        <f>IF(C320=1,$AE$32,$AE$33)</f>
        <v/>
      </c>
      <c r="Z320" s="9">
        <f>Y320*X320</f>
        <v/>
      </c>
      <c r="AA320" s="10">
        <f>IF(W320&gt;$AE$34,1,0)</f>
        <v/>
      </c>
      <c r="AB320">
        <f>IF(AA320=C320,1,0)</f>
        <v/>
      </c>
    </row>
    <row r="321">
      <c r="A321">
        <f>'1 datos preparados'!A314</f>
        <v/>
      </c>
      <c r="B321" s="5">
        <f>'1 datos preparados'!U314</f>
        <v/>
      </c>
      <c r="C321">
        <f>'1 datos preparados'!B314</f>
        <v/>
      </c>
      <c r="D321" s="7">
        <f>'1 datos preparados'!C314</f>
        <v/>
      </c>
      <c r="E321" s="7">
        <f>'1 datos preparados'!D314</f>
        <v/>
      </c>
      <c r="F321" s="7">
        <f>'1 datos preparados'!E314</f>
        <v/>
      </c>
      <c r="G321" s="7">
        <f>'1 datos preparados'!F314</f>
        <v/>
      </c>
      <c r="H321" s="7">
        <f>'1 datos preparados'!G314</f>
        <v/>
      </c>
      <c r="I321" s="7">
        <f>'1 datos preparados'!H314</f>
        <v/>
      </c>
      <c r="J321" s="7">
        <f>'1 datos preparados'!I314</f>
        <v/>
      </c>
      <c r="K321" s="7">
        <f>'1 datos preparados'!J314</f>
        <v/>
      </c>
      <c r="L321" s="7">
        <f>'1 datos preparados'!K314</f>
        <v/>
      </c>
      <c r="M321" s="7">
        <f>'1 datos preparados'!L314</f>
        <v/>
      </c>
      <c r="N321" s="7">
        <f>'1 datos preparados'!M314</f>
        <v/>
      </c>
      <c r="O321" s="7">
        <f>'1 datos preparados'!N314</f>
        <v/>
      </c>
      <c r="P321" s="7">
        <f>'1 datos preparados'!O314</f>
        <v/>
      </c>
      <c r="Q321" s="7">
        <f>'1 datos preparados'!P314</f>
        <v/>
      </c>
      <c r="R321" s="7">
        <f>'1 datos preparados'!Q314</f>
        <v/>
      </c>
      <c r="S321" s="7">
        <f>'1 datos preparados'!R314</f>
        <v/>
      </c>
      <c r="T321" s="7">
        <f>'1 datos preparados'!S314</f>
        <v/>
      </c>
      <c r="U321" s="7">
        <f>'1 datos preparados'!T314</f>
        <v/>
      </c>
      <c r="V321" s="8">
        <f>$AE$12+D321*$AE$13+E321*$AE$14+F321*$AE$15+G321*$AE$16+H321*$AE$17+I321*$AE$18+J321*$AE$19+K321*$AE$20+L321*$AE$21+M321*$AE$22+N321*$AE$23+O321*$AE$24+P321*$AE$25+Q321*$AE$26+R321*$AE$27+S321*$AE$28+T321*$AE$29+U321*$AE$30</f>
        <v/>
      </c>
      <c r="W321" s="8">
        <f>1/(1+EXP(-V321))</f>
        <v/>
      </c>
      <c r="X321" s="9">
        <f>-IF(C321=1,LN(W321),LN(1-W321))</f>
        <v/>
      </c>
      <c r="Y321" s="8">
        <f>IF(C321=1,$AE$32,$AE$33)</f>
        <v/>
      </c>
      <c r="Z321" s="9">
        <f>Y321*X321</f>
        <v/>
      </c>
      <c r="AA321" s="10">
        <f>IF(W321&gt;$AE$34,1,0)</f>
        <v/>
      </c>
      <c r="AB321">
        <f>IF(AA321=C321,1,0)</f>
        <v/>
      </c>
    </row>
    <row r="322">
      <c r="A322">
        <f>'1 datos preparados'!A315</f>
        <v/>
      </c>
      <c r="B322" s="5">
        <f>'1 datos preparados'!U315</f>
        <v/>
      </c>
      <c r="C322">
        <f>'1 datos preparados'!B315</f>
        <v/>
      </c>
      <c r="D322" s="7">
        <f>'1 datos preparados'!C315</f>
        <v/>
      </c>
      <c r="E322" s="7">
        <f>'1 datos preparados'!D315</f>
        <v/>
      </c>
      <c r="F322" s="7">
        <f>'1 datos preparados'!E315</f>
        <v/>
      </c>
      <c r="G322" s="7">
        <f>'1 datos preparados'!F315</f>
        <v/>
      </c>
      <c r="H322" s="7">
        <f>'1 datos preparados'!G315</f>
        <v/>
      </c>
      <c r="I322" s="7">
        <f>'1 datos preparados'!H315</f>
        <v/>
      </c>
      <c r="J322" s="7">
        <f>'1 datos preparados'!I315</f>
        <v/>
      </c>
      <c r="K322" s="7">
        <f>'1 datos preparados'!J315</f>
        <v/>
      </c>
      <c r="L322" s="7">
        <f>'1 datos preparados'!K315</f>
        <v/>
      </c>
      <c r="M322" s="7">
        <f>'1 datos preparados'!L315</f>
        <v/>
      </c>
      <c r="N322" s="7">
        <f>'1 datos preparados'!M315</f>
        <v/>
      </c>
      <c r="O322" s="7">
        <f>'1 datos preparados'!N315</f>
        <v/>
      </c>
      <c r="P322" s="7">
        <f>'1 datos preparados'!O315</f>
        <v/>
      </c>
      <c r="Q322" s="7">
        <f>'1 datos preparados'!P315</f>
        <v/>
      </c>
      <c r="R322" s="7">
        <f>'1 datos preparados'!Q315</f>
        <v/>
      </c>
      <c r="S322" s="7">
        <f>'1 datos preparados'!R315</f>
        <v/>
      </c>
      <c r="T322" s="7">
        <f>'1 datos preparados'!S315</f>
        <v/>
      </c>
      <c r="U322" s="7">
        <f>'1 datos preparados'!T315</f>
        <v/>
      </c>
      <c r="V322" s="8">
        <f>$AE$12+D322*$AE$13+E322*$AE$14+F322*$AE$15+G322*$AE$16+H322*$AE$17+I322*$AE$18+J322*$AE$19+K322*$AE$20+L322*$AE$21+M322*$AE$22+N322*$AE$23+O322*$AE$24+P322*$AE$25+Q322*$AE$26+R322*$AE$27+S322*$AE$28+T322*$AE$29+U322*$AE$30</f>
        <v/>
      </c>
      <c r="W322" s="8">
        <f>1/(1+EXP(-V322))</f>
        <v/>
      </c>
      <c r="X322" s="9">
        <f>-IF(C322=1,LN(W322),LN(1-W322))</f>
        <v/>
      </c>
      <c r="Y322" s="8">
        <f>IF(C322=1,$AE$32,$AE$33)</f>
        <v/>
      </c>
      <c r="Z322" s="9">
        <f>Y322*X322</f>
        <v/>
      </c>
      <c r="AA322" s="10">
        <f>IF(W322&gt;$AE$34,1,0)</f>
        <v/>
      </c>
      <c r="AB322">
        <f>IF(AA322=C322,1,0)</f>
        <v/>
      </c>
    </row>
    <row r="323">
      <c r="A323">
        <f>'1 datos preparados'!A316</f>
        <v/>
      </c>
      <c r="B323" s="5">
        <f>'1 datos preparados'!U316</f>
        <v/>
      </c>
      <c r="C323">
        <f>'1 datos preparados'!B316</f>
        <v/>
      </c>
      <c r="D323" s="7">
        <f>'1 datos preparados'!C316</f>
        <v/>
      </c>
      <c r="E323" s="7">
        <f>'1 datos preparados'!D316</f>
        <v/>
      </c>
      <c r="F323" s="7">
        <f>'1 datos preparados'!E316</f>
        <v/>
      </c>
      <c r="G323" s="7">
        <f>'1 datos preparados'!F316</f>
        <v/>
      </c>
      <c r="H323" s="7">
        <f>'1 datos preparados'!G316</f>
        <v/>
      </c>
      <c r="I323" s="7">
        <f>'1 datos preparados'!H316</f>
        <v/>
      </c>
      <c r="J323" s="7">
        <f>'1 datos preparados'!I316</f>
        <v/>
      </c>
      <c r="K323" s="7">
        <f>'1 datos preparados'!J316</f>
        <v/>
      </c>
      <c r="L323" s="7">
        <f>'1 datos preparados'!K316</f>
        <v/>
      </c>
      <c r="M323" s="7">
        <f>'1 datos preparados'!L316</f>
        <v/>
      </c>
      <c r="N323" s="7">
        <f>'1 datos preparados'!M316</f>
        <v/>
      </c>
      <c r="O323" s="7">
        <f>'1 datos preparados'!N316</f>
        <v/>
      </c>
      <c r="P323" s="7">
        <f>'1 datos preparados'!O316</f>
        <v/>
      </c>
      <c r="Q323" s="7">
        <f>'1 datos preparados'!P316</f>
        <v/>
      </c>
      <c r="R323" s="7">
        <f>'1 datos preparados'!Q316</f>
        <v/>
      </c>
      <c r="S323" s="7">
        <f>'1 datos preparados'!R316</f>
        <v/>
      </c>
      <c r="T323" s="7">
        <f>'1 datos preparados'!S316</f>
        <v/>
      </c>
      <c r="U323" s="7">
        <f>'1 datos preparados'!T316</f>
        <v/>
      </c>
      <c r="V323" s="8">
        <f>$AE$12+D323*$AE$13+E323*$AE$14+F323*$AE$15+G323*$AE$16+H323*$AE$17+I323*$AE$18+J323*$AE$19+K323*$AE$20+L323*$AE$21+M323*$AE$22+N323*$AE$23+O323*$AE$24+P323*$AE$25+Q323*$AE$26+R323*$AE$27+S323*$AE$28+T323*$AE$29+U323*$AE$30</f>
        <v/>
      </c>
      <c r="W323" s="8">
        <f>1/(1+EXP(-V323))</f>
        <v/>
      </c>
      <c r="X323" s="9">
        <f>-IF(C323=1,LN(W323),LN(1-W323))</f>
        <v/>
      </c>
      <c r="Y323" s="8">
        <f>IF(C323=1,$AE$32,$AE$33)</f>
        <v/>
      </c>
      <c r="Z323" s="9">
        <f>Y323*X323</f>
        <v/>
      </c>
      <c r="AA323" s="10">
        <f>IF(W323&gt;$AE$34,1,0)</f>
        <v/>
      </c>
      <c r="AB323">
        <f>IF(AA323=C323,1,0)</f>
        <v/>
      </c>
    </row>
    <row r="324">
      <c r="A324">
        <f>'1 datos preparados'!A317</f>
        <v/>
      </c>
      <c r="B324" s="5">
        <f>'1 datos preparados'!U317</f>
        <v/>
      </c>
      <c r="C324">
        <f>'1 datos preparados'!B317</f>
        <v/>
      </c>
      <c r="D324" s="7">
        <f>'1 datos preparados'!C317</f>
        <v/>
      </c>
      <c r="E324" s="7">
        <f>'1 datos preparados'!D317</f>
        <v/>
      </c>
      <c r="F324" s="7">
        <f>'1 datos preparados'!E317</f>
        <v/>
      </c>
      <c r="G324" s="7">
        <f>'1 datos preparados'!F317</f>
        <v/>
      </c>
      <c r="H324" s="7">
        <f>'1 datos preparados'!G317</f>
        <v/>
      </c>
      <c r="I324" s="7">
        <f>'1 datos preparados'!H317</f>
        <v/>
      </c>
      <c r="J324" s="7">
        <f>'1 datos preparados'!I317</f>
        <v/>
      </c>
      <c r="K324" s="7">
        <f>'1 datos preparados'!J317</f>
        <v/>
      </c>
      <c r="L324" s="7">
        <f>'1 datos preparados'!K317</f>
        <v/>
      </c>
      <c r="M324" s="7">
        <f>'1 datos preparados'!L317</f>
        <v/>
      </c>
      <c r="N324" s="7">
        <f>'1 datos preparados'!M317</f>
        <v/>
      </c>
      <c r="O324" s="7">
        <f>'1 datos preparados'!N317</f>
        <v/>
      </c>
      <c r="P324" s="7">
        <f>'1 datos preparados'!O317</f>
        <v/>
      </c>
      <c r="Q324" s="7">
        <f>'1 datos preparados'!P317</f>
        <v/>
      </c>
      <c r="R324" s="7">
        <f>'1 datos preparados'!Q317</f>
        <v/>
      </c>
      <c r="S324" s="7">
        <f>'1 datos preparados'!R317</f>
        <v/>
      </c>
      <c r="T324" s="7">
        <f>'1 datos preparados'!S317</f>
        <v/>
      </c>
      <c r="U324" s="7">
        <f>'1 datos preparados'!T317</f>
        <v/>
      </c>
      <c r="V324" s="8">
        <f>$AE$12+D324*$AE$13+E324*$AE$14+F324*$AE$15+G324*$AE$16+H324*$AE$17+I324*$AE$18+J324*$AE$19+K324*$AE$20+L324*$AE$21+M324*$AE$22+N324*$AE$23+O324*$AE$24+P324*$AE$25+Q324*$AE$26+R324*$AE$27+S324*$AE$28+T324*$AE$29+U324*$AE$30</f>
        <v/>
      </c>
      <c r="W324" s="8">
        <f>1/(1+EXP(-V324))</f>
        <v/>
      </c>
      <c r="X324" s="9">
        <f>-IF(C324=1,LN(W324),LN(1-W324))</f>
        <v/>
      </c>
      <c r="Y324" s="8">
        <f>IF(C324=1,$AE$32,$AE$33)</f>
        <v/>
      </c>
      <c r="Z324" s="9">
        <f>Y324*X324</f>
        <v/>
      </c>
      <c r="AA324" s="10">
        <f>IF(W324&gt;$AE$34,1,0)</f>
        <v/>
      </c>
      <c r="AB324">
        <f>IF(AA324=C324,1,0)</f>
        <v/>
      </c>
    </row>
    <row r="325">
      <c r="A325">
        <f>'1 datos preparados'!A318</f>
        <v/>
      </c>
      <c r="B325" s="5">
        <f>'1 datos preparados'!U318</f>
        <v/>
      </c>
      <c r="C325">
        <f>'1 datos preparados'!B318</f>
        <v/>
      </c>
      <c r="D325" s="7">
        <f>'1 datos preparados'!C318</f>
        <v/>
      </c>
      <c r="E325" s="7">
        <f>'1 datos preparados'!D318</f>
        <v/>
      </c>
      <c r="F325" s="7">
        <f>'1 datos preparados'!E318</f>
        <v/>
      </c>
      <c r="G325" s="7">
        <f>'1 datos preparados'!F318</f>
        <v/>
      </c>
      <c r="H325" s="7">
        <f>'1 datos preparados'!G318</f>
        <v/>
      </c>
      <c r="I325" s="7">
        <f>'1 datos preparados'!H318</f>
        <v/>
      </c>
      <c r="J325" s="7">
        <f>'1 datos preparados'!I318</f>
        <v/>
      </c>
      <c r="K325" s="7">
        <f>'1 datos preparados'!J318</f>
        <v/>
      </c>
      <c r="L325" s="7">
        <f>'1 datos preparados'!K318</f>
        <v/>
      </c>
      <c r="M325" s="7">
        <f>'1 datos preparados'!L318</f>
        <v/>
      </c>
      <c r="N325" s="7">
        <f>'1 datos preparados'!M318</f>
        <v/>
      </c>
      <c r="O325" s="7">
        <f>'1 datos preparados'!N318</f>
        <v/>
      </c>
      <c r="P325" s="7">
        <f>'1 datos preparados'!O318</f>
        <v/>
      </c>
      <c r="Q325" s="7">
        <f>'1 datos preparados'!P318</f>
        <v/>
      </c>
      <c r="R325" s="7">
        <f>'1 datos preparados'!Q318</f>
        <v/>
      </c>
      <c r="S325" s="7">
        <f>'1 datos preparados'!R318</f>
        <v/>
      </c>
      <c r="T325" s="7">
        <f>'1 datos preparados'!S318</f>
        <v/>
      </c>
      <c r="U325" s="7">
        <f>'1 datos preparados'!T318</f>
        <v/>
      </c>
      <c r="V325" s="8">
        <f>$AE$12+D325*$AE$13+E325*$AE$14+F325*$AE$15+G325*$AE$16+H325*$AE$17+I325*$AE$18+J325*$AE$19+K325*$AE$20+L325*$AE$21+M325*$AE$22+N325*$AE$23+O325*$AE$24+P325*$AE$25+Q325*$AE$26+R325*$AE$27+S325*$AE$28+T325*$AE$29+U325*$AE$30</f>
        <v/>
      </c>
      <c r="W325" s="8">
        <f>1/(1+EXP(-V325))</f>
        <v/>
      </c>
      <c r="X325" s="9">
        <f>-IF(C325=1,LN(W325),LN(1-W325))</f>
        <v/>
      </c>
      <c r="Y325" s="8">
        <f>IF(C325=1,$AE$32,$AE$33)</f>
        <v/>
      </c>
      <c r="Z325" s="9">
        <f>Y325*X325</f>
        <v/>
      </c>
      <c r="AA325" s="10">
        <f>IF(W325&gt;$AE$34,1,0)</f>
        <v/>
      </c>
      <c r="AB325">
        <f>IF(AA325=C325,1,0)</f>
        <v/>
      </c>
    </row>
    <row r="326">
      <c r="A326">
        <f>'1 datos preparados'!A319</f>
        <v/>
      </c>
      <c r="B326" s="5">
        <f>'1 datos preparados'!U319</f>
        <v/>
      </c>
      <c r="C326">
        <f>'1 datos preparados'!B319</f>
        <v/>
      </c>
      <c r="D326" s="7">
        <f>'1 datos preparados'!C319</f>
        <v/>
      </c>
      <c r="E326" s="7">
        <f>'1 datos preparados'!D319</f>
        <v/>
      </c>
      <c r="F326" s="7">
        <f>'1 datos preparados'!E319</f>
        <v/>
      </c>
      <c r="G326" s="7">
        <f>'1 datos preparados'!F319</f>
        <v/>
      </c>
      <c r="H326" s="7">
        <f>'1 datos preparados'!G319</f>
        <v/>
      </c>
      <c r="I326" s="7">
        <f>'1 datos preparados'!H319</f>
        <v/>
      </c>
      <c r="J326" s="7">
        <f>'1 datos preparados'!I319</f>
        <v/>
      </c>
      <c r="K326" s="7">
        <f>'1 datos preparados'!J319</f>
        <v/>
      </c>
      <c r="L326" s="7">
        <f>'1 datos preparados'!K319</f>
        <v/>
      </c>
      <c r="M326" s="7">
        <f>'1 datos preparados'!L319</f>
        <v/>
      </c>
      <c r="N326" s="7">
        <f>'1 datos preparados'!M319</f>
        <v/>
      </c>
      <c r="O326" s="7">
        <f>'1 datos preparados'!N319</f>
        <v/>
      </c>
      <c r="P326" s="7">
        <f>'1 datos preparados'!O319</f>
        <v/>
      </c>
      <c r="Q326" s="7">
        <f>'1 datos preparados'!P319</f>
        <v/>
      </c>
      <c r="R326" s="7">
        <f>'1 datos preparados'!Q319</f>
        <v/>
      </c>
      <c r="S326" s="7">
        <f>'1 datos preparados'!R319</f>
        <v/>
      </c>
      <c r="T326" s="7">
        <f>'1 datos preparados'!S319</f>
        <v/>
      </c>
      <c r="U326" s="7">
        <f>'1 datos preparados'!T319</f>
        <v/>
      </c>
      <c r="V326" s="8">
        <f>$AE$12+D326*$AE$13+E326*$AE$14+F326*$AE$15+G326*$AE$16+H326*$AE$17+I326*$AE$18+J326*$AE$19+K326*$AE$20+L326*$AE$21+M326*$AE$22+N326*$AE$23+O326*$AE$24+P326*$AE$25+Q326*$AE$26+R326*$AE$27+S326*$AE$28+T326*$AE$29+U326*$AE$30</f>
        <v/>
      </c>
      <c r="W326" s="8">
        <f>1/(1+EXP(-V326))</f>
        <v/>
      </c>
      <c r="X326" s="9">
        <f>-IF(C326=1,LN(W326),LN(1-W326))</f>
        <v/>
      </c>
      <c r="Y326" s="8">
        <f>IF(C326=1,$AE$32,$AE$33)</f>
        <v/>
      </c>
      <c r="Z326" s="9">
        <f>Y326*X326</f>
        <v/>
      </c>
      <c r="AA326" s="10">
        <f>IF(W326&gt;$AE$34,1,0)</f>
        <v/>
      </c>
      <c r="AB326">
        <f>IF(AA326=C326,1,0)</f>
        <v/>
      </c>
    </row>
    <row r="327">
      <c r="A327">
        <f>'1 datos preparados'!A320</f>
        <v/>
      </c>
      <c r="B327" s="5">
        <f>'1 datos preparados'!U320</f>
        <v/>
      </c>
      <c r="C327">
        <f>'1 datos preparados'!B320</f>
        <v/>
      </c>
      <c r="D327" s="7">
        <f>'1 datos preparados'!C320</f>
        <v/>
      </c>
      <c r="E327" s="7">
        <f>'1 datos preparados'!D320</f>
        <v/>
      </c>
      <c r="F327" s="7">
        <f>'1 datos preparados'!E320</f>
        <v/>
      </c>
      <c r="G327" s="7">
        <f>'1 datos preparados'!F320</f>
        <v/>
      </c>
      <c r="H327" s="7">
        <f>'1 datos preparados'!G320</f>
        <v/>
      </c>
      <c r="I327" s="7">
        <f>'1 datos preparados'!H320</f>
        <v/>
      </c>
      <c r="J327" s="7">
        <f>'1 datos preparados'!I320</f>
        <v/>
      </c>
      <c r="K327" s="7">
        <f>'1 datos preparados'!J320</f>
        <v/>
      </c>
      <c r="L327" s="7">
        <f>'1 datos preparados'!K320</f>
        <v/>
      </c>
      <c r="M327" s="7">
        <f>'1 datos preparados'!L320</f>
        <v/>
      </c>
      <c r="N327" s="7">
        <f>'1 datos preparados'!M320</f>
        <v/>
      </c>
      <c r="O327" s="7">
        <f>'1 datos preparados'!N320</f>
        <v/>
      </c>
      <c r="P327" s="7">
        <f>'1 datos preparados'!O320</f>
        <v/>
      </c>
      <c r="Q327" s="7">
        <f>'1 datos preparados'!P320</f>
        <v/>
      </c>
      <c r="R327" s="7">
        <f>'1 datos preparados'!Q320</f>
        <v/>
      </c>
      <c r="S327" s="7">
        <f>'1 datos preparados'!R320</f>
        <v/>
      </c>
      <c r="T327" s="7">
        <f>'1 datos preparados'!S320</f>
        <v/>
      </c>
      <c r="U327" s="7">
        <f>'1 datos preparados'!T320</f>
        <v/>
      </c>
      <c r="V327" s="8">
        <f>$AE$12+D327*$AE$13+E327*$AE$14+F327*$AE$15+G327*$AE$16+H327*$AE$17+I327*$AE$18+J327*$AE$19+K327*$AE$20+L327*$AE$21+M327*$AE$22+N327*$AE$23+O327*$AE$24+P327*$AE$25+Q327*$AE$26+R327*$AE$27+S327*$AE$28+T327*$AE$29+U327*$AE$30</f>
        <v/>
      </c>
      <c r="W327" s="8">
        <f>1/(1+EXP(-V327))</f>
        <v/>
      </c>
      <c r="X327" s="9">
        <f>-IF(C327=1,LN(W327),LN(1-W327))</f>
        <v/>
      </c>
      <c r="Y327" s="8">
        <f>IF(C327=1,$AE$32,$AE$33)</f>
        <v/>
      </c>
      <c r="Z327" s="9">
        <f>Y327*X327</f>
        <v/>
      </c>
      <c r="AA327" s="10">
        <f>IF(W327&gt;$AE$34,1,0)</f>
        <v/>
      </c>
      <c r="AB327">
        <f>IF(AA327=C327,1,0)</f>
        <v/>
      </c>
    </row>
    <row r="328">
      <c r="A328">
        <f>'1 datos preparados'!A321</f>
        <v/>
      </c>
      <c r="B328" s="5">
        <f>'1 datos preparados'!U321</f>
        <v/>
      </c>
      <c r="C328">
        <f>'1 datos preparados'!B321</f>
        <v/>
      </c>
      <c r="D328" s="7">
        <f>'1 datos preparados'!C321</f>
        <v/>
      </c>
      <c r="E328" s="7">
        <f>'1 datos preparados'!D321</f>
        <v/>
      </c>
      <c r="F328" s="7">
        <f>'1 datos preparados'!E321</f>
        <v/>
      </c>
      <c r="G328" s="7">
        <f>'1 datos preparados'!F321</f>
        <v/>
      </c>
      <c r="H328" s="7">
        <f>'1 datos preparados'!G321</f>
        <v/>
      </c>
      <c r="I328" s="7">
        <f>'1 datos preparados'!H321</f>
        <v/>
      </c>
      <c r="J328" s="7">
        <f>'1 datos preparados'!I321</f>
        <v/>
      </c>
      <c r="K328" s="7">
        <f>'1 datos preparados'!J321</f>
        <v/>
      </c>
      <c r="L328" s="7">
        <f>'1 datos preparados'!K321</f>
        <v/>
      </c>
      <c r="M328" s="7">
        <f>'1 datos preparados'!L321</f>
        <v/>
      </c>
      <c r="N328" s="7">
        <f>'1 datos preparados'!M321</f>
        <v/>
      </c>
      <c r="O328" s="7">
        <f>'1 datos preparados'!N321</f>
        <v/>
      </c>
      <c r="P328" s="7">
        <f>'1 datos preparados'!O321</f>
        <v/>
      </c>
      <c r="Q328" s="7">
        <f>'1 datos preparados'!P321</f>
        <v/>
      </c>
      <c r="R328" s="7">
        <f>'1 datos preparados'!Q321</f>
        <v/>
      </c>
      <c r="S328" s="7">
        <f>'1 datos preparados'!R321</f>
        <v/>
      </c>
      <c r="T328" s="7">
        <f>'1 datos preparados'!S321</f>
        <v/>
      </c>
      <c r="U328" s="7">
        <f>'1 datos preparados'!T321</f>
        <v/>
      </c>
      <c r="V328" s="8">
        <f>$AE$12+D328*$AE$13+E328*$AE$14+F328*$AE$15+G328*$AE$16+H328*$AE$17+I328*$AE$18+J328*$AE$19+K328*$AE$20+L328*$AE$21+M328*$AE$22+N328*$AE$23+O328*$AE$24+P328*$AE$25+Q328*$AE$26+R328*$AE$27+S328*$AE$28+T328*$AE$29+U328*$AE$30</f>
        <v/>
      </c>
      <c r="W328" s="8">
        <f>1/(1+EXP(-V328))</f>
        <v/>
      </c>
      <c r="X328" s="9">
        <f>-IF(C328=1,LN(W328),LN(1-W328))</f>
        <v/>
      </c>
      <c r="Y328" s="8">
        <f>IF(C328=1,$AE$32,$AE$33)</f>
        <v/>
      </c>
      <c r="Z328" s="9">
        <f>Y328*X328</f>
        <v/>
      </c>
      <c r="AA328" s="10">
        <f>IF(W328&gt;$AE$34,1,0)</f>
        <v/>
      </c>
      <c r="AB328">
        <f>IF(AA328=C328,1,0)</f>
        <v/>
      </c>
    </row>
    <row r="329">
      <c r="A329">
        <f>'1 datos preparados'!A322</f>
        <v/>
      </c>
      <c r="B329" s="5">
        <f>'1 datos preparados'!U322</f>
        <v/>
      </c>
      <c r="C329">
        <f>'1 datos preparados'!B322</f>
        <v/>
      </c>
      <c r="D329" s="7">
        <f>'1 datos preparados'!C322</f>
        <v/>
      </c>
      <c r="E329" s="7">
        <f>'1 datos preparados'!D322</f>
        <v/>
      </c>
      <c r="F329" s="7">
        <f>'1 datos preparados'!E322</f>
        <v/>
      </c>
      <c r="G329" s="7">
        <f>'1 datos preparados'!F322</f>
        <v/>
      </c>
      <c r="H329" s="7">
        <f>'1 datos preparados'!G322</f>
        <v/>
      </c>
      <c r="I329" s="7">
        <f>'1 datos preparados'!H322</f>
        <v/>
      </c>
      <c r="J329" s="7">
        <f>'1 datos preparados'!I322</f>
        <v/>
      </c>
      <c r="K329" s="7">
        <f>'1 datos preparados'!J322</f>
        <v/>
      </c>
      <c r="L329" s="7">
        <f>'1 datos preparados'!K322</f>
        <v/>
      </c>
      <c r="M329" s="7">
        <f>'1 datos preparados'!L322</f>
        <v/>
      </c>
      <c r="N329" s="7">
        <f>'1 datos preparados'!M322</f>
        <v/>
      </c>
      <c r="O329" s="7">
        <f>'1 datos preparados'!N322</f>
        <v/>
      </c>
      <c r="P329" s="7">
        <f>'1 datos preparados'!O322</f>
        <v/>
      </c>
      <c r="Q329" s="7">
        <f>'1 datos preparados'!P322</f>
        <v/>
      </c>
      <c r="R329" s="7">
        <f>'1 datos preparados'!Q322</f>
        <v/>
      </c>
      <c r="S329" s="7">
        <f>'1 datos preparados'!R322</f>
        <v/>
      </c>
      <c r="T329" s="7">
        <f>'1 datos preparados'!S322</f>
        <v/>
      </c>
      <c r="U329" s="7">
        <f>'1 datos preparados'!T322</f>
        <v/>
      </c>
      <c r="V329" s="8">
        <f>$AE$12+D329*$AE$13+E329*$AE$14+F329*$AE$15+G329*$AE$16+H329*$AE$17+I329*$AE$18+J329*$AE$19+K329*$AE$20+L329*$AE$21+M329*$AE$22+N329*$AE$23+O329*$AE$24+P329*$AE$25+Q329*$AE$26+R329*$AE$27+S329*$AE$28+T329*$AE$29+U329*$AE$30</f>
        <v/>
      </c>
      <c r="W329" s="8">
        <f>1/(1+EXP(-V329))</f>
        <v/>
      </c>
      <c r="X329" s="9">
        <f>-IF(C329=1,LN(W329),LN(1-W329))</f>
        <v/>
      </c>
      <c r="Y329" s="8">
        <f>IF(C329=1,$AE$32,$AE$33)</f>
        <v/>
      </c>
      <c r="Z329" s="9">
        <f>Y329*X329</f>
        <v/>
      </c>
      <c r="AA329" s="10">
        <f>IF(W329&gt;$AE$34,1,0)</f>
        <v/>
      </c>
      <c r="AB329">
        <f>IF(AA329=C329,1,0)</f>
        <v/>
      </c>
    </row>
    <row r="330">
      <c r="A330">
        <f>'1 datos preparados'!A323</f>
        <v/>
      </c>
      <c r="B330" s="5">
        <f>'1 datos preparados'!U323</f>
        <v/>
      </c>
      <c r="C330">
        <f>'1 datos preparados'!B323</f>
        <v/>
      </c>
      <c r="D330" s="7">
        <f>'1 datos preparados'!C323</f>
        <v/>
      </c>
      <c r="E330" s="7">
        <f>'1 datos preparados'!D323</f>
        <v/>
      </c>
      <c r="F330" s="7">
        <f>'1 datos preparados'!E323</f>
        <v/>
      </c>
      <c r="G330" s="7">
        <f>'1 datos preparados'!F323</f>
        <v/>
      </c>
      <c r="H330" s="7">
        <f>'1 datos preparados'!G323</f>
        <v/>
      </c>
      <c r="I330" s="7">
        <f>'1 datos preparados'!H323</f>
        <v/>
      </c>
      <c r="J330" s="7">
        <f>'1 datos preparados'!I323</f>
        <v/>
      </c>
      <c r="K330" s="7">
        <f>'1 datos preparados'!J323</f>
        <v/>
      </c>
      <c r="L330" s="7">
        <f>'1 datos preparados'!K323</f>
        <v/>
      </c>
      <c r="M330" s="7">
        <f>'1 datos preparados'!L323</f>
        <v/>
      </c>
      <c r="N330" s="7">
        <f>'1 datos preparados'!M323</f>
        <v/>
      </c>
      <c r="O330" s="7">
        <f>'1 datos preparados'!N323</f>
        <v/>
      </c>
      <c r="P330" s="7">
        <f>'1 datos preparados'!O323</f>
        <v/>
      </c>
      <c r="Q330" s="7">
        <f>'1 datos preparados'!P323</f>
        <v/>
      </c>
      <c r="R330" s="7">
        <f>'1 datos preparados'!Q323</f>
        <v/>
      </c>
      <c r="S330" s="7">
        <f>'1 datos preparados'!R323</f>
        <v/>
      </c>
      <c r="T330" s="7">
        <f>'1 datos preparados'!S323</f>
        <v/>
      </c>
      <c r="U330" s="7">
        <f>'1 datos preparados'!T323</f>
        <v/>
      </c>
      <c r="V330" s="8">
        <f>$AE$12+D330*$AE$13+E330*$AE$14+F330*$AE$15+G330*$AE$16+H330*$AE$17+I330*$AE$18+J330*$AE$19+K330*$AE$20+L330*$AE$21+M330*$AE$22+N330*$AE$23+O330*$AE$24+P330*$AE$25+Q330*$AE$26+R330*$AE$27+S330*$AE$28+T330*$AE$29+U330*$AE$30</f>
        <v/>
      </c>
      <c r="W330" s="8">
        <f>1/(1+EXP(-V330))</f>
        <v/>
      </c>
      <c r="X330" s="9">
        <f>-IF(C330=1,LN(W330),LN(1-W330))</f>
        <v/>
      </c>
      <c r="Y330" s="8">
        <f>IF(C330=1,$AE$32,$AE$33)</f>
        <v/>
      </c>
      <c r="Z330" s="9">
        <f>Y330*X330</f>
        <v/>
      </c>
      <c r="AA330" s="10">
        <f>IF(W330&gt;$AE$34,1,0)</f>
        <v/>
      </c>
      <c r="AB330">
        <f>IF(AA330=C330,1,0)</f>
        <v/>
      </c>
    </row>
    <row r="331">
      <c r="A331">
        <f>'1 datos preparados'!A324</f>
        <v/>
      </c>
      <c r="B331" s="5">
        <f>'1 datos preparados'!U324</f>
        <v/>
      </c>
      <c r="C331">
        <f>'1 datos preparados'!B324</f>
        <v/>
      </c>
      <c r="D331" s="7">
        <f>'1 datos preparados'!C324</f>
        <v/>
      </c>
      <c r="E331" s="7">
        <f>'1 datos preparados'!D324</f>
        <v/>
      </c>
      <c r="F331" s="7">
        <f>'1 datos preparados'!E324</f>
        <v/>
      </c>
      <c r="G331" s="7">
        <f>'1 datos preparados'!F324</f>
        <v/>
      </c>
      <c r="H331" s="7">
        <f>'1 datos preparados'!G324</f>
        <v/>
      </c>
      <c r="I331" s="7">
        <f>'1 datos preparados'!H324</f>
        <v/>
      </c>
      <c r="J331" s="7">
        <f>'1 datos preparados'!I324</f>
        <v/>
      </c>
      <c r="K331" s="7">
        <f>'1 datos preparados'!J324</f>
        <v/>
      </c>
      <c r="L331" s="7">
        <f>'1 datos preparados'!K324</f>
        <v/>
      </c>
      <c r="M331" s="7">
        <f>'1 datos preparados'!L324</f>
        <v/>
      </c>
      <c r="N331" s="7">
        <f>'1 datos preparados'!M324</f>
        <v/>
      </c>
      <c r="O331" s="7">
        <f>'1 datos preparados'!N324</f>
        <v/>
      </c>
      <c r="P331" s="7">
        <f>'1 datos preparados'!O324</f>
        <v/>
      </c>
      <c r="Q331" s="7">
        <f>'1 datos preparados'!P324</f>
        <v/>
      </c>
      <c r="R331" s="7">
        <f>'1 datos preparados'!Q324</f>
        <v/>
      </c>
      <c r="S331" s="7">
        <f>'1 datos preparados'!R324</f>
        <v/>
      </c>
      <c r="T331" s="7">
        <f>'1 datos preparados'!S324</f>
        <v/>
      </c>
      <c r="U331" s="7">
        <f>'1 datos preparados'!T324</f>
        <v/>
      </c>
      <c r="V331" s="8">
        <f>$AE$12+D331*$AE$13+E331*$AE$14+F331*$AE$15+G331*$AE$16+H331*$AE$17+I331*$AE$18+J331*$AE$19+K331*$AE$20+L331*$AE$21+M331*$AE$22+N331*$AE$23+O331*$AE$24+P331*$AE$25+Q331*$AE$26+R331*$AE$27+S331*$AE$28+T331*$AE$29+U331*$AE$30</f>
        <v/>
      </c>
      <c r="W331" s="8">
        <f>1/(1+EXP(-V331))</f>
        <v/>
      </c>
      <c r="X331" s="9">
        <f>-IF(C331=1,LN(W331),LN(1-W331))</f>
        <v/>
      </c>
      <c r="Y331" s="8">
        <f>IF(C331=1,$AE$32,$AE$33)</f>
        <v/>
      </c>
      <c r="Z331" s="9">
        <f>Y331*X331</f>
        <v/>
      </c>
      <c r="AA331" s="10">
        <f>IF(W331&gt;$AE$34,1,0)</f>
        <v/>
      </c>
      <c r="AB331">
        <f>IF(AA331=C331,1,0)</f>
        <v/>
      </c>
    </row>
    <row r="332">
      <c r="A332">
        <f>'1 datos preparados'!A325</f>
        <v/>
      </c>
      <c r="B332" s="5">
        <f>'1 datos preparados'!U325</f>
        <v/>
      </c>
      <c r="C332">
        <f>'1 datos preparados'!B325</f>
        <v/>
      </c>
      <c r="D332" s="7">
        <f>'1 datos preparados'!C325</f>
        <v/>
      </c>
      <c r="E332" s="7">
        <f>'1 datos preparados'!D325</f>
        <v/>
      </c>
      <c r="F332" s="7">
        <f>'1 datos preparados'!E325</f>
        <v/>
      </c>
      <c r="G332" s="7">
        <f>'1 datos preparados'!F325</f>
        <v/>
      </c>
      <c r="H332" s="7">
        <f>'1 datos preparados'!G325</f>
        <v/>
      </c>
      <c r="I332" s="7">
        <f>'1 datos preparados'!H325</f>
        <v/>
      </c>
      <c r="J332" s="7">
        <f>'1 datos preparados'!I325</f>
        <v/>
      </c>
      <c r="K332" s="7">
        <f>'1 datos preparados'!J325</f>
        <v/>
      </c>
      <c r="L332" s="7">
        <f>'1 datos preparados'!K325</f>
        <v/>
      </c>
      <c r="M332" s="7">
        <f>'1 datos preparados'!L325</f>
        <v/>
      </c>
      <c r="N332" s="7">
        <f>'1 datos preparados'!M325</f>
        <v/>
      </c>
      <c r="O332" s="7">
        <f>'1 datos preparados'!N325</f>
        <v/>
      </c>
      <c r="P332" s="7">
        <f>'1 datos preparados'!O325</f>
        <v/>
      </c>
      <c r="Q332" s="7">
        <f>'1 datos preparados'!P325</f>
        <v/>
      </c>
      <c r="R332" s="7">
        <f>'1 datos preparados'!Q325</f>
        <v/>
      </c>
      <c r="S332" s="7">
        <f>'1 datos preparados'!R325</f>
        <v/>
      </c>
      <c r="T332" s="7">
        <f>'1 datos preparados'!S325</f>
        <v/>
      </c>
      <c r="U332" s="7">
        <f>'1 datos preparados'!T325</f>
        <v/>
      </c>
      <c r="V332" s="8">
        <f>$AE$12+D332*$AE$13+E332*$AE$14+F332*$AE$15+G332*$AE$16+H332*$AE$17+I332*$AE$18+J332*$AE$19+K332*$AE$20+L332*$AE$21+M332*$AE$22+N332*$AE$23+O332*$AE$24+P332*$AE$25+Q332*$AE$26+R332*$AE$27+S332*$AE$28+T332*$AE$29+U332*$AE$30</f>
        <v/>
      </c>
      <c r="W332" s="8">
        <f>1/(1+EXP(-V332))</f>
        <v/>
      </c>
      <c r="X332" s="9">
        <f>-IF(C332=1,LN(W332),LN(1-W332))</f>
        <v/>
      </c>
      <c r="Y332" s="8">
        <f>IF(C332=1,$AE$32,$AE$33)</f>
        <v/>
      </c>
      <c r="Z332" s="9">
        <f>Y332*X332</f>
        <v/>
      </c>
      <c r="AA332" s="10">
        <f>IF(W332&gt;$AE$34,1,0)</f>
        <v/>
      </c>
      <c r="AB332">
        <f>IF(AA332=C332,1,0)</f>
        <v/>
      </c>
    </row>
    <row r="333">
      <c r="A333">
        <f>'1 datos preparados'!A326</f>
        <v/>
      </c>
      <c r="B333" s="5">
        <f>'1 datos preparados'!U326</f>
        <v/>
      </c>
      <c r="C333">
        <f>'1 datos preparados'!B326</f>
        <v/>
      </c>
      <c r="D333" s="7">
        <f>'1 datos preparados'!C326</f>
        <v/>
      </c>
      <c r="E333" s="7">
        <f>'1 datos preparados'!D326</f>
        <v/>
      </c>
      <c r="F333" s="7">
        <f>'1 datos preparados'!E326</f>
        <v/>
      </c>
      <c r="G333" s="7">
        <f>'1 datos preparados'!F326</f>
        <v/>
      </c>
      <c r="H333" s="7">
        <f>'1 datos preparados'!G326</f>
        <v/>
      </c>
      <c r="I333" s="7">
        <f>'1 datos preparados'!H326</f>
        <v/>
      </c>
      <c r="J333" s="7">
        <f>'1 datos preparados'!I326</f>
        <v/>
      </c>
      <c r="K333" s="7">
        <f>'1 datos preparados'!J326</f>
        <v/>
      </c>
      <c r="L333" s="7">
        <f>'1 datos preparados'!K326</f>
        <v/>
      </c>
      <c r="M333" s="7">
        <f>'1 datos preparados'!L326</f>
        <v/>
      </c>
      <c r="N333" s="7">
        <f>'1 datos preparados'!M326</f>
        <v/>
      </c>
      <c r="O333" s="7">
        <f>'1 datos preparados'!N326</f>
        <v/>
      </c>
      <c r="P333" s="7">
        <f>'1 datos preparados'!O326</f>
        <v/>
      </c>
      <c r="Q333" s="7">
        <f>'1 datos preparados'!P326</f>
        <v/>
      </c>
      <c r="R333" s="7">
        <f>'1 datos preparados'!Q326</f>
        <v/>
      </c>
      <c r="S333" s="7">
        <f>'1 datos preparados'!R326</f>
        <v/>
      </c>
      <c r="T333" s="7">
        <f>'1 datos preparados'!S326</f>
        <v/>
      </c>
      <c r="U333" s="7">
        <f>'1 datos preparados'!T326</f>
        <v/>
      </c>
      <c r="V333" s="8">
        <f>$AE$12+D333*$AE$13+E333*$AE$14+F333*$AE$15+G333*$AE$16+H333*$AE$17+I333*$AE$18+J333*$AE$19+K333*$AE$20+L333*$AE$21+M333*$AE$22+N333*$AE$23+O333*$AE$24+P333*$AE$25+Q333*$AE$26+R333*$AE$27+S333*$AE$28+T333*$AE$29+U333*$AE$30</f>
        <v/>
      </c>
      <c r="W333" s="8">
        <f>1/(1+EXP(-V333))</f>
        <v/>
      </c>
      <c r="X333" s="9">
        <f>-IF(C333=1,LN(W333),LN(1-W333))</f>
        <v/>
      </c>
      <c r="Y333" s="8">
        <f>IF(C333=1,$AE$32,$AE$33)</f>
        <v/>
      </c>
      <c r="Z333" s="9">
        <f>Y333*X333</f>
        <v/>
      </c>
      <c r="AA333" s="10">
        <f>IF(W333&gt;$AE$34,1,0)</f>
        <v/>
      </c>
      <c r="AB333">
        <f>IF(AA333=C333,1,0)</f>
        <v/>
      </c>
    </row>
    <row r="334">
      <c r="A334">
        <f>'1 datos preparados'!A327</f>
        <v/>
      </c>
      <c r="B334" s="5">
        <f>'1 datos preparados'!U327</f>
        <v/>
      </c>
      <c r="C334">
        <f>'1 datos preparados'!B327</f>
        <v/>
      </c>
      <c r="D334" s="7">
        <f>'1 datos preparados'!C327</f>
        <v/>
      </c>
      <c r="E334" s="7">
        <f>'1 datos preparados'!D327</f>
        <v/>
      </c>
      <c r="F334" s="7">
        <f>'1 datos preparados'!E327</f>
        <v/>
      </c>
      <c r="G334" s="7">
        <f>'1 datos preparados'!F327</f>
        <v/>
      </c>
      <c r="H334" s="7">
        <f>'1 datos preparados'!G327</f>
        <v/>
      </c>
      <c r="I334" s="7">
        <f>'1 datos preparados'!H327</f>
        <v/>
      </c>
      <c r="J334" s="7">
        <f>'1 datos preparados'!I327</f>
        <v/>
      </c>
      <c r="K334" s="7">
        <f>'1 datos preparados'!J327</f>
        <v/>
      </c>
      <c r="L334" s="7">
        <f>'1 datos preparados'!K327</f>
        <v/>
      </c>
      <c r="M334" s="7">
        <f>'1 datos preparados'!L327</f>
        <v/>
      </c>
      <c r="N334" s="7">
        <f>'1 datos preparados'!M327</f>
        <v/>
      </c>
      <c r="O334" s="7">
        <f>'1 datos preparados'!N327</f>
        <v/>
      </c>
      <c r="P334" s="7">
        <f>'1 datos preparados'!O327</f>
        <v/>
      </c>
      <c r="Q334" s="7">
        <f>'1 datos preparados'!P327</f>
        <v/>
      </c>
      <c r="R334" s="7">
        <f>'1 datos preparados'!Q327</f>
        <v/>
      </c>
      <c r="S334" s="7">
        <f>'1 datos preparados'!R327</f>
        <v/>
      </c>
      <c r="T334" s="7">
        <f>'1 datos preparados'!S327</f>
        <v/>
      </c>
      <c r="U334" s="7">
        <f>'1 datos preparados'!T327</f>
        <v/>
      </c>
      <c r="V334" s="8">
        <f>$AE$12+D334*$AE$13+E334*$AE$14+F334*$AE$15+G334*$AE$16+H334*$AE$17+I334*$AE$18+J334*$AE$19+K334*$AE$20+L334*$AE$21+M334*$AE$22+N334*$AE$23+O334*$AE$24+P334*$AE$25+Q334*$AE$26+R334*$AE$27+S334*$AE$28+T334*$AE$29+U334*$AE$30</f>
        <v/>
      </c>
      <c r="W334" s="8">
        <f>1/(1+EXP(-V334))</f>
        <v/>
      </c>
      <c r="X334" s="9">
        <f>-IF(C334=1,LN(W334),LN(1-W334))</f>
        <v/>
      </c>
      <c r="Y334" s="8">
        <f>IF(C334=1,$AE$32,$AE$33)</f>
        <v/>
      </c>
      <c r="Z334" s="9">
        <f>Y334*X334</f>
        <v/>
      </c>
      <c r="AA334" s="10">
        <f>IF(W334&gt;$AE$34,1,0)</f>
        <v/>
      </c>
      <c r="AB334">
        <f>IF(AA334=C334,1,0)</f>
        <v/>
      </c>
    </row>
    <row r="335">
      <c r="A335">
        <f>'1 datos preparados'!A328</f>
        <v/>
      </c>
      <c r="B335" s="5">
        <f>'1 datos preparados'!U328</f>
        <v/>
      </c>
      <c r="C335">
        <f>'1 datos preparados'!B328</f>
        <v/>
      </c>
      <c r="D335" s="7">
        <f>'1 datos preparados'!C328</f>
        <v/>
      </c>
      <c r="E335" s="7">
        <f>'1 datos preparados'!D328</f>
        <v/>
      </c>
      <c r="F335" s="7">
        <f>'1 datos preparados'!E328</f>
        <v/>
      </c>
      <c r="G335" s="7">
        <f>'1 datos preparados'!F328</f>
        <v/>
      </c>
      <c r="H335" s="7">
        <f>'1 datos preparados'!G328</f>
        <v/>
      </c>
      <c r="I335" s="7">
        <f>'1 datos preparados'!H328</f>
        <v/>
      </c>
      <c r="J335" s="7">
        <f>'1 datos preparados'!I328</f>
        <v/>
      </c>
      <c r="K335" s="7">
        <f>'1 datos preparados'!J328</f>
        <v/>
      </c>
      <c r="L335" s="7">
        <f>'1 datos preparados'!K328</f>
        <v/>
      </c>
      <c r="M335" s="7">
        <f>'1 datos preparados'!L328</f>
        <v/>
      </c>
      <c r="N335" s="7">
        <f>'1 datos preparados'!M328</f>
        <v/>
      </c>
      <c r="O335" s="7">
        <f>'1 datos preparados'!N328</f>
        <v/>
      </c>
      <c r="P335" s="7">
        <f>'1 datos preparados'!O328</f>
        <v/>
      </c>
      <c r="Q335" s="7">
        <f>'1 datos preparados'!P328</f>
        <v/>
      </c>
      <c r="R335" s="7">
        <f>'1 datos preparados'!Q328</f>
        <v/>
      </c>
      <c r="S335" s="7">
        <f>'1 datos preparados'!R328</f>
        <v/>
      </c>
      <c r="T335" s="7">
        <f>'1 datos preparados'!S328</f>
        <v/>
      </c>
      <c r="U335" s="7">
        <f>'1 datos preparados'!T328</f>
        <v/>
      </c>
      <c r="V335" s="8">
        <f>$AE$12+D335*$AE$13+E335*$AE$14+F335*$AE$15+G335*$AE$16+H335*$AE$17+I335*$AE$18+J335*$AE$19+K335*$AE$20+L335*$AE$21+M335*$AE$22+N335*$AE$23+O335*$AE$24+P335*$AE$25+Q335*$AE$26+R335*$AE$27+S335*$AE$28+T335*$AE$29+U335*$AE$30</f>
        <v/>
      </c>
      <c r="W335" s="8">
        <f>1/(1+EXP(-V335))</f>
        <v/>
      </c>
      <c r="X335" s="9">
        <f>-IF(C335=1,LN(W335),LN(1-W335))</f>
        <v/>
      </c>
      <c r="Y335" s="8">
        <f>IF(C335=1,$AE$32,$AE$33)</f>
        <v/>
      </c>
      <c r="Z335" s="9">
        <f>Y335*X335</f>
        <v/>
      </c>
      <c r="AA335" s="10">
        <f>IF(W335&gt;$AE$34,1,0)</f>
        <v/>
      </c>
      <c r="AB335">
        <f>IF(AA335=C335,1,0)</f>
        <v/>
      </c>
    </row>
    <row r="336">
      <c r="A336">
        <f>'1 datos preparados'!A329</f>
        <v/>
      </c>
      <c r="B336" s="5">
        <f>'1 datos preparados'!U329</f>
        <v/>
      </c>
      <c r="C336">
        <f>'1 datos preparados'!B329</f>
        <v/>
      </c>
      <c r="D336" s="7">
        <f>'1 datos preparados'!C329</f>
        <v/>
      </c>
      <c r="E336" s="7">
        <f>'1 datos preparados'!D329</f>
        <v/>
      </c>
      <c r="F336" s="7">
        <f>'1 datos preparados'!E329</f>
        <v/>
      </c>
      <c r="G336" s="7">
        <f>'1 datos preparados'!F329</f>
        <v/>
      </c>
      <c r="H336" s="7">
        <f>'1 datos preparados'!G329</f>
        <v/>
      </c>
      <c r="I336" s="7">
        <f>'1 datos preparados'!H329</f>
        <v/>
      </c>
      <c r="J336" s="7">
        <f>'1 datos preparados'!I329</f>
        <v/>
      </c>
      <c r="K336" s="7">
        <f>'1 datos preparados'!J329</f>
        <v/>
      </c>
      <c r="L336" s="7">
        <f>'1 datos preparados'!K329</f>
        <v/>
      </c>
      <c r="M336" s="7">
        <f>'1 datos preparados'!L329</f>
        <v/>
      </c>
      <c r="N336" s="7">
        <f>'1 datos preparados'!M329</f>
        <v/>
      </c>
      <c r="O336" s="7">
        <f>'1 datos preparados'!N329</f>
        <v/>
      </c>
      <c r="P336" s="7">
        <f>'1 datos preparados'!O329</f>
        <v/>
      </c>
      <c r="Q336" s="7">
        <f>'1 datos preparados'!P329</f>
        <v/>
      </c>
      <c r="R336" s="7">
        <f>'1 datos preparados'!Q329</f>
        <v/>
      </c>
      <c r="S336" s="7">
        <f>'1 datos preparados'!R329</f>
        <v/>
      </c>
      <c r="T336" s="7">
        <f>'1 datos preparados'!S329</f>
        <v/>
      </c>
      <c r="U336" s="7">
        <f>'1 datos preparados'!T329</f>
        <v/>
      </c>
      <c r="V336" s="8">
        <f>$AE$12+D336*$AE$13+E336*$AE$14+F336*$AE$15+G336*$AE$16+H336*$AE$17+I336*$AE$18+J336*$AE$19+K336*$AE$20+L336*$AE$21+M336*$AE$22+N336*$AE$23+O336*$AE$24+P336*$AE$25+Q336*$AE$26+R336*$AE$27+S336*$AE$28+T336*$AE$29+U336*$AE$30</f>
        <v/>
      </c>
      <c r="W336" s="8">
        <f>1/(1+EXP(-V336))</f>
        <v/>
      </c>
      <c r="X336" s="9">
        <f>-IF(C336=1,LN(W336),LN(1-W336))</f>
        <v/>
      </c>
      <c r="Y336" s="8">
        <f>IF(C336=1,$AE$32,$AE$33)</f>
        <v/>
      </c>
      <c r="Z336" s="9">
        <f>Y336*X336</f>
        <v/>
      </c>
      <c r="AA336" s="10">
        <f>IF(W336&gt;$AE$34,1,0)</f>
        <v/>
      </c>
      <c r="AB336">
        <f>IF(AA336=C336,1,0)</f>
        <v/>
      </c>
    </row>
    <row r="337">
      <c r="A337">
        <f>'1 datos preparados'!A330</f>
        <v/>
      </c>
      <c r="B337" s="5">
        <f>'1 datos preparados'!U330</f>
        <v/>
      </c>
      <c r="C337">
        <f>'1 datos preparados'!B330</f>
        <v/>
      </c>
      <c r="D337" s="7">
        <f>'1 datos preparados'!C330</f>
        <v/>
      </c>
      <c r="E337" s="7">
        <f>'1 datos preparados'!D330</f>
        <v/>
      </c>
      <c r="F337" s="7">
        <f>'1 datos preparados'!E330</f>
        <v/>
      </c>
      <c r="G337" s="7">
        <f>'1 datos preparados'!F330</f>
        <v/>
      </c>
      <c r="H337" s="7">
        <f>'1 datos preparados'!G330</f>
        <v/>
      </c>
      <c r="I337" s="7">
        <f>'1 datos preparados'!H330</f>
        <v/>
      </c>
      <c r="J337" s="7">
        <f>'1 datos preparados'!I330</f>
        <v/>
      </c>
      <c r="K337" s="7">
        <f>'1 datos preparados'!J330</f>
        <v/>
      </c>
      <c r="L337" s="7">
        <f>'1 datos preparados'!K330</f>
        <v/>
      </c>
      <c r="M337" s="7">
        <f>'1 datos preparados'!L330</f>
        <v/>
      </c>
      <c r="N337" s="7">
        <f>'1 datos preparados'!M330</f>
        <v/>
      </c>
      <c r="O337" s="7">
        <f>'1 datos preparados'!N330</f>
        <v/>
      </c>
      <c r="P337" s="7">
        <f>'1 datos preparados'!O330</f>
        <v/>
      </c>
      <c r="Q337" s="7">
        <f>'1 datos preparados'!P330</f>
        <v/>
      </c>
      <c r="R337" s="7">
        <f>'1 datos preparados'!Q330</f>
        <v/>
      </c>
      <c r="S337" s="7">
        <f>'1 datos preparados'!R330</f>
        <v/>
      </c>
      <c r="T337" s="7">
        <f>'1 datos preparados'!S330</f>
        <v/>
      </c>
      <c r="U337" s="7">
        <f>'1 datos preparados'!T330</f>
        <v/>
      </c>
      <c r="V337" s="8">
        <f>$AE$12+D337*$AE$13+E337*$AE$14+F337*$AE$15+G337*$AE$16+H337*$AE$17+I337*$AE$18+J337*$AE$19+K337*$AE$20+L337*$AE$21+M337*$AE$22+N337*$AE$23+O337*$AE$24+P337*$AE$25+Q337*$AE$26+R337*$AE$27+S337*$AE$28+T337*$AE$29+U337*$AE$30</f>
        <v/>
      </c>
      <c r="W337" s="8">
        <f>1/(1+EXP(-V337))</f>
        <v/>
      </c>
      <c r="X337" s="9">
        <f>-IF(C337=1,LN(W337),LN(1-W337))</f>
        <v/>
      </c>
      <c r="Y337" s="8">
        <f>IF(C337=1,$AE$32,$AE$33)</f>
        <v/>
      </c>
      <c r="Z337" s="9">
        <f>Y337*X337</f>
        <v/>
      </c>
      <c r="AA337" s="10">
        <f>IF(W337&gt;$AE$34,1,0)</f>
        <v/>
      </c>
      <c r="AB337">
        <f>IF(AA337=C337,1,0)</f>
        <v/>
      </c>
    </row>
    <row r="338">
      <c r="A338">
        <f>'1 datos preparados'!A331</f>
        <v/>
      </c>
      <c r="B338" s="5">
        <f>'1 datos preparados'!U331</f>
        <v/>
      </c>
      <c r="C338">
        <f>'1 datos preparados'!B331</f>
        <v/>
      </c>
      <c r="D338" s="7">
        <f>'1 datos preparados'!C331</f>
        <v/>
      </c>
      <c r="E338" s="7">
        <f>'1 datos preparados'!D331</f>
        <v/>
      </c>
      <c r="F338" s="7">
        <f>'1 datos preparados'!E331</f>
        <v/>
      </c>
      <c r="G338" s="7">
        <f>'1 datos preparados'!F331</f>
        <v/>
      </c>
      <c r="H338" s="7">
        <f>'1 datos preparados'!G331</f>
        <v/>
      </c>
      <c r="I338" s="7">
        <f>'1 datos preparados'!H331</f>
        <v/>
      </c>
      <c r="J338" s="7">
        <f>'1 datos preparados'!I331</f>
        <v/>
      </c>
      <c r="K338" s="7">
        <f>'1 datos preparados'!J331</f>
        <v/>
      </c>
      <c r="L338" s="7">
        <f>'1 datos preparados'!K331</f>
        <v/>
      </c>
      <c r="M338" s="7">
        <f>'1 datos preparados'!L331</f>
        <v/>
      </c>
      <c r="N338" s="7">
        <f>'1 datos preparados'!M331</f>
        <v/>
      </c>
      <c r="O338" s="7">
        <f>'1 datos preparados'!N331</f>
        <v/>
      </c>
      <c r="P338" s="7">
        <f>'1 datos preparados'!O331</f>
        <v/>
      </c>
      <c r="Q338" s="7">
        <f>'1 datos preparados'!P331</f>
        <v/>
      </c>
      <c r="R338" s="7">
        <f>'1 datos preparados'!Q331</f>
        <v/>
      </c>
      <c r="S338" s="7">
        <f>'1 datos preparados'!R331</f>
        <v/>
      </c>
      <c r="T338" s="7">
        <f>'1 datos preparados'!S331</f>
        <v/>
      </c>
      <c r="U338" s="7">
        <f>'1 datos preparados'!T331</f>
        <v/>
      </c>
      <c r="V338" s="8">
        <f>$AE$12+D338*$AE$13+E338*$AE$14+F338*$AE$15+G338*$AE$16+H338*$AE$17+I338*$AE$18+J338*$AE$19+K338*$AE$20+L338*$AE$21+M338*$AE$22+N338*$AE$23+O338*$AE$24+P338*$AE$25+Q338*$AE$26+R338*$AE$27+S338*$AE$28+T338*$AE$29+U338*$AE$30</f>
        <v/>
      </c>
      <c r="W338" s="8">
        <f>1/(1+EXP(-V338))</f>
        <v/>
      </c>
      <c r="X338" s="9">
        <f>-IF(C338=1,LN(W338),LN(1-W338))</f>
        <v/>
      </c>
      <c r="Y338" s="8">
        <f>IF(C338=1,$AE$32,$AE$33)</f>
        <v/>
      </c>
      <c r="Z338" s="9">
        <f>Y338*X338</f>
        <v/>
      </c>
      <c r="AA338" s="10">
        <f>IF(W338&gt;$AE$34,1,0)</f>
        <v/>
      </c>
      <c r="AB338">
        <f>IF(AA338=C338,1,0)</f>
        <v/>
      </c>
    </row>
    <row r="339">
      <c r="A339">
        <f>'1 datos preparados'!A332</f>
        <v/>
      </c>
      <c r="B339" s="5">
        <f>'1 datos preparados'!U332</f>
        <v/>
      </c>
      <c r="C339">
        <f>'1 datos preparados'!B332</f>
        <v/>
      </c>
      <c r="D339" s="7">
        <f>'1 datos preparados'!C332</f>
        <v/>
      </c>
      <c r="E339" s="7">
        <f>'1 datos preparados'!D332</f>
        <v/>
      </c>
      <c r="F339" s="7">
        <f>'1 datos preparados'!E332</f>
        <v/>
      </c>
      <c r="G339" s="7">
        <f>'1 datos preparados'!F332</f>
        <v/>
      </c>
      <c r="H339" s="7">
        <f>'1 datos preparados'!G332</f>
        <v/>
      </c>
      <c r="I339" s="7">
        <f>'1 datos preparados'!H332</f>
        <v/>
      </c>
      <c r="J339" s="7">
        <f>'1 datos preparados'!I332</f>
        <v/>
      </c>
      <c r="K339" s="7">
        <f>'1 datos preparados'!J332</f>
        <v/>
      </c>
      <c r="L339" s="7">
        <f>'1 datos preparados'!K332</f>
        <v/>
      </c>
      <c r="M339" s="7">
        <f>'1 datos preparados'!L332</f>
        <v/>
      </c>
      <c r="N339" s="7">
        <f>'1 datos preparados'!M332</f>
        <v/>
      </c>
      <c r="O339" s="7">
        <f>'1 datos preparados'!N332</f>
        <v/>
      </c>
      <c r="P339" s="7">
        <f>'1 datos preparados'!O332</f>
        <v/>
      </c>
      <c r="Q339" s="7">
        <f>'1 datos preparados'!P332</f>
        <v/>
      </c>
      <c r="R339" s="7">
        <f>'1 datos preparados'!Q332</f>
        <v/>
      </c>
      <c r="S339" s="7">
        <f>'1 datos preparados'!R332</f>
        <v/>
      </c>
      <c r="T339" s="7">
        <f>'1 datos preparados'!S332</f>
        <v/>
      </c>
      <c r="U339" s="7">
        <f>'1 datos preparados'!T332</f>
        <v/>
      </c>
      <c r="V339" s="8">
        <f>$AE$12+D339*$AE$13+E339*$AE$14+F339*$AE$15+G339*$AE$16+H339*$AE$17+I339*$AE$18+J339*$AE$19+K339*$AE$20+L339*$AE$21+M339*$AE$22+N339*$AE$23+O339*$AE$24+P339*$AE$25+Q339*$AE$26+R339*$AE$27+S339*$AE$28+T339*$AE$29+U339*$AE$30</f>
        <v/>
      </c>
      <c r="W339" s="8">
        <f>1/(1+EXP(-V339))</f>
        <v/>
      </c>
      <c r="X339" s="9">
        <f>-IF(C339=1,LN(W339),LN(1-W339))</f>
        <v/>
      </c>
      <c r="Y339" s="8">
        <f>IF(C339=1,$AE$32,$AE$33)</f>
        <v/>
      </c>
      <c r="Z339" s="9">
        <f>Y339*X339</f>
        <v/>
      </c>
      <c r="AA339" s="10">
        <f>IF(W339&gt;$AE$34,1,0)</f>
        <v/>
      </c>
      <c r="AB339">
        <f>IF(AA339=C339,1,0)</f>
        <v/>
      </c>
    </row>
    <row r="340">
      <c r="A340">
        <f>'1 datos preparados'!A333</f>
        <v/>
      </c>
      <c r="B340" s="5">
        <f>'1 datos preparados'!U333</f>
        <v/>
      </c>
      <c r="C340">
        <f>'1 datos preparados'!B333</f>
        <v/>
      </c>
      <c r="D340" s="7">
        <f>'1 datos preparados'!C333</f>
        <v/>
      </c>
      <c r="E340" s="7">
        <f>'1 datos preparados'!D333</f>
        <v/>
      </c>
      <c r="F340" s="7">
        <f>'1 datos preparados'!E333</f>
        <v/>
      </c>
      <c r="G340" s="7">
        <f>'1 datos preparados'!F333</f>
        <v/>
      </c>
      <c r="H340" s="7">
        <f>'1 datos preparados'!G333</f>
        <v/>
      </c>
      <c r="I340" s="7">
        <f>'1 datos preparados'!H333</f>
        <v/>
      </c>
      <c r="J340" s="7">
        <f>'1 datos preparados'!I333</f>
        <v/>
      </c>
      <c r="K340" s="7">
        <f>'1 datos preparados'!J333</f>
        <v/>
      </c>
      <c r="L340" s="7">
        <f>'1 datos preparados'!K333</f>
        <v/>
      </c>
      <c r="M340" s="7">
        <f>'1 datos preparados'!L333</f>
        <v/>
      </c>
      <c r="N340" s="7">
        <f>'1 datos preparados'!M333</f>
        <v/>
      </c>
      <c r="O340" s="7">
        <f>'1 datos preparados'!N333</f>
        <v/>
      </c>
      <c r="P340" s="7">
        <f>'1 datos preparados'!O333</f>
        <v/>
      </c>
      <c r="Q340" s="7">
        <f>'1 datos preparados'!P333</f>
        <v/>
      </c>
      <c r="R340" s="7">
        <f>'1 datos preparados'!Q333</f>
        <v/>
      </c>
      <c r="S340" s="7">
        <f>'1 datos preparados'!R333</f>
        <v/>
      </c>
      <c r="T340" s="7">
        <f>'1 datos preparados'!S333</f>
        <v/>
      </c>
      <c r="U340" s="7">
        <f>'1 datos preparados'!T333</f>
        <v/>
      </c>
      <c r="V340" s="8">
        <f>$AE$12+D340*$AE$13+E340*$AE$14+F340*$AE$15+G340*$AE$16+H340*$AE$17+I340*$AE$18+J340*$AE$19+K340*$AE$20+L340*$AE$21+M340*$AE$22+N340*$AE$23+O340*$AE$24+P340*$AE$25+Q340*$AE$26+R340*$AE$27+S340*$AE$28+T340*$AE$29+U340*$AE$30</f>
        <v/>
      </c>
      <c r="W340" s="8">
        <f>1/(1+EXP(-V340))</f>
        <v/>
      </c>
      <c r="X340" s="9">
        <f>-IF(C340=1,LN(W340),LN(1-W340))</f>
        <v/>
      </c>
      <c r="Y340" s="8">
        <f>IF(C340=1,$AE$32,$AE$33)</f>
        <v/>
      </c>
      <c r="Z340" s="9">
        <f>Y340*X340</f>
        <v/>
      </c>
      <c r="AA340" s="10">
        <f>IF(W340&gt;$AE$34,1,0)</f>
        <v/>
      </c>
      <c r="AB340">
        <f>IF(AA340=C340,1,0)</f>
        <v/>
      </c>
    </row>
    <row r="341">
      <c r="A341">
        <f>'1 datos preparados'!A334</f>
        <v/>
      </c>
      <c r="B341" s="5">
        <f>'1 datos preparados'!U334</f>
        <v/>
      </c>
      <c r="C341">
        <f>'1 datos preparados'!B334</f>
        <v/>
      </c>
      <c r="D341" s="7">
        <f>'1 datos preparados'!C334</f>
        <v/>
      </c>
      <c r="E341" s="7">
        <f>'1 datos preparados'!D334</f>
        <v/>
      </c>
      <c r="F341" s="7">
        <f>'1 datos preparados'!E334</f>
        <v/>
      </c>
      <c r="G341" s="7">
        <f>'1 datos preparados'!F334</f>
        <v/>
      </c>
      <c r="H341" s="7">
        <f>'1 datos preparados'!G334</f>
        <v/>
      </c>
      <c r="I341" s="7">
        <f>'1 datos preparados'!H334</f>
        <v/>
      </c>
      <c r="J341" s="7">
        <f>'1 datos preparados'!I334</f>
        <v/>
      </c>
      <c r="K341" s="7">
        <f>'1 datos preparados'!J334</f>
        <v/>
      </c>
      <c r="L341" s="7">
        <f>'1 datos preparados'!K334</f>
        <v/>
      </c>
      <c r="M341" s="7">
        <f>'1 datos preparados'!L334</f>
        <v/>
      </c>
      <c r="N341" s="7">
        <f>'1 datos preparados'!M334</f>
        <v/>
      </c>
      <c r="O341" s="7">
        <f>'1 datos preparados'!N334</f>
        <v/>
      </c>
      <c r="P341" s="7">
        <f>'1 datos preparados'!O334</f>
        <v/>
      </c>
      <c r="Q341" s="7">
        <f>'1 datos preparados'!P334</f>
        <v/>
      </c>
      <c r="R341" s="7">
        <f>'1 datos preparados'!Q334</f>
        <v/>
      </c>
      <c r="S341" s="7">
        <f>'1 datos preparados'!R334</f>
        <v/>
      </c>
      <c r="T341" s="7">
        <f>'1 datos preparados'!S334</f>
        <v/>
      </c>
      <c r="U341" s="7">
        <f>'1 datos preparados'!T334</f>
        <v/>
      </c>
      <c r="V341" s="8">
        <f>$AE$12+D341*$AE$13+E341*$AE$14+F341*$AE$15+G341*$AE$16+H341*$AE$17+I341*$AE$18+J341*$AE$19+K341*$AE$20+L341*$AE$21+M341*$AE$22+N341*$AE$23+O341*$AE$24+P341*$AE$25+Q341*$AE$26+R341*$AE$27+S341*$AE$28+T341*$AE$29+U341*$AE$30</f>
        <v/>
      </c>
      <c r="W341" s="8">
        <f>1/(1+EXP(-V341))</f>
        <v/>
      </c>
      <c r="X341" s="9">
        <f>-IF(C341=1,LN(W341),LN(1-W341))</f>
        <v/>
      </c>
      <c r="Y341" s="8">
        <f>IF(C341=1,$AE$32,$AE$33)</f>
        <v/>
      </c>
      <c r="Z341" s="9">
        <f>Y341*X341</f>
        <v/>
      </c>
      <c r="AA341" s="10">
        <f>IF(W341&gt;$AE$34,1,0)</f>
        <v/>
      </c>
      <c r="AB341">
        <f>IF(AA341=C341,1,0)</f>
        <v/>
      </c>
    </row>
    <row r="342">
      <c r="A342">
        <f>'1 datos preparados'!A335</f>
        <v/>
      </c>
      <c r="B342" s="5">
        <f>'1 datos preparados'!U335</f>
        <v/>
      </c>
      <c r="C342">
        <f>'1 datos preparados'!B335</f>
        <v/>
      </c>
      <c r="D342" s="7">
        <f>'1 datos preparados'!C335</f>
        <v/>
      </c>
      <c r="E342" s="7">
        <f>'1 datos preparados'!D335</f>
        <v/>
      </c>
      <c r="F342" s="7">
        <f>'1 datos preparados'!E335</f>
        <v/>
      </c>
      <c r="G342" s="7">
        <f>'1 datos preparados'!F335</f>
        <v/>
      </c>
      <c r="H342" s="7">
        <f>'1 datos preparados'!G335</f>
        <v/>
      </c>
      <c r="I342" s="7">
        <f>'1 datos preparados'!H335</f>
        <v/>
      </c>
      <c r="J342" s="7">
        <f>'1 datos preparados'!I335</f>
        <v/>
      </c>
      <c r="K342" s="7">
        <f>'1 datos preparados'!J335</f>
        <v/>
      </c>
      <c r="L342" s="7">
        <f>'1 datos preparados'!K335</f>
        <v/>
      </c>
      <c r="M342" s="7">
        <f>'1 datos preparados'!L335</f>
        <v/>
      </c>
      <c r="N342" s="7">
        <f>'1 datos preparados'!M335</f>
        <v/>
      </c>
      <c r="O342" s="7">
        <f>'1 datos preparados'!N335</f>
        <v/>
      </c>
      <c r="P342" s="7">
        <f>'1 datos preparados'!O335</f>
        <v/>
      </c>
      <c r="Q342" s="7">
        <f>'1 datos preparados'!P335</f>
        <v/>
      </c>
      <c r="R342" s="7">
        <f>'1 datos preparados'!Q335</f>
        <v/>
      </c>
      <c r="S342" s="7">
        <f>'1 datos preparados'!R335</f>
        <v/>
      </c>
      <c r="T342" s="7">
        <f>'1 datos preparados'!S335</f>
        <v/>
      </c>
      <c r="U342" s="7">
        <f>'1 datos preparados'!T335</f>
        <v/>
      </c>
      <c r="V342" s="8">
        <f>$AE$12+D342*$AE$13+E342*$AE$14+F342*$AE$15+G342*$AE$16+H342*$AE$17+I342*$AE$18+J342*$AE$19+K342*$AE$20+L342*$AE$21+M342*$AE$22+N342*$AE$23+O342*$AE$24+P342*$AE$25+Q342*$AE$26+R342*$AE$27+S342*$AE$28+T342*$AE$29+U342*$AE$30</f>
        <v/>
      </c>
      <c r="W342" s="8">
        <f>1/(1+EXP(-V342))</f>
        <v/>
      </c>
      <c r="X342" s="9">
        <f>-IF(C342=1,LN(W342),LN(1-W342))</f>
        <v/>
      </c>
      <c r="Y342" s="8">
        <f>IF(C342=1,$AE$32,$AE$33)</f>
        <v/>
      </c>
      <c r="Z342" s="9">
        <f>Y342*X342</f>
        <v/>
      </c>
      <c r="AA342" s="10">
        <f>IF(W342&gt;$AE$34,1,0)</f>
        <v/>
      </c>
      <c r="AB342">
        <f>IF(AA342=C342,1,0)</f>
        <v/>
      </c>
    </row>
    <row r="343">
      <c r="A343">
        <f>'1 datos preparados'!A336</f>
        <v/>
      </c>
      <c r="B343" s="5">
        <f>'1 datos preparados'!U336</f>
        <v/>
      </c>
      <c r="C343">
        <f>'1 datos preparados'!B336</f>
        <v/>
      </c>
      <c r="D343" s="7">
        <f>'1 datos preparados'!C336</f>
        <v/>
      </c>
      <c r="E343" s="7">
        <f>'1 datos preparados'!D336</f>
        <v/>
      </c>
      <c r="F343" s="7">
        <f>'1 datos preparados'!E336</f>
        <v/>
      </c>
      <c r="G343" s="7">
        <f>'1 datos preparados'!F336</f>
        <v/>
      </c>
      <c r="H343" s="7">
        <f>'1 datos preparados'!G336</f>
        <v/>
      </c>
      <c r="I343" s="7">
        <f>'1 datos preparados'!H336</f>
        <v/>
      </c>
      <c r="J343" s="7">
        <f>'1 datos preparados'!I336</f>
        <v/>
      </c>
      <c r="K343" s="7">
        <f>'1 datos preparados'!J336</f>
        <v/>
      </c>
      <c r="L343" s="7">
        <f>'1 datos preparados'!K336</f>
        <v/>
      </c>
      <c r="M343" s="7">
        <f>'1 datos preparados'!L336</f>
        <v/>
      </c>
      <c r="N343" s="7">
        <f>'1 datos preparados'!M336</f>
        <v/>
      </c>
      <c r="O343" s="7">
        <f>'1 datos preparados'!N336</f>
        <v/>
      </c>
      <c r="P343" s="7">
        <f>'1 datos preparados'!O336</f>
        <v/>
      </c>
      <c r="Q343" s="7">
        <f>'1 datos preparados'!P336</f>
        <v/>
      </c>
      <c r="R343" s="7">
        <f>'1 datos preparados'!Q336</f>
        <v/>
      </c>
      <c r="S343" s="7">
        <f>'1 datos preparados'!R336</f>
        <v/>
      </c>
      <c r="T343" s="7">
        <f>'1 datos preparados'!S336</f>
        <v/>
      </c>
      <c r="U343" s="7">
        <f>'1 datos preparados'!T336</f>
        <v/>
      </c>
      <c r="V343" s="8">
        <f>$AE$12+D343*$AE$13+E343*$AE$14+F343*$AE$15+G343*$AE$16+H343*$AE$17+I343*$AE$18+J343*$AE$19+K343*$AE$20+L343*$AE$21+M343*$AE$22+N343*$AE$23+O343*$AE$24+P343*$AE$25+Q343*$AE$26+R343*$AE$27+S343*$AE$28+T343*$AE$29+U343*$AE$30</f>
        <v/>
      </c>
      <c r="W343" s="8">
        <f>1/(1+EXP(-V343))</f>
        <v/>
      </c>
      <c r="X343" s="9">
        <f>-IF(C343=1,LN(W343),LN(1-W343))</f>
        <v/>
      </c>
      <c r="Y343" s="8">
        <f>IF(C343=1,$AE$32,$AE$33)</f>
        <v/>
      </c>
      <c r="Z343" s="9">
        <f>Y343*X343</f>
        <v/>
      </c>
      <c r="AA343" s="10">
        <f>IF(W343&gt;$AE$34,1,0)</f>
        <v/>
      </c>
      <c r="AB343">
        <f>IF(AA343=C343,1,0)</f>
        <v/>
      </c>
    </row>
    <row r="344">
      <c r="A344">
        <f>'1 datos preparados'!A337</f>
        <v/>
      </c>
      <c r="B344" s="5">
        <f>'1 datos preparados'!U337</f>
        <v/>
      </c>
      <c r="C344">
        <f>'1 datos preparados'!B337</f>
        <v/>
      </c>
      <c r="D344" s="7">
        <f>'1 datos preparados'!C337</f>
        <v/>
      </c>
      <c r="E344" s="7">
        <f>'1 datos preparados'!D337</f>
        <v/>
      </c>
      <c r="F344" s="7">
        <f>'1 datos preparados'!E337</f>
        <v/>
      </c>
      <c r="G344" s="7">
        <f>'1 datos preparados'!F337</f>
        <v/>
      </c>
      <c r="H344" s="7">
        <f>'1 datos preparados'!G337</f>
        <v/>
      </c>
      <c r="I344" s="7">
        <f>'1 datos preparados'!H337</f>
        <v/>
      </c>
      <c r="J344" s="7">
        <f>'1 datos preparados'!I337</f>
        <v/>
      </c>
      <c r="K344" s="7">
        <f>'1 datos preparados'!J337</f>
        <v/>
      </c>
      <c r="L344" s="7">
        <f>'1 datos preparados'!K337</f>
        <v/>
      </c>
      <c r="M344" s="7">
        <f>'1 datos preparados'!L337</f>
        <v/>
      </c>
      <c r="N344" s="7">
        <f>'1 datos preparados'!M337</f>
        <v/>
      </c>
      <c r="O344" s="7">
        <f>'1 datos preparados'!N337</f>
        <v/>
      </c>
      <c r="P344" s="7">
        <f>'1 datos preparados'!O337</f>
        <v/>
      </c>
      <c r="Q344" s="7">
        <f>'1 datos preparados'!P337</f>
        <v/>
      </c>
      <c r="R344" s="7">
        <f>'1 datos preparados'!Q337</f>
        <v/>
      </c>
      <c r="S344" s="7">
        <f>'1 datos preparados'!R337</f>
        <v/>
      </c>
      <c r="T344" s="7">
        <f>'1 datos preparados'!S337</f>
        <v/>
      </c>
      <c r="U344" s="7">
        <f>'1 datos preparados'!T337</f>
        <v/>
      </c>
      <c r="V344" s="8">
        <f>$AE$12+D344*$AE$13+E344*$AE$14+F344*$AE$15+G344*$AE$16+H344*$AE$17+I344*$AE$18+J344*$AE$19+K344*$AE$20+L344*$AE$21+M344*$AE$22+N344*$AE$23+O344*$AE$24+P344*$AE$25+Q344*$AE$26+R344*$AE$27+S344*$AE$28+T344*$AE$29+U344*$AE$30</f>
        <v/>
      </c>
      <c r="W344" s="8">
        <f>1/(1+EXP(-V344))</f>
        <v/>
      </c>
      <c r="X344" s="9">
        <f>-IF(C344=1,LN(W344),LN(1-W344))</f>
        <v/>
      </c>
      <c r="Y344" s="8">
        <f>IF(C344=1,$AE$32,$AE$33)</f>
        <v/>
      </c>
      <c r="Z344" s="9">
        <f>Y344*X344</f>
        <v/>
      </c>
      <c r="AA344" s="10">
        <f>IF(W344&gt;$AE$34,1,0)</f>
        <v/>
      </c>
      <c r="AB344">
        <f>IF(AA344=C344,1,0)</f>
        <v/>
      </c>
    </row>
    <row r="345">
      <c r="A345">
        <f>'1 datos preparados'!A338</f>
        <v/>
      </c>
      <c r="B345" s="5">
        <f>'1 datos preparados'!U338</f>
        <v/>
      </c>
      <c r="C345">
        <f>'1 datos preparados'!B338</f>
        <v/>
      </c>
      <c r="D345" s="7">
        <f>'1 datos preparados'!C338</f>
        <v/>
      </c>
      <c r="E345" s="7">
        <f>'1 datos preparados'!D338</f>
        <v/>
      </c>
      <c r="F345" s="7">
        <f>'1 datos preparados'!E338</f>
        <v/>
      </c>
      <c r="G345" s="7">
        <f>'1 datos preparados'!F338</f>
        <v/>
      </c>
      <c r="H345" s="7">
        <f>'1 datos preparados'!G338</f>
        <v/>
      </c>
      <c r="I345" s="7">
        <f>'1 datos preparados'!H338</f>
        <v/>
      </c>
      <c r="J345" s="7">
        <f>'1 datos preparados'!I338</f>
        <v/>
      </c>
      <c r="K345" s="7">
        <f>'1 datos preparados'!J338</f>
        <v/>
      </c>
      <c r="L345" s="7">
        <f>'1 datos preparados'!K338</f>
        <v/>
      </c>
      <c r="M345" s="7">
        <f>'1 datos preparados'!L338</f>
        <v/>
      </c>
      <c r="N345" s="7">
        <f>'1 datos preparados'!M338</f>
        <v/>
      </c>
      <c r="O345" s="7">
        <f>'1 datos preparados'!N338</f>
        <v/>
      </c>
      <c r="P345" s="7">
        <f>'1 datos preparados'!O338</f>
        <v/>
      </c>
      <c r="Q345" s="7">
        <f>'1 datos preparados'!P338</f>
        <v/>
      </c>
      <c r="R345" s="7">
        <f>'1 datos preparados'!Q338</f>
        <v/>
      </c>
      <c r="S345" s="7">
        <f>'1 datos preparados'!R338</f>
        <v/>
      </c>
      <c r="T345" s="7">
        <f>'1 datos preparados'!S338</f>
        <v/>
      </c>
      <c r="U345" s="7">
        <f>'1 datos preparados'!T338</f>
        <v/>
      </c>
      <c r="V345" s="8">
        <f>$AE$12+D345*$AE$13+E345*$AE$14+F345*$AE$15+G345*$AE$16+H345*$AE$17+I345*$AE$18+J345*$AE$19+K345*$AE$20+L345*$AE$21+M345*$AE$22+N345*$AE$23+O345*$AE$24+P345*$AE$25+Q345*$AE$26+R345*$AE$27+S345*$AE$28+T345*$AE$29+U345*$AE$30</f>
        <v/>
      </c>
      <c r="W345" s="8">
        <f>1/(1+EXP(-V345))</f>
        <v/>
      </c>
      <c r="X345" s="9">
        <f>-IF(C345=1,LN(W345),LN(1-W345))</f>
        <v/>
      </c>
      <c r="Y345" s="8">
        <f>IF(C345=1,$AE$32,$AE$33)</f>
        <v/>
      </c>
      <c r="Z345" s="9">
        <f>Y345*X345</f>
        <v/>
      </c>
      <c r="AA345" s="10">
        <f>IF(W345&gt;$AE$34,1,0)</f>
        <v/>
      </c>
      <c r="AB345">
        <f>IF(AA345=C345,1,0)</f>
        <v/>
      </c>
    </row>
    <row r="346">
      <c r="A346">
        <f>'1 datos preparados'!A339</f>
        <v/>
      </c>
      <c r="B346" s="5">
        <f>'1 datos preparados'!U339</f>
        <v/>
      </c>
      <c r="C346">
        <f>'1 datos preparados'!B339</f>
        <v/>
      </c>
      <c r="D346" s="7">
        <f>'1 datos preparados'!C339</f>
        <v/>
      </c>
      <c r="E346" s="7">
        <f>'1 datos preparados'!D339</f>
        <v/>
      </c>
      <c r="F346" s="7">
        <f>'1 datos preparados'!E339</f>
        <v/>
      </c>
      <c r="G346" s="7">
        <f>'1 datos preparados'!F339</f>
        <v/>
      </c>
      <c r="H346" s="7">
        <f>'1 datos preparados'!G339</f>
        <v/>
      </c>
      <c r="I346" s="7">
        <f>'1 datos preparados'!H339</f>
        <v/>
      </c>
      <c r="J346" s="7">
        <f>'1 datos preparados'!I339</f>
        <v/>
      </c>
      <c r="K346" s="7">
        <f>'1 datos preparados'!J339</f>
        <v/>
      </c>
      <c r="L346" s="7">
        <f>'1 datos preparados'!K339</f>
        <v/>
      </c>
      <c r="M346" s="7">
        <f>'1 datos preparados'!L339</f>
        <v/>
      </c>
      <c r="N346" s="7">
        <f>'1 datos preparados'!M339</f>
        <v/>
      </c>
      <c r="O346" s="7">
        <f>'1 datos preparados'!N339</f>
        <v/>
      </c>
      <c r="P346" s="7">
        <f>'1 datos preparados'!O339</f>
        <v/>
      </c>
      <c r="Q346" s="7">
        <f>'1 datos preparados'!P339</f>
        <v/>
      </c>
      <c r="R346" s="7">
        <f>'1 datos preparados'!Q339</f>
        <v/>
      </c>
      <c r="S346" s="7">
        <f>'1 datos preparados'!R339</f>
        <v/>
      </c>
      <c r="T346" s="7">
        <f>'1 datos preparados'!S339</f>
        <v/>
      </c>
      <c r="U346" s="7">
        <f>'1 datos preparados'!T339</f>
        <v/>
      </c>
      <c r="V346" s="8">
        <f>$AE$12+D346*$AE$13+E346*$AE$14+F346*$AE$15+G346*$AE$16+H346*$AE$17+I346*$AE$18+J346*$AE$19+K346*$AE$20+L346*$AE$21+M346*$AE$22+N346*$AE$23+O346*$AE$24+P346*$AE$25+Q346*$AE$26+R346*$AE$27+S346*$AE$28+T346*$AE$29+U346*$AE$30</f>
        <v/>
      </c>
      <c r="W346" s="8">
        <f>1/(1+EXP(-V346))</f>
        <v/>
      </c>
      <c r="X346" s="9">
        <f>-IF(C346=1,LN(W346),LN(1-W346))</f>
        <v/>
      </c>
      <c r="Y346" s="8">
        <f>IF(C346=1,$AE$32,$AE$33)</f>
        <v/>
      </c>
      <c r="Z346" s="9">
        <f>Y346*X346</f>
        <v/>
      </c>
      <c r="AA346" s="10">
        <f>IF(W346&gt;$AE$34,1,0)</f>
        <v/>
      </c>
      <c r="AB346">
        <f>IF(AA346=C346,1,0)</f>
        <v/>
      </c>
    </row>
    <row r="347">
      <c r="A347">
        <f>'1 datos preparados'!A340</f>
        <v/>
      </c>
      <c r="B347" s="5">
        <f>'1 datos preparados'!U340</f>
        <v/>
      </c>
      <c r="C347">
        <f>'1 datos preparados'!B340</f>
        <v/>
      </c>
      <c r="D347" s="7">
        <f>'1 datos preparados'!C340</f>
        <v/>
      </c>
      <c r="E347" s="7">
        <f>'1 datos preparados'!D340</f>
        <v/>
      </c>
      <c r="F347" s="7">
        <f>'1 datos preparados'!E340</f>
        <v/>
      </c>
      <c r="G347" s="7">
        <f>'1 datos preparados'!F340</f>
        <v/>
      </c>
      <c r="H347" s="7">
        <f>'1 datos preparados'!G340</f>
        <v/>
      </c>
      <c r="I347" s="7">
        <f>'1 datos preparados'!H340</f>
        <v/>
      </c>
      <c r="J347" s="7">
        <f>'1 datos preparados'!I340</f>
        <v/>
      </c>
      <c r="K347" s="7">
        <f>'1 datos preparados'!J340</f>
        <v/>
      </c>
      <c r="L347" s="7">
        <f>'1 datos preparados'!K340</f>
        <v/>
      </c>
      <c r="M347" s="7">
        <f>'1 datos preparados'!L340</f>
        <v/>
      </c>
      <c r="N347" s="7">
        <f>'1 datos preparados'!M340</f>
        <v/>
      </c>
      <c r="O347" s="7">
        <f>'1 datos preparados'!N340</f>
        <v/>
      </c>
      <c r="P347" s="7">
        <f>'1 datos preparados'!O340</f>
        <v/>
      </c>
      <c r="Q347" s="7">
        <f>'1 datos preparados'!P340</f>
        <v/>
      </c>
      <c r="R347" s="7">
        <f>'1 datos preparados'!Q340</f>
        <v/>
      </c>
      <c r="S347" s="7">
        <f>'1 datos preparados'!R340</f>
        <v/>
      </c>
      <c r="T347" s="7">
        <f>'1 datos preparados'!S340</f>
        <v/>
      </c>
      <c r="U347" s="7">
        <f>'1 datos preparados'!T340</f>
        <v/>
      </c>
      <c r="V347" s="8">
        <f>$AE$12+D347*$AE$13+E347*$AE$14+F347*$AE$15+G347*$AE$16+H347*$AE$17+I347*$AE$18+J347*$AE$19+K347*$AE$20+L347*$AE$21+M347*$AE$22+N347*$AE$23+O347*$AE$24+P347*$AE$25+Q347*$AE$26+R347*$AE$27+S347*$AE$28+T347*$AE$29+U347*$AE$30</f>
        <v/>
      </c>
      <c r="W347" s="8">
        <f>1/(1+EXP(-V347))</f>
        <v/>
      </c>
      <c r="X347" s="9">
        <f>-IF(C347=1,LN(W347),LN(1-W347))</f>
        <v/>
      </c>
      <c r="Y347" s="8">
        <f>IF(C347=1,$AE$32,$AE$33)</f>
        <v/>
      </c>
      <c r="Z347" s="9">
        <f>Y347*X347</f>
        <v/>
      </c>
      <c r="AA347" s="10">
        <f>IF(W347&gt;$AE$34,1,0)</f>
        <v/>
      </c>
      <c r="AB347">
        <f>IF(AA347=C347,1,0)</f>
        <v/>
      </c>
    </row>
    <row r="348">
      <c r="A348">
        <f>'1 datos preparados'!A341</f>
        <v/>
      </c>
      <c r="B348" s="5">
        <f>'1 datos preparados'!U341</f>
        <v/>
      </c>
      <c r="C348">
        <f>'1 datos preparados'!B341</f>
        <v/>
      </c>
      <c r="D348" s="7">
        <f>'1 datos preparados'!C341</f>
        <v/>
      </c>
      <c r="E348" s="7">
        <f>'1 datos preparados'!D341</f>
        <v/>
      </c>
      <c r="F348" s="7">
        <f>'1 datos preparados'!E341</f>
        <v/>
      </c>
      <c r="G348" s="7">
        <f>'1 datos preparados'!F341</f>
        <v/>
      </c>
      <c r="H348" s="7">
        <f>'1 datos preparados'!G341</f>
        <v/>
      </c>
      <c r="I348" s="7">
        <f>'1 datos preparados'!H341</f>
        <v/>
      </c>
      <c r="J348" s="7">
        <f>'1 datos preparados'!I341</f>
        <v/>
      </c>
      <c r="K348" s="7">
        <f>'1 datos preparados'!J341</f>
        <v/>
      </c>
      <c r="L348" s="7">
        <f>'1 datos preparados'!K341</f>
        <v/>
      </c>
      <c r="M348" s="7">
        <f>'1 datos preparados'!L341</f>
        <v/>
      </c>
      <c r="N348" s="7">
        <f>'1 datos preparados'!M341</f>
        <v/>
      </c>
      <c r="O348" s="7">
        <f>'1 datos preparados'!N341</f>
        <v/>
      </c>
      <c r="P348" s="7">
        <f>'1 datos preparados'!O341</f>
        <v/>
      </c>
      <c r="Q348" s="7">
        <f>'1 datos preparados'!P341</f>
        <v/>
      </c>
      <c r="R348" s="7">
        <f>'1 datos preparados'!Q341</f>
        <v/>
      </c>
      <c r="S348" s="7">
        <f>'1 datos preparados'!R341</f>
        <v/>
      </c>
      <c r="T348" s="7">
        <f>'1 datos preparados'!S341</f>
        <v/>
      </c>
      <c r="U348" s="7">
        <f>'1 datos preparados'!T341</f>
        <v/>
      </c>
      <c r="V348" s="8">
        <f>$AE$12+D348*$AE$13+E348*$AE$14+F348*$AE$15+G348*$AE$16+H348*$AE$17+I348*$AE$18+J348*$AE$19+K348*$AE$20+L348*$AE$21+M348*$AE$22+N348*$AE$23+O348*$AE$24+P348*$AE$25+Q348*$AE$26+R348*$AE$27+S348*$AE$28+T348*$AE$29+U348*$AE$30</f>
        <v/>
      </c>
      <c r="W348" s="8">
        <f>1/(1+EXP(-V348))</f>
        <v/>
      </c>
      <c r="X348" s="9">
        <f>-IF(C348=1,LN(W348),LN(1-W348))</f>
        <v/>
      </c>
      <c r="Y348" s="8">
        <f>IF(C348=1,$AE$32,$AE$33)</f>
        <v/>
      </c>
      <c r="Z348" s="9">
        <f>Y348*X348</f>
        <v/>
      </c>
      <c r="AA348" s="10">
        <f>IF(W348&gt;$AE$34,1,0)</f>
        <v/>
      </c>
      <c r="AB348">
        <f>IF(AA348=C348,1,0)</f>
        <v/>
      </c>
    </row>
    <row r="349">
      <c r="A349">
        <f>'1 datos preparados'!A342</f>
        <v/>
      </c>
      <c r="B349" s="5">
        <f>'1 datos preparados'!U342</f>
        <v/>
      </c>
      <c r="C349">
        <f>'1 datos preparados'!B342</f>
        <v/>
      </c>
      <c r="D349" s="7">
        <f>'1 datos preparados'!C342</f>
        <v/>
      </c>
      <c r="E349" s="7">
        <f>'1 datos preparados'!D342</f>
        <v/>
      </c>
      <c r="F349" s="7">
        <f>'1 datos preparados'!E342</f>
        <v/>
      </c>
      <c r="G349" s="7">
        <f>'1 datos preparados'!F342</f>
        <v/>
      </c>
      <c r="H349" s="7">
        <f>'1 datos preparados'!G342</f>
        <v/>
      </c>
      <c r="I349" s="7">
        <f>'1 datos preparados'!H342</f>
        <v/>
      </c>
      <c r="J349" s="7">
        <f>'1 datos preparados'!I342</f>
        <v/>
      </c>
      <c r="K349" s="7">
        <f>'1 datos preparados'!J342</f>
        <v/>
      </c>
      <c r="L349" s="7">
        <f>'1 datos preparados'!K342</f>
        <v/>
      </c>
      <c r="M349" s="7">
        <f>'1 datos preparados'!L342</f>
        <v/>
      </c>
      <c r="N349" s="7">
        <f>'1 datos preparados'!M342</f>
        <v/>
      </c>
      <c r="O349" s="7">
        <f>'1 datos preparados'!N342</f>
        <v/>
      </c>
      <c r="P349" s="7">
        <f>'1 datos preparados'!O342</f>
        <v/>
      </c>
      <c r="Q349" s="7">
        <f>'1 datos preparados'!P342</f>
        <v/>
      </c>
      <c r="R349" s="7">
        <f>'1 datos preparados'!Q342</f>
        <v/>
      </c>
      <c r="S349" s="7">
        <f>'1 datos preparados'!R342</f>
        <v/>
      </c>
      <c r="T349" s="7">
        <f>'1 datos preparados'!S342</f>
        <v/>
      </c>
      <c r="U349" s="7">
        <f>'1 datos preparados'!T342</f>
        <v/>
      </c>
      <c r="V349" s="8">
        <f>$AE$12+D349*$AE$13+E349*$AE$14+F349*$AE$15+G349*$AE$16+H349*$AE$17+I349*$AE$18+J349*$AE$19+K349*$AE$20+L349*$AE$21+M349*$AE$22+N349*$AE$23+O349*$AE$24+P349*$AE$25+Q349*$AE$26+R349*$AE$27+S349*$AE$28+T349*$AE$29+U349*$AE$30</f>
        <v/>
      </c>
      <c r="W349" s="8">
        <f>1/(1+EXP(-V349))</f>
        <v/>
      </c>
      <c r="X349" s="9">
        <f>-IF(C349=1,LN(W349),LN(1-W349))</f>
        <v/>
      </c>
      <c r="Y349" s="8">
        <f>IF(C349=1,$AE$32,$AE$33)</f>
        <v/>
      </c>
      <c r="Z349" s="9">
        <f>Y349*X349</f>
        <v/>
      </c>
      <c r="AA349" s="10">
        <f>IF(W349&gt;$AE$34,1,0)</f>
        <v/>
      </c>
      <c r="AB349">
        <f>IF(AA349=C349,1,0)</f>
        <v/>
      </c>
    </row>
    <row r="350">
      <c r="A350">
        <f>'1 datos preparados'!A343</f>
        <v/>
      </c>
      <c r="B350" s="5">
        <f>'1 datos preparados'!U343</f>
        <v/>
      </c>
      <c r="C350">
        <f>'1 datos preparados'!B343</f>
        <v/>
      </c>
      <c r="D350" s="7">
        <f>'1 datos preparados'!C343</f>
        <v/>
      </c>
      <c r="E350" s="7">
        <f>'1 datos preparados'!D343</f>
        <v/>
      </c>
      <c r="F350" s="7">
        <f>'1 datos preparados'!E343</f>
        <v/>
      </c>
      <c r="G350" s="7">
        <f>'1 datos preparados'!F343</f>
        <v/>
      </c>
      <c r="H350" s="7">
        <f>'1 datos preparados'!G343</f>
        <v/>
      </c>
      <c r="I350" s="7">
        <f>'1 datos preparados'!H343</f>
        <v/>
      </c>
      <c r="J350" s="7">
        <f>'1 datos preparados'!I343</f>
        <v/>
      </c>
      <c r="K350" s="7">
        <f>'1 datos preparados'!J343</f>
        <v/>
      </c>
      <c r="L350" s="7">
        <f>'1 datos preparados'!K343</f>
        <v/>
      </c>
      <c r="M350" s="7">
        <f>'1 datos preparados'!L343</f>
        <v/>
      </c>
      <c r="N350" s="7">
        <f>'1 datos preparados'!M343</f>
        <v/>
      </c>
      <c r="O350" s="7">
        <f>'1 datos preparados'!N343</f>
        <v/>
      </c>
      <c r="P350" s="7">
        <f>'1 datos preparados'!O343</f>
        <v/>
      </c>
      <c r="Q350" s="7">
        <f>'1 datos preparados'!P343</f>
        <v/>
      </c>
      <c r="R350" s="7">
        <f>'1 datos preparados'!Q343</f>
        <v/>
      </c>
      <c r="S350" s="7">
        <f>'1 datos preparados'!R343</f>
        <v/>
      </c>
      <c r="T350" s="7">
        <f>'1 datos preparados'!S343</f>
        <v/>
      </c>
      <c r="U350" s="7">
        <f>'1 datos preparados'!T343</f>
        <v/>
      </c>
      <c r="V350" s="8">
        <f>$AE$12+D350*$AE$13+E350*$AE$14+F350*$AE$15+G350*$AE$16+H350*$AE$17+I350*$AE$18+J350*$AE$19+K350*$AE$20+L350*$AE$21+M350*$AE$22+N350*$AE$23+O350*$AE$24+P350*$AE$25+Q350*$AE$26+R350*$AE$27+S350*$AE$28+T350*$AE$29+U350*$AE$30</f>
        <v/>
      </c>
      <c r="W350" s="8">
        <f>1/(1+EXP(-V350))</f>
        <v/>
      </c>
      <c r="X350" s="9">
        <f>-IF(C350=1,LN(W350),LN(1-W350))</f>
        <v/>
      </c>
      <c r="Y350" s="8">
        <f>IF(C350=1,$AE$32,$AE$33)</f>
        <v/>
      </c>
      <c r="Z350" s="9">
        <f>Y350*X350</f>
        <v/>
      </c>
      <c r="AA350" s="10">
        <f>IF(W350&gt;$AE$34,1,0)</f>
        <v/>
      </c>
      <c r="AB350">
        <f>IF(AA350=C350,1,0)</f>
        <v/>
      </c>
    </row>
    <row r="351">
      <c r="A351">
        <f>'1 datos preparados'!A344</f>
        <v/>
      </c>
      <c r="B351" s="5">
        <f>'1 datos preparados'!U344</f>
        <v/>
      </c>
      <c r="C351">
        <f>'1 datos preparados'!B344</f>
        <v/>
      </c>
      <c r="D351" s="7">
        <f>'1 datos preparados'!C344</f>
        <v/>
      </c>
      <c r="E351" s="7">
        <f>'1 datos preparados'!D344</f>
        <v/>
      </c>
      <c r="F351" s="7">
        <f>'1 datos preparados'!E344</f>
        <v/>
      </c>
      <c r="G351" s="7">
        <f>'1 datos preparados'!F344</f>
        <v/>
      </c>
      <c r="H351" s="7">
        <f>'1 datos preparados'!G344</f>
        <v/>
      </c>
      <c r="I351" s="7">
        <f>'1 datos preparados'!H344</f>
        <v/>
      </c>
      <c r="J351" s="7">
        <f>'1 datos preparados'!I344</f>
        <v/>
      </c>
      <c r="K351" s="7">
        <f>'1 datos preparados'!J344</f>
        <v/>
      </c>
      <c r="L351" s="7">
        <f>'1 datos preparados'!K344</f>
        <v/>
      </c>
      <c r="M351" s="7">
        <f>'1 datos preparados'!L344</f>
        <v/>
      </c>
      <c r="N351" s="7">
        <f>'1 datos preparados'!M344</f>
        <v/>
      </c>
      <c r="O351" s="7">
        <f>'1 datos preparados'!N344</f>
        <v/>
      </c>
      <c r="P351" s="7">
        <f>'1 datos preparados'!O344</f>
        <v/>
      </c>
      <c r="Q351" s="7">
        <f>'1 datos preparados'!P344</f>
        <v/>
      </c>
      <c r="R351" s="7">
        <f>'1 datos preparados'!Q344</f>
        <v/>
      </c>
      <c r="S351" s="7">
        <f>'1 datos preparados'!R344</f>
        <v/>
      </c>
      <c r="T351" s="7">
        <f>'1 datos preparados'!S344</f>
        <v/>
      </c>
      <c r="U351" s="7">
        <f>'1 datos preparados'!T344</f>
        <v/>
      </c>
      <c r="V351" s="8">
        <f>$AE$12+D351*$AE$13+E351*$AE$14+F351*$AE$15+G351*$AE$16+H351*$AE$17+I351*$AE$18+J351*$AE$19+K351*$AE$20+L351*$AE$21+M351*$AE$22+N351*$AE$23+O351*$AE$24+P351*$AE$25+Q351*$AE$26+R351*$AE$27+S351*$AE$28+T351*$AE$29+U351*$AE$30</f>
        <v/>
      </c>
      <c r="W351" s="8">
        <f>1/(1+EXP(-V351))</f>
        <v/>
      </c>
      <c r="X351" s="9">
        <f>-IF(C351=1,LN(W351),LN(1-W351))</f>
        <v/>
      </c>
      <c r="Y351" s="8">
        <f>IF(C351=1,$AE$32,$AE$33)</f>
        <v/>
      </c>
      <c r="Z351" s="9">
        <f>Y351*X351</f>
        <v/>
      </c>
      <c r="AA351" s="10">
        <f>IF(W351&gt;$AE$34,1,0)</f>
        <v/>
      </c>
      <c r="AB351">
        <f>IF(AA351=C351,1,0)</f>
        <v/>
      </c>
    </row>
    <row r="352">
      <c r="A352">
        <f>'1 datos preparados'!A345</f>
        <v/>
      </c>
      <c r="B352" s="5">
        <f>'1 datos preparados'!U345</f>
        <v/>
      </c>
      <c r="C352">
        <f>'1 datos preparados'!B345</f>
        <v/>
      </c>
      <c r="D352" s="7">
        <f>'1 datos preparados'!C345</f>
        <v/>
      </c>
      <c r="E352" s="7">
        <f>'1 datos preparados'!D345</f>
        <v/>
      </c>
      <c r="F352" s="7">
        <f>'1 datos preparados'!E345</f>
        <v/>
      </c>
      <c r="G352" s="7">
        <f>'1 datos preparados'!F345</f>
        <v/>
      </c>
      <c r="H352" s="7">
        <f>'1 datos preparados'!G345</f>
        <v/>
      </c>
      <c r="I352" s="7">
        <f>'1 datos preparados'!H345</f>
        <v/>
      </c>
      <c r="J352" s="7">
        <f>'1 datos preparados'!I345</f>
        <v/>
      </c>
      <c r="K352" s="7">
        <f>'1 datos preparados'!J345</f>
        <v/>
      </c>
      <c r="L352" s="7">
        <f>'1 datos preparados'!K345</f>
        <v/>
      </c>
      <c r="M352" s="7">
        <f>'1 datos preparados'!L345</f>
        <v/>
      </c>
      <c r="N352" s="7">
        <f>'1 datos preparados'!M345</f>
        <v/>
      </c>
      <c r="O352" s="7">
        <f>'1 datos preparados'!N345</f>
        <v/>
      </c>
      <c r="P352" s="7">
        <f>'1 datos preparados'!O345</f>
        <v/>
      </c>
      <c r="Q352" s="7">
        <f>'1 datos preparados'!P345</f>
        <v/>
      </c>
      <c r="R352" s="7">
        <f>'1 datos preparados'!Q345</f>
        <v/>
      </c>
      <c r="S352" s="7">
        <f>'1 datos preparados'!R345</f>
        <v/>
      </c>
      <c r="T352" s="7">
        <f>'1 datos preparados'!S345</f>
        <v/>
      </c>
      <c r="U352" s="7">
        <f>'1 datos preparados'!T345</f>
        <v/>
      </c>
      <c r="V352" s="8">
        <f>$AE$12+D352*$AE$13+E352*$AE$14+F352*$AE$15+G352*$AE$16+H352*$AE$17+I352*$AE$18+J352*$AE$19+K352*$AE$20+L352*$AE$21+M352*$AE$22+N352*$AE$23+O352*$AE$24+P352*$AE$25+Q352*$AE$26+R352*$AE$27+S352*$AE$28+T352*$AE$29+U352*$AE$30</f>
        <v/>
      </c>
      <c r="W352" s="8">
        <f>1/(1+EXP(-V352))</f>
        <v/>
      </c>
      <c r="X352" s="9">
        <f>-IF(C352=1,LN(W352),LN(1-W352))</f>
        <v/>
      </c>
      <c r="Y352" s="8">
        <f>IF(C352=1,$AE$32,$AE$33)</f>
        <v/>
      </c>
      <c r="Z352" s="9">
        <f>Y352*X352</f>
        <v/>
      </c>
      <c r="AA352" s="10">
        <f>IF(W352&gt;$AE$34,1,0)</f>
        <v/>
      </c>
      <c r="AB352">
        <f>IF(AA352=C352,1,0)</f>
        <v/>
      </c>
    </row>
    <row r="353">
      <c r="A353">
        <f>'1 datos preparados'!A346</f>
        <v/>
      </c>
      <c r="B353" s="5">
        <f>'1 datos preparados'!U346</f>
        <v/>
      </c>
      <c r="C353">
        <f>'1 datos preparados'!B346</f>
        <v/>
      </c>
      <c r="D353" s="7">
        <f>'1 datos preparados'!C346</f>
        <v/>
      </c>
      <c r="E353" s="7">
        <f>'1 datos preparados'!D346</f>
        <v/>
      </c>
      <c r="F353" s="7">
        <f>'1 datos preparados'!E346</f>
        <v/>
      </c>
      <c r="G353" s="7">
        <f>'1 datos preparados'!F346</f>
        <v/>
      </c>
      <c r="H353" s="7">
        <f>'1 datos preparados'!G346</f>
        <v/>
      </c>
      <c r="I353" s="7">
        <f>'1 datos preparados'!H346</f>
        <v/>
      </c>
      <c r="J353" s="7">
        <f>'1 datos preparados'!I346</f>
        <v/>
      </c>
      <c r="K353" s="7">
        <f>'1 datos preparados'!J346</f>
        <v/>
      </c>
      <c r="L353" s="7">
        <f>'1 datos preparados'!K346</f>
        <v/>
      </c>
      <c r="M353" s="7">
        <f>'1 datos preparados'!L346</f>
        <v/>
      </c>
      <c r="N353" s="7">
        <f>'1 datos preparados'!M346</f>
        <v/>
      </c>
      <c r="O353" s="7">
        <f>'1 datos preparados'!N346</f>
        <v/>
      </c>
      <c r="P353" s="7">
        <f>'1 datos preparados'!O346</f>
        <v/>
      </c>
      <c r="Q353" s="7">
        <f>'1 datos preparados'!P346</f>
        <v/>
      </c>
      <c r="R353" s="7">
        <f>'1 datos preparados'!Q346</f>
        <v/>
      </c>
      <c r="S353" s="7">
        <f>'1 datos preparados'!R346</f>
        <v/>
      </c>
      <c r="T353" s="7">
        <f>'1 datos preparados'!S346</f>
        <v/>
      </c>
      <c r="U353" s="7">
        <f>'1 datos preparados'!T346</f>
        <v/>
      </c>
      <c r="V353" s="8">
        <f>$AE$12+D353*$AE$13+E353*$AE$14+F353*$AE$15+G353*$AE$16+H353*$AE$17+I353*$AE$18+J353*$AE$19+K353*$AE$20+L353*$AE$21+M353*$AE$22+N353*$AE$23+O353*$AE$24+P353*$AE$25+Q353*$AE$26+R353*$AE$27+S353*$AE$28+T353*$AE$29+U353*$AE$30</f>
        <v/>
      </c>
      <c r="W353" s="8">
        <f>1/(1+EXP(-V353))</f>
        <v/>
      </c>
      <c r="X353" s="9">
        <f>-IF(C353=1,LN(W353),LN(1-W353))</f>
        <v/>
      </c>
      <c r="Y353" s="8">
        <f>IF(C353=1,$AE$32,$AE$33)</f>
        <v/>
      </c>
      <c r="Z353" s="9">
        <f>Y353*X353</f>
        <v/>
      </c>
      <c r="AA353" s="10">
        <f>IF(W353&gt;$AE$34,1,0)</f>
        <v/>
      </c>
      <c r="AB353">
        <f>IF(AA353=C353,1,0)</f>
        <v/>
      </c>
    </row>
    <row r="354">
      <c r="A354">
        <f>'1 datos preparados'!A347</f>
        <v/>
      </c>
      <c r="B354" s="5">
        <f>'1 datos preparados'!U347</f>
        <v/>
      </c>
      <c r="C354">
        <f>'1 datos preparados'!B347</f>
        <v/>
      </c>
      <c r="D354" s="7">
        <f>'1 datos preparados'!C347</f>
        <v/>
      </c>
      <c r="E354" s="7">
        <f>'1 datos preparados'!D347</f>
        <v/>
      </c>
      <c r="F354" s="7">
        <f>'1 datos preparados'!E347</f>
        <v/>
      </c>
      <c r="G354" s="7">
        <f>'1 datos preparados'!F347</f>
        <v/>
      </c>
      <c r="H354" s="7">
        <f>'1 datos preparados'!G347</f>
        <v/>
      </c>
      <c r="I354" s="7">
        <f>'1 datos preparados'!H347</f>
        <v/>
      </c>
      <c r="J354" s="7">
        <f>'1 datos preparados'!I347</f>
        <v/>
      </c>
      <c r="K354" s="7">
        <f>'1 datos preparados'!J347</f>
        <v/>
      </c>
      <c r="L354" s="7">
        <f>'1 datos preparados'!K347</f>
        <v/>
      </c>
      <c r="M354" s="7">
        <f>'1 datos preparados'!L347</f>
        <v/>
      </c>
      <c r="N354" s="7">
        <f>'1 datos preparados'!M347</f>
        <v/>
      </c>
      <c r="O354" s="7">
        <f>'1 datos preparados'!N347</f>
        <v/>
      </c>
      <c r="P354" s="7">
        <f>'1 datos preparados'!O347</f>
        <v/>
      </c>
      <c r="Q354" s="7">
        <f>'1 datos preparados'!P347</f>
        <v/>
      </c>
      <c r="R354" s="7">
        <f>'1 datos preparados'!Q347</f>
        <v/>
      </c>
      <c r="S354" s="7">
        <f>'1 datos preparados'!R347</f>
        <v/>
      </c>
      <c r="T354" s="7">
        <f>'1 datos preparados'!S347</f>
        <v/>
      </c>
      <c r="U354" s="7">
        <f>'1 datos preparados'!T347</f>
        <v/>
      </c>
      <c r="V354" s="8">
        <f>$AE$12+D354*$AE$13+E354*$AE$14+F354*$AE$15+G354*$AE$16+H354*$AE$17+I354*$AE$18+J354*$AE$19+K354*$AE$20+L354*$AE$21+M354*$AE$22+N354*$AE$23+O354*$AE$24+P354*$AE$25+Q354*$AE$26+R354*$AE$27+S354*$AE$28+T354*$AE$29+U354*$AE$30</f>
        <v/>
      </c>
      <c r="W354" s="8">
        <f>1/(1+EXP(-V354))</f>
        <v/>
      </c>
      <c r="X354" s="9">
        <f>-IF(C354=1,LN(W354),LN(1-W354))</f>
        <v/>
      </c>
      <c r="Y354" s="8">
        <f>IF(C354=1,$AE$32,$AE$33)</f>
        <v/>
      </c>
      <c r="Z354" s="9">
        <f>Y354*X354</f>
        <v/>
      </c>
      <c r="AA354" s="10">
        <f>IF(W354&gt;$AE$34,1,0)</f>
        <v/>
      </c>
      <c r="AB354">
        <f>IF(AA354=C354,1,0)</f>
        <v/>
      </c>
    </row>
    <row r="355">
      <c r="A355">
        <f>'1 datos preparados'!A348</f>
        <v/>
      </c>
      <c r="B355" s="5">
        <f>'1 datos preparados'!U348</f>
        <v/>
      </c>
      <c r="C355">
        <f>'1 datos preparados'!B348</f>
        <v/>
      </c>
      <c r="D355" s="7">
        <f>'1 datos preparados'!C348</f>
        <v/>
      </c>
      <c r="E355" s="7">
        <f>'1 datos preparados'!D348</f>
        <v/>
      </c>
      <c r="F355" s="7">
        <f>'1 datos preparados'!E348</f>
        <v/>
      </c>
      <c r="G355" s="7">
        <f>'1 datos preparados'!F348</f>
        <v/>
      </c>
      <c r="H355" s="7">
        <f>'1 datos preparados'!G348</f>
        <v/>
      </c>
      <c r="I355" s="7">
        <f>'1 datos preparados'!H348</f>
        <v/>
      </c>
      <c r="J355" s="7">
        <f>'1 datos preparados'!I348</f>
        <v/>
      </c>
      <c r="K355" s="7">
        <f>'1 datos preparados'!J348</f>
        <v/>
      </c>
      <c r="L355" s="7">
        <f>'1 datos preparados'!K348</f>
        <v/>
      </c>
      <c r="M355" s="7">
        <f>'1 datos preparados'!L348</f>
        <v/>
      </c>
      <c r="N355" s="7">
        <f>'1 datos preparados'!M348</f>
        <v/>
      </c>
      <c r="O355" s="7">
        <f>'1 datos preparados'!N348</f>
        <v/>
      </c>
      <c r="P355" s="7">
        <f>'1 datos preparados'!O348</f>
        <v/>
      </c>
      <c r="Q355" s="7">
        <f>'1 datos preparados'!P348</f>
        <v/>
      </c>
      <c r="R355" s="7">
        <f>'1 datos preparados'!Q348</f>
        <v/>
      </c>
      <c r="S355" s="7">
        <f>'1 datos preparados'!R348</f>
        <v/>
      </c>
      <c r="T355" s="7">
        <f>'1 datos preparados'!S348</f>
        <v/>
      </c>
      <c r="U355" s="7">
        <f>'1 datos preparados'!T348</f>
        <v/>
      </c>
      <c r="V355" s="8">
        <f>$AE$12+D355*$AE$13+E355*$AE$14+F355*$AE$15+G355*$AE$16+H355*$AE$17+I355*$AE$18+J355*$AE$19+K355*$AE$20+L355*$AE$21+M355*$AE$22+N355*$AE$23+O355*$AE$24+P355*$AE$25+Q355*$AE$26+R355*$AE$27+S355*$AE$28+T355*$AE$29+U355*$AE$30</f>
        <v/>
      </c>
      <c r="W355" s="8">
        <f>1/(1+EXP(-V355))</f>
        <v/>
      </c>
      <c r="X355" s="9">
        <f>-IF(C355=1,LN(W355),LN(1-W355))</f>
        <v/>
      </c>
      <c r="Y355" s="8">
        <f>IF(C355=1,$AE$32,$AE$33)</f>
        <v/>
      </c>
      <c r="Z355" s="9">
        <f>Y355*X355</f>
        <v/>
      </c>
      <c r="AA355" s="10">
        <f>IF(W355&gt;$AE$34,1,0)</f>
        <v/>
      </c>
      <c r="AB355">
        <f>IF(AA355=C355,1,0)</f>
        <v/>
      </c>
    </row>
    <row r="356">
      <c r="A356">
        <f>'1 datos preparados'!A349</f>
        <v/>
      </c>
      <c r="B356" s="5">
        <f>'1 datos preparados'!U349</f>
        <v/>
      </c>
      <c r="C356">
        <f>'1 datos preparados'!B349</f>
        <v/>
      </c>
      <c r="D356" s="7">
        <f>'1 datos preparados'!C349</f>
        <v/>
      </c>
      <c r="E356" s="7">
        <f>'1 datos preparados'!D349</f>
        <v/>
      </c>
      <c r="F356" s="7">
        <f>'1 datos preparados'!E349</f>
        <v/>
      </c>
      <c r="G356" s="7">
        <f>'1 datos preparados'!F349</f>
        <v/>
      </c>
      <c r="H356" s="7">
        <f>'1 datos preparados'!G349</f>
        <v/>
      </c>
      <c r="I356" s="7">
        <f>'1 datos preparados'!H349</f>
        <v/>
      </c>
      <c r="J356" s="7">
        <f>'1 datos preparados'!I349</f>
        <v/>
      </c>
      <c r="K356" s="7">
        <f>'1 datos preparados'!J349</f>
        <v/>
      </c>
      <c r="L356" s="7">
        <f>'1 datos preparados'!K349</f>
        <v/>
      </c>
      <c r="M356" s="7">
        <f>'1 datos preparados'!L349</f>
        <v/>
      </c>
      <c r="N356" s="7">
        <f>'1 datos preparados'!M349</f>
        <v/>
      </c>
      <c r="O356" s="7">
        <f>'1 datos preparados'!N349</f>
        <v/>
      </c>
      <c r="P356" s="7">
        <f>'1 datos preparados'!O349</f>
        <v/>
      </c>
      <c r="Q356" s="7">
        <f>'1 datos preparados'!P349</f>
        <v/>
      </c>
      <c r="R356" s="7">
        <f>'1 datos preparados'!Q349</f>
        <v/>
      </c>
      <c r="S356" s="7">
        <f>'1 datos preparados'!R349</f>
        <v/>
      </c>
      <c r="T356" s="7">
        <f>'1 datos preparados'!S349</f>
        <v/>
      </c>
      <c r="U356" s="7">
        <f>'1 datos preparados'!T349</f>
        <v/>
      </c>
      <c r="V356" s="8">
        <f>$AE$12+D356*$AE$13+E356*$AE$14+F356*$AE$15+G356*$AE$16+H356*$AE$17+I356*$AE$18+J356*$AE$19+K356*$AE$20+L356*$AE$21+M356*$AE$22+N356*$AE$23+O356*$AE$24+P356*$AE$25+Q356*$AE$26+R356*$AE$27+S356*$AE$28+T356*$AE$29+U356*$AE$30</f>
        <v/>
      </c>
      <c r="W356" s="8">
        <f>1/(1+EXP(-V356))</f>
        <v/>
      </c>
      <c r="X356" s="9">
        <f>-IF(C356=1,LN(W356),LN(1-W356))</f>
        <v/>
      </c>
      <c r="Y356" s="8">
        <f>IF(C356=1,$AE$32,$AE$33)</f>
        <v/>
      </c>
      <c r="Z356" s="9">
        <f>Y356*X356</f>
        <v/>
      </c>
      <c r="AA356" s="10">
        <f>IF(W356&gt;$AE$34,1,0)</f>
        <v/>
      </c>
      <c r="AB356">
        <f>IF(AA356=C356,1,0)</f>
        <v/>
      </c>
    </row>
    <row r="357">
      <c r="A357">
        <f>'1 datos preparados'!A350</f>
        <v/>
      </c>
      <c r="B357" s="5">
        <f>'1 datos preparados'!U350</f>
        <v/>
      </c>
      <c r="C357">
        <f>'1 datos preparados'!B350</f>
        <v/>
      </c>
      <c r="D357" s="7">
        <f>'1 datos preparados'!C350</f>
        <v/>
      </c>
      <c r="E357" s="7">
        <f>'1 datos preparados'!D350</f>
        <v/>
      </c>
      <c r="F357" s="7">
        <f>'1 datos preparados'!E350</f>
        <v/>
      </c>
      <c r="G357" s="7">
        <f>'1 datos preparados'!F350</f>
        <v/>
      </c>
      <c r="H357" s="7">
        <f>'1 datos preparados'!G350</f>
        <v/>
      </c>
      <c r="I357" s="7">
        <f>'1 datos preparados'!H350</f>
        <v/>
      </c>
      <c r="J357" s="7">
        <f>'1 datos preparados'!I350</f>
        <v/>
      </c>
      <c r="K357" s="7">
        <f>'1 datos preparados'!J350</f>
        <v/>
      </c>
      <c r="L357" s="7">
        <f>'1 datos preparados'!K350</f>
        <v/>
      </c>
      <c r="M357" s="7">
        <f>'1 datos preparados'!L350</f>
        <v/>
      </c>
      <c r="N357" s="7">
        <f>'1 datos preparados'!M350</f>
        <v/>
      </c>
      <c r="O357" s="7">
        <f>'1 datos preparados'!N350</f>
        <v/>
      </c>
      <c r="P357" s="7">
        <f>'1 datos preparados'!O350</f>
        <v/>
      </c>
      <c r="Q357" s="7">
        <f>'1 datos preparados'!P350</f>
        <v/>
      </c>
      <c r="R357" s="7">
        <f>'1 datos preparados'!Q350</f>
        <v/>
      </c>
      <c r="S357" s="7">
        <f>'1 datos preparados'!R350</f>
        <v/>
      </c>
      <c r="T357" s="7">
        <f>'1 datos preparados'!S350</f>
        <v/>
      </c>
      <c r="U357" s="7">
        <f>'1 datos preparados'!T350</f>
        <v/>
      </c>
      <c r="V357" s="8">
        <f>$AE$12+D357*$AE$13+E357*$AE$14+F357*$AE$15+G357*$AE$16+H357*$AE$17+I357*$AE$18+J357*$AE$19+K357*$AE$20+L357*$AE$21+M357*$AE$22+N357*$AE$23+O357*$AE$24+P357*$AE$25+Q357*$AE$26+R357*$AE$27+S357*$AE$28+T357*$AE$29+U357*$AE$30</f>
        <v/>
      </c>
      <c r="W357" s="8">
        <f>1/(1+EXP(-V357))</f>
        <v/>
      </c>
      <c r="X357" s="9">
        <f>-IF(C357=1,LN(W357),LN(1-W357))</f>
        <v/>
      </c>
      <c r="Y357" s="8">
        <f>IF(C357=1,$AE$32,$AE$33)</f>
        <v/>
      </c>
      <c r="Z357" s="9">
        <f>Y357*X357</f>
        <v/>
      </c>
      <c r="AA357" s="10">
        <f>IF(W357&gt;$AE$34,1,0)</f>
        <v/>
      </c>
      <c r="AB357">
        <f>IF(AA357=C357,1,0)</f>
        <v/>
      </c>
    </row>
    <row r="358">
      <c r="A358">
        <f>'1 datos preparados'!A351</f>
        <v/>
      </c>
      <c r="B358" s="5">
        <f>'1 datos preparados'!U351</f>
        <v/>
      </c>
      <c r="C358">
        <f>'1 datos preparados'!B351</f>
        <v/>
      </c>
      <c r="D358" s="7">
        <f>'1 datos preparados'!C351</f>
        <v/>
      </c>
      <c r="E358" s="7">
        <f>'1 datos preparados'!D351</f>
        <v/>
      </c>
      <c r="F358" s="7">
        <f>'1 datos preparados'!E351</f>
        <v/>
      </c>
      <c r="G358" s="7">
        <f>'1 datos preparados'!F351</f>
        <v/>
      </c>
      <c r="H358" s="7">
        <f>'1 datos preparados'!G351</f>
        <v/>
      </c>
      <c r="I358" s="7">
        <f>'1 datos preparados'!H351</f>
        <v/>
      </c>
      <c r="J358" s="7">
        <f>'1 datos preparados'!I351</f>
        <v/>
      </c>
      <c r="K358" s="7">
        <f>'1 datos preparados'!J351</f>
        <v/>
      </c>
      <c r="L358" s="7">
        <f>'1 datos preparados'!K351</f>
        <v/>
      </c>
      <c r="M358" s="7">
        <f>'1 datos preparados'!L351</f>
        <v/>
      </c>
      <c r="N358" s="7">
        <f>'1 datos preparados'!M351</f>
        <v/>
      </c>
      <c r="O358" s="7">
        <f>'1 datos preparados'!N351</f>
        <v/>
      </c>
      <c r="P358" s="7">
        <f>'1 datos preparados'!O351</f>
        <v/>
      </c>
      <c r="Q358" s="7">
        <f>'1 datos preparados'!P351</f>
        <v/>
      </c>
      <c r="R358" s="7">
        <f>'1 datos preparados'!Q351</f>
        <v/>
      </c>
      <c r="S358" s="7">
        <f>'1 datos preparados'!R351</f>
        <v/>
      </c>
      <c r="T358" s="7">
        <f>'1 datos preparados'!S351</f>
        <v/>
      </c>
      <c r="U358" s="7">
        <f>'1 datos preparados'!T351</f>
        <v/>
      </c>
      <c r="V358" s="8">
        <f>$AE$12+D358*$AE$13+E358*$AE$14+F358*$AE$15+G358*$AE$16+H358*$AE$17+I358*$AE$18+J358*$AE$19+K358*$AE$20+L358*$AE$21+M358*$AE$22+N358*$AE$23+O358*$AE$24+P358*$AE$25+Q358*$AE$26+R358*$AE$27+S358*$AE$28+T358*$AE$29+U358*$AE$30</f>
        <v/>
      </c>
      <c r="W358" s="8">
        <f>1/(1+EXP(-V358))</f>
        <v/>
      </c>
      <c r="X358" s="9">
        <f>-IF(C358=1,LN(W358),LN(1-W358))</f>
        <v/>
      </c>
      <c r="Y358" s="8">
        <f>IF(C358=1,$AE$32,$AE$33)</f>
        <v/>
      </c>
      <c r="Z358" s="9">
        <f>Y358*X358</f>
        <v/>
      </c>
      <c r="AA358" s="10">
        <f>IF(W358&gt;$AE$34,1,0)</f>
        <v/>
      </c>
      <c r="AB358">
        <f>IF(AA358=C358,1,0)</f>
        <v/>
      </c>
    </row>
    <row r="359">
      <c r="A359">
        <f>'1 datos preparados'!A352</f>
        <v/>
      </c>
      <c r="B359" s="5">
        <f>'1 datos preparados'!U352</f>
        <v/>
      </c>
      <c r="C359">
        <f>'1 datos preparados'!B352</f>
        <v/>
      </c>
      <c r="D359" s="7">
        <f>'1 datos preparados'!C352</f>
        <v/>
      </c>
      <c r="E359" s="7">
        <f>'1 datos preparados'!D352</f>
        <v/>
      </c>
      <c r="F359" s="7">
        <f>'1 datos preparados'!E352</f>
        <v/>
      </c>
      <c r="G359" s="7">
        <f>'1 datos preparados'!F352</f>
        <v/>
      </c>
      <c r="H359" s="7">
        <f>'1 datos preparados'!G352</f>
        <v/>
      </c>
      <c r="I359" s="7">
        <f>'1 datos preparados'!H352</f>
        <v/>
      </c>
      <c r="J359" s="7">
        <f>'1 datos preparados'!I352</f>
        <v/>
      </c>
      <c r="K359" s="7">
        <f>'1 datos preparados'!J352</f>
        <v/>
      </c>
      <c r="L359" s="7">
        <f>'1 datos preparados'!K352</f>
        <v/>
      </c>
      <c r="M359" s="7">
        <f>'1 datos preparados'!L352</f>
        <v/>
      </c>
      <c r="N359" s="7">
        <f>'1 datos preparados'!M352</f>
        <v/>
      </c>
      <c r="O359" s="7">
        <f>'1 datos preparados'!N352</f>
        <v/>
      </c>
      <c r="P359" s="7">
        <f>'1 datos preparados'!O352</f>
        <v/>
      </c>
      <c r="Q359" s="7">
        <f>'1 datos preparados'!P352</f>
        <v/>
      </c>
      <c r="R359" s="7">
        <f>'1 datos preparados'!Q352</f>
        <v/>
      </c>
      <c r="S359" s="7">
        <f>'1 datos preparados'!R352</f>
        <v/>
      </c>
      <c r="T359" s="7">
        <f>'1 datos preparados'!S352</f>
        <v/>
      </c>
      <c r="U359" s="7">
        <f>'1 datos preparados'!T352</f>
        <v/>
      </c>
      <c r="V359" s="8">
        <f>$AE$12+D359*$AE$13+E359*$AE$14+F359*$AE$15+G359*$AE$16+H359*$AE$17+I359*$AE$18+J359*$AE$19+K359*$AE$20+L359*$AE$21+M359*$AE$22+N359*$AE$23+O359*$AE$24+P359*$AE$25+Q359*$AE$26+R359*$AE$27+S359*$AE$28+T359*$AE$29+U359*$AE$30</f>
        <v/>
      </c>
      <c r="W359" s="8">
        <f>1/(1+EXP(-V359))</f>
        <v/>
      </c>
      <c r="X359" s="9">
        <f>-IF(C359=1,LN(W359),LN(1-W359))</f>
        <v/>
      </c>
      <c r="Y359" s="8">
        <f>IF(C359=1,$AE$32,$AE$33)</f>
        <v/>
      </c>
      <c r="Z359" s="9">
        <f>Y359*X359</f>
        <v/>
      </c>
      <c r="AA359" s="10">
        <f>IF(W359&gt;$AE$34,1,0)</f>
        <v/>
      </c>
      <c r="AB359">
        <f>IF(AA359=C359,1,0)</f>
        <v/>
      </c>
    </row>
    <row r="360">
      <c r="A360">
        <f>'1 datos preparados'!A353</f>
        <v/>
      </c>
      <c r="B360" s="5">
        <f>'1 datos preparados'!U353</f>
        <v/>
      </c>
      <c r="C360">
        <f>'1 datos preparados'!B353</f>
        <v/>
      </c>
      <c r="D360" s="7">
        <f>'1 datos preparados'!C353</f>
        <v/>
      </c>
      <c r="E360" s="7">
        <f>'1 datos preparados'!D353</f>
        <v/>
      </c>
      <c r="F360" s="7">
        <f>'1 datos preparados'!E353</f>
        <v/>
      </c>
      <c r="G360" s="7">
        <f>'1 datos preparados'!F353</f>
        <v/>
      </c>
      <c r="H360" s="7">
        <f>'1 datos preparados'!G353</f>
        <v/>
      </c>
      <c r="I360" s="7">
        <f>'1 datos preparados'!H353</f>
        <v/>
      </c>
      <c r="J360" s="7">
        <f>'1 datos preparados'!I353</f>
        <v/>
      </c>
      <c r="K360" s="7">
        <f>'1 datos preparados'!J353</f>
        <v/>
      </c>
      <c r="L360" s="7">
        <f>'1 datos preparados'!K353</f>
        <v/>
      </c>
      <c r="M360" s="7">
        <f>'1 datos preparados'!L353</f>
        <v/>
      </c>
      <c r="N360" s="7">
        <f>'1 datos preparados'!M353</f>
        <v/>
      </c>
      <c r="O360" s="7">
        <f>'1 datos preparados'!N353</f>
        <v/>
      </c>
      <c r="P360" s="7">
        <f>'1 datos preparados'!O353</f>
        <v/>
      </c>
      <c r="Q360" s="7">
        <f>'1 datos preparados'!P353</f>
        <v/>
      </c>
      <c r="R360" s="7">
        <f>'1 datos preparados'!Q353</f>
        <v/>
      </c>
      <c r="S360" s="7">
        <f>'1 datos preparados'!R353</f>
        <v/>
      </c>
      <c r="T360" s="7">
        <f>'1 datos preparados'!S353</f>
        <v/>
      </c>
      <c r="U360" s="7">
        <f>'1 datos preparados'!T353</f>
        <v/>
      </c>
      <c r="V360" s="8">
        <f>$AE$12+D360*$AE$13+E360*$AE$14+F360*$AE$15+G360*$AE$16+H360*$AE$17+I360*$AE$18+J360*$AE$19+K360*$AE$20+L360*$AE$21+M360*$AE$22+N360*$AE$23+O360*$AE$24+P360*$AE$25+Q360*$AE$26+R360*$AE$27+S360*$AE$28+T360*$AE$29+U360*$AE$30</f>
        <v/>
      </c>
      <c r="W360" s="8">
        <f>1/(1+EXP(-V360))</f>
        <v/>
      </c>
      <c r="X360" s="9">
        <f>-IF(C360=1,LN(W360),LN(1-W360))</f>
        <v/>
      </c>
      <c r="Y360" s="8">
        <f>IF(C360=1,$AE$32,$AE$33)</f>
        <v/>
      </c>
      <c r="Z360" s="9">
        <f>Y360*X360</f>
        <v/>
      </c>
      <c r="AA360" s="10">
        <f>IF(W360&gt;$AE$34,1,0)</f>
        <v/>
      </c>
      <c r="AB360">
        <f>IF(AA360=C360,1,0)</f>
        <v/>
      </c>
    </row>
    <row r="361">
      <c r="A361">
        <f>'1 datos preparados'!A354</f>
        <v/>
      </c>
      <c r="B361" s="5">
        <f>'1 datos preparados'!U354</f>
        <v/>
      </c>
      <c r="C361">
        <f>'1 datos preparados'!B354</f>
        <v/>
      </c>
      <c r="D361" s="7">
        <f>'1 datos preparados'!C354</f>
        <v/>
      </c>
      <c r="E361" s="7">
        <f>'1 datos preparados'!D354</f>
        <v/>
      </c>
      <c r="F361" s="7">
        <f>'1 datos preparados'!E354</f>
        <v/>
      </c>
      <c r="G361" s="7">
        <f>'1 datos preparados'!F354</f>
        <v/>
      </c>
      <c r="H361" s="7">
        <f>'1 datos preparados'!G354</f>
        <v/>
      </c>
      <c r="I361" s="7">
        <f>'1 datos preparados'!H354</f>
        <v/>
      </c>
      <c r="J361" s="7">
        <f>'1 datos preparados'!I354</f>
        <v/>
      </c>
      <c r="K361" s="7">
        <f>'1 datos preparados'!J354</f>
        <v/>
      </c>
      <c r="L361" s="7">
        <f>'1 datos preparados'!K354</f>
        <v/>
      </c>
      <c r="M361" s="7">
        <f>'1 datos preparados'!L354</f>
        <v/>
      </c>
      <c r="N361" s="7">
        <f>'1 datos preparados'!M354</f>
        <v/>
      </c>
      <c r="O361" s="7">
        <f>'1 datos preparados'!N354</f>
        <v/>
      </c>
      <c r="P361" s="7">
        <f>'1 datos preparados'!O354</f>
        <v/>
      </c>
      <c r="Q361" s="7">
        <f>'1 datos preparados'!P354</f>
        <v/>
      </c>
      <c r="R361" s="7">
        <f>'1 datos preparados'!Q354</f>
        <v/>
      </c>
      <c r="S361" s="7">
        <f>'1 datos preparados'!R354</f>
        <v/>
      </c>
      <c r="T361" s="7">
        <f>'1 datos preparados'!S354</f>
        <v/>
      </c>
      <c r="U361" s="7">
        <f>'1 datos preparados'!T354</f>
        <v/>
      </c>
      <c r="V361" s="8">
        <f>$AE$12+D361*$AE$13+E361*$AE$14+F361*$AE$15+G361*$AE$16+H361*$AE$17+I361*$AE$18+J361*$AE$19+K361*$AE$20+L361*$AE$21+M361*$AE$22+N361*$AE$23+O361*$AE$24+P361*$AE$25+Q361*$AE$26+R361*$AE$27+S361*$AE$28+T361*$AE$29+U361*$AE$30</f>
        <v/>
      </c>
      <c r="W361" s="8">
        <f>1/(1+EXP(-V361))</f>
        <v/>
      </c>
      <c r="X361" s="9">
        <f>-IF(C361=1,LN(W361),LN(1-W361))</f>
        <v/>
      </c>
      <c r="Y361" s="8">
        <f>IF(C361=1,$AE$32,$AE$33)</f>
        <v/>
      </c>
      <c r="Z361" s="9">
        <f>Y361*X361</f>
        <v/>
      </c>
      <c r="AA361" s="10">
        <f>IF(W361&gt;$AE$34,1,0)</f>
        <v/>
      </c>
      <c r="AB361">
        <f>IF(AA361=C361,1,0)</f>
        <v/>
      </c>
    </row>
    <row r="362">
      <c r="A362">
        <f>'1 datos preparados'!A355</f>
        <v/>
      </c>
      <c r="B362" s="5">
        <f>'1 datos preparados'!U355</f>
        <v/>
      </c>
      <c r="C362">
        <f>'1 datos preparados'!B355</f>
        <v/>
      </c>
      <c r="D362" s="7">
        <f>'1 datos preparados'!C355</f>
        <v/>
      </c>
      <c r="E362" s="7">
        <f>'1 datos preparados'!D355</f>
        <v/>
      </c>
      <c r="F362" s="7">
        <f>'1 datos preparados'!E355</f>
        <v/>
      </c>
      <c r="G362" s="7">
        <f>'1 datos preparados'!F355</f>
        <v/>
      </c>
      <c r="H362" s="7">
        <f>'1 datos preparados'!G355</f>
        <v/>
      </c>
      <c r="I362" s="7">
        <f>'1 datos preparados'!H355</f>
        <v/>
      </c>
      <c r="J362" s="7">
        <f>'1 datos preparados'!I355</f>
        <v/>
      </c>
      <c r="K362" s="7">
        <f>'1 datos preparados'!J355</f>
        <v/>
      </c>
      <c r="L362" s="7">
        <f>'1 datos preparados'!K355</f>
        <v/>
      </c>
      <c r="M362" s="7">
        <f>'1 datos preparados'!L355</f>
        <v/>
      </c>
      <c r="N362" s="7">
        <f>'1 datos preparados'!M355</f>
        <v/>
      </c>
      <c r="O362" s="7">
        <f>'1 datos preparados'!N355</f>
        <v/>
      </c>
      <c r="P362" s="7">
        <f>'1 datos preparados'!O355</f>
        <v/>
      </c>
      <c r="Q362" s="7">
        <f>'1 datos preparados'!P355</f>
        <v/>
      </c>
      <c r="R362" s="7">
        <f>'1 datos preparados'!Q355</f>
        <v/>
      </c>
      <c r="S362" s="7">
        <f>'1 datos preparados'!R355</f>
        <v/>
      </c>
      <c r="T362" s="7">
        <f>'1 datos preparados'!S355</f>
        <v/>
      </c>
      <c r="U362" s="7">
        <f>'1 datos preparados'!T355</f>
        <v/>
      </c>
      <c r="V362" s="8">
        <f>$AE$12+D362*$AE$13+E362*$AE$14+F362*$AE$15+G362*$AE$16+H362*$AE$17+I362*$AE$18+J362*$AE$19+K362*$AE$20+L362*$AE$21+M362*$AE$22+N362*$AE$23+O362*$AE$24+P362*$AE$25+Q362*$AE$26+R362*$AE$27+S362*$AE$28+T362*$AE$29+U362*$AE$30</f>
        <v/>
      </c>
      <c r="W362" s="8">
        <f>1/(1+EXP(-V362))</f>
        <v/>
      </c>
      <c r="X362" s="9">
        <f>-IF(C362=1,LN(W362),LN(1-W362))</f>
        <v/>
      </c>
      <c r="Y362" s="8">
        <f>IF(C362=1,$AE$32,$AE$33)</f>
        <v/>
      </c>
      <c r="Z362" s="9">
        <f>Y362*X362</f>
        <v/>
      </c>
      <c r="AA362" s="10">
        <f>IF(W362&gt;$AE$34,1,0)</f>
        <v/>
      </c>
      <c r="AB362">
        <f>IF(AA362=C362,1,0)</f>
        <v/>
      </c>
    </row>
    <row r="363">
      <c r="A363">
        <f>'1 datos preparados'!A356</f>
        <v/>
      </c>
      <c r="B363" s="5">
        <f>'1 datos preparados'!U356</f>
        <v/>
      </c>
      <c r="C363">
        <f>'1 datos preparados'!B356</f>
        <v/>
      </c>
      <c r="D363" s="7">
        <f>'1 datos preparados'!C356</f>
        <v/>
      </c>
      <c r="E363" s="7">
        <f>'1 datos preparados'!D356</f>
        <v/>
      </c>
      <c r="F363" s="7">
        <f>'1 datos preparados'!E356</f>
        <v/>
      </c>
      <c r="G363" s="7">
        <f>'1 datos preparados'!F356</f>
        <v/>
      </c>
      <c r="H363" s="7">
        <f>'1 datos preparados'!G356</f>
        <v/>
      </c>
      <c r="I363" s="7">
        <f>'1 datos preparados'!H356</f>
        <v/>
      </c>
      <c r="J363" s="7">
        <f>'1 datos preparados'!I356</f>
        <v/>
      </c>
      <c r="K363" s="7">
        <f>'1 datos preparados'!J356</f>
        <v/>
      </c>
      <c r="L363" s="7">
        <f>'1 datos preparados'!K356</f>
        <v/>
      </c>
      <c r="M363" s="7">
        <f>'1 datos preparados'!L356</f>
        <v/>
      </c>
      <c r="N363" s="7">
        <f>'1 datos preparados'!M356</f>
        <v/>
      </c>
      <c r="O363" s="7">
        <f>'1 datos preparados'!N356</f>
        <v/>
      </c>
      <c r="P363" s="7">
        <f>'1 datos preparados'!O356</f>
        <v/>
      </c>
      <c r="Q363" s="7">
        <f>'1 datos preparados'!P356</f>
        <v/>
      </c>
      <c r="R363" s="7">
        <f>'1 datos preparados'!Q356</f>
        <v/>
      </c>
      <c r="S363" s="7">
        <f>'1 datos preparados'!R356</f>
        <v/>
      </c>
      <c r="T363" s="7">
        <f>'1 datos preparados'!S356</f>
        <v/>
      </c>
      <c r="U363" s="7">
        <f>'1 datos preparados'!T356</f>
        <v/>
      </c>
      <c r="V363" s="8">
        <f>$AE$12+D363*$AE$13+E363*$AE$14+F363*$AE$15+G363*$AE$16+H363*$AE$17+I363*$AE$18+J363*$AE$19+K363*$AE$20+L363*$AE$21+M363*$AE$22+N363*$AE$23+O363*$AE$24+P363*$AE$25+Q363*$AE$26+R363*$AE$27+S363*$AE$28+T363*$AE$29+U363*$AE$30</f>
        <v/>
      </c>
      <c r="W363" s="8">
        <f>1/(1+EXP(-V363))</f>
        <v/>
      </c>
      <c r="X363" s="9">
        <f>-IF(C363=1,LN(W363),LN(1-W363))</f>
        <v/>
      </c>
      <c r="Y363" s="8">
        <f>IF(C363=1,$AE$32,$AE$33)</f>
        <v/>
      </c>
      <c r="Z363" s="9">
        <f>Y363*X363</f>
        <v/>
      </c>
      <c r="AA363" s="10">
        <f>IF(W363&gt;$AE$34,1,0)</f>
        <v/>
      </c>
      <c r="AB363">
        <f>IF(AA363=C363,1,0)</f>
        <v/>
      </c>
    </row>
    <row r="364">
      <c r="A364">
        <f>'1 datos preparados'!A357</f>
        <v/>
      </c>
      <c r="B364" s="5">
        <f>'1 datos preparados'!U357</f>
        <v/>
      </c>
      <c r="C364">
        <f>'1 datos preparados'!B357</f>
        <v/>
      </c>
      <c r="D364" s="7">
        <f>'1 datos preparados'!C357</f>
        <v/>
      </c>
      <c r="E364" s="7">
        <f>'1 datos preparados'!D357</f>
        <v/>
      </c>
      <c r="F364" s="7">
        <f>'1 datos preparados'!E357</f>
        <v/>
      </c>
      <c r="G364" s="7">
        <f>'1 datos preparados'!F357</f>
        <v/>
      </c>
      <c r="H364" s="7">
        <f>'1 datos preparados'!G357</f>
        <v/>
      </c>
      <c r="I364" s="7">
        <f>'1 datos preparados'!H357</f>
        <v/>
      </c>
      <c r="J364" s="7">
        <f>'1 datos preparados'!I357</f>
        <v/>
      </c>
      <c r="K364" s="7">
        <f>'1 datos preparados'!J357</f>
        <v/>
      </c>
      <c r="L364" s="7">
        <f>'1 datos preparados'!K357</f>
        <v/>
      </c>
      <c r="M364" s="7">
        <f>'1 datos preparados'!L357</f>
        <v/>
      </c>
      <c r="N364" s="7">
        <f>'1 datos preparados'!M357</f>
        <v/>
      </c>
      <c r="O364" s="7">
        <f>'1 datos preparados'!N357</f>
        <v/>
      </c>
      <c r="P364" s="7">
        <f>'1 datos preparados'!O357</f>
        <v/>
      </c>
      <c r="Q364" s="7">
        <f>'1 datos preparados'!P357</f>
        <v/>
      </c>
      <c r="R364" s="7">
        <f>'1 datos preparados'!Q357</f>
        <v/>
      </c>
      <c r="S364" s="7">
        <f>'1 datos preparados'!R357</f>
        <v/>
      </c>
      <c r="T364" s="7">
        <f>'1 datos preparados'!S357</f>
        <v/>
      </c>
      <c r="U364" s="7">
        <f>'1 datos preparados'!T357</f>
        <v/>
      </c>
      <c r="V364" s="8">
        <f>$AE$12+D364*$AE$13+E364*$AE$14+F364*$AE$15+G364*$AE$16+H364*$AE$17+I364*$AE$18+J364*$AE$19+K364*$AE$20+L364*$AE$21+M364*$AE$22+N364*$AE$23+O364*$AE$24+P364*$AE$25+Q364*$AE$26+R364*$AE$27+S364*$AE$28+T364*$AE$29+U364*$AE$30</f>
        <v/>
      </c>
      <c r="W364" s="8">
        <f>1/(1+EXP(-V364))</f>
        <v/>
      </c>
      <c r="X364" s="9">
        <f>-IF(C364=1,LN(W364),LN(1-W364))</f>
        <v/>
      </c>
      <c r="Y364" s="8">
        <f>IF(C364=1,$AE$32,$AE$33)</f>
        <v/>
      </c>
      <c r="Z364" s="9">
        <f>Y364*X364</f>
        <v/>
      </c>
      <c r="AA364" s="10">
        <f>IF(W364&gt;$AE$34,1,0)</f>
        <v/>
      </c>
      <c r="AB364">
        <f>IF(AA364=C364,1,0)</f>
        <v/>
      </c>
    </row>
    <row r="365">
      <c r="A365">
        <f>'1 datos preparados'!A358</f>
        <v/>
      </c>
      <c r="B365" s="5">
        <f>'1 datos preparados'!U358</f>
        <v/>
      </c>
      <c r="C365">
        <f>'1 datos preparados'!B358</f>
        <v/>
      </c>
      <c r="D365" s="7">
        <f>'1 datos preparados'!C358</f>
        <v/>
      </c>
      <c r="E365" s="7">
        <f>'1 datos preparados'!D358</f>
        <v/>
      </c>
      <c r="F365" s="7">
        <f>'1 datos preparados'!E358</f>
        <v/>
      </c>
      <c r="G365" s="7">
        <f>'1 datos preparados'!F358</f>
        <v/>
      </c>
      <c r="H365" s="7">
        <f>'1 datos preparados'!G358</f>
        <v/>
      </c>
      <c r="I365" s="7">
        <f>'1 datos preparados'!H358</f>
        <v/>
      </c>
      <c r="J365" s="7">
        <f>'1 datos preparados'!I358</f>
        <v/>
      </c>
      <c r="K365" s="7">
        <f>'1 datos preparados'!J358</f>
        <v/>
      </c>
      <c r="L365" s="7">
        <f>'1 datos preparados'!K358</f>
        <v/>
      </c>
      <c r="M365" s="7">
        <f>'1 datos preparados'!L358</f>
        <v/>
      </c>
      <c r="N365" s="7">
        <f>'1 datos preparados'!M358</f>
        <v/>
      </c>
      <c r="O365" s="7">
        <f>'1 datos preparados'!N358</f>
        <v/>
      </c>
      <c r="P365" s="7">
        <f>'1 datos preparados'!O358</f>
        <v/>
      </c>
      <c r="Q365" s="7">
        <f>'1 datos preparados'!P358</f>
        <v/>
      </c>
      <c r="R365" s="7">
        <f>'1 datos preparados'!Q358</f>
        <v/>
      </c>
      <c r="S365" s="7">
        <f>'1 datos preparados'!R358</f>
        <v/>
      </c>
      <c r="T365" s="7">
        <f>'1 datos preparados'!S358</f>
        <v/>
      </c>
      <c r="U365" s="7">
        <f>'1 datos preparados'!T358</f>
        <v/>
      </c>
      <c r="V365" s="8">
        <f>$AE$12+D365*$AE$13+E365*$AE$14+F365*$AE$15+G365*$AE$16+H365*$AE$17+I365*$AE$18+J365*$AE$19+K365*$AE$20+L365*$AE$21+M365*$AE$22+N365*$AE$23+O365*$AE$24+P365*$AE$25+Q365*$AE$26+R365*$AE$27+S365*$AE$28+T365*$AE$29+U365*$AE$30</f>
        <v/>
      </c>
      <c r="W365" s="8">
        <f>1/(1+EXP(-V365))</f>
        <v/>
      </c>
      <c r="X365" s="9">
        <f>-IF(C365=1,LN(W365),LN(1-W365))</f>
        <v/>
      </c>
      <c r="Y365" s="8">
        <f>IF(C365=1,$AE$32,$AE$33)</f>
        <v/>
      </c>
      <c r="Z365" s="9">
        <f>Y365*X365</f>
        <v/>
      </c>
      <c r="AA365" s="10">
        <f>IF(W365&gt;$AE$34,1,0)</f>
        <v/>
      </c>
      <c r="AB365">
        <f>IF(AA365=C365,1,0)</f>
        <v/>
      </c>
    </row>
    <row r="366">
      <c r="A366">
        <f>'1 datos preparados'!A359</f>
        <v/>
      </c>
      <c r="B366" s="5">
        <f>'1 datos preparados'!U359</f>
        <v/>
      </c>
      <c r="C366">
        <f>'1 datos preparados'!B359</f>
        <v/>
      </c>
      <c r="D366" s="7">
        <f>'1 datos preparados'!C359</f>
        <v/>
      </c>
      <c r="E366" s="7">
        <f>'1 datos preparados'!D359</f>
        <v/>
      </c>
      <c r="F366" s="7">
        <f>'1 datos preparados'!E359</f>
        <v/>
      </c>
      <c r="G366" s="7">
        <f>'1 datos preparados'!F359</f>
        <v/>
      </c>
      <c r="H366" s="7">
        <f>'1 datos preparados'!G359</f>
        <v/>
      </c>
      <c r="I366" s="7">
        <f>'1 datos preparados'!H359</f>
        <v/>
      </c>
      <c r="J366" s="7">
        <f>'1 datos preparados'!I359</f>
        <v/>
      </c>
      <c r="K366" s="7">
        <f>'1 datos preparados'!J359</f>
        <v/>
      </c>
      <c r="L366" s="7">
        <f>'1 datos preparados'!K359</f>
        <v/>
      </c>
      <c r="M366" s="7">
        <f>'1 datos preparados'!L359</f>
        <v/>
      </c>
      <c r="N366" s="7">
        <f>'1 datos preparados'!M359</f>
        <v/>
      </c>
      <c r="O366" s="7">
        <f>'1 datos preparados'!N359</f>
        <v/>
      </c>
      <c r="P366" s="7">
        <f>'1 datos preparados'!O359</f>
        <v/>
      </c>
      <c r="Q366" s="7">
        <f>'1 datos preparados'!P359</f>
        <v/>
      </c>
      <c r="R366" s="7">
        <f>'1 datos preparados'!Q359</f>
        <v/>
      </c>
      <c r="S366" s="7">
        <f>'1 datos preparados'!R359</f>
        <v/>
      </c>
      <c r="T366" s="7">
        <f>'1 datos preparados'!S359</f>
        <v/>
      </c>
      <c r="U366" s="7">
        <f>'1 datos preparados'!T359</f>
        <v/>
      </c>
      <c r="V366" s="8">
        <f>$AE$12+D366*$AE$13+E366*$AE$14+F366*$AE$15+G366*$AE$16+H366*$AE$17+I366*$AE$18+J366*$AE$19+K366*$AE$20+L366*$AE$21+M366*$AE$22+N366*$AE$23+O366*$AE$24+P366*$AE$25+Q366*$AE$26+R366*$AE$27+S366*$AE$28+T366*$AE$29+U366*$AE$30</f>
        <v/>
      </c>
      <c r="W366" s="8">
        <f>1/(1+EXP(-V366))</f>
        <v/>
      </c>
      <c r="X366" s="9">
        <f>-IF(C366=1,LN(W366),LN(1-W366))</f>
        <v/>
      </c>
      <c r="Y366" s="8">
        <f>IF(C366=1,$AE$32,$AE$33)</f>
        <v/>
      </c>
      <c r="Z366" s="9">
        <f>Y366*X366</f>
        <v/>
      </c>
      <c r="AA366" s="10">
        <f>IF(W366&gt;$AE$34,1,0)</f>
        <v/>
      </c>
      <c r="AB366">
        <f>IF(AA366=C366,1,0)</f>
        <v/>
      </c>
    </row>
    <row r="367">
      <c r="A367">
        <f>'1 datos preparados'!A360</f>
        <v/>
      </c>
      <c r="B367" s="5">
        <f>'1 datos preparados'!U360</f>
        <v/>
      </c>
      <c r="C367">
        <f>'1 datos preparados'!B360</f>
        <v/>
      </c>
      <c r="D367" s="7">
        <f>'1 datos preparados'!C360</f>
        <v/>
      </c>
      <c r="E367" s="7">
        <f>'1 datos preparados'!D360</f>
        <v/>
      </c>
      <c r="F367" s="7">
        <f>'1 datos preparados'!E360</f>
        <v/>
      </c>
      <c r="G367" s="7">
        <f>'1 datos preparados'!F360</f>
        <v/>
      </c>
      <c r="H367" s="7">
        <f>'1 datos preparados'!G360</f>
        <v/>
      </c>
      <c r="I367" s="7">
        <f>'1 datos preparados'!H360</f>
        <v/>
      </c>
      <c r="J367" s="7">
        <f>'1 datos preparados'!I360</f>
        <v/>
      </c>
      <c r="K367" s="7">
        <f>'1 datos preparados'!J360</f>
        <v/>
      </c>
      <c r="L367" s="7">
        <f>'1 datos preparados'!K360</f>
        <v/>
      </c>
      <c r="M367" s="7">
        <f>'1 datos preparados'!L360</f>
        <v/>
      </c>
      <c r="N367" s="7">
        <f>'1 datos preparados'!M360</f>
        <v/>
      </c>
      <c r="O367" s="7">
        <f>'1 datos preparados'!N360</f>
        <v/>
      </c>
      <c r="P367" s="7">
        <f>'1 datos preparados'!O360</f>
        <v/>
      </c>
      <c r="Q367" s="7">
        <f>'1 datos preparados'!P360</f>
        <v/>
      </c>
      <c r="R367" s="7">
        <f>'1 datos preparados'!Q360</f>
        <v/>
      </c>
      <c r="S367" s="7">
        <f>'1 datos preparados'!R360</f>
        <v/>
      </c>
      <c r="T367" s="7">
        <f>'1 datos preparados'!S360</f>
        <v/>
      </c>
      <c r="U367" s="7">
        <f>'1 datos preparados'!T360</f>
        <v/>
      </c>
      <c r="V367" s="8">
        <f>$AE$12+D367*$AE$13+E367*$AE$14+F367*$AE$15+G367*$AE$16+H367*$AE$17+I367*$AE$18+J367*$AE$19+K367*$AE$20+L367*$AE$21+M367*$AE$22+N367*$AE$23+O367*$AE$24+P367*$AE$25+Q367*$AE$26+R367*$AE$27+S367*$AE$28+T367*$AE$29+U367*$AE$30</f>
        <v/>
      </c>
      <c r="W367" s="8">
        <f>1/(1+EXP(-V367))</f>
        <v/>
      </c>
      <c r="X367" s="9">
        <f>-IF(C367=1,LN(W367),LN(1-W367))</f>
        <v/>
      </c>
      <c r="Y367" s="8">
        <f>IF(C367=1,$AE$32,$AE$33)</f>
        <v/>
      </c>
      <c r="Z367" s="9">
        <f>Y367*X367</f>
        <v/>
      </c>
      <c r="AA367" s="10">
        <f>IF(W367&gt;$AE$34,1,0)</f>
        <v/>
      </c>
      <c r="AB367">
        <f>IF(AA367=C367,1,0)</f>
        <v/>
      </c>
    </row>
    <row r="368">
      <c r="A368">
        <f>'1 datos preparados'!A361</f>
        <v/>
      </c>
      <c r="B368" s="5">
        <f>'1 datos preparados'!U361</f>
        <v/>
      </c>
      <c r="C368">
        <f>'1 datos preparados'!B361</f>
        <v/>
      </c>
      <c r="D368" s="7">
        <f>'1 datos preparados'!C361</f>
        <v/>
      </c>
      <c r="E368" s="7">
        <f>'1 datos preparados'!D361</f>
        <v/>
      </c>
      <c r="F368" s="7">
        <f>'1 datos preparados'!E361</f>
        <v/>
      </c>
      <c r="G368" s="7">
        <f>'1 datos preparados'!F361</f>
        <v/>
      </c>
      <c r="H368" s="7">
        <f>'1 datos preparados'!G361</f>
        <v/>
      </c>
      <c r="I368" s="7">
        <f>'1 datos preparados'!H361</f>
        <v/>
      </c>
      <c r="J368" s="7">
        <f>'1 datos preparados'!I361</f>
        <v/>
      </c>
      <c r="K368" s="7">
        <f>'1 datos preparados'!J361</f>
        <v/>
      </c>
      <c r="L368" s="7">
        <f>'1 datos preparados'!K361</f>
        <v/>
      </c>
      <c r="M368" s="7">
        <f>'1 datos preparados'!L361</f>
        <v/>
      </c>
      <c r="N368" s="7">
        <f>'1 datos preparados'!M361</f>
        <v/>
      </c>
      <c r="O368" s="7">
        <f>'1 datos preparados'!N361</f>
        <v/>
      </c>
      <c r="P368" s="7">
        <f>'1 datos preparados'!O361</f>
        <v/>
      </c>
      <c r="Q368" s="7">
        <f>'1 datos preparados'!P361</f>
        <v/>
      </c>
      <c r="R368" s="7">
        <f>'1 datos preparados'!Q361</f>
        <v/>
      </c>
      <c r="S368" s="7">
        <f>'1 datos preparados'!R361</f>
        <v/>
      </c>
      <c r="T368" s="7">
        <f>'1 datos preparados'!S361</f>
        <v/>
      </c>
      <c r="U368" s="7">
        <f>'1 datos preparados'!T361</f>
        <v/>
      </c>
      <c r="V368" s="8">
        <f>$AE$12+D368*$AE$13+E368*$AE$14+F368*$AE$15+G368*$AE$16+H368*$AE$17+I368*$AE$18+J368*$AE$19+K368*$AE$20+L368*$AE$21+M368*$AE$22+N368*$AE$23+O368*$AE$24+P368*$AE$25+Q368*$AE$26+R368*$AE$27+S368*$AE$28+T368*$AE$29+U368*$AE$30</f>
        <v/>
      </c>
      <c r="W368" s="8">
        <f>1/(1+EXP(-V368))</f>
        <v/>
      </c>
      <c r="X368" s="9">
        <f>-IF(C368=1,LN(W368),LN(1-W368))</f>
        <v/>
      </c>
      <c r="Y368" s="8">
        <f>IF(C368=1,$AE$32,$AE$33)</f>
        <v/>
      </c>
      <c r="Z368" s="9">
        <f>Y368*X368</f>
        <v/>
      </c>
      <c r="AA368" s="10">
        <f>IF(W368&gt;$AE$34,1,0)</f>
        <v/>
      </c>
      <c r="AB368">
        <f>IF(AA368=C368,1,0)</f>
        <v/>
      </c>
    </row>
    <row r="369">
      <c r="A369">
        <f>'1 datos preparados'!A362</f>
        <v/>
      </c>
      <c r="B369" s="5">
        <f>'1 datos preparados'!U362</f>
        <v/>
      </c>
      <c r="C369">
        <f>'1 datos preparados'!B362</f>
        <v/>
      </c>
      <c r="D369" s="7">
        <f>'1 datos preparados'!C362</f>
        <v/>
      </c>
      <c r="E369" s="7">
        <f>'1 datos preparados'!D362</f>
        <v/>
      </c>
      <c r="F369" s="7">
        <f>'1 datos preparados'!E362</f>
        <v/>
      </c>
      <c r="G369" s="7">
        <f>'1 datos preparados'!F362</f>
        <v/>
      </c>
      <c r="H369" s="7">
        <f>'1 datos preparados'!G362</f>
        <v/>
      </c>
      <c r="I369" s="7">
        <f>'1 datos preparados'!H362</f>
        <v/>
      </c>
      <c r="J369" s="7">
        <f>'1 datos preparados'!I362</f>
        <v/>
      </c>
      <c r="K369" s="7">
        <f>'1 datos preparados'!J362</f>
        <v/>
      </c>
      <c r="L369" s="7">
        <f>'1 datos preparados'!K362</f>
        <v/>
      </c>
      <c r="M369" s="7">
        <f>'1 datos preparados'!L362</f>
        <v/>
      </c>
      <c r="N369" s="7">
        <f>'1 datos preparados'!M362</f>
        <v/>
      </c>
      <c r="O369" s="7">
        <f>'1 datos preparados'!N362</f>
        <v/>
      </c>
      <c r="P369" s="7">
        <f>'1 datos preparados'!O362</f>
        <v/>
      </c>
      <c r="Q369" s="7">
        <f>'1 datos preparados'!P362</f>
        <v/>
      </c>
      <c r="R369" s="7">
        <f>'1 datos preparados'!Q362</f>
        <v/>
      </c>
      <c r="S369" s="7">
        <f>'1 datos preparados'!R362</f>
        <v/>
      </c>
      <c r="T369" s="7">
        <f>'1 datos preparados'!S362</f>
        <v/>
      </c>
      <c r="U369" s="7">
        <f>'1 datos preparados'!T362</f>
        <v/>
      </c>
      <c r="V369" s="8">
        <f>$AE$12+D369*$AE$13+E369*$AE$14+F369*$AE$15+G369*$AE$16+H369*$AE$17+I369*$AE$18+J369*$AE$19+K369*$AE$20+L369*$AE$21+M369*$AE$22+N369*$AE$23+O369*$AE$24+P369*$AE$25+Q369*$AE$26+R369*$AE$27+S369*$AE$28+T369*$AE$29+U369*$AE$30</f>
        <v/>
      </c>
      <c r="W369" s="8">
        <f>1/(1+EXP(-V369))</f>
        <v/>
      </c>
      <c r="X369" s="9">
        <f>-IF(C369=1,LN(W369),LN(1-W369))</f>
        <v/>
      </c>
      <c r="Y369" s="8">
        <f>IF(C369=1,$AE$32,$AE$33)</f>
        <v/>
      </c>
      <c r="Z369" s="9">
        <f>Y369*X369</f>
        <v/>
      </c>
      <c r="AA369" s="10">
        <f>IF(W369&gt;$AE$34,1,0)</f>
        <v/>
      </c>
      <c r="AB369">
        <f>IF(AA369=C369,1,0)</f>
        <v/>
      </c>
    </row>
    <row r="370">
      <c r="A370">
        <f>'1 datos preparados'!A363</f>
        <v/>
      </c>
      <c r="B370" s="5">
        <f>'1 datos preparados'!U363</f>
        <v/>
      </c>
      <c r="C370">
        <f>'1 datos preparados'!B363</f>
        <v/>
      </c>
      <c r="D370" s="7">
        <f>'1 datos preparados'!C363</f>
        <v/>
      </c>
      <c r="E370" s="7">
        <f>'1 datos preparados'!D363</f>
        <v/>
      </c>
      <c r="F370" s="7">
        <f>'1 datos preparados'!E363</f>
        <v/>
      </c>
      <c r="G370" s="7">
        <f>'1 datos preparados'!F363</f>
        <v/>
      </c>
      <c r="H370" s="7">
        <f>'1 datos preparados'!G363</f>
        <v/>
      </c>
      <c r="I370" s="7">
        <f>'1 datos preparados'!H363</f>
        <v/>
      </c>
      <c r="J370" s="7">
        <f>'1 datos preparados'!I363</f>
        <v/>
      </c>
      <c r="K370" s="7">
        <f>'1 datos preparados'!J363</f>
        <v/>
      </c>
      <c r="L370" s="7">
        <f>'1 datos preparados'!K363</f>
        <v/>
      </c>
      <c r="M370" s="7">
        <f>'1 datos preparados'!L363</f>
        <v/>
      </c>
      <c r="N370" s="7">
        <f>'1 datos preparados'!M363</f>
        <v/>
      </c>
      <c r="O370" s="7">
        <f>'1 datos preparados'!N363</f>
        <v/>
      </c>
      <c r="P370" s="7">
        <f>'1 datos preparados'!O363</f>
        <v/>
      </c>
      <c r="Q370" s="7">
        <f>'1 datos preparados'!P363</f>
        <v/>
      </c>
      <c r="R370" s="7">
        <f>'1 datos preparados'!Q363</f>
        <v/>
      </c>
      <c r="S370" s="7">
        <f>'1 datos preparados'!R363</f>
        <v/>
      </c>
      <c r="T370" s="7">
        <f>'1 datos preparados'!S363</f>
        <v/>
      </c>
      <c r="U370" s="7">
        <f>'1 datos preparados'!T363</f>
        <v/>
      </c>
      <c r="V370" s="8">
        <f>$AE$12+D370*$AE$13+E370*$AE$14+F370*$AE$15+G370*$AE$16+H370*$AE$17+I370*$AE$18+J370*$AE$19+K370*$AE$20+L370*$AE$21+M370*$AE$22+N370*$AE$23+O370*$AE$24+P370*$AE$25+Q370*$AE$26+R370*$AE$27+S370*$AE$28+T370*$AE$29+U370*$AE$30</f>
        <v/>
      </c>
      <c r="W370" s="8">
        <f>1/(1+EXP(-V370))</f>
        <v/>
      </c>
      <c r="X370" s="9">
        <f>-IF(C370=1,LN(W370),LN(1-W370))</f>
        <v/>
      </c>
      <c r="Y370" s="8">
        <f>IF(C370=1,$AE$32,$AE$33)</f>
        <v/>
      </c>
      <c r="Z370" s="9">
        <f>Y370*X370</f>
        <v/>
      </c>
      <c r="AA370" s="10">
        <f>IF(W370&gt;$AE$34,1,0)</f>
        <v/>
      </c>
      <c r="AB370">
        <f>IF(AA370=C370,1,0)</f>
        <v/>
      </c>
    </row>
    <row r="371">
      <c r="A371">
        <f>'1 datos preparados'!A364</f>
        <v/>
      </c>
      <c r="B371" s="5">
        <f>'1 datos preparados'!U364</f>
        <v/>
      </c>
      <c r="C371">
        <f>'1 datos preparados'!B364</f>
        <v/>
      </c>
      <c r="D371" s="7">
        <f>'1 datos preparados'!C364</f>
        <v/>
      </c>
      <c r="E371" s="7">
        <f>'1 datos preparados'!D364</f>
        <v/>
      </c>
      <c r="F371" s="7">
        <f>'1 datos preparados'!E364</f>
        <v/>
      </c>
      <c r="G371" s="7">
        <f>'1 datos preparados'!F364</f>
        <v/>
      </c>
      <c r="H371" s="7">
        <f>'1 datos preparados'!G364</f>
        <v/>
      </c>
      <c r="I371" s="7">
        <f>'1 datos preparados'!H364</f>
        <v/>
      </c>
      <c r="J371" s="7">
        <f>'1 datos preparados'!I364</f>
        <v/>
      </c>
      <c r="K371" s="7">
        <f>'1 datos preparados'!J364</f>
        <v/>
      </c>
      <c r="L371" s="7">
        <f>'1 datos preparados'!K364</f>
        <v/>
      </c>
      <c r="M371" s="7">
        <f>'1 datos preparados'!L364</f>
        <v/>
      </c>
      <c r="N371" s="7">
        <f>'1 datos preparados'!M364</f>
        <v/>
      </c>
      <c r="O371" s="7">
        <f>'1 datos preparados'!N364</f>
        <v/>
      </c>
      <c r="P371" s="7">
        <f>'1 datos preparados'!O364</f>
        <v/>
      </c>
      <c r="Q371" s="7">
        <f>'1 datos preparados'!P364</f>
        <v/>
      </c>
      <c r="R371" s="7">
        <f>'1 datos preparados'!Q364</f>
        <v/>
      </c>
      <c r="S371" s="7">
        <f>'1 datos preparados'!R364</f>
        <v/>
      </c>
      <c r="T371" s="7">
        <f>'1 datos preparados'!S364</f>
        <v/>
      </c>
      <c r="U371" s="7">
        <f>'1 datos preparados'!T364</f>
        <v/>
      </c>
      <c r="V371" s="8">
        <f>$AE$12+D371*$AE$13+E371*$AE$14+F371*$AE$15+G371*$AE$16+H371*$AE$17+I371*$AE$18+J371*$AE$19+K371*$AE$20+L371*$AE$21+M371*$AE$22+N371*$AE$23+O371*$AE$24+P371*$AE$25+Q371*$AE$26+R371*$AE$27+S371*$AE$28+T371*$AE$29+U371*$AE$30</f>
        <v/>
      </c>
      <c r="W371" s="8">
        <f>1/(1+EXP(-V371))</f>
        <v/>
      </c>
      <c r="X371" s="9">
        <f>-IF(C371=1,LN(W371),LN(1-W371))</f>
        <v/>
      </c>
      <c r="Y371" s="8">
        <f>IF(C371=1,$AE$32,$AE$33)</f>
        <v/>
      </c>
      <c r="Z371" s="9">
        <f>Y371*X371</f>
        <v/>
      </c>
      <c r="AA371" s="10">
        <f>IF(W371&gt;$AE$34,1,0)</f>
        <v/>
      </c>
      <c r="AB371">
        <f>IF(AA371=C371,1,0)</f>
        <v/>
      </c>
    </row>
    <row r="372">
      <c r="A372">
        <f>'1 datos preparados'!A365</f>
        <v/>
      </c>
      <c r="B372" s="5">
        <f>'1 datos preparados'!U365</f>
        <v/>
      </c>
      <c r="C372">
        <f>'1 datos preparados'!B365</f>
        <v/>
      </c>
      <c r="D372" s="7">
        <f>'1 datos preparados'!C365</f>
        <v/>
      </c>
      <c r="E372" s="7">
        <f>'1 datos preparados'!D365</f>
        <v/>
      </c>
      <c r="F372" s="7">
        <f>'1 datos preparados'!E365</f>
        <v/>
      </c>
      <c r="G372" s="7">
        <f>'1 datos preparados'!F365</f>
        <v/>
      </c>
      <c r="H372" s="7">
        <f>'1 datos preparados'!G365</f>
        <v/>
      </c>
      <c r="I372" s="7">
        <f>'1 datos preparados'!H365</f>
        <v/>
      </c>
      <c r="J372" s="7">
        <f>'1 datos preparados'!I365</f>
        <v/>
      </c>
      <c r="K372" s="7">
        <f>'1 datos preparados'!J365</f>
        <v/>
      </c>
      <c r="L372" s="7">
        <f>'1 datos preparados'!K365</f>
        <v/>
      </c>
      <c r="M372" s="7">
        <f>'1 datos preparados'!L365</f>
        <v/>
      </c>
      <c r="N372" s="7">
        <f>'1 datos preparados'!M365</f>
        <v/>
      </c>
      <c r="O372" s="7">
        <f>'1 datos preparados'!N365</f>
        <v/>
      </c>
      <c r="P372" s="7">
        <f>'1 datos preparados'!O365</f>
        <v/>
      </c>
      <c r="Q372" s="7">
        <f>'1 datos preparados'!P365</f>
        <v/>
      </c>
      <c r="R372" s="7">
        <f>'1 datos preparados'!Q365</f>
        <v/>
      </c>
      <c r="S372" s="7">
        <f>'1 datos preparados'!R365</f>
        <v/>
      </c>
      <c r="T372" s="7">
        <f>'1 datos preparados'!S365</f>
        <v/>
      </c>
      <c r="U372" s="7">
        <f>'1 datos preparados'!T365</f>
        <v/>
      </c>
      <c r="V372" s="8">
        <f>$AE$12+D372*$AE$13+E372*$AE$14+F372*$AE$15+G372*$AE$16+H372*$AE$17+I372*$AE$18+J372*$AE$19+K372*$AE$20+L372*$AE$21+M372*$AE$22+N372*$AE$23+O372*$AE$24+P372*$AE$25+Q372*$AE$26+R372*$AE$27+S372*$AE$28+T372*$AE$29+U372*$AE$30</f>
        <v/>
      </c>
      <c r="W372" s="8">
        <f>1/(1+EXP(-V372))</f>
        <v/>
      </c>
      <c r="X372" s="9">
        <f>-IF(C372=1,LN(W372),LN(1-W372))</f>
        <v/>
      </c>
      <c r="Y372" s="8">
        <f>IF(C372=1,$AE$32,$AE$33)</f>
        <v/>
      </c>
      <c r="Z372" s="9">
        <f>Y372*X372</f>
        <v/>
      </c>
      <c r="AA372" s="10">
        <f>IF(W372&gt;$AE$34,1,0)</f>
        <v/>
      </c>
      <c r="AB372">
        <f>IF(AA372=C372,1,0)</f>
        <v/>
      </c>
    </row>
    <row r="373">
      <c r="A373">
        <f>'1 datos preparados'!A366</f>
        <v/>
      </c>
      <c r="B373" s="5">
        <f>'1 datos preparados'!U366</f>
        <v/>
      </c>
      <c r="C373">
        <f>'1 datos preparados'!B366</f>
        <v/>
      </c>
      <c r="D373" s="7">
        <f>'1 datos preparados'!C366</f>
        <v/>
      </c>
      <c r="E373" s="7">
        <f>'1 datos preparados'!D366</f>
        <v/>
      </c>
      <c r="F373" s="7">
        <f>'1 datos preparados'!E366</f>
        <v/>
      </c>
      <c r="G373" s="7">
        <f>'1 datos preparados'!F366</f>
        <v/>
      </c>
      <c r="H373" s="7">
        <f>'1 datos preparados'!G366</f>
        <v/>
      </c>
      <c r="I373" s="7">
        <f>'1 datos preparados'!H366</f>
        <v/>
      </c>
      <c r="J373" s="7">
        <f>'1 datos preparados'!I366</f>
        <v/>
      </c>
      <c r="K373" s="7">
        <f>'1 datos preparados'!J366</f>
        <v/>
      </c>
      <c r="L373" s="7">
        <f>'1 datos preparados'!K366</f>
        <v/>
      </c>
      <c r="M373" s="7">
        <f>'1 datos preparados'!L366</f>
        <v/>
      </c>
      <c r="N373" s="7">
        <f>'1 datos preparados'!M366</f>
        <v/>
      </c>
      <c r="O373" s="7">
        <f>'1 datos preparados'!N366</f>
        <v/>
      </c>
      <c r="P373" s="7">
        <f>'1 datos preparados'!O366</f>
        <v/>
      </c>
      <c r="Q373" s="7">
        <f>'1 datos preparados'!P366</f>
        <v/>
      </c>
      <c r="R373" s="7">
        <f>'1 datos preparados'!Q366</f>
        <v/>
      </c>
      <c r="S373" s="7">
        <f>'1 datos preparados'!R366</f>
        <v/>
      </c>
      <c r="T373" s="7">
        <f>'1 datos preparados'!S366</f>
        <v/>
      </c>
      <c r="U373" s="7">
        <f>'1 datos preparados'!T366</f>
        <v/>
      </c>
      <c r="V373" s="8">
        <f>$AE$12+D373*$AE$13+E373*$AE$14+F373*$AE$15+G373*$AE$16+H373*$AE$17+I373*$AE$18+J373*$AE$19+K373*$AE$20+L373*$AE$21+M373*$AE$22+N373*$AE$23+O373*$AE$24+P373*$AE$25+Q373*$AE$26+R373*$AE$27+S373*$AE$28+T373*$AE$29+U373*$AE$30</f>
        <v/>
      </c>
      <c r="W373" s="8">
        <f>1/(1+EXP(-V373))</f>
        <v/>
      </c>
      <c r="X373" s="9">
        <f>-IF(C373=1,LN(W373),LN(1-W373))</f>
        <v/>
      </c>
      <c r="Y373" s="8">
        <f>IF(C373=1,$AE$32,$AE$33)</f>
        <v/>
      </c>
      <c r="Z373" s="9">
        <f>Y373*X373</f>
        <v/>
      </c>
      <c r="AA373" s="10">
        <f>IF(W373&gt;$AE$34,1,0)</f>
        <v/>
      </c>
      <c r="AB373">
        <f>IF(AA373=C373,1,0)</f>
        <v/>
      </c>
    </row>
    <row r="374">
      <c r="A374">
        <f>'1 datos preparados'!A367</f>
        <v/>
      </c>
      <c r="B374" s="5">
        <f>'1 datos preparados'!U367</f>
        <v/>
      </c>
      <c r="C374">
        <f>'1 datos preparados'!B367</f>
        <v/>
      </c>
      <c r="D374" s="7">
        <f>'1 datos preparados'!C367</f>
        <v/>
      </c>
      <c r="E374" s="7">
        <f>'1 datos preparados'!D367</f>
        <v/>
      </c>
      <c r="F374" s="7">
        <f>'1 datos preparados'!E367</f>
        <v/>
      </c>
      <c r="G374" s="7">
        <f>'1 datos preparados'!F367</f>
        <v/>
      </c>
      <c r="H374" s="7">
        <f>'1 datos preparados'!G367</f>
        <v/>
      </c>
      <c r="I374" s="7">
        <f>'1 datos preparados'!H367</f>
        <v/>
      </c>
      <c r="J374" s="7">
        <f>'1 datos preparados'!I367</f>
        <v/>
      </c>
      <c r="K374" s="7">
        <f>'1 datos preparados'!J367</f>
        <v/>
      </c>
      <c r="L374" s="7">
        <f>'1 datos preparados'!K367</f>
        <v/>
      </c>
      <c r="M374" s="7">
        <f>'1 datos preparados'!L367</f>
        <v/>
      </c>
      <c r="N374" s="7">
        <f>'1 datos preparados'!M367</f>
        <v/>
      </c>
      <c r="O374" s="7">
        <f>'1 datos preparados'!N367</f>
        <v/>
      </c>
      <c r="P374" s="7">
        <f>'1 datos preparados'!O367</f>
        <v/>
      </c>
      <c r="Q374" s="7">
        <f>'1 datos preparados'!P367</f>
        <v/>
      </c>
      <c r="R374" s="7">
        <f>'1 datos preparados'!Q367</f>
        <v/>
      </c>
      <c r="S374" s="7">
        <f>'1 datos preparados'!R367</f>
        <v/>
      </c>
      <c r="T374" s="7">
        <f>'1 datos preparados'!S367</f>
        <v/>
      </c>
      <c r="U374" s="7">
        <f>'1 datos preparados'!T367</f>
        <v/>
      </c>
      <c r="V374" s="8">
        <f>$AE$12+D374*$AE$13+E374*$AE$14+F374*$AE$15+G374*$AE$16+H374*$AE$17+I374*$AE$18+J374*$AE$19+K374*$AE$20+L374*$AE$21+M374*$AE$22+N374*$AE$23+O374*$AE$24+P374*$AE$25+Q374*$AE$26+R374*$AE$27+S374*$AE$28+T374*$AE$29+U374*$AE$30</f>
        <v/>
      </c>
      <c r="W374" s="8">
        <f>1/(1+EXP(-V374))</f>
        <v/>
      </c>
      <c r="X374" s="9">
        <f>-IF(C374=1,LN(W374),LN(1-W374))</f>
        <v/>
      </c>
      <c r="Y374" s="8">
        <f>IF(C374=1,$AE$32,$AE$33)</f>
        <v/>
      </c>
      <c r="Z374" s="9">
        <f>Y374*X374</f>
        <v/>
      </c>
      <c r="AA374" s="10">
        <f>IF(W374&gt;$AE$34,1,0)</f>
        <v/>
      </c>
      <c r="AB374">
        <f>IF(AA374=C374,1,0)</f>
        <v/>
      </c>
    </row>
    <row r="375">
      <c r="A375">
        <f>'1 datos preparados'!A368</f>
        <v/>
      </c>
      <c r="B375" s="5">
        <f>'1 datos preparados'!U368</f>
        <v/>
      </c>
      <c r="C375">
        <f>'1 datos preparados'!B368</f>
        <v/>
      </c>
      <c r="D375" s="7">
        <f>'1 datos preparados'!C368</f>
        <v/>
      </c>
      <c r="E375" s="7">
        <f>'1 datos preparados'!D368</f>
        <v/>
      </c>
      <c r="F375" s="7">
        <f>'1 datos preparados'!E368</f>
        <v/>
      </c>
      <c r="G375" s="7">
        <f>'1 datos preparados'!F368</f>
        <v/>
      </c>
      <c r="H375" s="7">
        <f>'1 datos preparados'!G368</f>
        <v/>
      </c>
      <c r="I375" s="7">
        <f>'1 datos preparados'!H368</f>
        <v/>
      </c>
      <c r="J375" s="7">
        <f>'1 datos preparados'!I368</f>
        <v/>
      </c>
      <c r="K375" s="7">
        <f>'1 datos preparados'!J368</f>
        <v/>
      </c>
      <c r="L375" s="7">
        <f>'1 datos preparados'!K368</f>
        <v/>
      </c>
      <c r="M375" s="7">
        <f>'1 datos preparados'!L368</f>
        <v/>
      </c>
      <c r="N375" s="7">
        <f>'1 datos preparados'!M368</f>
        <v/>
      </c>
      <c r="O375" s="7">
        <f>'1 datos preparados'!N368</f>
        <v/>
      </c>
      <c r="P375" s="7">
        <f>'1 datos preparados'!O368</f>
        <v/>
      </c>
      <c r="Q375" s="7">
        <f>'1 datos preparados'!P368</f>
        <v/>
      </c>
      <c r="R375" s="7">
        <f>'1 datos preparados'!Q368</f>
        <v/>
      </c>
      <c r="S375" s="7">
        <f>'1 datos preparados'!R368</f>
        <v/>
      </c>
      <c r="T375" s="7">
        <f>'1 datos preparados'!S368</f>
        <v/>
      </c>
      <c r="U375" s="7">
        <f>'1 datos preparados'!T368</f>
        <v/>
      </c>
      <c r="V375" s="8">
        <f>$AE$12+D375*$AE$13+E375*$AE$14+F375*$AE$15+G375*$AE$16+H375*$AE$17+I375*$AE$18+J375*$AE$19+K375*$AE$20+L375*$AE$21+M375*$AE$22+N375*$AE$23+O375*$AE$24+P375*$AE$25+Q375*$AE$26+R375*$AE$27+S375*$AE$28+T375*$AE$29+U375*$AE$30</f>
        <v/>
      </c>
      <c r="W375" s="8">
        <f>1/(1+EXP(-V375))</f>
        <v/>
      </c>
      <c r="X375" s="9">
        <f>-IF(C375=1,LN(W375),LN(1-W375))</f>
        <v/>
      </c>
      <c r="Y375" s="8">
        <f>IF(C375=1,$AE$32,$AE$33)</f>
        <v/>
      </c>
      <c r="Z375" s="9">
        <f>Y375*X375</f>
        <v/>
      </c>
      <c r="AA375" s="10">
        <f>IF(W375&gt;$AE$34,1,0)</f>
        <v/>
      </c>
      <c r="AB375">
        <f>IF(AA375=C375,1,0)</f>
        <v/>
      </c>
    </row>
    <row r="376">
      <c r="A376">
        <f>'1 datos preparados'!A369</f>
        <v/>
      </c>
      <c r="B376" s="5">
        <f>'1 datos preparados'!U369</f>
        <v/>
      </c>
      <c r="C376">
        <f>'1 datos preparados'!B369</f>
        <v/>
      </c>
      <c r="D376" s="7">
        <f>'1 datos preparados'!C369</f>
        <v/>
      </c>
      <c r="E376" s="7">
        <f>'1 datos preparados'!D369</f>
        <v/>
      </c>
      <c r="F376" s="7">
        <f>'1 datos preparados'!E369</f>
        <v/>
      </c>
      <c r="G376" s="7">
        <f>'1 datos preparados'!F369</f>
        <v/>
      </c>
      <c r="H376" s="7">
        <f>'1 datos preparados'!G369</f>
        <v/>
      </c>
      <c r="I376" s="7">
        <f>'1 datos preparados'!H369</f>
        <v/>
      </c>
      <c r="J376" s="7">
        <f>'1 datos preparados'!I369</f>
        <v/>
      </c>
      <c r="K376" s="7">
        <f>'1 datos preparados'!J369</f>
        <v/>
      </c>
      <c r="L376" s="7">
        <f>'1 datos preparados'!K369</f>
        <v/>
      </c>
      <c r="M376" s="7">
        <f>'1 datos preparados'!L369</f>
        <v/>
      </c>
      <c r="N376" s="7">
        <f>'1 datos preparados'!M369</f>
        <v/>
      </c>
      <c r="O376" s="7">
        <f>'1 datos preparados'!N369</f>
        <v/>
      </c>
      <c r="P376" s="7">
        <f>'1 datos preparados'!O369</f>
        <v/>
      </c>
      <c r="Q376" s="7">
        <f>'1 datos preparados'!P369</f>
        <v/>
      </c>
      <c r="R376" s="7">
        <f>'1 datos preparados'!Q369</f>
        <v/>
      </c>
      <c r="S376" s="7">
        <f>'1 datos preparados'!R369</f>
        <v/>
      </c>
      <c r="T376" s="7">
        <f>'1 datos preparados'!S369</f>
        <v/>
      </c>
      <c r="U376" s="7">
        <f>'1 datos preparados'!T369</f>
        <v/>
      </c>
      <c r="V376" s="8">
        <f>$AE$12+D376*$AE$13+E376*$AE$14+F376*$AE$15+G376*$AE$16+H376*$AE$17+I376*$AE$18+J376*$AE$19+K376*$AE$20+L376*$AE$21+M376*$AE$22+N376*$AE$23+O376*$AE$24+P376*$AE$25+Q376*$AE$26+R376*$AE$27+S376*$AE$28+T376*$AE$29+U376*$AE$30</f>
        <v/>
      </c>
      <c r="W376" s="8">
        <f>1/(1+EXP(-V376))</f>
        <v/>
      </c>
      <c r="X376" s="9">
        <f>-IF(C376=1,LN(W376),LN(1-W376))</f>
        <v/>
      </c>
      <c r="Y376" s="8">
        <f>IF(C376=1,$AE$32,$AE$33)</f>
        <v/>
      </c>
      <c r="Z376" s="9">
        <f>Y376*X376</f>
        <v/>
      </c>
      <c r="AA376" s="10">
        <f>IF(W376&gt;$AE$34,1,0)</f>
        <v/>
      </c>
      <c r="AB376">
        <f>IF(AA376=C376,1,0)</f>
        <v/>
      </c>
    </row>
    <row r="377">
      <c r="A377">
        <f>'1 datos preparados'!A370</f>
        <v/>
      </c>
      <c r="B377" s="5">
        <f>'1 datos preparados'!U370</f>
        <v/>
      </c>
      <c r="C377">
        <f>'1 datos preparados'!B370</f>
        <v/>
      </c>
      <c r="D377" s="7">
        <f>'1 datos preparados'!C370</f>
        <v/>
      </c>
      <c r="E377" s="7">
        <f>'1 datos preparados'!D370</f>
        <v/>
      </c>
      <c r="F377" s="7">
        <f>'1 datos preparados'!E370</f>
        <v/>
      </c>
      <c r="G377" s="7">
        <f>'1 datos preparados'!F370</f>
        <v/>
      </c>
      <c r="H377" s="7">
        <f>'1 datos preparados'!G370</f>
        <v/>
      </c>
      <c r="I377" s="7">
        <f>'1 datos preparados'!H370</f>
        <v/>
      </c>
      <c r="J377" s="7">
        <f>'1 datos preparados'!I370</f>
        <v/>
      </c>
      <c r="K377" s="7">
        <f>'1 datos preparados'!J370</f>
        <v/>
      </c>
      <c r="L377" s="7">
        <f>'1 datos preparados'!K370</f>
        <v/>
      </c>
      <c r="M377" s="7">
        <f>'1 datos preparados'!L370</f>
        <v/>
      </c>
      <c r="N377" s="7">
        <f>'1 datos preparados'!M370</f>
        <v/>
      </c>
      <c r="O377" s="7">
        <f>'1 datos preparados'!N370</f>
        <v/>
      </c>
      <c r="P377" s="7">
        <f>'1 datos preparados'!O370</f>
        <v/>
      </c>
      <c r="Q377" s="7">
        <f>'1 datos preparados'!P370</f>
        <v/>
      </c>
      <c r="R377" s="7">
        <f>'1 datos preparados'!Q370</f>
        <v/>
      </c>
      <c r="S377" s="7">
        <f>'1 datos preparados'!R370</f>
        <v/>
      </c>
      <c r="T377" s="7">
        <f>'1 datos preparados'!S370</f>
        <v/>
      </c>
      <c r="U377" s="7">
        <f>'1 datos preparados'!T370</f>
        <v/>
      </c>
      <c r="V377" s="8">
        <f>$AE$12+D377*$AE$13+E377*$AE$14+F377*$AE$15+G377*$AE$16+H377*$AE$17+I377*$AE$18+J377*$AE$19+K377*$AE$20+L377*$AE$21+M377*$AE$22+N377*$AE$23+O377*$AE$24+P377*$AE$25+Q377*$AE$26+R377*$AE$27+S377*$AE$28+T377*$AE$29+U377*$AE$30</f>
        <v/>
      </c>
      <c r="W377" s="8">
        <f>1/(1+EXP(-V377))</f>
        <v/>
      </c>
      <c r="X377" s="9">
        <f>-IF(C377=1,LN(W377),LN(1-W377))</f>
        <v/>
      </c>
      <c r="Y377" s="8">
        <f>IF(C377=1,$AE$32,$AE$33)</f>
        <v/>
      </c>
      <c r="Z377" s="9">
        <f>Y377*X377</f>
        <v/>
      </c>
      <c r="AA377" s="10">
        <f>IF(W377&gt;$AE$34,1,0)</f>
        <v/>
      </c>
      <c r="AB377">
        <f>IF(AA377=C377,1,0)</f>
        <v/>
      </c>
    </row>
    <row r="378">
      <c r="A378">
        <f>'1 datos preparados'!A371</f>
        <v/>
      </c>
      <c r="B378" s="5">
        <f>'1 datos preparados'!U371</f>
        <v/>
      </c>
      <c r="C378">
        <f>'1 datos preparados'!B371</f>
        <v/>
      </c>
      <c r="D378" s="7">
        <f>'1 datos preparados'!C371</f>
        <v/>
      </c>
      <c r="E378" s="7">
        <f>'1 datos preparados'!D371</f>
        <v/>
      </c>
      <c r="F378" s="7">
        <f>'1 datos preparados'!E371</f>
        <v/>
      </c>
      <c r="G378" s="7">
        <f>'1 datos preparados'!F371</f>
        <v/>
      </c>
      <c r="H378" s="7">
        <f>'1 datos preparados'!G371</f>
        <v/>
      </c>
      <c r="I378" s="7">
        <f>'1 datos preparados'!H371</f>
        <v/>
      </c>
      <c r="J378" s="7">
        <f>'1 datos preparados'!I371</f>
        <v/>
      </c>
      <c r="K378" s="7">
        <f>'1 datos preparados'!J371</f>
        <v/>
      </c>
      <c r="L378" s="7">
        <f>'1 datos preparados'!K371</f>
        <v/>
      </c>
      <c r="M378" s="7">
        <f>'1 datos preparados'!L371</f>
        <v/>
      </c>
      <c r="N378" s="7">
        <f>'1 datos preparados'!M371</f>
        <v/>
      </c>
      <c r="O378" s="7">
        <f>'1 datos preparados'!N371</f>
        <v/>
      </c>
      <c r="P378" s="7">
        <f>'1 datos preparados'!O371</f>
        <v/>
      </c>
      <c r="Q378" s="7">
        <f>'1 datos preparados'!P371</f>
        <v/>
      </c>
      <c r="R378" s="7">
        <f>'1 datos preparados'!Q371</f>
        <v/>
      </c>
      <c r="S378" s="7">
        <f>'1 datos preparados'!R371</f>
        <v/>
      </c>
      <c r="T378" s="7">
        <f>'1 datos preparados'!S371</f>
        <v/>
      </c>
      <c r="U378" s="7">
        <f>'1 datos preparados'!T371</f>
        <v/>
      </c>
      <c r="V378" s="8">
        <f>$AE$12+D378*$AE$13+E378*$AE$14+F378*$AE$15+G378*$AE$16+H378*$AE$17+I378*$AE$18+J378*$AE$19+K378*$AE$20+L378*$AE$21+M378*$AE$22+N378*$AE$23+O378*$AE$24+P378*$AE$25+Q378*$AE$26+R378*$AE$27+S378*$AE$28+T378*$AE$29+U378*$AE$30</f>
        <v/>
      </c>
      <c r="W378" s="8">
        <f>1/(1+EXP(-V378))</f>
        <v/>
      </c>
      <c r="X378" s="9">
        <f>-IF(C378=1,LN(W378),LN(1-W378))</f>
        <v/>
      </c>
      <c r="Y378" s="8">
        <f>IF(C378=1,$AE$32,$AE$33)</f>
        <v/>
      </c>
      <c r="Z378" s="9">
        <f>Y378*X378</f>
        <v/>
      </c>
      <c r="AA378" s="10">
        <f>IF(W378&gt;$AE$34,1,0)</f>
        <v/>
      </c>
      <c r="AB378">
        <f>IF(AA378=C378,1,0)</f>
        <v/>
      </c>
    </row>
    <row r="379">
      <c r="A379">
        <f>'1 datos preparados'!A372</f>
        <v/>
      </c>
      <c r="B379" s="5">
        <f>'1 datos preparados'!U372</f>
        <v/>
      </c>
      <c r="C379">
        <f>'1 datos preparados'!B372</f>
        <v/>
      </c>
      <c r="D379" s="7">
        <f>'1 datos preparados'!C372</f>
        <v/>
      </c>
      <c r="E379" s="7">
        <f>'1 datos preparados'!D372</f>
        <v/>
      </c>
      <c r="F379" s="7">
        <f>'1 datos preparados'!E372</f>
        <v/>
      </c>
      <c r="G379" s="7">
        <f>'1 datos preparados'!F372</f>
        <v/>
      </c>
      <c r="H379" s="7">
        <f>'1 datos preparados'!G372</f>
        <v/>
      </c>
      <c r="I379" s="7">
        <f>'1 datos preparados'!H372</f>
        <v/>
      </c>
      <c r="J379" s="7">
        <f>'1 datos preparados'!I372</f>
        <v/>
      </c>
      <c r="K379" s="7">
        <f>'1 datos preparados'!J372</f>
        <v/>
      </c>
      <c r="L379" s="7">
        <f>'1 datos preparados'!K372</f>
        <v/>
      </c>
      <c r="M379" s="7">
        <f>'1 datos preparados'!L372</f>
        <v/>
      </c>
      <c r="N379" s="7">
        <f>'1 datos preparados'!M372</f>
        <v/>
      </c>
      <c r="O379" s="7">
        <f>'1 datos preparados'!N372</f>
        <v/>
      </c>
      <c r="P379" s="7">
        <f>'1 datos preparados'!O372</f>
        <v/>
      </c>
      <c r="Q379" s="7">
        <f>'1 datos preparados'!P372</f>
        <v/>
      </c>
      <c r="R379" s="7">
        <f>'1 datos preparados'!Q372</f>
        <v/>
      </c>
      <c r="S379" s="7">
        <f>'1 datos preparados'!R372</f>
        <v/>
      </c>
      <c r="T379" s="7">
        <f>'1 datos preparados'!S372</f>
        <v/>
      </c>
      <c r="U379" s="7">
        <f>'1 datos preparados'!T372</f>
        <v/>
      </c>
      <c r="V379" s="8">
        <f>$AE$12+D379*$AE$13+E379*$AE$14+F379*$AE$15+G379*$AE$16+H379*$AE$17+I379*$AE$18+J379*$AE$19+K379*$AE$20+L379*$AE$21+M379*$AE$22+N379*$AE$23+O379*$AE$24+P379*$AE$25+Q379*$AE$26+R379*$AE$27+S379*$AE$28+T379*$AE$29+U379*$AE$30</f>
        <v/>
      </c>
      <c r="W379" s="8">
        <f>1/(1+EXP(-V379))</f>
        <v/>
      </c>
      <c r="X379" s="9">
        <f>-IF(C379=1,LN(W379),LN(1-W379))</f>
        <v/>
      </c>
      <c r="Y379" s="8">
        <f>IF(C379=1,$AE$32,$AE$33)</f>
        <v/>
      </c>
      <c r="Z379" s="9">
        <f>Y379*X379</f>
        <v/>
      </c>
      <c r="AA379" s="10">
        <f>IF(W379&gt;$AE$34,1,0)</f>
        <v/>
      </c>
      <c r="AB379">
        <f>IF(AA379=C379,1,0)</f>
        <v/>
      </c>
    </row>
    <row r="380">
      <c r="A380">
        <f>'1 datos preparados'!A373</f>
        <v/>
      </c>
      <c r="B380" s="5">
        <f>'1 datos preparados'!U373</f>
        <v/>
      </c>
      <c r="C380">
        <f>'1 datos preparados'!B373</f>
        <v/>
      </c>
      <c r="D380" s="7">
        <f>'1 datos preparados'!C373</f>
        <v/>
      </c>
      <c r="E380" s="7">
        <f>'1 datos preparados'!D373</f>
        <v/>
      </c>
      <c r="F380" s="7">
        <f>'1 datos preparados'!E373</f>
        <v/>
      </c>
      <c r="G380" s="7">
        <f>'1 datos preparados'!F373</f>
        <v/>
      </c>
      <c r="H380" s="7">
        <f>'1 datos preparados'!G373</f>
        <v/>
      </c>
      <c r="I380" s="7">
        <f>'1 datos preparados'!H373</f>
        <v/>
      </c>
      <c r="J380" s="7">
        <f>'1 datos preparados'!I373</f>
        <v/>
      </c>
      <c r="K380" s="7">
        <f>'1 datos preparados'!J373</f>
        <v/>
      </c>
      <c r="L380" s="7">
        <f>'1 datos preparados'!K373</f>
        <v/>
      </c>
      <c r="M380" s="7">
        <f>'1 datos preparados'!L373</f>
        <v/>
      </c>
      <c r="N380" s="7">
        <f>'1 datos preparados'!M373</f>
        <v/>
      </c>
      <c r="O380" s="7">
        <f>'1 datos preparados'!N373</f>
        <v/>
      </c>
      <c r="P380" s="7">
        <f>'1 datos preparados'!O373</f>
        <v/>
      </c>
      <c r="Q380" s="7">
        <f>'1 datos preparados'!P373</f>
        <v/>
      </c>
      <c r="R380" s="7">
        <f>'1 datos preparados'!Q373</f>
        <v/>
      </c>
      <c r="S380" s="7">
        <f>'1 datos preparados'!R373</f>
        <v/>
      </c>
      <c r="T380" s="7">
        <f>'1 datos preparados'!S373</f>
        <v/>
      </c>
      <c r="U380" s="7">
        <f>'1 datos preparados'!T373</f>
        <v/>
      </c>
      <c r="V380" s="8">
        <f>$AE$12+D380*$AE$13+E380*$AE$14+F380*$AE$15+G380*$AE$16+H380*$AE$17+I380*$AE$18+J380*$AE$19+K380*$AE$20+L380*$AE$21+M380*$AE$22+N380*$AE$23+O380*$AE$24+P380*$AE$25+Q380*$AE$26+R380*$AE$27+S380*$AE$28+T380*$AE$29+U380*$AE$30</f>
        <v/>
      </c>
      <c r="W380" s="8">
        <f>1/(1+EXP(-V380))</f>
        <v/>
      </c>
      <c r="X380" s="9">
        <f>-IF(C380=1,LN(W380),LN(1-W380))</f>
        <v/>
      </c>
      <c r="Y380" s="8">
        <f>IF(C380=1,$AE$32,$AE$33)</f>
        <v/>
      </c>
      <c r="Z380" s="9">
        <f>Y380*X380</f>
        <v/>
      </c>
      <c r="AA380" s="10">
        <f>IF(W380&gt;$AE$34,1,0)</f>
        <v/>
      </c>
      <c r="AB380">
        <f>IF(AA380=C380,1,0)</f>
        <v/>
      </c>
    </row>
    <row r="381">
      <c r="A381">
        <f>'1 datos preparados'!A374</f>
        <v/>
      </c>
      <c r="B381" s="5">
        <f>'1 datos preparados'!U374</f>
        <v/>
      </c>
      <c r="C381">
        <f>'1 datos preparados'!B374</f>
        <v/>
      </c>
      <c r="D381" s="7">
        <f>'1 datos preparados'!C374</f>
        <v/>
      </c>
      <c r="E381" s="7">
        <f>'1 datos preparados'!D374</f>
        <v/>
      </c>
      <c r="F381" s="7">
        <f>'1 datos preparados'!E374</f>
        <v/>
      </c>
      <c r="G381" s="7">
        <f>'1 datos preparados'!F374</f>
        <v/>
      </c>
      <c r="H381" s="7">
        <f>'1 datos preparados'!G374</f>
        <v/>
      </c>
      <c r="I381" s="7">
        <f>'1 datos preparados'!H374</f>
        <v/>
      </c>
      <c r="J381" s="7">
        <f>'1 datos preparados'!I374</f>
        <v/>
      </c>
      <c r="K381" s="7">
        <f>'1 datos preparados'!J374</f>
        <v/>
      </c>
      <c r="L381" s="7">
        <f>'1 datos preparados'!K374</f>
        <v/>
      </c>
      <c r="M381" s="7">
        <f>'1 datos preparados'!L374</f>
        <v/>
      </c>
      <c r="N381" s="7">
        <f>'1 datos preparados'!M374</f>
        <v/>
      </c>
      <c r="O381" s="7">
        <f>'1 datos preparados'!N374</f>
        <v/>
      </c>
      <c r="P381" s="7">
        <f>'1 datos preparados'!O374</f>
        <v/>
      </c>
      <c r="Q381" s="7">
        <f>'1 datos preparados'!P374</f>
        <v/>
      </c>
      <c r="R381" s="7">
        <f>'1 datos preparados'!Q374</f>
        <v/>
      </c>
      <c r="S381" s="7">
        <f>'1 datos preparados'!R374</f>
        <v/>
      </c>
      <c r="T381" s="7">
        <f>'1 datos preparados'!S374</f>
        <v/>
      </c>
      <c r="U381" s="7">
        <f>'1 datos preparados'!T374</f>
        <v/>
      </c>
      <c r="V381" s="8">
        <f>$AE$12+D381*$AE$13+E381*$AE$14+F381*$AE$15+G381*$AE$16+H381*$AE$17+I381*$AE$18+J381*$AE$19+K381*$AE$20+L381*$AE$21+M381*$AE$22+N381*$AE$23+O381*$AE$24+P381*$AE$25+Q381*$AE$26+R381*$AE$27+S381*$AE$28+T381*$AE$29+U381*$AE$30</f>
        <v/>
      </c>
      <c r="W381" s="8">
        <f>1/(1+EXP(-V381))</f>
        <v/>
      </c>
      <c r="X381" s="9">
        <f>-IF(C381=1,LN(W381),LN(1-W381))</f>
        <v/>
      </c>
      <c r="Y381" s="8">
        <f>IF(C381=1,$AE$32,$AE$33)</f>
        <v/>
      </c>
      <c r="Z381" s="9">
        <f>Y381*X381</f>
        <v/>
      </c>
      <c r="AA381" s="10">
        <f>IF(W381&gt;$AE$34,1,0)</f>
        <v/>
      </c>
      <c r="AB381">
        <f>IF(AA381=C381,1,0)</f>
        <v/>
      </c>
    </row>
    <row r="382">
      <c r="A382">
        <f>'1 datos preparados'!A375</f>
        <v/>
      </c>
      <c r="B382" s="5">
        <f>'1 datos preparados'!U375</f>
        <v/>
      </c>
      <c r="C382">
        <f>'1 datos preparados'!B375</f>
        <v/>
      </c>
      <c r="D382" s="7">
        <f>'1 datos preparados'!C375</f>
        <v/>
      </c>
      <c r="E382" s="7">
        <f>'1 datos preparados'!D375</f>
        <v/>
      </c>
      <c r="F382" s="7">
        <f>'1 datos preparados'!E375</f>
        <v/>
      </c>
      <c r="G382" s="7">
        <f>'1 datos preparados'!F375</f>
        <v/>
      </c>
      <c r="H382" s="7">
        <f>'1 datos preparados'!G375</f>
        <v/>
      </c>
      <c r="I382" s="7">
        <f>'1 datos preparados'!H375</f>
        <v/>
      </c>
      <c r="J382" s="7">
        <f>'1 datos preparados'!I375</f>
        <v/>
      </c>
      <c r="K382" s="7">
        <f>'1 datos preparados'!J375</f>
        <v/>
      </c>
      <c r="L382" s="7">
        <f>'1 datos preparados'!K375</f>
        <v/>
      </c>
      <c r="M382" s="7">
        <f>'1 datos preparados'!L375</f>
        <v/>
      </c>
      <c r="N382" s="7">
        <f>'1 datos preparados'!M375</f>
        <v/>
      </c>
      <c r="O382" s="7">
        <f>'1 datos preparados'!N375</f>
        <v/>
      </c>
      <c r="P382" s="7">
        <f>'1 datos preparados'!O375</f>
        <v/>
      </c>
      <c r="Q382" s="7">
        <f>'1 datos preparados'!P375</f>
        <v/>
      </c>
      <c r="R382" s="7">
        <f>'1 datos preparados'!Q375</f>
        <v/>
      </c>
      <c r="S382" s="7">
        <f>'1 datos preparados'!R375</f>
        <v/>
      </c>
      <c r="T382" s="7">
        <f>'1 datos preparados'!S375</f>
        <v/>
      </c>
      <c r="U382" s="7">
        <f>'1 datos preparados'!T375</f>
        <v/>
      </c>
      <c r="V382" s="8">
        <f>$AE$12+D382*$AE$13+E382*$AE$14+F382*$AE$15+G382*$AE$16+H382*$AE$17+I382*$AE$18+J382*$AE$19+K382*$AE$20+L382*$AE$21+M382*$AE$22+N382*$AE$23+O382*$AE$24+P382*$AE$25+Q382*$AE$26+R382*$AE$27+S382*$AE$28+T382*$AE$29+U382*$AE$30</f>
        <v/>
      </c>
      <c r="W382" s="8">
        <f>1/(1+EXP(-V382))</f>
        <v/>
      </c>
      <c r="X382" s="9">
        <f>-IF(C382=1,LN(W382),LN(1-W382))</f>
        <v/>
      </c>
      <c r="Y382" s="8">
        <f>IF(C382=1,$AE$32,$AE$33)</f>
        <v/>
      </c>
      <c r="Z382" s="9">
        <f>Y382*X382</f>
        <v/>
      </c>
      <c r="AA382" s="10">
        <f>IF(W382&gt;$AE$34,1,0)</f>
        <v/>
      </c>
      <c r="AB382">
        <f>IF(AA382=C382,1,0)</f>
        <v/>
      </c>
    </row>
    <row r="383">
      <c r="A383">
        <f>'1 datos preparados'!A376</f>
        <v/>
      </c>
      <c r="B383" s="5">
        <f>'1 datos preparados'!U376</f>
        <v/>
      </c>
      <c r="C383">
        <f>'1 datos preparados'!B376</f>
        <v/>
      </c>
      <c r="D383" s="7">
        <f>'1 datos preparados'!C376</f>
        <v/>
      </c>
      <c r="E383" s="7">
        <f>'1 datos preparados'!D376</f>
        <v/>
      </c>
      <c r="F383" s="7">
        <f>'1 datos preparados'!E376</f>
        <v/>
      </c>
      <c r="G383" s="7">
        <f>'1 datos preparados'!F376</f>
        <v/>
      </c>
      <c r="H383" s="7">
        <f>'1 datos preparados'!G376</f>
        <v/>
      </c>
      <c r="I383" s="7">
        <f>'1 datos preparados'!H376</f>
        <v/>
      </c>
      <c r="J383" s="7">
        <f>'1 datos preparados'!I376</f>
        <v/>
      </c>
      <c r="K383" s="7">
        <f>'1 datos preparados'!J376</f>
        <v/>
      </c>
      <c r="L383" s="7">
        <f>'1 datos preparados'!K376</f>
        <v/>
      </c>
      <c r="M383" s="7">
        <f>'1 datos preparados'!L376</f>
        <v/>
      </c>
      <c r="N383" s="7">
        <f>'1 datos preparados'!M376</f>
        <v/>
      </c>
      <c r="O383" s="7">
        <f>'1 datos preparados'!N376</f>
        <v/>
      </c>
      <c r="P383" s="7">
        <f>'1 datos preparados'!O376</f>
        <v/>
      </c>
      <c r="Q383" s="7">
        <f>'1 datos preparados'!P376</f>
        <v/>
      </c>
      <c r="R383" s="7">
        <f>'1 datos preparados'!Q376</f>
        <v/>
      </c>
      <c r="S383" s="7">
        <f>'1 datos preparados'!R376</f>
        <v/>
      </c>
      <c r="T383" s="7">
        <f>'1 datos preparados'!S376</f>
        <v/>
      </c>
      <c r="U383" s="7">
        <f>'1 datos preparados'!T376</f>
        <v/>
      </c>
      <c r="V383" s="8">
        <f>$AE$12+D383*$AE$13+E383*$AE$14+F383*$AE$15+G383*$AE$16+H383*$AE$17+I383*$AE$18+J383*$AE$19+K383*$AE$20+L383*$AE$21+M383*$AE$22+N383*$AE$23+O383*$AE$24+P383*$AE$25+Q383*$AE$26+R383*$AE$27+S383*$AE$28+T383*$AE$29+U383*$AE$30</f>
        <v/>
      </c>
      <c r="W383" s="8">
        <f>1/(1+EXP(-V383))</f>
        <v/>
      </c>
      <c r="X383" s="9">
        <f>-IF(C383=1,LN(W383),LN(1-W383))</f>
        <v/>
      </c>
      <c r="Y383" s="8">
        <f>IF(C383=1,$AE$32,$AE$33)</f>
        <v/>
      </c>
      <c r="Z383" s="9">
        <f>Y383*X383</f>
        <v/>
      </c>
      <c r="AA383" s="10">
        <f>IF(W383&gt;$AE$34,1,0)</f>
        <v/>
      </c>
      <c r="AB383">
        <f>IF(AA383=C383,1,0)</f>
        <v/>
      </c>
    </row>
    <row r="384">
      <c r="A384">
        <f>'1 datos preparados'!A377</f>
        <v/>
      </c>
      <c r="B384" s="5">
        <f>'1 datos preparados'!U377</f>
        <v/>
      </c>
      <c r="C384">
        <f>'1 datos preparados'!B377</f>
        <v/>
      </c>
      <c r="D384" s="7">
        <f>'1 datos preparados'!C377</f>
        <v/>
      </c>
      <c r="E384" s="7">
        <f>'1 datos preparados'!D377</f>
        <v/>
      </c>
      <c r="F384" s="7">
        <f>'1 datos preparados'!E377</f>
        <v/>
      </c>
      <c r="G384" s="7">
        <f>'1 datos preparados'!F377</f>
        <v/>
      </c>
      <c r="H384" s="7">
        <f>'1 datos preparados'!G377</f>
        <v/>
      </c>
      <c r="I384" s="7">
        <f>'1 datos preparados'!H377</f>
        <v/>
      </c>
      <c r="J384" s="7">
        <f>'1 datos preparados'!I377</f>
        <v/>
      </c>
      <c r="K384" s="7">
        <f>'1 datos preparados'!J377</f>
        <v/>
      </c>
      <c r="L384" s="7">
        <f>'1 datos preparados'!K377</f>
        <v/>
      </c>
      <c r="M384" s="7">
        <f>'1 datos preparados'!L377</f>
        <v/>
      </c>
      <c r="N384" s="7">
        <f>'1 datos preparados'!M377</f>
        <v/>
      </c>
      <c r="O384" s="7">
        <f>'1 datos preparados'!N377</f>
        <v/>
      </c>
      <c r="P384" s="7">
        <f>'1 datos preparados'!O377</f>
        <v/>
      </c>
      <c r="Q384" s="7">
        <f>'1 datos preparados'!P377</f>
        <v/>
      </c>
      <c r="R384" s="7">
        <f>'1 datos preparados'!Q377</f>
        <v/>
      </c>
      <c r="S384" s="7">
        <f>'1 datos preparados'!R377</f>
        <v/>
      </c>
      <c r="T384" s="7">
        <f>'1 datos preparados'!S377</f>
        <v/>
      </c>
      <c r="U384" s="7">
        <f>'1 datos preparados'!T377</f>
        <v/>
      </c>
      <c r="V384" s="8">
        <f>$AE$12+D384*$AE$13+E384*$AE$14+F384*$AE$15+G384*$AE$16+H384*$AE$17+I384*$AE$18+J384*$AE$19+K384*$AE$20+L384*$AE$21+M384*$AE$22+N384*$AE$23+O384*$AE$24+P384*$AE$25+Q384*$AE$26+R384*$AE$27+S384*$AE$28+T384*$AE$29+U384*$AE$30</f>
        <v/>
      </c>
      <c r="W384" s="8">
        <f>1/(1+EXP(-V384))</f>
        <v/>
      </c>
      <c r="X384" s="9">
        <f>-IF(C384=1,LN(W384),LN(1-W384))</f>
        <v/>
      </c>
      <c r="Y384" s="8">
        <f>IF(C384=1,$AE$32,$AE$33)</f>
        <v/>
      </c>
      <c r="Z384" s="9">
        <f>Y384*X384</f>
        <v/>
      </c>
      <c r="AA384" s="10">
        <f>IF(W384&gt;$AE$34,1,0)</f>
        <v/>
      </c>
      <c r="AB384">
        <f>IF(AA384=C384,1,0)</f>
        <v/>
      </c>
    </row>
    <row r="385">
      <c r="A385">
        <f>'1 datos preparados'!A378</f>
        <v/>
      </c>
      <c r="B385" s="5">
        <f>'1 datos preparados'!U378</f>
        <v/>
      </c>
      <c r="C385">
        <f>'1 datos preparados'!B378</f>
        <v/>
      </c>
      <c r="D385" s="7">
        <f>'1 datos preparados'!C378</f>
        <v/>
      </c>
      <c r="E385" s="7">
        <f>'1 datos preparados'!D378</f>
        <v/>
      </c>
      <c r="F385" s="7">
        <f>'1 datos preparados'!E378</f>
        <v/>
      </c>
      <c r="G385" s="7">
        <f>'1 datos preparados'!F378</f>
        <v/>
      </c>
      <c r="H385" s="7">
        <f>'1 datos preparados'!G378</f>
        <v/>
      </c>
      <c r="I385" s="7">
        <f>'1 datos preparados'!H378</f>
        <v/>
      </c>
      <c r="J385" s="7">
        <f>'1 datos preparados'!I378</f>
        <v/>
      </c>
      <c r="K385" s="7">
        <f>'1 datos preparados'!J378</f>
        <v/>
      </c>
      <c r="L385" s="7">
        <f>'1 datos preparados'!K378</f>
        <v/>
      </c>
      <c r="M385" s="7">
        <f>'1 datos preparados'!L378</f>
        <v/>
      </c>
      <c r="N385" s="7">
        <f>'1 datos preparados'!M378</f>
        <v/>
      </c>
      <c r="O385" s="7">
        <f>'1 datos preparados'!N378</f>
        <v/>
      </c>
      <c r="P385" s="7">
        <f>'1 datos preparados'!O378</f>
        <v/>
      </c>
      <c r="Q385" s="7">
        <f>'1 datos preparados'!P378</f>
        <v/>
      </c>
      <c r="R385" s="7">
        <f>'1 datos preparados'!Q378</f>
        <v/>
      </c>
      <c r="S385" s="7">
        <f>'1 datos preparados'!R378</f>
        <v/>
      </c>
      <c r="T385" s="7">
        <f>'1 datos preparados'!S378</f>
        <v/>
      </c>
      <c r="U385" s="7">
        <f>'1 datos preparados'!T378</f>
        <v/>
      </c>
      <c r="V385" s="8">
        <f>$AE$12+D385*$AE$13+E385*$AE$14+F385*$AE$15+G385*$AE$16+H385*$AE$17+I385*$AE$18+J385*$AE$19+K385*$AE$20+L385*$AE$21+M385*$AE$22+N385*$AE$23+O385*$AE$24+P385*$AE$25+Q385*$AE$26+R385*$AE$27+S385*$AE$28+T385*$AE$29+U385*$AE$30</f>
        <v/>
      </c>
      <c r="W385" s="8">
        <f>1/(1+EXP(-V385))</f>
        <v/>
      </c>
      <c r="X385" s="9">
        <f>-IF(C385=1,LN(W385),LN(1-W385))</f>
        <v/>
      </c>
      <c r="Y385" s="8">
        <f>IF(C385=1,$AE$32,$AE$33)</f>
        <v/>
      </c>
      <c r="Z385" s="9">
        <f>Y385*X385</f>
        <v/>
      </c>
      <c r="AA385" s="10">
        <f>IF(W385&gt;$AE$34,1,0)</f>
        <v/>
      </c>
      <c r="AB385">
        <f>IF(AA385=C385,1,0)</f>
        <v/>
      </c>
    </row>
    <row r="386">
      <c r="A386">
        <f>'1 datos preparados'!A379</f>
        <v/>
      </c>
      <c r="B386" s="5">
        <f>'1 datos preparados'!U379</f>
        <v/>
      </c>
      <c r="C386">
        <f>'1 datos preparados'!B379</f>
        <v/>
      </c>
      <c r="D386" s="7">
        <f>'1 datos preparados'!C379</f>
        <v/>
      </c>
      <c r="E386" s="7">
        <f>'1 datos preparados'!D379</f>
        <v/>
      </c>
      <c r="F386" s="7">
        <f>'1 datos preparados'!E379</f>
        <v/>
      </c>
      <c r="G386" s="7">
        <f>'1 datos preparados'!F379</f>
        <v/>
      </c>
      <c r="H386" s="7">
        <f>'1 datos preparados'!G379</f>
        <v/>
      </c>
      <c r="I386" s="7">
        <f>'1 datos preparados'!H379</f>
        <v/>
      </c>
      <c r="J386" s="7">
        <f>'1 datos preparados'!I379</f>
        <v/>
      </c>
      <c r="K386" s="7">
        <f>'1 datos preparados'!J379</f>
        <v/>
      </c>
      <c r="L386" s="7">
        <f>'1 datos preparados'!K379</f>
        <v/>
      </c>
      <c r="M386" s="7">
        <f>'1 datos preparados'!L379</f>
        <v/>
      </c>
      <c r="N386" s="7">
        <f>'1 datos preparados'!M379</f>
        <v/>
      </c>
      <c r="O386" s="7">
        <f>'1 datos preparados'!N379</f>
        <v/>
      </c>
      <c r="P386" s="7">
        <f>'1 datos preparados'!O379</f>
        <v/>
      </c>
      <c r="Q386" s="7">
        <f>'1 datos preparados'!P379</f>
        <v/>
      </c>
      <c r="R386" s="7">
        <f>'1 datos preparados'!Q379</f>
        <v/>
      </c>
      <c r="S386" s="7">
        <f>'1 datos preparados'!R379</f>
        <v/>
      </c>
      <c r="T386" s="7">
        <f>'1 datos preparados'!S379</f>
        <v/>
      </c>
      <c r="U386" s="7">
        <f>'1 datos preparados'!T379</f>
        <v/>
      </c>
      <c r="V386" s="8">
        <f>$AE$12+D386*$AE$13+E386*$AE$14+F386*$AE$15+G386*$AE$16+H386*$AE$17+I386*$AE$18+J386*$AE$19+K386*$AE$20+L386*$AE$21+M386*$AE$22+N386*$AE$23+O386*$AE$24+P386*$AE$25+Q386*$AE$26+R386*$AE$27+S386*$AE$28+T386*$AE$29+U386*$AE$30</f>
        <v/>
      </c>
      <c r="W386" s="8">
        <f>1/(1+EXP(-V386))</f>
        <v/>
      </c>
      <c r="X386" s="9">
        <f>-IF(C386=1,LN(W386),LN(1-W386))</f>
        <v/>
      </c>
      <c r="Y386" s="8">
        <f>IF(C386=1,$AE$32,$AE$33)</f>
        <v/>
      </c>
      <c r="Z386" s="9">
        <f>Y386*X386</f>
        <v/>
      </c>
      <c r="AA386" s="10">
        <f>IF(W386&gt;$AE$34,1,0)</f>
        <v/>
      </c>
      <c r="AB386">
        <f>IF(AA386=C386,1,0)</f>
        <v/>
      </c>
    </row>
    <row r="387">
      <c r="A387">
        <f>'1 datos preparados'!A380</f>
        <v/>
      </c>
      <c r="B387" s="5">
        <f>'1 datos preparados'!U380</f>
        <v/>
      </c>
      <c r="C387">
        <f>'1 datos preparados'!B380</f>
        <v/>
      </c>
      <c r="D387" s="7">
        <f>'1 datos preparados'!C380</f>
        <v/>
      </c>
      <c r="E387" s="7">
        <f>'1 datos preparados'!D380</f>
        <v/>
      </c>
      <c r="F387" s="7">
        <f>'1 datos preparados'!E380</f>
        <v/>
      </c>
      <c r="G387" s="7">
        <f>'1 datos preparados'!F380</f>
        <v/>
      </c>
      <c r="H387" s="7">
        <f>'1 datos preparados'!G380</f>
        <v/>
      </c>
      <c r="I387" s="7">
        <f>'1 datos preparados'!H380</f>
        <v/>
      </c>
      <c r="J387" s="7">
        <f>'1 datos preparados'!I380</f>
        <v/>
      </c>
      <c r="K387" s="7">
        <f>'1 datos preparados'!J380</f>
        <v/>
      </c>
      <c r="L387" s="7">
        <f>'1 datos preparados'!K380</f>
        <v/>
      </c>
      <c r="M387" s="7">
        <f>'1 datos preparados'!L380</f>
        <v/>
      </c>
      <c r="N387" s="7">
        <f>'1 datos preparados'!M380</f>
        <v/>
      </c>
      <c r="O387" s="7">
        <f>'1 datos preparados'!N380</f>
        <v/>
      </c>
      <c r="P387" s="7">
        <f>'1 datos preparados'!O380</f>
        <v/>
      </c>
      <c r="Q387" s="7">
        <f>'1 datos preparados'!P380</f>
        <v/>
      </c>
      <c r="R387" s="7">
        <f>'1 datos preparados'!Q380</f>
        <v/>
      </c>
      <c r="S387" s="7">
        <f>'1 datos preparados'!R380</f>
        <v/>
      </c>
      <c r="T387" s="7">
        <f>'1 datos preparados'!S380</f>
        <v/>
      </c>
      <c r="U387" s="7">
        <f>'1 datos preparados'!T380</f>
        <v/>
      </c>
      <c r="V387" s="8">
        <f>$AE$12+D387*$AE$13+E387*$AE$14+F387*$AE$15+G387*$AE$16+H387*$AE$17+I387*$AE$18+J387*$AE$19+K387*$AE$20+L387*$AE$21+M387*$AE$22+N387*$AE$23+O387*$AE$24+P387*$AE$25+Q387*$AE$26+R387*$AE$27+S387*$AE$28+T387*$AE$29+U387*$AE$30</f>
        <v/>
      </c>
      <c r="W387" s="8">
        <f>1/(1+EXP(-V387))</f>
        <v/>
      </c>
      <c r="X387" s="9">
        <f>-IF(C387=1,LN(W387),LN(1-W387))</f>
        <v/>
      </c>
      <c r="Y387" s="8">
        <f>IF(C387=1,$AE$32,$AE$33)</f>
        <v/>
      </c>
      <c r="Z387" s="9">
        <f>Y387*X387</f>
        <v/>
      </c>
      <c r="AA387" s="10">
        <f>IF(W387&gt;$AE$34,1,0)</f>
        <v/>
      </c>
      <c r="AB387">
        <f>IF(AA387=C387,1,0)</f>
        <v/>
      </c>
    </row>
    <row r="388">
      <c r="A388">
        <f>'1 datos preparados'!A381</f>
        <v/>
      </c>
      <c r="B388" s="5">
        <f>'1 datos preparados'!U381</f>
        <v/>
      </c>
      <c r="C388">
        <f>'1 datos preparados'!B381</f>
        <v/>
      </c>
      <c r="D388" s="7">
        <f>'1 datos preparados'!C381</f>
        <v/>
      </c>
      <c r="E388" s="7">
        <f>'1 datos preparados'!D381</f>
        <v/>
      </c>
      <c r="F388" s="7">
        <f>'1 datos preparados'!E381</f>
        <v/>
      </c>
      <c r="G388" s="7">
        <f>'1 datos preparados'!F381</f>
        <v/>
      </c>
      <c r="H388" s="7">
        <f>'1 datos preparados'!G381</f>
        <v/>
      </c>
      <c r="I388" s="7">
        <f>'1 datos preparados'!H381</f>
        <v/>
      </c>
      <c r="J388" s="7">
        <f>'1 datos preparados'!I381</f>
        <v/>
      </c>
      <c r="K388" s="7">
        <f>'1 datos preparados'!J381</f>
        <v/>
      </c>
      <c r="L388" s="7">
        <f>'1 datos preparados'!K381</f>
        <v/>
      </c>
      <c r="M388" s="7">
        <f>'1 datos preparados'!L381</f>
        <v/>
      </c>
      <c r="N388" s="7">
        <f>'1 datos preparados'!M381</f>
        <v/>
      </c>
      <c r="O388" s="7">
        <f>'1 datos preparados'!N381</f>
        <v/>
      </c>
      <c r="P388" s="7">
        <f>'1 datos preparados'!O381</f>
        <v/>
      </c>
      <c r="Q388" s="7">
        <f>'1 datos preparados'!P381</f>
        <v/>
      </c>
      <c r="R388" s="7">
        <f>'1 datos preparados'!Q381</f>
        <v/>
      </c>
      <c r="S388" s="7">
        <f>'1 datos preparados'!R381</f>
        <v/>
      </c>
      <c r="T388" s="7">
        <f>'1 datos preparados'!S381</f>
        <v/>
      </c>
      <c r="U388" s="7">
        <f>'1 datos preparados'!T381</f>
        <v/>
      </c>
      <c r="V388" s="8">
        <f>$AE$12+D388*$AE$13+E388*$AE$14+F388*$AE$15+G388*$AE$16+H388*$AE$17+I388*$AE$18+J388*$AE$19+K388*$AE$20+L388*$AE$21+M388*$AE$22+N388*$AE$23+O388*$AE$24+P388*$AE$25+Q388*$AE$26+R388*$AE$27+S388*$AE$28+T388*$AE$29+U388*$AE$30</f>
        <v/>
      </c>
      <c r="W388" s="8">
        <f>1/(1+EXP(-V388))</f>
        <v/>
      </c>
      <c r="X388" s="9">
        <f>-IF(C388=1,LN(W388),LN(1-W388))</f>
        <v/>
      </c>
      <c r="Y388" s="8">
        <f>IF(C388=1,$AE$32,$AE$33)</f>
        <v/>
      </c>
      <c r="Z388" s="9">
        <f>Y388*X388</f>
        <v/>
      </c>
      <c r="AA388" s="10">
        <f>IF(W388&gt;$AE$34,1,0)</f>
        <v/>
      </c>
      <c r="AB388">
        <f>IF(AA388=C388,1,0)</f>
        <v/>
      </c>
    </row>
    <row r="389">
      <c r="A389">
        <f>'1 datos preparados'!A382</f>
        <v/>
      </c>
      <c r="B389" s="5">
        <f>'1 datos preparados'!U382</f>
        <v/>
      </c>
      <c r="C389">
        <f>'1 datos preparados'!B382</f>
        <v/>
      </c>
      <c r="D389" s="7">
        <f>'1 datos preparados'!C382</f>
        <v/>
      </c>
      <c r="E389" s="7">
        <f>'1 datos preparados'!D382</f>
        <v/>
      </c>
      <c r="F389" s="7">
        <f>'1 datos preparados'!E382</f>
        <v/>
      </c>
      <c r="G389" s="7">
        <f>'1 datos preparados'!F382</f>
        <v/>
      </c>
      <c r="H389" s="7">
        <f>'1 datos preparados'!G382</f>
        <v/>
      </c>
      <c r="I389" s="7">
        <f>'1 datos preparados'!H382</f>
        <v/>
      </c>
      <c r="J389" s="7">
        <f>'1 datos preparados'!I382</f>
        <v/>
      </c>
      <c r="K389" s="7">
        <f>'1 datos preparados'!J382</f>
        <v/>
      </c>
      <c r="L389" s="7">
        <f>'1 datos preparados'!K382</f>
        <v/>
      </c>
      <c r="M389" s="7">
        <f>'1 datos preparados'!L382</f>
        <v/>
      </c>
      <c r="N389" s="7">
        <f>'1 datos preparados'!M382</f>
        <v/>
      </c>
      <c r="O389" s="7">
        <f>'1 datos preparados'!N382</f>
        <v/>
      </c>
      <c r="P389" s="7">
        <f>'1 datos preparados'!O382</f>
        <v/>
      </c>
      <c r="Q389" s="7">
        <f>'1 datos preparados'!P382</f>
        <v/>
      </c>
      <c r="R389" s="7">
        <f>'1 datos preparados'!Q382</f>
        <v/>
      </c>
      <c r="S389" s="7">
        <f>'1 datos preparados'!R382</f>
        <v/>
      </c>
      <c r="T389" s="7">
        <f>'1 datos preparados'!S382</f>
        <v/>
      </c>
      <c r="U389" s="7">
        <f>'1 datos preparados'!T382</f>
        <v/>
      </c>
      <c r="V389" s="8">
        <f>$AE$12+D389*$AE$13+E389*$AE$14+F389*$AE$15+G389*$AE$16+H389*$AE$17+I389*$AE$18+J389*$AE$19+K389*$AE$20+L389*$AE$21+M389*$AE$22+N389*$AE$23+O389*$AE$24+P389*$AE$25+Q389*$AE$26+R389*$AE$27+S389*$AE$28+T389*$AE$29+U389*$AE$30</f>
        <v/>
      </c>
      <c r="W389" s="8">
        <f>1/(1+EXP(-V389))</f>
        <v/>
      </c>
      <c r="X389" s="9">
        <f>-IF(C389=1,LN(W389),LN(1-W389))</f>
        <v/>
      </c>
      <c r="Y389" s="8">
        <f>IF(C389=1,$AE$32,$AE$33)</f>
        <v/>
      </c>
      <c r="Z389" s="9">
        <f>Y389*X389</f>
        <v/>
      </c>
      <c r="AA389" s="10">
        <f>IF(W389&gt;$AE$34,1,0)</f>
        <v/>
      </c>
      <c r="AB389">
        <f>IF(AA389=C389,1,0)</f>
        <v/>
      </c>
    </row>
    <row r="390">
      <c r="A390">
        <f>'1 datos preparados'!A383</f>
        <v/>
      </c>
      <c r="B390" s="5">
        <f>'1 datos preparados'!U383</f>
        <v/>
      </c>
      <c r="C390">
        <f>'1 datos preparados'!B383</f>
        <v/>
      </c>
      <c r="D390" s="7">
        <f>'1 datos preparados'!C383</f>
        <v/>
      </c>
      <c r="E390" s="7">
        <f>'1 datos preparados'!D383</f>
        <v/>
      </c>
      <c r="F390" s="7">
        <f>'1 datos preparados'!E383</f>
        <v/>
      </c>
      <c r="G390" s="7">
        <f>'1 datos preparados'!F383</f>
        <v/>
      </c>
      <c r="H390" s="7">
        <f>'1 datos preparados'!G383</f>
        <v/>
      </c>
      <c r="I390" s="7">
        <f>'1 datos preparados'!H383</f>
        <v/>
      </c>
      <c r="J390" s="7">
        <f>'1 datos preparados'!I383</f>
        <v/>
      </c>
      <c r="K390" s="7">
        <f>'1 datos preparados'!J383</f>
        <v/>
      </c>
      <c r="L390" s="7">
        <f>'1 datos preparados'!K383</f>
        <v/>
      </c>
      <c r="M390" s="7">
        <f>'1 datos preparados'!L383</f>
        <v/>
      </c>
      <c r="N390" s="7">
        <f>'1 datos preparados'!M383</f>
        <v/>
      </c>
      <c r="O390" s="7">
        <f>'1 datos preparados'!N383</f>
        <v/>
      </c>
      <c r="P390" s="7">
        <f>'1 datos preparados'!O383</f>
        <v/>
      </c>
      <c r="Q390" s="7">
        <f>'1 datos preparados'!P383</f>
        <v/>
      </c>
      <c r="R390" s="7">
        <f>'1 datos preparados'!Q383</f>
        <v/>
      </c>
      <c r="S390" s="7">
        <f>'1 datos preparados'!R383</f>
        <v/>
      </c>
      <c r="T390" s="7">
        <f>'1 datos preparados'!S383</f>
        <v/>
      </c>
      <c r="U390" s="7">
        <f>'1 datos preparados'!T383</f>
        <v/>
      </c>
      <c r="V390" s="8">
        <f>$AE$12+D390*$AE$13+E390*$AE$14+F390*$AE$15+G390*$AE$16+H390*$AE$17+I390*$AE$18+J390*$AE$19+K390*$AE$20+L390*$AE$21+M390*$AE$22+N390*$AE$23+O390*$AE$24+P390*$AE$25+Q390*$AE$26+R390*$AE$27+S390*$AE$28+T390*$AE$29+U390*$AE$30</f>
        <v/>
      </c>
      <c r="W390" s="8">
        <f>1/(1+EXP(-V390))</f>
        <v/>
      </c>
      <c r="X390" s="9">
        <f>-IF(C390=1,LN(W390),LN(1-W390))</f>
        <v/>
      </c>
      <c r="Y390" s="8">
        <f>IF(C390=1,$AE$32,$AE$33)</f>
        <v/>
      </c>
      <c r="Z390" s="9">
        <f>Y390*X390</f>
        <v/>
      </c>
      <c r="AA390" s="10">
        <f>IF(W390&gt;$AE$34,1,0)</f>
        <v/>
      </c>
      <c r="AB390">
        <f>IF(AA390=C390,1,0)</f>
        <v/>
      </c>
    </row>
    <row r="391">
      <c r="A391">
        <f>'1 datos preparados'!A384</f>
        <v/>
      </c>
      <c r="B391" s="5">
        <f>'1 datos preparados'!U384</f>
        <v/>
      </c>
      <c r="C391">
        <f>'1 datos preparados'!B384</f>
        <v/>
      </c>
      <c r="D391" s="7">
        <f>'1 datos preparados'!C384</f>
        <v/>
      </c>
      <c r="E391" s="7">
        <f>'1 datos preparados'!D384</f>
        <v/>
      </c>
      <c r="F391" s="7">
        <f>'1 datos preparados'!E384</f>
        <v/>
      </c>
      <c r="G391" s="7">
        <f>'1 datos preparados'!F384</f>
        <v/>
      </c>
      <c r="H391" s="7">
        <f>'1 datos preparados'!G384</f>
        <v/>
      </c>
      <c r="I391" s="7">
        <f>'1 datos preparados'!H384</f>
        <v/>
      </c>
      <c r="J391" s="7">
        <f>'1 datos preparados'!I384</f>
        <v/>
      </c>
      <c r="K391" s="7">
        <f>'1 datos preparados'!J384</f>
        <v/>
      </c>
      <c r="L391" s="7">
        <f>'1 datos preparados'!K384</f>
        <v/>
      </c>
      <c r="M391" s="7">
        <f>'1 datos preparados'!L384</f>
        <v/>
      </c>
      <c r="N391" s="7">
        <f>'1 datos preparados'!M384</f>
        <v/>
      </c>
      <c r="O391" s="7">
        <f>'1 datos preparados'!N384</f>
        <v/>
      </c>
      <c r="P391" s="7">
        <f>'1 datos preparados'!O384</f>
        <v/>
      </c>
      <c r="Q391" s="7">
        <f>'1 datos preparados'!P384</f>
        <v/>
      </c>
      <c r="R391" s="7">
        <f>'1 datos preparados'!Q384</f>
        <v/>
      </c>
      <c r="S391" s="7">
        <f>'1 datos preparados'!R384</f>
        <v/>
      </c>
      <c r="T391" s="7">
        <f>'1 datos preparados'!S384</f>
        <v/>
      </c>
      <c r="U391" s="7">
        <f>'1 datos preparados'!T384</f>
        <v/>
      </c>
      <c r="V391" s="8">
        <f>$AE$12+D391*$AE$13+E391*$AE$14+F391*$AE$15+G391*$AE$16+H391*$AE$17+I391*$AE$18+J391*$AE$19+K391*$AE$20+L391*$AE$21+M391*$AE$22+N391*$AE$23+O391*$AE$24+P391*$AE$25+Q391*$AE$26+R391*$AE$27+S391*$AE$28+T391*$AE$29+U391*$AE$30</f>
        <v/>
      </c>
      <c r="W391" s="8">
        <f>1/(1+EXP(-V391))</f>
        <v/>
      </c>
      <c r="X391" s="9">
        <f>-IF(C391=1,LN(W391),LN(1-W391))</f>
        <v/>
      </c>
      <c r="Y391" s="8">
        <f>IF(C391=1,$AE$32,$AE$33)</f>
        <v/>
      </c>
      <c r="Z391" s="9">
        <f>Y391*X391</f>
        <v/>
      </c>
      <c r="AA391" s="10">
        <f>IF(W391&gt;$AE$34,1,0)</f>
        <v/>
      </c>
      <c r="AB391">
        <f>IF(AA391=C391,1,0)</f>
        <v/>
      </c>
    </row>
    <row r="392">
      <c r="A392">
        <f>'1 datos preparados'!A385</f>
        <v/>
      </c>
      <c r="B392" s="5">
        <f>'1 datos preparados'!U385</f>
        <v/>
      </c>
      <c r="C392">
        <f>'1 datos preparados'!B385</f>
        <v/>
      </c>
      <c r="D392" s="7">
        <f>'1 datos preparados'!C385</f>
        <v/>
      </c>
      <c r="E392" s="7">
        <f>'1 datos preparados'!D385</f>
        <v/>
      </c>
      <c r="F392" s="7">
        <f>'1 datos preparados'!E385</f>
        <v/>
      </c>
      <c r="G392" s="7">
        <f>'1 datos preparados'!F385</f>
        <v/>
      </c>
      <c r="H392" s="7">
        <f>'1 datos preparados'!G385</f>
        <v/>
      </c>
      <c r="I392" s="7">
        <f>'1 datos preparados'!H385</f>
        <v/>
      </c>
      <c r="J392" s="7">
        <f>'1 datos preparados'!I385</f>
        <v/>
      </c>
      <c r="K392" s="7">
        <f>'1 datos preparados'!J385</f>
        <v/>
      </c>
      <c r="L392" s="7">
        <f>'1 datos preparados'!K385</f>
        <v/>
      </c>
      <c r="M392" s="7">
        <f>'1 datos preparados'!L385</f>
        <v/>
      </c>
      <c r="N392" s="7">
        <f>'1 datos preparados'!M385</f>
        <v/>
      </c>
      <c r="O392" s="7">
        <f>'1 datos preparados'!N385</f>
        <v/>
      </c>
      <c r="P392" s="7">
        <f>'1 datos preparados'!O385</f>
        <v/>
      </c>
      <c r="Q392" s="7">
        <f>'1 datos preparados'!P385</f>
        <v/>
      </c>
      <c r="R392" s="7">
        <f>'1 datos preparados'!Q385</f>
        <v/>
      </c>
      <c r="S392" s="7">
        <f>'1 datos preparados'!R385</f>
        <v/>
      </c>
      <c r="T392" s="7">
        <f>'1 datos preparados'!S385</f>
        <v/>
      </c>
      <c r="U392" s="7">
        <f>'1 datos preparados'!T385</f>
        <v/>
      </c>
      <c r="V392" s="8">
        <f>$AE$12+D392*$AE$13+E392*$AE$14+F392*$AE$15+G392*$AE$16+H392*$AE$17+I392*$AE$18+J392*$AE$19+K392*$AE$20+L392*$AE$21+M392*$AE$22+N392*$AE$23+O392*$AE$24+P392*$AE$25+Q392*$AE$26+R392*$AE$27+S392*$AE$28+T392*$AE$29+U392*$AE$30</f>
        <v/>
      </c>
      <c r="W392" s="8">
        <f>1/(1+EXP(-V392))</f>
        <v/>
      </c>
      <c r="X392" s="9">
        <f>-IF(C392=1,LN(W392),LN(1-W392))</f>
        <v/>
      </c>
      <c r="Y392" s="8">
        <f>IF(C392=1,$AE$32,$AE$33)</f>
        <v/>
      </c>
      <c r="Z392" s="9">
        <f>Y392*X392</f>
        <v/>
      </c>
      <c r="AA392" s="10">
        <f>IF(W392&gt;$AE$34,1,0)</f>
        <v/>
      </c>
      <c r="AB392">
        <f>IF(AA392=C392,1,0)</f>
        <v/>
      </c>
    </row>
    <row r="393">
      <c r="A393">
        <f>'1 datos preparados'!A386</f>
        <v/>
      </c>
      <c r="B393" s="5">
        <f>'1 datos preparados'!U386</f>
        <v/>
      </c>
      <c r="C393">
        <f>'1 datos preparados'!B386</f>
        <v/>
      </c>
      <c r="D393" s="7">
        <f>'1 datos preparados'!C386</f>
        <v/>
      </c>
      <c r="E393" s="7">
        <f>'1 datos preparados'!D386</f>
        <v/>
      </c>
      <c r="F393" s="7">
        <f>'1 datos preparados'!E386</f>
        <v/>
      </c>
      <c r="G393" s="7">
        <f>'1 datos preparados'!F386</f>
        <v/>
      </c>
      <c r="H393" s="7">
        <f>'1 datos preparados'!G386</f>
        <v/>
      </c>
      <c r="I393" s="7">
        <f>'1 datos preparados'!H386</f>
        <v/>
      </c>
      <c r="J393" s="7">
        <f>'1 datos preparados'!I386</f>
        <v/>
      </c>
      <c r="K393" s="7">
        <f>'1 datos preparados'!J386</f>
        <v/>
      </c>
      <c r="L393" s="7">
        <f>'1 datos preparados'!K386</f>
        <v/>
      </c>
      <c r="M393" s="7">
        <f>'1 datos preparados'!L386</f>
        <v/>
      </c>
      <c r="N393" s="7">
        <f>'1 datos preparados'!M386</f>
        <v/>
      </c>
      <c r="O393" s="7">
        <f>'1 datos preparados'!N386</f>
        <v/>
      </c>
      <c r="P393" s="7">
        <f>'1 datos preparados'!O386</f>
        <v/>
      </c>
      <c r="Q393" s="7">
        <f>'1 datos preparados'!P386</f>
        <v/>
      </c>
      <c r="R393" s="7">
        <f>'1 datos preparados'!Q386</f>
        <v/>
      </c>
      <c r="S393" s="7">
        <f>'1 datos preparados'!R386</f>
        <v/>
      </c>
      <c r="T393" s="7">
        <f>'1 datos preparados'!S386</f>
        <v/>
      </c>
      <c r="U393" s="7">
        <f>'1 datos preparados'!T386</f>
        <v/>
      </c>
      <c r="V393" s="8">
        <f>$AE$12+D393*$AE$13+E393*$AE$14+F393*$AE$15+G393*$AE$16+H393*$AE$17+I393*$AE$18+J393*$AE$19+K393*$AE$20+L393*$AE$21+M393*$AE$22+N393*$AE$23+O393*$AE$24+P393*$AE$25+Q393*$AE$26+R393*$AE$27+S393*$AE$28+T393*$AE$29+U393*$AE$30</f>
        <v/>
      </c>
      <c r="W393" s="8">
        <f>1/(1+EXP(-V393))</f>
        <v/>
      </c>
      <c r="X393" s="9">
        <f>-IF(C393=1,LN(W393),LN(1-W393))</f>
        <v/>
      </c>
      <c r="Y393" s="8">
        <f>IF(C393=1,$AE$32,$AE$33)</f>
        <v/>
      </c>
      <c r="Z393" s="9">
        <f>Y393*X393</f>
        <v/>
      </c>
      <c r="AA393" s="10">
        <f>IF(W393&gt;$AE$34,1,0)</f>
        <v/>
      </c>
      <c r="AB393">
        <f>IF(AA393=C393,1,0)</f>
        <v/>
      </c>
    </row>
    <row r="394">
      <c r="A394">
        <f>'1 datos preparados'!A387</f>
        <v/>
      </c>
      <c r="B394" s="5">
        <f>'1 datos preparados'!U387</f>
        <v/>
      </c>
      <c r="C394">
        <f>'1 datos preparados'!B387</f>
        <v/>
      </c>
      <c r="D394" s="7">
        <f>'1 datos preparados'!C387</f>
        <v/>
      </c>
      <c r="E394" s="7">
        <f>'1 datos preparados'!D387</f>
        <v/>
      </c>
      <c r="F394" s="7">
        <f>'1 datos preparados'!E387</f>
        <v/>
      </c>
      <c r="G394" s="7">
        <f>'1 datos preparados'!F387</f>
        <v/>
      </c>
      <c r="H394" s="7">
        <f>'1 datos preparados'!G387</f>
        <v/>
      </c>
      <c r="I394" s="7">
        <f>'1 datos preparados'!H387</f>
        <v/>
      </c>
      <c r="J394" s="7">
        <f>'1 datos preparados'!I387</f>
        <v/>
      </c>
      <c r="K394" s="7">
        <f>'1 datos preparados'!J387</f>
        <v/>
      </c>
      <c r="L394" s="7">
        <f>'1 datos preparados'!K387</f>
        <v/>
      </c>
      <c r="M394" s="7">
        <f>'1 datos preparados'!L387</f>
        <v/>
      </c>
      <c r="N394" s="7">
        <f>'1 datos preparados'!M387</f>
        <v/>
      </c>
      <c r="O394" s="7">
        <f>'1 datos preparados'!N387</f>
        <v/>
      </c>
      <c r="P394" s="7">
        <f>'1 datos preparados'!O387</f>
        <v/>
      </c>
      <c r="Q394" s="7">
        <f>'1 datos preparados'!P387</f>
        <v/>
      </c>
      <c r="R394" s="7">
        <f>'1 datos preparados'!Q387</f>
        <v/>
      </c>
      <c r="S394" s="7">
        <f>'1 datos preparados'!R387</f>
        <v/>
      </c>
      <c r="T394" s="7">
        <f>'1 datos preparados'!S387</f>
        <v/>
      </c>
      <c r="U394" s="7">
        <f>'1 datos preparados'!T387</f>
        <v/>
      </c>
      <c r="V394" s="8">
        <f>$AE$12+D394*$AE$13+E394*$AE$14+F394*$AE$15+G394*$AE$16+H394*$AE$17+I394*$AE$18+J394*$AE$19+K394*$AE$20+L394*$AE$21+M394*$AE$22+N394*$AE$23+O394*$AE$24+P394*$AE$25+Q394*$AE$26+R394*$AE$27+S394*$AE$28+T394*$AE$29+U394*$AE$30</f>
        <v/>
      </c>
      <c r="W394" s="8">
        <f>1/(1+EXP(-V394))</f>
        <v/>
      </c>
      <c r="X394" s="9">
        <f>-IF(C394=1,LN(W394),LN(1-W394))</f>
        <v/>
      </c>
      <c r="Y394" s="8">
        <f>IF(C394=1,$AE$32,$AE$33)</f>
        <v/>
      </c>
      <c r="Z394" s="9">
        <f>Y394*X394</f>
        <v/>
      </c>
      <c r="AA394" s="10">
        <f>IF(W394&gt;$AE$34,1,0)</f>
        <v/>
      </c>
      <c r="AB394">
        <f>IF(AA394=C394,1,0)</f>
        <v/>
      </c>
    </row>
    <row r="395">
      <c r="A395">
        <f>'1 datos preparados'!A388</f>
        <v/>
      </c>
      <c r="B395" s="5">
        <f>'1 datos preparados'!U388</f>
        <v/>
      </c>
      <c r="C395">
        <f>'1 datos preparados'!B388</f>
        <v/>
      </c>
      <c r="D395" s="7">
        <f>'1 datos preparados'!C388</f>
        <v/>
      </c>
      <c r="E395" s="7">
        <f>'1 datos preparados'!D388</f>
        <v/>
      </c>
      <c r="F395" s="7">
        <f>'1 datos preparados'!E388</f>
        <v/>
      </c>
      <c r="G395" s="7">
        <f>'1 datos preparados'!F388</f>
        <v/>
      </c>
      <c r="H395" s="7">
        <f>'1 datos preparados'!G388</f>
        <v/>
      </c>
      <c r="I395" s="7">
        <f>'1 datos preparados'!H388</f>
        <v/>
      </c>
      <c r="J395" s="7">
        <f>'1 datos preparados'!I388</f>
        <v/>
      </c>
      <c r="K395" s="7">
        <f>'1 datos preparados'!J388</f>
        <v/>
      </c>
      <c r="L395" s="7">
        <f>'1 datos preparados'!K388</f>
        <v/>
      </c>
      <c r="M395" s="7">
        <f>'1 datos preparados'!L388</f>
        <v/>
      </c>
      <c r="N395" s="7">
        <f>'1 datos preparados'!M388</f>
        <v/>
      </c>
      <c r="O395" s="7">
        <f>'1 datos preparados'!N388</f>
        <v/>
      </c>
      <c r="P395" s="7">
        <f>'1 datos preparados'!O388</f>
        <v/>
      </c>
      <c r="Q395" s="7">
        <f>'1 datos preparados'!P388</f>
        <v/>
      </c>
      <c r="R395" s="7">
        <f>'1 datos preparados'!Q388</f>
        <v/>
      </c>
      <c r="S395" s="7">
        <f>'1 datos preparados'!R388</f>
        <v/>
      </c>
      <c r="T395" s="7">
        <f>'1 datos preparados'!S388</f>
        <v/>
      </c>
      <c r="U395" s="7">
        <f>'1 datos preparados'!T388</f>
        <v/>
      </c>
      <c r="V395" s="8">
        <f>$AE$12+D395*$AE$13+E395*$AE$14+F395*$AE$15+G395*$AE$16+H395*$AE$17+I395*$AE$18+J395*$AE$19+K395*$AE$20+L395*$AE$21+M395*$AE$22+N395*$AE$23+O395*$AE$24+P395*$AE$25+Q395*$AE$26+R395*$AE$27+S395*$AE$28+T395*$AE$29+U395*$AE$30</f>
        <v/>
      </c>
      <c r="W395" s="8">
        <f>1/(1+EXP(-V395))</f>
        <v/>
      </c>
      <c r="X395" s="9">
        <f>-IF(C395=1,LN(W395),LN(1-W395))</f>
        <v/>
      </c>
      <c r="Y395" s="8">
        <f>IF(C395=1,$AE$32,$AE$33)</f>
        <v/>
      </c>
      <c r="Z395" s="9">
        <f>Y395*X395</f>
        <v/>
      </c>
      <c r="AA395" s="10">
        <f>IF(W395&gt;$AE$34,1,0)</f>
        <v/>
      </c>
      <c r="AB395">
        <f>IF(AA395=C395,1,0)</f>
        <v/>
      </c>
    </row>
    <row r="396">
      <c r="A396">
        <f>'1 datos preparados'!A389</f>
        <v/>
      </c>
      <c r="B396" s="5">
        <f>'1 datos preparados'!U389</f>
        <v/>
      </c>
      <c r="C396">
        <f>'1 datos preparados'!B389</f>
        <v/>
      </c>
      <c r="D396" s="7">
        <f>'1 datos preparados'!C389</f>
        <v/>
      </c>
      <c r="E396" s="7">
        <f>'1 datos preparados'!D389</f>
        <v/>
      </c>
      <c r="F396" s="7">
        <f>'1 datos preparados'!E389</f>
        <v/>
      </c>
      <c r="G396" s="7">
        <f>'1 datos preparados'!F389</f>
        <v/>
      </c>
      <c r="H396" s="7">
        <f>'1 datos preparados'!G389</f>
        <v/>
      </c>
      <c r="I396" s="7">
        <f>'1 datos preparados'!H389</f>
        <v/>
      </c>
      <c r="J396" s="7">
        <f>'1 datos preparados'!I389</f>
        <v/>
      </c>
      <c r="K396" s="7">
        <f>'1 datos preparados'!J389</f>
        <v/>
      </c>
      <c r="L396" s="7">
        <f>'1 datos preparados'!K389</f>
        <v/>
      </c>
      <c r="M396" s="7">
        <f>'1 datos preparados'!L389</f>
        <v/>
      </c>
      <c r="N396" s="7">
        <f>'1 datos preparados'!M389</f>
        <v/>
      </c>
      <c r="O396" s="7">
        <f>'1 datos preparados'!N389</f>
        <v/>
      </c>
      <c r="P396" s="7">
        <f>'1 datos preparados'!O389</f>
        <v/>
      </c>
      <c r="Q396" s="7">
        <f>'1 datos preparados'!P389</f>
        <v/>
      </c>
      <c r="R396" s="7">
        <f>'1 datos preparados'!Q389</f>
        <v/>
      </c>
      <c r="S396" s="7">
        <f>'1 datos preparados'!R389</f>
        <v/>
      </c>
      <c r="T396" s="7">
        <f>'1 datos preparados'!S389</f>
        <v/>
      </c>
      <c r="U396" s="7">
        <f>'1 datos preparados'!T389</f>
        <v/>
      </c>
      <c r="V396" s="8">
        <f>$AE$12+D396*$AE$13+E396*$AE$14+F396*$AE$15+G396*$AE$16+H396*$AE$17+I396*$AE$18+J396*$AE$19+K396*$AE$20+L396*$AE$21+M396*$AE$22+N396*$AE$23+O396*$AE$24+P396*$AE$25+Q396*$AE$26+R396*$AE$27+S396*$AE$28+T396*$AE$29+U396*$AE$30</f>
        <v/>
      </c>
      <c r="W396" s="8">
        <f>1/(1+EXP(-V396))</f>
        <v/>
      </c>
      <c r="X396" s="9">
        <f>-IF(C396=1,LN(W396),LN(1-W396))</f>
        <v/>
      </c>
      <c r="Y396" s="8">
        <f>IF(C396=1,$AE$32,$AE$33)</f>
        <v/>
      </c>
      <c r="Z396" s="9">
        <f>Y396*X396</f>
        <v/>
      </c>
      <c r="AA396" s="10">
        <f>IF(W396&gt;$AE$34,1,0)</f>
        <v/>
      </c>
      <c r="AB396">
        <f>IF(AA396=C396,1,0)</f>
        <v/>
      </c>
    </row>
    <row r="397">
      <c r="A397">
        <f>'1 datos preparados'!A390</f>
        <v/>
      </c>
      <c r="B397" s="5">
        <f>'1 datos preparados'!U390</f>
        <v/>
      </c>
      <c r="C397">
        <f>'1 datos preparados'!B390</f>
        <v/>
      </c>
      <c r="D397" s="7">
        <f>'1 datos preparados'!C390</f>
        <v/>
      </c>
      <c r="E397" s="7">
        <f>'1 datos preparados'!D390</f>
        <v/>
      </c>
      <c r="F397" s="7">
        <f>'1 datos preparados'!E390</f>
        <v/>
      </c>
      <c r="G397" s="7">
        <f>'1 datos preparados'!F390</f>
        <v/>
      </c>
      <c r="H397" s="7">
        <f>'1 datos preparados'!G390</f>
        <v/>
      </c>
      <c r="I397" s="7">
        <f>'1 datos preparados'!H390</f>
        <v/>
      </c>
      <c r="J397" s="7">
        <f>'1 datos preparados'!I390</f>
        <v/>
      </c>
      <c r="K397" s="7">
        <f>'1 datos preparados'!J390</f>
        <v/>
      </c>
      <c r="L397" s="7">
        <f>'1 datos preparados'!K390</f>
        <v/>
      </c>
      <c r="M397" s="7">
        <f>'1 datos preparados'!L390</f>
        <v/>
      </c>
      <c r="N397" s="7">
        <f>'1 datos preparados'!M390</f>
        <v/>
      </c>
      <c r="O397" s="7">
        <f>'1 datos preparados'!N390</f>
        <v/>
      </c>
      <c r="P397" s="7">
        <f>'1 datos preparados'!O390</f>
        <v/>
      </c>
      <c r="Q397" s="7">
        <f>'1 datos preparados'!P390</f>
        <v/>
      </c>
      <c r="R397" s="7">
        <f>'1 datos preparados'!Q390</f>
        <v/>
      </c>
      <c r="S397" s="7">
        <f>'1 datos preparados'!R390</f>
        <v/>
      </c>
      <c r="T397" s="7">
        <f>'1 datos preparados'!S390</f>
        <v/>
      </c>
      <c r="U397" s="7">
        <f>'1 datos preparados'!T390</f>
        <v/>
      </c>
      <c r="V397" s="8">
        <f>$AE$12+D397*$AE$13+E397*$AE$14+F397*$AE$15+G397*$AE$16+H397*$AE$17+I397*$AE$18+J397*$AE$19+K397*$AE$20+L397*$AE$21+M397*$AE$22+N397*$AE$23+O397*$AE$24+P397*$AE$25+Q397*$AE$26+R397*$AE$27+S397*$AE$28+T397*$AE$29+U397*$AE$30</f>
        <v/>
      </c>
      <c r="W397" s="8">
        <f>1/(1+EXP(-V397))</f>
        <v/>
      </c>
      <c r="X397" s="9">
        <f>-IF(C397=1,LN(W397),LN(1-W397))</f>
        <v/>
      </c>
      <c r="Y397" s="8">
        <f>IF(C397=1,$AE$32,$AE$33)</f>
        <v/>
      </c>
      <c r="Z397" s="9">
        <f>Y397*X397</f>
        <v/>
      </c>
      <c r="AA397" s="10">
        <f>IF(W397&gt;$AE$34,1,0)</f>
        <v/>
      </c>
      <c r="AB397">
        <f>IF(AA397=C397,1,0)</f>
        <v/>
      </c>
    </row>
    <row r="398">
      <c r="A398">
        <f>'1 datos preparados'!A391</f>
        <v/>
      </c>
      <c r="B398" s="5">
        <f>'1 datos preparados'!U391</f>
        <v/>
      </c>
      <c r="C398">
        <f>'1 datos preparados'!B391</f>
        <v/>
      </c>
      <c r="D398" s="7">
        <f>'1 datos preparados'!C391</f>
        <v/>
      </c>
      <c r="E398" s="7">
        <f>'1 datos preparados'!D391</f>
        <v/>
      </c>
      <c r="F398" s="7">
        <f>'1 datos preparados'!E391</f>
        <v/>
      </c>
      <c r="G398" s="7">
        <f>'1 datos preparados'!F391</f>
        <v/>
      </c>
      <c r="H398" s="7">
        <f>'1 datos preparados'!G391</f>
        <v/>
      </c>
      <c r="I398" s="7">
        <f>'1 datos preparados'!H391</f>
        <v/>
      </c>
      <c r="J398" s="7">
        <f>'1 datos preparados'!I391</f>
        <v/>
      </c>
      <c r="K398" s="7">
        <f>'1 datos preparados'!J391</f>
        <v/>
      </c>
      <c r="L398" s="7">
        <f>'1 datos preparados'!K391</f>
        <v/>
      </c>
      <c r="M398" s="7">
        <f>'1 datos preparados'!L391</f>
        <v/>
      </c>
      <c r="N398" s="7">
        <f>'1 datos preparados'!M391</f>
        <v/>
      </c>
      <c r="O398" s="7">
        <f>'1 datos preparados'!N391</f>
        <v/>
      </c>
      <c r="P398" s="7">
        <f>'1 datos preparados'!O391</f>
        <v/>
      </c>
      <c r="Q398" s="7">
        <f>'1 datos preparados'!P391</f>
        <v/>
      </c>
      <c r="R398" s="7">
        <f>'1 datos preparados'!Q391</f>
        <v/>
      </c>
      <c r="S398" s="7">
        <f>'1 datos preparados'!R391</f>
        <v/>
      </c>
      <c r="T398" s="7">
        <f>'1 datos preparados'!S391</f>
        <v/>
      </c>
      <c r="U398" s="7">
        <f>'1 datos preparados'!T391</f>
        <v/>
      </c>
      <c r="V398" s="8">
        <f>$AE$12+D398*$AE$13+E398*$AE$14+F398*$AE$15+G398*$AE$16+H398*$AE$17+I398*$AE$18+J398*$AE$19+K398*$AE$20+L398*$AE$21+M398*$AE$22+N398*$AE$23+O398*$AE$24+P398*$AE$25+Q398*$AE$26+R398*$AE$27+S398*$AE$28+T398*$AE$29+U398*$AE$30</f>
        <v/>
      </c>
      <c r="W398" s="8">
        <f>1/(1+EXP(-V398))</f>
        <v/>
      </c>
      <c r="X398" s="9">
        <f>-IF(C398=1,LN(W398),LN(1-W398))</f>
        <v/>
      </c>
      <c r="Y398" s="8">
        <f>IF(C398=1,$AE$32,$AE$33)</f>
        <v/>
      </c>
      <c r="Z398" s="9">
        <f>Y398*X398</f>
        <v/>
      </c>
      <c r="AA398" s="10">
        <f>IF(W398&gt;$AE$34,1,0)</f>
        <v/>
      </c>
      <c r="AB398">
        <f>IF(AA398=C398,1,0)</f>
        <v/>
      </c>
    </row>
    <row r="399">
      <c r="A399">
        <f>'1 datos preparados'!A392</f>
        <v/>
      </c>
      <c r="B399" s="5">
        <f>'1 datos preparados'!U392</f>
        <v/>
      </c>
      <c r="C399">
        <f>'1 datos preparados'!B392</f>
        <v/>
      </c>
      <c r="D399" s="7">
        <f>'1 datos preparados'!C392</f>
        <v/>
      </c>
      <c r="E399" s="7">
        <f>'1 datos preparados'!D392</f>
        <v/>
      </c>
      <c r="F399" s="7">
        <f>'1 datos preparados'!E392</f>
        <v/>
      </c>
      <c r="G399" s="7">
        <f>'1 datos preparados'!F392</f>
        <v/>
      </c>
      <c r="H399" s="7">
        <f>'1 datos preparados'!G392</f>
        <v/>
      </c>
      <c r="I399" s="7">
        <f>'1 datos preparados'!H392</f>
        <v/>
      </c>
      <c r="J399" s="7">
        <f>'1 datos preparados'!I392</f>
        <v/>
      </c>
      <c r="K399" s="7">
        <f>'1 datos preparados'!J392</f>
        <v/>
      </c>
      <c r="L399" s="7">
        <f>'1 datos preparados'!K392</f>
        <v/>
      </c>
      <c r="M399" s="7">
        <f>'1 datos preparados'!L392</f>
        <v/>
      </c>
      <c r="N399" s="7">
        <f>'1 datos preparados'!M392</f>
        <v/>
      </c>
      <c r="O399" s="7">
        <f>'1 datos preparados'!N392</f>
        <v/>
      </c>
      <c r="P399" s="7">
        <f>'1 datos preparados'!O392</f>
        <v/>
      </c>
      <c r="Q399" s="7">
        <f>'1 datos preparados'!P392</f>
        <v/>
      </c>
      <c r="R399" s="7">
        <f>'1 datos preparados'!Q392</f>
        <v/>
      </c>
      <c r="S399" s="7">
        <f>'1 datos preparados'!R392</f>
        <v/>
      </c>
      <c r="T399" s="7">
        <f>'1 datos preparados'!S392</f>
        <v/>
      </c>
      <c r="U399" s="7">
        <f>'1 datos preparados'!T392</f>
        <v/>
      </c>
      <c r="V399" s="8">
        <f>$AE$12+D399*$AE$13+E399*$AE$14+F399*$AE$15+G399*$AE$16+H399*$AE$17+I399*$AE$18+J399*$AE$19+K399*$AE$20+L399*$AE$21+M399*$AE$22+N399*$AE$23+O399*$AE$24+P399*$AE$25+Q399*$AE$26+R399*$AE$27+S399*$AE$28+T399*$AE$29+U399*$AE$30</f>
        <v/>
      </c>
      <c r="W399" s="8">
        <f>1/(1+EXP(-V399))</f>
        <v/>
      </c>
      <c r="X399" s="9">
        <f>-IF(C399=1,LN(W399),LN(1-W399))</f>
        <v/>
      </c>
      <c r="Y399" s="8">
        <f>IF(C399=1,$AE$32,$AE$33)</f>
        <v/>
      </c>
      <c r="Z399" s="9">
        <f>Y399*X399</f>
        <v/>
      </c>
      <c r="AA399" s="10">
        <f>IF(W399&gt;$AE$34,1,0)</f>
        <v/>
      </c>
      <c r="AB399">
        <f>IF(AA399=C399,1,0)</f>
        <v/>
      </c>
    </row>
    <row r="400">
      <c r="A400">
        <f>'1 datos preparados'!A393</f>
        <v/>
      </c>
      <c r="B400" s="5">
        <f>'1 datos preparados'!U393</f>
        <v/>
      </c>
      <c r="C400">
        <f>'1 datos preparados'!B393</f>
        <v/>
      </c>
      <c r="D400" s="7">
        <f>'1 datos preparados'!C393</f>
        <v/>
      </c>
      <c r="E400" s="7">
        <f>'1 datos preparados'!D393</f>
        <v/>
      </c>
      <c r="F400" s="7">
        <f>'1 datos preparados'!E393</f>
        <v/>
      </c>
      <c r="G400" s="7">
        <f>'1 datos preparados'!F393</f>
        <v/>
      </c>
      <c r="H400" s="7">
        <f>'1 datos preparados'!G393</f>
        <v/>
      </c>
      <c r="I400" s="7">
        <f>'1 datos preparados'!H393</f>
        <v/>
      </c>
      <c r="J400" s="7">
        <f>'1 datos preparados'!I393</f>
        <v/>
      </c>
      <c r="K400" s="7">
        <f>'1 datos preparados'!J393</f>
        <v/>
      </c>
      <c r="L400" s="7">
        <f>'1 datos preparados'!K393</f>
        <v/>
      </c>
      <c r="M400" s="7">
        <f>'1 datos preparados'!L393</f>
        <v/>
      </c>
      <c r="N400" s="7">
        <f>'1 datos preparados'!M393</f>
        <v/>
      </c>
      <c r="O400" s="7">
        <f>'1 datos preparados'!N393</f>
        <v/>
      </c>
      <c r="P400" s="7">
        <f>'1 datos preparados'!O393</f>
        <v/>
      </c>
      <c r="Q400" s="7">
        <f>'1 datos preparados'!P393</f>
        <v/>
      </c>
      <c r="R400" s="7">
        <f>'1 datos preparados'!Q393</f>
        <v/>
      </c>
      <c r="S400" s="7">
        <f>'1 datos preparados'!R393</f>
        <v/>
      </c>
      <c r="T400" s="7">
        <f>'1 datos preparados'!S393</f>
        <v/>
      </c>
      <c r="U400" s="7">
        <f>'1 datos preparados'!T393</f>
        <v/>
      </c>
      <c r="V400" s="8">
        <f>$AE$12+D400*$AE$13+E400*$AE$14+F400*$AE$15+G400*$AE$16+H400*$AE$17+I400*$AE$18+J400*$AE$19+K400*$AE$20+L400*$AE$21+M400*$AE$22+N400*$AE$23+O400*$AE$24+P400*$AE$25+Q400*$AE$26+R400*$AE$27+S400*$AE$28+T400*$AE$29+U400*$AE$30</f>
        <v/>
      </c>
      <c r="W400" s="8">
        <f>1/(1+EXP(-V400))</f>
        <v/>
      </c>
      <c r="X400" s="9">
        <f>-IF(C400=1,LN(W400),LN(1-W400))</f>
        <v/>
      </c>
      <c r="Y400" s="8">
        <f>IF(C400=1,$AE$32,$AE$33)</f>
        <v/>
      </c>
      <c r="Z400" s="9">
        <f>Y400*X400</f>
        <v/>
      </c>
      <c r="AA400" s="10">
        <f>IF(W400&gt;$AE$34,1,0)</f>
        <v/>
      </c>
      <c r="AB400">
        <f>IF(AA400=C400,1,0)</f>
        <v/>
      </c>
    </row>
    <row r="401">
      <c r="A401">
        <f>'1 datos preparados'!A394</f>
        <v/>
      </c>
      <c r="B401" s="5">
        <f>'1 datos preparados'!U394</f>
        <v/>
      </c>
      <c r="C401">
        <f>'1 datos preparados'!B394</f>
        <v/>
      </c>
      <c r="D401" s="7">
        <f>'1 datos preparados'!C394</f>
        <v/>
      </c>
      <c r="E401" s="7">
        <f>'1 datos preparados'!D394</f>
        <v/>
      </c>
      <c r="F401" s="7">
        <f>'1 datos preparados'!E394</f>
        <v/>
      </c>
      <c r="G401" s="7">
        <f>'1 datos preparados'!F394</f>
        <v/>
      </c>
      <c r="H401" s="7">
        <f>'1 datos preparados'!G394</f>
        <v/>
      </c>
      <c r="I401" s="7">
        <f>'1 datos preparados'!H394</f>
        <v/>
      </c>
      <c r="J401" s="7">
        <f>'1 datos preparados'!I394</f>
        <v/>
      </c>
      <c r="K401" s="7">
        <f>'1 datos preparados'!J394</f>
        <v/>
      </c>
      <c r="L401" s="7">
        <f>'1 datos preparados'!K394</f>
        <v/>
      </c>
      <c r="M401" s="7">
        <f>'1 datos preparados'!L394</f>
        <v/>
      </c>
      <c r="N401" s="7">
        <f>'1 datos preparados'!M394</f>
        <v/>
      </c>
      <c r="O401" s="7">
        <f>'1 datos preparados'!N394</f>
        <v/>
      </c>
      <c r="P401" s="7">
        <f>'1 datos preparados'!O394</f>
        <v/>
      </c>
      <c r="Q401" s="7">
        <f>'1 datos preparados'!P394</f>
        <v/>
      </c>
      <c r="R401" s="7">
        <f>'1 datos preparados'!Q394</f>
        <v/>
      </c>
      <c r="S401" s="7">
        <f>'1 datos preparados'!R394</f>
        <v/>
      </c>
      <c r="T401" s="7">
        <f>'1 datos preparados'!S394</f>
        <v/>
      </c>
      <c r="U401" s="7">
        <f>'1 datos preparados'!T394</f>
        <v/>
      </c>
      <c r="V401" s="8">
        <f>$AE$12+D401*$AE$13+E401*$AE$14+F401*$AE$15+G401*$AE$16+H401*$AE$17+I401*$AE$18+J401*$AE$19+K401*$AE$20+L401*$AE$21+M401*$AE$22+N401*$AE$23+O401*$AE$24+P401*$AE$25+Q401*$AE$26+R401*$AE$27+S401*$AE$28+T401*$AE$29+U401*$AE$30</f>
        <v/>
      </c>
      <c r="W401" s="8">
        <f>1/(1+EXP(-V401))</f>
        <v/>
      </c>
      <c r="X401" s="9">
        <f>-IF(C401=1,LN(W401),LN(1-W401))</f>
        <v/>
      </c>
      <c r="Y401" s="8">
        <f>IF(C401=1,$AE$32,$AE$33)</f>
        <v/>
      </c>
      <c r="Z401" s="9">
        <f>Y401*X401</f>
        <v/>
      </c>
      <c r="AA401" s="10">
        <f>IF(W401&gt;$AE$34,1,0)</f>
        <v/>
      </c>
      <c r="AB401">
        <f>IF(AA401=C401,1,0)</f>
        <v/>
      </c>
    </row>
    <row r="402">
      <c r="A402">
        <f>'1 datos preparados'!A395</f>
        <v/>
      </c>
      <c r="B402" s="5">
        <f>'1 datos preparados'!U395</f>
        <v/>
      </c>
      <c r="C402">
        <f>'1 datos preparados'!B395</f>
        <v/>
      </c>
      <c r="D402" s="7">
        <f>'1 datos preparados'!C395</f>
        <v/>
      </c>
      <c r="E402" s="7">
        <f>'1 datos preparados'!D395</f>
        <v/>
      </c>
      <c r="F402" s="7">
        <f>'1 datos preparados'!E395</f>
        <v/>
      </c>
      <c r="G402" s="7">
        <f>'1 datos preparados'!F395</f>
        <v/>
      </c>
      <c r="H402" s="7">
        <f>'1 datos preparados'!G395</f>
        <v/>
      </c>
      <c r="I402" s="7">
        <f>'1 datos preparados'!H395</f>
        <v/>
      </c>
      <c r="J402" s="7">
        <f>'1 datos preparados'!I395</f>
        <v/>
      </c>
      <c r="K402" s="7">
        <f>'1 datos preparados'!J395</f>
        <v/>
      </c>
      <c r="L402" s="7">
        <f>'1 datos preparados'!K395</f>
        <v/>
      </c>
      <c r="M402" s="7">
        <f>'1 datos preparados'!L395</f>
        <v/>
      </c>
      <c r="N402" s="7">
        <f>'1 datos preparados'!M395</f>
        <v/>
      </c>
      <c r="O402" s="7">
        <f>'1 datos preparados'!N395</f>
        <v/>
      </c>
      <c r="P402" s="7">
        <f>'1 datos preparados'!O395</f>
        <v/>
      </c>
      <c r="Q402" s="7">
        <f>'1 datos preparados'!P395</f>
        <v/>
      </c>
      <c r="R402" s="7">
        <f>'1 datos preparados'!Q395</f>
        <v/>
      </c>
      <c r="S402" s="7">
        <f>'1 datos preparados'!R395</f>
        <v/>
      </c>
      <c r="T402" s="7">
        <f>'1 datos preparados'!S395</f>
        <v/>
      </c>
      <c r="U402" s="7">
        <f>'1 datos preparados'!T395</f>
        <v/>
      </c>
      <c r="V402" s="8">
        <f>$AE$12+D402*$AE$13+E402*$AE$14+F402*$AE$15+G402*$AE$16+H402*$AE$17+I402*$AE$18+J402*$AE$19+K402*$AE$20+L402*$AE$21+M402*$AE$22+N402*$AE$23+O402*$AE$24+P402*$AE$25+Q402*$AE$26+R402*$AE$27+S402*$AE$28+T402*$AE$29+U402*$AE$30</f>
        <v/>
      </c>
      <c r="W402" s="8">
        <f>1/(1+EXP(-V402))</f>
        <v/>
      </c>
      <c r="X402" s="9">
        <f>-IF(C402=1,LN(W402),LN(1-W402))</f>
        <v/>
      </c>
      <c r="Y402" s="8">
        <f>IF(C402=1,$AE$32,$AE$33)</f>
        <v/>
      </c>
      <c r="Z402" s="9">
        <f>Y402*X402</f>
        <v/>
      </c>
      <c r="AA402" s="10">
        <f>IF(W402&gt;$AE$34,1,0)</f>
        <v/>
      </c>
      <c r="AB402">
        <f>IF(AA402=C402,1,0)</f>
        <v/>
      </c>
    </row>
    <row r="403">
      <c r="A403">
        <f>'1 datos preparados'!A396</f>
        <v/>
      </c>
      <c r="B403" s="5">
        <f>'1 datos preparados'!U396</f>
        <v/>
      </c>
      <c r="C403">
        <f>'1 datos preparados'!B396</f>
        <v/>
      </c>
      <c r="D403" s="7">
        <f>'1 datos preparados'!C396</f>
        <v/>
      </c>
      <c r="E403" s="7">
        <f>'1 datos preparados'!D396</f>
        <v/>
      </c>
      <c r="F403" s="7">
        <f>'1 datos preparados'!E396</f>
        <v/>
      </c>
      <c r="G403" s="7">
        <f>'1 datos preparados'!F396</f>
        <v/>
      </c>
      <c r="H403" s="7">
        <f>'1 datos preparados'!G396</f>
        <v/>
      </c>
      <c r="I403" s="7">
        <f>'1 datos preparados'!H396</f>
        <v/>
      </c>
      <c r="J403" s="7">
        <f>'1 datos preparados'!I396</f>
        <v/>
      </c>
      <c r="K403" s="7">
        <f>'1 datos preparados'!J396</f>
        <v/>
      </c>
      <c r="L403" s="7">
        <f>'1 datos preparados'!K396</f>
        <v/>
      </c>
      <c r="M403" s="7">
        <f>'1 datos preparados'!L396</f>
        <v/>
      </c>
      <c r="N403" s="7">
        <f>'1 datos preparados'!M396</f>
        <v/>
      </c>
      <c r="O403" s="7">
        <f>'1 datos preparados'!N396</f>
        <v/>
      </c>
      <c r="P403" s="7">
        <f>'1 datos preparados'!O396</f>
        <v/>
      </c>
      <c r="Q403" s="7">
        <f>'1 datos preparados'!P396</f>
        <v/>
      </c>
      <c r="R403" s="7">
        <f>'1 datos preparados'!Q396</f>
        <v/>
      </c>
      <c r="S403" s="7">
        <f>'1 datos preparados'!R396</f>
        <v/>
      </c>
      <c r="T403" s="7">
        <f>'1 datos preparados'!S396</f>
        <v/>
      </c>
      <c r="U403" s="7">
        <f>'1 datos preparados'!T396</f>
        <v/>
      </c>
      <c r="V403" s="8">
        <f>$AE$12+D403*$AE$13+E403*$AE$14+F403*$AE$15+G403*$AE$16+H403*$AE$17+I403*$AE$18+J403*$AE$19+K403*$AE$20+L403*$AE$21+M403*$AE$22+N403*$AE$23+O403*$AE$24+P403*$AE$25+Q403*$AE$26+R403*$AE$27+S403*$AE$28+T403*$AE$29+U403*$AE$30</f>
        <v/>
      </c>
      <c r="W403" s="8">
        <f>1/(1+EXP(-V403))</f>
        <v/>
      </c>
      <c r="X403" s="9">
        <f>-IF(C403=1,LN(W403),LN(1-W403))</f>
        <v/>
      </c>
      <c r="Y403" s="8">
        <f>IF(C403=1,$AE$32,$AE$33)</f>
        <v/>
      </c>
      <c r="Z403" s="9">
        <f>Y403*X403</f>
        <v/>
      </c>
      <c r="AA403" s="10">
        <f>IF(W403&gt;$AE$34,1,0)</f>
        <v/>
      </c>
      <c r="AB403">
        <f>IF(AA403=C403,1,0)</f>
        <v/>
      </c>
    </row>
    <row r="404">
      <c r="A404">
        <f>'1 datos preparados'!A397</f>
        <v/>
      </c>
      <c r="B404" s="5">
        <f>'1 datos preparados'!U397</f>
        <v/>
      </c>
      <c r="C404">
        <f>'1 datos preparados'!B397</f>
        <v/>
      </c>
      <c r="D404" s="7">
        <f>'1 datos preparados'!C397</f>
        <v/>
      </c>
      <c r="E404" s="7">
        <f>'1 datos preparados'!D397</f>
        <v/>
      </c>
      <c r="F404" s="7">
        <f>'1 datos preparados'!E397</f>
        <v/>
      </c>
      <c r="G404" s="7">
        <f>'1 datos preparados'!F397</f>
        <v/>
      </c>
      <c r="H404" s="7">
        <f>'1 datos preparados'!G397</f>
        <v/>
      </c>
      <c r="I404" s="7">
        <f>'1 datos preparados'!H397</f>
        <v/>
      </c>
      <c r="J404" s="7">
        <f>'1 datos preparados'!I397</f>
        <v/>
      </c>
      <c r="K404" s="7">
        <f>'1 datos preparados'!J397</f>
        <v/>
      </c>
      <c r="L404" s="7">
        <f>'1 datos preparados'!K397</f>
        <v/>
      </c>
      <c r="M404" s="7">
        <f>'1 datos preparados'!L397</f>
        <v/>
      </c>
      <c r="N404" s="7">
        <f>'1 datos preparados'!M397</f>
        <v/>
      </c>
      <c r="O404" s="7">
        <f>'1 datos preparados'!N397</f>
        <v/>
      </c>
      <c r="P404" s="7">
        <f>'1 datos preparados'!O397</f>
        <v/>
      </c>
      <c r="Q404" s="7">
        <f>'1 datos preparados'!P397</f>
        <v/>
      </c>
      <c r="R404" s="7">
        <f>'1 datos preparados'!Q397</f>
        <v/>
      </c>
      <c r="S404" s="7">
        <f>'1 datos preparados'!R397</f>
        <v/>
      </c>
      <c r="T404" s="7">
        <f>'1 datos preparados'!S397</f>
        <v/>
      </c>
      <c r="U404" s="7">
        <f>'1 datos preparados'!T397</f>
        <v/>
      </c>
      <c r="V404" s="8">
        <f>$AE$12+D404*$AE$13+E404*$AE$14+F404*$AE$15+G404*$AE$16+H404*$AE$17+I404*$AE$18+J404*$AE$19+K404*$AE$20+L404*$AE$21+M404*$AE$22+N404*$AE$23+O404*$AE$24+P404*$AE$25+Q404*$AE$26+R404*$AE$27+S404*$AE$28+T404*$AE$29+U404*$AE$30</f>
        <v/>
      </c>
      <c r="W404" s="8">
        <f>1/(1+EXP(-V404))</f>
        <v/>
      </c>
      <c r="X404" s="9">
        <f>-IF(C404=1,LN(W404),LN(1-W404))</f>
        <v/>
      </c>
      <c r="Y404" s="8">
        <f>IF(C404=1,$AE$32,$AE$33)</f>
        <v/>
      </c>
      <c r="Z404" s="9">
        <f>Y404*X404</f>
        <v/>
      </c>
      <c r="AA404" s="10">
        <f>IF(W404&gt;$AE$34,1,0)</f>
        <v/>
      </c>
      <c r="AB404">
        <f>IF(AA404=C404,1,0)</f>
        <v/>
      </c>
    </row>
    <row r="405">
      <c r="A405">
        <f>'1 datos preparados'!A398</f>
        <v/>
      </c>
      <c r="B405" s="5">
        <f>'1 datos preparados'!U398</f>
        <v/>
      </c>
      <c r="C405">
        <f>'1 datos preparados'!B398</f>
        <v/>
      </c>
      <c r="D405" s="7">
        <f>'1 datos preparados'!C398</f>
        <v/>
      </c>
      <c r="E405" s="7">
        <f>'1 datos preparados'!D398</f>
        <v/>
      </c>
      <c r="F405" s="7">
        <f>'1 datos preparados'!E398</f>
        <v/>
      </c>
      <c r="G405" s="7">
        <f>'1 datos preparados'!F398</f>
        <v/>
      </c>
      <c r="H405" s="7">
        <f>'1 datos preparados'!G398</f>
        <v/>
      </c>
      <c r="I405" s="7">
        <f>'1 datos preparados'!H398</f>
        <v/>
      </c>
      <c r="J405" s="7">
        <f>'1 datos preparados'!I398</f>
        <v/>
      </c>
      <c r="K405" s="7">
        <f>'1 datos preparados'!J398</f>
        <v/>
      </c>
      <c r="L405" s="7">
        <f>'1 datos preparados'!K398</f>
        <v/>
      </c>
      <c r="M405" s="7">
        <f>'1 datos preparados'!L398</f>
        <v/>
      </c>
      <c r="N405" s="7">
        <f>'1 datos preparados'!M398</f>
        <v/>
      </c>
      <c r="O405" s="7">
        <f>'1 datos preparados'!N398</f>
        <v/>
      </c>
      <c r="P405" s="7">
        <f>'1 datos preparados'!O398</f>
        <v/>
      </c>
      <c r="Q405" s="7">
        <f>'1 datos preparados'!P398</f>
        <v/>
      </c>
      <c r="R405" s="7">
        <f>'1 datos preparados'!Q398</f>
        <v/>
      </c>
      <c r="S405" s="7">
        <f>'1 datos preparados'!R398</f>
        <v/>
      </c>
      <c r="T405" s="7">
        <f>'1 datos preparados'!S398</f>
        <v/>
      </c>
      <c r="U405" s="7">
        <f>'1 datos preparados'!T398</f>
        <v/>
      </c>
      <c r="V405" s="8">
        <f>$AE$12+D405*$AE$13+E405*$AE$14+F405*$AE$15+G405*$AE$16+H405*$AE$17+I405*$AE$18+J405*$AE$19+K405*$AE$20+L405*$AE$21+M405*$AE$22+N405*$AE$23+O405*$AE$24+P405*$AE$25+Q405*$AE$26+R405*$AE$27+S405*$AE$28+T405*$AE$29+U405*$AE$30</f>
        <v/>
      </c>
      <c r="W405" s="8">
        <f>1/(1+EXP(-V405))</f>
        <v/>
      </c>
      <c r="X405" s="9">
        <f>-IF(C405=1,LN(W405),LN(1-W405))</f>
        <v/>
      </c>
      <c r="Y405" s="8">
        <f>IF(C405=1,$AE$32,$AE$33)</f>
        <v/>
      </c>
      <c r="Z405" s="9">
        <f>Y405*X405</f>
        <v/>
      </c>
      <c r="AA405" s="10">
        <f>IF(W405&gt;$AE$34,1,0)</f>
        <v/>
      </c>
      <c r="AB405">
        <f>IF(AA405=C405,1,0)</f>
        <v/>
      </c>
    </row>
    <row r="406">
      <c r="A406">
        <f>'1 datos preparados'!A399</f>
        <v/>
      </c>
      <c r="B406" s="5">
        <f>'1 datos preparados'!U399</f>
        <v/>
      </c>
      <c r="C406">
        <f>'1 datos preparados'!B399</f>
        <v/>
      </c>
      <c r="D406" s="7">
        <f>'1 datos preparados'!C399</f>
        <v/>
      </c>
      <c r="E406" s="7">
        <f>'1 datos preparados'!D399</f>
        <v/>
      </c>
      <c r="F406" s="7">
        <f>'1 datos preparados'!E399</f>
        <v/>
      </c>
      <c r="G406" s="7">
        <f>'1 datos preparados'!F399</f>
        <v/>
      </c>
      <c r="H406" s="7">
        <f>'1 datos preparados'!G399</f>
        <v/>
      </c>
      <c r="I406" s="7">
        <f>'1 datos preparados'!H399</f>
        <v/>
      </c>
      <c r="J406" s="7">
        <f>'1 datos preparados'!I399</f>
        <v/>
      </c>
      <c r="K406" s="7">
        <f>'1 datos preparados'!J399</f>
        <v/>
      </c>
      <c r="L406" s="7">
        <f>'1 datos preparados'!K399</f>
        <v/>
      </c>
      <c r="M406" s="7">
        <f>'1 datos preparados'!L399</f>
        <v/>
      </c>
      <c r="N406" s="7">
        <f>'1 datos preparados'!M399</f>
        <v/>
      </c>
      <c r="O406" s="7">
        <f>'1 datos preparados'!N399</f>
        <v/>
      </c>
      <c r="P406" s="7">
        <f>'1 datos preparados'!O399</f>
        <v/>
      </c>
      <c r="Q406" s="7">
        <f>'1 datos preparados'!P399</f>
        <v/>
      </c>
      <c r="R406" s="7">
        <f>'1 datos preparados'!Q399</f>
        <v/>
      </c>
      <c r="S406" s="7">
        <f>'1 datos preparados'!R399</f>
        <v/>
      </c>
      <c r="T406" s="7">
        <f>'1 datos preparados'!S399</f>
        <v/>
      </c>
      <c r="U406" s="7">
        <f>'1 datos preparados'!T399</f>
        <v/>
      </c>
      <c r="V406" s="8">
        <f>$AE$12+D406*$AE$13+E406*$AE$14+F406*$AE$15+G406*$AE$16+H406*$AE$17+I406*$AE$18+J406*$AE$19+K406*$AE$20+L406*$AE$21+M406*$AE$22+N406*$AE$23+O406*$AE$24+P406*$AE$25+Q406*$AE$26+R406*$AE$27+S406*$AE$28+T406*$AE$29+U406*$AE$30</f>
        <v/>
      </c>
      <c r="W406" s="8">
        <f>1/(1+EXP(-V406))</f>
        <v/>
      </c>
      <c r="X406" s="9">
        <f>-IF(C406=1,LN(W406),LN(1-W406))</f>
        <v/>
      </c>
      <c r="Y406" s="8">
        <f>IF(C406=1,$AE$32,$AE$33)</f>
        <v/>
      </c>
      <c r="Z406" s="9">
        <f>Y406*X406</f>
        <v/>
      </c>
      <c r="AA406" s="10">
        <f>IF(W406&gt;$AE$34,1,0)</f>
        <v/>
      </c>
      <c r="AB406">
        <f>IF(AA406=C406,1,0)</f>
        <v/>
      </c>
    </row>
    <row r="407">
      <c r="A407">
        <f>'1 datos preparados'!A400</f>
        <v/>
      </c>
      <c r="B407" s="5">
        <f>'1 datos preparados'!U400</f>
        <v/>
      </c>
      <c r="C407">
        <f>'1 datos preparados'!B400</f>
        <v/>
      </c>
      <c r="D407" s="7">
        <f>'1 datos preparados'!C400</f>
        <v/>
      </c>
      <c r="E407" s="7">
        <f>'1 datos preparados'!D400</f>
        <v/>
      </c>
      <c r="F407" s="7">
        <f>'1 datos preparados'!E400</f>
        <v/>
      </c>
      <c r="G407" s="7">
        <f>'1 datos preparados'!F400</f>
        <v/>
      </c>
      <c r="H407" s="7">
        <f>'1 datos preparados'!G400</f>
        <v/>
      </c>
      <c r="I407" s="7">
        <f>'1 datos preparados'!H400</f>
        <v/>
      </c>
      <c r="J407" s="7">
        <f>'1 datos preparados'!I400</f>
        <v/>
      </c>
      <c r="K407" s="7">
        <f>'1 datos preparados'!J400</f>
        <v/>
      </c>
      <c r="L407" s="7">
        <f>'1 datos preparados'!K400</f>
        <v/>
      </c>
      <c r="M407" s="7">
        <f>'1 datos preparados'!L400</f>
        <v/>
      </c>
      <c r="N407" s="7">
        <f>'1 datos preparados'!M400</f>
        <v/>
      </c>
      <c r="O407" s="7">
        <f>'1 datos preparados'!N400</f>
        <v/>
      </c>
      <c r="P407" s="7">
        <f>'1 datos preparados'!O400</f>
        <v/>
      </c>
      <c r="Q407" s="7">
        <f>'1 datos preparados'!P400</f>
        <v/>
      </c>
      <c r="R407" s="7">
        <f>'1 datos preparados'!Q400</f>
        <v/>
      </c>
      <c r="S407" s="7">
        <f>'1 datos preparados'!R400</f>
        <v/>
      </c>
      <c r="T407" s="7">
        <f>'1 datos preparados'!S400</f>
        <v/>
      </c>
      <c r="U407" s="7">
        <f>'1 datos preparados'!T400</f>
        <v/>
      </c>
      <c r="V407" s="8">
        <f>$AE$12+D407*$AE$13+E407*$AE$14+F407*$AE$15+G407*$AE$16+H407*$AE$17+I407*$AE$18+J407*$AE$19+K407*$AE$20+L407*$AE$21+M407*$AE$22+N407*$AE$23+O407*$AE$24+P407*$AE$25+Q407*$AE$26+R407*$AE$27+S407*$AE$28+T407*$AE$29+U407*$AE$30</f>
        <v/>
      </c>
      <c r="W407" s="8">
        <f>1/(1+EXP(-V407))</f>
        <v/>
      </c>
      <c r="X407" s="9">
        <f>-IF(C407=1,LN(W407),LN(1-W407))</f>
        <v/>
      </c>
      <c r="Y407" s="8">
        <f>IF(C407=1,$AE$32,$AE$33)</f>
        <v/>
      </c>
      <c r="Z407" s="9">
        <f>Y407*X407</f>
        <v/>
      </c>
      <c r="AA407" s="10">
        <f>IF(W407&gt;$AE$34,1,0)</f>
        <v/>
      </c>
      <c r="AB407">
        <f>IF(AA407=C407,1,0)</f>
        <v/>
      </c>
    </row>
    <row r="408">
      <c r="A408">
        <f>'1 datos preparados'!A401</f>
        <v/>
      </c>
      <c r="B408" s="5">
        <f>'1 datos preparados'!U401</f>
        <v/>
      </c>
      <c r="C408">
        <f>'1 datos preparados'!B401</f>
        <v/>
      </c>
      <c r="D408" s="7">
        <f>'1 datos preparados'!C401</f>
        <v/>
      </c>
      <c r="E408" s="7">
        <f>'1 datos preparados'!D401</f>
        <v/>
      </c>
      <c r="F408" s="7">
        <f>'1 datos preparados'!E401</f>
        <v/>
      </c>
      <c r="G408" s="7">
        <f>'1 datos preparados'!F401</f>
        <v/>
      </c>
      <c r="H408" s="7">
        <f>'1 datos preparados'!G401</f>
        <v/>
      </c>
      <c r="I408" s="7">
        <f>'1 datos preparados'!H401</f>
        <v/>
      </c>
      <c r="J408" s="7">
        <f>'1 datos preparados'!I401</f>
        <v/>
      </c>
      <c r="K408" s="7">
        <f>'1 datos preparados'!J401</f>
        <v/>
      </c>
      <c r="L408" s="7">
        <f>'1 datos preparados'!K401</f>
        <v/>
      </c>
      <c r="M408" s="7">
        <f>'1 datos preparados'!L401</f>
        <v/>
      </c>
      <c r="N408" s="7">
        <f>'1 datos preparados'!M401</f>
        <v/>
      </c>
      <c r="O408" s="7">
        <f>'1 datos preparados'!N401</f>
        <v/>
      </c>
      <c r="P408" s="7">
        <f>'1 datos preparados'!O401</f>
        <v/>
      </c>
      <c r="Q408" s="7">
        <f>'1 datos preparados'!P401</f>
        <v/>
      </c>
      <c r="R408" s="7">
        <f>'1 datos preparados'!Q401</f>
        <v/>
      </c>
      <c r="S408" s="7">
        <f>'1 datos preparados'!R401</f>
        <v/>
      </c>
      <c r="T408" s="7">
        <f>'1 datos preparados'!S401</f>
        <v/>
      </c>
      <c r="U408" s="7">
        <f>'1 datos preparados'!T401</f>
        <v/>
      </c>
      <c r="V408" s="8">
        <f>$AE$12+D408*$AE$13+E408*$AE$14+F408*$AE$15+G408*$AE$16+H408*$AE$17+I408*$AE$18+J408*$AE$19+K408*$AE$20+L408*$AE$21+M408*$AE$22+N408*$AE$23+O408*$AE$24+P408*$AE$25+Q408*$AE$26+R408*$AE$27+S408*$AE$28+T408*$AE$29+U408*$AE$30</f>
        <v/>
      </c>
      <c r="W408" s="8">
        <f>1/(1+EXP(-V408))</f>
        <v/>
      </c>
      <c r="X408" s="9">
        <f>-IF(C408=1,LN(W408),LN(1-W408))</f>
        <v/>
      </c>
      <c r="Y408" s="8">
        <f>IF(C408=1,$AE$32,$AE$33)</f>
        <v/>
      </c>
      <c r="Z408" s="9">
        <f>Y408*X408</f>
        <v/>
      </c>
      <c r="AA408" s="10">
        <f>IF(W408&gt;$AE$34,1,0)</f>
        <v/>
      </c>
      <c r="AB408">
        <f>IF(AA408=C408,1,0)</f>
        <v/>
      </c>
    </row>
    <row r="409">
      <c r="A409">
        <f>'1 datos preparados'!A402</f>
        <v/>
      </c>
      <c r="B409" s="5">
        <f>'1 datos preparados'!U402</f>
        <v/>
      </c>
      <c r="C409">
        <f>'1 datos preparados'!B402</f>
        <v/>
      </c>
      <c r="D409" s="7">
        <f>'1 datos preparados'!C402</f>
        <v/>
      </c>
      <c r="E409" s="7">
        <f>'1 datos preparados'!D402</f>
        <v/>
      </c>
      <c r="F409" s="7">
        <f>'1 datos preparados'!E402</f>
        <v/>
      </c>
      <c r="G409" s="7">
        <f>'1 datos preparados'!F402</f>
        <v/>
      </c>
      <c r="H409" s="7">
        <f>'1 datos preparados'!G402</f>
        <v/>
      </c>
      <c r="I409" s="7">
        <f>'1 datos preparados'!H402</f>
        <v/>
      </c>
      <c r="J409" s="7">
        <f>'1 datos preparados'!I402</f>
        <v/>
      </c>
      <c r="K409" s="7">
        <f>'1 datos preparados'!J402</f>
        <v/>
      </c>
      <c r="L409" s="7">
        <f>'1 datos preparados'!K402</f>
        <v/>
      </c>
      <c r="M409" s="7">
        <f>'1 datos preparados'!L402</f>
        <v/>
      </c>
      <c r="N409" s="7">
        <f>'1 datos preparados'!M402</f>
        <v/>
      </c>
      <c r="O409" s="7">
        <f>'1 datos preparados'!N402</f>
        <v/>
      </c>
      <c r="P409" s="7">
        <f>'1 datos preparados'!O402</f>
        <v/>
      </c>
      <c r="Q409" s="7">
        <f>'1 datos preparados'!P402</f>
        <v/>
      </c>
      <c r="R409" s="7">
        <f>'1 datos preparados'!Q402</f>
        <v/>
      </c>
      <c r="S409" s="7">
        <f>'1 datos preparados'!R402</f>
        <v/>
      </c>
      <c r="T409" s="7">
        <f>'1 datos preparados'!S402</f>
        <v/>
      </c>
      <c r="U409" s="7">
        <f>'1 datos preparados'!T402</f>
        <v/>
      </c>
      <c r="V409" s="8">
        <f>$AE$12+D409*$AE$13+E409*$AE$14+F409*$AE$15+G409*$AE$16+H409*$AE$17+I409*$AE$18+J409*$AE$19+K409*$AE$20+L409*$AE$21+M409*$AE$22+N409*$AE$23+O409*$AE$24+P409*$AE$25+Q409*$AE$26+R409*$AE$27+S409*$AE$28+T409*$AE$29+U409*$AE$30</f>
        <v/>
      </c>
      <c r="W409" s="8">
        <f>1/(1+EXP(-V409))</f>
        <v/>
      </c>
      <c r="X409" s="9">
        <f>-IF(C409=1,LN(W409),LN(1-W409))</f>
        <v/>
      </c>
      <c r="Y409" s="8">
        <f>IF(C409=1,$AE$32,$AE$33)</f>
        <v/>
      </c>
      <c r="Z409" s="9">
        <f>Y409*X409</f>
        <v/>
      </c>
      <c r="AA409" s="10">
        <f>IF(W409&gt;$AE$34,1,0)</f>
        <v/>
      </c>
      <c r="AB409">
        <f>IF(AA409=C409,1,0)</f>
        <v/>
      </c>
    </row>
    <row r="410">
      <c r="A410">
        <f>'1 datos preparados'!A403</f>
        <v/>
      </c>
      <c r="B410" s="5">
        <f>'1 datos preparados'!U403</f>
        <v/>
      </c>
      <c r="C410">
        <f>'1 datos preparados'!B403</f>
        <v/>
      </c>
      <c r="D410" s="7">
        <f>'1 datos preparados'!C403</f>
        <v/>
      </c>
      <c r="E410" s="7">
        <f>'1 datos preparados'!D403</f>
        <v/>
      </c>
      <c r="F410" s="7">
        <f>'1 datos preparados'!E403</f>
        <v/>
      </c>
      <c r="G410" s="7">
        <f>'1 datos preparados'!F403</f>
        <v/>
      </c>
      <c r="H410" s="7">
        <f>'1 datos preparados'!G403</f>
        <v/>
      </c>
      <c r="I410" s="7">
        <f>'1 datos preparados'!H403</f>
        <v/>
      </c>
      <c r="J410" s="7">
        <f>'1 datos preparados'!I403</f>
        <v/>
      </c>
      <c r="K410" s="7">
        <f>'1 datos preparados'!J403</f>
        <v/>
      </c>
      <c r="L410" s="7">
        <f>'1 datos preparados'!K403</f>
        <v/>
      </c>
      <c r="M410" s="7">
        <f>'1 datos preparados'!L403</f>
        <v/>
      </c>
      <c r="N410" s="7">
        <f>'1 datos preparados'!M403</f>
        <v/>
      </c>
      <c r="O410" s="7">
        <f>'1 datos preparados'!N403</f>
        <v/>
      </c>
      <c r="P410" s="7">
        <f>'1 datos preparados'!O403</f>
        <v/>
      </c>
      <c r="Q410" s="7">
        <f>'1 datos preparados'!P403</f>
        <v/>
      </c>
      <c r="R410" s="7">
        <f>'1 datos preparados'!Q403</f>
        <v/>
      </c>
      <c r="S410" s="7">
        <f>'1 datos preparados'!R403</f>
        <v/>
      </c>
      <c r="T410" s="7">
        <f>'1 datos preparados'!S403</f>
        <v/>
      </c>
      <c r="U410" s="7">
        <f>'1 datos preparados'!T403</f>
        <v/>
      </c>
      <c r="V410" s="8">
        <f>$AE$12+D410*$AE$13+E410*$AE$14+F410*$AE$15+G410*$AE$16+H410*$AE$17+I410*$AE$18+J410*$AE$19+K410*$AE$20+L410*$AE$21+M410*$AE$22+N410*$AE$23+O410*$AE$24+P410*$AE$25+Q410*$AE$26+R410*$AE$27+S410*$AE$28+T410*$AE$29+U410*$AE$30</f>
        <v/>
      </c>
      <c r="W410" s="8">
        <f>1/(1+EXP(-V410))</f>
        <v/>
      </c>
      <c r="X410" s="9">
        <f>-IF(C410=1,LN(W410),LN(1-W410))</f>
        <v/>
      </c>
      <c r="Y410" s="8">
        <f>IF(C410=1,$AE$32,$AE$33)</f>
        <v/>
      </c>
      <c r="Z410" s="9">
        <f>Y410*X410</f>
        <v/>
      </c>
      <c r="AA410" s="10">
        <f>IF(W410&gt;$AE$34,1,0)</f>
        <v/>
      </c>
      <c r="AB410">
        <f>IF(AA410=C410,1,0)</f>
        <v/>
      </c>
    </row>
    <row r="411">
      <c r="A411">
        <f>'1 datos preparados'!A404</f>
        <v/>
      </c>
      <c r="B411" s="5">
        <f>'1 datos preparados'!U404</f>
        <v/>
      </c>
      <c r="C411">
        <f>'1 datos preparados'!B404</f>
        <v/>
      </c>
      <c r="D411" s="7">
        <f>'1 datos preparados'!C404</f>
        <v/>
      </c>
      <c r="E411" s="7">
        <f>'1 datos preparados'!D404</f>
        <v/>
      </c>
      <c r="F411" s="7">
        <f>'1 datos preparados'!E404</f>
        <v/>
      </c>
      <c r="G411" s="7">
        <f>'1 datos preparados'!F404</f>
        <v/>
      </c>
      <c r="H411" s="7">
        <f>'1 datos preparados'!G404</f>
        <v/>
      </c>
      <c r="I411" s="7">
        <f>'1 datos preparados'!H404</f>
        <v/>
      </c>
      <c r="J411" s="7">
        <f>'1 datos preparados'!I404</f>
        <v/>
      </c>
      <c r="K411" s="7">
        <f>'1 datos preparados'!J404</f>
        <v/>
      </c>
      <c r="L411" s="7">
        <f>'1 datos preparados'!K404</f>
        <v/>
      </c>
      <c r="M411" s="7">
        <f>'1 datos preparados'!L404</f>
        <v/>
      </c>
      <c r="N411" s="7">
        <f>'1 datos preparados'!M404</f>
        <v/>
      </c>
      <c r="O411" s="7">
        <f>'1 datos preparados'!N404</f>
        <v/>
      </c>
      <c r="P411" s="7">
        <f>'1 datos preparados'!O404</f>
        <v/>
      </c>
      <c r="Q411" s="7">
        <f>'1 datos preparados'!P404</f>
        <v/>
      </c>
      <c r="R411" s="7">
        <f>'1 datos preparados'!Q404</f>
        <v/>
      </c>
      <c r="S411" s="7">
        <f>'1 datos preparados'!R404</f>
        <v/>
      </c>
      <c r="T411" s="7">
        <f>'1 datos preparados'!S404</f>
        <v/>
      </c>
      <c r="U411" s="7">
        <f>'1 datos preparados'!T404</f>
        <v/>
      </c>
      <c r="V411" s="8">
        <f>$AE$12+D411*$AE$13+E411*$AE$14+F411*$AE$15+G411*$AE$16+H411*$AE$17+I411*$AE$18+J411*$AE$19+K411*$AE$20+L411*$AE$21+M411*$AE$22+N411*$AE$23+O411*$AE$24+P411*$AE$25+Q411*$AE$26+R411*$AE$27+S411*$AE$28+T411*$AE$29+U411*$AE$30</f>
        <v/>
      </c>
      <c r="W411" s="8">
        <f>1/(1+EXP(-V411))</f>
        <v/>
      </c>
      <c r="X411" s="9">
        <f>-IF(C411=1,LN(W411),LN(1-W411))</f>
        <v/>
      </c>
      <c r="Y411" s="8">
        <f>IF(C411=1,$AE$32,$AE$33)</f>
        <v/>
      </c>
      <c r="Z411" s="9">
        <f>Y411*X411</f>
        <v/>
      </c>
      <c r="AA411" s="10">
        <f>IF(W411&gt;$AE$34,1,0)</f>
        <v/>
      </c>
      <c r="AB411">
        <f>IF(AA411=C411,1,0)</f>
        <v/>
      </c>
    </row>
    <row r="412">
      <c r="A412">
        <f>'1 datos preparados'!A405</f>
        <v/>
      </c>
      <c r="B412" s="5">
        <f>'1 datos preparados'!U405</f>
        <v/>
      </c>
      <c r="C412">
        <f>'1 datos preparados'!B405</f>
        <v/>
      </c>
      <c r="D412" s="7">
        <f>'1 datos preparados'!C405</f>
        <v/>
      </c>
      <c r="E412" s="7">
        <f>'1 datos preparados'!D405</f>
        <v/>
      </c>
      <c r="F412" s="7">
        <f>'1 datos preparados'!E405</f>
        <v/>
      </c>
      <c r="G412" s="7">
        <f>'1 datos preparados'!F405</f>
        <v/>
      </c>
      <c r="H412" s="7">
        <f>'1 datos preparados'!G405</f>
        <v/>
      </c>
      <c r="I412" s="7">
        <f>'1 datos preparados'!H405</f>
        <v/>
      </c>
      <c r="J412" s="7">
        <f>'1 datos preparados'!I405</f>
        <v/>
      </c>
      <c r="K412" s="7">
        <f>'1 datos preparados'!J405</f>
        <v/>
      </c>
      <c r="L412" s="7">
        <f>'1 datos preparados'!K405</f>
        <v/>
      </c>
      <c r="M412" s="7">
        <f>'1 datos preparados'!L405</f>
        <v/>
      </c>
      <c r="N412" s="7">
        <f>'1 datos preparados'!M405</f>
        <v/>
      </c>
      <c r="O412" s="7">
        <f>'1 datos preparados'!N405</f>
        <v/>
      </c>
      <c r="P412" s="7">
        <f>'1 datos preparados'!O405</f>
        <v/>
      </c>
      <c r="Q412" s="7">
        <f>'1 datos preparados'!P405</f>
        <v/>
      </c>
      <c r="R412" s="7">
        <f>'1 datos preparados'!Q405</f>
        <v/>
      </c>
      <c r="S412" s="7">
        <f>'1 datos preparados'!R405</f>
        <v/>
      </c>
      <c r="T412" s="7">
        <f>'1 datos preparados'!S405</f>
        <v/>
      </c>
      <c r="U412" s="7">
        <f>'1 datos preparados'!T405</f>
        <v/>
      </c>
      <c r="V412" s="8">
        <f>$AE$12+D412*$AE$13+E412*$AE$14+F412*$AE$15+G412*$AE$16+H412*$AE$17+I412*$AE$18+J412*$AE$19+K412*$AE$20+L412*$AE$21+M412*$AE$22+N412*$AE$23+O412*$AE$24+P412*$AE$25+Q412*$AE$26+R412*$AE$27+S412*$AE$28+T412*$AE$29+U412*$AE$30</f>
        <v/>
      </c>
      <c r="W412" s="8">
        <f>1/(1+EXP(-V412))</f>
        <v/>
      </c>
      <c r="X412" s="9">
        <f>-IF(C412=1,LN(W412),LN(1-W412))</f>
        <v/>
      </c>
      <c r="Y412" s="8">
        <f>IF(C412=1,$AE$32,$AE$33)</f>
        <v/>
      </c>
      <c r="Z412" s="9">
        <f>Y412*X412</f>
        <v/>
      </c>
      <c r="AA412" s="10">
        <f>IF(W412&gt;$AE$34,1,0)</f>
        <v/>
      </c>
      <c r="AB412">
        <f>IF(AA412=C412,1,0)</f>
        <v/>
      </c>
    </row>
    <row r="413">
      <c r="A413">
        <f>'1 datos preparados'!A406</f>
        <v/>
      </c>
      <c r="B413" s="5">
        <f>'1 datos preparados'!U406</f>
        <v/>
      </c>
      <c r="C413">
        <f>'1 datos preparados'!B406</f>
        <v/>
      </c>
      <c r="D413" s="7">
        <f>'1 datos preparados'!C406</f>
        <v/>
      </c>
      <c r="E413" s="7">
        <f>'1 datos preparados'!D406</f>
        <v/>
      </c>
      <c r="F413" s="7">
        <f>'1 datos preparados'!E406</f>
        <v/>
      </c>
      <c r="G413" s="7">
        <f>'1 datos preparados'!F406</f>
        <v/>
      </c>
      <c r="H413" s="7">
        <f>'1 datos preparados'!G406</f>
        <v/>
      </c>
      <c r="I413" s="7">
        <f>'1 datos preparados'!H406</f>
        <v/>
      </c>
      <c r="J413" s="7">
        <f>'1 datos preparados'!I406</f>
        <v/>
      </c>
      <c r="K413" s="7">
        <f>'1 datos preparados'!J406</f>
        <v/>
      </c>
      <c r="L413" s="7">
        <f>'1 datos preparados'!K406</f>
        <v/>
      </c>
      <c r="M413" s="7">
        <f>'1 datos preparados'!L406</f>
        <v/>
      </c>
      <c r="N413" s="7">
        <f>'1 datos preparados'!M406</f>
        <v/>
      </c>
      <c r="O413" s="7">
        <f>'1 datos preparados'!N406</f>
        <v/>
      </c>
      <c r="P413" s="7">
        <f>'1 datos preparados'!O406</f>
        <v/>
      </c>
      <c r="Q413" s="7">
        <f>'1 datos preparados'!P406</f>
        <v/>
      </c>
      <c r="R413" s="7">
        <f>'1 datos preparados'!Q406</f>
        <v/>
      </c>
      <c r="S413" s="7">
        <f>'1 datos preparados'!R406</f>
        <v/>
      </c>
      <c r="T413" s="7">
        <f>'1 datos preparados'!S406</f>
        <v/>
      </c>
      <c r="U413" s="7">
        <f>'1 datos preparados'!T406</f>
        <v/>
      </c>
      <c r="V413" s="8">
        <f>$AE$12+D413*$AE$13+E413*$AE$14+F413*$AE$15+G413*$AE$16+H413*$AE$17+I413*$AE$18+J413*$AE$19+K413*$AE$20+L413*$AE$21+M413*$AE$22+N413*$AE$23+O413*$AE$24+P413*$AE$25+Q413*$AE$26+R413*$AE$27+S413*$AE$28+T413*$AE$29+U413*$AE$30</f>
        <v/>
      </c>
      <c r="W413" s="8">
        <f>1/(1+EXP(-V413))</f>
        <v/>
      </c>
      <c r="X413" s="9">
        <f>-IF(C413=1,LN(W413),LN(1-W413))</f>
        <v/>
      </c>
      <c r="Y413" s="8">
        <f>IF(C413=1,$AE$32,$AE$33)</f>
        <v/>
      </c>
      <c r="Z413" s="9">
        <f>Y413*X413</f>
        <v/>
      </c>
      <c r="AA413" s="10">
        <f>IF(W413&gt;$AE$34,1,0)</f>
        <v/>
      </c>
      <c r="AB413">
        <f>IF(AA413=C413,1,0)</f>
        <v/>
      </c>
    </row>
    <row r="414">
      <c r="A414">
        <f>'1 datos preparados'!A407</f>
        <v/>
      </c>
      <c r="B414" s="5">
        <f>'1 datos preparados'!U407</f>
        <v/>
      </c>
      <c r="C414">
        <f>'1 datos preparados'!B407</f>
        <v/>
      </c>
      <c r="D414" s="7">
        <f>'1 datos preparados'!C407</f>
        <v/>
      </c>
      <c r="E414" s="7">
        <f>'1 datos preparados'!D407</f>
        <v/>
      </c>
      <c r="F414" s="7">
        <f>'1 datos preparados'!E407</f>
        <v/>
      </c>
      <c r="G414" s="7">
        <f>'1 datos preparados'!F407</f>
        <v/>
      </c>
      <c r="H414" s="7">
        <f>'1 datos preparados'!G407</f>
        <v/>
      </c>
      <c r="I414" s="7">
        <f>'1 datos preparados'!H407</f>
        <v/>
      </c>
      <c r="J414" s="7">
        <f>'1 datos preparados'!I407</f>
        <v/>
      </c>
      <c r="K414" s="7">
        <f>'1 datos preparados'!J407</f>
        <v/>
      </c>
      <c r="L414" s="7">
        <f>'1 datos preparados'!K407</f>
        <v/>
      </c>
      <c r="M414" s="7">
        <f>'1 datos preparados'!L407</f>
        <v/>
      </c>
      <c r="N414" s="7">
        <f>'1 datos preparados'!M407</f>
        <v/>
      </c>
      <c r="O414" s="7">
        <f>'1 datos preparados'!N407</f>
        <v/>
      </c>
      <c r="P414" s="7">
        <f>'1 datos preparados'!O407</f>
        <v/>
      </c>
      <c r="Q414" s="7">
        <f>'1 datos preparados'!P407</f>
        <v/>
      </c>
      <c r="R414" s="7">
        <f>'1 datos preparados'!Q407</f>
        <v/>
      </c>
      <c r="S414" s="7">
        <f>'1 datos preparados'!R407</f>
        <v/>
      </c>
      <c r="T414" s="7">
        <f>'1 datos preparados'!S407</f>
        <v/>
      </c>
      <c r="U414" s="7">
        <f>'1 datos preparados'!T407</f>
        <v/>
      </c>
      <c r="V414" s="8">
        <f>$AE$12+D414*$AE$13+E414*$AE$14+F414*$AE$15+G414*$AE$16+H414*$AE$17+I414*$AE$18+J414*$AE$19+K414*$AE$20+L414*$AE$21+M414*$AE$22+N414*$AE$23+O414*$AE$24+P414*$AE$25+Q414*$AE$26+R414*$AE$27+S414*$AE$28+T414*$AE$29+U414*$AE$30</f>
        <v/>
      </c>
      <c r="W414" s="8">
        <f>1/(1+EXP(-V414))</f>
        <v/>
      </c>
      <c r="X414" s="9">
        <f>-IF(C414=1,LN(W414),LN(1-W414))</f>
        <v/>
      </c>
      <c r="Y414" s="8">
        <f>IF(C414=1,$AE$32,$AE$33)</f>
        <v/>
      </c>
      <c r="Z414" s="9">
        <f>Y414*X414</f>
        <v/>
      </c>
      <c r="AA414" s="10">
        <f>IF(W414&gt;$AE$34,1,0)</f>
        <v/>
      </c>
      <c r="AB414">
        <f>IF(AA414=C414,1,0)</f>
        <v/>
      </c>
    </row>
    <row r="415">
      <c r="A415">
        <f>'1 datos preparados'!A408</f>
        <v/>
      </c>
      <c r="B415" s="5">
        <f>'1 datos preparados'!U408</f>
        <v/>
      </c>
      <c r="C415">
        <f>'1 datos preparados'!B408</f>
        <v/>
      </c>
      <c r="D415" s="7">
        <f>'1 datos preparados'!C408</f>
        <v/>
      </c>
      <c r="E415" s="7">
        <f>'1 datos preparados'!D408</f>
        <v/>
      </c>
      <c r="F415" s="7">
        <f>'1 datos preparados'!E408</f>
        <v/>
      </c>
      <c r="G415" s="7">
        <f>'1 datos preparados'!F408</f>
        <v/>
      </c>
      <c r="H415" s="7">
        <f>'1 datos preparados'!G408</f>
        <v/>
      </c>
      <c r="I415" s="7">
        <f>'1 datos preparados'!H408</f>
        <v/>
      </c>
      <c r="J415" s="7">
        <f>'1 datos preparados'!I408</f>
        <v/>
      </c>
      <c r="K415" s="7">
        <f>'1 datos preparados'!J408</f>
        <v/>
      </c>
      <c r="L415" s="7">
        <f>'1 datos preparados'!K408</f>
        <v/>
      </c>
      <c r="M415" s="7">
        <f>'1 datos preparados'!L408</f>
        <v/>
      </c>
      <c r="N415" s="7">
        <f>'1 datos preparados'!M408</f>
        <v/>
      </c>
      <c r="O415" s="7">
        <f>'1 datos preparados'!N408</f>
        <v/>
      </c>
      <c r="P415" s="7">
        <f>'1 datos preparados'!O408</f>
        <v/>
      </c>
      <c r="Q415" s="7">
        <f>'1 datos preparados'!P408</f>
        <v/>
      </c>
      <c r="R415" s="7">
        <f>'1 datos preparados'!Q408</f>
        <v/>
      </c>
      <c r="S415" s="7">
        <f>'1 datos preparados'!R408</f>
        <v/>
      </c>
      <c r="T415" s="7">
        <f>'1 datos preparados'!S408</f>
        <v/>
      </c>
      <c r="U415" s="7">
        <f>'1 datos preparados'!T408</f>
        <v/>
      </c>
      <c r="V415" s="8">
        <f>$AE$12+D415*$AE$13+E415*$AE$14+F415*$AE$15+G415*$AE$16+H415*$AE$17+I415*$AE$18+J415*$AE$19+K415*$AE$20+L415*$AE$21+M415*$AE$22+N415*$AE$23+O415*$AE$24+P415*$AE$25+Q415*$AE$26+R415*$AE$27+S415*$AE$28+T415*$AE$29+U415*$AE$30</f>
        <v/>
      </c>
      <c r="W415" s="8">
        <f>1/(1+EXP(-V415))</f>
        <v/>
      </c>
      <c r="X415" s="9">
        <f>-IF(C415=1,LN(W415),LN(1-W415))</f>
        <v/>
      </c>
      <c r="Y415" s="8">
        <f>IF(C415=1,$AE$32,$AE$33)</f>
        <v/>
      </c>
      <c r="Z415" s="9">
        <f>Y415*X415</f>
        <v/>
      </c>
      <c r="AA415" s="10">
        <f>IF(W415&gt;$AE$34,1,0)</f>
        <v/>
      </c>
      <c r="AB415">
        <f>IF(AA415=C415,1,0)</f>
        <v/>
      </c>
    </row>
    <row r="416">
      <c r="A416">
        <f>'1 datos preparados'!A409</f>
        <v/>
      </c>
      <c r="B416" s="5">
        <f>'1 datos preparados'!U409</f>
        <v/>
      </c>
      <c r="C416">
        <f>'1 datos preparados'!B409</f>
        <v/>
      </c>
      <c r="D416" s="7">
        <f>'1 datos preparados'!C409</f>
        <v/>
      </c>
      <c r="E416" s="7">
        <f>'1 datos preparados'!D409</f>
        <v/>
      </c>
      <c r="F416" s="7">
        <f>'1 datos preparados'!E409</f>
        <v/>
      </c>
      <c r="G416" s="7">
        <f>'1 datos preparados'!F409</f>
        <v/>
      </c>
      <c r="H416" s="7">
        <f>'1 datos preparados'!G409</f>
        <v/>
      </c>
      <c r="I416" s="7">
        <f>'1 datos preparados'!H409</f>
        <v/>
      </c>
      <c r="J416" s="7">
        <f>'1 datos preparados'!I409</f>
        <v/>
      </c>
      <c r="K416" s="7">
        <f>'1 datos preparados'!J409</f>
        <v/>
      </c>
      <c r="L416" s="7">
        <f>'1 datos preparados'!K409</f>
        <v/>
      </c>
      <c r="M416" s="7">
        <f>'1 datos preparados'!L409</f>
        <v/>
      </c>
      <c r="N416" s="7">
        <f>'1 datos preparados'!M409</f>
        <v/>
      </c>
      <c r="O416" s="7">
        <f>'1 datos preparados'!N409</f>
        <v/>
      </c>
      <c r="P416" s="7">
        <f>'1 datos preparados'!O409</f>
        <v/>
      </c>
      <c r="Q416" s="7">
        <f>'1 datos preparados'!P409</f>
        <v/>
      </c>
      <c r="R416" s="7">
        <f>'1 datos preparados'!Q409</f>
        <v/>
      </c>
      <c r="S416" s="7">
        <f>'1 datos preparados'!R409</f>
        <v/>
      </c>
      <c r="T416" s="7">
        <f>'1 datos preparados'!S409</f>
        <v/>
      </c>
      <c r="U416" s="7">
        <f>'1 datos preparados'!T409</f>
        <v/>
      </c>
      <c r="V416" s="8">
        <f>$AE$12+D416*$AE$13+E416*$AE$14+F416*$AE$15+G416*$AE$16+H416*$AE$17+I416*$AE$18+J416*$AE$19+K416*$AE$20+L416*$AE$21+M416*$AE$22+N416*$AE$23+O416*$AE$24+P416*$AE$25+Q416*$AE$26+R416*$AE$27+S416*$AE$28+T416*$AE$29+U416*$AE$30</f>
        <v/>
      </c>
      <c r="W416" s="8">
        <f>1/(1+EXP(-V416))</f>
        <v/>
      </c>
      <c r="X416" s="9">
        <f>-IF(C416=1,LN(W416),LN(1-W416))</f>
        <v/>
      </c>
      <c r="Y416" s="8">
        <f>IF(C416=1,$AE$32,$AE$33)</f>
        <v/>
      </c>
      <c r="Z416" s="9">
        <f>Y416*X416</f>
        <v/>
      </c>
      <c r="AA416" s="10">
        <f>IF(W416&gt;$AE$34,1,0)</f>
        <v/>
      </c>
      <c r="AB416">
        <f>IF(AA416=C416,1,0)</f>
        <v/>
      </c>
    </row>
    <row r="417">
      <c r="A417">
        <f>'1 datos preparados'!A410</f>
        <v/>
      </c>
      <c r="B417" s="5">
        <f>'1 datos preparados'!U410</f>
        <v/>
      </c>
      <c r="C417">
        <f>'1 datos preparados'!B410</f>
        <v/>
      </c>
      <c r="D417" s="7">
        <f>'1 datos preparados'!C410</f>
        <v/>
      </c>
      <c r="E417" s="7">
        <f>'1 datos preparados'!D410</f>
        <v/>
      </c>
      <c r="F417" s="7">
        <f>'1 datos preparados'!E410</f>
        <v/>
      </c>
      <c r="G417" s="7">
        <f>'1 datos preparados'!F410</f>
        <v/>
      </c>
      <c r="H417" s="7">
        <f>'1 datos preparados'!G410</f>
        <v/>
      </c>
      <c r="I417" s="7">
        <f>'1 datos preparados'!H410</f>
        <v/>
      </c>
      <c r="J417" s="7">
        <f>'1 datos preparados'!I410</f>
        <v/>
      </c>
      <c r="K417" s="7">
        <f>'1 datos preparados'!J410</f>
        <v/>
      </c>
      <c r="L417" s="7">
        <f>'1 datos preparados'!K410</f>
        <v/>
      </c>
      <c r="M417" s="7">
        <f>'1 datos preparados'!L410</f>
        <v/>
      </c>
      <c r="N417" s="7">
        <f>'1 datos preparados'!M410</f>
        <v/>
      </c>
      <c r="O417" s="7">
        <f>'1 datos preparados'!N410</f>
        <v/>
      </c>
      <c r="P417" s="7">
        <f>'1 datos preparados'!O410</f>
        <v/>
      </c>
      <c r="Q417" s="7">
        <f>'1 datos preparados'!P410</f>
        <v/>
      </c>
      <c r="R417" s="7">
        <f>'1 datos preparados'!Q410</f>
        <v/>
      </c>
      <c r="S417" s="7">
        <f>'1 datos preparados'!R410</f>
        <v/>
      </c>
      <c r="T417" s="7">
        <f>'1 datos preparados'!S410</f>
        <v/>
      </c>
      <c r="U417" s="7">
        <f>'1 datos preparados'!T410</f>
        <v/>
      </c>
      <c r="V417" s="8">
        <f>$AE$12+D417*$AE$13+E417*$AE$14+F417*$AE$15+G417*$AE$16+H417*$AE$17+I417*$AE$18+J417*$AE$19+K417*$AE$20+L417*$AE$21+M417*$AE$22+N417*$AE$23+O417*$AE$24+P417*$AE$25+Q417*$AE$26+R417*$AE$27+S417*$AE$28+T417*$AE$29+U417*$AE$30</f>
        <v/>
      </c>
      <c r="W417" s="8">
        <f>1/(1+EXP(-V417))</f>
        <v/>
      </c>
      <c r="X417" s="9">
        <f>-IF(C417=1,LN(W417),LN(1-W417))</f>
        <v/>
      </c>
      <c r="Y417" s="8">
        <f>IF(C417=1,$AE$32,$AE$33)</f>
        <v/>
      </c>
      <c r="Z417" s="9">
        <f>Y417*X417</f>
        <v/>
      </c>
      <c r="AA417" s="10">
        <f>IF(W417&gt;$AE$34,1,0)</f>
        <v/>
      </c>
      <c r="AB417">
        <f>IF(AA417=C417,1,0)</f>
        <v/>
      </c>
    </row>
    <row r="418">
      <c r="A418">
        <f>'1 datos preparados'!A411</f>
        <v/>
      </c>
      <c r="B418" s="5">
        <f>'1 datos preparados'!U411</f>
        <v/>
      </c>
      <c r="C418">
        <f>'1 datos preparados'!B411</f>
        <v/>
      </c>
      <c r="D418" s="7">
        <f>'1 datos preparados'!C411</f>
        <v/>
      </c>
      <c r="E418" s="7">
        <f>'1 datos preparados'!D411</f>
        <v/>
      </c>
      <c r="F418" s="7">
        <f>'1 datos preparados'!E411</f>
        <v/>
      </c>
      <c r="G418" s="7">
        <f>'1 datos preparados'!F411</f>
        <v/>
      </c>
      <c r="H418" s="7">
        <f>'1 datos preparados'!G411</f>
        <v/>
      </c>
      <c r="I418" s="7">
        <f>'1 datos preparados'!H411</f>
        <v/>
      </c>
      <c r="J418" s="7">
        <f>'1 datos preparados'!I411</f>
        <v/>
      </c>
      <c r="K418" s="7">
        <f>'1 datos preparados'!J411</f>
        <v/>
      </c>
      <c r="L418" s="7">
        <f>'1 datos preparados'!K411</f>
        <v/>
      </c>
      <c r="M418" s="7">
        <f>'1 datos preparados'!L411</f>
        <v/>
      </c>
      <c r="N418" s="7">
        <f>'1 datos preparados'!M411</f>
        <v/>
      </c>
      <c r="O418" s="7">
        <f>'1 datos preparados'!N411</f>
        <v/>
      </c>
      <c r="P418" s="7">
        <f>'1 datos preparados'!O411</f>
        <v/>
      </c>
      <c r="Q418" s="7">
        <f>'1 datos preparados'!P411</f>
        <v/>
      </c>
      <c r="R418" s="7">
        <f>'1 datos preparados'!Q411</f>
        <v/>
      </c>
      <c r="S418" s="7">
        <f>'1 datos preparados'!R411</f>
        <v/>
      </c>
      <c r="T418" s="7">
        <f>'1 datos preparados'!S411</f>
        <v/>
      </c>
      <c r="U418" s="7">
        <f>'1 datos preparados'!T411</f>
        <v/>
      </c>
      <c r="V418" s="8">
        <f>$AE$12+D418*$AE$13+E418*$AE$14+F418*$AE$15+G418*$AE$16+H418*$AE$17+I418*$AE$18+J418*$AE$19+K418*$AE$20+L418*$AE$21+M418*$AE$22+N418*$AE$23+O418*$AE$24+P418*$AE$25+Q418*$AE$26+R418*$AE$27+S418*$AE$28+T418*$AE$29+U418*$AE$30</f>
        <v/>
      </c>
      <c r="W418" s="8">
        <f>1/(1+EXP(-V418))</f>
        <v/>
      </c>
      <c r="X418" s="9">
        <f>-IF(C418=1,LN(W418),LN(1-W418))</f>
        <v/>
      </c>
      <c r="Y418" s="8">
        <f>IF(C418=1,$AE$32,$AE$33)</f>
        <v/>
      </c>
      <c r="Z418" s="9">
        <f>Y418*X418</f>
        <v/>
      </c>
      <c r="AA418" s="10">
        <f>IF(W418&gt;$AE$34,1,0)</f>
        <v/>
      </c>
      <c r="AB418">
        <f>IF(AA418=C418,1,0)</f>
        <v/>
      </c>
    </row>
    <row r="419">
      <c r="A419">
        <f>'1 datos preparados'!A412</f>
        <v/>
      </c>
      <c r="B419" s="5">
        <f>'1 datos preparados'!U412</f>
        <v/>
      </c>
      <c r="C419">
        <f>'1 datos preparados'!B412</f>
        <v/>
      </c>
      <c r="D419" s="7">
        <f>'1 datos preparados'!C412</f>
        <v/>
      </c>
      <c r="E419" s="7">
        <f>'1 datos preparados'!D412</f>
        <v/>
      </c>
      <c r="F419" s="7">
        <f>'1 datos preparados'!E412</f>
        <v/>
      </c>
      <c r="G419" s="7">
        <f>'1 datos preparados'!F412</f>
        <v/>
      </c>
      <c r="H419" s="7">
        <f>'1 datos preparados'!G412</f>
        <v/>
      </c>
      <c r="I419" s="7">
        <f>'1 datos preparados'!H412</f>
        <v/>
      </c>
      <c r="J419" s="7">
        <f>'1 datos preparados'!I412</f>
        <v/>
      </c>
      <c r="K419" s="7">
        <f>'1 datos preparados'!J412</f>
        <v/>
      </c>
      <c r="L419" s="7">
        <f>'1 datos preparados'!K412</f>
        <v/>
      </c>
      <c r="M419" s="7">
        <f>'1 datos preparados'!L412</f>
        <v/>
      </c>
      <c r="N419" s="7">
        <f>'1 datos preparados'!M412</f>
        <v/>
      </c>
      <c r="O419" s="7">
        <f>'1 datos preparados'!N412</f>
        <v/>
      </c>
      <c r="P419" s="7">
        <f>'1 datos preparados'!O412</f>
        <v/>
      </c>
      <c r="Q419" s="7">
        <f>'1 datos preparados'!P412</f>
        <v/>
      </c>
      <c r="R419" s="7">
        <f>'1 datos preparados'!Q412</f>
        <v/>
      </c>
      <c r="S419" s="7">
        <f>'1 datos preparados'!R412</f>
        <v/>
      </c>
      <c r="T419" s="7">
        <f>'1 datos preparados'!S412</f>
        <v/>
      </c>
      <c r="U419" s="7">
        <f>'1 datos preparados'!T412</f>
        <v/>
      </c>
      <c r="V419" s="8">
        <f>$AE$12+D419*$AE$13+E419*$AE$14+F419*$AE$15+G419*$AE$16+H419*$AE$17+I419*$AE$18+J419*$AE$19+K419*$AE$20+L419*$AE$21+M419*$AE$22+N419*$AE$23+O419*$AE$24+P419*$AE$25+Q419*$AE$26+R419*$AE$27+S419*$AE$28+T419*$AE$29+U419*$AE$30</f>
        <v/>
      </c>
      <c r="W419" s="8">
        <f>1/(1+EXP(-V419))</f>
        <v/>
      </c>
      <c r="X419" s="9">
        <f>-IF(C419=1,LN(W419),LN(1-W419))</f>
        <v/>
      </c>
      <c r="Y419" s="8">
        <f>IF(C419=1,$AE$32,$AE$33)</f>
        <v/>
      </c>
      <c r="Z419" s="9">
        <f>Y419*X419</f>
        <v/>
      </c>
      <c r="AA419" s="10">
        <f>IF(W419&gt;$AE$34,1,0)</f>
        <v/>
      </c>
      <c r="AB419">
        <f>IF(AA419=C419,1,0)</f>
        <v/>
      </c>
    </row>
    <row r="420">
      <c r="A420">
        <f>'1 datos preparados'!A413</f>
        <v/>
      </c>
      <c r="B420" s="5">
        <f>'1 datos preparados'!U413</f>
        <v/>
      </c>
      <c r="C420">
        <f>'1 datos preparados'!B413</f>
        <v/>
      </c>
      <c r="D420" s="7">
        <f>'1 datos preparados'!C413</f>
        <v/>
      </c>
      <c r="E420" s="7">
        <f>'1 datos preparados'!D413</f>
        <v/>
      </c>
      <c r="F420" s="7">
        <f>'1 datos preparados'!E413</f>
        <v/>
      </c>
      <c r="G420" s="7">
        <f>'1 datos preparados'!F413</f>
        <v/>
      </c>
      <c r="H420" s="7">
        <f>'1 datos preparados'!G413</f>
        <v/>
      </c>
      <c r="I420" s="7">
        <f>'1 datos preparados'!H413</f>
        <v/>
      </c>
      <c r="J420" s="7">
        <f>'1 datos preparados'!I413</f>
        <v/>
      </c>
      <c r="K420" s="7">
        <f>'1 datos preparados'!J413</f>
        <v/>
      </c>
      <c r="L420" s="7">
        <f>'1 datos preparados'!K413</f>
        <v/>
      </c>
      <c r="M420" s="7">
        <f>'1 datos preparados'!L413</f>
        <v/>
      </c>
      <c r="N420" s="7">
        <f>'1 datos preparados'!M413</f>
        <v/>
      </c>
      <c r="O420" s="7">
        <f>'1 datos preparados'!N413</f>
        <v/>
      </c>
      <c r="P420" s="7">
        <f>'1 datos preparados'!O413</f>
        <v/>
      </c>
      <c r="Q420" s="7">
        <f>'1 datos preparados'!P413</f>
        <v/>
      </c>
      <c r="R420" s="7">
        <f>'1 datos preparados'!Q413</f>
        <v/>
      </c>
      <c r="S420" s="7">
        <f>'1 datos preparados'!R413</f>
        <v/>
      </c>
      <c r="T420" s="7">
        <f>'1 datos preparados'!S413</f>
        <v/>
      </c>
      <c r="U420" s="7">
        <f>'1 datos preparados'!T413</f>
        <v/>
      </c>
      <c r="V420" s="8">
        <f>$AE$12+D420*$AE$13+E420*$AE$14+F420*$AE$15+G420*$AE$16+H420*$AE$17+I420*$AE$18+J420*$AE$19+K420*$AE$20+L420*$AE$21+M420*$AE$22+N420*$AE$23+O420*$AE$24+P420*$AE$25+Q420*$AE$26+R420*$AE$27+S420*$AE$28+T420*$AE$29+U420*$AE$30</f>
        <v/>
      </c>
      <c r="W420" s="8">
        <f>1/(1+EXP(-V420))</f>
        <v/>
      </c>
      <c r="X420" s="9">
        <f>-IF(C420=1,LN(W420),LN(1-W420))</f>
        <v/>
      </c>
      <c r="Y420" s="8">
        <f>IF(C420=1,$AE$32,$AE$33)</f>
        <v/>
      </c>
      <c r="Z420" s="9">
        <f>Y420*X420</f>
        <v/>
      </c>
      <c r="AA420" s="10">
        <f>IF(W420&gt;$AE$34,1,0)</f>
        <v/>
      </c>
      <c r="AB420">
        <f>IF(AA420=C420,1,0)</f>
        <v/>
      </c>
    </row>
    <row r="421">
      <c r="A421">
        <f>'1 datos preparados'!A414</f>
        <v/>
      </c>
      <c r="B421" s="5">
        <f>'1 datos preparados'!U414</f>
        <v/>
      </c>
      <c r="C421">
        <f>'1 datos preparados'!B414</f>
        <v/>
      </c>
      <c r="D421" s="7">
        <f>'1 datos preparados'!C414</f>
        <v/>
      </c>
      <c r="E421" s="7">
        <f>'1 datos preparados'!D414</f>
        <v/>
      </c>
      <c r="F421" s="7">
        <f>'1 datos preparados'!E414</f>
        <v/>
      </c>
      <c r="G421" s="7">
        <f>'1 datos preparados'!F414</f>
        <v/>
      </c>
      <c r="H421" s="7">
        <f>'1 datos preparados'!G414</f>
        <v/>
      </c>
      <c r="I421" s="7">
        <f>'1 datos preparados'!H414</f>
        <v/>
      </c>
      <c r="J421" s="7">
        <f>'1 datos preparados'!I414</f>
        <v/>
      </c>
      <c r="K421" s="7">
        <f>'1 datos preparados'!J414</f>
        <v/>
      </c>
      <c r="L421" s="7">
        <f>'1 datos preparados'!K414</f>
        <v/>
      </c>
      <c r="M421" s="7">
        <f>'1 datos preparados'!L414</f>
        <v/>
      </c>
      <c r="N421" s="7">
        <f>'1 datos preparados'!M414</f>
        <v/>
      </c>
      <c r="O421" s="7">
        <f>'1 datos preparados'!N414</f>
        <v/>
      </c>
      <c r="P421" s="7">
        <f>'1 datos preparados'!O414</f>
        <v/>
      </c>
      <c r="Q421" s="7">
        <f>'1 datos preparados'!P414</f>
        <v/>
      </c>
      <c r="R421" s="7">
        <f>'1 datos preparados'!Q414</f>
        <v/>
      </c>
      <c r="S421" s="7">
        <f>'1 datos preparados'!R414</f>
        <v/>
      </c>
      <c r="T421" s="7">
        <f>'1 datos preparados'!S414</f>
        <v/>
      </c>
      <c r="U421" s="7">
        <f>'1 datos preparados'!T414</f>
        <v/>
      </c>
      <c r="V421" s="8">
        <f>$AE$12+D421*$AE$13+E421*$AE$14+F421*$AE$15+G421*$AE$16+H421*$AE$17+I421*$AE$18+J421*$AE$19+K421*$AE$20+L421*$AE$21+M421*$AE$22+N421*$AE$23+O421*$AE$24+P421*$AE$25+Q421*$AE$26+R421*$AE$27+S421*$AE$28+T421*$AE$29+U421*$AE$30</f>
        <v/>
      </c>
      <c r="W421" s="8">
        <f>1/(1+EXP(-V421))</f>
        <v/>
      </c>
      <c r="X421" s="9">
        <f>-IF(C421=1,LN(W421),LN(1-W421))</f>
        <v/>
      </c>
      <c r="Y421" s="8">
        <f>IF(C421=1,$AE$32,$AE$33)</f>
        <v/>
      </c>
      <c r="Z421" s="9">
        <f>Y421*X421</f>
        <v/>
      </c>
      <c r="AA421" s="10">
        <f>IF(W421&gt;$AE$34,1,0)</f>
        <v/>
      </c>
      <c r="AB421">
        <f>IF(AA421=C421,1,0)</f>
        <v/>
      </c>
    </row>
    <row r="422">
      <c r="A422">
        <f>'1 datos preparados'!A415</f>
        <v/>
      </c>
      <c r="B422" s="5">
        <f>'1 datos preparados'!U415</f>
        <v/>
      </c>
      <c r="C422">
        <f>'1 datos preparados'!B415</f>
        <v/>
      </c>
      <c r="D422" s="7">
        <f>'1 datos preparados'!C415</f>
        <v/>
      </c>
      <c r="E422" s="7">
        <f>'1 datos preparados'!D415</f>
        <v/>
      </c>
      <c r="F422" s="7">
        <f>'1 datos preparados'!E415</f>
        <v/>
      </c>
      <c r="G422" s="7">
        <f>'1 datos preparados'!F415</f>
        <v/>
      </c>
      <c r="H422" s="7">
        <f>'1 datos preparados'!G415</f>
        <v/>
      </c>
      <c r="I422" s="7">
        <f>'1 datos preparados'!H415</f>
        <v/>
      </c>
      <c r="J422" s="7">
        <f>'1 datos preparados'!I415</f>
        <v/>
      </c>
      <c r="K422" s="7">
        <f>'1 datos preparados'!J415</f>
        <v/>
      </c>
      <c r="L422" s="7">
        <f>'1 datos preparados'!K415</f>
        <v/>
      </c>
      <c r="M422" s="7">
        <f>'1 datos preparados'!L415</f>
        <v/>
      </c>
      <c r="N422" s="7">
        <f>'1 datos preparados'!M415</f>
        <v/>
      </c>
      <c r="O422" s="7">
        <f>'1 datos preparados'!N415</f>
        <v/>
      </c>
      <c r="P422" s="7">
        <f>'1 datos preparados'!O415</f>
        <v/>
      </c>
      <c r="Q422" s="7">
        <f>'1 datos preparados'!P415</f>
        <v/>
      </c>
      <c r="R422" s="7">
        <f>'1 datos preparados'!Q415</f>
        <v/>
      </c>
      <c r="S422" s="7">
        <f>'1 datos preparados'!R415</f>
        <v/>
      </c>
      <c r="T422" s="7">
        <f>'1 datos preparados'!S415</f>
        <v/>
      </c>
      <c r="U422" s="7">
        <f>'1 datos preparados'!T415</f>
        <v/>
      </c>
      <c r="V422" s="8">
        <f>$AE$12+D422*$AE$13+E422*$AE$14+F422*$AE$15+G422*$AE$16+H422*$AE$17+I422*$AE$18+J422*$AE$19+K422*$AE$20+L422*$AE$21+M422*$AE$22+N422*$AE$23+O422*$AE$24+P422*$AE$25+Q422*$AE$26+R422*$AE$27+S422*$AE$28+T422*$AE$29+U422*$AE$30</f>
        <v/>
      </c>
      <c r="W422" s="8">
        <f>1/(1+EXP(-V422))</f>
        <v/>
      </c>
      <c r="X422" s="9">
        <f>-IF(C422=1,LN(W422),LN(1-W422))</f>
        <v/>
      </c>
      <c r="Y422" s="8">
        <f>IF(C422=1,$AE$32,$AE$33)</f>
        <v/>
      </c>
      <c r="Z422" s="9">
        <f>Y422*X422</f>
        <v/>
      </c>
      <c r="AA422" s="10">
        <f>IF(W422&gt;$AE$34,1,0)</f>
        <v/>
      </c>
      <c r="AB422">
        <f>IF(AA422=C422,1,0)</f>
        <v/>
      </c>
    </row>
    <row r="423">
      <c r="A423">
        <f>'1 datos preparados'!A416</f>
        <v/>
      </c>
      <c r="B423" s="5">
        <f>'1 datos preparados'!U416</f>
        <v/>
      </c>
      <c r="C423">
        <f>'1 datos preparados'!B416</f>
        <v/>
      </c>
      <c r="D423" s="7">
        <f>'1 datos preparados'!C416</f>
        <v/>
      </c>
      <c r="E423" s="7">
        <f>'1 datos preparados'!D416</f>
        <v/>
      </c>
      <c r="F423" s="7">
        <f>'1 datos preparados'!E416</f>
        <v/>
      </c>
      <c r="G423" s="7">
        <f>'1 datos preparados'!F416</f>
        <v/>
      </c>
      <c r="H423" s="7">
        <f>'1 datos preparados'!G416</f>
        <v/>
      </c>
      <c r="I423" s="7">
        <f>'1 datos preparados'!H416</f>
        <v/>
      </c>
      <c r="J423" s="7">
        <f>'1 datos preparados'!I416</f>
        <v/>
      </c>
      <c r="K423" s="7">
        <f>'1 datos preparados'!J416</f>
        <v/>
      </c>
      <c r="L423" s="7">
        <f>'1 datos preparados'!K416</f>
        <v/>
      </c>
      <c r="M423" s="7">
        <f>'1 datos preparados'!L416</f>
        <v/>
      </c>
      <c r="N423" s="7">
        <f>'1 datos preparados'!M416</f>
        <v/>
      </c>
      <c r="O423" s="7">
        <f>'1 datos preparados'!N416</f>
        <v/>
      </c>
      <c r="P423" s="7">
        <f>'1 datos preparados'!O416</f>
        <v/>
      </c>
      <c r="Q423" s="7">
        <f>'1 datos preparados'!P416</f>
        <v/>
      </c>
      <c r="R423" s="7">
        <f>'1 datos preparados'!Q416</f>
        <v/>
      </c>
      <c r="S423" s="7">
        <f>'1 datos preparados'!R416</f>
        <v/>
      </c>
      <c r="T423" s="7">
        <f>'1 datos preparados'!S416</f>
        <v/>
      </c>
      <c r="U423" s="7">
        <f>'1 datos preparados'!T416</f>
        <v/>
      </c>
      <c r="V423" s="8">
        <f>$AE$12+D423*$AE$13+E423*$AE$14+F423*$AE$15+G423*$AE$16+H423*$AE$17+I423*$AE$18+J423*$AE$19+K423*$AE$20+L423*$AE$21+M423*$AE$22+N423*$AE$23+O423*$AE$24+P423*$AE$25+Q423*$AE$26+R423*$AE$27+S423*$AE$28+T423*$AE$29+U423*$AE$30</f>
        <v/>
      </c>
      <c r="W423" s="8">
        <f>1/(1+EXP(-V423))</f>
        <v/>
      </c>
      <c r="X423" s="9">
        <f>-IF(C423=1,LN(W423),LN(1-W423))</f>
        <v/>
      </c>
      <c r="Y423" s="8">
        <f>IF(C423=1,$AE$32,$AE$33)</f>
        <v/>
      </c>
      <c r="Z423" s="9">
        <f>Y423*X423</f>
        <v/>
      </c>
      <c r="AA423" s="10">
        <f>IF(W423&gt;$AE$34,1,0)</f>
        <v/>
      </c>
      <c r="AB423">
        <f>IF(AA423=C423,1,0)</f>
        <v/>
      </c>
    </row>
    <row r="424">
      <c r="A424">
        <f>'1 datos preparados'!A417</f>
        <v/>
      </c>
      <c r="B424" s="5">
        <f>'1 datos preparados'!U417</f>
        <v/>
      </c>
      <c r="C424">
        <f>'1 datos preparados'!B417</f>
        <v/>
      </c>
      <c r="D424" s="7">
        <f>'1 datos preparados'!C417</f>
        <v/>
      </c>
      <c r="E424" s="7">
        <f>'1 datos preparados'!D417</f>
        <v/>
      </c>
      <c r="F424" s="7">
        <f>'1 datos preparados'!E417</f>
        <v/>
      </c>
      <c r="G424" s="7">
        <f>'1 datos preparados'!F417</f>
        <v/>
      </c>
      <c r="H424" s="7">
        <f>'1 datos preparados'!G417</f>
        <v/>
      </c>
      <c r="I424" s="7">
        <f>'1 datos preparados'!H417</f>
        <v/>
      </c>
      <c r="J424" s="7">
        <f>'1 datos preparados'!I417</f>
        <v/>
      </c>
      <c r="K424" s="7">
        <f>'1 datos preparados'!J417</f>
        <v/>
      </c>
      <c r="L424" s="7">
        <f>'1 datos preparados'!K417</f>
        <v/>
      </c>
      <c r="M424" s="7">
        <f>'1 datos preparados'!L417</f>
        <v/>
      </c>
      <c r="N424" s="7">
        <f>'1 datos preparados'!M417</f>
        <v/>
      </c>
      <c r="O424" s="7">
        <f>'1 datos preparados'!N417</f>
        <v/>
      </c>
      <c r="P424" s="7">
        <f>'1 datos preparados'!O417</f>
        <v/>
      </c>
      <c r="Q424" s="7">
        <f>'1 datos preparados'!P417</f>
        <v/>
      </c>
      <c r="R424" s="7">
        <f>'1 datos preparados'!Q417</f>
        <v/>
      </c>
      <c r="S424" s="7">
        <f>'1 datos preparados'!R417</f>
        <v/>
      </c>
      <c r="T424" s="7">
        <f>'1 datos preparados'!S417</f>
        <v/>
      </c>
      <c r="U424" s="7">
        <f>'1 datos preparados'!T417</f>
        <v/>
      </c>
      <c r="V424" s="8">
        <f>$AE$12+D424*$AE$13+E424*$AE$14+F424*$AE$15+G424*$AE$16+H424*$AE$17+I424*$AE$18+J424*$AE$19+K424*$AE$20+L424*$AE$21+M424*$AE$22+N424*$AE$23+O424*$AE$24+P424*$AE$25+Q424*$AE$26+R424*$AE$27+S424*$AE$28+T424*$AE$29+U424*$AE$30</f>
        <v/>
      </c>
      <c r="W424" s="8">
        <f>1/(1+EXP(-V424))</f>
        <v/>
      </c>
      <c r="X424" s="9">
        <f>-IF(C424=1,LN(W424),LN(1-W424))</f>
        <v/>
      </c>
      <c r="Y424" s="8">
        <f>IF(C424=1,$AE$32,$AE$33)</f>
        <v/>
      </c>
      <c r="Z424" s="9">
        <f>Y424*X424</f>
        <v/>
      </c>
      <c r="AA424" s="10">
        <f>IF(W424&gt;$AE$34,1,0)</f>
        <v/>
      </c>
      <c r="AB424">
        <f>IF(AA424=C424,1,0)</f>
        <v/>
      </c>
    </row>
    <row r="425">
      <c r="A425">
        <f>'1 datos preparados'!A418</f>
        <v/>
      </c>
      <c r="B425" s="5">
        <f>'1 datos preparados'!U418</f>
        <v/>
      </c>
      <c r="C425">
        <f>'1 datos preparados'!B418</f>
        <v/>
      </c>
      <c r="D425" s="7">
        <f>'1 datos preparados'!C418</f>
        <v/>
      </c>
      <c r="E425" s="7">
        <f>'1 datos preparados'!D418</f>
        <v/>
      </c>
      <c r="F425" s="7">
        <f>'1 datos preparados'!E418</f>
        <v/>
      </c>
      <c r="G425" s="7">
        <f>'1 datos preparados'!F418</f>
        <v/>
      </c>
      <c r="H425" s="7">
        <f>'1 datos preparados'!G418</f>
        <v/>
      </c>
      <c r="I425" s="7">
        <f>'1 datos preparados'!H418</f>
        <v/>
      </c>
      <c r="J425" s="7">
        <f>'1 datos preparados'!I418</f>
        <v/>
      </c>
      <c r="K425" s="7">
        <f>'1 datos preparados'!J418</f>
        <v/>
      </c>
      <c r="L425" s="7">
        <f>'1 datos preparados'!K418</f>
        <v/>
      </c>
      <c r="M425" s="7">
        <f>'1 datos preparados'!L418</f>
        <v/>
      </c>
      <c r="N425" s="7">
        <f>'1 datos preparados'!M418</f>
        <v/>
      </c>
      <c r="O425" s="7">
        <f>'1 datos preparados'!N418</f>
        <v/>
      </c>
      <c r="P425" s="7">
        <f>'1 datos preparados'!O418</f>
        <v/>
      </c>
      <c r="Q425" s="7">
        <f>'1 datos preparados'!P418</f>
        <v/>
      </c>
      <c r="R425" s="7">
        <f>'1 datos preparados'!Q418</f>
        <v/>
      </c>
      <c r="S425" s="7">
        <f>'1 datos preparados'!R418</f>
        <v/>
      </c>
      <c r="T425" s="7">
        <f>'1 datos preparados'!S418</f>
        <v/>
      </c>
      <c r="U425" s="7">
        <f>'1 datos preparados'!T418</f>
        <v/>
      </c>
      <c r="V425" s="8">
        <f>$AE$12+D425*$AE$13+E425*$AE$14+F425*$AE$15+G425*$AE$16+H425*$AE$17+I425*$AE$18+J425*$AE$19+K425*$AE$20+L425*$AE$21+M425*$AE$22+N425*$AE$23+O425*$AE$24+P425*$AE$25+Q425*$AE$26+R425*$AE$27+S425*$AE$28+T425*$AE$29+U425*$AE$30</f>
        <v/>
      </c>
      <c r="W425" s="8">
        <f>1/(1+EXP(-V425))</f>
        <v/>
      </c>
      <c r="X425" s="9">
        <f>-IF(C425=1,LN(W425),LN(1-W425))</f>
        <v/>
      </c>
      <c r="Y425" s="8">
        <f>IF(C425=1,$AE$32,$AE$33)</f>
        <v/>
      </c>
      <c r="Z425" s="9">
        <f>Y425*X425</f>
        <v/>
      </c>
      <c r="AA425" s="10">
        <f>IF(W425&gt;$AE$34,1,0)</f>
        <v/>
      </c>
      <c r="AB425">
        <f>IF(AA425=C425,1,0)</f>
        <v/>
      </c>
    </row>
    <row r="426">
      <c r="A426">
        <f>'1 datos preparados'!A419</f>
        <v/>
      </c>
      <c r="B426" s="5">
        <f>'1 datos preparados'!U419</f>
        <v/>
      </c>
      <c r="C426">
        <f>'1 datos preparados'!B419</f>
        <v/>
      </c>
      <c r="D426" s="7">
        <f>'1 datos preparados'!C419</f>
        <v/>
      </c>
      <c r="E426" s="7">
        <f>'1 datos preparados'!D419</f>
        <v/>
      </c>
      <c r="F426" s="7">
        <f>'1 datos preparados'!E419</f>
        <v/>
      </c>
      <c r="G426" s="7">
        <f>'1 datos preparados'!F419</f>
        <v/>
      </c>
      <c r="H426" s="7">
        <f>'1 datos preparados'!G419</f>
        <v/>
      </c>
      <c r="I426" s="7">
        <f>'1 datos preparados'!H419</f>
        <v/>
      </c>
      <c r="J426" s="7">
        <f>'1 datos preparados'!I419</f>
        <v/>
      </c>
      <c r="K426" s="7">
        <f>'1 datos preparados'!J419</f>
        <v/>
      </c>
      <c r="L426" s="7">
        <f>'1 datos preparados'!K419</f>
        <v/>
      </c>
      <c r="M426" s="7">
        <f>'1 datos preparados'!L419</f>
        <v/>
      </c>
      <c r="N426" s="7">
        <f>'1 datos preparados'!M419</f>
        <v/>
      </c>
      <c r="O426" s="7">
        <f>'1 datos preparados'!N419</f>
        <v/>
      </c>
      <c r="P426" s="7">
        <f>'1 datos preparados'!O419</f>
        <v/>
      </c>
      <c r="Q426" s="7">
        <f>'1 datos preparados'!P419</f>
        <v/>
      </c>
      <c r="R426" s="7">
        <f>'1 datos preparados'!Q419</f>
        <v/>
      </c>
      <c r="S426" s="7">
        <f>'1 datos preparados'!R419</f>
        <v/>
      </c>
      <c r="T426" s="7">
        <f>'1 datos preparados'!S419</f>
        <v/>
      </c>
      <c r="U426" s="7">
        <f>'1 datos preparados'!T419</f>
        <v/>
      </c>
      <c r="V426" s="8">
        <f>$AE$12+D426*$AE$13+E426*$AE$14+F426*$AE$15+G426*$AE$16+H426*$AE$17+I426*$AE$18+J426*$AE$19+K426*$AE$20+L426*$AE$21+M426*$AE$22+N426*$AE$23+O426*$AE$24+P426*$AE$25+Q426*$AE$26+R426*$AE$27+S426*$AE$28+T426*$AE$29+U426*$AE$30</f>
        <v/>
      </c>
      <c r="W426" s="8">
        <f>1/(1+EXP(-V426))</f>
        <v/>
      </c>
      <c r="X426" s="9">
        <f>-IF(C426=1,LN(W426),LN(1-W426))</f>
        <v/>
      </c>
      <c r="Y426" s="8">
        <f>IF(C426=1,$AE$32,$AE$33)</f>
        <v/>
      </c>
      <c r="Z426" s="9">
        <f>Y426*X426</f>
        <v/>
      </c>
      <c r="AA426" s="10">
        <f>IF(W426&gt;$AE$34,1,0)</f>
        <v/>
      </c>
      <c r="AB426">
        <f>IF(AA426=C426,1,0)</f>
        <v/>
      </c>
    </row>
    <row r="427">
      <c r="A427">
        <f>'1 datos preparados'!A420</f>
        <v/>
      </c>
      <c r="B427" s="5">
        <f>'1 datos preparados'!U420</f>
        <v/>
      </c>
      <c r="C427">
        <f>'1 datos preparados'!B420</f>
        <v/>
      </c>
      <c r="D427" s="7">
        <f>'1 datos preparados'!C420</f>
        <v/>
      </c>
      <c r="E427" s="7">
        <f>'1 datos preparados'!D420</f>
        <v/>
      </c>
      <c r="F427" s="7">
        <f>'1 datos preparados'!E420</f>
        <v/>
      </c>
      <c r="G427" s="7">
        <f>'1 datos preparados'!F420</f>
        <v/>
      </c>
      <c r="H427" s="7">
        <f>'1 datos preparados'!G420</f>
        <v/>
      </c>
      <c r="I427" s="7">
        <f>'1 datos preparados'!H420</f>
        <v/>
      </c>
      <c r="J427" s="7">
        <f>'1 datos preparados'!I420</f>
        <v/>
      </c>
      <c r="K427" s="7">
        <f>'1 datos preparados'!J420</f>
        <v/>
      </c>
      <c r="L427" s="7">
        <f>'1 datos preparados'!K420</f>
        <v/>
      </c>
      <c r="M427" s="7">
        <f>'1 datos preparados'!L420</f>
        <v/>
      </c>
      <c r="N427" s="7">
        <f>'1 datos preparados'!M420</f>
        <v/>
      </c>
      <c r="O427" s="7">
        <f>'1 datos preparados'!N420</f>
        <v/>
      </c>
      <c r="P427" s="7">
        <f>'1 datos preparados'!O420</f>
        <v/>
      </c>
      <c r="Q427" s="7">
        <f>'1 datos preparados'!P420</f>
        <v/>
      </c>
      <c r="R427" s="7">
        <f>'1 datos preparados'!Q420</f>
        <v/>
      </c>
      <c r="S427" s="7">
        <f>'1 datos preparados'!R420</f>
        <v/>
      </c>
      <c r="T427" s="7">
        <f>'1 datos preparados'!S420</f>
        <v/>
      </c>
      <c r="U427" s="7">
        <f>'1 datos preparados'!T420</f>
        <v/>
      </c>
      <c r="V427" s="8">
        <f>$AE$12+D427*$AE$13+E427*$AE$14+F427*$AE$15+G427*$AE$16+H427*$AE$17+I427*$AE$18+J427*$AE$19+K427*$AE$20+L427*$AE$21+M427*$AE$22+N427*$AE$23+O427*$AE$24+P427*$AE$25+Q427*$AE$26+R427*$AE$27+S427*$AE$28+T427*$AE$29+U427*$AE$30</f>
        <v/>
      </c>
      <c r="W427" s="8">
        <f>1/(1+EXP(-V427))</f>
        <v/>
      </c>
      <c r="X427" s="9">
        <f>-IF(C427=1,LN(W427),LN(1-W427))</f>
        <v/>
      </c>
      <c r="Y427" s="8">
        <f>IF(C427=1,$AE$32,$AE$33)</f>
        <v/>
      </c>
      <c r="Z427" s="9">
        <f>Y427*X427</f>
        <v/>
      </c>
      <c r="AA427" s="10">
        <f>IF(W427&gt;$AE$34,1,0)</f>
        <v/>
      </c>
      <c r="AB427">
        <f>IF(AA427=C427,1,0)</f>
        <v/>
      </c>
    </row>
    <row r="428">
      <c r="A428">
        <f>'1 datos preparados'!A421</f>
        <v/>
      </c>
      <c r="B428" s="5">
        <f>'1 datos preparados'!U421</f>
        <v/>
      </c>
      <c r="C428">
        <f>'1 datos preparados'!B421</f>
        <v/>
      </c>
      <c r="D428" s="7">
        <f>'1 datos preparados'!C421</f>
        <v/>
      </c>
      <c r="E428" s="7">
        <f>'1 datos preparados'!D421</f>
        <v/>
      </c>
      <c r="F428" s="7">
        <f>'1 datos preparados'!E421</f>
        <v/>
      </c>
      <c r="G428" s="7">
        <f>'1 datos preparados'!F421</f>
        <v/>
      </c>
      <c r="H428" s="7">
        <f>'1 datos preparados'!G421</f>
        <v/>
      </c>
      <c r="I428" s="7">
        <f>'1 datos preparados'!H421</f>
        <v/>
      </c>
      <c r="J428" s="7">
        <f>'1 datos preparados'!I421</f>
        <v/>
      </c>
      <c r="K428" s="7">
        <f>'1 datos preparados'!J421</f>
        <v/>
      </c>
      <c r="L428" s="7">
        <f>'1 datos preparados'!K421</f>
        <v/>
      </c>
      <c r="M428" s="7">
        <f>'1 datos preparados'!L421</f>
        <v/>
      </c>
      <c r="N428" s="7">
        <f>'1 datos preparados'!M421</f>
        <v/>
      </c>
      <c r="O428" s="7">
        <f>'1 datos preparados'!N421</f>
        <v/>
      </c>
      <c r="P428" s="7">
        <f>'1 datos preparados'!O421</f>
        <v/>
      </c>
      <c r="Q428" s="7">
        <f>'1 datos preparados'!P421</f>
        <v/>
      </c>
      <c r="R428" s="7">
        <f>'1 datos preparados'!Q421</f>
        <v/>
      </c>
      <c r="S428" s="7">
        <f>'1 datos preparados'!R421</f>
        <v/>
      </c>
      <c r="T428" s="7">
        <f>'1 datos preparados'!S421</f>
        <v/>
      </c>
      <c r="U428" s="7">
        <f>'1 datos preparados'!T421</f>
        <v/>
      </c>
      <c r="V428" s="8">
        <f>$AE$12+D428*$AE$13+E428*$AE$14+F428*$AE$15+G428*$AE$16+H428*$AE$17+I428*$AE$18+J428*$AE$19+K428*$AE$20+L428*$AE$21+M428*$AE$22+N428*$AE$23+O428*$AE$24+P428*$AE$25+Q428*$AE$26+R428*$AE$27+S428*$AE$28+T428*$AE$29+U428*$AE$30</f>
        <v/>
      </c>
      <c r="W428" s="8">
        <f>1/(1+EXP(-V428))</f>
        <v/>
      </c>
      <c r="X428" s="9">
        <f>-IF(C428=1,LN(W428),LN(1-W428))</f>
        <v/>
      </c>
      <c r="Y428" s="8">
        <f>IF(C428=1,$AE$32,$AE$33)</f>
        <v/>
      </c>
      <c r="Z428" s="9">
        <f>Y428*X428</f>
        <v/>
      </c>
      <c r="AA428" s="10">
        <f>IF(W428&gt;$AE$34,1,0)</f>
        <v/>
      </c>
      <c r="AB428">
        <f>IF(AA428=C428,1,0)</f>
        <v/>
      </c>
    </row>
    <row r="429">
      <c r="A429">
        <f>'1 datos preparados'!A422</f>
        <v/>
      </c>
      <c r="B429" s="5">
        <f>'1 datos preparados'!U422</f>
        <v/>
      </c>
      <c r="C429">
        <f>'1 datos preparados'!B422</f>
        <v/>
      </c>
      <c r="D429" s="7">
        <f>'1 datos preparados'!C422</f>
        <v/>
      </c>
      <c r="E429" s="7">
        <f>'1 datos preparados'!D422</f>
        <v/>
      </c>
      <c r="F429" s="7">
        <f>'1 datos preparados'!E422</f>
        <v/>
      </c>
      <c r="G429" s="7">
        <f>'1 datos preparados'!F422</f>
        <v/>
      </c>
      <c r="H429" s="7">
        <f>'1 datos preparados'!G422</f>
        <v/>
      </c>
      <c r="I429" s="7">
        <f>'1 datos preparados'!H422</f>
        <v/>
      </c>
      <c r="J429" s="7">
        <f>'1 datos preparados'!I422</f>
        <v/>
      </c>
      <c r="K429" s="7">
        <f>'1 datos preparados'!J422</f>
        <v/>
      </c>
      <c r="L429" s="7">
        <f>'1 datos preparados'!K422</f>
        <v/>
      </c>
      <c r="M429" s="7">
        <f>'1 datos preparados'!L422</f>
        <v/>
      </c>
      <c r="N429" s="7">
        <f>'1 datos preparados'!M422</f>
        <v/>
      </c>
      <c r="O429" s="7">
        <f>'1 datos preparados'!N422</f>
        <v/>
      </c>
      <c r="P429" s="7">
        <f>'1 datos preparados'!O422</f>
        <v/>
      </c>
      <c r="Q429" s="7">
        <f>'1 datos preparados'!P422</f>
        <v/>
      </c>
      <c r="R429" s="7">
        <f>'1 datos preparados'!Q422</f>
        <v/>
      </c>
      <c r="S429" s="7">
        <f>'1 datos preparados'!R422</f>
        <v/>
      </c>
      <c r="T429" s="7">
        <f>'1 datos preparados'!S422</f>
        <v/>
      </c>
      <c r="U429" s="7">
        <f>'1 datos preparados'!T422</f>
        <v/>
      </c>
      <c r="V429" s="8">
        <f>$AE$12+D429*$AE$13+E429*$AE$14+F429*$AE$15+G429*$AE$16+H429*$AE$17+I429*$AE$18+J429*$AE$19+K429*$AE$20+L429*$AE$21+M429*$AE$22+N429*$AE$23+O429*$AE$24+P429*$AE$25+Q429*$AE$26+R429*$AE$27+S429*$AE$28+T429*$AE$29+U429*$AE$30</f>
        <v/>
      </c>
      <c r="W429" s="8">
        <f>1/(1+EXP(-V429))</f>
        <v/>
      </c>
      <c r="X429" s="9">
        <f>-IF(C429=1,LN(W429),LN(1-W429))</f>
        <v/>
      </c>
      <c r="Y429" s="8">
        <f>IF(C429=1,$AE$32,$AE$33)</f>
        <v/>
      </c>
      <c r="Z429" s="9">
        <f>Y429*X429</f>
        <v/>
      </c>
      <c r="AA429" s="10">
        <f>IF(W429&gt;$AE$34,1,0)</f>
        <v/>
      </c>
      <c r="AB429">
        <f>IF(AA429=C429,1,0)</f>
        <v/>
      </c>
    </row>
    <row r="430">
      <c r="A430">
        <f>'1 datos preparados'!A423</f>
        <v/>
      </c>
      <c r="B430" s="5">
        <f>'1 datos preparados'!U423</f>
        <v/>
      </c>
      <c r="C430">
        <f>'1 datos preparados'!B423</f>
        <v/>
      </c>
      <c r="D430" s="7">
        <f>'1 datos preparados'!C423</f>
        <v/>
      </c>
      <c r="E430" s="7">
        <f>'1 datos preparados'!D423</f>
        <v/>
      </c>
      <c r="F430" s="7">
        <f>'1 datos preparados'!E423</f>
        <v/>
      </c>
      <c r="G430" s="7">
        <f>'1 datos preparados'!F423</f>
        <v/>
      </c>
      <c r="H430" s="7">
        <f>'1 datos preparados'!G423</f>
        <v/>
      </c>
      <c r="I430" s="7">
        <f>'1 datos preparados'!H423</f>
        <v/>
      </c>
      <c r="J430" s="7">
        <f>'1 datos preparados'!I423</f>
        <v/>
      </c>
      <c r="K430" s="7">
        <f>'1 datos preparados'!J423</f>
        <v/>
      </c>
      <c r="L430" s="7">
        <f>'1 datos preparados'!K423</f>
        <v/>
      </c>
      <c r="M430" s="7">
        <f>'1 datos preparados'!L423</f>
        <v/>
      </c>
      <c r="N430" s="7">
        <f>'1 datos preparados'!M423</f>
        <v/>
      </c>
      <c r="O430" s="7">
        <f>'1 datos preparados'!N423</f>
        <v/>
      </c>
      <c r="P430" s="7">
        <f>'1 datos preparados'!O423</f>
        <v/>
      </c>
      <c r="Q430" s="7">
        <f>'1 datos preparados'!P423</f>
        <v/>
      </c>
      <c r="R430" s="7">
        <f>'1 datos preparados'!Q423</f>
        <v/>
      </c>
      <c r="S430" s="7">
        <f>'1 datos preparados'!R423</f>
        <v/>
      </c>
      <c r="T430" s="7">
        <f>'1 datos preparados'!S423</f>
        <v/>
      </c>
      <c r="U430" s="7">
        <f>'1 datos preparados'!T423</f>
        <v/>
      </c>
      <c r="V430" s="8">
        <f>$AE$12+D430*$AE$13+E430*$AE$14+F430*$AE$15+G430*$AE$16+H430*$AE$17+I430*$AE$18+J430*$AE$19+K430*$AE$20+L430*$AE$21+M430*$AE$22+N430*$AE$23+O430*$AE$24+P430*$AE$25+Q430*$AE$26+R430*$AE$27+S430*$AE$28+T430*$AE$29+U430*$AE$30</f>
        <v/>
      </c>
      <c r="W430" s="8">
        <f>1/(1+EXP(-V430))</f>
        <v/>
      </c>
      <c r="X430" s="9">
        <f>-IF(C430=1,LN(W430),LN(1-W430))</f>
        <v/>
      </c>
      <c r="Y430" s="8">
        <f>IF(C430=1,$AE$32,$AE$33)</f>
        <v/>
      </c>
      <c r="Z430" s="9">
        <f>Y430*X430</f>
        <v/>
      </c>
      <c r="AA430" s="10">
        <f>IF(W430&gt;$AE$34,1,0)</f>
        <v/>
      </c>
      <c r="AB430">
        <f>IF(AA430=C430,1,0)</f>
        <v/>
      </c>
    </row>
    <row r="431">
      <c r="A431">
        <f>'1 datos preparados'!A424</f>
        <v/>
      </c>
      <c r="B431" s="5">
        <f>'1 datos preparados'!U424</f>
        <v/>
      </c>
      <c r="C431">
        <f>'1 datos preparados'!B424</f>
        <v/>
      </c>
      <c r="D431" s="7">
        <f>'1 datos preparados'!C424</f>
        <v/>
      </c>
      <c r="E431" s="7">
        <f>'1 datos preparados'!D424</f>
        <v/>
      </c>
      <c r="F431" s="7">
        <f>'1 datos preparados'!E424</f>
        <v/>
      </c>
      <c r="G431" s="7">
        <f>'1 datos preparados'!F424</f>
        <v/>
      </c>
      <c r="H431" s="7">
        <f>'1 datos preparados'!G424</f>
        <v/>
      </c>
      <c r="I431" s="7">
        <f>'1 datos preparados'!H424</f>
        <v/>
      </c>
      <c r="J431" s="7">
        <f>'1 datos preparados'!I424</f>
        <v/>
      </c>
      <c r="K431" s="7">
        <f>'1 datos preparados'!J424</f>
        <v/>
      </c>
      <c r="L431" s="7">
        <f>'1 datos preparados'!K424</f>
        <v/>
      </c>
      <c r="M431" s="7">
        <f>'1 datos preparados'!L424</f>
        <v/>
      </c>
      <c r="N431" s="7">
        <f>'1 datos preparados'!M424</f>
        <v/>
      </c>
      <c r="O431" s="7">
        <f>'1 datos preparados'!N424</f>
        <v/>
      </c>
      <c r="P431" s="7">
        <f>'1 datos preparados'!O424</f>
        <v/>
      </c>
      <c r="Q431" s="7">
        <f>'1 datos preparados'!P424</f>
        <v/>
      </c>
      <c r="R431" s="7">
        <f>'1 datos preparados'!Q424</f>
        <v/>
      </c>
      <c r="S431" s="7">
        <f>'1 datos preparados'!R424</f>
        <v/>
      </c>
      <c r="T431" s="7">
        <f>'1 datos preparados'!S424</f>
        <v/>
      </c>
      <c r="U431" s="7">
        <f>'1 datos preparados'!T424</f>
        <v/>
      </c>
      <c r="V431" s="8">
        <f>$AE$12+D431*$AE$13+E431*$AE$14+F431*$AE$15+G431*$AE$16+H431*$AE$17+I431*$AE$18+J431*$AE$19+K431*$AE$20+L431*$AE$21+M431*$AE$22+N431*$AE$23+O431*$AE$24+P431*$AE$25+Q431*$AE$26+R431*$AE$27+S431*$AE$28+T431*$AE$29+U431*$AE$30</f>
        <v/>
      </c>
      <c r="W431" s="8">
        <f>1/(1+EXP(-V431))</f>
        <v/>
      </c>
      <c r="X431" s="9">
        <f>-IF(C431=1,LN(W431),LN(1-W431))</f>
        <v/>
      </c>
      <c r="Y431" s="8">
        <f>IF(C431=1,$AE$32,$AE$33)</f>
        <v/>
      </c>
      <c r="Z431" s="9">
        <f>Y431*X431</f>
        <v/>
      </c>
      <c r="AA431" s="10">
        <f>IF(W431&gt;$AE$34,1,0)</f>
        <v/>
      </c>
      <c r="AB431">
        <f>IF(AA431=C431,1,0)</f>
        <v/>
      </c>
    </row>
    <row r="432">
      <c r="A432">
        <f>'1 datos preparados'!A425</f>
        <v/>
      </c>
      <c r="B432" s="5">
        <f>'1 datos preparados'!U425</f>
        <v/>
      </c>
      <c r="C432">
        <f>'1 datos preparados'!B425</f>
        <v/>
      </c>
      <c r="D432" s="7">
        <f>'1 datos preparados'!C425</f>
        <v/>
      </c>
      <c r="E432" s="7">
        <f>'1 datos preparados'!D425</f>
        <v/>
      </c>
      <c r="F432" s="7">
        <f>'1 datos preparados'!E425</f>
        <v/>
      </c>
      <c r="G432" s="7">
        <f>'1 datos preparados'!F425</f>
        <v/>
      </c>
      <c r="H432" s="7">
        <f>'1 datos preparados'!G425</f>
        <v/>
      </c>
      <c r="I432" s="7">
        <f>'1 datos preparados'!H425</f>
        <v/>
      </c>
      <c r="J432" s="7">
        <f>'1 datos preparados'!I425</f>
        <v/>
      </c>
      <c r="K432" s="7">
        <f>'1 datos preparados'!J425</f>
        <v/>
      </c>
      <c r="L432" s="7">
        <f>'1 datos preparados'!K425</f>
        <v/>
      </c>
      <c r="M432" s="7">
        <f>'1 datos preparados'!L425</f>
        <v/>
      </c>
      <c r="N432" s="7">
        <f>'1 datos preparados'!M425</f>
        <v/>
      </c>
      <c r="O432" s="7">
        <f>'1 datos preparados'!N425</f>
        <v/>
      </c>
      <c r="P432" s="7">
        <f>'1 datos preparados'!O425</f>
        <v/>
      </c>
      <c r="Q432" s="7">
        <f>'1 datos preparados'!P425</f>
        <v/>
      </c>
      <c r="R432" s="7">
        <f>'1 datos preparados'!Q425</f>
        <v/>
      </c>
      <c r="S432" s="7">
        <f>'1 datos preparados'!R425</f>
        <v/>
      </c>
      <c r="T432" s="7">
        <f>'1 datos preparados'!S425</f>
        <v/>
      </c>
      <c r="U432" s="7">
        <f>'1 datos preparados'!T425</f>
        <v/>
      </c>
      <c r="V432" s="8">
        <f>$AE$12+D432*$AE$13+E432*$AE$14+F432*$AE$15+G432*$AE$16+H432*$AE$17+I432*$AE$18+J432*$AE$19+K432*$AE$20+L432*$AE$21+M432*$AE$22+N432*$AE$23+O432*$AE$24+P432*$AE$25+Q432*$AE$26+R432*$AE$27+S432*$AE$28+T432*$AE$29+U432*$AE$30</f>
        <v/>
      </c>
      <c r="W432" s="8">
        <f>1/(1+EXP(-V432))</f>
        <v/>
      </c>
      <c r="X432" s="9">
        <f>-IF(C432=1,LN(W432),LN(1-W432))</f>
        <v/>
      </c>
      <c r="Y432" s="8">
        <f>IF(C432=1,$AE$32,$AE$33)</f>
        <v/>
      </c>
      <c r="Z432" s="9">
        <f>Y432*X432</f>
        <v/>
      </c>
      <c r="AA432" s="10">
        <f>IF(W432&gt;$AE$34,1,0)</f>
        <v/>
      </c>
      <c r="AB432">
        <f>IF(AA432=C432,1,0)</f>
        <v/>
      </c>
    </row>
    <row r="433">
      <c r="A433">
        <f>'1 datos preparados'!A426</f>
        <v/>
      </c>
      <c r="B433" s="5">
        <f>'1 datos preparados'!U426</f>
        <v/>
      </c>
      <c r="C433">
        <f>'1 datos preparados'!B426</f>
        <v/>
      </c>
      <c r="D433" s="7">
        <f>'1 datos preparados'!C426</f>
        <v/>
      </c>
      <c r="E433" s="7">
        <f>'1 datos preparados'!D426</f>
        <v/>
      </c>
      <c r="F433" s="7">
        <f>'1 datos preparados'!E426</f>
        <v/>
      </c>
      <c r="G433" s="7">
        <f>'1 datos preparados'!F426</f>
        <v/>
      </c>
      <c r="H433" s="7">
        <f>'1 datos preparados'!G426</f>
        <v/>
      </c>
      <c r="I433" s="7">
        <f>'1 datos preparados'!H426</f>
        <v/>
      </c>
      <c r="J433" s="7">
        <f>'1 datos preparados'!I426</f>
        <v/>
      </c>
      <c r="K433" s="7">
        <f>'1 datos preparados'!J426</f>
        <v/>
      </c>
      <c r="L433" s="7">
        <f>'1 datos preparados'!K426</f>
        <v/>
      </c>
      <c r="M433" s="7">
        <f>'1 datos preparados'!L426</f>
        <v/>
      </c>
      <c r="N433" s="7">
        <f>'1 datos preparados'!M426</f>
        <v/>
      </c>
      <c r="O433" s="7">
        <f>'1 datos preparados'!N426</f>
        <v/>
      </c>
      <c r="P433" s="7">
        <f>'1 datos preparados'!O426</f>
        <v/>
      </c>
      <c r="Q433" s="7">
        <f>'1 datos preparados'!P426</f>
        <v/>
      </c>
      <c r="R433" s="7">
        <f>'1 datos preparados'!Q426</f>
        <v/>
      </c>
      <c r="S433" s="7">
        <f>'1 datos preparados'!R426</f>
        <v/>
      </c>
      <c r="T433" s="7">
        <f>'1 datos preparados'!S426</f>
        <v/>
      </c>
      <c r="U433" s="7">
        <f>'1 datos preparados'!T426</f>
        <v/>
      </c>
      <c r="V433" s="8">
        <f>$AE$12+D433*$AE$13+E433*$AE$14+F433*$AE$15+G433*$AE$16+H433*$AE$17+I433*$AE$18+J433*$AE$19+K433*$AE$20+L433*$AE$21+M433*$AE$22+N433*$AE$23+O433*$AE$24+P433*$AE$25+Q433*$AE$26+R433*$AE$27+S433*$AE$28+T433*$AE$29+U433*$AE$30</f>
        <v/>
      </c>
      <c r="W433" s="8">
        <f>1/(1+EXP(-V433))</f>
        <v/>
      </c>
      <c r="X433" s="9">
        <f>-IF(C433=1,LN(W433),LN(1-W433))</f>
        <v/>
      </c>
      <c r="Y433" s="8">
        <f>IF(C433=1,$AE$32,$AE$33)</f>
        <v/>
      </c>
      <c r="Z433" s="9">
        <f>Y433*X433</f>
        <v/>
      </c>
      <c r="AA433" s="10">
        <f>IF(W433&gt;$AE$34,1,0)</f>
        <v/>
      </c>
      <c r="AB433">
        <f>IF(AA433=C433,1,0)</f>
        <v/>
      </c>
    </row>
    <row r="434">
      <c r="A434">
        <f>'1 datos preparados'!A427</f>
        <v/>
      </c>
      <c r="B434" s="5">
        <f>'1 datos preparados'!U427</f>
        <v/>
      </c>
      <c r="C434">
        <f>'1 datos preparados'!B427</f>
        <v/>
      </c>
      <c r="D434" s="7">
        <f>'1 datos preparados'!C427</f>
        <v/>
      </c>
      <c r="E434" s="7">
        <f>'1 datos preparados'!D427</f>
        <v/>
      </c>
      <c r="F434" s="7">
        <f>'1 datos preparados'!E427</f>
        <v/>
      </c>
      <c r="G434" s="7">
        <f>'1 datos preparados'!F427</f>
        <v/>
      </c>
      <c r="H434" s="7">
        <f>'1 datos preparados'!G427</f>
        <v/>
      </c>
      <c r="I434" s="7">
        <f>'1 datos preparados'!H427</f>
        <v/>
      </c>
      <c r="J434" s="7">
        <f>'1 datos preparados'!I427</f>
        <v/>
      </c>
      <c r="K434" s="7">
        <f>'1 datos preparados'!J427</f>
        <v/>
      </c>
      <c r="L434" s="7">
        <f>'1 datos preparados'!K427</f>
        <v/>
      </c>
      <c r="M434" s="7">
        <f>'1 datos preparados'!L427</f>
        <v/>
      </c>
      <c r="N434" s="7">
        <f>'1 datos preparados'!M427</f>
        <v/>
      </c>
      <c r="O434" s="7">
        <f>'1 datos preparados'!N427</f>
        <v/>
      </c>
      <c r="P434" s="7">
        <f>'1 datos preparados'!O427</f>
        <v/>
      </c>
      <c r="Q434" s="7">
        <f>'1 datos preparados'!P427</f>
        <v/>
      </c>
      <c r="R434" s="7">
        <f>'1 datos preparados'!Q427</f>
        <v/>
      </c>
      <c r="S434" s="7">
        <f>'1 datos preparados'!R427</f>
        <v/>
      </c>
      <c r="T434" s="7">
        <f>'1 datos preparados'!S427</f>
        <v/>
      </c>
      <c r="U434" s="7">
        <f>'1 datos preparados'!T427</f>
        <v/>
      </c>
      <c r="V434" s="8">
        <f>$AE$12+D434*$AE$13+E434*$AE$14+F434*$AE$15+G434*$AE$16+H434*$AE$17+I434*$AE$18+J434*$AE$19+K434*$AE$20+L434*$AE$21+M434*$AE$22+N434*$AE$23+O434*$AE$24+P434*$AE$25+Q434*$AE$26+R434*$AE$27+S434*$AE$28+T434*$AE$29+U434*$AE$30</f>
        <v/>
      </c>
      <c r="W434" s="8">
        <f>1/(1+EXP(-V434))</f>
        <v/>
      </c>
      <c r="X434" s="9">
        <f>-IF(C434=1,LN(W434),LN(1-W434))</f>
        <v/>
      </c>
      <c r="Y434" s="8">
        <f>IF(C434=1,$AE$32,$AE$33)</f>
        <v/>
      </c>
      <c r="Z434" s="9">
        <f>Y434*X434</f>
        <v/>
      </c>
      <c r="AA434" s="10">
        <f>IF(W434&gt;$AE$34,1,0)</f>
        <v/>
      </c>
      <c r="AB434">
        <f>IF(AA434=C434,1,0)</f>
        <v/>
      </c>
    </row>
    <row r="435">
      <c r="A435">
        <f>'1 datos preparados'!A428</f>
        <v/>
      </c>
      <c r="B435" s="5">
        <f>'1 datos preparados'!U428</f>
        <v/>
      </c>
      <c r="C435">
        <f>'1 datos preparados'!B428</f>
        <v/>
      </c>
      <c r="D435" s="7">
        <f>'1 datos preparados'!C428</f>
        <v/>
      </c>
      <c r="E435" s="7">
        <f>'1 datos preparados'!D428</f>
        <v/>
      </c>
      <c r="F435" s="7">
        <f>'1 datos preparados'!E428</f>
        <v/>
      </c>
      <c r="G435" s="7">
        <f>'1 datos preparados'!F428</f>
        <v/>
      </c>
      <c r="H435" s="7">
        <f>'1 datos preparados'!G428</f>
        <v/>
      </c>
      <c r="I435" s="7">
        <f>'1 datos preparados'!H428</f>
        <v/>
      </c>
      <c r="J435" s="7">
        <f>'1 datos preparados'!I428</f>
        <v/>
      </c>
      <c r="K435" s="7">
        <f>'1 datos preparados'!J428</f>
        <v/>
      </c>
      <c r="L435" s="7">
        <f>'1 datos preparados'!K428</f>
        <v/>
      </c>
      <c r="M435" s="7">
        <f>'1 datos preparados'!L428</f>
        <v/>
      </c>
      <c r="N435" s="7">
        <f>'1 datos preparados'!M428</f>
        <v/>
      </c>
      <c r="O435" s="7">
        <f>'1 datos preparados'!N428</f>
        <v/>
      </c>
      <c r="P435" s="7">
        <f>'1 datos preparados'!O428</f>
        <v/>
      </c>
      <c r="Q435" s="7">
        <f>'1 datos preparados'!P428</f>
        <v/>
      </c>
      <c r="R435" s="7">
        <f>'1 datos preparados'!Q428</f>
        <v/>
      </c>
      <c r="S435" s="7">
        <f>'1 datos preparados'!R428</f>
        <v/>
      </c>
      <c r="T435" s="7">
        <f>'1 datos preparados'!S428</f>
        <v/>
      </c>
      <c r="U435" s="7">
        <f>'1 datos preparados'!T428</f>
        <v/>
      </c>
      <c r="V435" s="8">
        <f>$AE$12+D435*$AE$13+E435*$AE$14+F435*$AE$15+G435*$AE$16+H435*$AE$17+I435*$AE$18+J435*$AE$19+K435*$AE$20+L435*$AE$21+M435*$AE$22+N435*$AE$23+O435*$AE$24+P435*$AE$25+Q435*$AE$26+R435*$AE$27+S435*$AE$28+T435*$AE$29+U435*$AE$30</f>
        <v/>
      </c>
      <c r="W435" s="8">
        <f>1/(1+EXP(-V435))</f>
        <v/>
      </c>
      <c r="X435" s="9">
        <f>-IF(C435=1,LN(W435),LN(1-W435))</f>
        <v/>
      </c>
      <c r="Y435" s="8">
        <f>IF(C435=1,$AE$32,$AE$33)</f>
        <v/>
      </c>
      <c r="Z435" s="9">
        <f>Y435*X435</f>
        <v/>
      </c>
      <c r="AA435" s="10">
        <f>IF(W435&gt;$AE$34,1,0)</f>
        <v/>
      </c>
      <c r="AB435">
        <f>IF(AA435=C435,1,0)</f>
        <v/>
      </c>
    </row>
    <row r="436">
      <c r="A436">
        <f>'1 datos preparados'!A429</f>
        <v/>
      </c>
      <c r="B436" s="5">
        <f>'1 datos preparados'!U429</f>
        <v/>
      </c>
      <c r="C436">
        <f>'1 datos preparados'!B429</f>
        <v/>
      </c>
      <c r="D436" s="7">
        <f>'1 datos preparados'!C429</f>
        <v/>
      </c>
      <c r="E436" s="7">
        <f>'1 datos preparados'!D429</f>
        <v/>
      </c>
      <c r="F436" s="7">
        <f>'1 datos preparados'!E429</f>
        <v/>
      </c>
      <c r="G436" s="7">
        <f>'1 datos preparados'!F429</f>
        <v/>
      </c>
      <c r="H436" s="7">
        <f>'1 datos preparados'!G429</f>
        <v/>
      </c>
      <c r="I436" s="7">
        <f>'1 datos preparados'!H429</f>
        <v/>
      </c>
      <c r="J436" s="7">
        <f>'1 datos preparados'!I429</f>
        <v/>
      </c>
      <c r="K436" s="7">
        <f>'1 datos preparados'!J429</f>
        <v/>
      </c>
      <c r="L436" s="7">
        <f>'1 datos preparados'!K429</f>
        <v/>
      </c>
      <c r="M436" s="7">
        <f>'1 datos preparados'!L429</f>
        <v/>
      </c>
      <c r="N436" s="7">
        <f>'1 datos preparados'!M429</f>
        <v/>
      </c>
      <c r="O436" s="7">
        <f>'1 datos preparados'!N429</f>
        <v/>
      </c>
      <c r="P436" s="7">
        <f>'1 datos preparados'!O429</f>
        <v/>
      </c>
      <c r="Q436" s="7">
        <f>'1 datos preparados'!P429</f>
        <v/>
      </c>
      <c r="R436" s="7">
        <f>'1 datos preparados'!Q429</f>
        <v/>
      </c>
      <c r="S436" s="7">
        <f>'1 datos preparados'!R429</f>
        <v/>
      </c>
      <c r="T436" s="7">
        <f>'1 datos preparados'!S429</f>
        <v/>
      </c>
      <c r="U436" s="7">
        <f>'1 datos preparados'!T429</f>
        <v/>
      </c>
      <c r="V436" s="8">
        <f>$AE$12+D436*$AE$13+E436*$AE$14+F436*$AE$15+G436*$AE$16+H436*$AE$17+I436*$AE$18+J436*$AE$19+K436*$AE$20+L436*$AE$21+M436*$AE$22+N436*$AE$23+O436*$AE$24+P436*$AE$25+Q436*$AE$26+R436*$AE$27+S436*$AE$28+T436*$AE$29+U436*$AE$30</f>
        <v/>
      </c>
      <c r="W436" s="8">
        <f>1/(1+EXP(-V436))</f>
        <v/>
      </c>
      <c r="X436" s="9">
        <f>-IF(C436=1,LN(W436),LN(1-W436))</f>
        <v/>
      </c>
      <c r="Y436" s="8">
        <f>IF(C436=1,$AE$32,$AE$33)</f>
        <v/>
      </c>
      <c r="Z436" s="9">
        <f>Y436*X436</f>
        <v/>
      </c>
      <c r="AA436" s="10">
        <f>IF(W436&gt;$AE$34,1,0)</f>
        <v/>
      </c>
      <c r="AB436">
        <f>IF(AA436=C436,1,0)</f>
        <v/>
      </c>
    </row>
    <row r="437">
      <c r="A437">
        <f>'1 datos preparados'!A430</f>
        <v/>
      </c>
      <c r="B437" s="5">
        <f>'1 datos preparados'!U430</f>
        <v/>
      </c>
      <c r="C437">
        <f>'1 datos preparados'!B430</f>
        <v/>
      </c>
      <c r="D437" s="7">
        <f>'1 datos preparados'!C430</f>
        <v/>
      </c>
      <c r="E437" s="7">
        <f>'1 datos preparados'!D430</f>
        <v/>
      </c>
      <c r="F437" s="7">
        <f>'1 datos preparados'!E430</f>
        <v/>
      </c>
      <c r="G437" s="7">
        <f>'1 datos preparados'!F430</f>
        <v/>
      </c>
      <c r="H437" s="7">
        <f>'1 datos preparados'!G430</f>
        <v/>
      </c>
      <c r="I437" s="7">
        <f>'1 datos preparados'!H430</f>
        <v/>
      </c>
      <c r="J437" s="7">
        <f>'1 datos preparados'!I430</f>
        <v/>
      </c>
      <c r="K437" s="7">
        <f>'1 datos preparados'!J430</f>
        <v/>
      </c>
      <c r="L437" s="7">
        <f>'1 datos preparados'!K430</f>
        <v/>
      </c>
      <c r="M437" s="7">
        <f>'1 datos preparados'!L430</f>
        <v/>
      </c>
      <c r="N437" s="7">
        <f>'1 datos preparados'!M430</f>
        <v/>
      </c>
      <c r="O437" s="7">
        <f>'1 datos preparados'!N430</f>
        <v/>
      </c>
      <c r="P437" s="7">
        <f>'1 datos preparados'!O430</f>
        <v/>
      </c>
      <c r="Q437" s="7">
        <f>'1 datos preparados'!P430</f>
        <v/>
      </c>
      <c r="R437" s="7">
        <f>'1 datos preparados'!Q430</f>
        <v/>
      </c>
      <c r="S437" s="7">
        <f>'1 datos preparados'!R430</f>
        <v/>
      </c>
      <c r="T437" s="7">
        <f>'1 datos preparados'!S430</f>
        <v/>
      </c>
      <c r="U437" s="7">
        <f>'1 datos preparados'!T430</f>
        <v/>
      </c>
      <c r="V437" s="8">
        <f>$AE$12+D437*$AE$13+E437*$AE$14+F437*$AE$15+G437*$AE$16+H437*$AE$17+I437*$AE$18+J437*$AE$19+K437*$AE$20+L437*$AE$21+M437*$AE$22+N437*$AE$23+O437*$AE$24+P437*$AE$25+Q437*$AE$26+R437*$AE$27+S437*$AE$28+T437*$AE$29+U437*$AE$30</f>
        <v/>
      </c>
      <c r="W437" s="8">
        <f>1/(1+EXP(-V437))</f>
        <v/>
      </c>
      <c r="X437" s="9">
        <f>-IF(C437=1,LN(W437),LN(1-W437))</f>
        <v/>
      </c>
      <c r="Y437" s="8">
        <f>IF(C437=1,$AE$32,$AE$33)</f>
        <v/>
      </c>
      <c r="Z437" s="9">
        <f>Y437*X437</f>
        <v/>
      </c>
      <c r="AA437" s="10">
        <f>IF(W437&gt;$AE$34,1,0)</f>
        <v/>
      </c>
      <c r="AB437">
        <f>IF(AA437=C437,1,0)</f>
        <v/>
      </c>
    </row>
    <row r="438">
      <c r="A438">
        <f>'1 datos preparados'!A431</f>
        <v/>
      </c>
      <c r="B438" s="5">
        <f>'1 datos preparados'!U431</f>
        <v/>
      </c>
      <c r="C438">
        <f>'1 datos preparados'!B431</f>
        <v/>
      </c>
      <c r="D438" s="7">
        <f>'1 datos preparados'!C431</f>
        <v/>
      </c>
      <c r="E438" s="7">
        <f>'1 datos preparados'!D431</f>
        <v/>
      </c>
      <c r="F438" s="7">
        <f>'1 datos preparados'!E431</f>
        <v/>
      </c>
      <c r="G438" s="7">
        <f>'1 datos preparados'!F431</f>
        <v/>
      </c>
      <c r="H438" s="7">
        <f>'1 datos preparados'!G431</f>
        <v/>
      </c>
      <c r="I438" s="7">
        <f>'1 datos preparados'!H431</f>
        <v/>
      </c>
      <c r="J438" s="7">
        <f>'1 datos preparados'!I431</f>
        <v/>
      </c>
      <c r="K438" s="7">
        <f>'1 datos preparados'!J431</f>
        <v/>
      </c>
      <c r="L438" s="7">
        <f>'1 datos preparados'!K431</f>
        <v/>
      </c>
      <c r="M438" s="7">
        <f>'1 datos preparados'!L431</f>
        <v/>
      </c>
      <c r="N438" s="7">
        <f>'1 datos preparados'!M431</f>
        <v/>
      </c>
      <c r="O438" s="7">
        <f>'1 datos preparados'!N431</f>
        <v/>
      </c>
      <c r="P438" s="7">
        <f>'1 datos preparados'!O431</f>
        <v/>
      </c>
      <c r="Q438" s="7">
        <f>'1 datos preparados'!P431</f>
        <v/>
      </c>
      <c r="R438" s="7">
        <f>'1 datos preparados'!Q431</f>
        <v/>
      </c>
      <c r="S438" s="7">
        <f>'1 datos preparados'!R431</f>
        <v/>
      </c>
      <c r="T438" s="7">
        <f>'1 datos preparados'!S431</f>
        <v/>
      </c>
      <c r="U438" s="7">
        <f>'1 datos preparados'!T431</f>
        <v/>
      </c>
      <c r="V438" s="8">
        <f>$AE$12+D438*$AE$13+E438*$AE$14+F438*$AE$15+G438*$AE$16+H438*$AE$17+I438*$AE$18+J438*$AE$19+K438*$AE$20+L438*$AE$21+M438*$AE$22+N438*$AE$23+O438*$AE$24+P438*$AE$25+Q438*$AE$26+R438*$AE$27+S438*$AE$28+T438*$AE$29+U438*$AE$30</f>
        <v/>
      </c>
      <c r="W438" s="8">
        <f>1/(1+EXP(-V438))</f>
        <v/>
      </c>
      <c r="X438" s="9">
        <f>-IF(C438=1,LN(W438),LN(1-W438))</f>
        <v/>
      </c>
      <c r="Y438" s="8">
        <f>IF(C438=1,$AE$32,$AE$33)</f>
        <v/>
      </c>
      <c r="Z438" s="9">
        <f>Y438*X438</f>
        <v/>
      </c>
      <c r="AA438" s="10">
        <f>IF(W438&gt;$AE$34,1,0)</f>
        <v/>
      </c>
      <c r="AB438">
        <f>IF(AA438=C438,1,0)</f>
        <v/>
      </c>
    </row>
    <row r="439">
      <c r="A439">
        <f>'1 datos preparados'!A432</f>
        <v/>
      </c>
      <c r="B439" s="5">
        <f>'1 datos preparados'!U432</f>
        <v/>
      </c>
      <c r="C439">
        <f>'1 datos preparados'!B432</f>
        <v/>
      </c>
      <c r="D439" s="7">
        <f>'1 datos preparados'!C432</f>
        <v/>
      </c>
      <c r="E439" s="7">
        <f>'1 datos preparados'!D432</f>
        <v/>
      </c>
      <c r="F439" s="7">
        <f>'1 datos preparados'!E432</f>
        <v/>
      </c>
      <c r="G439" s="7">
        <f>'1 datos preparados'!F432</f>
        <v/>
      </c>
      <c r="H439" s="7">
        <f>'1 datos preparados'!G432</f>
        <v/>
      </c>
      <c r="I439" s="7">
        <f>'1 datos preparados'!H432</f>
        <v/>
      </c>
      <c r="J439" s="7">
        <f>'1 datos preparados'!I432</f>
        <v/>
      </c>
      <c r="K439" s="7">
        <f>'1 datos preparados'!J432</f>
        <v/>
      </c>
      <c r="L439" s="7">
        <f>'1 datos preparados'!K432</f>
        <v/>
      </c>
      <c r="M439" s="7">
        <f>'1 datos preparados'!L432</f>
        <v/>
      </c>
      <c r="N439" s="7">
        <f>'1 datos preparados'!M432</f>
        <v/>
      </c>
      <c r="O439" s="7">
        <f>'1 datos preparados'!N432</f>
        <v/>
      </c>
      <c r="P439" s="7">
        <f>'1 datos preparados'!O432</f>
        <v/>
      </c>
      <c r="Q439" s="7">
        <f>'1 datos preparados'!P432</f>
        <v/>
      </c>
      <c r="R439" s="7">
        <f>'1 datos preparados'!Q432</f>
        <v/>
      </c>
      <c r="S439" s="7">
        <f>'1 datos preparados'!R432</f>
        <v/>
      </c>
      <c r="T439" s="7">
        <f>'1 datos preparados'!S432</f>
        <v/>
      </c>
      <c r="U439" s="7">
        <f>'1 datos preparados'!T432</f>
        <v/>
      </c>
      <c r="V439" s="8">
        <f>$AE$12+D439*$AE$13+E439*$AE$14+F439*$AE$15+G439*$AE$16+H439*$AE$17+I439*$AE$18+J439*$AE$19+K439*$AE$20+L439*$AE$21+M439*$AE$22+N439*$AE$23+O439*$AE$24+P439*$AE$25+Q439*$AE$26+R439*$AE$27+S439*$AE$28+T439*$AE$29+U439*$AE$30</f>
        <v/>
      </c>
      <c r="W439" s="8">
        <f>1/(1+EXP(-V439))</f>
        <v/>
      </c>
      <c r="X439" s="9">
        <f>-IF(C439=1,LN(W439),LN(1-W439))</f>
        <v/>
      </c>
      <c r="Y439" s="8">
        <f>IF(C439=1,$AE$32,$AE$33)</f>
        <v/>
      </c>
      <c r="Z439" s="9">
        <f>Y439*X439</f>
        <v/>
      </c>
      <c r="AA439" s="10">
        <f>IF(W439&gt;$AE$34,1,0)</f>
        <v/>
      </c>
      <c r="AB439">
        <f>IF(AA439=C439,1,0)</f>
        <v/>
      </c>
    </row>
    <row r="440">
      <c r="A440">
        <f>'1 datos preparados'!A433</f>
        <v/>
      </c>
      <c r="B440" s="5">
        <f>'1 datos preparados'!U433</f>
        <v/>
      </c>
      <c r="C440">
        <f>'1 datos preparados'!B433</f>
        <v/>
      </c>
      <c r="D440" s="7">
        <f>'1 datos preparados'!C433</f>
        <v/>
      </c>
      <c r="E440" s="7">
        <f>'1 datos preparados'!D433</f>
        <v/>
      </c>
      <c r="F440" s="7">
        <f>'1 datos preparados'!E433</f>
        <v/>
      </c>
      <c r="G440" s="7">
        <f>'1 datos preparados'!F433</f>
        <v/>
      </c>
      <c r="H440" s="7">
        <f>'1 datos preparados'!G433</f>
        <v/>
      </c>
      <c r="I440" s="7">
        <f>'1 datos preparados'!H433</f>
        <v/>
      </c>
      <c r="J440" s="7">
        <f>'1 datos preparados'!I433</f>
        <v/>
      </c>
      <c r="K440" s="7">
        <f>'1 datos preparados'!J433</f>
        <v/>
      </c>
      <c r="L440" s="7">
        <f>'1 datos preparados'!K433</f>
        <v/>
      </c>
      <c r="M440" s="7">
        <f>'1 datos preparados'!L433</f>
        <v/>
      </c>
      <c r="N440" s="7">
        <f>'1 datos preparados'!M433</f>
        <v/>
      </c>
      <c r="O440" s="7">
        <f>'1 datos preparados'!N433</f>
        <v/>
      </c>
      <c r="P440" s="7">
        <f>'1 datos preparados'!O433</f>
        <v/>
      </c>
      <c r="Q440" s="7">
        <f>'1 datos preparados'!P433</f>
        <v/>
      </c>
      <c r="R440" s="7">
        <f>'1 datos preparados'!Q433</f>
        <v/>
      </c>
      <c r="S440" s="7">
        <f>'1 datos preparados'!R433</f>
        <v/>
      </c>
      <c r="T440" s="7">
        <f>'1 datos preparados'!S433</f>
        <v/>
      </c>
      <c r="U440" s="7">
        <f>'1 datos preparados'!T433</f>
        <v/>
      </c>
      <c r="V440" s="8">
        <f>$AE$12+D440*$AE$13+E440*$AE$14+F440*$AE$15+G440*$AE$16+H440*$AE$17+I440*$AE$18+J440*$AE$19+K440*$AE$20+L440*$AE$21+M440*$AE$22+N440*$AE$23+O440*$AE$24+P440*$AE$25+Q440*$AE$26+R440*$AE$27+S440*$AE$28+T440*$AE$29+U440*$AE$30</f>
        <v/>
      </c>
      <c r="W440" s="8">
        <f>1/(1+EXP(-V440))</f>
        <v/>
      </c>
      <c r="X440" s="9">
        <f>-IF(C440=1,LN(W440),LN(1-W440))</f>
        <v/>
      </c>
      <c r="Y440" s="8">
        <f>IF(C440=1,$AE$32,$AE$33)</f>
        <v/>
      </c>
      <c r="Z440" s="9">
        <f>Y440*X440</f>
        <v/>
      </c>
      <c r="AA440" s="10">
        <f>IF(W440&gt;$AE$34,1,0)</f>
        <v/>
      </c>
      <c r="AB440">
        <f>IF(AA440=C440,1,0)</f>
        <v/>
      </c>
    </row>
    <row r="441">
      <c r="A441">
        <f>'1 datos preparados'!A434</f>
        <v/>
      </c>
      <c r="B441" s="5">
        <f>'1 datos preparados'!U434</f>
        <v/>
      </c>
      <c r="C441">
        <f>'1 datos preparados'!B434</f>
        <v/>
      </c>
      <c r="D441" s="7">
        <f>'1 datos preparados'!C434</f>
        <v/>
      </c>
      <c r="E441" s="7">
        <f>'1 datos preparados'!D434</f>
        <v/>
      </c>
      <c r="F441" s="7">
        <f>'1 datos preparados'!E434</f>
        <v/>
      </c>
      <c r="G441" s="7">
        <f>'1 datos preparados'!F434</f>
        <v/>
      </c>
      <c r="H441" s="7">
        <f>'1 datos preparados'!G434</f>
        <v/>
      </c>
      <c r="I441" s="7">
        <f>'1 datos preparados'!H434</f>
        <v/>
      </c>
      <c r="J441" s="7">
        <f>'1 datos preparados'!I434</f>
        <v/>
      </c>
      <c r="K441" s="7">
        <f>'1 datos preparados'!J434</f>
        <v/>
      </c>
      <c r="L441" s="7">
        <f>'1 datos preparados'!K434</f>
        <v/>
      </c>
      <c r="M441" s="7">
        <f>'1 datos preparados'!L434</f>
        <v/>
      </c>
      <c r="N441" s="7">
        <f>'1 datos preparados'!M434</f>
        <v/>
      </c>
      <c r="O441" s="7">
        <f>'1 datos preparados'!N434</f>
        <v/>
      </c>
      <c r="P441" s="7">
        <f>'1 datos preparados'!O434</f>
        <v/>
      </c>
      <c r="Q441" s="7">
        <f>'1 datos preparados'!P434</f>
        <v/>
      </c>
      <c r="R441" s="7">
        <f>'1 datos preparados'!Q434</f>
        <v/>
      </c>
      <c r="S441" s="7">
        <f>'1 datos preparados'!R434</f>
        <v/>
      </c>
      <c r="T441" s="7">
        <f>'1 datos preparados'!S434</f>
        <v/>
      </c>
      <c r="U441" s="7">
        <f>'1 datos preparados'!T434</f>
        <v/>
      </c>
      <c r="V441" s="8">
        <f>$AE$12+D441*$AE$13+E441*$AE$14+F441*$AE$15+G441*$AE$16+H441*$AE$17+I441*$AE$18+J441*$AE$19+K441*$AE$20+L441*$AE$21+M441*$AE$22+N441*$AE$23+O441*$AE$24+P441*$AE$25+Q441*$AE$26+R441*$AE$27+S441*$AE$28+T441*$AE$29+U441*$AE$30</f>
        <v/>
      </c>
      <c r="W441" s="8">
        <f>1/(1+EXP(-V441))</f>
        <v/>
      </c>
      <c r="X441" s="9">
        <f>-IF(C441=1,LN(W441),LN(1-W441))</f>
        <v/>
      </c>
      <c r="Y441" s="8">
        <f>IF(C441=1,$AE$32,$AE$33)</f>
        <v/>
      </c>
      <c r="Z441" s="9">
        <f>Y441*X441</f>
        <v/>
      </c>
      <c r="AA441" s="10">
        <f>IF(W441&gt;$AE$34,1,0)</f>
        <v/>
      </c>
      <c r="AB441">
        <f>IF(AA441=C441,1,0)</f>
        <v/>
      </c>
    </row>
    <row r="442">
      <c r="A442">
        <f>'1 datos preparados'!A435</f>
        <v/>
      </c>
      <c r="B442" s="5">
        <f>'1 datos preparados'!U435</f>
        <v/>
      </c>
      <c r="C442">
        <f>'1 datos preparados'!B435</f>
        <v/>
      </c>
      <c r="D442" s="7">
        <f>'1 datos preparados'!C435</f>
        <v/>
      </c>
      <c r="E442" s="7">
        <f>'1 datos preparados'!D435</f>
        <v/>
      </c>
      <c r="F442" s="7">
        <f>'1 datos preparados'!E435</f>
        <v/>
      </c>
      <c r="G442" s="7">
        <f>'1 datos preparados'!F435</f>
        <v/>
      </c>
      <c r="H442" s="7">
        <f>'1 datos preparados'!G435</f>
        <v/>
      </c>
      <c r="I442" s="7">
        <f>'1 datos preparados'!H435</f>
        <v/>
      </c>
      <c r="J442" s="7">
        <f>'1 datos preparados'!I435</f>
        <v/>
      </c>
      <c r="K442" s="7">
        <f>'1 datos preparados'!J435</f>
        <v/>
      </c>
      <c r="L442" s="7">
        <f>'1 datos preparados'!K435</f>
        <v/>
      </c>
      <c r="M442" s="7">
        <f>'1 datos preparados'!L435</f>
        <v/>
      </c>
      <c r="N442" s="7">
        <f>'1 datos preparados'!M435</f>
        <v/>
      </c>
      <c r="O442" s="7">
        <f>'1 datos preparados'!N435</f>
        <v/>
      </c>
      <c r="P442" s="7">
        <f>'1 datos preparados'!O435</f>
        <v/>
      </c>
      <c r="Q442" s="7">
        <f>'1 datos preparados'!P435</f>
        <v/>
      </c>
      <c r="R442" s="7">
        <f>'1 datos preparados'!Q435</f>
        <v/>
      </c>
      <c r="S442" s="7">
        <f>'1 datos preparados'!R435</f>
        <v/>
      </c>
      <c r="T442" s="7">
        <f>'1 datos preparados'!S435</f>
        <v/>
      </c>
      <c r="U442" s="7">
        <f>'1 datos preparados'!T435</f>
        <v/>
      </c>
      <c r="V442" s="8">
        <f>$AE$12+D442*$AE$13+E442*$AE$14+F442*$AE$15+G442*$AE$16+H442*$AE$17+I442*$AE$18+J442*$AE$19+K442*$AE$20+L442*$AE$21+M442*$AE$22+N442*$AE$23+O442*$AE$24+P442*$AE$25+Q442*$AE$26+R442*$AE$27+S442*$AE$28+T442*$AE$29+U442*$AE$30</f>
        <v/>
      </c>
      <c r="W442" s="8">
        <f>1/(1+EXP(-V442))</f>
        <v/>
      </c>
      <c r="X442" s="9">
        <f>-IF(C442=1,LN(W442),LN(1-W442))</f>
        <v/>
      </c>
      <c r="Y442" s="8">
        <f>IF(C442=1,$AE$32,$AE$33)</f>
        <v/>
      </c>
      <c r="Z442" s="9">
        <f>Y442*X442</f>
        <v/>
      </c>
      <c r="AA442" s="10">
        <f>IF(W442&gt;$AE$34,1,0)</f>
        <v/>
      </c>
      <c r="AB442">
        <f>IF(AA442=C442,1,0)</f>
        <v/>
      </c>
    </row>
    <row r="443">
      <c r="A443">
        <f>'1 datos preparados'!A436</f>
        <v/>
      </c>
      <c r="B443" s="5">
        <f>'1 datos preparados'!U436</f>
        <v/>
      </c>
      <c r="C443">
        <f>'1 datos preparados'!B436</f>
        <v/>
      </c>
      <c r="D443" s="7">
        <f>'1 datos preparados'!C436</f>
        <v/>
      </c>
      <c r="E443" s="7">
        <f>'1 datos preparados'!D436</f>
        <v/>
      </c>
      <c r="F443" s="7">
        <f>'1 datos preparados'!E436</f>
        <v/>
      </c>
      <c r="G443" s="7">
        <f>'1 datos preparados'!F436</f>
        <v/>
      </c>
      <c r="H443" s="7">
        <f>'1 datos preparados'!G436</f>
        <v/>
      </c>
      <c r="I443" s="7">
        <f>'1 datos preparados'!H436</f>
        <v/>
      </c>
      <c r="J443" s="7">
        <f>'1 datos preparados'!I436</f>
        <v/>
      </c>
      <c r="K443" s="7">
        <f>'1 datos preparados'!J436</f>
        <v/>
      </c>
      <c r="L443" s="7">
        <f>'1 datos preparados'!K436</f>
        <v/>
      </c>
      <c r="M443" s="7">
        <f>'1 datos preparados'!L436</f>
        <v/>
      </c>
      <c r="N443" s="7">
        <f>'1 datos preparados'!M436</f>
        <v/>
      </c>
      <c r="O443" s="7">
        <f>'1 datos preparados'!N436</f>
        <v/>
      </c>
      <c r="P443" s="7">
        <f>'1 datos preparados'!O436</f>
        <v/>
      </c>
      <c r="Q443" s="7">
        <f>'1 datos preparados'!P436</f>
        <v/>
      </c>
      <c r="R443" s="7">
        <f>'1 datos preparados'!Q436</f>
        <v/>
      </c>
      <c r="S443" s="7">
        <f>'1 datos preparados'!R436</f>
        <v/>
      </c>
      <c r="T443" s="7">
        <f>'1 datos preparados'!S436</f>
        <v/>
      </c>
      <c r="U443" s="7">
        <f>'1 datos preparados'!T436</f>
        <v/>
      </c>
      <c r="V443" s="8">
        <f>$AE$12+D443*$AE$13+E443*$AE$14+F443*$AE$15+G443*$AE$16+H443*$AE$17+I443*$AE$18+J443*$AE$19+K443*$AE$20+L443*$AE$21+M443*$AE$22+N443*$AE$23+O443*$AE$24+P443*$AE$25+Q443*$AE$26+R443*$AE$27+S443*$AE$28+T443*$AE$29+U443*$AE$30</f>
        <v/>
      </c>
      <c r="W443" s="8">
        <f>1/(1+EXP(-V443))</f>
        <v/>
      </c>
      <c r="X443" s="9">
        <f>-IF(C443=1,LN(W443),LN(1-W443))</f>
        <v/>
      </c>
      <c r="Y443" s="8">
        <f>IF(C443=1,$AE$32,$AE$33)</f>
        <v/>
      </c>
      <c r="Z443" s="9">
        <f>Y443*X443</f>
        <v/>
      </c>
      <c r="AA443" s="10">
        <f>IF(W443&gt;$AE$34,1,0)</f>
        <v/>
      </c>
      <c r="AB443">
        <f>IF(AA443=C443,1,0)</f>
        <v/>
      </c>
    </row>
    <row r="444">
      <c r="A444">
        <f>'1 datos preparados'!A437</f>
        <v/>
      </c>
      <c r="B444" s="5">
        <f>'1 datos preparados'!U437</f>
        <v/>
      </c>
      <c r="C444">
        <f>'1 datos preparados'!B437</f>
        <v/>
      </c>
      <c r="D444" s="7">
        <f>'1 datos preparados'!C437</f>
        <v/>
      </c>
      <c r="E444" s="7">
        <f>'1 datos preparados'!D437</f>
        <v/>
      </c>
      <c r="F444" s="7">
        <f>'1 datos preparados'!E437</f>
        <v/>
      </c>
      <c r="G444" s="7">
        <f>'1 datos preparados'!F437</f>
        <v/>
      </c>
      <c r="H444" s="7">
        <f>'1 datos preparados'!G437</f>
        <v/>
      </c>
      <c r="I444" s="7">
        <f>'1 datos preparados'!H437</f>
        <v/>
      </c>
      <c r="J444" s="7">
        <f>'1 datos preparados'!I437</f>
        <v/>
      </c>
      <c r="K444" s="7">
        <f>'1 datos preparados'!J437</f>
        <v/>
      </c>
      <c r="L444" s="7">
        <f>'1 datos preparados'!K437</f>
        <v/>
      </c>
      <c r="M444" s="7">
        <f>'1 datos preparados'!L437</f>
        <v/>
      </c>
      <c r="N444" s="7">
        <f>'1 datos preparados'!M437</f>
        <v/>
      </c>
      <c r="O444" s="7">
        <f>'1 datos preparados'!N437</f>
        <v/>
      </c>
      <c r="P444" s="7">
        <f>'1 datos preparados'!O437</f>
        <v/>
      </c>
      <c r="Q444" s="7">
        <f>'1 datos preparados'!P437</f>
        <v/>
      </c>
      <c r="R444" s="7">
        <f>'1 datos preparados'!Q437</f>
        <v/>
      </c>
      <c r="S444" s="7">
        <f>'1 datos preparados'!R437</f>
        <v/>
      </c>
      <c r="T444" s="7">
        <f>'1 datos preparados'!S437</f>
        <v/>
      </c>
      <c r="U444" s="7">
        <f>'1 datos preparados'!T437</f>
        <v/>
      </c>
      <c r="V444" s="8">
        <f>$AE$12+D444*$AE$13+E444*$AE$14+F444*$AE$15+G444*$AE$16+H444*$AE$17+I444*$AE$18+J444*$AE$19+K444*$AE$20+L444*$AE$21+M444*$AE$22+N444*$AE$23+O444*$AE$24+P444*$AE$25+Q444*$AE$26+R444*$AE$27+S444*$AE$28+T444*$AE$29+U444*$AE$30</f>
        <v/>
      </c>
      <c r="W444" s="8">
        <f>1/(1+EXP(-V444))</f>
        <v/>
      </c>
      <c r="X444" s="9">
        <f>-IF(C444=1,LN(W444),LN(1-W444))</f>
        <v/>
      </c>
      <c r="Y444" s="8">
        <f>IF(C444=1,$AE$32,$AE$33)</f>
        <v/>
      </c>
      <c r="Z444" s="9">
        <f>Y444*X444</f>
        <v/>
      </c>
      <c r="AA444" s="10">
        <f>IF(W444&gt;$AE$34,1,0)</f>
        <v/>
      </c>
      <c r="AB444">
        <f>IF(AA444=C444,1,0)</f>
        <v/>
      </c>
    </row>
    <row r="445">
      <c r="A445">
        <f>'1 datos preparados'!A438</f>
        <v/>
      </c>
      <c r="B445" s="5">
        <f>'1 datos preparados'!U438</f>
        <v/>
      </c>
      <c r="C445">
        <f>'1 datos preparados'!B438</f>
        <v/>
      </c>
      <c r="D445" s="7">
        <f>'1 datos preparados'!C438</f>
        <v/>
      </c>
      <c r="E445" s="7">
        <f>'1 datos preparados'!D438</f>
        <v/>
      </c>
      <c r="F445" s="7">
        <f>'1 datos preparados'!E438</f>
        <v/>
      </c>
      <c r="G445" s="7">
        <f>'1 datos preparados'!F438</f>
        <v/>
      </c>
      <c r="H445" s="7">
        <f>'1 datos preparados'!G438</f>
        <v/>
      </c>
      <c r="I445" s="7">
        <f>'1 datos preparados'!H438</f>
        <v/>
      </c>
      <c r="J445" s="7">
        <f>'1 datos preparados'!I438</f>
        <v/>
      </c>
      <c r="K445" s="7">
        <f>'1 datos preparados'!J438</f>
        <v/>
      </c>
      <c r="L445" s="7">
        <f>'1 datos preparados'!K438</f>
        <v/>
      </c>
      <c r="M445" s="7">
        <f>'1 datos preparados'!L438</f>
        <v/>
      </c>
      <c r="N445" s="7">
        <f>'1 datos preparados'!M438</f>
        <v/>
      </c>
      <c r="O445" s="7">
        <f>'1 datos preparados'!N438</f>
        <v/>
      </c>
      <c r="P445" s="7">
        <f>'1 datos preparados'!O438</f>
        <v/>
      </c>
      <c r="Q445" s="7">
        <f>'1 datos preparados'!P438</f>
        <v/>
      </c>
      <c r="R445" s="7">
        <f>'1 datos preparados'!Q438</f>
        <v/>
      </c>
      <c r="S445" s="7">
        <f>'1 datos preparados'!R438</f>
        <v/>
      </c>
      <c r="T445" s="7">
        <f>'1 datos preparados'!S438</f>
        <v/>
      </c>
      <c r="U445" s="7">
        <f>'1 datos preparados'!T438</f>
        <v/>
      </c>
      <c r="V445" s="8">
        <f>$AE$12+D445*$AE$13+E445*$AE$14+F445*$AE$15+G445*$AE$16+H445*$AE$17+I445*$AE$18+J445*$AE$19+K445*$AE$20+L445*$AE$21+M445*$AE$22+N445*$AE$23+O445*$AE$24+P445*$AE$25+Q445*$AE$26+R445*$AE$27+S445*$AE$28+T445*$AE$29+U445*$AE$30</f>
        <v/>
      </c>
      <c r="W445" s="8">
        <f>1/(1+EXP(-V445))</f>
        <v/>
      </c>
      <c r="X445" s="9">
        <f>-IF(C445=1,LN(W445),LN(1-W445))</f>
        <v/>
      </c>
      <c r="Y445" s="8">
        <f>IF(C445=1,$AE$32,$AE$33)</f>
        <v/>
      </c>
      <c r="Z445" s="9">
        <f>Y445*X445</f>
        <v/>
      </c>
      <c r="AA445" s="10">
        <f>IF(W445&gt;$AE$34,1,0)</f>
        <v/>
      </c>
      <c r="AB445">
        <f>IF(AA445=C445,1,0)</f>
        <v/>
      </c>
    </row>
    <row r="446">
      <c r="A446">
        <f>'1 datos preparados'!A439</f>
        <v/>
      </c>
      <c r="B446" s="5">
        <f>'1 datos preparados'!U439</f>
        <v/>
      </c>
      <c r="C446">
        <f>'1 datos preparados'!B439</f>
        <v/>
      </c>
      <c r="D446" s="7">
        <f>'1 datos preparados'!C439</f>
        <v/>
      </c>
      <c r="E446" s="7">
        <f>'1 datos preparados'!D439</f>
        <v/>
      </c>
      <c r="F446" s="7">
        <f>'1 datos preparados'!E439</f>
        <v/>
      </c>
      <c r="G446" s="7">
        <f>'1 datos preparados'!F439</f>
        <v/>
      </c>
      <c r="H446" s="7">
        <f>'1 datos preparados'!G439</f>
        <v/>
      </c>
      <c r="I446" s="7">
        <f>'1 datos preparados'!H439</f>
        <v/>
      </c>
      <c r="J446" s="7">
        <f>'1 datos preparados'!I439</f>
        <v/>
      </c>
      <c r="K446" s="7">
        <f>'1 datos preparados'!J439</f>
        <v/>
      </c>
      <c r="L446" s="7">
        <f>'1 datos preparados'!K439</f>
        <v/>
      </c>
      <c r="M446" s="7">
        <f>'1 datos preparados'!L439</f>
        <v/>
      </c>
      <c r="N446" s="7">
        <f>'1 datos preparados'!M439</f>
        <v/>
      </c>
      <c r="O446" s="7">
        <f>'1 datos preparados'!N439</f>
        <v/>
      </c>
      <c r="P446" s="7">
        <f>'1 datos preparados'!O439</f>
        <v/>
      </c>
      <c r="Q446" s="7">
        <f>'1 datos preparados'!P439</f>
        <v/>
      </c>
      <c r="R446" s="7">
        <f>'1 datos preparados'!Q439</f>
        <v/>
      </c>
      <c r="S446" s="7">
        <f>'1 datos preparados'!R439</f>
        <v/>
      </c>
      <c r="T446" s="7">
        <f>'1 datos preparados'!S439</f>
        <v/>
      </c>
      <c r="U446" s="7">
        <f>'1 datos preparados'!T439</f>
        <v/>
      </c>
      <c r="V446" s="8">
        <f>$AE$12+D446*$AE$13+E446*$AE$14+F446*$AE$15+G446*$AE$16+H446*$AE$17+I446*$AE$18+J446*$AE$19+K446*$AE$20+L446*$AE$21+M446*$AE$22+N446*$AE$23+O446*$AE$24+P446*$AE$25+Q446*$AE$26+R446*$AE$27+S446*$AE$28+T446*$AE$29+U446*$AE$30</f>
        <v/>
      </c>
      <c r="W446" s="8">
        <f>1/(1+EXP(-V446))</f>
        <v/>
      </c>
      <c r="X446" s="9">
        <f>-IF(C446=1,LN(W446),LN(1-W446))</f>
        <v/>
      </c>
      <c r="Y446" s="8">
        <f>IF(C446=1,$AE$32,$AE$33)</f>
        <v/>
      </c>
      <c r="Z446" s="9">
        <f>Y446*X446</f>
        <v/>
      </c>
      <c r="AA446" s="10">
        <f>IF(W446&gt;$AE$34,1,0)</f>
        <v/>
      </c>
      <c r="AB446">
        <f>IF(AA446=C446,1,0)</f>
        <v/>
      </c>
    </row>
    <row r="447">
      <c r="A447">
        <f>'1 datos preparados'!A440</f>
        <v/>
      </c>
      <c r="B447" s="5">
        <f>'1 datos preparados'!U440</f>
        <v/>
      </c>
      <c r="C447">
        <f>'1 datos preparados'!B440</f>
        <v/>
      </c>
      <c r="D447" s="7">
        <f>'1 datos preparados'!C440</f>
        <v/>
      </c>
      <c r="E447" s="7">
        <f>'1 datos preparados'!D440</f>
        <v/>
      </c>
      <c r="F447" s="7">
        <f>'1 datos preparados'!E440</f>
        <v/>
      </c>
      <c r="G447" s="7">
        <f>'1 datos preparados'!F440</f>
        <v/>
      </c>
      <c r="H447" s="7">
        <f>'1 datos preparados'!G440</f>
        <v/>
      </c>
      <c r="I447" s="7">
        <f>'1 datos preparados'!H440</f>
        <v/>
      </c>
      <c r="J447" s="7">
        <f>'1 datos preparados'!I440</f>
        <v/>
      </c>
      <c r="K447" s="7">
        <f>'1 datos preparados'!J440</f>
        <v/>
      </c>
      <c r="L447" s="7">
        <f>'1 datos preparados'!K440</f>
        <v/>
      </c>
      <c r="M447" s="7">
        <f>'1 datos preparados'!L440</f>
        <v/>
      </c>
      <c r="N447" s="7">
        <f>'1 datos preparados'!M440</f>
        <v/>
      </c>
      <c r="O447" s="7">
        <f>'1 datos preparados'!N440</f>
        <v/>
      </c>
      <c r="P447" s="7">
        <f>'1 datos preparados'!O440</f>
        <v/>
      </c>
      <c r="Q447" s="7">
        <f>'1 datos preparados'!P440</f>
        <v/>
      </c>
      <c r="R447" s="7">
        <f>'1 datos preparados'!Q440</f>
        <v/>
      </c>
      <c r="S447" s="7">
        <f>'1 datos preparados'!R440</f>
        <v/>
      </c>
      <c r="T447" s="7">
        <f>'1 datos preparados'!S440</f>
        <v/>
      </c>
      <c r="U447" s="7">
        <f>'1 datos preparados'!T440</f>
        <v/>
      </c>
      <c r="V447" s="8">
        <f>$AE$12+D447*$AE$13+E447*$AE$14+F447*$AE$15+G447*$AE$16+H447*$AE$17+I447*$AE$18+J447*$AE$19+K447*$AE$20+L447*$AE$21+M447*$AE$22+N447*$AE$23+O447*$AE$24+P447*$AE$25+Q447*$AE$26+R447*$AE$27+S447*$AE$28+T447*$AE$29+U447*$AE$30</f>
        <v/>
      </c>
      <c r="W447" s="8">
        <f>1/(1+EXP(-V447))</f>
        <v/>
      </c>
      <c r="X447" s="9">
        <f>-IF(C447=1,LN(W447),LN(1-W447))</f>
        <v/>
      </c>
      <c r="Y447" s="8">
        <f>IF(C447=1,$AE$32,$AE$33)</f>
        <v/>
      </c>
      <c r="Z447" s="9">
        <f>Y447*X447</f>
        <v/>
      </c>
      <c r="AA447" s="10">
        <f>IF(W447&gt;$AE$34,1,0)</f>
        <v/>
      </c>
      <c r="AB447">
        <f>IF(AA447=C447,1,0)</f>
        <v/>
      </c>
    </row>
    <row r="448">
      <c r="A448">
        <f>'1 datos preparados'!A441</f>
        <v/>
      </c>
      <c r="B448" s="5">
        <f>'1 datos preparados'!U441</f>
        <v/>
      </c>
      <c r="C448">
        <f>'1 datos preparados'!B441</f>
        <v/>
      </c>
      <c r="D448" s="7">
        <f>'1 datos preparados'!C441</f>
        <v/>
      </c>
      <c r="E448" s="7">
        <f>'1 datos preparados'!D441</f>
        <v/>
      </c>
      <c r="F448" s="7">
        <f>'1 datos preparados'!E441</f>
        <v/>
      </c>
      <c r="G448" s="7">
        <f>'1 datos preparados'!F441</f>
        <v/>
      </c>
      <c r="H448" s="7">
        <f>'1 datos preparados'!G441</f>
        <v/>
      </c>
      <c r="I448" s="7">
        <f>'1 datos preparados'!H441</f>
        <v/>
      </c>
      <c r="J448" s="7">
        <f>'1 datos preparados'!I441</f>
        <v/>
      </c>
      <c r="K448" s="7">
        <f>'1 datos preparados'!J441</f>
        <v/>
      </c>
      <c r="L448" s="7">
        <f>'1 datos preparados'!K441</f>
        <v/>
      </c>
      <c r="M448" s="7">
        <f>'1 datos preparados'!L441</f>
        <v/>
      </c>
      <c r="N448" s="7">
        <f>'1 datos preparados'!M441</f>
        <v/>
      </c>
      <c r="O448" s="7">
        <f>'1 datos preparados'!N441</f>
        <v/>
      </c>
      <c r="P448" s="7">
        <f>'1 datos preparados'!O441</f>
        <v/>
      </c>
      <c r="Q448" s="7">
        <f>'1 datos preparados'!P441</f>
        <v/>
      </c>
      <c r="R448" s="7">
        <f>'1 datos preparados'!Q441</f>
        <v/>
      </c>
      <c r="S448" s="7">
        <f>'1 datos preparados'!R441</f>
        <v/>
      </c>
      <c r="T448" s="7">
        <f>'1 datos preparados'!S441</f>
        <v/>
      </c>
      <c r="U448" s="7">
        <f>'1 datos preparados'!T441</f>
        <v/>
      </c>
      <c r="V448" s="8">
        <f>$AE$12+D448*$AE$13+E448*$AE$14+F448*$AE$15+G448*$AE$16+H448*$AE$17+I448*$AE$18+J448*$AE$19+K448*$AE$20+L448*$AE$21+M448*$AE$22+N448*$AE$23+O448*$AE$24+P448*$AE$25+Q448*$AE$26+R448*$AE$27+S448*$AE$28+T448*$AE$29+U448*$AE$30</f>
        <v/>
      </c>
      <c r="W448" s="8">
        <f>1/(1+EXP(-V448))</f>
        <v/>
      </c>
      <c r="X448" s="9">
        <f>-IF(C448=1,LN(W448),LN(1-W448))</f>
        <v/>
      </c>
      <c r="Y448" s="8">
        <f>IF(C448=1,$AE$32,$AE$33)</f>
        <v/>
      </c>
      <c r="Z448" s="9">
        <f>Y448*X448</f>
        <v/>
      </c>
      <c r="AA448" s="10">
        <f>IF(W448&gt;$AE$34,1,0)</f>
        <v/>
      </c>
      <c r="AB448">
        <f>IF(AA448=C448,1,0)</f>
        <v/>
      </c>
    </row>
    <row r="449">
      <c r="A449">
        <f>'1 datos preparados'!A442</f>
        <v/>
      </c>
      <c r="B449" s="5">
        <f>'1 datos preparados'!U442</f>
        <v/>
      </c>
      <c r="C449">
        <f>'1 datos preparados'!B442</f>
        <v/>
      </c>
      <c r="D449" s="7">
        <f>'1 datos preparados'!C442</f>
        <v/>
      </c>
      <c r="E449" s="7">
        <f>'1 datos preparados'!D442</f>
        <v/>
      </c>
      <c r="F449" s="7">
        <f>'1 datos preparados'!E442</f>
        <v/>
      </c>
      <c r="G449" s="7">
        <f>'1 datos preparados'!F442</f>
        <v/>
      </c>
      <c r="H449" s="7">
        <f>'1 datos preparados'!G442</f>
        <v/>
      </c>
      <c r="I449" s="7">
        <f>'1 datos preparados'!H442</f>
        <v/>
      </c>
      <c r="J449" s="7">
        <f>'1 datos preparados'!I442</f>
        <v/>
      </c>
      <c r="K449" s="7">
        <f>'1 datos preparados'!J442</f>
        <v/>
      </c>
      <c r="L449" s="7">
        <f>'1 datos preparados'!K442</f>
        <v/>
      </c>
      <c r="M449" s="7">
        <f>'1 datos preparados'!L442</f>
        <v/>
      </c>
      <c r="N449" s="7">
        <f>'1 datos preparados'!M442</f>
        <v/>
      </c>
      <c r="O449" s="7">
        <f>'1 datos preparados'!N442</f>
        <v/>
      </c>
      <c r="P449" s="7">
        <f>'1 datos preparados'!O442</f>
        <v/>
      </c>
      <c r="Q449" s="7">
        <f>'1 datos preparados'!P442</f>
        <v/>
      </c>
      <c r="R449" s="7">
        <f>'1 datos preparados'!Q442</f>
        <v/>
      </c>
      <c r="S449" s="7">
        <f>'1 datos preparados'!R442</f>
        <v/>
      </c>
      <c r="T449" s="7">
        <f>'1 datos preparados'!S442</f>
        <v/>
      </c>
      <c r="U449" s="7">
        <f>'1 datos preparados'!T442</f>
        <v/>
      </c>
      <c r="V449" s="8">
        <f>$AE$12+D449*$AE$13+E449*$AE$14+F449*$AE$15+G449*$AE$16+H449*$AE$17+I449*$AE$18+J449*$AE$19+K449*$AE$20+L449*$AE$21+M449*$AE$22+N449*$AE$23+O449*$AE$24+P449*$AE$25+Q449*$AE$26+R449*$AE$27+S449*$AE$28+T449*$AE$29+U449*$AE$30</f>
        <v/>
      </c>
      <c r="W449" s="8">
        <f>1/(1+EXP(-V449))</f>
        <v/>
      </c>
      <c r="X449" s="9">
        <f>-IF(C449=1,LN(W449),LN(1-W449))</f>
        <v/>
      </c>
      <c r="Y449" s="8">
        <f>IF(C449=1,$AE$32,$AE$33)</f>
        <v/>
      </c>
      <c r="Z449" s="9">
        <f>Y449*X449</f>
        <v/>
      </c>
      <c r="AA449" s="10">
        <f>IF(W449&gt;$AE$34,1,0)</f>
        <v/>
      </c>
      <c r="AB449">
        <f>IF(AA449=C449,1,0)</f>
        <v/>
      </c>
    </row>
    <row r="450">
      <c r="A450">
        <f>'1 datos preparados'!A443</f>
        <v/>
      </c>
      <c r="B450" s="5">
        <f>'1 datos preparados'!U443</f>
        <v/>
      </c>
      <c r="C450">
        <f>'1 datos preparados'!B443</f>
        <v/>
      </c>
      <c r="D450" s="7">
        <f>'1 datos preparados'!C443</f>
        <v/>
      </c>
      <c r="E450" s="7">
        <f>'1 datos preparados'!D443</f>
        <v/>
      </c>
      <c r="F450" s="7">
        <f>'1 datos preparados'!E443</f>
        <v/>
      </c>
      <c r="G450" s="7">
        <f>'1 datos preparados'!F443</f>
        <v/>
      </c>
      <c r="H450" s="7">
        <f>'1 datos preparados'!G443</f>
        <v/>
      </c>
      <c r="I450" s="7">
        <f>'1 datos preparados'!H443</f>
        <v/>
      </c>
      <c r="J450" s="7">
        <f>'1 datos preparados'!I443</f>
        <v/>
      </c>
      <c r="K450" s="7">
        <f>'1 datos preparados'!J443</f>
        <v/>
      </c>
      <c r="L450" s="7">
        <f>'1 datos preparados'!K443</f>
        <v/>
      </c>
      <c r="M450" s="7">
        <f>'1 datos preparados'!L443</f>
        <v/>
      </c>
      <c r="N450" s="7">
        <f>'1 datos preparados'!M443</f>
        <v/>
      </c>
      <c r="O450" s="7">
        <f>'1 datos preparados'!N443</f>
        <v/>
      </c>
      <c r="P450" s="7">
        <f>'1 datos preparados'!O443</f>
        <v/>
      </c>
      <c r="Q450" s="7">
        <f>'1 datos preparados'!P443</f>
        <v/>
      </c>
      <c r="R450" s="7">
        <f>'1 datos preparados'!Q443</f>
        <v/>
      </c>
      <c r="S450" s="7">
        <f>'1 datos preparados'!R443</f>
        <v/>
      </c>
      <c r="T450" s="7">
        <f>'1 datos preparados'!S443</f>
        <v/>
      </c>
      <c r="U450" s="7">
        <f>'1 datos preparados'!T443</f>
        <v/>
      </c>
      <c r="V450" s="8">
        <f>$AE$12+D450*$AE$13+E450*$AE$14+F450*$AE$15+G450*$AE$16+H450*$AE$17+I450*$AE$18+J450*$AE$19+K450*$AE$20+L450*$AE$21+M450*$AE$22+N450*$AE$23+O450*$AE$24+P450*$AE$25+Q450*$AE$26+R450*$AE$27+S450*$AE$28+T450*$AE$29+U450*$AE$30</f>
        <v/>
      </c>
      <c r="W450" s="8">
        <f>1/(1+EXP(-V450))</f>
        <v/>
      </c>
      <c r="X450" s="9">
        <f>-IF(C450=1,LN(W450),LN(1-W450))</f>
        <v/>
      </c>
      <c r="Y450" s="8">
        <f>IF(C450=1,$AE$32,$AE$33)</f>
        <v/>
      </c>
      <c r="Z450" s="9">
        <f>Y450*X450</f>
        <v/>
      </c>
      <c r="AA450" s="10">
        <f>IF(W450&gt;$AE$34,1,0)</f>
        <v/>
      </c>
      <c r="AB450">
        <f>IF(AA450=C450,1,0)</f>
        <v/>
      </c>
    </row>
    <row r="451">
      <c r="A451">
        <f>'1 datos preparados'!A444</f>
        <v/>
      </c>
      <c r="B451" s="5">
        <f>'1 datos preparados'!U444</f>
        <v/>
      </c>
      <c r="C451">
        <f>'1 datos preparados'!B444</f>
        <v/>
      </c>
      <c r="D451" s="7">
        <f>'1 datos preparados'!C444</f>
        <v/>
      </c>
      <c r="E451" s="7">
        <f>'1 datos preparados'!D444</f>
        <v/>
      </c>
      <c r="F451" s="7">
        <f>'1 datos preparados'!E444</f>
        <v/>
      </c>
      <c r="G451" s="7">
        <f>'1 datos preparados'!F444</f>
        <v/>
      </c>
      <c r="H451" s="7">
        <f>'1 datos preparados'!G444</f>
        <v/>
      </c>
      <c r="I451" s="7">
        <f>'1 datos preparados'!H444</f>
        <v/>
      </c>
      <c r="J451" s="7">
        <f>'1 datos preparados'!I444</f>
        <v/>
      </c>
      <c r="K451" s="7">
        <f>'1 datos preparados'!J444</f>
        <v/>
      </c>
      <c r="L451" s="7">
        <f>'1 datos preparados'!K444</f>
        <v/>
      </c>
      <c r="M451" s="7">
        <f>'1 datos preparados'!L444</f>
        <v/>
      </c>
      <c r="N451" s="7">
        <f>'1 datos preparados'!M444</f>
        <v/>
      </c>
      <c r="O451" s="7">
        <f>'1 datos preparados'!N444</f>
        <v/>
      </c>
      <c r="P451" s="7">
        <f>'1 datos preparados'!O444</f>
        <v/>
      </c>
      <c r="Q451" s="7">
        <f>'1 datos preparados'!P444</f>
        <v/>
      </c>
      <c r="R451" s="7">
        <f>'1 datos preparados'!Q444</f>
        <v/>
      </c>
      <c r="S451" s="7">
        <f>'1 datos preparados'!R444</f>
        <v/>
      </c>
      <c r="T451" s="7">
        <f>'1 datos preparados'!S444</f>
        <v/>
      </c>
      <c r="U451" s="7">
        <f>'1 datos preparados'!T444</f>
        <v/>
      </c>
      <c r="V451" s="8">
        <f>$AE$12+D451*$AE$13+E451*$AE$14+F451*$AE$15+G451*$AE$16+H451*$AE$17+I451*$AE$18+J451*$AE$19+K451*$AE$20+L451*$AE$21+M451*$AE$22+N451*$AE$23+O451*$AE$24+P451*$AE$25+Q451*$AE$26+R451*$AE$27+S451*$AE$28+T451*$AE$29+U451*$AE$30</f>
        <v/>
      </c>
      <c r="W451" s="8">
        <f>1/(1+EXP(-V451))</f>
        <v/>
      </c>
      <c r="X451" s="9">
        <f>-IF(C451=1,LN(W451),LN(1-W451))</f>
        <v/>
      </c>
      <c r="Y451" s="8">
        <f>IF(C451=1,$AE$32,$AE$33)</f>
        <v/>
      </c>
      <c r="Z451" s="9">
        <f>Y451*X451</f>
        <v/>
      </c>
      <c r="AA451" s="10">
        <f>IF(W451&gt;$AE$34,1,0)</f>
        <v/>
      </c>
      <c r="AB451">
        <f>IF(AA451=C451,1,0)</f>
        <v/>
      </c>
    </row>
    <row r="452">
      <c r="A452">
        <f>'1 datos preparados'!A445</f>
        <v/>
      </c>
      <c r="B452" s="5">
        <f>'1 datos preparados'!U445</f>
        <v/>
      </c>
      <c r="C452">
        <f>'1 datos preparados'!B445</f>
        <v/>
      </c>
      <c r="D452" s="7">
        <f>'1 datos preparados'!C445</f>
        <v/>
      </c>
      <c r="E452" s="7">
        <f>'1 datos preparados'!D445</f>
        <v/>
      </c>
      <c r="F452" s="7">
        <f>'1 datos preparados'!E445</f>
        <v/>
      </c>
      <c r="G452" s="7">
        <f>'1 datos preparados'!F445</f>
        <v/>
      </c>
      <c r="H452" s="7">
        <f>'1 datos preparados'!G445</f>
        <v/>
      </c>
      <c r="I452" s="7">
        <f>'1 datos preparados'!H445</f>
        <v/>
      </c>
      <c r="J452" s="7">
        <f>'1 datos preparados'!I445</f>
        <v/>
      </c>
      <c r="K452" s="7">
        <f>'1 datos preparados'!J445</f>
        <v/>
      </c>
      <c r="L452" s="7">
        <f>'1 datos preparados'!K445</f>
        <v/>
      </c>
      <c r="M452" s="7">
        <f>'1 datos preparados'!L445</f>
        <v/>
      </c>
      <c r="N452" s="7">
        <f>'1 datos preparados'!M445</f>
        <v/>
      </c>
      <c r="O452" s="7">
        <f>'1 datos preparados'!N445</f>
        <v/>
      </c>
      <c r="P452" s="7">
        <f>'1 datos preparados'!O445</f>
        <v/>
      </c>
      <c r="Q452" s="7">
        <f>'1 datos preparados'!P445</f>
        <v/>
      </c>
      <c r="R452" s="7">
        <f>'1 datos preparados'!Q445</f>
        <v/>
      </c>
      <c r="S452" s="7">
        <f>'1 datos preparados'!R445</f>
        <v/>
      </c>
      <c r="T452" s="7">
        <f>'1 datos preparados'!S445</f>
        <v/>
      </c>
      <c r="U452" s="7">
        <f>'1 datos preparados'!T445</f>
        <v/>
      </c>
      <c r="V452" s="8">
        <f>$AE$12+D452*$AE$13+E452*$AE$14+F452*$AE$15+G452*$AE$16+H452*$AE$17+I452*$AE$18+J452*$AE$19+K452*$AE$20+L452*$AE$21+M452*$AE$22+N452*$AE$23+O452*$AE$24+P452*$AE$25+Q452*$AE$26+R452*$AE$27+S452*$AE$28+T452*$AE$29+U452*$AE$30</f>
        <v/>
      </c>
      <c r="W452" s="8">
        <f>1/(1+EXP(-V452))</f>
        <v/>
      </c>
      <c r="X452" s="9">
        <f>-IF(C452=1,LN(W452),LN(1-W452))</f>
        <v/>
      </c>
      <c r="Y452" s="8">
        <f>IF(C452=1,$AE$32,$AE$33)</f>
        <v/>
      </c>
      <c r="Z452" s="9">
        <f>Y452*X452</f>
        <v/>
      </c>
      <c r="AA452" s="10">
        <f>IF(W452&gt;$AE$34,1,0)</f>
        <v/>
      </c>
      <c r="AB452">
        <f>IF(AA452=C452,1,0)</f>
        <v/>
      </c>
    </row>
    <row r="453">
      <c r="A453">
        <f>'1 datos preparados'!A446</f>
        <v/>
      </c>
      <c r="B453" s="5">
        <f>'1 datos preparados'!U446</f>
        <v/>
      </c>
      <c r="C453">
        <f>'1 datos preparados'!B446</f>
        <v/>
      </c>
      <c r="D453" s="7">
        <f>'1 datos preparados'!C446</f>
        <v/>
      </c>
      <c r="E453" s="7">
        <f>'1 datos preparados'!D446</f>
        <v/>
      </c>
      <c r="F453" s="7">
        <f>'1 datos preparados'!E446</f>
        <v/>
      </c>
      <c r="G453" s="7">
        <f>'1 datos preparados'!F446</f>
        <v/>
      </c>
      <c r="H453" s="7">
        <f>'1 datos preparados'!G446</f>
        <v/>
      </c>
      <c r="I453" s="7">
        <f>'1 datos preparados'!H446</f>
        <v/>
      </c>
      <c r="J453" s="7">
        <f>'1 datos preparados'!I446</f>
        <v/>
      </c>
      <c r="K453" s="7">
        <f>'1 datos preparados'!J446</f>
        <v/>
      </c>
      <c r="L453" s="7">
        <f>'1 datos preparados'!K446</f>
        <v/>
      </c>
      <c r="M453" s="7">
        <f>'1 datos preparados'!L446</f>
        <v/>
      </c>
      <c r="N453" s="7">
        <f>'1 datos preparados'!M446</f>
        <v/>
      </c>
      <c r="O453" s="7">
        <f>'1 datos preparados'!N446</f>
        <v/>
      </c>
      <c r="P453" s="7">
        <f>'1 datos preparados'!O446</f>
        <v/>
      </c>
      <c r="Q453" s="7">
        <f>'1 datos preparados'!P446</f>
        <v/>
      </c>
      <c r="R453" s="7">
        <f>'1 datos preparados'!Q446</f>
        <v/>
      </c>
      <c r="S453" s="7">
        <f>'1 datos preparados'!R446</f>
        <v/>
      </c>
      <c r="T453" s="7">
        <f>'1 datos preparados'!S446</f>
        <v/>
      </c>
      <c r="U453" s="7">
        <f>'1 datos preparados'!T446</f>
        <v/>
      </c>
      <c r="V453" s="8">
        <f>$AE$12+D453*$AE$13+E453*$AE$14+F453*$AE$15+G453*$AE$16+H453*$AE$17+I453*$AE$18+J453*$AE$19+K453*$AE$20+L453*$AE$21+M453*$AE$22+N453*$AE$23+O453*$AE$24+P453*$AE$25+Q453*$AE$26+R453*$AE$27+S453*$AE$28+T453*$AE$29+U453*$AE$30</f>
        <v/>
      </c>
      <c r="W453" s="8">
        <f>1/(1+EXP(-V453))</f>
        <v/>
      </c>
      <c r="X453" s="9">
        <f>-IF(C453=1,LN(W453),LN(1-W453))</f>
        <v/>
      </c>
      <c r="Y453" s="8">
        <f>IF(C453=1,$AE$32,$AE$33)</f>
        <v/>
      </c>
      <c r="Z453" s="9">
        <f>Y453*X453</f>
        <v/>
      </c>
      <c r="AA453" s="10">
        <f>IF(W453&gt;$AE$34,1,0)</f>
        <v/>
      </c>
      <c r="AB453">
        <f>IF(AA453=C453,1,0)</f>
        <v/>
      </c>
    </row>
    <row r="454">
      <c r="A454">
        <f>'1 datos preparados'!A447</f>
        <v/>
      </c>
      <c r="B454" s="5">
        <f>'1 datos preparados'!U447</f>
        <v/>
      </c>
      <c r="C454">
        <f>'1 datos preparados'!B447</f>
        <v/>
      </c>
      <c r="D454" s="7">
        <f>'1 datos preparados'!C447</f>
        <v/>
      </c>
      <c r="E454" s="7">
        <f>'1 datos preparados'!D447</f>
        <v/>
      </c>
      <c r="F454" s="7">
        <f>'1 datos preparados'!E447</f>
        <v/>
      </c>
      <c r="G454" s="7">
        <f>'1 datos preparados'!F447</f>
        <v/>
      </c>
      <c r="H454" s="7">
        <f>'1 datos preparados'!G447</f>
        <v/>
      </c>
      <c r="I454" s="7">
        <f>'1 datos preparados'!H447</f>
        <v/>
      </c>
      <c r="J454" s="7">
        <f>'1 datos preparados'!I447</f>
        <v/>
      </c>
      <c r="K454" s="7">
        <f>'1 datos preparados'!J447</f>
        <v/>
      </c>
      <c r="L454" s="7">
        <f>'1 datos preparados'!K447</f>
        <v/>
      </c>
      <c r="M454" s="7">
        <f>'1 datos preparados'!L447</f>
        <v/>
      </c>
      <c r="N454" s="7">
        <f>'1 datos preparados'!M447</f>
        <v/>
      </c>
      <c r="O454" s="7">
        <f>'1 datos preparados'!N447</f>
        <v/>
      </c>
      <c r="P454" s="7">
        <f>'1 datos preparados'!O447</f>
        <v/>
      </c>
      <c r="Q454" s="7">
        <f>'1 datos preparados'!P447</f>
        <v/>
      </c>
      <c r="R454" s="7">
        <f>'1 datos preparados'!Q447</f>
        <v/>
      </c>
      <c r="S454" s="7">
        <f>'1 datos preparados'!R447</f>
        <v/>
      </c>
      <c r="T454" s="7">
        <f>'1 datos preparados'!S447</f>
        <v/>
      </c>
      <c r="U454" s="7">
        <f>'1 datos preparados'!T447</f>
        <v/>
      </c>
      <c r="V454" s="8">
        <f>$AE$12+D454*$AE$13+E454*$AE$14+F454*$AE$15+G454*$AE$16+H454*$AE$17+I454*$AE$18+J454*$AE$19+K454*$AE$20+L454*$AE$21+M454*$AE$22+N454*$AE$23+O454*$AE$24+P454*$AE$25+Q454*$AE$26+R454*$AE$27+S454*$AE$28+T454*$AE$29+U454*$AE$30</f>
        <v/>
      </c>
      <c r="W454" s="8">
        <f>1/(1+EXP(-V454))</f>
        <v/>
      </c>
      <c r="X454" s="9">
        <f>-IF(C454=1,LN(W454),LN(1-W454))</f>
        <v/>
      </c>
      <c r="Y454" s="8">
        <f>IF(C454=1,$AE$32,$AE$33)</f>
        <v/>
      </c>
      <c r="Z454" s="9">
        <f>Y454*X454</f>
        <v/>
      </c>
      <c r="AA454" s="10">
        <f>IF(W454&gt;$AE$34,1,0)</f>
        <v/>
      </c>
      <c r="AB454">
        <f>IF(AA454=C454,1,0)</f>
        <v/>
      </c>
    </row>
    <row r="455">
      <c r="A455">
        <f>'1 datos preparados'!A448</f>
        <v/>
      </c>
      <c r="B455" s="5">
        <f>'1 datos preparados'!U448</f>
        <v/>
      </c>
      <c r="C455">
        <f>'1 datos preparados'!B448</f>
        <v/>
      </c>
      <c r="D455" s="7">
        <f>'1 datos preparados'!C448</f>
        <v/>
      </c>
      <c r="E455" s="7">
        <f>'1 datos preparados'!D448</f>
        <v/>
      </c>
      <c r="F455" s="7">
        <f>'1 datos preparados'!E448</f>
        <v/>
      </c>
      <c r="G455" s="7">
        <f>'1 datos preparados'!F448</f>
        <v/>
      </c>
      <c r="H455" s="7">
        <f>'1 datos preparados'!G448</f>
        <v/>
      </c>
      <c r="I455" s="7">
        <f>'1 datos preparados'!H448</f>
        <v/>
      </c>
      <c r="J455" s="7">
        <f>'1 datos preparados'!I448</f>
        <v/>
      </c>
      <c r="K455" s="7">
        <f>'1 datos preparados'!J448</f>
        <v/>
      </c>
      <c r="L455" s="7">
        <f>'1 datos preparados'!K448</f>
        <v/>
      </c>
      <c r="M455" s="7">
        <f>'1 datos preparados'!L448</f>
        <v/>
      </c>
      <c r="N455" s="7">
        <f>'1 datos preparados'!M448</f>
        <v/>
      </c>
      <c r="O455" s="7">
        <f>'1 datos preparados'!N448</f>
        <v/>
      </c>
      <c r="P455" s="7">
        <f>'1 datos preparados'!O448</f>
        <v/>
      </c>
      <c r="Q455" s="7">
        <f>'1 datos preparados'!P448</f>
        <v/>
      </c>
      <c r="R455" s="7">
        <f>'1 datos preparados'!Q448</f>
        <v/>
      </c>
      <c r="S455" s="7">
        <f>'1 datos preparados'!R448</f>
        <v/>
      </c>
      <c r="T455" s="7">
        <f>'1 datos preparados'!S448</f>
        <v/>
      </c>
      <c r="U455" s="7">
        <f>'1 datos preparados'!T448</f>
        <v/>
      </c>
      <c r="V455" s="8">
        <f>$AE$12+D455*$AE$13+E455*$AE$14+F455*$AE$15+G455*$AE$16+H455*$AE$17+I455*$AE$18+J455*$AE$19+K455*$AE$20+L455*$AE$21+M455*$AE$22+N455*$AE$23+O455*$AE$24+P455*$AE$25+Q455*$AE$26+R455*$AE$27+S455*$AE$28+T455*$AE$29+U455*$AE$30</f>
        <v/>
      </c>
      <c r="W455" s="8">
        <f>1/(1+EXP(-V455))</f>
        <v/>
      </c>
      <c r="X455" s="9">
        <f>-IF(C455=1,LN(W455),LN(1-W455))</f>
        <v/>
      </c>
      <c r="Y455" s="8">
        <f>IF(C455=1,$AE$32,$AE$33)</f>
        <v/>
      </c>
      <c r="Z455" s="9">
        <f>Y455*X455</f>
        <v/>
      </c>
      <c r="AA455" s="10">
        <f>IF(W455&gt;$AE$34,1,0)</f>
        <v/>
      </c>
      <c r="AB455">
        <f>IF(AA455=C455,1,0)</f>
        <v/>
      </c>
    </row>
    <row r="456">
      <c r="A456">
        <f>'1 datos preparados'!A449</f>
        <v/>
      </c>
      <c r="B456" s="5">
        <f>'1 datos preparados'!U449</f>
        <v/>
      </c>
      <c r="C456">
        <f>'1 datos preparados'!B449</f>
        <v/>
      </c>
      <c r="D456" s="7">
        <f>'1 datos preparados'!C449</f>
        <v/>
      </c>
      <c r="E456" s="7">
        <f>'1 datos preparados'!D449</f>
        <v/>
      </c>
      <c r="F456" s="7">
        <f>'1 datos preparados'!E449</f>
        <v/>
      </c>
      <c r="G456" s="7">
        <f>'1 datos preparados'!F449</f>
        <v/>
      </c>
      <c r="H456" s="7">
        <f>'1 datos preparados'!G449</f>
        <v/>
      </c>
      <c r="I456" s="7">
        <f>'1 datos preparados'!H449</f>
        <v/>
      </c>
      <c r="J456" s="7">
        <f>'1 datos preparados'!I449</f>
        <v/>
      </c>
      <c r="K456" s="7">
        <f>'1 datos preparados'!J449</f>
        <v/>
      </c>
      <c r="L456" s="7">
        <f>'1 datos preparados'!K449</f>
        <v/>
      </c>
      <c r="M456" s="7">
        <f>'1 datos preparados'!L449</f>
        <v/>
      </c>
      <c r="N456" s="7">
        <f>'1 datos preparados'!M449</f>
        <v/>
      </c>
      <c r="O456" s="7">
        <f>'1 datos preparados'!N449</f>
        <v/>
      </c>
      <c r="P456" s="7">
        <f>'1 datos preparados'!O449</f>
        <v/>
      </c>
      <c r="Q456" s="7">
        <f>'1 datos preparados'!P449</f>
        <v/>
      </c>
      <c r="R456" s="7">
        <f>'1 datos preparados'!Q449</f>
        <v/>
      </c>
      <c r="S456" s="7">
        <f>'1 datos preparados'!R449</f>
        <v/>
      </c>
      <c r="T456" s="7">
        <f>'1 datos preparados'!S449</f>
        <v/>
      </c>
      <c r="U456" s="7">
        <f>'1 datos preparados'!T449</f>
        <v/>
      </c>
      <c r="V456" s="8">
        <f>$AE$12+D456*$AE$13+E456*$AE$14+F456*$AE$15+G456*$AE$16+H456*$AE$17+I456*$AE$18+J456*$AE$19+K456*$AE$20+L456*$AE$21+M456*$AE$22+N456*$AE$23+O456*$AE$24+P456*$AE$25+Q456*$AE$26+R456*$AE$27+S456*$AE$28+T456*$AE$29+U456*$AE$30</f>
        <v/>
      </c>
      <c r="W456" s="8">
        <f>1/(1+EXP(-V456))</f>
        <v/>
      </c>
      <c r="X456" s="9">
        <f>-IF(C456=1,LN(W456),LN(1-W456))</f>
        <v/>
      </c>
      <c r="Y456" s="8">
        <f>IF(C456=1,$AE$32,$AE$33)</f>
        <v/>
      </c>
      <c r="Z456" s="9">
        <f>Y456*X456</f>
        <v/>
      </c>
      <c r="AA456" s="10">
        <f>IF(W456&gt;$AE$34,1,0)</f>
        <v/>
      </c>
      <c r="AB456">
        <f>IF(AA456=C456,1,0)</f>
        <v/>
      </c>
    </row>
    <row r="457">
      <c r="A457">
        <f>'1 datos preparados'!A450</f>
        <v/>
      </c>
      <c r="B457" s="5">
        <f>'1 datos preparados'!U450</f>
        <v/>
      </c>
      <c r="C457">
        <f>'1 datos preparados'!B450</f>
        <v/>
      </c>
      <c r="D457" s="7">
        <f>'1 datos preparados'!C450</f>
        <v/>
      </c>
      <c r="E457" s="7">
        <f>'1 datos preparados'!D450</f>
        <v/>
      </c>
      <c r="F457" s="7">
        <f>'1 datos preparados'!E450</f>
        <v/>
      </c>
      <c r="G457" s="7">
        <f>'1 datos preparados'!F450</f>
        <v/>
      </c>
      <c r="H457" s="7">
        <f>'1 datos preparados'!G450</f>
        <v/>
      </c>
      <c r="I457" s="7">
        <f>'1 datos preparados'!H450</f>
        <v/>
      </c>
      <c r="J457" s="7">
        <f>'1 datos preparados'!I450</f>
        <v/>
      </c>
      <c r="K457" s="7">
        <f>'1 datos preparados'!J450</f>
        <v/>
      </c>
      <c r="L457" s="7">
        <f>'1 datos preparados'!K450</f>
        <v/>
      </c>
      <c r="M457" s="7">
        <f>'1 datos preparados'!L450</f>
        <v/>
      </c>
      <c r="N457" s="7">
        <f>'1 datos preparados'!M450</f>
        <v/>
      </c>
      <c r="O457" s="7">
        <f>'1 datos preparados'!N450</f>
        <v/>
      </c>
      <c r="P457" s="7">
        <f>'1 datos preparados'!O450</f>
        <v/>
      </c>
      <c r="Q457" s="7">
        <f>'1 datos preparados'!P450</f>
        <v/>
      </c>
      <c r="R457" s="7">
        <f>'1 datos preparados'!Q450</f>
        <v/>
      </c>
      <c r="S457" s="7">
        <f>'1 datos preparados'!R450</f>
        <v/>
      </c>
      <c r="T457" s="7">
        <f>'1 datos preparados'!S450</f>
        <v/>
      </c>
      <c r="U457" s="7">
        <f>'1 datos preparados'!T450</f>
        <v/>
      </c>
      <c r="V457" s="8">
        <f>$AE$12+D457*$AE$13+E457*$AE$14+F457*$AE$15+G457*$AE$16+H457*$AE$17+I457*$AE$18+J457*$AE$19+K457*$AE$20+L457*$AE$21+M457*$AE$22+N457*$AE$23+O457*$AE$24+P457*$AE$25+Q457*$AE$26+R457*$AE$27+S457*$AE$28+T457*$AE$29+U457*$AE$30</f>
        <v/>
      </c>
      <c r="W457" s="8">
        <f>1/(1+EXP(-V457))</f>
        <v/>
      </c>
      <c r="X457" s="9">
        <f>-IF(C457=1,LN(W457),LN(1-W457))</f>
        <v/>
      </c>
      <c r="Y457" s="8">
        <f>IF(C457=1,$AE$32,$AE$33)</f>
        <v/>
      </c>
      <c r="Z457" s="9">
        <f>Y457*X457</f>
        <v/>
      </c>
      <c r="AA457" s="10">
        <f>IF(W457&gt;$AE$34,1,0)</f>
        <v/>
      </c>
      <c r="AB457">
        <f>IF(AA457=C457,1,0)</f>
        <v/>
      </c>
    </row>
    <row r="458">
      <c r="A458">
        <f>'1 datos preparados'!A451</f>
        <v/>
      </c>
      <c r="B458" s="5">
        <f>'1 datos preparados'!U451</f>
        <v/>
      </c>
      <c r="C458">
        <f>'1 datos preparados'!B451</f>
        <v/>
      </c>
      <c r="D458" s="7">
        <f>'1 datos preparados'!C451</f>
        <v/>
      </c>
      <c r="E458" s="7">
        <f>'1 datos preparados'!D451</f>
        <v/>
      </c>
      <c r="F458" s="7">
        <f>'1 datos preparados'!E451</f>
        <v/>
      </c>
      <c r="G458" s="7">
        <f>'1 datos preparados'!F451</f>
        <v/>
      </c>
      <c r="H458" s="7">
        <f>'1 datos preparados'!G451</f>
        <v/>
      </c>
      <c r="I458" s="7">
        <f>'1 datos preparados'!H451</f>
        <v/>
      </c>
      <c r="J458" s="7">
        <f>'1 datos preparados'!I451</f>
        <v/>
      </c>
      <c r="K458" s="7">
        <f>'1 datos preparados'!J451</f>
        <v/>
      </c>
      <c r="L458" s="7">
        <f>'1 datos preparados'!K451</f>
        <v/>
      </c>
      <c r="M458" s="7">
        <f>'1 datos preparados'!L451</f>
        <v/>
      </c>
      <c r="N458" s="7">
        <f>'1 datos preparados'!M451</f>
        <v/>
      </c>
      <c r="O458" s="7">
        <f>'1 datos preparados'!N451</f>
        <v/>
      </c>
      <c r="P458" s="7">
        <f>'1 datos preparados'!O451</f>
        <v/>
      </c>
      <c r="Q458" s="7">
        <f>'1 datos preparados'!P451</f>
        <v/>
      </c>
      <c r="R458" s="7">
        <f>'1 datos preparados'!Q451</f>
        <v/>
      </c>
      <c r="S458" s="7">
        <f>'1 datos preparados'!R451</f>
        <v/>
      </c>
      <c r="T458" s="7">
        <f>'1 datos preparados'!S451</f>
        <v/>
      </c>
      <c r="U458" s="7">
        <f>'1 datos preparados'!T451</f>
        <v/>
      </c>
      <c r="V458" s="8">
        <f>$AE$12+D458*$AE$13+E458*$AE$14+F458*$AE$15+G458*$AE$16+H458*$AE$17+I458*$AE$18+J458*$AE$19+K458*$AE$20+L458*$AE$21+M458*$AE$22+N458*$AE$23+O458*$AE$24+P458*$AE$25+Q458*$AE$26+R458*$AE$27+S458*$AE$28+T458*$AE$29+U458*$AE$30</f>
        <v/>
      </c>
      <c r="W458" s="8">
        <f>1/(1+EXP(-V458))</f>
        <v/>
      </c>
      <c r="X458" s="9">
        <f>-IF(C458=1,LN(W458),LN(1-W458))</f>
        <v/>
      </c>
      <c r="Y458" s="8">
        <f>IF(C458=1,$AE$32,$AE$33)</f>
        <v/>
      </c>
      <c r="Z458" s="9">
        <f>Y458*X458</f>
        <v/>
      </c>
      <c r="AA458" s="10">
        <f>IF(W458&gt;$AE$34,1,0)</f>
        <v/>
      </c>
      <c r="AB458">
        <f>IF(AA458=C458,1,0)</f>
        <v/>
      </c>
    </row>
    <row r="459">
      <c r="A459">
        <f>'1 datos preparados'!A452</f>
        <v/>
      </c>
      <c r="B459" s="5">
        <f>'1 datos preparados'!U452</f>
        <v/>
      </c>
      <c r="C459">
        <f>'1 datos preparados'!B452</f>
        <v/>
      </c>
      <c r="D459" s="7">
        <f>'1 datos preparados'!C452</f>
        <v/>
      </c>
      <c r="E459" s="7">
        <f>'1 datos preparados'!D452</f>
        <v/>
      </c>
      <c r="F459" s="7">
        <f>'1 datos preparados'!E452</f>
        <v/>
      </c>
      <c r="G459" s="7">
        <f>'1 datos preparados'!F452</f>
        <v/>
      </c>
      <c r="H459" s="7">
        <f>'1 datos preparados'!G452</f>
        <v/>
      </c>
      <c r="I459" s="7">
        <f>'1 datos preparados'!H452</f>
        <v/>
      </c>
      <c r="J459" s="7">
        <f>'1 datos preparados'!I452</f>
        <v/>
      </c>
      <c r="K459" s="7">
        <f>'1 datos preparados'!J452</f>
        <v/>
      </c>
      <c r="L459" s="7">
        <f>'1 datos preparados'!K452</f>
        <v/>
      </c>
      <c r="M459" s="7">
        <f>'1 datos preparados'!L452</f>
        <v/>
      </c>
      <c r="N459" s="7">
        <f>'1 datos preparados'!M452</f>
        <v/>
      </c>
      <c r="O459" s="7">
        <f>'1 datos preparados'!N452</f>
        <v/>
      </c>
      <c r="P459" s="7">
        <f>'1 datos preparados'!O452</f>
        <v/>
      </c>
      <c r="Q459" s="7">
        <f>'1 datos preparados'!P452</f>
        <v/>
      </c>
      <c r="R459" s="7">
        <f>'1 datos preparados'!Q452</f>
        <v/>
      </c>
      <c r="S459" s="7">
        <f>'1 datos preparados'!R452</f>
        <v/>
      </c>
      <c r="T459" s="7">
        <f>'1 datos preparados'!S452</f>
        <v/>
      </c>
      <c r="U459" s="7">
        <f>'1 datos preparados'!T452</f>
        <v/>
      </c>
      <c r="V459" s="8">
        <f>$AE$12+D459*$AE$13+E459*$AE$14+F459*$AE$15+G459*$AE$16+H459*$AE$17+I459*$AE$18+J459*$AE$19+K459*$AE$20+L459*$AE$21+M459*$AE$22+N459*$AE$23+O459*$AE$24+P459*$AE$25+Q459*$AE$26+R459*$AE$27+S459*$AE$28+T459*$AE$29+U459*$AE$30</f>
        <v/>
      </c>
      <c r="W459" s="8">
        <f>1/(1+EXP(-V459))</f>
        <v/>
      </c>
      <c r="X459" s="9">
        <f>-IF(C459=1,LN(W459),LN(1-W459))</f>
        <v/>
      </c>
      <c r="Y459" s="8">
        <f>IF(C459=1,$AE$32,$AE$33)</f>
        <v/>
      </c>
      <c r="Z459" s="9">
        <f>Y459*X459</f>
        <v/>
      </c>
      <c r="AA459" s="10">
        <f>IF(W459&gt;$AE$34,1,0)</f>
        <v/>
      </c>
      <c r="AB459">
        <f>IF(AA459=C459,1,0)</f>
        <v/>
      </c>
    </row>
    <row r="460">
      <c r="A460">
        <f>'1 datos preparados'!A453</f>
        <v/>
      </c>
      <c r="B460" s="5">
        <f>'1 datos preparados'!U453</f>
        <v/>
      </c>
      <c r="C460">
        <f>'1 datos preparados'!B453</f>
        <v/>
      </c>
      <c r="D460" s="7">
        <f>'1 datos preparados'!C453</f>
        <v/>
      </c>
      <c r="E460" s="7">
        <f>'1 datos preparados'!D453</f>
        <v/>
      </c>
      <c r="F460" s="7">
        <f>'1 datos preparados'!E453</f>
        <v/>
      </c>
      <c r="G460" s="7">
        <f>'1 datos preparados'!F453</f>
        <v/>
      </c>
      <c r="H460" s="7">
        <f>'1 datos preparados'!G453</f>
        <v/>
      </c>
      <c r="I460" s="7">
        <f>'1 datos preparados'!H453</f>
        <v/>
      </c>
      <c r="J460" s="7">
        <f>'1 datos preparados'!I453</f>
        <v/>
      </c>
      <c r="K460" s="7">
        <f>'1 datos preparados'!J453</f>
        <v/>
      </c>
      <c r="L460" s="7">
        <f>'1 datos preparados'!K453</f>
        <v/>
      </c>
      <c r="M460" s="7">
        <f>'1 datos preparados'!L453</f>
        <v/>
      </c>
      <c r="N460" s="7">
        <f>'1 datos preparados'!M453</f>
        <v/>
      </c>
      <c r="O460" s="7">
        <f>'1 datos preparados'!N453</f>
        <v/>
      </c>
      <c r="P460" s="7">
        <f>'1 datos preparados'!O453</f>
        <v/>
      </c>
      <c r="Q460" s="7">
        <f>'1 datos preparados'!P453</f>
        <v/>
      </c>
      <c r="R460" s="7">
        <f>'1 datos preparados'!Q453</f>
        <v/>
      </c>
      <c r="S460" s="7">
        <f>'1 datos preparados'!R453</f>
        <v/>
      </c>
      <c r="T460" s="7">
        <f>'1 datos preparados'!S453</f>
        <v/>
      </c>
      <c r="U460" s="7">
        <f>'1 datos preparados'!T453</f>
        <v/>
      </c>
      <c r="V460" s="8">
        <f>$AE$12+D460*$AE$13+E460*$AE$14+F460*$AE$15+G460*$AE$16+H460*$AE$17+I460*$AE$18+J460*$AE$19+K460*$AE$20+L460*$AE$21+M460*$AE$22+N460*$AE$23+O460*$AE$24+P460*$AE$25+Q460*$AE$26+R460*$AE$27+S460*$AE$28+T460*$AE$29+U460*$AE$30</f>
        <v/>
      </c>
      <c r="W460" s="8">
        <f>1/(1+EXP(-V460))</f>
        <v/>
      </c>
      <c r="X460" s="9">
        <f>-IF(C460=1,LN(W460),LN(1-W460))</f>
        <v/>
      </c>
      <c r="Y460" s="8">
        <f>IF(C460=1,$AE$32,$AE$33)</f>
        <v/>
      </c>
      <c r="Z460" s="9">
        <f>Y460*X460</f>
        <v/>
      </c>
      <c r="AA460" s="10">
        <f>IF(W460&gt;$AE$34,1,0)</f>
        <v/>
      </c>
      <c r="AB460">
        <f>IF(AA460=C460,1,0)</f>
        <v/>
      </c>
    </row>
    <row r="461">
      <c r="A461">
        <f>'1 datos preparados'!A454</f>
        <v/>
      </c>
      <c r="B461" s="5">
        <f>'1 datos preparados'!U454</f>
        <v/>
      </c>
      <c r="C461">
        <f>'1 datos preparados'!B454</f>
        <v/>
      </c>
      <c r="D461" s="7">
        <f>'1 datos preparados'!C454</f>
        <v/>
      </c>
      <c r="E461" s="7">
        <f>'1 datos preparados'!D454</f>
        <v/>
      </c>
      <c r="F461" s="7">
        <f>'1 datos preparados'!E454</f>
        <v/>
      </c>
      <c r="G461" s="7">
        <f>'1 datos preparados'!F454</f>
        <v/>
      </c>
      <c r="H461" s="7">
        <f>'1 datos preparados'!G454</f>
        <v/>
      </c>
      <c r="I461" s="7">
        <f>'1 datos preparados'!H454</f>
        <v/>
      </c>
      <c r="J461" s="7">
        <f>'1 datos preparados'!I454</f>
        <v/>
      </c>
      <c r="K461" s="7">
        <f>'1 datos preparados'!J454</f>
        <v/>
      </c>
      <c r="L461" s="7">
        <f>'1 datos preparados'!K454</f>
        <v/>
      </c>
      <c r="M461" s="7">
        <f>'1 datos preparados'!L454</f>
        <v/>
      </c>
      <c r="N461" s="7">
        <f>'1 datos preparados'!M454</f>
        <v/>
      </c>
      <c r="O461" s="7">
        <f>'1 datos preparados'!N454</f>
        <v/>
      </c>
      <c r="P461" s="7">
        <f>'1 datos preparados'!O454</f>
        <v/>
      </c>
      <c r="Q461" s="7">
        <f>'1 datos preparados'!P454</f>
        <v/>
      </c>
      <c r="R461" s="7">
        <f>'1 datos preparados'!Q454</f>
        <v/>
      </c>
      <c r="S461" s="7">
        <f>'1 datos preparados'!R454</f>
        <v/>
      </c>
      <c r="T461" s="7">
        <f>'1 datos preparados'!S454</f>
        <v/>
      </c>
      <c r="U461" s="7">
        <f>'1 datos preparados'!T454</f>
        <v/>
      </c>
      <c r="V461" s="8">
        <f>$AE$12+D461*$AE$13+E461*$AE$14+F461*$AE$15+G461*$AE$16+H461*$AE$17+I461*$AE$18+J461*$AE$19+K461*$AE$20+L461*$AE$21+M461*$AE$22+N461*$AE$23+O461*$AE$24+P461*$AE$25+Q461*$AE$26+R461*$AE$27+S461*$AE$28+T461*$AE$29+U461*$AE$30</f>
        <v/>
      </c>
      <c r="W461" s="8">
        <f>1/(1+EXP(-V461))</f>
        <v/>
      </c>
      <c r="X461" s="9">
        <f>-IF(C461=1,LN(W461),LN(1-W461))</f>
        <v/>
      </c>
      <c r="Y461" s="8">
        <f>IF(C461=1,$AE$32,$AE$33)</f>
        <v/>
      </c>
      <c r="Z461" s="9">
        <f>Y461*X461</f>
        <v/>
      </c>
      <c r="AA461" s="10">
        <f>IF(W461&gt;$AE$34,1,0)</f>
        <v/>
      </c>
      <c r="AB461">
        <f>IF(AA461=C461,1,0)</f>
        <v/>
      </c>
    </row>
    <row r="462">
      <c r="A462">
        <f>'1 datos preparados'!A455</f>
        <v/>
      </c>
      <c r="B462" s="5">
        <f>'1 datos preparados'!U455</f>
        <v/>
      </c>
      <c r="C462">
        <f>'1 datos preparados'!B455</f>
        <v/>
      </c>
      <c r="D462" s="7">
        <f>'1 datos preparados'!C455</f>
        <v/>
      </c>
      <c r="E462" s="7">
        <f>'1 datos preparados'!D455</f>
        <v/>
      </c>
      <c r="F462" s="7">
        <f>'1 datos preparados'!E455</f>
        <v/>
      </c>
      <c r="G462" s="7">
        <f>'1 datos preparados'!F455</f>
        <v/>
      </c>
      <c r="H462" s="7">
        <f>'1 datos preparados'!G455</f>
        <v/>
      </c>
      <c r="I462" s="7">
        <f>'1 datos preparados'!H455</f>
        <v/>
      </c>
      <c r="J462" s="7">
        <f>'1 datos preparados'!I455</f>
        <v/>
      </c>
      <c r="K462" s="7">
        <f>'1 datos preparados'!J455</f>
        <v/>
      </c>
      <c r="L462" s="7">
        <f>'1 datos preparados'!K455</f>
        <v/>
      </c>
      <c r="M462" s="7">
        <f>'1 datos preparados'!L455</f>
        <v/>
      </c>
      <c r="N462" s="7">
        <f>'1 datos preparados'!M455</f>
        <v/>
      </c>
      <c r="O462" s="7">
        <f>'1 datos preparados'!N455</f>
        <v/>
      </c>
      <c r="P462" s="7">
        <f>'1 datos preparados'!O455</f>
        <v/>
      </c>
      <c r="Q462" s="7">
        <f>'1 datos preparados'!P455</f>
        <v/>
      </c>
      <c r="R462" s="7">
        <f>'1 datos preparados'!Q455</f>
        <v/>
      </c>
      <c r="S462" s="7">
        <f>'1 datos preparados'!R455</f>
        <v/>
      </c>
      <c r="T462" s="7">
        <f>'1 datos preparados'!S455</f>
        <v/>
      </c>
      <c r="U462" s="7">
        <f>'1 datos preparados'!T455</f>
        <v/>
      </c>
      <c r="V462" s="8">
        <f>$AE$12+D462*$AE$13+E462*$AE$14+F462*$AE$15+G462*$AE$16+H462*$AE$17+I462*$AE$18+J462*$AE$19+K462*$AE$20+L462*$AE$21+M462*$AE$22+N462*$AE$23+O462*$AE$24+P462*$AE$25+Q462*$AE$26+R462*$AE$27+S462*$AE$28+T462*$AE$29+U462*$AE$30</f>
        <v/>
      </c>
      <c r="W462" s="8">
        <f>1/(1+EXP(-V462))</f>
        <v/>
      </c>
      <c r="X462" s="9">
        <f>-IF(C462=1,LN(W462),LN(1-W462))</f>
        <v/>
      </c>
      <c r="Y462" s="8">
        <f>IF(C462=1,$AE$32,$AE$33)</f>
        <v/>
      </c>
      <c r="Z462" s="9">
        <f>Y462*X462</f>
        <v/>
      </c>
      <c r="AA462" s="10">
        <f>IF(W462&gt;$AE$34,1,0)</f>
        <v/>
      </c>
      <c r="AB462">
        <f>IF(AA462=C462,1,0)</f>
        <v/>
      </c>
    </row>
    <row r="463">
      <c r="A463">
        <f>'1 datos preparados'!A456</f>
        <v/>
      </c>
      <c r="B463" s="5">
        <f>'1 datos preparados'!U456</f>
        <v/>
      </c>
      <c r="C463">
        <f>'1 datos preparados'!B456</f>
        <v/>
      </c>
      <c r="D463" s="7">
        <f>'1 datos preparados'!C456</f>
        <v/>
      </c>
      <c r="E463" s="7">
        <f>'1 datos preparados'!D456</f>
        <v/>
      </c>
      <c r="F463" s="7">
        <f>'1 datos preparados'!E456</f>
        <v/>
      </c>
      <c r="G463" s="7">
        <f>'1 datos preparados'!F456</f>
        <v/>
      </c>
      <c r="H463" s="7">
        <f>'1 datos preparados'!G456</f>
        <v/>
      </c>
      <c r="I463" s="7">
        <f>'1 datos preparados'!H456</f>
        <v/>
      </c>
      <c r="J463" s="7">
        <f>'1 datos preparados'!I456</f>
        <v/>
      </c>
      <c r="K463" s="7">
        <f>'1 datos preparados'!J456</f>
        <v/>
      </c>
      <c r="L463" s="7">
        <f>'1 datos preparados'!K456</f>
        <v/>
      </c>
      <c r="M463" s="7">
        <f>'1 datos preparados'!L456</f>
        <v/>
      </c>
      <c r="N463" s="7">
        <f>'1 datos preparados'!M456</f>
        <v/>
      </c>
      <c r="O463" s="7">
        <f>'1 datos preparados'!N456</f>
        <v/>
      </c>
      <c r="P463" s="7">
        <f>'1 datos preparados'!O456</f>
        <v/>
      </c>
      <c r="Q463" s="7">
        <f>'1 datos preparados'!P456</f>
        <v/>
      </c>
      <c r="R463" s="7">
        <f>'1 datos preparados'!Q456</f>
        <v/>
      </c>
      <c r="S463" s="7">
        <f>'1 datos preparados'!R456</f>
        <v/>
      </c>
      <c r="T463" s="7">
        <f>'1 datos preparados'!S456</f>
        <v/>
      </c>
      <c r="U463" s="7">
        <f>'1 datos preparados'!T456</f>
        <v/>
      </c>
      <c r="V463" s="8">
        <f>$AE$12+D463*$AE$13+E463*$AE$14+F463*$AE$15+G463*$AE$16+H463*$AE$17+I463*$AE$18+J463*$AE$19+K463*$AE$20+L463*$AE$21+M463*$AE$22+N463*$AE$23+O463*$AE$24+P463*$AE$25+Q463*$AE$26+R463*$AE$27+S463*$AE$28+T463*$AE$29+U463*$AE$30</f>
        <v/>
      </c>
      <c r="W463" s="8">
        <f>1/(1+EXP(-V463))</f>
        <v/>
      </c>
      <c r="X463" s="9">
        <f>-IF(C463=1,LN(W463),LN(1-W463))</f>
        <v/>
      </c>
      <c r="Y463" s="8">
        <f>IF(C463=1,$AE$32,$AE$33)</f>
        <v/>
      </c>
      <c r="Z463" s="9">
        <f>Y463*X463</f>
        <v/>
      </c>
      <c r="AA463" s="10">
        <f>IF(W463&gt;$AE$34,1,0)</f>
        <v/>
      </c>
      <c r="AB463">
        <f>IF(AA463=C463,1,0)</f>
        <v/>
      </c>
    </row>
    <row r="464">
      <c r="A464">
        <f>'1 datos preparados'!A457</f>
        <v/>
      </c>
      <c r="B464" s="5">
        <f>'1 datos preparados'!U457</f>
        <v/>
      </c>
      <c r="C464">
        <f>'1 datos preparados'!B457</f>
        <v/>
      </c>
      <c r="D464" s="7">
        <f>'1 datos preparados'!C457</f>
        <v/>
      </c>
      <c r="E464" s="7">
        <f>'1 datos preparados'!D457</f>
        <v/>
      </c>
      <c r="F464" s="7">
        <f>'1 datos preparados'!E457</f>
        <v/>
      </c>
      <c r="G464" s="7">
        <f>'1 datos preparados'!F457</f>
        <v/>
      </c>
      <c r="H464" s="7">
        <f>'1 datos preparados'!G457</f>
        <v/>
      </c>
      <c r="I464" s="7">
        <f>'1 datos preparados'!H457</f>
        <v/>
      </c>
      <c r="J464" s="7">
        <f>'1 datos preparados'!I457</f>
        <v/>
      </c>
      <c r="K464" s="7">
        <f>'1 datos preparados'!J457</f>
        <v/>
      </c>
      <c r="L464" s="7">
        <f>'1 datos preparados'!K457</f>
        <v/>
      </c>
      <c r="M464" s="7">
        <f>'1 datos preparados'!L457</f>
        <v/>
      </c>
      <c r="N464" s="7">
        <f>'1 datos preparados'!M457</f>
        <v/>
      </c>
      <c r="O464" s="7">
        <f>'1 datos preparados'!N457</f>
        <v/>
      </c>
      <c r="P464" s="7">
        <f>'1 datos preparados'!O457</f>
        <v/>
      </c>
      <c r="Q464" s="7">
        <f>'1 datos preparados'!P457</f>
        <v/>
      </c>
      <c r="R464" s="7">
        <f>'1 datos preparados'!Q457</f>
        <v/>
      </c>
      <c r="S464" s="7">
        <f>'1 datos preparados'!R457</f>
        <v/>
      </c>
      <c r="T464" s="7">
        <f>'1 datos preparados'!S457</f>
        <v/>
      </c>
      <c r="U464" s="7">
        <f>'1 datos preparados'!T457</f>
        <v/>
      </c>
      <c r="V464" s="8">
        <f>$AE$12+D464*$AE$13+E464*$AE$14+F464*$AE$15+G464*$AE$16+H464*$AE$17+I464*$AE$18+J464*$AE$19+K464*$AE$20+L464*$AE$21+M464*$AE$22+N464*$AE$23+O464*$AE$24+P464*$AE$25+Q464*$AE$26+R464*$AE$27+S464*$AE$28+T464*$AE$29+U464*$AE$30</f>
        <v/>
      </c>
      <c r="W464" s="8">
        <f>1/(1+EXP(-V464))</f>
        <v/>
      </c>
      <c r="X464" s="9">
        <f>-IF(C464=1,LN(W464),LN(1-W464))</f>
        <v/>
      </c>
      <c r="Y464" s="8">
        <f>IF(C464=1,$AE$32,$AE$33)</f>
        <v/>
      </c>
      <c r="Z464" s="9">
        <f>Y464*X464</f>
        <v/>
      </c>
      <c r="AA464" s="10">
        <f>IF(W464&gt;$AE$34,1,0)</f>
        <v/>
      </c>
      <c r="AB464">
        <f>IF(AA464=C464,1,0)</f>
        <v/>
      </c>
    </row>
    <row r="465">
      <c r="A465">
        <f>'1 datos preparados'!A458</f>
        <v/>
      </c>
      <c r="B465" s="5">
        <f>'1 datos preparados'!U458</f>
        <v/>
      </c>
      <c r="C465">
        <f>'1 datos preparados'!B458</f>
        <v/>
      </c>
      <c r="D465" s="7">
        <f>'1 datos preparados'!C458</f>
        <v/>
      </c>
      <c r="E465" s="7">
        <f>'1 datos preparados'!D458</f>
        <v/>
      </c>
      <c r="F465" s="7">
        <f>'1 datos preparados'!E458</f>
        <v/>
      </c>
      <c r="G465" s="7">
        <f>'1 datos preparados'!F458</f>
        <v/>
      </c>
      <c r="H465" s="7">
        <f>'1 datos preparados'!G458</f>
        <v/>
      </c>
      <c r="I465" s="7">
        <f>'1 datos preparados'!H458</f>
        <v/>
      </c>
      <c r="J465" s="7">
        <f>'1 datos preparados'!I458</f>
        <v/>
      </c>
      <c r="K465" s="7">
        <f>'1 datos preparados'!J458</f>
        <v/>
      </c>
      <c r="L465" s="7">
        <f>'1 datos preparados'!K458</f>
        <v/>
      </c>
      <c r="M465" s="7">
        <f>'1 datos preparados'!L458</f>
        <v/>
      </c>
      <c r="N465" s="7">
        <f>'1 datos preparados'!M458</f>
        <v/>
      </c>
      <c r="O465" s="7">
        <f>'1 datos preparados'!N458</f>
        <v/>
      </c>
      <c r="P465" s="7">
        <f>'1 datos preparados'!O458</f>
        <v/>
      </c>
      <c r="Q465" s="7">
        <f>'1 datos preparados'!P458</f>
        <v/>
      </c>
      <c r="R465" s="7">
        <f>'1 datos preparados'!Q458</f>
        <v/>
      </c>
      <c r="S465" s="7">
        <f>'1 datos preparados'!R458</f>
        <v/>
      </c>
      <c r="T465" s="7">
        <f>'1 datos preparados'!S458</f>
        <v/>
      </c>
      <c r="U465" s="7">
        <f>'1 datos preparados'!T458</f>
        <v/>
      </c>
      <c r="V465" s="8">
        <f>$AE$12+D465*$AE$13+E465*$AE$14+F465*$AE$15+G465*$AE$16+H465*$AE$17+I465*$AE$18+J465*$AE$19+K465*$AE$20+L465*$AE$21+M465*$AE$22+N465*$AE$23+O465*$AE$24+P465*$AE$25+Q465*$AE$26+R465*$AE$27+S465*$AE$28+T465*$AE$29+U465*$AE$30</f>
        <v/>
      </c>
      <c r="W465" s="8">
        <f>1/(1+EXP(-V465))</f>
        <v/>
      </c>
      <c r="X465" s="9">
        <f>-IF(C465=1,LN(W465),LN(1-W465))</f>
        <v/>
      </c>
      <c r="Y465" s="8">
        <f>IF(C465=1,$AE$32,$AE$33)</f>
        <v/>
      </c>
      <c r="Z465" s="9">
        <f>Y465*X465</f>
        <v/>
      </c>
      <c r="AA465" s="10">
        <f>IF(W465&gt;$AE$34,1,0)</f>
        <v/>
      </c>
      <c r="AB465">
        <f>IF(AA465=C465,1,0)</f>
        <v/>
      </c>
    </row>
    <row r="466">
      <c r="A466">
        <f>'1 datos preparados'!A459</f>
        <v/>
      </c>
      <c r="B466" s="5">
        <f>'1 datos preparados'!U459</f>
        <v/>
      </c>
      <c r="C466">
        <f>'1 datos preparados'!B459</f>
        <v/>
      </c>
      <c r="D466" s="7">
        <f>'1 datos preparados'!C459</f>
        <v/>
      </c>
      <c r="E466" s="7">
        <f>'1 datos preparados'!D459</f>
        <v/>
      </c>
      <c r="F466" s="7">
        <f>'1 datos preparados'!E459</f>
        <v/>
      </c>
      <c r="G466" s="7">
        <f>'1 datos preparados'!F459</f>
        <v/>
      </c>
      <c r="H466" s="7">
        <f>'1 datos preparados'!G459</f>
        <v/>
      </c>
      <c r="I466" s="7">
        <f>'1 datos preparados'!H459</f>
        <v/>
      </c>
      <c r="J466" s="7">
        <f>'1 datos preparados'!I459</f>
        <v/>
      </c>
      <c r="K466" s="7">
        <f>'1 datos preparados'!J459</f>
        <v/>
      </c>
      <c r="L466" s="7">
        <f>'1 datos preparados'!K459</f>
        <v/>
      </c>
      <c r="M466" s="7">
        <f>'1 datos preparados'!L459</f>
        <v/>
      </c>
      <c r="N466" s="7">
        <f>'1 datos preparados'!M459</f>
        <v/>
      </c>
      <c r="O466" s="7">
        <f>'1 datos preparados'!N459</f>
        <v/>
      </c>
      <c r="P466" s="7">
        <f>'1 datos preparados'!O459</f>
        <v/>
      </c>
      <c r="Q466" s="7">
        <f>'1 datos preparados'!P459</f>
        <v/>
      </c>
      <c r="R466" s="7">
        <f>'1 datos preparados'!Q459</f>
        <v/>
      </c>
      <c r="S466" s="7">
        <f>'1 datos preparados'!R459</f>
        <v/>
      </c>
      <c r="T466" s="7">
        <f>'1 datos preparados'!S459</f>
        <v/>
      </c>
      <c r="U466" s="7">
        <f>'1 datos preparados'!T459</f>
        <v/>
      </c>
      <c r="V466" s="8">
        <f>$AE$12+D466*$AE$13+E466*$AE$14+F466*$AE$15+G466*$AE$16+H466*$AE$17+I466*$AE$18+J466*$AE$19+K466*$AE$20+L466*$AE$21+M466*$AE$22+N466*$AE$23+O466*$AE$24+P466*$AE$25+Q466*$AE$26+R466*$AE$27+S466*$AE$28+T466*$AE$29+U466*$AE$30</f>
        <v/>
      </c>
      <c r="W466" s="8">
        <f>1/(1+EXP(-V466))</f>
        <v/>
      </c>
      <c r="X466" s="9">
        <f>-IF(C466=1,LN(W466),LN(1-W466))</f>
        <v/>
      </c>
      <c r="Y466" s="8">
        <f>IF(C466=1,$AE$32,$AE$33)</f>
        <v/>
      </c>
      <c r="Z466" s="9">
        <f>Y466*X466</f>
        <v/>
      </c>
      <c r="AA466" s="10">
        <f>IF(W466&gt;$AE$34,1,0)</f>
        <v/>
      </c>
      <c r="AB466">
        <f>IF(AA466=C466,1,0)</f>
        <v/>
      </c>
    </row>
    <row r="467">
      <c r="A467">
        <f>'1 datos preparados'!A460</f>
        <v/>
      </c>
      <c r="B467" s="5">
        <f>'1 datos preparados'!U460</f>
        <v/>
      </c>
      <c r="C467">
        <f>'1 datos preparados'!B460</f>
        <v/>
      </c>
      <c r="D467" s="7">
        <f>'1 datos preparados'!C460</f>
        <v/>
      </c>
      <c r="E467" s="7">
        <f>'1 datos preparados'!D460</f>
        <v/>
      </c>
      <c r="F467" s="7">
        <f>'1 datos preparados'!E460</f>
        <v/>
      </c>
      <c r="G467" s="7">
        <f>'1 datos preparados'!F460</f>
        <v/>
      </c>
      <c r="H467" s="7">
        <f>'1 datos preparados'!G460</f>
        <v/>
      </c>
      <c r="I467" s="7">
        <f>'1 datos preparados'!H460</f>
        <v/>
      </c>
      <c r="J467" s="7">
        <f>'1 datos preparados'!I460</f>
        <v/>
      </c>
      <c r="K467" s="7">
        <f>'1 datos preparados'!J460</f>
        <v/>
      </c>
      <c r="L467" s="7">
        <f>'1 datos preparados'!K460</f>
        <v/>
      </c>
      <c r="M467" s="7">
        <f>'1 datos preparados'!L460</f>
        <v/>
      </c>
      <c r="N467" s="7">
        <f>'1 datos preparados'!M460</f>
        <v/>
      </c>
      <c r="O467" s="7">
        <f>'1 datos preparados'!N460</f>
        <v/>
      </c>
      <c r="P467" s="7">
        <f>'1 datos preparados'!O460</f>
        <v/>
      </c>
      <c r="Q467" s="7">
        <f>'1 datos preparados'!P460</f>
        <v/>
      </c>
      <c r="R467" s="7">
        <f>'1 datos preparados'!Q460</f>
        <v/>
      </c>
      <c r="S467" s="7">
        <f>'1 datos preparados'!R460</f>
        <v/>
      </c>
      <c r="T467" s="7">
        <f>'1 datos preparados'!S460</f>
        <v/>
      </c>
      <c r="U467" s="7">
        <f>'1 datos preparados'!T460</f>
        <v/>
      </c>
      <c r="V467" s="8">
        <f>$AE$12+D467*$AE$13+E467*$AE$14+F467*$AE$15+G467*$AE$16+H467*$AE$17+I467*$AE$18+J467*$AE$19+K467*$AE$20+L467*$AE$21+M467*$AE$22+N467*$AE$23+O467*$AE$24+P467*$AE$25+Q467*$AE$26+R467*$AE$27+S467*$AE$28+T467*$AE$29+U467*$AE$30</f>
        <v/>
      </c>
      <c r="W467" s="8">
        <f>1/(1+EXP(-V467))</f>
        <v/>
      </c>
      <c r="X467" s="9">
        <f>-IF(C467=1,LN(W467),LN(1-W467))</f>
        <v/>
      </c>
      <c r="Y467" s="8">
        <f>IF(C467=1,$AE$32,$AE$33)</f>
        <v/>
      </c>
      <c r="Z467" s="9">
        <f>Y467*X467</f>
        <v/>
      </c>
      <c r="AA467" s="10">
        <f>IF(W467&gt;$AE$34,1,0)</f>
        <v/>
      </c>
      <c r="AB467">
        <f>IF(AA467=C467,1,0)</f>
        <v/>
      </c>
    </row>
    <row r="468">
      <c r="A468">
        <f>'1 datos preparados'!A461</f>
        <v/>
      </c>
      <c r="B468" s="5">
        <f>'1 datos preparados'!U461</f>
        <v/>
      </c>
      <c r="C468">
        <f>'1 datos preparados'!B461</f>
        <v/>
      </c>
      <c r="D468" s="7">
        <f>'1 datos preparados'!C461</f>
        <v/>
      </c>
      <c r="E468" s="7">
        <f>'1 datos preparados'!D461</f>
        <v/>
      </c>
      <c r="F468" s="7">
        <f>'1 datos preparados'!E461</f>
        <v/>
      </c>
      <c r="G468" s="7">
        <f>'1 datos preparados'!F461</f>
        <v/>
      </c>
      <c r="H468" s="7">
        <f>'1 datos preparados'!G461</f>
        <v/>
      </c>
      <c r="I468" s="7">
        <f>'1 datos preparados'!H461</f>
        <v/>
      </c>
      <c r="J468" s="7">
        <f>'1 datos preparados'!I461</f>
        <v/>
      </c>
      <c r="K468" s="7">
        <f>'1 datos preparados'!J461</f>
        <v/>
      </c>
      <c r="L468" s="7">
        <f>'1 datos preparados'!K461</f>
        <v/>
      </c>
      <c r="M468" s="7">
        <f>'1 datos preparados'!L461</f>
        <v/>
      </c>
      <c r="N468" s="7">
        <f>'1 datos preparados'!M461</f>
        <v/>
      </c>
      <c r="O468" s="7">
        <f>'1 datos preparados'!N461</f>
        <v/>
      </c>
      <c r="P468" s="7">
        <f>'1 datos preparados'!O461</f>
        <v/>
      </c>
      <c r="Q468" s="7">
        <f>'1 datos preparados'!P461</f>
        <v/>
      </c>
      <c r="R468" s="7">
        <f>'1 datos preparados'!Q461</f>
        <v/>
      </c>
      <c r="S468" s="7">
        <f>'1 datos preparados'!R461</f>
        <v/>
      </c>
      <c r="T468" s="7">
        <f>'1 datos preparados'!S461</f>
        <v/>
      </c>
      <c r="U468" s="7">
        <f>'1 datos preparados'!T461</f>
        <v/>
      </c>
      <c r="V468" s="8">
        <f>$AE$12+D468*$AE$13+E468*$AE$14+F468*$AE$15+G468*$AE$16+H468*$AE$17+I468*$AE$18+J468*$AE$19+K468*$AE$20+L468*$AE$21+M468*$AE$22+N468*$AE$23+O468*$AE$24+P468*$AE$25+Q468*$AE$26+R468*$AE$27+S468*$AE$28+T468*$AE$29+U468*$AE$30</f>
        <v/>
      </c>
      <c r="W468" s="8">
        <f>1/(1+EXP(-V468))</f>
        <v/>
      </c>
      <c r="X468" s="9">
        <f>-IF(C468=1,LN(W468),LN(1-W468))</f>
        <v/>
      </c>
      <c r="Y468" s="8">
        <f>IF(C468=1,$AE$32,$AE$33)</f>
        <v/>
      </c>
      <c r="Z468" s="9">
        <f>Y468*X468</f>
        <v/>
      </c>
      <c r="AA468" s="10">
        <f>IF(W468&gt;$AE$34,1,0)</f>
        <v/>
      </c>
      <c r="AB468">
        <f>IF(AA468=C468,1,0)</f>
        <v/>
      </c>
    </row>
    <row r="469">
      <c r="A469">
        <f>'1 datos preparados'!A462</f>
        <v/>
      </c>
      <c r="B469" s="5">
        <f>'1 datos preparados'!U462</f>
        <v/>
      </c>
      <c r="C469">
        <f>'1 datos preparados'!B462</f>
        <v/>
      </c>
      <c r="D469" s="7">
        <f>'1 datos preparados'!C462</f>
        <v/>
      </c>
      <c r="E469" s="7">
        <f>'1 datos preparados'!D462</f>
        <v/>
      </c>
      <c r="F469" s="7">
        <f>'1 datos preparados'!E462</f>
        <v/>
      </c>
      <c r="G469" s="7">
        <f>'1 datos preparados'!F462</f>
        <v/>
      </c>
      <c r="H469" s="7">
        <f>'1 datos preparados'!G462</f>
        <v/>
      </c>
      <c r="I469" s="7">
        <f>'1 datos preparados'!H462</f>
        <v/>
      </c>
      <c r="J469" s="7">
        <f>'1 datos preparados'!I462</f>
        <v/>
      </c>
      <c r="K469" s="7">
        <f>'1 datos preparados'!J462</f>
        <v/>
      </c>
      <c r="L469" s="7">
        <f>'1 datos preparados'!K462</f>
        <v/>
      </c>
      <c r="M469" s="7">
        <f>'1 datos preparados'!L462</f>
        <v/>
      </c>
      <c r="N469" s="7">
        <f>'1 datos preparados'!M462</f>
        <v/>
      </c>
      <c r="O469" s="7">
        <f>'1 datos preparados'!N462</f>
        <v/>
      </c>
      <c r="P469" s="7">
        <f>'1 datos preparados'!O462</f>
        <v/>
      </c>
      <c r="Q469" s="7">
        <f>'1 datos preparados'!P462</f>
        <v/>
      </c>
      <c r="R469" s="7">
        <f>'1 datos preparados'!Q462</f>
        <v/>
      </c>
      <c r="S469" s="7">
        <f>'1 datos preparados'!R462</f>
        <v/>
      </c>
      <c r="T469" s="7">
        <f>'1 datos preparados'!S462</f>
        <v/>
      </c>
      <c r="U469" s="7">
        <f>'1 datos preparados'!T462</f>
        <v/>
      </c>
      <c r="V469" s="8">
        <f>$AE$12+D469*$AE$13+E469*$AE$14+F469*$AE$15+G469*$AE$16+H469*$AE$17+I469*$AE$18+J469*$AE$19+K469*$AE$20+L469*$AE$21+M469*$AE$22+N469*$AE$23+O469*$AE$24+P469*$AE$25+Q469*$AE$26+R469*$AE$27+S469*$AE$28+T469*$AE$29+U469*$AE$30</f>
        <v/>
      </c>
      <c r="W469" s="8">
        <f>1/(1+EXP(-V469))</f>
        <v/>
      </c>
      <c r="X469" s="9">
        <f>-IF(C469=1,LN(W469),LN(1-W469))</f>
        <v/>
      </c>
      <c r="Y469" s="8">
        <f>IF(C469=1,$AE$32,$AE$33)</f>
        <v/>
      </c>
      <c r="Z469" s="9">
        <f>Y469*X469</f>
        <v/>
      </c>
      <c r="AA469" s="10">
        <f>IF(W469&gt;$AE$34,1,0)</f>
        <v/>
      </c>
      <c r="AB469">
        <f>IF(AA469=C469,1,0)</f>
        <v/>
      </c>
    </row>
    <row r="470">
      <c r="A470">
        <f>'1 datos preparados'!A463</f>
        <v/>
      </c>
      <c r="B470" s="5">
        <f>'1 datos preparados'!U463</f>
        <v/>
      </c>
      <c r="C470">
        <f>'1 datos preparados'!B463</f>
        <v/>
      </c>
      <c r="D470" s="7">
        <f>'1 datos preparados'!C463</f>
        <v/>
      </c>
      <c r="E470" s="7">
        <f>'1 datos preparados'!D463</f>
        <v/>
      </c>
      <c r="F470" s="7">
        <f>'1 datos preparados'!E463</f>
        <v/>
      </c>
      <c r="G470" s="7">
        <f>'1 datos preparados'!F463</f>
        <v/>
      </c>
      <c r="H470" s="7">
        <f>'1 datos preparados'!G463</f>
        <v/>
      </c>
      <c r="I470" s="7">
        <f>'1 datos preparados'!H463</f>
        <v/>
      </c>
      <c r="J470" s="7">
        <f>'1 datos preparados'!I463</f>
        <v/>
      </c>
      <c r="K470" s="7">
        <f>'1 datos preparados'!J463</f>
        <v/>
      </c>
      <c r="L470" s="7">
        <f>'1 datos preparados'!K463</f>
        <v/>
      </c>
      <c r="M470" s="7">
        <f>'1 datos preparados'!L463</f>
        <v/>
      </c>
      <c r="N470" s="7">
        <f>'1 datos preparados'!M463</f>
        <v/>
      </c>
      <c r="O470" s="7">
        <f>'1 datos preparados'!N463</f>
        <v/>
      </c>
      <c r="P470" s="7">
        <f>'1 datos preparados'!O463</f>
        <v/>
      </c>
      <c r="Q470" s="7">
        <f>'1 datos preparados'!P463</f>
        <v/>
      </c>
      <c r="R470" s="7">
        <f>'1 datos preparados'!Q463</f>
        <v/>
      </c>
      <c r="S470" s="7">
        <f>'1 datos preparados'!R463</f>
        <v/>
      </c>
      <c r="T470" s="7">
        <f>'1 datos preparados'!S463</f>
        <v/>
      </c>
      <c r="U470" s="7">
        <f>'1 datos preparados'!T463</f>
        <v/>
      </c>
      <c r="V470" s="8">
        <f>$AE$12+D470*$AE$13+E470*$AE$14+F470*$AE$15+G470*$AE$16+H470*$AE$17+I470*$AE$18+J470*$AE$19+K470*$AE$20+L470*$AE$21+M470*$AE$22+N470*$AE$23+O470*$AE$24+P470*$AE$25+Q470*$AE$26+R470*$AE$27+S470*$AE$28+T470*$AE$29+U470*$AE$30</f>
        <v/>
      </c>
      <c r="W470" s="8">
        <f>1/(1+EXP(-V470))</f>
        <v/>
      </c>
      <c r="X470" s="9">
        <f>-IF(C470=1,LN(W470),LN(1-W470))</f>
        <v/>
      </c>
      <c r="Y470" s="8">
        <f>IF(C470=1,$AE$32,$AE$33)</f>
        <v/>
      </c>
      <c r="Z470" s="9">
        <f>Y470*X470</f>
        <v/>
      </c>
      <c r="AA470" s="10">
        <f>IF(W470&gt;$AE$34,1,0)</f>
        <v/>
      </c>
      <c r="AB470">
        <f>IF(AA470=C470,1,0)</f>
        <v/>
      </c>
    </row>
    <row r="471">
      <c r="A471">
        <f>'1 datos preparados'!A464</f>
        <v/>
      </c>
      <c r="B471" s="5">
        <f>'1 datos preparados'!U464</f>
        <v/>
      </c>
      <c r="C471">
        <f>'1 datos preparados'!B464</f>
        <v/>
      </c>
      <c r="D471" s="7">
        <f>'1 datos preparados'!C464</f>
        <v/>
      </c>
      <c r="E471" s="7">
        <f>'1 datos preparados'!D464</f>
        <v/>
      </c>
      <c r="F471" s="7">
        <f>'1 datos preparados'!E464</f>
        <v/>
      </c>
      <c r="G471" s="7">
        <f>'1 datos preparados'!F464</f>
        <v/>
      </c>
      <c r="H471" s="7">
        <f>'1 datos preparados'!G464</f>
        <v/>
      </c>
      <c r="I471" s="7">
        <f>'1 datos preparados'!H464</f>
        <v/>
      </c>
      <c r="J471" s="7">
        <f>'1 datos preparados'!I464</f>
        <v/>
      </c>
      <c r="K471" s="7">
        <f>'1 datos preparados'!J464</f>
        <v/>
      </c>
      <c r="L471" s="7">
        <f>'1 datos preparados'!K464</f>
        <v/>
      </c>
      <c r="M471" s="7">
        <f>'1 datos preparados'!L464</f>
        <v/>
      </c>
      <c r="N471" s="7">
        <f>'1 datos preparados'!M464</f>
        <v/>
      </c>
      <c r="O471" s="7">
        <f>'1 datos preparados'!N464</f>
        <v/>
      </c>
      <c r="P471" s="7">
        <f>'1 datos preparados'!O464</f>
        <v/>
      </c>
      <c r="Q471" s="7">
        <f>'1 datos preparados'!P464</f>
        <v/>
      </c>
      <c r="R471" s="7">
        <f>'1 datos preparados'!Q464</f>
        <v/>
      </c>
      <c r="S471" s="7">
        <f>'1 datos preparados'!R464</f>
        <v/>
      </c>
      <c r="T471" s="7">
        <f>'1 datos preparados'!S464</f>
        <v/>
      </c>
      <c r="U471" s="7">
        <f>'1 datos preparados'!T464</f>
        <v/>
      </c>
      <c r="V471" s="8">
        <f>$AE$12+D471*$AE$13+E471*$AE$14+F471*$AE$15+G471*$AE$16+H471*$AE$17+I471*$AE$18+J471*$AE$19+K471*$AE$20+L471*$AE$21+M471*$AE$22+N471*$AE$23+O471*$AE$24+P471*$AE$25+Q471*$AE$26+R471*$AE$27+S471*$AE$28+T471*$AE$29+U471*$AE$30</f>
        <v/>
      </c>
      <c r="W471" s="8">
        <f>1/(1+EXP(-V471))</f>
        <v/>
      </c>
      <c r="X471" s="9">
        <f>-IF(C471=1,LN(W471),LN(1-W471))</f>
        <v/>
      </c>
      <c r="Y471" s="8">
        <f>IF(C471=1,$AE$32,$AE$33)</f>
        <v/>
      </c>
      <c r="Z471" s="9">
        <f>Y471*X471</f>
        <v/>
      </c>
      <c r="AA471" s="10">
        <f>IF(W471&gt;$AE$34,1,0)</f>
        <v/>
      </c>
      <c r="AB471">
        <f>IF(AA471=C471,1,0)</f>
        <v/>
      </c>
    </row>
    <row r="472">
      <c r="A472">
        <f>'1 datos preparados'!A465</f>
        <v/>
      </c>
      <c r="B472" s="5">
        <f>'1 datos preparados'!U465</f>
        <v/>
      </c>
      <c r="C472">
        <f>'1 datos preparados'!B465</f>
        <v/>
      </c>
      <c r="D472" s="7">
        <f>'1 datos preparados'!C465</f>
        <v/>
      </c>
      <c r="E472" s="7">
        <f>'1 datos preparados'!D465</f>
        <v/>
      </c>
      <c r="F472" s="7">
        <f>'1 datos preparados'!E465</f>
        <v/>
      </c>
      <c r="G472" s="7">
        <f>'1 datos preparados'!F465</f>
        <v/>
      </c>
      <c r="H472" s="7">
        <f>'1 datos preparados'!G465</f>
        <v/>
      </c>
      <c r="I472" s="7">
        <f>'1 datos preparados'!H465</f>
        <v/>
      </c>
      <c r="J472" s="7">
        <f>'1 datos preparados'!I465</f>
        <v/>
      </c>
      <c r="K472" s="7">
        <f>'1 datos preparados'!J465</f>
        <v/>
      </c>
      <c r="L472" s="7">
        <f>'1 datos preparados'!K465</f>
        <v/>
      </c>
      <c r="M472" s="7">
        <f>'1 datos preparados'!L465</f>
        <v/>
      </c>
      <c r="N472" s="7">
        <f>'1 datos preparados'!M465</f>
        <v/>
      </c>
      <c r="O472" s="7">
        <f>'1 datos preparados'!N465</f>
        <v/>
      </c>
      <c r="P472" s="7">
        <f>'1 datos preparados'!O465</f>
        <v/>
      </c>
      <c r="Q472" s="7">
        <f>'1 datos preparados'!P465</f>
        <v/>
      </c>
      <c r="R472" s="7">
        <f>'1 datos preparados'!Q465</f>
        <v/>
      </c>
      <c r="S472" s="7">
        <f>'1 datos preparados'!R465</f>
        <v/>
      </c>
      <c r="T472" s="7">
        <f>'1 datos preparados'!S465</f>
        <v/>
      </c>
      <c r="U472" s="7">
        <f>'1 datos preparados'!T465</f>
        <v/>
      </c>
      <c r="V472" s="8">
        <f>$AE$12+D472*$AE$13+E472*$AE$14+F472*$AE$15+G472*$AE$16+H472*$AE$17+I472*$AE$18+J472*$AE$19+K472*$AE$20+L472*$AE$21+M472*$AE$22+N472*$AE$23+O472*$AE$24+P472*$AE$25+Q472*$AE$26+R472*$AE$27+S472*$AE$28+T472*$AE$29+U472*$AE$30</f>
        <v/>
      </c>
      <c r="W472" s="8">
        <f>1/(1+EXP(-V472))</f>
        <v/>
      </c>
      <c r="X472" s="9">
        <f>-IF(C472=1,LN(W472),LN(1-W472))</f>
        <v/>
      </c>
      <c r="Y472" s="8">
        <f>IF(C472=1,$AE$32,$AE$33)</f>
        <v/>
      </c>
      <c r="Z472" s="9">
        <f>Y472*X472</f>
        <v/>
      </c>
      <c r="AA472" s="10">
        <f>IF(W472&gt;$AE$34,1,0)</f>
        <v/>
      </c>
      <c r="AB472">
        <f>IF(AA472=C472,1,0)</f>
        <v/>
      </c>
    </row>
    <row r="473">
      <c r="A473">
        <f>'1 datos preparados'!A466</f>
        <v/>
      </c>
      <c r="B473" s="5">
        <f>'1 datos preparados'!U466</f>
        <v/>
      </c>
      <c r="C473">
        <f>'1 datos preparados'!B466</f>
        <v/>
      </c>
      <c r="D473" s="7">
        <f>'1 datos preparados'!C466</f>
        <v/>
      </c>
      <c r="E473" s="7">
        <f>'1 datos preparados'!D466</f>
        <v/>
      </c>
      <c r="F473" s="7">
        <f>'1 datos preparados'!E466</f>
        <v/>
      </c>
      <c r="G473" s="7">
        <f>'1 datos preparados'!F466</f>
        <v/>
      </c>
      <c r="H473" s="7">
        <f>'1 datos preparados'!G466</f>
        <v/>
      </c>
      <c r="I473" s="7">
        <f>'1 datos preparados'!H466</f>
        <v/>
      </c>
      <c r="J473" s="7">
        <f>'1 datos preparados'!I466</f>
        <v/>
      </c>
      <c r="K473" s="7">
        <f>'1 datos preparados'!J466</f>
        <v/>
      </c>
      <c r="L473" s="7">
        <f>'1 datos preparados'!K466</f>
        <v/>
      </c>
      <c r="M473" s="7">
        <f>'1 datos preparados'!L466</f>
        <v/>
      </c>
      <c r="N473" s="7">
        <f>'1 datos preparados'!M466</f>
        <v/>
      </c>
      <c r="O473" s="7">
        <f>'1 datos preparados'!N466</f>
        <v/>
      </c>
      <c r="P473" s="7">
        <f>'1 datos preparados'!O466</f>
        <v/>
      </c>
      <c r="Q473" s="7">
        <f>'1 datos preparados'!P466</f>
        <v/>
      </c>
      <c r="R473" s="7">
        <f>'1 datos preparados'!Q466</f>
        <v/>
      </c>
      <c r="S473" s="7">
        <f>'1 datos preparados'!R466</f>
        <v/>
      </c>
      <c r="T473" s="7">
        <f>'1 datos preparados'!S466</f>
        <v/>
      </c>
      <c r="U473" s="7">
        <f>'1 datos preparados'!T466</f>
        <v/>
      </c>
      <c r="V473" s="8">
        <f>$AE$12+D473*$AE$13+E473*$AE$14+F473*$AE$15+G473*$AE$16+H473*$AE$17+I473*$AE$18+J473*$AE$19+K473*$AE$20+L473*$AE$21+M473*$AE$22+N473*$AE$23+O473*$AE$24+P473*$AE$25+Q473*$AE$26+R473*$AE$27+S473*$AE$28+T473*$AE$29+U473*$AE$30</f>
        <v/>
      </c>
      <c r="W473" s="8">
        <f>1/(1+EXP(-V473))</f>
        <v/>
      </c>
      <c r="X473" s="9">
        <f>-IF(C473=1,LN(W473),LN(1-W473))</f>
        <v/>
      </c>
      <c r="Y473" s="8">
        <f>IF(C473=1,$AE$32,$AE$33)</f>
        <v/>
      </c>
      <c r="Z473" s="9">
        <f>Y473*X473</f>
        <v/>
      </c>
      <c r="AA473" s="10">
        <f>IF(W473&gt;$AE$34,1,0)</f>
        <v/>
      </c>
      <c r="AB473">
        <f>IF(AA473=C473,1,0)</f>
        <v/>
      </c>
    </row>
    <row r="474">
      <c r="A474">
        <f>'1 datos preparados'!A467</f>
        <v/>
      </c>
      <c r="B474" s="5">
        <f>'1 datos preparados'!U467</f>
        <v/>
      </c>
      <c r="C474">
        <f>'1 datos preparados'!B467</f>
        <v/>
      </c>
      <c r="D474" s="7">
        <f>'1 datos preparados'!C467</f>
        <v/>
      </c>
      <c r="E474" s="7">
        <f>'1 datos preparados'!D467</f>
        <v/>
      </c>
      <c r="F474" s="7">
        <f>'1 datos preparados'!E467</f>
        <v/>
      </c>
      <c r="G474" s="7">
        <f>'1 datos preparados'!F467</f>
        <v/>
      </c>
      <c r="H474" s="7">
        <f>'1 datos preparados'!G467</f>
        <v/>
      </c>
      <c r="I474" s="7">
        <f>'1 datos preparados'!H467</f>
        <v/>
      </c>
      <c r="J474" s="7">
        <f>'1 datos preparados'!I467</f>
        <v/>
      </c>
      <c r="K474" s="7">
        <f>'1 datos preparados'!J467</f>
        <v/>
      </c>
      <c r="L474" s="7">
        <f>'1 datos preparados'!K467</f>
        <v/>
      </c>
      <c r="M474" s="7">
        <f>'1 datos preparados'!L467</f>
        <v/>
      </c>
      <c r="N474" s="7">
        <f>'1 datos preparados'!M467</f>
        <v/>
      </c>
      <c r="O474" s="7">
        <f>'1 datos preparados'!N467</f>
        <v/>
      </c>
      <c r="P474" s="7">
        <f>'1 datos preparados'!O467</f>
        <v/>
      </c>
      <c r="Q474" s="7">
        <f>'1 datos preparados'!P467</f>
        <v/>
      </c>
      <c r="R474" s="7">
        <f>'1 datos preparados'!Q467</f>
        <v/>
      </c>
      <c r="S474" s="7">
        <f>'1 datos preparados'!R467</f>
        <v/>
      </c>
      <c r="T474" s="7">
        <f>'1 datos preparados'!S467</f>
        <v/>
      </c>
      <c r="U474" s="7">
        <f>'1 datos preparados'!T467</f>
        <v/>
      </c>
      <c r="V474" s="8">
        <f>$AE$12+D474*$AE$13+E474*$AE$14+F474*$AE$15+G474*$AE$16+H474*$AE$17+I474*$AE$18+J474*$AE$19+K474*$AE$20+L474*$AE$21+M474*$AE$22+N474*$AE$23+O474*$AE$24+P474*$AE$25+Q474*$AE$26+R474*$AE$27+S474*$AE$28+T474*$AE$29+U474*$AE$30</f>
        <v/>
      </c>
      <c r="W474" s="8">
        <f>1/(1+EXP(-V474))</f>
        <v/>
      </c>
      <c r="X474" s="9">
        <f>-IF(C474=1,LN(W474),LN(1-W474))</f>
        <v/>
      </c>
      <c r="Y474" s="8">
        <f>IF(C474=1,$AE$32,$AE$33)</f>
        <v/>
      </c>
      <c r="Z474" s="9">
        <f>Y474*X474</f>
        <v/>
      </c>
      <c r="AA474" s="10">
        <f>IF(W474&gt;$AE$34,1,0)</f>
        <v/>
      </c>
      <c r="AB474">
        <f>IF(AA474=C474,1,0)</f>
        <v/>
      </c>
    </row>
    <row r="475">
      <c r="A475">
        <f>'1 datos preparados'!A468</f>
        <v/>
      </c>
      <c r="B475" s="5">
        <f>'1 datos preparados'!U468</f>
        <v/>
      </c>
      <c r="C475">
        <f>'1 datos preparados'!B468</f>
        <v/>
      </c>
      <c r="D475" s="7">
        <f>'1 datos preparados'!C468</f>
        <v/>
      </c>
      <c r="E475" s="7">
        <f>'1 datos preparados'!D468</f>
        <v/>
      </c>
      <c r="F475" s="7">
        <f>'1 datos preparados'!E468</f>
        <v/>
      </c>
      <c r="G475" s="7">
        <f>'1 datos preparados'!F468</f>
        <v/>
      </c>
      <c r="H475" s="7">
        <f>'1 datos preparados'!G468</f>
        <v/>
      </c>
      <c r="I475" s="7">
        <f>'1 datos preparados'!H468</f>
        <v/>
      </c>
      <c r="J475" s="7">
        <f>'1 datos preparados'!I468</f>
        <v/>
      </c>
      <c r="K475" s="7">
        <f>'1 datos preparados'!J468</f>
        <v/>
      </c>
      <c r="L475" s="7">
        <f>'1 datos preparados'!K468</f>
        <v/>
      </c>
      <c r="M475" s="7">
        <f>'1 datos preparados'!L468</f>
        <v/>
      </c>
      <c r="N475" s="7">
        <f>'1 datos preparados'!M468</f>
        <v/>
      </c>
      <c r="O475" s="7">
        <f>'1 datos preparados'!N468</f>
        <v/>
      </c>
      <c r="P475" s="7">
        <f>'1 datos preparados'!O468</f>
        <v/>
      </c>
      <c r="Q475" s="7">
        <f>'1 datos preparados'!P468</f>
        <v/>
      </c>
      <c r="R475" s="7">
        <f>'1 datos preparados'!Q468</f>
        <v/>
      </c>
      <c r="S475" s="7">
        <f>'1 datos preparados'!R468</f>
        <v/>
      </c>
      <c r="T475" s="7">
        <f>'1 datos preparados'!S468</f>
        <v/>
      </c>
      <c r="U475" s="7">
        <f>'1 datos preparados'!T468</f>
        <v/>
      </c>
      <c r="V475" s="8">
        <f>$AE$12+D475*$AE$13+E475*$AE$14+F475*$AE$15+G475*$AE$16+H475*$AE$17+I475*$AE$18+J475*$AE$19+K475*$AE$20+L475*$AE$21+M475*$AE$22+N475*$AE$23+O475*$AE$24+P475*$AE$25+Q475*$AE$26+R475*$AE$27+S475*$AE$28+T475*$AE$29+U475*$AE$30</f>
        <v/>
      </c>
      <c r="W475" s="8">
        <f>1/(1+EXP(-V475))</f>
        <v/>
      </c>
      <c r="X475" s="9">
        <f>-IF(C475=1,LN(W475),LN(1-W475))</f>
        <v/>
      </c>
      <c r="Y475" s="8">
        <f>IF(C475=1,$AE$32,$AE$33)</f>
        <v/>
      </c>
      <c r="Z475" s="9">
        <f>Y475*X475</f>
        <v/>
      </c>
      <c r="AA475" s="10">
        <f>IF(W475&gt;$AE$34,1,0)</f>
        <v/>
      </c>
      <c r="AB475">
        <f>IF(AA475=C475,1,0)</f>
        <v/>
      </c>
    </row>
    <row r="476">
      <c r="A476">
        <f>'1 datos preparados'!A469</f>
        <v/>
      </c>
      <c r="B476" s="5">
        <f>'1 datos preparados'!U469</f>
        <v/>
      </c>
      <c r="C476">
        <f>'1 datos preparados'!B469</f>
        <v/>
      </c>
      <c r="D476" s="7">
        <f>'1 datos preparados'!C469</f>
        <v/>
      </c>
      <c r="E476" s="7">
        <f>'1 datos preparados'!D469</f>
        <v/>
      </c>
      <c r="F476" s="7">
        <f>'1 datos preparados'!E469</f>
        <v/>
      </c>
      <c r="G476" s="7">
        <f>'1 datos preparados'!F469</f>
        <v/>
      </c>
      <c r="H476" s="7">
        <f>'1 datos preparados'!G469</f>
        <v/>
      </c>
      <c r="I476" s="7">
        <f>'1 datos preparados'!H469</f>
        <v/>
      </c>
      <c r="J476" s="7">
        <f>'1 datos preparados'!I469</f>
        <v/>
      </c>
      <c r="K476" s="7">
        <f>'1 datos preparados'!J469</f>
        <v/>
      </c>
      <c r="L476" s="7">
        <f>'1 datos preparados'!K469</f>
        <v/>
      </c>
      <c r="M476" s="7">
        <f>'1 datos preparados'!L469</f>
        <v/>
      </c>
      <c r="N476" s="7">
        <f>'1 datos preparados'!M469</f>
        <v/>
      </c>
      <c r="O476" s="7">
        <f>'1 datos preparados'!N469</f>
        <v/>
      </c>
      <c r="P476" s="7">
        <f>'1 datos preparados'!O469</f>
        <v/>
      </c>
      <c r="Q476" s="7">
        <f>'1 datos preparados'!P469</f>
        <v/>
      </c>
      <c r="R476" s="7">
        <f>'1 datos preparados'!Q469</f>
        <v/>
      </c>
      <c r="S476" s="7">
        <f>'1 datos preparados'!R469</f>
        <v/>
      </c>
      <c r="T476" s="7">
        <f>'1 datos preparados'!S469</f>
        <v/>
      </c>
      <c r="U476" s="7">
        <f>'1 datos preparados'!T469</f>
        <v/>
      </c>
      <c r="V476" s="8">
        <f>$AE$12+D476*$AE$13+E476*$AE$14+F476*$AE$15+G476*$AE$16+H476*$AE$17+I476*$AE$18+J476*$AE$19+K476*$AE$20+L476*$AE$21+M476*$AE$22+N476*$AE$23+O476*$AE$24+P476*$AE$25+Q476*$AE$26+R476*$AE$27+S476*$AE$28+T476*$AE$29+U476*$AE$30</f>
        <v/>
      </c>
      <c r="W476" s="8">
        <f>1/(1+EXP(-V476))</f>
        <v/>
      </c>
      <c r="X476" s="9">
        <f>-IF(C476=1,LN(W476),LN(1-W476))</f>
        <v/>
      </c>
      <c r="Y476" s="8">
        <f>IF(C476=1,$AE$32,$AE$33)</f>
        <v/>
      </c>
      <c r="Z476" s="9">
        <f>Y476*X476</f>
        <v/>
      </c>
      <c r="AA476" s="10">
        <f>IF(W476&gt;$AE$34,1,0)</f>
        <v/>
      </c>
      <c r="AB476">
        <f>IF(AA476=C476,1,0)</f>
        <v/>
      </c>
    </row>
    <row r="477">
      <c r="A477">
        <f>'1 datos preparados'!A470</f>
        <v/>
      </c>
      <c r="B477" s="5">
        <f>'1 datos preparados'!U470</f>
        <v/>
      </c>
      <c r="C477">
        <f>'1 datos preparados'!B470</f>
        <v/>
      </c>
      <c r="D477" s="7">
        <f>'1 datos preparados'!C470</f>
        <v/>
      </c>
      <c r="E477" s="7">
        <f>'1 datos preparados'!D470</f>
        <v/>
      </c>
      <c r="F477" s="7">
        <f>'1 datos preparados'!E470</f>
        <v/>
      </c>
      <c r="G477" s="7">
        <f>'1 datos preparados'!F470</f>
        <v/>
      </c>
      <c r="H477" s="7">
        <f>'1 datos preparados'!G470</f>
        <v/>
      </c>
      <c r="I477" s="7">
        <f>'1 datos preparados'!H470</f>
        <v/>
      </c>
      <c r="J477" s="7">
        <f>'1 datos preparados'!I470</f>
        <v/>
      </c>
      <c r="K477" s="7">
        <f>'1 datos preparados'!J470</f>
        <v/>
      </c>
      <c r="L477" s="7">
        <f>'1 datos preparados'!K470</f>
        <v/>
      </c>
      <c r="M477" s="7">
        <f>'1 datos preparados'!L470</f>
        <v/>
      </c>
      <c r="N477" s="7">
        <f>'1 datos preparados'!M470</f>
        <v/>
      </c>
      <c r="O477" s="7">
        <f>'1 datos preparados'!N470</f>
        <v/>
      </c>
      <c r="P477" s="7">
        <f>'1 datos preparados'!O470</f>
        <v/>
      </c>
      <c r="Q477" s="7">
        <f>'1 datos preparados'!P470</f>
        <v/>
      </c>
      <c r="R477" s="7">
        <f>'1 datos preparados'!Q470</f>
        <v/>
      </c>
      <c r="S477" s="7">
        <f>'1 datos preparados'!R470</f>
        <v/>
      </c>
      <c r="T477" s="7">
        <f>'1 datos preparados'!S470</f>
        <v/>
      </c>
      <c r="U477" s="7">
        <f>'1 datos preparados'!T470</f>
        <v/>
      </c>
      <c r="V477" s="8">
        <f>$AE$12+D477*$AE$13+E477*$AE$14+F477*$AE$15+G477*$AE$16+H477*$AE$17+I477*$AE$18+J477*$AE$19+K477*$AE$20+L477*$AE$21+M477*$AE$22+N477*$AE$23+O477*$AE$24+P477*$AE$25+Q477*$AE$26+R477*$AE$27+S477*$AE$28+T477*$AE$29+U477*$AE$30</f>
        <v/>
      </c>
      <c r="W477" s="8">
        <f>1/(1+EXP(-V477))</f>
        <v/>
      </c>
      <c r="X477" s="9">
        <f>-IF(C477=1,LN(W477),LN(1-W477))</f>
        <v/>
      </c>
      <c r="Y477" s="8">
        <f>IF(C477=1,$AE$32,$AE$33)</f>
        <v/>
      </c>
      <c r="Z477" s="9">
        <f>Y477*X477</f>
        <v/>
      </c>
      <c r="AA477" s="10">
        <f>IF(W477&gt;$AE$34,1,0)</f>
        <v/>
      </c>
      <c r="AB477">
        <f>IF(AA477=C477,1,0)</f>
        <v/>
      </c>
    </row>
    <row r="478">
      <c r="A478">
        <f>'1 datos preparados'!A471</f>
        <v/>
      </c>
      <c r="B478" s="5">
        <f>'1 datos preparados'!U471</f>
        <v/>
      </c>
      <c r="C478">
        <f>'1 datos preparados'!B471</f>
        <v/>
      </c>
      <c r="D478" s="7">
        <f>'1 datos preparados'!C471</f>
        <v/>
      </c>
      <c r="E478" s="7">
        <f>'1 datos preparados'!D471</f>
        <v/>
      </c>
      <c r="F478" s="7">
        <f>'1 datos preparados'!E471</f>
        <v/>
      </c>
      <c r="G478" s="7">
        <f>'1 datos preparados'!F471</f>
        <v/>
      </c>
      <c r="H478" s="7">
        <f>'1 datos preparados'!G471</f>
        <v/>
      </c>
      <c r="I478" s="7">
        <f>'1 datos preparados'!H471</f>
        <v/>
      </c>
      <c r="J478" s="7">
        <f>'1 datos preparados'!I471</f>
        <v/>
      </c>
      <c r="K478" s="7">
        <f>'1 datos preparados'!J471</f>
        <v/>
      </c>
      <c r="L478" s="7">
        <f>'1 datos preparados'!K471</f>
        <v/>
      </c>
      <c r="M478" s="7">
        <f>'1 datos preparados'!L471</f>
        <v/>
      </c>
      <c r="N478" s="7">
        <f>'1 datos preparados'!M471</f>
        <v/>
      </c>
      <c r="O478" s="7">
        <f>'1 datos preparados'!N471</f>
        <v/>
      </c>
      <c r="P478" s="7">
        <f>'1 datos preparados'!O471</f>
        <v/>
      </c>
      <c r="Q478" s="7">
        <f>'1 datos preparados'!P471</f>
        <v/>
      </c>
      <c r="R478" s="7">
        <f>'1 datos preparados'!Q471</f>
        <v/>
      </c>
      <c r="S478" s="7">
        <f>'1 datos preparados'!R471</f>
        <v/>
      </c>
      <c r="T478" s="7">
        <f>'1 datos preparados'!S471</f>
        <v/>
      </c>
      <c r="U478" s="7">
        <f>'1 datos preparados'!T471</f>
        <v/>
      </c>
      <c r="V478" s="8">
        <f>$AE$12+D478*$AE$13+E478*$AE$14+F478*$AE$15+G478*$AE$16+H478*$AE$17+I478*$AE$18+J478*$AE$19+K478*$AE$20+L478*$AE$21+M478*$AE$22+N478*$AE$23+O478*$AE$24+P478*$AE$25+Q478*$AE$26+R478*$AE$27+S478*$AE$28+T478*$AE$29+U478*$AE$30</f>
        <v/>
      </c>
      <c r="W478" s="8">
        <f>1/(1+EXP(-V478))</f>
        <v/>
      </c>
      <c r="X478" s="9">
        <f>-IF(C478=1,LN(W478),LN(1-W478))</f>
        <v/>
      </c>
      <c r="Y478" s="8">
        <f>IF(C478=1,$AE$32,$AE$33)</f>
        <v/>
      </c>
      <c r="Z478" s="9">
        <f>Y478*X478</f>
        <v/>
      </c>
      <c r="AA478" s="10">
        <f>IF(W478&gt;$AE$34,1,0)</f>
        <v/>
      </c>
      <c r="AB478">
        <f>IF(AA478=C478,1,0)</f>
        <v/>
      </c>
    </row>
    <row r="479">
      <c r="A479">
        <f>'1 datos preparados'!A472</f>
        <v/>
      </c>
      <c r="B479" s="5">
        <f>'1 datos preparados'!U472</f>
        <v/>
      </c>
      <c r="C479">
        <f>'1 datos preparados'!B472</f>
        <v/>
      </c>
      <c r="D479" s="7">
        <f>'1 datos preparados'!C472</f>
        <v/>
      </c>
      <c r="E479" s="7">
        <f>'1 datos preparados'!D472</f>
        <v/>
      </c>
      <c r="F479" s="7">
        <f>'1 datos preparados'!E472</f>
        <v/>
      </c>
      <c r="G479" s="7">
        <f>'1 datos preparados'!F472</f>
        <v/>
      </c>
      <c r="H479" s="7">
        <f>'1 datos preparados'!G472</f>
        <v/>
      </c>
      <c r="I479" s="7">
        <f>'1 datos preparados'!H472</f>
        <v/>
      </c>
      <c r="J479" s="7">
        <f>'1 datos preparados'!I472</f>
        <v/>
      </c>
      <c r="K479" s="7">
        <f>'1 datos preparados'!J472</f>
        <v/>
      </c>
      <c r="L479" s="7">
        <f>'1 datos preparados'!K472</f>
        <v/>
      </c>
      <c r="M479" s="7">
        <f>'1 datos preparados'!L472</f>
        <v/>
      </c>
      <c r="N479" s="7">
        <f>'1 datos preparados'!M472</f>
        <v/>
      </c>
      <c r="O479" s="7">
        <f>'1 datos preparados'!N472</f>
        <v/>
      </c>
      <c r="P479" s="7">
        <f>'1 datos preparados'!O472</f>
        <v/>
      </c>
      <c r="Q479" s="7">
        <f>'1 datos preparados'!P472</f>
        <v/>
      </c>
      <c r="R479" s="7">
        <f>'1 datos preparados'!Q472</f>
        <v/>
      </c>
      <c r="S479" s="7">
        <f>'1 datos preparados'!R472</f>
        <v/>
      </c>
      <c r="T479" s="7">
        <f>'1 datos preparados'!S472</f>
        <v/>
      </c>
      <c r="U479" s="7">
        <f>'1 datos preparados'!T472</f>
        <v/>
      </c>
      <c r="V479" s="8">
        <f>$AE$12+D479*$AE$13+E479*$AE$14+F479*$AE$15+G479*$AE$16+H479*$AE$17+I479*$AE$18+J479*$AE$19+K479*$AE$20+L479*$AE$21+M479*$AE$22+N479*$AE$23+O479*$AE$24+P479*$AE$25+Q479*$AE$26+R479*$AE$27+S479*$AE$28+T479*$AE$29+U479*$AE$30</f>
        <v/>
      </c>
      <c r="W479" s="8">
        <f>1/(1+EXP(-V479))</f>
        <v/>
      </c>
      <c r="X479" s="9">
        <f>-IF(C479=1,LN(W479),LN(1-W479))</f>
        <v/>
      </c>
      <c r="Y479" s="8">
        <f>IF(C479=1,$AE$32,$AE$33)</f>
        <v/>
      </c>
      <c r="Z479" s="9">
        <f>Y479*X479</f>
        <v/>
      </c>
      <c r="AA479" s="10">
        <f>IF(W479&gt;$AE$34,1,0)</f>
        <v/>
      </c>
      <c r="AB479">
        <f>IF(AA479=C479,1,0)</f>
        <v/>
      </c>
    </row>
    <row r="480">
      <c r="A480">
        <f>'1 datos preparados'!A473</f>
        <v/>
      </c>
      <c r="B480" s="5">
        <f>'1 datos preparados'!U473</f>
        <v/>
      </c>
      <c r="C480">
        <f>'1 datos preparados'!B473</f>
        <v/>
      </c>
      <c r="D480" s="7">
        <f>'1 datos preparados'!C473</f>
        <v/>
      </c>
      <c r="E480" s="7">
        <f>'1 datos preparados'!D473</f>
        <v/>
      </c>
      <c r="F480" s="7">
        <f>'1 datos preparados'!E473</f>
        <v/>
      </c>
      <c r="G480" s="7">
        <f>'1 datos preparados'!F473</f>
        <v/>
      </c>
      <c r="H480" s="7">
        <f>'1 datos preparados'!G473</f>
        <v/>
      </c>
      <c r="I480" s="7">
        <f>'1 datos preparados'!H473</f>
        <v/>
      </c>
      <c r="J480" s="7">
        <f>'1 datos preparados'!I473</f>
        <v/>
      </c>
      <c r="K480" s="7">
        <f>'1 datos preparados'!J473</f>
        <v/>
      </c>
      <c r="L480" s="7">
        <f>'1 datos preparados'!K473</f>
        <v/>
      </c>
      <c r="M480" s="7">
        <f>'1 datos preparados'!L473</f>
        <v/>
      </c>
      <c r="N480" s="7">
        <f>'1 datos preparados'!M473</f>
        <v/>
      </c>
      <c r="O480" s="7">
        <f>'1 datos preparados'!N473</f>
        <v/>
      </c>
      <c r="P480" s="7">
        <f>'1 datos preparados'!O473</f>
        <v/>
      </c>
      <c r="Q480" s="7">
        <f>'1 datos preparados'!P473</f>
        <v/>
      </c>
      <c r="R480" s="7">
        <f>'1 datos preparados'!Q473</f>
        <v/>
      </c>
      <c r="S480" s="7">
        <f>'1 datos preparados'!R473</f>
        <v/>
      </c>
      <c r="T480" s="7">
        <f>'1 datos preparados'!S473</f>
        <v/>
      </c>
      <c r="U480" s="7">
        <f>'1 datos preparados'!T473</f>
        <v/>
      </c>
      <c r="V480" s="8">
        <f>$AE$12+D480*$AE$13+E480*$AE$14+F480*$AE$15+G480*$AE$16+H480*$AE$17+I480*$AE$18+J480*$AE$19+K480*$AE$20+L480*$AE$21+M480*$AE$22+N480*$AE$23+O480*$AE$24+P480*$AE$25+Q480*$AE$26+R480*$AE$27+S480*$AE$28+T480*$AE$29+U480*$AE$30</f>
        <v/>
      </c>
      <c r="W480" s="8">
        <f>1/(1+EXP(-V480))</f>
        <v/>
      </c>
      <c r="X480" s="9">
        <f>-IF(C480=1,LN(W480),LN(1-W480))</f>
        <v/>
      </c>
      <c r="Y480" s="8">
        <f>IF(C480=1,$AE$32,$AE$33)</f>
        <v/>
      </c>
      <c r="Z480" s="9">
        <f>Y480*X480</f>
        <v/>
      </c>
      <c r="AA480" s="10">
        <f>IF(W480&gt;$AE$34,1,0)</f>
        <v/>
      </c>
      <c r="AB480">
        <f>IF(AA480=C480,1,0)</f>
        <v/>
      </c>
    </row>
    <row r="481">
      <c r="A481">
        <f>'1 datos preparados'!A474</f>
        <v/>
      </c>
      <c r="B481" s="5">
        <f>'1 datos preparados'!U474</f>
        <v/>
      </c>
      <c r="C481">
        <f>'1 datos preparados'!B474</f>
        <v/>
      </c>
      <c r="D481" s="7">
        <f>'1 datos preparados'!C474</f>
        <v/>
      </c>
      <c r="E481" s="7">
        <f>'1 datos preparados'!D474</f>
        <v/>
      </c>
      <c r="F481" s="7">
        <f>'1 datos preparados'!E474</f>
        <v/>
      </c>
      <c r="G481" s="7">
        <f>'1 datos preparados'!F474</f>
        <v/>
      </c>
      <c r="H481" s="7">
        <f>'1 datos preparados'!G474</f>
        <v/>
      </c>
      <c r="I481" s="7">
        <f>'1 datos preparados'!H474</f>
        <v/>
      </c>
      <c r="J481" s="7">
        <f>'1 datos preparados'!I474</f>
        <v/>
      </c>
      <c r="K481" s="7">
        <f>'1 datos preparados'!J474</f>
        <v/>
      </c>
      <c r="L481" s="7">
        <f>'1 datos preparados'!K474</f>
        <v/>
      </c>
      <c r="M481" s="7">
        <f>'1 datos preparados'!L474</f>
        <v/>
      </c>
      <c r="N481" s="7">
        <f>'1 datos preparados'!M474</f>
        <v/>
      </c>
      <c r="O481" s="7">
        <f>'1 datos preparados'!N474</f>
        <v/>
      </c>
      <c r="P481" s="7">
        <f>'1 datos preparados'!O474</f>
        <v/>
      </c>
      <c r="Q481" s="7">
        <f>'1 datos preparados'!P474</f>
        <v/>
      </c>
      <c r="R481" s="7">
        <f>'1 datos preparados'!Q474</f>
        <v/>
      </c>
      <c r="S481" s="7">
        <f>'1 datos preparados'!R474</f>
        <v/>
      </c>
      <c r="T481" s="7">
        <f>'1 datos preparados'!S474</f>
        <v/>
      </c>
      <c r="U481" s="7">
        <f>'1 datos preparados'!T474</f>
        <v/>
      </c>
      <c r="V481" s="8">
        <f>$AE$12+D481*$AE$13+E481*$AE$14+F481*$AE$15+G481*$AE$16+H481*$AE$17+I481*$AE$18+J481*$AE$19+K481*$AE$20+L481*$AE$21+M481*$AE$22+N481*$AE$23+O481*$AE$24+P481*$AE$25+Q481*$AE$26+R481*$AE$27+S481*$AE$28+T481*$AE$29+U481*$AE$30</f>
        <v/>
      </c>
      <c r="W481" s="8">
        <f>1/(1+EXP(-V481))</f>
        <v/>
      </c>
      <c r="X481" s="9">
        <f>-IF(C481=1,LN(W481),LN(1-W481))</f>
        <v/>
      </c>
      <c r="Y481" s="8">
        <f>IF(C481=1,$AE$32,$AE$33)</f>
        <v/>
      </c>
      <c r="Z481" s="9">
        <f>Y481*X481</f>
        <v/>
      </c>
      <c r="AA481" s="10">
        <f>IF(W481&gt;$AE$34,1,0)</f>
        <v/>
      </c>
      <c r="AB481">
        <f>IF(AA481=C481,1,0)</f>
        <v/>
      </c>
    </row>
    <row r="482">
      <c r="A482">
        <f>'1 datos preparados'!A475</f>
        <v/>
      </c>
      <c r="B482" s="5">
        <f>'1 datos preparados'!U475</f>
        <v/>
      </c>
      <c r="C482">
        <f>'1 datos preparados'!B475</f>
        <v/>
      </c>
      <c r="D482" s="7">
        <f>'1 datos preparados'!C475</f>
        <v/>
      </c>
      <c r="E482" s="7">
        <f>'1 datos preparados'!D475</f>
        <v/>
      </c>
      <c r="F482" s="7">
        <f>'1 datos preparados'!E475</f>
        <v/>
      </c>
      <c r="G482" s="7">
        <f>'1 datos preparados'!F475</f>
        <v/>
      </c>
      <c r="H482" s="7">
        <f>'1 datos preparados'!G475</f>
        <v/>
      </c>
      <c r="I482" s="7">
        <f>'1 datos preparados'!H475</f>
        <v/>
      </c>
      <c r="J482" s="7">
        <f>'1 datos preparados'!I475</f>
        <v/>
      </c>
      <c r="K482" s="7">
        <f>'1 datos preparados'!J475</f>
        <v/>
      </c>
      <c r="L482" s="7">
        <f>'1 datos preparados'!K475</f>
        <v/>
      </c>
      <c r="M482" s="7">
        <f>'1 datos preparados'!L475</f>
        <v/>
      </c>
      <c r="N482" s="7">
        <f>'1 datos preparados'!M475</f>
        <v/>
      </c>
      <c r="O482" s="7">
        <f>'1 datos preparados'!N475</f>
        <v/>
      </c>
      <c r="P482" s="7">
        <f>'1 datos preparados'!O475</f>
        <v/>
      </c>
      <c r="Q482" s="7">
        <f>'1 datos preparados'!P475</f>
        <v/>
      </c>
      <c r="R482" s="7">
        <f>'1 datos preparados'!Q475</f>
        <v/>
      </c>
      <c r="S482" s="7">
        <f>'1 datos preparados'!R475</f>
        <v/>
      </c>
      <c r="T482" s="7">
        <f>'1 datos preparados'!S475</f>
        <v/>
      </c>
      <c r="U482" s="7">
        <f>'1 datos preparados'!T475</f>
        <v/>
      </c>
      <c r="V482" s="8">
        <f>$AE$12+D482*$AE$13+E482*$AE$14+F482*$AE$15+G482*$AE$16+H482*$AE$17+I482*$AE$18+J482*$AE$19+K482*$AE$20+L482*$AE$21+M482*$AE$22+N482*$AE$23+O482*$AE$24+P482*$AE$25+Q482*$AE$26+R482*$AE$27+S482*$AE$28+T482*$AE$29+U482*$AE$30</f>
        <v/>
      </c>
      <c r="W482" s="8">
        <f>1/(1+EXP(-V482))</f>
        <v/>
      </c>
      <c r="X482" s="9">
        <f>-IF(C482=1,LN(W482),LN(1-W482))</f>
        <v/>
      </c>
      <c r="Y482" s="8">
        <f>IF(C482=1,$AE$32,$AE$33)</f>
        <v/>
      </c>
      <c r="Z482" s="9">
        <f>Y482*X482</f>
        <v/>
      </c>
      <c r="AA482" s="10">
        <f>IF(W482&gt;$AE$34,1,0)</f>
        <v/>
      </c>
      <c r="AB482">
        <f>IF(AA482=C482,1,0)</f>
        <v/>
      </c>
    </row>
    <row r="483">
      <c r="A483">
        <f>'1 datos preparados'!A476</f>
        <v/>
      </c>
      <c r="B483" s="5">
        <f>'1 datos preparados'!U476</f>
        <v/>
      </c>
      <c r="C483">
        <f>'1 datos preparados'!B476</f>
        <v/>
      </c>
      <c r="D483" s="7">
        <f>'1 datos preparados'!C476</f>
        <v/>
      </c>
      <c r="E483" s="7">
        <f>'1 datos preparados'!D476</f>
        <v/>
      </c>
      <c r="F483" s="7">
        <f>'1 datos preparados'!E476</f>
        <v/>
      </c>
      <c r="G483" s="7">
        <f>'1 datos preparados'!F476</f>
        <v/>
      </c>
      <c r="H483" s="7">
        <f>'1 datos preparados'!G476</f>
        <v/>
      </c>
      <c r="I483" s="7">
        <f>'1 datos preparados'!H476</f>
        <v/>
      </c>
      <c r="J483" s="7">
        <f>'1 datos preparados'!I476</f>
        <v/>
      </c>
      <c r="K483" s="7">
        <f>'1 datos preparados'!J476</f>
        <v/>
      </c>
      <c r="L483" s="7">
        <f>'1 datos preparados'!K476</f>
        <v/>
      </c>
      <c r="M483" s="7">
        <f>'1 datos preparados'!L476</f>
        <v/>
      </c>
      <c r="N483" s="7">
        <f>'1 datos preparados'!M476</f>
        <v/>
      </c>
      <c r="O483" s="7">
        <f>'1 datos preparados'!N476</f>
        <v/>
      </c>
      <c r="P483" s="7">
        <f>'1 datos preparados'!O476</f>
        <v/>
      </c>
      <c r="Q483" s="7">
        <f>'1 datos preparados'!P476</f>
        <v/>
      </c>
      <c r="R483" s="7">
        <f>'1 datos preparados'!Q476</f>
        <v/>
      </c>
      <c r="S483" s="7">
        <f>'1 datos preparados'!R476</f>
        <v/>
      </c>
      <c r="T483" s="7">
        <f>'1 datos preparados'!S476</f>
        <v/>
      </c>
      <c r="U483" s="7">
        <f>'1 datos preparados'!T476</f>
        <v/>
      </c>
      <c r="V483" s="8">
        <f>$AE$12+D483*$AE$13+E483*$AE$14+F483*$AE$15+G483*$AE$16+H483*$AE$17+I483*$AE$18+J483*$AE$19+K483*$AE$20+L483*$AE$21+M483*$AE$22+N483*$AE$23+O483*$AE$24+P483*$AE$25+Q483*$AE$26+R483*$AE$27+S483*$AE$28+T483*$AE$29+U483*$AE$30</f>
        <v/>
      </c>
      <c r="W483" s="8">
        <f>1/(1+EXP(-V483))</f>
        <v/>
      </c>
      <c r="X483" s="9">
        <f>-IF(C483=1,LN(W483),LN(1-W483))</f>
        <v/>
      </c>
      <c r="Y483" s="8">
        <f>IF(C483=1,$AE$32,$AE$33)</f>
        <v/>
      </c>
      <c r="Z483" s="9">
        <f>Y483*X483</f>
        <v/>
      </c>
      <c r="AA483" s="10">
        <f>IF(W483&gt;$AE$34,1,0)</f>
        <v/>
      </c>
      <c r="AB483">
        <f>IF(AA483=C483,1,0)</f>
        <v/>
      </c>
    </row>
    <row r="484">
      <c r="A484">
        <f>'1 datos preparados'!A477</f>
        <v/>
      </c>
      <c r="B484" s="5">
        <f>'1 datos preparados'!U477</f>
        <v/>
      </c>
      <c r="C484">
        <f>'1 datos preparados'!B477</f>
        <v/>
      </c>
      <c r="D484" s="7">
        <f>'1 datos preparados'!C477</f>
        <v/>
      </c>
      <c r="E484" s="7">
        <f>'1 datos preparados'!D477</f>
        <v/>
      </c>
      <c r="F484" s="7">
        <f>'1 datos preparados'!E477</f>
        <v/>
      </c>
      <c r="G484" s="7">
        <f>'1 datos preparados'!F477</f>
        <v/>
      </c>
      <c r="H484" s="7">
        <f>'1 datos preparados'!G477</f>
        <v/>
      </c>
      <c r="I484" s="7">
        <f>'1 datos preparados'!H477</f>
        <v/>
      </c>
      <c r="J484" s="7">
        <f>'1 datos preparados'!I477</f>
        <v/>
      </c>
      <c r="K484" s="7">
        <f>'1 datos preparados'!J477</f>
        <v/>
      </c>
      <c r="L484" s="7">
        <f>'1 datos preparados'!K477</f>
        <v/>
      </c>
      <c r="M484" s="7">
        <f>'1 datos preparados'!L477</f>
        <v/>
      </c>
      <c r="N484" s="7">
        <f>'1 datos preparados'!M477</f>
        <v/>
      </c>
      <c r="O484" s="7">
        <f>'1 datos preparados'!N477</f>
        <v/>
      </c>
      <c r="P484" s="7">
        <f>'1 datos preparados'!O477</f>
        <v/>
      </c>
      <c r="Q484" s="7">
        <f>'1 datos preparados'!P477</f>
        <v/>
      </c>
      <c r="R484" s="7">
        <f>'1 datos preparados'!Q477</f>
        <v/>
      </c>
      <c r="S484" s="7">
        <f>'1 datos preparados'!R477</f>
        <v/>
      </c>
      <c r="T484" s="7">
        <f>'1 datos preparados'!S477</f>
        <v/>
      </c>
      <c r="U484" s="7">
        <f>'1 datos preparados'!T477</f>
        <v/>
      </c>
      <c r="V484" s="8">
        <f>$AE$12+D484*$AE$13+E484*$AE$14+F484*$AE$15+G484*$AE$16+H484*$AE$17+I484*$AE$18+J484*$AE$19+K484*$AE$20+L484*$AE$21+M484*$AE$22+N484*$AE$23+O484*$AE$24+P484*$AE$25+Q484*$AE$26+R484*$AE$27+S484*$AE$28+T484*$AE$29+U484*$AE$30</f>
        <v/>
      </c>
      <c r="W484" s="8">
        <f>1/(1+EXP(-V484))</f>
        <v/>
      </c>
      <c r="X484" s="9">
        <f>-IF(C484=1,LN(W484),LN(1-W484))</f>
        <v/>
      </c>
      <c r="Y484" s="8">
        <f>IF(C484=1,$AE$32,$AE$33)</f>
        <v/>
      </c>
      <c r="Z484" s="9">
        <f>Y484*X484</f>
        <v/>
      </c>
      <c r="AA484" s="10">
        <f>IF(W484&gt;$AE$34,1,0)</f>
        <v/>
      </c>
      <c r="AB484">
        <f>IF(AA484=C484,1,0)</f>
        <v/>
      </c>
    </row>
    <row r="485">
      <c r="A485">
        <f>'1 datos preparados'!A478</f>
        <v/>
      </c>
      <c r="B485" s="5">
        <f>'1 datos preparados'!U478</f>
        <v/>
      </c>
      <c r="C485">
        <f>'1 datos preparados'!B478</f>
        <v/>
      </c>
      <c r="D485" s="7">
        <f>'1 datos preparados'!C478</f>
        <v/>
      </c>
      <c r="E485" s="7">
        <f>'1 datos preparados'!D478</f>
        <v/>
      </c>
      <c r="F485" s="7">
        <f>'1 datos preparados'!E478</f>
        <v/>
      </c>
      <c r="G485" s="7">
        <f>'1 datos preparados'!F478</f>
        <v/>
      </c>
      <c r="H485" s="7">
        <f>'1 datos preparados'!G478</f>
        <v/>
      </c>
      <c r="I485" s="7">
        <f>'1 datos preparados'!H478</f>
        <v/>
      </c>
      <c r="J485" s="7">
        <f>'1 datos preparados'!I478</f>
        <v/>
      </c>
      <c r="K485" s="7">
        <f>'1 datos preparados'!J478</f>
        <v/>
      </c>
      <c r="L485" s="7">
        <f>'1 datos preparados'!K478</f>
        <v/>
      </c>
      <c r="M485" s="7">
        <f>'1 datos preparados'!L478</f>
        <v/>
      </c>
      <c r="N485" s="7">
        <f>'1 datos preparados'!M478</f>
        <v/>
      </c>
      <c r="O485" s="7">
        <f>'1 datos preparados'!N478</f>
        <v/>
      </c>
      <c r="P485" s="7">
        <f>'1 datos preparados'!O478</f>
        <v/>
      </c>
      <c r="Q485" s="7">
        <f>'1 datos preparados'!P478</f>
        <v/>
      </c>
      <c r="R485" s="7">
        <f>'1 datos preparados'!Q478</f>
        <v/>
      </c>
      <c r="S485" s="7">
        <f>'1 datos preparados'!R478</f>
        <v/>
      </c>
      <c r="T485" s="7">
        <f>'1 datos preparados'!S478</f>
        <v/>
      </c>
      <c r="U485" s="7">
        <f>'1 datos preparados'!T478</f>
        <v/>
      </c>
      <c r="V485" s="8">
        <f>$AE$12+D485*$AE$13+E485*$AE$14+F485*$AE$15+G485*$AE$16+H485*$AE$17+I485*$AE$18+J485*$AE$19+K485*$AE$20+L485*$AE$21+M485*$AE$22+N485*$AE$23+O485*$AE$24+P485*$AE$25+Q485*$AE$26+R485*$AE$27+S485*$AE$28+T485*$AE$29+U485*$AE$30</f>
        <v/>
      </c>
      <c r="W485" s="8">
        <f>1/(1+EXP(-V485))</f>
        <v/>
      </c>
      <c r="X485" s="9">
        <f>-IF(C485=1,LN(W485),LN(1-W485))</f>
        <v/>
      </c>
      <c r="Y485" s="8">
        <f>IF(C485=1,$AE$32,$AE$33)</f>
        <v/>
      </c>
      <c r="Z485" s="9">
        <f>Y485*X485</f>
        <v/>
      </c>
      <c r="AA485" s="10">
        <f>IF(W485&gt;$AE$34,1,0)</f>
        <v/>
      </c>
      <c r="AB485">
        <f>IF(AA485=C485,1,0)</f>
        <v/>
      </c>
    </row>
    <row r="486">
      <c r="A486">
        <f>'1 datos preparados'!A479</f>
        <v/>
      </c>
      <c r="B486" s="5">
        <f>'1 datos preparados'!U479</f>
        <v/>
      </c>
      <c r="C486">
        <f>'1 datos preparados'!B479</f>
        <v/>
      </c>
      <c r="D486" s="7">
        <f>'1 datos preparados'!C479</f>
        <v/>
      </c>
      <c r="E486" s="7">
        <f>'1 datos preparados'!D479</f>
        <v/>
      </c>
      <c r="F486" s="7">
        <f>'1 datos preparados'!E479</f>
        <v/>
      </c>
      <c r="G486" s="7">
        <f>'1 datos preparados'!F479</f>
        <v/>
      </c>
      <c r="H486" s="7">
        <f>'1 datos preparados'!G479</f>
        <v/>
      </c>
      <c r="I486" s="7">
        <f>'1 datos preparados'!H479</f>
        <v/>
      </c>
      <c r="J486" s="7">
        <f>'1 datos preparados'!I479</f>
        <v/>
      </c>
      <c r="K486" s="7">
        <f>'1 datos preparados'!J479</f>
        <v/>
      </c>
      <c r="L486" s="7">
        <f>'1 datos preparados'!K479</f>
        <v/>
      </c>
      <c r="M486" s="7">
        <f>'1 datos preparados'!L479</f>
        <v/>
      </c>
      <c r="N486" s="7">
        <f>'1 datos preparados'!M479</f>
        <v/>
      </c>
      <c r="O486" s="7">
        <f>'1 datos preparados'!N479</f>
        <v/>
      </c>
      <c r="P486" s="7">
        <f>'1 datos preparados'!O479</f>
        <v/>
      </c>
      <c r="Q486" s="7">
        <f>'1 datos preparados'!P479</f>
        <v/>
      </c>
      <c r="R486" s="7">
        <f>'1 datos preparados'!Q479</f>
        <v/>
      </c>
      <c r="S486" s="7">
        <f>'1 datos preparados'!R479</f>
        <v/>
      </c>
      <c r="T486" s="7">
        <f>'1 datos preparados'!S479</f>
        <v/>
      </c>
      <c r="U486" s="7">
        <f>'1 datos preparados'!T479</f>
        <v/>
      </c>
      <c r="V486" s="8">
        <f>$AE$12+D486*$AE$13+E486*$AE$14+F486*$AE$15+G486*$AE$16+H486*$AE$17+I486*$AE$18+J486*$AE$19+K486*$AE$20+L486*$AE$21+M486*$AE$22+N486*$AE$23+O486*$AE$24+P486*$AE$25+Q486*$AE$26+R486*$AE$27+S486*$AE$28+T486*$AE$29+U486*$AE$30</f>
        <v/>
      </c>
      <c r="W486" s="8">
        <f>1/(1+EXP(-V486))</f>
        <v/>
      </c>
      <c r="X486" s="9">
        <f>-IF(C486=1,LN(W486),LN(1-W486))</f>
        <v/>
      </c>
      <c r="Y486" s="8">
        <f>IF(C486=1,$AE$32,$AE$33)</f>
        <v/>
      </c>
      <c r="Z486" s="9">
        <f>Y486*X486</f>
        <v/>
      </c>
      <c r="AA486" s="10">
        <f>IF(W486&gt;$AE$34,1,0)</f>
        <v/>
      </c>
      <c r="AB486">
        <f>IF(AA486=C486,1,0)</f>
        <v/>
      </c>
    </row>
    <row r="487">
      <c r="A487">
        <f>'1 datos preparados'!A480</f>
        <v/>
      </c>
      <c r="B487" s="5">
        <f>'1 datos preparados'!U480</f>
        <v/>
      </c>
      <c r="C487">
        <f>'1 datos preparados'!B480</f>
        <v/>
      </c>
      <c r="D487" s="7">
        <f>'1 datos preparados'!C480</f>
        <v/>
      </c>
      <c r="E487" s="7">
        <f>'1 datos preparados'!D480</f>
        <v/>
      </c>
      <c r="F487" s="7">
        <f>'1 datos preparados'!E480</f>
        <v/>
      </c>
      <c r="G487" s="7">
        <f>'1 datos preparados'!F480</f>
        <v/>
      </c>
      <c r="H487" s="7">
        <f>'1 datos preparados'!G480</f>
        <v/>
      </c>
      <c r="I487" s="7">
        <f>'1 datos preparados'!H480</f>
        <v/>
      </c>
      <c r="J487" s="7">
        <f>'1 datos preparados'!I480</f>
        <v/>
      </c>
      <c r="K487" s="7">
        <f>'1 datos preparados'!J480</f>
        <v/>
      </c>
      <c r="L487" s="7">
        <f>'1 datos preparados'!K480</f>
        <v/>
      </c>
      <c r="M487" s="7">
        <f>'1 datos preparados'!L480</f>
        <v/>
      </c>
      <c r="N487" s="7">
        <f>'1 datos preparados'!M480</f>
        <v/>
      </c>
      <c r="O487" s="7">
        <f>'1 datos preparados'!N480</f>
        <v/>
      </c>
      <c r="P487" s="7">
        <f>'1 datos preparados'!O480</f>
        <v/>
      </c>
      <c r="Q487" s="7">
        <f>'1 datos preparados'!P480</f>
        <v/>
      </c>
      <c r="R487" s="7">
        <f>'1 datos preparados'!Q480</f>
        <v/>
      </c>
      <c r="S487" s="7">
        <f>'1 datos preparados'!R480</f>
        <v/>
      </c>
      <c r="T487" s="7">
        <f>'1 datos preparados'!S480</f>
        <v/>
      </c>
      <c r="U487" s="7">
        <f>'1 datos preparados'!T480</f>
        <v/>
      </c>
      <c r="V487" s="8">
        <f>$AE$12+D487*$AE$13+E487*$AE$14+F487*$AE$15+G487*$AE$16+H487*$AE$17+I487*$AE$18+J487*$AE$19+K487*$AE$20+L487*$AE$21+M487*$AE$22+N487*$AE$23+O487*$AE$24+P487*$AE$25+Q487*$AE$26+R487*$AE$27+S487*$AE$28+T487*$AE$29+U487*$AE$30</f>
        <v/>
      </c>
      <c r="W487" s="8">
        <f>1/(1+EXP(-V487))</f>
        <v/>
      </c>
      <c r="X487" s="9">
        <f>-IF(C487=1,LN(W487),LN(1-W487))</f>
        <v/>
      </c>
      <c r="Y487" s="8">
        <f>IF(C487=1,$AE$32,$AE$33)</f>
        <v/>
      </c>
      <c r="Z487" s="9">
        <f>Y487*X487</f>
        <v/>
      </c>
      <c r="AA487" s="10">
        <f>IF(W487&gt;$AE$34,1,0)</f>
        <v/>
      </c>
      <c r="AB487">
        <f>IF(AA487=C487,1,0)</f>
        <v/>
      </c>
    </row>
    <row r="488">
      <c r="A488">
        <f>'1 datos preparados'!A481</f>
        <v/>
      </c>
      <c r="B488" s="5">
        <f>'1 datos preparados'!U481</f>
        <v/>
      </c>
      <c r="C488">
        <f>'1 datos preparados'!B481</f>
        <v/>
      </c>
      <c r="D488" s="7">
        <f>'1 datos preparados'!C481</f>
        <v/>
      </c>
      <c r="E488" s="7">
        <f>'1 datos preparados'!D481</f>
        <v/>
      </c>
      <c r="F488" s="7">
        <f>'1 datos preparados'!E481</f>
        <v/>
      </c>
      <c r="G488" s="7">
        <f>'1 datos preparados'!F481</f>
        <v/>
      </c>
      <c r="H488" s="7">
        <f>'1 datos preparados'!G481</f>
        <v/>
      </c>
      <c r="I488" s="7">
        <f>'1 datos preparados'!H481</f>
        <v/>
      </c>
      <c r="J488" s="7">
        <f>'1 datos preparados'!I481</f>
        <v/>
      </c>
      <c r="K488" s="7">
        <f>'1 datos preparados'!J481</f>
        <v/>
      </c>
      <c r="L488" s="7">
        <f>'1 datos preparados'!K481</f>
        <v/>
      </c>
      <c r="M488" s="7">
        <f>'1 datos preparados'!L481</f>
        <v/>
      </c>
      <c r="N488" s="7">
        <f>'1 datos preparados'!M481</f>
        <v/>
      </c>
      <c r="O488" s="7">
        <f>'1 datos preparados'!N481</f>
        <v/>
      </c>
      <c r="P488" s="7">
        <f>'1 datos preparados'!O481</f>
        <v/>
      </c>
      <c r="Q488" s="7">
        <f>'1 datos preparados'!P481</f>
        <v/>
      </c>
      <c r="R488" s="7">
        <f>'1 datos preparados'!Q481</f>
        <v/>
      </c>
      <c r="S488" s="7">
        <f>'1 datos preparados'!R481</f>
        <v/>
      </c>
      <c r="T488" s="7">
        <f>'1 datos preparados'!S481</f>
        <v/>
      </c>
      <c r="U488" s="7">
        <f>'1 datos preparados'!T481</f>
        <v/>
      </c>
      <c r="V488" s="8">
        <f>$AE$12+D488*$AE$13+E488*$AE$14+F488*$AE$15+G488*$AE$16+H488*$AE$17+I488*$AE$18+J488*$AE$19+K488*$AE$20+L488*$AE$21+M488*$AE$22+N488*$AE$23+O488*$AE$24+P488*$AE$25+Q488*$AE$26+R488*$AE$27+S488*$AE$28+T488*$AE$29+U488*$AE$30</f>
        <v/>
      </c>
      <c r="W488" s="8">
        <f>1/(1+EXP(-V488))</f>
        <v/>
      </c>
      <c r="X488" s="9">
        <f>-IF(C488=1,LN(W488),LN(1-W488))</f>
        <v/>
      </c>
      <c r="Y488" s="8">
        <f>IF(C488=1,$AE$32,$AE$33)</f>
        <v/>
      </c>
      <c r="Z488" s="9">
        <f>Y488*X488</f>
        <v/>
      </c>
      <c r="AA488" s="10">
        <f>IF(W488&gt;$AE$34,1,0)</f>
        <v/>
      </c>
      <c r="AB488">
        <f>IF(AA488=C488,1,0)</f>
        <v/>
      </c>
    </row>
    <row r="489">
      <c r="A489">
        <f>'1 datos preparados'!A482</f>
        <v/>
      </c>
      <c r="B489" s="5">
        <f>'1 datos preparados'!U482</f>
        <v/>
      </c>
      <c r="C489">
        <f>'1 datos preparados'!B482</f>
        <v/>
      </c>
      <c r="D489" s="7">
        <f>'1 datos preparados'!C482</f>
        <v/>
      </c>
      <c r="E489" s="7">
        <f>'1 datos preparados'!D482</f>
        <v/>
      </c>
      <c r="F489" s="7">
        <f>'1 datos preparados'!E482</f>
        <v/>
      </c>
      <c r="G489" s="7">
        <f>'1 datos preparados'!F482</f>
        <v/>
      </c>
      <c r="H489" s="7">
        <f>'1 datos preparados'!G482</f>
        <v/>
      </c>
      <c r="I489" s="7">
        <f>'1 datos preparados'!H482</f>
        <v/>
      </c>
      <c r="J489" s="7">
        <f>'1 datos preparados'!I482</f>
        <v/>
      </c>
      <c r="K489" s="7">
        <f>'1 datos preparados'!J482</f>
        <v/>
      </c>
      <c r="L489" s="7">
        <f>'1 datos preparados'!K482</f>
        <v/>
      </c>
      <c r="M489" s="7">
        <f>'1 datos preparados'!L482</f>
        <v/>
      </c>
      <c r="N489" s="7">
        <f>'1 datos preparados'!M482</f>
        <v/>
      </c>
      <c r="O489" s="7">
        <f>'1 datos preparados'!N482</f>
        <v/>
      </c>
      <c r="P489" s="7">
        <f>'1 datos preparados'!O482</f>
        <v/>
      </c>
      <c r="Q489" s="7">
        <f>'1 datos preparados'!P482</f>
        <v/>
      </c>
      <c r="R489" s="7">
        <f>'1 datos preparados'!Q482</f>
        <v/>
      </c>
      <c r="S489" s="7">
        <f>'1 datos preparados'!R482</f>
        <v/>
      </c>
      <c r="T489" s="7">
        <f>'1 datos preparados'!S482</f>
        <v/>
      </c>
      <c r="U489" s="7">
        <f>'1 datos preparados'!T482</f>
        <v/>
      </c>
      <c r="V489" s="8">
        <f>$AE$12+D489*$AE$13+E489*$AE$14+F489*$AE$15+G489*$AE$16+H489*$AE$17+I489*$AE$18+J489*$AE$19+K489*$AE$20+L489*$AE$21+M489*$AE$22+N489*$AE$23+O489*$AE$24+P489*$AE$25+Q489*$AE$26+R489*$AE$27+S489*$AE$28+T489*$AE$29+U489*$AE$30</f>
        <v/>
      </c>
      <c r="W489" s="8">
        <f>1/(1+EXP(-V489))</f>
        <v/>
      </c>
      <c r="X489" s="9">
        <f>-IF(C489=1,LN(W489),LN(1-W489))</f>
        <v/>
      </c>
      <c r="Y489" s="8">
        <f>IF(C489=1,$AE$32,$AE$33)</f>
        <v/>
      </c>
      <c r="Z489" s="9">
        <f>Y489*X489</f>
        <v/>
      </c>
      <c r="AA489" s="10">
        <f>IF(W489&gt;$AE$34,1,0)</f>
        <v/>
      </c>
      <c r="AB489">
        <f>IF(AA489=C489,1,0)</f>
        <v/>
      </c>
    </row>
    <row r="490">
      <c r="A490">
        <f>'1 datos preparados'!A483</f>
        <v/>
      </c>
      <c r="B490" s="5">
        <f>'1 datos preparados'!U483</f>
        <v/>
      </c>
      <c r="C490">
        <f>'1 datos preparados'!B483</f>
        <v/>
      </c>
      <c r="D490" s="7">
        <f>'1 datos preparados'!C483</f>
        <v/>
      </c>
      <c r="E490" s="7">
        <f>'1 datos preparados'!D483</f>
        <v/>
      </c>
      <c r="F490" s="7">
        <f>'1 datos preparados'!E483</f>
        <v/>
      </c>
      <c r="G490" s="7">
        <f>'1 datos preparados'!F483</f>
        <v/>
      </c>
      <c r="H490" s="7">
        <f>'1 datos preparados'!G483</f>
        <v/>
      </c>
      <c r="I490" s="7">
        <f>'1 datos preparados'!H483</f>
        <v/>
      </c>
      <c r="J490" s="7">
        <f>'1 datos preparados'!I483</f>
        <v/>
      </c>
      <c r="K490" s="7">
        <f>'1 datos preparados'!J483</f>
        <v/>
      </c>
      <c r="L490" s="7">
        <f>'1 datos preparados'!K483</f>
        <v/>
      </c>
      <c r="M490" s="7">
        <f>'1 datos preparados'!L483</f>
        <v/>
      </c>
      <c r="N490" s="7">
        <f>'1 datos preparados'!M483</f>
        <v/>
      </c>
      <c r="O490" s="7">
        <f>'1 datos preparados'!N483</f>
        <v/>
      </c>
      <c r="P490" s="7">
        <f>'1 datos preparados'!O483</f>
        <v/>
      </c>
      <c r="Q490" s="7">
        <f>'1 datos preparados'!P483</f>
        <v/>
      </c>
      <c r="R490" s="7">
        <f>'1 datos preparados'!Q483</f>
        <v/>
      </c>
      <c r="S490" s="7">
        <f>'1 datos preparados'!R483</f>
        <v/>
      </c>
      <c r="T490" s="7">
        <f>'1 datos preparados'!S483</f>
        <v/>
      </c>
      <c r="U490" s="7">
        <f>'1 datos preparados'!T483</f>
        <v/>
      </c>
      <c r="V490" s="8">
        <f>$AE$12+D490*$AE$13+E490*$AE$14+F490*$AE$15+G490*$AE$16+H490*$AE$17+I490*$AE$18+J490*$AE$19+K490*$AE$20+L490*$AE$21+M490*$AE$22+N490*$AE$23+O490*$AE$24+P490*$AE$25+Q490*$AE$26+R490*$AE$27+S490*$AE$28+T490*$AE$29+U490*$AE$30</f>
        <v/>
      </c>
      <c r="W490" s="8">
        <f>1/(1+EXP(-V490))</f>
        <v/>
      </c>
      <c r="X490" s="9">
        <f>-IF(C490=1,LN(W490),LN(1-W490))</f>
        <v/>
      </c>
      <c r="Y490" s="8">
        <f>IF(C490=1,$AE$32,$AE$33)</f>
        <v/>
      </c>
      <c r="Z490" s="9">
        <f>Y490*X490</f>
        <v/>
      </c>
      <c r="AA490" s="10">
        <f>IF(W490&gt;$AE$34,1,0)</f>
        <v/>
      </c>
      <c r="AB490">
        <f>IF(AA490=C490,1,0)</f>
        <v/>
      </c>
    </row>
    <row r="491">
      <c r="A491">
        <f>'1 datos preparados'!A484</f>
        <v/>
      </c>
      <c r="B491" s="5">
        <f>'1 datos preparados'!U484</f>
        <v/>
      </c>
      <c r="C491">
        <f>'1 datos preparados'!B484</f>
        <v/>
      </c>
      <c r="D491" s="7">
        <f>'1 datos preparados'!C484</f>
        <v/>
      </c>
      <c r="E491" s="7">
        <f>'1 datos preparados'!D484</f>
        <v/>
      </c>
      <c r="F491" s="7">
        <f>'1 datos preparados'!E484</f>
        <v/>
      </c>
      <c r="G491" s="7">
        <f>'1 datos preparados'!F484</f>
        <v/>
      </c>
      <c r="H491" s="7">
        <f>'1 datos preparados'!G484</f>
        <v/>
      </c>
      <c r="I491" s="7">
        <f>'1 datos preparados'!H484</f>
        <v/>
      </c>
      <c r="J491" s="7">
        <f>'1 datos preparados'!I484</f>
        <v/>
      </c>
      <c r="K491" s="7">
        <f>'1 datos preparados'!J484</f>
        <v/>
      </c>
      <c r="L491" s="7">
        <f>'1 datos preparados'!K484</f>
        <v/>
      </c>
      <c r="M491" s="7">
        <f>'1 datos preparados'!L484</f>
        <v/>
      </c>
      <c r="N491" s="7">
        <f>'1 datos preparados'!M484</f>
        <v/>
      </c>
      <c r="O491" s="7">
        <f>'1 datos preparados'!N484</f>
        <v/>
      </c>
      <c r="P491" s="7">
        <f>'1 datos preparados'!O484</f>
        <v/>
      </c>
      <c r="Q491" s="7">
        <f>'1 datos preparados'!P484</f>
        <v/>
      </c>
      <c r="R491" s="7">
        <f>'1 datos preparados'!Q484</f>
        <v/>
      </c>
      <c r="S491" s="7">
        <f>'1 datos preparados'!R484</f>
        <v/>
      </c>
      <c r="T491" s="7">
        <f>'1 datos preparados'!S484</f>
        <v/>
      </c>
      <c r="U491" s="7">
        <f>'1 datos preparados'!T484</f>
        <v/>
      </c>
      <c r="V491" s="8">
        <f>$AE$12+D491*$AE$13+E491*$AE$14+F491*$AE$15+G491*$AE$16+H491*$AE$17+I491*$AE$18+J491*$AE$19+K491*$AE$20+L491*$AE$21+M491*$AE$22+N491*$AE$23+O491*$AE$24+P491*$AE$25+Q491*$AE$26+R491*$AE$27+S491*$AE$28+T491*$AE$29+U491*$AE$30</f>
        <v/>
      </c>
      <c r="W491" s="8">
        <f>1/(1+EXP(-V491))</f>
        <v/>
      </c>
      <c r="X491" s="9">
        <f>-IF(C491=1,LN(W491),LN(1-W491))</f>
        <v/>
      </c>
      <c r="Y491" s="8">
        <f>IF(C491=1,$AE$32,$AE$33)</f>
        <v/>
      </c>
      <c r="Z491" s="9">
        <f>Y491*X491</f>
        <v/>
      </c>
      <c r="AA491" s="10">
        <f>IF(W491&gt;$AE$34,1,0)</f>
        <v/>
      </c>
      <c r="AB491">
        <f>IF(AA491=C491,1,0)</f>
        <v/>
      </c>
    </row>
    <row r="492">
      <c r="A492">
        <f>'1 datos preparados'!A485</f>
        <v/>
      </c>
      <c r="B492" s="5">
        <f>'1 datos preparados'!U485</f>
        <v/>
      </c>
      <c r="C492">
        <f>'1 datos preparados'!B485</f>
        <v/>
      </c>
      <c r="D492" s="7">
        <f>'1 datos preparados'!C485</f>
        <v/>
      </c>
      <c r="E492" s="7">
        <f>'1 datos preparados'!D485</f>
        <v/>
      </c>
      <c r="F492" s="7">
        <f>'1 datos preparados'!E485</f>
        <v/>
      </c>
      <c r="G492" s="7">
        <f>'1 datos preparados'!F485</f>
        <v/>
      </c>
      <c r="H492" s="7">
        <f>'1 datos preparados'!G485</f>
        <v/>
      </c>
      <c r="I492" s="7">
        <f>'1 datos preparados'!H485</f>
        <v/>
      </c>
      <c r="J492" s="7">
        <f>'1 datos preparados'!I485</f>
        <v/>
      </c>
      <c r="K492" s="7">
        <f>'1 datos preparados'!J485</f>
        <v/>
      </c>
      <c r="L492" s="7">
        <f>'1 datos preparados'!K485</f>
        <v/>
      </c>
      <c r="M492" s="7">
        <f>'1 datos preparados'!L485</f>
        <v/>
      </c>
      <c r="N492" s="7">
        <f>'1 datos preparados'!M485</f>
        <v/>
      </c>
      <c r="O492" s="7">
        <f>'1 datos preparados'!N485</f>
        <v/>
      </c>
      <c r="P492" s="7">
        <f>'1 datos preparados'!O485</f>
        <v/>
      </c>
      <c r="Q492" s="7">
        <f>'1 datos preparados'!P485</f>
        <v/>
      </c>
      <c r="R492" s="7">
        <f>'1 datos preparados'!Q485</f>
        <v/>
      </c>
      <c r="S492" s="7">
        <f>'1 datos preparados'!R485</f>
        <v/>
      </c>
      <c r="T492" s="7">
        <f>'1 datos preparados'!S485</f>
        <v/>
      </c>
      <c r="U492" s="7">
        <f>'1 datos preparados'!T485</f>
        <v/>
      </c>
      <c r="V492" s="8">
        <f>$AE$12+D492*$AE$13+E492*$AE$14+F492*$AE$15+G492*$AE$16+H492*$AE$17+I492*$AE$18+J492*$AE$19+K492*$AE$20+L492*$AE$21+M492*$AE$22+N492*$AE$23+O492*$AE$24+P492*$AE$25+Q492*$AE$26+R492*$AE$27+S492*$AE$28+T492*$AE$29+U492*$AE$30</f>
        <v/>
      </c>
      <c r="W492" s="8">
        <f>1/(1+EXP(-V492))</f>
        <v/>
      </c>
      <c r="X492" s="9">
        <f>-IF(C492=1,LN(W492),LN(1-W492))</f>
        <v/>
      </c>
      <c r="Y492" s="8">
        <f>IF(C492=1,$AE$32,$AE$33)</f>
        <v/>
      </c>
      <c r="Z492" s="9">
        <f>Y492*X492</f>
        <v/>
      </c>
      <c r="AA492" s="10">
        <f>IF(W492&gt;$AE$34,1,0)</f>
        <v/>
      </c>
      <c r="AB492">
        <f>IF(AA492=C492,1,0)</f>
        <v/>
      </c>
    </row>
    <row r="493">
      <c r="A493">
        <f>'1 datos preparados'!A486</f>
        <v/>
      </c>
      <c r="B493" s="5">
        <f>'1 datos preparados'!U486</f>
        <v/>
      </c>
      <c r="C493">
        <f>'1 datos preparados'!B486</f>
        <v/>
      </c>
      <c r="D493" s="7">
        <f>'1 datos preparados'!C486</f>
        <v/>
      </c>
      <c r="E493" s="7">
        <f>'1 datos preparados'!D486</f>
        <v/>
      </c>
      <c r="F493" s="7">
        <f>'1 datos preparados'!E486</f>
        <v/>
      </c>
      <c r="G493" s="7">
        <f>'1 datos preparados'!F486</f>
        <v/>
      </c>
      <c r="H493" s="7">
        <f>'1 datos preparados'!G486</f>
        <v/>
      </c>
      <c r="I493" s="7">
        <f>'1 datos preparados'!H486</f>
        <v/>
      </c>
      <c r="J493" s="7">
        <f>'1 datos preparados'!I486</f>
        <v/>
      </c>
      <c r="K493" s="7">
        <f>'1 datos preparados'!J486</f>
        <v/>
      </c>
      <c r="L493" s="7">
        <f>'1 datos preparados'!K486</f>
        <v/>
      </c>
      <c r="M493" s="7">
        <f>'1 datos preparados'!L486</f>
        <v/>
      </c>
      <c r="N493" s="7">
        <f>'1 datos preparados'!M486</f>
        <v/>
      </c>
      <c r="O493" s="7">
        <f>'1 datos preparados'!N486</f>
        <v/>
      </c>
      <c r="P493" s="7">
        <f>'1 datos preparados'!O486</f>
        <v/>
      </c>
      <c r="Q493" s="7">
        <f>'1 datos preparados'!P486</f>
        <v/>
      </c>
      <c r="R493" s="7">
        <f>'1 datos preparados'!Q486</f>
        <v/>
      </c>
      <c r="S493" s="7">
        <f>'1 datos preparados'!R486</f>
        <v/>
      </c>
      <c r="T493" s="7">
        <f>'1 datos preparados'!S486</f>
        <v/>
      </c>
      <c r="U493" s="7">
        <f>'1 datos preparados'!T486</f>
        <v/>
      </c>
      <c r="V493" s="8">
        <f>$AE$12+D493*$AE$13+E493*$AE$14+F493*$AE$15+G493*$AE$16+H493*$AE$17+I493*$AE$18+J493*$AE$19+K493*$AE$20+L493*$AE$21+M493*$AE$22+N493*$AE$23+O493*$AE$24+P493*$AE$25+Q493*$AE$26+R493*$AE$27+S493*$AE$28+T493*$AE$29+U493*$AE$30</f>
        <v/>
      </c>
      <c r="W493" s="8">
        <f>1/(1+EXP(-V493))</f>
        <v/>
      </c>
      <c r="X493" s="9">
        <f>-IF(C493=1,LN(W493),LN(1-W493))</f>
        <v/>
      </c>
      <c r="Y493" s="8">
        <f>IF(C493=1,$AE$32,$AE$33)</f>
        <v/>
      </c>
      <c r="Z493" s="9">
        <f>Y493*X493</f>
        <v/>
      </c>
      <c r="AA493" s="10">
        <f>IF(W493&gt;$AE$34,1,0)</f>
        <v/>
      </c>
      <c r="AB493">
        <f>IF(AA493=C493,1,0)</f>
        <v/>
      </c>
    </row>
    <row r="494">
      <c r="A494">
        <f>'1 datos preparados'!A487</f>
        <v/>
      </c>
      <c r="B494" s="5">
        <f>'1 datos preparados'!U487</f>
        <v/>
      </c>
      <c r="C494">
        <f>'1 datos preparados'!B487</f>
        <v/>
      </c>
      <c r="D494" s="7">
        <f>'1 datos preparados'!C487</f>
        <v/>
      </c>
      <c r="E494" s="7">
        <f>'1 datos preparados'!D487</f>
        <v/>
      </c>
      <c r="F494" s="7">
        <f>'1 datos preparados'!E487</f>
        <v/>
      </c>
      <c r="G494" s="7">
        <f>'1 datos preparados'!F487</f>
        <v/>
      </c>
      <c r="H494" s="7">
        <f>'1 datos preparados'!G487</f>
        <v/>
      </c>
      <c r="I494" s="7">
        <f>'1 datos preparados'!H487</f>
        <v/>
      </c>
      <c r="J494" s="7">
        <f>'1 datos preparados'!I487</f>
        <v/>
      </c>
      <c r="K494" s="7">
        <f>'1 datos preparados'!J487</f>
        <v/>
      </c>
      <c r="L494" s="7">
        <f>'1 datos preparados'!K487</f>
        <v/>
      </c>
      <c r="M494" s="7">
        <f>'1 datos preparados'!L487</f>
        <v/>
      </c>
      <c r="N494" s="7">
        <f>'1 datos preparados'!M487</f>
        <v/>
      </c>
      <c r="O494" s="7">
        <f>'1 datos preparados'!N487</f>
        <v/>
      </c>
      <c r="P494" s="7">
        <f>'1 datos preparados'!O487</f>
        <v/>
      </c>
      <c r="Q494" s="7">
        <f>'1 datos preparados'!P487</f>
        <v/>
      </c>
      <c r="R494" s="7">
        <f>'1 datos preparados'!Q487</f>
        <v/>
      </c>
      <c r="S494" s="7">
        <f>'1 datos preparados'!R487</f>
        <v/>
      </c>
      <c r="T494" s="7">
        <f>'1 datos preparados'!S487</f>
        <v/>
      </c>
      <c r="U494" s="7">
        <f>'1 datos preparados'!T487</f>
        <v/>
      </c>
      <c r="V494" s="8">
        <f>$AE$12+D494*$AE$13+E494*$AE$14+F494*$AE$15+G494*$AE$16+H494*$AE$17+I494*$AE$18+J494*$AE$19+K494*$AE$20+L494*$AE$21+M494*$AE$22+N494*$AE$23+O494*$AE$24+P494*$AE$25+Q494*$AE$26+R494*$AE$27+S494*$AE$28+T494*$AE$29+U494*$AE$30</f>
        <v/>
      </c>
      <c r="W494" s="8">
        <f>1/(1+EXP(-V494))</f>
        <v/>
      </c>
      <c r="X494" s="9">
        <f>-IF(C494=1,LN(W494),LN(1-W494))</f>
        <v/>
      </c>
      <c r="Y494" s="8">
        <f>IF(C494=1,$AE$32,$AE$33)</f>
        <v/>
      </c>
      <c r="Z494" s="9">
        <f>Y494*X494</f>
        <v/>
      </c>
      <c r="AA494" s="10">
        <f>IF(W494&gt;$AE$34,1,0)</f>
        <v/>
      </c>
      <c r="AB494">
        <f>IF(AA494=C494,1,0)</f>
        <v/>
      </c>
    </row>
    <row r="495">
      <c r="A495">
        <f>'1 datos preparados'!A488</f>
        <v/>
      </c>
      <c r="B495" s="5">
        <f>'1 datos preparados'!U488</f>
        <v/>
      </c>
      <c r="C495">
        <f>'1 datos preparados'!B488</f>
        <v/>
      </c>
      <c r="D495" s="7">
        <f>'1 datos preparados'!C488</f>
        <v/>
      </c>
      <c r="E495" s="7">
        <f>'1 datos preparados'!D488</f>
        <v/>
      </c>
      <c r="F495" s="7">
        <f>'1 datos preparados'!E488</f>
        <v/>
      </c>
      <c r="G495" s="7">
        <f>'1 datos preparados'!F488</f>
        <v/>
      </c>
      <c r="H495" s="7">
        <f>'1 datos preparados'!G488</f>
        <v/>
      </c>
      <c r="I495" s="7">
        <f>'1 datos preparados'!H488</f>
        <v/>
      </c>
      <c r="J495" s="7">
        <f>'1 datos preparados'!I488</f>
        <v/>
      </c>
      <c r="K495" s="7">
        <f>'1 datos preparados'!J488</f>
        <v/>
      </c>
      <c r="L495" s="7">
        <f>'1 datos preparados'!K488</f>
        <v/>
      </c>
      <c r="M495" s="7">
        <f>'1 datos preparados'!L488</f>
        <v/>
      </c>
      <c r="N495" s="7">
        <f>'1 datos preparados'!M488</f>
        <v/>
      </c>
      <c r="O495" s="7">
        <f>'1 datos preparados'!N488</f>
        <v/>
      </c>
      <c r="P495" s="7">
        <f>'1 datos preparados'!O488</f>
        <v/>
      </c>
      <c r="Q495" s="7">
        <f>'1 datos preparados'!P488</f>
        <v/>
      </c>
      <c r="R495" s="7">
        <f>'1 datos preparados'!Q488</f>
        <v/>
      </c>
      <c r="S495" s="7">
        <f>'1 datos preparados'!R488</f>
        <v/>
      </c>
      <c r="T495" s="7">
        <f>'1 datos preparados'!S488</f>
        <v/>
      </c>
      <c r="U495" s="7">
        <f>'1 datos preparados'!T488</f>
        <v/>
      </c>
      <c r="V495" s="8">
        <f>$AE$12+D495*$AE$13+E495*$AE$14+F495*$AE$15+G495*$AE$16+H495*$AE$17+I495*$AE$18+J495*$AE$19+K495*$AE$20+L495*$AE$21+M495*$AE$22+N495*$AE$23+O495*$AE$24+P495*$AE$25+Q495*$AE$26+R495*$AE$27+S495*$AE$28+T495*$AE$29+U495*$AE$30</f>
        <v/>
      </c>
      <c r="W495" s="8">
        <f>1/(1+EXP(-V495))</f>
        <v/>
      </c>
      <c r="X495" s="9">
        <f>-IF(C495=1,LN(W495),LN(1-W495))</f>
        <v/>
      </c>
      <c r="Y495" s="8">
        <f>IF(C495=1,$AE$32,$AE$33)</f>
        <v/>
      </c>
      <c r="Z495" s="9">
        <f>Y495*X495</f>
        <v/>
      </c>
      <c r="AA495" s="10">
        <f>IF(W495&gt;$AE$34,1,0)</f>
        <v/>
      </c>
      <c r="AB495">
        <f>IF(AA495=C495,1,0)</f>
        <v/>
      </c>
    </row>
    <row r="496">
      <c r="A496">
        <f>'1 datos preparados'!A489</f>
        <v/>
      </c>
      <c r="B496" s="5">
        <f>'1 datos preparados'!U489</f>
        <v/>
      </c>
      <c r="C496">
        <f>'1 datos preparados'!B489</f>
        <v/>
      </c>
      <c r="D496" s="7">
        <f>'1 datos preparados'!C489</f>
        <v/>
      </c>
      <c r="E496" s="7">
        <f>'1 datos preparados'!D489</f>
        <v/>
      </c>
      <c r="F496" s="7">
        <f>'1 datos preparados'!E489</f>
        <v/>
      </c>
      <c r="G496" s="7">
        <f>'1 datos preparados'!F489</f>
        <v/>
      </c>
      <c r="H496" s="7">
        <f>'1 datos preparados'!G489</f>
        <v/>
      </c>
      <c r="I496" s="7">
        <f>'1 datos preparados'!H489</f>
        <v/>
      </c>
      <c r="J496" s="7">
        <f>'1 datos preparados'!I489</f>
        <v/>
      </c>
      <c r="K496" s="7">
        <f>'1 datos preparados'!J489</f>
        <v/>
      </c>
      <c r="L496" s="7">
        <f>'1 datos preparados'!K489</f>
        <v/>
      </c>
      <c r="M496" s="7">
        <f>'1 datos preparados'!L489</f>
        <v/>
      </c>
      <c r="N496" s="7">
        <f>'1 datos preparados'!M489</f>
        <v/>
      </c>
      <c r="O496" s="7">
        <f>'1 datos preparados'!N489</f>
        <v/>
      </c>
      <c r="P496" s="7">
        <f>'1 datos preparados'!O489</f>
        <v/>
      </c>
      <c r="Q496" s="7">
        <f>'1 datos preparados'!P489</f>
        <v/>
      </c>
      <c r="R496" s="7">
        <f>'1 datos preparados'!Q489</f>
        <v/>
      </c>
      <c r="S496" s="7">
        <f>'1 datos preparados'!R489</f>
        <v/>
      </c>
      <c r="T496" s="7">
        <f>'1 datos preparados'!S489</f>
        <v/>
      </c>
      <c r="U496" s="7">
        <f>'1 datos preparados'!T489</f>
        <v/>
      </c>
      <c r="V496" s="8">
        <f>$AE$12+D496*$AE$13+E496*$AE$14+F496*$AE$15+G496*$AE$16+H496*$AE$17+I496*$AE$18+J496*$AE$19+K496*$AE$20+L496*$AE$21+M496*$AE$22+N496*$AE$23+O496*$AE$24+P496*$AE$25+Q496*$AE$26+R496*$AE$27+S496*$AE$28+T496*$AE$29+U496*$AE$30</f>
        <v/>
      </c>
      <c r="W496" s="8">
        <f>1/(1+EXP(-V496))</f>
        <v/>
      </c>
      <c r="X496" s="9">
        <f>-IF(C496=1,LN(W496),LN(1-W496))</f>
        <v/>
      </c>
      <c r="Y496" s="8">
        <f>IF(C496=1,$AE$32,$AE$33)</f>
        <v/>
      </c>
      <c r="Z496" s="9">
        <f>Y496*X496</f>
        <v/>
      </c>
      <c r="AA496" s="10">
        <f>IF(W496&gt;$AE$34,1,0)</f>
        <v/>
      </c>
      <c r="AB496">
        <f>IF(AA496=C496,1,0)</f>
        <v/>
      </c>
    </row>
    <row r="497">
      <c r="A497">
        <f>'1 datos preparados'!A490</f>
        <v/>
      </c>
      <c r="B497" s="5">
        <f>'1 datos preparados'!U490</f>
        <v/>
      </c>
      <c r="C497">
        <f>'1 datos preparados'!B490</f>
        <v/>
      </c>
      <c r="D497" s="7">
        <f>'1 datos preparados'!C490</f>
        <v/>
      </c>
      <c r="E497" s="7">
        <f>'1 datos preparados'!D490</f>
        <v/>
      </c>
      <c r="F497" s="7">
        <f>'1 datos preparados'!E490</f>
        <v/>
      </c>
      <c r="G497" s="7">
        <f>'1 datos preparados'!F490</f>
        <v/>
      </c>
      <c r="H497" s="7">
        <f>'1 datos preparados'!G490</f>
        <v/>
      </c>
      <c r="I497" s="7">
        <f>'1 datos preparados'!H490</f>
        <v/>
      </c>
      <c r="J497" s="7">
        <f>'1 datos preparados'!I490</f>
        <v/>
      </c>
      <c r="K497" s="7">
        <f>'1 datos preparados'!J490</f>
        <v/>
      </c>
      <c r="L497" s="7">
        <f>'1 datos preparados'!K490</f>
        <v/>
      </c>
      <c r="M497" s="7">
        <f>'1 datos preparados'!L490</f>
        <v/>
      </c>
      <c r="N497" s="7">
        <f>'1 datos preparados'!M490</f>
        <v/>
      </c>
      <c r="O497" s="7">
        <f>'1 datos preparados'!N490</f>
        <v/>
      </c>
      <c r="P497" s="7">
        <f>'1 datos preparados'!O490</f>
        <v/>
      </c>
      <c r="Q497" s="7">
        <f>'1 datos preparados'!P490</f>
        <v/>
      </c>
      <c r="R497" s="7">
        <f>'1 datos preparados'!Q490</f>
        <v/>
      </c>
      <c r="S497" s="7">
        <f>'1 datos preparados'!R490</f>
        <v/>
      </c>
      <c r="T497" s="7">
        <f>'1 datos preparados'!S490</f>
        <v/>
      </c>
      <c r="U497" s="7">
        <f>'1 datos preparados'!T490</f>
        <v/>
      </c>
      <c r="V497" s="8">
        <f>$AE$12+D497*$AE$13+E497*$AE$14+F497*$AE$15+G497*$AE$16+H497*$AE$17+I497*$AE$18+J497*$AE$19+K497*$AE$20+L497*$AE$21+M497*$AE$22+N497*$AE$23+O497*$AE$24+P497*$AE$25+Q497*$AE$26+R497*$AE$27+S497*$AE$28+T497*$AE$29+U497*$AE$30</f>
        <v/>
      </c>
      <c r="W497" s="8">
        <f>1/(1+EXP(-V497))</f>
        <v/>
      </c>
      <c r="X497" s="9">
        <f>-IF(C497=1,LN(W497),LN(1-W497))</f>
        <v/>
      </c>
      <c r="Y497" s="8">
        <f>IF(C497=1,$AE$32,$AE$33)</f>
        <v/>
      </c>
      <c r="Z497" s="9">
        <f>Y497*X497</f>
        <v/>
      </c>
      <c r="AA497" s="10">
        <f>IF(W497&gt;$AE$34,1,0)</f>
        <v/>
      </c>
      <c r="AB497">
        <f>IF(AA497=C497,1,0)</f>
        <v/>
      </c>
    </row>
    <row r="498">
      <c r="A498">
        <f>'1 datos preparados'!A491</f>
        <v/>
      </c>
      <c r="B498" s="5">
        <f>'1 datos preparados'!U491</f>
        <v/>
      </c>
      <c r="C498">
        <f>'1 datos preparados'!B491</f>
        <v/>
      </c>
      <c r="D498" s="7">
        <f>'1 datos preparados'!C491</f>
        <v/>
      </c>
      <c r="E498" s="7">
        <f>'1 datos preparados'!D491</f>
        <v/>
      </c>
      <c r="F498" s="7">
        <f>'1 datos preparados'!E491</f>
        <v/>
      </c>
      <c r="G498" s="7">
        <f>'1 datos preparados'!F491</f>
        <v/>
      </c>
      <c r="H498" s="7">
        <f>'1 datos preparados'!G491</f>
        <v/>
      </c>
      <c r="I498" s="7">
        <f>'1 datos preparados'!H491</f>
        <v/>
      </c>
      <c r="J498" s="7">
        <f>'1 datos preparados'!I491</f>
        <v/>
      </c>
      <c r="K498" s="7">
        <f>'1 datos preparados'!J491</f>
        <v/>
      </c>
      <c r="L498" s="7">
        <f>'1 datos preparados'!K491</f>
        <v/>
      </c>
      <c r="M498" s="7">
        <f>'1 datos preparados'!L491</f>
        <v/>
      </c>
      <c r="N498" s="7">
        <f>'1 datos preparados'!M491</f>
        <v/>
      </c>
      <c r="O498" s="7">
        <f>'1 datos preparados'!N491</f>
        <v/>
      </c>
      <c r="P498" s="7">
        <f>'1 datos preparados'!O491</f>
        <v/>
      </c>
      <c r="Q498" s="7">
        <f>'1 datos preparados'!P491</f>
        <v/>
      </c>
      <c r="R498" s="7">
        <f>'1 datos preparados'!Q491</f>
        <v/>
      </c>
      <c r="S498" s="7">
        <f>'1 datos preparados'!R491</f>
        <v/>
      </c>
      <c r="T498" s="7">
        <f>'1 datos preparados'!S491</f>
        <v/>
      </c>
      <c r="U498" s="7">
        <f>'1 datos preparados'!T491</f>
        <v/>
      </c>
      <c r="V498" s="8">
        <f>$AE$12+D498*$AE$13+E498*$AE$14+F498*$AE$15+G498*$AE$16+H498*$AE$17+I498*$AE$18+J498*$AE$19+K498*$AE$20+L498*$AE$21+M498*$AE$22+N498*$AE$23+O498*$AE$24+P498*$AE$25+Q498*$AE$26+R498*$AE$27+S498*$AE$28+T498*$AE$29+U498*$AE$30</f>
        <v/>
      </c>
      <c r="W498" s="8">
        <f>1/(1+EXP(-V498))</f>
        <v/>
      </c>
      <c r="X498" s="9">
        <f>-IF(C498=1,LN(W498),LN(1-W498))</f>
        <v/>
      </c>
      <c r="Y498" s="8">
        <f>IF(C498=1,$AE$32,$AE$33)</f>
        <v/>
      </c>
      <c r="Z498" s="9">
        <f>Y498*X498</f>
        <v/>
      </c>
      <c r="AA498" s="10">
        <f>IF(W498&gt;$AE$34,1,0)</f>
        <v/>
      </c>
      <c r="AB498">
        <f>IF(AA498=C498,1,0)</f>
        <v/>
      </c>
    </row>
    <row r="499">
      <c r="A499">
        <f>'1 datos preparados'!A492</f>
        <v/>
      </c>
      <c r="B499" s="5">
        <f>'1 datos preparados'!U492</f>
        <v/>
      </c>
      <c r="C499">
        <f>'1 datos preparados'!B492</f>
        <v/>
      </c>
      <c r="D499" s="7">
        <f>'1 datos preparados'!C492</f>
        <v/>
      </c>
      <c r="E499" s="7">
        <f>'1 datos preparados'!D492</f>
        <v/>
      </c>
      <c r="F499" s="7">
        <f>'1 datos preparados'!E492</f>
        <v/>
      </c>
      <c r="G499" s="7">
        <f>'1 datos preparados'!F492</f>
        <v/>
      </c>
      <c r="H499" s="7">
        <f>'1 datos preparados'!G492</f>
        <v/>
      </c>
      <c r="I499" s="7">
        <f>'1 datos preparados'!H492</f>
        <v/>
      </c>
      <c r="J499" s="7">
        <f>'1 datos preparados'!I492</f>
        <v/>
      </c>
      <c r="K499" s="7">
        <f>'1 datos preparados'!J492</f>
        <v/>
      </c>
      <c r="L499" s="7">
        <f>'1 datos preparados'!K492</f>
        <v/>
      </c>
      <c r="M499" s="7">
        <f>'1 datos preparados'!L492</f>
        <v/>
      </c>
      <c r="N499" s="7">
        <f>'1 datos preparados'!M492</f>
        <v/>
      </c>
      <c r="O499" s="7">
        <f>'1 datos preparados'!N492</f>
        <v/>
      </c>
      <c r="P499" s="7">
        <f>'1 datos preparados'!O492</f>
        <v/>
      </c>
      <c r="Q499" s="7">
        <f>'1 datos preparados'!P492</f>
        <v/>
      </c>
      <c r="R499" s="7">
        <f>'1 datos preparados'!Q492</f>
        <v/>
      </c>
      <c r="S499" s="7">
        <f>'1 datos preparados'!R492</f>
        <v/>
      </c>
      <c r="T499" s="7">
        <f>'1 datos preparados'!S492</f>
        <v/>
      </c>
      <c r="U499" s="7">
        <f>'1 datos preparados'!T492</f>
        <v/>
      </c>
      <c r="V499" s="8">
        <f>$AE$12+D499*$AE$13+E499*$AE$14+F499*$AE$15+G499*$AE$16+H499*$AE$17+I499*$AE$18+J499*$AE$19+K499*$AE$20+L499*$AE$21+M499*$AE$22+N499*$AE$23+O499*$AE$24+P499*$AE$25+Q499*$AE$26+R499*$AE$27+S499*$AE$28+T499*$AE$29+U499*$AE$30</f>
        <v/>
      </c>
      <c r="W499" s="8">
        <f>1/(1+EXP(-V499))</f>
        <v/>
      </c>
      <c r="X499" s="9">
        <f>-IF(C499=1,LN(W499),LN(1-W499))</f>
        <v/>
      </c>
      <c r="Y499" s="8">
        <f>IF(C499=1,$AE$32,$AE$33)</f>
        <v/>
      </c>
      <c r="Z499" s="9">
        <f>Y499*X499</f>
        <v/>
      </c>
      <c r="AA499" s="10">
        <f>IF(W499&gt;$AE$34,1,0)</f>
        <v/>
      </c>
      <c r="AB499">
        <f>IF(AA499=C499,1,0)</f>
        <v/>
      </c>
    </row>
    <row r="500">
      <c r="A500">
        <f>'1 datos preparados'!A493</f>
        <v/>
      </c>
      <c r="B500" s="5">
        <f>'1 datos preparados'!U493</f>
        <v/>
      </c>
      <c r="C500">
        <f>'1 datos preparados'!B493</f>
        <v/>
      </c>
      <c r="D500" s="7">
        <f>'1 datos preparados'!C493</f>
        <v/>
      </c>
      <c r="E500" s="7">
        <f>'1 datos preparados'!D493</f>
        <v/>
      </c>
      <c r="F500" s="7">
        <f>'1 datos preparados'!E493</f>
        <v/>
      </c>
      <c r="G500" s="7">
        <f>'1 datos preparados'!F493</f>
        <v/>
      </c>
      <c r="H500" s="7">
        <f>'1 datos preparados'!G493</f>
        <v/>
      </c>
      <c r="I500" s="7">
        <f>'1 datos preparados'!H493</f>
        <v/>
      </c>
      <c r="J500" s="7">
        <f>'1 datos preparados'!I493</f>
        <v/>
      </c>
      <c r="K500" s="7">
        <f>'1 datos preparados'!J493</f>
        <v/>
      </c>
      <c r="L500" s="7">
        <f>'1 datos preparados'!K493</f>
        <v/>
      </c>
      <c r="M500" s="7">
        <f>'1 datos preparados'!L493</f>
        <v/>
      </c>
      <c r="N500" s="7">
        <f>'1 datos preparados'!M493</f>
        <v/>
      </c>
      <c r="O500" s="7">
        <f>'1 datos preparados'!N493</f>
        <v/>
      </c>
      <c r="P500" s="7">
        <f>'1 datos preparados'!O493</f>
        <v/>
      </c>
      <c r="Q500" s="7">
        <f>'1 datos preparados'!P493</f>
        <v/>
      </c>
      <c r="R500" s="7">
        <f>'1 datos preparados'!Q493</f>
        <v/>
      </c>
      <c r="S500" s="7">
        <f>'1 datos preparados'!R493</f>
        <v/>
      </c>
      <c r="T500" s="7">
        <f>'1 datos preparados'!S493</f>
        <v/>
      </c>
      <c r="U500" s="7">
        <f>'1 datos preparados'!T493</f>
        <v/>
      </c>
      <c r="V500" s="8">
        <f>$AE$12+D500*$AE$13+E500*$AE$14+F500*$AE$15+G500*$AE$16+H500*$AE$17+I500*$AE$18+J500*$AE$19+K500*$AE$20+L500*$AE$21+M500*$AE$22+N500*$AE$23+O500*$AE$24+P500*$AE$25+Q500*$AE$26+R500*$AE$27+S500*$AE$28+T500*$AE$29+U500*$AE$30</f>
        <v/>
      </c>
      <c r="W500" s="8">
        <f>1/(1+EXP(-V500))</f>
        <v/>
      </c>
      <c r="X500" s="9">
        <f>-IF(C500=1,LN(W500),LN(1-W500))</f>
        <v/>
      </c>
      <c r="Y500" s="8">
        <f>IF(C500=1,$AE$32,$AE$33)</f>
        <v/>
      </c>
      <c r="Z500" s="9">
        <f>Y500*X500</f>
        <v/>
      </c>
      <c r="AA500" s="10">
        <f>IF(W500&gt;$AE$34,1,0)</f>
        <v/>
      </c>
      <c r="AB500">
        <f>IF(AA500=C500,1,0)</f>
        <v/>
      </c>
    </row>
    <row r="501">
      <c r="A501">
        <f>'1 datos preparados'!A494</f>
        <v/>
      </c>
      <c r="B501" s="5">
        <f>'1 datos preparados'!U494</f>
        <v/>
      </c>
      <c r="C501">
        <f>'1 datos preparados'!B494</f>
        <v/>
      </c>
      <c r="D501" s="7">
        <f>'1 datos preparados'!C494</f>
        <v/>
      </c>
      <c r="E501" s="7">
        <f>'1 datos preparados'!D494</f>
        <v/>
      </c>
      <c r="F501" s="7">
        <f>'1 datos preparados'!E494</f>
        <v/>
      </c>
      <c r="G501" s="7">
        <f>'1 datos preparados'!F494</f>
        <v/>
      </c>
      <c r="H501" s="7">
        <f>'1 datos preparados'!G494</f>
        <v/>
      </c>
      <c r="I501" s="7">
        <f>'1 datos preparados'!H494</f>
        <v/>
      </c>
      <c r="J501" s="7">
        <f>'1 datos preparados'!I494</f>
        <v/>
      </c>
      <c r="K501" s="7">
        <f>'1 datos preparados'!J494</f>
        <v/>
      </c>
      <c r="L501" s="7">
        <f>'1 datos preparados'!K494</f>
        <v/>
      </c>
      <c r="M501" s="7">
        <f>'1 datos preparados'!L494</f>
        <v/>
      </c>
      <c r="N501" s="7">
        <f>'1 datos preparados'!M494</f>
        <v/>
      </c>
      <c r="O501" s="7">
        <f>'1 datos preparados'!N494</f>
        <v/>
      </c>
      <c r="P501" s="7">
        <f>'1 datos preparados'!O494</f>
        <v/>
      </c>
      <c r="Q501" s="7">
        <f>'1 datos preparados'!P494</f>
        <v/>
      </c>
      <c r="R501" s="7">
        <f>'1 datos preparados'!Q494</f>
        <v/>
      </c>
      <c r="S501" s="7">
        <f>'1 datos preparados'!R494</f>
        <v/>
      </c>
      <c r="T501" s="7">
        <f>'1 datos preparados'!S494</f>
        <v/>
      </c>
      <c r="U501" s="7">
        <f>'1 datos preparados'!T494</f>
        <v/>
      </c>
      <c r="V501" s="8">
        <f>$AE$12+D501*$AE$13+E501*$AE$14+F501*$AE$15+G501*$AE$16+H501*$AE$17+I501*$AE$18+J501*$AE$19+K501*$AE$20+L501*$AE$21+M501*$AE$22+N501*$AE$23+O501*$AE$24+P501*$AE$25+Q501*$AE$26+R501*$AE$27+S501*$AE$28+T501*$AE$29+U501*$AE$30</f>
        <v/>
      </c>
      <c r="W501" s="8">
        <f>1/(1+EXP(-V501))</f>
        <v/>
      </c>
      <c r="X501" s="9">
        <f>-IF(C501=1,LN(W501),LN(1-W501))</f>
        <v/>
      </c>
      <c r="Y501" s="8">
        <f>IF(C501=1,$AE$32,$AE$33)</f>
        <v/>
      </c>
      <c r="Z501" s="9">
        <f>Y501*X501</f>
        <v/>
      </c>
      <c r="AA501" s="10">
        <f>IF(W501&gt;$AE$34,1,0)</f>
        <v/>
      </c>
      <c r="AB501">
        <f>IF(AA501=C501,1,0)</f>
        <v/>
      </c>
    </row>
    <row r="502">
      <c r="A502">
        <f>'1 datos preparados'!A495</f>
        <v/>
      </c>
      <c r="B502" s="5">
        <f>'1 datos preparados'!U495</f>
        <v/>
      </c>
      <c r="C502">
        <f>'1 datos preparados'!B495</f>
        <v/>
      </c>
      <c r="D502" s="7">
        <f>'1 datos preparados'!C495</f>
        <v/>
      </c>
      <c r="E502" s="7">
        <f>'1 datos preparados'!D495</f>
        <v/>
      </c>
      <c r="F502" s="7">
        <f>'1 datos preparados'!E495</f>
        <v/>
      </c>
      <c r="G502" s="7">
        <f>'1 datos preparados'!F495</f>
        <v/>
      </c>
      <c r="H502" s="7">
        <f>'1 datos preparados'!G495</f>
        <v/>
      </c>
      <c r="I502" s="7">
        <f>'1 datos preparados'!H495</f>
        <v/>
      </c>
      <c r="J502" s="7">
        <f>'1 datos preparados'!I495</f>
        <v/>
      </c>
      <c r="K502" s="7">
        <f>'1 datos preparados'!J495</f>
        <v/>
      </c>
      <c r="L502" s="7">
        <f>'1 datos preparados'!K495</f>
        <v/>
      </c>
      <c r="M502" s="7">
        <f>'1 datos preparados'!L495</f>
        <v/>
      </c>
      <c r="N502" s="7">
        <f>'1 datos preparados'!M495</f>
        <v/>
      </c>
      <c r="O502" s="7">
        <f>'1 datos preparados'!N495</f>
        <v/>
      </c>
      <c r="P502" s="7">
        <f>'1 datos preparados'!O495</f>
        <v/>
      </c>
      <c r="Q502" s="7">
        <f>'1 datos preparados'!P495</f>
        <v/>
      </c>
      <c r="R502" s="7">
        <f>'1 datos preparados'!Q495</f>
        <v/>
      </c>
      <c r="S502" s="7">
        <f>'1 datos preparados'!R495</f>
        <v/>
      </c>
      <c r="T502" s="7">
        <f>'1 datos preparados'!S495</f>
        <v/>
      </c>
      <c r="U502" s="7">
        <f>'1 datos preparados'!T495</f>
        <v/>
      </c>
      <c r="V502" s="8">
        <f>$AE$12+D502*$AE$13+E502*$AE$14+F502*$AE$15+G502*$AE$16+H502*$AE$17+I502*$AE$18+J502*$AE$19+K502*$AE$20+L502*$AE$21+M502*$AE$22+N502*$AE$23+O502*$AE$24+P502*$AE$25+Q502*$AE$26+R502*$AE$27+S502*$AE$28+T502*$AE$29+U502*$AE$30</f>
        <v/>
      </c>
      <c r="W502" s="8">
        <f>1/(1+EXP(-V502))</f>
        <v/>
      </c>
      <c r="X502" s="9">
        <f>-IF(C502=1,LN(W502),LN(1-W502))</f>
        <v/>
      </c>
      <c r="Y502" s="8">
        <f>IF(C502=1,$AE$32,$AE$33)</f>
        <v/>
      </c>
      <c r="Z502" s="9">
        <f>Y502*X502</f>
        <v/>
      </c>
      <c r="AA502" s="10">
        <f>IF(W502&gt;$AE$34,1,0)</f>
        <v/>
      </c>
      <c r="AB502">
        <f>IF(AA502=C502,1,0)</f>
        <v/>
      </c>
    </row>
    <row r="503">
      <c r="A503">
        <f>'1 datos preparados'!A496</f>
        <v/>
      </c>
      <c r="B503" s="5">
        <f>'1 datos preparados'!U496</f>
        <v/>
      </c>
      <c r="C503">
        <f>'1 datos preparados'!B496</f>
        <v/>
      </c>
      <c r="D503" s="7">
        <f>'1 datos preparados'!C496</f>
        <v/>
      </c>
      <c r="E503" s="7">
        <f>'1 datos preparados'!D496</f>
        <v/>
      </c>
      <c r="F503" s="7">
        <f>'1 datos preparados'!E496</f>
        <v/>
      </c>
      <c r="G503" s="7">
        <f>'1 datos preparados'!F496</f>
        <v/>
      </c>
      <c r="H503" s="7">
        <f>'1 datos preparados'!G496</f>
        <v/>
      </c>
      <c r="I503" s="7">
        <f>'1 datos preparados'!H496</f>
        <v/>
      </c>
      <c r="J503" s="7">
        <f>'1 datos preparados'!I496</f>
        <v/>
      </c>
      <c r="K503" s="7">
        <f>'1 datos preparados'!J496</f>
        <v/>
      </c>
      <c r="L503" s="7">
        <f>'1 datos preparados'!K496</f>
        <v/>
      </c>
      <c r="M503" s="7">
        <f>'1 datos preparados'!L496</f>
        <v/>
      </c>
      <c r="N503" s="7">
        <f>'1 datos preparados'!M496</f>
        <v/>
      </c>
      <c r="O503" s="7">
        <f>'1 datos preparados'!N496</f>
        <v/>
      </c>
      <c r="P503" s="7">
        <f>'1 datos preparados'!O496</f>
        <v/>
      </c>
      <c r="Q503" s="7">
        <f>'1 datos preparados'!P496</f>
        <v/>
      </c>
      <c r="R503" s="7">
        <f>'1 datos preparados'!Q496</f>
        <v/>
      </c>
      <c r="S503" s="7">
        <f>'1 datos preparados'!R496</f>
        <v/>
      </c>
      <c r="T503" s="7">
        <f>'1 datos preparados'!S496</f>
        <v/>
      </c>
      <c r="U503" s="7">
        <f>'1 datos preparados'!T496</f>
        <v/>
      </c>
      <c r="V503" s="8">
        <f>$AE$12+D503*$AE$13+E503*$AE$14+F503*$AE$15+G503*$AE$16+H503*$AE$17+I503*$AE$18+J503*$AE$19+K503*$AE$20+L503*$AE$21+M503*$AE$22+N503*$AE$23+O503*$AE$24+P503*$AE$25+Q503*$AE$26+R503*$AE$27+S503*$AE$28+T503*$AE$29+U503*$AE$30</f>
        <v/>
      </c>
      <c r="W503" s="8">
        <f>1/(1+EXP(-V503))</f>
        <v/>
      </c>
      <c r="X503" s="9">
        <f>-IF(C503=1,LN(W503),LN(1-W503))</f>
        <v/>
      </c>
      <c r="Y503" s="8">
        <f>IF(C503=1,$AE$32,$AE$33)</f>
        <v/>
      </c>
      <c r="Z503" s="9">
        <f>Y503*X503</f>
        <v/>
      </c>
      <c r="AA503" s="10">
        <f>IF(W503&gt;$AE$34,1,0)</f>
        <v/>
      </c>
      <c r="AB503">
        <f>IF(AA503=C503,1,0)</f>
        <v/>
      </c>
    </row>
    <row r="504">
      <c r="A504">
        <f>'1 datos preparados'!A497</f>
        <v/>
      </c>
      <c r="B504" s="5">
        <f>'1 datos preparados'!U497</f>
        <v/>
      </c>
      <c r="C504">
        <f>'1 datos preparados'!B497</f>
        <v/>
      </c>
      <c r="D504" s="7">
        <f>'1 datos preparados'!C497</f>
        <v/>
      </c>
      <c r="E504" s="7">
        <f>'1 datos preparados'!D497</f>
        <v/>
      </c>
      <c r="F504" s="7">
        <f>'1 datos preparados'!E497</f>
        <v/>
      </c>
      <c r="G504" s="7">
        <f>'1 datos preparados'!F497</f>
        <v/>
      </c>
      <c r="H504" s="7">
        <f>'1 datos preparados'!G497</f>
        <v/>
      </c>
      <c r="I504" s="7">
        <f>'1 datos preparados'!H497</f>
        <v/>
      </c>
      <c r="J504" s="7">
        <f>'1 datos preparados'!I497</f>
        <v/>
      </c>
      <c r="K504" s="7">
        <f>'1 datos preparados'!J497</f>
        <v/>
      </c>
      <c r="L504" s="7">
        <f>'1 datos preparados'!K497</f>
        <v/>
      </c>
      <c r="M504" s="7">
        <f>'1 datos preparados'!L497</f>
        <v/>
      </c>
      <c r="N504" s="7">
        <f>'1 datos preparados'!M497</f>
        <v/>
      </c>
      <c r="O504" s="7">
        <f>'1 datos preparados'!N497</f>
        <v/>
      </c>
      <c r="P504" s="7">
        <f>'1 datos preparados'!O497</f>
        <v/>
      </c>
      <c r="Q504" s="7">
        <f>'1 datos preparados'!P497</f>
        <v/>
      </c>
      <c r="R504" s="7">
        <f>'1 datos preparados'!Q497</f>
        <v/>
      </c>
      <c r="S504" s="7">
        <f>'1 datos preparados'!R497</f>
        <v/>
      </c>
      <c r="T504" s="7">
        <f>'1 datos preparados'!S497</f>
        <v/>
      </c>
      <c r="U504" s="7">
        <f>'1 datos preparados'!T497</f>
        <v/>
      </c>
      <c r="V504" s="8">
        <f>$AE$12+D504*$AE$13+E504*$AE$14+F504*$AE$15+G504*$AE$16+H504*$AE$17+I504*$AE$18+J504*$AE$19+K504*$AE$20+L504*$AE$21+M504*$AE$22+N504*$AE$23+O504*$AE$24+P504*$AE$25+Q504*$AE$26+R504*$AE$27+S504*$AE$28+T504*$AE$29+U504*$AE$30</f>
        <v/>
      </c>
      <c r="W504" s="8">
        <f>1/(1+EXP(-V504))</f>
        <v/>
      </c>
      <c r="X504" s="9">
        <f>-IF(C504=1,LN(W504),LN(1-W504))</f>
        <v/>
      </c>
      <c r="Y504" s="8">
        <f>IF(C504=1,$AE$32,$AE$33)</f>
        <v/>
      </c>
      <c r="Z504" s="9">
        <f>Y504*X504</f>
        <v/>
      </c>
      <c r="AA504" s="10">
        <f>IF(W504&gt;$AE$34,1,0)</f>
        <v/>
      </c>
      <c r="AB504">
        <f>IF(AA504=C504,1,0)</f>
        <v/>
      </c>
    </row>
    <row r="505">
      <c r="A505">
        <f>'1 datos preparados'!A498</f>
        <v/>
      </c>
      <c r="B505" s="5">
        <f>'1 datos preparados'!U498</f>
        <v/>
      </c>
      <c r="C505">
        <f>'1 datos preparados'!B498</f>
        <v/>
      </c>
      <c r="D505" s="7">
        <f>'1 datos preparados'!C498</f>
        <v/>
      </c>
      <c r="E505" s="7">
        <f>'1 datos preparados'!D498</f>
        <v/>
      </c>
      <c r="F505" s="7">
        <f>'1 datos preparados'!E498</f>
        <v/>
      </c>
      <c r="G505" s="7">
        <f>'1 datos preparados'!F498</f>
        <v/>
      </c>
      <c r="H505" s="7">
        <f>'1 datos preparados'!G498</f>
        <v/>
      </c>
      <c r="I505" s="7">
        <f>'1 datos preparados'!H498</f>
        <v/>
      </c>
      <c r="J505" s="7">
        <f>'1 datos preparados'!I498</f>
        <v/>
      </c>
      <c r="K505" s="7">
        <f>'1 datos preparados'!J498</f>
        <v/>
      </c>
      <c r="L505" s="7">
        <f>'1 datos preparados'!K498</f>
        <v/>
      </c>
      <c r="M505" s="7">
        <f>'1 datos preparados'!L498</f>
        <v/>
      </c>
      <c r="N505" s="7">
        <f>'1 datos preparados'!M498</f>
        <v/>
      </c>
      <c r="O505" s="7">
        <f>'1 datos preparados'!N498</f>
        <v/>
      </c>
      <c r="P505" s="7">
        <f>'1 datos preparados'!O498</f>
        <v/>
      </c>
      <c r="Q505" s="7">
        <f>'1 datos preparados'!P498</f>
        <v/>
      </c>
      <c r="R505" s="7">
        <f>'1 datos preparados'!Q498</f>
        <v/>
      </c>
      <c r="S505" s="7">
        <f>'1 datos preparados'!R498</f>
        <v/>
      </c>
      <c r="T505" s="7">
        <f>'1 datos preparados'!S498</f>
        <v/>
      </c>
      <c r="U505" s="7">
        <f>'1 datos preparados'!T498</f>
        <v/>
      </c>
      <c r="V505" s="8">
        <f>$AE$12+D505*$AE$13+E505*$AE$14+F505*$AE$15+G505*$AE$16+H505*$AE$17+I505*$AE$18+J505*$AE$19+K505*$AE$20+L505*$AE$21+M505*$AE$22+N505*$AE$23+O505*$AE$24+P505*$AE$25+Q505*$AE$26+R505*$AE$27+S505*$AE$28+T505*$AE$29+U505*$AE$30</f>
        <v/>
      </c>
      <c r="W505" s="8">
        <f>1/(1+EXP(-V505))</f>
        <v/>
      </c>
      <c r="X505" s="9">
        <f>-IF(C505=1,LN(W505),LN(1-W505))</f>
        <v/>
      </c>
      <c r="Y505" s="8">
        <f>IF(C505=1,$AE$32,$AE$33)</f>
        <v/>
      </c>
      <c r="Z505" s="9">
        <f>Y505*X505</f>
        <v/>
      </c>
      <c r="AA505" s="10">
        <f>IF(W505&gt;$AE$34,1,0)</f>
        <v/>
      </c>
      <c r="AB505">
        <f>IF(AA505=C505,1,0)</f>
        <v/>
      </c>
    </row>
    <row r="506">
      <c r="A506">
        <f>'1 datos preparados'!A499</f>
        <v/>
      </c>
      <c r="B506" s="5">
        <f>'1 datos preparados'!U499</f>
        <v/>
      </c>
      <c r="C506">
        <f>'1 datos preparados'!B499</f>
        <v/>
      </c>
      <c r="D506" s="7">
        <f>'1 datos preparados'!C499</f>
        <v/>
      </c>
      <c r="E506" s="7">
        <f>'1 datos preparados'!D499</f>
        <v/>
      </c>
      <c r="F506" s="7">
        <f>'1 datos preparados'!E499</f>
        <v/>
      </c>
      <c r="G506" s="7">
        <f>'1 datos preparados'!F499</f>
        <v/>
      </c>
      <c r="H506" s="7">
        <f>'1 datos preparados'!G499</f>
        <v/>
      </c>
      <c r="I506" s="7">
        <f>'1 datos preparados'!H499</f>
        <v/>
      </c>
      <c r="J506" s="7">
        <f>'1 datos preparados'!I499</f>
        <v/>
      </c>
      <c r="K506" s="7">
        <f>'1 datos preparados'!J499</f>
        <v/>
      </c>
      <c r="L506" s="7">
        <f>'1 datos preparados'!K499</f>
        <v/>
      </c>
      <c r="M506" s="7">
        <f>'1 datos preparados'!L499</f>
        <v/>
      </c>
      <c r="N506" s="7">
        <f>'1 datos preparados'!M499</f>
        <v/>
      </c>
      <c r="O506" s="7">
        <f>'1 datos preparados'!N499</f>
        <v/>
      </c>
      <c r="P506" s="7">
        <f>'1 datos preparados'!O499</f>
        <v/>
      </c>
      <c r="Q506" s="7">
        <f>'1 datos preparados'!P499</f>
        <v/>
      </c>
      <c r="R506" s="7">
        <f>'1 datos preparados'!Q499</f>
        <v/>
      </c>
      <c r="S506" s="7">
        <f>'1 datos preparados'!R499</f>
        <v/>
      </c>
      <c r="T506" s="7">
        <f>'1 datos preparados'!S499</f>
        <v/>
      </c>
      <c r="U506" s="7">
        <f>'1 datos preparados'!T499</f>
        <v/>
      </c>
      <c r="V506" s="8">
        <f>$AE$12+D506*$AE$13+E506*$AE$14+F506*$AE$15+G506*$AE$16+H506*$AE$17+I506*$AE$18+J506*$AE$19+K506*$AE$20+L506*$AE$21+M506*$AE$22+N506*$AE$23+O506*$AE$24+P506*$AE$25+Q506*$AE$26+R506*$AE$27+S506*$AE$28+T506*$AE$29+U506*$AE$30</f>
        <v/>
      </c>
      <c r="W506" s="8">
        <f>1/(1+EXP(-V506))</f>
        <v/>
      </c>
      <c r="X506" s="9">
        <f>-IF(C506=1,LN(W506),LN(1-W506))</f>
        <v/>
      </c>
      <c r="Y506" s="8">
        <f>IF(C506=1,$AE$32,$AE$33)</f>
        <v/>
      </c>
      <c r="Z506" s="9">
        <f>Y506*X506</f>
        <v/>
      </c>
      <c r="AA506" s="10">
        <f>IF(W506&gt;$AE$34,1,0)</f>
        <v/>
      </c>
      <c r="AB506">
        <f>IF(AA506=C506,1,0)</f>
        <v/>
      </c>
    </row>
    <row r="507">
      <c r="A507">
        <f>'1 datos preparados'!A500</f>
        <v/>
      </c>
      <c r="B507" s="5">
        <f>'1 datos preparados'!U500</f>
        <v/>
      </c>
      <c r="C507">
        <f>'1 datos preparados'!B500</f>
        <v/>
      </c>
      <c r="D507" s="7">
        <f>'1 datos preparados'!C500</f>
        <v/>
      </c>
      <c r="E507" s="7">
        <f>'1 datos preparados'!D500</f>
        <v/>
      </c>
      <c r="F507" s="7">
        <f>'1 datos preparados'!E500</f>
        <v/>
      </c>
      <c r="G507" s="7">
        <f>'1 datos preparados'!F500</f>
        <v/>
      </c>
      <c r="H507" s="7">
        <f>'1 datos preparados'!G500</f>
        <v/>
      </c>
      <c r="I507" s="7">
        <f>'1 datos preparados'!H500</f>
        <v/>
      </c>
      <c r="J507" s="7">
        <f>'1 datos preparados'!I500</f>
        <v/>
      </c>
      <c r="K507" s="7">
        <f>'1 datos preparados'!J500</f>
        <v/>
      </c>
      <c r="L507" s="7">
        <f>'1 datos preparados'!K500</f>
        <v/>
      </c>
      <c r="M507" s="7">
        <f>'1 datos preparados'!L500</f>
        <v/>
      </c>
      <c r="N507" s="7">
        <f>'1 datos preparados'!M500</f>
        <v/>
      </c>
      <c r="O507" s="7">
        <f>'1 datos preparados'!N500</f>
        <v/>
      </c>
      <c r="P507" s="7">
        <f>'1 datos preparados'!O500</f>
        <v/>
      </c>
      <c r="Q507" s="7">
        <f>'1 datos preparados'!P500</f>
        <v/>
      </c>
      <c r="R507" s="7">
        <f>'1 datos preparados'!Q500</f>
        <v/>
      </c>
      <c r="S507" s="7">
        <f>'1 datos preparados'!R500</f>
        <v/>
      </c>
      <c r="T507" s="7">
        <f>'1 datos preparados'!S500</f>
        <v/>
      </c>
      <c r="U507" s="7">
        <f>'1 datos preparados'!T500</f>
        <v/>
      </c>
      <c r="V507" s="8">
        <f>$AE$12+D507*$AE$13+E507*$AE$14+F507*$AE$15+G507*$AE$16+H507*$AE$17+I507*$AE$18+J507*$AE$19+K507*$AE$20+L507*$AE$21+M507*$AE$22+N507*$AE$23+O507*$AE$24+P507*$AE$25+Q507*$AE$26+R507*$AE$27+S507*$AE$28+T507*$AE$29+U507*$AE$30</f>
        <v/>
      </c>
      <c r="W507" s="8">
        <f>1/(1+EXP(-V507))</f>
        <v/>
      </c>
      <c r="X507" s="9">
        <f>-IF(C507=1,LN(W507),LN(1-W507))</f>
        <v/>
      </c>
      <c r="Y507" s="8">
        <f>IF(C507=1,$AE$32,$AE$33)</f>
        <v/>
      </c>
      <c r="Z507" s="9">
        <f>Y507*X507</f>
        <v/>
      </c>
      <c r="AA507" s="10">
        <f>IF(W507&gt;$AE$34,1,0)</f>
        <v/>
      </c>
      <c r="AB507">
        <f>IF(AA507=C507,1,0)</f>
        <v/>
      </c>
    </row>
    <row r="508">
      <c r="A508">
        <f>'1 datos preparados'!A501</f>
        <v/>
      </c>
      <c r="B508" s="5">
        <f>'1 datos preparados'!U501</f>
        <v/>
      </c>
      <c r="C508">
        <f>'1 datos preparados'!B501</f>
        <v/>
      </c>
      <c r="D508" s="7">
        <f>'1 datos preparados'!C501</f>
        <v/>
      </c>
      <c r="E508" s="7">
        <f>'1 datos preparados'!D501</f>
        <v/>
      </c>
      <c r="F508" s="7">
        <f>'1 datos preparados'!E501</f>
        <v/>
      </c>
      <c r="G508" s="7">
        <f>'1 datos preparados'!F501</f>
        <v/>
      </c>
      <c r="H508" s="7">
        <f>'1 datos preparados'!G501</f>
        <v/>
      </c>
      <c r="I508" s="7">
        <f>'1 datos preparados'!H501</f>
        <v/>
      </c>
      <c r="J508" s="7">
        <f>'1 datos preparados'!I501</f>
        <v/>
      </c>
      <c r="K508" s="7">
        <f>'1 datos preparados'!J501</f>
        <v/>
      </c>
      <c r="L508" s="7">
        <f>'1 datos preparados'!K501</f>
        <v/>
      </c>
      <c r="M508" s="7">
        <f>'1 datos preparados'!L501</f>
        <v/>
      </c>
      <c r="N508" s="7">
        <f>'1 datos preparados'!M501</f>
        <v/>
      </c>
      <c r="O508" s="7">
        <f>'1 datos preparados'!N501</f>
        <v/>
      </c>
      <c r="P508" s="7">
        <f>'1 datos preparados'!O501</f>
        <v/>
      </c>
      <c r="Q508" s="7">
        <f>'1 datos preparados'!P501</f>
        <v/>
      </c>
      <c r="R508" s="7">
        <f>'1 datos preparados'!Q501</f>
        <v/>
      </c>
      <c r="S508" s="7">
        <f>'1 datos preparados'!R501</f>
        <v/>
      </c>
      <c r="T508" s="7">
        <f>'1 datos preparados'!S501</f>
        <v/>
      </c>
      <c r="U508" s="7">
        <f>'1 datos preparados'!T501</f>
        <v/>
      </c>
      <c r="V508" s="8">
        <f>$AE$12+D508*$AE$13+E508*$AE$14+F508*$AE$15+G508*$AE$16+H508*$AE$17+I508*$AE$18+J508*$AE$19+K508*$AE$20+L508*$AE$21+M508*$AE$22+N508*$AE$23+O508*$AE$24+P508*$AE$25+Q508*$AE$26+R508*$AE$27+S508*$AE$28+T508*$AE$29+U508*$AE$30</f>
        <v/>
      </c>
      <c r="W508" s="8">
        <f>1/(1+EXP(-V508))</f>
        <v/>
      </c>
      <c r="X508" s="9">
        <f>-IF(C508=1,LN(W508),LN(1-W508))</f>
        <v/>
      </c>
      <c r="Y508" s="8">
        <f>IF(C508=1,$AE$32,$AE$33)</f>
        <v/>
      </c>
      <c r="Z508" s="9">
        <f>Y508*X508</f>
        <v/>
      </c>
      <c r="AA508" s="10">
        <f>IF(W508&gt;$AE$34,1,0)</f>
        <v/>
      </c>
      <c r="AB508">
        <f>IF(AA508=C508,1,0)</f>
        <v/>
      </c>
    </row>
    <row r="509">
      <c r="A509">
        <f>'1 datos preparados'!A502</f>
        <v/>
      </c>
      <c r="B509" s="5">
        <f>'1 datos preparados'!U502</f>
        <v/>
      </c>
      <c r="C509">
        <f>'1 datos preparados'!B502</f>
        <v/>
      </c>
      <c r="D509" s="7">
        <f>'1 datos preparados'!C502</f>
        <v/>
      </c>
      <c r="E509" s="7">
        <f>'1 datos preparados'!D502</f>
        <v/>
      </c>
      <c r="F509" s="7">
        <f>'1 datos preparados'!E502</f>
        <v/>
      </c>
      <c r="G509" s="7">
        <f>'1 datos preparados'!F502</f>
        <v/>
      </c>
      <c r="H509" s="7">
        <f>'1 datos preparados'!G502</f>
        <v/>
      </c>
      <c r="I509" s="7">
        <f>'1 datos preparados'!H502</f>
        <v/>
      </c>
      <c r="J509" s="7">
        <f>'1 datos preparados'!I502</f>
        <v/>
      </c>
      <c r="K509" s="7">
        <f>'1 datos preparados'!J502</f>
        <v/>
      </c>
      <c r="L509" s="7">
        <f>'1 datos preparados'!K502</f>
        <v/>
      </c>
      <c r="M509" s="7">
        <f>'1 datos preparados'!L502</f>
        <v/>
      </c>
      <c r="N509" s="7">
        <f>'1 datos preparados'!M502</f>
        <v/>
      </c>
      <c r="O509" s="7">
        <f>'1 datos preparados'!N502</f>
        <v/>
      </c>
      <c r="P509" s="7">
        <f>'1 datos preparados'!O502</f>
        <v/>
      </c>
      <c r="Q509" s="7">
        <f>'1 datos preparados'!P502</f>
        <v/>
      </c>
      <c r="R509" s="7">
        <f>'1 datos preparados'!Q502</f>
        <v/>
      </c>
      <c r="S509" s="7">
        <f>'1 datos preparados'!R502</f>
        <v/>
      </c>
      <c r="T509" s="7">
        <f>'1 datos preparados'!S502</f>
        <v/>
      </c>
      <c r="U509" s="7">
        <f>'1 datos preparados'!T502</f>
        <v/>
      </c>
      <c r="V509" s="8">
        <f>$AE$12+D509*$AE$13+E509*$AE$14+F509*$AE$15+G509*$AE$16+H509*$AE$17+I509*$AE$18+J509*$AE$19+K509*$AE$20+L509*$AE$21+M509*$AE$22+N509*$AE$23+O509*$AE$24+P509*$AE$25+Q509*$AE$26+R509*$AE$27+S509*$AE$28+T509*$AE$29+U509*$AE$30</f>
        <v/>
      </c>
      <c r="W509" s="8">
        <f>1/(1+EXP(-V509))</f>
        <v/>
      </c>
      <c r="X509" s="9">
        <f>-IF(C509=1,LN(W509),LN(1-W509))</f>
        <v/>
      </c>
      <c r="Y509" s="8">
        <f>IF(C509=1,$AE$32,$AE$33)</f>
        <v/>
      </c>
      <c r="Z509" s="9">
        <f>Y509*X509</f>
        <v/>
      </c>
      <c r="AA509" s="10">
        <f>IF(W509&gt;$AE$34,1,0)</f>
        <v/>
      </c>
      <c r="AB509">
        <f>IF(AA509=C509,1,0)</f>
        <v/>
      </c>
    </row>
    <row r="510">
      <c r="A510">
        <f>'1 datos preparados'!A503</f>
        <v/>
      </c>
      <c r="B510" s="5">
        <f>'1 datos preparados'!U503</f>
        <v/>
      </c>
      <c r="C510">
        <f>'1 datos preparados'!B503</f>
        <v/>
      </c>
      <c r="D510" s="7">
        <f>'1 datos preparados'!C503</f>
        <v/>
      </c>
      <c r="E510" s="7">
        <f>'1 datos preparados'!D503</f>
        <v/>
      </c>
      <c r="F510" s="7">
        <f>'1 datos preparados'!E503</f>
        <v/>
      </c>
      <c r="G510" s="7">
        <f>'1 datos preparados'!F503</f>
        <v/>
      </c>
      <c r="H510" s="7">
        <f>'1 datos preparados'!G503</f>
        <v/>
      </c>
      <c r="I510" s="7">
        <f>'1 datos preparados'!H503</f>
        <v/>
      </c>
      <c r="J510" s="7">
        <f>'1 datos preparados'!I503</f>
        <v/>
      </c>
      <c r="K510" s="7">
        <f>'1 datos preparados'!J503</f>
        <v/>
      </c>
      <c r="L510" s="7">
        <f>'1 datos preparados'!K503</f>
        <v/>
      </c>
      <c r="M510" s="7">
        <f>'1 datos preparados'!L503</f>
        <v/>
      </c>
      <c r="N510" s="7">
        <f>'1 datos preparados'!M503</f>
        <v/>
      </c>
      <c r="O510" s="7">
        <f>'1 datos preparados'!N503</f>
        <v/>
      </c>
      <c r="P510" s="7">
        <f>'1 datos preparados'!O503</f>
        <v/>
      </c>
      <c r="Q510" s="7">
        <f>'1 datos preparados'!P503</f>
        <v/>
      </c>
      <c r="R510" s="7">
        <f>'1 datos preparados'!Q503</f>
        <v/>
      </c>
      <c r="S510" s="7">
        <f>'1 datos preparados'!R503</f>
        <v/>
      </c>
      <c r="T510" s="7">
        <f>'1 datos preparados'!S503</f>
        <v/>
      </c>
      <c r="U510" s="7">
        <f>'1 datos preparados'!T503</f>
        <v/>
      </c>
      <c r="V510" s="8">
        <f>$AE$12+D510*$AE$13+E510*$AE$14+F510*$AE$15+G510*$AE$16+H510*$AE$17+I510*$AE$18+J510*$AE$19+K510*$AE$20+L510*$AE$21+M510*$AE$22+N510*$AE$23+O510*$AE$24+P510*$AE$25+Q510*$AE$26+R510*$AE$27+S510*$AE$28+T510*$AE$29+U510*$AE$30</f>
        <v/>
      </c>
      <c r="W510" s="8">
        <f>1/(1+EXP(-V510))</f>
        <v/>
      </c>
      <c r="X510" s="9">
        <f>-IF(C510=1,LN(W510),LN(1-W510))</f>
        <v/>
      </c>
      <c r="Y510" s="8">
        <f>IF(C510=1,$AE$32,$AE$33)</f>
        <v/>
      </c>
      <c r="Z510" s="9">
        <f>Y510*X510</f>
        <v/>
      </c>
      <c r="AA510" s="10">
        <f>IF(W510&gt;$AE$34,1,0)</f>
        <v/>
      </c>
      <c r="AB510">
        <f>IF(AA510=C510,1,0)</f>
        <v/>
      </c>
    </row>
    <row r="511">
      <c r="A511">
        <f>'1 datos preparados'!A504</f>
        <v/>
      </c>
      <c r="B511" s="5">
        <f>'1 datos preparados'!U504</f>
        <v/>
      </c>
      <c r="C511">
        <f>'1 datos preparados'!B504</f>
        <v/>
      </c>
      <c r="D511" s="7">
        <f>'1 datos preparados'!C504</f>
        <v/>
      </c>
      <c r="E511" s="7">
        <f>'1 datos preparados'!D504</f>
        <v/>
      </c>
      <c r="F511" s="7">
        <f>'1 datos preparados'!E504</f>
        <v/>
      </c>
      <c r="G511" s="7">
        <f>'1 datos preparados'!F504</f>
        <v/>
      </c>
      <c r="H511" s="7">
        <f>'1 datos preparados'!G504</f>
        <v/>
      </c>
      <c r="I511" s="7">
        <f>'1 datos preparados'!H504</f>
        <v/>
      </c>
      <c r="J511" s="7">
        <f>'1 datos preparados'!I504</f>
        <v/>
      </c>
      <c r="K511" s="7">
        <f>'1 datos preparados'!J504</f>
        <v/>
      </c>
      <c r="L511" s="7">
        <f>'1 datos preparados'!K504</f>
        <v/>
      </c>
      <c r="M511" s="7">
        <f>'1 datos preparados'!L504</f>
        <v/>
      </c>
      <c r="N511" s="7">
        <f>'1 datos preparados'!M504</f>
        <v/>
      </c>
      <c r="O511" s="7">
        <f>'1 datos preparados'!N504</f>
        <v/>
      </c>
      <c r="P511" s="7">
        <f>'1 datos preparados'!O504</f>
        <v/>
      </c>
      <c r="Q511" s="7">
        <f>'1 datos preparados'!P504</f>
        <v/>
      </c>
      <c r="R511" s="7">
        <f>'1 datos preparados'!Q504</f>
        <v/>
      </c>
      <c r="S511" s="7">
        <f>'1 datos preparados'!R504</f>
        <v/>
      </c>
      <c r="T511" s="7">
        <f>'1 datos preparados'!S504</f>
        <v/>
      </c>
      <c r="U511" s="7">
        <f>'1 datos preparados'!T504</f>
        <v/>
      </c>
      <c r="V511" s="8">
        <f>$AE$12+D511*$AE$13+E511*$AE$14+F511*$AE$15+G511*$AE$16+H511*$AE$17+I511*$AE$18+J511*$AE$19+K511*$AE$20+L511*$AE$21+M511*$AE$22+N511*$AE$23+O511*$AE$24+P511*$AE$25+Q511*$AE$26+R511*$AE$27+S511*$AE$28+T511*$AE$29+U511*$AE$30</f>
        <v/>
      </c>
      <c r="W511" s="8">
        <f>1/(1+EXP(-V511))</f>
        <v/>
      </c>
      <c r="X511" s="9">
        <f>-IF(C511=1,LN(W511),LN(1-W511))</f>
        <v/>
      </c>
      <c r="Y511" s="8">
        <f>IF(C511=1,$AE$32,$AE$33)</f>
        <v/>
      </c>
      <c r="Z511" s="9">
        <f>Y511*X511</f>
        <v/>
      </c>
      <c r="AA511" s="10">
        <f>IF(W511&gt;$AE$34,1,0)</f>
        <v/>
      </c>
      <c r="AB511">
        <f>IF(AA511=C511,1,0)</f>
        <v/>
      </c>
    </row>
    <row r="512">
      <c r="A512">
        <f>'1 datos preparados'!A505</f>
        <v/>
      </c>
      <c r="B512" s="5">
        <f>'1 datos preparados'!U505</f>
        <v/>
      </c>
      <c r="C512">
        <f>'1 datos preparados'!B505</f>
        <v/>
      </c>
      <c r="D512" s="7">
        <f>'1 datos preparados'!C505</f>
        <v/>
      </c>
      <c r="E512" s="7">
        <f>'1 datos preparados'!D505</f>
        <v/>
      </c>
      <c r="F512" s="7">
        <f>'1 datos preparados'!E505</f>
        <v/>
      </c>
      <c r="G512" s="7">
        <f>'1 datos preparados'!F505</f>
        <v/>
      </c>
      <c r="H512" s="7">
        <f>'1 datos preparados'!G505</f>
        <v/>
      </c>
      <c r="I512" s="7">
        <f>'1 datos preparados'!H505</f>
        <v/>
      </c>
      <c r="J512" s="7">
        <f>'1 datos preparados'!I505</f>
        <v/>
      </c>
      <c r="K512" s="7">
        <f>'1 datos preparados'!J505</f>
        <v/>
      </c>
      <c r="L512" s="7">
        <f>'1 datos preparados'!K505</f>
        <v/>
      </c>
      <c r="M512" s="7">
        <f>'1 datos preparados'!L505</f>
        <v/>
      </c>
      <c r="N512" s="7">
        <f>'1 datos preparados'!M505</f>
        <v/>
      </c>
      <c r="O512" s="7">
        <f>'1 datos preparados'!N505</f>
        <v/>
      </c>
      <c r="P512" s="7">
        <f>'1 datos preparados'!O505</f>
        <v/>
      </c>
      <c r="Q512" s="7">
        <f>'1 datos preparados'!P505</f>
        <v/>
      </c>
      <c r="R512" s="7">
        <f>'1 datos preparados'!Q505</f>
        <v/>
      </c>
      <c r="S512" s="7">
        <f>'1 datos preparados'!R505</f>
        <v/>
      </c>
      <c r="T512" s="7">
        <f>'1 datos preparados'!S505</f>
        <v/>
      </c>
      <c r="U512" s="7">
        <f>'1 datos preparados'!T505</f>
        <v/>
      </c>
      <c r="V512" s="8">
        <f>$AE$12+D512*$AE$13+E512*$AE$14+F512*$AE$15+G512*$AE$16+H512*$AE$17+I512*$AE$18+J512*$AE$19+K512*$AE$20+L512*$AE$21+M512*$AE$22+N512*$AE$23+O512*$AE$24+P512*$AE$25+Q512*$AE$26+R512*$AE$27+S512*$AE$28+T512*$AE$29+U512*$AE$30</f>
        <v/>
      </c>
      <c r="W512" s="8">
        <f>1/(1+EXP(-V512))</f>
        <v/>
      </c>
      <c r="X512" s="9">
        <f>-IF(C512=1,LN(W512),LN(1-W512))</f>
        <v/>
      </c>
      <c r="Y512" s="8">
        <f>IF(C512=1,$AE$32,$AE$33)</f>
        <v/>
      </c>
      <c r="Z512" s="9">
        <f>Y512*X512</f>
        <v/>
      </c>
      <c r="AA512" s="10">
        <f>IF(W512&gt;$AE$34,1,0)</f>
        <v/>
      </c>
      <c r="AB512">
        <f>IF(AA512=C512,1,0)</f>
        <v/>
      </c>
    </row>
    <row r="513">
      <c r="A513">
        <f>'1 datos preparados'!A506</f>
        <v/>
      </c>
      <c r="B513" s="5">
        <f>'1 datos preparados'!U506</f>
        <v/>
      </c>
      <c r="C513">
        <f>'1 datos preparados'!B506</f>
        <v/>
      </c>
      <c r="D513" s="7">
        <f>'1 datos preparados'!C506</f>
        <v/>
      </c>
      <c r="E513" s="7">
        <f>'1 datos preparados'!D506</f>
        <v/>
      </c>
      <c r="F513" s="7">
        <f>'1 datos preparados'!E506</f>
        <v/>
      </c>
      <c r="G513" s="7">
        <f>'1 datos preparados'!F506</f>
        <v/>
      </c>
      <c r="H513" s="7">
        <f>'1 datos preparados'!G506</f>
        <v/>
      </c>
      <c r="I513" s="7">
        <f>'1 datos preparados'!H506</f>
        <v/>
      </c>
      <c r="J513" s="7">
        <f>'1 datos preparados'!I506</f>
        <v/>
      </c>
      <c r="K513" s="7">
        <f>'1 datos preparados'!J506</f>
        <v/>
      </c>
      <c r="L513" s="7">
        <f>'1 datos preparados'!K506</f>
        <v/>
      </c>
      <c r="M513" s="7">
        <f>'1 datos preparados'!L506</f>
        <v/>
      </c>
      <c r="N513" s="7">
        <f>'1 datos preparados'!M506</f>
        <v/>
      </c>
      <c r="O513" s="7">
        <f>'1 datos preparados'!N506</f>
        <v/>
      </c>
      <c r="P513" s="7">
        <f>'1 datos preparados'!O506</f>
        <v/>
      </c>
      <c r="Q513" s="7">
        <f>'1 datos preparados'!P506</f>
        <v/>
      </c>
      <c r="R513" s="7">
        <f>'1 datos preparados'!Q506</f>
        <v/>
      </c>
      <c r="S513" s="7">
        <f>'1 datos preparados'!R506</f>
        <v/>
      </c>
      <c r="T513" s="7">
        <f>'1 datos preparados'!S506</f>
        <v/>
      </c>
      <c r="U513" s="7">
        <f>'1 datos preparados'!T506</f>
        <v/>
      </c>
      <c r="V513" s="8">
        <f>$AE$12+D513*$AE$13+E513*$AE$14+F513*$AE$15+G513*$AE$16+H513*$AE$17+I513*$AE$18+J513*$AE$19+K513*$AE$20+L513*$AE$21+M513*$AE$22+N513*$AE$23+O513*$AE$24+P513*$AE$25+Q513*$AE$26+R513*$AE$27+S513*$AE$28+T513*$AE$29+U513*$AE$30</f>
        <v/>
      </c>
      <c r="W513" s="8">
        <f>1/(1+EXP(-V513))</f>
        <v/>
      </c>
      <c r="X513" s="9">
        <f>-IF(C513=1,LN(W513),LN(1-W513))</f>
        <v/>
      </c>
      <c r="Y513" s="8">
        <f>IF(C513=1,$AE$32,$AE$33)</f>
        <v/>
      </c>
      <c r="Z513" s="9">
        <f>Y513*X513</f>
        <v/>
      </c>
      <c r="AA513" s="10">
        <f>IF(W513&gt;$AE$34,1,0)</f>
        <v/>
      </c>
      <c r="AB513">
        <f>IF(AA513=C513,1,0)</f>
        <v/>
      </c>
    </row>
    <row r="514">
      <c r="A514">
        <f>'1 datos preparados'!A507</f>
        <v/>
      </c>
      <c r="B514" s="5">
        <f>'1 datos preparados'!U507</f>
        <v/>
      </c>
      <c r="C514">
        <f>'1 datos preparados'!B507</f>
        <v/>
      </c>
      <c r="D514" s="7">
        <f>'1 datos preparados'!C507</f>
        <v/>
      </c>
      <c r="E514" s="7">
        <f>'1 datos preparados'!D507</f>
        <v/>
      </c>
      <c r="F514" s="7">
        <f>'1 datos preparados'!E507</f>
        <v/>
      </c>
      <c r="G514" s="7">
        <f>'1 datos preparados'!F507</f>
        <v/>
      </c>
      <c r="H514" s="7">
        <f>'1 datos preparados'!G507</f>
        <v/>
      </c>
      <c r="I514" s="7">
        <f>'1 datos preparados'!H507</f>
        <v/>
      </c>
      <c r="J514" s="7">
        <f>'1 datos preparados'!I507</f>
        <v/>
      </c>
      <c r="K514" s="7">
        <f>'1 datos preparados'!J507</f>
        <v/>
      </c>
      <c r="L514" s="7">
        <f>'1 datos preparados'!K507</f>
        <v/>
      </c>
      <c r="M514" s="7">
        <f>'1 datos preparados'!L507</f>
        <v/>
      </c>
      <c r="N514" s="7">
        <f>'1 datos preparados'!M507</f>
        <v/>
      </c>
      <c r="O514" s="7">
        <f>'1 datos preparados'!N507</f>
        <v/>
      </c>
      <c r="P514" s="7">
        <f>'1 datos preparados'!O507</f>
        <v/>
      </c>
      <c r="Q514" s="7">
        <f>'1 datos preparados'!P507</f>
        <v/>
      </c>
      <c r="R514" s="7">
        <f>'1 datos preparados'!Q507</f>
        <v/>
      </c>
      <c r="S514" s="7">
        <f>'1 datos preparados'!R507</f>
        <v/>
      </c>
      <c r="T514" s="7">
        <f>'1 datos preparados'!S507</f>
        <v/>
      </c>
      <c r="U514" s="7">
        <f>'1 datos preparados'!T507</f>
        <v/>
      </c>
      <c r="V514" s="8">
        <f>$AE$12+D514*$AE$13+E514*$AE$14+F514*$AE$15+G514*$AE$16+H514*$AE$17+I514*$AE$18+J514*$AE$19+K514*$AE$20+L514*$AE$21+M514*$AE$22+N514*$AE$23+O514*$AE$24+P514*$AE$25+Q514*$AE$26+R514*$AE$27+S514*$AE$28+T514*$AE$29+U514*$AE$30</f>
        <v/>
      </c>
      <c r="W514" s="8">
        <f>1/(1+EXP(-V514))</f>
        <v/>
      </c>
      <c r="X514" s="9">
        <f>-IF(C514=1,LN(W514),LN(1-W514))</f>
        <v/>
      </c>
      <c r="Y514" s="8">
        <f>IF(C514=1,$AE$32,$AE$33)</f>
        <v/>
      </c>
      <c r="Z514" s="9">
        <f>Y514*X514</f>
        <v/>
      </c>
      <c r="AA514" s="10">
        <f>IF(W514&gt;$AE$34,1,0)</f>
        <v/>
      </c>
      <c r="AB514">
        <f>IF(AA514=C514,1,0)</f>
        <v/>
      </c>
    </row>
    <row r="515">
      <c r="A515">
        <f>'1 datos preparados'!A508</f>
        <v/>
      </c>
      <c r="B515" s="5">
        <f>'1 datos preparados'!U508</f>
        <v/>
      </c>
      <c r="C515">
        <f>'1 datos preparados'!B508</f>
        <v/>
      </c>
      <c r="D515" s="7">
        <f>'1 datos preparados'!C508</f>
        <v/>
      </c>
      <c r="E515" s="7">
        <f>'1 datos preparados'!D508</f>
        <v/>
      </c>
      <c r="F515" s="7">
        <f>'1 datos preparados'!E508</f>
        <v/>
      </c>
      <c r="G515" s="7">
        <f>'1 datos preparados'!F508</f>
        <v/>
      </c>
      <c r="H515" s="7">
        <f>'1 datos preparados'!G508</f>
        <v/>
      </c>
      <c r="I515" s="7">
        <f>'1 datos preparados'!H508</f>
        <v/>
      </c>
      <c r="J515" s="7">
        <f>'1 datos preparados'!I508</f>
        <v/>
      </c>
      <c r="K515" s="7">
        <f>'1 datos preparados'!J508</f>
        <v/>
      </c>
      <c r="L515" s="7">
        <f>'1 datos preparados'!K508</f>
        <v/>
      </c>
      <c r="M515" s="7">
        <f>'1 datos preparados'!L508</f>
        <v/>
      </c>
      <c r="N515" s="7">
        <f>'1 datos preparados'!M508</f>
        <v/>
      </c>
      <c r="O515" s="7">
        <f>'1 datos preparados'!N508</f>
        <v/>
      </c>
      <c r="P515" s="7">
        <f>'1 datos preparados'!O508</f>
        <v/>
      </c>
      <c r="Q515" s="7">
        <f>'1 datos preparados'!P508</f>
        <v/>
      </c>
      <c r="R515" s="7">
        <f>'1 datos preparados'!Q508</f>
        <v/>
      </c>
      <c r="S515" s="7">
        <f>'1 datos preparados'!R508</f>
        <v/>
      </c>
      <c r="T515" s="7">
        <f>'1 datos preparados'!S508</f>
        <v/>
      </c>
      <c r="U515" s="7">
        <f>'1 datos preparados'!T508</f>
        <v/>
      </c>
      <c r="V515" s="8">
        <f>$AE$12+D515*$AE$13+E515*$AE$14+F515*$AE$15+G515*$AE$16+H515*$AE$17+I515*$AE$18+J515*$AE$19+K515*$AE$20+L515*$AE$21+M515*$AE$22+N515*$AE$23+O515*$AE$24+P515*$AE$25+Q515*$AE$26+R515*$AE$27+S515*$AE$28+T515*$AE$29+U515*$AE$30</f>
        <v/>
      </c>
      <c r="W515" s="8">
        <f>1/(1+EXP(-V515))</f>
        <v/>
      </c>
      <c r="X515" s="9">
        <f>-IF(C515=1,LN(W515),LN(1-W515))</f>
        <v/>
      </c>
      <c r="Y515" s="8">
        <f>IF(C515=1,$AE$32,$AE$33)</f>
        <v/>
      </c>
      <c r="Z515" s="9">
        <f>Y515*X515</f>
        <v/>
      </c>
      <c r="AA515" s="10">
        <f>IF(W515&gt;$AE$34,1,0)</f>
        <v/>
      </c>
      <c r="AB515">
        <f>IF(AA515=C515,1,0)</f>
        <v/>
      </c>
    </row>
    <row r="516">
      <c r="A516">
        <f>'1 datos preparados'!A509</f>
        <v/>
      </c>
      <c r="B516" s="5">
        <f>'1 datos preparados'!U509</f>
        <v/>
      </c>
      <c r="C516">
        <f>'1 datos preparados'!B509</f>
        <v/>
      </c>
      <c r="D516" s="7">
        <f>'1 datos preparados'!C509</f>
        <v/>
      </c>
      <c r="E516" s="7">
        <f>'1 datos preparados'!D509</f>
        <v/>
      </c>
      <c r="F516" s="7">
        <f>'1 datos preparados'!E509</f>
        <v/>
      </c>
      <c r="G516" s="7">
        <f>'1 datos preparados'!F509</f>
        <v/>
      </c>
      <c r="H516" s="7">
        <f>'1 datos preparados'!G509</f>
        <v/>
      </c>
      <c r="I516" s="7">
        <f>'1 datos preparados'!H509</f>
        <v/>
      </c>
      <c r="J516" s="7">
        <f>'1 datos preparados'!I509</f>
        <v/>
      </c>
      <c r="K516" s="7">
        <f>'1 datos preparados'!J509</f>
        <v/>
      </c>
      <c r="L516" s="7">
        <f>'1 datos preparados'!K509</f>
        <v/>
      </c>
      <c r="M516" s="7">
        <f>'1 datos preparados'!L509</f>
        <v/>
      </c>
      <c r="N516" s="7">
        <f>'1 datos preparados'!M509</f>
        <v/>
      </c>
      <c r="O516" s="7">
        <f>'1 datos preparados'!N509</f>
        <v/>
      </c>
      <c r="P516" s="7">
        <f>'1 datos preparados'!O509</f>
        <v/>
      </c>
      <c r="Q516" s="7">
        <f>'1 datos preparados'!P509</f>
        <v/>
      </c>
      <c r="R516" s="7">
        <f>'1 datos preparados'!Q509</f>
        <v/>
      </c>
      <c r="S516" s="7">
        <f>'1 datos preparados'!R509</f>
        <v/>
      </c>
      <c r="T516" s="7">
        <f>'1 datos preparados'!S509</f>
        <v/>
      </c>
      <c r="U516" s="7">
        <f>'1 datos preparados'!T509</f>
        <v/>
      </c>
      <c r="V516" s="8">
        <f>$AE$12+D516*$AE$13+E516*$AE$14+F516*$AE$15+G516*$AE$16+H516*$AE$17+I516*$AE$18+J516*$AE$19+K516*$AE$20+L516*$AE$21+M516*$AE$22+N516*$AE$23+O516*$AE$24+P516*$AE$25+Q516*$AE$26+R516*$AE$27+S516*$AE$28+T516*$AE$29+U516*$AE$30</f>
        <v/>
      </c>
      <c r="W516" s="8">
        <f>1/(1+EXP(-V516))</f>
        <v/>
      </c>
      <c r="X516" s="9">
        <f>-IF(C516=1,LN(W516),LN(1-W516))</f>
        <v/>
      </c>
      <c r="Y516" s="8">
        <f>IF(C516=1,$AE$32,$AE$33)</f>
        <v/>
      </c>
      <c r="Z516" s="9">
        <f>Y516*X516</f>
        <v/>
      </c>
      <c r="AA516" s="10">
        <f>IF(W516&gt;$AE$34,1,0)</f>
        <v/>
      </c>
      <c r="AB516">
        <f>IF(AA516=C516,1,0)</f>
        <v/>
      </c>
    </row>
    <row r="517">
      <c r="A517">
        <f>'1 datos preparados'!A510</f>
        <v/>
      </c>
      <c r="B517" s="5">
        <f>'1 datos preparados'!U510</f>
        <v/>
      </c>
      <c r="C517">
        <f>'1 datos preparados'!B510</f>
        <v/>
      </c>
      <c r="D517" s="7">
        <f>'1 datos preparados'!C510</f>
        <v/>
      </c>
      <c r="E517" s="7">
        <f>'1 datos preparados'!D510</f>
        <v/>
      </c>
      <c r="F517" s="7">
        <f>'1 datos preparados'!E510</f>
        <v/>
      </c>
      <c r="G517" s="7">
        <f>'1 datos preparados'!F510</f>
        <v/>
      </c>
      <c r="H517" s="7">
        <f>'1 datos preparados'!G510</f>
        <v/>
      </c>
      <c r="I517" s="7">
        <f>'1 datos preparados'!H510</f>
        <v/>
      </c>
      <c r="J517" s="7">
        <f>'1 datos preparados'!I510</f>
        <v/>
      </c>
      <c r="K517" s="7">
        <f>'1 datos preparados'!J510</f>
        <v/>
      </c>
      <c r="L517" s="7">
        <f>'1 datos preparados'!K510</f>
        <v/>
      </c>
      <c r="M517" s="7">
        <f>'1 datos preparados'!L510</f>
        <v/>
      </c>
      <c r="N517" s="7">
        <f>'1 datos preparados'!M510</f>
        <v/>
      </c>
      <c r="O517" s="7">
        <f>'1 datos preparados'!N510</f>
        <v/>
      </c>
      <c r="P517" s="7">
        <f>'1 datos preparados'!O510</f>
        <v/>
      </c>
      <c r="Q517" s="7">
        <f>'1 datos preparados'!P510</f>
        <v/>
      </c>
      <c r="R517" s="7">
        <f>'1 datos preparados'!Q510</f>
        <v/>
      </c>
      <c r="S517" s="7">
        <f>'1 datos preparados'!R510</f>
        <v/>
      </c>
      <c r="T517" s="7">
        <f>'1 datos preparados'!S510</f>
        <v/>
      </c>
      <c r="U517" s="7">
        <f>'1 datos preparados'!T510</f>
        <v/>
      </c>
      <c r="V517" s="8">
        <f>$AE$12+D517*$AE$13+E517*$AE$14+F517*$AE$15+G517*$AE$16+H517*$AE$17+I517*$AE$18+J517*$AE$19+K517*$AE$20+L517*$AE$21+M517*$AE$22+N517*$AE$23+O517*$AE$24+P517*$AE$25+Q517*$AE$26+R517*$AE$27+S517*$AE$28+T517*$AE$29+U517*$AE$30</f>
        <v/>
      </c>
      <c r="W517" s="8">
        <f>1/(1+EXP(-V517))</f>
        <v/>
      </c>
      <c r="X517" s="9">
        <f>-IF(C517=1,LN(W517),LN(1-W517))</f>
        <v/>
      </c>
      <c r="Y517" s="8">
        <f>IF(C517=1,$AE$32,$AE$33)</f>
        <v/>
      </c>
      <c r="Z517" s="9">
        <f>Y517*X517</f>
        <v/>
      </c>
      <c r="AA517" s="10">
        <f>IF(W517&gt;$AE$34,1,0)</f>
        <v/>
      </c>
      <c r="AB517">
        <f>IF(AA517=C517,1,0)</f>
        <v/>
      </c>
    </row>
    <row r="518">
      <c r="A518">
        <f>'1 datos preparados'!A511</f>
        <v/>
      </c>
      <c r="B518" s="5">
        <f>'1 datos preparados'!U511</f>
        <v/>
      </c>
      <c r="C518">
        <f>'1 datos preparados'!B511</f>
        <v/>
      </c>
      <c r="D518" s="7">
        <f>'1 datos preparados'!C511</f>
        <v/>
      </c>
      <c r="E518" s="7">
        <f>'1 datos preparados'!D511</f>
        <v/>
      </c>
      <c r="F518" s="7">
        <f>'1 datos preparados'!E511</f>
        <v/>
      </c>
      <c r="G518" s="7">
        <f>'1 datos preparados'!F511</f>
        <v/>
      </c>
      <c r="H518" s="7">
        <f>'1 datos preparados'!G511</f>
        <v/>
      </c>
      <c r="I518" s="7">
        <f>'1 datos preparados'!H511</f>
        <v/>
      </c>
      <c r="J518" s="7">
        <f>'1 datos preparados'!I511</f>
        <v/>
      </c>
      <c r="K518" s="7">
        <f>'1 datos preparados'!J511</f>
        <v/>
      </c>
      <c r="L518" s="7">
        <f>'1 datos preparados'!K511</f>
        <v/>
      </c>
      <c r="M518" s="7">
        <f>'1 datos preparados'!L511</f>
        <v/>
      </c>
      <c r="N518" s="7">
        <f>'1 datos preparados'!M511</f>
        <v/>
      </c>
      <c r="O518" s="7">
        <f>'1 datos preparados'!N511</f>
        <v/>
      </c>
      <c r="P518" s="7">
        <f>'1 datos preparados'!O511</f>
        <v/>
      </c>
      <c r="Q518" s="7">
        <f>'1 datos preparados'!P511</f>
        <v/>
      </c>
      <c r="R518" s="7">
        <f>'1 datos preparados'!Q511</f>
        <v/>
      </c>
      <c r="S518" s="7">
        <f>'1 datos preparados'!R511</f>
        <v/>
      </c>
      <c r="T518" s="7">
        <f>'1 datos preparados'!S511</f>
        <v/>
      </c>
      <c r="U518" s="7">
        <f>'1 datos preparados'!T511</f>
        <v/>
      </c>
      <c r="V518" s="8">
        <f>$AE$12+D518*$AE$13+E518*$AE$14+F518*$AE$15+G518*$AE$16+H518*$AE$17+I518*$AE$18+J518*$AE$19+K518*$AE$20+L518*$AE$21+M518*$AE$22+N518*$AE$23+O518*$AE$24+P518*$AE$25+Q518*$AE$26+R518*$AE$27+S518*$AE$28+T518*$AE$29+U518*$AE$30</f>
        <v/>
      </c>
      <c r="W518" s="8">
        <f>1/(1+EXP(-V518))</f>
        <v/>
      </c>
      <c r="X518" s="9">
        <f>-IF(C518=1,LN(W518),LN(1-W518))</f>
        <v/>
      </c>
      <c r="Y518" s="8">
        <f>IF(C518=1,$AE$32,$AE$33)</f>
        <v/>
      </c>
      <c r="Z518" s="9">
        <f>Y518*X518</f>
        <v/>
      </c>
      <c r="AA518" s="10">
        <f>IF(W518&gt;$AE$34,1,0)</f>
        <v/>
      </c>
      <c r="AB518">
        <f>IF(AA518=C518,1,0)</f>
        <v/>
      </c>
    </row>
    <row r="519">
      <c r="A519">
        <f>'1 datos preparados'!A512</f>
        <v/>
      </c>
      <c r="B519" s="5">
        <f>'1 datos preparados'!U512</f>
        <v/>
      </c>
      <c r="C519">
        <f>'1 datos preparados'!B512</f>
        <v/>
      </c>
      <c r="D519" s="7">
        <f>'1 datos preparados'!C512</f>
        <v/>
      </c>
      <c r="E519" s="7">
        <f>'1 datos preparados'!D512</f>
        <v/>
      </c>
      <c r="F519" s="7">
        <f>'1 datos preparados'!E512</f>
        <v/>
      </c>
      <c r="G519" s="7">
        <f>'1 datos preparados'!F512</f>
        <v/>
      </c>
      <c r="H519" s="7">
        <f>'1 datos preparados'!G512</f>
        <v/>
      </c>
      <c r="I519" s="7">
        <f>'1 datos preparados'!H512</f>
        <v/>
      </c>
      <c r="J519" s="7">
        <f>'1 datos preparados'!I512</f>
        <v/>
      </c>
      <c r="K519" s="7">
        <f>'1 datos preparados'!J512</f>
        <v/>
      </c>
      <c r="L519" s="7">
        <f>'1 datos preparados'!K512</f>
        <v/>
      </c>
      <c r="M519" s="7">
        <f>'1 datos preparados'!L512</f>
        <v/>
      </c>
      <c r="N519" s="7">
        <f>'1 datos preparados'!M512</f>
        <v/>
      </c>
      <c r="O519" s="7">
        <f>'1 datos preparados'!N512</f>
        <v/>
      </c>
      <c r="P519" s="7">
        <f>'1 datos preparados'!O512</f>
        <v/>
      </c>
      <c r="Q519" s="7">
        <f>'1 datos preparados'!P512</f>
        <v/>
      </c>
      <c r="R519" s="7">
        <f>'1 datos preparados'!Q512</f>
        <v/>
      </c>
      <c r="S519" s="7">
        <f>'1 datos preparados'!R512</f>
        <v/>
      </c>
      <c r="T519" s="7">
        <f>'1 datos preparados'!S512</f>
        <v/>
      </c>
      <c r="U519" s="7">
        <f>'1 datos preparados'!T512</f>
        <v/>
      </c>
      <c r="V519" s="8">
        <f>$AE$12+D519*$AE$13+E519*$AE$14+F519*$AE$15+G519*$AE$16+H519*$AE$17+I519*$AE$18+J519*$AE$19+K519*$AE$20+L519*$AE$21+M519*$AE$22+N519*$AE$23+O519*$AE$24+P519*$AE$25+Q519*$AE$26+R519*$AE$27+S519*$AE$28+T519*$AE$29+U519*$AE$30</f>
        <v/>
      </c>
      <c r="W519" s="8">
        <f>1/(1+EXP(-V519))</f>
        <v/>
      </c>
      <c r="X519" s="9">
        <f>-IF(C519=1,LN(W519),LN(1-W519))</f>
        <v/>
      </c>
      <c r="Y519" s="8">
        <f>IF(C519=1,$AE$32,$AE$33)</f>
        <v/>
      </c>
      <c r="Z519" s="9">
        <f>Y519*X519</f>
        <v/>
      </c>
      <c r="AA519" s="10">
        <f>IF(W519&gt;$AE$34,1,0)</f>
        <v/>
      </c>
      <c r="AB519">
        <f>IF(AA519=C519,1,0)</f>
        <v/>
      </c>
    </row>
    <row r="520">
      <c r="A520">
        <f>'1 datos preparados'!A513</f>
        <v/>
      </c>
      <c r="B520" s="5">
        <f>'1 datos preparados'!U513</f>
        <v/>
      </c>
      <c r="C520">
        <f>'1 datos preparados'!B513</f>
        <v/>
      </c>
      <c r="D520" s="7">
        <f>'1 datos preparados'!C513</f>
        <v/>
      </c>
      <c r="E520" s="7">
        <f>'1 datos preparados'!D513</f>
        <v/>
      </c>
      <c r="F520" s="7">
        <f>'1 datos preparados'!E513</f>
        <v/>
      </c>
      <c r="G520" s="7">
        <f>'1 datos preparados'!F513</f>
        <v/>
      </c>
      <c r="H520" s="7">
        <f>'1 datos preparados'!G513</f>
        <v/>
      </c>
      <c r="I520" s="7">
        <f>'1 datos preparados'!H513</f>
        <v/>
      </c>
      <c r="J520" s="7">
        <f>'1 datos preparados'!I513</f>
        <v/>
      </c>
      <c r="K520" s="7">
        <f>'1 datos preparados'!J513</f>
        <v/>
      </c>
      <c r="L520" s="7">
        <f>'1 datos preparados'!K513</f>
        <v/>
      </c>
      <c r="M520" s="7">
        <f>'1 datos preparados'!L513</f>
        <v/>
      </c>
      <c r="N520" s="7">
        <f>'1 datos preparados'!M513</f>
        <v/>
      </c>
      <c r="O520" s="7">
        <f>'1 datos preparados'!N513</f>
        <v/>
      </c>
      <c r="P520" s="7">
        <f>'1 datos preparados'!O513</f>
        <v/>
      </c>
      <c r="Q520" s="7">
        <f>'1 datos preparados'!P513</f>
        <v/>
      </c>
      <c r="R520" s="7">
        <f>'1 datos preparados'!Q513</f>
        <v/>
      </c>
      <c r="S520" s="7">
        <f>'1 datos preparados'!R513</f>
        <v/>
      </c>
      <c r="T520" s="7">
        <f>'1 datos preparados'!S513</f>
        <v/>
      </c>
      <c r="U520" s="7">
        <f>'1 datos preparados'!T513</f>
        <v/>
      </c>
      <c r="V520" s="8">
        <f>$AE$12+D520*$AE$13+E520*$AE$14+F520*$AE$15+G520*$AE$16+H520*$AE$17+I520*$AE$18+J520*$AE$19+K520*$AE$20+L520*$AE$21+M520*$AE$22+N520*$AE$23+O520*$AE$24+P520*$AE$25+Q520*$AE$26+R520*$AE$27+S520*$AE$28+T520*$AE$29+U520*$AE$30</f>
        <v/>
      </c>
      <c r="W520" s="8">
        <f>1/(1+EXP(-V520))</f>
        <v/>
      </c>
      <c r="X520" s="9">
        <f>-IF(C520=1,LN(W520),LN(1-W520))</f>
        <v/>
      </c>
      <c r="Y520" s="8">
        <f>IF(C520=1,$AE$32,$AE$33)</f>
        <v/>
      </c>
      <c r="Z520" s="9">
        <f>Y520*X520</f>
        <v/>
      </c>
      <c r="AA520" s="10">
        <f>IF(W520&gt;$AE$34,1,0)</f>
        <v/>
      </c>
      <c r="AB520">
        <f>IF(AA520=C520,1,0)</f>
        <v/>
      </c>
    </row>
    <row r="521">
      <c r="A521">
        <f>'1 datos preparados'!A514</f>
        <v/>
      </c>
      <c r="B521" s="5">
        <f>'1 datos preparados'!U514</f>
        <v/>
      </c>
      <c r="C521">
        <f>'1 datos preparados'!B514</f>
        <v/>
      </c>
      <c r="D521" s="7">
        <f>'1 datos preparados'!C514</f>
        <v/>
      </c>
      <c r="E521" s="7">
        <f>'1 datos preparados'!D514</f>
        <v/>
      </c>
      <c r="F521" s="7">
        <f>'1 datos preparados'!E514</f>
        <v/>
      </c>
      <c r="G521" s="7">
        <f>'1 datos preparados'!F514</f>
        <v/>
      </c>
      <c r="H521" s="7">
        <f>'1 datos preparados'!G514</f>
        <v/>
      </c>
      <c r="I521" s="7">
        <f>'1 datos preparados'!H514</f>
        <v/>
      </c>
      <c r="J521" s="7">
        <f>'1 datos preparados'!I514</f>
        <v/>
      </c>
      <c r="K521" s="7">
        <f>'1 datos preparados'!J514</f>
        <v/>
      </c>
      <c r="L521" s="7">
        <f>'1 datos preparados'!K514</f>
        <v/>
      </c>
      <c r="M521" s="7">
        <f>'1 datos preparados'!L514</f>
        <v/>
      </c>
      <c r="N521" s="7">
        <f>'1 datos preparados'!M514</f>
        <v/>
      </c>
      <c r="O521" s="7">
        <f>'1 datos preparados'!N514</f>
        <v/>
      </c>
      <c r="P521" s="7">
        <f>'1 datos preparados'!O514</f>
        <v/>
      </c>
      <c r="Q521" s="7">
        <f>'1 datos preparados'!P514</f>
        <v/>
      </c>
      <c r="R521" s="7">
        <f>'1 datos preparados'!Q514</f>
        <v/>
      </c>
      <c r="S521" s="7">
        <f>'1 datos preparados'!R514</f>
        <v/>
      </c>
      <c r="T521" s="7">
        <f>'1 datos preparados'!S514</f>
        <v/>
      </c>
      <c r="U521" s="7">
        <f>'1 datos preparados'!T514</f>
        <v/>
      </c>
      <c r="V521" s="8">
        <f>$AE$12+D521*$AE$13+E521*$AE$14+F521*$AE$15+G521*$AE$16+H521*$AE$17+I521*$AE$18+J521*$AE$19+K521*$AE$20+L521*$AE$21+M521*$AE$22+N521*$AE$23+O521*$AE$24+P521*$AE$25+Q521*$AE$26+R521*$AE$27+S521*$AE$28+T521*$AE$29+U521*$AE$30</f>
        <v/>
      </c>
      <c r="W521" s="8">
        <f>1/(1+EXP(-V521))</f>
        <v/>
      </c>
      <c r="X521" s="9">
        <f>-IF(C521=1,LN(W521),LN(1-W521))</f>
        <v/>
      </c>
      <c r="Y521" s="8">
        <f>IF(C521=1,$AE$32,$AE$33)</f>
        <v/>
      </c>
      <c r="Z521" s="9">
        <f>Y521*X521</f>
        <v/>
      </c>
      <c r="AA521" s="10">
        <f>IF(W521&gt;$AE$34,1,0)</f>
        <v/>
      </c>
      <c r="AB521">
        <f>IF(AA521=C521,1,0)</f>
        <v/>
      </c>
    </row>
    <row r="522">
      <c r="A522">
        <f>'1 datos preparados'!A515</f>
        <v/>
      </c>
      <c r="B522" s="5">
        <f>'1 datos preparados'!U515</f>
        <v/>
      </c>
      <c r="C522">
        <f>'1 datos preparados'!B515</f>
        <v/>
      </c>
      <c r="D522" s="7">
        <f>'1 datos preparados'!C515</f>
        <v/>
      </c>
      <c r="E522" s="7">
        <f>'1 datos preparados'!D515</f>
        <v/>
      </c>
      <c r="F522" s="7">
        <f>'1 datos preparados'!E515</f>
        <v/>
      </c>
      <c r="G522" s="7">
        <f>'1 datos preparados'!F515</f>
        <v/>
      </c>
      <c r="H522" s="7">
        <f>'1 datos preparados'!G515</f>
        <v/>
      </c>
      <c r="I522" s="7">
        <f>'1 datos preparados'!H515</f>
        <v/>
      </c>
      <c r="J522" s="7">
        <f>'1 datos preparados'!I515</f>
        <v/>
      </c>
      <c r="K522" s="7">
        <f>'1 datos preparados'!J515</f>
        <v/>
      </c>
      <c r="L522" s="7">
        <f>'1 datos preparados'!K515</f>
        <v/>
      </c>
      <c r="M522" s="7">
        <f>'1 datos preparados'!L515</f>
        <v/>
      </c>
      <c r="N522" s="7">
        <f>'1 datos preparados'!M515</f>
        <v/>
      </c>
      <c r="O522" s="7">
        <f>'1 datos preparados'!N515</f>
        <v/>
      </c>
      <c r="P522" s="7">
        <f>'1 datos preparados'!O515</f>
        <v/>
      </c>
      <c r="Q522" s="7">
        <f>'1 datos preparados'!P515</f>
        <v/>
      </c>
      <c r="R522" s="7">
        <f>'1 datos preparados'!Q515</f>
        <v/>
      </c>
      <c r="S522" s="7">
        <f>'1 datos preparados'!R515</f>
        <v/>
      </c>
      <c r="T522" s="7">
        <f>'1 datos preparados'!S515</f>
        <v/>
      </c>
      <c r="U522" s="7">
        <f>'1 datos preparados'!T515</f>
        <v/>
      </c>
      <c r="V522" s="8">
        <f>$AE$12+D522*$AE$13+E522*$AE$14+F522*$AE$15+G522*$AE$16+H522*$AE$17+I522*$AE$18+J522*$AE$19+K522*$AE$20+L522*$AE$21+M522*$AE$22+N522*$AE$23+O522*$AE$24+P522*$AE$25+Q522*$AE$26+R522*$AE$27+S522*$AE$28+T522*$AE$29+U522*$AE$30</f>
        <v/>
      </c>
      <c r="W522" s="8">
        <f>1/(1+EXP(-V522))</f>
        <v/>
      </c>
      <c r="X522" s="9">
        <f>-IF(C522=1,LN(W522),LN(1-W522))</f>
        <v/>
      </c>
      <c r="Y522" s="8">
        <f>IF(C522=1,$AE$32,$AE$33)</f>
        <v/>
      </c>
      <c r="Z522" s="9">
        <f>Y522*X522</f>
        <v/>
      </c>
      <c r="AA522" s="10">
        <f>IF(W522&gt;$AE$34,1,0)</f>
        <v/>
      </c>
      <c r="AB522">
        <f>IF(AA522=C522,1,0)</f>
        <v/>
      </c>
    </row>
    <row r="523">
      <c r="A523">
        <f>'1 datos preparados'!A516</f>
        <v/>
      </c>
      <c r="B523" s="5">
        <f>'1 datos preparados'!U516</f>
        <v/>
      </c>
      <c r="C523">
        <f>'1 datos preparados'!B516</f>
        <v/>
      </c>
      <c r="D523" s="7">
        <f>'1 datos preparados'!C516</f>
        <v/>
      </c>
      <c r="E523" s="7">
        <f>'1 datos preparados'!D516</f>
        <v/>
      </c>
      <c r="F523" s="7">
        <f>'1 datos preparados'!E516</f>
        <v/>
      </c>
      <c r="G523" s="7">
        <f>'1 datos preparados'!F516</f>
        <v/>
      </c>
      <c r="H523" s="7">
        <f>'1 datos preparados'!G516</f>
        <v/>
      </c>
      <c r="I523" s="7">
        <f>'1 datos preparados'!H516</f>
        <v/>
      </c>
      <c r="J523" s="7">
        <f>'1 datos preparados'!I516</f>
        <v/>
      </c>
      <c r="K523" s="7">
        <f>'1 datos preparados'!J516</f>
        <v/>
      </c>
      <c r="L523" s="7">
        <f>'1 datos preparados'!K516</f>
        <v/>
      </c>
      <c r="M523" s="7">
        <f>'1 datos preparados'!L516</f>
        <v/>
      </c>
      <c r="N523" s="7">
        <f>'1 datos preparados'!M516</f>
        <v/>
      </c>
      <c r="O523" s="7">
        <f>'1 datos preparados'!N516</f>
        <v/>
      </c>
      <c r="P523" s="7">
        <f>'1 datos preparados'!O516</f>
        <v/>
      </c>
      <c r="Q523" s="7">
        <f>'1 datos preparados'!P516</f>
        <v/>
      </c>
      <c r="R523" s="7">
        <f>'1 datos preparados'!Q516</f>
        <v/>
      </c>
      <c r="S523" s="7">
        <f>'1 datos preparados'!R516</f>
        <v/>
      </c>
      <c r="T523" s="7">
        <f>'1 datos preparados'!S516</f>
        <v/>
      </c>
      <c r="U523" s="7">
        <f>'1 datos preparados'!T516</f>
        <v/>
      </c>
      <c r="V523" s="8">
        <f>$AE$12+D523*$AE$13+E523*$AE$14+F523*$AE$15+G523*$AE$16+H523*$AE$17+I523*$AE$18+J523*$AE$19+K523*$AE$20+L523*$AE$21+M523*$AE$22+N523*$AE$23+O523*$AE$24+P523*$AE$25+Q523*$AE$26+R523*$AE$27+S523*$AE$28+T523*$AE$29+U523*$AE$30</f>
        <v/>
      </c>
      <c r="W523" s="8">
        <f>1/(1+EXP(-V523))</f>
        <v/>
      </c>
      <c r="X523" s="9">
        <f>-IF(C523=1,LN(W523),LN(1-W523))</f>
        <v/>
      </c>
      <c r="Y523" s="8">
        <f>IF(C523=1,$AE$32,$AE$33)</f>
        <v/>
      </c>
      <c r="Z523" s="9">
        <f>Y523*X523</f>
        <v/>
      </c>
      <c r="AA523" s="10">
        <f>IF(W523&gt;$AE$34,1,0)</f>
        <v/>
      </c>
      <c r="AB523">
        <f>IF(AA523=C523,1,0)</f>
        <v/>
      </c>
    </row>
    <row r="524">
      <c r="A524">
        <f>'1 datos preparados'!A517</f>
        <v/>
      </c>
      <c r="B524" s="5">
        <f>'1 datos preparados'!U517</f>
        <v/>
      </c>
      <c r="C524">
        <f>'1 datos preparados'!B517</f>
        <v/>
      </c>
      <c r="D524" s="7">
        <f>'1 datos preparados'!C517</f>
        <v/>
      </c>
      <c r="E524" s="7">
        <f>'1 datos preparados'!D517</f>
        <v/>
      </c>
      <c r="F524" s="7">
        <f>'1 datos preparados'!E517</f>
        <v/>
      </c>
      <c r="G524" s="7">
        <f>'1 datos preparados'!F517</f>
        <v/>
      </c>
      <c r="H524" s="7">
        <f>'1 datos preparados'!G517</f>
        <v/>
      </c>
      <c r="I524" s="7">
        <f>'1 datos preparados'!H517</f>
        <v/>
      </c>
      <c r="J524" s="7">
        <f>'1 datos preparados'!I517</f>
        <v/>
      </c>
      <c r="K524" s="7">
        <f>'1 datos preparados'!J517</f>
        <v/>
      </c>
      <c r="L524" s="7">
        <f>'1 datos preparados'!K517</f>
        <v/>
      </c>
      <c r="M524" s="7">
        <f>'1 datos preparados'!L517</f>
        <v/>
      </c>
      <c r="N524" s="7">
        <f>'1 datos preparados'!M517</f>
        <v/>
      </c>
      <c r="O524" s="7">
        <f>'1 datos preparados'!N517</f>
        <v/>
      </c>
      <c r="P524" s="7">
        <f>'1 datos preparados'!O517</f>
        <v/>
      </c>
      <c r="Q524" s="7">
        <f>'1 datos preparados'!P517</f>
        <v/>
      </c>
      <c r="R524" s="7">
        <f>'1 datos preparados'!Q517</f>
        <v/>
      </c>
      <c r="S524" s="7">
        <f>'1 datos preparados'!R517</f>
        <v/>
      </c>
      <c r="T524" s="7">
        <f>'1 datos preparados'!S517</f>
        <v/>
      </c>
      <c r="U524" s="7">
        <f>'1 datos preparados'!T517</f>
        <v/>
      </c>
      <c r="V524" s="8">
        <f>$AE$12+D524*$AE$13+E524*$AE$14+F524*$AE$15+G524*$AE$16+H524*$AE$17+I524*$AE$18+J524*$AE$19+K524*$AE$20+L524*$AE$21+M524*$AE$22+N524*$AE$23+O524*$AE$24+P524*$AE$25+Q524*$AE$26+R524*$AE$27+S524*$AE$28+T524*$AE$29+U524*$AE$30</f>
        <v/>
      </c>
      <c r="W524" s="8">
        <f>1/(1+EXP(-V524))</f>
        <v/>
      </c>
      <c r="X524" s="9">
        <f>-IF(C524=1,LN(W524),LN(1-W524))</f>
        <v/>
      </c>
      <c r="Y524" s="8">
        <f>IF(C524=1,$AE$32,$AE$33)</f>
        <v/>
      </c>
      <c r="Z524" s="9">
        <f>Y524*X524</f>
        <v/>
      </c>
      <c r="AA524" s="10">
        <f>IF(W524&gt;$AE$34,1,0)</f>
        <v/>
      </c>
      <c r="AB524">
        <f>IF(AA524=C524,1,0)</f>
        <v/>
      </c>
    </row>
    <row r="525">
      <c r="A525">
        <f>'1 datos preparados'!A518</f>
        <v/>
      </c>
      <c r="B525" s="5">
        <f>'1 datos preparados'!U518</f>
        <v/>
      </c>
      <c r="C525">
        <f>'1 datos preparados'!B518</f>
        <v/>
      </c>
      <c r="D525" s="7">
        <f>'1 datos preparados'!C518</f>
        <v/>
      </c>
      <c r="E525" s="7">
        <f>'1 datos preparados'!D518</f>
        <v/>
      </c>
      <c r="F525" s="7">
        <f>'1 datos preparados'!E518</f>
        <v/>
      </c>
      <c r="G525" s="7">
        <f>'1 datos preparados'!F518</f>
        <v/>
      </c>
      <c r="H525" s="7">
        <f>'1 datos preparados'!G518</f>
        <v/>
      </c>
      <c r="I525" s="7">
        <f>'1 datos preparados'!H518</f>
        <v/>
      </c>
      <c r="J525" s="7">
        <f>'1 datos preparados'!I518</f>
        <v/>
      </c>
      <c r="K525" s="7">
        <f>'1 datos preparados'!J518</f>
        <v/>
      </c>
      <c r="L525" s="7">
        <f>'1 datos preparados'!K518</f>
        <v/>
      </c>
      <c r="M525" s="7">
        <f>'1 datos preparados'!L518</f>
        <v/>
      </c>
      <c r="N525" s="7">
        <f>'1 datos preparados'!M518</f>
        <v/>
      </c>
      <c r="O525" s="7">
        <f>'1 datos preparados'!N518</f>
        <v/>
      </c>
      <c r="P525" s="7">
        <f>'1 datos preparados'!O518</f>
        <v/>
      </c>
      <c r="Q525" s="7">
        <f>'1 datos preparados'!P518</f>
        <v/>
      </c>
      <c r="R525" s="7">
        <f>'1 datos preparados'!Q518</f>
        <v/>
      </c>
      <c r="S525" s="7">
        <f>'1 datos preparados'!R518</f>
        <v/>
      </c>
      <c r="T525" s="7">
        <f>'1 datos preparados'!S518</f>
        <v/>
      </c>
      <c r="U525" s="7">
        <f>'1 datos preparados'!T518</f>
        <v/>
      </c>
      <c r="V525" s="8">
        <f>$AE$12+D525*$AE$13+E525*$AE$14+F525*$AE$15+G525*$AE$16+H525*$AE$17+I525*$AE$18+J525*$AE$19+K525*$AE$20+L525*$AE$21+M525*$AE$22+N525*$AE$23+O525*$AE$24+P525*$AE$25+Q525*$AE$26+R525*$AE$27+S525*$AE$28+T525*$AE$29+U525*$AE$30</f>
        <v/>
      </c>
      <c r="W525" s="8">
        <f>1/(1+EXP(-V525))</f>
        <v/>
      </c>
      <c r="X525" s="9">
        <f>-IF(C525=1,LN(W525),LN(1-W525))</f>
        <v/>
      </c>
      <c r="Y525" s="8">
        <f>IF(C525=1,$AE$32,$AE$33)</f>
        <v/>
      </c>
      <c r="Z525" s="9">
        <f>Y525*X525</f>
        <v/>
      </c>
      <c r="AA525" s="10">
        <f>IF(W525&gt;$AE$34,1,0)</f>
        <v/>
      </c>
      <c r="AB525">
        <f>IF(AA525=C525,1,0)</f>
        <v/>
      </c>
    </row>
    <row r="526">
      <c r="A526">
        <f>'1 datos preparados'!A519</f>
        <v/>
      </c>
      <c r="B526" s="5">
        <f>'1 datos preparados'!U519</f>
        <v/>
      </c>
      <c r="C526">
        <f>'1 datos preparados'!B519</f>
        <v/>
      </c>
      <c r="D526" s="7">
        <f>'1 datos preparados'!C519</f>
        <v/>
      </c>
      <c r="E526" s="7">
        <f>'1 datos preparados'!D519</f>
        <v/>
      </c>
      <c r="F526" s="7">
        <f>'1 datos preparados'!E519</f>
        <v/>
      </c>
      <c r="G526" s="7">
        <f>'1 datos preparados'!F519</f>
        <v/>
      </c>
      <c r="H526" s="7">
        <f>'1 datos preparados'!G519</f>
        <v/>
      </c>
      <c r="I526" s="7">
        <f>'1 datos preparados'!H519</f>
        <v/>
      </c>
      <c r="J526" s="7">
        <f>'1 datos preparados'!I519</f>
        <v/>
      </c>
      <c r="K526" s="7">
        <f>'1 datos preparados'!J519</f>
        <v/>
      </c>
      <c r="L526" s="7">
        <f>'1 datos preparados'!K519</f>
        <v/>
      </c>
      <c r="M526" s="7">
        <f>'1 datos preparados'!L519</f>
        <v/>
      </c>
      <c r="N526" s="7">
        <f>'1 datos preparados'!M519</f>
        <v/>
      </c>
      <c r="O526" s="7">
        <f>'1 datos preparados'!N519</f>
        <v/>
      </c>
      <c r="P526" s="7">
        <f>'1 datos preparados'!O519</f>
        <v/>
      </c>
      <c r="Q526" s="7">
        <f>'1 datos preparados'!P519</f>
        <v/>
      </c>
      <c r="R526" s="7">
        <f>'1 datos preparados'!Q519</f>
        <v/>
      </c>
      <c r="S526" s="7">
        <f>'1 datos preparados'!R519</f>
        <v/>
      </c>
      <c r="T526" s="7">
        <f>'1 datos preparados'!S519</f>
        <v/>
      </c>
      <c r="U526" s="7">
        <f>'1 datos preparados'!T519</f>
        <v/>
      </c>
      <c r="V526" s="8">
        <f>$AE$12+D526*$AE$13+E526*$AE$14+F526*$AE$15+G526*$AE$16+H526*$AE$17+I526*$AE$18+J526*$AE$19+K526*$AE$20+L526*$AE$21+M526*$AE$22+N526*$AE$23+O526*$AE$24+P526*$AE$25+Q526*$AE$26+R526*$AE$27+S526*$AE$28+T526*$AE$29+U526*$AE$30</f>
        <v/>
      </c>
      <c r="W526" s="8">
        <f>1/(1+EXP(-V526))</f>
        <v/>
      </c>
      <c r="X526" s="9">
        <f>-IF(C526=1,LN(W526),LN(1-W526))</f>
        <v/>
      </c>
      <c r="Y526" s="8">
        <f>IF(C526=1,$AE$32,$AE$33)</f>
        <v/>
      </c>
      <c r="Z526" s="9">
        <f>Y526*X526</f>
        <v/>
      </c>
      <c r="AA526" s="10">
        <f>IF(W526&gt;$AE$34,1,0)</f>
        <v/>
      </c>
      <c r="AB526">
        <f>IF(AA526=C526,1,0)</f>
        <v/>
      </c>
    </row>
    <row r="527">
      <c r="A527">
        <f>'1 datos preparados'!A520</f>
        <v/>
      </c>
      <c r="B527" s="5">
        <f>'1 datos preparados'!U520</f>
        <v/>
      </c>
      <c r="C527">
        <f>'1 datos preparados'!B520</f>
        <v/>
      </c>
      <c r="D527" s="7">
        <f>'1 datos preparados'!C520</f>
        <v/>
      </c>
      <c r="E527" s="7">
        <f>'1 datos preparados'!D520</f>
        <v/>
      </c>
      <c r="F527" s="7">
        <f>'1 datos preparados'!E520</f>
        <v/>
      </c>
      <c r="G527" s="7">
        <f>'1 datos preparados'!F520</f>
        <v/>
      </c>
      <c r="H527" s="7">
        <f>'1 datos preparados'!G520</f>
        <v/>
      </c>
      <c r="I527" s="7">
        <f>'1 datos preparados'!H520</f>
        <v/>
      </c>
      <c r="J527" s="7">
        <f>'1 datos preparados'!I520</f>
        <v/>
      </c>
      <c r="K527" s="7">
        <f>'1 datos preparados'!J520</f>
        <v/>
      </c>
      <c r="L527" s="7">
        <f>'1 datos preparados'!K520</f>
        <v/>
      </c>
      <c r="M527" s="7">
        <f>'1 datos preparados'!L520</f>
        <v/>
      </c>
      <c r="N527" s="7">
        <f>'1 datos preparados'!M520</f>
        <v/>
      </c>
      <c r="O527" s="7">
        <f>'1 datos preparados'!N520</f>
        <v/>
      </c>
      <c r="P527" s="7">
        <f>'1 datos preparados'!O520</f>
        <v/>
      </c>
      <c r="Q527" s="7">
        <f>'1 datos preparados'!P520</f>
        <v/>
      </c>
      <c r="R527" s="7">
        <f>'1 datos preparados'!Q520</f>
        <v/>
      </c>
      <c r="S527" s="7">
        <f>'1 datos preparados'!R520</f>
        <v/>
      </c>
      <c r="T527" s="7">
        <f>'1 datos preparados'!S520</f>
        <v/>
      </c>
      <c r="U527" s="7">
        <f>'1 datos preparados'!T520</f>
        <v/>
      </c>
      <c r="V527" s="8">
        <f>$AE$12+D527*$AE$13+E527*$AE$14+F527*$AE$15+G527*$AE$16+H527*$AE$17+I527*$AE$18+J527*$AE$19+K527*$AE$20+L527*$AE$21+M527*$AE$22+N527*$AE$23+O527*$AE$24+P527*$AE$25+Q527*$AE$26+R527*$AE$27+S527*$AE$28+T527*$AE$29+U527*$AE$30</f>
        <v/>
      </c>
      <c r="W527" s="8">
        <f>1/(1+EXP(-V527))</f>
        <v/>
      </c>
      <c r="X527" s="9">
        <f>-IF(C527=1,LN(W527),LN(1-W527))</f>
        <v/>
      </c>
      <c r="Y527" s="8">
        <f>IF(C527=1,$AE$32,$AE$33)</f>
        <v/>
      </c>
      <c r="Z527" s="9">
        <f>Y527*X527</f>
        <v/>
      </c>
      <c r="AA527" s="10">
        <f>IF(W527&gt;$AE$34,1,0)</f>
        <v/>
      </c>
      <c r="AB527">
        <f>IF(AA527=C527,1,0)</f>
        <v/>
      </c>
    </row>
    <row r="528">
      <c r="A528">
        <f>'1 datos preparados'!A521</f>
        <v/>
      </c>
      <c r="B528" s="5">
        <f>'1 datos preparados'!U521</f>
        <v/>
      </c>
      <c r="C528">
        <f>'1 datos preparados'!B521</f>
        <v/>
      </c>
      <c r="D528" s="7">
        <f>'1 datos preparados'!C521</f>
        <v/>
      </c>
      <c r="E528" s="7">
        <f>'1 datos preparados'!D521</f>
        <v/>
      </c>
      <c r="F528" s="7">
        <f>'1 datos preparados'!E521</f>
        <v/>
      </c>
      <c r="G528" s="7">
        <f>'1 datos preparados'!F521</f>
        <v/>
      </c>
      <c r="H528" s="7">
        <f>'1 datos preparados'!G521</f>
        <v/>
      </c>
      <c r="I528" s="7">
        <f>'1 datos preparados'!H521</f>
        <v/>
      </c>
      <c r="J528" s="7">
        <f>'1 datos preparados'!I521</f>
        <v/>
      </c>
      <c r="K528" s="7">
        <f>'1 datos preparados'!J521</f>
        <v/>
      </c>
      <c r="L528" s="7">
        <f>'1 datos preparados'!K521</f>
        <v/>
      </c>
      <c r="M528" s="7">
        <f>'1 datos preparados'!L521</f>
        <v/>
      </c>
      <c r="N528" s="7">
        <f>'1 datos preparados'!M521</f>
        <v/>
      </c>
      <c r="O528" s="7">
        <f>'1 datos preparados'!N521</f>
        <v/>
      </c>
      <c r="P528" s="7">
        <f>'1 datos preparados'!O521</f>
        <v/>
      </c>
      <c r="Q528" s="7">
        <f>'1 datos preparados'!P521</f>
        <v/>
      </c>
      <c r="R528" s="7">
        <f>'1 datos preparados'!Q521</f>
        <v/>
      </c>
      <c r="S528" s="7">
        <f>'1 datos preparados'!R521</f>
        <v/>
      </c>
      <c r="T528" s="7">
        <f>'1 datos preparados'!S521</f>
        <v/>
      </c>
      <c r="U528" s="7">
        <f>'1 datos preparados'!T521</f>
        <v/>
      </c>
      <c r="V528" s="8">
        <f>$AE$12+D528*$AE$13+E528*$AE$14+F528*$AE$15+G528*$AE$16+H528*$AE$17+I528*$AE$18+J528*$AE$19+K528*$AE$20+L528*$AE$21+M528*$AE$22+N528*$AE$23+O528*$AE$24+P528*$AE$25+Q528*$AE$26+R528*$AE$27+S528*$AE$28+T528*$AE$29+U528*$AE$30</f>
        <v/>
      </c>
      <c r="W528" s="8">
        <f>1/(1+EXP(-V528))</f>
        <v/>
      </c>
      <c r="X528" s="9">
        <f>-IF(C528=1,LN(W528),LN(1-W528))</f>
        <v/>
      </c>
      <c r="Y528" s="8">
        <f>IF(C528=1,$AE$32,$AE$33)</f>
        <v/>
      </c>
      <c r="Z528" s="9">
        <f>Y528*X528</f>
        <v/>
      </c>
      <c r="AA528" s="10">
        <f>IF(W528&gt;$AE$34,1,0)</f>
        <v/>
      </c>
      <c r="AB528">
        <f>IF(AA528=C528,1,0)</f>
        <v/>
      </c>
    </row>
    <row r="529">
      <c r="A529">
        <f>'1 datos preparados'!A522</f>
        <v/>
      </c>
      <c r="B529" s="5">
        <f>'1 datos preparados'!U522</f>
        <v/>
      </c>
      <c r="C529">
        <f>'1 datos preparados'!B522</f>
        <v/>
      </c>
      <c r="D529" s="7">
        <f>'1 datos preparados'!C522</f>
        <v/>
      </c>
      <c r="E529" s="7">
        <f>'1 datos preparados'!D522</f>
        <v/>
      </c>
      <c r="F529" s="7">
        <f>'1 datos preparados'!E522</f>
        <v/>
      </c>
      <c r="G529" s="7">
        <f>'1 datos preparados'!F522</f>
        <v/>
      </c>
      <c r="H529" s="7">
        <f>'1 datos preparados'!G522</f>
        <v/>
      </c>
      <c r="I529" s="7">
        <f>'1 datos preparados'!H522</f>
        <v/>
      </c>
      <c r="J529" s="7">
        <f>'1 datos preparados'!I522</f>
        <v/>
      </c>
      <c r="K529" s="7">
        <f>'1 datos preparados'!J522</f>
        <v/>
      </c>
      <c r="L529" s="7">
        <f>'1 datos preparados'!K522</f>
        <v/>
      </c>
      <c r="M529" s="7">
        <f>'1 datos preparados'!L522</f>
        <v/>
      </c>
      <c r="N529" s="7">
        <f>'1 datos preparados'!M522</f>
        <v/>
      </c>
      <c r="O529" s="7">
        <f>'1 datos preparados'!N522</f>
        <v/>
      </c>
      <c r="P529" s="7">
        <f>'1 datos preparados'!O522</f>
        <v/>
      </c>
      <c r="Q529" s="7">
        <f>'1 datos preparados'!P522</f>
        <v/>
      </c>
      <c r="R529" s="7">
        <f>'1 datos preparados'!Q522</f>
        <v/>
      </c>
      <c r="S529" s="7">
        <f>'1 datos preparados'!R522</f>
        <v/>
      </c>
      <c r="T529" s="7">
        <f>'1 datos preparados'!S522</f>
        <v/>
      </c>
      <c r="U529" s="7">
        <f>'1 datos preparados'!T522</f>
        <v/>
      </c>
      <c r="V529" s="8">
        <f>$AE$12+D529*$AE$13+E529*$AE$14+F529*$AE$15+G529*$AE$16+H529*$AE$17+I529*$AE$18+J529*$AE$19+K529*$AE$20+L529*$AE$21+M529*$AE$22+N529*$AE$23+O529*$AE$24+P529*$AE$25+Q529*$AE$26+R529*$AE$27+S529*$AE$28+T529*$AE$29+U529*$AE$30</f>
        <v/>
      </c>
      <c r="W529" s="8">
        <f>1/(1+EXP(-V529))</f>
        <v/>
      </c>
      <c r="X529" s="9">
        <f>-IF(C529=1,LN(W529),LN(1-W529))</f>
        <v/>
      </c>
      <c r="Y529" s="8">
        <f>IF(C529=1,$AE$32,$AE$33)</f>
        <v/>
      </c>
      <c r="Z529" s="9">
        <f>Y529*X529</f>
        <v/>
      </c>
      <c r="AA529" s="10">
        <f>IF(W529&gt;$AE$34,1,0)</f>
        <v/>
      </c>
      <c r="AB529">
        <f>IF(AA529=C529,1,0)</f>
        <v/>
      </c>
    </row>
    <row r="530">
      <c r="A530">
        <f>'1 datos preparados'!A523</f>
        <v/>
      </c>
      <c r="B530" s="5">
        <f>'1 datos preparados'!U523</f>
        <v/>
      </c>
      <c r="C530">
        <f>'1 datos preparados'!B523</f>
        <v/>
      </c>
      <c r="D530" s="7">
        <f>'1 datos preparados'!C523</f>
        <v/>
      </c>
      <c r="E530" s="7">
        <f>'1 datos preparados'!D523</f>
        <v/>
      </c>
      <c r="F530" s="7">
        <f>'1 datos preparados'!E523</f>
        <v/>
      </c>
      <c r="G530" s="7">
        <f>'1 datos preparados'!F523</f>
        <v/>
      </c>
      <c r="H530" s="7">
        <f>'1 datos preparados'!G523</f>
        <v/>
      </c>
      <c r="I530" s="7">
        <f>'1 datos preparados'!H523</f>
        <v/>
      </c>
      <c r="J530" s="7">
        <f>'1 datos preparados'!I523</f>
        <v/>
      </c>
      <c r="K530" s="7">
        <f>'1 datos preparados'!J523</f>
        <v/>
      </c>
      <c r="L530" s="7">
        <f>'1 datos preparados'!K523</f>
        <v/>
      </c>
      <c r="M530" s="7">
        <f>'1 datos preparados'!L523</f>
        <v/>
      </c>
      <c r="N530" s="7">
        <f>'1 datos preparados'!M523</f>
        <v/>
      </c>
      <c r="O530" s="7">
        <f>'1 datos preparados'!N523</f>
        <v/>
      </c>
      <c r="P530" s="7">
        <f>'1 datos preparados'!O523</f>
        <v/>
      </c>
      <c r="Q530" s="7">
        <f>'1 datos preparados'!P523</f>
        <v/>
      </c>
      <c r="R530" s="7">
        <f>'1 datos preparados'!Q523</f>
        <v/>
      </c>
      <c r="S530" s="7">
        <f>'1 datos preparados'!R523</f>
        <v/>
      </c>
      <c r="T530" s="7">
        <f>'1 datos preparados'!S523</f>
        <v/>
      </c>
      <c r="U530" s="7">
        <f>'1 datos preparados'!T523</f>
        <v/>
      </c>
      <c r="V530" s="8">
        <f>$AE$12+D530*$AE$13+E530*$AE$14+F530*$AE$15+G530*$AE$16+H530*$AE$17+I530*$AE$18+J530*$AE$19+K530*$AE$20+L530*$AE$21+M530*$AE$22+N530*$AE$23+O530*$AE$24+P530*$AE$25+Q530*$AE$26+R530*$AE$27+S530*$AE$28+T530*$AE$29+U530*$AE$30</f>
        <v/>
      </c>
      <c r="W530" s="8">
        <f>1/(1+EXP(-V530))</f>
        <v/>
      </c>
      <c r="X530" s="9">
        <f>-IF(C530=1,LN(W530),LN(1-W530))</f>
        <v/>
      </c>
      <c r="Y530" s="8">
        <f>IF(C530=1,$AE$32,$AE$33)</f>
        <v/>
      </c>
      <c r="Z530" s="9">
        <f>Y530*X530</f>
        <v/>
      </c>
      <c r="AA530" s="10">
        <f>IF(W530&gt;$AE$34,1,0)</f>
        <v/>
      </c>
      <c r="AB530">
        <f>IF(AA530=C530,1,0)</f>
        <v/>
      </c>
    </row>
    <row r="531">
      <c r="A531">
        <f>'1 datos preparados'!A524</f>
        <v/>
      </c>
      <c r="B531" s="5">
        <f>'1 datos preparados'!U524</f>
        <v/>
      </c>
      <c r="C531">
        <f>'1 datos preparados'!B524</f>
        <v/>
      </c>
      <c r="D531" s="7">
        <f>'1 datos preparados'!C524</f>
        <v/>
      </c>
      <c r="E531" s="7">
        <f>'1 datos preparados'!D524</f>
        <v/>
      </c>
      <c r="F531" s="7">
        <f>'1 datos preparados'!E524</f>
        <v/>
      </c>
      <c r="G531" s="7">
        <f>'1 datos preparados'!F524</f>
        <v/>
      </c>
      <c r="H531" s="7">
        <f>'1 datos preparados'!G524</f>
        <v/>
      </c>
      <c r="I531" s="7">
        <f>'1 datos preparados'!H524</f>
        <v/>
      </c>
      <c r="J531" s="7">
        <f>'1 datos preparados'!I524</f>
        <v/>
      </c>
      <c r="K531" s="7">
        <f>'1 datos preparados'!J524</f>
        <v/>
      </c>
      <c r="L531" s="7">
        <f>'1 datos preparados'!K524</f>
        <v/>
      </c>
      <c r="M531" s="7">
        <f>'1 datos preparados'!L524</f>
        <v/>
      </c>
      <c r="N531" s="7">
        <f>'1 datos preparados'!M524</f>
        <v/>
      </c>
      <c r="O531" s="7">
        <f>'1 datos preparados'!N524</f>
        <v/>
      </c>
      <c r="P531" s="7">
        <f>'1 datos preparados'!O524</f>
        <v/>
      </c>
      <c r="Q531" s="7">
        <f>'1 datos preparados'!P524</f>
        <v/>
      </c>
      <c r="R531" s="7">
        <f>'1 datos preparados'!Q524</f>
        <v/>
      </c>
      <c r="S531" s="7">
        <f>'1 datos preparados'!R524</f>
        <v/>
      </c>
      <c r="T531" s="7">
        <f>'1 datos preparados'!S524</f>
        <v/>
      </c>
      <c r="U531" s="7">
        <f>'1 datos preparados'!T524</f>
        <v/>
      </c>
      <c r="V531" s="8">
        <f>$AE$12+D531*$AE$13+E531*$AE$14+F531*$AE$15+G531*$AE$16+H531*$AE$17+I531*$AE$18+J531*$AE$19+K531*$AE$20+L531*$AE$21+M531*$AE$22+N531*$AE$23+O531*$AE$24+P531*$AE$25+Q531*$AE$26+R531*$AE$27+S531*$AE$28+T531*$AE$29+U531*$AE$30</f>
        <v/>
      </c>
      <c r="W531" s="8">
        <f>1/(1+EXP(-V531))</f>
        <v/>
      </c>
      <c r="X531" s="9">
        <f>-IF(C531=1,LN(W531),LN(1-W531))</f>
        <v/>
      </c>
      <c r="Y531" s="8">
        <f>IF(C531=1,$AE$32,$AE$33)</f>
        <v/>
      </c>
      <c r="Z531" s="9">
        <f>Y531*X531</f>
        <v/>
      </c>
      <c r="AA531" s="10">
        <f>IF(W531&gt;$AE$34,1,0)</f>
        <v/>
      </c>
      <c r="AB531">
        <f>IF(AA531=C531,1,0)</f>
        <v/>
      </c>
    </row>
    <row r="532">
      <c r="A532">
        <f>'1 datos preparados'!A525</f>
        <v/>
      </c>
      <c r="B532" s="5">
        <f>'1 datos preparados'!U525</f>
        <v/>
      </c>
      <c r="C532">
        <f>'1 datos preparados'!B525</f>
        <v/>
      </c>
      <c r="D532" s="7">
        <f>'1 datos preparados'!C525</f>
        <v/>
      </c>
      <c r="E532" s="7">
        <f>'1 datos preparados'!D525</f>
        <v/>
      </c>
      <c r="F532" s="7">
        <f>'1 datos preparados'!E525</f>
        <v/>
      </c>
      <c r="G532" s="7">
        <f>'1 datos preparados'!F525</f>
        <v/>
      </c>
      <c r="H532" s="7">
        <f>'1 datos preparados'!G525</f>
        <v/>
      </c>
      <c r="I532" s="7">
        <f>'1 datos preparados'!H525</f>
        <v/>
      </c>
      <c r="J532" s="7">
        <f>'1 datos preparados'!I525</f>
        <v/>
      </c>
      <c r="K532" s="7">
        <f>'1 datos preparados'!J525</f>
        <v/>
      </c>
      <c r="L532" s="7">
        <f>'1 datos preparados'!K525</f>
        <v/>
      </c>
      <c r="M532" s="7">
        <f>'1 datos preparados'!L525</f>
        <v/>
      </c>
      <c r="N532" s="7">
        <f>'1 datos preparados'!M525</f>
        <v/>
      </c>
      <c r="O532" s="7">
        <f>'1 datos preparados'!N525</f>
        <v/>
      </c>
      <c r="P532" s="7">
        <f>'1 datos preparados'!O525</f>
        <v/>
      </c>
      <c r="Q532" s="7">
        <f>'1 datos preparados'!P525</f>
        <v/>
      </c>
      <c r="R532" s="7">
        <f>'1 datos preparados'!Q525</f>
        <v/>
      </c>
      <c r="S532" s="7">
        <f>'1 datos preparados'!R525</f>
        <v/>
      </c>
      <c r="T532" s="7">
        <f>'1 datos preparados'!S525</f>
        <v/>
      </c>
      <c r="U532" s="7">
        <f>'1 datos preparados'!T525</f>
        <v/>
      </c>
      <c r="V532" s="8">
        <f>$AE$12+D532*$AE$13+E532*$AE$14+F532*$AE$15+G532*$AE$16+H532*$AE$17+I532*$AE$18+J532*$AE$19+K532*$AE$20+L532*$AE$21+M532*$AE$22+N532*$AE$23+O532*$AE$24+P532*$AE$25+Q532*$AE$26+R532*$AE$27+S532*$AE$28+T532*$AE$29+U532*$AE$30</f>
        <v/>
      </c>
      <c r="W532" s="8">
        <f>1/(1+EXP(-V532))</f>
        <v/>
      </c>
      <c r="X532" s="9">
        <f>-IF(C532=1,LN(W532),LN(1-W532))</f>
        <v/>
      </c>
      <c r="Y532" s="8">
        <f>IF(C532=1,$AE$32,$AE$33)</f>
        <v/>
      </c>
      <c r="Z532" s="9">
        <f>Y532*X532</f>
        <v/>
      </c>
      <c r="AA532" s="10">
        <f>IF(W532&gt;$AE$34,1,0)</f>
        <v/>
      </c>
      <c r="AB532">
        <f>IF(AA532=C532,1,0)</f>
        <v/>
      </c>
    </row>
    <row r="533">
      <c r="A533">
        <f>'1 datos preparados'!A526</f>
        <v/>
      </c>
      <c r="B533" s="5">
        <f>'1 datos preparados'!U526</f>
        <v/>
      </c>
      <c r="C533">
        <f>'1 datos preparados'!B526</f>
        <v/>
      </c>
      <c r="D533" s="7">
        <f>'1 datos preparados'!C526</f>
        <v/>
      </c>
      <c r="E533" s="7">
        <f>'1 datos preparados'!D526</f>
        <v/>
      </c>
      <c r="F533" s="7">
        <f>'1 datos preparados'!E526</f>
        <v/>
      </c>
      <c r="G533" s="7">
        <f>'1 datos preparados'!F526</f>
        <v/>
      </c>
      <c r="H533" s="7">
        <f>'1 datos preparados'!G526</f>
        <v/>
      </c>
      <c r="I533" s="7">
        <f>'1 datos preparados'!H526</f>
        <v/>
      </c>
      <c r="J533" s="7">
        <f>'1 datos preparados'!I526</f>
        <v/>
      </c>
      <c r="K533" s="7">
        <f>'1 datos preparados'!J526</f>
        <v/>
      </c>
      <c r="L533" s="7">
        <f>'1 datos preparados'!K526</f>
        <v/>
      </c>
      <c r="M533" s="7">
        <f>'1 datos preparados'!L526</f>
        <v/>
      </c>
      <c r="N533" s="7">
        <f>'1 datos preparados'!M526</f>
        <v/>
      </c>
      <c r="O533" s="7">
        <f>'1 datos preparados'!N526</f>
        <v/>
      </c>
      <c r="P533" s="7">
        <f>'1 datos preparados'!O526</f>
        <v/>
      </c>
      <c r="Q533" s="7">
        <f>'1 datos preparados'!P526</f>
        <v/>
      </c>
      <c r="R533" s="7">
        <f>'1 datos preparados'!Q526</f>
        <v/>
      </c>
      <c r="S533" s="7">
        <f>'1 datos preparados'!R526</f>
        <v/>
      </c>
      <c r="T533" s="7">
        <f>'1 datos preparados'!S526</f>
        <v/>
      </c>
      <c r="U533" s="7">
        <f>'1 datos preparados'!T526</f>
        <v/>
      </c>
      <c r="V533" s="8">
        <f>$AE$12+D533*$AE$13+E533*$AE$14+F533*$AE$15+G533*$AE$16+H533*$AE$17+I533*$AE$18+J533*$AE$19+K533*$AE$20+L533*$AE$21+M533*$AE$22+N533*$AE$23+O533*$AE$24+P533*$AE$25+Q533*$AE$26+R533*$AE$27+S533*$AE$28+T533*$AE$29+U533*$AE$30</f>
        <v/>
      </c>
      <c r="W533" s="8">
        <f>1/(1+EXP(-V533))</f>
        <v/>
      </c>
      <c r="X533" s="9">
        <f>-IF(C533=1,LN(W533),LN(1-W533))</f>
        <v/>
      </c>
      <c r="Y533" s="8">
        <f>IF(C533=1,$AE$32,$AE$33)</f>
        <v/>
      </c>
      <c r="Z533" s="9">
        <f>Y533*X533</f>
        <v/>
      </c>
      <c r="AA533" s="10">
        <f>IF(W533&gt;$AE$34,1,0)</f>
        <v/>
      </c>
      <c r="AB533">
        <f>IF(AA533=C533,1,0)</f>
        <v/>
      </c>
    </row>
    <row r="534">
      <c r="A534">
        <f>'1 datos preparados'!A527</f>
        <v/>
      </c>
      <c r="B534" s="5">
        <f>'1 datos preparados'!U527</f>
        <v/>
      </c>
      <c r="C534">
        <f>'1 datos preparados'!B527</f>
        <v/>
      </c>
      <c r="D534" s="7">
        <f>'1 datos preparados'!C527</f>
        <v/>
      </c>
      <c r="E534" s="7">
        <f>'1 datos preparados'!D527</f>
        <v/>
      </c>
      <c r="F534" s="7">
        <f>'1 datos preparados'!E527</f>
        <v/>
      </c>
      <c r="G534" s="7">
        <f>'1 datos preparados'!F527</f>
        <v/>
      </c>
      <c r="H534" s="7">
        <f>'1 datos preparados'!G527</f>
        <v/>
      </c>
      <c r="I534" s="7">
        <f>'1 datos preparados'!H527</f>
        <v/>
      </c>
      <c r="J534" s="7">
        <f>'1 datos preparados'!I527</f>
        <v/>
      </c>
      <c r="K534" s="7">
        <f>'1 datos preparados'!J527</f>
        <v/>
      </c>
      <c r="L534" s="7">
        <f>'1 datos preparados'!K527</f>
        <v/>
      </c>
      <c r="M534" s="7">
        <f>'1 datos preparados'!L527</f>
        <v/>
      </c>
      <c r="N534" s="7">
        <f>'1 datos preparados'!M527</f>
        <v/>
      </c>
      <c r="O534" s="7">
        <f>'1 datos preparados'!N527</f>
        <v/>
      </c>
      <c r="P534" s="7">
        <f>'1 datos preparados'!O527</f>
        <v/>
      </c>
      <c r="Q534" s="7">
        <f>'1 datos preparados'!P527</f>
        <v/>
      </c>
      <c r="R534" s="7">
        <f>'1 datos preparados'!Q527</f>
        <v/>
      </c>
      <c r="S534" s="7">
        <f>'1 datos preparados'!R527</f>
        <v/>
      </c>
      <c r="T534" s="7">
        <f>'1 datos preparados'!S527</f>
        <v/>
      </c>
      <c r="U534" s="7">
        <f>'1 datos preparados'!T527</f>
        <v/>
      </c>
      <c r="V534" s="8">
        <f>$AE$12+D534*$AE$13+E534*$AE$14+F534*$AE$15+G534*$AE$16+H534*$AE$17+I534*$AE$18+J534*$AE$19+K534*$AE$20+L534*$AE$21+M534*$AE$22+N534*$AE$23+O534*$AE$24+P534*$AE$25+Q534*$AE$26+R534*$AE$27+S534*$AE$28+T534*$AE$29+U534*$AE$30</f>
        <v/>
      </c>
      <c r="W534" s="8">
        <f>1/(1+EXP(-V534))</f>
        <v/>
      </c>
      <c r="X534" s="9">
        <f>-IF(C534=1,LN(W534),LN(1-W534))</f>
        <v/>
      </c>
      <c r="Y534" s="8">
        <f>IF(C534=1,$AE$32,$AE$33)</f>
        <v/>
      </c>
      <c r="Z534" s="9">
        <f>Y534*X534</f>
        <v/>
      </c>
      <c r="AA534" s="10">
        <f>IF(W534&gt;$AE$34,1,0)</f>
        <v/>
      </c>
      <c r="AB534">
        <f>IF(AA534=C534,1,0)</f>
        <v/>
      </c>
    </row>
    <row r="535">
      <c r="A535">
        <f>'1 datos preparados'!A528</f>
        <v/>
      </c>
      <c r="B535" s="5">
        <f>'1 datos preparados'!U528</f>
        <v/>
      </c>
      <c r="C535">
        <f>'1 datos preparados'!B528</f>
        <v/>
      </c>
      <c r="D535" s="7">
        <f>'1 datos preparados'!C528</f>
        <v/>
      </c>
      <c r="E535" s="7">
        <f>'1 datos preparados'!D528</f>
        <v/>
      </c>
      <c r="F535" s="7">
        <f>'1 datos preparados'!E528</f>
        <v/>
      </c>
      <c r="G535" s="7">
        <f>'1 datos preparados'!F528</f>
        <v/>
      </c>
      <c r="H535" s="7">
        <f>'1 datos preparados'!G528</f>
        <v/>
      </c>
      <c r="I535" s="7">
        <f>'1 datos preparados'!H528</f>
        <v/>
      </c>
      <c r="J535" s="7">
        <f>'1 datos preparados'!I528</f>
        <v/>
      </c>
      <c r="K535" s="7">
        <f>'1 datos preparados'!J528</f>
        <v/>
      </c>
      <c r="L535" s="7">
        <f>'1 datos preparados'!K528</f>
        <v/>
      </c>
      <c r="M535" s="7">
        <f>'1 datos preparados'!L528</f>
        <v/>
      </c>
      <c r="N535" s="7">
        <f>'1 datos preparados'!M528</f>
        <v/>
      </c>
      <c r="O535" s="7">
        <f>'1 datos preparados'!N528</f>
        <v/>
      </c>
      <c r="P535" s="7">
        <f>'1 datos preparados'!O528</f>
        <v/>
      </c>
      <c r="Q535" s="7">
        <f>'1 datos preparados'!P528</f>
        <v/>
      </c>
      <c r="R535" s="7">
        <f>'1 datos preparados'!Q528</f>
        <v/>
      </c>
      <c r="S535" s="7">
        <f>'1 datos preparados'!R528</f>
        <v/>
      </c>
      <c r="T535" s="7">
        <f>'1 datos preparados'!S528</f>
        <v/>
      </c>
      <c r="U535" s="7">
        <f>'1 datos preparados'!T528</f>
        <v/>
      </c>
      <c r="V535" s="8">
        <f>$AE$12+D535*$AE$13+E535*$AE$14+F535*$AE$15+G535*$AE$16+H535*$AE$17+I535*$AE$18+J535*$AE$19+K535*$AE$20+L535*$AE$21+M535*$AE$22+N535*$AE$23+O535*$AE$24+P535*$AE$25+Q535*$AE$26+R535*$AE$27+S535*$AE$28+T535*$AE$29+U535*$AE$30</f>
        <v/>
      </c>
      <c r="W535" s="8">
        <f>1/(1+EXP(-V535))</f>
        <v/>
      </c>
      <c r="X535" s="9">
        <f>-IF(C535=1,LN(W535),LN(1-W535))</f>
        <v/>
      </c>
      <c r="Y535" s="8">
        <f>IF(C535=1,$AE$32,$AE$33)</f>
        <v/>
      </c>
      <c r="Z535" s="9">
        <f>Y535*X535</f>
        <v/>
      </c>
      <c r="AA535" s="10">
        <f>IF(W535&gt;$AE$34,1,0)</f>
        <v/>
      </c>
      <c r="AB535">
        <f>IF(AA535=C535,1,0)</f>
        <v/>
      </c>
    </row>
    <row r="536">
      <c r="A536">
        <f>'1 datos preparados'!A529</f>
        <v/>
      </c>
      <c r="B536" s="5">
        <f>'1 datos preparados'!U529</f>
        <v/>
      </c>
      <c r="C536">
        <f>'1 datos preparados'!B529</f>
        <v/>
      </c>
      <c r="D536" s="7">
        <f>'1 datos preparados'!C529</f>
        <v/>
      </c>
      <c r="E536" s="7">
        <f>'1 datos preparados'!D529</f>
        <v/>
      </c>
      <c r="F536" s="7">
        <f>'1 datos preparados'!E529</f>
        <v/>
      </c>
      <c r="G536" s="7">
        <f>'1 datos preparados'!F529</f>
        <v/>
      </c>
      <c r="H536" s="7">
        <f>'1 datos preparados'!G529</f>
        <v/>
      </c>
      <c r="I536" s="7">
        <f>'1 datos preparados'!H529</f>
        <v/>
      </c>
      <c r="J536" s="7">
        <f>'1 datos preparados'!I529</f>
        <v/>
      </c>
      <c r="K536" s="7">
        <f>'1 datos preparados'!J529</f>
        <v/>
      </c>
      <c r="L536" s="7">
        <f>'1 datos preparados'!K529</f>
        <v/>
      </c>
      <c r="M536" s="7">
        <f>'1 datos preparados'!L529</f>
        <v/>
      </c>
      <c r="N536" s="7">
        <f>'1 datos preparados'!M529</f>
        <v/>
      </c>
      <c r="O536" s="7">
        <f>'1 datos preparados'!N529</f>
        <v/>
      </c>
      <c r="P536" s="7">
        <f>'1 datos preparados'!O529</f>
        <v/>
      </c>
      <c r="Q536" s="7">
        <f>'1 datos preparados'!P529</f>
        <v/>
      </c>
      <c r="R536" s="7">
        <f>'1 datos preparados'!Q529</f>
        <v/>
      </c>
      <c r="S536" s="7">
        <f>'1 datos preparados'!R529</f>
        <v/>
      </c>
      <c r="T536" s="7">
        <f>'1 datos preparados'!S529</f>
        <v/>
      </c>
      <c r="U536" s="7">
        <f>'1 datos preparados'!T529</f>
        <v/>
      </c>
      <c r="V536" s="8">
        <f>$AE$12+D536*$AE$13+E536*$AE$14+F536*$AE$15+G536*$AE$16+H536*$AE$17+I536*$AE$18+J536*$AE$19+K536*$AE$20+L536*$AE$21+M536*$AE$22+N536*$AE$23+O536*$AE$24+P536*$AE$25+Q536*$AE$26+R536*$AE$27+S536*$AE$28+T536*$AE$29+U536*$AE$30</f>
        <v/>
      </c>
      <c r="W536" s="8">
        <f>1/(1+EXP(-V536))</f>
        <v/>
      </c>
      <c r="X536" s="9">
        <f>-IF(C536=1,LN(W536),LN(1-W536))</f>
        <v/>
      </c>
      <c r="Y536" s="8">
        <f>IF(C536=1,$AE$32,$AE$33)</f>
        <v/>
      </c>
      <c r="Z536" s="9">
        <f>Y536*X536</f>
        <v/>
      </c>
      <c r="AA536" s="10">
        <f>IF(W536&gt;$AE$34,1,0)</f>
        <v/>
      </c>
      <c r="AB536">
        <f>IF(AA536=C536,1,0)</f>
        <v/>
      </c>
    </row>
    <row r="537">
      <c r="A537">
        <f>'1 datos preparados'!A530</f>
        <v/>
      </c>
      <c r="B537" s="5">
        <f>'1 datos preparados'!U530</f>
        <v/>
      </c>
      <c r="C537">
        <f>'1 datos preparados'!B530</f>
        <v/>
      </c>
      <c r="D537" s="7">
        <f>'1 datos preparados'!C530</f>
        <v/>
      </c>
      <c r="E537" s="7">
        <f>'1 datos preparados'!D530</f>
        <v/>
      </c>
      <c r="F537" s="7">
        <f>'1 datos preparados'!E530</f>
        <v/>
      </c>
      <c r="G537" s="7">
        <f>'1 datos preparados'!F530</f>
        <v/>
      </c>
      <c r="H537" s="7">
        <f>'1 datos preparados'!G530</f>
        <v/>
      </c>
      <c r="I537" s="7">
        <f>'1 datos preparados'!H530</f>
        <v/>
      </c>
      <c r="J537" s="7">
        <f>'1 datos preparados'!I530</f>
        <v/>
      </c>
      <c r="K537" s="7">
        <f>'1 datos preparados'!J530</f>
        <v/>
      </c>
      <c r="L537" s="7">
        <f>'1 datos preparados'!K530</f>
        <v/>
      </c>
      <c r="M537" s="7">
        <f>'1 datos preparados'!L530</f>
        <v/>
      </c>
      <c r="N537" s="7">
        <f>'1 datos preparados'!M530</f>
        <v/>
      </c>
      <c r="O537" s="7">
        <f>'1 datos preparados'!N530</f>
        <v/>
      </c>
      <c r="P537" s="7">
        <f>'1 datos preparados'!O530</f>
        <v/>
      </c>
      <c r="Q537" s="7">
        <f>'1 datos preparados'!P530</f>
        <v/>
      </c>
      <c r="R537" s="7">
        <f>'1 datos preparados'!Q530</f>
        <v/>
      </c>
      <c r="S537" s="7">
        <f>'1 datos preparados'!R530</f>
        <v/>
      </c>
      <c r="T537" s="7">
        <f>'1 datos preparados'!S530</f>
        <v/>
      </c>
      <c r="U537" s="7">
        <f>'1 datos preparados'!T530</f>
        <v/>
      </c>
      <c r="V537" s="8">
        <f>$AE$12+D537*$AE$13+E537*$AE$14+F537*$AE$15+G537*$AE$16+H537*$AE$17+I537*$AE$18+J537*$AE$19+K537*$AE$20+L537*$AE$21+M537*$AE$22+N537*$AE$23+O537*$AE$24+P537*$AE$25+Q537*$AE$26+R537*$AE$27+S537*$AE$28+T537*$AE$29+U537*$AE$30</f>
        <v/>
      </c>
      <c r="W537" s="8">
        <f>1/(1+EXP(-V537))</f>
        <v/>
      </c>
      <c r="X537" s="9">
        <f>-IF(C537=1,LN(W537),LN(1-W537))</f>
        <v/>
      </c>
      <c r="Y537" s="8">
        <f>IF(C537=1,$AE$32,$AE$33)</f>
        <v/>
      </c>
      <c r="Z537" s="9">
        <f>Y537*X537</f>
        <v/>
      </c>
      <c r="AA537" s="10">
        <f>IF(W537&gt;$AE$34,1,0)</f>
        <v/>
      </c>
      <c r="AB537">
        <f>IF(AA537=C537,1,0)</f>
        <v/>
      </c>
    </row>
    <row r="538">
      <c r="A538">
        <f>'1 datos preparados'!A531</f>
        <v/>
      </c>
      <c r="B538" s="5">
        <f>'1 datos preparados'!U531</f>
        <v/>
      </c>
      <c r="C538">
        <f>'1 datos preparados'!B531</f>
        <v/>
      </c>
      <c r="D538" s="7">
        <f>'1 datos preparados'!C531</f>
        <v/>
      </c>
      <c r="E538" s="7">
        <f>'1 datos preparados'!D531</f>
        <v/>
      </c>
      <c r="F538" s="7">
        <f>'1 datos preparados'!E531</f>
        <v/>
      </c>
      <c r="G538" s="7">
        <f>'1 datos preparados'!F531</f>
        <v/>
      </c>
      <c r="H538" s="7">
        <f>'1 datos preparados'!G531</f>
        <v/>
      </c>
      <c r="I538" s="7">
        <f>'1 datos preparados'!H531</f>
        <v/>
      </c>
      <c r="J538" s="7">
        <f>'1 datos preparados'!I531</f>
        <v/>
      </c>
      <c r="K538" s="7">
        <f>'1 datos preparados'!J531</f>
        <v/>
      </c>
      <c r="L538" s="7">
        <f>'1 datos preparados'!K531</f>
        <v/>
      </c>
      <c r="M538" s="7">
        <f>'1 datos preparados'!L531</f>
        <v/>
      </c>
      <c r="N538" s="7">
        <f>'1 datos preparados'!M531</f>
        <v/>
      </c>
      <c r="O538" s="7">
        <f>'1 datos preparados'!N531</f>
        <v/>
      </c>
      <c r="P538" s="7">
        <f>'1 datos preparados'!O531</f>
        <v/>
      </c>
      <c r="Q538" s="7">
        <f>'1 datos preparados'!P531</f>
        <v/>
      </c>
      <c r="R538" s="7">
        <f>'1 datos preparados'!Q531</f>
        <v/>
      </c>
      <c r="S538" s="7">
        <f>'1 datos preparados'!R531</f>
        <v/>
      </c>
      <c r="T538" s="7">
        <f>'1 datos preparados'!S531</f>
        <v/>
      </c>
      <c r="U538" s="7">
        <f>'1 datos preparados'!T531</f>
        <v/>
      </c>
      <c r="V538" s="8">
        <f>$AE$12+D538*$AE$13+E538*$AE$14+F538*$AE$15+G538*$AE$16+H538*$AE$17+I538*$AE$18+J538*$AE$19+K538*$AE$20+L538*$AE$21+M538*$AE$22+N538*$AE$23+O538*$AE$24+P538*$AE$25+Q538*$AE$26+R538*$AE$27+S538*$AE$28+T538*$AE$29+U538*$AE$30</f>
        <v/>
      </c>
      <c r="W538" s="8">
        <f>1/(1+EXP(-V538))</f>
        <v/>
      </c>
      <c r="X538" s="9">
        <f>-IF(C538=1,LN(W538),LN(1-W538))</f>
        <v/>
      </c>
      <c r="Y538" s="8">
        <f>IF(C538=1,$AE$32,$AE$33)</f>
        <v/>
      </c>
      <c r="Z538" s="9">
        <f>Y538*X538</f>
        <v/>
      </c>
      <c r="AA538" s="10">
        <f>IF(W538&gt;$AE$34,1,0)</f>
        <v/>
      </c>
      <c r="AB538">
        <f>IF(AA538=C538,1,0)</f>
        <v/>
      </c>
    </row>
    <row r="539">
      <c r="A539">
        <f>'1 datos preparados'!A532</f>
        <v/>
      </c>
      <c r="B539" s="5">
        <f>'1 datos preparados'!U532</f>
        <v/>
      </c>
      <c r="C539">
        <f>'1 datos preparados'!B532</f>
        <v/>
      </c>
      <c r="D539" s="7">
        <f>'1 datos preparados'!C532</f>
        <v/>
      </c>
      <c r="E539" s="7">
        <f>'1 datos preparados'!D532</f>
        <v/>
      </c>
      <c r="F539" s="7">
        <f>'1 datos preparados'!E532</f>
        <v/>
      </c>
      <c r="G539" s="7">
        <f>'1 datos preparados'!F532</f>
        <v/>
      </c>
      <c r="H539" s="7">
        <f>'1 datos preparados'!G532</f>
        <v/>
      </c>
      <c r="I539" s="7">
        <f>'1 datos preparados'!H532</f>
        <v/>
      </c>
      <c r="J539" s="7">
        <f>'1 datos preparados'!I532</f>
        <v/>
      </c>
      <c r="K539" s="7">
        <f>'1 datos preparados'!J532</f>
        <v/>
      </c>
      <c r="L539" s="7">
        <f>'1 datos preparados'!K532</f>
        <v/>
      </c>
      <c r="M539" s="7">
        <f>'1 datos preparados'!L532</f>
        <v/>
      </c>
      <c r="N539" s="7">
        <f>'1 datos preparados'!M532</f>
        <v/>
      </c>
      <c r="O539" s="7">
        <f>'1 datos preparados'!N532</f>
        <v/>
      </c>
      <c r="P539" s="7">
        <f>'1 datos preparados'!O532</f>
        <v/>
      </c>
      <c r="Q539" s="7">
        <f>'1 datos preparados'!P532</f>
        <v/>
      </c>
      <c r="R539" s="7">
        <f>'1 datos preparados'!Q532</f>
        <v/>
      </c>
      <c r="S539" s="7">
        <f>'1 datos preparados'!R532</f>
        <v/>
      </c>
      <c r="T539" s="7">
        <f>'1 datos preparados'!S532</f>
        <v/>
      </c>
      <c r="U539" s="7">
        <f>'1 datos preparados'!T532</f>
        <v/>
      </c>
      <c r="V539" s="8">
        <f>$AE$12+D539*$AE$13+E539*$AE$14+F539*$AE$15+G539*$AE$16+H539*$AE$17+I539*$AE$18+J539*$AE$19+K539*$AE$20+L539*$AE$21+M539*$AE$22+N539*$AE$23+O539*$AE$24+P539*$AE$25+Q539*$AE$26+R539*$AE$27+S539*$AE$28+T539*$AE$29+U539*$AE$30</f>
        <v/>
      </c>
      <c r="W539" s="8">
        <f>1/(1+EXP(-V539))</f>
        <v/>
      </c>
      <c r="X539" s="9">
        <f>-IF(C539=1,LN(W539),LN(1-W539))</f>
        <v/>
      </c>
      <c r="Y539" s="8">
        <f>IF(C539=1,$AE$32,$AE$33)</f>
        <v/>
      </c>
      <c r="Z539" s="9">
        <f>Y539*X539</f>
        <v/>
      </c>
      <c r="AA539" s="10">
        <f>IF(W539&gt;$AE$34,1,0)</f>
        <v/>
      </c>
      <c r="AB539">
        <f>IF(AA539=C539,1,0)</f>
        <v/>
      </c>
    </row>
    <row r="540">
      <c r="A540">
        <f>'1 datos preparados'!A533</f>
        <v/>
      </c>
      <c r="B540" s="5">
        <f>'1 datos preparados'!U533</f>
        <v/>
      </c>
      <c r="C540">
        <f>'1 datos preparados'!B533</f>
        <v/>
      </c>
      <c r="D540" s="7">
        <f>'1 datos preparados'!C533</f>
        <v/>
      </c>
      <c r="E540" s="7">
        <f>'1 datos preparados'!D533</f>
        <v/>
      </c>
      <c r="F540" s="7">
        <f>'1 datos preparados'!E533</f>
        <v/>
      </c>
      <c r="G540" s="7">
        <f>'1 datos preparados'!F533</f>
        <v/>
      </c>
      <c r="H540" s="7">
        <f>'1 datos preparados'!G533</f>
        <v/>
      </c>
      <c r="I540" s="7">
        <f>'1 datos preparados'!H533</f>
        <v/>
      </c>
      <c r="J540" s="7">
        <f>'1 datos preparados'!I533</f>
        <v/>
      </c>
      <c r="K540" s="7">
        <f>'1 datos preparados'!J533</f>
        <v/>
      </c>
      <c r="L540" s="7">
        <f>'1 datos preparados'!K533</f>
        <v/>
      </c>
      <c r="M540" s="7">
        <f>'1 datos preparados'!L533</f>
        <v/>
      </c>
      <c r="N540" s="7">
        <f>'1 datos preparados'!M533</f>
        <v/>
      </c>
      <c r="O540" s="7">
        <f>'1 datos preparados'!N533</f>
        <v/>
      </c>
      <c r="P540" s="7">
        <f>'1 datos preparados'!O533</f>
        <v/>
      </c>
      <c r="Q540" s="7">
        <f>'1 datos preparados'!P533</f>
        <v/>
      </c>
      <c r="R540" s="7">
        <f>'1 datos preparados'!Q533</f>
        <v/>
      </c>
      <c r="S540" s="7">
        <f>'1 datos preparados'!R533</f>
        <v/>
      </c>
      <c r="T540" s="7">
        <f>'1 datos preparados'!S533</f>
        <v/>
      </c>
      <c r="U540" s="7">
        <f>'1 datos preparados'!T533</f>
        <v/>
      </c>
      <c r="V540" s="8">
        <f>$AE$12+D540*$AE$13+E540*$AE$14+F540*$AE$15+G540*$AE$16+H540*$AE$17+I540*$AE$18+J540*$AE$19+K540*$AE$20+L540*$AE$21+M540*$AE$22+N540*$AE$23+O540*$AE$24+P540*$AE$25+Q540*$AE$26+R540*$AE$27+S540*$AE$28+T540*$AE$29+U540*$AE$30</f>
        <v/>
      </c>
      <c r="W540" s="8">
        <f>1/(1+EXP(-V540))</f>
        <v/>
      </c>
      <c r="X540" s="9">
        <f>-IF(C540=1,LN(W540),LN(1-W540))</f>
        <v/>
      </c>
      <c r="Y540" s="8">
        <f>IF(C540=1,$AE$32,$AE$33)</f>
        <v/>
      </c>
      <c r="Z540" s="9">
        <f>Y540*X540</f>
        <v/>
      </c>
      <c r="AA540" s="10">
        <f>IF(W540&gt;$AE$34,1,0)</f>
        <v/>
      </c>
      <c r="AB540">
        <f>IF(AA540=C540,1,0)</f>
        <v/>
      </c>
    </row>
    <row r="541">
      <c r="A541">
        <f>'1 datos preparados'!A534</f>
        <v/>
      </c>
      <c r="B541" s="5">
        <f>'1 datos preparados'!U534</f>
        <v/>
      </c>
      <c r="C541">
        <f>'1 datos preparados'!B534</f>
        <v/>
      </c>
      <c r="D541" s="7">
        <f>'1 datos preparados'!C534</f>
        <v/>
      </c>
      <c r="E541" s="7">
        <f>'1 datos preparados'!D534</f>
        <v/>
      </c>
      <c r="F541" s="7">
        <f>'1 datos preparados'!E534</f>
        <v/>
      </c>
      <c r="G541" s="7">
        <f>'1 datos preparados'!F534</f>
        <v/>
      </c>
      <c r="H541" s="7">
        <f>'1 datos preparados'!G534</f>
        <v/>
      </c>
      <c r="I541" s="7">
        <f>'1 datos preparados'!H534</f>
        <v/>
      </c>
      <c r="J541" s="7">
        <f>'1 datos preparados'!I534</f>
        <v/>
      </c>
      <c r="K541" s="7">
        <f>'1 datos preparados'!J534</f>
        <v/>
      </c>
      <c r="L541" s="7">
        <f>'1 datos preparados'!K534</f>
        <v/>
      </c>
      <c r="M541" s="7">
        <f>'1 datos preparados'!L534</f>
        <v/>
      </c>
      <c r="N541" s="7">
        <f>'1 datos preparados'!M534</f>
        <v/>
      </c>
      <c r="O541" s="7">
        <f>'1 datos preparados'!N534</f>
        <v/>
      </c>
      <c r="P541" s="7">
        <f>'1 datos preparados'!O534</f>
        <v/>
      </c>
      <c r="Q541" s="7">
        <f>'1 datos preparados'!P534</f>
        <v/>
      </c>
      <c r="R541" s="7">
        <f>'1 datos preparados'!Q534</f>
        <v/>
      </c>
      <c r="S541" s="7">
        <f>'1 datos preparados'!R534</f>
        <v/>
      </c>
      <c r="T541" s="7">
        <f>'1 datos preparados'!S534</f>
        <v/>
      </c>
      <c r="U541" s="7">
        <f>'1 datos preparados'!T534</f>
        <v/>
      </c>
      <c r="V541" s="8">
        <f>$AE$12+D541*$AE$13+E541*$AE$14+F541*$AE$15+G541*$AE$16+H541*$AE$17+I541*$AE$18+J541*$AE$19+K541*$AE$20+L541*$AE$21+M541*$AE$22+N541*$AE$23+O541*$AE$24+P541*$AE$25+Q541*$AE$26+R541*$AE$27+S541*$AE$28+T541*$AE$29+U541*$AE$30</f>
        <v/>
      </c>
      <c r="W541" s="8">
        <f>1/(1+EXP(-V541))</f>
        <v/>
      </c>
      <c r="X541" s="9">
        <f>-IF(C541=1,LN(W541),LN(1-W541))</f>
        <v/>
      </c>
      <c r="Y541" s="8">
        <f>IF(C541=1,$AE$32,$AE$33)</f>
        <v/>
      </c>
      <c r="Z541" s="9">
        <f>Y541*X541</f>
        <v/>
      </c>
      <c r="AA541" s="10">
        <f>IF(W541&gt;$AE$34,1,0)</f>
        <v/>
      </c>
      <c r="AB541">
        <f>IF(AA541=C541,1,0)</f>
        <v/>
      </c>
    </row>
    <row r="542">
      <c r="A542">
        <f>'1 datos preparados'!A535</f>
        <v/>
      </c>
      <c r="B542" s="5">
        <f>'1 datos preparados'!U535</f>
        <v/>
      </c>
      <c r="C542">
        <f>'1 datos preparados'!B535</f>
        <v/>
      </c>
      <c r="D542" s="7">
        <f>'1 datos preparados'!C535</f>
        <v/>
      </c>
      <c r="E542" s="7">
        <f>'1 datos preparados'!D535</f>
        <v/>
      </c>
      <c r="F542" s="7">
        <f>'1 datos preparados'!E535</f>
        <v/>
      </c>
      <c r="G542" s="7">
        <f>'1 datos preparados'!F535</f>
        <v/>
      </c>
      <c r="H542" s="7">
        <f>'1 datos preparados'!G535</f>
        <v/>
      </c>
      <c r="I542" s="7">
        <f>'1 datos preparados'!H535</f>
        <v/>
      </c>
      <c r="J542" s="7">
        <f>'1 datos preparados'!I535</f>
        <v/>
      </c>
      <c r="K542" s="7">
        <f>'1 datos preparados'!J535</f>
        <v/>
      </c>
      <c r="L542" s="7">
        <f>'1 datos preparados'!K535</f>
        <v/>
      </c>
      <c r="M542" s="7">
        <f>'1 datos preparados'!L535</f>
        <v/>
      </c>
      <c r="N542" s="7">
        <f>'1 datos preparados'!M535</f>
        <v/>
      </c>
      <c r="O542" s="7">
        <f>'1 datos preparados'!N535</f>
        <v/>
      </c>
      <c r="P542" s="7">
        <f>'1 datos preparados'!O535</f>
        <v/>
      </c>
      <c r="Q542" s="7">
        <f>'1 datos preparados'!P535</f>
        <v/>
      </c>
      <c r="R542" s="7">
        <f>'1 datos preparados'!Q535</f>
        <v/>
      </c>
      <c r="S542" s="7">
        <f>'1 datos preparados'!R535</f>
        <v/>
      </c>
      <c r="T542" s="7">
        <f>'1 datos preparados'!S535</f>
        <v/>
      </c>
      <c r="U542" s="7">
        <f>'1 datos preparados'!T535</f>
        <v/>
      </c>
      <c r="V542" s="8">
        <f>$AE$12+D542*$AE$13+E542*$AE$14+F542*$AE$15+G542*$AE$16+H542*$AE$17+I542*$AE$18+J542*$AE$19+K542*$AE$20+L542*$AE$21+M542*$AE$22+N542*$AE$23+O542*$AE$24+P542*$AE$25+Q542*$AE$26+R542*$AE$27+S542*$AE$28+T542*$AE$29+U542*$AE$30</f>
        <v/>
      </c>
      <c r="W542" s="8">
        <f>1/(1+EXP(-V542))</f>
        <v/>
      </c>
      <c r="X542" s="9">
        <f>-IF(C542=1,LN(W542),LN(1-W542))</f>
        <v/>
      </c>
      <c r="Y542" s="8">
        <f>IF(C542=1,$AE$32,$AE$33)</f>
        <v/>
      </c>
      <c r="Z542" s="9">
        <f>Y542*X542</f>
        <v/>
      </c>
      <c r="AA542" s="10">
        <f>IF(W542&gt;$AE$34,1,0)</f>
        <v/>
      </c>
      <c r="AB542">
        <f>IF(AA542=C542,1,0)</f>
        <v/>
      </c>
    </row>
    <row r="543">
      <c r="A543">
        <f>'1 datos preparados'!A536</f>
        <v/>
      </c>
      <c r="B543" s="5">
        <f>'1 datos preparados'!U536</f>
        <v/>
      </c>
      <c r="C543">
        <f>'1 datos preparados'!B536</f>
        <v/>
      </c>
      <c r="D543" s="7">
        <f>'1 datos preparados'!C536</f>
        <v/>
      </c>
      <c r="E543" s="7">
        <f>'1 datos preparados'!D536</f>
        <v/>
      </c>
      <c r="F543" s="7">
        <f>'1 datos preparados'!E536</f>
        <v/>
      </c>
      <c r="G543" s="7">
        <f>'1 datos preparados'!F536</f>
        <v/>
      </c>
      <c r="H543" s="7">
        <f>'1 datos preparados'!G536</f>
        <v/>
      </c>
      <c r="I543" s="7">
        <f>'1 datos preparados'!H536</f>
        <v/>
      </c>
      <c r="J543" s="7">
        <f>'1 datos preparados'!I536</f>
        <v/>
      </c>
      <c r="K543" s="7">
        <f>'1 datos preparados'!J536</f>
        <v/>
      </c>
      <c r="L543" s="7">
        <f>'1 datos preparados'!K536</f>
        <v/>
      </c>
      <c r="M543" s="7">
        <f>'1 datos preparados'!L536</f>
        <v/>
      </c>
      <c r="N543" s="7">
        <f>'1 datos preparados'!M536</f>
        <v/>
      </c>
      <c r="O543" s="7">
        <f>'1 datos preparados'!N536</f>
        <v/>
      </c>
      <c r="P543" s="7">
        <f>'1 datos preparados'!O536</f>
        <v/>
      </c>
      <c r="Q543" s="7">
        <f>'1 datos preparados'!P536</f>
        <v/>
      </c>
      <c r="R543" s="7">
        <f>'1 datos preparados'!Q536</f>
        <v/>
      </c>
      <c r="S543" s="7">
        <f>'1 datos preparados'!R536</f>
        <v/>
      </c>
      <c r="T543" s="7">
        <f>'1 datos preparados'!S536</f>
        <v/>
      </c>
      <c r="U543" s="7">
        <f>'1 datos preparados'!T536</f>
        <v/>
      </c>
      <c r="V543" s="8">
        <f>$AE$12+D543*$AE$13+E543*$AE$14+F543*$AE$15+G543*$AE$16+H543*$AE$17+I543*$AE$18+J543*$AE$19+K543*$AE$20+L543*$AE$21+M543*$AE$22+N543*$AE$23+O543*$AE$24+P543*$AE$25+Q543*$AE$26+R543*$AE$27+S543*$AE$28+T543*$AE$29+U543*$AE$30</f>
        <v/>
      </c>
      <c r="W543" s="8">
        <f>1/(1+EXP(-V543))</f>
        <v/>
      </c>
      <c r="X543" s="9">
        <f>-IF(C543=1,LN(W543),LN(1-W543))</f>
        <v/>
      </c>
      <c r="Y543" s="8">
        <f>IF(C543=1,$AE$32,$AE$33)</f>
        <v/>
      </c>
      <c r="Z543" s="9">
        <f>Y543*X543</f>
        <v/>
      </c>
      <c r="AA543" s="10">
        <f>IF(W543&gt;$AE$34,1,0)</f>
        <v/>
      </c>
      <c r="AB543">
        <f>IF(AA543=C543,1,0)</f>
        <v/>
      </c>
    </row>
    <row r="544">
      <c r="A544">
        <f>'1 datos preparados'!A537</f>
        <v/>
      </c>
      <c r="B544" s="5">
        <f>'1 datos preparados'!U537</f>
        <v/>
      </c>
      <c r="C544">
        <f>'1 datos preparados'!B537</f>
        <v/>
      </c>
      <c r="D544" s="7">
        <f>'1 datos preparados'!C537</f>
        <v/>
      </c>
      <c r="E544" s="7">
        <f>'1 datos preparados'!D537</f>
        <v/>
      </c>
      <c r="F544" s="7">
        <f>'1 datos preparados'!E537</f>
        <v/>
      </c>
      <c r="G544" s="7">
        <f>'1 datos preparados'!F537</f>
        <v/>
      </c>
      <c r="H544" s="7">
        <f>'1 datos preparados'!G537</f>
        <v/>
      </c>
      <c r="I544" s="7">
        <f>'1 datos preparados'!H537</f>
        <v/>
      </c>
      <c r="J544" s="7">
        <f>'1 datos preparados'!I537</f>
        <v/>
      </c>
      <c r="K544" s="7">
        <f>'1 datos preparados'!J537</f>
        <v/>
      </c>
      <c r="L544" s="7">
        <f>'1 datos preparados'!K537</f>
        <v/>
      </c>
      <c r="M544" s="7">
        <f>'1 datos preparados'!L537</f>
        <v/>
      </c>
      <c r="N544" s="7">
        <f>'1 datos preparados'!M537</f>
        <v/>
      </c>
      <c r="O544" s="7">
        <f>'1 datos preparados'!N537</f>
        <v/>
      </c>
      <c r="P544" s="7">
        <f>'1 datos preparados'!O537</f>
        <v/>
      </c>
      <c r="Q544" s="7">
        <f>'1 datos preparados'!P537</f>
        <v/>
      </c>
      <c r="R544" s="7">
        <f>'1 datos preparados'!Q537</f>
        <v/>
      </c>
      <c r="S544" s="7">
        <f>'1 datos preparados'!R537</f>
        <v/>
      </c>
      <c r="T544" s="7">
        <f>'1 datos preparados'!S537</f>
        <v/>
      </c>
      <c r="U544" s="7">
        <f>'1 datos preparados'!T537</f>
        <v/>
      </c>
      <c r="V544" s="8">
        <f>$AE$12+D544*$AE$13+E544*$AE$14+F544*$AE$15+G544*$AE$16+H544*$AE$17+I544*$AE$18+J544*$AE$19+K544*$AE$20+L544*$AE$21+M544*$AE$22+N544*$AE$23+O544*$AE$24+P544*$AE$25+Q544*$AE$26+R544*$AE$27+S544*$AE$28+T544*$AE$29+U544*$AE$30</f>
        <v/>
      </c>
      <c r="W544" s="8">
        <f>1/(1+EXP(-V544))</f>
        <v/>
      </c>
      <c r="X544" s="9">
        <f>-IF(C544=1,LN(W544),LN(1-W544))</f>
        <v/>
      </c>
      <c r="Y544" s="8">
        <f>IF(C544=1,$AE$32,$AE$33)</f>
        <v/>
      </c>
      <c r="Z544" s="9">
        <f>Y544*X544</f>
        <v/>
      </c>
      <c r="AA544" s="10">
        <f>IF(W544&gt;$AE$34,1,0)</f>
        <v/>
      </c>
      <c r="AB544">
        <f>IF(AA544=C544,1,0)</f>
        <v/>
      </c>
    </row>
    <row r="545">
      <c r="A545">
        <f>'1 datos preparados'!A538</f>
        <v/>
      </c>
      <c r="B545" s="5">
        <f>'1 datos preparados'!U538</f>
        <v/>
      </c>
      <c r="C545">
        <f>'1 datos preparados'!B538</f>
        <v/>
      </c>
      <c r="D545" s="7">
        <f>'1 datos preparados'!C538</f>
        <v/>
      </c>
      <c r="E545" s="7">
        <f>'1 datos preparados'!D538</f>
        <v/>
      </c>
      <c r="F545" s="7">
        <f>'1 datos preparados'!E538</f>
        <v/>
      </c>
      <c r="G545" s="7">
        <f>'1 datos preparados'!F538</f>
        <v/>
      </c>
      <c r="H545" s="7">
        <f>'1 datos preparados'!G538</f>
        <v/>
      </c>
      <c r="I545" s="7">
        <f>'1 datos preparados'!H538</f>
        <v/>
      </c>
      <c r="J545" s="7">
        <f>'1 datos preparados'!I538</f>
        <v/>
      </c>
      <c r="K545" s="7">
        <f>'1 datos preparados'!J538</f>
        <v/>
      </c>
      <c r="L545" s="7">
        <f>'1 datos preparados'!K538</f>
        <v/>
      </c>
      <c r="M545" s="7">
        <f>'1 datos preparados'!L538</f>
        <v/>
      </c>
      <c r="N545" s="7">
        <f>'1 datos preparados'!M538</f>
        <v/>
      </c>
      <c r="O545" s="7">
        <f>'1 datos preparados'!N538</f>
        <v/>
      </c>
      <c r="P545" s="7">
        <f>'1 datos preparados'!O538</f>
        <v/>
      </c>
      <c r="Q545" s="7">
        <f>'1 datos preparados'!P538</f>
        <v/>
      </c>
      <c r="R545" s="7">
        <f>'1 datos preparados'!Q538</f>
        <v/>
      </c>
      <c r="S545" s="7">
        <f>'1 datos preparados'!R538</f>
        <v/>
      </c>
      <c r="T545" s="7">
        <f>'1 datos preparados'!S538</f>
        <v/>
      </c>
      <c r="U545" s="7">
        <f>'1 datos preparados'!T538</f>
        <v/>
      </c>
      <c r="V545" s="8">
        <f>$AE$12+D545*$AE$13+E545*$AE$14+F545*$AE$15+G545*$AE$16+H545*$AE$17+I545*$AE$18+J545*$AE$19+K545*$AE$20+L545*$AE$21+M545*$AE$22+N545*$AE$23+O545*$AE$24+P545*$AE$25+Q545*$AE$26+R545*$AE$27+S545*$AE$28+T545*$AE$29+U545*$AE$30</f>
        <v/>
      </c>
      <c r="W545" s="8">
        <f>1/(1+EXP(-V545))</f>
        <v/>
      </c>
      <c r="X545" s="9">
        <f>-IF(C545=1,LN(W545),LN(1-W545))</f>
        <v/>
      </c>
      <c r="Y545" s="8">
        <f>IF(C545=1,$AE$32,$AE$33)</f>
        <v/>
      </c>
      <c r="Z545" s="9">
        <f>Y545*X545</f>
        <v/>
      </c>
      <c r="AA545" s="10">
        <f>IF(W545&gt;$AE$34,1,0)</f>
        <v/>
      </c>
      <c r="AB545">
        <f>IF(AA545=C545,1,0)</f>
        <v/>
      </c>
    </row>
    <row r="546">
      <c r="A546">
        <f>'1 datos preparados'!A539</f>
        <v/>
      </c>
      <c r="B546" s="5">
        <f>'1 datos preparados'!U539</f>
        <v/>
      </c>
      <c r="C546">
        <f>'1 datos preparados'!B539</f>
        <v/>
      </c>
      <c r="D546" s="7">
        <f>'1 datos preparados'!C539</f>
        <v/>
      </c>
      <c r="E546" s="7">
        <f>'1 datos preparados'!D539</f>
        <v/>
      </c>
      <c r="F546" s="7">
        <f>'1 datos preparados'!E539</f>
        <v/>
      </c>
      <c r="G546" s="7">
        <f>'1 datos preparados'!F539</f>
        <v/>
      </c>
      <c r="H546" s="7">
        <f>'1 datos preparados'!G539</f>
        <v/>
      </c>
      <c r="I546" s="7">
        <f>'1 datos preparados'!H539</f>
        <v/>
      </c>
      <c r="J546" s="7">
        <f>'1 datos preparados'!I539</f>
        <v/>
      </c>
      <c r="K546" s="7">
        <f>'1 datos preparados'!J539</f>
        <v/>
      </c>
      <c r="L546" s="7">
        <f>'1 datos preparados'!K539</f>
        <v/>
      </c>
      <c r="M546" s="7">
        <f>'1 datos preparados'!L539</f>
        <v/>
      </c>
      <c r="N546" s="7">
        <f>'1 datos preparados'!M539</f>
        <v/>
      </c>
      <c r="O546" s="7">
        <f>'1 datos preparados'!N539</f>
        <v/>
      </c>
      <c r="P546" s="7">
        <f>'1 datos preparados'!O539</f>
        <v/>
      </c>
      <c r="Q546" s="7">
        <f>'1 datos preparados'!P539</f>
        <v/>
      </c>
      <c r="R546" s="7">
        <f>'1 datos preparados'!Q539</f>
        <v/>
      </c>
      <c r="S546" s="7">
        <f>'1 datos preparados'!R539</f>
        <v/>
      </c>
      <c r="T546" s="7">
        <f>'1 datos preparados'!S539</f>
        <v/>
      </c>
      <c r="U546" s="7">
        <f>'1 datos preparados'!T539</f>
        <v/>
      </c>
      <c r="V546" s="8">
        <f>$AE$12+D546*$AE$13+E546*$AE$14+F546*$AE$15+G546*$AE$16+H546*$AE$17+I546*$AE$18+J546*$AE$19+K546*$AE$20+L546*$AE$21+M546*$AE$22+N546*$AE$23+O546*$AE$24+P546*$AE$25+Q546*$AE$26+R546*$AE$27+S546*$AE$28+T546*$AE$29+U546*$AE$30</f>
        <v/>
      </c>
      <c r="W546" s="8">
        <f>1/(1+EXP(-V546))</f>
        <v/>
      </c>
      <c r="X546" s="9">
        <f>-IF(C546=1,LN(W546),LN(1-W546))</f>
        <v/>
      </c>
      <c r="Y546" s="8">
        <f>IF(C546=1,$AE$32,$AE$33)</f>
        <v/>
      </c>
      <c r="Z546" s="9">
        <f>Y546*X546</f>
        <v/>
      </c>
      <c r="AA546" s="10">
        <f>IF(W546&gt;$AE$34,1,0)</f>
        <v/>
      </c>
      <c r="AB546">
        <f>IF(AA546=C546,1,0)</f>
        <v/>
      </c>
    </row>
    <row r="547">
      <c r="A547">
        <f>'1 datos preparados'!A540</f>
        <v/>
      </c>
      <c r="B547" s="5">
        <f>'1 datos preparados'!U540</f>
        <v/>
      </c>
      <c r="C547">
        <f>'1 datos preparados'!B540</f>
        <v/>
      </c>
      <c r="D547" s="7">
        <f>'1 datos preparados'!C540</f>
        <v/>
      </c>
      <c r="E547" s="7">
        <f>'1 datos preparados'!D540</f>
        <v/>
      </c>
      <c r="F547" s="7">
        <f>'1 datos preparados'!E540</f>
        <v/>
      </c>
      <c r="G547" s="7">
        <f>'1 datos preparados'!F540</f>
        <v/>
      </c>
      <c r="H547" s="7">
        <f>'1 datos preparados'!G540</f>
        <v/>
      </c>
      <c r="I547" s="7">
        <f>'1 datos preparados'!H540</f>
        <v/>
      </c>
      <c r="J547" s="7">
        <f>'1 datos preparados'!I540</f>
        <v/>
      </c>
      <c r="K547" s="7">
        <f>'1 datos preparados'!J540</f>
        <v/>
      </c>
      <c r="L547" s="7">
        <f>'1 datos preparados'!K540</f>
        <v/>
      </c>
      <c r="M547" s="7">
        <f>'1 datos preparados'!L540</f>
        <v/>
      </c>
      <c r="N547" s="7">
        <f>'1 datos preparados'!M540</f>
        <v/>
      </c>
      <c r="O547" s="7">
        <f>'1 datos preparados'!N540</f>
        <v/>
      </c>
      <c r="P547" s="7">
        <f>'1 datos preparados'!O540</f>
        <v/>
      </c>
      <c r="Q547" s="7">
        <f>'1 datos preparados'!P540</f>
        <v/>
      </c>
      <c r="R547" s="7">
        <f>'1 datos preparados'!Q540</f>
        <v/>
      </c>
      <c r="S547" s="7">
        <f>'1 datos preparados'!R540</f>
        <v/>
      </c>
      <c r="T547" s="7">
        <f>'1 datos preparados'!S540</f>
        <v/>
      </c>
      <c r="U547" s="7">
        <f>'1 datos preparados'!T540</f>
        <v/>
      </c>
      <c r="V547" s="8">
        <f>$AE$12+D547*$AE$13+E547*$AE$14+F547*$AE$15+G547*$AE$16+H547*$AE$17+I547*$AE$18+J547*$AE$19+K547*$AE$20+L547*$AE$21+M547*$AE$22+N547*$AE$23+O547*$AE$24+P547*$AE$25+Q547*$AE$26+R547*$AE$27+S547*$AE$28+T547*$AE$29+U547*$AE$30</f>
        <v/>
      </c>
      <c r="W547" s="8">
        <f>1/(1+EXP(-V547))</f>
        <v/>
      </c>
      <c r="X547" s="9">
        <f>-IF(C547=1,LN(W547),LN(1-W547))</f>
        <v/>
      </c>
      <c r="Y547" s="8">
        <f>IF(C547=1,$AE$32,$AE$33)</f>
        <v/>
      </c>
      <c r="Z547" s="9">
        <f>Y547*X547</f>
        <v/>
      </c>
      <c r="AA547" s="10">
        <f>IF(W547&gt;$AE$34,1,0)</f>
        <v/>
      </c>
      <c r="AB547">
        <f>IF(AA547=C547,1,0)</f>
        <v/>
      </c>
    </row>
    <row r="548">
      <c r="A548">
        <f>'1 datos preparados'!A541</f>
        <v/>
      </c>
      <c r="B548" s="5">
        <f>'1 datos preparados'!U541</f>
        <v/>
      </c>
      <c r="C548">
        <f>'1 datos preparados'!B541</f>
        <v/>
      </c>
      <c r="D548" s="7">
        <f>'1 datos preparados'!C541</f>
        <v/>
      </c>
      <c r="E548" s="7">
        <f>'1 datos preparados'!D541</f>
        <v/>
      </c>
      <c r="F548" s="7">
        <f>'1 datos preparados'!E541</f>
        <v/>
      </c>
      <c r="G548" s="7">
        <f>'1 datos preparados'!F541</f>
        <v/>
      </c>
      <c r="H548" s="7">
        <f>'1 datos preparados'!G541</f>
        <v/>
      </c>
      <c r="I548" s="7">
        <f>'1 datos preparados'!H541</f>
        <v/>
      </c>
      <c r="J548" s="7">
        <f>'1 datos preparados'!I541</f>
        <v/>
      </c>
      <c r="K548" s="7">
        <f>'1 datos preparados'!J541</f>
        <v/>
      </c>
      <c r="L548" s="7">
        <f>'1 datos preparados'!K541</f>
        <v/>
      </c>
      <c r="M548" s="7">
        <f>'1 datos preparados'!L541</f>
        <v/>
      </c>
      <c r="N548" s="7">
        <f>'1 datos preparados'!M541</f>
        <v/>
      </c>
      <c r="O548" s="7">
        <f>'1 datos preparados'!N541</f>
        <v/>
      </c>
      <c r="P548" s="7">
        <f>'1 datos preparados'!O541</f>
        <v/>
      </c>
      <c r="Q548" s="7">
        <f>'1 datos preparados'!P541</f>
        <v/>
      </c>
      <c r="R548" s="7">
        <f>'1 datos preparados'!Q541</f>
        <v/>
      </c>
      <c r="S548" s="7">
        <f>'1 datos preparados'!R541</f>
        <v/>
      </c>
      <c r="T548" s="7">
        <f>'1 datos preparados'!S541</f>
        <v/>
      </c>
      <c r="U548" s="7">
        <f>'1 datos preparados'!T541</f>
        <v/>
      </c>
      <c r="V548" s="8">
        <f>$AE$12+D548*$AE$13+E548*$AE$14+F548*$AE$15+G548*$AE$16+H548*$AE$17+I548*$AE$18+J548*$AE$19+K548*$AE$20+L548*$AE$21+M548*$AE$22+N548*$AE$23+O548*$AE$24+P548*$AE$25+Q548*$AE$26+R548*$AE$27+S548*$AE$28+T548*$AE$29+U548*$AE$30</f>
        <v/>
      </c>
      <c r="W548" s="8">
        <f>1/(1+EXP(-V548))</f>
        <v/>
      </c>
      <c r="X548" s="9">
        <f>-IF(C548=1,LN(W548),LN(1-W548))</f>
        <v/>
      </c>
      <c r="Y548" s="8">
        <f>IF(C548=1,$AE$32,$AE$33)</f>
        <v/>
      </c>
      <c r="Z548" s="9">
        <f>Y548*X548</f>
        <v/>
      </c>
      <c r="AA548" s="10">
        <f>IF(W548&gt;$AE$34,1,0)</f>
        <v/>
      </c>
      <c r="AB548">
        <f>IF(AA548=C548,1,0)</f>
        <v/>
      </c>
    </row>
    <row r="549">
      <c r="A549">
        <f>'1 datos preparados'!A542</f>
        <v/>
      </c>
      <c r="B549" s="5">
        <f>'1 datos preparados'!U542</f>
        <v/>
      </c>
      <c r="C549">
        <f>'1 datos preparados'!B542</f>
        <v/>
      </c>
      <c r="D549" s="7">
        <f>'1 datos preparados'!C542</f>
        <v/>
      </c>
      <c r="E549" s="7">
        <f>'1 datos preparados'!D542</f>
        <v/>
      </c>
      <c r="F549" s="7">
        <f>'1 datos preparados'!E542</f>
        <v/>
      </c>
      <c r="G549" s="7">
        <f>'1 datos preparados'!F542</f>
        <v/>
      </c>
      <c r="H549" s="7">
        <f>'1 datos preparados'!G542</f>
        <v/>
      </c>
      <c r="I549" s="7">
        <f>'1 datos preparados'!H542</f>
        <v/>
      </c>
      <c r="J549" s="7">
        <f>'1 datos preparados'!I542</f>
        <v/>
      </c>
      <c r="K549" s="7">
        <f>'1 datos preparados'!J542</f>
        <v/>
      </c>
      <c r="L549" s="7">
        <f>'1 datos preparados'!K542</f>
        <v/>
      </c>
      <c r="M549" s="7">
        <f>'1 datos preparados'!L542</f>
        <v/>
      </c>
      <c r="N549" s="7">
        <f>'1 datos preparados'!M542</f>
        <v/>
      </c>
      <c r="O549" s="7">
        <f>'1 datos preparados'!N542</f>
        <v/>
      </c>
      <c r="P549" s="7">
        <f>'1 datos preparados'!O542</f>
        <v/>
      </c>
      <c r="Q549" s="7">
        <f>'1 datos preparados'!P542</f>
        <v/>
      </c>
      <c r="R549" s="7">
        <f>'1 datos preparados'!Q542</f>
        <v/>
      </c>
      <c r="S549" s="7">
        <f>'1 datos preparados'!R542</f>
        <v/>
      </c>
      <c r="T549" s="7">
        <f>'1 datos preparados'!S542</f>
        <v/>
      </c>
      <c r="U549" s="7">
        <f>'1 datos preparados'!T542</f>
        <v/>
      </c>
      <c r="V549" s="8">
        <f>$AE$12+D549*$AE$13+E549*$AE$14+F549*$AE$15+G549*$AE$16+H549*$AE$17+I549*$AE$18+J549*$AE$19+K549*$AE$20+L549*$AE$21+M549*$AE$22+N549*$AE$23+O549*$AE$24+P549*$AE$25+Q549*$AE$26+R549*$AE$27+S549*$AE$28+T549*$AE$29+U549*$AE$30</f>
        <v/>
      </c>
      <c r="W549" s="8">
        <f>1/(1+EXP(-V549))</f>
        <v/>
      </c>
      <c r="X549" s="9">
        <f>-IF(C549=1,LN(W549),LN(1-W549))</f>
        <v/>
      </c>
      <c r="Y549" s="8">
        <f>IF(C549=1,$AE$32,$AE$33)</f>
        <v/>
      </c>
      <c r="Z549" s="9">
        <f>Y549*X549</f>
        <v/>
      </c>
      <c r="AA549" s="10">
        <f>IF(W549&gt;$AE$34,1,0)</f>
        <v/>
      </c>
      <c r="AB549">
        <f>IF(AA549=C549,1,0)</f>
        <v/>
      </c>
    </row>
    <row r="550">
      <c r="A550">
        <f>'1 datos preparados'!A543</f>
        <v/>
      </c>
      <c r="B550" s="5">
        <f>'1 datos preparados'!U543</f>
        <v/>
      </c>
      <c r="C550">
        <f>'1 datos preparados'!B543</f>
        <v/>
      </c>
      <c r="D550" s="7">
        <f>'1 datos preparados'!C543</f>
        <v/>
      </c>
      <c r="E550" s="7">
        <f>'1 datos preparados'!D543</f>
        <v/>
      </c>
      <c r="F550" s="7">
        <f>'1 datos preparados'!E543</f>
        <v/>
      </c>
      <c r="G550" s="7">
        <f>'1 datos preparados'!F543</f>
        <v/>
      </c>
      <c r="H550" s="7">
        <f>'1 datos preparados'!G543</f>
        <v/>
      </c>
      <c r="I550" s="7">
        <f>'1 datos preparados'!H543</f>
        <v/>
      </c>
      <c r="J550" s="7">
        <f>'1 datos preparados'!I543</f>
        <v/>
      </c>
      <c r="K550" s="7">
        <f>'1 datos preparados'!J543</f>
        <v/>
      </c>
      <c r="L550" s="7">
        <f>'1 datos preparados'!K543</f>
        <v/>
      </c>
      <c r="M550" s="7">
        <f>'1 datos preparados'!L543</f>
        <v/>
      </c>
      <c r="N550" s="7">
        <f>'1 datos preparados'!M543</f>
        <v/>
      </c>
      <c r="O550" s="7">
        <f>'1 datos preparados'!N543</f>
        <v/>
      </c>
      <c r="P550" s="7">
        <f>'1 datos preparados'!O543</f>
        <v/>
      </c>
      <c r="Q550" s="7">
        <f>'1 datos preparados'!P543</f>
        <v/>
      </c>
      <c r="R550" s="7">
        <f>'1 datos preparados'!Q543</f>
        <v/>
      </c>
      <c r="S550" s="7">
        <f>'1 datos preparados'!R543</f>
        <v/>
      </c>
      <c r="T550" s="7">
        <f>'1 datos preparados'!S543</f>
        <v/>
      </c>
      <c r="U550" s="7">
        <f>'1 datos preparados'!T543</f>
        <v/>
      </c>
      <c r="V550" s="8">
        <f>$AE$12+D550*$AE$13+E550*$AE$14+F550*$AE$15+G550*$AE$16+H550*$AE$17+I550*$AE$18+J550*$AE$19+K550*$AE$20+L550*$AE$21+M550*$AE$22+N550*$AE$23+O550*$AE$24+P550*$AE$25+Q550*$AE$26+R550*$AE$27+S550*$AE$28+T550*$AE$29+U550*$AE$30</f>
        <v/>
      </c>
      <c r="W550" s="8">
        <f>1/(1+EXP(-V550))</f>
        <v/>
      </c>
      <c r="X550" s="9">
        <f>-IF(C550=1,LN(W550),LN(1-W550))</f>
        <v/>
      </c>
      <c r="Y550" s="8">
        <f>IF(C550=1,$AE$32,$AE$33)</f>
        <v/>
      </c>
      <c r="Z550" s="9">
        <f>Y550*X550</f>
        <v/>
      </c>
      <c r="AA550" s="10">
        <f>IF(W550&gt;$AE$34,1,0)</f>
        <v/>
      </c>
      <c r="AB550">
        <f>IF(AA550=C550,1,0)</f>
        <v/>
      </c>
    </row>
    <row r="551">
      <c r="A551">
        <f>'1 datos preparados'!A544</f>
        <v/>
      </c>
      <c r="B551" s="5">
        <f>'1 datos preparados'!U544</f>
        <v/>
      </c>
      <c r="C551">
        <f>'1 datos preparados'!B544</f>
        <v/>
      </c>
      <c r="D551" s="7">
        <f>'1 datos preparados'!C544</f>
        <v/>
      </c>
      <c r="E551" s="7">
        <f>'1 datos preparados'!D544</f>
        <v/>
      </c>
      <c r="F551" s="7">
        <f>'1 datos preparados'!E544</f>
        <v/>
      </c>
      <c r="G551" s="7">
        <f>'1 datos preparados'!F544</f>
        <v/>
      </c>
      <c r="H551" s="7">
        <f>'1 datos preparados'!G544</f>
        <v/>
      </c>
      <c r="I551" s="7">
        <f>'1 datos preparados'!H544</f>
        <v/>
      </c>
      <c r="J551" s="7">
        <f>'1 datos preparados'!I544</f>
        <v/>
      </c>
      <c r="K551" s="7">
        <f>'1 datos preparados'!J544</f>
        <v/>
      </c>
      <c r="L551" s="7">
        <f>'1 datos preparados'!K544</f>
        <v/>
      </c>
      <c r="M551" s="7">
        <f>'1 datos preparados'!L544</f>
        <v/>
      </c>
      <c r="N551" s="7">
        <f>'1 datos preparados'!M544</f>
        <v/>
      </c>
      <c r="O551" s="7">
        <f>'1 datos preparados'!N544</f>
        <v/>
      </c>
      <c r="P551" s="7">
        <f>'1 datos preparados'!O544</f>
        <v/>
      </c>
      <c r="Q551" s="7">
        <f>'1 datos preparados'!P544</f>
        <v/>
      </c>
      <c r="R551" s="7">
        <f>'1 datos preparados'!Q544</f>
        <v/>
      </c>
      <c r="S551" s="7">
        <f>'1 datos preparados'!R544</f>
        <v/>
      </c>
      <c r="T551" s="7">
        <f>'1 datos preparados'!S544</f>
        <v/>
      </c>
      <c r="U551" s="7">
        <f>'1 datos preparados'!T544</f>
        <v/>
      </c>
      <c r="V551" s="8">
        <f>$AE$12+D551*$AE$13+E551*$AE$14+F551*$AE$15+G551*$AE$16+H551*$AE$17+I551*$AE$18+J551*$AE$19+K551*$AE$20+L551*$AE$21+M551*$AE$22+N551*$AE$23+O551*$AE$24+P551*$AE$25+Q551*$AE$26+R551*$AE$27+S551*$AE$28+T551*$AE$29+U551*$AE$30</f>
        <v/>
      </c>
      <c r="W551" s="8">
        <f>1/(1+EXP(-V551))</f>
        <v/>
      </c>
      <c r="X551" s="9">
        <f>-IF(C551=1,LN(W551),LN(1-W551))</f>
        <v/>
      </c>
      <c r="Y551" s="8">
        <f>IF(C551=1,$AE$32,$AE$33)</f>
        <v/>
      </c>
      <c r="Z551" s="9">
        <f>Y551*X551</f>
        <v/>
      </c>
      <c r="AA551" s="10">
        <f>IF(W551&gt;$AE$34,1,0)</f>
        <v/>
      </c>
      <c r="AB551">
        <f>IF(AA551=C551,1,0)</f>
        <v/>
      </c>
    </row>
    <row r="552">
      <c r="A552">
        <f>'1 datos preparados'!A545</f>
        <v/>
      </c>
      <c r="B552" s="5">
        <f>'1 datos preparados'!U545</f>
        <v/>
      </c>
      <c r="C552">
        <f>'1 datos preparados'!B545</f>
        <v/>
      </c>
      <c r="D552" s="7">
        <f>'1 datos preparados'!C545</f>
        <v/>
      </c>
      <c r="E552" s="7">
        <f>'1 datos preparados'!D545</f>
        <v/>
      </c>
      <c r="F552" s="7">
        <f>'1 datos preparados'!E545</f>
        <v/>
      </c>
      <c r="G552" s="7">
        <f>'1 datos preparados'!F545</f>
        <v/>
      </c>
      <c r="H552" s="7">
        <f>'1 datos preparados'!G545</f>
        <v/>
      </c>
      <c r="I552" s="7">
        <f>'1 datos preparados'!H545</f>
        <v/>
      </c>
      <c r="J552" s="7">
        <f>'1 datos preparados'!I545</f>
        <v/>
      </c>
      <c r="K552" s="7">
        <f>'1 datos preparados'!J545</f>
        <v/>
      </c>
      <c r="L552" s="7">
        <f>'1 datos preparados'!K545</f>
        <v/>
      </c>
      <c r="M552" s="7">
        <f>'1 datos preparados'!L545</f>
        <v/>
      </c>
      <c r="N552" s="7">
        <f>'1 datos preparados'!M545</f>
        <v/>
      </c>
      <c r="O552" s="7">
        <f>'1 datos preparados'!N545</f>
        <v/>
      </c>
      <c r="P552" s="7">
        <f>'1 datos preparados'!O545</f>
        <v/>
      </c>
      <c r="Q552" s="7">
        <f>'1 datos preparados'!P545</f>
        <v/>
      </c>
      <c r="R552" s="7">
        <f>'1 datos preparados'!Q545</f>
        <v/>
      </c>
      <c r="S552" s="7">
        <f>'1 datos preparados'!R545</f>
        <v/>
      </c>
      <c r="T552" s="7">
        <f>'1 datos preparados'!S545</f>
        <v/>
      </c>
      <c r="U552" s="7">
        <f>'1 datos preparados'!T545</f>
        <v/>
      </c>
      <c r="V552" s="8">
        <f>$AE$12+D552*$AE$13+E552*$AE$14+F552*$AE$15+G552*$AE$16+H552*$AE$17+I552*$AE$18+J552*$AE$19+K552*$AE$20+L552*$AE$21+M552*$AE$22+N552*$AE$23+O552*$AE$24+P552*$AE$25+Q552*$AE$26+R552*$AE$27+S552*$AE$28+T552*$AE$29+U552*$AE$30</f>
        <v/>
      </c>
      <c r="W552" s="8">
        <f>1/(1+EXP(-V552))</f>
        <v/>
      </c>
      <c r="X552" s="9">
        <f>-IF(C552=1,LN(W552),LN(1-W552))</f>
        <v/>
      </c>
      <c r="Y552" s="8">
        <f>IF(C552=1,$AE$32,$AE$33)</f>
        <v/>
      </c>
      <c r="Z552" s="9">
        <f>Y552*X552</f>
        <v/>
      </c>
      <c r="AA552" s="10">
        <f>IF(W552&gt;$AE$34,1,0)</f>
        <v/>
      </c>
      <c r="AB552">
        <f>IF(AA552=C552,1,0)</f>
        <v/>
      </c>
    </row>
    <row r="553">
      <c r="A553">
        <f>'1 datos preparados'!A546</f>
        <v/>
      </c>
      <c r="B553" s="5">
        <f>'1 datos preparados'!U546</f>
        <v/>
      </c>
      <c r="C553">
        <f>'1 datos preparados'!B546</f>
        <v/>
      </c>
      <c r="D553" s="7">
        <f>'1 datos preparados'!C546</f>
        <v/>
      </c>
      <c r="E553" s="7">
        <f>'1 datos preparados'!D546</f>
        <v/>
      </c>
      <c r="F553" s="7">
        <f>'1 datos preparados'!E546</f>
        <v/>
      </c>
      <c r="G553" s="7">
        <f>'1 datos preparados'!F546</f>
        <v/>
      </c>
      <c r="H553" s="7">
        <f>'1 datos preparados'!G546</f>
        <v/>
      </c>
      <c r="I553" s="7">
        <f>'1 datos preparados'!H546</f>
        <v/>
      </c>
      <c r="J553" s="7">
        <f>'1 datos preparados'!I546</f>
        <v/>
      </c>
      <c r="K553" s="7">
        <f>'1 datos preparados'!J546</f>
        <v/>
      </c>
      <c r="L553" s="7">
        <f>'1 datos preparados'!K546</f>
        <v/>
      </c>
      <c r="M553" s="7">
        <f>'1 datos preparados'!L546</f>
        <v/>
      </c>
      <c r="N553" s="7">
        <f>'1 datos preparados'!M546</f>
        <v/>
      </c>
      <c r="O553" s="7">
        <f>'1 datos preparados'!N546</f>
        <v/>
      </c>
      <c r="P553" s="7">
        <f>'1 datos preparados'!O546</f>
        <v/>
      </c>
      <c r="Q553" s="7">
        <f>'1 datos preparados'!P546</f>
        <v/>
      </c>
      <c r="R553" s="7">
        <f>'1 datos preparados'!Q546</f>
        <v/>
      </c>
      <c r="S553" s="7">
        <f>'1 datos preparados'!R546</f>
        <v/>
      </c>
      <c r="T553" s="7">
        <f>'1 datos preparados'!S546</f>
        <v/>
      </c>
      <c r="U553" s="7">
        <f>'1 datos preparados'!T546</f>
        <v/>
      </c>
      <c r="V553" s="8">
        <f>$AE$12+D553*$AE$13+E553*$AE$14+F553*$AE$15+G553*$AE$16+H553*$AE$17+I553*$AE$18+J553*$AE$19+K553*$AE$20+L553*$AE$21+M553*$AE$22+N553*$AE$23+O553*$AE$24+P553*$AE$25+Q553*$AE$26+R553*$AE$27+S553*$AE$28+T553*$AE$29+U553*$AE$30</f>
        <v/>
      </c>
      <c r="W553" s="8">
        <f>1/(1+EXP(-V553))</f>
        <v/>
      </c>
      <c r="X553" s="9">
        <f>-IF(C553=1,LN(W553),LN(1-W553))</f>
        <v/>
      </c>
      <c r="Y553" s="8">
        <f>IF(C553=1,$AE$32,$AE$33)</f>
        <v/>
      </c>
      <c r="Z553" s="9">
        <f>Y553*X553</f>
        <v/>
      </c>
      <c r="AA553" s="10">
        <f>IF(W553&gt;$AE$34,1,0)</f>
        <v/>
      </c>
      <c r="AB553">
        <f>IF(AA553=C553,1,0)</f>
        <v/>
      </c>
    </row>
    <row r="554">
      <c r="A554">
        <f>'1 datos preparados'!A547</f>
        <v/>
      </c>
      <c r="B554" s="5">
        <f>'1 datos preparados'!U547</f>
        <v/>
      </c>
      <c r="C554">
        <f>'1 datos preparados'!B547</f>
        <v/>
      </c>
      <c r="D554" s="7">
        <f>'1 datos preparados'!C547</f>
        <v/>
      </c>
      <c r="E554" s="7">
        <f>'1 datos preparados'!D547</f>
        <v/>
      </c>
      <c r="F554" s="7">
        <f>'1 datos preparados'!E547</f>
        <v/>
      </c>
      <c r="G554" s="7">
        <f>'1 datos preparados'!F547</f>
        <v/>
      </c>
      <c r="H554" s="7">
        <f>'1 datos preparados'!G547</f>
        <v/>
      </c>
      <c r="I554" s="7">
        <f>'1 datos preparados'!H547</f>
        <v/>
      </c>
      <c r="J554" s="7">
        <f>'1 datos preparados'!I547</f>
        <v/>
      </c>
      <c r="K554" s="7">
        <f>'1 datos preparados'!J547</f>
        <v/>
      </c>
      <c r="L554" s="7">
        <f>'1 datos preparados'!K547</f>
        <v/>
      </c>
      <c r="M554" s="7">
        <f>'1 datos preparados'!L547</f>
        <v/>
      </c>
      <c r="N554" s="7">
        <f>'1 datos preparados'!M547</f>
        <v/>
      </c>
      <c r="O554" s="7">
        <f>'1 datos preparados'!N547</f>
        <v/>
      </c>
      <c r="P554" s="7">
        <f>'1 datos preparados'!O547</f>
        <v/>
      </c>
      <c r="Q554" s="7">
        <f>'1 datos preparados'!P547</f>
        <v/>
      </c>
      <c r="R554" s="7">
        <f>'1 datos preparados'!Q547</f>
        <v/>
      </c>
      <c r="S554" s="7">
        <f>'1 datos preparados'!R547</f>
        <v/>
      </c>
      <c r="T554" s="7">
        <f>'1 datos preparados'!S547</f>
        <v/>
      </c>
      <c r="U554" s="7">
        <f>'1 datos preparados'!T547</f>
        <v/>
      </c>
      <c r="V554" s="8">
        <f>$AE$12+D554*$AE$13+E554*$AE$14+F554*$AE$15+G554*$AE$16+H554*$AE$17+I554*$AE$18+J554*$AE$19+K554*$AE$20+L554*$AE$21+M554*$AE$22+N554*$AE$23+O554*$AE$24+P554*$AE$25+Q554*$AE$26+R554*$AE$27+S554*$AE$28+T554*$AE$29+U554*$AE$30</f>
        <v/>
      </c>
      <c r="W554" s="8">
        <f>1/(1+EXP(-V554))</f>
        <v/>
      </c>
      <c r="X554" s="9">
        <f>-IF(C554=1,LN(W554),LN(1-W554))</f>
        <v/>
      </c>
      <c r="Y554" s="8">
        <f>IF(C554=1,$AE$32,$AE$33)</f>
        <v/>
      </c>
      <c r="Z554" s="9">
        <f>Y554*X554</f>
        <v/>
      </c>
      <c r="AA554" s="10">
        <f>IF(W554&gt;$AE$34,1,0)</f>
        <v/>
      </c>
      <c r="AB554">
        <f>IF(AA554=C554,1,0)</f>
        <v/>
      </c>
    </row>
    <row r="555">
      <c r="A555">
        <f>'1 datos preparados'!A548</f>
        <v/>
      </c>
      <c r="B555" s="5">
        <f>'1 datos preparados'!U548</f>
        <v/>
      </c>
      <c r="C555">
        <f>'1 datos preparados'!B548</f>
        <v/>
      </c>
      <c r="D555" s="7">
        <f>'1 datos preparados'!C548</f>
        <v/>
      </c>
      <c r="E555" s="7">
        <f>'1 datos preparados'!D548</f>
        <v/>
      </c>
      <c r="F555" s="7">
        <f>'1 datos preparados'!E548</f>
        <v/>
      </c>
      <c r="G555" s="7">
        <f>'1 datos preparados'!F548</f>
        <v/>
      </c>
      <c r="H555" s="7">
        <f>'1 datos preparados'!G548</f>
        <v/>
      </c>
      <c r="I555" s="7">
        <f>'1 datos preparados'!H548</f>
        <v/>
      </c>
      <c r="J555" s="7">
        <f>'1 datos preparados'!I548</f>
        <v/>
      </c>
      <c r="K555" s="7">
        <f>'1 datos preparados'!J548</f>
        <v/>
      </c>
      <c r="L555" s="7">
        <f>'1 datos preparados'!K548</f>
        <v/>
      </c>
      <c r="M555" s="7">
        <f>'1 datos preparados'!L548</f>
        <v/>
      </c>
      <c r="N555" s="7">
        <f>'1 datos preparados'!M548</f>
        <v/>
      </c>
      <c r="O555" s="7">
        <f>'1 datos preparados'!N548</f>
        <v/>
      </c>
      <c r="P555" s="7">
        <f>'1 datos preparados'!O548</f>
        <v/>
      </c>
      <c r="Q555" s="7">
        <f>'1 datos preparados'!P548</f>
        <v/>
      </c>
      <c r="R555" s="7">
        <f>'1 datos preparados'!Q548</f>
        <v/>
      </c>
      <c r="S555" s="7">
        <f>'1 datos preparados'!R548</f>
        <v/>
      </c>
      <c r="T555" s="7">
        <f>'1 datos preparados'!S548</f>
        <v/>
      </c>
      <c r="U555" s="7">
        <f>'1 datos preparados'!T548</f>
        <v/>
      </c>
      <c r="V555" s="8">
        <f>$AE$12+D555*$AE$13+E555*$AE$14+F555*$AE$15+G555*$AE$16+H555*$AE$17+I555*$AE$18+J555*$AE$19+K555*$AE$20+L555*$AE$21+M555*$AE$22+N555*$AE$23+O555*$AE$24+P555*$AE$25+Q555*$AE$26+R555*$AE$27+S555*$AE$28+T555*$AE$29+U555*$AE$30</f>
        <v/>
      </c>
      <c r="W555" s="8">
        <f>1/(1+EXP(-V555))</f>
        <v/>
      </c>
      <c r="X555" s="9">
        <f>-IF(C555=1,LN(W555),LN(1-W555))</f>
        <v/>
      </c>
      <c r="Y555" s="8">
        <f>IF(C555=1,$AE$32,$AE$33)</f>
        <v/>
      </c>
      <c r="Z555" s="9">
        <f>Y555*X555</f>
        <v/>
      </c>
      <c r="AA555" s="10">
        <f>IF(W555&gt;$AE$34,1,0)</f>
        <v/>
      </c>
      <c r="AB555">
        <f>IF(AA555=C555,1,0)</f>
        <v/>
      </c>
    </row>
    <row r="556">
      <c r="A556">
        <f>'1 datos preparados'!A549</f>
        <v/>
      </c>
      <c r="B556" s="5">
        <f>'1 datos preparados'!U549</f>
        <v/>
      </c>
      <c r="C556">
        <f>'1 datos preparados'!B549</f>
        <v/>
      </c>
      <c r="D556" s="7">
        <f>'1 datos preparados'!C549</f>
        <v/>
      </c>
      <c r="E556" s="7">
        <f>'1 datos preparados'!D549</f>
        <v/>
      </c>
      <c r="F556" s="7">
        <f>'1 datos preparados'!E549</f>
        <v/>
      </c>
      <c r="G556" s="7">
        <f>'1 datos preparados'!F549</f>
        <v/>
      </c>
      <c r="H556" s="7">
        <f>'1 datos preparados'!G549</f>
        <v/>
      </c>
      <c r="I556" s="7">
        <f>'1 datos preparados'!H549</f>
        <v/>
      </c>
      <c r="J556" s="7">
        <f>'1 datos preparados'!I549</f>
        <v/>
      </c>
      <c r="K556" s="7">
        <f>'1 datos preparados'!J549</f>
        <v/>
      </c>
      <c r="L556" s="7">
        <f>'1 datos preparados'!K549</f>
        <v/>
      </c>
      <c r="M556" s="7">
        <f>'1 datos preparados'!L549</f>
        <v/>
      </c>
      <c r="N556" s="7">
        <f>'1 datos preparados'!M549</f>
        <v/>
      </c>
      <c r="O556" s="7">
        <f>'1 datos preparados'!N549</f>
        <v/>
      </c>
      <c r="P556" s="7">
        <f>'1 datos preparados'!O549</f>
        <v/>
      </c>
      <c r="Q556" s="7">
        <f>'1 datos preparados'!P549</f>
        <v/>
      </c>
      <c r="R556" s="7">
        <f>'1 datos preparados'!Q549</f>
        <v/>
      </c>
      <c r="S556" s="7">
        <f>'1 datos preparados'!R549</f>
        <v/>
      </c>
      <c r="T556" s="7">
        <f>'1 datos preparados'!S549</f>
        <v/>
      </c>
      <c r="U556" s="7">
        <f>'1 datos preparados'!T549</f>
        <v/>
      </c>
      <c r="V556" s="8">
        <f>$AE$12+D556*$AE$13+E556*$AE$14+F556*$AE$15+G556*$AE$16+H556*$AE$17+I556*$AE$18+J556*$AE$19+K556*$AE$20+L556*$AE$21+M556*$AE$22+N556*$AE$23+O556*$AE$24+P556*$AE$25+Q556*$AE$26+R556*$AE$27+S556*$AE$28+T556*$AE$29+U556*$AE$30</f>
        <v/>
      </c>
      <c r="W556" s="8">
        <f>1/(1+EXP(-V556))</f>
        <v/>
      </c>
      <c r="X556" s="9">
        <f>-IF(C556=1,LN(W556),LN(1-W556))</f>
        <v/>
      </c>
      <c r="Y556" s="8">
        <f>IF(C556=1,$AE$32,$AE$33)</f>
        <v/>
      </c>
      <c r="Z556" s="9">
        <f>Y556*X556</f>
        <v/>
      </c>
      <c r="AA556" s="10">
        <f>IF(W556&gt;$AE$34,1,0)</f>
        <v/>
      </c>
      <c r="AB556">
        <f>IF(AA556=C556,1,0)</f>
        <v/>
      </c>
    </row>
    <row r="557">
      <c r="A557">
        <f>'1 datos preparados'!A550</f>
        <v/>
      </c>
      <c r="B557" s="5">
        <f>'1 datos preparados'!U550</f>
        <v/>
      </c>
      <c r="C557">
        <f>'1 datos preparados'!B550</f>
        <v/>
      </c>
      <c r="D557" s="7">
        <f>'1 datos preparados'!C550</f>
        <v/>
      </c>
      <c r="E557" s="7">
        <f>'1 datos preparados'!D550</f>
        <v/>
      </c>
      <c r="F557" s="7">
        <f>'1 datos preparados'!E550</f>
        <v/>
      </c>
      <c r="G557" s="7">
        <f>'1 datos preparados'!F550</f>
        <v/>
      </c>
      <c r="H557" s="7">
        <f>'1 datos preparados'!G550</f>
        <v/>
      </c>
      <c r="I557" s="7">
        <f>'1 datos preparados'!H550</f>
        <v/>
      </c>
      <c r="J557" s="7">
        <f>'1 datos preparados'!I550</f>
        <v/>
      </c>
      <c r="K557" s="7">
        <f>'1 datos preparados'!J550</f>
        <v/>
      </c>
      <c r="L557" s="7">
        <f>'1 datos preparados'!K550</f>
        <v/>
      </c>
      <c r="M557" s="7">
        <f>'1 datos preparados'!L550</f>
        <v/>
      </c>
      <c r="N557" s="7">
        <f>'1 datos preparados'!M550</f>
        <v/>
      </c>
      <c r="O557" s="7">
        <f>'1 datos preparados'!N550</f>
        <v/>
      </c>
      <c r="P557" s="7">
        <f>'1 datos preparados'!O550</f>
        <v/>
      </c>
      <c r="Q557" s="7">
        <f>'1 datos preparados'!P550</f>
        <v/>
      </c>
      <c r="R557" s="7">
        <f>'1 datos preparados'!Q550</f>
        <v/>
      </c>
      <c r="S557" s="7">
        <f>'1 datos preparados'!R550</f>
        <v/>
      </c>
      <c r="T557" s="7">
        <f>'1 datos preparados'!S550</f>
        <v/>
      </c>
      <c r="U557" s="7">
        <f>'1 datos preparados'!T550</f>
        <v/>
      </c>
      <c r="V557" s="8">
        <f>$AE$12+D557*$AE$13+E557*$AE$14+F557*$AE$15+G557*$AE$16+H557*$AE$17+I557*$AE$18+J557*$AE$19+K557*$AE$20+L557*$AE$21+M557*$AE$22+N557*$AE$23+O557*$AE$24+P557*$AE$25+Q557*$AE$26+R557*$AE$27+S557*$AE$28+T557*$AE$29+U557*$AE$30</f>
        <v/>
      </c>
      <c r="W557" s="8">
        <f>1/(1+EXP(-V557))</f>
        <v/>
      </c>
      <c r="X557" s="9">
        <f>-IF(C557=1,LN(W557),LN(1-W557))</f>
        <v/>
      </c>
      <c r="Y557" s="8">
        <f>IF(C557=1,$AE$32,$AE$33)</f>
        <v/>
      </c>
      <c r="Z557" s="9">
        <f>Y557*X557</f>
        <v/>
      </c>
      <c r="AA557" s="10">
        <f>IF(W557&gt;$AE$34,1,0)</f>
        <v/>
      </c>
      <c r="AB557">
        <f>IF(AA557=C557,1,0)</f>
        <v/>
      </c>
    </row>
    <row r="558">
      <c r="A558">
        <f>'1 datos preparados'!A551</f>
        <v/>
      </c>
      <c r="B558" s="5">
        <f>'1 datos preparados'!U551</f>
        <v/>
      </c>
      <c r="C558">
        <f>'1 datos preparados'!B551</f>
        <v/>
      </c>
      <c r="D558" s="7">
        <f>'1 datos preparados'!C551</f>
        <v/>
      </c>
      <c r="E558" s="7">
        <f>'1 datos preparados'!D551</f>
        <v/>
      </c>
      <c r="F558" s="7">
        <f>'1 datos preparados'!E551</f>
        <v/>
      </c>
      <c r="G558" s="7">
        <f>'1 datos preparados'!F551</f>
        <v/>
      </c>
      <c r="H558" s="7">
        <f>'1 datos preparados'!G551</f>
        <v/>
      </c>
      <c r="I558" s="7">
        <f>'1 datos preparados'!H551</f>
        <v/>
      </c>
      <c r="J558" s="7">
        <f>'1 datos preparados'!I551</f>
        <v/>
      </c>
      <c r="K558" s="7">
        <f>'1 datos preparados'!J551</f>
        <v/>
      </c>
      <c r="L558" s="7">
        <f>'1 datos preparados'!K551</f>
        <v/>
      </c>
      <c r="M558" s="7">
        <f>'1 datos preparados'!L551</f>
        <v/>
      </c>
      <c r="N558" s="7">
        <f>'1 datos preparados'!M551</f>
        <v/>
      </c>
      <c r="O558" s="7">
        <f>'1 datos preparados'!N551</f>
        <v/>
      </c>
      <c r="P558" s="7">
        <f>'1 datos preparados'!O551</f>
        <v/>
      </c>
      <c r="Q558" s="7">
        <f>'1 datos preparados'!P551</f>
        <v/>
      </c>
      <c r="R558" s="7">
        <f>'1 datos preparados'!Q551</f>
        <v/>
      </c>
      <c r="S558" s="7">
        <f>'1 datos preparados'!R551</f>
        <v/>
      </c>
      <c r="T558" s="7">
        <f>'1 datos preparados'!S551</f>
        <v/>
      </c>
      <c r="U558" s="7">
        <f>'1 datos preparados'!T551</f>
        <v/>
      </c>
      <c r="V558" s="8">
        <f>$AE$12+D558*$AE$13+E558*$AE$14+F558*$AE$15+G558*$AE$16+H558*$AE$17+I558*$AE$18+J558*$AE$19+K558*$AE$20+L558*$AE$21+M558*$AE$22+N558*$AE$23+O558*$AE$24+P558*$AE$25+Q558*$AE$26+R558*$AE$27+S558*$AE$28+T558*$AE$29+U558*$AE$30</f>
        <v/>
      </c>
      <c r="W558" s="8">
        <f>1/(1+EXP(-V558))</f>
        <v/>
      </c>
      <c r="X558" s="9">
        <f>-IF(C558=1,LN(W558),LN(1-W558))</f>
        <v/>
      </c>
      <c r="Y558" s="8">
        <f>IF(C558=1,$AE$32,$AE$33)</f>
        <v/>
      </c>
      <c r="Z558" s="9">
        <f>Y558*X558</f>
        <v/>
      </c>
      <c r="AA558" s="10">
        <f>IF(W558&gt;$AE$34,1,0)</f>
        <v/>
      </c>
      <c r="AB558">
        <f>IF(AA558=C558,1,0)</f>
        <v/>
      </c>
    </row>
    <row r="559">
      <c r="A559">
        <f>'1 datos preparados'!A552</f>
        <v/>
      </c>
      <c r="B559" s="5">
        <f>'1 datos preparados'!U552</f>
        <v/>
      </c>
      <c r="C559">
        <f>'1 datos preparados'!B552</f>
        <v/>
      </c>
      <c r="D559" s="7">
        <f>'1 datos preparados'!C552</f>
        <v/>
      </c>
      <c r="E559" s="7">
        <f>'1 datos preparados'!D552</f>
        <v/>
      </c>
      <c r="F559" s="7">
        <f>'1 datos preparados'!E552</f>
        <v/>
      </c>
      <c r="G559" s="7">
        <f>'1 datos preparados'!F552</f>
        <v/>
      </c>
      <c r="H559" s="7">
        <f>'1 datos preparados'!G552</f>
        <v/>
      </c>
      <c r="I559" s="7">
        <f>'1 datos preparados'!H552</f>
        <v/>
      </c>
      <c r="J559" s="7">
        <f>'1 datos preparados'!I552</f>
        <v/>
      </c>
      <c r="K559" s="7">
        <f>'1 datos preparados'!J552</f>
        <v/>
      </c>
      <c r="L559" s="7">
        <f>'1 datos preparados'!K552</f>
        <v/>
      </c>
      <c r="M559" s="7">
        <f>'1 datos preparados'!L552</f>
        <v/>
      </c>
      <c r="N559" s="7">
        <f>'1 datos preparados'!M552</f>
        <v/>
      </c>
      <c r="O559" s="7">
        <f>'1 datos preparados'!N552</f>
        <v/>
      </c>
      <c r="P559" s="7">
        <f>'1 datos preparados'!O552</f>
        <v/>
      </c>
      <c r="Q559" s="7">
        <f>'1 datos preparados'!P552</f>
        <v/>
      </c>
      <c r="R559" s="7">
        <f>'1 datos preparados'!Q552</f>
        <v/>
      </c>
      <c r="S559" s="7">
        <f>'1 datos preparados'!R552</f>
        <v/>
      </c>
      <c r="T559" s="7">
        <f>'1 datos preparados'!S552</f>
        <v/>
      </c>
      <c r="U559" s="7">
        <f>'1 datos preparados'!T552</f>
        <v/>
      </c>
      <c r="V559" s="8">
        <f>$AE$12+D559*$AE$13+E559*$AE$14+F559*$AE$15+G559*$AE$16+H559*$AE$17+I559*$AE$18+J559*$AE$19+K559*$AE$20+L559*$AE$21+M559*$AE$22+N559*$AE$23+O559*$AE$24+P559*$AE$25+Q559*$AE$26+R559*$AE$27+S559*$AE$28+T559*$AE$29+U559*$AE$30</f>
        <v/>
      </c>
      <c r="W559" s="8">
        <f>1/(1+EXP(-V559))</f>
        <v/>
      </c>
      <c r="X559" s="9">
        <f>-IF(C559=1,LN(W559),LN(1-W559))</f>
        <v/>
      </c>
      <c r="Y559" s="8">
        <f>IF(C559=1,$AE$32,$AE$33)</f>
        <v/>
      </c>
      <c r="Z559" s="9">
        <f>Y559*X559</f>
        <v/>
      </c>
      <c r="AA559" s="10">
        <f>IF(W559&gt;$AE$34,1,0)</f>
        <v/>
      </c>
      <c r="AB559">
        <f>IF(AA559=C559,1,0)</f>
        <v/>
      </c>
    </row>
    <row r="560">
      <c r="A560">
        <f>'1 datos preparados'!A553</f>
        <v/>
      </c>
      <c r="B560" s="5">
        <f>'1 datos preparados'!U553</f>
        <v/>
      </c>
      <c r="C560">
        <f>'1 datos preparados'!B553</f>
        <v/>
      </c>
      <c r="D560" s="7">
        <f>'1 datos preparados'!C553</f>
        <v/>
      </c>
      <c r="E560" s="7">
        <f>'1 datos preparados'!D553</f>
        <v/>
      </c>
      <c r="F560" s="7">
        <f>'1 datos preparados'!E553</f>
        <v/>
      </c>
      <c r="G560" s="7">
        <f>'1 datos preparados'!F553</f>
        <v/>
      </c>
      <c r="H560" s="7">
        <f>'1 datos preparados'!G553</f>
        <v/>
      </c>
      <c r="I560" s="7">
        <f>'1 datos preparados'!H553</f>
        <v/>
      </c>
      <c r="J560" s="7">
        <f>'1 datos preparados'!I553</f>
        <v/>
      </c>
      <c r="K560" s="7">
        <f>'1 datos preparados'!J553</f>
        <v/>
      </c>
      <c r="L560" s="7">
        <f>'1 datos preparados'!K553</f>
        <v/>
      </c>
      <c r="M560" s="7">
        <f>'1 datos preparados'!L553</f>
        <v/>
      </c>
      <c r="N560" s="7">
        <f>'1 datos preparados'!M553</f>
        <v/>
      </c>
      <c r="O560" s="7">
        <f>'1 datos preparados'!N553</f>
        <v/>
      </c>
      <c r="P560" s="7">
        <f>'1 datos preparados'!O553</f>
        <v/>
      </c>
      <c r="Q560" s="7">
        <f>'1 datos preparados'!P553</f>
        <v/>
      </c>
      <c r="R560" s="7">
        <f>'1 datos preparados'!Q553</f>
        <v/>
      </c>
      <c r="S560" s="7">
        <f>'1 datos preparados'!R553</f>
        <v/>
      </c>
      <c r="T560" s="7">
        <f>'1 datos preparados'!S553</f>
        <v/>
      </c>
      <c r="U560" s="7">
        <f>'1 datos preparados'!T553</f>
        <v/>
      </c>
      <c r="V560" s="8">
        <f>$AE$12+D560*$AE$13+E560*$AE$14+F560*$AE$15+G560*$AE$16+H560*$AE$17+I560*$AE$18+J560*$AE$19+K560*$AE$20+L560*$AE$21+M560*$AE$22+N560*$AE$23+O560*$AE$24+P560*$AE$25+Q560*$AE$26+R560*$AE$27+S560*$AE$28+T560*$AE$29+U560*$AE$30</f>
        <v/>
      </c>
      <c r="W560" s="8">
        <f>1/(1+EXP(-V560))</f>
        <v/>
      </c>
      <c r="X560" s="9">
        <f>-IF(C560=1,LN(W560),LN(1-W560))</f>
        <v/>
      </c>
      <c r="Y560" s="8">
        <f>IF(C560=1,$AE$32,$AE$33)</f>
        <v/>
      </c>
      <c r="Z560" s="9">
        <f>Y560*X560</f>
        <v/>
      </c>
      <c r="AA560" s="10">
        <f>IF(W560&gt;$AE$34,1,0)</f>
        <v/>
      </c>
      <c r="AB560">
        <f>IF(AA560=C560,1,0)</f>
        <v/>
      </c>
    </row>
    <row r="561">
      <c r="A561">
        <f>'1 datos preparados'!A554</f>
        <v/>
      </c>
      <c r="B561" s="5">
        <f>'1 datos preparados'!U554</f>
        <v/>
      </c>
      <c r="C561">
        <f>'1 datos preparados'!B554</f>
        <v/>
      </c>
      <c r="D561" s="7">
        <f>'1 datos preparados'!C554</f>
        <v/>
      </c>
      <c r="E561" s="7">
        <f>'1 datos preparados'!D554</f>
        <v/>
      </c>
      <c r="F561" s="7">
        <f>'1 datos preparados'!E554</f>
        <v/>
      </c>
      <c r="G561" s="7">
        <f>'1 datos preparados'!F554</f>
        <v/>
      </c>
      <c r="H561" s="7">
        <f>'1 datos preparados'!G554</f>
        <v/>
      </c>
      <c r="I561" s="7">
        <f>'1 datos preparados'!H554</f>
        <v/>
      </c>
      <c r="J561" s="7">
        <f>'1 datos preparados'!I554</f>
        <v/>
      </c>
      <c r="K561" s="7">
        <f>'1 datos preparados'!J554</f>
        <v/>
      </c>
      <c r="L561" s="7">
        <f>'1 datos preparados'!K554</f>
        <v/>
      </c>
      <c r="M561" s="7">
        <f>'1 datos preparados'!L554</f>
        <v/>
      </c>
      <c r="N561" s="7">
        <f>'1 datos preparados'!M554</f>
        <v/>
      </c>
      <c r="O561" s="7">
        <f>'1 datos preparados'!N554</f>
        <v/>
      </c>
      <c r="P561" s="7">
        <f>'1 datos preparados'!O554</f>
        <v/>
      </c>
      <c r="Q561" s="7">
        <f>'1 datos preparados'!P554</f>
        <v/>
      </c>
      <c r="R561" s="7">
        <f>'1 datos preparados'!Q554</f>
        <v/>
      </c>
      <c r="S561" s="7">
        <f>'1 datos preparados'!R554</f>
        <v/>
      </c>
      <c r="T561" s="7">
        <f>'1 datos preparados'!S554</f>
        <v/>
      </c>
      <c r="U561" s="7">
        <f>'1 datos preparados'!T554</f>
        <v/>
      </c>
      <c r="V561" s="8">
        <f>$AE$12+D561*$AE$13+E561*$AE$14+F561*$AE$15+G561*$AE$16+H561*$AE$17+I561*$AE$18+J561*$AE$19+K561*$AE$20+L561*$AE$21+M561*$AE$22+N561*$AE$23+O561*$AE$24+P561*$AE$25+Q561*$AE$26+R561*$AE$27+S561*$AE$28+T561*$AE$29+U561*$AE$30</f>
        <v/>
      </c>
      <c r="W561" s="8">
        <f>1/(1+EXP(-V561))</f>
        <v/>
      </c>
      <c r="X561" s="9">
        <f>-IF(C561=1,LN(W561),LN(1-W561))</f>
        <v/>
      </c>
      <c r="Y561" s="8">
        <f>IF(C561=1,$AE$32,$AE$33)</f>
        <v/>
      </c>
      <c r="Z561" s="9">
        <f>Y561*X561</f>
        <v/>
      </c>
      <c r="AA561" s="10">
        <f>IF(W561&gt;$AE$34,1,0)</f>
        <v/>
      </c>
      <c r="AB561">
        <f>IF(AA561=C561,1,0)</f>
        <v/>
      </c>
    </row>
    <row r="562">
      <c r="A562">
        <f>'1 datos preparados'!A555</f>
        <v/>
      </c>
      <c r="B562" s="5">
        <f>'1 datos preparados'!U555</f>
        <v/>
      </c>
      <c r="C562">
        <f>'1 datos preparados'!B555</f>
        <v/>
      </c>
      <c r="D562" s="7">
        <f>'1 datos preparados'!C555</f>
        <v/>
      </c>
      <c r="E562" s="7">
        <f>'1 datos preparados'!D555</f>
        <v/>
      </c>
      <c r="F562" s="7">
        <f>'1 datos preparados'!E555</f>
        <v/>
      </c>
      <c r="G562" s="7">
        <f>'1 datos preparados'!F555</f>
        <v/>
      </c>
      <c r="H562" s="7">
        <f>'1 datos preparados'!G555</f>
        <v/>
      </c>
      <c r="I562" s="7">
        <f>'1 datos preparados'!H555</f>
        <v/>
      </c>
      <c r="J562" s="7">
        <f>'1 datos preparados'!I555</f>
        <v/>
      </c>
      <c r="K562" s="7">
        <f>'1 datos preparados'!J555</f>
        <v/>
      </c>
      <c r="L562" s="7">
        <f>'1 datos preparados'!K555</f>
        <v/>
      </c>
      <c r="M562" s="7">
        <f>'1 datos preparados'!L555</f>
        <v/>
      </c>
      <c r="N562" s="7">
        <f>'1 datos preparados'!M555</f>
        <v/>
      </c>
      <c r="O562" s="7">
        <f>'1 datos preparados'!N555</f>
        <v/>
      </c>
      <c r="P562" s="7">
        <f>'1 datos preparados'!O555</f>
        <v/>
      </c>
      <c r="Q562" s="7">
        <f>'1 datos preparados'!P555</f>
        <v/>
      </c>
      <c r="R562" s="7">
        <f>'1 datos preparados'!Q555</f>
        <v/>
      </c>
      <c r="S562" s="7">
        <f>'1 datos preparados'!R555</f>
        <v/>
      </c>
      <c r="T562" s="7">
        <f>'1 datos preparados'!S555</f>
        <v/>
      </c>
      <c r="U562" s="7">
        <f>'1 datos preparados'!T555</f>
        <v/>
      </c>
      <c r="V562" s="8">
        <f>$AE$12+D562*$AE$13+E562*$AE$14+F562*$AE$15+G562*$AE$16+H562*$AE$17+I562*$AE$18+J562*$AE$19+K562*$AE$20+L562*$AE$21+M562*$AE$22+N562*$AE$23+O562*$AE$24+P562*$AE$25+Q562*$AE$26+R562*$AE$27+S562*$AE$28+T562*$AE$29+U562*$AE$30</f>
        <v/>
      </c>
      <c r="W562" s="8">
        <f>1/(1+EXP(-V562))</f>
        <v/>
      </c>
      <c r="X562" s="9">
        <f>-IF(C562=1,LN(W562),LN(1-W562))</f>
        <v/>
      </c>
      <c r="Y562" s="8">
        <f>IF(C562=1,$AE$32,$AE$33)</f>
        <v/>
      </c>
      <c r="Z562" s="9">
        <f>Y562*X562</f>
        <v/>
      </c>
      <c r="AA562" s="10">
        <f>IF(W562&gt;$AE$34,1,0)</f>
        <v/>
      </c>
      <c r="AB562">
        <f>IF(AA562=C562,1,0)</f>
        <v/>
      </c>
    </row>
    <row r="563">
      <c r="A563">
        <f>'1 datos preparados'!A556</f>
        <v/>
      </c>
      <c r="B563" s="5">
        <f>'1 datos preparados'!U556</f>
        <v/>
      </c>
      <c r="C563">
        <f>'1 datos preparados'!B556</f>
        <v/>
      </c>
      <c r="D563" s="7">
        <f>'1 datos preparados'!C556</f>
        <v/>
      </c>
      <c r="E563" s="7">
        <f>'1 datos preparados'!D556</f>
        <v/>
      </c>
      <c r="F563" s="7">
        <f>'1 datos preparados'!E556</f>
        <v/>
      </c>
      <c r="G563" s="7">
        <f>'1 datos preparados'!F556</f>
        <v/>
      </c>
      <c r="H563" s="7">
        <f>'1 datos preparados'!G556</f>
        <v/>
      </c>
      <c r="I563" s="7">
        <f>'1 datos preparados'!H556</f>
        <v/>
      </c>
      <c r="J563" s="7">
        <f>'1 datos preparados'!I556</f>
        <v/>
      </c>
      <c r="K563" s="7">
        <f>'1 datos preparados'!J556</f>
        <v/>
      </c>
      <c r="L563" s="7">
        <f>'1 datos preparados'!K556</f>
        <v/>
      </c>
      <c r="M563" s="7">
        <f>'1 datos preparados'!L556</f>
        <v/>
      </c>
      <c r="N563" s="7">
        <f>'1 datos preparados'!M556</f>
        <v/>
      </c>
      <c r="O563" s="7">
        <f>'1 datos preparados'!N556</f>
        <v/>
      </c>
      <c r="P563" s="7">
        <f>'1 datos preparados'!O556</f>
        <v/>
      </c>
      <c r="Q563" s="7">
        <f>'1 datos preparados'!P556</f>
        <v/>
      </c>
      <c r="R563" s="7">
        <f>'1 datos preparados'!Q556</f>
        <v/>
      </c>
      <c r="S563" s="7">
        <f>'1 datos preparados'!R556</f>
        <v/>
      </c>
      <c r="T563" s="7">
        <f>'1 datos preparados'!S556</f>
        <v/>
      </c>
      <c r="U563" s="7">
        <f>'1 datos preparados'!T556</f>
        <v/>
      </c>
      <c r="V563" s="8">
        <f>$AE$12+D563*$AE$13+E563*$AE$14+F563*$AE$15+G563*$AE$16+H563*$AE$17+I563*$AE$18+J563*$AE$19+K563*$AE$20+L563*$AE$21+M563*$AE$22+N563*$AE$23+O563*$AE$24+P563*$AE$25+Q563*$AE$26+R563*$AE$27+S563*$AE$28+T563*$AE$29+U563*$AE$30</f>
        <v/>
      </c>
      <c r="W563" s="8">
        <f>1/(1+EXP(-V563))</f>
        <v/>
      </c>
      <c r="X563" s="9">
        <f>-IF(C563=1,LN(W563),LN(1-W563))</f>
        <v/>
      </c>
      <c r="Y563" s="8">
        <f>IF(C563=1,$AE$32,$AE$33)</f>
        <v/>
      </c>
      <c r="Z563" s="9">
        <f>Y563*X563</f>
        <v/>
      </c>
      <c r="AA563" s="10">
        <f>IF(W563&gt;$AE$34,1,0)</f>
        <v/>
      </c>
      <c r="AB563">
        <f>IF(AA563=C563,1,0)</f>
        <v/>
      </c>
    </row>
    <row r="564">
      <c r="A564">
        <f>'1 datos preparados'!A557</f>
        <v/>
      </c>
      <c r="B564" s="5">
        <f>'1 datos preparados'!U557</f>
        <v/>
      </c>
      <c r="C564">
        <f>'1 datos preparados'!B557</f>
        <v/>
      </c>
      <c r="D564" s="7">
        <f>'1 datos preparados'!C557</f>
        <v/>
      </c>
      <c r="E564" s="7">
        <f>'1 datos preparados'!D557</f>
        <v/>
      </c>
      <c r="F564" s="7">
        <f>'1 datos preparados'!E557</f>
        <v/>
      </c>
      <c r="G564" s="7">
        <f>'1 datos preparados'!F557</f>
        <v/>
      </c>
      <c r="H564" s="7">
        <f>'1 datos preparados'!G557</f>
        <v/>
      </c>
      <c r="I564" s="7">
        <f>'1 datos preparados'!H557</f>
        <v/>
      </c>
      <c r="J564" s="7">
        <f>'1 datos preparados'!I557</f>
        <v/>
      </c>
      <c r="K564" s="7">
        <f>'1 datos preparados'!J557</f>
        <v/>
      </c>
      <c r="L564" s="7">
        <f>'1 datos preparados'!K557</f>
        <v/>
      </c>
      <c r="M564" s="7">
        <f>'1 datos preparados'!L557</f>
        <v/>
      </c>
      <c r="N564" s="7">
        <f>'1 datos preparados'!M557</f>
        <v/>
      </c>
      <c r="O564" s="7">
        <f>'1 datos preparados'!N557</f>
        <v/>
      </c>
      <c r="P564" s="7">
        <f>'1 datos preparados'!O557</f>
        <v/>
      </c>
      <c r="Q564" s="7">
        <f>'1 datos preparados'!P557</f>
        <v/>
      </c>
      <c r="R564" s="7">
        <f>'1 datos preparados'!Q557</f>
        <v/>
      </c>
      <c r="S564" s="7">
        <f>'1 datos preparados'!R557</f>
        <v/>
      </c>
      <c r="T564" s="7">
        <f>'1 datos preparados'!S557</f>
        <v/>
      </c>
      <c r="U564" s="7">
        <f>'1 datos preparados'!T557</f>
        <v/>
      </c>
      <c r="V564" s="8">
        <f>$AE$12+D564*$AE$13+E564*$AE$14+F564*$AE$15+G564*$AE$16+H564*$AE$17+I564*$AE$18+J564*$AE$19+K564*$AE$20+L564*$AE$21+M564*$AE$22+N564*$AE$23+O564*$AE$24+P564*$AE$25+Q564*$AE$26+R564*$AE$27+S564*$AE$28+T564*$AE$29+U564*$AE$30</f>
        <v/>
      </c>
      <c r="W564" s="8">
        <f>1/(1+EXP(-V564))</f>
        <v/>
      </c>
      <c r="X564" s="9">
        <f>-IF(C564=1,LN(W564),LN(1-W564))</f>
        <v/>
      </c>
      <c r="Y564" s="8">
        <f>IF(C564=1,$AE$32,$AE$33)</f>
        <v/>
      </c>
      <c r="Z564" s="9">
        <f>Y564*X564</f>
        <v/>
      </c>
      <c r="AA564" s="10">
        <f>IF(W564&gt;$AE$34,1,0)</f>
        <v/>
      </c>
      <c r="AB564">
        <f>IF(AA564=C564,1,0)</f>
        <v/>
      </c>
    </row>
    <row r="565">
      <c r="A565">
        <f>'1 datos preparados'!A558</f>
        <v/>
      </c>
      <c r="B565" s="5">
        <f>'1 datos preparados'!U558</f>
        <v/>
      </c>
      <c r="C565">
        <f>'1 datos preparados'!B558</f>
        <v/>
      </c>
      <c r="D565" s="7">
        <f>'1 datos preparados'!C558</f>
        <v/>
      </c>
      <c r="E565" s="7">
        <f>'1 datos preparados'!D558</f>
        <v/>
      </c>
      <c r="F565" s="7">
        <f>'1 datos preparados'!E558</f>
        <v/>
      </c>
      <c r="G565" s="7">
        <f>'1 datos preparados'!F558</f>
        <v/>
      </c>
      <c r="H565" s="7">
        <f>'1 datos preparados'!G558</f>
        <v/>
      </c>
      <c r="I565" s="7">
        <f>'1 datos preparados'!H558</f>
        <v/>
      </c>
      <c r="J565" s="7">
        <f>'1 datos preparados'!I558</f>
        <v/>
      </c>
      <c r="K565" s="7">
        <f>'1 datos preparados'!J558</f>
        <v/>
      </c>
      <c r="L565" s="7">
        <f>'1 datos preparados'!K558</f>
        <v/>
      </c>
      <c r="M565" s="7">
        <f>'1 datos preparados'!L558</f>
        <v/>
      </c>
      <c r="N565" s="7">
        <f>'1 datos preparados'!M558</f>
        <v/>
      </c>
      <c r="O565" s="7">
        <f>'1 datos preparados'!N558</f>
        <v/>
      </c>
      <c r="P565" s="7">
        <f>'1 datos preparados'!O558</f>
        <v/>
      </c>
      <c r="Q565" s="7">
        <f>'1 datos preparados'!P558</f>
        <v/>
      </c>
      <c r="R565" s="7">
        <f>'1 datos preparados'!Q558</f>
        <v/>
      </c>
      <c r="S565" s="7">
        <f>'1 datos preparados'!R558</f>
        <v/>
      </c>
      <c r="T565" s="7">
        <f>'1 datos preparados'!S558</f>
        <v/>
      </c>
      <c r="U565" s="7">
        <f>'1 datos preparados'!T558</f>
        <v/>
      </c>
      <c r="V565" s="8">
        <f>$AE$12+D565*$AE$13+E565*$AE$14+F565*$AE$15+G565*$AE$16+H565*$AE$17+I565*$AE$18+J565*$AE$19+K565*$AE$20+L565*$AE$21+M565*$AE$22+N565*$AE$23+O565*$AE$24+P565*$AE$25+Q565*$AE$26+R565*$AE$27+S565*$AE$28+T565*$AE$29+U565*$AE$30</f>
        <v/>
      </c>
      <c r="W565" s="8">
        <f>1/(1+EXP(-V565))</f>
        <v/>
      </c>
      <c r="X565" s="9">
        <f>-IF(C565=1,LN(W565),LN(1-W565))</f>
        <v/>
      </c>
      <c r="Y565" s="8">
        <f>IF(C565=1,$AE$32,$AE$33)</f>
        <v/>
      </c>
      <c r="Z565" s="9">
        <f>Y565*X565</f>
        <v/>
      </c>
      <c r="AA565" s="10">
        <f>IF(W565&gt;$AE$34,1,0)</f>
        <v/>
      </c>
      <c r="AB565">
        <f>IF(AA565=C565,1,0)</f>
        <v/>
      </c>
    </row>
    <row r="566">
      <c r="A566">
        <f>'1 datos preparados'!A559</f>
        <v/>
      </c>
      <c r="B566" s="5">
        <f>'1 datos preparados'!U559</f>
        <v/>
      </c>
      <c r="C566">
        <f>'1 datos preparados'!B559</f>
        <v/>
      </c>
      <c r="D566" s="7">
        <f>'1 datos preparados'!C559</f>
        <v/>
      </c>
      <c r="E566" s="7">
        <f>'1 datos preparados'!D559</f>
        <v/>
      </c>
      <c r="F566" s="7">
        <f>'1 datos preparados'!E559</f>
        <v/>
      </c>
      <c r="G566" s="7">
        <f>'1 datos preparados'!F559</f>
        <v/>
      </c>
      <c r="H566" s="7">
        <f>'1 datos preparados'!G559</f>
        <v/>
      </c>
      <c r="I566" s="7">
        <f>'1 datos preparados'!H559</f>
        <v/>
      </c>
      <c r="J566" s="7">
        <f>'1 datos preparados'!I559</f>
        <v/>
      </c>
      <c r="K566" s="7">
        <f>'1 datos preparados'!J559</f>
        <v/>
      </c>
      <c r="L566" s="7">
        <f>'1 datos preparados'!K559</f>
        <v/>
      </c>
      <c r="M566" s="7">
        <f>'1 datos preparados'!L559</f>
        <v/>
      </c>
      <c r="N566" s="7">
        <f>'1 datos preparados'!M559</f>
        <v/>
      </c>
      <c r="O566" s="7">
        <f>'1 datos preparados'!N559</f>
        <v/>
      </c>
      <c r="P566" s="7">
        <f>'1 datos preparados'!O559</f>
        <v/>
      </c>
      <c r="Q566" s="7">
        <f>'1 datos preparados'!P559</f>
        <v/>
      </c>
      <c r="R566" s="7">
        <f>'1 datos preparados'!Q559</f>
        <v/>
      </c>
      <c r="S566" s="7">
        <f>'1 datos preparados'!R559</f>
        <v/>
      </c>
      <c r="T566" s="7">
        <f>'1 datos preparados'!S559</f>
        <v/>
      </c>
      <c r="U566" s="7">
        <f>'1 datos preparados'!T559</f>
        <v/>
      </c>
      <c r="V566" s="8">
        <f>$AE$12+D566*$AE$13+E566*$AE$14+F566*$AE$15+G566*$AE$16+H566*$AE$17+I566*$AE$18+J566*$AE$19+K566*$AE$20+L566*$AE$21+M566*$AE$22+N566*$AE$23+O566*$AE$24+P566*$AE$25+Q566*$AE$26+R566*$AE$27+S566*$AE$28+T566*$AE$29+U566*$AE$30</f>
        <v/>
      </c>
      <c r="W566" s="8">
        <f>1/(1+EXP(-V566))</f>
        <v/>
      </c>
      <c r="X566" s="9">
        <f>-IF(C566=1,LN(W566),LN(1-W566))</f>
        <v/>
      </c>
      <c r="Y566" s="8">
        <f>IF(C566=1,$AE$32,$AE$33)</f>
        <v/>
      </c>
      <c r="Z566" s="9">
        <f>Y566*X566</f>
        <v/>
      </c>
      <c r="AA566" s="10">
        <f>IF(W566&gt;$AE$34,1,0)</f>
        <v/>
      </c>
      <c r="AB566">
        <f>IF(AA566=C566,1,0)</f>
        <v/>
      </c>
    </row>
    <row r="567">
      <c r="A567">
        <f>'1 datos preparados'!A560</f>
        <v/>
      </c>
      <c r="B567" s="5">
        <f>'1 datos preparados'!U560</f>
        <v/>
      </c>
      <c r="C567">
        <f>'1 datos preparados'!B560</f>
        <v/>
      </c>
      <c r="D567" s="7">
        <f>'1 datos preparados'!C560</f>
        <v/>
      </c>
      <c r="E567" s="7">
        <f>'1 datos preparados'!D560</f>
        <v/>
      </c>
      <c r="F567" s="7">
        <f>'1 datos preparados'!E560</f>
        <v/>
      </c>
      <c r="G567" s="7">
        <f>'1 datos preparados'!F560</f>
        <v/>
      </c>
      <c r="H567" s="7">
        <f>'1 datos preparados'!G560</f>
        <v/>
      </c>
      <c r="I567" s="7">
        <f>'1 datos preparados'!H560</f>
        <v/>
      </c>
      <c r="J567" s="7">
        <f>'1 datos preparados'!I560</f>
        <v/>
      </c>
      <c r="K567" s="7">
        <f>'1 datos preparados'!J560</f>
        <v/>
      </c>
      <c r="L567" s="7">
        <f>'1 datos preparados'!K560</f>
        <v/>
      </c>
      <c r="M567" s="7">
        <f>'1 datos preparados'!L560</f>
        <v/>
      </c>
      <c r="N567" s="7">
        <f>'1 datos preparados'!M560</f>
        <v/>
      </c>
      <c r="O567" s="7">
        <f>'1 datos preparados'!N560</f>
        <v/>
      </c>
      <c r="P567" s="7">
        <f>'1 datos preparados'!O560</f>
        <v/>
      </c>
      <c r="Q567" s="7">
        <f>'1 datos preparados'!P560</f>
        <v/>
      </c>
      <c r="R567" s="7">
        <f>'1 datos preparados'!Q560</f>
        <v/>
      </c>
      <c r="S567" s="7">
        <f>'1 datos preparados'!R560</f>
        <v/>
      </c>
      <c r="T567" s="7">
        <f>'1 datos preparados'!S560</f>
        <v/>
      </c>
      <c r="U567" s="7">
        <f>'1 datos preparados'!T560</f>
        <v/>
      </c>
      <c r="V567" s="8">
        <f>$AE$12+D567*$AE$13+E567*$AE$14+F567*$AE$15+G567*$AE$16+H567*$AE$17+I567*$AE$18+J567*$AE$19+K567*$AE$20+L567*$AE$21+M567*$AE$22+N567*$AE$23+O567*$AE$24+P567*$AE$25+Q567*$AE$26+R567*$AE$27+S567*$AE$28+T567*$AE$29+U567*$AE$30</f>
        <v/>
      </c>
      <c r="W567" s="8">
        <f>1/(1+EXP(-V567))</f>
        <v/>
      </c>
      <c r="X567" s="9">
        <f>-IF(C567=1,LN(W567),LN(1-W567))</f>
        <v/>
      </c>
      <c r="Y567" s="8">
        <f>IF(C567=1,$AE$32,$AE$33)</f>
        <v/>
      </c>
      <c r="Z567" s="9">
        <f>Y567*X567</f>
        <v/>
      </c>
      <c r="AA567" s="10">
        <f>IF(W567&gt;$AE$34,1,0)</f>
        <v/>
      </c>
      <c r="AB567">
        <f>IF(AA567=C567,1,0)</f>
        <v/>
      </c>
    </row>
    <row r="568">
      <c r="A568">
        <f>'1 datos preparados'!A561</f>
        <v/>
      </c>
      <c r="B568" s="5">
        <f>'1 datos preparados'!U561</f>
        <v/>
      </c>
      <c r="C568">
        <f>'1 datos preparados'!B561</f>
        <v/>
      </c>
      <c r="D568" s="7">
        <f>'1 datos preparados'!C561</f>
        <v/>
      </c>
      <c r="E568" s="7">
        <f>'1 datos preparados'!D561</f>
        <v/>
      </c>
      <c r="F568" s="7">
        <f>'1 datos preparados'!E561</f>
        <v/>
      </c>
      <c r="G568" s="7">
        <f>'1 datos preparados'!F561</f>
        <v/>
      </c>
      <c r="H568" s="7">
        <f>'1 datos preparados'!G561</f>
        <v/>
      </c>
      <c r="I568" s="7">
        <f>'1 datos preparados'!H561</f>
        <v/>
      </c>
      <c r="J568" s="7">
        <f>'1 datos preparados'!I561</f>
        <v/>
      </c>
      <c r="K568" s="7">
        <f>'1 datos preparados'!J561</f>
        <v/>
      </c>
      <c r="L568" s="7">
        <f>'1 datos preparados'!K561</f>
        <v/>
      </c>
      <c r="M568" s="7">
        <f>'1 datos preparados'!L561</f>
        <v/>
      </c>
      <c r="N568" s="7">
        <f>'1 datos preparados'!M561</f>
        <v/>
      </c>
      <c r="O568" s="7">
        <f>'1 datos preparados'!N561</f>
        <v/>
      </c>
      <c r="P568" s="7">
        <f>'1 datos preparados'!O561</f>
        <v/>
      </c>
      <c r="Q568" s="7">
        <f>'1 datos preparados'!P561</f>
        <v/>
      </c>
      <c r="R568" s="7">
        <f>'1 datos preparados'!Q561</f>
        <v/>
      </c>
      <c r="S568" s="7">
        <f>'1 datos preparados'!R561</f>
        <v/>
      </c>
      <c r="T568" s="7">
        <f>'1 datos preparados'!S561</f>
        <v/>
      </c>
      <c r="U568" s="7">
        <f>'1 datos preparados'!T561</f>
        <v/>
      </c>
      <c r="V568" s="8">
        <f>$AE$12+D568*$AE$13+E568*$AE$14+F568*$AE$15+G568*$AE$16+H568*$AE$17+I568*$AE$18+J568*$AE$19+K568*$AE$20+L568*$AE$21+M568*$AE$22+N568*$AE$23+O568*$AE$24+P568*$AE$25+Q568*$AE$26+R568*$AE$27+S568*$AE$28+T568*$AE$29+U568*$AE$30</f>
        <v/>
      </c>
      <c r="W568" s="8">
        <f>1/(1+EXP(-V568))</f>
        <v/>
      </c>
      <c r="X568" s="9">
        <f>-IF(C568=1,LN(W568),LN(1-W568))</f>
        <v/>
      </c>
      <c r="Y568" s="8">
        <f>IF(C568=1,$AE$32,$AE$33)</f>
        <v/>
      </c>
      <c r="Z568" s="9">
        <f>Y568*X568</f>
        <v/>
      </c>
      <c r="AA568" s="10">
        <f>IF(W568&gt;$AE$34,1,0)</f>
        <v/>
      </c>
      <c r="AB568">
        <f>IF(AA568=C568,1,0)</f>
        <v/>
      </c>
    </row>
    <row r="569">
      <c r="A569">
        <f>'1 datos preparados'!A562</f>
        <v/>
      </c>
      <c r="B569" s="5">
        <f>'1 datos preparados'!U562</f>
        <v/>
      </c>
      <c r="C569">
        <f>'1 datos preparados'!B562</f>
        <v/>
      </c>
      <c r="D569" s="7">
        <f>'1 datos preparados'!C562</f>
        <v/>
      </c>
      <c r="E569" s="7">
        <f>'1 datos preparados'!D562</f>
        <v/>
      </c>
      <c r="F569" s="7">
        <f>'1 datos preparados'!E562</f>
        <v/>
      </c>
      <c r="G569" s="7">
        <f>'1 datos preparados'!F562</f>
        <v/>
      </c>
      <c r="H569" s="7">
        <f>'1 datos preparados'!G562</f>
        <v/>
      </c>
      <c r="I569" s="7">
        <f>'1 datos preparados'!H562</f>
        <v/>
      </c>
      <c r="J569" s="7">
        <f>'1 datos preparados'!I562</f>
        <v/>
      </c>
      <c r="K569" s="7">
        <f>'1 datos preparados'!J562</f>
        <v/>
      </c>
      <c r="L569" s="7">
        <f>'1 datos preparados'!K562</f>
        <v/>
      </c>
      <c r="M569" s="7">
        <f>'1 datos preparados'!L562</f>
        <v/>
      </c>
      <c r="N569" s="7">
        <f>'1 datos preparados'!M562</f>
        <v/>
      </c>
      <c r="O569" s="7">
        <f>'1 datos preparados'!N562</f>
        <v/>
      </c>
      <c r="P569" s="7">
        <f>'1 datos preparados'!O562</f>
        <v/>
      </c>
      <c r="Q569" s="7">
        <f>'1 datos preparados'!P562</f>
        <v/>
      </c>
      <c r="R569" s="7">
        <f>'1 datos preparados'!Q562</f>
        <v/>
      </c>
      <c r="S569" s="7">
        <f>'1 datos preparados'!R562</f>
        <v/>
      </c>
      <c r="T569" s="7">
        <f>'1 datos preparados'!S562</f>
        <v/>
      </c>
      <c r="U569" s="7">
        <f>'1 datos preparados'!T562</f>
        <v/>
      </c>
      <c r="V569" s="8">
        <f>$AE$12+D569*$AE$13+E569*$AE$14+F569*$AE$15+G569*$AE$16+H569*$AE$17+I569*$AE$18+J569*$AE$19+K569*$AE$20+L569*$AE$21+M569*$AE$22+N569*$AE$23+O569*$AE$24+P569*$AE$25+Q569*$AE$26+R569*$AE$27+S569*$AE$28+T569*$AE$29+U569*$AE$30</f>
        <v/>
      </c>
      <c r="W569" s="8">
        <f>1/(1+EXP(-V569))</f>
        <v/>
      </c>
      <c r="X569" s="9">
        <f>-IF(C569=1,LN(W569),LN(1-W569))</f>
        <v/>
      </c>
      <c r="Y569" s="8">
        <f>IF(C569=1,$AE$32,$AE$33)</f>
        <v/>
      </c>
      <c r="Z569" s="9">
        <f>Y569*X569</f>
        <v/>
      </c>
      <c r="AA569" s="10">
        <f>IF(W569&gt;$AE$34,1,0)</f>
        <v/>
      </c>
      <c r="AB569">
        <f>IF(AA569=C569,1,0)</f>
        <v/>
      </c>
    </row>
    <row r="570">
      <c r="A570">
        <f>'1 datos preparados'!A563</f>
        <v/>
      </c>
      <c r="B570" s="5">
        <f>'1 datos preparados'!U563</f>
        <v/>
      </c>
      <c r="C570">
        <f>'1 datos preparados'!B563</f>
        <v/>
      </c>
      <c r="D570" s="7">
        <f>'1 datos preparados'!C563</f>
        <v/>
      </c>
      <c r="E570" s="7">
        <f>'1 datos preparados'!D563</f>
        <v/>
      </c>
      <c r="F570" s="7">
        <f>'1 datos preparados'!E563</f>
        <v/>
      </c>
      <c r="G570" s="7">
        <f>'1 datos preparados'!F563</f>
        <v/>
      </c>
      <c r="H570" s="7">
        <f>'1 datos preparados'!G563</f>
        <v/>
      </c>
      <c r="I570" s="7">
        <f>'1 datos preparados'!H563</f>
        <v/>
      </c>
      <c r="J570" s="7">
        <f>'1 datos preparados'!I563</f>
        <v/>
      </c>
      <c r="K570" s="7">
        <f>'1 datos preparados'!J563</f>
        <v/>
      </c>
      <c r="L570" s="7">
        <f>'1 datos preparados'!K563</f>
        <v/>
      </c>
      <c r="M570" s="7">
        <f>'1 datos preparados'!L563</f>
        <v/>
      </c>
      <c r="N570" s="7">
        <f>'1 datos preparados'!M563</f>
        <v/>
      </c>
      <c r="O570" s="7">
        <f>'1 datos preparados'!N563</f>
        <v/>
      </c>
      <c r="P570" s="7">
        <f>'1 datos preparados'!O563</f>
        <v/>
      </c>
      <c r="Q570" s="7">
        <f>'1 datos preparados'!P563</f>
        <v/>
      </c>
      <c r="R570" s="7">
        <f>'1 datos preparados'!Q563</f>
        <v/>
      </c>
      <c r="S570" s="7">
        <f>'1 datos preparados'!R563</f>
        <v/>
      </c>
      <c r="T570" s="7">
        <f>'1 datos preparados'!S563</f>
        <v/>
      </c>
      <c r="U570" s="7">
        <f>'1 datos preparados'!T563</f>
        <v/>
      </c>
      <c r="V570" s="8">
        <f>$AE$12+D570*$AE$13+E570*$AE$14+F570*$AE$15+G570*$AE$16+H570*$AE$17+I570*$AE$18+J570*$AE$19+K570*$AE$20+L570*$AE$21+M570*$AE$22+N570*$AE$23+O570*$AE$24+P570*$AE$25+Q570*$AE$26+R570*$AE$27+S570*$AE$28+T570*$AE$29+U570*$AE$30</f>
        <v/>
      </c>
      <c r="W570" s="8">
        <f>1/(1+EXP(-V570))</f>
        <v/>
      </c>
      <c r="X570" s="9">
        <f>-IF(C570=1,LN(W570),LN(1-W570))</f>
        <v/>
      </c>
      <c r="Y570" s="8">
        <f>IF(C570=1,$AE$32,$AE$33)</f>
        <v/>
      </c>
      <c r="Z570" s="9">
        <f>Y570*X570</f>
        <v/>
      </c>
      <c r="AA570" s="10">
        <f>IF(W570&gt;$AE$34,1,0)</f>
        <v/>
      </c>
      <c r="AB570">
        <f>IF(AA570=C570,1,0)</f>
        <v/>
      </c>
    </row>
    <row r="571">
      <c r="A571">
        <f>'1 datos preparados'!A564</f>
        <v/>
      </c>
      <c r="B571" s="5">
        <f>'1 datos preparados'!U564</f>
        <v/>
      </c>
      <c r="C571">
        <f>'1 datos preparados'!B564</f>
        <v/>
      </c>
      <c r="D571" s="7">
        <f>'1 datos preparados'!C564</f>
        <v/>
      </c>
      <c r="E571" s="7">
        <f>'1 datos preparados'!D564</f>
        <v/>
      </c>
      <c r="F571" s="7">
        <f>'1 datos preparados'!E564</f>
        <v/>
      </c>
      <c r="G571" s="7">
        <f>'1 datos preparados'!F564</f>
        <v/>
      </c>
      <c r="H571" s="7">
        <f>'1 datos preparados'!G564</f>
        <v/>
      </c>
      <c r="I571" s="7">
        <f>'1 datos preparados'!H564</f>
        <v/>
      </c>
      <c r="J571" s="7">
        <f>'1 datos preparados'!I564</f>
        <v/>
      </c>
      <c r="K571" s="7">
        <f>'1 datos preparados'!J564</f>
        <v/>
      </c>
      <c r="L571" s="7">
        <f>'1 datos preparados'!K564</f>
        <v/>
      </c>
      <c r="M571" s="7">
        <f>'1 datos preparados'!L564</f>
        <v/>
      </c>
      <c r="N571" s="7">
        <f>'1 datos preparados'!M564</f>
        <v/>
      </c>
      <c r="O571" s="7">
        <f>'1 datos preparados'!N564</f>
        <v/>
      </c>
      <c r="P571" s="7">
        <f>'1 datos preparados'!O564</f>
        <v/>
      </c>
      <c r="Q571" s="7">
        <f>'1 datos preparados'!P564</f>
        <v/>
      </c>
      <c r="R571" s="7">
        <f>'1 datos preparados'!Q564</f>
        <v/>
      </c>
      <c r="S571" s="7">
        <f>'1 datos preparados'!R564</f>
        <v/>
      </c>
      <c r="T571" s="7">
        <f>'1 datos preparados'!S564</f>
        <v/>
      </c>
      <c r="U571" s="7">
        <f>'1 datos preparados'!T564</f>
        <v/>
      </c>
      <c r="V571" s="8">
        <f>$AE$12+D571*$AE$13+E571*$AE$14+F571*$AE$15+G571*$AE$16+H571*$AE$17+I571*$AE$18+J571*$AE$19+K571*$AE$20+L571*$AE$21+M571*$AE$22+N571*$AE$23+O571*$AE$24+P571*$AE$25+Q571*$AE$26+R571*$AE$27+S571*$AE$28+T571*$AE$29+U571*$AE$30</f>
        <v/>
      </c>
      <c r="W571" s="8">
        <f>1/(1+EXP(-V571))</f>
        <v/>
      </c>
      <c r="X571" s="9">
        <f>-IF(C571=1,LN(W571),LN(1-W571))</f>
        <v/>
      </c>
      <c r="Y571" s="8">
        <f>IF(C571=1,$AE$32,$AE$33)</f>
        <v/>
      </c>
      <c r="Z571" s="9">
        <f>Y571*X571</f>
        <v/>
      </c>
      <c r="AA571" s="10">
        <f>IF(W571&gt;$AE$34,1,0)</f>
        <v/>
      </c>
      <c r="AB571">
        <f>IF(AA571=C571,1,0)</f>
        <v/>
      </c>
    </row>
    <row r="572">
      <c r="A572">
        <f>'1 datos preparados'!A565</f>
        <v/>
      </c>
      <c r="B572" s="5">
        <f>'1 datos preparados'!U565</f>
        <v/>
      </c>
      <c r="C572">
        <f>'1 datos preparados'!B565</f>
        <v/>
      </c>
      <c r="D572" s="7">
        <f>'1 datos preparados'!C565</f>
        <v/>
      </c>
      <c r="E572" s="7">
        <f>'1 datos preparados'!D565</f>
        <v/>
      </c>
      <c r="F572" s="7">
        <f>'1 datos preparados'!E565</f>
        <v/>
      </c>
      <c r="G572" s="7">
        <f>'1 datos preparados'!F565</f>
        <v/>
      </c>
      <c r="H572" s="7">
        <f>'1 datos preparados'!G565</f>
        <v/>
      </c>
      <c r="I572" s="7">
        <f>'1 datos preparados'!H565</f>
        <v/>
      </c>
      <c r="J572" s="7">
        <f>'1 datos preparados'!I565</f>
        <v/>
      </c>
      <c r="K572" s="7">
        <f>'1 datos preparados'!J565</f>
        <v/>
      </c>
      <c r="L572" s="7">
        <f>'1 datos preparados'!K565</f>
        <v/>
      </c>
      <c r="M572" s="7">
        <f>'1 datos preparados'!L565</f>
        <v/>
      </c>
      <c r="N572" s="7">
        <f>'1 datos preparados'!M565</f>
        <v/>
      </c>
      <c r="O572" s="7">
        <f>'1 datos preparados'!N565</f>
        <v/>
      </c>
      <c r="P572" s="7">
        <f>'1 datos preparados'!O565</f>
        <v/>
      </c>
      <c r="Q572" s="7">
        <f>'1 datos preparados'!P565</f>
        <v/>
      </c>
      <c r="R572" s="7">
        <f>'1 datos preparados'!Q565</f>
        <v/>
      </c>
      <c r="S572" s="7">
        <f>'1 datos preparados'!R565</f>
        <v/>
      </c>
      <c r="T572" s="7">
        <f>'1 datos preparados'!S565</f>
        <v/>
      </c>
      <c r="U572" s="7">
        <f>'1 datos preparados'!T565</f>
        <v/>
      </c>
      <c r="V572" s="8">
        <f>$AE$12+D572*$AE$13+E572*$AE$14+F572*$AE$15+G572*$AE$16+H572*$AE$17+I572*$AE$18+J572*$AE$19+K572*$AE$20+L572*$AE$21+M572*$AE$22+N572*$AE$23+O572*$AE$24+P572*$AE$25+Q572*$AE$26+R572*$AE$27+S572*$AE$28+T572*$AE$29+U572*$AE$30</f>
        <v/>
      </c>
      <c r="W572" s="8">
        <f>1/(1+EXP(-V572))</f>
        <v/>
      </c>
      <c r="X572" s="9">
        <f>-IF(C572=1,LN(W572),LN(1-W572))</f>
        <v/>
      </c>
      <c r="Y572" s="8">
        <f>IF(C572=1,$AE$32,$AE$33)</f>
        <v/>
      </c>
      <c r="Z572" s="9">
        <f>Y572*X572</f>
        <v/>
      </c>
      <c r="AA572" s="10">
        <f>IF(W572&gt;$AE$34,1,0)</f>
        <v/>
      </c>
      <c r="AB572">
        <f>IF(AA572=C572,1,0)</f>
        <v/>
      </c>
    </row>
    <row r="573">
      <c r="A573">
        <f>'1 datos preparados'!A566</f>
        <v/>
      </c>
      <c r="B573" s="5">
        <f>'1 datos preparados'!U566</f>
        <v/>
      </c>
      <c r="C573">
        <f>'1 datos preparados'!B566</f>
        <v/>
      </c>
      <c r="D573" s="7">
        <f>'1 datos preparados'!C566</f>
        <v/>
      </c>
      <c r="E573" s="7">
        <f>'1 datos preparados'!D566</f>
        <v/>
      </c>
      <c r="F573" s="7">
        <f>'1 datos preparados'!E566</f>
        <v/>
      </c>
      <c r="G573" s="7">
        <f>'1 datos preparados'!F566</f>
        <v/>
      </c>
      <c r="H573" s="7">
        <f>'1 datos preparados'!G566</f>
        <v/>
      </c>
      <c r="I573" s="7">
        <f>'1 datos preparados'!H566</f>
        <v/>
      </c>
      <c r="J573" s="7">
        <f>'1 datos preparados'!I566</f>
        <v/>
      </c>
      <c r="K573" s="7">
        <f>'1 datos preparados'!J566</f>
        <v/>
      </c>
      <c r="L573" s="7">
        <f>'1 datos preparados'!K566</f>
        <v/>
      </c>
      <c r="M573" s="7">
        <f>'1 datos preparados'!L566</f>
        <v/>
      </c>
      <c r="N573" s="7">
        <f>'1 datos preparados'!M566</f>
        <v/>
      </c>
      <c r="O573" s="7">
        <f>'1 datos preparados'!N566</f>
        <v/>
      </c>
      <c r="P573" s="7">
        <f>'1 datos preparados'!O566</f>
        <v/>
      </c>
      <c r="Q573" s="7">
        <f>'1 datos preparados'!P566</f>
        <v/>
      </c>
      <c r="R573" s="7">
        <f>'1 datos preparados'!Q566</f>
        <v/>
      </c>
      <c r="S573" s="7">
        <f>'1 datos preparados'!R566</f>
        <v/>
      </c>
      <c r="T573" s="7">
        <f>'1 datos preparados'!S566</f>
        <v/>
      </c>
      <c r="U573" s="7">
        <f>'1 datos preparados'!T566</f>
        <v/>
      </c>
      <c r="V573" s="8">
        <f>$AE$12+D573*$AE$13+E573*$AE$14+F573*$AE$15+G573*$AE$16+H573*$AE$17+I573*$AE$18+J573*$AE$19+K573*$AE$20+L573*$AE$21+M573*$AE$22+N573*$AE$23+O573*$AE$24+P573*$AE$25+Q573*$AE$26+R573*$AE$27+S573*$AE$28+T573*$AE$29+U573*$AE$30</f>
        <v/>
      </c>
      <c r="W573" s="8">
        <f>1/(1+EXP(-V573))</f>
        <v/>
      </c>
      <c r="X573" s="9">
        <f>-IF(C573=1,LN(W573),LN(1-W573))</f>
        <v/>
      </c>
      <c r="Y573" s="8">
        <f>IF(C573=1,$AE$32,$AE$33)</f>
        <v/>
      </c>
      <c r="Z573" s="9">
        <f>Y573*X573</f>
        <v/>
      </c>
      <c r="AA573" s="10">
        <f>IF(W573&gt;$AE$34,1,0)</f>
        <v/>
      </c>
      <c r="AB573">
        <f>IF(AA573=C573,1,0)</f>
        <v/>
      </c>
    </row>
    <row r="574">
      <c r="A574">
        <f>'1 datos preparados'!A567</f>
        <v/>
      </c>
      <c r="B574" s="5">
        <f>'1 datos preparados'!U567</f>
        <v/>
      </c>
      <c r="C574">
        <f>'1 datos preparados'!B567</f>
        <v/>
      </c>
      <c r="D574" s="7">
        <f>'1 datos preparados'!C567</f>
        <v/>
      </c>
      <c r="E574" s="7">
        <f>'1 datos preparados'!D567</f>
        <v/>
      </c>
      <c r="F574" s="7">
        <f>'1 datos preparados'!E567</f>
        <v/>
      </c>
      <c r="G574" s="7">
        <f>'1 datos preparados'!F567</f>
        <v/>
      </c>
      <c r="H574" s="7">
        <f>'1 datos preparados'!G567</f>
        <v/>
      </c>
      <c r="I574" s="7">
        <f>'1 datos preparados'!H567</f>
        <v/>
      </c>
      <c r="J574" s="7">
        <f>'1 datos preparados'!I567</f>
        <v/>
      </c>
      <c r="K574" s="7">
        <f>'1 datos preparados'!J567</f>
        <v/>
      </c>
      <c r="L574" s="7">
        <f>'1 datos preparados'!K567</f>
        <v/>
      </c>
      <c r="M574" s="7">
        <f>'1 datos preparados'!L567</f>
        <v/>
      </c>
      <c r="N574" s="7">
        <f>'1 datos preparados'!M567</f>
        <v/>
      </c>
      <c r="O574" s="7">
        <f>'1 datos preparados'!N567</f>
        <v/>
      </c>
      <c r="P574" s="7">
        <f>'1 datos preparados'!O567</f>
        <v/>
      </c>
      <c r="Q574" s="7">
        <f>'1 datos preparados'!P567</f>
        <v/>
      </c>
      <c r="R574" s="7">
        <f>'1 datos preparados'!Q567</f>
        <v/>
      </c>
      <c r="S574" s="7">
        <f>'1 datos preparados'!R567</f>
        <v/>
      </c>
      <c r="T574" s="7">
        <f>'1 datos preparados'!S567</f>
        <v/>
      </c>
      <c r="U574" s="7">
        <f>'1 datos preparados'!T567</f>
        <v/>
      </c>
      <c r="V574" s="8">
        <f>$AE$12+D574*$AE$13+E574*$AE$14+F574*$AE$15+G574*$AE$16+H574*$AE$17+I574*$AE$18+J574*$AE$19+K574*$AE$20+L574*$AE$21+M574*$AE$22+N574*$AE$23+O574*$AE$24+P574*$AE$25+Q574*$AE$26+R574*$AE$27+S574*$AE$28+T574*$AE$29+U574*$AE$30</f>
        <v/>
      </c>
      <c r="W574" s="8">
        <f>1/(1+EXP(-V574))</f>
        <v/>
      </c>
      <c r="X574" s="9">
        <f>-IF(C574=1,LN(W574),LN(1-W574))</f>
        <v/>
      </c>
      <c r="Y574" s="8">
        <f>IF(C574=1,$AE$32,$AE$33)</f>
        <v/>
      </c>
      <c r="Z574" s="9">
        <f>Y574*X574</f>
        <v/>
      </c>
      <c r="AA574" s="10">
        <f>IF(W574&gt;$AE$34,1,0)</f>
        <v/>
      </c>
      <c r="AB574">
        <f>IF(AA574=C574,1,0)</f>
        <v/>
      </c>
    </row>
    <row r="575">
      <c r="A575">
        <f>'1 datos preparados'!A568</f>
        <v/>
      </c>
      <c r="B575" s="5">
        <f>'1 datos preparados'!U568</f>
        <v/>
      </c>
      <c r="C575">
        <f>'1 datos preparados'!B568</f>
        <v/>
      </c>
      <c r="D575" s="7">
        <f>'1 datos preparados'!C568</f>
        <v/>
      </c>
      <c r="E575" s="7">
        <f>'1 datos preparados'!D568</f>
        <v/>
      </c>
      <c r="F575" s="7">
        <f>'1 datos preparados'!E568</f>
        <v/>
      </c>
      <c r="G575" s="7">
        <f>'1 datos preparados'!F568</f>
        <v/>
      </c>
      <c r="H575" s="7">
        <f>'1 datos preparados'!G568</f>
        <v/>
      </c>
      <c r="I575" s="7">
        <f>'1 datos preparados'!H568</f>
        <v/>
      </c>
      <c r="J575" s="7">
        <f>'1 datos preparados'!I568</f>
        <v/>
      </c>
      <c r="K575" s="7">
        <f>'1 datos preparados'!J568</f>
        <v/>
      </c>
      <c r="L575" s="7">
        <f>'1 datos preparados'!K568</f>
        <v/>
      </c>
      <c r="M575" s="7">
        <f>'1 datos preparados'!L568</f>
        <v/>
      </c>
      <c r="N575" s="7">
        <f>'1 datos preparados'!M568</f>
        <v/>
      </c>
      <c r="O575" s="7">
        <f>'1 datos preparados'!N568</f>
        <v/>
      </c>
      <c r="P575" s="7">
        <f>'1 datos preparados'!O568</f>
        <v/>
      </c>
      <c r="Q575" s="7">
        <f>'1 datos preparados'!P568</f>
        <v/>
      </c>
      <c r="R575" s="7">
        <f>'1 datos preparados'!Q568</f>
        <v/>
      </c>
      <c r="S575" s="7">
        <f>'1 datos preparados'!R568</f>
        <v/>
      </c>
      <c r="T575" s="7">
        <f>'1 datos preparados'!S568</f>
        <v/>
      </c>
      <c r="U575" s="7">
        <f>'1 datos preparados'!T568</f>
        <v/>
      </c>
      <c r="V575" s="8">
        <f>$AE$12+D575*$AE$13+E575*$AE$14+F575*$AE$15+G575*$AE$16+H575*$AE$17+I575*$AE$18+J575*$AE$19+K575*$AE$20+L575*$AE$21+M575*$AE$22+N575*$AE$23+O575*$AE$24+P575*$AE$25+Q575*$AE$26+R575*$AE$27+S575*$AE$28+T575*$AE$29+U575*$AE$30</f>
        <v/>
      </c>
      <c r="W575" s="8">
        <f>1/(1+EXP(-V575))</f>
        <v/>
      </c>
      <c r="X575" s="9">
        <f>-IF(C575=1,LN(W575),LN(1-W575))</f>
        <v/>
      </c>
      <c r="Y575" s="8">
        <f>IF(C575=1,$AE$32,$AE$33)</f>
        <v/>
      </c>
      <c r="Z575" s="9">
        <f>Y575*X575</f>
        <v/>
      </c>
      <c r="AA575" s="10">
        <f>IF(W575&gt;$AE$34,1,0)</f>
        <v/>
      </c>
      <c r="AB575">
        <f>IF(AA575=C575,1,0)</f>
        <v/>
      </c>
    </row>
    <row r="576">
      <c r="A576">
        <f>'1 datos preparados'!A569</f>
        <v/>
      </c>
      <c r="B576" s="5">
        <f>'1 datos preparados'!U569</f>
        <v/>
      </c>
      <c r="C576">
        <f>'1 datos preparados'!B569</f>
        <v/>
      </c>
      <c r="D576" s="7">
        <f>'1 datos preparados'!C569</f>
        <v/>
      </c>
      <c r="E576" s="7">
        <f>'1 datos preparados'!D569</f>
        <v/>
      </c>
      <c r="F576" s="7">
        <f>'1 datos preparados'!E569</f>
        <v/>
      </c>
      <c r="G576" s="7">
        <f>'1 datos preparados'!F569</f>
        <v/>
      </c>
      <c r="H576" s="7">
        <f>'1 datos preparados'!G569</f>
        <v/>
      </c>
      <c r="I576" s="7">
        <f>'1 datos preparados'!H569</f>
        <v/>
      </c>
      <c r="J576" s="7">
        <f>'1 datos preparados'!I569</f>
        <v/>
      </c>
      <c r="K576" s="7">
        <f>'1 datos preparados'!J569</f>
        <v/>
      </c>
      <c r="L576" s="7">
        <f>'1 datos preparados'!K569</f>
        <v/>
      </c>
      <c r="M576" s="7">
        <f>'1 datos preparados'!L569</f>
        <v/>
      </c>
      <c r="N576" s="7">
        <f>'1 datos preparados'!M569</f>
        <v/>
      </c>
      <c r="O576" s="7">
        <f>'1 datos preparados'!N569</f>
        <v/>
      </c>
      <c r="P576" s="7">
        <f>'1 datos preparados'!O569</f>
        <v/>
      </c>
      <c r="Q576" s="7">
        <f>'1 datos preparados'!P569</f>
        <v/>
      </c>
      <c r="R576" s="7">
        <f>'1 datos preparados'!Q569</f>
        <v/>
      </c>
      <c r="S576" s="7">
        <f>'1 datos preparados'!R569</f>
        <v/>
      </c>
      <c r="T576" s="7">
        <f>'1 datos preparados'!S569</f>
        <v/>
      </c>
      <c r="U576" s="7">
        <f>'1 datos preparados'!T569</f>
        <v/>
      </c>
      <c r="V576" s="8">
        <f>$AE$12+D576*$AE$13+E576*$AE$14+F576*$AE$15+G576*$AE$16+H576*$AE$17+I576*$AE$18+J576*$AE$19+K576*$AE$20+L576*$AE$21+M576*$AE$22+N576*$AE$23+O576*$AE$24+P576*$AE$25+Q576*$AE$26+R576*$AE$27+S576*$AE$28+T576*$AE$29+U576*$AE$30</f>
        <v/>
      </c>
      <c r="W576" s="8">
        <f>1/(1+EXP(-V576))</f>
        <v/>
      </c>
      <c r="X576" s="9">
        <f>-IF(C576=1,LN(W576),LN(1-W576))</f>
        <v/>
      </c>
      <c r="Y576" s="8">
        <f>IF(C576=1,$AE$32,$AE$33)</f>
        <v/>
      </c>
      <c r="Z576" s="9">
        <f>Y576*X576</f>
        <v/>
      </c>
      <c r="AA576" s="10">
        <f>IF(W576&gt;$AE$34,1,0)</f>
        <v/>
      </c>
      <c r="AB576">
        <f>IF(AA576=C576,1,0)</f>
        <v/>
      </c>
    </row>
    <row r="577">
      <c r="A577">
        <f>'1 datos preparados'!A570</f>
        <v/>
      </c>
      <c r="B577" s="5">
        <f>'1 datos preparados'!U570</f>
        <v/>
      </c>
      <c r="C577">
        <f>'1 datos preparados'!B570</f>
        <v/>
      </c>
      <c r="D577" s="7">
        <f>'1 datos preparados'!C570</f>
        <v/>
      </c>
      <c r="E577" s="7">
        <f>'1 datos preparados'!D570</f>
        <v/>
      </c>
      <c r="F577" s="7">
        <f>'1 datos preparados'!E570</f>
        <v/>
      </c>
      <c r="G577" s="7">
        <f>'1 datos preparados'!F570</f>
        <v/>
      </c>
      <c r="H577" s="7">
        <f>'1 datos preparados'!G570</f>
        <v/>
      </c>
      <c r="I577" s="7">
        <f>'1 datos preparados'!H570</f>
        <v/>
      </c>
      <c r="J577" s="7">
        <f>'1 datos preparados'!I570</f>
        <v/>
      </c>
      <c r="K577" s="7">
        <f>'1 datos preparados'!J570</f>
        <v/>
      </c>
      <c r="L577" s="7">
        <f>'1 datos preparados'!K570</f>
        <v/>
      </c>
      <c r="M577" s="7">
        <f>'1 datos preparados'!L570</f>
        <v/>
      </c>
      <c r="N577" s="7">
        <f>'1 datos preparados'!M570</f>
        <v/>
      </c>
      <c r="O577" s="7">
        <f>'1 datos preparados'!N570</f>
        <v/>
      </c>
      <c r="P577" s="7">
        <f>'1 datos preparados'!O570</f>
        <v/>
      </c>
      <c r="Q577" s="7">
        <f>'1 datos preparados'!P570</f>
        <v/>
      </c>
      <c r="R577" s="7">
        <f>'1 datos preparados'!Q570</f>
        <v/>
      </c>
      <c r="S577" s="7">
        <f>'1 datos preparados'!R570</f>
        <v/>
      </c>
      <c r="T577" s="7">
        <f>'1 datos preparados'!S570</f>
        <v/>
      </c>
      <c r="U577" s="7">
        <f>'1 datos preparados'!T570</f>
        <v/>
      </c>
      <c r="V577" s="8">
        <f>$AE$12+D577*$AE$13+E577*$AE$14+F577*$AE$15+G577*$AE$16+H577*$AE$17+I577*$AE$18+J577*$AE$19+K577*$AE$20+L577*$AE$21+M577*$AE$22+N577*$AE$23+O577*$AE$24+P577*$AE$25+Q577*$AE$26+R577*$AE$27+S577*$AE$28+T577*$AE$29+U577*$AE$30</f>
        <v/>
      </c>
      <c r="W577" s="8">
        <f>1/(1+EXP(-V577))</f>
        <v/>
      </c>
      <c r="X577" s="9">
        <f>-IF(C577=1,LN(W577),LN(1-W577))</f>
        <v/>
      </c>
      <c r="Y577" s="8">
        <f>IF(C577=1,$AE$32,$AE$33)</f>
        <v/>
      </c>
      <c r="Z577" s="9">
        <f>Y577*X577</f>
        <v/>
      </c>
      <c r="AA577" s="10">
        <f>IF(W577&gt;$AE$34,1,0)</f>
        <v/>
      </c>
      <c r="AB577">
        <f>IF(AA577=C577,1,0)</f>
        <v/>
      </c>
    </row>
    <row r="578">
      <c r="A578">
        <f>'1 datos preparados'!A571</f>
        <v/>
      </c>
      <c r="B578" s="5">
        <f>'1 datos preparados'!U571</f>
        <v/>
      </c>
      <c r="C578">
        <f>'1 datos preparados'!B571</f>
        <v/>
      </c>
      <c r="D578" s="7">
        <f>'1 datos preparados'!C571</f>
        <v/>
      </c>
      <c r="E578" s="7">
        <f>'1 datos preparados'!D571</f>
        <v/>
      </c>
      <c r="F578" s="7">
        <f>'1 datos preparados'!E571</f>
        <v/>
      </c>
      <c r="G578" s="7">
        <f>'1 datos preparados'!F571</f>
        <v/>
      </c>
      <c r="H578" s="7">
        <f>'1 datos preparados'!G571</f>
        <v/>
      </c>
      <c r="I578" s="7">
        <f>'1 datos preparados'!H571</f>
        <v/>
      </c>
      <c r="J578" s="7">
        <f>'1 datos preparados'!I571</f>
        <v/>
      </c>
      <c r="K578" s="7">
        <f>'1 datos preparados'!J571</f>
        <v/>
      </c>
      <c r="L578" s="7">
        <f>'1 datos preparados'!K571</f>
        <v/>
      </c>
      <c r="M578" s="7">
        <f>'1 datos preparados'!L571</f>
        <v/>
      </c>
      <c r="N578" s="7">
        <f>'1 datos preparados'!M571</f>
        <v/>
      </c>
      <c r="O578" s="7">
        <f>'1 datos preparados'!N571</f>
        <v/>
      </c>
      <c r="P578" s="7">
        <f>'1 datos preparados'!O571</f>
        <v/>
      </c>
      <c r="Q578" s="7">
        <f>'1 datos preparados'!P571</f>
        <v/>
      </c>
      <c r="R578" s="7">
        <f>'1 datos preparados'!Q571</f>
        <v/>
      </c>
      <c r="S578" s="7">
        <f>'1 datos preparados'!R571</f>
        <v/>
      </c>
      <c r="T578" s="7">
        <f>'1 datos preparados'!S571</f>
        <v/>
      </c>
      <c r="U578" s="7">
        <f>'1 datos preparados'!T571</f>
        <v/>
      </c>
      <c r="V578" s="8">
        <f>$AE$12+D578*$AE$13+E578*$AE$14+F578*$AE$15+G578*$AE$16+H578*$AE$17+I578*$AE$18+J578*$AE$19+K578*$AE$20+L578*$AE$21+M578*$AE$22+N578*$AE$23+O578*$AE$24+P578*$AE$25+Q578*$AE$26+R578*$AE$27+S578*$AE$28+T578*$AE$29+U578*$AE$30</f>
        <v/>
      </c>
      <c r="W578" s="8">
        <f>1/(1+EXP(-V578))</f>
        <v/>
      </c>
      <c r="X578" s="9">
        <f>-IF(C578=1,LN(W578),LN(1-W578))</f>
        <v/>
      </c>
      <c r="Y578" s="8">
        <f>IF(C578=1,$AE$32,$AE$33)</f>
        <v/>
      </c>
      <c r="Z578" s="9">
        <f>Y578*X578</f>
        <v/>
      </c>
      <c r="AA578" s="10">
        <f>IF(W578&gt;$AE$34,1,0)</f>
        <v/>
      </c>
      <c r="AB578">
        <f>IF(AA578=C578,1,0)</f>
        <v/>
      </c>
    </row>
    <row r="579">
      <c r="A579">
        <f>'1 datos preparados'!A572</f>
        <v/>
      </c>
      <c r="B579" s="5">
        <f>'1 datos preparados'!U572</f>
        <v/>
      </c>
      <c r="C579">
        <f>'1 datos preparados'!B572</f>
        <v/>
      </c>
      <c r="D579" s="7">
        <f>'1 datos preparados'!C572</f>
        <v/>
      </c>
      <c r="E579" s="7">
        <f>'1 datos preparados'!D572</f>
        <v/>
      </c>
      <c r="F579" s="7">
        <f>'1 datos preparados'!E572</f>
        <v/>
      </c>
      <c r="G579" s="7">
        <f>'1 datos preparados'!F572</f>
        <v/>
      </c>
      <c r="H579" s="7">
        <f>'1 datos preparados'!G572</f>
        <v/>
      </c>
      <c r="I579" s="7">
        <f>'1 datos preparados'!H572</f>
        <v/>
      </c>
      <c r="J579" s="7">
        <f>'1 datos preparados'!I572</f>
        <v/>
      </c>
      <c r="K579" s="7">
        <f>'1 datos preparados'!J572</f>
        <v/>
      </c>
      <c r="L579" s="7">
        <f>'1 datos preparados'!K572</f>
        <v/>
      </c>
      <c r="M579" s="7">
        <f>'1 datos preparados'!L572</f>
        <v/>
      </c>
      <c r="N579" s="7">
        <f>'1 datos preparados'!M572</f>
        <v/>
      </c>
      <c r="O579" s="7">
        <f>'1 datos preparados'!N572</f>
        <v/>
      </c>
      <c r="P579" s="7">
        <f>'1 datos preparados'!O572</f>
        <v/>
      </c>
      <c r="Q579" s="7">
        <f>'1 datos preparados'!P572</f>
        <v/>
      </c>
      <c r="R579" s="7">
        <f>'1 datos preparados'!Q572</f>
        <v/>
      </c>
      <c r="S579" s="7">
        <f>'1 datos preparados'!R572</f>
        <v/>
      </c>
      <c r="T579" s="7">
        <f>'1 datos preparados'!S572</f>
        <v/>
      </c>
      <c r="U579" s="7">
        <f>'1 datos preparados'!T572</f>
        <v/>
      </c>
      <c r="V579" s="8">
        <f>$AE$12+D579*$AE$13+E579*$AE$14+F579*$AE$15+G579*$AE$16+H579*$AE$17+I579*$AE$18+J579*$AE$19+K579*$AE$20+L579*$AE$21+M579*$AE$22+N579*$AE$23+O579*$AE$24+P579*$AE$25+Q579*$AE$26+R579*$AE$27+S579*$AE$28+T579*$AE$29+U579*$AE$30</f>
        <v/>
      </c>
      <c r="W579" s="8">
        <f>1/(1+EXP(-V579))</f>
        <v/>
      </c>
      <c r="X579" s="9">
        <f>-IF(C579=1,LN(W579),LN(1-W579))</f>
        <v/>
      </c>
      <c r="Y579" s="8">
        <f>IF(C579=1,$AE$32,$AE$33)</f>
        <v/>
      </c>
      <c r="Z579" s="9">
        <f>Y579*X579</f>
        <v/>
      </c>
      <c r="AA579" s="10">
        <f>IF(W579&gt;$AE$34,1,0)</f>
        <v/>
      </c>
      <c r="AB579">
        <f>IF(AA579=C579,1,0)</f>
        <v/>
      </c>
    </row>
    <row r="580">
      <c r="A580">
        <f>'1 datos preparados'!A573</f>
        <v/>
      </c>
      <c r="B580" s="5">
        <f>'1 datos preparados'!U573</f>
        <v/>
      </c>
      <c r="C580">
        <f>'1 datos preparados'!B573</f>
        <v/>
      </c>
      <c r="D580" s="7">
        <f>'1 datos preparados'!C573</f>
        <v/>
      </c>
      <c r="E580" s="7">
        <f>'1 datos preparados'!D573</f>
        <v/>
      </c>
      <c r="F580" s="7">
        <f>'1 datos preparados'!E573</f>
        <v/>
      </c>
      <c r="G580" s="7">
        <f>'1 datos preparados'!F573</f>
        <v/>
      </c>
      <c r="H580" s="7">
        <f>'1 datos preparados'!G573</f>
        <v/>
      </c>
      <c r="I580" s="7">
        <f>'1 datos preparados'!H573</f>
        <v/>
      </c>
      <c r="J580" s="7">
        <f>'1 datos preparados'!I573</f>
        <v/>
      </c>
      <c r="K580" s="7">
        <f>'1 datos preparados'!J573</f>
        <v/>
      </c>
      <c r="L580" s="7">
        <f>'1 datos preparados'!K573</f>
        <v/>
      </c>
      <c r="M580" s="7">
        <f>'1 datos preparados'!L573</f>
        <v/>
      </c>
      <c r="N580" s="7">
        <f>'1 datos preparados'!M573</f>
        <v/>
      </c>
      <c r="O580" s="7">
        <f>'1 datos preparados'!N573</f>
        <v/>
      </c>
      <c r="P580" s="7">
        <f>'1 datos preparados'!O573</f>
        <v/>
      </c>
      <c r="Q580" s="7">
        <f>'1 datos preparados'!P573</f>
        <v/>
      </c>
      <c r="R580" s="7">
        <f>'1 datos preparados'!Q573</f>
        <v/>
      </c>
      <c r="S580" s="7">
        <f>'1 datos preparados'!R573</f>
        <v/>
      </c>
      <c r="T580" s="7">
        <f>'1 datos preparados'!S573</f>
        <v/>
      </c>
      <c r="U580" s="7">
        <f>'1 datos preparados'!T573</f>
        <v/>
      </c>
      <c r="V580" s="8">
        <f>$AE$12+D580*$AE$13+E580*$AE$14+F580*$AE$15+G580*$AE$16+H580*$AE$17+I580*$AE$18+J580*$AE$19+K580*$AE$20+L580*$AE$21+M580*$AE$22+N580*$AE$23+O580*$AE$24+P580*$AE$25+Q580*$AE$26+R580*$AE$27+S580*$AE$28+T580*$AE$29+U580*$AE$30</f>
        <v/>
      </c>
      <c r="W580" s="8">
        <f>1/(1+EXP(-V580))</f>
        <v/>
      </c>
      <c r="X580" s="9">
        <f>-IF(C580=1,LN(W580),LN(1-W580))</f>
        <v/>
      </c>
      <c r="Y580" s="8">
        <f>IF(C580=1,$AE$32,$AE$33)</f>
        <v/>
      </c>
      <c r="Z580" s="9">
        <f>Y580*X580</f>
        <v/>
      </c>
      <c r="AA580" s="10">
        <f>IF(W580&gt;$AE$34,1,0)</f>
        <v/>
      </c>
      <c r="AB580">
        <f>IF(AA580=C580,1,0)</f>
        <v/>
      </c>
    </row>
    <row r="581">
      <c r="A581">
        <f>'1 datos preparados'!A574</f>
        <v/>
      </c>
      <c r="B581" s="5">
        <f>'1 datos preparados'!U574</f>
        <v/>
      </c>
      <c r="C581">
        <f>'1 datos preparados'!B574</f>
        <v/>
      </c>
      <c r="D581" s="7">
        <f>'1 datos preparados'!C574</f>
        <v/>
      </c>
      <c r="E581" s="7">
        <f>'1 datos preparados'!D574</f>
        <v/>
      </c>
      <c r="F581" s="7">
        <f>'1 datos preparados'!E574</f>
        <v/>
      </c>
      <c r="G581" s="7">
        <f>'1 datos preparados'!F574</f>
        <v/>
      </c>
      <c r="H581" s="7">
        <f>'1 datos preparados'!G574</f>
        <v/>
      </c>
      <c r="I581" s="7">
        <f>'1 datos preparados'!H574</f>
        <v/>
      </c>
      <c r="J581" s="7">
        <f>'1 datos preparados'!I574</f>
        <v/>
      </c>
      <c r="K581" s="7">
        <f>'1 datos preparados'!J574</f>
        <v/>
      </c>
      <c r="L581" s="7">
        <f>'1 datos preparados'!K574</f>
        <v/>
      </c>
      <c r="M581" s="7">
        <f>'1 datos preparados'!L574</f>
        <v/>
      </c>
      <c r="N581" s="7">
        <f>'1 datos preparados'!M574</f>
        <v/>
      </c>
      <c r="O581" s="7">
        <f>'1 datos preparados'!N574</f>
        <v/>
      </c>
      <c r="P581" s="7">
        <f>'1 datos preparados'!O574</f>
        <v/>
      </c>
      <c r="Q581" s="7">
        <f>'1 datos preparados'!P574</f>
        <v/>
      </c>
      <c r="R581" s="7">
        <f>'1 datos preparados'!Q574</f>
        <v/>
      </c>
      <c r="S581" s="7">
        <f>'1 datos preparados'!R574</f>
        <v/>
      </c>
      <c r="T581" s="7">
        <f>'1 datos preparados'!S574</f>
        <v/>
      </c>
      <c r="U581" s="7">
        <f>'1 datos preparados'!T574</f>
        <v/>
      </c>
      <c r="V581" s="8">
        <f>$AE$12+D581*$AE$13+E581*$AE$14+F581*$AE$15+G581*$AE$16+H581*$AE$17+I581*$AE$18+J581*$AE$19+K581*$AE$20+L581*$AE$21+M581*$AE$22+N581*$AE$23+O581*$AE$24+P581*$AE$25+Q581*$AE$26+R581*$AE$27+S581*$AE$28+T581*$AE$29+U581*$AE$30</f>
        <v/>
      </c>
      <c r="W581" s="8">
        <f>1/(1+EXP(-V581))</f>
        <v/>
      </c>
      <c r="X581" s="9">
        <f>-IF(C581=1,LN(W581),LN(1-W581))</f>
        <v/>
      </c>
      <c r="Y581" s="8">
        <f>IF(C581=1,$AE$32,$AE$33)</f>
        <v/>
      </c>
      <c r="Z581" s="9">
        <f>Y581*X581</f>
        <v/>
      </c>
      <c r="AA581" s="10">
        <f>IF(W581&gt;$AE$34,1,0)</f>
        <v/>
      </c>
      <c r="AB581">
        <f>IF(AA581=C581,1,0)</f>
        <v/>
      </c>
    </row>
    <row r="582">
      <c r="A582">
        <f>'1 datos preparados'!A575</f>
        <v/>
      </c>
      <c r="B582" s="5">
        <f>'1 datos preparados'!U575</f>
        <v/>
      </c>
      <c r="C582">
        <f>'1 datos preparados'!B575</f>
        <v/>
      </c>
      <c r="D582" s="7">
        <f>'1 datos preparados'!C575</f>
        <v/>
      </c>
      <c r="E582" s="7">
        <f>'1 datos preparados'!D575</f>
        <v/>
      </c>
      <c r="F582" s="7">
        <f>'1 datos preparados'!E575</f>
        <v/>
      </c>
      <c r="G582" s="7">
        <f>'1 datos preparados'!F575</f>
        <v/>
      </c>
      <c r="H582" s="7">
        <f>'1 datos preparados'!G575</f>
        <v/>
      </c>
      <c r="I582" s="7">
        <f>'1 datos preparados'!H575</f>
        <v/>
      </c>
      <c r="J582" s="7">
        <f>'1 datos preparados'!I575</f>
        <v/>
      </c>
      <c r="K582" s="7">
        <f>'1 datos preparados'!J575</f>
        <v/>
      </c>
      <c r="L582" s="7">
        <f>'1 datos preparados'!K575</f>
        <v/>
      </c>
      <c r="M582" s="7">
        <f>'1 datos preparados'!L575</f>
        <v/>
      </c>
      <c r="N582" s="7">
        <f>'1 datos preparados'!M575</f>
        <v/>
      </c>
      <c r="O582" s="7">
        <f>'1 datos preparados'!N575</f>
        <v/>
      </c>
      <c r="P582" s="7">
        <f>'1 datos preparados'!O575</f>
        <v/>
      </c>
      <c r="Q582" s="7">
        <f>'1 datos preparados'!P575</f>
        <v/>
      </c>
      <c r="R582" s="7">
        <f>'1 datos preparados'!Q575</f>
        <v/>
      </c>
      <c r="S582" s="7">
        <f>'1 datos preparados'!R575</f>
        <v/>
      </c>
      <c r="T582" s="7">
        <f>'1 datos preparados'!S575</f>
        <v/>
      </c>
      <c r="U582" s="7">
        <f>'1 datos preparados'!T575</f>
        <v/>
      </c>
      <c r="V582" s="8">
        <f>$AE$12+D582*$AE$13+E582*$AE$14+F582*$AE$15+G582*$AE$16+H582*$AE$17+I582*$AE$18+J582*$AE$19+K582*$AE$20+L582*$AE$21+M582*$AE$22+N582*$AE$23+O582*$AE$24+P582*$AE$25+Q582*$AE$26+R582*$AE$27+S582*$AE$28+T582*$AE$29+U582*$AE$30</f>
        <v/>
      </c>
      <c r="W582" s="8">
        <f>1/(1+EXP(-V582))</f>
        <v/>
      </c>
      <c r="X582" s="9">
        <f>-IF(C582=1,LN(W582),LN(1-W582))</f>
        <v/>
      </c>
      <c r="Y582" s="8">
        <f>IF(C582=1,$AE$32,$AE$33)</f>
        <v/>
      </c>
      <c r="Z582" s="9">
        <f>Y582*X582</f>
        <v/>
      </c>
      <c r="AA582" s="10">
        <f>IF(W582&gt;$AE$34,1,0)</f>
        <v/>
      </c>
      <c r="AB582">
        <f>IF(AA582=C582,1,0)</f>
        <v/>
      </c>
    </row>
    <row r="583">
      <c r="A583">
        <f>'1 datos preparados'!A576</f>
        <v/>
      </c>
      <c r="B583" s="5">
        <f>'1 datos preparados'!U576</f>
        <v/>
      </c>
      <c r="C583">
        <f>'1 datos preparados'!B576</f>
        <v/>
      </c>
      <c r="D583" s="7">
        <f>'1 datos preparados'!C576</f>
        <v/>
      </c>
      <c r="E583" s="7">
        <f>'1 datos preparados'!D576</f>
        <v/>
      </c>
      <c r="F583" s="7">
        <f>'1 datos preparados'!E576</f>
        <v/>
      </c>
      <c r="G583" s="7">
        <f>'1 datos preparados'!F576</f>
        <v/>
      </c>
      <c r="H583" s="7">
        <f>'1 datos preparados'!G576</f>
        <v/>
      </c>
      <c r="I583" s="7">
        <f>'1 datos preparados'!H576</f>
        <v/>
      </c>
      <c r="J583" s="7">
        <f>'1 datos preparados'!I576</f>
        <v/>
      </c>
      <c r="K583" s="7">
        <f>'1 datos preparados'!J576</f>
        <v/>
      </c>
      <c r="L583" s="7">
        <f>'1 datos preparados'!K576</f>
        <v/>
      </c>
      <c r="M583" s="7">
        <f>'1 datos preparados'!L576</f>
        <v/>
      </c>
      <c r="N583" s="7">
        <f>'1 datos preparados'!M576</f>
        <v/>
      </c>
      <c r="O583" s="7">
        <f>'1 datos preparados'!N576</f>
        <v/>
      </c>
      <c r="P583" s="7">
        <f>'1 datos preparados'!O576</f>
        <v/>
      </c>
      <c r="Q583" s="7">
        <f>'1 datos preparados'!P576</f>
        <v/>
      </c>
      <c r="R583" s="7">
        <f>'1 datos preparados'!Q576</f>
        <v/>
      </c>
      <c r="S583" s="7">
        <f>'1 datos preparados'!R576</f>
        <v/>
      </c>
      <c r="T583" s="7">
        <f>'1 datos preparados'!S576</f>
        <v/>
      </c>
      <c r="U583" s="7">
        <f>'1 datos preparados'!T576</f>
        <v/>
      </c>
      <c r="V583" s="8">
        <f>$AE$12+D583*$AE$13+E583*$AE$14+F583*$AE$15+G583*$AE$16+H583*$AE$17+I583*$AE$18+J583*$AE$19+K583*$AE$20+L583*$AE$21+M583*$AE$22+N583*$AE$23+O583*$AE$24+P583*$AE$25+Q583*$AE$26+R583*$AE$27+S583*$AE$28+T583*$AE$29+U583*$AE$30</f>
        <v/>
      </c>
      <c r="W583" s="8">
        <f>1/(1+EXP(-V583))</f>
        <v/>
      </c>
      <c r="X583" s="9">
        <f>-IF(C583=1,LN(W583),LN(1-W583))</f>
        <v/>
      </c>
      <c r="Y583" s="8">
        <f>IF(C583=1,$AE$32,$AE$33)</f>
        <v/>
      </c>
      <c r="Z583" s="9">
        <f>Y583*X583</f>
        <v/>
      </c>
      <c r="AA583" s="10">
        <f>IF(W583&gt;$AE$34,1,0)</f>
        <v/>
      </c>
      <c r="AB583">
        <f>IF(AA583=C583,1,0)</f>
        <v/>
      </c>
    </row>
    <row r="584">
      <c r="A584">
        <f>'1 datos preparados'!A577</f>
        <v/>
      </c>
      <c r="B584" s="5">
        <f>'1 datos preparados'!U577</f>
        <v/>
      </c>
      <c r="C584">
        <f>'1 datos preparados'!B577</f>
        <v/>
      </c>
      <c r="D584" s="7">
        <f>'1 datos preparados'!C577</f>
        <v/>
      </c>
      <c r="E584" s="7">
        <f>'1 datos preparados'!D577</f>
        <v/>
      </c>
      <c r="F584" s="7">
        <f>'1 datos preparados'!E577</f>
        <v/>
      </c>
      <c r="G584" s="7">
        <f>'1 datos preparados'!F577</f>
        <v/>
      </c>
      <c r="H584" s="7">
        <f>'1 datos preparados'!G577</f>
        <v/>
      </c>
      <c r="I584" s="7">
        <f>'1 datos preparados'!H577</f>
        <v/>
      </c>
      <c r="J584" s="7">
        <f>'1 datos preparados'!I577</f>
        <v/>
      </c>
      <c r="K584" s="7">
        <f>'1 datos preparados'!J577</f>
        <v/>
      </c>
      <c r="L584" s="7">
        <f>'1 datos preparados'!K577</f>
        <v/>
      </c>
      <c r="M584" s="7">
        <f>'1 datos preparados'!L577</f>
        <v/>
      </c>
      <c r="N584" s="7">
        <f>'1 datos preparados'!M577</f>
        <v/>
      </c>
      <c r="O584" s="7">
        <f>'1 datos preparados'!N577</f>
        <v/>
      </c>
      <c r="P584" s="7">
        <f>'1 datos preparados'!O577</f>
        <v/>
      </c>
      <c r="Q584" s="7">
        <f>'1 datos preparados'!P577</f>
        <v/>
      </c>
      <c r="R584" s="7">
        <f>'1 datos preparados'!Q577</f>
        <v/>
      </c>
      <c r="S584" s="7">
        <f>'1 datos preparados'!R577</f>
        <v/>
      </c>
      <c r="T584" s="7">
        <f>'1 datos preparados'!S577</f>
        <v/>
      </c>
      <c r="U584" s="7">
        <f>'1 datos preparados'!T577</f>
        <v/>
      </c>
      <c r="V584" s="8">
        <f>$AE$12+D584*$AE$13+E584*$AE$14+F584*$AE$15+G584*$AE$16+H584*$AE$17+I584*$AE$18+J584*$AE$19+K584*$AE$20+L584*$AE$21+M584*$AE$22+N584*$AE$23+O584*$AE$24+P584*$AE$25+Q584*$AE$26+R584*$AE$27+S584*$AE$28+T584*$AE$29+U584*$AE$30</f>
        <v/>
      </c>
      <c r="W584" s="8">
        <f>1/(1+EXP(-V584))</f>
        <v/>
      </c>
      <c r="X584" s="9">
        <f>-IF(C584=1,LN(W584),LN(1-W584))</f>
        <v/>
      </c>
      <c r="Y584" s="8">
        <f>IF(C584=1,$AE$32,$AE$33)</f>
        <v/>
      </c>
      <c r="Z584" s="9">
        <f>Y584*X584</f>
        <v/>
      </c>
      <c r="AA584" s="10">
        <f>IF(W584&gt;$AE$34,1,0)</f>
        <v/>
      </c>
      <c r="AB584">
        <f>IF(AA584=C584,1,0)</f>
        <v/>
      </c>
    </row>
    <row r="585">
      <c r="A585">
        <f>'1 datos preparados'!A578</f>
        <v/>
      </c>
      <c r="B585" s="5">
        <f>'1 datos preparados'!U578</f>
        <v/>
      </c>
      <c r="C585">
        <f>'1 datos preparados'!B578</f>
        <v/>
      </c>
      <c r="D585" s="7">
        <f>'1 datos preparados'!C578</f>
        <v/>
      </c>
      <c r="E585" s="7">
        <f>'1 datos preparados'!D578</f>
        <v/>
      </c>
      <c r="F585" s="7">
        <f>'1 datos preparados'!E578</f>
        <v/>
      </c>
      <c r="G585" s="7">
        <f>'1 datos preparados'!F578</f>
        <v/>
      </c>
      <c r="H585" s="7">
        <f>'1 datos preparados'!G578</f>
        <v/>
      </c>
      <c r="I585" s="7">
        <f>'1 datos preparados'!H578</f>
        <v/>
      </c>
      <c r="J585" s="7">
        <f>'1 datos preparados'!I578</f>
        <v/>
      </c>
      <c r="K585" s="7">
        <f>'1 datos preparados'!J578</f>
        <v/>
      </c>
      <c r="L585" s="7">
        <f>'1 datos preparados'!K578</f>
        <v/>
      </c>
      <c r="M585" s="7">
        <f>'1 datos preparados'!L578</f>
        <v/>
      </c>
      <c r="N585" s="7">
        <f>'1 datos preparados'!M578</f>
        <v/>
      </c>
      <c r="O585" s="7">
        <f>'1 datos preparados'!N578</f>
        <v/>
      </c>
      <c r="P585" s="7">
        <f>'1 datos preparados'!O578</f>
        <v/>
      </c>
      <c r="Q585" s="7">
        <f>'1 datos preparados'!P578</f>
        <v/>
      </c>
      <c r="R585" s="7">
        <f>'1 datos preparados'!Q578</f>
        <v/>
      </c>
      <c r="S585" s="7">
        <f>'1 datos preparados'!R578</f>
        <v/>
      </c>
      <c r="T585" s="7">
        <f>'1 datos preparados'!S578</f>
        <v/>
      </c>
      <c r="U585" s="7">
        <f>'1 datos preparados'!T578</f>
        <v/>
      </c>
      <c r="V585" s="8">
        <f>$AE$12+D585*$AE$13+E585*$AE$14+F585*$AE$15+G585*$AE$16+H585*$AE$17+I585*$AE$18+J585*$AE$19+K585*$AE$20+L585*$AE$21+M585*$AE$22+N585*$AE$23+O585*$AE$24+P585*$AE$25+Q585*$AE$26+R585*$AE$27+S585*$AE$28+T585*$AE$29+U585*$AE$30</f>
        <v/>
      </c>
      <c r="W585" s="8">
        <f>1/(1+EXP(-V585))</f>
        <v/>
      </c>
      <c r="X585" s="9">
        <f>-IF(C585=1,LN(W585),LN(1-W585))</f>
        <v/>
      </c>
      <c r="Y585" s="8">
        <f>IF(C585=1,$AE$32,$AE$33)</f>
        <v/>
      </c>
      <c r="Z585" s="9">
        <f>Y585*X585</f>
        <v/>
      </c>
      <c r="AA585" s="10">
        <f>IF(W585&gt;$AE$34,1,0)</f>
        <v/>
      </c>
      <c r="AB585">
        <f>IF(AA585=C585,1,0)</f>
        <v/>
      </c>
    </row>
    <row r="586">
      <c r="A586">
        <f>'1 datos preparados'!A579</f>
        <v/>
      </c>
      <c r="B586" s="5">
        <f>'1 datos preparados'!U579</f>
        <v/>
      </c>
      <c r="C586">
        <f>'1 datos preparados'!B579</f>
        <v/>
      </c>
      <c r="D586" s="7">
        <f>'1 datos preparados'!C579</f>
        <v/>
      </c>
      <c r="E586" s="7">
        <f>'1 datos preparados'!D579</f>
        <v/>
      </c>
      <c r="F586" s="7">
        <f>'1 datos preparados'!E579</f>
        <v/>
      </c>
      <c r="G586" s="7">
        <f>'1 datos preparados'!F579</f>
        <v/>
      </c>
      <c r="H586" s="7">
        <f>'1 datos preparados'!G579</f>
        <v/>
      </c>
      <c r="I586" s="7">
        <f>'1 datos preparados'!H579</f>
        <v/>
      </c>
      <c r="J586" s="7">
        <f>'1 datos preparados'!I579</f>
        <v/>
      </c>
      <c r="K586" s="7">
        <f>'1 datos preparados'!J579</f>
        <v/>
      </c>
      <c r="L586" s="7">
        <f>'1 datos preparados'!K579</f>
        <v/>
      </c>
      <c r="M586" s="7">
        <f>'1 datos preparados'!L579</f>
        <v/>
      </c>
      <c r="N586" s="7">
        <f>'1 datos preparados'!M579</f>
        <v/>
      </c>
      <c r="O586" s="7">
        <f>'1 datos preparados'!N579</f>
        <v/>
      </c>
      <c r="P586" s="7">
        <f>'1 datos preparados'!O579</f>
        <v/>
      </c>
      <c r="Q586" s="7">
        <f>'1 datos preparados'!P579</f>
        <v/>
      </c>
      <c r="R586" s="7">
        <f>'1 datos preparados'!Q579</f>
        <v/>
      </c>
      <c r="S586" s="7">
        <f>'1 datos preparados'!R579</f>
        <v/>
      </c>
      <c r="T586" s="7">
        <f>'1 datos preparados'!S579</f>
        <v/>
      </c>
      <c r="U586" s="7">
        <f>'1 datos preparados'!T579</f>
        <v/>
      </c>
      <c r="V586" s="8">
        <f>$AE$12+D586*$AE$13+E586*$AE$14+F586*$AE$15+G586*$AE$16+H586*$AE$17+I586*$AE$18+J586*$AE$19+K586*$AE$20+L586*$AE$21+M586*$AE$22+N586*$AE$23+O586*$AE$24+P586*$AE$25+Q586*$AE$26+R586*$AE$27+S586*$AE$28+T586*$AE$29+U586*$AE$30</f>
        <v/>
      </c>
      <c r="W586" s="8">
        <f>1/(1+EXP(-V586))</f>
        <v/>
      </c>
      <c r="X586" s="9">
        <f>-IF(C586=1,LN(W586),LN(1-W586))</f>
        <v/>
      </c>
      <c r="Y586" s="8">
        <f>IF(C586=1,$AE$32,$AE$33)</f>
        <v/>
      </c>
      <c r="Z586" s="9">
        <f>Y586*X586</f>
        <v/>
      </c>
      <c r="AA586" s="10">
        <f>IF(W586&gt;$AE$34,1,0)</f>
        <v/>
      </c>
      <c r="AB586">
        <f>IF(AA586=C586,1,0)</f>
        <v/>
      </c>
    </row>
    <row r="587">
      <c r="A587">
        <f>'1 datos preparados'!A580</f>
        <v/>
      </c>
      <c r="B587" s="5">
        <f>'1 datos preparados'!U580</f>
        <v/>
      </c>
      <c r="C587">
        <f>'1 datos preparados'!B580</f>
        <v/>
      </c>
      <c r="D587" s="7">
        <f>'1 datos preparados'!C580</f>
        <v/>
      </c>
      <c r="E587" s="7">
        <f>'1 datos preparados'!D580</f>
        <v/>
      </c>
      <c r="F587" s="7">
        <f>'1 datos preparados'!E580</f>
        <v/>
      </c>
      <c r="G587" s="7">
        <f>'1 datos preparados'!F580</f>
        <v/>
      </c>
      <c r="H587" s="7">
        <f>'1 datos preparados'!G580</f>
        <v/>
      </c>
      <c r="I587" s="7">
        <f>'1 datos preparados'!H580</f>
        <v/>
      </c>
      <c r="J587" s="7">
        <f>'1 datos preparados'!I580</f>
        <v/>
      </c>
      <c r="K587" s="7">
        <f>'1 datos preparados'!J580</f>
        <v/>
      </c>
      <c r="L587" s="7">
        <f>'1 datos preparados'!K580</f>
        <v/>
      </c>
      <c r="M587" s="7">
        <f>'1 datos preparados'!L580</f>
        <v/>
      </c>
      <c r="N587" s="7">
        <f>'1 datos preparados'!M580</f>
        <v/>
      </c>
      <c r="O587" s="7">
        <f>'1 datos preparados'!N580</f>
        <v/>
      </c>
      <c r="P587" s="7">
        <f>'1 datos preparados'!O580</f>
        <v/>
      </c>
      <c r="Q587" s="7">
        <f>'1 datos preparados'!P580</f>
        <v/>
      </c>
      <c r="R587" s="7">
        <f>'1 datos preparados'!Q580</f>
        <v/>
      </c>
      <c r="S587" s="7">
        <f>'1 datos preparados'!R580</f>
        <v/>
      </c>
      <c r="T587" s="7">
        <f>'1 datos preparados'!S580</f>
        <v/>
      </c>
      <c r="U587" s="7">
        <f>'1 datos preparados'!T580</f>
        <v/>
      </c>
      <c r="V587" s="8">
        <f>$AE$12+D587*$AE$13+E587*$AE$14+F587*$AE$15+G587*$AE$16+H587*$AE$17+I587*$AE$18+J587*$AE$19+K587*$AE$20+L587*$AE$21+M587*$AE$22+N587*$AE$23+O587*$AE$24+P587*$AE$25+Q587*$AE$26+R587*$AE$27+S587*$AE$28+T587*$AE$29+U587*$AE$30</f>
        <v/>
      </c>
      <c r="W587" s="8">
        <f>1/(1+EXP(-V587))</f>
        <v/>
      </c>
      <c r="X587" s="9">
        <f>-IF(C587=1,LN(W587),LN(1-W587))</f>
        <v/>
      </c>
      <c r="Y587" s="8">
        <f>IF(C587=1,$AE$32,$AE$33)</f>
        <v/>
      </c>
      <c r="Z587" s="9">
        <f>Y587*X587</f>
        <v/>
      </c>
      <c r="AA587" s="10">
        <f>IF(W587&gt;$AE$34,1,0)</f>
        <v/>
      </c>
      <c r="AB587">
        <f>IF(AA587=C587,1,0)</f>
        <v/>
      </c>
    </row>
    <row r="588">
      <c r="A588">
        <f>'1 datos preparados'!A581</f>
        <v/>
      </c>
      <c r="B588" s="5">
        <f>'1 datos preparados'!U581</f>
        <v/>
      </c>
      <c r="C588">
        <f>'1 datos preparados'!B581</f>
        <v/>
      </c>
      <c r="D588" s="7">
        <f>'1 datos preparados'!C581</f>
        <v/>
      </c>
      <c r="E588" s="7">
        <f>'1 datos preparados'!D581</f>
        <v/>
      </c>
      <c r="F588" s="7">
        <f>'1 datos preparados'!E581</f>
        <v/>
      </c>
      <c r="G588" s="7">
        <f>'1 datos preparados'!F581</f>
        <v/>
      </c>
      <c r="H588" s="7">
        <f>'1 datos preparados'!G581</f>
        <v/>
      </c>
      <c r="I588" s="7">
        <f>'1 datos preparados'!H581</f>
        <v/>
      </c>
      <c r="J588" s="7">
        <f>'1 datos preparados'!I581</f>
        <v/>
      </c>
      <c r="K588" s="7">
        <f>'1 datos preparados'!J581</f>
        <v/>
      </c>
      <c r="L588" s="7">
        <f>'1 datos preparados'!K581</f>
        <v/>
      </c>
      <c r="M588" s="7">
        <f>'1 datos preparados'!L581</f>
        <v/>
      </c>
      <c r="N588" s="7">
        <f>'1 datos preparados'!M581</f>
        <v/>
      </c>
      <c r="O588" s="7">
        <f>'1 datos preparados'!N581</f>
        <v/>
      </c>
      <c r="P588" s="7">
        <f>'1 datos preparados'!O581</f>
        <v/>
      </c>
      <c r="Q588" s="7">
        <f>'1 datos preparados'!P581</f>
        <v/>
      </c>
      <c r="R588" s="7">
        <f>'1 datos preparados'!Q581</f>
        <v/>
      </c>
      <c r="S588" s="7">
        <f>'1 datos preparados'!R581</f>
        <v/>
      </c>
      <c r="T588" s="7">
        <f>'1 datos preparados'!S581</f>
        <v/>
      </c>
      <c r="U588" s="7">
        <f>'1 datos preparados'!T581</f>
        <v/>
      </c>
      <c r="V588" s="8">
        <f>$AE$12+D588*$AE$13+E588*$AE$14+F588*$AE$15+G588*$AE$16+H588*$AE$17+I588*$AE$18+J588*$AE$19+K588*$AE$20+L588*$AE$21+M588*$AE$22+N588*$AE$23+O588*$AE$24+P588*$AE$25+Q588*$AE$26+R588*$AE$27+S588*$AE$28+T588*$AE$29+U588*$AE$30</f>
        <v/>
      </c>
      <c r="W588" s="8">
        <f>1/(1+EXP(-V588))</f>
        <v/>
      </c>
      <c r="X588" s="9">
        <f>-IF(C588=1,LN(W588),LN(1-W588))</f>
        <v/>
      </c>
      <c r="Y588" s="8">
        <f>IF(C588=1,$AE$32,$AE$33)</f>
        <v/>
      </c>
      <c r="Z588" s="9">
        <f>Y588*X588</f>
        <v/>
      </c>
      <c r="AA588" s="10">
        <f>IF(W588&gt;$AE$34,1,0)</f>
        <v/>
      </c>
      <c r="AB588">
        <f>IF(AA588=C588,1,0)</f>
        <v/>
      </c>
    </row>
    <row r="589">
      <c r="A589">
        <f>'1 datos preparados'!A582</f>
        <v/>
      </c>
      <c r="B589" s="5">
        <f>'1 datos preparados'!U582</f>
        <v/>
      </c>
      <c r="C589">
        <f>'1 datos preparados'!B582</f>
        <v/>
      </c>
      <c r="D589" s="7">
        <f>'1 datos preparados'!C582</f>
        <v/>
      </c>
      <c r="E589" s="7">
        <f>'1 datos preparados'!D582</f>
        <v/>
      </c>
      <c r="F589" s="7">
        <f>'1 datos preparados'!E582</f>
        <v/>
      </c>
      <c r="G589" s="7">
        <f>'1 datos preparados'!F582</f>
        <v/>
      </c>
      <c r="H589" s="7">
        <f>'1 datos preparados'!G582</f>
        <v/>
      </c>
      <c r="I589" s="7">
        <f>'1 datos preparados'!H582</f>
        <v/>
      </c>
      <c r="J589" s="7">
        <f>'1 datos preparados'!I582</f>
        <v/>
      </c>
      <c r="K589" s="7">
        <f>'1 datos preparados'!J582</f>
        <v/>
      </c>
      <c r="L589" s="7">
        <f>'1 datos preparados'!K582</f>
        <v/>
      </c>
      <c r="M589" s="7">
        <f>'1 datos preparados'!L582</f>
        <v/>
      </c>
      <c r="N589" s="7">
        <f>'1 datos preparados'!M582</f>
        <v/>
      </c>
      <c r="O589" s="7">
        <f>'1 datos preparados'!N582</f>
        <v/>
      </c>
      <c r="P589" s="7">
        <f>'1 datos preparados'!O582</f>
        <v/>
      </c>
      <c r="Q589" s="7">
        <f>'1 datos preparados'!P582</f>
        <v/>
      </c>
      <c r="R589" s="7">
        <f>'1 datos preparados'!Q582</f>
        <v/>
      </c>
      <c r="S589" s="7">
        <f>'1 datos preparados'!R582</f>
        <v/>
      </c>
      <c r="T589" s="7">
        <f>'1 datos preparados'!S582</f>
        <v/>
      </c>
      <c r="U589" s="7">
        <f>'1 datos preparados'!T582</f>
        <v/>
      </c>
      <c r="V589" s="8">
        <f>$AE$12+D589*$AE$13+E589*$AE$14+F589*$AE$15+G589*$AE$16+H589*$AE$17+I589*$AE$18+J589*$AE$19+K589*$AE$20+L589*$AE$21+M589*$AE$22+N589*$AE$23+O589*$AE$24+P589*$AE$25+Q589*$AE$26+R589*$AE$27+S589*$AE$28+T589*$AE$29+U589*$AE$30</f>
        <v/>
      </c>
      <c r="W589" s="8">
        <f>1/(1+EXP(-V589))</f>
        <v/>
      </c>
      <c r="X589" s="9">
        <f>-IF(C589=1,LN(W589),LN(1-W589))</f>
        <v/>
      </c>
      <c r="Y589" s="8">
        <f>IF(C589=1,$AE$32,$AE$33)</f>
        <v/>
      </c>
      <c r="Z589" s="9">
        <f>Y589*X589</f>
        <v/>
      </c>
      <c r="AA589" s="10">
        <f>IF(W589&gt;$AE$34,1,0)</f>
        <v/>
      </c>
      <c r="AB589">
        <f>IF(AA589=C589,1,0)</f>
        <v/>
      </c>
    </row>
    <row r="590">
      <c r="A590">
        <f>'1 datos preparados'!A583</f>
        <v/>
      </c>
      <c r="B590" s="5">
        <f>'1 datos preparados'!U583</f>
        <v/>
      </c>
      <c r="C590">
        <f>'1 datos preparados'!B583</f>
        <v/>
      </c>
      <c r="D590" s="7">
        <f>'1 datos preparados'!C583</f>
        <v/>
      </c>
      <c r="E590" s="7">
        <f>'1 datos preparados'!D583</f>
        <v/>
      </c>
      <c r="F590" s="7">
        <f>'1 datos preparados'!E583</f>
        <v/>
      </c>
      <c r="G590" s="7">
        <f>'1 datos preparados'!F583</f>
        <v/>
      </c>
      <c r="H590" s="7">
        <f>'1 datos preparados'!G583</f>
        <v/>
      </c>
      <c r="I590" s="7">
        <f>'1 datos preparados'!H583</f>
        <v/>
      </c>
      <c r="J590" s="7">
        <f>'1 datos preparados'!I583</f>
        <v/>
      </c>
      <c r="K590" s="7">
        <f>'1 datos preparados'!J583</f>
        <v/>
      </c>
      <c r="L590" s="7">
        <f>'1 datos preparados'!K583</f>
        <v/>
      </c>
      <c r="M590" s="7">
        <f>'1 datos preparados'!L583</f>
        <v/>
      </c>
      <c r="N590" s="7">
        <f>'1 datos preparados'!M583</f>
        <v/>
      </c>
      <c r="O590" s="7">
        <f>'1 datos preparados'!N583</f>
        <v/>
      </c>
      <c r="P590" s="7">
        <f>'1 datos preparados'!O583</f>
        <v/>
      </c>
      <c r="Q590" s="7">
        <f>'1 datos preparados'!P583</f>
        <v/>
      </c>
      <c r="R590" s="7">
        <f>'1 datos preparados'!Q583</f>
        <v/>
      </c>
      <c r="S590" s="7">
        <f>'1 datos preparados'!R583</f>
        <v/>
      </c>
      <c r="T590" s="7">
        <f>'1 datos preparados'!S583</f>
        <v/>
      </c>
      <c r="U590" s="7">
        <f>'1 datos preparados'!T583</f>
        <v/>
      </c>
      <c r="V590" s="8">
        <f>$AE$12+D590*$AE$13+E590*$AE$14+F590*$AE$15+G590*$AE$16+H590*$AE$17+I590*$AE$18+J590*$AE$19+K590*$AE$20+L590*$AE$21+M590*$AE$22+N590*$AE$23+O590*$AE$24+P590*$AE$25+Q590*$AE$26+R590*$AE$27+S590*$AE$28+T590*$AE$29+U590*$AE$30</f>
        <v/>
      </c>
      <c r="W590" s="8">
        <f>1/(1+EXP(-V590))</f>
        <v/>
      </c>
      <c r="X590" s="9">
        <f>-IF(C590=1,LN(W590),LN(1-W590))</f>
        <v/>
      </c>
      <c r="Y590" s="8">
        <f>IF(C590=1,$AE$32,$AE$33)</f>
        <v/>
      </c>
      <c r="Z590" s="9">
        <f>Y590*X590</f>
        <v/>
      </c>
      <c r="AA590" s="10">
        <f>IF(W590&gt;$AE$34,1,0)</f>
        <v/>
      </c>
      <c r="AB590">
        <f>IF(AA590=C590,1,0)</f>
        <v/>
      </c>
    </row>
    <row r="591">
      <c r="A591">
        <f>'1 datos preparados'!A584</f>
        <v/>
      </c>
      <c r="B591" s="5">
        <f>'1 datos preparados'!U584</f>
        <v/>
      </c>
      <c r="C591">
        <f>'1 datos preparados'!B584</f>
        <v/>
      </c>
      <c r="D591" s="7">
        <f>'1 datos preparados'!C584</f>
        <v/>
      </c>
      <c r="E591" s="7">
        <f>'1 datos preparados'!D584</f>
        <v/>
      </c>
      <c r="F591" s="7">
        <f>'1 datos preparados'!E584</f>
        <v/>
      </c>
      <c r="G591" s="7">
        <f>'1 datos preparados'!F584</f>
        <v/>
      </c>
      <c r="H591" s="7">
        <f>'1 datos preparados'!G584</f>
        <v/>
      </c>
      <c r="I591" s="7">
        <f>'1 datos preparados'!H584</f>
        <v/>
      </c>
      <c r="J591" s="7">
        <f>'1 datos preparados'!I584</f>
        <v/>
      </c>
      <c r="K591" s="7">
        <f>'1 datos preparados'!J584</f>
        <v/>
      </c>
      <c r="L591" s="7">
        <f>'1 datos preparados'!K584</f>
        <v/>
      </c>
      <c r="M591" s="7">
        <f>'1 datos preparados'!L584</f>
        <v/>
      </c>
      <c r="N591" s="7">
        <f>'1 datos preparados'!M584</f>
        <v/>
      </c>
      <c r="O591" s="7">
        <f>'1 datos preparados'!N584</f>
        <v/>
      </c>
      <c r="P591" s="7">
        <f>'1 datos preparados'!O584</f>
        <v/>
      </c>
      <c r="Q591" s="7">
        <f>'1 datos preparados'!P584</f>
        <v/>
      </c>
      <c r="R591" s="7">
        <f>'1 datos preparados'!Q584</f>
        <v/>
      </c>
      <c r="S591" s="7">
        <f>'1 datos preparados'!R584</f>
        <v/>
      </c>
      <c r="T591" s="7">
        <f>'1 datos preparados'!S584</f>
        <v/>
      </c>
      <c r="U591" s="7">
        <f>'1 datos preparados'!T584</f>
        <v/>
      </c>
      <c r="V591" s="8">
        <f>$AE$12+D591*$AE$13+E591*$AE$14+F591*$AE$15+G591*$AE$16+H591*$AE$17+I591*$AE$18+J591*$AE$19+K591*$AE$20+L591*$AE$21+M591*$AE$22+N591*$AE$23+O591*$AE$24+P591*$AE$25+Q591*$AE$26+R591*$AE$27+S591*$AE$28+T591*$AE$29+U591*$AE$30</f>
        <v/>
      </c>
      <c r="W591" s="8">
        <f>1/(1+EXP(-V591))</f>
        <v/>
      </c>
      <c r="X591" s="9">
        <f>-IF(C591=1,LN(W591),LN(1-W591))</f>
        <v/>
      </c>
      <c r="Y591" s="8">
        <f>IF(C591=1,$AE$32,$AE$33)</f>
        <v/>
      </c>
      <c r="Z591" s="9">
        <f>Y591*X591</f>
        <v/>
      </c>
      <c r="AA591" s="10">
        <f>IF(W591&gt;$AE$34,1,0)</f>
        <v/>
      </c>
      <c r="AB591">
        <f>IF(AA591=C591,1,0)</f>
        <v/>
      </c>
    </row>
    <row r="592">
      <c r="A592">
        <f>'1 datos preparados'!A585</f>
        <v/>
      </c>
      <c r="B592" s="5">
        <f>'1 datos preparados'!U585</f>
        <v/>
      </c>
      <c r="C592">
        <f>'1 datos preparados'!B585</f>
        <v/>
      </c>
      <c r="D592" s="7">
        <f>'1 datos preparados'!C585</f>
        <v/>
      </c>
      <c r="E592" s="7">
        <f>'1 datos preparados'!D585</f>
        <v/>
      </c>
      <c r="F592" s="7">
        <f>'1 datos preparados'!E585</f>
        <v/>
      </c>
      <c r="G592" s="7">
        <f>'1 datos preparados'!F585</f>
        <v/>
      </c>
      <c r="H592" s="7">
        <f>'1 datos preparados'!G585</f>
        <v/>
      </c>
      <c r="I592" s="7">
        <f>'1 datos preparados'!H585</f>
        <v/>
      </c>
      <c r="J592" s="7">
        <f>'1 datos preparados'!I585</f>
        <v/>
      </c>
      <c r="K592" s="7">
        <f>'1 datos preparados'!J585</f>
        <v/>
      </c>
      <c r="L592" s="7">
        <f>'1 datos preparados'!K585</f>
        <v/>
      </c>
      <c r="M592" s="7">
        <f>'1 datos preparados'!L585</f>
        <v/>
      </c>
      <c r="N592" s="7">
        <f>'1 datos preparados'!M585</f>
        <v/>
      </c>
      <c r="O592" s="7">
        <f>'1 datos preparados'!N585</f>
        <v/>
      </c>
      <c r="P592" s="7">
        <f>'1 datos preparados'!O585</f>
        <v/>
      </c>
      <c r="Q592" s="7">
        <f>'1 datos preparados'!P585</f>
        <v/>
      </c>
      <c r="R592" s="7">
        <f>'1 datos preparados'!Q585</f>
        <v/>
      </c>
      <c r="S592" s="7">
        <f>'1 datos preparados'!R585</f>
        <v/>
      </c>
      <c r="T592" s="7">
        <f>'1 datos preparados'!S585</f>
        <v/>
      </c>
      <c r="U592" s="7">
        <f>'1 datos preparados'!T585</f>
        <v/>
      </c>
      <c r="V592" s="8">
        <f>$AE$12+D592*$AE$13+E592*$AE$14+F592*$AE$15+G592*$AE$16+H592*$AE$17+I592*$AE$18+J592*$AE$19+K592*$AE$20+L592*$AE$21+M592*$AE$22+N592*$AE$23+O592*$AE$24+P592*$AE$25+Q592*$AE$26+R592*$AE$27+S592*$AE$28+T592*$AE$29+U592*$AE$30</f>
        <v/>
      </c>
      <c r="W592" s="8">
        <f>1/(1+EXP(-V592))</f>
        <v/>
      </c>
      <c r="X592" s="9">
        <f>-IF(C592=1,LN(W592),LN(1-W592))</f>
        <v/>
      </c>
      <c r="Y592" s="8">
        <f>IF(C592=1,$AE$32,$AE$33)</f>
        <v/>
      </c>
      <c r="Z592" s="9">
        <f>Y592*X592</f>
        <v/>
      </c>
      <c r="AA592" s="10">
        <f>IF(W592&gt;$AE$34,1,0)</f>
        <v/>
      </c>
      <c r="AB592">
        <f>IF(AA592=C592,1,0)</f>
        <v/>
      </c>
    </row>
    <row r="593">
      <c r="A593">
        <f>'1 datos preparados'!A586</f>
        <v/>
      </c>
      <c r="B593" s="5">
        <f>'1 datos preparados'!U586</f>
        <v/>
      </c>
      <c r="C593">
        <f>'1 datos preparados'!B586</f>
        <v/>
      </c>
      <c r="D593" s="7">
        <f>'1 datos preparados'!C586</f>
        <v/>
      </c>
      <c r="E593" s="7">
        <f>'1 datos preparados'!D586</f>
        <v/>
      </c>
      <c r="F593" s="7">
        <f>'1 datos preparados'!E586</f>
        <v/>
      </c>
      <c r="G593" s="7">
        <f>'1 datos preparados'!F586</f>
        <v/>
      </c>
      <c r="H593" s="7">
        <f>'1 datos preparados'!G586</f>
        <v/>
      </c>
      <c r="I593" s="7">
        <f>'1 datos preparados'!H586</f>
        <v/>
      </c>
      <c r="J593" s="7">
        <f>'1 datos preparados'!I586</f>
        <v/>
      </c>
      <c r="K593" s="7">
        <f>'1 datos preparados'!J586</f>
        <v/>
      </c>
      <c r="L593" s="7">
        <f>'1 datos preparados'!K586</f>
        <v/>
      </c>
      <c r="M593" s="7">
        <f>'1 datos preparados'!L586</f>
        <v/>
      </c>
      <c r="N593" s="7">
        <f>'1 datos preparados'!M586</f>
        <v/>
      </c>
      <c r="O593" s="7">
        <f>'1 datos preparados'!N586</f>
        <v/>
      </c>
      <c r="P593" s="7">
        <f>'1 datos preparados'!O586</f>
        <v/>
      </c>
      <c r="Q593" s="7">
        <f>'1 datos preparados'!P586</f>
        <v/>
      </c>
      <c r="R593" s="7">
        <f>'1 datos preparados'!Q586</f>
        <v/>
      </c>
      <c r="S593" s="7">
        <f>'1 datos preparados'!R586</f>
        <v/>
      </c>
      <c r="T593" s="7">
        <f>'1 datos preparados'!S586</f>
        <v/>
      </c>
      <c r="U593" s="7">
        <f>'1 datos preparados'!T586</f>
        <v/>
      </c>
      <c r="V593" s="8">
        <f>$AE$12+D593*$AE$13+E593*$AE$14+F593*$AE$15+G593*$AE$16+H593*$AE$17+I593*$AE$18+J593*$AE$19+K593*$AE$20+L593*$AE$21+M593*$AE$22+N593*$AE$23+O593*$AE$24+P593*$AE$25+Q593*$AE$26+R593*$AE$27+S593*$AE$28+T593*$AE$29+U593*$AE$30</f>
        <v/>
      </c>
      <c r="W593" s="8">
        <f>1/(1+EXP(-V593))</f>
        <v/>
      </c>
      <c r="X593" s="9">
        <f>-IF(C593=1,LN(W593),LN(1-W593))</f>
        <v/>
      </c>
      <c r="Y593" s="8">
        <f>IF(C593=1,$AE$32,$AE$33)</f>
        <v/>
      </c>
      <c r="Z593" s="9">
        <f>Y593*X593</f>
        <v/>
      </c>
      <c r="AA593" s="10">
        <f>IF(W593&gt;$AE$34,1,0)</f>
        <v/>
      </c>
      <c r="AB593">
        <f>IF(AA593=C593,1,0)</f>
        <v/>
      </c>
    </row>
    <row r="594">
      <c r="A594">
        <f>'1 datos preparados'!A587</f>
        <v/>
      </c>
      <c r="B594" s="5">
        <f>'1 datos preparados'!U587</f>
        <v/>
      </c>
      <c r="C594">
        <f>'1 datos preparados'!B587</f>
        <v/>
      </c>
      <c r="D594" s="7">
        <f>'1 datos preparados'!C587</f>
        <v/>
      </c>
      <c r="E594" s="7">
        <f>'1 datos preparados'!D587</f>
        <v/>
      </c>
      <c r="F594" s="7">
        <f>'1 datos preparados'!E587</f>
        <v/>
      </c>
      <c r="G594" s="7">
        <f>'1 datos preparados'!F587</f>
        <v/>
      </c>
      <c r="H594" s="7">
        <f>'1 datos preparados'!G587</f>
        <v/>
      </c>
      <c r="I594" s="7">
        <f>'1 datos preparados'!H587</f>
        <v/>
      </c>
      <c r="J594" s="7">
        <f>'1 datos preparados'!I587</f>
        <v/>
      </c>
      <c r="K594" s="7">
        <f>'1 datos preparados'!J587</f>
        <v/>
      </c>
      <c r="L594" s="7">
        <f>'1 datos preparados'!K587</f>
        <v/>
      </c>
      <c r="M594" s="7">
        <f>'1 datos preparados'!L587</f>
        <v/>
      </c>
      <c r="N594" s="7">
        <f>'1 datos preparados'!M587</f>
        <v/>
      </c>
      <c r="O594" s="7">
        <f>'1 datos preparados'!N587</f>
        <v/>
      </c>
      <c r="P594" s="7">
        <f>'1 datos preparados'!O587</f>
        <v/>
      </c>
      <c r="Q594" s="7">
        <f>'1 datos preparados'!P587</f>
        <v/>
      </c>
      <c r="R594" s="7">
        <f>'1 datos preparados'!Q587</f>
        <v/>
      </c>
      <c r="S594" s="7">
        <f>'1 datos preparados'!R587</f>
        <v/>
      </c>
      <c r="T594" s="7">
        <f>'1 datos preparados'!S587</f>
        <v/>
      </c>
      <c r="U594" s="7">
        <f>'1 datos preparados'!T587</f>
        <v/>
      </c>
      <c r="V594" s="8">
        <f>$AE$12+D594*$AE$13+E594*$AE$14+F594*$AE$15+G594*$AE$16+H594*$AE$17+I594*$AE$18+J594*$AE$19+K594*$AE$20+L594*$AE$21+M594*$AE$22+N594*$AE$23+O594*$AE$24+P594*$AE$25+Q594*$AE$26+R594*$AE$27+S594*$AE$28+T594*$AE$29+U594*$AE$30</f>
        <v/>
      </c>
      <c r="W594" s="8">
        <f>1/(1+EXP(-V594))</f>
        <v/>
      </c>
      <c r="X594" s="9">
        <f>-IF(C594=1,LN(W594),LN(1-W594))</f>
        <v/>
      </c>
      <c r="Y594" s="8">
        <f>IF(C594=1,$AE$32,$AE$33)</f>
        <v/>
      </c>
      <c r="Z594" s="9">
        <f>Y594*X594</f>
        <v/>
      </c>
      <c r="AA594" s="10">
        <f>IF(W594&gt;$AE$34,1,0)</f>
        <v/>
      </c>
      <c r="AB594">
        <f>IF(AA594=C594,1,0)</f>
        <v/>
      </c>
    </row>
    <row r="595">
      <c r="A595">
        <f>'1 datos preparados'!A588</f>
        <v/>
      </c>
      <c r="B595" s="5">
        <f>'1 datos preparados'!U588</f>
        <v/>
      </c>
      <c r="C595">
        <f>'1 datos preparados'!B588</f>
        <v/>
      </c>
      <c r="D595" s="7">
        <f>'1 datos preparados'!C588</f>
        <v/>
      </c>
      <c r="E595" s="7">
        <f>'1 datos preparados'!D588</f>
        <v/>
      </c>
      <c r="F595" s="7">
        <f>'1 datos preparados'!E588</f>
        <v/>
      </c>
      <c r="G595" s="7">
        <f>'1 datos preparados'!F588</f>
        <v/>
      </c>
      <c r="H595" s="7">
        <f>'1 datos preparados'!G588</f>
        <v/>
      </c>
      <c r="I595" s="7">
        <f>'1 datos preparados'!H588</f>
        <v/>
      </c>
      <c r="J595" s="7">
        <f>'1 datos preparados'!I588</f>
        <v/>
      </c>
      <c r="K595" s="7">
        <f>'1 datos preparados'!J588</f>
        <v/>
      </c>
      <c r="L595" s="7">
        <f>'1 datos preparados'!K588</f>
        <v/>
      </c>
      <c r="M595" s="7">
        <f>'1 datos preparados'!L588</f>
        <v/>
      </c>
      <c r="N595" s="7">
        <f>'1 datos preparados'!M588</f>
        <v/>
      </c>
      <c r="O595" s="7">
        <f>'1 datos preparados'!N588</f>
        <v/>
      </c>
      <c r="P595" s="7">
        <f>'1 datos preparados'!O588</f>
        <v/>
      </c>
      <c r="Q595" s="7">
        <f>'1 datos preparados'!P588</f>
        <v/>
      </c>
      <c r="R595" s="7">
        <f>'1 datos preparados'!Q588</f>
        <v/>
      </c>
      <c r="S595" s="7">
        <f>'1 datos preparados'!R588</f>
        <v/>
      </c>
      <c r="T595" s="7">
        <f>'1 datos preparados'!S588</f>
        <v/>
      </c>
      <c r="U595" s="7">
        <f>'1 datos preparados'!T588</f>
        <v/>
      </c>
      <c r="V595" s="8">
        <f>$AE$12+D595*$AE$13+E595*$AE$14+F595*$AE$15+G595*$AE$16+H595*$AE$17+I595*$AE$18+J595*$AE$19+K595*$AE$20+L595*$AE$21+M595*$AE$22+N595*$AE$23+O595*$AE$24+P595*$AE$25+Q595*$AE$26+R595*$AE$27+S595*$AE$28+T595*$AE$29+U595*$AE$30</f>
        <v/>
      </c>
      <c r="W595" s="8">
        <f>1/(1+EXP(-V595))</f>
        <v/>
      </c>
      <c r="X595" s="9">
        <f>-IF(C595=1,LN(W595),LN(1-W595))</f>
        <v/>
      </c>
      <c r="Y595" s="8">
        <f>IF(C595=1,$AE$32,$AE$33)</f>
        <v/>
      </c>
      <c r="Z595" s="9">
        <f>Y595*X595</f>
        <v/>
      </c>
      <c r="AA595" s="10">
        <f>IF(W595&gt;$AE$34,1,0)</f>
        <v/>
      </c>
      <c r="AB595">
        <f>IF(AA595=C595,1,0)</f>
        <v/>
      </c>
    </row>
    <row r="596">
      <c r="A596">
        <f>'1 datos preparados'!A589</f>
        <v/>
      </c>
      <c r="B596" s="5">
        <f>'1 datos preparados'!U589</f>
        <v/>
      </c>
      <c r="C596">
        <f>'1 datos preparados'!B589</f>
        <v/>
      </c>
      <c r="D596" s="7">
        <f>'1 datos preparados'!C589</f>
        <v/>
      </c>
      <c r="E596" s="7">
        <f>'1 datos preparados'!D589</f>
        <v/>
      </c>
      <c r="F596" s="7">
        <f>'1 datos preparados'!E589</f>
        <v/>
      </c>
      <c r="G596" s="7">
        <f>'1 datos preparados'!F589</f>
        <v/>
      </c>
      <c r="H596" s="7">
        <f>'1 datos preparados'!G589</f>
        <v/>
      </c>
      <c r="I596" s="7">
        <f>'1 datos preparados'!H589</f>
        <v/>
      </c>
      <c r="J596" s="7">
        <f>'1 datos preparados'!I589</f>
        <v/>
      </c>
      <c r="K596" s="7">
        <f>'1 datos preparados'!J589</f>
        <v/>
      </c>
      <c r="L596" s="7">
        <f>'1 datos preparados'!K589</f>
        <v/>
      </c>
      <c r="M596" s="7">
        <f>'1 datos preparados'!L589</f>
        <v/>
      </c>
      <c r="N596" s="7">
        <f>'1 datos preparados'!M589</f>
        <v/>
      </c>
      <c r="O596" s="7">
        <f>'1 datos preparados'!N589</f>
        <v/>
      </c>
      <c r="P596" s="7">
        <f>'1 datos preparados'!O589</f>
        <v/>
      </c>
      <c r="Q596" s="7">
        <f>'1 datos preparados'!P589</f>
        <v/>
      </c>
      <c r="R596" s="7">
        <f>'1 datos preparados'!Q589</f>
        <v/>
      </c>
      <c r="S596" s="7">
        <f>'1 datos preparados'!R589</f>
        <v/>
      </c>
      <c r="T596" s="7">
        <f>'1 datos preparados'!S589</f>
        <v/>
      </c>
      <c r="U596" s="7">
        <f>'1 datos preparados'!T589</f>
        <v/>
      </c>
      <c r="V596" s="8">
        <f>$AE$12+D596*$AE$13+E596*$AE$14+F596*$AE$15+G596*$AE$16+H596*$AE$17+I596*$AE$18+J596*$AE$19+K596*$AE$20+L596*$AE$21+M596*$AE$22+N596*$AE$23+O596*$AE$24+P596*$AE$25+Q596*$AE$26+R596*$AE$27+S596*$AE$28+T596*$AE$29+U596*$AE$30</f>
        <v/>
      </c>
      <c r="W596" s="8">
        <f>1/(1+EXP(-V596))</f>
        <v/>
      </c>
      <c r="X596" s="9">
        <f>-IF(C596=1,LN(W596),LN(1-W596))</f>
        <v/>
      </c>
      <c r="Y596" s="8">
        <f>IF(C596=1,$AE$32,$AE$33)</f>
        <v/>
      </c>
      <c r="Z596" s="9">
        <f>Y596*X596</f>
        <v/>
      </c>
      <c r="AA596" s="10">
        <f>IF(W596&gt;$AE$34,1,0)</f>
        <v/>
      </c>
      <c r="AB596">
        <f>IF(AA596=C596,1,0)</f>
        <v/>
      </c>
    </row>
    <row r="597">
      <c r="A597">
        <f>'1 datos preparados'!A590</f>
        <v/>
      </c>
      <c r="B597" s="5">
        <f>'1 datos preparados'!U590</f>
        <v/>
      </c>
      <c r="C597">
        <f>'1 datos preparados'!B590</f>
        <v/>
      </c>
      <c r="D597" s="7">
        <f>'1 datos preparados'!C590</f>
        <v/>
      </c>
      <c r="E597" s="7">
        <f>'1 datos preparados'!D590</f>
        <v/>
      </c>
      <c r="F597" s="7">
        <f>'1 datos preparados'!E590</f>
        <v/>
      </c>
      <c r="G597" s="7">
        <f>'1 datos preparados'!F590</f>
        <v/>
      </c>
      <c r="H597" s="7">
        <f>'1 datos preparados'!G590</f>
        <v/>
      </c>
      <c r="I597" s="7">
        <f>'1 datos preparados'!H590</f>
        <v/>
      </c>
      <c r="J597" s="7">
        <f>'1 datos preparados'!I590</f>
        <v/>
      </c>
      <c r="K597" s="7">
        <f>'1 datos preparados'!J590</f>
        <v/>
      </c>
      <c r="L597" s="7">
        <f>'1 datos preparados'!K590</f>
        <v/>
      </c>
      <c r="M597" s="7">
        <f>'1 datos preparados'!L590</f>
        <v/>
      </c>
      <c r="N597" s="7">
        <f>'1 datos preparados'!M590</f>
        <v/>
      </c>
      <c r="O597" s="7">
        <f>'1 datos preparados'!N590</f>
        <v/>
      </c>
      <c r="P597" s="7">
        <f>'1 datos preparados'!O590</f>
        <v/>
      </c>
      <c r="Q597" s="7">
        <f>'1 datos preparados'!P590</f>
        <v/>
      </c>
      <c r="R597" s="7">
        <f>'1 datos preparados'!Q590</f>
        <v/>
      </c>
      <c r="S597" s="7">
        <f>'1 datos preparados'!R590</f>
        <v/>
      </c>
      <c r="T597" s="7">
        <f>'1 datos preparados'!S590</f>
        <v/>
      </c>
      <c r="U597" s="7">
        <f>'1 datos preparados'!T590</f>
        <v/>
      </c>
      <c r="V597" s="8">
        <f>$AE$12+D597*$AE$13+E597*$AE$14+F597*$AE$15+G597*$AE$16+H597*$AE$17+I597*$AE$18+J597*$AE$19+K597*$AE$20+L597*$AE$21+M597*$AE$22+N597*$AE$23+O597*$AE$24+P597*$AE$25+Q597*$AE$26+R597*$AE$27+S597*$AE$28+T597*$AE$29+U597*$AE$30</f>
        <v/>
      </c>
      <c r="W597" s="8">
        <f>1/(1+EXP(-V597))</f>
        <v/>
      </c>
      <c r="X597" s="9">
        <f>-IF(C597=1,LN(W597),LN(1-W597))</f>
        <v/>
      </c>
      <c r="Y597" s="8">
        <f>IF(C597=1,$AE$32,$AE$33)</f>
        <v/>
      </c>
      <c r="Z597" s="9">
        <f>Y597*X597</f>
        <v/>
      </c>
      <c r="AA597" s="10">
        <f>IF(W597&gt;$AE$34,1,0)</f>
        <v/>
      </c>
      <c r="AB597">
        <f>IF(AA597=C597,1,0)</f>
        <v/>
      </c>
    </row>
    <row r="598">
      <c r="A598">
        <f>'1 datos preparados'!A591</f>
        <v/>
      </c>
      <c r="B598" s="5">
        <f>'1 datos preparados'!U591</f>
        <v/>
      </c>
      <c r="C598">
        <f>'1 datos preparados'!B591</f>
        <v/>
      </c>
      <c r="D598" s="7">
        <f>'1 datos preparados'!C591</f>
        <v/>
      </c>
      <c r="E598" s="7">
        <f>'1 datos preparados'!D591</f>
        <v/>
      </c>
      <c r="F598" s="7">
        <f>'1 datos preparados'!E591</f>
        <v/>
      </c>
      <c r="G598" s="7">
        <f>'1 datos preparados'!F591</f>
        <v/>
      </c>
      <c r="H598" s="7">
        <f>'1 datos preparados'!G591</f>
        <v/>
      </c>
      <c r="I598" s="7">
        <f>'1 datos preparados'!H591</f>
        <v/>
      </c>
      <c r="J598" s="7">
        <f>'1 datos preparados'!I591</f>
        <v/>
      </c>
      <c r="K598" s="7">
        <f>'1 datos preparados'!J591</f>
        <v/>
      </c>
      <c r="L598" s="7">
        <f>'1 datos preparados'!K591</f>
        <v/>
      </c>
      <c r="M598" s="7">
        <f>'1 datos preparados'!L591</f>
        <v/>
      </c>
      <c r="N598" s="7">
        <f>'1 datos preparados'!M591</f>
        <v/>
      </c>
      <c r="O598" s="7">
        <f>'1 datos preparados'!N591</f>
        <v/>
      </c>
      <c r="P598" s="7">
        <f>'1 datos preparados'!O591</f>
        <v/>
      </c>
      <c r="Q598" s="7">
        <f>'1 datos preparados'!P591</f>
        <v/>
      </c>
      <c r="R598" s="7">
        <f>'1 datos preparados'!Q591</f>
        <v/>
      </c>
      <c r="S598" s="7">
        <f>'1 datos preparados'!R591</f>
        <v/>
      </c>
      <c r="T598" s="7">
        <f>'1 datos preparados'!S591</f>
        <v/>
      </c>
      <c r="U598" s="7">
        <f>'1 datos preparados'!T591</f>
        <v/>
      </c>
      <c r="V598" s="8">
        <f>$AE$12+D598*$AE$13+E598*$AE$14+F598*$AE$15+G598*$AE$16+H598*$AE$17+I598*$AE$18+J598*$AE$19+K598*$AE$20+L598*$AE$21+M598*$AE$22+N598*$AE$23+O598*$AE$24+P598*$AE$25+Q598*$AE$26+R598*$AE$27+S598*$AE$28+T598*$AE$29+U598*$AE$30</f>
        <v/>
      </c>
      <c r="W598" s="8">
        <f>1/(1+EXP(-V598))</f>
        <v/>
      </c>
      <c r="X598" s="9">
        <f>-IF(C598=1,LN(W598),LN(1-W598))</f>
        <v/>
      </c>
      <c r="Y598" s="8">
        <f>IF(C598=1,$AE$32,$AE$33)</f>
        <v/>
      </c>
      <c r="Z598" s="9">
        <f>Y598*X598</f>
        <v/>
      </c>
      <c r="AA598" s="10">
        <f>IF(W598&gt;$AE$34,1,0)</f>
        <v/>
      </c>
      <c r="AB598">
        <f>IF(AA598=C598,1,0)</f>
        <v/>
      </c>
    </row>
    <row r="599">
      <c r="A599">
        <f>'1 datos preparados'!A592</f>
        <v/>
      </c>
      <c r="B599" s="5">
        <f>'1 datos preparados'!U592</f>
        <v/>
      </c>
      <c r="C599">
        <f>'1 datos preparados'!B592</f>
        <v/>
      </c>
      <c r="D599" s="7">
        <f>'1 datos preparados'!C592</f>
        <v/>
      </c>
      <c r="E599" s="7">
        <f>'1 datos preparados'!D592</f>
        <v/>
      </c>
      <c r="F599" s="7">
        <f>'1 datos preparados'!E592</f>
        <v/>
      </c>
      <c r="G599" s="7">
        <f>'1 datos preparados'!F592</f>
        <v/>
      </c>
      <c r="H599" s="7">
        <f>'1 datos preparados'!G592</f>
        <v/>
      </c>
      <c r="I599" s="7">
        <f>'1 datos preparados'!H592</f>
        <v/>
      </c>
      <c r="J599" s="7">
        <f>'1 datos preparados'!I592</f>
        <v/>
      </c>
      <c r="K599" s="7">
        <f>'1 datos preparados'!J592</f>
        <v/>
      </c>
      <c r="L599" s="7">
        <f>'1 datos preparados'!K592</f>
        <v/>
      </c>
      <c r="M599" s="7">
        <f>'1 datos preparados'!L592</f>
        <v/>
      </c>
      <c r="N599" s="7">
        <f>'1 datos preparados'!M592</f>
        <v/>
      </c>
      <c r="O599" s="7">
        <f>'1 datos preparados'!N592</f>
        <v/>
      </c>
      <c r="P599" s="7">
        <f>'1 datos preparados'!O592</f>
        <v/>
      </c>
      <c r="Q599" s="7">
        <f>'1 datos preparados'!P592</f>
        <v/>
      </c>
      <c r="R599" s="7">
        <f>'1 datos preparados'!Q592</f>
        <v/>
      </c>
      <c r="S599" s="7">
        <f>'1 datos preparados'!R592</f>
        <v/>
      </c>
      <c r="T599" s="7">
        <f>'1 datos preparados'!S592</f>
        <v/>
      </c>
      <c r="U599" s="7">
        <f>'1 datos preparados'!T592</f>
        <v/>
      </c>
      <c r="V599" s="8">
        <f>$AE$12+D599*$AE$13+E599*$AE$14+F599*$AE$15+G599*$AE$16+H599*$AE$17+I599*$AE$18+J599*$AE$19+K599*$AE$20+L599*$AE$21+M599*$AE$22+N599*$AE$23+O599*$AE$24+P599*$AE$25+Q599*$AE$26+R599*$AE$27+S599*$AE$28+T599*$AE$29+U599*$AE$30</f>
        <v/>
      </c>
      <c r="W599" s="8">
        <f>1/(1+EXP(-V599))</f>
        <v/>
      </c>
      <c r="X599" s="9">
        <f>-IF(C599=1,LN(W599),LN(1-W599))</f>
        <v/>
      </c>
      <c r="Y599" s="8">
        <f>IF(C599=1,$AE$32,$AE$33)</f>
        <v/>
      </c>
      <c r="Z599" s="9">
        <f>Y599*X599</f>
        <v/>
      </c>
      <c r="AA599" s="10">
        <f>IF(W599&gt;$AE$34,1,0)</f>
        <v/>
      </c>
      <c r="AB599">
        <f>IF(AA599=C599,1,0)</f>
        <v/>
      </c>
    </row>
    <row r="600">
      <c r="A600">
        <f>'1 datos preparados'!A593</f>
        <v/>
      </c>
      <c r="B600" s="5">
        <f>'1 datos preparados'!U593</f>
        <v/>
      </c>
      <c r="C600">
        <f>'1 datos preparados'!B593</f>
        <v/>
      </c>
      <c r="D600" s="7">
        <f>'1 datos preparados'!C593</f>
        <v/>
      </c>
      <c r="E600" s="7">
        <f>'1 datos preparados'!D593</f>
        <v/>
      </c>
      <c r="F600" s="7">
        <f>'1 datos preparados'!E593</f>
        <v/>
      </c>
      <c r="G600" s="7">
        <f>'1 datos preparados'!F593</f>
        <v/>
      </c>
      <c r="H600" s="7">
        <f>'1 datos preparados'!G593</f>
        <v/>
      </c>
      <c r="I600" s="7">
        <f>'1 datos preparados'!H593</f>
        <v/>
      </c>
      <c r="J600" s="7">
        <f>'1 datos preparados'!I593</f>
        <v/>
      </c>
      <c r="K600" s="7">
        <f>'1 datos preparados'!J593</f>
        <v/>
      </c>
      <c r="L600" s="7">
        <f>'1 datos preparados'!K593</f>
        <v/>
      </c>
      <c r="M600" s="7">
        <f>'1 datos preparados'!L593</f>
        <v/>
      </c>
      <c r="N600" s="7">
        <f>'1 datos preparados'!M593</f>
        <v/>
      </c>
      <c r="O600" s="7">
        <f>'1 datos preparados'!N593</f>
        <v/>
      </c>
      <c r="P600" s="7">
        <f>'1 datos preparados'!O593</f>
        <v/>
      </c>
      <c r="Q600" s="7">
        <f>'1 datos preparados'!P593</f>
        <v/>
      </c>
      <c r="R600" s="7">
        <f>'1 datos preparados'!Q593</f>
        <v/>
      </c>
      <c r="S600" s="7">
        <f>'1 datos preparados'!R593</f>
        <v/>
      </c>
      <c r="T600" s="7">
        <f>'1 datos preparados'!S593</f>
        <v/>
      </c>
      <c r="U600" s="7">
        <f>'1 datos preparados'!T593</f>
        <v/>
      </c>
      <c r="V600" s="8">
        <f>$AE$12+D600*$AE$13+E600*$AE$14+F600*$AE$15+G600*$AE$16+H600*$AE$17+I600*$AE$18+J600*$AE$19+K600*$AE$20+L600*$AE$21+M600*$AE$22+N600*$AE$23+O600*$AE$24+P600*$AE$25+Q600*$AE$26+R600*$AE$27+S600*$AE$28+T600*$AE$29+U600*$AE$30</f>
        <v/>
      </c>
      <c r="W600" s="8">
        <f>1/(1+EXP(-V600))</f>
        <v/>
      </c>
      <c r="X600" s="9">
        <f>-IF(C600=1,LN(W600),LN(1-W600))</f>
        <v/>
      </c>
      <c r="Y600" s="8">
        <f>IF(C600=1,$AE$32,$AE$33)</f>
        <v/>
      </c>
      <c r="Z600" s="9">
        <f>Y600*X600</f>
        <v/>
      </c>
      <c r="AA600" s="10">
        <f>IF(W600&gt;$AE$34,1,0)</f>
        <v/>
      </c>
      <c r="AB600">
        <f>IF(AA600=C600,1,0)</f>
        <v/>
      </c>
    </row>
    <row r="601">
      <c r="A601">
        <f>'1 datos preparados'!A594</f>
        <v/>
      </c>
      <c r="B601" s="5">
        <f>'1 datos preparados'!U594</f>
        <v/>
      </c>
      <c r="C601">
        <f>'1 datos preparados'!B594</f>
        <v/>
      </c>
      <c r="D601" s="7">
        <f>'1 datos preparados'!C594</f>
        <v/>
      </c>
      <c r="E601" s="7">
        <f>'1 datos preparados'!D594</f>
        <v/>
      </c>
      <c r="F601" s="7">
        <f>'1 datos preparados'!E594</f>
        <v/>
      </c>
      <c r="G601" s="7">
        <f>'1 datos preparados'!F594</f>
        <v/>
      </c>
      <c r="H601" s="7">
        <f>'1 datos preparados'!G594</f>
        <v/>
      </c>
      <c r="I601" s="7">
        <f>'1 datos preparados'!H594</f>
        <v/>
      </c>
      <c r="J601" s="7">
        <f>'1 datos preparados'!I594</f>
        <v/>
      </c>
      <c r="K601" s="7">
        <f>'1 datos preparados'!J594</f>
        <v/>
      </c>
      <c r="L601" s="7">
        <f>'1 datos preparados'!K594</f>
        <v/>
      </c>
      <c r="M601" s="7">
        <f>'1 datos preparados'!L594</f>
        <v/>
      </c>
      <c r="N601" s="7">
        <f>'1 datos preparados'!M594</f>
        <v/>
      </c>
      <c r="O601" s="7">
        <f>'1 datos preparados'!N594</f>
        <v/>
      </c>
      <c r="P601" s="7">
        <f>'1 datos preparados'!O594</f>
        <v/>
      </c>
      <c r="Q601" s="7">
        <f>'1 datos preparados'!P594</f>
        <v/>
      </c>
      <c r="R601" s="7">
        <f>'1 datos preparados'!Q594</f>
        <v/>
      </c>
      <c r="S601" s="7">
        <f>'1 datos preparados'!R594</f>
        <v/>
      </c>
      <c r="T601" s="7">
        <f>'1 datos preparados'!S594</f>
        <v/>
      </c>
      <c r="U601" s="7">
        <f>'1 datos preparados'!T594</f>
        <v/>
      </c>
      <c r="V601" s="8">
        <f>$AE$12+D601*$AE$13+E601*$AE$14+F601*$AE$15+G601*$AE$16+H601*$AE$17+I601*$AE$18+J601*$AE$19+K601*$AE$20+L601*$AE$21+M601*$AE$22+N601*$AE$23+O601*$AE$24+P601*$AE$25+Q601*$AE$26+R601*$AE$27+S601*$AE$28+T601*$AE$29+U601*$AE$30</f>
        <v/>
      </c>
      <c r="W601" s="8">
        <f>1/(1+EXP(-V601))</f>
        <v/>
      </c>
      <c r="X601" s="9">
        <f>-IF(C601=1,LN(W601),LN(1-W601))</f>
        <v/>
      </c>
      <c r="Y601" s="8">
        <f>IF(C601=1,$AE$32,$AE$33)</f>
        <v/>
      </c>
      <c r="Z601" s="9">
        <f>Y601*X601</f>
        <v/>
      </c>
      <c r="AA601" s="10">
        <f>IF(W601&gt;$AE$34,1,0)</f>
        <v/>
      </c>
      <c r="AB601">
        <f>IF(AA601=C601,1,0)</f>
        <v/>
      </c>
    </row>
    <row r="602">
      <c r="A602">
        <f>'1 datos preparados'!A595</f>
        <v/>
      </c>
      <c r="B602" s="5">
        <f>'1 datos preparados'!U595</f>
        <v/>
      </c>
      <c r="C602">
        <f>'1 datos preparados'!B595</f>
        <v/>
      </c>
      <c r="D602" s="7">
        <f>'1 datos preparados'!C595</f>
        <v/>
      </c>
      <c r="E602" s="7">
        <f>'1 datos preparados'!D595</f>
        <v/>
      </c>
      <c r="F602" s="7">
        <f>'1 datos preparados'!E595</f>
        <v/>
      </c>
      <c r="G602" s="7">
        <f>'1 datos preparados'!F595</f>
        <v/>
      </c>
      <c r="H602" s="7">
        <f>'1 datos preparados'!G595</f>
        <v/>
      </c>
      <c r="I602" s="7">
        <f>'1 datos preparados'!H595</f>
        <v/>
      </c>
      <c r="J602" s="7">
        <f>'1 datos preparados'!I595</f>
        <v/>
      </c>
      <c r="K602" s="7">
        <f>'1 datos preparados'!J595</f>
        <v/>
      </c>
      <c r="L602" s="7">
        <f>'1 datos preparados'!K595</f>
        <v/>
      </c>
      <c r="M602" s="7">
        <f>'1 datos preparados'!L595</f>
        <v/>
      </c>
      <c r="N602" s="7">
        <f>'1 datos preparados'!M595</f>
        <v/>
      </c>
      <c r="O602" s="7">
        <f>'1 datos preparados'!N595</f>
        <v/>
      </c>
      <c r="P602" s="7">
        <f>'1 datos preparados'!O595</f>
        <v/>
      </c>
      <c r="Q602" s="7">
        <f>'1 datos preparados'!P595</f>
        <v/>
      </c>
      <c r="R602" s="7">
        <f>'1 datos preparados'!Q595</f>
        <v/>
      </c>
      <c r="S602" s="7">
        <f>'1 datos preparados'!R595</f>
        <v/>
      </c>
      <c r="T602" s="7">
        <f>'1 datos preparados'!S595</f>
        <v/>
      </c>
      <c r="U602" s="7">
        <f>'1 datos preparados'!T595</f>
        <v/>
      </c>
      <c r="V602" s="8">
        <f>$AE$12+D602*$AE$13+E602*$AE$14+F602*$AE$15+G602*$AE$16+H602*$AE$17+I602*$AE$18+J602*$AE$19+K602*$AE$20+L602*$AE$21+M602*$AE$22+N602*$AE$23+O602*$AE$24+P602*$AE$25+Q602*$AE$26+R602*$AE$27+S602*$AE$28+T602*$AE$29+U602*$AE$30</f>
        <v/>
      </c>
      <c r="W602" s="8">
        <f>1/(1+EXP(-V602))</f>
        <v/>
      </c>
      <c r="X602" s="9">
        <f>-IF(C602=1,LN(W602),LN(1-W602))</f>
        <v/>
      </c>
      <c r="Y602" s="8">
        <f>IF(C602=1,$AE$32,$AE$33)</f>
        <v/>
      </c>
      <c r="Z602" s="9">
        <f>Y602*X602</f>
        <v/>
      </c>
      <c r="AA602" s="10">
        <f>IF(W602&gt;$AE$34,1,0)</f>
        <v/>
      </c>
      <c r="AB602">
        <f>IF(AA602=C602,1,0)</f>
        <v/>
      </c>
    </row>
    <row r="603">
      <c r="A603">
        <f>'1 datos preparados'!A596</f>
        <v/>
      </c>
      <c r="B603" s="5">
        <f>'1 datos preparados'!U596</f>
        <v/>
      </c>
      <c r="C603">
        <f>'1 datos preparados'!B596</f>
        <v/>
      </c>
      <c r="D603" s="7">
        <f>'1 datos preparados'!C596</f>
        <v/>
      </c>
      <c r="E603" s="7">
        <f>'1 datos preparados'!D596</f>
        <v/>
      </c>
      <c r="F603" s="7">
        <f>'1 datos preparados'!E596</f>
        <v/>
      </c>
      <c r="G603" s="7">
        <f>'1 datos preparados'!F596</f>
        <v/>
      </c>
      <c r="H603" s="7">
        <f>'1 datos preparados'!G596</f>
        <v/>
      </c>
      <c r="I603" s="7">
        <f>'1 datos preparados'!H596</f>
        <v/>
      </c>
      <c r="J603" s="7">
        <f>'1 datos preparados'!I596</f>
        <v/>
      </c>
      <c r="K603" s="7">
        <f>'1 datos preparados'!J596</f>
        <v/>
      </c>
      <c r="L603" s="7">
        <f>'1 datos preparados'!K596</f>
        <v/>
      </c>
      <c r="M603" s="7">
        <f>'1 datos preparados'!L596</f>
        <v/>
      </c>
      <c r="N603" s="7">
        <f>'1 datos preparados'!M596</f>
        <v/>
      </c>
      <c r="O603" s="7">
        <f>'1 datos preparados'!N596</f>
        <v/>
      </c>
      <c r="P603" s="7">
        <f>'1 datos preparados'!O596</f>
        <v/>
      </c>
      <c r="Q603" s="7">
        <f>'1 datos preparados'!P596</f>
        <v/>
      </c>
      <c r="R603" s="7">
        <f>'1 datos preparados'!Q596</f>
        <v/>
      </c>
      <c r="S603" s="7">
        <f>'1 datos preparados'!R596</f>
        <v/>
      </c>
      <c r="T603" s="7">
        <f>'1 datos preparados'!S596</f>
        <v/>
      </c>
      <c r="U603" s="7">
        <f>'1 datos preparados'!T596</f>
        <v/>
      </c>
      <c r="V603" s="8">
        <f>$AE$12+D603*$AE$13+E603*$AE$14+F603*$AE$15+G603*$AE$16+H603*$AE$17+I603*$AE$18+J603*$AE$19+K603*$AE$20+L603*$AE$21+M603*$AE$22+N603*$AE$23+O603*$AE$24+P603*$AE$25+Q603*$AE$26+R603*$AE$27+S603*$AE$28+T603*$AE$29+U603*$AE$30</f>
        <v/>
      </c>
      <c r="W603" s="8">
        <f>1/(1+EXP(-V603))</f>
        <v/>
      </c>
      <c r="X603" s="9">
        <f>-IF(C603=1,LN(W603),LN(1-W603))</f>
        <v/>
      </c>
      <c r="Y603" s="8">
        <f>IF(C603=1,$AE$32,$AE$33)</f>
        <v/>
      </c>
      <c r="Z603" s="9">
        <f>Y603*X603</f>
        <v/>
      </c>
      <c r="AA603" s="10">
        <f>IF(W603&gt;$AE$34,1,0)</f>
        <v/>
      </c>
      <c r="AB603">
        <f>IF(AA603=C603,1,0)</f>
        <v/>
      </c>
    </row>
    <row r="604">
      <c r="A604">
        <f>'1 datos preparados'!A597</f>
        <v/>
      </c>
      <c r="B604" s="5">
        <f>'1 datos preparados'!U597</f>
        <v/>
      </c>
      <c r="C604">
        <f>'1 datos preparados'!B597</f>
        <v/>
      </c>
      <c r="D604" s="7">
        <f>'1 datos preparados'!C597</f>
        <v/>
      </c>
      <c r="E604" s="7">
        <f>'1 datos preparados'!D597</f>
        <v/>
      </c>
      <c r="F604" s="7">
        <f>'1 datos preparados'!E597</f>
        <v/>
      </c>
      <c r="G604" s="7">
        <f>'1 datos preparados'!F597</f>
        <v/>
      </c>
      <c r="H604" s="7">
        <f>'1 datos preparados'!G597</f>
        <v/>
      </c>
      <c r="I604" s="7">
        <f>'1 datos preparados'!H597</f>
        <v/>
      </c>
      <c r="J604" s="7">
        <f>'1 datos preparados'!I597</f>
        <v/>
      </c>
      <c r="K604" s="7">
        <f>'1 datos preparados'!J597</f>
        <v/>
      </c>
      <c r="L604" s="7">
        <f>'1 datos preparados'!K597</f>
        <v/>
      </c>
      <c r="M604" s="7">
        <f>'1 datos preparados'!L597</f>
        <v/>
      </c>
      <c r="N604" s="7">
        <f>'1 datos preparados'!M597</f>
        <v/>
      </c>
      <c r="O604" s="7">
        <f>'1 datos preparados'!N597</f>
        <v/>
      </c>
      <c r="P604" s="7">
        <f>'1 datos preparados'!O597</f>
        <v/>
      </c>
      <c r="Q604" s="7">
        <f>'1 datos preparados'!P597</f>
        <v/>
      </c>
      <c r="R604" s="7">
        <f>'1 datos preparados'!Q597</f>
        <v/>
      </c>
      <c r="S604" s="7">
        <f>'1 datos preparados'!R597</f>
        <v/>
      </c>
      <c r="T604" s="7">
        <f>'1 datos preparados'!S597</f>
        <v/>
      </c>
      <c r="U604" s="7">
        <f>'1 datos preparados'!T597</f>
        <v/>
      </c>
      <c r="V604" s="8">
        <f>$AE$12+D604*$AE$13+E604*$AE$14+F604*$AE$15+G604*$AE$16+H604*$AE$17+I604*$AE$18+J604*$AE$19+K604*$AE$20+L604*$AE$21+M604*$AE$22+N604*$AE$23+O604*$AE$24+P604*$AE$25+Q604*$AE$26+R604*$AE$27+S604*$AE$28+T604*$AE$29+U604*$AE$30</f>
        <v/>
      </c>
      <c r="W604" s="8">
        <f>1/(1+EXP(-V604))</f>
        <v/>
      </c>
      <c r="X604" s="9">
        <f>-IF(C604=1,LN(W604),LN(1-W604))</f>
        <v/>
      </c>
      <c r="Y604" s="8">
        <f>IF(C604=1,$AE$32,$AE$33)</f>
        <v/>
      </c>
      <c r="Z604" s="9">
        <f>Y604*X604</f>
        <v/>
      </c>
      <c r="AA604" s="10">
        <f>IF(W604&gt;$AE$34,1,0)</f>
        <v/>
      </c>
      <c r="AB604">
        <f>IF(AA604=C604,1,0)</f>
        <v/>
      </c>
    </row>
    <row r="605">
      <c r="A605">
        <f>'1 datos preparados'!A598</f>
        <v/>
      </c>
      <c r="B605" s="5">
        <f>'1 datos preparados'!U598</f>
        <v/>
      </c>
      <c r="C605">
        <f>'1 datos preparados'!B598</f>
        <v/>
      </c>
      <c r="D605" s="7">
        <f>'1 datos preparados'!C598</f>
        <v/>
      </c>
      <c r="E605" s="7">
        <f>'1 datos preparados'!D598</f>
        <v/>
      </c>
      <c r="F605" s="7">
        <f>'1 datos preparados'!E598</f>
        <v/>
      </c>
      <c r="G605" s="7">
        <f>'1 datos preparados'!F598</f>
        <v/>
      </c>
      <c r="H605" s="7">
        <f>'1 datos preparados'!G598</f>
        <v/>
      </c>
      <c r="I605" s="7">
        <f>'1 datos preparados'!H598</f>
        <v/>
      </c>
      <c r="J605" s="7">
        <f>'1 datos preparados'!I598</f>
        <v/>
      </c>
      <c r="K605" s="7">
        <f>'1 datos preparados'!J598</f>
        <v/>
      </c>
      <c r="L605" s="7">
        <f>'1 datos preparados'!K598</f>
        <v/>
      </c>
      <c r="M605" s="7">
        <f>'1 datos preparados'!L598</f>
        <v/>
      </c>
      <c r="N605" s="7">
        <f>'1 datos preparados'!M598</f>
        <v/>
      </c>
      <c r="O605" s="7">
        <f>'1 datos preparados'!N598</f>
        <v/>
      </c>
      <c r="P605" s="7">
        <f>'1 datos preparados'!O598</f>
        <v/>
      </c>
      <c r="Q605" s="7">
        <f>'1 datos preparados'!P598</f>
        <v/>
      </c>
      <c r="R605" s="7">
        <f>'1 datos preparados'!Q598</f>
        <v/>
      </c>
      <c r="S605" s="7">
        <f>'1 datos preparados'!R598</f>
        <v/>
      </c>
      <c r="T605" s="7">
        <f>'1 datos preparados'!S598</f>
        <v/>
      </c>
      <c r="U605" s="7">
        <f>'1 datos preparados'!T598</f>
        <v/>
      </c>
      <c r="V605" s="8">
        <f>$AE$12+D605*$AE$13+E605*$AE$14+F605*$AE$15+G605*$AE$16+H605*$AE$17+I605*$AE$18+J605*$AE$19+K605*$AE$20+L605*$AE$21+M605*$AE$22+N605*$AE$23+O605*$AE$24+P605*$AE$25+Q605*$AE$26+R605*$AE$27+S605*$AE$28+T605*$AE$29+U605*$AE$30</f>
        <v/>
      </c>
      <c r="W605" s="8">
        <f>1/(1+EXP(-V605))</f>
        <v/>
      </c>
      <c r="X605" s="9">
        <f>-IF(C605=1,LN(W605),LN(1-W605))</f>
        <v/>
      </c>
      <c r="Y605" s="8">
        <f>IF(C605=1,$AE$32,$AE$33)</f>
        <v/>
      </c>
      <c r="Z605" s="9">
        <f>Y605*X605</f>
        <v/>
      </c>
      <c r="AA605" s="10">
        <f>IF(W605&gt;$AE$34,1,0)</f>
        <v/>
      </c>
      <c r="AB605">
        <f>IF(AA605=C605,1,0)</f>
        <v/>
      </c>
    </row>
    <row r="606">
      <c r="A606">
        <f>'1 datos preparados'!A599</f>
        <v/>
      </c>
      <c r="B606" s="5">
        <f>'1 datos preparados'!U599</f>
        <v/>
      </c>
      <c r="C606">
        <f>'1 datos preparados'!B599</f>
        <v/>
      </c>
      <c r="D606" s="7">
        <f>'1 datos preparados'!C599</f>
        <v/>
      </c>
      <c r="E606" s="7">
        <f>'1 datos preparados'!D599</f>
        <v/>
      </c>
      <c r="F606" s="7">
        <f>'1 datos preparados'!E599</f>
        <v/>
      </c>
      <c r="G606" s="7">
        <f>'1 datos preparados'!F599</f>
        <v/>
      </c>
      <c r="H606" s="7">
        <f>'1 datos preparados'!G599</f>
        <v/>
      </c>
      <c r="I606" s="7">
        <f>'1 datos preparados'!H599</f>
        <v/>
      </c>
      <c r="J606" s="7">
        <f>'1 datos preparados'!I599</f>
        <v/>
      </c>
      <c r="K606" s="7">
        <f>'1 datos preparados'!J599</f>
        <v/>
      </c>
      <c r="L606" s="7">
        <f>'1 datos preparados'!K599</f>
        <v/>
      </c>
      <c r="M606" s="7">
        <f>'1 datos preparados'!L599</f>
        <v/>
      </c>
      <c r="N606" s="7">
        <f>'1 datos preparados'!M599</f>
        <v/>
      </c>
      <c r="O606" s="7">
        <f>'1 datos preparados'!N599</f>
        <v/>
      </c>
      <c r="P606" s="7">
        <f>'1 datos preparados'!O599</f>
        <v/>
      </c>
      <c r="Q606" s="7">
        <f>'1 datos preparados'!P599</f>
        <v/>
      </c>
      <c r="R606" s="7">
        <f>'1 datos preparados'!Q599</f>
        <v/>
      </c>
      <c r="S606" s="7">
        <f>'1 datos preparados'!R599</f>
        <v/>
      </c>
      <c r="T606" s="7">
        <f>'1 datos preparados'!S599</f>
        <v/>
      </c>
      <c r="U606" s="7">
        <f>'1 datos preparados'!T599</f>
        <v/>
      </c>
      <c r="V606" s="8">
        <f>$AE$12+D606*$AE$13+E606*$AE$14+F606*$AE$15+G606*$AE$16+H606*$AE$17+I606*$AE$18+J606*$AE$19+K606*$AE$20+L606*$AE$21+M606*$AE$22+N606*$AE$23+O606*$AE$24+P606*$AE$25+Q606*$AE$26+R606*$AE$27+S606*$AE$28+T606*$AE$29+U606*$AE$30</f>
        <v/>
      </c>
      <c r="W606" s="8">
        <f>1/(1+EXP(-V606))</f>
        <v/>
      </c>
      <c r="X606" s="9">
        <f>-IF(C606=1,LN(W606),LN(1-W606))</f>
        <v/>
      </c>
      <c r="Y606" s="8">
        <f>IF(C606=1,$AE$32,$AE$33)</f>
        <v/>
      </c>
      <c r="Z606" s="9">
        <f>Y606*X606</f>
        <v/>
      </c>
      <c r="AA606" s="10">
        <f>IF(W606&gt;$AE$34,1,0)</f>
        <v/>
      </c>
      <c r="AB606">
        <f>IF(AA606=C606,1,0)</f>
        <v/>
      </c>
    </row>
    <row r="607">
      <c r="A607">
        <f>'1 datos preparados'!A600</f>
        <v/>
      </c>
      <c r="B607" s="5">
        <f>'1 datos preparados'!U600</f>
        <v/>
      </c>
      <c r="C607">
        <f>'1 datos preparados'!B600</f>
        <v/>
      </c>
      <c r="D607" s="7">
        <f>'1 datos preparados'!C600</f>
        <v/>
      </c>
      <c r="E607" s="7">
        <f>'1 datos preparados'!D600</f>
        <v/>
      </c>
      <c r="F607" s="7">
        <f>'1 datos preparados'!E600</f>
        <v/>
      </c>
      <c r="G607" s="7">
        <f>'1 datos preparados'!F600</f>
        <v/>
      </c>
      <c r="H607" s="7">
        <f>'1 datos preparados'!G600</f>
        <v/>
      </c>
      <c r="I607" s="7">
        <f>'1 datos preparados'!H600</f>
        <v/>
      </c>
      <c r="J607" s="7">
        <f>'1 datos preparados'!I600</f>
        <v/>
      </c>
      <c r="K607" s="7">
        <f>'1 datos preparados'!J600</f>
        <v/>
      </c>
      <c r="L607" s="7">
        <f>'1 datos preparados'!K600</f>
        <v/>
      </c>
      <c r="M607" s="7">
        <f>'1 datos preparados'!L600</f>
        <v/>
      </c>
      <c r="N607" s="7">
        <f>'1 datos preparados'!M600</f>
        <v/>
      </c>
      <c r="O607" s="7">
        <f>'1 datos preparados'!N600</f>
        <v/>
      </c>
      <c r="P607" s="7">
        <f>'1 datos preparados'!O600</f>
        <v/>
      </c>
      <c r="Q607" s="7">
        <f>'1 datos preparados'!P600</f>
        <v/>
      </c>
      <c r="R607" s="7">
        <f>'1 datos preparados'!Q600</f>
        <v/>
      </c>
      <c r="S607" s="7">
        <f>'1 datos preparados'!R600</f>
        <v/>
      </c>
      <c r="T607" s="7">
        <f>'1 datos preparados'!S600</f>
        <v/>
      </c>
      <c r="U607" s="7">
        <f>'1 datos preparados'!T600</f>
        <v/>
      </c>
      <c r="V607" s="8">
        <f>$AE$12+D607*$AE$13+E607*$AE$14+F607*$AE$15+G607*$AE$16+H607*$AE$17+I607*$AE$18+J607*$AE$19+K607*$AE$20+L607*$AE$21+M607*$AE$22+N607*$AE$23+O607*$AE$24+P607*$AE$25+Q607*$AE$26+R607*$AE$27+S607*$AE$28+T607*$AE$29+U607*$AE$30</f>
        <v/>
      </c>
      <c r="W607" s="8">
        <f>1/(1+EXP(-V607))</f>
        <v/>
      </c>
      <c r="X607" s="9">
        <f>-IF(C607=1,LN(W607),LN(1-W607))</f>
        <v/>
      </c>
      <c r="Y607" s="8">
        <f>IF(C607=1,$AE$32,$AE$33)</f>
        <v/>
      </c>
      <c r="Z607" s="9">
        <f>Y607*X607</f>
        <v/>
      </c>
      <c r="AA607" s="10">
        <f>IF(W607&gt;$AE$34,1,0)</f>
        <v/>
      </c>
      <c r="AB607">
        <f>IF(AA607=C607,1,0)</f>
        <v/>
      </c>
    </row>
    <row r="608">
      <c r="A608">
        <f>'1 datos preparados'!A601</f>
        <v/>
      </c>
      <c r="B608" s="5">
        <f>'1 datos preparados'!U601</f>
        <v/>
      </c>
      <c r="C608">
        <f>'1 datos preparados'!B601</f>
        <v/>
      </c>
      <c r="D608" s="7">
        <f>'1 datos preparados'!C601</f>
        <v/>
      </c>
      <c r="E608" s="7">
        <f>'1 datos preparados'!D601</f>
        <v/>
      </c>
      <c r="F608" s="7">
        <f>'1 datos preparados'!E601</f>
        <v/>
      </c>
      <c r="G608" s="7">
        <f>'1 datos preparados'!F601</f>
        <v/>
      </c>
      <c r="H608" s="7">
        <f>'1 datos preparados'!G601</f>
        <v/>
      </c>
      <c r="I608" s="7">
        <f>'1 datos preparados'!H601</f>
        <v/>
      </c>
      <c r="J608" s="7">
        <f>'1 datos preparados'!I601</f>
        <v/>
      </c>
      <c r="K608" s="7">
        <f>'1 datos preparados'!J601</f>
        <v/>
      </c>
      <c r="L608" s="7">
        <f>'1 datos preparados'!K601</f>
        <v/>
      </c>
      <c r="M608" s="7">
        <f>'1 datos preparados'!L601</f>
        <v/>
      </c>
      <c r="N608" s="7">
        <f>'1 datos preparados'!M601</f>
        <v/>
      </c>
      <c r="O608" s="7">
        <f>'1 datos preparados'!N601</f>
        <v/>
      </c>
      <c r="P608" s="7">
        <f>'1 datos preparados'!O601</f>
        <v/>
      </c>
      <c r="Q608" s="7">
        <f>'1 datos preparados'!P601</f>
        <v/>
      </c>
      <c r="R608" s="7">
        <f>'1 datos preparados'!Q601</f>
        <v/>
      </c>
      <c r="S608" s="7">
        <f>'1 datos preparados'!R601</f>
        <v/>
      </c>
      <c r="T608" s="7">
        <f>'1 datos preparados'!S601</f>
        <v/>
      </c>
      <c r="U608" s="7">
        <f>'1 datos preparados'!T601</f>
        <v/>
      </c>
      <c r="V608" s="8">
        <f>$AE$12+D608*$AE$13+E608*$AE$14+F608*$AE$15+G608*$AE$16+H608*$AE$17+I608*$AE$18+J608*$AE$19+K608*$AE$20+L608*$AE$21+M608*$AE$22+N608*$AE$23+O608*$AE$24+P608*$AE$25+Q608*$AE$26+R608*$AE$27+S608*$AE$28+T608*$AE$29+U608*$AE$30</f>
        <v/>
      </c>
      <c r="W608" s="8">
        <f>1/(1+EXP(-V608))</f>
        <v/>
      </c>
      <c r="X608" s="9">
        <f>-IF(C608=1,LN(W608),LN(1-W608))</f>
        <v/>
      </c>
      <c r="Y608" s="8">
        <f>IF(C608=1,$AE$32,$AE$33)</f>
        <v/>
      </c>
      <c r="Z608" s="9">
        <f>Y608*X608</f>
        <v/>
      </c>
      <c r="AA608" s="10">
        <f>IF(W608&gt;$AE$34,1,0)</f>
        <v/>
      </c>
      <c r="AB608">
        <f>IF(AA608=C608,1,0)</f>
        <v/>
      </c>
    </row>
    <row r="609">
      <c r="A609">
        <f>'1 datos preparados'!A602</f>
        <v/>
      </c>
      <c r="B609" s="5">
        <f>'1 datos preparados'!U602</f>
        <v/>
      </c>
      <c r="C609">
        <f>'1 datos preparados'!B602</f>
        <v/>
      </c>
      <c r="D609" s="7">
        <f>'1 datos preparados'!C602</f>
        <v/>
      </c>
      <c r="E609" s="7">
        <f>'1 datos preparados'!D602</f>
        <v/>
      </c>
      <c r="F609" s="7">
        <f>'1 datos preparados'!E602</f>
        <v/>
      </c>
      <c r="G609" s="7">
        <f>'1 datos preparados'!F602</f>
        <v/>
      </c>
      <c r="H609" s="7">
        <f>'1 datos preparados'!G602</f>
        <v/>
      </c>
      <c r="I609" s="7">
        <f>'1 datos preparados'!H602</f>
        <v/>
      </c>
      <c r="J609" s="7">
        <f>'1 datos preparados'!I602</f>
        <v/>
      </c>
      <c r="K609" s="7">
        <f>'1 datos preparados'!J602</f>
        <v/>
      </c>
      <c r="L609" s="7">
        <f>'1 datos preparados'!K602</f>
        <v/>
      </c>
      <c r="M609" s="7">
        <f>'1 datos preparados'!L602</f>
        <v/>
      </c>
      <c r="N609" s="7">
        <f>'1 datos preparados'!M602</f>
        <v/>
      </c>
      <c r="O609" s="7">
        <f>'1 datos preparados'!N602</f>
        <v/>
      </c>
      <c r="P609" s="7">
        <f>'1 datos preparados'!O602</f>
        <v/>
      </c>
      <c r="Q609" s="7">
        <f>'1 datos preparados'!P602</f>
        <v/>
      </c>
      <c r="R609" s="7">
        <f>'1 datos preparados'!Q602</f>
        <v/>
      </c>
      <c r="S609" s="7">
        <f>'1 datos preparados'!R602</f>
        <v/>
      </c>
      <c r="T609" s="7">
        <f>'1 datos preparados'!S602</f>
        <v/>
      </c>
      <c r="U609" s="7">
        <f>'1 datos preparados'!T602</f>
        <v/>
      </c>
      <c r="V609" s="8">
        <f>$AE$12+D609*$AE$13+E609*$AE$14+F609*$AE$15+G609*$AE$16+H609*$AE$17+I609*$AE$18+J609*$AE$19+K609*$AE$20+L609*$AE$21+M609*$AE$22+N609*$AE$23+O609*$AE$24+P609*$AE$25+Q609*$AE$26+R609*$AE$27+S609*$AE$28+T609*$AE$29+U609*$AE$30</f>
        <v/>
      </c>
      <c r="W609" s="8">
        <f>1/(1+EXP(-V609))</f>
        <v/>
      </c>
      <c r="X609" s="9">
        <f>-IF(C609=1,LN(W609),LN(1-W609))</f>
        <v/>
      </c>
      <c r="Y609" s="8">
        <f>IF(C609=1,$AE$32,$AE$33)</f>
        <v/>
      </c>
      <c r="Z609" s="9">
        <f>Y609*X609</f>
        <v/>
      </c>
      <c r="AA609" s="10">
        <f>IF(W609&gt;$AE$34,1,0)</f>
        <v/>
      </c>
      <c r="AB609">
        <f>IF(AA609=C609,1,0)</f>
        <v/>
      </c>
    </row>
    <row r="610">
      <c r="A610">
        <f>'1 datos preparados'!A603</f>
        <v/>
      </c>
      <c r="B610" s="5">
        <f>'1 datos preparados'!U603</f>
        <v/>
      </c>
      <c r="C610">
        <f>'1 datos preparados'!B603</f>
        <v/>
      </c>
      <c r="D610" s="7">
        <f>'1 datos preparados'!C603</f>
        <v/>
      </c>
      <c r="E610" s="7">
        <f>'1 datos preparados'!D603</f>
        <v/>
      </c>
      <c r="F610" s="7">
        <f>'1 datos preparados'!E603</f>
        <v/>
      </c>
      <c r="G610" s="7">
        <f>'1 datos preparados'!F603</f>
        <v/>
      </c>
      <c r="H610" s="7">
        <f>'1 datos preparados'!G603</f>
        <v/>
      </c>
      <c r="I610" s="7">
        <f>'1 datos preparados'!H603</f>
        <v/>
      </c>
      <c r="J610" s="7">
        <f>'1 datos preparados'!I603</f>
        <v/>
      </c>
      <c r="K610" s="7">
        <f>'1 datos preparados'!J603</f>
        <v/>
      </c>
      <c r="L610" s="7">
        <f>'1 datos preparados'!K603</f>
        <v/>
      </c>
      <c r="M610" s="7">
        <f>'1 datos preparados'!L603</f>
        <v/>
      </c>
      <c r="N610" s="7">
        <f>'1 datos preparados'!M603</f>
        <v/>
      </c>
      <c r="O610" s="7">
        <f>'1 datos preparados'!N603</f>
        <v/>
      </c>
      <c r="P610" s="7">
        <f>'1 datos preparados'!O603</f>
        <v/>
      </c>
      <c r="Q610" s="7">
        <f>'1 datos preparados'!P603</f>
        <v/>
      </c>
      <c r="R610" s="7">
        <f>'1 datos preparados'!Q603</f>
        <v/>
      </c>
      <c r="S610" s="7">
        <f>'1 datos preparados'!R603</f>
        <v/>
      </c>
      <c r="T610" s="7">
        <f>'1 datos preparados'!S603</f>
        <v/>
      </c>
      <c r="U610" s="7">
        <f>'1 datos preparados'!T603</f>
        <v/>
      </c>
      <c r="V610" s="8">
        <f>$AE$12+D610*$AE$13+E610*$AE$14+F610*$AE$15+G610*$AE$16+H610*$AE$17+I610*$AE$18+J610*$AE$19+K610*$AE$20+L610*$AE$21+M610*$AE$22+N610*$AE$23+O610*$AE$24+P610*$AE$25+Q610*$AE$26+R610*$AE$27+S610*$AE$28+T610*$AE$29+U610*$AE$30</f>
        <v/>
      </c>
      <c r="W610" s="8">
        <f>1/(1+EXP(-V610))</f>
        <v/>
      </c>
      <c r="X610" s="9">
        <f>-IF(C610=1,LN(W610),LN(1-W610))</f>
        <v/>
      </c>
      <c r="Y610" s="8">
        <f>IF(C610=1,$AE$32,$AE$33)</f>
        <v/>
      </c>
      <c r="Z610" s="9">
        <f>Y610*X610</f>
        <v/>
      </c>
      <c r="AA610" s="10">
        <f>IF(W610&gt;$AE$34,1,0)</f>
        <v/>
      </c>
      <c r="AB610">
        <f>IF(AA610=C610,1,0)</f>
        <v/>
      </c>
    </row>
    <row r="611">
      <c r="A611">
        <f>'1 datos preparados'!A604</f>
        <v/>
      </c>
      <c r="B611" s="5">
        <f>'1 datos preparados'!U604</f>
        <v/>
      </c>
      <c r="C611">
        <f>'1 datos preparados'!B604</f>
        <v/>
      </c>
      <c r="D611" s="7">
        <f>'1 datos preparados'!C604</f>
        <v/>
      </c>
      <c r="E611" s="7">
        <f>'1 datos preparados'!D604</f>
        <v/>
      </c>
      <c r="F611" s="7">
        <f>'1 datos preparados'!E604</f>
        <v/>
      </c>
      <c r="G611" s="7">
        <f>'1 datos preparados'!F604</f>
        <v/>
      </c>
      <c r="H611" s="7">
        <f>'1 datos preparados'!G604</f>
        <v/>
      </c>
      <c r="I611" s="7">
        <f>'1 datos preparados'!H604</f>
        <v/>
      </c>
      <c r="J611" s="7">
        <f>'1 datos preparados'!I604</f>
        <v/>
      </c>
      <c r="K611" s="7">
        <f>'1 datos preparados'!J604</f>
        <v/>
      </c>
      <c r="L611" s="7">
        <f>'1 datos preparados'!K604</f>
        <v/>
      </c>
      <c r="M611" s="7">
        <f>'1 datos preparados'!L604</f>
        <v/>
      </c>
      <c r="N611" s="7">
        <f>'1 datos preparados'!M604</f>
        <v/>
      </c>
      <c r="O611" s="7">
        <f>'1 datos preparados'!N604</f>
        <v/>
      </c>
      <c r="P611" s="7">
        <f>'1 datos preparados'!O604</f>
        <v/>
      </c>
      <c r="Q611" s="7">
        <f>'1 datos preparados'!P604</f>
        <v/>
      </c>
      <c r="R611" s="7">
        <f>'1 datos preparados'!Q604</f>
        <v/>
      </c>
      <c r="S611" s="7">
        <f>'1 datos preparados'!R604</f>
        <v/>
      </c>
      <c r="T611" s="7">
        <f>'1 datos preparados'!S604</f>
        <v/>
      </c>
      <c r="U611" s="7">
        <f>'1 datos preparados'!T604</f>
        <v/>
      </c>
      <c r="V611" s="8">
        <f>$AE$12+D611*$AE$13+E611*$AE$14+F611*$AE$15+G611*$AE$16+H611*$AE$17+I611*$AE$18+J611*$AE$19+K611*$AE$20+L611*$AE$21+M611*$AE$22+N611*$AE$23+O611*$AE$24+P611*$AE$25+Q611*$AE$26+R611*$AE$27+S611*$AE$28+T611*$AE$29+U611*$AE$30</f>
        <v/>
      </c>
      <c r="W611" s="8">
        <f>1/(1+EXP(-V611))</f>
        <v/>
      </c>
      <c r="X611" s="9">
        <f>-IF(C611=1,LN(W611),LN(1-W611))</f>
        <v/>
      </c>
      <c r="Y611" s="8">
        <f>IF(C611=1,$AE$32,$AE$33)</f>
        <v/>
      </c>
      <c r="Z611" s="9">
        <f>Y611*X611</f>
        <v/>
      </c>
      <c r="AA611" s="10">
        <f>IF(W611&gt;$AE$34,1,0)</f>
        <v/>
      </c>
      <c r="AB611">
        <f>IF(AA611=C611,1,0)</f>
        <v/>
      </c>
    </row>
    <row r="612">
      <c r="A612">
        <f>'1 datos preparados'!A605</f>
        <v/>
      </c>
      <c r="B612" s="5">
        <f>'1 datos preparados'!U605</f>
        <v/>
      </c>
      <c r="C612">
        <f>'1 datos preparados'!B605</f>
        <v/>
      </c>
      <c r="D612" s="7">
        <f>'1 datos preparados'!C605</f>
        <v/>
      </c>
      <c r="E612" s="7">
        <f>'1 datos preparados'!D605</f>
        <v/>
      </c>
      <c r="F612" s="7">
        <f>'1 datos preparados'!E605</f>
        <v/>
      </c>
      <c r="G612" s="7">
        <f>'1 datos preparados'!F605</f>
        <v/>
      </c>
      <c r="H612" s="7">
        <f>'1 datos preparados'!G605</f>
        <v/>
      </c>
      <c r="I612" s="7">
        <f>'1 datos preparados'!H605</f>
        <v/>
      </c>
      <c r="J612" s="7">
        <f>'1 datos preparados'!I605</f>
        <v/>
      </c>
      <c r="K612" s="7">
        <f>'1 datos preparados'!J605</f>
        <v/>
      </c>
      <c r="L612" s="7">
        <f>'1 datos preparados'!K605</f>
        <v/>
      </c>
      <c r="M612" s="7">
        <f>'1 datos preparados'!L605</f>
        <v/>
      </c>
      <c r="N612" s="7">
        <f>'1 datos preparados'!M605</f>
        <v/>
      </c>
      <c r="O612" s="7">
        <f>'1 datos preparados'!N605</f>
        <v/>
      </c>
      <c r="P612" s="7">
        <f>'1 datos preparados'!O605</f>
        <v/>
      </c>
      <c r="Q612" s="7">
        <f>'1 datos preparados'!P605</f>
        <v/>
      </c>
      <c r="R612" s="7">
        <f>'1 datos preparados'!Q605</f>
        <v/>
      </c>
      <c r="S612" s="7">
        <f>'1 datos preparados'!R605</f>
        <v/>
      </c>
      <c r="T612" s="7">
        <f>'1 datos preparados'!S605</f>
        <v/>
      </c>
      <c r="U612" s="7">
        <f>'1 datos preparados'!T605</f>
        <v/>
      </c>
      <c r="V612" s="8">
        <f>$AE$12+D612*$AE$13+E612*$AE$14+F612*$AE$15+G612*$AE$16+H612*$AE$17+I612*$AE$18+J612*$AE$19+K612*$AE$20+L612*$AE$21+M612*$AE$22+N612*$AE$23+O612*$AE$24+P612*$AE$25+Q612*$AE$26+R612*$AE$27+S612*$AE$28+T612*$AE$29+U612*$AE$30</f>
        <v/>
      </c>
      <c r="W612" s="8">
        <f>1/(1+EXP(-V612))</f>
        <v/>
      </c>
      <c r="X612" s="9">
        <f>-IF(C612=1,LN(W612),LN(1-W612))</f>
        <v/>
      </c>
      <c r="Y612" s="8">
        <f>IF(C612=1,$AE$32,$AE$33)</f>
        <v/>
      </c>
      <c r="Z612" s="9">
        <f>Y612*X612</f>
        <v/>
      </c>
      <c r="AA612" s="10">
        <f>IF(W612&gt;$AE$34,1,0)</f>
        <v/>
      </c>
      <c r="AB612">
        <f>IF(AA612=C612,1,0)</f>
        <v/>
      </c>
    </row>
    <row r="613">
      <c r="A613">
        <f>'1 datos preparados'!A606</f>
        <v/>
      </c>
      <c r="B613" s="5">
        <f>'1 datos preparados'!U606</f>
        <v/>
      </c>
      <c r="C613">
        <f>'1 datos preparados'!B606</f>
        <v/>
      </c>
      <c r="D613" s="7">
        <f>'1 datos preparados'!C606</f>
        <v/>
      </c>
      <c r="E613" s="7">
        <f>'1 datos preparados'!D606</f>
        <v/>
      </c>
      <c r="F613" s="7">
        <f>'1 datos preparados'!E606</f>
        <v/>
      </c>
      <c r="G613" s="7">
        <f>'1 datos preparados'!F606</f>
        <v/>
      </c>
      <c r="H613" s="7">
        <f>'1 datos preparados'!G606</f>
        <v/>
      </c>
      <c r="I613" s="7">
        <f>'1 datos preparados'!H606</f>
        <v/>
      </c>
      <c r="J613" s="7">
        <f>'1 datos preparados'!I606</f>
        <v/>
      </c>
      <c r="K613" s="7">
        <f>'1 datos preparados'!J606</f>
        <v/>
      </c>
      <c r="L613" s="7">
        <f>'1 datos preparados'!K606</f>
        <v/>
      </c>
      <c r="M613" s="7">
        <f>'1 datos preparados'!L606</f>
        <v/>
      </c>
      <c r="N613" s="7">
        <f>'1 datos preparados'!M606</f>
        <v/>
      </c>
      <c r="O613" s="7">
        <f>'1 datos preparados'!N606</f>
        <v/>
      </c>
      <c r="P613" s="7">
        <f>'1 datos preparados'!O606</f>
        <v/>
      </c>
      <c r="Q613" s="7">
        <f>'1 datos preparados'!P606</f>
        <v/>
      </c>
      <c r="R613" s="7">
        <f>'1 datos preparados'!Q606</f>
        <v/>
      </c>
      <c r="S613" s="7">
        <f>'1 datos preparados'!R606</f>
        <v/>
      </c>
      <c r="T613" s="7">
        <f>'1 datos preparados'!S606</f>
        <v/>
      </c>
      <c r="U613" s="7">
        <f>'1 datos preparados'!T606</f>
        <v/>
      </c>
      <c r="V613" s="8">
        <f>$AE$12+D613*$AE$13+E613*$AE$14+F613*$AE$15+G613*$AE$16+H613*$AE$17+I613*$AE$18+J613*$AE$19+K613*$AE$20+L613*$AE$21+M613*$AE$22+N613*$AE$23+O613*$AE$24+P613*$AE$25+Q613*$AE$26+R613*$AE$27+S613*$AE$28+T613*$AE$29+U613*$AE$30</f>
        <v/>
      </c>
      <c r="W613" s="8">
        <f>1/(1+EXP(-V613))</f>
        <v/>
      </c>
      <c r="X613" s="9">
        <f>-IF(C613=1,LN(W613),LN(1-W613))</f>
        <v/>
      </c>
      <c r="Y613" s="8">
        <f>IF(C613=1,$AE$32,$AE$33)</f>
        <v/>
      </c>
      <c r="Z613" s="9">
        <f>Y613*X613</f>
        <v/>
      </c>
      <c r="AA613" s="10">
        <f>IF(W613&gt;$AE$34,1,0)</f>
        <v/>
      </c>
      <c r="AB613">
        <f>IF(AA613=C613,1,0)</f>
        <v/>
      </c>
    </row>
    <row r="614">
      <c r="A614">
        <f>'1 datos preparados'!A607</f>
        <v/>
      </c>
      <c r="B614" s="5">
        <f>'1 datos preparados'!U607</f>
        <v/>
      </c>
      <c r="C614">
        <f>'1 datos preparados'!B607</f>
        <v/>
      </c>
      <c r="D614" s="7">
        <f>'1 datos preparados'!C607</f>
        <v/>
      </c>
      <c r="E614" s="7">
        <f>'1 datos preparados'!D607</f>
        <v/>
      </c>
      <c r="F614" s="7">
        <f>'1 datos preparados'!E607</f>
        <v/>
      </c>
      <c r="G614" s="7">
        <f>'1 datos preparados'!F607</f>
        <v/>
      </c>
      <c r="H614" s="7">
        <f>'1 datos preparados'!G607</f>
        <v/>
      </c>
      <c r="I614" s="7">
        <f>'1 datos preparados'!H607</f>
        <v/>
      </c>
      <c r="J614" s="7">
        <f>'1 datos preparados'!I607</f>
        <v/>
      </c>
      <c r="K614" s="7">
        <f>'1 datos preparados'!J607</f>
        <v/>
      </c>
      <c r="L614" s="7">
        <f>'1 datos preparados'!K607</f>
        <v/>
      </c>
      <c r="M614" s="7">
        <f>'1 datos preparados'!L607</f>
        <v/>
      </c>
      <c r="N614" s="7">
        <f>'1 datos preparados'!M607</f>
        <v/>
      </c>
      <c r="O614" s="7">
        <f>'1 datos preparados'!N607</f>
        <v/>
      </c>
      <c r="P614" s="7">
        <f>'1 datos preparados'!O607</f>
        <v/>
      </c>
      <c r="Q614" s="7">
        <f>'1 datos preparados'!P607</f>
        <v/>
      </c>
      <c r="R614" s="7">
        <f>'1 datos preparados'!Q607</f>
        <v/>
      </c>
      <c r="S614" s="7">
        <f>'1 datos preparados'!R607</f>
        <v/>
      </c>
      <c r="T614" s="7">
        <f>'1 datos preparados'!S607</f>
        <v/>
      </c>
      <c r="U614" s="7">
        <f>'1 datos preparados'!T607</f>
        <v/>
      </c>
      <c r="V614" s="8">
        <f>$AE$12+D614*$AE$13+E614*$AE$14+F614*$AE$15+G614*$AE$16+H614*$AE$17+I614*$AE$18+J614*$AE$19+K614*$AE$20+L614*$AE$21+M614*$AE$22+N614*$AE$23+O614*$AE$24+P614*$AE$25+Q614*$AE$26+R614*$AE$27+S614*$AE$28+T614*$AE$29+U614*$AE$30</f>
        <v/>
      </c>
      <c r="W614" s="8">
        <f>1/(1+EXP(-V614))</f>
        <v/>
      </c>
      <c r="X614" s="9">
        <f>-IF(C614=1,LN(W614),LN(1-W614))</f>
        <v/>
      </c>
      <c r="Y614" s="8">
        <f>IF(C614=1,$AE$32,$AE$33)</f>
        <v/>
      </c>
      <c r="Z614" s="9">
        <f>Y614*X614</f>
        <v/>
      </c>
      <c r="AA614" s="10">
        <f>IF(W614&gt;$AE$34,1,0)</f>
        <v/>
      </c>
      <c r="AB614">
        <f>IF(AA614=C614,1,0)</f>
        <v/>
      </c>
    </row>
    <row r="615">
      <c r="A615">
        <f>'1 datos preparados'!A608</f>
        <v/>
      </c>
      <c r="B615" s="5">
        <f>'1 datos preparados'!U608</f>
        <v/>
      </c>
      <c r="C615">
        <f>'1 datos preparados'!B608</f>
        <v/>
      </c>
      <c r="D615" s="7">
        <f>'1 datos preparados'!C608</f>
        <v/>
      </c>
      <c r="E615" s="7">
        <f>'1 datos preparados'!D608</f>
        <v/>
      </c>
      <c r="F615" s="7">
        <f>'1 datos preparados'!E608</f>
        <v/>
      </c>
      <c r="G615" s="7">
        <f>'1 datos preparados'!F608</f>
        <v/>
      </c>
      <c r="H615" s="7">
        <f>'1 datos preparados'!G608</f>
        <v/>
      </c>
      <c r="I615" s="7">
        <f>'1 datos preparados'!H608</f>
        <v/>
      </c>
      <c r="J615" s="7">
        <f>'1 datos preparados'!I608</f>
        <v/>
      </c>
      <c r="K615" s="7">
        <f>'1 datos preparados'!J608</f>
        <v/>
      </c>
      <c r="L615" s="7">
        <f>'1 datos preparados'!K608</f>
        <v/>
      </c>
      <c r="M615" s="7">
        <f>'1 datos preparados'!L608</f>
        <v/>
      </c>
      <c r="N615" s="7">
        <f>'1 datos preparados'!M608</f>
        <v/>
      </c>
      <c r="O615" s="7">
        <f>'1 datos preparados'!N608</f>
        <v/>
      </c>
      <c r="P615" s="7">
        <f>'1 datos preparados'!O608</f>
        <v/>
      </c>
      <c r="Q615" s="7">
        <f>'1 datos preparados'!P608</f>
        <v/>
      </c>
      <c r="R615" s="7">
        <f>'1 datos preparados'!Q608</f>
        <v/>
      </c>
      <c r="S615" s="7">
        <f>'1 datos preparados'!R608</f>
        <v/>
      </c>
      <c r="T615" s="7">
        <f>'1 datos preparados'!S608</f>
        <v/>
      </c>
      <c r="U615" s="7">
        <f>'1 datos preparados'!T608</f>
        <v/>
      </c>
      <c r="V615" s="8">
        <f>$AE$12+D615*$AE$13+E615*$AE$14+F615*$AE$15+G615*$AE$16+H615*$AE$17+I615*$AE$18+J615*$AE$19+K615*$AE$20+L615*$AE$21+M615*$AE$22+N615*$AE$23+O615*$AE$24+P615*$AE$25+Q615*$AE$26+R615*$AE$27+S615*$AE$28+T615*$AE$29+U615*$AE$30</f>
        <v/>
      </c>
      <c r="W615" s="8">
        <f>1/(1+EXP(-V615))</f>
        <v/>
      </c>
      <c r="X615" s="9">
        <f>-IF(C615=1,LN(W615),LN(1-W615))</f>
        <v/>
      </c>
      <c r="Y615" s="8">
        <f>IF(C615=1,$AE$32,$AE$33)</f>
        <v/>
      </c>
      <c r="Z615" s="9">
        <f>Y615*X615</f>
        <v/>
      </c>
      <c r="AA615" s="10">
        <f>IF(W615&gt;$AE$34,1,0)</f>
        <v/>
      </c>
      <c r="AB615">
        <f>IF(AA615=C615,1,0)</f>
        <v/>
      </c>
    </row>
    <row r="616">
      <c r="A616">
        <f>'1 datos preparados'!A609</f>
        <v/>
      </c>
      <c r="B616" s="5">
        <f>'1 datos preparados'!U609</f>
        <v/>
      </c>
      <c r="C616">
        <f>'1 datos preparados'!B609</f>
        <v/>
      </c>
      <c r="D616" s="7">
        <f>'1 datos preparados'!C609</f>
        <v/>
      </c>
      <c r="E616" s="7">
        <f>'1 datos preparados'!D609</f>
        <v/>
      </c>
      <c r="F616" s="7">
        <f>'1 datos preparados'!E609</f>
        <v/>
      </c>
      <c r="G616" s="7">
        <f>'1 datos preparados'!F609</f>
        <v/>
      </c>
      <c r="H616" s="7">
        <f>'1 datos preparados'!G609</f>
        <v/>
      </c>
      <c r="I616" s="7">
        <f>'1 datos preparados'!H609</f>
        <v/>
      </c>
      <c r="J616" s="7">
        <f>'1 datos preparados'!I609</f>
        <v/>
      </c>
      <c r="K616" s="7">
        <f>'1 datos preparados'!J609</f>
        <v/>
      </c>
      <c r="L616" s="7">
        <f>'1 datos preparados'!K609</f>
        <v/>
      </c>
      <c r="M616" s="7">
        <f>'1 datos preparados'!L609</f>
        <v/>
      </c>
      <c r="N616" s="7">
        <f>'1 datos preparados'!M609</f>
        <v/>
      </c>
      <c r="O616" s="7">
        <f>'1 datos preparados'!N609</f>
        <v/>
      </c>
      <c r="P616" s="7">
        <f>'1 datos preparados'!O609</f>
        <v/>
      </c>
      <c r="Q616" s="7">
        <f>'1 datos preparados'!P609</f>
        <v/>
      </c>
      <c r="R616" s="7">
        <f>'1 datos preparados'!Q609</f>
        <v/>
      </c>
      <c r="S616" s="7">
        <f>'1 datos preparados'!R609</f>
        <v/>
      </c>
      <c r="T616" s="7">
        <f>'1 datos preparados'!S609</f>
        <v/>
      </c>
      <c r="U616" s="7">
        <f>'1 datos preparados'!T609</f>
        <v/>
      </c>
      <c r="V616" s="8">
        <f>$AE$12+D616*$AE$13+E616*$AE$14+F616*$AE$15+G616*$AE$16+H616*$AE$17+I616*$AE$18+J616*$AE$19+K616*$AE$20+L616*$AE$21+M616*$AE$22+N616*$AE$23+O616*$AE$24+P616*$AE$25+Q616*$AE$26+R616*$AE$27+S616*$AE$28+T616*$AE$29+U616*$AE$30</f>
        <v/>
      </c>
      <c r="W616" s="8">
        <f>1/(1+EXP(-V616))</f>
        <v/>
      </c>
      <c r="X616" s="9">
        <f>-IF(C616=1,LN(W616),LN(1-W616))</f>
        <v/>
      </c>
      <c r="Y616" s="8">
        <f>IF(C616=1,$AE$32,$AE$33)</f>
        <v/>
      </c>
      <c r="Z616" s="9">
        <f>Y616*X616</f>
        <v/>
      </c>
      <c r="AA616" s="10">
        <f>IF(W616&gt;$AE$34,1,0)</f>
        <v/>
      </c>
      <c r="AB616">
        <f>IF(AA616=C616,1,0)</f>
        <v/>
      </c>
    </row>
    <row r="617">
      <c r="A617">
        <f>'1 datos preparados'!A610</f>
        <v/>
      </c>
      <c r="B617" s="5">
        <f>'1 datos preparados'!U610</f>
        <v/>
      </c>
      <c r="C617">
        <f>'1 datos preparados'!B610</f>
        <v/>
      </c>
      <c r="D617" s="7">
        <f>'1 datos preparados'!C610</f>
        <v/>
      </c>
      <c r="E617" s="7">
        <f>'1 datos preparados'!D610</f>
        <v/>
      </c>
      <c r="F617" s="7">
        <f>'1 datos preparados'!E610</f>
        <v/>
      </c>
      <c r="G617" s="7">
        <f>'1 datos preparados'!F610</f>
        <v/>
      </c>
      <c r="H617" s="7">
        <f>'1 datos preparados'!G610</f>
        <v/>
      </c>
      <c r="I617" s="7">
        <f>'1 datos preparados'!H610</f>
        <v/>
      </c>
      <c r="J617" s="7">
        <f>'1 datos preparados'!I610</f>
        <v/>
      </c>
      <c r="K617" s="7">
        <f>'1 datos preparados'!J610</f>
        <v/>
      </c>
      <c r="L617" s="7">
        <f>'1 datos preparados'!K610</f>
        <v/>
      </c>
      <c r="M617" s="7">
        <f>'1 datos preparados'!L610</f>
        <v/>
      </c>
      <c r="N617" s="7">
        <f>'1 datos preparados'!M610</f>
        <v/>
      </c>
      <c r="O617" s="7">
        <f>'1 datos preparados'!N610</f>
        <v/>
      </c>
      <c r="P617" s="7">
        <f>'1 datos preparados'!O610</f>
        <v/>
      </c>
      <c r="Q617" s="7">
        <f>'1 datos preparados'!P610</f>
        <v/>
      </c>
      <c r="R617" s="7">
        <f>'1 datos preparados'!Q610</f>
        <v/>
      </c>
      <c r="S617" s="7">
        <f>'1 datos preparados'!R610</f>
        <v/>
      </c>
      <c r="T617" s="7">
        <f>'1 datos preparados'!S610</f>
        <v/>
      </c>
      <c r="U617" s="7">
        <f>'1 datos preparados'!T610</f>
        <v/>
      </c>
      <c r="V617" s="8">
        <f>$AE$12+D617*$AE$13+E617*$AE$14+F617*$AE$15+G617*$AE$16+H617*$AE$17+I617*$AE$18+J617*$AE$19+K617*$AE$20+L617*$AE$21+M617*$AE$22+N617*$AE$23+O617*$AE$24+P617*$AE$25+Q617*$AE$26+R617*$AE$27+S617*$AE$28+T617*$AE$29+U617*$AE$30</f>
        <v/>
      </c>
      <c r="W617" s="8">
        <f>1/(1+EXP(-V617))</f>
        <v/>
      </c>
      <c r="X617" s="9">
        <f>-IF(C617=1,LN(W617),LN(1-W617))</f>
        <v/>
      </c>
      <c r="Y617" s="8">
        <f>IF(C617=1,$AE$32,$AE$33)</f>
        <v/>
      </c>
      <c r="Z617" s="9">
        <f>Y617*X617</f>
        <v/>
      </c>
      <c r="AA617" s="10">
        <f>IF(W617&gt;$AE$34,1,0)</f>
        <v/>
      </c>
      <c r="AB617">
        <f>IF(AA617=C617,1,0)</f>
        <v/>
      </c>
    </row>
    <row r="618">
      <c r="A618">
        <f>'1 datos preparados'!A611</f>
        <v/>
      </c>
      <c r="B618" s="5">
        <f>'1 datos preparados'!U611</f>
        <v/>
      </c>
      <c r="C618">
        <f>'1 datos preparados'!B611</f>
        <v/>
      </c>
      <c r="D618" s="7">
        <f>'1 datos preparados'!C611</f>
        <v/>
      </c>
      <c r="E618" s="7">
        <f>'1 datos preparados'!D611</f>
        <v/>
      </c>
      <c r="F618" s="7">
        <f>'1 datos preparados'!E611</f>
        <v/>
      </c>
      <c r="G618" s="7">
        <f>'1 datos preparados'!F611</f>
        <v/>
      </c>
      <c r="H618" s="7">
        <f>'1 datos preparados'!G611</f>
        <v/>
      </c>
      <c r="I618" s="7">
        <f>'1 datos preparados'!H611</f>
        <v/>
      </c>
      <c r="J618" s="7">
        <f>'1 datos preparados'!I611</f>
        <v/>
      </c>
      <c r="K618" s="7">
        <f>'1 datos preparados'!J611</f>
        <v/>
      </c>
      <c r="L618" s="7">
        <f>'1 datos preparados'!K611</f>
        <v/>
      </c>
      <c r="M618" s="7">
        <f>'1 datos preparados'!L611</f>
        <v/>
      </c>
      <c r="N618" s="7">
        <f>'1 datos preparados'!M611</f>
        <v/>
      </c>
      <c r="O618" s="7">
        <f>'1 datos preparados'!N611</f>
        <v/>
      </c>
      <c r="P618" s="7">
        <f>'1 datos preparados'!O611</f>
        <v/>
      </c>
      <c r="Q618" s="7">
        <f>'1 datos preparados'!P611</f>
        <v/>
      </c>
      <c r="R618" s="7">
        <f>'1 datos preparados'!Q611</f>
        <v/>
      </c>
      <c r="S618" s="7">
        <f>'1 datos preparados'!R611</f>
        <v/>
      </c>
      <c r="T618" s="7">
        <f>'1 datos preparados'!S611</f>
        <v/>
      </c>
      <c r="U618" s="7">
        <f>'1 datos preparados'!T611</f>
        <v/>
      </c>
      <c r="V618" s="8">
        <f>$AE$12+D618*$AE$13+E618*$AE$14+F618*$AE$15+G618*$AE$16+H618*$AE$17+I618*$AE$18+J618*$AE$19+K618*$AE$20+L618*$AE$21+M618*$AE$22+N618*$AE$23+O618*$AE$24+P618*$AE$25+Q618*$AE$26+R618*$AE$27+S618*$AE$28+T618*$AE$29+U618*$AE$30</f>
        <v/>
      </c>
      <c r="W618" s="8">
        <f>1/(1+EXP(-V618))</f>
        <v/>
      </c>
      <c r="X618" s="9">
        <f>-IF(C618=1,LN(W618),LN(1-W618))</f>
        <v/>
      </c>
      <c r="Y618" s="8">
        <f>IF(C618=1,$AE$32,$AE$33)</f>
        <v/>
      </c>
      <c r="Z618" s="9">
        <f>Y618*X618</f>
        <v/>
      </c>
      <c r="AA618" s="10">
        <f>IF(W618&gt;$AE$34,1,0)</f>
        <v/>
      </c>
      <c r="AB618">
        <f>IF(AA618=C618,1,0)</f>
        <v/>
      </c>
    </row>
    <row r="619">
      <c r="A619">
        <f>'1 datos preparados'!A612</f>
        <v/>
      </c>
      <c r="B619" s="5">
        <f>'1 datos preparados'!U612</f>
        <v/>
      </c>
      <c r="C619">
        <f>'1 datos preparados'!B612</f>
        <v/>
      </c>
      <c r="D619" s="7">
        <f>'1 datos preparados'!C612</f>
        <v/>
      </c>
      <c r="E619" s="7">
        <f>'1 datos preparados'!D612</f>
        <v/>
      </c>
      <c r="F619" s="7">
        <f>'1 datos preparados'!E612</f>
        <v/>
      </c>
      <c r="G619" s="7">
        <f>'1 datos preparados'!F612</f>
        <v/>
      </c>
      <c r="H619" s="7">
        <f>'1 datos preparados'!G612</f>
        <v/>
      </c>
      <c r="I619" s="7">
        <f>'1 datos preparados'!H612</f>
        <v/>
      </c>
      <c r="J619" s="7">
        <f>'1 datos preparados'!I612</f>
        <v/>
      </c>
      <c r="K619" s="7">
        <f>'1 datos preparados'!J612</f>
        <v/>
      </c>
      <c r="L619" s="7">
        <f>'1 datos preparados'!K612</f>
        <v/>
      </c>
      <c r="M619" s="7">
        <f>'1 datos preparados'!L612</f>
        <v/>
      </c>
      <c r="N619" s="7">
        <f>'1 datos preparados'!M612</f>
        <v/>
      </c>
      <c r="O619" s="7">
        <f>'1 datos preparados'!N612</f>
        <v/>
      </c>
      <c r="P619" s="7">
        <f>'1 datos preparados'!O612</f>
        <v/>
      </c>
      <c r="Q619" s="7">
        <f>'1 datos preparados'!P612</f>
        <v/>
      </c>
      <c r="R619" s="7">
        <f>'1 datos preparados'!Q612</f>
        <v/>
      </c>
      <c r="S619" s="7">
        <f>'1 datos preparados'!R612</f>
        <v/>
      </c>
      <c r="T619" s="7">
        <f>'1 datos preparados'!S612</f>
        <v/>
      </c>
      <c r="U619" s="7">
        <f>'1 datos preparados'!T612</f>
        <v/>
      </c>
      <c r="V619" s="8">
        <f>$AE$12+D619*$AE$13+E619*$AE$14+F619*$AE$15+G619*$AE$16+H619*$AE$17+I619*$AE$18+J619*$AE$19+K619*$AE$20+L619*$AE$21+M619*$AE$22+N619*$AE$23+O619*$AE$24+P619*$AE$25+Q619*$AE$26+R619*$AE$27+S619*$AE$28+T619*$AE$29+U619*$AE$30</f>
        <v/>
      </c>
      <c r="W619" s="8">
        <f>1/(1+EXP(-V619))</f>
        <v/>
      </c>
      <c r="X619" s="9">
        <f>-IF(C619=1,LN(W619),LN(1-W619))</f>
        <v/>
      </c>
      <c r="Y619" s="8">
        <f>IF(C619=1,$AE$32,$AE$33)</f>
        <v/>
      </c>
      <c r="Z619" s="9">
        <f>Y619*X619</f>
        <v/>
      </c>
      <c r="AA619" s="10">
        <f>IF(W619&gt;$AE$34,1,0)</f>
        <v/>
      </c>
      <c r="AB619">
        <f>IF(AA619=C619,1,0)</f>
        <v/>
      </c>
    </row>
    <row r="620">
      <c r="A620">
        <f>'1 datos preparados'!A613</f>
        <v/>
      </c>
      <c r="B620" s="5">
        <f>'1 datos preparados'!U613</f>
        <v/>
      </c>
      <c r="C620">
        <f>'1 datos preparados'!B613</f>
        <v/>
      </c>
      <c r="D620" s="7">
        <f>'1 datos preparados'!C613</f>
        <v/>
      </c>
      <c r="E620" s="7">
        <f>'1 datos preparados'!D613</f>
        <v/>
      </c>
      <c r="F620" s="7">
        <f>'1 datos preparados'!E613</f>
        <v/>
      </c>
      <c r="G620" s="7">
        <f>'1 datos preparados'!F613</f>
        <v/>
      </c>
      <c r="H620" s="7">
        <f>'1 datos preparados'!G613</f>
        <v/>
      </c>
      <c r="I620" s="7">
        <f>'1 datos preparados'!H613</f>
        <v/>
      </c>
      <c r="J620" s="7">
        <f>'1 datos preparados'!I613</f>
        <v/>
      </c>
      <c r="K620" s="7">
        <f>'1 datos preparados'!J613</f>
        <v/>
      </c>
      <c r="L620" s="7">
        <f>'1 datos preparados'!K613</f>
        <v/>
      </c>
      <c r="M620" s="7">
        <f>'1 datos preparados'!L613</f>
        <v/>
      </c>
      <c r="N620" s="7">
        <f>'1 datos preparados'!M613</f>
        <v/>
      </c>
      <c r="O620" s="7">
        <f>'1 datos preparados'!N613</f>
        <v/>
      </c>
      <c r="P620" s="7">
        <f>'1 datos preparados'!O613</f>
        <v/>
      </c>
      <c r="Q620" s="7">
        <f>'1 datos preparados'!P613</f>
        <v/>
      </c>
      <c r="R620" s="7">
        <f>'1 datos preparados'!Q613</f>
        <v/>
      </c>
      <c r="S620" s="7">
        <f>'1 datos preparados'!R613</f>
        <v/>
      </c>
      <c r="T620" s="7">
        <f>'1 datos preparados'!S613</f>
        <v/>
      </c>
      <c r="U620" s="7">
        <f>'1 datos preparados'!T613</f>
        <v/>
      </c>
      <c r="V620" s="8">
        <f>$AE$12+D620*$AE$13+E620*$AE$14+F620*$AE$15+G620*$AE$16+H620*$AE$17+I620*$AE$18+J620*$AE$19+K620*$AE$20+L620*$AE$21+M620*$AE$22+N620*$AE$23+O620*$AE$24+P620*$AE$25+Q620*$AE$26+R620*$AE$27+S620*$AE$28+T620*$AE$29+U620*$AE$30</f>
        <v/>
      </c>
      <c r="W620" s="8">
        <f>1/(1+EXP(-V620))</f>
        <v/>
      </c>
      <c r="X620" s="9">
        <f>-IF(C620=1,LN(W620),LN(1-W620))</f>
        <v/>
      </c>
      <c r="Y620" s="8">
        <f>IF(C620=1,$AE$32,$AE$33)</f>
        <v/>
      </c>
      <c r="Z620" s="9">
        <f>Y620*X620</f>
        <v/>
      </c>
      <c r="AA620" s="10">
        <f>IF(W620&gt;$AE$34,1,0)</f>
        <v/>
      </c>
      <c r="AB620">
        <f>IF(AA620=C620,1,0)</f>
        <v/>
      </c>
    </row>
    <row r="621">
      <c r="A621">
        <f>'1 datos preparados'!A614</f>
        <v/>
      </c>
      <c r="B621" s="5">
        <f>'1 datos preparados'!U614</f>
        <v/>
      </c>
      <c r="C621">
        <f>'1 datos preparados'!B614</f>
        <v/>
      </c>
      <c r="D621" s="7">
        <f>'1 datos preparados'!C614</f>
        <v/>
      </c>
      <c r="E621" s="7">
        <f>'1 datos preparados'!D614</f>
        <v/>
      </c>
      <c r="F621" s="7">
        <f>'1 datos preparados'!E614</f>
        <v/>
      </c>
      <c r="G621" s="7">
        <f>'1 datos preparados'!F614</f>
        <v/>
      </c>
      <c r="H621" s="7">
        <f>'1 datos preparados'!G614</f>
        <v/>
      </c>
      <c r="I621" s="7">
        <f>'1 datos preparados'!H614</f>
        <v/>
      </c>
      <c r="J621" s="7">
        <f>'1 datos preparados'!I614</f>
        <v/>
      </c>
      <c r="K621" s="7">
        <f>'1 datos preparados'!J614</f>
        <v/>
      </c>
      <c r="L621" s="7">
        <f>'1 datos preparados'!K614</f>
        <v/>
      </c>
      <c r="M621" s="7">
        <f>'1 datos preparados'!L614</f>
        <v/>
      </c>
      <c r="N621" s="7">
        <f>'1 datos preparados'!M614</f>
        <v/>
      </c>
      <c r="O621" s="7">
        <f>'1 datos preparados'!N614</f>
        <v/>
      </c>
      <c r="P621" s="7">
        <f>'1 datos preparados'!O614</f>
        <v/>
      </c>
      <c r="Q621" s="7">
        <f>'1 datos preparados'!P614</f>
        <v/>
      </c>
      <c r="R621" s="7">
        <f>'1 datos preparados'!Q614</f>
        <v/>
      </c>
      <c r="S621" s="7">
        <f>'1 datos preparados'!R614</f>
        <v/>
      </c>
      <c r="T621" s="7">
        <f>'1 datos preparados'!S614</f>
        <v/>
      </c>
      <c r="U621" s="7">
        <f>'1 datos preparados'!T614</f>
        <v/>
      </c>
      <c r="V621" s="8">
        <f>$AE$12+D621*$AE$13+E621*$AE$14+F621*$AE$15+G621*$AE$16+H621*$AE$17+I621*$AE$18+J621*$AE$19+K621*$AE$20+L621*$AE$21+M621*$AE$22+N621*$AE$23+O621*$AE$24+P621*$AE$25+Q621*$AE$26+R621*$AE$27+S621*$AE$28+T621*$AE$29+U621*$AE$30</f>
        <v/>
      </c>
      <c r="W621" s="8">
        <f>1/(1+EXP(-V621))</f>
        <v/>
      </c>
      <c r="X621" s="9">
        <f>-IF(C621=1,LN(W621),LN(1-W621))</f>
        <v/>
      </c>
      <c r="Y621" s="8">
        <f>IF(C621=1,$AE$32,$AE$33)</f>
        <v/>
      </c>
      <c r="Z621" s="9">
        <f>Y621*X621</f>
        <v/>
      </c>
      <c r="AA621" s="10">
        <f>IF(W621&gt;$AE$34,1,0)</f>
        <v/>
      </c>
      <c r="AB621">
        <f>IF(AA621=C621,1,0)</f>
        <v/>
      </c>
    </row>
    <row r="622">
      <c r="A622">
        <f>'1 datos preparados'!A615</f>
        <v/>
      </c>
      <c r="B622" s="5">
        <f>'1 datos preparados'!U615</f>
        <v/>
      </c>
      <c r="C622">
        <f>'1 datos preparados'!B615</f>
        <v/>
      </c>
      <c r="D622" s="7">
        <f>'1 datos preparados'!C615</f>
        <v/>
      </c>
      <c r="E622" s="7">
        <f>'1 datos preparados'!D615</f>
        <v/>
      </c>
      <c r="F622" s="7">
        <f>'1 datos preparados'!E615</f>
        <v/>
      </c>
      <c r="G622" s="7">
        <f>'1 datos preparados'!F615</f>
        <v/>
      </c>
      <c r="H622" s="7">
        <f>'1 datos preparados'!G615</f>
        <v/>
      </c>
      <c r="I622" s="7">
        <f>'1 datos preparados'!H615</f>
        <v/>
      </c>
      <c r="J622" s="7">
        <f>'1 datos preparados'!I615</f>
        <v/>
      </c>
      <c r="K622" s="7">
        <f>'1 datos preparados'!J615</f>
        <v/>
      </c>
      <c r="L622" s="7">
        <f>'1 datos preparados'!K615</f>
        <v/>
      </c>
      <c r="M622" s="7">
        <f>'1 datos preparados'!L615</f>
        <v/>
      </c>
      <c r="N622" s="7">
        <f>'1 datos preparados'!M615</f>
        <v/>
      </c>
      <c r="O622" s="7">
        <f>'1 datos preparados'!N615</f>
        <v/>
      </c>
      <c r="P622" s="7">
        <f>'1 datos preparados'!O615</f>
        <v/>
      </c>
      <c r="Q622" s="7">
        <f>'1 datos preparados'!P615</f>
        <v/>
      </c>
      <c r="R622" s="7">
        <f>'1 datos preparados'!Q615</f>
        <v/>
      </c>
      <c r="S622" s="7">
        <f>'1 datos preparados'!R615</f>
        <v/>
      </c>
      <c r="T622" s="7">
        <f>'1 datos preparados'!S615</f>
        <v/>
      </c>
      <c r="U622" s="7">
        <f>'1 datos preparados'!T615</f>
        <v/>
      </c>
      <c r="V622" s="8">
        <f>$AE$12+D622*$AE$13+E622*$AE$14+F622*$AE$15+G622*$AE$16+H622*$AE$17+I622*$AE$18+J622*$AE$19+K622*$AE$20+L622*$AE$21+M622*$AE$22+N622*$AE$23+O622*$AE$24+P622*$AE$25+Q622*$AE$26+R622*$AE$27+S622*$AE$28+T622*$AE$29+U622*$AE$30</f>
        <v/>
      </c>
      <c r="W622" s="8">
        <f>1/(1+EXP(-V622))</f>
        <v/>
      </c>
      <c r="X622" s="9">
        <f>-IF(C622=1,LN(W622),LN(1-W622))</f>
        <v/>
      </c>
      <c r="Y622" s="8">
        <f>IF(C622=1,$AE$32,$AE$33)</f>
        <v/>
      </c>
      <c r="Z622" s="9">
        <f>Y622*X622</f>
        <v/>
      </c>
      <c r="AA622" s="10">
        <f>IF(W622&gt;$AE$34,1,0)</f>
        <v/>
      </c>
      <c r="AB622">
        <f>IF(AA622=C622,1,0)</f>
        <v/>
      </c>
    </row>
    <row r="623">
      <c r="A623">
        <f>'1 datos preparados'!A616</f>
        <v/>
      </c>
      <c r="B623" s="5">
        <f>'1 datos preparados'!U616</f>
        <v/>
      </c>
      <c r="C623">
        <f>'1 datos preparados'!B616</f>
        <v/>
      </c>
      <c r="D623" s="7">
        <f>'1 datos preparados'!C616</f>
        <v/>
      </c>
      <c r="E623" s="7">
        <f>'1 datos preparados'!D616</f>
        <v/>
      </c>
      <c r="F623" s="7">
        <f>'1 datos preparados'!E616</f>
        <v/>
      </c>
      <c r="G623" s="7">
        <f>'1 datos preparados'!F616</f>
        <v/>
      </c>
      <c r="H623" s="7">
        <f>'1 datos preparados'!G616</f>
        <v/>
      </c>
      <c r="I623" s="7">
        <f>'1 datos preparados'!H616</f>
        <v/>
      </c>
      <c r="J623" s="7">
        <f>'1 datos preparados'!I616</f>
        <v/>
      </c>
      <c r="K623" s="7">
        <f>'1 datos preparados'!J616</f>
        <v/>
      </c>
      <c r="L623" s="7">
        <f>'1 datos preparados'!K616</f>
        <v/>
      </c>
      <c r="M623" s="7">
        <f>'1 datos preparados'!L616</f>
        <v/>
      </c>
      <c r="N623" s="7">
        <f>'1 datos preparados'!M616</f>
        <v/>
      </c>
      <c r="O623" s="7">
        <f>'1 datos preparados'!N616</f>
        <v/>
      </c>
      <c r="P623" s="7">
        <f>'1 datos preparados'!O616</f>
        <v/>
      </c>
      <c r="Q623" s="7">
        <f>'1 datos preparados'!P616</f>
        <v/>
      </c>
      <c r="R623" s="7">
        <f>'1 datos preparados'!Q616</f>
        <v/>
      </c>
      <c r="S623" s="7">
        <f>'1 datos preparados'!R616</f>
        <v/>
      </c>
      <c r="T623" s="7">
        <f>'1 datos preparados'!S616</f>
        <v/>
      </c>
      <c r="U623" s="7">
        <f>'1 datos preparados'!T616</f>
        <v/>
      </c>
      <c r="V623" s="8">
        <f>$AE$12+D623*$AE$13+E623*$AE$14+F623*$AE$15+G623*$AE$16+H623*$AE$17+I623*$AE$18+J623*$AE$19+K623*$AE$20+L623*$AE$21+M623*$AE$22+N623*$AE$23+O623*$AE$24+P623*$AE$25+Q623*$AE$26+R623*$AE$27+S623*$AE$28+T623*$AE$29+U623*$AE$30</f>
        <v/>
      </c>
      <c r="W623" s="8">
        <f>1/(1+EXP(-V623))</f>
        <v/>
      </c>
      <c r="X623" s="9">
        <f>-IF(C623=1,LN(W623),LN(1-W623))</f>
        <v/>
      </c>
      <c r="Y623" s="8">
        <f>IF(C623=1,$AE$32,$AE$33)</f>
        <v/>
      </c>
      <c r="Z623" s="9">
        <f>Y623*X623</f>
        <v/>
      </c>
      <c r="AA623" s="10">
        <f>IF(W623&gt;$AE$34,1,0)</f>
        <v/>
      </c>
      <c r="AB623">
        <f>IF(AA623=C623,1,0)</f>
        <v/>
      </c>
    </row>
    <row r="624">
      <c r="A624">
        <f>'1 datos preparados'!A617</f>
        <v/>
      </c>
      <c r="B624" s="5">
        <f>'1 datos preparados'!U617</f>
        <v/>
      </c>
      <c r="C624">
        <f>'1 datos preparados'!B617</f>
        <v/>
      </c>
      <c r="D624" s="7">
        <f>'1 datos preparados'!C617</f>
        <v/>
      </c>
      <c r="E624" s="7">
        <f>'1 datos preparados'!D617</f>
        <v/>
      </c>
      <c r="F624" s="7">
        <f>'1 datos preparados'!E617</f>
        <v/>
      </c>
      <c r="G624" s="7">
        <f>'1 datos preparados'!F617</f>
        <v/>
      </c>
      <c r="H624" s="7">
        <f>'1 datos preparados'!G617</f>
        <v/>
      </c>
      <c r="I624" s="7">
        <f>'1 datos preparados'!H617</f>
        <v/>
      </c>
      <c r="J624" s="7">
        <f>'1 datos preparados'!I617</f>
        <v/>
      </c>
      <c r="K624" s="7">
        <f>'1 datos preparados'!J617</f>
        <v/>
      </c>
      <c r="L624" s="7">
        <f>'1 datos preparados'!K617</f>
        <v/>
      </c>
      <c r="M624" s="7">
        <f>'1 datos preparados'!L617</f>
        <v/>
      </c>
      <c r="N624" s="7">
        <f>'1 datos preparados'!M617</f>
        <v/>
      </c>
      <c r="O624" s="7">
        <f>'1 datos preparados'!N617</f>
        <v/>
      </c>
      <c r="P624" s="7">
        <f>'1 datos preparados'!O617</f>
        <v/>
      </c>
      <c r="Q624" s="7">
        <f>'1 datos preparados'!P617</f>
        <v/>
      </c>
      <c r="R624" s="7">
        <f>'1 datos preparados'!Q617</f>
        <v/>
      </c>
      <c r="S624" s="7">
        <f>'1 datos preparados'!R617</f>
        <v/>
      </c>
      <c r="T624" s="7">
        <f>'1 datos preparados'!S617</f>
        <v/>
      </c>
      <c r="U624" s="7">
        <f>'1 datos preparados'!T617</f>
        <v/>
      </c>
      <c r="V624" s="8">
        <f>$AE$12+D624*$AE$13+E624*$AE$14+F624*$AE$15+G624*$AE$16+H624*$AE$17+I624*$AE$18+J624*$AE$19+K624*$AE$20+L624*$AE$21+M624*$AE$22+N624*$AE$23+O624*$AE$24+P624*$AE$25+Q624*$AE$26+R624*$AE$27+S624*$AE$28+T624*$AE$29+U624*$AE$30</f>
        <v/>
      </c>
      <c r="W624" s="8">
        <f>1/(1+EXP(-V624))</f>
        <v/>
      </c>
      <c r="X624" s="9">
        <f>-IF(C624=1,LN(W624),LN(1-W624))</f>
        <v/>
      </c>
      <c r="Y624" s="8">
        <f>IF(C624=1,$AE$32,$AE$33)</f>
        <v/>
      </c>
      <c r="Z624" s="9">
        <f>Y624*X624</f>
        <v/>
      </c>
      <c r="AA624" s="10">
        <f>IF(W624&gt;$AE$34,1,0)</f>
        <v/>
      </c>
      <c r="AB624">
        <f>IF(AA624=C624,1,0)</f>
        <v/>
      </c>
    </row>
    <row r="625">
      <c r="A625">
        <f>'1 datos preparados'!A618</f>
        <v/>
      </c>
      <c r="B625" s="5">
        <f>'1 datos preparados'!U618</f>
        <v/>
      </c>
      <c r="C625">
        <f>'1 datos preparados'!B618</f>
        <v/>
      </c>
      <c r="D625" s="7">
        <f>'1 datos preparados'!C618</f>
        <v/>
      </c>
      <c r="E625" s="7">
        <f>'1 datos preparados'!D618</f>
        <v/>
      </c>
      <c r="F625" s="7">
        <f>'1 datos preparados'!E618</f>
        <v/>
      </c>
      <c r="G625" s="7">
        <f>'1 datos preparados'!F618</f>
        <v/>
      </c>
      <c r="H625" s="7">
        <f>'1 datos preparados'!G618</f>
        <v/>
      </c>
      <c r="I625" s="7">
        <f>'1 datos preparados'!H618</f>
        <v/>
      </c>
      <c r="J625" s="7">
        <f>'1 datos preparados'!I618</f>
        <v/>
      </c>
      <c r="K625" s="7">
        <f>'1 datos preparados'!J618</f>
        <v/>
      </c>
      <c r="L625" s="7">
        <f>'1 datos preparados'!K618</f>
        <v/>
      </c>
      <c r="M625" s="7">
        <f>'1 datos preparados'!L618</f>
        <v/>
      </c>
      <c r="N625" s="7">
        <f>'1 datos preparados'!M618</f>
        <v/>
      </c>
      <c r="O625" s="7">
        <f>'1 datos preparados'!N618</f>
        <v/>
      </c>
      <c r="P625" s="7">
        <f>'1 datos preparados'!O618</f>
        <v/>
      </c>
      <c r="Q625" s="7">
        <f>'1 datos preparados'!P618</f>
        <v/>
      </c>
      <c r="R625" s="7">
        <f>'1 datos preparados'!Q618</f>
        <v/>
      </c>
      <c r="S625" s="7">
        <f>'1 datos preparados'!R618</f>
        <v/>
      </c>
      <c r="T625" s="7">
        <f>'1 datos preparados'!S618</f>
        <v/>
      </c>
      <c r="U625" s="7">
        <f>'1 datos preparados'!T618</f>
        <v/>
      </c>
      <c r="V625" s="8">
        <f>$AE$12+D625*$AE$13+E625*$AE$14+F625*$AE$15+G625*$AE$16+H625*$AE$17+I625*$AE$18+J625*$AE$19+K625*$AE$20+L625*$AE$21+M625*$AE$22+N625*$AE$23+O625*$AE$24+P625*$AE$25+Q625*$AE$26+R625*$AE$27+S625*$AE$28+T625*$AE$29+U625*$AE$30</f>
        <v/>
      </c>
      <c r="W625" s="8">
        <f>1/(1+EXP(-V625))</f>
        <v/>
      </c>
      <c r="X625" s="9">
        <f>-IF(C625=1,LN(W625),LN(1-W625))</f>
        <v/>
      </c>
      <c r="Y625" s="8">
        <f>IF(C625=1,$AE$32,$AE$33)</f>
        <v/>
      </c>
      <c r="Z625" s="9">
        <f>Y625*X625</f>
        <v/>
      </c>
      <c r="AA625" s="10">
        <f>IF(W625&gt;$AE$34,1,0)</f>
        <v/>
      </c>
      <c r="AB625">
        <f>IF(AA625=C625,1,0)</f>
        <v/>
      </c>
    </row>
    <row r="626">
      <c r="A626">
        <f>'1 datos preparados'!A619</f>
        <v/>
      </c>
      <c r="B626" s="5">
        <f>'1 datos preparados'!U619</f>
        <v/>
      </c>
      <c r="C626">
        <f>'1 datos preparados'!B619</f>
        <v/>
      </c>
      <c r="D626" s="7">
        <f>'1 datos preparados'!C619</f>
        <v/>
      </c>
      <c r="E626" s="7">
        <f>'1 datos preparados'!D619</f>
        <v/>
      </c>
      <c r="F626" s="7">
        <f>'1 datos preparados'!E619</f>
        <v/>
      </c>
      <c r="G626" s="7">
        <f>'1 datos preparados'!F619</f>
        <v/>
      </c>
      <c r="H626" s="7">
        <f>'1 datos preparados'!G619</f>
        <v/>
      </c>
      <c r="I626" s="7">
        <f>'1 datos preparados'!H619</f>
        <v/>
      </c>
      <c r="J626" s="7">
        <f>'1 datos preparados'!I619</f>
        <v/>
      </c>
      <c r="K626" s="7">
        <f>'1 datos preparados'!J619</f>
        <v/>
      </c>
      <c r="L626" s="7">
        <f>'1 datos preparados'!K619</f>
        <v/>
      </c>
      <c r="M626" s="7">
        <f>'1 datos preparados'!L619</f>
        <v/>
      </c>
      <c r="N626" s="7">
        <f>'1 datos preparados'!M619</f>
        <v/>
      </c>
      <c r="O626" s="7">
        <f>'1 datos preparados'!N619</f>
        <v/>
      </c>
      <c r="P626" s="7">
        <f>'1 datos preparados'!O619</f>
        <v/>
      </c>
      <c r="Q626" s="7">
        <f>'1 datos preparados'!P619</f>
        <v/>
      </c>
      <c r="R626" s="7">
        <f>'1 datos preparados'!Q619</f>
        <v/>
      </c>
      <c r="S626" s="7">
        <f>'1 datos preparados'!R619</f>
        <v/>
      </c>
      <c r="T626" s="7">
        <f>'1 datos preparados'!S619</f>
        <v/>
      </c>
      <c r="U626" s="7">
        <f>'1 datos preparados'!T619</f>
        <v/>
      </c>
      <c r="V626" s="8">
        <f>$AE$12+D626*$AE$13+E626*$AE$14+F626*$AE$15+G626*$AE$16+H626*$AE$17+I626*$AE$18+J626*$AE$19+K626*$AE$20+L626*$AE$21+M626*$AE$22+N626*$AE$23+O626*$AE$24+P626*$AE$25+Q626*$AE$26+R626*$AE$27+S626*$AE$28+T626*$AE$29+U626*$AE$30</f>
        <v/>
      </c>
      <c r="W626" s="8">
        <f>1/(1+EXP(-V626))</f>
        <v/>
      </c>
      <c r="X626" s="9">
        <f>-IF(C626=1,LN(W626),LN(1-W626))</f>
        <v/>
      </c>
      <c r="Y626" s="8">
        <f>IF(C626=1,$AE$32,$AE$33)</f>
        <v/>
      </c>
      <c r="Z626" s="9">
        <f>Y626*X626</f>
        <v/>
      </c>
      <c r="AA626" s="10">
        <f>IF(W626&gt;$AE$34,1,0)</f>
        <v/>
      </c>
      <c r="AB626">
        <f>IF(AA626=C626,1,0)</f>
        <v/>
      </c>
    </row>
    <row r="627">
      <c r="A627">
        <f>'1 datos preparados'!A620</f>
        <v/>
      </c>
      <c r="B627" s="5">
        <f>'1 datos preparados'!U620</f>
        <v/>
      </c>
      <c r="C627">
        <f>'1 datos preparados'!B620</f>
        <v/>
      </c>
      <c r="D627" s="7">
        <f>'1 datos preparados'!C620</f>
        <v/>
      </c>
      <c r="E627" s="7">
        <f>'1 datos preparados'!D620</f>
        <v/>
      </c>
      <c r="F627" s="7">
        <f>'1 datos preparados'!E620</f>
        <v/>
      </c>
      <c r="G627" s="7">
        <f>'1 datos preparados'!F620</f>
        <v/>
      </c>
      <c r="H627" s="7">
        <f>'1 datos preparados'!G620</f>
        <v/>
      </c>
      <c r="I627" s="7">
        <f>'1 datos preparados'!H620</f>
        <v/>
      </c>
      <c r="J627" s="7">
        <f>'1 datos preparados'!I620</f>
        <v/>
      </c>
      <c r="K627" s="7">
        <f>'1 datos preparados'!J620</f>
        <v/>
      </c>
      <c r="L627" s="7">
        <f>'1 datos preparados'!K620</f>
        <v/>
      </c>
      <c r="M627" s="7">
        <f>'1 datos preparados'!L620</f>
        <v/>
      </c>
      <c r="N627" s="7">
        <f>'1 datos preparados'!M620</f>
        <v/>
      </c>
      <c r="O627" s="7">
        <f>'1 datos preparados'!N620</f>
        <v/>
      </c>
      <c r="P627" s="7">
        <f>'1 datos preparados'!O620</f>
        <v/>
      </c>
      <c r="Q627" s="7">
        <f>'1 datos preparados'!P620</f>
        <v/>
      </c>
      <c r="R627" s="7">
        <f>'1 datos preparados'!Q620</f>
        <v/>
      </c>
      <c r="S627" s="7">
        <f>'1 datos preparados'!R620</f>
        <v/>
      </c>
      <c r="T627" s="7">
        <f>'1 datos preparados'!S620</f>
        <v/>
      </c>
      <c r="U627" s="7">
        <f>'1 datos preparados'!T620</f>
        <v/>
      </c>
      <c r="V627" s="8">
        <f>$AE$12+D627*$AE$13+E627*$AE$14+F627*$AE$15+G627*$AE$16+H627*$AE$17+I627*$AE$18+J627*$AE$19+K627*$AE$20+L627*$AE$21+M627*$AE$22+N627*$AE$23+O627*$AE$24+P627*$AE$25+Q627*$AE$26+R627*$AE$27+S627*$AE$28+T627*$AE$29+U627*$AE$30</f>
        <v/>
      </c>
      <c r="W627" s="8">
        <f>1/(1+EXP(-V627))</f>
        <v/>
      </c>
      <c r="X627" s="9">
        <f>-IF(C627=1,LN(W627),LN(1-W627))</f>
        <v/>
      </c>
      <c r="Y627" s="8">
        <f>IF(C627=1,$AE$32,$AE$33)</f>
        <v/>
      </c>
      <c r="Z627" s="9">
        <f>Y627*X627</f>
        <v/>
      </c>
      <c r="AA627" s="10">
        <f>IF(W627&gt;$AE$34,1,0)</f>
        <v/>
      </c>
      <c r="AB627">
        <f>IF(AA627=C627,1,0)</f>
        <v/>
      </c>
    </row>
    <row r="628">
      <c r="A628">
        <f>'1 datos preparados'!A621</f>
        <v/>
      </c>
      <c r="B628" s="5">
        <f>'1 datos preparados'!U621</f>
        <v/>
      </c>
      <c r="C628">
        <f>'1 datos preparados'!B621</f>
        <v/>
      </c>
      <c r="D628" s="7">
        <f>'1 datos preparados'!C621</f>
        <v/>
      </c>
      <c r="E628" s="7">
        <f>'1 datos preparados'!D621</f>
        <v/>
      </c>
      <c r="F628" s="7">
        <f>'1 datos preparados'!E621</f>
        <v/>
      </c>
      <c r="G628" s="7">
        <f>'1 datos preparados'!F621</f>
        <v/>
      </c>
      <c r="H628" s="7">
        <f>'1 datos preparados'!G621</f>
        <v/>
      </c>
      <c r="I628" s="7">
        <f>'1 datos preparados'!H621</f>
        <v/>
      </c>
      <c r="J628" s="7">
        <f>'1 datos preparados'!I621</f>
        <v/>
      </c>
      <c r="K628" s="7">
        <f>'1 datos preparados'!J621</f>
        <v/>
      </c>
      <c r="L628" s="7">
        <f>'1 datos preparados'!K621</f>
        <v/>
      </c>
      <c r="M628" s="7">
        <f>'1 datos preparados'!L621</f>
        <v/>
      </c>
      <c r="N628" s="7">
        <f>'1 datos preparados'!M621</f>
        <v/>
      </c>
      <c r="O628" s="7">
        <f>'1 datos preparados'!N621</f>
        <v/>
      </c>
      <c r="P628" s="7">
        <f>'1 datos preparados'!O621</f>
        <v/>
      </c>
      <c r="Q628" s="7">
        <f>'1 datos preparados'!P621</f>
        <v/>
      </c>
      <c r="R628" s="7">
        <f>'1 datos preparados'!Q621</f>
        <v/>
      </c>
      <c r="S628" s="7">
        <f>'1 datos preparados'!R621</f>
        <v/>
      </c>
      <c r="T628" s="7">
        <f>'1 datos preparados'!S621</f>
        <v/>
      </c>
      <c r="U628" s="7">
        <f>'1 datos preparados'!T621</f>
        <v/>
      </c>
      <c r="V628" s="8">
        <f>$AE$12+D628*$AE$13+E628*$AE$14+F628*$AE$15+G628*$AE$16+H628*$AE$17+I628*$AE$18+J628*$AE$19+K628*$AE$20+L628*$AE$21+M628*$AE$22+N628*$AE$23+O628*$AE$24+P628*$AE$25+Q628*$AE$26+R628*$AE$27+S628*$AE$28+T628*$AE$29+U628*$AE$30</f>
        <v/>
      </c>
      <c r="W628" s="8">
        <f>1/(1+EXP(-V628))</f>
        <v/>
      </c>
      <c r="X628" s="9">
        <f>-IF(C628=1,LN(W628),LN(1-W628))</f>
        <v/>
      </c>
      <c r="Y628" s="8">
        <f>IF(C628=1,$AE$32,$AE$33)</f>
        <v/>
      </c>
      <c r="Z628" s="9">
        <f>Y628*X628</f>
        <v/>
      </c>
      <c r="AA628" s="10">
        <f>IF(W628&gt;$AE$34,1,0)</f>
        <v/>
      </c>
      <c r="AB628">
        <f>IF(AA628=C628,1,0)</f>
        <v/>
      </c>
    </row>
    <row r="629">
      <c r="A629">
        <f>'1 datos preparados'!A622</f>
        <v/>
      </c>
      <c r="B629" s="5">
        <f>'1 datos preparados'!U622</f>
        <v/>
      </c>
      <c r="C629">
        <f>'1 datos preparados'!B622</f>
        <v/>
      </c>
      <c r="D629" s="7">
        <f>'1 datos preparados'!C622</f>
        <v/>
      </c>
      <c r="E629" s="7">
        <f>'1 datos preparados'!D622</f>
        <v/>
      </c>
      <c r="F629" s="7">
        <f>'1 datos preparados'!E622</f>
        <v/>
      </c>
      <c r="G629" s="7">
        <f>'1 datos preparados'!F622</f>
        <v/>
      </c>
      <c r="H629" s="7">
        <f>'1 datos preparados'!G622</f>
        <v/>
      </c>
      <c r="I629" s="7">
        <f>'1 datos preparados'!H622</f>
        <v/>
      </c>
      <c r="J629" s="7">
        <f>'1 datos preparados'!I622</f>
        <v/>
      </c>
      <c r="K629" s="7">
        <f>'1 datos preparados'!J622</f>
        <v/>
      </c>
      <c r="L629" s="7">
        <f>'1 datos preparados'!K622</f>
        <v/>
      </c>
      <c r="M629" s="7">
        <f>'1 datos preparados'!L622</f>
        <v/>
      </c>
      <c r="N629" s="7">
        <f>'1 datos preparados'!M622</f>
        <v/>
      </c>
      <c r="O629" s="7">
        <f>'1 datos preparados'!N622</f>
        <v/>
      </c>
      <c r="P629" s="7">
        <f>'1 datos preparados'!O622</f>
        <v/>
      </c>
      <c r="Q629" s="7">
        <f>'1 datos preparados'!P622</f>
        <v/>
      </c>
      <c r="R629" s="7">
        <f>'1 datos preparados'!Q622</f>
        <v/>
      </c>
      <c r="S629" s="7">
        <f>'1 datos preparados'!R622</f>
        <v/>
      </c>
      <c r="T629" s="7">
        <f>'1 datos preparados'!S622</f>
        <v/>
      </c>
      <c r="U629" s="7">
        <f>'1 datos preparados'!T622</f>
        <v/>
      </c>
      <c r="V629" s="8">
        <f>$AE$12+D629*$AE$13+E629*$AE$14+F629*$AE$15+G629*$AE$16+H629*$AE$17+I629*$AE$18+J629*$AE$19+K629*$AE$20+L629*$AE$21+M629*$AE$22+N629*$AE$23+O629*$AE$24+P629*$AE$25+Q629*$AE$26+R629*$AE$27+S629*$AE$28+T629*$AE$29+U629*$AE$30</f>
        <v/>
      </c>
      <c r="W629" s="8">
        <f>1/(1+EXP(-V629))</f>
        <v/>
      </c>
      <c r="X629" s="9">
        <f>-IF(C629=1,LN(W629),LN(1-W629))</f>
        <v/>
      </c>
      <c r="Y629" s="8">
        <f>IF(C629=1,$AE$32,$AE$33)</f>
        <v/>
      </c>
      <c r="Z629" s="9">
        <f>Y629*X629</f>
        <v/>
      </c>
      <c r="AA629" s="10">
        <f>IF(W629&gt;$AE$34,1,0)</f>
        <v/>
      </c>
      <c r="AB629">
        <f>IF(AA629=C629,1,0)</f>
        <v/>
      </c>
    </row>
    <row r="630">
      <c r="A630">
        <f>'1 datos preparados'!A623</f>
        <v/>
      </c>
      <c r="B630" s="5">
        <f>'1 datos preparados'!U623</f>
        <v/>
      </c>
      <c r="C630">
        <f>'1 datos preparados'!B623</f>
        <v/>
      </c>
      <c r="D630" s="7">
        <f>'1 datos preparados'!C623</f>
        <v/>
      </c>
      <c r="E630" s="7">
        <f>'1 datos preparados'!D623</f>
        <v/>
      </c>
      <c r="F630" s="7">
        <f>'1 datos preparados'!E623</f>
        <v/>
      </c>
      <c r="G630" s="7">
        <f>'1 datos preparados'!F623</f>
        <v/>
      </c>
      <c r="H630" s="7">
        <f>'1 datos preparados'!G623</f>
        <v/>
      </c>
      <c r="I630" s="7">
        <f>'1 datos preparados'!H623</f>
        <v/>
      </c>
      <c r="J630" s="7">
        <f>'1 datos preparados'!I623</f>
        <v/>
      </c>
      <c r="K630" s="7">
        <f>'1 datos preparados'!J623</f>
        <v/>
      </c>
      <c r="L630" s="7">
        <f>'1 datos preparados'!K623</f>
        <v/>
      </c>
      <c r="M630" s="7">
        <f>'1 datos preparados'!L623</f>
        <v/>
      </c>
      <c r="N630" s="7">
        <f>'1 datos preparados'!M623</f>
        <v/>
      </c>
      <c r="O630" s="7">
        <f>'1 datos preparados'!N623</f>
        <v/>
      </c>
      <c r="P630" s="7">
        <f>'1 datos preparados'!O623</f>
        <v/>
      </c>
      <c r="Q630" s="7">
        <f>'1 datos preparados'!P623</f>
        <v/>
      </c>
      <c r="R630" s="7">
        <f>'1 datos preparados'!Q623</f>
        <v/>
      </c>
      <c r="S630" s="7">
        <f>'1 datos preparados'!R623</f>
        <v/>
      </c>
      <c r="T630" s="7">
        <f>'1 datos preparados'!S623</f>
        <v/>
      </c>
      <c r="U630" s="7">
        <f>'1 datos preparados'!T623</f>
        <v/>
      </c>
      <c r="V630" s="8">
        <f>$AE$12+D630*$AE$13+E630*$AE$14+F630*$AE$15+G630*$AE$16+H630*$AE$17+I630*$AE$18+J630*$AE$19+K630*$AE$20+L630*$AE$21+M630*$AE$22+N630*$AE$23+O630*$AE$24+P630*$AE$25+Q630*$AE$26+R630*$AE$27+S630*$AE$28+T630*$AE$29+U630*$AE$30</f>
        <v/>
      </c>
      <c r="W630" s="8">
        <f>1/(1+EXP(-V630))</f>
        <v/>
      </c>
      <c r="X630" s="9">
        <f>-IF(C630=1,LN(W630),LN(1-W630))</f>
        <v/>
      </c>
      <c r="Y630" s="8">
        <f>IF(C630=1,$AE$32,$AE$33)</f>
        <v/>
      </c>
      <c r="Z630" s="9">
        <f>Y630*X630</f>
        <v/>
      </c>
      <c r="AA630" s="10">
        <f>IF(W630&gt;$AE$34,1,0)</f>
        <v/>
      </c>
      <c r="AB630">
        <f>IF(AA630=C630,1,0)</f>
        <v/>
      </c>
    </row>
    <row r="631">
      <c r="A631">
        <f>'1 datos preparados'!A624</f>
        <v/>
      </c>
      <c r="B631" s="5">
        <f>'1 datos preparados'!U624</f>
        <v/>
      </c>
      <c r="C631">
        <f>'1 datos preparados'!B624</f>
        <v/>
      </c>
      <c r="D631" s="7">
        <f>'1 datos preparados'!C624</f>
        <v/>
      </c>
      <c r="E631" s="7">
        <f>'1 datos preparados'!D624</f>
        <v/>
      </c>
      <c r="F631" s="7">
        <f>'1 datos preparados'!E624</f>
        <v/>
      </c>
      <c r="G631" s="7">
        <f>'1 datos preparados'!F624</f>
        <v/>
      </c>
      <c r="H631" s="7">
        <f>'1 datos preparados'!G624</f>
        <v/>
      </c>
      <c r="I631" s="7">
        <f>'1 datos preparados'!H624</f>
        <v/>
      </c>
      <c r="J631" s="7">
        <f>'1 datos preparados'!I624</f>
        <v/>
      </c>
      <c r="K631" s="7">
        <f>'1 datos preparados'!J624</f>
        <v/>
      </c>
      <c r="L631" s="7">
        <f>'1 datos preparados'!K624</f>
        <v/>
      </c>
      <c r="M631" s="7">
        <f>'1 datos preparados'!L624</f>
        <v/>
      </c>
      <c r="N631" s="7">
        <f>'1 datos preparados'!M624</f>
        <v/>
      </c>
      <c r="O631" s="7">
        <f>'1 datos preparados'!N624</f>
        <v/>
      </c>
      <c r="P631" s="7">
        <f>'1 datos preparados'!O624</f>
        <v/>
      </c>
      <c r="Q631" s="7">
        <f>'1 datos preparados'!P624</f>
        <v/>
      </c>
      <c r="R631" s="7">
        <f>'1 datos preparados'!Q624</f>
        <v/>
      </c>
      <c r="S631" s="7">
        <f>'1 datos preparados'!R624</f>
        <v/>
      </c>
      <c r="T631" s="7">
        <f>'1 datos preparados'!S624</f>
        <v/>
      </c>
      <c r="U631" s="7">
        <f>'1 datos preparados'!T624</f>
        <v/>
      </c>
      <c r="V631" s="8">
        <f>$AE$12+D631*$AE$13+E631*$AE$14+F631*$AE$15+G631*$AE$16+H631*$AE$17+I631*$AE$18+J631*$AE$19+K631*$AE$20+L631*$AE$21+M631*$AE$22+N631*$AE$23+O631*$AE$24+P631*$AE$25+Q631*$AE$26+R631*$AE$27+S631*$AE$28+T631*$AE$29+U631*$AE$30</f>
        <v/>
      </c>
      <c r="W631" s="8">
        <f>1/(1+EXP(-V631))</f>
        <v/>
      </c>
      <c r="X631" s="9">
        <f>-IF(C631=1,LN(W631),LN(1-W631))</f>
        <v/>
      </c>
      <c r="Y631" s="8">
        <f>IF(C631=1,$AE$32,$AE$33)</f>
        <v/>
      </c>
      <c r="Z631" s="9">
        <f>Y631*X631</f>
        <v/>
      </c>
      <c r="AA631" s="10">
        <f>IF(W631&gt;$AE$34,1,0)</f>
        <v/>
      </c>
      <c r="AB631">
        <f>IF(AA631=C631,1,0)</f>
        <v/>
      </c>
    </row>
    <row r="632">
      <c r="A632">
        <f>'1 datos preparados'!A625</f>
        <v/>
      </c>
      <c r="B632" s="5">
        <f>'1 datos preparados'!U625</f>
        <v/>
      </c>
      <c r="C632">
        <f>'1 datos preparados'!B625</f>
        <v/>
      </c>
      <c r="D632" s="7">
        <f>'1 datos preparados'!C625</f>
        <v/>
      </c>
      <c r="E632" s="7">
        <f>'1 datos preparados'!D625</f>
        <v/>
      </c>
      <c r="F632" s="7">
        <f>'1 datos preparados'!E625</f>
        <v/>
      </c>
      <c r="G632" s="7">
        <f>'1 datos preparados'!F625</f>
        <v/>
      </c>
      <c r="H632" s="7">
        <f>'1 datos preparados'!G625</f>
        <v/>
      </c>
      <c r="I632" s="7">
        <f>'1 datos preparados'!H625</f>
        <v/>
      </c>
      <c r="J632" s="7">
        <f>'1 datos preparados'!I625</f>
        <v/>
      </c>
      <c r="K632" s="7">
        <f>'1 datos preparados'!J625</f>
        <v/>
      </c>
      <c r="L632" s="7">
        <f>'1 datos preparados'!K625</f>
        <v/>
      </c>
      <c r="M632" s="7">
        <f>'1 datos preparados'!L625</f>
        <v/>
      </c>
      <c r="N632" s="7">
        <f>'1 datos preparados'!M625</f>
        <v/>
      </c>
      <c r="O632" s="7">
        <f>'1 datos preparados'!N625</f>
        <v/>
      </c>
      <c r="P632" s="7">
        <f>'1 datos preparados'!O625</f>
        <v/>
      </c>
      <c r="Q632" s="7">
        <f>'1 datos preparados'!P625</f>
        <v/>
      </c>
      <c r="R632" s="7">
        <f>'1 datos preparados'!Q625</f>
        <v/>
      </c>
      <c r="S632" s="7">
        <f>'1 datos preparados'!R625</f>
        <v/>
      </c>
      <c r="T632" s="7">
        <f>'1 datos preparados'!S625</f>
        <v/>
      </c>
      <c r="U632" s="7">
        <f>'1 datos preparados'!T625</f>
        <v/>
      </c>
      <c r="V632" s="8">
        <f>$AE$12+D632*$AE$13+E632*$AE$14+F632*$AE$15+G632*$AE$16+H632*$AE$17+I632*$AE$18+J632*$AE$19+K632*$AE$20+L632*$AE$21+M632*$AE$22+N632*$AE$23+O632*$AE$24+P632*$AE$25+Q632*$AE$26+R632*$AE$27+S632*$AE$28+T632*$AE$29+U632*$AE$30</f>
        <v/>
      </c>
      <c r="W632" s="8">
        <f>1/(1+EXP(-V632))</f>
        <v/>
      </c>
      <c r="X632" s="9">
        <f>-IF(C632=1,LN(W632),LN(1-W632))</f>
        <v/>
      </c>
      <c r="Y632" s="8">
        <f>IF(C632=1,$AE$32,$AE$33)</f>
        <v/>
      </c>
      <c r="Z632" s="9">
        <f>Y632*X632</f>
        <v/>
      </c>
      <c r="AA632" s="10">
        <f>IF(W632&gt;$AE$34,1,0)</f>
        <v/>
      </c>
      <c r="AB632">
        <f>IF(AA632=C632,1,0)</f>
        <v/>
      </c>
    </row>
    <row r="633">
      <c r="A633">
        <f>'1 datos preparados'!A626</f>
        <v/>
      </c>
      <c r="B633" s="5">
        <f>'1 datos preparados'!U626</f>
        <v/>
      </c>
      <c r="C633">
        <f>'1 datos preparados'!B626</f>
        <v/>
      </c>
      <c r="D633" s="7">
        <f>'1 datos preparados'!C626</f>
        <v/>
      </c>
      <c r="E633" s="7">
        <f>'1 datos preparados'!D626</f>
        <v/>
      </c>
      <c r="F633" s="7">
        <f>'1 datos preparados'!E626</f>
        <v/>
      </c>
      <c r="G633" s="7">
        <f>'1 datos preparados'!F626</f>
        <v/>
      </c>
      <c r="H633" s="7">
        <f>'1 datos preparados'!G626</f>
        <v/>
      </c>
      <c r="I633" s="7">
        <f>'1 datos preparados'!H626</f>
        <v/>
      </c>
      <c r="J633" s="7">
        <f>'1 datos preparados'!I626</f>
        <v/>
      </c>
      <c r="K633" s="7">
        <f>'1 datos preparados'!J626</f>
        <v/>
      </c>
      <c r="L633" s="7">
        <f>'1 datos preparados'!K626</f>
        <v/>
      </c>
      <c r="M633" s="7">
        <f>'1 datos preparados'!L626</f>
        <v/>
      </c>
      <c r="N633" s="7">
        <f>'1 datos preparados'!M626</f>
        <v/>
      </c>
      <c r="O633" s="7">
        <f>'1 datos preparados'!N626</f>
        <v/>
      </c>
      <c r="P633" s="7">
        <f>'1 datos preparados'!O626</f>
        <v/>
      </c>
      <c r="Q633" s="7">
        <f>'1 datos preparados'!P626</f>
        <v/>
      </c>
      <c r="R633" s="7">
        <f>'1 datos preparados'!Q626</f>
        <v/>
      </c>
      <c r="S633" s="7">
        <f>'1 datos preparados'!R626</f>
        <v/>
      </c>
      <c r="T633" s="7">
        <f>'1 datos preparados'!S626</f>
        <v/>
      </c>
      <c r="U633" s="7">
        <f>'1 datos preparados'!T626</f>
        <v/>
      </c>
      <c r="V633" s="8">
        <f>$AE$12+D633*$AE$13+E633*$AE$14+F633*$AE$15+G633*$AE$16+H633*$AE$17+I633*$AE$18+J633*$AE$19+K633*$AE$20+L633*$AE$21+M633*$AE$22+N633*$AE$23+O633*$AE$24+P633*$AE$25+Q633*$AE$26+R633*$AE$27+S633*$AE$28+T633*$AE$29+U633*$AE$30</f>
        <v/>
      </c>
      <c r="W633" s="8">
        <f>1/(1+EXP(-V633))</f>
        <v/>
      </c>
      <c r="X633" s="9">
        <f>-IF(C633=1,LN(W633),LN(1-W633))</f>
        <v/>
      </c>
      <c r="Y633" s="8">
        <f>IF(C633=1,$AE$32,$AE$33)</f>
        <v/>
      </c>
      <c r="Z633" s="9">
        <f>Y633*X633</f>
        <v/>
      </c>
      <c r="AA633" s="10">
        <f>IF(W633&gt;$AE$34,1,0)</f>
        <v/>
      </c>
      <c r="AB633">
        <f>IF(AA633=C633,1,0)</f>
        <v/>
      </c>
    </row>
    <row r="634">
      <c r="A634">
        <f>'1 datos preparados'!A627</f>
        <v/>
      </c>
      <c r="B634" s="5">
        <f>'1 datos preparados'!U627</f>
        <v/>
      </c>
      <c r="C634">
        <f>'1 datos preparados'!B627</f>
        <v/>
      </c>
      <c r="D634" s="7">
        <f>'1 datos preparados'!C627</f>
        <v/>
      </c>
      <c r="E634" s="7">
        <f>'1 datos preparados'!D627</f>
        <v/>
      </c>
      <c r="F634" s="7">
        <f>'1 datos preparados'!E627</f>
        <v/>
      </c>
      <c r="G634" s="7">
        <f>'1 datos preparados'!F627</f>
        <v/>
      </c>
      <c r="H634" s="7">
        <f>'1 datos preparados'!G627</f>
        <v/>
      </c>
      <c r="I634" s="7">
        <f>'1 datos preparados'!H627</f>
        <v/>
      </c>
      <c r="J634" s="7">
        <f>'1 datos preparados'!I627</f>
        <v/>
      </c>
      <c r="K634" s="7">
        <f>'1 datos preparados'!J627</f>
        <v/>
      </c>
      <c r="L634" s="7">
        <f>'1 datos preparados'!K627</f>
        <v/>
      </c>
      <c r="M634" s="7">
        <f>'1 datos preparados'!L627</f>
        <v/>
      </c>
      <c r="N634" s="7">
        <f>'1 datos preparados'!M627</f>
        <v/>
      </c>
      <c r="O634" s="7">
        <f>'1 datos preparados'!N627</f>
        <v/>
      </c>
      <c r="P634" s="7">
        <f>'1 datos preparados'!O627</f>
        <v/>
      </c>
      <c r="Q634" s="7">
        <f>'1 datos preparados'!P627</f>
        <v/>
      </c>
      <c r="R634" s="7">
        <f>'1 datos preparados'!Q627</f>
        <v/>
      </c>
      <c r="S634" s="7">
        <f>'1 datos preparados'!R627</f>
        <v/>
      </c>
      <c r="T634" s="7">
        <f>'1 datos preparados'!S627</f>
        <v/>
      </c>
      <c r="U634" s="7">
        <f>'1 datos preparados'!T627</f>
        <v/>
      </c>
      <c r="V634" s="8">
        <f>$AE$12+D634*$AE$13+E634*$AE$14+F634*$AE$15+G634*$AE$16+H634*$AE$17+I634*$AE$18+J634*$AE$19+K634*$AE$20+L634*$AE$21+M634*$AE$22+N634*$AE$23+O634*$AE$24+P634*$AE$25+Q634*$AE$26+R634*$AE$27+S634*$AE$28+T634*$AE$29+U634*$AE$30</f>
        <v/>
      </c>
      <c r="W634" s="8">
        <f>1/(1+EXP(-V634))</f>
        <v/>
      </c>
      <c r="X634" s="9">
        <f>-IF(C634=1,LN(W634),LN(1-W634))</f>
        <v/>
      </c>
      <c r="Y634" s="8">
        <f>IF(C634=1,$AE$32,$AE$33)</f>
        <v/>
      </c>
      <c r="Z634" s="9">
        <f>Y634*X634</f>
        <v/>
      </c>
      <c r="AA634" s="10">
        <f>IF(W634&gt;$AE$34,1,0)</f>
        <v/>
      </c>
      <c r="AB634">
        <f>IF(AA634=C634,1,0)</f>
        <v/>
      </c>
    </row>
    <row r="635">
      <c r="A635">
        <f>'1 datos preparados'!A628</f>
        <v/>
      </c>
      <c r="B635" s="5">
        <f>'1 datos preparados'!U628</f>
        <v/>
      </c>
      <c r="C635">
        <f>'1 datos preparados'!B628</f>
        <v/>
      </c>
      <c r="D635" s="7">
        <f>'1 datos preparados'!C628</f>
        <v/>
      </c>
      <c r="E635" s="7">
        <f>'1 datos preparados'!D628</f>
        <v/>
      </c>
      <c r="F635" s="7">
        <f>'1 datos preparados'!E628</f>
        <v/>
      </c>
      <c r="G635" s="7">
        <f>'1 datos preparados'!F628</f>
        <v/>
      </c>
      <c r="H635" s="7">
        <f>'1 datos preparados'!G628</f>
        <v/>
      </c>
      <c r="I635" s="7">
        <f>'1 datos preparados'!H628</f>
        <v/>
      </c>
      <c r="J635" s="7">
        <f>'1 datos preparados'!I628</f>
        <v/>
      </c>
      <c r="K635" s="7">
        <f>'1 datos preparados'!J628</f>
        <v/>
      </c>
      <c r="L635" s="7">
        <f>'1 datos preparados'!K628</f>
        <v/>
      </c>
      <c r="M635" s="7">
        <f>'1 datos preparados'!L628</f>
        <v/>
      </c>
      <c r="N635" s="7">
        <f>'1 datos preparados'!M628</f>
        <v/>
      </c>
      <c r="O635" s="7">
        <f>'1 datos preparados'!N628</f>
        <v/>
      </c>
      <c r="P635" s="7">
        <f>'1 datos preparados'!O628</f>
        <v/>
      </c>
      <c r="Q635" s="7">
        <f>'1 datos preparados'!P628</f>
        <v/>
      </c>
      <c r="R635" s="7">
        <f>'1 datos preparados'!Q628</f>
        <v/>
      </c>
      <c r="S635" s="7">
        <f>'1 datos preparados'!R628</f>
        <v/>
      </c>
      <c r="T635" s="7">
        <f>'1 datos preparados'!S628</f>
        <v/>
      </c>
      <c r="U635" s="7">
        <f>'1 datos preparados'!T628</f>
        <v/>
      </c>
      <c r="V635" s="8">
        <f>$AE$12+D635*$AE$13+E635*$AE$14+F635*$AE$15+G635*$AE$16+H635*$AE$17+I635*$AE$18+J635*$AE$19+K635*$AE$20+L635*$AE$21+M635*$AE$22+N635*$AE$23+O635*$AE$24+P635*$AE$25+Q635*$AE$26+R635*$AE$27+S635*$AE$28+T635*$AE$29+U635*$AE$30</f>
        <v/>
      </c>
      <c r="W635" s="8">
        <f>1/(1+EXP(-V635))</f>
        <v/>
      </c>
      <c r="X635" s="9">
        <f>-IF(C635=1,LN(W635),LN(1-W635))</f>
        <v/>
      </c>
      <c r="Y635" s="8">
        <f>IF(C635=1,$AE$32,$AE$33)</f>
        <v/>
      </c>
      <c r="Z635" s="9">
        <f>Y635*X635</f>
        <v/>
      </c>
      <c r="AA635" s="10">
        <f>IF(W635&gt;$AE$34,1,0)</f>
        <v/>
      </c>
      <c r="AB635">
        <f>IF(AA635=C635,1,0)</f>
        <v/>
      </c>
    </row>
    <row r="636">
      <c r="A636">
        <f>'1 datos preparados'!A629</f>
        <v/>
      </c>
      <c r="B636" s="5">
        <f>'1 datos preparados'!U629</f>
        <v/>
      </c>
      <c r="C636">
        <f>'1 datos preparados'!B629</f>
        <v/>
      </c>
      <c r="D636" s="7">
        <f>'1 datos preparados'!C629</f>
        <v/>
      </c>
      <c r="E636" s="7">
        <f>'1 datos preparados'!D629</f>
        <v/>
      </c>
      <c r="F636" s="7">
        <f>'1 datos preparados'!E629</f>
        <v/>
      </c>
      <c r="G636" s="7">
        <f>'1 datos preparados'!F629</f>
        <v/>
      </c>
      <c r="H636" s="7">
        <f>'1 datos preparados'!G629</f>
        <v/>
      </c>
      <c r="I636" s="7">
        <f>'1 datos preparados'!H629</f>
        <v/>
      </c>
      <c r="J636" s="7">
        <f>'1 datos preparados'!I629</f>
        <v/>
      </c>
      <c r="K636" s="7">
        <f>'1 datos preparados'!J629</f>
        <v/>
      </c>
      <c r="L636" s="7">
        <f>'1 datos preparados'!K629</f>
        <v/>
      </c>
      <c r="M636" s="7">
        <f>'1 datos preparados'!L629</f>
        <v/>
      </c>
      <c r="N636" s="7">
        <f>'1 datos preparados'!M629</f>
        <v/>
      </c>
      <c r="O636" s="7">
        <f>'1 datos preparados'!N629</f>
        <v/>
      </c>
      <c r="P636" s="7">
        <f>'1 datos preparados'!O629</f>
        <v/>
      </c>
      <c r="Q636" s="7">
        <f>'1 datos preparados'!P629</f>
        <v/>
      </c>
      <c r="R636" s="7">
        <f>'1 datos preparados'!Q629</f>
        <v/>
      </c>
      <c r="S636" s="7">
        <f>'1 datos preparados'!R629</f>
        <v/>
      </c>
      <c r="T636" s="7">
        <f>'1 datos preparados'!S629</f>
        <v/>
      </c>
      <c r="U636" s="7">
        <f>'1 datos preparados'!T629</f>
        <v/>
      </c>
      <c r="V636" s="8">
        <f>$AE$12+D636*$AE$13+E636*$AE$14+F636*$AE$15+G636*$AE$16+H636*$AE$17+I636*$AE$18+J636*$AE$19+K636*$AE$20+L636*$AE$21+M636*$AE$22+N636*$AE$23+O636*$AE$24+P636*$AE$25+Q636*$AE$26+R636*$AE$27+S636*$AE$28+T636*$AE$29+U636*$AE$30</f>
        <v/>
      </c>
      <c r="W636" s="8">
        <f>1/(1+EXP(-V636))</f>
        <v/>
      </c>
      <c r="X636" s="9">
        <f>-IF(C636=1,LN(W636),LN(1-W636))</f>
        <v/>
      </c>
      <c r="Y636" s="8">
        <f>IF(C636=1,$AE$32,$AE$33)</f>
        <v/>
      </c>
      <c r="Z636" s="9">
        <f>Y636*X636</f>
        <v/>
      </c>
      <c r="AA636" s="10">
        <f>IF(W636&gt;$AE$34,1,0)</f>
        <v/>
      </c>
      <c r="AB636">
        <f>IF(AA636=C636,1,0)</f>
        <v/>
      </c>
    </row>
    <row r="637">
      <c r="A637">
        <f>'1 datos preparados'!A630</f>
        <v/>
      </c>
      <c r="B637" s="5">
        <f>'1 datos preparados'!U630</f>
        <v/>
      </c>
      <c r="C637">
        <f>'1 datos preparados'!B630</f>
        <v/>
      </c>
      <c r="D637" s="7">
        <f>'1 datos preparados'!C630</f>
        <v/>
      </c>
      <c r="E637" s="7">
        <f>'1 datos preparados'!D630</f>
        <v/>
      </c>
      <c r="F637" s="7">
        <f>'1 datos preparados'!E630</f>
        <v/>
      </c>
      <c r="G637" s="7">
        <f>'1 datos preparados'!F630</f>
        <v/>
      </c>
      <c r="H637" s="7">
        <f>'1 datos preparados'!G630</f>
        <v/>
      </c>
      <c r="I637" s="7">
        <f>'1 datos preparados'!H630</f>
        <v/>
      </c>
      <c r="J637" s="7">
        <f>'1 datos preparados'!I630</f>
        <v/>
      </c>
      <c r="K637" s="7">
        <f>'1 datos preparados'!J630</f>
        <v/>
      </c>
      <c r="L637" s="7">
        <f>'1 datos preparados'!K630</f>
        <v/>
      </c>
      <c r="M637" s="7">
        <f>'1 datos preparados'!L630</f>
        <v/>
      </c>
      <c r="N637" s="7">
        <f>'1 datos preparados'!M630</f>
        <v/>
      </c>
      <c r="O637" s="7">
        <f>'1 datos preparados'!N630</f>
        <v/>
      </c>
      <c r="P637" s="7">
        <f>'1 datos preparados'!O630</f>
        <v/>
      </c>
      <c r="Q637" s="7">
        <f>'1 datos preparados'!P630</f>
        <v/>
      </c>
      <c r="R637" s="7">
        <f>'1 datos preparados'!Q630</f>
        <v/>
      </c>
      <c r="S637" s="7">
        <f>'1 datos preparados'!R630</f>
        <v/>
      </c>
      <c r="T637" s="7">
        <f>'1 datos preparados'!S630</f>
        <v/>
      </c>
      <c r="U637" s="7">
        <f>'1 datos preparados'!T630</f>
        <v/>
      </c>
      <c r="V637" s="8">
        <f>$AE$12+D637*$AE$13+E637*$AE$14+F637*$AE$15+G637*$AE$16+H637*$AE$17+I637*$AE$18+J637*$AE$19+K637*$AE$20+L637*$AE$21+M637*$AE$22+N637*$AE$23+O637*$AE$24+P637*$AE$25+Q637*$AE$26+R637*$AE$27+S637*$AE$28+T637*$AE$29+U637*$AE$30</f>
        <v/>
      </c>
      <c r="W637" s="8">
        <f>1/(1+EXP(-V637))</f>
        <v/>
      </c>
      <c r="X637" s="9">
        <f>-IF(C637=1,LN(W637),LN(1-W637))</f>
        <v/>
      </c>
      <c r="Y637" s="8">
        <f>IF(C637=1,$AE$32,$AE$33)</f>
        <v/>
      </c>
      <c r="Z637" s="9">
        <f>Y637*X637</f>
        <v/>
      </c>
      <c r="AA637" s="10">
        <f>IF(W637&gt;$AE$34,1,0)</f>
        <v/>
      </c>
      <c r="AB637">
        <f>IF(AA637=C637,1,0)</f>
        <v/>
      </c>
    </row>
    <row r="638">
      <c r="A638">
        <f>'1 datos preparados'!A631</f>
        <v/>
      </c>
      <c r="B638" s="5">
        <f>'1 datos preparados'!U631</f>
        <v/>
      </c>
      <c r="C638">
        <f>'1 datos preparados'!B631</f>
        <v/>
      </c>
      <c r="D638" s="7">
        <f>'1 datos preparados'!C631</f>
        <v/>
      </c>
      <c r="E638" s="7">
        <f>'1 datos preparados'!D631</f>
        <v/>
      </c>
      <c r="F638" s="7">
        <f>'1 datos preparados'!E631</f>
        <v/>
      </c>
      <c r="G638" s="7">
        <f>'1 datos preparados'!F631</f>
        <v/>
      </c>
      <c r="H638" s="7">
        <f>'1 datos preparados'!G631</f>
        <v/>
      </c>
      <c r="I638" s="7">
        <f>'1 datos preparados'!H631</f>
        <v/>
      </c>
      <c r="J638" s="7">
        <f>'1 datos preparados'!I631</f>
        <v/>
      </c>
      <c r="K638" s="7">
        <f>'1 datos preparados'!J631</f>
        <v/>
      </c>
      <c r="L638" s="7">
        <f>'1 datos preparados'!K631</f>
        <v/>
      </c>
      <c r="M638" s="7">
        <f>'1 datos preparados'!L631</f>
        <v/>
      </c>
      <c r="N638" s="7">
        <f>'1 datos preparados'!M631</f>
        <v/>
      </c>
      <c r="O638" s="7">
        <f>'1 datos preparados'!N631</f>
        <v/>
      </c>
      <c r="P638" s="7">
        <f>'1 datos preparados'!O631</f>
        <v/>
      </c>
      <c r="Q638" s="7">
        <f>'1 datos preparados'!P631</f>
        <v/>
      </c>
      <c r="R638" s="7">
        <f>'1 datos preparados'!Q631</f>
        <v/>
      </c>
      <c r="S638" s="7">
        <f>'1 datos preparados'!R631</f>
        <v/>
      </c>
      <c r="T638" s="7">
        <f>'1 datos preparados'!S631</f>
        <v/>
      </c>
      <c r="U638" s="7">
        <f>'1 datos preparados'!T631</f>
        <v/>
      </c>
      <c r="V638" s="8">
        <f>$AE$12+D638*$AE$13+E638*$AE$14+F638*$AE$15+G638*$AE$16+H638*$AE$17+I638*$AE$18+J638*$AE$19+K638*$AE$20+L638*$AE$21+M638*$AE$22+N638*$AE$23+O638*$AE$24+P638*$AE$25+Q638*$AE$26+R638*$AE$27+S638*$AE$28+T638*$AE$29+U638*$AE$30</f>
        <v/>
      </c>
      <c r="W638" s="8">
        <f>1/(1+EXP(-V638))</f>
        <v/>
      </c>
      <c r="X638" s="9">
        <f>-IF(C638=1,LN(W638),LN(1-W638))</f>
        <v/>
      </c>
      <c r="Y638" s="8">
        <f>IF(C638=1,$AE$32,$AE$33)</f>
        <v/>
      </c>
      <c r="Z638" s="9">
        <f>Y638*X638</f>
        <v/>
      </c>
      <c r="AA638" s="10">
        <f>IF(W638&gt;$AE$34,1,0)</f>
        <v/>
      </c>
      <c r="AB638">
        <f>IF(AA638=C638,1,0)</f>
        <v/>
      </c>
    </row>
    <row r="639">
      <c r="A639">
        <f>'1 datos preparados'!A632</f>
        <v/>
      </c>
      <c r="B639" s="5">
        <f>'1 datos preparados'!U632</f>
        <v/>
      </c>
      <c r="C639">
        <f>'1 datos preparados'!B632</f>
        <v/>
      </c>
      <c r="D639" s="7">
        <f>'1 datos preparados'!C632</f>
        <v/>
      </c>
      <c r="E639" s="7">
        <f>'1 datos preparados'!D632</f>
        <v/>
      </c>
      <c r="F639" s="7">
        <f>'1 datos preparados'!E632</f>
        <v/>
      </c>
      <c r="G639" s="7">
        <f>'1 datos preparados'!F632</f>
        <v/>
      </c>
      <c r="H639" s="7">
        <f>'1 datos preparados'!G632</f>
        <v/>
      </c>
      <c r="I639" s="7">
        <f>'1 datos preparados'!H632</f>
        <v/>
      </c>
      <c r="J639" s="7">
        <f>'1 datos preparados'!I632</f>
        <v/>
      </c>
      <c r="K639" s="7">
        <f>'1 datos preparados'!J632</f>
        <v/>
      </c>
      <c r="L639" s="7">
        <f>'1 datos preparados'!K632</f>
        <v/>
      </c>
      <c r="M639" s="7">
        <f>'1 datos preparados'!L632</f>
        <v/>
      </c>
      <c r="N639" s="7">
        <f>'1 datos preparados'!M632</f>
        <v/>
      </c>
      <c r="O639" s="7">
        <f>'1 datos preparados'!N632</f>
        <v/>
      </c>
      <c r="P639" s="7">
        <f>'1 datos preparados'!O632</f>
        <v/>
      </c>
      <c r="Q639" s="7">
        <f>'1 datos preparados'!P632</f>
        <v/>
      </c>
      <c r="R639" s="7">
        <f>'1 datos preparados'!Q632</f>
        <v/>
      </c>
      <c r="S639" s="7">
        <f>'1 datos preparados'!R632</f>
        <v/>
      </c>
      <c r="T639" s="7">
        <f>'1 datos preparados'!S632</f>
        <v/>
      </c>
      <c r="U639" s="7">
        <f>'1 datos preparados'!T632</f>
        <v/>
      </c>
      <c r="V639" s="8">
        <f>$AE$12+D639*$AE$13+E639*$AE$14+F639*$AE$15+G639*$AE$16+H639*$AE$17+I639*$AE$18+J639*$AE$19+K639*$AE$20+L639*$AE$21+M639*$AE$22+N639*$AE$23+O639*$AE$24+P639*$AE$25+Q639*$AE$26+R639*$AE$27+S639*$AE$28+T639*$AE$29+U639*$AE$30</f>
        <v/>
      </c>
      <c r="W639" s="8">
        <f>1/(1+EXP(-V639))</f>
        <v/>
      </c>
      <c r="X639" s="9">
        <f>-IF(C639=1,LN(W639),LN(1-W639))</f>
        <v/>
      </c>
      <c r="Y639" s="8">
        <f>IF(C639=1,$AE$32,$AE$33)</f>
        <v/>
      </c>
      <c r="Z639" s="9">
        <f>Y639*X639</f>
        <v/>
      </c>
      <c r="AA639" s="10">
        <f>IF(W639&gt;$AE$34,1,0)</f>
        <v/>
      </c>
      <c r="AB639">
        <f>IF(AA639=C639,1,0)</f>
        <v/>
      </c>
    </row>
    <row r="640">
      <c r="A640">
        <f>'1 datos preparados'!A633</f>
        <v/>
      </c>
      <c r="B640" s="5">
        <f>'1 datos preparados'!U633</f>
        <v/>
      </c>
      <c r="C640">
        <f>'1 datos preparados'!B633</f>
        <v/>
      </c>
      <c r="D640" s="7">
        <f>'1 datos preparados'!C633</f>
        <v/>
      </c>
      <c r="E640" s="7">
        <f>'1 datos preparados'!D633</f>
        <v/>
      </c>
      <c r="F640" s="7">
        <f>'1 datos preparados'!E633</f>
        <v/>
      </c>
      <c r="G640" s="7">
        <f>'1 datos preparados'!F633</f>
        <v/>
      </c>
      <c r="H640" s="7">
        <f>'1 datos preparados'!G633</f>
        <v/>
      </c>
      <c r="I640" s="7">
        <f>'1 datos preparados'!H633</f>
        <v/>
      </c>
      <c r="J640" s="7">
        <f>'1 datos preparados'!I633</f>
        <v/>
      </c>
      <c r="K640" s="7">
        <f>'1 datos preparados'!J633</f>
        <v/>
      </c>
      <c r="L640" s="7">
        <f>'1 datos preparados'!K633</f>
        <v/>
      </c>
      <c r="M640" s="7">
        <f>'1 datos preparados'!L633</f>
        <v/>
      </c>
      <c r="N640" s="7">
        <f>'1 datos preparados'!M633</f>
        <v/>
      </c>
      <c r="O640" s="7">
        <f>'1 datos preparados'!N633</f>
        <v/>
      </c>
      <c r="P640" s="7">
        <f>'1 datos preparados'!O633</f>
        <v/>
      </c>
      <c r="Q640" s="7">
        <f>'1 datos preparados'!P633</f>
        <v/>
      </c>
      <c r="R640" s="7">
        <f>'1 datos preparados'!Q633</f>
        <v/>
      </c>
      <c r="S640" s="7">
        <f>'1 datos preparados'!R633</f>
        <v/>
      </c>
      <c r="T640" s="7">
        <f>'1 datos preparados'!S633</f>
        <v/>
      </c>
      <c r="U640" s="7">
        <f>'1 datos preparados'!T633</f>
        <v/>
      </c>
      <c r="V640" s="8">
        <f>$AE$12+D640*$AE$13+E640*$AE$14+F640*$AE$15+G640*$AE$16+H640*$AE$17+I640*$AE$18+J640*$AE$19+K640*$AE$20+L640*$AE$21+M640*$AE$22+N640*$AE$23+O640*$AE$24+P640*$AE$25+Q640*$AE$26+R640*$AE$27+S640*$AE$28+T640*$AE$29+U640*$AE$30</f>
        <v/>
      </c>
      <c r="W640" s="8">
        <f>1/(1+EXP(-V640))</f>
        <v/>
      </c>
      <c r="X640" s="9">
        <f>-IF(C640=1,LN(W640),LN(1-W640))</f>
        <v/>
      </c>
      <c r="Y640" s="8">
        <f>IF(C640=1,$AE$32,$AE$33)</f>
        <v/>
      </c>
      <c r="Z640" s="9">
        <f>Y640*X640</f>
        <v/>
      </c>
      <c r="AA640" s="10">
        <f>IF(W640&gt;$AE$34,1,0)</f>
        <v/>
      </c>
      <c r="AB640">
        <f>IF(AA640=C640,1,0)</f>
        <v/>
      </c>
    </row>
    <row r="641">
      <c r="A641">
        <f>'1 datos preparados'!A634</f>
        <v/>
      </c>
      <c r="B641" s="5">
        <f>'1 datos preparados'!U634</f>
        <v/>
      </c>
      <c r="C641">
        <f>'1 datos preparados'!B634</f>
        <v/>
      </c>
      <c r="D641" s="7">
        <f>'1 datos preparados'!C634</f>
        <v/>
      </c>
      <c r="E641" s="7">
        <f>'1 datos preparados'!D634</f>
        <v/>
      </c>
      <c r="F641" s="7">
        <f>'1 datos preparados'!E634</f>
        <v/>
      </c>
      <c r="G641" s="7">
        <f>'1 datos preparados'!F634</f>
        <v/>
      </c>
      <c r="H641" s="7">
        <f>'1 datos preparados'!G634</f>
        <v/>
      </c>
      <c r="I641" s="7">
        <f>'1 datos preparados'!H634</f>
        <v/>
      </c>
      <c r="J641" s="7">
        <f>'1 datos preparados'!I634</f>
        <v/>
      </c>
      <c r="K641" s="7">
        <f>'1 datos preparados'!J634</f>
        <v/>
      </c>
      <c r="L641" s="7">
        <f>'1 datos preparados'!K634</f>
        <v/>
      </c>
      <c r="M641" s="7">
        <f>'1 datos preparados'!L634</f>
        <v/>
      </c>
      <c r="N641" s="7">
        <f>'1 datos preparados'!M634</f>
        <v/>
      </c>
      <c r="O641" s="7">
        <f>'1 datos preparados'!N634</f>
        <v/>
      </c>
      <c r="P641" s="7">
        <f>'1 datos preparados'!O634</f>
        <v/>
      </c>
      <c r="Q641" s="7">
        <f>'1 datos preparados'!P634</f>
        <v/>
      </c>
      <c r="R641" s="7">
        <f>'1 datos preparados'!Q634</f>
        <v/>
      </c>
      <c r="S641" s="7">
        <f>'1 datos preparados'!R634</f>
        <v/>
      </c>
      <c r="T641" s="7">
        <f>'1 datos preparados'!S634</f>
        <v/>
      </c>
      <c r="U641" s="7">
        <f>'1 datos preparados'!T634</f>
        <v/>
      </c>
      <c r="V641" s="8">
        <f>$AE$12+D641*$AE$13+E641*$AE$14+F641*$AE$15+G641*$AE$16+H641*$AE$17+I641*$AE$18+J641*$AE$19+K641*$AE$20+L641*$AE$21+M641*$AE$22+N641*$AE$23+O641*$AE$24+P641*$AE$25+Q641*$AE$26+R641*$AE$27+S641*$AE$28+T641*$AE$29+U641*$AE$30</f>
        <v/>
      </c>
      <c r="W641" s="8">
        <f>1/(1+EXP(-V641))</f>
        <v/>
      </c>
      <c r="X641" s="9">
        <f>-IF(C641=1,LN(W641),LN(1-W641))</f>
        <v/>
      </c>
      <c r="Y641" s="8">
        <f>IF(C641=1,$AE$32,$AE$33)</f>
        <v/>
      </c>
      <c r="Z641" s="9">
        <f>Y641*X641</f>
        <v/>
      </c>
      <c r="AA641" s="10">
        <f>IF(W641&gt;$AE$34,1,0)</f>
        <v/>
      </c>
      <c r="AB641">
        <f>IF(AA641=C641,1,0)</f>
        <v/>
      </c>
    </row>
    <row r="642">
      <c r="A642">
        <f>'1 datos preparados'!A635</f>
        <v/>
      </c>
      <c r="B642" s="5">
        <f>'1 datos preparados'!U635</f>
        <v/>
      </c>
      <c r="C642">
        <f>'1 datos preparados'!B635</f>
        <v/>
      </c>
      <c r="D642" s="7">
        <f>'1 datos preparados'!C635</f>
        <v/>
      </c>
      <c r="E642" s="7">
        <f>'1 datos preparados'!D635</f>
        <v/>
      </c>
      <c r="F642" s="7">
        <f>'1 datos preparados'!E635</f>
        <v/>
      </c>
      <c r="G642" s="7">
        <f>'1 datos preparados'!F635</f>
        <v/>
      </c>
      <c r="H642" s="7">
        <f>'1 datos preparados'!G635</f>
        <v/>
      </c>
      <c r="I642" s="7">
        <f>'1 datos preparados'!H635</f>
        <v/>
      </c>
      <c r="J642" s="7">
        <f>'1 datos preparados'!I635</f>
        <v/>
      </c>
      <c r="K642" s="7">
        <f>'1 datos preparados'!J635</f>
        <v/>
      </c>
      <c r="L642" s="7">
        <f>'1 datos preparados'!K635</f>
        <v/>
      </c>
      <c r="M642" s="7">
        <f>'1 datos preparados'!L635</f>
        <v/>
      </c>
      <c r="N642" s="7">
        <f>'1 datos preparados'!M635</f>
        <v/>
      </c>
      <c r="O642" s="7">
        <f>'1 datos preparados'!N635</f>
        <v/>
      </c>
      <c r="P642" s="7">
        <f>'1 datos preparados'!O635</f>
        <v/>
      </c>
      <c r="Q642" s="7">
        <f>'1 datos preparados'!P635</f>
        <v/>
      </c>
      <c r="R642" s="7">
        <f>'1 datos preparados'!Q635</f>
        <v/>
      </c>
      <c r="S642" s="7">
        <f>'1 datos preparados'!R635</f>
        <v/>
      </c>
      <c r="T642" s="7">
        <f>'1 datos preparados'!S635</f>
        <v/>
      </c>
      <c r="U642" s="7">
        <f>'1 datos preparados'!T635</f>
        <v/>
      </c>
      <c r="V642" s="8">
        <f>$AE$12+D642*$AE$13+E642*$AE$14+F642*$AE$15+G642*$AE$16+H642*$AE$17+I642*$AE$18+J642*$AE$19+K642*$AE$20+L642*$AE$21+M642*$AE$22+N642*$AE$23+O642*$AE$24+P642*$AE$25+Q642*$AE$26+R642*$AE$27+S642*$AE$28+T642*$AE$29+U642*$AE$30</f>
        <v/>
      </c>
      <c r="W642" s="8">
        <f>1/(1+EXP(-V642))</f>
        <v/>
      </c>
      <c r="X642" s="9">
        <f>-IF(C642=1,LN(W642),LN(1-W642))</f>
        <v/>
      </c>
      <c r="Y642" s="8">
        <f>IF(C642=1,$AE$32,$AE$33)</f>
        <v/>
      </c>
      <c r="Z642" s="9">
        <f>Y642*X642</f>
        <v/>
      </c>
      <c r="AA642" s="10">
        <f>IF(W642&gt;$AE$34,1,0)</f>
        <v/>
      </c>
      <c r="AB642">
        <f>IF(AA642=C642,1,0)</f>
        <v/>
      </c>
    </row>
    <row r="643">
      <c r="A643">
        <f>'1 datos preparados'!A636</f>
        <v/>
      </c>
      <c r="B643" s="5">
        <f>'1 datos preparados'!U636</f>
        <v/>
      </c>
      <c r="C643">
        <f>'1 datos preparados'!B636</f>
        <v/>
      </c>
      <c r="D643" s="7">
        <f>'1 datos preparados'!C636</f>
        <v/>
      </c>
      <c r="E643" s="7">
        <f>'1 datos preparados'!D636</f>
        <v/>
      </c>
      <c r="F643" s="7">
        <f>'1 datos preparados'!E636</f>
        <v/>
      </c>
      <c r="G643" s="7">
        <f>'1 datos preparados'!F636</f>
        <v/>
      </c>
      <c r="H643" s="7">
        <f>'1 datos preparados'!G636</f>
        <v/>
      </c>
      <c r="I643" s="7">
        <f>'1 datos preparados'!H636</f>
        <v/>
      </c>
      <c r="J643" s="7">
        <f>'1 datos preparados'!I636</f>
        <v/>
      </c>
      <c r="K643" s="7">
        <f>'1 datos preparados'!J636</f>
        <v/>
      </c>
      <c r="L643" s="7">
        <f>'1 datos preparados'!K636</f>
        <v/>
      </c>
      <c r="M643" s="7">
        <f>'1 datos preparados'!L636</f>
        <v/>
      </c>
      <c r="N643" s="7">
        <f>'1 datos preparados'!M636</f>
        <v/>
      </c>
      <c r="O643" s="7">
        <f>'1 datos preparados'!N636</f>
        <v/>
      </c>
      <c r="P643" s="7">
        <f>'1 datos preparados'!O636</f>
        <v/>
      </c>
      <c r="Q643" s="7">
        <f>'1 datos preparados'!P636</f>
        <v/>
      </c>
      <c r="R643" s="7">
        <f>'1 datos preparados'!Q636</f>
        <v/>
      </c>
      <c r="S643" s="7">
        <f>'1 datos preparados'!R636</f>
        <v/>
      </c>
      <c r="T643" s="7">
        <f>'1 datos preparados'!S636</f>
        <v/>
      </c>
      <c r="U643" s="7">
        <f>'1 datos preparados'!T636</f>
        <v/>
      </c>
      <c r="V643" s="8">
        <f>$AE$12+D643*$AE$13+E643*$AE$14+F643*$AE$15+G643*$AE$16+H643*$AE$17+I643*$AE$18+J643*$AE$19+K643*$AE$20+L643*$AE$21+M643*$AE$22+N643*$AE$23+O643*$AE$24+P643*$AE$25+Q643*$AE$26+R643*$AE$27+S643*$AE$28+T643*$AE$29+U643*$AE$30</f>
        <v/>
      </c>
      <c r="W643" s="8">
        <f>1/(1+EXP(-V643))</f>
        <v/>
      </c>
      <c r="X643" s="9">
        <f>-IF(C643=1,LN(W643),LN(1-W643))</f>
        <v/>
      </c>
      <c r="Y643" s="8">
        <f>IF(C643=1,$AE$32,$AE$33)</f>
        <v/>
      </c>
      <c r="Z643" s="9">
        <f>Y643*X643</f>
        <v/>
      </c>
      <c r="AA643" s="10">
        <f>IF(W643&gt;$AE$34,1,0)</f>
        <v/>
      </c>
      <c r="AB643">
        <f>IF(AA643=C643,1,0)</f>
        <v/>
      </c>
    </row>
    <row r="644">
      <c r="A644">
        <f>'1 datos preparados'!A637</f>
        <v/>
      </c>
      <c r="B644" s="5">
        <f>'1 datos preparados'!U637</f>
        <v/>
      </c>
      <c r="C644">
        <f>'1 datos preparados'!B637</f>
        <v/>
      </c>
      <c r="D644" s="7">
        <f>'1 datos preparados'!C637</f>
        <v/>
      </c>
      <c r="E644" s="7">
        <f>'1 datos preparados'!D637</f>
        <v/>
      </c>
      <c r="F644" s="7">
        <f>'1 datos preparados'!E637</f>
        <v/>
      </c>
      <c r="G644" s="7">
        <f>'1 datos preparados'!F637</f>
        <v/>
      </c>
      <c r="H644" s="7">
        <f>'1 datos preparados'!G637</f>
        <v/>
      </c>
      <c r="I644" s="7">
        <f>'1 datos preparados'!H637</f>
        <v/>
      </c>
      <c r="J644" s="7">
        <f>'1 datos preparados'!I637</f>
        <v/>
      </c>
      <c r="K644" s="7">
        <f>'1 datos preparados'!J637</f>
        <v/>
      </c>
      <c r="L644" s="7">
        <f>'1 datos preparados'!K637</f>
        <v/>
      </c>
      <c r="M644" s="7">
        <f>'1 datos preparados'!L637</f>
        <v/>
      </c>
      <c r="N644" s="7">
        <f>'1 datos preparados'!M637</f>
        <v/>
      </c>
      <c r="O644" s="7">
        <f>'1 datos preparados'!N637</f>
        <v/>
      </c>
      <c r="P644" s="7">
        <f>'1 datos preparados'!O637</f>
        <v/>
      </c>
      <c r="Q644" s="7">
        <f>'1 datos preparados'!P637</f>
        <v/>
      </c>
      <c r="R644" s="7">
        <f>'1 datos preparados'!Q637</f>
        <v/>
      </c>
      <c r="S644" s="7">
        <f>'1 datos preparados'!R637</f>
        <v/>
      </c>
      <c r="T644" s="7">
        <f>'1 datos preparados'!S637</f>
        <v/>
      </c>
      <c r="U644" s="7">
        <f>'1 datos preparados'!T637</f>
        <v/>
      </c>
      <c r="V644" s="8">
        <f>$AE$12+D644*$AE$13+E644*$AE$14+F644*$AE$15+G644*$AE$16+H644*$AE$17+I644*$AE$18+J644*$AE$19+K644*$AE$20+L644*$AE$21+M644*$AE$22+N644*$AE$23+O644*$AE$24+P644*$AE$25+Q644*$AE$26+R644*$AE$27+S644*$AE$28+T644*$AE$29+U644*$AE$30</f>
        <v/>
      </c>
      <c r="W644" s="8">
        <f>1/(1+EXP(-V644))</f>
        <v/>
      </c>
      <c r="X644" s="9">
        <f>-IF(C644=1,LN(W644),LN(1-W644))</f>
        <v/>
      </c>
      <c r="Y644" s="8">
        <f>IF(C644=1,$AE$32,$AE$33)</f>
        <v/>
      </c>
      <c r="Z644" s="9">
        <f>Y644*X644</f>
        <v/>
      </c>
      <c r="AA644" s="10">
        <f>IF(W644&gt;$AE$34,1,0)</f>
        <v/>
      </c>
      <c r="AB644">
        <f>IF(AA644=C644,1,0)</f>
        <v/>
      </c>
    </row>
    <row r="645">
      <c r="A645">
        <f>'1 datos preparados'!A638</f>
        <v/>
      </c>
      <c r="B645" s="5">
        <f>'1 datos preparados'!U638</f>
        <v/>
      </c>
      <c r="C645">
        <f>'1 datos preparados'!B638</f>
        <v/>
      </c>
      <c r="D645" s="7">
        <f>'1 datos preparados'!C638</f>
        <v/>
      </c>
      <c r="E645" s="7">
        <f>'1 datos preparados'!D638</f>
        <v/>
      </c>
      <c r="F645" s="7">
        <f>'1 datos preparados'!E638</f>
        <v/>
      </c>
      <c r="G645" s="7">
        <f>'1 datos preparados'!F638</f>
        <v/>
      </c>
      <c r="H645" s="7">
        <f>'1 datos preparados'!G638</f>
        <v/>
      </c>
      <c r="I645" s="7">
        <f>'1 datos preparados'!H638</f>
        <v/>
      </c>
      <c r="J645" s="7">
        <f>'1 datos preparados'!I638</f>
        <v/>
      </c>
      <c r="K645" s="7">
        <f>'1 datos preparados'!J638</f>
        <v/>
      </c>
      <c r="L645" s="7">
        <f>'1 datos preparados'!K638</f>
        <v/>
      </c>
      <c r="M645" s="7">
        <f>'1 datos preparados'!L638</f>
        <v/>
      </c>
      <c r="N645" s="7">
        <f>'1 datos preparados'!M638</f>
        <v/>
      </c>
      <c r="O645" s="7">
        <f>'1 datos preparados'!N638</f>
        <v/>
      </c>
      <c r="P645" s="7">
        <f>'1 datos preparados'!O638</f>
        <v/>
      </c>
      <c r="Q645" s="7">
        <f>'1 datos preparados'!P638</f>
        <v/>
      </c>
      <c r="R645" s="7">
        <f>'1 datos preparados'!Q638</f>
        <v/>
      </c>
      <c r="S645" s="7">
        <f>'1 datos preparados'!R638</f>
        <v/>
      </c>
      <c r="T645" s="7">
        <f>'1 datos preparados'!S638</f>
        <v/>
      </c>
      <c r="U645" s="7">
        <f>'1 datos preparados'!T638</f>
        <v/>
      </c>
      <c r="V645" s="8">
        <f>$AE$12+D645*$AE$13+E645*$AE$14+F645*$AE$15+G645*$AE$16+H645*$AE$17+I645*$AE$18+J645*$AE$19+K645*$AE$20+L645*$AE$21+M645*$AE$22+N645*$AE$23+O645*$AE$24+P645*$AE$25+Q645*$AE$26+R645*$AE$27+S645*$AE$28+T645*$AE$29+U645*$AE$30</f>
        <v/>
      </c>
      <c r="W645" s="8">
        <f>1/(1+EXP(-V645))</f>
        <v/>
      </c>
      <c r="X645" s="9">
        <f>-IF(C645=1,LN(W645),LN(1-W645))</f>
        <v/>
      </c>
      <c r="Y645" s="8">
        <f>IF(C645=1,$AE$32,$AE$33)</f>
        <v/>
      </c>
      <c r="Z645" s="9">
        <f>Y645*X645</f>
        <v/>
      </c>
      <c r="AA645" s="10">
        <f>IF(W645&gt;$AE$34,1,0)</f>
        <v/>
      </c>
      <c r="AB645">
        <f>IF(AA645=C645,1,0)</f>
        <v/>
      </c>
    </row>
    <row r="646">
      <c r="A646">
        <f>'1 datos preparados'!A639</f>
        <v/>
      </c>
      <c r="B646" s="5">
        <f>'1 datos preparados'!U639</f>
        <v/>
      </c>
      <c r="C646">
        <f>'1 datos preparados'!B639</f>
        <v/>
      </c>
      <c r="D646" s="7">
        <f>'1 datos preparados'!C639</f>
        <v/>
      </c>
      <c r="E646" s="7">
        <f>'1 datos preparados'!D639</f>
        <v/>
      </c>
      <c r="F646" s="7">
        <f>'1 datos preparados'!E639</f>
        <v/>
      </c>
      <c r="G646" s="7">
        <f>'1 datos preparados'!F639</f>
        <v/>
      </c>
      <c r="H646" s="7">
        <f>'1 datos preparados'!G639</f>
        <v/>
      </c>
      <c r="I646" s="7">
        <f>'1 datos preparados'!H639</f>
        <v/>
      </c>
      <c r="J646" s="7">
        <f>'1 datos preparados'!I639</f>
        <v/>
      </c>
      <c r="K646" s="7">
        <f>'1 datos preparados'!J639</f>
        <v/>
      </c>
      <c r="L646" s="7">
        <f>'1 datos preparados'!K639</f>
        <v/>
      </c>
      <c r="M646" s="7">
        <f>'1 datos preparados'!L639</f>
        <v/>
      </c>
      <c r="N646" s="7">
        <f>'1 datos preparados'!M639</f>
        <v/>
      </c>
      <c r="O646" s="7">
        <f>'1 datos preparados'!N639</f>
        <v/>
      </c>
      <c r="P646" s="7">
        <f>'1 datos preparados'!O639</f>
        <v/>
      </c>
      <c r="Q646" s="7">
        <f>'1 datos preparados'!P639</f>
        <v/>
      </c>
      <c r="R646" s="7">
        <f>'1 datos preparados'!Q639</f>
        <v/>
      </c>
      <c r="S646" s="7">
        <f>'1 datos preparados'!R639</f>
        <v/>
      </c>
      <c r="T646" s="7">
        <f>'1 datos preparados'!S639</f>
        <v/>
      </c>
      <c r="U646" s="7">
        <f>'1 datos preparados'!T639</f>
        <v/>
      </c>
      <c r="V646" s="8">
        <f>$AE$12+D646*$AE$13+E646*$AE$14+F646*$AE$15+G646*$AE$16+H646*$AE$17+I646*$AE$18+J646*$AE$19+K646*$AE$20+L646*$AE$21+M646*$AE$22+N646*$AE$23+O646*$AE$24+P646*$AE$25+Q646*$AE$26+R646*$AE$27+S646*$AE$28+T646*$AE$29+U646*$AE$30</f>
        <v/>
      </c>
      <c r="W646" s="8">
        <f>1/(1+EXP(-V646))</f>
        <v/>
      </c>
      <c r="X646" s="9">
        <f>-IF(C646=1,LN(W646),LN(1-W646))</f>
        <v/>
      </c>
      <c r="Y646" s="8">
        <f>IF(C646=1,$AE$32,$AE$33)</f>
        <v/>
      </c>
      <c r="Z646" s="9">
        <f>Y646*X646</f>
        <v/>
      </c>
      <c r="AA646" s="10">
        <f>IF(W646&gt;$AE$34,1,0)</f>
        <v/>
      </c>
      <c r="AB646">
        <f>IF(AA646=C646,1,0)</f>
        <v/>
      </c>
    </row>
    <row r="647">
      <c r="A647">
        <f>'1 datos preparados'!A640</f>
        <v/>
      </c>
      <c r="B647" s="5">
        <f>'1 datos preparados'!U640</f>
        <v/>
      </c>
      <c r="C647">
        <f>'1 datos preparados'!B640</f>
        <v/>
      </c>
      <c r="D647" s="7">
        <f>'1 datos preparados'!C640</f>
        <v/>
      </c>
      <c r="E647" s="7">
        <f>'1 datos preparados'!D640</f>
        <v/>
      </c>
      <c r="F647" s="7">
        <f>'1 datos preparados'!E640</f>
        <v/>
      </c>
      <c r="G647" s="7">
        <f>'1 datos preparados'!F640</f>
        <v/>
      </c>
      <c r="H647" s="7">
        <f>'1 datos preparados'!G640</f>
        <v/>
      </c>
      <c r="I647" s="7">
        <f>'1 datos preparados'!H640</f>
        <v/>
      </c>
      <c r="J647" s="7">
        <f>'1 datos preparados'!I640</f>
        <v/>
      </c>
      <c r="K647" s="7">
        <f>'1 datos preparados'!J640</f>
        <v/>
      </c>
      <c r="L647" s="7">
        <f>'1 datos preparados'!K640</f>
        <v/>
      </c>
      <c r="M647" s="7">
        <f>'1 datos preparados'!L640</f>
        <v/>
      </c>
      <c r="N647" s="7">
        <f>'1 datos preparados'!M640</f>
        <v/>
      </c>
      <c r="O647" s="7">
        <f>'1 datos preparados'!N640</f>
        <v/>
      </c>
      <c r="P647" s="7">
        <f>'1 datos preparados'!O640</f>
        <v/>
      </c>
      <c r="Q647" s="7">
        <f>'1 datos preparados'!P640</f>
        <v/>
      </c>
      <c r="R647" s="7">
        <f>'1 datos preparados'!Q640</f>
        <v/>
      </c>
      <c r="S647" s="7">
        <f>'1 datos preparados'!R640</f>
        <v/>
      </c>
      <c r="T647" s="7">
        <f>'1 datos preparados'!S640</f>
        <v/>
      </c>
      <c r="U647" s="7">
        <f>'1 datos preparados'!T640</f>
        <v/>
      </c>
      <c r="V647" s="8">
        <f>$AE$12+D647*$AE$13+E647*$AE$14+F647*$AE$15+G647*$AE$16+H647*$AE$17+I647*$AE$18+J647*$AE$19+K647*$AE$20+L647*$AE$21+M647*$AE$22+N647*$AE$23+O647*$AE$24+P647*$AE$25+Q647*$AE$26+R647*$AE$27+S647*$AE$28+T647*$AE$29+U647*$AE$30</f>
        <v/>
      </c>
      <c r="W647" s="8">
        <f>1/(1+EXP(-V647))</f>
        <v/>
      </c>
      <c r="X647" s="9">
        <f>-IF(C647=1,LN(W647),LN(1-W647))</f>
        <v/>
      </c>
      <c r="Y647" s="8">
        <f>IF(C647=1,$AE$32,$AE$33)</f>
        <v/>
      </c>
      <c r="Z647" s="9">
        <f>Y647*X647</f>
        <v/>
      </c>
      <c r="AA647" s="10">
        <f>IF(W647&gt;$AE$34,1,0)</f>
        <v/>
      </c>
      <c r="AB647">
        <f>IF(AA647=C647,1,0)</f>
        <v/>
      </c>
    </row>
    <row r="648">
      <c r="A648">
        <f>'1 datos preparados'!A641</f>
        <v/>
      </c>
      <c r="B648" s="5">
        <f>'1 datos preparados'!U641</f>
        <v/>
      </c>
      <c r="C648">
        <f>'1 datos preparados'!B641</f>
        <v/>
      </c>
      <c r="D648" s="7">
        <f>'1 datos preparados'!C641</f>
        <v/>
      </c>
      <c r="E648" s="7">
        <f>'1 datos preparados'!D641</f>
        <v/>
      </c>
      <c r="F648" s="7">
        <f>'1 datos preparados'!E641</f>
        <v/>
      </c>
      <c r="G648" s="7">
        <f>'1 datos preparados'!F641</f>
        <v/>
      </c>
      <c r="H648" s="7">
        <f>'1 datos preparados'!G641</f>
        <v/>
      </c>
      <c r="I648" s="7">
        <f>'1 datos preparados'!H641</f>
        <v/>
      </c>
      <c r="J648" s="7">
        <f>'1 datos preparados'!I641</f>
        <v/>
      </c>
      <c r="K648" s="7">
        <f>'1 datos preparados'!J641</f>
        <v/>
      </c>
      <c r="L648" s="7">
        <f>'1 datos preparados'!K641</f>
        <v/>
      </c>
      <c r="M648" s="7">
        <f>'1 datos preparados'!L641</f>
        <v/>
      </c>
      <c r="N648" s="7">
        <f>'1 datos preparados'!M641</f>
        <v/>
      </c>
      <c r="O648" s="7">
        <f>'1 datos preparados'!N641</f>
        <v/>
      </c>
      <c r="P648" s="7">
        <f>'1 datos preparados'!O641</f>
        <v/>
      </c>
      <c r="Q648" s="7">
        <f>'1 datos preparados'!P641</f>
        <v/>
      </c>
      <c r="R648" s="7">
        <f>'1 datos preparados'!Q641</f>
        <v/>
      </c>
      <c r="S648" s="7">
        <f>'1 datos preparados'!R641</f>
        <v/>
      </c>
      <c r="T648" s="7">
        <f>'1 datos preparados'!S641</f>
        <v/>
      </c>
      <c r="U648" s="7">
        <f>'1 datos preparados'!T641</f>
        <v/>
      </c>
      <c r="V648" s="8">
        <f>$AE$12+D648*$AE$13+E648*$AE$14+F648*$AE$15+G648*$AE$16+H648*$AE$17+I648*$AE$18+J648*$AE$19+K648*$AE$20+L648*$AE$21+M648*$AE$22+N648*$AE$23+O648*$AE$24+P648*$AE$25+Q648*$AE$26+R648*$AE$27+S648*$AE$28+T648*$AE$29+U648*$AE$30</f>
        <v/>
      </c>
      <c r="W648" s="8">
        <f>1/(1+EXP(-V648))</f>
        <v/>
      </c>
      <c r="X648" s="9">
        <f>-IF(C648=1,LN(W648),LN(1-W648))</f>
        <v/>
      </c>
      <c r="Y648" s="8">
        <f>IF(C648=1,$AE$32,$AE$33)</f>
        <v/>
      </c>
      <c r="Z648" s="9">
        <f>Y648*X648</f>
        <v/>
      </c>
      <c r="AA648" s="10">
        <f>IF(W648&gt;$AE$34,1,0)</f>
        <v/>
      </c>
      <c r="AB648">
        <f>IF(AA648=C648,1,0)</f>
        <v/>
      </c>
    </row>
    <row r="649">
      <c r="A649">
        <f>'1 datos preparados'!A642</f>
        <v/>
      </c>
      <c r="B649" s="5">
        <f>'1 datos preparados'!U642</f>
        <v/>
      </c>
      <c r="C649">
        <f>'1 datos preparados'!B642</f>
        <v/>
      </c>
      <c r="D649" s="7">
        <f>'1 datos preparados'!C642</f>
        <v/>
      </c>
      <c r="E649" s="7">
        <f>'1 datos preparados'!D642</f>
        <v/>
      </c>
      <c r="F649" s="7">
        <f>'1 datos preparados'!E642</f>
        <v/>
      </c>
      <c r="G649" s="7">
        <f>'1 datos preparados'!F642</f>
        <v/>
      </c>
      <c r="H649" s="7">
        <f>'1 datos preparados'!G642</f>
        <v/>
      </c>
      <c r="I649" s="7">
        <f>'1 datos preparados'!H642</f>
        <v/>
      </c>
      <c r="J649" s="7">
        <f>'1 datos preparados'!I642</f>
        <v/>
      </c>
      <c r="K649" s="7">
        <f>'1 datos preparados'!J642</f>
        <v/>
      </c>
      <c r="L649" s="7">
        <f>'1 datos preparados'!K642</f>
        <v/>
      </c>
      <c r="M649" s="7">
        <f>'1 datos preparados'!L642</f>
        <v/>
      </c>
      <c r="N649" s="7">
        <f>'1 datos preparados'!M642</f>
        <v/>
      </c>
      <c r="O649" s="7">
        <f>'1 datos preparados'!N642</f>
        <v/>
      </c>
      <c r="P649" s="7">
        <f>'1 datos preparados'!O642</f>
        <v/>
      </c>
      <c r="Q649" s="7">
        <f>'1 datos preparados'!P642</f>
        <v/>
      </c>
      <c r="R649" s="7">
        <f>'1 datos preparados'!Q642</f>
        <v/>
      </c>
      <c r="S649" s="7">
        <f>'1 datos preparados'!R642</f>
        <v/>
      </c>
      <c r="T649" s="7">
        <f>'1 datos preparados'!S642</f>
        <v/>
      </c>
      <c r="U649" s="7">
        <f>'1 datos preparados'!T642</f>
        <v/>
      </c>
      <c r="V649" s="8">
        <f>$AE$12+D649*$AE$13+E649*$AE$14+F649*$AE$15+G649*$AE$16+H649*$AE$17+I649*$AE$18+J649*$AE$19+K649*$AE$20+L649*$AE$21+M649*$AE$22+N649*$AE$23+O649*$AE$24+P649*$AE$25+Q649*$AE$26+R649*$AE$27+S649*$AE$28+T649*$AE$29+U649*$AE$30</f>
        <v/>
      </c>
      <c r="W649" s="8">
        <f>1/(1+EXP(-V649))</f>
        <v/>
      </c>
      <c r="X649" s="9">
        <f>-IF(C649=1,LN(W649),LN(1-W649))</f>
        <v/>
      </c>
      <c r="Y649" s="8">
        <f>IF(C649=1,$AE$32,$AE$33)</f>
        <v/>
      </c>
      <c r="Z649" s="9">
        <f>Y649*X649</f>
        <v/>
      </c>
      <c r="AA649" s="10">
        <f>IF(W649&gt;$AE$34,1,0)</f>
        <v/>
      </c>
      <c r="AB649">
        <f>IF(AA649=C649,1,0)</f>
        <v/>
      </c>
    </row>
    <row r="650">
      <c r="A650">
        <f>'1 datos preparados'!A643</f>
        <v/>
      </c>
      <c r="B650" s="5">
        <f>'1 datos preparados'!U643</f>
        <v/>
      </c>
      <c r="C650">
        <f>'1 datos preparados'!B643</f>
        <v/>
      </c>
      <c r="D650" s="7">
        <f>'1 datos preparados'!C643</f>
        <v/>
      </c>
      <c r="E650" s="7">
        <f>'1 datos preparados'!D643</f>
        <v/>
      </c>
      <c r="F650" s="7">
        <f>'1 datos preparados'!E643</f>
        <v/>
      </c>
      <c r="G650" s="7">
        <f>'1 datos preparados'!F643</f>
        <v/>
      </c>
      <c r="H650" s="7">
        <f>'1 datos preparados'!G643</f>
        <v/>
      </c>
      <c r="I650" s="7">
        <f>'1 datos preparados'!H643</f>
        <v/>
      </c>
      <c r="J650" s="7">
        <f>'1 datos preparados'!I643</f>
        <v/>
      </c>
      <c r="K650" s="7">
        <f>'1 datos preparados'!J643</f>
        <v/>
      </c>
      <c r="L650" s="7">
        <f>'1 datos preparados'!K643</f>
        <v/>
      </c>
      <c r="M650" s="7">
        <f>'1 datos preparados'!L643</f>
        <v/>
      </c>
      <c r="N650" s="7">
        <f>'1 datos preparados'!M643</f>
        <v/>
      </c>
      <c r="O650" s="7">
        <f>'1 datos preparados'!N643</f>
        <v/>
      </c>
      <c r="P650" s="7">
        <f>'1 datos preparados'!O643</f>
        <v/>
      </c>
      <c r="Q650" s="7">
        <f>'1 datos preparados'!P643</f>
        <v/>
      </c>
      <c r="R650" s="7">
        <f>'1 datos preparados'!Q643</f>
        <v/>
      </c>
      <c r="S650" s="7">
        <f>'1 datos preparados'!R643</f>
        <v/>
      </c>
      <c r="T650" s="7">
        <f>'1 datos preparados'!S643</f>
        <v/>
      </c>
      <c r="U650" s="7">
        <f>'1 datos preparados'!T643</f>
        <v/>
      </c>
      <c r="V650" s="8">
        <f>$AE$12+D650*$AE$13+E650*$AE$14+F650*$AE$15+G650*$AE$16+H650*$AE$17+I650*$AE$18+J650*$AE$19+K650*$AE$20+L650*$AE$21+M650*$AE$22+N650*$AE$23+O650*$AE$24+P650*$AE$25+Q650*$AE$26+R650*$AE$27+S650*$AE$28+T650*$AE$29+U650*$AE$30</f>
        <v/>
      </c>
      <c r="W650" s="8">
        <f>1/(1+EXP(-V650))</f>
        <v/>
      </c>
      <c r="X650" s="9">
        <f>-IF(C650=1,LN(W650),LN(1-W650))</f>
        <v/>
      </c>
      <c r="Y650" s="8">
        <f>IF(C650=1,$AE$32,$AE$33)</f>
        <v/>
      </c>
      <c r="Z650" s="9">
        <f>Y650*X650</f>
        <v/>
      </c>
      <c r="AA650" s="10">
        <f>IF(W650&gt;$AE$34,1,0)</f>
        <v/>
      </c>
      <c r="AB650">
        <f>IF(AA650=C650,1,0)</f>
        <v/>
      </c>
    </row>
    <row r="651">
      <c r="A651">
        <f>'1 datos preparados'!A644</f>
        <v/>
      </c>
      <c r="B651" s="5">
        <f>'1 datos preparados'!U644</f>
        <v/>
      </c>
      <c r="C651">
        <f>'1 datos preparados'!B644</f>
        <v/>
      </c>
      <c r="D651" s="7">
        <f>'1 datos preparados'!C644</f>
        <v/>
      </c>
      <c r="E651" s="7">
        <f>'1 datos preparados'!D644</f>
        <v/>
      </c>
      <c r="F651" s="7">
        <f>'1 datos preparados'!E644</f>
        <v/>
      </c>
      <c r="G651" s="7">
        <f>'1 datos preparados'!F644</f>
        <v/>
      </c>
      <c r="H651" s="7">
        <f>'1 datos preparados'!G644</f>
        <v/>
      </c>
      <c r="I651" s="7">
        <f>'1 datos preparados'!H644</f>
        <v/>
      </c>
      <c r="J651" s="7">
        <f>'1 datos preparados'!I644</f>
        <v/>
      </c>
      <c r="K651" s="7">
        <f>'1 datos preparados'!J644</f>
        <v/>
      </c>
      <c r="L651" s="7">
        <f>'1 datos preparados'!K644</f>
        <v/>
      </c>
      <c r="M651" s="7">
        <f>'1 datos preparados'!L644</f>
        <v/>
      </c>
      <c r="N651" s="7">
        <f>'1 datos preparados'!M644</f>
        <v/>
      </c>
      <c r="O651" s="7">
        <f>'1 datos preparados'!N644</f>
        <v/>
      </c>
      <c r="P651" s="7">
        <f>'1 datos preparados'!O644</f>
        <v/>
      </c>
      <c r="Q651" s="7">
        <f>'1 datos preparados'!P644</f>
        <v/>
      </c>
      <c r="R651" s="7">
        <f>'1 datos preparados'!Q644</f>
        <v/>
      </c>
      <c r="S651" s="7">
        <f>'1 datos preparados'!R644</f>
        <v/>
      </c>
      <c r="T651" s="7">
        <f>'1 datos preparados'!S644</f>
        <v/>
      </c>
      <c r="U651" s="7">
        <f>'1 datos preparados'!T644</f>
        <v/>
      </c>
      <c r="V651" s="8">
        <f>$AE$12+D651*$AE$13+E651*$AE$14+F651*$AE$15+G651*$AE$16+H651*$AE$17+I651*$AE$18+J651*$AE$19+K651*$AE$20+L651*$AE$21+M651*$AE$22+N651*$AE$23+O651*$AE$24+P651*$AE$25+Q651*$AE$26+R651*$AE$27+S651*$AE$28+T651*$AE$29+U651*$AE$30</f>
        <v/>
      </c>
      <c r="W651" s="8">
        <f>1/(1+EXP(-V651))</f>
        <v/>
      </c>
      <c r="X651" s="9">
        <f>-IF(C651=1,LN(W651),LN(1-W651))</f>
        <v/>
      </c>
      <c r="Y651" s="8">
        <f>IF(C651=1,$AE$32,$AE$33)</f>
        <v/>
      </c>
      <c r="Z651" s="9">
        <f>Y651*X651</f>
        <v/>
      </c>
      <c r="AA651" s="10">
        <f>IF(W651&gt;$AE$34,1,0)</f>
        <v/>
      </c>
      <c r="AB651">
        <f>IF(AA651=C651,1,0)</f>
        <v/>
      </c>
    </row>
    <row r="652">
      <c r="A652">
        <f>'1 datos preparados'!A645</f>
        <v/>
      </c>
      <c r="B652" s="5">
        <f>'1 datos preparados'!U645</f>
        <v/>
      </c>
      <c r="C652">
        <f>'1 datos preparados'!B645</f>
        <v/>
      </c>
      <c r="D652" s="7">
        <f>'1 datos preparados'!C645</f>
        <v/>
      </c>
      <c r="E652" s="7">
        <f>'1 datos preparados'!D645</f>
        <v/>
      </c>
      <c r="F652" s="7">
        <f>'1 datos preparados'!E645</f>
        <v/>
      </c>
      <c r="G652" s="7">
        <f>'1 datos preparados'!F645</f>
        <v/>
      </c>
      <c r="H652" s="7">
        <f>'1 datos preparados'!G645</f>
        <v/>
      </c>
      <c r="I652" s="7">
        <f>'1 datos preparados'!H645</f>
        <v/>
      </c>
      <c r="J652" s="7">
        <f>'1 datos preparados'!I645</f>
        <v/>
      </c>
      <c r="K652" s="7">
        <f>'1 datos preparados'!J645</f>
        <v/>
      </c>
      <c r="L652" s="7">
        <f>'1 datos preparados'!K645</f>
        <v/>
      </c>
      <c r="M652" s="7">
        <f>'1 datos preparados'!L645</f>
        <v/>
      </c>
      <c r="N652" s="7">
        <f>'1 datos preparados'!M645</f>
        <v/>
      </c>
      <c r="O652" s="7">
        <f>'1 datos preparados'!N645</f>
        <v/>
      </c>
      <c r="P652" s="7">
        <f>'1 datos preparados'!O645</f>
        <v/>
      </c>
      <c r="Q652" s="7">
        <f>'1 datos preparados'!P645</f>
        <v/>
      </c>
      <c r="R652" s="7">
        <f>'1 datos preparados'!Q645</f>
        <v/>
      </c>
      <c r="S652" s="7">
        <f>'1 datos preparados'!R645</f>
        <v/>
      </c>
      <c r="T652" s="7">
        <f>'1 datos preparados'!S645</f>
        <v/>
      </c>
      <c r="U652" s="7">
        <f>'1 datos preparados'!T645</f>
        <v/>
      </c>
      <c r="V652" s="8">
        <f>$AE$12+D652*$AE$13+E652*$AE$14+F652*$AE$15+G652*$AE$16+H652*$AE$17+I652*$AE$18+J652*$AE$19+K652*$AE$20+L652*$AE$21+M652*$AE$22+N652*$AE$23+O652*$AE$24+P652*$AE$25+Q652*$AE$26+R652*$AE$27+S652*$AE$28+T652*$AE$29+U652*$AE$30</f>
        <v/>
      </c>
      <c r="W652" s="8">
        <f>1/(1+EXP(-V652))</f>
        <v/>
      </c>
      <c r="X652" s="9">
        <f>-IF(C652=1,LN(W652),LN(1-W652))</f>
        <v/>
      </c>
      <c r="Y652" s="8">
        <f>IF(C652=1,$AE$32,$AE$33)</f>
        <v/>
      </c>
      <c r="Z652" s="9">
        <f>Y652*X652</f>
        <v/>
      </c>
      <c r="AA652" s="10">
        <f>IF(W652&gt;$AE$34,1,0)</f>
        <v/>
      </c>
      <c r="AB652">
        <f>IF(AA652=C652,1,0)</f>
        <v/>
      </c>
    </row>
    <row r="653">
      <c r="A653">
        <f>'1 datos preparados'!A646</f>
        <v/>
      </c>
      <c r="B653" s="5">
        <f>'1 datos preparados'!U646</f>
        <v/>
      </c>
      <c r="C653">
        <f>'1 datos preparados'!B646</f>
        <v/>
      </c>
      <c r="D653" s="7">
        <f>'1 datos preparados'!C646</f>
        <v/>
      </c>
      <c r="E653" s="7">
        <f>'1 datos preparados'!D646</f>
        <v/>
      </c>
      <c r="F653" s="7">
        <f>'1 datos preparados'!E646</f>
        <v/>
      </c>
      <c r="G653" s="7">
        <f>'1 datos preparados'!F646</f>
        <v/>
      </c>
      <c r="H653" s="7">
        <f>'1 datos preparados'!G646</f>
        <v/>
      </c>
      <c r="I653" s="7">
        <f>'1 datos preparados'!H646</f>
        <v/>
      </c>
      <c r="J653" s="7">
        <f>'1 datos preparados'!I646</f>
        <v/>
      </c>
      <c r="K653" s="7">
        <f>'1 datos preparados'!J646</f>
        <v/>
      </c>
      <c r="L653" s="7">
        <f>'1 datos preparados'!K646</f>
        <v/>
      </c>
      <c r="M653" s="7">
        <f>'1 datos preparados'!L646</f>
        <v/>
      </c>
      <c r="N653" s="7">
        <f>'1 datos preparados'!M646</f>
        <v/>
      </c>
      <c r="O653" s="7">
        <f>'1 datos preparados'!N646</f>
        <v/>
      </c>
      <c r="P653" s="7">
        <f>'1 datos preparados'!O646</f>
        <v/>
      </c>
      <c r="Q653" s="7">
        <f>'1 datos preparados'!P646</f>
        <v/>
      </c>
      <c r="R653" s="7">
        <f>'1 datos preparados'!Q646</f>
        <v/>
      </c>
      <c r="S653" s="7">
        <f>'1 datos preparados'!R646</f>
        <v/>
      </c>
      <c r="T653" s="7">
        <f>'1 datos preparados'!S646</f>
        <v/>
      </c>
      <c r="U653" s="7">
        <f>'1 datos preparados'!T646</f>
        <v/>
      </c>
      <c r="V653" s="8">
        <f>$AE$12+D653*$AE$13+E653*$AE$14+F653*$AE$15+G653*$AE$16+H653*$AE$17+I653*$AE$18+J653*$AE$19+K653*$AE$20+L653*$AE$21+M653*$AE$22+N653*$AE$23+O653*$AE$24+P653*$AE$25+Q653*$AE$26+R653*$AE$27+S653*$AE$28+T653*$AE$29+U653*$AE$30</f>
        <v/>
      </c>
      <c r="W653" s="8">
        <f>1/(1+EXP(-V653))</f>
        <v/>
      </c>
      <c r="X653" s="9">
        <f>-IF(C653=1,LN(W653),LN(1-W653))</f>
        <v/>
      </c>
      <c r="Y653" s="8">
        <f>IF(C653=1,$AE$32,$AE$33)</f>
        <v/>
      </c>
      <c r="Z653" s="9">
        <f>Y653*X653</f>
        <v/>
      </c>
      <c r="AA653" s="10">
        <f>IF(W653&gt;$AE$34,1,0)</f>
        <v/>
      </c>
      <c r="AB653">
        <f>IF(AA653=C653,1,0)</f>
        <v/>
      </c>
    </row>
    <row r="654">
      <c r="A654">
        <f>'1 datos preparados'!A647</f>
        <v/>
      </c>
      <c r="B654" s="5">
        <f>'1 datos preparados'!U647</f>
        <v/>
      </c>
      <c r="C654">
        <f>'1 datos preparados'!B647</f>
        <v/>
      </c>
      <c r="D654" s="7">
        <f>'1 datos preparados'!C647</f>
        <v/>
      </c>
      <c r="E654" s="7">
        <f>'1 datos preparados'!D647</f>
        <v/>
      </c>
      <c r="F654" s="7">
        <f>'1 datos preparados'!E647</f>
        <v/>
      </c>
      <c r="G654" s="7">
        <f>'1 datos preparados'!F647</f>
        <v/>
      </c>
      <c r="H654" s="7">
        <f>'1 datos preparados'!G647</f>
        <v/>
      </c>
      <c r="I654" s="7">
        <f>'1 datos preparados'!H647</f>
        <v/>
      </c>
      <c r="J654" s="7">
        <f>'1 datos preparados'!I647</f>
        <v/>
      </c>
      <c r="K654" s="7">
        <f>'1 datos preparados'!J647</f>
        <v/>
      </c>
      <c r="L654" s="7">
        <f>'1 datos preparados'!K647</f>
        <v/>
      </c>
      <c r="M654" s="7">
        <f>'1 datos preparados'!L647</f>
        <v/>
      </c>
      <c r="N654" s="7">
        <f>'1 datos preparados'!M647</f>
        <v/>
      </c>
      <c r="O654" s="7">
        <f>'1 datos preparados'!N647</f>
        <v/>
      </c>
      <c r="P654" s="7">
        <f>'1 datos preparados'!O647</f>
        <v/>
      </c>
      <c r="Q654" s="7">
        <f>'1 datos preparados'!P647</f>
        <v/>
      </c>
      <c r="R654" s="7">
        <f>'1 datos preparados'!Q647</f>
        <v/>
      </c>
      <c r="S654" s="7">
        <f>'1 datos preparados'!R647</f>
        <v/>
      </c>
      <c r="T654" s="7">
        <f>'1 datos preparados'!S647</f>
        <v/>
      </c>
      <c r="U654" s="7">
        <f>'1 datos preparados'!T647</f>
        <v/>
      </c>
      <c r="V654" s="8">
        <f>$AE$12+D654*$AE$13+E654*$AE$14+F654*$AE$15+G654*$AE$16+H654*$AE$17+I654*$AE$18+J654*$AE$19+K654*$AE$20+L654*$AE$21+M654*$AE$22+N654*$AE$23+O654*$AE$24+P654*$AE$25+Q654*$AE$26+R654*$AE$27+S654*$AE$28+T654*$AE$29+U654*$AE$30</f>
        <v/>
      </c>
      <c r="W654" s="8">
        <f>1/(1+EXP(-V654))</f>
        <v/>
      </c>
      <c r="X654" s="9">
        <f>-IF(C654=1,LN(W654),LN(1-W654))</f>
        <v/>
      </c>
      <c r="Y654" s="8">
        <f>IF(C654=1,$AE$32,$AE$33)</f>
        <v/>
      </c>
      <c r="Z654" s="9">
        <f>Y654*X654</f>
        <v/>
      </c>
      <c r="AA654" s="10">
        <f>IF(W654&gt;$AE$34,1,0)</f>
        <v/>
      </c>
      <c r="AB654">
        <f>IF(AA654=C654,1,0)</f>
        <v/>
      </c>
    </row>
    <row r="655">
      <c r="A655">
        <f>'1 datos preparados'!A648</f>
        <v/>
      </c>
      <c r="B655" s="5">
        <f>'1 datos preparados'!U648</f>
        <v/>
      </c>
      <c r="C655">
        <f>'1 datos preparados'!B648</f>
        <v/>
      </c>
      <c r="D655" s="7">
        <f>'1 datos preparados'!C648</f>
        <v/>
      </c>
      <c r="E655" s="7">
        <f>'1 datos preparados'!D648</f>
        <v/>
      </c>
      <c r="F655" s="7">
        <f>'1 datos preparados'!E648</f>
        <v/>
      </c>
      <c r="G655" s="7">
        <f>'1 datos preparados'!F648</f>
        <v/>
      </c>
      <c r="H655" s="7">
        <f>'1 datos preparados'!G648</f>
        <v/>
      </c>
      <c r="I655" s="7">
        <f>'1 datos preparados'!H648</f>
        <v/>
      </c>
      <c r="J655" s="7">
        <f>'1 datos preparados'!I648</f>
        <v/>
      </c>
      <c r="K655" s="7">
        <f>'1 datos preparados'!J648</f>
        <v/>
      </c>
      <c r="L655" s="7">
        <f>'1 datos preparados'!K648</f>
        <v/>
      </c>
      <c r="M655" s="7">
        <f>'1 datos preparados'!L648</f>
        <v/>
      </c>
      <c r="N655" s="7">
        <f>'1 datos preparados'!M648</f>
        <v/>
      </c>
      <c r="O655" s="7">
        <f>'1 datos preparados'!N648</f>
        <v/>
      </c>
      <c r="P655" s="7">
        <f>'1 datos preparados'!O648</f>
        <v/>
      </c>
      <c r="Q655" s="7">
        <f>'1 datos preparados'!P648</f>
        <v/>
      </c>
      <c r="R655" s="7">
        <f>'1 datos preparados'!Q648</f>
        <v/>
      </c>
      <c r="S655" s="7">
        <f>'1 datos preparados'!R648</f>
        <v/>
      </c>
      <c r="T655" s="7">
        <f>'1 datos preparados'!S648</f>
        <v/>
      </c>
      <c r="U655" s="7">
        <f>'1 datos preparados'!T648</f>
        <v/>
      </c>
      <c r="V655" s="8">
        <f>$AE$12+D655*$AE$13+E655*$AE$14+F655*$AE$15+G655*$AE$16+H655*$AE$17+I655*$AE$18+J655*$AE$19+K655*$AE$20+L655*$AE$21+M655*$AE$22+N655*$AE$23+O655*$AE$24+P655*$AE$25+Q655*$AE$26+R655*$AE$27+S655*$AE$28+T655*$AE$29+U655*$AE$30</f>
        <v/>
      </c>
      <c r="W655" s="8">
        <f>1/(1+EXP(-V655))</f>
        <v/>
      </c>
      <c r="X655" s="9">
        <f>-IF(C655=1,LN(W655),LN(1-W655))</f>
        <v/>
      </c>
      <c r="Y655" s="8">
        <f>IF(C655=1,$AE$32,$AE$33)</f>
        <v/>
      </c>
      <c r="Z655" s="9">
        <f>Y655*X655</f>
        <v/>
      </c>
      <c r="AA655" s="10">
        <f>IF(W655&gt;$AE$34,1,0)</f>
        <v/>
      </c>
      <c r="AB655">
        <f>IF(AA655=C655,1,0)</f>
        <v/>
      </c>
    </row>
    <row r="656">
      <c r="A656">
        <f>'1 datos preparados'!A649</f>
        <v/>
      </c>
      <c r="B656" s="5">
        <f>'1 datos preparados'!U649</f>
        <v/>
      </c>
      <c r="C656">
        <f>'1 datos preparados'!B649</f>
        <v/>
      </c>
      <c r="D656" s="7">
        <f>'1 datos preparados'!C649</f>
        <v/>
      </c>
      <c r="E656" s="7">
        <f>'1 datos preparados'!D649</f>
        <v/>
      </c>
      <c r="F656" s="7">
        <f>'1 datos preparados'!E649</f>
        <v/>
      </c>
      <c r="G656" s="7">
        <f>'1 datos preparados'!F649</f>
        <v/>
      </c>
      <c r="H656" s="7">
        <f>'1 datos preparados'!G649</f>
        <v/>
      </c>
      <c r="I656" s="7">
        <f>'1 datos preparados'!H649</f>
        <v/>
      </c>
      <c r="J656" s="7">
        <f>'1 datos preparados'!I649</f>
        <v/>
      </c>
      <c r="K656" s="7">
        <f>'1 datos preparados'!J649</f>
        <v/>
      </c>
      <c r="L656" s="7">
        <f>'1 datos preparados'!K649</f>
        <v/>
      </c>
      <c r="M656" s="7">
        <f>'1 datos preparados'!L649</f>
        <v/>
      </c>
      <c r="N656" s="7">
        <f>'1 datos preparados'!M649</f>
        <v/>
      </c>
      <c r="O656" s="7">
        <f>'1 datos preparados'!N649</f>
        <v/>
      </c>
      <c r="P656" s="7">
        <f>'1 datos preparados'!O649</f>
        <v/>
      </c>
      <c r="Q656" s="7">
        <f>'1 datos preparados'!P649</f>
        <v/>
      </c>
      <c r="R656" s="7">
        <f>'1 datos preparados'!Q649</f>
        <v/>
      </c>
      <c r="S656" s="7">
        <f>'1 datos preparados'!R649</f>
        <v/>
      </c>
      <c r="T656" s="7">
        <f>'1 datos preparados'!S649</f>
        <v/>
      </c>
      <c r="U656" s="7">
        <f>'1 datos preparados'!T649</f>
        <v/>
      </c>
      <c r="V656" s="8">
        <f>$AE$12+D656*$AE$13+E656*$AE$14+F656*$AE$15+G656*$AE$16+H656*$AE$17+I656*$AE$18+J656*$AE$19+K656*$AE$20+L656*$AE$21+M656*$AE$22+N656*$AE$23+O656*$AE$24+P656*$AE$25+Q656*$AE$26+R656*$AE$27+S656*$AE$28+T656*$AE$29+U656*$AE$30</f>
        <v/>
      </c>
      <c r="W656" s="8">
        <f>1/(1+EXP(-V656))</f>
        <v/>
      </c>
      <c r="X656" s="9">
        <f>-IF(C656=1,LN(W656),LN(1-W656))</f>
        <v/>
      </c>
      <c r="Y656" s="8">
        <f>IF(C656=1,$AE$32,$AE$33)</f>
        <v/>
      </c>
      <c r="Z656" s="9">
        <f>Y656*X656</f>
        <v/>
      </c>
      <c r="AA656" s="10">
        <f>IF(W656&gt;$AE$34,1,0)</f>
        <v/>
      </c>
      <c r="AB656">
        <f>IF(AA656=C656,1,0)</f>
        <v/>
      </c>
    </row>
    <row r="657">
      <c r="A657">
        <f>'1 datos preparados'!A650</f>
        <v/>
      </c>
      <c r="B657" s="5">
        <f>'1 datos preparados'!U650</f>
        <v/>
      </c>
      <c r="C657">
        <f>'1 datos preparados'!B650</f>
        <v/>
      </c>
      <c r="D657" s="7">
        <f>'1 datos preparados'!C650</f>
        <v/>
      </c>
      <c r="E657" s="7">
        <f>'1 datos preparados'!D650</f>
        <v/>
      </c>
      <c r="F657" s="7">
        <f>'1 datos preparados'!E650</f>
        <v/>
      </c>
      <c r="G657" s="7">
        <f>'1 datos preparados'!F650</f>
        <v/>
      </c>
      <c r="H657" s="7">
        <f>'1 datos preparados'!G650</f>
        <v/>
      </c>
      <c r="I657" s="7">
        <f>'1 datos preparados'!H650</f>
        <v/>
      </c>
      <c r="J657" s="7">
        <f>'1 datos preparados'!I650</f>
        <v/>
      </c>
      <c r="K657" s="7">
        <f>'1 datos preparados'!J650</f>
        <v/>
      </c>
      <c r="L657" s="7">
        <f>'1 datos preparados'!K650</f>
        <v/>
      </c>
      <c r="M657" s="7">
        <f>'1 datos preparados'!L650</f>
        <v/>
      </c>
      <c r="N657" s="7">
        <f>'1 datos preparados'!M650</f>
        <v/>
      </c>
      <c r="O657" s="7">
        <f>'1 datos preparados'!N650</f>
        <v/>
      </c>
      <c r="P657" s="7">
        <f>'1 datos preparados'!O650</f>
        <v/>
      </c>
      <c r="Q657" s="7">
        <f>'1 datos preparados'!P650</f>
        <v/>
      </c>
      <c r="R657" s="7">
        <f>'1 datos preparados'!Q650</f>
        <v/>
      </c>
      <c r="S657" s="7">
        <f>'1 datos preparados'!R650</f>
        <v/>
      </c>
      <c r="T657" s="7">
        <f>'1 datos preparados'!S650</f>
        <v/>
      </c>
      <c r="U657" s="7">
        <f>'1 datos preparados'!T650</f>
        <v/>
      </c>
      <c r="V657" s="8">
        <f>$AE$12+D657*$AE$13+E657*$AE$14+F657*$AE$15+G657*$AE$16+H657*$AE$17+I657*$AE$18+J657*$AE$19+K657*$AE$20+L657*$AE$21+M657*$AE$22+N657*$AE$23+O657*$AE$24+P657*$AE$25+Q657*$AE$26+R657*$AE$27+S657*$AE$28+T657*$AE$29+U657*$AE$30</f>
        <v/>
      </c>
      <c r="W657" s="8">
        <f>1/(1+EXP(-V657))</f>
        <v/>
      </c>
      <c r="X657" s="9">
        <f>-IF(C657=1,LN(W657),LN(1-W657))</f>
        <v/>
      </c>
      <c r="Y657" s="8">
        <f>IF(C657=1,$AE$32,$AE$33)</f>
        <v/>
      </c>
      <c r="Z657" s="9">
        <f>Y657*X657</f>
        <v/>
      </c>
      <c r="AA657" s="10">
        <f>IF(W657&gt;$AE$34,1,0)</f>
        <v/>
      </c>
      <c r="AB657">
        <f>IF(AA657=C657,1,0)</f>
        <v/>
      </c>
    </row>
    <row r="658">
      <c r="A658">
        <f>'1 datos preparados'!A651</f>
        <v/>
      </c>
      <c r="B658" s="5">
        <f>'1 datos preparados'!U651</f>
        <v/>
      </c>
      <c r="C658">
        <f>'1 datos preparados'!B651</f>
        <v/>
      </c>
      <c r="D658" s="7">
        <f>'1 datos preparados'!C651</f>
        <v/>
      </c>
      <c r="E658" s="7">
        <f>'1 datos preparados'!D651</f>
        <v/>
      </c>
      <c r="F658" s="7">
        <f>'1 datos preparados'!E651</f>
        <v/>
      </c>
      <c r="G658" s="7">
        <f>'1 datos preparados'!F651</f>
        <v/>
      </c>
      <c r="H658" s="7">
        <f>'1 datos preparados'!G651</f>
        <v/>
      </c>
      <c r="I658" s="7">
        <f>'1 datos preparados'!H651</f>
        <v/>
      </c>
      <c r="J658" s="7">
        <f>'1 datos preparados'!I651</f>
        <v/>
      </c>
      <c r="K658" s="7">
        <f>'1 datos preparados'!J651</f>
        <v/>
      </c>
      <c r="L658" s="7">
        <f>'1 datos preparados'!K651</f>
        <v/>
      </c>
      <c r="M658" s="7">
        <f>'1 datos preparados'!L651</f>
        <v/>
      </c>
      <c r="N658" s="7">
        <f>'1 datos preparados'!M651</f>
        <v/>
      </c>
      <c r="O658" s="7">
        <f>'1 datos preparados'!N651</f>
        <v/>
      </c>
      <c r="P658" s="7">
        <f>'1 datos preparados'!O651</f>
        <v/>
      </c>
      <c r="Q658" s="7">
        <f>'1 datos preparados'!P651</f>
        <v/>
      </c>
      <c r="R658" s="7">
        <f>'1 datos preparados'!Q651</f>
        <v/>
      </c>
      <c r="S658" s="7">
        <f>'1 datos preparados'!R651</f>
        <v/>
      </c>
      <c r="T658" s="7">
        <f>'1 datos preparados'!S651</f>
        <v/>
      </c>
      <c r="U658" s="7">
        <f>'1 datos preparados'!T651</f>
        <v/>
      </c>
      <c r="V658" s="8">
        <f>$AE$12+D658*$AE$13+E658*$AE$14+F658*$AE$15+G658*$AE$16+H658*$AE$17+I658*$AE$18+J658*$AE$19+K658*$AE$20+L658*$AE$21+M658*$AE$22+N658*$AE$23+O658*$AE$24+P658*$AE$25+Q658*$AE$26+R658*$AE$27+S658*$AE$28+T658*$AE$29+U658*$AE$30</f>
        <v/>
      </c>
      <c r="W658" s="8">
        <f>1/(1+EXP(-V658))</f>
        <v/>
      </c>
      <c r="X658" s="9">
        <f>-IF(C658=1,LN(W658),LN(1-W658))</f>
        <v/>
      </c>
      <c r="Y658" s="8">
        <f>IF(C658=1,$AE$32,$AE$33)</f>
        <v/>
      </c>
      <c r="Z658" s="9">
        <f>Y658*X658</f>
        <v/>
      </c>
      <c r="AA658" s="10">
        <f>IF(W658&gt;$AE$34,1,0)</f>
        <v/>
      </c>
      <c r="AB658">
        <f>IF(AA658=C658,1,0)</f>
        <v/>
      </c>
    </row>
    <row r="659">
      <c r="A659">
        <f>'1 datos preparados'!A652</f>
        <v/>
      </c>
      <c r="B659" s="5">
        <f>'1 datos preparados'!U652</f>
        <v/>
      </c>
      <c r="C659">
        <f>'1 datos preparados'!B652</f>
        <v/>
      </c>
      <c r="D659" s="7">
        <f>'1 datos preparados'!C652</f>
        <v/>
      </c>
      <c r="E659" s="7">
        <f>'1 datos preparados'!D652</f>
        <v/>
      </c>
      <c r="F659" s="7">
        <f>'1 datos preparados'!E652</f>
        <v/>
      </c>
      <c r="G659" s="7">
        <f>'1 datos preparados'!F652</f>
        <v/>
      </c>
      <c r="H659" s="7">
        <f>'1 datos preparados'!G652</f>
        <v/>
      </c>
      <c r="I659" s="7">
        <f>'1 datos preparados'!H652</f>
        <v/>
      </c>
      <c r="J659" s="7">
        <f>'1 datos preparados'!I652</f>
        <v/>
      </c>
      <c r="K659" s="7">
        <f>'1 datos preparados'!J652</f>
        <v/>
      </c>
      <c r="L659" s="7">
        <f>'1 datos preparados'!K652</f>
        <v/>
      </c>
      <c r="M659" s="7">
        <f>'1 datos preparados'!L652</f>
        <v/>
      </c>
      <c r="N659" s="7">
        <f>'1 datos preparados'!M652</f>
        <v/>
      </c>
      <c r="O659" s="7">
        <f>'1 datos preparados'!N652</f>
        <v/>
      </c>
      <c r="P659" s="7">
        <f>'1 datos preparados'!O652</f>
        <v/>
      </c>
      <c r="Q659" s="7">
        <f>'1 datos preparados'!P652</f>
        <v/>
      </c>
      <c r="R659" s="7">
        <f>'1 datos preparados'!Q652</f>
        <v/>
      </c>
      <c r="S659" s="7">
        <f>'1 datos preparados'!R652</f>
        <v/>
      </c>
      <c r="T659" s="7">
        <f>'1 datos preparados'!S652</f>
        <v/>
      </c>
      <c r="U659" s="7">
        <f>'1 datos preparados'!T652</f>
        <v/>
      </c>
      <c r="V659" s="8">
        <f>$AE$12+D659*$AE$13+E659*$AE$14+F659*$AE$15+G659*$AE$16+H659*$AE$17+I659*$AE$18+J659*$AE$19+K659*$AE$20+L659*$AE$21+M659*$AE$22+N659*$AE$23+O659*$AE$24+P659*$AE$25+Q659*$AE$26+R659*$AE$27+S659*$AE$28+T659*$AE$29+U659*$AE$30</f>
        <v/>
      </c>
      <c r="W659" s="8">
        <f>1/(1+EXP(-V659))</f>
        <v/>
      </c>
      <c r="X659" s="9">
        <f>-IF(C659=1,LN(W659),LN(1-W659))</f>
        <v/>
      </c>
      <c r="Y659" s="8">
        <f>IF(C659=1,$AE$32,$AE$33)</f>
        <v/>
      </c>
      <c r="Z659" s="9">
        <f>Y659*X659</f>
        <v/>
      </c>
      <c r="AA659" s="10">
        <f>IF(W659&gt;$AE$34,1,0)</f>
        <v/>
      </c>
      <c r="AB659">
        <f>IF(AA659=C659,1,0)</f>
        <v/>
      </c>
    </row>
    <row r="660">
      <c r="A660">
        <f>'1 datos preparados'!A653</f>
        <v/>
      </c>
      <c r="B660" s="5">
        <f>'1 datos preparados'!U653</f>
        <v/>
      </c>
      <c r="C660">
        <f>'1 datos preparados'!B653</f>
        <v/>
      </c>
      <c r="D660" s="7">
        <f>'1 datos preparados'!C653</f>
        <v/>
      </c>
      <c r="E660" s="7">
        <f>'1 datos preparados'!D653</f>
        <v/>
      </c>
      <c r="F660" s="7">
        <f>'1 datos preparados'!E653</f>
        <v/>
      </c>
      <c r="G660" s="7">
        <f>'1 datos preparados'!F653</f>
        <v/>
      </c>
      <c r="H660" s="7">
        <f>'1 datos preparados'!G653</f>
        <v/>
      </c>
      <c r="I660" s="7">
        <f>'1 datos preparados'!H653</f>
        <v/>
      </c>
      <c r="J660" s="7">
        <f>'1 datos preparados'!I653</f>
        <v/>
      </c>
      <c r="K660" s="7">
        <f>'1 datos preparados'!J653</f>
        <v/>
      </c>
      <c r="L660" s="7">
        <f>'1 datos preparados'!K653</f>
        <v/>
      </c>
      <c r="M660" s="7">
        <f>'1 datos preparados'!L653</f>
        <v/>
      </c>
      <c r="N660" s="7">
        <f>'1 datos preparados'!M653</f>
        <v/>
      </c>
      <c r="O660" s="7">
        <f>'1 datos preparados'!N653</f>
        <v/>
      </c>
      <c r="P660" s="7">
        <f>'1 datos preparados'!O653</f>
        <v/>
      </c>
      <c r="Q660" s="7">
        <f>'1 datos preparados'!P653</f>
        <v/>
      </c>
      <c r="R660" s="7">
        <f>'1 datos preparados'!Q653</f>
        <v/>
      </c>
      <c r="S660" s="7">
        <f>'1 datos preparados'!R653</f>
        <v/>
      </c>
      <c r="T660" s="7">
        <f>'1 datos preparados'!S653</f>
        <v/>
      </c>
      <c r="U660" s="7">
        <f>'1 datos preparados'!T653</f>
        <v/>
      </c>
      <c r="V660" s="8">
        <f>$AE$12+D660*$AE$13+E660*$AE$14+F660*$AE$15+G660*$AE$16+H660*$AE$17+I660*$AE$18+J660*$AE$19+K660*$AE$20+L660*$AE$21+M660*$AE$22+N660*$AE$23+O660*$AE$24+P660*$AE$25+Q660*$AE$26+R660*$AE$27+S660*$AE$28+T660*$AE$29+U660*$AE$30</f>
        <v/>
      </c>
      <c r="W660" s="8">
        <f>1/(1+EXP(-V660))</f>
        <v/>
      </c>
      <c r="X660" s="9">
        <f>-IF(C660=1,LN(W660),LN(1-W660))</f>
        <v/>
      </c>
      <c r="Y660" s="8">
        <f>IF(C660=1,$AE$32,$AE$33)</f>
        <v/>
      </c>
      <c r="Z660" s="9">
        <f>Y660*X660</f>
        <v/>
      </c>
      <c r="AA660" s="10">
        <f>IF(W660&gt;$AE$34,1,0)</f>
        <v/>
      </c>
      <c r="AB660">
        <f>IF(AA660=C660,1,0)</f>
        <v/>
      </c>
    </row>
    <row r="661">
      <c r="A661">
        <f>'1 datos preparados'!A654</f>
        <v/>
      </c>
      <c r="B661" s="5">
        <f>'1 datos preparados'!U654</f>
        <v/>
      </c>
      <c r="C661">
        <f>'1 datos preparados'!B654</f>
        <v/>
      </c>
      <c r="D661" s="7">
        <f>'1 datos preparados'!C654</f>
        <v/>
      </c>
      <c r="E661" s="7">
        <f>'1 datos preparados'!D654</f>
        <v/>
      </c>
      <c r="F661" s="7">
        <f>'1 datos preparados'!E654</f>
        <v/>
      </c>
      <c r="G661" s="7">
        <f>'1 datos preparados'!F654</f>
        <v/>
      </c>
      <c r="H661" s="7">
        <f>'1 datos preparados'!G654</f>
        <v/>
      </c>
      <c r="I661" s="7">
        <f>'1 datos preparados'!H654</f>
        <v/>
      </c>
      <c r="J661" s="7">
        <f>'1 datos preparados'!I654</f>
        <v/>
      </c>
      <c r="K661" s="7">
        <f>'1 datos preparados'!J654</f>
        <v/>
      </c>
      <c r="L661" s="7">
        <f>'1 datos preparados'!K654</f>
        <v/>
      </c>
      <c r="M661" s="7">
        <f>'1 datos preparados'!L654</f>
        <v/>
      </c>
      <c r="N661" s="7">
        <f>'1 datos preparados'!M654</f>
        <v/>
      </c>
      <c r="O661" s="7">
        <f>'1 datos preparados'!N654</f>
        <v/>
      </c>
      <c r="P661" s="7">
        <f>'1 datos preparados'!O654</f>
        <v/>
      </c>
      <c r="Q661" s="7">
        <f>'1 datos preparados'!P654</f>
        <v/>
      </c>
      <c r="R661" s="7">
        <f>'1 datos preparados'!Q654</f>
        <v/>
      </c>
      <c r="S661" s="7">
        <f>'1 datos preparados'!R654</f>
        <v/>
      </c>
      <c r="T661" s="7">
        <f>'1 datos preparados'!S654</f>
        <v/>
      </c>
      <c r="U661" s="7">
        <f>'1 datos preparados'!T654</f>
        <v/>
      </c>
      <c r="V661" s="8">
        <f>$AE$12+D661*$AE$13+E661*$AE$14+F661*$AE$15+G661*$AE$16+H661*$AE$17+I661*$AE$18+J661*$AE$19+K661*$AE$20+L661*$AE$21+M661*$AE$22+N661*$AE$23+O661*$AE$24+P661*$AE$25+Q661*$AE$26+R661*$AE$27+S661*$AE$28+T661*$AE$29+U661*$AE$30</f>
        <v/>
      </c>
      <c r="W661" s="8">
        <f>1/(1+EXP(-V661))</f>
        <v/>
      </c>
      <c r="X661" s="9">
        <f>-IF(C661=1,LN(W661),LN(1-W661))</f>
        <v/>
      </c>
      <c r="Y661" s="8">
        <f>IF(C661=1,$AE$32,$AE$33)</f>
        <v/>
      </c>
      <c r="Z661" s="9">
        <f>Y661*X661</f>
        <v/>
      </c>
      <c r="AA661" s="10">
        <f>IF(W661&gt;$AE$34,1,0)</f>
        <v/>
      </c>
      <c r="AB661">
        <f>IF(AA661=C661,1,0)</f>
        <v/>
      </c>
    </row>
    <row r="662">
      <c r="A662">
        <f>'1 datos preparados'!A655</f>
        <v/>
      </c>
      <c r="B662" s="5">
        <f>'1 datos preparados'!U655</f>
        <v/>
      </c>
      <c r="C662">
        <f>'1 datos preparados'!B655</f>
        <v/>
      </c>
      <c r="D662" s="7">
        <f>'1 datos preparados'!C655</f>
        <v/>
      </c>
      <c r="E662" s="7">
        <f>'1 datos preparados'!D655</f>
        <v/>
      </c>
      <c r="F662" s="7">
        <f>'1 datos preparados'!E655</f>
        <v/>
      </c>
      <c r="G662" s="7">
        <f>'1 datos preparados'!F655</f>
        <v/>
      </c>
      <c r="H662" s="7">
        <f>'1 datos preparados'!G655</f>
        <v/>
      </c>
      <c r="I662" s="7">
        <f>'1 datos preparados'!H655</f>
        <v/>
      </c>
      <c r="J662" s="7">
        <f>'1 datos preparados'!I655</f>
        <v/>
      </c>
      <c r="K662" s="7">
        <f>'1 datos preparados'!J655</f>
        <v/>
      </c>
      <c r="L662" s="7">
        <f>'1 datos preparados'!K655</f>
        <v/>
      </c>
      <c r="M662" s="7">
        <f>'1 datos preparados'!L655</f>
        <v/>
      </c>
      <c r="N662" s="7">
        <f>'1 datos preparados'!M655</f>
        <v/>
      </c>
      <c r="O662" s="7">
        <f>'1 datos preparados'!N655</f>
        <v/>
      </c>
      <c r="P662" s="7">
        <f>'1 datos preparados'!O655</f>
        <v/>
      </c>
      <c r="Q662" s="7">
        <f>'1 datos preparados'!P655</f>
        <v/>
      </c>
      <c r="R662" s="7">
        <f>'1 datos preparados'!Q655</f>
        <v/>
      </c>
      <c r="S662" s="7">
        <f>'1 datos preparados'!R655</f>
        <v/>
      </c>
      <c r="T662" s="7">
        <f>'1 datos preparados'!S655</f>
        <v/>
      </c>
      <c r="U662" s="7">
        <f>'1 datos preparados'!T655</f>
        <v/>
      </c>
      <c r="V662" s="8">
        <f>$AE$12+D662*$AE$13+E662*$AE$14+F662*$AE$15+G662*$AE$16+H662*$AE$17+I662*$AE$18+J662*$AE$19+K662*$AE$20+L662*$AE$21+M662*$AE$22+N662*$AE$23+O662*$AE$24+P662*$AE$25+Q662*$AE$26+R662*$AE$27+S662*$AE$28+T662*$AE$29+U662*$AE$30</f>
        <v/>
      </c>
      <c r="W662" s="8">
        <f>1/(1+EXP(-V662))</f>
        <v/>
      </c>
      <c r="X662" s="9">
        <f>-IF(C662=1,LN(W662),LN(1-W662))</f>
        <v/>
      </c>
      <c r="Y662" s="8">
        <f>IF(C662=1,$AE$32,$AE$33)</f>
        <v/>
      </c>
      <c r="Z662" s="9">
        <f>Y662*X662</f>
        <v/>
      </c>
      <c r="AA662" s="10">
        <f>IF(W662&gt;$AE$34,1,0)</f>
        <v/>
      </c>
      <c r="AB662">
        <f>IF(AA662=C662,1,0)</f>
        <v/>
      </c>
    </row>
    <row r="663">
      <c r="A663">
        <f>'1 datos preparados'!A656</f>
        <v/>
      </c>
      <c r="B663" s="5">
        <f>'1 datos preparados'!U656</f>
        <v/>
      </c>
      <c r="C663">
        <f>'1 datos preparados'!B656</f>
        <v/>
      </c>
      <c r="D663" s="7">
        <f>'1 datos preparados'!C656</f>
        <v/>
      </c>
      <c r="E663" s="7">
        <f>'1 datos preparados'!D656</f>
        <v/>
      </c>
      <c r="F663" s="7">
        <f>'1 datos preparados'!E656</f>
        <v/>
      </c>
      <c r="G663" s="7">
        <f>'1 datos preparados'!F656</f>
        <v/>
      </c>
      <c r="H663" s="7">
        <f>'1 datos preparados'!G656</f>
        <v/>
      </c>
      <c r="I663" s="7">
        <f>'1 datos preparados'!H656</f>
        <v/>
      </c>
      <c r="J663" s="7">
        <f>'1 datos preparados'!I656</f>
        <v/>
      </c>
      <c r="K663" s="7">
        <f>'1 datos preparados'!J656</f>
        <v/>
      </c>
      <c r="L663" s="7">
        <f>'1 datos preparados'!K656</f>
        <v/>
      </c>
      <c r="M663" s="7">
        <f>'1 datos preparados'!L656</f>
        <v/>
      </c>
      <c r="N663" s="7">
        <f>'1 datos preparados'!M656</f>
        <v/>
      </c>
      <c r="O663" s="7">
        <f>'1 datos preparados'!N656</f>
        <v/>
      </c>
      <c r="P663" s="7">
        <f>'1 datos preparados'!O656</f>
        <v/>
      </c>
      <c r="Q663" s="7">
        <f>'1 datos preparados'!P656</f>
        <v/>
      </c>
      <c r="R663" s="7">
        <f>'1 datos preparados'!Q656</f>
        <v/>
      </c>
      <c r="S663" s="7">
        <f>'1 datos preparados'!R656</f>
        <v/>
      </c>
      <c r="T663" s="7">
        <f>'1 datos preparados'!S656</f>
        <v/>
      </c>
      <c r="U663" s="7">
        <f>'1 datos preparados'!T656</f>
        <v/>
      </c>
      <c r="V663" s="8">
        <f>$AE$12+D663*$AE$13+E663*$AE$14+F663*$AE$15+G663*$AE$16+H663*$AE$17+I663*$AE$18+J663*$AE$19+K663*$AE$20+L663*$AE$21+M663*$AE$22+N663*$AE$23+O663*$AE$24+P663*$AE$25+Q663*$AE$26+R663*$AE$27+S663*$AE$28+T663*$AE$29+U663*$AE$30</f>
        <v/>
      </c>
      <c r="W663" s="8">
        <f>1/(1+EXP(-V663))</f>
        <v/>
      </c>
      <c r="X663" s="9">
        <f>-IF(C663=1,LN(W663),LN(1-W663))</f>
        <v/>
      </c>
      <c r="Y663" s="8">
        <f>IF(C663=1,$AE$32,$AE$33)</f>
        <v/>
      </c>
      <c r="Z663" s="9">
        <f>Y663*X663</f>
        <v/>
      </c>
      <c r="AA663" s="10">
        <f>IF(W663&gt;$AE$34,1,0)</f>
        <v/>
      </c>
      <c r="AB663">
        <f>IF(AA663=C663,1,0)</f>
        <v/>
      </c>
    </row>
    <row r="664">
      <c r="A664">
        <f>'1 datos preparados'!A657</f>
        <v/>
      </c>
      <c r="B664" s="5">
        <f>'1 datos preparados'!U657</f>
        <v/>
      </c>
      <c r="C664">
        <f>'1 datos preparados'!B657</f>
        <v/>
      </c>
      <c r="D664" s="7">
        <f>'1 datos preparados'!C657</f>
        <v/>
      </c>
      <c r="E664" s="7">
        <f>'1 datos preparados'!D657</f>
        <v/>
      </c>
      <c r="F664" s="7">
        <f>'1 datos preparados'!E657</f>
        <v/>
      </c>
      <c r="G664" s="7">
        <f>'1 datos preparados'!F657</f>
        <v/>
      </c>
      <c r="H664" s="7">
        <f>'1 datos preparados'!G657</f>
        <v/>
      </c>
      <c r="I664" s="7">
        <f>'1 datos preparados'!H657</f>
        <v/>
      </c>
      <c r="J664" s="7">
        <f>'1 datos preparados'!I657</f>
        <v/>
      </c>
      <c r="K664" s="7">
        <f>'1 datos preparados'!J657</f>
        <v/>
      </c>
      <c r="L664" s="7">
        <f>'1 datos preparados'!K657</f>
        <v/>
      </c>
      <c r="M664" s="7">
        <f>'1 datos preparados'!L657</f>
        <v/>
      </c>
      <c r="N664" s="7">
        <f>'1 datos preparados'!M657</f>
        <v/>
      </c>
      <c r="O664" s="7">
        <f>'1 datos preparados'!N657</f>
        <v/>
      </c>
      <c r="P664" s="7">
        <f>'1 datos preparados'!O657</f>
        <v/>
      </c>
      <c r="Q664" s="7">
        <f>'1 datos preparados'!P657</f>
        <v/>
      </c>
      <c r="R664" s="7">
        <f>'1 datos preparados'!Q657</f>
        <v/>
      </c>
      <c r="S664" s="7">
        <f>'1 datos preparados'!R657</f>
        <v/>
      </c>
      <c r="T664" s="7">
        <f>'1 datos preparados'!S657</f>
        <v/>
      </c>
      <c r="U664" s="7">
        <f>'1 datos preparados'!T657</f>
        <v/>
      </c>
      <c r="V664" s="8">
        <f>$AE$12+D664*$AE$13+E664*$AE$14+F664*$AE$15+G664*$AE$16+H664*$AE$17+I664*$AE$18+J664*$AE$19+K664*$AE$20+L664*$AE$21+M664*$AE$22+N664*$AE$23+O664*$AE$24+P664*$AE$25+Q664*$AE$26+R664*$AE$27+S664*$AE$28+T664*$AE$29+U664*$AE$30</f>
        <v/>
      </c>
      <c r="W664" s="8">
        <f>1/(1+EXP(-V664))</f>
        <v/>
      </c>
      <c r="X664" s="9">
        <f>-IF(C664=1,LN(W664),LN(1-W664))</f>
        <v/>
      </c>
      <c r="Y664" s="8">
        <f>IF(C664=1,$AE$32,$AE$33)</f>
        <v/>
      </c>
      <c r="Z664" s="9">
        <f>Y664*X664</f>
        <v/>
      </c>
      <c r="AA664" s="10">
        <f>IF(W664&gt;$AE$34,1,0)</f>
        <v/>
      </c>
      <c r="AB664">
        <f>IF(AA664=C664,1,0)</f>
        <v/>
      </c>
    </row>
    <row r="665">
      <c r="A665">
        <f>'1 datos preparados'!A658</f>
        <v/>
      </c>
      <c r="B665" s="5">
        <f>'1 datos preparados'!U658</f>
        <v/>
      </c>
      <c r="C665">
        <f>'1 datos preparados'!B658</f>
        <v/>
      </c>
      <c r="D665" s="7">
        <f>'1 datos preparados'!C658</f>
        <v/>
      </c>
      <c r="E665" s="7">
        <f>'1 datos preparados'!D658</f>
        <v/>
      </c>
      <c r="F665" s="7">
        <f>'1 datos preparados'!E658</f>
        <v/>
      </c>
      <c r="G665" s="7">
        <f>'1 datos preparados'!F658</f>
        <v/>
      </c>
      <c r="H665" s="7">
        <f>'1 datos preparados'!G658</f>
        <v/>
      </c>
      <c r="I665" s="7">
        <f>'1 datos preparados'!H658</f>
        <v/>
      </c>
      <c r="J665" s="7">
        <f>'1 datos preparados'!I658</f>
        <v/>
      </c>
      <c r="K665" s="7">
        <f>'1 datos preparados'!J658</f>
        <v/>
      </c>
      <c r="L665" s="7">
        <f>'1 datos preparados'!K658</f>
        <v/>
      </c>
      <c r="M665" s="7">
        <f>'1 datos preparados'!L658</f>
        <v/>
      </c>
      <c r="N665" s="7">
        <f>'1 datos preparados'!M658</f>
        <v/>
      </c>
      <c r="O665" s="7">
        <f>'1 datos preparados'!N658</f>
        <v/>
      </c>
      <c r="P665" s="7">
        <f>'1 datos preparados'!O658</f>
        <v/>
      </c>
      <c r="Q665" s="7">
        <f>'1 datos preparados'!P658</f>
        <v/>
      </c>
      <c r="R665" s="7">
        <f>'1 datos preparados'!Q658</f>
        <v/>
      </c>
      <c r="S665" s="7">
        <f>'1 datos preparados'!R658</f>
        <v/>
      </c>
      <c r="T665" s="7">
        <f>'1 datos preparados'!S658</f>
        <v/>
      </c>
      <c r="U665" s="7">
        <f>'1 datos preparados'!T658</f>
        <v/>
      </c>
      <c r="V665" s="8">
        <f>$AE$12+D665*$AE$13+E665*$AE$14+F665*$AE$15+G665*$AE$16+H665*$AE$17+I665*$AE$18+J665*$AE$19+K665*$AE$20+L665*$AE$21+M665*$AE$22+N665*$AE$23+O665*$AE$24+P665*$AE$25+Q665*$AE$26+R665*$AE$27+S665*$AE$28+T665*$AE$29+U665*$AE$30</f>
        <v/>
      </c>
      <c r="W665" s="8">
        <f>1/(1+EXP(-V665))</f>
        <v/>
      </c>
      <c r="X665" s="9">
        <f>-IF(C665=1,LN(W665),LN(1-W665))</f>
        <v/>
      </c>
      <c r="Y665" s="8">
        <f>IF(C665=1,$AE$32,$AE$33)</f>
        <v/>
      </c>
      <c r="Z665" s="9">
        <f>Y665*X665</f>
        <v/>
      </c>
      <c r="AA665" s="10">
        <f>IF(W665&gt;$AE$34,1,0)</f>
        <v/>
      </c>
      <c r="AB665">
        <f>IF(AA665=C665,1,0)</f>
        <v/>
      </c>
    </row>
    <row r="666">
      <c r="A666">
        <f>'1 datos preparados'!A659</f>
        <v/>
      </c>
      <c r="B666" s="5">
        <f>'1 datos preparados'!U659</f>
        <v/>
      </c>
      <c r="C666">
        <f>'1 datos preparados'!B659</f>
        <v/>
      </c>
      <c r="D666" s="7">
        <f>'1 datos preparados'!C659</f>
        <v/>
      </c>
      <c r="E666" s="7">
        <f>'1 datos preparados'!D659</f>
        <v/>
      </c>
      <c r="F666" s="7">
        <f>'1 datos preparados'!E659</f>
        <v/>
      </c>
      <c r="G666" s="7">
        <f>'1 datos preparados'!F659</f>
        <v/>
      </c>
      <c r="H666" s="7">
        <f>'1 datos preparados'!G659</f>
        <v/>
      </c>
      <c r="I666" s="7">
        <f>'1 datos preparados'!H659</f>
        <v/>
      </c>
      <c r="J666" s="7">
        <f>'1 datos preparados'!I659</f>
        <v/>
      </c>
      <c r="K666" s="7">
        <f>'1 datos preparados'!J659</f>
        <v/>
      </c>
      <c r="L666" s="7">
        <f>'1 datos preparados'!K659</f>
        <v/>
      </c>
      <c r="M666" s="7">
        <f>'1 datos preparados'!L659</f>
        <v/>
      </c>
      <c r="N666" s="7">
        <f>'1 datos preparados'!M659</f>
        <v/>
      </c>
      <c r="O666" s="7">
        <f>'1 datos preparados'!N659</f>
        <v/>
      </c>
      <c r="P666" s="7">
        <f>'1 datos preparados'!O659</f>
        <v/>
      </c>
      <c r="Q666" s="7">
        <f>'1 datos preparados'!P659</f>
        <v/>
      </c>
      <c r="R666" s="7">
        <f>'1 datos preparados'!Q659</f>
        <v/>
      </c>
      <c r="S666" s="7">
        <f>'1 datos preparados'!R659</f>
        <v/>
      </c>
      <c r="T666" s="7">
        <f>'1 datos preparados'!S659</f>
        <v/>
      </c>
      <c r="U666" s="7">
        <f>'1 datos preparados'!T659</f>
        <v/>
      </c>
      <c r="V666" s="8">
        <f>$AE$12+D666*$AE$13+E666*$AE$14+F666*$AE$15+G666*$AE$16+H666*$AE$17+I666*$AE$18+J666*$AE$19+K666*$AE$20+L666*$AE$21+M666*$AE$22+N666*$AE$23+O666*$AE$24+P666*$AE$25+Q666*$AE$26+R666*$AE$27+S666*$AE$28+T666*$AE$29+U666*$AE$30</f>
        <v/>
      </c>
      <c r="W666" s="8">
        <f>1/(1+EXP(-V666))</f>
        <v/>
      </c>
      <c r="X666" s="9">
        <f>-IF(C666=1,LN(W666),LN(1-W666))</f>
        <v/>
      </c>
      <c r="Y666" s="8">
        <f>IF(C666=1,$AE$32,$AE$33)</f>
        <v/>
      </c>
      <c r="Z666" s="9">
        <f>Y666*X666</f>
        <v/>
      </c>
      <c r="AA666" s="10">
        <f>IF(W666&gt;$AE$34,1,0)</f>
        <v/>
      </c>
      <c r="AB666">
        <f>IF(AA666=C666,1,0)</f>
        <v/>
      </c>
    </row>
    <row r="667">
      <c r="A667">
        <f>'1 datos preparados'!A660</f>
        <v/>
      </c>
      <c r="B667" s="5">
        <f>'1 datos preparados'!U660</f>
        <v/>
      </c>
      <c r="C667">
        <f>'1 datos preparados'!B660</f>
        <v/>
      </c>
      <c r="D667" s="7">
        <f>'1 datos preparados'!C660</f>
        <v/>
      </c>
      <c r="E667" s="7">
        <f>'1 datos preparados'!D660</f>
        <v/>
      </c>
      <c r="F667" s="7">
        <f>'1 datos preparados'!E660</f>
        <v/>
      </c>
      <c r="G667" s="7">
        <f>'1 datos preparados'!F660</f>
        <v/>
      </c>
      <c r="H667" s="7">
        <f>'1 datos preparados'!G660</f>
        <v/>
      </c>
      <c r="I667" s="7">
        <f>'1 datos preparados'!H660</f>
        <v/>
      </c>
      <c r="J667" s="7">
        <f>'1 datos preparados'!I660</f>
        <v/>
      </c>
      <c r="K667" s="7">
        <f>'1 datos preparados'!J660</f>
        <v/>
      </c>
      <c r="L667" s="7">
        <f>'1 datos preparados'!K660</f>
        <v/>
      </c>
      <c r="M667" s="7">
        <f>'1 datos preparados'!L660</f>
        <v/>
      </c>
      <c r="N667" s="7">
        <f>'1 datos preparados'!M660</f>
        <v/>
      </c>
      <c r="O667" s="7">
        <f>'1 datos preparados'!N660</f>
        <v/>
      </c>
      <c r="P667" s="7">
        <f>'1 datos preparados'!O660</f>
        <v/>
      </c>
      <c r="Q667" s="7">
        <f>'1 datos preparados'!P660</f>
        <v/>
      </c>
      <c r="R667" s="7">
        <f>'1 datos preparados'!Q660</f>
        <v/>
      </c>
      <c r="S667" s="7">
        <f>'1 datos preparados'!R660</f>
        <v/>
      </c>
      <c r="T667" s="7">
        <f>'1 datos preparados'!S660</f>
        <v/>
      </c>
      <c r="U667" s="7">
        <f>'1 datos preparados'!T660</f>
        <v/>
      </c>
      <c r="V667" s="8">
        <f>$AE$12+D667*$AE$13+E667*$AE$14+F667*$AE$15+G667*$AE$16+H667*$AE$17+I667*$AE$18+J667*$AE$19+K667*$AE$20+L667*$AE$21+M667*$AE$22+N667*$AE$23+O667*$AE$24+P667*$AE$25+Q667*$AE$26+R667*$AE$27+S667*$AE$28+T667*$AE$29+U667*$AE$30</f>
        <v/>
      </c>
      <c r="W667" s="8">
        <f>1/(1+EXP(-V667))</f>
        <v/>
      </c>
      <c r="X667" s="9">
        <f>-IF(C667=1,LN(W667),LN(1-W667))</f>
        <v/>
      </c>
      <c r="Y667" s="8">
        <f>IF(C667=1,$AE$32,$AE$33)</f>
        <v/>
      </c>
      <c r="Z667" s="9">
        <f>Y667*X667</f>
        <v/>
      </c>
      <c r="AA667" s="10">
        <f>IF(W667&gt;$AE$34,1,0)</f>
        <v/>
      </c>
      <c r="AB667">
        <f>IF(AA667=C667,1,0)</f>
        <v/>
      </c>
    </row>
    <row r="668">
      <c r="A668">
        <f>'1 datos preparados'!A661</f>
        <v/>
      </c>
      <c r="B668" s="5">
        <f>'1 datos preparados'!U661</f>
        <v/>
      </c>
      <c r="C668">
        <f>'1 datos preparados'!B661</f>
        <v/>
      </c>
      <c r="D668" s="7">
        <f>'1 datos preparados'!C661</f>
        <v/>
      </c>
      <c r="E668" s="7">
        <f>'1 datos preparados'!D661</f>
        <v/>
      </c>
      <c r="F668" s="7">
        <f>'1 datos preparados'!E661</f>
        <v/>
      </c>
      <c r="G668" s="7">
        <f>'1 datos preparados'!F661</f>
        <v/>
      </c>
      <c r="H668" s="7">
        <f>'1 datos preparados'!G661</f>
        <v/>
      </c>
      <c r="I668" s="7">
        <f>'1 datos preparados'!H661</f>
        <v/>
      </c>
      <c r="J668" s="7">
        <f>'1 datos preparados'!I661</f>
        <v/>
      </c>
      <c r="K668" s="7">
        <f>'1 datos preparados'!J661</f>
        <v/>
      </c>
      <c r="L668" s="7">
        <f>'1 datos preparados'!K661</f>
        <v/>
      </c>
      <c r="M668" s="7">
        <f>'1 datos preparados'!L661</f>
        <v/>
      </c>
      <c r="N668" s="7">
        <f>'1 datos preparados'!M661</f>
        <v/>
      </c>
      <c r="O668" s="7">
        <f>'1 datos preparados'!N661</f>
        <v/>
      </c>
      <c r="P668" s="7">
        <f>'1 datos preparados'!O661</f>
        <v/>
      </c>
      <c r="Q668" s="7">
        <f>'1 datos preparados'!P661</f>
        <v/>
      </c>
      <c r="R668" s="7">
        <f>'1 datos preparados'!Q661</f>
        <v/>
      </c>
      <c r="S668" s="7">
        <f>'1 datos preparados'!R661</f>
        <v/>
      </c>
      <c r="T668" s="7">
        <f>'1 datos preparados'!S661</f>
        <v/>
      </c>
      <c r="U668" s="7">
        <f>'1 datos preparados'!T661</f>
        <v/>
      </c>
      <c r="V668" s="8">
        <f>$AE$12+D668*$AE$13+E668*$AE$14+F668*$AE$15+G668*$AE$16+H668*$AE$17+I668*$AE$18+J668*$AE$19+K668*$AE$20+L668*$AE$21+M668*$AE$22+N668*$AE$23+O668*$AE$24+P668*$AE$25+Q668*$AE$26+R668*$AE$27+S668*$AE$28+T668*$AE$29+U668*$AE$30</f>
        <v/>
      </c>
      <c r="W668" s="8">
        <f>1/(1+EXP(-V668))</f>
        <v/>
      </c>
      <c r="X668" s="9">
        <f>-IF(C668=1,LN(W668),LN(1-W668))</f>
        <v/>
      </c>
      <c r="Y668" s="8">
        <f>IF(C668=1,$AE$32,$AE$33)</f>
        <v/>
      </c>
      <c r="Z668" s="9">
        <f>Y668*X668</f>
        <v/>
      </c>
      <c r="AA668" s="10">
        <f>IF(W668&gt;$AE$34,1,0)</f>
        <v/>
      </c>
      <c r="AB668">
        <f>IF(AA668=C668,1,0)</f>
        <v/>
      </c>
    </row>
    <row r="669">
      <c r="A669">
        <f>'1 datos preparados'!A662</f>
        <v/>
      </c>
      <c r="B669" s="5">
        <f>'1 datos preparados'!U662</f>
        <v/>
      </c>
      <c r="C669">
        <f>'1 datos preparados'!B662</f>
        <v/>
      </c>
      <c r="D669" s="7">
        <f>'1 datos preparados'!C662</f>
        <v/>
      </c>
      <c r="E669" s="7">
        <f>'1 datos preparados'!D662</f>
        <v/>
      </c>
      <c r="F669" s="7">
        <f>'1 datos preparados'!E662</f>
        <v/>
      </c>
      <c r="G669" s="7">
        <f>'1 datos preparados'!F662</f>
        <v/>
      </c>
      <c r="H669" s="7">
        <f>'1 datos preparados'!G662</f>
        <v/>
      </c>
      <c r="I669" s="7">
        <f>'1 datos preparados'!H662</f>
        <v/>
      </c>
      <c r="J669" s="7">
        <f>'1 datos preparados'!I662</f>
        <v/>
      </c>
      <c r="K669" s="7">
        <f>'1 datos preparados'!J662</f>
        <v/>
      </c>
      <c r="L669" s="7">
        <f>'1 datos preparados'!K662</f>
        <v/>
      </c>
      <c r="M669" s="7">
        <f>'1 datos preparados'!L662</f>
        <v/>
      </c>
      <c r="N669" s="7">
        <f>'1 datos preparados'!M662</f>
        <v/>
      </c>
      <c r="O669" s="7">
        <f>'1 datos preparados'!N662</f>
        <v/>
      </c>
      <c r="P669" s="7">
        <f>'1 datos preparados'!O662</f>
        <v/>
      </c>
      <c r="Q669" s="7">
        <f>'1 datos preparados'!P662</f>
        <v/>
      </c>
      <c r="R669" s="7">
        <f>'1 datos preparados'!Q662</f>
        <v/>
      </c>
      <c r="S669" s="7">
        <f>'1 datos preparados'!R662</f>
        <v/>
      </c>
      <c r="T669" s="7">
        <f>'1 datos preparados'!S662</f>
        <v/>
      </c>
      <c r="U669" s="7">
        <f>'1 datos preparados'!T662</f>
        <v/>
      </c>
      <c r="V669" s="8">
        <f>$AE$12+D669*$AE$13+E669*$AE$14+F669*$AE$15+G669*$AE$16+H669*$AE$17+I669*$AE$18+J669*$AE$19+K669*$AE$20+L669*$AE$21+M669*$AE$22+N669*$AE$23+O669*$AE$24+P669*$AE$25+Q669*$AE$26+R669*$AE$27+S669*$AE$28+T669*$AE$29+U669*$AE$30</f>
        <v/>
      </c>
      <c r="W669" s="8">
        <f>1/(1+EXP(-V669))</f>
        <v/>
      </c>
      <c r="X669" s="9">
        <f>-IF(C669=1,LN(W669),LN(1-W669))</f>
        <v/>
      </c>
      <c r="Y669" s="8">
        <f>IF(C669=1,$AE$32,$AE$33)</f>
        <v/>
      </c>
      <c r="Z669" s="9">
        <f>Y669*X669</f>
        <v/>
      </c>
      <c r="AA669" s="10">
        <f>IF(W669&gt;$AE$34,1,0)</f>
        <v/>
      </c>
      <c r="AB669">
        <f>IF(AA669=C669,1,0)</f>
        <v/>
      </c>
    </row>
    <row r="670">
      <c r="A670">
        <f>'1 datos preparados'!A663</f>
        <v/>
      </c>
      <c r="B670" s="5">
        <f>'1 datos preparados'!U663</f>
        <v/>
      </c>
      <c r="C670">
        <f>'1 datos preparados'!B663</f>
        <v/>
      </c>
      <c r="D670" s="7">
        <f>'1 datos preparados'!C663</f>
        <v/>
      </c>
      <c r="E670" s="7">
        <f>'1 datos preparados'!D663</f>
        <v/>
      </c>
      <c r="F670" s="7">
        <f>'1 datos preparados'!E663</f>
        <v/>
      </c>
      <c r="G670" s="7">
        <f>'1 datos preparados'!F663</f>
        <v/>
      </c>
      <c r="H670" s="7">
        <f>'1 datos preparados'!G663</f>
        <v/>
      </c>
      <c r="I670" s="7">
        <f>'1 datos preparados'!H663</f>
        <v/>
      </c>
      <c r="J670" s="7">
        <f>'1 datos preparados'!I663</f>
        <v/>
      </c>
      <c r="K670" s="7">
        <f>'1 datos preparados'!J663</f>
        <v/>
      </c>
      <c r="L670" s="7">
        <f>'1 datos preparados'!K663</f>
        <v/>
      </c>
      <c r="M670" s="7">
        <f>'1 datos preparados'!L663</f>
        <v/>
      </c>
      <c r="N670" s="7">
        <f>'1 datos preparados'!M663</f>
        <v/>
      </c>
      <c r="O670" s="7">
        <f>'1 datos preparados'!N663</f>
        <v/>
      </c>
      <c r="P670" s="7">
        <f>'1 datos preparados'!O663</f>
        <v/>
      </c>
      <c r="Q670" s="7">
        <f>'1 datos preparados'!P663</f>
        <v/>
      </c>
      <c r="R670" s="7">
        <f>'1 datos preparados'!Q663</f>
        <v/>
      </c>
      <c r="S670" s="7">
        <f>'1 datos preparados'!R663</f>
        <v/>
      </c>
      <c r="T670" s="7">
        <f>'1 datos preparados'!S663</f>
        <v/>
      </c>
      <c r="U670" s="7">
        <f>'1 datos preparados'!T663</f>
        <v/>
      </c>
      <c r="V670" s="8">
        <f>$AE$12+D670*$AE$13+E670*$AE$14+F670*$AE$15+G670*$AE$16+H670*$AE$17+I670*$AE$18+J670*$AE$19+K670*$AE$20+L670*$AE$21+M670*$AE$22+N670*$AE$23+O670*$AE$24+P670*$AE$25+Q670*$AE$26+R670*$AE$27+S670*$AE$28+T670*$AE$29+U670*$AE$30</f>
        <v/>
      </c>
      <c r="W670" s="8">
        <f>1/(1+EXP(-V670))</f>
        <v/>
      </c>
      <c r="X670" s="9">
        <f>-IF(C670=1,LN(W670),LN(1-W670))</f>
        <v/>
      </c>
      <c r="Y670" s="8">
        <f>IF(C670=1,$AE$32,$AE$33)</f>
        <v/>
      </c>
      <c r="Z670" s="9">
        <f>Y670*X670</f>
        <v/>
      </c>
      <c r="AA670" s="10">
        <f>IF(W670&gt;$AE$34,1,0)</f>
        <v/>
      </c>
      <c r="AB670">
        <f>IF(AA670=C670,1,0)</f>
        <v/>
      </c>
    </row>
    <row r="671">
      <c r="A671">
        <f>'1 datos preparados'!A664</f>
        <v/>
      </c>
      <c r="B671" s="5">
        <f>'1 datos preparados'!U664</f>
        <v/>
      </c>
      <c r="C671">
        <f>'1 datos preparados'!B664</f>
        <v/>
      </c>
      <c r="D671" s="7">
        <f>'1 datos preparados'!C664</f>
        <v/>
      </c>
      <c r="E671" s="7">
        <f>'1 datos preparados'!D664</f>
        <v/>
      </c>
      <c r="F671" s="7">
        <f>'1 datos preparados'!E664</f>
        <v/>
      </c>
      <c r="G671" s="7">
        <f>'1 datos preparados'!F664</f>
        <v/>
      </c>
      <c r="H671" s="7">
        <f>'1 datos preparados'!G664</f>
        <v/>
      </c>
      <c r="I671" s="7">
        <f>'1 datos preparados'!H664</f>
        <v/>
      </c>
      <c r="J671" s="7">
        <f>'1 datos preparados'!I664</f>
        <v/>
      </c>
      <c r="K671" s="7">
        <f>'1 datos preparados'!J664</f>
        <v/>
      </c>
      <c r="L671" s="7">
        <f>'1 datos preparados'!K664</f>
        <v/>
      </c>
      <c r="M671" s="7">
        <f>'1 datos preparados'!L664</f>
        <v/>
      </c>
      <c r="N671" s="7">
        <f>'1 datos preparados'!M664</f>
        <v/>
      </c>
      <c r="O671" s="7">
        <f>'1 datos preparados'!N664</f>
        <v/>
      </c>
      <c r="P671" s="7">
        <f>'1 datos preparados'!O664</f>
        <v/>
      </c>
      <c r="Q671" s="7">
        <f>'1 datos preparados'!P664</f>
        <v/>
      </c>
      <c r="R671" s="7">
        <f>'1 datos preparados'!Q664</f>
        <v/>
      </c>
      <c r="S671" s="7">
        <f>'1 datos preparados'!R664</f>
        <v/>
      </c>
      <c r="T671" s="7">
        <f>'1 datos preparados'!S664</f>
        <v/>
      </c>
      <c r="U671" s="7">
        <f>'1 datos preparados'!T664</f>
        <v/>
      </c>
      <c r="V671" s="8">
        <f>$AE$12+D671*$AE$13+E671*$AE$14+F671*$AE$15+G671*$AE$16+H671*$AE$17+I671*$AE$18+J671*$AE$19+K671*$AE$20+L671*$AE$21+M671*$AE$22+N671*$AE$23+O671*$AE$24+P671*$AE$25+Q671*$AE$26+R671*$AE$27+S671*$AE$28+T671*$AE$29+U671*$AE$30</f>
        <v/>
      </c>
      <c r="W671" s="8">
        <f>1/(1+EXP(-V671))</f>
        <v/>
      </c>
      <c r="X671" s="9">
        <f>-IF(C671=1,LN(W671),LN(1-W671))</f>
        <v/>
      </c>
      <c r="Y671" s="8">
        <f>IF(C671=1,$AE$32,$AE$33)</f>
        <v/>
      </c>
      <c r="Z671" s="9">
        <f>Y671*X671</f>
        <v/>
      </c>
      <c r="AA671" s="10">
        <f>IF(W671&gt;$AE$34,1,0)</f>
        <v/>
      </c>
      <c r="AB671">
        <f>IF(AA671=C671,1,0)</f>
        <v/>
      </c>
    </row>
    <row r="672">
      <c r="A672">
        <f>'1 datos preparados'!A665</f>
        <v/>
      </c>
      <c r="B672" s="5">
        <f>'1 datos preparados'!U665</f>
        <v/>
      </c>
      <c r="C672">
        <f>'1 datos preparados'!B665</f>
        <v/>
      </c>
      <c r="D672" s="7">
        <f>'1 datos preparados'!C665</f>
        <v/>
      </c>
      <c r="E672" s="7">
        <f>'1 datos preparados'!D665</f>
        <v/>
      </c>
      <c r="F672" s="7">
        <f>'1 datos preparados'!E665</f>
        <v/>
      </c>
      <c r="G672" s="7">
        <f>'1 datos preparados'!F665</f>
        <v/>
      </c>
      <c r="H672" s="7">
        <f>'1 datos preparados'!G665</f>
        <v/>
      </c>
      <c r="I672" s="7">
        <f>'1 datos preparados'!H665</f>
        <v/>
      </c>
      <c r="J672" s="7">
        <f>'1 datos preparados'!I665</f>
        <v/>
      </c>
      <c r="K672" s="7">
        <f>'1 datos preparados'!J665</f>
        <v/>
      </c>
      <c r="L672" s="7">
        <f>'1 datos preparados'!K665</f>
        <v/>
      </c>
      <c r="M672" s="7">
        <f>'1 datos preparados'!L665</f>
        <v/>
      </c>
      <c r="N672" s="7">
        <f>'1 datos preparados'!M665</f>
        <v/>
      </c>
      <c r="O672" s="7">
        <f>'1 datos preparados'!N665</f>
        <v/>
      </c>
      <c r="P672" s="7">
        <f>'1 datos preparados'!O665</f>
        <v/>
      </c>
      <c r="Q672" s="7">
        <f>'1 datos preparados'!P665</f>
        <v/>
      </c>
      <c r="R672" s="7">
        <f>'1 datos preparados'!Q665</f>
        <v/>
      </c>
      <c r="S672" s="7">
        <f>'1 datos preparados'!R665</f>
        <v/>
      </c>
      <c r="T672" s="7">
        <f>'1 datos preparados'!S665</f>
        <v/>
      </c>
      <c r="U672" s="7">
        <f>'1 datos preparados'!T665</f>
        <v/>
      </c>
      <c r="V672" s="8">
        <f>$AE$12+D672*$AE$13+E672*$AE$14+F672*$AE$15+G672*$AE$16+H672*$AE$17+I672*$AE$18+J672*$AE$19+K672*$AE$20+L672*$AE$21+M672*$AE$22+N672*$AE$23+O672*$AE$24+P672*$AE$25+Q672*$AE$26+R672*$AE$27+S672*$AE$28+T672*$AE$29+U672*$AE$30</f>
        <v/>
      </c>
      <c r="W672" s="8">
        <f>1/(1+EXP(-V672))</f>
        <v/>
      </c>
      <c r="X672" s="9">
        <f>-IF(C672=1,LN(W672),LN(1-W672))</f>
        <v/>
      </c>
      <c r="Y672" s="8">
        <f>IF(C672=1,$AE$32,$AE$33)</f>
        <v/>
      </c>
      <c r="Z672" s="9">
        <f>Y672*X672</f>
        <v/>
      </c>
      <c r="AA672" s="10">
        <f>IF(W672&gt;$AE$34,1,0)</f>
        <v/>
      </c>
      <c r="AB672">
        <f>IF(AA672=C672,1,0)</f>
        <v/>
      </c>
    </row>
    <row r="673">
      <c r="A673">
        <f>'1 datos preparados'!A666</f>
        <v/>
      </c>
      <c r="B673" s="5">
        <f>'1 datos preparados'!U666</f>
        <v/>
      </c>
      <c r="C673">
        <f>'1 datos preparados'!B666</f>
        <v/>
      </c>
      <c r="D673" s="7">
        <f>'1 datos preparados'!C666</f>
        <v/>
      </c>
      <c r="E673" s="7">
        <f>'1 datos preparados'!D666</f>
        <v/>
      </c>
      <c r="F673" s="7">
        <f>'1 datos preparados'!E666</f>
        <v/>
      </c>
      <c r="G673" s="7">
        <f>'1 datos preparados'!F666</f>
        <v/>
      </c>
      <c r="H673" s="7">
        <f>'1 datos preparados'!G666</f>
        <v/>
      </c>
      <c r="I673" s="7">
        <f>'1 datos preparados'!H666</f>
        <v/>
      </c>
      <c r="J673" s="7">
        <f>'1 datos preparados'!I666</f>
        <v/>
      </c>
      <c r="K673" s="7">
        <f>'1 datos preparados'!J666</f>
        <v/>
      </c>
      <c r="L673" s="7">
        <f>'1 datos preparados'!K666</f>
        <v/>
      </c>
      <c r="M673" s="7">
        <f>'1 datos preparados'!L666</f>
        <v/>
      </c>
      <c r="N673" s="7">
        <f>'1 datos preparados'!M666</f>
        <v/>
      </c>
      <c r="O673" s="7">
        <f>'1 datos preparados'!N666</f>
        <v/>
      </c>
      <c r="P673" s="7">
        <f>'1 datos preparados'!O666</f>
        <v/>
      </c>
      <c r="Q673" s="7">
        <f>'1 datos preparados'!P666</f>
        <v/>
      </c>
      <c r="R673" s="7">
        <f>'1 datos preparados'!Q666</f>
        <v/>
      </c>
      <c r="S673" s="7">
        <f>'1 datos preparados'!R666</f>
        <v/>
      </c>
      <c r="T673" s="7">
        <f>'1 datos preparados'!S666</f>
        <v/>
      </c>
      <c r="U673" s="7">
        <f>'1 datos preparados'!T666</f>
        <v/>
      </c>
      <c r="V673" s="8">
        <f>$AE$12+D673*$AE$13+E673*$AE$14+F673*$AE$15+G673*$AE$16+H673*$AE$17+I673*$AE$18+J673*$AE$19+K673*$AE$20+L673*$AE$21+M673*$AE$22+N673*$AE$23+O673*$AE$24+P673*$AE$25+Q673*$AE$26+R673*$AE$27+S673*$AE$28+T673*$AE$29+U673*$AE$30</f>
        <v/>
      </c>
      <c r="W673" s="8">
        <f>1/(1+EXP(-V673))</f>
        <v/>
      </c>
      <c r="X673" s="9">
        <f>-IF(C673=1,LN(W673),LN(1-W673))</f>
        <v/>
      </c>
      <c r="Y673" s="8">
        <f>IF(C673=1,$AE$32,$AE$33)</f>
        <v/>
      </c>
      <c r="Z673" s="9">
        <f>Y673*X673</f>
        <v/>
      </c>
      <c r="AA673" s="10">
        <f>IF(W673&gt;$AE$34,1,0)</f>
        <v/>
      </c>
      <c r="AB673">
        <f>IF(AA673=C673,1,0)</f>
        <v/>
      </c>
    </row>
    <row r="674">
      <c r="A674">
        <f>'1 datos preparados'!A667</f>
        <v/>
      </c>
      <c r="B674" s="5">
        <f>'1 datos preparados'!U667</f>
        <v/>
      </c>
      <c r="C674">
        <f>'1 datos preparados'!B667</f>
        <v/>
      </c>
      <c r="D674" s="7">
        <f>'1 datos preparados'!C667</f>
        <v/>
      </c>
      <c r="E674" s="7">
        <f>'1 datos preparados'!D667</f>
        <v/>
      </c>
      <c r="F674" s="7">
        <f>'1 datos preparados'!E667</f>
        <v/>
      </c>
      <c r="G674" s="7">
        <f>'1 datos preparados'!F667</f>
        <v/>
      </c>
      <c r="H674" s="7">
        <f>'1 datos preparados'!G667</f>
        <v/>
      </c>
      <c r="I674" s="7">
        <f>'1 datos preparados'!H667</f>
        <v/>
      </c>
      <c r="J674" s="7">
        <f>'1 datos preparados'!I667</f>
        <v/>
      </c>
      <c r="K674" s="7">
        <f>'1 datos preparados'!J667</f>
        <v/>
      </c>
      <c r="L674" s="7">
        <f>'1 datos preparados'!K667</f>
        <v/>
      </c>
      <c r="M674" s="7">
        <f>'1 datos preparados'!L667</f>
        <v/>
      </c>
      <c r="N674" s="7">
        <f>'1 datos preparados'!M667</f>
        <v/>
      </c>
      <c r="O674" s="7">
        <f>'1 datos preparados'!N667</f>
        <v/>
      </c>
      <c r="P674" s="7">
        <f>'1 datos preparados'!O667</f>
        <v/>
      </c>
      <c r="Q674" s="7">
        <f>'1 datos preparados'!P667</f>
        <v/>
      </c>
      <c r="R674" s="7">
        <f>'1 datos preparados'!Q667</f>
        <v/>
      </c>
      <c r="S674" s="7">
        <f>'1 datos preparados'!R667</f>
        <v/>
      </c>
      <c r="T674" s="7">
        <f>'1 datos preparados'!S667</f>
        <v/>
      </c>
      <c r="U674" s="7">
        <f>'1 datos preparados'!T667</f>
        <v/>
      </c>
      <c r="V674" s="8">
        <f>$AE$12+D674*$AE$13+E674*$AE$14+F674*$AE$15+G674*$AE$16+H674*$AE$17+I674*$AE$18+J674*$AE$19+K674*$AE$20+L674*$AE$21+M674*$AE$22+N674*$AE$23+O674*$AE$24+P674*$AE$25+Q674*$AE$26+R674*$AE$27+S674*$AE$28+T674*$AE$29+U674*$AE$30</f>
        <v/>
      </c>
      <c r="W674" s="8">
        <f>1/(1+EXP(-V674))</f>
        <v/>
      </c>
      <c r="X674" s="9">
        <f>-IF(C674=1,LN(W674),LN(1-W674))</f>
        <v/>
      </c>
      <c r="Y674" s="8">
        <f>IF(C674=1,$AE$32,$AE$33)</f>
        <v/>
      </c>
      <c r="Z674" s="9">
        <f>Y674*X674</f>
        <v/>
      </c>
      <c r="AA674" s="10">
        <f>IF(W674&gt;$AE$34,1,0)</f>
        <v/>
      </c>
      <c r="AB674">
        <f>IF(AA674=C674,1,0)</f>
        <v/>
      </c>
    </row>
    <row r="675">
      <c r="A675">
        <f>'1 datos preparados'!A668</f>
        <v/>
      </c>
      <c r="B675" s="5">
        <f>'1 datos preparados'!U668</f>
        <v/>
      </c>
      <c r="C675">
        <f>'1 datos preparados'!B668</f>
        <v/>
      </c>
      <c r="D675" s="7">
        <f>'1 datos preparados'!C668</f>
        <v/>
      </c>
      <c r="E675" s="7">
        <f>'1 datos preparados'!D668</f>
        <v/>
      </c>
      <c r="F675" s="7">
        <f>'1 datos preparados'!E668</f>
        <v/>
      </c>
      <c r="G675" s="7">
        <f>'1 datos preparados'!F668</f>
        <v/>
      </c>
      <c r="H675" s="7">
        <f>'1 datos preparados'!G668</f>
        <v/>
      </c>
      <c r="I675" s="7">
        <f>'1 datos preparados'!H668</f>
        <v/>
      </c>
      <c r="J675" s="7">
        <f>'1 datos preparados'!I668</f>
        <v/>
      </c>
      <c r="K675" s="7">
        <f>'1 datos preparados'!J668</f>
        <v/>
      </c>
      <c r="L675" s="7">
        <f>'1 datos preparados'!K668</f>
        <v/>
      </c>
      <c r="M675" s="7">
        <f>'1 datos preparados'!L668</f>
        <v/>
      </c>
      <c r="N675" s="7">
        <f>'1 datos preparados'!M668</f>
        <v/>
      </c>
      <c r="O675" s="7">
        <f>'1 datos preparados'!N668</f>
        <v/>
      </c>
      <c r="P675" s="7">
        <f>'1 datos preparados'!O668</f>
        <v/>
      </c>
      <c r="Q675" s="7">
        <f>'1 datos preparados'!P668</f>
        <v/>
      </c>
      <c r="R675" s="7">
        <f>'1 datos preparados'!Q668</f>
        <v/>
      </c>
      <c r="S675" s="7">
        <f>'1 datos preparados'!R668</f>
        <v/>
      </c>
      <c r="T675" s="7">
        <f>'1 datos preparados'!S668</f>
        <v/>
      </c>
      <c r="U675" s="7">
        <f>'1 datos preparados'!T668</f>
        <v/>
      </c>
      <c r="V675" s="8">
        <f>$AE$12+D675*$AE$13+E675*$AE$14+F675*$AE$15+G675*$AE$16+H675*$AE$17+I675*$AE$18+J675*$AE$19+K675*$AE$20+L675*$AE$21+M675*$AE$22+N675*$AE$23+O675*$AE$24+P675*$AE$25+Q675*$AE$26+R675*$AE$27+S675*$AE$28+T675*$AE$29+U675*$AE$30</f>
        <v/>
      </c>
      <c r="W675" s="8">
        <f>1/(1+EXP(-V675))</f>
        <v/>
      </c>
      <c r="X675" s="9">
        <f>-IF(C675=1,LN(W675),LN(1-W675))</f>
        <v/>
      </c>
      <c r="Y675" s="8">
        <f>IF(C675=1,$AE$32,$AE$33)</f>
        <v/>
      </c>
      <c r="Z675" s="9">
        <f>Y675*X675</f>
        <v/>
      </c>
      <c r="AA675" s="10">
        <f>IF(W675&gt;$AE$34,1,0)</f>
        <v/>
      </c>
      <c r="AB675">
        <f>IF(AA675=C675,1,0)</f>
        <v/>
      </c>
    </row>
    <row r="676">
      <c r="A676">
        <f>'1 datos preparados'!A669</f>
        <v/>
      </c>
      <c r="B676" s="5">
        <f>'1 datos preparados'!U669</f>
        <v/>
      </c>
      <c r="C676">
        <f>'1 datos preparados'!B669</f>
        <v/>
      </c>
      <c r="D676" s="7">
        <f>'1 datos preparados'!C669</f>
        <v/>
      </c>
      <c r="E676" s="7">
        <f>'1 datos preparados'!D669</f>
        <v/>
      </c>
      <c r="F676" s="7">
        <f>'1 datos preparados'!E669</f>
        <v/>
      </c>
      <c r="G676" s="7">
        <f>'1 datos preparados'!F669</f>
        <v/>
      </c>
      <c r="H676" s="7">
        <f>'1 datos preparados'!G669</f>
        <v/>
      </c>
      <c r="I676" s="7">
        <f>'1 datos preparados'!H669</f>
        <v/>
      </c>
      <c r="J676" s="7">
        <f>'1 datos preparados'!I669</f>
        <v/>
      </c>
      <c r="K676" s="7">
        <f>'1 datos preparados'!J669</f>
        <v/>
      </c>
      <c r="L676" s="7">
        <f>'1 datos preparados'!K669</f>
        <v/>
      </c>
      <c r="M676" s="7">
        <f>'1 datos preparados'!L669</f>
        <v/>
      </c>
      <c r="N676" s="7">
        <f>'1 datos preparados'!M669</f>
        <v/>
      </c>
      <c r="O676" s="7">
        <f>'1 datos preparados'!N669</f>
        <v/>
      </c>
      <c r="P676" s="7">
        <f>'1 datos preparados'!O669</f>
        <v/>
      </c>
      <c r="Q676" s="7">
        <f>'1 datos preparados'!P669</f>
        <v/>
      </c>
      <c r="R676" s="7">
        <f>'1 datos preparados'!Q669</f>
        <v/>
      </c>
      <c r="S676" s="7">
        <f>'1 datos preparados'!R669</f>
        <v/>
      </c>
      <c r="T676" s="7">
        <f>'1 datos preparados'!S669</f>
        <v/>
      </c>
      <c r="U676" s="7">
        <f>'1 datos preparados'!T669</f>
        <v/>
      </c>
      <c r="V676" s="8">
        <f>$AE$12+D676*$AE$13+E676*$AE$14+F676*$AE$15+G676*$AE$16+H676*$AE$17+I676*$AE$18+J676*$AE$19+K676*$AE$20+L676*$AE$21+M676*$AE$22+N676*$AE$23+O676*$AE$24+P676*$AE$25+Q676*$AE$26+R676*$AE$27+S676*$AE$28+T676*$AE$29+U676*$AE$30</f>
        <v/>
      </c>
      <c r="W676" s="8">
        <f>1/(1+EXP(-V676))</f>
        <v/>
      </c>
      <c r="X676" s="9">
        <f>-IF(C676=1,LN(W676),LN(1-W676))</f>
        <v/>
      </c>
      <c r="Y676" s="8">
        <f>IF(C676=1,$AE$32,$AE$33)</f>
        <v/>
      </c>
      <c r="Z676" s="9">
        <f>Y676*X676</f>
        <v/>
      </c>
      <c r="AA676" s="10">
        <f>IF(W676&gt;$AE$34,1,0)</f>
        <v/>
      </c>
      <c r="AB676">
        <f>IF(AA676=C676,1,0)</f>
        <v/>
      </c>
    </row>
    <row r="677">
      <c r="A677">
        <f>'1 datos preparados'!A670</f>
        <v/>
      </c>
      <c r="B677" s="5">
        <f>'1 datos preparados'!U670</f>
        <v/>
      </c>
      <c r="C677">
        <f>'1 datos preparados'!B670</f>
        <v/>
      </c>
      <c r="D677" s="7">
        <f>'1 datos preparados'!C670</f>
        <v/>
      </c>
      <c r="E677" s="7">
        <f>'1 datos preparados'!D670</f>
        <v/>
      </c>
      <c r="F677" s="7">
        <f>'1 datos preparados'!E670</f>
        <v/>
      </c>
      <c r="G677" s="7">
        <f>'1 datos preparados'!F670</f>
        <v/>
      </c>
      <c r="H677" s="7">
        <f>'1 datos preparados'!G670</f>
        <v/>
      </c>
      <c r="I677" s="7">
        <f>'1 datos preparados'!H670</f>
        <v/>
      </c>
      <c r="J677" s="7">
        <f>'1 datos preparados'!I670</f>
        <v/>
      </c>
      <c r="K677" s="7">
        <f>'1 datos preparados'!J670</f>
        <v/>
      </c>
      <c r="L677" s="7">
        <f>'1 datos preparados'!K670</f>
        <v/>
      </c>
      <c r="M677" s="7">
        <f>'1 datos preparados'!L670</f>
        <v/>
      </c>
      <c r="N677" s="7">
        <f>'1 datos preparados'!M670</f>
        <v/>
      </c>
      <c r="O677" s="7">
        <f>'1 datos preparados'!N670</f>
        <v/>
      </c>
      <c r="P677" s="7">
        <f>'1 datos preparados'!O670</f>
        <v/>
      </c>
      <c r="Q677" s="7">
        <f>'1 datos preparados'!P670</f>
        <v/>
      </c>
      <c r="R677" s="7">
        <f>'1 datos preparados'!Q670</f>
        <v/>
      </c>
      <c r="S677" s="7">
        <f>'1 datos preparados'!R670</f>
        <v/>
      </c>
      <c r="T677" s="7">
        <f>'1 datos preparados'!S670</f>
        <v/>
      </c>
      <c r="U677" s="7">
        <f>'1 datos preparados'!T670</f>
        <v/>
      </c>
      <c r="V677" s="8">
        <f>$AE$12+D677*$AE$13+E677*$AE$14+F677*$AE$15+G677*$AE$16+H677*$AE$17+I677*$AE$18+J677*$AE$19+K677*$AE$20+L677*$AE$21+M677*$AE$22+N677*$AE$23+O677*$AE$24+P677*$AE$25+Q677*$AE$26+R677*$AE$27+S677*$AE$28+T677*$AE$29+U677*$AE$30</f>
        <v/>
      </c>
      <c r="W677" s="8">
        <f>1/(1+EXP(-V677))</f>
        <v/>
      </c>
      <c r="X677" s="9">
        <f>-IF(C677=1,LN(W677),LN(1-W677))</f>
        <v/>
      </c>
      <c r="Y677" s="8">
        <f>IF(C677=1,$AE$32,$AE$33)</f>
        <v/>
      </c>
      <c r="Z677" s="9">
        <f>Y677*X677</f>
        <v/>
      </c>
      <c r="AA677" s="10">
        <f>IF(W677&gt;$AE$34,1,0)</f>
        <v/>
      </c>
      <c r="AB677">
        <f>IF(AA677=C677,1,0)</f>
        <v/>
      </c>
    </row>
    <row r="678">
      <c r="A678">
        <f>'1 datos preparados'!A671</f>
        <v/>
      </c>
      <c r="B678" s="5">
        <f>'1 datos preparados'!U671</f>
        <v/>
      </c>
      <c r="C678">
        <f>'1 datos preparados'!B671</f>
        <v/>
      </c>
      <c r="D678" s="7">
        <f>'1 datos preparados'!C671</f>
        <v/>
      </c>
      <c r="E678" s="7">
        <f>'1 datos preparados'!D671</f>
        <v/>
      </c>
      <c r="F678" s="7">
        <f>'1 datos preparados'!E671</f>
        <v/>
      </c>
      <c r="G678" s="7">
        <f>'1 datos preparados'!F671</f>
        <v/>
      </c>
      <c r="H678" s="7">
        <f>'1 datos preparados'!G671</f>
        <v/>
      </c>
      <c r="I678" s="7">
        <f>'1 datos preparados'!H671</f>
        <v/>
      </c>
      <c r="J678" s="7">
        <f>'1 datos preparados'!I671</f>
        <v/>
      </c>
      <c r="K678" s="7">
        <f>'1 datos preparados'!J671</f>
        <v/>
      </c>
      <c r="L678" s="7">
        <f>'1 datos preparados'!K671</f>
        <v/>
      </c>
      <c r="M678" s="7">
        <f>'1 datos preparados'!L671</f>
        <v/>
      </c>
      <c r="N678" s="7">
        <f>'1 datos preparados'!M671</f>
        <v/>
      </c>
      <c r="O678" s="7">
        <f>'1 datos preparados'!N671</f>
        <v/>
      </c>
      <c r="P678" s="7">
        <f>'1 datos preparados'!O671</f>
        <v/>
      </c>
      <c r="Q678" s="7">
        <f>'1 datos preparados'!P671</f>
        <v/>
      </c>
      <c r="R678" s="7">
        <f>'1 datos preparados'!Q671</f>
        <v/>
      </c>
      <c r="S678" s="7">
        <f>'1 datos preparados'!R671</f>
        <v/>
      </c>
      <c r="T678" s="7">
        <f>'1 datos preparados'!S671</f>
        <v/>
      </c>
      <c r="U678" s="7">
        <f>'1 datos preparados'!T671</f>
        <v/>
      </c>
      <c r="V678" s="8">
        <f>$AE$12+D678*$AE$13+E678*$AE$14+F678*$AE$15+G678*$AE$16+H678*$AE$17+I678*$AE$18+J678*$AE$19+K678*$AE$20+L678*$AE$21+M678*$AE$22+N678*$AE$23+O678*$AE$24+P678*$AE$25+Q678*$AE$26+R678*$AE$27+S678*$AE$28+T678*$AE$29+U678*$AE$30</f>
        <v/>
      </c>
      <c r="W678" s="8">
        <f>1/(1+EXP(-V678))</f>
        <v/>
      </c>
      <c r="X678" s="9">
        <f>-IF(C678=1,LN(W678),LN(1-W678))</f>
        <v/>
      </c>
      <c r="Y678" s="8">
        <f>IF(C678=1,$AE$32,$AE$33)</f>
        <v/>
      </c>
      <c r="Z678" s="9">
        <f>Y678*X678</f>
        <v/>
      </c>
      <c r="AA678" s="10">
        <f>IF(W678&gt;$AE$34,1,0)</f>
        <v/>
      </c>
      <c r="AB678">
        <f>IF(AA678=C678,1,0)</f>
        <v/>
      </c>
    </row>
    <row r="679">
      <c r="A679">
        <f>'1 datos preparados'!A672</f>
        <v/>
      </c>
      <c r="B679" s="5">
        <f>'1 datos preparados'!U672</f>
        <v/>
      </c>
      <c r="C679">
        <f>'1 datos preparados'!B672</f>
        <v/>
      </c>
      <c r="D679" s="7">
        <f>'1 datos preparados'!C672</f>
        <v/>
      </c>
      <c r="E679" s="7">
        <f>'1 datos preparados'!D672</f>
        <v/>
      </c>
      <c r="F679" s="7">
        <f>'1 datos preparados'!E672</f>
        <v/>
      </c>
      <c r="G679" s="7">
        <f>'1 datos preparados'!F672</f>
        <v/>
      </c>
      <c r="H679" s="7">
        <f>'1 datos preparados'!G672</f>
        <v/>
      </c>
      <c r="I679" s="7">
        <f>'1 datos preparados'!H672</f>
        <v/>
      </c>
      <c r="J679" s="7">
        <f>'1 datos preparados'!I672</f>
        <v/>
      </c>
      <c r="K679" s="7">
        <f>'1 datos preparados'!J672</f>
        <v/>
      </c>
      <c r="L679" s="7">
        <f>'1 datos preparados'!K672</f>
        <v/>
      </c>
      <c r="M679" s="7">
        <f>'1 datos preparados'!L672</f>
        <v/>
      </c>
      <c r="N679" s="7">
        <f>'1 datos preparados'!M672</f>
        <v/>
      </c>
      <c r="O679" s="7">
        <f>'1 datos preparados'!N672</f>
        <v/>
      </c>
      <c r="P679" s="7">
        <f>'1 datos preparados'!O672</f>
        <v/>
      </c>
      <c r="Q679" s="7">
        <f>'1 datos preparados'!P672</f>
        <v/>
      </c>
      <c r="R679" s="7">
        <f>'1 datos preparados'!Q672</f>
        <v/>
      </c>
      <c r="S679" s="7">
        <f>'1 datos preparados'!R672</f>
        <v/>
      </c>
      <c r="T679" s="7">
        <f>'1 datos preparados'!S672</f>
        <v/>
      </c>
      <c r="U679" s="7">
        <f>'1 datos preparados'!T672</f>
        <v/>
      </c>
      <c r="V679" s="8">
        <f>$AE$12+D679*$AE$13+E679*$AE$14+F679*$AE$15+G679*$AE$16+H679*$AE$17+I679*$AE$18+J679*$AE$19+K679*$AE$20+L679*$AE$21+M679*$AE$22+N679*$AE$23+O679*$AE$24+P679*$AE$25+Q679*$AE$26+R679*$AE$27+S679*$AE$28+T679*$AE$29+U679*$AE$30</f>
        <v/>
      </c>
      <c r="W679" s="8">
        <f>1/(1+EXP(-V679))</f>
        <v/>
      </c>
      <c r="X679" s="9">
        <f>-IF(C679=1,LN(W679),LN(1-W679))</f>
        <v/>
      </c>
      <c r="Y679" s="8">
        <f>IF(C679=1,$AE$32,$AE$33)</f>
        <v/>
      </c>
      <c r="Z679" s="9">
        <f>Y679*X679</f>
        <v/>
      </c>
      <c r="AA679" s="10">
        <f>IF(W679&gt;$AE$34,1,0)</f>
        <v/>
      </c>
      <c r="AB679">
        <f>IF(AA679=C679,1,0)</f>
        <v/>
      </c>
    </row>
    <row r="680">
      <c r="A680">
        <f>'1 datos preparados'!A673</f>
        <v/>
      </c>
      <c r="B680" s="5">
        <f>'1 datos preparados'!U673</f>
        <v/>
      </c>
      <c r="C680">
        <f>'1 datos preparados'!B673</f>
        <v/>
      </c>
      <c r="D680" s="7">
        <f>'1 datos preparados'!C673</f>
        <v/>
      </c>
      <c r="E680" s="7">
        <f>'1 datos preparados'!D673</f>
        <v/>
      </c>
      <c r="F680" s="7">
        <f>'1 datos preparados'!E673</f>
        <v/>
      </c>
      <c r="G680" s="7">
        <f>'1 datos preparados'!F673</f>
        <v/>
      </c>
      <c r="H680" s="7">
        <f>'1 datos preparados'!G673</f>
        <v/>
      </c>
      <c r="I680" s="7">
        <f>'1 datos preparados'!H673</f>
        <v/>
      </c>
      <c r="J680" s="7">
        <f>'1 datos preparados'!I673</f>
        <v/>
      </c>
      <c r="K680" s="7">
        <f>'1 datos preparados'!J673</f>
        <v/>
      </c>
      <c r="L680" s="7">
        <f>'1 datos preparados'!K673</f>
        <v/>
      </c>
      <c r="M680" s="7">
        <f>'1 datos preparados'!L673</f>
        <v/>
      </c>
      <c r="N680" s="7">
        <f>'1 datos preparados'!M673</f>
        <v/>
      </c>
      <c r="O680" s="7">
        <f>'1 datos preparados'!N673</f>
        <v/>
      </c>
      <c r="P680" s="7">
        <f>'1 datos preparados'!O673</f>
        <v/>
      </c>
      <c r="Q680" s="7">
        <f>'1 datos preparados'!P673</f>
        <v/>
      </c>
      <c r="R680" s="7">
        <f>'1 datos preparados'!Q673</f>
        <v/>
      </c>
      <c r="S680" s="7">
        <f>'1 datos preparados'!R673</f>
        <v/>
      </c>
      <c r="T680" s="7">
        <f>'1 datos preparados'!S673</f>
        <v/>
      </c>
      <c r="U680" s="7">
        <f>'1 datos preparados'!T673</f>
        <v/>
      </c>
      <c r="V680" s="8">
        <f>$AE$12+D680*$AE$13+E680*$AE$14+F680*$AE$15+G680*$AE$16+H680*$AE$17+I680*$AE$18+J680*$AE$19+K680*$AE$20+L680*$AE$21+M680*$AE$22+N680*$AE$23+O680*$AE$24+P680*$AE$25+Q680*$AE$26+R680*$AE$27+S680*$AE$28+T680*$AE$29+U680*$AE$30</f>
        <v/>
      </c>
      <c r="W680" s="8">
        <f>1/(1+EXP(-V680))</f>
        <v/>
      </c>
      <c r="X680" s="9">
        <f>-IF(C680=1,LN(W680),LN(1-W680))</f>
        <v/>
      </c>
      <c r="Y680" s="8">
        <f>IF(C680=1,$AE$32,$AE$33)</f>
        <v/>
      </c>
      <c r="Z680" s="9">
        <f>Y680*X680</f>
        <v/>
      </c>
      <c r="AA680" s="10">
        <f>IF(W680&gt;$AE$34,1,0)</f>
        <v/>
      </c>
      <c r="AB680">
        <f>IF(AA680=C680,1,0)</f>
        <v/>
      </c>
    </row>
    <row r="681">
      <c r="A681">
        <f>'1 datos preparados'!A674</f>
        <v/>
      </c>
      <c r="B681" s="5">
        <f>'1 datos preparados'!U674</f>
        <v/>
      </c>
      <c r="C681">
        <f>'1 datos preparados'!B674</f>
        <v/>
      </c>
      <c r="D681" s="7">
        <f>'1 datos preparados'!C674</f>
        <v/>
      </c>
      <c r="E681" s="7">
        <f>'1 datos preparados'!D674</f>
        <v/>
      </c>
      <c r="F681" s="7">
        <f>'1 datos preparados'!E674</f>
        <v/>
      </c>
      <c r="G681" s="7">
        <f>'1 datos preparados'!F674</f>
        <v/>
      </c>
      <c r="H681" s="7">
        <f>'1 datos preparados'!G674</f>
        <v/>
      </c>
      <c r="I681" s="7">
        <f>'1 datos preparados'!H674</f>
        <v/>
      </c>
      <c r="J681" s="7">
        <f>'1 datos preparados'!I674</f>
        <v/>
      </c>
      <c r="K681" s="7">
        <f>'1 datos preparados'!J674</f>
        <v/>
      </c>
      <c r="L681" s="7">
        <f>'1 datos preparados'!K674</f>
        <v/>
      </c>
      <c r="M681" s="7">
        <f>'1 datos preparados'!L674</f>
        <v/>
      </c>
      <c r="N681" s="7">
        <f>'1 datos preparados'!M674</f>
        <v/>
      </c>
      <c r="O681" s="7">
        <f>'1 datos preparados'!N674</f>
        <v/>
      </c>
      <c r="P681" s="7">
        <f>'1 datos preparados'!O674</f>
        <v/>
      </c>
      <c r="Q681" s="7">
        <f>'1 datos preparados'!P674</f>
        <v/>
      </c>
      <c r="R681" s="7">
        <f>'1 datos preparados'!Q674</f>
        <v/>
      </c>
      <c r="S681" s="7">
        <f>'1 datos preparados'!R674</f>
        <v/>
      </c>
      <c r="T681" s="7">
        <f>'1 datos preparados'!S674</f>
        <v/>
      </c>
      <c r="U681" s="7">
        <f>'1 datos preparados'!T674</f>
        <v/>
      </c>
      <c r="V681" s="8">
        <f>$AE$12+D681*$AE$13+E681*$AE$14+F681*$AE$15+G681*$AE$16+H681*$AE$17+I681*$AE$18+J681*$AE$19+K681*$AE$20+L681*$AE$21+M681*$AE$22+N681*$AE$23+O681*$AE$24+P681*$AE$25+Q681*$AE$26+R681*$AE$27+S681*$AE$28+T681*$AE$29+U681*$AE$30</f>
        <v/>
      </c>
      <c r="W681" s="8">
        <f>1/(1+EXP(-V681))</f>
        <v/>
      </c>
      <c r="X681" s="9">
        <f>-IF(C681=1,LN(W681),LN(1-W681))</f>
        <v/>
      </c>
      <c r="Y681" s="8">
        <f>IF(C681=1,$AE$32,$AE$33)</f>
        <v/>
      </c>
      <c r="Z681" s="9">
        <f>Y681*X681</f>
        <v/>
      </c>
      <c r="AA681" s="10">
        <f>IF(W681&gt;$AE$34,1,0)</f>
        <v/>
      </c>
      <c r="AB681">
        <f>IF(AA681=C681,1,0)</f>
        <v/>
      </c>
    </row>
    <row r="682">
      <c r="A682">
        <f>'1 datos preparados'!A675</f>
        <v/>
      </c>
      <c r="B682" s="5">
        <f>'1 datos preparados'!U675</f>
        <v/>
      </c>
      <c r="C682">
        <f>'1 datos preparados'!B675</f>
        <v/>
      </c>
      <c r="D682" s="7">
        <f>'1 datos preparados'!C675</f>
        <v/>
      </c>
      <c r="E682" s="7">
        <f>'1 datos preparados'!D675</f>
        <v/>
      </c>
      <c r="F682" s="7">
        <f>'1 datos preparados'!E675</f>
        <v/>
      </c>
      <c r="G682" s="7">
        <f>'1 datos preparados'!F675</f>
        <v/>
      </c>
      <c r="H682" s="7">
        <f>'1 datos preparados'!G675</f>
        <v/>
      </c>
      <c r="I682" s="7">
        <f>'1 datos preparados'!H675</f>
        <v/>
      </c>
      <c r="J682" s="7">
        <f>'1 datos preparados'!I675</f>
        <v/>
      </c>
      <c r="K682" s="7">
        <f>'1 datos preparados'!J675</f>
        <v/>
      </c>
      <c r="L682" s="7">
        <f>'1 datos preparados'!K675</f>
        <v/>
      </c>
      <c r="M682" s="7">
        <f>'1 datos preparados'!L675</f>
        <v/>
      </c>
      <c r="N682" s="7">
        <f>'1 datos preparados'!M675</f>
        <v/>
      </c>
      <c r="O682" s="7">
        <f>'1 datos preparados'!N675</f>
        <v/>
      </c>
      <c r="P682" s="7">
        <f>'1 datos preparados'!O675</f>
        <v/>
      </c>
      <c r="Q682" s="7">
        <f>'1 datos preparados'!P675</f>
        <v/>
      </c>
      <c r="R682" s="7">
        <f>'1 datos preparados'!Q675</f>
        <v/>
      </c>
      <c r="S682" s="7">
        <f>'1 datos preparados'!R675</f>
        <v/>
      </c>
      <c r="T682" s="7">
        <f>'1 datos preparados'!S675</f>
        <v/>
      </c>
      <c r="U682" s="7">
        <f>'1 datos preparados'!T675</f>
        <v/>
      </c>
      <c r="V682" s="8">
        <f>$AE$12+D682*$AE$13+E682*$AE$14+F682*$AE$15+G682*$AE$16+H682*$AE$17+I682*$AE$18+J682*$AE$19+K682*$AE$20+L682*$AE$21+M682*$AE$22+N682*$AE$23+O682*$AE$24+P682*$AE$25+Q682*$AE$26+R682*$AE$27+S682*$AE$28+T682*$AE$29+U682*$AE$30</f>
        <v/>
      </c>
      <c r="W682" s="8">
        <f>1/(1+EXP(-V682))</f>
        <v/>
      </c>
      <c r="X682" s="9">
        <f>-IF(C682=1,LN(W682),LN(1-W682))</f>
        <v/>
      </c>
      <c r="Y682" s="8">
        <f>IF(C682=1,$AE$32,$AE$33)</f>
        <v/>
      </c>
      <c r="Z682" s="9">
        <f>Y682*X682</f>
        <v/>
      </c>
      <c r="AA682" s="10">
        <f>IF(W682&gt;$AE$34,1,0)</f>
        <v/>
      </c>
      <c r="AB682">
        <f>IF(AA682=C682,1,0)</f>
        <v/>
      </c>
    </row>
    <row r="683">
      <c r="A683">
        <f>'1 datos preparados'!A676</f>
        <v/>
      </c>
      <c r="B683" s="5">
        <f>'1 datos preparados'!U676</f>
        <v/>
      </c>
      <c r="C683">
        <f>'1 datos preparados'!B676</f>
        <v/>
      </c>
      <c r="D683" s="7">
        <f>'1 datos preparados'!C676</f>
        <v/>
      </c>
      <c r="E683" s="7">
        <f>'1 datos preparados'!D676</f>
        <v/>
      </c>
      <c r="F683" s="7">
        <f>'1 datos preparados'!E676</f>
        <v/>
      </c>
      <c r="G683" s="7">
        <f>'1 datos preparados'!F676</f>
        <v/>
      </c>
      <c r="H683" s="7">
        <f>'1 datos preparados'!G676</f>
        <v/>
      </c>
      <c r="I683" s="7">
        <f>'1 datos preparados'!H676</f>
        <v/>
      </c>
      <c r="J683" s="7">
        <f>'1 datos preparados'!I676</f>
        <v/>
      </c>
      <c r="K683" s="7">
        <f>'1 datos preparados'!J676</f>
        <v/>
      </c>
      <c r="L683" s="7">
        <f>'1 datos preparados'!K676</f>
        <v/>
      </c>
      <c r="M683" s="7">
        <f>'1 datos preparados'!L676</f>
        <v/>
      </c>
      <c r="N683" s="7">
        <f>'1 datos preparados'!M676</f>
        <v/>
      </c>
      <c r="O683" s="7">
        <f>'1 datos preparados'!N676</f>
        <v/>
      </c>
      <c r="P683" s="7">
        <f>'1 datos preparados'!O676</f>
        <v/>
      </c>
      <c r="Q683" s="7">
        <f>'1 datos preparados'!P676</f>
        <v/>
      </c>
      <c r="R683" s="7">
        <f>'1 datos preparados'!Q676</f>
        <v/>
      </c>
      <c r="S683" s="7">
        <f>'1 datos preparados'!R676</f>
        <v/>
      </c>
      <c r="T683" s="7">
        <f>'1 datos preparados'!S676</f>
        <v/>
      </c>
      <c r="U683" s="7">
        <f>'1 datos preparados'!T676</f>
        <v/>
      </c>
      <c r="V683" s="8">
        <f>$AE$12+D683*$AE$13+E683*$AE$14+F683*$AE$15+G683*$AE$16+H683*$AE$17+I683*$AE$18+J683*$AE$19+K683*$AE$20+L683*$AE$21+M683*$AE$22+N683*$AE$23+O683*$AE$24+P683*$AE$25+Q683*$AE$26+R683*$AE$27+S683*$AE$28+T683*$AE$29+U683*$AE$30</f>
        <v/>
      </c>
      <c r="W683" s="8">
        <f>1/(1+EXP(-V683))</f>
        <v/>
      </c>
      <c r="X683" s="9">
        <f>-IF(C683=1,LN(W683),LN(1-W683))</f>
        <v/>
      </c>
      <c r="Y683" s="8">
        <f>IF(C683=1,$AE$32,$AE$33)</f>
        <v/>
      </c>
      <c r="Z683" s="9">
        <f>Y683*X683</f>
        <v/>
      </c>
      <c r="AA683" s="10">
        <f>IF(W683&gt;$AE$34,1,0)</f>
        <v/>
      </c>
      <c r="AB683">
        <f>IF(AA683=C683,1,0)</f>
        <v/>
      </c>
    </row>
    <row r="684">
      <c r="A684">
        <f>'1 datos preparados'!A677</f>
        <v/>
      </c>
      <c r="B684" s="5">
        <f>'1 datos preparados'!U677</f>
        <v/>
      </c>
      <c r="C684">
        <f>'1 datos preparados'!B677</f>
        <v/>
      </c>
      <c r="D684" s="7">
        <f>'1 datos preparados'!C677</f>
        <v/>
      </c>
      <c r="E684" s="7">
        <f>'1 datos preparados'!D677</f>
        <v/>
      </c>
      <c r="F684" s="7">
        <f>'1 datos preparados'!E677</f>
        <v/>
      </c>
      <c r="G684" s="7">
        <f>'1 datos preparados'!F677</f>
        <v/>
      </c>
      <c r="H684" s="7">
        <f>'1 datos preparados'!G677</f>
        <v/>
      </c>
      <c r="I684" s="7">
        <f>'1 datos preparados'!H677</f>
        <v/>
      </c>
      <c r="J684" s="7">
        <f>'1 datos preparados'!I677</f>
        <v/>
      </c>
      <c r="K684" s="7">
        <f>'1 datos preparados'!J677</f>
        <v/>
      </c>
      <c r="L684" s="7">
        <f>'1 datos preparados'!K677</f>
        <v/>
      </c>
      <c r="M684" s="7">
        <f>'1 datos preparados'!L677</f>
        <v/>
      </c>
      <c r="N684" s="7">
        <f>'1 datos preparados'!M677</f>
        <v/>
      </c>
      <c r="O684" s="7">
        <f>'1 datos preparados'!N677</f>
        <v/>
      </c>
      <c r="P684" s="7">
        <f>'1 datos preparados'!O677</f>
        <v/>
      </c>
      <c r="Q684" s="7">
        <f>'1 datos preparados'!P677</f>
        <v/>
      </c>
      <c r="R684" s="7">
        <f>'1 datos preparados'!Q677</f>
        <v/>
      </c>
      <c r="S684" s="7">
        <f>'1 datos preparados'!R677</f>
        <v/>
      </c>
      <c r="T684" s="7">
        <f>'1 datos preparados'!S677</f>
        <v/>
      </c>
      <c r="U684" s="7">
        <f>'1 datos preparados'!T677</f>
        <v/>
      </c>
      <c r="V684" s="8">
        <f>$AE$12+D684*$AE$13+E684*$AE$14+F684*$AE$15+G684*$AE$16+H684*$AE$17+I684*$AE$18+J684*$AE$19+K684*$AE$20+L684*$AE$21+M684*$AE$22+N684*$AE$23+O684*$AE$24+P684*$AE$25+Q684*$AE$26+R684*$AE$27+S684*$AE$28+T684*$AE$29+U684*$AE$30</f>
        <v/>
      </c>
      <c r="W684" s="8">
        <f>1/(1+EXP(-V684))</f>
        <v/>
      </c>
      <c r="X684" s="9">
        <f>-IF(C684=1,LN(W684),LN(1-W684))</f>
        <v/>
      </c>
      <c r="Y684" s="8">
        <f>IF(C684=1,$AE$32,$AE$33)</f>
        <v/>
      </c>
      <c r="Z684" s="9">
        <f>Y684*X684</f>
        <v/>
      </c>
      <c r="AA684" s="10">
        <f>IF(W684&gt;$AE$34,1,0)</f>
        <v/>
      </c>
      <c r="AB684">
        <f>IF(AA684=C684,1,0)</f>
        <v/>
      </c>
    </row>
    <row r="685">
      <c r="A685">
        <f>'1 datos preparados'!A678</f>
        <v/>
      </c>
      <c r="B685" s="5">
        <f>'1 datos preparados'!U678</f>
        <v/>
      </c>
      <c r="C685">
        <f>'1 datos preparados'!B678</f>
        <v/>
      </c>
      <c r="D685" s="7">
        <f>'1 datos preparados'!C678</f>
        <v/>
      </c>
      <c r="E685" s="7">
        <f>'1 datos preparados'!D678</f>
        <v/>
      </c>
      <c r="F685" s="7">
        <f>'1 datos preparados'!E678</f>
        <v/>
      </c>
      <c r="G685" s="7">
        <f>'1 datos preparados'!F678</f>
        <v/>
      </c>
      <c r="H685" s="7">
        <f>'1 datos preparados'!G678</f>
        <v/>
      </c>
      <c r="I685" s="7">
        <f>'1 datos preparados'!H678</f>
        <v/>
      </c>
      <c r="J685" s="7">
        <f>'1 datos preparados'!I678</f>
        <v/>
      </c>
      <c r="K685" s="7">
        <f>'1 datos preparados'!J678</f>
        <v/>
      </c>
      <c r="L685" s="7">
        <f>'1 datos preparados'!K678</f>
        <v/>
      </c>
      <c r="M685" s="7">
        <f>'1 datos preparados'!L678</f>
        <v/>
      </c>
      <c r="N685" s="7">
        <f>'1 datos preparados'!M678</f>
        <v/>
      </c>
      <c r="O685" s="7">
        <f>'1 datos preparados'!N678</f>
        <v/>
      </c>
      <c r="P685" s="7">
        <f>'1 datos preparados'!O678</f>
        <v/>
      </c>
      <c r="Q685" s="7">
        <f>'1 datos preparados'!P678</f>
        <v/>
      </c>
      <c r="R685" s="7">
        <f>'1 datos preparados'!Q678</f>
        <v/>
      </c>
      <c r="S685" s="7">
        <f>'1 datos preparados'!R678</f>
        <v/>
      </c>
      <c r="T685" s="7">
        <f>'1 datos preparados'!S678</f>
        <v/>
      </c>
      <c r="U685" s="7">
        <f>'1 datos preparados'!T678</f>
        <v/>
      </c>
      <c r="V685" s="8">
        <f>$AE$12+D685*$AE$13+E685*$AE$14+F685*$AE$15+G685*$AE$16+H685*$AE$17+I685*$AE$18+J685*$AE$19+K685*$AE$20+L685*$AE$21+M685*$AE$22+N685*$AE$23+O685*$AE$24+P685*$AE$25+Q685*$AE$26+R685*$AE$27+S685*$AE$28+T685*$AE$29+U685*$AE$30</f>
        <v/>
      </c>
      <c r="W685" s="8">
        <f>1/(1+EXP(-V685))</f>
        <v/>
      </c>
      <c r="X685" s="9">
        <f>-IF(C685=1,LN(W685),LN(1-W685))</f>
        <v/>
      </c>
      <c r="Y685" s="8">
        <f>IF(C685=1,$AE$32,$AE$33)</f>
        <v/>
      </c>
      <c r="Z685" s="9">
        <f>Y685*X685</f>
        <v/>
      </c>
      <c r="AA685" s="10">
        <f>IF(W685&gt;$AE$34,1,0)</f>
        <v/>
      </c>
      <c r="AB685">
        <f>IF(AA685=C685,1,0)</f>
        <v/>
      </c>
    </row>
    <row r="686">
      <c r="A686">
        <f>'1 datos preparados'!A679</f>
        <v/>
      </c>
      <c r="B686" s="5">
        <f>'1 datos preparados'!U679</f>
        <v/>
      </c>
      <c r="C686">
        <f>'1 datos preparados'!B679</f>
        <v/>
      </c>
      <c r="D686" s="7">
        <f>'1 datos preparados'!C679</f>
        <v/>
      </c>
      <c r="E686" s="7">
        <f>'1 datos preparados'!D679</f>
        <v/>
      </c>
      <c r="F686" s="7">
        <f>'1 datos preparados'!E679</f>
        <v/>
      </c>
      <c r="G686" s="7">
        <f>'1 datos preparados'!F679</f>
        <v/>
      </c>
      <c r="H686" s="7">
        <f>'1 datos preparados'!G679</f>
        <v/>
      </c>
      <c r="I686" s="7">
        <f>'1 datos preparados'!H679</f>
        <v/>
      </c>
      <c r="J686" s="7">
        <f>'1 datos preparados'!I679</f>
        <v/>
      </c>
      <c r="K686" s="7">
        <f>'1 datos preparados'!J679</f>
        <v/>
      </c>
      <c r="L686" s="7">
        <f>'1 datos preparados'!K679</f>
        <v/>
      </c>
      <c r="M686" s="7">
        <f>'1 datos preparados'!L679</f>
        <v/>
      </c>
      <c r="N686" s="7">
        <f>'1 datos preparados'!M679</f>
        <v/>
      </c>
      <c r="O686" s="7">
        <f>'1 datos preparados'!N679</f>
        <v/>
      </c>
      <c r="P686" s="7">
        <f>'1 datos preparados'!O679</f>
        <v/>
      </c>
      <c r="Q686" s="7">
        <f>'1 datos preparados'!P679</f>
        <v/>
      </c>
      <c r="R686" s="7">
        <f>'1 datos preparados'!Q679</f>
        <v/>
      </c>
      <c r="S686" s="7">
        <f>'1 datos preparados'!R679</f>
        <v/>
      </c>
      <c r="T686" s="7">
        <f>'1 datos preparados'!S679</f>
        <v/>
      </c>
      <c r="U686" s="7">
        <f>'1 datos preparados'!T679</f>
        <v/>
      </c>
      <c r="V686" s="8">
        <f>$AE$12+D686*$AE$13+E686*$AE$14+F686*$AE$15+G686*$AE$16+H686*$AE$17+I686*$AE$18+J686*$AE$19+K686*$AE$20+L686*$AE$21+M686*$AE$22+N686*$AE$23+O686*$AE$24+P686*$AE$25+Q686*$AE$26+R686*$AE$27+S686*$AE$28+T686*$AE$29+U686*$AE$30</f>
        <v/>
      </c>
      <c r="W686" s="8">
        <f>1/(1+EXP(-V686))</f>
        <v/>
      </c>
      <c r="X686" s="9">
        <f>-IF(C686=1,LN(W686),LN(1-W686))</f>
        <v/>
      </c>
      <c r="Y686" s="8">
        <f>IF(C686=1,$AE$32,$AE$33)</f>
        <v/>
      </c>
      <c r="Z686" s="9">
        <f>Y686*X686</f>
        <v/>
      </c>
      <c r="AA686" s="10">
        <f>IF(W686&gt;$AE$34,1,0)</f>
        <v/>
      </c>
      <c r="AB686">
        <f>IF(AA686=C686,1,0)</f>
        <v/>
      </c>
    </row>
    <row r="687">
      <c r="A687">
        <f>'1 datos preparados'!A680</f>
        <v/>
      </c>
      <c r="B687" s="5">
        <f>'1 datos preparados'!U680</f>
        <v/>
      </c>
      <c r="C687">
        <f>'1 datos preparados'!B680</f>
        <v/>
      </c>
      <c r="D687" s="7">
        <f>'1 datos preparados'!C680</f>
        <v/>
      </c>
      <c r="E687" s="7">
        <f>'1 datos preparados'!D680</f>
        <v/>
      </c>
      <c r="F687" s="7">
        <f>'1 datos preparados'!E680</f>
        <v/>
      </c>
      <c r="G687" s="7">
        <f>'1 datos preparados'!F680</f>
        <v/>
      </c>
      <c r="H687" s="7">
        <f>'1 datos preparados'!G680</f>
        <v/>
      </c>
      <c r="I687" s="7">
        <f>'1 datos preparados'!H680</f>
        <v/>
      </c>
      <c r="J687" s="7">
        <f>'1 datos preparados'!I680</f>
        <v/>
      </c>
      <c r="K687" s="7">
        <f>'1 datos preparados'!J680</f>
        <v/>
      </c>
      <c r="L687" s="7">
        <f>'1 datos preparados'!K680</f>
        <v/>
      </c>
      <c r="M687" s="7">
        <f>'1 datos preparados'!L680</f>
        <v/>
      </c>
      <c r="N687" s="7">
        <f>'1 datos preparados'!M680</f>
        <v/>
      </c>
      <c r="O687" s="7">
        <f>'1 datos preparados'!N680</f>
        <v/>
      </c>
      <c r="P687" s="7">
        <f>'1 datos preparados'!O680</f>
        <v/>
      </c>
      <c r="Q687" s="7">
        <f>'1 datos preparados'!P680</f>
        <v/>
      </c>
      <c r="R687" s="7">
        <f>'1 datos preparados'!Q680</f>
        <v/>
      </c>
      <c r="S687" s="7">
        <f>'1 datos preparados'!R680</f>
        <v/>
      </c>
      <c r="T687" s="7">
        <f>'1 datos preparados'!S680</f>
        <v/>
      </c>
      <c r="U687" s="7">
        <f>'1 datos preparados'!T680</f>
        <v/>
      </c>
      <c r="V687" s="8">
        <f>$AE$12+D687*$AE$13+E687*$AE$14+F687*$AE$15+G687*$AE$16+H687*$AE$17+I687*$AE$18+J687*$AE$19+K687*$AE$20+L687*$AE$21+M687*$AE$22+N687*$AE$23+O687*$AE$24+P687*$AE$25+Q687*$AE$26+R687*$AE$27+S687*$AE$28+T687*$AE$29+U687*$AE$30</f>
        <v/>
      </c>
      <c r="W687" s="8">
        <f>1/(1+EXP(-V687))</f>
        <v/>
      </c>
      <c r="X687" s="9">
        <f>-IF(C687=1,LN(W687),LN(1-W687))</f>
        <v/>
      </c>
      <c r="Y687" s="8">
        <f>IF(C687=1,$AE$32,$AE$33)</f>
        <v/>
      </c>
      <c r="Z687" s="9">
        <f>Y687*X687</f>
        <v/>
      </c>
      <c r="AA687" s="10">
        <f>IF(W687&gt;$AE$34,1,0)</f>
        <v/>
      </c>
      <c r="AB687">
        <f>IF(AA687=C687,1,0)</f>
        <v/>
      </c>
    </row>
    <row r="688">
      <c r="A688">
        <f>'1 datos preparados'!A681</f>
        <v/>
      </c>
      <c r="B688" s="5">
        <f>'1 datos preparados'!U681</f>
        <v/>
      </c>
      <c r="C688">
        <f>'1 datos preparados'!B681</f>
        <v/>
      </c>
      <c r="D688" s="7">
        <f>'1 datos preparados'!C681</f>
        <v/>
      </c>
      <c r="E688" s="7">
        <f>'1 datos preparados'!D681</f>
        <v/>
      </c>
      <c r="F688" s="7">
        <f>'1 datos preparados'!E681</f>
        <v/>
      </c>
      <c r="G688" s="7">
        <f>'1 datos preparados'!F681</f>
        <v/>
      </c>
      <c r="H688" s="7">
        <f>'1 datos preparados'!G681</f>
        <v/>
      </c>
      <c r="I688" s="7">
        <f>'1 datos preparados'!H681</f>
        <v/>
      </c>
      <c r="J688" s="7">
        <f>'1 datos preparados'!I681</f>
        <v/>
      </c>
      <c r="K688" s="7">
        <f>'1 datos preparados'!J681</f>
        <v/>
      </c>
      <c r="L688" s="7">
        <f>'1 datos preparados'!K681</f>
        <v/>
      </c>
      <c r="M688" s="7">
        <f>'1 datos preparados'!L681</f>
        <v/>
      </c>
      <c r="N688" s="7">
        <f>'1 datos preparados'!M681</f>
        <v/>
      </c>
      <c r="O688" s="7">
        <f>'1 datos preparados'!N681</f>
        <v/>
      </c>
      <c r="P688" s="7">
        <f>'1 datos preparados'!O681</f>
        <v/>
      </c>
      <c r="Q688" s="7">
        <f>'1 datos preparados'!P681</f>
        <v/>
      </c>
      <c r="R688" s="7">
        <f>'1 datos preparados'!Q681</f>
        <v/>
      </c>
      <c r="S688" s="7">
        <f>'1 datos preparados'!R681</f>
        <v/>
      </c>
      <c r="T688" s="7">
        <f>'1 datos preparados'!S681</f>
        <v/>
      </c>
      <c r="U688" s="7">
        <f>'1 datos preparados'!T681</f>
        <v/>
      </c>
      <c r="V688" s="8">
        <f>$AE$12+D688*$AE$13+E688*$AE$14+F688*$AE$15+G688*$AE$16+H688*$AE$17+I688*$AE$18+J688*$AE$19+K688*$AE$20+L688*$AE$21+M688*$AE$22+N688*$AE$23+O688*$AE$24+P688*$AE$25+Q688*$AE$26+R688*$AE$27+S688*$AE$28+T688*$AE$29+U688*$AE$30</f>
        <v/>
      </c>
      <c r="W688" s="8">
        <f>1/(1+EXP(-V688))</f>
        <v/>
      </c>
      <c r="X688" s="9">
        <f>-IF(C688=1,LN(W688),LN(1-W688))</f>
        <v/>
      </c>
      <c r="Y688" s="8">
        <f>IF(C688=1,$AE$32,$AE$33)</f>
        <v/>
      </c>
      <c r="Z688" s="9">
        <f>Y688*X688</f>
        <v/>
      </c>
      <c r="AA688" s="10">
        <f>IF(W688&gt;$AE$34,1,0)</f>
        <v/>
      </c>
      <c r="AB688">
        <f>IF(AA688=C688,1,0)</f>
        <v/>
      </c>
    </row>
    <row r="689">
      <c r="A689">
        <f>'1 datos preparados'!A682</f>
        <v/>
      </c>
      <c r="B689" s="5">
        <f>'1 datos preparados'!U682</f>
        <v/>
      </c>
      <c r="C689">
        <f>'1 datos preparados'!B682</f>
        <v/>
      </c>
      <c r="D689" s="7">
        <f>'1 datos preparados'!C682</f>
        <v/>
      </c>
      <c r="E689" s="7">
        <f>'1 datos preparados'!D682</f>
        <v/>
      </c>
      <c r="F689" s="7">
        <f>'1 datos preparados'!E682</f>
        <v/>
      </c>
      <c r="G689" s="7">
        <f>'1 datos preparados'!F682</f>
        <v/>
      </c>
      <c r="H689" s="7">
        <f>'1 datos preparados'!G682</f>
        <v/>
      </c>
      <c r="I689" s="7">
        <f>'1 datos preparados'!H682</f>
        <v/>
      </c>
      <c r="J689" s="7">
        <f>'1 datos preparados'!I682</f>
        <v/>
      </c>
      <c r="K689" s="7">
        <f>'1 datos preparados'!J682</f>
        <v/>
      </c>
      <c r="L689" s="7">
        <f>'1 datos preparados'!K682</f>
        <v/>
      </c>
      <c r="M689" s="7">
        <f>'1 datos preparados'!L682</f>
        <v/>
      </c>
      <c r="N689" s="7">
        <f>'1 datos preparados'!M682</f>
        <v/>
      </c>
      <c r="O689" s="7">
        <f>'1 datos preparados'!N682</f>
        <v/>
      </c>
      <c r="P689" s="7">
        <f>'1 datos preparados'!O682</f>
        <v/>
      </c>
      <c r="Q689" s="7">
        <f>'1 datos preparados'!P682</f>
        <v/>
      </c>
      <c r="R689" s="7">
        <f>'1 datos preparados'!Q682</f>
        <v/>
      </c>
      <c r="S689" s="7">
        <f>'1 datos preparados'!R682</f>
        <v/>
      </c>
      <c r="T689" s="7">
        <f>'1 datos preparados'!S682</f>
        <v/>
      </c>
      <c r="U689" s="7">
        <f>'1 datos preparados'!T682</f>
        <v/>
      </c>
      <c r="V689" s="8">
        <f>$AE$12+D689*$AE$13+E689*$AE$14+F689*$AE$15+G689*$AE$16+H689*$AE$17+I689*$AE$18+J689*$AE$19+K689*$AE$20+L689*$AE$21+M689*$AE$22+N689*$AE$23+O689*$AE$24+P689*$AE$25+Q689*$AE$26+R689*$AE$27+S689*$AE$28+T689*$AE$29+U689*$AE$30</f>
        <v/>
      </c>
      <c r="W689" s="8">
        <f>1/(1+EXP(-V689))</f>
        <v/>
      </c>
      <c r="X689" s="9">
        <f>-IF(C689=1,LN(W689),LN(1-W689))</f>
        <v/>
      </c>
      <c r="Y689" s="8">
        <f>IF(C689=1,$AE$32,$AE$33)</f>
        <v/>
      </c>
      <c r="Z689" s="9">
        <f>Y689*X689</f>
        <v/>
      </c>
      <c r="AA689" s="10">
        <f>IF(W689&gt;$AE$34,1,0)</f>
        <v/>
      </c>
      <c r="AB689">
        <f>IF(AA689=C689,1,0)</f>
        <v/>
      </c>
    </row>
    <row r="690">
      <c r="A690">
        <f>'1 datos preparados'!A683</f>
        <v/>
      </c>
      <c r="B690" s="5">
        <f>'1 datos preparados'!U683</f>
        <v/>
      </c>
      <c r="C690">
        <f>'1 datos preparados'!B683</f>
        <v/>
      </c>
      <c r="D690" s="7">
        <f>'1 datos preparados'!C683</f>
        <v/>
      </c>
      <c r="E690" s="7">
        <f>'1 datos preparados'!D683</f>
        <v/>
      </c>
      <c r="F690" s="7">
        <f>'1 datos preparados'!E683</f>
        <v/>
      </c>
      <c r="G690" s="7">
        <f>'1 datos preparados'!F683</f>
        <v/>
      </c>
      <c r="H690" s="7">
        <f>'1 datos preparados'!G683</f>
        <v/>
      </c>
      <c r="I690" s="7">
        <f>'1 datos preparados'!H683</f>
        <v/>
      </c>
      <c r="J690" s="7">
        <f>'1 datos preparados'!I683</f>
        <v/>
      </c>
      <c r="K690" s="7">
        <f>'1 datos preparados'!J683</f>
        <v/>
      </c>
      <c r="L690" s="7">
        <f>'1 datos preparados'!K683</f>
        <v/>
      </c>
      <c r="M690" s="7">
        <f>'1 datos preparados'!L683</f>
        <v/>
      </c>
      <c r="N690" s="7">
        <f>'1 datos preparados'!M683</f>
        <v/>
      </c>
      <c r="O690" s="7">
        <f>'1 datos preparados'!N683</f>
        <v/>
      </c>
      <c r="P690" s="7">
        <f>'1 datos preparados'!O683</f>
        <v/>
      </c>
      <c r="Q690" s="7">
        <f>'1 datos preparados'!P683</f>
        <v/>
      </c>
      <c r="R690" s="7">
        <f>'1 datos preparados'!Q683</f>
        <v/>
      </c>
      <c r="S690" s="7">
        <f>'1 datos preparados'!R683</f>
        <v/>
      </c>
      <c r="T690" s="7">
        <f>'1 datos preparados'!S683</f>
        <v/>
      </c>
      <c r="U690" s="7">
        <f>'1 datos preparados'!T683</f>
        <v/>
      </c>
      <c r="V690" s="8">
        <f>$AE$12+D690*$AE$13+E690*$AE$14+F690*$AE$15+G690*$AE$16+H690*$AE$17+I690*$AE$18+J690*$AE$19+K690*$AE$20+L690*$AE$21+M690*$AE$22+N690*$AE$23+O690*$AE$24+P690*$AE$25+Q690*$AE$26+R690*$AE$27+S690*$AE$28+T690*$AE$29+U690*$AE$30</f>
        <v/>
      </c>
      <c r="W690" s="8">
        <f>1/(1+EXP(-V690))</f>
        <v/>
      </c>
      <c r="X690" s="9">
        <f>-IF(C690=1,LN(W690),LN(1-W690))</f>
        <v/>
      </c>
      <c r="Y690" s="8">
        <f>IF(C690=1,$AE$32,$AE$33)</f>
        <v/>
      </c>
      <c r="Z690" s="9">
        <f>Y690*X690</f>
        <v/>
      </c>
      <c r="AA690" s="10">
        <f>IF(W690&gt;$AE$34,1,0)</f>
        <v/>
      </c>
      <c r="AB690">
        <f>IF(AA690=C690,1,0)</f>
        <v/>
      </c>
    </row>
    <row r="691">
      <c r="A691">
        <f>'1 datos preparados'!A684</f>
        <v/>
      </c>
      <c r="B691" s="5">
        <f>'1 datos preparados'!U684</f>
        <v/>
      </c>
      <c r="C691">
        <f>'1 datos preparados'!B684</f>
        <v/>
      </c>
      <c r="D691" s="7">
        <f>'1 datos preparados'!C684</f>
        <v/>
      </c>
      <c r="E691" s="7">
        <f>'1 datos preparados'!D684</f>
        <v/>
      </c>
      <c r="F691" s="7">
        <f>'1 datos preparados'!E684</f>
        <v/>
      </c>
      <c r="G691" s="7">
        <f>'1 datos preparados'!F684</f>
        <v/>
      </c>
      <c r="H691" s="7">
        <f>'1 datos preparados'!G684</f>
        <v/>
      </c>
      <c r="I691" s="7">
        <f>'1 datos preparados'!H684</f>
        <v/>
      </c>
      <c r="J691" s="7">
        <f>'1 datos preparados'!I684</f>
        <v/>
      </c>
      <c r="K691" s="7">
        <f>'1 datos preparados'!J684</f>
        <v/>
      </c>
      <c r="L691" s="7">
        <f>'1 datos preparados'!K684</f>
        <v/>
      </c>
      <c r="M691" s="7">
        <f>'1 datos preparados'!L684</f>
        <v/>
      </c>
      <c r="N691" s="7">
        <f>'1 datos preparados'!M684</f>
        <v/>
      </c>
      <c r="O691" s="7">
        <f>'1 datos preparados'!N684</f>
        <v/>
      </c>
      <c r="P691" s="7">
        <f>'1 datos preparados'!O684</f>
        <v/>
      </c>
      <c r="Q691" s="7">
        <f>'1 datos preparados'!P684</f>
        <v/>
      </c>
      <c r="R691" s="7">
        <f>'1 datos preparados'!Q684</f>
        <v/>
      </c>
      <c r="S691" s="7">
        <f>'1 datos preparados'!R684</f>
        <v/>
      </c>
      <c r="T691" s="7">
        <f>'1 datos preparados'!S684</f>
        <v/>
      </c>
      <c r="U691" s="7">
        <f>'1 datos preparados'!T684</f>
        <v/>
      </c>
      <c r="V691" s="8">
        <f>$AE$12+D691*$AE$13+E691*$AE$14+F691*$AE$15+G691*$AE$16+H691*$AE$17+I691*$AE$18+J691*$AE$19+K691*$AE$20+L691*$AE$21+M691*$AE$22+N691*$AE$23+O691*$AE$24+P691*$AE$25+Q691*$AE$26+R691*$AE$27+S691*$AE$28+T691*$AE$29+U691*$AE$30</f>
        <v/>
      </c>
      <c r="W691" s="8">
        <f>1/(1+EXP(-V691))</f>
        <v/>
      </c>
      <c r="X691" s="9">
        <f>-IF(C691=1,LN(W691),LN(1-W691))</f>
        <v/>
      </c>
      <c r="Y691" s="8">
        <f>IF(C691=1,$AE$32,$AE$33)</f>
        <v/>
      </c>
      <c r="Z691" s="9">
        <f>Y691*X691</f>
        <v/>
      </c>
      <c r="AA691" s="10">
        <f>IF(W691&gt;$AE$34,1,0)</f>
        <v/>
      </c>
      <c r="AB691">
        <f>IF(AA691=C691,1,0)</f>
        <v/>
      </c>
    </row>
    <row r="692">
      <c r="A692">
        <f>'1 datos preparados'!A685</f>
        <v/>
      </c>
      <c r="B692" s="5">
        <f>'1 datos preparados'!U685</f>
        <v/>
      </c>
      <c r="C692">
        <f>'1 datos preparados'!B685</f>
        <v/>
      </c>
      <c r="D692" s="7">
        <f>'1 datos preparados'!C685</f>
        <v/>
      </c>
      <c r="E692" s="7">
        <f>'1 datos preparados'!D685</f>
        <v/>
      </c>
      <c r="F692" s="7">
        <f>'1 datos preparados'!E685</f>
        <v/>
      </c>
      <c r="G692" s="7">
        <f>'1 datos preparados'!F685</f>
        <v/>
      </c>
      <c r="H692" s="7">
        <f>'1 datos preparados'!G685</f>
        <v/>
      </c>
      <c r="I692" s="7">
        <f>'1 datos preparados'!H685</f>
        <v/>
      </c>
      <c r="J692" s="7">
        <f>'1 datos preparados'!I685</f>
        <v/>
      </c>
      <c r="K692" s="7">
        <f>'1 datos preparados'!J685</f>
        <v/>
      </c>
      <c r="L692" s="7">
        <f>'1 datos preparados'!K685</f>
        <v/>
      </c>
      <c r="M692" s="7">
        <f>'1 datos preparados'!L685</f>
        <v/>
      </c>
      <c r="N692" s="7">
        <f>'1 datos preparados'!M685</f>
        <v/>
      </c>
      <c r="O692" s="7">
        <f>'1 datos preparados'!N685</f>
        <v/>
      </c>
      <c r="P692" s="7">
        <f>'1 datos preparados'!O685</f>
        <v/>
      </c>
      <c r="Q692" s="7">
        <f>'1 datos preparados'!P685</f>
        <v/>
      </c>
      <c r="R692" s="7">
        <f>'1 datos preparados'!Q685</f>
        <v/>
      </c>
      <c r="S692" s="7">
        <f>'1 datos preparados'!R685</f>
        <v/>
      </c>
      <c r="T692" s="7">
        <f>'1 datos preparados'!S685</f>
        <v/>
      </c>
      <c r="U692" s="7">
        <f>'1 datos preparados'!T685</f>
        <v/>
      </c>
      <c r="V692" s="8">
        <f>$AE$12+D692*$AE$13+E692*$AE$14+F692*$AE$15+G692*$AE$16+H692*$AE$17+I692*$AE$18+J692*$AE$19+K692*$AE$20+L692*$AE$21+M692*$AE$22+N692*$AE$23+O692*$AE$24+P692*$AE$25+Q692*$AE$26+R692*$AE$27+S692*$AE$28+T692*$AE$29+U692*$AE$30</f>
        <v/>
      </c>
      <c r="W692" s="8">
        <f>1/(1+EXP(-V692))</f>
        <v/>
      </c>
      <c r="X692" s="9">
        <f>-IF(C692=1,LN(W692),LN(1-W692))</f>
        <v/>
      </c>
      <c r="Y692" s="8">
        <f>IF(C692=1,$AE$32,$AE$33)</f>
        <v/>
      </c>
      <c r="Z692" s="9">
        <f>Y692*X692</f>
        <v/>
      </c>
      <c r="AA692" s="10">
        <f>IF(W692&gt;$AE$34,1,0)</f>
        <v/>
      </c>
      <c r="AB692">
        <f>IF(AA692=C692,1,0)</f>
        <v/>
      </c>
    </row>
    <row r="693">
      <c r="A693">
        <f>'1 datos preparados'!A686</f>
        <v/>
      </c>
      <c r="B693" s="5">
        <f>'1 datos preparados'!U686</f>
        <v/>
      </c>
      <c r="C693">
        <f>'1 datos preparados'!B686</f>
        <v/>
      </c>
      <c r="D693" s="7">
        <f>'1 datos preparados'!C686</f>
        <v/>
      </c>
      <c r="E693" s="7">
        <f>'1 datos preparados'!D686</f>
        <v/>
      </c>
      <c r="F693" s="7">
        <f>'1 datos preparados'!E686</f>
        <v/>
      </c>
      <c r="G693" s="7">
        <f>'1 datos preparados'!F686</f>
        <v/>
      </c>
      <c r="H693" s="7">
        <f>'1 datos preparados'!G686</f>
        <v/>
      </c>
      <c r="I693" s="7">
        <f>'1 datos preparados'!H686</f>
        <v/>
      </c>
      <c r="J693" s="7">
        <f>'1 datos preparados'!I686</f>
        <v/>
      </c>
      <c r="K693" s="7">
        <f>'1 datos preparados'!J686</f>
        <v/>
      </c>
      <c r="L693" s="7">
        <f>'1 datos preparados'!K686</f>
        <v/>
      </c>
      <c r="M693" s="7">
        <f>'1 datos preparados'!L686</f>
        <v/>
      </c>
      <c r="N693" s="7">
        <f>'1 datos preparados'!M686</f>
        <v/>
      </c>
      <c r="O693" s="7">
        <f>'1 datos preparados'!N686</f>
        <v/>
      </c>
      <c r="P693" s="7">
        <f>'1 datos preparados'!O686</f>
        <v/>
      </c>
      <c r="Q693" s="7">
        <f>'1 datos preparados'!P686</f>
        <v/>
      </c>
      <c r="R693" s="7">
        <f>'1 datos preparados'!Q686</f>
        <v/>
      </c>
      <c r="S693" s="7">
        <f>'1 datos preparados'!R686</f>
        <v/>
      </c>
      <c r="T693" s="7">
        <f>'1 datos preparados'!S686</f>
        <v/>
      </c>
      <c r="U693" s="7">
        <f>'1 datos preparados'!T686</f>
        <v/>
      </c>
      <c r="V693" s="8">
        <f>$AE$12+D693*$AE$13+E693*$AE$14+F693*$AE$15+G693*$AE$16+H693*$AE$17+I693*$AE$18+J693*$AE$19+K693*$AE$20+L693*$AE$21+M693*$AE$22+N693*$AE$23+O693*$AE$24+P693*$AE$25+Q693*$AE$26+R693*$AE$27+S693*$AE$28+T693*$AE$29+U693*$AE$30</f>
        <v/>
      </c>
      <c r="W693" s="8">
        <f>1/(1+EXP(-V693))</f>
        <v/>
      </c>
      <c r="X693" s="9">
        <f>-IF(C693=1,LN(W693),LN(1-W693))</f>
        <v/>
      </c>
      <c r="Y693" s="8">
        <f>IF(C693=1,$AE$32,$AE$33)</f>
        <v/>
      </c>
      <c r="Z693" s="9">
        <f>Y693*X693</f>
        <v/>
      </c>
      <c r="AA693" s="10">
        <f>IF(W693&gt;$AE$34,1,0)</f>
        <v/>
      </c>
      <c r="AB693">
        <f>IF(AA693=C693,1,0)</f>
        <v/>
      </c>
    </row>
    <row r="694">
      <c r="A694">
        <f>'1 datos preparados'!A687</f>
        <v/>
      </c>
      <c r="B694" s="5">
        <f>'1 datos preparados'!U687</f>
        <v/>
      </c>
      <c r="C694">
        <f>'1 datos preparados'!B687</f>
        <v/>
      </c>
      <c r="D694" s="7">
        <f>'1 datos preparados'!C687</f>
        <v/>
      </c>
      <c r="E694" s="7">
        <f>'1 datos preparados'!D687</f>
        <v/>
      </c>
      <c r="F694" s="7">
        <f>'1 datos preparados'!E687</f>
        <v/>
      </c>
      <c r="G694" s="7">
        <f>'1 datos preparados'!F687</f>
        <v/>
      </c>
      <c r="H694" s="7">
        <f>'1 datos preparados'!G687</f>
        <v/>
      </c>
      <c r="I694" s="7">
        <f>'1 datos preparados'!H687</f>
        <v/>
      </c>
      <c r="J694" s="7">
        <f>'1 datos preparados'!I687</f>
        <v/>
      </c>
      <c r="K694" s="7">
        <f>'1 datos preparados'!J687</f>
        <v/>
      </c>
      <c r="L694" s="7">
        <f>'1 datos preparados'!K687</f>
        <v/>
      </c>
      <c r="M694" s="7">
        <f>'1 datos preparados'!L687</f>
        <v/>
      </c>
      <c r="N694" s="7">
        <f>'1 datos preparados'!M687</f>
        <v/>
      </c>
      <c r="O694" s="7">
        <f>'1 datos preparados'!N687</f>
        <v/>
      </c>
      <c r="P694" s="7">
        <f>'1 datos preparados'!O687</f>
        <v/>
      </c>
      <c r="Q694" s="7">
        <f>'1 datos preparados'!P687</f>
        <v/>
      </c>
      <c r="R694" s="7">
        <f>'1 datos preparados'!Q687</f>
        <v/>
      </c>
      <c r="S694" s="7">
        <f>'1 datos preparados'!R687</f>
        <v/>
      </c>
      <c r="T694" s="7">
        <f>'1 datos preparados'!S687</f>
        <v/>
      </c>
      <c r="U694" s="7">
        <f>'1 datos preparados'!T687</f>
        <v/>
      </c>
      <c r="V694" s="8">
        <f>$AE$12+D694*$AE$13+E694*$AE$14+F694*$AE$15+G694*$AE$16+H694*$AE$17+I694*$AE$18+J694*$AE$19+K694*$AE$20+L694*$AE$21+M694*$AE$22+N694*$AE$23+O694*$AE$24+P694*$AE$25+Q694*$AE$26+R694*$AE$27+S694*$AE$28+T694*$AE$29+U694*$AE$30</f>
        <v/>
      </c>
      <c r="W694" s="8">
        <f>1/(1+EXP(-V694))</f>
        <v/>
      </c>
      <c r="X694" s="9">
        <f>-IF(C694=1,LN(W694),LN(1-W694))</f>
        <v/>
      </c>
      <c r="Y694" s="8">
        <f>IF(C694=1,$AE$32,$AE$33)</f>
        <v/>
      </c>
      <c r="Z694" s="9">
        <f>Y694*X694</f>
        <v/>
      </c>
      <c r="AA694" s="10">
        <f>IF(W694&gt;$AE$34,1,0)</f>
        <v/>
      </c>
      <c r="AB694">
        <f>IF(AA694=C694,1,0)</f>
        <v/>
      </c>
    </row>
    <row r="695">
      <c r="A695">
        <f>'1 datos preparados'!A688</f>
        <v/>
      </c>
      <c r="B695" s="5">
        <f>'1 datos preparados'!U688</f>
        <v/>
      </c>
      <c r="C695">
        <f>'1 datos preparados'!B688</f>
        <v/>
      </c>
      <c r="D695" s="7">
        <f>'1 datos preparados'!C688</f>
        <v/>
      </c>
      <c r="E695" s="7">
        <f>'1 datos preparados'!D688</f>
        <v/>
      </c>
      <c r="F695" s="7">
        <f>'1 datos preparados'!E688</f>
        <v/>
      </c>
      <c r="G695" s="7">
        <f>'1 datos preparados'!F688</f>
        <v/>
      </c>
      <c r="H695" s="7">
        <f>'1 datos preparados'!G688</f>
        <v/>
      </c>
      <c r="I695" s="7">
        <f>'1 datos preparados'!H688</f>
        <v/>
      </c>
      <c r="J695" s="7">
        <f>'1 datos preparados'!I688</f>
        <v/>
      </c>
      <c r="K695" s="7">
        <f>'1 datos preparados'!J688</f>
        <v/>
      </c>
      <c r="L695" s="7">
        <f>'1 datos preparados'!K688</f>
        <v/>
      </c>
      <c r="M695" s="7">
        <f>'1 datos preparados'!L688</f>
        <v/>
      </c>
      <c r="N695" s="7">
        <f>'1 datos preparados'!M688</f>
        <v/>
      </c>
      <c r="O695" s="7">
        <f>'1 datos preparados'!N688</f>
        <v/>
      </c>
      <c r="P695" s="7">
        <f>'1 datos preparados'!O688</f>
        <v/>
      </c>
      <c r="Q695" s="7">
        <f>'1 datos preparados'!P688</f>
        <v/>
      </c>
      <c r="R695" s="7">
        <f>'1 datos preparados'!Q688</f>
        <v/>
      </c>
      <c r="S695" s="7">
        <f>'1 datos preparados'!R688</f>
        <v/>
      </c>
      <c r="T695" s="7">
        <f>'1 datos preparados'!S688</f>
        <v/>
      </c>
      <c r="U695" s="7">
        <f>'1 datos preparados'!T688</f>
        <v/>
      </c>
      <c r="V695" s="8">
        <f>$AE$12+D695*$AE$13+E695*$AE$14+F695*$AE$15+G695*$AE$16+H695*$AE$17+I695*$AE$18+J695*$AE$19+K695*$AE$20+L695*$AE$21+M695*$AE$22+N695*$AE$23+O695*$AE$24+P695*$AE$25+Q695*$AE$26+R695*$AE$27+S695*$AE$28+T695*$AE$29+U695*$AE$30</f>
        <v/>
      </c>
      <c r="W695" s="8">
        <f>1/(1+EXP(-V695))</f>
        <v/>
      </c>
      <c r="X695" s="9">
        <f>-IF(C695=1,LN(W695),LN(1-W695))</f>
        <v/>
      </c>
      <c r="Y695" s="8">
        <f>IF(C695=1,$AE$32,$AE$33)</f>
        <v/>
      </c>
      <c r="Z695" s="9">
        <f>Y695*X695</f>
        <v/>
      </c>
      <c r="AA695" s="10">
        <f>IF(W695&gt;$AE$34,1,0)</f>
        <v/>
      </c>
      <c r="AB695">
        <f>IF(AA695=C695,1,0)</f>
        <v/>
      </c>
    </row>
    <row r="696">
      <c r="A696">
        <f>'1 datos preparados'!A689</f>
        <v/>
      </c>
      <c r="B696" s="5">
        <f>'1 datos preparados'!U689</f>
        <v/>
      </c>
      <c r="C696">
        <f>'1 datos preparados'!B689</f>
        <v/>
      </c>
      <c r="D696" s="7">
        <f>'1 datos preparados'!C689</f>
        <v/>
      </c>
      <c r="E696" s="7">
        <f>'1 datos preparados'!D689</f>
        <v/>
      </c>
      <c r="F696" s="7">
        <f>'1 datos preparados'!E689</f>
        <v/>
      </c>
      <c r="G696" s="7">
        <f>'1 datos preparados'!F689</f>
        <v/>
      </c>
      <c r="H696" s="7">
        <f>'1 datos preparados'!G689</f>
        <v/>
      </c>
      <c r="I696" s="7">
        <f>'1 datos preparados'!H689</f>
        <v/>
      </c>
      <c r="J696" s="7">
        <f>'1 datos preparados'!I689</f>
        <v/>
      </c>
      <c r="K696" s="7">
        <f>'1 datos preparados'!J689</f>
        <v/>
      </c>
      <c r="L696" s="7">
        <f>'1 datos preparados'!K689</f>
        <v/>
      </c>
      <c r="M696" s="7">
        <f>'1 datos preparados'!L689</f>
        <v/>
      </c>
      <c r="N696" s="7">
        <f>'1 datos preparados'!M689</f>
        <v/>
      </c>
      <c r="O696" s="7">
        <f>'1 datos preparados'!N689</f>
        <v/>
      </c>
      <c r="P696" s="7">
        <f>'1 datos preparados'!O689</f>
        <v/>
      </c>
      <c r="Q696" s="7">
        <f>'1 datos preparados'!P689</f>
        <v/>
      </c>
      <c r="R696" s="7">
        <f>'1 datos preparados'!Q689</f>
        <v/>
      </c>
      <c r="S696" s="7">
        <f>'1 datos preparados'!R689</f>
        <v/>
      </c>
      <c r="T696" s="7">
        <f>'1 datos preparados'!S689</f>
        <v/>
      </c>
      <c r="U696" s="7">
        <f>'1 datos preparados'!T689</f>
        <v/>
      </c>
      <c r="V696" s="8">
        <f>$AE$12+D696*$AE$13+E696*$AE$14+F696*$AE$15+G696*$AE$16+H696*$AE$17+I696*$AE$18+J696*$AE$19+K696*$AE$20+L696*$AE$21+M696*$AE$22+N696*$AE$23+O696*$AE$24+P696*$AE$25+Q696*$AE$26+R696*$AE$27+S696*$AE$28+T696*$AE$29+U696*$AE$30</f>
        <v/>
      </c>
      <c r="W696" s="8">
        <f>1/(1+EXP(-V696))</f>
        <v/>
      </c>
      <c r="X696" s="9">
        <f>-IF(C696=1,LN(W696),LN(1-W696))</f>
        <v/>
      </c>
      <c r="Y696" s="8">
        <f>IF(C696=1,$AE$32,$AE$33)</f>
        <v/>
      </c>
      <c r="Z696" s="9">
        <f>Y696*X696</f>
        <v/>
      </c>
      <c r="AA696" s="10">
        <f>IF(W696&gt;$AE$34,1,0)</f>
        <v/>
      </c>
      <c r="AB696">
        <f>IF(AA696=C696,1,0)</f>
        <v/>
      </c>
    </row>
    <row r="697">
      <c r="A697">
        <f>'1 datos preparados'!A690</f>
        <v/>
      </c>
      <c r="B697" s="5">
        <f>'1 datos preparados'!U690</f>
        <v/>
      </c>
      <c r="C697">
        <f>'1 datos preparados'!B690</f>
        <v/>
      </c>
      <c r="D697" s="7">
        <f>'1 datos preparados'!C690</f>
        <v/>
      </c>
      <c r="E697" s="7">
        <f>'1 datos preparados'!D690</f>
        <v/>
      </c>
      <c r="F697" s="7">
        <f>'1 datos preparados'!E690</f>
        <v/>
      </c>
      <c r="G697" s="7">
        <f>'1 datos preparados'!F690</f>
        <v/>
      </c>
      <c r="H697" s="7">
        <f>'1 datos preparados'!G690</f>
        <v/>
      </c>
      <c r="I697" s="7">
        <f>'1 datos preparados'!H690</f>
        <v/>
      </c>
      <c r="J697" s="7">
        <f>'1 datos preparados'!I690</f>
        <v/>
      </c>
      <c r="K697" s="7">
        <f>'1 datos preparados'!J690</f>
        <v/>
      </c>
      <c r="L697" s="7">
        <f>'1 datos preparados'!K690</f>
        <v/>
      </c>
      <c r="M697" s="7">
        <f>'1 datos preparados'!L690</f>
        <v/>
      </c>
      <c r="N697" s="7">
        <f>'1 datos preparados'!M690</f>
        <v/>
      </c>
      <c r="O697" s="7">
        <f>'1 datos preparados'!N690</f>
        <v/>
      </c>
      <c r="P697" s="7">
        <f>'1 datos preparados'!O690</f>
        <v/>
      </c>
      <c r="Q697" s="7">
        <f>'1 datos preparados'!P690</f>
        <v/>
      </c>
      <c r="R697" s="7">
        <f>'1 datos preparados'!Q690</f>
        <v/>
      </c>
      <c r="S697" s="7">
        <f>'1 datos preparados'!R690</f>
        <v/>
      </c>
      <c r="T697" s="7">
        <f>'1 datos preparados'!S690</f>
        <v/>
      </c>
      <c r="U697" s="7">
        <f>'1 datos preparados'!T690</f>
        <v/>
      </c>
      <c r="V697" s="8">
        <f>$AE$12+D697*$AE$13+E697*$AE$14+F697*$AE$15+G697*$AE$16+H697*$AE$17+I697*$AE$18+J697*$AE$19+K697*$AE$20+L697*$AE$21+M697*$AE$22+N697*$AE$23+O697*$AE$24+P697*$AE$25+Q697*$AE$26+R697*$AE$27+S697*$AE$28+T697*$AE$29+U697*$AE$30</f>
        <v/>
      </c>
      <c r="W697" s="8">
        <f>1/(1+EXP(-V697))</f>
        <v/>
      </c>
      <c r="X697" s="9">
        <f>-IF(C697=1,LN(W697),LN(1-W697))</f>
        <v/>
      </c>
      <c r="Y697" s="8">
        <f>IF(C697=1,$AE$32,$AE$33)</f>
        <v/>
      </c>
      <c r="Z697" s="9">
        <f>Y697*X697</f>
        <v/>
      </c>
      <c r="AA697" s="10">
        <f>IF(W697&gt;$AE$34,1,0)</f>
        <v/>
      </c>
      <c r="AB697">
        <f>IF(AA697=C697,1,0)</f>
        <v/>
      </c>
    </row>
    <row r="698">
      <c r="A698">
        <f>'1 datos preparados'!A691</f>
        <v/>
      </c>
      <c r="B698" s="5">
        <f>'1 datos preparados'!U691</f>
        <v/>
      </c>
      <c r="C698">
        <f>'1 datos preparados'!B691</f>
        <v/>
      </c>
      <c r="D698" s="7">
        <f>'1 datos preparados'!C691</f>
        <v/>
      </c>
      <c r="E698" s="7">
        <f>'1 datos preparados'!D691</f>
        <v/>
      </c>
      <c r="F698" s="7">
        <f>'1 datos preparados'!E691</f>
        <v/>
      </c>
      <c r="G698" s="7">
        <f>'1 datos preparados'!F691</f>
        <v/>
      </c>
      <c r="H698" s="7">
        <f>'1 datos preparados'!G691</f>
        <v/>
      </c>
      <c r="I698" s="7">
        <f>'1 datos preparados'!H691</f>
        <v/>
      </c>
      <c r="J698" s="7">
        <f>'1 datos preparados'!I691</f>
        <v/>
      </c>
      <c r="K698" s="7">
        <f>'1 datos preparados'!J691</f>
        <v/>
      </c>
      <c r="L698" s="7">
        <f>'1 datos preparados'!K691</f>
        <v/>
      </c>
      <c r="M698" s="7">
        <f>'1 datos preparados'!L691</f>
        <v/>
      </c>
      <c r="N698" s="7">
        <f>'1 datos preparados'!M691</f>
        <v/>
      </c>
      <c r="O698" s="7">
        <f>'1 datos preparados'!N691</f>
        <v/>
      </c>
      <c r="P698" s="7">
        <f>'1 datos preparados'!O691</f>
        <v/>
      </c>
      <c r="Q698" s="7">
        <f>'1 datos preparados'!P691</f>
        <v/>
      </c>
      <c r="R698" s="7">
        <f>'1 datos preparados'!Q691</f>
        <v/>
      </c>
      <c r="S698" s="7">
        <f>'1 datos preparados'!R691</f>
        <v/>
      </c>
      <c r="T698" s="7">
        <f>'1 datos preparados'!S691</f>
        <v/>
      </c>
      <c r="U698" s="7">
        <f>'1 datos preparados'!T691</f>
        <v/>
      </c>
      <c r="V698" s="8">
        <f>$AE$12+D698*$AE$13+E698*$AE$14+F698*$AE$15+G698*$AE$16+H698*$AE$17+I698*$AE$18+J698*$AE$19+K698*$AE$20+L698*$AE$21+M698*$AE$22+N698*$AE$23+O698*$AE$24+P698*$AE$25+Q698*$AE$26+R698*$AE$27+S698*$AE$28+T698*$AE$29+U698*$AE$30</f>
        <v/>
      </c>
      <c r="W698" s="8">
        <f>1/(1+EXP(-V698))</f>
        <v/>
      </c>
      <c r="X698" s="9">
        <f>-IF(C698=1,LN(W698),LN(1-W698))</f>
        <v/>
      </c>
      <c r="Y698" s="8">
        <f>IF(C698=1,$AE$32,$AE$33)</f>
        <v/>
      </c>
      <c r="Z698" s="9">
        <f>Y698*X698</f>
        <v/>
      </c>
      <c r="AA698" s="10">
        <f>IF(W698&gt;$AE$34,1,0)</f>
        <v/>
      </c>
      <c r="AB698">
        <f>IF(AA698=C698,1,0)</f>
        <v/>
      </c>
    </row>
    <row r="699">
      <c r="A699">
        <f>'1 datos preparados'!A692</f>
        <v/>
      </c>
      <c r="B699" s="5">
        <f>'1 datos preparados'!U692</f>
        <v/>
      </c>
      <c r="C699">
        <f>'1 datos preparados'!B692</f>
        <v/>
      </c>
      <c r="D699" s="7">
        <f>'1 datos preparados'!C692</f>
        <v/>
      </c>
      <c r="E699" s="7">
        <f>'1 datos preparados'!D692</f>
        <v/>
      </c>
      <c r="F699" s="7">
        <f>'1 datos preparados'!E692</f>
        <v/>
      </c>
      <c r="G699" s="7">
        <f>'1 datos preparados'!F692</f>
        <v/>
      </c>
      <c r="H699" s="7">
        <f>'1 datos preparados'!G692</f>
        <v/>
      </c>
      <c r="I699" s="7">
        <f>'1 datos preparados'!H692</f>
        <v/>
      </c>
      <c r="J699" s="7">
        <f>'1 datos preparados'!I692</f>
        <v/>
      </c>
      <c r="K699" s="7">
        <f>'1 datos preparados'!J692</f>
        <v/>
      </c>
      <c r="L699" s="7">
        <f>'1 datos preparados'!K692</f>
        <v/>
      </c>
      <c r="M699" s="7">
        <f>'1 datos preparados'!L692</f>
        <v/>
      </c>
      <c r="N699" s="7">
        <f>'1 datos preparados'!M692</f>
        <v/>
      </c>
      <c r="O699" s="7">
        <f>'1 datos preparados'!N692</f>
        <v/>
      </c>
      <c r="P699" s="7">
        <f>'1 datos preparados'!O692</f>
        <v/>
      </c>
      <c r="Q699" s="7">
        <f>'1 datos preparados'!P692</f>
        <v/>
      </c>
      <c r="R699" s="7">
        <f>'1 datos preparados'!Q692</f>
        <v/>
      </c>
      <c r="S699" s="7">
        <f>'1 datos preparados'!R692</f>
        <v/>
      </c>
      <c r="T699" s="7">
        <f>'1 datos preparados'!S692</f>
        <v/>
      </c>
      <c r="U699" s="7">
        <f>'1 datos preparados'!T692</f>
        <v/>
      </c>
      <c r="V699" s="8">
        <f>$AE$12+D699*$AE$13+E699*$AE$14+F699*$AE$15+G699*$AE$16+H699*$AE$17+I699*$AE$18+J699*$AE$19+K699*$AE$20+L699*$AE$21+M699*$AE$22+N699*$AE$23+O699*$AE$24+P699*$AE$25+Q699*$AE$26+R699*$AE$27+S699*$AE$28+T699*$AE$29+U699*$AE$30</f>
        <v/>
      </c>
      <c r="W699" s="8">
        <f>1/(1+EXP(-V699))</f>
        <v/>
      </c>
      <c r="X699" s="9">
        <f>-IF(C699=1,LN(W699),LN(1-W699))</f>
        <v/>
      </c>
      <c r="Y699" s="8">
        <f>IF(C699=1,$AE$32,$AE$33)</f>
        <v/>
      </c>
      <c r="Z699" s="9">
        <f>Y699*X699</f>
        <v/>
      </c>
      <c r="AA699" s="10">
        <f>IF(W699&gt;$AE$34,1,0)</f>
        <v/>
      </c>
      <c r="AB699">
        <f>IF(AA699=C699,1,0)</f>
        <v/>
      </c>
    </row>
    <row r="700">
      <c r="A700">
        <f>'1 datos preparados'!A693</f>
        <v/>
      </c>
      <c r="B700" s="5">
        <f>'1 datos preparados'!U693</f>
        <v/>
      </c>
      <c r="C700">
        <f>'1 datos preparados'!B693</f>
        <v/>
      </c>
      <c r="D700" s="7">
        <f>'1 datos preparados'!C693</f>
        <v/>
      </c>
      <c r="E700" s="7">
        <f>'1 datos preparados'!D693</f>
        <v/>
      </c>
      <c r="F700" s="7">
        <f>'1 datos preparados'!E693</f>
        <v/>
      </c>
      <c r="G700" s="7">
        <f>'1 datos preparados'!F693</f>
        <v/>
      </c>
      <c r="H700" s="7">
        <f>'1 datos preparados'!G693</f>
        <v/>
      </c>
      <c r="I700" s="7">
        <f>'1 datos preparados'!H693</f>
        <v/>
      </c>
      <c r="J700" s="7">
        <f>'1 datos preparados'!I693</f>
        <v/>
      </c>
      <c r="K700" s="7">
        <f>'1 datos preparados'!J693</f>
        <v/>
      </c>
      <c r="L700" s="7">
        <f>'1 datos preparados'!K693</f>
        <v/>
      </c>
      <c r="M700" s="7">
        <f>'1 datos preparados'!L693</f>
        <v/>
      </c>
      <c r="N700" s="7">
        <f>'1 datos preparados'!M693</f>
        <v/>
      </c>
      <c r="O700" s="7">
        <f>'1 datos preparados'!N693</f>
        <v/>
      </c>
      <c r="P700" s="7">
        <f>'1 datos preparados'!O693</f>
        <v/>
      </c>
      <c r="Q700" s="7">
        <f>'1 datos preparados'!P693</f>
        <v/>
      </c>
      <c r="R700" s="7">
        <f>'1 datos preparados'!Q693</f>
        <v/>
      </c>
      <c r="S700" s="7">
        <f>'1 datos preparados'!R693</f>
        <v/>
      </c>
      <c r="T700" s="7">
        <f>'1 datos preparados'!S693</f>
        <v/>
      </c>
      <c r="U700" s="7">
        <f>'1 datos preparados'!T693</f>
        <v/>
      </c>
      <c r="V700" s="8">
        <f>$AE$12+D700*$AE$13+E700*$AE$14+F700*$AE$15+G700*$AE$16+H700*$AE$17+I700*$AE$18+J700*$AE$19+K700*$AE$20+L700*$AE$21+M700*$AE$22+N700*$AE$23+O700*$AE$24+P700*$AE$25+Q700*$AE$26+R700*$AE$27+S700*$AE$28+T700*$AE$29+U700*$AE$30</f>
        <v/>
      </c>
      <c r="W700" s="8">
        <f>1/(1+EXP(-V700))</f>
        <v/>
      </c>
      <c r="X700" s="9">
        <f>-IF(C700=1,LN(W700),LN(1-W700))</f>
        <v/>
      </c>
      <c r="Y700" s="8">
        <f>IF(C700=1,$AE$32,$AE$33)</f>
        <v/>
      </c>
      <c r="Z700" s="9">
        <f>Y700*X700</f>
        <v/>
      </c>
      <c r="AA700" s="10">
        <f>IF(W700&gt;$AE$34,1,0)</f>
        <v/>
      </c>
      <c r="AB700">
        <f>IF(AA700=C700,1,0)</f>
        <v/>
      </c>
    </row>
    <row r="701">
      <c r="A701">
        <f>'1 datos preparados'!A694</f>
        <v/>
      </c>
      <c r="B701" s="5">
        <f>'1 datos preparados'!U694</f>
        <v/>
      </c>
      <c r="C701">
        <f>'1 datos preparados'!B694</f>
        <v/>
      </c>
      <c r="D701" s="7">
        <f>'1 datos preparados'!C694</f>
        <v/>
      </c>
      <c r="E701" s="7">
        <f>'1 datos preparados'!D694</f>
        <v/>
      </c>
      <c r="F701" s="7">
        <f>'1 datos preparados'!E694</f>
        <v/>
      </c>
      <c r="G701" s="7">
        <f>'1 datos preparados'!F694</f>
        <v/>
      </c>
      <c r="H701" s="7">
        <f>'1 datos preparados'!G694</f>
        <v/>
      </c>
      <c r="I701" s="7">
        <f>'1 datos preparados'!H694</f>
        <v/>
      </c>
      <c r="J701" s="7">
        <f>'1 datos preparados'!I694</f>
        <v/>
      </c>
      <c r="K701" s="7">
        <f>'1 datos preparados'!J694</f>
        <v/>
      </c>
      <c r="L701" s="7">
        <f>'1 datos preparados'!K694</f>
        <v/>
      </c>
      <c r="M701" s="7">
        <f>'1 datos preparados'!L694</f>
        <v/>
      </c>
      <c r="N701" s="7">
        <f>'1 datos preparados'!M694</f>
        <v/>
      </c>
      <c r="O701" s="7">
        <f>'1 datos preparados'!N694</f>
        <v/>
      </c>
      <c r="P701" s="7">
        <f>'1 datos preparados'!O694</f>
        <v/>
      </c>
      <c r="Q701" s="7">
        <f>'1 datos preparados'!P694</f>
        <v/>
      </c>
      <c r="R701" s="7">
        <f>'1 datos preparados'!Q694</f>
        <v/>
      </c>
      <c r="S701" s="7">
        <f>'1 datos preparados'!R694</f>
        <v/>
      </c>
      <c r="T701" s="7">
        <f>'1 datos preparados'!S694</f>
        <v/>
      </c>
      <c r="U701" s="7">
        <f>'1 datos preparados'!T694</f>
        <v/>
      </c>
      <c r="V701" s="8">
        <f>$AE$12+D701*$AE$13+E701*$AE$14+F701*$AE$15+G701*$AE$16+H701*$AE$17+I701*$AE$18+J701*$AE$19+K701*$AE$20+L701*$AE$21+M701*$AE$22+N701*$AE$23+O701*$AE$24+P701*$AE$25+Q701*$AE$26+R701*$AE$27+S701*$AE$28+T701*$AE$29+U701*$AE$30</f>
        <v/>
      </c>
      <c r="W701" s="8">
        <f>1/(1+EXP(-V701))</f>
        <v/>
      </c>
      <c r="X701" s="9">
        <f>-IF(C701=1,LN(W701),LN(1-W701))</f>
        <v/>
      </c>
      <c r="Y701" s="8">
        <f>IF(C701=1,$AE$32,$AE$33)</f>
        <v/>
      </c>
      <c r="Z701" s="9">
        <f>Y701*X701</f>
        <v/>
      </c>
      <c r="AA701" s="10">
        <f>IF(W701&gt;$AE$34,1,0)</f>
        <v/>
      </c>
      <c r="AB701">
        <f>IF(AA701=C701,1,0)</f>
        <v/>
      </c>
    </row>
    <row r="702">
      <c r="A702">
        <f>'1 datos preparados'!A695</f>
        <v/>
      </c>
      <c r="B702" s="5">
        <f>'1 datos preparados'!U695</f>
        <v/>
      </c>
      <c r="C702">
        <f>'1 datos preparados'!B695</f>
        <v/>
      </c>
      <c r="D702" s="7">
        <f>'1 datos preparados'!C695</f>
        <v/>
      </c>
      <c r="E702" s="7">
        <f>'1 datos preparados'!D695</f>
        <v/>
      </c>
      <c r="F702" s="7">
        <f>'1 datos preparados'!E695</f>
        <v/>
      </c>
      <c r="G702" s="7">
        <f>'1 datos preparados'!F695</f>
        <v/>
      </c>
      <c r="H702" s="7">
        <f>'1 datos preparados'!G695</f>
        <v/>
      </c>
      <c r="I702" s="7">
        <f>'1 datos preparados'!H695</f>
        <v/>
      </c>
      <c r="J702" s="7">
        <f>'1 datos preparados'!I695</f>
        <v/>
      </c>
      <c r="K702" s="7">
        <f>'1 datos preparados'!J695</f>
        <v/>
      </c>
      <c r="L702" s="7">
        <f>'1 datos preparados'!K695</f>
        <v/>
      </c>
      <c r="M702" s="7">
        <f>'1 datos preparados'!L695</f>
        <v/>
      </c>
      <c r="N702" s="7">
        <f>'1 datos preparados'!M695</f>
        <v/>
      </c>
      <c r="O702" s="7">
        <f>'1 datos preparados'!N695</f>
        <v/>
      </c>
      <c r="P702" s="7">
        <f>'1 datos preparados'!O695</f>
        <v/>
      </c>
      <c r="Q702" s="7">
        <f>'1 datos preparados'!P695</f>
        <v/>
      </c>
      <c r="R702" s="7">
        <f>'1 datos preparados'!Q695</f>
        <v/>
      </c>
      <c r="S702" s="7">
        <f>'1 datos preparados'!R695</f>
        <v/>
      </c>
      <c r="T702" s="7">
        <f>'1 datos preparados'!S695</f>
        <v/>
      </c>
      <c r="U702" s="7">
        <f>'1 datos preparados'!T695</f>
        <v/>
      </c>
      <c r="V702" s="8">
        <f>$AE$12+D702*$AE$13+E702*$AE$14+F702*$AE$15+G702*$AE$16+H702*$AE$17+I702*$AE$18+J702*$AE$19+K702*$AE$20+L702*$AE$21+M702*$AE$22+N702*$AE$23+O702*$AE$24+P702*$AE$25+Q702*$AE$26+R702*$AE$27+S702*$AE$28+T702*$AE$29+U702*$AE$30</f>
        <v/>
      </c>
      <c r="W702" s="8">
        <f>1/(1+EXP(-V702))</f>
        <v/>
      </c>
      <c r="X702" s="9">
        <f>-IF(C702=1,LN(W702),LN(1-W702))</f>
        <v/>
      </c>
      <c r="Y702" s="8">
        <f>IF(C702=1,$AE$32,$AE$33)</f>
        <v/>
      </c>
      <c r="Z702" s="9">
        <f>Y702*X702</f>
        <v/>
      </c>
      <c r="AA702" s="10">
        <f>IF(W702&gt;$AE$34,1,0)</f>
        <v/>
      </c>
      <c r="AB702">
        <f>IF(AA702=C702,1,0)</f>
        <v/>
      </c>
    </row>
    <row r="703">
      <c r="A703">
        <f>'1 datos preparados'!A696</f>
        <v/>
      </c>
      <c r="B703" s="5">
        <f>'1 datos preparados'!U696</f>
        <v/>
      </c>
      <c r="C703">
        <f>'1 datos preparados'!B696</f>
        <v/>
      </c>
      <c r="D703" s="7">
        <f>'1 datos preparados'!C696</f>
        <v/>
      </c>
      <c r="E703" s="7">
        <f>'1 datos preparados'!D696</f>
        <v/>
      </c>
      <c r="F703" s="7">
        <f>'1 datos preparados'!E696</f>
        <v/>
      </c>
      <c r="G703" s="7">
        <f>'1 datos preparados'!F696</f>
        <v/>
      </c>
      <c r="H703" s="7">
        <f>'1 datos preparados'!G696</f>
        <v/>
      </c>
      <c r="I703" s="7">
        <f>'1 datos preparados'!H696</f>
        <v/>
      </c>
      <c r="J703" s="7">
        <f>'1 datos preparados'!I696</f>
        <v/>
      </c>
      <c r="K703" s="7">
        <f>'1 datos preparados'!J696</f>
        <v/>
      </c>
      <c r="L703" s="7">
        <f>'1 datos preparados'!K696</f>
        <v/>
      </c>
      <c r="M703" s="7">
        <f>'1 datos preparados'!L696</f>
        <v/>
      </c>
      <c r="N703" s="7">
        <f>'1 datos preparados'!M696</f>
        <v/>
      </c>
      <c r="O703" s="7">
        <f>'1 datos preparados'!N696</f>
        <v/>
      </c>
      <c r="P703" s="7">
        <f>'1 datos preparados'!O696</f>
        <v/>
      </c>
      <c r="Q703" s="7">
        <f>'1 datos preparados'!P696</f>
        <v/>
      </c>
      <c r="R703" s="7">
        <f>'1 datos preparados'!Q696</f>
        <v/>
      </c>
      <c r="S703" s="7">
        <f>'1 datos preparados'!R696</f>
        <v/>
      </c>
      <c r="T703" s="7">
        <f>'1 datos preparados'!S696</f>
        <v/>
      </c>
      <c r="U703" s="7">
        <f>'1 datos preparados'!T696</f>
        <v/>
      </c>
      <c r="V703" s="8">
        <f>$AE$12+D703*$AE$13+E703*$AE$14+F703*$AE$15+G703*$AE$16+H703*$AE$17+I703*$AE$18+J703*$AE$19+K703*$AE$20+L703*$AE$21+M703*$AE$22+N703*$AE$23+O703*$AE$24+P703*$AE$25+Q703*$AE$26+R703*$AE$27+S703*$AE$28+T703*$AE$29+U703*$AE$30</f>
        <v/>
      </c>
      <c r="W703" s="8">
        <f>1/(1+EXP(-V703))</f>
        <v/>
      </c>
      <c r="X703" s="9">
        <f>-IF(C703=1,LN(W703),LN(1-W703))</f>
        <v/>
      </c>
      <c r="Y703" s="8">
        <f>IF(C703=1,$AE$32,$AE$33)</f>
        <v/>
      </c>
      <c r="Z703" s="9">
        <f>Y703*X703</f>
        <v/>
      </c>
      <c r="AA703" s="10">
        <f>IF(W703&gt;$AE$34,1,0)</f>
        <v/>
      </c>
      <c r="AB703">
        <f>IF(AA703=C703,1,0)</f>
        <v/>
      </c>
    </row>
    <row r="704">
      <c r="A704">
        <f>'1 datos preparados'!A697</f>
        <v/>
      </c>
      <c r="B704" s="5">
        <f>'1 datos preparados'!U697</f>
        <v/>
      </c>
      <c r="C704">
        <f>'1 datos preparados'!B697</f>
        <v/>
      </c>
      <c r="D704" s="7">
        <f>'1 datos preparados'!C697</f>
        <v/>
      </c>
      <c r="E704" s="7">
        <f>'1 datos preparados'!D697</f>
        <v/>
      </c>
      <c r="F704" s="7">
        <f>'1 datos preparados'!E697</f>
        <v/>
      </c>
      <c r="G704" s="7">
        <f>'1 datos preparados'!F697</f>
        <v/>
      </c>
      <c r="H704" s="7">
        <f>'1 datos preparados'!G697</f>
        <v/>
      </c>
      <c r="I704" s="7">
        <f>'1 datos preparados'!H697</f>
        <v/>
      </c>
      <c r="J704" s="7">
        <f>'1 datos preparados'!I697</f>
        <v/>
      </c>
      <c r="K704" s="7">
        <f>'1 datos preparados'!J697</f>
        <v/>
      </c>
      <c r="L704" s="7">
        <f>'1 datos preparados'!K697</f>
        <v/>
      </c>
      <c r="M704" s="7">
        <f>'1 datos preparados'!L697</f>
        <v/>
      </c>
      <c r="N704" s="7">
        <f>'1 datos preparados'!M697</f>
        <v/>
      </c>
      <c r="O704" s="7">
        <f>'1 datos preparados'!N697</f>
        <v/>
      </c>
      <c r="P704" s="7">
        <f>'1 datos preparados'!O697</f>
        <v/>
      </c>
      <c r="Q704" s="7">
        <f>'1 datos preparados'!P697</f>
        <v/>
      </c>
      <c r="R704" s="7">
        <f>'1 datos preparados'!Q697</f>
        <v/>
      </c>
      <c r="S704" s="7">
        <f>'1 datos preparados'!R697</f>
        <v/>
      </c>
      <c r="T704" s="7">
        <f>'1 datos preparados'!S697</f>
        <v/>
      </c>
      <c r="U704" s="7">
        <f>'1 datos preparados'!T697</f>
        <v/>
      </c>
      <c r="V704" s="8">
        <f>$AE$12+D704*$AE$13+E704*$AE$14+F704*$AE$15+G704*$AE$16+H704*$AE$17+I704*$AE$18+J704*$AE$19+K704*$AE$20+L704*$AE$21+M704*$AE$22+N704*$AE$23+O704*$AE$24+P704*$AE$25+Q704*$AE$26+R704*$AE$27+S704*$AE$28+T704*$AE$29+U704*$AE$30</f>
        <v/>
      </c>
      <c r="W704" s="8">
        <f>1/(1+EXP(-V704))</f>
        <v/>
      </c>
      <c r="X704" s="9">
        <f>-IF(C704=1,LN(W704),LN(1-W704))</f>
        <v/>
      </c>
      <c r="Y704" s="8">
        <f>IF(C704=1,$AE$32,$AE$33)</f>
        <v/>
      </c>
      <c r="Z704" s="9">
        <f>Y704*X704</f>
        <v/>
      </c>
      <c r="AA704" s="10">
        <f>IF(W704&gt;$AE$34,1,0)</f>
        <v/>
      </c>
      <c r="AB704">
        <f>IF(AA704=C704,1,0)</f>
        <v/>
      </c>
    </row>
    <row r="705">
      <c r="A705">
        <f>'1 datos preparados'!A698</f>
        <v/>
      </c>
      <c r="B705" s="5">
        <f>'1 datos preparados'!U698</f>
        <v/>
      </c>
      <c r="C705">
        <f>'1 datos preparados'!B698</f>
        <v/>
      </c>
      <c r="D705" s="7">
        <f>'1 datos preparados'!C698</f>
        <v/>
      </c>
      <c r="E705" s="7">
        <f>'1 datos preparados'!D698</f>
        <v/>
      </c>
      <c r="F705" s="7">
        <f>'1 datos preparados'!E698</f>
        <v/>
      </c>
      <c r="G705" s="7">
        <f>'1 datos preparados'!F698</f>
        <v/>
      </c>
      <c r="H705" s="7">
        <f>'1 datos preparados'!G698</f>
        <v/>
      </c>
      <c r="I705" s="7">
        <f>'1 datos preparados'!H698</f>
        <v/>
      </c>
      <c r="J705" s="7">
        <f>'1 datos preparados'!I698</f>
        <v/>
      </c>
      <c r="K705" s="7">
        <f>'1 datos preparados'!J698</f>
        <v/>
      </c>
      <c r="L705" s="7">
        <f>'1 datos preparados'!K698</f>
        <v/>
      </c>
      <c r="M705" s="7">
        <f>'1 datos preparados'!L698</f>
        <v/>
      </c>
      <c r="N705" s="7">
        <f>'1 datos preparados'!M698</f>
        <v/>
      </c>
      <c r="O705" s="7">
        <f>'1 datos preparados'!N698</f>
        <v/>
      </c>
      <c r="P705" s="7">
        <f>'1 datos preparados'!O698</f>
        <v/>
      </c>
      <c r="Q705" s="7">
        <f>'1 datos preparados'!P698</f>
        <v/>
      </c>
      <c r="R705" s="7">
        <f>'1 datos preparados'!Q698</f>
        <v/>
      </c>
      <c r="S705" s="7">
        <f>'1 datos preparados'!R698</f>
        <v/>
      </c>
      <c r="T705" s="7">
        <f>'1 datos preparados'!S698</f>
        <v/>
      </c>
      <c r="U705" s="7">
        <f>'1 datos preparados'!T698</f>
        <v/>
      </c>
      <c r="V705" s="8">
        <f>$AE$12+D705*$AE$13+E705*$AE$14+F705*$AE$15+G705*$AE$16+H705*$AE$17+I705*$AE$18+J705*$AE$19+K705*$AE$20+L705*$AE$21+M705*$AE$22+N705*$AE$23+O705*$AE$24+P705*$AE$25+Q705*$AE$26+R705*$AE$27+S705*$AE$28+T705*$AE$29+U705*$AE$30</f>
        <v/>
      </c>
      <c r="W705" s="8">
        <f>1/(1+EXP(-V705))</f>
        <v/>
      </c>
      <c r="X705" s="9">
        <f>-IF(C705=1,LN(W705),LN(1-W705))</f>
        <v/>
      </c>
      <c r="Y705" s="8">
        <f>IF(C705=1,$AE$32,$AE$33)</f>
        <v/>
      </c>
      <c r="Z705" s="9">
        <f>Y705*X705</f>
        <v/>
      </c>
      <c r="AA705" s="10">
        <f>IF(W705&gt;$AE$34,1,0)</f>
        <v/>
      </c>
      <c r="AB705">
        <f>IF(AA705=C705,1,0)</f>
        <v/>
      </c>
    </row>
    <row r="706">
      <c r="A706">
        <f>'1 datos preparados'!A699</f>
        <v/>
      </c>
      <c r="B706" s="5">
        <f>'1 datos preparados'!U699</f>
        <v/>
      </c>
      <c r="C706">
        <f>'1 datos preparados'!B699</f>
        <v/>
      </c>
      <c r="D706" s="7">
        <f>'1 datos preparados'!C699</f>
        <v/>
      </c>
      <c r="E706" s="7">
        <f>'1 datos preparados'!D699</f>
        <v/>
      </c>
      <c r="F706" s="7">
        <f>'1 datos preparados'!E699</f>
        <v/>
      </c>
      <c r="G706" s="7">
        <f>'1 datos preparados'!F699</f>
        <v/>
      </c>
      <c r="H706" s="7">
        <f>'1 datos preparados'!G699</f>
        <v/>
      </c>
      <c r="I706" s="7">
        <f>'1 datos preparados'!H699</f>
        <v/>
      </c>
      <c r="J706" s="7">
        <f>'1 datos preparados'!I699</f>
        <v/>
      </c>
      <c r="K706" s="7">
        <f>'1 datos preparados'!J699</f>
        <v/>
      </c>
      <c r="L706" s="7">
        <f>'1 datos preparados'!K699</f>
        <v/>
      </c>
      <c r="M706" s="7">
        <f>'1 datos preparados'!L699</f>
        <v/>
      </c>
      <c r="N706" s="7">
        <f>'1 datos preparados'!M699</f>
        <v/>
      </c>
      <c r="O706" s="7">
        <f>'1 datos preparados'!N699</f>
        <v/>
      </c>
      <c r="P706" s="7">
        <f>'1 datos preparados'!O699</f>
        <v/>
      </c>
      <c r="Q706" s="7">
        <f>'1 datos preparados'!P699</f>
        <v/>
      </c>
      <c r="R706" s="7">
        <f>'1 datos preparados'!Q699</f>
        <v/>
      </c>
      <c r="S706" s="7">
        <f>'1 datos preparados'!R699</f>
        <v/>
      </c>
      <c r="T706" s="7">
        <f>'1 datos preparados'!S699</f>
        <v/>
      </c>
      <c r="U706" s="7">
        <f>'1 datos preparados'!T699</f>
        <v/>
      </c>
      <c r="V706" s="8">
        <f>$AE$12+D706*$AE$13+E706*$AE$14+F706*$AE$15+G706*$AE$16+H706*$AE$17+I706*$AE$18+J706*$AE$19+K706*$AE$20+L706*$AE$21+M706*$AE$22+N706*$AE$23+O706*$AE$24+P706*$AE$25+Q706*$AE$26+R706*$AE$27+S706*$AE$28+T706*$AE$29+U706*$AE$30</f>
        <v/>
      </c>
      <c r="W706" s="8">
        <f>1/(1+EXP(-V706))</f>
        <v/>
      </c>
      <c r="X706" s="9">
        <f>-IF(C706=1,LN(W706),LN(1-W706))</f>
        <v/>
      </c>
      <c r="Y706" s="8">
        <f>IF(C706=1,$AE$32,$AE$33)</f>
        <v/>
      </c>
      <c r="Z706" s="9">
        <f>Y706*X706</f>
        <v/>
      </c>
      <c r="AA706" s="10">
        <f>IF(W706&gt;$AE$34,1,0)</f>
        <v/>
      </c>
      <c r="AB706">
        <f>IF(AA706=C706,1,0)</f>
        <v/>
      </c>
    </row>
    <row r="707">
      <c r="A707">
        <f>'1 datos preparados'!A700</f>
        <v/>
      </c>
      <c r="B707" s="5">
        <f>'1 datos preparados'!U700</f>
        <v/>
      </c>
      <c r="C707">
        <f>'1 datos preparados'!B700</f>
        <v/>
      </c>
      <c r="D707" s="7">
        <f>'1 datos preparados'!C700</f>
        <v/>
      </c>
      <c r="E707" s="7">
        <f>'1 datos preparados'!D700</f>
        <v/>
      </c>
      <c r="F707" s="7">
        <f>'1 datos preparados'!E700</f>
        <v/>
      </c>
      <c r="G707" s="7">
        <f>'1 datos preparados'!F700</f>
        <v/>
      </c>
      <c r="H707" s="7">
        <f>'1 datos preparados'!G700</f>
        <v/>
      </c>
      <c r="I707" s="7">
        <f>'1 datos preparados'!H700</f>
        <v/>
      </c>
      <c r="J707" s="7">
        <f>'1 datos preparados'!I700</f>
        <v/>
      </c>
      <c r="K707" s="7">
        <f>'1 datos preparados'!J700</f>
        <v/>
      </c>
      <c r="L707" s="7">
        <f>'1 datos preparados'!K700</f>
        <v/>
      </c>
      <c r="M707" s="7">
        <f>'1 datos preparados'!L700</f>
        <v/>
      </c>
      <c r="N707" s="7">
        <f>'1 datos preparados'!M700</f>
        <v/>
      </c>
      <c r="O707" s="7">
        <f>'1 datos preparados'!N700</f>
        <v/>
      </c>
      <c r="P707" s="7">
        <f>'1 datos preparados'!O700</f>
        <v/>
      </c>
      <c r="Q707" s="7">
        <f>'1 datos preparados'!P700</f>
        <v/>
      </c>
      <c r="R707" s="7">
        <f>'1 datos preparados'!Q700</f>
        <v/>
      </c>
      <c r="S707" s="7">
        <f>'1 datos preparados'!R700</f>
        <v/>
      </c>
      <c r="T707" s="7">
        <f>'1 datos preparados'!S700</f>
        <v/>
      </c>
      <c r="U707" s="7">
        <f>'1 datos preparados'!T700</f>
        <v/>
      </c>
      <c r="V707" s="8">
        <f>$AE$12+D707*$AE$13+E707*$AE$14+F707*$AE$15+G707*$AE$16+H707*$AE$17+I707*$AE$18+J707*$AE$19+K707*$AE$20+L707*$AE$21+M707*$AE$22+N707*$AE$23+O707*$AE$24+P707*$AE$25+Q707*$AE$26+R707*$AE$27+S707*$AE$28+T707*$AE$29+U707*$AE$30</f>
        <v/>
      </c>
      <c r="W707" s="8">
        <f>1/(1+EXP(-V707))</f>
        <v/>
      </c>
      <c r="X707" s="9">
        <f>-IF(C707=1,LN(W707),LN(1-W707))</f>
        <v/>
      </c>
      <c r="Y707" s="8">
        <f>IF(C707=1,$AE$32,$AE$33)</f>
        <v/>
      </c>
      <c r="Z707" s="9">
        <f>Y707*X707</f>
        <v/>
      </c>
      <c r="AA707" s="10">
        <f>IF(W707&gt;$AE$34,1,0)</f>
        <v/>
      </c>
      <c r="AB707">
        <f>IF(AA707=C707,1,0)</f>
        <v/>
      </c>
    </row>
    <row r="708">
      <c r="A708">
        <f>'1 datos preparados'!A701</f>
        <v/>
      </c>
      <c r="B708" s="5">
        <f>'1 datos preparados'!U701</f>
        <v/>
      </c>
      <c r="C708">
        <f>'1 datos preparados'!B701</f>
        <v/>
      </c>
      <c r="D708" s="7">
        <f>'1 datos preparados'!C701</f>
        <v/>
      </c>
      <c r="E708" s="7">
        <f>'1 datos preparados'!D701</f>
        <v/>
      </c>
      <c r="F708" s="7">
        <f>'1 datos preparados'!E701</f>
        <v/>
      </c>
      <c r="G708" s="7">
        <f>'1 datos preparados'!F701</f>
        <v/>
      </c>
      <c r="H708" s="7">
        <f>'1 datos preparados'!G701</f>
        <v/>
      </c>
      <c r="I708" s="7">
        <f>'1 datos preparados'!H701</f>
        <v/>
      </c>
      <c r="J708" s="7">
        <f>'1 datos preparados'!I701</f>
        <v/>
      </c>
      <c r="K708" s="7">
        <f>'1 datos preparados'!J701</f>
        <v/>
      </c>
      <c r="L708" s="7">
        <f>'1 datos preparados'!K701</f>
        <v/>
      </c>
      <c r="M708" s="7">
        <f>'1 datos preparados'!L701</f>
        <v/>
      </c>
      <c r="N708" s="7">
        <f>'1 datos preparados'!M701</f>
        <v/>
      </c>
      <c r="O708" s="7">
        <f>'1 datos preparados'!N701</f>
        <v/>
      </c>
      <c r="P708" s="7">
        <f>'1 datos preparados'!O701</f>
        <v/>
      </c>
      <c r="Q708" s="7">
        <f>'1 datos preparados'!P701</f>
        <v/>
      </c>
      <c r="R708" s="7">
        <f>'1 datos preparados'!Q701</f>
        <v/>
      </c>
      <c r="S708" s="7">
        <f>'1 datos preparados'!R701</f>
        <v/>
      </c>
      <c r="T708" s="7">
        <f>'1 datos preparados'!S701</f>
        <v/>
      </c>
      <c r="U708" s="7">
        <f>'1 datos preparados'!T701</f>
        <v/>
      </c>
      <c r="V708" s="8">
        <f>$AE$12+D708*$AE$13+E708*$AE$14+F708*$AE$15+G708*$AE$16+H708*$AE$17+I708*$AE$18+J708*$AE$19+K708*$AE$20+L708*$AE$21+M708*$AE$22+N708*$AE$23+O708*$AE$24+P708*$AE$25+Q708*$AE$26+R708*$AE$27+S708*$AE$28+T708*$AE$29+U708*$AE$30</f>
        <v/>
      </c>
      <c r="W708" s="8">
        <f>1/(1+EXP(-V708))</f>
        <v/>
      </c>
      <c r="X708" s="9">
        <f>-IF(C708=1,LN(W708),LN(1-W708))</f>
        <v/>
      </c>
      <c r="Y708" s="8">
        <f>IF(C708=1,$AE$32,$AE$33)</f>
        <v/>
      </c>
      <c r="Z708" s="9">
        <f>Y708*X708</f>
        <v/>
      </c>
      <c r="AA708" s="10">
        <f>IF(W708&gt;$AE$34,1,0)</f>
        <v/>
      </c>
      <c r="AB708">
        <f>IF(AA708=C708,1,0)</f>
        <v/>
      </c>
    </row>
    <row r="709">
      <c r="A709">
        <f>'1 datos preparados'!A702</f>
        <v/>
      </c>
      <c r="B709" s="5">
        <f>'1 datos preparados'!U702</f>
        <v/>
      </c>
      <c r="C709">
        <f>'1 datos preparados'!B702</f>
        <v/>
      </c>
      <c r="D709" s="7">
        <f>'1 datos preparados'!C702</f>
        <v/>
      </c>
      <c r="E709" s="7">
        <f>'1 datos preparados'!D702</f>
        <v/>
      </c>
      <c r="F709" s="7">
        <f>'1 datos preparados'!E702</f>
        <v/>
      </c>
      <c r="G709" s="7">
        <f>'1 datos preparados'!F702</f>
        <v/>
      </c>
      <c r="H709" s="7">
        <f>'1 datos preparados'!G702</f>
        <v/>
      </c>
      <c r="I709" s="7">
        <f>'1 datos preparados'!H702</f>
        <v/>
      </c>
      <c r="J709" s="7">
        <f>'1 datos preparados'!I702</f>
        <v/>
      </c>
      <c r="K709" s="7">
        <f>'1 datos preparados'!J702</f>
        <v/>
      </c>
      <c r="L709" s="7">
        <f>'1 datos preparados'!K702</f>
        <v/>
      </c>
      <c r="M709" s="7">
        <f>'1 datos preparados'!L702</f>
        <v/>
      </c>
      <c r="N709" s="7">
        <f>'1 datos preparados'!M702</f>
        <v/>
      </c>
      <c r="O709" s="7">
        <f>'1 datos preparados'!N702</f>
        <v/>
      </c>
      <c r="P709" s="7">
        <f>'1 datos preparados'!O702</f>
        <v/>
      </c>
      <c r="Q709" s="7">
        <f>'1 datos preparados'!P702</f>
        <v/>
      </c>
      <c r="R709" s="7">
        <f>'1 datos preparados'!Q702</f>
        <v/>
      </c>
      <c r="S709" s="7">
        <f>'1 datos preparados'!R702</f>
        <v/>
      </c>
      <c r="T709" s="7">
        <f>'1 datos preparados'!S702</f>
        <v/>
      </c>
      <c r="U709" s="7">
        <f>'1 datos preparados'!T702</f>
        <v/>
      </c>
      <c r="V709" s="8">
        <f>$AE$12+D709*$AE$13+E709*$AE$14+F709*$AE$15+G709*$AE$16+H709*$AE$17+I709*$AE$18+J709*$AE$19+K709*$AE$20+L709*$AE$21+M709*$AE$22+N709*$AE$23+O709*$AE$24+P709*$AE$25+Q709*$AE$26+R709*$AE$27+S709*$AE$28+T709*$AE$29+U709*$AE$30</f>
        <v/>
      </c>
      <c r="W709" s="8">
        <f>1/(1+EXP(-V709))</f>
        <v/>
      </c>
      <c r="X709" s="9">
        <f>-IF(C709=1,LN(W709),LN(1-W709))</f>
        <v/>
      </c>
      <c r="Y709" s="8">
        <f>IF(C709=1,$AE$32,$AE$33)</f>
        <v/>
      </c>
      <c r="Z709" s="9">
        <f>Y709*X709</f>
        <v/>
      </c>
      <c r="AA709" s="10">
        <f>IF(W709&gt;$AE$34,1,0)</f>
        <v/>
      </c>
      <c r="AB709">
        <f>IF(AA709=C709,1,0)</f>
        <v/>
      </c>
    </row>
    <row r="710">
      <c r="A710">
        <f>'1 datos preparados'!A703</f>
        <v/>
      </c>
      <c r="B710" s="5">
        <f>'1 datos preparados'!U703</f>
        <v/>
      </c>
      <c r="C710">
        <f>'1 datos preparados'!B703</f>
        <v/>
      </c>
      <c r="D710" s="7">
        <f>'1 datos preparados'!C703</f>
        <v/>
      </c>
      <c r="E710" s="7">
        <f>'1 datos preparados'!D703</f>
        <v/>
      </c>
      <c r="F710" s="7">
        <f>'1 datos preparados'!E703</f>
        <v/>
      </c>
      <c r="G710" s="7">
        <f>'1 datos preparados'!F703</f>
        <v/>
      </c>
      <c r="H710" s="7">
        <f>'1 datos preparados'!G703</f>
        <v/>
      </c>
      <c r="I710" s="7">
        <f>'1 datos preparados'!H703</f>
        <v/>
      </c>
      <c r="J710" s="7">
        <f>'1 datos preparados'!I703</f>
        <v/>
      </c>
      <c r="K710" s="7">
        <f>'1 datos preparados'!J703</f>
        <v/>
      </c>
      <c r="L710" s="7">
        <f>'1 datos preparados'!K703</f>
        <v/>
      </c>
      <c r="M710" s="7">
        <f>'1 datos preparados'!L703</f>
        <v/>
      </c>
      <c r="N710" s="7">
        <f>'1 datos preparados'!M703</f>
        <v/>
      </c>
      <c r="O710" s="7">
        <f>'1 datos preparados'!N703</f>
        <v/>
      </c>
      <c r="P710" s="7">
        <f>'1 datos preparados'!O703</f>
        <v/>
      </c>
      <c r="Q710" s="7">
        <f>'1 datos preparados'!P703</f>
        <v/>
      </c>
      <c r="R710" s="7">
        <f>'1 datos preparados'!Q703</f>
        <v/>
      </c>
      <c r="S710" s="7">
        <f>'1 datos preparados'!R703</f>
        <v/>
      </c>
      <c r="T710" s="7">
        <f>'1 datos preparados'!S703</f>
        <v/>
      </c>
      <c r="U710" s="7">
        <f>'1 datos preparados'!T703</f>
        <v/>
      </c>
      <c r="V710" s="8">
        <f>$AE$12+D710*$AE$13+E710*$AE$14+F710*$AE$15+G710*$AE$16+H710*$AE$17+I710*$AE$18+J710*$AE$19+K710*$AE$20+L710*$AE$21+M710*$AE$22+N710*$AE$23+O710*$AE$24+P710*$AE$25+Q710*$AE$26+R710*$AE$27+S710*$AE$28+T710*$AE$29+U710*$AE$30</f>
        <v/>
      </c>
      <c r="W710" s="8">
        <f>1/(1+EXP(-V710))</f>
        <v/>
      </c>
      <c r="X710" s="9">
        <f>-IF(C710=1,LN(W710),LN(1-W710))</f>
        <v/>
      </c>
      <c r="Y710" s="8">
        <f>IF(C710=1,$AE$32,$AE$33)</f>
        <v/>
      </c>
      <c r="Z710" s="9">
        <f>Y710*X710</f>
        <v/>
      </c>
      <c r="AA710" s="10">
        <f>IF(W710&gt;$AE$34,1,0)</f>
        <v/>
      </c>
      <c r="AB710">
        <f>IF(AA710=C710,1,0)</f>
        <v/>
      </c>
    </row>
    <row r="711">
      <c r="A711">
        <f>'1 datos preparados'!A704</f>
        <v/>
      </c>
      <c r="B711" s="5">
        <f>'1 datos preparados'!U704</f>
        <v/>
      </c>
      <c r="C711">
        <f>'1 datos preparados'!B704</f>
        <v/>
      </c>
      <c r="D711" s="7">
        <f>'1 datos preparados'!C704</f>
        <v/>
      </c>
      <c r="E711" s="7">
        <f>'1 datos preparados'!D704</f>
        <v/>
      </c>
      <c r="F711" s="7">
        <f>'1 datos preparados'!E704</f>
        <v/>
      </c>
      <c r="G711" s="7">
        <f>'1 datos preparados'!F704</f>
        <v/>
      </c>
      <c r="H711" s="7">
        <f>'1 datos preparados'!G704</f>
        <v/>
      </c>
      <c r="I711" s="7">
        <f>'1 datos preparados'!H704</f>
        <v/>
      </c>
      <c r="J711" s="7">
        <f>'1 datos preparados'!I704</f>
        <v/>
      </c>
      <c r="K711" s="7">
        <f>'1 datos preparados'!J704</f>
        <v/>
      </c>
      <c r="L711" s="7">
        <f>'1 datos preparados'!K704</f>
        <v/>
      </c>
      <c r="M711" s="7">
        <f>'1 datos preparados'!L704</f>
        <v/>
      </c>
      <c r="N711" s="7">
        <f>'1 datos preparados'!M704</f>
        <v/>
      </c>
      <c r="O711" s="7">
        <f>'1 datos preparados'!N704</f>
        <v/>
      </c>
      <c r="P711" s="7">
        <f>'1 datos preparados'!O704</f>
        <v/>
      </c>
      <c r="Q711" s="7">
        <f>'1 datos preparados'!P704</f>
        <v/>
      </c>
      <c r="R711" s="7">
        <f>'1 datos preparados'!Q704</f>
        <v/>
      </c>
      <c r="S711" s="7">
        <f>'1 datos preparados'!R704</f>
        <v/>
      </c>
      <c r="T711" s="7">
        <f>'1 datos preparados'!S704</f>
        <v/>
      </c>
      <c r="U711" s="7">
        <f>'1 datos preparados'!T704</f>
        <v/>
      </c>
      <c r="V711" s="8">
        <f>$AE$12+D711*$AE$13+E711*$AE$14+F711*$AE$15+G711*$AE$16+H711*$AE$17+I711*$AE$18+J711*$AE$19+K711*$AE$20+L711*$AE$21+M711*$AE$22+N711*$AE$23+O711*$AE$24+P711*$AE$25+Q711*$AE$26+R711*$AE$27+S711*$AE$28+T711*$AE$29+U711*$AE$30</f>
        <v/>
      </c>
      <c r="W711" s="8">
        <f>1/(1+EXP(-V711))</f>
        <v/>
      </c>
      <c r="X711" s="9">
        <f>-IF(C711=1,LN(W711),LN(1-W711))</f>
        <v/>
      </c>
      <c r="Y711" s="8">
        <f>IF(C711=1,$AE$32,$AE$33)</f>
        <v/>
      </c>
      <c r="Z711" s="9">
        <f>Y711*X711</f>
        <v/>
      </c>
      <c r="AA711" s="10">
        <f>IF(W711&gt;$AE$34,1,0)</f>
        <v/>
      </c>
      <c r="AB711">
        <f>IF(AA711=C711,1,0)</f>
        <v/>
      </c>
    </row>
    <row r="712">
      <c r="A712">
        <f>'1 datos preparados'!A705</f>
        <v/>
      </c>
      <c r="B712" s="5">
        <f>'1 datos preparados'!U705</f>
        <v/>
      </c>
      <c r="C712">
        <f>'1 datos preparados'!B705</f>
        <v/>
      </c>
      <c r="D712" s="7">
        <f>'1 datos preparados'!C705</f>
        <v/>
      </c>
      <c r="E712" s="7">
        <f>'1 datos preparados'!D705</f>
        <v/>
      </c>
      <c r="F712" s="7">
        <f>'1 datos preparados'!E705</f>
        <v/>
      </c>
      <c r="G712" s="7">
        <f>'1 datos preparados'!F705</f>
        <v/>
      </c>
      <c r="H712" s="7">
        <f>'1 datos preparados'!G705</f>
        <v/>
      </c>
      <c r="I712" s="7">
        <f>'1 datos preparados'!H705</f>
        <v/>
      </c>
      <c r="J712" s="7">
        <f>'1 datos preparados'!I705</f>
        <v/>
      </c>
      <c r="K712" s="7">
        <f>'1 datos preparados'!J705</f>
        <v/>
      </c>
      <c r="L712" s="7">
        <f>'1 datos preparados'!K705</f>
        <v/>
      </c>
      <c r="M712" s="7">
        <f>'1 datos preparados'!L705</f>
        <v/>
      </c>
      <c r="N712" s="7">
        <f>'1 datos preparados'!M705</f>
        <v/>
      </c>
      <c r="O712" s="7">
        <f>'1 datos preparados'!N705</f>
        <v/>
      </c>
      <c r="P712" s="7">
        <f>'1 datos preparados'!O705</f>
        <v/>
      </c>
      <c r="Q712" s="7">
        <f>'1 datos preparados'!P705</f>
        <v/>
      </c>
      <c r="R712" s="7">
        <f>'1 datos preparados'!Q705</f>
        <v/>
      </c>
      <c r="S712" s="7">
        <f>'1 datos preparados'!R705</f>
        <v/>
      </c>
      <c r="T712" s="7">
        <f>'1 datos preparados'!S705</f>
        <v/>
      </c>
      <c r="U712" s="7">
        <f>'1 datos preparados'!T705</f>
        <v/>
      </c>
      <c r="V712" s="8">
        <f>$AE$12+D712*$AE$13+E712*$AE$14+F712*$AE$15+G712*$AE$16+H712*$AE$17+I712*$AE$18+J712*$AE$19+K712*$AE$20+L712*$AE$21+M712*$AE$22+N712*$AE$23+O712*$AE$24+P712*$AE$25+Q712*$AE$26+R712*$AE$27+S712*$AE$28+T712*$AE$29+U712*$AE$30</f>
        <v/>
      </c>
      <c r="W712" s="8">
        <f>1/(1+EXP(-V712))</f>
        <v/>
      </c>
      <c r="X712" s="9">
        <f>-IF(C712=1,LN(W712),LN(1-W712))</f>
        <v/>
      </c>
      <c r="Y712" s="8">
        <f>IF(C712=1,$AE$32,$AE$33)</f>
        <v/>
      </c>
      <c r="Z712" s="9">
        <f>Y712*X712</f>
        <v/>
      </c>
      <c r="AA712" s="10">
        <f>IF(W712&gt;$AE$34,1,0)</f>
        <v/>
      </c>
      <c r="AB712">
        <f>IF(AA712=C712,1,0)</f>
        <v/>
      </c>
    </row>
    <row r="713">
      <c r="A713">
        <f>'1 datos preparados'!A706</f>
        <v/>
      </c>
      <c r="B713" s="5">
        <f>'1 datos preparados'!U706</f>
        <v/>
      </c>
      <c r="C713">
        <f>'1 datos preparados'!B706</f>
        <v/>
      </c>
      <c r="D713" s="7">
        <f>'1 datos preparados'!C706</f>
        <v/>
      </c>
      <c r="E713" s="7">
        <f>'1 datos preparados'!D706</f>
        <v/>
      </c>
      <c r="F713" s="7">
        <f>'1 datos preparados'!E706</f>
        <v/>
      </c>
      <c r="G713" s="7">
        <f>'1 datos preparados'!F706</f>
        <v/>
      </c>
      <c r="H713" s="7">
        <f>'1 datos preparados'!G706</f>
        <v/>
      </c>
      <c r="I713" s="7">
        <f>'1 datos preparados'!H706</f>
        <v/>
      </c>
      <c r="J713" s="7">
        <f>'1 datos preparados'!I706</f>
        <v/>
      </c>
      <c r="K713" s="7">
        <f>'1 datos preparados'!J706</f>
        <v/>
      </c>
      <c r="L713" s="7">
        <f>'1 datos preparados'!K706</f>
        <v/>
      </c>
      <c r="M713" s="7">
        <f>'1 datos preparados'!L706</f>
        <v/>
      </c>
      <c r="N713" s="7">
        <f>'1 datos preparados'!M706</f>
        <v/>
      </c>
      <c r="O713" s="7">
        <f>'1 datos preparados'!N706</f>
        <v/>
      </c>
      <c r="P713" s="7">
        <f>'1 datos preparados'!O706</f>
        <v/>
      </c>
      <c r="Q713" s="7">
        <f>'1 datos preparados'!P706</f>
        <v/>
      </c>
      <c r="R713" s="7">
        <f>'1 datos preparados'!Q706</f>
        <v/>
      </c>
      <c r="S713" s="7">
        <f>'1 datos preparados'!R706</f>
        <v/>
      </c>
      <c r="T713" s="7">
        <f>'1 datos preparados'!S706</f>
        <v/>
      </c>
      <c r="U713" s="7">
        <f>'1 datos preparados'!T706</f>
        <v/>
      </c>
      <c r="V713" s="8">
        <f>$AE$12+D713*$AE$13+E713*$AE$14+F713*$AE$15+G713*$AE$16+H713*$AE$17+I713*$AE$18+J713*$AE$19+K713*$AE$20+L713*$AE$21+M713*$AE$22+N713*$AE$23+O713*$AE$24+P713*$AE$25+Q713*$AE$26+R713*$AE$27+S713*$AE$28+T713*$AE$29+U713*$AE$30</f>
        <v/>
      </c>
      <c r="W713" s="8">
        <f>1/(1+EXP(-V713))</f>
        <v/>
      </c>
      <c r="X713" s="9">
        <f>-IF(C713=1,LN(W713),LN(1-W713))</f>
        <v/>
      </c>
      <c r="Y713" s="8">
        <f>IF(C713=1,$AE$32,$AE$33)</f>
        <v/>
      </c>
      <c r="Z713" s="9">
        <f>Y713*X713</f>
        <v/>
      </c>
      <c r="AA713" s="10">
        <f>IF(W713&gt;$AE$34,1,0)</f>
        <v/>
      </c>
      <c r="AB713">
        <f>IF(AA713=C713,1,0)</f>
        <v/>
      </c>
    </row>
    <row r="714">
      <c r="A714">
        <f>'1 datos preparados'!A707</f>
        <v/>
      </c>
      <c r="B714" s="5">
        <f>'1 datos preparados'!U707</f>
        <v/>
      </c>
      <c r="C714">
        <f>'1 datos preparados'!B707</f>
        <v/>
      </c>
      <c r="D714" s="7">
        <f>'1 datos preparados'!C707</f>
        <v/>
      </c>
      <c r="E714" s="7">
        <f>'1 datos preparados'!D707</f>
        <v/>
      </c>
      <c r="F714" s="7">
        <f>'1 datos preparados'!E707</f>
        <v/>
      </c>
      <c r="G714" s="7">
        <f>'1 datos preparados'!F707</f>
        <v/>
      </c>
      <c r="H714" s="7">
        <f>'1 datos preparados'!G707</f>
        <v/>
      </c>
      <c r="I714" s="7">
        <f>'1 datos preparados'!H707</f>
        <v/>
      </c>
      <c r="J714" s="7">
        <f>'1 datos preparados'!I707</f>
        <v/>
      </c>
      <c r="K714" s="7">
        <f>'1 datos preparados'!J707</f>
        <v/>
      </c>
      <c r="L714" s="7">
        <f>'1 datos preparados'!K707</f>
        <v/>
      </c>
      <c r="M714" s="7">
        <f>'1 datos preparados'!L707</f>
        <v/>
      </c>
      <c r="N714" s="7">
        <f>'1 datos preparados'!M707</f>
        <v/>
      </c>
      <c r="O714" s="7">
        <f>'1 datos preparados'!N707</f>
        <v/>
      </c>
      <c r="P714" s="7">
        <f>'1 datos preparados'!O707</f>
        <v/>
      </c>
      <c r="Q714" s="7">
        <f>'1 datos preparados'!P707</f>
        <v/>
      </c>
      <c r="R714" s="7">
        <f>'1 datos preparados'!Q707</f>
        <v/>
      </c>
      <c r="S714" s="7">
        <f>'1 datos preparados'!R707</f>
        <v/>
      </c>
      <c r="T714" s="7">
        <f>'1 datos preparados'!S707</f>
        <v/>
      </c>
      <c r="U714" s="7">
        <f>'1 datos preparados'!T707</f>
        <v/>
      </c>
      <c r="V714" s="8">
        <f>$AE$12+D714*$AE$13+E714*$AE$14+F714*$AE$15+G714*$AE$16+H714*$AE$17+I714*$AE$18+J714*$AE$19+K714*$AE$20+L714*$AE$21+M714*$AE$22+N714*$AE$23+O714*$AE$24+P714*$AE$25+Q714*$AE$26+R714*$AE$27+S714*$AE$28+T714*$AE$29+U714*$AE$30</f>
        <v/>
      </c>
      <c r="W714" s="8">
        <f>1/(1+EXP(-V714))</f>
        <v/>
      </c>
      <c r="X714" s="9">
        <f>-IF(C714=1,LN(W714),LN(1-W714))</f>
        <v/>
      </c>
      <c r="Y714" s="8">
        <f>IF(C714=1,$AE$32,$AE$33)</f>
        <v/>
      </c>
      <c r="Z714" s="9">
        <f>Y714*X714</f>
        <v/>
      </c>
      <c r="AA714" s="10">
        <f>IF(W714&gt;$AE$34,1,0)</f>
        <v/>
      </c>
      <c r="AB714">
        <f>IF(AA714=C714,1,0)</f>
        <v/>
      </c>
    </row>
    <row r="715">
      <c r="A715">
        <f>'1 datos preparados'!A708</f>
        <v/>
      </c>
      <c r="B715" s="5">
        <f>'1 datos preparados'!U708</f>
        <v/>
      </c>
      <c r="C715">
        <f>'1 datos preparados'!B708</f>
        <v/>
      </c>
      <c r="D715" s="7">
        <f>'1 datos preparados'!C708</f>
        <v/>
      </c>
      <c r="E715" s="7">
        <f>'1 datos preparados'!D708</f>
        <v/>
      </c>
      <c r="F715" s="7">
        <f>'1 datos preparados'!E708</f>
        <v/>
      </c>
      <c r="G715" s="7">
        <f>'1 datos preparados'!F708</f>
        <v/>
      </c>
      <c r="H715" s="7">
        <f>'1 datos preparados'!G708</f>
        <v/>
      </c>
      <c r="I715" s="7">
        <f>'1 datos preparados'!H708</f>
        <v/>
      </c>
      <c r="J715" s="7">
        <f>'1 datos preparados'!I708</f>
        <v/>
      </c>
      <c r="K715" s="7">
        <f>'1 datos preparados'!J708</f>
        <v/>
      </c>
      <c r="L715" s="7">
        <f>'1 datos preparados'!K708</f>
        <v/>
      </c>
      <c r="M715" s="7">
        <f>'1 datos preparados'!L708</f>
        <v/>
      </c>
      <c r="N715" s="7">
        <f>'1 datos preparados'!M708</f>
        <v/>
      </c>
      <c r="O715" s="7">
        <f>'1 datos preparados'!N708</f>
        <v/>
      </c>
      <c r="P715" s="7">
        <f>'1 datos preparados'!O708</f>
        <v/>
      </c>
      <c r="Q715" s="7">
        <f>'1 datos preparados'!P708</f>
        <v/>
      </c>
      <c r="R715" s="7">
        <f>'1 datos preparados'!Q708</f>
        <v/>
      </c>
      <c r="S715" s="7">
        <f>'1 datos preparados'!R708</f>
        <v/>
      </c>
      <c r="T715" s="7">
        <f>'1 datos preparados'!S708</f>
        <v/>
      </c>
      <c r="U715" s="7">
        <f>'1 datos preparados'!T708</f>
        <v/>
      </c>
      <c r="V715" s="8">
        <f>$AE$12+D715*$AE$13+E715*$AE$14+F715*$AE$15+G715*$AE$16+H715*$AE$17+I715*$AE$18+J715*$AE$19+K715*$AE$20+L715*$AE$21+M715*$AE$22+N715*$AE$23+O715*$AE$24+P715*$AE$25+Q715*$AE$26+R715*$AE$27+S715*$AE$28+T715*$AE$29+U715*$AE$30</f>
        <v/>
      </c>
      <c r="W715" s="8">
        <f>1/(1+EXP(-V715))</f>
        <v/>
      </c>
      <c r="X715" s="9">
        <f>-IF(C715=1,LN(W715),LN(1-W715))</f>
        <v/>
      </c>
      <c r="Y715" s="8">
        <f>IF(C715=1,$AE$32,$AE$33)</f>
        <v/>
      </c>
      <c r="Z715" s="9">
        <f>Y715*X715</f>
        <v/>
      </c>
      <c r="AA715" s="10">
        <f>IF(W715&gt;$AE$34,1,0)</f>
        <v/>
      </c>
      <c r="AB715">
        <f>IF(AA715=C715,1,0)</f>
        <v/>
      </c>
    </row>
    <row r="716">
      <c r="A716">
        <f>'1 datos preparados'!A709</f>
        <v/>
      </c>
      <c r="B716" s="5">
        <f>'1 datos preparados'!U709</f>
        <v/>
      </c>
      <c r="C716">
        <f>'1 datos preparados'!B709</f>
        <v/>
      </c>
      <c r="D716" s="7">
        <f>'1 datos preparados'!C709</f>
        <v/>
      </c>
      <c r="E716" s="7">
        <f>'1 datos preparados'!D709</f>
        <v/>
      </c>
      <c r="F716" s="7">
        <f>'1 datos preparados'!E709</f>
        <v/>
      </c>
      <c r="G716" s="7">
        <f>'1 datos preparados'!F709</f>
        <v/>
      </c>
      <c r="H716" s="7">
        <f>'1 datos preparados'!G709</f>
        <v/>
      </c>
      <c r="I716" s="7">
        <f>'1 datos preparados'!H709</f>
        <v/>
      </c>
      <c r="J716" s="7">
        <f>'1 datos preparados'!I709</f>
        <v/>
      </c>
      <c r="K716" s="7">
        <f>'1 datos preparados'!J709</f>
        <v/>
      </c>
      <c r="L716" s="7">
        <f>'1 datos preparados'!K709</f>
        <v/>
      </c>
      <c r="M716" s="7">
        <f>'1 datos preparados'!L709</f>
        <v/>
      </c>
      <c r="N716" s="7">
        <f>'1 datos preparados'!M709</f>
        <v/>
      </c>
      <c r="O716" s="7">
        <f>'1 datos preparados'!N709</f>
        <v/>
      </c>
      <c r="P716" s="7">
        <f>'1 datos preparados'!O709</f>
        <v/>
      </c>
      <c r="Q716" s="7">
        <f>'1 datos preparados'!P709</f>
        <v/>
      </c>
      <c r="R716" s="7">
        <f>'1 datos preparados'!Q709</f>
        <v/>
      </c>
      <c r="S716" s="7">
        <f>'1 datos preparados'!R709</f>
        <v/>
      </c>
      <c r="T716" s="7">
        <f>'1 datos preparados'!S709</f>
        <v/>
      </c>
      <c r="U716" s="7">
        <f>'1 datos preparados'!T709</f>
        <v/>
      </c>
      <c r="V716" s="8">
        <f>$AE$12+D716*$AE$13+E716*$AE$14+F716*$AE$15+G716*$AE$16+H716*$AE$17+I716*$AE$18+J716*$AE$19+K716*$AE$20+L716*$AE$21+M716*$AE$22+N716*$AE$23+O716*$AE$24+P716*$AE$25+Q716*$AE$26+R716*$AE$27+S716*$AE$28+T716*$AE$29+U716*$AE$30</f>
        <v/>
      </c>
      <c r="W716" s="8">
        <f>1/(1+EXP(-V716))</f>
        <v/>
      </c>
      <c r="X716" s="9">
        <f>-IF(C716=1,LN(W716),LN(1-W716))</f>
        <v/>
      </c>
      <c r="Y716" s="8">
        <f>IF(C716=1,$AE$32,$AE$33)</f>
        <v/>
      </c>
      <c r="Z716" s="9">
        <f>Y716*X716</f>
        <v/>
      </c>
      <c r="AA716" s="10">
        <f>IF(W716&gt;$AE$34,1,0)</f>
        <v/>
      </c>
      <c r="AB716">
        <f>IF(AA716=C716,1,0)</f>
        <v/>
      </c>
    </row>
    <row r="717">
      <c r="A717">
        <f>'1 datos preparados'!A710</f>
        <v/>
      </c>
      <c r="B717" s="5">
        <f>'1 datos preparados'!U710</f>
        <v/>
      </c>
      <c r="C717">
        <f>'1 datos preparados'!B710</f>
        <v/>
      </c>
      <c r="D717" s="7">
        <f>'1 datos preparados'!C710</f>
        <v/>
      </c>
      <c r="E717" s="7">
        <f>'1 datos preparados'!D710</f>
        <v/>
      </c>
      <c r="F717" s="7">
        <f>'1 datos preparados'!E710</f>
        <v/>
      </c>
      <c r="G717" s="7">
        <f>'1 datos preparados'!F710</f>
        <v/>
      </c>
      <c r="H717" s="7">
        <f>'1 datos preparados'!G710</f>
        <v/>
      </c>
      <c r="I717" s="7">
        <f>'1 datos preparados'!H710</f>
        <v/>
      </c>
      <c r="J717" s="7">
        <f>'1 datos preparados'!I710</f>
        <v/>
      </c>
      <c r="K717" s="7">
        <f>'1 datos preparados'!J710</f>
        <v/>
      </c>
      <c r="L717" s="7">
        <f>'1 datos preparados'!K710</f>
        <v/>
      </c>
      <c r="M717" s="7">
        <f>'1 datos preparados'!L710</f>
        <v/>
      </c>
      <c r="N717" s="7">
        <f>'1 datos preparados'!M710</f>
        <v/>
      </c>
      <c r="O717" s="7">
        <f>'1 datos preparados'!N710</f>
        <v/>
      </c>
      <c r="P717" s="7">
        <f>'1 datos preparados'!O710</f>
        <v/>
      </c>
      <c r="Q717" s="7">
        <f>'1 datos preparados'!P710</f>
        <v/>
      </c>
      <c r="R717" s="7">
        <f>'1 datos preparados'!Q710</f>
        <v/>
      </c>
      <c r="S717" s="7">
        <f>'1 datos preparados'!R710</f>
        <v/>
      </c>
      <c r="T717" s="7">
        <f>'1 datos preparados'!S710</f>
        <v/>
      </c>
      <c r="U717" s="7">
        <f>'1 datos preparados'!T710</f>
        <v/>
      </c>
      <c r="V717" s="8">
        <f>$AE$12+D717*$AE$13+E717*$AE$14+F717*$AE$15+G717*$AE$16+H717*$AE$17+I717*$AE$18+J717*$AE$19+K717*$AE$20+L717*$AE$21+M717*$AE$22+N717*$AE$23+O717*$AE$24+P717*$AE$25+Q717*$AE$26+R717*$AE$27+S717*$AE$28+T717*$AE$29+U717*$AE$30</f>
        <v/>
      </c>
      <c r="W717" s="8">
        <f>1/(1+EXP(-V717))</f>
        <v/>
      </c>
      <c r="X717" s="9">
        <f>-IF(C717=1,LN(W717),LN(1-W717))</f>
        <v/>
      </c>
      <c r="Y717" s="8">
        <f>IF(C717=1,$AE$32,$AE$33)</f>
        <v/>
      </c>
      <c r="Z717" s="9">
        <f>Y717*X717</f>
        <v/>
      </c>
      <c r="AA717" s="10">
        <f>IF(W717&gt;$AE$34,1,0)</f>
        <v/>
      </c>
      <c r="AB717">
        <f>IF(AA717=C717,1,0)</f>
        <v/>
      </c>
    </row>
    <row r="718">
      <c r="A718">
        <f>'1 datos preparados'!A711</f>
        <v/>
      </c>
      <c r="B718" s="5">
        <f>'1 datos preparados'!U711</f>
        <v/>
      </c>
      <c r="C718">
        <f>'1 datos preparados'!B711</f>
        <v/>
      </c>
      <c r="D718" s="7">
        <f>'1 datos preparados'!C711</f>
        <v/>
      </c>
      <c r="E718" s="7">
        <f>'1 datos preparados'!D711</f>
        <v/>
      </c>
      <c r="F718" s="7">
        <f>'1 datos preparados'!E711</f>
        <v/>
      </c>
      <c r="G718" s="7">
        <f>'1 datos preparados'!F711</f>
        <v/>
      </c>
      <c r="H718" s="7">
        <f>'1 datos preparados'!G711</f>
        <v/>
      </c>
      <c r="I718" s="7">
        <f>'1 datos preparados'!H711</f>
        <v/>
      </c>
      <c r="J718" s="7">
        <f>'1 datos preparados'!I711</f>
        <v/>
      </c>
      <c r="K718" s="7">
        <f>'1 datos preparados'!J711</f>
        <v/>
      </c>
      <c r="L718" s="7">
        <f>'1 datos preparados'!K711</f>
        <v/>
      </c>
      <c r="M718" s="7">
        <f>'1 datos preparados'!L711</f>
        <v/>
      </c>
      <c r="N718" s="7">
        <f>'1 datos preparados'!M711</f>
        <v/>
      </c>
      <c r="O718" s="7">
        <f>'1 datos preparados'!N711</f>
        <v/>
      </c>
      <c r="P718" s="7">
        <f>'1 datos preparados'!O711</f>
        <v/>
      </c>
      <c r="Q718" s="7">
        <f>'1 datos preparados'!P711</f>
        <v/>
      </c>
      <c r="R718" s="7">
        <f>'1 datos preparados'!Q711</f>
        <v/>
      </c>
      <c r="S718" s="7">
        <f>'1 datos preparados'!R711</f>
        <v/>
      </c>
      <c r="T718" s="7">
        <f>'1 datos preparados'!S711</f>
        <v/>
      </c>
      <c r="U718" s="7">
        <f>'1 datos preparados'!T711</f>
        <v/>
      </c>
      <c r="V718" s="8">
        <f>$AE$12+D718*$AE$13+E718*$AE$14+F718*$AE$15+G718*$AE$16+H718*$AE$17+I718*$AE$18+J718*$AE$19+K718*$AE$20+L718*$AE$21+M718*$AE$22+N718*$AE$23+O718*$AE$24+P718*$AE$25+Q718*$AE$26+R718*$AE$27+S718*$AE$28+T718*$AE$29+U718*$AE$30</f>
        <v/>
      </c>
      <c r="W718" s="8">
        <f>1/(1+EXP(-V718))</f>
        <v/>
      </c>
      <c r="X718" s="9">
        <f>-IF(C718=1,LN(W718),LN(1-W718))</f>
        <v/>
      </c>
      <c r="Y718" s="8">
        <f>IF(C718=1,$AE$32,$AE$33)</f>
        <v/>
      </c>
      <c r="Z718" s="9">
        <f>Y718*X718</f>
        <v/>
      </c>
      <c r="AA718" s="10">
        <f>IF(W718&gt;$AE$34,1,0)</f>
        <v/>
      </c>
      <c r="AB718">
        <f>IF(AA718=C718,1,0)</f>
        <v/>
      </c>
    </row>
    <row r="719">
      <c r="A719">
        <f>'1 datos preparados'!A712</f>
        <v/>
      </c>
      <c r="B719" s="5">
        <f>'1 datos preparados'!U712</f>
        <v/>
      </c>
      <c r="C719">
        <f>'1 datos preparados'!B712</f>
        <v/>
      </c>
      <c r="D719" s="7">
        <f>'1 datos preparados'!C712</f>
        <v/>
      </c>
      <c r="E719" s="7">
        <f>'1 datos preparados'!D712</f>
        <v/>
      </c>
      <c r="F719" s="7">
        <f>'1 datos preparados'!E712</f>
        <v/>
      </c>
      <c r="G719" s="7">
        <f>'1 datos preparados'!F712</f>
        <v/>
      </c>
      <c r="H719" s="7">
        <f>'1 datos preparados'!G712</f>
        <v/>
      </c>
      <c r="I719" s="7">
        <f>'1 datos preparados'!H712</f>
        <v/>
      </c>
      <c r="J719" s="7">
        <f>'1 datos preparados'!I712</f>
        <v/>
      </c>
      <c r="K719" s="7">
        <f>'1 datos preparados'!J712</f>
        <v/>
      </c>
      <c r="L719" s="7">
        <f>'1 datos preparados'!K712</f>
        <v/>
      </c>
      <c r="M719" s="7">
        <f>'1 datos preparados'!L712</f>
        <v/>
      </c>
      <c r="N719" s="7">
        <f>'1 datos preparados'!M712</f>
        <v/>
      </c>
      <c r="O719" s="7">
        <f>'1 datos preparados'!N712</f>
        <v/>
      </c>
      <c r="P719" s="7">
        <f>'1 datos preparados'!O712</f>
        <v/>
      </c>
      <c r="Q719" s="7">
        <f>'1 datos preparados'!P712</f>
        <v/>
      </c>
      <c r="R719" s="7">
        <f>'1 datos preparados'!Q712</f>
        <v/>
      </c>
      <c r="S719" s="7">
        <f>'1 datos preparados'!R712</f>
        <v/>
      </c>
      <c r="T719" s="7">
        <f>'1 datos preparados'!S712</f>
        <v/>
      </c>
      <c r="U719" s="7">
        <f>'1 datos preparados'!T712</f>
        <v/>
      </c>
      <c r="V719" s="8">
        <f>$AE$12+D719*$AE$13+E719*$AE$14+F719*$AE$15+G719*$AE$16+H719*$AE$17+I719*$AE$18+J719*$AE$19+K719*$AE$20+L719*$AE$21+M719*$AE$22+N719*$AE$23+O719*$AE$24+P719*$AE$25+Q719*$AE$26+R719*$AE$27+S719*$AE$28+T719*$AE$29+U719*$AE$30</f>
        <v/>
      </c>
      <c r="W719" s="8">
        <f>1/(1+EXP(-V719))</f>
        <v/>
      </c>
      <c r="X719" s="9">
        <f>-IF(C719=1,LN(W719),LN(1-W719))</f>
        <v/>
      </c>
      <c r="Y719" s="8">
        <f>IF(C719=1,$AE$32,$AE$33)</f>
        <v/>
      </c>
      <c r="Z719" s="9">
        <f>Y719*X719</f>
        <v/>
      </c>
      <c r="AA719" s="10">
        <f>IF(W719&gt;$AE$34,1,0)</f>
        <v/>
      </c>
      <c r="AB719">
        <f>IF(AA719=C719,1,0)</f>
        <v/>
      </c>
    </row>
    <row r="720">
      <c r="A720">
        <f>'1 datos preparados'!A713</f>
        <v/>
      </c>
      <c r="B720" s="5">
        <f>'1 datos preparados'!U713</f>
        <v/>
      </c>
      <c r="C720">
        <f>'1 datos preparados'!B713</f>
        <v/>
      </c>
      <c r="D720" s="7">
        <f>'1 datos preparados'!C713</f>
        <v/>
      </c>
      <c r="E720" s="7">
        <f>'1 datos preparados'!D713</f>
        <v/>
      </c>
      <c r="F720" s="7">
        <f>'1 datos preparados'!E713</f>
        <v/>
      </c>
      <c r="G720" s="7">
        <f>'1 datos preparados'!F713</f>
        <v/>
      </c>
      <c r="H720" s="7">
        <f>'1 datos preparados'!G713</f>
        <v/>
      </c>
      <c r="I720" s="7">
        <f>'1 datos preparados'!H713</f>
        <v/>
      </c>
      <c r="J720" s="7">
        <f>'1 datos preparados'!I713</f>
        <v/>
      </c>
      <c r="K720" s="7">
        <f>'1 datos preparados'!J713</f>
        <v/>
      </c>
      <c r="L720" s="7">
        <f>'1 datos preparados'!K713</f>
        <v/>
      </c>
      <c r="M720" s="7">
        <f>'1 datos preparados'!L713</f>
        <v/>
      </c>
      <c r="N720" s="7">
        <f>'1 datos preparados'!M713</f>
        <v/>
      </c>
      <c r="O720" s="7">
        <f>'1 datos preparados'!N713</f>
        <v/>
      </c>
      <c r="P720" s="7">
        <f>'1 datos preparados'!O713</f>
        <v/>
      </c>
      <c r="Q720" s="7">
        <f>'1 datos preparados'!P713</f>
        <v/>
      </c>
      <c r="R720" s="7">
        <f>'1 datos preparados'!Q713</f>
        <v/>
      </c>
      <c r="S720" s="7">
        <f>'1 datos preparados'!R713</f>
        <v/>
      </c>
      <c r="T720" s="7">
        <f>'1 datos preparados'!S713</f>
        <v/>
      </c>
      <c r="U720" s="7">
        <f>'1 datos preparados'!T713</f>
        <v/>
      </c>
      <c r="V720" s="8">
        <f>$AE$12+D720*$AE$13+E720*$AE$14+F720*$AE$15+G720*$AE$16+H720*$AE$17+I720*$AE$18+J720*$AE$19+K720*$AE$20+L720*$AE$21+M720*$AE$22+N720*$AE$23+O720*$AE$24+P720*$AE$25+Q720*$AE$26+R720*$AE$27+S720*$AE$28+T720*$AE$29+U720*$AE$30</f>
        <v/>
      </c>
      <c r="W720" s="8">
        <f>1/(1+EXP(-V720))</f>
        <v/>
      </c>
      <c r="X720" s="9">
        <f>-IF(C720=1,LN(W720),LN(1-W720))</f>
        <v/>
      </c>
      <c r="Y720" s="8">
        <f>IF(C720=1,$AE$32,$AE$33)</f>
        <v/>
      </c>
      <c r="Z720" s="9">
        <f>Y720*X720</f>
        <v/>
      </c>
      <c r="AA720" s="10">
        <f>IF(W720&gt;$AE$34,1,0)</f>
        <v/>
      </c>
      <c r="AB720">
        <f>IF(AA720=C720,1,0)</f>
        <v/>
      </c>
    </row>
    <row r="721">
      <c r="A721">
        <f>'1 datos preparados'!A714</f>
        <v/>
      </c>
      <c r="B721" s="5">
        <f>'1 datos preparados'!U714</f>
        <v/>
      </c>
      <c r="C721">
        <f>'1 datos preparados'!B714</f>
        <v/>
      </c>
      <c r="D721" s="7">
        <f>'1 datos preparados'!C714</f>
        <v/>
      </c>
      <c r="E721" s="7">
        <f>'1 datos preparados'!D714</f>
        <v/>
      </c>
      <c r="F721" s="7">
        <f>'1 datos preparados'!E714</f>
        <v/>
      </c>
      <c r="G721" s="7">
        <f>'1 datos preparados'!F714</f>
        <v/>
      </c>
      <c r="H721" s="7">
        <f>'1 datos preparados'!G714</f>
        <v/>
      </c>
      <c r="I721" s="7">
        <f>'1 datos preparados'!H714</f>
        <v/>
      </c>
      <c r="J721" s="7">
        <f>'1 datos preparados'!I714</f>
        <v/>
      </c>
      <c r="K721" s="7">
        <f>'1 datos preparados'!J714</f>
        <v/>
      </c>
      <c r="L721" s="7">
        <f>'1 datos preparados'!K714</f>
        <v/>
      </c>
      <c r="M721" s="7">
        <f>'1 datos preparados'!L714</f>
        <v/>
      </c>
      <c r="N721" s="7">
        <f>'1 datos preparados'!M714</f>
        <v/>
      </c>
      <c r="O721" s="7">
        <f>'1 datos preparados'!N714</f>
        <v/>
      </c>
      <c r="P721" s="7">
        <f>'1 datos preparados'!O714</f>
        <v/>
      </c>
      <c r="Q721" s="7">
        <f>'1 datos preparados'!P714</f>
        <v/>
      </c>
      <c r="R721" s="7">
        <f>'1 datos preparados'!Q714</f>
        <v/>
      </c>
      <c r="S721" s="7">
        <f>'1 datos preparados'!R714</f>
        <v/>
      </c>
      <c r="T721" s="7">
        <f>'1 datos preparados'!S714</f>
        <v/>
      </c>
      <c r="U721" s="7">
        <f>'1 datos preparados'!T714</f>
        <v/>
      </c>
      <c r="V721" s="8">
        <f>$AE$12+D721*$AE$13+E721*$AE$14+F721*$AE$15+G721*$AE$16+H721*$AE$17+I721*$AE$18+J721*$AE$19+K721*$AE$20+L721*$AE$21+M721*$AE$22+N721*$AE$23+O721*$AE$24+P721*$AE$25+Q721*$AE$26+R721*$AE$27+S721*$AE$28+T721*$AE$29+U721*$AE$30</f>
        <v/>
      </c>
      <c r="W721" s="8">
        <f>1/(1+EXP(-V721))</f>
        <v/>
      </c>
      <c r="X721" s="9">
        <f>-IF(C721=1,LN(W721),LN(1-W721))</f>
        <v/>
      </c>
      <c r="Y721" s="8">
        <f>IF(C721=1,$AE$32,$AE$33)</f>
        <v/>
      </c>
      <c r="Z721" s="9">
        <f>Y721*X721</f>
        <v/>
      </c>
      <c r="AA721" s="10">
        <f>IF(W721&gt;$AE$34,1,0)</f>
        <v/>
      </c>
      <c r="AB721">
        <f>IF(AA721=C721,1,0)</f>
        <v/>
      </c>
    </row>
    <row r="722">
      <c r="A722">
        <f>'1 datos preparados'!A715</f>
        <v/>
      </c>
      <c r="B722" s="5">
        <f>'1 datos preparados'!U715</f>
        <v/>
      </c>
      <c r="C722">
        <f>'1 datos preparados'!B715</f>
        <v/>
      </c>
      <c r="D722" s="7">
        <f>'1 datos preparados'!C715</f>
        <v/>
      </c>
      <c r="E722" s="7">
        <f>'1 datos preparados'!D715</f>
        <v/>
      </c>
      <c r="F722" s="7">
        <f>'1 datos preparados'!E715</f>
        <v/>
      </c>
      <c r="G722" s="7">
        <f>'1 datos preparados'!F715</f>
        <v/>
      </c>
      <c r="H722" s="7">
        <f>'1 datos preparados'!G715</f>
        <v/>
      </c>
      <c r="I722" s="7">
        <f>'1 datos preparados'!H715</f>
        <v/>
      </c>
      <c r="J722" s="7">
        <f>'1 datos preparados'!I715</f>
        <v/>
      </c>
      <c r="K722" s="7">
        <f>'1 datos preparados'!J715</f>
        <v/>
      </c>
      <c r="L722" s="7">
        <f>'1 datos preparados'!K715</f>
        <v/>
      </c>
      <c r="M722" s="7">
        <f>'1 datos preparados'!L715</f>
        <v/>
      </c>
      <c r="N722" s="7">
        <f>'1 datos preparados'!M715</f>
        <v/>
      </c>
      <c r="O722" s="7">
        <f>'1 datos preparados'!N715</f>
        <v/>
      </c>
      <c r="P722" s="7">
        <f>'1 datos preparados'!O715</f>
        <v/>
      </c>
      <c r="Q722" s="7">
        <f>'1 datos preparados'!P715</f>
        <v/>
      </c>
      <c r="R722" s="7">
        <f>'1 datos preparados'!Q715</f>
        <v/>
      </c>
      <c r="S722" s="7">
        <f>'1 datos preparados'!R715</f>
        <v/>
      </c>
      <c r="T722" s="7">
        <f>'1 datos preparados'!S715</f>
        <v/>
      </c>
      <c r="U722" s="7">
        <f>'1 datos preparados'!T715</f>
        <v/>
      </c>
      <c r="V722" s="8">
        <f>$AE$12+D722*$AE$13+E722*$AE$14+F722*$AE$15+G722*$AE$16+H722*$AE$17+I722*$AE$18+J722*$AE$19+K722*$AE$20+L722*$AE$21+M722*$AE$22+N722*$AE$23+O722*$AE$24+P722*$AE$25+Q722*$AE$26+R722*$AE$27+S722*$AE$28+T722*$AE$29+U722*$AE$30</f>
        <v/>
      </c>
      <c r="W722" s="8">
        <f>1/(1+EXP(-V722))</f>
        <v/>
      </c>
      <c r="X722" s="9">
        <f>-IF(C722=1,LN(W722),LN(1-W722))</f>
        <v/>
      </c>
      <c r="Y722" s="8">
        <f>IF(C722=1,$AE$32,$AE$33)</f>
        <v/>
      </c>
      <c r="Z722" s="9">
        <f>Y722*X722</f>
        <v/>
      </c>
      <c r="AA722" s="10">
        <f>IF(W722&gt;$AE$34,1,0)</f>
        <v/>
      </c>
      <c r="AB722">
        <f>IF(AA722=C722,1,0)</f>
        <v/>
      </c>
    </row>
    <row r="723">
      <c r="A723">
        <f>'1 datos preparados'!A716</f>
        <v/>
      </c>
      <c r="B723" s="5">
        <f>'1 datos preparados'!U716</f>
        <v/>
      </c>
      <c r="C723">
        <f>'1 datos preparados'!B716</f>
        <v/>
      </c>
      <c r="D723" s="7">
        <f>'1 datos preparados'!C716</f>
        <v/>
      </c>
      <c r="E723" s="7">
        <f>'1 datos preparados'!D716</f>
        <v/>
      </c>
      <c r="F723" s="7">
        <f>'1 datos preparados'!E716</f>
        <v/>
      </c>
      <c r="G723" s="7">
        <f>'1 datos preparados'!F716</f>
        <v/>
      </c>
      <c r="H723" s="7">
        <f>'1 datos preparados'!G716</f>
        <v/>
      </c>
      <c r="I723" s="7">
        <f>'1 datos preparados'!H716</f>
        <v/>
      </c>
      <c r="J723" s="7">
        <f>'1 datos preparados'!I716</f>
        <v/>
      </c>
      <c r="K723" s="7">
        <f>'1 datos preparados'!J716</f>
        <v/>
      </c>
      <c r="L723" s="7">
        <f>'1 datos preparados'!K716</f>
        <v/>
      </c>
      <c r="M723" s="7">
        <f>'1 datos preparados'!L716</f>
        <v/>
      </c>
      <c r="N723" s="7">
        <f>'1 datos preparados'!M716</f>
        <v/>
      </c>
      <c r="O723" s="7">
        <f>'1 datos preparados'!N716</f>
        <v/>
      </c>
      <c r="P723" s="7">
        <f>'1 datos preparados'!O716</f>
        <v/>
      </c>
      <c r="Q723" s="7">
        <f>'1 datos preparados'!P716</f>
        <v/>
      </c>
      <c r="R723" s="7">
        <f>'1 datos preparados'!Q716</f>
        <v/>
      </c>
      <c r="S723" s="7">
        <f>'1 datos preparados'!R716</f>
        <v/>
      </c>
      <c r="T723" s="7">
        <f>'1 datos preparados'!S716</f>
        <v/>
      </c>
      <c r="U723" s="7">
        <f>'1 datos preparados'!T716</f>
        <v/>
      </c>
      <c r="V723" s="8">
        <f>$AE$12+D723*$AE$13+E723*$AE$14+F723*$AE$15+G723*$AE$16+H723*$AE$17+I723*$AE$18+J723*$AE$19+K723*$AE$20+L723*$AE$21+M723*$AE$22+N723*$AE$23+O723*$AE$24+P723*$AE$25+Q723*$AE$26+R723*$AE$27+S723*$AE$28+T723*$AE$29+U723*$AE$30</f>
        <v/>
      </c>
      <c r="W723" s="8">
        <f>1/(1+EXP(-V723))</f>
        <v/>
      </c>
      <c r="X723" s="9">
        <f>-IF(C723=1,LN(W723),LN(1-W723))</f>
        <v/>
      </c>
      <c r="Y723" s="8">
        <f>IF(C723=1,$AE$32,$AE$33)</f>
        <v/>
      </c>
      <c r="Z723" s="9">
        <f>Y723*X723</f>
        <v/>
      </c>
      <c r="AA723" s="10">
        <f>IF(W723&gt;$AE$34,1,0)</f>
        <v/>
      </c>
      <c r="AB723">
        <f>IF(AA723=C723,1,0)</f>
        <v/>
      </c>
    </row>
    <row r="724">
      <c r="A724">
        <f>'1 datos preparados'!A717</f>
        <v/>
      </c>
      <c r="B724" s="5">
        <f>'1 datos preparados'!U717</f>
        <v/>
      </c>
      <c r="C724">
        <f>'1 datos preparados'!B717</f>
        <v/>
      </c>
      <c r="D724" s="7">
        <f>'1 datos preparados'!C717</f>
        <v/>
      </c>
      <c r="E724" s="7">
        <f>'1 datos preparados'!D717</f>
        <v/>
      </c>
      <c r="F724" s="7">
        <f>'1 datos preparados'!E717</f>
        <v/>
      </c>
      <c r="G724" s="7">
        <f>'1 datos preparados'!F717</f>
        <v/>
      </c>
      <c r="H724" s="7">
        <f>'1 datos preparados'!G717</f>
        <v/>
      </c>
      <c r="I724" s="7">
        <f>'1 datos preparados'!H717</f>
        <v/>
      </c>
      <c r="J724" s="7">
        <f>'1 datos preparados'!I717</f>
        <v/>
      </c>
      <c r="K724" s="7">
        <f>'1 datos preparados'!J717</f>
        <v/>
      </c>
      <c r="L724" s="7">
        <f>'1 datos preparados'!K717</f>
        <v/>
      </c>
      <c r="M724" s="7">
        <f>'1 datos preparados'!L717</f>
        <v/>
      </c>
      <c r="N724" s="7">
        <f>'1 datos preparados'!M717</f>
        <v/>
      </c>
      <c r="O724" s="7">
        <f>'1 datos preparados'!N717</f>
        <v/>
      </c>
      <c r="P724" s="7">
        <f>'1 datos preparados'!O717</f>
        <v/>
      </c>
      <c r="Q724" s="7">
        <f>'1 datos preparados'!P717</f>
        <v/>
      </c>
      <c r="R724" s="7">
        <f>'1 datos preparados'!Q717</f>
        <v/>
      </c>
      <c r="S724" s="7">
        <f>'1 datos preparados'!R717</f>
        <v/>
      </c>
      <c r="T724" s="7">
        <f>'1 datos preparados'!S717</f>
        <v/>
      </c>
      <c r="U724" s="7">
        <f>'1 datos preparados'!T717</f>
        <v/>
      </c>
      <c r="V724" s="8">
        <f>$AE$12+D724*$AE$13+E724*$AE$14+F724*$AE$15+G724*$AE$16+H724*$AE$17+I724*$AE$18+J724*$AE$19+K724*$AE$20+L724*$AE$21+M724*$AE$22+N724*$AE$23+O724*$AE$24+P724*$AE$25+Q724*$AE$26+R724*$AE$27+S724*$AE$28+T724*$AE$29+U724*$AE$30</f>
        <v/>
      </c>
      <c r="W724" s="8">
        <f>1/(1+EXP(-V724))</f>
        <v/>
      </c>
      <c r="X724" s="9">
        <f>-IF(C724=1,LN(W724),LN(1-W724))</f>
        <v/>
      </c>
      <c r="Y724" s="8">
        <f>IF(C724=1,$AE$32,$AE$33)</f>
        <v/>
      </c>
      <c r="Z724" s="9">
        <f>Y724*X724</f>
        <v/>
      </c>
      <c r="AA724" s="10">
        <f>IF(W724&gt;$AE$34,1,0)</f>
        <v/>
      </c>
      <c r="AB724">
        <f>IF(AA724=C724,1,0)</f>
        <v/>
      </c>
    </row>
    <row r="725">
      <c r="A725">
        <f>'1 datos preparados'!A718</f>
        <v/>
      </c>
      <c r="B725" s="5">
        <f>'1 datos preparados'!U718</f>
        <v/>
      </c>
      <c r="C725">
        <f>'1 datos preparados'!B718</f>
        <v/>
      </c>
      <c r="D725" s="7">
        <f>'1 datos preparados'!C718</f>
        <v/>
      </c>
      <c r="E725" s="7">
        <f>'1 datos preparados'!D718</f>
        <v/>
      </c>
      <c r="F725" s="7">
        <f>'1 datos preparados'!E718</f>
        <v/>
      </c>
      <c r="G725" s="7">
        <f>'1 datos preparados'!F718</f>
        <v/>
      </c>
      <c r="H725" s="7">
        <f>'1 datos preparados'!G718</f>
        <v/>
      </c>
      <c r="I725" s="7">
        <f>'1 datos preparados'!H718</f>
        <v/>
      </c>
      <c r="J725" s="7">
        <f>'1 datos preparados'!I718</f>
        <v/>
      </c>
      <c r="K725" s="7">
        <f>'1 datos preparados'!J718</f>
        <v/>
      </c>
      <c r="L725" s="7">
        <f>'1 datos preparados'!K718</f>
        <v/>
      </c>
      <c r="M725" s="7">
        <f>'1 datos preparados'!L718</f>
        <v/>
      </c>
      <c r="N725" s="7">
        <f>'1 datos preparados'!M718</f>
        <v/>
      </c>
      <c r="O725" s="7">
        <f>'1 datos preparados'!N718</f>
        <v/>
      </c>
      <c r="P725" s="7">
        <f>'1 datos preparados'!O718</f>
        <v/>
      </c>
      <c r="Q725" s="7">
        <f>'1 datos preparados'!P718</f>
        <v/>
      </c>
      <c r="R725" s="7">
        <f>'1 datos preparados'!Q718</f>
        <v/>
      </c>
      <c r="S725" s="7">
        <f>'1 datos preparados'!R718</f>
        <v/>
      </c>
      <c r="T725" s="7">
        <f>'1 datos preparados'!S718</f>
        <v/>
      </c>
      <c r="U725" s="7">
        <f>'1 datos preparados'!T718</f>
        <v/>
      </c>
      <c r="V725" s="8">
        <f>$AE$12+D725*$AE$13+E725*$AE$14+F725*$AE$15+G725*$AE$16+H725*$AE$17+I725*$AE$18+J725*$AE$19+K725*$AE$20+L725*$AE$21+M725*$AE$22+N725*$AE$23+O725*$AE$24+P725*$AE$25+Q725*$AE$26+R725*$AE$27+S725*$AE$28+T725*$AE$29+U725*$AE$30</f>
        <v/>
      </c>
      <c r="W725" s="8">
        <f>1/(1+EXP(-V725))</f>
        <v/>
      </c>
      <c r="X725" s="9">
        <f>-IF(C725=1,LN(W725),LN(1-W725))</f>
        <v/>
      </c>
      <c r="Y725" s="8">
        <f>IF(C725=1,$AE$32,$AE$33)</f>
        <v/>
      </c>
      <c r="Z725" s="9">
        <f>Y725*X725</f>
        <v/>
      </c>
      <c r="AA725" s="10">
        <f>IF(W725&gt;$AE$34,1,0)</f>
        <v/>
      </c>
      <c r="AB725">
        <f>IF(AA725=C725,1,0)</f>
        <v/>
      </c>
    </row>
    <row r="726">
      <c r="A726">
        <f>'1 datos preparados'!A719</f>
        <v/>
      </c>
      <c r="B726" s="5">
        <f>'1 datos preparados'!U719</f>
        <v/>
      </c>
      <c r="C726">
        <f>'1 datos preparados'!B719</f>
        <v/>
      </c>
      <c r="D726" s="7">
        <f>'1 datos preparados'!C719</f>
        <v/>
      </c>
      <c r="E726" s="7">
        <f>'1 datos preparados'!D719</f>
        <v/>
      </c>
      <c r="F726" s="7">
        <f>'1 datos preparados'!E719</f>
        <v/>
      </c>
      <c r="G726" s="7">
        <f>'1 datos preparados'!F719</f>
        <v/>
      </c>
      <c r="H726" s="7">
        <f>'1 datos preparados'!G719</f>
        <v/>
      </c>
      <c r="I726" s="7">
        <f>'1 datos preparados'!H719</f>
        <v/>
      </c>
      <c r="J726" s="7">
        <f>'1 datos preparados'!I719</f>
        <v/>
      </c>
      <c r="K726" s="7">
        <f>'1 datos preparados'!J719</f>
        <v/>
      </c>
      <c r="L726" s="7">
        <f>'1 datos preparados'!K719</f>
        <v/>
      </c>
      <c r="M726" s="7">
        <f>'1 datos preparados'!L719</f>
        <v/>
      </c>
      <c r="N726" s="7">
        <f>'1 datos preparados'!M719</f>
        <v/>
      </c>
      <c r="O726" s="7">
        <f>'1 datos preparados'!N719</f>
        <v/>
      </c>
      <c r="P726" s="7">
        <f>'1 datos preparados'!O719</f>
        <v/>
      </c>
      <c r="Q726" s="7">
        <f>'1 datos preparados'!P719</f>
        <v/>
      </c>
      <c r="R726" s="7">
        <f>'1 datos preparados'!Q719</f>
        <v/>
      </c>
      <c r="S726" s="7">
        <f>'1 datos preparados'!R719</f>
        <v/>
      </c>
      <c r="T726" s="7">
        <f>'1 datos preparados'!S719</f>
        <v/>
      </c>
      <c r="U726" s="7">
        <f>'1 datos preparados'!T719</f>
        <v/>
      </c>
      <c r="V726" s="8">
        <f>$AE$12+D726*$AE$13+E726*$AE$14+F726*$AE$15+G726*$AE$16+H726*$AE$17+I726*$AE$18+J726*$AE$19+K726*$AE$20+L726*$AE$21+M726*$AE$22+N726*$AE$23+O726*$AE$24+P726*$AE$25+Q726*$AE$26+R726*$AE$27+S726*$AE$28+T726*$AE$29+U726*$AE$30</f>
        <v/>
      </c>
      <c r="W726" s="8">
        <f>1/(1+EXP(-V726))</f>
        <v/>
      </c>
      <c r="X726" s="9">
        <f>-IF(C726=1,LN(W726),LN(1-W726))</f>
        <v/>
      </c>
      <c r="Y726" s="8">
        <f>IF(C726=1,$AE$32,$AE$33)</f>
        <v/>
      </c>
      <c r="Z726" s="9">
        <f>Y726*X726</f>
        <v/>
      </c>
      <c r="AA726" s="10">
        <f>IF(W726&gt;$AE$34,1,0)</f>
        <v/>
      </c>
      <c r="AB726">
        <f>IF(AA726=C726,1,0)</f>
        <v/>
      </c>
    </row>
    <row r="727">
      <c r="A727">
        <f>'1 datos preparados'!A720</f>
        <v/>
      </c>
      <c r="B727" s="5">
        <f>'1 datos preparados'!U720</f>
        <v/>
      </c>
      <c r="C727">
        <f>'1 datos preparados'!B720</f>
        <v/>
      </c>
      <c r="D727" s="7">
        <f>'1 datos preparados'!C720</f>
        <v/>
      </c>
      <c r="E727" s="7">
        <f>'1 datos preparados'!D720</f>
        <v/>
      </c>
      <c r="F727" s="7">
        <f>'1 datos preparados'!E720</f>
        <v/>
      </c>
      <c r="G727" s="7">
        <f>'1 datos preparados'!F720</f>
        <v/>
      </c>
      <c r="H727" s="7">
        <f>'1 datos preparados'!G720</f>
        <v/>
      </c>
      <c r="I727" s="7">
        <f>'1 datos preparados'!H720</f>
        <v/>
      </c>
      <c r="J727" s="7">
        <f>'1 datos preparados'!I720</f>
        <v/>
      </c>
      <c r="K727" s="7">
        <f>'1 datos preparados'!J720</f>
        <v/>
      </c>
      <c r="L727" s="7">
        <f>'1 datos preparados'!K720</f>
        <v/>
      </c>
      <c r="M727" s="7">
        <f>'1 datos preparados'!L720</f>
        <v/>
      </c>
      <c r="N727" s="7">
        <f>'1 datos preparados'!M720</f>
        <v/>
      </c>
      <c r="O727" s="7">
        <f>'1 datos preparados'!N720</f>
        <v/>
      </c>
      <c r="P727" s="7">
        <f>'1 datos preparados'!O720</f>
        <v/>
      </c>
      <c r="Q727" s="7">
        <f>'1 datos preparados'!P720</f>
        <v/>
      </c>
      <c r="R727" s="7">
        <f>'1 datos preparados'!Q720</f>
        <v/>
      </c>
      <c r="S727" s="7">
        <f>'1 datos preparados'!R720</f>
        <v/>
      </c>
      <c r="T727" s="7">
        <f>'1 datos preparados'!S720</f>
        <v/>
      </c>
      <c r="U727" s="7">
        <f>'1 datos preparados'!T720</f>
        <v/>
      </c>
      <c r="V727" s="8">
        <f>$AE$12+D727*$AE$13+E727*$AE$14+F727*$AE$15+G727*$AE$16+H727*$AE$17+I727*$AE$18+J727*$AE$19+K727*$AE$20+L727*$AE$21+M727*$AE$22+N727*$AE$23+O727*$AE$24+P727*$AE$25+Q727*$AE$26+R727*$AE$27+S727*$AE$28+T727*$AE$29+U727*$AE$30</f>
        <v/>
      </c>
      <c r="W727" s="8">
        <f>1/(1+EXP(-V727))</f>
        <v/>
      </c>
      <c r="X727" s="9">
        <f>-IF(C727=1,LN(W727),LN(1-W727))</f>
        <v/>
      </c>
      <c r="Y727" s="8">
        <f>IF(C727=1,$AE$32,$AE$33)</f>
        <v/>
      </c>
      <c r="Z727" s="9">
        <f>Y727*X727</f>
        <v/>
      </c>
      <c r="AA727" s="10">
        <f>IF(W727&gt;$AE$34,1,0)</f>
        <v/>
      </c>
      <c r="AB727">
        <f>IF(AA727=C727,1,0)</f>
        <v/>
      </c>
    </row>
    <row r="728">
      <c r="A728">
        <f>'1 datos preparados'!A721</f>
        <v/>
      </c>
      <c r="B728" s="5">
        <f>'1 datos preparados'!U721</f>
        <v/>
      </c>
      <c r="C728">
        <f>'1 datos preparados'!B721</f>
        <v/>
      </c>
      <c r="D728" s="7">
        <f>'1 datos preparados'!C721</f>
        <v/>
      </c>
      <c r="E728" s="7">
        <f>'1 datos preparados'!D721</f>
        <v/>
      </c>
      <c r="F728" s="7">
        <f>'1 datos preparados'!E721</f>
        <v/>
      </c>
      <c r="G728" s="7">
        <f>'1 datos preparados'!F721</f>
        <v/>
      </c>
      <c r="H728" s="7">
        <f>'1 datos preparados'!G721</f>
        <v/>
      </c>
      <c r="I728" s="7">
        <f>'1 datos preparados'!H721</f>
        <v/>
      </c>
      <c r="J728" s="7">
        <f>'1 datos preparados'!I721</f>
        <v/>
      </c>
      <c r="K728" s="7">
        <f>'1 datos preparados'!J721</f>
        <v/>
      </c>
      <c r="L728" s="7">
        <f>'1 datos preparados'!K721</f>
        <v/>
      </c>
      <c r="M728" s="7">
        <f>'1 datos preparados'!L721</f>
        <v/>
      </c>
      <c r="N728" s="7">
        <f>'1 datos preparados'!M721</f>
        <v/>
      </c>
      <c r="O728" s="7">
        <f>'1 datos preparados'!N721</f>
        <v/>
      </c>
      <c r="P728" s="7">
        <f>'1 datos preparados'!O721</f>
        <v/>
      </c>
      <c r="Q728" s="7">
        <f>'1 datos preparados'!P721</f>
        <v/>
      </c>
      <c r="R728" s="7">
        <f>'1 datos preparados'!Q721</f>
        <v/>
      </c>
      <c r="S728" s="7">
        <f>'1 datos preparados'!R721</f>
        <v/>
      </c>
      <c r="T728" s="7">
        <f>'1 datos preparados'!S721</f>
        <v/>
      </c>
      <c r="U728" s="7">
        <f>'1 datos preparados'!T721</f>
        <v/>
      </c>
      <c r="V728" s="8">
        <f>$AE$12+D728*$AE$13+E728*$AE$14+F728*$AE$15+G728*$AE$16+H728*$AE$17+I728*$AE$18+J728*$AE$19+K728*$AE$20+L728*$AE$21+M728*$AE$22+N728*$AE$23+O728*$AE$24+P728*$AE$25+Q728*$AE$26+R728*$AE$27+S728*$AE$28+T728*$AE$29+U728*$AE$30</f>
        <v/>
      </c>
      <c r="W728" s="8">
        <f>1/(1+EXP(-V728))</f>
        <v/>
      </c>
      <c r="X728" s="9">
        <f>-IF(C728=1,LN(W728),LN(1-W728))</f>
        <v/>
      </c>
      <c r="Y728" s="8">
        <f>IF(C728=1,$AE$32,$AE$33)</f>
        <v/>
      </c>
      <c r="Z728" s="9">
        <f>Y728*X728</f>
        <v/>
      </c>
      <c r="AA728" s="10">
        <f>IF(W728&gt;$AE$34,1,0)</f>
        <v/>
      </c>
      <c r="AB728">
        <f>IF(AA728=C728,1,0)</f>
        <v/>
      </c>
    </row>
    <row r="729">
      <c r="A729">
        <f>'1 datos preparados'!A722</f>
        <v/>
      </c>
      <c r="B729" s="5">
        <f>'1 datos preparados'!U722</f>
        <v/>
      </c>
      <c r="C729">
        <f>'1 datos preparados'!B722</f>
        <v/>
      </c>
      <c r="D729" s="7">
        <f>'1 datos preparados'!C722</f>
        <v/>
      </c>
      <c r="E729" s="7">
        <f>'1 datos preparados'!D722</f>
        <v/>
      </c>
      <c r="F729" s="7">
        <f>'1 datos preparados'!E722</f>
        <v/>
      </c>
      <c r="G729" s="7">
        <f>'1 datos preparados'!F722</f>
        <v/>
      </c>
      <c r="H729" s="7">
        <f>'1 datos preparados'!G722</f>
        <v/>
      </c>
      <c r="I729" s="7">
        <f>'1 datos preparados'!H722</f>
        <v/>
      </c>
      <c r="J729" s="7">
        <f>'1 datos preparados'!I722</f>
        <v/>
      </c>
      <c r="K729" s="7">
        <f>'1 datos preparados'!J722</f>
        <v/>
      </c>
      <c r="L729" s="7">
        <f>'1 datos preparados'!K722</f>
        <v/>
      </c>
      <c r="M729" s="7">
        <f>'1 datos preparados'!L722</f>
        <v/>
      </c>
      <c r="N729" s="7">
        <f>'1 datos preparados'!M722</f>
        <v/>
      </c>
      <c r="O729" s="7">
        <f>'1 datos preparados'!N722</f>
        <v/>
      </c>
      <c r="P729" s="7">
        <f>'1 datos preparados'!O722</f>
        <v/>
      </c>
      <c r="Q729" s="7">
        <f>'1 datos preparados'!P722</f>
        <v/>
      </c>
      <c r="R729" s="7">
        <f>'1 datos preparados'!Q722</f>
        <v/>
      </c>
      <c r="S729" s="7">
        <f>'1 datos preparados'!R722</f>
        <v/>
      </c>
      <c r="T729" s="7">
        <f>'1 datos preparados'!S722</f>
        <v/>
      </c>
      <c r="U729" s="7">
        <f>'1 datos preparados'!T722</f>
        <v/>
      </c>
      <c r="V729" s="8">
        <f>$AE$12+D729*$AE$13+E729*$AE$14+F729*$AE$15+G729*$AE$16+H729*$AE$17+I729*$AE$18+J729*$AE$19+K729*$AE$20+L729*$AE$21+M729*$AE$22+N729*$AE$23+O729*$AE$24+P729*$AE$25+Q729*$AE$26+R729*$AE$27+S729*$AE$28+T729*$AE$29+U729*$AE$30</f>
        <v/>
      </c>
      <c r="W729" s="8">
        <f>1/(1+EXP(-V729))</f>
        <v/>
      </c>
      <c r="X729" s="9">
        <f>-IF(C729=1,LN(W729),LN(1-W729))</f>
        <v/>
      </c>
      <c r="Y729" s="8">
        <f>IF(C729=1,$AE$32,$AE$33)</f>
        <v/>
      </c>
      <c r="Z729" s="9">
        <f>Y729*X729</f>
        <v/>
      </c>
      <c r="AA729" s="10">
        <f>IF(W729&gt;$AE$34,1,0)</f>
        <v/>
      </c>
      <c r="AB729">
        <f>IF(AA729=C729,1,0)</f>
        <v/>
      </c>
    </row>
    <row r="730">
      <c r="A730">
        <f>'1 datos preparados'!A723</f>
        <v/>
      </c>
      <c r="B730" s="5">
        <f>'1 datos preparados'!U723</f>
        <v/>
      </c>
      <c r="C730">
        <f>'1 datos preparados'!B723</f>
        <v/>
      </c>
      <c r="D730" s="7">
        <f>'1 datos preparados'!C723</f>
        <v/>
      </c>
      <c r="E730" s="7">
        <f>'1 datos preparados'!D723</f>
        <v/>
      </c>
      <c r="F730" s="7">
        <f>'1 datos preparados'!E723</f>
        <v/>
      </c>
      <c r="G730" s="7">
        <f>'1 datos preparados'!F723</f>
        <v/>
      </c>
      <c r="H730" s="7">
        <f>'1 datos preparados'!G723</f>
        <v/>
      </c>
      <c r="I730" s="7">
        <f>'1 datos preparados'!H723</f>
        <v/>
      </c>
      <c r="J730" s="7">
        <f>'1 datos preparados'!I723</f>
        <v/>
      </c>
      <c r="K730" s="7">
        <f>'1 datos preparados'!J723</f>
        <v/>
      </c>
      <c r="L730" s="7">
        <f>'1 datos preparados'!K723</f>
        <v/>
      </c>
      <c r="M730" s="7">
        <f>'1 datos preparados'!L723</f>
        <v/>
      </c>
      <c r="N730" s="7">
        <f>'1 datos preparados'!M723</f>
        <v/>
      </c>
      <c r="O730" s="7">
        <f>'1 datos preparados'!N723</f>
        <v/>
      </c>
      <c r="P730" s="7">
        <f>'1 datos preparados'!O723</f>
        <v/>
      </c>
      <c r="Q730" s="7">
        <f>'1 datos preparados'!P723</f>
        <v/>
      </c>
      <c r="R730" s="7">
        <f>'1 datos preparados'!Q723</f>
        <v/>
      </c>
      <c r="S730" s="7">
        <f>'1 datos preparados'!R723</f>
        <v/>
      </c>
      <c r="T730" s="7">
        <f>'1 datos preparados'!S723</f>
        <v/>
      </c>
      <c r="U730" s="7">
        <f>'1 datos preparados'!T723</f>
        <v/>
      </c>
      <c r="V730" s="8">
        <f>$AE$12+D730*$AE$13+E730*$AE$14+F730*$AE$15+G730*$AE$16+H730*$AE$17+I730*$AE$18+J730*$AE$19+K730*$AE$20+L730*$AE$21+M730*$AE$22+N730*$AE$23+O730*$AE$24+P730*$AE$25+Q730*$AE$26+R730*$AE$27+S730*$AE$28+T730*$AE$29+U730*$AE$30</f>
        <v/>
      </c>
      <c r="W730" s="8">
        <f>1/(1+EXP(-V730))</f>
        <v/>
      </c>
      <c r="X730" s="9">
        <f>-IF(C730=1,LN(W730),LN(1-W730))</f>
        <v/>
      </c>
      <c r="Y730" s="8">
        <f>IF(C730=1,$AE$32,$AE$33)</f>
        <v/>
      </c>
      <c r="Z730" s="9">
        <f>Y730*X730</f>
        <v/>
      </c>
      <c r="AA730" s="10">
        <f>IF(W730&gt;$AE$34,1,0)</f>
        <v/>
      </c>
      <c r="AB730">
        <f>IF(AA730=C730,1,0)</f>
        <v/>
      </c>
    </row>
    <row r="731">
      <c r="A731">
        <f>'1 datos preparados'!A724</f>
        <v/>
      </c>
      <c r="B731" s="5">
        <f>'1 datos preparados'!U724</f>
        <v/>
      </c>
      <c r="C731">
        <f>'1 datos preparados'!B724</f>
        <v/>
      </c>
      <c r="D731" s="7">
        <f>'1 datos preparados'!C724</f>
        <v/>
      </c>
      <c r="E731" s="7">
        <f>'1 datos preparados'!D724</f>
        <v/>
      </c>
      <c r="F731" s="7">
        <f>'1 datos preparados'!E724</f>
        <v/>
      </c>
      <c r="G731" s="7">
        <f>'1 datos preparados'!F724</f>
        <v/>
      </c>
      <c r="H731" s="7">
        <f>'1 datos preparados'!G724</f>
        <v/>
      </c>
      <c r="I731" s="7">
        <f>'1 datos preparados'!H724</f>
        <v/>
      </c>
      <c r="J731" s="7">
        <f>'1 datos preparados'!I724</f>
        <v/>
      </c>
      <c r="K731" s="7">
        <f>'1 datos preparados'!J724</f>
        <v/>
      </c>
      <c r="L731" s="7">
        <f>'1 datos preparados'!K724</f>
        <v/>
      </c>
      <c r="M731" s="7">
        <f>'1 datos preparados'!L724</f>
        <v/>
      </c>
      <c r="N731" s="7">
        <f>'1 datos preparados'!M724</f>
        <v/>
      </c>
      <c r="O731" s="7">
        <f>'1 datos preparados'!N724</f>
        <v/>
      </c>
      <c r="P731" s="7">
        <f>'1 datos preparados'!O724</f>
        <v/>
      </c>
      <c r="Q731" s="7">
        <f>'1 datos preparados'!P724</f>
        <v/>
      </c>
      <c r="R731" s="7">
        <f>'1 datos preparados'!Q724</f>
        <v/>
      </c>
      <c r="S731" s="7">
        <f>'1 datos preparados'!R724</f>
        <v/>
      </c>
      <c r="T731" s="7">
        <f>'1 datos preparados'!S724</f>
        <v/>
      </c>
      <c r="U731" s="7">
        <f>'1 datos preparados'!T724</f>
        <v/>
      </c>
      <c r="V731" s="8">
        <f>$AE$12+D731*$AE$13+E731*$AE$14+F731*$AE$15+G731*$AE$16+H731*$AE$17+I731*$AE$18+J731*$AE$19+K731*$AE$20+L731*$AE$21+M731*$AE$22+N731*$AE$23+O731*$AE$24+P731*$AE$25+Q731*$AE$26+R731*$AE$27+S731*$AE$28+T731*$AE$29+U731*$AE$30</f>
        <v/>
      </c>
      <c r="W731" s="8">
        <f>1/(1+EXP(-V731))</f>
        <v/>
      </c>
      <c r="X731" s="9">
        <f>-IF(C731=1,LN(W731),LN(1-W731))</f>
        <v/>
      </c>
      <c r="Y731" s="8">
        <f>IF(C731=1,$AE$32,$AE$33)</f>
        <v/>
      </c>
      <c r="Z731" s="9">
        <f>Y731*X731</f>
        <v/>
      </c>
      <c r="AA731" s="10">
        <f>IF(W731&gt;$AE$34,1,0)</f>
        <v/>
      </c>
      <c r="AB731">
        <f>IF(AA731=C731,1,0)</f>
        <v/>
      </c>
    </row>
    <row r="732">
      <c r="A732">
        <f>'1 datos preparados'!A725</f>
        <v/>
      </c>
      <c r="B732" s="5">
        <f>'1 datos preparados'!U725</f>
        <v/>
      </c>
      <c r="C732">
        <f>'1 datos preparados'!B725</f>
        <v/>
      </c>
      <c r="D732" s="7">
        <f>'1 datos preparados'!C725</f>
        <v/>
      </c>
      <c r="E732" s="7">
        <f>'1 datos preparados'!D725</f>
        <v/>
      </c>
      <c r="F732" s="7">
        <f>'1 datos preparados'!E725</f>
        <v/>
      </c>
      <c r="G732" s="7">
        <f>'1 datos preparados'!F725</f>
        <v/>
      </c>
      <c r="H732" s="7">
        <f>'1 datos preparados'!G725</f>
        <v/>
      </c>
      <c r="I732" s="7">
        <f>'1 datos preparados'!H725</f>
        <v/>
      </c>
      <c r="J732" s="7">
        <f>'1 datos preparados'!I725</f>
        <v/>
      </c>
      <c r="K732" s="7">
        <f>'1 datos preparados'!J725</f>
        <v/>
      </c>
      <c r="L732" s="7">
        <f>'1 datos preparados'!K725</f>
        <v/>
      </c>
      <c r="M732" s="7">
        <f>'1 datos preparados'!L725</f>
        <v/>
      </c>
      <c r="N732" s="7">
        <f>'1 datos preparados'!M725</f>
        <v/>
      </c>
      <c r="O732" s="7">
        <f>'1 datos preparados'!N725</f>
        <v/>
      </c>
      <c r="P732" s="7">
        <f>'1 datos preparados'!O725</f>
        <v/>
      </c>
      <c r="Q732" s="7">
        <f>'1 datos preparados'!P725</f>
        <v/>
      </c>
      <c r="R732" s="7">
        <f>'1 datos preparados'!Q725</f>
        <v/>
      </c>
      <c r="S732" s="7">
        <f>'1 datos preparados'!R725</f>
        <v/>
      </c>
      <c r="T732" s="7">
        <f>'1 datos preparados'!S725</f>
        <v/>
      </c>
      <c r="U732" s="7">
        <f>'1 datos preparados'!T725</f>
        <v/>
      </c>
      <c r="V732" s="8">
        <f>$AE$12+D732*$AE$13+E732*$AE$14+F732*$AE$15+G732*$AE$16+H732*$AE$17+I732*$AE$18+J732*$AE$19+K732*$AE$20+L732*$AE$21+M732*$AE$22+N732*$AE$23+O732*$AE$24+P732*$AE$25+Q732*$AE$26+R732*$AE$27+S732*$AE$28+T732*$AE$29+U732*$AE$30</f>
        <v/>
      </c>
      <c r="W732" s="8">
        <f>1/(1+EXP(-V732))</f>
        <v/>
      </c>
      <c r="X732" s="9">
        <f>-IF(C732=1,LN(W732),LN(1-W732))</f>
        <v/>
      </c>
      <c r="Y732" s="8">
        <f>IF(C732=1,$AE$32,$AE$33)</f>
        <v/>
      </c>
      <c r="Z732" s="9">
        <f>Y732*X732</f>
        <v/>
      </c>
      <c r="AA732" s="10">
        <f>IF(W732&gt;$AE$34,1,0)</f>
        <v/>
      </c>
      <c r="AB732">
        <f>IF(AA732=C732,1,0)</f>
        <v/>
      </c>
    </row>
    <row r="733">
      <c r="A733">
        <f>'1 datos preparados'!A726</f>
        <v/>
      </c>
      <c r="B733" s="5">
        <f>'1 datos preparados'!U726</f>
        <v/>
      </c>
      <c r="C733">
        <f>'1 datos preparados'!B726</f>
        <v/>
      </c>
      <c r="D733" s="7">
        <f>'1 datos preparados'!C726</f>
        <v/>
      </c>
      <c r="E733" s="7">
        <f>'1 datos preparados'!D726</f>
        <v/>
      </c>
      <c r="F733" s="7">
        <f>'1 datos preparados'!E726</f>
        <v/>
      </c>
      <c r="G733" s="7">
        <f>'1 datos preparados'!F726</f>
        <v/>
      </c>
      <c r="H733" s="7">
        <f>'1 datos preparados'!G726</f>
        <v/>
      </c>
      <c r="I733" s="7">
        <f>'1 datos preparados'!H726</f>
        <v/>
      </c>
      <c r="J733" s="7">
        <f>'1 datos preparados'!I726</f>
        <v/>
      </c>
      <c r="K733" s="7">
        <f>'1 datos preparados'!J726</f>
        <v/>
      </c>
      <c r="L733" s="7">
        <f>'1 datos preparados'!K726</f>
        <v/>
      </c>
      <c r="M733" s="7">
        <f>'1 datos preparados'!L726</f>
        <v/>
      </c>
      <c r="N733" s="7">
        <f>'1 datos preparados'!M726</f>
        <v/>
      </c>
      <c r="O733" s="7">
        <f>'1 datos preparados'!N726</f>
        <v/>
      </c>
      <c r="P733" s="7">
        <f>'1 datos preparados'!O726</f>
        <v/>
      </c>
      <c r="Q733" s="7">
        <f>'1 datos preparados'!P726</f>
        <v/>
      </c>
      <c r="R733" s="7">
        <f>'1 datos preparados'!Q726</f>
        <v/>
      </c>
      <c r="S733" s="7">
        <f>'1 datos preparados'!R726</f>
        <v/>
      </c>
      <c r="T733" s="7">
        <f>'1 datos preparados'!S726</f>
        <v/>
      </c>
      <c r="U733" s="7">
        <f>'1 datos preparados'!T726</f>
        <v/>
      </c>
      <c r="V733" s="8">
        <f>$AE$12+D733*$AE$13+E733*$AE$14+F733*$AE$15+G733*$AE$16+H733*$AE$17+I733*$AE$18+J733*$AE$19+K733*$AE$20+L733*$AE$21+M733*$AE$22+N733*$AE$23+O733*$AE$24+P733*$AE$25+Q733*$AE$26+R733*$AE$27+S733*$AE$28+T733*$AE$29+U733*$AE$30</f>
        <v/>
      </c>
      <c r="W733" s="8">
        <f>1/(1+EXP(-V733))</f>
        <v/>
      </c>
      <c r="X733" s="9">
        <f>-IF(C733=1,LN(W733),LN(1-W733))</f>
        <v/>
      </c>
      <c r="Y733" s="8">
        <f>IF(C733=1,$AE$32,$AE$33)</f>
        <v/>
      </c>
      <c r="Z733" s="9">
        <f>Y733*X733</f>
        <v/>
      </c>
      <c r="AA733" s="10">
        <f>IF(W733&gt;$AE$34,1,0)</f>
        <v/>
      </c>
      <c r="AB733">
        <f>IF(AA733=C733,1,0)</f>
        <v/>
      </c>
    </row>
    <row r="734">
      <c r="A734">
        <f>'1 datos preparados'!A727</f>
        <v/>
      </c>
      <c r="B734" s="5">
        <f>'1 datos preparados'!U727</f>
        <v/>
      </c>
      <c r="C734">
        <f>'1 datos preparados'!B727</f>
        <v/>
      </c>
      <c r="D734" s="7">
        <f>'1 datos preparados'!C727</f>
        <v/>
      </c>
      <c r="E734" s="7">
        <f>'1 datos preparados'!D727</f>
        <v/>
      </c>
      <c r="F734" s="7">
        <f>'1 datos preparados'!E727</f>
        <v/>
      </c>
      <c r="G734" s="7">
        <f>'1 datos preparados'!F727</f>
        <v/>
      </c>
      <c r="H734" s="7">
        <f>'1 datos preparados'!G727</f>
        <v/>
      </c>
      <c r="I734" s="7">
        <f>'1 datos preparados'!H727</f>
        <v/>
      </c>
      <c r="J734" s="7">
        <f>'1 datos preparados'!I727</f>
        <v/>
      </c>
      <c r="K734" s="7">
        <f>'1 datos preparados'!J727</f>
        <v/>
      </c>
      <c r="L734" s="7">
        <f>'1 datos preparados'!K727</f>
        <v/>
      </c>
      <c r="M734" s="7">
        <f>'1 datos preparados'!L727</f>
        <v/>
      </c>
      <c r="N734" s="7">
        <f>'1 datos preparados'!M727</f>
        <v/>
      </c>
      <c r="O734" s="7">
        <f>'1 datos preparados'!N727</f>
        <v/>
      </c>
      <c r="P734" s="7">
        <f>'1 datos preparados'!O727</f>
        <v/>
      </c>
      <c r="Q734" s="7">
        <f>'1 datos preparados'!P727</f>
        <v/>
      </c>
      <c r="R734" s="7">
        <f>'1 datos preparados'!Q727</f>
        <v/>
      </c>
      <c r="S734" s="7">
        <f>'1 datos preparados'!R727</f>
        <v/>
      </c>
      <c r="T734" s="7">
        <f>'1 datos preparados'!S727</f>
        <v/>
      </c>
      <c r="U734" s="7">
        <f>'1 datos preparados'!T727</f>
        <v/>
      </c>
      <c r="V734" s="8">
        <f>$AE$12+D734*$AE$13+E734*$AE$14+F734*$AE$15+G734*$AE$16+H734*$AE$17+I734*$AE$18+J734*$AE$19+K734*$AE$20+L734*$AE$21+M734*$AE$22+N734*$AE$23+O734*$AE$24+P734*$AE$25+Q734*$AE$26+R734*$AE$27+S734*$AE$28+T734*$AE$29+U734*$AE$30</f>
        <v/>
      </c>
      <c r="W734" s="8">
        <f>1/(1+EXP(-V734))</f>
        <v/>
      </c>
      <c r="X734" s="9">
        <f>-IF(C734=1,LN(W734),LN(1-W734))</f>
        <v/>
      </c>
      <c r="Y734" s="8">
        <f>IF(C734=1,$AE$32,$AE$33)</f>
        <v/>
      </c>
      <c r="Z734" s="9">
        <f>Y734*X734</f>
        <v/>
      </c>
      <c r="AA734" s="10">
        <f>IF(W734&gt;$AE$34,1,0)</f>
        <v/>
      </c>
      <c r="AB734">
        <f>IF(AA734=C734,1,0)</f>
        <v/>
      </c>
    </row>
    <row r="735">
      <c r="A735">
        <f>'1 datos preparados'!A728</f>
        <v/>
      </c>
      <c r="B735" s="5">
        <f>'1 datos preparados'!U728</f>
        <v/>
      </c>
      <c r="C735">
        <f>'1 datos preparados'!B728</f>
        <v/>
      </c>
      <c r="D735" s="7">
        <f>'1 datos preparados'!C728</f>
        <v/>
      </c>
      <c r="E735" s="7">
        <f>'1 datos preparados'!D728</f>
        <v/>
      </c>
      <c r="F735" s="7">
        <f>'1 datos preparados'!E728</f>
        <v/>
      </c>
      <c r="G735" s="7">
        <f>'1 datos preparados'!F728</f>
        <v/>
      </c>
      <c r="H735" s="7">
        <f>'1 datos preparados'!G728</f>
        <v/>
      </c>
      <c r="I735" s="7">
        <f>'1 datos preparados'!H728</f>
        <v/>
      </c>
      <c r="J735" s="7">
        <f>'1 datos preparados'!I728</f>
        <v/>
      </c>
      <c r="K735" s="7">
        <f>'1 datos preparados'!J728</f>
        <v/>
      </c>
      <c r="L735" s="7">
        <f>'1 datos preparados'!K728</f>
        <v/>
      </c>
      <c r="M735" s="7">
        <f>'1 datos preparados'!L728</f>
        <v/>
      </c>
      <c r="N735" s="7">
        <f>'1 datos preparados'!M728</f>
        <v/>
      </c>
      <c r="O735" s="7">
        <f>'1 datos preparados'!N728</f>
        <v/>
      </c>
      <c r="P735" s="7">
        <f>'1 datos preparados'!O728</f>
        <v/>
      </c>
      <c r="Q735" s="7">
        <f>'1 datos preparados'!P728</f>
        <v/>
      </c>
      <c r="R735" s="7">
        <f>'1 datos preparados'!Q728</f>
        <v/>
      </c>
      <c r="S735" s="7">
        <f>'1 datos preparados'!R728</f>
        <v/>
      </c>
      <c r="T735" s="7">
        <f>'1 datos preparados'!S728</f>
        <v/>
      </c>
      <c r="U735" s="7">
        <f>'1 datos preparados'!T728</f>
        <v/>
      </c>
      <c r="V735" s="8">
        <f>$AE$12+D735*$AE$13+E735*$AE$14+F735*$AE$15+G735*$AE$16+H735*$AE$17+I735*$AE$18+J735*$AE$19+K735*$AE$20+L735*$AE$21+M735*$AE$22+N735*$AE$23+O735*$AE$24+P735*$AE$25+Q735*$AE$26+R735*$AE$27+S735*$AE$28+T735*$AE$29+U735*$AE$30</f>
        <v/>
      </c>
      <c r="W735" s="8">
        <f>1/(1+EXP(-V735))</f>
        <v/>
      </c>
      <c r="X735" s="9">
        <f>-IF(C735=1,LN(W735),LN(1-W735))</f>
        <v/>
      </c>
      <c r="Y735" s="8">
        <f>IF(C735=1,$AE$32,$AE$33)</f>
        <v/>
      </c>
      <c r="Z735" s="9">
        <f>Y735*X735</f>
        <v/>
      </c>
      <c r="AA735" s="10">
        <f>IF(W735&gt;$AE$34,1,0)</f>
        <v/>
      </c>
      <c r="AB735">
        <f>IF(AA735=C735,1,0)</f>
        <v/>
      </c>
    </row>
    <row r="736">
      <c r="A736">
        <f>'1 datos preparados'!A729</f>
        <v/>
      </c>
      <c r="B736" s="5">
        <f>'1 datos preparados'!U729</f>
        <v/>
      </c>
      <c r="C736">
        <f>'1 datos preparados'!B729</f>
        <v/>
      </c>
      <c r="D736" s="7">
        <f>'1 datos preparados'!C729</f>
        <v/>
      </c>
      <c r="E736" s="7">
        <f>'1 datos preparados'!D729</f>
        <v/>
      </c>
      <c r="F736" s="7">
        <f>'1 datos preparados'!E729</f>
        <v/>
      </c>
      <c r="G736" s="7">
        <f>'1 datos preparados'!F729</f>
        <v/>
      </c>
      <c r="H736" s="7">
        <f>'1 datos preparados'!G729</f>
        <v/>
      </c>
      <c r="I736" s="7">
        <f>'1 datos preparados'!H729</f>
        <v/>
      </c>
      <c r="J736" s="7">
        <f>'1 datos preparados'!I729</f>
        <v/>
      </c>
      <c r="K736" s="7">
        <f>'1 datos preparados'!J729</f>
        <v/>
      </c>
      <c r="L736" s="7">
        <f>'1 datos preparados'!K729</f>
        <v/>
      </c>
      <c r="M736" s="7">
        <f>'1 datos preparados'!L729</f>
        <v/>
      </c>
      <c r="N736" s="7">
        <f>'1 datos preparados'!M729</f>
        <v/>
      </c>
      <c r="O736" s="7">
        <f>'1 datos preparados'!N729</f>
        <v/>
      </c>
      <c r="P736" s="7">
        <f>'1 datos preparados'!O729</f>
        <v/>
      </c>
      <c r="Q736" s="7">
        <f>'1 datos preparados'!P729</f>
        <v/>
      </c>
      <c r="R736" s="7">
        <f>'1 datos preparados'!Q729</f>
        <v/>
      </c>
      <c r="S736" s="7">
        <f>'1 datos preparados'!R729</f>
        <v/>
      </c>
      <c r="T736" s="7">
        <f>'1 datos preparados'!S729</f>
        <v/>
      </c>
      <c r="U736" s="7">
        <f>'1 datos preparados'!T729</f>
        <v/>
      </c>
      <c r="V736" s="8">
        <f>$AE$12+D736*$AE$13+E736*$AE$14+F736*$AE$15+G736*$AE$16+H736*$AE$17+I736*$AE$18+J736*$AE$19+K736*$AE$20+L736*$AE$21+M736*$AE$22+N736*$AE$23+O736*$AE$24+P736*$AE$25+Q736*$AE$26+R736*$AE$27+S736*$AE$28+T736*$AE$29+U736*$AE$30</f>
        <v/>
      </c>
      <c r="W736" s="8">
        <f>1/(1+EXP(-V736))</f>
        <v/>
      </c>
      <c r="X736" s="9">
        <f>-IF(C736=1,LN(W736),LN(1-W736))</f>
        <v/>
      </c>
      <c r="Y736" s="8">
        <f>IF(C736=1,$AE$32,$AE$33)</f>
        <v/>
      </c>
      <c r="Z736" s="9">
        <f>Y736*X736</f>
        <v/>
      </c>
      <c r="AA736" s="10">
        <f>IF(W736&gt;$AE$34,1,0)</f>
        <v/>
      </c>
      <c r="AB736">
        <f>IF(AA736=C736,1,0)</f>
        <v/>
      </c>
    </row>
    <row r="737">
      <c r="A737">
        <f>'1 datos preparados'!A730</f>
        <v/>
      </c>
      <c r="B737" s="5">
        <f>'1 datos preparados'!U730</f>
        <v/>
      </c>
      <c r="C737">
        <f>'1 datos preparados'!B730</f>
        <v/>
      </c>
      <c r="D737" s="7">
        <f>'1 datos preparados'!C730</f>
        <v/>
      </c>
      <c r="E737" s="7">
        <f>'1 datos preparados'!D730</f>
        <v/>
      </c>
      <c r="F737" s="7">
        <f>'1 datos preparados'!E730</f>
        <v/>
      </c>
      <c r="G737" s="7">
        <f>'1 datos preparados'!F730</f>
        <v/>
      </c>
      <c r="H737" s="7">
        <f>'1 datos preparados'!G730</f>
        <v/>
      </c>
      <c r="I737" s="7">
        <f>'1 datos preparados'!H730</f>
        <v/>
      </c>
      <c r="J737" s="7">
        <f>'1 datos preparados'!I730</f>
        <v/>
      </c>
      <c r="K737" s="7">
        <f>'1 datos preparados'!J730</f>
        <v/>
      </c>
      <c r="L737" s="7">
        <f>'1 datos preparados'!K730</f>
        <v/>
      </c>
      <c r="M737" s="7">
        <f>'1 datos preparados'!L730</f>
        <v/>
      </c>
      <c r="N737" s="7">
        <f>'1 datos preparados'!M730</f>
        <v/>
      </c>
      <c r="O737" s="7">
        <f>'1 datos preparados'!N730</f>
        <v/>
      </c>
      <c r="P737" s="7">
        <f>'1 datos preparados'!O730</f>
        <v/>
      </c>
      <c r="Q737" s="7">
        <f>'1 datos preparados'!P730</f>
        <v/>
      </c>
      <c r="R737" s="7">
        <f>'1 datos preparados'!Q730</f>
        <v/>
      </c>
      <c r="S737" s="7">
        <f>'1 datos preparados'!R730</f>
        <v/>
      </c>
      <c r="T737" s="7">
        <f>'1 datos preparados'!S730</f>
        <v/>
      </c>
      <c r="U737" s="7">
        <f>'1 datos preparados'!T730</f>
        <v/>
      </c>
      <c r="V737" s="8">
        <f>$AE$12+D737*$AE$13+E737*$AE$14+F737*$AE$15+G737*$AE$16+H737*$AE$17+I737*$AE$18+J737*$AE$19+K737*$AE$20+L737*$AE$21+M737*$AE$22+N737*$AE$23+O737*$AE$24+P737*$AE$25+Q737*$AE$26+R737*$AE$27+S737*$AE$28+T737*$AE$29+U737*$AE$30</f>
        <v/>
      </c>
      <c r="W737" s="8">
        <f>1/(1+EXP(-V737))</f>
        <v/>
      </c>
      <c r="X737" s="9">
        <f>-IF(C737=1,LN(W737),LN(1-W737))</f>
        <v/>
      </c>
      <c r="Y737" s="8">
        <f>IF(C737=1,$AE$32,$AE$33)</f>
        <v/>
      </c>
      <c r="Z737" s="9">
        <f>Y737*X737</f>
        <v/>
      </c>
      <c r="AA737" s="10">
        <f>IF(W737&gt;$AE$34,1,0)</f>
        <v/>
      </c>
      <c r="AB737">
        <f>IF(AA737=C737,1,0)</f>
        <v/>
      </c>
    </row>
    <row r="738">
      <c r="A738">
        <f>'1 datos preparados'!A731</f>
        <v/>
      </c>
      <c r="B738" s="5">
        <f>'1 datos preparados'!U731</f>
        <v/>
      </c>
      <c r="C738">
        <f>'1 datos preparados'!B731</f>
        <v/>
      </c>
      <c r="D738" s="7">
        <f>'1 datos preparados'!C731</f>
        <v/>
      </c>
      <c r="E738" s="7">
        <f>'1 datos preparados'!D731</f>
        <v/>
      </c>
      <c r="F738" s="7">
        <f>'1 datos preparados'!E731</f>
        <v/>
      </c>
      <c r="G738" s="7">
        <f>'1 datos preparados'!F731</f>
        <v/>
      </c>
      <c r="H738" s="7">
        <f>'1 datos preparados'!G731</f>
        <v/>
      </c>
      <c r="I738" s="7">
        <f>'1 datos preparados'!H731</f>
        <v/>
      </c>
      <c r="J738" s="7">
        <f>'1 datos preparados'!I731</f>
        <v/>
      </c>
      <c r="K738" s="7">
        <f>'1 datos preparados'!J731</f>
        <v/>
      </c>
      <c r="L738" s="7">
        <f>'1 datos preparados'!K731</f>
        <v/>
      </c>
      <c r="M738" s="7">
        <f>'1 datos preparados'!L731</f>
        <v/>
      </c>
      <c r="N738" s="7">
        <f>'1 datos preparados'!M731</f>
        <v/>
      </c>
      <c r="O738" s="7">
        <f>'1 datos preparados'!N731</f>
        <v/>
      </c>
      <c r="P738" s="7">
        <f>'1 datos preparados'!O731</f>
        <v/>
      </c>
      <c r="Q738" s="7">
        <f>'1 datos preparados'!P731</f>
        <v/>
      </c>
      <c r="R738" s="7">
        <f>'1 datos preparados'!Q731</f>
        <v/>
      </c>
      <c r="S738" s="7">
        <f>'1 datos preparados'!R731</f>
        <v/>
      </c>
      <c r="T738" s="7">
        <f>'1 datos preparados'!S731</f>
        <v/>
      </c>
      <c r="U738" s="7">
        <f>'1 datos preparados'!T731</f>
        <v/>
      </c>
      <c r="V738" s="8">
        <f>$AE$12+D738*$AE$13+E738*$AE$14+F738*$AE$15+G738*$AE$16+H738*$AE$17+I738*$AE$18+J738*$AE$19+K738*$AE$20+L738*$AE$21+M738*$AE$22+N738*$AE$23+O738*$AE$24+P738*$AE$25+Q738*$AE$26+R738*$AE$27+S738*$AE$28+T738*$AE$29+U738*$AE$30</f>
        <v/>
      </c>
      <c r="W738" s="8">
        <f>1/(1+EXP(-V738))</f>
        <v/>
      </c>
      <c r="X738" s="9">
        <f>-IF(C738=1,LN(W738),LN(1-W738))</f>
        <v/>
      </c>
      <c r="Y738" s="8">
        <f>IF(C738=1,$AE$32,$AE$33)</f>
        <v/>
      </c>
      <c r="Z738" s="9">
        <f>Y738*X738</f>
        <v/>
      </c>
      <c r="AA738" s="10">
        <f>IF(W738&gt;$AE$34,1,0)</f>
        <v/>
      </c>
      <c r="AB738">
        <f>IF(AA738=C738,1,0)</f>
        <v/>
      </c>
    </row>
    <row r="739">
      <c r="A739">
        <f>'1 datos preparados'!A732</f>
        <v/>
      </c>
      <c r="B739" s="5">
        <f>'1 datos preparados'!U732</f>
        <v/>
      </c>
      <c r="C739">
        <f>'1 datos preparados'!B732</f>
        <v/>
      </c>
      <c r="D739" s="7">
        <f>'1 datos preparados'!C732</f>
        <v/>
      </c>
      <c r="E739" s="7">
        <f>'1 datos preparados'!D732</f>
        <v/>
      </c>
      <c r="F739" s="7">
        <f>'1 datos preparados'!E732</f>
        <v/>
      </c>
      <c r="G739" s="7">
        <f>'1 datos preparados'!F732</f>
        <v/>
      </c>
      <c r="H739" s="7">
        <f>'1 datos preparados'!G732</f>
        <v/>
      </c>
      <c r="I739" s="7">
        <f>'1 datos preparados'!H732</f>
        <v/>
      </c>
      <c r="J739" s="7">
        <f>'1 datos preparados'!I732</f>
        <v/>
      </c>
      <c r="K739" s="7">
        <f>'1 datos preparados'!J732</f>
        <v/>
      </c>
      <c r="L739" s="7">
        <f>'1 datos preparados'!K732</f>
        <v/>
      </c>
      <c r="M739" s="7">
        <f>'1 datos preparados'!L732</f>
        <v/>
      </c>
      <c r="N739" s="7">
        <f>'1 datos preparados'!M732</f>
        <v/>
      </c>
      <c r="O739" s="7">
        <f>'1 datos preparados'!N732</f>
        <v/>
      </c>
      <c r="P739" s="7">
        <f>'1 datos preparados'!O732</f>
        <v/>
      </c>
      <c r="Q739" s="7">
        <f>'1 datos preparados'!P732</f>
        <v/>
      </c>
      <c r="R739" s="7">
        <f>'1 datos preparados'!Q732</f>
        <v/>
      </c>
      <c r="S739" s="7">
        <f>'1 datos preparados'!R732</f>
        <v/>
      </c>
      <c r="T739" s="7">
        <f>'1 datos preparados'!S732</f>
        <v/>
      </c>
      <c r="U739" s="7">
        <f>'1 datos preparados'!T732</f>
        <v/>
      </c>
      <c r="V739" s="8">
        <f>$AE$12+D739*$AE$13+E739*$AE$14+F739*$AE$15+G739*$AE$16+H739*$AE$17+I739*$AE$18+J739*$AE$19+K739*$AE$20+L739*$AE$21+M739*$AE$22+N739*$AE$23+O739*$AE$24+P739*$AE$25+Q739*$AE$26+R739*$AE$27+S739*$AE$28+T739*$AE$29+U739*$AE$30</f>
        <v/>
      </c>
      <c r="W739" s="8">
        <f>1/(1+EXP(-V739))</f>
        <v/>
      </c>
      <c r="X739" s="9">
        <f>-IF(C739=1,LN(W739),LN(1-W739))</f>
        <v/>
      </c>
      <c r="Y739" s="8">
        <f>IF(C739=1,$AE$32,$AE$33)</f>
        <v/>
      </c>
      <c r="Z739" s="9">
        <f>Y739*X739</f>
        <v/>
      </c>
      <c r="AA739" s="10">
        <f>IF(W739&gt;$AE$34,1,0)</f>
        <v/>
      </c>
      <c r="AB739">
        <f>IF(AA739=C739,1,0)</f>
        <v/>
      </c>
    </row>
    <row r="740">
      <c r="A740">
        <f>'1 datos preparados'!A733</f>
        <v/>
      </c>
      <c r="B740" s="5">
        <f>'1 datos preparados'!U733</f>
        <v/>
      </c>
      <c r="C740">
        <f>'1 datos preparados'!B733</f>
        <v/>
      </c>
      <c r="D740" s="7">
        <f>'1 datos preparados'!C733</f>
        <v/>
      </c>
      <c r="E740" s="7">
        <f>'1 datos preparados'!D733</f>
        <v/>
      </c>
      <c r="F740" s="7">
        <f>'1 datos preparados'!E733</f>
        <v/>
      </c>
      <c r="G740" s="7">
        <f>'1 datos preparados'!F733</f>
        <v/>
      </c>
      <c r="H740" s="7">
        <f>'1 datos preparados'!G733</f>
        <v/>
      </c>
      <c r="I740" s="7">
        <f>'1 datos preparados'!H733</f>
        <v/>
      </c>
      <c r="J740" s="7">
        <f>'1 datos preparados'!I733</f>
        <v/>
      </c>
      <c r="K740" s="7">
        <f>'1 datos preparados'!J733</f>
        <v/>
      </c>
      <c r="L740" s="7">
        <f>'1 datos preparados'!K733</f>
        <v/>
      </c>
      <c r="M740" s="7">
        <f>'1 datos preparados'!L733</f>
        <v/>
      </c>
      <c r="N740" s="7">
        <f>'1 datos preparados'!M733</f>
        <v/>
      </c>
      <c r="O740" s="7">
        <f>'1 datos preparados'!N733</f>
        <v/>
      </c>
      <c r="P740" s="7">
        <f>'1 datos preparados'!O733</f>
        <v/>
      </c>
      <c r="Q740" s="7">
        <f>'1 datos preparados'!P733</f>
        <v/>
      </c>
      <c r="R740" s="7">
        <f>'1 datos preparados'!Q733</f>
        <v/>
      </c>
      <c r="S740" s="7">
        <f>'1 datos preparados'!R733</f>
        <v/>
      </c>
      <c r="T740" s="7">
        <f>'1 datos preparados'!S733</f>
        <v/>
      </c>
      <c r="U740" s="7">
        <f>'1 datos preparados'!T733</f>
        <v/>
      </c>
      <c r="V740" s="8">
        <f>$AE$12+D740*$AE$13+E740*$AE$14+F740*$AE$15+G740*$AE$16+H740*$AE$17+I740*$AE$18+J740*$AE$19+K740*$AE$20+L740*$AE$21+M740*$AE$22+N740*$AE$23+O740*$AE$24+P740*$AE$25+Q740*$AE$26+R740*$AE$27+S740*$AE$28+T740*$AE$29+U740*$AE$30</f>
        <v/>
      </c>
      <c r="W740" s="8">
        <f>1/(1+EXP(-V740))</f>
        <v/>
      </c>
      <c r="X740" s="9">
        <f>-IF(C740=1,LN(W740),LN(1-W740))</f>
        <v/>
      </c>
      <c r="Y740" s="8">
        <f>IF(C740=1,$AE$32,$AE$33)</f>
        <v/>
      </c>
      <c r="Z740" s="9">
        <f>Y740*X740</f>
        <v/>
      </c>
      <c r="AA740" s="10">
        <f>IF(W740&gt;$AE$34,1,0)</f>
        <v/>
      </c>
      <c r="AB740">
        <f>IF(AA740=C740,1,0)</f>
        <v/>
      </c>
    </row>
    <row r="741">
      <c r="A741">
        <f>'1 datos preparados'!A734</f>
        <v/>
      </c>
      <c r="B741" s="5">
        <f>'1 datos preparados'!U734</f>
        <v/>
      </c>
      <c r="C741">
        <f>'1 datos preparados'!B734</f>
        <v/>
      </c>
      <c r="D741" s="7">
        <f>'1 datos preparados'!C734</f>
        <v/>
      </c>
      <c r="E741" s="7">
        <f>'1 datos preparados'!D734</f>
        <v/>
      </c>
      <c r="F741" s="7">
        <f>'1 datos preparados'!E734</f>
        <v/>
      </c>
      <c r="G741" s="7">
        <f>'1 datos preparados'!F734</f>
        <v/>
      </c>
      <c r="H741" s="7">
        <f>'1 datos preparados'!G734</f>
        <v/>
      </c>
      <c r="I741" s="7">
        <f>'1 datos preparados'!H734</f>
        <v/>
      </c>
      <c r="J741" s="7">
        <f>'1 datos preparados'!I734</f>
        <v/>
      </c>
      <c r="K741" s="7">
        <f>'1 datos preparados'!J734</f>
        <v/>
      </c>
      <c r="L741" s="7">
        <f>'1 datos preparados'!K734</f>
        <v/>
      </c>
      <c r="M741" s="7">
        <f>'1 datos preparados'!L734</f>
        <v/>
      </c>
      <c r="N741" s="7">
        <f>'1 datos preparados'!M734</f>
        <v/>
      </c>
      <c r="O741" s="7">
        <f>'1 datos preparados'!N734</f>
        <v/>
      </c>
      <c r="P741" s="7">
        <f>'1 datos preparados'!O734</f>
        <v/>
      </c>
      <c r="Q741" s="7">
        <f>'1 datos preparados'!P734</f>
        <v/>
      </c>
      <c r="R741" s="7">
        <f>'1 datos preparados'!Q734</f>
        <v/>
      </c>
      <c r="S741" s="7">
        <f>'1 datos preparados'!R734</f>
        <v/>
      </c>
      <c r="T741" s="7">
        <f>'1 datos preparados'!S734</f>
        <v/>
      </c>
      <c r="U741" s="7">
        <f>'1 datos preparados'!T734</f>
        <v/>
      </c>
      <c r="V741" s="8">
        <f>$AE$12+D741*$AE$13+E741*$AE$14+F741*$AE$15+G741*$AE$16+H741*$AE$17+I741*$AE$18+J741*$AE$19+K741*$AE$20+L741*$AE$21+M741*$AE$22+N741*$AE$23+O741*$AE$24+P741*$AE$25+Q741*$AE$26+R741*$AE$27+S741*$AE$28+T741*$AE$29+U741*$AE$30</f>
        <v/>
      </c>
      <c r="W741" s="8">
        <f>1/(1+EXP(-V741))</f>
        <v/>
      </c>
      <c r="X741" s="9">
        <f>-IF(C741=1,LN(W741),LN(1-W741))</f>
        <v/>
      </c>
      <c r="Y741" s="8">
        <f>IF(C741=1,$AE$32,$AE$33)</f>
        <v/>
      </c>
      <c r="Z741" s="9">
        <f>Y741*X741</f>
        <v/>
      </c>
      <c r="AA741" s="10">
        <f>IF(W741&gt;$AE$34,1,0)</f>
        <v/>
      </c>
      <c r="AB741">
        <f>IF(AA741=C741,1,0)</f>
        <v/>
      </c>
    </row>
    <row r="742">
      <c r="A742">
        <f>'1 datos preparados'!A735</f>
        <v/>
      </c>
      <c r="B742" s="5">
        <f>'1 datos preparados'!U735</f>
        <v/>
      </c>
      <c r="C742">
        <f>'1 datos preparados'!B735</f>
        <v/>
      </c>
      <c r="D742" s="7">
        <f>'1 datos preparados'!C735</f>
        <v/>
      </c>
      <c r="E742" s="7">
        <f>'1 datos preparados'!D735</f>
        <v/>
      </c>
      <c r="F742" s="7">
        <f>'1 datos preparados'!E735</f>
        <v/>
      </c>
      <c r="G742" s="7">
        <f>'1 datos preparados'!F735</f>
        <v/>
      </c>
      <c r="H742" s="7">
        <f>'1 datos preparados'!G735</f>
        <v/>
      </c>
      <c r="I742" s="7">
        <f>'1 datos preparados'!H735</f>
        <v/>
      </c>
      <c r="J742" s="7">
        <f>'1 datos preparados'!I735</f>
        <v/>
      </c>
      <c r="K742" s="7">
        <f>'1 datos preparados'!J735</f>
        <v/>
      </c>
      <c r="L742" s="7">
        <f>'1 datos preparados'!K735</f>
        <v/>
      </c>
      <c r="M742" s="7">
        <f>'1 datos preparados'!L735</f>
        <v/>
      </c>
      <c r="N742" s="7">
        <f>'1 datos preparados'!M735</f>
        <v/>
      </c>
      <c r="O742" s="7">
        <f>'1 datos preparados'!N735</f>
        <v/>
      </c>
      <c r="P742" s="7">
        <f>'1 datos preparados'!O735</f>
        <v/>
      </c>
      <c r="Q742" s="7">
        <f>'1 datos preparados'!P735</f>
        <v/>
      </c>
      <c r="R742" s="7">
        <f>'1 datos preparados'!Q735</f>
        <v/>
      </c>
      <c r="S742" s="7">
        <f>'1 datos preparados'!R735</f>
        <v/>
      </c>
      <c r="T742" s="7">
        <f>'1 datos preparados'!S735</f>
        <v/>
      </c>
      <c r="U742" s="7">
        <f>'1 datos preparados'!T735</f>
        <v/>
      </c>
      <c r="V742" s="8">
        <f>$AE$12+D742*$AE$13+E742*$AE$14+F742*$AE$15+G742*$AE$16+H742*$AE$17+I742*$AE$18+J742*$AE$19+K742*$AE$20+L742*$AE$21+M742*$AE$22+N742*$AE$23+O742*$AE$24+P742*$AE$25+Q742*$AE$26+R742*$AE$27+S742*$AE$28+T742*$AE$29+U742*$AE$30</f>
        <v/>
      </c>
      <c r="W742" s="8">
        <f>1/(1+EXP(-V742))</f>
        <v/>
      </c>
      <c r="X742" s="9">
        <f>-IF(C742=1,LN(W742),LN(1-W742))</f>
        <v/>
      </c>
      <c r="Y742" s="8">
        <f>IF(C742=1,$AE$32,$AE$33)</f>
        <v/>
      </c>
      <c r="Z742" s="9">
        <f>Y742*X742</f>
        <v/>
      </c>
      <c r="AA742" s="10">
        <f>IF(W742&gt;$AE$34,1,0)</f>
        <v/>
      </c>
      <c r="AB742">
        <f>IF(AA742=C742,1,0)</f>
        <v/>
      </c>
    </row>
    <row r="743">
      <c r="A743">
        <f>'1 datos preparados'!A736</f>
        <v/>
      </c>
      <c r="B743" s="5">
        <f>'1 datos preparados'!U736</f>
        <v/>
      </c>
      <c r="C743">
        <f>'1 datos preparados'!B736</f>
        <v/>
      </c>
      <c r="D743" s="7">
        <f>'1 datos preparados'!C736</f>
        <v/>
      </c>
      <c r="E743" s="7">
        <f>'1 datos preparados'!D736</f>
        <v/>
      </c>
      <c r="F743" s="7">
        <f>'1 datos preparados'!E736</f>
        <v/>
      </c>
      <c r="G743" s="7">
        <f>'1 datos preparados'!F736</f>
        <v/>
      </c>
      <c r="H743" s="7">
        <f>'1 datos preparados'!G736</f>
        <v/>
      </c>
      <c r="I743" s="7">
        <f>'1 datos preparados'!H736</f>
        <v/>
      </c>
      <c r="J743" s="7">
        <f>'1 datos preparados'!I736</f>
        <v/>
      </c>
      <c r="K743" s="7">
        <f>'1 datos preparados'!J736</f>
        <v/>
      </c>
      <c r="L743" s="7">
        <f>'1 datos preparados'!K736</f>
        <v/>
      </c>
      <c r="M743" s="7">
        <f>'1 datos preparados'!L736</f>
        <v/>
      </c>
      <c r="N743" s="7">
        <f>'1 datos preparados'!M736</f>
        <v/>
      </c>
      <c r="O743" s="7">
        <f>'1 datos preparados'!N736</f>
        <v/>
      </c>
      <c r="P743" s="7">
        <f>'1 datos preparados'!O736</f>
        <v/>
      </c>
      <c r="Q743" s="7">
        <f>'1 datos preparados'!P736</f>
        <v/>
      </c>
      <c r="R743" s="7">
        <f>'1 datos preparados'!Q736</f>
        <v/>
      </c>
      <c r="S743" s="7">
        <f>'1 datos preparados'!R736</f>
        <v/>
      </c>
      <c r="T743" s="7">
        <f>'1 datos preparados'!S736</f>
        <v/>
      </c>
      <c r="U743" s="7">
        <f>'1 datos preparados'!T736</f>
        <v/>
      </c>
      <c r="V743" s="8">
        <f>$AE$12+D743*$AE$13+E743*$AE$14+F743*$AE$15+G743*$AE$16+H743*$AE$17+I743*$AE$18+J743*$AE$19+K743*$AE$20+L743*$AE$21+M743*$AE$22+N743*$AE$23+O743*$AE$24+P743*$AE$25+Q743*$AE$26+R743*$AE$27+S743*$AE$28+T743*$AE$29+U743*$AE$30</f>
        <v/>
      </c>
      <c r="W743" s="8">
        <f>1/(1+EXP(-V743))</f>
        <v/>
      </c>
      <c r="X743" s="9">
        <f>-IF(C743=1,LN(W743),LN(1-W743))</f>
        <v/>
      </c>
      <c r="Y743" s="8">
        <f>IF(C743=1,$AE$32,$AE$33)</f>
        <v/>
      </c>
      <c r="Z743" s="9">
        <f>Y743*X743</f>
        <v/>
      </c>
      <c r="AA743" s="10">
        <f>IF(W743&gt;$AE$34,1,0)</f>
        <v/>
      </c>
      <c r="AB743">
        <f>IF(AA743=C743,1,0)</f>
        <v/>
      </c>
    </row>
    <row r="744">
      <c r="A744">
        <f>'1 datos preparados'!A737</f>
        <v/>
      </c>
      <c r="B744" s="5">
        <f>'1 datos preparados'!U737</f>
        <v/>
      </c>
      <c r="C744">
        <f>'1 datos preparados'!B737</f>
        <v/>
      </c>
      <c r="D744" s="7">
        <f>'1 datos preparados'!C737</f>
        <v/>
      </c>
      <c r="E744" s="7">
        <f>'1 datos preparados'!D737</f>
        <v/>
      </c>
      <c r="F744" s="7">
        <f>'1 datos preparados'!E737</f>
        <v/>
      </c>
      <c r="G744" s="7">
        <f>'1 datos preparados'!F737</f>
        <v/>
      </c>
      <c r="H744" s="7">
        <f>'1 datos preparados'!G737</f>
        <v/>
      </c>
      <c r="I744" s="7">
        <f>'1 datos preparados'!H737</f>
        <v/>
      </c>
      <c r="J744" s="7">
        <f>'1 datos preparados'!I737</f>
        <v/>
      </c>
      <c r="K744" s="7">
        <f>'1 datos preparados'!J737</f>
        <v/>
      </c>
      <c r="L744" s="7">
        <f>'1 datos preparados'!K737</f>
        <v/>
      </c>
      <c r="M744" s="7">
        <f>'1 datos preparados'!L737</f>
        <v/>
      </c>
      <c r="N744" s="7">
        <f>'1 datos preparados'!M737</f>
        <v/>
      </c>
      <c r="O744" s="7">
        <f>'1 datos preparados'!N737</f>
        <v/>
      </c>
      <c r="P744" s="7">
        <f>'1 datos preparados'!O737</f>
        <v/>
      </c>
      <c r="Q744" s="7">
        <f>'1 datos preparados'!P737</f>
        <v/>
      </c>
      <c r="R744" s="7">
        <f>'1 datos preparados'!Q737</f>
        <v/>
      </c>
      <c r="S744" s="7">
        <f>'1 datos preparados'!R737</f>
        <v/>
      </c>
      <c r="T744" s="7">
        <f>'1 datos preparados'!S737</f>
        <v/>
      </c>
      <c r="U744" s="7">
        <f>'1 datos preparados'!T737</f>
        <v/>
      </c>
      <c r="V744" s="8">
        <f>$AE$12+D744*$AE$13+E744*$AE$14+F744*$AE$15+G744*$AE$16+H744*$AE$17+I744*$AE$18+J744*$AE$19+K744*$AE$20+L744*$AE$21+M744*$AE$22+N744*$AE$23+O744*$AE$24+P744*$AE$25+Q744*$AE$26+R744*$AE$27+S744*$AE$28+T744*$AE$29+U744*$AE$30</f>
        <v/>
      </c>
      <c r="W744" s="8">
        <f>1/(1+EXP(-V744))</f>
        <v/>
      </c>
      <c r="X744" s="9">
        <f>-IF(C744=1,LN(W744),LN(1-W744))</f>
        <v/>
      </c>
      <c r="Y744" s="8">
        <f>IF(C744=1,$AE$32,$AE$33)</f>
        <v/>
      </c>
      <c r="Z744" s="9">
        <f>Y744*X744</f>
        <v/>
      </c>
      <c r="AA744" s="10">
        <f>IF(W744&gt;$AE$34,1,0)</f>
        <v/>
      </c>
      <c r="AB744">
        <f>IF(AA744=C744,1,0)</f>
        <v/>
      </c>
    </row>
    <row r="745">
      <c r="A745">
        <f>'1 datos preparados'!A738</f>
        <v/>
      </c>
      <c r="B745" s="5">
        <f>'1 datos preparados'!U738</f>
        <v/>
      </c>
      <c r="C745">
        <f>'1 datos preparados'!B738</f>
        <v/>
      </c>
      <c r="D745" s="7">
        <f>'1 datos preparados'!C738</f>
        <v/>
      </c>
      <c r="E745" s="7">
        <f>'1 datos preparados'!D738</f>
        <v/>
      </c>
      <c r="F745" s="7">
        <f>'1 datos preparados'!E738</f>
        <v/>
      </c>
      <c r="G745" s="7">
        <f>'1 datos preparados'!F738</f>
        <v/>
      </c>
      <c r="H745" s="7">
        <f>'1 datos preparados'!G738</f>
        <v/>
      </c>
      <c r="I745" s="7">
        <f>'1 datos preparados'!H738</f>
        <v/>
      </c>
      <c r="J745" s="7">
        <f>'1 datos preparados'!I738</f>
        <v/>
      </c>
      <c r="K745" s="7">
        <f>'1 datos preparados'!J738</f>
        <v/>
      </c>
      <c r="L745" s="7">
        <f>'1 datos preparados'!K738</f>
        <v/>
      </c>
      <c r="M745" s="7">
        <f>'1 datos preparados'!L738</f>
        <v/>
      </c>
      <c r="N745" s="7">
        <f>'1 datos preparados'!M738</f>
        <v/>
      </c>
      <c r="O745" s="7">
        <f>'1 datos preparados'!N738</f>
        <v/>
      </c>
      <c r="P745" s="7">
        <f>'1 datos preparados'!O738</f>
        <v/>
      </c>
      <c r="Q745" s="7">
        <f>'1 datos preparados'!P738</f>
        <v/>
      </c>
      <c r="R745" s="7">
        <f>'1 datos preparados'!Q738</f>
        <v/>
      </c>
      <c r="S745" s="7">
        <f>'1 datos preparados'!R738</f>
        <v/>
      </c>
      <c r="T745" s="7">
        <f>'1 datos preparados'!S738</f>
        <v/>
      </c>
      <c r="U745" s="7">
        <f>'1 datos preparados'!T738</f>
        <v/>
      </c>
      <c r="V745" s="8">
        <f>$AE$12+D745*$AE$13+E745*$AE$14+F745*$AE$15+G745*$AE$16+H745*$AE$17+I745*$AE$18+J745*$AE$19+K745*$AE$20+L745*$AE$21+M745*$AE$22+N745*$AE$23+O745*$AE$24+P745*$AE$25+Q745*$AE$26+R745*$AE$27+S745*$AE$28+T745*$AE$29+U745*$AE$30</f>
        <v/>
      </c>
      <c r="W745" s="8">
        <f>1/(1+EXP(-V745))</f>
        <v/>
      </c>
      <c r="X745" s="9">
        <f>-IF(C745=1,LN(W745),LN(1-W745))</f>
        <v/>
      </c>
      <c r="Y745" s="8">
        <f>IF(C745=1,$AE$32,$AE$33)</f>
        <v/>
      </c>
      <c r="Z745" s="9">
        <f>Y745*X745</f>
        <v/>
      </c>
      <c r="AA745" s="10">
        <f>IF(W745&gt;$AE$34,1,0)</f>
        <v/>
      </c>
      <c r="AB745">
        <f>IF(AA745=C745,1,0)</f>
        <v/>
      </c>
    </row>
    <row r="746">
      <c r="A746">
        <f>'1 datos preparados'!A739</f>
        <v/>
      </c>
      <c r="B746" s="5">
        <f>'1 datos preparados'!U739</f>
        <v/>
      </c>
      <c r="C746">
        <f>'1 datos preparados'!B739</f>
        <v/>
      </c>
      <c r="D746" s="7">
        <f>'1 datos preparados'!C739</f>
        <v/>
      </c>
      <c r="E746" s="7">
        <f>'1 datos preparados'!D739</f>
        <v/>
      </c>
      <c r="F746" s="7">
        <f>'1 datos preparados'!E739</f>
        <v/>
      </c>
      <c r="G746" s="7">
        <f>'1 datos preparados'!F739</f>
        <v/>
      </c>
      <c r="H746" s="7">
        <f>'1 datos preparados'!G739</f>
        <v/>
      </c>
      <c r="I746" s="7">
        <f>'1 datos preparados'!H739</f>
        <v/>
      </c>
      <c r="J746" s="7">
        <f>'1 datos preparados'!I739</f>
        <v/>
      </c>
      <c r="K746" s="7">
        <f>'1 datos preparados'!J739</f>
        <v/>
      </c>
      <c r="L746" s="7">
        <f>'1 datos preparados'!K739</f>
        <v/>
      </c>
      <c r="M746" s="7">
        <f>'1 datos preparados'!L739</f>
        <v/>
      </c>
      <c r="N746" s="7">
        <f>'1 datos preparados'!M739</f>
        <v/>
      </c>
      <c r="O746" s="7">
        <f>'1 datos preparados'!N739</f>
        <v/>
      </c>
      <c r="P746" s="7">
        <f>'1 datos preparados'!O739</f>
        <v/>
      </c>
      <c r="Q746" s="7">
        <f>'1 datos preparados'!P739</f>
        <v/>
      </c>
      <c r="R746" s="7">
        <f>'1 datos preparados'!Q739</f>
        <v/>
      </c>
      <c r="S746" s="7">
        <f>'1 datos preparados'!R739</f>
        <v/>
      </c>
      <c r="T746" s="7">
        <f>'1 datos preparados'!S739</f>
        <v/>
      </c>
      <c r="U746" s="7">
        <f>'1 datos preparados'!T739</f>
        <v/>
      </c>
      <c r="V746" s="8">
        <f>$AE$12+D746*$AE$13+E746*$AE$14+F746*$AE$15+G746*$AE$16+H746*$AE$17+I746*$AE$18+J746*$AE$19+K746*$AE$20+L746*$AE$21+M746*$AE$22+N746*$AE$23+O746*$AE$24+P746*$AE$25+Q746*$AE$26+R746*$AE$27+S746*$AE$28+T746*$AE$29+U746*$AE$30</f>
        <v/>
      </c>
      <c r="W746" s="8">
        <f>1/(1+EXP(-V746))</f>
        <v/>
      </c>
      <c r="X746" s="9">
        <f>-IF(C746=1,LN(W746),LN(1-W746))</f>
        <v/>
      </c>
      <c r="Y746" s="8">
        <f>IF(C746=1,$AE$32,$AE$33)</f>
        <v/>
      </c>
      <c r="Z746" s="9">
        <f>Y746*X746</f>
        <v/>
      </c>
      <c r="AA746" s="10">
        <f>IF(W746&gt;$AE$34,1,0)</f>
        <v/>
      </c>
      <c r="AB746">
        <f>IF(AA746=C746,1,0)</f>
        <v/>
      </c>
    </row>
    <row r="747">
      <c r="A747">
        <f>'1 datos preparados'!A740</f>
        <v/>
      </c>
      <c r="B747" s="5">
        <f>'1 datos preparados'!U740</f>
        <v/>
      </c>
      <c r="C747">
        <f>'1 datos preparados'!B740</f>
        <v/>
      </c>
      <c r="D747" s="7">
        <f>'1 datos preparados'!C740</f>
        <v/>
      </c>
      <c r="E747" s="7">
        <f>'1 datos preparados'!D740</f>
        <v/>
      </c>
      <c r="F747" s="7">
        <f>'1 datos preparados'!E740</f>
        <v/>
      </c>
      <c r="G747" s="7">
        <f>'1 datos preparados'!F740</f>
        <v/>
      </c>
      <c r="H747" s="7">
        <f>'1 datos preparados'!G740</f>
        <v/>
      </c>
      <c r="I747" s="7">
        <f>'1 datos preparados'!H740</f>
        <v/>
      </c>
      <c r="J747" s="7">
        <f>'1 datos preparados'!I740</f>
        <v/>
      </c>
      <c r="K747" s="7">
        <f>'1 datos preparados'!J740</f>
        <v/>
      </c>
      <c r="L747" s="7">
        <f>'1 datos preparados'!K740</f>
        <v/>
      </c>
      <c r="M747" s="7">
        <f>'1 datos preparados'!L740</f>
        <v/>
      </c>
      <c r="N747" s="7">
        <f>'1 datos preparados'!M740</f>
        <v/>
      </c>
      <c r="O747" s="7">
        <f>'1 datos preparados'!N740</f>
        <v/>
      </c>
      <c r="P747" s="7">
        <f>'1 datos preparados'!O740</f>
        <v/>
      </c>
      <c r="Q747" s="7">
        <f>'1 datos preparados'!P740</f>
        <v/>
      </c>
      <c r="R747" s="7">
        <f>'1 datos preparados'!Q740</f>
        <v/>
      </c>
      <c r="S747" s="7">
        <f>'1 datos preparados'!R740</f>
        <v/>
      </c>
      <c r="T747" s="7">
        <f>'1 datos preparados'!S740</f>
        <v/>
      </c>
      <c r="U747" s="7">
        <f>'1 datos preparados'!T740</f>
        <v/>
      </c>
      <c r="V747" s="8">
        <f>$AE$12+D747*$AE$13+E747*$AE$14+F747*$AE$15+G747*$AE$16+H747*$AE$17+I747*$AE$18+J747*$AE$19+K747*$AE$20+L747*$AE$21+M747*$AE$22+N747*$AE$23+O747*$AE$24+P747*$AE$25+Q747*$AE$26+R747*$AE$27+S747*$AE$28+T747*$AE$29+U747*$AE$30</f>
        <v/>
      </c>
      <c r="W747" s="8">
        <f>1/(1+EXP(-V747))</f>
        <v/>
      </c>
      <c r="X747" s="9">
        <f>-IF(C747=1,LN(W747),LN(1-W747))</f>
        <v/>
      </c>
      <c r="Y747" s="8">
        <f>IF(C747=1,$AE$32,$AE$33)</f>
        <v/>
      </c>
      <c r="Z747" s="9">
        <f>Y747*X747</f>
        <v/>
      </c>
      <c r="AA747" s="10">
        <f>IF(W747&gt;$AE$34,1,0)</f>
        <v/>
      </c>
      <c r="AB747">
        <f>IF(AA747=C747,1,0)</f>
        <v/>
      </c>
    </row>
    <row r="748">
      <c r="A748">
        <f>'1 datos preparados'!A741</f>
        <v/>
      </c>
      <c r="B748" s="5">
        <f>'1 datos preparados'!U741</f>
        <v/>
      </c>
      <c r="C748">
        <f>'1 datos preparados'!B741</f>
        <v/>
      </c>
      <c r="D748" s="7">
        <f>'1 datos preparados'!C741</f>
        <v/>
      </c>
      <c r="E748" s="7">
        <f>'1 datos preparados'!D741</f>
        <v/>
      </c>
      <c r="F748" s="7">
        <f>'1 datos preparados'!E741</f>
        <v/>
      </c>
      <c r="G748" s="7">
        <f>'1 datos preparados'!F741</f>
        <v/>
      </c>
      <c r="H748" s="7">
        <f>'1 datos preparados'!G741</f>
        <v/>
      </c>
      <c r="I748" s="7">
        <f>'1 datos preparados'!H741</f>
        <v/>
      </c>
      <c r="J748" s="7">
        <f>'1 datos preparados'!I741</f>
        <v/>
      </c>
      <c r="K748" s="7">
        <f>'1 datos preparados'!J741</f>
        <v/>
      </c>
      <c r="L748" s="7">
        <f>'1 datos preparados'!K741</f>
        <v/>
      </c>
      <c r="M748" s="7">
        <f>'1 datos preparados'!L741</f>
        <v/>
      </c>
      <c r="N748" s="7">
        <f>'1 datos preparados'!M741</f>
        <v/>
      </c>
      <c r="O748" s="7">
        <f>'1 datos preparados'!N741</f>
        <v/>
      </c>
      <c r="P748" s="7">
        <f>'1 datos preparados'!O741</f>
        <v/>
      </c>
      <c r="Q748" s="7">
        <f>'1 datos preparados'!P741</f>
        <v/>
      </c>
      <c r="R748" s="7">
        <f>'1 datos preparados'!Q741</f>
        <v/>
      </c>
      <c r="S748" s="7">
        <f>'1 datos preparados'!R741</f>
        <v/>
      </c>
      <c r="T748" s="7">
        <f>'1 datos preparados'!S741</f>
        <v/>
      </c>
      <c r="U748" s="7">
        <f>'1 datos preparados'!T741</f>
        <v/>
      </c>
      <c r="V748" s="8">
        <f>$AE$12+D748*$AE$13+E748*$AE$14+F748*$AE$15+G748*$AE$16+H748*$AE$17+I748*$AE$18+J748*$AE$19+K748*$AE$20+L748*$AE$21+M748*$AE$22+N748*$AE$23+O748*$AE$24+P748*$AE$25+Q748*$AE$26+R748*$AE$27+S748*$AE$28+T748*$AE$29+U748*$AE$30</f>
        <v/>
      </c>
      <c r="W748" s="8">
        <f>1/(1+EXP(-V748))</f>
        <v/>
      </c>
      <c r="X748" s="9">
        <f>-IF(C748=1,LN(W748),LN(1-W748))</f>
        <v/>
      </c>
      <c r="Y748" s="8">
        <f>IF(C748=1,$AE$32,$AE$33)</f>
        <v/>
      </c>
      <c r="Z748" s="9">
        <f>Y748*X748</f>
        <v/>
      </c>
      <c r="AA748" s="10">
        <f>IF(W748&gt;$AE$34,1,0)</f>
        <v/>
      </c>
      <c r="AB748">
        <f>IF(AA748=C748,1,0)</f>
        <v/>
      </c>
    </row>
    <row r="749">
      <c r="A749">
        <f>'1 datos preparados'!A742</f>
        <v/>
      </c>
      <c r="B749" s="5">
        <f>'1 datos preparados'!U742</f>
        <v/>
      </c>
      <c r="C749">
        <f>'1 datos preparados'!B742</f>
        <v/>
      </c>
      <c r="D749" s="7">
        <f>'1 datos preparados'!C742</f>
        <v/>
      </c>
      <c r="E749" s="7">
        <f>'1 datos preparados'!D742</f>
        <v/>
      </c>
      <c r="F749" s="7">
        <f>'1 datos preparados'!E742</f>
        <v/>
      </c>
      <c r="G749" s="7">
        <f>'1 datos preparados'!F742</f>
        <v/>
      </c>
      <c r="H749" s="7">
        <f>'1 datos preparados'!G742</f>
        <v/>
      </c>
      <c r="I749" s="7">
        <f>'1 datos preparados'!H742</f>
        <v/>
      </c>
      <c r="J749" s="7">
        <f>'1 datos preparados'!I742</f>
        <v/>
      </c>
      <c r="K749" s="7">
        <f>'1 datos preparados'!J742</f>
        <v/>
      </c>
      <c r="L749" s="7">
        <f>'1 datos preparados'!K742</f>
        <v/>
      </c>
      <c r="M749" s="7">
        <f>'1 datos preparados'!L742</f>
        <v/>
      </c>
      <c r="N749" s="7">
        <f>'1 datos preparados'!M742</f>
        <v/>
      </c>
      <c r="O749" s="7">
        <f>'1 datos preparados'!N742</f>
        <v/>
      </c>
      <c r="P749" s="7">
        <f>'1 datos preparados'!O742</f>
        <v/>
      </c>
      <c r="Q749" s="7">
        <f>'1 datos preparados'!P742</f>
        <v/>
      </c>
      <c r="R749" s="7">
        <f>'1 datos preparados'!Q742</f>
        <v/>
      </c>
      <c r="S749" s="7">
        <f>'1 datos preparados'!R742</f>
        <v/>
      </c>
      <c r="T749" s="7">
        <f>'1 datos preparados'!S742</f>
        <v/>
      </c>
      <c r="U749" s="7">
        <f>'1 datos preparados'!T742</f>
        <v/>
      </c>
      <c r="V749" s="8">
        <f>$AE$12+D749*$AE$13+E749*$AE$14+F749*$AE$15+G749*$AE$16+H749*$AE$17+I749*$AE$18+J749*$AE$19+K749*$AE$20+L749*$AE$21+M749*$AE$22+N749*$AE$23+O749*$AE$24+P749*$AE$25+Q749*$AE$26+R749*$AE$27+S749*$AE$28+T749*$AE$29+U749*$AE$30</f>
        <v/>
      </c>
      <c r="W749" s="8">
        <f>1/(1+EXP(-V749))</f>
        <v/>
      </c>
      <c r="X749" s="9">
        <f>-IF(C749=1,LN(W749),LN(1-W749))</f>
        <v/>
      </c>
      <c r="Y749" s="8">
        <f>IF(C749=1,$AE$32,$AE$33)</f>
        <v/>
      </c>
      <c r="Z749" s="9">
        <f>Y749*X749</f>
        <v/>
      </c>
      <c r="AA749" s="10">
        <f>IF(W749&gt;$AE$34,1,0)</f>
        <v/>
      </c>
      <c r="AB749">
        <f>IF(AA749=C749,1,0)</f>
        <v/>
      </c>
    </row>
    <row r="750">
      <c r="A750">
        <f>'1 datos preparados'!A743</f>
        <v/>
      </c>
      <c r="B750" s="5">
        <f>'1 datos preparados'!U743</f>
        <v/>
      </c>
      <c r="C750">
        <f>'1 datos preparados'!B743</f>
        <v/>
      </c>
      <c r="D750" s="7">
        <f>'1 datos preparados'!C743</f>
        <v/>
      </c>
      <c r="E750" s="7">
        <f>'1 datos preparados'!D743</f>
        <v/>
      </c>
      <c r="F750" s="7">
        <f>'1 datos preparados'!E743</f>
        <v/>
      </c>
      <c r="G750" s="7">
        <f>'1 datos preparados'!F743</f>
        <v/>
      </c>
      <c r="H750" s="7">
        <f>'1 datos preparados'!G743</f>
        <v/>
      </c>
      <c r="I750" s="7">
        <f>'1 datos preparados'!H743</f>
        <v/>
      </c>
      <c r="J750" s="7">
        <f>'1 datos preparados'!I743</f>
        <v/>
      </c>
      <c r="K750" s="7">
        <f>'1 datos preparados'!J743</f>
        <v/>
      </c>
      <c r="L750" s="7">
        <f>'1 datos preparados'!K743</f>
        <v/>
      </c>
      <c r="M750" s="7">
        <f>'1 datos preparados'!L743</f>
        <v/>
      </c>
      <c r="N750" s="7">
        <f>'1 datos preparados'!M743</f>
        <v/>
      </c>
      <c r="O750" s="7">
        <f>'1 datos preparados'!N743</f>
        <v/>
      </c>
      <c r="P750" s="7">
        <f>'1 datos preparados'!O743</f>
        <v/>
      </c>
      <c r="Q750" s="7">
        <f>'1 datos preparados'!P743</f>
        <v/>
      </c>
      <c r="R750" s="7">
        <f>'1 datos preparados'!Q743</f>
        <v/>
      </c>
      <c r="S750" s="7">
        <f>'1 datos preparados'!R743</f>
        <v/>
      </c>
      <c r="T750" s="7">
        <f>'1 datos preparados'!S743</f>
        <v/>
      </c>
      <c r="U750" s="7">
        <f>'1 datos preparados'!T743</f>
        <v/>
      </c>
      <c r="V750" s="8">
        <f>$AE$12+D750*$AE$13+E750*$AE$14+F750*$AE$15+G750*$AE$16+H750*$AE$17+I750*$AE$18+J750*$AE$19+K750*$AE$20+L750*$AE$21+M750*$AE$22+N750*$AE$23+O750*$AE$24+P750*$AE$25+Q750*$AE$26+R750*$AE$27+S750*$AE$28+T750*$AE$29+U750*$AE$30</f>
        <v/>
      </c>
      <c r="W750" s="8">
        <f>1/(1+EXP(-V750))</f>
        <v/>
      </c>
      <c r="X750" s="9">
        <f>-IF(C750=1,LN(W750),LN(1-W750))</f>
        <v/>
      </c>
      <c r="Y750" s="8">
        <f>IF(C750=1,$AE$32,$AE$33)</f>
        <v/>
      </c>
      <c r="Z750" s="9">
        <f>Y750*X750</f>
        <v/>
      </c>
      <c r="AA750" s="10">
        <f>IF(W750&gt;$AE$34,1,0)</f>
        <v/>
      </c>
      <c r="AB750">
        <f>IF(AA750=C750,1,0)</f>
        <v/>
      </c>
    </row>
    <row r="751">
      <c r="A751">
        <f>'1 datos preparados'!A744</f>
        <v/>
      </c>
      <c r="B751" s="5">
        <f>'1 datos preparados'!U744</f>
        <v/>
      </c>
      <c r="C751">
        <f>'1 datos preparados'!B744</f>
        <v/>
      </c>
      <c r="D751" s="7">
        <f>'1 datos preparados'!C744</f>
        <v/>
      </c>
      <c r="E751" s="7">
        <f>'1 datos preparados'!D744</f>
        <v/>
      </c>
      <c r="F751" s="7">
        <f>'1 datos preparados'!E744</f>
        <v/>
      </c>
      <c r="G751" s="7">
        <f>'1 datos preparados'!F744</f>
        <v/>
      </c>
      <c r="H751" s="7">
        <f>'1 datos preparados'!G744</f>
        <v/>
      </c>
      <c r="I751" s="7">
        <f>'1 datos preparados'!H744</f>
        <v/>
      </c>
      <c r="J751" s="7">
        <f>'1 datos preparados'!I744</f>
        <v/>
      </c>
      <c r="K751" s="7">
        <f>'1 datos preparados'!J744</f>
        <v/>
      </c>
      <c r="L751" s="7">
        <f>'1 datos preparados'!K744</f>
        <v/>
      </c>
      <c r="M751" s="7">
        <f>'1 datos preparados'!L744</f>
        <v/>
      </c>
      <c r="N751" s="7">
        <f>'1 datos preparados'!M744</f>
        <v/>
      </c>
      <c r="O751" s="7">
        <f>'1 datos preparados'!N744</f>
        <v/>
      </c>
      <c r="P751" s="7">
        <f>'1 datos preparados'!O744</f>
        <v/>
      </c>
      <c r="Q751" s="7">
        <f>'1 datos preparados'!P744</f>
        <v/>
      </c>
      <c r="R751" s="7">
        <f>'1 datos preparados'!Q744</f>
        <v/>
      </c>
      <c r="S751" s="7">
        <f>'1 datos preparados'!R744</f>
        <v/>
      </c>
      <c r="T751" s="7">
        <f>'1 datos preparados'!S744</f>
        <v/>
      </c>
      <c r="U751" s="7">
        <f>'1 datos preparados'!T744</f>
        <v/>
      </c>
      <c r="V751" s="8">
        <f>$AE$12+D751*$AE$13+E751*$AE$14+F751*$AE$15+G751*$AE$16+H751*$AE$17+I751*$AE$18+J751*$AE$19+K751*$AE$20+L751*$AE$21+M751*$AE$22+N751*$AE$23+O751*$AE$24+P751*$AE$25+Q751*$AE$26+R751*$AE$27+S751*$AE$28+T751*$AE$29+U751*$AE$30</f>
        <v/>
      </c>
      <c r="W751" s="8">
        <f>1/(1+EXP(-V751))</f>
        <v/>
      </c>
      <c r="X751" s="9">
        <f>-IF(C751=1,LN(W751),LN(1-W751))</f>
        <v/>
      </c>
      <c r="Y751" s="8">
        <f>IF(C751=1,$AE$32,$AE$33)</f>
        <v/>
      </c>
      <c r="Z751" s="9">
        <f>Y751*X751</f>
        <v/>
      </c>
      <c r="AA751" s="10">
        <f>IF(W751&gt;$AE$34,1,0)</f>
        <v/>
      </c>
      <c r="AB751">
        <f>IF(AA751=C751,1,0)</f>
        <v/>
      </c>
    </row>
    <row r="752">
      <c r="A752">
        <f>'1 datos preparados'!A745</f>
        <v/>
      </c>
      <c r="B752" s="5">
        <f>'1 datos preparados'!U745</f>
        <v/>
      </c>
      <c r="C752">
        <f>'1 datos preparados'!B745</f>
        <v/>
      </c>
      <c r="D752" s="7">
        <f>'1 datos preparados'!C745</f>
        <v/>
      </c>
      <c r="E752" s="7">
        <f>'1 datos preparados'!D745</f>
        <v/>
      </c>
      <c r="F752" s="7">
        <f>'1 datos preparados'!E745</f>
        <v/>
      </c>
      <c r="G752" s="7">
        <f>'1 datos preparados'!F745</f>
        <v/>
      </c>
      <c r="H752" s="7">
        <f>'1 datos preparados'!G745</f>
        <v/>
      </c>
      <c r="I752" s="7">
        <f>'1 datos preparados'!H745</f>
        <v/>
      </c>
      <c r="J752" s="7">
        <f>'1 datos preparados'!I745</f>
        <v/>
      </c>
      <c r="K752" s="7">
        <f>'1 datos preparados'!J745</f>
        <v/>
      </c>
      <c r="L752" s="7">
        <f>'1 datos preparados'!K745</f>
        <v/>
      </c>
      <c r="M752" s="7">
        <f>'1 datos preparados'!L745</f>
        <v/>
      </c>
      <c r="N752" s="7">
        <f>'1 datos preparados'!M745</f>
        <v/>
      </c>
      <c r="O752" s="7">
        <f>'1 datos preparados'!N745</f>
        <v/>
      </c>
      <c r="P752" s="7">
        <f>'1 datos preparados'!O745</f>
        <v/>
      </c>
      <c r="Q752" s="7">
        <f>'1 datos preparados'!P745</f>
        <v/>
      </c>
      <c r="R752" s="7">
        <f>'1 datos preparados'!Q745</f>
        <v/>
      </c>
      <c r="S752" s="7">
        <f>'1 datos preparados'!R745</f>
        <v/>
      </c>
      <c r="T752" s="7">
        <f>'1 datos preparados'!S745</f>
        <v/>
      </c>
      <c r="U752" s="7">
        <f>'1 datos preparados'!T745</f>
        <v/>
      </c>
      <c r="V752" s="8">
        <f>$AE$12+D752*$AE$13+E752*$AE$14+F752*$AE$15+G752*$AE$16+H752*$AE$17+I752*$AE$18+J752*$AE$19+K752*$AE$20+L752*$AE$21+M752*$AE$22+N752*$AE$23+O752*$AE$24+P752*$AE$25+Q752*$AE$26+R752*$AE$27+S752*$AE$28+T752*$AE$29+U752*$AE$30</f>
        <v/>
      </c>
      <c r="W752" s="8">
        <f>1/(1+EXP(-V752))</f>
        <v/>
      </c>
      <c r="X752" s="9">
        <f>-IF(C752=1,LN(W752),LN(1-W752))</f>
        <v/>
      </c>
      <c r="Y752" s="8">
        <f>IF(C752=1,$AE$32,$AE$33)</f>
        <v/>
      </c>
      <c r="Z752" s="9">
        <f>Y752*X752</f>
        <v/>
      </c>
      <c r="AA752" s="10">
        <f>IF(W752&gt;$AE$34,1,0)</f>
        <v/>
      </c>
      <c r="AB752">
        <f>IF(AA752=C752,1,0)</f>
        <v/>
      </c>
    </row>
    <row r="753">
      <c r="A753">
        <f>'1 datos preparados'!A746</f>
        <v/>
      </c>
      <c r="B753" s="5">
        <f>'1 datos preparados'!U746</f>
        <v/>
      </c>
      <c r="C753">
        <f>'1 datos preparados'!B746</f>
        <v/>
      </c>
      <c r="D753" s="7">
        <f>'1 datos preparados'!C746</f>
        <v/>
      </c>
      <c r="E753" s="7">
        <f>'1 datos preparados'!D746</f>
        <v/>
      </c>
      <c r="F753" s="7">
        <f>'1 datos preparados'!E746</f>
        <v/>
      </c>
      <c r="G753" s="7">
        <f>'1 datos preparados'!F746</f>
        <v/>
      </c>
      <c r="H753" s="7">
        <f>'1 datos preparados'!G746</f>
        <v/>
      </c>
      <c r="I753" s="7">
        <f>'1 datos preparados'!H746</f>
        <v/>
      </c>
      <c r="J753" s="7">
        <f>'1 datos preparados'!I746</f>
        <v/>
      </c>
      <c r="K753" s="7">
        <f>'1 datos preparados'!J746</f>
        <v/>
      </c>
      <c r="L753" s="7">
        <f>'1 datos preparados'!K746</f>
        <v/>
      </c>
      <c r="M753" s="7">
        <f>'1 datos preparados'!L746</f>
        <v/>
      </c>
      <c r="N753" s="7">
        <f>'1 datos preparados'!M746</f>
        <v/>
      </c>
      <c r="O753" s="7">
        <f>'1 datos preparados'!N746</f>
        <v/>
      </c>
      <c r="P753" s="7">
        <f>'1 datos preparados'!O746</f>
        <v/>
      </c>
      <c r="Q753" s="7">
        <f>'1 datos preparados'!P746</f>
        <v/>
      </c>
      <c r="R753" s="7">
        <f>'1 datos preparados'!Q746</f>
        <v/>
      </c>
      <c r="S753" s="7">
        <f>'1 datos preparados'!R746</f>
        <v/>
      </c>
      <c r="T753" s="7">
        <f>'1 datos preparados'!S746</f>
        <v/>
      </c>
      <c r="U753" s="7">
        <f>'1 datos preparados'!T746</f>
        <v/>
      </c>
      <c r="V753" s="8">
        <f>$AE$12+D753*$AE$13+E753*$AE$14+F753*$AE$15+G753*$AE$16+H753*$AE$17+I753*$AE$18+J753*$AE$19+K753*$AE$20+L753*$AE$21+M753*$AE$22+N753*$AE$23+O753*$AE$24+P753*$AE$25+Q753*$AE$26+R753*$AE$27+S753*$AE$28+T753*$AE$29+U753*$AE$30</f>
        <v/>
      </c>
      <c r="W753" s="8">
        <f>1/(1+EXP(-V753))</f>
        <v/>
      </c>
      <c r="X753" s="9">
        <f>-IF(C753=1,LN(W753),LN(1-W753))</f>
        <v/>
      </c>
      <c r="Y753" s="8">
        <f>IF(C753=1,$AE$32,$AE$33)</f>
        <v/>
      </c>
      <c r="Z753" s="9">
        <f>Y753*X753</f>
        <v/>
      </c>
      <c r="AA753" s="10">
        <f>IF(W753&gt;$AE$34,1,0)</f>
        <v/>
      </c>
      <c r="AB753">
        <f>IF(AA753=C753,1,0)</f>
        <v/>
      </c>
    </row>
    <row r="754">
      <c r="A754">
        <f>'1 datos preparados'!A747</f>
        <v/>
      </c>
      <c r="B754" s="5">
        <f>'1 datos preparados'!U747</f>
        <v/>
      </c>
      <c r="C754">
        <f>'1 datos preparados'!B747</f>
        <v/>
      </c>
      <c r="D754" s="7">
        <f>'1 datos preparados'!C747</f>
        <v/>
      </c>
      <c r="E754" s="7">
        <f>'1 datos preparados'!D747</f>
        <v/>
      </c>
      <c r="F754" s="7">
        <f>'1 datos preparados'!E747</f>
        <v/>
      </c>
      <c r="G754" s="7">
        <f>'1 datos preparados'!F747</f>
        <v/>
      </c>
      <c r="H754" s="7">
        <f>'1 datos preparados'!G747</f>
        <v/>
      </c>
      <c r="I754" s="7">
        <f>'1 datos preparados'!H747</f>
        <v/>
      </c>
      <c r="J754" s="7">
        <f>'1 datos preparados'!I747</f>
        <v/>
      </c>
      <c r="K754" s="7">
        <f>'1 datos preparados'!J747</f>
        <v/>
      </c>
      <c r="L754" s="7">
        <f>'1 datos preparados'!K747</f>
        <v/>
      </c>
      <c r="M754" s="7">
        <f>'1 datos preparados'!L747</f>
        <v/>
      </c>
      <c r="N754" s="7">
        <f>'1 datos preparados'!M747</f>
        <v/>
      </c>
      <c r="O754" s="7">
        <f>'1 datos preparados'!N747</f>
        <v/>
      </c>
      <c r="P754" s="7">
        <f>'1 datos preparados'!O747</f>
        <v/>
      </c>
      <c r="Q754" s="7">
        <f>'1 datos preparados'!P747</f>
        <v/>
      </c>
      <c r="R754" s="7">
        <f>'1 datos preparados'!Q747</f>
        <v/>
      </c>
      <c r="S754" s="7">
        <f>'1 datos preparados'!R747</f>
        <v/>
      </c>
      <c r="T754" s="7">
        <f>'1 datos preparados'!S747</f>
        <v/>
      </c>
      <c r="U754" s="7">
        <f>'1 datos preparados'!T747</f>
        <v/>
      </c>
      <c r="V754" s="8">
        <f>$AE$12+D754*$AE$13+E754*$AE$14+F754*$AE$15+G754*$AE$16+H754*$AE$17+I754*$AE$18+J754*$AE$19+K754*$AE$20+L754*$AE$21+M754*$AE$22+N754*$AE$23+O754*$AE$24+P754*$AE$25+Q754*$AE$26+R754*$AE$27+S754*$AE$28+T754*$AE$29+U754*$AE$30</f>
        <v/>
      </c>
      <c r="W754" s="8">
        <f>1/(1+EXP(-V754))</f>
        <v/>
      </c>
      <c r="X754" s="9">
        <f>-IF(C754=1,LN(W754),LN(1-W754))</f>
        <v/>
      </c>
      <c r="Y754" s="8">
        <f>IF(C754=1,$AE$32,$AE$33)</f>
        <v/>
      </c>
      <c r="Z754" s="9">
        <f>Y754*X754</f>
        <v/>
      </c>
      <c r="AA754" s="10">
        <f>IF(W754&gt;$AE$34,1,0)</f>
        <v/>
      </c>
      <c r="AB754">
        <f>IF(AA754=C754,1,0)</f>
        <v/>
      </c>
    </row>
    <row r="755">
      <c r="A755">
        <f>'1 datos preparados'!A748</f>
        <v/>
      </c>
      <c r="B755" s="5">
        <f>'1 datos preparados'!U748</f>
        <v/>
      </c>
      <c r="C755">
        <f>'1 datos preparados'!B748</f>
        <v/>
      </c>
      <c r="D755" s="7">
        <f>'1 datos preparados'!C748</f>
        <v/>
      </c>
      <c r="E755" s="7">
        <f>'1 datos preparados'!D748</f>
        <v/>
      </c>
      <c r="F755" s="7">
        <f>'1 datos preparados'!E748</f>
        <v/>
      </c>
      <c r="G755" s="7">
        <f>'1 datos preparados'!F748</f>
        <v/>
      </c>
      <c r="H755" s="7">
        <f>'1 datos preparados'!G748</f>
        <v/>
      </c>
      <c r="I755" s="7">
        <f>'1 datos preparados'!H748</f>
        <v/>
      </c>
      <c r="J755" s="7">
        <f>'1 datos preparados'!I748</f>
        <v/>
      </c>
      <c r="K755" s="7">
        <f>'1 datos preparados'!J748</f>
        <v/>
      </c>
      <c r="L755" s="7">
        <f>'1 datos preparados'!K748</f>
        <v/>
      </c>
      <c r="M755" s="7">
        <f>'1 datos preparados'!L748</f>
        <v/>
      </c>
      <c r="N755" s="7">
        <f>'1 datos preparados'!M748</f>
        <v/>
      </c>
      <c r="O755" s="7">
        <f>'1 datos preparados'!N748</f>
        <v/>
      </c>
      <c r="P755" s="7">
        <f>'1 datos preparados'!O748</f>
        <v/>
      </c>
      <c r="Q755" s="7">
        <f>'1 datos preparados'!P748</f>
        <v/>
      </c>
      <c r="R755" s="7">
        <f>'1 datos preparados'!Q748</f>
        <v/>
      </c>
      <c r="S755" s="7">
        <f>'1 datos preparados'!R748</f>
        <v/>
      </c>
      <c r="T755" s="7">
        <f>'1 datos preparados'!S748</f>
        <v/>
      </c>
      <c r="U755" s="7">
        <f>'1 datos preparados'!T748</f>
        <v/>
      </c>
      <c r="V755" s="8">
        <f>$AE$12+D755*$AE$13+E755*$AE$14+F755*$AE$15+G755*$AE$16+H755*$AE$17+I755*$AE$18+J755*$AE$19+K755*$AE$20+L755*$AE$21+M755*$AE$22+N755*$AE$23+O755*$AE$24+P755*$AE$25+Q755*$AE$26+R755*$AE$27+S755*$AE$28+T755*$AE$29+U755*$AE$30</f>
        <v/>
      </c>
      <c r="W755" s="8">
        <f>1/(1+EXP(-V755))</f>
        <v/>
      </c>
      <c r="X755" s="9">
        <f>-IF(C755=1,LN(W755),LN(1-W755))</f>
        <v/>
      </c>
      <c r="Y755" s="8">
        <f>IF(C755=1,$AE$32,$AE$33)</f>
        <v/>
      </c>
      <c r="Z755" s="9">
        <f>Y755*X755</f>
        <v/>
      </c>
      <c r="AA755" s="10">
        <f>IF(W755&gt;$AE$34,1,0)</f>
        <v/>
      </c>
      <c r="AB755">
        <f>IF(AA755=C755,1,0)</f>
        <v/>
      </c>
    </row>
    <row r="756">
      <c r="A756">
        <f>'1 datos preparados'!A749</f>
        <v/>
      </c>
      <c r="B756" s="5">
        <f>'1 datos preparados'!U749</f>
        <v/>
      </c>
      <c r="C756">
        <f>'1 datos preparados'!B749</f>
        <v/>
      </c>
      <c r="D756" s="7">
        <f>'1 datos preparados'!C749</f>
        <v/>
      </c>
      <c r="E756" s="7">
        <f>'1 datos preparados'!D749</f>
        <v/>
      </c>
      <c r="F756" s="7">
        <f>'1 datos preparados'!E749</f>
        <v/>
      </c>
      <c r="G756" s="7">
        <f>'1 datos preparados'!F749</f>
        <v/>
      </c>
      <c r="H756" s="7">
        <f>'1 datos preparados'!G749</f>
        <v/>
      </c>
      <c r="I756" s="7">
        <f>'1 datos preparados'!H749</f>
        <v/>
      </c>
      <c r="J756" s="7">
        <f>'1 datos preparados'!I749</f>
        <v/>
      </c>
      <c r="K756" s="7">
        <f>'1 datos preparados'!J749</f>
        <v/>
      </c>
      <c r="L756" s="7">
        <f>'1 datos preparados'!K749</f>
        <v/>
      </c>
      <c r="M756" s="7">
        <f>'1 datos preparados'!L749</f>
        <v/>
      </c>
      <c r="N756" s="7">
        <f>'1 datos preparados'!M749</f>
        <v/>
      </c>
      <c r="O756" s="7">
        <f>'1 datos preparados'!N749</f>
        <v/>
      </c>
      <c r="P756" s="7">
        <f>'1 datos preparados'!O749</f>
        <v/>
      </c>
      <c r="Q756" s="7">
        <f>'1 datos preparados'!P749</f>
        <v/>
      </c>
      <c r="R756" s="7">
        <f>'1 datos preparados'!Q749</f>
        <v/>
      </c>
      <c r="S756" s="7">
        <f>'1 datos preparados'!R749</f>
        <v/>
      </c>
      <c r="T756" s="7">
        <f>'1 datos preparados'!S749</f>
        <v/>
      </c>
      <c r="U756" s="7">
        <f>'1 datos preparados'!T749</f>
        <v/>
      </c>
      <c r="V756" s="8">
        <f>$AE$12+D756*$AE$13+E756*$AE$14+F756*$AE$15+G756*$AE$16+H756*$AE$17+I756*$AE$18+J756*$AE$19+K756*$AE$20+L756*$AE$21+M756*$AE$22+N756*$AE$23+O756*$AE$24+P756*$AE$25+Q756*$AE$26+R756*$AE$27+S756*$AE$28+T756*$AE$29+U756*$AE$30</f>
        <v/>
      </c>
      <c r="W756" s="8">
        <f>1/(1+EXP(-V756))</f>
        <v/>
      </c>
      <c r="X756" s="9">
        <f>-IF(C756=1,LN(W756),LN(1-W756))</f>
        <v/>
      </c>
      <c r="Y756" s="8">
        <f>IF(C756=1,$AE$32,$AE$33)</f>
        <v/>
      </c>
      <c r="Z756" s="9">
        <f>Y756*X756</f>
        <v/>
      </c>
      <c r="AA756" s="10">
        <f>IF(W756&gt;$AE$34,1,0)</f>
        <v/>
      </c>
      <c r="AB756">
        <f>IF(AA756=C756,1,0)</f>
        <v/>
      </c>
    </row>
    <row r="757">
      <c r="A757">
        <f>'1 datos preparados'!A750</f>
        <v/>
      </c>
      <c r="B757" s="5">
        <f>'1 datos preparados'!U750</f>
        <v/>
      </c>
      <c r="C757">
        <f>'1 datos preparados'!B750</f>
        <v/>
      </c>
      <c r="D757" s="7">
        <f>'1 datos preparados'!C750</f>
        <v/>
      </c>
      <c r="E757" s="7">
        <f>'1 datos preparados'!D750</f>
        <v/>
      </c>
      <c r="F757" s="7">
        <f>'1 datos preparados'!E750</f>
        <v/>
      </c>
      <c r="G757" s="7">
        <f>'1 datos preparados'!F750</f>
        <v/>
      </c>
      <c r="H757" s="7">
        <f>'1 datos preparados'!G750</f>
        <v/>
      </c>
      <c r="I757" s="7">
        <f>'1 datos preparados'!H750</f>
        <v/>
      </c>
      <c r="J757" s="7">
        <f>'1 datos preparados'!I750</f>
        <v/>
      </c>
      <c r="K757" s="7">
        <f>'1 datos preparados'!J750</f>
        <v/>
      </c>
      <c r="L757" s="7">
        <f>'1 datos preparados'!K750</f>
        <v/>
      </c>
      <c r="M757" s="7">
        <f>'1 datos preparados'!L750</f>
        <v/>
      </c>
      <c r="N757" s="7">
        <f>'1 datos preparados'!M750</f>
        <v/>
      </c>
      <c r="O757" s="7">
        <f>'1 datos preparados'!N750</f>
        <v/>
      </c>
      <c r="P757" s="7">
        <f>'1 datos preparados'!O750</f>
        <v/>
      </c>
      <c r="Q757" s="7">
        <f>'1 datos preparados'!P750</f>
        <v/>
      </c>
      <c r="R757" s="7">
        <f>'1 datos preparados'!Q750</f>
        <v/>
      </c>
      <c r="S757" s="7">
        <f>'1 datos preparados'!R750</f>
        <v/>
      </c>
      <c r="T757" s="7">
        <f>'1 datos preparados'!S750</f>
        <v/>
      </c>
      <c r="U757" s="7">
        <f>'1 datos preparados'!T750</f>
        <v/>
      </c>
      <c r="V757" s="8">
        <f>$AE$12+D757*$AE$13+E757*$AE$14+F757*$AE$15+G757*$AE$16+H757*$AE$17+I757*$AE$18+J757*$AE$19+K757*$AE$20+L757*$AE$21+M757*$AE$22+N757*$AE$23+O757*$AE$24+P757*$AE$25+Q757*$AE$26+R757*$AE$27+S757*$AE$28+T757*$AE$29+U757*$AE$30</f>
        <v/>
      </c>
      <c r="W757" s="8">
        <f>1/(1+EXP(-V757))</f>
        <v/>
      </c>
      <c r="X757" s="9">
        <f>-IF(C757=1,LN(W757),LN(1-W757))</f>
        <v/>
      </c>
      <c r="Y757" s="8">
        <f>IF(C757=1,$AE$32,$AE$33)</f>
        <v/>
      </c>
      <c r="Z757" s="9">
        <f>Y757*X757</f>
        <v/>
      </c>
      <c r="AA757" s="10">
        <f>IF(W757&gt;$AE$34,1,0)</f>
        <v/>
      </c>
      <c r="AB757">
        <f>IF(AA757=C757,1,0)</f>
        <v/>
      </c>
    </row>
    <row r="758">
      <c r="A758">
        <f>'1 datos preparados'!A751</f>
        <v/>
      </c>
      <c r="B758" s="5">
        <f>'1 datos preparados'!U751</f>
        <v/>
      </c>
      <c r="C758">
        <f>'1 datos preparados'!B751</f>
        <v/>
      </c>
      <c r="D758" s="7">
        <f>'1 datos preparados'!C751</f>
        <v/>
      </c>
      <c r="E758" s="7">
        <f>'1 datos preparados'!D751</f>
        <v/>
      </c>
      <c r="F758" s="7">
        <f>'1 datos preparados'!E751</f>
        <v/>
      </c>
      <c r="G758" s="7">
        <f>'1 datos preparados'!F751</f>
        <v/>
      </c>
      <c r="H758" s="7">
        <f>'1 datos preparados'!G751</f>
        <v/>
      </c>
      <c r="I758" s="7">
        <f>'1 datos preparados'!H751</f>
        <v/>
      </c>
      <c r="J758" s="7">
        <f>'1 datos preparados'!I751</f>
        <v/>
      </c>
      <c r="K758" s="7">
        <f>'1 datos preparados'!J751</f>
        <v/>
      </c>
      <c r="L758" s="7">
        <f>'1 datos preparados'!K751</f>
        <v/>
      </c>
      <c r="M758" s="7">
        <f>'1 datos preparados'!L751</f>
        <v/>
      </c>
      <c r="N758" s="7">
        <f>'1 datos preparados'!M751</f>
        <v/>
      </c>
      <c r="O758" s="7">
        <f>'1 datos preparados'!N751</f>
        <v/>
      </c>
      <c r="P758" s="7">
        <f>'1 datos preparados'!O751</f>
        <v/>
      </c>
      <c r="Q758" s="7">
        <f>'1 datos preparados'!P751</f>
        <v/>
      </c>
      <c r="R758" s="7">
        <f>'1 datos preparados'!Q751</f>
        <v/>
      </c>
      <c r="S758" s="7">
        <f>'1 datos preparados'!R751</f>
        <v/>
      </c>
      <c r="T758" s="7">
        <f>'1 datos preparados'!S751</f>
        <v/>
      </c>
      <c r="U758" s="7">
        <f>'1 datos preparados'!T751</f>
        <v/>
      </c>
      <c r="V758" s="8">
        <f>$AE$12+D758*$AE$13+E758*$AE$14+F758*$AE$15+G758*$AE$16+H758*$AE$17+I758*$AE$18+J758*$AE$19+K758*$AE$20+L758*$AE$21+M758*$AE$22+N758*$AE$23+O758*$AE$24+P758*$AE$25+Q758*$AE$26+R758*$AE$27+S758*$AE$28+T758*$AE$29+U758*$AE$30</f>
        <v/>
      </c>
      <c r="W758" s="8">
        <f>1/(1+EXP(-V758))</f>
        <v/>
      </c>
      <c r="X758" s="9">
        <f>-IF(C758=1,LN(W758),LN(1-W758))</f>
        <v/>
      </c>
      <c r="Y758" s="8">
        <f>IF(C758=1,$AE$32,$AE$33)</f>
        <v/>
      </c>
      <c r="Z758" s="9">
        <f>Y758*X758</f>
        <v/>
      </c>
      <c r="AA758" s="10">
        <f>IF(W758&gt;$AE$34,1,0)</f>
        <v/>
      </c>
      <c r="AB758">
        <f>IF(AA758=C758,1,0)</f>
        <v/>
      </c>
    </row>
    <row r="759">
      <c r="A759">
        <f>'1 datos preparados'!A752</f>
        <v/>
      </c>
      <c r="B759" s="5">
        <f>'1 datos preparados'!U752</f>
        <v/>
      </c>
      <c r="C759">
        <f>'1 datos preparados'!B752</f>
        <v/>
      </c>
      <c r="D759" s="7">
        <f>'1 datos preparados'!C752</f>
        <v/>
      </c>
      <c r="E759" s="7">
        <f>'1 datos preparados'!D752</f>
        <v/>
      </c>
      <c r="F759" s="7">
        <f>'1 datos preparados'!E752</f>
        <v/>
      </c>
      <c r="G759" s="7">
        <f>'1 datos preparados'!F752</f>
        <v/>
      </c>
      <c r="H759" s="7">
        <f>'1 datos preparados'!G752</f>
        <v/>
      </c>
      <c r="I759" s="7">
        <f>'1 datos preparados'!H752</f>
        <v/>
      </c>
      <c r="J759" s="7">
        <f>'1 datos preparados'!I752</f>
        <v/>
      </c>
      <c r="K759" s="7">
        <f>'1 datos preparados'!J752</f>
        <v/>
      </c>
      <c r="L759" s="7">
        <f>'1 datos preparados'!K752</f>
        <v/>
      </c>
      <c r="M759" s="7">
        <f>'1 datos preparados'!L752</f>
        <v/>
      </c>
      <c r="N759" s="7">
        <f>'1 datos preparados'!M752</f>
        <v/>
      </c>
      <c r="O759" s="7">
        <f>'1 datos preparados'!N752</f>
        <v/>
      </c>
      <c r="P759" s="7">
        <f>'1 datos preparados'!O752</f>
        <v/>
      </c>
      <c r="Q759" s="7">
        <f>'1 datos preparados'!P752</f>
        <v/>
      </c>
      <c r="R759" s="7">
        <f>'1 datos preparados'!Q752</f>
        <v/>
      </c>
      <c r="S759" s="7">
        <f>'1 datos preparados'!R752</f>
        <v/>
      </c>
      <c r="T759" s="7">
        <f>'1 datos preparados'!S752</f>
        <v/>
      </c>
      <c r="U759" s="7">
        <f>'1 datos preparados'!T752</f>
        <v/>
      </c>
      <c r="V759" s="8">
        <f>$AE$12+D759*$AE$13+E759*$AE$14+F759*$AE$15+G759*$AE$16+H759*$AE$17+I759*$AE$18+J759*$AE$19+K759*$AE$20+L759*$AE$21+M759*$AE$22+N759*$AE$23+O759*$AE$24+P759*$AE$25+Q759*$AE$26+R759*$AE$27+S759*$AE$28+T759*$AE$29+U759*$AE$30</f>
        <v/>
      </c>
      <c r="W759" s="8">
        <f>1/(1+EXP(-V759))</f>
        <v/>
      </c>
      <c r="X759" s="9">
        <f>-IF(C759=1,LN(W759),LN(1-W759))</f>
        <v/>
      </c>
      <c r="Y759" s="8">
        <f>IF(C759=1,$AE$32,$AE$33)</f>
        <v/>
      </c>
      <c r="Z759" s="9">
        <f>Y759*X759</f>
        <v/>
      </c>
      <c r="AA759" s="10">
        <f>IF(W759&gt;$AE$34,1,0)</f>
        <v/>
      </c>
      <c r="AB759">
        <f>IF(AA759=C759,1,0)</f>
        <v/>
      </c>
    </row>
    <row r="760">
      <c r="A760">
        <f>'1 datos preparados'!A753</f>
        <v/>
      </c>
      <c r="B760" s="5">
        <f>'1 datos preparados'!U753</f>
        <v/>
      </c>
      <c r="C760">
        <f>'1 datos preparados'!B753</f>
        <v/>
      </c>
      <c r="D760" s="7">
        <f>'1 datos preparados'!C753</f>
        <v/>
      </c>
      <c r="E760" s="7">
        <f>'1 datos preparados'!D753</f>
        <v/>
      </c>
      <c r="F760" s="7">
        <f>'1 datos preparados'!E753</f>
        <v/>
      </c>
      <c r="G760" s="7">
        <f>'1 datos preparados'!F753</f>
        <v/>
      </c>
      <c r="H760" s="7">
        <f>'1 datos preparados'!G753</f>
        <v/>
      </c>
      <c r="I760" s="7">
        <f>'1 datos preparados'!H753</f>
        <v/>
      </c>
      <c r="J760" s="7">
        <f>'1 datos preparados'!I753</f>
        <v/>
      </c>
      <c r="K760" s="7">
        <f>'1 datos preparados'!J753</f>
        <v/>
      </c>
      <c r="L760" s="7">
        <f>'1 datos preparados'!K753</f>
        <v/>
      </c>
      <c r="M760" s="7">
        <f>'1 datos preparados'!L753</f>
        <v/>
      </c>
      <c r="N760" s="7">
        <f>'1 datos preparados'!M753</f>
        <v/>
      </c>
      <c r="O760" s="7">
        <f>'1 datos preparados'!N753</f>
        <v/>
      </c>
      <c r="P760" s="7">
        <f>'1 datos preparados'!O753</f>
        <v/>
      </c>
      <c r="Q760" s="7">
        <f>'1 datos preparados'!P753</f>
        <v/>
      </c>
      <c r="R760" s="7">
        <f>'1 datos preparados'!Q753</f>
        <v/>
      </c>
      <c r="S760" s="7">
        <f>'1 datos preparados'!R753</f>
        <v/>
      </c>
      <c r="T760" s="7">
        <f>'1 datos preparados'!S753</f>
        <v/>
      </c>
      <c r="U760" s="7">
        <f>'1 datos preparados'!T753</f>
        <v/>
      </c>
      <c r="V760" s="8">
        <f>$AE$12+D760*$AE$13+E760*$AE$14+F760*$AE$15+G760*$AE$16+H760*$AE$17+I760*$AE$18+J760*$AE$19+K760*$AE$20+L760*$AE$21+M760*$AE$22+N760*$AE$23+O760*$AE$24+P760*$AE$25+Q760*$AE$26+R760*$AE$27+S760*$AE$28+T760*$AE$29+U760*$AE$30</f>
        <v/>
      </c>
      <c r="W760" s="8">
        <f>1/(1+EXP(-V760))</f>
        <v/>
      </c>
      <c r="X760" s="9">
        <f>-IF(C760=1,LN(W760),LN(1-W760))</f>
        <v/>
      </c>
      <c r="Y760" s="8">
        <f>IF(C760=1,$AE$32,$AE$33)</f>
        <v/>
      </c>
      <c r="Z760" s="9">
        <f>Y760*X760</f>
        <v/>
      </c>
      <c r="AA760" s="10">
        <f>IF(W760&gt;$AE$34,1,0)</f>
        <v/>
      </c>
      <c r="AB760">
        <f>IF(AA760=C760,1,0)</f>
        <v/>
      </c>
    </row>
    <row r="761">
      <c r="A761">
        <f>'1 datos preparados'!A754</f>
        <v/>
      </c>
      <c r="B761" s="5">
        <f>'1 datos preparados'!U754</f>
        <v/>
      </c>
      <c r="C761">
        <f>'1 datos preparados'!B754</f>
        <v/>
      </c>
      <c r="D761" s="7">
        <f>'1 datos preparados'!C754</f>
        <v/>
      </c>
      <c r="E761" s="7">
        <f>'1 datos preparados'!D754</f>
        <v/>
      </c>
      <c r="F761" s="7">
        <f>'1 datos preparados'!E754</f>
        <v/>
      </c>
      <c r="G761" s="7">
        <f>'1 datos preparados'!F754</f>
        <v/>
      </c>
      <c r="H761" s="7">
        <f>'1 datos preparados'!G754</f>
        <v/>
      </c>
      <c r="I761" s="7">
        <f>'1 datos preparados'!H754</f>
        <v/>
      </c>
      <c r="J761" s="7">
        <f>'1 datos preparados'!I754</f>
        <v/>
      </c>
      <c r="K761" s="7">
        <f>'1 datos preparados'!J754</f>
        <v/>
      </c>
      <c r="L761" s="7">
        <f>'1 datos preparados'!K754</f>
        <v/>
      </c>
      <c r="M761" s="7">
        <f>'1 datos preparados'!L754</f>
        <v/>
      </c>
      <c r="N761" s="7">
        <f>'1 datos preparados'!M754</f>
        <v/>
      </c>
      <c r="O761" s="7">
        <f>'1 datos preparados'!N754</f>
        <v/>
      </c>
      <c r="P761" s="7">
        <f>'1 datos preparados'!O754</f>
        <v/>
      </c>
      <c r="Q761" s="7">
        <f>'1 datos preparados'!P754</f>
        <v/>
      </c>
      <c r="R761" s="7">
        <f>'1 datos preparados'!Q754</f>
        <v/>
      </c>
      <c r="S761" s="7">
        <f>'1 datos preparados'!R754</f>
        <v/>
      </c>
      <c r="T761" s="7">
        <f>'1 datos preparados'!S754</f>
        <v/>
      </c>
      <c r="U761" s="7">
        <f>'1 datos preparados'!T754</f>
        <v/>
      </c>
      <c r="V761" s="8">
        <f>$AE$12+D761*$AE$13+E761*$AE$14+F761*$AE$15+G761*$AE$16+H761*$AE$17+I761*$AE$18+J761*$AE$19+K761*$AE$20+L761*$AE$21+M761*$AE$22+N761*$AE$23+O761*$AE$24+P761*$AE$25+Q761*$AE$26+R761*$AE$27+S761*$AE$28+T761*$AE$29+U761*$AE$30</f>
        <v/>
      </c>
      <c r="W761" s="8">
        <f>1/(1+EXP(-V761))</f>
        <v/>
      </c>
      <c r="X761" s="9">
        <f>-IF(C761=1,LN(W761),LN(1-W761))</f>
        <v/>
      </c>
      <c r="Y761" s="8">
        <f>IF(C761=1,$AE$32,$AE$33)</f>
        <v/>
      </c>
      <c r="Z761" s="9">
        <f>Y761*X761</f>
        <v/>
      </c>
      <c r="AA761" s="10">
        <f>IF(W761&gt;$AE$34,1,0)</f>
        <v/>
      </c>
      <c r="AB761">
        <f>IF(AA761=C761,1,0)</f>
        <v/>
      </c>
    </row>
    <row r="762">
      <c r="A762">
        <f>'1 datos preparados'!A755</f>
        <v/>
      </c>
      <c r="B762" s="5">
        <f>'1 datos preparados'!U755</f>
        <v/>
      </c>
      <c r="C762">
        <f>'1 datos preparados'!B755</f>
        <v/>
      </c>
      <c r="D762" s="7">
        <f>'1 datos preparados'!C755</f>
        <v/>
      </c>
      <c r="E762" s="7">
        <f>'1 datos preparados'!D755</f>
        <v/>
      </c>
      <c r="F762" s="7">
        <f>'1 datos preparados'!E755</f>
        <v/>
      </c>
      <c r="G762" s="7">
        <f>'1 datos preparados'!F755</f>
        <v/>
      </c>
      <c r="H762" s="7">
        <f>'1 datos preparados'!G755</f>
        <v/>
      </c>
      <c r="I762" s="7">
        <f>'1 datos preparados'!H755</f>
        <v/>
      </c>
      <c r="J762" s="7">
        <f>'1 datos preparados'!I755</f>
        <v/>
      </c>
      <c r="K762" s="7">
        <f>'1 datos preparados'!J755</f>
        <v/>
      </c>
      <c r="L762" s="7">
        <f>'1 datos preparados'!K755</f>
        <v/>
      </c>
      <c r="M762" s="7">
        <f>'1 datos preparados'!L755</f>
        <v/>
      </c>
      <c r="N762" s="7">
        <f>'1 datos preparados'!M755</f>
        <v/>
      </c>
      <c r="O762" s="7">
        <f>'1 datos preparados'!N755</f>
        <v/>
      </c>
      <c r="P762" s="7">
        <f>'1 datos preparados'!O755</f>
        <v/>
      </c>
      <c r="Q762" s="7">
        <f>'1 datos preparados'!P755</f>
        <v/>
      </c>
      <c r="R762" s="7">
        <f>'1 datos preparados'!Q755</f>
        <v/>
      </c>
      <c r="S762" s="7">
        <f>'1 datos preparados'!R755</f>
        <v/>
      </c>
      <c r="T762" s="7">
        <f>'1 datos preparados'!S755</f>
        <v/>
      </c>
      <c r="U762" s="7">
        <f>'1 datos preparados'!T755</f>
        <v/>
      </c>
      <c r="V762" s="8">
        <f>$AE$12+D762*$AE$13+E762*$AE$14+F762*$AE$15+G762*$AE$16+H762*$AE$17+I762*$AE$18+J762*$AE$19+K762*$AE$20+L762*$AE$21+M762*$AE$22+N762*$AE$23+O762*$AE$24+P762*$AE$25+Q762*$AE$26+R762*$AE$27+S762*$AE$28+T762*$AE$29+U762*$AE$30</f>
        <v/>
      </c>
      <c r="W762" s="8">
        <f>1/(1+EXP(-V762))</f>
        <v/>
      </c>
      <c r="X762" s="9">
        <f>-IF(C762=1,LN(W762),LN(1-W762))</f>
        <v/>
      </c>
      <c r="Y762" s="8">
        <f>IF(C762=1,$AE$32,$AE$33)</f>
        <v/>
      </c>
      <c r="Z762" s="9">
        <f>Y762*X762</f>
        <v/>
      </c>
      <c r="AA762" s="10">
        <f>IF(W762&gt;$AE$34,1,0)</f>
        <v/>
      </c>
      <c r="AB762">
        <f>IF(AA762=C762,1,0)</f>
        <v/>
      </c>
    </row>
    <row r="763">
      <c r="A763">
        <f>'1 datos preparados'!A756</f>
        <v/>
      </c>
      <c r="B763" s="5">
        <f>'1 datos preparados'!U756</f>
        <v/>
      </c>
      <c r="C763">
        <f>'1 datos preparados'!B756</f>
        <v/>
      </c>
      <c r="D763" s="7">
        <f>'1 datos preparados'!C756</f>
        <v/>
      </c>
      <c r="E763" s="7">
        <f>'1 datos preparados'!D756</f>
        <v/>
      </c>
      <c r="F763" s="7">
        <f>'1 datos preparados'!E756</f>
        <v/>
      </c>
      <c r="G763" s="7">
        <f>'1 datos preparados'!F756</f>
        <v/>
      </c>
      <c r="H763" s="7">
        <f>'1 datos preparados'!G756</f>
        <v/>
      </c>
      <c r="I763" s="7">
        <f>'1 datos preparados'!H756</f>
        <v/>
      </c>
      <c r="J763" s="7">
        <f>'1 datos preparados'!I756</f>
        <v/>
      </c>
      <c r="K763" s="7">
        <f>'1 datos preparados'!J756</f>
        <v/>
      </c>
      <c r="L763" s="7">
        <f>'1 datos preparados'!K756</f>
        <v/>
      </c>
      <c r="M763" s="7">
        <f>'1 datos preparados'!L756</f>
        <v/>
      </c>
      <c r="N763" s="7">
        <f>'1 datos preparados'!M756</f>
        <v/>
      </c>
      <c r="O763" s="7">
        <f>'1 datos preparados'!N756</f>
        <v/>
      </c>
      <c r="P763" s="7">
        <f>'1 datos preparados'!O756</f>
        <v/>
      </c>
      <c r="Q763" s="7">
        <f>'1 datos preparados'!P756</f>
        <v/>
      </c>
      <c r="R763" s="7">
        <f>'1 datos preparados'!Q756</f>
        <v/>
      </c>
      <c r="S763" s="7">
        <f>'1 datos preparados'!R756</f>
        <v/>
      </c>
      <c r="T763" s="7">
        <f>'1 datos preparados'!S756</f>
        <v/>
      </c>
      <c r="U763" s="7">
        <f>'1 datos preparados'!T756</f>
        <v/>
      </c>
      <c r="V763" s="8">
        <f>$AE$12+D763*$AE$13+E763*$AE$14+F763*$AE$15+G763*$AE$16+H763*$AE$17+I763*$AE$18+J763*$AE$19+K763*$AE$20+L763*$AE$21+M763*$AE$22+N763*$AE$23+O763*$AE$24+P763*$AE$25+Q763*$AE$26+R763*$AE$27+S763*$AE$28+T763*$AE$29+U763*$AE$30</f>
        <v/>
      </c>
      <c r="W763" s="8">
        <f>1/(1+EXP(-V763))</f>
        <v/>
      </c>
      <c r="X763" s="9">
        <f>-IF(C763=1,LN(W763),LN(1-W763))</f>
        <v/>
      </c>
      <c r="Y763" s="8">
        <f>IF(C763=1,$AE$32,$AE$33)</f>
        <v/>
      </c>
      <c r="Z763" s="9">
        <f>Y763*X763</f>
        <v/>
      </c>
      <c r="AA763" s="10">
        <f>IF(W763&gt;$AE$34,1,0)</f>
        <v/>
      </c>
      <c r="AB763">
        <f>IF(AA763=C763,1,0)</f>
        <v/>
      </c>
    </row>
    <row r="764">
      <c r="A764">
        <f>'1 datos preparados'!A757</f>
        <v/>
      </c>
      <c r="B764" s="5">
        <f>'1 datos preparados'!U757</f>
        <v/>
      </c>
      <c r="C764">
        <f>'1 datos preparados'!B757</f>
        <v/>
      </c>
      <c r="D764" s="7">
        <f>'1 datos preparados'!C757</f>
        <v/>
      </c>
      <c r="E764" s="7">
        <f>'1 datos preparados'!D757</f>
        <v/>
      </c>
      <c r="F764" s="7">
        <f>'1 datos preparados'!E757</f>
        <v/>
      </c>
      <c r="G764" s="7">
        <f>'1 datos preparados'!F757</f>
        <v/>
      </c>
      <c r="H764" s="7">
        <f>'1 datos preparados'!G757</f>
        <v/>
      </c>
      <c r="I764" s="7">
        <f>'1 datos preparados'!H757</f>
        <v/>
      </c>
      <c r="J764" s="7">
        <f>'1 datos preparados'!I757</f>
        <v/>
      </c>
      <c r="K764" s="7">
        <f>'1 datos preparados'!J757</f>
        <v/>
      </c>
      <c r="L764" s="7">
        <f>'1 datos preparados'!K757</f>
        <v/>
      </c>
      <c r="M764" s="7">
        <f>'1 datos preparados'!L757</f>
        <v/>
      </c>
      <c r="N764" s="7">
        <f>'1 datos preparados'!M757</f>
        <v/>
      </c>
      <c r="O764" s="7">
        <f>'1 datos preparados'!N757</f>
        <v/>
      </c>
      <c r="P764" s="7">
        <f>'1 datos preparados'!O757</f>
        <v/>
      </c>
      <c r="Q764" s="7">
        <f>'1 datos preparados'!P757</f>
        <v/>
      </c>
      <c r="R764" s="7">
        <f>'1 datos preparados'!Q757</f>
        <v/>
      </c>
      <c r="S764" s="7">
        <f>'1 datos preparados'!R757</f>
        <v/>
      </c>
      <c r="T764" s="7">
        <f>'1 datos preparados'!S757</f>
        <v/>
      </c>
      <c r="U764" s="7">
        <f>'1 datos preparados'!T757</f>
        <v/>
      </c>
      <c r="V764" s="8">
        <f>$AE$12+D764*$AE$13+E764*$AE$14+F764*$AE$15+G764*$AE$16+H764*$AE$17+I764*$AE$18+J764*$AE$19+K764*$AE$20+L764*$AE$21+M764*$AE$22+N764*$AE$23+O764*$AE$24+P764*$AE$25+Q764*$AE$26+R764*$AE$27+S764*$AE$28+T764*$AE$29+U764*$AE$30</f>
        <v/>
      </c>
      <c r="W764" s="8">
        <f>1/(1+EXP(-V764))</f>
        <v/>
      </c>
      <c r="X764" s="9">
        <f>-IF(C764=1,LN(W764),LN(1-W764))</f>
        <v/>
      </c>
      <c r="Y764" s="8">
        <f>IF(C764=1,$AE$32,$AE$33)</f>
        <v/>
      </c>
      <c r="Z764" s="9">
        <f>Y764*X764</f>
        <v/>
      </c>
      <c r="AA764" s="10">
        <f>IF(W764&gt;$AE$34,1,0)</f>
        <v/>
      </c>
      <c r="AB764">
        <f>IF(AA764=C764,1,0)</f>
        <v/>
      </c>
    </row>
    <row r="765">
      <c r="A765">
        <f>'1 datos preparados'!A758</f>
        <v/>
      </c>
      <c r="B765" s="5">
        <f>'1 datos preparados'!U758</f>
        <v/>
      </c>
      <c r="C765">
        <f>'1 datos preparados'!B758</f>
        <v/>
      </c>
      <c r="D765" s="7">
        <f>'1 datos preparados'!C758</f>
        <v/>
      </c>
      <c r="E765" s="7">
        <f>'1 datos preparados'!D758</f>
        <v/>
      </c>
      <c r="F765" s="7">
        <f>'1 datos preparados'!E758</f>
        <v/>
      </c>
      <c r="G765" s="7">
        <f>'1 datos preparados'!F758</f>
        <v/>
      </c>
      <c r="H765" s="7">
        <f>'1 datos preparados'!G758</f>
        <v/>
      </c>
      <c r="I765" s="7">
        <f>'1 datos preparados'!H758</f>
        <v/>
      </c>
      <c r="J765" s="7">
        <f>'1 datos preparados'!I758</f>
        <v/>
      </c>
      <c r="K765" s="7">
        <f>'1 datos preparados'!J758</f>
        <v/>
      </c>
      <c r="L765" s="7">
        <f>'1 datos preparados'!K758</f>
        <v/>
      </c>
      <c r="M765" s="7">
        <f>'1 datos preparados'!L758</f>
        <v/>
      </c>
      <c r="N765" s="7">
        <f>'1 datos preparados'!M758</f>
        <v/>
      </c>
      <c r="O765" s="7">
        <f>'1 datos preparados'!N758</f>
        <v/>
      </c>
      <c r="P765" s="7">
        <f>'1 datos preparados'!O758</f>
        <v/>
      </c>
      <c r="Q765" s="7">
        <f>'1 datos preparados'!P758</f>
        <v/>
      </c>
      <c r="R765" s="7">
        <f>'1 datos preparados'!Q758</f>
        <v/>
      </c>
      <c r="S765" s="7">
        <f>'1 datos preparados'!R758</f>
        <v/>
      </c>
      <c r="T765" s="7">
        <f>'1 datos preparados'!S758</f>
        <v/>
      </c>
      <c r="U765" s="7">
        <f>'1 datos preparados'!T758</f>
        <v/>
      </c>
      <c r="V765" s="8">
        <f>$AE$12+D765*$AE$13+E765*$AE$14+F765*$AE$15+G765*$AE$16+H765*$AE$17+I765*$AE$18+J765*$AE$19+K765*$AE$20+L765*$AE$21+M765*$AE$22+N765*$AE$23+O765*$AE$24+P765*$AE$25+Q765*$AE$26+R765*$AE$27+S765*$AE$28+T765*$AE$29+U765*$AE$30</f>
        <v/>
      </c>
      <c r="W765" s="8">
        <f>1/(1+EXP(-V765))</f>
        <v/>
      </c>
      <c r="X765" s="9">
        <f>-IF(C765=1,LN(W765),LN(1-W765))</f>
        <v/>
      </c>
      <c r="Y765" s="8">
        <f>IF(C765=1,$AE$32,$AE$33)</f>
        <v/>
      </c>
      <c r="Z765" s="9">
        <f>Y765*X765</f>
        <v/>
      </c>
      <c r="AA765" s="10">
        <f>IF(W765&gt;$AE$34,1,0)</f>
        <v/>
      </c>
      <c r="AB765">
        <f>IF(AA765=C765,1,0)</f>
        <v/>
      </c>
    </row>
    <row r="766">
      <c r="A766">
        <f>'1 datos preparados'!A759</f>
        <v/>
      </c>
      <c r="B766" s="5">
        <f>'1 datos preparados'!U759</f>
        <v/>
      </c>
      <c r="C766">
        <f>'1 datos preparados'!B759</f>
        <v/>
      </c>
      <c r="D766" s="7">
        <f>'1 datos preparados'!C759</f>
        <v/>
      </c>
      <c r="E766" s="7">
        <f>'1 datos preparados'!D759</f>
        <v/>
      </c>
      <c r="F766" s="7">
        <f>'1 datos preparados'!E759</f>
        <v/>
      </c>
      <c r="G766" s="7">
        <f>'1 datos preparados'!F759</f>
        <v/>
      </c>
      <c r="H766" s="7">
        <f>'1 datos preparados'!G759</f>
        <v/>
      </c>
      <c r="I766" s="7">
        <f>'1 datos preparados'!H759</f>
        <v/>
      </c>
      <c r="J766" s="7">
        <f>'1 datos preparados'!I759</f>
        <v/>
      </c>
      <c r="K766" s="7">
        <f>'1 datos preparados'!J759</f>
        <v/>
      </c>
      <c r="L766" s="7">
        <f>'1 datos preparados'!K759</f>
        <v/>
      </c>
      <c r="M766" s="7">
        <f>'1 datos preparados'!L759</f>
        <v/>
      </c>
      <c r="N766" s="7">
        <f>'1 datos preparados'!M759</f>
        <v/>
      </c>
      <c r="O766" s="7">
        <f>'1 datos preparados'!N759</f>
        <v/>
      </c>
      <c r="P766" s="7">
        <f>'1 datos preparados'!O759</f>
        <v/>
      </c>
      <c r="Q766" s="7">
        <f>'1 datos preparados'!P759</f>
        <v/>
      </c>
      <c r="R766" s="7">
        <f>'1 datos preparados'!Q759</f>
        <v/>
      </c>
      <c r="S766" s="7">
        <f>'1 datos preparados'!R759</f>
        <v/>
      </c>
      <c r="T766" s="7">
        <f>'1 datos preparados'!S759</f>
        <v/>
      </c>
      <c r="U766" s="7">
        <f>'1 datos preparados'!T759</f>
        <v/>
      </c>
      <c r="V766" s="8">
        <f>$AE$12+D766*$AE$13+E766*$AE$14+F766*$AE$15+G766*$AE$16+H766*$AE$17+I766*$AE$18+J766*$AE$19+K766*$AE$20+L766*$AE$21+M766*$AE$22+N766*$AE$23+O766*$AE$24+P766*$AE$25+Q766*$AE$26+R766*$AE$27+S766*$AE$28+T766*$AE$29+U766*$AE$30</f>
        <v/>
      </c>
      <c r="W766" s="8">
        <f>1/(1+EXP(-V766))</f>
        <v/>
      </c>
      <c r="X766" s="9">
        <f>-IF(C766=1,LN(W766),LN(1-W766))</f>
        <v/>
      </c>
      <c r="Y766" s="8">
        <f>IF(C766=1,$AE$32,$AE$33)</f>
        <v/>
      </c>
      <c r="Z766" s="9">
        <f>Y766*X766</f>
        <v/>
      </c>
      <c r="AA766" s="10">
        <f>IF(W766&gt;$AE$34,1,0)</f>
        <v/>
      </c>
      <c r="AB766">
        <f>IF(AA766=C766,1,0)</f>
        <v/>
      </c>
    </row>
    <row r="767">
      <c r="A767">
        <f>'1 datos preparados'!A760</f>
        <v/>
      </c>
      <c r="B767" s="5">
        <f>'1 datos preparados'!U760</f>
        <v/>
      </c>
      <c r="C767">
        <f>'1 datos preparados'!B760</f>
        <v/>
      </c>
      <c r="D767" s="7">
        <f>'1 datos preparados'!C760</f>
        <v/>
      </c>
      <c r="E767" s="7">
        <f>'1 datos preparados'!D760</f>
        <v/>
      </c>
      <c r="F767" s="7">
        <f>'1 datos preparados'!E760</f>
        <v/>
      </c>
      <c r="G767" s="7">
        <f>'1 datos preparados'!F760</f>
        <v/>
      </c>
      <c r="H767" s="7">
        <f>'1 datos preparados'!G760</f>
        <v/>
      </c>
      <c r="I767" s="7">
        <f>'1 datos preparados'!H760</f>
        <v/>
      </c>
      <c r="J767" s="7">
        <f>'1 datos preparados'!I760</f>
        <v/>
      </c>
      <c r="K767" s="7">
        <f>'1 datos preparados'!J760</f>
        <v/>
      </c>
      <c r="L767" s="7">
        <f>'1 datos preparados'!K760</f>
        <v/>
      </c>
      <c r="M767" s="7">
        <f>'1 datos preparados'!L760</f>
        <v/>
      </c>
      <c r="N767" s="7">
        <f>'1 datos preparados'!M760</f>
        <v/>
      </c>
      <c r="O767" s="7">
        <f>'1 datos preparados'!N760</f>
        <v/>
      </c>
      <c r="P767" s="7">
        <f>'1 datos preparados'!O760</f>
        <v/>
      </c>
      <c r="Q767" s="7">
        <f>'1 datos preparados'!P760</f>
        <v/>
      </c>
      <c r="R767" s="7">
        <f>'1 datos preparados'!Q760</f>
        <v/>
      </c>
      <c r="S767" s="7">
        <f>'1 datos preparados'!R760</f>
        <v/>
      </c>
      <c r="T767" s="7">
        <f>'1 datos preparados'!S760</f>
        <v/>
      </c>
      <c r="U767" s="7">
        <f>'1 datos preparados'!T760</f>
        <v/>
      </c>
      <c r="V767" s="8">
        <f>$AE$12+D767*$AE$13+E767*$AE$14+F767*$AE$15+G767*$AE$16+H767*$AE$17+I767*$AE$18+J767*$AE$19+K767*$AE$20+L767*$AE$21+M767*$AE$22+N767*$AE$23+O767*$AE$24+P767*$AE$25+Q767*$AE$26+R767*$AE$27+S767*$AE$28+T767*$AE$29+U767*$AE$30</f>
        <v/>
      </c>
      <c r="W767" s="8">
        <f>1/(1+EXP(-V767))</f>
        <v/>
      </c>
      <c r="X767" s="9">
        <f>-IF(C767=1,LN(W767),LN(1-W767))</f>
        <v/>
      </c>
      <c r="Y767" s="8">
        <f>IF(C767=1,$AE$32,$AE$33)</f>
        <v/>
      </c>
      <c r="Z767" s="9">
        <f>Y767*X767</f>
        <v/>
      </c>
      <c r="AA767" s="10">
        <f>IF(W767&gt;$AE$34,1,0)</f>
        <v/>
      </c>
      <c r="AB767">
        <f>IF(AA767=C767,1,0)</f>
        <v/>
      </c>
    </row>
    <row r="768">
      <c r="A768">
        <f>'1 datos preparados'!A761</f>
        <v/>
      </c>
      <c r="B768" s="5">
        <f>'1 datos preparados'!U761</f>
        <v/>
      </c>
      <c r="C768">
        <f>'1 datos preparados'!B761</f>
        <v/>
      </c>
      <c r="D768" s="7">
        <f>'1 datos preparados'!C761</f>
        <v/>
      </c>
      <c r="E768" s="7">
        <f>'1 datos preparados'!D761</f>
        <v/>
      </c>
      <c r="F768" s="7">
        <f>'1 datos preparados'!E761</f>
        <v/>
      </c>
      <c r="G768" s="7">
        <f>'1 datos preparados'!F761</f>
        <v/>
      </c>
      <c r="H768" s="7">
        <f>'1 datos preparados'!G761</f>
        <v/>
      </c>
      <c r="I768" s="7">
        <f>'1 datos preparados'!H761</f>
        <v/>
      </c>
      <c r="J768" s="7">
        <f>'1 datos preparados'!I761</f>
        <v/>
      </c>
      <c r="K768" s="7">
        <f>'1 datos preparados'!J761</f>
        <v/>
      </c>
      <c r="L768" s="7">
        <f>'1 datos preparados'!K761</f>
        <v/>
      </c>
      <c r="M768" s="7">
        <f>'1 datos preparados'!L761</f>
        <v/>
      </c>
      <c r="N768" s="7">
        <f>'1 datos preparados'!M761</f>
        <v/>
      </c>
      <c r="O768" s="7">
        <f>'1 datos preparados'!N761</f>
        <v/>
      </c>
      <c r="P768" s="7">
        <f>'1 datos preparados'!O761</f>
        <v/>
      </c>
      <c r="Q768" s="7">
        <f>'1 datos preparados'!P761</f>
        <v/>
      </c>
      <c r="R768" s="7">
        <f>'1 datos preparados'!Q761</f>
        <v/>
      </c>
      <c r="S768" s="7">
        <f>'1 datos preparados'!R761</f>
        <v/>
      </c>
      <c r="T768" s="7">
        <f>'1 datos preparados'!S761</f>
        <v/>
      </c>
      <c r="U768" s="7">
        <f>'1 datos preparados'!T761</f>
        <v/>
      </c>
      <c r="V768" s="8">
        <f>$AE$12+D768*$AE$13+E768*$AE$14+F768*$AE$15+G768*$AE$16+H768*$AE$17+I768*$AE$18+J768*$AE$19+K768*$AE$20+L768*$AE$21+M768*$AE$22+N768*$AE$23+O768*$AE$24+P768*$AE$25+Q768*$AE$26+R768*$AE$27+S768*$AE$28+T768*$AE$29+U768*$AE$30</f>
        <v/>
      </c>
      <c r="W768" s="8">
        <f>1/(1+EXP(-V768))</f>
        <v/>
      </c>
      <c r="X768" s="9">
        <f>-IF(C768=1,LN(W768),LN(1-W768))</f>
        <v/>
      </c>
      <c r="Y768" s="8">
        <f>IF(C768=1,$AE$32,$AE$33)</f>
        <v/>
      </c>
      <c r="Z768" s="9">
        <f>Y768*X768</f>
        <v/>
      </c>
      <c r="AA768" s="10">
        <f>IF(W768&gt;$AE$34,1,0)</f>
        <v/>
      </c>
      <c r="AB768">
        <f>IF(AA768=C768,1,0)</f>
        <v/>
      </c>
    </row>
    <row r="769">
      <c r="A769">
        <f>'1 datos preparados'!A762</f>
        <v/>
      </c>
      <c r="B769" s="5">
        <f>'1 datos preparados'!U762</f>
        <v/>
      </c>
      <c r="C769">
        <f>'1 datos preparados'!B762</f>
        <v/>
      </c>
      <c r="D769" s="7">
        <f>'1 datos preparados'!C762</f>
        <v/>
      </c>
      <c r="E769" s="7">
        <f>'1 datos preparados'!D762</f>
        <v/>
      </c>
      <c r="F769" s="7">
        <f>'1 datos preparados'!E762</f>
        <v/>
      </c>
      <c r="G769" s="7">
        <f>'1 datos preparados'!F762</f>
        <v/>
      </c>
      <c r="H769" s="7">
        <f>'1 datos preparados'!G762</f>
        <v/>
      </c>
      <c r="I769" s="7">
        <f>'1 datos preparados'!H762</f>
        <v/>
      </c>
      <c r="J769" s="7">
        <f>'1 datos preparados'!I762</f>
        <v/>
      </c>
      <c r="K769" s="7">
        <f>'1 datos preparados'!J762</f>
        <v/>
      </c>
      <c r="L769" s="7">
        <f>'1 datos preparados'!K762</f>
        <v/>
      </c>
      <c r="M769" s="7">
        <f>'1 datos preparados'!L762</f>
        <v/>
      </c>
      <c r="N769" s="7">
        <f>'1 datos preparados'!M762</f>
        <v/>
      </c>
      <c r="O769" s="7">
        <f>'1 datos preparados'!N762</f>
        <v/>
      </c>
      <c r="P769" s="7">
        <f>'1 datos preparados'!O762</f>
        <v/>
      </c>
      <c r="Q769" s="7">
        <f>'1 datos preparados'!P762</f>
        <v/>
      </c>
      <c r="R769" s="7">
        <f>'1 datos preparados'!Q762</f>
        <v/>
      </c>
      <c r="S769" s="7">
        <f>'1 datos preparados'!R762</f>
        <v/>
      </c>
      <c r="T769" s="7">
        <f>'1 datos preparados'!S762</f>
        <v/>
      </c>
      <c r="U769" s="7">
        <f>'1 datos preparados'!T762</f>
        <v/>
      </c>
      <c r="V769" s="8">
        <f>$AE$12+D769*$AE$13+E769*$AE$14+F769*$AE$15+G769*$AE$16+H769*$AE$17+I769*$AE$18+J769*$AE$19+K769*$AE$20+L769*$AE$21+M769*$AE$22+N769*$AE$23+O769*$AE$24+P769*$AE$25+Q769*$AE$26+R769*$AE$27+S769*$AE$28+T769*$AE$29+U769*$AE$30</f>
        <v/>
      </c>
      <c r="W769" s="8">
        <f>1/(1+EXP(-V769))</f>
        <v/>
      </c>
      <c r="X769" s="9">
        <f>-IF(C769=1,LN(W769),LN(1-W769))</f>
        <v/>
      </c>
      <c r="Y769" s="8">
        <f>IF(C769=1,$AE$32,$AE$33)</f>
        <v/>
      </c>
      <c r="Z769" s="9">
        <f>Y769*X769</f>
        <v/>
      </c>
      <c r="AA769" s="10">
        <f>IF(W769&gt;$AE$34,1,0)</f>
        <v/>
      </c>
      <c r="AB769">
        <f>IF(AA769=C769,1,0)</f>
        <v/>
      </c>
    </row>
    <row r="770">
      <c r="A770">
        <f>'1 datos preparados'!A763</f>
        <v/>
      </c>
      <c r="B770" s="5">
        <f>'1 datos preparados'!U763</f>
        <v/>
      </c>
      <c r="C770">
        <f>'1 datos preparados'!B763</f>
        <v/>
      </c>
      <c r="D770" s="7">
        <f>'1 datos preparados'!C763</f>
        <v/>
      </c>
      <c r="E770" s="7">
        <f>'1 datos preparados'!D763</f>
        <v/>
      </c>
      <c r="F770" s="7">
        <f>'1 datos preparados'!E763</f>
        <v/>
      </c>
      <c r="G770" s="7">
        <f>'1 datos preparados'!F763</f>
        <v/>
      </c>
      <c r="H770" s="7">
        <f>'1 datos preparados'!G763</f>
        <v/>
      </c>
      <c r="I770" s="7">
        <f>'1 datos preparados'!H763</f>
        <v/>
      </c>
      <c r="J770" s="7">
        <f>'1 datos preparados'!I763</f>
        <v/>
      </c>
      <c r="K770" s="7">
        <f>'1 datos preparados'!J763</f>
        <v/>
      </c>
      <c r="L770" s="7">
        <f>'1 datos preparados'!K763</f>
        <v/>
      </c>
      <c r="M770" s="7">
        <f>'1 datos preparados'!L763</f>
        <v/>
      </c>
      <c r="N770" s="7">
        <f>'1 datos preparados'!M763</f>
        <v/>
      </c>
      <c r="O770" s="7">
        <f>'1 datos preparados'!N763</f>
        <v/>
      </c>
      <c r="P770" s="7">
        <f>'1 datos preparados'!O763</f>
        <v/>
      </c>
      <c r="Q770" s="7">
        <f>'1 datos preparados'!P763</f>
        <v/>
      </c>
      <c r="R770" s="7">
        <f>'1 datos preparados'!Q763</f>
        <v/>
      </c>
      <c r="S770" s="7">
        <f>'1 datos preparados'!R763</f>
        <v/>
      </c>
      <c r="T770" s="7">
        <f>'1 datos preparados'!S763</f>
        <v/>
      </c>
      <c r="U770" s="7">
        <f>'1 datos preparados'!T763</f>
        <v/>
      </c>
      <c r="V770" s="8">
        <f>$AE$12+D770*$AE$13+E770*$AE$14+F770*$AE$15+G770*$AE$16+H770*$AE$17+I770*$AE$18+J770*$AE$19+K770*$AE$20+L770*$AE$21+M770*$AE$22+N770*$AE$23+O770*$AE$24+P770*$AE$25+Q770*$AE$26+R770*$AE$27+S770*$AE$28+T770*$AE$29+U770*$AE$30</f>
        <v/>
      </c>
      <c r="W770" s="8">
        <f>1/(1+EXP(-V770))</f>
        <v/>
      </c>
      <c r="X770" s="9">
        <f>-IF(C770=1,LN(W770),LN(1-W770))</f>
        <v/>
      </c>
      <c r="Y770" s="8">
        <f>IF(C770=1,$AE$32,$AE$33)</f>
        <v/>
      </c>
      <c r="Z770" s="9">
        <f>Y770*X770</f>
        <v/>
      </c>
      <c r="AA770" s="10">
        <f>IF(W770&gt;$AE$34,1,0)</f>
        <v/>
      </c>
      <c r="AB770">
        <f>IF(AA770=C770,1,0)</f>
        <v/>
      </c>
    </row>
    <row r="771">
      <c r="A771">
        <f>'1 datos preparados'!A764</f>
        <v/>
      </c>
      <c r="B771" s="5">
        <f>'1 datos preparados'!U764</f>
        <v/>
      </c>
      <c r="C771">
        <f>'1 datos preparados'!B764</f>
        <v/>
      </c>
      <c r="D771" s="7">
        <f>'1 datos preparados'!C764</f>
        <v/>
      </c>
      <c r="E771" s="7">
        <f>'1 datos preparados'!D764</f>
        <v/>
      </c>
      <c r="F771" s="7">
        <f>'1 datos preparados'!E764</f>
        <v/>
      </c>
      <c r="G771" s="7">
        <f>'1 datos preparados'!F764</f>
        <v/>
      </c>
      <c r="H771" s="7">
        <f>'1 datos preparados'!G764</f>
        <v/>
      </c>
      <c r="I771" s="7">
        <f>'1 datos preparados'!H764</f>
        <v/>
      </c>
      <c r="J771" s="7">
        <f>'1 datos preparados'!I764</f>
        <v/>
      </c>
      <c r="K771" s="7">
        <f>'1 datos preparados'!J764</f>
        <v/>
      </c>
      <c r="L771" s="7">
        <f>'1 datos preparados'!K764</f>
        <v/>
      </c>
      <c r="M771" s="7">
        <f>'1 datos preparados'!L764</f>
        <v/>
      </c>
      <c r="N771" s="7">
        <f>'1 datos preparados'!M764</f>
        <v/>
      </c>
      <c r="O771" s="7">
        <f>'1 datos preparados'!N764</f>
        <v/>
      </c>
      <c r="P771" s="7">
        <f>'1 datos preparados'!O764</f>
        <v/>
      </c>
      <c r="Q771" s="7">
        <f>'1 datos preparados'!P764</f>
        <v/>
      </c>
      <c r="R771" s="7">
        <f>'1 datos preparados'!Q764</f>
        <v/>
      </c>
      <c r="S771" s="7">
        <f>'1 datos preparados'!R764</f>
        <v/>
      </c>
      <c r="T771" s="7">
        <f>'1 datos preparados'!S764</f>
        <v/>
      </c>
      <c r="U771" s="7">
        <f>'1 datos preparados'!T764</f>
        <v/>
      </c>
      <c r="V771" s="8">
        <f>$AE$12+D771*$AE$13+E771*$AE$14+F771*$AE$15+G771*$AE$16+H771*$AE$17+I771*$AE$18+J771*$AE$19+K771*$AE$20+L771*$AE$21+M771*$AE$22+N771*$AE$23+O771*$AE$24+P771*$AE$25+Q771*$AE$26+R771*$AE$27+S771*$AE$28+T771*$AE$29+U771*$AE$30</f>
        <v/>
      </c>
      <c r="W771" s="8">
        <f>1/(1+EXP(-V771))</f>
        <v/>
      </c>
      <c r="X771" s="9">
        <f>-IF(C771=1,LN(W771),LN(1-W771))</f>
        <v/>
      </c>
      <c r="Y771" s="8">
        <f>IF(C771=1,$AE$32,$AE$33)</f>
        <v/>
      </c>
      <c r="Z771" s="9">
        <f>Y771*X771</f>
        <v/>
      </c>
      <c r="AA771" s="10">
        <f>IF(W771&gt;$AE$34,1,0)</f>
        <v/>
      </c>
      <c r="AB771">
        <f>IF(AA771=C771,1,0)</f>
        <v/>
      </c>
    </row>
    <row r="772">
      <c r="A772">
        <f>'1 datos preparados'!A765</f>
        <v/>
      </c>
      <c r="B772" s="5">
        <f>'1 datos preparados'!U765</f>
        <v/>
      </c>
      <c r="C772">
        <f>'1 datos preparados'!B765</f>
        <v/>
      </c>
      <c r="D772" s="7">
        <f>'1 datos preparados'!C765</f>
        <v/>
      </c>
      <c r="E772" s="7">
        <f>'1 datos preparados'!D765</f>
        <v/>
      </c>
      <c r="F772" s="7">
        <f>'1 datos preparados'!E765</f>
        <v/>
      </c>
      <c r="G772" s="7">
        <f>'1 datos preparados'!F765</f>
        <v/>
      </c>
      <c r="H772" s="7">
        <f>'1 datos preparados'!G765</f>
        <v/>
      </c>
      <c r="I772" s="7">
        <f>'1 datos preparados'!H765</f>
        <v/>
      </c>
      <c r="J772" s="7">
        <f>'1 datos preparados'!I765</f>
        <v/>
      </c>
      <c r="K772" s="7">
        <f>'1 datos preparados'!J765</f>
        <v/>
      </c>
      <c r="L772" s="7">
        <f>'1 datos preparados'!K765</f>
        <v/>
      </c>
      <c r="M772" s="7">
        <f>'1 datos preparados'!L765</f>
        <v/>
      </c>
      <c r="N772" s="7">
        <f>'1 datos preparados'!M765</f>
        <v/>
      </c>
      <c r="O772" s="7">
        <f>'1 datos preparados'!N765</f>
        <v/>
      </c>
      <c r="P772" s="7">
        <f>'1 datos preparados'!O765</f>
        <v/>
      </c>
      <c r="Q772" s="7">
        <f>'1 datos preparados'!P765</f>
        <v/>
      </c>
      <c r="R772" s="7">
        <f>'1 datos preparados'!Q765</f>
        <v/>
      </c>
      <c r="S772" s="7">
        <f>'1 datos preparados'!R765</f>
        <v/>
      </c>
      <c r="T772" s="7">
        <f>'1 datos preparados'!S765</f>
        <v/>
      </c>
      <c r="U772" s="7">
        <f>'1 datos preparados'!T765</f>
        <v/>
      </c>
      <c r="V772" s="8">
        <f>$AE$12+D772*$AE$13+E772*$AE$14+F772*$AE$15+G772*$AE$16+H772*$AE$17+I772*$AE$18+J772*$AE$19+K772*$AE$20+L772*$AE$21+M772*$AE$22+N772*$AE$23+O772*$AE$24+P772*$AE$25+Q772*$AE$26+R772*$AE$27+S772*$AE$28+T772*$AE$29+U772*$AE$30</f>
        <v/>
      </c>
      <c r="W772" s="8">
        <f>1/(1+EXP(-V772))</f>
        <v/>
      </c>
      <c r="X772" s="9">
        <f>-IF(C772=1,LN(W772),LN(1-W772))</f>
        <v/>
      </c>
      <c r="Y772" s="8">
        <f>IF(C772=1,$AE$32,$AE$33)</f>
        <v/>
      </c>
      <c r="Z772" s="9">
        <f>Y772*X772</f>
        <v/>
      </c>
      <c r="AA772" s="10">
        <f>IF(W772&gt;$AE$34,1,0)</f>
        <v/>
      </c>
      <c r="AB772">
        <f>IF(AA772=C772,1,0)</f>
        <v/>
      </c>
    </row>
    <row r="773">
      <c r="A773">
        <f>'1 datos preparados'!A766</f>
        <v/>
      </c>
      <c r="B773" s="5">
        <f>'1 datos preparados'!U766</f>
        <v/>
      </c>
      <c r="C773">
        <f>'1 datos preparados'!B766</f>
        <v/>
      </c>
      <c r="D773" s="7">
        <f>'1 datos preparados'!C766</f>
        <v/>
      </c>
      <c r="E773" s="7">
        <f>'1 datos preparados'!D766</f>
        <v/>
      </c>
      <c r="F773" s="7">
        <f>'1 datos preparados'!E766</f>
        <v/>
      </c>
      <c r="G773" s="7">
        <f>'1 datos preparados'!F766</f>
        <v/>
      </c>
      <c r="H773" s="7">
        <f>'1 datos preparados'!G766</f>
        <v/>
      </c>
      <c r="I773" s="7">
        <f>'1 datos preparados'!H766</f>
        <v/>
      </c>
      <c r="J773" s="7">
        <f>'1 datos preparados'!I766</f>
        <v/>
      </c>
      <c r="K773" s="7">
        <f>'1 datos preparados'!J766</f>
        <v/>
      </c>
      <c r="L773" s="7">
        <f>'1 datos preparados'!K766</f>
        <v/>
      </c>
      <c r="M773" s="7">
        <f>'1 datos preparados'!L766</f>
        <v/>
      </c>
      <c r="N773" s="7">
        <f>'1 datos preparados'!M766</f>
        <v/>
      </c>
      <c r="O773" s="7">
        <f>'1 datos preparados'!N766</f>
        <v/>
      </c>
      <c r="P773" s="7">
        <f>'1 datos preparados'!O766</f>
        <v/>
      </c>
      <c r="Q773" s="7">
        <f>'1 datos preparados'!P766</f>
        <v/>
      </c>
      <c r="R773" s="7">
        <f>'1 datos preparados'!Q766</f>
        <v/>
      </c>
      <c r="S773" s="7">
        <f>'1 datos preparados'!R766</f>
        <v/>
      </c>
      <c r="T773" s="7">
        <f>'1 datos preparados'!S766</f>
        <v/>
      </c>
      <c r="U773" s="7">
        <f>'1 datos preparados'!T766</f>
        <v/>
      </c>
      <c r="V773" s="8">
        <f>$AE$12+D773*$AE$13+E773*$AE$14+F773*$AE$15+G773*$AE$16+H773*$AE$17+I773*$AE$18+J773*$AE$19+K773*$AE$20+L773*$AE$21+M773*$AE$22+N773*$AE$23+O773*$AE$24+P773*$AE$25+Q773*$AE$26+R773*$AE$27+S773*$AE$28+T773*$AE$29+U773*$AE$30</f>
        <v/>
      </c>
      <c r="W773" s="8">
        <f>1/(1+EXP(-V773))</f>
        <v/>
      </c>
      <c r="X773" s="9">
        <f>-IF(C773=1,LN(W773),LN(1-W773))</f>
        <v/>
      </c>
      <c r="Y773" s="8">
        <f>IF(C773=1,$AE$32,$AE$33)</f>
        <v/>
      </c>
      <c r="Z773" s="9">
        <f>Y773*X773</f>
        <v/>
      </c>
      <c r="AA773" s="10">
        <f>IF(W773&gt;$AE$34,1,0)</f>
        <v/>
      </c>
      <c r="AB773">
        <f>IF(AA773=C773,1,0)</f>
        <v/>
      </c>
    </row>
    <row r="774">
      <c r="A774">
        <f>'1 datos preparados'!A767</f>
        <v/>
      </c>
      <c r="B774" s="5">
        <f>'1 datos preparados'!U767</f>
        <v/>
      </c>
      <c r="C774">
        <f>'1 datos preparados'!B767</f>
        <v/>
      </c>
      <c r="D774" s="7">
        <f>'1 datos preparados'!C767</f>
        <v/>
      </c>
      <c r="E774" s="7">
        <f>'1 datos preparados'!D767</f>
        <v/>
      </c>
      <c r="F774" s="7">
        <f>'1 datos preparados'!E767</f>
        <v/>
      </c>
      <c r="G774" s="7">
        <f>'1 datos preparados'!F767</f>
        <v/>
      </c>
      <c r="H774" s="7">
        <f>'1 datos preparados'!G767</f>
        <v/>
      </c>
      <c r="I774" s="7">
        <f>'1 datos preparados'!H767</f>
        <v/>
      </c>
      <c r="J774" s="7">
        <f>'1 datos preparados'!I767</f>
        <v/>
      </c>
      <c r="K774" s="7">
        <f>'1 datos preparados'!J767</f>
        <v/>
      </c>
      <c r="L774" s="7">
        <f>'1 datos preparados'!K767</f>
        <v/>
      </c>
      <c r="M774" s="7">
        <f>'1 datos preparados'!L767</f>
        <v/>
      </c>
      <c r="N774" s="7">
        <f>'1 datos preparados'!M767</f>
        <v/>
      </c>
      <c r="O774" s="7">
        <f>'1 datos preparados'!N767</f>
        <v/>
      </c>
      <c r="P774" s="7">
        <f>'1 datos preparados'!O767</f>
        <v/>
      </c>
      <c r="Q774" s="7">
        <f>'1 datos preparados'!P767</f>
        <v/>
      </c>
      <c r="R774" s="7">
        <f>'1 datos preparados'!Q767</f>
        <v/>
      </c>
      <c r="S774" s="7">
        <f>'1 datos preparados'!R767</f>
        <v/>
      </c>
      <c r="T774" s="7">
        <f>'1 datos preparados'!S767</f>
        <v/>
      </c>
      <c r="U774" s="7">
        <f>'1 datos preparados'!T767</f>
        <v/>
      </c>
      <c r="V774" s="8">
        <f>$AE$12+D774*$AE$13+E774*$AE$14+F774*$AE$15+G774*$AE$16+H774*$AE$17+I774*$AE$18+J774*$AE$19+K774*$AE$20+L774*$AE$21+M774*$AE$22+N774*$AE$23+O774*$AE$24+P774*$AE$25+Q774*$AE$26+R774*$AE$27+S774*$AE$28+T774*$AE$29+U774*$AE$30</f>
        <v/>
      </c>
      <c r="W774" s="8">
        <f>1/(1+EXP(-V774))</f>
        <v/>
      </c>
      <c r="X774" s="9">
        <f>-IF(C774=1,LN(W774),LN(1-W774))</f>
        <v/>
      </c>
      <c r="Y774" s="8">
        <f>IF(C774=1,$AE$32,$AE$33)</f>
        <v/>
      </c>
      <c r="Z774" s="9">
        <f>Y774*X774</f>
        <v/>
      </c>
      <c r="AA774" s="10">
        <f>IF(W774&gt;$AE$34,1,0)</f>
        <v/>
      </c>
      <c r="AB774">
        <f>IF(AA774=C774,1,0)</f>
        <v/>
      </c>
    </row>
    <row r="775">
      <c r="A775">
        <f>'1 datos preparados'!A768</f>
        <v/>
      </c>
      <c r="B775" s="5">
        <f>'1 datos preparados'!U768</f>
        <v/>
      </c>
      <c r="C775">
        <f>'1 datos preparados'!B768</f>
        <v/>
      </c>
      <c r="D775" s="7">
        <f>'1 datos preparados'!C768</f>
        <v/>
      </c>
      <c r="E775" s="7">
        <f>'1 datos preparados'!D768</f>
        <v/>
      </c>
      <c r="F775" s="7">
        <f>'1 datos preparados'!E768</f>
        <v/>
      </c>
      <c r="G775" s="7">
        <f>'1 datos preparados'!F768</f>
        <v/>
      </c>
      <c r="H775" s="7">
        <f>'1 datos preparados'!G768</f>
        <v/>
      </c>
      <c r="I775" s="7">
        <f>'1 datos preparados'!H768</f>
        <v/>
      </c>
      <c r="J775" s="7">
        <f>'1 datos preparados'!I768</f>
        <v/>
      </c>
      <c r="K775" s="7">
        <f>'1 datos preparados'!J768</f>
        <v/>
      </c>
      <c r="L775" s="7">
        <f>'1 datos preparados'!K768</f>
        <v/>
      </c>
      <c r="M775" s="7">
        <f>'1 datos preparados'!L768</f>
        <v/>
      </c>
      <c r="N775" s="7">
        <f>'1 datos preparados'!M768</f>
        <v/>
      </c>
      <c r="O775" s="7">
        <f>'1 datos preparados'!N768</f>
        <v/>
      </c>
      <c r="P775" s="7">
        <f>'1 datos preparados'!O768</f>
        <v/>
      </c>
      <c r="Q775" s="7">
        <f>'1 datos preparados'!P768</f>
        <v/>
      </c>
      <c r="R775" s="7">
        <f>'1 datos preparados'!Q768</f>
        <v/>
      </c>
      <c r="S775" s="7">
        <f>'1 datos preparados'!R768</f>
        <v/>
      </c>
      <c r="T775" s="7">
        <f>'1 datos preparados'!S768</f>
        <v/>
      </c>
      <c r="U775" s="7">
        <f>'1 datos preparados'!T768</f>
        <v/>
      </c>
      <c r="V775" s="8">
        <f>$AE$12+D775*$AE$13+E775*$AE$14+F775*$AE$15+G775*$AE$16+H775*$AE$17+I775*$AE$18+J775*$AE$19+K775*$AE$20+L775*$AE$21+M775*$AE$22+N775*$AE$23+O775*$AE$24+P775*$AE$25+Q775*$AE$26+R775*$AE$27+S775*$AE$28+T775*$AE$29+U775*$AE$30</f>
        <v/>
      </c>
      <c r="W775" s="8">
        <f>1/(1+EXP(-V775))</f>
        <v/>
      </c>
      <c r="X775" s="9">
        <f>-IF(C775=1,LN(W775),LN(1-W775))</f>
        <v/>
      </c>
      <c r="Y775" s="8">
        <f>IF(C775=1,$AE$32,$AE$33)</f>
        <v/>
      </c>
      <c r="Z775" s="9">
        <f>Y775*X775</f>
        <v/>
      </c>
      <c r="AA775" s="10">
        <f>IF(W775&gt;$AE$34,1,0)</f>
        <v/>
      </c>
      <c r="AB775">
        <f>IF(AA775=C775,1,0)</f>
        <v/>
      </c>
    </row>
    <row r="776">
      <c r="A776">
        <f>'1 datos preparados'!A769</f>
        <v/>
      </c>
      <c r="B776" s="5">
        <f>'1 datos preparados'!U769</f>
        <v/>
      </c>
      <c r="C776">
        <f>'1 datos preparados'!B769</f>
        <v/>
      </c>
      <c r="D776" s="7">
        <f>'1 datos preparados'!C769</f>
        <v/>
      </c>
      <c r="E776" s="7">
        <f>'1 datos preparados'!D769</f>
        <v/>
      </c>
      <c r="F776" s="7">
        <f>'1 datos preparados'!E769</f>
        <v/>
      </c>
      <c r="G776" s="7">
        <f>'1 datos preparados'!F769</f>
        <v/>
      </c>
      <c r="H776" s="7">
        <f>'1 datos preparados'!G769</f>
        <v/>
      </c>
      <c r="I776" s="7">
        <f>'1 datos preparados'!H769</f>
        <v/>
      </c>
      <c r="J776" s="7">
        <f>'1 datos preparados'!I769</f>
        <v/>
      </c>
      <c r="K776" s="7">
        <f>'1 datos preparados'!J769</f>
        <v/>
      </c>
      <c r="L776" s="7">
        <f>'1 datos preparados'!K769</f>
        <v/>
      </c>
      <c r="M776" s="7">
        <f>'1 datos preparados'!L769</f>
        <v/>
      </c>
      <c r="N776" s="7">
        <f>'1 datos preparados'!M769</f>
        <v/>
      </c>
      <c r="O776" s="7">
        <f>'1 datos preparados'!N769</f>
        <v/>
      </c>
      <c r="P776" s="7">
        <f>'1 datos preparados'!O769</f>
        <v/>
      </c>
      <c r="Q776" s="7">
        <f>'1 datos preparados'!P769</f>
        <v/>
      </c>
      <c r="R776" s="7">
        <f>'1 datos preparados'!Q769</f>
        <v/>
      </c>
      <c r="S776" s="7">
        <f>'1 datos preparados'!R769</f>
        <v/>
      </c>
      <c r="T776" s="7">
        <f>'1 datos preparados'!S769</f>
        <v/>
      </c>
      <c r="U776" s="7">
        <f>'1 datos preparados'!T769</f>
        <v/>
      </c>
      <c r="V776" s="8">
        <f>$AE$12+D776*$AE$13+E776*$AE$14+F776*$AE$15+G776*$AE$16+H776*$AE$17+I776*$AE$18+J776*$AE$19+K776*$AE$20+L776*$AE$21+M776*$AE$22+N776*$AE$23+O776*$AE$24+P776*$AE$25+Q776*$AE$26+R776*$AE$27+S776*$AE$28+T776*$AE$29+U776*$AE$30</f>
        <v/>
      </c>
      <c r="W776" s="8">
        <f>1/(1+EXP(-V776))</f>
        <v/>
      </c>
      <c r="X776" s="9">
        <f>-IF(C776=1,LN(W776),LN(1-W776))</f>
        <v/>
      </c>
      <c r="Y776" s="8">
        <f>IF(C776=1,$AE$32,$AE$33)</f>
        <v/>
      </c>
      <c r="Z776" s="9">
        <f>Y776*X776</f>
        <v/>
      </c>
      <c r="AA776" s="10">
        <f>IF(W776&gt;$AE$34,1,0)</f>
        <v/>
      </c>
      <c r="AB776">
        <f>IF(AA776=C776,1,0)</f>
        <v/>
      </c>
    </row>
    <row r="777">
      <c r="A777">
        <f>'1 datos preparados'!A770</f>
        <v/>
      </c>
      <c r="B777" s="5">
        <f>'1 datos preparados'!U770</f>
        <v/>
      </c>
      <c r="C777">
        <f>'1 datos preparados'!B770</f>
        <v/>
      </c>
      <c r="D777" s="7">
        <f>'1 datos preparados'!C770</f>
        <v/>
      </c>
      <c r="E777" s="7">
        <f>'1 datos preparados'!D770</f>
        <v/>
      </c>
      <c r="F777" s="7">
        <f>'1 datos preparados'!E770</f>
        <v/>
      </c>
      <c r="G777" s="7">
        <f>'1 datos preparados'!F770</f>
        <v/>
      </c>
      <c r="H777" s="7">
        <f>'1 datos preparados'!G770</f>
        <v/>
      </c>
      <c r="I777" s="7">
        <f>'1 datos preparados'!H770</f>
        <v/>
      </c>
      <c r="J777" s="7">
        <f>'1 datos preparados'!I770</f>
        <v/>
      </c>
      <c r="K777" s="7">
        <f>'1 datos preparados'!J770</f>
        <v/>
      </c>
      <c r="L777" s="7">
        <f>'1 datos preparados'!K770</f>
        <v/>
      </c>
      <c r="M777" s="7">
        <f>'1 datos preparados'!L770</f>
        <v/>
      </c>
      <c r="N777" s="7">
        <f>'1 datos preparados'!M770</f>
        <v/>
      </c>
      <c r="O777" s="7">
        <f>'1 datos preparados'!N770</f>
        <v/>
      </c>
      <c r="P777" s="7">
        <f>'1 datos preparados'!O770</f>
        <v/>
      </c>
      <c r="Q777" s="7">
        <f>'1 datos preparados'!P770</f>
        <v/>
      </c>
      <c r="R777" s="7">
        <f>'1 datos preparados'!Q770</f>
        <v/>
      </c>
      <c r="S777" s="7">
        <f>'1 datos preparados'!R770</f>
        <v/>
      </c>
      <c r="T777" s="7">
        <f>'1 datos preparados'!S770</f>
        <v/>
      </c>
      <c r="U777" s="7">
        <f>'1 datos preparados'!T770</f>
        <v/>
      </c>
      <c r="V777" s="8">
        <f>$AE$12+D777*$AE$13+E777*$AE$14+F777*$AE$15+G777*$AE$16+H777*$AE$17+I777*$AE$18+J777*$AE$19+K777*$AE$20+L777*$AE$21+M777*$AE$22+N777*$AE$23+O777*$AE$24+P777*$AE$25+Q777*$AE$26+R777*$AE$27+S777*$AE$28+T777*$AE$29+U777*$AE$30</f>
        <v/>
      </c>
      <c r="W777" s="8">
        <f>1/(1+EXP(-V777))</f>
        <v/>
      </c>
      <c r="X777" s="9">
        <f>-IF(C777=1,LN(W777),LN(1-W777))</f>
        <v/>
      </c>
      <c r="Y777" s="8">
        <f>IF(C777=1,$AE$32,$AE$33)</f>
        <v/>
      </c>
      <c r="Z777" s="9">
        <f>Y777*X777</f>
        <v/>
      </c>
      <c r="AA777" s="10">
        <f>IF(W777&gt;$AE$34,1,0)</f>
        <v/>
      </c>
      <c r="AB777">
        <f>IF(AA777=C777,1,0)</f>
        <v/>
      </c>
    </row>
    <row r="778">
      <c r="A778">
        <f>'1 datos preparados'!A771</f>
        <v/>
      </c>
      <c r="B778" s="5">
        <f>'1 datos preparados'!U771</f>
        <v/>
      </c>
      <c r="C778">
        <f>'1 datos preparados'!B771</f>
        <v/>
      </c>
      <c r="D778" s="7">
        <f>'1 datos preparados'!C771</f>
        <v/>
      </c>
      <c r="E778" s="7">
        <f>'1 datos preparados'!D771</f>
        <v/>
      </c>
      <c r="F778" s="7">
        <f>'1 datos preparados'!E771</f>
        <v/>
      </c>
      <c r="G778" s="7">
        <f>'1 datos preparados'!F771</f>
        <v/>
      </c>
      <c r="H778" s="7">
        <f>'1 datos preparados'!G771</f>
        <v/>
      </c>
      <c r="I778" s="7">
        <f>'1 datos preparados'!H771</f>
        <v/>
      </c>
      <c r="J778" s="7">
        <f>'1 datos preparados'!I771</f>
        <v/>
      </c>
      <c r="K778" s="7">
        <f>'1 datos preparados'!J771</f>
        <v/>
      </c>
      <c r="L778" s="7">
        <f>'1 datos preparados'!K771</f>
        <v/>
      </c>
      <c r="M778" s="7">
        <f>'1 datos preparados'!L771</f>
        <v/>
      </c>
      <c r="N778" s="7">
        <f>'1 datos preparados'!M771</f>
        <v/>
      </c>
      <c r="O778" s="7">
        <f>'1 datos preparados'!N771</f>
        <v/>
      </c>
      <c r="P778" s="7">
        <f>'1 datos preparados'!O771</f>
        <v/>
      </c>
      <c r="Q778" s="7">
        <f>'1 datos preparados'!P771</f>
        <v/>
      </c>
      <c r="R778" s="7">
        <f>'1 datos preparados'!Q771</f>
        <v/>
      </c>
      <c r="S778" s="7">
        <f>'1 datos preparados'!R771</f>
        <v/>
      </c>
      <c r="T778" s="7">
        <f>'1 datos preparados'!S771</f>
        <v/>
      </c>
      <c r="U778" s="7">
        <f>'1 datos preparados'!T771</f>
        <v/>
      </c>
      <c r="V778" s="8">
        <f>$AE$12+D778*$AE$13+E778*$AE$14+F778*$AE$15+G778*$AE$16+H778*$AE$17+I778*$AE$18+J778*$AE$19+K778*$AE$20+L778*$AE$21+M778*$AE$22+N778*$AE$23+O778*$AE$24+P778*$AE$25+Q778*$AE$26+R778*$AE$27+S778*$AE$28+T778*$AE$29+U778*$AE$30</f>
        <v/>
      </c>
      <c r="W778" s="8">
        <f>1/(1+EXP(-V778))</f>
        <v/>
      </c>
      <c r="X778" s="9">
        <f>-IF(C778=1,LN(W778),LN(1-W778))</f>
        <v/>
      </c>
      <c r="Y778" s="8">
        <f>IF(C778=1,$AE$32,$AE$33)</f>
        <v/>
      </c>
      <c r="Z778" s="9">
        <f>Y778*X778</f>
        <v/>
      </c>
      <c r="AA778" s="10">
        <f>IF(W778&gt;$AE$34,1,0)</f>
        <v/>
      </c>
      <c r="AB778">
        <f>IF(AA778=C778,1,0)</f>
        <v/>
      </c>
    </row>
    <row r="779">
      <c r="A779">
        <f>'1 datos preparados'!A772</f>
        <v/>
      </c>
      <c r="B779" s="5">
        <f>'1 datos preparados'!U772</f>
        <v/>
      </c>
      <c r="C779">
        <f>'1 datos preparados'!B772</f>
        <v/>
      </c>
      <c r="D779" s="7">
        <f>'1 datos preparados'!C772</f>
        <v/>
      </c>
      <c r="E779" s="7">
        <f>'1 datos preparados'!D772</f>
        <v/>
      </c>
      <c r="F779" s="7">
        <f>'1 datos preparados'!E772</f>
        <v/>
      </c>
      <c r="G779" s="7">
        <f>'1 datos preparados'!F772</f>
        <v/>
      </c>
      <c r="H779" s="7">
        <f>'1 datos preparados'!G772</f>
        <v/>
      </c>
      <c r="I779" s="7">
        <f>'1 datos preparados'!H772</f>
        <v/>
      </c>
      <c r="J779" s="7">
        <f>'1 datos preparados'!I772</f>
        <v/>
      </c>
      <c r="K779" s="7">
        <f>'1 datos preparados'!J772</f>
        <v/>
      </c>
      <c r="L779" s="7">
        <f>'1 datos preparados'!K772</f>
        <v/>
      </c>
      <c r="M779" s="7">
        <f>'1 datos preparados'!L772</f>
        <v/>
      </c>
      <c r="N779" s="7">
        <f>'1 datos preparados'!M772</f>
        <v/>
      </c>
      <c r="O779" s="7">
        <f>'1 datos preparados'!N772</f>
        <v/>
      </c>
      <c r="P779" s="7">
        <f>'1 datos preparados'!O772</f>
        <v/>
      </c>
      <c r="Q779" s="7">
        <f>'1 datos preparados'!P772</f>
        <v/>
      </c>
      <c r="R779" s="7">
        <f>'1 datos preparados'!Q772</f>
        <v/>
      </c>
      <c r="S779" s="7">
        <f>'1 datos preparados'!R772</f>
        <v/>
      </c>
      <c r="T779" s="7">
        <f>'1 datos preparados'!S772</f>
        <v/>
      </c>
      <c r="U779" s="7">
        <f>'1 datos preparados'!T772</f>
        <v/>
      </c>
      <c r="V779" s="8">
        <f>$AE$12+D779*$AE$13+E779*$AE$14+F779*$AE$15+G779*$AE$16+H779*$AE$17+I779*$AE$18+J779*$AE$19+K779*$AE$20+L779*$AE$21+M779*$AE$22+N779*$AE$23+O779*$AE$24+P779*$AE$25+Q779*$AE$26+R779*$AE$27+S779*$AE$28+T779*$AE$29+U779*$AE$30</f>
        <v/>
      </c>
      <c r="W779" s="8">
        <f>1/(1+EXP(-V779))</f>
        <v/>
      </c>
      <c r="X779" s="9">
        <f>-IF(C779=1,LN(W779),LN(1-W779))</f>
        <v/>
      </c>
      <c r="Y779" s="8">
        <f>IF(C779=1,$AE$32,$AE$33)</f>
        <v/>
      </c>
      <c r="Z779" s="9">
        <f>Y779*X779</f>
        <v/>
      </c>
      <c r="AA779" s="10">
        <f>IF(W779&gt;$AE$34,1,0)</f>
        <v/>
      </c>
      <c r="AB779">
        <f>IF(AA779=C779,1,0)</f>
        <v/>
      </c>
    </row>
    <row r="780">
      <c r="A780">
        <f>'1 datos preparados'!A773</f>
        <v/>
      </c>
      <c r="B780" s="5">
        <f>'1 datos preparados'!U773</f>
        <v/>
      </c>
      <c r="C780">
        <f>'1 datos preparados'!B773</f>
        <v/>
      </c>
      <c r="D780" s="7">
        <f>'1 datos preparados'!C773</f>
        <v/>
      </c>
      <c r="E780" s="7">
        <f>'1 datos preparados'!D773</f>
        <v/>
      </c>
      <c r="F780" s="7">
        <f>'1 datos preparados'!E773</f>
        <v/>
      </c>
      <c r="G780" s="7">
        <f>'1 datos preparados'!F773</f>
        <v/>
      </c>
      <c r="H780" s="7">
        <f>'1 datos preparados'!G773</f>
        <v/>
      </c>
      <c r="I780" s="7">
        <f>'1 datos preparados'!H773</f>
        <v/>
      </c>
      <c r="J780" s="7">
        <f>'1 datos preparados'!I773</f>
        <v/>
      </c>
      <c r="K780" s="7">
        <f>'1 datos preparados'!J773</f>
        <v/>
      </c>
      <c r="L780" s="7">
        <f>'1 datos preparados'!K773</f>
        <v/>
      </c>
      <c r="M780" s="7">
        <f>'1 datos preparados'!L773</f>
        <v/>
      </c>
      <c r="N780" s="7">
        <f>'1 datos preparados'!M773</f>
        <v/>
      </c>
      <c r="O780" s="7">
        <f>'1 datos preparados'!N773</f>
        <v/>
      </c>
      <c r="P780" s="7">
        <f>'1 datos preparados'!O773</f>
        <v/>
      </c>
      <c r="Q780" s="7">
        <f>'1 datos preparados'!P773</f>
        <v/>
      </c>
      <c r="R780" s="7">
        <f>'1 datos preparados'!Q773</f>
        <v/>
      </c>
      <c r="S780" s="7">
        <f>'1 datos preparados'!R773</f>
        <v/>
      </c>
      <c r="T780" s="7">
        <f>'1 datos preparados'!S773</f>
        <v/>
      </c>
      <c r="U780" s="7">
        <f>'1 datos preparados'!T773</f>
        <v/>
      </c>
      <c r="V780" s="8">
        <f>$AE$12+D780*$AE$13+E780*$AE$14+F780*$AE$15+G780*$AE$16+H780*$AE$17+I780*$AE$18+J780*$AE$19+K780*$AE$20+L780*$AE$21+M780*$AE$22+N780*$AE$23+O780*$AE$24+P780*$AE$25+Q780*$AE$26+R780*$AE$27+S780*$AE$28+T780*$AE$29+U780*$AE$30</f>
        <v/>
      </c>
      <c r="W780" s="8">
        <f>1/(1+EXP(-V780))</f>
        <v/>
      </c>
      <c r="X780" s="9">
        <f>-IF(C780=1,LN(W780),LN(1-W780))</f>
        <v/>
      </c>
      <c r="Y780" s="8">
        <f>IF(C780=1,$AE$32,$AE$33)</f>
        <v/>
      </c>
      <c r="Z780" s="9">
        <f>Y780*X780</f>
        <v/>
      </c>
      <c r="AA780" s="10">
        <f>IF(W780&gt;$AE$34,1,0)</f>
        <v/>
      </c>
      <c r="AB780">
        <f>IF(AA780=C780,1,0)</f>
        <v/>
      </c>
    </row>
    <row r="781">
      <c r="A781">
        <f>'1 datos preparados'!A774</f>
        <v/>
      </c>
      <c r="B781" s="5">
        <f>'1 datos preparados'!U774</f>
        <v/>
      </c>
      <c r="C781">
        <f>'1 datos preparados'!B774</f>
        <v/>
      </c>
      <c r="D781" s="7">
        <f>'1 datos preparados'!C774</f>
        <v/>
      </c>
      <c r="E781" s="7">
        <f>'1 datos preparados'!D774</f>
        <v/>
      </c>
      <c r="F781" s="7">
        <f>'1 datos preparados'!E774</f>
        <v/>
      </c>
      <c r="G781" s="7">
        <f>'1 datos preparados'!F774</f>
        <v/>
      </c>
      <c r="H781" s="7">
        <f>'1 datos preparados'!G774</f>
        <v/>
      </c>
      <c r="I781" s="7">
        <f>'1 datos preparados'!H774</f>
        <v/>
      </c>
      <c r="J781" s="7">
        <f>'1 datos preparados'!I774</f>
        <v/>
      </c>
      <c r="K781" s="7">
        <f>'1 datos preparados'!J774</f>
        <v/>
      </c>
      <c r="L781" s="7">
        <f>'1 datos preparados'!K774</f>
        <v/>
      </c>
      <c r="M781" s="7">
        <f>'1 datos preparados'!L774</f>
        <v/>
      </c>
      <c r="N781" s="7">
        <f>'1 datos preparados'!M774</f>
        <v/>
      </c>
      <c r="O781" s="7">
        <f>'1 datos preparados'!N774</f>
        <v/>
      </c>
      <c r="P781" s="7">
        <f>'1 datos preparados'!O774</f>
        <v/>
      </c>
      <c r="Q781" s="7">
        <f>'1 datos preparados'!P774</f>
        <v/>
      </c>
      <c r="R781" s="7">
        <f>'1 datos preparados'!Q774</f>
        <v/>
      </c>
      <c r="S781" s="7">
        <f>'1 datos preparados'!R774</f>
        <v/>
      </c>
      <c r="T781" s="7">
        <f>'1 datos preparados'!S774</f>
        <v/>
      </c>
      <c r="U781" s="7">
        <f>'1 datos preparados'!T774</f>
        <v/>
      </c>
      <c r="V781" s="8">
        <f>$AE$12+D781*$AE$13+E781*$AE$14+F781*$AE$15+G781*$AE$16+H781*$AE$17+I781*$AE$18+J781*$AE$19+K781*$AE$20+L781*$AE$21+M781*$AE$22+N781*$AE$23+O781*$AE$24+P781*$AE$25+Q781*$AE$26+R781*$AE$27+S781*$AE$28+T781*$AE$29+U781*$AE$30</f>
        <v/>
      </c>
      <c r="W781" s="8">
        <f>1/(1+EXP(-V781))</f>
        <v/>
      </c>
      <c r="X781" s="9">
        <f>-IF(C781=1,LN(W781),LN(1-W781))</f>
        <v/>
      </c>
      <c r="Y781" s="8">
        <f>IF(C781=1,$AE$32,$AE$33)</f>
        <v/>
      </c>
      <c r="Z781" s="9">
        <f>Y781*X781</f>
        <v/>
      </c>
      <c r="AA781" s="10">
        <f>IF(W781&gt;$AE$34,1,0)</f>
        <v/>
      </c>
      <c r="AB781">
        <f>IF(AA781=C781,1,0)</f>
        <v/>
      </c>
    </row>
    <row r="782">
      <c r="A782">
        <f>'1 datos preparados'!A775</f>
        <v/>
      </c>
      <c r="B782" s="5">
        <f>'1 datos preparados'!U775</f>
        <v/>
      </c>
      <c r="C782">
        <f>'1 datos preparados'!B775</f>
        <v/>
      </c>
      <c r="D782" s="7">
        <f>'1 datos preparados'!C775</f>
        <v/>
      </c>
      <c r="E782" s="7">
        <f>'1 datos preparados'!D775</f>
        <v/>
      </c>
      <c r="F782" s="7">
        <f>'1 datos preparados'!E775</f>
        <v/>
      </c>
      <c r="G782" s="7">
        <f>'1 datos preparados'!F775</f>
        <v/>
      </c>
      <c r="H782" s="7">
        <f>'1 datos preparados'!G775</f>
        <v/>
      </c>
      <c r="I782" s="7">
        <f>'1 datos preparados'!H775</f>
        <v/>
      </c>
      <c r="J782" s="7">
        <f>'1 datos preparados'!I775</f>
        <v/>
      </c>
      <c r="K782" s="7">
        <f>'1 datos preparados'!J775</f>
        <v/>
      </c>
      <c r="L782" s="7">
        <f>'1 datos preparados'!K775</f>
        <v/>
      </c>
      <c r="M782" s="7">
        <f>'1 datos preparados'!L775</f>
        <v/>
      </c>
      <c r="N782" s="7">
        <f>'1 datos preparados'!M775</f>
        <v/>
      </c>
      <c r="O782" s="7">
        <f>'1 datos preparados'!N775</f>
        <v/>
      </c>
      <c r="P782" s="7">
        <f>'1 datos preparados'!O775</f>
        <v/>
      </c>
      <c r="Q782" s="7">
        <f>'1 datos preparados'!P775</f>
        <v/>
      </c>
      <c r="R782" s="7">
        <f>'1 datos preparados'!Q775</f>
        <v/>
      </c>
      <c r="S782" s="7">
        <f>'1 datos preparados'!R775</f>
        <v/>
      </c>
      <c r="T782" s="7">
        <f>'1 datos preparados'!S775</f>
        <v/>
      </c>
      <c r="U782" s="7">
        <f>'1 datos preparados'!T775</f>
        <v/>
      </c>
      <c r="V782" s="8">
        <f>$AE$12+D782*$AE$13+E782*$AE$14+F782*$AE$15+G782*$AE$16+H782*$AE$17+I782*$AE$18+J782*$AE$19+K782*$AE$20+L782*$AE$21+M782*$AE$22+N782*$AE$23+O782*$AE$24+P782*$AE$25+Q782*$AE$26+R782*$AE$27+S782*$AE$28+T782*$AE$29+U782*$AE$30</f>
        <v/>
      </c>
      <c r="W782" s="8">
        <f>1/(1+EXP(-V782))</f>
        <v/>
      </c>
      <c r="X782" s="9">
        <f>-IF(C782=1,LN(W782),LN(1-W782))</f>
        <v/>
      </c>
      <c r="Y782" s="8">
        <f>IF(C782=1,$AE$32,$AE$33)</f>
        <v/>
      </c>
      <c r="Z782" s="9">
        <f>Y782*X782</f>
        <v/>
      </c>
      <c r="AA782" s="10">
        <f>IF(W782&gt;$AE$34,1,0)</f>
        <v/>
      </c>
      <c r="AB782">
        <f>IF(AA782=C782,1,0)</f>
        <v/>
      </c>
    </row>
    <row r="783">
      <c r="A783">
        <f>'1 datos preparados'!A776</f>
        <v/>
      </c>
      <c r="B783" s="5">
        <f>'1 datos preparados'!U776</f>
        <v/>
      </c>
      <c r="C783">
        <f>'1 datos preparados'!B776</f>
        <v/>
      </c>
      <c r="D783" s="7">
        <f>'1 datos preparados'!C776</f>
        <v/>
      </c>
      <c r="E783" s="7">
        <f>'1 datos preparados'!D776</f>
        <v/>
      </c>
      <c r="F783" s="7">
        <f>'1 datos preparados'!E776</f>
        <v/>
      </c>
      <c r="G783" s="7">
        <f>'1 datos preparados'!F776</f>
        <v/>
      </c>
      <c r="H783" s="7">
        <f>'1 datos preparados'!G776</f>
        <v/>
      </c>
      <c r="I783" s="7">
        <f>'1 datos preparados'!H776</f>
        <v/>
      </c>
      <c r="J783" s="7">
        <f>'1 datos preparados'!I776</f>
        <v/>
      </c>
      <c r="K783" s="7">
        <f>'1 datos preparados'!J776</f>
        <v/>
      </c>
      <c r="L783" s="7">
        <f>'1 datos preparados'!K776</f>
        <v/>
      </c>
      <c r="M783" s="7">
        <f>'1 datos preparados'!L776</f>
        <v/>
      </c>
      <c r="N783" s="7">
        <f>'1 datos preparados'!M776</f>
        <v/>
      </c>
      <c r="O783" s="7">
        <f>'1 datos preparados'!N776</f>
        <v/>
      </c>
      <c r="P783" s="7">
        <f>'1 datos preparados'!O776</f>
        <v/>
      </c>
      <c r="Q783" s="7">
        <f>'1 datos preparados'!P776</f>
        <v/>
      </c>
      <c r="R783" s="7">
        <f>'1 datos preparados'!Q776</f>
        <v/>
      </c>
      <c r="S783" s="7">
        <f>'1 datos preparados'!R776</f>
        <v/>
      </c>
      <c r="T783" s="7">
        <f>'1 datos preparados'!S776</f>
        <v/>
      </c>
      <c r="U783" s="7">
        <f>'1 datos preparados'!T776</f>
        <v/>
      </c>
      <c r="V783" s="8">
        <f>$AE$12+D783*$AE$13+E783*$AE$14+F783*$AE$15+G783*$AE$16+H783*$AE$17+I783*$AE$18+J783*$AE$19+K783*$AE$20+L783*$AE$21+M783*$AE$22+N783*$AE$23+O783*$AE$24+P783*$AE$25+Q783*$AE$26+R783*$AE$27+S783*$AE$28+T783*$AE$29+U783*$AE$30</f>
        <v/>
      </c>
      <c r="W783" s="8">
        <f>1/(1+EXP(-V783))</f>
        <v/>
      </c>
      <c r="X783" s="9">
        <f>-IF(C783=1,LN(W783),LN(1-W783))</f>
        <v/>
      </c>
      <c r="Y783" s="8">
        <f>IF(C783=1,$AE$32,$AE$33)</f>
        <v/>
      </c>
      <c r="Z783" s="9">
        <f>Y783*X783</f>
        <v/>
      </c>
      <c r="AA783" s="10">
        <f>IF(W783&gt;$AE$34,1,0)</f>
        <v/>
      </c>
      <c r="AB783">
        <f>IF(AA783=C783,1,0)</f>
        <v/>
      </c>
    </row>
    <row r="784">
      <c r="A784">
        <f>'1 datos preparados'!A777</f>
        <v/>
      </c>
      <c r="B784" s="5">
        <f>'1 datos preparados'!U777</f>
        <v/>
      </c>
      <c r="C784">
        <f>'1 datos preparados'!B777</f>
        <v/>
      </c>
      <c r="D784" s="7">
        <f>'1 datos preparados'!C777</f>
        <v/>
      </c>
      <c r="E784" s="7">
        <f>'1 datos preparados'!D777</f>
        <v/>
      </c>
      <c r="F784" s="7">
        <f>'1 datos preparados'!E777</f>
        <v/>
      </c>
      <c r="G784" s="7">
        <f>'1 datos preparados'!F777</f>
        <v/>
      </c>
      <c r="H784" s="7">
        <f>'1 datos preparados'!G777</f>
        <v/>
      </c>
      <c r="I784" s="7">
        <f>'1 datos preparados'!H777</f>
        <v/>
      </c>
      <c r="J784" s="7">
        <f>'1 datos preparados'!I777</f>
        <v/>
      </c>
      <c r="K784" s="7">
        <f>'1 datos preparados'!J777</f>
        <v/>
      </c>
      <c r="L784" s="7">
        <f>'1 datos preparados'!K777</f>
        <v/>
      </c>
      <c r="M784" s="7">
        <f>'1 datos preparados'!L777</f>
        <v/>
      </c>
      <c r="N784" s="7">
        <f>'1 datos preparados'!M777</f>
        <v/>
      </c>
      <c r="O784" s="7">
        <f>'1 datos preparados'!N777</f>
        <v/>
      </c>
      <c r="P784" s="7">
        <f>'1 datos preparados'!O777</f>
        <v/>
      </c>
      <c r="Q784" s="7">
        <f>'1 datos preparados'!P777</f>
        <v/>
      </c>
      <c r="R784" s="7">
        <f>'1 datos preparados'!Q777</f>
        <v/>
      </c>
      <c r="S784" s="7">
        <f>'1 datos preparados'!R777</f>
        <v/>
      </c>
      <c r="T784" s="7">
        <f>'1 datos preparados'!S777</f>
        <v/>
      </c>
      <c r="U784" s="7">
        <f>'1 datos preparados'!T777</f>
        <v/>
      </c>
      <c r="V784" s="8">
        <f>$AE$12+D784*$AE$13+E784*$AE$14+F784*$AE$15+G784*$AE$16+H784*$AE$17+I784*$AE$18+J784*$AE$19+K784*$AE$20+L784*$AE$21+M784*$AE$22+N784*$AE$23+O784*$AE$24+P784*$AE$25+Q784*$AE$26+R784*$AE$27+S784*$AE$28+T784*$AE$29+U784*$AE$30</f>
        <v/>
      </c>
      <c r="W784" s="8">
        <f>1/(1+EXP(-V784))</f>
        <v/>
      </c>
      <c r="X784" s="9">
        <f>-IF(C784=1,LN(W784),LN(1-W784))</f>
        <v/>
      </c>
      <c r="Y784" s="8">
        <f>IF(C784=1,$AE$32,$AE$33)</f>
        <v/>
      </c>
      <c r="Z784" s="9">
        <f>Y784*X784</f>
        <v/>
      </c>
      <c r="AA784" s="10">
        <f>IF(W784&gt;$AE$34,1,0)</f>
        <v/>
      </c>
      <c r="AB784">
        <f>IF(AA784=C784,1,0)</f>
        <v/>
      </c>
    </row>
    <row r="785">
      <c r="A785">
        <f>'1 datos preparados'!A778</f>
        <v/>
      </c>
      <c r="B785" s="5">
        <f>'1 datos preparados'!U778</f>
        <v/>
      </c>
      <c r="C785">
        <f>'1 datos preparados'!B778</f>
        <v/>
      </c>
      <c r="D785" s="7">
        <f>'1 datos preparados'!C778</f>
        <v/>
      </c>
      <c r="E785" s="7">
        <f>'1 datos preparados'!D778</f>
        <v/>
      </c>
      <c r="F785" s="7">
        <f>'1 datos preparados'!E778</f>
        <v/>
      </c>
      <c r="G785" s="7">
        <f>'1 datos preparados'!F778</f>
        <v/>
      </c>
      <c r="H785" s="7">
        <f>'1 datos preparados'!G778</f>
        <v/>
      </c>
      <c r="I785" s="7">
        <f>'1 datos preparados'!H778</f>
        <v/>
      </c>
      <c r="J785" s="7">
        <f>'1 datos preparados'!I778</f>
        <v/>
      </c>
      <c r="K785" s="7">
        <f>'1 datos preparados'!J778</f>
        <v/>
      </c>
      <c r="L785" s="7">
        <f>'1 datos preparados'!K778</f>
        <v/>
      </c>
      <c r="M785" s="7">
        <f>'1 datos preparados'!L778</f>
        <v/>
      </c>
      <c r="N785" s="7">
        <f>'1 datos preparados'!M778</f>
        <v/>
      </c>
      <c r="O785" s="7">
        <f>'1 datos preparados'!N778</f>
        <v/>
      </c>
      <c r="P785" s="7">
        <f>'1 datos preparados'!O778</f>
        <v/>
      </c>
      <c r="Q785" s="7">
        <f>'1 datos preparados'!P778</f>
        <v/>
      </c>
      <c r="R785" s="7">
        <f>'1 datos preparados'!Q778</f>
        <v/>
      </c>
      <c r="S785" s="7">
        <f>'1 datos preparados'!R778</f>
        <v/>
      </c>
      <c r="T785" s="7">
        <f>'1 datos preparados'!S778</f>
        <v/>
      </c>
      <c r="U785" s="7">
        <f>'1 datos preparados'!T778</f>
        <v/>
      </c>
      <c r="V785" s="8">
        <f>$AE$12+D785*$AE$13+E785*$AE$14+F785*$AE$15+G785*$AE$16+H785*$AE$17+I785*$AE$18+J785*$AE$19+K785*$AE$20+L785*$AE$21+M785*$AE$22+N785*$AE$23+O785*$AE$24+P785*$AE$25+Q785*$AE$26+R785*$AE$27+S785*$AE$28+T785*$AE$29+U785*$AE$30</f>
        <v/>
      </c>
      <c r="W785" s="8">
        <f>1/(1+EXP(-V785))</f>
        <v/>
      </c>
      <c r="X785" s="9">
        <f>-IF(C785=1,LN(W785),LN(1-W785))</f>
        <v/>
      </c>
      <c r="Y785" s="8">
        <f>IF(C785=1,$AE$32,$AE$33)</f>
        <v/>
      </c>
      <c r="Z785" s="9">
        <f>Y785*X785</f>
        <v/>
      </c>
      <c r="AA785" s="10">
        <f>IF(W785&gt;$AE$34,1,0)</f>
        <v/>
      </c>
      <c r="AB785">
        <f>IF(AA785=C785,1,0)</f>
        <v/>
      </c>
    </row>
    <row r="786">
      <c r="A786">
        <f>'1 datos preparados'!A779</f>
        <v/>
      </c>
      <c r="B786" s="5">
        <f>'1 datos preparados'!U779</f>
        <v/>
      </c>
      <c r="C786">
        <f>'1 datos preparados'!B779</f>
        <v/>
      </c>
      <c r="D786" s="7">
        <f>'1 datos preparados'!C779</f>
        <v/>
      </c>
      <c r="E786" s="7">
        <f>'1 datos preparados'!D779</f>
        <v/>
      </c>
      <c r="F786" s="7">
        <f>'1 datos preparados'!E779</f>
        <v/>
      </c>
      <c r="G786" s="7">
        <f>'1 datos preparados'!F779</f>
        <v/>
      </c>
      <c r="H786" s="7">
        <f>'1 datos preparados'!G779</f>
        <v/>
      </c>
      <c r="I786" s="7">
        <f>'1 datos preparados'!H779</f>
        <v/>
      </c>
      <c r="J786" s="7">
        <f>'1 datos preparados'!I779</f>
        <v/>
      </c>
      <c r="K786" s="7">
        <f>'1 datos preparados'!J779</f>
        <v/>
      </c>
      <c r="L786" s="7">
        <f>'1 datos preparados'!K779</f>
        <v/>
      </c>
      <c r="M786" s="7">
        <f>'1 datos preparados'!L779</f>
        <v/>
      </c>
      <c r="N786" s="7">
        <f>'1 datos preparados'!M779</f>
        <v/>
      </c>
      <c r="O786" s="7">
        <f>'1 datos preparados'!N779</f>
        <v/>
      </c>
      <c r="P786" s="7">
        <f>'1 datos preparados'!O779</f>
        <v/>
      </c>
      <c r="Q786" s="7">
        <f>'1 datos preparados'!P779</f>
        <v/>
      </c>
      <c r="R786" s="7">
        <f>'1 datos preparados'!Q779</f>
        <v/>
      </c>
      <c r="S786" s="7">
        <f>'1 datos preparados'!R779</f>
        <v/>
      </c>
      <c r="T786" s="7">
        <f>'1 datos preparados'!S779</f>
        <v/>
      </c>
      <c r="U786" s="7">
        <f>'1 datos preparados'!T779</f>
        <v/>
      </c>
      <c r="V786" s="8">
        <f>$AE$12+D786*$AE$13+E786*$AE$14+F786*$AE$15+G786*$AE$16+H786*$AE$17+I786*$AE$18+J786*$AE$19+K786*$AE$20+L786*$AE$21+M786*$AE$22+N786*$AE$23+O786*$AE$24+P786*$AE$25+Q786*$AE$26+R786*$AE$27+S786*$AE$28+T786*$AE$29+U786*$AE$30</f>
        <v/>
      </c>
      <c r="W786" s="8">
        <f>1/(1+EXP(-V786))</f>
        <v/>
      </c>
      <c r="X786" s="9">
        <f>-IF(C786=1,LN(W786),LN(1-W786))</f>
        <v/>
      </c>
      <c r="Y786" s="8">
        <f>IF(C786=1,$AE$32,$AE$33)</f>
        <v/>
      </c>
      <c r="Z786" s="9">
        <f>Y786*X786</f>
        <v/>
      </c>
      <c r="AA786" s="10">
        <f>IF(W786&gt;$AE$34,1,0)</f>
        <v/>
      </c>
      <c r="AB786">
        <f>IF(AA786=C786,1,0)</f>
        <v/>
      </c>
    </row>
    <row r="787">
      <c r="A787">
        <f>'1 datos preparados'!A780</f>
        <v/>
      </c>
      <c r="B787" s="5">
        <f>'1 datos preparados'!U780</f>
        <v/>
      </c>
      <c r="C787">
        <f>'1 datos preparados'!B780</f>
        <v/>
      </c>
      <c r="D787" s="7">
        <f>'1 datos preparados'!C780</f>
        <v/>
      </c>
      <c r="E787" s="7">
        <f>'1 datos preparados'!D780</f>
        <v/>
      </c>
      <c r="F787" s="7">
        <f>'1 datos preparados'!E780</f>
        <v/>
      </c>
      <c r="G787" s="7">
        <f>'1 datos preparados'!F780</f>
        <v/>
      </c>
      <c r="H787" s="7">
        <f>'1 datos preparados'!G780</f>
        <v/>
      </c>
      <c r="I787" s="7">
        <f>'1 datos preparados'!H780</f>
        <v/>
      </c>
      <c r="J787" s="7">
        <f>'1 datos preparados'!I780</f>
        <v/>
      </c>
      <c r="K787" s="7">
        <f>'1 datos preparados'!J780</f>
        <v/>
      </c>
      <c r="L787" s="7">
        <f>'1 datos preparados'!K780</f>
        <v/>
      </c>
      <c r="M787" s="7">
        <f>'1 datos preparados'!L780</f>
        <v/>
      </c>
      <c r="N787" s="7">
        <f>'1 datos preparados'!M780</f>
        <v/>
      </c>
      <c r="O787" s="7">
        <f>'1 datos preparados'!N780</f>
        <v/>
      </c>
      <c r="P787" s="7">
        <f>'1 datos preparados'!O780</f>
        <v/>
      </c>
      <c r="Q787" s="7">
        <f>'1 datos preparados'!P780</f>
        <v/>
      </c>
      <c r="R787" s="7">
        <f>'1 datos preparados'!Q780</f>
        <v/>
      </c>
      <c r="S787" s="7">
        <f>'1 datos preparados'!R780</f>
        <v/>
      </c>
      <c r="T787" s="7">
        <f>'1 datos preparados'!S780</f>
        <v/>
      </c>
      <c r="U787" s="7">
        <f>'1 datos preparados'!T780</f>
        <v/>
      </c>
      <c r="V787" s="8">
        <f>$AE$12+D787*$AE$13+E787*$AE$14+F787*$AE$15+G787*$AE$16+H787*$AE$17+I787*$AE$18+J787*$AE$19+K787*$AE$20+L787*$AE$21+M787*$AE$22+N787*$AE$23+O787*$AE$24+P787*$AE$25+Q787*$AE$26+R787*$AE$27+S787*$AE$28+T787*$AE$29+U787*$AE$30</f>
        <v/>
      </c>
      <c r="W787" s="8">
        <f>1/(1+EXP(-V787))</f>
        <v/>
      </c>
      <c r="X787" s="9">
        <f>-IF(C787=1,LN(W787),LN(1-W787))</f>
        <v/>
      </c>
      <c r="Y787" s="8">
        <f>IF(C787=1,$AE$32,$AE$33)</f>
        <v/>
      </c>
      <c r="Z787" s="9">
        <f>Y787*X787</f>
        <v/>
      </c>
      <c r="AA787" s="10">
        <f>IF(W787&gt;$AE$34,1,0)</f>
        <v/>
      </c>
      <c r="AB787">
        <f>IF(AA787=C787,1,0)</f>
        <v/>
      </c>
    </row>
    <row r="788">
      <c r="A788">
        <f>'1 datos preparados'!A781</f>
        <v/>
      </c>
      <c r="B788" s="5">
        <f>'1 datos preparados'!U781</f>
        <v/>
      </c>
      <c r="C788">
        <f>'1 datos preparados'!B781</f>
        <v/>
      </c>
      <c r="D788" s="7">
        <f>'1 datos preparados'!C781</f>
        <v/>
      </c>
      <c r="E788" s="7">
        <f>'1 datos preparados'!D781</f>
        <v/>
      </c>
      <c r="F788" s="7">
        <f>'1 datos preparados'!E781</f>
        <v/>
      </c>
      <c r="G788" s="7">
        <f>'1 datos preparados'!F781</f>
        <v/>
      </c>
      <c r="H788" s="7">
        <f>'1 datos preparados'!G781</f>
        <v/>
      </c>
      <c r="I788" s="7">
        <f>'1 datos preparados'!H781</f>
        <v/>
      </c>
      <c r="J788" s="7">
        <f>'1 datos preparados'!I781</f>
        <v/>
      </c>
      <c r="K788" s="7">
        <f>'1 datos preparados'!J781</f>
        <v/>
      </c>
      <c r="L788" s="7">
        <f>'1 datos preparados'!K781</f>
        <v/>
      </c>
      <c r="M788" s="7">
        <f>'1 datos preparados'!L781</f>
        <v/>
      </c>
      <c r="N788" s="7">
        <f>'1 datos preparados'!M781</f>
        <v/>
      </c>
      <c r="O788" s="7">
        <f>'1 datos preparados'!N781</f>
        <v/>
      </c>
      <c r="P788" s="7">
        <f>'1 datos preparados'!O781</f>
        <v/>
      </c>
      <c r="Q788" s="7">
        <f>'1 datos preparados'!P781</f>
        <v/>
      </c>
      <c r="R788" s="7">
        <f>'1 datos preparados'!Q781</f>
        <v/>
      </c>
      <c r="S788" s="7">
        <f>'1 datos preparados'!R781</f>
        <v/>
      </c>
      <c r="T788" s="7">
        <f>'1 datos preparados'!S781</f>
        <v/>
      </c>
      <c r="U788" s="7">
        <f>'1 datos preparados'!T781</f>
        <v/>
      </c>
      <c r="V788" s="8">
        <f>$AE$12+D788*$AE$13+E788*$AE$14+F788*$AE$15+G788*$AE$16+H788*$AE$17+I788*$AE$18+J788*$AE$19+K788*$AE$20+L788*$AE$21+M788*$AE$22+N788*$AE$23+O788*$AE$24+P788*$AE$25+Q788*$AE$26+R788*$AE$27+S788*$AE$28+T788*$AE$29+U788*$AE$30</f>
        <v/>
      </c>
      <c r="W788" s="8">
        <f>1/(1+EXP(-V788))</f>
        <v/>
      </c>
      <c r="X788" s="9">
        <f>-IF(C788=1,LN(W788),LN(1-W788))</f>
        <v/>
      </c>
      <c r="Y788" s="8">
        <f>IF(C788=1,$AE$32,$AE$33)</f>
        <v/>
      </c>
      <c r="Z788" s="9">
        <f>Y788*X788</f>
        <v/>
      </c>
      <c r="AA788" s="10">
        <f>IF(W788&gt;$AE$34,1,0)</f>
        <v/>
      </c>
      <c r="AB788">
        <f>IF(AA788=C788,1,0)</f>
        <v/>
      </c>
    </row>
    <row r="789">
      <c r="A789">
        <f>'1 datos preparados'!A782</f>
        <v/>
      </c>
      <c r="B789" s="5">
        <f>'1 datos preparados'!U782</f>
        <v/>
      </c>
      <c r="C789">
        <f>'1 datos preparados'!B782</f>
        <v/>
      </c>
      <c r="D789" s="7">
        <f>'1 datos preparados'!C782</f>
        <v/>
      </c>
      <c r="E789" s="7">
        <f>'1 datos preparados'!D782</f>
        <v/>
      </c>
      <c r="F789" s="7">
        <f>'1 datos preparados'!E782</f>
        <v/>
      </c>
      <c r="G789" s="7">
        <f>'1 datos preparados'!F782</f>
        <v/>
      </c>
      <c r="H789" s="7">
        <f>'1 datos preparados'!G782</f>
        <v/>
      </c>
      <c r="I789" s="7">
        <f>'1 datos preparados'!H782</f>
        <v/>
      </c>
      <c r="J789" s="7">
        <f>'1 datos preparados'!I782</f>
        <v/>
      </c>
      <c r="K789" s="7">
        <f>'1 datos preparados'!J782</f>
        <v/>
      </c>
      <c r="L789" s="7">
        <f>'1 datos preparados'!K782</f>
        <v/>
      </c>
      <c r="M789" s="7">
        <f>'1 datos preparados'!L782</f>
        <v/>
      </c>
      <c r="N789" s="7">
        <f>'1 datos preparados'!M782</f>
        <v/>
      </c>
      <c r="O789" s="7">
        <f>'1 datos preparados'!N782</f>
        <v/>
      </c>
      <c r="P789" s="7">
        <f>'1 datos preparados'!O782</f>
        <v/>
      </c>
      <c r="Q789" s="7">
        <f>'1 datos preparados'!P782</f>
        <v/>
      </c>
      <c r="R789" s="7">
        <f>'1 datos preparados'!Q782</f>
        <v/>
      </c>
      <c r="S789" s="7">
        <f>'1 datos preparados'!R782</f>
        <v/>
      </c>
      <c r="T789" s="7">
        <f>'1 datos preparados'!S782</f>
        <v/>
      </c>
      <c r="U789" s="7">
        <f>'1 datos preparados'!T782</f>
        <v/>
      </c>
      <c r="V789" s="8">
        <f>$AE$12+D789*$AE$13+E789*$AE$14+F789*$AE$15+G789*$AE$16+H789*$AE$17+I789*$AE$18+J789*$AE$19+K789*$AE$20+L789*$AE$21+M789*$AE$22+N789*$AE$23+O789*$AE$24+P789*$AE$25+Q789*$AE$26+R789*$AE$27+S789*$AE$28+T789*$AE$29+U789*$AE$30</f>
        <v/>
      </c>
      <c r="W789" s="8">
        <f>1/(1+EXP(-V789))</f>
        <v/>
      </c>
      <c r="X789" s="9">
        <f>-IF(C789=1,LN(W789),LN(1-W789))</f>
        <v/>
      </c>
      <c r="Y789" s="8">
        <f>IF(C789=1,$AE$32,$AE$33)</f>
        <v/>
      </c>
      <c r="Z789" s="9">
        <f>Y789*X789</f>
        <v/>
      </c>
      <c r="AA789" s="10">
        <f>IF(W789&gt;$AE$34,1,0)</f>
        <v/>
      </c>
      <c r="AB789">
        <f>IF(AA789=C789,1,0)</f>
        <v/>
      </c>
    </row>
    <row r="790">
      <c r="A790">
        <f>'1 datos preparados'!A783</f>
        <v/>
      </c>
      <c r="B790" s="5">
        <f>'1 datos preparados'!U783</f>
        <v/>
      </c>
      <c r="C790">
        <f>'1 datos preparados'!B783</f>
        <v/>
      </c>
      <c r="D790" s="7">
        <f>'1 datos preparados'!C783</f>
        <v/>
      </c>
      <c r="E790" s="7">
        <f>'1 datos preparados'!D783</f>
        <v/>
      </c>
      <c r="F790" s="7">
        <f>'1 datos preparados'!E783</f>
        <v/>
      </c>
      <c r="G790" s="7">
        <f>'1 datos preparados'!F783</f>
        <v/>
      </c>
      <c r="H790" s="7">
        <f>'1 datos preparados'!G783</f>
        <v/>
      </c>
      <c r="I790" s="7">
        <f>'1 datos preparados'!H783</f>
        <v/>
      </c>
      <c r="J790" s="7">
        <f>'1 datos preparados'!I783</f>
        <v/>
      </c>
      <c r="K790" s="7">
        <f>'1 datos preparados'!J783</f>
        <v/>
      </c>
      <c r="L790" s="7">
        <f>'1 datos preparados'!K783</f>
        <v/>
      </c>
      <c r="M790" s="7">
        <f>'1 datos preparados'!L783</f>
        <v/>
      </c>
      <c r="N790" s="7">
        <f>'1 datos preparados'!M783</f>
        <v/>
      </c>
      <c r="O790" s="7">
        <f>'1 datos preparados'!N783</f>
        <v/>
      </c>
      <c r="P790" s="7">
        <f>'1 datos preparados'!O783</f>
        <v/>
      </c>
      <c r="Q790" s="7">
        <f>'1 datos preparados'!P783</f>
        <v/>
      </c>
      <c r="R790" s="7">
        <f>'1 datos preparados'!Q783</f>
        <v/>
      </c>
      <c r="S790" s="7">
        <f>'1 datos preparados'!R783</f>
        <v/>
      </c>
      <c r="T790" s="7">
        <f>'1 datos preparados'!S783</f>
        <v/>
      </c>
      <c r="U790" s="7">
        <f>'1 datos preparados'!T783</f>
        <v/>
      </c>
      <c r="V790" s="8">
        <f>$AE$12+D790*$AE$13+E790*$AE$14+F790*$AE$15+G790*$AE$16+H790*$AE$17+I790*$AE$18+J790*$AE$19+K790*$AE$20+L790*$AE$21+M790*$AE$22+N790*$AE$23+O790*$AE$24+P790*$AE$25+Q790*$AE$26+R790*$AE$27+S790*$AE$28+T790*$AE$29+U790*$AE$30</f>
        <v/>
      </c>
      <c r="W790" s="8">
        <f>1/(1+EXP(-V790))</f>
        <v/>
      </c>
      <c r="X790" s="9">
        <f>-IF(C790=1,LN(W790),LN(1-W790))</f>
        <v/>
      </c>
      <c r="Y790" s="8">
        <f>IF(C790=1,$AE$32,$AE$33)</f>
        <v/>
      </c>
      <c r="Z790" s="9">
        <f>Y790*X790</f>
        <v/>
      </c>
      <c r="AA790" s="10">
        <f>IF(W790&gt;$AE$34,1,0)</f>
        <v/>
      </c>
      <c r="AB790">
        <f>IF(AA790=C790,1,0)</f>
        <v/>
      </c>
    </row>
    <row r="791">
      <c r="A791">
        <f>'1 datos preparados'!A784</f>
        <v/>
      </c>
      <c r="B791" s="5">
        <f>'1 datos preparados'!U784</f>
        <v/>
      </c>
      <c r="C791">
        <f>'1 datos preparados'!B784</f>
        <v/>
      </c>
      <c r="D791" s="7">
        <f>'1 datos preparados'!C784</f>
        <v/>
      </c>
      <c r="E791" s="7">
        <f>'1 datos preparados'!D784</f>
        <v/>
      </c>
      <c r="F791" s="7">
        <f>'1 datos preparados'!E784</f>
        <v/>
      </c>
      <c r="G791" s="7">
        <f>'1 datos preparados'!F784</f>
        <v/>
      </c>
      <c r="H791" s="7">
        <f>'1 datos preparados'!G784</f>
        <v/>
      </c>
      <c r="I791" s="7">
        <f>'1 datos preparados'!H784</f>
        <v/>
      </c>
      <c r="J791" s="7">
        <f>'1 datos preparados'!I784</f>
        <v/>
      </c>
      <c r="K791" s="7">
        <f>'1 datos preparados'!J784</f>
        <v/>
      </c>
      <c r="L791" s="7">
        <f>'1 datos preparados'!K784</f>
        <v/>
      </c>
      <c r="M791" s="7">
        <f>'1 datos preparados'!L784</f>
        <v/>
      </c>
      <c r="N791" s="7">
        <f>'1 datos preparados'!M784</f>
        <v/>
      </c>
      <c r="O791" s="7">
        <f>'1 datos preparados'!N784</f>
        <v/>
      </c>
      <c r="P791" s="7">
        <f>'1 datos preparados'!O784</f>
        <v/>
      </c>
      <c r="Q791" s="7">
        <f>'1 datos preparados'!P784</f>
        <v/>
      </c>
      <c r="R791" s="7">
        <f>'1 datos preparados'!Q784</f>
        <v/>
      </c>
      <c r="S791" s="7">
        <f>'1 datos preparados'!R784</f>
        <v/>
      </c>
      <c r="T791" s="7">
        <f>'1 datos preparados'!S784</f>
        <v/>
      </c>
      <c r="U791" s="7">
        <f>'1 datos preparados'!T784</f>
        <v/>
      </c>
      <c r="V791" s="8">
        <f>$AE$12+D791*$AE$13+E791*$AE$14+F791*$AE$15+G791*$AE$16+H791*$AE$17+I791*$AE$18+J791*$AE$19+K791*$AE$20+L791*$AE$21+M791*$AE$22+N791*$AE$23+O791*$AE$24+P791*$AE$25+Q791*$AE$26+R791*$AE$27+S791*$AE$28+T791*$AE$29+U791*$AE$30</f>
        <v/>
      </c>
      <c r="W791" s="8">
        <f>1/(1+EXP(-V791))</f>
        <v/>
      </c>
      <c r="X791" s="9">
        <f>-IF(C791=1,LN(W791),LN(1-W791))</f>
        <v/>
      </c>
      <c r="Y791" s="8">
        <f>IF(C791=1,$AE$32,$AE$33)</f>
        <v/>
      </c>
      <c r="Z791" s="9">
        <f>Y791*X791</f>
        <v/>
      </c>
      <c r="AA791" s="10">
        <f>IF(W791&gt;$AE$34,1,0)</f>
        <v/>
      </c>
      <c r="AB791">
        <f>IF(AA791=C791,1,0)</f>
        <v/>
      </c>
    </row>
    <row r="792">
      <c r="A792">
        <f>'1 datos preparados'!A785</f>
        <v/>
      </c>
      <c r="B792" s="5">
        <f>'1 datos preparados'!U785</f>
        <v/>
      </c>
      <c r="C792">
        <f>'1 datos preparados'!B785</f>
        <v/>
      </c>
      <c r="D792" s="7">
        <f>'1 datos preparados'!C785</f>
        <v/>
      </c>
      <c r="E792" s="7">
        <f>'1 datos preparados'!D785</f>
        <v/>
      </c>
      <c r="F792" s="7">
        <f>'1 datos preparados'!E785</f>
        <v/>
      </c>
      <c r="G792" s="7">
        <f>'1 datos preparados'!F785</f>
        <v/>
      </c>
      <c r="H792" s="7">
        <f>'1 datos preparados'!G785</f>
        <v/>
      </c>
      <c r="I792" s="7">
        <f>'1 datos preparados'!H785</f>
        <v/>
      </c>
      <c r="J792" s="7">
        <f>'1 datos preparados'!I785</f>
        <v/>
      </c>
      <c r="K792" s="7">
        <f>'1 datos preparados'!J785</f>
        <v/>
      </c>
      <c r="L792" s="7">
        <f>'1 datos preparados'!K785</f>
        <v/>
      </c>
      <c r="M792" s="7">
        <f>'1 datos preparados'!L785</f>
        <v/>
      </c>
      <c r="N792" s="7">
        <f>'1 datos preparados'!M785</f>
        <v/>
      </c>
      <c r="O792" s="7">
        <f>'1 datos preparados'!N785</f>
        <v/>
      </c>
      <c r="P792" s="7">
        <f>'1 datos preparados'!O785</f>
        <v/>
      </c>
      <c r="Q792" s="7">
        <f>'1 datos preparados'!P785</f>
        <v/>
      </c>
      <c r="R792" s="7">
        <f>'1 datos preparados'!Q785</f>
        <v/>
      </c>
      <c r="S792" s="7">
        <f>'1 datos preparados'!R785</f>
        <v/>
      </c>
      <c r="T792" s="7">
        <f>'1 datos preparados'!S785</f>
        <v/>
      </c>
      <c r="U792" s="7">
        <f>'1 datos preparados'!T785</f>
        <v/>
      </c>
      <c r="V792" s="8">
        <f>$AE$12+D792*$AE$13+E792*$AE$14+F792*$AE$15+G792*$AE$16+H792*$AE$17+I792*$AE$18+J792*$AE$19+K792*$AE$20+L792*$AE$21+M792*$AE$22+N792*$AE$23+O792*$AE$24+P792*$AE$25+Q792*$AE$26+R792*$AE$27+S792*$AE$28+T792*$AE$29+U792*$AE$30</f>
        <v/>
      </c>
      <c r="W792" s="8">
        <f>1/(1+EXP(-V792))</f>
        <v/>
      </c>
      <c r="X792" s="9">
        <f>-IF(C792=1,LN(W792),LN(1-W792))</f>
        <v/>
      </c>
      <c r="Y792" s="8">
        <f>IF(C792=1,$AE$32,$AE$33)</f>
        <v/>
      </c>
      <c r="Z792" s="9">
        <f>Y792*X792</f>
        <v/>
      </c>
      <c r="AA792" s="10">
        <f>IF(W792&gt;$AE$34,1,0)</f>
        <v/>
      </c>
      <c r="AB792">
        <f>IF(AA792=C792,1,0)</f>
        <v/>
      </c>
    </row>
    <row r="793">
      <c r="A793">
        <f>'1 datos preparados'!A786</f>
        <v/>
      </c>
      <c r="B793" s="5">
        <f>'1 datos preparados'!U786</f>
        <v/>
      </c>
      <c r="C793">
        <f>'1 datos preparados'!B786</f>
        <v/>
      </c>
      <c r="D793" s="7">
        <f>'1 datos preparados'!C786</f>
        <v/>
      </c>
      <c r="E793" s="7">
        <f>'1 datos preparados'!D786</f>
        <v/>
      </c>
      <c r="F793" s="7">
        <f>'1 datos preparados'!E786</f>
        <v/>
      </c>
      <c r="G793" s="7">
        <f>'1 datos preparados'!F786</f>
        <v/>
      </c>
      <c r="H793" s="7">
        <f>'1 datos preparados'!G786</f>
        <v/>
      </c>
      <c r="I793" s="7">
        <f>'1 datos preparados'!H786</f>
        <v/>
      </c>
      <c r="J793" s="7">
        <f>'1 datos preparados'!I786</f>
        <v/>
      </c>
      <c r="K793" s="7">
        <f>'1 datos preparados'!J786</f>
        <v/>
      </c>
      <c r="L793" s="7">
        <f>'1 datos preparados'!K786</f>
        <v/>
      </c>
      <c r="M793" s="7">
        <f>'1 datos preparados'!L786</f>
        <v/>
      </c>
      <c r="N793" s="7">
        <f>'1 datos preparados'!M786</f>
        <v/>
      </c>
      <c r="O793" s="7">
        <f>'1 datos preparados'!N786</f>
        <v/>
      </c>
      <c r="P793" s="7">
        <f>'1 datos preparados'!O786</f>
        <v/>
      </c>
      <c r="Q793" s="7">
        <f>'1 datos preparados'!P786</f>
        <v/>
      </c>
      <c r="R793" s="7">
        <f>'1 datos preparados'!Q786</f>
        <v/>
      </c>
      <c r="S793" s="7">
        <f>'1 datos preparados'!R786</f>
        <v/>
      </c>
      <c r="T793" s="7">
        <f>'1 datos preparados'!S786</f>
        <v/>
      </c>
      <c r="U793" s="7">
        <f>'1 datos preparados'!T786</f>
        <v/>
      </c>
      <c r="V793" s="8">
        <f>$AE$12+D793*$AE$13+E793*$AE$14+F793*$AE$15+G793*$AE$16+H793*$AE$17+I793*$AE$18+J793*$AE$19+K793*$AE$20+L793*$AE$21+M793*$AE$22+N793*$AE$23+O793*$AE$24+P793*$AE$25+Q793*$AE$26+R793*$AE$27+S793*$AE$28+T793*$AE$29+U793*$AE$30</f>
        <v/>
      </c>
      <c r="W793" s="8">
        <f>1/(1+EXP(-V793))</f>
        <v/>
      </c>
      <c r="X793" s="9">
        <f>-IF(C793=1,LN(W793),LN(1-W793))</f>
        <v/>
      </c>
      <c r="Y793" s="8">
        <f>IF(C793=1,$AE$32,$AE$33)</f>
        <v/>
      </c>
      <c r="Z793" s="9">
        <f>Y793*X793</f>
        <v/>
      </c>
      <c r="AA793" s="10">
        <f>IF(W793&gt;$AE$34,1,0)</f>
        <v/>
      </c>
      <c r="AB793">
        <f>IF(AA793=C793,1,0)</f>
        <v/>
      </c>
    </row>
    <row r="794">
      <c r="A794">
        <f>'1 datos preparados'!A787</f>
        <v/>
      </c>
      <c r="B794" s="5">
        <f>'1 datos preparados'!U787</f>
        <v/>
      </c>
      <c r="C794">
        <f>'1 datos preparados'!B787</f>
        <v/>
      </c>
      <c r="D794" s="7">
        <f>'1 datos preparados'!C787</f>
        <v/>
      </c>
      <c r="E794" s="7">
        <f>'1 datos preparados'!D787</f>
        <v/>
      </c>
      <c r="F794" s="7">
        <f>'1 datos preparados'!E787</f>
        <v/>
      </c>
      <c r="G794" s="7">
        <f>'1 datos preparados'!F787</f>
        <v/>
      </c>
      <c r="H794" s="7">
        <f>'1 datos preparados'!G787</f>
        <v/>
      </c>
      <c r="I794" s="7">
        <f>'1 datos preparados'!H787</f>
        <v/>
      </c>
      <c r="J794" s="7">
        <f>'1 datos preparados'!I787</f>
        <v/>
      </c>
      <c r="K794" s="7">
        <f>'1 datos preparados'!J787</f>
        <v/>
      </c>
      <c r="L794" s="7">
        <f>'1 datos preparados'!K787</f>
        <v/>
      </c>
      <c r="M794" s="7">
        <f>'1 datos preparados'!L787</f>
        <v/>
      </c>
      <c r="N794" s="7">
        <f>'1 datos preparados'!M787</f>
        <v/>
      </c>
      <c r="O794" s="7">
        <f>'1 datos preparados'!N787</f>
        <v/>
      </c>
      <c r="P794" s="7">
        <f>'1 datos preparados'!O787</f>
        <v/>
      </c>
      <c r="Q794" s="7">
        <f>'1 datos preparados'!P787</f>
        <v/>
      </c>
      <c r="R794" s="7">
        <f>'1 datos preparados'!Q787</f>
        <v/>
      </c>
      <c r="S794" s="7">
        <f>'1 datos preparados'!R787</f>
        <v/>
      </c>
      <c r="T794" s="7">
        <f>'1 datos preparados'!S787</f>
        <v/>
      </c>
      <c r="U794" s="7">
        <f>'1 datos preparados'!T787</f>
        <v/>
      </c>
      <c r="V794" s="8">
        <f>$AE$12+D794*$AE$13+E794*$AE$14+F794*$AE$15+G794*$AE$16+H794*$AE$17+I794*$AE$18+J794*$AE$19+K794*$AE$20+L794*$AE$21+M794*$AE$22+N794*$AE$23+O794*$AE$24+P794*$AE$25+Q794*$AE$26+R794*$AE$27+S794*$AE$28+T794*$AE$29+U794*$AE$30</f>
        <v/>
      </c>
      <c r="W794" s="8">
        <f>1/(1+EXP(-V794))</f>
        <v/>
      </c>
      <c r="X794" s="9">
        <f>-IF(C794=1,LN(W794),LN(1-W794))</f>
        <v/>
      </c>
      <c r="Y794" s="8">
        <f>IF(C794=1,$AE$32,$AE$33)</f>
        <v/>
      </c>
      <c r="Z794" s="9">
        <f>Y794*X794</f>
        <v/>
      </c>
      <c r="AA794" s="10">
        <f>IF(W794&gt;$AE$34,1,0)</f>
        <v/>
      </c>
      <c r="AB794">
        <f>IF(AA794=C794,1,0)</f>
        <v/>
      </c>
    </row>
    <row r="795">
      <c r="A795">
        <f>'1 datos preparados'!A788</f>
        <v/>
      </c>
      <c r="B795" s="5">
        <f>'1 datos preparados'!U788</f>
        <v/>
      </c>
      <c r="C795">
        <f>'1 datos preparados'!B788</f>
        <v/>
      </c>
      <c r="D795" s="7">
        <f>'1 datos preparados'!C788</f>
        <v/>
      </c>
      <c r="E795" s="7">
        <f>'1 datos preparados'!D788</f>
        <v/>
      </c>
      <c r="F795" s="7">
        <f>'1 datos preparados'!E788</f>
        <v/>
      </c>
      <c r="G795" s="7">
        <f>'1 datos preparados'!F788</f>
        <v/>
      </c>
      <c r="H795" s="7">
        <f>'1 datos preparados'!G788</f>
        <v/>
      </c>
      <c r="I795" s="7">
        <f>'1 datos preparados'!H788</f>
        <v/>
      </c>
      <c r="J795" s="7">
        <f>'1 datos preparados'!I788</f>
        <v/>
      </c>
      <c r="K795" s="7">
        <f>'1 datos preparados'!J788</f>
        <v/>
      </c>
      <c r="L795" s="7">
        <f>'1 datos preparados'!K788</f>
        <v/>
      </c>
      <c r="M795" s="7">
        <f>'1 datos preparados'!L788</f>
        <v/>
      </c>
      <c r="N795" s="7">
        <f>'1 datos preparados'!M788</f>
        <v/>
      </c>
      <c r="O795" s="7">
        <f>'1 datos preparados'!N788</f>
        <v/>
      </c>
      <c r="P795" s="7">
        <f>'1 datos preparados'!O788</f>
        <v/>
      </c>
      <c r="Q795" s="7">
        <f>'1 datos preparados'!P788</f>
        <v/>
      </c>
      <c r="R795" s="7">
        <f>'1 datos preparados'!Q788</f>
        <v/>
      </c>
      <c r="S795" s="7">
        <f>'1 datos preparados'!R788</f>
        <v/>
      </c>
      <c r="T795" s="7">
        <f>'1 datos preparados'!S788</f>
        <v/>
      </c>
      <c r="U795" s="7">
        <f>'1 datos preparados'!T788</f>
        <v/>
      </c>
      <c r="V795" s="8">
        <f>$AE$12+D795*$AE$13+E795*$AE$14+F795*$AE$15+G795*$AE$16+H795*$AE$17+I795*$AE$18+J795*$AE$19+K795*$AE$20+L795*$AE$21+M795*$AE$22+N795*$AE$23+O795*$AE$24+P795*$AE$25+Q795*$AE$26+R795*$AE$27+S795*$AE$28+T795*$AE$29+U795*$AE$30</f>
        <v/>
      </c>
      <c r="W795" s="8">
        <f>1/(1+EXP(-V795))</f>
        <v/>
      </c>
      <c r="X795" s="9">
        <f>-IF(C795=1,LN(W795),LN(1-W795))</f>
        <v/>
      </c>
      <c r="Y795" s="8">
        <f>IF(C795=1,$AE$32,$AE$33)</f>
        <v/>
      </c>
      <c r="Z795" s="9">
        <f>Y795*X795</f>
        <v/>
      </c>
      <c r="AA795" s="10">
        <f>IF(W795&gt;$AE$34,1,0)</f>
        <v/>
      </c>
      <c r="AB795">
        <f>IF(AA795=C795,1,0)</f>
        <v/>
      </c>
    </row>
    <row r="796">
      <c r="A796">
        <f>'1 datos preparados'!A789</f>
        <v/>
      </c>
      <c r="B796" s="5">
        <f>'1 datos preparados'!U789</f>
        <v/>
      </c>
      <c r="C796">
        <f>'1 datos preparados'!B789</f>
        <v/>
      </c>
      <c r="D796" s="7">
        <f>'1 datos preparados'!C789</f>
        <v/>
      </c>
      <c r="E796" s="7">
        <f>'1 datos preparados'!D789</f>
        <v/>
      </c>
      <c r="F796" s="7">
        <f>'1 datos preparados'!E789</f>
        <v/>
      </c>
      <c r="G796" s="7">
        <f>'1 datos preparados'!F789</f>
        <v/>
      </c>
      <c r="H796" s="7">
        <f>'1 datos preparados'!G789</f>
        <v/>
      </c>
      <c r="I796" s="7">
        <f>'1 datos preparados'!H789</f>
        <v/>
      </c>
      <c r="J796" s="7">
        <f>'1 datos preparados'!I789</f>
        <v/>
      </c>
      <c r="K796" s="7">
        <f>'1 datos preparados'!J789</f>
        <v/>
      </c>
      <c r="L796" s="7">
        <f>'1 datos preparados'!K789</f>
        <v/>
      </c>
      <c r="M796" s="7">
        <f>'1 datos preparados'!L789</f>
        <v/>
      </c>
      <c r="N796" s="7">
        <f>'1 datos preparados'!M789</f>
        <v/>
      </c>
      <c r="O796" s="7">
        <f>'1 datos preparados'!N789</f>
        <v/>
      </c>
      <c r="P796" s="7">
        <f>'1 datos preparados'!O789</f>
        <v/>
      </c>
      <c r="Q796" s="7">
        <f>'1 datos preparados'!P789</f>
        <v/>
      </c>
      <c r="R796" s="7">
        <f>'1 datos preparados'!Q789</f>
        <v/>
      </c>
      <c r="S796" s="7">
        <f>'1 datos preparados'!R789</f>
        <v/>
      </c>
      <c r="T796" s="7">
        <f>'1 datos preparados'!S789</f>
        <v/>
      </c>
      <c r="U796" s="7">
        <f>'1 datos preparados'!T789</f>
        <v/>
      </c>
      <c r="V796" s="8">
        <f>$AE$12+D796*$AE$13+E796*$AE$14+F796*$AE$15+G796*$AE$16+H796*$AE$17+I796*$AE$18+J796*$AE$19+K796*$AE$20+L796*$AE$21+M796*$AE$22+N796*$AE$23+O796*$AE$24+P796*$AE$25+Q796*$AE$26+R796*$AE$27+S796*$AE$28+T796*$AE$29+U796*$AE$30</f>
        <v/>
      </c>
      <c r="W796" s="8">
        <f>1/(1+EXP(-V796))</f>
        <v/>
      </c>
      <c r="X796" s="9">
        <f>-IF(C796=1,LN(W796),LN(1-W796))</f>
        <v/>
      </c>
      <c r="Y796" s="8">
        <f>IF(C796=1,$AE$32,$AE$33)</f>
        <v/>
      </c>
      <c r="Z796" s="9">
        <f>Y796*X796</f>
        <v/>
      </c>
      <c r="AA796" s="10">
        <f>IF(W796&gt;$AE$34,1,0)</f>
        <v/>
      </c>
      <c r="AB796">
        <f>IF(AA796=C796,1,0)</f>
        <v/>
      </c>
    </row>
    <row r="797">
      <c r="A797">
        <f>'1 datos preparados'!A790</f>
        <v/>
      </c>
      <c r="B797" s="5">
        <f>'1 datos preparados'!U790</f>
        <v/>
      </c>
      <c r="C797">
        <f>'1 datos preparados'!B790</f>
        <v/>
      </c>
      <c r="D797" s="7">
        <f>'1 datos preparados'!C790</f>
        <v/>
      </c>
      <c r="E797" s="7">
        <f>'1 datos preparados'!D790</f>
        <v/>
      </c>
      <c r="F797" s="7">
        <f>'1 datos preparados'!E790</f>
        <v/>
      </c>
      <c r="G797" s="7">
        <f>'1 datos preparados'!F790</f>
        <v/>
      </c>
      <c r="H797" s="7">
        <f>'1 datos preparados'!G790</f>
        <v/>
      </c>
      <c r="I797" s="7">
        <f>'1 datos preparados'!H790</f>
        <v/>
      </c>
      <c r="J797" s="7">
        <f>'1 datos preparados'!I790</f>
        <v/>
      </c>
      <c r="K797" s="7">
        <f>'1 datos preparados'!J790</f>
        <v/>
      </c>
      <c r="L797" s="7">
        <f>'1 datos preparados'!K790</f>
        <v/>
      </c>
      <c r="M797" s="7">
        <f>'1 datos preparados'!L790</f>
        <v/>
      </c>
      <c r="N797" s="7">
        <f>'1 datos preparados'!M790</f>
        <v/>
      </c>
      <c r="O797" s="7">
        <f>'1 datos preparados'!N790</f>
        <v/>
      </c>
      <c r="P797" s="7">
        <f>'1 datos preparados'!O790</f>
        <v/>
      </c>
      <c r="Q797" s="7">
        <f>'1 datos preparados'!P790</f>
        <v/>
      </c>
      <c r="R797" s="7">
        <f>'1 datos preparados'!Q790</f>
        <v/>
      </c>
      <c r="S797" s="7">
        <f>'1 datos preparados'!R790</f>
        <v/>
      </c>
      <c r="T797" s="7">
        <f>'1 datos preparados'!S790</f>
        <v/>
      </c>
      <c r="U797" s="7">
        <f>'1 datos preparados'!T790</f>
        <v/>
      </c>
      <c r="V797" s="8">
        <f>$AE$12+D797*$AE$13+E797*$AE$14+F797*$AE$15+G797*$AE$16+H797*$AE$17+I797*$AE$18+J797*$AE$19+K797*$AE$20+L797*$AE$21+M797*$AE$22+N797*$AE$23+O797*$AE$24+P797*$AE$25+Q797*$AE$26+R797*$AE$27+S797*$AE$28+T797*$AE$29+U797*$AE$30</f>
        <v/>
      </c>
      <c r="W797" s="8">
        <f>1/(1+EXP(-V797))</f>
        <v/>
      </c>
      <c r="X797" s="9">
        <f>-IF(C797=1,LN(W797),LN(1-W797))</f>
        <v/>
      </c>
      <c r="Y797" s="8">
        <f>IF(C797=1,$AE$32,$AE$33)</f>
        <v/>
      </c>
      <c r="Z797" s="9">
        <f>Y797*X797</f>
        <v/>
      </c>
      <c r="AA797" s="10">
        <f>IF(W797&gt;$AE$34,1,0)</f>
        <v/>
      </c>
      <c r="AB797">
        <f>IF(AA797=C797,1,0)</f>
        <v/>
      </c>
    </row>
    <row r="798">
      <c r="A798">
        <f>'1 datos preparados'!A791</f>
        <v/>
      </c>
      <c r="B798" s="5">
        <f>'1 datos preparados'!U791</f>
        <v/>
      </c>
      <c r="C798">
        <f>'1 datos preparados'!B791</f>
        <v/>
      </c>
      <c r="D798" s="7">
        <f>'1 datos preparados'!C791</f>
        <v/>
      </c>
      <c r="E798" s="7">
        <f>'1 datos preparados'!D791</f>
        <v/>
      </c>
      <c r="F798" s="7">
        <f>'1 datos preparados'!E791</f>
        <v/>
      </c>
      <c r="G798" s="7">
        <f>'1 datos preparados'!F791</f>
        <v/>
      </c>
      <c r="H798" s="7">
        <f>'1 datos preparados'!G791</f>
        <v/>
      </c>
      <c r="I798" s="7">
        <f>'1 datos preparados'!H791</f>
        <v/>
      </c>
      <c r="J798" s="7">
        <f>'1 datos preparados'!I791</f>
        <v/>
      </c>
      <c r="K798" s="7">
        <f>'1 datos preparados'!J791</f>
        <v/>
      </c>
      <c r="L798" s="7">
        <f>'1 datos preparados'!K791</f>
        <v/>
      </c>
      <c r="M798" s="7">
        <f>'1 datos preparados'!L791</f>
        <v/>
      </c>
      <c r="N798" s="7">
        <f>'1 datos preparados'!M791</f>
        <v/>
      </c>
      <c r="O798" s="7">
        <f>'1 datos preparados'!N791</f>
        <v/>
      </c>
      <c r="P798" s="7">
        <f>'1 datos preparados'!O791</f>
        <v/>
      </c>
      <c r="Q798" s="7">
        <f>'1 datos preparados'!P791</f>
        <v/>
      </c>
      <c r="R798" s="7">
        <f>'1 datos preparados'!Q791</f>
        <v/>
      </c>
      <c r="S798" s="7">
        <f>'1 datos preparados'!R791</f>
        <v/>
      </c>
      <c r="T798" s="7">
        <f>'1 datos preparados'!S791</f>
        <v/>
      </c>
      <c r="U798" s="7">
        <f>'1 datos preparados'!T791</f>
        <v/>
      </c>
      <c r="V798" s="8">
        <f>$AE$12+D798*$AE$13+E798*$AE$14+F798*$AE$15+G798*$AE$16+H798*$AE$17+I798*$AE$18+J798*$AE$19+K798*$AE$20+L798*$AE$21+M798*$AE$22+N798*$AE$23+O798*$AE$24+P798*$AE$25+Q798*$AE$26+R798*$AE$27+S798*$AE$28+T798*$AE$29+U798*$AE$30</f>
        <v/>
      </c>
      <c r="W798" s="8">
        <f>1/(1+EXP(-V798))</f>
        <v/>
      </c>
      <c r="X798" s="9">
        <f>-IF(C798=1,LN(W798),LN(1-W798))</f>
        <v/>
      </c>
      <c r="Y798" s="8">
        <f>IF(C798=1,$AE$32,$AE$33)</f>
        <v/>
      </c>
      <c r="Z798" s="9">
        <f>Y798*X798</f>
        <v/>
      </c>
      <c r="AA798" s="10">
        <f>IF(W798&gt;$AE$34,1,0)</f>
        <v/>
      </c>
      <c r="AB798">
        <f>IF(AA798=C798,1,0)</f>
        <v/>
      </c>
    </row>
    <row r="799">
      <c r="A799">
        <f>'1 datos preparados'!A792</f>
        <v/>
      </c>
      <c r="B799" s="5">
        <f>'1 datos preparados'!U792</f>
        <v/>
      </c>
      <c r="C799">
        <f>'1 datos preparados'!B792</f>
        <v/>
      </c>
      <c r="D799" s="7">
        <f>'1 datos preparados'!C792</f>
        <v/>
      </c>
      <c r="E799" s="7">
        <f>'1 datos preparados'!D792</f>
        <v/>
      </c>
      <c r="F799" s="7">
        <f>'1 datos preparados'!E792</f>
        <v/>
      </c>
      <c r="G799" s="7">
        <f>'1 datos preparados'!F792</f>
        <v/>
      </c>
      <c r="H799" s="7">
        <f>'1 datos preparados'!G792</f>
        <v/>
      </c>
      <c r="I799" s="7">
        <f>'1 datos preparados'!H792</f>
        <v/>
      </c>
      <c r="J799" s="7">
        <f>'1 datos preparados'!I792</f>
        <v/>
      </c>
      <c r="K799" s="7">
        <f>'1 datos preparados'!J792</f>
        <v/>
      </c>
      <c r="L799" s="7">
        <f>'1 datos preparados'!K792</f>
        <v/>
      </c>
      <c r="M799" s="7">
        <f>'1 datos preparados'!L792</f>
        <v/>
      </c>
      <c r="N799" s="7">
        <f>'1 datos preparados'!M792</f>
        <v/>
      </c>
      <c r="O799" s="7">
        <f>'1 datos preparados'!N792</f>
        <v/>
      </c>
      <c r="P799" s="7">
        <f>'1 datos preparados'!O792</f>
        <v/>
      </c>
      <c r="Q799" s="7">
        <f>'1 datos preparados'!P792</f>
        <v/>
      </c>
      <c r="R799" s="7">
        <f>'1 datos preparados'!Q792</f>
        <v/>
      </c>
      <c r="S799" s="7">
        <f>'1 datos preparados'!R792</f>
        <v/>
      </c>
      <c r="T799" s="7">
        <f>'1 datos preparados'!S792</f>
        <v/>
      </c>
      <c r="U799" s="7">
        <f>'1 datos preparados'!T792</f>
        <v/>
      </c>
      <c r="V799" s="8">
        <f>$AE$12+D799*$AE$13+E799*$AE$14+F799*$AE$15+G799*$AE$16+H799*$AE$17+I799*$AE$18+J799*$AE$19+K799*$AE$20+L799*$AE$21+M799*$AE$22+N799*$AE$23+O799*$AE$24+P799*$AE$25+Q799*$AE$26+R799*$AE$27+S799*$AE$28+T799*$AE$29+U799*$AE$30</f>
        <v/>
      </c>
      <c r="W799" s="8">
        <f>1/(1+EXP(-V799))</f>
        <v/>
      </c>
      <c r="X799" s="9">
        <f>-IF(C799=1,LN(W799),LN(1-W799))</f>
        <v/>
      </c>
      <c r="Y799" s="8">
        <f>IF(C799=1,$AE$32,$AE$33)</f>
        <v/>
      </c>
      <c r="Z799" s="9">
        <f>Y799*X799</f>
        <v/>
      </c>
      <c r="AA799" s="10">
        <f>IF(W799&gt;$AE$34,1,0)</f>
        <v/>
      </c>
      <c r="AB799">
        <f>IF(AA799=C799,1,0)</f>
        <v/>
      </c>
    </row>
    <row r="800">
      <c r="A800">
        <f>'1 datos preparados'!A793</f>
        <v/>
      </c>
      <c r="B800" s="5">
        <f>'1 datos preparados'!U793</f>
        <v/>
      </c>
      <c r="C800">
        <f>'1 datos preparados'!B793</f>
        <v/>
      </c>
      <c r="D800" s="7">
        <f>'1 datos preparados'!C793</f>
        <v/>
      </c>
      <c r="E800" s="7">
        <f>'1 datos preparados'!D793</f>
        <v/>
      </c>
      <c r="F800" s="7">
        <f>'1 datos preparados'!E793</f>
        <v/>
      </c>
      <c r="G800" s="7">
        <f>'1 datos preparados'!F793</f>
        <v/>
      </c>
      <c r="H800" s="7">
        <f>'1 datos preparados'!G793</f>
        <v/>
      </c>
      <c r="I800" s="7">
        <f>'1 datos preparados'!H793</f>
        <v/>
      </c>
      <c r="J800" s="7">
        <f>'1 datos preparados'!I793</f>
        <v/>
      </c>
      <c r="K800" s="7">
        <f>'1 datos preparados'!J793</f>
        <v/>
      </c>
      <c r="L800" s="7">
        <f>'1 datos preparados'!K793</f>
        <v/>
      </c>
      <c r="M800" s="7">
        <f>'1 datos preparados'!L793</f>
        <v/>
      </c>
      <c r="N800" s="7">
        <f>'1 datos preparados'!M793</f>
        <v/>
      </c>
      <c r="O800" s="7">
        <f>'1 datos preparados'!N793</f>
        <v/>
      </c>
      <c r="P800" s="7">
        <f>'1 datos preparados'!O793</f>
        <v/>
      </c>
      <c r="Q800" s="7">
        <f>'1 datos preparados'!P793</f>
        <v/>
      </c>
      <c r="R800" s="7">
        <f>'1 datos preparados'!Q793</f>
        <v/>
      </c>
      <c r="S800" s="7">
        <f>'1 datos preparados'!R793</f>
        <v/>
      </c>
      <c r="T800" s="7">
        <f>'1 datos preparados'!S793</f>
        <v/>
      </c>
      <c r="U800" s="7">
        <f>'1 datos preparados'!T793</f>
        <v/>
      </c>
      <c r="V800" s="8">
        <f>$AE$12+D800*$AE$13+E800*$AE$14+F800*$AE$15+G800*$AE$16+H800*$AE$17+I800*$AE$18+J800*$AE$19+K800*$AE$20+L800*$AE$21+M800*$AE$22+N800*$AE$23+O800*$AE$24+P800*$AE$25+Q800*$AE$26+R800*$AE$27+S800*$AE$28+T800*$AE$29+U800*$AE$30</f>
        <v/>
      </c>
      <c r="W800" s="8">
        <f>1/(1+EXP(-V800))</f>
        <v/>
      </c>
      <c r="X800" s="9">
        <f>-IF(C800=1,LN(W800),LN(1-W800))</f>
        <v/>
      </c>
      <c r="Y800" s="8">
        <f>IF(C800=1,$AE$32,$AE$33)</f>
        <v/>
      </c>
      <c r="Z800" s="9">
        <f>Y800*X800</f>
        <v/>
      </c>
      <c r="AA800" s="10">
        <f>IF(W800&gt;$AE$34,1,0)</f>
        <v/>
      </c>
      <c r="AB800">
        <f>IF(AA800=C800,1,0)</f>
        <v/>
      </c>
    </row>
    <row r="801">
      <c r="A801">
        <f>'1 datos preparados'!A794</f>
        <v/>
      </c>
      <c r="B801" s="5">
        <f>'1 datos preparados'!U794</f>
        <v/>
      </c>
      <c r="C801">
        <f>'1 datos preparados'!B794</f>
        <v/>
      </c>
      <c r="D801" s="7">
        <f>'1 datos preparados'!C794</f>
        <v/>
      </c>
      <c r="E801" s="7">
        <f>'1 datos preparados'!D794</f>
        <v/>
      </c>
      <c r="F801" s="7">
        <f>'1 datos preparados'!E794</f>
        <v/>
      </c>
      <c r="G801" s="7">
        <f>'1 datos preparados'!F794</f>
        <v/>
      </c>
      <c r="H801" s="7">
        <f>'1 datos preparados'!G794</f>
        <v/>
      </c>
      <c r="I801" s="7">
        <f>'1 datos preparados'!H794</f>
        <v/>
      </c>
      <c r="J801" s="7">
        <f>'1 datos preparados'!I794</f>
        <v/>
      </c>
      <c r="K801" s="7">
        <f>'1 datos preparados'!J794</f>
        <v/>
      </c>
      <c r="L801" s="7">
        <f>'1 datos preparados'!K794</f>
        <v/>
      </c>
      <c r="M801" s="7">
        <f>'1 datos preparados'!L794</f>
        <v/>
      </c>
      <c r="N801" s="7">
        <f>'1 datos preparados'!M794</f>
        <v/>
      </c>
      <c r="O801" s="7">
        <f>'1 datos preparados'!N794</f>
        <v/>
      </c>
      <c r="P801" s="7">
        <f>'1 datos preparados'!O794</f>
        <v/>
      </c>
      <c r="Q801" s="7">
        <f>'1 datos preparados'!P794</f>
        <v/>
      </c>
      <c r="R801" s="7">
        <f>'1 datos preparados'!Q794</f>
        <v/>
      </c>
      <c r="S801" s="7">
        <f>'1 datos preparados'!R794</f>
        <v/>
      </c>
      <c r="T801" s="7">
        <f>'1 datos preparados'!S794</f>
        <v/>
      </c>
      <c r="U801" s="7">
        <f>'1 datos preparados'!T794</f>
        <v/>
      </c>
      <c r="V801" s="8">
        <f>$AE$12+D801*$AE$13+E801*$AE$14+F801*$AE$15+G801*$AE$16+H801*$AE$17+I801*$AE$18+J801*$AE$19+K801*$AE$20+L801*$AE$21+M801*$AE$22+N801*$AE$23+O801*$AE$24+P801*$AE$25+Q801*$AE$26+R801*$AE$27+S801*$AE$28+T801*$AE$29+U801*$AE$30</f>
        <v/>
      </c>
      <c r="W801" s="8">
        <f>1/(1+EXP(-V801))</f>
        <v/>
      </c>
      <c r="X801" s="9">
        <f>-IF(C801=1,LN(W801),LN(1-W801))</f>
        <v/>
      </c>
      <c r="Y801" s="8">
        <f>IF(C801=1,$AE$32,$AE$33)</f>
        <v/>
      </c>
      <c r="Z801" s="9">
        <f>Y801*X801</f>
        <v/>
      </c>
      <c r="AA801" s="10">
        <f>IF(W801&gt;$AE$34,1,0)</f>
        <v/>
      </c>
      <c r="AB801">
        <f>IF(AA801=C801,1,0)</f>
        <v/>
      </c>
    </row>
    <row r="802">
      <c r="A802">
        <f>'1 datos preparados'!A795</f>
        <v/>
      </c>
      <c r="B802" s="5">
        <f>'1 datos preparados'!U795</f>
        <v/>
      </c>
      <c r="C802">
        <f>'1 datos preparados'!B795</f>
        <v/>
      </c>
      <c r="D802" s="7">
        <f>'1 datos preparados'!C795</f>
        <v/>
      </c>
      <c r="E802" s="7">
        <f>'1 datos preparados'!D795</f>
        <v/>
      </c>
      <c r="F802" s="7">
        <f>'1 datos preparados'!E795</f>
        <v/>
      </c>
      <c r="G802" s="7">
        <f>'1 datos preparados'!F795</f>
        <v/>
      </c>
      <c r="H802" s="7">
        <f>'1 datos preparados'!G795</f>
        <v/>
      </c>
      <c r="I802" s="7">
        <f>'1 datos preparados'!H795</f>
        <v/>
      </c>
      <c r="J802" s="7">
        <f>'1 datos preparados'!I795</f>
        <v/>
      </c>
      <c r="K802" s="7">
        <f>'1 datos preparados'!J795</f>
        <v/>
      </c>
      <c r="L802" s="7">
        <f>'1 datos preparados'!K795</f>
        <v/>
      </c>
      <c r="M802" s="7">
        <f>'1 datos preparados'!L795</f>
        <v/>
      </c>
      <c r="N802" s="7">
        <f>'1 datos preparados'!M795</f>
        <v/>
      </c>
      <c r="O802" s="7">
        <f>'1 datos preparados'!N795</f>
        <v/>
      </c>
      <c r="P802" s="7">
        <f>'1 datos preparados'!O795</f>
        <v/>
      </c>
      <c r="Q802" s="7">
        <f>'1 datos preparados'!P795</f>
        <v/>
      </c>
      <c r="R802" s="7">
        <f>'1 datos preparados'!Q795</f>
        <v/>
      </c>
      <c r="S802" s="7">
        <f>'1 datos preparados'!R795</f>
        <v/>
      </c>
      <c r="T802" s="7">
        <f>'1 datos preparados'!S795</f>
        <v/>
      </c>
      <c r="U802" s="7">
        <f>'1 datos preparados'!T795</f>
        <v/>
      </c>
      <c r="V802" s="8">
        <f>$AE$12+D802*$AE$13+E802*$AE$14+F802*$AE$15+G802*$AE$16+H802*$AE$17+I802*$AE$18+J802*$AE$19+K802*$AE$20+L802*$AE$21+M802*$AE$22+N802*$AE$23+O802*$AE$24+P802*$AE$25+Q802*$AE$26+R802*$AE$27+S802*$AE$28+T802*$AE$29+U802*$AE$30</f>
        <v/>
      </c>
      <c r="W802" s="8">
        <f>1/(1+EXP(-V802))</f>
        <v/>
      </c>
      <c r="X802" s="9">
        <f>-IF(C802=1,LN(W802),LN(1-W802))</f>
        <v/>
      </c>
      <c r="Y802" s="8">
        <f>IF(C802=1,$AE$32,$AE$33)</f>
        <v/>
      </c>
      <c r="Z802" s="9">
        <f>Y802*X802</f>
        <v/>
      </c>
      <c r="AA802" s="10">
        <f>IF(W802&gt;$AE$34,1,0)</f>
        <v/>
      </c>
      <c r="AB802">
        <f>IF(AA802=C802,1,0)</f>
        <v/>
      </c>
    </row>
    <row r="803">
      <c r="A803">
        <f>'1 datos preparados'!A796</f>
        <v/>
      </c>
      <c r="B803" s="5">
        <f>'1 datos preparados'!U796</f>
        <v/>
      </c>
      <c r="C803">
        <f>'1 datos preparados'!B796</f>
        <v/>
      </c>
      <c r="D803" s="7">
        <f>'1 datos preparados'!C796</f>
        <v/>
      </c>
      <c r="E803" s="7">
        <f>'1 datos preparados'!D796</f>
        <v/>
      </c>
      <c r="F803" s="7">
        <f>'1 datos preparados'!E796</f>
        <v/>
      </c>
      <c r="G803" s="7">
        <f>'1 datos preparados'!F796</f>
        <v/>
      </c>
      <c r="H803" s="7">
        <f>'1 datos preparados'!G796</f>
        <v/>
      </c>
      <c r="I803" s="7">
        <f>'1 datos preparados'!H796</f>
        <v/>
      </c>
      <c r="J803" s="7">
        <f>'1 datos preparados'!I796</f>
        <v/>
      </c>
      <c r="K803" s="7">
        <f>'1 datos preparados'!J796</f>
        <v/>
      </c>
      <c r="L803" s="7">
        <f>'1 datos preparados'!K796</f>
        <v/>
      </c>
      <c r="M803" s="7">
        <f>'1 datos preparados'!L796</f>
        <v/>
      </c>
      <c r="N803" s="7">
        <f>'1 datos preparados'!M796</f>
        <v/>
      </c>
      <c r="O803" s="7">
        <f>'1 datos preparados'!N796</f>
        <v/>
      </c>
      <c r="P803" s="7">
        <f>'1 datos preparados'!O796</f>
        <v/>
      </c>
      <c r="Q803" s="7">
        <f>'1 datos preparados'!P796</f>
        <v/>
      </c>
      <c r="R803" s="7">
        <f>'1 datos preparados'!Q796</f>
        <v/>
      </c>
      <c r="S803" s="7">
        <f>'1 datos preparados'!R796</f>
        <v/>
      </c>
      <c r="T803" s="7">
        <f>'1 datos preparados'!S796</f>
        <v/>
      </c>
      <c r="U803" s="7">
        <f>'1 datos preparados'!T796</f>
        <v/>
      </c>
      <c r="V803" s="8">
        <f>$AE$12+D803*$AE$13+E803*$AE$14+F803*$AE$15+G803*$AE$16+H803*$AE$17+I803*$AE$18+J803*$AE$19+K803*$AE$20+L803*$AE$21+M803*$AE$22+N803*$AE$23+O803*$AE$24+P803*$AE$25+Q803*$AE$26+R803*$AE$27+S803*$AE$28+T803*$AE$29+U803*$AE$30</f>
        <v/>
      </c>
      <c r="W803" s="8">
        <f>1/(1+EXP(-V803))</f>
        <v/>
      </c>
      <c r="X803" s="9">
        <f>-IF(C803=1,LN(W803),LN(1-W803))</f>
        <v/>
      </c>
      <c r="Y803" s="8">
        <f>IF(C803=1,$AE$32,$AE$33)</f>
        <v/>
      </c>
      <c r="Z803" s="9">
        <f>Y803*X803</f>
        <v/>
      </c>
      <c r="AA803" s="10">
        <f>IF(W803&gt;$AE$34,1,0)</f>
        <v/>
      </c>
      <c r="AB803">
        <f>IF(AA803=C803,1,0)</f>
        <v/>
      </c>
    </row>
    <row r="804">
      <c r="A804">
        <f>'1 datos preparados'!A797</f>
        <v/>
      </c>
      <c r="B804" s="5">
        <f>'1 datos preparados'!U797</f>
        <v/>
      </c>
      <c r="C804">
        <f>'1 datos preparados'!B797</f>
        <v/>
      </c>
      <c r="D804" s="7">
        <f>'1 datos preparados'!C797</f>
        <v/>
      </c>
      <c r="E804" s="7">
        <f>'1 datos preparados'!D797</f>
        <v/>
      </c>
      <c r="F804" s="7">
        <f>'1 datos preparados'!E797</f>
        <v/>
      </c>
      <c r="G804" s="7">
        <f>'1 datos preparados'!F797</f>
        <v/>
      </c>
      <c r="H804" s="7">
        <f>'1 datos preparados'!G797</f>
        <v/>
      </c>
      <c r="I804" s="7">
        <f>'1 datos preparados'!H797</f>
        <v/>
      </c>
      <c r="J804" s="7">
        <f>'1 datos preparados'!I797</f>
        <v/>
      </c>
      <c r="K804" s="7">
        <f>'1 datos preparados'!J797</f>
        <v/>
      </c>
      <c r="L804" s="7">
        <f>'1 datos preparados'!K797</f>
        <v/>
      </c>
      <c r="M804" s="7">
        <f>'1 datos preparados'!L797</f>
        <v/>
      </c>
      <c r="N804" s="7">
        <f>'1 datos preparados'!M797</f>
        <v/>
      </c>
      <c r="O804" s="7">
        <f>'1 datos preparados'!N797</f>
        <v/>
      </c>
      <c r="P804" s="7">
        <f>'1 datos preparados'!O797</f>
        <v/>
      </c>
      <c r="Q804" s="7">
        <f>'1 datos preparados'!P797</f>
        <v/>
      </c>
      <c r="R804" s="7">
        <f>'1 datos preparados'!Q797</f>
        <v/>
      </c>
      <c r="S804" s="7">
        <f>'1 datos preparados'!R797</f>
        <v/>
      </c>
      <c r="T804" s="7">
        <f>'1 datos preparados'!S797</f>
        <v/>
      </c>
      <c r="U804" s="7">
        <f>'1 datos preparados'!T797</f>
        <v/>
      </c>
      <c r="V804" s="8">
        <f>$AE$12+D804*$AE$13+E804*$AE$14+F804*$AE$15+G804*$AE$16+H804*$AE$17+I804*$AE$18+J804*$AE$19+K804*$AE$20+L804*$AE$21+M804*$AE$22+N804*$AE$23+O804*$AE$24+P804*$AE$25+Q804*$AE$26+R804*$AE$27+S804*$AE$28+T804*$AE$29+U804*$AE$30</f>
        <v/>
      </c>
      <c r="W804" s="8">
        <f>1/(1+EXP(-V804))</f>
        <v/>
      </c>
      <c r="X804" s="9">
        <f>-IF(C804=1,LN(W804),LN(1-W804))</f>
        <v/>
      </c>
      <c r="Y804" s="8">
        <f>IF(C804=1,$AE$32,$AE$33)</f>
        <v/>
      </c>
      <c r="Z804" s="9">
        <f>Y804*X804</f>
        <v/>
      </c>
      <c r="AA804" s="10">
        <f>IF(W804&gt;$AE$34,1,0)</f>
        <v/>
      </c>
      <c r="AB804">
        <f>IF(AA804=C804,1,0)</f>
        <v/>
      </c>
    </row>
    <row r="805">
      <c r="A805">
        <f>'1 datos preparados'!A798</f>
        <v/>
      </c>
      <c r="B805" s="5">
        <f>'1 datos preparados'!U798</f>
        <v/>
      </c>
      <c r="C805">
        <f>'1 datos preparados'!B798</f>
        <v/>
      </c>
      <c r="D805" s="7">
        <f>'1 datos preparados'!C798</f>
        <v/>
      </c>
      <c r="E805" s="7">
        <f>'1 datos preparados'!D798</f>
        <v/>
      </c>
      <c r="F805" s="7">
        <f>'1 datos preparados'!E798</f>
        <v/>
      </c>
      <c r="G805" s="7">
        <f>'1 datos preparados'!F798</f>
        <v/>
      </c>
      <c r="H805" s="7">
        <f>'1 datos preparados'!G798</f>
        <v/>
      </c>
      <c r="I805" s="7">
        <f>'1 datos preparados'!H798</f>
        <v/>
      </c>
      <c r="J805" s="7">
        <f>'1 datos preparados'!I798</f>
        <v/>
      </c>
      <c r="K805" s="7">
        <f>'1 datos preparados'!J798</f>
        <v/>
      </c>
      <c r="L805" s="7">
        <f>'1 datos preparados'!K798</f>
        <v/>
      </c>
      <c r="M805" s="7">
        <f>'1 datos preparados'!L798</f>
        <v/>
      </c>
      <c r="N805" s="7">
        <f>'1 datos preparados'!M798</f>
        <v/>
      </c>
      <c r="O805" s="7">
        <f>'1 datos preparados'!N798</f>
        <v/>
      </c>
      <c r="P805" s="7">
        <f>'1 datos preparados'!O798</f>
        <v/>
      </c>
      <c r="Q805" s="7">
        <f>'1 datos preparados'!P798</f>
        <v/>
      </c>
      <c r="R805" s="7">
        <f>'1 datos preparados'!Q798</f>
        <v/>
      </c>
      <c r="S805" s="7">
        <f>'1 datos preparados'!R798</f>
        <v/>
      </c>
      <c r="T805" s="7">
        <f>'1 datos preparados'!S798</f>
        <v/>
      </c>
      <c r="U805" s="7">
        <f>'1 datos preparados'!T798</f>
        <v/>
      </c>
      <c r="V805" s="8">
        <f>$AE$12+D805*$AE$13+E805*$AE$14+F805*$AE$15+G805*$AE$16+H805*$AE$17+I805*$AE$18+J805*$AE$19+K805*$AE$20+L805*$AE$21+M805*$AE$22+N805*$AE$23+O805*$AE$24+P805*$AE$25+Q805*$AE$26+R805*$AE$27+S805*$AE$28+T805*$AE$29+U805*$AE$30</f>
        <v/>
      </c>
      <c r="W805" s="8">
        <f>1/(1+EXP(-V805))</f>
        <v/>
      </c>
      <c r="X805" s="9">
        <f>-IF(C805=1,LN(W805),LN(1-W805))</f>
        <v/>
      </c>
      <c r="Y805" s="8">
        <f>IF(C805=1,$AE$32,$AE$33)</f>
        <v/>
      </c>
      <c r="Z805" s="9">
        <f>Y805*X805</f>
        <v/>
      </c>
      <c r="AA805" s="10">
        <f>IF(W805&gt;$AE$34,1,0)</f>
        <v/>
      </c>
      <c r="AB805">
        <f>IF(AA805=C805,1,0)</f>
        <v/>
      </c>
    </row>
    <row r="806">
      <c r="A806">
        <f>'1 datos preparados'!A799</f>
        <v/>
      </c>
      <c r="B806" s="5">
        <f>'1 datos preparados'!U799</f>
        <v/>
      </c>
      <c r="C806">
        <f>'1 datos preparados'!B799</f>
        <v/>
      </c>
      <c r="D806" s="7">
        <f>'1 datos preparados'!C799</f>
        <v/>
      </c>
      <c r="E806" s="7">
        <f>'1 datos preparados'!D799</f>
        <v/>
      </c>
      <c r="F806" s="7">
        <f>'1 datos preparados'!E799</f>
        <v/>
      </c>
      <c r="G806" s="7">
        <f>'1 datos preparados'!F799</f>
        <v/>
      </c>
      <c r="H806" s="7">
        <f>'1 datos preparados'!G799</f>
        <v/>
      </c>
      <c r="I806" s="7">
        <f>'1 datos preparados'!H799</f>
        <v/>
      </c>
      <c r="J806" s="7">
        <f>'1 datos preparados'!I799</f>
        <v/>
      </c>
      <c r="K806" s="7">
        <f>'1 datos preparados'!J799</f>
        <v/>
      </c>
      <c r="L806" s="7">
        <f>'1 datos preparados'!K799</f>
        <v/>
      </c>
      <c r="M806" s="7">
        <f>'1 datos preparados'!L799</f>
        <v/>
      </c>
      <c r="N806" s="7">
        <f>'1 datos preparados'!M799</f>
        <v/>
      </c>
      <c r="O806" s="7">
        <f>'1 datos preparados'!N799</f>
        <v/>
      </c>
      <c r="P806" s="7">
        <f>'1 datos preparados'!O799</f>
        <v/>
      </c>
      <c r="Q806" s="7">
        <f>'1 datos preparados'!P799</f>
        <v/>
      </c>
      <c r="R806" s="7">
        <f>'1 datos preparados'!Q799</f>
        <v/>
      </c>
      <c r="S806" s="7">
        <f>'1 datos preparados'!R799</f>
        <v/>
      </c>
      <c r="T806" s="7">
        <f>'1 datos preparados'!S799</f>
        <v/>
      </c>
      <c r="U806" s="7">
        <f>'1 datos preparados'!T799</f>
        <v/>
      </c>
      <c r="V806" s="8">
        <f>$AE$12+D806*$AE$13+E806*$AE$14+F806*$AE$15+G806*$AE$16+H806*$AE$17+I806*$AE$18+J806*$AE$19+K806*$AE$20+L806*$AE$21+M806*$AE$22+N806*$AE$23+O806*$AE$24+P806*$AE$25+Q806*$AE$26+R806*$AE$27+S806*$AE$28+T806*$AE$29+U806*$AE$30</f>
        <v/>
      </c>
      <c r="W806" s="8">
        <f>1/(1+EXP(-V806))</f>
        <v/>
      </c>
      <c r="X806" s="9">
        <f>-IF(C806=1,LN(W806),LN(1-W806))</f>
        <v/>
      </c>
      <c r="Y806" s="8">
        <f>IF(C806=1,$AE$32,$AE$33)</f>
        <v/>
      </c>
      <c r="Z806" s="9">
        <f>Y806*X806</f>
        <v/>
      </c>
      <c r="AA806" s="10">
        <f>IF(W806&gt;$AE$34,1,0)</f>
        <v/>
      </c>
      <c r="AB806">
        <f>IF(AA806=C806,1,0)</f>
        <v/>
      </c>
    </row>
    <row r="807">
      <c r="A807">
        <f>'1 datos preparados'!A800</f>
        <v/>
      </c>
      <c r="B807" s="5">
        <f>'1 datos preparados'!U800</f>
        <v/>
      </c>
      <c r="C807">
        <f>'1 datos preparados'!B800</f>
        <v/>
      </c>
      <c r="D807" s="7">
        <f>'1 datos preparados'!C800</f>
        <v/>
      </c>
      <c r="E807" s="7">
        <f>'1 datos preparados'!D800</f>
        <v/>
      </c>
      <c r="F807" s="7">
        <f>'1 datos preparados'!E800</f>
        <v/>
      </c>
      <c r="G807" s="7">
        <f>'1 datos preparados'!F800</f>
        <v/>
      </c>
      <c r="H807" s="7">
        <f>'1 datos preparados'!G800</f>
        <v/>
      </c>
      <c r="I807" s="7">
        <f>'1 datos preparados'!H800</f>
        <v/>
      </c>
      <c r="J807" s="7">
        <f>'1 datos preparados'!I800</f>
        <v/>
      </c>
      <c r="K807" s="7">
        <f>'1 datos preparados'!J800</f>
        <v/>
      </c>
      <c r="L807" s="7">
        <f>'1 datos preparados'!K800</f>
        <v/>
      </c>
      <c r="M807" s="7">
        <f>'1 datos preparados'!L800</f>
        <v/>
      </c>
      <c r="N807" s="7">
        <f>'1 datos preparados'!M800</f>
        <v/>
      </c>
      <c r="O807" s="7">
        <f>'1 datos preparados'!N800</f>
        <v/>
      </c>
      <c r="P807" s="7">
        <f>'1 datos preparados'!O800</f>
        <v/>
      </c>
      <c r="Q807" s="7">
        <f>'1 datos preparados'!P800</f>
        <v/>
      </c>
      <c r="R807" s="7">
        <f>'1 datos preparados'!Q800</f>
        <v/>
      </c>
      <c r="S807" s="7">
        <f>'1 datos preparados'!R800</f>
        <v/>
      </c>
      <c r="T807" s="7">
        <f>'1 datos preparados'!S800</f>
        <v/>
      </c>
      <c r="U807" s="7">
        <f>'1 datos preparados'!T800</f>
        <v/>
      </c>
      <c r="V807" s="8">
        <f>$AE$12+D807*$AE$13+E807*$AE$14+F807*$AE$15+G807*$AE$16+H807*$AE$17+I807*$AE$18+J807*$AE$19+K807*$AE$20+L807*$AE$21+M807*$AE$22+N807*$AE$23+O807*$AE$24+P807*$AE$25+Q807*$AE$26+R807*$AE$27+S807*$AE$28+T807*$AE$29+U807*$AE$30</f>
        <v/>
      </c>
      <c r="W807" s="8">
        <f>1/(1+EXP(-V807))</f>
        <v/>
      </c>
      <c r="X807" s="9">
        <f>-IF(C807=1,LN(W807),LN(1-W807))</f>
        <v/>
      </c>
      <c r="Y807" s="8">
        <f>IF(C807=1,$AE$32,$AE$33)</f>
        <v/>
      </c>
      <c r="Z807" s="9">
        <f>Y807*X807</f>
        <v/>
      </c>
      <c r="AA807" s="10">
        <f>IF(W807&gt;$AE$34,1,0)</f>
        <v/>
      </c>
      <c r="AB807">
        <f>IF(AA807=C807,1,0)</f>
        <v/>
      </c>
    </row>
    <row r="808">
      <c r="A808">
        <f>'1 datos preparados'!A801</f>
        <v/>
      </c>
      <c r="B808" s="5">
        <f>'1 datos preparados'!U801</f>
        <v/>
      </c>
      <c r="C808">
        <f>'1 datos preparados'!B801</f>
        <v/>
      </c>
      <c r="D808" s="7">
        <f>'1 datos preparados'!C801</f>
        <v/>
      </c>
      <c r="E808" s="7">
        <f>'1 datos preparados'!D801</f>
        <v/>
      </c>
      <c r="F808" s="7">
        <f>'1 datos preparados'!E801</f>
        <v/>
      </c>
      <c r="G808" s="7">
        <f>'1 datos preparados'!F801</f>
        <v/>
      </c>
      <c r="H808" s="7">
        <f>'1 datos preparados'!G801</f>
        <v/>
      </c>
      <c r="I808" s="7">
        <f>'1 datos preparados'!H801</f>
        <v/>
      </c>
      <c r="J808" s="7">
        <f>'1 datos preparados'!I801</f>
        <v/>
      </c>
      <c r="K808" s="7">
        <f>'1 datos preparados'!J801</f>
        <v/>
      </c>
      <c r="L808" s="7">
        <f>'1 datos preparados'!K801</f>
        <v/>
      </c>
      <c r="M808" s="7">
        <f>'1 datos preparados'!L801</f>
        <v/>
      </c>
      <c r="N808" s="7">
        <f>'1 datos preparados'!M801</f>
        <v/>
      </c>
      <c r="O808" s="7">
        <f>'1 datos preparados'!N801</f>
        <v/>
      </c>
      <c r="P808" s="7">
        <f>'1 datos preparados'!O801</f>
        <v/>
      </c>
      <c r="Q808" s="7">
        <f>'1 datos preparados'!P801</f>
        <v/>
      </c>
      <c r="R808" s="7">
        <f>'1 datos preparados'!Q801</f>
        <v/>
      </c>
      <c r="S808" s="7">
        <f>'1 datos preparados'!R801</f>
        <v/>
      </c>
      <c r="T808" s="7">
        <f>'1 datos preparados'!S801</f>
        <v/>
      </c>
      <c r="U808" s="7">
        <f>'1 datos preparados'!T801</f>
        <v/>
      </c>
      <c r="V808" s="8">
        <f>$AE$12+D808*$AE$13+E808*$AE$14+F808*$AE$15+G808*$AE$16+H808*$AE$17+I808*$AE$18+J808*$AE$19+K808*$AE$20+L808*$AE$21+M808*$AE$22+N808*$AE$23+O808*$AE$24+P808*$AE$25+Q808*$AE$26+R808*$AE$27+S808*$AE$28+T808*$AE$29+U808*$AE$30</f>
        <v/>
      </c>
      <c r="W808" s="8">
        <f>1/(1+EXP(-V808))</f>
        <v/>
      </c>
      <c r="X808" s="9">
        <f>-IF(C808=1,LN(W808),LN(1-W808))</f>
        <v/>
      </c>
      <c r="Y808" s="8">
        <f>IF(C808=1,$AE$32,$AE$33)</f>
        <v/>
      </c>
      <c r="Z808" s="9">
        <f>Y808*X808</f>
        <v/>
      </c>
      <c r="AA808" s="10">
        <f>IF(W808&gt;$AE$34,1,0)</f>
        <v/>
      </c>
      <c r="AB808">
        <f>IF(AA808=C808,1,0)</f>
        <v/>
      </c>
    </row>
    <row r="809">
      <c r="A809">
        <f>'1 datos preparados'!A802</f>
        <v/>
      </c>
      <c r="B809" s="5">
        <f>'1 datos preparados'!U802</f>
        <v/>
      </c>
      <c r="C809">
        <f>'1 datos preparados'!B802</f>
        <v/>
      </c>
      <c r="D809" s="7">
        <f>'1 datos preparados'!C802</f>
        <v/>
      </c>
      <c r="E809" s="7">
        <f>'1 datos preparados'!D802</f>
        <v/>
      </c>
      <c r="F809" s="7">
        <f>'1 datos preparados'!E802</f>
        <v/>
      </c>
      <c r="G809" s="7">
        <f>'1 datos preparados'!F802</f>
        <v/>
      </c>
      <c r="H809" s="7">
        <f>'1 datos preparados'!G802</f>
        <v/>
      </c>
      <c r="I809" s="7">
        <f>'1 datos preparados'!H802</f>
        <v/>
      </c>
      <c r="J809" s="7">
        <f>'1 datos preparados'!I802</f>
        <v/>
      </c>
      <c r="K809" s="7">
        <f>'1 datos preparados'!J802</f>
        <v/>
      </c>
      <c r="L809" s="7">
        <f>'1 datos preparados'!K802</f>
        <v/>
      </c>
      <c r="M809" s="7">
        <f>'1 datos preparados'!L802</f>
        <v/>
      </c>
      <c r="N809" s="7">
        <f>'1 datos preparados'!M802</f>
        <v/>
      </c>
      <c r="O809" s="7">
        <f>'1 datos preparados'!N802</f>
        <v/>
      </c>
      <c r="P809" s="7">
        <f>'1 datos preparados'!O802</f>
        <v/>
      </c>
      <c r="Q809" s="7">
        <f>'1 datos preparados'!P802</f>
        <v/>
      </c>
      <c r="R809" s="7">
        <f>'1 datos preparados'!Q802</f>
        <v/>
      </c>
      <c r="S809" s="7">
        <f>'1 datos preparados'!R802</f>
        <v/>
      </c>
      <c r="T809" s="7">
        <f>'1 datos preparados'!S802</f>
        <v/>
      </c>
      <c r="U809" s="7">
        <f>'1 datos preparados'!T802</f>
        <v/>
      </c>
      <c r="V809" s="8">
        <f>$AE$12+D809*$AE$13+E809*$AE$14+F809*$AE$15+G809*$AE$16+H809*$AE$17+I809*$AE$18+J809*$AE$19+K809*$AE$20+L809*$AE$21+M809*$AE$22+N809*$AE$23+O809*$AE$24+P809*$AE$25+Q809*$AE$26+R809*$AE$27+S809*$AE$28+T809*$AE$29+U809*$AE$30</f>
        <v/>
      </c>
      <c r="W809" s="8">
        <f>1/(1+EXP(-V809))</f>
        <v/>
      </c>
      <c r="X809" s="9">
        <f>-IF(C809=1,LN(W809),LN(1-W809))</f>
        <v/>
      </c>
      <c r="Y809" s="8">
        <f>IF(C809=1,$AE$32,$AE$33)</f>
        <v/>
      </c>
      <c r="Z809" s="9">
        <f>Y809*X809</f>
        <v/>
      </c>
      <c r="AA809" s="10">
        <f>IF(W809&gt;$AE$34,1,0)</f>
        <v/>
      </c>
      <c r="AB809">
        <f>IF(AA809=C809,1,0)</f>
        <v/>
      </c>
    </row>
    <row r="810">
      <c r="A810">
        <f>'1 datos preparados'!A803</f>
        <v/>
      </c>
      <c r="B810" s="5">
        <f>'1 datos preparados'!U803</f>
        <v/>
      </c>
      <c r="C810">
        <f>'1 datos preparados'!B803</f>
        <v/>
      </c>
      <c r="D810" s="7">
        <f>'1 datos preparados'!C803</f>
        <v/>
      </c>
      <c r="E810" s="7">
        <f>'1 datos preparados'!D803</f>
        <v/>
      </c>
      <c r="F810" s="7">
        <f>'1 datos preparados'!E803</f>
        <v/>
      </c>
      <c r="G810" s="7">
        <f>'1 datos preparados'!F803</f>
        <v/>
      </c>
      <c r="H810" s="7">
        <f>'1 datos preparados'!G803</f>
        <v/>
      </c>
      <c r="I810" s="7">
        <f>'1 datos preparados'!H803</f>
        <v/>
      </c>
      <c r="J810" s="7">
        <f>'1 datos preparados'!I803</f>
        <v/>
      </c>
      <c r="K810" s="7">
        <f>'1 datos preparados'!J803</f>
        <v/>
      </c>
      <c r="L810" s="7">
        <f>'1 datos preparados'!K803</f>
        <v/>
      </c>
      <c r="M810" s="7">
        <f>'1 datos preparados'!L803</f>
        <v/>
      </c>
      <c r="N810" s="7">
        <f>'1 datos preparados'!M803</f>
        <v/>
      </c>
      <c r="O810" s="7">
        <f>'1 datos preparados'!N803</f>
        <v/>
      </c>
      <c r="P810" s="7">
        <f>'1 datos preparados'!O803</f>
        <v/>
      </c>
      <c r="Q810" s="7">
        <f>'1 datos preparados'!P803</f>
        <v/>
      </c>
      <c r="R810" s="7">
        <f>'1 datos preparados'!Q803</f>
        <v/>
      </c>
      <c r="S810" s="7">
        <f>'1 datos preparados'!R803</f>
        <v/>
      </c>
      <c r="T810" s="7">
        <f>'1 datos preparados'!S803</f>
        <v/>
      </c>
      <c r="U810" s="7">
        <f>'1 datos preparados'!T803</f>
        <v/>
      </c>
      <c r="V810" s="8">
        <f>$AE$12+D810*$AE$13+E810*$AE$14+F810*$AE$15+G810*$AE$16+H810*$AE$17+I810*$AE$18+J810*$AE$19+K810*$AE$20+L810*$AE$21+M810*$AE$22+N810*$AE$23+O810*$AE$24+P810*$AE$25+Q810*$AE$26+R810*$AE$27+S810*$AE$28+T810*$AE$29+U810*$AE$30</f>
        <v/>
      </c>
      <c r="W810" s="8">
        <f>1/(1+EXP(-V810))</f>
        <v/>
      </c>
      <c r="X810" s="9">
        <f>-IF(C810=1,LN(W810),LN(1-W810))</f>
        <v/>
      </c>
      <c r="Y810" s="8">
        <f>IF(C810=1,$AE$32,$AE$33)</f>
        <v/>
      </c>
      <c r="Z810" s="9">
        <f>Y810*X810</f>
        <v/>
      </c>
      <c r="AA810" s="10">
        <f>IF(W810&gt;$AE$34,1,0)</f>
        <v/>
      </c>
      <c r="AB810">
        <f>IF(AA810=C810,1,0)</f>
        <v/>
      </c>
    </row>
    <row r="811">
      <c r="A811">
        <f>'1 datos preparados'!A804</f>
        <v/>
      </c>
      <c r="B811" s="5">
        <f>'1 datos preparados'!U804</f>
        <v/>
      </c>
      <c r="C811">
        <f>'1 datos preparados'!B804</f>
        <v/>
      </c>
      <c r="D811" s="7">
        <f>'1 datos preparados'!C804</f>
        <v/>
      </c>
      <c r="E811" s="7">
        <f>'1 datos preparados'!D804</f>
        <v/>
      </c>
      <c r="F811" s="7">
        <f>'1 datos preparados'!E804</f>
        <v/>
      </c>
      <c r="G811" s="7">
        <f>'1 datos preparados'!F804</f>
        <v/>
      </c>
      <c r="H811" s="7">
        <f>'1 datos preparados'!G804</f>
        <v/>
      </c>
      <c r="I811" s="7">
        <f>'1 datos preparados'!H804</f>
        <v/>
      </c>
      <c r="J811" s="7">
        <f>'1 datos preparados'!I804</f>
        <v/>
      </c>
      <c r="K811" s="7">
        <f>'1 datos preparados'!J804</f>
        <v/>
      </c>
      <c r="L811" s="7">
        <f>'1 datos preparados'!K804</f>
        <v/>
      </c>
      <c r="M811" s="7">
        <f>'1 datos preparados'!L804</f>
        <v/>
      </c>
      <c r="N811" s="7">
        <f>'1 datos preparados'!M804</f>
        <v/>
      </c>
      <c r="O811" s="7">
        <f>'1 datos preparados'!N804</f>
        <v/>
      </c>
      <c r="P811" s="7">
        <f>'1 datos preparados'!O804</f>
        <v/>
      </c>
      <c r="Q811" s="7">
        <f>'1 datos preparados'!P804</f>
        <v/>
      </c>
      <c r="R811" s="7">
        <f>'1 datos preparados'!Q804</f>
        <v/>
      </c>
      <c r="S811" s="7">
        <f>'1 datos preparados'!R804</f>
        <v/>
      </c>
      <c r="T811" s="7">
        <f>'1 datos preparados'!S804</f>
        <v/>
      </c>
      <c r="U811" s="7">
        <f>'1 datos preparados'!T804</f>
        <v/>
      </c>
      <c r="V811" s="8">
        <f>$AE$12+D811*$AE$13+E811*$AE$14+F811*$AE$15+G811*$AE$16+H811*$AE$17+I811*$AE$18+J811*$AE$19+K811*$AE$20+L811*$AE$21+M811*$AE$22+N811*$AE$23+O811*$AE$24+P811*$AE$25+Q811*$AE$26+R811*$AE$27+S811*$AE$28+T811*$AE$29+U811*$AE$30</f>
        <v/>
      </c>
      <c r="W811" s="8">
        <f>1/(1+EXP(-V811))</f>
        <v/>
      </c>
      <c r="X811" s="9">
        <f>-IF(C811=1,LN(W811),LN(1-W811))</f>
        <v/>
      </c>
      <c r="Y811" s="8">
        <f>IF(C811=1,$AE$32,$AE$33)</f>
        <v/>
      </c>
      <c r="Z811" s="9">
        <f>Y811*X811</f>
        <v/>
      </c>
      <c r="AA811" s="10">
        <f>IF(W811&gt;$AE$34,1,0)</f>
        <v/>
      </c>
      <c r="AB811">
        <f>IF(AA811=C811,1,0)</f>
        <v/>
      </c>
    </row>
    <row r="812">
      <c r="A812">
        <f>'1 datos preparados'!A805</f>
        <v/>
      </c>
      <c r="B812" s="5">
        <f>'1 datos preparados'!U805</f>
        <v/>
      </c>
      <c r="C812">
        <f>'1 datos preparados'!B805</f>
        <v/>
      </c>
      <c r="D812" s="7">
        <f>'1 datos preparados'!C805</f>
        <v/>
      </c>
      <c r="E812" s="7">
        <f>'1 datos preparados'!D805</f>
        <v/>
      </c>
      <c r="F812" s="7">
        <f>'1 datos preparados'!E805</f>
        <v/>
      </c>
      <c r="G812" s="7">
        <f>'1 datos preparados'!F805</f>
        <v/>
      </c>
      <c r="H812" s="7">
        <f>'1 datos preparados'!G805</f>
        <v/>
      </c>
      <c r="I812" s="7">
        <f>'1 datos preparados'!H805</f>
        <v/>
      </c>
      <c r="J812" s="7">
        <f>'1 datos preparados'!I805</f>
        <v/>
      </c>
      <c r="K812" s="7">
        <f>'1 datos preparados'!J805</f>
        <v/>
      </c>
      <c r="L812" s="7">
        <f>'1 datos preparados'!K805</f>
        <v/>
      </c>
      <c r="M812" s="7">
        <f>'1 datos preparados'!L805</f>
        <v/>
      </c>
      <c r="N812" s="7">
        <f>'1 datos preparados'!M805</f>
        <v/>
      </c>
      <c r="O812" s="7">
        <f>'1 datos preparados'!N805</f>
        <v/>
      </c>
      <c r="P812" s="7">
        <f>'1 datos preparados'!O805</f>
        <v/>
      </c>
      <c r="Q812" s="7">
        <f>'1 datos preparados'!P805</f>
        <v/>
      </c>
      <c r="R812" s="7">
        <f>'1 datos preparados'!Q805</f>
        <v/>
      </c>
      <c r="S812" s="7">
        <f>'1 datos preparados'!R805</f>
        <v/>
      </c>
      <c r="T812" s="7">
        <f>'1 datos preparados'!S805</f>
        <v/>
      </c>
      <c r="U812" s="7">
        <f>'1 datos preparados'!T805</f>
        <v/>
      </c>
      <c r="V812" s="8">
        <f>$AE$12+D812*$AE$13+E812*$AE$14+F812*$AE$15+G812*$AE$16+H812*$AE$17+I812*$AE$18+J812*$AE$19+K812*$AE$20+L812*$AE$21+M812*$AE$22+N812*$AE$23+O812*$AE$24+P812*$AE$25+Q812*$AE$26+R812*$AE$27+S812*$AE$28+T812*$AE$29+U812*$AE$30</f>
        <v/>
      </c>
      <c r="W812" s="8">
        <f>1/(1+EXP(-V812))</f>
        <v/>
      </c>
      <c r="X812" s="9">
        <f>-IF(C812=1,LN(W812),LN(1-W812))</f>
        <v/>
      </c>
      <c r="Y812" s="8">
        <f>IF(C812=1,$AE$32,$AE$33)</f>
        <v/>
      </c>
      <c r="Z812" s="9">
        <f>Y812*X812</f>
        <v/>
      </c>
      <c r="AA812" s="10">
        <f>IF(W812&gt;$AE$34,1,0)</f>
        <v/>
      </c>
      <c r="AB812">
        <f>IF(AA812=C812,1,0)</f>
        <v/>
      </c>
    </row>
    <row r="813">
      <c r="A813">
        <f>'1 datos preparados'!A806</f>
        <v/>
      </c>
      <c r="B813" s="5">
        <f>'1 datos preparados'!U806</f>
        <v/>
      </c>
      <c r="C813">
        <f>'1 datos preparados'!B806</f>
        <v/>
      </c>
      <c r="D813" s="7">
        <f>'1 datos preparados'!C806</f>
        <v/>
      </c>
      <c r="E813" s="7">
        <f>'1 datos preparados'!D806</f>
        <v/>
      </c>
      <c r="F813" s="7">
        <f>'1 datos preparados'!E806</f>
        <v/>
      </c>
      <c r="G813" s="7">
        <f>'1 datos preparados'!F806</f>
        <v/>
      </c>
      <c r="H813" s="7">
        <f>'1 datos preparados'!G806</f>
        <v/>
      </c>
      <c r="I813" s="7">
        <f>'1 datos preparados'!H806</f>
        <v/>
      </c>
      <c r="J813" s="7">
        <f>'1 datos preparados'!I806</f>
        <v/>
      </c>
      <c r="K813" s="7">
        <f>'1 datos preparados'!J806</f>
        <v/>
      </c>
      <c r="L813" s="7">
        <f>'1 datos preparados'!K806</f>
        <v/>
      </c>
      <c r="M813" s="7">
        <f>'1 datos preparados'!L806</f>
        <v/>
      </c>
      <c r="N813" s="7">
        <f>'1 datos preparados'!M806</f>
        <v/>
      </c>
      <c r="O813" s="7">
        <f>'1 datos preparados'!N806</f>
        <v/>
      </c>
      <c r="P813" s="7">
        <f>'1 datos preparados'!O806</f>
        <v/>
      </c>
      <c r="Q813" s="7">
        <f>'1 datos preparados'!P806</f>
        <v/>
      </c>
      <c r="R813" s="7">
        <f>'1 datos preparados'!Q806</f>
        <v/>
      </c>
      <c r="S813" s="7">
        <f>'1 datos preparados'!R806</f>
        <v/>
      </c>
      <c r="T813" s="7">
        <f>'1 datos preparados'!S806</f>
        <v/>
      </c>
      <c r="U813" s="7">
        <f>'1 datos preparados'!T806</f>
        <v/>
      </c>
      <c r="V813" s="8">
        <f>$AE$12+D813*$AE$13+E813*$AE$14+F813*$AE$15+G813*$AE$16+H813*$AE$17+I813*$AE$18+J813*$AE$19+K813*$AE$20+L813*$AE$21+M813*$AE$22+N813*$AE$23+O813*$AE$24+P813*$AE$25+Q813*$AE$26+R813*$AE$27+S813*$AE$28+T813*$AE$29+U813*$AE$30</f>
        <v/>
      </c>
      <c r="W813" s="8">
        <f>1/(1+EXP(-V813))</f>
        <v/>
      </c>
      <c r="X813" s="9">
        <f>-IF(C813=1,LN(W813),LN(1-W813))</f>
        <v/>
      </c>
      <c r="Y813" s="8">
        <f>IF(C813=1,$AE$32,$AE$33)</f>
        <v/>
      </c>
      <c r="Z813" s="9">
        <f>Y813*X813</f>
        <v/>
      </c>
      <c r="AA813" s="10">
        <f>IF(W813&gt;$AE$34,1,0)</f>
        <v/>
      </c>
      <c r="AB813">
        <f>IF(AA813=C813,1,0)</f>
        <v/>
      </c>
    </row>
    <row r="814">
      <c r="A814">
        <f>'1 datos preparados'!A807</f>
        <v/>
      </c>
      <c r="B814" s="5">
        <f>'1 datos preparados'!U807</f>
        <v/>
      </c>
      <c r="C814">
        <f>'1 datos preparados'!B807</f>
        <v/>
      </c>
      <c r="D814" s="7">
        <f>'1 datos preparados'!C807</f>
        <v/>
      </c>
      <c r="E814" s="7">
        <f>'1 datos preparados'!D807</f>
        <v/>
      </c>
      <c r="F814" s="7">
        <f>'1 datos preparados'!E807</f>
        <v/>
      </c>
      <c r="G814" s="7">
        <f>'1 datos preparados'!F807</f>
        <v/>
      </c>
      <c r="H814" s="7">
        <f>'1 datos preparados'!G807</f>
        <v/>
      </c>
      <c r="I814" s="7">
        <f>'1 datos preparados'!H807</f>
        <v/>
      </c>
      <c r="J814" s="7">
        <f>'1 datos preparados'!I807</f>
        <v/>
      </c>
      <c r="K814" s="7">
        <f>'1 datos preparados'!J807</f>
        <v/>
      </c>
      <c r="L814" s="7">
        <f>'1 datos preparados'!K807</f>
        <v/>
      </c>
      <c r="M814" s="7">
        <f>'1 datos preparados'!L807</f>
        <v/>
      </c>
      <c r="N814" s="7">
        <f>'1 datos preparados'!M807</f>
        <v/>
      </c>
      <c r="O814" s="7">
        <f>'1 datos preparados'!N807</f>
        <v/>
      </c>
      <c r="P814" s="7">
        <f>'1 datos preparados'!O807</f>
        <v/>
      </c>
      <c r="Q814" s="7">
        <f>'1 datos preparados'!P807</f>
        <v/>
      </c>
      <c r="R814" s="7">
        <f>'1 datos preparados'!Q807</f>
        <v/>
      </c>
      <c r="S814" s="7">
        <f>'1 datos preparados'!R807</f>
        <v/>
      </c>
      <c r="T814" s="7">
        <f>'1 datos preparados'!S807</f>
        <v/>
      </c>
      <c r="U814" s="7">
        <f>'1 datos preparados'!T807</f>
        <v/>
      </c>
      <c r="V814" s="8">
        <f>$AE$12+D814*$AE$13+E814*$AE$14+F814*$AE$15+G814*$AE$16+H814*$AE$17+I814*$AE$18+J814*$AE$19+K814*$AE$20+L814*$AE$21+M814*$AE$22+N814*$AE$23+O814*$AE$24+P814*$AE$25+Q814*$AE$26+R814*$AE$27+S814*$AE$28+T814*$AE$29+U814*$AE$30</f>
        <v/>
      </c>
      <c r="W814" s="8">
        <f>1/(1+EXP(-V814))</f>
        <v/>
      </c>
      <c r="X814" s="9">
        <f>-IF(C814=1,LN(W814),LN(1-W814))</f>
        <v/>
      </c>
      <c r="Y814" s="8">
        <f>IF(C814=1,$AE$32,$AE$33)</f>
        <v/>
      </c>
      <c r="Z814" s="9">
        <f>Y814*X814</f>
        <v/>
      </c>
      <c r="AA814" s="10">
        <f>IF(W814&gt;$AE$34,1,0)</f>
        <v/>
      </c>
      <c r="AB814">
        <f>IF(AA814=C814,1,0)</f>
        <v/>
      </c>
    </row>
    <row r="815">
      <c r="A815">
        <f>'1 datos preparados'!A808</f>
        <v/>
      </c>
      <c r="B815" s="5">
        <f>'1 datos preparados'!U808</f>
        <v/>
      </c>
      <c r="C815">
        <f>'1 datos preparados'!B808</f>
        <v/>
      </c>
      <c r="D815" s="7">
        <f>'1 datos preparados'!C808</f>
        <v/>
      </c>
      <c r="E815" s="7">
        <f>'1 datos preparados'!D808</f>
        <v/>
      </c>
      <c r="F815" s="7">
        <f>'1 datos preparados'!E808</f>
        <v/>
      </c>
      <c r="G815" s="7">
        <f>'1 datos preparados'!F808</f>
        <v/>
      </c>
      <c r="H815" s="7">
        <f>'1 datos preparados'!G808</f>
        <v/>
      </c>
      <c r="I815" s="7">
        <f>'1 datos preparados'!H808</f>
        <v/>
      </c>
      <c r="J815" s="7">
        <f>'1 datos preparados'!I808</f>
        <v/>
      </c>
      <c r="K815" s="7">
        <f>'1 datos preparados'!J808</f>
        <v/>
      </c>
      <c r="L815" s="7">
        <f>'1 datos preparados'!K808</f>
        <v/>
      </c>
      <c r="M815" s="7">
        <f>'1 datos preparados'!L808</f>
        <v/>
      </c>
      <c r="N815" s="7">
        <f>'1 datos preparados'!M808</f>
        <v/>
      </c>
      <c r="O815" s="7">
        <f>'1 datos preparados'!N808</f>
        <v/>
      </c>
      <c r="P815" s="7">
        <f>'1 datos preparados'!O808</f>
        <v/>
      </c>
      <c r="Q815" s="7">
        <f>'1 datos preparados'!P808</f>
        <v/>
      </c>
      <c r="R815" s="7">
        <f>'1 datos preparados'!Q808</f>
        <v/>
      </c>
      <c r="S815" s="7">
        <f>'1 datos preparados'!R808</f>
        <v/>
      </c>
      <c r="T815" s="7">
        <f>'1 datos preparados'!S808</f>
        <v/>
      </c>
      <c r="U815" s="7">
        <f>'1 datos preparados'!T808</f>
        <v/>
      </c>
      <c r="V815" s="8">
        <f>$AE$12+D815*$AE$13+E815*$AE$14+F815*$AE$15+G815*$AE$16+H815*$AE$17+I815*$AE$18+J815*$AE$19+K815*$AE$20+L815*$AE$21+M815*$AE$22+N815*$AE$23+O815*$AE$24+P815*$AE$25+Q815*$AE$26+R815*$AE$27+S815*$AE$28+T815*$AE$29+U815*$AE$30</f>
        <v/>
      </c>
      <c r="W815" s="8">
        <f>1/(1+EXP(-V815))</f>
        <v/>
      </c>
      <c r="X815" s="9">
        <f>-IF(C815=1,LN(W815),LN(1-W815))</f>
        <v/>
      </c>
      <c r="Y815" s="8">
        <f>IF(C815=1,$AE$32,$AE$33)</f>
        <v/>
      </c>
      <c r="Z815" s="9">
        <f>Y815*X815</f>
        <v/>
      </c>
      <c r="AA815" s="10">
        <f>IF(W815&gt;$AE$34,1,0)</f>
        <v/>
      </c>
      <c r="AB815">
        <f>IF(AA815=C815,1,0)</f>
        <v/>
      </c>
    </row>
    <row r="816">
      <c r="A816">
        <f>'1 datos preparados'!A809</f>
        <v/>
      </c>
      <c r="B816" s="5">
        <f>'1 datos preparados'!U809</f>
        <v/>
      </c>
      <c r="C816">
        <f>'1 datos preparados'!B809</f>
        <v/>
      </c>
      <c r="D816" s="7">
        <f>'1 datos preparados'!C809</f>
        <v/>
      </c>
      <c r="E816" s="7">
        <f>'1 datos preparados'!D809</f>
        <v/>
      </c>
      <c r="F816" s="7">
        <f>'1 datos preparados'!E809</f>
        <v/>
      </c>
      <c r="G816" s="7">
        <f>'1 datos preparados'!F809</f>
        <v/>
      </c>
      <c r="H816" s="7">
        <f>'1 datos preparados'!G809</f>
        <v/>
      </c>
      <c r="I816" s="7">
        <f>'1 datos preparados'!H809</f>
        <v/>
      </c>
      <c r="J816" s="7">
        <f>'1 datos preparados'!I809</f>
        <v/>
      </c>
      <c r="K816" s="7">
        <f>'1 datos preparados'!J809</f>
        <v/>
      </c>
      <c r="L816" s="7">
        <f>'1 datos preparados'!K809</f>
        <v/>
      </c>
      <c r="M816" s="7">
        <f>'1 datos preparados'!L809</f>
        <v/>
      </c>
      <c r="N816" s="7">
        <f>'1 datos preparados'!M809</f>
        <v/>
      </c>
      <c r="O816" s="7">
        <f>'1 datos preparados'!N809</f>
        <v/>
      </c>
      <c r="P816" s="7">
        <f>'1 datos preparados'!O809</f>
        <v/>
      </c>
      <c r="Q816" s="7">
        <f>'1 datos preparados'!P809</f>
        <v/>
      </c>
      <c r="R816" s="7">
        <f>'1 datos preparados'!Q809</f>
        <v/>
      </c>
      <c r="S816" s="7">
        <f>'1 datos preparados'!R809</f>
        <v/>
      </c>
      <c r="T816" s="7">
        <f>'1 datos preparados'!S809</f>
        <v/>
      </c>
      <c r="U816" s="7">
        <f>'1 datos preparados'!T809</f>
        <v/>
      </c>
      <c r="V816" s="8">
        <f>$AE$12+D816*$AE$13+E816*$AE$14+F816*$AE$15+G816*$AE$16+H816*$AE$17+I816*$AE$18+J816*$AE$19+K816*$AE$20+L816*$AE$21+M816*$AE$22+N816*$AE$23+O816*$AE$24+P816*$AE$25+Q816*$AE$26+R816*$AE$27+S816*$AE$28+T816*$AE$29+U816*$AE$30</f>
        <v/>
      </c>
      <c r="W816" s="8">
        <f>1/(1+EXP(-V816))</f>
        <v/>
      </c>
      <c r="X816" s="9">
        <f>-IF(C816=1,LN(W816),LN(1-W816))</f>
        <v/>
      </c>
      <c r="Y816" s="8">
        <f>IF(C816=1,$AE$32,$AE$33)</f>
        <v/>
      </c>
      <c r="Z816" s="9">
        <f>Y816*X816</f>
        <v/>
      </c>
      <c r="AA816" s="10">
        <f>IF(W816&gt;$AE$34,1,0)</f>
        <v/>
      </c>
      <c r="AB816">
        <f>IF(AA816=C816,1,0)</f>
        <v/>
      </c>
    </row>
    <row r="817">
      <c r="A817">
        <f>'1 datos preparados'!A810</f>
        <v/>
      </c>
      <c r="B817" s="5">
        <f>'1 datos preparados'!U810</f>
        <v/>
      </c>
      <c r="C817">
        <f>'1 datos preparados'!B810</f>
        <v/>
      </c>
      <c r="D817" s="7">
        <f>'1 datos preparados'!C810</f>
        <v/>
      </c>
      <c r="E817" s="7">
        <f>'1 datos preparados'!D810</f>
        <v/>
      </c>
      <c r="F817" s="7">
        <f>'1 datos preparados'!E810</f>
        <v/>
      </c>
      <c r="G817" s="7">
        <f>'1 datos preparados'!F810</f>
        <v/>
      </c>
      <c r="H817" s="7">
        <f>'1 datos preparados'!G810</f>
        <v/>
      </c>
      <c r="I817" s="7">
        <f>'1 datos preparados'!H810</f>
        <v/>
      </c>
      <c r="J817" s="7">
        <f>'1 datos preparados'!I810</f>
        <v/>
      </c>
      <c r="K817" s="7">
        <f>'1 datos preparados'!J810</f>
        <v/>
      </c>
      <c r="L817" s="7">
        <f>'1 datos preparados'!K810</f>
        <v/>
      </c>
      <c r="M817" s="7">
        <f>'1 datos preparados'!L810</f>
        <v/>
      </c>
      <c r="N817" s="7">
        <f>'1 datos preparados'!M810</f>
        <v/>
      </c>
      <c r="O817" s="7">
        <f>'1 datos preparados'!N810</f>
        <v/>
      </c>
      <c r="P817" s="7">
        <f>'1 datos preparados'!O810</f>
        <v/>
      </c>
      <c r="Q817" s="7">
        <f>'1 datos preparados'!P810</f>
        <v/>
      </c>
      <c r="R817" s="7">
        <f>'1 datos preparados'!Q810</f>
        <v/>
      </c>
      <c r="S817" s="7">
        <f>'1 datos preparados'!R810</f>
        <v/>
      </c>
      <c r="T817" s="7">
        <f>'1 datos preparados'!S810</f>
        <v/>
      </c>
      <c r="U817" s="7">
        <f>'1 datos preparados'!T810</f>
        <v/>
      </c>
      <c r="V817" s="8">
        <f>$AE$12+D817*$AE$13+E817*$AE$14+F817*$AE$15+G817*$AE$16+H817*$AE$17+I817*$AE$18+J817*$AE$19+K817*$AE$20+L817*$AE$21+M817*$AE$22+N817*$AE$23+O817*$AE$24+P817*$AE$25+Q817*$AE$26+R817*$AE$27+S817*$AE$28+T817*$AE$29+U817*$AE$30</f>
        <v/>
      </c>
      <c r="W817" s="8">
        <f>1/(1+EXP(-V817))</f>
        <v/>
      </c>
      <c r="X817" s="9">
        <f>-IF(C817=1,LN(W817),LN(1-W817))</f>
        <v/>
      </c>
      <c r="Y817" s="8">
        <f>IF(C817=1,$AE$32,$AE$33)</f>
        <v/>
      </c>
      <c r="Z817" s="9">
        <f>Y817*X817</f>
        <v/>
      </c>
      <c r="AA817" s="10">
        <f>IF(W817&gt;$AE$34,1,0)</f>
        <v/>
      </c>
      <c r="AB817">
        <f>IF(AA817=C817,1,0)</f>
        <v/>
      </c>
    </row>
    <row r="818">
      <c r="A818">
        <f>'1 datos preparados'!A811</f>
        <v/>
      </c>
      <c r="B818" s="5">
        <f>'1 datos preparados'!U811</f>
        <v/>
      </c>
      <c r="C818">
        <f>'1 datos preparados'!B811</f>
        <v/>
      </c>
      <c r="D818" s="7">
        <f>'1 datos preparados'!C811</f>
        <v/>
      </c>
      <c r="E818" s="7">
        <f>'1 datos preparados'!D811</f>
        <v/>
      </c>
      <c r="F818" s="7">
        <f>'1 datos preparados'!E811</f>
        <v/>
      </c>
      <c r="G818" s="7">
        <f>'1 datos preparados'!F811</f>
        <v/>
      </c>
      <c r="H818" s="7">
        <f>'1 datos preparados'!G811</f>
        <v/>
      </c>
      <c r="I818" s="7">
        <f>'1 datos preparados'!H811</f>
        <v/>
      </c>
      <c r="J818" s="7">
        <f>'1 datos preparados'!I811</f>
        <v/>
      </c>
      <c r="K818" s="7">
        <f>'1 datos preparados'!J811</f>
        <v/>
      </c>
      <c r="L818" s="7">
        <f>'1 datos preparados'!K811</f>
        <v/>
      </c>
      <c r="M818" s="7">
        <f>'1 datos preparados'!L811</f>
        <v/>
      </c>
      <c r="N818" s="7">
        <f>'1 datos preparados'!M811</f>
        <v/>
      </c>
      <c r="O818" s="7">
        <f>'1 datos preparados'!N811</f>
        <v/>
      </c>
      <c r="P818" s="7">
        <f>'1 datos preparados'!O811</f>
        <v/>
      </c>
      <c r="Q818" s="7">
        <f>'1 datos preparados'!P811</f>
        <v/>
      </c>
      <c r="R818" s="7">
        <f>'1 datos preparados'!Q811</f>
        <v/>
      </c>
      <c r="S818" s="7">
        <f>'1 datos preparados'!R811</f>
        <v/>
      </c>
      <c r="T818" s="7">
        <f>'1 datos preparados'!S811</f>
        <v/>
      </c>
      <c r="U818" s="7">
        <f>'1 datos preparados'!T811</f>
        <v/>
      </c>
      <c r="V818" s="8">
        <f>$AE$12+D818*$AE$13+E818*$AE$14+F818*$AE$15+G818*$AE$16+H818*$AE$17+I818*$AE$18+J818*$AE$19+K818*$AE$20+L818*$AE$21+M818*$AE$22+N818*$AE$23+O818*$AE$24+P818*$AE$25+Q818*$AE$26+R818*$AE$27+S818*$AE$28+T818*$AE$29+U818*$AE$30</f>
        <v/>
      </c>
      <c r="W818" s="8">
        <f>1/(1+EXP(-V818))</f>
        <v/>
      </c>
      <c r="X818" s="9">
        <f>-IF(C818=1,LN(W818),LN(1-W818))</f>
        <v/>
      </c>
      <c r="Y818" s="8">
        <f>IF(C818=1,$AE$32,$AE$33)</f>
        <v/>
      </c>
      <c r="Z818" s="9">
        <f>Y818*X818</f>
        <v/>
      </c>
      <c r="AA818" s="10">
        <f>IF(W818&gt;$AE$34,1,0)</f>
        <v/>
      </c>
      <c r="AB818">
        <f>IF(AA818=C818,1,0)</f>
        <v/>
      </c>
    </row>
    <row r="819">
      <c r="A819">
        <f>'1 datos preparados'!A812</f>
        <v/>
      </c>
      <c r="B819" s="5">
        <f>'1 datos preparados'!U812</f>
        <v/>
      </c>
      <c r="C819">
        <f>'1 datos preparados'!B812</f>
        <v/>
      </c>
      <c r="D819" s="7">
        <f>'1 datos preparados'!C812</f>
        <v/>
      </c>
      <c r="E819" s="7">
        <f>'1 datos preparados'!D812</f>
        <v/>
      </c>
      <c r="F819" s="7">
        <f>'1 datos preparados'!E812</f>
        <v/>
      </c>
      <c r="G819" s="7">
        <f>'1 datos preparados'!F812</f>
        <v/>
      </c>
      <c r="H819" s="7">
        <f>'1 datos preparados'!G812</f>
        <v/>
      </c>
      <c r="I819" s="7">
        <f>'1 datos preparados'!H812</f>
        <v/>
      </c>
      <c r="J819" s="7">
        <f>'1 datos preparados'!I812</f>
        <v/>
      </c>
      <c r="K819" s="7">
        <f>'1 datos preparados'!J812</f>
        <v/>
      </c>
      <c r="L819" s="7">
        <f>'1 datos preparados'!K812</f>
        <v/>
      </c>
      <c r="M819" s="7">
        <f>'1 datos preparados'!L812</f>
        <v/>
      </c>
      <c r="N819" s="7">
        <f>'1 datos preparados'!M812</f>
        <v/>
      </c>
      <c r="O819" s="7">
        <f>'1 datos preparados'!N812</f>
        <v/>
      </c>
      <c r="P819" s="7">
        <f>'1 datos preparados'!O812</f>
        <v/>
      </c>
      <c r="Q819" s="7">
        <f>'1 datos preparados'!P812</f>
        <v/>
      </c>
      <c r="R819" s="7">
        <f>'1 datos preparados'!Q812</f>
        <v/>
      </c>
      <c r="S819" s="7">
        <f>'1 datos preparados'!R812</f>
        <v/>
      </c>
      <c r="T819" s="7">
        <f>'1 datos preparados'!S812</f>
        <v/>
      </c>
      <c r="U819" s="7">
        <f>'1 datos preparados'!T812</f>
        <v/>
      </c>
      <c r="V819" s="8">
        <f>$AE$12+D819*$AE$13+E819*$AE$14+F819*$AE$15+G819*$AE$16+H819*$AE$17+I819*$AE$18+J819*$AE$19+K819*$AE$20+L819*$AE$21+M819*$AE$22+N819*$AE$23+O819*$AE$24+P819*$AE$25+Q819*$AE$26+R819*$AE$27+S819*$AE$28+T819*$AE$29+U819*$AE$30</f>
        <v/>
      </c>
      <c r="W819" s="8">
        <f>1/(1+EXP(-V819))</f>
        <v/>
      </c>
      <c r="X819" s="9">
        <f>-IF(C819=1,LN(W819),LN(1-W819))</f>
        <v/>
      </c>
      <c r="Y819" s="8">
        <f>IF(C819=1,$AE$32,$AE$33)</f>
        <v/>
      </c>
      <c r="Z819" s="9">
        <f>Y819*X819</f>
        <v/>
      </c>
      <c r="AA819" s="10">
        <f>IF(W819&gt;$AE$34,1,0)</f>
        <v/>
      </c>
      <c r="AB819">
        <f>IF(AA819=C819,1,0)</f>
        <v/>
      </c>
    </row>
    <row r="820">
      <c r="A820">
        <f>'1 datos preparados'!A813</f>
        <v/>
      </c>
      <c r="B820" s="5">
        <f>'1 datos preparados'!U813</f>
        <v/>
      </c>
      <c r="C820">
        <f>'1 datos preparados'!B813</f>
        <v/>
      </c>
      <c r="D820" s="7">
        <f>'1 datos preparados'!C813</f>
        <v/>
      </c>
      <c r="E820" s="7">
        <f>'1 datos preparados'!D813</f>
        <v/>
      </c>
      <c r="F820" s="7">
        <f>'1 datos preparados'!E813</f>
        <v/>
      </c>
      <c r="G820" s="7">
        <f>'1 datos preparados'!F813</f>
        <v/>
      </c>
      <c r="H820" s="7">
        <f>'1 datos preparados'!G813</f>
        <v/>
      </c>
      <c r="I820" s="7">
        <f>'1 datos preparados'!H813</f>
        <v/>
      </c>
      <c r="J820" s="7">
        <f>'1 datos preparados'!I813</f>
        <v/>
      </c>
      <c r="K820" s="7">
        <f>'1 datos preparados'!J813</f>
        <v/>
      </c>
      <c r="L820" s="7">
        <f>'1 datos preparados'!K813</f>
        <v/>
      </c>
      <c r="M820" s="7">
        <f>'1 datos preparados'!L813</f>
        <v/>
      </c>
      <c r="N820" s="7">
        <f>'1 datos preparados'!M813</f>
        <v/>
      </c>
      <c r="O820" s="7">
        <f>'1 datos preparados'!N813</f>
        <v/>
      </c>
      <c r="P820" s="7">
        <f>'1 datos preparados'!O813</f>
        <v/>
      </c>
      <c r="Q820" s="7">
        <f>'1 datos preparados'!P813</f>
        <v/>
      </c>
      <c r="R820" s="7">
        <f>'1 datos preparados'!Q813</f>
        <v/>
      </c>
      <c r="S820" s="7">
        <f>'1 datos preparados'!R813</f>
        <v/>
      </c>
      <c r="T820" s="7">
        <f>'1 datos preparados'!S813</f>
        <v/>
      </c>
      <c r="U820" s="7">
        <f>'1 datos preparados'!T813</f>
        <v/>
      </c>
      <c r="V820" s="8">
        <f>$AE$12+D820*$AE$13+E820*$AE$14+F820*$AE$15+G820*$AE$16+H820*$AE$17+I820*$AE$18+J820*$AE$19+K820*$AE$20+L820*$AE$21+M820*$AE$22+N820*$AE$23+O820*$AE$24+P820*$AE$25+Q820*$AE$26+R820*$AE$27+S820*$AE$28+T820*$AE$29+U820*$AE$30</f>
        <v/>
      </c>
      <c r="W820" s="8">
        <f>1/(1+EXP(-V820))</f>
        <v/>
      </c>
      <c r="X820" s="9">
        <f>-IF(C820=1,LN(W820),LN(1-W820))</f>
        <v/>
      </c>
      <c r="Y820" s="8">
        <f>IF(C820=1,$AE$32,$AE$33)</f>
        <v/>
      </c>
      <c r="Z820" s="9">
        <f>Y820*X820</f>
        <v/>
      </c>
      <c r="AA820" s="10">
        <f>IF(W820&gt;$AE$34,1,0)</f>
        <v/>
      </c>
      <c r="AB820">
        <f>IF(AA820=C820,1,0)</f>
        <v/>
      </c>
    </row>
    <row r="821">
      <c r="A821">
        <f>'1 datos preparados'!A814</f>
        <v/>
      </c>
      <c r="B821" s="5">
        <f>'1 datos preparados'!U814</f>
        <v/>
      </c>
      <c r="C821">
        <f>'1 datos preparados'!B814</f>
        <v/>
      </c>
      <c r="D821" s="7">
        <f>'1 datos preparados'!C814</f>
        <v/>
      </c>
      <c r="E821" s="7">
        <f>'1 datos preparados'!D814</f>
        <v/>
      </c>
      <c r="F821" s="7">
        <f>'1 datos preparados'!E814</f>
        <v/>
      </c>
      <c r="G821" s="7">
        <f>'1 datos preparados'!F814</f>
        <v/>
      </c>
      <c r="H821" s="7">
        <f>'1 datos preparados'!G814</f>
        <v/>
      </c>
      <c r="I821" s="7">
        <f>'1 datos preparados'!H814</f>
        <v/>
      </c>
      <c r="J821" s="7">
        <f>'1 datos preparados'!I814</f>
        <v/>
      </c>
      <c r="K821" s="7">
        <f>'1 datos preparados'!J814</f>
        <v/>
      </c>
      <c r="L821" s="7">
        <f>'1 datos preparados'!K814</f>
        <v/>
      </c>
      <c r="M821" s="7">
        <f>'1 datos preparados'!L814</f>
        <v/>
      </c>
      <c r="N821" s="7">
        <f>'1 datos preparados'!M814</f>
        <v/>
      </c>
      <c r="O821" s="7">
        <f>'1 datos preparados'!N814</f>
        <v/>
      </c>
      <c r="P821" s="7">
        <f>'1 datos preparados'!O814</f>
        <v/>
      </c>
      <c r="Q821" s="7">
        <f>'1 datos preparados'!P814</f>
        <v/>
      </c>
      <c r="R821" s="7">
        <f>'1 datos preparados'!Q814</f>
        <v/>
      </c>
      <c r="S821" s="7">
        <f>'1 datos preparados'!R814</f>
        <v/>
      </c>
      <c r="T821" s="7">
        <f>'1 datos preparados'!S814</f>
        <v/>
      </c>
      <c r="U821" s="7">
        <f>'1 datos preparados'!T814</f>
        <v/>
      </c>
      <c r="V821" s="8">
        <f>$AE$12+D821*$AE$13+E821*$AE$14+F821*$AE$15+G821*$AE$16+H821*$AE$17+I821*$AE$18+J821*$AE$19+K821*$AE$20+L821*$AE$21+M821*$AE$22+N821*$AE$23+O821*$AE$24+P821*$AE$25+Q821*$AE$26+R821*$AE$27+S821*$AE$28+T821*$AE$29+U821*$AE$30</f>
        <v/>
      </c>
      <c r="W821" s="8">
        <f>1/(1+EXP(-V821))</f>
        <v/>
      </c>
      <c r="X821" s="9">
        <f>-IF(C821=1,LN(W821),LN(1-W821))</f>
        <v/>
      </c>
      <c r="Y821" s="8">
        <f>IF(C821=1,$AE$32,$AE$33)</f>
        <v/>
      </c>
      <c r="Z821" s="9">
        <f>Y821*X821</f>
        <v/>
      </c>
      <c r="AA821" s="10">
        <f>IF(W821&gt;$AE$34,1,0)</f>
        <v/>
      </c>
      <c r="AB821">
        <f>IF(AA821=C821,1,0)</f>
        <v/>
      </c>
    </row>
    <row r="822">
      <c r="A822">
        <f>'1 datos preparados'!A815</f>
        <v/>
      </c>
      <c r="B822" s="5">
        <f>'1 datos preparados'!U815</f>
        <v/>
      </c>
      <c r="C822">
        <f>'1 datos preparados'!B815</f>
        <v/>
      </c>
      <c r="D822" s="7">
        <f>'1 datos preparados'!C815</f>
        <v/>
      </c>
      <c r="E822" s="7">
        <f>'1 datos preparados'!D815</f>
        <v/>
      </c>
      <c r="F822" s="7">
        <f>'1 datos preparados'!E815</f>
        <v/>
      </c>
      <c r="G822" s="7">
        <f>'1 datos preparados'!F815</f>
        <v/>
      </c>
      <c r="H822" s="7">
        <f>'1 datos preparados'!G815</f>
        <v/>
      </c>
      <c r="I822" s="7">
        <f>'1 datos preparados'!H815</f>
        <v/>
      </c>
      <c r="J822" s="7">
        <f>'1 datos preparados'!I815</f>
        <v/>
      </c>
      <c r="K822" s="7">
        <f>'1 datos preparados'!J815</f>
        <v/>
      </c>
      <c r="L822" s="7">
        <f>'1 datos preparados'!K815</f>
        <v/>
      </c>
      <c r="M822" s="7">
        <f>'1 datos preparados'!L815</f>
        <v/>
      </c>
      <c r="N822" s="7">
        <f>'1 datos preparados'!M815</f>
        <v/>
      </c>
      <c r="O822" s="7">
        <f>'1 datos preparados'!N815</f>
        <v/>
      </c>
      <c r="P822" s="7">
        <f>'1 datos preparados'!O815</f>
        <v/>
      </c>
      <c r="Q822" s="7">
        <f>'1 datos preparados'!P815</f>
        <v/>
      </c>
      <c r="R822" s="7">
        <f>'1 datos preparados'!Q815</f>
        <v/>
      </c>
      <c r="S822" s="7">
        <f>'1 datos preparados'!R815</f>
        <v/>
      </c>
      <c r="T822" s="7">
        <f>'1 datos preparados'!S815</f>
        <v/>
      </c>
      <c r="U822" s="7">
        <f>'1 datos preparados'!T815</f>
        <v/>
      </c>
      <c r="V822" s="8">
        <f>$AE$12+D822*$AE$13+E822*$AE$14+F822*$AE$15+G822*$AE$16+H822*$AE$17+I822*$AE$18+J822*$AE$19+K822*$AE$20+L822*$AE$21+M822*$AE$22+N822*$AE$23+O822*$AE$24+P822*$AE$25+Q822*$AE$26+R822*$AE$27+S822*$AE$28+T822*$AE$29+U822*$AE$30</f>
        <v/>
      </c>
      <c r="W822" s="8">
        <f>1/(1+EXP(-V822))</f>
        <v/>
      </c>
      <c r="X822" s="9">
        <f>-IF(C822=1,LN(W822),LN(1-W822))</f>
        <v/>
      </c>
      <c r="Y822" s="8">
        <f>IF(C822=1,$AE$32,$AE$33)</f>
        <v/>
      </c>
      <c r="Z822" s="9">
        <f>Y822*X822</f>
        <v/>
      </c>
      <c r="AA822" s="10">
        <f>IF(W822&gt;$AE$34,1,0)</f>
        <v/>
      </c>
      <c r="AB822">
        <f>IF(AA822=C822,1,0)</f>
        <v/>
      </c>
    </row>
    <row r="823">
      <c r="A823">
        <f>'1 datos preparados'!A816</f>
        <v/>
      </c>
      <c r="B823" s="5">
        <f>'1 datos preparados'!U816</f>
        <v/>
      </c>
      <c r="C823">
        <f>'1 datos preparados'!B816</f>
        <v/>
      </c>
      <c r="D823" s="7">
        <f>'1 datos preparados'!C816</f>
        <v/>
      </c>
      <c r="E823" s="7">
        <f>'1 datos preparados'!D816</f>
        <v/>
      </c>
      <c r="F823" s="7">
        <f>'1 datos preparados'!E816</f>
        <v/>
      </c>
      <c r="G823" s="7">
        <f>'1 datos preparados'!F816</f>
        <v/>
      </c>
      <c r="H823" s="7">
        <f>'1 datos preparados'!G816</f>
        <v/>
      </c>
      <c r="I823" s="7">
        <f>'1 datos preparados'!H816</f>
        <v/>
      </c>
      <c r="J823" s="7">
        <f>'1 datos preparados'!I816</f>
        <v/>
      </c>
      <c r="K823" s="7">
        <f>'1 datos preparados'!J816</f>
        <v/>
      </c>
      <c r="L823" s="7">
        <f>'1 datos preparados'!K816</f>
        <v/>
      </c>
      <c r="M823" s="7">
        <f>'1 datos preparados'!L816</f>
        <v/>
      </c>
      <c r="N823" s="7">
        <f>'1 datos preparados'!M816</f>
        <v/>
      </c>
      <c r="O823" s="7">
        <f>'1 datos preparados'!N816</f>
        <v/>
      </c>
      <c r="P823" s="7">
        <f>'1 datos preparados'!O816</f>
        <v/>
      </c>
      <c r="Q823" s="7">
        <f>'1 datos preparados'!P816</f>
        <v/>
      </c>
      <c r="R823" s="7">
        <f>'1 datos preparados'!Q816</f>
        <v/>
      </c>
      <c r="S823" s="7">
        <f>'1 datos preparados'!R816</f>
        <v/>
      </c>
      <c r="T823" s="7">
        <f>'1 datos preparados'!S816</f>
        <v/>
      </c>
      <c r="U823" s="7">
        <f>'1 datos preparados'!T816</f>
        <v/>
      </c>
      <c r="V823" s="8">
        <f>$AE$12+D823*$AE$13+E823*$AE$14+F823*$AE$15+G823*$AE$16+H823*$AE$17+I823*$AE$18+J823*$AE$19+K823*$AE$20+L823*$AE$21+M823*$AE$22+N823*$AE$23+O823*$AE$24+P823*$AE$25+Q823*$AE$26+R823*$AE$27+S823*$AE$28+T823*$AE$29+U823*$AE$30</f>
        <v/>
      </c>
      <c r="W823" s="8">
        <f>1/(1+EXP(-V823))</f>
        <v/>
      </c>
      <c r="X823" s="9">
        <f>-IF(C823=1,LN(W823),LN(1-W823))</f>
        <v/>
      </c>
      <c r="Y823" s="8">
        <f>IF(C823=1,$AE$32,$AE$33)</f>
        <v/>
      </c>
      <c r="Z823" s="9">
        <f>Y823*X823</f>
        <v/>
      </c>
      <c r="AA823" s="10">
        <f>IF(W823&gt;$AE$34,1,0)</f>
        <v/>
      </c>
      <c r="AB823">
        <f>IF(AA823=C823,1,0)</f>
        <v/>
      </c>
    </row>
    <row r="824">
      <c r="A824">
        <f>'1 datos preparados'!A817</f>
        <v/>
      </c>
      <c r="B824" s="5">
        <f>'1 datos preparados'!U817</f>
        <v/>
      </c>
      <c r="C824">
        <f>'1 datos preparados'!B817</f>
        <v/>
      </c>
      <c r="D824" s="7">
        <f>'1 datos preparados'!C817</f>
        <v/>
      </c>
      <c r="E824" s="7">
        <f>'1 datos preparados'!D817</f>
        <v/>
      </c>
      <c r="F824" s="7">
        <f>'1 datos preparados'!E817</f>
        <v/>
      </c>
      <c r="G824" s="7">
        <f>'1 datos preparados'!F817</f>
        <v/>
      </c>
      <c r="H824" s="7">
        <f>'1 datos preparados'!G817</f>
        <v/>
      </c>
      <c r="I824" s="7">
        <f>'1 datos preparados'!H817</f>
        <v/>
      </c>
      <c r="J824" s="7">
        <f>'1 datos preparados'!I817</f>
        <v/>
      </c>
      <c r="K824" s="7">
        <f>'1 datos preparados'!J817</f>
        <v/>
      </c>
      <c r="L824" s="7">
        <f>'1 datos preparados'!K817</f>
        <v/>
      </c>
      <c r="M824" s="7">
        <f>'1 datos preparados'!L817</f>
        <v/>
      </c>
      <c r="N824" s="7">
        <f>'1 datos preparados'!M817</f>
        <v/>
      </c>
      <c r="O824" s="7">
        <f>'1 datos preparados'!N817</f>
        <v/>
      </c>
      <c r="P824" s="7">
        <f>'1 datos preparados'!O817</f>
        <v/>
      </c>
      <c r="Q824" s="7">
        <f>'1 datos preparados'!P817</f>
        <v/>
      </c>
      <c r="R824" s="7">
        <f>'1 datos preparados'!Q817</f>
        <v/>
      </c>
      <c r="S824" s="7">
        <f>'1 datos preparados'!R817</f>
        <v/>
      </c>
      <c r="T824" s="7">
        <f>'1 datos preparados'!S817</f>
        <v/>
      </c>
      <c r="U824" s="7">
        <f>'1 datos preparados'!T817</f>
        <v/>
      </c>
      <c r="V824" s="8">
        <f>$AE$12+D824*$AE$13+E824*$AE$14+F824*$AE$15+G824*$AE$16+H824*$AE$17+I824*$AE$18+J824*$AE$19+K824*$AE$20+L824*$AE$21+M824*$AE$22+N824*$AE$23+O824*$AE$24+P824*$AE$25+Q824*$AE$26+R824*$AE$27+S824*$AE$28+T824*$AE$29+U824*$AE$30</f>
        <v/>
      </c>
      <c r="W824" s="8">
        <f>1/(1+EXP(-V824))</f>
        <v/>
      </c>
      <c r="X824" s="9">
        <f>-IF(C824=1,LN(W824),LN(1-W824))</f>
        <v/>
      </c>
      <c r="Y824" s="8">
        <f>IF(C824=1,$AE$32,$AE$33)</f>
        <v/>
      </c>
      <c r="Z824" s="9">
        <f>Y824*X824</f>
        <v/>
      </c>
      <c r="AA824" s="10">
        <f>IF(W824&gt;$AE$34,1,0)</f>
        <v/>
      </c>
      <c r="AB824">
        <f>IF(AA824=C824,1,0)</f>
        <v/>
      </c>
    </row>
    <row r="825">
      <c r="A825">
        <f>'1 datos preparados'!A818</f>
        <v/>
      </c>
      <c r="B825" s="5">
        <f>'1 datos preparados'!U818</f>
        <v/>
      </c>
      <c r="C825">
        <f>'1 datos preparados'!B818</f>
        <v/>
      </c>
      <c r="D825" s="7">
        <f>'1 datos preparados'!C818</f>
        <v/>
      </c>
      <c r="E825" s="7">
        <f>'1 datos preparados'!D818</f>
        <v/>
      </c>
      <c r="F825" s="7">
        <f>'1 datos preparados'!E818</f>
        <v/>
      </c>
      <c r="G825" s="7">
        <f>'1 datos preparados'!F818</f>
        <v/>
      </c>
      <c r="H825" s="7">
        <f>'1 datos preparados'!G818</f>
        <v/>
      </c>
      <c r="I825" s="7">
        <f>'1 datos preparados'!H818</f>
        <v/>
      </c>
      <c r="J825" s="7">
        <f>'1 datos preparados'!I818</f>
        <v/>
      </c>
      <c r="K825" s="7">
        <f>'1 datos preparados'!J818</f>
        <v/>
      </c>
      <c r="L825" s="7">
        <f>'1 datos preparados'!K818</f>
        <v/>
      </c>
      <c r="M825" s="7">
        <f>'1 datos preparados'!L818</f>
        <v/>
      </c>
      <c r="N825" s="7">
        <f>'1 datos preparados'!M818</f>
        <v/>
      </c>
      <c r="O825" s="7">
        <f>'1 datos preparados'!N818</f>
        <v/>
      </c>
      <c r="P825" s="7">
        <f>'1 datos preparados'!O818</f>
        <v/>
      </c>
      <c r="Q825" s="7">
        <f>'1 datos preparados'!P818</f>
        <v/>
      </c>
      <c r="R825" s="7">
        <f>'1 datos preparados'!Q818</f>
        <v/>
      </c>
      <c r="S825" s="7">
        <f>'1 datos preparados'!R818</f>
        <v/>
      </c>
      <c r="T825" s="7">
        <f>'1 datos preparados'!S818</f>
        <v/>
      </c>
      <c r="U825" s="7">
        <f>'1 datos preparados'!T818</f>
        <v/>
      </c>
      <c r="V825" s="8">
        <f>$AE$12+D825*$AE$13+E825*$AE$14+F825*$AE$15+G825*$AE$16+H825*$AE$17+I825*$AE$18+J825*$AE$19+K825*$AE$20+L825*$AE$21+M825*$AE$22+N825*$AE$23+O825*$AE$24+P825*$AE$25+Q825*$AE$26+R825*$AE$27+S825*$AE$28+T825*$AE$29+U825*$AE$30</f>
        <v/>
      </c>
      <c r="W825" s="8">
        <f>1/(1+EXP(-V825))</f>
        <v/>
      </c>
      <c r="X825" s="9">
        <f>-IF(C825=1,LN(W825),LN(1-W825))</f>
        <v/>
      </c>
      <c r="Y825" s="8">
        <f>IF(C825=1,$AE$32,$AE$33)</f>
        <v/>
      </c>
      <c r="Z825" s="9">
        <f>Y825*X825</f>
        <v/>
      </c>
      <c r="AA825" s="10">
        <f>IF(W825&gt;$AE$34,1,0)</f>
        <v/>
      </c>
      <c r="AB825">
        <f>IF(AA825=C825,1,0)</f>
        <v/>
      </c>
    </row>
    <row r="826">
      <c r="A826">
        <f>'1 datos preparados'!A819</f>
        <v/>
      </c>
      <c r="B826" s="5">
        <f>'1 datos preparados'!U819</f>
        <v/>
      </c>
      <c r="C826">
        <f>'1 datos preparados'!B819</f>
        <v/>
      </c>
      <c r="D826" s="7">
        <f>'1 datos preparados'!C819</f>
        <v/>
      </c>
      <c r="E826" s="7">
        <f>'1 datos preparados'!D819</f>
        <v/>
      </c>
      <c r="F826" s="7">
        <f>'1 datos preparados'!E819</f>
        <v/>
      </c>
      <c r="G826" s="7">
        <f>'1 datos preparados'!F819</f>
        <v/>
      </c>
      <c r="H826" s="7">
        <f>'1 datos preparados'!G819</f>
        <v/>
      </c>
      <c r="I826" s="7">
        <f>'1 datos preparados'!H819</f>
        <v/>
      </c>
      <c r="J826" s="7">
        <f>'1 datos preparados'!I819</f>
        <v/>
      </c>
      <c r="K826" s="7">
        <f>'1 datos preparados'!J819</f>
        <v/>
      </c>
      <c r="L826" s="7">
        <f>'1 datos preparados'!K819</f>
        <v/>
      </c>
      <c r="M826" s="7">
        <f>'1 datos preparados'!L819</f>
        <v/>
      </c>
      <c r="N826" s="7">
        <f>'1 datos preparados'!M819</f>
        <v/>
      </c>
      <c r="O826" s="7">
        <f>'1 datos preparados'!N819</f>
        <v/>
      </c>
      <c r="P826" s="7">
        <f>'1 datos preparados'!O819</f>
        <v/>
      </c>
      <c r="Q826" s="7">
        <f>'1 datos preparados'!P819</f>
        <v/>
      </c>
      <c r="R826" s="7">
        <f>'1 datos preparados'!Q819</f>
        <v/>
      </c>
      <c r="S826" s="7">
        <f>'1 datos preparados'!R819</f>
        <v/>
      </c>
      <c r="T826" s="7">
        <f>'1 datos preparados'!S819</f>
        <v/>
      </c>
      <c r="U826" s="7">
        <f>'1 datos preparados'!T819</f>
        <v/>
      </c>
      <c r="V826" s="8">
        <f>$AE$12+D826*$AE$13+E826*$AE$14+F826*$AE$15+G826*$AE$16+H826*$AE$17+I826*$AE$18+J826*$AE$19+K826*$AE$20+L826*$AE$21+M826*$AE$22+N826*$AE$23+O826*$AE$24+P826*$AE$25+Q826*$AE$26+R826*$AE$27+S826*$AE$28+T826*$AE$29+U826*$AE$30</f>
        <v/>
      </c>
      <c r="W826" s="8">
        <f>1/(1+EXP(-V826))</f>
        <v/>
      </c>
      <c r="X826" s="9">
        <f>-IF(C826=1,LN(W826),LN(1-W826))</f>
        <v/>
      </c>
      <c r="Y826" s="8">
        <f>IF(C826=1,$AE$32,$AE$33)</f>
        <v/>
      </c>
      <c r="Z826" s="9">
        <f>Y826*X826</f>
        <v/>
      </c>
      <c r="AA826" s="10">
        <f>IF(W826&gt;$AE$34,1,0)</f>
        <v/>
      </c>
      <c r="AB826">
        <f>IF(AA826=C826,1,0)</f>
        <v/>
      </c>
    </row>
    <row r="827">
      <c r="A827">
        <f>'1 datos preparados'!A820</f>
        <v/>
      </c>
      <c r="B827" s="5">
        <f>'1 datos preparados'!U820</f>
        <v/>
      </c>
      <c r="C827">
        <f>'1 datos preparados'!B820</f>
        <v/>
      </c>
      <c r="D827" s="7">
        <f>'1 datos preparados'!C820</f>
        <v/>
      </c>
      <c r="E827" s="7">
        <f>'1 datos preparados'!D820</f>
        <v/>
      </c>
      <c r="F827" s="7">
        <f>'1 datos preparados'!E820</f>
        <v/>
      </c>
      <c r="G827" s="7">
        <f>'1 datos preparados'!F820</f>
        <v/>
      </c>
      <c r="H827" s="7">
        <f>'1 datos preparados'!G820</f>
        <v/>
      </c>
      <c r="I827" s="7">
        <f>'1 datos preparados'!H820</f>
        <v/>
      </c>
      <c r="J827" s="7">
        <f>'1 datos preparados'!I820</f>
        <v/>
      </c>
      <c r="K827" s="7">
        <f>'1 datos preparados'!J820</f>
        <v/>
      </c>
      <c r="L827" s="7">
        <f>'1 datos preparados'!K820</f>
        <v/>
      </c>
      <c r="M827" s="7">
        <f>'1 datos preparados'!L820</f>
        <v/>
      </c>
      <c r="N827" s="7">
        <f>'1 datos preparados'!M820</f>
        <v/>
      </c>
      <c r="O827" s="7">
        <f>'1 datos preparados'!N820</f>
        <v/>
      </c>
      <c r="P827" s="7">
        <f>'1 datos preparados'!O820</f>
        <v/>
      </c>
      <c r="Q827" s="7">
        <f>'1 datos preparados'!P820</f>
        <v/>
      </c>
      <c r="R827" s="7">
        <f>'1 datos preparados'!Q820</f>
        <v/>
      </c>
      <c r="S827" s="7">
        <f>'1 datos preparados'!R820</f>
        <v/>
      </c>
      <c r="T827" s="7">
        <f>'1 datos preparados'!S820</f>
        <v/>
      </c>
      <c r="U827" s="7">
        <f>'1 datos preparados'!T820</f>
        <v/>
      </c>
      <c r="V827" s="8">
        <f>$AE$12+D827*$AE$13+E827*$AE$14+F827*$AE$15+G827*$AE$16+H827*$AE$17+I827*$AE$18+J827*$AE$19+K827*$AE$20+L827*$AE$21+M827*$AE$22+N827*$AE$23+O827*$AE$24+P827*$AE$25+Q827*$AE$26+R827*$AE$27+S827*$AE$28+T827*$AE$29+U827*$AE$30</f>
        <v/>
      </c>
      <c r="W827" s="8">
        <f>1/(1+EXP(-V827))</f>
        <v/>
      </c>
      <c r="X827" s="9">
        <f>-IF(C827=1,LN(W827),LN(1-W827))</f>
        <v/>
      </c>
      <c r="Y827" s="8">
        <f>IF(C827=1,$AE$32,$AE$33)</f>
        <v/>
      </c>
      <c r="Z827" s="9">
        <f>Y827*X827</f>
        <v/>
      </c>
      <c r="AA827" s="10">
        <f>IF(W827&gt;$AE$34,1,0)</f>
        <v/>
      </c>
      <c r="AB827">
        <f>IF(AA827=C827,1,0)</f>
        <v/>
      </c>
    </row>
    <row r="828">
      <c r="A828">
        <f>'1 datos preparados'!A821</f>
        <v/>
      </c>
      <c r="B828" s="5">
        <f>'1 datos preparados'!U821</f>
        <v/>
      </c>
      <c r="C828">
        <f>'1 datos preparados'!B821</f>
        <v/>
      </c>
      <c r="D828" s="7">
        <f>'1 datos preparados'!C821</f>
        <v/>
      </c>
      <c r="E828" s="7">
        <f>'1 datos preparados'!D821</f>
        <v/>
      </c>
      <c r="F828" s="7">
        <f>'1 datos preparados'!E821</f>
        <v/>
      </c>
      <c r="G828" s="7">
        <f>'1 datos preparados'!F821</f>
        <v/>
      </c>
      <c r="H828" s="7">
        <f>'1 datos preparados'!G821</f>
        <v/>
      </c>
      <c r="I828" s="7">
        <f>'1 datos preparados'!H821</f>
        <v/>
      </c>
      <c r="J828" s="7">
        <f>'1 datos preparados'!I821</f>
        <v/>
      </c>
      <c r="K828" s="7">
        <f>'1 datos preparados'!J821</f>
        <v/>
      </c>
      <c r="L828" s="7">
        <f>'1 datos preparados'!K821</f>
        <v/>
      </c>
      <c r="M828" s="7">
        <f>'1 datos preparados'!L821</f>
        <v/>
      </c>
      <c r="N828" s="7">
        <f>'1 datos preparados'!M821</f>
        <v/>
      </c>
      <c r="O828" s="7">
        <f>'1 datos preparados'!N821</f>
        <v/>
      </c>
      <c r="P828" s="7">
        <f>'1 datos preparados'!O821</f>
        <v/>
      </c>
      <c r="Q828" s="7">
        <f>'1 datos preparados'!P821</f>
        <v/>
      </c>
      <c r="R828" s="7">
        <f>'1 datos preparados'!Q821</f>
        <v/>
      </c>
      <c r="S828" s="7">
        <f>'1 datos preparados'!R821</f>
        <v/>
      </c>
      <c r="T828" s="7">
        <f>'1 datos preparados'!S821</f>
        <v/>
      </c>
      <c r="U828" s="7">
        <f>'1 datos preparados'!T821</f>
        <v/>
      </c>
      <c r="V828" s="8">
        <f>$AE$12+D828*$AE$13+E828*$AE$14+F828*$AE$15+G828*$AE$16+H828*$AE$17+I828*$AE$18+J828*$AE$19+K828*$AE$20+L828*$AE$21+M828*$AE$22+N828*$AE$23+O828*$AE$24+P828*$AE$25+Q828*$AE$26+R828*$AE$27+S828*$AE$28+T828*$AE$29+U828*$AE$30</f>
        <v/>
      </c>
      <c r="W828" s="8">
        <f>1/(1+EXP(-V828))</f>
        <v/>
      </c>
      <c r="X828" s="9">
        <f>-IF(C828=1,LN(W828),LN(1-W828))</f>
        <v/>
      </c>
      <c r="Y828" s="8">
        <f>IF(C828=1,$AE$32,$AE$33)</f>
        <v/>
      </c>
      <c r="Z828" s="9">
        <f>Y828*X828</f>
        <v/>
      </c>
      <c r="AA828" s="10">
        <f>IF(W828&gt;$AE$34,1,0)</f>
        <v/>
      </c>
      <c r="AB828">
        <f>IF(AA828=C828,1,0)</f>
        <v/>
      </c>
    </row>
    <row r="829">
      <c r="A829">
        <f>'1 datos preparados'!A822</f>
        <v/>
      </c>
      <c r="B829" s="5">
        <f>'1 datos preparados'!U822</f>
        <v/>
      </c>
      <c r="C829">
        <f>'1 datos preparados'!B822</f>
        <v/>
      </c>
      <c r="D829" s="7">
        <f>'1 datos preparados'!C822</f>
        <v/>
      </c>
      <c r="E829" s="7">
        <f>'1 datos preparados'!D822</f>
        <v/>
      </c>
      <c r="F829" s="7">
        <f>'1 datos preparados'!E822</f>
        <v/>
      </c>
      <c r="G829" s="7">
        <f>'1 datos preparados'!F822</f>
        <v/>
      </c>
      <c r="H829" s="7">
        <f>'1 datos preparados'!G822</f>
        <v/>
      </c>
      <c r="I829" s="7">
        <f>'1 datos preparados'!H822</f>
        <v/>
      </c>
      <c r="J829" s="7">
        <f>'1 datos preparados'!I822</f>
        <v/>
      </c>
      <c r="K829" s="7">
        <f>'1 datos preparados'!J822</f>
        <v/>
      </c>
      <c r="L829" s="7">
        <f>'1 datos preparados'!K822</f>
        <v/>
      </c>
      <c r="M829" s="7">
        <f>'1 datos preparados'!L822</f>
        <v/>
      </c>
      <c r="N829" s="7">
        <f>'1 datos preparados'!M822</f>
        <v/>
      </c>
      <c r="O829" s="7">
        <f>'1 datos preparados'!N822</f>
        <v/>
      </c>
      <c r="P829" s="7">
        <f>'1 datos preparados'!O822</f>
        <v/>
      </c>
      <c r="Q829" s="7">
        <f>'1 datos preparados'!P822</f>
        <v/>
      </c>
      <c r="R829" s="7">
        <f>'1 datos preparados'!Q822</f>
        <v/>
      </c>
      <c r="S829" s="7">
        <f>'1 datos preparados'!R822</f>
        <v/>
      </c>
      <c r="T829" s="7">
        <f>'1 datos preparados'!S822</f>
        <v/>
      </c>
      <c r="U829" s="7">
        <f>'1 datos preparados'!T822</f>
        <v/>
      </c>
      <c r="V829" s="8">
        <f>$AE$12+D829*$AE$13+E829*$AE$14+F829*$AE$15+G829*$AE$16+H829*$AE$17+I829*$AE$18+J829*$AE$19+K829*$AE$20+L829*$AE$21+M829*$AE$22+N829*$AE$23+O829*$AE$24+P829*$AE$25+Q829*$AE$26+R829*$AE$27+S829*$AE$28+T829*$AE$29+U829*$AE$30</f>
        <v/>
      </c>
      <c r="W829" s="8">
        <f>1/(1+EXP(-V829))</f>
        <v/>
      </c>
      <c r="X829" s="9">
        <f>-IF(C829=1,LN(W829),LN(1-W829))</f>
        <v/>
      </c>
      <c r="Y829" s="8">
        <f>IF(C829=1,$AE$32,$AE$33)</f>
        <v/>
      </c>
      <c r="Z829" s="9">
        <f>Y829*X829</f>
        <v/>
      </c>
      <c r="AA829" s="10">
        <f>IF(W829&gt;$AE$34,1,0)</f>
        <v/>
      </c>
      <c r="AB829">
        <f>IF(AA829=C829,1,0)</f>
        <v/>
      </c>
    </row>
    <row r="830">
      <c r="A830">
        <f>'1 datos preparados'!A823</f>
        <v/>
      </c>
      <c r="B830" s="5">
        <f>'1 datos preparados'!U823</f>
        <v/>
      </c>
      <c r="C830">
        <f>'1 datos preparados'!B823</f>
        <v/>
      </c>
      <c r="D830" s="7">
        <f>'1 datos preparados'!C823</f>
        <v/>
      </c>
      <c r="E830" s="7">
        <f>'1 datos preparados'!D823</f>
        <v/>
      </c>
      <c r="F830" s="7">
        <f>'1 datos preparados'!E823</f>
        <v/>
      </c>
      <c r="G830" s="7">
        <f>'1 datos preparados'!F823</f>
        <v/>
      </c>
      <c r="H830" s="7">
        <f>'1 datos preparados'!G823</f>
        <v/>
      </c>
      <c r="I830" s="7">
        <f>'1 datos preparados'!H823</f>
        <v/>
      </c>
      <c r="J830" s="7">
        <f>'1 datos preparados'!I823</f>
        <v/>
      </c>
      <c r="K830" s="7">
        <f>'1 datos preparados'!J823</f>
        <v/>
      </c>
      <c r="L830" s="7">
        <f>'1 datos preparados'!K823</f>
        <v/>
      </c>
      <c r="M830" s="7">
        <f>'1 datos preparados'!L823</f>
        <v/>
      </c>
      <c r="N830" s="7">
        <f>'1 datos preparados'!M823</f>
        <v/>
      </c>
      <c r="O830" s="7">
        <f>'1 datos preparados'!N823</f>
        <v/>
      </c>
      <c r="P830" s="7">
        <f>'1 datos preparados'!O823</f>
        <v/>
      </c>
      <c r="Q830" s="7">
        <f>'1 datos preparados'!P823</f>
        <v/>
      </c>
      <c r="R830" s="7">
        <f>'1 datos preparados'!Q823</f>
        <v/>
      </c>
      <c r="S830" s="7">
        <f>'1 datos preparados'!R823</f>
        <v/>
      </c>
      <c r="T830" s="7">
        <f>'1 datos preparados'!S823</f>
        <v/>
      </c>
      <c r="U830" s="7">
        <f>'1 datos preparados'!T823</f>
        <v/>
      </c>
      <c r="V830" s="8">
        <f>$AE$12+D830*$AE$13+E830*$AE$14+F830*$AE$15+G830*$AE$16+H830*$AE$17+I830*$AE$18+J830*$AE$19+K830*$AE$20+L830*$AE$21+M830*$AE$22+N830*$AE$23+O830*$AE$24+P830*$AE$25+Q830*$AE$26+R830*$AE$27+S830*$AE$28+T830*$AE$29+U830*$AE$30</f>
        <v/>
      </c>
      <c r="W830" s="8">
        <f>1/(1+EXP(-V830))</f>
        <v/>
      </c>
      <c r="X830" s="9">
        <f>-IF(C830=1,LN(W830),LN(1-W830))</f>
        <v/>
      </c>
      <c r="Y830" s="8">
        <f>IF(C830=1,$AE$32,$AE$33)</f>
        <v/>
      </c>
      <c r="Z830" s="9">
        <f>Y830*X830</f>
        <v/>
      </c>
      <c r="AA830" s="10">
        <f>IF(W830&gt;$AE$34,1,0)</f>
        <v/>
      </c>
      <c r="AB830">
        <f>IF(AA830=C830,1,0)</f>
        <v/>
      </c>
    </row>
    <row r="831">
      <c r="A831">
        <f>'1 datos preparados'!A824</f>
        <v/>
      </c>
      <c r="B831" s="5">
        <f>'1 datos preparados'!U824</f>
        <v/>
      </c>
      <c r="C831">
        <f>'1 datos preparados'!B824</f>
        <v/>
      </c>
      <c r="D831" s="7">
        <f>'1 datos preparados'!C824</f>
        <v/>
      </c>
      <c r="E831" s="7">
        <f>'1 datos preparados'!D824</f>
        <v/>
      </c>
      <c r="F831" s="7">
        <f>'1 datos preparados'!E824</f>
        <v/>
      </c>
      <c r="G831" s="7">
        <f>'1 datos preparados'!F824</f>
        <v/>
      </c>
      <c r="H831" s="7">
        <f>'1 datos preparados'!G824</f>
        <v/>
      </c>
      <c r="I831" s="7">
        <f>'1 datos preparados'!H824</f>
        <v/>
      </c>
      <c r="J831" s="7">
        <f>'1 datos preparados'!I824</f>
        <v/>
      </c>
      <c r="K831" s="7">
        <f>'1 datos preparados'!J824</f>
        <v/>
      </c>
      <c r="L831" s="7">
        <f>'1 datos preparados'!K824</f>
        <v/>
      </c>
      <c r="M831" s="7">
        <f>'1 datos preparados'!L824</f>
        <v/>
      </c>
      <c r="N831" s="7">
        <f>'1 datos preparados'!M824</f>
        <v/>
      </c>
      <c r="O831" s="7">
        <f>'1 datos preparados'!N824</f>
        <v/>
      </c>
      <c r="P831" s="7">
        <f>'1 datos preparados'!O824</f>
        <v/>
      </c>
      <c r="Q831" s="7">
        <f>'1 datos preparados'!P824</f>
        <v/>
      </c>
      <c r="R831" s="7">
        <f>'1 datos preparados'!Q824</f>
        <v/>
      </c>
      <c r="S831" s="7">
        <f>'1 datos preparados'!R824</f>
        <v/>
      </c>
      <c r="T831" s="7">
        <f>'1 datos preparados'!S824</f>
        <v/>
      </c>
      <c r="U831" s="7">
        <f>'1 datos preparados'!T824</f>
        <v/>
      </c>
      <c r="V831" s="8">
        <f>$AE$12+D831*$AE$13+E831*$AE$14+F831*$AE$15+G831*$AE$16+H831*$AE$17+I831*$AE$18+J831*$AE$19+K831*$AE$20+L831*$AE$21+M831*$AE$22+N831*$AE$23+O831*$AE$24+P831*$AE$25+Q831*$AE$26+R831*$AE$27+S831*$AE$28+T831*$AE$29+U831*$AE$30</f>
        <v/>
      </c>
      <c r="W831" s="8">
        <f>1/(1+EXP(-V831))</f>
        <v/>
      </c>
      <c r="X831" s="9">
        <f>-IF(C831=1,LN(W831),LN(1-W831))</f>
        <v/>
      </c>
      <c r="Y831" s="8">
        <f>IF(C831=1,$AE$32,$AE$33)</f>
        <v/>
      </c>
      <c r="Z831" s="9">
        <f>Y831*X831</f>
        <v/>
      </c>
      <c r="AA831" s="10">
        <f>IF(W831&gt;$AE$34,1,0)</f>
        <v/>
      </c>
      <c r="AB831">
        <f>IF(AA831=C831,1,0)</f>
        <v/>
      </c>
    </row>
    <row r="832">
      <c r="A832">
        <f>'1 datos preparados'!A825</f>
        <v/>
      </c>
      <c r="B832" s="5">
        <f>'1 datos preparados'!U825</f>
        <v/>
      </c>
      <c r="C832">
        <f>'1 datos preparados'!B825</f>
        <v/>
      </c>
      <c r="D832" s="7">
        <f>'1 datos preparados'!C825</f>
        <v/>
      </c>
      <c r="E832" s="7">
        <f>'1 datos preparados'!D825</f>
        <v/>
      </c>
      <c r="F832" s="7">
        <f>'1 datos preparados'!E825</f>
        <v/>
      </c>
      <c r="G832" s="7">
        <f>'1 datos preparados'!F825</f>
        <v/>
      </c>
      <c r="H832" s="7">
        <f>'1 datos preparados'!G825</f>
        <v/>
      </c>
      <c r="I832" s="7">
        <f>'1 datos preparados'!H825</f>
        <v/>
      </c>
      <c r="J832" s="7">
        <f>'1 datos preparados'!I825</f>
        <v/>
      </c>
      <c r="K832" s="7">
        <f>'1 datos preparados'!J825</f>
        <v/>
      </c>
      <c r="L832" s="7">
        <f>'1 datos preparados'!K825</f>
        <v/>
      </c>
      <c r="M832" s="7">
        <f>'1 datos preparados'!L825</f>
        <v/>
      </c>
      <c r="N832" s="7">
        <f>'1 datos preparados'!M825</f>
        <v/>
      </c>
      <c r="O832" s="7">
        <f>'1 datos preparados'!N825</f>
        <v/>
      </c>
      <c r="P832" s="7">
        <f>'1 datos preparados'!O825</f>
        <v/>
      </c>
      <c r="Q832" s="7">
        <f>'1 datos preparados'!P825</f>
        <v/>
      </c>
      <c r="R832" s="7">
        <f>'1 datos preparados'!Q825</f>
        <v/>
      </c>
      <c r="S832" s="7">
        <f>'1 datos preparados'!R825</f>
        <v/>
      </c>
      <c r="T832" s="7">
        <f>'1 datos preparados'!S825</f>
        <v/>
      </c>
      <c r="U832" s="7">
        <f>'1 datos preparados'!T825</f>
        <v/>
      </c>
      <c r="V832" s="8">
        <f>$AE$12+D832*$AE$13+E832*$AE$14+F832*$AE$15+G832*$AE$16+H832*$AE$17+I832*$AE$18+J832*$AE$19+K832*$AE$20+L832*$AE$21+M832*$AE$22+N832*$AE$23+O832*$AE$24+P832*$AE$25+Q832*$AE$26+R832*$AE$27+S832*$AE$28+T832*$AE$29+U832*$AE$30</f>
        <v/>
      </c>
      <c r="W832" s="8">
        <f>1/(1+EXP(-V832))</f>
        <v/>
      </c>
      <c r="X832" s="9">
        <f>-IF(C832=1,LN(W832),LN(1-W832))</f>
        <v/>
      </c>
      <c r="Y832" s="8">
        <f>IF(C832=1,$AE$32,$AE$33)</f>
        <v/>
      </c>
      <c r="Z832" s="9">
        <f>Y832*X832</f>
        <v/>
      </c>
      <c r="AA832" s="10">
        <f>IF(W832&gt;$AE$34,1,0)</f>
        <v/>
      </c>
      <c r="AB832">
        <f>IF(AA832=C832,1,0)</f>
        <v/>
      </c>
    </row>
    <row r="833">
      <c r="A833">
        <f>'1 datos preparados'!A826</f>
        <v/>
      </c>
      <c r="B833" s="5">
        <f>'1 datos preparados'!U826</f>
        <v/>
      </c>
      <c r="C833">
        <f>'1 datos preparados'!B826</f>
        <v/>
      </c>
      <c r="D833" s="7">
        <f>'1 datos preparados'!C826</f>
        <v/>
      </c>
      <c r="E833" s="7">
        <f>'1 datos preparados'!D826</f>
        <v/>
      </c>
      <c r="F833" s="7">
        <f>'1 datos preparados'!E826</f>
        <v/>
      </c>
      <c r="G833" s="7">
        <f>'1 datos preparados'!F826</f>
        <v/>
      </c>
      <c r="H833" s="7">
        <f>'1 datos preparados'!G826</f>
        <v/>
      </c>
      <c r="I833" s="7">
        <f>'1 datos preparados'!H826</f>
        <v/>
      </c>
      <c r="J833" s="7">
        <f>'1 datos preparados'!I826</f>
        <v/>
      </c>
      <c r="K833" s="7">
        <f>'1 datos preparados'!J826</f>
        <v/>
      </c>
      <c r="L833" s="7">
        <f>'1 datos preparados'!K826</f>
        <v/>
      </c>
      <c r="M833" s="7">
        <f>'1 datos preparados'!L826</f>
        <v/>
      </c>
      <c r="N833" s="7">
        <f>'1 datos preparados'!M826</f>
        <v/>
      </c>
      <c r="O833" s="7">
        <f>'1 datos preparados'!N826</f>
        <v/>
      </c>
      <c r="P833" s="7">
        <f>'1 datos preparados'!O826</f>
        <v/>
      </c>
      <c r="Q833" s="7">
        <f>'1 datos preparados'!P826</f>
        <v/>
      </c>
      <c r="R833" s="7">
        <f>'1 datos preparados'!Q826</f>
        <v/>
      </c>
      <c r="S833" s="7">
        <f>'1 datos preparados'!R826</f>
        <v/>
      </c>
      <c r="T833" s="7">
        <f>'1 datos preparados'!S826</f>
        <v/>
      </c>
      <c r="U833" s="7">
        <f>'1 datos preparados'!T826</f>
        <v/>
      </c>
      <c r="V833" s="8">
        <f>$AE$12+D833*$AE$13+E833*$AE$14+F833*$AE$15+G833*$AE$16+H833*$AE$17+I833*$AE$18+J833*$AE$19+K833*$AE$20+L833*$AE$21+M833*$AE$22+N833*$AE$23+O833*$AE$24+P833*$AE$25+Q833*$AE$26+R833*$AE$27+S833*$AE$28+T833*$AE$29+U833*$AE$30</f>
        <v/>
      </c>
      <c r="W833" s="8">
        <f>1/(1+EXP(-V833))</f>
        <v/>
      </c>
      <c r="X833" s="9">
        <f>-IF(C833=1,LN(W833),LN(1-W833))</f>
        <v/>
      </c>
      <c r="Y833" s="8">
        <f>IF(C833=1,$AE$32,$AE$33)</f>
        <v/>
      </c>
      <c r="Z833" s="9">
        <f>Y833*X833</f>
        <v/>
      </c>
      <c r="AA833" s="10">
        <f>IF(W833&gt;$AE$34,1,0)</f>
        <v/>
      </c>
      <c r="AB833">
        <f>IF(AA833=C833,1,0)</f>
        <v/>
      </c>
    </row>
    <row r="834">
      <c r="A834">
        <f>'1 datos preparados'!A827</f>
        <v/>
      </c>
      <c r="B834" s="5">
        <f>'1 datos preparados'!U827</f>
        <v/>
      </c>
      <c r="C834">
        <f>'1 datos preparados'!B827</f>
        <v/>
      </c>
      <c r="D834" s="7">
        <f>'1 datos preparados'!C827</f>
        <v/>
      </c>
      <c r="E834" s="7">
        <f>'1 datos preparados'!D827</f>
        <v/>
      </c>
      <c r="F834" s="7">
        <f>'1 datos preparados'!E827</f>
        <v/>
      </c>
      <c r="G834" s="7">
        <f>'1 datos preparados'!F827</f>
        <v/>
      </c>
      <c r="H834" s="7">
        <f>'1 datos preparados'!G827</f>
        <v/>
      </c>
      <c r="I834" s="7">
        <f>'1 datos preparados'!H827</f>
        <v/>
      </c>
      <c r="J834" s="7">
        <f>'1 datos preparados'!I827</f>
        <v/>
      </c>
      <c r="K834" s="7">
        <f>'1 datos preparados'!J827</f>
        <v/>
      </c>
      <c r="L834" s="7">
        <f>'1 datos preparados'!K827</f>
        <v/>
      </c>
      <c r="M834" s="7">
        <f>'1 datos preparados'!L827</f>
        <v/>
      </c>
      <c r="N834" s="7">
        <f>'1 datos preparados'!M827</f>
        <v/>
      </c>
      <c r="O834" s="7">
        <f>'1 datos preparados'!N827</f>
        <v/>
      </c>
      <c r="P834" s="7">
        <f>'1 datos preparados'!O827</f>
        <v/>
      </c>
      <c r="Q834" s="7">
        <f>'1 datos preparados'!P827</f>
        <v/>
      </c>
      <c r="R834" s="7">
        <f>'1 datos preparados'!Q827</f>
        <v/>
      </c>
      <c r="S834" s="7">
        <f>'1 datos preparados'!R827</f>
        <v/>
      </c>
      <c r="T834" s="7">
        <f>'1 datos preparados'!S827</f>
        <v/>
      </c>
      <c r="U834" s="7">
        <f>'1 datos preparados'!T827</f>
        <v/>
      </c>
      <c r="V834" s="8">
        <f>$AE$12+D834*$AE$13+E834*$AE$14+F834*$AE$15+G834*$AE$16+H834*$AE$17+I834*$AE$18+J834*$AE$19+K834*$AE$20+L834*$AE$21+M834*$AE$22+N834*$AE$23+O834*$AE$24+P834*$AE$25+Q834*$AE$26+R834*$AE$27+S834*$AE$28+T834*$AE$29+U834*$AE$30</f>
        <v/>
      </c>
      <c r="W834" s="8">
        <f>1/(1+EXP(-V834))</f>
        <v/>
      </c>
      <c r="X834" s="9">
        <f>-IF(C834=1,LN(W834),LN(1-W834))</f>
        <v/>
      </c>
      <c r="Y834" s="8">
        <f>IF(C834=1,$AE$32,$AE$33)</f>
        <v/>
      </c>
      <c r="Z834" s="9">
        <f>Y834*X834</f>
        <v/>
      </c>
      <c r="AA834" s="10">
        <f>IF(W834&gt;$AE$34,1,0)</f>
        <v/>
      </c>
      <c r="AB834">
        <f>IF(AA834=C834,1,0)</f>
        <v/>
      </c>
    </row>
    <row r="835">
      <c r="A835">
        <f>'1 datos preparados'!A828</f>
        <v/>
      </c>
      <c r="B835" s="5">
        <f>'1 datos preparados'!U828</f>
        <v/>
      </c>
      <c r="C835">
        <f>'1 datos preparados'!B828</f>
        <v/>
      </c>
      <c r="D835" s="7">
        <f>'1 datos preparados'!C828</f>
        <v/>
      </c>
      <c r="E835" s="7">
        <f>'1 datos preparados'!D828</f>
        <v/>
      </c>
      <c r="F835" s="7">
        <f>'1 datos preparados'!E828</f>
        <v/>
      </c>
      <c r="G835" s="7">
        <f>'1 datos preparados'!F828</f>
        <v/>
      </c>
      <c r="H835" s="7">
        <f>'1 datos preparados'!G828</f>
        <v/>
      </c>
      <c r="I835" s="7">
        <f>'1 datos preparados'!H828</f>
        <v/>
      </c>
      <c r="J835" s="7">
        <f>'1 datos preparados'!I828</f>
        <v/>
      </c>
      <c r="K835" s="7">
        <f>'1 datos preparados'!J828</f>
        <v/>
      </c>
      <c r="L835" s="7">
        <f>'1 datos preparados'!K828</f>
        <v/>
      </c>
      <c r="M835" s="7">
        <f>'1 datos preparados'!L828</f>
        <v/>
      </c>
      <c r="N835" s="7">
        <f>'1 datos preparados'!M828</f>
        <v/>
      </c>
      <c r="O835" s="7">
        <f>'1 datos preparados'!N828</f>
        <v/>
      </c>
      <c r="P835" s="7">
        <f>'1 datos preparados'!O828</f>
        <v/>
      </c>
      <c r="Q835" s="7">
        <f>'1 datos preparados'!P828</f>
        <v/>
      </c>
      <c r="R835" s="7">
        <f>'1 datos preparados'!Q828</f>
        <v/>
      </c>
      <c r="S835" s="7">
        <f>'1 datos preparados'!R828</f>
        <v/>
      </c>
      <c r="T835" s="7">
        <f>'1 datos preparados'!S828</f>
        <v/>
      </c>
      <c r="U835" s="7">
        <f>'1 datos preparados'!T828</f>
        <v/>
      </c>
      <c r="V835" s="8">
        <f>$AE$12+D835*$AE$13+E835*$AE$14+F835*$AE$15+G835*$AE$16+H835*$AE$17+I835*$AE$18+J835*$AE$19+K835*$AE$20+L835*$AE$21+M835*$AE$22+N835*$AE$23+O835*$AE$24+P835*$AE$25+Q835*$AE$26+R835*$AE$27+S835*$AE$28+T835*$AE$29+U835*$AE$30</f>
        <v/>
      </c>
      <c r="W835" s="8">
        <f>1/(1+EXP(-V835))</f>
        <v/>
      </c>
      <c r="X835" s="9">
        <f>-IF(C835=1,LN(W835),LN(1-W835))</f>
        <v/>
      </c>
      <c r="Y835" s="8">
        <f>IF(C835=1,$AE$32,$AE$33)</f>
        <v/>
      </c>
      <c r="Z835" s="9">
        <f>Y835*X835</f>
        <v/>
      </c>
      <c r="AA835" s="10">
        <f>IF(W835&gt;$AE$34,1,0)</f>
        <v/>
      </c>
      <c r="AB835">
        <f>IF(AA835=C835,1,0)</f>
        <v/>
      </c>
    </row>
    <row r="836">
      <c r="A836">
        <f>'1 datos preparados'!A829</f>
        <v/>
      </c>
      <c r="B836" s="5">
        <f>'1 datos preparados'!U829</f>
        <v/>
      </c>
      <c r="C836">
        <f>'1 datos preparados'!B829</f>
        <v/>
      </c>
      <c r="D836" s="7">
        <f>'1 datos preparados'!C829</f>
        <v/>
      </c>
      <c r="E836" s="7">
        <f>'1 datos preparados'!D829</f>
        <v/>
      </c>
      <c r="F836" s="7">
        <f>'1 datos preparados'!E829</f>
        <v/>
      </c>
      <c r="G836" s="7">
        <f>'1 datos preparados'!F829</f>
        <v/>
      </c>
      <c r="H836" s="7">
        <f>'1 datos preparados'!G829</f>
        <v/>
      </c>
      <c r="I836" s="7">
        <f>'1 datos preparados'!H829</f>
        <v/>
      </c>
      <c r="J836" s="7">
        <f>'1 datos preparados'!I829</f>
        <v/>
      </c>
      <c r="K836" s="7">
        <f>'1 datos preparados'!J829</f>
        <v/>
      </c>
      <c r="L836" s="7">
        <f>'1 datos preparados'!K829</f>
        <v/>
      </c>
      <c r="M836" s="7">
        <f>'1 datos preparados'!L829</f>
        <v/>
      </c>
      <c r="N836" s="7">
        <f>'1 datos preparados'!M829</f>
        <v/>
      </c>
      <c r="O836" s="7">
        <f>'1 datos preparados'!N829</f>
        <v/>
      </c>
      <c r="P836" s="7">
        <f>'1 datos preparados'!O829</f>
        <v/>
      </c>
      <c r="Q836" s="7">
        <f>'1 datos preparados'!P829</f>
        <v/>
      </c>
      <c r="R836" s="7">
        <f>'1 datos preparados'!Q829</f>
        <v/>
      </c>
      <c r="S836" s="7">
        <f>'1 datos preparados'!R829</f>
        <v/>
      </c>
      <c r="T836" s="7">
        <f>'1 datos preparados'!S829</f>
        <v/>
      </c>
      <c r="U836" s="7">
        <f>'1 datos preparados'!T829</f>
        <v/>
      </c>
      <c r="V836" s="8">
        <f>$AE$12+D836*$AE$13+E836*$AE$14+F836*$AE$15+G836*$AE$16+H836*$AE$17+I836*$AE$18+J836*$AE$19+K836*$AE$20+L836*$AE$21+M836*$AE$22+N836*$AE$23+O836*$AE$24+P836*$AE$25+Q836*$AE$26+R836*$AE$27+S836*$AE$28+T836*$AE$29+U836*$AE$30</f>
        <v/>
      </c>
      <c r="W836" s="8">
        <f>1/(1+EXP(-V836))</f>
        <v/>
      </c>
      <c r="X836" s="9">
        <f>-IF(C836=1,LN(W836),LN(1-W836))</f>
        <v/>
      </c>
      <c r="Y836" s="8">
        <f>IF(C836=1,$AE$32,$AE$33)</f>
        <v/>
      </c>
      <c r="Z836" s="9">
        <f>Y836*X836</f>
        <v/>
      </c>
      <c r="AA836" s="10">
        <f>IF(W836&gt;$AE$34,1,0)</f>
        <v/>
      </c>
      <c r="AB836">
        <f>IF(AA836=C836,1,0)</f>
        <v/>
      </c>
    </row>
    <row r="837">
      <c r="A837">
        <f>'1 datos preparados'!A830</f>
        <v/>
      </c>
      <c r="B837" s="5">
        <f>'1 datos preparados'!U830</f>
        <v/>
      </c>
      <c r="C837">
        <f>'1 datos preparados'!B830</f>
        <v/>
      </c>
      <c r="D837" s="7">
        <f>'1 datos preparados'!C830</f>
        <v/>
      </c>
      <c r="E837" s="7">
        <f>'1 datos preparados'!D830</f>
        <v/>
      </c>
      <c r="F837" s="7">
        <f>'1 datos preparados'!E830</f>
        <v/>
      </c>
      <c r="G837" s="7">
        <f>'1 datos preparados'!F830</f>
        <v/>
      </c>
      <c r="H837" s="7">
        <f>'1 datos preparados'!G830</f>
        <v/>
      </c>
      <c r="I837" s="7">
        <f>'1 datos preparados'!H830</f>
        <v/>
      </c>
      <c r="J837" s="7">
        <f>'1 datos preparados'!I830</f>
        <v/>
      </c>
      <c r="K837" s="7">
        <f>'1 datos preparados'!J830</f>
        <v/>
      </c>
      <c r="L837" s="7">
        <f>'1 datos preparados'!K830</f>
        <v/>
      </c>
      <c r="M837" s="7">
        <f>'1 datos preparados'!L830</f>
        <v/>
      </c>
      <c r="N837" s="7">
        <f>'1 datos preparados'!M830</f>
        <v/>
      </c>
      <c r="O837" s="7">
        <f>'1 datos preparados'!N830</f>
        <v/>
      </c>
      <c r="P837" s="7">
        <f>'1 datos preparados'!O830</f>
        <v/>
      </c>
      <c r="Q837" s="7">
        <f>'1 datos preparados'!P830</f>
        <v/>
      </c>
      <c r="R837" s="7">
        <f>'1 datos preparados'!Q830</f>
        <v/>
      </c>
      <c r="S837" s="7">
        <f>'1 datos preparados'!R830</f>
        <v/>
      </c>
      <c r="T837" s="7">
        <f>'1 datos preparados'!S830</f>
        <v/>
      </c>
      <c r="U837" s="7">
        <f>'1 datos preparados'!T830</f>
        <v/>
      </c>
      <c r="V837" s="8">
        <f>$AE$12+D837*$AE$13+E837*$AE$14+F837*$AE$15+G837*$AE$16+H837*$AE$17+I837*$AE$18+J837*$AE$19+K837*$AE$20+L837*$AE$21+M837*$AE$22+N837*$AE$23+O837*$AE$24+P837*$AE$25+Q837*$AE$26+R837*$AE$27+S837*$AE$28+T837*$AE$29+U837*$AE$30</f>
        <v/>
      </c>
      <c r="W837" s="8">
        <f>1/(1+EXP(-V837))</f>
        <v/>
      </c>
      <c r="X837" s="9">
        <f>-IF(C837=1,LN(W837),LN(1-W837))</f>
        <v/>
      </c>
      <c r="Y837" s="8">
        <f>IF(C837=1,$AE$32,$AE$33)</f>
        <v/>
      </c>
      <c r="Z837" s="9">
        <f>Y837*X837</f>
        <v/>
      </c>
      <c r="AA837" s="10">
        <f>IF(W837&gt;$AE$34,1,0)</f>
        <v/>
      </c>
      <c r="AB837">
        <f>IF(AA837=C837,1,0)</f>
        <v/>
      </c>
    </row>
    <row r="838">
      <c r="A838">
        <f>'1 datos preparados'!A831</f>
        <v/>
      </c>
      <c r="B838" s="5">
        <f>'1 datos preparados'!U831</f>
        <v/>
      </c>
      <c r="C838">
        <f>'1 datos preparados'!B831</f>
        <v/>
      </c>
      <c r="D838" s="7">
        <f>'1 datos preparados'!C831</f>
        <v/>
      </c>
      <c r="E838" s="7">
        <f>'1 datos preparados'!D831</f>
        <v/>
      </c>
      <c r="F838" s="7">
        <f>'1 datos preparados'!E831</f>
        <v/>
      </c>
      <c r="G838" s="7">
        <f>'1 datos preparados'!F831</f>
        <v/>
      </c>
      <c r="H838" s="7">
        <f>'1 datos preparados'!G831</f>
        <v/>
      </c>
      <c r="I838" s="7">
        <f>'1 datos preparados'!H831</f>
        <v/>
      </c>
      <c r="J838" s="7">
        <f>'1 datos preparados'!I831</f>
        <v/>
      </c>
      <c r="K838" s="7">
        <f>'1 datos preparados'!J831</f>
        <v/>
      </c>
      <c r="L838" s="7">
        <f>'1 datos preparados'!K831</f>
        <v/>
      </c>
      <c r="M838" s="7">
        <f>'1 datos preparados'!L831</f>
        <v/>
      </c>
      <c r="N838" s="7">
        <f>'1 datos preparados'!M831</f>
        <v/>
      </c>
      <c r="O838" s="7">
        <f>'1 datos preparados'!N831</f>
        <v/>
      </c>
      <c r="P838" s="7">
        <f>'1 datos preparados'!O831</f>
        <v/>
      </c>
      <c r="Q838" s="7">
        <f>'1 datos preparados'!P831</f>
        <v/>
      </c>
      <c r="R838" s="7">
        <f>'1 datos preparados'!Q831</f>
        <v/>
      </c>
      <c r="S838" s="7">
        <f>'1 datos preparados'!R831</f>
        <v/>
      </c>
      <c r="T838" s="7">
        <f>'1 datos preparados'!S831</f>
        <v/>
      </c>
      <c r="U838" s="7">
        <f>'1 datos preparados'!T831</f>
        <v/>
      </c>
      <c r="V838" s="8">
        <f>$AE$12+D838*$AE$13+E838*$AE$14+F838*$AE$15+G838*$AE$16+H838*$AE$17+I838*$AE$18+J838*$AE$19+K838*$AE$20+L838*$AE$21+M838*$AE$22+N838*$AE$23+O838*$AE$24+P838*$AE$25+Q838*$AE$26+R838*$AE$27+S838*$AE$28+T838*$AE$29+U838*$AE$30</f>
        <v/>
      </c>
      <c r="W838" s="8">
        <f>1/(1+EXP(-V838))</f>
        <v/>
      </c>
      <c r="X838" s="9">
        <f>-IF(C838=1,LN(W838),LN(1-W838))</f>
        <v/>
      </c>
      <c r="Y838" s="8">
        <f>IF(C838=1,$AE$32,$AE$33)</f>
        <v/>
      </c>
      <c r="Z838" s="9">
        <f>Y838*X838</f>
        <v/>
      </c>
      <c r="AA838" s="10">
        <f>IF(W838&gt;$AE$34,1,0)</f>
        <v/>
      </c>
      <c r="AB838">
        <f>IF(AA838=C838,1,0)</f>
        <v/>
      </c>
    </row>
    <row r="839">
      <c r="A839">
        <f>'1 datos preparados'!A832</f>
        <v/>
      </c>
      <c r="B839" s="5">
        <f>'1 datos preparados'!U832</f>
        <v/>
      </c>
      <c r="C839">
        <f>'1 datos preparados'!B832</f>
        <v/>
      </c>
      <c r="D839" s="7">
        <f>'1 datos preparados'!C832</f>
        <v/>
      </c>
      <c r="E839" s="7">
        <f>'1 datos preparados'!D832</f>
        <v/>
      </c>
      <c r="F839" s="7">
        <f>'1 datos preparados'!E832</f>
        <v/>
      </c>
      <c r="G839" s="7">
        <f>'1 datos preparados'!F832</f>
        <v/>
      </c>
      <c r="H839" s="7">
        <f>'1 datos preparados'!G832</f>
        <v/>
      </c>
      <c r="I839" s="7">
        <f>'1 datos preparados'!H832</f>
        <v/>
      </c>
      <c r="J839" s="7">
        <f>'1 datos preparados'!I832</f>
        <v/>
      </c>
      <c r="K839" s="7">
        <f>'1 datos preparados'!J832</f>
        <v/>
      </c>
      <c r="L839" s="7">
        <f>'1 datos preparados'!K832</f>
        <v/>
      </c>
      <c r="M839" s="7">
        <f>'1 datos preparados'!L832</f>
        <v/>
      </c>
      <c r="N839" s="7">
        <f>'1 datos preparados'!M832</f>
        <v/>
      </c>
      <c r="O839" s="7">
        <f>'1 datos preparados'!N832</f>
        <v/>
      </c>
      <c r="P839" s="7">
        <f>'1 datos preparados'!O832</f>
        <v/>
      </c>
      <c r="Q839" s="7">
        <f>'1 datos preparados'!P832</f>
        <v/>
      </c>
      <c r="R839" s="7">
        <f>'1 datos preparados'!Q832</f>
        <v/>
      </c>
      <c r="S839" s="7">
        <f>'1 datos preparados'!R832</f>
        <v/>
      </c>
      <c r="T839" s="7">
        <f>'1 datos preparados'!S832</f>
        <v/>
      </c>
      <c r="U839" s="7">
        <f>'1 datos preparados'!T832</f>
        <v/>
      </c>
      <c r="V839" s="8">
        <f>$AE$12+D839*$AE$13+E839*$AE$14+F839*$AE$15+G839*$AE$16+H839*$AE$17+I839*$AE$18+J839*$AE$19+K839*$AE$20+L839*$AE$21+M839*$AE$22+N839*$AE$23+O839*$AE$24+P839*$AE$25+Q839*$AE$26+R839*$AE$27+S839*$AE$28+T839*$AE$29+U839*$AE$30</f>
        <v/>
      </c>
      <c r="W839" s="8">
        <f>1/(1+EXP(-V839))</f>
        <v/>
      </c>
      <c r="X839" s="9">
        <f>-IF(C839=1,LN(W839),LN(1-W839))</f>
        <v/>
      </c>
      <c r="Y839" s="8">
        <f>IF(C839=1,$AE$32,$AE$33)</f>
        <v/>
      </c>
      <c r="Z839" s="9">
        <f>Y839*X839</f>
        <v/>
      </c>
      <c r="AA839" s="10">
        <f>IF(W839&gt;$AE$34,1,0)</f>
        <v/>
      </c>
      <c r="AB839">
        <f>IF(AA839=C839,1,0)</f>
        <v/>
      </c>
    </row>
    <row r="840">
      <c r="A840">
        <f>'1 datos preparados'!A833</f>
        <v/>
      </c>
      <c r="B840" s="5">
        <f>'1 datos preparados'!U833</f>
        <v/>
      </c>
      <c r="C840">
        <f>'1 datos preparados'!B833</f>
        <v/>
      </c>
      <c r="D840" s="7">
        <f>'1 datos preparados'!C833</f>
        <v/>
      </c>
      <c r="E840" s="7">
        <f>'1 datos preparados'!D833</f>
        <v/>
      </c>
      <c r="F840" s="7">
        <f>'1 datos preparados'!E833</f>
        <v/>
      </c>
      <c r="G840" s="7">
        <f>'1 datos preparados'!F833</f>
        <v/>
      </c>
      <c r="H840" s="7">
        <f>'1 datos preparados'!G833</f>
        <v/>
      </c>
      <c r="I840" s="7">
        <f>'1 datos preparados'!H833</f>
        <v/>
      </c>
      <c r="J840" s="7">
        <f>'1 datos preparados'!I833</f>
        <v/>
      </c>
      <c r="K840" s="7">
        <f>'1 datos preparados'!J833</f>
        <v/>
      </c>
      <c r="L840" s="7">
        <f>'1 datos preparados'!K833</f>
        <v/>
      </c>
      <c r="M840" s="7">
        <f>'1 datos preparados'!L833</f>
        <v/>
      </c>
      <c r="N840" s="7">
        <f>'1 datos preparados'!M833</f>
        <v/>
      </c>
      <c r="O840" s="7">
        <f>'1 datos preparados'!N833</f>
        <v/>
      </c>
      <c r="P840" s="7">
        <f>'1 datos preparados'!O833</f>
        <v/>
      </c>
      <c r="Q840" s="7">
        <f>'1 datos preparados'!P833</f>
        <v/>
      </c>
      <c r="R840" s="7">
        <f>'1 datos preparados'!Q833</f>
        <v/>
      </c>
      <c r="S840" s="7">
        <f>'1 datos preparados'!R833</f>
        <v/>
      </c>
      <c r="T840" s="7">
        <f>'1 datos preparados'!S833</f>
        <v/>
      </c>
      <c r="U840" s="7">
        <f>'1 datos preparados'!T833</f>
        <v/>
      </c>
      <c r="V840" s="8">
        <f>$AE$12+D840*$AE$13+E840*$AE$14+F840*$AE$15+G840*$AE$16+H840*$AE$17+I840*$AE$18+J840*$AE$19+K840*$AE$20+L840*$AE$21+M840*$AE$22+N840*$AE$23+O840*$AE$24+P840*$AE$25+Q840*$AE$26+R840*$AE$27+S840*$AE$28+T840*$AE$29+U840*$AE$30</f>
        <v/>
      </c>
      <c r="W840" s="8">
        <f>1/(1+EXP(-V840))</f>
        <v/>
      </c>
      <c r="X840" s="9">
        <f>-IF(C840=1,LN(W840),LN(1-W840))</f>
        <v/>
      </c>
      <c r="Y840" s="8">
        <f>IF(C840=1,$AE$32,$AE$33)</f>
        <v/>
      </c>
      <c r="Z840" s="9">
        <f>Y840*X840</f>
        <v/>
      </c>
      <c r="AA840" s="10">
        <f>IF(W840&gt;$AE$34,1,0)</f>
        <v/>
      </c>
      <c r="AB840">
        <f>IF(AA840=C840,1,0)</f>
        <v/>
      </c>
    </row>
    <row r="841">
      <c r="A841">
        <f>'1 datos preparados'!A834</f>
        <v/>
      </c>
      <c r="B841" s="5">
        <f>'1 datos preparados'!U834</f>
        <v/>
      </c>
      <c r="C841">
        <f>'1 datos preparados'!B834</f>
        <v/>
      </c>
      <c r="D841" s="7">
        <f>'1 datos preparados'!C834</f>
        <v/>
      </c>
      <c r="E841" s="7">
        <f>'1 datos preparados'!D834</f>
        <v/>
      </c>
      <c r="F841" s="7">
        <f>'1 datos preparados'!E834</f>
        <v/>
      </c>
      <c r="G841" s="7">
        <f>'1 datos preparados'!F834</f>
        <v/>
      </c>
      <c r="H841" s="7">
        <f>'1 datos preparados'!G834</f>
        <v/>
      </c>
      <c r="I841" s="7">
        <f>'1 datos preparados'!H834</f>
        <v/>
      </c>
      <c r="J841" s="7">
        <f>'1 datos preparados'!I834</f>
        <v/>
      </c>
      <c r="K841" s="7">
        <f>'1 datos preparados'!J834</f>
        <v/>
      </c>
      <c r="L841" s="7">
        <f>'1 datos preparados'!K834</f>
        <v/>
      </c>
      <c r="M841" s="7">
        <f>'1 datos preparados'!L834</f>
        <v/>
      </c>
      <c r="N841" s="7">
        <f>'1 datos preparados'!M834</f>
        <v/>
      </c>
      <c r="O841" s="7">
        <f>'1 datos preparados'!N834</f>
        <v/>
      </c>
      <c r="P841" s="7">
        <f>'1 datos preparados'!O834</f>
        <v/>
      </c>
      <c r="Q841" s="7">
        <f>'1 datos preparados'!P834</f>
        <v/>
      </c>
      <c r="R841" s="7">
        <f>'1 datos preparados'!Q834</f>
        <v/>
      </c>
      <c r="S841" s="7">
        <f>'1 datos preparados'!R834</f>
        <v/>
      </c>
      <c r="T841" s="7">
        <f>'1 datos preparados'!S834</f>
        <v/>
      </c>
      <c r="U841" s="7">
        <f>'1 datos preparados'!T834</f>
        <v/>
      </c>
      <c r="V841" s="8">
        <f>$AE$12+D841*$AE$13+E841*$AE$14+F841*$AE$15+G841*$AE$16+H841*$AE$17+I841*$AE$18+J841*$AE$19+K841*$AE$20+L841*$AE$21+M841*$AE$22+N841*$AE$23+O841*$AE$24+P841*$AE$25+Q841*$AE$26+R841*$AE$27+S841*$AE$28+T841*$AE$29+U841*$AE$30</f>
        <v/>
      </c>
      <c r="W841" s="8">
        <f>1/(1+EXP(-V841))</f>
        <v/>
      </c>
      <c r="X841" s="9">
        <f>-IF(C841=1,LN(W841),LN(1-W841))</f>
        <v/>
      </c>
      <c r="Y841" s="8">
        <f>IF(C841=1,$AE$32,$AE$33)</f>
        <v/>
      </c>
      <c r="Z841" s="9">
        <f>Y841*X841</f>
        <v/>
      </c>
      <c r="AA841" s="10">
        <f>IF(W841&gt;$AE$34,1,0)</f>
        <v/>
      </c>
      <c r="AB841">
        <f>IF(AA841=C841,1,0)</f>
        <v/>
      </c>
    </row>
    <row r="842">
      <c r="A842">
        <f>'1 datos preparados'!A835</f>
        <v/>
      </c>
      <c r="B842" s="5">
        <f>'1 datos preparados'!U835</f>
        <v/>
      </c>
      <c r="C842">
        <f>'1 datos preparados'!B835</f>
        <v/>
      </c>
      <c r="D842" s="7">
        <f>'1 datos preparados'!C835</f>
        <v/>
      </c>
      <c r="E842" s="7">
        <f>'1 datos preparados'!D835</f>
        <v/>
      </c>
      <c r="F842" s="7">
        <f>'1 datos preparados'!E835</f>
        <v/>
      </c>
      <c r="G842" s="7">
        <f>'1 datos preparados'!F835</f>
        <v/>
      </c>
      <c r="H842" s="7">
        <f>'1 datos preparados'!G835</f>
        <v/>
      </c>
      <c r="I842" s="7">
        <f>'1 datos preparados'!H835</f>
        <v/>
      </c>
      <c r="J842" s="7">
        <f>'1 datos preparados'!I835</f>
        <v/>
      </c>
      <c r="K842" s="7">
        <f>'1 datos preparados'!J835</f>
        <v/>
      </c>
      <c r="L842" s="7">
        <f>'1 datos preparados'!K835</f>
        <v/>
      </c>
      <c r="M842" s="7">
        <f>'1 datos preparados'!L835</f>
        <v/>
      </c>
      <c r="N842" s="7">
        <f>'1 datos preparados'!M835</f>
        <v/>
      </c>
      <c r="O842" s="7">
        <f>'1 datos preparados'!N835</f>
        <v/>
      </c>
      <c r="P842" s="7">
        <f>'1 datos preparados'!O835</f>
        <v/>
      </c>
      <c r="Q842" s="7">
        <f>'1 datos preparados'!P835</f>
        <v/>
      </c>
      <c r="R842" s="7">
        <f>'1 datos preparados'!Q835</f>
        <v/>
      </c>
      <c r="S842" s="7">
        <f>'1 datos preparados'!R835</f>
        <v/>
      </c>
      <c r="T842" s="7">
        <f>'1 datos preparados'!S835</f>
        <v/>
      </c>
      <c r="U842" s="7">
        <f>'1 datos preparados'!T835</f>
        <v/>
      </c>
      <c r="V842" s="8">
        <f>$AE$12+D842*$AE$13+E842*$AE$14+F842*$AE$15+G842*$AE$16+H842*$AE$17+I842*$AE$18+J842*$AE$19+K842*$AE$20+L842*$AE$21+M842*$AE$22+N842*$AE$23+O842*$AE$24+P842*$AE$25+Q842*$AE$26+R842*$AE$27+S842*$AE$28+T842*$AE$29+U842*$AE$30</f>
        <v/>
      </c>
      <c r="W842" s="8">
        <f>1/(1+EXP(-V842))</f>
        <v/>
      </c>
      <c r="X842" s="9">
        <f>-IF(C842=1,LN(W842),LN(1-W842))</f>
        <v/>
      </c>
      <c r="Y842" s="8">
        <f>IF(C842=1,$AE$32,$AE$33)</f>
        <v/>
      </c>
      <c r="Z842" s="9">
        <f>Y842*X842</f>
        <v/>
      </c>
      <c r="AA842" s="10">
        <f>IF(W842&gt;$AE$34,1,0)</f>
        <v/>
      </c>
      <c r="AB842">
        <f>IF(AA842=C842,1,0)</f>
        <v/>
      </c>
    </row>
    <row r="843">
      <c r="A843">
        <f>'1 datos preparados'!A836</f>
        <v/>
      </c>
      <c r="B843" s="5">
        <f>'1 datos preparados'!U836</f>
        <v/>
      </c>
      <c r="C843">
        <f>'1 datos preparados'!B836</f>
        <v/>
      </c>
      <c r="D843" s="7">
        <f>'1 datos preparados'!C836</f>
        <v/>
      </c>
      <c r="E843" s="7">
        <f>'1 datos preparados'!D836</f>
        <v/>
      </c>
      <c r="F843" s="7">
        <f>'1 datos preparados'!E836</f>
        <v/>
      </c>
      <c r="G843" s="7">
        <f>'1 datos preparados'!F836</f>
        <v/>
      </c>
      <c r="H843" s="7">
        <f>'1 datos preparados'!G836</f>
        <v/>
      </c>
      <c r="I843" s="7">
        <f>'1 datos preparados'!H836</f>
        <v/>
      </c>
      <c r="J843" s="7">
        <f>'1 datos preparados'!I836</f>
        <v/>
      </c>
      <c r="K843" s="7">
        <f>'1 datos preparados'!J836</f>
        <v/>
      </c>
      <c r="L843" s="7">
        <f>'1 datos preparados'!K836</f>
        <v/>
      </c>
      <c r="M843" s="7">
        <f>'1 datos preparados'!L836</f>
        <v/>
      </c>
      <c r="N843" s="7">
        <f>'1 datos preparados'!M836</f>
        <v/>
      </c>
      <c r="O843" s="7">
        <f>'1 datos preparados'!N836</f>
        <v/>
      </c>
      <c r="P843" s="7">
        <f>'1 datos preparados'!O836</f>
        <v/>
      </c>
      <c r="Q843" s="7">
        <f>'1 datos preparados'!P836</f>
        <v/>
      </c>
      <c r="R843" s="7">
        <f>'1 datos preparados'!Q836</f>
        <v/>
      </c>
      <c r="S843" s="7">
        <f>'1 datos preparados'!R836</f>
        <v/>
      </c>
      <c r="T843" s="7">
        <f>'1 datos preparados'!S836</f>
        <v/>
      </c>
      <c r="U843" s="7">
        <f>'1 datos preparados'!T836</f>
        <v/>
      </c>
      <c r="V843" s="8">
        <f>$AE$12+D843*$AE$13+E843*$AE$14+F843*$AE$15+G843*$AE$16+H843*$AE$17+I843*$AE$18+J843*$AE$19+K843*$AE$20+L843*$AE$21+M843*$AE$22+N843*$AE$23+O843*$AE$24+P843*$AE$25+Q843*$AE$26+R843*$AE$27+S843*$AE$28+T843*$AE$29+U843*$AE$30</f>
        <v/>
      </c>
      <c r="W843" s="8">
        <f>1/(1+EXP(-V843))</f>
        <v/>
      </c>
      <c r="X843" s="9">
        <f>-IF(C843=1,LN(W843),LN(1-W843))</f>
        <v/>
      </c>
      <c r="Y843" s="8">
        <f>IF(C843=1,$AE$32,$AE$33)</f>
        <v/>
      </c>
      <c r="Z843" s="9">
        <f>Y843*X843</f>
        <v/>
      </c>
      <c r="AA843" s="10">
        <f>IF(W843&gt;$AE$34,1,0)</f>
        <v/>
      </c>
      <c r="AB843">
        <f>IF(AA843=C843,1,0)</f>
        <v/>
      </c>
    </row>
    <row r="844">
      <c r="A844">
        <f>'1 datos preparados'!A837</f>
        <v/>
      </c>
      <c r="B844" s="5">
        <f>'1 datos preparados'!U837</f>
        <v/>
      </c>
      <c r="C844">
        <f>'1 datos preparados'!B837</f>
        <v/>
      </c>
      <c r="D844" s="7">
        <f>'1 datos preparados'!C837</f>
        <v/>
      </c>
      <c r="E844" s="7">
        <f>'1 datos preparados'!D837</f>
        <v/>
      </c>
      <c r="F844" s="7">
        <f>'1 datos preparados'!E837</f>
        <v/>
      </c>
      <c r="G844" s="7">
        <f>'1 datos preparados'!F837</f>
        <v/>
      </c>
      <c r="H844" s="7">
        <f>'1 datos preparados'!G837</f>
        <v/>
      </c>
      <c r="I844" s="7">
        <f>'1 datos preparados'!H837</f>
        <v/>
      </c>
      <c r="J844" s="7">
        <f>'1 datos preparados'!I837</f>
        <v/>
      </c>
      <c r="K844" s="7">
        <f>'1 datos preparados'!J837</f>
        <v/>
      </c>
      <c r="L844" s="7">
        <f>'1 datos preparados'!K837</f>
        <v/>
      </c>
      <c r="M844" s="7">
        <f>'1 datos preparados'!L837</f>
        <v/>
      </c>
      <c r="N844" s="7">
        <f>'1 datos preparados'!M837</f>
        <v/>
      </c>
      <c r="O844" s="7">
        <f>'1 datos preparados'!N837</f>
        <v/>
      </c>
      <c r="P844" s="7">
        <f>'1 datos preparados'!O837</f>
        <v/>
      </c>
      <c r="Q844" s="7">
        <f>'1 datos preparados'!P837</f>
        <v/>
      </c>
      <c r="R844" s="7">
        <f>'1 datos preparados'!Q837</f>
        <v/>
      </c>
      <c r="S844" s="7">
        <f>'1 datos preparados'!R837</f>
        <v/>
      </c>
      <c r="T844" s="7">
        <f>'1 datos preparados'!S837</f>
        <v/>
      </c>
      <c r="U844" s="7">
        <f>'1 datos preparados'!T837</f>
        <v/>
      </c>
      <c r="V844" s="8">
        <f>$AE$12+D844*$AE$13+E844*$AE$14+F844*$AE$15+G844*$AE$16+H844*$AE$17+I844*$AE$18+J844*$AE$19+K844*$AE$20+L844*$AE$21+M844*$AE$22+N844*$AE$23+O844*$AE$24+P844*$AE$25+Q844*$AE$26+R844*$AE$27+S844*$AE$28+T844*$AE$29+U844*$AE$30</f>
        <v/>
      </c>
      <c r="W844" s="8">
        <f>1/(1+EXP(-V844))</f>
        <v/>
      </c>
      <c r="X844" s="9">
        <f>-IF(C844=1,LN(W844),LN(1-W844))</f>
        <v/>
      </c>
      <c r="Y844" s="8">
        <f>IF(C844=1,$AE$32,$AE$33)</f>
        <v/>
      </c>
      <c r="Z844" s="9">
        <f>Y844*X844</f>
        <v/>
      </c>
      <c r="AA844" s="10">
        <f>IF(W844&gt;$AE$34,1,0)</f>
        <v/>
      </c>
      <c r="AB844">
        <f>IF(AA844=C844,1,0)</f>
        <v/>
      </c>
    </row>
    <row r="845">
      <c r="A845">
        <f>'1 datos preparados'!A838</f>
        <v/>
      </c>
      <c r="B845" s="5">
        <f>'1 datos preparados'!U838</f>
        <v/>
      </c>
      <c r="C845">
        <f>'1 datos preparados'!B838</f>
        <v/>
      </c>
      <c r="D845" s="7">
        <f>'1 datos preparados'!C838</f>
        <v/>
      </c>
      <c r="E845" s="7">
        <f>'1 datos preparados'!D838</f>
        <v/>
      </c>
      <c r="F845" s="7">
        <f>'1 datos preparados'!E838</f>
        <v/>
      </c>
      <c r="G845" s="7">
        <f>'1 datos preparados'!F838</f>
        <v/>
      </c>
      <c r="H845" s="7">
        <f>'1 datos preparados'!G838</f>
        <v/>
      </c>
      <c r="I845" s="7">
        <f>'1 datos preparados'!H838</f>
        <v/>
      </c>
      <c r="J845" s="7">
        <f>'1 datos preparados'!I838</f>
        <v/>
      </c>
      <c r="K845" s="7">
        <f>'1 datos preparados'!J838</f>
        <v/>
      </c>
      <c r="L845" s="7">
        <f>'1 datos preparados'!K838</f>
        <v/>
      </c>
      <c r="M845" s="7">
        <f>'1 datos preparados'!L838</f>
        <v/>
      </c>
      <c r="N845" s="7">
        <f>'1 datos preparados'!M838</f>
        <v/>
      </c>
      <c r="O845" s="7">
        <f>'1 datos preparados'!N838</f>
        <v/>
      </c>
      <c r="P845" s="7">
        <f>'1 datos preparados'!O838</f>
        <v/>
      </c>
      <c r="Q845" s="7">
        <f>'1 datos preparados'!P838</f>
        <v/>
      </c>
      <c r="R845" s="7">
        <f>'1 datos preparados'!Q838</f>
        <v/>
      </c>
      <c r="S845" s="7">
        <f>'1 datos preparados'!R838</f>
        <v/>
      </c>
      <c r="T845" s="7">
        <f>'1 datos preparados'!S838</f>
        <v/>
      </c>
      <c r="U845" s="7">
        <f>'1 datos preparados'!T838</f>
        <v/>
      </c>
      <c r="V845" s="8">
        <f>$AE$12+D845*$AE$13+E845*$AE$14+F845*$AE$15+G845*$AE$16+H845*$AE$17+I845*$AE$18+J845*$AE$19+K845*$AE$20+L845*$AE$21+M845*$AE$22+N845*$AE$23+O845*$AE$24+P845*$AE$25+Q845*$AE$26+R845*$AE$27+S845*$AE$28+T845*$AE$29+U845*$AE$30</f>
        <v/>
      </c>
      <c r="W845" s="8">
        <f>1/(1+EXP(-V845))</f>
        <v/>
      </c>
      <c r="X845" s="9">
        <f>-IF(C845=1,LN(W845),LN(1-W845))</f>
        <v/>
      </c>
      <c r="Y845" s="8">
        <f>IF(C845=1,$AE$32,$AE$33)</f>
        <v/>
      </c>
      <c r="Z845" s="9">
        <f>Y845*X845</f>
        <v/>
      </c>
      <c r="AA845" s="10">
        <f>IF(W845&gt;$AE$34,1,0)</f>
        <v/>
      </c>
      <c r="AB845">
        <f>IF(AA845=C845,1,0)</f>
        <v/>
      </c>
    </row>
    <row r="846">
      <c r="A846">
        <f>'1 datos preparados'!A839</f>
        <v/>
      </c>
      <c r="B846" s="5">
        <f>'1 datos preparados'!U839</f>
        <v/>
      </c>
      <c r="C846">
        <f>'1 datos preparados'!B839</f>
        <v/>
      </c>
      <c r="D846" s="7">
        <f>'1 datos preparados'!C839</f>
        <v/>
      </c>
      <c r="E846" s="7">
        <f>'1 datos preparados'!D839</f>
        <v/>
      </c>
      <c r="F846" s="7">
        <f>'1 datos preparados'!E839</f>
        <v/>
      </c>
      <c r="G846" s="7">
        <f>'1 datos preparados'!F839</f>
        <v/>
      </c>
      <c r="H846" s="7">
        <f>'1 datos preparados'!G839</f>
        <v/>
      </c>
      <c r="I846" s="7">
        <f>'1 datos preparados'!H839</f>
        <v/>
      </c>
      <c r="J846" s="7">
        <f>'1 datos preparados'!I839</f>
        <v/>
      </c>
      <c r="K846" s="7">
        <f>'1 datos preparados'!J839</f>
        <v/>
      </c>
      <c r="L846" s="7">
        <f>'1 datos preparados'!K839</f>
        <v/>
      </c>
      <c r="M846" s="7">
        <f>'1 datos preparados'!L839</f>
        <v/>
      </c>
      <c r="N846" s="7">
        <f>'1 datos preparados'!M839</f>
        <v/>
      </c>
      <c r="O846" s="7">
        <f>'1 datos preparados'!N839</f>
        <v/>
      </c>
      <c r="P846" s="7">
        <f>'1 datos preparados'!O839</f>
        <v/>
      </c>
      <c r="Q846" s="7">
        <f>'1 datos preparados'!P839</f>
        <v/>
      </c>
      <c r="R846" s="7">
        <f>'1 datos preparados'!Q839</f>
        <v/>
      </c>
      <c r="S846" s="7">
        <f>'1 datos preparados'!R839</f>
        <v/>
      </c>
      <c r="T846" s="7">
        <f>'1 datos preparados'!S839</f>
        <v/>
      </c>
      <c r="U846" s="7">
        <f>'1 datos preparados'!T839</f>
        <v/>
      </c>
      <c r="V846" s="8">
        <f>$AE$12+D846*$AE$13+E846*$AE$14+F846*$AE$15+G846*$AE$16+H846*$AE$17+I846*$AE$18+J846*$AE$19+K846*$AE$20+L846*$AE$21+M846*$AE$22+N846*$AE$23+O846*$AE$24+P846*$AE$25+Q846*$AE$26+R846*$AE$27+S846*$AE$28+T846*$AE$29+U846*$AE$30</f>
        <v/>
      </c>
      <c r="W846" s="8">
        <f>1/(1+EXP(-V846))</f>
        <v/>
      </c>
      <c r="X846" s="9">
        <f>-IF(C846=1,LN(W846),LN(1-W846))</f>
        <v/>
      </c>
      <c r="Y846" s="8">
        <f>IF(C846=1,$AE$32,$AE$33)</f>
        <v/>
      </c>
      <c r="Z846" s="9">
        <f>Y846*X846</f>
        <v/>
      </c>
      <c r="AA846" s="10">
        <f>IF(W846&gt;$AE$34,1,0)</f>
        <v/>
      </c>
      <c r="AB846">
        <f>IF(AA846=C846,1,0)</f>
        <v/>
      </c>
    </row>
    <row r="847">
      <c r="A847">
        <f>'1 datos preparados'!A840</f>
        <v/>
      </c>
      <c r="B847" s="5">
        <f>'1 datos preparados'!U840</f>
        <v/>
      </c>
      <c r="C847">
        <f>'1 datos preparados'!B840</f>
        <v/>
      </c>
      <c r="D847" s="7">
        <f>'1 datos preparados'!C840</f>
        <v/>
      </c>
      <c r="E847" s="7">
        <f>'1 datos preparados'!D840</f>
        <v/>
      </c>
      <c r="F847" s="7">
        <f>'1 datos preparados'!E840</f>
        <v/>
      </c>
      <c r="G847" s="7">
        <f>'1 datos preparados'!F840</f>
        <v/>
      </c>
      <c r="H847" s="7">
        <f>'1 datos preparados'!G840</f>
        <v/>
      </c>
      <c r="I847" s="7">
        <f>'1 datos preparados'!H840</f>
        <v/>
      </c>
      <c r="J847" s="7">
        <f>'1 datos preparados'!I840</f>
        <v/>
      </c>
      <c r="K847" s="7">
        <f>'1 datos preparados'!J840</f>
        <v/>
      </c>
      <c r="L847" s="7">
        <f>'1 datos preparados'!K840</f>
        <v/>
      </c>
      <c r="M847" s="7">
        <f>'1 datos preparados'!L840</f>
        <v/>
      </c>
      <c r="N847" s="7">
        <f>'1 datos preparados'!M840</f>
        <v/>
      </c>
      <c r="O847" s="7">
        <f>'1 datos preparados'!N840</f>
        <v/>
      </c>
      <c r="P847" s="7">
        <f>'1 datos preparados'!O840</f>
        <v/>
      </c>
      <c r="Q847" s="7">
        <f>'1 datos preparados'!P840</f>
        <v/>
      </c>
      <c r="R847" s="7">
        <f>'1 datos preparados'!Q840</f>
        <v/>
      </c>
      <c r="S847" s="7">
        <f>'1 datos preparados'!R840</f>
        <v/>
      </c>
      <c r="T847" s="7">
        <f>'1 datos preparados'!S840</f>
        <v/>
      </c>
      <c r="U847" s="7">
        <f>'1 datos preparados'!T840</f>
        <v/>
      </c>
      <c r="V847" s="8">
        <f>$AE$12+D847*$AE$13+E847*$AE$14+F847*$AE$15+G847*$AE$16+H847*$AE$17+I847*$AE$18+J847*$AE$19+K847*$AE$20+L847*$AE$21+M847*$AE$22+N847*$AE$23+O847*$AE$24+P847*$AE$25+Q847*$AE$26+R847*$AE$27+S847*$AE$28+T847*$AE$29+U847*$AE$30</f>
        <v/>
      </c>
      <c r="W847" s="8">
        <f>1/(1+EXP(-V847))</f>
        <v/>
      </c>
      <c r="X847" s="9">
        <f>-IF(C847=1,LN(W847),LN(1-W847))</f>
        <v/>
      </c>
      <c r="Y847" s="8">
        <f>IF(C847=1,$AE$32,$AE$33)</f>
        <v/>
      </c>
      <c r="Z847" s="9">
        <f>Y847*X847</f>
        <v/>
      </c>
      <c r="AA847" s="10">
        <f>IF(W847&gt;$AE$34,1,0)</f>
        <v/>
      </c>
      <c r="AB847">
        <f>IF(AA847=C847,1,0)</f>
        <v/>
      </c>
    </row>
    <row r="848">
      <c r="A848">
        <f>'1 datos preparados'!A841</f>
        <v/>
      </c>
      <c r="B848" s="5">
        <f>'1 datos preparados'!U841</f>
        <v/>
      </c>
      <c r="C848">
        <f>'1 datos preparados'!B841</f>
        <v/>
      </c>
      <c r="D848" s="7">
        <f>'1 datos preparados'!C841</f>
        <v/>
      </c>
      <c r="E848" s="7">
        <f>'1 datos preparados'!D841</f>
        <v/>
      </c>
      <c r="F848" s="7">
        <f>'1 datos preparados'!E841</f>
        <v/>
      </c>
      <c r="G848" s="7">
        <f>'1 datos preparados'!F841</f>
        <v/>
      </c>
      <c r="H848" s="7">
        <f>'1 datos preparados'!G841</f>
        <v/>
      </c>
      <c r="I848" s="7">
        <f>'1 datos preparados'!H841</f>
        <v/>
      </c>
      <c r="J848" s="7">
        <f>'1 datos preparados'!I841</f>
        <v/>
      </c>
      <c r="K848" s="7">
        <f>'1 datos preparados'!J841</f>
        <v/>
      </c>
      <c r="L848" s="7">
        <f>'1 datos preparados'!K841</f>
        <v/>
      </c>
      <c r="M848" s="7">
        <f>'1 datos preparados'!L841</f>
        <v/>
      </c>
      <c r="N848" s="7">
        <f>'1 datos preparados'!M841</f>
        <v/>
      </c>
      <c r="O848" s="7">
        <f>'1 datos preparados'!N841</f>
        <v/>
      </c>
      <c r="P848" s="7">
        <f>'1 datos preparados'!O841</f>
        <v/>
      </c>
      <c r="Q848" s="7">
        <f>'1 datos preparados'!P841</f>
        <v/>
      </c>
      <c r="R848" s="7">
        <f>'1 datos preparados'!Q841</f>
        <v/>
      </c>
      <c r="S848" s="7">
        <f>'1 datos preparados'!R841</f>
        <v/>
      </c>
      <c r="T848" s="7">
        <f>'1 datos preparados'!S841</f>
        <v/>
      </c>
      <c r="U848" s="7">
        <f>'1 datos preparados'!T841</f>
        <v/>
      </c>
      <c r="V848" s="8">
        <f>$AE$12+D848*$AE$13+E848*$AE$14+F848*$AE$15+G848*$AE$16+H848*$AE$17+I848*$AE$18+J848*$AE$19+K848*$AE$20+L848*$AE$21+M848*$AE$22+N848*$AE$23+O848*$AE$24+P848*$AE$25+Q848*$AE$26+R848*$AE$27+S848*$AE$28+T848*$AE$29+U848*$AE$30</f>
        <v/>
      </c>
      <c r="W848" s="8">
        <f>1/(1+EXP(-V848))</f>
        <v/>
      </c>
      <c r="X848" s="9">
        <f>-IF(C848=1,LN(W848),LN(1-W848))</f>
        <v/>
      </c>
      <c r="Y848" s="8">
        <f>IF(C848=1,$AE$32,$AE$33)</f>
        <v/>
      </c>
      <c r="Z848" s="9">
        <f>Y848*X848</f>
        <v/>
      </c>
      <c r="AA848" s="10">
        <f>IF(W848&gt;$AE$34,1,0)</f>
        <v/>
      </c>
      <c r="AB848">
        <f>IF(AA848=C848,1,0)</f>
        <v/>
      </c>
    </row>
    <row r="849">
      <c r="A849">
        <f>'1 datos preparados'!A842</f>
        <v/>
      </c>
      <c r="B849" s="5">
        <f>'1 datos preparados'!U842</f>
        <v/>
      </c>
      <c r="C849">
        <f>'1 datos preparados'!B842</f>
        <v/>
      </c>
      <c r="D849" s="7">
        <f>'1 datos preparados'!C842</f>
        <v/>
      </c>
      <c r="E849" s="7">
        <f>'1 datos preparados'!D842</f>
        <v/>
      </c>
      <c r="F849" s="7">
        <f>'1 datos preparados'!E842</f>
        <v/>
      </c>
      <c r="G849" s="7">
        <f>'1 datos preparados'!F842</f>
        <v/>
      </c>
      <c r="H849" s="7">
        <f>'1 datos preparados'!G842</f>
        <v/>
      </c>
      <c r="I849" s="7">
        <f>'1 datos preparados'!H842</f>
        <v/>
      </c>
      <c r="J849" s="7">
        <f>'1 datos preparados'!I842</f>
        <v/>
      </c>
      <c r="K849" s="7">
        <f>'1 datos preparados'!J842</f>
        <v/>
      </c>
      <c r="L849" s="7">
        <f>'1 datos preparados'!K842</f>
        <v/>
      </c>
      <c r="M849" s="7">
        <f>'1 datos preparados'!L842</f>
        <v/>
      </c>
      <c r="N849" s="7">
        <f>'1 datos preparados'!M842</f>
        <v/>
      </c>
      <c r="O849" s="7">
        <f>'1 datos preparados'!N842</f>
        <v/>
      </c>
      <c r="P849" s="7">
        <f>'1 datos preparados'!O842</f>
        <v/>
      </c>
      <c r="Q849" s="7">
        <f>'1 datos preparados'!P842</f>
        <v/>
      </c>
      <c r="R849" s="7">
        <f>'1 datos preparados'!Q842</f>
        <v/>
      </c>
      <c r="S849" s="7">
        <f>'1 datos preparados'!R842</f>
        <v/>
      </c>
      <c r="T849" s="7">
        <f>'1 datos preparados'!S842</f>
        <v/>
      </c>
      <c r="U849" s="7">
        <f>'1 datos preparados'!T842</f>
        <v/>
      </c>
      <c r="V849" s="8">
        <f>$AE$12+D849*$AE$13+E849*$AE$14+F849*$AE$15+G849*$AE$16+H849*$AE$17+I849*$AE$18+J849*$AE$19+K849*$AE$20+L849*$AE$21+M849*$AE$22+N849*$AE$23+O849*$AE$24+P849*$AE$25+Q849*$AE$26+R849*$AE$27+S849*$AE$28+T849*$AE$29+U849*$AE$30</f>
        <v/>
      </c>
      <c r="W849" s="8">
        <f>1/(1+EXP(-V849))</f>
        <v/>
      </c>
      <c r="X849" s="9">
        <f>-IF(C849=1,LN(W849),LN(1-W849))</f>
        <v/>
      </c>
      <c r="Y849" s="8">
        <f>IF(C849=1,$AE$32,$AE$33)</f>
        <v/>
      </c>
      <c r="Z849" s="9">
        <f>Y849*X849</f>
        <v/>
      </c>
      <c r="AA849" s="10">
        <f>IF(W849&gt;$AE$34,1,0)</f>
        <v/>
      </c>
      <c r="AB849">
        <f>IF(AA849=C849,1,0)</f>
        <v/>
      </c>
    </row>
    <row r="850">
      <c r="A850">
        <f>'1 datos preparados'!A843</f>
        <v/>
      </c>
      <c r="B850" s="5">
        <f>'1 datos preparados'!U843</f>
        <v/>
      </c>
      <c r="C850">
        <f>'1 datos preparados'!B843</f>
        <v/>
      </c>
      <c r="D850" s="7">
        <f>'1 datos preparados'!C843</f>
        <v/>
      </c>
      <c r="E850" s="7">
        <f>'1 datos preparados'!D843</f>
        <v/>
      </c>
      <c r="F850" s="7">
        <f>'1 datos preparados'!E843</f>
        <v/>
      </c>
      <c r="G850" s="7">
        <f>'1 datos preparados'!F843</f>
        <v/>
      </c>
      <c r="H850" s="7">
        <f>'1 datos preparados'!G843</f>
        <v/>
      </c>
      <c r="I850" s="7">
        <f>'1 datos preparados'!H843</f>
        <v/>
      </c>
      <c r="J850" s="7">
        <f>'1 datos preparados'!I843</f>
        <v/>
      </c>
      <c r="K850" s="7">
        <f>'1 datos preparados'!J843</f>
        <v/>
      </c>
      <c r="L850" s="7">
        <f>'1 datos preparados'!K843</f>
        <v/>
      </c>
      <c r="M850" s="7">
        <f>'1 datos preparados'!L843</f>
        <v/>
      </c>
      <c r="N850" s="7">
        <f>'1 datos preparados'!M843</f>
        <v/>
      </c>
      <c r="O850" s="7">
        <f>'1 datos preparados'!N843</f>
        <v/>
      </c>
      <c r="P850" s="7">
        <f>'1 datos preparados'!O843</f>
        <v/>
      </c>
      <c r="Q850" s="7">
        <f>'1 datos preparados'!P843</f>
        <v/>
      </c>
      <c r="R850" s="7">
        <f>'1 datos preparados'!Q843</f>
        <v/>
      </c>
      <c r="S850" s="7">
        <f>'1 datos preparados'!R843</f>
        <v/>
      </c>
      <c r="T850" s="7">
        <f>'1 datos preparados'!S843</f>
        <v/>
      </c>
      <c r="U850" s="7">
        <f>'1 datos preparados'!T843</f>
        <v/>
      </c>
      <c r="V850" s="8">
        <f>$AE$12+D850*$AE$13+E850*$AE$14+F850*$AE$15+G850*$AE$16+H850*$AE$17+I850*$AE$18+J850*$AE$19+K850*$AE$20+L850*$AE$21+M850*$AE$22+N850*$AE$23+O850*$AE$24+P850*$AE$25+Q850*$AE$26+R850*$AE$27+S850*$AE$28+T850*$AE$29+U850*$AE$30</f>
        <v/>
      </c>
      <c r="W850" s="8">
        <f>1/(1+EXP(-V850))</f>
        <v/>
      </c>
      <c r="X850" s="9">
        <f>-IF(C850=1,LN(W850),LN(1-W850))</f>
        <v/>
      </c>
      <c r="Y850" s="8">
        <f>IF(C850=1,$AE$32,$AE$33)</f>
        <v/>
      </c>
      <c r="Z850" s="9">
        <f>Y850*X850</f>
        <v/>
      </c>
      <c r="AA850" s="10">
        <f>IF(W850&gt;$AE$34,1,0)</f>
        <v/>
      </c>
      <c r="AB850">
        <f>IF(AA850=C850,1,0)</f>
        <v/>
      </c>
    </row>
    <row r="851">
      <c r="A851">
        <f>'1 datos preparados'!A844</f>
        <v/>
      </c>
      <c r="B851" s="5">
        <f>'1 datos preparados'!U844</f>
        <v/>
      </c>
      <c r="C851">
        <f>'1 datos preparados'!B844</f>
        <v/>
      </c>
      <c r="D851" s="7">
        <f>'1 datos preparados'!C844</f>
        <v/>
      </c>
      <c r="E851" s="7">
        <f>'1 datos preparados'!D844</f>
        <v/>
      </c>
      <c r="F851" s="7">
        <f>'1 datos preparados'!E844</f>
        <v/>
      </c>
      <c r="G851" s="7">
        <f>'1 datos preparados'!F844</f>
        <v/>
      </c>
      <c r="H851" s="7">
        <f>'1 datos preparados'!G844</f>
        <v/>
      </c>
      <c r="I851" s="7">
        <f>'1 datos preparados'!H844</f>
        <v/>
      </c>
      <c r="J851" s="7">
        <f>'1 datos preparados'!I844</f>
        <v/>
      </c>
      <c r="K851" s="7">
        <f>'1 datos preparados'!J844</f>
        <v/>
      </c>
      <c r="L851" s="7">
        <f>'1 datos preparados'!K844</f>
        <v/>
      </c>
      <c r="M851" s="7">
        <f>'1 datos preparados'!L844</f>
        <v/>
      </c>
      <c r="N851" s="7">
        <f>'1 datos preparados'!M844</f>
        <v/>
      </c>
      <c r="O851" s="7">
        <f>'1 datos preparados'!N844</f>
        <v/>
      </c>
      <c r="P851" s="7">
        <f>'1 datos preparados'!O844</f>
        <v/>
      </c>
      <c r="Q851" s="7">
        <f>'1 datos preparados'!P844</f>
        <v/>
      </c>
      <c r="R851" s="7">
        <f>'1 datos preparados'!Q844</f>
        <v/>
      </c>
      <c r="S851" s="7">
        <f>'1 datos preparados'!R844</f>
        <v/>
      </c>
      <c r="T851" s="7">
        <f>'1 datos preparados'!S844</f>
        <v/>
      </c>
      <c r="U851" s="7">
        <f>'1 datos preparados'!T844</f>
        <v/>
      </c>
      <c r="V851" s="8">
        <f>$AE$12+D851*$AE$13+E851*$AE$14+F851*$AE$15+G851*$AE$16+H851*$AE$17+I851*$AE$18+J851*$AE$19+K851*$AE$20+L851*$AE$21+M851*$AE$22+N851*$AE$23+O851*$AE$24+P851*$AE$25+Q851*$AE$26+R851*$AE$27+S851*$AE$28+T851*$AE$29+U851*$AE$30</f>
        <v/>
      </c>
      <c r="W851" s="8">
        <f>1/(1+EXP(-V851))</f>
        <v/>
      </c>
      <c r="X851" s="9">
        <f>-IF(C851=1,LN(W851),LN(1-W851))</f>
        <v/>
      </c>
      <c r="Y851" s="8">
        <f>IF(C851=1,$AE$32,$AE$33)</f>
        <v/>
      </c>
      <c r="Z851" s="9">
        <f>Y851*X851</f>
        <v/>
      </c>
      <c r="AA851" s="10">
        <f>IF(W851&gt;$AE$34,1,0)</f>
        <v/>
      </c>
      <c r="AB851">
        <f>IF(AA851=C851,1,0)</f>
        <v/>
      </c>
    </row>
    <row r="852">
      <c r="A852">
        <f>'1 datos preparados'!A845</f>
        <v/>
      </c>
      <c r="B852" s="5">
        <f>'1 datos preparados'!U845</f>
        <v/>
      </c>
      <c r="C852">
        <f>'1 datos preparados'!B845</f>
        <v/>
      </c>
      <c r="D852" s="7">
        <f>'1 datos preparados'!C845</f>
        <v/>
      </c>
      <c r="E852" s="7">
        <f>'1 datos preparados'!D845</f>
        <v/>
      </c>
      <c r="F852" s="7">
        <f>'1 datos preparados'!E845</f>
        <v/>
      </c>
      <c r="G852" s="7">
        <f>'1 datos preparados'!F845</f>
        <v/>
      </c>
      <c r="H852" s="7">
        <f>'1 datos preparados'!G845</f>
        <v/>
      </c>
      <c r="I852" s="7">
        <f>'1 datos preparados'!H845</f>
        <v/>
      </c>
      <c r="J852" s="7">
        <f>'1 datos preparados'!I845</f>
        <v/>
      </c>
      <c r="K852" s="7">
        <f>'1 datos preparados'!J845</f>
        <v/>
      </c>
      <c r="L852" s="7">
        <f>'1 datos preparados'!K845</f>
        <v/>
      </c>
      <c r="M852" s="7">
        <f>'1 datos preparados'!L845</f>
        <v/>
      </c>
      <c r="N852" s="7">
        <f>'1 datos preparados'!M845</f>
        <v/>
      </c>
      <c r="O852" s="7">
        <f>'1 datos preparados'!N845</f>
        <v/>
      </c>
      <c r="P852" s="7">
        <f>'1 datos preparados'!O845</f>
        <v/>
      </c>
      <c r="Q852" s="7">
        <f>'1 datos preparados'!P845</f>
        <v/>
      </c>
      <c r="R852" s="7">
        <f>'1 datos preparados'!Q845</f>
        <v/>
      </c>
      <c r="S852" s="7">
        <f>'1 datos preparados'!R845</f>
        <v/>
      </c>
      <c r="T852" s="7">
        <f>'1 datos preparados'!S845</f>
        <v/>
      </c>
      <c r="U852" s="7">
        <f>'1 datos preparados'!T845</f>
        <v/>
      </c>
      <c r="V852" s="8">
        <f>$AE$12+D852*$AE$13+E852*$AE$14+F852*$AE$15+G852*$AE$16+H852*$AE$17+I852*$AE$18+J852*$AE$19+K852*$AE$20+L852*$AE$21+M852*$AE$22+N852*$AE$23+O852*$AE$24+P852*$AE$25+Q852*$AE$26+R852*$AE$27+S852*$AE$28+T852*$AE$29+U852*$AE$30</f>
        <v/>
      </c>
      <c r="W852" s="8">
        <f>1/(1+EXP(-V852))</f>
        <v/>
      </c>
      <c r="X852" s="9">
        <f>-IF(C852=1,LN(W852),LN(1-W852))</f>
        <v/>
      </c>
      <c r="Y852" s="8">
        <f>IF(C852=1,$AE$32,$AE$33)</f>
        <v/>
      </c>
      <c r="Z852" s="9">
        <f>Y852*X852</f>
        <v/>
      </c>
      <c r="AA852" s="10">
        <f>IF(W852&gt;$AE$34,1,0)</f>
        <v/>
      </c>
      <c r="AB852">
        <f>IF(AA852=C852,1,0)</f>
        <v/>
      </c>
    </row>
    <row r="853">
      <c r="A853">
        <f>'1 datos preparados'!A846</f>
        <v/>
      </c>
      <c r="B853" s="5">
        <f>'1 datos preparados'!U846</f>
        <v/>
      </c>
      <c r="C853">
        <f>'1 datos preparados'!B846</f>
        <v/>
      </c>
      <c r="D853" s="7">
        <f>'1 datos preparados'!C846</f>
        <v/>
      </c>
      <c r="E853" s="7">
        <f>'1 datos preparados'!D846</f>
        <v/>
      </c>
      <c r="F853" s="7">
        <f>'1 datos preparados'!E846</f>
        <v/>
      </c>
      <c r="G853" s="7">
        <f>'1 datos preparados'!F846</f>
        <v/>
      </c>
      <c r="H853" s="7">
        <f>'1 datos preparados'!G846</f>
        <v/>
      </c>
      <c r="I853" s="7">
        <f>'1 datos preparados'!H846</f>
        <v/>
      </c>
      <c r="J853" s="7">
        <f>'1 datos preparados'!I846</f>
        <v/>
      </c>
      <c r="K853" s="7">
        <f>'1 datos preparados'!J846</f>
        <v/>
      </c>
      <c r="L853" s="7">
        <f>'1 datos preparados'!K846</f>
        <v/>
      </c>
      <c r="M853" s="7">
        <f>'1 datos preparados'!L846</f>
        <v/>
      </c>
      <c r="N853" s="7">
        <f>'1 datos preparados'!M846</f>
        <v/>
      </c>
      <c r="O853" s="7">
        <f>'1 datos preparados'!N846</f>
        <v/>
      </c>
      <c r="P853" s="7">
        <f>'1 datos preparados'!O846</f>
        <v/>
      </c>
      <c r="Q853" s="7">
        <f>'1 datos preparados'!P846</f>
        <v/>
      </c>
      <c r="R853" s="7">
        <f>'1 datos preparados'!Q846</f>
        <v/>
      </c>
      <c r="S853" s="7">
        <f>'1 datos preparados'!R846</f>
        <v/>
      </c>
      <c r="T853" s="7">
        <f>'1 datos preparados'!S846</f>
        <v/>
      </c>
      <c r="U853" s="7">
        <f>'1 datos preparados'!T846</f>
        <v/>
      </c>
      <c r="V853" s="8">
        <f>$AE$12+D853*$AE$13+E853*$AE$14+F853*$AE$15+G853*$AE$16+H853*$AE$17+I853*$AE$18+J853*$AE$19+K853*$AE$20+L853*$AE$21+M853*$AE$22+N853*$AE$23+O853*$AE$24+P853*$AE$25+Q853*$AE$26+R853*$AE$27+S853*$AE$28+T853*$AE$29+U853*$AE$30</f>
        <v/>
      </c>
      <c r="W853" s="8">
        <f>1/(1+EXP(-V853))</f>
        <v/>
      </c>
      <c r="X853" s="9">
        <f>-IF(C853=1,LN(W853),LN(1-W853))</f>
        <v/>
      </c>
      <c r="Y853" s="8">
        <f>IF(C853=1,$AE$32,$AE$33)</f>
        <v/>
      </c>
      <c r="Z853" s="9">
        <f>Y853*X853</f>
        <v/>
      </c>
      <c r="AA853" s="10">
        <f>IF(W853&gt;$AE$34,1,0)</f>
        <v/>
      </c>
      <c r="AB853">
        <f>IF(AA853=C853,1,0)</f>
        <v/>
      </c>
    </row>
    <row r="854">
      <c r="A854">
        <f>'1 datos preparados'!A847</f>
        <v/>
      </c>
      <c r="B854" s="5">
        <f>'1 datos preparados'!U847</f>
        <v/>
      </c>
      <c r="C854">
        <f>'1 datos preparados'!B847</f>
        <v/>
      </c>
      <c r="D854" s="7">
        <f>'1 datos preparados'!C847</f>
        <v/>
      </c>
      <c r="E854" s="7">
        <f>'1 datos preparados'!D847</f>
        <v/>
      </c>
      <c r="F854" s="7">
        <f>'1 datos preparados'!E847</f>
        <v/>
      </c>
      <c r="G854" s="7">
        <f>'1 datos preparados'!F847</f>
        <v/>
      </c>
      <c r="H854" s="7">
        <f>'1 datos preparados'!G847</f>
        <v/>
      </c>
      <c r="I854" s="7">
        <f>'1 datos preparados'!H847</f>
        <v/>
      </c>
      <c r="J854" s="7">
        <f>'1 datos preparados'!I847</f>
        <v/>
      </c>
      <c r="K854" s="7">
        <f>'1 datos preparados'!J847</f>
        <v/>
      </c>
      <c r="L854" s="7">
        <f>'1 datos preparados'!K847</f>
        <v/>
      </c>
      <c r="M854" s="7">
        <f>'1 datos preparados'!L847</f>
        <v/>
      </c>
      <c r="N854" s="7">
        <f>'1 datos preparados'!M847</f>
        <v/>
      </c>
      <c r="O854" s="7">
        <f>'1 datos preparados'!N847</f>
        <v/>
      </c>
      <c r="P854" s="7">
        <f>'1 datos preparados'!O847</f>
        <v/>
      </c>
      <c r="Q854" s="7">
        <f>'1 datos preparados'!P847</f>
        <v/>
      </c>
      <c r="R854" s="7">
        <f>'1 datos preparados'!Q847</f>
        <v/>
      </c>
      <c r="S854" s="7">
        <f>'1 datos preparados'!R847</f>
        <v/>
      </c>
      <c r="T854" s="7">
        <f>'1 datos preparados'!S847</f>
        <v/>
      </c>
      <c r="U854" s="7">
        <f>'1 datos preparados'!T847</f>
        <v/>
      </c>
      <c r="V854" s="8">
        <f>$AE$12+D854*$AE$13+E854*$AE$14+F854*$AE$15+G854*$AE$16+H854*$AE$17+I854*$AE$18+J854*$AE$19+K854*$AE$20+L854*$AE$21+M854*$AE$22+N854*$AE$23+O854*$AE$24+P854*$AE$25+Q854*$AE$26+R854*$AE$27+S854*$AE$28+T854*$AE$29+U854*$AE$30</f>
        <v/>
      </c>
      <c r="W854" s="8">
        <f>1/(1+EXP(-V854))</f>
        <v/>
      </c>
      <c r="X854" s="9">
        <f>-IF(C854=1,LN(W854),LN(1-W854))</f>
        <v/>
      </c>
      <c r="Y854" s="8">
        <f>IF(C854=1,$AE$32,$AE$33)</f>
        <v/>
      </c>
      <c r="Z854" s="9">
        <f>Y854*X854</f>
        <v/>
      </c>
      <c r="AA854" s="10">
        <f>IF(W854&gt;$AE$34,1,0)</f>
        <v/>
      </c>
      <c r="AB854">
        <f>IF(AA854=C854,1,0)</f>
        <v/>
      </c>
    </row>
    <row r="855">
      <c r="A855">
        <f>'1 datos preparados'!A848</f>
        <v/>
      </c>
      <c r="B855" s="5">
        <f>'1 datos preparados'!U848</f>
        <v/>
      </c>
      <c r="C855">
        <f>'1 datos preparados'!B848</f>
        <v/>
      </c>
      <c r="D855" s="7">
        <f>'1 datos preparados'!C848</f>
        <v/>
      </c>
      <c r="E855" s="7">
        <f>'1 datos preparados'!D848</f>
        <v/>
      </c>
      <c r="F855" s="7">
        <f>'1 datos preparados'!E848</f>
        <v/>
      </c>
      <c r="G855" s="7">
        <f>'1 datos preparados'!F848</f>
        <v/>
      </c>
      <c r="H855" s="7">
        <f>'1 datos preparados'!G848</f>
        <v/>
      </c>
      <c r="I855" s="7">
        <f>'1 datos preparados'!H848</f>
        <v/>
      </c>
      <c r="J855" s="7">
        <f>'1 datos preparados'!I848</f>
        <v/>
      </c>
      <c r="K855" s="7">
        <f>'1 datos preparados'!J848</f>
        <v/>
      </c>
      <c r="L855" s="7">
        <f>'1 datos preparados'!K848</f>
        <v/>
      </c>
      <c r="M855" s="7">
        <f>'1 datos preparados'!L848</f>
        <v/>
      </c>
      <c r="N855" s="7">
        <f>'1 datos preparados'!M848</f>
        <v/>
      </c>
      <c r="O855" s="7">
        <f>'1 datos preparados'!N848</f>
        <v/>
      </c>
      <c r="P855" s="7">
        <f>'1 datos preparados'!O848</f>
        <v/>
      </c>
      <c r="Q855" s="7">
        <f>'1 datos preparados'!P848</f>
        <v/>
      </c>
      <c r="R855" s="7">
        <f>'1 datos preparados'!Q848</f>
        <v/>
      </c>
      <c r="S855" s="7">
        <f>'1 datos preparados'!R848</f>
        <v/>
      </c>
      <c r="T855" s="7">
        <f>'1 datos preparados'!S848</f>
        <v/>
      </c>
      <c r="U855" s="7">
        <f>'1 datos preparados'!T848</f>
        <v/>
      </c>
      <c r="V855" s="8">
        <f>$AE$12+D855*$AE$13+E855*$AE$14+F855*$AE$15+G855*$AE$16+H855*$AE$17+I855*$AE$18+J855*$AE$19+K855*$AE$20+L855*$AE$21+M855*$AE$22+N855*$AE$23+O855*$AE$24+P855*$AE$25+Q855*$AE$26+R855*$AE$27+S855*$AE$28+T855*$AE$29+U855*$AE$30</f>
        <v/>
      </c>
      <c r="W855" s="8">
        <f>1/(1+EXP(-V855))</f>
        <v/>
      </c>
      <c r="X855" s="9">
        <f>-IF(C855=1,LN(W855),LN(1-W855))</f>
        <v/>
      </c>
      <c r="Y855" s="8">
        <f>IF(C855=1,$AE$32,$AE$33)</f>
        <v/>
      </c>
      <c r="Z855" s="9">
        <f>Y855*X855</f>
        <v/>
      </c>
      <c r="AA855" s="10">
        <f>IF(W855&gt;$AE$34,1,0)</f>
        <v/>
      </c>
      <c r="AB855">
        <f>IF(AA855=C855,1,0)</f>
        <v/>
      </c>
    </row>
    <row r="856">
      <c r="A856">
        <f>'1 datos preparados'!A849</f>
        <v/>
      </c>
      <c r="B856" s="5">
        <f>'1 datos preparados'!U849</f>
        <v/>
      </c>
      <c r="C856">
        <f>'1 datos preparados'!B849</f>
        <v/>
      </c>
      <c r="D856" s="7">
        <f>'1 datos preparados'!C849</f>
        <v/>
      </c>
      <c r="E856" s="7">
        <f>'1 datos preparados'!D849</f>
        <v/>
      </c>
      <c r="F856" s="7">
        <f>'1 datos preparados'!E849</f>
        <v/>
      </c>
      <c r="G856" s="7">
        <f>'1 datos preparados'!F849</f>
        <v/>
      </c>
      <c r="H856" s="7">
        <f>'1 datos preparados'!G849</f>
        <v/>
      </c>
      <c r="I856" s="7">
        <f>'1 datos preparados'!H849</f>
        <v/>
      </c>
      <c r="J856" s="7">
        <f>'1 datos preparados'!I849</f>
        <v/>
      </c>
      <c r="K856" s="7">
        <f>'1 datos preparados'!J849</f>
        <v/>
      </c>
      <c r="L856" s="7">
        <f>'1 datos preparados'!K849</f>
        <v/>
      </c>
      <c r="M856" s="7">
        <f>'1 datos preparados'!L849</f>
        <v/>
      </c>
      <c r="N856" s="7">
        <f>'1 datos preparados'!M849</f>
        <v/>
      </c>
      <c r="O856" s="7">
        <f>'1 datos preparados'!N849</f>
        <v/>
      </c>
      <c r="P856" s="7">
        <f>'1 datos preparados'!O849</f>
        <v/>
      </c>
      <c r="Q856" s="7">
        <f>'1 datos preparados'!P849</f>
        <v/>
      </c>
      <c r="R856" s="7">
        <f>'1 datos preparados'!Q849</f>
        <v/>
      </c>
      <c r="S856" s="7">
        <f>'1 datos preparados'!R849</f>
        <v/>
      </c>
      <c r="T856" s="7">
        <f>'1 datos preparados'!S849</f>
        <v/>
      </c>
      <c r="U856" s="7">
        <f>'1 datos preparados'!T849</f>
        <v/>
      </c>
      <c r="V856" s="8">
        <f>$AE$12+D856*$AE$13+E856*$AE$14+F856*$AE$15+G856*$AE$16+H856*$AE$17+I856*$AE$18+J856*$AE$19+K856*$AE$20+L856*$AE$21+M856*$AE$22+N856*$AE$23+O856*$AE$24+P856*$AE$25+Q856*$AE$26+R856*$AE$27+S856*$AE$28+T856*$AE$29+U856*$AE$30</f>
        <v/>
      </c>
      <c r="W856" s="8">
        <f>1/(1+EXP(-V856))</f>
        <v/>
      </c>
      <c r="X856" s="9">
        <f>-IF(C856=1,LN(W856),LN(1-W856))</f>
        <v/>
      </c>
      <c r="Y856" s="8">
        <f>IF(C856=1,$AE$32,$AE$33)</f>
        <v/>
      </c>
      <c r="Z856" s="9">
        <f>Y856*X856</f>
        <v/>
      </c>
      <c r="AA856" s="10">
        <f>IF(W856&gt;$AE$34,1,0)</f>
        <v/>
      </c>
      <c r="AB856">
        <f>IF(AA856=C856,1,0)</f>
        <v/>
      </c>
    </row>
    <row r="857">
      <c r="A857">
        <f>'1 datos preparados'!A850</f>
        <v/>
      </c>
      <c r="B857" s="5">
        <f>'1 datos preparados'!U850</f>
        <v/>
      </c>
      <c r="C857">
        <f>'1 datos preparados'!B850</f>
        <v/>
      </c>
      <c r="D857" s="7">
        <f>'1 datos preparados'!C850</f>
        <v/>
      </c>
      <c r="E857" s="7">
        <f>'1 datos preparados'!D850</f>
        <v/>
      </c>
      <c r="F857" s="7">
        <f>'1 datos preparados'!E850</f>
        <v/>
      </c>
      <c r="G857" s="7">
        <f>'1 datos preparados'!F850</f>
        <v/>
      </c>
      <c r="H857" s="7">
        <f>'1 datos preparados'!G850</f>
        <v/>
      </c>
      <c r="I857" s="7">
        <f>'1 datos preparados'!H850</f>
        <v/>
      </c>
      <c r="J857" s="7">
        <f>'1 datos preparados'!I850</f>
        <v/>
      </c>
      <c r="K857" s="7">
        <f>'1 datos preparados'!J850</f>
        <v/>
      </c>
      <c r="L857" s="7">
        <f>'1 datos preparados'!K850</f>
        <v/>
      </c>
      <c r="M857" s="7">
        <f>'1 datos preparados'!L850</f>
        <v/>
      </c>
      <c r="N857" s="7">
        <f>'1 datos preparados'!M850</f>
        <v/>
      </c>
      <c r="O857" s="7">
        <f>'1 datos preparados'!N850</f>
        <v/>
      </c>
      <c r="P857" s="7">
        <f>'1 datos preparados'!O850</f>
        <v/>
      </c>
      <c r="Q857" s="7">
        <f>'1 datos preparados'!P850</f>
        <v/>
      </c>
      <c r="R857" s="7">
        <f>'1 datos preparados'!Q850</f>
        <v/>
      </c>
      <c r="S857" s="7">
        <f>'1 datos preparados'!R850</f>
        <v/>
      </c>
      <c r="T857" s="7">
        <f>'1 datos preparados'!S850</f>
        <v/>
      </c>
      <c r="U857" s="7">
        <f>'1 datos preparados'!T850</f>
        <v/>
      </c>
      <c r="V857" s="8">
        <f>$AE$12+D857*$AE$13+E857*$AE$14+F857*$AE$15+G857*$AE$16+H857*$AE$17+I857*$AE$18+J857*$AE$19+K857*$AE$20+L857*$AE$21+M857*$AE$22+N857*$AE$23+O857*$AE$24+P857*$AE$25+Q857*$AE$26+R857*$AE$27+S857*$AE$28+T857*$AE$29+U857*$AE$30</f>
        <v/>
      </c>
      <c r="W857" s="8">
        <f>1/(1+EXP(-V857))</f>
        <v/>
      </c>
      <c r="X857" s="9">
        <f>-IF(C857=1,LN(W857),LN(1-W857))</f>
        <v/>
      </c>
      <c r="Y857" s="8">
        <f>IF(C857=1,$AE$32,$AE$33)</f>
        <v/>
      </c>
      <c r="Z857" s="9">
        <f>Y857*X857</f>
        <v/>
      </c>
      <c r="AA857" s="10">
        <f>IF(W857&gt;$AE$34,1,0)</f>
        <v/>
      </c>
      <c r="AB857">
        <f>IF(AA857=C857,1,0)</f>
        <v/>
      </c>
    </row>
    <row r="858">
      <c r="A858">
        <f>'1 datos preparados'!A851</f>
        <v/>
      </c>
      <c r="B858" s="5">
        <f>'1 datos preparados'!U851</f>
        <v/>
      </c>
      <c r="C858">
        <f>'1 datos preparados'!B851</f>
        <v/>
      </c>
      <c r="D858" s="7">
        <f>'1 datos preparados'!C851</f>
        <v/>
      </c>
      <c r="E858" s="7">
        <f>'1 datos preparados'!D851</f>
        <v/>
      </c>
      <c r="F858" s="7">
        <f>'1 datos preparados'!E851</f>
        <v/>
      </c>
      <c r="G858" s="7">
        <f>'1 datos preparados'!F851</f>
        <v/>
      </c>
      <c r="H858" s="7">
        <f>'1 datos preparados'!G851</f>
        <v/>
      </c>
      <c r="I858" s="7">
        <f>'1 datos preparados'!H851</f>
        <v/>
      </c>
      <c r="J858" s="7">
        <f>'1 datos preparados'!I851</f>
        <v/>
      </c>
      <c r="K858" s="7">
        <f>'1 datos preparados'!J851</f>
        <v/>
      </c>
      <c r="L858" s="7">
        <f>'1 datos preparados'!K851</f>
        <v/>
      </c>
      <c r="M858" s="7">
        <f>'1 datos preparados'!L851</f>
        <v/>
      </c>
      <c r="N858" s="7">
        <f>'1 datos preparados'!M851</f>
        <v/>
      </c>
      <c r="O858" s="7">
        <f>'1 datos preparados'!N851</f>
        <v/>
      </c>
      <c r="P858" s="7">
        <f>'1 datos preparados'!O851</f>
        <v/>
      </c>
      <c r="Q858" s="7">
        <f>'1 datos preparados'!P851</f>
        <v/>
      </c>
      <c r="R858" s="7">
        <f>'1 datos preparados'!Q851</f>
        <v/>
      </c>
      <c r="S858" s="7">
        <f>'1 datos preparados'!R851</f>
        <v/>
      </c>
      <c r="T858" s="7">
        <f>'1 datos preparados'!S851</f>
        <v/>
      </c>
      <c r="U858" s="7">
        <f>'1 datos preparados'!T851</f>
        <v/>
      </c>
      <c r="V858" s="8">
        <f>$AE$12+D858*$AE$13+E858*$AE$14+F858*$AE$15+G858*$AE$16+H858*$AE$17+I858*$AE$18+J858*$AE$19+K858*$AE$20+L858*$AE$21+M858*$AE$22+N858*$AE$23+O858*$AE$24+P858*$AE$25+Q858*$AE$26+R858*$AE$27+S858*$AE$28+T858*$AE$29+U858*$AE$30</f>
        <v/>
      </c>
      <c r="W858" s="8">
        <f>1/(1+EXP(-V858))</f>
        <v/>
      </c>
      <c r="X858" s="9">
        <f>-IF(C858=1,LN(W858),LN(1-W858))</f>
        <v/>
      </c>
      <c r="Y858" s="8">
        <f>IF(C858=1,$AE$32,$AE$33)</f>
        <v/>
      </c>
      <c r="Z858" s="9">
        <f>Y858*X858</f>
        <v/>
      </c>
      <c r="AA858" s="10">
        <f>IF(W858&gt;$AE$34,1,0)</f>
        <v/>
      </c>
      <c r="AB858">
        <f>IF(AA858=C858,1,0)</f>
        <v/>
      </c>
    </row>
    <row r="859">
      <c r="A859">
        <f>'1 datos preparados'!A852</f>
        <v/>
      </c>
      <c r="B859" s="5">
        <f>'1 datos preparados'!U852</f>
        <v/>
      </c>
      <c r="C859">
        <f>'1 datos preparados'!B852</f>
        <v/>
      </c>
      <c r="D859" s="7">
        <f>'1 datos preparados'!C852</f>
        <v/>
      </c>
      <c r="E859" s="7">
        <f>'1 datos preparados'!D852</f>
        <v/>
      </c>
      <c r="F859" s="7">
        <f>'1 datos preparados'!E852</f>
        <v/>
      </c>
      <c r="G859" s="7">
        <f>'1 datos preparados'!F852</f>
        <v/>
      </c>
      <c r="H859" s="7">
        <f>'1 datos preparados'!G852</f>
        <v/>
      </c>
      <c r="I859" s="7">
        <f>'1 datos preparados'!H852</f>
        <v/>
      </c>
      <c r="J859" s="7">
        <f>'1 datos preparados'!I852</f>
        <v/>
      </c>
      <c r="K859" s="7">
        <f>'1 datos preparados'!J852</f>
        <v/>
      </c>
      <c r="L859" s="7">
        <f>'1 datos preparados'!K852</f>
        <v/>
      </c>
      <c r="M859" s="7">
        <f>'1 datos preparados'!L852</f>
        <v/>
      </c>
      <c r="N859" s="7">
        <f>'1 datos preparados'!M852</f>
        <v/>
      </c>
      <c r="O859" s="7">
        <f>'1 datos preparados'!N852</f>
        <v/>
      </c>
      <c r="P859" s="7">
        <f>'1 datos preparados'!O852</f>
        <v/>
      </c>
      <c r="Q859" s="7">
        <f>'1 datos preparados'!P852</f>
        <v/>
      </c>
      <c r="R859" s="7">
        <f>'1 datos preparados'!Q852</f>
        <v/>
      </c>
      <c r="S859" s="7">
        <f>'1 datos preparados'!R852</f>
        <v/>
      </c>
      <c r="T859" s="7">
        <f>'1 datos preparados'!S852</f>
        <v/>
      </c>
      <c r="U859" s="7">
        <f>'1 datos preparados'!T852</f>
        <v/>
      </c>
      <c r="V859" s="8">
        <f>$AE$12+D859*$AE$13+E859*$AE$14+F859*$AE$15+G859*$AE$16+H859*$AE$17+I859*$AE$18+J859*$AE$19+K859*$AE$20+L859*$AE$21+M859*$AE$22+N859*$AE$23+O859*$AE$24+P859*$AE$25+Q859*$AE$26+R859*$AE$27+S859*$AE$28+T859*$AE$29+U859*$AE$30</f>
        <v/>
      </c>
      <c r="W859" s="8">
        <f>1/(1+EXP(-V859))</f>
        <v/>
      </c>
      <c r="X859" s="9">
        <f>-IF(C859=1,LN(W859),LN(1-W859))</f>
        <v/>
      </c>
      <c r="Y859" s="8">
        <f>IF(C859=1,$AE$32,$AE$33)</f>
        <v/>
      </c>
      <c r="Z859" s="9">
        <f>Y859*X859</f>
        <v/>
      </c>
      <c r="AA859" s="10">
        <f>IF(W859&gt;$AE$34,1,0)</f>
        <v/>
      </c>
      <c r="AB859">
        <f>IF(AA859=C859,1,0)</f>
        <v/>
      </c>
    </row>
    <row r="860">
      <c r="A860">
        <f>'1 datos preparados'!A853</f>
        <v/>
      </c>
      <c r="B860" s="5">
        <f>'1 datos preparados'!U853</f>
        <v/>
      </c>
      <c r="C860">
        <f>'1 datos preparados'!B853</f>
        <v/>
      </c>
      <c r="D860" s="7">
        <f>'1 datos preparados'!C853</f>
        <v/>
      </c>
      <c r="E860" s="7">
        <f>'1 datos preparados'!D853</f>
        <v/>
      </c>
      <c r="F860" s="7">
        <f>'1 datos preparados'!E853</f>
        <v/>
      </c>
      <c r="G860" s="7">
        <f>'1 datos preparados'!F853</f>
        <v/>
      </c>
      <c r="H860" s="7">
        <f>'1 datos preparados'!G853</f>
        <v/>
      </c>
      <c r="I860" s="7">
        <f>'1 datos preparados'!H853</f>
        <v/>
      </c>
      <c r="J860" s="7">
        <f>'1 datos preparados'!I853</f>
        <v/>
      </c>
      <c r="K860" s="7">
        <f>'1 datos preparados'!J853</f>
        <v/>
      </c>
      <c r="L860" s="7">
        <f>'1 datos preparados'!K853</f>
        <v/>
      </c>
      <c r="M860" s="7">
        <f>'1 datos preparados'!L853</f>
        <v/>
      </c>
      <c r="N860" s="7">
        <f>'1 datos preparados'!M853</f>
        <v/>
      </c>
      <c r="O860" s="7">
        <f>'1 datos preparados'!N853</f>
        <v/>
      </c>
      <c r="P860" s="7">
        <f>'1 datos preparados'!O853</f>
        <v/>
      </c>
      <c r="Q860" s="7">
        <f>'1 datos preparados'!P853</f>
        <v/>
      </c>
      <c r="R860" s="7">
        <f>'1 datos preparados'!Q853</f>
        <v/>
      </c>
      <c r="S860" s="7">
        <f>'1 datos preparados'!R853</f>
        <v/>
      </c>
      <c r="T860" s="7">
        <f>'1 datos preparados'!S853</f>
        <v/>
      </c>
      <c r="U860" s="7">
        <f>'1 datos preparados'!T853</f>
        <v/>
      </c>
      <c r="V860" s="8">
        <f>$AE$12+D860*$AE$13+E860*$AE$14+F860*$AE$15+G860*$AE$16+H860*$AE$17+I860*$AE$18+J860*$AE$19+K860*$AE$20+L860*$AE$21+M860*$AE$22+N860*$AE$23+O860*$AE$24+P860*$AE$25+Q860*$AE$26+R860*$AE$27+S860*$AE$28+T860*$AE$29+U860*$AE$30</f>
        <v/>
      </c>
      <c r="W860" s="8">
        <f>1/(1+EXP(-V860))</f>
        <v/>
      </c>
      <c r="X860" s="9">
        <f>-IF(C860=1,LN(W860),LN(1-W860))</f>
        <v/>
      </c>
      <c r="Y860" s="8">
        <f>IF(C860=1,$AE$32,$AE$33)</f>
        <v/>
      </c>
      <c r="Z860" s="9">
        <f>Y860*X860</f>
        <v/>
      </c>
      <c r="AA860" s="10">
        <f>IF(W860&gt;$AE$34,1,0)</f>
        <v/>
      </c>
      <c r="AB860">
        <f>IF(AA860=C860,1,0)</f>
        <v/>
      </c>
    </row>
    <row r="861">
      <c r="A861">
        <f>'1 datos preparados'!A854</f>
        <v/>
      </c>
      <c r="B861" s="5">
        <f>'1 datos preparados'!U854</f>
        <v/>
      </c>
      <c r="C861">
        <f>'1 datos preparados'!B854</f>
        <v/>
      </c>
      <c r="D861" s="7">
        <f>'1 datos preparados'!C854</f>
        <v/>
      </c>
      <c r="E861" s="7">
        <f>'1 datos preparados'!D854</f>
        <v/>
      </c>
      <c r="F861" s="7">
        <f>'1 datos preparados'!E854</f>
        <v/>
      </c>
      <c r="G861" s="7">
        <f>'1 datos preparados'!F854</f>
        <v/>
      </c>
      <c r="H861" s="7">
        <f>'1 datos preparados'!G854</f>
        <v/>
      </c>
      <c r="I861" s="7">
        <f>'1 datos preparados'!H854</f>
        <v/>
      </c>
      <c r="J861" s="7">
        <f>'1 datos preparados'!I854</f>
        <v/>
      </c>
      <c r="K861" s="7">
        <f>'1 datos preparados'!J854</f>
        <v/>
      </c>
      <c r="L861" s="7">
        <f>'1 datos preparados'!K854</f>
        <v/>
      </c>
      <c r="M861" s="7">
        <f>'1 datos preparados'!L854</f>
        <v/>
      </c>
      <c r="N861" s="7">
        <f>'1 datos preparados'!M854</f>
        <v/>
      </c>
      <c r="O861" s="7">
        <f>'1 datos preparados'!N854</f>
        <v/>
      </c>
      <c r="P861" s="7">
        <f>'1 datos preparados'!O854</f>
        <v/>
      </c>
      <c r="Q861" s="7">
        <f>'1 datos preparados'!P854</f>
        <v/>
      </c>
      <c r="R861" s="7">
        <f>'1 datos preparados'!Q854</f>
        <v/>
      </c>
      <c r="S861" s="7">
        <f>'1 datos preparados'!R854</f>
        <v/>
      </c>
      <c r="T861" s="7">
        <f>'1 datos preparados'!S854</f>
        <v/>
      </c>
      <c r="U861" s="7">
        <f>'1 datos preparados'!T854</f>
        <v/>
      </c>
      <c r="V861" s="8">
        <f>$AE$12+D861*$AE$13+E861*$AE$14+F861*$AE$15+G861*$AE$16+H861*$AE$17+I861*$AE$18+J861*$AE$19+K861*$AE$20+L861*$AE$21+M861*$AE$22+N861*$AE$23+O861*$AE$24+P861*$AE$25+Q861*$AE$26+R861*$AE$27+S861*$AE$28+T861*$AE$29+U861*$AE$30</f>
        <v/>
      </c>
      <c r="W861" s="8">
        <f>1/(1+EXP(-V861))</f>
        <v/>
      </c>
      <c r="X861" s="9">
        <f>-IF(C861=1,LN(W861),LN(1-W861))</f>
        <v/>
      </c>
      <c r="Y861" s="8">
        <f>IF(C861=1,$AE$32,$AE$33)</f>
        <v/>
      </c>
      <c r="Z861" s="9">
        <f>Y861*X861</f>
        <v/>
      </c>
      <c r="AA861" s="10">
        <f>IF(W861&gt;$AE$34,1,0)</f>
        <v/>
      </c>
      <c r="AB861">
        <f>IF(AA861=C861,1,0)</f>
        <v/>
      </c>
    </row>
    <row r="862">
      <c r="A862">
        <f>'1 datos preparados'!A855</f>
        <v/>
      </c>
      <c r="B862" s="5">
        <f>'1 datos preparados'!U855</f>
        <v/>
      </c>
      <c r="C862">
        <f>'1 datos preparados'!B855</f>
        <v/>
      </c>
      <c r="D862" s="7">
        <f>'1 datos preparados'!C855</f>
        <v/>
      </c>
      <c r="E862" s="7">
        <f>'1 datos preparados'!D855</f>
        <v/>
      </c>
      <c r="F862" s="7">
        <f>'1 datos preparados'!E855</f>
        <v/>
      </c>
      <c r="G862" s="7">
        <f>'1 datos preparados'!F855</f>
        <v/>
      </c>
      <c r="H862" s="7">
        <f>'1 datos preparados'!G855</f>
        <v/>
      </c>
      <c r="I862" s="7">
        <f>'1 datos preparados'!H855</f>
        <v/>
      </c>
      <c r="J862" s="7">
        <f>'1 datos preparados'!I855</f>
        <v/>
      </c>
      <c r="K862" s="7">
        <f>'1 datos preparados'!J855</f>
        <v/>
      </c>
      <c r="L862" s="7">
        <f>'1 datos preparados'!K855</f>
        <v/>
      </c>
      <c r="M862" s="7">
        <f>'1 datos preparados'!L855</f>
        <v/>
      </c>
      <c r="N862" s="7">
        <f>'1 datos preparados'!M855</f>
        <v/>
      </c>
      <c r="O862" s="7">
        <f>'1 datos preparados'!N855</f>
        <v/>
      </c>
      <c r="P862" s="7">
        <f>'1 datos preparados'!O855</f>
        <v/>
      </c>
      <c r="Q862" s="7">
        <f>'1 datos preparados'!P855</f>
        <v/>
      </c>
      <c r="R862" s="7">
        <f>'1 datos preparados'!Q855</f>
        <v/>
      </c>
      <c r="S862" s="7">
        <f>'1 datos preparados'!R855</f>
        <v/>
      </c>
      <c r="T862" s="7">
        <f>'1 datos preparados'!S855</f>
        <v/>
      </c>
      <c r="U862" s="7">
        <f>'1 datos preparados'!T855</f>
        <v/>
      </c>
      <c r="V862" s="8">
        <f>$AE$12+D862*$AE$13+E862*$AE$14+F862*$AE$15+G862*$AE$16+H862*$AE$17+I862*$AE$18+J862*$AE$19+K862*$AE$20+L862*$AE$21+M862*$AE$22+N862*$AE$23+O862*$AE$24+P862*$AE$25+Q862*$AE$26+R862*$AE$27+S862*$AE$28+T862*$AE$29+U862*$AE$30</f>
        <v/>
      </c>
      <c r="W862" s="8">
        <f>1/(1+EXP(-V862))</f>
        <v/>
      </c>
      <c r="X862" s="9">
        <f>-IF(C862=1,LN(W862),LN(1-W862))</f>
        <v/>
      </c>
      <c r="Y862" s="8">
        <f>IF(C862=1,$AE$32,$AE$33)</f>
        <v/>
      </c>
      <c r="Z862" s="9">
        <f>Y862*X862</f>
        <v/>
      </c>
      <c r="AA862" s="10">
        <f>IF(W862&gt;$AE$34,1,0)</f>
        <v/>
      </c>
      <c r="AB862">
        <f>IF(AA862=C862,1,0)</f>
        <v/>
      </c>
    </row>
    <row r="863">
      <c r="A863">
        <f>'1 datos preparados'!A856</f>
        <v/>
      </c>
      <c r="B863" s="5">
        <f>'1 datos preparados'!U856</f>
        <v/>
      </c>
      <c r="C863">
        <f>'1 datos preparados'!B856</f>
        <v/>
      </c>
      <c r="D863" s="7">
        <f>'1 datos preparados'!C856</f>
        <v/>
      </c>
      <c r="E863" s="7">
        <f>'1 datos preparados'!D856</f>
        <v/>
      </c>
      <c r="F863" s="7">
        <f>'1 datos preparados'!E856</f>
        <v/>
      </c>
      <c r="G863" s="7">
        <f>'1 datos preparados'!F856</f>
        <v/>
      </c>
      <c r="H863" s="7">
        <f>'1 datos preparados'!G856</f>
        <v/>
      </c>
      <c r="I863" s="7">
        <f>'1 datos preparados'!H856</f>
        <v/>
      </c>
      <c r="J863" s="7">
        <f>'1 datos preparados'!I856</f>
        <v/>
      </c>
      <c r="K863" s="7">
        <f>'1 datos preparados'!J856</f>
        <v/>
      </c>
      <c r="L863" s="7">
        <f>'1 datos preparados'!K856</f>
        <v/>
      </c>
      <c r="M863" s="7">
        <f>'1 datos preparados'!L856</f>
        <v/>
      </c>
      <c r="N863" s="7">
        <f>'1 datos preparados'!M856</f>
        <v/>
      </c>
      <c r="O863" s="7">
        <f>'1 datos preparados'!N856</f>
        <v/>
      </c>
      <c r="P863" s="7">
        <f>'1 datos preparados'!O856</f>
        <v/>
      </c>
      <c r="Q863" s="7">
        <f>'1 datos preparados'!P856</f>
        <v/>
      </c>
      <c r="R863" s="7">
        <f>'1 datos preparados'!Q856</f>
        <v/>
      </c>
      <c r="S863" s="7">
        <f>'1 datos preparados'!R856</f>
        <v/>
      </c>
      <c r="T863" s="7">
        <f>'1 datos preparados'!S856</f>
        <v/>
      </c>
      <c r="U863" s="7">
        <f>'1 datos preparados'!T856</f>
        <v/>
      </c>
      <c r="V863" s="8">
        <f>$AE$12+D863*$AE$13+E863*$AE$14+F863*$AE$15+G863*$AE$16+H863*$AE$17+I863*$AE$18+J863*$AE$19+K863*$AE$20+L863*$AE$21+M863*$AE$22+N863*$AE$23+O863*$AE$24+P863*$AE$25+Q863*$AE$26+R863*$AE$27+S863*$AE$28+T863*$AE$29+U863*$AE$30</f>
        <v/>
      </c>
      <c r="W863" s="8">
        <f>1/(1+EXP(-V863))</f>
        <v/>
      </c>
      <c r="X863" s="9">
        <f>-IF(C863=1,LN(W863),LN(1-W863))</f>
        <v/>
      </c>
      <c r="Y863" s="8">
        <f>IF(C863=1,$AE$32,$AE$33)</f>
        <v/>
      </c>
      <c r="Z863" s="9">
        <f>Y863*X863</f>
        <v/>
      </c>
      <c r="AA863" s="10">
        <f>IF(W863&gt;$AE$34,1,0)</f>
        <v/>
      </c>
      <c r="AB863">
        <f>IF(AA863=C863,1,0)</f>
        <v/>
      </c>
    </row>
    <row r="864">
      <c r="A864">
        <f>'1 datos preparados'!A857</f>
        <v/>
      </c>
      <c r="B864" s="5">
        <f>'1 datos preparados'!U857</f>
        <v/>
      </c>
      <c r="C864">
        <f>'1 datos preparados'!B857</f>
        <v/>
      </c>
      <c r="D864" s="7">
        <f>'1 datos preparados'!C857</f>
        <v/>
      </c>
      <c r="E864" s="7">
        <f>'1 datos preparados'!D857</f>
        <v/>
      </c>
      <c r="F864" s="7">
        <f>'1 datos preparados'!E857</f>
        <v/>
      </c>
      <c r="G864" s="7">
        <f>'1 datos preparados'!F857</f>
        <v/>
      </c>
      <c r="H864" s="7">
        <f>'1 datos preparados'!G857</f>
        <v/>
      </c>
      <c r="I864" s="7">
        <f>'1 datos preparados'!H857</f>
        <v/>
      </c>
      <c r="J864" s="7">
        <f>'1 datos preparados'!I857</f>
        <v/>
      </c>
      <c r="K864" s="7">
        <f>'1 datos preparados'!J857</f>
        <v/>
      </c>
      <c r="L864" s="7">
        <f>'1 datos preparados'!K857</f>
        <v/>
      </c>
      <c r="M864" s="7">
        <f>'1 datos preparados'!L857</f>
        <v/>
      </c>
      <c r="N864" s="7">
        <f>'1 datos preparados'!M857</f>
        <v/>
      </c>
      <c r="O864" s="7">
        <f>'1 datos preparados'!N857</f>
        <v/>
      </c>
      <c r="P864" s="7">
        <f>'1 datos preparados'!O857</f>
        <v/>
      </c>
      <c r="Q864" s="7">
        <f>'1 datos preparados'!P857</f>
        <v/>
      </c>
      <c r="R864" s="7">
        <f>'1 datos preparados'!Q857</f>
        <v/>
      </c>
      <c r="S864" s="7">
        <f>'1 datos preparados'!R857</f>
        <v/>
      </c>
      <c r="T864" s="7">
        <f>'1 datos preparados'!S857</f>
        <v/>
      </c>
      <c r="U864" s="7">
        <f>'1 datos preparados'!T857</f>
        <v/>
      </c>
      <c r="V864" s="8">
        <f>$AE$12+D864*$AE$13+E864*$AE$14+F864*$AE$15+G864*$AE$16+H864*$AE$17+I864*$AE$18+J864*$AE$19+K864*$AE$20+L864*$AE$21+M864*$AE$22+N864*$AE$23+O864*$AE$24+P864*$AE$25+Q864*$AE$26+R864*$AE$27+S864*$AE$28+T864*$AE$29+U864*$AE$30</f>
        <v/>
      </c>
      <c r="W864" s="8">
        <f>1/(1+EXP(-V864))</f>
        <v/>
      </c>
      <c r="X864" s="9">
        <f>-IF(C864=1,LN(W864),LN(1-W864))</f>
        <v/>
      </c>
      <c r="Y864" s="8">
        <f>IF(C864=1,$AE$32,$AE$33)</f>
        <v/>
      </c>
      <c r="Z864" s="9">
        <f>Y864*X864</f>
        <v/>
      </c>
      <c r="AA864" s="10">
        <f>IF(W864&gt;$AE$34,1,0)</f>
        <v/>
      </c>
      <c r="AB864">
        <f>IF(AA864=C864,1,0)</f>
        <v/>
      </c>
    </row>
    <row r="865">
      <c r="A865">
        <f>'1 datos preparados'!A858</f>
        <v/>
      </c>
      <c r="B865" s="5">
        <f>'1 datos preparados'!U858</f>
        <v/>
      </c>
      <c r="C865">
        <f>'1 datos preparados'!B858</f>
        <v/>
      </c>
      <c r="D865" s="7">
        <f>'1 datos preparados'!C858</f>
        <v/>
      </c>
      <c r="E865" s="7">
        <f>'1 datos preparados'!D858</f>
        <v/>
      </c>
      <c r="F865" s="7">
        <f>'1 datos preparados'!E858</f>
        <v/>
      </c>
      <c r="G865" s="7">
        <f>'1 datos preparados'!F858</f>
        <v/>
      </c>
      <c r="H865" s="7">
        <f>'1 datos preparados'!G858</f>
        <v/>
      </c>
      <c r="I865" s="7">
        <f>'1 datos preparados'!H858</f>
        <v/>
      </c>
      <c r="J865" s="7">
        <f>'1 datos preparados'!I858</f>
        <v/>
      </c>
      <c r="K865" s="7">
        <f>'1 datos preparados'!J858</f>
        <v/>
      </c>
      <c r="L865" s="7">
        <f>'1 datos preparados'!K858</f>
        <v/>
      </c>
      <c r="M865" s="7">
        <f>'1 datos preparados'!L858</f>
        <v/>
      </c>
      <c r="N865" s="7">
        <f>'1 datos preparados'!M858</f>
        <v/>
      </c>
      <c r="O865" s="7">
        <f>'1 datos preparados'!N858</f>
        <v/>
      </c>
      <c r="P865" s="7">
        <f>'1 datos preparados'!O858</f>
        <v/>
      </c>
      <c r="Q865" s="7">
        <f>'1 datos preparados'!P858</f>
        <v/>
      </c>
      <c r="R865" s="7">
        <f>'1 datos preparados'!Q858</f>
        <v/>
      </c>
      <c r="S865" s="7">
        <f>'1 datos preparados'!R858</f>
        <v/>
      </c>
      <c r="T865" s="7">
        <f>'1 datos preparados'!S858</f>
        <v/>
      </c>
      <c r="U865" s="7">
        <f>'1 datos preparados'!T858</f>
        <v/>
      </c>
      <c r="V865" s="8">
        <f>$AE$12+D865*$AE$13+E865*$AE$14+F865*$AE$15+G865*$AE$16+H865*$AE$17+I865*$AE$18+J865*$AE$19+K865*$AE$20+L865*$AE$21+M865*$AE$22+N865*$AE$23+O865*$AE$24+P865*$AE$25+Q865*$AE$26+R865*$AE$27+S865*$AE$28+T865*$AE$29+U865*$AE$30</f>
        <v/>
      </c>
      <c r="W865" s="8">
        <f>1/(1+EXP(-V865))</f>
        <v/>
      </c>
      <c r="X865" s="9">
        <f>-IF(C865=1,LN(W865),LN(1-W865))</f>
        <v/>
      </c>
      <c r="Y865" s="8">
        <f>IF(C865=1,$AE$32,$AE$33)</f>
        <v/>
      </c>
      <c r="Z865" s="9">
        <f>Y865*X865</f>
        <v/>
      </c>
      <c r="AA865" s="10">
        <f>IF(W865&gt;$AE$34,1,0)</f>
        <v/>
      </c>
      <c r="AB865">
        <f>IF(AA865=C865,1,0)</f>
        <v/>
      </c>
    </row>
    <row r="866">
      <c r="A866">
        <f>'1 datos preparados'!A859</f>
        <v/>
      </c>
      <c r="B866" s="5">
        <f>'1 datos preparados'!U859</f>
        <v/>
      </c>
      <c r="C866">
        <f>'1 datos preparados'!B859</f>
        <v/>
      </c>
      <c r="D866" s="7">
        <f>'1 datos preparados'!C859</f>
        <v/>
      </c>
      <c r="E866" s="7">
        <f>'1 datos preparados'!D859</f>
        <v/>
      </c>
      <c r="F866" s="7">
        <f>'1 datos preparados'!E859</f>
        <v/>
      </c>
      <c r="G866" s="7">
        <f>'1 datos preparados'!F859</f>
        <v/>
      </c>
      <c r="H866" s="7">
        <f>'1 datos preparados'!G859</f>
        <v/>
      </c>
      <c r="I866" s="7">
        <f>'1 datos preparados'!H859</f>
        <v/>
      </c>
      <c r="J866" s="7">
        <f>'1 datos preparados'!I859</f>
        <v/>
      </c>
      <c r="K866" s="7">
        <f>'1 datos preparados'!J859</f>
        <v/>
      </c>
      <c r="L866" s="7">
        <f>'1 datos preparados'!K859</f>
        <v/>
      </c>
      <c r="M866" s="7">
        <f>'1 datos preparados'!L859</f>
        <v/>
      </c>
      <c r="N866" s="7">
        <f>'1 datos preparados'!M859</f>
        <v/>
      </c>
      <c r="O866" s="7">
        <f>'1 datos preparados'!N859</f>
        <v/>
      </c>
      <c r="P866" s="7">
        <f>'1 datos preparados'!O859</f>
        <v/>
      </c>
      <c r="Q866" s="7">
        <f>'1 datos preparados'!P859</f>
        <v/>
      </c>
      <c r="R866" s="7">
        <f>'1 datos preparados'!Q859</f>
        <v/>
      </c>
      <c r="S866" s="7">
        <f>'1 datos preparados'!R859</f>
        <v/>
      </c>
      <c r="T866" s="7">
        <f>'1 datos preparados'!S859</f>
        <v/>
      </c>
      <c r="U866" s="7">
        <f>'1 datos preparados'!T859</f>
        <v/>
      </c>
      <c r="V866" s="8">
        <f>$AE$12+D866*$AE$13+E866*$AE$14+F866*$AE$15+G866*$AE$16+H866*$AE$17+I866*$AE$18+J866*$AE$19+K866*$AE$20+L866*$AE$21+M866*$AE$22+N866*$AE$23+O866*$AE$24+P866*$AE$25+Q866*$AE$26+R866*$AE$27+S866*$AE$28+T866*$AE$29+U866*$AE$30</f>
        <v/>
      </c>
      <c r="W866" s="8">
        <f>1/(1+EXP(-V866))</f>
        <v/>
      </c>
      <c r="X866" s="9">
        <f>-IF(C866=1,LN(W866),LN(1-W866))</f>
        <v/>
      </c>
      <c r="Y866" s="8">
        <f>IF(C866=1,$AE$32,$AE$33)</f>
        <v/>
      </c>
      <c r="Z866" s="9">
        <f>Y866*X866</f>
        <v/>
      </c>
      <c r="AA866" s="10">
        <f>IF(W866&gt;$AE$34,1,0)</f>
        <v/>
      </c>
      <c r="AB866">
        <f>IF(AA866=C866,1,0)</f>
        <v/>
      </c>
    </row>
    <row r="867">
      <c r="A867">
        <f>'1 datos preparados'!A860</f>
        <v/>
      </c>
      <c r="B867" s="5">
        <f>'1 datos preparados'!U860</f>
        <v/>
      </c>
      <c r="C867">
        <f>'1 datos preparados'!B860</f>
        <v/>
      </c>
      <c r="D867" s="7">
        <f>'1 datos preparados'!C860</f>
        <v/>
      </c>
      <c r="E867" s="7">
        <f>'1 datos preparados'!D860</f>
        <v/>
      </c>
      <c r="F867" s="7">
        <f>'1 datos preparados'!E860</f>
        <v/>
      </c>
      <c r="G867" s="7">
        <f>'1 datos preparados'!F860</f>
        <v/>
      </c>
      <c r="H867" s="7">
        <f>'1 datos preparados'!G860</f>
        <v/>
      </c>
      <c r="I867" s="7">
        <f>'1 datos preparados'!H860</f>
        <v/>
      </c>
      <c r="J867" s="7">
        <f>'1 datos preparados'!I860</f>
        <v/>
      </c>
      <c r="K867" s="7">
        <f>'1 datos preparados'!J860</f>
        <v/>
      </c>
      <c r="L867" s="7">
        <f>'1 datos preparados'!K860</f>
        <v/>
      </c>
      <c r="M867" s="7">
        <f>'1 datos preparados'!L860</f>
        <v/>
      </c>
      <c r="N867" s="7">
        <f>'1 datos preparados'!M860</f>
        <v/>
      </c>
      <c r="O867" s="7">
        <f>'1 datos preparados'!N860</f>
        <v/>
      </c>
      <c r="P867" s="7">
        <f>'1 datos preparados'!O860</f>
        <v/>
      </c>
      <c r="Q867" s="7">
        <f>'1 datos preparados'!P860</f>
        <v/>
      </c>
      <c r="R867" s="7">
        <f>'1 datos preparados'!Q860</f>
        <v/>
      </c>
      <c r="S867" s="7">
        <f>'1 datos preparados'!R860</f>
        <v/>
      </c>
      <c r="T867" s="7">
        <f>'1 datos preparados'!S860</f>
        <v/>
      </c>
      <c r="U867" s="7">
        <f>'1 datos preparados'!T860</f>
        <v/>
      </c>
      <c r="V867" s="8">
        <f>$AE$12+D867*$AE$13+E867*$AE$14+F867*$AE$15+G867*$AE$16+H867*$AE$17+I867*$AE$18+J867*$AE$19+K867*$AE$20+L867*$AE$21+M867*$AE$22+N867*$AE$23+O867*$AE$24+P867*$AE$25+Q867*$AE$26+R867*$AE$27+S867*$AE$28+T867*$AE$29+U867*$AE$30</f>
        <v/>
      </c>
      <c r="W867" s="8">
        <f>1/(1+EXP(-V867))</f>
        <v/>
      </c>
      <c r="X867" s="9">
        <f>-IF(C867=1,LN(W867),LN(1-W867))</f>
        <v/>
      </c>
      <c r="Y867" s="8">
        <f>IF(C867=1,$AE$32,$AE$33)</f>
        <v/>
      </c>
      <c r="Z867" s="9">
        <f>Y867*X867</f>
        <v/>
      </c>
      <c r="AA867" s="10">
        <f>IF(W867&gt;$AE$34,1,0)</f>
        <v/>
      </c>
      <c r="AB867">
        <f>IF(AA867=C867,1,0)</f>
        <v/>
      </c>
    </row>
    <row r="868">
      <c r="A868">
        <f>'1 datos preparados'!A861</f>
        <v/>
      </c>
      <c r="B868" s="5">
        <f>'1 datos preparados'!U861</f>
        <v/>
      </c>
      <c r="C868">
        <f>'1 datos preparados'!B861</f>
        <v/>
      </c>
      <c r="D868" s="7">
        <f>'1 datos preparados'!C861</f>
        <v/>
      </c>
      <c r="E868" s="7">
        <f>'1 datos preparados'!D861</f>
        <v/>
      </c>
      <c r="F868" s="7">
        <f>'1 datos preparados'!E861</f>
        <v/>
      </c>
      <c r="G868" s="7">
        <f>'1 datos preparados'!F861</f>
        <v/>
      </c>
      <c r="H868" s="7">
        <f>'1 datos preparados'!G861</f>
        <v/>
      </c>
      <c r="I868" s="7">
        <f>'1 datos preparados'!H861</f>
        <v/>
      </c>
      <c r="J868" s="7">
        <f>'1 datos preparados'!I861</f>
        <v/>
      </c>
      <c r="K868" s="7">
        <f>'1 datos preparados'!J861</f>
        <v/>
      </c>
      <c r="L868" s="7">
        <f>'1 datos preparados'!K861</f>
        <v/>
      </c>
      <c r="M868" s="7">
        <f>'1 datos preparados'!L861</f>
        <v/>
      </c>
      <c r="N868" s="7">
        <f>'1 datos preparados'!M861</f>
        <v/>
      </c>
      <c r="O868" s="7">
        <f>'1 datos preparados'!N861</f>
        <v/>
      </c>
      <c r="P868" s="7">
        <f>'1 datos preparados'!O861</f>
        <v/>
      </c>
      <c r="Q868" s="7">
        <f>'1 datos preparados'!P861</f>
        <v/>
      </c>
      <c r="R868" s="7">
        <f>'1 datos preparados'!Q861</f>
        <v/>
      </c>
      <c r="S868" s="7">
        <f>'1 datos preparados'!R861</f>
        <v/>
      </c>
      <c r="T868" s="7">
        <f>'1 datos preparados'!S861</f>
        <v/>
      </c>
      <c r="U868" s="7">
        <f>'1 datos preparados'!T861</f>
        <v/>
      </c>
      <c r="V868" s="8">
        <f>$AE$12+D868*$AE$13+E868*$AE$14+F868*$AE$15+G868*$AE$16+H868*$AE$17+I868*$AE$18+J868*$AE$19+K868*$AE$20+L868*$AE$21+M868*$AE$22+N868*$AE$23+O868*$AE$24+P868*$AE$25+Q868*$AE$26+R868*$AE$27+S868*$AE$28+T868*$AE$29+U868*$AE$30</f>
        <v/>
      </c>
      <c r="W868" s="8">
        <f>1/(1+EXP(-V868))</f>
        <v/>
      </c>
      <c r="X868" s="9">
        <f>-IF(C868=1,LN(W868),LN(1-W868))</f>
        <v/>
      </c>
      <c r="Y868" s="8">
        <f>IF(C868=1,$AE$32,$AE$33)</f>
        <v/>
      </c>
      <c r="Z868" s="9">
        <f>Y868*X868</f>
        <v/>
      </c>
      <c r="AA868" s="10">
        <f>IF(W868&gt;$AE$34,1,0)</f>
        <v/>
      </c>
      <c r="AB868">
        <f>IF(AA868=C868,1,0)</f>
        <v/>
      </c>
    </row>
    <row r="869">
      <c r="A869">
        <f>'1 datos preparados'!A862</f>
        <v/>
      </c>
      <c r="B869" s="5">
        <f>'1 datos preparados'!U862</f>
        <v/>
      </c>
      <c r="C869">
        <f>'1 datos preparados'!B862</f>
        <v/>
      </c>
      <c r="D869" s="7">
        <f>'1 datos preparados'!C862</f>
        <v/>
      </c>
      <c r="E869" s="7">
        <f>'1 datos preparados'!D862</f>
        <v/>
      </c>
      <c r="F869" s="7">
        <f>'1 datos preparados'!E862</f>
        <v/>
      </c>
      <c r="G869" s="7">
        <f>'1 datos preparados'!F862</f>
        <v/>
      </c>
      <c r="H869" s="7">
        <f>'1 datos preparados'!G862</f>
        <v/>
      </c>
      <c r="I869" s="7">
        <f>'1 datos preparados'!H862</f>
        <v/>
      </c>
      <c r="J869" s="7">
        <f>'1 datos preparados'!I862</f>
        <v/>
      </c>
      <c r="K869" s="7">
        <f>'1 datos preparados'!J862</f>
        <v/>
      </c>
      <c r="L869" s="7">
        <f>'1 datos preparados'!K862</f>
        <v/>
      </c>
      <c r="M869" s="7">
        <f>'1 datos preparados'!L862</f>
        <v/>
      </c>
      <c r="N869" s="7">
        <f>'1 datos preparados'!M862</f>
        <v/>
      </c>
      <c r="O869" s="7">
        <f>'1 datos preparados'!N862</f>
        <v/>
      </c>
      <c r="P869" s="7">
        <f>'1 datos preparados'!O862</f>
        <v/>
      </c>
      <c r="Q869" s="7">
        <f>'1 datos preparados'!P862</f>
        <v/>
      </c>
      <c r="R869" s="7">
        <f>'1 datos preparados'!Q862</f>
        <v/>
      </c>
      <c r="S869" s="7">
        <f>'1 datos preparados'!R862</f>
        <v/>
      </c>
      <c r="T869" s="7">
        <f>'1 datos preparados'!S862</f>
        <v/>
      </c>
      <c r="U869" s="7">
        <f>'1 datos preparados'!T862</f>
        <v/>
      </c>
      <c r="V869" s="8">
        <f>$AE$12+D869*$AE$13+E869*$AE$14+F869*$AE$15+G869*$AE$16+H869*$AE$17+I869*$AE$18+J869*$AE$19+K869*$AE$20+L869*$AE$21+M869*$AE$22+N869*$AE$23+O869*$AE$24+P869*$AE$25+Q869*$AE$26+R869*$AE$27+S869*$AE$28+T869*$AE$29+U869*$AE$30</f>
        <v/>
      </c>
      <c r="W869" s="8">
        <f>1/(1+EXP(-V869))</f>
        <v/>
      </c>
      <c r="X869" s="9">
        <f>-IF(C869=1,LN(W869),LN(1-W869))</f>
        <v/>
      </c>
      <c r="Y869" s="8">
        <f>IF(C869=1,$AE$32,$AE$33)</f>
        <v/>
      </c>
      <c r="Z869" s="9">
        <f>Y869*X869</f>
        <v/>
      </c>
      <c r="AA869" s="10">
        <f>IF(W869&gt;$AE$34,1,0)</f>
        <v/>
      </c>
      <c r="AB869">
        <f>IF(AA869=C869,1,0)</f>
        <v/>
      </c>
    </row>
    <row r="870">
      <c r="A870">
        <f>'1 datos preparados'!A863</f>
        <v/>
      </c>
      <c r="B870" s="5">
        <f>'1 datos preparados'!U863</f>
        <v/>
      </c>
      <c r="C870">
        <f>'1 datos preparados'!B863</f>
        <v/>
      </c>
      <c r="D870" s="7">
        <f>'1 datos preparados'!C863</f>
        <v/>
      </c>
      <c r="E870" s="7">
        <f>'1 datos preparados'!D863</f>
        <v/>
      </c>
      <c r="F870" s="7">
        <f>'1 datos preparados'!E863</f>
        <v/>
      </c>
      <c r="G870" s="7">
        <f>'1 datos preparados'!F863</f>
        <v/>
      </c>
      <c r="H870" s="7">
        <f>'1 datos preparados'!G863</f>
        <v/>
      </c>
      <c r="I870" s="7">
        <f>'1 datos preparados'!H863</f>
        <v/>
      </c>
      <c r="J870" s="7">
        <f>'1 datos preparados'!I863</f>
        <v/>
      </c>
      <c r="K870" s="7">
        <f>'1 datos preparados'!J863</f>
        <v/>
      </c>
      <c r="L870" s="7">
        <f>'1 datos preparados'!K863</f>
        <v/>
      </c>
      <c r="M870" s="7">
        <f>'1 datos preparados'!L863</f>
        <v/>
      </c>
      <c r="N870" s="7">
        <f>'1 datos preparados'!M863</f>
        <v/>
      </c>
      <c r="O870" s="7">
        <f>'1 datos preparados'!N863</f>
        <v/>
      </c>
      <c r="P870" s="7">
        <f>'1 datos preparados'!O863</f>
        <v/>
      </c>
      <c r="Q870" s="7">
        <f>'1 datos preparados'!P863</f>
        <v/>
      </c>
      <c r="R870" s="7">
        <f>'1 datos preparados'!Q863</f>
        <v/>
      </c>
      <c r="S870" s="7">
        <f>'1 datos preparados'!R863</f>
        <v/>
      </c>
      <c r="T870" s="7">
        <f>'1 datos preparados'!S863</f>
        <v/>
      </c>
      <c r="U870" s="7">
        <f>'1 datos preparados'!T863</f>
        <v/>
      </c>
      <c r="V870" s="8">
        <f>$AE$12+D870*$AE$13+E870*$AE$14+F870*$AE$15+G870*$AE$16+H870*$AE$17+I870*$AE$18+J870*$AE$19+K870*$AE$20+L870*$AE$21+M870*$AE$22+N870*$AE$23+O870*$AE$24+P870*$AE$25+Q870*$AE$26+R870*$AE$27+S870*$AE$28+T870*$AE$29+U870*$AE$30</f>
        <v/>
      </c>
      <c r="W870" s="8">
        <f>1/(1+EXP(-V870))</f>
        <v/>
      </c>
      <c r="X870" s="9">
        <f>-IF(C870=1,LN(W870),LN(1-W870))</f>
        <v/>
      </c>
      <c r="Y870" s="8">
        <f>IF(C870=1,$AE$32,$AE$33)</f>
        <v/>
      </c>
      <c r="Z870" s="9">
        <f>Y870*X870</f>
        <v/>
      </c>
      <c r="AA870" s="10">
        <f>IF(W870&gt;$AE$34,1,0)</f>
        <v/>
      </c>
      <c r="AB870">
        <f>IF(AA870=C870,1,0)</f>
        <v/>
      </c>
    </row>
    <row r="871">
      <c r="A871">
        <f>'1 datos preparados'!A864</f>
        <v/>
      </c>
      <c r="B871" s="5">
        <f>'1 datos preparados'!U864</f>
        <v/>
      </c>
      <c r="C871">
        <f>'1 datos preparados'!B864</f>
        <v/>
      </c>
      <c r="D871" s="7">
        <f>'1 datos preparados'!C864</f>
        <v/>
      </c>
      <c r="E871" s="7">
        <f>'1 datos preparados'!D864</f>
        <v/>
      </c>
      <c r="F871" s="7">
        <f>'1 datos preparados'!E864</f>
        <v/>
      </c>
      <c r="G871" s="7">
        <f>'1 datos preparados'!F864</f>
        <v/>
      </c>
      <c r="H871" s="7">
        <f>'1 datos preparados'!G864</f>
        <v/>
      </c>
      <c r="I871" s="7">
        <f>'1 datos preparados'!H864</f>
        <v/>
      </c>
      <c r="J871" s="7">
        <f>'1 datos preparados'!I864</f>
        <v/>
      </c>
      <c r="K871" s="7">
        <f>'1 datos preparados'!J864</f>
        <v/>
      </c>
      <c r="L871" s="7">
        <f>'1 datos preparados'!K864</f>
        <v/>
      </c>
      <c r="M871" s="7">
        <f>'1 datos preparados'!L864</f>
        <v/>
      </c>
      <c r="N871" s="7">
        <f>'1 datos preparados'!M864</f>
        <v/>
      </c>
      <c r="O871" s="7">
        <f>'1 datos preparados'!N864</f>
        <v/>
      </c>
      <c r="P871" s="7">
        <f>'1 datos preparados'!O864</f>
        <v/>
      </c>
      <c r="Q871" s="7">
        <f>'1 datos preparados'!P864</f>
        <v/>
      </c>
      <c r="R871" s="7">
        <f>'1 datos preparados'!Q864</f>
        <v/>
      </c>
      <c r="S871" s="7">
        <f>'1 datos preparados'!R864</f>
        <v/>
      </c>
      <c r="T871" s="7">
        <f>'1 datos preparados'!S864</f>
        <v/>
      </c>
      <c r="U871" s="7">
        <f>'1 datos preparados'!T864</f>
        <v/>
      </c>
      <c r="V871" s="8">
        <f>$AE$12+D871*$AE$13+E871*$AE$14+F871*$AE$15+G871*$AE$16+H871*$AE$17+I871*$AE$18+J871*$AE$19+K871*$AE$20+L871*$AE$21+M871*$AE$22+N871*$AE$23+O871*$AE$24+P871*$AE$25+Q871*$AE$26+R871*$AE$27+S871*$AE$28+T871*$AE$29+U871*$AE$30</f>
        <v/>
      </c>
      <c r="W871" s="8">
        <f>1/(1+EXP(-V871))</f>
        <v/>
      </c>
      <c r="X871" s="9">
        <f>-IF(C871=1,LN(W871),LN(1-W871))</f>
        <v/>
      </c>
      <c r="Y871" s="8">
        <f>IF(C871=1,$AE$32,$AE$33)</f>
        <v/>
      </c>
      <c r="Z871" s="9">
        <f>Y871*X871</f>
        <v/>
      </c>
      <c r="AA871" s="10">
        <f>IF(W871&gt;$AE$34,1,0)</f>
        <v/>
      </c>
      <c r="AB871">
        <f>IF(AA871=C871,1,0)</f>
        <v/>
      </c>
    </row>
    <row r="872">
      <c r="A872">
        <f>'1 datos preparados'!A865</f>
        <v/>
      </c>
      <c r="B872" s="5">
        <f>'1 datos preparados'!U865</f>
        <v/>
      </c>
      <c r="C872">
        <f>'1 datos preparados'!B865</f>
        <v/>
      </c>
      <c r="D872" s="7">
        <f>'1 datos preparados'!C865</f>
        <v/>
      </c>
      <c r="E872" s="7">
        <f>'1 datos preparados'!D865</f>
        <v/>
      </c>
      <c r="F872" s="7">
        <f>'1 datos preparados'!E865</f>
        <v/>
      </c>
      <c r="G872" s="7">
        <f>'1 datos preparados'!F865</f>
        <v/>
      </c>
      <c r="H872" s="7">
        <f>'1 datos preparados'!G865</f>
        <v/>
      </c>
      <c r="I872" s="7">
        <f>'1 datos preparados'!H865</f>
        <v/>
      </c>
      <c r="J872" s="7">
        <f>'1 datos preparados'!I865</f>
        <v/>
      </c>
      <c r="K872" s="7">
        <f>'1 datos preparados'!J865</f>
        <v/>
      </c>
      <c r="L872" s="7">
        <f>'1 datos preparados'!K865</f>
        <v/>
      </c>
      <c r="M872" s="7">
        <f>'1 datos preparados'!L865</f>
        <v/>
      </c>
      <c r="N872" s="7">
        <f>'1 datos preparados'!M865</f>
        <v/>
      </c>
      <c r="O872" s="7">
        <f>'1 datos preparados'!N865</f>
        <v/>
      </c>
      <c r="P872" s="7">
        <f>'1 datos preparados'!O865</f>
        <v/>
      </c>
      <c r="Q872" s="7">
        <f>'1 datos preparados'!P865</f>
        <v/>
      </c>
      <c r="R872" s="7">
        <f>'1 datos preparados'!Q865</f>
        <v/>
      </c>
      <c r="S872" s="7">
        <f>'1 datos preparados'!R865</f>
        <v/>
      </c>
      <c r="T872" s="7">
        <f>'1 datos preparados'!S865</f>
        <v/>
      </c>
      <c r="U872" s="7">
        <f>'1 datos preparados'!T865</f>
        <v/>
      </c>
      <c r="V872" s="8">
        <f>$AE$12+D872*$AE$13+E872*$AE$14+F872*$AE$15+G872*$AE$16+H872*$AE$17+I872*$AE$18+J872*$AE$19+K872*$AE$20+L872*$AE$21+M872*$AE$22+N872*$AE$23+O872*$AE$24+P872*$AE$25+Q872*$AE$26+R872*$AE$27+S872*$AE$28+T872*$AE$29+U872*$AE$30</f>
        <v/>
      </c>
      <c r="W872" s="8">
        <f>1/(1+EXP(-V872))</f>
        <v/>
      </c>
      <c r="X872" s="9">
        <f>-IF(C872=1,LN(W872),LN(1-W872))</f>
        <v/>
      </c>
      <c r="Y872" s="8">
        <f>IF(C872=1,$AE$32,$AE$33)</f>
        <v/>
      </c>
      <c r="Z872" s="9">
        <f>Y872*X872</f>
        <v/>
      </c>
      <c r="AA872" s="10">
        <f>IF(W872&gt;$AE$34,1,0)</f>
        <v/>
      </c>
      <c r="AB872">
        <f>IF(AA872=C872,1,0)</f>
        <v/>
      </c>
    </row>
    <row r="873">
      <c r="A873">
        <f>'1 datos preparados'!A866</f>
        <v/>
      </c>
      <c r="B873" s="5">
        <f>'1 datos preparados'!U866</f>
        <v/>
      </c>
      <c r="C873">
        <f>'1 datos preparados'!B866</f>
        <v/>
      </c>
      <c r="D873" s="7">
        <f>'1 datos preparados'!C866</f>
        <v/>
      </c>
      <c r="E873" s="7">
        <f>'1 datos preparados'!D866</f>
        <v/>
      </c>
      <c r="F873" s="7">
        <f>'1 datos preparados'!E866</f>
        <v/>
      </c>
      <c r="G873" s="7">
        <f>'1 datos preparados'!F866</f>
        <v/>
      </c>
      <c r="H873" s="7">
        <f>'1 datos preparados'!G866</f>
        <v/>
      </c>
      <c r="I873" s="7">
        <f>'1 datos preparados'!H866</f>
        <v/>
      </c>
      <c r="J873" s="7">
        <f>'1 datos preparados'!I866</f>
        <v/>
      </c>
      <c r="K873" s="7">
        <f>'1 datos preparados'!J866</f>
        <v/>
      </c>
      <c r="L873" s="7">
        <f>'1 datos preparados'!K866</f>
        <v/>
      </c>
      <c r="M873" s="7">
        <f>'1 datos preparados'!L866</f>
        <v/>
      </c>
      <c r="N873" s="7">
        <f>'1 datos preparados'!M866</f>
        <v/>
      </c>
      <c r="O873" s="7">
        <f>'1 datos preparados'!N866</f>
        <v/>
      </c>
      <c r="P873" s="7">
        <f>'1 datos preparados'!O866</f>
        <v/>
      </c>
      <c r="Q873" s="7">
        <f>'1 datos preparados'!P866</f>
        <v/>
      </c>
      <c r="R873" s="7">
        <f>'1 datos preparados'!Q866</f>
        <v/>
      </c>
      <c r="S873" s="7">
        <f>'1 datos preparados'!R866</f>
        <v/>
      </c>
      <c r="T873" s="7">
        <f>'1 datos preparados'!S866</f>
        <v/>
      </c>
      <c r="U873" s="7">
        <f>'1 datos preparados'!T866</f>
        <v/>
      </c>
      <c r="V873" s="8">
        <f>$AE$12+D873*$AE$13+E873*$AE$14+F873*$AE$15+G873*$AE$16+H873*$AE$17+I873*$AE$18+J873*$AE$19+K873*$AE$20+L873*$AE$21+M873*$AE$22+N873*$AE$23+O873*$AE$24+P873*$AE$25+Q873*$AE$26+R873*$AE$27+S873*$AE$28+T873*$AE$29+U873*$AE$30</f>
        <v/>
      </c>
      <c r="W873" s="8">
        <f>1/(1+EXP(-V873))</f>
        <v/>
      </c>
      <c r="X873" s="9">
        <f>-IF(C873=1,LN(W873),LN(1-W873))</f>
        <v/>
      </c>
      <c r="Y873" s="8">
        <f>IF(C873=1,$AE$32,$AE$33)</f>
        <v/>
      </c>
      <c r="Z873" s="9">
        <f>Y873*X873</f>
        <v/>
      </c>
      <c r="AA873" s="10">
        <f>IF(W873&gt;$AE$34,1,0)</f>
        <v/>
      </c>
      <c r="AB873">
        <f>IF(AA873=C873,1,0)</f>
        <v/>
      </c>
    </row>
    <row r="874">
      <c r="A874">
        <f>'1 datos preparados'!A867</f>
        <v/>
      </c>
      <c r="B874" s="5">
        <f>'1 datos preparados'!U867</f>
        <v/>
      </c>
      <c r="C874">
        <f>'1 datos preparados'!B867</f>
        <v/>
      </c>
      <c r="D874" s="7">
        <f>'1 datos preparados'!C867</f>
        <v/>
      </c>
      <c r="E874" s="7">
        <f>'1 datos preparados'!D867</f>
        <v/>
      </c>
      <c r="F874" s="7">
        <f>'1 datos preparados'!E867</f>
        <v/>
      </c>
      <c r="G874" s="7">
        <f>'1 datos preparados'!F867</f>
        <v/>
      </c>
      <c r="H874" s="7">
        <f>'1 datos preparados'!G867</f>
        <v/>
      </c>
      <c r="I874" s="7">
        <f>'1 datos preparados'!H867</f>
        <v/>
      </c>
      <c r="J874" s="7">
        <f>'1 datos preparados'!I867</f>
        <v/>
      </c>
      <c r="K874" s="7">
        <f>'1 datos preparados'!J867</f>
        <v/>
      </c>
      <c r="L874" s="7">
        <f>'1 datos preparados'!K867</f>
        <v/>
      </c>
      <c r="M874" s="7">
        <f>'1 datos preparados'!L867</f>
        <v/>
      </c>
      <c r="N874" s="7">
        <f>'1 datos preparados'!M867</f>
        <v/>
      </c>
      <c r="O874" s="7">
        <f>'1 datos preparados'!N867</f>
        <v/>
      </c>
      <c r="P874" s="7">
        <f>'1 datos preparados'!O867</f>
        <v/>
      </c>
      <c r="Q874" s="7">
        <f>'1 datos preparados'!P867</f>
        <v/>
      </c>
      <c r="R874" s="7">
        <f>'1 datos preparados'!Q867</f>
        <v/>
      </c>
      <c r="S874" s="7">
        <f>'1 datos preparados'!R867</f>
        <v/>
      </c>
      <c r="T874" s="7">
        <f>'1 datos preparados'!S867</f>
        <v/>
      </c>
      <c r="U874" s="7">
        <f>'1 datos preparados'!T867</f>
        <v/>
      </c>
      <c r="V874" s="8">
        <f>$AE$12+D874*$AE$13+E874*$AE$14+F874*$AE$15+G874*$AE$16+H874*$AE$17+I874*$AE$18+J874*$AE$19+K874*$AE$20+L874*$AE$21+M874*$AE$22+N874*$AE$23+O874*$AE$24+P874*$AE$25+Q874*$AE$26+R874*$AE$27+S874*$AE$28+T874*$AE$29+U874*$AE$30</f>
        <v/>
      </c>
      <c r="W874" s="8">
        <f>1/(1+EXP(-V874))</f>
        <v/>
      </c>
      <c r="X874" s="9">
        <f>-IF(C874=1,LN(W874),LN(1-W874))</f>
        <v/>
      </c>
      <c r="Y874" s="8">
        <f>IF(C874=1,$AE$32,$AE$33)</f>
        <v/>
      </c>
      <c r="Z874" s="9">
        <f>Y874*X874</f>
        <v/>
      </c>
      <c r="AA874" s="10">
        <f>IF(W874&gt;$AE$34,1,0)</f>
        <v/>
      </c>
      <c r="AB874">
        <f>IF(AA874=C874,1,0)</f>
        <v/>
      </c>
    </row>
    <row r="875">
      <c r="A875">
        <f>'1 datos preparados'!A868</f>
        <v/>
      </c>
      <c r="B875" s="5">
        <f>'1 datos preparados'!U868</f>
        <v/>
      </c>
      <c r="C875">
        <f>'1 datos preparados'!B868</f>
        <v/>
      </c>
      <c r="D875" s="7">
        <f>'1 datos preparados'!C868</f>
        <v/>
      </c>
      <c r="E875" s="7">
        <f>'1 datos preparados'!D868</f>
        <v/>
      </c>
      <c r="F875" s="7">
        <f>'1 datos preparados'!E868</f>
        <v/>
      </c>
      <c r="G875" s="7">
        <f>'1 datos preparados'!F868</f>
        <v/>
      </c>
      <c r="H875" s="7">
        <f>'1 datos preparados'!G868</f>
        <v/>
      </c>
      <c r="I875" s="7">
        <f>'1 datos preparados'!H868</f>
        <v/>
      </c>
      <c r="J875" s="7">
        <f>'1 datos preparados'!I868</f>
        <v/>
      </c>
      <c r="K875" s="7">
        <f>'1 datos preparados'!J868</f>
        <v/>
      </c>
      <c r="L875" s="7">
        <f>'1 datos preparados'!K868</f>
        <v/>
      </c>
      <c r="M875" s="7">
        <f>'1 datos preparados'!L868</f>
        <v/>
      </c>
      <c r="N875" s="7">
        <f>'1 datos preparados'!M868</f>
        <v/>
      </c>
      <c r="O875" s="7">
        <f>'1 datos preparados'!N868</f>
        <v/>
      </c>
      <c r="P875" s="7">
        <f>'1 datos preparados'!O868</f>
        <v/>
      </c>
      <c r="Q875" s="7">
        <f>'1 datos preparados'!P868</f>
        <v/>
      </c>
      <c r="R875" s="7">
        <f>'1 datos preparados'!Q868</f>
        <v/>
      </c>
      <c r="S875" s="7">
        <f>'1 datos preparados'!R868</f>
        <v/>
      </c>
      <c r="T875" s="7">
        <f>'1 datos preparados'!S868</f>
        <v/>
      </c>
      <c r="U875" s="7">
        <f>'1 datos preparados'!T868</f>
        <v/>
      </c>
      <c r="V875" s="8">
        <f>$AE$12+D875*$AE$13+E875*$AE$14+F875*$AE$15+G875*$AE$16+H875*$AE$17+I875*$AE$18+J875*$AE$19+K875*$AE$20+L875*$AE$21+M875*$AE$22+N875*$AE$23+O875*$AE$24+P875*$AE$25+Q875*$AE$26+R875*$AE$27+S875*$AE$28+T875*$AE$29+U875*$AE$30</f>
        <v/>
      </c>
      <c r="W875" s="8">
        <f>1/(1+EXP(-V875))</f>
        <v/>
      </c>
      <c r="X875" s="9">
        <f>-IF(C875=1,LN(W875),LN(1-W875))</f>
        <v/>
      </c>
      <c r="Y875" s="8">
        <f>IF(C875=1,$AE$32,$AE$33)</f>
        <v/>
      </c>
      <c r="Z875" s="9">
        <f>Y875*X875</f>
        <v/>
      </c>
      <c r="AA875" s="10">
        <f>IF(W875&gt;$AE$34,1,0)</f>
        <v/>
      </c>
      <c r="AB875">
        <f>IF(AA875=C875,1,0)</f>
        <v/>
      </c>
    </row>
    <row r="876">
      <c r="A876">
        <f>'1 datos preparados'!A869</f>
        <v/>
      </c>
      <c r="B876" s="5">
        <f>'1 datos preparados'!U869</f>
        <v/>
      </c>
      <c r="C876">
        <f>'1 datos preparados'!B869</f>
        <v/>
      </c>
      <c r="D876" s="7">
        <f>'1 datos preparados'!C869</f>
        <v/>
      </c>
      <c r="E876" s="7">
        <f>'1 datos preparados'!D869</f>
        <v/>
      </c>
      <c r="F876" s="7">
        <f>'1 datos preparados'!E869</f>
        <v/>
      </c>
      <c r="G876" s="7">
        <f>'1 datos preparados'!F869</f>
        <v/>
      </c>
      <c r="H876" s="7">
        <f>'1 datos preparados'!G869</f>
        <v/>
      </c>
      <c r="I876" s="7">
        <f>'1 datos preparados'!H869</f>
        <v/>
      </c>
      <c r="J876" s="7">
        <f>'1 datos preparados'!I869</f>
        <v/>
      </c>
      <c r="K876" s="7">
        <f>'1 datos preparados'!J869</f>
        <v/>
      </c>
      <c r="L876" s="7">
        <f>'1 datos preparados'!K869</f>
        <v/>
      </c>
      <c r="M876" s="7">
        <f>'1 datos preparados'!L869</f>
        <v/>
      </c>
      <c r="N876" s="7">
        <f>'1 datos preparados'!M869</f>
        <v/>
      </c>
      <c r="O876" s="7">
        <f>'1 datos preparados'!N869</f>
        <v/>
      </c>
      <c r="P876" s="7">
        <f>'1 datos preparados'!O869</f>
        <v/>
      </c>
      <c r="Q876" s="7">
        <f>'1 datos preparados'!P869</f>
        <v/>
      </c>
      <c r="R876" s="7">
        <f>'1 datos preparados'!Q869</f>
        <v/>
      </c>
      <c r="S876" s="7">
        <f>'1 datos preparados'!R869</f>
        <v/>
      </c>
      <c r="T876" s="7">
        <f>'1 datos preparados'!S869</f>
        <v/>
      </c>
      <c r="U876" s="7">
        <f>'1 datos preparados'!T869</f>
        <v/>
      </c>
      <c r="V876" s="8">
        <f>$AE$12+D876*$AE$13+E876*$AE$14+F876*$AE$15+G876*$AE$16+H876*$AE$17+I876*$AE$18+J876*$AE$19+K876*$AE$20+L876*$AE$21+M876*$AE$22+N876*$AE$23+O876*$AE$24+P876*$AE$25+Q876*$AE$26+R876*$AE$27+S876*$AE$28+T876*$AE$29+U876*$AE$30</f>
        <v/>
      </c>
      <c r="W876" s="8">
        <f>1/(1+EXP(-V876))</f>
        <v/>
      </c>
      <c r="X876" s="9">
        <f>-IF(C876=1,LN(W876),LN(1-W876))</f>
        <v/>
      </c>
      <c r="Y876" s="8">
        <f>IF(C876=1,$AE$32,$AE$33)</f>
        <v/>
      </c>
      <c r="Z876" s="9">
        <f>Y876*X876</f>
        <v/>
      </c>
      <c r="AA876" s="10">
        <f>IF(W876&gt;$AE$34,1,0)</f>
        <v/>
      </c>
      <c r="AB876">
        <f>IF(AA876=C876,1,0)</f>
        <v/>
      </c>
    </row>
    <row r="877">
      <c r="A877">
        <f>'1 datos preparados'!A870</f>
        <v/>
      </c>
      <c r="B877" s="5">
        <f>'1 datos preparados'!U870</f>
        <v/>
      </c>
      <c r="C877">
        <f>'1 datos preparados'!B870</f>
        <v/>
      </c>
      <c r="D877" s="7">
        <f>'1 datos preparados'!C870</f>
        <v/>
      </c>
      <c r="E877" s="7">
        <f>'1 datos preparados'!D870</f>
        <v/>
      </c>
      <c r="F877" s="7">
        <f>'1 datos preparados'!E870</f>
        <v/>
      </c>
      <c r="G877" s="7">
        <f>'1 datos preparados'!F870</f>
        <v/>
      </c>
      <c r="H877" s="7">
        <f>'1 datos preparados'!G870</f>
        <v/>
      </c>
      <c r="I877" s="7">
        <f>'1 datos preparados'!H870</f>
        <v/>
      </c>
      <c r="J877" s="7">
        <f>'1 datos preparados'!I870</f>
        <v/>
      </c>
      <c r="K877" s="7">
        <f>'1 datos preparados'!J870</f>
        <v/>
      </c>
      <c r="L877" s="7">
        <f>'1 datos preparados'!K870</f>
        <v/>
      </c>
      <c r="M877" s="7">
        <f>'1 datos preparados'!L870</f>
        <v/>
      </c>
      <c r="N877" s="7">
        <f>'1 datos preparados'!M870</f>
        <v/>
      </c>
      <c r="O877" s="7">
        <f>'1 datos preparados'!N870</f>
        <v/>
      </c>
      <c r="P877" s="7">
        <f>'1 datos preparados'!O870</f>
        <v/>
      </c>
      <c r="Q877" s="7">
        <f>'1 datos preparados'!P870</f>
        <v/>
      </c>
      <c r="R877" s="7">
        <f>'1 datos preparados'!Q870</f>
        <v/>
      </c>
      <c r="S877" s="7">
        <f>'1 datos preparados'!R870</f>
        <v/>
      </c>
      <c r="T877" s="7">
        <f>'1 datos preparados'!S870</f>
        <v/>
      </c>
      <c r="U877" s="7">
        <f>'1 datos preparados'!T870</f>
        <v/>
      </c>
      <c r="V877" s="8">
        <f>$AE$12+D877*$AE$13+E877*$AE$14+F877*$AE$15+G877*$AE$16+H877*$AE$17+I877*$AE$18+J877*$AE$19+K877*$AE$20+L877*$AE$21+M877*$AE$22+N877*$AE$23+O877*$AE$24+P877*$AE$25+Q877*$AE$26+R877*$AE$27+S877*$AE$28+T877*$AE$29+U877*$AE$30</f>
        <v/>
      </c>
      <c r="W877" s="8">
        <f>1/(1+EXP(-V877))</f>
        <v/>
      </c>
      <c r="X877" s="9">
        <f>-IF(C877=1,LN(W877),LN(1-W877))</f>
        <v/>
      </c>
      <c r="Y877" s="8">
        <f>IF(C877=1,$AE$32,$AE$33)</f>
        <v/>
      </c>
      <c r="Z877" s="9">
        <f>Y877*X877</f>
        <v/>
      </c>
      <c r="AA877" s="10">
        <f>IF(W877&gt;$AE$34,1,0)</f>
        <v/>
      </c>
      <c r="AB877">
        <f>IF(AA877=C877,1,0)</f>
        <v/>
      </c>
    </row>
    <row r="878">
      <c r="A878">
        <f>'1 datos preparados'!A871</f>
        <v/>
      </c>
      <c r="B878" s="5">
        <f>'1 datos preparados'!U871</f>
        <v/>
      </c>
      <c r="C878">
        <f>'1 datos preparados'!B871</f>
        <v/>
      </c>
      <c r="D878" s="7">
        <f>'1 datos preparados'!C871</f>
        <v/>
      </c>
      <c r="E878" s="7">
        <f>'1 datos preparados'!D871</f>
        <v/>
      </c>
      <c r="F878" s="7">
        <f>'1 datos preparados'!E871</f>
        <v/>
      </c>
      <c r="G878" s="7">
        <f>'1 datos preparados'!F871</f>
        <v/>
      </c>
      <c r="H878" s="7">
        <f>'1 datos preparados'!G871</f>
        <v/>
      </c>
      <c r="I878" s="7">
        <f>'1 datos preparados'!H871</f>
        <v/>
      </c>
      <c r="J878" s="7">
        <f>'1 datos preparados'!I871</f>
        <v/>
      </c>
      <c r="K878" s="7">
        <f>'1 datos preparados'!J871</f>
        <v/>
      </c>
      <c r="L878" s="7">
        <f>'1 datos preparados'!K871</f>
        <v/>
      </c>
      <c r="M878" s="7">
        <f>'1 datos preparados'!L871</f>
        <v/>
      </c>
      <c r="N878" s="7">
        <f>'1 datos preparados'!M871</f>
        <v/>
      </c>
      <c r="O878" s="7">
        <f>'1 datos preparados'!N871</f>
        <v/>
      </c>
      <c r="P878" s="7">
        <f>'1 datos preparados'!O871</f>
        <v/>
      </c>
      <c r="Q878" s="7">
        <f>'1 datos preparados'!P871</f>
        <v/>
      </c>
      <c r="R878" s="7">
        <f>'1 datos preparados'!Q871</f>
        <v/>
      </c>
      <c r="S878" s="7">
        <f>'1 datos preparados'!R871</f>
        <v/>
      </c>
      <c r="T878" s="7">
        <f>'1 datos preparados'!S871</f>
        <v/>
      </c>
      <c r="U878" s="7">
        <f>'1 datos preparados'!T871</f>
        <v/>
      </c>
      <c r="V878" s="8">
        <f>$AE$12+D878*$AE$13+E878*$AE$14+F878*$AE$15+G878*$AE$16+H878*$AE$17+I878*$AE$18+J878*$AE$19+K878*$AE$20+L878*$AE$21+M878*$AE$22+N878*$AE$23+O878*$AE$24+P878*$AE$25+Q878*$AE$26+R878*$AE$27+S878*$AE$28+T878*$AE$29+U878*$AE$30</f>
        <v/>
      </c>
      <c r="W878" s="8">
        <f>1/(1+EXP(-V878))</f>
        <v/>
      </c>
      <c r="X878" s="9">
        <f>-IF(C878=1,LN(W878),LN(1-W878))</f>
        <v/>
      </c>
      <c r="Y878" s="8">
        <f>IF(C878=1,$AE$32,$AE$33)</f>
        <v/>
      </c>
      <c r="Z878" s="9">
        <f>Y878*X878</f>
        <v/>
      </c>
      <c r="AA878" s="10">
        <f>IF(W878&gt;$AE$34,1,0)</f>
        <v/>
      </c>
      <c r="AB878">
        <f>IF(AA878=C878,1,0)</f>
        <v/>
      </c>
    </row>
    <row r="879">
      <c r="A879">
        <f>'1 datos preparados'!A872</f>
        <v/>
      </c>
      <c r="B879" s="5">
        <f>'1 datos preparados'!U872</f>
        <v/>
      </c>
      <c r="C879">
        <f>'1 datos preparados'!B872</f>
        <v/>
      </c>
      <c r="D879" s="7">
        <f>'1 datos preparados'!C872</f>
        <v/>
      </c>
      <c r="E879" s="7">
        <f>'1 datos preparados'!D872</f>
        <v/>
      </c>
      <c r="F879" s="7">
        <f>'1 datos preparados'!E872</f>
        <v/>
      </c>
      <c r="G879" s="7">
        <f>'1 datos preparados'!F872</f>
        <v/>
      </c>
      <c r="H879" s="7">
        <f>'1 datos preparados'!G872</f>
        <v/>
      </c>
      <c r="I879" s="7">
        <f>'1 datos preparados'!H872</f>
        <v/>
      </c>
      <c r="J879" s="7">
        <f>'1 datos preparados'!I872</f>
        <v/>
      </c>
      <c r="K879" s="7">
        <f>'1 datos preparados'!J872</f>
        <v/>
      </c>
      <c r="L879" s="7">
        <f>'1 datos preparados'!K872</f>
        <v/>
      </c>
      <c r="M879" s="7">
        <f>'1 datos preparados'!L872</f>
        <v/>
      </c>
      <c r="N879" s="7">
        <f>'1 datos preparados'!M872</f>
        <v/>
      </c>
      <c r="O879" s="7">
        <f>'1 datos preparados'!N872</f>
        <v/>
      </c>
      <c r="P879" s="7">
        <f>'1 datos preparados'!O872</f>
        <v/>
      </c>
      <c r="Q879" s="7">
        <f>'1 datos preparados'!P872</f>
        <v/>
      </c>
      <c r="R879" s="7">
        <f>'1 datos preparados'!Q872</f>
        <v/>
      </c>
      <c r="S879" s="7">
        <f>'1 datos preparados'!R872</f>
        <v/>
      </c>
      <c r="T879" s="7">
        <f>'1 datos preparados'!S872</f>
        <v/>
      </c>
      <c r="U879" s="7">
        <f>'1 datos preparados'!T872</f>
        <v/>
      </c>
      <c r="V879" s="8">
        <f>$AE$12+D879*$AE$13+E879*$AE$14+F879*$AE$15+G879*$AE$16+H879*$AE$17+I879*$AE$18+J879*$AE$19+K879*$AE$20+L879*$AE$21+M879*$AE$22+N879*$AE$23+O879*$AE$24+P879*$AE$25+Q879*$AE$26+R879*$AE$27+S879*$AE$28+T879*$AE$29+U879*$AE$30</f>
        <v/>
      </c>
      <c r="W879" s="8">
        <f>1/(1+EXP(-V879))</f>
        <v/>
      </c>
      <c r="X879" s="9">
        <f>-IF(C879=1,LN(W879),LN(1-W879))</f>
        <v/>
      </c>
      <c r="Y879" s="8">
        <f>IF(C879=1,$AE$32,$AE$33)</f>
        <v/>
      </c>
      <c r="Z879" s="9">
        <f>Y879*X879</f>
        <v/>
      </c>
      <c r="AA879" s="10">
        <f>IF(W879&gt;$AE$34,1,0)</f>
        <v/>
      </c>
      <c r="AB879">
        <f>IF(AA879=C879,1,0)</f>
        <v/>
      </c>
    </row>
    <row r="880">
      <c r="A880">
        <f>'1 datos preparados'!A873</f>
        <v/>
      </c>
      <c r="B880" s="5">
        <f>'1 datos preparados'!U873</f>
        <v/>
      </c>
      <c r="C880">
        <f>'1 datos preparados'!B873</f>
        <v/>
      </c>
      <c r="D880" s="7">
        <f>'1 datos preparados'!C873</f>
        <v/>
      </c>
      <c r="E880" s="7">
        <f>'1 datos preparados'!D873</f>
        <v/>
      </c>
      <c r="F880" s="7">
        <f>'1 datos preparados'!E873</f>
        <v/>
      </c>
      <c r="G880" s="7">
        <f>'1 datos preparados'!F873</f>
        <v/>
      </c>
      <c r="H880" s="7">
        <f>'1 datos preparados'!G873</f>
        <v/>
      </c>
      <c r="I880" s="7">
        <f>'1 datos preparados'!H873</f>
        <v/>
      </c>
      <c r="J880" s="7">
        <f>'1 datos preparados'!I873</f>
        <v/>
      </c>
      <c r="K880" s="7">
        <f>'1 datos preparados'!J873</f>
        <v/>
      </c>
      <c r="L880" s="7">
        <f>'1 datos preparados'!K873</f>
        <v/>
      </c>
      <c r="M880" s="7">
        <f>'1 datos preparados'!L873</f>
        <v/>
      </c>
      <c r="N880" s="7">
        <f>'1 datos preparados'!M873</f>
        <v/>
      </c>
      <c r="O880" s="7">
        <f>'1 datos preparados'!N873</f>
        <v/>
      </c>
      <c r="P880" s="7">
        <f>'1 datos preparados'!O873</f>
        <v/>
      </c>
      <c r="Q880" s="7">
        <f>'1 datos preparados'!P873</f>
        <v/>
      </c>
      <c r="R880" s="7">
        <f>'1 datos preparados'!Q873</f>
        <v/>
      </c>
      <c r="S880" s="7">
        <f>'1 datos preparados'!R873</f>
        <v/>
      </c>
      <c r="T880" s="7">
        <f>'1 datos preparados'!S873</f>
        <v/>
      </c>
      <c r="U880" s="7">
        <f>'1 datos preparados'!T873</f>
        <v/>
      </c>
      <c r="V880" s="8">
        <f>$AE$12+D880*$AE$13+E880*$AE$14+F880*$AE$15+G880*$AE$16+H880*$AE$17+I880*$AE$18+J880*$AE$19+K880*$AE$20+L880*$AE$21+M880*$AE$22+N880*$AE$23+O880*$AE$24+P880*$AE$25+Q880*$AE$26+R880*$AE$27+S880*$AE$28+T880*$AE$29+U880*$AE$30</f>
        <v/>
      </c>
      <c r="W880" s="8">
        <f>1/(1+EXP(-V880))</f>
        <v/>
      </c>
      <c r="X880" s="9">
        <f>-IF(C880=1,LN(W880),LN(1-W880))</f>
        <v/>
      </c>
      <c r="Y880" s="8">
        <f>IF(C880=1,$AE$32,$AE$33)</f>
        <v/>
      </c>
      <c r="Z880" s="9">
        <f>Y880*X880</f>
        <v/>
      </c>
      <c r="AA880" s="10">
        <f>IF(W880&gt;$AE$34,1,0)</f>
        <v/>
      </c>
      <c r="AB880">
        <f>IF(AA880=C880,1,0)</f>
        <v/>
      </c>
    </row>
    <row r="881">
      <c r="A881">
        <f>'1 datos preparados'!A874</f>
        <v/>
      </c>
      <c r="B881" s="5">
        <f>'1 datos preparados'!U874</f>
        <v/>
      </c>
      <c r="C881">
        <f>'1 datos preparados'!B874</f>
        <v/>
      </c>
      <c r="D881" s="7">
        <f>'1 datos preparados'!C874</f>
        <v/>
      </c>
      <c r="E881" s="7">
        <f>'1 datos preparados'!D874</f>
        <v/>
      </c>
      <c r="F881" s="7">
        <f>'1 datos preparados'!E874</f>
        <v/>
      </c>
      <c r="G881" s="7">
        <f>'1 datos preparados'!F874</f>
        <v/>
      </c>
      <c r="H881" s="7">
        <f>'1 datos preparados'!G874</f>
        <v/>
      </c>
      <c r="I881" s="7">
        <f>'1 datos preparados'!H874</f>
        <v/>
      </c>
      <c r="J881" s="7">
        <f>'1 datos preparados'!I874</f>
        <v/>
      </c>
      <c r="K881" s="7">
        <f>'1 datos preparados'!J874</f>
        <v/>
      </c>
      <c r="L881" s="7">
        <f>'1 datos preparados'!K874</f>
        <v/>
      </c>
      <c r="M881" s="7">
        <f>'1 datos preparados'!L874</f>
        <v/>
      </c>
      <c r="N881" s="7">
        <f>'1 datos preparados'!M874</f>
        <v/>
      </c>
      <c r="O881" s="7">
        <f>'1 datos preparados'!N874</f>
        <v/>
      </c>
      <c r="P881" s="7">
        <f>'1 datos preparados'!O874</f>
        <v/>
      </c>
      <c r="Q881" s="7">
        <f>'1 datos preparados'!P874</f>
        <v/>
      </c>
      <c r="R881" s="7">
        <f>'1 datos preparados'!Q874</f>
        <v/>
      </c>
      <c r="S881" s="7">
        <f>'1 datos preparados'!R874</f>
        <v/>
      </c>
      <c r="T881" s="7">
        <f>'1 datos preparados'!S874</f>
        <v/>
      </c>
      <c r="U881" s="7">
        <f>'1 datos preparados'!T874</f>
        <v/>
      </c>
      <c r="V881" s="8">
        <f>$AE$12+D881*$AE$13+E881*$AE$14+F881*$AE$15+G881*$AE$16+H881*$AE$17+I881*$AE$18+J881*$AE$19+K881*$AE$20+L881*$AE$21+M881*$AE$22+N881*$AE$23+O881*$AE$24+P881*$AE$25+Q881*$AE$26+R881*$AE$27+S881*$AE$28+T881*$AE$29+U881*$AE$30</f>
        <v/>
      </c>
      <c r="W881" s="8">
        <f>1/(1+EXP(-V881))</f>
        <v/>
      </c>
      <c r="X881" s="9">
        <f>-IF(C881=1,LN(W881),LN(1-W881))</f>
        <v/>
      </c>
      <c r="Y881" s="8">
        <f>IF(C881=1,$AE$32,$AE$33)</f>
        <v/>
      </c>
      <c r="Z881" s="9">
        <f>Y881*X881</f>
        <v/>
      </c>
      <c r="AA881" s="10">
        <f>IF(W881&gt;$AE$34,1,0)</f>
        <v/>
      </c>
      <c r="AB881">
        <f>IF(AA881=C881,1,0)</f>
        <v/>
      </c>
    </row>
    <row r="882">
      <c r="A882">
        <f>'1 datos preparados'!A875</f>
        <v/>
      </c>
      <c r="B882" s="5">
        <f>'1 datos preparados'!U875</f>
        <v/>
      </c>
      <c r="C882">
        <f>'1 datos preparados'!B875</f>
        <v/>
      </c>
      <c r="D882" s="7">
        <f>'1 datos preparados'!C875</f>
        <v/>
      </c>
      <c r="E882" s="7">
        <f>'1 datos preparados'!D875</f>
        <v/>
      </c>
      <c r="F882" s="7">
        <f>'1 datos preparados'!E875</f>
        <v/>
      </c>
      <c r="G882" s="7">
        <f>'1 datos preparados'!F875</f>
        <v/>
      </c>
      <c r="H882" s="7">
        <f>'1 datos preparados'!G875</f>
        <v/>
      </c>
      <c r="I882" s="7">
        <f>'1 datos preparados'!H875</f>
        <v/>
      </c>
      <c r="J882" s="7">
        <f>'1 datos preparados'!I875</f>
        <v/>
      </c>
      <c r="K882" s="7">
        <f>'1 datos preparados'!J875</f>
        <v/>
      </c>
      <c r="L882" s="7">
        <f>'1 datos preparados'!K875</f>
        <v/>
      </c>
      <c r="M882" s="7">
        <f>'1 datos preparados'!L875</f>
        <v/>
      </c>
      <c r="N882" s="7">
        <f>'1 datos preparados'!M875</f>
        <v/>
      </c>
      <c r="O882" s="7">
        <f>'1 datos preparados'!N875</f>
        <v/>
      </c>
      <c r="P882" s="7">
        <f>'1 datos preparados'!O875</f>
        <v/>
      </c>
      <c r="Q882" s="7">
        <f>'1 datos preparados'!P875</f>
        <v/>
      </c>
      <c r="R882" s="7">
        <f>'1 datos preparados'!Q875</f>
        <v/>
      </c>
      <c r="S882" s="7">
        <f>'1 datos preparados'!R875</f>
        <v/>
      </c>
      <c r="T882" s="7">
        <f>'1 datos preparados'!S875</f>
        <v/>
      </c>
      <c r="U882" s="7">
        <f>'1 datos preparados'!T875</f>
        <v/>
      </c>
      <c r="V882" s="8">
        <f>$AE$12+D882*$AE$13+E882*$AE$14+F882*$AE$15+G882*$AE$16+H882*$AE$17+I882*$AE$18+J882*$AE$19+K882*$AE$20+L882*$AE$21+M882*$AE$22+N882*$AE$23+O882*$AE$24+P882*$AE$25+Q882*$AE$26+R882*$AE$27+S882*$AE$28+T882*$AE$29+U882*$AE$30</f>
        <v/>
      </c>
      <c r="W882" s="8">
        <f>1/(1+EXP(-V882))</f>
        <v/>
      </c>
      <c r="X882" s="9">
        <f>-IF(C882=1,LN(W882),LN(1-W882))</f>
        <v/>
      </c>
      <c r="Y882" s="8">
        <f>IF(C882=1,$AE$32,$AE$33)</f>
        <v/>
      </c>
      <c r="Z882" s="9">
        <f>Y882*X882</f>
        <v/>
      </c>
      <c r="AA882" s="10">
        <f>IF(W882&gt;$AE$34,1,0)</f>
        <v/>
      </c>
      <c r="AB882">
        <f>IF(AA882=C882,1,0)</f>
        <v/>
      </c>
    </row>
    <row r="883">
      <c r="A883">
        <f>'1 datos preparados'!A876</f>
        <v/>
      </c>
      <c r="B883" s="5">
        <f>'1 datos preparados'!U876</f>
        <v/>
      </c>
      <c r="C883">
        <f>'1 datos preparados'!B876</f>
        <v/>
      </c>
      <c r="D883" s="7">
        <f>'1 datos preparados'!C876</f>
        <v/>
      </c>
      <c r="E883" s="7">
        <f>'1 datos preparados'!D876</f>
        <v/>
      </c>
      <c r="F883" s="7">
        <f>'1 datos preparados'!E876</f>
        <v/>
      </c>
      <c r="G883" s="7">
        <f>'1 datos preparados'!F876</f>
        <v/>
      </c>
      <c r="H883" s="7">
        <f>'1 datos preparados'!G876</f>
        <v/>
      </c>
      <c r="I883" s="7">
        <f>'1 datos preparados'!H876</f>
        <v/>
      </c>
      <c r="J883" s="7">
        <f>'1 datos preparados'!I876</f>
        <v/>
      </c>
      <c r="K883" s="7">
        <f>'1 datos preparados'!J876</f>
        <v/>
      </c>
      <c r="L883" s="7">
        <f>'1 datos preparados'!K876</f>
        <v/>
      </c>
      <c r="M883" s="7">
        <f>'1 datos preparados'!L876</f>
        <v/>
      </c>
      <c r="N883" s="7">
        <f>'1 datos preparados'!M876</f>
        <v/>
      </c>
      <c r="O883" s="7">
        <f>'1 datos preparados'!N876</f>
        <v/>
      </c>
      <c r="P883" s="7">
        <f>'1 datos preparados'!O876</f>
        <v/>
      </c>
      <c r="Q883" s="7">
        <f>'1 datos preparados'!P876</f>
        <v/>
      </c>
      <c r="R883" s="7">
        <f>'1 datos preparados'!Q876</f>
        <v/>
      </c>
      <c r="S883" s="7">
        <f>'1 datos preparados'!R876</f>
        <v/>
      </c>
      <c r="T883" s="7">
        <f>'1 datos preparados'!S876</f>
        <v/>
      </c>
      <c r="U883" s="7">
        <f>'1 datos preparados'!T876</f>
        <v/>
      </c>
      <c r="V883" s="8">
        <f>$AE$12+D883*$AE$13+E883*$AE$14+F883*$AE$15+G883*$AE$16+H883*$AE$17+I883*$AE$18+J883*$AE$19+K883*$AE$20+L883*$AE$21+M883*$AE$22+N883*$AE$23+O883*$AE$24+P883*$AE$25+Q883*$AE$26+R883*$AE$27+S883*$AE$28+T883*$AE$29+U883*$AE$30</f>
        <v/>
      </c>
      <c r="W883" s="8">
        <f>1/(1+EXP(-V883))</f>
        <v/>
      </c>
      <c r="X883" s="9">
        <f>-IF(C883=1,LN(W883),LN(1-W883))</f>
        <v/>
      </c>
      <c r="Y883" s="8">
        <f>IF(C883=1,$AE$32,$AE$33)</f>
        <v/>
      </c>
      <c r="Z883" s="9">
        <f>Y883*X883</f>
        <v/>
      </c>
      <c r="AA883" s="10">
        <f>IF(W883&gt;$AE$34,1,0)</f>
        <v/>
      </c>
      <c r="AB883">
        <f>IF(AA883=C883,1,0)</f>
        <v/>
      </c>
    </row>
    <row r="884">
      <c r="A884">
        <f>'1 datos preparados'!A877</f>
        <v/>
      </c>
      <c r="B884" s="5">
        <f>'1 datos preparados'!U877</f>
        <v/>
      </c>
      <c r="C884">
        <f>'1 datos preparados'!B877</f>
        <v/>
      </c>
      <c r="D884" s="7">
        <f>'1 datos preparados'!C877</f>
        <v/>
      </c>
      <c r="E884" s="7">
        <f>'1 datos preparados'!D877</f>
        <v/>
      </c>
      <c r="F884" s="7">
        <f>'1 datos preparados'!E877</f>
        <v/>
      </c>
      <c r="G884" s="7">
        <f>'1 datos preparados'!F877</f>
        <v/>
      </c>
      <c r="H884" s="7">
        <f>'1 datos preparados'!G877</f>
        <v/>
      </c>
      <c r="I884" s="7">
        <f>'1 datos preparados'!H877</f>
        <v/>
      </c>
      <c r="J884" s="7">
        <f>'1 datos preparados'!I877</f>
        <v/>
      </c>
      <c r="K884" s="7">
        <f>'1 datos preparados'!J877</f>
        <v/>
      </c>
      <c r="L884" s="7">
        <f>'1 datos preparados'!K877</f>
        <v/>
      </c>
      <c r="M884" s="7">
        <f>'1 datos preparados'!L877</f>
        <v/>
      </c>
      <c r="N884" s="7">
        <f>'1 datos preparados'!M877</f>
        <v/>
      </c>
      <c r="O884" s="7">
        <f>'1 datos preparados'!N877</f>
        <v/>
      </c>
      <c r="P884" s="7">
        <f>'1 datos preparados'!O877</f>
        <v/>
      </c>
      <c r="Q884" s="7">
        <f>'1 datos preparados'!P877</f>
        <v/>
      </c>
      <c r="R884" s="7">
        <f>'1 datos preparados'!Q877</f>
        <v/>
      </c>
      <c r="S884" s="7">
        <f>'1 datos preparados'!R877</f>
        <v/>
      </c>
      <c r="T884" s="7">
        <f>'1 datos preparados'!S877</f>
        <v/>
      </c>
      <c r="U884" s="7">
        <f>'1 datos preparados'!T877</f>
        <v/>
      </c>
      <c r="V884" s="8">
        <f>$AE$12+D884*$AE$13+E884*$AE$14+F884*$AE$15+G884*$AE$16+H884*$AE$17+I884*$AE$18+J884*$AE$19+K884*$AE$20+L884*$AE$21+M884*$AE$22+N884*$AE$23+O884*$AE$24+P884*$AE$25+Q884*$AE$26+R884*$AE$27+S884*$AE$28+T884*$AE$29+U884*$AE$30</f>
        <v/>
      </c>
      <c r="W884" s="8">
        <f>1/(1+EXP(-V884))</f>
        <v/>
      </c>
      <c r="X884" s="9">
        <f>-IF(C884=1,LN(W884),LN(1-W884))</f>
        <v/>
      </c>
      <c r="Y884" s="8">
        <f>IF(C884=1,$AE$32,$AE$33)</f>
        <v/>
      </c>
      <c r="Z884" s="9">
        <f>Y884*X884</f>
        <v/>
      </c>
      <c r="AA884" s="10">
        <f>IF(W884&gt;$AE$34,1,0)</f>
        <v/>
      </c>
      <c r="AB884">
        <f>IF(AA884=C884,1,0)</f>
        <v/>
      </c>
    </row>
    <row r="885">
      <c r="A885">
        <f>'1 datos preparados'!A878</f>
        <v/>
      </c>
      <c r="B885" s="5">
        <f>'1 datos preparados'!U878</f>
        <v/>
      </c>
      <c r="C885">
        <f>'1 datos preparados'!B878</f>
        <v/>
      </c>
      <c r="D885" s="7">
        <f>'1 datos preparados'!C878</f>
        <v/>
      </c>
      <c r="E885" s="7">
        <f>'1 datos preparados'!D878</f>
        <v/>
      </c>
      <c r="F885" s="7">
        <f>'1 datos preparados'!E878</f>
        <v/>
      </c>
      <c r="G885" s="7">
        <f>'1 datos preparados'!F878</f>
        <v/>
      </c>
      <c r="H885" s="7">
        <f>'1 datos preparados'!G878</f>
        <v/>
      </c>
      <c r="I885" s="7">
        <f>'1 datos preparados'!H878</f>
        <v/>
      </c>
      <c r="J885" s="7">
        <f>'1 datos preparados'!I878</f>
        <v/>
      </c>
      <c r="K885" s="7">
        <f>'1 datos preparados'!J878</f>
        <v/>
      </c>
      <c r="L885" s="7">
        <f>'1 datos preparados'!K878</f>
        <v/>
      </c>
      <c r="M885" s="7">
        <f>'1 datos preparados'!L878</f>
        <v/>
      </c>
      <c r="N885" s="7">
        <f>'1 datos preparados'!M878</f>
        <v/>
      </c>
      <c r="O885" s="7">
        <f>'1 datos preparados'!N878</f>
        <v/>
      </c>
      <c r="P885" s="7">
        <f>'1 datos preparados'!O878</f>
        <v/>
      </c>
      <c r="Q885" s="7">
        <f>'1 datos preparados'!P878</f>
        <v/>
      </c>
      <c r="R885" s="7">
        <f>'1 datos preparados'!Q878</f>
        <v/>
      </c>
      <c r="S885" s="7">
        <f>'1 datos preparados'!R878</f>
        <v/>
      </c>
      <c r="T885" s="7">
        <f>'1 datos preparados'!S878</f>
        <v/>
      </c>
      <c r="U885" s="7">
        <f>'1 datos preparados'!T878</f>
        <v/>
      </c>
      <c r="V885" s="8">
        <f>$AE$12+D885*$AE$13+E885*$AE$14+F885*$AE$15+G885*$AE$16+H885*$AE$17+I885*$AE$18+J885*$AE$19+K885*$AE$20+L885*$AE$21+M885*$AE$22+N885*$AE$23+O885*$AE$24+P885*$AE$25+Q885*$AE$26+R885*$AE$27+S885*$AE$28+T885*$AE$29+U885*$AE$30</f>
        <v/>
      </c>
      <c r="W885" s="8">
        <f>1/(1+EXP(-V885))</f>
        <v/>
      </c>
      <c r="X885" s="9">
        <f>-IF(C885=1,LN(W885),LN(1-W885))</f>
        <v/>
      </c>
      <c r="Y885" s="8">
        <f>IF(C885=1,$AE$32,$AE$33)</f>
        <v/>
      </c>
      <c r="Z885" s="9">
        <f>Y885*X885</f>
        <v/>
      </c>
      <c r="AA885" s="10">
        <f>IF(W885&gt;$AE$34,1,0)</f>
        <v/>
      </c>
      <c r="AB885">
        <f>IF(AA885=C885,1,0)</f>
        <v/>
      </c>
    </row>
    <row r="886">
      <c r="A886">
        <f>'1 datos preparados'!A879</f>
        <v/>
      </c>
      <c r="B886" s="5">
        <f>'1 datos preparados'!U879</f>
        <v/>
      </c>
      <c r="C886">
        <f>'1 datos preparados'!B879</f>
        <v/>
      </c>
      <c r="D886" s="7">
        <f>'1 datos preparados'!C879</f>
        <v/>
      </c>
      <c r="E886" s="7">
        <f>'1 datos preparados'!D879</f>
        <v/>
      </c>
      <c r="F886" s="7">
        <f>'1 datos preparados'!E879</f>
        <v/>
      </c>
      <c r="G886" s="7">
        <f>'1 datos preparados'!F879</f>
        <v/>
      </c>
      <c r="H886" s="7">
        <f>'1 datos preparados'!G879</f>
        <v/>
      </c>
      <c r="I886" s="7">
        <f>'1 datos preparados'!H879</f>
        <v/>
      </c>
      <c r="J886" s="7">
        <f>'1 datos preparados'!I879</f>
        <v/>
      </c>
      <c r="K886" s="7">
        <f>'1 datos preparados'!J879</f>
        <v/>
      </c>
      <c r="L886" s="7">
        <f>'1 datos preparados'!K879</f>
        <v/>
      </c>
      <c r="M886" s="7">
        <f>'1 datos preparados'!L879</f>
        <v/>
      </c>
      <c r="N886" s="7">
        <f>'1 datos preparados'!M879</f>
        <v/>
      </c>
      <c r="O886" s="7">
        <f>'1 datos preparados'!N879</f>
        <v/>
      </c>
      <c r="P886" s="7">
        <f>'1 datos preparados'!O879</f>
        <v/>
      </c>
      <c r="Q886" s="7">
        <f>'1 datos preparados'!P879</f>
        <v/>
      </c>
      <c r="R886" s="7">
        <f>'1 datos preparados'!Q879</f>
        <v/>
      </c>
      <c r="S886" s="7">
        <f>'1 datos preparados'!R879</f>
        <v/>
      </c>
      <c r="T886" s="7">
        <f>'1 datos preparados'!S879</f>
        <v/>
      </c>
      <c r="U886" s="7">
        <f>'1 datos preparados'!T879</f>
        <v/>
      </c>
      <c r="V886" s="8">
        <f>$AE$12+D886*$AE$13+E886*$AE$14+F886*$AE$15+G886*$AE$16+H886*$AE$17+I886*$AE$18+J886*$AE$19+K886*$AE$20+L886*$AE$21+M886*$AE$22+N886*$AE$23+O886*$AE$24+P886*$AE$25+Q886*$AE$26+R886*$AE$27+S886*$AE$28+T886*$AE$29+U886*$AE$30</f>
        <v/>
      </c>
      <c r="W886" s="8">
        <f>1/(1+EXP(-V886))</f>
        <v/>
      </c>
      <c r="X886" s="9">
        <f>-IF(C886=1,LN(W886),LN(1-W886))</f>
        <v/>
      </c>
      <c r="Y886" s="8">
        <f>IF(C886=1,$AE$32,$AE$33)</f>
        <v/>
      </c>
      <c r="Z886" s="9">
        <f>Y886*X886</f>
        <v/>
      </c>
      <c r="AA886" s="10">
        <f>IF(W886&gt;$AE$34,1,0)</f>
        <v/>
      </c>
      <c r="AB886">
        <f>IF(AA886=C886,1,0)</f>
        <v/>
      </c>
    </row>
    <row r="887">
      <c r="A887">
        <f>'1 datos preparados'!A880</f>
        <v/>
      </c>
      <c r="B887" s="5">
        <f>'1 datos preparados'!U880</f>
        <v/>
      </c>
      <c r="C887">
        <f>'1 datos preparados'!B880</f>
        <v/>
      </c>
      <c r="D887" s="7">
        <f>'1 datos preparados'!C880</f>
        <v/>
      </c>
      <c r="E887" s="7">
        <f>'1 datos preparados'!D880</f>
        <v/>
      </c>
      <c r="F887" s="7">
        <f>'1 datos preparados'!E880</f>
        <v/>
      </c>
      <c r="G887" s="7">
        <f>'1 datos preparados'!F880</f>
        <v/>
      </c>
      <c r="H887" s="7">
        <f>'1 datos preparados'!G880</f>
        <v/>
      </c>
      <c r="I887" s="7">
        <f>'1 datos preparados'!H880</f>
        <v/>
      </c>
      <c r="J887" s="7">
        <f>'1 datos preparados'!I880</f>
        <v/>
      </c>
      <c r="K887" s="7">
        <f>'1 datos preparados'!J880</f>
        <v/>
      </c>
      <c r="L887" s="7">
        <f>'1 datos preparados'!K880</f>
        <v/>
      </c>
      <c r="M887" s="7">
        <f>'1 datos preparados'!L880</f>
        <v/>
      </c>
      <c r="N887" s="7">
        <f>'1 datos preparados'!M880</f>
        <v/>
      </c>
      <c r="O887" s="7">
        <f>'1 datos preparados'!N880</f>
        <v/>
      </c>
      <c r="P887" s="7">
        <f>'1 datos preparados'!O880</f>
        <v/>
      </c>
      <c r="Q887" s="7">
        <f>'1 datos preparados'!P880</f>
        <v/>
      </c>
      <c r="R887" s="7">
        <f>'1 datos preparados'!Q880</f>
        <v/>
      </c>
      <c r="S887" s="7">
        <f>'1 datos preparados'!R880</f>
        <v/>
      </c>
      <c r="T887" s="7">
        <f>'1 datos preparados'!S880</f>
        <v/>
      </c>
      <c r="U887" s="7">
        <f>'1 datos preparados'!T880</f>
        <v/>
      </c>
      <c r="V887" s="8">
        <f>$AE$12+D887*$AE$13+E887*$AE$14+F887*$AE$15+G887*$AE$16+H887*$AE$17+I887*$AE$18+J887*$AE$19+K887*$AE$20+L887*$AE$21+M887*$AE$22+N887*$AE$23+O887*$AE$24+P887*$AE$25+Q887*$AE$26+R887*$AE$27+S887*$AE$28+T887*$AE$29+U887*$AE$30</f>
        <v/>
      </c>
      <c r="W887" s="8">
        <f>1/(1+EXP(-V887))</f>
        <v/>
      </c>
      <c r="X887" s="9">
        <f>-IF(C887=1,LN(W887),LN(1-W887))</f>
        <v/>
      </c>
      <c r="Y887" s="8">
        <f>IF(C887=1,$AE$32,$AE$33)</f>
        <v/>
      </c>
      <c r="Z887" s="9">
        <f>Y887*X887</f>
        <v/>
      </c>
      <c r="AA887" s="10">
        <f>IF(W887&gt;$AE$34,1,0)</f>
        <v/>
      </c>
      <c r="AB887">
        <f>IF(AA887=C887,1,0)</f>
        <v/>
      </c>
    </row>
    <row r="888">
      <c r="A888">
        <f>'1 datos preparados'!A881</f>
        <v/>
      </c>
      <c r="B888" s="5">
        <f>'1 datos preparados'!U881</f>
        <v/>
      </c>
      <c r="C888">
        <f>'1 datos preparados'!B881</f>
        <v/>
      </c>
      <c r="D888" s="7">
        <f>'1 datos preparados'!C881</f>
        <v/>
      </c>
      <c r="E888" s="7">
        <f>'1 datos preparados'!D881</f>
        <v/>
      </c>
      <c r="F888" s="7">
        <f>'1 datos preparados'!E881</f>
        <v/>
      </c>
      <c r="G888" s="7">
        <f>'1 datos preparados'!F881</f>
        <v/>
      </c>
      <c r="H888" s="7">
        <f>'1 datos preparados'!G881</f>
        <v/>
      </c>
      <c r="I888" s="7">
        <f>'1 datos preparados'!H881</f>
        <v/>
      </c>
      <c r="J888" s="7">
        <f>'1 datos preparados'!I881</f>
        <v/>
      </c>
      <c r="K888" s="7">
        <f>'1 datos preparados'!J881</f>
        <v/>
      </c>
      <c r="L888" s="7">
        <f>'1 datos preparados'!K881</f>
        <v/>
      </c>
      <c r="M888" s="7">
        <f>'1 datos preparados'!L881</f>
        <v/>
      </c>
      <c r="N888" s="7">
        <f>'1 datos preparados'!M881</f>
        <v/>
      </c>
      <c r="O888" s="7">
        <f>'1 datos preparados'!N881</f>
        <v/>
      </c>
      <c r="P888" s="7">
        <f>'1 datos preparados'!O881</f>
        <v/>
      </c>
      <c r="Q888" s="7">
        <f>'1 datos preparados'!P881</f>
        <v/>
      </c>
      <c r="R888" s="7">
        <f>'1 datos preparados'!Q881</f>
        <v/>
      </c>
      <c r="S888" s="7">
        <f>'1 datos preparados'!R881</f>
        <v/>
      </c>
      <c r="T888" s="7">
        <f>'1 datos preparados'!S881</f>
        <v/>
      </c>
      <c r="U888" s="7">
        <f>'1 datos preparados'!T881</f>
        <v/>
      </c>
      <c r="V888" s="8">
        <f>$AE$12+D888*$AE$13+E888*$AE$14+F888*$AE$15+G888*$AE$16+H888*$AE$17+I888*$AE$18+J888*$AE$19+K888*$AE$20+L888*$AE$21+M888*$AE$22+N888*$AE$23+O888*$AE$24+P888*$AE$25+Q888*$AE$26+R888*$AE$27+S888*$AE$28+T888*$AE$29+U888*$AE$30</f>
        <v/>
      </c>
      <c r="W888" s="8">
        <f>1/(1+EXP(-V888))</f>
        <v/>
      </c>
      <c r="X888" s="9">
        <f>-IF(C888=1,LN(W888),LN(1-W888))</f>
        <v/>
      </c>
      <c r="Y888" s="8">
        <f>IF(C888=1,$AE$32,$AE$33)</f>
        <v/>
      </c>
      <c r="Z888" s="9">
        <f>Y888*X888</f>
        <v/>
      </c>
      <c r="AA888" s="10">
        <f>IF(W888&gt;$AE$34,1,0)</f>
        <v/>
      </c>
      <c r="AB888">
        <f>IF(AA888=C888,1,0)</f>
        <v/>
      </c>
    </row>
    <row r="889">
      <c r="A889">
        <f>'1 datos preparados'!A882</f>
        <v/>
      </c>
      <c r="B889" s="5">
        <f>'1 datos preparados'!U882</f>
        <v/>
      </c>
      <c r="C889">
        <f>'1 datos preparados'!B882</f>
        <v/>
      </c>
      <c r="D889" s="7">
        <f>'1 datos preparados'!C882</f>
        <v/>
      </c>
      <c r="E889" s="7">
        <f>'1 datos preparados'!D882</f>
        <v/>
      </c>
      <c r="F889" s="7">
        <f>'1 datos preparados'!E882</f>
        <v/>
      </c>
      <c r="G889" s="7">
        <f>'1 datos preparados'!F882</f>
        <v/>
      </c>
      <c r="H889" s="7">
        <f>'1 datos preparados'!G882</f>
        <v/>
      </c>
      <c r="I889" s="7">
        <f>'1 datos preparados'!H882</f>
        <v/>
      </c>
      <c r="J889" s="7">
        <f>'1 datos preparados'!I882</f>
        <v/>
      </c>
      <c r="K889" s="7">
        <f>'1 datos preparados'!J882</f>
        <v/>
      </c>
      <c r="L889" s="7">
        <f>'1 datos preparados'!K882</f>
        <v/>
      </c>
      <c r="M889" s="7">
        <f>'1 datos preparados'!L882</f>
        <v/>
      </c>
      <c r="N889" s="7">
        <f>'1 datos preparados'!M882</f>
        <v/>
      </c>
      <c r="O889" s="7">
        <f>'1 datos preparados'!N882</f>
        <v/>
      </c>
      <c r="P889" s="7">
        <f>'1 datos preparados'!O882</f>
        <v/>
      </c>
      <c r="Q889" s="7">
        <f>'1 datos preparados'!P882</f>
        <v/>
      </c>
      <c r="R889" s="7">
        <f>'1 datos preparados'!Q882</f>
        <v/>
      </c>
      <c r="S889" s="7">
        <f>'1 datos preparados'!R882</f>
        <v/>
      </c>
      <c r="T889" s="7">
        <f>'1 datos preparados'!S882</f>
        <v/>
      </c>
      <c r="U889" s="7">
        <f>'1 datos preparados'!T882</f>
        <v/>
      </c>
      <c r="V889" s="8">
        <f>$AE$12+D889*$AE$13+E889*$AE$14+F889*$AE$15+G889*$AE$16+H889*$AE$17+I889*$AE$18+J889*$AE$19+K889*$AE$20+L889*$AE$21+M889*$AE$22+N889*$AE$23+O889*$AE$24+P889*$AE$25+Q889*$AE$26+R889*$AE$27+S889*$AE$28+T889*$AE$29+U889*$AE$30</f>
        <v/>
      </c>
      <c r="W889" s="8">
        <f>1/(1+EXP(-V889))</f>
        <v/>
      </c>
      <c r="X889" s="9">
        <f>-IF(C889=1,LN(W889),LN(1-W889))</f>
        <v/>
      </c>
      <c r="Y889" s="8">
        <f>IF(C889=1,$AE$32,$AE$33)</f>
        <v/>
      </c>
      <c r="Z889" s="9">
        <f>Y889*X889</f>
        <v/>
      </c>
      <c r="AA889" s="10">
        <f>IF(W889&gt;$AE$34,1,0)</f>
        <v/>
      </c>
      <c r="AB889">
        <f>IF(AA889=C889,1,0)</f>
        <v/>
      </c>
    </row>
    <row r="890">
      <c r="A890">
        <f>'1 datos preparados'!A883</f>
        <v/>
      </c>
      <c r="B890" s="5">
        <f>'1 datos preparados'!U883</f>
        <v/>
      </c>
      <c r="C890">
        <f>'1 datos preparados'!B883</f>
        <v/>
      </c>
      <c r="D890" s="7">
        <f>'1 datos preparados'!C883</f>
        <v/>
      </c>
      <c r="E890" s="7">
        <f>'1 datos preparados'!D883</f>
        <v/>
      </c>
      <c r="F890" s="7">
        <f>'1 datos preparados'!E883</f>
        <v/>
      </c>
      <c r="G890" s="7">
        <f>'1 datos preparados'!F883</f>
        <v/>
      </c>
      <c r="H890" s="7">
        <f>'1 datos preparados'!G883</f>
        <v/>
      </c>
      <c r="I890" s="7">
        <f>'1 datos preparados'!H883</f>
        <v/>
      </c>
      <c r="J890" s="7">
        <f>'1 datos preparados'!I883</f>
        <v/>
      </c>
      <c r="K890" s="7">
        <f>'1 datos preparados'!J883</f>
        <v/>
      </c>
      <c r="L890" s="7">
        <f>'1 datos preparados'!K883</f>
        <v/>
      </c>
      <c r="M890" s="7">
        <f>'1 datos preparados'!L883</f>
        <v/>
      </c>
      <c r="N890" s="7">
        <f>'1 datos preparados'!M883</f>
        <v/>
      </c>
      <c r="O890" s="7">
        <f>'1 datos preparados'!N883</f>
        <v/>
      </c>
      <c r="P890" s="7">
        <f>'1 datos preparados'!O883</f>
        <v/>
      </c>
      <c r="Q890" s="7">
        <f>'1 datos preparados'!P883</f>
        <v/>
      </c>
      <c r="R890" s="7">
        <f>'1 datos preparados'!Q883</f>
        <v/>
      </c>
      <c r="S890" s="7">
        <f>'1 datos preparados'!R883</f>
        <v/>
      </c>
      <c r="T890" s="7">
        <f>'1 datos preparados'!S883</f>
        <v/>
      </c>
      <c r="U890" s="7">
        <f>'1 datos preparados'!T883</f>
        <v/>
      </c>
      <c r="V890" s="8">
        <f>$AE$12+D890*$AE$13+E890*$AE$14+F890*$AE$15+G890*$AE$16+H890*$AE$17+I890*$AE$18+J890*$AE$19+K890*$AE$20+L890*$AE$21+M890*$AE$22+N890*$AE$23+O890*$AE$24+P890*$AE$25+Q890*$AE$26+R890*$AE$27+S890*$AE$28+T890*$AE$29+U890*$AE$30</f>
        <v/>
      </c>
      <c r="W890" s="8">
        <f>1/(1+EXP(-V890))</f>
        <v/>
      </c>
      <c r="X890" s="9">
        <f>-IF(C890=1,LN(W890),LN(1-W890))</f>
        <v/>
      </c>
      <c r="Y890" s="8">
        <f>IF(C890=1,$AE$32,$AE$33)</f>
        <v/>
      </c>
      <c r="Z890" s="9">
        <f>Y890*X890</f>
        <v/>
      </c>
      <c r="AA890" s="10">
        <f>IF(W890&gt;$AE$34,1,0)</f>
        <v/>
      </c>
      <c r="AB890">
        <f>IF(AA890=C890,1,0)</f>
        <v/>
      </c>
    </row>
    <row r="891">
      <c r="A891">
        <f>'1 datos preparados'!A884</f>
        <v/>
      </c>
      <c r="B891" s="5">
        <f>'1 datos preparados'!U884</f>
        <v/>
      </c>
      <c r="C891">
        <f>'1 datos preparados'!B884</f>
        <v/>
      </c>
      <c r="D891" s="7">
        <f>'1 datos preparados'!C884</f>
        <v/>
      </c>
      <c r="E891" s="7">
        <f>'1 datos preparados'!D884</f>
        <v/>
      </c>
      <c r="F891" s="7">
        <f>'1 datos preparados'!E884</f>
        <v/>
      </c>
      <c r="G891" s="7">
        <f>'1 datos preparados'!F884</f>
        <v/>
      </c>
      <c r="H891" s="7">
        <f>'1 datos preparados'!G884</f>
        <v/>
      </c>
      <c r="I891" s="7">
        <f>'1 datos preparados'!H884</f>
        <v/>
      </c>
      <c r="J891" s="7">
        <f>'1 datos preparados'!I884</f>
        <v/>
      </c>
      <c r="K891" s="7">
        <f>'1 datos preparados'!J884</f>
        <v/>
      </c>
      <c r="L891" s="7">
        <f>'1 datos preparados'!K884</f>
        <v/>
      </c>
      <c r="M891" s="7">
        <f>'1 datos preparados'!L884</f>
        <v/>
      </c>
      <c r="N891" s="7">
        <f>'1 datos preparados'!M884</f>
        <v/>
      </c>
      <c r="O891" s="7">
        <f>'1 datos preparados'!N884</f>
        <v/>
      </c>
      <c r="P891" s="7">
        <f>'1 datos preparados'!O884</f>
        <v/>
      </c>
      <c r="Q891" s="7">
        <f>'1 datos preparados'!P884</f>
        <v/>
      </c>
      <c r="R891" s="7">
        <f>'1 datos preparados'!Q884</f>
        <v/>
      </c>
      <c r="S891" s="7">
        <f>'1 datos preparados'!R884</f>
        <v/>
      </c>
      <c r="T891" s="7">
        <f>'1 datos preparados'!S884</f>
        <v/>
      </c>
      <c r="U891" s="7">
        <f>'1 datos preparados'!T884</f>
        <v/>
      </c>
      <c r="V891" s="8">
        <f>$AE$12+D891*$AE$13+E891*$AE$14+F891*$AE$15+G891*$AE$16+H891*$AE$17+I891*$AE$18+J891*$AE$19+K891*$AE$20+L891*$AE$21+M891*$AE$22+N891*$AE$23+O891*$AE$24+P891*$AE$25+Q891*$AE$26+R891*$AE$27+S891*$AE$28+T891*$AE$29+U891*$AE$30</f>
        <v/>
      </c>
      <c r="W891" s="8">
        <f>1/(1+EXP(-V891))</f>
        <v/>
      </c>
      <c r="X891" s="9">
        <f>-IF(C891=1,LN(W891),LN(1-W891))</f>
        <v/>
      </c>
      <c r="Y891" s="8">
        <f>IF(C891=1,$AE$32,$AE$33)</f>
        <v/>
      </c>
      <c r="Z891" s="9">
        <f>Y891*X891</f>
        <v/>
      </c>
      <c r="AA891" s="10">
        <f>IF(W891&gt;$AE$34,1,0)</f>
        <v/>
      </c>
      <c r="AB891">
        <f>IF(AA891=C891,1,0)</f>
        <v/>
      </c>
    </row>
    <row r="892">
      <c r="A892">
        <f>'1 datos preparados'!A885</f>
        <v/>
      </c>
      <c r="B892" s="5">
        <f>'1 datos preparados'!U885</f>
        <v/>
      </c>
      <c r="C892">
        <f>'1 datos preparados'!B885</f>
        <v/>
      </c>
      <c r="D892" s="7">
        <f>'1 datos preparados'!C885</f>
        <v/>
      </c>
      <c r="E892" s="7">
        <f>'1 datos preparados'!D885</f>
        <v/>
      </c>
      <c r="F892" s="7">
        <f>'1 datos preparados'!E885</f>
        <v/>
      </c>
      <c r="G892" s="7">
        <f>'1 datos preparados'!F885</f>
        <v/>
      </c>
      <c r="H892" s="7">
        <f>'1 datos preparados'!G885</f>
        <v/>
      </c>
      <c r="I892" s="7">
        <f>'1 datos preparados'!H885</f>
        <v/>
      </c>
      <c r="J892" s="7">
        <f>'1 datos preparados'!I885</f>
        <v/>
      </c>
      <c r="K892" s="7">
        <f>'1 datos preparados'!J885</f>
        <v/>
      </c>
      <c r="L892" s="7">
        <f>'1 datos preparados'!K885</f>
        <v/>
      </c>
      <c r="M892" s="7">
        <f>'1 datos preparados'!L885</f>
        <v/>
      </c>
      <c r="N892" s="7">
        <f>'1 datos preparados'!M885</f>
        <v/>
      </c>
      <c r="O892" s="7">
        <f>'1 datos preparados'!N885</f>
        <v/>
      </c>
      <c r="P892" s="7">
        <f>'1 datos preparados'!O885</f>
        <v/>
      </c>
      <c r="Q892" s="7">
        <f>'1 datos preparados'!P885</f>
        <v/>
      </c>
      <c r="R892" s="7">
        <f>'1 datos preparados'!Q885</f>
        <v/>
      </c>
      <c r="S892" s="7">
        <f>'1 datos preparados'!R885</f>
        <v/>
      </c>
      <c r="T892" s="7">
        <f>'1 datos preparados'!S885</f>
        <v/>
      </c>
      <c r="U892" s="7">
        <f>'1 datos preparados'!T885</f>
        <v/>
      </c>
      <c r="V892" s="8">
        <f>$AE$12+D892*$AE$13+E892*$AE$14+F892*$AE$15+G892*$AE$16+H892*$AE$17+I892*$AE$18+J892*$AE$19+K892*$AE$20+L892*$AE$21+M892*$AE$22+N892*$AE$23+O892*$AE$24+P892*$AE$25+Q892*$AE$26+R892*$AE$27+S892*$AE$28+T892*$AE$29+U892*$AE$30</f>
        <v/>
      </c>
      <c r="W892" s="8">
        <f>1/(1+EXP(-V892))</f>
        <v/>
      </c>
      <c r="X892" s="9">
        <f>-IF(C892=1,LN(W892),LN(1-W892))</f>
        <v/>
      </c>
      <c r="Y892" s="8">
        <f>IF(C892=1,$AE$32,$AE$33)</f>
        <v/>
      </c>
      <c r="Z892" s="9">
        <f>Y892*X892</f>
        <v/>
      </c>
      <c r="AA892" s="10">
        <f>IF(W892&gt;$AE$34,1,0)</f>
        <v/>
      </c>
      <c r="AB892">
        <f>IF(AA892=C892,1,0)</f>
        <v/>
      </c>
    </row>
    <row r="893">
      <c r="A893">
        <f>'1 datos preparados'!A886</f>
        <v/>
      </c>
      <c r="B893" s="5">
        <f>'1 datos preparados'!U886</f>
        <v/>
      </c>
      <c r="C893">
        <f>'1 datos preparados'!B886</f>
        <v/>
      </c>
      <c r="D893" s="7">
        <f>'1 datos preparados'!C886</f>
        <v/>
      </c>
      <c r="E893" s="7">
        <f>'1 datos preparados'!D886</f>
        <v/>
      </c>
      <c r="F893" s="7">
        <f>'1 datos preparados'!E886</f>
        <v/>
      </c>
      <c r="G893" s="7">
        <f>'1 datos preparados'!F886</f>
        <v/>
      </c>
      <c r="H893" s="7">
        <f>'1 datos preparados'!G886</f>
        <v/>
      </c>
      <c r="I893" s="7">
        <f>'1 datos preparados'!H886</f>
        <v/>
      </c>
      <c r="J893" s="7">
        <f>'1 datos preparados'!I886</f>
        <v/>
      </c>
      <c r="K893" s="7">
        <f>'1 datos preparados'!J886</f>
        <v/>
      </c>
      <c r="L893" s="7">
        <f>'1 datos preparados'!K886</f>
        <v/>
      </c>
      <c r="M893" s="7">
        <f>'1 datos preparados'!L886</f>
        <v/>
      </c>
      <c r="N893" s="7">
        <f>'1 datos preparados'!M886</f>
        <v/>
      </c>
      <c r="O893" s="7">
        <f>'1 datos preparados'!N886</f>
        <v/>
      </c>
      <c r="P893" s="7">
        <f>'1 datos preparados'!O886</f>
        <v/>
      </c>
      <c r="Q893" s="7">
        <f>'1 datos preparados'!P886</f>
        <v/>
      </c>
      <c r="R893" s="7">
        <f>'1 datos preparados'!Q886</f>
        <v/>
      </c>
      <c r="S893" s="7">
        <f>'1 datos preparados'!R886</f>
        <v/>
      </c>
      <c r="T893" s="7">
        <f>'1 datos preparados'!S886</f>
        <v/>
      </c>
      <c r="U893" s="7">
        <f>'1 datos preparados'!T886</f>
        <v/>
      </c>
      <c r="V893" s="8">
        <f>$AE$12+D893*$AE$13+E893*$AE$14+F893*$AE$15+G893*$AE$16+H893*$AE$17+I893*$AE$18+J893*$AE$19+K893*$AE$20+L893*$AE$21+M893*$AE$22+N893*$AE$23+O893*$AE$24+P893*$AE$25+Q893*$AE$26+R893*$AE$27+S893*$AE$28+T893*$AE$29+U893*$AE$30</f>
        <v/>
      </c>
      <c r="W893" s="8">
        <f>1/(1+EXP(-V893))</f>
        <v/>
      </c>
      <c r="X893" s="9">
        <f>-IF(C893=1,LN(W893),LN(1-W893))</f>
        <v/>
      </c>
      <c r="Y893" s="8">
        <f>IF(C893=1,$AE$32,$AE$33)</f>
        <v/>
      </c>
      <c r="Z893" s="9">
        <f>Y893*X893</f>
        <v/>
      </c>
      <c r="AA893" s="10">
        <f>IF(W893&gt;$AE$34,1,0)</f>
        <v/>
      </c>
      <c r="AB893">
        <f>IF(AA893=C893,1,0)</f>
        <v/>
      </c>
    </row>
    <row r="894">
      <c r="A894">
        <f>'1 datos preparados'!A887</f>
        <v/>
      </c>
      <c r="B894" s="5">
        <f>'1 datos preparados'!U887</f>
        <v/>
      </c>
      <c r="C894">
        <f>'1 datos preparados'!B887</f>
        <v/>
      </c>
      <c r="D894" s="7">
        <f>'1 datos preparados'!C887</f>
        <v/>
      </c>
      <c r="E894" s="7">
        <f>'1 datos preparados'!D887</f>
        <v/>
      </c>
      <c r="F894" s="7">
        <f>'1 datos preparados'!E887</f>
        <v/>
      </c>
      <c r="G894" s="7">
        <f>'1 datos preparados'!F887</f>
        <v/>
      </c>
      <c r="H894" s="7">
        <f>'1 datos preparados'!G887</f>
        <v/>
      </c>
      <c r="I894" s="7">
        <f>'1 datos preparados'!H887</f>
        <v/>
      </c>
      <c r="J894" s="7">
        <f>'1 datos preparados'!I887</f>
        <v/>
      </c>
      <c r="K894" s="7">
        <f>'1 datos preparados'!J887</f>
        <v/>
      </c>
      <c r="L894" s="7">
        <f>'1 datos preparados'!K887</f>
        <v/>
      </c>
      <c r="M894" s="7">
        <f>'1 datos preparados'!L887</f>
        <v/>
      </c>
      <c r="N894" s="7">
        <f>'1 datos preparados'!M887</f>
        <v/>
      </c>
      <c r="O894" s="7">
        <f>'1 datos preparados'!N887</f>
        <v/>
      </c>
      <c r="P894" s="7">
        <f>'1 datos preparados'!O887</f>
        <v/>
      </c>
      <c r="Q894" s="7">
        <f>'1 datos preparados'!P887</f>
        <v/>
      </c>
      <c r="R894" s="7">
        <f>'1 datos preparados'!Q887</f>
        <v/>
      </c>
      <c r="S894" s="7">
        <f>'1 datos preparados'!R887</f>
        <v/>
      </c>
      <c r="T894" s="7">
        <f>'1 datos preparados'!S887</f>
        <v/>
      </c>
      <c r="U894" s="7">
        <f>'1 datos preparados'!T887</f>
        <v/>
      </c>
      <c r="V894" s="8">
        <f>$AE$12+D894*$AE$13+E894*$AE$14+F894*$AE$15+G894*$AE$16+H894*$AE$17+I894*$AE$18+J894*$AE$19+K894*$AE$20+L894*$AE$21+M894*$AE$22+N894*$AE$23+O894*$AE$24+P894*$AE$25+Q894*$AE$26+R894*$AE$27+S894*$AE$28+T894*$AE$29+U894*$AE$30</f>
        <v/>
      </c>
      <c r="W894" s="8">
        <f>1/(1+EXP(-V894))</f>
        <v/>
      </c>
      <c r="X894" s="9">
        <f>-IF(C894=1,LN(W894),LN(1-W894))</f>
        <v/>
      </c>
      <c r="Y894" s="8">
        <f>IF(C894=1,$AE$32,$AE$33)</f>
        <v/>
      </c>
      <c r="Z894" s="9">
        <f>Y894*X894</f>
        <v/>
      </c>
      <c r="AA894" s="10">
        <f>IF(W894&gt;$AE$34,1,0)</f>
        <v/>
      </c>
      <c r="AB894">
        <f>IF(AA894=C894,1,0)</f>
        <v/>
      </c>
    </row>
    <row r="895">
      <c r="A895">
        <f>'1 datos preparados'!A888</f>
        <v/>
      </c>
      <c r="B895" s="5">
        <f>'1 datos preparados'!U888</f>
        <v/>
      </c>
      <c r="C895">
        <f>'1 datos preparados'!B888</f>
        <v/>
      </c>
      <c r="D895" s="7">
        <f>'1 datos preparados'!C888</f>
        <v/>
      </c>
      <c r="E895" s="7">
        <f>'1 datos preparados'!D888</f>
        <v/>
      </c>
      <c r="F895" s="7">
        <f>'1 datos preparados'!E888</f>
        <v/>
      </c>
      <c r="G895" s="7">
        <f>'1 datos preparados'!F888</f>
        <v/>
      </c>
      <c r="H895" s="7">
        <f>'1 datos preparados'!G888</f>
        <v/>
      </c>
      <c r="I895" s="7">
        <f>'1 datos preparados'!H888</f>
        <v/>
      </c>
      <c r="J895" s="7">
        <f>'1 datos preparados'!I888</f>
        <v/>
      </c>
      <c r="K895" s="7">
        <f>'1 datos preparados'!J888</f>
        <v/>
      </c>
      <c r="L895" s="7">
        <f>'1 datos preparados'!K888</f>
        <v/>
      </c>
      <c r="M895" s="7">
        <f>'1 datos preparados'!L888</f>
        <v/>
      </c>
      <c r="N895" s="7">
        <f>'1 datos preparados'!M888</f>
        <v/>
      </c>
      <c r="O895" s="7">
        <f>'1 datos preparados'!N888</f>
        <v/>
      </c>
      <c r="P895" s="7">
        <f>'1 datos preparados'!O888</f>
        <v/>
      </c>
      <c r="Q895" s="7">
        <f>'1 datos preparados'!P888</f>
        <v/>
      </c>
      <c r="R895" s="7">
        <f>'1 datos preparados'!Q888</f>
        <v/>
      </c>
      <c r="S895" s="7">
        <f>'1 datos preparados'!R888</f>
        <v/>
      </c>
      <c r="T895" s="7">
        <f>'1 datos preparados'!S888</f>
        <v/>
      </c>
      <c r="U895" s="7">
        <f>'1 datos preparados'!T888</f>
        <v/>
      </c>
      <c r="V895" s="8">
        <f>$AE$12+D895*$AE$13+E895*$AE$14+F895*$AE$15+G895*$AE$16+H895*$AE$17+I895*$AE$18+J895*$AE$19+K895*$AE$20+L895*$AE$21+M895*$AE$22+N895*$AE$23+O895*$AE$24+P895*$AE$25+Q895*$AE$26+R895*$AE$27+S895*$AE$28+T895*$AE$29+U895*$AE$30</f>
        <v/>
      </c>
      <c r="W895" s="8">
        <f>1/(1+EXP(-V895))</f>
        <v/>
      </c>
      <c r="X895" s="9">
        <f>-IF(C895=1,LN(W895),LN(1-W895))</f>
        <v/>
      </c>
      <c r="Y895" s="8">
        <f>IF(C895=1,$AE$32,$AE$33)</f>
        <v/>
      </c>
      <c r="Z895" s="9">
        <f>Y895*X895</f>
        <v/>
      </c>
      <c r="AA895" s="10">
        <f>IF(W895&gt;$AE$34,1,0)</f>
        <v/>
      </c>
      <c r="AB895">
        <f>IF(AA895=C895,1,0)</f>
        <v/>
      </c>
    </row>
    <row r="896">
      <c r="A896">
        <f>'1 datos preparados'!A889</f>
        <v/>
      </c>
      <c r="B896" s="5">
        <f>'1 datos preparados'!U889</f>
        <v/>
      </c>
      <c r="C896">
        <f>'1 datos preparados'!B889</f>
        <v/>
      </c>
      <c r="D896" s="7">
        <f>'1 datos preparados'!C889</f>
        <v/>
      </c>
      <c r="E896" s="7">
        <f>'1 datos preparados'!D889</f>
        <v/>
      </c>
      <c r="F896" s="7">
        <f>'1 datos preparados'!E889</f>
        <v/>
      </c>
      <c r="G896" s="7">
        <f>'1 datos preparados'!F889</f>
        <v/>
      </c>
      <c r="H896" s="7">
        <f>'1 datos preparados'!G889</f>
        <v/>
      </c>
      <c r="I896" s="7">
        <f>'1 datos preparados'!H889</f>
        <v/>
      </c>
      <c r="J896" s="7">
        <f>'1 datos preparados'!I889</f>
        <v/>
      </c>
      <c r="K896" s="7">
        <f>'1 datos preparados'!J889</f>
        <v/>
      </c>
      <c r="L896" s="7">
        <f>'1 datos preparados'!K889</f>
        <v/>
      </c>
      <c r="M896" s="7">
        <f>'1 datos preparados'!L889</f>
        <v/>
      </c>
      <c r="N896" s="7">
        <f>'1 datos preparados'!M889</f>
        <v/>
      </c>
      <c r="O896" s="7">
        <f>'1 datos preparados'!N889</f>
        <v/>
      </c>
      <c r="P896" s="7">
        <f>'1 datos preparados'!O889</f>
        <v/>
      </c>
      <c r="Q896" s="7">
        <f>'1 datos preparados'!P889</f>
        <v/>
      </c>
      <c r="R896" s="7">
        <f>'1 datos preparados'!Q889</f>
        <v/>
      </c>
      <c r="S896" s="7">
        <f>'1 datos preparados'!R889</f>
        <v/>
      </c>
      <c r="T896" s="7">
        <f>'1 datos preparados'!S889</f>
        <v/>
      </c>
      <c r="U896" s="7">
        <f>'1 datos preparados'!T889</f>
        <v/>
      </c>
      <c r="V896" s="8">
        <f>$AE$12+D896*$AE$13+E896*$AE$14+F896*$AE$15+G896*$AE$16+H896*$AE$17+I896*$AE$18+J896*$AE$19+K896*$AE$20+L896*$AE$21+M896*$AE$22+N896*$AE$23+O896*$AE$24+P896*$AE$25+Q896*$AE$26+R896*$AE$27+S896*$AE$28+T896*$AE$29+U896*$AE$30</f>
        <v/>
      </c>
      <c r="W896" s="8">
        <f>1/(1+EXP(-V896))</f>
        <v/>
      </c>
      <c r="X896" s="9">
        <f>-IF(C896=1,LN(W896),LN(1-W896))</f>
        <v/>
      </c>
      <c r="Y896" s="8">
        <f>IF(C896=1,$AE$32,$AE$33)</f>
        <v/>
      </c>
      <c r="Z896" s="9">
        <f>Y896*X896</f>
        <v/>
      </c>
      <c r="AA896" s="10">
        <f>IF(W896&gt;$AE$34,1,0)</f>
        <v/>
      </c>
      <c r="AB896">
        <f>IF(AA896=C896,1,0)</f>
        <v/>
      </c>
    </row>
    <row r="897">
      <c r="A897">
        <f>'1 datos preparados'!A890</f>
        <v/>
      </c>
      <c r="B897" s="5">
        <f>'1 datos preparados'!U890</f>
        <v/>
      </c>
      <c r="C897">
        <f>'1 datos preparados'!B890</f>
        <v/>
      </c>
      <c r="D897" s="7">
        <f>'1 datos preparados'!C890</f>
        <v/>
      </c>
      <c r="E897" s="7">
        <f>'1 datos preparados'!D890</f>
        <v/>
      </c>
      <c r="F897" s="7">
        <f>'1 datos preparados'!E890</f>
        <v/>
      </c>
      <c r="G897" s="7">
        <f>'1 datos preparados'!F890</f>
        <v/>
      </c>
      <c r="H897" s="7">
        <f>'1 datos preparados'!G890</f>
        <v/>
      </c>
      <c r="I897" s="7">
        <f>'1 datos preparados'!H890</f>
        <v/>
      </c>
      <c r="J897" s="7">
        <f>'1 datos preparados'!I890</f>
        <v/>
      </c>
      <c r="K897" s="7">
        <f>'1 datos preparados'!J890</f>
        <v/>
      </c>
      <c r="L897" s="7">
        <f>'1 datos preparados'!K890</f>
        <v/>
      </c>
      <c r="M897" s="7">
        <f>'1 datos preparados'!L890</f>
        <v/>
      </c>
      <c r="N897" s="7">
        <f>'1 datos preparados'!M890</f>
        <v/>
      </c>
      <c r="O897" s="7">
        <f>'1 datos preparados'!N890</f>
        <v/>
      </c>
      <c r="P897" s="7">
        <f>'1 datos preparados'!O890</f>
        <v/>
      </c>
      <c r="Q897" s="7">
        <f>'1 datos preparados'!P890</f>
        <v/>
      </c>
      <c r="R897" s="7">
        <f>'1 datos preparados'!Q890</f>
        <v/>
      </c>
      <c r="S897" s="7">
        <f>'1 datos preparados'!R890</f>
        <v/>
      </c>
      <c r="T897" s="7">
        <f>'1 datos preparados'!S890</f>
        <v/>
      </c>
      <c r="U897" s="7">
        <f>'1 datos preparados'!T890</f>
        <v/>
      </c>
      <c r="V897" s="8">
        <f>$AE$12+D897*$AE$13+E897*$AE$14+F897*$AE$15+G897*$AE$16+H897*$AE$17+I897*$AE$18+J897*$AE$19+K897*$AE$20+L897*$AE$21+M897*$AE$22+N897*$AE$23+O897*$AE$24+P897*$AE$25+Q897*$AE$26+R897*$AE$27+S897*$AE$28+T897*$AE$29+U897*$AE$30</f>
        <v/>
      </c>
      <c r="W897" s="8">
        <f>1/(1+EXP(-V897))</f>
        <v/>
      </c>
      <c r="X897" s="9">
        <f>-IF(C897=1,LN(W897),LN(1-W897))</f>
        <v/>
      </c>
      <c r="Y897" s="8">
        <f>IF(C897=1,$AE$32,$AE$33)</f>
        <v/>
      </c>
      <c r="Z897" s="9">
        <f>Y897*X897</f>
        <v/>
      </c>
      <c r="AA897" s="10">
        <f>IF(W897&gt;$AE$34,1,0)</f>
        <v/>
      </c>
      <c r="AB897">
        <f>IF(AA897=C897,1,0)</f>
        <v/>
      </c>
    </row>
    <row r="898">
      <c r="A898">
        <f>'1 datos preparados'!A891</f>
        <v/>
      </c>
      <c r="B898" s="5">
        <f>'1 datos preparados'!U891</f>
        <v/>
      </c>
      <c r="C898">
        <f>'1 datos preparados'!B891</f>
        <v/>
      </c>
      <c r="D898" s="7">
        <f>'1 datos preparados'!C891</f>
        <v/>
      </c>
      <c r="E898" s="7">
        <f>'1 datos preparados'!D891</f>
        <v/>
      </c>
      <c r="F898" s="7">
        <f>'1 datos preparados'!E891</f>
        <v/>
      </c>
      <c r="G898" s="7">
        <f>'1 datos preparados'!F891</f>
        <v/>
      </c>
      <c r="H898" s="7">
        <f>'1 datos preparados'!G891</f>
        <v/>
      </c>
      <c r="I898" s="7">
        <f>'1 datos preparados'!H891</f>
        <v/>
      </c>
      <c r="J898" s="7">
        <f>'1 datos preparados'!I891</f>
        <v/>
      </c>
      <c r="K898" s="7">
        <f>'1 datos preparados'!J891</f>
        <v/>
      </c>
      <c r="L898" s="7">
        <f>'1 datos preparados'!K891</f>
        <v/>
      </c>
      <c r="M898" s="7">
        <f>'1 datos preparados'!L891</f>
        <v/>
      </c>
      <c r="N898" s="7">
        <f>'1 datos preparados'!M891</f>
        <v/>
      </c>
      <c r="O898" s="7">
        <f>'1 datos preparados'!N891</f>
        <v/>
      </c>
      <c r="P898" s="7">
        <f>'1 datos preparados'!O891</f>
        <v/>
      </c>
      <c r="Q898" s="7">
        <f>'1 datos preparados'!P891</f>
        <v/>
      </c>
      <c r="R898" s="7">
        <f>'1 datos preparados'!Q891</f>
        <v/>
      </c>
      <c r="S898" s="7">
        <f>'1 datos preparados'!R891</f>
        <v/>
      </c>
      <c r="T898" s="7">
        <f>'1 datos preparados'!S891</f>
        <v/>
      </c>
      <c r="U898" s="7">
        <f>'1 datos preparados'!T891</f>
        <v/>
      </c>
      <c r="V898" s="8">
        <f>$AE$12+D898*$AE$13+E898*$AE$14+F898*$AE$15+G898*$AE$16+H898*$AE$17+I898*$AE$18+J898*$AE$19+K898*$AE$20+L898*$AE$21+M898*$AE$22+N898*$AE$23+O898*$AE$24+P898*$AE$25+Q898*$AE$26+R898*$AE$27+S898*$AE$28+T898*$AE$29+U898*$AE$30</f>
        <v/>
      </c>
      <c r="W898" s="8">
        <f>1/(1+EXP(-V898))</f>
        <v/>
      </c>
      <c r="X898" s="9">
        <f>-IF(C898=1,LN(W898),LN(1-W898))</f>
        <v/>
      </c>
      <c r="Y898" s="8">
        <f>IF(C898=1,$AE$32,$AE$33)</f>
        <v/>
      </c>
      <c r="Z898" s="9">
        <f>Y898*X898</f>
        <v/>
      </c>
      <c r="AA898" s="10">
        <f>IF(W898&gt;$AE$34,1,0)</f>
        <v/>
      </c>
      <c r="AB898">
        <f>IF(AA898=C898,1,0)</f>
        <v/>
      </c>
    </row>
    <row r="899">
      <c r="A899">
        <f>'1 datos preparados'!A892</f>
        <v/>
      </c>
      <c r="B899" s="5">
        <f>'1 datos preparados'!U892</f>
        <v/>
      </c>
      <c r="C899">
        <f>'1 datos preparados'!B892</f>
        <v/>
      </c>
      <c r="D899" s="7">
        <f>'1 datos preparados'!C892</f>
        <v/>
      </c>
      <c r="E899" s="7">
        <f>'1 datos preparados'!D892</f>
        <v/>
      </c>
      <c r="F899" s="7">
        <f>'1 datos preparados'!E892</f>
        <v/>
      </c>
      <c r="G899" s="7">
        <f>'1 datos preparados'!F892</f>
        <v/>
      </c>
      <c r="H899" s="7">
        <f>'1 datos preparados'!G892</f>
        <v/>
      </c>
      <c r="I899" s="7">
        <f>'1 datos preparados'!H892</f>
        <v/>
      </c>
      <c r="J899" s="7">
        <f>'1 datos preparados'!I892</f>
        <v/>
      </c>
      <c r="K899" s="7">
        <f>'1 datos preparados'!J892</f>
        <v/>
      </c>
      <c r="L899" s="7">
        <f>'1 datos preparados'!K892</f>
        <v/>
      </c>
      <c r="M899" s="7">
        <f>'1 datos preparados'!L892</f>
        <v/>
      </c>
      <c r="N899" s="7">
        <f>'1 datos preparados'!M892</f>
        <v/>
      </c>
      <c r="O899" s="7">
        <f>'1 datos preparados'!N892</f>
        <v/>
      </c>
      <c r="P899" s="7">
        <f>'1 datos preparados'!O892</f>
        <v/>
      </c>
      <c r="Q899" s="7">
        <f>'1 datos preparados'!P892</f>
        <v/>
      </c>
      <c r="R899" s="7">
        <f>'1 datos preparados'!Q892</f>
        <v/>
      </c>
      <c r="S899" s="7">
        <f>'1 datos preparados'!R892</f>
        <v/>
      </c>
      <c r="T899" s="7">
        <f>'1 datos preparados'!S892</f>
        <v/>
      </c>
      <c r="U899" s="7">
        <f>'1 datos preparados'!T892</f>
        <v/>
      </c>
      <c r="V899" s="8">
        <f>$AE$12+D899*$AE$13+E899*$AE$14+F899*$AE$15+G899*$AE$16+H899*$AE$17+I899*$AE$18+J899*$AE$19+K899*$AE$20+L899*$AE$21+M899*$AE$22+N899*$AE$23+O899*$AE$24+P899*$AE$25+Q899*$AE$26+R899*$AE$27+S899*$AE$28+T899*$AE$29+U899*$AE$30</f>
        <v/>
      </c>
      <c r="W899" s="8">
        <f>1/(1+EXP(-V899))</f>
        <v/>
      </c>
      <c r="X899" s="9">
        <f>-IF(C899=1,LN(W899),LN(1-W899))</f>
        <v/>
      </c>
      <c r="Y899" s="8">
        <f>IF(C899=1,$AE$32,$AE$33)</f>
        <v/>
      </c>
      <c r="Z899" s="9">
        <f>Y899*X899</f>
        <v/>
      </c>
      <c r="AA899" s="10">
        <f>IF(W899&gt;$AE$34,1,0)</f>
        <v/>
      </c>
      <c r="AB899">
        <f>IF(AA899=C899,1,0)</f>
        <v/>
      </c>
    </row>
    <row r="900">
      <c r="A900">
        <f>'1 datos preparados'!A893</f>
        <v/>
      </c>
      <c r="B900" s="5">
        <f>'1 datos preparados'!U893</f>
        <v/>
      </c>
      <c r="C900">
        <f>'1 datos preparados'!B893</f>
        <v/>
      </c>
      <c r="D900" s="7">
        <f>'1 datos preparados'!C893</f>
        <v/>
      </c>
      <c r="E900" s="7">
        <f>'1 datos preparados'!D893</f>
        <v/>
      </c>
      <c r="F900" s="7">
        <f>'1 datos preparados'!E893</f>
        <v/>
      </c>
      <c r="G900" s="7">
        <f>'1 datos preparados'!F893</f>
        <v/>
      </c>
      <c r="H900" s="7">
        <f>'1 datos preparados'!G893</f>
        <v/>
      </c>
      <c r="I900" s="7">
        <f>'1 datos preparados'!H893</f>
        <v/>
      </c>
      <c r="J900" s="7">
        <f>'1 datos preparados'!I893</f>
        <v/>
      </c>
      <c r="K900" s="7">
        <f>'1 datos preparados'!J893</f>
        <v/>
      </c>
      <c r="L900" s="7">
        <f>'1 datos preparados'!K893</f>
        <v/>
      </c>
      <c r="M900" s="7">
        <f>'1 datos preparados'!L893</f>
        <v/>
      </c>
      <c r="N900" s="7">
        <f>'1 datos preparados'!M893</f>
        <v/>
      </c>
      <c r="O900" s="7">
        <f>'1 datos preparados'!N893</f>
        <v/>
      </c>
      <c r="P900" s="7">
        <f>'1 datos preparados'!O893</f>
        <v/>
      </c>
      <c r="Q900" s="7">
        <f>'1 datos preparados'!P893</f>
        <v/>
      </c>
      <c r="R900" s="7">
        <f>'1 datos preparados'!Q893</f>
        <v/>
      </c>
      <c r="S900" s="7">
        <f>'1 datos preparados'!R893</f>
        <v/>
      </c>
      <c r="T900" s="7">
        <f>'1 datos preparados'!S893</f>
        <v/>
      </c>
      <c r="U900" s="7">
        <f>'1 datos preparados'!T893</f>
        <v/>
      </c>
      <c r="V900" s="8">
        <f>$AE$12+D900*$AE$13+E900*$AE$14+F900*$AE$15+G900*$AE$16+H900*$AE$17+I900*$AE$18+J900*$AE$19+K900*$AE$20+L900*$AE$21+M900*$AE$22+N900*$AE$23+O900*$AE$24+P900*$AE$25+Q900*$AE$26+R900*$AE$27+S900*$AE$28+T900*$AE$29+U900*$AE$30</f>
        <v/>
      </c>
      <c r="W900" s="8">
        <f>1/(1+EXP(-V900))</f>
        <v/>
      </c>
      <c r="X900" s="9">
        <f>-IF(C900=1,LN(W900),LN(1-W900))</f>
        <v/>
      </c>
      <c r="Y900" s="8">
        <f>IF(C900=1,$AE$32,$AE$33)</f>
        <v/>
      </c>
      <c r="Z900" s="9">
        <f>Y900*X900</f>
        <v/>
      </c>
      <c r="AA900" s="10">
        <f>IF(W900&gt;$AE$34,1,0)</f>
        <v/>
      </c>
      <c r="AB900">
        <f>IF(AA900=C900,1,0)</f>
        <v/>
      </c>
    </row>
    <row r="901">
      <c r="A901">
        <f>'1 datos preparados'!A894</f>
        <v/>
      </c>
      <c r="B901" s="5">
        <f>'1 datos preparados'!U894</f>
        <v/>
      </c>
      <c r="C901">
        <f>'1 datos preparados'!B894</f>
        <v/>
      </c>
      <c r="D901" s="7">
        <f>'1 datos preparados'!C894</f>
        <v/>
      </c>
      <c r="E901" s="7">
        <f>'1 datos preparados'!D894</f>
        <v/>
      </c>
      <c r="F901" s="7">
        <f>'1 datos preparados'!E894</f>
        <v/>
      </c>
      <c r="G901" s="7">
        <f>'1 datos preparados'!F894</f>
        <v/>
      </c>
      <c r="H901" s="7">
        <f>'1 datos preparados'!G894</f>
        <v/>
      </c>
      <c r="I901" s="7">
        <f>'1 datos preparados'!H894</f>
        <v/>
      </c>
      <c r="J901" s="7">
        <f>'1 datos preparados'!I894</f>
        <v/>
      </c>
      <c r="K901" s="7">
        <f>'1 datos preparados'!J894</f>
        <v/>
      </c>
      <c r="L901" s="7">
        <f>'1 datos preparados'!K894</f>
        <v/>
      </c>
      <c r="M901" s="7">
        <f>'1 datos preparados'!L894</f>
        <v/>
      </c>
      <c r="N901" s="7">
        <f>'1 datos preparados'!M894</f>
        <v/>
      </c>
      <c r="O901" s="7">
        <f>'1 datos preparados'!N894</f>
        <v/>
      </c>
      <c r="P901" s="7">
        <f>'1 datos preparados'!O894</f>
        <v/>
      </c>
      <c r="Q901" s="7">
        <f>'1 datos preparados'!P894</f>
        <v/>
      </c>
      <c r="R901" s="7">
        <f>'1 datos preparados'!Q894</f>
        <v/>
      </c>
      <c r="S901" s="7">
        <f>'1 datos preparados'!R894</f>
        <v/>
      </c>
      <c r="T901" s="7">
        <f>'1 datos preparados'!S894</f>
        <v/>
      </c>
      <c r="U901" s="7">
        <f>'1 datos preparados'!T894</f>
        <v/>
      </c>
      <c r="V901" s="8">
        <f>$AE$12+D901*$AE$13+E901*$AE$14+F901*$AE$15+G901*$AE$16+H901*$AE$17+I901*$AE$18+J901*$AE$19+K901*$AE$20+L901*$AE$21+M901*$AE$22+N901*$AE$23+O901*$AE$24+P901*$AE$25+Q901*$AE$26+R901*$AE$27+S901*$AE$28+T901*$AE$29+U901*$AE$30</f>
        <v/>
      </c>
      <c r="W901" s="8">
        <f>1/(1+EXP(-V901))</f>
        <v/>
      </c>
      <c r="X901" s="9">
        <f>-IF(C901=1,LN(W901),LN(1-W901))</f>
        <v/>
      </c>
      <c r="Y901" s="8">
        <f>IF(C901=1,$AE$32,$AE$33)</f>
        <v/>
      </c>
      <c r="Z901" s="9">
        <f>Y901*X901</f>
        <v/>
      </c>
      <c r="AA901" s="10">
        <f>IF(W901&gt;$AE$34,1,0)</f>
        <v/>
      </c>
      <c r="AB901">
        <f>IF(AA901=C901,1,0)</f>
        <v/>
      </c>
    </row>
    <row r="902">
      <c r="A902">
        <f>'1 datos preparados'!A895</f>
        <v/>
      </c>
      <c r="B902" s="5">
        <f>'1 datos preparados'!U895</f>
        <v/>
      </c>
      <c r="C902">
        <f>'1 datos preparados'!B895</f>
        <v/>
      </c>
      <c r="D902" s="7">
        <f>'1 datos preparados'!C895</f>
        <v/>
      </c>
      <c r="E902" s="7">
        <f>'1 datos preparados'!D895</f>
        <v/>
      </c>
      <c r="F902" s="7">
        <f>'1 datos preparados'!E895</f>
        <v/>
      </c>
      <c r="G902" s="7">
        <f>'1 datos preparados'!F895</f>
        <v/>
      </c>
      <c r="H902" s="7">
        <f>'1 datos preparados'!G895</f>
        <v/>
      </c>
      <c r="I902" s="7">
        <f>'1 datos preparados'!H895</f>
        <v/>
      </c>
      <c r="J902" s="7">
        <f>'1 datos preparados'!I895</f>
        <v/>
      </c>
      <c r="K902" s="7">
        <f>'1 datos preparados'!J895</f>
        <v/>
      </c>
      <c r="L902" s="7">
        <f>'1 datos preparados'!K895</f>
        <v/>
      </c>
      <c r="M902" s="7">
        <f>'1 datos preparados'!L895</f>
        <v/>
      </c>
      <c r="N902" s="7">
        <f>'1 datos preparados'!M895</f>
        <v/>
      </c>
      <c r="O902" s="7">
        <f>'1 datos preparados'!N895</f>
        <v/>
      </c>
      <c r="P902" s="7">
        <f>'1 datos preparados'!O895</f>
        <v/>
      </c>
      <c r="Q902" s="7">
        <f>'1 datos preparados'!P895</f>
        <v/>
      </c>
      <c r="R902" s="7">
        <f>'1 datos preparados'!Q895</f>
        <v/>
      </c>
      <c r="S902" s="7">
        <f>'1 datos preparados'!R895</f>
        <v/>
      </c>
      <c r="T902" s="7">
        <f>'1 datos preparados'!S895</f>
        <v/>
      </c>
      <c r="U902" s="7">
        <f>'1 datos preparados'!T895</f>
        <v/>
      </c>
      <c r="V902" s="8">
        <f>$AE$12+D902*$AE$13+E902*$AE$14+F902*$AE$15+G902*$AE$16+H902*$AE$17+I902*$AE$18+J902*$AE$19+K902*$AE$20+L902*$AE$21+M902*$AE$22+N902*$AE$23+O902*$AE$24+P902*$AE$25+Q902*$AE$26+R902*$AE$27+S902*$AE$28+T902*$AE$29+U902*$AE$30</f>
        <v/>
      </c>
      <c r="W902" s="8">
        <f>1/(1+EXP(-V902))</f>
        <v/>
      </c>
      <c r="X902" s="9">
        <f>-IF(C902=1,LN(W902),LN(1-W902))</f>
        <v/>
      </c>
      <c r="Y902" s="8">
        <f>IF(C902=1,$AE$32,$AE$33)</f>
        <v/>
      </c>
      <c r="Z902" s="9">
        <f>Y902*X902</f>
        <v/>
      </c>
      <c r="AA902" s="10">
        <f>IF(W902&gt;$AE$34,1,0)</f>
        <v/>
      </c>
      <c r="AB902">
        <f>IF(AA902=C902,1,0)</f>
        <v/>
      </c>
    </row>
    <row r="903">
      <c r="A903">
        <f>'1 datos preparados'!A896</f>
        <v/>
      </c>
      <c r="B903" s="5">
        <f>'1 datos preparados'!U896</f>
        <v/>
      </c>
      <c r="C903">
        <f>'1 datos preparados'!B896</f>
        <v/>
      </c>
      <c r="D903" s="7">
        <f>'1 datos preparados'!C896</f>
        <v/>
      </c>
      <c r="E903" s="7">
        <f>'1 datos preparados'!D896</f>
        <v/>
      </c>
      <c r="F903" s="7">
        <f>'1 datos preparados'!E896</f>
        <v/>
      </c>
      <c r="G903" s="7">
        <f>'1 datos preparados'!F896</f>
        <v/>
      </c>
      <c r="H903" s="7">
        <f>'1 datos preparados'!G896</f>
        <v/>
      </c>
      <c r="I903" s="7">
        <f>'1 datos preparados'!H896</f>
        <v/>
      </c>
      <c r="J903" s="7">
        <f>'1 datos preparados'!I896</f>
        <v/>
      </c>
      <c r="K903" s="7">
        <f>'1 datos preparados'!J896</f>
        <v/>
      </c>
      <c r="L903" s="7">
        <f>'1 datos preparados'!K896</f>
        <v/>
      </c>
      <c r="M903" s="7">
        <f>'1 datos preparados'!L896</f>
        <v/>
      </c>
      <c r="N903" s="7">
        <f>'1 datos preparados'!M896</f>
        <v/>
      </c>
      <c r="O903" s="7">
        <f>'1 datos preparados'!N896</f>
        <v/>
      </c>
      <c r="P903" s="7">
        <f>'1 datos preparados'!O896</f>
        <v/>
      </c>
      <c r="Q903" s="7">
        <f>'1 datos preparados'!P896</f>
        <v/>
      </c>
      <c r="R903" s="7">
        <f>'1 datos preparados'!Q896</f>
        <v/>
      </c>
      <c r="S903" s="7">
        <f>'1 datos preparados'!R896</f>
        <v/>
      </c>
      <c r="T903" s="7">
        <f>'1 datos preparados'!S896</f>
        <v/>
      </c>
      <c r="U903" s="7">
        <f>'1 datos preparados'!T896</f>
        <v/>
      </c>
      <c r="V903" s="8">
        <f>$AE$12+D903*$AE$13+E903*$AE$14+F903*$AE$15+G903*$AE$16+H903*$AE$17+I903*$AE$18+J903*$AE$19+K903*$AE$20+L903*$AE$21+M903*$AE$22+N903*$AE$23+O903*$AE$24+P903*$AE$25+Q903*$AE$26+R903*$AE$27+S903*$AE$28+T903*$AE$29+U903*$AE$30</f>
        <v/>
      </c>
      <c r="W903" s="8">
        <f>1/(1+EXP(-V903))</f>
        <v/>
      </c>
      <c r="X903" s="9">
        <f>-IF(C903=1,LN(W903),LN(1-W903))</f>
        <v/>
      </c>
      <c r="Y903" s="8">
        <f>IF(C903=1,$AE$32,$AE$33)</f>
        <v/>
      </c>
      <c r="Z903" s="9">
        <f>Y903*X903</f>
        <v/>
      </c>
      <c r="AA903" s="10">
        <f>IF(W903&gt;$AE$34,1,0)</f>
        <v/>
      </c>
      <c r="AB903">
        <f>IF(AA903=C903,1,0)</f>
        <v/>
      </c>
    </row>
    <row r="904">
      <c r="A904">
        <f>'1 datos preparados'!A897</f>
        <v/>
      </c>
      <c r="B904" s="5">
        <f>'1 datos preparados'!U897</f>
        <v/>
      </c>
      <c r="C904">
        <f>'1 datos preparados'!B897</f>
        <v/>
      </c>
      <c r="D904" s="7">
        <f>'1 datos preparados'!C897</f>
        <v/>
      </c>
      <c r="E904" s="7">
        <f>'1 datos preparados'!D897</f>
        <v/>
      </c>
      <c r="F904" s="7">
        <f>'1 datos preparados'!E897</f>
        <v/>
      </c>
      <c r="G904" s="7">
        <f>'1 datos preparados'!F897</f>
        <v/>
      </c>
      <c r="H904" s="7">
        <f>'1 datos preparados'!G897</f>
        <v/>
      </c>
      <c r="I904" s="7">
        <f>'1 datos preparados'!H897</f>
        <v/>
      </c>
      <c r="J904" s="7">
        <f>'1 datos preparados'!I897</f>
        <v/>
      </c>
      <c r="K904" s="7">
        <f>'1 datos preparados'!J897</f>
        <v/>
      </c>
      <c r="L904" s="7">
        <f>'1 datos preparados'!K897</f>
        <v/>
      </c>
      <c r="M904" s="7">
        <f>'1 datos preparados'!L897</f>
        <v/>
      </c>
      <c r="N904" s="7">
        <f>'1 datos preparados'!M897</f>
        <v/>
      </c>
      <c r="O904" s="7">
        <f>'1 datos preparados'!N897</f>
        <v/>
      </c>
      <c r="P904" s="7">
        <f>'1 datos preparados'!O897</f>
        <v/>
      </c>
      <c r="Q904" s="7">
        <f>'1 datos preparados'!P897</f>
        <v/>
      </c>
      <c r="R904" s="7">
        <f>'1 datos preparados'!Q897</f>
        <v/>
      </c>
      <c r="S904" s="7">
        <f>'1 datos preparados'!R897</f>
        <v/>
      </c>
      <c r="T904" s="7">
        <f>'1 datos preparados'!S897</f>
        <v/>
      </c>
      <c r="U904" s="7">
        <f>'1 datos preparados'!T897</f>
        <v/>
      </c>
      <c r="V904" s="8">
        <f>$AE$12+D904*$AE$13+E904*$AE$14+F904*$AE$15+G904*$AE$16+H904*$AE$17+I904*$AE$18+J904*$AE$19+K904*$AE$20+L904*$AE$21+M904*$AE$22+N904*$AE$23+O904*$AE$24+P904*$AE$25+Q904*$AE$26+R904*$AE$27+S904*$AE$28+T904*$AE$29+U904*$AE$30</f>
        <v/>
      </c>
      <c r="W904" s="8">
        <f>1/(1+EXP(-V904))</f>
        <v/>
      </c>
      <c r="X904" s="9">
        <f>-IF(C904=1,LN(W904),LN(1-W904))</f>
        <v/>
      </c>
      <c r="Y904" s="8">
        <f>IF(C904=1,$AE$32,$AE$33)</f>
        <v/>
      </c>
      <c r="Z904" s="9">
        <f>Y904*X904</f>
        <v/>
      </c>
      <c r="AA904" s="10">
        <f>IF(W904&gt;$AE$34,1,0)</f>
        <v/>
      </c>
      <c r="AB904">
        <f>IF(AA904=C904,1,0)</f>
        <v/>
      </c>
    </row>
    <row r="905">
      <c r="A905">
        <f>'1 datos preparados'!A898</f>
        <v/>
      </c>
      <c r="B905" s="5">
        <f>'1 datos preparados'!U898</f>
        <v/>
      </c>
      <c r="C905">
        <f>'1 datos preparados'!B898</f>
        <v/>
      </c>
      <c r="D905" s="7">
        <f>'1 datos preparados'!C898</f>
        <v/>
      </c>
      <c r="E905" s="7">
        <f>'1 datos preparados'!D898</f>
        <v/>
      </c>
      <c r="F905" s="7">
        <f>'1 datos preparados'!E898</f>
        <v/>
      </c>
      <c r="G905" s="7">
        <f>'1 datos preparados'!F898</f>
        <v/>
      </c>
      <c r="H905" s="7">
        <f>'1 datos preparados'!G898</f>
        <v/>
      </c>
      <c r="I905" s="7">
        <f>'1 datos preparados'!H898</f>
        <v/>
      </c>
      <c r="J905" s="7">
        <f>'1 datos preparados'!I898</f>
        <v/>
      </c>
      <c r="K905" s="7">
        <f>'1 datos preparados'!J898</f>
        <v/>
      </c>
      <c r="L905" s="7">
        <f>'1 datos preparados'!K898</f>
        <v/>
      </c>
      <c r="M905" s="7">
        <f>'1 datos preparados'!L898</f>
        <v/>
      </c>
      <c r="N905" s="7">
        <f>'1 datos preparados'!M898</f>
        <v/>
      </c>
      <c r="O905" s="7">
        <f>'1 datos preparados'!N898</f>
        <v/>
      </c>
      <c r="P905" s="7">
        <f>'1 datos preparados'!O898</f>
        <v/>
      </c>
      <c r="Q905" s="7">
        <f>'1 datos preparados'!P898</f>
        <v/>
      </c>
      <c r="R905" s="7">
        <f>'1 datos preparados'!Q898</f>
        <v/>
      </c>
      <c r="S905" s="7">
        <f>'1 datos preparados'!R898</f>
        <v/>
      </c>
      <c r="T905" s="7">
        <f>'1 datos preparados'!S898</f>
        <v/>
      </c>
      <c r="U905" s="7">
        <f>'1 datos preparados'!T898</f>
        <v/>
      </c>
      <c r="V905" s="8">
        <f>$AE$12+D905*$AE$13+E905*$AE$14+F905*$AE$15+G905*$AE$16+H905*$AE$17+I905*$AE$18+J905*$AE$19+K905*$AE$20+L905*$AE$21+M905*$AE$22+N905*$AE$23+O905*$AE$24+P905*$AE$25+Q905*$AE$26+R905*$AE$27+S905*$AE$28+T905*$AE$29+U905*$AE$30</f>
        <v/>
      </c>
      <c r="W905" s="8">
        <f>1/(1+EXP(-V905))</f>
        <v/>
      </c>
      <c r="X905" s="9">
        <f>-IF(C905=1,LN(W905),LN(1-W905))</f>
        <v/>
      </c>
      <c r="Y905" s="8">
        <f>IF(C905=1,$AE$32,$AE$33)</f>
        <v/>
      </c>
      <c r="Z905" s="9">
        <f>Y905*X905</f>
        <v/>
      </c>
      <c r="AA905" s="10">
        <f>IF(W905&gt;$AE$34,1,0)</f>
        <v/>
      </c>
      <c r="AB905">
        <f>IF(AA905=C905,1,0)</f>
        <v/>
      </c>
    </row>
    <row r="906">
      <c r="A906">
        <f>'1 datos preparados'!A899</f>
        <v/>
      </c>
      <c r="B906" s="5">
        <f>'1 datos preparados'!U899</f>
        <v/>
      </c>
      <c r="C906">
        <f>'1 datos preparados'!B899</f>
        <v/>
      </c>
      <c r="D906" s="7">
        <f>'1 datos preparados'!C899</f>
        <v/>
      </c>
      <c r="E906" s="7">
        <f>'1 datos preparados'!D899</f>
        <v/>
      </c>
      <c r="F906" s="7">
        <f>'1 datos preparados'!E899</f>
        <v/>
      </c>
      <c r="G906" s="7">
        <f>'1 datos preparados'!F899</f>
        <v/>
      </c>
      <c r="H906" s="7">
        <f>'1 datos preparados'!G899</f>
        <v/>
      </c>
      <c r="I906" s="7">
        <f>'1 datos preparados'!H899</f>
        <v/>
      </c>
      <c r="J906" s="7">
        <f>'1 datos preparados'!I899</f>
        <v/>
      </c>
      <c r="K906" s="7">
        <f>'1 datos preparados'!J899</f>
        <v/>
      </c>
      <c r="L906" s="7">
        <f>'1 datos preparados'!K899</f>
        <v/>
      </c>
      <c r="M906" s="7">
        <f>'1 datos preparados'!L899</f>
        <v/>
      </c>
      <c r="N906" s="7">
        <f>'1 datos preparados'!M899</f>
        <v/>
      </c>
      <c r="O906" s="7">
        <f>'1 datos preparados'!N899</f>
        <v/>
      </c>
      <c r="P906" s="7">
        <f>'1 datos preparados'!O899</f>
        <v/>
      </c>
      <c r="Q906" s="7">
        <f>'1 datos preparados'!P899</f>
        <v/>
      </c>
      <c r="R906" s="7">
        <f>'1 datos preparados'!Q899</f>
        <v/>
      </c>
      <c r="S906" s="7">
        <f>'1 datos preparados'!R899</f>
        <v/>
      </c>
      <c r="T906" s="7">
        <f>'1 datos preparados'!S899</f>
        <v/>
      </c>
      <c r="U906" s="7">
        <f>'1 datos preparados'!T899</f>
        <v/>
      </c>
      <c r="V906" s="8">
        <f>$AE$12+D906*$AE$13+E906*$AE$14+F906*$AE$15+G906*$AE$16+H906*$AE$17+I906*$AE$18+J906*$AE$19+K906*$AE$20+L906*$AE$21+M906*$AE$22+N906*$AE$23+O906*$AE$24+P906*$AE$25+Q906*$AE$26+R906*$AE$27+S906*$AE$28+T906*$AE$29+U906*$AE$30</f>
        <v/>
      </c>
      <c r="W906" s="8">
        <f>1/(1+EXP(-V906))</f>
        <v/>
      </c>
      <c r="X906" s="9">
        <f>-IF(C906=1,LN(W906),LN(1-W906))</f>
        <v/>
      </c>
      <c r="Y906" s="8">
        <f>IF(C906=1,$AE$32,$AE$33)</f>
        <v/>
      </c>
      <c r="Z906" s="9">
        <f>Y906*X906</f>
        <v/>
      </c>
      <c r="AA906" s="10">
        <f>IF(W906&gt;$AE$34,1,0)</f>
        <v/>
      </c>
      <c r="AB906">
        <f>IF(AA906=C906,1,0)</f>
        <v/>
      </c>
    </row>
    <row r="907">
      <c r="A907">
        <f>'1 datos preparados'!A900</f>
        <v/>
      </c>
      <c r="B907" s="5">
        <f>'1 datos preparados'!U900</f>
        <v/>
      </c>
      <c r="C907">
        <f>'1 datos preparados'!B900</f>
        <v/>
      </c>
      <c r="D907" s="7">
        <f>'1 datos preparados'!C900</f>
        <v/>
      </c>
      <c r="E907" s="7">
        <f>'1 datos preparados'!D900</f>
        <v/>
      </c>
      <c r="F907" s="7">
        <f>'1 datos preparados'!E900</f>
        <v/>
      </c>
      <c r="G907" s="7">
        <f>'1 datos preparados'!F900</f>
        <v/>
      </c>
      <c r="H907" s="7">
        <f>'1 datos preparados'!G900</f>
        <v/>
      </c>
      <c r="I907" s="7">
        <f>'1 datos preparados'!H900</f>
        <v/>
      </c>
      <c r="J907" s="7">
        <f>'1 datos preparados'!I900</f>
        <v/>
      </c>
      <c r="K907" s="7">
        <f>'1 datos preparados'!J900</f>
        <v/>
      </c>
      <c r="L907" s="7">
        <f>'1 datos preparados'!K900</f>
        <v/>
      </c>
      <c r="M907" s="7">
        <f>'1 datos preparados'!L900</f>
        <v/>
      </c>
      <c r="N907" s="7">
        <f>'1 datos preparados'!M900</f>
        <v/>
      </c>
      <c r="O907" s="7">
        <f>'1 datos preparados'!N900</f>
        <v/>
      </c>
      <c r="P907" s="7">
        <f>'1 datos preparados'!O900</f>
        <v/>
      </c>
      <c r="Q907" s="7">
        <f>'1 datos preparados'!P900</f>
        <v/>
      </c>
      <c r="R907" s="7">
        <f>'1 datos preparados'!Q900</f>
        <v/>
      </c>
      <c r="S907" s="7">
        <f>'1 datos preparados'!R900</f>
        <v/>
      </c>
      <c r="T907" s="7">
        <f>'1 datos preparados'!S900</f>
        <v/>
      </c>
      <c r="U907" s="7">
        <f>'1 datos preparados'!T900</f>
        <v/>
      </c>
      <c r="V907" s="8">
        <f>$AE$12+D907*$AE$13+E907*$AE$14+F907*$AE$15+G907*$AE$16+H907*$AE$17+I907*$AE$18+J907*$AE$19+K907*$AE$20+L907*$AE$21+M907*$AE$22+N907*$AE$23+O907*$AE$24+P907*$AE$25+Q907*$AE$26+R907*$AE$27+S907*$AE$28+T907*$AE$29+U907*$AE$30</f>
        <v/>
      </c>
      <c r="W907" s="8">
        <f>1/(1+EXP(-V907))</f>
        <v/>
      </c>
      <c r="X907" s="9">
        <f>-IF(C907=1,LN(W907),LN(1-W907))</f>
        <v/>
      </c>
      <c r="Y907" s="8">
        <f>IF(C907=1,$AE$32,$AE$33)</f>
        <v/>
      </c>
      <c r="Z907" s="9">
        <f>Y907*X907</f>
        <v/>
      </c>
      <c r="AA907" s="10">
        <f>IF(W907&gt;$AE$34,1,0)</f>
        <v/>
      </c>
      <c r="AB907">
        <f>IF(AA907=C907,1,0)</f>
        <v/>
      </c>
    </row>
    <row r="908">
      <c r="A908">
        <f>'1 datos preparados'!A901</f>
        <v/>
      </c>
      <c r="B908" s="5">
        <f>'1 datos preparados'!U901</f>
        <v/>
      </c>
      <c r="C908">
        <f>'1 datos preparados'!B901</f>
        <v/>
      </c>
      <c r="D908" s="7">
        <f>'1 datos preparados'!C901</f>
        <v/>
      </c>
      <c r="E908" s="7">
        <f>'1 datos preparados'!D901</f>
        <v/>
      </c>
      <c r="F908" s="7">
        <f>'1 datos preparados'!E901</f>
        <v/>
      </c>
      <c r="G908" s="7">
        <f>'1 datos preparados'!F901</f>
        <v/>
      </c>
      <c r="H908" s="7">
        <f>'1 datos preparados'!G901</f>
        <v/>
      </c>
      <c r="I908" s="7">
        <f>'1 datos preparados'!H901</f>
        <v/>
      </c>
      <c r="J908" s="7">
        <f>'1 datos preparados'!I901</f>
        <v/>
      </c>
      <c r="K908" s="7">
        <f>'1 datos preparados'!J901</f>
        <v/>
      </c>
      <c r="L908" s="7">
        <f>'1 datos preparados'!K901</f>
        <v/>
      </c>
      <c r="M908" s="7">
        <f>'1 datos preparados'!L901</f>
        <v/>
      </c>
      <c r="N908" s="7">
        <f>'1 datos preparados'!M901</f>
        <v/>
      </c>
      <c r="O908" s="7">
        <f>'1 datos preparados'!N901</f>
        <v/>
      </c>
      <c r="P908" s="7">
        <f>'1 datos preparados'!O901</f>
        <v/>
      </c>
      <c r="Q908" s="7">
        <f>'1 datos preparados'!P901</f>
        <v/>
      </c>
      <c r="R908" s="7">
        <f>'1 datos preparados'!Q901</f>
        <v/>
      </c>
      <c r="S908" s="7">
        <f>'1 datos preparados'!R901</f>
        <v/>
      </c>
      <c r="T908" s="7">
        <f>'1 datos preparados'!S901</f>
        <v/>
      </c>
      <c r="U908" s="7">
        <f>'1 datos preparados'!T901</f>
        <v/>
      </c>
      <c r="V908" s="8">
        <f>$AE$12+D908*$AE$13+E908*$AE$14+F908*$AE$15+G908*$AE$16+H908*$AE$17+I908*$AE$18+J908*$AE$19+K908*$AE$20+L908*$AE$21+M908*$AE$22+N908*$AE$23+O908*$AE$24+P908*$AE$25+Q908*$AE$26+R908*$AE$27+S908*$AE$28+T908*$AE$29+U908*$AE$30</f>
        <v/>
      </c>
      <c r="W908" s="8">
        <f>1/(1+EXP(-V908))</f>
        <v/>
      </c>
      <c r="X908" s="9">
        <f>-IF(C908=1,LN(W908),LN(1-W908))</f>
        <v/>
      </c>
      <c r="Y908" s="8">
        <f>IF(C908=1,$AE$32,$AE$33)</f>
        <v/>
      </c>
      <c r="Z908" s="9">
        <f>Y908*X908</f>
        <v/>
      </c>
      <c r="AA908" s="10">
        <f>IF(W908&gt;$AE$34,1,0)</f>
        <v/>
      </c>
      <c r="AB908">
        <f>IF(AA908=C908,1,0)</f>
        <v/>
      </c>
    </row>
    <row r="909">
      <c r="A909">
        <f>'1 datos preparados'!A902</f>
        <v/>
      </c>
      <c r="B909" s="5">
        <f>'1 datos preparados'!U902</f>
        <v/>
      </c>
      <c r="C909">
        <f>'1 datos preparados'!B902</f>
        <v/>
      </c>
      <c r="D909" s="7">
        <f>'1 datos preparados'!C902</f>
        <v/>
      </c>
      <c r="E909" s="7">
        <f>'1 datos preparados'!D902</f>
        <v/>
      </c>
      <c r="F909" s="7">
        <f>'1 datos preparados'!E902</f>
        <v/>
      </c>
      <c r="G909" s="7">
        <f>'1 datos preparados'!F902</f>
        <v/>
      </c>
      <c r="H909" s="7">
        <f>'1 datos preparados'!G902</f>
        <v/>
      </c>
      <c r="I909" s="7">
        <f>'1 datos preparados'!H902</f>
        <v/>
      </c>
      <c r="J909" s="7">
        <f>'1 datos preparados'!I902</f>
        <v/>
      </c>
      <c r="K909" s="7">
        <f>'1 datos preparados'!J902</f>
        <v/>
      </c>
      <c r="L909" s="7">
        <f>'1 datos preparados'!K902</f>
        <v/>
      </c>
      <c r="M909" s="7">
        <f>'1 datos preparados'!L902</f>
        <v/>
      </c>
      <c r="N909" s="7">
        <f>'1 datos preparados'!M902</f>
        <v/>
      </c>
      <c r="O909" s="7">
        <f>'1 datos preparados'!N902</f>
        <v/>
      </c>
      <c r="P909" s="7">
        <f>'1 datos preparados'!O902</f>
        <v/>
      </c>
      <c r="Q909" s="7">
        <f>'1 datos preparados'!P902</f>
        <v/>
      </c>
      <c r="R909" s="7">
        <f>'1 datos preparados'!Q902</f>
        <v/>
      </c>
      <c r="S909" s="7">
        <f>'1 datos preparados'!R902</f>
        <v/>
      </c>
      <c r="T909" s="7">
        <f>'1 datos preparados'!S902</f>
        <v/>
      </c>
      <c r="U909" s="7">
        <f>'1 datos preparados'!T902</f>
        <v/>
      </c>
      <c r="V909" s="8">
        <f>$AE$12+D909*$AE$13+E909*$AE$14+F909*$AE$15+G909*$AE$16+H909*$AE$17+I909*$AE$18+J909*$AE$19+K909*$AE$20+L909*$AE$21+M909*$AE$22+N909*$AE$23+O909*$AE$24+P909*$AE$25+Q909*$AE$26+R909*$AE$27+S909*$AE$28+T909*$AE$29+U909*$AE$30</f>
        <v/>
      </c>
      <c r="W909" s="8">
        <f>1/(1+EXP(-V909))</f>
        <v/>
      </c>
      <c r="X909" s="9">
        <f>-IF(C909=1,LN(W909),LN(1-W909))</f>
        <v/>
      </c>
      <c r="Y909" s="8">
        <f>IF(C909=1,$AE$32,$AE$33)</f>
        <v/>
      </c>
      <c r="Z909" s="9">
        <f>Y909*X909</f>
        <v/>
      </c>
      <c r="AA909" s="10">
        <f>IF(W909&gt;$AE$34,1,0)</f>
        <v/>
      </c>
      <c r="AB909">
        <f>IF(AA909=C909,1,0)</f>
        <v/>
      </c>
    </row>
    <row r="910">
      <c r="A910">
        <f>'1 datos preparados'!A903</f>
        <v/>
      </c>
      <c r="B910" s="5">
        <f>'1 datos preparados'!U903</f>
        <v/>
      </c>
      <c r="C910">
        <f>'1 datos preparados'!B903</f>
        <v/>
      </c>
      <c r="D910" s="7">
        <f>'1 datos preparados'!C903</f>
        <v/>
      </c>
      <c r="E910" s="7">
        <f>'1 datos preparados'!D903</f>
        <v/>
      </c>
      <c r="F910" s="7">
        <f>'1 datos preparados'!E903</f>
        <v/>
      </c>
      <c r="G910" s="7">
        <f>'1 datos preparados'!F903</f>
        <v/>
      </c>
      <c r="H910" s="7">
        <f>'1 datos preparados'!G903</f>
        <v/>
      </c>
      <c r="I910" s="7">
        <f>'1 datos preparados'!H903</f>
        <v/>
      </c>
      <c r="J910" s="7">
        <f>'1 datos preparados'!I903</f>
        <v/>
      </c>
      <c r="K910" s="7">
        <f>'1 datos preparados'!J903</f>
        <v/>
      </c>
      <c r="L910" s="7">
        <f>'1 datos preparados'!K903</f>
        <v/>
      </c>
      <c r="M910" s="7">
        <f>'1 datos preparados'!L903</f>
        <v/>
      </c>
      <c r="N910" s="7">
        <f>'1 datos preparados'!M903</f>
        <v/>
      </c>
      <c r="O910" s="7">
        <f>'1 datos preparados'!N903</f>
        <v/>
      </c>
      <c r="P910" s="7">
        <f>'1 datos preparados'!O903</f>
        <v/>
      </c>
      <c r="Q910" s="7">
        <f>'1 datos preparados'!P903</f>
        <v/>
      </c>
      <c r="R910" s="7">
        <f>'1 datos preparados'!Q903</f>
        <v/>
      </c>
      <c r="S910" s="7">
        <f>'1 datos preparados'!R903</f>
        <v/>
      </c>
      <c r="T910" s="7">
        <f>'1 datos preparados'!S903</f>
        <v/>
      </c>
      <c r="U910" s="7">
        <f>'1 datos preparados'!T903</f>
        <v/>
      </c>
      <c r="V910" s="8">
        <f>$AE$12+D910*$AE$13+E910*$AE$14+F910*$AE$15+G910*$AE$16+H910*$AE$17+I910*$AE$18+J910*$AE$19+K910*$AE$20+L910*$AE$21+M910*$AE$22+N910*$AE$23+O910*$AE$24+P910*$AE$25+Q910*$AE$26+R910*$AE$27+S910*$AE$28+T910*$AE$29+U910*$AE$30</f>
        <v/>
      </c>
      <c r="W910" s="8">
        <f>1/(1+EXP(-V910))</f>
        <v/>
      </c>
      <c r="X910" s="9">
        <f>-IF(C910=1,LN(W910),LN(1-W910))</f>
        <v/>
      </c>
      <c r="Y910" s="8">
        <f>IF(C910=1,$AE$32,$AE$33)</f>
        <v/>
      </c>
      <c r="Z910" s="9">
        <f>Y910*X910</f>
        <v/>
      </c>
      <c r="AA910" s="10">
        <f>IF(W910&gt;$AE$34,1,0)</f>
        <v/>
      </c>
      <c r="AB910">
        <f>IF(AA910=C910,1,0)</f>
        <v/>
      </c>
    </row>
    <row r="911">
      <c r="A911">
        <f>'1 datos preparados'!A904</f>
        <v/>
      </c>
      <c r="B911" s="5">
        <f>'1 datos preparados'!U904</f>
        <v/>
      </c>
      <c r="C911">
        <f>'1 datos preparados'!B904</f>
        <v/>
      </c>
      <c r="D911" s="7">
        <f>'1 datos preparados'!C904</f>
        <v/>
      </c>
      <c r="E911" s="7">
        <f>'1 datos preparados'!D904</f>
        <v/>
      </c>
      <c r="F911" s="7">
        <f>'1 datos preparados'!E904</f>
        <v/>
      </c>
      <c r="G911" s="7">
        <f>'1 datos preparados'!F904</f>
        <v/>
      </c>
      <c r="H911" s="7">
        <f>'1 datos preparados'!G904</f>
        <v/>
      </c>
      <c r="I911" s="7">
        <f>'1 datos preparados'!H904</f>
        <v/>
      </c>
      <c r="J911" s="7">
        <f>'1 datos preparados'!I904</f>
        <v/>
      </c>
      <c r="K911" s="7">
        <f>'1 datos preparados'!J904</f>
        <v/>
      </c>
      <c r="L911" s="7">
        <f>'1 datos preparados'!K904</f>
        <v/>
      </c>
      <c r="M911" s="7">
        <f>'1 datos preparados'!L904</f>
        <v/>
      </c>
      <c r="N911" s="7">
        <f>'1 datos preparados'!M904</f>
        <v/>
      </c>
      <c r="O911" s="7">
        <f>'1 datos preparados'!N904</f>
        <v/>
      </c>
      <c r="P911" s="7">
        <f>'1 datos preparados'!O904</f>
        <v/>
      </c>
      <c r="Q911" s="7">
        <f>'1 datos preparados'!P904</f>
        <v/>
      </c>
      <c r="R911" s="7">
        <f>'1 datos preparados'!Q904</f>
        <v/>
      </c>
      <c r="S911" s="7">
        <f>'1 datos preparados'!R904</f>
        <v/>
      </c>
      <c r="T911" s="7">
        <f>'1 datos preparados'!S904</f>
        <v/>
      </c>
      <c r="U911" s="7">
        <f>'1 datos preparados'!T904</f>
        <v/>
      </c>
      <c r="V911" s="8">
        <f>$AE$12+D911*$AE$13+E911*$AE$14+F911*$AE$15+G911*$AE$16+H911*$AE$17+I911*$AE$18+J911*$AE$19+K911*$AE$20+L911*$AE$21+M911*$AE$22+N911*$AE$23+O911*$AE$24+P911*$AE$25+Q911*$AE$26+R911*$AE$27+S911*$AE$28+T911*$AE$29+U911*$AE$30</f>
        <v/>
      </c>
      <c r="W911" s="8">
        <f>1/(1+EXP(-V911))</f>
        <v/>
      </c>
      <c r="X911" s="9">
        <f>-IF(C911=1,LN(W911),LN(1-W911))</f>
        <v/>
      </c>
      <c r="Y911" s="8">
        <f>IF(C911=1,$AE$32,$AE$33)</f>
        <v/>
      </c>
      <c r="Z911" s="9">
        <f>Y911*X911</f>
        <v/>
      </c>
      <c r="AA911" s="10">
        <f>IF(W911&gt;$AE$34,1,0)</f>
        <v/>
      </c>
      <c r="AB911">
        <f>IF(AA911=C911,1,0)</f>
        <v/>
      </c>
    </row>
    <row r="912">
      <c r="A912">
        <f>'1 datos preparados'!A905</f>
        <v/>
      </c>
      <c r="B912" s="5">
        <f>'1 datos preparados'!U905</f>
        <v/>
      </c>
      <c r="C912">
        <f>'1 datos preparados'!B905</f>
        <v/>
      </c>
      <c r="D912" s="7">
        <f>'1 datos preparados'!C905</f>
        <v/>
      </c>
      <c r="E912" s="7">
        <f>'1 datos preparados'!D905</f>
        <v/>
      </c>
      <c r="F912" s="7">
        <f>'1 datos preparados'!E905</f>
        <v/>
      </c>
      <c r="G912" s="7">
        <f>'1 datos preparados'!F905</f>
        <v/>
      </c>
      <c r="H912" s="7">
        <f>'1 datos preparados'!G905</f>
        <v/>
      </c>
      <c r="I912" s="7">
        <f>'1 datos preparados'!H905</f>
        <v/>
      </c>
      <c r="J912" s="7">
        <f>'1 datos preparados'!I905</f>
        <v/>
      </c>
      <c r="K912" s="7">
        <f>'1 datos preparados'!J905</f>
        <v/>
      </c>
      <c r="L912" s="7">
        <f>'1 datos preparados'!K905</f>
        <v/>
      </c>
      <c r="M912" s="7">
        <f>'1 datos preparados'!L905</f>
        <v/>
      </c>
      <c r="N912" s="7">
        <f>'1 datos preparados'!M905</f>
        <v/>
      </c>
      <c r="O912" s="7">
        <f>'1 datos preparados'!N905</f>
        <v/>
      </c>
      <c r="P912" s="7">
        <f>'1 datos preparados'!O905</f>
        <v/>
      </c>
      <c r="Q912" s="7">
        <f>'1 datos preparados'!P905</f>
        <v/>
      </c>
      <c r="R912" s="7">
        <f>'1 datos preparados'!Q905</f>
        <v/>
      </c>
      <c r="S912" s="7">
        <f>'1 datos preparados'!R905</f>
        <v/>
      </c>
      <c r="T912" s="7">
        <f>'1 datos preparados'!S905</f>
        <v/>
      </c>
      <c r="U912" s="7">
        <f>'1 datos preparados'!T905</f>
        <v/>
      </c>
      <c r="V912" s="8">
        <f>$AE$12+D912*$AE$13+E912*$AE$14+F912*$AE$15+G912*$AE$16+H912*$AE$17+I912*$AE$18+J912*$AE$19+K912*$AE$20+L912*$AE$21+M912*$AE$22+N912*$AE$23+O912*$AE$24+P912*$AE$25+Q912*$AE$26+R912*$AE$27+S912*$AE$28+T912*$AE$29+U912*$AE$30</f>
        <v/>
      </c>
      <c r="W912" s="8">
        <f>1/(1+EXP(-V912))</f>
        <v/>
      </c>
      <c r="X912" s="9">
        <f>-IF(C912=1,LN(W912),LN(1-W912))</f>
        <v/>
      </c>
      <c r="Y912" s="8">
        <f>IF(C912=1,$AE$32,$AE$33)</f>
        <v/>
      </c>
      <c r="Z912" s="9">
        <f>Y912*X912</f>
        <v/>
      </c>
      <c r="AA912" s="10">
        <f>IF(W912&gt;$AE$34,1,0)</f>
        <v/>
      </c>
      <c r="AB912">
        <f>IF(AA912=C912,1,0)</f>
        <v/>
      </c>
    </row>
    <row r="913">
      <c r="A913">
        <f>'1 datos preparados'!A906</f>
        <v/>
      </c>
      <c r="B913" s="5">
        <f>'1 datos preparados'!U906</f>
        <v/>
      </c>
      <c r="C913">
        <f>'1 datos preparados'!B906</f>
        <v/>
      </c>
      <c r="D913" s="7">
        <f>'1 datos preparados'!C906</f>
        <v/>
      </c>
      <c r="E913" s="7">
        <f>'1 datos preparados'!D906</f>
        <v/>
      </c>
      <c r="F913" s="7">
        <f>'1 datos preparados'!E906</f>
        <v/>
      </c>
      <c r="G913" s="7">
        <f>'1 datos preparados'!F906</f>
        <v/>
      </c>
      <c r="H913" s="7">
        <f>'1 datos preparados'!G906</f>
        <v/>
      </c>
      <c r="I913" s="7">
        <f>'1 datos preparados'!H906</f>
        <v/>
      </c>
      <c r="J913" s="7">
        <f>'1 datos preparados'!I906</f>
        <v/>
      </c>
      <c r="K913" s="7">
        <f>'1 datos preparados'!J906</f>
        <v/>
      </c>
      <c r="L913" s="7">
        <f>'1 datos preparados'!K906</f>
        <v/>
      </c>
      <c r="M913" s="7">
        <f>'1 datos preparados'!L906</f>
        <v/>
      </c>
      <c r="N913" s="7">
        <f>'1 datos preparados'!M906</f>
        <v/>
      </c>
      <c r="O913" s="7">
        <f>'1 datos preparados'!N906</f>
        <v/>
      </c>
      <c r="P913" s="7">
        <f>'1 datos preparados'!O906</f>
        <v/>
      </c>
      <c r="Q913" s="7">
        <f>'1 datos preparados'!P906</f>
        <v/>
      </c>
      <c r="R913" s="7">
        <f>'1 datos preparados'!Q906</f>
        <v/>
      </c>
      <c r="S913" s="7">
        <f>'1 datos preparados'!R906</f>
        <v/>
      </c>
      <c r="T913" s="7">
        <f>'1 datos preparados'!S906</f>
        <v/>
      </c>
      <c r="U913" s="7">
        <f>'1 datos preparados'!T906</f>
        <v/>
      </c>
      <c r="V913" s="8">
        <f>$AE$12+D913*$AE$13+E913*$AE$14+F913*$AE$15+G913*$AE$16+H913*$AE$17+I913*$AE$18+J913*$AE$19+K913*$AE$20+L913*$AE$21+M913*$AE$22+N913*$AE$23+O913*$AE$24+P913*$AE$25+Q913*$AE$26+R913*$AE$27+S913*$AE$28+T913*$AE$29+U913*$AE$30</f>
        <v/>
      </c>
      <c r="W913" s="8">
        <f>1/(1+EXP(-V913))</f>
        <v/>
      </c>
      <c r="X913" s="9">
        <f>-IF(C913=1,LN(W913),LN(1-W913))</f>
        <v/>
      </c>
      <c r="Y913" s="8">
        <f>IF(C913=1,$AE$32,$AE$33)</f>
        <v/>
      </c>
      <c r="Z913" s="9">
        <f>Y913*X913</f>
        <v/>
      </c>
      <c r="AA913" s="10">
        <f>IF(W913&gt;$AE$34,1,0)</f>
        <v/>
      </c>
      <c r="AB913">
        <f>IF(AA913=C913,1,0)</f>
        <v/>
      </c>
    </row>
    <row r="914">
      <c r="A914">
        <f>'1 datos preparados'!A907</f>
        <v/>
      </c>
      <c r="B914" s="5">
        <f>'1 datos preparados'!U907</f>
        <v/>
      </c>
      <c r="C914">
        <f>'1 datos preparados'!B907</f>
        <v/>
      </c>
      <c r="D914" s="7">
        <f>'1 datos preparados'!C907</f>
        <v/>
      </c>
      <c r="E914" s="7">
        <f>'1 datos preparados'!D907</f>
        <v/>
      </c>
      <c r="F914" s="7">
        <f>'1 datos preparados'!E907</f>
        <v/>
      </c>
      <c r="G914" s="7">
        <f>'1 datos preparados'!F907</f>
        <v/>
      </c>
      <c r="H914" s="7">
        <f>'1 datos preparados'!G907</f>
        <v/>
      </c>
      <c r="I914" s="7">
        <f>'1 datos preparados'!H907</f>
        <v/>
      </c>
      <c r="J914" s="7">
        <f>'1 datos preparados'!I907</f>
        <v/>
      </c>
      <c r="K914" s="7">
        <f>'1 datos preparados'!J907</f>
        <v/>
      </c>
      <c r="L914" s="7">
        <f>'1 datos preparados'!K907</f>
        <v/>
      </c>
      <c r="M914" s="7">
        <f>'1 datos preparados'!L907</f>
        <v/>
      </c>
      <c r="N914" s="7">
        <f>'1 datos preparados'!M907</f>
        <v/>
      </c>
      <c r="O914" s="7">
        <f>'1 datos preparados'!N907</f>
        <v/>
      </c>
      <c r="P914" s="7">
        <f>'1 datos preparados'!O907</f>
        <v/>
      </c>
      <c r="Q914" s="7">
        <f>'1 datos preparados'!P907</f>
        <v/>
      </c>
      <c r="R914" s="7">
        <f>'1 datos preparados'!Q907</f>
        <v/>
      </c>
      <c r="S914" s="7">
        <f>'1 datos preparados'!R907</f>
        <v/>
      </c>
      <c r="T914" s="7">
        <f>'1 datos preparados'!S907</f>
        <v/>
      </c>
      <c r="U914" s="7">
        <f>'1 datos preparados'!T907</f>
        <v/>
      </c>
      <c r="V914" s="8">
        <f>$AE$12+D914*$AE$13+E914*$AE$14+F914*$AE$15+G914*$AE$16+H914*$AE$17+I914*$AE$18+J914*$AE$19+K914*$AE$20+L914*$AE$21+M914*$AE$22+N914*$AE$23+O914*$AE$24+P914*$AE$25+Q914*$AE$26+R914*$AE$27+S914*$AE$28+T914*$AE$29+U914*$AE$30</f>
        <v/>
      </c>
      <c r="W914" s="8">
        <f>1/(1+EXP(-V914))</f>
        <v/>
      </c>
      <c r="X914" s="9">
        <f>-IF(C914=1,LN(W914),LN(1-W914))</f>
        <v/>
      </c>
      <c r="Y914" s="8">
        <f>IF(C914=1,$AE$32,$AE$33)</f>
        <v/>
      </c>
      <c r="Z914" s="9">
        <f>Y914*X914</f>
        <v/>
      </c>
      <c r="AA914" s="10">
        <f>IF(W914&gt;$AE$34,1,0)</f>
        <v/>
      </c>
      <c r="AB914">
        <f>IF(AA914=C914,1,0)</f>
        <v/>
      </c>
    </row>
    <row r="915">
      <c r="A915">
        <f>'1 datos preparados'!A908</f>
        <v/>
      </c>
      <c r="B915" s="5">
        <f>'1 datos preparados'!U908</f>
        <v/>
      </c>
      <c r="C915">
        <f>'1 datos preparados'!B908</f>
        <v/>
      </c>
      <c r="D915" s="7">
        <f>'1 datos preparados'!C908</f>
        <v/>
      </c>
      <c r="E915" s="7">
        <f>'1 datos preparados'!D908</f>
        <v/>
      </c>
      <c r="F915" s="7">
        <f>'1 datos preparados'!E908</f>
        <v/>
      </c>
      <c r="G915" s="7">
        <f>'1 datos preparados'!F908</f>
        <v/>
      </c>
      <c r="H915" s="7">
        <f>'1 datos preparados'!G908</f>
        <v/>
      </c>
      <c r="I915" s="7">
        <f>'1 datos preparados'!H908</f>
        <v/>
      </c>
      <c r="J915" s="7">
        <f>'1 datos preparados'!I908</f>
        <v/>
      </c>
      <c r="K915" s="7">
        <f>'1 datos preparados'!J908</f>
        <v/>
      </c>
      <c r="L915" s="7">
        <f>'1 datos preparados'!K908</f>
        <v/>
      </c>
      <c r="M915" s="7">
        <f>'1 datos preparados'!L908</f>
        <v/>
      </c>
      <c r="N915" s="7">
        <f>'1 datos preparados'!M908</f>
        <v/>
      </c>
      <c r="O915" s="7">
        <f>'1 datos preparados'!N908</f>
        <v/>
      </c>
      <c r="P915" s="7">
        <f>'1 datos preparados'!O908</f>
        <v/>
      </c>
      <c r="Q915" s="7">
        <f>'1 datos preparados'!P908</f>
        <v/>
      </c>
      <c r="R915" s="7">
        <f>'1 datos preparados'!Q908</f>
        <v/>
      </c>
      <c r="S915" s="7">
        <f>'1 datos preparados'!R908</f>
        <v/>
      </c>
      <c r="T915" s="7">
        <f>'1 datos preparados'!S908</f>
        <v/>
      </c>
      <c r="U915" s="7">
        <f>'1 datos preparados'!T908</f>
        <v/>
      </c>
      <c r="V915" s="8">
        <f>$AE$12+D915*$AE$13+E915*$AE$14+F915*$AE$15+G915*$AE$16+H915*$AE$17+I915*$AE$18+J915*$AE$19+K915*$AE$20+L915*$AE$21+M915*$AE$22+N915*$AE$23+O915*$AE$24+P915*$AE$25+Q915*$AE$26+R915*$AE$27+S915*$AE$28+T915*$AE$29+U915*$AE$30</f>
        <v/>
      </c>
      <c r="W915" s="8">
        <f>1/(1+EXP(-V915))</f>
        <v/>
      </c>
      <c r="X915" s="9">
        <f>-IF(C915=1,LN(W915),LN(1-W915))</f>
        <v/>
      </c>
      <c r="Y915" s="8">
        <f>IF(C915=1,$AE$32,$AE$33)</f>
        <v/>
      </c>
      <c r="Z915" s="9">
        <f>Y915*X915</f>
        <v/>
      </c>
      <c r="AA915" s="10">
        <f>IF(W915&gt;$AE$34,1,0)</f>
        <v/>
      </c>
      <c r="AB915">
        <f>IF(AA915=C915,1,0)</f>
        <v/>
      </c>
    </row>
    <row r="916">
      <c r="A916">
        <f>'1 datos preparados'!A909</f>
        <v/>
      </c>
      <c r="B916" s="5">
        <f>'1 datos preparados'!U909</f>
        <v/>
      </c>
      <c r="C916">
        <f>'1 datos preparados'!B909</f>
        <v/>
      </c>
      <c r="D916" s="7">
        <f>'1 datos preparados'!C909</f>
        <v/>
      </c>
      <c r="E916" s="7">
        <f>'1 datos preparados'!D909</f>
        <v/>
      </c>
      <c r="F916" s="7">
        <f>'1 datos preparados'!E909</f>
        <v/>
      </c>
      <c r="G916" s="7">
        <f>'1 datos preparados'!F909</f>
        <v/>
      </c>
      <c r="H916" s="7">
        <f>'1 datos preparados'!G909</f>
        <v/>
      </c>
      <c r="I916" s="7">
        <f>'1 datos preparados'!H909</f>
        <v/>
      </c>
      <c r="J916" s="7">
        <f>'1 datos preparados'!I909</f>
        <v/>
      </c>
      <c r="K916" s="7">
        <f>'1 datos preparados'!J909</f>
        <v/>
      </c>
      <c r="L916" s="7">
        <f>'1 datos preparados'!K909</f>
        <v/>
      </c>
      <c r="M916" s="7">
        <f>'1 datos preparados'!L909</f>
        <v/>
      </c>
      <c r="N916" s="7">
        <f>'1 datos preparados'!M909</f>
        <v/>
      </c>
      <c r="O916" s="7">
        <f>'1 datos preparados'!N909</f>
        <v/>
      </c>
      <c r="P916" s="7">
        <f>'1 datos preparados'!O909</f>
        <v/>
      </c>
      <c r="Q916" s="7">
        <f>'1 datos preparados'!P909</f>
        <v/>
      </c>
      <c r="R916" s="7">
        <f>'1 datos preparados'!Q909</f>
        <v/>
      </c>
      <c r="S916" s="7">
        <f>'1 datos preparados'!R909</f>
        <v/>
      </c>
      <c r="T916" s="7">
        <f>'1 datos preparados'!S909</f>
        <v/>
      </c>
      <c r="U916" s="7">
        <f>'1 datos preparados'!T909</f>
        <v/>
      </c>
      <c r="V916" s="8">
        <f>$AE$12+D916*$AE$13+E916*$AE$14+F916*$AE$15+G916*$AE$16+H916*$AE$17+I916*$AE$18+J916*$AE$19+K916*$AE$20+L916*$AE$21+M916*$AE$22+N916*$AE$23+O916*$AE$24+P916*$AE$25+Q916*$AE$26+R916*$AE$27+S916*$AE$28+T916*$AE$29+U916*$AE$30</f>
        <v/>
      </c>
      <c r="W916" s="8">
        <f>1/(1+EXP(-V916))</f>
        <v/>
      </c>
      <c r="X916" s="9">
        <f>-IF(C916=1,LN(W916),LN(1-W916))</f>
        <v/>
      </c>
      <c r="Y916" s="8">
        <f>IF(C916=1,$AE$32,$AE$33)</f>
        <v/>
      </c>
      <c r="Z916" s="9">
        <f>Y916*X916</f>
        <v/>
      </c>
      <c r="AA916" s="10">
        <f>IF(W916&gt;$AE$34,1,0)</f>
        <v/>
      </c>
      <c r="AB916">
        <f>IF(AA916=C916,1,0)</f>
        <v/>
      </c>
    </row>
    <row r="917">
      <c r="A917">
        <f>'1 datos preparados'!A910</f>
        <v/>
      </c>
      <c r="B917" s="5">
        <f>'1 datos preparados'!U910</f>
        <v/>
      </c>
      <c r="C917">
        <f>'1 datos preparados'!B910</f>
        <v/>
      </c>
      <c r="D917" s="7">
        <f>'1 datos preparados'!C910</f>
        <v/>
      </c>
      <c r="E917" s="7">
        <f>'1 datos preparados'!D910</f>
        <v/>
      </c>
      <c r="F917" s="7">
        <f>'1 datos preparados'!E910</f>
        <v/>
      </c>
      <c r="G917" s="7">
        <f>'1 datos preparados'!F910</f>
        <v/>
      </c>
      <c r="H917" s="7">
        <f>'1 datos preparados'!G910</f>
        <v/>
      </c>
      <c r="I917" s="7">
        <f>'1 datos preparados'!H910</f>
        <v/>
      </c>
      <c r="J917" s="7">
        <f>'1 datos preparados'!I910</f>
        <v/>
      </c>
      <c r="K917" s="7">
        <f>'1 datos preparados'!J910</f>
        <v/>
      </c>
      <c r="L917" s="7">
        <f>'1 datos preparados'!K910</f>
        <v/>
      </c>
      <c r="M917" s="7">
        <f>'1 datos preparados'!L910</f>
        <v/>
      </c>
      <c r="N917" s="7">
        <f>'1 datos preparados'!M910</f>
        <v/>
      </c>
      <c r="O917" s="7">
        <f>'1 datos preparados'!N910</f>
        <v/>
      </c>
      <c r="P917" s="7">
        <f>'1 datos preparados'!O910</f>
        <v/>
      </c>
      <c r="Q917" s="7">
        <f>'1 datos preparados'!P910</f>
        <v/>
      </c>
      <c r="R917" s="7">
        <f>'1 datos preparados'!Q910</f>
        <v/>
      </c>
      <c r="S917" s="7">
        <f>'1 datos preparados'!R910</f>
        <v/>
      </c>
      <c r="T917" s="7">
        <f>'1 datos preparados'!S910</f>
        <v/>
      </c>
      <c r="U917" s="7">
        <f>'1 datos preparados'!T910</f>
        <v/>
      </c>
      <c r="V917" s="8">
        <f>$AE$12+D917*$AE$13+E917*$AE$14+F917*$AE$15+G917*$AE$16+H917*$AE$17+I917*$AE$18+J917*$AE$19+K917*$AE$20+L917*$AE$21+M917*$AE$22+N917*$AE$23+O917*$AE$24+P917*$AE$25+Q917*$AE$26+R917*$AE$27+S917*$AE$28+T917*$AE$29+U917*$AE$30</f>
        <v/>
      </c>
      <c r="W917" s="8">
        <f>1/(1+EXP(-V917))</f>
        <v/>
      </c>
      <c r="X917" s="9">
        <f>-IF(C917=1,LN(W917),LN(1-W917))</f>
        <v/>
      </c>
      <c r="Y917" s="8">
        <f>IF(C917=1,$AE$32,$AE$33)</f>
        <v/>
      </c>
      <c r="Z917" s="9">
        <f>Y917*X917</f>
        <v/>
      </c>
      <c r="AA917" s="10">
        <f>IF(W917&gt;$AE$34,1,0)</f>
        <v/>
      </c>
      <c r="AB917">
        <f>IF(AA917=C917,1,0)</f>
        <v/>
      </c>
    </row>
    <row r="918">
      <c r="A918">
        <f>'1 datos preparados'!A911</f>
        <v/>
      </c>
      <c r="B918" s="5">
        <f>'1 datos preparados'!U911</f>
        <v/>
      </c>
      <c r="C918">
        <f>'1 datos preparados'!B911</f>
        <v/>
      </c>
      <c r="D918" s="7">
        <f>'1 datos preparados'!C911</f>
        <v/>
      </c>
      <c r="E918" s="7">
        <f>'1 datos preparados'!D911</f>
        <v/>
      </c>
      <c r="F918" s="7">
        <f>'1 datos preparados'!E911</f>
        <v/>
      </c>
      <c r="G918" s="7">
        <f>'1 datos preparados'!F911</f>
        <v/>
      </c>
      <c r="H918" s="7">
        <f>'1 datos preparados'!G911</f>
        <v/>
      </c>
      <c r="I918" s="7">
        <f>'1 datos preparados'!H911</f>
        <v/>
      </c>
      <c r="J918" s="7">
        <f>'1 datos preparados'!I911</f>
        <v/>
      </c>
      <c r="K918" s="7">
        <f>'1 datos preparados'!J911</f>
        <v/>
      </c>
      <c r="L918" s="7">
        <f>'1 datos preparados'!K911</f>
        <v/>
      </c>
      <c r="M918" s="7">
        <f>'1 datos preparados'!L911</f>
        <v/>
      </c>
      <c r="N918" s="7">
        <f>'1 datos preparados'!M911</f>
        <v/>
      </c>
      <c r="O918" s="7">
        <f>'1 datos preparados'!N911</f>
        <v/>
      </c>
      <c r="P918" s="7">
        <f>'1 datos preparados'!O911</f>
        <v/>
      </c>
      <c r="Q918" s="7">
        <f>'1 datos preparados'!P911</f>
        <v/>
      </c>
      <c r="R918" s="7">
        <f>'1 datos preparados'!Q911</f>
        <v/>
      </c>
      <c r="S918" s="7">
        <f>'1 datos preparados'!R911</f>
        <v/>
      </c>
      <c r="T918" s="7">
        <f>'1 datos preparados'!S911</f>
        <v/>
      </c>
      <c r="U918" s="7">
        <f>'1 datos preparados'!T911</f>
        <v/>
      </c>
      <c r="V918" s="8">
        <f>$AE$12+D918*$AE$13+E918*$AE$14+F918*$AE$15+G918*$AE$16+H918*$AE$17+I918*$AE$18+J918*$AE$19+K918*$AE$20+L918*$AE$21+M918*$AE$22+N918*$AE$23+O918*$AE$24+P918*$AE$25+Q918*$AE$26+R918*$AE$27+S918*$AE$28+T918*$AE$29+U918*$AE$30</f>
        <v/>
      </c>
      <c r="W918" s="8">
        <f>1/(1+EXP(-V918))</f>
        <v/>
      </c>
      <c r="X918" s="9">
        <f>-IF(C918=1,LN(W918),LN(1-W918))</f>
        <v/>
      </c>
      <c r="Y918" s="8">
        <f>IF(C918=1,$AE$32,$AE$33)</f>
        <v/>
      </c>
      <c r="Z918" s="9">
        <f>Y918*X918</f>
        <v/>
      </c>
      <c r="AA918" s="10">
        <f>IF(W918&gt;$AE$34,1,0)</f>
        <v/>
      </c>
      <c r="AB918">
        <f>IF(AA918=C918,1,0)</f>
        <v/>
      </c>
    </row>
    <row r="919">
      <c r="A919">
        <f>'1 datos preparados'!A912</f>
        <v/>
      </c>
      <c r="B919" s="5">
        <f>'1 datos preparados'!U912</f>
        <v/>
      </c>
      <c r="C919">
        <f>'1 datos preparados'!B912</f>
        <v/>
      </c>
      <c r="D919" s="7">
        <f>'1 datos preparados'!C912</f>
        <v/>
      </c>
      <c r="E919" s="7">
        <f>'1 datos preparados'!D912</f>
        <v/>
      </c>
      <c r="F919" s="7">
        <f>'1 datos preparados'!E912</f>
        <v/>
      </c>
      <c r="G919" s="7">
        <f>'1 datos preparados'!F912</f>
        <v/>
      </c>
      <c r="H919" s="7">
        <f>'1 datos preparados'!G912</f>
        <v/>
      </c>
      <c r="I919" s="7">
        <f>'1 datos preparados'!H912</f>
        <v/>
      </c>
      <c r="J919" s="7">
        <f>'1 datos preparados'!I912</f>
        <v/>
      </c>
      <c r="K919" s="7">
        <f>'1 datos preparados'!J912</f>
        <v/>
      </c>
      <c r="L919" s="7">
        <f>'1 datos preparados'!K912</f>
        <v/>
      </c>
      <c r="M919" s="7">
        <f>'1 datos preparados'!L912</f>
        <v/>
      </c>
      <c r="N919" s="7">
        <f>'1 datos preparados'!M912</f>
        <v/>
      </c>
      <c r="O919" s="7">
        <f>'1 datos preparados'!N912</f>
        <v/>
      </c>
      <c r="P919" s="7">
        <f>'1 datos preparados'!O912</f>
        <v/>
      </c>
      <c r="Q919" s="7">
        <f>'1 datos preparados'!P912</f>
        <v/>
      </c>
      <c r="R919" s="7">
        <f>'1 datos preparados'!Q912</f>
        <v/>
      </c>
      <c r="S919" s="7">
        <f>'1 datos preparados'!R912</f>
        <v/>
      </c>
      <c r="T919" s="7">
        <f>'1 datos preparados'!S912</f>
        <v/>
      </c>
      <c r="U919" s="7">
        <f>'1 datos preparados'!T912</f>
        <v/>
      </c>
      <c r="V919" s="8">
        <f>$AE$12+D919*$AE$13+E919*$AE$14+F919*$AE$15+G919*$AE$16+H919*$AE$17+I919*$AE$18+J919*$AE$19+K919*$AE$20+L919*$AE$21+M919*$AE$22+N919*$AE$23+O919*$AE$24+P919*$AE$25+Q919*$AE$26+R919*$AE$27+S919*$AE$28+T919*$AE$29+U919*$AE$30</f>
        <v/>
      </c>
      <c r="W919" s="8">
        <f>1/(1+EXP(-V919))</f>
        <v/>
      </c>
      <c r="X919" s="9">
        <f>-IF(C919=1,LN(W919),LN(1-W919))</f>
        <v/>
      </c>
      <c r="Y919" s="8">
        <f>IF(C919=1,$AE$32,$AE$33)</f>
        <v/>
      </c>
      <c r="Z919" s="9">
        <f>Y919*X919</f>
        <v/>
      </c>
      <c r="AA919" s="10">
        <f>IF(W919&gt;$AE$34,1,0)</f>
        <v/>
      </c>
      <c r="AB919">
        <f>IF(AA919=C919,1,0)</f>
        <v/>
      </c>
    </row>
    <row r="920">
      <c r="A920">
        <f>'1 datos preparados'!A913</f>
        <v/>
      </c>
      <c r="B920" s="5">
        <f>'1 datos preparados'!U913</f>
        <v/>
      </c>
      <c r="C920">
        <f>'1 datos preparados'!B913</f>
        <v/>
      </c>
      <c r="D920" s="7">
        <f>'1 datos preparados'!C913</f>
        <v/>
      </c>
      <c r="E920" s="7">
        <f>'1 datos preparados'!D913</f>
        <v/>
      </c>
      <c r="F920" s="7">
        <f>'1 datos preparados'!E913</f>
        <v/>
      </c>
      <c r="G920" s="7">
        <f>'1 datos preparados'!F913</f>
        <v/>
      </c>
      <c r="H920" s="7">
        <f>'1 datos preparados'!G913</f>
        <v/>
      </c>
      <c r="I920" s="7">
        <f>'1 datos preparados'!H913</f>
        <v/>
      </c>
      <c r="J920" s="7">
        <f>'1 datos preparados'!I913</f>
        <v/>
      </c>
      <c r="K920" s="7">
        <f>'1 datos preparados'!J913</f>
        <v/>
      </c>
      <c r="L920" s="7">
        <f>'1 datos preparados'!K913</f>
        <v/>
      </c>
      <c r="M920" s="7">
        <f>'1 datos preparados'!L913</f>
        <v/>
      </c>
      <c r="N920" s="7">
        <f>'1 datos preparados'!M913</f>
        <v/>
      </c>
      <c r="O920" s="7">
        <f>'1 datos preparados'!N913</f>
        <v/>
      </c>
      <c r="P920" s="7">
        <f>'1 datos preparados'!O913</f>
        <v/>
      </c>
      <c r="Q920" s="7">
        <f>'1 datos preparados'!P913</f>
        <v/>
      </c>
      <c r="R920" s="7">
        <f>'1 datos preparados'!Q913</f>
        <v/>
      </c>
      <c r="S920" s="7">
        <f>'1 datos preparados'!R913</f>
        <v/>
      </c>
      <c r="T920" s="7">
        <f>'1 datos preparados'!S913</f>
        <v/>
      </c>
      <c r="U920" s="7">
        <f>'1 datos preparados'!T913</f>
        <v/>
      </c>
      <c r="V920" s="8">
        <f>$AE$12+D920*$AE$13+E920*$AE$14+F920*$AE$15+G920*$AE$16+H920*$AE$17+I920*$AE$18+J920*$AE$19+K920*$AE$20+L920*$AE$21+M920*$AE$22+N920*$AE$23+O920*$AE$24+P920*$AE$25+Q920*$AE$26+R920*$AE$27+S920*$AE$28+T920*$AE$29+U920*$AE$30</f>
        <v/>
      </c>
      <c r="W920" s="8">
        <f>1/(1+EXP(-V920))</f>
        <v/>
      </c>
      <c r="X920" s="9">
        <f>-IF(C920=1,LN(W920),LN(1-W920))</f>
        <v/>
      </c>
      <c r="Y920" s="8">
        <f>IF(C920=1,$AE$32,$AE$33)</f>
        <v/>
      </c>
      <c r="Z920" s="9">
        <f>Y920*X920</f>
        <v/>
      </c>
      <c r="AA920" s="10">
        <f>IF(W920&gt;$AE$34,1,0)</f>
        <v/>
      </c>
      <c r="AB920">
        <f>IF(AA920=C920,1,0)</f>
        <v/>
      </c>
    </row>
    <row r="921">
      <c r="A921">
        <f>'1 datos preparados'!A914</f>
        <v/>
      </c>
      <c r="B921" s="5">
        <f>'1 datos preparados'!U914</f>
        <v/>
      </c>
      <c r="C921">
        <f>'1 datos preparados'!B914</f>
        <v/>
      </c>
      <c r="D921" s="7">
        <f>'1 datos preparados'!C914</f>
        <v/>
      </c>
      <c r="E921" s="7">
        <f>'1 datos preparados'!D914</f>
        <v/>
      </c>
      <c r="F921" s="7">
        <f>'1 datos preparados'!E914</f>
        <v/>
      </c>
      <c r="G921" s="7">
        <f>'1 datos preparados'!F914</f>
        <v/>
      </c>
      <c r="H921" s="7">
        <f>'1 datos preparados'!G914</f>
        <v/>
      </c>
      <c r="I921" s="7">
        <f>'1 datos preparados'!H914</f>
        <v/>
      </c>
      <c r="J921" s="7">
        <f>'1 datos preparados'!I914</f>
        <v/>
      </c>
      <c r="K921" s="7">
        <f>'1 datos preparados'!J914</f>
        <v/>
      </c>
      <c r="L921" s="7">
        <f>'1 datos preparados'!K914</f>
        <v/>
      </c>
      <c r="M921" s="7">
        <f>'1 datos preparados'!L914</f>
        <v/>
      </c>
      <c r="N921" s="7">
        <f>'1 datos preparados'!M914</f>
        <v/>
      </c>
      <c r="O921" s="7">
        <f>'1 datos preparados'!N914</f>
        <v/>
      </c>
      <c r="P921" s="7">
        <f>'1 datos preparados'!O914</f>
        <v/>
      </c>
      <c r="Q921" s="7">
        <f>'1 datos preparados'!P914</f>
        <v/>
      </c>
      <c r="R921" s="7">
        <f>'1 datos preparados'!Q914</f>
        <v/>
      </c>
      <c r="S921" s="7">
        <f>'1 datos preparados'!R914</f>
        <v/>
      </c>
      <c r="T921" s="7">
        <f>'1 datos preparados'!S914</f>
        <v/>
      </c>
      <c r="U921" s="7">
        <f>'1 datos preparados'!T914</f>
        <v/>
      </c>
      <c r="V921" s="8">
        <f>$AE$12+D921*$AE$13+E921*$AE$14+F921*$AE$15+G921*$AE$16+H921*$AE$17+I921*$AE$18+J921*$AE$19+K921*$AE$20+L921*$AE$21+M921*$AE$22+N921*$AE$23+O921*$AE$24+P921*$AE$25+Q921*$AE$26+R921*$AE$27+S921*$AE$28+T921*$AE$29+U921*$AE$30</f>
        <v/>
      </c>
      <c r="W921" s="8">
        <f>1/(1+EXP(-V921))</f>
        <v/>
      </c>
      <c r="X921" s="9">
        <f>-IF(C921=1,LN(W921),LN(1-W921))</f>
        <v/>
      </c>
      <c r="Y921" s="8">
        <f>IF(C921=1,$AE$32,$AE$33)</f>
        <v/>
      </c>
      <c r="Z921" s="9">
        <f>Y921*X921</f>
        <v/>
      </c>
      <c r="AA921" s="10">
        <f>IF(W921&gt;$AE$34,1,0)</f>
        <v/>
      </c>
      <c r="AB921">
        <f>IF(AA921=C921,1,0)</f>
        <v/>
      </c>
    </row>
    <row r="922">
      <c r="A922">
        <f>'1 datos preparados'!A915</f>
        <v/>
      </c>
      <c r="B922" s="5">
        <f>'1 datos preparados'!U915</f>
        <v/>
      </c>
      <c r="C922">
        <f>'1 datos preparados'!B915</f>
        <v/>
      </c>
      <c r="D922" s="7">
        <f>'1 datos preparados'!C915</f>
        <v/>
      </c>
      <c r="E922" s="7">
        <f>'1 datos preparados'!D915</f>
        <v/>
      </c>
      <c r="F922" s="7">
        <f>'1 datos preparados'!E915</f>
        <v/>
      </c>
      <c r="G922" s="7">
        <f>'1 datos preparados'!F915</f>
        <v/>
      </c>
      <c r="H922" s="7">
        <f>'1 datos preparados'!G915</f>
        <v/>
      </c>
      <c r="I922" s="7">
        <f>'1 datos preparados'!H915</f>
        <v/>
      </c>
      <c r="J922" s="7">
        <f>'1 datos preparados'!I915</f>
        <v/>
      </c>
      <c r="K922" s="7">
        <f>'1 datos preparados'!J915</f>
        <v/>
      </c>
      <c r="L922" s="7">
        <f>'1 datos preparados'!K915</f>
        <v/>
      </c>
      <c r="M922" s="7">
        <f>'1 datos preparados'!L915</f>
        <v/>
      </c>
      <c r="N922" s="7">
        <f>'1 datos preparados'!M915</f>
        <v/>
      </c>
      <c r="O922" s="7">
        <f>'1 datos preparados'!N915</f>
        <v/>
      </c>
      <c r="P922" s="7">
        <f>'1 datos preparados'!O915</f>
        <v/>
      </c>
      <c r="Q922" s="7">
        <f>'1 datos preparados'!P915</f>
        <v/>
      </c>
      <c r="R922" s="7">
        <f>'1 datos preparados'!Q915</f>
        <v/>
      </c>
      <c r="S922" s="7">
        <f>'1 datos preparados'!R915</f>
        <v/>
      </c>
      <c r="T922" s="7">
        <f>'1 datos preparados'!S915</f>
        <v/>
      </c>
      <c r="U922" s="7">
        <f>'1 datos preparados'!T915</f>
        <v/>
      </c>
      <c r="V922" s="8">
        <f>$AE$12+D922*$AE$13+E922*$AE$14+F922*$AE$15+G922*$AE$16+H922*$AE$17+I922*$AE$18+J922*$AE$19+K922*$AE$20+L922*$AE$21+M922*$AE$22+N922*$AE$23+O922*$AE$24+P922*$AE$25+Q922*$AE$26+R922*$AE$27+S922*$AE$28+T922*$AE$29+U922*$AE$30</f>
        <v/>
      </c>
      <c r="W922" s="8">
        <f>1/(1+EXP(-V922))</f>
        <v/>
      </c>
      <c r="X922" s="9">
        <f>-IF(C922=1,LN(W922),LN(1-W922))</f>
        <v/>
      </c>
      <c r="Y922" s="8">
        <f>IF(C922=1,$AE$32,$AE$33)</f>
        <v/>
      </c>
      <c r="Z922" s="9">
        <f>Y922*X922</f>
        <v/>
      </c>
      <c r="AA922" s="10">
        <f>IF(W922&gt;$AE$34,1,0)</f>
        <v/>
      </c>
      <c r="AB922">
        <f>IF(AA922=C922,1,0)</f>
        <v/>
      </c>
    </row>
    <row r="923">
      <c r="A923">
        <f>'1 datos preparados'!A916</f>
        <v/>
      </c>
      <c r="B923" s="5">
        <f>'1 datos preparados'!U916</f>
        <v/>
      </c>
      <c r="C923">
        <f>'1 datos preparados'!B916</f>
        <v/>
      </c>
      <c r="D923" s="7">
        <f>'1 datos preparados'!C916</f>
        <v/>
      </c>
      <c r="E923" s="7">
        <f>'1 datos preparados'!D916</f>
        <v/>
      </c>
      <c r="F923" s="7">
        <f>'1 datos preparados'!E916</f>
        <v/>
      </c>
      <c r="G923" s="7">
        <f>'1 datos preparados'!F916</f>
        <v/>
      </c>
      <c r="H923" s="7">
        <f>'1 datos preparados'!G916</f>
        <v/>
      </c>
      <c r="I923" s="7">
        <f>'1 datos preparados'!H916</f>
        <v/>
      </c>
      <c r="J923" s="7">
        <f>'1 datos preparados'!I916</f>
        <v/>
      </c>
      <c r="K923" s="7">
        <f>'1 datos preparados'!J916</f>
        <v/>
      </c>
      <c r="L923" s="7">
        <f>'1 datos preparados'!K916</f>
        <v/>
      </c>
      <c r="M923" s="7">
        <f>'1 datos preparados'!L916</f>
        <v/>
      </c>
      <c r="N923" s="7">
        <f>'1 datos preparados'!M916</f>
        <v/>
      </c>
      <c r="O923" s="7">
        <f>'1 datos preparados'!N916</f>
        <v/>
      </c>
      <c r="P923" s="7">
        <f>'1 datos preparados'!O916</f>
        <v/>
      </c>
      <c r="Q923" s="7">
        <f>'1 datos preparados'!P916</f>
        <v/>
      </c>
      <c r="R923" s="7">
        <f>'1 datos preparados'!Q916</f>
        <v/>
      </c>
      <c r="S923" s="7">
        <f>'1 datos preparados'!R916</f>
        <v/>
      </c>
      <c r="T923" s="7">
        <f>'1 datos preparados'!S916</f>
        <v/>
      </c>
      <c r="U923" s="7">
        <f>'1 datos preparados'!T916</f>
        <v/>
      </c>
      <c r="V923" s="8">
        <f>$AE$12+D923*$AE$13+E923*$AE$14+F923*$AE$15+G923*$AE$16+H923*$AE$17+I923*$AE$18+J923*$AE$19+K923*$AE$20+L923*$AE$21+M923*$AE$22+N923*$AE$23+O923*$AE$24+P923*$AE$25+Q923*$AE$26+R923*$AE$27+S923*$AE$28+T923*$AE$29+U923*$AE$30</f>
        <v/>
      </c>
      <c r="W923" s="8">
        <f>1/(1+EXP(-V923))</f>
        <v/>
      </c>
      <c r="X923" s="9">
        <f>-IF(C923=1,LN(W923),LN(1-W923))</f>
        <v/>
      </c>
      <c r="Y923" s="8">
        <f>IF(C923=1,$AE$32,$AE$33)</f>
        <v/>
      </c>
      <c r="Z923" s="9">
        <f>Y923*X923</f>
        <v/>
      </c>
      <c r="AA923" s="10">
        <f>IF(W923&gt;$AE$34,1,0)</f>
        <v/>
      </c>
      <c r="AB923">
        <f>IF(AA923=C923,1,0)</f>
        <v/>
      </c>
    </row>
    <row r="924">
      <c r="A924">
        <f>'1 datos preparados'!A917</f>
        <v/>
      </c>
      <c r="B924" s="5">
        <f>'1 datos preparados'!U917</f>
        <v/>
      </c>
      <c r="C924">
        <f>'1 datos preparados'!B917</f>
        <v/>
      </c>
      <c r="D924" s="7">
        <f>'1 datos preparados'!C917</f>
        <v/>
      </c>
      <c r="E924" s="7">
        <f>'1 datos preparados'!D917</f>
        <v/>
      </c>
      <c r="F924" s="7">
        <f>'1 datos preparados'!E917</f>
        <v/>
      </c>
      <c r="G924" s="7">
        <f>'1 datos preparados'!F917</f>
        <v/>
      </c>
      <c r="H924" s="7">
        <f>'1 datos preparados'!G917</f>
        <v/>
      </c>
      <c r="I924" s="7">
        <f>'1 datos preparados'!H917</f>
        <v/>
      </c>
      <c r="J924" s="7">
        <f>'1 datos preparados'!I917</f>
        <v/>
      </c>
      <c r="K924" s="7">
        <f>'1 datos preparados'!J917</f>
        <v/>
      </c>
      <c r="L924" s="7">
        <f>'1 datos preparados'!K917</f>
        <v/>
      </c>
      <c r="M924" s="7">
        <f>'1 datos preparados'!L917</f>
        <v/>
      </c>
      <c r="N924" s="7">
        <f>'1 datos preparados'!M917</f>
        <v/>
      </c>
      <c r="O924" s="7">
        <f>'1 datos preparados'!N917</f>
        <v/>
      </c>
      <c r="P924" s="7">
        <f>'1 datos preparados'!O917</f>
        <v/>
      </c>
      <c r="Q924" s="7">
        <f>'1 datos preparados'!P917</f>
        <v/>
      </c>
      <c r="R924" s="7">
        <f>'1 datos preparados'!Q917</f>
        <v/>
      </c>
      <c r="S924" s="7">
        <f>'1 datos preparados'!R917</f>
        <v/>
      </c>
      <c r="T924" s="7">
        <f>'1 datos preparados'!S917</f>
        <v/>
      </c>
      <c r="U924" s="7">
        <f>'1 datos preparados'!T917</f>
        <v/>
      </c>
      <c r="V924" s="8">
        <f>$AE$12+D924*$AE$13+E924*$AE$14+F924*$AE$15+G924*$AE$16+H924*$AE$17+I924*$AE$18+J924*$AE$19+K924*$AE$20+L924*$AE$21+M924*$AE$22+N924*$AE$23+O924*$AE$24+P924*$AE$25+Q924*$AE$26+R924*$AE$27+S924*$AE$28+T924*$AE$29+U924*$AE$30</f>
        <v/>
      </c>
      <c r="W924" s="8">
        <f>1/(1+EXP(-V924))</f>
        <v/>
      </c>
      <c r="X924" s="9">
        <f>-IF(C924=1,LN(W924),LN(1-W924))</f>
        <v/>
      </c>
      <c r="Y924" s="8">
        <f>IF(C924=1,$AE$32,$AE$33)</f>
        <v/>
      </c>
      <c r="Z924" s="9">
        <f>Y924*X924</f>
        <v/>
      </c>
      <c r="AA924" s="10">
        <f>IF(W924&gt;$AE$34,1,0)</f>
        <v/>
      </c>
      <c r="AB924">
        <f>IF(AA924=C924,1,0)</f>
        <v/>
      </c>
    </row>
    <row r="925">
      <c r="A925">
        <f>'1 datos preparados'!A918</f>
        <v/>
      </c>
      <c r="B925" s="5">
        <f>'1 datos preparados'!U918</f>
        <v/>
      </c>
      <c r="C925">
        <f>'1 datos preparados'!B918</f>
        <v/>
      </c>
      <c r="D925" s="7">
        <f>'1 datos preparados'!C918</f>
        <v/>
      </c>
      <c r="E925" s="7">
        <f>'1 datos preparados'!D918</f>
        <v/>
      </c>
      <c r="F925" s="7">
        <f>'1 datos preparados'!E918</f>
        <v/>
      </c>
      <c r="G925" s="7">
        <f>'1 datos preparados'!F918</f>
        <v/>
      </c>
      <c r="H925" s="7">
        <f>'1 datos preparados'!G918</f>
        <v/>
      </c>
      <c r="I925" s="7">
        <f>'1 datos preparados'!H918</f>
        <v/>
      </c>
      <c r="J925" s="7">
        <f>'1 datos preparados'!I918</f>
        <v/>
      </c>
      <c r="K925" s="7">
        <f>'1 datos preparados'!J918</f>
        <v/>
      </c>
      <c r="L925" s="7">
        <f>'1 datos preparados'!K918</f>
        <v/>
      </c>
      <c r="M925" s="7">
        <f>'1 datos preparados'!L918</f>
        <v/>
      </c>
      <c r="N925" s="7">
        <f>'1 datos preparados'!M918</f>
        <v/>
      </c>
      <c r="O925" s="7">
        <f>'1 datos preparados'!N918</f>
        <v/>
      </c>
      <c r="P925" s="7">
        <f>'1 datos preparados'!O918</f>
        <v/>
      </c>
      <c r="Q925" s="7">
        <f>'1 datos preparados'!P918</f>
        <v/>
      </c>
      <c r="R925" s="7">
        <f>'1 datos preparados'!Q918</f>
        <v/>
      </c>
      <c r="S925" s="7">
        <f>'1 datos preparados'!R918</f>
        <v/>
      </c>
      <c r="T925" s="7">
        <f>'1 datos preparados'!S918</f>
        <v/>
      </c>
      <c r="U925" s="7">
        <f>'1 datos preparados'!T918</f>
        <v/>
      </c>
      <c r="V925" s="8">
        <f>$AE$12+D925*$AE$13+E925*$AE$14+F925*$AE$15+G925*$AE$16+H925*$AE$17+I925*$AE$18+J925*$AE$19+K925*$AE$20+L925*$AE$21+M925*$AE$22+N925*$AE$23+O925*$AE$24+P925*$AE$25+Q925*$AE$26+R925*$AE$27+S925*$AE$28+T925*$AE$29+U925*$AE$30</f>
        <v/>
      </c>
      <c r="W925" s="8">
        <f>1/(1+EXP(-V925))</f>
        <v/>
      </c>
      <c r="X925" s="9">
        <f>-IF(C925=1,LN(W925),LN(1-W925))</f>
        <v/>
      </c>
      <c r="Y925" s="8">
        <f>IF(C925=1,$AE$32,$AE$33)</f>
        <v/>
      </c>
      <c r="Z925" s="9">
        <f>Y925*X925</f>
        <v/>
      </c>
      <c r="AA925" s="10">
        <f>IF(W925&gt;$AE$34,1,0)</f>
        <v/>
      </c>
      <c r="AB925">
        <f>IF(AA925=C925,1,0)</f>
        <v/>
      </c>
    </row>
    <row r="926">
      <c r="A926">
        <f>'1 datos preparados'!A919</f>
        <v/>
      </c>
      <c r="B926" s="5">
        <f>'1 datos preparados'!U919</f>
        <v/>
      </c>
      <c r="C926">
        <f>'1 datos preparados'!B919</f>
        <v/>
      </c>
      <c r="D926" s="7">
        <f>'1 datos preparados'!C919</f>
        <v/>
      </c>
      <c r="E926" s="7">
        <f>'1 datos preparados'!D919</f>
        <v/>
      </c>
      <c r="F926" s="7">
        <f>'1 datos preparados'!E919</f>
        <v/>
      </c>
      <c r="G926" s="7">
        <f>'1 datos preparados'!F919</f>
        <v/>
      </c>
      <c r="H926" s="7">
        <f>'1 datos preparados'!G919</f>
        <v/>
      </c>
      <c r="I926" s="7">
        <f>'1 datos preparados'!H919</f>
        <v/>
      </c>
      <c r="J926" s="7">
        <f>'1 datos preparados'!I919</f>
        <v/>
      </c>
      <c r="K926" s="7">
        <f>'1 datos preparados'!J919</f>
        <v/>
      </c>
      <c r="L926" s="7">
        <f>'1 datos preparados'!K919</f>
        <v/>
      </c>
      <c r="M926" s="7">
        <f>'1 datos preparados'!L919</f>
        <v/>
      </c>
      <c r="N926" s="7">
        <f>'1 datos preparados'!M919</f>
        <v/>
      </c>
      <c r="O926" s="7">
        <f>'1 datos preparados'!N919</f>
        <v/>
      </c>
      <c r="P926" s="7">
        <f>'1 datos preparados'!O919</f>
        <v/>
      </c>
      <c r="Q926" s="7">
        <f>'1 datos preparados'!P919</f>
        <v/>
      </c>
      <c r="R926" s="7">
        <f>'1 datos preparados'!Q919</f>
        <v/>
      </c>
      <c r="S926" s="7">
        <f>'1 datos preparados'!R919</f>
        <v/>
      </c>
      <c r="T926" s="7">
        <f>'1 datos preparados'!S919</f>
        <v/>
      </c>
      <c r="U926" s="7">
        <f>'1 datos preparados'!T919</f>
        <v/>
      </c>
      <c r="V926" s="8">
        <f>$AE$12+D926*$AE$13+E926*$AE$14+F926*$AE$15+G926*$AE$16+H926*$AE$17+I926*$AE$18+J926*$AE$19+K926*$AE$20+L926*$AE$21+M926*$AE$22+N926*$AE$23+O926*$AE$24+P926*$AE$25+Q926*$AE$26+R926*$AE$27+S926*$AE$28+T926*$AE$29+U926*$AE$30</f>
        <v/>
      </c>
      <c r="W926" s="8">
        <f>1/(1+EXP(-V926))</f>
        <v/>
      </c>
      <c r="X926" s="9">
        <f>-IF(C926=1,LN(W926),LN(1-W926))</f>
        <v/>
      </c>
      <c r="Y926" s="8">
        <f>IF(C926=1,$AE$32,$AE$33)</f>
        <v/>
      </c>
      <c r="Z926" s="9">
        <f>Y926*X926</f>
        <v/>
      </c>
      <c r="AA926" s="10">
        <f>IF(W926&gt;$AE$34,1,0)</f>
        <v/>
      </c>
      <c r="AB926">
        <f>IF(AA926=C926,1,0)</f>
        <v/>
      </c>
    </row>
    <row r="927">
      <c r="A927">
        <f>'1 datos preparados'!A920</f>
        <v/>
      </c>
      <c r="B927" s="5">
        <f>'1 datos preparados'!U920</f>
        <v/>
      </c>
      <c r="C927">
        <f>'1 datos preparados'!B920</f>
        <v/>
      </c>
      <c r="D927" s="7">
        <f>'1 datos preparados'!C920</f>
        <v/>
      </c>
      <c r="E927" s="7">
        <f>'1 datos preparados'!D920</f>
        <v/>
      </c>
      <c r="F927" s="7">
        <f>'1 datos preparados'!E920</f>
        <v/>
      </c>
      <c r="G927" s="7">
        <f>'1 datos preparados'!F920</f>
        <v/>
      </c>
      <c r="H927" s="7">
        <f>'1 datos preparados'!G920</f>
        <v/>
      </c>
      <c r="I927" s="7">
        <f>'1 datos preparados'!H920</f>
        <v/>
      </c>
      <c r="J927" s="7">
        <f>'1 datos preparados'!I920</f>
        <v/>
      </c>
      <c r="K927" s="7">
        <f>'1 datos preparados'!J920</f>
        <v/>
      </c>
      <c r="L927" s="7">
        <f>'1 datos preparados'!K920</f>
        <v/>
      </c>
      <c r="M927" s="7">
        <f>'1 datos preparados'!L920</f>
        <v/>
      </c>
      <c r="N927" s="7">
        <f>'1 datos preparados'!M920</f>
        <v/>
      </c>
      <c r="O927" s="7">
        <f>'1 datos preparados'!N920</f>
        <v/>
      </c>
      <c r="P927" s="7">
        <f>'1 datos preparados'!O920</f>
        <v/>
      </c>
      <c r="Q927" s="7">
        <f>'1 datos preparados'!P920</f>
        <v/>
      </c>
      <c r="R927" s="7">
        <f>'1 datos preparados'!Q920</f>
        <v/>
      </c>
      <c r="S927" s="7">
        <f>'1 datos preparados'!R920</f>
        <v/>
      </c>
      <c r="T927" s="7">
        <f>'1 datos preparados'!S920</f>
        <v/>
      </c>
      <c r="U927" s="7">
        <f>'1 datos preparados'!T920</f>
        <v/>
      </c>
      <c r="V927" s="8">
        <f>$AE$12+D927*$AE$13+E927*$AE$14+F927*$AE$15+G927*$AE$16+H927*$AE$17+I927*$AE$18+J927*$AE$19+K927*$AE$20+L927*$AE$21+M927*$AE$22+N927*$AE$23+O927*$AE$24+P927*$AE$25+Q927*$AE$26+R927*$AE$27+S927*$AE$28+T927*$AE$29+U927*$AE$30</f>
        <v/>
      </c>
      <c r="W927" s="8">
        <f>1/(1+EXP(-V927))</f>
        <v/>
      </c>
      <c r="X927" s="9">
        <f>-IF(C927=1,LN(W927),LN(1-W927))</f>
        <v/>
      </c>
      <c r="Y927" s="8">
        <f>IF(C927=1,$AE$32,$AE$33)</f>
        <v/>
      </c>
      <c r="Z927" s="9">
        <f>Y927*X927</f>
        <v/>
      </c>
      <c r="AA927" s="10">
        <f>IF(W927&gt;$AE$34,1,0)</f>
        <v/>
      </c>
      <c r="AB927">
        <f>IF(AA927=C927,1,0)</f>
        <v/>
      </c>
    </row>
    <row r="928">
      <c r="A928">
        <f>'1 datos preparados'!A921</f>
        <v/>
      </c>
      <c r="B928" s="5">
        <f>'1 datos preparados'!U921</f>
        <v/>
      </c>
      <c r="C928">
        <f>'1 datos preparados'!B921</f>
        <v/>
      </c>
      <c r="D928" s="7">
        <f>'1 datos preparados'!C921</f>
        <v/>
      </c>
      <c r="E928" s="7">
        <f>'1 datos preparados'!D921</f>
        <v/>
      </c>
      <c r="F928" s="7">
        <f>'1 datos preparados'!E921</f>
        <v/>
      </c>
      <c r="G928" s="7">
        <f>'1 datos preparados'!F921</f>
        <v/>
      </c>
      <c r="H928" s="7">
        <f>'1 datos preparados'!G921</f>
        <v/>
      </c>
      <c r="I928" s="7">
        <f>'1 datos preparados'!H921</f>
        <v/>
      </c>
      <c r="J928" s="7">
        <f>'1 datos preparados'!I921</f>
        <v/>
      </c>
      <c r="K928" s="7">
        <f>'1 datos preparados'!J921</f>
        <v/>
      </c>
      <c r="L928" s="7">
        <f>'1 datos preparados'!K921</f>
        <v/>
      </c>
      <c r="M928" s="7">
        <f>'1 datos preparados'!L921</f>
        <v/>
      </c>
      <c r="N928" s="7">
        <f>'1 datos preparados'!M921</f>
        <v/>
      </c>
      <c r="O928" s="7">
        <f>'1 datos preparados'!N921</f>
        <v/>
      </c>
      <c r="P928" s="7">
        <f>'1 datos preparados'!O921</f>
        <v/>
      </c>
      <c r="Q928" s="7">
        <f>'1 datos preparados'!P921</f>
        <v/>
      </c>
      <c r="R928" s="7">
        <f>'1 datos preparados'!Q921</f>
        <v/>
      </c>
      <c r="S928" s="7">
        <f>'1 datos preparados'!R921</f>
        <v/>
      </c>
      <c r="T928" s="7">
        <f>'1 datos preparados'!S921</f>
        <v/>
      </c>
      <c r="U928" s="7">
        <f>'1 datos preparados'!T921</f>
        <v/>
      </c>
      <c r="V928" s="8">
        <f>$AE$12+D928*$AE$13+E928*$AE$14+F928*$AE$15+G928*$AE$16+H928*$AE$17+I928*$AE$18+J928*$AE$19+K928*$AE$20+L928*$AE$21+M928*$AE$22+N928*$AE$23+O928*$AE$24+P928*$AE$25+Q928*$AE$26+R928*$AE$27+S928*$AE$28+T928*$AE$29+U928*$AE$30</f>
        <v/>
      </c>
      <c r="W928" s="8">
        <f>1/(1+EXP(-V928))</f>
        <v/>
      </c>
      <c r="X928" s="9">
        <f>-IF(C928=1,LN(W928),LN(1-W928))</f>
        <v/>
      </c>
      <c r="Y928" s="8">
        <f>IF(C928=1,$AE$32,$AE$33)</f>
        <v/>
      </c>
      <c r="Z928" s="9">
        <f>Y928*X928</f>
        <v/>
      </c>
      <c r="AA928" s="10">
        <f>IF(W928&gt;$AE$34,1,0)</f>
        <v/>
      </c>
      <c r="AB928">
        <f>IF(AA928=C928,1,0)</f>
        <v/>
      </c>
    </row>
    <row r="929">
      <c r="A929">
        <f>'1 datos preparados'!A922</f>
        <v/>
      </c>
      <c r="B929" s="5">
        <f>'1 datos preparados'!U922</f>
        <v/>
      </c>
      <c r="C929">
        <f>'1 datos preparados'!B922</f>
        <v/>
      </c>
      <c r="D929" s="7">
        <f>'1 datos preparados'!C922</f>
        <v/>
      </c>
      <c r="E929" s="7">
        <f>'1 datos preparados'!D922</f>
        <v/>
      </c>
      <c r="F929" s="7">
        <f>'1 datos preparados'!E922</f>
        <v/>
      </c>
      <c r="G929" s="7">
        <f>'1 datos preparados'!F922</f>
        <v/>
      </c>
      <c r="H929" s="7">
        <f>'1 datos preparados'!G922</f>
        <v/>
      </c>
      <c r="I929" s="7">
        <f>'1 datos preparados'!H922</f>
        <v/>
      </c>
      <c r="J929" s="7">
        <f>'1 datos preparados'!I922</f>
        <v/>
      </c>
      <c r="K929" s="7">
        <f>'1 datos preparados'!J922</f>
        <v/>
      </c>
      <c r="L929" s="7">
        <f>'1 datos preparados'!K922</f>
        <v/>
      </c>
      <c r="M929" s="7">
        <f>'1 datos preparados'!L922</f>
        <v/>
      </c>
      <c r="N929" s="7">
        <f>'1 datos preparados'!M922</f>
        <v/>
      </c>
      <c r="O929" s="7">
        <f>'1 datos preparados'!N922</f>
        <v/>
      </c>
      <c r="P929" s="7">
        <f>'1 datos preparados'!O922</f>
        <v/>
      </c>
      <c r="Q929" s="7">
        <f>'1 datos preparados'!P922</f>
        <v/>
      </c>
      <c r="R929" s="7">
        <f>'1 datos preparados'!Q922</f>
        <v/>
      </c>
      <c r="S929" s="7">
        <f>'1 datos preparados'!R922</f>
        <v/>
      </c>
      <c r="T929" s="7">
        <f>'1 datos preparados'!S922</f>
        <v/>
      </c>
      <c r="U929" s="7">
        <f>'1 datos preparados'!T922</f>
        <v/>
      </c>
      <c r="V929" s="8">
        <f>$AE$12+D929*$AE$13+E929*$AE$14+F929*$AE$15+G929*$AE$16+H929*$AE$17+I929*$AE$18+J929*$AE$19+K929*$AE$20+L929*$AE$21+M929*$AE$22+N929*$AE$23+O929*$AE$24+P929*$AE$25+Q929*$AE$26+R929*$AE$27+S929*$AE$28+T929*$AE$29+U929*$AE$30</f>
        <v/>
      </c>
      <c r="W929" s="8">
        <f>1/(1+EXP(-V929))</f>
        <v/>
      </c>
      <c r="X929" s="9">
        <f>-IF(C929=1,LN(W929),LN(1-W929))</f>
        <v/>
      </c>
      <c r="Y929" s="8">
        <f>IF(C929=1,$AE$32,$AE$33)</f>
        <v/>
      </c>
      <c r="Z929" s="9">
        <f>Y929*X929</f>
        <v/>
      </c>
      <c r="AA929" s="10">
        <f>IF(W929&gt;$AE$34,1,0)</f>
        <v/>
      </c>
      <c r="AB929">
        <f>IF(AA929=C929,1,0)</f>
        <v/>
      </c>
    </row>
    <row r="930">
      <c r="A930">
        <f>'1 datos preparados'!A923</f>
        <v/>
      </c>
      <c r="B930" s="5">
        <f>'1 datos preparados'!U923</f>
        <v/>
      </c>
      <c r="C930">
        <f>'1 datos preparados'!B923</f>
        <v/>
      </c>
      <c r="D930" s="7">
        <f>'1 datos preparados'!C923</f>
        <v/>
      </c>
      <c r="E930" s="7">
        <f>'1 datos preparados'!D923</f>
        <v/>
      </c>
      <c r="F930" s="7">
        <f>'1 datos preparados'!E923</f>
        <v/>
      </c>
      <c r="G930" s="7">
        <f>'1 datos preparados'!F923</f>
        <v/>
      </c>
      <c r="H930" s="7">
        <f>'1 datos preparados'!G923</f>
        <v/>
      </c>
      <c r="I930" s="7">
        <f>'1 datos preparados'!H923</f>
        <v/>
      </c>
      <c r="J930" s="7">
        <f>'1 datos preparados'!I923</f>
        <v/>
      </c>
      <c r="K930" s="7">
        <f>'1 datos preparados'!J923</f>
        <v/>
      </c>
      <c r="L930" s="7">
        <f>'1 datos preparados'!K923</f>
        <v/>
      </c>
      <c r="M930" s="7">
        <f>'1 datos preparados'!L923</f>
        <v/>
      </c>
      <c r="N930" s="7">
        <f>'1 datos preparados'!M923</f>
        <v/>
      </c>
      <c r="O930" s="7">
        <f>'1 datos preparados'!N923</f>
        <v/>
      </c>
      <c r="P930" s="7">
        <f>'1 datos preparados'!O923</f>
        <v/>
      </c>
      <c r="Q930" s="7">
        <f>'1 datos preparados'!P923</f>
        <v/>
      </c>
      <c r="R930" s="7">
        <f>'1 datos preparados'!Q923</f>
        <v/>
      </c>
      <c r="S930" s="7">
        <f>'1 datos preparados'!R923</f>
        <v/>
      </c>
      <c r="T930" s="7">
        <f>'1 datos preparados'!S923</f>
        <v/>
      </c>
      <c r="U930" s="7">
        <f>'1 datos preparados'!T923</f>
        <v/>
      </c>
      <c r="V930" s="8">
        <f>$AE$12+D930*$AE$13+E930*$AE$14+F930*$AE$15+G930*$AE$16+H930*$AE$17+I930*$AE$18+J930*$AE$19+K930*$AE$20+L930*$AE$21+M930*$AE$22+N930*$AE$23+O930*$AE$24+P930*$AE$25+Q930*$AE$26+R930*$AE$27+S930*$AE$28+T930*$AE$29+U930*$AE$30</f>
        <v/>
      </c>
      <c r="W930" s="8">
        <f>1/(1+EXP(-V930))</f>
        <v/>
      </c>
      <c r="X930" s="9">
        <f>-IF(C930=1,LN(W930),LN(1-W930))</f>
        <v/>
      </c>
      <c r="Y930" s="8">
        <f>IF(C930=1,$AE$32,$AE$33)</f>
        <v/>
      </c>
      <c r="Z930" s="9">
        <f>Y930*X930</f>
        <v/>
      </c>
      <c r="AA930" s="10">
        <f>IF(W930&gt;$AE$34,1,0)</f>
        <v/>
      </c>
      <c r="AB930">
        <f>IF(AA930=C930,1,0)</f>
        <v/>
      </c>
    </row>
    <row r="931">
      <c r="A931">
        <f>'1 datos preparados'!A924</f>
        <v/>
      </c>
      <c r="B931" s="5">
        <f>'1 datos preparados'!U924</f>
        <v/>
      </c>
      <c r="C931">
        <f>'1 datos preparados'!B924</f>
        <v/>
      </c>
      <c r="D931" s="7">
        <f>'1 datos preparados'!C924</f>
        <v/>
      </c>
      <c r="E931" s="7">
        <f>'1 datos preparados'!D924</f>
        <v/>
      </c>
      <c r="F931" s="7">
        <f>'1 datos preparados'!E924</f>
        <v/>
      </c>
      <c r="G931" s="7">
        <f>'1 datos preparados'!F924</f>
        <v/>
      </c>
      <c r="H931" s="7">
        <f>'1 datos preparados'!G924</f>
        <v/>
      </c>
      <c r="I931" s="7">
        <f>'1 datos preparados'!H924</f>
        <v/>
      </c>
      <c r="J931" s="7">
        <f>'1 datos preparados'!I924</f>
        <v/>
      </c>
      <c r="K931" s="7">
        <f>'1 datos preparados'!J924</f>
        <v/>
      </c>
      <c r="L931" s="7">
        <f>'1 datos preparados'!K924</f>
        <v/>
      </c>
      <c r="M931" s="7">
        <f>'1 datos preparados'!L924</f>
        <v/>
      </c>
      <c r="N931" s="7">
        <f>'1 datos preparados'!M924</f>
        <v/>
      </c>
      <c r="O931" s="7">
        <f>'1 datos preparados'!N924</f>
        <v/>
      </c>
      <c r="P931" s="7">
        <f>'1 datos preparados'!O924</f>
        <v/>
      </c>
      <c r="Q931" s="7">
        <f>'1 datos preparados'!P924</f>
        <v/>
      </c>
      <c r="R931" s="7">
        <f>'1 datos preparados'!Q924</f>
        <v/>
      </c>
      <c r="S931" s="7">
        <f>'1 datos preparados'!R924</f>
        <v/>
      </c>
      <c r="T931" s="7">
        <f>'1 datos preparados'!S924</f>
        <v/>
      </c>
      <c r="U931" s="7">
        <f>'1 datos preparados'!T924</f>
        <v/>
      </c>
      <c r="V931" s="8">
        <f>$AE$12+D931*$AE$13+E931*$AE$14+F931*$AE$15+G931*$AE$16+H931*$AE$17+I931*$AE$18+J931*$AE$19+K931*$AE$20+L931*$AE$21+M931*$AE$22+N931*$AE$23+O931*$AE$24+P931*$AE$25+Q931*$AE$26+R931*$AE$27+S931*$AE$28+T931*$AE$29+U931*$AE$30</f>
        <v/>
      </c>
      <c r="W931" s="8">
        <f>1/(1+EXP(-V931))</f>
        <v/>
      </c>
      <c r="X931" s="9">
        <f>-IF(C931=1,LN(W931),LN(1-W931))</f>
        <v/>
      </c>
      <c r="Y931" s="8">
        <f>IF(C931=1,$AE$32,$AE$33)</f>
        <v/>
      </c>
      <c r="Z931" s="9">
        <f>Y931*X931</f>
        <v/>
      </c>
      <c r="AA931" s="10">
        <f>IF(W931&gt;$AE$34,1,0)</f>
        <v/>
      </c>
      <c r="AB931">
        <f>IF(AA931=C931,1,0)</f>
        <v/>
      </c>
    </row>
    <row r="932">
      <c r="A932">
        <f>'1 datos preparados'!A925</f>
        <v/>
      </c>
      <c r="B932" s="5">
        <f>'1 datos preparados'!U925</f>
        <v/>
      </c>
      <c r="C932">
        <f>'1 datos preparados'!B925</f>
        <v/>
      </c>
      <c r="D932" s="7">
        <f>'1 datos preparados'!C925</f>
        <v/>
      </c>
      <c r="E932" s="7">
        <f>'1 datos preparados'!D925</f>
        <v/>
      </c>
      <c r="F932" s="7">
        <f>'1 datos preparados'!E925</f>
        <v/>
      </c>
      <c r="G932" s="7">
        <f>'1 datos preparados'!F925</f>
        <v/>
      </c>
      <c r="H932" s="7">
        <f>'1 datos preparados'!G925</f>
        <v/>
      </c>
      <c r="I932" s="7">
        <f>'1 datos preparados'!H925</f>
        <v/>
      </c>
      <c r="J932" s="7">
        <f>'1 datos preparados'!I925</f>
        <v/>
      </c>
      <c r="K932" s="7">
        <f>'1 datos preparados'!J925</f>
        <v/>
      </c>
      <c r="L932" s="7">
        <f>'1 datos preparados'!K925</f>
        <v/>
      </c>
      <c r="M932" s="7">
        <f>'1 datos preparados'!L925</f>
        <v/>
      </c>
      <c r="N932" s="7">
        <f>'1 datos preparados'!M925</f>
        <v/>
      </c>
      <c r="O932" s="7">
        <f>'1 datos preparados'!N925</f>
        <v/>
      </c>
      <c r="P932" s="7">
        <f>'1 datos preparados'!O925</f>
        <v/>
      </c>
      <c r="Q932" s="7">
        <f>'1 datos preparados'!P925</f>
        <v/>
      </c>
      <c r="R932" s="7">
        <f>'1 datos preparados'!Q925</f>
        <v/>
      </c>
      <c r="S932" s="7">
        <f>'1 datos preparados'!R925</f>
        <v/>
      </c>
      <c r="T932" s="7">
        <f>'1 datos preparados'!S925</f>
        <v/>
      </c>
      <c r="U932" s="7">
        <f>'1 datos preparados'!T925</f>
        <v/>
      </c>
      <c r="V932" s="8">
        <f>$AE$12+D932*$AE$13+E932*$AE$14+F932*$AE$15+G932*$AE$16+H932*$AE$17+I932*$AE$18+J932*$AE$19+K932*$AE$20+L932*$AE$21+M932*$AE$22+N932*$AE$23+O932*$AE$24+P932*$AE$25+Q932*$AE$26+R932*$AE$27+S932*$AE$28+T932*$AE$29+U932*$AE$30</f>
        <v/>
      </c>
      <c r="W932" s="8">
        <f>1/(1+EXP(-V932))</f>
        <v/>
      </c>
      <c r="X932" s="9">
        <f>-IF(C932=1,LN(W932),LN(1-W932))</f>
        <v/>
      </c>
      <c r="Y932" s="8">
        <f>IF(C932=1,$AE$32,$AE$33)</f>
        <v/>
      </c>
      <c r="Z932" s="9">
        <f>Y932*X932</f>
        <v/>
      </c>
      <c r="AA932" s="10">
        <f>IF(W932&gt;$AE$34,1,0)</f>
        <v/>
      </c>
      <c r="AB932">
        <f>IF(AA932=C932,1,0)</f>
        <v/>
      </c>
    </row>
    <row r="933">
      <c r="A933">
        <f>'1 datos preparados'!A926</f>
        <v/>
      </c>
      <c r="B933" s="5">
        <f>'1 datos preparados'!U926</f>
        <v/>
      </c>
      <c r="C933">
        <f>'1 datos preparados'!B926</f>
        <v/>
      </c>
      <c r="D933" s="7">
        <f>'1 datos preparados'!C926</f>
        <v/>
      </c>
      <c r="E933" s="7">
        <f>'1 datos preparados'!D926</f>
        <v/>
      </c>
      <c r="F933" s="7">
        <f>'1 datos preparados'!E926</f>
        <v/>
      </c>
      <c r="G933" s="7">
        <f>'1 datos preparados'!F926</f>
        <v/>
      </c>
      <c r="H933" s="7">
        <f>'1 datos preparados'!G926</f>
        <v/>
      </c>
      <c r="I933" s="7">
        <f>'1 datos preparados'!H926</f>
        <v/>
      </c>
      <c r="J933" s="7">
        <f>'1 datos preparados'!I926</f>
        <v/>
      </c>
      <c r="K933" s="7">
        <f>'1 datos preparados'!J926</f>
        <v/>
      </c>
      <c r="L933" s="7">
        <f>'1 datos preparados'!K926</f>
        <v/>
      </c>
      <c r="M933" s="7">
        <f>'1 datos preparados'!L926</f>
        <v/>
      </c>
      <c r="N933" s="7">
        <f>'1 datos preparados'!M926</f>
        <v/>
      </c>
      <c r="O933" s="7">
        <f>'1 datos preparados'!N926</f>
        <v/>
      </c>
      <c r="P933" s="7">
        <f>'1 datos preparados'!O926</f>
        <v/>
      </c>
      <c r="Q933" s="7">
        <f>'1 datos preparados'!P926</f>
        <v/>
      </c>
      <c r="R933" s="7">
        <f>'1 datos preparados'!Q926</f>
        <v/>
      </c>
      <c r="S933" s="7">
        <f>'1 datos preparados'!R926</f>
        <v/>
      </c>
      <c r="T933" s="7">
        <f>'1 datos preparados'!S926</f>
        <v/>
      </c>
      <c r="U933" s="7">
        <f>'1 datos preparados'!T926</f>
        <v/>
      </c>
      <c r="V933" s="8">
        <f>$AE$12+D933*$AE$13+E933*$AE$14+F933*$AE$15+G933*$AE$16+H933*$AE$17+I933*$AE$18+J933*$AE$19+K933*$AE$20+L933*$AE$21+M933*$AE$22+N933*$AE$23+O933*$AE$24+P933*$AE$25+Q933*$AE$26+R933*$AE$27+S933*$AE$28+T933*$AE$29+U933*$AE$30</f>
        <v/>
      </c>
      <c r="W933" s="8">
        <f>1/(1+EXP(-V933))</f>
        <v/>
      </c>
      <c r="X933" s="9">
        <f>-IF(C933=1,LN(W933),LN(1-W933))</f>
        <v/>
      </c>
      <c r="Y933" s="8">
        <f>IF(C933=1,$AE$32,$AE$33)</f>
        <v/>
      </c>
      <c r="Z933" s="9">
        <f>Y933*X933</f>
        <v/>
      </c>
      <c r="AA933" s="10">
        <f>IF(W933&gt;$AE$34,1,0)</f>
        <v/>
      </c>
      <c r="AB933">
        <f>IF(AA933=C933,1,0)</f>
        <v/>
      </c>
    </row>
    <row r="934">
      <c r="A934">
        <f>'1 datos preparados'!A927</f>
        <v/>
      </c>
      <c r="B934" s="5">
        <f>'1 datos preparados'!U927</f>
        <v/>
      </c>
      <c r="C934">
        <f>'1 datos preparados'!B927</f>
        <v/>
      </c>
      <c r="D934" s="7">
        <f>'1 datos preparados'!C927</f>
        <v/>
      </c>
      <c r="E934" s="7">
        <f>'1 datos preparados'!D927</f>
        <v/>
      </c>
      <c r="F934" s="7">
        <f>'1 datos preparados'!E927</f>
        <v/>
      </c>
      <c r="G934" s="7">
        <f>'1 datos preparados'!F927</f>
        <v/>
      </c>
      <c r="H934" s="7">
        <f>'1 datos preparados'!G927</f>
        <v/>
      </c>
      <c r="I934" s="7">
        <f>'1 datos preparados'!H927</f>
        <v/>
      </c>
      <c r="J934" s="7">
        <f>'1 datos preparados'!I927</f>
        <v/>
      </c>
      <c r="K934" s="7">
        <f>'1 datos preparados'!J927</f>
        <v/>
      </c>
      <c r="L934" s="7">
        <f>'1 datos preparados'!K927</f>
        <v/>
      </c>
      <c r="M934" s="7">
        <f>'1 datos preparados'!L927</f>
        <v/>
      </c>
      <c r="N934" s="7">
        <f>'1 datos preparados'!M927</f>
        <v/>
      </c>
      <c r="O934" s="7">
        <f>'1 datos preparados'!N927</f>
        <v/>
      </c>
      <c r="P934" s="7">
        <f>'1 datos preparados'!O927</f>
        <v/>
      </c>
      <c r="Q934" s="7">
        <f>'1 datos preparados'!P927</f>
        <v/>
      </c>
      <c r="R934" s="7">
        <f>'1 datos preparados'!Q927</f>
        <v/>
      </c>
      <c r="S934" s="7">
        <f>'1 datos preparados'!R927</f>
        <v/>
      </c>
      <c r="T934" s="7">
        <f>'1 datos preparados'!S927</f>
        <v/>
      </c>
      <c r="U934" s="7">
        <f>'1 datos preparados'!T927</f>
        <v/>
      </c>
      <c r="V934" s="8">
        <f>$AE$12+D934*$AE$13+E934*$AE$14+F934*$AE$15+G934*$AE$16+H934*$AE$17+I934*$AE$18+J934*$AE$19+K934*$AE$20+L934*$AE$21+M934*$AE$22+N934*$AE$23+O934*$AE$24+P934*$AE$25+Q934*$AE$26+R934*$AE$27+S934*$AE$28+T934*$AE$29+U934*$AE$30</f>
        <v/>
      </c>
      <c r="W934" s="8">
        <f>1/(1+EXP(-V934))</f>
        <v/>
      </c>
      <c r="X934" s="9">
        <f>-IF(C934=1,LN(W934),LN(1-W934))</f>
        <v/>
      </c>
      <c r="Y934" s="8">
        <f>IF(C934=1,$AE$32,$AE$33)</f>
        <v/>
      </c>
      <c r="Z934" s="9">
        <f>Y934*X934</f>
        <v/>
      </c>
      <c r="AA934" s="10">
        <f>IF(W934&gt;$AE$34,1,0)</f>
        <v/>
      </c>
      <c r="AB934">
        <f>IF(AA934=C934,1,0)</f>
        <v/>
      </c>
    </row>
    <row r="935">
      <c r="A935">
        <f>'1 datos preparados'!A928</f>
        <v/>
      </c>
      <c r="B935" s="5">
        <f>'1 datos preparados'!U928</f>
        <v/>
      </c>
      <c r="C935">
        <f>'1 datos preparados'!B928</f>
        <v/>
      </c>
      <c r="D935" s="7">
        <f>'1 datos preparados'!C928</f>
        <v/>
      </c>
      <c r="E935" s="7">
        <f>'1 datos preparados'!D928</f>
        <v/>
      </c>
      <c r="F935" s="7">
        <f>'1 datos preparados'!E928</f>
        <v/>
      </c>
      <c r="G935" s="7">
        <f>'1 datos preparados'!F928</f>
        <v/>
      </c>
      <c r="H935" s="7">
        <f>'1 datos preparados'!G928</f>
        <v/>
      </c>
      <c r="I935" s="7">
        <f>'1 datos preparados'!H928</f>
        <v/>
      </c>
      <c r="J935" s="7">
        <f>'1 datos preparados'!I928</f>
        <v/>
      </c>
      <c r="K935" s="7">
        <f>'1 datos preparados'!J928</f>
        <v/>
      </c>
      <c r="L935" s="7">
        <f>'1 datos preparados'!K928</f>
        <v/>
      </c>
      <c r="M935" s="7">
        <f>'1 datos preparados'!L928</f>
        <v/>
      </c>
      <c r="N935" s="7">
        <f>'1 datos preparados'!M928</f>
        <v/>
      </c>
      <c r="O935" s="7">
        <f>'1 datos preparados'!N928</f>
        <v/>
      </c>
      <c r="P935" s="7">
        <f>'1 datos preparados'!O928</f>
        <v/>
      </c>
      <c r="Q935" s="7">
        <f>'1 datos preparados'!P928</f>
        <v/>
      </c>
      <c r="R935" s="7">
        <f>'1 datos preparados'!Q928</f>
        <v/>
      </c>
      <c r="S935" s="7">
        <f>'1 datos preparados'!R928</f>
        <v/>
      </c>
      <c r="T935" s="7">
        <f>'1 datos preparados'!S928</f>
        <v/>
      </c>
      <c r="U935" s="7">
        <f>'1 datos preparados'!T928</f>
        <v/>
      </c>
      <c r="V935" s="8">
        <f>$AE$12+D935*$AE$13+E935*$AE$14+F935*$AE$15+G935*$AE$16+H935*$AE$17+I935*$AE$18+J935*$AE$19+K935*$AE$20+L935*$AE$21+M935*$AE$22+N935*$AE$23+O935*$AE$24+P935*$AE$25+Q935*$AE$26+R935*$AE$27+S935*$AE$28+T935*$AE$29+U935*$AE$30</f>
        <v/>
      </c>
      <c r="W935" s="8">
        <f>1/(1+EXP(-V935))</f>
        <v/>
      </c>
      <c r="X935" s="9">
        <f>-IF(C935=1,LN(W935),LN(1-W935))</f>
        <v/>
      </c>
      <c r="Y935" s="8">
        <f>IF(C935=1,$AE$32,$AE$33)</f>
        <v/>
      </c>
      <c r="Z935" s="9">
        <f>Y935*X935</f>
        <v/>
      </c>
      <c r="AA935" s="10">
        <f>IF(W935&gt;$AE$34,1,0)</f>
        <v/>
      </c>
      <c r="AB935">
        <f>IF(AA935=C935,1,0)</f>
        <v/>
      </c>
    </row>
    <row r="936">
      <c r="A936">
        <f>'1 datos preparados'!A929</f>
        <v/>
      </c>
      <c r="B936" s="5">
        <f>'1 datos preparados'!U929</f>
        <v/>
      </c>
      <c r="C936">
        <f>'1 datos preparados'!B929</f>
        <v/>
      </c>
      <c r="D936" s="7">
        <f>'1 datos preparados'!C929</f>
        <v/>
      </c>
      <c r="E936" s="7">
        <f>'1 datos preparados'!D929</f>
        <v/>
      </c>
      <c r="F936" s="7">
        <f>'1 datos preparados'!E929</f>
        <v/>
      </c>
      <c r="G936" s="7">
        <f>'1 datos preparados'!F929</f>
        <v/>
      </c>
      <c r="H936" s="7">
        <f>'1 datos preparados'!G929</f>
        <v/>
      </c>
      <c r="I936" s="7">
        <f>'1 datos preparados'!H929</f>
        <v/>
      </c>
      <c r="J936" s="7">
        <f>'1 datos preparados'!I929</f>
        <v/>
      </c>
      <c r="K936" s="7">
        <f>'1 datos preparados'!J929</f>
        <v/>
      </c>
      <c r="L936" s="7">
        <f>'1 datos preparados'!K929</f>
        <v/>
      </c>
      <c r="M936" s="7">
        <f>'1 datos preparados'!L929</f>
        <v/>
      </c>
      <c r="N936" s="7">
        <f>'1 datos preparados'!M929</f>
        <v/>
      </c>
      <c r="O936" s="7">
        <f>'1 datos preparados'!N929</f>
        <v/>
      </c>
      <c r="P936" s="7">
        <f>'1 datos preparados'!O929</f>
        <v/>
      </c>
      <c r="Q936" s="7">
        <f>'1 datos preparados'!P929</f>
        <v/>
      </c>
      <c r="R936" s="7">
        <f>'1 datos preparados'!Q929</f>
        <v/>
      </c>
      <c r="S936" s="7">
        <f>'1 datos preparados'!R929</f>
        <v/>
      </c>
      <c r="T936" s="7">
        <f>'1 datos preparados'!S929</f>
        <v/>
      </c>
      <c r="U936" s="7">
        <f>'1 datos preparados'!T929</f>
        <v/>
      </c>
      <c r="V936" s="8">
        <f>$AE$12+D936*$AE$13+E936*$AE$14+F936*$AE$15+G936*$AE$16+H936*$AE$17+I936*$AE$18+J936*$AE$19+K936*$AE$20+L936*$AE$21+M936*$AE$22+N936*$AE$23+O936*$AE$24+P936*$AE$25+Q936*$AE$26+R936*$AE$27+S936*$AE$28+T936*$AE$29+U936*$AE$30</f>
        <v/>
      </c>
      <c r="W936" s="8">
        <f>1/(1+EXP(-V936))</f>
        <v/>
      </c>
      <c r="X936" s="9">
        <f>-IF(C936=1,LN(W936),LN(1-W936))</f>
        <v/>
      </c>
      <c r="Y936" s="8">
        <f>IF(C936=1,$AE$32,$AE$33)</f>
        <v/>
      </c>
      <c r="Z936" s="9">
        <f>Y936*X936</f>
        <v/>
      </c>
      <c r="AA936" s="10">
        <f>IF(W936&gt;$AE$34,1,0)</f>
        <v/>
      </c>
      <c r="AB936">
        <f>IF(AA936=C936,1,0)</f>
        <v/>
      </c>
    </row>
    <row r="937">
      <c r="A937">
        <f>'1 datos preparados'!A930</f>
        <v/>
      </c>
      <c r="B937" s="5">
        <f>'1 datos preparados'!U930</f>
        <v/>
      </c>
      <c r="C937">
        <f>'1 datos preparados'!B930</f>
        <v/>
      </c>
      <c r="D937" s="7">
        <f>'1 datos preparados'!C930</f>
        <v/>
      </c>
      <c r="E937" s="7">
        <f>'1 datos preparados'!D930</f>
        <v/>
      </c>
      <c r="F937" s="7">
        <f>'1 datos preparados'!E930</f>
        <v/>
      </c>
      <c r="G937" s="7">
        <f>'1 datos preparados'!F930</f>
        <v/>
      </c>
      <c r="H937" s="7">
        <f>'1 datos preparados'!G930</f>
        <v/>
      </c>
      <c r="I937" s="7">
        <f>'1 datos preparados'!H930</f>
        <v/>
      </c>
      <c r="J937" s="7">
        <f>'1 datos preparados'!I930</f>
        <v/>
      </c>
      <c r="K937" s="7">
        <f>'1 datos preparados'!J930</f>
        <v/>
      </c>
      <c r="L937" s="7">
        <f>'1 datos preparados'!K930</f>
        <v/>
      </c>
      <c r="M937" s="7">
        <f>'1 datos preparados'!L930</f>
        <v/>
      </c>
      <c r="N937" s="7">
        <f>'1 datos preparados'!M930</f>
        <v/>
      </c>
      <c r="O937" s="7">
        <f>'1 datos preparados'!N930</f>
        <v/>
      </c>
      <c r="P937" s="7">
        <f>'1 datos preparados'!O930</f>
        <v/>
      </c>
      <c r="Q937" s="7">
        <f>'1 datos preparados'!P930</f>
        <v/>
      </c>
      <c r="R937" s="7">
        <f>'1 datos preparados'!Q930</f>
        <v/>
      </c>
      <c r="S937" s="7">
        <f>'1 datos preparados'!R930</f>
        <v/>
      </c>
      <c r="T937" s="7">
        <f>'1 datos preparados'!S930</f>
        <v/>
      </c>
      <c r="U937" s="7">
        <f>'1 datos preparados'!T930</f>
        <v/>
      </c>
      <c r="V937" s="8">
        <f>$AE$12+D937*$AE$13+E937*$AE$14+F937*$AE$15+G937*$AE$16+H937*$AE$17+I937*$AE$18+J937*$AE$19+K937*$AE$20+L937*$AE$21+M937*$AE$22+N937*$AE$23+O937*$AE$24+P937*$AE$25+Q937*$AE$26+R937*$AE$27+S937*$AE$28+T937*$AE$29+U937*$AE$30</f>
        <v/>
      </c>
      <c r="W937" s="8">
        <f>1/(1+EXP(-V937))</f>
        <v/>
      </c>
      <c r="X937" s="9">
        <f>-IF(C937=1,LN(W937),LN(1-W937))</f>
        <v/>
      </c>
      <c r="Y937" s="8">
        <f>IF(C937=1,$AE$32,$AE$33)</f>
        <v/>
      </c>
      <c r="Z937" s="9">
        <f>Y937*X937</f>
        <v/>
      </c>
      <c r="AA937" s="10">
        <f>IF(W937&gt;$AE$34,1,0)</f>
        <v/>
      </c>
      <c r="AB937">
        <f>IF(AA937=C937,1,0)</f>
        <v/>
      </c>
    </row>
    <row r="938">
      <c r="A938">
        <f>'1 datos preparados'!A931</f>
        <v/>
      </c>
      <c r="B938" s="5">
        <f>'1 datos preparados'!U931</f>
        <v/>
      </c>
      <c r="C938">
        <f>'1 datos preparados'!B931</f>
        <v/>
      </c>
      <c r="D938" s="7">
        <f>'1 datos preparados'!C931</f>
        <v/>
      </c>
      <c r="E938" s="7">
        <f>'1 datos preparados'!D931</f>
        <v/>
      </c>
      <c r="F938" s="7">
        <f>'1 datos preparados'!E931</f>
        <v/>
      </c>
      <c r="G938" s="7">
        <f>'1 datos preparados'!F931</f>
        <v/>
      </c>
      <c r="H938" s="7">
        <f>'1 datos preparados'!G931</f>
        <v/>
      </c>
      <c r="I938" s="7">
        <f>'1 datos preparados'!H931</f>
        <v/>
      </c>
      <c r="J938" s="7">
        <f>'1 datos preparados'!I931</f>
        <v/>
      </c>
      <c r="K938" s="7">
        <f>'1 datos preparados'!J931</f>
        <v/>
      </c>
      <c r="L938" s="7">
        <f>'1 datos preparados'!K931</f>
        <v/>
      </c>
      <c r="M938" s="7">
        <f>'1 datos preparados'!L931</f>
        <v/>
      </c>
      <c r="N938" s="7">
        <f>'1 datos preparados'!M931</f>
        <v/>
      </c>
      <c r="O938" s="7">
        <f>'1 datos preparados'!N931</f>
        <v/>
      </c>
      <c r="P938" s="7">
        <f>'1 datos preparados'!O931</f>
        <v/>
      </c>
      <c r="Q938" s="7">
        <f>'1 datos preparados'!P931</f>
        <v/>
      </c>
      <c r="R938" s="7">
        <f>'1 datos preparados'!Q931</f>
        <v/>
      </c>
      <c r="S938" s="7">
        <f>'1 datos preparados'!R931</f>
        <v/>
      </c>
      <c r="T938" s="7">
        <f>'1 datos preparados'!S931</f>
        <v/>
      </c>
      <c r="U938" s="7">
        <f>'1 datos preparados'!T931</f>
        <v/>
      </c>
      <c r="V938" s="8">
        <f>$AE$12+D938*$AE$13+E938*$AE$14+F938*$AE$15+G938*$AE$16+H938*$AE$17+I938*$AE$18+J938*$AE$19+K938*$AE$20+L938*$AE$21+M938*$AE$22+N938*$AE$23+O938*$AE$24+P938*$AE$25+Q938*$AE$26+R938*$AE$27+S938*$AE$28+T938*$AE$29+U938*$AE$30</f>
        <v/>
      </c>
      <c r="W938" s="8">
        <f>1/(1+EXP(-V938))</f>
        <v/>
      </c>
      <c r="X938" s="9">
        <f>-IF(C938=1,LN(W938),LN(1-W938))</f>
        <v/>
      </c>
      <c r="Y938" s="8">
        <f>IF(C938=1,$AE$32,$AE$33)</f>
        <v/>
      </c>
      <c r="Z938" s="9">
        <f>Y938*X938</f>
        <v/>
      </c>
      <c r="AA938" s="10">
        <f>IF(W938&gt;$AE$34,1,0)</f>
        <v/>
      </c>
      <c r="AB938">
        <f>IF(AA938=C938,1,0)</f>
        <v/>
      </c>
    </row>
    <row r="939">
      <c r="A939">
        <f>'1 datos preparados'!A932</f>
        <v/>
      </c>
      <c r="B939" s="5">
        <f>'1 datos preparados'!U932</f>
        <v/>
      </c>
      <c r="C939">
        <f>'1 datos preparados'!B932</f>
        <v/>
      </c>
      <c r="D939" s="7">
        <f>'1 datos preparados'!C932</f>
        <v/>
      </c>
      <c r="E939" s="7">
        <f>'1 datos preparados'!D932</f>
        <v/>
      </c>
      <c r="F939" s="7">
        <f>'1 datos preparados'!E932</f>
        <v/>
      </c>
      <c r="G939" s="7">
        <f>'1 datos preparados'!F932</f>
        <v/>
      </c>
      <c r="H939" s="7">
        <f>'1 datos preparados'!G932</f>
        <v/>
      </c>
      <c r="I939" s="7">
        <f>'1 datos preparados'!H932</f>
        <v/>
      </c>
      <c r="J939" s="7">
        <f>'1 datos preparados'!I932</f>
        <v/>
      </c>
      <c r="K939" s="7">
        <f>'1 datos preparados'!J932</f>
        <v/>
      </c>
      <c r="L939" s="7">
        <f>'1 datos preparados'!K932</f>
        <v/>
      </c>
      <c r="M939" s="7">
        <f>'1 datos preparados'!L932</f>
        <v/>
      </c>
      <c r="N939" s="7">
        <f>'1 datos preparados'!M932</f>
        <v/>
      </c>
      <c r="O939" s="7">
        <f>'1 datos preparados'!N932</f>
        <v/>
      </c>
      <c r="P939" s="7">
        <f>'1 datos preparados'!O932</f>
        <v/>
      </c>
      <c r="Q939" s="7">
        <f>'1 datos preparados'!P932</f>
        <v/>
      </c>
      <c r="R939" s="7">
        <f>'1 datos preparados'!Q932</f>
        <v/>
      </c>
      <c r="S939" s="7">
        <f>'1 datos preparados'!R932</f>
        <v/>
      </c>
      <c r="T939" s="7">
        <f>'1 datos preparados'!S932</f>
        <v/>
      </c>
      <c r="U939" s="7">
        <f>'1 datos preparados'!T932</f>
        <v/>
      </c>
      <c r="V939" s="8">
        <f>$AE$12+D939*$AE$13+E939*$AE$14+F939*$AE$15+G939*$AE$16+H939*$AE$17+I939*$AE$18+J939*$AE$19+K939*$AE$20+L939*$AE$21+M939*$AE$22+N939*$AE$23+O939*$AE$24+P939*$AE$25+Q939*$AE$26+R939*$AE$27+S939*$AE$28+T939*$AE$29+U939*$AE$30</f>
        <v/>
      </c>
      <c r="W939" s="8">
        <f>1/(1+EXP(-V939))</f>
        <v/>
      </c>
      <c r="X939" s="9">
        <f>-IF(C939=1,LN(W939),LN(1-W939))</f>
        <v/>
      </c>
      <c r="Y939" s="8">
        <f>IF(C939=1,$AE$32,$AE$33)</f>
        <v/>
      </c>
      <c r="Z939" s="9">
        <f>Y939*X939</f>
        <v/>
      </c>
      <c r="AA939" s="10">
        <f>IF(W939&gt;$AE$34,1,0)</f>
        <v/>
      </c>
      <c r="AB939">
        <f>IF(AA939=C939,1,0)</f>
        <v/>
      </c>
    </row>
    <row r="940">
      <c r="A940">
        <f>'1 datos preparados'!A933</f>
        <v/>
      </c>
      <c r="B940" s="5">
        <f>'1 datos preparados'!U933</f>
        <v/>
      </c>
      <c r="C940">
        <f>'1 datos preparados'!B933</f>
        <v/>
      </c>
      <c r="D940" s="7">
        <f>'1 datos preparados'!C933</f>
        <v/>
      </c>
      <c r="E940" s="7">
        <f>'1 datos preparados'!D933</f>
        <v/>
      </c>
      <c r="F940" s="7">
        <f>'1 datos preparados'!E933</f>
        <v/>
      </c>
      <c r="G940" s="7">
        <f>'1 datos preparados'!F933</f>
        <v/>
      </c>
      <c r="H940" s="7">
        <f>'1 datos preparados'!G933</f>
        <v/>
      </c>
      <c r="I940" s="7">
        <f>'1 datos preparados'!H933</f>
        <v/>
      </c>
      <c r="J940" s="7">
        <f>'1 datos preparados'!I933</f>
        <v/>
      </c>
      <c r="K940" s="7">
        <f>'1 datos preparados'!J933</f>
        <v/>
      </c>
      <c r="L940" s="7">
        <f>'1 datos preparados'!K933</f>
        <v/>
      </c>
      <c r="M940" s="7">
        <f>'1 datos preparados'!L933</f>
        <v/>
      </c>
      <c r="N940" s="7">
        <f>'1 datos preparados'!M933</f>
        <v/>
      </c>
      <c r="O940" s="7">
        <f>'1 datos preparados'!N933</f>
        <v/>
      </c>
      <c r="P940" s="7">
        <f>'1 datos preparados'!O933</f>
        <v/>
      </c>
      <c r="Q940" s="7">
        <f>'1 datos preparados'!P933</f>
        <v/>
      </c>
      <c r="R940" s="7">
        <f>'1 datos preparados'!Q933</f>
        <v/>
      </c>
      <c r="S940" s="7">
        <f>'1 datos preparados'!R933</f>
        <v/>
      </c>
      <c r="T940" s="7">
        <f>'1 datos preparados'!S933</f>
        <v/>
      </c>
      <c r="U940" s="7">
        <f>'1 datos preparados'!T933</f>
        <v/>
      </c>
      <c r="V940" s="8">
        <f>$AE$12+D940*$AE$13+E940*$AE$14+F940*$AE$15+G940*$AE$16+H940*$AE$17+I940*$AE$18+J940*$AE$19+K940*$AE$20+L940*$AE$21+M940*$AE$22+N940*$AE$23+O940*$AE$24+P940*$AE$25+Q940*$AE$26+R940*$AE$27+S940*$AE$28+T940*$AE$29+U940*$AE$30</f>
        <v/>
      </c>
      <c r="W940" s="8">
        <f>1/(1+EXP(-V940))</f>
        <v/>
      </c>
      <c r="X940" s="9">
        <f>-IF(C940=1,LN(W940),LN(1-W940))</f>
        <v/>
      </c>
      <c r="Y940" s="8">
        <f>IF(C940=1,$AE$32,$AE$33)</f>
        <v/>
      </c>
      <c r="Z940" s="9">
        <f>Y940*X940</f>
        <v/>
      </c>
      <c r="AA940" s="10">
        <f>IF(W940&gt;$AE$34,1,0)</f>
        <v/>
      </c>
      <c r="AB940">
        <f>IF(AA940=C940,1,0)</f>
        <v/>
      </c>
    </row>
    <row r="941">
      <c r="A941">
        <f>'1 datos preparados'!A934</f>
        <v/>
      </c>
      <c r="B941" s="5">
        <f>'1 datos preparados'!U934</f>
        <v/>
      </c>
      <c r="C941">
        <f>'1 datos preparados'!B934</f>
        <v/>
      </c>
      <c r="D941" s="7">
        <f>'1 datos preparados'!C934</f>
        <v/>
      </c>
      <c r="E941" s="7">
        <f>'1 datos preparados'!D934</f>
        <v/>
      </c>
      <c r="F941" s="7">
        <f>'1 datos preparados'!E934</f>
        <v/>
      </c>
      <c r="G941" s="7">
        <f>'1 datos preparados'!F934</f>
        <v/>
      </c>
      <c r="H941" s="7">
        <f>'1 datos preparados'!G934</f>
        <v/>
      </c>
      <c r="I941" s="7">
        <f>'1 datos preparados'!H934</f>
        <v/>
      </c>
      <c r="J941" s="7">
        <f>'1 datos preparados'!I934</f>
        <v/>
      </c>
      <c r="K941" s="7">
        <f>'1 datos preparados'!J934</f>
        <v/>
      </c>
      <c r="L941" s="7">
        <f>'1 datos preparados'!K934</f>
        <v/>
      </c>
      <c r="M941" s="7">
        <f>'1 datos preparados'!L934</f>
        <v/>
      </c>
      <c r="N941" s="7">
        <f>'1 datos preparados'!M934</f>
        <v/>
      </c>
      <c r="O941" s="7">
        <f>'1 datos preparados'!N934</f>
        <v/>
      </c>
      <c r="P941" s="7">
        <f>'1 datos preparados'!O934</f>
        <v/>
      </c>
      <c r="Q941" s="7">
        <f>'1 datos preparados'!P934</f>
        <v/>
      </c>
      <c r="R941" s="7">
        <f>'1 datos preparados'!Q934</f>
        <v/>
      </c>
      <c r="S941" s="7">
        <f>'1 datos preparados'!R934</f>
        <v/>
      </c>
      <c r="T941" s="7">
        <f>'1 datos preparados'!S934</f>
        <v/>
      </c>
      <c r="U941" s="7">
        <f>'1 datos preparados'!T934</f>
        <v/>
      </c>
      <c r="V941" s="8">
        <f>$AE$12+D941*$AE$13+E941*$AE$14+F941*$AE$15+G941*$AE$16+H941*$AE$17+I941*$AE$18+J941*$AE$19+K941*$AE$20+L941*$AE$21+M941*$AE$22+N941*$AE$23+O941*$AE$24+P941*$AE$25+Q941*$AE$26+R941*$AE$27+S941*$AE$28+T941*$AE$29+U941*$AE$30</f>
        <v/>
      </c>
      <c r="W941" s="8">
        <f>1/(1+EXP(-V941))</f>
        <v/>
      </c>
      <c r="X941" s="9">
        <f>-IF(C941=1,LN(W941),LN(1-W941))</f>
        <v/>
      </c>
      <c r="Y941" s="8">
        <f>IF(C941=1,$AE$32,$AE$33)</f>
        <v/>
      </c>
      <c r="Z941" s="9">
        <f>Y941*X941</f>
        <v/>
      </c>
      <c r="AA941" s="10">
        <f>IF(W941&gt;$AE$34,1,0)</f>
        <v/>
      </c>
      <c r="AB941">
        <f>IF(AA941=C941,1,0)</f>
        <v/>
      </c>
    </row>
    <row r="942">
      <c r="A942">
        <f>'1 datos preparados'!A935</f>
        <v/>
      </c>
      <c r="B942" s="5">
        <f>'1 datos preparados'!U935</f>
        <v/>
      </c>
      <c r="C942">
        <f>'1 datos preparados'!B935</f>
        <v/>
      </c>
      <c r="D942" s="7">
        <f>'1 datos preparados'!C935</f>
        <v/>
      </c>
      <c r="E942" s="7">
        <f>'1 datos preparados'!D935</f>
        <v/>
      </c>
      <c r="F942" s="7">
        <f>'1 datos preparados'!E935</f>
        <v/>
      </c>
      <c r="G942" s="7">
        <f>'1 datos preparados'!F935</f>
        <v/>
      </c>
      <c r="H942" s="7">
        <f>'1 datos preparados'!G935</f>
        <v/>
      </c>
      <c r="I942" s="7">
        <f>'1 datos preparados'!H935</f>
        <v/>
      </c>
      <c r="J942" s="7">
        <f>'1 datos preparados'!I935</f>
        <v/>
      </c>
      <c r="K942" s="7">
        <f>'1 datos preparados'!J935</f>
        <v/>
      </c>
      <c r="L942" s="7">
        <f>'1 datos preparados'!K935</f>
        <v/>
      </c>
      <c r="M942" s="7">
        <f>'1 datos preparados'!L935</f>
        <v/>
      </c>
      <c r="N942" s="7">
        <f>'1 datos preparados'!M935</f>
        <v/>
      </c>
      <c r="O942" s="7">
        <f>'1 datos preparados'!N935</f>
        <v/>
      </c>
      <c r="P942" s="7">
        <f>'1 datos preparados'!O935</f>
        <v/>
      </c>
      <c r="Q942" s="7">
        <f>'1 datos preparados'!P935</f>
        <v/>
      </c>
      <c r="R942" s="7">
        <f>'1 datos preparados'!Q935</f>
        <v/>
      </c>
      <c r="S942" s="7">
        <f>'1 datos preparados'!R935</f>
        <v/>
      </c>
      <c r="T942" s="7">
        <f>'1 datos preparados'!S935</f>
        <v/>
      </c>
      <c r="U942" s="7">
        <f>'1 datos preparados'!T935</f>
        <v/>
      </c>
      <c r="V942" s="8">
        <f>$AE$12+D942*$AE$13+E942*$AE$14+F942*$AE$15+G942*$AE$16+H942*$AE$17+I942*$AE$18+J942*$AE$19+K942*$AE$20+L942*$AE$21+M942*$AE$22+N942*$AE$23+O942*$AE$24+P942*$AE$25+Q942*$AE$26+R942*$AE$27+S942*$AE$28+T942*$AE$29+U942*$AE$30</f>
        <v/>
      </c>
      <c r="W942" s="8">
        <f>1/(1+EXP(-V942))</f>
        <v/>
      </c>
      <c r="X942" s="9">
        <f>-IF(C942=1,LN(W942),LN(1-W942))</f>
        <v/>
      </c>
      <c r="Y942" s="8">
        <f>IF(C942=1,$AE$32,$AE$33)</f>
        <v/>
      </c>
      <c r="Z942" s="9">
        <f>Y942*X942</f>
        <v/>
      </c>
      <c r="AA942" s="10">
        <f>IF(W942&gt;$AE$34,1,0)</f>
        <v/>
      </c>
      <c r="AB942">
        <f>IF(AA942=C942,1,0)</f>
        <v/>
      </c>
    </row>
    <row r="943">
      <c r="A943">
        <f>'1 datos preparados'!A936</f>
        <v/>
      </c>
      <c r="B943" s="5">
        <f>'1 datos preparados'!U936</f>
        <v/>
      </c>
      <c r="C943">
        <f>'1 datos preparados'!B936</f>
        <v/>
      </c>
      <c r="D943" s="7">
        <f>'1 datos preparados'!C936</f>
        <v/>
      </c>
      <c r="E943" s="7">
        <f>'1 datos preparados'!D936</f>
        <v/>
      </c>
      <c r="F943" s="7">
        <f>'1 datos preparados'!E936</f>
        <v/>
      </c>
      <c r="G943" s="7">
        <f>'1 datos preparados'!F936</f>
        <v/>
      </c>
      <c r="H943" s="7">
        <f>'1 datos preparados'!G936</f>
        <v/>
      </c>
      <c r="I943" s="7">
        <f>'1 datos preparados'!H936</f>
        <v/>
      </c>
      <c r="J943" s="7">
        <f>'1 datos preparados'!I936</f>
        <v/>
      </c>
      <c r="K943" s="7">
        <f>'1 datos preparados'!J936</f>
        <v/>
      </c>
      <c r="L943" s="7">
        <f>'1 datos preparados'!K936</f>
        <v/>
      </c>
      <c r="M943" s="7">
        <f>'1 datos preparados'!L936</f>
        <v/>
      </c>
      <c r="N943" s="7">
        <f>'1 datos preparados'!M936</f>
        <v/>
      </c>
      <c r="O943" s="7">
        <f>'1 datos preparados'!N936</f>
        <v/>
      </c>
      <c r="P943" s="7">
        <f>'1 datos preparados'!O936</f>
        <v/>
      </c>
      <c r="Q943" s="7">
        <f>'1 datos preparados'!P936</f>
        <v/>
      </c>
      <c r="R943" s="7">
        <f>'1 datos preparados'!Q936</f>
        <v/>
      </c>
      <c r="S943" s="7">
        <f>'1 datos preparados'!R936</f>
        <v/>
      </c>
      <c r="T943" s="7">
        <f>'1 datos preparados'!S936</f>
        <v/>
      </c>
      <c r="U943" s="7">
        <f>'1 datos preparados'!T936</f>
        <v/>
      </c>
      <c r="V943" s="8">
        <f>$AE$12+D943*$AE$13+E943*$AE$14+F943*$AE$15+G943*$AE$16+H943*$AE$17+I943*$AE$18+J943*$AE$19+K943*$AE$20+L943*$AE$21+M943*$AE$22+N943*$AE$23+O943*$AE$24+P943*$AE$25+Q943*$AE$26+R943*$AE$27+S943*$AE$28+T943*$AE$29+U943*$AE$30</f>
        <v/>
      </c>
      <c r="W943" s="8">
        <f>1/(1+EXP(-V943))</f>
        <v/>
      </c>
      <c r="X943" s="9">
        <f>-IF(C943=1,LN(W943),LN(1-W943))</f>
        <v/>
      </c>
      <c r="Y943" s="8">
        <f>IF(C943=1,$AE$32,$AE$33)</f>
        <v/>
      </c>
      <c r="Z943" s="9">
        <f>Y943*X943</f>
        <v/>
      </c>
      <c r="AA943" s="10">
        <f>IF(W943&gt;$AE$34,1,0)</f>
        <v/>
      </c>
      <c r="AB943">
        <f>IF(AA943=C943,1,0)</f>
        <v/>
      </c>
    </row>
    <row r="944">
      <c r="A944">
        <f>'1 datos preparados'!A937</f>
        <v/>
      </c>
      <c r="B944" s="5">
        <f>'1 datos preparados'!U937</f>
        <v/>
      </c>
      <c r="C944">
        <f>'1 datos preparados'!B937</f>
        <v/>
      </c>
      <c r="D944" s="7">
        <f>'1 datos preparados'!C937</f>
        <v/>
      </c>
      <c r="E944" s="7">
        <f>'1 datos preparados'!D937</f>
        <v/>
      </c>
      <c r="F944" s="7">
        <f>'1 datos preparados'!E937</f>
        <v/>
      </c>
      <c r="G944" s="7">
        <f>'1 datos preparados'!F937</f>
        <v/>
      </c>
      <c r="H944" s="7">
        <f>'1 datos preparados'!G937</f>
        <v/>
      </c>
      <c r="I944" s="7">
        <f>'1 datos preparados'!H937</f>
        <v/>
      </c>
      <c r="J944" s="7">
        <f>'1 datos preparados'!I937</f>
        <v/>
      </c>
      <c r="K944" s="7">
        <f>'1 datos preparados'!J937</f>
        <v/>
      </c>
      <c r="L944" s="7">
        <f>'1 datos preparados'!K937</f>
        <v/>
      </c>
      <c r="M944" s="7">
        <f>'1 datos preparados'!L937</f>
        <v/>
      </c>
      <c r="N944" s="7">
        <f>'1 datos preparados'!M937</f>
        <v/>
      </c>
      <c r="O944" s="7">
        <f>'1 datos preparados'!N937</f>
        <v/>
      </c>
      <c r="P944" s="7">
        <f>'1 datos preparados'!O937</f>
        <v/>
      </c>
      <c r="Q944" s="7">
        <f>'1 datos preparados'!P937</f>
        <v/>
      </c>
      <c r="R944" s="7">
        <f>'1 datos preparados'!Q937</f>
        <v/>
      </c>
      <c r="S944" s="7">
        <f>'1 datos preparados'!R937</f>
        <v/>
      </c>
      <c r="T944" s="7">
        <f>'1 datos preparados'!S937</f>
        <v/>
      </c>
      <c r="U944" s="7">
        <f>'1 datos preparados'!T937</f>
        <v/>
      </c>
      <c r="V944" s="8">
        <f>$AE$12+D944*$AE$13+E944*$AE$14+F944*$AE$15+G944*$AE$16+H944*$AE$17+I944*$AE$18+J944*$AE$19+K944*$AE$20+L944*$AE$21+M944*$AE$22+N944*$AE$23+O944*$AE$24+P944*$AE$25+Q944*$AE$26+R944*$AE$27+S944*$AE$28+T944*$AE$29+U944*$AE$30</f>
        <v/>
      </c>
      <c r="W944" s="8">
        <f>1/(1+EXP(-V944))</f>
        <v/>
      </c>
      <c r="X944" s="9">
        <f>-IF(C944=1,LN(W944),LN(1-W944))</f>
        <v/>
      </c>
      <c r="Y944" s="8">
        <f>IF(C944=1,$AE$32,$AE$33)</f>
        <v/>
      </c>
      <c r="Z944" s="9">
        <f>Y944*X944</f>
        <v/>
      </c>
      <c r="AA944" s="10">
        <f>IF(W944&gt;$AE$34,1,0)</f>
        <v/>
      </c>
      <c r="AB944">
        <f>IF(AA944=C944,1,0)</f>
        <v/>
      </c>
    </row>
    <row r="945">
      <c r="A945">
        <f>'1 datos preparados'!A938</f>
        <v/>
      </c>
      <c r="B945" s="5">
        <f>'1 datos preparados'!U938</f>
        <v/>
      </c>
      <c r="C945">
        <f>'1 datos preparados'!B938</f>
        <v/>
      </c>
      <c r="D945" s="7">
        <f>'1 datos preparados'!C938</f>
        <v/>
      </c>
      <c r="E945" s="7">
        <f>'1 datos preparados'!D938</f>
        <v/>
      </c>
      <c r="F945" s="7">
        <f>'1 datos preparados'!E938</f>
        <v/>
      </c>
      <c r="G945" s="7">
        <f>'1 datos preparados'!F938</f>
        <v/>
      </c>
      <c r="H945" s="7">
        <f>'1 datos preparados'!G938</f>
        <v/>
      </c>
      <c r="I945" s="7">
        <f>'1 datos preparados'!H938</f>
        <v/>
      </c>
      <c r="J945" s="7">
        <f>'1 datos preparados'!I938</f>
        <v/>
      </c>
      <c r="K945" s="7">
        <f>'1 datos preparados'!J938</f>
        <v/>
      </c>
      <c r="L945" s="7">
        <f>'1 datos preparados'!K938</f>
        <v/>
      </c>
      <c r="M945" s="7">
        <f>'1 datos preparados'!L938</f>
        <v/>
      </c>
      <c r="N945" s="7">
        <f>'1 datos preparados'!M938</f>
        <v/>
      </c>
      <c r="O945" s="7">
        <f>'1 datos preparados'!N938</f>
        <v/>
      </c>
      <c r="P945" s="7">
        <f>'1 datos preparados'!O938</f>
        <v/>
      </c>
      <c r="Q945" s="7">
        <f>'1 datos preparados'!P938</f>
        <v/>
      </c>
      <c r="R945" s="7">
        <f>'1 datos preparados'!Q938</f>
        <v/>
      </c>
      <c r="S945" s="7">
        <f>'1 datos preparados'!R938</f>
        <v/>
      </c>
      <c r="T945" s="7">
        <f>'1 datos preparados'!S938</f>
        <v/>
      </c>
      <c r="U945" s="7">
        <f>'1 datos preparados'!T938</f>
        <v/>
      </c>
      <c r="V945" s="8">
        <f>$AE$12+D945*$AE$13+E945*$AE$14+F945*$AE$15+G945*$AE$16+H945*$AE$17+I945*$AE$18+J945*$AE$19+K945*$AE$20+L945*$AE$21+M945*$AE$22+N945*$AE$23+O945*$AE$24+P945*$AE$25+Q945*$AE$26+R945*$AE$27+S945*$AE$28+T945*$AE$29+U945*$AE$30</f>
        <v/>
      </c>
      <c r="W945" s="8">
        <f>1/(1+EXP(-V945))</f>
        <v/>
      </c>
      <c r="X945" s="9">
        <f>-IF(C945=1,LN(W945),LN(1-W945))</f>
        <v/>
      </c>
      <c r="Y945" s="8">
        <f>IF(C945=1,$AE$32,$AE$33)</f>
        <v/>
      </c>
      <c r="Z945" s="9">
        <f>Y945*X945</f>
        <v/>
      </c>
      <c r="AA945" s="10">
        <f>IF(W945&gt;$AE$34,1,0)</f>
        <v/>
      </c>
      <c r="AB945">
        <f>IF(AA945=C945,1,0)</f>
        <v/>
      </c>
    </row>
    <row r="946">
      <c r="A946">
        <f>'1 datos preparados'!A939</f>
        <v/>
      </c>
      <c r="B946" s="5">
        <f>'1 datos preparados'!U939</f>
        <v/>
      </c>
      <c r="C946">
        <f>'1 datos preparados'!B939</f>
        <v/>
      </c>
      <c r="D946" s="7">
        <f>'1 datos preparados'!C939</f>
        <v/>
      </c>
      <c r="E946" s="7">
        <f>'1 datos preparados'!D939</f>
        <v/>
      </c>
      <c r="F946" s="7">
        <f>'1 datos preparados'!E939</f>
        <v/>
      </c>
      <c r="G946" s="7">
        <f>'1 datos preparados'!F939</f>
        <v/>
      </c>
      <c r="H946" s="7">
        <f>'1 datos preparados'!G939</f>
        <v/>
      </c>
      <c r="I946" s="7">
        <f>'1 datos preparados'!H939</f>
        <v/>
      </c>
      <c r="J946" s="7">
        <f>'1 datos preparados'!I939</f>
        <v/>
      </c>
      <c r="K946" s="7">
        <f>'1 datos preparados'!J939</f>
        <v/>
      </c>
      <c r="L946" s="7">
        <f>'1 datos preparados'!K939</f>
        <v/>
      </c>
      <c r="M946" s="7">
        <f>'1 datos preparados'!L939</f>
        <v/>
      </c>
      <c r="N946" s="7">
        <f>'1 datos preparados'!M939</f>
        <v/>
      </c>
      <c r="O946" s="7">
        <f>'1 datos preparados'!N939</f>
        <v/>
      </c>
      <c r="P946" s="7">
        <f>'1 datos preparados'!O939</f>
        <v/>
      </c>
      <c r="Q946" s="7">
        <f>'1 datos preparados'!P939</f>
        <v/>
      </c>
      <c r="R946" s="7">
        <f>'1 datos preparados'!Q939</f>
        <v/>
      </c>
      <c r="S946" s="7">
        <f>'1 datos preparados'!R939</f>
        <v/>
      </c>
      <c r="T946" s="7">
        <f>'1 datos preparados'!S939</f>
        <v/>
      </c>
      <c r="U946" s="7">
        <f>'1 datos preparados'!T939</f>
        <v/>
      </c>
      <c r="V946" s="8">
        <f>$AE$12+D946*$AE$13+E946*$AE$14+F946*$AE$15+G946*$AE$16+H946*$AE$17+I946*$AE$18+J946*$AE$19+K946*$AE$20+L946*$AE$21+M946*$AE$22+N946*$AE$23+O946*$AE$24+P946*$AE$25+Q946*$AE$26+R946*$AE$27+S946*$AE$28+T946*$AE$29+U946*$AE$30</f>
        <v/>
      </c>
      <c r="W946" s="8">
        <f>1/(1+EXP(-V946))</f>
        <v/>
      </c>
      <c r="X946" s="9">
        <f>-IF(C946=1,LN(W946),LN(1-W946))</f>
        <v/>
      </c>
      <c r="Y946" s="8">
        <f>IF(C946=1,$AE$32,$AE$33)</f>
        <v/>
      </c>
      <c r="Z946" s="9">
        <f>Y946*X946</f>
        <v/>
      </c>
      <c r="AA946" s="10">
        <f>IF(W946&gt;$AE$34,1,0)</f>
        <v/>
      </c>
      <c r="AB946">
        <f>IF(AA946=C946,1,0)</f>
        <v/>
      </c>
    </row>
    <row r="947">
      <c r="A947">
        <f>'1 datos preparados'!A940</f>
        <v/>
      </c>
      <c r="B947" s="5">
        <f>'1 datos preparados'!U940</f>
        <v/>
      </c>
      <c r="C947">
        <f>'1 datos preparados'!B940</f>
        <v/>
      </c>
      <c r="D947" s="7">
        <f>'1 datos preparados'!C940</f>
        <v/>
      </c>
      <c r="E947" s="7">
        <f>'1 datos preparados'!D940</f>
        <v/>
      </c>
      <c r="F947" s="7">
        <f>'1 datos preparados'!E940</f>
        <v/>
      </c>
      <c r="G947" s="7">
        <f>'1 datos preparados'!F940</f>
        <v/>
      </c>
      <c r="H947" s="7">
        <f>'1 datos preparados'!G940</f>
        <v/>
      </c>
      <c r="I947" s="7">
        <f>'1 datos preparados'!H940</f>
        <v/>
      </c>
      <c r="J947" s="7">
        <f>'1 datos preparados'!I940</f>
        <v/>
      </c>
      <c r="K947" s="7">
        <f>'1 datos preparados'!J940</f>
        <v/>
      </c>
      <c r="L947" s="7">
        <f>'1 datos preparados'!K940</f>
        <v/>
      </c>
      <c r="M947" s="7">
        <f>'1 datos preparados'!L940</f>
        <v/>
      </c>
      <c r="N947" s="7">
        <f>'1 datos preparados'!M940</f>
        <v/>
      </c>
      <c r="O947" s="7">
        <f>'1 datos preparados'!N940</f>
        <v/>
      </c>
      <c r="P947" s="7">
        <f>'1 datos preparados'!O940</f>
        <v/>
      </c>
      <c r="Q947" s="7">
        <f>'1 datos preparados'!P940</f>
        <v/>
      </c>
      <c r="R947" s="7">
        <f>'1 datos preparados'!Q940</f>
        <v/>
      </c>
      <c r="S947" s="7">
        <f>'1 datos preparados'!R940</f>
        <v/>
      </c>
      <c r="T947" s="7">
        <f>'1 datos preparados'!S940</f>
        <v/>
      </c>
      <c r="U947" s="7">
        <f>'1 datos preparados'!T940</f>
        <v/>
      </c>
      <c r="V947" s="8">
        <f>$AE$12+D947*$AE$13+E947*$AE$14+F947*$AE$15+G947*$AE$16+H947*$AE$17+I947*$AE$18+J947*$AE$19+K947*$AE$20+L947*$AE$21+M947*$AE$22+N947*$AE$23+O947*$AE$24+P947*$AE$25+Q947*$AE$26+R947*$AE$27+S947*$AE$28+T947*$AE$29+U947*$AE$30</f>
        <v/>
      </c>
      <c r="W947" s="8">
        <f>1/(1+EXP(-V947))</f>
        <v/>
      </c>
      <c r="X947" s="9">
        <f>-IF(C947=1,LN(W947),LN(1-W947))</f>
        <v/>
      </c>
      <c r="Y947" s="8">
        <f>IF(C947=1,$AE$32,$AE$33)</f>
        <v/>
      </c>
      <c r="Z947" s="9">
        <f>Y947*X947</f>
        <v/>
      </c>
      <c r="AA947" s="10">
        <f>IF(W947&gt;$AE$34,1,0)</f>
        <v/>
      </c>
      <c r="AB947">
        <f>IF(AA947=C947,1,0)</f>
        <v/>
      </c>
    </row>
    <row r="948">
      <c r="A948">
        <f>'1 datos preparados'!A941</f>
        <v/>
      </c>
      <c r="B948" s="5">
        <f>'1 datos preparados'!U941</f>
        <v/>
      </c>
      <c r="C948">
        <f>'1 datos preparados'!B941</f>
        <v/>
      </c>
      <c r="D948" s="7">
        <f>'1 datos preparados'!C941</f>
        <v/>
      </c>
      <c r="E948" s="7">
        <f>'1 datos preparados'!D941</f>
        <v/>
      </c>
      <c r="F948" s="7">
        <f>'1 datos preparados'!E941</f>
        <v/>
      </c>
      <c r="G948" s="7">
        <f>'1 datos preparados'!F941</f>
        <v/>
      </c>
      <c r="H948" s="7">
        <f>'1 datos preparados'!G941</f>
        <v/>
      </c>
      <c r="I948" s="7">
        <f>'1 datos preparados'!H941</f>
        <v/>
      </c>
      <c r="J948" s="7">
        <f>'1 datos preparados'!I941</f>
        <v/>
      </c>
      <c r="K948" s="7">
        <f>'1 datos preparados'!J941</f>
        <v/>
      </c>
      <c r="L948" s="7">
        <f>'1 datos preparados'!K941</f>
        <v/>
      </c>
      <c r="M948" s="7">
        <f>'1 datos preparados'!L941</f>
        <v/>
      </c>
      <c r="N948" s="7">
        <f>'1 datos preparados'!M941</f>
        <v/>
      </c>
      <c r="O948" s="7">
        <f>'1 datos preparados'!N941</f>
        <v/>
      </c>
      <c r="P948" s="7">
        <f>'1 datos preparados'!O941</f>
        <v/>
      </c>
      <c r="Q948" s="7">
        <f>'1 datos preparados'!P941</f>
        <v/>
      </c>
      <c r="R948" s="7">
        <f>'1 datos preparados'!Q941</f>
        <v/>
      </c>
      <c r="S948" s="7">
        <f>'1 datos preparados'!R941</f>
        <v/>
      </c>
      <c r="T948" s="7">
        <f>'1 datos preparados'!S941</f>
        <v/>
      </c>
      <c r="U948" s="7">
        <f>'1 datos preparados'!T941</f>
        <v/>
      </c>
      <c r="V948" s="8">
        <f>$AE$12+D948*$AE$13+E948*$AE$14+F948*$AE$15+G948*$AE$16+H948*$AE$17+I948*$AE$18+J948*$AE$19+K948*$AE$20+L948*$AE$21+M948*$AE$22+N948*$AE$23+O948*$AE$24+P948*$AE$25+Q948*$AE$26+R948*$AE$27+S948*$AE$28+T948*$AE$29+U948*$AE$30</f>
        <v/>
      </c>
      <c r="W948" s="8">
        <f>1/(1+EXP(-V948))</f>
        <v/>
      </c>
      <c r="X948" s="9">
        <f>-IF(C948=1,LN(W948),LN(1-W948))</f>
        <v/>
      </c>
      <c r="Y948" s="8">
        <f>IF(C948=1,$AE$32,$AE$33)</f>
        <v/>
      </c>
      <c r="Z948" s="9">
        <f>Y948*X948</f>
        <v/>
      </c>
      <c r="AA948" s="10">
        <f>IF(W948&gt;$AE$34,1,0)</f>
        <v/>
      </c>
      <c r="AB948">
        <f>IF(AA948=C948,1,0)</f>
        <v/>
      </c>
    </row>
    <row r="949">
      <c r="A949">
        <f>'1 datos preparados'!A942</f>
        <v/>
      </c>
      <c r="B949" s="5">
        <f>'1 datos preparados'!U942</f>
        <v/>
      </c>
      <c r="C949">
        <f>'1 datos preparados'!B942</f>
        <v/>
      </c>
      <c r="D949" s="7">
        <f>'1 datos preparados'!C942</f>
        <v/>
      </c>
      <c r="E949" s="7">
        <f>'1 datos preparados'!D942</f>
        <v/>
      </c>
      <c r="F949" s="7">
        <f>'1 datos preparados'!E942</f>
        <v/>
      </c>
      <c r="G949" s="7">
        <f>'1 datos preparados'!F942</f>
        <v/>
      </c>
      <c r="H949" s="7">
        <f>'1 datos preparados'!G942</f>
        <v/>
      </c>
      <c r="I949" s="7">
        <f>'1 datos preparados'!H942</f>
        <v/>
      </c>
      <c r="J949" s="7">
        <f>'1 datos preparados'!I942</f>
        <v/>
      </c>
      <c r="K949" s="7">
        <f>'1 datos preparados'!J942</f>
        <v/>
      </c>
      <c r="L949" s="7">
        <f>'1 datos preparados'!K942</f>
        <v/>
      </c>
      <c r="M949" s="7">
        <f>'1 datos preparados'!L942</f>
        <v/>
      </c>
      <c r="N949" s="7">
        <f>'1 datos preparados'!M942</f>
        <v/>
      </c>
      <c r="O949" s="7">
        <f>'1 datos preparados'!N942</f>
        <v/>
      </c>
      <c r="P949" s="7">
        <f>'1 datos preparados'!O942</f>
        <v/>
      </c>
      <c r="Q949" s="7">
        <f>'1 datos preparados'!P942</f>
        <v/>
      </c>
      <c r="R949" s="7">
        <f>'1 datos preparados'!Q942</f>
        <v/>
      </c>
      <c r="S949" s="7">
        <f>'1 datos preparados'!R942</f>
        <v/>
      </c>
      <c r="T949" s="7">
        <f>'1 datos preparados'!S942</f>
        <v/>
      </c>
      <c r="U949" s="7">
        <f>'1 datos preparados'!T942</f>
        <v/>
      </c>
      <c r="V949" s="8">
        <f>$AE$12+D949*$AE$13+E949*$AE$14+F949*$AE$15+G949*$AE$16+H949*$AE$17+I949*$AE$18+J949*$AE$19+K949*$AE$20+L949*$AE$21+M949*$AE$22+N949*$AE$23+O949*$AE$24+P949*$AE$25+Q949*$AE$26+R949*$AE$27+S949*$AE$28+T949*$AE$29+U949*$AE$30</f>
        <v/>
      </c>
      <c r="W949" s="8">
        <f>1/(1+EXP(-V949))</f>
        <v/>
      </c>
      <c r="X949" s="9">
        <f>-IF(C949=1,LN(W949),LN(1-W949))</f>
        <v/>
      </c>
      <c r="Y949" s="8">
        <f>IF(C949=1,$AE$32,$AE$33)</f>
        <v/>
      </c>
      <c r="Z949" s="9">
        <f>Y949*X949</f>
        <v/>
      </c>
      <c r="AA949" s="10">
        <f>IF(W949&gt;$AE$34,1,0)</f>
        <v/>
      </c>
      <c r="AB949">
        <f>IF(AA949=C949,1,0)</f>
        <v/>
      </c>
    </row>
    <row r="950">
      <c r="A950">
        <f>'1 datos preparados'!A943</f>
        <v/>
      </c>
      <c r="B950" s="5">
        <f>'1 datos preparados'!U943</f>
        <v/>
      </c>
      <c r="C950">
        <f>'1 datos preparados'!B943</f>
        <v/>
      </c>
      <c r="D950" s="7">
        <f>'1 datos preparados'!C943</f>
        <v/>
      </c>
      <c r="E950" s="7">
        <f>'1 datos preparados'!D943</f>
        <v/>
      </c>
      <c r="F950" s="7">
        <f>'1 datos preparados'!E943</f>
        <v/>
      </c>
      <c r="G950" s="7">
        <f>'1 datos preparados'!F943</f>
        <v/>
      </c>
      <c r="H950" s="7">
        <f>'1 datos preparados'!G943</f>
        <v/>
      </c>
      <c r="I950" s="7">
        <f>'1 datos preparados'!H943</f>
        <v/>
      </c>
      <c r="J950" s="7">
        <f>'1 datos preparados'!I943</f>
        <v/>
      </c>
      <c r="K950" s="7">
        <f>'1 datos preparados'!J943</f>
        <v/>
      </c>
      <c r="L950" s="7">
        <f>'1 datos preparados'!K943</f>
        <v/>
      </c>
      <c r="M950" s="7">
        <f>'1 datos preparados'!L943</f>
        <v/>
      </c>
      <c r="N950" s="7">
        <f>'1 datos preparados'!M943</f>
        <v/>
      </c>
      <c r="O950" s="7">
        <f>'1 datos preparados'!N943</f>
        <v/>
      </c>
      <c r="P950" s="7">
        <f>'1 datos preparados'!O943</f>
        <v/>
      </c>
      <c r="Q950" s="7">
        <f>'1 datos preparados'!P943</f>
        <v/>
      </c>
      <c r="R950" s="7">
        <f>'1 datos preparados'!Q943</f>
        <v/>
      </c>
      <c r="S950" s="7">
        <f>'1 datos preparados'!R943</f>
        <v/>
      </c>
      <c r="T950" s="7">
        <f>'1 datos preparados'!S943</f>
        <v/>
      </c>
      <c r="U950" s="7">
        <f>'1 datos preparados'!T943</f>
        <v/>
      </c>
      <c r="V950" s="8">
        <f>$AE$12+D950*$AE$13+E950*$AE$14+F950*$AE$15+G950*$AE$16+H950*$AE$17+I950*$AE$18+J950*$AE$19+K950*$AE$20+L950*$AE$21+M950*$AE$22+N950*$AE$23+O950*$AE$24+P950*$AE$25+Q950*$AE$26+R950*$AE$27+S950*$AE$28+T950*$AE$29+U950*$AE$30</f>
        <v/>
      </c>
      <c r="W950" s="8">
        <f>1/(1+EXP(-V950))</f>
        <v/>
      </c>
      <c r="X950" s="9">
        <f>-IF(C950=1,LN(W950),LN(1-W950))</f>
        <v/>
      </c>
      <c r="Y950" s="8">
        <f>IF(C950=1,$AE$32,$AE$33)</f>
        <v/>
      </c>
      <c r="Z950" s="9">
        <f>Y950*X950</f>
        <v/>
      </c>
      <c r="AA950" s="10">
        <f>IF(W950&gt;$AE$34,1,0)</f>
        <v/>
      </c>
      <c r="AB950">
        <f>IF(AA950=C950,1,0)</f>
        <v/>
      </c>
    </row>
    <row r="951">
      <c r="A951">
        <f>'1 datos preparados'!A944</f>
        <v/>
      </c>
      <c r="B951" s="5">
        <f>'1 datos preparados'!U944</f>
        <v/>
      </c>
      <c r="C951">
        <f>'1 datos preparados'!B944</f>
        <v/>
      </c>
      <c r="D951" s="7">
        <f>'1 datos preparados'!C944</f>
        <v/>
      </c>
      <c r="E951" s="7">
        <f>'1 datos preparados'!D944</f>
        <v/>
      </c>
      <c r="F951" s="7">
        <f>'1 datos preparados'!E944</f>
        <v/>
      </c>
      <c r="G951" s="7">
        <f>'1 datos preparados'!F944</f>
        <v/>
      </c>
      <c r="H951" s="7">
        <f>'1 datos preparados'!G944</f>
        <v/>
      </c>
      <c r="I951" s="7">
        <f>'1 datos preparados'!H944</f>
        <v/>
      </c>
      <c r="J951" s="7">
        <f>'1 datos preparados'!I944</f>
        <v/>
      </c>
      <c r="K951" s="7">
        <f>'1 datos preparados'!J944</f>
        <v/>
      </c>
      <c r="L951" s="7">
        <f>'1 datos preparados'!K944</f>
        <v/>
      </c>
      <c r="M951" s="7">
        <f>'1 datos preparados'!L944</f>
        <v/>
      </c>
      <c r="N951" s="7">
        <f>'1 datos preparados'!M944</f>
        <v/>
      </c>
      <c r="O951" s="7">
        <f>'1 datos preparados'!N944</f>
        <v/>
      </c>
      <c r="P951" s="7">
        <f>'1 datos preparados'!O944</f>
        <v/>
      </c>
      <c r="Q951" s="7">
        <f>'1 datos preparados'!P944</f>
        <v/>
      </c>
      <c r="R951" s="7">
        <f>'1 datos preparados'!Q944</f>
        <v/>
      </c>
      <c r="S951" s="7">
        <f>'1 datos preparados'!R944</f>
        <v/>
      </c>
      <c r="T951" s="7">
        <f>'1 datos preparados'!S944</f>
        <v/>
      </c>
      <c r="U951" s="7">
        <f>'1 datos preparados'!T944</f>
        <v/>
      </c>
      <c r="V951" s="8">
        <f>$AE$12+D951*$AE$13+E951*$AE$14+F951*$AE$15+G951*$AE$16+H951*$AE$17+I951*$AE$18+J951*$AE$19+K951*$AE$20+L951*$AE$21+M951*$AE$22+N951*$AE$23+O951*$AE$24+P951*$AE$25+Q951*$AE$26+R951*$AE$27+S951*$AE$28+T951*$AE$29+U951*$AE$30</f>
        <v/>
      </c>
      <c r="W951" s="8">
        <f>1/(1+EXP(-V951))</f>
        <v/>
      </c>
      <c r="X951" s="9">
        <f>-IF(C951=1,LN(W951),LN(1-W951))</f>
        <v/>
      </c>
      <c r="Y951" s="8">
        <f>IF(C951=1,$AE$32,$AE$33)</f>
        <v/>
      </c>
      <c r="Z951" s="9">
        <f>Y951*X951</f>
        <v/>
      </c>
      <c r="AA951" s="10">
        <f>IF(W951&gt;$AE$34,1,0)</f>
        <v/>
      </c>
      <c r="AB951">
        <f>IF(AA951=C951,1,0)</f>
        <v/>
      </c>
    </row>
    <row r="952">
      <c r="A952">
        <f>'1 datos preparados'!A945</f>
        <v/>
      </c>
      <c r="B952" s="5">
        <f>'1 datos preparados'!U945</f>
        <v/>
      </c>
      <c r="C952">
        <f>'1 datos preparados'!B945</f>
        <v/>
      </c>
      <c r="D952" s="7">
        <f>'1 datos preparados'!C945</f>
        <v/>
      </c>
      <c r="E952" s="7">
        <f>'1 datos preparados'!D945</f>
        <v/>
      </c>
      <c r="F952" s="7">
        <f>'1 datos preparados'!E945</f>
        <v/>
      </c>
      <c r="G952" s="7">
        <f>'1 datos preparados'!F945</f>
        <v/>
      </c>
      <c r="H952" s="7">
        <f>'1 datos preparados'!G945</f>
        <v/>
      </c>
      <c r="I952" s="7">
        <f>'1 datos preparados'!H945</f>
        <v/>
      </c>
      <c r="J952" s="7">
        <f>'1 datos preparados'!I945</f>
        <v/>
      </c>
      <c r="K952" s="7">
        <f>'1 datos preparados'!J945</f>
        <v/>
      </c>
      <c r="L952" s="7">
        <f>'1 datos preparados'!K945</f>
        <v/>
      </c>
      <c r="M952" s="7">
        <f>'1 datos preparados'!L945</f>
        <v/>
      </c>
      <c r="N952" s="7">
        <f>'1 datos preparados'!M945</f>
        <v/>
      </c>
      <c r="O952" s="7">
        <f>'1 datos preparados'!N945</f>
        <v/>
      </c>
      <c r="P952" s="7">
        <f>'1 datos preparados'!O945</f>
        <v/>
      </c>
      <c r="Q952" s="7">
        <f>'1 datos preparados'!P945</f>
        <v/>
      </c>
      <c r="R952" s="7">
        <f>'1 datos preparados'!Q945</f>
        <v/>
      </c>
      <c r="S952" s="7">
        <f>'1 datos preparados'!R945</f>
        <v/>
      </c>
      <c r="T952" s="7">
        <f>'1 datos preparados'!S945</f>
        <v/>
      </c>
      <c r="U952" s="7">
        <f>'1 datos preparados'!T945</f>
        <v/>
      </c>
      <c r="V952" s="8">
        <f>$AE$12+D952*$AE$13+E952*$AE$14+F952*$AE$15+G952*$AE$16+H952*$AE$17+I952*$AE$18+J952*$AE$19+K952*$AE$20+L952*$AE$21+M952*$AE$22+N952*$AE$23+O952*$AE$24+P952*$AE$25+Q952*$AE$26+R952*$AE$27+S952*$AE$28+T952*$AE$29+U952*$AE$30</f>
        <v/>
      </c>
      <c r="W952" s="8">
        <f>1/(1+EXP(-V952))</f>
        <v/>
      </c>
      <c r="X952" s="9">
        <f>-IF(C952=1,LN(W952),LN(1-W952))</f>
        <v/>
      </c>
      <c r="Y952" s="8">
        <f>IF(C952=1,$AE$32,$AE$33)</f>
        <v/>
      </c>
      <c r="Z952" s="9">
        <f>Y952*X952</f>
        <v/>
      </c>
      <c r="AA952" s="10">
        <f>IF(W952&gt;$AE$34,1,0)</f>
        <v/>
      </c>
      <c r="AB952">
        <f>IF(AA952=C952,1,0)</f>
        <v/>
      </c>
    </row>
    <row r="953">
      <c r="A953">
        <f>'1 datos preparados'!A946</f>
        <v/>
      </c>
      <c r="B953" s="5">
        <f>'1 datos preparados'!U946</f>
        <v/>
      </c>
      <c r="C953">
        <f>'1 datos preparados'!B946</f>
        <v/>
      </c>
      <c r="D953" s="7">
        <f>'1 datos preparados'!C946</f>
        <v/>
      </c>
      <c r="E953" s="7">
        <f>'1 datos preparados'!D946</f>
        <v/>
      </c>
      <c r="F953" s="7">
        <f>'1 datos preparados'!E946</f>
        <v/>
      </c>
      <c r="G953" s="7">
        <f>'1 datos preparados'!F946</f>
        <v/>
      </c>
      <c r="H953" s="7">
        <f>'1 datos preparados'!G946</f>
        <v/>
      </c>
      <c r="I953" s="7">
        <f>'1 datos preparados'!H946</f>
        <v/>
      </c>
      <c r="J953" s="7">
        <f>'1 datos preparados'!I946</f>
        <v/>
      </c>
      <c r="K953" s="7">
        <f>'1 datos preparados'!J946</f>
        <v/>
      </c>
      <c r="L953" s="7">
        <f>'1 datos preparados'!K946</f>
        <v/>
      </c>
      <c r="M953" s="7">
        <f>'1 datos preparados'!L946</f>
        <v/>
      </c>
      <c r="N953" s="7">
        <f>'1 datos preparados'!M946</f>
        <v/>
      </c>
      <c r="O953" s="7">
        <f>'1 datos preparados'!N946</f>
        <v/>
      </c>
      <c r="P953" s="7">
        <f>'1 datos preparados'!O946</f>
        <v/>
      </c>
      <c r="Q953" s="7">
        <f>'1 datos preparados'!P946</f>
        <v/>
      </c>
      <c r="R953" s="7">
        <f>'1 datos preparados'!Q946</f>
        <v/>
      </c>
      <c r="S953" s="7">
        <f>'1 datos preparados'!R946</f>
        <v/>
      </c>
      <c r="T953" s="7">
        <f>'1 datos preparados'!S946</f>
        <v/>
      </c>
      <c r="U953" s="7">
        <f>'1 datos preparados'!T946</f>
        <v/>
      </c>
      <c r="V953" s="8">
        <f>$AE$12+D953*$AE$13+E953*$AE$14+F953*$AE$15+G953*$AE$16+H953*$AE$17+I953*$AE$18+J953*$AE$19+K953*$AE$20+L953*$AE$21+M953*$AE$22+N953*$AE$23+O953*$AE$24+P953*$AE$25+Q953*$AE$26+R953*$AE$27+S953*$AE$28+T953*$AE$29+U953*$AE$30</f>
        <v/>
      </c>
      <c r="W953" s="8">
        <f>1/(1+EXP(-V953))</f>
        <v/>
      </c>
      <c r="X953" s="9">
        <f>-IF(C953=1,LN(W953),LN(1-W953))</f>
        <v/>
      </c>
      <c r="Y953" s="8">
        <f>IF(C953=1,$AE$32,$AE$33)</f>
        <v/>
      </c>
      <c r="Z953" s="9">
        <f>Y953*X953</f>
        <v/>
      </c>
      <c r="AA953" s="10">
        <f>IF(W953&gt;$AE$34,1,0)</f>
        <v/>
      </c>
      <c r="AB953">
        <f>IF(AA953=C953,1,0)</f>
        <v/>
      </c>
    </row>
    <row r="954">
      <c r="A954">
        <f>'1 datos preparados'!A947</f>
        <v/>
      </c>
      <c r="B954" s="5">
        <f>'1 datos preparados'!U947</f>
        <v/>
      </c>
      <c r="C954">
        <f>'1 datos preparados'!B947</f>
        <v/>
      </c>
      <c r="D954" s="7">
        <f>'1 datos preparados'!C947</f>
        <v/>
      </c>
      <c r="E954" s="7">
        <f>'1 datos preparados'!D947</f>
        <v/>
      </c>
      <c r="F954" s="7">
        <f>'1 datos preparados'!E947</f>
        <v/>
      </c>
      <c r="G954" s="7">
        <f>'1 datos preparados'!F947</f>
        <v/>
      </c>
      <c r="H954" s="7">
        <f>'1 datos preparados'!G947</f>
        <v/>
      </c>
      <c r="I954" s="7">
        <f>'1 datos preparados'!H947</f>
        <v/>
      </c>
      <c r="J954" s="7">
        <f>'1 datos preparados'!I947</f>
        <v/>
      </c>
      <c r="K954" s="7">
        <f>'1 datos preparados'!J947</f>
        <v/>
      </c>
      <c r="L954" s="7">
        <f>'1 datos preparados'!K947</f>
        <v/>
      </c>
      <c r="M954" s="7">
        <f>'1 datos preparados'!L947</f>
        <v/>
      </c>
      <c r="N954" s="7">
        <f>'1 datos preparados'!M947</f>
        <v/>
      </c>
      <c r="O954" s="7">
        <f>'1 datos preparados'!N947</f>
        <v/>
      </c>
      <c r="P954" s="7">
        <f>'1 datos preparados'!O947</f>
        <v/>
      </c>
      <c r="Q954" s="7">
        <f>'1 datos preparados'!P947</f>
        <v/>
      </c>
      <c r="R954" s="7">
        <f>'1 datos preparados'!Q947</f>
        <v/>
      </c>
      <c r="S954" s="7">
        <f>'1 datos preparados'!R947</f>
        <v/>
      </c>
      <c r="T954" s="7">
        <f>'1 datos preparados'!S947</f>
        <v/>
      </c>
      <c r="U954" s="7">
        <f>'1 datos preparados'!T947</f>
        <v/>
      </c>
      <c r="V954" s="8">
        <f>$AE$12+D954*$AE$13+E954*$AE$14+F954*$AE$15+G954*$AE$16+H954*$AE$17+I954*$AE$18+J954*$AE$19+K954*$AE$20+L954*$AE$21+M954*$AE$22+N954*$AE$23+O954*$AE$24+P954*$AE$25+Q954*$AE$26+R954*$AE$27+S954*$AE$28+T954*$AE$29+U954*$AE$30</f>
        <v/>
      </c>
      <c r="W954" s="8">
        <f>1/(1+EXP(-V954))</f>
        <v/>
      </c>
      <c r="X954" s="9">
        <f>-IF(C954=1,LN(W954),LN(1-W954))</f>
        <v/>
      </c>
      <c r="Y954" s="8">
        <f>IF(C954=1,$AE$32,$AE$33)</f>
        <v/>
      </c>
      <c r="Z954" s="9">
        <f>Y954*X954</f>
        <v/>
      </c>
      <c r="AA954" s="10">
        <f>IF(W954&gt;$AE$34,1,0)</f>
        <v/>
      </c>
      <c r="AB954">
        <f>IF(AA954=C954,1,0)</f>
        <v/>
      </c>
    </row>
    <row r="955">
      <c r="A955">
        <f>'1 datos preparados'!A948</f>
        <v/>
      </c>
      <c r="B955" s="5">
        <f>'1 datos preparados'!U948</f>
        <v/>
      </c>
      <c r="C955">
        <f>'1 datos preparados'!B948</f>
        <v/>
      </c>
      <c r="D955" s="7">
        <f>'1 datos preparados'!C948</f>
        <v/>
      </c>
      <c r="E955" s="7">
        <f>'1 datos preparados'!D948</f>
        <v/>
      </c>
      <c r="F955" s="7">
        <f>'1 datos preparados'!E948</f>
        <v/>
      </c>
      <c r="G955" s="7">
        <f>'1 datos preparados'!F948</f>
        <v/>
      </c>
      <c r="H955" s="7">
        <f>'1 datos preparados'!G948</f>
        <v/>
      </c>
      <c r="I955" s="7">
        <f>'1 datos preparados'!H948</f>
        <v/>
      </c>
      <c r="J955" s="7">
        <f>'1 datos preparados'!I948</f>
        <v/>
      </c>
      <c r="K955" s="7">
        <f>'1 datos preparados'!J948</f>
        <v/>
      </c>
      <c r="L955" s="7">
        <f>'1 datos preparados'!K948</f>
        <v/>
      </c>
      <c r="M955" s="7">
        <f>'1 datos preparados'!L948</f>
        <v/>
      </c>
      <c r="N955" s="7">
        <f>'1 datos preparados'!M948</f>
        <v/>
      </c>
      <c r="O955" s="7">
        <f>'1 datos preparados'!N948</f>
        <v/>
      </c>
      <c r="P955" s="7">
        <f>'1 datos preparados'!O948</f>
        <v/>
      </c>
      <c r="Q955" s="7">
        <f>'1 datos preparados'!P948</f>
        <v/>
      </c>
      <c r="R955" s="7">
        <f>'1 datos preparados'!Q948</f>
        <v/>
      </c>
      <c r="S955" s="7">
        <f>'1 datos preparados'!R948</f>
        <v/>
      </c>
      <c r="T955" s="7">
        <f>'1 datos preparados'!S948</f>
        <v/>
      </c>
      <c r="U955" s="7">
        <f>'1 datos preparados'!T948</f>
        <v/>
      </c>
      <c r="V955" s="8">
        <f>$AE$12+D955*$AE$13+E955*$AE$14+F955*$AE$15+G955*$AE$16+H955*$AE$17+I955*$AE$18+J955*$AE$19+K955*$AE$20+L955*$AE$21+M955*$AE$22+N955*$AE$23+O955*$AE$24+P955*$AE$25+Q955*$AE$26+R955*$AE$27+S955*$AE$28+T955*$AE$29+U955*$AE$30</f>
        <v/>
      </c>
      <c r="W955" s="8">
        <f>1/(1+EXP(-V955))</f>
        <v/>
      </c>
      <c r="X955" s="9">
        <f>-IF(C955=1,LN(W955),LN(1-W955))</f>
        <v/>
      </c>
      <c r="Y955" s="8">
        <f>IF(C955=1,$AE$32,$AE$33)</f>
        <v/>
      </c>
      <c r="Z955" s="9">
        <f>Y955*X955</f>
        <v/>
      </c>
      <c r="AA955" s="10">
        <f>IF(W955&gt;$AE$34,1,0)</f>
        <v/>
      </c>
      <c r="AB955">
        <f>IF(AA955=C955,1,0)</f>
        <v/>
      </c>
    </row>
    <row r="956">
      <c r="A956">
        <f>'1 datos preparados'!A949</f>
        <v/>
      </c>
      <c r="B956" s="5">
        <f>'1 datos preparados'!U949</f>
        <v/>
      </c>
      <c r="C956">
        <f>'1 datos preparados'!B949</f>
        <v/>
      </c>
      <c r="D956" s="7">
        <f>'1 datos preparados'!C949</f>
        <v/>
      </c>
      <c r="E956" s="7">
        <f>'1 datos preparados'!D949</f>
        <v/>
      </c>
      <c r="F956" s="7">
        <f>'1 datos preparados'!E949</f>
        <v/>
      </c>
      <c r="G956" s="7">
        <f>'1 datos preparados'!F949</f>
        <v/>
      </c>
      <c r="H956" s="7">
        <f>'1 datos preparados'!G949</f>
        <v/>
      </c>
      <c r="I956" s="7">
        <f>'1 datos preparados'!H949</f>
        <v/>
      </c>
      <c r="J956" s="7">
        <f>'1 datos preparados'!I949</f>
        <v/>
      </c>
      <c r="K956" s="7">
        <f>'1 datos preparados'!J949</f>
        <v/>
      </c>
      <c r="L956" s="7">
        <f>'1 datos preparados'!K949</f>
        <v/>
      </c>
      <c r="M956" s="7">
        <f>'1 datos preparados'!L949</f>
        <v/>
      </c>
      <c r="N956" s="7">
        <f>'1 datos preparados'!M949</f>
        <v/>
      </c>
      <c r="O956" s="7">
        <f>'1 datos preparados'!N949</f>
        <v/>
      </c>
      <c r="P956" s="7">
        <f>'1 datos preparados'!O949</f>
        <v/>
      </c>
      <c r="Q956" s="7">
        <f>'1 datos preparados'!P949</f>
        <v/>
      </c>
      <c r="R956" s="7">
        <f>'1 datos preparados'!Q949</f>
        <v/>
      </c>
      <c r="S956" s="7">
        <f>'1 datos preparados'!R949</f>
        <v/>
      </c>
      <c r="T956" s="7">
        <f>'1 datos preparados'!S949</f>
        <v/>
      </c>
      <c r="U956" s="7">
        <f>'1 datos preparados'!T949</f>
        <v/>
      </c>
      <c r="V956" s="8">
        <f>$AE$12+D956*$AE$13+E956*$AE$14+F956*$AE$15+G956*$AE$16+H956*$AE$17+I956*$AE$18+J956*$AE$19+K956*$AE$20+L956*$AE$21+M956*$AE$22+N956*$AE$23+O956*$AE$24+P956*$AE$25+Q956*$AE$26+R956*$AE$27+S956*$AE$28+T956*$AE$29+U956*$AE$30</f>
        <v/>
      </c>
      <c r="W956" s="8">
        <f>1/(1+EXP(-V956))</f>
        <v/>
      </c>
      <c r="X956" s="9">
        <f>-IF(C956=1,LN(W956),LN(1-W956))</f>
        <v/>
      </c>
      <c r="Y956" s="8">
        <f>IF(C956=1,$AE$32,$AE$33)</f>
        <v/>
      </c>
      <c r="Z956" s="9">
        <f>Y956*X956</f>
        <v/>
      </c>
      <c r="AA956" s="10">
        <f>IF(W956&gt;$AE$34,1,0)</f>
        <v/>
      </c>
      <c r="AB956">
        <f>IF(AA956=C956,1,0)</f>
        <v/>
      </c>
    </row>
    <row r="957">
      <c r="A957">
        <f>'1 datos preparados'!A950</f>
        <v/>
      </c>
      <c r="B957" s="5">
        <f>'1 datos preparados'!U950</f>
        <v/>
      </c>
      <c r="C957">
        <f>'1 datos preparados'!B950</f>
        <v/>
      </c>
      <c r="D957" s="7">
        <f>'1 datos preparados'!C950</f>
        <v/>
      </c>
      <c r="E957" s="7">
        <f>'1 datos preparados'!D950</f>
        <v/>
      </c>
      <c r="F957" s="7">
        <f>'1 datos preparados'!E950</f>
        <v/>
      </c>
      <c r="G957" s="7">
        <f>'1 datos preparados'!F950</f>
        <v/>
      </c>
      <c r="H957" s="7">
        <f>'1 datos preparados'!G950</f>
        <v/>
      </c>
      <c r="I957" s="7">
        <f>'1 datos preparados'!H950</f>
        <v/>
      </c>
      <c r="J957" s="7">
        <f>'1 datos preparados'!I950</f>
        <v/>
      </c>
      <c r="K957" s="7">
        <f>'1 datos preparados'!J950</f>
        <v/>
      </c>
      <c r="L957" s="7">
        <f>'1 datos preparados'!K950</f>
        <v/>
      </c>
      <c r="M957" s="7">
        <f>'1 datos preparados'!L950</f>
        <v/>
      </c>
      <c r="N957" s="7">
        <f>'1 datos preparados'!M950</f>
        <v/>
      </c>
      <c r="O957" s="7">
        <f>'1 datos preparados'!N950</f>
        <v/>
      </c>
      <c r="P957" s="7">
        <f>'1 datos preparados'!O950</f>
        <v/>
      </c>
      <c r="Q957" s="7">
        <f>'1 datos preparados'!P950</f>
        <v/>
      </c>
      <c r="R957" s="7">
        <f>'1 datos preparados'!Q950</f>
        <v/>
      </c>
      <c r="S957" s="7">
        <f>'1 datos preparados'!R950</f>
        <v/>
      </c>
      <c r="T957" s="7">
        <f>'1 datos preparados'!S950</f>
        <v/>
      </c>
      <c r="U957" s="7">
        <f>'1 datos preparados'!T950</f>
        <v/>
      </c>
      <c r="V957" s="8">
        <f>$AE$12+D957*$AE$13+E957*$AE$14+F957*$AE$15+G957*$AE$16+H957*$AE$17+I957*$AE$18+J957*$AE$19+K957*$AE$20+L957*$AE$21+M957*$AE$22+N957*$AE$23+O957*$AE$24+P957*$AE$25+Q957*$AE$26+R957*$AE$27+S957*$AE$28+T957*$AE$29+U957*$AE$30</f>
        <v/>
      </c>
      <c r="W957" s="8">
        <f>1/(1+EXP(-V957))</f>
        <v/>
      </c>
      <c r="X957" s="9">
        <f>-IF(C957=1,LN(W957),LN(1-W957))</f>
        <v/>
      </c>
      <c r="Y957" s="8">
        <f>IF(C957=1,$AE$32,$AE$33)</f>
        <v/>
      </c>
      <c r="Z957" s="9">
        <f>Y957*X957</f>
        <v/>
      </c>
      <c r="AA957" s="10">
        <f>IF(W957&gt;$AE$34,1,0)</f>
        <v/>
      </c>
      <c r="AB957">
        <f>IF(AA957=C957,1,0)</f>
        <v/>
      </c>
    </row>
    <row r="958">
      <c r="A958">
        <f>'1 datos preparados'!A951</f>
        <v/>
      </c>
      <c r="B958" s="5">
        <f>'1 datos preparados'!U951</f>
        <v/>
      </c>
      <c r="C958">
        <f>'1 datos preparados'!B951</f>
        <v/>
      </c>
      <c r="D958" s="7">
        <f>'1 datos preparados'!C951</f>
        <v/>
      </c>
      <c r="E958" s="7">
        <f>'1 datos preparados'!D951</f>
        <v/>
      </c>
      <c r="F958" s="7">
        <f>'1 datos preparados'!E951</f>
        <v/>
      </c>
      <c r="G958" s="7">
        <f>'1 datos preparados'!F951</f>
        <v/>
      </c>
      <c r="H958" s="7">
        <f>'1 datos preparados'!G951</f>
        <v/>
      </c>
      <c r="I958" s="7">
        <f>'1 datos preparados'!H951</f>
        <v/>
      </c>
      <c r="J958" s="7">
        <f>'1 datos preparados'!I951</f>
        <v/>
      </c>
      <c r="K958" s="7">
        <f>'1 datos preparados'!J951</f>
        <v/>
      </c>
      <c r="L958" s="7">
        <f>'1 datos preparados'!K951</f>
        <v/>
      </c>
      <c r="M958" s="7">
        <f>'1 datos preparados'!L951</f>
        <v/>
      </c>
      <c r="N958" s="7">
        <f>'1 datos preparados'!M951</f>
        <v/>
      </c>
      <c r="O958" s="7">
        <f>'1 datos preparados'!N951</f>
        <v/>
      </c>
      <c r="P958" s="7">
        <f>'1 datos preparados'!O951</f>
        <v/>
      </c>
      <c r="Q958" s="7">
        <f>'1 datos preparados'!P951</f>
        <v/>
      </c>
      <c r="R958" s="7">
        <f>'1 datos preparados'!Q951</f>
        <v/>
      </c>
      <c r="S958" s="7">
        <f>'1 datos preparados'!R951</f>
        <v/>
      </c>
      <c r="T958" s="7">
        <f>'1 datos preparados'!S951</f>
        <v/>
      </c>
      <c r="U958" s="7">
        <f>'1 datos preparados'!T951</f>
        <v/>
      </c>
      <c r="V958" s="8">
        <f>$AE$12+D958*$AE$13+E958*$AE$14+F958*$AE$15+G958*$AE$16+H958*$AE$17+I958*$AE$18+J958*$AE$19+K958*$AE$20+L958*$AE$21+M958*$AE$22+N958*$AE$23+O958*$AE$24+P958*$AE$25+Q958*$AE$26+R958*$AE$27+S958*$AE$28+T958*$AE$29+U958*$AE$30</f>
        <v/>
      </c>
      <c r="W958" s="8">
        <f>1/(1+EXP(-V958))</f>
        <v/>
      </c>
      <c r="X958" s="9">
        <f>-IF(C958=1,LN(W958),LN(1-W958))</f>
        <v/>
      </c>
      <c r="Y958" s="8">
        <f>IF(C958=1,$AE$32,$AE$33)</f>
        <v/>
      </c>
      <c r="Z958" s="9">
        <f>Y958*X958</f>
        <v/>
      </c>
      <c r="AA958" s="10">
        <f>IF(W958&gt;$AE$34,1,0)</f>
        <v/>
      </c>
      <c r="AB958">
        <f>IF(AA958=C958,1,0)</f>
        <v/>
      </c>
    </row>
    <row r="959">
      <c r="A959">
        <f>'1 datos preparados'!A952</f>
        <v/>
      </c>
      <c r="B959" s="5">
        <f>'1 datos preparados'!U952</f>
        <v/>
      </c>
      <c r="C959">
        <f>'1 datos preparados'!B952</f>
        <v/>
      </c>
      <c r="D959" s="7">
        <f>'1 datos preparados'!C952</f>
        <v/>
      </c>
      <c r="E959" s="7">
        <f>'1 datos preparados'!D952</f>
        <v/>
      </c>
      <c r="F959" s="7">
        <f>'1 datos preparados'!E952</f>
        <v/>
      </c>
      <c r="G959" s="7">
        <f>'1 datos preparados'!F952</f>
        <v/>
      </c>
      <c r="H959" s="7">
        <f>'1 datos preparados'!G952</f>
        <v/>
      </c>
      <c r="I959" s="7">
        <f>'1 datos preparados'!H952</f>
        <v/>
      </c>
      <c r="J959" s="7">
        <f>'1 datos preparados'!I952</f>
        <v/>
      </c>
      <c r="K959" s="7">
        <f>'1 datos preparados'!J952</f>
        <v/>
      </c>
      <c r="L959" s="7">
        <f>'1 datos preparados'!K952</f>
        <v/>
      </c>
      <c r="M959" s="7">
        <f>'1 datos preparados'!L952</f>
        <v/>
      </c>
      <c r="N959" s="7">
        <f>'1 datos preparados'!M952</f>
        <v/>
      </c>
      <c r="O959" s="7">
        <f>'1 datos preparados'!N952</f>
        <v/>
      </c>
      <c r="P959" s="7">
        <f>'1 datos preparados'!O952</f>
        <v/>
      </c>
      <c r="Q959" s="7">
        <f>'1 datos preparados'!P952</f>
        <v/>
      </c>
      <c r="R959" s="7">
        <f>'1 datos preparados'!Q952</f>
        <v/>
      </c>
      <c r="S959" s="7">
        <f>'1 datos preparados'!R952</f>
        <v/>
      </c>
      <c r="T959" s="7">
        <f>'1 datos preparados'!S952</f>
        <v/>
      </c>
      <c r="U959" s="7">
        <f>'1 datos preparados'!T952</f>
        <v/>
      </c>
      <c r="V959" s="8">
        <f>$AE$12+D959*$AE$13+E959*$AE$14+F959*$AE$15+G959*$AE$16+H959*$AE$17+I959*$AE$18+J959*$AE$19+K959*$AE$20+L959*$AE$21+M959*$AE$22+N959*$AE$23+O959*$AE$24+P959*$AE$25+Q959*$AE$26+R959*$AE$27+S959*$AE$28+T959*$AE$29+U959*$AE$30</f>
        <v/>
      </c>
      <c r="W959" s="8">
        <f>1/(1+EXP(-V959))</f>
        <v/>
      </c>
      <c r="X959" s="9">
        <f>-IF(C959=1,LN(W959),LN(1-W959))</f>
        <v/>
      </c>
      <c r="Y959" s="8">
        <f>IF(C959=1,$AE$32,$AE$33)</f>
        <v/>
      </c>
      <c r="Z959" s="9">
        <f>Y959*X959</f>
        <v/>
      </c>
      <c r="AA959" s="10">
        <f>IF(W959&gt;$AE$34,1,0)</f>
        <v/>
      </c>
      <c r="AB959">
        <f>IF(AA959=C959,1,0)</f>
        <v/>
      </c>
    </row>
    <row r="960">
      <c r="A960">
        <f>'1 datos preparados'!A953</f>
        <v/>
      </c>
      <c r="B960" s="5">
        <f>'1 datos preparados'!U953</f>
        <v/>
      </c>
      <c r="C960">
        <f>'1 datos preparados'!B953</f>
        <v/>
      </c>
      <c r="D960" s="7">
        <f>'1 datos preparados'!C953</f>
        <v/>
      </c>
      <c r="E960" s="7">
        <f>'1 datos preparados'!D953</f>
        <v/>
      </c>
      <c r="F960" s="7">
        <f>'1 datos preparados'!E953</f>
        <v/>
      </c>
      <c r="G960" s="7">
        <f>'1 datos preparados'!F953</f>
        <v/>
      </c>
      <c r="H960" s="7">
        <f>'1 datos preparados'!G953</f>
        <v/>
      </c>
      <c r="I960" s="7">
        <f>'1 datos preparados'!H953</f>
        <v/>
      </c>
      <c r="J960" s="7">
        <f>'1 datos preparados'!I953</f>
        <v/>
      </c>
      <c r="K960" s="7">
        <f>'1 datos preparados'!J953</f>
        <v/>
      </c>
      <c r="L960" s="7">
        <f>'1 datos preparados'!K953</f>
        <v/>
      </c>
      <c r="M960" s="7">
        <f>'1 datos preparados'!L953</f>
        <v/>
      </c>
      <c r="N960" s="7">
        <f>'1 datos preparados'!M953</f>
        <v/>
      </c>
      <c r="O960" s="7">
        <f>'1 datos preparados'!N953</f>
        <v/>
      </c>
      <c r="P960" s="7">
        <f>'1 datos preparados'!O953</f>
        <v/>
      </c>
      <c r="Q960" s="7">
        <f>'1 datos preparados'!P953</f>
        <v/>
      </c>
      <c r="R960" s="7">
        <f>'1 datos preparados'!Q953</f>
        <v/>
      </c>
      <c r="S960" s="7">
        <f>'1 datos preparados'!R953</f>
        <v/>
      </c>
      <c r="T960" s="7">
        <f>'1 datos preparados'!S953</f>
        <v/>
      </c>
      <c r="U960" s="7">
        <f>'1 datos preparados'!T953</f>
        <v/>
      </c>
      <c r="V960" s="8">
        <f>$AE$12+D960*$AE$13+E960*$AE$14+F960*$AE$15+G960*$AE$16+H960*$AE$17+I960*$AE$18+J960*$AE$19+K960*$AE$20+L960*$AE$21+M960*$AE$22+N960*$AE$23+O960*$AE$24+P960*$AE$25+Q960*$AE$26+R960*$AE$27+S960*$AE$28+T960*$AE$29+U960*$AE$30</f>
        <v/>
      </c>
      <c r="W960" s="8">
        <f>1/(1+EXP(-V960))</f>
        <v/>
      </c>
      <c r="X960" s="9">
        <f>-IF(C960=1,LN(W960),LN(1-W960))</f>
        <v/>
      </c>
      <c r="Y960" s="8">
        <f>IF(C960=1,$AE$32,$AE$33)</f>
        <v/>
      </c>
      <c r="Z960" s="9">
        <f>Y960*X960</f>
        <v/>
      </c>
      <c r="AA960" s="10">
        <f>IF(W960&gt;$AE$34,1,0)</f>
        <v/>
      </c>
      <c r="AB960">
        <f>IF(AA960=C960,1,0)</f>
        <v/>
      </c>
    </row>
    <row r="961">
      <c r="A961">
        <f>'1 datos preparados'!A954</f>
        <v/>
      </c>
      <c r="B961" s="5">
        <f>'1 datos preparados'!U954</f>
        <v/>
      </c>
      <c r="C961">
        <f>'1 datos preparados'!B954</f>
        <v/>
      </c>
      <c r="D961" s="7">
        <f>'1 datos preparados'!C954</f>
        <v/>
      </c>
      <c r="E961" s="7">
        <f>'1 datos preparados'!D954</f>
        <v/>
      </c>
      <c r="F961" s="7">
        <f>'1 datos preparados'!E954</f>
        <v/>
      </c>
      <c r="G961" s="7">
        <f>'1 datos preparados'!F954</f>
        <v/>
      </c>
      <c r="H961" s="7">
        <f>'1 datos preparados'!G954</f>
        <v/>
      </c>
      <c r="I961" s="7">
        <f>'1 datos preparados'!H954</f>
        <v/>
      </c>
      <c r="J961" s="7">
        <f>'1 datos preparados'!I954</f>
        <v/>
      </c>
      <c r="K961" s="7">
        <f>'1 datos preparados'!J954</f>
        <v/>
      </c>
      <c r="L961" s="7">
        <f>'1 datos preparados'!K954</f>
        <v/>
      </c>
      <c r="M961" s="7">
        <f>'1 datos preparados'!L954</f>
        <v/>
      </c>
      <c r="N961" s="7">
        <f>'1 datos preparados'!M954</f>
        <v/>
      </c>
      <c r="O961" s="7">
        <f>'1 datos preparados'!N954</f>
        <v/>
      </c>
      <c r="P961" s="7">
        <f>'1 datos preparados'!O954</f>
        <v/>
      </c>
      <c r="Q961" s="7">
        <f>'1 datos preparados'!P954</f>
        <v/>
      </c>
      <c r="R961" s="7">
        <f>'1 datos preparados'!Q954</f>
        <v/>
      </c>
      <c r="S961" s="7">
        <f>'1 datos preparados'!R954</f>
        <v/>
      </c>
      <c r="T961" s="7">
        <f>'1 datos preparados'!S954</f>
        <v/>
      </c>
      <c r="U961" s="7">
        <f>'1 datos preparados'!T954</f>
        <v/>
      </c>
      <c r="V961" s="8">
        <f>$AE$12+D961*$AE$13+E961*$AE$14+F961*$AE$15+G961*$AE$16+H961*$AE$17+I961*$AE$18+J961*$AE$19+K961*$AE$20+L961*$AE$21+M961*$AE$22+N961*$AE$23+O961*$AE$24+P961*$AE$25+Q961*$AE$26+R961*$AE$27+S961*$AE$28+T961*$AE$29+U961*$AE$30</f>
        <v/>
      </c>
      <c r="W961" s="8">
        <f>1/(1+EXP(-V961))</f>
        <v/>
      </c>
      <c r="X961" s="9">
        <f>-IF(C961=1,LN(W961),LN(1-W961))</f>
        <v/>
      </c>
      <c r="Y961" s="8">
        <f>IF(C961=1,$AE$32,$AE$33)</f>
        <v/>
      </c>
      <c r="Z961" s="9">
        <f>Y961*X961</f>
        <v/>
      </c>
      <c r="AA961" s="10">
        <f>IF(W961&gt;$AE$34,1,0)</f>
        <v/>
      </c>
      <c r="AB961">
        <f>IF(AA961=C961,1,0)</f>
        <v/>
      </c>
    </row>
    <row r="962">
      <c r="A962">
        <f>'1 datos preparados'!A955</f>
        <v/>
      </c>
      <c r="B962" s="5">
        <f>'1 datos preparados'!U955</f>
        <v/>
      </c>
      <c r="C962">
        <f>'1 datos preparados'!B955</f>
        <v/>
      </c>
      <c r="D962" s="7">
        <f>'1 datos preparados'!C955</f>
        <v/>
      </c>
      <c r="E962" s="7">
        <f>'1 datos preparados'!D955</f>
        <v/>
      </c>
      <c r="F962" s="7">
        <f>'1 datos preparados'!E955</f>
        <v/>
      </c>
      <c r="G962" s="7">
        <f>'1 datos preparados'!F955</f>
        <v/>
      </c>
      <c r="H962" s="7">
        <f>'1 datos preparados'!G955</f>
        <v/>
      </c>
      <c r="I962" s="7">
        <f>'1 datos preparados'!H955</f>
        <v/>
      </c>
      <c r="J962" s="7">
        <f>'1 datos preparados'!I955</f>
        <v/>
      </c>
      <c r="K962" s="7">
        <f>'1 datos preparados'!J955</f>
        <v/>
      </c>
      <c r="L962" s="7">
        <f>'1 datos preparados'!K955</f>
        <v/>
      </c>
      <c r="M962" s="7">
        <f>'1 datos preparados'!L955</f>
        <v/>
      </c>
      <c r="N962" s="7">
        <f>'1 datos preparados'!M955</f>
        <v/>
      </c>
      <c r="O962" s="7">
        <f>'1 datos preparados'!N955</f>
        <v/>
      </c>
      <c r="P962" s="7">
        <f>'1 datos preparados'!O955</f>
        <v/>
      </c>
      <c r="Q962" s="7">
        <f>'1 datos preparados'!P955</f>
        <v/>
      </c>
      <c r="R962" s="7">
        <f>'1 datos preparados'!Q955</f>
        <v/>
      </c>
      <c r="S962" s="7">
        <f>'1 datos preparados'!R955</f>
        <v/>
      </c>
      <c r="T962" s="7">
        <f>'1 datos preparados'!S955</f>
        <v/>
      </c>
      <c r="U962" s="7">
        <f>'1 datos preparados'!T955</f>
        <v/>
      </c>
      <c r="V962" s="8">
        <f>$AE$12+D962*$AE$13+E962*$AE$14+F962*$AE$15+G962*$AE$16+H962*$AE$17+I962*$AE$18+J962*$AE$19+K962*$AE$20+L962*$AE$21+M962*$AE$22+N962*$AE$23+O962*$AE$24+P962*$AE$25+Q962*$AE$26+R962*$AE$27+S962*$AE$28+T962*$AE$29+U962*$AE$30</f>
        <v/>
      </c>
      <c r="W962" s="8">
        <f>1/(1+EXP(-V962))</f>
        <v/>
      </c>
      <c r="X962" s="9">
        <f>-IF(C962=1,LN(W962),LN(1-W962))</f>
        <v/>
      </c>
      <c r="Y962" s="8">
        <f>IF(C962=1,$AE$32,$AE$33)</f>
        <v/>
      </c>
      <c r="Z962" s="9">
        <f>Y962*X962</f>
        <v/>
      </c>
      <c r="AA962" s="10">
        <f>IF(W962&gt;$AE$34,1,0)</f>
        <v/>
      </c>
      <c r="AB962">
        <f>IF(AA962=C962,1,0)</f>
        <v/>
      </c>
    </row>
    <row r="963">
      <c r="A963">
        <f>'1 datos preparados'!A956</f>
        <v/>
      </c>
      <c r="B963" s="5">
        <f>'1 datos preparados'!U956</f>
        <v/>
      </c>
      <c r="C963">
        <f>'1 datos preparados'!B956</f>
        <v/>
      </c>
      <c r="D963" s="7">
        <f>'1 datos preparados'!C956</f>
        <v/>
      </c>
      <c r="E963" s="7">
        <f>'1 datos preparados'!D956</f>
        <v/>
      </c>
      <c r="F963" s="7">
        <f>'1 datos preparados'!E956</f>
        <v/>
      </c>
      <c r="G963" s="7">
        <f>'1 datos preparados'!F956</f>
        <v/>
      </c>
      <c r="H963" s="7">
        <f>'1 datos preparados'!G956</f>
        <v/>
      </c>
      <c r="I963" s="7">
        <f>'1 datos preparados'!H956</f>
        <v/>
      </c>
      <c r="J963" s="7">
        <f>'1 datos preparados'!I956</f>
        <v/>
      </c>
      <c r="K963" s="7">
        <f>'1 datos preparados'!J956</f>
        <v/>
      </c>
      <c r="L963" s="7">
        <f>'1 datos preparados'!K956</f>
        <v/>
      </c>
      <c r="M963" s="7">
        <f>'1 datos preparados'!L956</f>
        <v/>
      </c>
      <c r="N963" s="7">
        <f>'1 datos preparados'!M956</f>
        <v/>
      </c>
      <c r="O963" s="7">
        <f>'1 datos preparados'!N956</f>
        <v/>
      </c>
      <c r="P963" s="7">
        <f>'1 datos preparados'!O956</f>
        <v/>
      </c>
      <c r="Q963" s="7">
        <f>'1 datos preparados'!P956</f>
        <v/>
      </c>
      <c r="R963" s="7">
        <f>'1 datos preparados'!Q956</f>
        <v/>
      </c>
      <c r="S963" s="7">
        <f>'1 datos preparados'!R956</f>
        <v/>
      </c>
      <c r="T963" s="7">
        <f>'1 datos preparados'!S956</f>
        <v/>
      </c>
      <c r="U963" s="7">
        <f>'1 datos preparados'!T956</f>
        <v/>
      </c>
      <c r="V963" s="8">
        <f>$AE$12+D963*$AE$13+E963*$AE$14+F963*$AE$15+G963*$AE$16+H963*$AE$17+I963*$AE$18+J963*$AE$19+K963*$AE$20+L963*$AE$21+M963*$AE$22+N963*$AE$23+O963*$AE$24+P963*$AE$25+Q963*$AE$26+R963*$AE$27+S963*$AE$28+T963*$AE$29+U963*$AE$30</f>
        <v/>
      </c>
      <c r="W963" s="8">
        <f>1/(1+EXP(-V963))</f>
        <v/>
      </c>
      <c r="X963" s="9">
        <f>-IF(C963=1,LN(W963),LN(1-W963))</f>
        <v/>
      </c>
      <c r="Y963" s="8">
        <f>IF(C963=1,$AE$32,$AE$33)</f>
        <v/>
      </c>
      <c r="Z963" s="9">
        <f>Y963*X963</f>
        <v/>
      </c>
      <c r="AA963" s="10">
        <f>IF(W963&gt;$AE$34,1,0)</f>
        <v/>
      </c>
      <c r="AB963">
        <f>IF(AA963=C963,1,0)</f>
        <v/>
      </c>
    </row>
    <row r="964">
      <c r="A964">
        <f>'1 datos preparados'!A957</f>
        <v/>
      </c>
      <c r="B964" s="5">
        <f>'1 datos preparados'!U957</f>
        <v/>
      </c>
      <c r="C964">
        <f>'1 datos preparados'!B957</f>
        <v/>
      </c>
      <c r="D964" s="7">
        <f>'1 datos preparados'!C957</f>
        <v/>
      </c>
      <c r="E964" s="7">
        <f>'1 datos preparados'!D957</f>
        <v/>
      </c>
      <c r="F964" s="7">
        <f>'1 datos preparados'!E957</f>
        <v/>
      </c>
      <c r="G964" s="7">
        <f>'1 datos preparados'!F957</f>
        <v/>
      </c>
      <c r="H964" s="7">
        <f>'1 datos preparados'!G957</f>
        <v/>
      </c>
      <c r="I964" s="7">
        <f>'1 datos preparados'!H957</f>
        <v/>
      </c>
      <c r="J964" s="7">
        <f>'1 datos preparados'!I957</f>
        <v/>
      </c>
      <c r="K964" s="7">
        <f>'1 datos preparados'!J957</f>
        <v/>
      </c>
      <c r="L964" s="7">
        <f>'1 datos preparados'!K957</f>
        <v/>
      </c>
      <c r="M964" s="7">
        <f>'1 datos preparados'!L957</f>
        <v/>
      </c>
      <c r="N964" s="7">
        <f>'1 datos preparados'!M957</f>
        <v/>
      </c>
      <c r="O964" s="7">
        <f>'1 datos preparados'!N957</f>
        <v/>
      </c>
      <c r="P964" s="7">
        <f>'1 datos preparados'!O957</f>
        <v/>
      </c>
      <c r="Q964" s="7">
        <f>'1 datos preparados'!P957</f>
        <v/>
      </c>
      <c r="R964" s="7">
        <f>'1 datos preparados'!Q957</f>
        <v/>
      </c>
      <c r="S964" s="7">
        <f>'1 datos preparados'!R957</f>
        <v/>
      </c>
      <c r="T964" s="7">
        <f>'1 datos preparados'!S957</f>
        <v/>
      </c>
      <c r="U964" s="7">
        <f>'1 datos preparados'!T957</f>
        <v/>
      </c>
      <c r="V964" s="8">
        <f>$AE$12+D964*$AE$13+E964*$AE$14+F964*$AE$15+G964*$AE$16+H964*$AE$17+I964*$AE$18+J964*$AE$19+K964*$AE$20+L964*$AE$21+M964*$AE$22+N964*$AE$23+O964*$AE$24+P964*$AE$25+Q964*$AE$26+R964*$AE$27+S964*$AE$28+T964*$AE$29+U964*$AE$30</f>
        <v/>
      </c>
      <c r="W964" s="8">
        <f>1/(1+EXP(-V964))</f>
        <v/>
      </c>
      <c r="X964" s="9">
        <f>-IF(C964=1,LN(W964),LN(1-W964))</f>
        <v/>
      </c>
      <c r="Y964" s="8">
        <f>IF(C964=1,$AE$32,$AE$33)</f>
        <v/>
      </c>
      <c r="Z964" s="9">
        <f>Y964*X964</f>
        <v/>
      </c>
      <c r="AA964" s="10">
        <f>IF(W964&gt;$AE$34,1,0)</f>
        <v/>
      </c>
      <c r="AB964">
        <f>IF(AA964=C964,1,0)</f>
        <v/>
      </c>
    </row>
    <row r="965">
      <c r="A965">
        <f>'1 datos preparados'!A958</f>
        <v/>
      </c>
      <c r="B965" s="5">
        <f>'1 datos preparados'!U958</f>
        <v/>
      </c>
      <c r="C965">
        <f>'1 datos preparados'!B958</f>
        <v/>
      </c>
      <c r="D965" s="7">
        <f>'1 datos preparados'!C958</f>
        <v/>
      </c>
      <c r="E965" s="7">
        <f>'1 datos preparados'!D958</f>
        <v/>
      </c>
      <c r="F965" s="7">
        <f>'1 datos preparados'!E958</f>
        <v/>
      </c>
      <c r="G965" s="7">
        <f>'1 datos preparados'!F958</f>
        <v/>
      </c>
      <c r="H965" s="7">
        <f>'1 datos preparados'!G958</f>
        <v/>
      </c>
      <c r="I965" s="7">
        <f>'1 datos preparados'!H958</f>
        <v/>
      </c>
      <c r="J965" s="7">
        <f>'1 datos preparados'!I958</f>
        <v/>
      </c>
      <c r="K965" s="7">
        <f>'1 datos preparados'!J958</f>
        <v/>
      </c>
      <c r="L965" s="7">
        <f>'1 datos preparados'!K958</f>
        <v/>
      </c>
      <c r="M965" s="7">
        <f>'1 datos preparados'!L958</f>
        <v/>
      </c>
      <c r="N965" s="7">
        <f>'1 datos preparados'!M958</f>
        <v/>
      </c>
      <c r="O965" s="7">
        <f>'1 datos preparados'!N958</f>
        <v/>
      </c>
      <c r="P965" s="7">
        <f>'1 datos preparados'!O958</f>
        <v/>
      </c>
      <c r="Q965" s="7">
        <f>'1 datos preparados'!P958</f>
        <v/>
      </c>
      <c r="R965" s="7">
        <f>'1 datos preparados'!Q958</f>
        <v/>
      </c>
      <c r="S965" s="7">
        <f>'1 datos preparados'!R958</f>
        <v/>
      </c>
      <c r="T965" s="7">
        <f>'1 datos preparados'!S958</f>
        <v/>
      </c>
      <c r="U965" s="7">
        <f>'1 datos preparados'!T958</f>
        <v/>
      </c>
      <c r="V965" s="8">
        <f>$AE$12+D965*$AE$13+E965*$AE$14+F965*$AE$15+G965*$AE$16+H965*$AE$17+I965*$AE$18+J965*$AE$19+K965*$AE$20+L965*$AE$21+M965*$AE$22+N965*$AE$23+O965*$AE$24+P965*$AE$25+Q965*$AE$26+R965*$AE$27+S965*$AE$28+T965*$AE$29+U965*$AE$30</f>
        <v/>
      </c>
      <c r="W965" s="8">
        <f>1/(1+EXP(-V965))</f>
        <v/>
      </c>
      <c r="X965" s="9">
        <f>-IF(C965=1,LN(W965),LN(1-W965))</f>
        <v/>
      </c>
      <c r="Y965" s="8">
        <f>IF(C965=1,$AE$32,$AE$33)</f>
        <v/>
      </c>
      <c r="Z965" s="9">
        <f>Y965*X965</f>
        <v/>
      </c>
      <c r="AA965" s="10">
        <f>IF(W965&gt;$AE$34,1,0)</f>
        <v/>
      </c>
      <c r="AB965">
        <f>IF(AA965=C965,1,0)</f>
        <v/>
      </c>
    </row>
    <row r="966">
      <c r="A966">
        <f>'1 datos preparados'!A959</f>
        <v/>
      </c>
      <c r="B966" s="5">
        <f>'1 datos preparados'!U959</f>
        <v/>
      </c>
      <c r="C966">
        <f>'1 datos preparados'!B959</f>
        <v/>
      </c>
      <c r="D966" s="7">
        <f>'1 datos preparados'!C959</f>
        <v/>
      </c>
      <c r="E966" s="7">
        <f>'1 datos preparados'!D959</f>
        <v/>
      </c>
      <c r="F966" s="7">
        <f>'1 datos preparados'!E959</f>
        <v/>
      </c>
      <c r="G966" s="7">
        <f>'1 datos preparados'!F959</f>
        <v/>
      </c>
      <c r="H966" s="7">
        <f>'1 datos preparados'!G959</f>
        <v/>
      </c>
      <c r="I966" s="7">
        <f>'1 datos preparados'!H959</f>
        <v/>
      </c>
      <c r="J966" s="7">
        <f>'1 datos preparados'!I959</f>
        <v/>
      </c>
      <c r="K966" s="7">
        <f>'1 datos preparados'!J959</f>
        <v/>
      </c>
      <c r="L966" s="7">
        <f>'1 datos preparados'!K959</f>
        <v/>
      </c>
      <c r="M966" s="7">
        <f>'1 datos preparados'!L959</f>
        <v/>
      </c>
      <c r="N966" s="7">
        <f>'1 datos preparados'!M959</f>
        <v/>
      </c>
      <c r="O966" s="7">
        <f>'1 datos preparados'!N959</f>
        <v/>
      </c>
      <c r="P966" s="7">
        <f>'1 datos preparados'!O959</f>
        <v/>
      </c>
      <c r="Q966" s="7">
        <f>'1 datos preparados'!P959</f>
        <v/>
      </c>
      <c r="R966" s="7">
        <f>'1 datos preparados'!Q959</f>
        <v/>
      </c>
      <c r="S966" s="7">
        <f>'1 datos preparados'!R959</f>
        <v/>
      </c>
      <c r="T966" s="7">
        <f>'1 datos preparados'!S959</f>
        <v/>
      </c>
      <c r="U966" s="7">
        <f>'1 datos preparados'!T959</f>
        <v/>
      </c>
      <c r="V966" s="8">
        <f>$AE$12+D966*$AE$13+E966*$AE$14+F966*$AE$15+G966*$AE$16+H966*$AE$17+I966*$AE$18+J966*$AE$19+K966*$AE$20+L966*$AE$21+M966*$AE$22+N966*$AE$23+O966*$AE$24+P966*$AE$25+Q966*$AE$26+R966*$AE$27+S966*$AE$28+T966*$AE$29+U966*$AE$30</f>
        <v/>
      </c>
      <c r="W966" s="8">
        <f>1/(1+EXP(-V966))</f>
        <v/>
      </c>
      <c r="X966" s="9">
        <f>-IF(C966=1,LN(W966),LN(1-W966))</f>
        <v/>
      </c>
      <c r="Y966" s="8">
        <f>IF(C966=1,$AE$32,$AE$33)</f>
        <v/>
      </c>
      <c r="Z966" s="9">
        <f>Y966*X966</f>
        <v/>
      </c>
      <c r="AA966" s="10">
        <f>IF(W966&gt;$AE$34,1,0)</f>
        <v/>
      </c>
      <c r="AB966">
        <f>IF(AA966=C966,1,0)</f>
        <v/>
      </c>
    </row>
    <row r="967">
      <c r="A967">
        <f>'1 datos preparados'!A960</f>
        <v/>
      </c>
      <c r="B967" s="5">
        <f>'1 datos preparados'!U960</f>
        <v/>
      </c>
      <c r="C967">
        <f>'1 datos preparados'!B960</f>
        <v/>
      </c>
      <c r="D967" s="7">
        <f>'1 datos preparados'!C960</f>
        <v/>
      </c>
      <c r="E967" s="7">
        <f>'1 datos preparados'!D960</f>
        <v/>
      </c>
      <c r="F967" s="7">
        <f>'1 datos preparados'!E960</f>
        <v/>
      </c>
      <c r="G967" s="7">
        <f>'1 datos preparados'!F960</f>
        <v/>
      </c>
      <c r="H967" s="7">
        <f>'1 datos preparados'!G960</f>
        <v/>
      </c>
      <c r="I967" s="7">
        <f>'1 datos preparados'!H960</f>
        <v/>
      </c>
      <c r="J967" s="7">
        <f>'1 datos preparados'!I960</f>
        <v/>
      </c>
      <c r="K967" s="7">
        <f>'1 datos preparados'!J960</f>
        <v/>
      </c>
      <c r="L967" s="7">
        <f>'1 datos preparados'!K960</f>
        <v/>
      </c>
      <c r="M967" s="7">
        <f>'1 datos preparados'!L960</f>
        <v/>
      </c>
      <c r="N967" s="7">
        <f>'1 datos preparados'!M960</f>
        <v/>
      </c>
      <c r="O967" s="7">
        <f>'1 datos preparados'!N960</f>
        <v/>
      </c>
      <c r="P967" s="7">
        <f>'1 datos preparados'!O960</f>
        <v/>
      </c>
      <c r="Q967" s="7">
        <f>'1 datos preparados'!P960</f>
        <v/>
      </c>
      <c r="R967" s="7">
        <f>'1 datos preparados'!Q960</f>
        <v/>
      </c>
      <c r="S967" s="7">
        <f>'1 datos preparados'!R960</f>
        <v/>
      </c>
      <c r="T967" s="7">
        <f>'1 datos preparados'!S960</f>
        <v/>
      </c>
      <c r="U967" s="7">
        <f>'1 datos preparados'!T960</f>
        <v/>
      </c>
      <c r="V967" s="8">
        <f>$AE$12+D967*$AE$13+E967*$AE$14+F967*$AE$15+G967*$AE$16+H967*$AE$17+I967*$AE$18+J967*$AE$19+K967*$AE$20+L967*$AE$21+M967*$AE$22+N967*$AE$23+O967*$AE$24+P967*$AE$25+Q967*$AE$26+R967*$AE$27+S967*$AE$28+T967*$AE$29+U967*$AE$30</f>
        <v/>
      </c>
      <c r="W967" s="8">
        <f>1/(1+EXP(-V967))</f>
        <v/>
      </c>
      <c r="X967" s="9">
        <f>-IF(C967=1,LN(W967),LN(1-W967))</f>
        <v/>
      </c>
      <c r="Y967" s="8">
        <f>IF(C967=1,$AE$32,$AE$33)</f>
        <v/>
      </c>
      <c r="Z967" s="9">
        <f>Y967*X967</f>
        <v/>
      </c>
      <c r="AA967" s="10">
        <f>IF(W967&gt;$AE$34,1,0)</f>
        <v/>
      </c>
      <c r="AB967">
        <f>IF(AA967=C967,1,0)</f>
        <v/>
      </c>
    </row>
    <row r="968">
      <c r="A968">
        <f>'1 datos preparados'!A961</f>
        <v/>
      </c>
      <c r="B968" s="5">
        <f>'1 datos preparados'!U961</f>
        <v/>
      </c>
      <c r="C968">
        <f>'1 datos preparados'!B961</f>
        <v/>
      </c>
      <c r="D968" s="7">
        <f>'1 datos preparados'!C961</f>
        <v/>
      </c>
      <c r="E968" s="7">
        <f>'1 datos preparados'!D961</f>
        <v/>
      </c>
      <c r="F968" s="7">
        <f>'1 datos preparados'!E961</f>
        <v/>
      </c>
      <c r="G968" s="7">
        <f>'1 datos preparados'!F961</f>
        <v/>
      </c>
      <c r="H968" s="7">
        <f>'1 datos preparados'!G961</f>
        <v/>
      </c>
      <c r="I968" s="7">
        <f>'1 datos preparados'!H961</f>
        <v/>
      </c>
      <c r="J968" s="7">
        <f>'1 datos preparados'!I961</f>
        <v/>
      </c>
      <c r="K968" s="7">
        <f>'1 datos preparados'!J961</f>
        <v/>
      </c>
      <c r="L968" s="7">
        <f>'1 datos preparados'!K961</f>
        <v/>
      </c>
      <c r="M968" s="7">
        <f>'1 datos preparados'!L961</f>
        <v/>
      </c>
      <c r="N968" s="7">
        <f>'1 datos preparados'!M961</f>
        <v/>
      </c>
      <c r="O968" s="7">
        <f>'1 datos preparados'!N961</f>
        <v/>
      </c>
      <c r="P968" s="7">
        <f>'1 datos preparados'!O961</f>
        <v/>
      </c>
      <c r="Q968" s="7">
        <f>'1 datos preparados'!P961</f>
        <v/>
      </c>
      <c r="R968" s="7">
        <f>'1 datos preparados'!Q961</f>
        <v/>
      </c>
      <c r="S968" s="7">
        <f>'1 datos preparados'!R961</f>
        <v/>
      </c>
      <c r="T968" s="7">
        <f>'1 datos preparados'!S961</f>
        <v/>
      </c>
      <c r="U968" s="7">
        <f>'1 datos preparados'!T961</f>
        <v/>
      </c>
      <c r="V968" s="8">
        <f>$AE$12+D968*$AE$13+E968*$AE$14+F968*$AE$15+G968*$AE$16+H968*$AE$17+I968*$AE$18+J968*$AE$19+K968*$AE$20+L968*$AE$21+M968*$AE$22+N968*$AE$23+O968*$AE$24+P968*$AE$25+Q968*$AE$26+R968*$AE$27+S968*$AE$28+T968*$AE$29+U968*$AE$30</f>
        <v/>
      </c>
      <c r="W968" s="8">
        <f>1/(1+EXP(-V968))</f>
        <v/>
      </c>
      <c r="X968" s="9">
        <f>-IF(C968=1,LN(W968),LN(1-W968))</f>
        <v/>
      </c>
      <c r="Y968" s="8">
        <f>IF(C968=1,$AE$32,$AE$33)</f>
        <v/>
      </c>
      <c r="Z968" s="9">
        <f>Y968*X968</f>
        <v/>
      </c>
      <c r="AA968" s="10">
        <f>IF(W968&gt;$AE$34,1,0)</f>
        <v/>
      </c>
      <c r="AB968">
        <f>IF(AA968=C968,1,0)</f>
        <v/>
      </c>
    </row>
    <row r="969">
      <c r="A969">
        <f>'1 datos preparados'!A962</f>
        <v/>
      </c>
      <c r="B969" s="5">
        <f>'1 datos preparados'!U962</f>
        <v/>
      </c>
      <c r="C969">
        <f>'1 datos preparados'!B962</f>
        <v/>
      </c>
      <c r="D969" s="7">
        <f>'1 datos preparados'!C962</f>
        <v/>
      </c>
      <c r="E969" s="7">
        <f>'1 datos preparados'!D962</f>
        <v/>
      </c>
      <c r="F969" s="7">
        <f>'1 datos preparados'!E962</f>
        <v/>
      </c>
      <c r="G969" s="7">
        <f>'1 datos preparados'!F962</f>
        <v/>
      </c>
      <c r="H969" s="7">
        <f>'1 datos preparados'!G962</f>
        <v/>
      </c>
      <c r="I969" s="7">
        <f>'1 datos preparados'!H962</f>
        <v/>
      </c>
      <c r="J969" s="7">
        <f>'1 datos preparados'!I962</f>
        <v/>
      </c>
      <c r="K969" s="7">
        <f>'1 datos preparados'!J962</f>
        <v/>
      </c>
      <c r="L969" s="7">
        <f>'1 datos preparados'!K962</f>
        <v/>
      </c>
      <c r="M969" s="7">
        <f>'1 datos preparados'!L962</f>
        <v/>
      </c>
      <c r="N969" s="7">
        <f>'1 datos preparados'!M962</f>
        <v/>
      </c>
      <c r="O969" s="7">
        <f>'1 datos preparados'!N962</f>
        <v/>
      </c>
      <c r="P969" s="7">
        <f>'1 datos preparados'!O962</f>
        <v/>
      </c>
      <c r="Q969" s="7">
        <f>'1 datos preparados'!P962</f>
        <v/>
      </c>
      <c r="R969" s="7">
        <f>'1 datos preparados'!Q962</f>
        <v/>
      </c>
      <c r="S969" s="7">
        <f>'1 datos preparados'!R962</f>
        <v/>
      </c>
      <c r="T969" s="7">
        <f>'1 datos preparados'!S962</f>
        <v/>
      </c>
      <c r="U969" s="7">
        <f>'1 datos preparados'!T962</f>
        <v/>
      </c>
      <c r="V969" s="8">
        <f>$AE$12+D969*$AE$13+E969*$AE$14+F969*$AE$15+G969*$AE$16+H969*$AE$17+I969*$AE$18+J969*$AE$19+K969*$AE$20+L969*$AE$21+M969*$AE$22+N969*$AE$23+O969*$AE$24+P969*$AE$25+Q969*$AE$26+R969*$AE$27+S969*$AE$28+T969*$AE$29+U969*$AE$30</f>
        <v/>
      </c>
      <c r="W969" s="8">
        <f>1/(1+EXP(-V969))</f>
        <v/>
      </c>
      <c r="X969" s="9">
        <f>-IF(C969=1,LN(W969),LN(1-W969))</f>
        <v/>
      </c>
      <c r="Y969" s="8">
        <f>IF(C969=1,$AE$32,$AE$33)</f>
        <v/>
      </c>
      <c r="Z969" s="9">
        <f>Y969*X969</f>
        <v/>
      </c>
      <c r="AA969" s="10">
        <f>IF(W969&gt;$AE$34,1,0)</f>
        <v/>
      </c>
      <c r="AB969">
        <f>IF(AA969=C969,1,0)</f>
        <v/>
      </c>
    </row>
    <row r="970">
      <c r="A970">
        <f>'1 datos preparados'!A963</f>
        <v/>
      </c>
      <c r="B970" s="5">
        <f>'1 datos preparados'!U963</f>
        <v/>
      </c>
      <c r="C970">
        <f>'1 datos preparados'!B963</f>
        <v/>
      </c>
      <c r="D970" s="7">
        <f>'1 datos preparados'!C963</f>
        <v/>
      </c>
      <c r="E970" s="7">
        <f>'1 datos preparados'!D963</f>
        <v/>
      </c>
      <c r="F970" s="7">
        <f>'1 datos preparados'!E963</f>
        <v/>
      </c>
      <c r="G970" s="7">
        <f>'1 datos preparados'!F963</f>
        <v/>
      </c>
      <c r="H970" s="7">
        <f>'1 datos preparados'!G963</f>
        <v/>
      </c>
      <c r="I970" s="7">
        <f>'1 datos preparados'!H963</f>
        <v/>
      </c>
      <c r="J970" s="7">
        <f>'1 datos preparados'!I963</f>
        <v/>
      </c>
      <c r="K970" s="7">
        <f>'1 datos preparados'!J963</f>
        <v/>
      </c>
      <c r="L970" s="7">
        <f>'1 datos preparados'!K963</f>
        <v/>
      </c>
      <c r="M970" s="7">
        <f>'1 datos preparados'!L963</f>
        <v/>
      </c>
      <c r="N970" s="7">
        <f>'1 datos preparados'!M963</f>
        <v/>
      </c>
      <c r="O970" s="7">
        <f>'1 datos preparados'!N963</f>
        <v/>
      </c>
      <c r="P970" s="7">
        <f>'1 datos preparados'!O963</f>
        <v/>
      </c>
      <c r="Q970" s="7">
        <f>'1 datos preparados'!P963</f>
        <v/>
      </c>
      <c r="R970" s="7">
        <f>'1 datos preparados'!Q963</f>
        <v/>
      </c>
      <c r="S970" s="7">
        <f>'1 datos preparados'!R963</f>
        <v/>
      </c>
      <c r="T970" s="7">
        <f>'1 datos preparados'!S963</f>
        <v/>
      </c>
      <c r="U970" s="7">
        <f>'1 datos preparados'!T963</f>
        <v/>
      </c>
      <c r="V970" s="8">
        <f>$AE$12+D970*$AE$13+E970*$AE$14+F970*$AE$15+G970*$AE$16+H970*$AE$17+I970*$AE$18+J970*$AE$19+K970*$AE$20+L970*$AE$21+M970*$AE$22+N970*$AE$23+O970*$AE$24+P970*$AE$25+Q970*$AE$26+R970*$AE$27+S970*$AE$28+T970*$AE$29+U970*$AE$30</f>
        <v/>
      </c>
      <c r="W970" s="8">
        <f>1/(1+EXP(-V970))</f>
        <v/>
      </c>
      <c r="X970" s="9">
        <f>-IF(C970=1,LN(W970),LN(1-W970))</f>
        <v/>
      </c>
      <c r="Y970" s="8">
        <f>IF(C970=1,$AE$32,$AE$33)</f>
        <v/>
      </c>
      <c r="Z970" s="9">
        <f>Y970*X970</f>
        <v/>
      </c>
      <c r="AA970" s="10">
        <f>IF(W970&gt;$AE$34,1,0)</f>
        <v/>
      </c>
      <c r="AB970">
        <f>IF(AA970=C970,1,0)</f>
        <v/>
      </c>
    </row>
    <row r="971">
      <c r="A971">
        <f>'1 datos preparados'!A964</f>
        <v/>
      </c>
      <c r="B971" s="5">
        <f>'1 datos preparados'!U964</f>
        <v/>
      </c>
      <c r="C971">
        <f>'1 datos preparados'!B964</f>
        <v/>
      </c>
      <c r="D971" s="7">
        <f>'1 datos preparados'!C964</f>
        <v/>
      </c>
      <c r="E971" s="7">
        <f>'1 datos preparados'!D964</f>
        <v/>
      </c>
      <c r="F971" s="7">
        <f>'1 datos preparados'!E964</f>
        <v/>
      </c>
      <c r="G971" s="7">
        <f>'1 datos preparados'!F964</f>
        <v/>
      </c>
      <c r="H971" s="7">
        <f>'1 datos preparados'!G964</f>
        <v/>
      </c>
      <c r="I971" s="7">
        <f>'1 datos preparados'!H964</f>
        <v/>
      </c>
      <c r="J971" s="7">
        <f>'1 datos preparados'!I964</f>
        <v/>
      </c>
      <c r="K971" s="7">
        <f>'1 datos preparados'!J964</f>
        <v/>
      </c>
      <c r="L971" s="7">
        <f>'1 datos preparados'!K964</f>
        <v/>
      </c>
      <c r="M971" s="7">
        <f>'1 datos preparados'!L964</f>
        <v/>
      </c>
      <c r="N971" s="7">
        <f>'1 datos preparados'!M964</f>
        <v/>
      </c>
      <c r="O971" s="7">
        <f>'1 datos preparados'!N964</f>
        <v/>
      </c>
      <c r="P971" s="7">
        <f>'1 datos preparados'!O964</f>
        <v/>
      </c>
      <c r="Q971" s="7">
        <f>'1 datos preparados'!P964</f>
        <v/>
      </c>
      <c r="R971" s="7">
        <f>'1 datos preparados'!Q964</f>
        <v/>
      </c>
      <c r="S971" s="7">
        <f>'1 datos preparados'!R964</f>
        <v/>
      </c>
      <c r="T971" s="7">
        <f>'1 datos preparados'!S964</f>
        <v/>
      </c>
      <c r="U971" s="7">
        <f>'1 datos preparados'!T964</f>
        <v/>
      </c>
      <c r="V971" s="8">
        <f>$AE$12+D971*$AE$13+E971*$AE$14+F971*$AE$15+G971*$AE$16+H971*$AE$17+I971*$AE$18+J971*$AE$19+K971*$AE$20+L971*$AE$21+M971*$AE$22+N971*$AE$23+O971*$AE$24+P971*$AE$25+Q971*$AE$26+R971*$AE$27+S971*$AE$28+T971*$AE$29+U971*$AE$30</f>
        <v/>
      </c>
      <c r="W971" s="8">
        <f>1/(1+EXP(-V971))</f>
        <v/>
      </c>
      <c r="X971" s="9">
        <f>-IF(C971=1,LN(W971),LN(1-W971))</f>
        <v/>
      </c>
      <c r="Y971" s="8">
        <f>IF(C971=1,$AE$32,$AE$33)</f>
        <v/>
      </c>
      <c r="Z971" s="9">
        <f>Y971*X971</f>
        <v/>
      </c>
      <c r="AA971" s="10">
        <f>IF(W971&gt;$AE$34,1,0)</f>
        <v/>
      </c>
      <c r="AB971">
        <f>IF(AA971=C971,1,0)</f>
        <v/>
      </c>
    </row>
    <row r="972">
      <c r="A972">
        <f>'1 datos preparados'!A965</f>
        <v/>
      </c>
      <c r="B972" s="5">
        <f>'1 datos preparados'!U965</f>
        <v/>
      </c>
      <c r="C972">
        <f>'1 datos preparados'!B965</f>
        <v/>
      </c>
      <c r="D972" s="7">
        <f>'1 datos preparados'!C965</f>
        <v/>
      </c>
      <c r="E972" s="7">
        <f>'1 datos preparados'!D965</f>
        <v/>
      </c>
      <c r="F972" s="7">
        <f>'1 datos preparados'!E965</f>
        <v/>
      </c>
      <c r="G972" s="7">
        <f>'1 datos preparados'!F965</f>
        <v/>
      </c>
      <c r="H972" s="7">
        <f>'1 datos preparados'!G965</f>
        <v/>
      </c>
      <c r="I972" s="7">
        <f>'1 datos preparados'!H965</f>
        <v/>
      </c>
      <c r="J972" s="7">
        <f>'1 datos preparados'!I965</f>
        <v/>
      </c>
      <c r="K972" s="7">
        <f>'1 datos preparados'!J965</f>
        <v/>
      </c>
      <c r="L972" s="7">
        <f>'1 datos preparados'!K965</f>
        <v/>
      </c>
      <c r="M972" s="7">
        <f>'1 datos preparados'!L965</f>
        <v/>
      </c>
      <c r="N972" s="7">
        <f>'1 datos preparados'!M965</f>
        <v/>
      </c>
      <c r="O972" s="7">
        <f>'1 datos preparados'!N965</f>
        <v/>
      </c>
      <c r="P972" s="7">
        <f>'1 datos preparados'!O965</f>
        <v/>
      </c>
      <c r="Q972" s="7">
        <f>'1 datos preparados'!P965</f>
        <v/>
      </c>
      <c r="R972" s="7">
        <f>'1 datos preparados'!Q965</f>
        <v/>
      </c>
      <c r="S972" s="7">
        <f>'1 datos preparados'!R965</f>
        <v/>
      </c>
      <c r="T972" s="7">
        <f>'1 datos preparados'!S965</f>
        <v/>
      </c>
      <c r="U972" s="7">
        <f>'1 datos preparados'!T965</f>
        <v/>
      </c>
      <c r="V972" s="8">
        <f>$AE$12+D972*$AE$13+E972*$AE$14+F972*$AE$15+G972*$AE$16+H972*$AE$17+I972*$AE$18+J972*$AE$19+K972*$AE$20+L972*$AE$21+M972*$AE$22+N972*$AE$23+O972*$AE$24+P972*$AE$25+Q972*$AE$26+R972*$AE$27+S972*$AE$28+T972*$AE$29+U972*$AE$30</f>
        <v/>
      </c>
      <c r="W972" s="8">
        <f>1/(1+EXP(-V972))</f>
        <v/>
      </c>
      <c r="X972" s="9">
        <f>-IF(C972=1,LN(W972),LN(1-W972))</f>
        <v/>
      </c>
      <c r="Y972" s="8">
        <f>IF(C972=1,$AE$32,$AE$33)</f>
        <v/>
      </c>
      <c r="Z972" s="9">
        <f>Y972*X972</f>
        <v/>
      </c>
      <c r="AA972" s="10">
        <f>IF(W972&gt;$AE$34,1,0)</f>
        <v/>
      </c>
      <c r="AB972">
        <f>IF(AA972=C972,1,0)</f>
        <v/>
      </c>
    </row>
    <row r="973">
      <c r="A973">
        <f>'1 datos preparados'!A966</f>
        <v/>
      </c>
      <c r="B973" s="5">
        <f>'1 datos preparados'!U966</f>
        <v/>
      </c>
      <c r="C973">
        <f>'1 datos preparados'!B966</f>
        <v/>
      </c>
      <c r="D973" s="7">
        <f>'1 datos preparados'!C966</f>
        <v/>
      </c>
      <c r="E973" s="7">
        <f>'1 datos preparados'!D966</f>
        <v/>
      </c>
      <c r="F973" s="7">
        <f>'1 datos preparados'!E966</f>
        <v/>
      </c>
      <c r="G973" s="7">
        <f>'1 datos preparados'!F966</f>
        <v/>
      </c>
      <c r="H973" s="7">
        <f>'1 datos preparados'!G966</f>
        <v/>
      </c>
      <c r="I973" s="7">
        <f>'1 datos preparados'!H966</f>
        <v/>
      </c>
      <c r="J973" s="7">
        <f>'1 datos preparados'!I966</f>
        <v/>
      </c>
      <c r="K973" s="7">
        <f>'1 datos preparados'!J966</f>
        <v/>
      </c>
      <c r="L973" s="7">
        <f>'1 datos preparados'!K966</f>
        <v/>
      </c>
      <c r="M973" s="7">
        <f>'1 datos preparados'!L966</f>
        <v/>
      </c>
      <c r="N973" s="7">
        <f>'1 datos preparados'!M966</f>
        <v/>
      </c>
      <c r="O973" s="7">
        <f>'1 datos preparados'!N966</f>
        <v/>
      </c>
      <c r="P973" s="7">
        <f>'1 datos preparados'!O966</f>
        <v/>
      </c>
      <c r="Q973" s="7">
        <f>'1 datos preparados'!P966</f>
        <v/>
      </c>
      <c r="R973" s="7">
        <f>'1 datos preparados'!Q966</f>
        <v/>
      </c>
      <c r="S973" s="7">
        <f>'1 datos preparados'!R966</f>
        <v/>
      </c>
      <c r="T973" s="7">
        <f>'1 datos preparados'!S966</f>
        <v/>
      </c>
      <c r="U973" s="7">
        <f>'1 datos preparados'!T966</f>
        <v/>
      </c>
      <c r="V973" s="8">
        <f>$AE$12+D973*$AE$13+E973*$AE$14+F973*$AE$15+G973*$AE$16+H973*$AE$17+I973*$AE$18+J973*$AE$19+K973*$AE$20+L973*$AE$21+M973*$AE$22+N973*$AE$23+O973*$AE$24+P973*$AE$25+Q973*$AE$26+R973*$AE$27+S973*$AE$28+T973*$AE$29+U973*$AE$30</f>
        <v/>
      </c>
      <c r="W973" s="8">
        <f>1/(1+EXP(-V973))</f>
        <v/>
      </c>
      <c r="X973" s="9">
        <f>-IF(C973=1,LN(W973),LN(1-W973))</f>
        <v/>
      </c>
      <c r="Y973" s="8">
        <f>IF(C973=1,$AE$32,$AE$33)</f>
        <v/>
      </c>
      <c r="Z973" s="9">
        <f>Y973*X973</f>
        <v/>
      </c>
      <c r="AA973" s="10">
        <f>IF(W973&gt;$AE$34,1,0)</f>
        <v/>
      </c>
      <c r="AB973">
        <f>IF(AA973=C973,1,0)</f>
        <v/>
      </c>
    </row>
    <row r="974">
      <c r="A974">
        <f>'1 datos preparados'!A967</f>
        <v/>
      </c>
      <c r="B974" s="5">
        <f>'1 datos preparados'!U967</f>
        <v/>
      </c>
      <c r="C974">
        <f>'1 datos preparados'!B967</f>
        <v/>
      </c>
      <c r="D974" s="7">
        <f>'1 datos preparados'!C967</f>
        <v/>
      </c>
      <c r="E974" s="7">
        <f>'1 datos preparados'!D967</f>
        <v/>
      </c>
      <c r="F974" s="7">
        <f>'1 datos preparados'!E967</f>
        <v/>
      </c>
      <c r="G974" s="7">
        <f>'1 datos preparados'!F967</f>
        <v/>
      </c>
      <c r="H974" s="7">
        <f>'1 datos preparados'!G967</f>
        <v/>
      </c>
      <c r="I974" s="7">
        <f>'1 datos preparados'!H967</f>
        <v/>
      </c>
      <c r="J974" s="7">
        <f>'1 datos preparados'!I967</f>
        <v/>
      </c>
      <c r="K974" s="7">
        <f>'1 datos preparados'!J967</f>
        <v/>
      </c>
      <c r="L974" s="7">
        <f>'1 datos preparados'!K967</f>
        <v/>
      </c>
      <c r="M974" s="7">
        <f>'1 datos preparados'!L967</f>
        <v/>
      </c>
      <c r="N974" s="7">
        <f>'1 datos preparados'!M967</f>
        <v/>
      </c>
      <c r="O974" s="7">
        <f>'1 datos preparados'!N967</f>
        <v/>
      </c>
      <c r="P974" s="7">
        <f>'1 datos preparados'!O967</f>
        <v/>
      </c>
      <c r="Q974" s="7">
        <f>'1 datos preparados'!P967</f>
        <v/>
      </c>
      <c r="R974" s="7">
        <f>'1 datos preparados'!Q967</f>
        <v/>
      </c>
      <c r="S974" s="7">
        <f>'1 datos preparados'!R967</f>
        <v/>
      </c>
      <c r="T974" s="7">
        <f>'1 datos preparados'!S967</f>
        <v/>
      </c>
      <c r="U974" s="7">
        <f>'1 datos preparados'!T967</f>
        <v/>
      </c>
      <c r="V974" s="8">
        <f>$AE$12+D974*$AE$13+E974*$AE$14+F974*$AE$15+G974*$AE$16+H974*$AE$17+I974*$AE$18+J974*$AE$19+K974*$AE$20+L974*$AE$21+M974*$AE$22+N974*$AE$23+O974*$AE$24+P974*$AE$25+Q974*$AE$26+R974*$AE$27+S974*$AE$28+T974*$AE$29+U974*$AE$30</f>
        <v/>
      </c>
      <c r="W974" s="8">
        <f>1/(1+EXP(-V974))</f>
        <v/>
      </c>
      <c r="X974" s="9">
        <f>-IF(C974=1,LN(W974),LN(1-W974))</f>
        <v/>
      </c>
      <c r="Y974" s="8">
        <f>IF(C974=1,$AE$32,$AE$33)</f>
        <v/>
      </c>
      <c r="Z974" s="9">
        <f>Y974*X974</f>
        <v/>
      </c>
      <c r="AA974" s="10">
        <f>IF(W974&gt;$AE$34,1,0)</f>
        <v/>
      </c>
      <c r="AB974">
        <f>IF(AA974=C974,1,0)</f>
        <v/>
      </c>
    </row>
    <row r="975">
      <c r="A975">
        <f>'1 datos preparados'!A968</f>
        <v/>
      </c>
      <c r="B975" s="5">
        <f>'1 datos preparados'!U968</f>
        <v/>
      </c>
      <c r="C975">
        <f>'1 datos preparados'!B968</f>
        <v/>
      </c>
      <c r="D975" s="7">
        <f>'1 datos preparados'!C968</f>
        <v/>
      </c>
      <c r="E975" s="7">
        <f>'1 datos preparados'!D968</f>
        <v/>
      </c>
      <c r="F975" s="7">
        <f>'1 datos preparados'!E968</f>
        <v/>
      </c>
      <c r="G975" s="7">
        <f>'1 datos preparados'!F968</f>
        <v/>
      </c>
      <c r="H975" s="7">
        <f>'1 datos preparados'!G968</f>
        <v/>
      </c>
      <c r="I975" s="7">
        <f>'1 datos preparados'!H968</f>
        <v/>
      </c>
      <c r="J975" s="7">
        <f>'1 datos preparados'!I968</f>
        <v/>
      </c>
      <c r="K975" s="7">
        <f>'1 datos preparados'!J968</f>
        <v/>
      </c>
      <c r="L975" s="7">
        <f>'1 datos preparados'!K968</f>
        <v/>
      </c>
      <c r="M975" s="7">
        <f>'1 datos preparados'!L968</f>
        <v/>
      </c>
      <c r="N975" s="7">
        <f>'1 datos preparados'!M968</f>
        <v/>
      </c>
      <c r="O975" s="7">
        <f>'1 datos preparados'!N968</f>
        <v/>
      </c>
      <c r="P975" s="7">
        <f>'1 datos preparados'!O968</f>
        <v/>
      </c>
      <c r="Q975" s="7">
        <f>'1 datos preparados'!P968</f>
        <v/>
      </c>
      <c r="R975" s="7">
        <f>'1 datos preparados'!Q968</f>
        <v/>
      </c>
      <c r="S975" s="7">
        <f>'1 datos preparados'!R968</f>
        <v/>
      </c>
      <c r="T975" s="7">
        <f>'1 datos preparados'!S968</f>
        <v/>
      </c>
      <c r="U975" s="7">
        <f>'1 datos preparados'!T968</f>
        <v/>
      </c>
      <c r="V975" s="8">
        <f>$AE$12+D975*$AE$13+E975*$AE$14+F975*$AE$15+G975*$AE$16+H975*$AE$17+I975*$AE$18+J975*$AE$19+K975*$AE$20+L975*$AE$21+M975*$AE$22+N975*$AE$23+O975*$AE$24+P975*$AE$25+Q975*$AE$26+R975*$AE$27+S975*$AE$28+T975*$AE$29+U975*$AE$30</f>
        <v/>
      </c>
      <c r="W975" s="8">
        <f>1/(1+EXP(-V975))</f>
        <v/>
      </c>
      <c r="X975" s="9">
        <f>-IF(C975=1,LN(W975),LN(1-W975))</f>
        <v/>
      </c>
      <c r="Y975" s="8">
        <f>IF(C975=1,$AE$32,$AE$33)</f>
        <v/>
      </c>
      <c r="Z975" s="9">
        <f>Y975*X975</f>
        <v/>
      </c>
      <c r="AA975" s="10">
        <f>IF(W975&gt;$AE$34,1,0)</f>
        <v/>
      </c>
      <c r="AB975">
        <f>IF(AA975=C975,1,0)</f>
        <v/>
      </c>
    </row>
    <row r="976">
      <c r="A976">
        <f>'1 datos preparados'!A969</f>
        <v/>
      </c>
      <c r="B976" s="5">
        <f>'1 datos preparados'!U969</f>
        <v/>
      </c>
      <c r="C976">
        <f>'1 datos preparados'!B969</f>
        <v/>
      </c>
      <c r="D976" s="7">
        <f>'1 datos preparados'!C969</f>
        <v/>
      </c>
      <c r="E976" s="7">
        <f>'1 datos preparados'!D969</f>
        <v/>
      </c>
      <c r="F976" s="7">
        <f>'1 datos preparados'!E969</f>
        <v/>
      </c>
      <c r="G976" s="7">
        <f>'1 datos preparados'!F969</f>
        <v/>
      </c>
      <c r="H976" s="7">
        <f>'1 datos preparados'!G969</f>
        <v/>
      </c>
      <c r="I976" s="7">
        <f>'1 datos preparados'!H969</f>
        <v/>
      </c>
      <c r="J976" s="7">
        <f>'1 datos preparados'!I969</f>
        <v/>
      </c>
      <c r="K976" s="7">
        <f>'1 datos preparados'!J969</f>
        <v/>
      </c>
      <c r="L976" s="7">
        <f>'1 datos preparados'!K969</f>
        <v/>
      </c>
      <c r="M976" s="7">
        <f>'1 datos preparados'!L969</f>
        <v/>
      </c>
      <c r="N976" s="7">
        <f>'1 datos preparados'!M969</f>
        <v/>
      </c>
      <c r="O976" s="7">
        <f>'1 datos preparados'!N969</f>
        <v/>
      </c>
      <c r="P976" s="7">
        <f>'1 datos preparados'!O969</f>
        <v/>
      </c>
      <c r="Q976" s="7">
        <f>'1 datos preparados'!P969</f>
        <v/>
      </c>
      <c r="R976" s="7">
        <f>'1 datos preparados'!Q969</f>
        <v/>
      </c>
      <c r="S976" s="7">
        <f>'1 datos preparados'!R969</f>
        <v/>
      </c>
      <c r="T976" s="7">
        <f>'1 datos preparados'!S969</f>
        <v/>
      </c>
      <c r="U976" s="7">
        <f>'1 datos preparados'!T969</f>
        <v/>
      </c>
      <c r="V976" s="8">
        <f>$AE$12+D976*$AE$13+E976*$AE$14+F976*$AE$15+G976*$AE$16+H976*$AE$17+I976*$AE$18+J976*$AE$19+K976*$AE$20+L976*$AE$21+M976*$AE$22+N976*$AE$23+O976*$AE$24+P976*$AE$25+Q976*$AE$26+R976*$AE$27+S976*$AE$28+T976*$AE$29+U976*$AE$30</f>
        <v/>
      </c>
      <c r="W976" s="8">
        <f>1/(1+EXP(-V976))</f>
        <v/>
      </c>
      <c r="X976" s="9">
        <f>-IF(C976=1,LN(W976),LN(1-W976))</f>
        <v/>
      </c>
      <c r="Y976" s="8">
        <f>IF(C976=1,$AE$32,$AE$33)</f>
        <v/>
      </c>
      <c r="Z976" s="9">
        <f>Y976*X976</f>
        <v/>
      </c>
      <c r="AA976" s="10">
        <f>IF(W976&gt;$AE$34,1,0)</f>
        <v/>
      </c>
      <c r="AB976">
        <f>IF(AA976=C976,1,0)</f>
        <v/>
      </c>
    </row>
    <row r="977">
      <c r="A977">
        <f>'1 datos preparados'!A970</f>
        <v/>
      </c>
      <c r="B977" s="5">
        <f>'1 datos preparados'!U970</f>
        <v/>
      </c>
      <c r="C977">
        <f>'1 datos preparados'!B970</f>
        <v/>
      </c>
      <c r="D977" s="7">
        <f>'1 datos preparados'!C970</f>
        <v/>
      </c>
      <c r="E977" s="7">
        <f>'1 datos preparados'!D970</f>
        <v/>
      </c>
      <c r="F977" s="7">
        <f>'1 datos preparados'!E970</f>
        <v/>
      </c>
      <c r="G977" s="7">
        <f>'1 datos preparados'!F970</f>
        <v/>
      </c>
      <c r="H977" s="7">
        <f>'1 datos preparados'!G970</f>
        <v/>
      </c>
      <c r="I977" s="7">
        <f>'1 datos preparados'!H970</f>
        <v/>
      </c>
      <c r="J977" s="7">
        <f>'1 datos preparados'!I970</f>
        <v/>
      </c>
      <c r="K977" s="7">
        <f>'1 datos preparados'!J970</f>
        <v/>
      </c>
      <c r="L977" s="7">
        <f>'1 datos preparados'!K970</f>
        <v/>
      </c>
      <c r="M977" s="7">
        <f>'1 datos preparados'!L970</f>
        <v/>
      </c>
      <c r="N977" s="7">
        <f>'1 datos preparados'!M970</f>
        <v/>
      </c>
      <c r="O977" s="7">
        <f>'1 datos preparados'!N970</f>
        <v/>
      </c>
      <c r="P977" s="7">
        <f>'1 datos preparados'!O970</f>
        <v/>
      </c>
      <c r="Q977" s="7">
        <f>'1 datos preparados'!P970</f>
        <v/>
      </c>
      <c r="R977" s="7">
        <f>'1 datos preparados'!Q970</f>
        <v/>
      </c>
      <c r="S977" s="7">
        <f>'1 datos preparados'!R970</f>
        <v/>
      </c>
      <c r="T977" s="7">
        <f>'1 datos preparados'!S970</f>
        <v/>
      </c>
      <c r="U977" s="7">
        <f>'1 datos preparados'!T970</f>
        <v/>
      </c>
      <c r="V977" s="8">
        <f>$AE$12+D977*$AE$13+E977*$AE$14+F977*$AE$15+G977*$AE$16+H977*$AE$17+I977*$AE$18+J977*$AE$19+K977*$AE$20+L977*$AE$21+M977*$AE$22+N977*$AE$23+O977*$AE$24+P977*$AE$25+Q977*$AE$26+R977*$AE$27+S977*$AE$28+T977*$AE$29+U977*$AE$30</f>
        <v/>
      </c>
      <c r="W977" s="8">
        <f>1/(1+EXP(-V977))</f>
        <v/>
      </c>
      <c r="X977" s="9">
        <f>-IF(C977=1,LN(W977),LN(1-W977))</f>
        <v/>
      </c>
      <c r="Y977" s="8">
        <f>IF(C977=1,$AE$32,$AE$33)</f>
        <v/>
      </c>
      <c r="Z977" s="9">
        <f>Y977*X977</f>
        <v/>
      </c>
      <c r="AA977" s="10">
        <f>IF(W977&gt;$AE$34,1,0)</f>
        <v/>
      </c>
      <c r="AB977">
        <f>IF(AA977=C977,1,0)</f>
        <v/>
      </c>
    </row>
    <row r="978">
      <c r="A978">
        <f>'1 datos preparados'!A971</f>
        <v/>
      </c>
      <c r="B978" s="5">
        <f>'1 datos preparados'!U971</f>
        <v/>
      </c>
      <c r="C978">
        <f>'1 datos preparados'!B971</f>
        <v/>
      </c>
      <c r="D978" s="7">
        <f>'1 datos preparados'!C971</f>
        <v/>
      </c>
      <c r="E978" s="7">
        <f>'1 datos preparados'!D971</f>
        <v/>
      </c>
      <c r="F978" s="7">
        <f>'1 datos preparados'!E971</f>
        <v/>
      </c>
      <c r="G978" s="7">
        <f>'1 datos preparados'!F971</f>
        <v/>
      </c>
      <c r="H978" s="7">
        <f>'1 datos preparados'!G971</f>
        <v/>
      </c>
      <c r="I978" s="7">
        <f>'1 datos preparados'!H971</f>
        <v/>
      </c>
      <c r="J978" s="7">
        <f>'1 datos preparados'!I971</f>
        <v/>
      </c>
      <c r="K978" s="7">
        <f>'1 datos preparados'!J971</f>
        <v/>
      </c>
      <c r="L978" s="7">
        <f>'1 datos preparados'!K971</f>
        <v/>
      </c>
      <c r="M978" s="7">
        <f>'1 datos preparados'!L971</f>
        <v/>
      </c>
      <c r="N978" s="7">
        <f>'1 datos preparados'!M971</f>
        <v/>
      </c>
      <c r="O978" s="7">
        <f>'1 datos preparados'!N971</f>
        <v/>
      </c>
      <c r="P978" s="7">
        <f>'1 datos preparados'!O971</f>
        <v/>
      </c>
      <c r="Q978" s="7">
        <f>'1 datos preparados'!P971</f>
        <v/>
      </c>
      <c r="R978" s="7">
        <f>'1 datos preparados'!Q971</f>
        <v/>
      </c>
      <c r="S978" s="7">
        <f>'1 datos preparados'!R971</f>
        <v/>
      </c>
      <c r="T978" s="7">
        <f>'1 datos preparados'!S971</f>
        <v/>
      </c>
      <c r="U978" s="7">
        <f>'1 datos preparados'!T971</f>
        <v/>
      </c>
      <c r="V978" s="8">
        <f>$AE$12+D978*$AE$13+E978*$AE$14+F978*$AE$15+G978*$AE$16+H978*$AE$17+I978*$AE$18+J978*$AE$19+K978*$AE$20+L978*$AE$21+M978*$AE$22+N978*$AE$23+O978*$AE$24+P978*$AE$25+Q978*$AE$26+R978*$AE$27+S978*$AE$28+T978*$AE$29+U978*$AE$30</f>
        <v/>
      </c>
      <c r="W978" s="8">
        <f>1/(1+EXP(-V978))</f>
        <v/>
      </c>
      <c r="X978" s="9">
        <f>-IF(C978=1,LN(W978),LN(1-W978))</f>
        <v/>
      </c>
      <c r="Y978" s="8">
        <f>IF(C978=1,$AE$32,$AE$33)</f>
        <v/>
      </c>
      <c r="Z978" s="9">
        <f>Y978*X978</f>
        <v/>
      </c>
      <c r="AA978" s="10">
        <f>IF(W978&gt;$AE$34,1,0)</f>
        <v/>
      </c>
      <c r="AB978">
        <f>IF(AA978=C978,1,0)</f>
        <v/>
      </c>
    </row>
    <row r="979">
      <c r="A979">
        <f>'1 datos preparados'!A972</f>
        <v/>
      </c>
      <c r="B979" s="5">
        <f>'1 datos preparados'!U972</f>
        <v/>
      </c>
      <c r="C979">
        <f>'1 datos preparados'!B972</f>
        <v/>
      </c>
      <c r="D979" s="7">
        <f>'1 datos preparados'!C972</f>
        <v/>
      </c>
      <c r="E979" s="7">
        <f>'1 datos preparados'!D972</f>
        <v/>
      </c>
      <c r="F979" s="7">
        <f>'1 datos preparados'!E972</f>
        <v/>
      </c>
      <c r="G979" s="7">
        <f>'1 datos preparados'!F972</f>
        <v/>
      </c>
      <c r="H979" s="7">
        <f>'1 datos preparados'!G972</f>
        <v/>
      </c>
      <c r="I979" s="7">
        <f>'1 datos preparados'!H972</f>
        <v/>
      </c>
      <c r="J979" s="7">
        <f>'1 datos preparados'!I972</f>
        <v/>
      </c>
      <c r="K979" s="7">
        <f>'1 datos preparados'!J972</f>
        <v/>
      </c>
      <c r="L979" s="7">
        <f>'1 datos preparados'!K972</f>
        <v/>
      </c>
      <c r="M979" s="7">
        <f>'1 datos preparados'!L972</f>
        <v/>
      </c>
      <c r="N979" s="7">
        <f>'1 datos preparados'!M972</f>
        <v/>
      </c>
      <c r="O979" s="7">
        <f>'1 datos preparados'!N972</f>
        <v/>
      </c>
      <c r="P979" s="7">
        <f>'1 datos preparados'!O972</f>
        <v/>
      </c>
      <c r="Q979" s="7">
        <f>'1 datos preparados'!P972</f>
        <v/>
      </c>
      <c r="R979" s="7">
        <f>'1 datos preparados'!Q972</f>
        <v/>
      </c>
      <c r="S979" s="7">
        <f>'1 datos preparados'!R972</f>
        <v/>
      </c>
      <c r="T979" s="7">
        <f>'1 datos preparados'!S972</f>
        <v/>
      </c>
      <c r="U979" s="7">
        <f>'1 datos preparados'!T972</f>
        <v/>
      </c>
      <c r="V979" s="8">
        <f>$AE$12+D979*$AE$13+E979*$AE$14+F979*$AE$15+G979*$AE$16+H979*$AE$17+I979*$AE$18+J979*$AE$19+K979*$AE$20+L979*$AE$21+M979*$AE$22+N979*$AE$23+O979*$AE$24+P979*$AE$25+Q979*$AE$26+R979*$AE$27+S979*$AE$28+T979*$AE$29+U979*$AE$30</f>
        <v/>
      </c>
      <c r="W979" s="8">
        <f>1/(1+EXP(-V979))</f>
        <v/>
      </c>
      <c r="X979" s="9">
        <f>-IF(C979=1,LN(W979),LN(1-W979))</f>
        <v/>
      </c>
      <c r="Y979" s="8">
        <f>IF(C979=1,$AE$32,$AE$33)</f>
        <v/>
      </c>
      <c r="Z979" s="9">
        <f>Y979*X979</f>
        <v/>
      </c>
      <c r="AA979" s="10">
        <f>IF(W979&gt;$AE$34,1,0)</f>
        <v/>
      </c>
      <c r="AB979">
        <f>IF(AA979=C979,1,0)</f>
        <v/>
      </c>
    </row>
    <row r="980">
      <c r="A980">
        <f>'1 datos preparados'!A973</f>
        <v/>
      </c>
      <c r="B980" s="5">
        <f>'1 datos preparados'!U973</f>
        <v/>
      </c>
      <c r="C980">
        <f>'1 datos preparados'!B973</f>
        <v/>
      </c>
      <c r="D980" s="7">
        <f>'1 datos preparados'!C973</f>
        <v/>
      </c>
      <c r="E980" s="7">
        <f>'1 datos preparados'!D973</f>
        <v/>
      </c>
      <c r="F980" s="7">
        <f>'1 datos preparados'!E973</f>
        <v/>
      </c>
      <c r="G980" s="7">
        <f>'1 datos preparados'!F973</f>
        <v/>
      </c>
      <c r="H980" s="7">
        <f>'1 datos preparados'!G973</f>
        <v/>
      </c>
      <c r="I980" s="7">
        <f>'1 datos preparados'!H973</f>
        <v/>
      </c>
      <c r="J980" s="7">
        <f>'1 datos preparados'!I973</f>
        <v/>
      </c>
      <c r="K980" s="7">
        <f>'1 datos preparados'!J973</f>
        <v/>
      </c>
      <c r="L980" s="7">
        <f>'1 datos preparados'!K973</f>
        <v/>
      </c>
      <c r="M980" s="7">
        <f>'1 datos preparados'!L973</f>
        <v/>
      </c>
      <c r="N980" s="7">
        <f>'1 datos preparados'!M973</f>
        <v/>
      </c>
      <c r="O980" s="7">
        <f>'1 datos preparados'!N973</f>
        <v/>
      </c>
      <c r="P980" s="7">
        <f>'1 datos preparados'!O973</f>
        <v/>
      </c>
      <c r="Q980" s="7">
        <f>'1 datos preparados'!P973</f>
        <v/>
      </c>
      <c r="R980" s="7">
        <f>'1 datos preparados'!Q973</f>
        <v/>
      </c>
      <c r="S980" s="7">
        <f>'1 datos preparados'!R973</f>
        <v/>
      </c>
      <c r="T980" s="7">
        <f>'1 datos preparados'!S973</f>
        <v/>
      </c>
      <c r="U980" s="7">
        <f>'1 datos preparados'!T973</f>
        <v/>
      </c>
      <c r="V980" s="8">
        <f>$AE$12+D980*$AE$13+E980*$AE$14+F980*$AE$15+G980*$AE$16+H980*$AE$17+I980*$AE$18+J980*$AE$19+K980*$AE$20+L980*$AE$21+M980*$AE$22+N980*$AE$23+O980*$AE$24+P980*$AE$25+Q980*$AE$26+R980*$AE$27+S980*$AE$28+T980*$AE$29+U980*$AE$30</f>
        <v/>
      </c>
      <c r="W980" s="8">
        <f>1/(1+EXP(-V980))</f>
        <v/>
      </c>
      <c r="X980" s="9">
        <f>-IF(C980=1,LN(W980),LN(1-W980))</f>
        <v/>
      </c>
      <c r="Y980" s="8">
        <f>IF(C980=1,$AE$32,$AE$33)</f>
        <v/>
      </c>
      <c r="Z980" s="9">
        <f>Y980*X980</f>
        <v/>
      </c>
      <c r="AA980" s="10">
        <f>IF(W980&gt;$AE$34,1,0)</f>
        <v/>
      </c>
      <c r="AB980">
        <f>IF(AA980=C980,1,0)</f>
        <v/>
      </c>
    </row>
    <row r="981">
      <c r="A981">
        <f>'1 datos preparados'!A974</f>
        <v/>
      </c>
      <c r="B981" s="5">
        <f>'1 datos preparados'!U974</f>
        <v/>
      </c>
      <c r="C981">
        <f>'1 datos preparados'!B974</f>
        <v/>
      </c>
      <c r="D981" s="7">
        <f>'1 datos preparados'!C974</f>
        <v/>
      </c>
      <c r="E981" s="7">
        <f>'1 datos preparados'!D974</f>
        <v/>
      </c>
      <c r="F981" s="7">
        <f>'1 datos preparados'!E974</f>
        <v/>
      </c>
      <c r="G981" s="7">
        <f>'1 datos preparados'!F974</f>
        <v/>
      </c>
      <c r="H981" s="7">
        <f>'1 datos preparados'!G974</f>
        <v/>
      </c>
      <c r="I981" s="7">
        <f>'1 datos preparados'!H974</f>
        <v/>
      </c>
      <c r="J981" s="7">
        <f>'1 datos preparados'!I974</f>
        <v/>
      </c>
      <c r="K981" s="7">
        <f>'1 datos preparados'!J974</f>
        <v/>
      </c>
      <c r="L981" s="7">
        <f>'1 datos preparados'!K974</f>
        <v/>
      </c>
      <c r="M981" s="7">
        <f>'1 datos preparados'!L974</f>
        <v/>
      </c>
      <c r="N981" s="7">
        <f>'1 datos preparados'!M974</f>
        <v/>
      </c>
      <c r="O981" s="7">
        <f>'1 datos preparados'!N974</f>
        <v/>
      </c>
      <c r="P981" s="7">
        <f>'1 datos preparados'!O974</f>
        <v/>
      </c>
      <c r="Q981" s="7">
        <f>'1 datos preparados'!P974</f>
        <v/>
      </c>
      <c r="R981" s="7">
        <f>'1 datos preparados'!Q974</f>
        <v/>
      </c>
      <c r="S981" s="7">
        <f>'1 datos preparados'!R974</f>
        <v/>
      </c>
      <c r="T981" s="7">
        <f>'1 datos preparados'!S974</f>
        <v/>
      </c>
      <c r="U981" s="7">
        <f>'1 datos preparados'!T974</f>
        <v/>
      </c>
      <c r="V981" s="8">
        <f>$AE$12+D981*$AE$13+E981*$AE$14+F981*$AE$15+G981*$AE$16+H981*$AE$17+I981*$AE$18+J981*$AE$19+K981*$AE$20+L981*$AE$21+M981*$AE$22+N981*$AE$23+O981*$AE$24+P981*$AE$25+Q981*$AE$26+R981*$AE$27+S981*$AE$28+T981*$AE$29+U981*$AE$30</f>
        <v/>
      </c>
      <c r="W981" s="8">
        <f>1/(1+EXP(-V981))</f>
        <v/>
      </c>
      <c r="X981" s="9">
        <f>-IF(C981=1,LN(W981),LN(1-W981))</f>
        <v/>
      </c>
      <c r="Y981" s="8">
        <f>IF(C981=1,$AE$32,$AE$33)</f>
        <v/>
      </c>
      <c r="Z981" s="9">
        <f>Y981*X981</f>
        <v/>
      </c>
      <c r="AA981" s="10">
        <f>IF(W981&gt;$AE$34,1,0)</f>
        <v/>
      </c>
      <c r="AB981">
        <f>IF(AA981=C981,1,0)</f>
        <v/>
      </c>
    </row>
    <row r="982">
      <c r="A982">
        <f>'1 datos preparados'!A975</f>
        <v/>
      </c>
      <c r="B982" s="5">
        <f>'1 datos preparados'!U975</f>
        <v/>
      </c>
      <c r="C982">
        <f>'1 datos preparados'!B975</f>
        <v/>
      </c>
      <c r="D982" s="7">
        <f>'1 datos preparados'!C975</f>
        <v/>
      </c>
      <c r="E982" s="7">
        <f>'1 datos preparados'!D975</f>
        <v/>
      </c>
      <c r="F982" s="7">
        <f>'1 datos preparados'!E975</f>
        <v/>
      </c>
      <c r="G982" s="7">
        <f>'1 datos preparados'!F975</f>
        <v/>
      </c>
      <c r="H982" s="7">
        <f>'1 datos preparados'!G975</f>
        <v/>
      </c>
      <c r="I982" s="7">
        <f>'1 datos preparados'!H975</f>
        <v/>
      </c>
      <c r="J982" s="7">
        <f>'1 datos preparados'!I975</f>
        <v/>
      </c>
      <c r="K982" s="7">
        <f>'1 datos preparados'!J975</f>
        <v/>
      </c>
      <c r="L982" s="7">
        <f>'1 datos preparados'!K975</f>
        <v/>
      </c>
      <c r="M982" s="7">
        <f>'1 datos preparados'!L975</f>
        <v/>
      </c>
      <c r="N982" s="7">
        <f>'1 datos preparados'!M975</f>
        <v/>
      </c>
      <c r="O982" s="7">
        <f>'1 datos preparados'!N975</f>
        <v/>
      </c>
      <c r="P982" s="7">
        <f>'1 datos preparados'!O975</f>
        <v/>
      </c>
      <c r="Q982" s="7">
        <f>'1 datos preparados'!P975</f>
        <v/>
      </c>
      <c r="R982" s="7">
        <f>'1 datos preparados'!Q975</f>
        <v/>
      </c>
      <c r="S982" s="7">
        <f>'1 datos preparados'!R975</f>
        <v/>
      </c>
      <c r="T982" s="7">
        <f>'1 datos preparados'!S975</f>
        <v/>
      </c>
      <c r="U982" s="7">
        <f>'1 datos preparados'!T975</f>
        <v/>
      </c>
      <c r="V982" s="8">
        <f>$AE$12+D982*$AE$13+E982*$AE$14+F982*$AE$15+G982*$AE$16+H982*$AE$17+I982*$AE$18+J982*$AE$19+K982*$AE$20+L982*$AE$21+M982*$AE$22+N982*$AE$23+O982*$AE$24+P982*$AE$25+Q982*$AE$26+R982*$AE$27+S982*$AE$28+T982*$AE$29+U982*$AE$30</f>
        <v/>
      </c>
      <c r="W982" s="8">
        <f>1/(1+EXP(-V982))</f>
        <v/>
      </c>
      <c r="X982" s="9">
        <f>-IF(C982=1,LN(W982),LN(1-W982))</f>
        <v/>
      </c>
      <c r="Y982" s="8">
        <f>IF(C982=1,$AE$32,$AE$33)</f>
        <v/>
      </c>
      <c r="Z982" s="9">
        <f>Y982*X982</f>
        <v/>
      </c>
      <c r="AA982" s="10">
        <f>IF(W982&gt;$AE$34,1,0)</f>
        <v/>
      </c>
      <c r="AB982">
        <f>IF(AA982=C982,1,0)</f>
        <v/>
      </c>
    </row>
    <row r="983">
      <c r="A983">
        <f>'1 datos preparados'!A976</f>
        <v/>
      </c>
      <c r="B983" s="5">
        <f>'1 datos preparados'!U976</f>
        <v/>
      </c>
      <c r="C983">
        <f>'1 datos preparados'!B976</f>
        <v/>
      </c>
      <c r="D983" s="7">
        <f>'1 datos preparados'!C976</f>
        <v/>
      </c>
      <c r="E983" s="7">
        <f>'1 datos preparados'!D976</f>
        <v/>
      </c>
      <c r="F983" s="7">
        <f>'1 datos preparados'!E976</f>
        <v/>
      </c>
      <c r="G983" s="7">
        <f>'1 datos preparados'!F976</f>
        <v/>
      </c>
      <c r="H983" s="7">
        <f>'1 datos preparados'!G976</f>
        <v/>
      </c>
      <c r="I983" s="7">
        <f>'1 datos preparados'!H976</f>
        <v/>
      </c>
      <c r="J983" s="7">
        <f>'1 datos preparados'!I976</f>
        <v/>
      </c>
      <c r="K983" s="7">
        <f>'1 datos preparados'!J976</f>
        <v/>
      </c>
      <c r="L983" s="7">
        <f>'1 datos preparados'!K976</f>
        <v/>
      </c>
      <c r="M983" s="7">
        <f>'1 datos preparados'!L976</f>
        <v/>
      </c>
      <c r="N983" s="7">
        <f>'1 datos preparados'!M976</f>
        <v/>
      </c>
      <c r="O983" s="7">
        <f>'1 datos preparados'!N976</f>
        <v/>
      </c>
      <c r="P983" s="7">
        <f>'1 datos preparados'!O976</f>
        <v/>
      </c>
      <c r="Q983" s="7">
        <f>'1 datos preparados'!P976</f>
        <v/>
      </c>
      <c r="R983" s="7">
        <f>'1 datos preparados'!Q976</f>
        <v/>
      </c>
      <c r="S983" s="7">
        <f>'1 datos preparados'!R976</f>
        <v/>
      </c>
      <c r="T983" s="7">
        <f>'1 datos preparados'!S976</f>
        <v/>
      </c>
      <c r="U983" s="7">
        <f>'1 datos preparados'!T976</f>
        <v/>
      </c>
      <c r="V983" s="8">
        <f>$AE$12+D983*$AE$13+E983*$AE$14+F983*$AE$15+G983*$AE$16+H983*$AE$17+I983*$AE$18+J983*$AE$19+K983*$AE$20+L983*$AE$21+M983*$AE$22+N983*$AE$23+O983*$AE$24+P983*$AE$25+Q983*$AE$26+R983*$AE$27+S983*$AE$28+T983*$AE$29+U983*$AE$30</f>
        <v/>
      </c>
      <c r="W983" s="8">
        <f>1/(1+EXP(-V983))</f>
        <v/>
      </c>
      <c r="X983" s="9">
        <f>-IF(C983=1,LN(W983),LN(1-W983))</f>
        <v/>
      </c>
      <c r="Y983" s="8">
        <f>IF(C983=1,$AE$32,$AE$33)</f>
        <v/>
      </c>
      <c r="Z983" s="9">
        <f>Y983*X983</f>
        <v/>
      </c>
      <c r="AA983" s="10">
        <f>IF(W983&gt;$AE$34,1,0)</f>
        <v/>
      </c>
      <c r="AB983">
        <f>IF(AA983=C983,1,0)</f>
        <v/>
      </c>
    </row>
    <row r="984">
      <c r="A984">
        <f>'1 datos preparados'!A977</f>
        <v/>
      </c>
      <c r="B984" s="5">
        <f>'1 datos preparados'!U977</f>
        <v/>
      </c>
      <c r="C984">
        <f>'1 datos preparados'!B977</f>
        <v/>
      </c>
      <c r="D984" s="7">
        <f>'1 datos preparados'!C977</f>
        <v/>
      </c>
      <c r="E984" s="7">
        <f>'1 datos preparados'!D977</f>
        <v/>
      </c>
      <c r="F984" s="7">
        <f>'1 datos preparados'!E977</f>
        <v/>
      </c>
      <c r="G984" s="7">
        <f>'1 datos preparados'!F977</f>
        <v/>
      </c>
      <c r="H984" s="7">
        <f>'1 datos preparados'!G977</f>
        <v/>
      </c>
      <c r="I984" s="7">
        <f>'1 datos preparados'!H977</f>
        <v/>
      </c>
      <c r="J984" s="7">
        <f>'1 datos preparados'!I977</f>
        <v/>
      </c>
      <c r="K984" s="7">
        <f>'1 datos preparados'!J977</f>
        <v/>
      </c>
      <c r="L984" s="7">
        <f>'1 datos preparados'!K977</f>
        <v/>
      </c>
      <c r="M984" s="7">
        <f>'1 datos preparados'!L977</f>
        <v/>
      </c>
      <c r="N984" s="7">
        <f>'1 datos preparados'!M977</f>
        <v/>
      </c>
      <c r="O984" s="7">
        <f>'1 datos preparados'!N977</f>
        <v/>
      </c>
      <c r="P984" s="7">
        <f>'1 datos preparados'!O977</f>
        <v/>
      </c>
      <c r="Q984" s="7">
        <f>'1 datos preparados'!P977</f>
        <v/>
      </c>
      <c r="R984" s="7">
        <f>'1 datos preparados'!Q977</f>
        <v/>
      </c>
      <c r="S984" s="7">
        <f>'1 datos preparados'!R977</f>
        <v/>
      </c>
      <c r="T984" s="7">
        <f>'1 datos preparados'!S977</f>
        <v/>
      </c>
      <c r="U984" s="7">
        <f>'1 datos preparados'!T977</f>
        <v/>
      </c>
      <c r="V984" s="8">
        <f>$AE$12+D984*$AE$13+E984*$AE$14+F984*$AE$15+G984*$AE$16+H984*$AE$17+I984*$AE$18+J984*$AE$19+K984*$AE$20+L984*$AE$21+M984*$AE$22+N984*$AE$23+O984*$AE$24+P984*$AE$25+Q984*$AE$26+R984*$AE$27+S984*$AE$28+T984*$AE$29+U984*$AE$30</f>
        <v/>
      </c>
      <c r="W984" s="8">
        <f>1/(1+EXP(-V984))</f>
        <v/>
      </c>
      <c r="X984" s="9">
        <f>-IF(C984=1,LN(W984),LN(1-W984))</f>
        <v/>
      </c>
      <c r="Y984" s="8">
        <f>IF(C984=1,$AE$32,$AE$33)</f>
        <v/>
      </c>
      <c r="Z984" s="9">
        <f>Y984*X984</f>
        <v/>
      </c>
      <c r="AA984" s="10">
        <f>IF(W984&gt;$AE$34,1,0)</f>
        <v/>
      </c>
      <c r="AB984">
        <f>IF(AA984=C984,1,0)</f>
        <v/>
      </c>
    </row>
    <row r="985">
      <c r="A985">
        <f>'1 datos preparados'!A978</f>
        <v/>
      </c>
      <c r="B985" s="5">
        <f>'1 datos preparados'!U978</f>
        <v/>
      </c>
      <c r="C985">
        <f>'1 datos preparados'!B978</f>
        <v/>
      </c>
      <c r="D985" s="7">
        <f>'1 datos preparados'!C978</f>
        <v/>
      </c>
      <c r="E985" s="7">
        <f>'1 datos preparados'!D978</f>
        <v/>
      </c>
      <c r="F985" s="7">
        <f>'1 datos preparados'!E978</f>
        <v/>
      </c>
      <c r="G985" s="7">
        <f>'1 datos preparados'!F978</f>
        <v/>
      </c>
      <c r="H985" s="7">
        <f>'1 datos preparados'!G978</f>
        <v/>
      </c>
      <c r="I985" s="7">
        <f>'1 datos preparados'!H978</f>
        <v/>
      </c>
      <c r="J985" s="7">
        <f>'1 datos preparados'!I978</f>
        <v/>
      </c>
      <c r="K985" s="7">
        <f>'1 datos preparados'!J978</f>
        <v/>
      </c>
      <c r="L985" s="7">
        <f>'1 datos preparados'!K978</f>
        <v/>
      </c>
      <c r="M985" s="7">
        <f>'1 datos preparados'!L978</f>
        <v/>
      </c>
      <c r="N985" s="7">
        <f>'1 datos preparados'!M978</f>
        <v/>
      </c>
      <c r="O985" s="7">
        <f>'1 datos preparados'!N978</f>
        <v/>
      </c>
      <c r="P985" s="7">
        <f>'1 datos preparados'!O978</f>
        <v/>
      </c>
      <c r="Q985" s="7">
        <f>'1 datos preparados'!P978</f>
        <v/>
      </c>
      <c r="R985" s="7">
        <f>'1 datos preparados'!Q978</f>
        <v/>
      </c>
      <c r="S985" s="7">
        <f>'1 datos preparados'!R978</f>
        <v/>
      </c>
      <c r="T985" s="7">
        <f>'1 datos preparados'!S978</f>
        <v/>
      </c>
      <c r="U985" s="7">
        <f>'1 datos preparados'!T978</f>
        <v/>
      </c>
      <c r="V985" s="8">
        <f>$AE$12+D985*$AE$13+E985*$AE$14+F985*$AE$15+G985*$AE$16+H985*$AE$17+I985*$AE$18+J985*$AE$19+K985*$AE$20+L985*$AE$21+M985*$AE$22+N985*$AE$23+O985*$AE$24+P985*$AE$25+Q985*$AE$26+R985*$AE$27+S985*$AE$28+T985*$AE$29+U985*$AE$30</f>
        <v/>
      </c>
      <c r="W985" s="8">
        <f>1/(1+EXP(-V985))</f>
        <v/>
      </c>
      <c r="X985" s="9">
        <f>-IF(C985=1,LN(W985),LN(1-W985))</f>
        <v/>
      </c>
      <c r="Y985" s="8">
        <f>IF(C985=1,$AE$32,$AE$33)</f>
        <v/>
      </c>
      <c r="Z985" s="9">
        <f>Y985*X985</f>
        <v/>
      </c>
      <c r="AA985" s="10">
        <f>IF(W985&gt;$AE$34,1,0)</f>
        <v/>
      </c>
      <c r="AB985">
        <f>IF(AA985=C985,1,0)</f>
        <v/>
      </c>
    </row>
    <row r="986">
      <c r="A986">
        <f>'1 datos preparados'!A979</f>
        <v/>
      </c>
      <c r="B986" s="5">
        <f>'1 datos preparados'!U979</f>
        <v/>
      </c>
      <c r="C986">
        <f>'1 datos preparados'!B979</f>
        <v/>
      </c>
      <c r="D986" s="7">
        <f>'1 datos preparados'!C979</f>
        <v/>
      </c>
      <c r="E986" s="7">
        <f>'1 datos preparados'!D979</f>
        <v/>
      </c>
      <c r="F986" s="7">
        <f>'1 datos preparados'!E979</f>
        <v/>
      </c>
      <c r="G986" s="7">
        <f>'1 datos preparados'!F979</f>
        <v/>
      </c>
      <c r="H986" s="7">
        <f>'1 datos preparados'!G979</f>
        <v/>
      </c>
      <c r="I986" s="7">
        <f>'1 datos preparados'!H979</f>
        <v/>
      </c>
      <c r="J986" s="7">
        <f>'1 datos preparados'!I979</f>
        <v/>
      </c>
      <c r="K986" s="7">
        <f>'1 datos preparados'!J979</f>
        <v/>
      </c>
      <c r="L986" s="7">
        <f>'1 datos preparados'!K979</f>
        <v/>
      </c>
      <c r="M986" s="7">
        <f>'1 datos preparados'!L979</f>
        <v/>
      </c>
      <c r="N986" s="7">
        <f>'1 datos preparados'!M979</f>
        <v/>
      </c>
      <c r="O986" s="7">
        <f>'1 datos preparados'!N979</f>
        <v/>
      </c>
      <c r="P986" s="7">
        <f>'1 datos preparados'!O979</f>
        <v/>
      </c>
      <c r="Q986" s="7">
        <f>'1 datos preparados'!P979</f>
        <v/>
      </c>
      <c r="R986" s="7">
        <f>'1 datos preparados'!Q979</f>
        <v/>
      </c>
      <c r="S986" s="7">
        <f>'1 datos preparados'!R979</f>
        <v/>
      </c>
      <c r="T986" s="7">
        <f>'1 datos preparados'!S979</f>
        <v/>
      </c>
      <c r="U986" s="7">
        <f>'1 datos preparados'!T979</f>
        <v/>
      </c>
      <c r="V986" s="8">
        <f>$AE$12+D986*$AE$13+E986*$AE$14+F986*$AE$15+G986*$AE$16+H986*$AE$17+I986*$AE$18+J986*$AE$19+K986*$AE$20+L986*$AE$21+M986*$AE$22+N986*$AE$23+O986*$AE$24+P986*$AE$25+Q986*$AE$26+R986*$AE$27+S986*$AE$28+T986*$AE$29+U986*$AE$30</f>
        <v/>
      </c>
      <c r="W986" s="8">
        <f>1/(1+EXP(-V986))</f>
        <v/>
      </c>
      <c r="X986" s="9">
        <f>-IF(C986=1,LN(W986),LN(1-W986))</f>
        <v/>
      </c>
      <c r="Y986" s="8">
        <f>IF(C986=1,$AE$32,$AE$33)</f>
        <v/>
      </c>
      <c r="Z986" s="9">
        <f>Y986*X986</f>
        <v/>
      </c>
      <c r="AA986" s="10">
        <f>IF(W986&gt;$AE$34,1,0)</f>
        <v/>
      </c>
      <c r="AB986">
        <f>IF(AA986=C986,1,0)</f>
        <v/>
      </c>
    </row>
    <row r="987">
      <c r="A987">
        <f>'1 datos preparados'!A980</f>
        <v/>
      </c>
      <c r="B987" s="5">
        <f>'1 datos preparados'!U980</f>
        <v/>
      </c>
      <c r="C987">
        <f>'1 datos preparados'!B980</f>
        <v/>
      </c>
      <c r="D987" s="7">
        <f>'1 datos preparados'!C980</f>
        <v/>
      </c>
      <c r="E987" s="7">
        <f>'1 datos preparados'!D980</f>
        <v/>
      </c>
      <c r="F987" s="7">
        <f>'1 datos preparados'!E980</f>
        <v/>
      </c>
      <c r="G987" s="7">
        <f>'1 datos preparados'!F980</f>
        <v/>
      </c>
      <c r="H987" s="7">
        <f>'1 datos preparados'!G980</f>
        <v/>
      </c>
      <c r="I987" s="7">
        <f>'1 datos preparados'!H980</f>
        <v/>
      </c>
      <c r="J987" s="7">
        <f>'1 datos preparados'!I980</f>
        <v/>
      </c>
      <c r="K987" s="7">
        <f>'1 datos preparados'!J980</f>
        <v/>
      </c>
      <c r="L987" s="7">
        <f>'1 datos preparados'!K980</f>
        <v/>
      </c>
      <c r="M987" s="7">
        <f>'1 datos preparados'!L980</f>
        <v/>
      </c>
      <c r="N987" s="7">
        <f>'1 datos preparados'!M980</f>
        <v/>
      </c>
      <c r="O987" s="7">
        <f>'1 datos preparados'!N980</f>
        <v/>
      </c>
      <c r="P987" s="7">
        <f>'1 datos preparados'!O980</f>
        <v/>
      </c>
      <c r="Q987" s="7">
        <f>'1 datos preparados'!P980</f>
        <v/>
      </c>
      <c r="R987" s="7">
        <f>'1 datos preparados'!Q980</f>
        <v/>
      </c>
      <c r="S987" s="7">
        <f>'1 datos preparados'!R980</f>
        <v/>
      </c>
      <c r="T987" s="7">
        <f>'1 datos preparados'!S980</f>
        <v/>
      </c>
      <c r="U987" s="7">
        <f>'1 datos preparados'!T980</f>
        <v/>
      </c>
      <c r="V987" s="8">
        <f>$AE$12+D987*$AE$13+E987*$AE$14+F987*$AE$15+G987*$AE$16+H987*$AE$17+I987*$AE$18+J987*$AE$19+K987*$AE$20+L987*$AE$21+M987*$AE$22+N987*$AE$23+O987*$AE$24+P987*$AE$25+Q987*$AE$26+R987*$AE$27+S987*$AE$28+T987*$AE$29+U987*$AE$30</f>
        <v/>
      </c>
      <c r="W987" s="8">
        <f>1/(1+EXP(-V987))</f>
        <v/>
      </c>
      <c r="X987" s="9">
        <f>-IF(C987=1,LN(W987),LN(1-W987))</f>
        <v/>
      </c>
      <c r="Y987" s="8">
        <f>IF(C987=1,$AE$32,$AE$33)</f>
        <v/>
      </c>
      <c r="Z987" s="9">
        <f>Y987*X987</f>
        <v/>
      </c>
      <c r="AA987" s="10">
        <f>IF(W987&gt;$AE$34,1,0)</f>
        <v/>
      </c>
      <c r="AB987">
        <f>IF(AA987=C987,1,0)</f>
        <v/>
      </c>
    </row>
    <row r="988">
      <c r="A988">
        <f>'1 datos preparados'!A981</f>
        <v/>
      </c>
      <c r="B988" s="5">
        <f>'1 datos preparados'!U981</f>
        <v/>
      </c>
      <c r="C988">
        <f>'1 datos preparados'!B981</f>
        <v/>
      </c>
      <c r="D988" s="7">
        <f>'1 datos preparados'!C981</f>
        <v/>
      </c>
      <c r="E988" s="7">
        <f>'1 datos preparados'!D981</f>
        <v/>
      </c>
      <c r="F988" s="7">
        <f>'1 datos preparados'!E981</f>
        <v/>
      </c>
      <c r="G988" s="7">
        <f>'1 datos preparados'!F981</f>
        <v/>
      </c>
      <c r="H988" s="7">
        <f>'1 datos preparados'!G981</f>
        <v/>
      </c>
      <c r="I988" s="7">
        <f>'1 datos preparados'!H981</f>
        <v/>
      </c>
      <c r="J988" s="7">
        <f>'1 datos preparados'!I981</f>
        <v/>
      </c>
      <c r="K988" s="7">
        <f>'1 datos preparados'!J981</f>
        <v/>
      </c>
      <c r="L988" s="7">
        <f>'1 datos preparados'!K981</f>
        <v/>
      </c>
      <c r="M988" s="7">
        <f>'1 datos preparados'!L981</f>
        <v/>
      </c>
      <c r="N988" s="7">
        <f>'1 datos preparados'!M981</f>
        <v/>
      </c>
      <c r="O988" s="7">
        <f>'1 datos preparados'!N981</f>
        <v/>
      </c>
      <c r="P988" s="7">
        <f>'1 datos preparados'!O981</f>
        <v/>
      </c>
      <c r="Q988" s="7">
        <f>'1 datos preparados'!P981</f>
        <v/>
      </c>
      <c r="R988" s="7">
        <f>'1 datos preparados'!Q981</f>
        <v/>
      </c>
      <c r="S988" s="7">
        <f>'1 datos preparados'!R981</f>
        <v/>
      </c>
      <c r="T988" s="7">
        <f>'1 datos preparados'!S981</f>
        <v/>
      </c>
      <c r="U988" s="7">
        <f>'1 datos preparados'!T981</f>
        <v/>
      </c>
      <c r="V988" s="8">
        <f>$AE$12+D988*$AE$13+E988*$AE$14+F988*$AE$15+G988*$AE$16+H988*$AE$17+I988*$AE$18+J988*$AE$19+K988*$AE$20+L988*$AE$21+M988*$AE$22+N988*$AE$23+O988*$AE$24+P988*$AE$25+Q988*$AE$26+R988*$AE$27+S988*$AE$28+T988*$AE$29+U988*$AE$30</f>
        <v/>
      </c>
      <c r="W988" s="8">
        <f>1/(1+EXP(-V988))</f>
        <v/>
      </c>
      <c r="X988" s="9">
        <f>-IF(C988=1,LN(W988),LN(1-W988))</f>
        <v/>
      </c>
      <c r="Y988" s="8">
        <f>IF(C988=1,$AE$32,$AE$33)</f>
        <v/>
      </c>
      <c r="Z988" s="9">
        <f>Y988*X988</f>
        <v/>
      </c>
      <c r="AA988" s="10">
        <f>IF(W988&gt;$AE$34,1,0)</f>
        <v/>
      </c>
      <c r="AB988">
        <f>IF(AA988=C988,1,0)</f>
        <v/>
      </c>
    </row>
    <row r="989">
      <c r="A989">
        <f>'1 datos preparados'!A982</f>
        <v/>
      </c>
      <c r="B989" s="5">
        <f>'1 datos preparados'!U982</f>
        <v/>
      </c>
      <c r="C989">
        <f>'1 datos preparados'!B982</f>
        <v/>
      </c>
      <c r="D989" s="7">
        <f>'1 datos preparados'!C982</f>
        <v/>
      </c>
      <c r="E989" s="7">
        <f>'1 datos preparados'!D982</f>
        <v/>
      </c>
      <c r="F989" s="7">
        <f>'1 datos preparados'!E982</f>
        <v/>
      </c>
      <c r="G989" s="7">
        <f>'1 datos preparados'!F982</f>
        <v/>
      </c>
      <c r="H989" s="7">
        <f>'1 datos preparados'!G982</f>
        <v/>
      </c>
      <c r="I989" s="7">
        <f>'1 datos preparados'!H982</f>
        <v/>
      </c>
      <c r="J989" s="7">
        <f>'1 datos preparados'!I982</f>
        <v/>
      </c>
      <c r="K989" s="7">
        <f>'1 datos preparados'!J982</f>
        <v/>
      </c>
      <c r="L989" s="7">
        <f>'1 datos preparados'!K982</f>
        <v/>
      </c>
      <c r="M989" s="7">
        <f>'1 datos preparados'!L982</f>
        <v/>
      </c>
      <c r="N989" s="7">
        <f>'1 datos preparados'!M982</f>
        <v/>
      </c>
      <c r="O989" s="7">
        <f>'1 datos preparados'!N982</f>
        <v/>
      </c>
      <c r="P989" s="7">
        <f>'1 datos preparados'!O982</f>
        <v/>
      </c>
      <c r="Q989" s="7">
        <f>'1 datos preparados'!P982</f>
        <v/>
      </c>
      <c r="R989" s="7">
        <f>'1 datos preparados'!Q982</f>
        <v/>
      </c>
      <c r="S989" s="7">
        <f>'1 datos preparados'!R982</f>
        <v/>
      </c>
      <c r="T989" s="7">
        <f>'1 datos preparados'!S982</f>
        <v/>
      </c>
      <c r="U989" s="7">
        <f>'1 datos preparados'!T982</f>
        <v/>
      </c>
      <c r="V989" s="8">
        <f>$AE$12+D989*$AE$13+E989*$AE$14+F989*$AE$15+G989*$AE$16+H989*$AE$17+I989*$AE$18+J989*$AE$19+K989*$AE$20+L989*$AE$21+M989*$AE$22+N989*$AE$23+O989*$AE$24+P989*$AE$25+Q989*$AE$26+R989*$AE$27+S989*$AE$28+T989*$AE$29+U989*$AE$30</f>
        <v/>
      </c>
      <c r="W989" s="8">
        <f>1/(1+EXP(-V989))</f>
        <v/>
      </c>
      <c r="X989" s="9">
        <f>-IF(C989=1,LN(W989),LN(1-W989))</f>
        <v/>
      </c>
      <c r="Y989" s="8">
        <f>IF(C989=1,$AE$32,$AE$33)</f>
        <v/>
      </c>
      <c r="Z989" s="9">
        <f>Y989*X989</f>
        <v/>
      </c>
      <c r="AA989" s="10">
        <f>IF(W989&gt;$AE$34,1,0)</f>
        <v/>
      </c>
      <c r="AB989">
        <f>IF(AA989=C989,1,0)</f>
        <v/>
      </c>
    </row>
    <row r="990">
      <c r="A990">
        <f>'1 datos preparados'!A983</f>
        <v/>
      </c>
      <c r="B990" s="5">
        <f>'1 datos preparados'!U983</f>
        <v/>
      </c>
      <c r="C990">
        <f>'1 datos preparados'!B983</f>
        <v/>
      </c>
      <c r="D990" s="7">
        <f>'1 datos preparados'!C983</f>
        <v/>
      </c>
      <c r="E990" s="7">
        <f>'1 datos preparados'!D983</f>
        <v/>
      </c>
      <c r="F990" s="7">
        <f>'1 datos preparados'!E983</f>
        <v/>
      </c>
      <c r="G990" s="7">
        <f>'1 datos preparados'!F983</f>
        <v/>
      </c>
      <c r="H990" s="7">
        <f>'1 datos preparados'!G983</f>
        <v/>
      </c>
      <c r="I990" s="7">
        <f>'1 datos preparados'!H983</f>
        <v/>
      </c>
      <c r="J990" s="7">
        <f>'1 datos preparados'!I983</f>
        <v/>
      </c>
      <c r="K990" s="7">
        <f>'1 datos preparados'!J983</f>
        <v/>
      </c>
      <c r="L990" s="7">
        <f>'1 datos preparados'!K983</f>
        <v/>
      </c>
      <c r="M990" s="7">
        <f>'1 datos preparados'!L983</f>
        <v/>
      </c>
      <c r="N990" s="7">
        <f>'1 datos preparados'!M983</f>
        <v/>
      </c>
      <c r="O990" s="7">
        <f>'1 datos preparados'!N983</f>
        <v/>
      </c>
      <c r="P990" s="7">
        <f>'1 datos preparados'!O983</f>
        <v/>
      </c>
      <c r="Q990" s="7">
        <f>'1 datos preparados'!P983</f>
        <v/>
      </c>
      <c r="R990" s="7">
        <f>'1 datos preparados'!Q983</f>
        <v/>
      </c>
      <c r="S990" s="7">
        <f>'1 datos preparados'!R983</f>
        <v/>
      </c>
      <c r="T990" s="7">
        <f>'1 datos preparados'!S983</f>
        <v/>
      </c>
      <c r="U990" s="7">
        <f>'1 datos preparados'!T983</f>
        <v/>
      </c>
      <c r="V990" s="8">
        <f>$AE$12+D990*$AE$13+E990*$AE$14+F990*$AE$15+G990*$AE$16+H990*$AE$17+I990*$AE$18+J990*$AE$19+K990*$AE$20+L990*$AE$21+M990*$AE$22+N990*$AE$23+O990*$AE$24+P990*$AE$25+Q990*$AE$26+R990*$AE$27+S990*$AE$28+T990*$AE$29+U990*$AE$30</f>
        <v/>
      </c>
      <c r="W990" s="8">
        <f>1/(1+EXP(-V990))</f>
        <v/>
      </c>
      <c r="X990" s="9">
        <f>-IF(C990=1,LN(W990),LN(1-W990))</f>
        <v/>
      </c>
      <c r="Y990" s="8">
        <f>IF(C990=1,$AE$32,$AE$33)</f>
        <v/>
      </c>
      <c r="Z990" s="9">
        <f>Y990*X990</f>
        <v/>
      </c>
      <c r="AA990" s="10">
        <f>IF(W990&gt;$AE$34,1,0)</f>
        <v/>
      </c>
      <c r="AB990">
        <f>IF(AA990=C990,1,0)</f>
        <v/>
      </c>
    </row>
    <row r="991">
      <c r="A991">
        <f>'1 datos preparados'!A984</f>
        <v/>
      </c>
      <c r="B991" s="5">
        <f>'1 datos preparados'!U984</f>
        <v/>
      </c>
      <c r="C991">
        <f>'1 datos preparados'!B984</f>
        <v/>
      </c>
      <c r="D991" s="7">
        <f>'1 datos preparados'!C984</f>
        <v/>
      </c>
      <c r="E991" s="7">
        <f>'1 datos preparados'!D984</f>
        <v/>
      </c>
      <c r="F991" s="7">
        <f>'1 datos preparados'!E984</f>
        <v/>
      </c>
      <c r="G991" s="7">
        <f>'1 datos preparados'!F984</f>
        <v/>
      </c>
      <c r="H991" s="7">
        <f>'1 datos preparados'!G984</f>
        <v/>
      </c>
      <c r="I991" s="7">
        <f>'1 datos preparados'!H984</f>
        <v/>
      </c>
      <c r="J991" s="7">
        <f>'1 datos preparados'!I984</f>
        <v/>
      </c>
      <c r="K991" s="7">
        <f>'1 datos preparados'!J984</f>
        <v/>
      </c>
      <c r="L991" s="7">
        <f>'1 datos preparados'!K984</f>
        <v/>
      </c>
      <c r="M991" s="7">
        <f>'1 datos preparados'!L984</f>
        <v/>
      </c>
      <c r="N991" s="7">
        <f>'1 datos preparados'!M984</f>
        <v/>
      </c>
      <c r="O991" s="7">
        <f>'1 datos preparados'!N984</f>
        <v/>
      </c>
      <c r="P991" s="7">
        <f>'1 datos preparados'!O984</f>
        <v/>
      </c>
      <c r="Q991" s="7">
        <f>'1 datos preparados'!P984</f>
        <v/>
      </c>
      <c r="R991" s="7">
        <f>'1 datos preparados'!Q984</f>
        <v/>
      </c>
      <c r="S991" s="7">
        <f>'1 datos preparados'!R984</f>
        <v/>
      </c>
      <c r="T991" s="7">
        <f>'1 datos preparados'!S984</f>
        <v/>
      </c>
      <c r="U991" s="7">
        <f>'1 datos preparados'!T984</f>
        <v/>
      </c>
      <c r="V991" s="8">
        <f>$AE$12+D991*$AE$13+E991*$AE$14+F991*$AE$15+G991*$AE$16+H991*$AE$17+I991*$AE$18+J991*$AE$19+K991*$AE$20+L991*$AE$21+M991*$AE$22+N991*$AE$23+O991*$AE$24+P991*$AE$25+Q991*$AE$26+R991*$AE$27+S991*$AE$28+T991*$AE$29+U991*$AE$30</f>
        <v/>
      </c>
      <c r="W991" s="8">
        <f>1/(1+EXP(-V991))</f>
        <v/>
      </c>
      <c r="X991" s="9">
        <f>-IF(C991=1,LN(W991),LN(1-W991))</f>
        <v/>
      </c>
      <c r="Y991" s="8">
        <f>IF(C991=1,$AE$32,$AE$33)</f>
        <v/>
      </c>
      <c r="Z991" s="9">
        <f>Y991*X991</f>
        <v/>
      </c>
      <c r="AA991" s="10">
        <f>IF(W991&gt;$AE$34,1,0)</f>
        <v/>
      </c>
      <c r="AB991">
        <f>IF(AA991=C991,1,0)</f>
        <v/>
      </c>
    </row>
    <row r="992">
      <c r="A992">
        <f>'1 datos preparados'!A985</f>
        <v/>
      </c>
      <c r="B992" s="5">
        <f>'1 datos preparados'!U985</f>
        <v/>
      </c>
      <c r="C992">
        <f>'1 datos preparados'!B985</f>
        <v/>
      </c>
      <c r="D992" s="7">
        <f>'1 datos preparados'!C985</f>
        <v/>
      </c>
      <c r="E992" s="7">
        <f>'1 datos preparados'!D985</f>
        <v/>
      </c>
      <c r="F992" s="7">
        <f>'1 datos preparados'!E985</f>
        <v/>
      </c>
      <c r="G992" s="7">
        <f>'1 datos preparados'!F985</f>
        <v/>
      </c>
      <c r="H992" s="7">
        <f>'1 datos preparados'!G985</f>
        <v/>
      </c>
      <c r="I992" s="7">
        <f>'1 datos preparados'!H985</f>
        <v/>
      </c>
      <c r="J992" s="7">
        <f>'1 datos preparados'!I985</f>
        <v/>
      </c>
      <c r="K992" s="7">
        <f>'1 datos preparados'!J985</f>
        <v/>
      </c>
      <c r="L992" s="7">
        <f>'1 datos preparados'!K985</f>
        <v/>
      </c>
      <c r="M992" s="7">
        <f>'1 datos preparados'!L985</f>
        <v/>
      </c>
      <c r="N992" s="7">
        <f>'1 datos preparados'!M985</f>
        <v/>
      </c>
      <c r="O992" s="7">
        <f>'1 datos preparados'!N985</f>
        <v/>
      </c>
      <c r="P992" s="7">
        <f>'1 datos preparados'!O985</f>
        <v/>
      </c>
      <c r="Q992" s="7">
        <f>'1 datos preparados'!P985</f>
        <v/>
      </c>
      <c r="R992" s="7">
        <f>'1 datos preparados'!Q985</f>
        <v/>
      </c>
      <c r="S992" s="7">
        <f>'1 datos preparados'!R985</f>
        <v/>
      </c>
      <c r="T992" s="7">
        <f>'1 datos preparados'!S985</f>
        <v/>
      </c>
      <c r="U992" s="7">
        <f>'1 datos preparados'!T985</f>
        <v/>
      </c>
      <c r="V992" s="8">
        <f>$AE$12+D992*$AE$13+E992*$AE$14+F992*$AE$15+G992*$AE$16+H992*$AE$17+I992*$AE$18+J992*$AE$19+K992*$AE$20+L992*$AE$21+M992*$AE$22+N992*$AE$23+O992*$AE$24+P992*$AE$25+Q992*$AE$26+R992*$AE$27+S992*$AE$28+T992*$AE$29+U992*$AE$30</f>
        <v/>
      </c>
      <c r="W992" s="8">
        <f>1/(1+EXP(-V992))</f>
        <v/>
      </c>
      <c r="X992" s="9">
        <f>-IF(C992=1,LN(W992),LN(1-W992))</f>
        <v/>
      </c>
      <c r="Y992" s="8">
        <f>IF(C992=1,$AE$32,$AE$33)</f>
        <v/>
      </c>
      <c r="Z992" s="9">
        <f>Y992*X992</f>
        <v/>
      </c>
      <c r="AA992" s="10">
        <f>IF(W992&gt;$AE$34,1,0)</f>
        <v/>
      </c>
      <c r="AB992">
        <f>IF(AA992=C992,1,0)</f>
        <v/>
      </c>
    </row>
    <row r="993">
      <c r="A993">
        <f>'1 datos preparados'!A986</f>
        <v/>
      </c>
      <c r="B993" s="5">
        <f>'1 datos preparados'!U986</f>
        <v/>
      </c>
      <c r="C993">
        <f>'1 datos preparados'!B986</f>
        <v/>
      </c>
      <c r="D993" s="7">
        <f>'1 datos preparados'!C986</f>
        <v/>
      </c>
      <c r="E993" s="7">
        <f>'1 datos preparados'!D986</f>
        <v/>
      </c>
      <c r="F993" s="7">
        <f>'1 datos preparados'!E986</f>
        <v/>
      </c>
      <c r="G993" s="7">
        <f>'1 datos preparados'!F986</f>
        <v/>
      </c>
      <c r="H993" s="7">
        <f>'1 datos preparados'!G986</f>
        <v/>
      </c>
      <c r="I993" s="7">
        <f>'1 datos preparados'!H986</f>
        <v/>
      </c>
      <c r="J993" s="7">
        <f>'1 datos preparados'!I986</f>
        <v/>
      </c>
      <c r="K993" s="7">
        <f>'1 datos preparados'!J986</f>
        <v/>
      </c>
      <c r="L993" s="7">
        <f>'1 datos preparados'!K986</f>
        <v/>
      </c>
      <c r="M993" s="7">
        <f>'1 datos preparados'!L986</f>
        <v/>
      </c>
      <c r="N993" s="7">
        <f>'1 datos preparados'!M986</f>
        <v/>
      </c>
      <c r="O993" s="7">
        <f>'1 datos preparados'!N986</f>
        <v/>
      </c>
      <c r="P993" s="7">
        <f>'1 datos preparados'!O986</f>
        <v/>
      </c>
      <c r="Q993" s="7">
        <f>'1 datos preparados'!P986</f>
        <v/>
      </c>
      <c r="R993" s="7">
        <f>'1 datos preparados'!Q986</f>
        <v/>
      </c>
      <c r="S993" s="7">
        <f>'1 datos preparados'!R986</f>
        <v/>
      </c>
      <c r="T993" s="7">
        <f>'1 datos preparados'!S986</f>
        <v/>
      </c>
      <c r="U993" s="7">
        <f>'1 datos preparados'!T986</f>
        <v/>
      </c>
      <c r="V993" s="8">
        <f>$AE$12+D993*$AE$13+E993*$AE$14+F993*$AE$15+G993*$AE$16+H993*$AE$17+I993*$AE$18+J993*$AE$19+K993*$AE$20+L993*$AE$21+M993*$AE$22+N993*$AE$23+O993*$AE$24+P993*$AE$25+Q993*$AE$26+R993*$AE$27+S993*$AE$28+T993*$AE$29+U993*$AE$30</f>
        <v/>
      </c>
      <c r="W993" s="8">
        <f>1/(1+EXP(-V993))</f>
        <v/>
      </c>
      <c r="X993" s="9">
        <f>-IF(C993=1,LN(W993),LN(1-W993))</f>
        <v/>
      </c>
      <c r="Y993" s="8">
        <f>IF(C993=1,$AE$32,$AE$33)</f>
        <v/>
      </c>
      <c r="Z993" s="9">
        <f>Y993*X993</f>
        <v/>
      </c>
      <c r="AA993" s="10">
        <f>IF(W993&gt;$AE$34,1,0)</f>
        <v/>
      </c>
      <c r="AB993">
        <f>IF(AA993=C993,1,0)</f>
        <v/>
      </c>
    </row>
    <row r="994">
      <c r="A994">
        <f>'1 datos preparados'!A987</f>
        <v/>
      </c>
      <c r="B994" s="5">
        <f>'1 datos preparados'!U987</f>
        <v/>
      </c>
      <c r="C994">
        <f>'1 datos preparados'!B987</f>
        <v/>
      </c>
      <c r="D994" s="7">
        <f>'1 datos preparados'!C987</f>
        <v/>
      </c>
      <c r="E994" s="7">
        <f>'1 datos preparados'!D987</f>
        <v/>
      </c>
      <c r="F994" s="7">
        <f>'1 datos preparados'!E987</f>
        <v/>
      </c>
      <c r="G994" s="7">
        <f>'1 datos preparados'!F987</f>
        <v/>
      </c>
      <c r="H994" s="7">
        <f>'1 datos preparados'!G987</f>
        <v/>
      </c>
      <c r="I994" s="7">
        <f>'1 datos preparados'!H987</f>
        <v/>
      </c>
      <c r="J994" s="7">
        <f>'1 datos preparados'!I987</f>
        <v/>
      </c>
      <c r="K994" s="7">
        <f>'1 datos preparados'!J987</f>
        <v/>
      </c>
      <c r="L994" s="7">
        <f>'1 datos preparados'!K987</f>
        <v/>
      </c>
      <c r="M994" s="7">
        <f>'1 datos preparados'!L987</f>
        <v/>
      </c>
      <c r="N994" s="7">
        <f>'1 datos preparados'!M987</f>
        <v/>
      </c>
      <c r="O994" s="7">
        <f>'1 datos preparados'!N987</f>
        <v/>
      </c>
      <c r="P994" s="7">
        <f>'1 datos preparados'!O987</f>
        <v/>
      </c>
      <c r="Q994" s="7">
        <f>'1 datos preparados'!P987</f>
        <v/>
      </c>
      <c r="R994" s="7">
        <f>'1 datos preparados'!Q987</f>
        <v/>
      </c>
      <c r="S994" s="7">
        <f>'1 datos preparados'!R987</f>
        <v/>
      </c>
      <c r="T994" s="7">
        <f>'1 datos preparados'!S987</f>
        <v/>
      </c>
      <c r="U994" s="7">
        <f>'1 datos preparados'!T987</f>
        <v/>
      </c>
      <c r="V994" s="8">
        <f>$AE$12+D994*$AE$13+E994*$AE$14+F994*$AE$15+G994*$AE$16+H994*$AE$17+I994*$AE$18+J994*$AE$19+K994*$AE$20+L994*$AE$21+M994*$AE$22+N994*$AE$23+O994*$AE$24+P994*$AE$25+Q994*$AE$26+R994*$AE$27+S994*$AE$28+T994*$AE$29+U994*$AE$30</f>
        <v/>
      </c>
      <c r="W994" s="8">
        <f>1/(1+EXP(-V994))</f>
        <v/>
      </c>
      <c r="X994" s="9">
        <f>-IF(C994=1,LN(W994),LN(1-W994))</f>
        <v/>
      </c>
      <c r="Y994" s="8">
        <f>IF(C994=1,$AE$32,$AE$33)</f>
        <v/>
      </c>
      <c r="Z994" s="9">
        <f>Y994*X994</f>
        <v/>
      </c>
      <c r="AA994" s="10">
        <f>IF(W994&gt;$AE$34,1,0)</f>
        <v/>
      </c>
      <c r="AB994">
        <f>IF(AA994=C994,1,0)</f>
        <v/>
      </c>
    </row>
    <row r="995">
      <c r="A995">
        <f>'1 datos preparados'!A988</f>
        <v/>
      </c>
      <c r="B995" s="5">
        <f>'1 datos preparados'!U988</f>
        <v/>
      </c>
      <c r="C995">
        <f>'1 datos preparados'!B988</f>
        <v/>
      </c>
      <c r="D995" s="7">
        <f>'1 datos preparados'!C988</f>
        <v/>
      </c>
      <c r="E995" s="7">
        <f>'1 datos preparados'!D988</f>
        <v/>
      </c>
      <c r="F995" s="7">
        <f>'1 datos preparados'!E988</f>
        <v/>
      </c>
      <c r="G995" s="7">
        <f>'1 datos preparados'!F988</f>
        <v/>
      </c>
      <c r="H995" s="7">
        <f>'1 datos preparados'!G988</f>
        <v/>
      </c>
      <c r="I995" s="7">
        <f>'1 datos preparados'!H988</f>
        <v/>
      </c>
      <c r="J995" s="7">
        <f>'1 datos preparados'!I988</f>
        <v/>
      </c>
      <c r="K995" s="7">
        <f>'1 datos preparados'!J988</f>
        <v/>
      </c>
      <c r="L995" s="7">
        <f>'1 datos preparados'!K988</f>
        <v/>
      </c>
      <c r="M995" s="7">
        <f>'1 datos preparados'!L988</f>
        <v/>
      </c>
      <c r="N995" s="7">
        <f>'1 datos preparados'!M988</f>
        <v/>
      </c>
      <c r="O995" s="7">
        <f>'1 datos preparados'!N988</f>
        <v/>
      </c>
      <c r="P995" s="7">
        <f>'1 datos preparados'!O988</f>
        <v/>
      </c>
      <c r="Q995" s="7">
        <f>'1 datos preparados'!P988</f>
        <v/>
      </c>
      <c r="R995" s="7">
        <f>'1 datos preparados'!Q988</f>
        <v/>
      </c>
      <c r="S995" s="7">
        <f>'1 datos preparados'!R988</f>
        <v/>
      </c>
      <c r="T995" s="7">
        <f>'1 datos preparados'!S988</f>
        <v/>
      </c>
      <c r="U995" s="7">
        <f>'1 datos preparados'!T988</f>
        <v/>
      </c>
      <c r="V995" s="8">
        <f>$AE$12+D995*$AE$13+E995*$AE$14+F995*$AE$15+G995*$AE$16+H995*$AE$17+I995*$AE$18+J995*$AE$19+K995*$AE$20+L995*$AE$21+M995*$AE$22+N995*$AE$23+O995*$AE$24+P995*$AE$25+Q995*$AE$26+R995*$AE$27+S995*$AE$28+T995*$AE$29+U995*$AE$30</f>
        <v/>
      </c>
      <c r="W995" s="8">
        <f>1/(1+EXP(-V995))</f>
        <v/>
      </c>
      <c r="X995" s="9">
        <f>-IF(C995=1,LN(W995),LN(1-W995))</f>
        <v/>
      </c>
      <c r="Y995" s="8">
        <f>IF(C995=1,$AE$32,$AE$33)</f>
        <v/>
      </c>
      <c r="Z995" s="9">
        <f>Y995*X995</f>
        <v/>
      </c>
      <c r="AA995" s="10">
        <f>IF(W995&gt;$AE$34,1,0)</f>
        <v/>
      </c>
      <c r="AB995">
        <f>IF(AA995=C995,1,0)</f>
        <v/>
      </c>
    </row>
    <row r="996">
      <c r="A996">
        <f>'1 datos preparados'!A989</f>
        <v/>
      </c>
      <c r="B996" s="5">
        <f>'1 datos preparados'!U989</f>
        <v/>
      </c>
      <c r="C996">
        <f>'1 datos preparados'!B989</f>
        <v/>
      </c>
      <c r="D996" s="7">
        <f>'1 datos preparados'!C989</f>
        <v/>
      </c>
      <c r="E996" s="7">
        <f>'1 datos preparados'!D989</f>
        <v/>
      </c>
      <c r="F996" s="7">
        <f>'1 datos preparados'!E989</f>
        <v/>
      </c>
      <c r="G996" s="7">
        <f>'1 datos preparados'!F989</f>
        <v/>
      </c>
      <c r="H996" s="7">
        <f>'1 datos preparados'!G989</f>
        <v/>
      </c>
      <c r="I996" s="7">
        <f>'1 datos preparados'!H989</f>
        <v/>
      </c>
      <c r="J996" s="7">
        <f>'1 datos preparados'!I989</f>
        <v/>
      </c>
      <c r="K996" s="7">
        <f>'1 datos preparados'!J989</f>
        <v/>
      </c>
      <c r="L996" s="7">
        <f>'1 datos preparados'!K989</f>
        <v/>
      </c>
      <c r="M996" s="7">
        <f>'1 datos preparados'!L989</f>
        <v/>
      </c>
      <c r="N996" s="7">
        <f>'1 datos preparados'!M989</f>
        <v/>
      </c>
      <c r="O996" s="7">
        <f>'1 datos preparados'!N989</f>
        <v/>
      </c>
      <c r="P996" s="7">
        <f>'1 datos preparados'!O989</f>
        <v/>
      </c>
      <c r="Q996" s="7">
        <f>'1 datos preparados'!P989</f>
        <v/>
      </c>
      <c r="R996" s="7">
        <f>'1 datos preparados'!Q989</f>
        <v/>
      </c>
      <c r="S996" s="7">
        <f>'1 datos preparados'!R989</f>
        <v/>
      </c>
      <c r="T996" s="7">
        <f>'1 datos preparados'!S989</f>
        <v/>
      </c>
      <c r="U996" s="7">
        <f>'1 datos preparados'!T989</f>
        <v/>
      </c>
      <c r="V996" s="8">
        <f>$AE$12+D996*$AE$13+E996*$AE$14+F996*$AE$15+G996*$AE$16+H996*$AE$17+I996*$AE$18+J996*$AE$19+K996*$AE$20+L996*$AE$21+M996*$AE$22+N996*$AE$23+O996*$AE$24+P996*$AE$25+Q996*$AE$26+R996*$AE$27+S996*$AE$28+T996*$AE$29+U996*$AE$30</f>
        <v/>
      </c>
      <c r="W996" s="8">
        <f>1/(1+EXP(-V996))</f>
        <v/>
      </c>
      <c r="X996" s="9">
        <f>-IF(C996=1,LN(W996),LN(1-W996))</f>
        <v/>
      </c>
      <c r="Y996" s="8">
        <f>IF(C996=1,$AE$32,$AE$33)</f>
        <v/>
      </c>
      <c r="Z996" s="9">
        <f>Y996*X996</f>
        <v/>
      </c>
      <c r="AA996" s="10">
        <f>IF(W996&gt;$AE$34,1,0)</f>
        <v/>
      </c>
      <c r="AB996">
        <f>IF(AA996=C996,1,0)</f>
        <v/>
      </c>
    </row>
    <row r="997">
      <c r="A997">
        <f>'1 datos preparados'!A990</f>
        <v/>
      </c>
      <c r="B997" s="5">
        <f>'1 datos preparados'!U990</f>
        <v/>
      </c>
      <c r="C997">
        <f>'1 datos preparados'!B990</f>
        <v/>
      </c>
      <c r="D997" s="7">
        <f>'1 datos preparados'!C990</f>
        <v/>
      </c>
      <c r="E997" s="7">
        <f>'1 datos preparados'!D990</f>
        <v/>
      </c>
      <c r="F997" s="7">
        <f>'1 datos preparados'!E990</f>
        <v/>
      </c>
      <c r="G997" s="7">
        <f>'1 datos preparados'!F990</f>
        <v/>
      </c>
      <c r="H997" s="7">
        <f>'1 datos preparados'!G990</f>
        <v/>
      </c>
      <c r="I997" s="7">
        <f>'1 datos preparados'!H990</f>
        <v/>
      </c>
      <c r="J997" s="7">
        <f>'1 datos preparados'!I990</f>
        <v/>
      </c>
      <c r="K997" s="7">
        <f>'1 datos preparados'!J990</f>
        <v/>
      </c>
      <c r="L997" s="7">
        <f>'1 datos preparados'!K990</f>
        <v/>
      </c>
      <c r="M997" s="7">
        <f>'1 datos preparados'!L990</f>
        <v/>
      </c>
      <c r="N997" s="7">
        <f>'1 datos preparados'!M990</f>
        <v/>
      </c>
      <c r="O997" s="7">
        <f>'1 datos preparados'!N990</f>
        <v/>
      </c>
      <c r="P997" s="7">
        <f>'1 datos preparados'!O990</f>
        <v/>
      </c>
      <c r="Q997" s="7">
        <f>'1 datos preparados'!P990</f>
        <v/>
      </c>
      <c r="R997" s="7">
        <f>'1 datos preparados'!Q990</f>
        <v/>
      </c>
      <c r="S997" s="7">
        <f>'1 datos preparados'!R990</f>
        <v/>
      </c>
      <c r="T997" s="7">
        <f>'1 datos preparados'!S990</f>
        <v/>
      </c>
      <c r="U997" s="7">
        <f>'1 datos preparados'!T990</f>
        <v/>
      </c>
      <c r="V997" s="8">
        <f>$AE$12+D997*$AE$13+E997*$AE$14+F997*$AE$15+G997*$AE$16+H997*$AE$17+I997*$AE$18+J997*$AE$19+K997*$AE$20+L997*$AE$21+M997*$AE$22+N997*$AE$23+O997*$AE$24+P997*$AE$25+Q997*$AE$26+R997*$AE$27+S997*$AE$28+T997*$AE$29+U997*$AE$30</f>
        <v/>
      </c>
      <c r="W997" s="8">
        <f>1/(1+EXP(-V997))</f>
        <v/>
      </c>
      <c r="X997" s="9">
        <f>-IF(C997=1,LN(W997),LN(1-W997))</f>
        <v/>
      </c>
      <c r="Y997" s="8">
        <f>IF(C997=1,$AE$32,$AE$33)</f>
        <v/>
      </c>
      <c r="Z997" s="9">
        <f>Y997*X997</f>
        <v/>
      </c>
      <c r="AA997" s="10">
        <f>IF(W997&gt;$AE$34,1,0)</f>
        <v/>
      </c>
      <c r="AB997">
        <f>IF(AA997=C997,1,0)</f>
        <v/>
      </c>
    </row>
    <row r="998">
      <c r="A998">
        <f>'1 datos preparados'!A991</f>
        <v/>
      </c>
      <c r="B998" s="5">
        <f>'1 datos preparados'!U991</f>
        <v/>
      </c>
      <c r="C998">
        <f>'1 datos preparados'!B991</f>
        <v/>
      </c>
      <c r="D998" s="7">
        <f>'1 datos preparados'!C991</f>
        <v/>
      </c>
      <c r="E998" s="7">
        <f>'1 datos preparados'!D991</f>
        <v/>
      </c>
      <c r="F998" s="7">
        <f>'1 datos preparados'!E991</f>
        <v/>
      </c>
      <c r="G998" s="7">
        <f>'1 datos preparados'!F991</f>
        <v/>
      </c>
      <c r="H998" s="7">
        <f>'1 datos preparados'!G991</f>
        <v/>
      </c>
      <c r="I998" s="7">
        <f>'1 datos preparados'!H991</f>
        <v/>
      </c>
      <c r="J998" s="7">
        <f>'1 datos preparados'!I991</f>
        <v/>
      </c>
      <c r="K998" s="7">
        <f>'1 datos preparados'!J991</f>
        <v/>
      </c>
      <c r="L998" s="7">
        <f>'1 datos preparados'!K991</f>
        <v/>
      </c>
      <c r="M998" s="7">
        <f>'1 datos preparados'!L991</f>
        <v/>
      </c>
      <c r="N998" s="7">
        <f>'1 datos preparados'!M991</f>
        <v/>
      </c>
      <c r="O998" s="7">
        <f>'1 datos preparados'!N991</f>
        <v/>
      </c>
      <c r="P998" s="7">
        <f>'1 datos preparados'!O991</f>
        <v/>
      </c>
      <c r="Q998" s="7">
        <f>'1 datos preparados'!P991</f>
        <v/>
      </c>
      <c r="R998" s="7">
        <f>'1 datos preparados'!Q991</f>
        <v/>
      </c>
      <c r="S998" s="7">
        <f>'1 datos preparados'!R991</f>
        <v/>
      </c>
      <c r="T998" s="7">
        <f>'1 datos preparados'!S991</f>
        <v/>
      </c>
      <c r="U998" s="7">
        <f>'1 datos preparados'!T991</f>
        <v/>
      </c>
      <c r="V998" s="8">
        <f>$AE$12+D998*$AE$13+E998*$AE$14+F998*$AE$15+G998*$AE$16+H998*$AE$17+I998*$AE$18+J998*$AE$19+K998*$AE$20+L998*$AE$21+M998*$AE$22+N998*$AE$23+O998*$AE$24+P998*$AE$25+Q998*$AE$26+R998*$AE$27+S998*$AE$28+T998*$AE$29+U998*$AE$30</f>
        <v/>
      </c>
      <c r="W998" s="8">
        <f>1/(1+EXP(-V998))</f>
        <v/>
      </c>
      <c r="X998" s="9">
        <f>-IF(C998=1,LN(W998),LN(1-W998))</f>
        <v/>
      </c>
      <c r="Y998" s="8">
        <f>IF(C998=1,$AE$32,$AE$33)</f>
        <v/>
      </c>
      <c r="Z998" s="9">
        <f>Y998*X998</f>
        <v/>
      </c>
      <c r="AA998" s="10">
        <f>IF(W998&gt;$AE$34,1,0)</f>
        <v/>
      </c>
      <c r="AB998">
        <f>IF(AA998=C998,1,0)</f>
        <v/>
      </c>
    </row>
    <row r="999">
      <c r="A999">
        <f>'1 datos preparados'!A992</f>
        <v/>
      </c>
      <c r="B999" s="5">
        <f>'1 datos preparados'!U992</f>
        <v/>
      </c>
      <c r="C999">
        <f>'1 datos preparados'!B992</f>
        <v/>
      </c>
      <c r="D999" s="7">
        <f>'1 datos preparados'!C992</f>
        <v/>
      </c>
      <c r="E999" s="7">
        <f>'1 datos preparados'!D992</f>
        <v/>
      </c>
      <c r="F999" s="7">
        <f>'1 datos preparados'!E992</f>
        <v/>
      </c>
      <c r="G999" s="7">
        <f>'1 datos preparados'!F992</f>
        <v/>
      </c>
      <c r="H999" s="7">
        <f>'1 datos preparados'!G992</f>
        <v/>
      </c>
      <c r="I999" s="7">
        <f>'1 datos preparados'!H992</f>
        <v/>
      </c>
      <c r="J999" s="7">
        <f>'1 datos preparados'!I992</f>
        <v/>
      </c>
      <c r="K999" s="7">
        <f>'1 datos preparados'!J992</f>
        <v/>
      </c>
      <c r="L999" s="7">
        <f>'1 datos preparados'!K992</f>
        <v/>
      </c>
      <c r="M999" s="7">
        <f>'1 datos preparados'!L992</f>
        <v/>
      </c>
      <c r="N999" s="7">
        <f>'1 datos preparados'!M992</f>
        <v/>
      </c>
      <c r="O999" s="7">
        <f>'1 datos preparados'!N992</f>
        <v/>
      </c>
      <c r="P999" s="7">
        <f>'1 datos preparados'!O992</f>
        <v/>
      </c>
      <c r="Q999" s="7">
        <f>'1 datos preparados'!P992</f>
        <v/>
      </c>
      <c r="R999" s="7">
        <f>'1 datos preparados'!Q992</f>
        <v/>
      </c>
      <c r="S999" s="7">
        <f>'1 datos preparados'!R992</f>
        <v/>
      </c>
      <c r="T999" s="7">
        <f>'1 datos preparados'!S992</f>
        <v/>
      </c>
      <c r="U999" s="7">
        <f>'1 datos preparados'!T992</f>
        <v/>
      </c>
      <c r="V999" s="8">
        <f>$AE$12+D999*$AE$13+E999*$AE$14+F999*$AE$15+G999*$AE$16+H999*$AE$17+I999*$AE$18+J999*$AE$19+K999*$AE$20+L999*$AE$21+M999*$AE$22+N999*$AE$23+O999*$AE$24+P999*$AE$25+Q999*$AE$26+R999*$AE$27+S999*$AE$28+T999*$AE$29+U999*$AE$30</f>
        <v/>
      </c>
      <c r="W999" s="8">
        <f>1/(1+EXP(-V999))</f>
        <v/>
      </c>
      <c r="X999" s="9">
        <f>-IF(C999=1,LN(W999),LN(1-W999))</f>
        <v/>
      </c>
      <c r="Y999" s="8">
        <f>IF(C999=1,$AE$32,$AE$33)</f>
        <v/>
      </c>
      <c r="Z999" s="9">
        <f>Y999*X999</f>
        <v/>
      </c>
      <c r="AA999" s="10">
        <f>IF(W999&gt;$AE$34,1,0)</f>
        <v/>
      </c>
      <c r="AB999">
        <f>IF(AA999=C999,1,0)</f>
        <v/>
      </c>
    </row>
    <row r="1000">
      <c r="A1000">
        <f>'1 datos preparados'!A993</f>
        <v/>
      </c>
      <c r="B1000" s="5">
        <f>'1 datos preparados'!U993</f>
        <v/>
      </c>
      <c r="C1000">
        <f>'1 datos preparados'!B993</f>
        <v/>
      </c>
      <c r="D1000" s="7">
        <f>'1 datos preparados'!C993</f>
        <v/>
      </c>
      <c r="E1000" s="7">
        <f>'1 datos preparados'!D993</f>
        <v/>
      </c>
      <c r="F1000" s="7">
        <f>'1 datos preparados'!E993</f>
        <v/>
      </c>
      <c r="G1000" s="7">
        <f>'1 datos preparados'!F993</f>
        <v/>
      </c>
      <c r="H1000" s="7">
        <f>'1 datos preparados'!G993</f>
        <v/>
      </c>
      <c r="I1000" s="7">
        <f>'1 datos preparados'!H993</f>
        <v/>
      </c>
      <c r="J1000" s="7">
        <f>'1 datos preparados'!I993</f>
        <v/>
      </c>
      <c r="K1000" s="7">
        <f>'1 datos preparados'!J993</f>
        <v/>
      </c>
      <c r="L1000" s="7">
        <f>'1 datos preparados'!K993</f>
        <v/>
      </c>
      <c r="M1000" s="7">
        <f>'1 datos preparados'!L993</f>
        <v/>
      </c>
      <c r="N1000" s="7">
        <f>'1 datos preparados'!M993</f>
        <v/>
      </c>
      <c r="O1000" s="7">
        <f>'1 datos preparados'!N993</f>
        <v/>
      </c>
      <c r="P1000" s="7">
        <f>'1 datos preparados'!O993</f>
        <v/>
      </c>
      <c r="Q1000" s="7">
        <f>'1 datos preparados'!P993</f>
        <v/>
      </c>
      <c r="R1000" s="7">
        <f>'1 datos preparados'!Q993</f>
        <v/>
      </c>
      <c r="S1000" s="7">
        <f>'1 datos preparados'!R993</f>
        <v/>
      </c>
      <c r="T1000" s="7">
        <f>'1 datos preparados'!S993</f>
        <v/>
      </c>
      <c r="U1000" s="7">
        <f>'1 datos preparados'!T993</f>
        <v/>
      </c>
      <c r="V1000" s="8">
        <f>$AE$12+D1000*$AE$13+E1000*$AE$14+F1000*$AE$15+G1000*$AE$16+H1000*$AE$17+I1000*$AE$18+J1000*$AE$19+K1000*$AE$20+L1000*$AE$21+M1000*$AE$22+N1000*$AE$23+O1000*$AE$24+P1000*$AE$25+Q1000*$AE$26+R1000*$AE$27+S1000*$AE$28+T1000*$AE$29+U1000*$AE$30</f>
        <v/>
      </c>
      <c r="W1000" s="8">
        <f>1/(1+EXP(-V1000))</f>
        <v/>
      </c>
      <c r="X1000" s="9">
        <f>-IF(C1000=1,LN(W1000),LN(1-W1000))</f>
        <v/>
      </c>
      <c r="Y1000" s="8">
        <f>IF(C1000=1,$AE$32,$AE$33)</f>
        <v/>
      </c>
      <c r="Z1000" s="9">
        <f>Y1000*X1000</f>
        <v/>
      </c>
      <c r="AA1000" s="10">
        <f>IF(W1000&gt;$AE$34,1,0)</f>
        <v/>
      </c>
      <c r="AB1000">
        <f>IF(AA1000=C1000,1,0)</f>
        <v/>
      </c>
    </row>
    <row r="1001">
      <c r="A1001">
        <f>'1 datos preparados'!A994</f>
        <v/>
      </c>
      <c r="B1001" s="5">
        <f>'1 datos preparados'!U994</f>
        <v/>
      </c>
      <c r="C1001">
        <f>'1 datos preparados'!B994</f>
        <v/>
      </c>
      <c r="D1001" s="7">
        <f>'1 datos preparados'!C994</f>
        <v/>
      </c>
      <c r="E1001" s="7">
        <f>'1 datos preparados'!D994</f>
        <v/>
      </c>
      <c r="F1001" s="7">
        <f>'1 datos preparados'!E994</f>
        <v/>
      </c>
      <c r="G1001" s="7">
        <f>'1 datos preparados'!F994</f>
        <v/>
      </c>
      <c r="H1001" s="7">
        <f>'1 datos preparados'!G994</f>
        <v/>
      </c>
      <c r="I1001" s="7">
        <f>'1 datos preparados'!H994</f>
        <v/>
      </c>
      <c r="J1001" s="7">
        <f>'1 datos preparados'!I994</f>
        <v/>
      </c>
      <c r="K1001" s="7">
        <f>'1 datos preparados'!J994</f>
        <v/>
      </c>
      <c r="L1001" s="7">
        <f>'1 datos preparados'!K994</f>
        <v/>
      </c>
      <c r="M1001" s="7">
        <f>'1 datos preparados'!L994</f>
        <v/>
      </c>
      <c r="N1001" s="7">
        <f>'1 datos preparados'!M994</f>
        <v/>
      </c>
      <c r="O1001" s="7">
        <f>'1 datos preparados'!N994</f>
        <v/>
      </c>
      <c r="P1001" s="7">
        <f>'1 datos preparados'!O994</f>
        <v/>
      </c>
      <c r="Q1001" s="7">
        <f>'1 datos preparados'!P994</f>
        <v/>
      </c>
      <c r="R1001" s="7">
        <f>'1 datos preparados'!Q994</f>
        <v/>
      </c>
      <c r="S1001" s="7">
        <f>'1 datos preparados'!R994</f>
        <v/>
      </c>
      <c r="T1001" s="7">
        <f>'1 datos preparados'!S994</f>
        <v/>
      </c>
      <c r="U1001" s="7">
        <f>'1 datos preparados'!T994</f>
        <v/>
      </c>
      <c r="V1001" s="8">
        <f>$AE$12+D1001*$AE$13+E1001*$AE$14+F1001*$AE$15+G1001*$AE$16+H1001*$AE$17+I1001*$AE$18+J1001*$AE$19+K1001*$AE$20+L1001*$AE$21+M1001*$AE$22+N1001*$AE$23+O1001*$AE$24+P1001*$AE$25+Q1001*$AE$26+R1001*$AE$27+S1001*$AE$28+T1001*$AE$29+U1001*$AE$30</f>
        <v/>
      </c>
      <c r="W1001" s="8">
        <f>1/(1+EXP(-V1001))</f>
        <v/>
      </c>
      <c r="X1001" s="9">
        <f>-IF(C1001=1,LN(W1001),LN(1-W1001))</f>
        <v/>
      </c>
      <c r="Y1001" s="8">
        <f>IF(C1001=1,$AE$32,$AE$33)</f>
        <v/>
      </c>
      <c r="Z1001" s="9">
        <f>Y1001*X1001</f>
        <v/>
      </c>
      <c r="AA1001" s="10">
        <f>IF(W1001&gt;$AE$34,1,0)</f>
        <v/>
      </c>
      <c r="AB1001">
        <f>IF(AA1001=C1001,1,0)</f>
        <v/>
      </c>
    </row>
    <row r="1002">
      <c r="A1002">
        <f>'1 datos preparados'!A995</f>
        <v/>
      </c>
      <c r="B1002" s="5">
        <f>'1 datos preparados'!U995</f>
        <v/>
      </c>
      <c r="C1002">
        <f>'1 datos preparados'!B995</f>
        <v/>
      </c>
      <c r="D1002" s="7">
        <f>'1 datos preparados'!C995</f>
        <v/>
      </c>
      <c r="E1002" s="7">
        <f>'1 datos preparados'!D995</f>
        <v/>
      </c>
      <c r="F1002" s="7">
        <f>'1 datos preparados'!E995</f>
        <v/>
      </c>
      <c r="G1002" s="7">
        <f>'1 datos preparados'!F995</f>
        <v/>
      </c>
      <c r="H1002" s="7">
        <f>'1 datos preparados'!G995</f>
        <v/>
      </c>
      <c r="I1002" s="7">
        <f>'1 datos preparados'!H995</f>
        <v/>
      </c>
      <c r="J1002" s="7">
        <f>'1 datos preparados'!I995</f>
        <v/>
      </c>
      <c r="K1002" s="7">
        <f>'1 datos preparados'!J995</f>
        <v/>
      </c>
      <c r="L1002" s="7">
        <f>'1 datos preparados'!K995</f>
        <v/>
      </c>
      <c r="M1002" s="7">
        <f>'1 datos preparados'!L995</f>
        <v/>
      </c>
      <c r="N1002" s="7">
        <f>'1 datos preparados'!M995</f>
        <v/>
      </c>
      <c r="O1002" s="7">
        <f>'1 datos preparados'!N995</f>
        <v/>
      </c>
      <c r="P1002" s="7">
        <f>'1 datos preparados'!O995</f>
        <v/>
      </c>
      <c r="Q1002" s="7">
        <f>'1 datos preparados'!P995</f>
        <v/>
      </c>
      <c r="R1002" s="7">
        <f>'1 datos preparados'!Q995</f>
        <v/>
      </c>
      <c r="S1002" s="7">
        <f>'1 datos preparados'!R995</f>
        <v/>
      </c>
      <c r="T1002" s="7">
        <f>'1 datos preparados'!S995</f>
        <v/>
      </c>
      <c r="U1002" s="7">
        <f>'1 datos preparados'!T995</f>
        <v/>
      </c>
      <c r="V1002" s="8">
        <f>$AE$12+D1002*$AE$13+E1002*$AE$14+F1002*$AE$15+G1002*$AE$16+H1002*$AE$17+I1002*$AE$18+J1002*$AE$19+K1002*$AE$20+L1002*$AE$21+M1002*$AE$22+N1002*$AE$23+O1002*$AE$24+P1002*$AE$25+Q1002*$AE$26+R1002*$AE$27+S1002*$AE$28+T1002*$AE$29+U1002*$AE$30</f>
        <v/>
      </c>
      <c r="W1002" s="8">
        <f>1/(1+EXP(-V1002))</f>
        <v/>
      </c>
      <c r="X1002" s="9">
        <f>-IF(C1002=1,LN(W1002),LN(1-W1002))</f>
        <v/>
      </c>
      <c r="Y1002" s="8">
        <f>IF(C1002=1,$AE$32,$AE$33)</f>
        <v/>
      </c>
      <c r="Z1002" s="9">
        <f>Y1002*X1002</f>
        <v/>
      </c>
      <c r="AA1002" s="10">
        <f>IF(W1002&gt;$AE$34,1,0)</f>
        <v/>
      </c>
      <c r="AB1002">
        <f>IF(AA1002=C1002,1,0)</f>
        <v/>
      </c>
    </row>
    <row r="1003">
      <c r="A1003">
        <f>'1 datos preparados'!A996</f>
        <v/>
      </c>
      <c r="B1003" s="5">
        <f>'1 datos preparados'!U996</f>
        <v/>
      </c>
      <c r="C1003">
        <f>'1 datos preparados'!B996</f>
        <v/>
      </c>
      <c r="D1003" s="7">
        <f>'1 datos preparados'!C996</f>
        <v/>
      </c>
      <c r="E1003" s="7">
        <f>'1 datos preparados'!D996</f>
        <v/>
      </c>
      <c r="F1003" s="7">
        <f>'1 datos preparados'!E996</f>
        <v/>
      </c>
      <c r="G1003" s="7">
        <f>'1 datos preparados'!F996</f>
        <v/>
      </c>
      <c r="H1003" s="7">
        <f>'1 datos preparados'!G996</f>
        <v/>
      </c>
      <c r="I1003" s="7">
        <f>'1 datos preparados'!H996</f>
        <v/>
      </c>
      <c r="J1003" s="7">
        <f>'1 datos preparados'!I996</f>
        <v/>
      </c>
      <c r="K1003" s="7">
        <f>'1 datos preparados'!J996</f>
        <v/>
      </c>
      <c r="L1003" s="7">
        <f>'1 datos preparados'!K996</f>
        <v/>
      </c>
      <c r="M1003" s="7">
        <f>'1 datos preparados'!L996</f>
        <v/>
      </c>
      <c r="N1003" s="7">
        <f>'1 datos preparados'!M996</f>
        <v/>
      </c>
      <c r="O1003" s="7">
        <f>'1 datos preparados'!N996</f>
        <v/>
      </c>
      <c r="P1003" s="7">
        <f>'1 datos preparados'!O996</f>
        <v/>
      </c>
      <c r="Q1003" s="7">
        <f>'1 datos preparados'!P996</f>
        <v/>
      </c>
      <c r="R1003" s="7">
        <f>'1 datos preparados'!Q996</f>
        <v/>
      </c>
      <c r="S1003" s="7">
        <f>'1 datos preparados'!R996</f>
        <v/>
      </c>
      <c r="T1003" s="7">
        <f>'1 datos preparados'!S996</f>
        <v/>
      </c>
      <c r="U1003" s="7">
        <f>'1 datos preparados'!T996</f>
        <v/>
      </c>
      <c r="V1003" s="8">
        <f>$AE$12+D1003*$AE$13+E1003*$AE$14+F1003*$AE$15+G1003*$AE$16+H1003*$AE$17+I1003*$AE$18+J1003*$AE$19+K1003*$AE$20+L1003*$AE$21+M1003*$AE$22+N1003*$AE$23+O1003*$AE$24+P1003*$AE$25+Q1003*$AE$26+R1003*$AE$27+S1003*$AE$28+T1003*$AE$29+U1003*$AE$30</f>
        <v/>
      </c>
      <c r="W1003" s="8">
        <f>1/(1+EXP(-V1003))</f>
        <v/>
      </c>
      <c r="X1003" s="9">
        <f>-IF(C1003=1,LN(W1003),LN(1-W1003))</f>
        <v/>
      </c>
      <c r="Y1003" s="8">
        <f>IF(C1003=1,$AE$32,$AE$33)</f>
        <v/>
      </c>
      <c r="Z1003" s="9">
        <f>Y1003*X1003</f>
        <v/>
      </c>
      <c r="AA1003" s="10">
        <f>IF(W1003&gt;$AE$34,1,0)</f>
        <v/>
      </c>
      <c r="AB1003">
        <f>IF(AA1003=C1003,1,0)</f>
        <v/>
      </c>
    </row>
    <row r="1004">
      <c r="A1004">
        <f>'1 datos preparados'!A997</f>
        <v/>
      </c>
      <c r="B1004" s="5">
        <f>'1 datos preparados'!U997</f>
        <v/>
      </c>
      <c r="C1004">
        <f>'1 datos preparados'!B997</f>
        <v/>
      </c>
      <c r="D1004" s="7">
        <f>'1 datos preparados'!C997</f>
        <v/>
      </c>
      <c r="E1004" s="7">
        <f>'1 datos preparados'!D997</f>
        <v/>
      </c>
      <c r="F1004" s="7">
        <f>'1 datos preparados'!E997</f>
        <v/>
      </c>
      <c r="G1004" s="7">
        <f>'1 datos preparados'!F997</f>
        <v/>
      </c>
      <c r="H1004" s="7">
        <f>'1 datos preparados'!G997</f>
        <v/>
      </c>
      <c r="I1004" s="7">
        <f>'1 datos preparados'!H997</f>
        <v/>
      </c>
      <c r="J1004" s="7">
        <f>'1 datos preparados'!I997</f>
        <v/>
      </c>
      <c r="K1004" s="7">
        <f>'1 datos preparados'!J997</f>
        <v/>
      </c>
      <c r="L1004" s="7">
        <f>'1 datos preparados'!K997</f>
        <v/>
      </c>
      <c r="M1004" s="7">
        <f>'1 datos preparados'!L997</f>
        <v/>
      </c>
      <c r="N1004" s="7">
        <f>'1 datos preparados'!M997</f>
        <v/>
      </c>
      <c r="O1004" s="7">
        <f>'1 datos preparados'!N997</f>
        <v/>
      </c>
      <c r="P1004" s="7">
        <f>'1 datos preparados'!O997</f>
        <v/>
      </c>
      <c r="Q1004" s="7">
        <f>'1 datos preparados'!P997</f>
        <v/>
      </c>
      <c r="R1004" s="7">
        <f>'1 datos preparados'!Q997</f>
        <v/>
      </c>
      <c r="S1004" s="7">
        <f>'1 datos preparados'!R997</f>
        <v/>
      </c>
      <c r="T1004" s="7">
        <f>'1 datos preparados'!S997</f>
        <v/>
      </c>
      <c r="U1004" s="7">
        <f>'1 datos preparados'!T997</f>
        <v/>
      </c>
      <c r="V1004" s="8">
        <f>$AE$12+D1004*$AE$13+E1004*$AE$14+F1004*$AE$15+G1004*$AE$16+H1004*$AE$17+I1004*$AE$18+J1004*$AE$19+K1004*$AE$20+L1004*$AE$21+M1004*$AE$22+N1004*$AE$23+O1004*$AE$24+P1004*$AE$25+Q1004*$AE$26+R1004*$AE$27+S1004*$AE$28+T1004*$AE$29+U1004*$AE$30</f>
        <v/>
      </c>
      <c r="W1004" s="8">
        <f>1/(1+EXP(-V1004))</f>
        <v/>
      </c>
      <c r="X1004" s="9">
        <f>-IF(C1004=1,LN(W1004),LN(1-W1004))</f>
        <v/>
      </c>
      <c r="Y1004" s="8">
        <f>IF(C1004=1,$AE$32,$AE$33)</f>
        <v/>
      </c>
      <c r="Z1004" s="9">
        <f>Y1004*X1004</f>
        <v/>
      </c>
      <c r="AA1004" s="10">
        <f>IF(W1004&gt;$AE$34,1,0)</f>
        <v/>
      </c>
      <c r="AB1004">
        <f>IF(AA1004=C1004,1,0)</f>
        <v/>
      </c>
    </row>
    <row r="1005">
      <c r="A1005">
        <f>'1 datos preparados'!A998</f>
        <v/>
      </c>
      <c r="B1005" s="5">
        <f>'1 datos preparados'!U998</f>
        <v/>
      </c>
      <c r="C1005">
        <f>'1 datos preparados'!B998</f>
        <v/>
      </c>
      <c r="D1005" s="7">
        <f>'1 datos preparados'!C998</f>
        <v/>
      </c>
      <c r="E1005" s="7">
        <f>'1 datos preparados'!D998</f>
        <v/>
      </c>
      <c r="F1005" s="7">
        <f>'1 datos preparados'!E998</f>
        <v/>
      </c>
      <c r="G1005" s="7">
        <f>'1 datos preparados'!F998</f>
        <v/>
      </c>
      <c r="H1005" s="7">
        <f>'1 datos preparados'!G998</f>
        <v/>
      </c>
      <c r="I1005" s="7">
        <f>'1 datos preparados'!H998</f>
        <v/>
      </c>
      <c r="J1005" s="7">
        <f>'1 datos preparados'!I998</f>
        <v/>
      </c>
      <c r="K1005" s="7">
        <f>'1 datos preparados'!J998</f>
        <v/>
      </c>
      <c r="L1005" s="7">
        <f>'1 datos preparados'!K998</f>
        <v/>
      </c>
      <c r="M1005" s="7">
        <f>'1 datos preparados'!L998</f>
        <v/>
      </c>
      <c r="N1005" s="7">
        <f>'1 datos preparados'!M998</f>
        <v/>
      </c>
      <c r="O1005" s="7">
        <f>'1 datos preparados'!N998</f>
        <v/>
      </c>
      <c r="P1005" s="7">
        <f>'1 datos preparados'!O998</f>
        <v/>
      </c>
      <c r="Q1005" s="7">
        <f>'1 datos preparados'!P998</f>
        <v/>
      </c>
      <c r="R1005" s="7">
        <f>'1 datos preparados'!Q998</f>
        <v/>
      </c>
      <c r="S1005" s="7">
        <f>'1 datos preparados'!R998</f>
        <v/>
      </c>
      <c r="T1005" s="7">
        <f>'1 datos preparados'!S998</f>
        <v/>
      </c>
      <c r="U1005" s="7">
        <f>'1 datos preparados'!T998</f>
        <v/>
      </c>
      <c r="V1005" s="8">
        <f>$AE$12+D1005*$AE$13+E1005*$AE$14+F1005*$AE$15+G1005*$AE$16+H1005*$AE$17+I1005*$AE$18+J1005*$AE$19+K1005*$AE$20+L1005*$AE$21+M1005*$AE$22+N1005*$AE$23+O1005*$AE$24+P1005*$AE$25+Q1005*$AE$26+R1005*$AE$27+S1005*$AE$28+T1005*$AE$29+U1005*$AE$30</f>
        <v/>
      </c>
      <c r="W1005" s="8">
        <f>1/(1+EXP(-V1005))</f>
        <v/>
      </c>
      <c r="X1005" s="9">
        <f>-IF(C1005=1,LN(W1005),LN(1-W1005))</f>
        <v/>
      </c>
      <c r="Y1005" s="8">
        <f>IF(C1005=1,$AE$32,$AE$33)</f>
        <v/>
      </c>
      <c r="Z1005" s="9">
        <f>Y1005*X1005</f>
        <v/>
      </c>
      <c r="AA1005" s="10">
        <f>IF(W1005&gt;$AE$34,1,0)</f>
        <v/>
      </c>
      <c r="AB1005">
        <f>IF(AA1005=C1005,1,0)</f>
        <v/>
      </c>
    </row>
    <row r="1006">
      <c r="A1006">
        <f>'1 datos preparados'!A999</f>
        <v/>
      </c>
      <c r="B1006" s="5">
        <f>'1 datos preparados'!U999</f>
        <v/>
      </c>
      <c r="C1006">
        <f>'1 datos preparados'!B999</f>
        <v/>
      </c>
      <c r="D1006" s="7">
        <f>'1 datos preparados'!C999</f>
        <v/>
      </c>
      <c r="E1006" s="7">
        <f>'1 datos preparados'!D999</f>
        <v/>
      </c>
      <c r="F1006" s="7">
        <f>'1 datos preparados'!E999</f>
        <v/>
      </c>
      <c r="G1006" s="7">
        <f>'1 datos preparados'!F999</f>
        <v/>
      </c>
      <c r="H1006" s="7">
        <f>'1 datos preparados'!G999</f>
        <v/>
      </c>
      <c r="I1006" s="7">
        <f>'1 datos preparados'!H999</f>
        <v/>
      </c>
      <c r="J1006" s="7">
        <f>'1 datos preparados'!I999</f>
        <v/>
      </c>
      <c r="K1006" s="7">
        <f>'1 datos preparados'!J999</f>
        <v/>
      </c>
      <c r="L1006" s="7">
        <f>'1 datos preparados'!K999</f>
        <v/>
      </c>
      <c r="M1006" s="7">
        <f>'1 datos preparados'!L999</f>
        <v/>
      </c>
      <c r="N1006" s="7">
        <f>'1 datos preparados'!M999</f>
        <v/>
      </c>
      <c r="O1006" s="7">
        <f>'1 datos preparados'!N999</f>
        <v/>
      </c>
      <c r="P1006" s="7">
        <f>'1 datos preparados'!O999</f>
        <v/>
      </c>
      <c r="Q1006" s="7">
        <f>'1 datos preparados'!P999</f>
        <v/>
      </c>
      <c r="R1006" s="7">
        <f>'1 datos preparados'!Q999</f>
        <v/>
      </c>
      <c r="S1006" s="7">
        <f>'1 datos preparados'!R999</f>
        <v/>
      </c>
      <c r="T1006" s="7">
        <f>'1 datos preparados'!S999</f>
        <v/>
      </c>
      <c r="U1006" s="7">
        <f>'1 datos preparados'!T999</f>
        <v/>
      </c>
      <c r="V1006" s="8">
        <f>$AE$12+D1006*$AE$13+E1006*$AE$14+F1006*$AE$15+G1006*$AE$16+H1006*$AE$17+I1006*$AE$18+J1006*$AE$19+K1006*$AE$20+L1006*$AE$21+M1006*$AE$22+N1006*$AE$23+O1006*$AE$24+P1006*$AE$25+Q1006*$AE$26+R1006*$AE$27+S1006*$AE$28+T1006*$AE$29+U1006*$AE$30</f>
        <v/>
      </c>
      <c r="W1006" s="8">
        <f>1/(1+EXP(-V1006))</f>
        <v/>
      </c>
      <c r="X1006" s="9">
        <f>-IF(C1006=1,LN(W1006),LN(1-W1006))</f>
        <v/>
      </c>
      <c r="Y1006" s="8">
        <f>IF(C1006=1,$AE$32,$AE$33)</f>
        <v/>
      </c>
      <c r="Z1006" s="9">
        <f>Y1006*X1006</f>
        <v/>
      </c>
      <c r="AA1006" s="10">
        <f>IF(W1006&gt;$AE$34,1,0)</f>
        <v/>
      </c>
      <c r="AB1006">
        <f>IF(AA1006=C1006,1,0)</f>
        <v/>
      </c>
    </row>
    <row r="1007">
      <c r="A1007">
        <f>'1 datos preparados'!A1000</f>
        <v/>
      </c>
      <c r="B1007" s="5">
        <f>'1 datos preparados'!U1000</f>
        <v/>
      </c>
      <c r="C1007">
        <f>'1 datos preparados'!B1000</f>
        <v/>
      </c>
      <c r="D1007" s="7">
        <f>'1 datos preparados'!C1000</f>
        <v/>
      </c>
      <c r="E1007" s="7">
        <f>'1 datos preparados'!D1000</f>
        <v/>
      </c>
      <c r="F1007" s="7">
        <f>'1 datos preparados'!E1000</f>
        <v/>
      </c>
      <c r="G1007" s="7">
        <f>'1 datos preparados'!F1000</f>
        <v/>
      </c>
      <c r="H1007" s="7">
        <f>'1 datos preparados'!G1000</f>
        <v/>
      </c>
      <c r="I1007" s="7">
        <f>'1 datos preparados'!H1000</f>
        <v/>
      </c>
      <c r="J1007" s="7">
        <f>'1 datos preparados'!I1000</f>
        <v/>
      </c>
      <c r="K1007" s="7">
        <f>'1 datos preparados'!J1000</f>
        <v/>
      </c>
      <c r="L1007" s="7">
        <f>'1 datos preparados'!K1000</f>
        <v/>
      </c>
      <c r="M1007" s="7">
        <f>'1 datos preparados'!L1000</f>
        <v/>
      </c>
      <c r="N1007" s="7">
        <f>'1 datos preparados'!M1000</f>
        <v/>
      </c>
      <c r="O1007" s="7">
        <f>'1 datos preparados'!N1000</f>
        <v/>
      </c>
      <c r="P1007" s="7">
        <f>'1 datos preparados'!O1000</f>
        <v/>
      </c>
      <c r="Q1007" s="7">
        <f>'1 datos preparados'!P1000</f>
        <v/>
      </c>
      <c r="R1007" s="7">
        <f>'1 datos preparados'!Q1000</f>
        <v/>
      </c>
      <c r="S1007" s="7">
        <f>'1 datos preparados'!R1000</f>
        <v/>
      </c>
      <c r="T1007" s="7">
        <f>'1 datos preparados'!S1000</f>
        <v/>
      </c>
      <c r="U1007" s="7">
        <f>'1 datos preparados'!T1000</f>
        <v/>
      </c>
      <c r="V1007" s="8">
        <f>$AE$12+D1007*$AE$13+E1007*$AE$14+F1007*$AE$15+G1007*$AE$16+H1007*$AE$17+I1007*$AE$18+J1007*$AE$19+K1007*$AE$20+L1007*$AE$21+M1007*$AE$22+N1007*$AE$23+O1007*$AE$24+P1007*$AE$25+Q1007*$AE$26+R1007*$AE$27+S1007*$AE$28+T1007*$AE$29+U1007*$AE$30</f>
        <v/>
      </c>
      <c r="W1007" s="8">
        <f>1/(1+EXP(-V1007))</f>
        <v/>
      </c>
      <c r="X1007" s="9">
        <f>-IF(C1007=1,LN(W1007),LN(1-W1007))</f>
        <v/>
      </c>
      <c r="Y1007" s="8">
        <f>IF(C1007=1,$AE$32,$AE$33)</f>
        <v/>
      </c>
      <c r="Z1007" s="9">
        <f>Y1007*X1007</f>
        <v/>
      </c>
      <c r="AA1007" s="10">
        <f>IF(W1007&gt;$AE$34,1,0)</f>
        <v/>
      </c>
      <c r="AB1007">
        <f>IF(AA1007=C1007,1,0)</f>
        <v/>
      </c>
    </row>
    <row r="1008">
      <c r="A1008">
        <f>'1 datos preparados'!A1001</f>
        <v/>
      </c>
      <c r="B1008" s="5">
        <f>'1 datos preparados'!U1001</f>
        <v/>
      </c>
      <c r="C1008">
        <f>'1 datos preparados'!B1001</f>
        <v/>
      </c>
      <c r="D1008" s="7">
        <f>'1 datos preparados'!C1001</f>
        <v/>
      </c>
      <c r="E1008" s="7">
        <f>'1 datos preparados'!D1001</f>
        <v/>
      </c>
      <c r="F1008" s="7">
        <f>'1 datos preparados'!E1001</f>
        <v/>
      </c>
      <c r="G1008" s="7">
        <f>'1 datos preparados'!F1001</f>
        <v/>
      </c>
      <c r="H1008" s="7">
        <f>'1 datos preparados'!G1001</f>
        <v/>
      </c>
      <c r="I1008" s="7">
        <f>'1 datos preparados'!H1001</f>
        <v/>
      </c>
      <c r="J1008" s="7">
        <f>'1 datos preparados'!I1001</f>
        <v/>
      </c>
      <c r="K1008" s="7">
        <f>'1 datos preparados'!J1001</f>
        <v/>
      </c>
      <c r="L1008" s="7">
        <f>'1 datos preparados'!K1001</f>
        <v/>
      </c>
      <c r="M1008" s="7">
        <f>'1 datos preparados'!L1001</f>
        <v/>
      </c>
      <c r="N1008" s="7">
        <f>'1 datos preparados'!M1001</f>
        <v/>
      </c>
      <c r="O1008" s="7">
        <f>'1 datos preparados'!N1001</f>
        <v/>
      </c>
      <c r="P1008" s="7">
        <f>'1 datos preparados'!O1001</f>
        <v/>
      </c>
      <c r="Q1008" s="7">
        <f>'1 datos preparados'!P1001</f>
        <v/>
      </c>
      <c r="R1008" s="7">
        <f>'1 datos preparados'!Q1001</f>
        <v/>
      </c>
      <c r="S1008" s="7">
        <f>'1 datos preparados'!R1001</f>
        <v/>
      </c>
      <c r="T1008" s="7">
        <f>'1 datos preparados'!S1001</f>
        <v/>
      </c>
      <c r="U1008" s="7">
        <f>'1 datos preparados'!T1001</f>
        <v/>
      </c>
      <c r="V1008" s="8">
        <f>$AE$12+D1008*$AE$13+E1008*$AE$14+F1008*$AE$15+G1008*$AE$16+H1008*$AE$17+I1008*$AE$18+J1008*$AE$19+K1008*$AE$20+L1008*$AE$21+M1008*$AE$22+N1008*$AE$23+O1008*$AE$24+P1008*$AE$25+Q1008*$AE$26+R1008*$AE$27+S1008*$AE$28+T1008*$AE$29+U1008*$AE$30</f>
        <v/>
      </c>
      <c r="W1008" s="8">
        <f>1/(1+EXP(-V1008))</f>
        <v/>
      </c>
      <c r="X1008" s="9">
        <f>-IF(C1008=1,LN(W1008),LN(1-W1008))</f>
        <v/>
      </c>
      <c r="Y1008" s="8">
        <f>IF(C1008=1,$AE$32,$AE$33)</f>
        <v/>
      </c>
      <c r="Z1008" s="9">
        <f>Y1008*X1008</f>
        <v/>
      </c>
      <c r="AA1008" s="10">
        <f>IF(W1008&gt;$AE$34,1,0)</f>
        <v/>
      </c>
      <c r="AB1008">
        <f>IF(AA1008=C1008,1,0)</f>
        <v/>
      </c>
    </row>
    <row r="1009">
      <c r="A1009">
        <f>'1 datos preparados'!A1002</f>
        <v/>
      </c>
      <c r="B1009" s="5">
        <f>'1 datos preparados'!U1002</f>
        <v/>
      </c>
      <c r="C1009">
        <f>'1 datos preparados'!B1002</f>
        <v/>
      </c>
      <c r="D1009" s="7">
        <f>'1 datos preparados'!C1002</f>
        <v/>
      </c>
      <c r="E1009" s="7">
        <f>'1 datos preparados'!D1002</f>
        <v/>
      </c>
      <c r="F1009" s="7">
        <f>'1 datos preparados'!E1002</f>
        <v/>
      </c>
      <c r="G1009" s="7">
        <f>'1 datos preparados'!F1002</f>
        <v/>
      </c>
      <c r="H1009" s="7">
        <f>'1 datos preparados'!G1002</f>
        <v/>
      </c>
      <c r="I1009" s="7">
        <f>'1 datos preparados'!H1002</f>
        <v/>
      </c>
      <c r="J1009" s="7">
        <f>'1 datos preparados'!I1002</f>
        <v/>
      </c>
      <c r="K1009" s="7">
        <f>'1 datos preparados'!J1002</f>
        <v/>
      </c>
      <c r="L1009" s="7">
        <f>'1 datos preparados'!K1002</f>
        <v/>
      </c>
      <c r="M1009" s="7">
        <f>'1 datos preparados'!L1002</f>
        <v/>
      </c>
      <c r="N1009" s="7">
        <f>'1 datos preparados'!M1002</f>
        <v/>
      </c>
      <c r="O1009" s="7">
        <f>'1 datos preparados'!N1002</f>
        <v/>
      </c>
      <c r="P1009" s="7">
        <f>'1 datos preparados'!O1002</f>
        <v/>
      </c>
      <c r="Q1009" s="7">
        <f>'1 datos preparados'!P1002</f>
        <v/>
      </c>
      <c r="R1009" s="7">
        <f>'1 datos preparados'!Q1002</f>
        <v/>
      </c>
      <c r="S1009" s="7">
        <f>'1 datos preparados'!R1002</f>
        <v/>
      </c>
      <c r="T1009" s="7">
        <f>'1 datos preparados'!S1002</f>
        <v/>
      </c>
      <c r="U1009" s="7">
        <f>'1 datos preparados'!T1002</f>
        <v/>
      </c>
      <c r="V1009" s="8">
        <f>$AE$12+D1009*$AE$13+E1009*$AE$14+F1009*$AE$15+G1009*$AE$16+H1009*$AE$17+I1009*$AE$18+J1009*$AE$19+K1009*$AE$20+L1009*$AE$21+M1009*$AE$22+N1009*$AE$23+O1009*$AE$24+P1009*$AE$25+Q1009*$AE$26+R1009*$AE$27+S1009*$AE$28+T1009*$AE$29+U1009*$AE$30</f>
        <v/>
      </c>
      <c r="W1009" s="8">
        <f>1/(1+EXP(-V1009))</f>
        <v/>
      </c>
      <c r="X1009" s="9">
        <f>-IF(C1009=1,LN(W1009),LN(1-W1009))</f>
        <v/>
      </c>
      <c r="Y1009" s="8">
        <f>IF(C1009=1,$AE$32,$AE$33)</f>
        <v/>
      </c>
      <c r="Z1009" s="9">
        <f>Y1009*X1009</f>
        <v/>
      </c>
      <c r="AA1009" s="10">
        <f>IF(W1009&gt;$AE$34,1,0)</f>
        <v/>
      </c>
      <c r="AB1009">
        <f>IF(AA1009=C1009,1,0)</f>
        <v/>
      </c>
    </row>
    <row r="1010">
      <c r="A1010">
        <f>'1 datos preparados'!A1003</f>
        <v/>
      </c>
      <c r="B1010" s="5">
        <f>'1 datos preparados'!U1003</f>
        <v/>
      </c>
      <c r="C1010">
        <f>'1 datos preparados'!B1003</f>
        <v/>
      </c>
      <c r="D1010" s="7">
        <f>'1 datos preparados'!C1003</f>
        <v/>
      </c>
      <c r="E1010" s="7">
        <f>'1 datos preparados'!D1003</f>
        <v/>
      </c>
      <c r="F1010" s="7">
        <f>'1 datos preparados'!E1003</f>
        <v/>
      </c>
      <c r="G1010" s="7">
        <f>'1 datos preparados'!F1003</f>
        <v/>
      </c>
      <c r="H1010" s="7">
        <f>'1 datos preparados'!G1003</f>
        <v/>
      </c>
      <c r="I1010" s="7">
        <f>'1 datos preparados'!H1003</f>
        <v/>
      </c>
      <c r="J1010" s="7">
        <f>'1 datos preparados'!I1003</f>
        <v/>
      </c>
      <c r="K1010" s="7">
        <f>'1 datos preparados'!J1003</f>
        <v/>
      </c>
      <c r="L1010" s="7">
        <f>'1 datos preparados'!K1003</f>
        <v/>
      </c>
      <c r="M1010" s="7">
        <f>'1 datos preparados'!L1003</f>
        <v/>
      </c>
      <c r="N1010" s="7">
        <f>'1 datos preparados'!M1003</f>
        <v/>
      </c>
      <c r="O1010" s="7">
        <f>'1 datos preparados'!N1003</f>
        <v/>
      </c>
      <c r="P1010" s="7">
        <f>'1 datos preparados'!O1003</f>
        <v/>
      </c>
      <c r="Q1010" s="7">
        <f>'1 datos preparados'!P1003</f>
        <v/>
      </c>
      <c r="R1010" s="7">
        <f>'1 datos preparados'!Q1003</f>
        <v/>
      </c>
      <c r="S1010" s="7">
        <f>'1 datos preparados'!R1003</f>
        <v/>
      </c>
      <c r="T1010" s="7">
        <f>'1 datos preparados'!S1003</f>
        <v/>
      </c>
      <c r="U1010" s="7">
        <f>'1 datos preparados'!T1003</f>
        <v/>
      </c>
      <c r="V1010" s="8">
        <f>$AE$12+D1010*$AE$13+E1010*$AE$14+F1010*$AE$15+G1010*$AE$16+H1010*$AE$17+I1010*$AE$18+J1010*$AE$19+K1010*$AE$20+L1010*$AE$21+M1010*$AE$22+N1010*$AE$23+O1010*$AE$24+P1010*$AE$25+Q1010*$AE$26+R1010*$AE$27+S1010*$AE$28+T1010*$AE$29+U1010*$AE$30</f>
        <v/>
      </c>
      <c r="W1010" s="8">
        <f>1/(1+EXP(-V1010))</f>
        <v/>
      </c>
      <c r="X1010" s="9">
        <f>-IF(C1010=1,LN(W1010),LN(1-W1010))</f>
        <v/>
      </c>
      <c r="Y1010" s="8">
        <f>IF(C1010=1,$AE$32,$AE$33)</f>
        <v/>
      </c>
      <c r="Z1010" s="9">
        <f>Y1010*X1010</f>
        <v/>
      </c>
      <c r="AA1010" s="10">
        <f>IF(W1010&gt;$AE$34,1,0)</f>
        <v/>
      </c>
      <c r="AB1010">
        <f>IF(AA1010=C1010,1,0)</f>
        <v/>
      </c>
    </row>
    <row r="1011">
      <c r="A1011">
        <f>'1 datos preparados'!A1004</f>
        <v/>
      </c>
      <c r="B1011" s="5">
        <f>'1 datos preparados'!U1004</f>
        <v/>
      </c>
      <c r="C1011">
        <f>'1 datos preparados'!B1004</f>
        <v/>
      </c>
      <c r="D1011" s="7">
        <f>'1 datos preparados'!C1004</f>
        <v/>
      </c>
      <c r="E1011" s="7">
        <f>'1 datos preparados'!D1004</f>
        <v/>
      </c>
      <c r="F1011" s="7">
        <f>'1 datos preparados'!E1004</f>
        <v/>
      </c>
      <c r="G1011" s="7">
        <f>'1 datos preparados'!F1004</f>
        <v/>
      </c>
      <c r="H1011" s="7">
        <f>'1 datos preparados'!G1004</f>
        <v/>
      </c>
      <c r="I1011" s="7">
        <f>'1 datos preparados'!H1004</f>
        <v/>
      </c>
      <c r="J1011" s="7">
        <f>'1 datos preparados'!I1004</f>
        <v/>
      </c>
      <c r="K1011" s="7">
        <f>'1 datos preparados'!J1004</f>
        <v/>
      </c>
      <c r="L1011" s="7">
        <f>'1 datos preparados'!K1004</f>
        <v/>
      </c>
      <c r="M1011" s="7">
        <f>'1 datos preparados'!L1004</f>
        <v/>
      </c>
      <c r="N1011" s="7">
        <f>'1 datos preparados'!M1004</f>
        <v/>
      </c>
      <c r="O1011" s="7">
        <f>'1 datos preparados'!N1004</f>
        <v/>
      </c>
      <c r="P1011" s="7">
        <f>'1 datos preparados'!O1004</f>
        <v/>
      </c>
      <c r="Q1011" s="7">
        <f>'1 datos preparados'!P1004</f>
        <v/>
      </c>
      <c r="R1011" s="7">
        <f>'1 datos preparados'!Q1004</f>
        <v/>
      </c>
      <c r="S1011" s="7">
        <f>'1 datos preparados'!R1004</f>
        <v/>
      </c>
      <c r="T1011" s="7">
        <f>'1 datos preparados'!S1004</f>
        <v/>
      </c>
      <c r="U1011" s="7">
        <f>'1 datos preparados'!T1004</f>
        <v/>
      </c>
      <c r="V1011" s="8">
        <f>$AE$12+D1011*$AE$13+E1011*$AE$14+F1011*$AE$15+G1011*$AE$16+H1011*$AE$17+I1011*$AE$18+J1011*$AE$19+K1011*$AE$20+L1011*$AE$21+M1011*$AE$22+N1011*$AE$23+O1011*$AE$24+P1011*$AE$25+Q1011*$AE$26+R1011*$AE$27+S1011*$AE$28+T1011*$AE$29+U1011*$AE$30</f>
        <v/>
      </c>
      <c r="W1011" s="8">
        <f>1/(1+EXP(-V1011))</f>
        <v/>
      </c>
      <c r="X1011" s="9">
        <f>-IF(C1011=1,LN(W1011),LN(1-W1011))</f>
        <v/>
      </c>
      <c r="Y1011" s="8">
        <f>IF(C1011=1,$AE$32,$AE$33)</f>
        <v/>
      </c>
      <c r="Z1011" s="9">
        <f>Y1011*X1011</f>
        <v/>
      </c>
      <c r="AA1011" s="10">
        <f>IF(W1011&gt;$AE$34,1,0)</f>
        <v/>
      </c>
      <c r="AB1011">
        <f>IF(AA1011=C1011,1,0)</f>
        <v/>
      </c>
    </row>
  </sheetData>
  <mergeCells count="3">
    <mergeCell ref="A3:R3"/>
    <mergeCell ref="A2:R2"/>
    <mergeCell ref="AD48:AF48"/>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S74"/>
  <sheetViews>
    <sheetView workbookViewId="0">
      <selection activeCell="A1" sqref="A1"/>
    </sheetView>
  </sheetViews>
  <sheetFormatPr baseColWidth="8" defaultRowHeight="15"/>
  <cols>
    <col width="34" customWidth="1" min="1" max="1"/>
    <col width="19" customWidth="1" min="2" max="2"/>
    <col width="19" customWidth="1" min="3" max="3"/>
    <col width="19" customWidth="1" min="4" max="4"/>
    <col width="19" customWidth="1" min="5" max="5"/>
    <col width="19" customWidth="1" min="6" max="6"/>
    <col width="19" customWidth="1" min="7" max="7"/>
    <col width="14"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19" customWidth="1" min="18" max="18"/>
    <col width="19" customWidth="1" min="19" max="19"/>
  </cols>
  <sheetData>
    <row r="1">
      <c r="A1" s="3" t="inlineStr">
        <is>
          <t>SMOTE: inventar malos pagadores nuevos interpolando entre vecinos (calculado en Python)</t>
        </is>
      </c>
    </row>
    <row r="2" ht="65" customHeight="1">
      <c r="A2" s="2" t="inlineStr">
        <is>
          <t>SMOTE (Synthetic Minority Oversampling Technique, Chawla y otros, 2002) responde al riesgo del sobremuestreo por repetición: en vez de duplicar una fila, crea filas nuevas. Toma un mal pagador al azar, busca sus 5 vecinos más cercanos entre los malos pagadores (distancia sobre las columnas escaladas), elige uno de ellos y crea un cliente sintético en un punto al azar del segmento que los une: x_nuevo = x_a + u · (x_b − x_a), con u entre 0 y 1. Repite hasta que la clase minoritaria iguale a la mayoritaria: aquí, 280 clientes sintéticos, para llegar a 490 y 490.</t>
        </is>
      </c>
    </row>
    <row r="3" ht="80.5" customHeight="1">
      <c r="A3" s="2" t="inlineStr">
        <is>
          <t>Abajo, tres ejemplos con sus dos padres reales (ids de la hoja 1) y la celda u en celeste: muévela y verás al hijo desplazarse entre los dos. Un detalle honesto: las columnas 0/1 quedan fraccionarias (un cliente sintético puede tener 0,37 de 'arriendo'), lo que no significa nada; hay variantes (SMOTE-NC) que tratan aparte las categóricas. También se ve por qué SMOTE no es magia: los sintéticos viven dentro de la nube de malos pagadores que ya existía, así que la información nueva es limitada; lo que hace es suavizar el sobremuestreo. En esta base su resultado en testing es prácticamente el de class weights. SMOTE está en la librería imbalanced-learn (imblearn) y se usa solo sobre training, nunca sobre testing.</t>
        </is>
      </c>
    </row>
    <row r="4"/>
    <row r="5">
      <c r="A5" s="3" t="inlineStr">
        <is>
          <t>Ejemplo 1: padre a = id 675, padre b = id 332</t>
        </is>
      </c>
      <c r="C5" t="inlineStr">
        <is>
          <t>u =</t>
        </is>
      </c>
      <c r="D5" s="20" t="n">
        <v>0.8080000000000001</v>
      </c>
    </row>
    <row r="6">
      <c r="A6" s="4" t="inlineStr"/>
      <c r="B6" s="4" t="inlineStr">
        <is>
          <t>duracion</t>
        </is>
      </c>
      <c r="C6" s="4" t="inlineStr">
        <is>
          <t>monto</t>
        </is>
      </c>
      <c r="D6" s="4" t="inlineStr">
        <is>
          <t>edad</t>
        </is>
      </c>
      <c r="E6" s="4" t="inlineStr">
        <is>
          <t>cuota_pct_ingreso</t>
        </is>
      </c>
      <c r="F6" s="4" t="inlineStr">
        <is>
          <t>cta_negativa</t>
        </is>
      </c>
      <c r="G6" s="4" t="inlineStr">
        <is>
          <t>cta_0_200</t>
        </is>
      </c>
      <c r="H6" s="4" t="inlineStr">
        <is>
          <t>cta_sobre_200</t>
        </is>
      </c>
      <c r="I6" s="4" t="inlineStr">
        <is>
          <t>hist_critico</t>
        </is>
      </c>
      <c r="J6" s="4" t="inlineStr">
        <is>
          <t>hist_atrasos</t>
        </is>
      </c>
      <c r="K6" s="4" t="inlineStr">
        <is>
          <t>hist_sin_creditos</t>
        </is>
      </c>
      <c r="L6" s="4" t="inlineStr">
        <is>
          <t>ahorro_100_1000</t>
        </is>
      </c>
      <c r="M6" s="4" t="inlineStr">
        <is>
          <t>ahorro_sobre_1000</t>
        </is>
      </c>
      <c r="N6" s="4" t="inlineStr">
        <is>
          <t>ahorro_desconocido</t>
        </is>
      </c>
      <c r="O6" s="4" t="inlineStr">
        <is>
          <t>vivienda_arriendo</t>
        </is>
      </c>
      <c r="P6" s="4" t="inlineStr">
        <is>
          <t>vivienda_gratis</t>
        </is>
      </c>
      <c r="Q6" s="4" t="inlineStr">
        <is>
          <t>proposito_auto</t>
        </is>
      </c>
      <c r="R6" s="4" t="inlineStr">
        <is>
          <t>proposito_radio_tv</t>
        </is>
      </c>
      <c r="S6" s="4" t="inlineStr">
        <is>
          <t>proposito_muebles</t>
        </is>
      </c>
    </row>
    <row r="7">
      <c r="A7" s="3" t="inlineStr">
        <is>
          <t>padre a (real)</t>
        </is>
      </c>
      <c r="B7" s="6" t="n">
        <v>0.02262954691863145</v>
      </c>
      <c r="C7" s="6" t="n">
        <v>-0.2346715623697989</v>
      </c>
      <c r="D7" s="6" t="n">
        <v>0.4748726930111218</v>
      </c>
      <c r="E7" s="6" t="n">
        <v>0.9185437189662378</v>
      </c>
      <c r="F7" s="6" t="n">
        <v>0</v>
      </c>
      <c r="G7" s="6" t="n">
        <v>0</v>
      </c>
      <c r="H7" s="6" t="n">
        <v>0</v>
      </c>
      <c r="I7" s="6" t="n">
        <v>0</v>
      </c>
      <c r="J7" s="6" t="n">
        <v>1</v>
      </c>
      <c r="K7" s="6" t="n">
        <v>0</v>
      </c>
      <c r="L7" s="6" t="n">
        <v>1</v>
      </c>
      <c r="M7" s="6" t="n">
        <v>0</v>
      </c>
      <c r="N7" s="6" t="n">
        <v>0</v>
      </c>
      <c r="O7" s="6" t="n">
        <v>0</v>
      </c>
      <c r="P7" s="6" t="n">
        <v>0</v>
      </c>
      <c r="Q7" s="6" t="n">
        <v>0</v>
      </c>
      <c r="R7" s="6" t="n">
        <v>0</v>
      </c>
      <c r="S7" s="6" t="n">
        <v>0</v>
      </c>
    </row>
    <row r="8">
      <c r="A8" s="3" t="inlineStr">
        <is>
          <t>padre b (real)</t>
        </is>
      </c>
      <c r="B8" s="6" t="n">
        <v>-0.2301473069597001</v>
      </c>
      <c r="C8" s="6" t="n">
        <v>-0.4851947654824373</v>
      </c>
      <c r="D8" s="6" t="n">
        <v>-0.4818305346669622</v>
      </c>
      <c r="E8" s="6" t="n">
        <v>0.9185437189662378</v>
      </c>
      <c r="F8" s="6" t="n">
        <v>0</v>
      </c>
      <c r="G8" s="6" t="n">
        <v>0</v>
      </c>
      <c r="H8" s="6" t="n">
        <v>0</v>
      </c>
      <c r="I8" s="6" t="n">
        <v>1</v>
      </c>
      <c r="J8" s="6" t="n">
        <v>0</v>
      </c>
      <c r="K8" s="6" t="n">
        <v>0</v>
      </c>
      <c r="L8" s="6" t="n">
        <v>1</v>
      </c>
      <c r="M8" s="6" t="n">
        <v>0</v>
      </c>
      <c r="N8" s="6" t="n">
        <v>0</v>
      </c>
      <c r="O8" s="6" t="n">
        <v>0</v>
      </c>
      <c r="P8" s="6" t="n">
        <v>0</v>
      </c>
      <c r="Q8" s="6" t="n">
        <v>0</v>
      </c>
      <c r="R8" s="6" t="n">
        <v>0</v>
      </c>
      <c r="S8" s="6" t="n">
        <v>0</v>
      </c>
    </row>
    <row r="9">
      <c r="A9" s="3" t="inlineStr">
        <is>
          <t>hijo sintético = a + u · (b − a)</t>
        </is>
      </c>
      <c r="B9" s="8">
        <f>B7+$D$5*(B8-B7)</f>
        <v/>
      </c>
      <c r="C9" s="8">
        <f>C7+$D$5*(C8-C7)</f>
        <v/>
      </c>
      <c r="D9" s="8">
        <f>D7+$D$5*(D8-D7)</f>
        <v/>
      </c>
      <c r="E9" s="8">
        <f>E7+$D$5*(E8-E7)</f>
        <v/>
      </c>
      <c r="F9" s="8">
        <f>F7+$D$5*(F8-F7)</f>
        <v/>
      </c>
      <c r="G9" s="8">
        <f>G7+$D$5*(G8-G7)</f>
        <v/>
      </c>
      <c r="H9" s="8">
        <f>H7+$D$5*(H8-H7)</f>
        <v/>
      </c>
      <c r="I9" s="8">
        <f>I7+$D$5*(I8-I7)</f>
        <v/>
      </c>
      <c r="J9" s="8">
        <f>J7+$D$5*(J8-J7)</f>
        <v/>
      </c>
      <c r="K9" s="8">
        <f>K7+$D$5*(K8-K7)</f>
        <v/>
      </c>
      <c r="L9" s="8">
        <f>L7+$D$5*(L8-L7)</f>
        <v/>
      </c>
      <c r="M9" s="8">
        <f>M7+$D$5*(M8-M7)</f>
        <v/>
      </c>
      <c r="N9" s="8">
        <f>N7+$D$5*(N8-N7)</f>
        <v/>
      </c>
      <c r="O9" s="8">
        <f>O7+$D$5*(O8-O7)</f>
        <v/>
      </c>
      <c r="P9" s="8">
        <f>P7+$D$5*(P8-P7)</f>
        <v/>
      </c>
      <c r="Q9" s="8">
        <f>Q7+$D$5*(Q8-Q7)</f>
        <v/>
      </c>
      <c r="R9" s="8">
        <f>R7+$D$5*(R8-R7)</f>
        <v/>
      </c>
      <c r="S9" s="8">
        <f>S7+$D$5*(S8-S7)</f>
        <v/>
      </c>
    </row>
    <row r="10"/>
    <row r="11">
      <c r="A11" s="3" t="inlineStr">
        <is>
          <t>Ejemplo 2: padre a = id 501, padre b = id 723</t>
        </is>
      </c>
      <c r="C11" t="inlineStr">
        <is>
          <t>u =</t>
        </is>
      </c>
      <c r="D11" s="20" t="n">
        <v>0.286</v>
      </c>
    </row>
    <row r="12">
      <c r="A12" s="4" t="inlineStr"/>
      <c r="B12" s="4" t="inlineStr">
        <is>
          <t>duracion</t>
        </is>
      </c>
      <c r="C12" s="4" t="inlineStr">
        <is>
          <t>monto</t>
        </is>
      </c>
      <c r="D12" s="4" t="inlineStr">
        <is>
          <t>edad</t>
        </is>
      </c>
      <c r="E12" s="4" t="inlineStr">
        <is>
          <t>cuota_pct_ingreso</t>
        </is>
      </c>
      <c r="F12" s="4" t="inlineStr">
        <is>
          <t>cta_negativa</t>
        </is>
      </c>
      <c r="G12" s="4" t="inlineStr">
        <is>
          <t>cta_0_200</t>
        </is>
      </c>
      <c r="H12" s="4" t="inlineStr">
        <is>
          <t>cta_sobre_200</t>
        </is>
      </c>
      <c r="I12" s="4" t="inlineStr">
        <is>
          <t>hist_critico</t>
        </is>
      </c>
      <c r="J12" s="4" t="inlineStr">
        <is>
          <t>hist_atrasos</t>
        </is>
      </c>
      <c r="K12" s="4" t="inlineStr">
        <is>
          <t>hist_sin_creditos</t>
        </is>
      </c>
      <c r="L12" s="4" t="inlineStr">
        <is>
          <t>ahorro_100_1000</t>
        </is>
      </c>
      <c r="M12" s="4" t="inlineStr">
        <is>
          <t>ahorro_sobre_1000</t>
        </is>
      </c>
      <c r="N12" s="4" t="inlineStr">
        <is>
          <t>ahorro_desconocido</t>
        </is>
      </c>
      <c r="O12" s="4" t="inlineStr">
        <is>
          <t>vivienda_arriendo</t>
        </is>
      </c>
      <c r="P12" s="4" t="inlineStr">
        <is>
          <t>vivienda_gratis</t>
        </is>
      </c>
      <c r="Q12" s="4" t="inlineStr">
        <is>
          <t>proposito_auto</t>
        </is>
      </c>
      <c r="R12" s="4" t="inlineStr">
        <is>
          <t>proposito_radio_tv</t>
        </is>
      </c>
      <c r="S12" s="4" t="inlineStr">
        <is>
          <t>proposito_muebles</t>
        </is>
      </c>
    </row>
    <row r="13">
      <c r="A13" s="3" t="inlineStr">
        <is>
          <t>padre a (real)</t>
        </is>
      </c>
      <c r="B13" s="6" t="n">
        <v>0.275406400796963</v>
      </c>
      <c r="C13" s="6" t="n">
        <v>-0.04467980358465557</v>
      </c>
      <c r="D13" s="6" t="n">
        <v>-0.7427495967609852</v>
      </c>
      <c r="E13" s="6" t="n">
        <v>0.9185437189662378</v>
      </c>
      <c r="F13" s="6" t="n">
        <v>1</v>
      </c>
      <c r="G13" s="6" t="n">
        <v>0</v>
      </c>
      <c r="H13" s="6" t="n">
        <v>0</v>
      </c>
      <c r="I13" s="6" t="n">
        <v>0</v>
      </c>
      <c r="J13" s="6" t="n">
        <v>0</v>
      </c>
      <c r="K13" s="6" t="n">
        <v>0</v>
      </c>
      <c r="L13" s="6" t="n">
        <v>0</v>
      </c>
      <c r="M13" s="6" t="n">
        <v>0</v>
      </c>
      <c r="N13" s="6" t="n">
        <v>0</v>
      </c>
      <c r="O13" s="6" t="n">
        <v>0</v>
      </c>
      <c r="P13" s="6" t="n">
        <v>0</v>
      </c>
      <c r="Q13" s="6" t="n">
        <v>1</v>
      </c>
      <c r="R13" s="6" t="n">
        <v>0</v>
      </c>
      <c r="S13" s="6" t="n">
        <v>0</v>
      </c>
    </row>
    <row r="14">
      <c r="A14" s="3" t="inlineStr">
        <is>
          <t>padre b (real)</t>
        </is>
      </c>
      <c r="B14" s="6" t="n">
        <v>-0.7357010147163632</v>
      </c>
      <c r="C14" s="6" t="n">
        <v>-0.7077265492528815</v>
      </c>
      <c r="D14" s="6" t="n">
        <v>-1.003668658855008</v>
      </c>
      <c r="E14" s="6" t="n">
        <v>0.9185437189662378</v>
      </c>
      <c r="F14" s="6" t="n">
        <v>1</v>
      </c>
      <c r="G14" s="6" t="n">
        <v>0</v>
      </c>
      <c r="H14" s="6" t="n">
        <v>0</v>
      </c>
      <c r="I14" s="6" t="n">
        <v>0</v>
      </c>
      <c r="J14" s="6" t="n">
        <v>0</v>
      </c>
      <c r="K14" s="6" t="n">
        <v>0</v>
      </c>
      <c r="L14" s="6" t="n">
        <v>0</v>
      </c>
      <c r="M14" s="6" t="n">
        <v>0</v>
      </c>
      <c r="N14" s="6" t="n">
        <v>0</v>
      </c>
      <c r="O14" s="6" t="n">
        <v>0</v>
      </c>
      <c r="P14" s="6" t="n">
        <v>0</v>
      </c>
      <c r="Q14" s="6" t="n">
        <v>1</v>
      </c>
      <c r="R14" s="6" t="n">
        <v>0</v>
      </c>
      <c r="S14" s="6" t="n">
        <v>0</v>
      </c>
    </row>
    <row r="15">
      <c r="A15" s="3" t="inlineStr">
        <is>
          <t>hijo sintético = a + u · (b − a)</t>
        </is>
      </c>
      <c r="B15" s="8">
        <f>B13+$D$11*(B14-B13)</f>
        <v/>
      </c>
      <c r="C15" s="8">
        <f>C13+$D$11*(C14-C13)</f>
        <v/>
      </c>
      <c r="D15" s="8">
        <f>D13+$D$11*(D14-D13)</f>
        <v/>
      </c>
      <c r="E15" s="8">
        <f>E13+$D$11*(E14-E13)</f>
        <v/>
      </c>
      <c r="F15" s="8">
        <f>F13+$D$11*(F14-F13)</f>
        <v/>
      </c>
      <c r="G15" s="8">
        <f>G13+$D$11*(G14-G13)</f>
        <v/>
      </c>
      <c r="H15" s="8">
        <f>H13+$D$11*(H14-H13)</f>
        <v/>
      </c>
      <c r="I15" s="8">
        <f>I13+$D$11*(I14-I13)</f>
        <v/>
      </c>
      <c r="J15" s="8">
        <f>J13+$D$11*(J14-J13)</f>
        <v/>
      </c>
      <c r="K15" s="8">
        <f>K13+$D$11*(K14-K13)</f>
        <v/>
      </c>
      <c r="L15" s="8">
        <f>L13+$D$11*(L14-L13)</f>
        <v/>
      </c>
      <c r="M15" s="8">
        <f>M13+$D$11*(M14-M13)</f>
        <v/>
      </c>
      <c r="N15" s="8">
        <f>N13+$D$11*(N14-N13)</f>
        <v/>
      </c>
      <c r="O15" s="8">
        <f>O13+$D$11*(O14-O13)</f>
        <v/>
      </c>
      <c r="P15" s="8">
        <f>P13+$D$11*(P14-P13)</f>
        <v/>
      </c>
      <c r="Q15" s="8">
        <f>Q13+$D$11*(Q14-Q13)</f>
        <v/>
      </c>
      <c r="R15" s="8">
        <f>R13+$D$11*(R14-R13)</f>
        <v/>
      </c>
      <c r="S15" s="8">
        <f>S13+$D$11*(S14-S13)</f>
        <v/>
      </c>
    </row>
    <row r="16"/>
    <row r="17">
      <c r="A17" s="3" t="inlineStr">
        <is>
          <t>Ejemplo 3: padre a = id 980, padre b = id 810</t>
        </is>
      </c>
      <c r="C17" t="inlineStr">
        <is>
          <t>u =</t>
        </is>
      </c>
      <c r="D17" s="20" t="n">
        <v>0.383</v>
      </c>
    </row>
    <row r="18">
      <c r="A18" s="4" t="inlineStr"/>
      <c r="B18" s="4" t="inlineStr">
        <is>
          <t>duracion</t>
        </is>
      </c>
      <c r="C18" s="4" t="inlineStr">
        <is>
          <t>monto</t>
        </is>
      </c>
      <c r="D18" s="4" t="inlineStr">
        <is>
          <t>edad</t>
        </is>
      </c>
      <c r="E18" s="4" t="inlineStr">
        <is>
          <t>cuota_pct_ingreso</t>
        </is>
      </c>
      <c r="F18" s="4" t="inlineStr">
        <is>
          <t>cta_negativa</t>
        </is>
      </c>
      <c r="G18" s="4" t="inlineStr">
        <is>
          <t>cta_0_200</t>
        </is>
      </c>
      <c r="H18" s="4" t="inlineStr">
        <is>
          <t>cta_sobre_200</t>
        </is>
      </c>
      <c r="I18" s="4" t="inlineStr">
        <is>
          <t>hist_critico</t>
        </is>
      </c>
      <c r="J18" s="4" t="inlineStr">
        <is>
          <t>hist_atrasos</t>
        </is>
      </c>
      <c r="K18" s="4" t="inlineStr">
        <is>
          <t>hist_sin_creditos</t>
        </is>
      </c>
      <c r="L18" s="4" t="inlineStr">
        <is>
          <t>ahorro_100_1000</t>
        </is>
      </c>
      <c r="M18" s="4" t="inlineStr">
        <is>
          <t>ahorro_sobre_1000</t>
        </is>
      </c>
      <c r="N18" s="4" t="inlineStr">
        <is>
          <t>ahorro_desconocido</t>
        </is>
      </c>
      <c r="O18" s="4" t="inlineStr">
        <is>
          <t>vivienda_arriendo</t>
        </is>
      </c>
      <c r="P18" s="4" t="inlineStr">
        <is>
          <t>vivienda_gratis</t>
        </is>
      </c>
      <c r="Q18" s="4" t="inlineStr">
        <is>
          <t>proposito_auto</t>
        </is>
      </c>
      <c r="R18" s="4" t="inlineStr">
        <is>
          <t>proposito_radio_tv</t>
        </is>
      </c>
      <c r="S18" s="4" t="inlineStr">
        <is>
          <t>proposito_muebles</t>
        </is>
      </c>
    </row>
    <row r="19">
      <c r="A19" s="3" t="inlineStr">
        <is>
          <t>padre a (real)</t>
        </is>
      </c>
      <c r="B19" s="6" t="n">
        <v>-0.4829241608380317</v>
      </c>
      <c r="C19" s="6" t="n">
        <v>-0.6951304105488941</v>
      </c>
      <c r="D19" s="6" t="n">
        <v>-0.9166956381570004</v>
      </c>
      <c r="E19" s="6" t="n">
        <v>-0.8850484360866833</v>
      </c>
      <c r="F19" s="6" t="n">
        <v>0</v>
      </c>
      <c r="G19" s="6" t="n">
        <v>1</v>
      </c>
      <c r="H19" s="6" t="n">
        <v>0</v>
      </c>
      <c r="I19" s="6" t="n">
        <v>0</v>
      </c>
      <c r="J19" s="6" t="n">
        <v>0</v>
      </c>
      <c r="K19" s="6" t="n">
        <v>1</v>
      </c>
      <c r="L19" s="6" t="n">
        <v>1</v>
      </c>
      <c r="M19" s="6" t="n">
        <v>0</v>
      </c>
      <c r="N19" s="6" t="n">
        <v>0</v>
      </c>
      <c r="O19" s="6" t="n">
        <v>1</v>
      </c>
      <c r="P19" s="6" t="n">
        <v>0</v>
      </c>
      <c r="Q19" s="6" t="n">
        <v>1</v>
      </c>
      <c r="R19" s="6" t="n">
        <v>0</v>
      </c>
      <c r="S19" s="6" t="n">
        <v>0</v>
      </c>
    </row>
    <row r="20">
      <c r="A20" s="3" t="inlineStr">
        <is>
          <t>padre b (real)</t>
        </is>
      </c>
      <c r="B20" s="6" t="n">
        <v>-0.4829241608380317</v>
      </c>
      <c r="C20" s="6" t="n">
        <v>-0.5152855412752961</v>
      </c>
      <c r="D20" s="6" t="n">
        <v>-0.8297226174589928</v>
      </c>
      <c r="E20" s="6" t="n">
        <v>-0.8850484360866833</v>
      </c>
      <c r="F20" s="6" t="n">
        <v>0</v>
      </c>
      <c r="G20" s="6" t="n">
        <v>1</v>
      </c>
      <c r="H20" s="6" t="n">
        <v>0</v>
      </c>
      <c r="I20" s="6" t="n">
        <v>0</v>
      </c>
      <c r="J20" s="6" t="n">
        <v>0</v>
      </c>
      <c r="K20" s="6" t="n">
        <v>1</v>
      </c>
      <c r="L20" s="6" t="n">
        <v>0</v>
      </c>
      <c r="M20" s="6" t="n">
        <v>0</v>
      </c>
      <c r="N20" s="6" t="n">
        <v>0</v>
      </c>
      <c r="O20" s="6" t="n">
        <v>1</v>
      </c>
      <c r="P20" s="6" t="n">
        <v>0</v>
      </c>
      <c r="Q20" s="6" t="n">
        <v>1</v>
      </c>
      <c r="R20" s="6" t="n">
        <v>0</v>
      </c>
      <c r="S20" s="6" t="n">
        <v>0</v>
      </c>
    </row>
    <row r="21">
      <c r="A21" s="3" t="inlineStr">
        <is>
          <t>hijo sintético = a + u · (b − a)</t>
        </is>
      </c>
      <c r="B21" s="8">
        <f>B19+$D$17*(B20-B19)</f>
        <v/>
      </c>
      <c r="C21" s="8">
        <f>C19+$D$17*(C20-C19)</f>
        <v/>
      </c>
      <c r="D21" s="8">
        <f>D19+$D$17*(D20-D19)</f>
        <v/>
      </c>
      <c r="E21" s="8">
        <f>E19+$D$17*(E20-E19)</f>
        <v/>
      </c>
      <c r="F21" s="8">
        <f>F19+$D$17*(F20-F19)</f>
        <v/>
      </c>
      <c r="G21" s="8">
        <f>G19+$D$17*(G20-G19)</f>
        <v/>
      </c>
      <c r="H21" s="8">
        <f>H19+$D$17*(H20-H19)</f>
        <v/>
      </c>
      <c r="I21" s="8">
        <f>I19+$D$17*(I20-I19)</f>
        <v/>
      </c>
      <c r="J21" s="8">
        <f>J19+$D$17*(J20-J19)</f>
        <v/>
      </c>
      <c r="K21" s="8">
        <f>K19+$D$17*(K20-K19)</f>
        <v/>
      </c>
      <c r="L21" s="8">
        <f>L19+$D$17*(L20-L19)</f>
        <v/>
      </c>
      <c r="M21" s="8">
        <f>M19+$D$17*(M20-M19)</f>
        <v/>
      </c>
      <c r="N21" s="8">
        <f>N19+$D$17*(N20-N19)</f>
        <v/>
      </c>
      <c r="O21" s="8">
        <f>O19+$D$17*(O20-O19)</f>
        <v/>
      </c>
      <c r="P21" s="8">
        <f>P19+$D$17*(P20-P19)</f>
        <v/>
      </c>
      <c r="Q21" s="8">
        <f>Q19+$D$17*(Q20-Q19)</f>
        <v/>
      </c>
      <c r="R21" s="8">
        <f>R19+$D$17*(R20-R19)</f>
        <v/>
      </c>
      <c r="S21" s="8">
        <f>S19+$D$17*(S20-S19)</f>
        <v/>
      </c>
    </row>
    <row r="22"/>
    <row r="23"/>
    <row r="24">
      <c r="A24" s="3" t="inlineStr">
        <is>
          <t>Los primeros 40 de los 280 clientes sintéticos (valores de Python)</t>
        </is>
      </c>
    </row>
    <row r="25">
      <c r="A25" s="4" t="inlineStr">
        <is>
          <t>sintético</t>
        </is>
      </c>
      <c r="B25" s="4" t="inlineStr">
        <is>
          <t>duracion</t>
        </is>
      </c>
      <c r="C25" s="4" t="inlineStr">
        <is>
          <t>monto</t>
        </is>
      </c>
      <c r="D25" s="4" t="inlineStr">
        <is>
          <t>edad</t>
        </is>
      </c>
      <c r="E25" s="4" t="inlineStr">
        <is>
          <t>cuota_pct_ingreso</t>
        </is>
      </c>
      <c r="F25" s="4" t="inlineStr">
        <is>
          <t>cta_negativa</t>
        </is>
      </c>
      <c r="G25" s="4" t="inlineStr">
        <is>
          <t>cta_0_200</t>
        </is>
      </c>
      <c r="H25" s="4" t="inlineStr">
        <is>
          <t>cta_sobre_200</t>
        </is>
      </c>
      <c r="I25" s="4" t="inlineStr">
        <is>
          <t>hist_critico</t>
        </is>
      </c>
      <c r="J25" s="4" t="inlineStr">
        <is>
          <t>hist_atrasos</t>
        </is>
      </c>
      <c r="K25" s="4" t="inlineStr">
        <is>
          <t>hist_sin_creditos</t>
        </is>
      </c>
      <c r="L25" s="4" t="inlineStr">
        <is>
          <t>ahorro_100_1000</t>
        </is>
      </c>
      <c r="M25" s="4" t="inlineStr">
        <is>
          <t>ahorro_sobre_1000</t>
        </is>
      </c>
      <c r="N25" s="4" t="inlineStr">
        <is>
          <t>ahorro_desconocido</t>
        </is>
      </c>
      <c r="O25" s="4" t="inlineStr">
        <is>
          <t>vivienda_arriendo</t>
        </is>
      </c>
      <c r="P25" s="4" t="inlineStr">
        <is>
          <t>vivienda_gratis</t>
        </is>
      </c>
      <c r="Q25" s="4" t="inlineStr">
        <is>
          <t>proposito_auto</t>
        </is>
      </c>
      <c r="R25" s="4" t="inlineStr">
        <is>
          <t>proposito_radio_tv</t>
        </is>
      </c>
      <c r="S25" s="4" t="inlineStr">
        <is>
          <t>proposito_muebles</t>
        </is>
      </c>
    </row>
    <row r="26">
      <c r="A26" t="n">
        <v>1</v>
      </c>
      <c r="B26" s="6" t="n">
        <v>-0.181599184030934</v>
      </c>
      <c r="C26" s="6" t="n">
        <v>-0.4370794769399401</v>
      </c>
      <c r="D26" s="6" t="n">
        <v>-0.298086868302562</v>
      </c>
      <c r="E26" s="6" t="n">
        <v>0.9185437189662378</v>
      </c>
      <c r="F26" s="6" t="n">
        <v>0</v>
      </c>
      <c r="G26" s="6" t="n">
        <v>0</v>
      </c>
      <c r="H26" s="6" t="n">
        <v>0</v>
      </c>
      <c r="I26" s="6" t="n">
        <v>0.8079407897364937</v>
      </c>
      <c r="J26" s="6" t="n">
        <v>0.1920592102635063</v>
      </c>
      <c r="K26" s="6" t="n">
        <v>0</v>
      </c>
      <c r="L26" s="6" t="n">
        <v>1</v>
      </c>
      <c r="M26" s="6" t="n">
        <v>0</v>
      </c>
      <c r="N26" s="6" t="n">
        <v>0</v>
      </c>
      <c r="O26" s="6" t="n">
        <v>0</v>
      </c>
      <c r="P26" s="6" t="n">
        <v>0</v>
      </c>
      <c r="Q26" s="6" t="n">
        <v>0</v>
      </c>
      <c r="R26" s="6" t="n">
        <v>0</v>
      </c>
      <c r="S26" s="6" t="n">
        <v>0</v>
      </c>
    </row>
    <row r="27">
      <c r="A27" t="n">
        <v>2</v>
      </c>
      <c r="B27" s="6" t="n">
        <v>-0.01356949397409968</v>
      </c>
      <c r="C27" s="6" t="n">
        <v>-0.2341794785595855</v>
      </c>
      <c r="D27" s="6" t="n">
        <v>-0.8173206247987604</v>
      </c>
      <c r="E27" s="6" t="n">
        <v>0.9185437189662378</v>
      </c>
      <c r="F27" s="6" t="n">
        <v>1</v>
      </c>
      <c r="G27" s="6" t="n">
        <v>0</v>
      </c>
      <c r="H27" s="6" t="n">
        <v>0</v>
      </c>
      <c r="I27" s="6" t="n">
        <v>0</v>
      </c>
      <c r="J27" s="6" t="n">
        <v>0</v>
      </c>
      <c r="K27" s="6" t="n">
        <v>0</v>
      </c>
      <c r="L27" s="6" t="n">
        <v>0</v>
      </c>
      <c r="M27" s="6" t="n">
        <v>0</v>
      </c>
      <c r="N27" s="6" t="n">
        <v>0</v>
      </c>
      <c r="O27" s="6" t="n">
        <v>0</v>
      </c>
      <c r="P27" s="6" t="n">
        <v>0</v>
      </c>
      <c r="Q27" s="6" t="n">
        <v>1</v>
      </c>
      <c r="R27" s="6" t="n">
        <v>0</v>
      </c>
      <c r="S27" s="6" t="n">
        <v>0</v>
      </c>
    </row>
    <row r="28">
      <c r="A28" t="n">
        <v>3</v>
      </c>
      <c r="B28" s="6" t="n">
        <v>-0.4829241608380317</v>
      </c>
      <c r="C28" s="6" t="n">
        <v>-0.626183484300457</v>
      </c>
      <c r="D28" s="6" t="n">
        <v>-0.8833528885534695</v>
      </c>
      <c r="E28" s="6" t="n">
        <v>-0.8850484360866833</v>
      </c>
      <c r="F28" s="6" t="n">
        <v>0</v>
      </c>
      <c r="G28" s="6" t="n">
        <v>1</v>
      </c>
      <c r="H28" s="6" t="n">
        <v>0</v>
      </c>
      <c r="I28" s="6" t="n">
        <v>0</v>
      </c>
      <c r="J28" s="6" t="n">
        <v>0</v>
      </c>
      <c r="K28" s="6" t="n">
        <v>1</v>
      </c>
      <c r="L28" s="6" t="n">
        <v>0.6166311192144818</v>
      </c>
      <c r="M28" s="6" t="n">
        <v>0</v>
      </c>
      <c r="N28" s="6" t="n">
        <v>0</v>
      </c>
      <c r="O28" s="6" t="n">
        <v>1</v>
      </c>
      <c r="P28" s="6" t="n">
        <v>0</v>
      </c>
      <c r="Q28" s="6" t="n">
        <v>1</v>
      </c>
      <c r="R28" s="6" t="n">
        <v>0</v>
      </c>
      <c r="S28" s="6" t="n">
        <v>0</v>
      </c>
    </row>
    <row r="29">
      <c r="A29" t="n">
        <v>4</v>
      </c>
      <c r="B29" s="6" t="n">
        <v>0.275406400796963</v>
      </c>
      <c r="C29" s="6" t="n">
        <v>-0.6618761392020481</v>
      </c>
      <c r="D29" s="6" t="n">
        <v>0.3682110704311958</v>
      </c>
      <c r="E29" s="6" t="n">
        <v>0.9185437189662378</v>
      </c>
      <c r="F29" s="6" t="n">
        <v>1</v>
      </c>
      <c r="G29" s="6" t="n">
        <v>0</v>
      </c>
      <c r="H29" s="6" t="n">
        <v>0</v>
      </c>
      <c r="I29" s="6" t="n">
        <v>0</v>
      </c>
      <c r="J29" s="6" t="n">
        <v>0</v>
      </c>
      <c r="K29" s="6" t="n">
        <v>0.9547248060975548</v>
      </c>
      <c r="L29" s="6" t="n">
        <v>0</v>
      </c>
      <c r="M29" s="6" t="n">
        <v>0</v>
      </c>
      <c r="N29" s="6" t="n">
        <v>1</v>
      </c>
      <c r="O29" s="6" t="n">
        <v>0</v>
      </c>
      <c r="P29" s="6" t="n">
        <v>0</v>
      </c>
      <c r="Q29" s="6" t="n">
        <v>0.04527519390244517</v>
      </c>
      <c r="R29" s="6" t="n">
        <v>0</v>
      </c>
      <c r="S29" s="6" t="n">
        <v>0</v>
      </c>
    </row>
    <row r="30">
      <c r="A30" t="n">
        <v>5</v>
      </c>
      <c r="B30" s="6" t="n">
        <v>1.539915447314048</v>
      </c>
      <c r="C30" s="6" t="n">
        <v>0.5889195192757385</v>
      </c>
      <c r="D30" s="6" t="n">
        <v>-0.9169106054414953</v>
      </c>
      <c r="E30" s="6" t="n">
        <v>-0.8850484360866833</v>
      </c>
      <c r="F30" s="6" t="n">
        <v>0</v>
      </c>
      <c r="G30" s="6" t="n">
        <v>1</v>
      </c>
      <c r="H30" s="6" t="n">
        <v>0</v>
      </c>
      <c r="I30" s="6" t="n">
        <v>0.9991761150650714</v>
      </c>
      <c r="J30" s="6" t="n">
        <v>0</v>
      </c>
      <c r="K30" s="6" t="n">
        <v>0</v>
      </c>
      <c r="L30" s="6" t="n">
        <v>0</v>
      </c>
      <c r="M30" s="6" t="n">
        <v>0</v>
      </c>
      <c r="N30" s="6" t="n">
        <v>0</v>
      </c>
      <c r="O30" s="6" t="n">
        <v>0</v>
      </c>
      <c r="P30" s="6" t="n">
        <v>0</v>
      </c>
      <c r="Q30" s="6" t="n">
        <v>0</v>
      </c>
      <c r="R30" s="6" t="n">
        <v>1</v>
      </c>
      <c r="S30" s="6" t="n">
        <v>0</v>
      </c>
    </row>
    <row r="31">
      <c r="A31" t="n">
        <v>6</v>
      </c>
      <c r="B31" s="6" t="n">
        <v>0.1568488988360207</v>
      </c>
      <c r="C31" s="6" t="n">
        <v>0.4340079855164329</v>
      </c>
      <c r="D31" s="6" t="n">
        <v>1.238392870858197</v>
      </c>
      <c r="E31" s="6" t="n">
        <v>-0.8850484360866833</v>
      </c>
      <c r="F31" s="6" t="n">
        <v>0</v>
      </c>
      <c r="G31" s="6" t="n">
        <v>0</v>
      </c>
      <c r="H31" s="6" t="n">
        <v>0</v>
      </c>
      <c r="I31" s="6" t="n">
        <v>0</v>
      </c>
      <c r="J31" s="6" t="n">
        <v>0</v>
      </c>
      <c r="K31" s="6" t="n">
        <v>0.2345102016698239</v>
      </c>
      <c r="L31" s="6" t="n">
        <v>0</v>
      </c>
      <c r="M31" s="6" t="n">
        <v>0.7654897983301761</v>
      </c>
      <c r="N31" s="6" t="n">
        <v>0</v>
      </c>
      <c r="O31" s="6" t="n">
        <v>0</v>
      </c>
      <c r="P31" s="6" t="n">
        <v>0</v>
      </c>
      <c r="Q31" s="6" t="n">
        <v>0</v>
      </c>
      <c r="R31" s="6" t="n">
        <v>0</v>
      </c>
      <c r="S31" s="6" t="n">
        <v>0</v>
      </c>
    </row>
    <row r="32">
      <c r="A32" t="n">
        <v>7</v>
      </c>
      <c r="B32" s="6" t="n">
        <v>1.286513816310289</v>
      </c>
      <c r="C32" s="6" t="n">
        <v>1.752431018298267</v>
      </c>
      <c r="D32" s="6" t="n">
        <v>-0.8252324079630785</v>
      </c>
      <c r="E32" s="6" t="n">
        <v>-0.9083272257515129</v>
      </c>
      <c r="F32" s="6" t="n">
        <v>0.9741861932592554</v>
      </c>
      <c r="G32" s="6" t="n">
        <v>0.02581380674074463</v>
      </c>
      <c r="H32" s="6" t="n">
        <v>0</v>
      </c>
      <c r="I32" s="6" t="n">
        <v>0</v>
      </c>
      <c r="J32" s="6" t="n">
        <v>0</v>
      </c>
      <c r="K32" s="6" t="n">
        <v>0</v>
      </c>
      <c r="L32" s="6" t="n">
        <v>0</v>
      </c>
      <c r="M32" s="6" t="n">
        <v>0</v>
      </c>
      <c r="N32" s="6" t="n">
        <v>0</v>
      </c>
      <c r="O32" s="6" t="n">
        <v>0.02581380674074463</v>
      </c>
      <c r="P32" s="6" t="n">
        <v>0</v>
      </c>
      <c r="Q32" s="6" t="n">
        <v>1</v>
      </c>
      <c r="R32" s="6" t="n">
        <v>0</v>
      </c>
      <c r="S32" s="6" t="n">
        <v>0</v>
      </c>
    </row>
    <row r="33">
      <c r="A33" t="n">
        <v>8</v>
      </c>
      <c r="B33" s="6" t="n">
        <v>-0.656951438226054</v>
      </c>
      <c r="C33" s="6" t="n">
        <v>-0.9004602789727354</v>
      </c>
      <c r="D33" s="6" t="n">
        <v>-0.4005443515259894</v>
      </c>
      <c r="E33" s="6" t="n">
        <v>0.9185437189662378</v>
      </c>
      <c r="F33" s="6" t="n">
        <v>0</v>
      </c>
      <c r="G33" s="6" t="n">
        <v>1</v>
      </c>
      <c r="H33" s="6" t="n">
        <v>0</v>
      </c>
      <c r="I33" s="6" t="n">
        <v>0.155768962391259</v>
      </c>
      <c r="J33" s="6" t="n">
        <v>0</v>
      </c>
      <c r="K33" s="6" t="n">
        <v>0</v>
      </c>
      <c r="L33" s="6" t="n">
        <v>0</v>
      </c>
      <c r="M33" s="6" t="n">
        <v>0</v>
      </c>
      <c r="N33" s="6" t="n">
        <v>0</v>
      </c>
      <c r="O33" s="6" t="n">
        <v>0</v>
      </c>
      <c r="P33" s="6" t="n">
        <v>0</v>
      </c>
      <c r="Q33" s="6" t="n">
        <v>0.155768962391259</v>
      </c>
      <c r="R33" s="6" t="n">
        <v>0</v>
      </c>
      <c r="S33" s="6" t="n">
        <v>0</v>
      </c>
    </row>
    <row r="34">
      <c r="A34" t="n">
        <v>9</v>
      </c>
      <c r="B34" s="6" t="n">
        <v>-0.1019952606459762</v>
      </c>
      <c r="C34" s="6" t="n">
        <v>-0.2615971418074302</v>
      </c>
      <c r="D34" s="6" t="n">
        <v>-0.9595753393697505</v>
      </c>
      <c r="E34" s="6" t="n">
        <v>-0.4278585829827629</v>
      </c>
      <c r="F34" s="6" t="n">
        <v>1</v>
      </c>
      <c r="G34" s="6" t="n">
        <v>0</v>
      </c>
      <c r="H34" s="6" t="n">
        <v>0</v>
      </c>
      <c r="I34" s="6" t="n">
        <v>0</v>
      </c>
      <c r="J34" s="6" t="n">
        <v>0</v>
      </c>
      <c r="K34" s="6" t="n">
        <v>0</v>
      </c>
      <c r="L34" s="6" t="n">
        <v>0</v>
      </c>
      <c r="M34" s="6" t="n">
        <v>0</v>
      </c>
      <c r="N34" s="6" t="n">
        <v>0</v>
      </c>
      <c r="O34" s="6" t="n">
        <v>0</v>
      </c>
      <c r="P34" s="6" t="n">
        <v>0</v>
      </c>
      <c r="Q34" s="6" t="n">
        <v>0</v>
      </c>
      <c r="R34" s="6" t="n">
        <v>1</v>
      </c>
      <c r="S34" s="6" t="n">
        <v>0</v>
      </c>
    </row>
    <row r="35">
      <c r="A35" t="n">
        <v>10</v>
      </c>
      <c r="B35" s="6" t="n">
        <v>-0.6742229407611445</v>
      </c>
      <c r="C35" s="6" t="n">
        <v>-0.8124711129940654</v>
      </c>
      <c r="D35" s="6" t="n">
        <v>-1.080065288327824</v>
      </c>
      <c r="E35" s="6" t="n">
        <v>0.9185437189662378</v>
      </c>
      <c r="F35" s="6" t="n">
        <v>1</v>
      </c>
      <c r="G35" s="6" t="n">
        <v>0</v>
      </c>
      <c r="H35" s="6" t="n">
        <v>0</v>
      </c>
      <c r="I35" s="6" t="n">
        <v>0</v>
      </c>
      <c r="J35" s="6" t="n">
        <v>0</v>
      </c>
      <c r="K35" s="6" t="n">
        <v>0</v>
      </c>
      <c r="L35" s="6" t="n">
        <v>0</v>
      </c>
      <c r="M35" s="6" t="n">
        <v>0</v>
      </c>
      <c r="N35" s="6" t="n">
        <v>1</v>
      </c>
      <c r="O35" s="6" t="n">
        <v>0.06080271295805606</v>
      </c>
      <c r="P35" s="6" t="n">
        <v>0</v>
      </c>
      <c r="Q35" s="6" t="n">
        <v>1</v>
      </c>
      <c r="R35" s="6" t="n">
        <v>0</v>
      </c>
      <c r="S35" s="6" t="n">
        <v>0</v>
      </c>
    </row>
    <row r="36">
      <c r="A36" t="n">
        <v>11</v>
      </c>
      <c r="B36" s="6" t="n">
        <v>0.06955635307693064</v>
      </c>
      <c r="C36" s="6" t="n">
        <v>-0.08727879994305388</v>
      </c>
      <c r="D36" s="6" t="n">
        <v>0.07107939891959547</v>
      </c>
      <c r="E36" s="6" t="n">
        <v>0.01674764143977723</v>
      </c>
      <c r="F36" s="6" t="n">
        <v>0</v>
      </c>
      <c r="G36" s="6" t="n">
        <v>0</v>
      </c>
      <c r="H36" s="6" t="n">
        <v>0</v>
      </c>
      <c r="I36" s="6" t="n">
        <v>0</v>
      </c>
      <c r="J36" s="6" t="n">
        <v>0</v>
      </c>
      <c r="K36" s="6" t="n">
        <v>0</v>
      </c>
      <c r="L36" s="6" t="n">
        <v>1</v>
      </c>
      <c r="M36" s="6" t="n">
        <v>0</v>
      </c>
      <c r="N36" s="6" t="n">
        <v>0</v>
      </c>
      <c r="O36" s="6" t="n">
        <v>0</v>
      </c>
      <c r="P36" s="6" t="n">
        <v>0</v>
      </c>
      <c r="Q36" s="6" t="n">
        <v>0</v>
      </c>
      <c r="R36" s="6" t="n">
        <v>0.7285483954698985</v>
      </c>
      <c r="S36" s="6" t="n">
        <v>0</v>
      </c>
    </row>
    <row r="37">
      <c r="A37" t="n">
        <v>12</v>
      </c>
      <c r="B37" s="6" t="n">
        <v>1.351441510059661</v>
      </c>
      <c r="C37" s="6" t="n">
        <v>0.3926536341544991</v>
      </c>
      <c r="D37" s="6" t="n">
        <v>-0.8185527702880646</v>
      </c>
      <c r="E37" s="6" t="n">
        <v>0.9185437189662378</v>
      </c>
      <c r="F37" s="6" t="n">
        <v>0</v>
      </c>
      <c r="G37" s="6" t="n">
        <v>0.06421443731219101</v>
      </c>
      <c r="H37" s="6" t="n">
        <v>0</v>
      </c>
      <c r="I37" s="6" t="n">
        <v>0</v>
      </c>
      <c r="J37" s="6" t="n">
        <v>0.935785562687809</v>
      </c>
      <c r="K37" s="6" t="n">
        <v>0</v>
      </c>
      <c r="L37" s="6" t="n">
        <v>0</v>
      </c>
      <c r="M37" s="6" t="n">
        <v>0</v>
      </c>
      <c r="N37" s="6" t="n">
        <v>0</v>
      </c>
      <c r="O37" s="6" t="n">
        <v>0</v>
      </c>
      <c r="P37" s="6" t="n">
        <v>0</v>
      </c>
      <c r="Q37" s="6" t="n">
        <v>0</v>
      </c>
      <c r="R37" s="6" t="n">
        <v>1</v>
      </c>
      <c r="S37" s="6" t="n">
        <v>0</v>
      </c>
    </row>
    <row r="38">
      <c r="A38" t="n">
        <v>13</v>
      </c>
      <c r="B38" s="6" t="n">
        <v>2.297621231823615</v>
      </c>
      <c r="C38" s="6" t="n">
        <v>1.269317181307377</v>
      </c>
      <c r="D38" s="6" t="n">
        <v>-0.3270647417130792</v>
      </c>
      <c r="E38" s="6" t="n">
        <v>-0.1004060375868682</v>
      </c>
      <c r="F38" s="6" t="n">
        <v>1</v>
      </c>
      <c r="G38" s="6" t="n">
        <v>0</v>
      </c>
      <c r="H38" s="6" t="n">
        <v>0</v>
      </c>
      <c r="I38" s="6" t="n">
        <v>0</v>
      </c>
      <c r="J38" s="6" t="n">
        <v>0</v>
      </c>
      <c r="K38" s="6" t="n">
        <v>0.1299114976724967</v>
      </c>
      <c r="L38" s="6" t="n">
        <v>0</v>
      </c>
      <c r="M38" s="6" t="n">
        <v>0</v>
      </c>
      <c r="N38" s="6" t="n">
        <v>0</v>
      </c>
      <c r="O38" s="6" t="n">
        <v>0.1299114976724967</v>
      </c>
      <c r="P38" s="6" t="n">
        <v>0</v>
      </c>
      <c r="Q38" s="6" t="n">
        <v>0</v>
      </c>
      <c r="R38" s="6" t="n">
        <v>0.8700885023275033</v>
      </c>
      <c r="S38" s="6" t="n">
        <v>0</v>
      </c>
    </row>
    <row r="39">
      <c r="A39" t="n">
        <v>14</v>
      </c>
      <c r="B39" s="6" t="n">
        <v>-0.3094321022847134</v>
      </c>
      <c r="C39" s="6" t="n">
        <v>-0.7057657999790916</v>
      </c>
      <c r="D39" s="6" t="n">
        <v>-0.2300046550103877</v>
      </c>
      <c r="E39" s="6" t="n">
        <v>0.9185437189662378</v>
      </c>
      <c r="F39" s="6" t="n">
        <v>0</v>
      </c>
      <c r="G39" s="6" t="n">
        <v>1</v>
      </c>
      <c r="H39" s="6" t="n">
        <v>0</v>
      </c>
      <c r="I39" s="6" t="n">
        <v>1</v>
      </c>
      <c r="J39" s="6" t="n">
        <v>0</v>
      </c>
      <c r="K39" s="6" t="n">
        <v>0</v>
      </c>
      <c r="L39" s="6" t="n">
        <v>0</v>
      </c>
      <c r="M39" s="6" t="n">
        <v>0.104551760585874</v>
      </c>
      <c r="N39" s="6" t="n">
        <v>0</v>
      </c>
      <c r="O39" s="6" t="n">
        <v>0</v>
      </c>
      <c r="P39" s="6" t="n">
        <v>0.104551760585874</v>
      </c>
      <c r="Q39" s="6" t="n">
        <v>0</v>
      </c>
      <c r="R39" s="6" t="n">
        <v>0.895448239414126</v>
      </c>
      <c r="S39" s="6" t="n">
        <v>0</v>
      </c>
    </row>
    <row r="40">
      <c r="A40" t="n">
        <v>15</v>
      </c>
      <c r="B40" s="6" t="n">
        <v>-0.3955447268617504</v>
      </c>
      <c r="C40" s="6" t="n">
        <v>-0.2260209378563025</v>
      </c>
      <c r="D40" s="6" t="n">
        <v>0.6311032524944287</v>
      </c>
      <c r="E40" s="6" t="n">
        <v>-0.8683496818249835</v>
      </c>
      <c r="F40" s="6" t="n">
        <v>0.9814827823297892</v>
      </c>
      <c r="G40" s="6" t="n">
        <v>0</v>
      </c>
      <c r="H40" s="6" t="n">
        <v>0</v>
      </c>
      <c r="I40" s="6" t="n">
        <v>1</v>
      </c>
      <c r="J40" s="6" t="n">
        <v>0</v>
      </c>
      <c r="K40" s="6" t="n">
        <v>0</v>
      </c>
      <c r="L40" s="6" t="n">
        <v>0</v>
      </c>
      <c r="M40" s="6" t="n">
        <v>0</v>
      </c>
      <c r="N40" s="6" t="n">
        <v>0</v>
      </c>
      <c r="O40" s="6" t="n">
        <v>0.9814827823297892</v>
      </c>
      <c r="P40" s="6" t="n">
        <v>0</v>
      </c>
      <c r="Q40" s="6" t="n">
        <v>1</v>
      </c>
      <c r="R40" s="6" t="n">
        <v>0</v>
      </c>
      <c r="S40" s="6" t="n">
        <v>0</v>
      </c>
    </row>
    <row r="41">
      <c r="A41" t="n">
        <v>16</v>
      </c>
      <c r="B41" s="6" t="n">
        <v>-0.4832274130807597</v>
      </c>
      <c r="C41" s="6" t="n">
        <v>-0.5157443395886468</v>
      </c>
      <c r="D41" s="6" t="n">
        <v>-0.829826957564421</v>
      </c>
      <c r="E41" s="6" t="n">
        <v>-0.8850484360866833</v>
      </c>
      <c r="F41" s="6" t="n">
        <v>0</v>
      </c>
      <c r="G41" s="6" t="n">
        <v>1</v>
      </c>
      <c r="H41" s="6" t="n">
        <v>0</v>
      </c>
      <c r="I41" s="6" t="n">
        <v>0</v>
      </c>
      <c r="J41" s="6" t="n">
        <v>0</v>
      </c>
      <c r="K41" s="6" t="n">
        <v>0.9988003164131714</v>
      </c>
      <c r="L41" s="6" t="n">
        <v>0</v>
      </c>
      <c r="M41" s="6" t="n">
        <v>0</v>
      </c>
      <c r="N41" s="6" t="n">
        <v>0</v>
      </c>
      <c r="O41" s="6" t="n">
        <v>0.9988003164131714</v>
      </c>
      <c r="P41" s="6" t="n">
        <v>0</v>
      </c>
      <c r="Q41" s="6" t="n">
        <v>1</v>
      </c>
      <c r="R41" s="6" t="n">
        <v>0</v>
      </c>
      <c r="S41" s="6" t="n">
        <v>0</v>
      </c>
    </row>
    <row r="42">
      <c r="A42" t="n">
        <v>17</v>
      </c>
      <c r="B42" s="6" t="n">
        <v>0.275406400796963</v>
      </c>
      <c r="C42" s="6" t="n">
        <v>3.165969731467626</v>
      </c>
      <c r="D42" s="6" t="n">
        <v>0.5459004922700896</v>
      </c>
      <c r="E42" s="6" t="n">
        <v>0.130974449292146</v>
      </c>
      <c r="F42" s="6" t="n">
        <v>0</v>
      </c>
      <c r="G42" s="6" t="n">
        <v>1</v>
      </c>
      <c r="H42" s="6" t="n">
        <v>0</v>
      </c>
      <c r="I42" s="6" t="n">
        <v>0.4366670521756527</v>
      </c>
      <c r="J42" s="6" t="n">
        <v>0</v>
      </c>
      <c r="K42" s="6" t="n">
        <v>0</v>
      </c>
      <c r="L42" s="6" t="n">
        <v>0</v>
      </c>
      <c r="M42" s="6" t="n">
        <v>0</v>
      </c>
      <c r="N42" s="6" t="n">
        <v>0</v>
      </c>
      <c r="O42" s="6" t="n">
        <v>0</v>
      </c>
      <c r="P42" s="6" t="n">
        <v>0.5633329478243473</v>
      </c>
      <c r="Q42" s="6" t="n">
        <v>0.5633329478243473</v>
      </c>
      <c r="R42" s="6" t="n">
        <v>0</v>
      </c>
      <c r="S42" s="6" t="n">
        <v>0</v>
      </c>
    </row>
    <row r="43">
      <c r="A43" t="n">
        <v>18</v>
      </c>
      <c r="B43" s="6" t="n">
        <v>-0.9884778685946948</v>
      </c>
      <c r="C43" s="6" t="n">
        <v>-0.8094172604154467</v>
      </c>
      <c r="D43" s="6" t="n">
        <v>-0.4862091159489403</v>
      </c>
      <c r="E43" s="6" t="n">
        <v>0.3097796437391336</v>
      </c>
      <c r="F43" s="6" t="n">
        <v>0</v>
      </c>
      <c r="G43" s="6" t="n">
        <v>0</v>
      </c>
      <c r="H43" s="6" t="n">
        <v>1</v>
      </c>
      <c r="I43" s="6" t="n">
        <v>0</v>
      </c>
      <c r="J43" s="6" t="n">
        <v>0</v>
      </c>
      <c r="K43" s="6" t="n">
        <v>0.3249426445756061</v>
      </c>
      <c r="L43" s="6" t="n">
        <v>0</v>
      </c>
      <c r="M43" s="6" t="n">
        <v>0</v>
      </c>
      <c r="N43" s="6" t="n">
        <v>0</v>
      </c>
      <c r="O43" s="6" t="n">
        <v>0</v>
      </c>
      <c r="P43" s="6" t="n">
        <v>0</v>
      </c>
      <c r="Q43" s="6" t="n">
        <v>0</v>
      </c>
      <c r="R43" s="6" t="n">
        <v>1</v>
      </c>
      <c r="S43" s="6" t="n">
        <v>0</v>
      </c>
    </row>
    <row r="44">
      <c r="A44" t="n">
        <v>19</v>
      </c>
      <c r="B44" s="6" t="n">
        <v>2.297621231823615</v>
      </c>
      <c r="C44" s="6" t="n">
        <v>1.985659560666503</v>
      </c>
      <c r="D44" s="6" t="n">
        <v>0.7908373430006616</v>
      </c>
      <c r="E44" s="6" t="n">
        <v>-0.3142979337938235</v>
      </c>
      <c r="F44" s="6" t="n">
        <v>0.3164520874044902</v>
      </c>
      <c r="G44" s="6" t="n">
        <v>0</v>
      </c>
      <c r="H44" s="6" t="n">
        <v>0</v>
      </c>
      <c r="I44" s="6" t="n">
        <v>1</v>
      </c>
      <c r="J44" s="6" t="n">
        <v>0</v>
      </c>
      <c r="K44" s="6" t="n">
        <v>0</v>
      </c>
      <c r="L44" s="6" t="n">
        <v>0.6835479125955098</v>
      </c>
      <c r="M44" s="6" t="n">
        <v>0</v>
      </c>
      <c r="N44" s="6" t="n">
        <v>0</v>
      </c>
      <c r="O44" s="6" t="n">
        <v>0</v>
      </c>
      <c r="P44" s="6" t="n">
        <v>1</v>
      </c>
      <c r="Q44" s="6" t="n">
        <v>1</v>
      </c>
      <c r="R44" s="6" t="n">
        <v>0</v>
      </c>
      <c r="S44" s="6" t="n">
        <v>0</v>
      </c>
    </row>
    <row r="45">
      <c r="A45" t="n">
        <v>20</v>
      </c>
      <c r="B45" s="6" t="n">
        <v>0.1991972102275856</v>
      </c>
      <c r="C45" s="6" t="n">
        <v>-0.4982745062994653</v>
      </c>
      <c r="D45" s="6" t="n">
        <v>-0.6129371491981956</v>
      </c>
      <c r="E45" s="6" t="n">
        <v>0.6466630144140308</v>
      </c>
      <c r="F45" s="6" t="n">
        <v>1</v>
      </c>
      <c r="G45" s="6" t="n">
        <v>0</v>
      </c>
      <c r="H45" s="6" t="n">
        <v>0</v>
      </c>
      <c r="I45" s="6" t="n">
        <v>0</v>
      </c>
      <c r="J45" s="6" t="n">
        <v>0</v>
      </c>
      <c r="K45" s="6" t="n">
        <v>0</v>
      </c>
      <c r="L45" s="6" t="n">
        <v>0</v>
      </c>
      <c r="M45" s="6" t="n">
        <v>0</v>
      </c>
      <c r="N45" s="6" t="n">
        <v>0</v>
      </c>
      <c r="O45" s="6" t="n">
        <v>0</v>
      </c>
      <c r="P45" s="6" t="n">
        <v>0</v>
      </c>
      <c r="Q45" s="6" t="n">
        <v>0</v>
      </c>
      <c r="R45" s="6" t="n">
        <v>1</v>
      </c>
      <c r="S45" s="6" t="n">
        <v>0</v>
      </c>
    </row>
    <row r="46">
      <c r="A46" t="n">
        <v>21</v>
      </c>
      <c r="B46" s="6" t="n">
        <v>-0.1285004211326704</v>
      </c>
      <c r="C46" s="6" t="n">
        <v>0.9662473987318116</v>
      </c>
      <c r="D46" s="6" t="n">
        <v>0.2484661321730606</v>
      </c>
      <c r="E46" s="6" t="n">
        <v>-1.066364014481603</v>
      </c>
      <c r="F46" s="6" t="n">
        <v>0</v>
      </c>
      <c r="G46" s="6" t="n">
        <v>0.201060509036866</v>
      </c>
      <c r="H46" s="6" t="n">
        <v>0</v>
      </c>
      <c r="I46" s="6" t="n">
        <v>0</v>
      </c>
      <c r="J46" s="6" t="n">
        <v>0</v>
      </c>
      <c r="K46" s="6" t="n">
        <v>1</v>
      </c>
      <c r="L46" s="6" t="n">
        <v>0</v>
      </c>
      <c r="M46" s="6" t="n">
        <v>0</v>
      </c>
      <c r="N46" s="6" t="n">
        <v>0</v>
      </c>
      <c r="O46" s="6" t="n">
        <v>0</v>
      </c>
      <c r="P46" s="6" t="n">
        <v>0</v>
      </c>
      <c r="Q46" s="6" t="n">
        <v>0.798939490963134</v>
      </c>
      <c r="R46" s="6" t="n">
        <v>0</v>
      </c>
      <c r="S46" s="6" t="n">
        <v>0</v>
      </c>
    </row>
    <row r="47">
      <c r="A47" t="n">
        <v>22</v>
      </c>
      <c r="B47" s="6" t="n">
        <v>-0.3918156246339926</v>
      </c>
      <c r="C47" s="6" t="n">
        <v>-0.7105825782004774</v>
      </c>
      <c r="D47" s="6" t="n">
        <v>-1.062829042194086</v>
      </c>
      <c r="E47" s="6" t="n">
        <v>0.9185437189662378</v>
      </c>
      <c r="F47" s="6" t="n">
        <v>1</v>
      </c>
      <c r="G47" s="6" t="n">
        <v>0</v>
      </c>
      <c r="H47" s="6" t="n">
        <v>0</v>
      </c>
      <c r="I47" s="6" t="n">
        <v>0</v>
      </c>
      <c r="J47" s="6" t="n">
        <v>0</v>
      </c>
      <c r="K47" s="6" t="n">
        <v>0</v>
      </c>
      <c r="L47" s="6" t="n">
        <v>0</v>
      </c>
      <c r="M47" s="6" t="n">
        <v>0</v>
      </c>
      <c r="N47" s="6" t="n">
        <v>0</v>
      </c>
      <c r="O47" s="6" t="n">
        <v>0.6802153456817137</v>
      </c>
      <c r="P47" s="6" t="n">
        <v>0</v>
      </c>
      <c r="Q47" s="6" t="n">
        <v>1</v>
      </c>
      <c r="R47" s="6" t="n">
        <v>0</v>
      </c>
      <c r="S47" s="6" t="n">
        <v>0</v>
      </c>
    </row>
    <row r="48">
      <c r="A48" t="n">
        <v>23</v>
      </c>
      <c r="B48" s="6" t="n">
        <v>-0.4793508369983719</v>
      </c>
      <c r="C48" s="6" t="n">
        <v>-0.3637998879196425</v>
      </c>
      <c r="D48" s="6" t="n">
        <v>-1.086953255195733</v>
      </c>
      <c r="E48" s="6" t="n">
        <v>-1.34232049480644</v>
      </c>
      <c r="F48" s="6" t="n">
        <v>1</v>
      </c>
      <c r="G48" s="6" t="n">
        <v>0</v>
      </c>
      <c r="H48" s="6" t="n">
        <v>0</v>
      </c>
      <c r="I48" s="6" t="n">
        <v>0</v>
      </c>
      <c r="J48" s="6" t="n">
        <v>0</v>
      </c>
      <c r="K48" s="6" t="n">
        <v>0.5070681389233913</v>
      </c>
      <c r="L48" s="6" t="n">
        <v>0</v>
      </c>
      <c r="M48" s="6" t="n">
        <v>0</v>
      </c>
      <c r="N48" s="6" t="n">
        <v>0</v>
      </c>
      <c r="O48" s="6" t="n">
        <v>1</v>
      </c>
      <c r="P48" s="6" t="n">
        <v>0</v>
      </c>
      <c r="Q48" s="6" t="n">
        <v>0</v>
      </c>
      <c r="R48" s="6" t="n">
        <v>0</v>
      </c>
      <c r="S48" s="6" t="n">
        <v>1</v>
      </c>
    </row>
    <row r="49">
      <c r="A49" t="n">
        <v>24</v>
      </c>
      <c r="B49" s="6" t="n">
        <v>2.058803597101851</v>
      </c>
      <c r="C49" s="6" t="n">
        <v>2.611335848597204</v>
      </c>
      <c r="D49" s="6" t="n">
        <v>0.7974193055583086</v>
      </c>
      <c r="E49" s="6" t="n">
        <v>-1.098047374608854</v>
      </c>
      <c r="F49" s="6" t="n">
        <v>0</v>
      </c>
      <c r="G49" s="6" t="n">
        <v>0.2361941283958635</v>
      </c>
      <c r="H49" s="6" t="n">
        <v>0</v>
      </c>
      <c r="I49" s="6" t="n">
        <v>0.7638058716041365</v>
      </c>
      <c r="J49" s="6" t="n">
        <v>0</v>
      </c>
      <c r="K49" s="6" t="n">
        <v>0</v>
      </c>
      <c r="L49" s="6" t="n">
        <v>1</v>
      </c>
      <c r="M49" s="6" t="n">
        <v>0</v>
      </c>
      <c r="N49" s="6" t="n">
        <v>0</v>
      </c>
      <c r="O49" s="6" t="n">
        <v>0</v>
      </c>
      <c r="P49" s="6" t="n">
        <v>1</v>
      </c>
      <c r="Q49" s="6" t="n">
        <v>0.7638058716041365</v>
      </c>
      <c r="R49" s="6" t="n">
        <v>0</v>
      </c>
      <c r="S49" s="6" t="n">
        <v>0</v>
      </c>
    </row>
    <row r="50">
      <c r="A50" t="n">
        <v>25</v>
      </c>
      <c r="B50" s="6" t="n">
        <v>-0.2301473069597001</v>
      </c>
      <c r="C50" s="6" t="n">
        <v>1.146815279928065</v>
      </c>
      <c r="D50" s="6" t="n">
        <v>0.3706192809090135</v>
      </c>
      <c r="E50" s="6" t="n">
        <v>-0.9452668609359027</v>
      </c>
      <c r="F50" s="6" t="n">
        <v>0.06677609977456633</v>
      </c>
      <c r="G50" s="6" t="n">
        <v>0</v>
      </c>
      <c r="H50" s="6" t="n">
        <v>0</v>
      </c>
      <c r="I50" s="6" t="n">
        <v>0</v>
      </c>
      <c r="J50" s="6" t="n">
        <v>0</v>
      </c>
      <c r="K50" s="6" t="n">
        <v>0.9332239002254337</v>
      </c>
      <c r="L50" s="6" t="n">
        <v>0</v>
      </c>
      <c r="M50" s="6" t="n">
        <v>0</v>
      </c>
      <c r="N50" s="6" t="n">
        <v>0.06677609977456633</v>
      </c>
      <c r="O50" s="6" t="n">
        <v>0</v>
      </c>
      <c r="P50" s="6" t="n">
        <v>0.06677609977456633</v>
      </c>
      <c r="Q50" s="6" t="n">
        <v>1</v>
      </c>
      <c r="R50" s="6" t="n">
        <v>0</v>
      </c>
      <c r="S50" s="6" t="n">
        <v>0</v>
      </c>
    </row>
    <row r="51">
      <c r="A51" t="n">
        <v>26</v>
      </c>
      <c r="B51" s="6" t="n">
        <v>0.275406400796963</v>
      </c>
      <c r="C51" s="6" t="n">
        <v>-0.3070780568160239</v>
      </c>
      <c r="D51" s="6" t="n">
        <v>-0.01255379132865397</v>
      </c>
      <c r="E51" s="6" t="n">
        <v>0.01674764143977723</v>
      </c>
      <c r="F51" s="6" t="n">
        <v>0</v>
      </c>
      <c r="G51" s="6" t="n">
        <v>1</v>
      </c>
      <c r="H51" s="6" t="n">
        <v>0</v>
      </c>
      <c r="I51" s="6" t="n">
        <v>0</v>
      </c>
      <c r="J51" s="6" t="n">
        <v>0.84492680147361</v>
      </c>
      <c r="K51" s="6" t="n">
        <v>0</v>
      </c>
      <c r="L51" s="6" t="n">
        <v>0</v>
      </c>
      <c r="M51" s="6" t="n">
        <v>0</v>
      </c>
      <c r="N51" s="6" t="n">
        <v>0</v>
      </c>
      <c r="O51" s="6" t="n">
        <v>0</v>
      </c>
      <c r="P51" s="6" t="n">
        <v>0</v>
      </c>
      <c r="Q51" s="6" t="n">
        <v>0</v>
      </c>
      <c r="R51" s="6" t="n">
        <v>0</v>
      </c>
      <c r="S51" s="6" t="n">
        <v>1</v>
      </c>
    </row>
    <row r="52">
      <c r="A52" t="n">
        <v>27</v>
      </c>
      <c r="B52" s="6" t="n">
        <v>0.2506458873456315</v>
      </c>
      <c r="C52" s="6" t="n">
        <v>-0.7114282977557996</v>
      </c>
      <c r="D52" s="6" t="n">
        <v>0.1926552345661766</v>
      </c>
      <c r="E52" s="6" t="n">
        <v>0.9185437189662378</v>
      </c>
      <c r="F52" s="6" t="n">
        <v>0</v>
      </c>
      <c r="G52" s="6" t="n">
        <v>1</v>
      </c>
      <c r="H52" s="6" t="n">
        <v>0</v>
      </c>
      <c r="I52" s="6" t="n">
        <v>1</v>
      </c>
      <c r="J52" s="6" t="n">
        <v>0</v>
      </c>
      <c r="K52" s="6" t="n">
        <v>0</v>
      </c>
      <c r="L52" s="6" t="n">
        <v>0.9510229811957994</v>
      </c>
      <c r="M52" s="6" t="n">
        <v>0</v>
      </c>
      <c r="N52" s="6" t="n">
        <v>0</v>
      </c>
      <c r="O52" s="6" t="n">
        <v>0</v>
      </c>
      <c r="P52" s="6" t="n">
        <v>0</v>
      </c>
      <c r="Q52" s="6" t="n">
        <v>0</v>
      </c>
      <c r="R52" s="6" t="n">
        <v>1</v>
      </c>
      <c r="S52" s="6" t="n">
        <v>0</v>
      </c>
    </row>
    <row r="53">
      <c r="A53" t="n">
        <v>28</v>
      </c>
      <c r="B53" s="6" t="n">
        <v>2.297621231823615</v>
      </c>
      <c r="C53" s="6" t="n">
        <v>1.042717104020237</v>
      </c>
      <c r="D53" s="6" t="n">
        <v>1.235518575809438</v>
      </c>
      <c r="E53" s="6" t="n">
        <v>0.9185437189662378</v>
      </c>
      <c r="F53" s="6" t="n">
        <v>0.06355793815799693</v>
      </c>
      <c r="G53" s="6" t="n">
        <v>0.9364420618420031</v>
      </c>
      <c r="H53" s="6" t="n">
        <v>0</v>
      </c>
      <c r="I53" s="6" t="n">
        <v>0.06355793815799693</v>
      </c>
      <c r="J53" s="6" t="n">
        <v>0.9364420618420031</v>
      </c>
      <c r="K53" s="6" t="n">
        <v>0</v>
      </c>
      <c r="L53" s="6" t="n">
        <v>0</v>
      </c>
      <c r="M53" s="6" t="n">
        <v>0</v>
      </c>
      <c r="N53" s="6" t="n">
        <v>0</v>
      </c>
      <c r="O53" s="6" t="n">
        <v>0</v>
      </c>
      <c r="P53" s="6" t="n">
        <v>1</v>
      </c>
      <c r="Q53" s="6" t="n">
        <v>0.06355793815799693</v>
      </c>
      <c r="R53" s="6" t="n">
        <v>0</v>
      </c>
      <c r="S53" s="6" t="n">
        <v>0</v>
      </c>
    </row>
    <row r="54">
      <c r="A54" t="n">
        <v>29</v>
      </c>
      <c r="B54" s="6" t="n">
        <v>2.176219926236783</v>
      </c>
      <c r="C54" s="6" t="n">
        <v>0.009316509301186798</v>
      </c>
      <c r="D54" s="6" t="n">
        <v>-0.5304648067901764</v>
      </c>
      <c r="E54" s="6" t="n">
        <v>0.9185437189662378</v>
      </c>
      <c r="F54" s="6" t="n">
        <v>0.2401353283027758</v>
      </c>
      <c r="G54" s="6" t="n">
        <v>0.7598646716972242</v>
      </c>
      <c r="H54" s="6" t="n">
        <v>0</v>
      </c>
      <c r="I54" s="6" t="n">
        <v>0</v>
      </c>
      <c r="J54" s="6" t="n">
        <v>0</v>
      </c>
      <c r="K54" s="6" t="n">
        <v>0</v>
      </c>
      <c r="L54" s="6" t="n">
        <v>0</v>
      </c>
      <c r="M54" s="6" t="n">
        <v>0</v>
      </c>
      <c r="N54" s="6" t="n">
        <v>0</v>
      </c>
      <c r="O54" s="6" t="n">
        <v>0</v>
      </c>
      <c r="P54" s="6" t="n">
        <v>0</v>
      </c>
      <c r="Q54" s="6" t="n">
        <v>0</v>
      </c>
      <c r="R54" s="6" t="n">
        <v>1</v>
      </c>
      <c r="S54" s="6" t="n">
        <v>0</v>
      </c>
    </row>
    <row r="55">
      <c r="A55" t="n">
        <v>30</v>
      </c>
      <c r="B55" s="6" t="n">
        <v>-0.2301473069597001</v>
      </c>
      <c r="C55" s="6" t="n">
        <v>-0.5640067636494253</v>
      </c>
      <c r="D55" s="6" t="n">
        <v>-0.3645231134042224</v>
      </c>
      <c r="E55" s="6" t="n">
        <v>0.310381719357167</v>
      </c>
      <c r="F55" s="6" t="n">
        <v>0</v>
      </c>
      <c r="G55" s="6" t="n">
        <v>0</v>
      </c>
      <c r="H55" s="6" t="n">
        <v>0</v>
      </c>
      <c r="I55" s="6" t="n">
        <v>1</v>
      </c>
      <c r="J55" s="6" t="n">
        <v>0</v>
      </c>
      <c r="K55" s="6" t="n">
        <v>0</v>
      </c>
      <c r="L55" s="6" t="n">
        <v>0.3256102851132372</v>
      </c>
      <c r="M55" s="6" t="n">
        <v>0</v>
      </c>
      <c r="N55" s="6" t="n">
        <v>0</v>
      </c>
      <c r="O55" s="6" t="n">
        <v>0</v>
      </c>
      <c r="P55" s="6" t="n">
        <v>0</v>
      </c>
      <c r="Q55" s="6" t="n">
        <v>0.6743897148867628</v>
      </c>
      <c r="R55" s="6" t="n">
        <v>0</v>
      </c>
      <c r="S55" s="6" t="n">
        <v>0</v>
      </c>
    </row>
    <row r="56">
      <c r="A56" t="n">
        <v>31</v>
      </c>
      <c r="B56" s="6" t="n">
        <v>0.5830494413462654</v>
      </c>
      <c r="C56" s="6" t="n">
        <v>-0.3354293627172646</v>
      </c>
      <c r="D56" s="6" t="n">
        <v>-1.08434907019455</v>
      </c>
      <c r="E56" s="6" t="n">
        <v>-0.8850484360866833</v>
      </c>
      <c r="F56" s="6" t="n">
        <v>1</v>
      </c>
      <c r="G56" s="6" t="n">
        <v>0</v>
      </c>
      <c r="H56" s="6" t="n">
        <v>0</v>
      </c>
      <c r="I56" s="6" t="n">
        <v>0</v>
      </c>
      <c r="J56" s="6" t="n">
        <v>0.5361756399166328</v>
      </c>
      <c r="K56" s="6" t="n">
        <v>0</v>
      </c>
      <c r="L56" s="6" t="n">
        <v>0</v>
      </c>
      <c r="M56" s="6" t="n">
        <v>0</v>
      </c>
      <c r="N56" s="6" t="n">
        <v>0</v>
      </c>
      <c r="O56" s="6" t="n">
        <v>0</v>
      </c>
      <c r="P56" s="6" t="n">
        <v>0</v>
      </c>
      <c r="Q56" s="6" t="n">
        <v>0</v>
      </c>
      <c r="R56" s="6" t="n">
        <v>0</v>
      </c>
      <c r="S56" s="6" t="n">
        <v>0.4638243600833672</v>
      </c>
    </row>
    <row r="57">
      <c r="A57" t="n">
        <v>32</v>
      </c>
      <c r="B57" s="6" t="n">
        <v>-0.2106380966669725</v>
      </c>
      <c r="C57" s="6" t="n">
        <v>-0.588780517715498</v>
      </c>
      <c r="D57" s="6" t="n">
        <v>-0.7360370559386838</v>
      </c>
      <c r="E57" s="6" t="n">
        <v>-1.208847208096043</v>
      </c>
      <c r="F57" s="6" t="n">
        <v>0.359059858518689</v>
      </c>
      <c r="G57" s="6" t="n">
        <v>0.640940141481311</v>
      </c>
      <c r="H57" s="6" t="n">
        <v>0</v>
      </c>
      <c r="I57" s="6" t="n">
        <v>0</v>
      </c>
      <c r="J57" s="6" t="n">
        <v>0</v>
      </c>
      <c r="K57" s="6" t="n">
        <v>1</v>
      </c>
      <c r="L57" s="6" t="n">
        <v>0</v>
      </c>
      <c r="M57" s="6" t="n">
        <v>0</v>
      </c>
      <c r="N57" s="6" t="n">
        <v>0</v>
      </c>
      <c r="O57" s="6" t="n">
        <v>1</v>
      </c>
      <c r="P57" s="6" t="n">
        <v>0</v>
      </c>
      <c r="Q57" s="6" t="n">
        <v>1</v>
      </c>
      <c r="R57" s="6" t="n">
        <v>0</v>
      </c>
      <c r="S57" s="6" t="n">
        <v>0</v>
      </c>
    </row>
    <row r="58">
      <c r="A58" t="n">
        <v>33</v>
      </c>
      <c r="B58" s="6" t="n">
        <v>-0.3857454771779183</v>
      </c>
      <c r="C58" s="6" t="n">
        <v>-0.7689737088457275</v>
      </c>
      <c r="D58" s="6" t="n">
        <v>0.809332307855261</v>
      </c>
      <c r="E58" s="6" t="n">
        <v>0.9185437189662378</v>
      </c>
      <c r="F58" s="6" t="n">
        <v>1</v>
      </c>
      <c r="G58" s="6" t="n">
        <v>0</v>
      </c>
      <c r="H58" s="6" t="n">
        <v>0</v>
      </c>
      <c r="I58" s="6" t="n">
        <v>0</v>
      </c>
      <c r="J58" s="6" t="n">
        <v>0</v>
      </c>
      <c r="K58" s="6" t="n">
        <v>0</v>
      </c>
      <c r="L58" s="6" t="n">
        <v>0</v>
      </c>
      <c r="M58" s="6" t="n">
        <v>0</v>
      </c>
      <c r="N58" s="6" t="n">
        <v>0</v>
      </c>
      <c r="O58" s="6" t="n">
        <v>0.3077777253551701</v>
      </c>
      <c r="P58" s="6" t="n">
        <v>0</v>
      </c>
      <c r="Q58" s="6" t="n">
        <v>0</v>
      </c>
      <c r="R58" s="6" t="n">
        <v>0</v>
      </c>
      <c r="S58" s="6" t="n">
        <v>0</v>
      </c>
    </row>
    <row r="59">
      <c r="A59" t="n">
        <v>34</v>
      </c>
      <c r="B59" s="6" t="n">
        <v>-0.4204946102873834</v>
      </c>
      <c r="C59" s="6" t="n">
        <v>-0.7228272394383529</v>
      </c>
      <c r="D59" s="6" t="n">
        <v>-0.5043630833569319</v>
      </c>
      <c r="E59" s="6" t="n">
        <v>0.9185437189662378</v>
      </c>
      <c r="F59" s="6" t="n">
        <v>1</v>
      </c>
      <c r="G59" s="6" t="n">
        <v>0</v>
      </c>
      <c r="H59" s="6" t="n">
        <v>0</v>
      </c>
      <c r="I59" s="6" t="n">
        <v>0</v>
      </c>
      <c r="J59" s="6" t="n">
        <v>0</v>
      </c>
      <c r="K59" s="6" t="n">
        <v>0.6234874744123078</v>
      </c>
      <c r="L59" s="6" t="n">
        <v>0</v>
      </c>
      <c r="M59" s="6" t="n">
        <v>0</v>
      </c>
      <c r="N59" s="6" t="n">
        <v>0</v>
      </c>
      <c r="O59" s="6" t="n">
        <v>0</v>
      </c>
      <c r="P59" s="6" t="n">
        <v>0.6234874744123078</v>
      </c>
      <c r="Q59" s="6" t="n">
        <v>1</v>
      </c>
      <c r="R59" s="6" t="n">
        <v>0</v>
      </c>
      <c r="S59" s="6" t="n">
        <v>0</v>
      </c>
    </row>
    <row r="60">
      <c r="A60" t="n">
        <v>35</v>
      </c>
      <c r="B60" s="6" t="n">
        <v>0.4715869983861887</v>
      </c>
      <c r="C60" s="6" t="n">
        <v>0.2080649562728722</v>
      </c>
      <c r="D60" s="6" t="n">
        <v>-0.9556418256274039</v>
      </c>
      <c r="E60" s="6" t="n">
        <v>0.1917190546431344</v>
      </c>
      <c r="F60" s="6" t="n">
        <v>1</v>
      </c>
      <c r="G60" s="6" t="n">
        <v>0</v>
      </c>
      <c r="H60" s="6" t="n">
        <v>0</v>
      </c>
      <c r="I60" s="6" t="n">
        <v>0</v>
      </c>
      <c r="J60" s="6" t="n">
        <v>0</v>
      </c>
      <c r="K60" s="6" t="n">
        <v>1</v>
      </c>
      <c r="L60" s="6" t="n">
        <v>0</v>
      </c>
      <c r="M60" s="6" t="n">
        <v>0</v>
      </c>
      <c r="N60" s="6" t="n">
        <v>0</v>
      </c>
      <c r="O60" s="6" t="n">
        <v>0.8059745239929554</v>
      </c>
      <c r="P60" s="6" t="n">
        <v>0</v>
      </c>
      <c r="Q60" s="6" t="n">
        <v>0</v>
      </c>
      <c r="R60" s="6" t="n">
        <v>0</v>
      </c>
      <c r="S60" s="6" t="n">
        <v>1</v>
      </c>
    </row>
    <row r="61">
      <c r="A61" t="n">
        <v>36</v>
      </c>
      <c r="B61" s="6" t="n">
        <v>0.5443386905709842</v>
      </c>
      <c r="C61" s="6" t="n">
        <v>0.3056358453739</v>
      </c>
      <c r="D61" s="6" t="n">
        <v>0.9809334785648002</v>
      </c>
      <c r="E61" s="6" t="n">
        <v>-0.1654747874789442</v>
      </c>
      <c r="F61" s="6" t="n">
        <v>0.797933886097021</v>
      </c>
      <c r="G61" s="6" t="n">
        <v>0</v>
      </c>
      <c r="H61" s="6" t="n">
        <v>0</v>
      </c>
      <c r="I61" s="6" t="n">
        <v>0</v>
      </c>
      <c r="J61" s="6" t="n">
        <v>0</v>
      </c>
      <c r="K61" s="6" t="n">
        <v>0</v>
      </c>
      <c r="L61" s="6" t="n">
        <v>0</v>
      </c>
      <c r="M61" s="6" t="n">
        <v>0.202066113902979</v>
      </c>
      <c r="N61" s="6" t="n">
        <v>0</v>
      </c>
      <c r="O61" s="6" t="n">
        <v>0</v>
      </c>
      <c r="P61" s="6" t="n">
        <v>0</v>
      </c>
      <c r="Q61" s="6" t="n">
        <v>0.797933886097021</v>
      </c>
      <c r="R61" s="6" t="n">
        <v>0</v>
      </c>
      <c r="S61" s="6" t="n">
        <v>0</v>
      </c>
    </row>
    <row r="62">
      <c r="A62" t="n">
        <v>37</v>
      </c>
      <c r="B62" s="6" t="n">
        <v>-0.6632192397353891</v>
      </c>
      <c r="C62" s="6" t="n">
        <v>0.1048304999787502</v>
      </c>
      <c r="D62" s="6" t="n">
        <v>-0.1965984094878937</v>
      </c>
      <c r="E62" s="6" t="n">
        <v>0.01674764143977723</v>
      </c>
      <c r="F62" s="6" t="n">
        <v>1</v>
      </c>
      <c r="G62" s="6" t="n">
        <v>0</v>
      </c>
      <c r="H62" s="6" t="n">
        <v>0</v>
      </c>
      <c r="I62" s="6" t="n">
        <v>0</v>
      </c>
      <c r="J62" s="6" t="n">
        <v>0</v>
      </c>
      <c r="K62" s="6" t="n">
        <v>0</v>
      </c>
      <c r="L62" s="6" t="n">
        <v>0</v>
      </c>
      <c r="M62" s="6" t="n">
        <v>0</v>
      </c>
      <c r="N62" s="6" t="n">
        <v>0</v>
      </c>
      <c r="O62" s="6" t="n">
        <v>0</v>
      </c>
      <c r="P62" s="6" t="n">
        <v>0.7132578641244521</v>
      </c>
      <c r="Q62" s="6" t="n">
        <v>1</v>
      </c>
      <c r="R62" s="6" t="n">
        <v>0</v>
      </c>
      <c r="S62" s="6" t="n">
        <v>0</v>
      </c>
    </row>
    <row r="63">
      <c r="A63" t="n">
        <v>38</v>
      </c>
      <c r="B63" s="6" t="n">
        <v>1.286513816310289</v>
      </c>
      <c r="C63" s="6" t="n">
        <v>1.075653107825231</v>
      </c>
      <c r="D63" s="6" t="n">
        <v>-1.080379032750241</v>
      </c>
      <c r="E63" s="6" t="n">
        <v>0.9185437189662378</v>
      </c>
      <c r="F63" s="6" t="n">
        <v>0.9410009752426018</v>
      </c>
      <c r="G63" s="6" t="n">
        <v>0</v>
      </c>
      <c r="H63" s="6" t="n">
        <v>0</v>
      </c>
      <c r="I63" s="6" t="n">
        <v>1</v>
      </c>
      <c r="J63" s="6" t="n">
        <v>0</v>
      </c>
      <c r="K63" s="6" t="n">
        <v>0</v>
      </c>
      <c r="L63" s="6" t="n">
        <v>0</v>
      </c>
      <c r="M63" s="6" t="n">
        <v>0</v>
      </c>
      <c r="N63" s="6" t="n">
        <v>0</v>
      </c>
      <c r="O63" s="6" t="n">
        <v>0.9410009752426018</v>
      </c>
      <c r="P63" s="6" t="n">
        <v>0</v>
      </c>
      <c r="Q63" s="6" t="n">
        <v>0.05899902475739816</v>
      </c>
      <c r="R63" s="6" t="n">
        <v>0</v>
      </c>
      <c r="S63" s="6" t="n">
        <v>0.9410009752426018</v>
      </c>
    </row>
    <row r="64">
      <c r="A64" t="n">
        <v>39</v>
      </c>
      <c r="B64" s="6" t="n">
        <v>1.93176401806945</v>
      </c>
      <c r="C64" s="6" t="n">
        <v>0.4786834550223295</v>
      </c>
      <c r="D64" s="6" t="n">
        <v>0.1544540780083556</v>
      </c>
      <c r="E64" s="6" t="n">
        <v>0.9185437189662378</v>
      </c>
      <c r="F64" s="6" t="n">
        <v>1</v>
      </c>
      <c r="G64" s="6" t="n">
        <v>0</v>
      </c>
      <c r="H64" s="6" t="n">
        <v>0</v>
      </c>
      <c r="I64" s="6" t="n">
        <v>0.2763237453492037</v>
      </c>
      <c r="J64" s="6" t="n">
        <v>0</v>
      </c>
      <c r="K64" s="6" t="n">
        <v>0</v>
      </c>
      <c r="L64" s="6" t="n">
        <v>0</v>
      </c>
      <c r="M64" s="6" t="n">
        <v>0</v>
      </c>
      <c r="N64" s="6" t="n">
        <v>0</v>
      </c>
      <c r="O64" s="6" t="n">
        <v>0</v>
      </c>
      <c r="P64" s="6" t="n">
        <v>0.2763237453492037</v>
      </c>
      <c r="Q64" s="6" t="n">
        <v>0.2763237453492037</v>
      </c>
      <c r="R64" s="6" t="n">
        <v>0.7236762546507963</v>
      </c>
      <c r="S64" s="6" t="n">
        <v>0</v>
      </c>
    </row>
    <row r="65">
      <c r="A65" t="n">
        <v>40</v>
      </c>
      <c r="B65" s="6" t="n">
        <v>2.297621231823615</v>
      </c>
      <c r="C65" s="6" t="n">
        <v>1.370907439692536</v>
      </c>
      <c r="D65" s="6" t="n">
        <v>-0.04585611646755905</v>
      </c>
      <c r="E65" s="6" t="n">
        <v>-0.7471953578229239</v>
      </c>
      <c r="F65" s="6" t="n">
        <v>1</v>
      </c>
      <c r="G65" s="6" t="n">
        <v>0</v>
      </c>
      <c r="H65" s="6" t="n">
        <v>0</v>
      </c>
      <c r="I65" s="6" t="n">
        <v>0</v>
      </c>
      <c r="J65" s="6" t="n">
        <v>0</v>
      </c>
      <c r="K65" s="6" t="n">
        <v>0.8471349768543271</v>
      </c>
      <c r="L65" s="6" t="n">
        <v>0</v>
      </c>
      <c r="M65" s="6" t="n">
        <v>0</v>
      </c>
      <c r="N65" s="6" t="n">
        <v>0</v>
      </c>
      <c r="O65" s="6" t="n">
        <v>1</v>
      </c>
      <c r="P65" s="6" t="n">
        <v>0</v>
      </c>
      <c r="Q65" s="6" t="n">
        <v>0</v>
      </c>
      <c r="R65" s="6" t="n">
        <v>0</v>
      </c>
      <c r="S65" s="6" t="n">
        <v>0</v>
      </c>
    </row>
    <row r="66"/>
    <row r="67"/>
    <row r="68">
      <c r="A68" s="3" t="inlineStr">
        <is>
          <t>Resultado en testing de la logística entrenada con 490 reales + 280 sintéticos (Python)</t>
        </is>
      </c>
    </row>
    <row r="69">
      <c r="A69" t="inlineStr">
        <is>
          <t>recall clase 1</t>
        </is>
      </c>
      <c r="B69" s="6" t="n">
        <v>0.8444444444444444</v>
      </c>
    </row>
    <row r="70">
      <c r="A70" t="inlineStr">
        <is>
          <t>precision clase 1</t>
        </is>
      </c>
      <c r="B70" s="6" t="n">
        <v>0.5277777777777778</v>
      </c>
    </row>
    <row r="71">
      <c r="A71" t="inlineStr">
        <is>
          <t>F1 clase 1</t>
        </is>
      </c>
      <c r="B71" s="6" t="n">
        <v>0.6495726495726496</v>
      </c>
    </row>
    <row r="72">
      <c r="A72" t="inlineStr">
        <is>
          <t>acierto</t>
        </is>
      </c>
      <c r="B72" s="22" t="n">
        <v>0.7266666666666667</v>
      </c>
    </row>
    <row r="73">
      <c r="A73" t="inlineStr">
        <is>
          <t>AUC testing</t>
        </is>
      </c>
      <c r="B73" s="6" t="n">
        <v>0.8296825396825397</v>
      </c>
    </row>
    <row r="74">
      <c r="A74" t="inlineStr">
        <is>
          <t>p promedio en testing</t>
        </is>
      </c>
      <c r="B74" s="6" t="n">
        <v>0.4778611366693971</v>
      </c>
    </row>
  </sheetData>
  <mergeCells count="2">
    <mergeCell ref="A3:P3"/>
    <mergeCell ref="A2:P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1" customWidth="1" min="1" max="1"/>
    <col width="7" customWidth="1" min="2" max="2"/>
    <col width="7" customWidth="1" min="3" max="3"/>
    <col width="7" customWidth="1" min="4" max="4"/>
    <col width="7" customWidth="1" min="5" max="5"/>
    <col width="7" customWidth="1" min="6" max="6"/>
    <col width="19" customWidth="1" min="7" max="7"/>
    <col width="19" customWidth="1" min="8" max="8"/>
    <col width="19" customWidth="1" min="9" max="9"/>
    <col width="19" customWidth="1" min="10" max="10"/>
    <col width="19" customWidth="1" min="11" max="11"/>
    <col width="19" customWidth="1" min="12" max="12"/>
    <col width="20" customWidth="1" min="13" max="13"/>
  </cols>
  <sheetData>
    <row r="1">
      <c r="A1" s="3" t="inlineStr">
        <is>
          <t>Los cuatro métodos en testing, y el modelo sin balancear con otro umbral</t>
        </is>
      </c>
    </row>
    <row r="2" ht="65" customHeight="1">
      <c r="A2" s="2" t="inlineStr">
        <is>
          <t>Todas las filas se evalúan sobre los mismos 300 clientes de testing (valores de Python). Las cuatro correcciones suben el recall de la clase 1 de 0,57 a entre 0,83 y 0,87 y bajan la precision de 0,65 a entre 0,50 y 0,56: ninguna crea información, todas mueven el punto de operación hacia atrapar más malos pagadores. El AUC casi no cambia (0,81 a 0,83), porque el AUC no depende del umbral ni del balanceo: el ordenamiento de los clientes por riesgo es casi el mismo.</t>
        </is>
      </c>
    </row>
    <row r="3" ht="80.5" customHeight="1">
      <c r="A3" s="2" t="inlineStr">
        <is>
          <t>La última fila es la que vale la conversación: el modelo sin balancear, con umbral 0,30, tiene recall 0,856 y precision 0,513, casi lo mismo que class weights (0,856 y 0,527). Para una logística, balancear y mover el umbral son dos caminos al mismo lugar; la diferencia es que el balanceo desplaza las probabilidades (p promedio 0,48 contra una tasa real de 0,30) y el umbral no. Cuándo sí balancear: cuando la minoritaria es tan escasa (1%, 2%) que el modelo ni siquiera aprende a distinguirla y el AUC mismo mejora al ponderar, o cuando el algoritmo no entrega una probabilidad que se pueda umbralizar.</t>
        </is>
      </c>
    </row>
    <row r="4"/>
    <row r="5">
      <c r="A5" s="4" t="inlineStr">
        <is>
          <t>modelo</t>
        </is>
      </c>
      <c r="B5" s="4" t="inlineStr">
        <is>
          <t>umbral</t>
        </is>
      </c>
      <c r="C5" s="4" t="inlineStr">
        <is>
          <t>TP</t>
        </is>
      </c>
      <c r="D5" s="4" t="inlineStr">
        <is>
          <t>FP</t>
        </is>
      </c>
      <c r="E5" s="4" t="inlineStr">
        <is>
          <t>TN</t>
        </is>
      </c>
      <c r="F5" s="4" t="inlineStr">
        <is>
          <t>FN</t>
        </is>
      </c>
      <c r="G5" s="4" t="inlineStr">
        <is>
          <t>acierto</t>
        </is>
      </c>
      <c r="H5" s="4" t="inlineStr">
        <is>
          <t>recall clase 1</t>
        </is>
      </c>
      <c r="I5" s="4" t="inlineStr">
        <is>
          <t>precision clase 1</t>
        </is>
      </c>
      <c r="J5" s="4" t="inlineStr">
        <is>
          <t>F1 clase 1</t>
        </is>
      </c>
      <c r="K5" s="4" t="inlineStr">
        <is>
          <t>recall clase 0</t>
        </is>
      </c>
      <c r="L5" s="4" t="inlineStr">
        <is>
          <t>AUC</t>
        </is>
      </c>
      <c r="M5" s="4" t="inlineStr">
        <is>
          <t>p promedio testing</t>
        </is>
      </c>
    </row>
    <row r="6">
      <c r="A6" t="inlineStr">
        <is>
          <t>sin balancear</t>
        </is>
      </c>
      <c r="B6" s="23" t="n">
        <v>0.5</v>
      </c>
      <c r="C6" t="n">
        <v>51</v>
      </c>
      <c r="D6" t="n">
        <v>27</v>
      </c>
      <c r="E6" t="n">
        <v>183</v>
      </c>
      <c r="F6" t="n">
        <v>39</v>
      </c>
      <c r="G6" s="22" t="n">
        <v>0.78</v>
      </c>
      <c r="H6" s="6" t="n">
        <v>0.5666666666666667</v>
      </c>
      <c r="I6" s="6" t="n">
        <v>0.6538461538461539</v>
      </c>
      <c r="J6" s="6" t="n">
        <v>0.6071428571428571</v>
      </c>
      <c r="K6" s="6" t="n">
        <v>0.8714285714285714</v>
      </c>
      <c r="L6" s="6" t="n">
        <v>0.8216931216931216</v>
      </c>
      <c r="M6" s="6" t="n">
        <v>0.331770790313337</v>
      </c>
    </row>
    <row r="7">
      <c r="A7" t="inlineStr">
        <is>
          <t>class weights balanced</t>
        </is>
      </c>
      <c r="B7" s="23" t="n">
        <v>0.5</v>
      </c>
      <c r="C7" t="n">
        <v>77</v>
      </c>
      <c r="D7" t="n">
        <v>69</v>
      </c>
      <c r="E7" t="n">
        <v>141</v>
      </c>
      <c r="F7" t="n">
        <v>13</v>
      </c>
      <c r="G7" s="22" t="n">
        <v>0.7266666666666667</v>
      </c>
      <c r="H7" s="6" t="n">
        <v>0.8555555555555555</v>
      </c>
      <c r="I7" s="6" t="n">
        <v>0.5273972602739726</v>
      </c>
      <c r="J7" s="6" t="n">
        <v>0.652542372881356</v>
      </c>
      <c r="K7" s="6" t="n">
        <v>0.6714285714285714</v>
      </c>
      <c r="L7" s="6" t="n">
        <v>0.8239153439153439</v>
      </c>
      <c r="M7" s="6" t="n">
        <v>0.484207855247944</v>
      </c>
    </row>
    <row r="8">
      <c r="A8" t="inlineStr">
        <is>
          <t>submuestreo 210 + 210</t>
        </is>
      </c>
      <c r="B8" s="23" t="n">
        <v>0.5</v>
      </c>
      <c r="C8" t="n">
        <v>78</v>
      </c>
      <c r="D8" t="n">
        <v>78</v>
      </c>
      <c r="E8" t="n">
        <v>132</v>
      </c>
      <c r="F8" t="n">
        <v>12</v>
      </c>
      <c r="G8" s="22" t="n">
        <v>0.7</v>
      </c>
      <c r="H8" s="6" t="n">
        <v>0.8666666666666667</v>
      </c>
      <c r="I8" s="6" t="n">
        <v>0.5</v>
      </c>
      <c r="J8" s="6" t="n">
        <v>0.6341463414634146</v>
      </c>
      <c r="K8" s="6" t="n">
        <v>0.6285714285714286</v>
      </c>
      <c r="L8" s="6" t="n">
        <v>0.8133862433862435</v>
      </c>
      <c r="M8" s="6" t="n">
        <v>0.4864211223510542</v>
      </c>
    </row>
    <row r="9">
      <c r="A9" t="inlineStr">
        <is>
          <t>sobremuestreo, malos ×2</t>
        </is>
      </c>
      <c r="B9" s="23" t="n">
        <v>0.5</v>
      </c>
      <c r="C9" t="n">
        <v>75</v>
      </c>
      <c r="D9" t="n">
        <v>59</v>
      </c>
      <c r="E9" t="n">
        <v>151</v>
      </c>
      <c r="F9" t="n">
        <v>15</v>
      </c>
      <c r="G9" s="22" t="n">
        <v>0.7533333333333333</v>
      </c>
      <c r="H9" s="6" t="n">
        <v>0.8333333333333334</v>
      </c>
      <c r="I9" s="6" t="n">
        <v>0.5597014925373134</v>
      </c>
      <c r="J9" s="6" t="n">
        <v>0.6696428571428571</v>
      </c>
      <c r="K9" s="6" t="n">
        <v>0.719047619047619</v>
      </c>
      <c r="L9" s="6" t="n">
        <v>0.8234920634920635</v>
      </c>
      <c r="M9" s="6" t="n">
        <v>0.4555762324770329</v>
      </c>
    </row>
    <row r="10">
      <c r="A10" t="inlineStr">
        <is>
          <t>SMOTE, 490 + 490</t>
        </is>
      </c>
      <c r="B10" s="23" t="n">
        <v>0.5</v>
      </c>
      <c r="C10" t="n">
        <v>76</v>
      </c>
      <c r="D10" t="n">
        <v>68</v>
      </c>
      <c r="E10" t="n">
        <v>142</v>
      </c>
      <c r="F10" t="n">
        <v>14</v>
      </c>
      <c r="G10" s="22" t="n">
        <v>0.7266666666666667</v>
      </c>
      <c r="H10" s="6" t="n">
        <v>0.8444444444444444</v>
      </c>
      <c r="I10" s="6" t="n">
        <v>0.5277777777777778</v>
      </c>
      <c r="J10" s="6" t="n">
        <v>0.6495726495726496</v>
      </c>
      <c r="K10" s="6" t="n">
        <v>0.6761904761904762</v>
      </c>
      <c r="L10" s="6" t="n">
        <v>0.8296825396825397</v>
      </c>
      <c r="M10" s="6" t="n">
        <v>0.4778611366693971</v>
      </c>
    </row>
    <row r="11">
      <c r="A11" t="inlineStr">
        <is>
          <t>sin balancear</t>
        </is>
      </c>
      <c r="B11" s="23" t="n">
        <v>0.3</v>
      </c>
      <c r="C11" t="n">
        <v>77</v>
      </c>
      <c r="D11" t="n">
        <v>73</v>
      </c>
      <c r="E11" t="n">
        <v>137</v>
      </c>
      <c r="F11" t="n">
        <v>13</v>
      </c>
      <c r="G11" s="22" t="n">
        <v>0.7133333333333334</v>
      </c>
      <c r="H11" s="6" t="n">
        <v>0.8555555555555555</v>
      </c>
      <c r="I11" s="6" t="n">
        <v>0.5133333333333333</v>
      </c>
      <c r="J11" s="6" t="n">
        <v>0.6416666666666666</v>
      </c>
      <c r="K11" s="6" t="n">
        <v>0.6523809523809524</v>
      </c>
      <c r="L11" s="6" t="n">
        <v>0.8216931216931216</v>
      </c>
      <c r="M11" s="6" t="n">
        <v>0.331770790313337</v>
      </c>
    </row>
    <row r="12">
      <c r="A12" t="inlineStr">
        <is>
          <t>sin balancear</t>
        </is>
      </c>
      <c r="B12" s="23" t="n">
        <v>0.25</v>
      </c>
      <c r="C12" t="n">
        <v>80</v>
      </c>
      <c r="D12" t="n">
        <v>86</v>
      </c>
      <c r="E12" t="n">
        <v>124</v>
      </c>
      <c r="F12" t="n">
        <v>10</v>
      </c>
      <c r="G12" s="22" t="n">
        <v>0.68</v>
      </c>
      <c r="H12" s="6" t="n">
        <v>0.8888888888888888</v>
      </c>
      <c r="I12" s="6" t="n">
        <v>0.4819277108433735</v>
      </c>
      <c r="J12" s="6" t="n">
        <v>0.625</v>
      </c>
      <c r="K12" s="6" t="n">
        <v>0.5904761904761905</v>
      </c>
      <c r="L12" s="6" t="n">
        <v>0.8216931216931216</v>
      </c>
      <c r="M12" s="6" t="n">
        <v>0.331770790313337</v>
      </c>
    </row>
  </sheetData>
  <mergeCells count="2">
    <mergeCell ref="A3:L3"/>
    <mergeCell ref="A2:L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2026-09-28T19:56:42Z</dcterms:created>
  <dcterms:modified xmlns:dcterms="http://purl.org/dc/terms/" xmlns:xsi="http://www.w3.org/2001/XMLSchema-instance" xsi:type="dcterms:W3CDTF">2026-09-28T19:56:44Z</dcterms:modified>
</cp:coreProperties>
</file>